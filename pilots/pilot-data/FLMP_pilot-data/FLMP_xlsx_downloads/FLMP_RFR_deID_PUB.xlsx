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 Tube Results" sheetId="1" r:id="rId4"/>
    <sheet state="visible" name="Weekly" sheetId="2" r:id="rId5"/>
    <sheet state="visible" name="Weekly CRLN" sheetId="3" r:id="rId6"/>
    <sheet state="visible" name="Weekly FLSP" sheetId="4" r:id="rId7"/>
    <sheet state="visible" name="Runs Compare" sheetId="5" r:id="rId8"/>
    <sheet state="visible" name="Run Reconcile" sheetId="6" r:id="rId9"/>
    <sheet state="visible" name="RFR Data - preExcl" sheetId="7" r:id="rId10"/>
    <sheet state="visible" name="Tube Reactions" sheetId="8" r:id="rId11"/>
    <sheet state="visible" name="APS Tubes IMPORT" sheetId="9" r:id="rId12"/>
    <sheet state="visible" name="APS Tubes by Date IMPORT" sheetId="10" r:id="rId13"/>
    <sheet state="visible" name="ARF Tubes" sheetId="11" r:id="rId14"/>
    <sheet state="visible" name="Process Ref" sheetId="12" r:id="rId15"/>
  </sheets>
  <definedNames>
    <definedName hidden="1" localSheetId="6" name="Z_E986A890_26EE_4740_845B_C7FF659190F2_.wvu.FilterData">'RFR Data - preExcl'!$A$1:$AU$153</definedName>
    <definedName hidden="1" localSheetId="6" name="Z_A7DD64B8_08AF_4A16_AEB0_4FD0AC4E09C3_.wvu.FilterData">'RFR Data - preExcl'!$A$1:$AV$153</definedName>
    <definedName hidden="1" localSheetId="6" name="Z_C214D747_B90E_4CE1_91F6_8040445326DB_.wvu.FilterData">'RFR Data - preExcl'!$A$1:$AZ$153</definedName>
    <definedName hidden="1" localSheetId="6" name="Z_7156FDE6_1C07_40D5_B851_42B52731230B_.wvu.FilterData">'RFR Data - preExcl'!$A$1:$AU$153</definedName>
    <definedName hidden="1" localSheetId="6" name="Z_7BC1B78F_EB68_4772_BC31_0EE4354248C0_.wvu.FilterData">'RFR Data - preExcl'!$A$1:$AU$153</definedName>
    <definedName hidden="1" localSheetId="6" name="Z_0714B692_5A3A_468E_A63E_1D61A206D053_.wvu.FilterData">'RFR Data - preExcl'!$B$1:$B$153</definedName>
    <definedName hidden="1" localSheetId="6" name="Z_1495D248_3936_408F_99D8_E62B2520EE42_.wvu.FilterData">'RFR Data - preExcl'!$A$1:$AU$153</definedName>
  </definedNames>
  <calcPr/>
  <customWorkbookViews>
    <customWorkbookView activeSheetId="0" maximized="1" windowHeight="0" windowWidth="0" guid="{E986A890-26EE-4740-845B-C7FF659190F2}" name="Filter 6"/>
    <customWorkbookView activeSheetId="0" maximized="1" windowHeight="0" windowWidth="0" guid="{C214D747-B90E-4CE1-91F6-8040445326DB}" name="Filter 7"/>
    <customWorkbookView activeSheetId="0" maximized="1" windowHeight="0" windowWidth="0" guid="{1495D248-3936-408F-99D8-E62B2520EE42}" name="Filter 4"/>
    <customWorkbookView activeSheetId="0" maximized="1" windowHeight="0" windowWidth="0" guid="{7156FDE6-1C07-40D5-B851-42B52731230B}" name="Filter 5"/>
    <customWorkbookView activeSheetId="0" maximized="1" windowHeight="0" windowWidth="0" guid="{7BC1B78F-EB68-4772-BC31-0EE4354248C0}" name="Filter 2"/>
    <customWorkbookView activeSheetId="0" maximized="1" windowHeight="0" windowWidth="0" guid="{A7DD64B8-08AF-4A16-AEB0-4FD0AC4E09C3}" name="Filter 3"/>
    <customWorkbookView activeSheetId="0" maximized="1" windowHeight="0" windowWidth="0" guid="{0714B692-5A3A-468E-A63E-1D61A206D053}" name="Filter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28">
      <text>
        <t xml:space="preserve">only run on EasyPCR</t>
      </text>
    </comment>
    <comment authorId="0" ref="F29">
      <text>
        <t xml:space="preserve">only run on EasyPCR</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N2">
      <text>
        <t xml:space="preserve">+ num means Inconclusive in ALL Results (Appivo Final + ARF) but not RFR Audit (preExcl) 
- num means Inconclusive in RFR Audit (preExcl) but not ALL Results (Appivo Final + ARF)</t>
      </text>
    </comment>
    <comment authorId="0" ref="AE2">
      <text>
        <t xml:space="preserve">used for lookup in column A (RUN ID INTERNAL)
FORMULA:
=IFNA(MATCH(A9,'RFR Data - preExcl'!A$2:A,0))</t>
      </text>
    </comment>
    <comment authorId="0" ref="M9">
      <text>
        <t xml:space="preserve">expected because it's APS only run
</t>
      </text>
    </comment>
    <comment authorId="0" ref="M116">
      <text>
        <t xml:space="preserve">not sure which the extra 2 pos tubes are but this was a highly unusual run related to MS case (see case report https://drive.google.com/file/d/183vDbgAbIlGBqyKEeQXxiJ8IX4DQdLy8) so these are likely replicates or otherwise explained
</t>
      </text>
    </comment>
    <comment authorId="0" ref="M241">
      <text>
        <t xml:space="preserve">expected because it's APS only run
</t>
      </text>
    </comment>
    <comment authorId="0" ref="S246">
      <text>
        <t xml:space="preserve">collection dates without runs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=SORT(UNIQUE(R2:S),2,TRUE)</t>
      </text>
    </comment>
    <comment authorId="0" ref="H1">
      <text>
        <t xml:space="preserve">RFR Run Code	Definition (Auditied unless says otherwise)
ONLY FOR INITIAL RUNS - INCLUDES RERUNS
0	All Neg
1	Initial Inconcl, No rerun
1.1	Initial Inconcl, All rerun rxn are neg
1.2	Initial Inconcl, one or more rerun rxn inconcl but no pos
1.3	Initial Inconcl, one or more rerun rxn pos
1.4	Only initial run in triplicate, 1 I 2N
1.6 Rerun - inconcl rxn but no inconcl run
1.7 Rerun - inconcl run but no inconcl session
2	Inconclusive session call
4	Positive run call (anywhere in session)
5	Invalid - results rejected or repeated (excluding technically invalid runs that are kept)
Highest non 5 (invalid) code is assigned</t>
      </text>
    </comment>
    <comment authorId="0" ref="I1">
      <text>
        <t xml:space="preserve">an inconcsitency here is sometimes splitting the number of tubes for multiple runs on the same day and sometimes not
</t>
      </text>
    </comment>
    <comment authorId="0" ref="L1">
      <text>
        <t xml:space="preserve">=IF(ISBLANK(BN2),IFERROR(0/0),BG2)
final starts as RFR Audit Num Collect Tubes
changes in yellow, usually when 2 initial runs in one day</t>
      </text>
    </comment>
    <comment authorId="0" ref="N1">
      <text>
        <t xml:space="preserve">see Process Ref tab - bottom portion</t>
      </text>
    </comment>
    <comment authorId="0" ref="O1">
      <text>
        <t xml:space="preserve">=IF(ISBLANK(BO2),IFERROR(0/0),IF($BN2&lt;=3,TRUE,IFERROR(0/0)))</t>
      </text>
    </comment>
    <comment authorId="0" ref="P1">
      <text>
        <t xml:space="preserve">FORMULA:
=IF(ISBLANK(N2),IFERROR(0/0),IFERROR(VLOOKUP(N2, 'Process Ref'!$A$76:$D$120, 2, FALSE), IFERROR(0/0)))
Adjust, process, ref tab, absolute, row numbers to match</t>
      </text>
    </comment>
    <comment authorId="0" ref="W1">
      <text>
        <t xml:space="preserve">Starts with hardcoded 1 in blue cell and increments below</t>
      </text>
    </comment>
    <comment authorId="0" ref="T145">
      <text>
        <t xml:space="preserve">Only populate this cell with an APS run ID if there is not a corresponding initial RFR run, meaning if there's a date in column U and if the APS run number hasn't been manually blanked out during the run reconciliation process.
FORMULA:
=IF(AND(NOT(ISBLANK(U53)),NOT(ISBLANK(V53)),NOT(ISBLANK(W53))),CONCATENATE("RUN_",TEXT(V53,"YYYY-MM-DD"),"_APS-",TEXT(W53,"000")),IFERROR(0/0))</t>
      </text>
    </comment>
    <comment authorId="0" ref="U145">
      <text>
        <t xml:space="preserve">Propagate APS Collection Date from right if that date is not present above in the RFR run dates
FORMULA:
=IF(COUNTIF(U$2:U$52,V53)=0,V53,IFERROR(0/0))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=IF(ISDATE(B81),CONCATENATE("R_",Process!$D$8,"-",AR81),)
USE ABOVE TO START THEN BELOW WHEN DONE
=CONCATENATE("R_XXXX-",TEXT(AR2,"000"))</t>
      </text>
    </comment>
    <comment authorId="0" ref="B1">
      <text>
        <t xml:space="preserve">Highlighted are dates to get RUN ID assignment on Pass2</t>
      </text>
    </comment>
    <comment authorId="0" ref="E1">
      <text>
        <t xml:space="preserve">"Samples" should be Collection Tubes but the form was made a long time ago</t>
      </text>
    </comment>
    <comment authorId="0" ref="G1">
      <text>
        <t xml:space="preserve">Duplicate link to photo of run form for re-runs. Conditional formatting light blue if duplicated link (= cell above), but fix if there are delete rows.</t>
      </text>
    </comment>
    <comment authorId="0" ref="I1">
      <text>
        <t xml:space="preserve">Results photos must correspond to the run. Don't duplicate initial run results photos for rerun if they don't apply. If it's one photo of both initial and rerun, then duplicate it and indicate which conclude are which in notes. Or screenshot and separate.
Conditional formatting light blue if duplicated link (= cell above)</t>
      </text>
    </comment>
    <comment authorId="0" ref="J1">
      <text>
        <t xml:space="preserve">don't duplicate for added rerun</t>
      </text>
    </comment>
    <comment authorId="0" ref="K1">
      <text>
        <t xml:space="preserve">duplicate for added rerun if applies</t>
      </text>
    </comment>
    <comment authorId="0" ref="L1">
      <text>
        <t xml:space="preserve">1	Date Not In Range
2	Note Indicates Test
3	Email Indicates Test
4	Duplicate Entry
5	Development Run
6	Contrived Positive / Validation Run
7	Non standard run (add note)
8	Invalid run from control fail (add note)
9      Other (add note)</t>
      </text>
    </comment>
    <comment authorId="0" ref="M1">
      <text>
        <t xml:space="preserve">1     Added Entry
1.1	Gform - Num Samples incorrect or missing
1.2	RunForm - Num Rxns incl cntrl incorrect or missing
1.3	Gform - Incorrect Date or missing
1.4	RunForm - Incorrect Date or missing
1.5	Extra pink rxn in image, conclude empty
1.6	Tubes from GForm or RunForm not in Appivo
1.7	Number of control rxns not definitive
1.8	Combination of multiple, use RFR Correct Notes
1.9	No Run Form Photo or no Result Photo</t>
      </text>
    </comment>
    <comment authorId="0" ref="N1">
      <text>
        <t xml:space="preserve">2.1	GForm InitIncl I -&gt; N
2.2	GForm InitIncl I -&gt; P
2.3	GForm InitIncl N -&gt; I
2.4	GForm InitIncl P -&gt; I
2.5	GForm InitIncl N -&gt; P
2.6	GForm InitIncl P -&gt; N
3.1	Notes ...
4.1	Both ...
6	Other - enter notes</t>
      </text>
    </comment>
    <comment authorId="0" ref="P1">
      <text>
        <t xml:space="preserve">N2&gt;=2</t>
      </text>
    </comment>
    <comment authorId="0" ref="Q1">
      <text>
        <t xml:space="preserve">Use when either the run is invalid (if it was logged separately) or if this is the valid run but it had an invalid run associated with it. If the run itself is invalid, mark for deletion so it does not corrupt the stats. Summarizing invalid runs needs to be done with the pre delete version.</t>
      </text>
    </comment>
    <comment authorId="0" ref="S1">
      <text>
        <t xml:space="preserve">Only mark daughter (can be rerun or initial)</t>
      </text>
    </comment>
    <comment authorId="0" ref="V1">
      <text>
        <t xml:space="preserve">don't leave blank, estimate based on when gform is logged if no time on run form</t>
      </text>
    </comment>
    <comment authorId="0" ref="W1">
      <text>
        <t xml:space="preserve">Initial = first time tubes are run
Re-run = subsequent times tubes are run
Xclude = remove for CD (use Xclude instead of Exclude so it shows up at end on sort)
REMOVE THIS - don't use "Repeat" (2-8)
Use the term "repeat" for when an initial run is repeated because of a problem and the first run is rejected</t>
      </text>
    </comment>
    <comment authorId="0" ref="Y1">
      <text>
        <t xml:space="preserve">Only TRUE if explicit indication of inconclusive or positive. It can still be resulted  Incl/Pos in Appivo though FALSE here</t>
      </text>
    </comment>
    <comment authorId="0" ref="AA1">
      <text>
        <t xml:space="preserve">Z2-E2</t>
      </text>
    </comment>
    <comment authorId="0" ref="AB1">
      <text>
        <t xml:space="preserve">IF(AA2 = 2,FALSE,TRUE)</t>
      </text>
    </comment>
    <comment authorId="0" ref="AF1">
      <text>
        <t xml:space="preserve">Resulting Decision Chart https://docs.google.com/spreadsheets/d/1hSqrQPAmpFeEcgxNxtFhQyBI904lUhvz1yx7GcAbefo
</t>
      </text>
    </comment>
    <comment authorId="0" ref="AI1">
      <text>
        <t xml:space="preserve">put same entry for initial and all reruns</t>
      </text>
    </comment>
    <comment authorId="0" ref="AJ1">
      <text>
        <t xml:space="preserve">this is a rerun that is not in triplicate</t>
      </text>
    </comment>
    <comment authorId="0" ref="AL1">
      <text>
        <t xml:space="preserve">RFR Run Code	Definition (Auditied unless says otherwise)
ONLY FOR INITIAL RUNS - INCLUDES RERUNS
0	All Neg
1	Initial Inconcl, No rerun
1.1	Initial Inconcl, All rerun rxn are neg
1.2	Initial Inconcl, one or more rerun rxn inconcl but no pos
1.3	Initial Inconcl, one or more rerun rxn pos
1.4	Only initial run in triplicate, 1 I 2N
1.6 Rerun - inconcl rxn but no inconcl run
1.7 Rerun - inconcl run but no inconcl session
2	Inconclusive session call
4	Positive run call (anywhere in session)
5	Invalid - results rejected or repeated (excluding technically invalid runs that are kept)
Highest non 5 (invalid) code is assigned</t>
      </text>
    </comment>
    <comment authorId="0" ref="AM1">
      <text>
        <t xml:space="preserve">=IF(EXACT(W2,"Initial"),"Audit","")
Only for Initial runs</t>
      </text>
    </comment>
    <comment authorId="0" ref="AN1">
      <text>
        <t xml:space="preserve">=IFNA(VLOOKUP($A2,'Tube Result Table Draft'!$I$2:$J,2,FALSE))</t>
      </text>
    </comment>
    <comment authorId="0" ref="AO1">
      <text>
        <t xml:space="preserve">=IF(AND(AN2&gt;0,AN2&lt;&gt;AO2),"NOT EQUAL","")</t>
      </text>
    </comment>
    <comment authorId="0" ref="AP1">
      <text>
        <t xml:space="preserve">Absent
Initials/First Letters
First Names
Full Names
Tube ID's
Results Included
Tube ID's and Results</t>
      </text>
    </comment>
    <comment authorId="0" ref="AR1">
      <text>
        <t xml:space="preserve">=ROW(AR2)-1</t>
      </text>
    </comment>
    <comment authorId="0" ref="AT1">
      <text>
        <t xml:space="preserve">replace PII with initials, names, firstname, lastname</t>
      </text>
    </comment>
    <comment authorId="0" ref="AW1">
      <text>
        <t xml:space="preserve">=IF(OR(AND(AL2=0,AW2),AND(AL2&lt;&gt;0,NOT(AW2))),TRUE,FALSE)</t>
      </text>
    </comment>
    <comment authorId="0" ref="AX1">
      <text>
        <t xml:space="preserve">=IF(OR(AND(AL2=0,AW2),AND(AL2&lt;&gt;0,NOT(AW2))),TRUE,FALSE)</t>
      </text>
    </comment>
    <comment authorId="0" ref="BA1">
      <text>
        <t xml:space="preserve">=IF(AND(U2&lt;&gt;U3,U2&lt;&gt;U1),TRUE,FALSE)
MUST BE SORTED BY Run Date
PASTE AS VALUES after so can sort again</t>
      </text>
    </comment>
    <comment authorId="0" ref="BK1">
      <text>
        <t xml:space="preserve">RFR Run Code	Definition (Auditied unless says otherwise)
ONLY FOR INITIAL RUNS - INCLUDES RERUNS
0	All Neg
1	Initial Inconcl, No rerun
1.1	Initial Inconcl, All rerun rxn are neg
1.2	Initial Inconcl, one or more rerun rxn inconcl but no pos
1.3	Initial Inconcl, one or more rerun rxn pos
1.4	Only initial run in triplicate, 1 I 2N
1.6 Rerun - inconcl rxn but no inconcl run
1.7 Rerun - inconcl run but no inconcl session
2	Inconclusive session call
4	Positive run call (anywhere in session)
5	Invalid - results rejected or repeated (excluding technically invalid runs that are kept)
Highest non 5 (invalid) code is assigned</t>
      </text>
    </comment>
    <comment authorId="0" ref="BL2">
      <text>
        <t xml:space="preserve">1st row is different formula</t>
      </text>
    </comment>
    <comment authorId="0" ref="AC9">
      <text>
        <t xml:space="preserve">conclude no photos, use num rxn based on Rform
</t>
      </text>
    </comment>
    <comment authorId="0" ref="H40">
      <text>
        <t xml:space="preserve">One tube 420 missing in APS from LUM
</t>
      </text>
    </comment>
    <comment authorId="0" ref="AK42">
      <text>
        <t xml:space="preserve">count from LUM</t>
      </text>
    </comment>
    <comment authorId="0" ref="AK43">
      <text>
        <t xml:space="preserve">conclude 2 rxn are blank</t>
      </text>
    </comment>
    <comment authorId="0" ref="B47">
      <text>
        <t xml:space="preserve">the rerun was just the initial inconclusive which I corrected to edge neg</t>
      </text>
    </comment>
    <comment authorId="0" ref="AM50">
      <text>
        <t xml:space="preserve">creating an unknown Tube ID that's pos in Tube Results Table</t>
      </text>
    </comment>
    <comment authorId="0" ref="B52">
      <text>
        <t xml:space="preserve">two positives, three tubes mentioned in the note, no apparent rerun</t>
      </text>
    </comment>
    <comment authorId="0" ref="U56">
      <text>
        <t xml:space="preserve">logged several days later</t>
      </text>
    </comment>
    <comment authorId="0" ref="B57">
      <text>
        <t xml:space="preserve">seems like two runs, not clear how it was divided or why, not clear what are the four Tube IDs listed in the RF</t>
      </text>
    </comment>
    <comment authorId="0" ref="B59">
      <text>
        <t xml:space="preserve">seems like 5-6 positives and ~1 inconclusive, plus an additional strip of 3 reactions + ctrls (not clear what this is?), then the run below is a rerun.</t>
      </text>
    </comment>
    <comment authorId="0" ref="AI59">
      <text>
        <t xml:space="preserve">not sure what last 2 yellow tubes are, conclude pipette error and ignore</t>
      </text>
    </comment>
    <comment authorId="0" ref="B67">
      <text>
        <t xml:space="preserve">from previous day</t>
      </text>
    </comment>
    <comment authorId="0" ref="B68">
      <text>
        <t xml:space="preserve">from previous day</t>
      </text>
    </comment>
    <comment authorId="0" ref="AC80">
      <text>
        <t xml:space="preserve">since so strange, go with Num Samples in GForm</t>
      </text>
    </comment>
    <comment authorId="0" ref="AD80">
      <text>
        <t xml:space="preserve">unsure - think 2 inconclusives in 24 block, yellow tube in strip 5 think pos control</t>
      </text>
    </comment>
    <comment authorId="0" ref="AF117">
      <text>
        <t xml:space="preserve">RT Jan26 - changed from 0 to 1 because there was an inconclusive both resulted in appivo and entered for session call here
</t>
      </text>
    </comment>
    <comment authorId="0" ref="AI117">
      <text>
        <t xml:space="preserve">see NOTES for RT DEC25</t>
      </text>
    </comment>
    <comment authorId="0" ref="B118">
      <text>
        <t xml:space="preserve">My guess is the positives were reran and then the incs were reran in the next one. RT- Agree
</t>
      </text>
    </comment>
    <comment authorId="0" ref="AE118">
      <text>
        <t xml:space="preserve">RT Jan26 - changed from 0 to 1 because there was an inconclusive both resulted in appivo and entered for session call here - checked image and think it's a +-- incl</t>
      </text>
    </comment>
    <comment authorId="0" ref="AC145">
      <text>
        <t xml:space="preserve">chnaged to 0 from 4 so can use sum RT Dec25
</t>
      </text>
    </comment>
    <comment authorId="0" ref="B146">
      <text>
        <t xml:space="preserve">seems like 5-6 positives and ~1 inconclusive, plus an additional strip of 3 reactions + ctrls (not clear what this is?), then the run below is a rerun.</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=CONCATENATE("TUNKPROG",TEXT(G2,"000"))
Replace PROG above with 4CHAR</t>
      </text>
    </comment>
    <comment authorId="0" ref="C1">
      <text>
        <t xml:space="preserve">Has to be a reference
Use $ for the row so the cell can be cut and pasted
='RFR Data w PHI - preExcl'!A$X</t>
      </text>
    </comment>
    <comment authorId="0" ref="D1">
      <text>
        <t xml:space="preserve">1	APS
2.1	RForm LUM
2.2	RForm Notes
2.3	GForm Notes
3	RTR
4	Unknown - assigned</t>
      </text>
    </comment>
    <comment authorId="0" ref="E1">
      <text>
        <t xml:space="preserve">Tube Result Codes	Initial	Session	Rerun 1			Rerun 2		
  Initial Session  Rerun 1 Rerun 2								
1	N	N	no rerun					
1.1	N	N	N	N	N	initially call I but corrected to N		
1.2	N	N	I/N/P	N	N	rerun even though initial N		
2	I	N	N	N	N			
2.1	I	N	I	N	N			
2.2	I	N	I/N/P	I/N/P	I/N/P	N	N	N
2.3	INN	N	no rerun					
2.4	I	N	non-triplicate I/N/P rerun					
3	I	I	no rerun					
3.1	I	I	I/N	I/N	I/N			
3.2	I	I	I/N/P	I/N/P	I/N/P			
3.3	I	I	I/N/P	I/N/P	I/N/P	I/N/P	I/N/P	I/N/P
4	I	P	I/N/P	I/N/P	I/N/P			
4.1	I	P	I/N/P	I/N/P	I/N/P	I/N/P	I/N/P	I/N/P
5	P	N	N	N	N			
5.1	P	N	N	rerun singlet				
5.2	P	N	N	N	N	N	N	N
6.1	P	I	I/N/P	I/N/P	I/N/P	I/N/P	I/N/P	I/N/P
7	P	P	no rerun					
7.1	P	P	P	P	P			
7.2	P	P	P	P	I			
7.3	P	P	P	P	N			
7.4	P	P	I/N/P	I/N/P	I/N/P			
7.5	PPP	P	no rerun					
7.7	P	P	non-3 replicates all P					
7.8	P	P	P	Rerun Singlet				
7.9	P	P	non-triplicate I/N/P rerun					
8	P	N	non-triplicate I/N/P rerun					
9	specify in Tube Result Notes							
								</t>
      </text>
    </comment>
    <comment authorId="0" ref="H1">
      <text>
        <t xml:space="preserve">=IF(MAX(G2:G)=COUNTUNIQUE(G2:G),MAX(G2:G)+1,"ERROR")
TUNK Index (for Unknown Tubes)
insert new rows
increment TUNK number starting with this value
If ERROR - past all nums as vals in new col and sort to find error</t>
      </text>
    </comment>
    <comment authorId="0" ref="I1">
      <text>
        <t xml:space="preserve">=VALUE(MID(B2,8,3))</t>
      </text>
    </comment>
    <comment authorId="0" ref="J1">
      <text>
        <t xml:space="preserve">=IF(B2&lt;&gt;B1,B2,"")</t>
      </text>
    </comment>
    <comment authorId="0" ref="K1">
      <text>
        <t xml:space="preserve">=COUNTIF($B$2:$B,$I2)</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V1">
      <text>
        <t xml:space="preserve">=CONCATENATE(P2,Q2)</t>
      </text>
    </comment>
    <comment authorId="0" ref="W1">
      <text>
        <t xml:space="preserve">=IF(P2,$A2,IFERROR(0/0))
</t>
      </text>
    </comment>
    <comment authorId="0" ref="X1">
      <text>
        <t xml:space="preserve">=IF(Q2,$A2,IFERROR(0/0))</t>
      </text>
    </comment>
    <comment authorId="0" ref="AG1">
      <text>
        <t xml:space="preserve">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M1">
      <text>
        <t xml:space="preserve">The difference of 770 APS COLLECT - 766 APS RESULT tubes is 4 that are Null called Neg </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Manually paste TRUE
</t>
      </text>
    </comment>
  </commentList>
</comments>
</file>

<file path=xl/sharedStrings.xml><?xml version="1.0" encoding="utf-8"?>
<sst xmlns="http://schemas.openxmlformats.org/spreadsheetml/2006/main" count="4820" uniqueCount="1653">
  <si>
    <t>FLSP</t>
  </si>
  <si>
    <t>CRLN</t>
  </si>
  <si>
    <t>enter these below</t>
  </si>
  <si>
    <t>only run on EasyPCR</t>
  </si>
  <si>
    <t>Assign all ARF tubes during the dates Carillon was running, which is all of them, to the Carillon group.</t>
  </si>
  <si>
    <t>Week Start Date</t>
  </si>
  <si>
    <t>Week End Date</t>
  </si>
  <si>
    <t>% Positive</t>
  </si>
  <si>
    <t>ALL Tube RESULTS by Run ID</t>
  </si>
  <si>
    <t>Run Reconciled RESULTS</t>
  </si>
  <si>
    <t>RFR Data - PreExcl RESULTS</t>
  </si>
  <si>
    <t>APS Final RESULTS by Reconciled Run ID</t>
  </si>
  <si>
    <t>APS Final RESULTS by Collect Date</t>
  </si>
  <si>
    <t>Run ID</t>
  </si>
  <si>
    <t>Run Date</t>
  </si>
  <si>
    <t>Number of Tubes</t>
  </si>
  <si>
    <t>Negative</t>
  </si>
  <si>
    <t>Positive</t>
  </si>
  <si>
    <t>Inconclusive</t>
  </si>
  <si>
    <t>Delta to Run Reconciled Results</t>
  </si>
  <si>
    <t>T</t>
  </si>
  <si>
    <t>P</t>
  </si>
  <si>
    <t>I</t>
  </si>
  <si>
    <t>Delta to RFR preExcl Audit Num Run Tubes</t>
  </si>
  <si>
    <t>Delta to RFR preExcl Audit Num Positives</t>
  </si>
  <si>
    <t>Delta to RFR preExcl Audit Num Inconclusives</t>
  </si>
  <si>
    <t>Delta to APS</t>
  </si>
  <si>
    <t>Reconciled Tube Run Count</t>
  </si>
  <si>
    <t>Exact Run ID Match to ALL Tube Results (Col A)</t>
  </si>
  <si>
    <t>Run ID - RFR Initial Only</t>
  </si>
  <si>
    <t>Calculated Negs</t>
  </si>
  <si>
    <t>preExcl Match Row</t>
  </si>
  <si>
    <t>Final Assigned Run ID</t>
  </si>
  <si>
    <t>Null</t>
  </si>
  <si>
    <t>RUN-FLMP_2020-12-19_APS-002</t>
  </si>
  <si>
    <t>RUN-FLMP_2020-12-22_APS-003</t>
  </si>
  <si>
    <t>RUN-FLMP_2020-12-28_APS-004</t>
  </si>
  <si>
    <t>RUN-FLMP_2021-01-11_APS-005</t>
  </si>
  <si>
    <t>RUN-FLMP_2021-01-13_APS-006</t>
  </si>
  <si>
    <t>RUN-FLMP_2021-01-15_APS-007</t>
  </si>
  <si>
    <t>RUN-FLMP_2021-01-18_APS-008</t>
  </si>
  <si>
    <t>RUN-FLMP_2021-01-20_APS-009</t>
  </si>
  <si>
    <t>RUN-FLMP_2021-01-21_APS-010</t>
  </si>
  <si>
    <t>RUN-FLMP_2021-01-22_APS-011</t>
  </si>
  <si>
    <t>RUN-FLMP_2021-01-24_APS-012</t>
  </si>
  <si>
    <t>RUN-FLMP_2021-01-25_APS-013</t>
  </si>
  <si>
    <t>RUN-FLMP_2021-01-26_APS-014</t>
  </si>
  <si>
    <t>RUN-FLMP_2021-01-27_APS-015</t>
  </si>
  <si>
    <t>RUN-FLMP_2021-01-28_APS-016</t>
  </si>
  <si>
    <t>RUN-FLMP_2021-01-29_APS-017</t>
  </si>
  <si>
    <t>RUN-FLMP_2021-01-31_APS-018</t>
  </si>
  <si>
    <t>RUN-FLMP_2021-02-01_APS-019</t>
  </si>
  <si>
    <t>RUN-FLMP_2021-02-04_APS-020</t>
  </si>
  <si>
    <t>RUN-FLMP_2021-02-05_APS-021</t>
  </si>
  <si>
    <t>RUN-FLMP_2021-02-07_APS-022</t>
  </si>
  <si>
    <t>RUN-FLMP_2021-02-08_APS-023</t>
  </si>
  <si>
    <t>RUN-FLMP_2021-02-09_APS-024</t>
  </si>
  <si>
    <t>RUN-FLMP_2021-02-10_APS-025</t>
  </si>
  <si>
    <t>RUN-FLMP_2021-02-11_APS-026</t>
  </si>
  <si>
    <t>RUN-FLMP_2021-02-12_APS-027</t>
  </si>
  <si>
    <t>RUN-FLMP_2021-02-16_APS-028</t>
  </si>
  <si>
    <t>RUN-FLMP_2021-02-21_APS-029</t>
  </si>
  <si>
    <t>RUN-FLMP_2021-02-22_APS-030</t>
  </si>
  <si>
    <t>RUN-FLMP_2021-02-23_APS-031</t>
  </si>
  <si>
    <t>RUN-FLMP_2021-02-24_APS-032</t>
  </si>
  <si>
    <t>RUN-FLMP_2021-03-02_APS-033</t>
  </si>
  <si>
    <t>RUN-FLMP_2021-03-03_APS-034</t>
  </si>
  <si>
    <t>RUN-FLMP_2021-03-04_APS-035</t>
  </si>
  <si>
    <t>RUN-FLMP_2021-03-05_APS-036</t>
  </si>
  <si>
    <t>RUN-FLMP_2021-03-08_APS-037</t>
  </si>
  <si>
    <t>RUN-FLMP_2021-03-10_APS-038</t>
  </si>
  <si>
    <t>RUN-FLMP_2021-03-12_APS-039</t>
  </si>
  <si>
    <t>RUN-FLMP_2021-03-15_APS-040</t>
  </si>
  <si>
    <t>RUN-FLMP_2021-03-17_APS-041</t>
  </si>
  <si>
    <t>RUN-FLMP_2021-03-26_APS-042</t>
  </si>
  <si>
    <t>RUN-FLMP_2021-03-29_APS-043</t>
  </si>
  <si>
    <t>RUN-FLMP_2021-04-16_APS-044</t>
  </si>
  <si>
    <t>RUN-FLMP_2021-05-09_APS-045</t>
  </si>
  <si>
    <t>RUN-FLMP_2021-05-10_APS-046</t>
  </si>
  <si>
    <t>RUN-FLMP_2021-05-18_APS-047</t>
  </si>
  <si>
    <t>RUN-FLMP_2021-06-17_APS-048</t>
  </si>
  <si>
    <t>RUN-FLMP_2021-09-03_APS-049</t>
  </si>
  <si>
    <t>RUN-FLMP_2021-09-10_APS-050</t>
  </si>
  <si>
    <t>RUN-FLMP_2021-09-13_APS-051</t>
  </si>
  <si>
    <t>RUN-FLMP_2021-09-15_APS-052</t>
  </si>
  <si>
    <t>RUN-FLMP_2021-09-21_APS-053</t>
  </si>
  <si>
    <t>RUN-FLMP_2021-09-24_APS-054</t>
  </si>
  <si>
    <t>RUN-FLMP_2021-10-04_APS-055</t>
  </si>
  <si>
    <t>RUN-FLMP_2021-10-05_APS-056</t>
  </si>
  <si>
    <t>RUN-FLMP_2021-10-10_APS-057</t>
  </si>
  <si>
    <t>RUN-FLMP_2021-10-13_APS-058</t>
  </si>
  <si>
    <t>RUN-FLMP_2021-10-16_APS-059</t>
  </si>
  <si>
    <t>RUN-FLMP_2021-10-19_APS-060</t>
  </si>
  <si>
    <t>RUN-FLMP_2021-10-21_APS-061</t>
  </si>
  <si>
    <t>RUN-FLMP_2021-10-23_APS-062</t>
  </si>
  <si>
    <t>RUN-FLMP_2021-10-30_APS-063</t>
  </si>
  <si>
    <t>RUN-FLMP_2021-11-01_RFR-001</t>
  </si>
  <si>
    <t>RUN-FLMP_2021-11-02_RFR-002</t>
  </si>
  <si>
    <t>RUN-FLMP_2021-11-03_APS-064</t>
  </si>
  <si>
    <t>RUN-FLMP_2021-11-05_APS-065</t>
  </si>
  <si>
    <t>RUN-FLMP_2021-11-08_APS-066</t>
  </si>
  <si>
    <t>RUN-FLMP_2021-11-10_APS-067</t>
  </si>
  <si>
    <t>RUN-FLMP_2021-11-12_RFR-003</t>
  </si>
  <si>
    <t>RUN-FLMP_2021-11-15_APS-068</t>
  </si>
  <si>
    <t>RUN-FLMP_2021-11-17_APS-069</t>
  </si>
  <si>
    <t>RUN-FLMP_2021-11-19_APS-070</t>
  </si>
  <si>
    <t>RUN-FLMP_2021-11-26_RFR-004</t>
  </si>
  <si>
    <t>RUN-FLMP_2021-11-28_RFR-006</t>
  </si>
  <si>
    <t>RUN-FLMP_2021-11-29_RFR-007</t>
  </si>
  <si>
    <t>RUN-FLMP_2021-11-30_APS-071</t>
  </si>
  <si>
    <t>RUN-FLMP_2021-12-02_APS-072</t>
  </si>
  <si>
    <t>RUN-FLMP_2021-12-06_RFR-009</t>
  </si>
  <si>
    <t>RUN-FLMP_2021-12-07_RFR-011</t>
  </si>
  <si>
    <t>RUN-FLMP_2021-12-09_RFR-012</t>
  </si>
  <si>
    <t>RUN-FLMP_2021-12-10_RFR-013</t>
  </si>
  <si>
    <t>RUN-FLMP_2021-12-11_RFR-015</t>
  </si>
  <si>
    <t>RUN-FLMP_2021-12-13_RFR-016</t>
  </si>
  <si>
    <t>RUN-FLMP_2021-12-14_APS-073</t>
  </si>
  <si>
    <t>RUN-FLMP_2021-12-14_RFR-017</t>
  </si>
  <si>
    <t>RUN-FLMP_2021-12-16_RFR-018</t>
  </si>
  <si>
    <t>RUN-FLMP_2021-12-18_RFR-019</t>
  </si>
  <si>
    <t>RUN-FLMP_2021-12-18_RFR-020</t>
  </si>
  <si>
    <t>RUN-FLMP_2021-12-18_RFR-021</t>
  </si>
  <si>
    <t>RUN-FLMP_2021-12-19_RFR-022</t>
  </si>
  <si>
    <t>RUN-FLMP_2021-12-19_RFR-023</t>
  </si>
  <si>
    <t>RUN-FLMP_2021-12-20_RFR-024</t>
  </si>
  <si>
    <t>RUN-FLMP_2021-12-20_RFR-026</t>
  </si>
  <si>
    <t>RUN-FLMP_2021-12-21_RFR-028</t>
  </si>
  <si>
    <t>RUN-FLMP_2021-12-21_RFR-029</t>
  </si>
  <si>
    <t>RUN-FLMP_2021-12-22_RFR-030</t>
  </si>
  <si>
    <t>RUN-FLMP_2021-12-22_RFR-031</t>
  </si>
  <si>
    <t>RUN-FLMP_2021-12-23_RFR-032</t>
  </si>
  <si>
    <t>RUN-FLMP_2021-12-24_APS-074</t>
  </si>
  <si>
    <t>RUN-FLMP_2021-12-24_RFR-033</t>
  </si>
  <si>
    <t>RUN-FLMP_2021-12-25_RFR-034</t>
  </si>
  <si>
    <t>RUN-FLMP_2021-12-26_APS-075</t>
  </si>
  <si>
    <t>RUN-FLMP_2021-12-26_RFR-035</t>
  </si>
  <si>
    <t>RUN-FLMP_2021-12-27_RFR-036</t>
  </si>
  <si>
    <t>RUN-FLMP_2021-12-27_RFR-037</t>
  </si>
  <si>
    <t>RUN-FLMP_2021-12-28_APS-076</t>
  </si>
  <si>
    <t>RUN-FLMP_2021-12-28_RFR-038</t>
  </si>
  <si>
    <t>RUN-FLMP_2021-12-29_APS-077</t>
  </si>
  <si>
    <t>RUN-FLMP_2021-12-29_RFR-039</t>
  </si>
  <si>
    <t>RUN-FLMP_2021-12-30_RFR-040</t>
  </si>
  <si>
    <t>RUN-FLMP_2021-12-31_RFR-042</t>
  </si>
  <si>
    <t>RUN-FLMP_2021-12-31_RFR-043</t>
  </si>
  <si>
    <t>RUN-FLMP_2022-01-01_RFR-044</t>
  </si>
  <si>
    <t>RUN-FLMP_2022-01-02_RFR-046</t>
  </si>
  <si>
    <t>RUN-FLMP_2022-01-03_APS-078</t>
  </si>
  <si>
    <t>RUN-FLMP_2022-01-03_RFR-047</t>
  </si>
  <si>
    <t>RUN-FLMP_2022-01-04_RFR-049</t>
  </si>
  <si>
    <t>RUN-FLMP_2022-01-06_RFR-050</t>
  </si>
  <si>
    <t>RUN-FLMP_2022-01-08_RFR-052</t>
  </si>
  <si>
    <t>RUN-FLMP_2022-01-10_RFR-053</t>
  </si>
  <si>
    <t>RUN-FLMP_2022-01-10_RFR-055</t>
  </si>
  <si>
    <t>RUN-FLMP_2022-01-11_APS-079</t>
  </si>
  <si>
    <t>RUN-FLMP_2022-01-11_RFR-059</t>
  </si>
  <si>
    <t>RUN-FLMP_2022-01-13_RFR-056</t>
  </si>
  <si>
    <t>RUN-FLMP_2022-01-13_RFR-057</t>
  </si>
  <si>
    <t>RUN-FLMP_2022-01-15_RFR-060</t>
  </si>
  <si>
    <t>RUN-FLMP_2022-01-16_APS-080</t>
  </si>
  <si>
    <t>RUN-FLMP_2022-01-17_RFR-061</t>
  </si>
  <si>
    <t>RUN-FLMP_2022-01-17_RFR-063</t>
  </si>
  <si>
    <t>RUN-FLMP_2022-01-18_RFR-065</t>
  </si>
  <si>
    <t>RUN-FLMP_2022-01-18_RFR-066</t>
  </si>
  <si>
    <t>RUN-FLMP_2022-01-20_RFR-067</t>
  </si>
  <si>
    <t>RUN-FLMP_2022-01-20_RFR-070</t>
  </si>
  <si>
    <t>RUN-FLMP_2022-01-22_RFR-071</t>
  </si>
  <si>
    <t>RUN-FLMP_2022-01-24_RFR-072</t>
  </si>
  <si>
    <t>RUN-FLMP_2022-01-25_RFR-074</t>
  </si>
  <si>
    <t>RUN-FLMP_2022-01-26_RFR-075</t>
  </si>
  <si>
    <t>RUN-FLMP_2022-01-27_APS-081</t>
  </si>
  <si>
    <t>RUN-FLMP_2022-01-29_APS-082</t>
  </si>
  <si>
    <t>RUN-FLMP_2022-01-31_RFR-076</t>
  </si>
  <si>
    <t>RUN-FLMP_2022-02-02_RFR-078</t>
  </si>
  <si>
    <t>RUN-FLMP_2022-02-03_RFR-079</t>
  </si>
  <si>
    <t>RUN-FLMP_2022-02-05_APS-083</t>
  </si>
  <si>
    <t>RUN-FLMP_2022-02-07_RFR-083</t>
  </si>
  <si>
    <t>RUN-FLMP_2022-02-10_RFR-085</t>
  </si>
  <si>
    <t>RUN-FLMP_2022-02-12_RFR-087</t>
  </si>
  <si>
    <t>RUN-FLMP_2022-02-14_RFR-088</t>
  </si>
  <si>
    <t>RUN-FLMP_2022-02-17_RFR-089</t>
  </si>
  <si>
    <t>RUN-FLMP_2022-02-18_APS-084</t>
  </si>
  <si>
    <t>RUN-FLMP_2022-02-27_RFR-091</t>
  </si>
  <si>
    <t>RUN-FLMP_2022-03-03_RFR-093</t>
  </si>
  <si>
    <t>RUN-FLMP_2022-03-07_RFR-096</t>
  </si>
  <si>
    <t>RUN-FLMP_2022-03-10_RFR-098</t>
  </si>
  <si>
    <t>RUN-FLMP_2022-03-12_RFR-099</t>
  </si>
  <si>
    <t>RUN-FLMP_2022-03-14_RFR-100</t>
  </si>
  <si>
    <t>RUN-FLMP_2022-03-17_RFR-102</t>
  </si>
  <si>
    <t>RUN-FLMP_2022-03-21_APS-085</t>
  </si>
  <si>
    <t>RUN-FLMP_2022-03-22_RFR-103</t>
  </si>
  <si>
    <t>RUN-FLMP_2022-03-24_APS-086</t>
  </si>
  <si>
    <t>RUN-FLMP_2022-03-28_APS-087</t>
  </si>
  <si>
    <t>RUN-FLMP_2022-04-01_APS-088</t>
  </si>
  <si>
    <t>RUN-FLMP_2022-04-02_RFR-104</t>
  </si>
  <si>
    <t>RUN-FLMP_2022-04-04_RFR-105</t>
  </si>
  <si>
    <t>RUN-FLMP_2022-04-07_RFR-107</t>
  </si>
  <si>
    <t>RUN-FLMP_2022-04-11_RFR-109</t>
  </si>
  <si>
    <t>RUN-FLMP_2022-04-14_RFR-111</t>
  </si>
  <si>
    <t>RUN-FLMP_2022-04-16_APS-089</t>
  </si>
  <si>
    <t>RUN-FLMP_2022-04-18_RFR-113</t>
  </si>
  <si>
    <t>RUN-FLMP_2022-04-19_RFR-115</t>
  </si>
  <si>
    <t>RUN-FLMP_2022-04-21_RFR-116</t>
  </si>
  <si>
    <t>RUN-FLMP_2022-04-21_RFR-117</t>
  </si>
  <si>
    <t>RUN-FLMP_2022-04-25_RFR-118</t>
  </si>
  <si>
    <t>RUN-FLMP_2022-04-28_RFR-120</t>
  </si>
  <si>
    <t>RUN-FLMP_2022-05-02_RFR-122</t>
  </si>
  <si>
    <t>RUN-FLMP_2022-05-02_RFR-124</t>
  </si>
  <si>
    <t>RUN-FLMP_2022-05-02_RFR-125</t>
  </si>
  <si>
    <t>RUN-FLMP_2022-05-05_RFR-126</t>
  </si>
  <si>
    <t>RUN-FLMP_2022-05-09_APS-090</t>
  </si>
  <si>
    <t>RUN-FLMP_2022-05-09_RFR-128</t>
  </si>
  <si>
    <t>RUN-FLMP_2022-05-09_RFR-131</t>
  </si>
  <si>
    <t>RUN-FLMP_2022-05-11_RFR-132</t>
  </si>
  <si>
    <t>RUN-FLMP_2022-05-12_RFR-135</t>
  </si>
  <si>
    <t>RUN-FLMP_2022-05-14_RFR-137</t>
  </si>
  <si>
    <t>RUN-FLMP_2022-05-16_RFR-138</t>
  </si>
  <si>
    <t>RUN-FLMP_2022-05-17_RFR-140</t>
  </si>
  <si>
    <t>RUN-FLMP_2022-05-17_RFR-141</t>
  </si>
  <si>
    <t>RUN-FLMP_2022-05-19_APS-091</t>
  </si>
  <si>
    <t>RUN-FLMP_2022-05-18_RFR-142</t>
  </si>
  <si>
    <t>RUN-FLMP_2022-05-19_RFR-144</t>
  </si>
  <si>
    <t>RUN-FLMP_2022-05-23_RFR-146</t>
  </si>
  <si>
    <t>RUN-FLMP_2022-05-26_RFR-148</t>
  </si>
  <si>
    <t>RUN-FLMP_2022-05-31_RFR-150</t>
  </si>
  <si>
    <t>RUN-FLMP_2022-06-06_RFR-152</t>
  </si>
  <si>
    <t>RUN-FLMP_2022-06-09_APS-092</t>
  </si>
  <si>
    <t>RUN-FLMP_2022-06-13_APS-093</t>
  </si>
  <si>
    <t>RUN-FLMP_2022-06-16_APS-094</t>
  </si>
  <si>
    <t>RUN-FLMP_2022-06-17_APS-095</t>
  </si>
  <si>
    <t>RUN-FLMP_2022-06-20_APS-096</t>
  </si>
  <si>
    <t>RUN-FLMP_2022-06-23_APS-097</t>
  </si>
  <si>
    <t>RUN-FLMP_2022-06-27_APS-098</t>
  </si>
  <si>
    <t>RUN-FLMP_2022-06-29_APS-099</t>
  </si>
  <si>
    <t>RUN-FLMP_2022-06-30_APS-100</t>
  </si>
  <si>
    <t>RUN-FLMP_2022-07-18_APS-101</t>
  </si>
  <si>
    <t>RUN-FLMP_2022-07-21_APS-102</t>
  </si>
  <si>
    <t>RUN-FLMP_2022-07-25_APS-103</t>
  </si>
  <si>
    <t>RUN-FLMP_2022-07-28_APS-104</t>
  </si>
  <si>
    <t>RUN-FLMP_2022-08-01_APS-105</t>
  </si>
  <si>
    <t>RUN-FLMP_2022-08-04_APS-106</t>
  </si>
  <si>
    <t>RUN-FLMP_2022-08-22_APS-107</t>
  </si>
  <si>
    <t>RUN-FLMP_2022-09-06_APS-108</t>
  </si>
  <si>
    <t>RUN-FLMP_2022-09-08_APS-109</t>
  </si>
  <si>
    <t>RUN-FLMP_2022-09-12_APS-110</t>
  </si>
  <si>
    <t>RUN-FLMP_2022-09-15_APS-111</t>
  </si>
  <si>
    <t>RUN-FLMP_2022-09-19_APS-112</t>
  </si>
  <si>
    <t>RUN-FLMP_2022-09-22_APS-113</t>
  </si>
  <si>
    <t>RUN-FLMP_2022-09-26_APS-114</t>
  </si>
  <si>
    <t>RUN-FLMP_2022-09-29_APS-115</t>
  </si>
  <si>
    <t>RUN-FLMP_2022-10-03_APS-116</t>
  </si>
  <si>
    <t>RUN-FLMP_2022-10-06_APS-117</t>
  </si>
  <si>
    <t>RUN-FLMP_2022-10-10_APS-118</t>
  </si>
  <si>
    <t>RUN-FLMP_2022-10-13_APS-119</t>
  </si>
  <si>
    <t>RUN-FLMP_2022-10-17_APS-120</t>
  </si>
  <si>
    <t>RUN-FLMP_2022-10-20_APS-121</t>
  </si>
  <si>
    <t>RUN-FLMP_2022-10-24_APS-122</t>
  </si>
  <si>
    <t>RUN-FLMP_2022-10-25_APS-123</t>
  </si>
  <si>
    <t>RUN-FLMP_2022-10-27_APS-124</t>
  </si>
  <si>
    <t>RUN-FLMP_2022-10-31_APS-125</t>
  </si>
  <si>
    <t>RUN-FLMP_2022-11-03_APS-126</t>
  </si>
  <si>
    <t>RUN-FLMP_2022-11-07_APS-127</t>
  </si>
  <si>
    <t>RUN-FLMP_2022-11-10_APS-128</t>
  </si>
  <si>
    <t>RUN-FLMP_2022-11-14_APS-129</t>
  </si>
  <si>
    <t>RUN-FLMP_2022-11-21_APS-130</t>
  </si>
  <si>
    <t>RUN-FLMP_2022-11-29_APS-131</t>
  </si>
  <si>
    <t>RUN-FLMP_2022-12-01_APS-132</t>
  </si>
  <si>
    <t>RUN-FLMP_2022-12-08_APS-133</t>
  </si>
  <si>
    <t>RUN-FLMP_2022-12-09_APS-134</t>
  </si>
  <si>
    <t>RUN-FLMP_2022-12-12_APS-135</t>
  </si>
  <si>
    <t>RUN-FLMP_2022-12-15_APS-136</t>
  </si>
  <si>
    <t>RUN-FLMP_2022-12-19_APS-137</t>
  </si>
  <si>
    <t>RUN-FLMP_2022-12-20_APS-138</t>
  </si>
  <si>
    <t>RUN-FLMP_2022-12-26_APS-139</t>
  </si>
  <si>
    <t>RUN-FLMP_2023-01-02_APS-140</t>
  </si>
  <si>
    <t>RUN ID</t>
  </si>
  <si>
    <t>RUN DATE</t>
  </si>
  <si>
    <t>Run with No RFR?</t>
  </si>
  <si>
    <t>PHOTO RESULTS Num rxn  
(excl ctrls)</t>
  </si>
  <si>
    <t>Run Code</t>
  </si>
  <si>
    <t>APS
NUM COLLECT
TUBES</t>
  </si>
  <si>
    <t>Final Num - APS Num Tubes</t>
  </si>
  <si>
    <t>Tube Run Count Reconcile Code</t>
  </si>
  <si>
    <t>Assign Run ID by Collect Date</t>
  </si>
  <si>
    <t>RUN COUNT RECONCILE CODE REASON - Process Ref tab</t>
  </si>
  <si>
    <t>Count Reconcile Notes</t>
  </si>
  <si>
    <t>STACKED RUN ID</t>
  </si>
  <si>
    <t>STACKED RFR AND COLLECT RUN DATE</t>
  </si>
  <si>
    <t>APS Tubes Collection Date</t>
  </si>
  <si>
    <t>APS Run Number</t>
  </si>
  <si>
    <t>Run ID - Reruns</t>
  </si>
  <si>
    <t>Num rxn  
(excl ctrls)</t>
  </si>
  <si>
    <t>RFR Audit
Num
Run Tubes</t>
  </si>
  <si>
    <t>CRLN 
Num rxn  
(excl ctrls)</t>
  </si>
  <si>
    <t>CRLN 
RFR Audit
Num
Run Tubes</t>
  </si>
  <si>
    <t>FLSP 
Num rxn  
(excl ctrls)</t>
  </si>
  <si>
    <t>FLSP 
RFR Audit
Num
Run Tubes</t>
  </si>
  <si>
    <t>APS Only Runs</t>
  </si>
  <si>
    <t>NULL &gt; NEG and POS</t>
  </si>
  <si>
    <t>NULLs were only run on EasyPCR</t>
  </si>
  <si>
    <t>NULL &gt; NEG</t>
  </si>
  <si>
    <t>One collected tube run next day</t>
  </si>
  <si>
    <t>Only RFR for one of multiple runs that morning - just put them all together</t>
  </si>
  <si>
    <t>OLD NOTE (not sure why it says not logged) - Run not logged in RFR, includes tube collected prev day</t>
  </si>
  <si>
    <t>Extra tubes noted on run form</t>
  </si>
  <si>
    <t>3 colleced in afternoon run run probably later same day in non RFR run</t>
  </si>
  <si>
    <t>OLD NOTE (not sure why) 2nd run that day not logged in RFR</t>
  </si>
  <si>
    <t>Pooled pos</t>
  </si>
  <si>
    <t>Deconv of pos pool</t>
  </si>
  <si>
    <t>3rd run of day</t>
  </si>
  <si>
    <t>tube run was FLB6853</t>
  </si>
  <si>
    <t>Tubes collected in app next day, pos samples nasal and throat</t>
  </si>
  <si>
    <t>NULL &gt; NEG for run not in RFR, admin report</t>
  </si>
  <si>
    <t>Think previously forzen samples run, LUM says PCR run too</t>
  </si>
  <si>
    <t>one tube in LUM missing from APS (420)</t>
  </si>
  <si>
    <t>combo initial and rerun, other 8 are rerun</t>
  </si>
  <si>
    <t>conclude 2 rxn are blank</t>
  </si>
  <si>
    <t>2 initial runs this day, 1st one of 4 indiv samples for deconv - conclude the RFR audit of 8 run tubes is incorrect and instead 6 were run and 2 in the next one - based on collect and result date and time</t>
  </si>
  <si>
    <t>2 initial runs this day, 1st one of 4 indiv samples for deconv - conclude the RFR audit of 8 run tubes is incorrect and instead 4 were run in duplicate</t>
  </si>
  <si>
    <t>8 in daily results report, includes 2 collected prev day, conclude audit is wrong and 2 extra are blank (not sure)</t>
  </si>
  <si>
    <t>no run, all collected run next day</t>
  </si>
  <si>
    <t>16 in daily results report - RT Dec25 mismatch so go with number in APS</t>
  </si>
  <si>
    <t>conclude one rxn blank</t>
  </si>
  <si>
    <t>40 in daily results report (3 neighbors)</t>
  </si>
  <si>
    <t>RT Dec25 - see from APS Tubes list these We're collected in the late afternoon and run in the evening together. So there's no RFR for these in their APS-only tubes.</t>
  </si>
  <si>
    <t>single positive - is in Appivo - hard coded run assignment - this one is out of order because the run form was entered days after which is unusual</t>
  </si>
  <si>
    <t>1 tube in RFR was saliva which is deleted from APS - RT Dec25 assign run ID for 2 absed on 2 that were different GW collected day before</t>
  </si>
  <si>
    <t>28 in daily results report</t>
  </si>
  <si>
    <t>2 blank rxn</t>
  </si>
  <si>
    <t>conclude staff run except 1 program sample</t>
  </si>
  <si>
    <t>staff run, one tube ID in run form missing from App</t>
  </si>
  <si>
    <t>RT DEC25 - choose 38 and add extra ARF tubes OLD NOTE 35 in daily results report</t>
  </si>
  <si>
    <t>4 pos were collected day before</t>
  </si>
  <si>
    <t>unsure what this singlet tube is, the collected tube on this date has error in date</t>
  </si>
  <si>
    <t>29 in daily results report</t>
  </si>
  <si>
    <t>staff run, confounding photo in LUM and Tube ID</t>
  </si>
  <si>
    <t>RT DEC change Null to delete OLD NOTE27 in daily results report, 2 tubes missing from RFR but run was unusual and had complete redo</t>
  </si>
  <si>
    <t>one  tube collected late and run next day</t>
  </si>
  <si>
    <t>Manually copy blank white cells over numbers to remove APS run</t>
  </si>
  <si>
    <t>27 in daily results report, but one tube reported as Null, mark for deletion</t>
  </si>
  <si>
    <t>Run not in RFR at all, staff and neighbors</t>
  </si>
  <si>
    <t>del 1 Null tube</t>
  </si>
  <si>
    <t>28 in daily results report, Delete Null not in daily results report</t>
  </si>
  <si>
    <t>28 in daily results report with 1 Result blank, unclear RFR audit tubes = 27, 28 (APS collect), or 29 tubes run</t>
  </si>
  <si>
    <t>26 in daily results report, trust RFR audit number</t>
  </si>
  <si>
    <t>staff and neighbors run, conclude duplicate rxn</t>
  </si>
  <si>
    <t>26 in daily results report w 1 Null</t>
  </si>
  <si>
    <t>1 extra tube in RFR not in App</t>
  </si>
  <si>
    <t>wow, run 3 days after drop off</t>
  </si>
  <si>
    <t>21 in daily results report</t>
  </si>
  <si>
    <t>25 in daily results report</t>
  </si>
  <si>
    <t>22 in daily results report, plus one staff = 23 in Appivo but 3 more in RFR</t>
  </si>
  <si>
    <t>Null &gt; Neg and added row based on daily results report</t>
  </si>
  <si>
    <t>3 tubes not in App per run form</t>
  </si>
  <si>
    <t>21 in daily results report, 4 tubes extra in RFR</t>
  </si>
  <si>
    <t>15 in daily results report, 2 extra tubes in RFR</t>
  </si>
  <si>
    <t>Run not in RFR, 22 in daily results report</t>
  </si>
  <si>
    <t>24 in daily results report w 1 Null</t>
  </si>
  <si>
    <t>Run not in RFR, FL staff</t>
  </si>
  <si>
    <t>Run not in RFR, FL staff, Null &gt; Neg</t>
  </si>
  <si>
    <t>23 in daily results report, 1 with no result time - add rows in APS</t>
  </si>
  <si>
    <t>19 in daily results report</t>
  </si>
  <si>
    <t>20 in daily results report</t>
  </si>
  <si>
    <t>19 in daily results report w 1 Null</t>
  </si>
  <si>
    <t>Null &gt; Neg</t>
  </si>
  <si>
    <t>FL staff</t>
  </si>
  <si>
    <t>23 in daily results report, 1 tube turned in late and run on 25th</t>
  </si>
  <si>
    <t>no daily results report, 1 tube included that was collected on 4-21</t>
  </si>
  <si>
    <t>23 in daily results report, Null delete</t>
  </si>
  <si>
    <t>pos pool deconv of 3 tubes not in appivo</t>
  </si>
  <si>
    <t>4th person in pos pool, also not in appivo</t>
  </si>
  <si>
    <t>There's a late collected and reported single tube, so I suspect this was done in a separate follow-on run. But... Don't bother adding an extra run for that one tube, So just include it in the main run that day.</t>
  </si>
  <si>
    <t>RT Dec25 not sure which tube is extra in APS so include all include all in run    OLD NOTE 22 in daily results report, 1 tube collected on 5-5 run on 5-9</t>
  </si>
  <si>
    <t>RT DEC25 put extra tube in here OLD NOTE 27 in daily results report</t>
  </si>
  <si>
    <t>deconv run</t>
  </si>
  <si>
    <t>early morning run for return and RT</t>
  </si>
  <si>
    <t>7 in daily results report, RFR tube not in Appivo, and Null &gt; Inconclusive</t>
  </si>
  <si>
    <t xml:space="preserve">21 in daily results report, 2 unknown tubes in RFR not in App </t>
  </si>
  <si>
    <t>Run not in RFR, no tubes collected in app, weekend run, no info in run form</t>
  </si>
  <si>
    <t>22 in daily results report, 3 listed as unscanned</t>
  </si>
  <si>
    <t>tube ID in run form but not collected in app</t>
  </si>
  <si>
    <t>cannot find daily results report, 1 collected tube run 4 days later</t>
  </si>
  <si>
    <t>21 in daily results report, 1 tube run from 4 days before, 2 tube IDs not in App, and 2 extra in RFR</t>
  </si>
  <si>
    <t>22 in daily results report w 1 Null &gt; Neg</t>
  </si>
  <si>
    <t>RT Dec25 - Looks like there was a four day old tube run and an extra tube in RFR. APS OLD NOTE 17 in daily results report plus 5 FL staff = 22, 1 tube ID in RFR not in app</t>
  </si>
  <si>
    <t>NULL call Negative</t>
  </si>
  <si>
    <t>Timestamp</t>
  </si>
  <si>
    <t>Email Address</t>
  </si>
  <si>
    <t>Location</t>
  </si>
  <si>
    <t>RAW Num of Samples (Gform)</t>
  </si>
  <si>
    <t>Sample Batch ID (from App)</t>
  </si>
  <si>
    <t>Photo of Run Sheet Printout</t>
  </si>
  <si>
    <t>Photo of Run Look Up</t>
  </si>
  <si>
    <t>Photo of Results</t>
  </si>
  <si>
    <t>RAW Number of Initial Inconclusives (if any)</t>
  </si>
  <si>
    <t>Response Notes</t>
  </si>
  <si>
    <t>OVERALL SECTION
Exclude Code</t>
  </si>
  <si>
    <t>RFR Misc Audit Code</t>
  </si>
  <si>
    <t>RFR Results Audit Code</t>
  </si>
  <si>
    <t>RFR Audit Code Notes</t>
  </si>
  <si>
    <t>Audit Corrected Call?</t>
  </si>
  <si>
    <t>Control Fail Invalid Run?</t>
  </si>
  <si>
    <t>Invalid Notes</t>
  </si>
  <si>
    <t>Daughter Row?</t>
  </si>
  <si>
    <t>Is/Has Re Run?</t>
  </si>
  <si>
    <t>RUN FORM SECTION
Audit
Run Date</t>
  </si>
  <si>
    <t>Audit
Run Time</t>
  </si>
  <si>
    <t>Run Type</t>
  </si>
  <si>
    <t>Run Form Photo Note</t>
  </si>
  <si>
    <t>Inc/Pos in Note?</t>
  </si>
  <si>
    <t>Num Rxn Including Controls (from paper form)</t>
  </si>
  <si>
    <t>Audit Num Rxns - Run Form Num Samples</t>
  </si>
  <si>
    <t>Discrepant Num Rxns or Samples?</t>
  </si>
  <si>
    <t>RESULTS PHOTO SECTION
Num rxn  
(excl ctrls)</t>
  </si>
  <si>
    <t>Audit
Inc Rxns
(excl ctrls)</t>
  </si>
  <si>
    <t>Audit
Inc Run Calls</t>
  </si>
  <si>
    <t>Audit
Inc Session Calls</t>
  </si>
  <si>
    <t>Audit
Pos Rxns
(excl ctrls)</t>
  </si>
  <si>
    <t xml:space="preserve">Audit
Pos Run
Calls </t>
  </si>
  <si>
    <t>Audit
Pos Session
Calls</t>
  </si>
  <si>
    <t>Non Triplicate Re-Run Flag</t>
  </si>
  <si>
    <t>RUN CODE SECTION
Run Code</t>
  </si>
  <si>
    <t># of Tube Result Table Rows created</t>
  </si>
  <si>
    <t>TRT # Tubes</t>
  </si>
  <si>
    <t>Lookup Map Status</t>
  </si>
  <si>
    <t>Enter Tube ID from LUM?</t>
  </si>
  <si>
    <t>Index (For Run ID Creation)</t>
  </si>
  <si>
    <t>NOTES</t>
  </si>
  <si>
    <t>NOTES w PHI</t>
  </si>
  <si>
    <t>Initials &amp; Date</t>
  </si>
  <si>
    <t>Num PCR Tubes in Results Photo</t>
  </si>
  <si>
    <t>Only Upper Left Yellow?</t>
  </si>
  <si>
    <t>Run Code=0 Check</t>
  </si>
  <si>
    <t>Diff PCR Tube Check</t>
  </si>
  <si>
    <t>Diff Check Notes</t>
  </si>
  <si>
    <t>Unique Run Date?</t>
  </si>
  <si>
    <t>Unique Run Date is Initial?</t>
  </si>
  <si>
    <t>Run Code 0?</t>
  </si>
  <si>
    <t xml:space="preserve">RECONCILE
&gt;&gt;
</t>
  </si>
  <si>
    <t>INITIAL ONLY 
&gt;&gt;&gt;&gt;&gt;&gt;
AUDIT
RUN DATE</t>
  </si>
  <si>
    <t>APS
COLLECT DATE</t>
  </si>
  <si>
    <t>Alpine</t>
  </si>
  <si>
    <t>211101-1</t>
  </si>
  <si>
    <t>https://drive.google.com/open?id=14Wv-xzEyUM8jAG23hUexzq7O5jwTwE7f</t>
  </si>
  <si>
    <t>https://drive.google.com/open?id=1RIQMrfq-VNvTqA7DGQUYh0fWoC7tZUN4</t>
  </si>
  <si>
    <t>blank run form</t>
  </si>
  <si>
    <t>Initial</t>
  </si>
  <si>
    <t>Skipped NC</t>
  </si>
  <si>
    <t>BS 12/19</t>
  </si>
  <si>
    <t>K, skipped NC</t>
  </si>
  <si>
    <t>https://drive.google.com/open?id=1s1Zjl422vNZxpfk0LIxtg2io6F6-SLAv</t>
  </si>
  <si>
    <t>https://drive.google.com/open?id=10ddKPrARDAP-AlRJC9sa1p4gala0EBHv</t>
  </si>
  <si>
    <t>https://drive.google.com/open?id=1xcrPpdZULYT4uByarK_xn-f8JC9ZtsxD</t>
  </si>
  <si>
    <t>https://drive.google.com/open?id=1N8utqMhyT2yY0d8jW0uUM9wXw4XapANn</t>
  </si>
  <si>
    <t>conclude run in triplicate from APS</t>
  </si>
  <si>
    <t>https://drive.google.com/open?id=1nV7A_uy_RwWovCzCHXW1HSjnNZl_Psu6</t>
  </si>
  <si>
    <t>https://drive.google.com/open?id=1Q1-PtYeHbzwXP3QaRoaSEvjV14QV0dB0</t>
  </si>
  <si>
    <t>Absent</t>
  </si>
  <si>
    <t>211128-2</t>
  </si>
  <si>
    <t>https://drive.google.com/open?id=1WjtbP9VOYbWApq1W-gO8LeAZrpg8xY27</t>
  </si>
  <si>
    <t>https://drive.google.com/open?id=1APOSh1_RXOqoL4wegcC_QOkDELGDaIjX</t>
  </si>
  <si>
    <t>FLT129 not recognised</t>
  </si>
  <si>
    <t>https://drive.google.com/open?id=14CAkMLagublvdjSB0ncV5LqqiKuzBJgF</t>
  </si>
  <si>
    <t>https://drive.google.com/open?id=1_qzzhEkUuUMJAhnB0QOb-iGYeWJKlsCb</t>
  </si>
  <si>
    <t>3 Tubes, one inc</t>
  </si>
  <si>
    <t>https://drive.google.com/open?id=1R6waMbg1wGwZr43uW5L8SsKGcSW6Gc7T</t>
  </si>
  <si>
    <t>https://drive.google.com/open?id=1l2IgTVb319ZCeYMd_RAXavbPRY6ohUlA</t>
  </si>
  <si>
    <t>Rerun</t>
  </si>
  <si>
    <t>Re-run</t>
  </si>
  <si>
    <t>mini RTR, probably blood.</t>
  </si>
  <si>
    <t>211206-1</t>
  </si>
  <si>
    <t>https://drive.google.com/open?id=1_-BStngYEAqjLFZrWxWw_Cw6h8kHGUxM</t>
  </si>
  <si>
    <t>https://drive.google.com/open?id=1kF970Fxn5uVfu9Qx6BLXJrA5GUt_d1y5</t>
  </si>
  <si>
    <t>https://www.google.com/url?q=https://drive.google.com/open?id%3D19kH5FsxlWPqHQMVhcB6e7eaYyA6upa1z&amp;sa=D&amp;source=editors&amp;ust=1671479171715654&amp;usg=AOvVaw213lkqodo7QnandQUChboo</t>
  </si>
  <si>
    <t>trouble w piper tips and volumes, redid aliquotting 23uL, 1 barely inconclusive, reran with same batch strip8 and got another inconclusive. Suspected contam of RM so made new fresh RM, rand 6 reps and all neg.</t>
  </si>
  <si>
    <t>Results photos appear to be wrong, proceed with no photos</t>
  </si>
  <si>
    <t>1)PC, 2)NC, 3)195, 4)405, 5)517, 6)832 *rerun pos6 (832) in triplicate</t>
  </si>
  <si>
    <t>RT 12/19</t>
  </si>
  <si>
    <t>K, wrong photo</t>
  </si>
  <si>
    <t>https://drive.google.com/open?id=1eQ-jfTSELIRwfZYySyAmG-MiGzKyWSFO</t>
  </si>
  <si>
    <t>https://drive.google.com/open?id=1kNImI99iwP4a7-xA-_tE8Wxxib8Hm6B9</t>
  </si>
  <si>
    <t>Rerun on inconclusive. All 6 reps neg</t>
  </si>
  <si>
    <t>Rerun 832, 6 reps all Neg</t>
  </si>
  <si>
    <t>https://drive.google.com/open?id=10CsGom77GCqdh8_b2c0QvIsYR7cB1_LK</t>
  </si>
  <si>
    <t>https://drive.google.com/open?id=1uTrYb99tFwqDA5IA9xCG8om81dIpttJj</t>
  </si>
  <si>
    <t>no NC</t>
  </si>
  <si>
    <t>211209-1</t>
  </si>
  <si>
    <t>https://drive.google.com/open?id=1wB247csLXeKjTCgHHpHgYl3Cf1Ybz221</t>
  </si>
  <si>
    <t>https://drive.google.com/open?id=1NGBsgXoCuqn6dikIG1-n8fQ7wTexzm0l</t>
  </si>
  <si>
    <t>FLT1138, FLT1473</t>
  </si>
  <si>
    <t>211210-1</t>
  </si>
  <si>
    <t>https://drive.google.com/open?id=1WNFomYQ3sG8beioLQsEnXjhGQIMCAkoo</t>
  </si>
  <si>
    <t>https://drive.google.com/open?id=1BLegTOVcgNOComiuBSIx5FkT4hOWTeAa</t>
  </si>
  <si>
    <t>Ran triplicate sample FLT16</t>
  </si>
  <si>
    <t>Volume of inactivation solution is passing the filter. Ran 3x FLT16</t>
  </si>
  <si>
    <t>Conclude the FLT16 in triplicate was unlogged rerun, LUM on run form (3 tubes not in Appivo FLT130 FLT141 FLT1401)</t>
  </si>
  <si>
    <t>no results photo</t>
  </si>
  <si>
    <t>Brandon run 12-11</t>
  </si>
  <si>
    <t>https://drive.google.com/open?id=11xhauzoLD-Z5atCG5vfVdU4hCZlHxusT</t>
  </si>
  <si>
    <t>https://drive.google.com/open?id=11ivRmjM96mmeOOCi17pVfyo6-ZDHgm74</t>
  </si>
  <si>
    <t>https://drive.google.com/open?id=1i5KWJoZhmti6fZvVOqe3ipjoai14bC15</t>
  </si>
  <si>
    <t>Unclear if pos control and beg control fields are for what they are actually for</t>
  </si>
  <si>
    <t>211213-1</t>
  </si>
  <si>
    <t>https://drive.google.com/open?id=1Dgxea46VUWTXCfyPPP_Tc8y2ZYdDEIPV</t>
  </si>
  <si>
    <t>https://drive.google.com/open?id=1UYlMyE7NbvEa8zAFmJzh9DGGBI_fjDVL</t>
  </si>
  <si>
    <t>211214-1</t>
  </si>
  <si>
    <t>https://drive.google.com/open?id=1ZsRPYVmZDkO8LuQeEX03_JY3K4PBUi8p</t>
  </si>
  <si>
    <t>https://drive.google.com/open?id=1UrCFHzBzgJuIhw4rzqMC_XopOofQgsLZ</t>
  </si>
  <si>
    <t>211216-1</t>
  </si>
  <si>
    <t>https://drive.google.com/open?id=1M_bc52nFf5SPoQnvYTYdLF2RWK6R7sbN</t>
  </si>
  <si>
    <t>https://drive.google.com/open?id=1ZD69Pos2sOKlBJFUFSmdWvDjW0iYG1DT</t>
  </si>
  <si>
    <t>211218-1</t>
  </si>
  <si>
    <t>https://drive.google.com/open?id=1Dv2msgzhSXfroU6PFvlHHgWnzY3MKrHd</t>
  </si>
  <si>
    <t>https://drive.google.com/open?id=12fkTR1qWv7O9zc7zOpr-_b_qzGMgoek0</t>
  </si>
  <si>
    <t>FLSP pooled pos</t>
  </si>
  <si>
    <t>https://drive.google.com/open?id=1JJrIOweTANDlQkdWHAcehBK7vWew4niG</t>
  </si>
  <si>
    <t>https://drive.google.com/open?id=12ivBbTzvdw9JTaeDsxWkjHGVaxMYdQGu</t>
  </si>
  <si>
    <t>deconv pos</t>
  </si>
  <si>
    <t>resample, deconvolution</t>
  </si>
  <si>
    <t>211218-3</t>
  </si>
  <si>
    <t>https://drive.google.com/open?id=1eSiI_Whi76mPjtElMweLcef8b5Lx0cVL</t>
  </si>
  <si>
    <t>https://drive.google.com/open?id=1Rd6T4eb4pm7cm5Z-YiINvHMP5PwlPQpc</t>
  </si>
  <si>
    <t>211219-1</t>
  </si>
  <si>
    <t>https://drive.google.com/open?id=1kk57yy3rAnFHfN5mQ-28IuQt7kLP1vc2</t>
  </si>
  <si>
    <t>https://drive.google.com/open?id=14NKBerFMQdbKqh2dxSM0mJxp_IqYaM4A</t>
  </si>
  <si>
    <t>Tube IDs and locations written on run form</t>
  </si>
  <si>
    <t>211912-1</t>
  </si>
  <si>
    <t>https://drive.google.com/open?id=1ocPiY9PziYSs6w-WjktNVM5B1QT_9ijo</t>
  </si>
  <si>
    <t>https://drive.google.com/open?id=1wkl2pbB7_iOzZN43DaG1Jw7x-0lloQr3</t>
  </si>
  <si>
    <t>NC Skipped</t>
  </si>
  <si>
    <t>Technically invalid - NC skipped</t>
  </si>
  <si>
    <t>211220-1</t>
  </si>
  <si>
    <t>https://drive.google.com/open?id=1zvVPfTECgFpfT85yUHOLLWMTyI9zhHfS</t>
  </si>
  <si>
    <t>https://drive.google.com/open?id=1pScmV-qqcpZYUP1fsi3CjEqMzu1hYfQa</t>
  </si>
  <si>
    <t>3) 1467, 4) 1370, 56)1211</t>
  </si>
  <si>
    <t>211220-2</t>
  </si>
  <si>
    <t>https://drive.google.com/open?id=1cWP54xZMii-91ONQoQr2X-jkRRXtj0m4</t>
  </si>
  <si>
    <t>https://drive.google.com/open?id=1r6D8J6wa64aDNj_bnTzfGfI614U-5hV-</t>
  </si>
  <si>
    <t>rerun pic in LUM col</t>
  </si>
  <si>
    <t>3) 1346 -&gt; rerun in triplicate</t>
  </si>
  <si>
    <t>https://drive.google.com/open?id=1Rj-Lx9chfAchRf-4qb5Hwuu70tWLZAaW</t>
  </si>
  <si>
    <t>either ran duplicate instead of trip or skipped NC (assume skip NC)</t>
  </si>
  <si>
    <t>211221-1</t>
  </si>
  <si>
    <t>https://drive.google.com/open?id=1LExGmCu_N3SvXLJKus6BwzX8OvbkkA0w</t>
  </si>
  <si>
    <t>https://drive.google.com/open?id=1BrlRO-E5xcEYiHbrdsueNJZB7nCjI1g7</t>
  </si>
  <si>
    <t>211221-2</t>
  </si>
  <si>
    <t>https://drive.google.com/open?id=1MJfb-opC07nHjgXCWIqFD7RhwuTCWhG_</t>
  </si>
  <si>
    <t>https://drive.google.com/open?id=1y4nxP6Mq7CLmEsHhHF-0cxHw45NKO6CW</t>
  </si>
  <si>
    <t>211222-1</t>
  </si>
  <si>
    <t>https://drive.google.com/open?id=1KWV6IHbHhJFrXBGKBWQ6dxXUMU49IYSq</t>
  </si>
  <si>
    <t>https://drive.google.com/open?id=1Qf3gMdw071qai0V1LVh5yO6I3AJTjKio</t>
  </si>
  <si>
    <t>one extra rxn tube, pos - conclude it was me or PC so ignore</t>
  </si>
  <si>
    <t>extra yellow tube (was PC or known pos), all 5 other tubes are conf neg in Appivo (and by admin)</t>
  </si>
  <si>
    <t>K, extra noted</t>
  </si>
  <si>
    <t>211222-3</t>
  </si>
  <si>
    <t>https://drive.google.com/open?id=1RtRIdL9qt5rQWDDEiB_vspjGnYYqyQ7d</t>
  </si>
  <si>
    <t>https://drive.google.com/open?id=1d0Hz9T5tajVKd3vcxbCeSLySRSamPLGP</t>
  </si>
  <si>
    <t>one new sampling for RT (in duplicate) one new sampling for A (in duplicate)</t>
  </si>
  <si>
    <t>242 - initials saliva, 276 - initials swab, 474 - initials</t>
  </si>
  <si>
    <t>omitting saliva inconclusive from these cols and Tube Result Table (it's still in APS)</t>
  </si>
  <si>
    <t>242 - R saliva, 276 - R swab, 474 - A</t>
  </si>
  <si>
    <t>211223-1</t>
  </si>
  <si>
    <t>https://drive.google.com/open?id=16gNm6YYubJT_JZao7RS5ydei73yKaAGn</t>
  </si>
  <si>
    <t>https://drive.google.com/open?id=1hC6C684HalY9wYrcZrvkhDoVigcJ6lUZ</t>
  </si>
  <si>
    <t>GW 12/19</t>
  </si>
  <si>
    <t>211224-1</t>
  </si>
  <si>
    <t>https://drive.google.com/open?id=1ADfLHibRlJjjTxJyKCnk6NZ5hOaLU40d</t>
  </si>
  <si>
    <t>https://drive.google.com/open?id=1INAZb6mN5f3CrQJ8nL2JyUm4kMAyZzPC</t>
  </si>
  <si>
    <t>3)MA133 intials, 4) MAX448 initials, 56)MA1325 initials, 2nd run lastname last 2 RM_1219-1 no neg control</t>
  </si>
  <si>
    <t>2nd run referred to in Rform notes and that tube ID is in Appivo</t>
  </si>
  <si>
    <t>3)MA133 TIM (Theresa Izzy Max), 4) MAX448 A, 56)MA1325 RT, 2nd run Barrones last 2 RM_1219-1 no neg control</t>
  </si>
  <si>
    <t>https://drive.google.com/open?id=1ceECJx97_XImostawX_4xO1xxfJTA5SY</t>
  </si>
  <si>
    <t>https://drive.google.com/open?id=1loYTVMJDCabVI4tVodmjiFyjVNCK-MQ4</t>
  </si>
  <si>
    <t>3 samples, 6 non-ctrl rxns</t>
  </si>
  <si>
    <t>Merry Covid xmas!</t>
  </si>
  <si>
    <t>https://drive.google.com/open?id=139kMVxj1jZ9LFIHCrbeZFpV9RQPR5WGc</t>
  </si>
  <si>
    <t>https://drive.google.com/open?id=1XbnAQZmH8q7mQlymi1Qxkm1qvYarlgPl</t>
  </si>
  <si>
    <t>known pos</t>
  </si>
  <si>
    <t>gform says 4 but 1 is correct</t>
  </si>
  <si>
    <t>34) MAX371</t>
  </si>
  <si>
    <t xml:space="preserve">this run duplicate of known positive (RT) but additional 3 person pool of RT family collected and </t>
  </si>
  <si>
    <t>211227-1</t>
  </si>
  <si>
    <t>https://drive.google.com/open?id=1Ue5EjZelwHbK2Xn-n0I0RF5MFGCUbpaV</t>
  </si>
  <si>
    <t>https://drive.google.com/open?id=1R3wVe75x2IHl1pqFVp6lSxvmn5pmSi7O</t>
  </si>
  <si>
    <t>MA1207 - names (corrected to this based on Appivo)  /  MAX471 - name  /  MAX470 - name (arrow indicates the latter two were switched)</t>
  </si>
  <si>
    <t>MA1207 - T.I.M. (corrected to this based on Appivo)  /  MAX471 - Natasha  /  MAX470 - Brandon (arrow indicates the latter two were switched)</t>
  </si>
  <si>
    <t>SF house1</t>
  </si>
  <si>
    <t>https://drive.google.com/open?id=1yfyDjTI82AOudG8FZw8i8-GPZUnDC1f_</t>
  </si>
  <si>
    <t>https://drive.google.com/open?id=1Y4VOJazoFYoy6VfSPq65ZBrsbz49atEI</t>
  </si>
  <si>
    <t>2 samples 5pm day before, 1 throat and 1 nasal swab then 1 nasal swab this morning</t>
  </si>
  <si>
    <t>num tubes 2</t>
  </si>
  <si>
    <t>MAX383 Nasal 350 Throat   /    12-28 8am 388</t>
  </si>
  <si>
    <t>return testing for staff positive MAX383 Nasal and MAX350 throat</t>
  </si>
  <si>
    <t>Randy runs at Mike's house to return</t>
  </si>
  <si>
    <t>RT 12/15</t>
  </si>
  <si>
    <t>No Image, num tubes 1</t>
  </si>
  <si>
    <t>return testing for staff positive MAX388</t>
  </si>
  <si>
    <t>211229-1</t>
  </si>
  <si>
    <t>https://drive.google.com/open?id=15ZWZ5unnv1JxTIidiwAil71a4NwX4l2Q</t>
  </si>
  <si>
    <t>https://drive.google.com/open?id=1IS0Qk2M3v5QEk47KOLsUS72ekEb7hKY1</t>
  </si>
  <si>
    <t>3 MAX 262 - initials /  4 MAX 305 - initials  /  5 MA 1338 - initials  / 6 MA 1361 - initials</t>
  </si>
  <si>
    <t>3 MAX 262 - N  /  4 MAX 305 - B  /  5 MA 1338 - R  / 6 MA 1361 - T, I, M</t>
  </si>
  <si>
    <t>GW 12/15</t>
  </si>
  <si>
    <t>211230-1</t>
  </si>
  <si>
    <t>https://drive.google.com/open?id=1t3DEdOac8cpdjbqxOleqZublBF5CF6j0</t>
  </si>
  <si>
    <t>https://drive.google.com/open?id=10QBome4KZrJMgtEcBOS9nTQKzaKUfiKO</t>
  </si>
  <si>
    <t>MAX351 - initials / MAX415 - initials / MA1337 - initials / MA1479 - initials</t>
  </si>
  <si>
    <t>MAX351 - B / MAX415 - N / MA1337 - R / MA1479 - T, I, M</t>
  </si>
  <si>
    <t>https://drive.google.com/open?id=1jfenCa92wclXEr_X-qc1-Uz0YByS_gcA</t>
  </si>
  <si>
    <t>https://drive.google.com/open?id=1-hfFOIw8Sdi2SQHx_j9EYd47i22AWqkA</t>
  </si>
  <si>
    <t>https://drive.google.com/open?id=1rqHWyqFPGYxDjiKcJhM--qcHdmGY2p9U</t>
  </si>
  <si>
    <t>floflex, detect and lucira all neg. resample nasal and throat for rerun</t>
  </si>
  <si>
    <t>MAX288fix notify as pos ...</t>
  </si>
  <si>
    <t>Tube IDs</t>
  </si>
  <si>
    <t>One tube 420 missing in APS from LUM</t>
  </si>
  <si>
    <t>https://drive.google.com/open?id=1ZvyL20OlE9NXPEFWDctMpx9zVax0BY-2</t>
  </si>
  <si>
    <t>https://drive.google.com/open?id=1Ca-HvKh3p-1jJQvpoPkjdDIaVrcOMKuB</t>
  </si>
  <si>
    <t>nasal me, throat pos</t>
  </si>
  <si>
    <t>340 tube 3,4,5 nasal - 347 6,7,8, throat</t>
  </si>
  <si>
    <t>MBC</t>
  </si>
  <si>
    <t>https://drive.google.com/file/d/19dLgmEcwXCWwrfzINWlSyIE9w5qWqiD8/view?usp=share_link</t>
  </si>
  <si>
    <t>https://drive.google.com/file/d/1_EPC6rkvB5ucEDQIH8GH2GYYbIQ9SGCD/view?usp=share_link</t>
  </si>
  <si>
    <t>https://drive.google.com/file/d/1EROiZudKl_Ata4LBhjXE6ki0mCWg3HuO/view?usp=share_link</t>
  </si>
  <si>
    <t>Combo Initial and Rerun, Added run, all samples known positive with different sample types</t>
  </si>
  <si>
    <t>Added entry and photos, run from MBC, pos MA63 MA92 (new initial) MAX347 MAX288 (old from fridge), only put 2 new initial in TRT</t>
  </si>
  <si>
    <t>RT 12/18</t>
  </si>
  <si>
    <t>210102-1 and -POS</t>
  </si>
  <si>
    <t>https://drive.google.com/open?id=1zPi4d9UWD8E90UHHX3VppBXQug8MU8Zr</t>
  </si>
  <si>
    <t>https://drive.google.com/open?id=1nB0zSpkV01C-URTn43RDsbsiWlaRhCo0</t>
  </si>
  <si>
    <t>2 positives</t>
  </si>
  <si>
    <t>conclude that two rxns are blank</t>
  </si>
  <si>
    <t>FLT1525 not exist / was lowercase / *4&amp;7 pos</t>
  </si>
  <si>
    <t>220103-1</t>
  </si>
  <si>
    <t>https://drive.google.com/open?id=1d1yuhh95ozwwA2nYz1IpY9EyjZg1QWnL</t>
  </si>
  <si>
    <t>https://drive.google.com/open?id=16aRBAMAvsUz1w6aXCfpTcbKrX_KkVZw6</t>
  </si>
  <si>
    <t>confirm 2 indiv pos from last night pos pool</t>
  </si>
  <si>
    <t>2 back to back runs, 2 pos confirm from last night pool</t>
  </si>
  <si>
    <t>RT 12/16</t>
  </si>
  <si>
    <t>https://drive.google.com/open?id=1HAfacJtdjGMPTH0M5GqxoGY1qRUNKMFe</t>
  </si>
  <si>
    <t>https://drive.google.com/open?id=1n6CyB-o-AMHQOk7iZzTtwi9AW2HsRwvj</t>
  </si>
  <si>
    <t>220104-1</t>
  </si>
  <si>
    <t>https://drive.google.com/open?id=1OQJOo8FRjlJutki5jLsjUyxC1vwUMCQD</t>
  </si>
  <si>
    <t>https://drive.google.com/open?id=1pGhnd9A3c7bNwncDZSq9s2HB39DyRuZV</t>
  </si>
  <si>
    <t>FLE300</t>
  </si>
  <si>
    <t>1st strip color off, Dont use</t>
  </si>
  <si>
    <t>BS 12/16</t>
  </si>
  <si>
    <t>2201016-1</t>
  </si>
  <si>
    <t>https://drive.google.com/open?id=1rKOU4jMBndoaIvyxgn8fW1kZX0KfSu0M</t>
  </si>
  <si>
    <t>https://drive.google.com/open?id=16RPfZWD9i-3fyTt9DreiZlu9cyewLt0h</t>
  </si>
  <si>
    <t>4 known pos</t>
  </si>
  <si>
    <t>initial inconcl -&gt; edge neg</t>
  </si>
  <si>
    <t>Pos 8 11 13 19, Inconcl 15 rerun x4 w RM_1226-1</t>
  </si>
  <si>
    <t>conclude from reconcile 4 rxn are blank</t>
  </si>
  <si>
    <t>https://drive.google.com/open?id=1LKILjBn5uLoS09xNa6DEogfm-iEC5_yH</t>
  </si>
  <si>
    <t>inital inconcl corrected to N, oddball rerun with 4 reps all N, unknown tube id</t>
  </si>
  <si>
    <t>220108-1</t>
  </si>
  <si>
    <t>https://drive.google.com/open?id=17Egr0oidNx8Yhft1wGqY6mh-UUfEFZno</t>
  </si>
  <si>
    <t>https://drive.google.com/open?id=1QJ4Uc9DzSbFqhtQW7is4g2FqI45CYegf</t>
  </si>
  <si>
    <t>forgot TPC but one tube was positive</t>
  </si>
  <si>
    <t>No PC but keeping because had true Pos in run</t>
  </si>
  <si>
    <t>First strip 3)pos, 1.5ml at #1 on 3fer 1)firstname, 2) NC, 3) lastname</t>
  </si>
  <si>
    <t>technically invalid but kept because of positive</t>
  </si>
  <si>
    <t>First strip 3)pos, 1.5ml at #1 on 3fer 1)Monica, 2) NC, 3) Headley</t>
  </si>
  <si>
    <t>220110-1 and -1pos -1incl</t>
  </si>
  <si>
    <t>https://drive.google.com/open?id=1ZKORAPn78TaCiI2WQ71M8WHR6s8g6eWX</t>
  </si>
  <si>
    <t>https://drive.google.com/file/d/1pZk_2CZP3tw_xTZU1PZHhixaIfS9562N/view?usp=share_link</t>
  </si>
  <si>
    <t>1 final incl</t>
  </si>
  <si>
    <t>1 init inconc -&gt; neg, combined images, right portion of image has 2 controls because it's for another reaction mix</t>
  </si>
  <si>
    <t>Rerun Final Neg 345) FLT1165, Final Inconcl 678) FLT1472</t>
  </si>
  <si>
    <t>RT DEC25 make final session call Inconclusive based on Run Form Photo Note - OLD NOTE image shows 13 pos rxn and 1 inconcl, 12 pos are resulted in App plus one pos not in Appivo collected by staff, see 1-10-2022 Staff Notes</t>
  </si>
  <si>
    <t>K, 2nd set of controls</t>
  </si>
  <si>
    <t>https://drive.google.com/open?id=1I5Et0ldPVnXiYY3qvC1embrESnHHnPuK</t>
  </si>
  <si>
    <t>inconc -&gt; neg, changes session call from I -&gt; N</t>
  </si>
  <si>
    <t>https://drive.google.com/open?id=1ICk7TgankYlEnnxNL28CYeDDtGyuC2YM</t>
  </si>
  <si>
    <t>https://drive.google.com/open?id=1uAFnzmOvwy0zucwTl_9g1HNsyD-ZLBWV</t>
  </si>
  <si>
    <t>34) FLE244, 56) FLT1434, 78) FLT1510</t>
  </si>
  <si>
    <t>deconvolution of a pos pool, each of the indiv sample tubes were run in duplicate and one was pos</t>
  </si>
  <si>
    <t>https://drive.google.com/open?id=1iVefccY5VOzjmpIUlt9UiZF2Z7ubtaeH</t>
  </si>
  <si>
    <t>https://drive.google.com/open?id=1eSqivt4VJaSaAhc3hNgtElyvvN-w1z6S</t>
  </si>
  <si>
    <t>Gary resample</t>
  </si>
  <si>
    <t>1.1 &amp; 1.2 - assume two reps of initial sample, other reps resamples as described in note, 8 rxns total + 2 ctrls</t>
  </si>
  <si>
    <t>34) MA8  Nasal  /  56) MA51 Throat  /  78) MA532 Saliva ~80%  /  All Neg!</t>
  </si>
  <si>
    <t>GW 12/16</t>
  </si>
  <si>
    <t>220113-1</t>
  </si>
  <si>
    <t>https://drive.google.com/open?id=1sLl8gqlEbTZzgLb2Xb2jvk1nxRDSnOME</t>
  </si>
  <si>
    <t>https://drive.google.com/open?id=1vw58Q1_ddhSCktkBHDMINVVzjn9EUhYI</t>
  </si>
  <si>
    <t>FLT1466</t>
  </si>
  <si>
    <t>https://drive.google.com/open?id=1Opc6mZyLpZhXr8US7U7SJktbohLWmaUs</t>
  </si>
  <si>
    <t>Final inconclusive rubric!used 2/3 neg with edge pink = neg</t>
  </si>
  <si>
    <t>220111-1</t>
  </si>
  <si>
    <t>https://drive.google.com/open?id=1wnh2EpOsUb3xMzwtb29CISNJXxojDJUP</t>
  </si>
  <si>
    <t>https://drive.google.com/open?id=10gHSrI2EwI4Jyu_C5pv2G-Aewp8LVAoH</t>
  </si>
  <si>
    <t>Pos</t>
  </si>
  <si>
    <t>throat and nasal</t>
  </si>
  <si>
    <t>Pos firstname ran out</t>
  </si>
  <si>
    <t>RT Jan26 think this was duplicate reactions of the single tube OLD NOTE tube 3 had PC so not counting those tubes</t>
  </si>
  <si>
    <t>Pos Brandon ran out</t>
  </si>
  <si>
    <t>K, extra tubes with frozen controls</t>
  </si>
  <si>
    <t>220115-1</t>
  </si>
  <si>
    <t>https://drive.google.com/open?id=1IdK-yz5e0FTSb4PKPLvfO6557TPo-NjH</t>
  </si>
  <si>
    <t>https://drive.google.com/open?id=1twp3IqO0TNczIC8TCdapObSjFr_B69Ky</t>
  </si>
  <si>
    <t>3) MA30, 4) FLE283, 5) FLB5877, 6) FLB7408</t>
  </si>
  <si>
    <r>
      <rPr>
        <rFont val="Arial"/>
        <sz val="10.0"/>
      </rPr>
      <t xml:space="preserve">conclude 2 blank rxn from run form, also 2nd pic was unnecessary rerun, or extraneous (unknown tubes) </t>
    </r>
    <r>
      <rPr>
        <rFont val="Arial"/>
        <color rgb="FF1155CC"/>
        <sz val="10.0"/>
        <u/>
      </rPr>
      <t>https://drive.google.com/open?id=1s4gTNZUV0JpLNpg8EFcovAA5EBF5HDaV</t>
    </r>
  </si>
  <si>
    <t>220117-1</t>
  </si>
  <si>
    <t>https://drive.google.com/open?id=1qFACk2JbXnNnJA-4-VYPIDlf_rAZjSNh</t>
  </si>
  <si>
    <t>https://drive.google.com/open?id=1flWQBx9IRjAb2eMBUwQSOudqulFyaq7B</t>
  </si>
  <si>
    <t>one extra pink rxn</t>
  </si>
  <si>
    <t xml:space="preserve">3) 23, 4) 24, 5) 32, 6) 43, 7) 115 </t>
  </si>
  <si>
    <t>conclude 5 tubes from run form</t>
  </si>
  <si>
    <t>210117-2 -3 -3pos</t>
  </si>
  <si>
    <t>https://drive.google.com/open?id=1J7vJZuHna6dZkz5K905INRP2_ExzwktN</t>
  </si>
  <si>
    <t>https://drive.google.com/open?id=1Tk5wOE9pDVZMFVWyFvClXEQPNEjcXmOY</t>
  </si>
  <si>
    <t>initial strip mixup so reran all</t>
  </si>
  <si>
    <t>logged day after</t>
  </si>
  <si>
    <t>Not found FLT1394, Mixed up strips, Did 2nd run with new RM</t>
  </si>
  <si>
    <t>not sure what last 2 yellow tubes are, they weren't pos in previous mixed up run, conclude pipette error and ignore them</t>
  </si>
  <si>
    <t>https://drive.google.com/open?id=1yMaG7EyQIMOVRzu2Dbsl1jByQr6Pug9A</t>
  </si>
  <si>
    <t>https://drive.google.com/open?id=1NXZMtnxmjlFATLSHCHUUBNN7ZJPKufb1</t>
  </si>
  <si>
    <t>https://drive.google.com/open?id=19VPyyp-w3WzJJM1CY7Fn1yMEDDpGJDIl</t>
  </si>
  <si>
    <t>4 Pos</t>
  </si>
  <si>
    <t>conclude 2 blank rxn from run form and APS</t>
  </si>
  <si>
    <t>https://drive.google.com/open?id=14UxhRKzxHHOHabp3KSx2Vdmu7wx3Bbuz</t>
  </si>
  <si>
    <t>https://drive.google.com/open?id=15ODNAx7zBXz04bY3G_agz3H3KIhpo_oX</t>
  </si>
  <si>
    <t>220120-1</t>
  </si>
  <si>
    <t>https://drive.google.com/open?id=11sTdsNBtN8qCJiUHMBs-9X5FwJPsS7Ip</t>
  </si>
  <si>
    <t>https://drive.google.com/open?id=1clE9lzakw9kfRQ2ppO36ITaS18ODaLCf</t>
  </si>
  <si>
    <t>(INCS)FLE 838, FLE 924</t>
  </si>
  <si>
    <t>BS 12/15</t>
  </si>
  <si>
    <t>https://drive.google.com/open?id=1E-XeT3E2ZQ--Cf8Fz7TmGlb7cHaK3r1W</t>
  </si>
  <si>
    <t>220120-3</t>
  </si>
  <si>
    <t>https://drive.google.com/open?id=1YdJ17p26R0ft_Ieo_7ETLzxCaaAWPkld</t>
  </si>
  <si>
    <t>https://drive.google.com/open?id=1PbA4zpcUmq7BVfv9m5Ty5pV99fcWcDJL</t>
  </si>
  <si>
    <t>https://drive.google.com/open?id=1y3nPvI2EoKxFQoqrO-AzraX2kICIY_9Q</t>
  </si>
  <si>
    <t>220122-1</t>
  </si>
  <si>
    <t>https://drive.google.com/open?id=1cABXty24sF2hTsg-8IPXj9R3OZmLeJDO</t>
  </si>
  <si>
    <t>https://drive.google.com/open?id=1nq_LX-ksItKdELuEQJh1TmT-6TlewcOJ</t>
  </si>
  <si>
    <t>https://drive.google.com/open?id=1axmRoczSYzytLdA-r6GrKBVv7ASZROLw</t>
  </si>
  <si>
    <t>3 Tube IDs in LUM</t>
  </si>
  <si>
    <t>220124-1</t>
  </si>
  <si>
    <t>https://drive.google.com/open?id=1LygQKSIXH13VB6KC2rn4DfjiHtkOUB57</t>
  </si>
  <si>
    <t>https://drive.google.com/open?id=1j_iDCczi8dax0tIoTZgBjxVkGqAIHkCV</t>
  </si>
  <si>
    <t>2 false pos and 2-4 inconclusives, rerun all neg</t>
  </si>
  <si>
    <t>2 false positives (borderline), 2 Inconclusives (RERUN ALL NEG), Problem with app when scanning</t>
  </si>
  <si>
    <r>
      <rPr>
        <rFont val="Arial"/>
        <sz val="10.0"/>
      </rPr>
      <t xml:space="preserve">orig image </t>
    </r>
    <r>
      <rPr>
        <rFont val="Arial"/>
        <color rgb="FF1155CC"/>
        <sz val="10.0"/>
        <u/>
      </rPr>
      <t>https://drive.google.com/open?id=1rIB_qG3LcTIfWNUU_KTIGHokVWuU2_Ya</t>
    </r>
  </si>
  <si>
    <t>https://drive.google.com/open?id=1tXamOhCt8o3BMobuq26RlcE1Q0f2C7Hw</t>
  </si>
  <si>
    <t>https://drive.google.com/open?id=1fyj3G_38ceNy4Kk6olPYykU28BlUkSsL</t>
  </si>
  <si>
    <t>6 tubes were rerun in triplicate (2 edge negs), controls in each strip</t>
  </si>
  <si>
    <t>K, 3 sets of controls</t>
  </si>
  <si>
    <t>220125-1</t>
  </si>
  <si>
    <t>https://drive.google.com/open?id=1YtNUOOITBoCLp5ZrvThKraE47QdXipY_</t>
  </si>
  <si>
    <t>https://drive.google.com/open?id=1EHZZQDr5MYzi4BFdozUhizr6iXqz4IJT</t>
  </si>
  <si>
    <t>conclude blank rxn at end because gform and paper say 6 rxns including ctrls</t>
  </si>
  <si>
    <t>XX 12/15</t>
  </si>
  <si>
    <t>https://drive.google.com/open?id=1SZ49v6uOfbfws7XaQ03sOoAXQS_WiKPa</t>
  </si>
  <si>
    <t>https://drive.google.com/open?id=1AMhFD4mb4wHuO59qMhOQAftFBAeB8tr-</t>
  </si>
  <si>
    <t>1.2 &amp; 1.5</t>
  </si>
  <si>
    <t>3) FLT111 4) Carillon Prog Late</t>
  </si>
  <si>
    <t>conclude other tube is FLB5750 from APS</t>
  </si>
  <si>
    <t>220131-NaN</t>
  </si>
  <si>
    <t>https://drive.google.com/open?id=1IQ85mW_vfrH70CI8vNfB_axbRS0VyJPV</t>
  </si>
  <si>
    <t>https://drive.google.com/open?id=1duNTVK_GmiDrvVXRwU1pImDYpygyz5F7</t>
  </si>
  <si>
    <t>two inc &gt; neg</t>
  </si>
  <si>
    <t>FLE905, FLT1437, FLB5772</t>
  </si>
  <si>
    <t>https://drive.google.com/open?id=1i7V9dhg6m8snKBBF047Q61T6Pk9jEn_N</t>
  </si>
  <si>
    <t>220202-1</t>
  </si>
  <si>
    <t>https://drive.google.com/open?id=1hoIblDTK0kEdrGOqH_KAfog8TrQoYyWo</t>
  </si>
  <si>
    <t>https://drive.google.com/open?id=1KE7oMRWrp9fuNpZ2IXLW6nF8W0g70jBa</t>
  </si>
  <si>
    <t>1.1 &amp; 1.5 - six pink tubes not including controls</t>
  </si>
  <si>
    <t>220203-1</t>
  </si>
  <si>
    <t>https://drive.google.com/open?id=1F10fh_prlHIIse3YRca-VVss_VY3zvBe</t>
  </si>
  <si>
    <t>https://drive.google.com/open?id=192dKOSMvCVxaUPOSTkDmuHU3eossokPA</t>
  </si>
  <si>
    <t>1.1 &amp; 1.5</t>
  </si>
  <si>
    <t>water bath turned off</t>
  </si>
  <si>
    <t>29 tubes from 2 less than 31 on paper run form</t>
  </si>
  <si>
    <t>220207-1</t>
  </si>
  <si>
    <t>https://drive.google.com/open?id=1gkY_IEjhbyI7e9_Jn357KQ5LCLulwIn6</t>
  </si>
  <si>
    <t>https://drive.google.com/open?id=1U_rPWSg4Vfg8wmOhVk4YnrqEzr1D6mjp</t>
  </si>
  <si>
    <t>one inc &gt; neg</t>
  </si>
  <si>
    <t>FLB5984</t>
  </si>
  <si>
    <t>unclear whether 27, 28 (APS collect), or 29 tubes run</t>
  </si>
  <si>
    <t>https://drive.google.com/open?id=1gQ3C07L9OIb0XOejy2UmFIy9TKxtGEFG</t>
  </si>
  <si>
    <t>220210-1</t>
  </si>
  <si>
    <t>https://drive.google.com/open?id=1ZpNm9Icac8jE9XtYZMrFDelAORBVTjac</t>
  </si>
  <si>
    <t>https://drive.google.com/open?id=1ffCYfwz7GaKVsUZY3BcEcSRTX_v7rELW</t>
  </si>
  <si>
    <t>FLB5870</t>
  </si>
  <si>
    <t>conclude 1 blank rxn</t>
  </si>
  <si>
    <t>https://drive.google.com/open?id=1E0P0bd7xO8dhmqTvEncJ7DFi7iaYLKxD</t>
  </si>
  <si>
    <t>https://drive.google.com/open?id=11wNt1KbfNVbiTAcoB9r1DpYSwcg54Ygb</t>
  </si>
  <si>
    <t>https://drive.google.com/open?id=1n3Yo_vlqi_f8-dhLDZorsqVz-BMTBtHz</t>
  </si>
  <si>
    <t>conclude ran 3 samples in triplicate, only 3 tubes in APS</t>
  </si>
  <si>
    <t>220214-1</t>
  </si>
  <si>
    <t>https://drive.google.com/open?id=1-Bu1FzuFGhji5hrA5dD67UhKpTu_7W3e</t>
  </si>
  <si>
    <t>https://drive.google.com/open?id=1M0mOiWMkx3FDnE4g0B8NfJwrIPXPoCA7</t>
  </si>
  <si>
    <t>1 final inconclusive FLB5792</t>
  </si>
  <si>
    <t>one of 2 inc &gt; neg</t>
  </si>
  <si>
    <t>FLB5792 FLB5782</t>
  </si>
  <si>
    <t>unsure about run, conclude no rerun, assume strip 5 yellow is pos control since no pos were reported, conclude initial inconclusive was wrong and only 1 initial inconclusive which was resulted as inconclusive, go with GFrom Num Samples = 29 since run so strange</t>
  </si>
  <si>
    <t>K, strange run</t>
  </si>
  <si>
    <t>220217-1</t>
  </si>
  <si>
    <t>https://drive.google.com/open?id=17X2AxSLerlBdXweQof_4_r35Vfr9Qc5Z</t>
  </si>
  <si>
    <t>https://drive.google.com/open?id=1IwM5wodNcu05jq4e8gcMggtK4cNU-9qL</t>
  </si>
  <si>
    <t>1.2 &amp; 1.5 - three extra pink rxns</t>
  </si>
  <si>
    <t>trust 27 samples entered in gform, 26 in APS, 1 extra in RFR</t>
  </si>
  <si>
    <t>220227-1</t>
  </si>
  <si>
    <t>https://drive.google.com/open?id=1UkORKstMKGrtlf8pNEMF09-jDoyPr5Ni</t>
  </si>
  <si>
    <t>https://drive.google.com/open?id=18zyBtZ-dtSU4OZU50AbgjXXphB4AUvL5</t>
  </si>
  <si>
    <t>4 tube IDs listed</t>
  </si>
  <si>
    <t>audit call one of the initial inconcl edge neg, trust 23 rxn incl controls so 21 tubes</t>
  </si>
  <si>
    <t>https://drive.google.com/open?id=11Do3SxbJGNtgzOsYxE5KpZBRWsC_xN6o</t>
  </si>
  <si>
    <t>https://drive.google.com/open?id=1dBBXaCVypzDCVdYNsJqKXneFQ0B9nzKw</t>
  </si>
  <si>
    <t>one replicate of one set has inconclusive</t>
  </si>
  <si>
    <t>220303-1</t>
  </si>
  <si>
    <t>https://drive.google.com/open?id=1cs2Jrudf425c7V1XiweVJLBx0MYaq88-</t>
  </si>
  <si>
    <t xml:space="preserve">https://drive.google.com/open?id=1-9TLPWxgyGTyeNMXgl_TaKSh-56W64OJ </t>
  </si>
  <si>
    <t>https://drive.google.com/open?id=1PP-NRbfsGy0LWCX29CIgwS0Fgg3yHUFA</t>
  </si>
  <si>
    <t>220307-1</t>
  </si>
  <si>
    <t>https://drive.google.com/open?id=1KUrIQ7FO_5tUP7Tnk6si406oARQ06WTX</t>
  </si>
  <si>
    <t>https://drive.google.com/open?id=1Uxq01wfOxWplFeRgDR7LxJlU-JJ0mprv</t>
  </si>
  <si>
    <t>FLB5437  FLB5747</t>
  </si>
  <si>
    <t>https://drive.google.com/open?id=1uZC6MmODgWKNe1B9LMwAEnHmVYPbhGqR</t>
  </si>
  <si>
    <t>220310-1</t>
  </si>
  <si>
    <t>https://drive.google.com/open?id=1zdOwPZt_kJvSzXS9UH8mSGiK6Ko2xMiW</t>
  </si>
  <si>
    <t>https://drive.google.com/open?id=13iu9vchRMTz37uuZZQVilYXMZzKXQjcb</t>
  </si>
  <si>
    <t>220312-1</t>
  </si>
  <si>
    <t>https://drive.google.com/open?id=1NA_GFjpFqjLqu-oHlVmZvpGNT13tnsWw</t>
  </si>
  <si>
    <t>NA</t>
  </si>
  <si>
    <t>3 of 5 not intaked</t>
  </si>
  <si>
    <t>no results photo so use paper and gform 5 samples - conclude all neg because no mention of inconclusives or positives</t>
  </si>
  <si>
    <t>220314-1</t>
  </si>
  <si>
    <t>https://drive.google.com/open?id=14-Q4p5JzG2mKOi5jbpoozTNuaD3lIe01</t>
  </si>
  <si>
    <t>https://drive.google.com/open?id=1-l6Bv2ODiKe55Lh4mv2YrSj5UVl3XGT1</t>
  </si>
  <si>
    <t>FLB6778</t>
  </si>
  <si>
    <t>https://drive.google.com/open?id=1QA-veJHUF-yKttqxdKXvym8ZOPRUvlIp</t>
  </si>
  <si>
    <t>220317-1</t>
  </si>
  <si>
    <t>https://drive.google.com/open?id=1k-8_BqywUTDwB9bWpxhujnLHaefZBc6W</t>
  </si>
  <si>
    <t>https://drive.google.com/open?id=1EpFPod3QDR63HOyKnHkrEOBoQBouGPkL</t>
  </si>
  <si>
    <t>https://drive.google.com/open?id=1jgbmXg-Xp7R5_IJcamu3VP_jvw-bXIPx</t>
  </si>
  <si>
    <t>https://drive.google.com/open?id=1abVLdEyvDHH5UpxkcDSvwIoOinEG686k</t>
  </si>
  <si>
    <t>2/3 reps neg so result final neg</t>
  </si>
  <si>
    <t>initially run in triplicate, 1/3 Inconcl</t>
  </si>
  <si>
    <t>Portola</t>
  </si>
  <si>
    <t>220402-1</t>
  </si>
  <si>
    <t>https://drive.google.com/open?id=1fNJNQAQD5nOq9kMj0EXv7q-7orPRwGZo</t>
  </si>
  <si>
    <t>https://drive.google.com/open?id=16Rz1GwoHIwqOm5EFpuFzzgYmwwcDLAhZ</t>
  </si>
  <si>
    <t>MA987 in limbo - reported bug in Jira</t>
  </si>
  <si>
    <t>220404-1</t>
  </si>
  <si>
    <t>https://drive.google.com/open?id=1TG7pIGgRpr9h3rcvSOl4SvqgUwa2jQZb</t>
  </si>
  <si>
    <t>https://drive.google.com/open?id=1mjx4pfEGFG_U56NcVoqbAsQireuzmeWE</t>
  </si>
  <si>
    <t>4 extra blank rxns</t>
  </si>
  <si>
    <t>FLB7413  FLB7162</t>
  </si>
  <si>
    <t>https://drive.google.com/open?id=1ebGS2eRqvxeYjeH-NCyftvXlWR5o0_QR</t>
  </si>
  <si>
    <t>220407-1</t>
  </si>
  <si>
    <t>https://drive.google.com/open?id=142VB34g7CLw66hCtvcjbKJTJlMBXUuPz</t>
  </si>
  <si>
    <t>https://drive.google.com/open?id=1s5Dwx3n3d63I7LH0grRNseC4dy21wg9N</t>
  </si>
  <si>
    <t>1.2 &amp; 1.5 - one extra pink rxn</t>
  </si>
  <si>
    <t>conclude 1 blank rxn, trust 21 samples from gform</t>
  </si>
  <si>
    <t>https://drive.google.com/open?id=1VlnhB6xjcdSUUbUNVlDoy102JViZBNSG</t>
  </si>
  <si>
    <t>220411-1</t>
  </si>
  <si>
    <t>https://drive.google.com/open?id=1nrkeiid9YYRtisGMMGnjO4VwvPpb_TpH</t>
  </si>
  <si>
    <t>https://drive.google.com/open?id=1WdzM5_410fyE_fqvEPDkAzk_1tuvDe4B</t>
  </si>
  <si>
    <t>https://drive.google.com/open?id=1I2CjtIbszf-KTk3T2SzhvqZGH-bh8F6B</t>
  </si>
  <si>
    <t>220414-1</t>
  </si>
  <si>
    <t>https://drive.google.com/open?id=184WgQ3WpLTa1BvzaukrTHkvwDdv78o0y</t>
  </si>
  <si>
    <t>https://drive.google.com/open?id=1qqUvky77rse1vvujZlyW3a9ryh3t7Bs7</t>
  </si>
  <si>
    <t>2 orig inital Inconcl, 1 corrected to N</t>
  </si>
  <si>
    <t>FLB 7373, FLB 6746</t>
  </si>
  <si>
    <t>conclude 2 blank rxn, trust gform and paper form which match</t>
  </si>
  <si>
    <t>https://drive.google.com/open?id=1_h-yxaQ1_xtg14kDX5tvRIoVyDSqGvGo\</t>
  </si>
  <si>
    <t>220418-1</t>
  </si>
  <si>
    <t>https://drive.google.com/open?id=1gqF4F101t96f7X13Y0j3zVM5Vrs78U95</t>
  </si>
  <si>
    <t>https://drive.google.com/file/d/1rFtsNf8ASsrWih9QTqvBd9_PZkhgfVpM/view</t>
  </si>
  <si>
    <t>FLB7283,AH7588</t>
  </si>
  <si>
    <t>https://drive.google.com/file/d/1mC33pRx2mWiiBznJkZYmdA4J_h8gwb12/view</t>
  </si>
  <si>
    <t>Assuming rerun is duplicate of 2 initial incs</t>
  </si>
  <si>
    <t>220419-1</t>
  </si>
  <si>
    <t>https://drive.google.com/open?id=1baTGXzuohpe5MItrPKhqpQgENNcq0FUa</t>
  </si>
  <si>
    <t>https://drive.google.com/open?id=1JF5yurfN0VGpy0m1-IjWTu4VTrIFCtVf</t>
  </si>
  <si>
    <t>trust 5 sample tubes from gform, 1 blank rxn</t>
  </si>
  <si>
    <t>220421-1</t>
  </si>
  <si>
    <t>https://drive.google.com/open?id=1faA-bxPMTtRAWg_cnVwhOUtA6u0H-pPY</t>
  </si>
  <si>
    <t>https://drive.google.com/open?id=1GtRozACamCDo7I71U_vXfzgOVpshmQsd</t>
  </si>
  <si>
    <t>220421-2</t>
  </si>
  <si>
    <t>https://drive.google.com/open?id=1SYUSwQUdJkYA9YeMQyW3XzTp1ZYTTzzD</t>
  </si>
  <si>
    <t>https://drive.google.com/open?id=1MOocJX4esMFyMbUZPrVKgUpFfpz3b2HX</t>
  </si>
  <si>
    <t>Reran, zeptos didn’t amp properly on the first go.</t>
  </si>
  <si>
    <t>reran zeptos didnt amp on first go</t>
  </si>
  <si>
    <t>Z50 Zepto PC didn't amp on first try</t>
  </si>
  <si>
    <t>RT 12/20</t>
  </si>
  <si>
    <t>220425-1</t>
  </si>
  <si>
    <t>https://drive.google.com/open?id=1lTNpku3BF49iC0gJcS7GbX9aE9EvBMAd</t>
  </si>
  <si>
    <t>https://drive.google.com/open?id=1OZZPf8w2FeDpROusBxAQNUvYtgzBZa-f</t>
  </si>
  <si>
    <t>220428-1</t>
  </si>
  <si>
    <t>https://drive.google.com/open?id=156bbbC9ggIsmuYfOFj-wRfjLrMORa2Xs</t>
  </si>
  <si>
    <t>https://drive.google.com/file/d/1M3DTwp0dETJ0kUJCY7bkuOP0jyJ020pz/view</t>
  </si>
  <si>
    <t>FLE898, FLB7147, AH151</t>
  </si>
  <si>
    <t>Blanks suspected at the end</t>
  </si>
  <si>
    <t>https://drive.google.com/file/d/12J5THudnGEjxPyTu4ely0fKFCthAcnZs/view</t>
  </si>
  <si>
    <t>Assuming 3 duplicate re runs</t>
  </si>
  <si>
    <t>220502-1</t>
  </si>
  <si>
    <t>https://drive.google.com/open?id=109j9ZeA0uHZjRBhZQO016MQTtKv3M0X_</t>
  </si>
  <si>
    <t>https://drive.google.com/open?id=1lx4yEkQGipu7FPanqwKaSPwP6hAqJjwx</t>
  </si>
  <si>
    <t xml:space="preserve">2 educational negative </t>
  </si>
  <si>
    <t>AG 721 positive sample</t>
  </si>
  <si>
    <t>2.1, 2 edge neg (corrected I-&gt;N), and 1 initial false P (rerun NNN)</t>
  </si>
  <si>
    <t>AG721 +, AH7557 +, AJ7583, FLB 4922</t>
  </si>
  <si>
    <t>audit corrected 2 edge neg orig called inconcl, 2 Pos, 1 was false pos (rerun trips N)</t>
  </si>
  <si>
    <t>https://drive.google.com/open?id=1---haraadHv-vg01QmKMWxuU8cTPWqph</t>
  </si>
  <si>
    <t xml:space="preserve">found results image from rerun in slack, has 2 edge neg and 2 initial pos </t>
  </si>
  <si>
    <t>https://drive.google.com/open?id=1WHuC3MkmIazQ1_65SEbwwF8XxuA9rY3N</t>
  </si>
  <si>
    <t>https://drive.google.com/open?id=1jX6zFzWt37SlYcUh8mMCoMm3jujmm4g5</t>
  </si>
  <si>
    <t>after pos pool</t>
  </si>
  <si>
    <t>names, tube IDs and strip loc</t>
  </si>
  <si>
    <t>deconvolution pos, run in duplicate, all 3 tubes not in Appivo so add to Tube Result Table</t>
  </si>
  <si>
    <t>https://drive.google.com/open?id=17jMscKb6urdkW5I3i6rxNFwqoFu-2DD7</t>
  </si>
  <si>
    <t>fresh same 1X PGS CLAMP Z50 as last, KE samples</t>
  </si>
  <si>
    <t>4th person in pool run later, no Run Form, tube ID not in Appivo so add row to Tube Results table</t>
  </si>
  <si>
    <t>220505-1</t>
  </si>
  <si>
    <t>https://drive.google.com/open?id=1mkuZijUbKBnvtlBs_Ia8uEOlpjrLvZqx</t>
  </si>
  <si>
    <t>https://drive.google.com/open?id=1pGmJmvfw-znl0eh8FPw5eVQ_TFhUxjLg</t>
  </si>
  <si>
    <t>FLB4934</t>
  </si>
  <si>
    <t xml:space="preserve">No batch </t>
  </si>
  <si>
    <t>https://drive.google.com/open?id=1wYxLW0uR-9WZQH2OTBMZgU7EN1o0Pxlf</t>
  </si>
  <si>
    <t>https://drive.google.com/open?id=17jEQCNPogD0W0iWRKk78YHx6_1kBvY6h</t>
  </si>
  <si>
    <t>Rerun for FLB4934</t>
  </si>
  <si>
    <t>looks like extra blank tube</t>
  </si>
  <si>
    <t>K, extra blank tube</t>
  </si>
  <si>
    <t>220509-2</t>
  </si>
  <si>
    <t>https://drive.google.com/open?id=1L3WU1i-zFv_vncF5Sau8nl6iwL1fywgL</t>
  </si>
  <si>
    <t>https://drive.google.com/open?id=1MpQb6vTEH5LFk1LmRdlntojxnvkde-17</t>
  </si>
  <si>
    <t>https://drive.google.com/open?id=1LqozPNHRBLUhOfLPuqztKkXE3J84i9w3</t>
  </si>
  <si>
    <t xml:space="preserve">3 positives 6 Inconclusives </t>
  </si>
  <si>
    <t>all but the last initial inc is corrected</t>
  </si>
  <si>
    <t>Results Included</t>
  </si>
  <si>
    <t>RT DEC25 - RFR session audit positives for this run is zero, but I don't think it should be because there were three initial positives and there were multiple initial runs and multiple reruns, so I think the audit may be incorrect. But I'm going to leave it at zero for now and leave the APS tubes positive.</t>
  </si>
  <si>
    <t>https://drive.google.com/open?id=1Ukl2n65rqJXq-8P6QtBIMtUaJx-tYxvR</t>
  </si>
  <si>
    <t>https://drive.google.com/open?id=1Agbv-1aDVZPe8YnOUwjgF3pOuY5vOizM</t>
  </si>
  <si>
    <t>https://drive.google.com/open?id=1jC_c75HVyZPHuw21bDPC4GGCdKlP7tuV</t>
  </si>
  <si>
    <t>FLE821,AJ8958 both pos , AJ6912 Inconclusive</t>
  </si>
  <si>
    <t>rerun of P, AJ6912 Session Call Inconcl = P then NPN</t>
  </si>
  <si>
    <t>220509-3</t>
  </si>
  <si>
    <t>https://drive.google.com/open?id=14_Gp1Q3XTAWISYdmK_wlZ06vu71B8V08</t>
  </si>
  <si>
    <t>https://drive.google.com/open?id=16xakLyhPR21y_O-ec9VXi21p_jbAKV3g</t>
  </si>
  <si>
    <t>rerun of I, likely the I rxn was from a tube corrected I -&gt; N so record this way</t>
  </si>
  <si>
    <t>220509-5</t>
  </si>
  <si>
    <t>https://drive.google.com/open?id=1zH3hX-gLrn5eXF_YQsBTybaJo1L31H12</t>
  </si>
  <si>
    <t>https://drive.google.com/open?id=1SOp8csGd-8MS5H4riCo5gKIs67VuvEaF</t>
  </si>
  <si>
    <t>https://drive.google.com/open?id=13NV5ERhn2r-6jY9CzH8MfWRlnUsa0k9f</t>
  </si>
  <si>
    <t>2 Pos</t>
  </si>
  <si>
    <t>initially run in duplicate, both P, no rerun</t>
  </si>
  <si>
    <t>220511-1</t>
  </si>
  <si>
    <t>https://drive.google.com/open?id=13ksDqv8_PYjMctXlgubrsa5BJnKvoogP</t>
  </si>
  <si>
    <t>https://drive.google.com/open?id=1kBwx8sFH4jgToOmw-1uO-GrH3msyv7Dd</t>
  </si>
  <si>
    <t>AJ6664, AJ7967</t>
  </si>
  <si>
    <t>220511-2</t>
  </si>
  <si>
    <t>https://drive.google.com/open?id=1PBWuIiGBALDCcC1RmCdiujKs-v_1exa5</t>
  </si>
  <si>
    <t>https://drive.google.com/open?id=1AhPokg0Mvu1FaOZ-Eeb4BXlWUJQfy2HC</t>
  </si>
  <si>
    <t>https://drive.google.com/open?id=1pkJLDFEvU4pkxO3OC3UkzjRlwckflg-S</t>
  </si>
  <si>
    <t>https://drive.google.com/open?id=1DPzCpf2VTUJnTp7W4Ok8R5TV45pZ9uVb</t>
  </si>
  <si>
    <t>220512-1</t>
  </si>
  <si>
    <t>https://drive.google.com/open?id=1OIbldar-BE589ME-UHFJcMdTl3F54F3c</t>
  </si>
  <si>
    <t>https://drive.google.com/open?id=1xBicTgn9HRwaHDn__x2k9Pb2M7D7WVHU</t>
  </si>
  <si>
    <t>AJ8585</t>
  </si>
  <si>
    <t>https://drive.google.com/open?id=1VRq8JVg5LJ2DX7rko4Q7D7yulQaPFMSB</t>
  </si>
  <si>
    <t>https://drive.google.com/open?id=1m8Z9IDCmdwMjGy8MnfPmjKJWd01OO_jc</t>
  </si>
  <si>
    <t>Rerun for AJ8585 in trip</t>
  </si>
  <si>
    <t>https://drive.google.com/open?id=17fPLqqBhJ9ysKrDg90d58DLkFL33rgT5</t>
  </si>
  <si>
    <t>https://drive.google.com/open?id=1Ox2AQl3l8YhP3Ra7YoWYRyDfuswpCWiE</t>
  </si>
  <si>
    <t>assume 3 tubes run in duplicate, no info in run form and no tubes collected in app</t>
  </si>
  <si>
    <t>220515-1</t>
  </si>
  <si>
    <t>https://drive.google.com/open?id=1HeqGANfWYqmj0JgFkcJ2aFLcFJI_5wJd</t>
  </si>
  <si>
    <t>https://drive.google.com/open?id=1yUZjLTyJzpy5KBTvy5UJo0e4mexpEz36</t>
  </si>
  <si>
    <t>inconcl -&gt; edge negative</t>
  </si>
  <si>
    <t>IN THE BACK</t>
  </si>
  <si>
    <r>
      <rPr>
        <rFont val="Arial"/>
        <sz val="10.0"/>
      </rPr>
      <t xml:space="preserve">deleted LUM link because it's for rerun and redundant to link in LUM rerun </t>
    </r>
    <r>
      <rPr>
        <rFont val="Arial"/>
        <color rgb="FF1155CC"/>
        <sz val="10.0"/>
        <u/>
      </rPr>
      <t>https://drive.google.com/open?id=1efJuAe47QIlgOxsLCEiLZuH2Jd6qsdJD</t>
    </r>
  </si>
  <si>
    <t>https://drive.google.com/open?id=1qyWw-5Hu0QTsU8jICLLLqgO75zCl37OB</t>
  </si>
  <si>
    <t>https://drive.google.com/open?id=10MnDPLOOarpaAbwirejq9cDrEqi5Q9ih</t>
  </si>
  <si>
    <t>https://drive.google.com/open?id=1yC1Pu41p2-9dB6gHlPuUdqSKpj1qXXDL</t>
  </si>
  <si>
    <t>not traceable to initial run, AH7345 not in APS</t>
  </si>
  <si>
    <t>https://drive.google.com/open?id=1UVwS7zB94Dk5ezHN5PtMIlgadYpBJYAT</t>
  </si>
  <si>
    <t>https://drive.google.com/open?id=1Vyh3okz6cpoEd7Ht0V5t-GOdZu2weN2e</t>
  </si>
  <si>
    <t>firstname test</t>
  </si>
  <si>
    <t>conclude run is 1 tube in triplicate</t>
  </si>
  <si>
    <t>Natasha test</t>
  </si>
  <si>
    <t>220517-1</t>
  </si>
  <si>
    <t>https://drive.google.com/open?id=1jvOJVuOkmd1mixRZ1fQ0gIx8wYnzyTrK</t>
  </si>
  <si>
    <t>https://drive.google.com/open?id=14lnrlWHRagGMHV8wgbsh3PpInlZyi5fI</t>
  </si>
  <si>
    <t xml:space="preserve">Mike and Kyle </t>
  </si>
  <si>
    <t>https://drive.google.com/open?id=1WEWCcSGtFgxrbJE1A8kmm-al7H5U8TAG</t>
  </si>
  <si>
    <t>https://drive.google.com/open?id=1OSjoVFMz-EHSyn5mjj1PHqQIp16KwiFQ</t>
  </si>
  <si>
    <t>FLB6751</t>
  </si>
  <si>
    <t>conclude single tube run with 6 reps and one false pos rxn</t>
  </si>
  <si>
    <t>https://drive.google.com/open?id=1FGHNhwTl4bhwDli_cWpi70zevBc0LMkg</t>
  </si>
  <si>
    <t>https://drive.google.com/open?id=1ACnMB_2dXqCGyFcJ4CJkHpU0USbjn9zJ</t>
  </si>
  <si>
    <t>220519-1</t>
  </si>
  <si>
    <t>https://drive.google.com/open?id=1_Dasaa-c3KAeagYwmB9UvZmX7d-Z99IS</t>
  </si>
  <si>
    <t>https://drive.google.com/open?id=1hPJVLSnb-abu950tP2qRKvskSPpWir0O</t>
  </si>
  <si>
    <t>https://drive.google.com/open?id=1Jjs-GZlh3R3t0T9b65s4dpGhaBh-265p</t>
  </si>
  <si>
    <t>3 inc, one pos</t>
  </si>
  <si>
    <t xml:space="preserve">Ran by Natasha, resulted and reran by Brandon </t>
  </si>
  <si>
    <t>https://drive.google.com/open?id=1qQu88KN1Gym6RyLBw6ANAi9i8TbORpgd</t>
  </si>
  <si>
    <t>https://drive.google.com/open?id=14S7c6Y4BCZtFVXrBWO0j4ZPoFXZ7FmMw</t>
  </si>
  <si>
    <t>https://drive.google.com/open?id=1iTIyh7gTsra8tDgXNk7cyEhjxxcHc9Fy</t>
  </si>
  <si>
    <t>220523-1</t>
  </si>
  <si>
    <t>https://drive.google.com/open?id=1HKZsQg04VaSJ63jU-ujaqL63eIczhxjS</t>
  </si>
  <si>
    <t>https://drive.google.com/open?id=1upwhkua7K6vQrTdLGTxqIOF9WScafaYb</t>
  </si>
  <si>
    <t>https://drive.google.com/open?id=1AxSCXPRchqtn5b7rbm_thw3pKrmgtZ0v</t>
  </si>
  <si>
    <t>AH408 1st Positive</t>
  </si>
  <si>
    <t>https://drive.google.com/open?id=13H6p91mB1klGcvtjKvRDCGzoRcJTNedM</t>
  </si>
  <si>
    <t>https://drive.google.com/open?id=1whLXGzHRRzKe1mMVhqYXYm_lQKrTJ8PT</t>
  </si>
  <si>
    <t>https://drive.google.com/open?id=1nusxiZpul7UDCcSgotgnLGbhF89YRWCL</t>
  </si>
  <si>
    <t>AH408 confirmed pos</t>
  </si>
  <si>
    <t>Last 2 rxns are blanks</t>
  </si>
  <si>
    <t>K, Last 2 rxns are blanks</t>
  </si>
  <si>
    <t>220506-1</t>
  </si>
  <si>
    <t>https://drive.google.com/open?id=1AK4GbPRucWhlAmL3Wn3dsXolkyOICImE</t>
  </si>
  <si>
    <t>https://drive.google.com/open?id=1fSTxumnGB7NUQnjO_BQw9uIcziVwOlYC</t>
  </si>
  <si>
    <t>https://drive.google.com/open?id=16-Edi3eKWnmBzvE1sNmWnz2dcs-PgjcR</t>
  </si>
  <si>
    <t>Pressure forces blue tubes open on inactive</t>
  </si>
  <si>
    <t>conclude 1 blank, trust 23 w controls on run form</t>
  </si>
  <si>
    <t>https://drive.google.com/open?id=1O8Bd7P18Gmgc_5vEeyAX8qGvmA8vn3TD</t>
  </si>
  <si>
    <t>https://drive.google.com/open?id=10Ac_MzjZoQqw9jSJ2ILrvXkXppqG4c06</t>
  </si>
  <si>
    <t>RERUN</t>
  </si>
  <si>
    <t>220531-1</t>
  </si>
  <si>
    <t>https://drive.google.com/open?id=1tS1yHeddJi7NOV2vyqjI8GU2ii7olnpV</t>
  </si>
  <si>
    <t>https://drive.google.com/open?id=17WqbrYeus62KAltR7GjSFwlcn6RrbAYW</t>
  </si>
  <si>
    <t>https://drive.google.com/open?id=10Qg-SbInLxm_ASpSa-f4-1v3DT46n9BB</t>
  </si>
  <si>
    <t>LUM marked AG1050 P and AH6918 I and AG180 I</t>
  </si>
  <si>
    <t>https://drive.google.com/open?id=1CXSwnXH_6CFkgDW_9cU_0wsCQ8exhQ7e</t>
  </si>
  <si>
    <t>https://drive.google.com/open?id=1F8mcbFRrNWDZYeptn3RFy7x2Eq42h6DO</t>
  </si>
  <si>
    <t>220606-1</t>
  </si>
  <si>
    <t>https://drive.google.com/open?id=1xr__cF8Ja9r499cU78YHKDMVVYOUgmmh</t>
  </si>
  <si>
    <t>https://drive.google.com/open?id=1ZVCfSz3hBpWILOppMnsjStBaRk6ZNMAW</t>
  </si>
  <si>
    <t>RT JAN26 assume 2 Incl run in triplicate - OLD NOTE trust gform and run form whih match, conclude 2 blank rxn</t>
  </si>
  <si>
    <t>https://drive.google.com/open?id=1-lrmjcUi2JYWgI27REEq1cjm8edZPB9J</t>
  </si>
  <si>
    <t>https://drive.google.com/open?id=15O4vmsLNiZc1p72gU1FTPLmdoJEu1Daw</t>
  </si>
  <si>
    <t>Zepto50 Contrived Positive</t>
  </si>
  <si>
    <t>Exclude</t>
  </si>
  <si>
    <t>https://drive.google.com/open?id=141sYH1gHyjbExpNZwF_-9kWq53435W6F</t>
  </si>
  <si>
    <t>https://drive.google.com/open?id=1tdF-NboruXXlmc8GbFtJOR2CXURZo6so</t>
  </si>
  <si>
    <t>pics same</t>
  </si>
  <si>
    <t>211231-1</t>
  </si>
  <si>
    <t>https://drive.google.com/open?id=1-PyrJC4m4WnCRtA_NpJiLADoNw69DuO1</t>
  </si>
  <si>
    <t>https://drive.google.com/open?id=1nMUz8tpeNogXJoEzPwDhNB6-BsskMayc</t>
  </si>
  <si>
    <t>Floflex, Detect and Lucira neg</t>
  </si>
  <si>
    <t>logged in google form</t>
  </si>
  <si>
    <t>https://drive.google.com/open?id=1cKPASFihIqJevXSiPfOGUGPX2Iookru_</t>
  </si>
  <si>
    <t>https://drive.google.com/open?id=1NU881fegekNITqT1kabX7o_yKUM6aEMB</t>
  </si>
  <si>
    <t>unsure what these 4 samples are, think they are samples from previous day that were already run at MBC</t>
  </si>
  <si>
    <t>4 samples from (known pos name) logged with gForm</t>
  </si>
  <si>
    <t>4 samples from Mike logged with gForm</t>
  </si>
  <si>
    <t>https://drive.google.com/open?id=1l04a-EpofBVtEclOfNO-tPjqarzNneQE</t>
  </si>
  <si>
    <t>delete - first run where tubes were mixed up, logged day after</t>
  </si>
  <si>
    <t>Could not retrieve</t>
  </si>
  <si>
    <t>https://drive.google.com/open?id=16R9SHY7Fiw-2TGkxs8p6VVuXFQcZN2kP</t>
  </si>
  <si>
    <t>https://drive.google.com/open?id=1cYeEgF7swjG1w4DXwIdvQRs8sSFtzGEk</t>
  </si>
  <si>
    <t xml:space="preserve">1 out of 3 triplicate run. </t>
  </si>
  <si>
    <t>I made an error in making 1X Inactivation Solution, added 2 ul instead of 20 ul, so the inconclusive is not trustworthy.</t>
  </si>
  <si>
    <t>Reagent prep error, training run for new staff - Delete Invalid run</t>
  </si>
  <si>
    <t>Delete - error in making Inactiv Soln</t>
  </si>
  <si>
    <t>https://drive.google.com/open?id=1kC1ytf-bQrr_oDl-izGQI60bEFy77qE5</t>
  </si>
  <si>
    <t>https://drive.google.com/open?id=1UXYtlKn4_WuSTJWCAE3DmUAaUhNgViit</t>
  </si>
  <si>
    <t>https://drive.google.com/open?id=1bPEGw5fufCoraFxnWOJbQjZUqndGiYdU</t>
  </si>
  <si>
    <t>Validation 100XIS_20000001</t>
  </si>
  <si>
    <t>https://drive.google.com/open?id=1qmUrbBkhcyRJUI-JGIW9vFPQO3-0RZf9</t>
  </si>
  <si>
    <t>https://drive.google.com/open?id=1KEQ7I-A-QzbM1YuwNxBI0KO6fzE4Ki83</t>
  </si>
  <si>
    <t xml:space="preserve">1-13-22 1XISS Stability Study, see PCR Run from 2-5 also </t>
  </si>
  <si>
    <t>220205-1</t>
  </si>
  <si>
    <t>https://drive.google.com/open?id=1DhQPCqTrlCJuZeVtzJegSWHBeyoLF__U</t>
  </si>
  <si>
    <t>https://drive.google.com/open?id=18uGW95XbcwHozaYTMyhahkt4YgLlAwD8</t>
  </si>
  <si>
    <t>https://drive.google.com/open?id=1stlBmW-XAzNCOpo6VIpdYU0sbZb4_UDx</t>
  </si>
  <si>
    <t>new GD50 works!</t>
  </si>
  <si>
    <t>https://drive.google.com/open?id=1EhAaSfyIlRjffC6a1h6fd2cf2W80bbtj</t>
  </si>
  <si>
    <t>https://drive.google.com/open?id=1NuUtwTPC3AdB0dZTYo3KpM1Vi9XnSwGI</t>
  </si>
  <si>
    <t>https://drive.google.com/open?id=1hpjM0dG2Bp4vsu9w7GQ3DQMGuDSwcsjt</t>
  </si>
  <si>
    <t>Verification new Jable 5mL collection tubes</t>
  </si>
  <si>
    <t>https://drive.google.com/open?id=1HgUmLNZTTq8zlyZSSTtzi8hfWgZrCdnQ</t>
  </si>
  <si>
    <r>
      <rPr>
        <rFont val="Arial"/>
        <color rgb="FF1155CC"/>
        <sz val="10.0"/>
        <u/>
      </rPr>
      <t>https://drive.google.com/open?id=1Oq4Fao62wj_UFpxSlq3zU0uUDbHUhH50</t>
    </r>
    <r>
      <rPr>
        <rFont val="Arial"/>
        <color rgb="FF1155CC"/>
        <sz val="10.0"/>
        <u/>
      </rPr>
      <t>, https://drive.google.com/open?id=1jKiGL2B6D0hWapILXMY4zgJ0s0P5YZtu</t>
    </r>
  </si>
  <si>
    <t>error, just logged earlier run, photos are for previous run</t>
  </si>
  <si>
    <t>https://drive.google.com/file/d/1To-c3fBO8o1Q5U-6lP5hTRFy6xH59yiu/view</t>
  </si>
  <si>
    <t>Second run the positive control didn’t amplify.</t>
  </si>
  <si>
    <t>failed PC</t>
  </si>
  <si>
    <t>TUBE ID</t>
  </si>
  <si>
    <t>NEW RUN ID</t>
  </si>
  <si>
    <t>OLD INITIAL RUN ID</t>
  </si>
  <si>
    <t>TUBE ID SOURCE CODE</t>
  </si>
  <si>
    <t>TUBE RESULT CODE</t>
  </si>
  <si>
    <t>NUM RXNS (for tube in complete session)</t>
  </si>
  <si>
    <t>TUBE RESULT NOTES</t>
  </si>
  <si>
    <t>RUN INDEX</t>
  </si>
  <si>
    <t>UNIQUE RUN ID</t>
  </si>
  <si>
    <t>COUNT CHECK</t>
  </si>
  <si>
    <t>WHOLE TAB MUST BE SORTED BY INITIAL RUN ID FOR THIS TO WORK MUST REMEMBER TO PASTE RUN IDS AS VALUES FIRST</t>
  </si>
  <si>
    <t>FLT126</t>
  </si>
  <si>
    <t>R_FLMP-007</t>
  </si>
  <si>
    <t/>
  </si>
  <si>
    <t>FLB6832</t>
  </si>
  <si>
    <t>R_FLMP-009</t>
  </si>
  <si>
    <t>6 neg reps instead of 3</t>
  </si>
  <si>
    <t>FLT16</t>
  </si>
  <si>
    <t>R_FLMP-013</t>
  </si>
  <si>
    <t>R_FLMP-019</t>
  </si>
  <si>
    <t>R_FLMP-020</t>
  </si>
  <si>
    <t>MA1346</t>
  </si>
  <si>
    <t>R_FLMP-026</t>
  </si>
  <si>
    <t>conclude rerun had no NC</t>
  </si>
  <si>
    <t>FLM276</t>
  </si>
  <si>
    <t>R_FLMP-031</t>
  </si>
  <si>
    <t>Initial PP no rerun</t>
  </si>
  <si>
    <t>MA1362</t>
  </si>
  <si>
    <t>R_FLMP-032</t>
  </si>
  <si>
    <t>repeat positive, triplicate initial run</t>
  </si>
  <si>
    <t>MA1333</t>
  </si>
  <si>
    <t>R_FLMP-033</t>
  </si>
  <si>
    <t>Initial PP no rerun. repeat positive, run in duplicate</t>
  </si>
  <si>
    <t>MAX331</t>
  </si>
  <si>
    <t>R_FLMP-034</t>
  </si>
  <si>
    <t>MAX430</t>
  </si>
  <si>
    <t>MAX371</t>
  </si>
  <si>
    <t>R_FLMP-035</t>
  </si>
  <si>
    <t>Initial PP no rerun. positive (swab)</t>
  </si>
  <si>
    <t>MA350</t>
  </si>
  <si>
    <t>R_FLMP-037</t>
  </si>
  <si>
    <t>nasal swab</t>
  </si>
  <si>
    <t>MA383</t>
  </si>
  <si>
    <t>throat swab</t>
  </si>
  <si>
    <t>MA388</t>
  </si>
  <si>
    <t>R_FLMP-038</t>
  </si>
  <si>
    <t>No image, Admin report</t>
  </si>
  <si>
    <t>MAX288fix</t>
  </si>
  <si>
    <t>R_FLMP-042</t>
  </si>
  <si>
    <t>added run in RFR</t>
  </si>
  <si>
    <t>MAX347</t>
  </si>
  <si>
    <t>R_FLMP-043</t>
  </si>
  <si>
    <t>MA63</t>
  </si>
  <si>
    <t>R_FLMP-044</t>
  </si>
  <si>
    <t>MA92</t>
  </si>
  <si>
    <t>FLB6845</t>
  </si>
  <si>
    <t>R_FLMP-046</t>
  </si>
  <si>
    <t>possible rerun but no info or clear evidence</t>
  </si>
  <si>
    <t>FLT1433</t>
  </si>
  <si>
    <t>FL11017</t>
  </si>
  <si>
    <t>R_FLMP-047</t>
  </si>
  <si>
    <t>Initial PP no rerun. Everything agrees Pos</t>
  </si>
  <si>
    <t>FLT1128</t>
  </si>
  <si>
    <t>FLB5830</t>
  </si>
  <si>
    <t>R_FLMP-050</t>
  </si>
  <si>
    <t>FLB5889</t>
  </si>
  <si>
    <t>FLB6849</t>
  </si>
  <si>
    <t>FLT1136</t>
  </si>
  <si>
    <t>FLT1475</t>
  </si>
  <si>
    <t>R_FLMP-052</t>
  </si>
  <si>
    <t>run was technically invalid but lept because had Pos from exposed person</t>
  </si>
  <si>
    <t>FLB5838</t>
  </si>
  <si>
    <t>R_FLMP-053</t>
  </si>
  <si>
    <t>FLB5866</t>
  </si>
  <si>
    <t>FLE258</t>
  </si>
  <si>
    <t>FLE296</t>
  </si>
  <si>
    <t>FLE810</t>
  </si>
  <si>
    <t>FLE812</t>
  </si>
  <si>
    <t>FLE885</t>
  </si>
  <si>
    <t>FLE895</t>
  </si>
  <si>
    <t>FLT1161</t>
  </si>
  <si>
    <t>FLT1400</t>
  </si>
  <si>
    <t>FLT1465</t>
  </si>
  <si>
    <t>FLT1472</t>
  </si>
  <si>
    <t>corrected session I -&gt; N</t>
  </si>
  <si>
    <t>FLT1495</t>
  </si>
  <si>
    <t>FLB7375</t>
  </si>
  <si>
    <t>unaccounted for yellow tube in image, can't figure out identity of tube ID or person</t>
  </si>
  <si>
    <t>FLT1434</t>
  </si>
  <si>
    <t>R_FLMP-055</t>
  </si>
  <si>
    <t>Initial PP no rerun. deconvolution, run in duplicate both pos</t>
  </si>
  <si>
    <t>R_FLMP-057</t>
  </si>
  <si>
    <t>R_FLMP-059</t>
  </si>
  <si>
    <t>repeat pos - nasal swab</t>
  </si>
  <si>
    <t>repeat pos - throat swab</t>
  </si>
  <si>
    <t>FLB5837</t>
  </si>
  <si>
    <t>R_FLMP-063</t>
  </si>
  <si>
    <t>FLB6850</t>
  </si>
  <si>
    <t>FLB7156</t>
  </si>
  <si>
    <t>FLT1129</t>
  </si>
  <si>
    <t>FLT1172</t>
  </si>
  <si>
    <t>FLB7404</t>
  </si>
  <si>
    <t>R_FLMP-065</t>
  </si>
  <si>
    <t>FLE251</t>
  </si>
  <si>
    <t>FLE255</t>
  </si>
  <si>
    <t>FLE318</t>
  </si>
  <si>
    <t>FLE838</t>
  </si>
  <si>
    <t>R_FLMP-067</t>
  </si>
  <si>
    <t>Inc corrected to Neg</t>
  </si>
  <si>
    <t>FLE944</t>
  </si>
  <si>
    <t>FLB4790</t>
  </si>
  <si>
    <t>R_FLMP-072</t>
  </si>
  <si>
    <t>FLB5790</t>
  </si>
  <si>
    <t>FLE876</t>
  </si>
  <si>
    <t>FLE947</t>
  </si>
  <si>
    <t>FLB5772</t>
  </si>
  <si>
    <t>R_FLMP-076</t>
  </si>
  <si>
    <t>Uncertain which is initial Inc, assuming they were recorded in order on RF</t>
  </si>
  <si>
    <t>FLE905</t>
  </si>
  <si>
    <t>FLT1437</t>
  </si>
  <si>
    <t>R_FLMP-083</t>
  </si>
  <si>
    <t>R_FLMP-085</t>
  </si>
  <si>
    <t>FLB5782</t>
  </si>
  <si>
    <t>R_FLMP-088</t>
  </si>
  <si>
    <t>FLB5792</t>
  </si>
  <si>
    <t>FLB4964</t>
  </si>
  <si>
    <t>R_FLMP-091</t>
  </si>
  <si>
    <t>Unknown which tube had 1 of 3 reps I, choose this one</t>
  </si>
  <si>
    <t>FLB5736</t>
  </si>
  <si>
    <t>Unknown which tube was I-&gt;N corrected, choose this one</t>
  </si>
  <si>
    <t>FLB5973</t>
  </si>
  <si>
    <t>FLB5989</t>
  </si>
  <si>
    <t>FLB5746</t>
  </si>
  <si>
    <t>R_FLMP-093</t>
  </si>
  <si>
    <t>Uncertain if this is the Tube ID - it is the only one in the run Status = Collected, Result = Null</t>
  </si>
  <si>
    <t>FLB5437</t>
  </si>
  <si>
    <t>R_FLMP-096</t>
  </si>
  <si>
    <t>FLB5747</t>
  </si>
  <si>
    <t>R_FLMP-100</t>
  </si>
  <si>
    <t>MA585</t>
  </si>
  <si>
    <t>R_FLMP-103</t>
  </si>
  <si>
    <t>initial run in triplicate, I N N</t>
  </si>
  <si>
    <t>FLB7162</t>
  </si>
  <si>
    <t>R_FLMP-105</t>
  </si>
  <si>
    <t>Tube ID listed in RFR but appears in Appivo for 4/7/22 run (R_FLMP-99 is 4/4/22)</t>
  </si>
  <si>
    <t>FLB7413</t>
  </si>
  <si>
    <t>R_FLMP-107</t>
  </si>
  <si>
    <t>R_FLMP-109</t>
  </si>
  <si>
    <t>FLB6746</t>
  </si>
  <si>
    <t>R_FLMP-111</t>
  </si>
  <si>
    <t>Not certain which of the 2 tube IDs were the true init inconcl.  Assumed was run &amp; recorded in same order</t>
  </si>
  <si>
    <t>FLB7373</t>
  </si>
  <si>
    <t>AH7588</t>
  </si>
  <si>
    <t>R_FLMP-113</t>
  </si>
  <si>
    <t>FLB7283</t>
  </si>
  <si>
    <t>AH151</t>
  </si>
  <si>
    <t>R_FLMP-120</t>
  </si>
  <si>
    <t>Not certain which was the initial positive, assumed to have been recorded &amp; run in the same order</t>
  </si>
  <si>
    <t>FLB7147</t>
  </si>
  <si>
    <t>FLE898</t>
  </si>
  <si>
    <t>AG721</t>
  </si>
  <si>
    <t>R_FLMP-122</t>
  </si>
  <si>
    <t>AH7557</t>
  </si>
  <si>
    <t>AJ7583</t>
  </si>
  <si>
    <t>corrected I-&gt;N, rerun all N</t>
  </si>
  <si>
    <t>FLB4922</t>
  </si>
  <si>
    <t>MA108</t>
  </si>
  <si>
    <t>R_FLMP-124</t>
  </si>
  <si>
    <t>CRLN630339, deconvolution tube ID not in Appivo</t>
  </si>
  <si>
    <t>MA57</t>
  </si>
  <si>
    <t>Intital NN CRLN536407, deconvolution tube ID not in Appivo</t>
  </si>
  <si>
    <t>MA82</t>
  </si>
  <si>
    <t>Intital NN CRLN698172, deconvolution tube ID not in Appivo</t>
  </si>
  <si>
    <t>R_FLMP-125</t>
  </si>
  <si>
    <t>CRLN544916, deconvolution tube ID not in Appivo</t>
  </si>
  <si>
    <t>R_FLMP-126</t>
  </si>
  <si>
    <t>AJ6912</t>
  </si>
  <si>
    <t>R_FLMP-128</t>
  </si>
  <si>
    <t>P then NPN</t>
  </si>
  <si>
    <t>AJ8958</t>
  </si>
  <si>
    <t>FLE821</t>
  </si>
  <si>
    <t>unknown tube ID, corrected I-&gt;N</t>
  </si>
  <si>
    <t>assume tube was 5 of 6 initial inconcl that were corrected to N</t>
  </si>
  <si>
    <t>AH365</t>
  </si>
  <si>
    <t>R_FLMP-131</t>
  </si>
  <si>
    <t>(Initial PP) initially run in duplicate, both P, no rerun</t>
  </si>
  <si>
    <t>FLE202</t>
  </si>
  <si>
    <t>AJ6664</t>
  </si>
  <si>
    <t>R_FLMP-132</t>
  </si>
  <si>
    <t>Not certain which was the final inconclusive, assumed to have been recorded &amp; run in the same order</t>
  </si>
  <si>
    <t>AJ7967</t>
  </si>
  <si>
    <t>R_FLMP-135</t>
  </si>
  <si>
    <t>AH150</t>
  </si>
  <si>
    <t>R_FLMP-138</t>
  </si>
  <si>
    <t>unknown which initial inconcl, 1/4 corrected initial inconcl -&gt; edge neg</t>
  </si>
  <si>
    <t>AH7345</t>
  </si>
  <si>
    <t>AH7492</t>
  </si>
  <si>
    <t>AH9649</t>
  </si>
  <si>
    <t>R_FLMP-140</t>
  </si>
  <si>
    <t>R_FLMP-142</t>
  </si>
  <si>
    <t>Not found in appivo</t>
  </si>
  <si>
    <t>AG2012</t>
  </si>
  <si>
    <t>R_FLMP-144</t>
  </si>
  <si>
    <t>I, NNN</t>
  </si>
  <si>
    <t>AG338</t>
  </si>
  <si>
    <t>FLB4791</t>
  </si>
  <si>
    <t>Corrected I-&gt;P, APS N</t>
  </si>
  <si>
    <t>FLB6807</t>
  </si>
  <si>
    <t>AH408</t>
  </si>
  <si>
    <t>R_FLMP-146</t>
  </si>
  <si>
    <t>AG1050</t>
  </si>
  <si>
    <t>R_FLMP-150</t>
  </si>
  <si>
    <t>AG180</t>
  </si>
  <si>
    <t>AH6918</t>
  </si>
  <si>
    <t>First Row of Collection Date</t>
  </si>
  <si>
    <t>AUTO ASSIGN RUN ID?</t>
  </si>
  <si>
    <t>PASS1 ASSIGNED
RUN ID</t>
  </si>
  <si>
    <t>TUBE RUN DAY AFTER COLLECT?</t>
  </si>
  <si>
    <t>TUBE RUN IN 2ND RUN OF SAME DAY?</t>
  </si>
  <si>
    <t>PASS2 ASSIGNED
RUN ID</t>
  </si>
  <si>
    <t>FINAL
ASSIGNED RUN ID</t>
  </si>
  <si>
    <t>TUBE ID RUN DAY AFTER COLLECT</t>
  </si>
  <si>
    <t>TUBE ID RUN IN 2ND RUN OF SAME DAY</t>
  </si>
  <si>
    <t>RUN INDEX DELTA</t>
  </si>
  <si>
    <t>COMBINED VLOOKUP</t>
  </si>
  <si>
    <t>DAY AFTER VLOOKUP</t>
  </si>
  <si>
    <t>2ND RUN VLOOKUP</t>
  </si>
  <si>
    <t>FINAL
GROUP</t>
  </si>
  <si>
    <t>PREV PASTED VALUES 
FINAL
ASSIGNED RUN ID</t>
  </si>
  <si>
    <t>RUN-FLMP_2020-12-11_APS-001</t>
  </si>
  <si>
    <t>FLT122</t>
  </si>
  <si>
    <t>FLE484</t>
  </si>
  <si>
    <t>MAX475</t>
  </si>
  <si>
    <t>MAX478</t>
  </si>
  <si>
    <t>MAX365</t>
  </si>
  <si>
    <t>MA1215</t>
  </si>
  <si>
    <t>MA1345</t>
  </si>
  <si>
    <t>MA1466</t>
  </si>
  <si>
    <t>MA1340</t>
  </si>
  <si>
    <t>FLT1530</t>
  </si>
  <si>
    <t>MA1487</t>
  </si>
  <si>
    <t>FLM275</t>
  </si>
  <si>
    <t>MA1355</t>
  </si>
  <si>
    <t>MAX474</t>
  </si>
  <si>
    <t>FLB6853</t>
  </si>
  <si>
    <t>MA1335</t>
  </si>
  <si>
    <t>MAX350</t>
  </si>
  <si>
    <t>MAX383</t>
  </si>
  <si>
    <t>MA1377</t>
  </si>
  <si>
    <t>MAX447</t>
  </si>
  <si>
    <t>MA1486</t>
  </si>
  <si>
    <t>MAX398</t>
  </si>
  <si>
    <t>RUN-FLMP_2021-12-29_APS-075</t>
  </si>
  <si>
    <t>think these were wrong before and what was causing the mismatch</t>
  </si>
  <si>
    <t>MAX280</t>
  </si>
  <si>
    <t>MAX364</t>
  </si>
  <si>
    <t>MAX287</t>
  </si>
  <si>
    <t>MAX340</t>
  </si>
  <si>
    <t>FL11014</t>
  </si>
  <si>
    <t>FLB7370</t>
  </si>
  <si>
    <t>FLB7379</t>
  </si>
  <si>
    <t>FLT113</t>
  </si>
  <si>
    <t>FLB6876</t>
  </si>
  <si>
    <t>FLB5848</t>
  </si>
  <si>
    <t>FLB5119</t>
  </si>
  <si>
    <t>FLT12</t>
  </si>
  <si>
    <t>FLB7136</t>
  </si>
  <si>
    <t>FLB6343</t>
  </si>
  <si>
    <t>FLB5850</t>
  </si>
  <si>
    <t>FLB6848</t>
  </si>
  <si>
    <t>FLT1395</t>
  </si>
  <si>
    <t>FLT1119</t>
  </si>
  <si>
    <t>FLT1439</t>
  </si>
  <si>
    <t>FLT1177</t>
  </si>
  <si>
    <t>FLB5843</t>
  </si>
  <si>
    <t>FLT1463</t>
  </si>
  <si>
    <t>FLT1476</t>
  </si>
  <si>
    <t>FLT1440</t>
  </si>
  <si>
    <t>FLT1178</t>
  </si>
  <si>
    <t>FLT1510</t>
  </si>
  <si>
    <t>FLE244</t>
  </si>
  <si>
    <t>MA1431</t>
  </si>
  <si>
    <t>MA682</t>
  </si>
  <si>
    <t>FLT1180</t>
  </si>
  <si>
    <t>FLT1450</t>
  </si>
  <si>
    <t>FLT1478</t>
  </si>
  <si>
    <t>MA51</t>
  </si>
  <si>
    <t>MA8</t>
  </si>
  <si>
    <t>FLT1491</t>
  </si>
  <si>
    <t>FLT1157</t>
  </si>
  <si>
    <t>FLT1125</t>
  </si>
  <si>
    <t>FLT1474</t>
  </si>
  <si>
    <t>FLT1160</t>
  </si>
  <si>
    <t>FLT1126</t>
  </si>
  <si>
    <t>FLE933</t>
  </si>
  <si>
    <t>FLE891</t>
  </si>
  <si>
    <t>FLT1468</t>
  </si>
  <si>
    <t>FLE842</t>
  </si>
  <si>
    <t>FLB6879</t>
  </si>
  <si>
    <t>FLB5883</t>
  </si>
  <si>
    <t>FLT1169</t>
  </si>
  <si>
    <t>FLT1441</t>
  </si>
  <si>
    <t>FLT1167</t>
  </si>
  <si>
    <t>FLB5829</t>
  </si>
  <si>
    <t>FLT1403</t>
  </si>
  <si>
    <t>FLE316</t>
  </si>
  <si>
    <t>FLB7154</t>
  </si>
  <si>
    <t>FLT1113</t>
  </si>
  <si>
    <t>FLT1179</t>
  </si>
  <si>
    <t>FLB6880</t>
  </si>
  <si>
    <t>FLB5865</t>
  </si>
  <si>
    <t>FLB7356</t>
  </si>
  <si>
    <t>FLB5881</t>
  </si>
  <si>
    <t>FLT1408</t>
  </si>
  <si>
    <t>FLE946</t>
  </si>
  <si>
    <t>FLE887</t>
  </si>
  <si>
    <t>FLB5836</t>
  </si>
  <si>
    <t>FLT1443</t>
  </si>
  <si>
    <t>FLB6842</t>
  </si>
  <si>
    <t>FLT1482</t>
  </si>
  <si>
    <t>FLE248</t>
  </si>
  <si>
    <t>FLE292</t>
  </si>
  <si>
    <t>FLB7383</t>
  </si>
  <si>
    <t>FLT1488</t>
  </si>
  <si>
    <t>FLT1174</t>
  </si>
  <si>
    <t>FL11020</t>
  </si>
  <si>
    <t>FLB5401</t>
  </si>
  <si>
    <t>FLE851</t>
  </si>
  <si>
    <t>FLT1500</t>
  </si>
  <si>
    <t>FLB7377</t>
  </si>
  <si>
    <t>FLT1483</t>
  </si>
  <si>
    <t>FLT1562</t>
  </si>
  <si>
    <t>FLT1576</t>
  </si>
  <si>
    <t>FLT1173</t>
  </si>
  <si>
    <t>FLT1493</t>
  </si>
  <si>
    <t>FLT1496</t>
  </si>
  <si>
    <t>FLE850</t>
  </si>
  <si>
    <t>FLE948</t>
  </si>
  <si>
    <t>FLT1392</t>
  </si>
  <si>
    <t>FLT1164</t>
  </si>
  <si>
    <t>FLE203</t>
  </si>
  <si>
    <t>FLB4955</t>
  </si>
  <si>
    <t>FLT1494</t>
  </si>
  <si>
    <t>FL1166</t>
  </si>
  <si>
    <t>FLT1499</t>
  </si>
  <si>
    <t>FLT1462</t>
  </si>
  <si>
    <t>FLT1506</t>
  </si>
  <si>
    <t>FLT1481</t>
  </si>
  <si>
    <t>MA33</t>
  </si>
  <si>
    <t>MA2</t>
  </si>
  <si>
    <t>MA29</t>
  </si>
  <si>
    <t>FLB5726</t>
  </si>
  <si>
    <t>FLB7347</t>
  </si>
  <si>
    <t>FLT1430</t>
  </si>
  <si>
    <t>FLT1467</t>
  </si>
  <si>
    <t>FLB5821</t>
  </si>
  <si>
    <t>FLT1404</t>
  </si>
  <si>
    <t>FLB5397</t>
  </si>
  <si>
    <t>FLT1484</t>
  </si>
  <si>
    <t>FLB7151</t>
  </si>
  <si>
    <t>FLB5750</t>
  </si>
  <si>
    <t>FLB5806</t>
  </si>
  <si>
    <t>FLE927</t>
  </si>
  <si>
    <t>FLT1449</t>
  </si>
  <si>
    <t>FLB5879</t>
  </si>
  <si>
    <t>FLB5748</t>
  </si>
  <si>
    <t>FLB6841</t>
  </si>
  <si>
    <t>FLB5793</t>
  </si>
  <si>
    <t>MA974</t>
  </si>
  <si>
    <t>FLB7166</t>
  </si>
  <si>
    <t>FLB7158</t>
  </si>
  <si>
    <t>FLT1503</t>
  </si>
  <si>
    <t>FLB5769</t>
  </si>
  <si>
    <t>FLB5867</t>
  </si>
  <si>
    <t>FLB6788</t>
  </si>
  <si>
    <t>FLB5433</t>
  </si>
  <si>
    <t>FLB4929</t>
  </si>
  <si>
    <t>FLE839</t>
  </si>
  <si>
    <t>FLB4792</t>
  </si>
  <si>
    <t>FLB6544</t>
  </si>
  <si>
    <t>FLB7165</t>
  </si>
  <si>
    <t>FLT1573</t>
  </si>
  <si>
    <t>FLB4924</t>
  </si>
  <si>
    <t>FLE852</t>
  </si>
  <si>
    <t>FLT1432</t>
  </si>
  <si>
    <t>FLB7353</t>
  </si>
  <si>
    <t>FLE857</t>
  </si>
  <si>
    <t>FLT190</t>
  </si>
  <si>
    <t>FLB5980</t>
  </si>
  <si>
    <t>FLB7368</t>
  </si>
  <si>
    <t>FLB7144</t>
  </si>
  <si>
    <t>FLB7365</t>
  </si>
  <si>
    <t>FLB5978</t>
  </si>
  <si>
    <t>FLB7417</t>
  </si>
  <si>
    <t>MA112</t>
  </si>
  <si>
    <t>FLE231</t>
  </si>
  <si>
    <t>FLB5434</t>
  </si>
  <si>
    <t>FLB6794</t>
  </si>
  <si>
    <t>AJ8908</t>
  </si>
  <si>
    <t>FLB7160</t>
  </si>
  <si>
    <t>FLE938</t>
  </si>
  <si>
    <t>MA100A</t>
  </si>
  <si>
    <t>FLE254</t>
  </si>
  <si>
    <t>AH7037</t>
  </si>
  <si>
    <t>AH911</t>
  </si>
  <si>
    <t>AJ8250</t>
  </si>
  <si>
    <t>AG1128</t>
  </si>
  <si>
    <t>FLB7409</t>
  </si>
  <si>
    <t>FLB5969</t>
  </si>
  <si>
    <t>FLE269</t>
  </si>
  <si>
    <t>AJ9253</t>
  </si>
  <si>
    <t>AH245</t>
  </si>
  <si>
    <t>AH679</t>
  </si>
  <si>
    <t>AG175</t>
  </si>
  <si>
    <t>FLB7420</t>
  </si>
  <si>
    <t>FM1702</t>
  </si>
  <si>
    <t>FM1987</t>
  </si>
  <si>
    <t>AJ6835</t>
  </si>
  <si>
    <t>MA1125</t>
  </si>
  <si>
    <t>FLB5761</t>
  </si>
  <si>
    <t>FLB6539</t>
  </si>
  <si>
    <t>AG1739</t>
  </si>
  <si>
    <t>AH394</t>
  </si>
  <si>
    <t>AJ8160</t>
  </si>
  <si>
    <t>AG1064</t>
  </si>
  <si>
    <t>AK6697</t>
  </si>
  <si>
    <t>AH7315</t>
  </si>
  <si>
    <t>IMPORTS &gt;&gt;
URL link below</t>
  </si>
  <si>
    <t>Manually Reassign Result Date</t>
  </si>
  <si>
    <t>FLMP_APS_deID_PUB</t>
  </si>
  <si>
    <t>RUN ID INTERNAL</t>
  </si>
  <si>
    <t>Run not in Appivo at All?</t>
  </si>
  <si>
    <t>RFR Audit
Pos Session
Calls</t>
  </si>
  <si>
    <t>RFR Audit
Inc Session
Calls</t>
  </si>
  <si>
    <t>APS Final Results Positives</t>
  </si>
  <si>
    <t>APS Final Results Inconclusives</t>
  </si>
  <si>
    <t>Delta Positives</t>
  </si>
  <si>
    <t>Delta Inconclusives</t>
  </si>
  <si>
    <t>Both Deltas Zero</t>
  </si>
  <si>
    <t>ARF Suffix</t>
  </si>
  <si>
    <t>ARF Tube ID</t>
  </si>
  <si>
    <t>APS Run ID</t>
  </si>
  <si>
    <t>Determined from RFR Audit RESULT</t>
  </si>
  <si>
    <t>ARF Result Call Comment</t>
  </si>
  <si>
    <t>found all 5 positives</t>
  </si>
  <si>
    <t>ARFFLMP002</t>
  </si>
  <si>
    <t>ARFFLMP003</t>
  </si>
  <si>
    <t>ARFFLMP004</t>
  </si>
  <si>
    <t>ARFFLMP005</t>
  </si>
  <si>
    <t>ARFFLMP006</t>
  </si>
  <si>
    <t>found all 13 positives</t>
  </si>
  <si>
    <t>ARFFLMP007</t>
  </si>
  <si>
    <t>ARFFLMP008</t>
  </si>
  <si>
    <t>ARFFLMP009</t>
  </si>
  <si>
    <t>ARFFLMP010</t>
  </si>
  <si>
    <t>ARFFLMP011</t>
  </si>
  <si>
    <t>ARFFLMP012</t>
  </si>
  <si>
    <t>ARFFLMP013</t>
  </si>
  <si>
    <t>ARFFLMP014</t>
  </si>
  <si>
    <t>ARFFLMP015</t>
  </si>
  <si>
    <t>ARFFLMP016</t>
  </si>
  <si>
    <t>ARFFLMP017</t>
  </si>
  <si>
    <t>ARFFLMP018</t>
  </si>
  <si>
    <t>ARFFLMP019</t>
  </si>
  <si>
    <t>ARFFLMP020</t>
  </si>
  <si>
    <t>ARFFLMP021</t>
  </si>
  <si>
    <t>ARFFLMP022</t>
  </si>
  <si>
    <t>ARFFLMP023</t>
  </si>
  <si>
    <t>ARFFLMP024</t>
  </si>
  <si>
    <t>ARFFLMP025</t>
  </si>
  <si>
    <t>ARFFLMP026</t>
  </si>
  <si>
    <t>ARFFLMP027</t>
  </si>
  <si>
    <t>ARFFLMP028</t>
  </si>
  <si>
    <t>ARFFLMP029</t>
  </si>
  <si>
    <t>found 1 positive</t>
  </si>
  <si>
    <t>ARFFLMP030</t>
  </si>
  <si>
    <t>ARFFLMP031</t>
  </si>
  <si>
    <t>ARFFLMP032</t>
  </si>
  <si>
    <t>ARFFLMP033</t>
  </si>
  <si>
    <t>ARFFLMP034</t>
  </si>
  <si>
    <t>ARFFLMP035</t>
  </si>
  <si>
    <t>ARFFLMP036</t>
  </si>
  <si>
    <t>ARFFLMP037</t>
  </si>
  <si>
    <t>ARFFLMP038</t>
  </si>
  <si>
    <t>ARFFLMP039</t>
  </si>
  <si>
    <t>ARFFLMP040</t>
  </si>
  <si>
    <t>ARFFLMP041</t>
  </si>
  <si>
    <t>ARFFLMP042</t>
  </si>
  <si>
    <t>ARFFLMP043</t>
  </si>
  <si>
    <t>ARFFLMP044</t>
  </si>
  <si>
    <t>ARFFLMP045</t>
  </si>
  <si>
    <t>ARFFLMP046</t>
  </si>
  <si>
    <t>found 1 inconclusive</t>
  </si>
  <si>
    <t>ARFFLMP047</t>
  </si>
  <si>
    <t>ARFFLMP048</t>
  </si>
  <si>
    <t>FLMP</t>
  </si>
  <si>
    <t>LOG DATA CHANGES</t>
  </si>
  <si>
    <t>1/4/22 has Run Code = Rerun</t>
  </si>
  <si>
    <t>FORMATTING</t>
  </si>
  <si>
    <t>remove non standard fill colors on headers (col C to E)</t>
  </si>
  <si>
    <t>make cells that are splling over set to trim (col K)</t>
  </si>
  <si>
    <t>fill cols that are formulas with pink (P)</t>
  </si>
  <si>
    <t>remove fill from cells that are pasted as values (BA)</t>
  </si>
  <si>
    <t>Capitalization on headers (Z)</t>
  </si>
  <si>
    <t>Center most cols</t>
  </si>
  <si>
    <t>Remove Data Validation and apply conditional formatting instead</t>
  </si>
  <si>
    <t>P Q S T Y AW</t>
  </si>
  <si>
    <t>Change header title to Audit Corrected Call and make fill purple</t>
  </si>
  <si>
    <t>Apply all Conditional Formatting to match ABRM - yuck!</t>
  </si>
  <si>
    <t>See Run Count Reconcile Codes below</t>
  </si>
  <si>
    <t>copied to be in the same row as Bend template</t>
  </si>
  <si>
    <t>RUN COUNT RECONCILE CODES:</t>
  </si>
  <si>
    <t>Old version from cell note for this site</t>
  </si>
  <si>
    <t>ALL 3 COUNTS SAME meaning APS Collect = APS Result = RFR</t>
  </si>
  <si>
    <t>0   Same Audit RFR: APS Collect = APS Result = RFR</t>
  </si>
  <si>
    <t>ALL 3 COUNTS SAME after Null called Neg</t>
  </si>
  <si>
    <t>0.1 same as above except Null &gt; Neg</t>
  </si>
  <si>
    <t>ALL 3 COUNTS SAME with APS Collect on previous days</t>
  </si>
  <si>
    <t>0.2 All same with APS Collect on previous days</t>
  </si>
  <si>
    <t>ALL 3 COUNTS SAME after Null called Neg with APS Collect on previous days</t>
  </si>
  <si>
    <t>1 Same Audit RFR: APS Collect = RFR (disregard Result Count)</t>
  </si>
  <si>
    <t>ALL 3 COUNTS SAME but GFORM Num of Samples is different</t>
  </si>
  <si>
    <t>1.1 same as above except Null &gt; Neg</t>
  </si>
  <si>
    <t>Use APS Collect = RFR (diff APS Result count but nets out)</t>
  </si>
  <si>
    <t>2 Same Audit RFR: Extra tubes in RFR not in Appivo</t>
  </si>
  <si>
    <t>Use APS Collect = RFR (diff APS Result count but nets out) after Null called Neg</t>
  </si>
  <si>
    <t>2.1 same as above except Null &gt; Neg</t>
  </si>
  <si>
    <t>Use APS Collect = RFR Audit (ignore APS Result and GFORM Num samples is different)</t>
  </si>
  <si>
    <t>3 Same Audit RFR : Delete Null Tube</t>
  </si>
  <si>
    <t>Use Audit RFR count (extra tubes in RFR not in Appivo)</t>
  </si>
  <si>
    <t>4 Same Audit RFR: extra tube in Appivo not in LUM marked for delete</t>
  </si>
  <si>
    <t>Use Audit RFR count (extra tubes in RFR not in Appivo) after Null called Neg</t>
  </si>
  <si>
    <t>map to 3.4</t>
  </si>
  <si>
    <t>4.5 Run with No RFR</t>
  </si>
  <si>
    <t>ALL 3 COUNTS SAME after Null deleted</t>
  </si>
  <si>
    <t>4.6 RFR Raw Num Samples Gform = APS Collect</t>
  </si>
  <si>
    <t>Use APS Collect = RFR (diff APS Result count but nets out) after Null deleted</t>
  </si>
  <si>
    <t>4.7 Change RFR Audit Num Collect Tubes to equal APS Collect</t>
  </si>
  <si>
    <t>Add Run from APS with no RFR (assume run on same day as Collect, ignore Result day)</t>
  </si>
  <si>
    <t>4.8 Conclude one or more rxn are blank, Final Count = APS Collect</t>
  </si>
  <si>
    <t>RFR Raw Num Samples Gform = APS Collect</t>
  </si>
  <si>
    <t>4.9 RFR Audit num uncertain, Final Count = APS Collect</t>
  </si>
  <si>
    <t>Same Audit RFR: extra tube in Appivo not in LUM marked for delete</t>
  </si>
  <si>
    <t>BELOW CODES HAVE MANUAL RUN ASSIGNMENT IN PASS2</t>
  </si>
  <si>
    <t>RFR Raw Num Samples Gform = APS Collect sum of different days so need Manual Run assign</t>
  </si>
  <si>
    <t>5 Multiple Initial runs on same day - final count is sum of RFR Audit = APS Collect</t>
  </si>
  <si>
    <t>Use GFORM Raw Num of Samples because nets out with surrounding days</t>
  </si>
  <si>
    <t>5.1 same as above except NULL is deleted</t>
  </si>
  <si>
    <t>Multiple Initial runs on same day - final count is sum of RFR Audit = APS Collect</t>
  </si>
  <si>
    <t>5.2 combo of initial and rerun</t>
  </si>
  <si>
    <t>Multiple Initial runs on same day - final count is sum of RFR Audit = APS Collect (NULL is deleted)</t>
  </si>
  <si>
    <t>6 Same Audit RFR - nets out with next or prev day</t>
  </si>
  <si>
    <t>Use Audit RFR - nets out with next or prev day</t>
  </si>
  <si>
    <t>7 Same Audit RFR - all tubes assigned to 2nd initial run of day</t>
  </si>
  <si>
    <t>No Run - APS Collect run next day</t>
  </si>
  <si>
    <t>7.1 same as above but with Extra tubes in RFR not in Appivo</t>
  </si>
  <si>
    <t>No Run - APS Collect run 2 or more days later</t>
  </si>
  <si>
    <t>8 Tube in Appivo not in RFR</t>
  </si>
  <si>
    <t>Use Audit RFR - all tubes assigned to 2nd initial run of day</t>
  </si>
  <si>
    <t>9 Tube in RFR not in Appivo</t>
  </si>
  <si>
    <t>Use Audit RFR - all tubes assigned to 2nd initial run of day but with Extra tubes in RFR not in Appivo</t>
  </si>
  <si>
    <t>Use Audit RFR count (tube in Appivo not in RFR)</t>
  </si>
  <si>
    <t>highlighting shows which rows need entries in delta col</t>
  </si>
  <si>
    <t>Use APS Collect count != RFR Audit</t>
  </si>
  <si>
    <t>blue gets + num</t>
  </si>
  <si>
    <t>Use APS Collect count != RFR Audit (with different Collect days)</t>
  </si>
  <si>
    <t>red gets - num</t>
  </si>
  <si>
    <t>Entire run in RFR not in Appivo</t>
  </si>
  <si>
    <t>green gets +/- num depending</t>
  </si>
  <si>
    <t>Tube was in Appivo but not RFR and concluded never run so delete in APS preDel with code 9.4</t>
  </si>
  <si>
    <t>see Notes for reason</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</si>
</sst>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yyyy-mm-dd"/>
    <numFmt numFmtId="165" formatCode="m-d-yyyy"/>
    <numFmt numFmtId="166" formatCode="0.0%"/>
    <numFmt numFmtId="167" formatCode="h:mm am/pm"/>
    <numFmt numFmtId="168" formatCode="mm&quot;/&quot;dd&quot;/&quot;yyyy"/>
    <numFmt numFmtId="169" formatCode="m/d/yyyy h:mm:ss"/>
    <numFmt numFmtId="170" formatCode="0.0"/>
    <numFmt numFmtId="171" formatCode="hh&quot;:&quot;mm&quot; &quot;am/pm"/>
    <numFmt numFmtId="172" formatCode="&quot;$&quot;#,##0.00"/>
    <numFmt numFmtId="173" formatCode="m/d/yyyy"/>
  </numFmts>
  <fonts count="30">
    <font>
      <sz val="10.0"/>
      <color rgb="FF000000"/>
      <name val="Arial"/>
      <scheme val="minor"/>
    </font>
    <font>
      <b/>
      <color theme="1"/>
      <name val="Arial"/>
      <scheme val="minor"/>
    </font>
    <font>
      <b/>
      <color theme="1"/>
      <name val="Arial"/>
    </font>
    <font>
      <color theme="1"/>
      <name val="Arial"/>
      <scheme val="minor"/>
    </font>
    <font>
      <color theme="1"/>
      <name val="Arial"/>
    </font>
    <font>
      <b/>
      <sz val="10.0"/>
      <color theme="1"/>
      <name val="Arial"/>
    </font>
    <font>
      <color rgb="FF000000"/>
      <name val="Arial"/>
    </font>
    <font>
      <b/>
      <color rgb="FFFFFFFF"/>
      <name val="Arial"/>
    </font>
    <font>
      <sz val="10.0"/>
      <color theme="1"/>
      <name val="Arial"/>
    </font>
    <font>
      <u/>
      <sz val="10.0"/>
      <color rgb="FF1155CC"/>
      <name val="Arial"/>
    </font>
    <font>
      <sz val="10.0"/>
      <color rgb="FF000000"/>
      <name val="Arial"/>
    </font>
    <font>
      <u/>
      <sz val="10.0"/>
      <color rgb="FF0000FF"/>
      <name val="Arial"/>
    </font>
    <font>
      <u/>
      <sz val="10.0"/>
      <color rgb="FF1155CC"/>
      <name val="Arial"/>
    </font>
    <font>
      <u/>
      <sz val="10.0"/>
      <color rgb="FF0000FF"/>
      <name val="Arial"/>
    </font>
    <font>
      <u/>
      <sz val="10.0"/>
      <color rgb="FF1155CC"/>
      <name val="Arial"/>
    </font>
    <font>
      <u/>
      <sz val="10.0"/>
      <color rgb="FF0000FF"/>
      <name val="Arial"/>
    </font>
    <font>
      <u/>
      <sz val="10.0"/>
      <color rgb="FF0000FF"/>
      <name val="Arial"/>
    </font>
    <font>
      <u/>
      <sz val="10.0"/>
      <color rgb="FF0000FF"/>
      <name val="Arial"/>
    </font>
    <font>
      <u/>
      <sz val="10.0"/>
      <color rgb="FF0000FF"/>
      <name val="Arial"/>
    </font>
    <font>
      <u/>
      <sz val="10.0"/>
      <color rgb="FF1155CC"/>
      <name val="Arial"/>
    </font>
    <font>
      <u/>
      <sz val="10.0"/>
      <color rgb="FF1155CC"/>
      <name val="Arial"/>
    </font>
    <font>
      <u/>
      <sz val="10.0"/>
      <color rgb="FF1155CC"/>
      <name val="Arial"/>
    </font>
    <font>
      <u/>
      <sz val="10.0"/>
      <color rgb="FF0000FF"/>
      <name val="Arial"/>
    </font>
    <font>
      <b/>
      <sz val="14.0"/>
      <color rgb="FFFFFFFF"/>
      <name val="Arial"/>
      <scheme val="minor"/>
    </font>
    <font>
      <b/>
      <color rgb="FFFF0000"/>
      <name val="Arial"/>
      <scheme val="minor"/>
    </font>
    <font>
      <color rgb="FF000000"/>
      <name val="Roboto"/>
    </font>
    <font>
      <i/>
      <color theme="1"/>
      <name val="Arial"/>
      <scheme val="minor"/>
    </font>
    <font>
      <u/>
      <color rgb="FF1155CC"/>
      <name val="Arial"/>
    </font>
    <font>
      <b/>
      <sz val="14.0"/>
      <color theme="1"/>
      <name val="Arial"/>
    </font>
    <font>
      <sz val="11.0"/>
      <color theme="1"/>
      <name val="Arial"/>
    </font>
  </fonts>
  <fills count="38">
    <fill>
      <patternFill patternType="none"/>
    </fill>
    <fill>
      <patternFill patternType="lightGray"/>
    </fill>
    <fill>
      <patternFill patternType="solid">
        <fgColor rgb="FFD5A6BD"/>
        <bgColor rgb="FFD5A6BD"/>
      </patternFill>
    </fill>
    <fill>
      <patternFill patternType="solid">
        <fgColor rgb="FFEAD1DC"/>
        <bgColor rgb="FFEAD1DC"/>
      </patternFill>
    </fill>
    <fill>
      <patternFill patternType="solid">
        <fgColor rgb="FFC9DAF8"/>
        <bgColor rgb="FFC9DAF8"/>
      </patternFill>
    </fill>
    <fill>
      <patternFill patternType="solid">
        <fgColor rgb="FFC27BA0"/>
        <bgColor rgb="FFC27BA0"/>
      </patternFill>
    </fill>
    <fill>
      <patternFill patternType="solid">
        <fgColor rgb="FFFFF2CC"/>
        <bgColor rgb="FFFFF2CC"/>
      </patternFill>
    </fill>
    <fill>
      <patternFill patternType="solid">
        <fgColor rgb="FFFFFF00"/>
        <bgColor rgb="FFFFFF00"/>
      </patternFill>
    </fill>
    <fill>
      <patternFill patternType="solid">
        <fgColor rgb="FFD9D2E9"/>
        <bgColor rgb="FFD9D2E9"/>
      </patternFill>
    </fill>
    <fill>
      <patternFill patternType="solid">
        <fgColor rgb="FFF4CCCC"/>
        <bgColor rgb="FFF4CCCC"/>
      </patternFill>
    </fill>
    <fill>
      <patternFill patternType="solid">
        <fgColor rgb="FFCFE2F3"/>
        <bgColor rgb="FFCFE2F3"/>
      </patternFill>
    </fill>
    <fill>
      <patternFill patternType="solid">
        <fgColor rgb="FF00FF00"/>
        <bgColor rgb="FF00FF00"/>
      </patternFill>
    </fill>
    <fill>
      <patternFill patternType="solid">
        <fgColor rgb="FF434343"/>
        <bgColor rgb="FF434343"/>
      </patternFill>
    </fill>
    <fill>
      <patternFill patternType="solid">
        <fgColor rgb="FFB6D7A8"/>
        <bgColor rgb="FFB6D7A8"/>
      </patternFill>
    </fill>
    <fill>
      <patternFill patternType="solid">
        <fgColor rgb="FFFFE599"/>
        <bgColor rgb="FFFFE599"/>
      </patternFill>
    </fill>
    <fill>
      <patternFill patternType="solid">
        <fgColor rgb="FFF9CB9C"/>
        <bgColor rgb="FFF9CB9C"/>
      </patternFill>
    </fill>
    <fill>
      <patternFill patternType="solid">
        <fgColor rgb="FFEFEFEF"/>
        <bgColor rgb="FFEFEFEF"/>
      </patternFill>
    </fill>
    <fill>
      <patternFill patternType="solid">
        <fgColor rgb="FF38761D"/>
        <bgColor rgb="FF38761D"/>
      </patternFill>
    </fill>
    <fill>
      <patternFill patternType="solid">
        <fgColor rgb="FFCCCCCC"/>
        <bgColor rgb="FFCCCCCC"/>
      </patternFill>
    </fill>
    <fill>
      <patternFill patternType="solid">
        <fgColor rgb="FF00FFFF"/>
        <bgColor rgb="FF00FFFF"/>
      </patternFill>
    </fill>
    <fill>
      <patternFill patternType="solid">
        <fgColor rgb="FFD9EAD3"/>
        <bgColor rgb="FFD9EAD3"/>
      </patternFill>
    </fill>
    <fill>
      <patternFill patternType="solid">
        <fgColor rgb="FFBF9000"/>
        <bgColor rgb="FFBF9000"/>
      </patternFill>
    </fill>
    <fill>
      <patternFill patternType="solid">
        <fgColor rgb="FF4A86E8"/>
        <bgColor rgb="FF4A86E8"/>
      </patternFill>
    </fill>
    <fill>
      <patternFill patternType="solid">
        <fgColor rgb="FFAD4467"/>
        <bgColor rgb="FFAD4467"/>
      </patternFill>
    </fill>
    <fill>
      <patternFill patternType="solid">
        <fgColor rgb="FFFF9900"/>
        <bgColor rgb="FFFF9900"/>
      </patternFill>
    </fill>
    <fill>
      <patternFill patternType="solid">
        <fgColor rgb="FF6AA84F"/>
        <bgColor rgb="FF6AA84F"/>
      </patternFill>
    </fill>
    <fill>
      <patternFill patternType="solid">
        <fgColor rgb="FFFFFFFF"/>
        <bgColor rgb="FFFFFFFF"/>
      </patternFill>
    </fill>
    <fill>
      <patternFill patternType="solid">
        <fgColor rgb="FFCC0000"/>
        <bgColor rgb="FFCC0000"/>
      </patternFill>
    </fill>
    <fill>
      <patternFill patternType="solid">
        <fgColor rgb="FFFCE5CD"/>
        <bgColor rgb="FFFCE5CD"/>
      </patternFill>
    </fill>
    <fill>
      <patternFill patternType="solid">
        <fgColor rgb="FFEA9999"/>
        <bgColor rgb="FFEA9999"/>
      </patternFill>
    </fill>
    <fill>
      <patternFill patternType="solid">
        <fgColor rgb="FFA2C4C9"/>
        <bgColor rgb="FFA2C4C9"/>
      </patternFill>
    </fill>
    <fill>
      <patternFill patternType="solid">
        <fgColor rgb="FF9900FF"/>
        <bgColor rgb="FF9900FF"/>
      </patternFill>
    </fill>
    <fill>
      <patternFill patternType="solid">
        <fgColor rgb="FFB7E1CD"/>
        <bgColor rgb="FFB7E1CD"/>
      </patternFill>
    </fill>
    <fill>
      <patternFill patternType="solid">
        <fgColor rgb="FFFF0000"/>
        <bgColor rgb="FFFF0000"/>
      </patternFill>
    </fill>
    <fill>
      <patternFill patternType="solid">
        <fgColor rgb="FF999999"/>
        <bgColor rgb="FF999999"/>
      </patternFill>
    </fill>
    <fill>
      <patternFill patternType="solid">
        <fgColor rgb="FFFF00FF"/>
        <bgColor rgb="FFFF00FF"/>
      </patternFill>
    </fill>
    <fill>
      <patternFill patternType="solid">
        <fgColor rgb="FF34A853"/>
        <bgColor rgb="FF34A853"/>
      </patternFill>
    </fill>
    <fill>
      <patternFill patternType="solid">
        <fgColor rgb="FF45818E"/>
        <bgColor rgb="FF45818E"/>
      </patternFill>
    </fill>
  </fills>
  <borders count="14">
    <border/>
    <border>
      <top style="thin">
        <color rgb="FF000000"/>
      </top>
    </border>
    <border>
      <left style="thick">
        <color rgb="FF000000"/>
      </left>
      <right style="thick">
        <color rgb="FF000000"/>
      </right>
      <top style="thick">
        <color rgb="FF000000"/>
      </top>
    </border>
    <border>
      <left style="thick">
        <color rgb="FF000000"/>
      </left>
      <right style="thick">
        <color rgb="FF000000"/>
      </right>
      <bottom style="thick">
        <color rgb="FF000000"/>
      </bottom>
    </border>
    <border>
      <left style="thick">
        <color rgb="FF000000"/>
      </left>
      <right style="thick">
        <color rgb="FF000000"/>
      </right>
      <top style="thick">
        <color rgb="FF000000"/>
      </top>
      <bottom style="thick">
        <color rgb="FF000000"/>
      </bottom>
    </border>
    <border>
      <left style="thick">
        <color rgb="FF000000"/>
      </left>
      <right style="thick">
        <color rgb="FF000000"/>
      </right>
    </border>
    <border>
      <top style="thick">
        <color rgb="FF000000"/>
      </top>
    </border>
    <border>
      <right style="medium">
        <color rgb="FF000000"/>
      </right>
    </border>
    <border>
      <right style="thick">
        <color rgb="FF000000"/>
      </right>
    </border>
    <border>
      <left style="thick">
        <color rgb="FF000000"/>
      </left>
    </border>
    <border>
      <right style="thick">
        <color rgb="FF000000"/>
      </right>
      <top style="thin">
        <color rgb="FF000000"/>
      </top>
    </border>
    <border>
      <right style="medium">
        <color rgb="FF000000"/>
      </right>
      <top style="thin">
        <color rgb="FF000000"/>
      </top>
    </border>
    <border>
      <left style="thick">
        <color rgb="FF000000"/>
      </left>
      <top style="thin">
        <color rgb="FF000000"/>
      </top>
    </border>
    <border>
      <left style="medium">
        <color rgb="FF000000"/>
      </left>
    </border>
  </borders>
  <cellStyleXfs count="1">
    <xf borderId="0" fillId="0" fontId="0" numFmtId="0" applyAlignment="1" applyFont="1"/>
  </cellStyleXfs>
  <cellXfs count="575">
    <xf borderId="0" fillId="0" fontId="0" numFmtId="0" xfId="0" applyAlignment="1" applyFont="1">
      <alignment readingOrder="0" shrinkToFit="0" vertical="bottom" wrapText="0"/>
    </xf>
    <xf borderId="0" fillId="2" fontId="1" numFmtId="0" xfId="0" applyAlignment="1" applyFill="1" applyFont="1">
      <alignment shrinkToFit="0" wrapText="1"/>
    </xf>
    <xf borderId="0" fillId="3" fontId="2" numFmtId="0" xfId="0" applyAlignment="1" applyFill="1" applyFont="1">
      <alignment shrinkToFit="0" vertical="bottom" wrapText="1"/>
    </xf>
    <xf borderId="0" fillId="4" fontId="1" numFmtId="0" xfId="0" applyAlignment="1" applyFill="1" applyFont="1">
      <alignment shrinkToFit="0" wrapText="1"/>
    </xf>
    <xf borderId="0" fillId="4" fontId="2" numFmtId="0" xfId="0" applyAlignment="1" applyFont="1">
      <alignment shrinkToFit="0" vertical="bottom" wrapText="1"/>
    </xf>
    <xf borderId="0" fillId="3" fontId="2" numFmtId="0" xfId="0" applyAlignment="1" applyFont="1">
      <alignment shrinkToFit="0" vertical="bottom" wrapText="1"/>
    </xf>
    <xf borderId="0" fillId="5" fontId="2" numFmtId="0" xfId="0" applyAlignment="1" applyFill="1" applyFont="1">
      <alignment horizontal="left" shrinkToFit="0" vertical="bottom" wrapText="1"/>
    </xf>
    <xf borderId="0" fillId="0" fontId="1" numFmtId="0" xfId="0" applyAlignment="1" applyFont="1">
      <alignment readingOrder="0" shrinkToFit="0" wrapText="1"/>
    </xf>
    <xf borderId="0" fillId="0" fontId="3" numFmtId="0" xfId="0" applyFont="1"/>
    <xf borderId="0" fillId="0" fontId="1" numFmtId="0" xfId="0" applyAlignment="1" applyFont="1">
      <alignment shrinkToFit="0" wrapText="1"/>
    </xf>
    <xf borderId="0" fillId="3" fontId="4" numFmtId="164" xfId="0" applyAlignment="1" applyFont="1" applyNumberFormat="1">
      <alignment horizontal="right" vertical="bottom"/>
    </xf>
    <xf borderId="0" fillId="2" fontId="3" numFmtId="164" xfId="0" applyFont="1" applyNumberFormat="1"/>
    <xf borderId="0" fillId="2" fontId="4" numFmtId="21" xfId="0" applyAlignment="1" applyFont="1" applyNumberFormat="1">
      <alignment horizontal="right" vertical="bottom"/>
    </xf>
    <xf borderId="0" fillId="2" fontId="4" numFmtId="0" xfId="0" applyAlignment="1" applyFont="1">
      <alignment horizontal="center" vertical="bottom"/>
    </xf>
    <xf borderId="0" fillId="0" fontId="3" numFmtId="164" xfId="0" applyFont="1" applyNumberFormat="1"/>
    <xf borderId="0" fillId="0" fontId="3" numFmtId="21" xfId="0" applyFont="1" applyNumberFormat="1"/>
    <xf borderId="0" fillId="0" fontId="3" numFmtId="0" xfId="0" applyAlignment="1" applyFont="1">
      <alignment horizontal="center"/>
    </xf>
    <xf borderId="0" fillId="0" fontId="3" numFmtId="165" xfId="0" applyAlignment="1" applyFont="1" applyNumberFormat="1">
      <alignment readingOrder="0"/>
    </xf>
    <xf borderId="0" fillId="0" fontId="3" numFmtId="0" xfId="0" applyAlignment="1" applyFont="1">
      <alignment readingOrder="0"/>
    </xf>
    <xf borderId="1" fillId="0" fontId="3" numFmtId="0" xfId="0" applyBorder="1" applyFont="1"/>
    <xf borderId="0" fillId="0" fontId="3" numFmtId="166" xfId="0" applyFont="1" applyNumberFormat="1"/>
    <xf borderId="0" fillId="0" fontId="3" numFmtId="0" xfId="0" applyAlignment="1" applyFont="1">
      <alignment horizontal="center" readingOrder="0"/>
    </xf>
    <xf borderId="0" fillId="6" fontId="3" numFmtId="0" xfId="0" applyAlignment="1" applyFill="1" applyFont="1">
      <alignment horizontal="center" readingOrder="0"/>
    </xf>
    <xf borderId="0" fillId="6" fontId="3" numFmtId="0" xfId="0" applyAlignment="1" applyFont="1">
      <alignment readingOrder="0"/>
    </xf>
    <xf borderId="0" fillId="7" fontId="3" numFmtId="0" xfId="0" applyAlignment="1" applyFill="1" applyFont="1">
      <alignment readingOrder="0"/>
    </xf>
    <xf borderId="0" fillId="0" fontId="4" numFmtId="164" xfId="0" applyAlignment="1" applyFont="1" applyNumberFormat="1">
      <alignment horizontal="right" vertical="bottom"/>
    </xf>
    <xf borderId="0" fillId="0" fontId="2" numFmtId="0" xfId="0" applyAlignment="1" applyFont="1">
      <alignment shrinkToFit="0" vertical="bottom" wrapText="1"/>
    </xf>
    <xf borderId="0" fillId="8" fontId="3" numFmtId="164" xfId="0" applyFill="1" applyFont="1" applyNumberFormat="1"/>
    <xf borderId="0" fillId="9" fontId="3" numFmtId="164" xfId="0" applyFill="1" applyFont="1" applyNumberFormat="1"/>
    <xf borderId="0" fillId="3" fontId="4" numFmtId="0" xfId="0" applyAlignment="1" applyFont="1">
      <alignment horizontal="right" vertical="bottom"/>
    </xf>
    <xf borderId="0" fillId="3" fontId="3" numFmtId="0" xfId="0" applyFont="1"/>
    <xf borderId="0" fillId="3" fontId="3" numFmtId="166" xfId="0" applyFont="1" applyNumberFormat="1"/>
    <xf borderId="0" fillId="10" fontId="3" numFmtId="164" xfId="0" applyFill="1" applyFont="1" applyNumberFormat="1"/>
    <xf borderId="0" fillId="0" fontId="1" numFmtId="0" xfId="0" applyAlignment="1" applyFont="1">
      <alignment readingOrder="0"/>
    </xf>
    <xf borderId="0" fillId="0" fontId="1" numFmtId="0" xfId="0" applyAlignment="1" applyFont="1">
      <alignment readingOrder="0"/>
    </xf>
    <xf borderId="0" fillId="11" fontId="1" numFmtId="0" xfId="0" applyAlignment="1" applyFill="1" applyFont="1">
      <alignment readingOrder="0" shrinkToFit="0" wrapText="1"/>
    </xf>
    <xf borderId="0" fillId="11" fontId="1" numFmtId="0" xfId="0" applyAlignment="1" applyFont="1">
      <alignment horizontal="center"/>
    </xf>
    <xf borderId="0" fillId="11" fontId="4" numFmtId="0" xfId="0" applyAlignment="1" applyFont="1">
      <alignment vertical="bottom"/>
    </xf>
    <xf borderId="0" fillId="11" fontId="2" numFmtId="0" xfId="0" applyAlignment="1" applyFont="1">
      <alignment horizontal="center" vertical="bottom"/>
    </xf>
    <xf borderId="0" fillId="12" fontId="1" numFmtId="0" xfId="0" applyAlignment="1" applyFill="1" applyFont="1">
      <alignment readingOrder="0"/>
    </xf>
    <xf borderId="0" fillId="13" fontId="1" numFmtId="0" xfId="0" applyAlignment="1" applyFill="1" applyFont="1">
      <alignment readingOrder="0"/>
    </xf>
    <xf borderId="0" fillId="13" fontId="1" numFmtId="0" xfId="0" applyAlignment="1" applyFont="1">
      <alignment readingOrder="0" shrinkToFit="0" wrapText="1"/>
    </xf>
    <xf borderId="0" fillId="13" fontId="1" numFmtId="0" xfId="0" applyAlignment="1" applyFont="1">
      <alignment horizontal="center"/>
    </xf>
    <xf borderId="0" fillId="12" fontId="5" numFmtId="0" xfId="0" applyAlignment="1" applyFont="1">
      <alignment horizontal="left" readingOrder="0" shrinkToFit="0" vertical="bottom" wrapText="1"/>
    </xf>
    <xf borderId="0" fillId="14" fontId="1" numFmtId="0" xfId="0" applyAlignment="1" applyFill="1" applyFont="1">
      <alignment readingOrder="0"/>
    </xf>
    <xf borderId="0" fillId="14" fontId="1" numFmtId="0" xfId="0" applyAlignment="1" applyFont="1">
      <alignment horizontal="center"/>
    </xf>
    <xf borderId="0" fillId="4" fontId="1" numFmtId="0" xfId="0" applyAlignment="1" applyFont="1">
      <alignment readingOrder="0" shrinkToFit="0" wrapText="1"/>
    </xf>
    <xf borderId="0" fillId="4" fontId="1" numFmtId="0" xfId="0" applyAlignment="1" applyFont="1">
      <alignment horizontal="center" readingOrder="0" shrinkToFit="0" wrapText="1"/>
    </xf>
    <xf borderId="0" fillId="15" fontId="1" numFmtId="0" xfId="0" applyAlignment="1" applyFill="1" applyFont="1">
      <alignment readingOrder="0" shrinkToFit="0" wrapText="1"/>
    </xf>
    <xf borderId="0" fillId="15" fontId="1" numFmtId="0" xfId="0" applyAlignment="1" applyFont="1">
      <alignment horizontal="center"/>
    </xf>
    <xf borderId="0" fillId="0" fontId="2" numFmtId="0" xfId="0" applyAlignment="1" applyFont="1">
      <alignment readingOrder="0" shrinkToFit="0" vertical="bottom" wrapText="1"/>
    </xf>
    <xf borderId="0" fillId="11" fontId="2" numFmtId="0" xfId="0" applyAlignment="1" applyFont="1">
      <alignment readingOrder="0" shrinkToFit="0" vertical="bottom" wrapText="1"/>
    </xf>
    <xf borderId="0" fillId="14" fontId="2" numFmtId="0" xfId="0" applyAlignment="1" applyFont="1">
      <alignment shrinkToFit="0" vertical="bottom" wrapText="1"/>
    </xf>
    <xf borderId="0" fillId="12" fontId="1" numFmtId="0" xfId="0" applyAlignment="1" applyFont="1">
      <alignment readingOrder="0" shrinkToFit="0" wrapText="1"/>
    </xf>
    <xf borderId="0" fillId="12" fontId="3" numFmtId="0" xfId="0" applyFont="1"/>
    <xf borderId="0" fillId="14" fontId="1" numFmtId="0" xfId="0" applyAlignment="1" applyFont="1">
      <alignment readingOrder="0" shrinkToFit="0" wrapText="1"/>
    </xf>
    <xf borderId="0" fillId="16" fontId="1" numFmtId="0" xfId="0" applyAlignment="1" applyFill="1" applyFont="1">
      <alignment readingOrder="0" shrinkToFit="0" wrapText="1"/>
    </xf>
    <xf borderId="0" fillId="2" fontId="3" numFmtId="0" xfId="0" applyFont="1"/>
    <xf borderId="0" fillId="3" fontId="3" numFmtId="164" xfId="0" applyAlignment="1" applyFont="1" applyNumberFormat="1">
      <alignment horizontal="center"/>
    </xf>
    <xf borderId="0" fillId="11" fontId="3" numFmtId="0" xfId="0" applyAlignment="1" applyFont="1">
      <alignment horizontal="center"/>
    </xf>
    <xf borderId="0" fillId="3" fontId="3" numFmtId="0" xfId="0" applyAlignment="1" applyFont="1">
      <alignment horizontal="center"/>
    </xf>
    <xf borderId="0" fillId="13" fontId="3" numFmtId="0" xfId="0" applyAlignment="1" applyFont="1">
      <alignment horizontal="center"/>
    </xf>
    <xf borderId="0" fillId="14" fontId="3" numFmtId="0" xfId="0" applyAlignment="1" applyFont="1">
      <alignment horizontal="center"/>
    </xf>
    <xf borderId="0" fillId="14" fontId="4" numFmtId="0" xfId="0" applyAlignment="1" applyFont="1">
      <alignment horizontal="center" vertical="bottom"/>
    </xf>
    <xf borderId="0" fillId="4" fontId="3" numFmtId="0" xfId="0" applyAlignment="1" applyFont="1">
      <alignment horizontal="center" readingOrder="0" shrinkToFit="0" wrapText="1"/>
    </xf>
    <xf borderId="0" fillId="5" fontId="3" numFmtId="0" xfId="0" applyFont="1"/>
    <xf borderId="0" fillId="16" fontId="0" numFmtId="0" xfId="0" applyAlignment="1" applyFont="1">
      <alignment horizontal="center" readingOrder="0"/>
    </xf>
    <xf borderId="0" fillId="5" fontId="4" numFmtId="167" xfId="0" applyAlignment="1" applyFont="1" applyNumberFormat="1">
      <alignment vertical="bottom"/>
    </xf>
    <xf borderId="0" fillId="0" fontId="4" numFmtId="164" xfId="0" applyAlignment="1" applyFont="1" applyNumberFormat="1">
      <alignment horizontal="center" vertical="bottom"/>
    </xf>
    <xf borderId="0" fillId="0" fontId="4" numFmtId="0" xfId="0" applyAlignment="1" applyFont="1">
      <alignment horizontal="center" vertical="bottom"/>
    </xf>
    <xf borderId="0" fillId="0" fontId="3" numFmtId="167" xfId="0" applyFont="1" applyNumberFormat="1"/>
    <xf borderId="0" fillId="11" fontId="4" numFmtId="0" xfId="0" applyAlignment="1" applyFont="1">
      <alignment horizontal="center" vertical="bottom"/>
    </xf>
    <xf borderId="0" fillId="17" fontId="4" numFmtId="0" xfId="0" applyAlignment="1" applyFill="1" applyFont="1">
      <alignment horizontal="center" vertical="bottom"/>
    </xf>
    <xf borderId="0" fillId="18" fontId="3" numFmtId="164" xfId="0" applyFill="1" applyFont="1" applyNumberFormat="1"/>
    <xf borderId="0" fillId="3" fontId="5" numFmtId="0" xfId="0" applyAlignment="1" applyFont="1">
      <alignment horizontal="left" readingOrder="0" shrinkToFit="0" vertical="bottom" wrapText="1"/>
    </xf>
    <xf borderId="0" fillId="3" fontId="2" numFmtId="0" xfId="0" applyAlignment="1" applyFont="1">
      <alignment readingOrder="0" shrinkToFit="0" vertical="bottom" wrapText="1"/>
    </xf>
    <xf borderId="0" fillId="0" fontId="5" numFmtId="0" xfId="0" applyAlignment="1" applyFont="1">
      <alignment horizontal="left" readingOrder="0" shrinkToFit="0" vertical="bottom" wrapText="1"/>
    </xf>
    <xf borderId="0" fillId="8" fontId="5" numFmtId="0" xfId="0" applyAlignment="1" applyFont="1">
      <alignment horizontal="left" readingOrder="0" shrinkToFit="0" vertical="bottom" wrapText="1"/>
    </xf>
    <xf borderId="0" fillId="0" fontId="2" numFmtId="0" xfId="0" applyAlignment="1" applyFont="1">
      <alignment shrinkToFit="0" vertical="bottom" wrapText="0"/>
    </xf>
    <xf borderId="0" fillId="3" fontId="1" numFmtId="0" xfId="0" applyAlignment="1" applyFont="1">
      <alignment readingOrder="0" shrinkToFit="0" wrapText="1"/>
    </xf>
    <xf borderId="0" fillId="5" fontId="2" numFmtId="0" xfId="0" applyAlignment="1" applyFont="1">
      <alignment shrinkToFit="0" vertical="bottom" wrapText="1"/>
    </xf>
    <xf borderId="0" fillId="8" fontId="2" numFmtId="0" xfId="0" applyAlignment="1" applyFont="1">
      <alignment shrinkToFit="0" vertical="bottom" wrapText="1"/>
    </xf>
    <xf borderId="0" fillId="12" fontId="4" numFmtId="0" xfId="0" applyAlignment="1" applyFont="1">
      <alignment vertical="bottom"/>
    </xf>
    <xf borderId="0" fillId="0" fontId="2" numFmtId="0" xfId="0" applyAlignment="1" applyFont="1">
      <alignment vertical="bottom"/>
    </xf>
    <xf borderId="0" fillId="0" fontId="1" numFmtId="0" xfId="0" applyAlignment="1" applyFont="1">
      <alignment horizontal="center" readingOrder="0" shrinkToFit="0" wrapText="1"/>
    </xf>
    <xf borderId="0" fillId="0" fontId="2" numFmtId="0" xfId="0" applyAlignment="1" applyFont="1">
      <alignment shrinkToFit="0" vertical="bottom" wrapText="1"/>
    </xf>
    <xf borderId="0" fillId="12" fontId="4" numFmtId="0" xfId="0" applyAlignment="1" applyFont="1">
      <alignment vertical="bottom"/>
    </xf>
    <xf borderId="0" fillId="3" fontId="2" numFmtId="0" xfId="0" applyAlignment="1" applyFont="1">
      <alignment horizontal="center" shrinkToFit="0" vertical="bottom" wrapText="1"/>
    </xf>
    <xf borderId="0" fillId="3" fontId="4" numFmtId="0" xfId="0" applyAlignment="1" applyFont="1">
      <alignment horizontal="center" vertical="bottom"/>
    </xf>
    <xf borderId="0" fillId="8" fontId="3" numFmtId="0" xfId="0" applyAlignment="1" applyFont="1">
      <alignment horizontal="center"/>
    </xf>
    <xf borderId="0" fillId="19" fontId="4" numFmtId="0" xfId="0" applyAlignment="1" applyFill="1" applyFont="1">
      <alignment horizontal="center" vertical="bottom"/>
    </xf>
    <xf borderId="0" fillId="0" fontId="4" numFmtId="0" xfId="0" applyAlignment="1" applyFont="1">
      <alignment shrinkToFit="0" vertical="bottom" wrapText="0"/>
    </xf>
    <xf borderId="0" fillId="3" fontId="0" numFmtId="0" xfId="0" applyAlignment="1" applyFont="1">
      <alignment horizontal="center" readingOrder="0"/>
    </xf>
    <xf borderId="0" fillId="3" fontId="3" numFmtId="168" xfId="0" applyFont="1" applyNumberFormat="1"/>
    <xf borderId="0" fillId="5" fontId="4" numFmtId="0" xfId="0" applyAlignment="1" applyFont="1">
      <alignment vertical="bottom"/>
    </xf>
    <xf borderId="0" fillId="20" fontId="4" numFmtId="169" xfId="0" applyAlignment="1" applyFill="1" applyFont="1" applyNumberFormat="1">
      <alignment horizontal="left" vertical="bottom"/>
    </xf>
    <xf borderId="0" fillId="3" fontId="4" numFmtId="0" xfId="0" applyAlignment="1" applyFont="1">
      <alignment horizontal="center" vertical="bottom"/>
    </xf>
    <xf borderId="0" fillId="20" fontId="4" numFmtId="0" xfId="0" applyAlignment="1" applyFont="1">
      <alignment vertical="bottom"/>
    </xf>
    <xf borderId="0" fillId="0" fontId="4" numFmtId="0" xfId="0" applyAlignment="1" applyFont="1">
      <alignment horizontal="center" readingOrder="0" vertical="bottom"/>
    </xf>
    <xf borderId="0" fillId="20" fontId="4" numFmtId="164" xfId="0" applyAlignment="1" applyFont="1" applyNumberFormat="1">
      <alignment vertical="bottom"/>
    </xf>
    <xf borderId="0" fillId="20" fontId="4" numFmtId="0" xfId="0" applyFont="1"/>
    <xf borderId="0" fillId="20" fontId="3" numFmtId="0" xfId="0" applyFont="1"/>
    <xf borderId="0" fillId="0" fontId="4" numFmtId="0" xfId="0" applyFont="1"/>
    <xf borderId="0" fillId="0" fontId="3" numFmtId="0" xfId="0" applyAlignment="1" applyFont="1">
      <alignment horizontal="left"/>
    </xf>
    <xf borderId="0" fillId="0" fontId="4" numFmtId="0" xfId="0" applyAlignment="1" applyFont="1">
      <alignment readingOrder="0"/>
    </xf>
    <xf borderId="0" fillId="11" fontId="3" numFmtId="0" xfId="0" applyAlignment="1" applyFont="1">
      <alignment horizontal="center" readingOrder="0"/>
    </xf>
    <xf borderId="2" fillId="21" fontId="4" numFmtId="0" xfId="0" applyAlignment="1" applyBorder="1" applyFill="1" applyFont="1">
      <alignment horizontal="center" vertical="bottom"/>
    </xf>
    <xf borderId="0" fillId="21" fontId="4" numFmtId="0" xfId="0" applyAlignment="1" applyFont="1">
      <alignment horizontal="center" vertical="bottom"/>
    </xf>
    <xf borderId="3" fillId="21" fontId="4" numFmtId="0" xfId="0" applyAlignment="1" applyBorder="1" applyFont="1">
      <alignment horizontal="center" vertical="bottom"/>
    </xf>
    <xf borderId="0" fillId="19" fontId="3" numFmtId="0" xfId="0" applyAlignment="1" applyFont="1">
      <alignment horizontal="center"/>
    </xf>
    <xf borderId="0" fillId="7" fontId="3" numFmtId="0" xfId="0" applyFont="1"/>
    <xf borderId="0" fillId="7" fontId="3" numFmtId="164" xfId="0" applyFont="1" applyNumberFormat="1"/>
    <xf borderId="2" fillId="21" fontId="3" numFmtId="0" xfId="0" applyAlignment="1" applyBorder="1" applyFont="1">
      <alignment horizontal="center"/>
    </xf>
    <xf borderId="3" fillId="21" fontId="3" numFmtId="0" xfId="0" applyAlignment="1" applyBorder="1" applyFont="1">
      <alignment horizontal="center"/>
    </xf>
    <xf borderId="3" fillId="7" fontId="3" numFmtId="0" xfId="0" applyAlignment="1" applyBorder="1" applyFont="1">
      <alignment horizontal="center" readingOrder="0"/>
    </xf>
    <xf borderId="0" fillId="7" fontId="3" numFmtId="0" xfId="0" applyAlignment="1" applyFont="1">
      <alignment horizontal="center" readingOrder="0"/>
    </xf>
    <xf borderId="0" fillId="22" fontId="4" numFmtId="0" xfId="0" applyAlignment="1" applyFill="1" applyFont="1">
      <alignment horizontal="center" vertical="bottom"/>
    </xf>
    <xf borderId="0" fillId="7" fontId="3" numFmtId="0" xfId="0" applyAlignment="1" applyFont="1">
      <alignment horizontal="center"/>
    </xf>
    <xf borderId="0" fillId="23" fontId="3" numFmtId="0" xfId="0" applyAlignment="1" applyFill="1" applyFont="1">
      <alignment horizontal="center"/>
    </xf>
    <xf borderId="2" fillId="23" fontId="3" numFmtId="0" xfId="0" applyAlignment="1" applyBorder="1" applyFont="1">
      <alignment horizontal="center"/>
    </xf>
    <xf borderId="0" fillId="23" fontId="4" numFmtId="0" xfId="0" applyAlignment="1" applyFont="1">
      <alignment horizontal="center" vertical="bottom"/>
    </xf>
    <xf borderId="3" fillId="23" fontId="3" numFmtId="0" xfId="0" applyAlignment="1" applyBorder="1" applyFont="1">
      <alignment horizontal="center"/>
    </xf>
    <xf borderId="4" fillId="23" fontId="3" numFmtId="0" xfId="0" applyAlignment="1" applyBorder="1" applyFont="1">
      <alignment horizontal="center"/>
    </xf>
    <xf borderId="5" fillId="23" fontId="3" numFmtId="0" xfId="0" applyAlignment="1" applyBorder="1" applyFont="1">
      <alignment horizontal="center"/>
    </xf>
    <xf borderId="4" fillId="0" fontId="3" numFmtId="0" xfId="0" applyAlignment="1" applyBorder="1" applyFont="1">
      <alignment horizontal="center"/>
    </xf>
    <xf borderId="2" fillId="11" fontId="3" numFmtId="0" xfId="0" applyAlignment="1" applyBorder="1" applyFont="1">
      <alignment horizontal="center"/>
    </xf>
    <xf borderId="3" fillId="11" fontId="3" numFmtId="0" xfId="0" applyAlignment="1" applyBorder="1" applyFont="1">
      <alignment horizontal="center"/>
    </xf>
    <xf borderId="2" fillId="0" fontId="3" numFmtId="0" xfId="0" applyAlignment="1" applyBorder="1" applyFont="1">
      <alignment horizontal="center"/>
    </xf>
    <xf borderId="3" fillId="0" fontId="3" numFmtId="0" xfId="0" applyAlignment="1" applyBorder="1" applyFont="1">
      <alignment horizontal="center"/>
    </xf>
    <xf borderId="3" fillId="23" fontId="3" numFmtId="0" xfId="0" applyAlignment="1" applyBorder="1" applyFont="1">
      <alignment horizontal="center" readingOrder="0"/>
    </xf>
    <xf borderId="5" fillId="23" fontId="3" numFmtId="0" xfId="0" applyAlignment="1" applyBorder="1" applyFont="1">
      <alignment horizontal="center" readingOrder="0"/>
    </xf>
    <xf borderId="0" fillId="0" fontId="3" numFmtId="164" xfId="0" applyAlignment="1" applyFont="1" applyNumberFormat="1">
      <alignment horizontal="left"/>
    </xf>
    <xf borderId="2" fillId="8" fontId="3" numFmtId="0" xfId="0" applyAlignment="1" applyBorder="1" applyFont="1">
      <alignment horizontal="center" readingOrder="0"/>
    </xf>
    <xf borderId="3" fillId="0" fontId="3" numFmtId="0" xfId="0" applyAlignment="1" applyBorder="1" applyFont="1">
      <alignment horizontal="center" readingOrder="0"/>
    </xf>
    <xf borderId="3" fillId="8" fontId="3" numFmtId="0" xfId="0" applyAlignment="1" applyBorder="1" applyFont="1">
      <alignment horizontal="center" readingOrder="0"/>
    </xf>
    <xf borderId="2" fillId="7" fontId="3" numFmtId="0" xfId="0" applyAlignment="1" applyBorder="1" applyFont="1">
      <alignment horizontal="center" readingOrder="0"/>
    </xf>
    <xf borderId="0" fillId="7" fontId="4" numFmtId="0" xfId="0" applyAlignment="1" applyFont="1">
      <alignment horizontal="center" readingOrder="0" vertical="bottom"/>
    </xf>
    <xf borderId="0" fillId="7" fontId="4" numFmtId="0" xfId="0" applyAlignment="1" applyFont="1">
      <alignment vertical="bottom"/>
    </xf>
    <xf borderId="0" fillId="0" fontId="4" numFmtId="0" xfId="0" applyAlignment="1" applyFont="1">
      <alignment vertical="bottom"/>
    </xf>
    <xf borderId="2" fillId="23" fontId="3" numFmtId="0" xfId="0" applyAlignment="1" applyBorder="1" applyFont="1">
      <alignment horizontal="center" readingOrder="0"/>
    </xf>
    <xf borderId="0" fillId="0" fontId="4" numFmtId="0" xfId="0" applyAlignment="1" applyFont="1">
      <alignment readingOrder="0" vertical="bottom"/>
    </xf>
    <xf borderId="5" fillId="0" fontId="3" numFmtId="0" xfId="0" applyAlignment="1" applyBorder="1" applyFont="1">
      <alignment horizontal="center"/>
    </xf>
    <xf borderId="0" fillId="19" fontId="3" numFmtId="0" xfId="0" applyAlignment="1" applyFont="1">
      <alignment readingOrder="0"/>
    </xf>
    <xf borderId="0" fillId="18" fontId="3" numFmtId="0" xfId="0" applyFont="1"/>
    <xf borderId="0" fillId="18" fontId="4" numFmtId="0" xfId="0" applyAlignment="1" applyFont="1">
      <alignment horizontal="center" vertical="bottom"/>
    </xf>
    <xf borderId="0" fillId="18" fontId="3" numFmtId="0" xfId="0" applyAlignment="1" applyFont="1">
      <alignment horizontal="center"/>
    </xf>
    <xf borderId="2" fillId="18" fontId="3" numFmtId="0" xfId="0" applyAlignment="1" applyBorder="1" applyFont="1">
      <alignment horizontal="center"/>
    </xf>
    <xf borderId="0" fillId="18" fontId="3" numFmtId="0" xfId="0" applyAlignment="1" applyFont="1">
      <alignment horizontal="center" readingOrder="0"/>
    </xf>
    <xf borderId="0" fillId="18" fontId="4" numFmtId="0" xfId="0" applyAlignment="1" applyFont="1">
      <alignment shrinkToFit="0" vertical="bottom" wrapText="0"/>
    </xf>
    <xf borderId="0" fillId="18" fontId="3" numFmtId="0" xfId="0" applyAlignment="1" applyFont="1">
      <alignment readingOrder="0"/>
    </xf>
    <xf borderId="4" fillId="0" fontId="3" numFmtId="0" xfId="0" applyAlignment="1" applyBorder="1" applyFont="1">
      <alignment horizontal="center" readingOrder="0"/>
    </xf>
    <xf borderId="0" fillId="11" fontId="3" numFmtId="0" xfId="0" applyFont="1"/>
    <xf borderId="2" fillId="0" fontId="3" numFmtId="0" xfId="0" applyAlignment="1" applyBorder="1" applyFont="1">
      <alignment horizontal="center" readingOrder="0"/>
    </xf>
    <xf borderId="0" fillId="11" fontId="4" numFmtId="0" xfId="0" applyAlignment="1" applyFont="1">
      <alignment horizontal="center" readingOrder="0" vertical="bottom"/>
    </xf>
    <xf borderId="1" fillId="0" fontId="3" numFmtId="164" xfId="0" applyBorder="1" applyFont="1" applyNumberFormat="1"/>
    <xf borderId="1" fillId="3" fontId="4" numFmtId="0" xfId="0" applyAlignment="1" applyBorder="1" applyFont="1">
      <alignment horizontal="center" vertical="bottom"/>
    </xf>
    <xf borderId="1" fillId="0" fontId="3" numFmtId="0" xfId="0" applyAlignment="1" applyBorder="1" applyFont="1">
      <alignment horizontal="center"/>
    </xf>
    <xf borderId="2" fillId="0" fontId="4" numFmtId="0" xfId="0" applyAlignment="1" applyBorder="1" applyFont="1">
      <alignment horizontal="center" vertical="bottom"/>
    </xf>
    <xf borderId="1" fillId="3" fontId="3" numFmtId="0" xfId="0" applyBorder="1" applyFont="1"/>
    <xf borderId="1" fillId="0" fontId="4" numFmtId="0" xfId="0" applyAlignment="1" applyBorder="1" applyFont="1">
      <alignment shrinkToFit="0" vertical="bottom" wrapText="0"/>
    </xf>
    <xf borderId="1" fillId="0" fontId="3" numFmtId="0" xfId="0" applyAlignment="1" applyBorder="1" applyFont="1">
      <alignment readingOrder="0"/>
    </xf>
    <xf borderId="1" fillId="3" fontId="0" numFmtId="0" xfId="0" applyAlignment="1" applyBorder="1" applyFont="1">
      <alignment horizontal="center" readingOrder="0"/>
    </xf>
    <xf borderId="5" fillId="24" fontId="3" numFmtId="0" xfId="0" applyAlignment="1" applyBorder="1" applyFill="1" applyFont="1">
      <alignment horizontal="center"/>
    </xf>
    <xf borderId="5" fillId="0" fontId="3" numFmtId="0" xfId="0" applyAlignment="1" applyBorder="1" applyFont="1">
      <alignment horizontal="center" readingOrder="0"/>
    </xf>
    <xf borderId="5" fillId="24" fontId="4" numFmtId="0" xfId="0" applyAlignment="1" applyBorder="1" applyFont="1">
      <alignment horizontal="center" readingOrder="0" vertical="bottom"/>
    </xf>
    <xf borderId="5" fillId="8" fontId="3" numFmtId="0" xfId="0" applyAlignment="1" applyBorder="1" applyFont="1">
      <alignment horizontal="center"/>
    </xf>
    <xf borderId="3" fillId="0" fontId="4" numFmtId="0" xfId="0" applyAlignment="1" applyBorder="1" applyFont="1">
      <alignment horizontal="center" vertical="bottom"/>
    </xf>
    <xf borderId="1" fillId="18" fontId="3" numFmtId="0" xfId="0" applyBorder="1" applyFont="1"/>
    <xf borderId="1" fillId="18" fontId="3" numFmtId="164" xfId="0" applyBorder="1" applyFont="1" applyNumberFormat="1"/>
    <xf borderId="1" fillId="18" fontId="4" numFmtId="0" xfId="0" applyAlignment="1" applyBorder="1" applyFont="1">
      <alignment horizontal="center" vertical="bottom"/>
    </xf>
    <xf borderId="1" fillId="18" fontId="3" numFmtId="0" xfId="0" applyAlignment="1" applyBorder="1" applyFont="1">
      <alignment horizontal="center"/>
    </xf>
    <xf borderId="1" fillId="18" fontId="3" numFmtId="0" xfId="0" applyAlignment="1" applyBorder="1" applyFont="1">
      <alignment horizontal="center" readingOrder="0"/>
    </xf>
    <xf borderId="1" fillId="18" fontId="4" numFmtId="0" xfId="0" applyAlignment="1" applyBorder="1" applyFont="1">
      <alignment shrinkToFit="0" vertical="bottom" wrapText="0"/>
    </xf>
    <xf borderId="1" fillId="12" fontId="3" numFmtId="0" xfId="0" applyBorder="1" applyFont="1"/>
    <xf borderId="2" fillId="8" fontId="3" numFmtId="0" xfId="0" applyAlignment="1" applyBorder="1" applyFont="1">
      <alignment horizontal="center"/>
    </xf>
    <xf borderId="3" fillId="8" fontId="3" numFmtId="0" xfId="0" applyAlignment="1" applyBorder="1" applyFont="1">
      <alignment horizontal="center"/>
    </xf>
    <xf borderId="1" fillId="11" fontId="4" numFmtId="0" xfId="0" applyAlignment="1" applyBorder="1" applyFont="1">
      <alignment horizontal="center" readingOrder="0" vertical="bottom"/>
    </xf>
    <xf borderId="4" fillId="8" fontId="3" numFmtId="0" xfId="0" applyAlignment="1" applyBorder="1" applyFont="1">
      <alignment horizontal="center"/>
    </xf>
    <xf borderId="0" fillId="25" fontId="4" numFmtId="0" xfId="0" applyAlignment="1" applyFill="1" applyFont="1">
      <alignment horizontal="center" vertical="bottom"/>
    </xf>
    <xf borderId="1" fillId="11" fontId="3" numFmtId="0" xfId="0" applyAlignment="1" applyBorder="1" applyFont="1">
      <alignment horizontal="center"/>
    </xf>
    <xf borderId="1" fillId="0" fontId="4" numFmtId="0" xfId="0" applyAlignment="1" applyBorder="1" applyFont="1">
      <alignment horizontal="center" readingOrder="0" vertical="bottom"/>
    </xf>
    <xf borderId="1" fillId="21" fontId="4" numFmtId="0" xfId="0" applyAlignment="1" applyBorder="1" applyFont="1">
      <alignment horizontal="center" vertical="bottom"/>
    </xf>
    <xf borderId="0" fillId="22" fontId="4" numFmtId="0" xfId="0" applyAlignment="1" applyFont="1">
      <alignment horizontal="center" vertical="bottom"/>
    </xf>
    <xf borderId="6" fillId="3" fontId="4" numFmtId="0" xfId="0" applyAlignment="1" applyBorder="1" applyFont="1">
      <alignment vertical="bottom"/>
    </xf>
    <xf borderId="6" fillId="3" fontId="4" numFmtId="164" xfId="0" applyAlignment="1" applyBorder="1" applyFont="1" applyNumberFormat="1">
      <alignment horizontal="right" vertical="bottom"/>
    </xf>
    <xf borderId="6" fillId="5" fontId="4" numFmtId="164" xfId="0" applyAlignment="1" applyBorder="1" applyFont="1" applyNumberFormat="1">
      <alignment horizontal="right" vertical="bottom"/>
    </xf>
    <xf borderId="6" fillId="8" fontId="4" numFmtId="0" xfId="0" applyAlignment="1" applyBorder="1" applyFont="1">
      <alignment horizontal="center" vertical="bottom"/>
    </xf>
    <xf borderId="1" fillId="19" fontId="3" numFmtId="0" xfId="0" applyAlignment="1" applyBorder="1" applyFont="1">
      <alignment horizontal="center"/>
    </xf>
    <xf borderId="1" fillId="19" fontId="4" numFmtId="0" xfId="0" applyAlignment="1" applyBorder="1" applyFont="1">
      <alignment horizontal="center" vertical="bottom"/>
    </xf>
    <xf borderId="1" fillId="19" fontId="3" numFmtId="0" xfId="0" applyAlignment="1" applyBorder="1" applyFont="1">
      <alignment readingOrder="0"/>
    </xf>
    <xf borderId="0" fillId="0" fontId="4" numFmtId="164" xfId="0" applyFont="1" applyNumberFormat="1"/>
    <xf borderId="0" fillId="8" fontId="4" numFmtId="0" xfId="0" applyAlignment="1" applyFont="1">
      <alignment horizontal="center"/>
    </xf>
    <xf borderId="1" fillId="26" fontId="6" numFmtId="0" xfId="0" applyAlignment="1" applyBorder="1" applyFill="1" applyFont="1">
      <alignment horizontal="left" readingOrder="0"/>
    </xf>
    <xf borderId="4" fillId="7" fontId="3" numFmtId="0" xfId="0" applyAlignment="1" applyBorder="1" applyFont="1">
      <alignment horizontal="center" readingOrder="0"/>
    </xf>
    <xf borderId="0" fillId="26" fontId="6" numFmtId="0" xfId="0" applyAlignment="1" applyFont="1">
      <alignment horizontal="left" readingOrder="0"/>
    </xf>
    <xf borderId="1" fillId="8" fontId="3" numFmtId="0" xfId="0" applyAlignment="1" applyBorder="1" applyFont="1">
      <alignment horizontal="center"/>
    </xf>
    <xf borderId="1" fillId="0" fontId="3" numFmtId="0" xfId="0" applyAlignment="1" applyBorder="1" applyFont="1">
      <alignment horizontal="center" readingOrder="0"/>
    </xf>
    <xf borderId="1" fillId="11" fontId="3" numFmtId="0" xfId="0" applyAlignment="1" applyBorder="1" applyFont="1">
      <alignment horizontal="center" readingOrder="0"/>
    </xf>
    <xf borderId="6" fillId="0" fontId="3" numFmtId="0" xfId="0" applyBorder="1" applyFont="1"/>
    <xf borderId="6" fillId="0" fontId="3" numFmtId="164" xfId="0" applyBorder="1" applyFont="1" applyNumberFormat="1"/>
    <xf borderId="6" fillId="3" fontId="4" numFmtId="0" xfId="0" applyAlignment="1" applyBorder="1" applyFont="1">
      <alignment horizontal="center" vertical="bottom"/>
    </xf>
    <xf borderId="6" fillId="0" fontId="3" numFmtId="0" xfId="0" applyAlignment="1" applyBorder="1" applyFont="1">
      <alignment horizontal="center"/>
    </xf>
    <xf borderId="6" fillId="8" fontId="3" numFmtId="0" xfId="0" applyAlignment="1" applyBorder="1" applyFont="1">
      <alignment horizontal="center"/>
    </xf>
    <xf borderId="6" fillId="0" fontId="3" numFmtId="0" xfId="0" applyAlignment="1" applyBorder="1" applyFont="1">
      <alignment horizontal="center" readingOrder="0"/>
    </xf>
    <xf borderId="6" fillId="11" fontId="3" numFmtId="0" xfId="0" applyAlignment="1" applyBorder="1" applyFont="1">
      <alignment horizontal="center" readingOrder="0"/>
    </xf>
    <xf borderId="6" fillId="3" fontId="3" numFmtId="0" xfId="0" applyBorder="1" applyFont="1"/>
    <xf borderId="6" fillId="0" fontId="4" numFmtId="0" xfId="0" applyAlignment="1" applyBorder="1" applyFont="1">
      <alignment shrinkToFit="0" vertical="bottom" wrapText="0"/>
    </xf>
    <xf borderId="6" fillId="3" fontId="0" numFmtId="0" xfId="0" applyAlignment="1" applyBorder="1" applyFont="1">
      <alignment horizontal="center" readingOrder="0"/>
    </xf>
    <xf borderId="0" fillId="27" fontId="4" numFmtId="0" xfId="0" applyAlignment="1" applyFill="1" applyFont="1">
      <alignment horizontal="center" vertical="bottom"/>
    </xf>
    <xf borderId="0" fillId="18" fontId="6" numFmtId="0" xfId="0" applyAlignment="1" applyFont="1">
      <alignment horizontal="left" readingOrder="0"/>
    </xf>
    <xf borderId="0" fillId="19" fontId="3" numFmtId="0" xfId="0" applyAlignment="1" applyFont="1">
      <alignment horizontal="center" readingOrder="0"/>
    </xf>
    <xf borderId="0" fillId="22" fontId="4" numFmtId="0" xfId="0" applyAlignment="1" applyFont="1">
      <alignment horizontal="center" readingOrder="0" vertical="bottom"/>
    </xf>
    <xf borderId="0" fillId="18" fontId="4" numFmtId="0" xfId="0" applyAlignment="1" applyFont="1">
      <alignment vertical="bottom"/>
    </xf>
    <xf borderId="3" fillId="19" fontId="3" numFmtId="0" xfId="0" applyAlignment="1" applyBorder="1" applyFont="1">
      <alignment horizontal="center"/>
    </xf>
    <xf borderId="0" fillId="19" fontId="4" numFmtId="0" xfId="0" applyAlignment="1" applyFont="1">
      <alignment vertical="bottom"/>
    </xf>
    <xf borderId="5" fillId="18" fontId="3" numFmtId="0" xfId="0" applyAlignment="1" applyBorder="1" applyFont="1">
      <alignment horizontal="center"/>
    </xf>
    <xf borderId="0" fillId="7" fontId="4" numFmtId="164" xfId="0" applyFont="1" applyNumberFormat="1"/>
    <xf borderId="6" fillId="19" fontId="4" numFmtId="0" xfId="0" applyAlignment="1" applyBorder="1" applyFont="1">
      <alignment horizontal="center" vertical="bottom"/>
    </xf>
    <xf borderId="0" fillId="19" fontId="3" numFmtId="164" xfId="0" applyFont="1" applyNumberFormat="1"/>
    <xf borderId="0" fillId="19" fontId="4" numFmtId="164" xfId="0" applyFont="1" applyNumberFormat="1"/>
    <xf borderId="0" fillId="18" fontId="4" numFmtId="164" xfId="0" applyFont="1" applyNumberFormat="1"/>
    <xf borderId="0" fillId="18" fontId="4" numFmtId="0" xfId="0" applyAlignment="1" applyFont="1">
      <alignment horizontal="center"/>
    </xf>
    <xf borderId="0" fillId="19" fontId="3" numFmtId="0" xfId="0" applyFont="1"/>
    <xf borderId="0" fillId="0" fontId="0" numFmtId="0" xfId="0" applyAlignment="1" applyFont="1">
      <alignment horizontal="center" readingOrder="0"/>
    </xf>
    <xf borderId="0" fillId="3" fontId="5" numFmtId="0" xfId="0" applyAlignment="1" applyFont="1">
      <alignment shrinkToFit="0" vertical="bottom" wrapText="1"/>
    </xf>
    <xf borderId="0" fillId="0" fontId="5" numFmtId="0" xfId="0" applyAlignment="1" applyFont="1">
      <alignment shrinkToFit="0" vertical="bottom" wrapText="1"/>
    </xf>
    <xf borderId="0" fillId="0" fontId="5" numFmtId="0" xfId="0" applyAlignment="1" applyFont="1">
      <alignment shrinkToFit="0" vertical="bottom" wrapText="1"/>
    </xf>
    <xf borderId="0" fillId="0" fontId="5" numFmtId="0" xfId="0" applyAlignment="1" applyFont="1">
      <alignment horizontal="left" shrinkToFit="0" vertical="bottom" wrapText="1"/>
    </xf>
    <xf borderId="7" fillId="0" fontId="5" numFmtId="0" xfId="0" applyAlignment="1" applyBorder="1" applyFont="1">
      <alignment shrinkToFit="0" vertical="bottom" wrapText="0"/>
    </xf>
    <xf borderId="0" fillId="8" fontId="5" numFmtId="0" xfId="0" applyAlignment="1" applyFont="1">
      <alignment readingOrder="0" shrinkToFit="0" vertical="bottom" wrapText="1"/>
    </xf>
    <xf borderId="7" fillId="0" fontId="5" numFmtId="0" xfId="0" applyAlignment="1" applyBorder="1" applyFont="1">
      <alignment shrinkToFit="0" vertical="bottom" wrapText="1"/>
    </xf>
    <xf borderId="0" fillId="3" fontId="5" numFmtId="0" xfId="0" applyAlignment="1" applyFont="1">
      <alignment horizontal="left" shrinkToFit="0" vertical="bottom" wrapText="1"/>
    </xf>
    <xf borderId="7" fillId="3" fontId="5" numFmtId="0" xfId="0" applyAlignment="1" applyBorder="1" applyFont="1">
      <alignment shrinkToFit="0" vertical="bottom" wrapText="1"/>
    </xf>
    <xf borderId="0" fillId="28" fontId="5" numFmtId="0" xfId="0" applyAlignment="1" applyFill="1" applyFont="1">
      <alignment shrinkToFit="0" vertical="bottom" wrapText="1"/>
    </xf>
    <xf borderId="0" fillId="15" fontId="5" numFmtId="0" xfId="0" applyAlignment="1" applyFont="1">
      <alignment shrinkToFit="0" vertical="bottom" wrapText="1"/>
    </xf>
    <xf borderId="0" fillId="9" fontId="5" numFmtId="0" xfId="0" applyAlignment="1" applyFont="1">
      <alignment shrinkToFit="0" vertical="bottom" wrapText="1"/>
    </xf>
    <xf borderId="0" fillId="29" fontId="5" numFmtId="0" xfId="0" applyAlignment="1" applyFill="1" applyFont="1">
      <alignment shrinkToFit="0" vertical="bottom" wrapText="1"/>
    </xf>
    <xf borderId="7" fillId="0" fontId="5" numFmtId="0" xfId="0" applyAlignment="1" applyBorder="1" applyFont="1">
      <alignment readingOrder="0" shrinkToFit="0" vertical="bottom" wrapText="1"/>
    </xf>
    <xf borderId="0" fillId="8" fontId="5" numFmtId="0" xfId="0" applyAlignment="1" applyFont="1">
      <alignment shrinkToFit="0" vertical="bottom" wrapText="1"/>
    </xf>
    <xf borderId="0" fillId="3" fontId="5" numFmtId="0" xfId="0" applyAlignment="1" applyFont="1">
      <alignment shrinkToFit="0" vertical="bottom" wrapText="1"/>
    </xf>
    <xf borderId="0" fillId="30" fontId="5" numFmtId="0" xfId="0" applyAlignment="1" applyFill="1" applyFont="1">
      <alignment shrinkToFit="0" vertical="bottom" wrapText="1"/>
    </xf>
    <xf borderId="0" fillId="14" fontId="5" numFmtId="0" xfId="0" applyAlignment="1" applyFont="1">
      <alignment shrinkToFit="0" vertical="bottom" wrapText="0"/>
    </xf>
    <xf borderId="8" fillId="0" fontId="5" numFmtId="0" xfId="0" applyAlignment="1" applyBorder="1" applyFont="1">
      <alignment shrinkToFit="0" vertical="bottom" wrapText="1"/>
    </xf>
    <xf borderId="0" fillId="24" fontId="5" numFmtId="0" xfId="0" applyAlignment="1" applyFont="1">
      <alignment shrinkToFit="0" vertical="bottom" wrapText="1"/>
    </xf>
    <xf borderId="0" fillId="31" fontId="7" numFmtId="0" xfId="0" applyAlignment="1" applyFill="1" applyFont="1">
      <alignment shrinkToFit="0" vertical="bottom" wrapText="1"/>
    </xf>
    <xf borderId="0" fillId="3" fontId="8" numFmtId="0" xfId="0" applyAlignment="1" applyFont="1">
      <alignment vertical="bottom"/>
    </xf>
    <xf borderId="0" fillId="0" fontId="8" numFmtId="169" xfId="0" applyAlignment="1" applyFont="1" applyNumberFormat="1">
      <alignment horizontal="right" vertical="bottom"/>
    </xf>
    <xf borderId="0" fillId="0" fontId="8" numFmtId="0" xfId="0" applyAlignment="1" applyFont="1">
      <alignment vertical="bottom"/>
    </xf>
    <xf borderId="0" fillId="0" fontId="8" numFmtId="0" xfId="0" applyAlignment="1" applyFont="1">
      <alignment horizontal="center" vertical="bottom"/>
    </xf>
    <xf borderId="0" fillId="0" fontId="9" numFmtId="0" xfId="0" applyAlignment="1" applyFont="1">
      <alignment horizontal="left" shrinkToFit="0" vertical="bottom" wrapText="0"/>
    </xf>
    <xf borderId="0" fillId="0" fontId="8" numFmtId="0" xfId="0" applyAlignment="1" applyFont="1">
      <alignment horizontal="center" vertical="bottom"/>
    </xf>
    <xf borderId="8" fillId="0" fontId="8" numFmtId="0" xfId="0" applyAlignment="1" applyBorder="1" applyFont="1">
      <alignment shrinkToFit="0" vertical="bottom" wrapText="0"/>
    </xf>
    <xf borderId="0" fillId="0" fontId="8" numFmtId="170" xfId="0" applyAlignment="1" applyFont="1" applyNumberFormat="1">
      <alignment horizontal="center" vertical="bottom"/>
    </xf>
    <xf borderId="0" fillId="0" fontId="8" numFmtId="170" xfId="0" applyAlignment="1" applyFont="1" applyNumberFormat="1">
      <alignment vertical="bottom"/>
    </xf>
    <xf borderId="0" fillId="0" fontId="8" numFmtId="0" xfId="0" applyFont="1"/>
    <xf borderId="0" fillId="0" fontId="8" numFmtId="0" xfId="0" applyFont="1"/>
    <xf borderId="0" fillId="0" fontId="8" numFmtId="0" xfId="0" applyAlignment="1" applyFont="1">
      <alignment vertical="bottom"/>
    </xf>
    <xf borderId="7" fillId="0" fontId="8" numFmtId="0" xfId="0" applyBorder="1" applyFont="1"/>
    <xf borderId="0" fillId="0" fontId="8" numFmtId="168" xfId="0" applyAlignment="1" applyFont="1" applyNumberFormat="1">
      <alignment horizontal="right" vertical="bottom"/>
    </xf>
    <xf borderId="0" fillId="0" fontId="8" numFmtId="167" xfId="0" applyAlignment="1" applyFont="1" applyNumberFormat="1">
      <alignment horizontal="right" vertical="bottom"/>
    </xf>
    <xf borderId="0" fillId="3" fontId="8" numFmtId="0" xfId="0" applyAlignment="1" applyFont="1">
      <alignment horizontal="center" vertical="bottom"/>
    </xf>
    <xf borderId="7" fillId="3" fontId="8" numFmtId="0" xfId="0" applyAlignment="1" applyBorder="1" applyFont="1">
      <alignment horizontal="center" vertical="bottom"/>
    </xf>
    <xf borderId="7" fillId="8" fontId="8" numFmtId="0" xfId="0" applyAlignment="1" applyBorder="1" applyFont="1">
      <alignment horizontal="center" vertical="bottom"/>
    </xf>
    <xf borderId="0" fillId="3" fontId="8" numFmtId="0" xfId="0" applyAlignment="1" applyFont="1">
      <alignment horizontal="center" vertical="bottom"/>
    </xf>
    <xf borderId="0" fillId="3" fontId="8" numFmtId="0" xfId="0" applyAlignment="1" applyFont="1">
      <alignment vertical="bottom"/>
    </xf>
    <xf borderId="0" fillId="8" fontId="8" numFmtId="0" xfId="0" applyAlignment="1" applyFont="1">
      <alignment vertical="bottom"/>
    </xf>
    <xf borderId="0" fillId="30" fontId="8" numFmtId="0" xfId="0" applyAlignment="1" applyFont="1">
      <alignment horizontal="center" vertical="bottom"/>
    </xf>
    <xf borderId="0" fillId="14" fontId="8" numFmtId="0" xfId="0" applyAlignment="1" applyFont="1">
      <alignment shrinkToFit="0" vertical="bottom" wrapText="0"/>
    </xf>
    <xf borderId="0" fillId="0" fontId="8" numFmtId="0" xfId="0" applyAlignment="1" applyFont="1">
      <alignment horizontal="left" vertical="bottom"/>
    </xf>
    <xf borderId="0" fillId="0" fontId="8" numFmtId="0" xfId="0" applyAlignment="1" applyFont="1">
      <alignment horizontal="center"/>
    </xf>
    <xf borderId="0" fillId="26" fontId="10" numFmtId="0" xfId="0" applyFont="1"/>
    <xf borderId="8" fillId="0" fontId="8" numFmtId="0" xfId="0" applyAlignment="1" applyBorder="1" applyFont="1">
      <alignment vertical="bottom"/>
    </xf>
    <xf borderId="9" fillId="0" fontId="8" numFmtId="0" xfId="0" applyAlignment="1" applyBorder="1" applyFont="1">
      <alignment horizontal="center" vertical="bottom"/>
    </xf>
    <xf borderId="0" fillId="31" fontId="4" numFmtId="0" xfId="0" applyAlignment="1" applyFont="1">
      <alignment horizontal="center" vertical="bottom"/>
    </xf>
    <xf borderId="0" fillId="3" fontId="4" numFmtId="164" xfId="0" applyAlignment="1" applyFont="1" applyNumberFormat="1">
      <alignment horizontal="center" vertical="bottom"/>
    </xf>
    <xf borderId="0" fillId="3" fontId="4" numFmtId="0" xfId="0" applyAlignment="1" applyFont="1">
      <alignment vertical="bottom"/>
    </xf>
    <xf borderId="8" fillId="0" fontId="8" numFmtId="0" xfId="0" applyAlignment="1" applyBorder="1" applyFont="1">
      <alignment vertical="bottom"/>
    </xf>
    <xf borderId="8" fillId="0" fontId="8" numFmtId="0" xfId="0" applyAlignment="1" applyBorder="1" applyFont="1">
      <alignment shrinkToFit="0" vertical="bottom" wrapText="0"/>
    </xf>
    <xf borderId="7" fillId="0" fontId="8" numFmtId="0" xfId="0" applyAlignment="1" applyBorder="1" applyFont="1">
      <alignment horizontal="center" readingOrder="0" vertical="bottom"/>
    </xf>
    <xf borderId="0" fillId="14" fontId="8" numFmtId="0" xfId="0" applyAlignment="1" applyFont="1">
      <alignment readingOrder="0" shrinkToFit="0" vertical="bottom" wrapText="0"/>
    </xf>
    <xf borderId="8" fillId="7" fontId="8" numFmtId="0" xfId="0" applyAlignment="1" applyBorder="1" applyFont="1">
      <alignment shrinkToFit="0" vertical="bottom" wrapText="0"/>
    </xf>
    <xf borderId="0" fillId="32" fontId="8" numFmtId="0" xfId="0" applyAlignment="1" applyFill="1" applyFont="1">
      <alignment horizontal="center" vertical="bottom"/>
    </xf>
    <xf borderId="0" fillId="0" fontId="8" numFmtId="0" xfId="0" applyAlignment="1" applyFont="1">
      <alignment horizontal="left" shrinkToFit="0" vertical="bottom" wrapText="0"/>
    </xf>
    <xf borderId="0" fillId="0" fontId="11" numFmtId="0" xfId="0" applyAlignment="1" applyFont="1">
      <alignment horizontal="left" shrinkToFit="0" vertical="bottom" wrapText="0"/>
    </xf>
    <xf borderId="7" fillId="0" fontId="8" numFmtId="0" xfId="0" applyBorder="1" applyFont="1"/>
    <xf borderId="0" fillId="20" fontId="8" numFmtId="169" xfId="0" applyAlignment="1" applyFont="1" applyNumberFormat="1">
      <alignment horizontal="right" vertical="bottom"/>
    </xf>
    <xf borderId="0" fillId="0" fontId="8" numFmtId="0" xfId="0" applyAlignment="1" applyFont="1">
      <alignment readingOrder="0"/>
    </xf>
    <xf borderId="7" fillId="0" fontId="8" numFmtId="0" xfId="0" applyAlignment="1" applyBorder="1" applyFont="1">
      <alignment readingOrder="0"/>
    </xf>
    <xf borderId="0" fillId="0" fontId="8" numFmtId="168" xfId="0" applyAlignment="1" applyFont="1" applyNumberFormat="1">
      <alignment horizontal="right" readingOrder="0" vertical="bottom"/>
    </xf>
    <xf borderId="0" fillId="0" fontId="8" numFmtId="171" xfId="0" applyAlignment="1" applyFont="1" applyNumberFormat="1">
      <alignment horizontal="right" readingOrder="0" vertical="bottom"/>
    </xf>
    <xf borderId="0" fillId="0" fontId="8" numFmtId="0" xfId="0" applyAlignment="1" applyFont="1">
      <alignment readingOrder="0" vertical="bottom"/>
    </xf>
    <xf borderId="0" fillId="0" fontId="8" numFmtId="0" xfId="0" applyAlignment="1" applyFont="1">
      <alignment readingOrder="0" shrinkToFit="0" vertical="bottom" wrapText="0"/>
    </xf>
    <xf borderId="0" fillId="0" fontId="8" numFmtId="0" xfId="0" applyAlignment="1" applyFont="1">
      <alignment horizontal="center" readingOrder="0" vertical="bottom"/>
    </xf>
    <xf borderId="7" fillId="3" fontId="8" numFmtId="0" xfId="0" applyBorder="1" applyFont="1"/>
    <xf borderId="0" fillId="0" fontId="8" numFmtId="0" xfId="0" applyAlignment="1" applyFont="1">
      <alignment horizontal="center"/>
    </xf>
    <xf borderId="7" fillId="0" fontId="8" numFmtId="0" xfId="0" applyAlignment="1" applyBorder="1" applyFont="1">
      <alignment horizontal="center" vertical="bottom"/>
    </xf>
    <xf borderId="0" fillId="3" fontId="8" numFmtId="0" xfId="0" applyAlignment="1" applyFont="1">
      <alignment horizontal="center" readingOrder="0" vertical="bottom"/>
    </xf>
    <xf borderId="0" fillId="3" fontId="8" numFmtId="0" xfId="0" applyAlignment="1" applyFont="1">
      <alignment horizontal="right" readingOrder="0" vertical="bottom"/>
    </xf>
    <xf borderId="0" fillId="8" fontId="10" numFmtId="0" xfId="0" applyAlignment="1" applyFont="1">
      <alignment horizontal="left"/>
    </xf>
    <xf borderId="0" fillId="0" fontId="8" numFmtId="0" xfId="0" applyAlignment="1" applyFont="1">
      <alignment horizontal="left" readingOrder="0" vertical="bottom"/>
    </xf>
    <xf borderId="8" fillId="0" fontId="8" numFmtId="0" xfId="0" applyAlignment="1" applyBorder="1" applyFont="1">
      <alignment readingOrder="0"/>
    </xf>
    <xf borderId="7" fillId="0" fontId="8" numFmtId="0" xfId="0" applyAlignment="1" applyBorder="1" applyFont="1">
      <alignment horizontal="center" vertical="bottom"/>
    </xf>
    <xf borderId="0" fillId="19" fontId="8" numFmtId="169" xfId="0" applyAlignment="1" applyFont="1" applyNumberFormat="1">
      <alignment horizontal="right" vertical="bottom"/>
    </xf>
    <xf borderId="0" fillId="0" fontId="8" numFmtId="170" xfId="0" applyAlignment="1" applyFont="1" applyNumberFormat="1">
      <alignment horizontal="center" readingOrder="0" vertical="bottom"/>
    </xf>
    <xf borderId="0" fillId="0" fontId="8" numFmtId="170" xfId="0" applyAlignment="1" applyFont="1" applyNumberFormat="1">
      <alignment readingOrder="0" vertical="bottom"/>
    </xf>
    <xf borderId="0" fillId="0" fontId="8" numFmtId="0" xfId="0" applyAlignment="1" applyFont="1">
      <alignment horizontal="center" readingOrder="0"/>
    </xf>
    <xf borderId="0" fillId="19" fontId="8" numFmtId="0" xfId="0" applyAlignment="1" applyFont="1">
      <alignment horizontal="left" readingOrder="0" vertical="bottom"/>
    </xf>
    <xf borderId="8" fillId="0" fontId="8" numFmtId="0" xfId="0" applyBorder="1" applyFont="1"/>
    <xf borderId="0" fillId="0" fontId="8" numFmtId="0" xfId="0" applyAlignment="1" applyFont="1">
      <alignment horizontal="left" readingOrder="0" shrinkToFit="0" vertical="bottom" wrapText="0"/>
    </xf>
    <xf borderId="0" fillId="0" fontId="8" numFmtId="172" xfId="0" applyAlignment="1" applyFont="1" applyNumberFormat="1">
      <alignment horizontal="center" vertical="bottom"/>
    </xf>
    <xf borderId="0" fillId="9" fontId="8" numFmtId="0" xfId="0" applyAlignment="1" applyFont="1">
      <alignment horizontal="center" vertical="bottom"/>
    </xf>
    <xf borderId="0" fillId="9" fontId="8" numFmtId="0" xfId="0" applyAlignment="1" applyFont="1">
      <alignment horizontal="center" vertical="bottom"/>
    </xf>
    <xf borderId="0" fillId="0" fontId="8" numFmtId="173" xfId="0" applyAlignment="1" applyFont="1" applyNumberFormat="1">
      <alignment horizontal="right" readingOrder="0" vertical="bottom"/>
    </xf>
    <xf borderId="0" fillId="0" fontId="8" numFmtId="0" xfId="0" applyAlignment="1" applyFont="1">
      <alignment shrinkToFit="0" vertical="bottom" wrapText="0"/>
    </xf>
    <xf borderId="7" fillId="8" fontId="8" numFmtId="0" xfId="0" applyAlignment="1" applyBorder="1" applyFont="1">
      <alignment horizontal="center" vertical="bottom"/>
    </xf>
    <xf borderId="0" fillId="0" fontId="10" numFmtId="0" xfId="0" applyAlignment="1" applyFont="1">
      <alignment horizontal="left" shrinkToFit="0" vertical="bottom" wrapText="0"/>
    </xf>
    <xf borderId="7" fillId="8" fontId="8" numFmtId="0" xfId="0" applyAlignment="1" applyBorder="1" applyFont="1">
      <alignment horizontal="center" readingOrder="0" vertical="bottom"/>
    </xf>
    <xf borderId="0" fillId="7" fontId="12" numFmtId="0" xfId="0" applyAlignment="1" applyFont="1">
      <alignment horizontal="left" shrinkToFit="0" vertical="bottom" wrapText="0"/>
    </xf>
    <xf borderId="0" fillId="0" fontId="13" numFmtId="0" xfId="0" applyAlignment="1" applyFont="1">
      <alignment horizontal="left" readingOrder="0" shrinkToFit="0" vertical="bottom" wrapText="0"/>
    </xf>
    <xf borderId="0" fillId="8" fontId="8" numFmtId="0" xfId="0" applyAlignment="1" applyFont="1">
      <alignment readingOrder="0" vertical="bottom"/>
    </xf>
    <xf borderId="0" fillId="0" fontId="8" numFmtId="1" xfId="0" applyAlignment="1" applyFont="1" applyNumberFormat="1">
      <alignment horizontal="center" vertical="bottom"/>
    </xf>
    <xf borderId="0" fillId="3" fontId="8" numFmtId="0" xfId="0" applyAlignment="1" applyFont="1">
      <alignment horizontal="right" vertical="bottom"/>
    </xf>
    <xf borderId="1" fillId="3" fontId="8" numFmtId="0" xfId="0" applyAlignment="1" applyBorder="1" applyFont="1">
      <alignment vertical="bottom"/>
    </xf>
    <xf borderId="1" fillId="0" fontId="8" numFmtId="169" xfId="0" applyAlignment="1" applyBorder="1" applyFont="1" applyNumberFormat="1">
      <alignment horizontal="right" vertical="bottom"/>
    </xf>
    <xf borderId="1" fillId="0" fontId="8" numFmtId="0" xfId="0" applyAlignment="1" applyBorder="1" applyFont="1">
      <alignment vertical="bottom"/>
    </xf>
    <xf borderId="1" fillId="0" fontId="8" numFmtId="0" xfId="0" applyAlignment="1" applyBorder="1" applyFont="1">
      <alignment horizontal="center" vertical="bottom"/>
    </xf>
    <xf borderId="1" fillId="0" fontId="14" numFmtId="0" xfId="0" applyAlignment="1" applyBorder="1" applyFont="1">
      <alignment horizontal="left" shrinkToFit="0" vertical="bottom" wrapText="0"/>
    </xf>
    <xf borderId="10" fillId="0" fontId="8" numFmtId="0" xfId="0" applyAlignment="1" applyBorder="1" applyFont="1">
      <alignment shrinkToFit="0" vertical="bottom" wrapText="0"/>
    </xf>
    <xf borderId="1" fillId="0" fontId="8" numFmtId="0" xfId="0" applyAlignment="1" applyBorder="1" applyFont="1">
      <alignment horizontal="center" vertical="bottom"/>
    </xf>
    <xf borderId="1" fillId="0" fontId="8" numFmtId="170" xfId="0" applyAlignment="1" applyBorder="1" applyFont="1" applyNumberFormat="1">
      <alignment horizontal="center" vertical="bottom"/>
    </xf>
    <xf borderId="1" fillId="0" fontId="8" numFmtId="170" xfId="0" applyAlignment="1" applyBorder="1" applyFont="1" applyNumberFormat="1">
      <alignment vertical="bottom"/>
    </xf>
    <xf borderId="1" fillId="0" fontId="8" numFmtId="0" xfId="0" applyBorder="1" applyFont="1"/>
    <xf borderId="1" fillId="0" fontId="8" numFmtId="0" xfId="0" applyBorder="1" applyFont="1"/>
    <xf borderId="11" fillId="0" fontId="8" numFmtId="0" xfId="0" applyBorder="1" applyFont="1"/>
    <xf borderId="1" fillId="0" fontId="8" numFmtId="168" xfId="0" applyAlignment="1" applyBorder="1" applyFont="1" applyNumberFormat="1">
      <alignment horizontal="right" vertical="bottom"/>
    </xf>
    <xf borderId="1" fillId="0" fontId="8" numFmtId="167" xfId="0" applyAlignment="1" applyBorder="1" applyFont="1" applyNumberFormat="1">
      <alignment horizontal="right" vertical="bottom"/>
    </xf>
    <xf borderId="1" fillId="0" fontId="8" numFmtId="0" xfId="0" applyAlignment="1" applyBorder="1" applyFont="1">
      <alignment vertical="bottom"/>
    </xf>
    <xf borderId="1" fillId="3" fontId="8" numFmtId="0" xfId="0" applyAlignment="1" applyBorder="1" applyFont="1">
      <alignment horizontal="center" vertical="bottom"/>
    </xf>
    <xf borderId="11" fillId="3" fontId="8" numFmtId="0" xfId="0" applyAlignment="1" applyBorder="1" applyFont="1">
      <alignment horizontal="center" vertical="bottom"/>
    </xf>
    <xf borderId="11" fillId="0" fontId="8" numFmtId="0" xfId="0" applyAlignment="1" applyBorder="1" applyFont="1">
      <alignment horizontal="center" readingOrder="0" vertical="bottom"/>
    </xf>
    <xf borderId="1" fillId="3" fontId="8" numFmtId="0" xfId="0" applyAlignment="1" applyBorder="1" applyFont="1">
      <alignment horizontal="center" vertical="bottom"/>
    </xf>
    <xf borderId="1" fillId="3" fontId="8" numFmtId="0" xfId="0" applyAlignment="1" applyBorder="1" applyFont="1">
      <alignment vertical="bottom"/>
    </xf>
    <xf borderId="1" fillId="8" fontId="8" numFmtId="0" xfId="0" applyAlignment="1" applyBorder="1" applyFont="1">
      <alignment vertical="bottom"/>
    </xf>
    <xf borderId="1" fillId="30" fontId="8" numFmtId="0" xfId="0" applyAlignment="1" applyBorder="1" applyFont="1">
      <alignment horizontal="center" vertical="bottom"/>
    </xf>
    <xf borderId="1" fillId="14" fontId="15" numFmtId="0" xfId="0" applyAlignment="1" applyBorder="1" applyFont="1">
      <alignment readingOrder="0" shrinkToFit="0" vertical="bottom" wrapText="0"/>
    </xf>
    <xf borderId="1" fillId="0" fontId="8" numFmtId="0" xfId="0" applyAlignment="1" applyBorder="1" applyFont="1">
      <alignment horizontal="left" vertical="bottom"/>
    </xf>
    <xf borderId="1" fillId="0" fontId="8" numFmtId="0" xfId="0" applyAlignment="1" applyBorder="1" applyFont="1">
      <alignment horizontal="center"/>
    </xf>
    <xf borderId="1" fillId="26" fontId="10" numFmtId="0" xfId="0" applyBorder="1" applyFont="1"/>
    <xf borderId="1" fillId="32" fontId="8" numFmtId="0" xfId="0" applyAlignment="1" applyBorder="1" applyFont="1">
      <alignment horizontal="center" vertical="bottom"/>
    </xf>
    <xf borderId="10" fillId="0" fontId="8" numFmtId="0" xfId="0" applyAlignment="1" applyBorder="1" applyFont="1">
      <alignment vertical="bottom"/>
    </xf>
    <xf borderId="12" fillId="0" fontId="8" numFmtId="0" xfId="0" applyAlignment="1" applyBorder="1" applyFont="1">
      <alignment horizontal="center" vertical="bottom"/>
    </xf>
    <xf borderId="1" fillId="31" fontId="4" numFmtId="0" xfId="0" applyAlignment="1" applyBorder="1" applyFont="1">
      <alignment horizontal="center" vertical="bottom"/>
    </xf>
    <xf borderId="1" fillId="3" fontId="4" numFmtId="164" xfId="0" applyAlignment="1" applyBorder="1" applyFont="1" applyNumberFormat="1">
      <alignment horizontal="center" vertical="bottom"/>
    </xf>
    <xf borderId="1" fillId="3" fontId="4" numFmtId="0" xfId="0" applyAlignment="1" applyBorder="1" applyFont="1">
      <alignment vertical="bottom"/>
    </xf>
    <xf borderId="1" fillId="3" fontId="4" numFmtId="0" xfId="0" applyAlignment="1" applyBorder="1" applyFont="1">
      <alignment horizontal="center" vertical="bottom"/>
    </xf>
    <xf borderId="1" fillId="3" fontId="4" numFmtId="164" xfId="0" applyAlignment="1" applyBorder="1" applyFont="1" applyNumberFormat="1">
      <alignment horizontal="right" vertical="bottom"/>
    </xf>
    <xf borderId="1" fillId="0" fontId="8" numFmtId="0" xfId="0" applyAlignment="1" applyBorder="1" applyFont="1">
      <alignment horizontal="left" shrinkToFit="0" vertical="bottom" wrapText="0"/>
    </xf>
    <xf borderId="1" fillId="0" fontId="16" numFmtId="0" xfId="0" applyAlignment="1" applyBorder="1" applyFont="1">
      <alignment horizontal="left" shrinkToFit="0" vertical="bottom" wrapText="0"/>
    </xf>
    <xf borderId="1" fillId="14" fontId="8" numFmtId="0" xfId="0" applyAlignment="1" applyBorder="1" applyFont="1">
      <alignment readingOrder="0" shrinkToFit="0" vertical="bottom" wrapText="0"/>
    </xf>
    <xf borderId="1" fillId="9" fontId="8" numFmtId="0" xfId="0" applyAlignment="1" applyBorder="1" applyFont="1">
      <alignment horizontal="center" vertical="bottom"/>
    </xf>
    <xf borderId="0" fillId="0" fontId="8" numFmtId="0" xfId="0" applyAlignment="1" applyFont="1">
      <alignment horizontal="left" vertical="bottom"/>
    </xf>
    <xf borderId="0" fillId="14" fontId="17" numFmtId="0" xfId="0" applyAlignment="1" applyFont="1">
      <alignment shrinkToFit="0" vertical="bottom" wrapText="0"/>
    </xf>
    <xf borderId="11" fillId="0" fontId="8" numFmtId="0" xfId="0" applyAlignment="1" applyBorder="1" applyFont="1">
      <alignment horizontal="center" vertical="bottom"/>
    </xf>
    <xf borderId="1" fillId="14" fontId="8" numFmtId="0" xfId="0" applyAlignment="1" applyBorder="1" applyFont="1">
      <alignment shrinkToFit="0" vertical="bottom" wrapText="0"/>
    </xf>
    <xf borderId="1" fillId="20" fontId="8" numFmtId="169" xfId="0" applyAlignment="1" applyBorder="1" applyFont="1" applyNumberFormat="1">
      <alignment horizontal="right" vertical="bottom"/>
    </xf>
    <xf borderId="1" fillId="0" fontId="18" numFmtId="0" xfId="0" applyAlignment="1" applyBorder="1" applyFont="1">
      <alignment horizontal="left" readingOrder="0" shrinkToFit="0" vertical="bottom" wrapText="0"/>
    </xf>
    <xf borderId="1" fillId="0" fontId="8" numFmtId="170" xfId="0" applyAlignment="1" applyBorder="1" applyFont="1" applyNumberFormat="1">
      <alignment horizontal="center" readingOrder="0" vertical="bottom"/>
    </xf>
    <xf borderId="1" fillId="0" fontId="8" numFmtId="170" xfId="0" applyAlignment="1" applyBorder="1" applyFont="1" applyNumberFormat="1">
      <alignment readingOrder="0" vertical="bottom"/>
    </xf>
    <xf borderId="1" fillId="0" fontId="8" numFmtId="0" xfId="0" applyAlignment="1" applyBorder="1" applyFont="1">
      <alignment readingOrder="0"/>
    </xf>
    <xf borderId="11" fillId="0" fontId="8" numFmtId="0" xfId="0" applyAlignment="1" applyBorder="1" applyFont="1">
      <alignment readingOrder="0"/>
    </xf>
    <xf borderId="1" fillId="0" fontId="8" numFmtId="168" xfId="0" applyAlignment="1" applyBorder="1" applyFont="1" applyNumberFormat="1">
      <alignment horizontal="right" readingOrder="0" vertical="bottom"/>
    </xf>
    <xf borderId="1" fillId="0" fontId="8" numFmtId="171" xfId="0" applyAlignment="1" applyBorder="1" applyFont="1" applyNumberFormat="1">
      <alignment horizontal="right" readingOrder="0" vertical="bottom"/>
    </xf>
    <xf borderId="1" fillId="0" fontId="8" numFmtId="0" xfId="0" applyAlignment="1" applyBorder="1" applyFont="1">
      <alignment readingOrder="0" vertical="bottom"/>
    </xf>
    <xf borderId="1" fillId="0" fontId="8" numFmtId="0" xfId="0" applyAlignment="1" applyBorder="1" applyFont="1">
      <alignment shrinkToFit="0" vertical="bottom" wrapText="0"/>
    </xf>
    <xf borderId="1" fillId="0" fontId="8" numFmtId="0" xfId="0" applyAlignment="1" applyBorder="1" applyFont="1">
      <alignment horizontal="center" readingOrder="0" vertical="bottom"/>
    </xf>
    <xf borderId="11" fillId="3" fontId="8" numFmtId="0" xfId="0" applyBorder="1" applyFont="1"/>
    <xf borderId="1" fillId="0" fontId="8" numFmtId="0" xfId="0" applyAlignment="1" applyBorder="1" applyFont="1">
      <alignment horizontal="center"/>
    </xf>
    <xf borderId="11" fillId="0" fontId="8" numFmtId="0" xfId="0" applyAlignment="1" applyBorder="1" applyFont="1">
      <alignment horizontal="center" vertical="bottom"/>
    </xf>
    <xf borderId="1" fillId="3" fontId="8" numFmtId="0" xfId="0" applyAlignment="1" applyBorder="1" applyFont="1">
      <alignment horizontal="center" readingOrder="0" vertical="bottom"/>
    </xf>
    <xf borderId="1" fillId="3" fontId="8" numFmtId="0" xfId="0" applyAlignment="1" applyBorder="1" applyFont="1">
      <alignment horizontal="right" readingOrder="0" vertical="bottom"/>
    </xf>
    <xf borderId="1" fillId="8" fontId="10" numFmtId="0" xfId="0" applyAlignment="1" applyBorder="1" applyFont="1">
      <alignment horizontal="left"/>
    </xf>
    <xf borderId="1" fillId="0" fontId="8" numFmtId="0" xfId="0" applyAlignment="1" applyBorder="1" applyFont="1">
      <alignment horizontal="left" readingOrder="0" vertical="bottom"/>
    </xf>
    <xf borderId="10" fillId="0" fontId="8" numFmtId="0" xfId="0" applyBorder="1" applyFont="1"/>
    <xf borderId="0" fillId="33" fontId="19" numFmtId="0" xfId="0" applyAlignment="1" applyFill="1" applyFont="1">
      <alignment horizontal="left" shrinkToFit="0" vertical="bottom" wrapText="0"/>
    </xf>
    <xf borderId="0" fillId="8" fontId="10" numFmtId="0" xfId="0" applyAlignment="1" applyFont="1">
      <alignment horizontal="left" readingOrder="0"/>
    </xf>
    <xf borderId="0" fillId="0" fontId="8" numFmtId="167" xfId="0" applyAlignment="1" applyFont="1" applyNumberFormat="1">
      <alignment horizontal="right" readingOrder="0" vertical="bottom"/>
    </xf>
    <xf borderId="13" fillId="0" fontId="8" numFmtId="0" xfId="0" applyAlignment="1" applyBorder="1" applyFont="1">
      <alignment horizontal="center" vertical="bottom"/>
    </xf>
    <xf borderId="13" fillId="0" fontId="8" numFmtId="168" xfId="0" applyAlignment="1" applyBorder="1" applyFont="1" applyNumberFormat="1">
      <alignment horizontal="right" readingOrder="0" vertical="bottom"/>
    </xf>
    <xf borderId="13" fillId="0" fontId="8" numFmtId="0" xfId="0" applyAlignment="1" applyBorder="1" applyFont="1">
      <alignment horizontal="center" readingOrder="0" vertical="bottom"/>
    </xf>
    <xf borderId="13" fillId="0" fontId="8" numFmtId="168" xfId="0" applyAlignment="1" applyBorder="1" applyFont="1" applyNumberFormat="1">
      <alignment horizontal="right" vertical="bottom"/>
    </xf>
    <xf borderId="0" fillId="8" fontId="8" numFmtId="0" xfId="0" applyAlignment="1" applyFont="1">
      <alignment horizontal="center" vertical="bottom"/>
    </xf>
    <xf borderId="0" fillId="0" fontId="20" numFmtId="0" xfId="0" applyAlignment="1" applyFont="1">
      <alignment horizontal="left" readingOrder="0" shrinkToFit="0" vertical="bottom" wrapText="0"/>
    </xf>
    <xf borderId="0" fillId="33" fontId="8" numFmtId="0" xfId="0" applyAlignment="1" applyFont="1">
      <alignment horizontal="center" readingOrder="0" vertical="bottom"/>
    </xf>
    <xf borderId="0" fillId="0" fontId="8" numFmtId="20" xfId="0" applyAlignment="1" applyFont="1" applyNumberFormat="1">
      <alignment horizontal="right" vertical="bottom"/>
    </xf>
    <xf borderId="0" fillId="26" fontId="10" numFmtId="0" xfId="0" applyAlignment="1" applyFont="1">
      <alignment horizontal="left" readingOrder="0"/>
    </xf>
    <xf borderId="0" fillId="34" fontId="8" numFmtId="0" xfId="0" applyAlignment="1" applyFill="1" applyFont="1">
      <alignment vertical="bottom"/>
    </xf>
    <xf borderId="0" fillId="34" fontId="8" numFmtId="169" xfId="0" applyAlignment="1" applyFont="1" applyNumberFormat="1">
      <alignment horizontal="right" vertical="bottom"/>
    </xf>
    <xf borderId="0" fillId="34" fontId="8" numFmtId="0" xfId="0" applyAlignment="1" applyFont="1">
      <alignment vertical="bottom"/>
    </xf>
    <xf borderId="0" fillId="34" fontId="8" numFmtId="0" xfId="0" applyAlignment="1" applyFont="1">
      <alignment horizontal="center" vertical="bottom"/>
    </xf>
    <xf borderId="0" fillId="34" fontId="21" numFmtId="0" xfId="0" applyAlignment="1" applyFont="1">
      <alignment horizontal="left" shrinkToFit="0" vertical="bottom" wrapText="0"/>
    </xf>
    <xf borderId="0" fillId="34" fontId="8" numFmtId="0" xfId="0" applyAlignment="1" applyFont="1">
      <alignment horizontal="left" shrinkToFit="0" vertical="bottom" wrapText="0"/>
    </xf>
    <xf borderId="0" fillId="34" fontId="22" numFmtId="0" xfId="0" applyAlignment="1" applyFont="1">
      <alignment horizontal="left" shrinkToFit="0" vertical="bottom" wrapText="0"/>
    </xf>
    <xf borderId="0" fillId="34" fontId="8" numFmtId="0" xfId="0" applyAlignment="1" applyFont="1">
      <alignment shrinkToFit="0" vertical="bottom" wrapText="0"/>
    </xf>
    <xf borderId="13" fillId="34" fontId="8" numFmtId="0" xfId="0" applyAlignment="1" applyBorder="1" applyFont="1">
      <alignment horizontal="center" vertical="bottom"/>
    </xf>
    <xf borderId="0" fillId="34" fontId="8" numFmtId="170" xfId="0" applyAlignment="1" applyFont="1" applyNumberFormat="1">
      <alignment horizontal="center" vertical="bottom"/>
    </xf>
    <xf borderId="0" fillId="34" fontId="8" numFmtId="170" xfId="0" applyAlignment="1" applyFont="1" applyNumberFormat="1">
      <alignment vertical="bottom"/>
    </xf>
    <xf borderId="0" fillId="34" fontId="8" numFmtId="0" xfId="0" applyFont="1"/>
    <xf borderId="0" fillId="34" fontId="8" numFmtId="0" xfId="0" applyFont="1"/>
    <xf borderId="7" fillId="34" fontId="8" numFmtId="0" xfId="0" applyBorder="1" applyFont="1"/>
    <xf borderId="13" fillId="34" fontId="8" numFmtId="168" xfId="0" applyAlignment="1" applyBorder="1" applyFont="1" applyNumberFormat="1">
      <alignment horizontal="right" vertical="bottom"/>
    </xf>
    <xf borderId="0" fillId="34" fontId="8" numFmtId="167" xfId="0" applyAlignment="1" applyFont="1" applyNumberFormat="1">
      <alignment horizontal="right" readingOrder="0" vertical="bottom"/>
    </xf>
    <xf borderId="0" fillId="34" fontId="8" numFmtId="0" xfId="0" applyAlignment="1" applyFont="1">
      <alignment readingOrder="0" vertical="bottom"/>
    </xf>
    <xf borderId="0" fillId="34" fontId="8" numFmtId="0" xfId="0" applyAlignment="1" applyFont="1">
      <alignment horizontal="center" vertical="bottom"/>
    </xf>
    <xf borderId="7" fillId="34" fontId="8" numFmtId="0" xfId="0" applyAlignment="1" applyBorder="1" applyFont="1">
      <alignment horizontal="center" vertical="bottom"/>
    </xf>
    <xf borderId="13" fillId="34" fontId="8" numFmtId="0" xfId="0" applyAlignment="1" applyBorder="1" applyFont="1">
      <alignment horizontal="center" readingOrder="0" vertical="bottom"/>
    </xf>
    <xf borderId="0" fillId="34" fontId="8" numFmtId="0" xfId="0" applyAlignment="1" applyFont="1">
      <alignment horizontal="center" readingOrder="0" vertical="bottom"/>
    </xf>
    <xf borderId="0" fillId="34" fontId="8" numFmtId="0" xfId="0" applyAlignment="1" applyFont="1">
      <alignment horizontal="left" vertical="bottom"/>
    </xf>
    <xf borderId="0" fillId="34" fontId="8" numFmtId="0" xfId="0" applyAlignment="1" applyFont="1">
      <alignment horizontal="center"/>
    </xf>
    <xf borderId="0" fillId="34" fontId="10" numFmtId="0" xfId="0" applyFont="1"/>
    <xf borderId="9" fillId="34" fontId="8" numFmtId="0" xfId="0" applyAlignment="1" applyBorder="1" applyFont="1">
      <alignment horizontal="center" vertical="bottom"/>
    </xf>
    <xf borderId="0" fillId="34" fontId="8" numFmtId="0" xfId="0" applyAlignment="1" applyFont="1">
      <alignment shrinkToFit="0" vertical="bottom" wrapText="0"/>
    </xf>
    <xf borderId="0" fillId="34" fontId="8" numFmtId="167" xfId="0" applyAlignment="1" applyFont="1" applyNumberFormat="1">
      <alignment horizontal="right" vertical="bottom"/>
    </xf>
    <xf borderId="13" fillId="34" fontId="8" numFmtId="0" xfId="0" applyAlignment="1" applyBorder="1" applyFont="1">
      <alignment horizontal="center" vertical="bottom"/>
    </xf>
    <xf borderId="0" fillId="34" fontId="8" numFmtId="0" xfId="0" applyAlignment="1" applyFont="1">
      <alignment horizontal="left" vertical="bottom"/>
    </xf>
    <xf borderId="7" fillId="34" fontId="8" numFmtId="0" xfId="0" applyBorder="1" applyFont="1"/>
    <xf borderId="13" fillId="34" fontId="8" numFmtId="168" xfId="0" applyAlignment="1" applyBorder="1" applyFont="1" applyNumberFormat="1">
      <alignment horizontal="right" readingOrder="0" vertical="bottom"/>
    </xf>
    <xf borderId="0" fillId="34" fontId="8" numFmtId="0" xfId="0" applyAlignment="1" applyFont="1">
      <alignment readingOrder="0"/>
    </xf>
    <xf borderId="7" fillId="34" fontId="8" numFmtId="0" xfId="0" applyAlignment="1" applyBorder="1" applyFont="1">
      <alignment readingOrder="0"/>
    </xf>
    <xf borderId="0" fillId="34" fontId="8" numFmtId="171" xfId="0" applyAlignment="1" applyFont="1" applyNumberFormat="1">
      <alignment horizontal="right" readingOrder="0" vertical="bottom"/>
    </xf>
    <xf borderId="0" fillId="34" fontId="8" numFmtId="0" xfId="0" applyAlignment="1" applyFont="1">
      <alignment readingOrder="0" shrinkToFit="0" vertical="bottom" wrapText="0"/>
    </xf>
    <xf borderId="0" fillId="34" fontId="8" numFmtId="0" xfId="0" applyAlignment="1" applyFont="1">
      <alignment horizontal="center" readingOrder="0"/>
    </xf>
    <xf borderId="0" fillId="34" fontId="8" numFmtId="0" xfId="0" applyAlignment="1" applyFont="1">
      <alignment horizontal="right" readingOrder="0" vertical="bottom"/>
    </xf>
    <xf borderId="0" fillId="34" fontId="10" numFmtId="0" xfId="0" applyAlignment="1" applyFont="1">
      <alignment horizontal="left"/>
    </xf>
    <xf borderId="0" fillId="34" fontId="8" numFmtId="0" xfId="0" applyAlignment="1" applyFont="1">
      <alignment horizontal="left" readingOrder="0" vertical="bottom"/>
    </xf>
    <xf borderId="0" fillId="0" fontId="8" numFmtId="0" xfId="0" applyAlignment="1" applyFont="1">
      <alignment horizontal="right" readingOrder="0" vertical="bottom"/>
    </xf>
    <xf borderId="0" fillId="0" fontId="10" numFmtId="0" xfId="0" applyAlignment="1" applyFont="1">
      <alignment horizontal="left"/>
    </xf>
    <xf borderId="0" fillId="0" fontId="8" numFmtId="0" xfId="0" applyAlignment="1" applyFont="1">
      <alignment horizontal="right" vertical="bottom"/>
    </xf>
    <xf borderId="0" fillId="0" fontId="10" numFmtId="0" xfId="0" applyFont="1"/>
    <xf borderId="0" fillId="31" fontId="23" numFmtId="0" xfId="0" applyAlignment="1" applyFont="1">
      <alignment horizontal="center"/>
    </xf>
    <xf borderId="0" fillId="3" fontId="1" numFmtId="0" xfId="0" applyAlignment="1" applyFont="1">
      <alignment readingOrder="0"/>
    </xf>
    <xf borderId="0" fillId="0" fontId="24" numFmtId="0" xfId="0" applyAlignment="1" applyFont="1">
      <alignment readingOrder="0"/>
    </xf>
    <xf borderId="0" fillId="20" fontId="3" numFmtId="0" xfId="0" applyAlignment="1" applyFont="1">
      <alignment readingOrder="0"/>
    </xf>
    <xf borderId="0" fillId="0" fontId="4" numFmtId="0" xfId="0" applyAlignment="1" applyFont="1">
      <alignment horizontal="right" vertical="bottom"/>
    </xf>
    <xf borderId="0" fillId="6" fontId="3" numFmtId="0" xfId="0" applyFont="1"/>
    <xf borderId="0" fillId="6" fontId="3" numFmtId="0" xfId="0" applyAlignment="1" applyFont="1">
      <alignment horizontal="left"/>
    </xf>
    <xf borderId="0" fillId="0" fontId="4" numFmtId="0" xfId="0" applyAlignment="1" applyFont="1">
      <alignment horizontal="left" vertical="bottom"/>
    </xf>
    <xf borderId="0" fillId="7" fontId="3" numFmtId="0" xfId="0" applyAlignment="1" applyFont="1">
      <alignment horizontal="left"/>
    </xf>
    <xf borderId="0" fillId="7" fontId="3" numFmtId="0" xfId="0" applyFont="1"/>
    <xf borderId="0" fillId="9" fontId="3" numFmtId="0" xfId="0" applyAlignment="1" applyFont="1">
      <alignment readingOrder="0"/>
    </xf>
    <xf borderId="0" fillId="0" fontId="3" numFmtId="0" xfId="0" applyAlignment="1" applyFont="1">
      <alignment horizontal="left"/>
    </xf>
    <xf borderId="0" fillId="0" fontId="3" numFmtId="0" xfId="0" applyFont="1"/>
    <xf borderId="0" fillId="0" fontId="4" numFmtId="0" xfId="0" applyAlignment="1" applyFont="1">
      <alignment horizontal="left" vertical="bottom"/>
    </xf>
    <xf borderId="0" fillId="0" fontId="4" numFmtId="0" xfId="0" applyAlignment="1" applyFont="1">
      <alignment vertical="bottom"/>
    </xf>
    <xf borderId="0" fillId="11" fontId="3" numFmtId="0" xfId="0" applyAlignment="1" applyFont="1">
      <alignment readingOrder="0"/>
    </xf>
    <xf borderId="0" fillId="11" fontId="3" numFmtId="0" xfId="0" applyAlignment="1" applyFont="1">
      <alignment horizontal="left"/>
    </xf>
    <xf borderId="0" fillId="0" fontId="4" numFmtId="0" xfId="0" applyAlignment="1" applyFont="1">
      <alignment readingOrder="0" shrinkToFit="0" vertical="bottom" wrapText="0"/>
    </xf>
    <xf borderId="0" fillId="6" fontId="3" numFmtId="0" xfId="0" applyAlignment="1" applyFont="1">
      <alignment horizontal="left" readingOrder="0"/>
    </xf>
    <xf borderId="0" fillId="26" fontId="25" numFmtId="0" xfId="0" applyAlignment="1" applyFont="1">
      <alignment readingOrder="0"/>
    </xf>
    <xf borderId="0" fillId="0" fontId="4" numFmtId="0" xfId="0" applyAlignment="1" applyFont="1">
      <alignment horizontal="right" readingOrder="0" vertical="bottom"/>
    </xf>
    <xf borderId="0" fillId="7" fontId="3" numFmtId="0" xfId="0" applyAlignment="1" applyFont="1">
      <alignment horizontal="left"/>
    </xf>
    <xf borderId="0" fillId="5" fontId="2" numFmtId="0" xfId="0" applyAlignment="1" applyFont="1">
      <alignment readingOrder="0" shrinkToFit="0" vertical="bottom" wrapText="1"/>
    </xf>
    <xf borderId="0" fillId="0" fontId="2" numFmtId="0" xfId="0" applyAlignment="1" applyFont="1">
      <alignment horizontal="left" readingOrder="0" shrinkToFit="0" vertical="bottom" wrapText="1"/>
    </xf>
    <xf borderId="0" fillId="5" fontId="2" numFmtId="0" xfId="0" applyAlignment="1" applyFont="1">
      <alignment horizontal="left" readingOrder="0" shrinkToFit="0" vertical="bottom" wrapText="1"/>
    </xf>
    <xf borderId="0" fillId="8" fontId="2" numFmtId="0" xfId="0" applyAlignment="1" applyFont="1">
      <alignment readingOrder="0" shrinkToFit="0" vertical="bottom" wrapText="1"/>
    </xf>
    <xf borderId="0" fillId="0" fontId="26" numFmtId="0" xfId="0" applyAlignment="1" applyFont="1">
      <alignment horizontal="center" shrinkToFit="0" vertical="center" wrapText="1"/>
    </xf>
    <xf borderId="0" fillId="0" fontId="2" numFmtId="0" xfId="0" applyAlignment="1" applyFont="1">
      <alignment horizontal="left" shrinkToFit="0" vertical="bottom" wrapText="1"/>
    </xf>
    <xf borderId="0" fillId="12" fontId="2" numFmtId="0" xfId="0" applyAlignment="1" applyFont="1">
      <alignment shrinkToFit="0" vertical="bottom" wrapText="1"/>
    </xf>
    <xf borderId="0" fillId="0" fontId="2" numFmtId="0" xfId="0" applyAlignment="1" applyFont="1">
      <alignment horizontal="center" shrinkToFit="0" vertical="bottom" wrapText="1"/>
    </xf>
    <xf borderId="0" fillId="0" fontId="3" numFmtId="164" xfId="0" applyAlignment="1" applyFont="1" applyNumberFormat="1">
      <alignment horizontal="right"/>
    </xf>
    <xf borderId="0" fillId="0" fontId="3" numFmtId="21" xfId="0" applyAlignment="1" applyFont="1" applyNumberFormat="1">
      <alignment horizontal="right"/>
    </xf>
    <xf borderId="0" fillId="0" fontId="3" numFmtId="21" xfId="0" applyAlignment="1" applyFont="1" applyNumberFormat="1">
      <alignment horizontal="center"/>
    </xf>
    <xf borderId="0" fillId="20" fontId="4" numFmtId="3" xfId="0" applyAlignment="1" applyFont="1" applyNumberFormat="1">
      <alignment horizontal="center" vertical="bottom"/>
    </xf>
    <xf borderId="0" fillId="3" fontId="4" numFmtId="164" xfId="0" applyAlignment="1" applyFont="1" applyNumberFormat="1">
      <alignment vertical="bottom"/>
    </xf>
    <xf borderId="0" fillId="3" fontId="4" numFmtId="0" xfId="0" applyAlignment="1" applyFont="1">
      <alignment vertical="bottom"/>
    </xf>
    <xf borderId="0" fillId="3" fontId="4" numFmtId="167" xfId="0" applyAlignment="1" applyFont="1" applyNumberFormat="1">
      <alignment vertical="bottom"/>
    </xf>
    <xf borderId="0" fillId="0" fontId="4" numFmtId="167" xfId="0" applyAlignment="1" applyFont="1" applyNumberFormat="1">
      <alignment vertical="bottom"/>
    </xf>
    <xf borderId="0" fillId="12" fontId="4" numFmtId="167" xfId="0" applyAlignment="1" applyFont="1" applyNumberFormat="1">
      <alignment vertical="bottom"/>
    </xf>
    <xf borderId="1" fillId="0" fontId="3" numFmtId="0" xfId="0" applyAlignment="1" applyBorder="1" applyFont="1">
      <alignment horizontal="left"/>
    </xf>
    <xf borderId="1" fillId="0" fontId="3" numFmtId="164" xfId="0" applyAlignment="1" applyBorder="1" applyFont="1" applyNumberFormat="1">
      <alignment horizontal="right"/>
    </xf>
    <xf borderId="1" fillId="0" fontId="3" numFmtId="21" xfId="0" applyAlignment="1" applyBorder="1" applyFont="1" applyNumberFormat="1">
      <alignment horizontal="right"/>
    </xf>
    <xf borderId="1" fillId="0" fontId="3" numFmtId="164" xfId="0" applyAlignment="1" applyBorder="1" applyFont="1" applyNumberFormat="1">
      <alignment horizontal="left"/>
    </xf>
    <xf borderId="1" fillId="0" fontId="3" numFmtId="21" xfId="0" applyAlignment="1" applyBorder="1" applyFont="1" applyNumberFormat="1">
      <alignment horizontal="center"/>
    </xf>
    <xf borderId="1" fillId="0" fontId="4" numFmtId="0" xfId="0" applyAlignment="1" applyBorder="1" applyFont="1">
      <alignment horizontal="center" vertical="bottom"/>
    </xf>
    <xf borderId="1" fillId="20" fontId="4" numFmtId="3" xfId="0" applyAlignment="1" applyBorder="1" applyFont="1" applyNumberFormat="1">
      <alignment horizontal="center" vertical="bottom"/>
    </xf>
    <xf borderId="1" fillId="3" fontId="4" numFmtId="164" xfId="0" applyAlignment="1" applyBorder="1" applyFont="1" applyNumberFormat="1">
      <alignment vertical="bottom"/>
    </xf>
    <xf borderId="1" fillId="3" fontId="4" numFmtId="0" xfId="0" applyAlignment="1" applyBorder="1" applyFont="1">
      <alignment vertical="bottom"/>
    </xf>
    <xf borderId="1" fillId="3" fontId="4" numFmtId="167" xfId="0" applyAlignment="1" applyBorder="1" applyFont="1" applyNumberFormat="1">
      <alignment vertical="bottom"/>
    </xf>
    <xf borderId="1" fillId="3" fontId="3" numFmtId="0" xfId="0" applyAlignment="1" applyBorder="1" applyFont="1">
      <alignment horizontal="center"/>
    </xf>
    <xf borderId="1" fillId="0" fontId="4" numFmtId="167" xfId="0" applyAlignment="1" applyBorder="1" applyFont="1" applyNumberFormat="1">
      <alignment vertical="bottom"/>
    </xf>
    <xf borderId="1" fillId="12" fontId="4" numFmtId="167" xfId="0" applyAlignment="1" applyBorder="1" applyFont="1" applyNumberFormat="1">
      <alignment vertical="bottom"/>
    </xf>
    <xf borderId="1" fillId="0" fontId="4" numFmtId="0" xfId="0" applyAlignment="1" applyBorder="1" applyFont="1">
      <alignment vertical="bottom"/>
    </xf>
    <xf borderId="0" fillId="7" fontId="4" numFmtId="0" xfId="0" applyAlignment="1" applyFont="1">
      <alignment readingOrder="0" vertical="bottom"/>
    </xf>
    <xf borderId="0" fillId="3" fontId="4" numFmtId="0" xfId="0" applyAlignment="1" applyFont="1">
      <alignment readingOrder="0" vertical="bottom"/>
    </xf>
    <xf borderId="0" fillId="0" fontId="3" numFmtId="0" xfId="0" applyAlignment="1" applyFont="1">
      <alignment horizontal="left" readingOrder="0"/>
    </xf>
    <xf borderId="0" fillId="7" fontId="3" numFmtId="164" xfId="0" applyAlignment="1" applyFont="1" applyNumberFormat="1">
      <alignment horizontal="right"/>
    </xf>
    <xf borderId="0" fillId="7" fontId="3" numFmtId="21" xfId="0" applyAlignment="1" applyFont="1" applyNumberFormat="1">
      <alignment horizontal="right"/>
    </xf>
    <xf borderId="0" fillId="7" fontId="3" numFmtId="164" xfId="0" applyAlignment="1" applyFont="1" applyNumberFormat="1">
      <alignment horizontal="left"/>
    </xf>
    <xf borderId="0" fillId="7" fontId="3" numFmtId="21" xfId="0" applyAlignment="1" applyFont="1" applyNumberFormat="1">
      <alignment horizontal="center"/>
    </xf>
    <xf borderId="0" fillId="24" fontId="3" numFmtId="0" xfId="0" applyAlignment="1" applyFont="1">
      <alignment horizontal="left"/>
    </xf>
    <xf borderId="0" fillId="24" fontId="3" numFmtId="164" xfId="0" applyAlignment="1" applyFont="1" applyNumberFormat="1">
      <alignment horizontal="right"/>
    </xf>
    <xf borderId="0" fillId="24" fontId="3" numFmtId="21" xfId="0" applyAlignment="1" applyFont="1" applyNumberFormat="1">
      <alignment horizontal="right"/>
    </xf>
    <xf borderId="0" fillId="24" fontId="3" numFmtId="164" xfId="0" applyAlignment="1" applyFont="1" applyNumberFormat="1">
      <alignment horizontal="left"/>
    </xf>
    <xf borderId="0" fillId="24" fontId="3" numFmtId="21" xfId="0" applyAlignment="1" applyFont="1" applyNumberFormat="1">
      <alignment horizontal="center"/>
    </xf>
    <xf borderId="0" fillId="24" fontId="4" numFmtId="0" xfId="0" applyAlignment="1" applyFont="1">
      <alignment vertical="bottom"/>
    </xf>
    <xf borderId="1" fillId="11" fontId="3" numFmtId="164" xfId="0" applyAlignment="1" applyBorder="1" applyFont="1" applyNumberFormat="1">
      <alignment horizontal="left"/>
    </xf>
    <xf borderId="0" fillId="11" fontId="3" numFmtId="164" xfId="0" applyAlignment="1" applyFont="1" applyNumberFormat="1">
      <alignment horizontal="left"/>
    </xf>
    <xf borderId="1" fillId="7" fontId="3" numFmtId="0" xfId="0" applyAlignment="1" applyBorder="1" applyFont="1">
      <alignment horizontal="left"/>
    </xf>
    <xf borderId="1" fillId="7" fontId="3" numFmtId="164" xfId="0" applyAlignment="1" applyBorder="1" applyFont="1" applyNumberFormat="1">
      <alignment horizontal="right"/>
    </xf>
    <xf borderId="1" fillId="7" fontId="3" numFmtId="21" xfId="0" applyAlignment="1" applyBorder="1" applyFont="1" applyNumberFormat="1">
      <alignment horizontal="right"/>
    </xf>
    <xf borderId="1" fillId="7" fontId="3" numFmtId="164" xfId="0" applyAlignment="1" applyBorder="1" applyFont="1" applyNumberFormat="1">
      <alignment horizontal="left"/>
    </xf>
    <xf borderId="1" fillId="7" fontId="3" numFmtId="21" xfId="0" applyAlignment="1" applyBorder="1" applyFont="1" applyNumberFormat="1">
      <alignment horizontal="center"/>
    </xf>
    <xf borderId="0" fillId="11" fontId="3" numFmtId="164" xfId="0" applyAlignment="1" applyFont="1" applyNumberFormat="1">
      <alignment horizontal="right"/>
    </xf>
    <xf borderId="0" fillId="11" fontId="3" numFmtId="21" xfId="0" applyAlignment="1" applyFont="1" applyNumberFormat="1">
      <alignment horizontal="right"/>
    </xf>
    <xf borderId="0" fillId="11" fontId="3" numFmtId="21" xfId="0" applyAlignment="1" applyFont="1" applyNumberFormat="1">
      <alignment horizontal="center"/>
    </xf>
    <xf borderId="0" fillId="11" fontId="4" numFmtId="164" xfId="0" applyAlignment="1" applyFont="1" applyNumberFormat="1">
      <alignment horizontal="center" vertical="bottom"/>
    </xf>
    <xf borderId="0" fillId="11" fontId="4" numFmtId="164" xfId="0" applyAlignment="1" applyFont="1" applyNumberFormat="1">
      <alignment vertical="bottom"/>
    </xf>
    <xf borderId="0" fillId="11" fontId="4" numFmtId="0" xfId="0" applyAlignment="1" applyFont="1">
      <alignment vertical="bottom"/>
    </xf>
    <xf borderId="0" fillId="11" fontId="4" numFmtId="167" xfId="0" applyAlignment="1" applyFont="1" applyNumberFormat="1">
      <alignment vertical="bottom"/>
    </xf>
    <xf borderId="0" fillId="7" fontId="4" numFmtId="0" xfId="0" applyAlignment="1" applyFont="1">
      <alignment horizontal="center" vertical="bottom"/>
    </xf>
    <xf borderId="0" fillId="7" fontId="4" numFmtId="164" xfId="0" applyAlignment="1" applyFont="1" applyNumberFormat="1">
      <alignment horizontal="center" vertical="bottom"/>
    </xf>
    <xf borderId="0" fillId="7" fontId="4" numFmtId="164" xfId="0" applyAlignment="1" applyFont="1" applyNumberFormat="1">
      <alignment vertical="bottom"/>
    </xf>
    <xf borderId="0" fillId="7" fontId="4" numFmtId="0" xfId="0" applyAlignment="1" applyFont="1">
      <alignment vertical="bottom"/>
    </xf>
    <xf borderId="0" fillId="24" fontId="3" numFmtId="0" xfId="0" applyAlignment="1" applyFont="1">
      <alignment horizontal="center"/>
    </xf>
    <xf borderId="0" fillId="24" fontId="3" numFmtId="0" xfId="0" applyFont="1"/>
    <xf borderId="0" fillId="24" fontId="4" numFmtId="0" xfId="0" applyAlignment="1" applyFont="1">
      <alignment horizontal="center" vertical="bottom"/>
    </xf>
    <xf borderId="0" fillId="24" fontId="4" numFmtId="164" xfId="0" applyAlignment="1" applyFont="1" applyNumberFormat="1">
      <alignment horizontal="center" vertical="bottom"/>
    </xf>
    <xf borderId="0" fillId="24" fontId="4" numFmtId="164" xfId="0" applyAlignment="1" applyFont="1" applyNumberFormat="1">
      <alignment vertical="bottom"/>
    </xf>
    <xf borderId="0" fillId="24" fontId="4" numFmtId="0" xfId="0" applyAlignment="1" applyFont="1">
      <alignment vertical="bottom"/>
    </xf>
    <xf borderId="0" fillId="24" fontId="4" numFmtId="167" xfId="0" applyAlignment="1" applyFont="1" applyNumberFormat="1">
      <alignment vertical="bottom"/>
    </xf>
    <xf borderId="0" fillId="7" fontId="4" numFmtId="167" xfId="0" applyAlignment="1" applyFont="1" applyNumberFormat="1">
      <alignment vertical="bottom"/>
    </xf>
    <xf borderId="1" fillId="7" fontId="4" numFmtId="0" xfId="0" applyAlignment="1" applyBorder="1" applyFont="1">
      <alignment readingOrder="0" vertical="bottom"/>
    </xf>
    <xf borderId="1" fillId="0" fontId="3" numFmtId="0" xfId="0" applyAlignment="1" applyBorder="1" applyFont="1">
      <alignment horizontal="left" readingOrder="0"/>
    </xf>
    <xf borderId="1" fillId="7" fontId="4" numFmtId="0" xfId="0" applyAlignment="1" applyBorder="1" applyFont="1">
      <alignment vertical="bottom"/>
    </xf>
    <xf borderId="0" fillId="0" fontId="3" numFmtId="0" xfId="0" applyAlignment="1" applyFont="1">
      <alignment horizontal="right"/>
    </xf>
    <xf borderId="0" fillId="3" fontId="4" numFmtId="3" xfId="0" applyAlignment="1" applyFont="1" applyNumberFormat="1">
      <alignment horizontal="center" vertical="bottom"/>
    </xf>
    <xf borderId="0" fillId="8" fontId="4" numFmtId="0" xfId="0" applyAlignment="1" applyFont="1">
      <alignment readingOrder="0" vertical="bottom"/>
    </xf>
    <xf borderId="0" fillId="3" fontId="4" numFmtId="0" xfId="0" applyFont="1"/>
    <xf borderId="0" fillId="28" fontId="2" numFmtId="0" xfId="0" applyAlignment="1" applyFont="1">
      <alignment vertical="bottom"/>
    </xf>
    <xf borderId="0" fillId="2" fontId="2" numFmtId="0" xfId="0" applyAlignment="1" applyFont="1">
      <alignment shrinkToFit="0" vertical="bottom" wrapText="1"/>
    </xf>
    <xf borderId="0" fillId="35" fontId="2" numFmtId="0" xfId="0" applyAlignment="1" applyFill="1" applyFont="1">
      <alignment shrinkToFit="0" vertical="bottom" wrapText="1"/>
    </xf>
    <xf borderId="0" fillId="7" fontId="2" numFmtId="0" xfId="0" applyAlignment="1" applyFont="1">
      <alignment shrinkToFit="0" vertical="bottom" wrapText="1"/>
    </xf>
    <xf borderId="0" fillId="35" fontId="2" numFmtId="0" xfId="0" applyAlignment="1" applyFont="1">
      <alignment shrinkToFit="0" vertical="bottom" wrapText="1"/>
    </xf>
    <xf borderId="0" fillId="19" fontId="27" numFmtId="0" xfId="0" applyAlignment="1" applyFont="1">
      <alignment readingOrder="0" vertical="bottom"/>
    </xf>
    <xf borderId="0" fillId="0" fontId="4" numFmtId="164" xfId="0" applyAlignment="1" applyFont="1" applyNumberFormat="1">
      <alignment vertical="bottom"/>
    </xf>
    <xf borderId="0" fillId="12" fontId="3" numFmtId="0" xfId="0" applyAlignment="1" applyFont="1">
      <alignment horizontal="center"/>
    </xf>
    <xf borderId="0" fillId="0" fontId="1" numFmtId="0" xfId="0" applyAlignment="1" applyFont="1">
      <alignment horizontal="center"/>
    </xf>
    <xf borderId="0" fillId="13" fontId="3" numFmtId="0" xfId="0" applyFont="1"/>
    <xf borderId="0" fillId="13" fontId="4" numFmtId="164" xfId="0" applyAlignment="1" applyFont="1" applyNumberFormat="1">
      <alignment horizontal="right" vertical="bottom"/>
    </xf>
    <xf borderId="0" fillId="0" fontId="28" numFmtId="0" xfId="0" applyAlignment="1" applyFont="1">
      <alignment readingOrder="0" vertical="bottom"/>
    </xf>
    <xf borderId="0" fillId="0" fontId="28" numFmtId="0" xfId="0" applyAlignment="1" applyFont="1">
      <alignment vertical="bottom"/>
    </xf>
    <xf borderId="0" fillId="0" fontId="29" numFmtId="0" xfId="0" applyAlignment="1" applyFont="1">
      <alignment readingOrder="0" vertical="bottom"/>
    </xf>
    <xf borderId="0" fillId="0" fontId="29" numFmtId="0" xfId="0" applyAlignment="1" applyFont="1">
      <alignment vertical="bottom"/>
    </xf>
    <xf borderId="0" fillId="0" fontId="29" numFmtId="0" xfId="0" applyAlignment="1" applyFont="1">
      <alignment shrinkToFit="0" vertical="bottom" wrapText="1"/>
    </xf>
    <xf borderId="0" fillId="0" fontId="29" numFmtId="20" xfId="0" applyAlignment="1" applyFont="1" applyNumberFormat="1">
      <alignment readingOrder="0" vertical="bottom"/>
    </xf>
    <xf borderId="0" fillId="0" fontId="2" numFmtId="0" xfId="0" applyAlignment="1" applyFont="1">
      <alignment vertical="bottom"/>
    </xf>
    <xf borderId="0" fillId="11" fontId="4" numFmtId="0" xfId="0" applyAlignment="1" applyFont="1">
      <alignment horizontal="center" vertical="bottom"/>
    </xf>
    <xf borderId="0" fillId="13" fontId="4" numFmtId="0" xfId="0" applyAlignment="1" applyFont="1">
      <alignment horizontal="center" vertical="bottom"/>
    </xf>
    <xf borderId="0" fillId="13" fontId="4" numFmtId="0" xfId="0" applyAlignment="1" applyFont="1">
      <alignment vertical="bottom"/>
    </xf>
    <xf borderId="0" fillId="22" fontId="4" numFmtId="0" xfId="0" applyAlignment="1" applyFont="1">
      <alignment vertical="bottom"/>
    </xf>
    <xf borderId="0" fillId="19" fontId="4" numFmtId="0" xfId="0" applyAlignment="1" applyFont="1">
      <alignment vertical="bottom"/>
    </xf>
    <xf borderId="0" fillId="24" fontId="4" numFmtId="0" xfId="0" applyAlignment="1" applyFont="1">
      <alignment horizontal="center" vertical="bottom"/>
    </xf>
    <xf borderId="0" fillId="36" fontId="4" numFmtId="0" xfId="0" applyAlignment="1" applyFill="1" applyFont="1">
      <alignment horizontal="center" vertical="bottom"/>
    </xf>
    <xf borderId="0" fillId="36" fontId="4" numFmtId="0" xfId="0" applyAlignment="1" applyFont="1">
      <alignment vertical="bottom"/>
    </xf>
    <xf borderId="0" fillId="31" fontId="4" numFmtId="0" xfId="0" applyAlignment="1" applyFont="1">
      <alignment horizontal="center" vertical="bottom"/>
    </xf>
    <xf borderId="0" fillId="31" fontId="4" numFmtId="0" xfId="0" applyAlignment="1" applyFont="1">
      <alignment vertical="bottom"/>
    </xf>
    <xf borderId="0" fillId="35" fontId="4" numFmtId="0" xfId="0" applyAlignment="1" applyFont="1">
      <alignment horizontal="center" vertical="bottom"/>
    </xf>
    <xf borderId="0" fillId="35" fontId="4" numFmtId="0" xfId="0" applyAlignment="1" applyFont="1">
      <alignment vertical="bottom"/>
    </xf>
    <xf borderId="0" fillId="23" fontId="4" numFmtId="0" xfId="0" applyAlignment="1" applyFont="1">
      <alignment vertical="bottom"/>
    </xf>
    <xf borderId="0" fillId="21" fontId="4" numFmtId="0" xfId="0" applyAlignment="1" applyFont="1">
      <alignment vertical="bottom"/>
    </xf>
    <xf borderId="0" fillId="18" fontId="4" numFmtId="0" xfId="0" applyAlignment="1" applyFont="1">
      <alignment vertical="bottom"/>
    </xf>
    <xf borderId="0" fillId="27" fontId="4" numFmtId="0" xfId="0" applyAlignment="1" applyFont="1">
      <alignment vertical="bottom"/>
    </xf>
    <xf borderId="0" fillId="37" fontId="4" numFmtId="0" xfId="0" applyAlignment="1" applyFill="1" applyFont="1">
      <alignment horizontal="center" vertical="bottom"/>
    </xf>
    <xf borderId="0" fillId="37" fontId="4" numFmtId="0" xfId="0" applyAlignment="1" applyFont="1">
      <alignment vertical="bottom"/>
    </xf>
    <xf borderId="0" fillId="7" fontId="4" numFmtId="0" xfId="0" applyAlignment="1" applyFont="1">
      <alignment horizontal="center" vertical="bottom"/>
    </xf>
    <xf borderId="0" fillId="0" fontId="4" numFmtId="0" xfId="0" applyAlignment="1" applyFont="1">
      <alignment horizontal="center" vertical="bottom"/>
    </xf>
  </cellXfs>
  <cellStyles count="1">
    <cellStyle xfId="0" name="Normal" builtinId="0"/>
  </cellStyles>
  <dxfs count="18">
    <dxf>
      <font/>
      <fill>
        <patternFill patternType="solid">
          <fgColor rgb="FFFF0000"/>
          <bgColor rgb="FFFF0000"/>
        </patternFill>
      </fill>
      <border/>
    </dxf>
    <dxf>
      <font/>
      <fill>
        <patternFill patternType="solid">
          <fgColor rgb="FF00FF00"/>
          <bgColor rgb="FF00FF00"/>
        </patternFill>
      </fill>
      <border/>
    </dxf>
    <dxf>
      <font/>
      <fill>
        <patternFill patternType="solid">
          <fgColor rgb="FFA4C2F4"/>
          <bgColor rgb="FFA4C2F4"/>
        </patternFill>
      </fill>
      <border/>
    </dxf>
    <dxf>
      <font/>
      <fill>
        <patternFill patternType="solid">
          <fgColor rgb="FF00FFFF"/>
          <bgColor rgb="FF00FFFF"/>
        </patternFill>
      </fill>
      <border/>
    </dxf>
    <dxf>
      <font/>
      <fill>
        <patternFill patternType="solid">
          <fgColor rgb="FFE06666"/>
          <bgColor rgb="FFE06666"/>
        </patternFill>
      </fill>
      <border/>
    </dxf>
    <dxf>
      <font/>
      <fill>
        <patternFill patternType="solid">
          <fgColor rgb="FFCFE2F3"/>
          <bgColor rgb="FFCFE2F3"/>
        </patternFill>
      </fill>
      <border/>
    </dxf>
    <dxf>
      <font/>
      <fill>
        <patternFill patternType="solid">
          <fgColor rgb="FFFFF2CC"/>
          <bgColor rgb="FFFFF2CC"/>
        </patternFill>
      </fill>
      <border/>
    </dxf>
    <dxf>
      <font/>
      <fill>
        <patternFill patternType="solid">
          <fgColor rgb="FFFCE5CD"/>
          <bgColor rgb="FFFCE5CD"/>
        </patternFill>
      </fill>
      <border/>
    </dxf>
    <dxf>
      <font/>
      <fill>
        <patternFill patternType="solid">
          <fgColor rgb="FFF9CB9C"/>
          <bgColor rgb="FFF9CB9C"/>
        </patternFill>
      </fill>
      <border/>
    </dxf>
    <dxf>
      <font/>
      <fill>
        <patternFill patternType="solid">
          <fgColor rgb="FFF4CCCC"/>
          <bgColor rgb="FFF4CCCC"/>
        </patternFill>
      </fill>
      <border/>
    </dxf>
    <dxf>
      <font/>
      <fill>
        <patternFill patternType="solid">
          <fgColor rgb="FFEA9999"/>
          <bgColor rgb="FFEA9999"/>
        </patternFill>
      </fill>
      <border/>
    </dxf>
    <dxf>
      <font/>
      <fill>
        <patternFill patternType="solid">
          <fgColor rgb="FFB7E1CD"/>
          <bgColor rgb="FFB7E1CD"/>
        </patternFill>
      </fill>
      <border/>
    </dxf>
    <dxf>
      <font/>
      <fill>
        <patternFill patternType="solid">
          <fgColor rgb="FFC9DAF8"/>
          <bgColor rgb="FFC9DAF8"/>
        </patternFill>
      </fill>
      <border/>
    </dxf>
    <dxf>
      <font>
        <b/>
      </font>
      <fill>
        <patternFill patternType="solid">
          <fgColor rgb="FF00FF00"/>
          <bgColor rgb="FF00FF00"/>
        </patternFill>
      </fill>
      <border/>
    </dxf>
    <dxf>
      <font/>
      <fill>
        <patternFill patternType="solid">
          <fgColor rgb="FFB7B7B7"/>
          <bgColor rgb="FFB7B7B7"/>
        </patternFill>
      </fill>
      <border/>
    </dxf>
    <dxf>
      <font/>
      <fill>
        <patternFill patternType="solid">
          <fgColor rgb="FFB4A7D6"/>
          <bgColor rgb="FFB4A7D6"/>
        </patternFill>
      </fill>
      <border/>
    </dxf>
    <dxf>
      <font/>
      <fill>
        <patternFill patternType="solid">
          <fgColor rgb="FF9FC5E8"/>
          <bgColor rgb="FF9FC5E8"/>
        </patternFill>
      </fill>
      <border/>
    </dxf>
    <dxf>
      <font/>
      <fill>
        <patternFill patternType="solid">
          <fgColor rgb="FFD9EAD3"/>
          <bgColor rgb="FFD9EAD3"/>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5.xml"/><Relationship Id="rId3"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6.xml"/><Relationship Id="rId3"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40" Type="http://schemas.openxmlformats.org/officeDocument/2006/relationships/hyperlink" Target="https://drive.google.com/open?id=12ivBbTzvdw9JTaeDsxWkjHGVaxMYdQGu" TargetMode="External"/><Relationship Id="rId190" Type="http://schemas.openxmlformats.org/officeDocument/2006/relationships/hyperlink" Target="https://drive.google.com/open?id=1k-8_BqywUTDwB9bWpxhujnLHaefZBc6W" TargetMode="External"/><Relationship Id="rId42" Type="http://schemas.openxmlformats.org/officeDocument/2006/relationships/hyperlink" Target="https://drive.google.com/open?id=1Rd6T4eb4pm7cm5Z-YiINvHMP5PwlPQpc" TargetMode="External"/><Relationship Id="rId41" Type="http://schemas.openxmlformats.org/officeDocument/2006/relationships/hyperlink" Target="https://drive.google.com/open?id=1eSiI_Whi76mPjtElMweLcef8b5Lx0cVL" TargetMode="External"/><Relationship Id="rId44" Type="http://schemas.openxmlformats.org/officeDocument/2006/relationships/hyperlink" Target="https://drive.google.com/open?id=14NKBerFMQdbKqh2dxSM0mJxp_IqYaM4A" TargetMode="External"/><Relationship Id="rId194" Type="http://schemas.openxmlformats.org/officeDocument/2006/relationships/hyperlink" Target="https://drive.google.com/open?id=1fNJNQAQD5nOq9kMj0EXv7q-7orPRwGZo" TargetMode="External"/><Relationship Id="rId43" Type="http://schemas.openxmlformats.org/officeDocument/2006/relationships/hyperlink" Target="https://drive.google.com/open?id=1kk57yy3rAnFHfN5mQ-28IuQt7kLP1vc2" TargetMode="External"/><Relationship Id="rId193" Type="http://schemas.openxmlformats.org/officeDocument/2006/relationships/hyperlink" Target="https://drive.google.com/open?id=1abVLdEyvDHH5UpxkcDSvwIoOinEG686k" TargetMode="External"/><Relationship Id="rId46" Type="http://schemas.openxmlformats.org/officeDocument/2006/relationships/hyperlink" Target="https://drive.google.com/open?id=1wkl2pbB7_iOzZN43DaG1Jw7x-0lloQr3" TargetMode="External"/><Relationship Id="rId192" Type="http://schemas.openxmlformats.org/officeDocument/2006/relationships/hyperlink" Target="https://drive.google.com/open?id=1jgbmXg-Xp7R5_IJcamu3VP_jvw-bXIPx" TargetMode="External"/><Relationship Id="rId45" Type="http://schemas.openxmlformats.org/officeDocument/2006/relationships/hyperlink" Target="https://drive.google.com/open?id=1ocPiY9PziYSs6w-WjktNVM5B1QT_9ijo" TargetMode="External"/><Relationship Id="rId191" Type="http://schemas.openxmlformats.org/officeDocument/2006/relationships/hyperlink" Target="https://drive.google.com/open?id=1EpFPod3QDR63HOyKnHkrEOBoQBouGPkL" TargetMode="External"/><Relationship Id="rId48" Type="http://schemas.openxmlformats.org/officeDocument/2006/relationships/hyperlink" Target="https://drive.google.com/open?id=1pScmV-qqcpZYUP1fsi3CjEqMzu1hYfQa" TargetMode="External"/><Relationship Id="rId187" Type="http://schemas.openxmlformats.org/officeDocument/2006/relationships/hyperlink" Target="https://drive.google.com/open?id=1-l6Bv2ODiKe55Lh4mv2YrSj5UVl3XGT1" TargetMode="External"/><Relationship Id="rId47" Type="http://schemas.openxmlformats.org/officeDocument/2006/relationships/hyperlink" Target="https://drive.google.com/open?id=1zvVPfTECgFpfT85yUHOLLWMTyI9zhHfS" TargetMode="External"/><Relationship Id="rId186" Type="http://schemas.openxmlformats.org/officeDocument/2006/relationships/hyperlink" Target="https://drive.google.com/open?id=14-Q4p5JzG2mKOi5jbpoozTNuaD3lIe01" TargetMode="External"/><Relationship Id="rId185" Type="http://schemas.openxmlformats.org/officeDocument/2006/relationships/hyperlink" Target="https://drive.google.com/open?id=1NA_GFjpFqjLqu-oHlVmZvpGNT13tnsWw" TargetMode="External"/><Relationship Id="rId49" Type="http://schemas.openxmlformats.org/officeDocument/2006/relationships/hyperlink" Target="https://drive.google.com/open?id=1cWP54xZMii-91ONQoQr2X-jkRRXtj0m4" TargetMode="External"/><Relationship Id="rId184" Type="http://schemas.openxmlformats.org/officeDocument/2006/relationships/hyperlink" Target="https://drive.google.com/open?id=13iu9vchRMTz37uuZZQVilYXMZzKXQjcb" TargetMode="External"/><Relationship Id="rId189" Type="http://schemas.openxmlformats.org/officeDocument/2006/relationships/hyperlink" Target="https://drive.google.com/open?id=1QA-veJHUF-yKttqxdKXvym8ZOPRUvlIp" TargetMode="External"/><Relationship Id="rId188" Type="http://schemas.openxmlformats.org/officeDocument/2006/relationships/hyperlink" Target="https://drive.google.com/open?id=14-Q4p5JzG2mKOi5jbpoozTNuaD3lIe01" TargetMode="External"/><Relationship Id="rId31" Type="http://schemas.openxmlformats.org/officeDocument/2006/relationships/hyperlink" Target="https://drive.google.com/open?id=1Dgxea46VUWTXCfyPPP_Tc8y2ZYdDEIPV" TargetMode="External"/><Relationship Id="rId30" Type="http://schemas.openxmlformats.org/officeDocument/2006/relationships/hyperlink" Target="https://drive.google.com/open?id=1i5KWJoZhmti6fZvVOqe3ipjoai14bC15" TargetMode="External"/><Relationship Id="rId33" Type="http://schemas.openxmlformats.org/officeDocument/2006/relationships/hyperlink" Target="https://drive.google.com/open?id=1ZsRPYVmZDkO8LuQeEX03_JY3K4PBUi8p" TargetMode="External"/><Relationship Id="rId183" Type="http://schemas.openxmlformats.org/officeDocument/2006/relationships/hyperlink" Target="https://drive.google.com/open?id=1zdOwPZt_kJvSzXS9UH8mSGiK6Ko2xMiW" TargetMode="External"/><Relationship Id="rId32" Type="http://schemas.openxmlformats.org/officeDocument/2006/relationships/hyperlink" Target="https://drive.google.com/open?id=1UYlMyE7NbvEa8zAFmJzh9DGGBI_fjDVL" TargetMode="External"/><Relationship Id="rId182" Type="http://schemas.openxmlformats.org/officeDocument/2006/relationships/hyperlink" Target="https://drive.google.com/open?id=1uZC6MmODgWKNe1B9LMwAEnHmVYPbhGqR" TargetMode="External"/><Relationship Id="rId35" Type="http://schemas.openxmlformats.org/officeDocument/2006/relationships/hyperlink" Target="https://drive.google.com/open?id=1M_bc52nFf5SPoQnvYTYdLF2RWK6R7sbN" TargetMode="External"/><Relationship Id="rId181" Type="http://schemas.openxmlformats.org/officeDocument/2006/relationships/hyperlink" Target="https://drive.google.com/open?id=1KUrIQ7FO_5tUP7Tnk6si406oARQ06WTX" TargetMode="External"/><Relationship Id="rId34" Type="http://schemas.openxmlformats.org/officeDocument/2006/relationships/hyperlink" Target="https://drive.google.com/open?id=1UrCFHzBzgJuIhw4rzqMC_XopOofQgsLZ" TargetMode="External"/><Relationship Id="rId180" Type="http://schemas.openxmlformats.org/officeDocument/2006/relationships/hyperlink" Target="https://drive.google.com/open?id=1Uxq01wfOxWplFeRgDR7LxJlU-JJ0mprv" TargetMode="External"/><Relationship Id="rId37" Type="http://schemas.openxmlformats.org/officeDocument/2006/relationships/hyperlink" Target="https://drive.google.com/open?id=1Dv2msgzhSXfroU6PFvlHHgWnzY3MKrHd" TargetMode="External"/><Relationship Id="rId176" Type="http://schemas.openxmlformats.org/officeDocument/2006/relationships/hyperlink" Target="https://drive.google.com/open?id=1-9TLPWxgyGTyeNMXgl_TaKSh-56W64OJ," TargetMode="External"/><Relationship Id="rId297" Type="http://schemas.openxmlformats.org/officeDocument/2006/relationships/hyperlink" Target="https://drive.google.com/open?id=1F8mcbFRrNWDZYeptn3RFy7x2Eq42h6DO" TargetMode="External"/><Relationship Id="rId36" Type="http://schemas.openxmlformats.org/officeDocument/2006/relationships/hyperlink" Target="https://drive.google.com/open?id=1ZD69Pos2sOKlBJFUFSmdWvDjW0iYG1DT" TargetMode="External"/><Relationship Id="rId175" Type="http://schemas.openxmlformats.org/officeDocument/2006/relationships/hyperlink" Target="https://drive.google.com/open?id=1cs2Jrudf425c7V1XiweVJLBx0MYaq88-" TargetMode="External"/><Relationship Id="rId296" Type="http://schemas.openxmlformats.org/officeDocument/2006/relationships/hyperlink" Target="https://drive.google.com/open?id=1CXSwnXH_6CFkgDW_9cU_0wsCQ8exhQ7e" TargetMode="External"/><Relationship Id="rId39" Type="http://schemas.openxmlformats.org/officeDocument/2006/relationships/hyperlink" Target="https://drive.google.com/open?id=1JJrIOweTANDlQkdWHAcehBK7vWew4niG" TargetMode="External"/><Relationship Id="rId174" Type="http://schemas.openxmlformats.org/officeDocument/2006/relationships/hyperlink" Target="https://drive.google.com/open?id=1dBBXaCVypzDCVdYNsJqKXneFQ0B9nzKw" TargetMode="External"/><Relationship Id="rId295" Type="http://schemas.openxmlformats.org/officeDocument/2006/relationships/hyperlink" Target="https://drive.google.com/open?id=10Qg-SbInLxm_ASpSa-f4-1v3DT46n9BB" TargetMode="External"/><Relationship Id="rId38" Type="http://schemas.openxmlformats.org/officeDocument/2006/relationships/hyperlink" Target="https://drive.google.com/open?id=12fkTR1qWv7O9zc7zOpr-_b_qzGMgoek0" TargetMode="External"/><Relationship Id="rId173" Type="http://schemas.openxmlformats.org/officeDocument/2006/relationships/hyperlink" Target="https://drive.google.com/open?id=11Do3SxbJGNtgzOsYxE5KpZBRWsC_xN6o" TargetMode="External"/><Relationship Id="rId294" Type="http://schemas.openxmlformats.org/officeDocument/2006/relationships/hyperlink" Target="https://drive.google.com/open?id=17WqbrYeus62KAltR7GjSFwlcn6RrbAYW" TargetMode="External"/><Relationship Id="rId179" Type="http://schemas.openxmlformats.org/officeDocument/2006/relationships/hyperlink" Target="https://drive.google.com/open?id=1KUrIQ7FO_5tUP7Tnk6si406oARQ06WTX" TargetMode="External"/><Relationship Id="rId178" Type="http://schemas.openxmlformats.org/officeDocument/2006/relationships/hyperlink" Target="https://drive.google.com/open?id=1PP-NRbfsGy0LWCX29CIgwS0Fgg3yHUFA" TargetMode="External"/><Relationship Id="rId299" Type="http://schemas.openxmlformats.org/officeDocument/2006/relationships/hyperlink" Target="https://drive.google.com/open?id=1ZVCfSz3hBpWILOppMnsjStBaRk6ZNMAW" TargetMode="External"/><Relationship Id="rId177" Type="http://schemas.openxmlformats.org/officeDocument/2006/relationships/hyperlink" Target="https://drive.google.com/open?id=1cs2Jrudf425c7V1XiweVJLBx0MYaq88-" TargetMode="External"/><Relationship Id="rId298" Type="http://schemas.openxmlformats.org/officeDocument/2006/relationships/hyperlink" Target="https://drive.google.com/open?id=1xr__cF8Ja9r499cU78YHKDMVVYOUgmmh" TargetMode="External"/><Relationship Id="rId20" Type="http://schemas.openxmlformats.org/officeDocument/2006/relationships/hyperlink" Target="https://drive.google.com/open?id=1kNImI99iwP4a7-xA-_tE8Wxxib8Hm6B9" TargetMode="External"/><Relationship Id="rId22" Type="http://schemas.openxmlformats.org/officeDocument/2006/relationships/hyperlink" Target="https://drive.google.com/open?id=1uTrYb99tFwqDA5IA9xCG8om81dIpttJj" TargetMode="External"/><Relationship Id="rId21" Type="http://schemas.openxmlformats.org/officeDocument/2006/relationships/hyperlink" Target="https://drive.google.com/open?id=10CsGom77GCqdh8_b2c0QvIsYR7cB1_LK" TargetMode="External"/><Relationship Id="rId24" Type="http://schemas.openxmlformats.org/officeDocument/2006/relationships/hyperlink" Target="https://drive.google.com/open?id=1NGBsgXoCuqn6dikIG1-n8fQ7wTexzm0l" TargetMode="External"/><Relationship Id="rId23" Type="http://schemas.openxmlformats.org/officeDocument/2006/relationships/hyperlink" Target="https://drive.google.com/open?id=1wB247csLXeKjTCgHHpHgYl3Cf1Ybz221" TargetMode="External"/><Relationship Id="rId26" Type="http://schemas.openxmlformats.org/officeDocument/2006/relationships/hyperlink" Target="https://drive.google.com/open?id=1BLegTOVcgNOComiuBSIx5FkT4hOWTeAa" TargetMode="External"/><Relationship Id="rId25" Type="http://schemas.openxmlformats.org/officeDocument/2006/relationships/hyperlink" Target="https://drive.google.com/open?id=1WNFomYQ3sG8beioLQsEnXjhGQIMCAkoo" TargetMode="External"/><Relationship Id="rId28" Type="http://schemas.openxmlformats.org/officeDocument/2006/relationships/hyperlink" Target="https://drive.google.com/open?id=11xhauzoLD-Z5atCG5vfVdU4hCZlHxusT" TargetMode="External"/><Relationship Id="rId27" Type="http://schemas.openxmlformats.org/officeDocument/2006/relationships/hyperlink" Target="https://drive.google.com/open?id=1WNFomYQ3sG8beioLQsEnXjhGQIMCAkoo" TargetMode="External"/><Relationship Id="rId29" Type="http://schemas.openxmlformats.org/officeDocument/2006/relationships/hyperlink" Target="https://drive.google.com/open?id=11ivRmjM96mmeOOCi17pVfyo6-ZDHgm74" TargetMode="External"/><Relationship Id="rId11" Type="http://schemas.openxmlformats.org/officeDocument/2006/relationships/hyperlink" Target="https://drive.google.com/open?id=1APOSh1_RXOqoL4wegcC_QOkDELGDaIjX" TargetMode="External"/><Relationship Id="rId10" Type="http://schemas.openxmlformats.org/officeDocument/2006/relationships/hyperlink" Target="https://drive.google.com/open?id=1WjtbP9VOYbWApq1W-gO8LeAZrpg8xY27" TargetMode="External"/><Relationship Id="rId13" Type="http://schemas.openxmlformats.org/officeDocument/2006/relationships/hyperlink" Target="https://drive.google.com/open?id=1_qzzhEkUuUMJAhnB0QOb-iGYeWJKlsCb" TargetMode="External"/><Relationship Id="rId12" Type="http://schemas.openxmlformats.org/officeDocument/2006/relationships/hyperlink" Target="https://drive.google.com/open?id=14CAkMLagublvdjSB0ncV5LqqiKuzBJgF" TargetMode="External"/><Relationship Id="rId15" Type="http://schemas.openxmlformats.org/officeDocument/2006/relationships/hyperlink" Target="https://drive.google.com/open?id=1l2IgTVb319ZCeYMd_RAXavbPRY6ohUlA" TargetMode="External"/><Relationship Id="rId198" Type="http://schemas.openxmlformats.org/officeDocument/2006/relationships/hyperlink" Target="https://drive.google.com/open?id=1TG7pIGgRpr9h3rcvSOl4SvqgUwa2jQZb" TargetMode="External"/><Relationship Id="rId14" Type="http://schemas.openxmlformats.org/officeDocument/2006/relationships/hyperlink" Target="https://drive.google.com/open?id=1R6waMbg1wGwZr43uW5L8SsKGcSW6Gc7T" TargetMode="External"/><Relationship Id="rId197" Type="http://schemas.openxmlformats.org/officeDocument/2006/relationships/hyperlink" Target="https://drive.google.com/open?id=1mjx4pfEGFG_U56NcVoqbAsQireuzmeWE" TargetMode="External"/><Relationship Id="rId17" Type="http://schemas.openxmlformats.org/officeDocument/2006/relationships/hyperlink" Target="https://drive.google.com/open?id=1kF970Fxn5uVfu9Qx6BLXJrA5GUt_d1y5" TargetMode="External"/><Relationship Id="rId196" Type="http://schemas.openxmlformats.org/officeDocument/2006/relationships/hyperlink" Target="https://drive.google.com/open?id=1TG7pIGgRpr9h3rcvSOl4SvqgUwa2jQZb" TargetMode="External"/><Relationship Id="rId16" Type="http://schemas.openxmlformats.org/officeDocument/2006/relationships/hyperlink" Target="https://drive.google.com/open?id=1_-BStngYEAqjLFZrWxWw_Cw6h8kHGUxM" TargetMode="External"/><Relationship Id="rId195" Type="http://schemas.openxmlformats.org/officeDocument/2006/relationships/hyperlink" Target="https://drive.google.com/open?id=16Rz1GwoHIwqOm5EFpuFzzgYmwwcDLAhZ" TargetMode="External"/><Relationship Id="rId19" Type="http://schemas.openxmlformats.org/officeDocument/2006/relationships/hyperlink" Target="https://drive.google.com/open?id=1eQ-jfTSELIRwfZYySyAmG-MiGzKyWSFO" TargetMode="External"/><Relationship Id="rId18" Type="http://schemas.openxmlformats.org/officeDocument/2006/relationships/hyperlink" Target="https://www.google.com/url?q=https://drive.google.com/open?id%3D19kH5FsxlWPqHQMVhcB6e7eaYyA6upa1z&amp;sa=D&amp;source=editors&amp;ust=1671479171715654&amp;usg=AOvVaw213lkqodo7QnandQUChboo" TargetMode="External"/><Relationship Id="rId199" Type="http://schemas.openxmlformats.org/officeDocument/2006/relationships/hyperlink" Target="https://drive.google.com/open?id=1ebGS2eRqvxeYjeH-NCyftvXlWR5o0_QR" TargetMode="External"/><Relationship Id="rId84" Type="http://schemas.openxmlformats.org/officeDocument/2006/relationships/hyperlink" Target="https://drive.google.com/file/d/1_EPC6rkvB5ucEDQIH8GH2GYYbIQ9SGCD/view?usp=share_link" TargetMode="External"/><Relationship Id="rId83" Type="http://schemas.openxmlformats.org/officeDocument/2006/relationships/hyperlink" Target="https://drive.google.com/file/d/19dLgmEcwXCWwrfzINWlSyIE9w5qWqiD8/view?usp=share_link" TargetMode="External"/><Relationship Id="rId86" Type="http://schemas.openxmlformats.org/officeDocument/2006/relationships/hyperlink" Target="https://drive.google.com/open?id=1zPi4d9UWD8E90UHHX3VppBXQug8MU8Zr" TargetMode="External"/><Relationship Id="rId85" Type="http://schemas.openxmlformats.org/officeDocument/2006/relationships/hyperlink" Target="https://drive.google.com/file/d/1EROiZudKl_Ata4LBhjXE6ki0mCWg3HuO/view?usp=share_link" TargetMode="External"/><Relationship Id="rId88" Type="http://schemas.openxmlformats.org/officeDocument/2006/relationships/hyperlink" Target="https://drive.google.com/open?id=1d1yuhh95ozwwA2nYz1IpY9EyjZg1QWnL" TargetMode="External"/><Relationship Id="rId150" Type="http://schemas.openxmlformats.org/officeDocument/2006/relationships/hyperlink" Target="https://drive.google.com/open?id=1IQ85mW_vfrH70CI8vNfB_axbRS0VyJPV" TargetMode="External"/><Relationship Id="rId271" Type="http://schemas.openxmlformats.org/officeDocument/2006/relationships/hyperlink" Target="https://drive.google.com/open?id=14lnrlWHRagGMHV8wgbsh3PpInlZyi5fI" TargetMode="External"/><Relationship Id="rId87" Type="http://schemas.openxmlformats.org/officeDocument/2006/relationships/hyperlink" Target="https://drive.google.com/open?id=1nB0zSpkV01C-URTn43RDsbsiWlaRhCo0" TargetMode="External"/><Relationship Id="rId270" Type="http://schemas.openxmlformats.org/officeDocument/2006/relationships/hyperlink" Target="https://drive.google.com/open?id=1jvOJVuOkmd1mixRZ1fQ0gIx8wYnzyTrK" TargetMode="External"/><Relationship Id="rId89" Type="http://schemas.openxmlformats.org/officeDocument/2006/relationships/hyperlink" Target="https://drive.google.com/open?id=16aRBAMAvsUz1w6aXCfpTcbKrX_KkVZw6" TargetMode="External"/><Relationship Id="rId80" Type="http://schemas.openxmlformats.org/officeDocument/2006/relationships/hyperlink" Target="https://drive.google.com/open?id=1rqHWyqFPGYxDjiKcJhM--qcHdmGY2p9U" TargetMode="External"/><Relationship Id="rId82" Type="http://schemas.openxmlformats.org/officeDocument/2006/relationships/hyperlink" Target="https://drive.google.com/open?id=1Ca-HvKh3p-1jJQvpoPkjdDIaVrcOMKuB" TargetMode="External"/><Relationship Id="rId81" Type="http://schemas.openxmlformats.org/officeDocument/2006/relationships/hyperlink" Target="https://drive.google.com/open?id=1ZvyL20OlE9NXPEFWDctMpx9zVax0BY-2" TargetMode="External"/><Relationship Id="rId1" Type="http://schemas.openxmlformats.org/officeDocument/2006/relationships/comments" Target="../comments4.xml"/><Relationship Id="rId2" Type="http://schemas.openxmlformats.org/officeDocument/2006/relationships/hyperlink" Target="https://drive.google.com/open?id=14Wv-xzEyUM8jAG23hUexzq7O5jwTwE7f" TargetMode="External"/><Relationship Id="rId3" Type="http://schemas.openxmlformats.org/officeDocument/2006/relationships/hyperlink" Target="https://drive.google.com/open?id=1RIQMrfq-VNvTqA7DGQUYh0fWoC7tZUN4" TargetMode="External"/><Relationship Id="rId149" Type="http://schemas.openxmlformats.org/officeDocument/2006/relationships/hyperlink" Target="https://drive.google.com/open?id=1duNTVK_GmiDrvVXRwU1pImDYpygyz5F7" TargetMode="External"/><Relationship Id="rId4" Type="http://schemas.openxmlformats.org/officeDocument/2006/relationships/hyperlink" Target="https://drive.google.com/open?id=1s1Zjl422vNZxpfk0LIxtg2io6F6-SLAv" TargetMode="External"/><Relationship Id="rId148" Type="http://schemas.openxmlformats.org/officeDocument/2006/relationships/hyperlink" Target="https://drive.google.com/open?id=1IQ85mW_vfrH70CI8vNfB_axbRS0VyJPV" TargetMode="External"/><Relationship Id="rId269" Type="http://schemas.openxmlformats.org/officeDocument/2006/relationships/hyperlink" Target="https://drive.google.com/open?id=1Vyh3okz6cpoEd7Ht0V5t-GOdZu2weN2e" TargetMode="External"/><Relationship Id="rId9" Type="http://schemas.openxmlformats.org/officeDocument/2006/relationships/hyperlink" Target="https://drive.google.com/open?id=1Q1-PtYeHbzwXP3QaRoaSEvjV14QV0dB0" TargetMode="External"/><Relationship Id="rId143" Type="http://schemas.openxmlformats.org/officeDocument/2006/relationships/hyperlink" Target="https://drive.google.com/open?id=1fyj3G_38ceNy4Kk6olPYykU28BlUkSsL" TargetMode="External"/><Relationship Id="rId264" Type="http://schemas.openxmlformats.org/officeDocument/2006/relationships/hyperlink" Target="https://drive.google.com/open?id=1efJuAe47QIlgOxsLCEiLZuH2Jd6qsdJD" TargetMode="External"/><Relationship Id="rId142" Type="http://schemas.openxmlformats.org/officeDocument/2006/relationships/hyperlink" Target="https://drive.google.com/open?id=1tXamOhCt8o3BMobuq26RlcE1Q0f2C7Hw" TargetMode="External"/><Relationship Id="rId263" Type="http://schemas.openxmlformats.org/officeDocument/2006/relationships/hyperlink" Target="https://drive.google.com/open?id=1yUZjLTyJzpy5KBTvy5UJo0e4mexpEz36" TargetMode="External"/><Relationship Id="rId141" Type="http://schemas.openxmlformats.org/officeDocument/2006/relationships/hyperlink" Target="https://drive.google.com/open?id=1LygQKSIXH13VB6KC2rn4DfjiHtkOUB57" TargetMode="External"/><Relationship Id="rId262" Type="http://schemas.openxmlformats.org/officeDocument/2006/relationships/hyperlink" Target="https://drive.google.com/open?id=1HeqGANfWYqmj0JgFkcJ2aFLcFJI_5wJd" TargetMode="External"/><Relationship Id="rId140" Type="http://schemas.openxmlformats.org/officeDocument/2006/relationships/hyperlink" Target="https://drive.google.com/open?id=1rIB_qG3LcTIfWNUU_KTIGHokVWuU2_Ya" TargetMode="External"/><Relationship Id="rId261" Type="http://schemas.openxmlformats.org/officeDocument/2006/relationships/hyperlink" Target="https://drive.google.com/open?id=1Ox2AQl3l8YhP3Ra7YoWYRyDfuswpCWiE" TargetMode="External"/><Relationship Id="rId5" Type="http://schemas.openxmlformats.org/officeDocument/2006/relationships/hyperlink" Target="https://drive.google.com/open?id=10ddKPrARDAP-AlRJC9sa1p4gala0EBHv" TargetMode="External"/><Relationship Id="rId147" Type="http://schemas.openxmlformats.org/officeDocument/2006/relationships/hyperlink" Target="https://drive.google.com/open?id=1AMhFD4mb4wHuO59qMhOQAftFBAeB8tr-" TargetMode="External"/><Relationship Id="rId268" Type="http://schemas.openxmlformats.org/officeDocument/2006/relationships/hyperlink" Target="https://drive.google.com/open?id=1UVwS7zB94Dk5ezHN5PtMIlgadYpBJYAT" TargetMode="External"/><Relationship Id="rId6" Type="http://schemas.openxmlformats.org/officeDocument/2006/relationships/hyperlink" Target="https://drive.google.com/open?id=1xcrPpdZULYT4uByarK_xn-f8JC9ZtsxD" TargetMode="External"/><Relationship Id="rId146" Type="http://schemas.openxmlformats.org/officeDocument/2006/relationships/hyperlink" Target="https://drive.google.com/open?id=1SZ49v6uOfbfws7XaQ03sOoAXQS_WiKPa" TargetMode="External"/><Relationship Id="rId267" Type="http://schemas.openxmlformats.org/officeDocument/2006/relationships/hyperlink" Target="https://drive.google.com/open?id=1yC1Pu41p2-9dB6gHlPuUdqSKpj1qXXDL" TargetMode="External"/><Relationship Id="rId7" Type="http://schemas.openxmlformats.org/officeDocument/2006/relationships/hyperlink" Target="https://drive.google.com/open?id=1N8utqMhyT2yY0d8jW0uUM9wXw4XapANn" TargetMode="External"/><Relationship Id="rId145" Type="http://schemas.openxmlformats.org/officeDocument/2006/relationships/hyperlink" Target="https://drive.google.com/open?id=1EHZZQDr5MYzi4BFdozUhizr6iXqz4IJT" TargetMode="External"/><Relationship Id="rId266" Type="http://schemas.openxmlformats.org/officeDocument/2006/relationships/hyperlink" Target="https://drive.google.com/open?id=10MnDPLOOarpaAbwirejq9cDrEqi5Q9ih" TargetMode="External"/><Relationship Id="rId8" Type="http://schemas.openxmlformats.org/officeDocument/2006/relationships/hyperlink" Target="https://drive.google.com/open?id=1nV7A_uy_RwWovCzCHXW1HSjnNZl_Psu6" TargetMode="External"/><Relationship Id="rId144" Type="http://schemas.openxmlformats.org/officeDocument/2006/relationships/hyperlink" Target="https://drive.google.com/open?id=1YtNUOOITBoCLp5ZrvThKraE47QdXipY_" TargetMode="External"/><Relationship Id="rId265" Type="http://schemas.openxmlformats.org/officeDocument/2006/relationships/hyperlink" Target="https://drive.google.com/open?id=1qyWw-5Hu0QTsU8jICLLLqgO75zCl37OB" TargetMode="External"/><Relationship Id="rId73" Type="http://schemas.openxmlformats.org/officeDocument/2006/relationships/hyperlink" Target="https://drive.google.com/open?id=1yfyDjTI82AOudG8FZw8i8-GPZUnDC1f_" TargetMode="External"/><Relationship Id="rId72" Type="http://schemas.openxmlformats.org/officeDocument/2006/relationships/hyperlink" Target="https://drive.google.com/open?id=1Y4VOJazoFYoy6VfSPq65ZBrsbz49atEI" TargetMode="External"/><Relationship Id="rId75" Type="http://schemas.openxmlformats.org/officeDocument/2006/relationships/hyperlink" Target="https://drive.google.com/open?id=1IS0Qk2M3v5QEk47KOLsUS72ekEb7hKY1" TargetMode="External"/><Relationship Id="rId74" Type="http://schemas.openxmlformats.org/officeDocument/2006/relationships/hyperlink" Target="https://drive.google.com/open?id=15ZWZ5unnv1JxTIidiwAil71a4NwX4l2Q" TargetMode="External"/><Relationship Id="rId77" Type="http://schemas.openxmlformats.org/officeDocument/2006/relationships/hyperlink" Target="https://drive.google.com/open?id=10QBome4KZrJMgtEcBOS9nTQKzaKUfiKO" TargetMode="External"/><Relationship Id="rId260" Type="http://schemas.openxmlformats.org/officeDocument/2006/relationships/hyperlink" Target="https://drive.google.com/open?id=17fPLqqBhJ9ysKrDg90d58DLkFL33rgT5" TargetMode="External"/><Relationship Id="rId76" Type="http://schemas.openxmlformats.org/officeDocument/2006/relationships/hyperlink" Target="https://drive.google.com/open?id=1t3DEdOac8cpdjbqxOleqZublBF5CF6j0" TargetMode="External"/><Relationship Id="rId79" Type="http://schemas.openxmlformats.org/officeDocument/2006/relationships/hyperlink" Target="https://drive.google.com/open?id=1-hfFOIw8Sdi2SQHx_j9EYd47i22AWqkA" TargetMode="External"/><Relationship Id="rId78" Type="http://schemas.openxmlformats.org/officeDocument/2006/relationships/hyperlink" Target="https://drive.google.com/open?id=1jfenCa92wclXEr_X-qc1-Uz0YByS_gcA" TargetMode="External"/><Relationship Id="rId71" Type="http://schemas.openxmlformats.org/officeDocument/2006/relationships/hyperlink" Target="https://drive.google.com/open?id=1yfyDjTI82AOudG8FZw8i8-GPZUnDC1f_" TargetMode="External"/><Relationship Id="rId70" Type="http://schemas.openxmlformats.org/officeDocument/2006/relationships/hyperlink" Target="https://drive.google.com/open?id=1R3wVe75x2IHl1pqFVp6lSxvmn5pmSi7O" TargetMode="External"/><Relationship Id="rId139" Type="http://schemas.openxmlformats.org/officeDocument/2006/relationships/hyperlink" Target="https://drive.google.com/open?id=1j_iDCczi8dax0tIoTZgBjxVkGqAIHkCV" TargetMode="External"/><Relationship Id="rId138" Type="http://schemas.openxmlformats.org/officeDocument/2006/relationships/hyperlink" Target="https://drive.google.com/open?id=1LygQKSIXH13VB6KC2rn4DfjiHtkOUB57" TargetMode="External"/><Relationship Id="rId259" Type="http://schemas.openxmlformats.org/officeDocument/2006/relationships/hyperlink" Target="https://drive.google.com/open?id=1m8Z9IDCmdwMjGy8MnfPmjKJWd01OO_jc" TargetMode="External"/><Relationship Id="rId137" Type="http://schemas.openxmlformats.org/officeDocument/2006/relationships/hyperlink" Target="https://drive.google.com/open?id=1axmRoczSYzytLdA-r6GrKBVv7ASZROLw" TargetMode="External"/><Relationship Id="rId258" Type="http://schemas.openxmlformats.org/officeDocument/2006/relationships/hyperlink" Target="https://drive.google.com/open?id=1VRq8JVg5LJ2DX7rko4Q7D7yulQaPFMSB" TargetMode="External"/><Relationship Id="rId132" Type="http://schemas.openxmlformats.org/officeDocument/2006/relationships/hyperlink" Target="https://drive.google.com/open?id=1YdJ17p26R0ft_Ieo_7ETLzxCaaAWPkld" TargetMode="External"/><Relationship Id="rId253" Type="http://schemas.openxmlformats.org/officeDocument/2006/relationships/hyperlink" Target="https://drive.google.com/open?id=1AhPokg0Mvu1FaOZ-Eeb4BXlWUJQfy2HC" TargetMode="External"/><Relationship Id="rId131" Type="http://schemas.openxmlformats.org/officeDocument/2006/relationships/hyperlink" Target="https://drive.google.com/open?id=1E-XeT3E2ZQ--Cf8Fz7TmGlb7cHaK3r1W" TargetMode="External"/><Relationship Id="rId252" Type="http://schemas.openxmlformats.org/officeDocument/2006/relationships/hyperlink" Target="https://drive.google.com/open?id=1PBWuIiGBALDCcC1RmCdiujKs-v_1exa5" TargetMode="External"/><Relationship Id="rId130" Type="http://schemas.openxmlformats.org/officeDocument/2006/relationships/hyperlink" Target="https://drive.google.com/open?id=11sTdsNBtN8qCJiUHMBs-9X5FwJPsS7Ip" TargetMode="External"/><Relationship Id="rId251" Type="http://schemas.openxmlformats.org/officeDocument/2006/relationships/hyperlink" Target="https://drive.google.com/open?id=1kBwx8sFH4jgToOmw-1uO-GrH3msyv7Dd" TargetMode="External"/><Relationship Id="rId250" Type="http://schemas.openxmlformats.org/officeDocument/2006/relationships/hyperlink" Target="https://drive.google.com/open?id=13ksDqv8_PYjMctXlgubrsa5BJnKvoogP" TargetMode="External"/><Relationship Id="rId136" Type="http://schemas.openxmlformats.org/officeDocument/2006/relationships/hyperlink" Target="https://drive.google.com/open?id=1nq_LX-ksItKdELuEQJh1TmT-6TlewcOJ" TargetMode="External"/><Relationship Id="rId257" Type="http://schemas.openxmlformats.org/officeDocument/2006/relationships/hyperlink" Target="https://drive.google.com/open?id=1xBicTgn9HRwaHDn__x2k9Pb2M7D7WVHU" TargetMode="External"/><Relationship Id="rId135" Type="http://schemas.openxmlformats.org/officeDocument/2006/relationships/hyperlink" Target="https://drive.google.com/open?id=1cABXty24sF2hTsg-8IPXj9R3OZmLeJDO" TargetMode="External"/><Relationship Id="rId256" Type="http://schemas.openxmlformats.org/officeDocument/2006/relationships/hyperlink" Target="https://drive.google.com/open?id=1OIbldar-BE589ME-UHFJcMdTl3F54F3c" TargetMode="External"/><Relationship Id="rId134" Type="http://schemas.openxmlformats.org/officeDocument/2006/relationships/hyperlink" Target="https://drive.google.com/open?id=1y3nPvI2EoKxFQoqrO-AzraX2kICIY_9Q" TargetMode="External"/><Relationship Id="rId255" Type="http://schemas.openxmlformats.org/officeDocument/2006/relationships/hyperlink" Target="https://drive.google.com/open?id=1DPzCpf2VTUJnTp7W4Ok8R5TV45pZ9uVb" TargetMode="External"/><Relationship Id="rId133" Type="http://schemas.openxmlformats.org/officeDocument/2006/relationships/hyperlink" Target="https://drive.google.com/open?id=1PbA4zpcUmq7BVfv9m5Ty5pV99fcWcDJL" TargetMode="External"/><Relationship Id="rId254" Type="http://schemas.openxmlformats.org/officeDocument/2006/relationships/hyperlink" Target="https://drive.google.com/open?id=1pkJLDFEvU4pkxO3OC3UkzjRlwckflg-S" TargetMode="External"/><Relationship Id="rId62" Type="http://schemas.openxmlformats.org/officeDocument/2006/relationships/hyperlink" Target="https://drive.google.com/open?id=1hC6C684HalY9wYrcZrvkhDoVigcJ6lUZ" TargetMode="External"/><Relationship Id="rId61" Type="http://schemas.openxmlformats.org/officeDocument/2006/relationships/hyperlink" Target="https://drive.google.com/open?id=16gNm6YYubJT_JZao7RS5ydei73yKaAGn" TargetMode="External"/><Relationship Id="rId64" Type="http://schemas.openxmlformats.org/officeDocument/2006/relationships/hyperlink" Target="https://drive.google.com/open?id=1INAZb6mN5f3CrQJ8nL2JyUm4kMAyZzPC" TargetMode="External"/><Relationship Id="rId63" Type="http://schemas.openxmlformats.org/officeDocument/2006/relationships/hyperlink" Target="https://drive.google.com/open?id=1ADfLHibRlJjjTxJyKCnk6NZ5hOaLU40d" TargetMode="External"/><Relationship Id="rId66" Type="http://schemas.openxmlformats.org/officeDocument/2006/relationships/hyperlink" Target="https://drive.google.com/open?id=1loYTVMJDCabVI4tVodmjiFyjVNCK-MQ4" TargetMode="External"/><Relationship Id="rId172" Type="http://schemas.openxmlformats.org/officeDocument/2006/relationships/hyperlink" Target="https://drive.google.com/open?id=1UkORKstMKGrtlf8pNEMF09-jDoyPr5Ni" TargetMode="External"/><Relationship Id="rId293" Type="http://schemas.openxmlformats.org/officeDocument/2006/relationships/hyperlink" Target="https://drive.google.com/open?id=1tS1yHeddJi7NOV2vyqjI8GU2ii7olnpV" TargetMode="External"/><Relationship Id="rId65" Type="http://schemas.openxmlformats.org/officeDocument/2006/relationships/hyperlink" Target="https://drive.google.com/open?id=1ceECJx97_XImostawX_4xO1xxfJTA5SY" TargetMode="External"/><Relationship Id="rId171" Type="http://schemas.openxmlformats.org/officeDocument/2006/relationships/hyperlink" Target="https://drive.google.com/open?id=18zyBtZ-dtSU4OZU50AbgjXXphB4AUvL5" TargetMode="External"/><Relationship Id="rId292" Type="http://schemas.openxmlformats.org/officeDocument/2006/relationships/hyperlink" Target="https://drive.google.com/open?id=10Ac_MzjZoQqw9jSJ2ILrvXkXppqG4c06" TargetMode="External"/><Relationship Id="rId68" Type="http://schemas.openxmlformats.org/officeDocument/2006/relationships/hyperlink" Target="https://drive.google.com/open?id=1XbnAQZmH8q7mQlymi1Qxkm1qvYarlgPl" TargetMode="External"/><Relationship Id="rId170" Type="http://schemas.openxmlformats.org/officeDocument/2006/relationships/hyperlink" Target="https://drive.google.com/open?id=1UkORKstMKGrtlf8pNEMF09-jDoyPr5Ni" TargetMode="External"/><Relationship Id="rId291" Type="http://schemas.openxmlformats.org/officeDocument/2006/relationships/hyperlink" Target="https://drive.google.com/open?id=1O8Bd7P18Gmgc_5vEeyAX8qGvmA8vn3TD" TargetMode="External"/><Relationship Id="rId67" Type="http://schemas.openxmlformats.org/officeDocument/2006/relationships/hyperlink" Target="https://drive.google.com/open?id=139kMVxj1jZ9LFIHCrbeZFpV9RQPR5WGc" TargetMode="External"/><Relationship Id="rId290" Type="http://schemas.openxmlformats.org/officeDocument/2006/relationships/hyperlink" Target="https://drive.google.com/open?id=16-Edi3eKWnmBzvE1sNmWnz2dcs-PgjcR" TargetMode="External"/><Relationship Id="rId60" Type="http://schemas.openxmlformats.org/officeDocument/2006/relationships/hyperlink" Target="https://drive.google.com/open?id=1d0Hz9T5tajVKd3vcxbCeSLySRSamPLGP" TargetMode="External"/><Relationship Id="rId165" Type="http://schemas.openxmlformats.org/officeDocument/2006/relationships/hyperlink" Target="https://drive.google.com/open?id=1n3Yo_vlqi_f8-dhLDZorsqVz-BMTBtHz" TargetMode="External"/><Relationship Id="rId286" Type="http://schemas.openxmlformats.org/officeDocument/2006/relationships/hyperlink" Target="https://drive.google.com/open?id=1whLXGzHRRzKe1mMVhqYXYm_lQKrTJ8PT" TargetMode="External"/><Relationship Id="rId69" Type="http://schemas.openxmlformats.org/officeDocument/2006/relationships/hyperlink" Target="https://drive.google.com/open?id=1Ue5EjZelwHbK2Xn-n0I0RF5MFGCUbpaV" TargetMode="External"/><Relationship Id="rId164" Type="http://schemas.openxmlformats.org/officeDocument/2006/relationships/hyperlink" Target="https://drive.google.com/open?id=11wNt1KbfNVbiTAcoB9r1DpYSwcg54Ygb" TargetMode="External"/><Relationship Id="rId285" Type="http://schemas.openxmlformats.org/officeDocument/2006/relationships/hyperlink" Target="https://drive.google.com/open?id=13H6p91mB1klGcvtjKvRDCGzoRcJTNedM" TargetMode="External"/><Relationship Id="rId163" Type="http://schemas.openxmlformats.org/officeDocument/2006/relationships/hyperlink" Target="https://drive.google.com/open?id=1E0P0bd7xO8dhmqTvEncJ7DFi7iaYLKxD" TargetMode="External"/><Relationship Id="rId284" Type="http://schemas.openxmlformats.org/officeDocument/2006/relationships/hyperlink" Target="https://drive.google.com/open?id=1AxSCXPRchqtn5b7rbm_thw3pKrmgtZ0v" TargetMode="External"/><Relationship Id="rId162" Type="http://schemas.openxmlformats.org/officeDocument/2006/relationships/hyperlink" Target="https://drive.google.com/open?id=1ZpNm9Icac8jE9XtYZMrFDelAORBVTjac" TargetMode="External"/><Relationship Id="rId283" Type="http://schemas.openxmlformats.org/officeDocument/2006/relationships/hyperlink" Target="https://drive.google.com/open?id=1upwhkua7K6vQrTdLGTxqIOF9WScafaYb" TargetMode="External"/><Relationship Id="rId169" Type="http://schemas.openxmlformats.org/officeDocument/2006/relationships/hyperlink" Target="https://drive.google.com/open?id=1IwM5wodNcu05jq4e8gcMggtK4cNU-9qL" TargetMode="External"/><Relationship Id="rId168" Type="http://schemas.openxmlformats.org/officeDocument/2006/relationships/hyperlink" Target="https://drive.google.com/open?id=17X2AxSLerlBdXweQof_4_r35Vfr9Qc5Z" TargetMode="External"/><Relationship Id="rId289" Type="http://schemas.openxmlformats.org/officeDocument/2006/relationships/hyperlink" Target="https://drive.google.com/open?id=1fSTxumnGB7NUQnjO_BQw9uIcziVwOlYC" TargetMode="External"/><Relationship Id="rId167" Type="http://schemas.openxmlformats.org/officeDocument/2006/relationships/hyperlink" Target="https://drive.google.com/open?id=1M0mOiWMkx3FDnE4g0B8NfJwrIPXPoCA7" TargetMode="External"/><Relationship Id="rId288" Type="http://schemas.openxmlformats.org/officeDocument/2006/relationships/hyperlink" Target="https://drive.google.com/open?id=1AK4GbPRucWhlAmL3Wn3dsXolkyOICImE" TargetMode="External"/><Relationship Id="rId166" Type="http://schemas.openxmlformats.org/officeDocument/2006/relationships/hyperlink" Target="https://drive.google.com/open?id=1-Bu1FzuFGhji5hrA5dD67UhKpTu_7W3e" TargetMode="External"/><Relationship Id="rId287" Type="http://schemas.openxmlformats.org/officeDocument/2006/relationships/hyperlink" Target="https://drive.google.com/open?id=1nusxiZpul7UDCcSgotgnLGbhF89YRWCL" TargetMode="External"/><Relationship Id="rId51" Type="http://schemas.openxmlformats.org/officeDocument/2006/relationships/hyperlink" Target="https://drive.google.com/open?id=1cWP54xZMii-91ONQoQr2X-jkRRXtj0m4" TargetMode="External"/><Relationship Id="rId50" Type="http://schemas.openxmlformats.org/officeDocument/2006/relationships/hyperlink" Target="https://drive.google.com/open?id=1r6D8J6wa64aDNj_bnTzfGfI614U-5hV-" TargetMode="External"/><Relationship Id="rId53" Type="http://schemas.openxmlformats.org/officeDocument/2006/relationships/hyperlink" Target="https://drive.google.com/open?id=1LExGmCu_N3SvXLJKus6BwzX8OvbkkA0w" TargetMode="External"/><Relationship Id="rId52" Type="http://schemas.openxmlformats.org/officeDocument/2006/relationships/hyperlink" Target="https://drive.google.com/open?id=1Rj-Lx9chfAchRf-4qb5Hwuu70tWLZAaW" TargetMode="External"/><Relationship Id="rId55" Type="http://schemas.openxmlformats.org/officeDocument/2006/relationships/hyperlink" Target="https://drive.google.com/open?id=1MJfb-opC07nHjgXCWIqFD7RhwuTCWhG_" TargetMode="External"/><Relationship Id="rId161" Type="http://schemas.openxmlformats.org/officeDocument/2006/relationships/hyperlink" Target="https://drive.google.com/open?id=1ffCYfwz7GaKVsUZY3BcEcSRTX_v7rELW," TargetMode="External"/><Relationship Id="rId282" Type="http://schemas.openxmlformats.org/officeDocument/2006/relationships/hyperlink" Target="https://drive.google.com/open?id=1HKZsQg04VaSJ63jU-ujaqL63eIczhxjS" TargetMode="External"/><Relationship Id="rId54" Type="http://schemas.openxmlformats.org/officeDocument/2006/relationships/hyperlink" Target="https://drive.google.com/open?id=1BrlRO-E5xcEYiHbrdsueNJZB7nCjI1g7" TargetMode="External"/><Relationship Id="rId160" Type="http://schemas.openxmlformats.org/officeDocument/2006/relationships/hyperlink" Target="https://drive.google.com/open?id=1ZpNm9Icac8jE9XtYZMrFDelAORBVTjac" TargetMode="External"/><Relationship Id="rId281" Type="http://schemas.openxmlformats.org/officeDocument/2006/relationships/hyperlink" Target="https://drive.google.com/open?id=1iTIyh7gTsra8tDgXNk7cyEhjxxcHc9Fy" TargetMode="External"/><Relationship Id="rId57" Type="http://schemas.openxmlformats.org/officeDocument/2006/relationships/hyperlink" Target="https://drive.google.com/open?id=1KWV6IHbHhJFrXBGKBWQ6dxXUMU49IYSq" TargetMode="External"/><Relationship Id="rId280" Type="http://schemas.openxmlformats.org/officeDocument/2006/relationships/hyperlink" Target="https://drive.google.com/open?id=14S7c6Y4BCZtFVXrBWO0j4ZPoFXZ7FmMw" TargetMode="External"/><Relationship Id="rId56" Type="http://schemas.openxmlformats.org/officeDocument/2006/relationships/hyperlink" Target="https://drive.google.com/open?id=1y4nxP6Mq7CLmEsHhHF-0cxHw45NKO6CW" TargetMode="External"/><Relationship Id="rId159" Type="http://schemas.openxmlformats.org/officeDocument/2006/relationships/hyperlink" Target="https://drive.google.com/open?id=1gQ3C07L9OIb0XOejy2UmFIy9TKxtGEFG" TargetMode="External"/><Relationship Id="rId59" Type="http://schemas.openxmlformats.org/officeDocument/2006/relationships/hyperlink" Target="https://drive.google.com/open?id=1RtRIdL9qt5rQWDDEiB_vspjGnYYqyQ7d" TargetMode="External"/><Relationship Id="rId154" Type="http://schemas.openxmlformats.org/officeDocument/2006/relationships/hyperlink" Target="https://drive.google.com/open?id=1F10fh_prlHIIse3YRca-VVss_VY3zvBe" TargetMode="External"/><Relationship Id="rId275" Type="http://schemas.openxmlformats.org/officeDocument/2006/relationships/hyperlink" Target="https://drive.google.com/open?id=1ACnMB_2dXqCGyFcJ4CJkHpU0USbjn9zJ" TargetMode="External"/><Relationship Id="rId58" Type="http://schemas.openxmlformats.org/officeDocument/2006/relationships/hyperlink" Target="https://drive.google.com/open?id=1Qf3gMdw071qai0V1LVh5yO6I3AJTjKio" TargetMode="External"/><Relationship Id="rId153" Type="http://schemas.openxmlformats.org/officeDocument/2006/relationships/hyperlink" Target="https://drive.google.com/open?id=1KE7oMRWrp9fuNpZ2IXLW6nF8W0g70jBa" TargetMode="External"/><Relationship Id="rId274" Type="http://schemas.openxmlformats.org/officeDocument/2006/relationships/hyperlink" Target="https://drive.google.com/open?id=1FGHNhwTl4bhwDli_cWpi70zevBc0LMkg" TargetMode="External"/><Relationship Id="rId152" Type="http://schemas.openxmlformats.org/officeDocument/2006/relationships/hyperlink" Target="https://drive.google.com/open?id=1hoIblDTK0kEdrGOqH_KAfog8TrQoYyWo" TargetMode="External"/><Relationship Id="rId273" Type="http://schemas.openxmlformats.org/officeDocument/2006/relationships/hyperlink" Target="https://drive.google.com/open?id=1OSjoVFMz-EHSyn5mjj1PHqQIp16KwiFQ" TargetMode="External"/><Relationship Id="rId151" Type="http://schemas.openxmlformats.org/officeDocument/2006/relationships/hyperlink" Target="https://drive.google.com/open?id=1i7V9dhg6m8snKBBF047Q61T6Pk9jEn_N" TargetMode="External"/><Relationship Id="rId272" Type="http://schemas.openxmlformats.org/officeDocument/2006/relationships/hyperlink" Target="https://drive.google.com/open?id=1WEWCcSGtFgxrbJE1A8kmm-al7H5U8TAG" TargetMode="External"/><Relationship Id="rId158" Type="http://schemas.openxmlformats.org/officeDocument/2006/relationships/hyperlink" Target="https://drive.google.com/open?id=1gkY_IEjhbyI7e9_Jn357KQ5LCLulwIn6" TargetMode="External"/><Relationship Id="rId279" Type="http://schemas.openxmlformats.org/officeDocument/2006/relationships/hyperlink" Target="https://drive.google.com/open?id=1qQu88KN1Gym6RyLBw6ANAi9i8TbORpgd" TargetMode="External"/><Relationship Id="rId157" Type="http://schemas.openxmlformats.org/officeDocument/2006/relationships/hyperlink" Target="https://drive.google.com/open?id=1U_rPWSg4Vfg8wmOhVk4YnrqEzr1D6mjp" TargetMode="External"/><Relationship Id="rId278" Type="http://schemas.openxmlformats.org/officeDocument/2006/relationships/hyperlink" Target="https://drive.google.com/open?id=1Jjs-GZlh3R3t0T9b65s4dpGhaBh-265p" TargetMode="External"/><Relationship Id="rId156" Type="http://schemas.openxmlformats.org/officeDocument/2006/relationships/hyperlink" Target="https://drive.google.com/open?id=1gkY_IEjhbyI7e9_Jn357KQ5LCLulwIn6" TargetMode="External"/><Relationship Id="rId277" Type="http://schemas.openxmlformats.org/officeDocument/2006/relationships/hyperlink" Target="https://drive.google.com/open?id=1hPJVLSnb-abu950tP2qRKvskSPpWir0O" TargetMode="External"/><Relationship Id="rId155" Type="http://schemas.openxmlformats.org/officeDocument/2006/relationships/hyperlink" Target="https://drive.google.com/open?id=192dKOSMvCVxaUPOSTkDmuHU3eossokPA" TargetMode="External"/><Relationship Id="rId276" Type="http://schemas.openxmlformats.org/officeDocument/2006/relationships/hyperlink" Target="https://drive.google.com/open?id=1_Dasaa-c3KAeagYwmB9UvZmX7d-Z99IS" TargetMode="External"/><Relationship Id="rId107" Type="http://schemas.openxmlformats.org/officeDocument/2006/relationships/hyperlink" Target="https://drive.google.com/open?id=1iVefccY5VOzjmpIUlt9UiZF2Z7ubtaeH" TargetMode="External"/><Relationship Id="rId228" Type="http://schemas.openxmlformats.org/officeDocument/2006/relationships/hyperlink" Target="https://drive.google.com/open?id=109j9ZeA0uHZjRBhZQO016MQTtKv3M0X_" TargetMode="External"/><Relationship Id="rId106" Type="http://schemas.openxmlformats.org/officeDocument/2006/relationships/hyperlink" Target="https://drive.google.com/open?id=1uAFnzmOvwy0zucwTl_9g1HNsyD-ZLBWV" TargetMode="External"/><Relationship Id="rId227" Type="http://schemas.openxmlformats.org/officeDocument/2006/relationships/hyperlink" Target="https://drive.google.com/file/d/12J5THudnGEjxPyTu4ely0fKFCthAcnZs/view" TargetMode="External"/><Relationship Id="rId105" Type="http://schemas.openxmlformats.org/officeDocument/2006/relationships/hyperlink" Target="https://drive.google.com/open?id=1ICk7TgankYlEnnxNL28CYeDDtGyuC2YM" TargetMode="External"/><Relationship Id="rId226" Type="http://schemas.openxmlformats.org/officeDocument/2006/relationships/hyperlink" Target="https://drive.google.com/open?id=156bbbC9ggIsmuYfOFj-wRfjLrMORa2Xs" TargetMode="External"/><Relationship Id="rId104" Type="http://schemas.openxmlformats.org/officeDocument/2006/relationships/hyperlink" Target="https://drive.google.com/open?id=1I5Et0ldPVnXiYY3qvC1embrESnHHnPuK" TargetMode="External"/><Relationship Id="rId225" Type="http://schemas.openxmlformats.org/officeDocument/2006/relationships/hyperlink" Target="https://drive.google.com/file/d/1M3DTwp0dETJ0kUJCY7bkuOP0jyJ020pz/view" TargetMode="External"/><Relationship Id="rId109" Type="http://schemas.openxmlformats.org/officeDocument/2006/relationships/hyperlink" Target="https://drive.google.com/open?id=1sLl8gqlEbTZzgLb2Xb2jvk1nxRDSnOME" TargetMode="External"/><Relationship Id="rId108" Type="http://schemas.openxmlformats.org/officeDocument/2006/relationships/hyperlink" Target="https://drive.google.com/open?id=1eSqivt4VJaSaAhc3hNgtElyvvN-w1z6S" TargetMode="External"/><Relationship Id="rId229" Type="http://schemas.openxmlformats.org/officeDocument/2006/relationships/hyperlink" Target="https://drive.google.com/open?id=1lx4yEkQGipu7FPanqwKaSPwP6hAqJjwx" TargetMode="External"/><Relationship Id="rId220" Type="http://schemas.openxmlformats.org/officeDocument/2006/relationships/hyperlink" Target="https://drive.google.com/open?id=1SYUSwQUdJkYA9YeMQyW3XzTp1ZYTTzzD" TargetMode="External"/><Relationship Id="rId103" Type="http://schemas.openxmlformats.org/officeDocument/2006/relationships/hyperlink" Target="https://drive.google.com/open?id=1ZKORAPn78TaCiI2WQ71M8WHR6s8g6eWX" TargetMode="External"/><Relationship Id="rId224" Type="http://schemas.openxmlformats.org/officeDocument/2006/relationships/hyperlink" Target="https://drive.google.com/open?id=156bbbC9ggIsmuYfOFj-wRfjLrMORa2Xs" TargetMode="External"/><Relationship Id="rId102" Type="http://schemas.openxmlformats.org/officeDocument/2006/relationships/hyperlink" Target="https://drive.google.com/file/d/1pZk_2CZP3tw_xTZU1PZHhixaIfS9562N/view?usp=share_link" TargetMode="External"/><Relationship Id="rId223" Type="http://schemas.openxmlformats.org/officeDocument/2006/relationships/hyperlink" Target="https://drive.google.com/open?id=1OZZPf8w2FeDpROusBxAQNUvYtgzBZa-f" TargetMode="External"/><Relationship Id="rId101" Type="http://schemas.openxmlformats.org/officeDocument/2006/relationships/hyperlink" Target="https://drive.google.com/open?id=1ZKORAPn78TaCiI2WQ71M8WHR6s8g6eWX" TargetMode="External"/><Relationship Id="rId222" Type="http://schemas.openxmlformats.org/officeDocument/2006/relationships/hyperlink" Target="https://drive.google.com/open?id=1lTNpku3BF49iC0gJcS7GbX9aE9EvBMAd" TargetMode="External"/><Relationship Id="rId100" Type="http://schemas.openxmlformats.org/officeDocument/2006/relationships/hyperlink" Target="https://drive.google.com/open?id=1QJ4Uc9DzSbFqhtQW7is4g2FqI45CYegf" TargetMode="External"/><Relationship Id="rId221" Type="http://schemas.openxmlformats.org/officeDocument/2006/relationships/hyperlink" Target="https://drive.google.com/open?id=1MOocJX4esMFyMbUZPrVKgUpFfpz3b2HX" TargetMode="External"/><Relationship Id="rId217" Type="http://schemas.openxmlformats.org/officeDocument/2006/relationships/hyperlink" Target="https://drive.google.com/open?id=1JF5yurfN0VGpy0m1-IjWTu4VTrIFCtVf" TargetMode="External"/><Relationship Id="rId216" Type="http://schemas.openxmlformats.org/officeDocument/2006/relationships/hyperlink" Target="https://drive.google.com/open?id=1baTGXzuohpe5MItrPKhqpQgENNcq0FUa" TargetMode="External"/><Relationship Id="rId215" Type="http://schemas.openxmlformats.org/officeDocument/2006/relationships/hyperlink" Target="https://drive.google.com/file/d/1mC33pRx2mWiiBznJkZYmdA4J_h8gwb12/view" TargetMode="External"/><Relationship Id="rId214" Type="http://schemas.openxmlformats.org/officeDocument/2006/relationships/hyperlink" Target="https://drive.google.com/open?id=1gqF4F101t96f7X13Y0j3zVM5Vrs78U95" TargetMode="External"/><Relationship Id="rId219" Type="http://schemas.openxmlformats.org/officeDocument/2006/relationships/hyperlink" Target="https://drive.google.com/open?id=1GtRozACamCDo7I71U_vXfzgOVpshmQsd" TargetMode="External"/><Relationship Id="rId218" Type="http://schemas.openxmlformats.org/officeDocument/2006/relationships/hyperlink" Target="https://drive.google.com/open?id=1faA-bxPMTtRAWg_cnVwhOUtA6u0H-pPY" TargetMode="External"/><Relationship Id="rId213" Type="http://schemas.openxmlformats.org/officeDocument/2006/relationships/hyperlink" Target="https://drive.google.com/file/d/1rFtsNf8ASsrWih9QTqvBd9_PZkhgfVpM/view" TargetMode="External"/><Relationship Id="rId212" Type="http://schemas.openxmlformats.org/officeDocument/2006/relationships/hyperlink" Target="https://drive.google.com/open?id=1gqF4F101t96f7X13Y0j3zVM5Vrs78U95" TargetMode="External"/><Relationship Id="rId211" Type="http://schemas.openxmlformats.org/officeDocument/2006/relationships/hyperlink" Target="https://drive.google.com/open?id=1_h-yxaQ1_xtg14kDX5tvRIoVyDSqGvGo%5C" TargetMode="External"/><Relationship Id="rId210" Type="http://schemas.openxmlformats.org/officeDocument/2006/relationships/hyperlink" Target="https://drive.google.com/open?id=184WgQ3WpLTa1BvzaukrTHkvwDdv78o0y" TargetMode="External"/><Relationship Id="rId129" Type="http://schemas.openxmlformats.org/officeDocument/2006/relationships/hyperlink" Target="https://drive.google.com/open?id=1clE9lzakw9kfRQ2ppO36ITaS18ODaLCf" TargetMode="External"/><Relationship Id="rId128" Type="http://schemas.openxmlformats.org/officeDocument/2006/relationships/hyperlink" Target="https://drive.google.com/open?id=11sTdsNBtN8qCJiUHMBs-9X5FwJPsS7Ip" TargetMode="External"/><Relationship Id="rId249" Type="http://schemas.openxmlformats.org/officeDocument/2006/relationships/hyperlink" Target="https://drive.google.com/open?id=13NV5ERhn2r-6jY9CzH8MfWRlnUsa0k9f" TargetMode="External"/><Relationship Id="rId127" Type="http://schemas.openxmlformats.org/officeDocument/2006/relationships/hyperlink" Target="https://drive.google.com/open?id=15ODNAx7zBXz04bY3G_agz3H3KIhpo_oX" TargetMode="External"/><Relationship Id="rId248" Type="http://schemas.openxmlformats.org/officeDocument/2006/relationships/hyperlink" Target="https://drive.google.com/open?id=1SOp8csGd-8MS5H4riCo5gKIs67VuvEaF" TargetMode="External"/><Relationship Id="rId126" Type="http://schemas.openxmlformats.org/officeDocument/2006/relationships/hyperlink" Target="https://drive.google.com/open?id=14UxhRKzxHHOHabp3KSx2Vdmu7wx3Bbuz" TargetMode="External"/><Relationship Id="rId247" Type="http://schemas.openxmlformats.org/officeDocument/2006/relationships/hyperlink" Target="https://drive.google.com/open?id=1zH3hX-gLrn5eXF_YQsBTybaJo1L31H12" TargetMode="External"/><Relationship Id="rId121" Type="http://schemas.openxmlformats.org/officeDocument/2006/relationships/hyperlink" Target="https://drive.google.com/open?id=1Tk5wOE9pDVZMFVWyFvClXEQPNEjcXmOY" TargetMode="External"/><Relationship Id="rId242" Type="http://schemas.openxmlformats.org/officeDocument/2006/relationships/hyperlink" Target="https://drive.google.com/open?id=1Ukl2n65rqJXq-8P6QtBIMtUaJx-tYxvR" TargetMode="External"/><Relationship Id="rId120" Type="http://schemas.openxmlformats.org/officeDocument/2006/relationships/hyperlink" Target="https://drive.google.com/open?id=1J7vJZuHna6dZkz5K905INRP2_ExzwktN" TargetMode="External"/><Relationship Id="rId241" Type="http://schemas.openxmlformats.org/officeDocument/2006/relationships/hyperlink" Target="https://drive.google.com/open?id=1LqozPNHRBLUhOfLPuqztKkXE3J84i9w3" TargetMode="External"/><Relationship Id="rId240" Type="http://schemas.openxmlformats.org/officeDocument/2006/relationships/hyperlink" Target="https://drive.google.com/open?id=1MpQb6vTEH5LFk1LmRdlntojxnvkde-17" TargetMode="External"/><Relationship Id="rId125" Type="http://schemas.openxmlformats.org/officeDocument/2006/relationships/hyperlink" Target="https://drive.google.com/open?id=19VPyyp-w3WzJJM1CY7Fn1yMEDDpGJDIl" TargetMode="External"/><Relationship Id="rId246" Type="http://schemas.openxmlformats.org/officeDocument/2006/relationships/hyperlink" Target="https://drive.google.com/open?id=16xakLyhPR21y_O-ec9VXi21p_jbAKV3g" TargetMode="External"/><Relationship Id="rId124" Type="http://schemas.openxmlformats.org/officeDocument/2006/relationships/hyperlink" Target="https://drive.google.com/open?id=1NXZMtnxmjlFATLSHCHUUBNN7ZJPKufb1" TargetMode="External"/><Relationship Id="rId245" Type="http://schemas.openxmlformats.org/officeDocument/2006/relationships/hyperlink" Target="https://drive.google.com/open?id=14_Gp1Q3XTAWISYdmK_wlZ06vu71B8V08" TargetMode="External"/><Relationship Id="rId123" Type="http://schemas.openxmlformats.org/officeDocument/2006/relationships/hyperlink" Target="https://drive.google.com/open?id=1yMaG7EyQIMOVRzu2Dbsl1jByQr6Pug9A" TargetMode="External"/><Relationship Id="rId244" Type="http://schemas.openxmlformats.org/officeDocument/2006/relationships/hyperlink" Target="https://drive.google.com/open?id=1jC_c75HVyZPHuw21bDPC4GGCdKlP7tuV" TargetMode="External"/><Relationship Id="rId122" Type="http://schemas.openxmlformats.org/officeDocument/2006/relationships/hyperlink" Target="https://drive.google.com/open?id=1J7vJZuHna6dZkz5K905INRP2_ExzwktN" TargetMode="External"/><Relationship Id="rId243" Type="http://schemas.openxmlformats.org/officeDocument/2006/relationships/hyperlink" Target="https://drive.google.com/open?id=1Agbv-1aDVZPe8YnOUwjgF3pOuY5vOizM" TargetMode="External"/><Relationship Id="rId95" Type="http://schemas.openxmlformats.org/officeDocument/2006/relationships/hyperlink" Target="https://drive.google.com/open?id=1rKOU4jMBndoaIvyxgn8fW1kZX0KfSu0M" TargetMode="External"/><Relationship Id="rId94" Type="http://schemas.openxmlformats.org/officeDocument/2006/relationships/hyperlink" Target="https://drive.google.com/open?id=1pGhnd9A3c7bNwncDZSq9s2HB39DyRuZV" TargetMode="External"/><Relationship Id="rId97" Type="http://schemas.openxmlformats.org/officeDocument/2006/relationships/hyperlink" Target="https://drive.google.com/open?id=1rKOU4jMBndoaIvyxgn8fW1kZX0KfSu0M" TargetMode="External"/><Relationship Id="rId96" Type="http://schemas.openxmlformats.org/officeDocument/2006/relationships/hyperlink" Target="https://drive.google.com/open?id=16RPfZWD9i-3fyTt9DreiZlu9cyewLt0h" TargetMode="External"/><Relationship Id="rId99" Type="http://schemas.openxmlformats.org/officeDocument/2006/relationships/hyperlink" Target="https://drive.google.com/open?id=17Egr0oidNx8Yhft1wGqY6mh-UUfEFZno" TargetMode="External"/><Relationship Id="rId98" Type="http://schemas.openxmlformats.org/officeDocument/2006/relationships/hyperlink" Target="https://drive.google.com/open?id=1LKILjBn5uLoS09xNa6DEogfm-iEC5_yH" TargetMode="External"/><Relationship Id="rId91" Type="http://schemas.openxmlformats.org/officeDocument/2006/relationships/hyperlink" Target="https://drive.google.com/open?id=1HAfacJtdjGMPTH0M5GqxoGY1qRUNKMFe" TargetMode="External"/><Relationship Id="rId90" Type="http://schemas.openxmlformats.org/officeDocument/2006/relationships/hyperlink" Target="https://drive.google.com/open?id=1d1yuhh95ozwwA2nYz1IpY9EyjZg1QWnL" TargetMode="External"/><Relationship Id="rId93" Type="http://schemas.openxmlformats.org/officeDocument/2006/relationships/hyperlink" Target="https://drive.google.com/open?id=1OQJOo8FRjlJutki5jLsjUyxC1vwUMCQD" TargetMode="External"/><Relationship Id="rId92" Type="http://schemas.openxmlformats.org/officeDocument/2006/relationships/hyperlink" Target="https://drive.google.com/open?id=1n6CyB-o-AMHQOk7iZzTtwi9AW2HsRwvj" TargetMode="External"/><Relationship Id="rId118" Type="http://schemas.openxmlformats.org/officeDocument/2006/relationships/hyperlink" Target="https://drive.google.com/open?id=1qFACk2JbXnNnJA-4-VYPIDlf_rAZjSNh" TargetMode="External"/><Relationship Id="rId239" Type="http://schemas.openxmlformats.org/officeDocument/2006/relationships/hyperlink" Target="https://drive.google.com/open?id=1L3WU1i-zFv_vncF5Sau8nl6iwL1fywgL" TargetMode="External"/><Relationship Id="rId117" Type="http://schemas.openxmlformats.org/officeDocument/2006/relationships/hyperlink" Target="https://drive.google.com/open?id=1s4gTNZUV0JpLNpg8EFcovAA5EBF5HDaV" TargetMode="External"/><Relationship Id="rId238" Type="http://schemas.openxmlformats.org/officeDocument/2006/relationships/hyperlink" Target="https://drive.google.com/open?id=17jEQCNPogD0W0iWRKk78YHx6_1kBvY6h" TargetMode="External"/><Relationship Id="rId116" Type="http://schemas.openxmlformats.org/officeDocument/2006/relationships/hyperlink" Target="https://drive.google.com/open?id=1twp3IqO0TNczIC8TCdapObSjFr_B69Ky" TargetMode="External"/><Relationship Id="rId237" Type="http://schemas.openxmlformats.org/officeDocument/2006/relationships/hyperlink" Target="https://drive.google.com/open?id=1wYxLW0uR-9WZQH2OTBMZgU7EN1o0Pxlf" TargetMode="External"/><Relationship Id="rId115" Type="http://schemas.openxmlformats.org/officeDocument/2006/relationships/hyperlink" Target="https://drive.google.com/open?id=1IdK-yz5e0FTSb4PKPLvfO6557TPo-NjH" TargetMode="External"/><Relationship Id="rId236" Type="http://schemas.openxmlformats.org/officeDocument/2006/relationships/hyperlink" Target="https://drive.google.com/open?id=1pGmJmvfw-znl0eh8FPw5eVQ_TFhUxjLg" TargetMode="External"/><Relationship Id="rId119" Type="http://schemas.openxmlformats.org/officeDocument/2006/relationships/hyperlink" Target="https://drive.google.com/open?id=1flWQBx9IRjAb2eMBUwQSOudqulFyaq7B" TargetMode="External"/><Relationship Id="rId110" Type="http://schemas.openxmlformats.org/officeDocument/2006/relationships/hyperlink" Target="https://drive.google.com/open?id=1vw58Q1_ddhSCktkBHDMINVVzjn9EUhYI" TargetMode="External"/><Relationship Id="rId231" Type="http://schemas.openxmlformats.org/officeDocument/2006/relationships/hyperlink" Target="https://drive.google.com/open?id=1---haraadHv-vg01QmKMWxuU8cTPWqph" TargetMode="External"/><Relationship Id="rId230" Type="http://schemas.openxmlformats.org/officeDocument/2006/relationships/hyperlink" Target="https://drive.google.com/open?id=109j9ZeA0uHZjRBhZQO016MQTtKv3M0X_" TargetMode="External"/><Relationship Id="rId114" Type="http://schemas.openxmlformats.org/officeDocument/2006/relationships/hyperlink" Target="https://drive.google.com/open?id=10gHSrI2EwI4Jyu_C5pv2G-Aewp8LVAoH" TargetMode="External"/><Relationship Id="rId235" Type="http://schemas.openxmlformats.org/officeDocument/2006/relationships/hyperlink" Target="https://drive.google.com/open?id=1mkuZijUbKBnvtlBs_Ia8uEOlpjrLvZqx" TargetMode="External"/><Relationship Id="rId113" Type="http://schemas.openxmlformats.org/officeDocument/2006/relationships/hyperlink" Target="https://drive.google.com/open?id=1wnh2EpOsUb3xMzwtb29CISNJXxojDJUP" TargetMode="External"/><Relationship Id="rId234" Type="http://schemas.openxmlformats.org/officeDocument/2006/relationships/hyperlink" Target="https://drive.google.com/open?id=17jMscKb6urdkW5I3i6rxNFwqoFu-2DD7" TargetMode="External"/><Relationship Id="rId112" Type="http://schemas.openxmlformats.org/officeDocument/2006/relationships/hyperlink" Target="https://drive.google.com/open?id=1Opc6mZyLpZhXr8US7U7SJktbohLWmaUs" TargetMode="External"/><Relationship Id="rId233" Type="http://schemas.openxmlformats.org/officeDocument/2006/relationships/hyperlink" Target="https://drive.google.com/open?id=1jX6zFzWt37SlYcUh8mMCoMm3jujmm4g5" TargetMode="External"/><Relationship Id="rId111" Type="http://schemas.openxmlformats.org/officeDocument/2006/relationships/hyperlink" Target="https://drive.google.com/open?id=1sLl8gqlEbTZzgLb2Xb2jvk1nxRDSnOME" TargetMode="External"/><Relationship Id="rId232" Type="http://schemas.openxmlformats.org/officeDocument/2006/relationships/hyperlink" Target="https://drive.google.com/open?id=1WHuC3MkmIazQ1_65SEbwwF8XxuA9rY3N" TargetMode="External"/><Relationship Id="rId305" Type="http://schemas.openxmlformats.org/officeDocument/2006/relationships/hyperlink" Target="https://drive.google.com/open?id=1nMUz8tpeNogXJoEzPwDhNB6-BsskMayc" TargetMode="External"/><Relationship Id="rId304" Type="http://schemas.openxmlformats.org/officeDocument/2006/relationships/hyperlink" Target="https://drive.google.com/open?id=1-PyrJC4m4WnCRtA_NpJiLADoNw69DuO1" TargetMode="External"/><Relationship Id="rId303" Type="http://schemas.openxmlformats.org/officeDocument/2006/relationships/hyperlink" Target="https://drive.google.com/open?id=1tdF-NboruXXlmc8GbFtJOR2CXURZo6so" TargetMode="External"/><Relationship Id="rId302" Type="http://schemas.openxmlformats.org/officeDocument/2006/relationships/hyperlink" Target="https://drive.google.com/open?id=141sYH1gHyjbExpNZwF_-9kWq53435W6F" TargetMode="External"/><Relationship Id="rId309" Type="http://schemas.openxmlformats.org/officeDocument/2006/relationships/hyperlink" Target="https://drive.google.com/open?id=1l04a-EpofBVtEclOfNO-tPjqarzNneQE" TargetMode="External"/><Relationship Id="rId308" Type="http://schemas.openxmlformats.org/officeDocument/2006/relationships/hyperlink" Target="https://drive.google.com/open?id=1J7vJZuHna6dZkz5K905INRP2_ExzwktN" TargetMode="External"/><Relationship Id="rId307" Type="http://schemas.openxmlformats.org/officeDocument/2006/relationships/hyperlink" Target="https://drive.google.com/open?id=1NU881fegekNITqT1kabX7o_yKUM6aEMB" TargetMode="External"/><Relationship Id="rId306" Type="http://schemas.openxmlformats.org/officeDocument/2006/relationships/hyperlink" Target="https://drive.google.com/open?id=1cKPASFihIqJevXSiPfOGUGPX2Iookru_" TargetMode="External"/><Relationship Id="rId301" Type="http://schemas.openxmlformats.org/officeDocument/2006/relationships/hyperlink" Target="https://drive.google.com/open?id=15O4vmsLNiZc1p72gU1FTPLmdoJEu1Daw" TargetMode="External"/><Relationship Id="rId300" Type="http://schemas.openxmlformats.org/officeDocument/2006/relationships/hyperlink" Target="https://drive.google.com/open?id=1-lrmjcUi2JYWgI27REEq1cjm8edZPB9J" TargetMode="External"/><Relationship Id="rId206" Type="http://schemas.openxmlformats.org/officeDocument/2006/relationships/hyperlink" Target="https://drive.google.com/open?id=1nrkeiid9YYRtisGMMGnjO4VwvPpb_TpH" TargetMode="External"/><Relationship Id="rId327" Type="http://schemas.openxmlformats.org/officeDocument/2006/relationships/drawing" Target="../drawings/drawing7.xml"/><Relationship Id="rId205" Type="http://schemas.openxmlformats.org/officeDocument/2006/relationships/hyperlink" Target="https://drive.google.com/open?id=1WdzM5_410fyE_fqvEPDkAzk_1tuvDe4B" TargetMode="External"/><Relationship Id="rId326" Type="http://schemas.openxmlformats.org/officeDocument/2006/relationships/hyperlink" Target="https://drive.google.com/file/d/1To-c3fBO8o1Q5U-6lP5hTRFy6xH59yiu/view" TargetMode="External"/><Relationship Id="rId204" Type="http://schemas.openxmlformats.org/officeDocument/2006/relationships/hyperlink" Target="https://drive.google.com/open?id=1nrkeiid9YYRtisGMMGnjO4VwvPpb_TpH" TargetMode="External"/><Relationship Id="rId325" Type="http://schemas.openxmlformats.org/officeDocument/2006/relationships/hyperlink" Target="https://drive.google.com/open?id=156bbbC9ggIsmuYfOFj-wRfjLrMORa2Xs" TargetMode="External"/><Relationship Id="rId203" Type="http://schemas.openxmlformats.org/officeDocument/2006/relationships/hyperlink" Target="https://drive.google.com/open?id=1VlnhB6xjcdSUUbUNVlDoy102JViZBNSG" TargetMode="External"/><Relationship Id="rId324" Type="http://schemas.openxmlformats.org/officeDocument/2006/relationships/hyperlink" Target="https://drive.google.com/open?id=1Oq4Fao62wj_UFpxSlq3zU0uUDbHUhH50" TargetMode="External"/><Relationship Id="rId209" Type="http://schemas.openxmlformats.org/officeDocument/2006/relationships/hyperlink" Target="https://drive.google.com/open?id=1qqUvky77rse1vvujZlyW3a9ryh3t7Bs7" TargetMode="External"/><Relationship Id="rId208" Type="http://schemas.openxmlformats.org/officeDocument/2006/relationships/hyperlink" Target="https://drive.google.com/open?id=184WgQ3WpLTa1BvzaukrTHkvwDdv78o0y" TargetMode="External"/><Relationship Id="rId207" Type="http://schemas.openxmlformats.org/officeDocument/2006/relationships/hyperlink" Target="https://drive.google.com/open?id=1I2CjtIbszf-KTk3T2SzhvqZGH-bh8F6B" TargetMode="External"/><Relationship Id="rId328" Type="http://schemas.openxmlformats.org/officeDocument/2006/relationships/vmlDrawing" Target="../drawings/vmlDrawing4.vml"/><Relationship Id="rId202" Type="http://schemas.openxmlformats.org/officeDocument/2006/relationships/hyperlink" Target="https://drive.google.com/open?id=142VB34g7CLw66hCtvcjbKJTJlMBXUuPz" TargetMode="External"/><Relationship Id="rId323" Type="http://schemas.openxmlformats.org/officeDocument/2006/relationships/hyperlink" Target="https://drive.google.com/open?id=1HgUmLNZTTq8zlyZSSTtzi8hfWgZrCdnQ" TargetMode="External"/><Relationship Id="rId201" Type="http://schemas.openxmlformats.org/officeDocument/2006/relationships/hyperlink" Target="https://drive.google.com/open?id=1s5Dwx3n3d63I7LH0grRNseC4dy21wg9N" TargetMode="External"/><Relationship Id="rId322" Type="http://schemas.openxmlformats.org/officeDocument/2006/relationships/hyperlink" Target="https://drive.google.com/open?id=1hpjM0dG2Bp4vsu9w7GQ3DQMGuDSwcsjt" TargetMode="External"/><Relationship Id="rId200" Type="http://schemas.openxmlformats.org/officeDocument/2006/relationships/hyperlink" Target="https://drive.google.com/open?id=142VB34g7CLw66hCtvcjbKJTJlMBXUuPz" TargetMode="External"/><Relationship Id="rId321" Type="http://schemas.openxmlformats.org/officeDocument/2006/relationships/hyperlink" Target="https://drive.google.com/open?id=1NuUtwTPC3AdB0dZTYo3KpM1Vi9XnSwGI" TargetMode="External"/><Relationship Id="rId320" Type="http://schemas.openxmlformats.org/officeDocument/2006/relationships/hyperlink" Target="https://drive.google.com/open?id=1EhAaSfyIlRjffC6a1h6fd2cf2W80bbtj" TargetMode="External"/><Relationship Id="rId316" Type="http://schemas.openxmlformats.org/officeDocument/2006/relationships/hyperlink" Target="https://drive.google.com/open?id=1KEQ7I-A-QzbM1YuwNxBI0KO6fzE4Ki83" TargetMode="External"/><Relationship Id="rId315" Type="http://schemas.openxmlformats.org/officeDocument/2006/relationships/hyperlink" Target="https://drive.google.com/open?id=1qmUrbBkhcyRJUI-JGIW9vFPQO3-0RZf9" TargetMode="External"/><Relationship Id="rId314" Type="http://schemas.openxmlformats.org/officeDocument/2006/relationships/hyperlink" Target="https://drive.google.com/open?id=1bPEGw5fufCoraFxnWOJbQjZUqndGiYdU" TargetMode="External"/><Relationship Id="rId313" Type="http://schemas.openxmlformats.org/officeDocument/2006/relationships/hyperlink" Target="https://drive.google.com/open?id=1UXYtlKn4_WuSTJWCAE3DmUAaUhNgViit" TargetMode="External"/><Relationship Id="rId319" Type="http://schemas.openxmlformats.org/officeDocument/2006/relationships/hyperlink" Target="https://drive.google.com/open?id=1stlBmW-XAzNCOpo6VIpdYU0sbZb4_UDx" TargetMode="External"/><Relationship Id="rId318" Type="http://schemas.openxmlformats.org/officeDocument/2006/relationships/hyperlink" Target="https://drive.google.com/open?id=18uGW95XbcwHozaYTMyhahkt4YgLlAwD8" TargetMode="External"/><Relationship Id="rId317" Type="http://schemas.openxmlformats.org/officeDocument/2006/relationships/hyperlink" Target="https://drive.google.com/open?id=1DhQPCqTrlCJuZeVtzJegSWHBeyoLF__U" TargetMode="External"/><Relationship Id="rId312" Type="http://schemas.openxmlformats.org/officeDocument/2006/relationships/hyperlink" Target="https://drive.google.com/open?id=1kC1ytf-bQrr_oDl-izGQI60bEFy77qE5" TargetMode="External"/><Relationship Id="rId311" Type="http://schemas.openxmlformats.org/officeDocument/2006/relationships/hyperlink" Target="https://drive.google.com/open?id=1cYeEgF7swjG1w4DXwIdvQRs8sSFtzGEk" TargetMode="External"/><Relationship Id="rId310" Type="http://schemas.openxmlformats.org/officeDocument/2006/relationships/hyperlink" Target="https://drive.google.com/open?id=16R9SHY7Fiw-2TGkxs8p6VVuXFQcZN2kP" TargetMode="External"/></Relationships>
</file>

<file path=xl/worksheets/_rels/sheet8.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8.xml"/><Relationship Id="rId3" Type="http://schemas.openxmlformats.org/officeDocument/2006/relationships/vmlDrawing" Target="../drawings/vmlDrawing5.vml"/></Relationships>
</file>

<file path=xl/worksheets/_rels/sheet9.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9.xml"/><Relationship Id="rId3" Type="http://schemas.openxmlformats.org/officeDocument/2006/relationships/vmlDrawing" Target="../drawings/vmlDrawing6.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hyperlink" Target="https://docs.google.com/spreadsheets/d/1ni39vn-fdXq0HrOgHbim_FK0OZidUv-YBLvzPwhhlFQ/edit?usp=sharing" TargetMode="External"/><Relationship Id="rId3" Type="http://schemas.openxmlformats.org/officeDocument/2006/relationships/drawing" Target="../drawings/drawing10.xml"/><Relationship Id="rId4" Type="http://schemas.openxmlformats.org/officeDocument/2006/relationships/vmlDrawing" Target="../drawings/vmlDrawing7.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11.xml"/><Relationship Id="rId3" Type="http://schemas.openxmlformats.org/officeDocument/2006/relationships/vmlDrawing" Target="../drawings/vmlDrawing8.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3.38"/>
  </cols>
  <sheetData>
    <row r="1" ht="41.25" customHeight="1">
      <c r="A1" s="1" t="str">
        <f>IFERROR(__xludf.DUMMYFUNCTION("QUERY({
  'APS Tubes IMPORT'!A1:A1579; 
  'ARF Tubes'!M2:M1579
}, 
""SELECT Col1 WHERE Col1 IS NOT NULL"", 0)"),"TUBE ID")</f>
        <v>TUBE ID</v>
      </c>
      <c r="B1" s="1" t="str">
        <f>IFERROR(__xludf.DUMMYFUNCTION("QUERY({
  'APS Tubes IMPORT'!V1:V1579; 
  'ARF Tubes'!N2:N1579
}, 
""SELECT Col1 WHERE Col1 IS NOT NULL"", 0)"),"FINAL
ASSIGNED RUN ID")</f>
        <v>FINAL
ASSIGNED RUN ID</v>
      </c>
      <c r="C1" s="2" t="str">
        <f>'Run Reconcile'!B1</f>
        <v>RUN DATE</v>
      </c>
      <c r="D1" s="3" t="str">
        <f>'APS Tubes IMPORT'!B1</f>
        <v>COLLECTION DATE</v>
      </c>
      <c r="E1" s="4" t="str">
        <f>'APS Tubes IMPORT'!C1</f>
        <v>COLLECTION TIME</v>
      </c>
      <c r="F1" s="1" t="str">
        <f>IFERROR(__xludf.DUMMYFUNCTION("QUERY({
  'APS Tubes IMPORT'!H1:H1579; 
  'ARF Tubes'!P2:P1579
}, 
""SELECT Col1 WHERE Col1 IS NOT NULL"", 0)"),"FINAL RESULT")</f>
        <v>FINAL RESULT</v>
      </c>
      <c r="G1" s="5" t="str">
        <f>'APS Tubes IMPORT'!N1</f>
        <v>NUM SAMPLES (Pool Level)</v>
      </c>
      <c r="H1" s="6" t="str">
        <f>IFERROR(__xludf.DUMMYFUNCTION("QUERY({
  'APS Tubes IMPORT'!AE1:AE1579
}, 
""SELECT Col1 WHERE Col1 IS NOT NULL"", 0)"),"FINAL
GROUP")</f>
        <v>FINAL
GROUP</v>
      </c>
      <c r="I1" s="7" t="s">
        <v>0</v>
      </c>
      <c r="J1" s="7" t="s">
        <v>1</v>
      </c>
      <c r="K1" s="8">
        <f>COUNTIF($H1:$H1579,#REF!)</f>
        <v>0</v>
      </c>
      <c r="L1" s="9"/>
      <c r="M1" s="9"/>
      <c r="N1" s="9"/>
      <c r="O1" s="9"/>
      <c r="P1" s="9"/>
      <c r="Q1" s="9"/>
      <c r="R1" s="9"/>
      <c r="S1" s="9"/>
      <c r="T1" s="9"/>
      <c r="U1" s="9"/>
      <c r="V1" s="9"/>
      <c r="W1" s="9"/>
      <c r="X1" s="9"/>
      <c r="Y1" s="9"/>
      <c r="Z1" s="9"/>
      <c r="AA1" s="9"/>
      <c r="AB1" s="9"/>
    </row>
    <row r="2">
      <c r="A2" s="8" t="str">
        <f>IFERROR(__xludf.DUMMYFUNCTION("""COMPUTED_VALUE"""),"351390")</f>
        <v>351390</v>
      </c>
      <c r="B2" s="8" t="str">
        <f>IFERROR(__xludf.DUMMYFUNCTION("""COMPUTED_VALUE"""),"RUN-FLMP_2020-12-11_APS-001")</f>
        <v>RUN-FLMP_2020-12-11_APS-001</v>
      </c>
      <c r="C2" s="10">
        <f>VLOOKUP(B2,'Run Reconcile'!A$2:B1579,2,FALSE)</f>
        <v>44176</v>
      </c>
      <c r="D2" s="11">
        <f>IFERROR(__xludf.DUMMYFUNCTION("QUERY({
  'APS Tubes IMPORT'!B2:B1579
}, 
""SELECT Col1 WHERE Col1 IS NOT NULL"", 0)"),44176.0)</f>
        <v>44176</v>
      </c>
      <c r="E2" s="12">
        <f>IFERROR(__xludf.DUMMYFUNCTION("QUERY({
  'APS Tubes IMPORT'!C2:C1579; 
  'ARF Tubes'!P2:P1579
}, 
""SELECT Col1 WHERE Col1 IS NOT NULL"", 0)"),0.356550925924239)</f>
        <v>0.3565509259</v>
      </c>
      <c r="F2" s="8" t="str">
        <f>IFERROR(__xludf.DUMMYFUNCTION("""COMPUTED_VALUE"""),"Negative")</f>
        <v>Negative</v>
      </c>
      <c r="G2" s="13">
        <f>IFERROR(__xludf.DUMMYFUNCTION("QUERY({
  'APS Tubes IMPORT'!N2:N1579
}, 
""SELECT Col1 WHERE Col1 IS NOT NULL"", 0)"),3.0)</f>
        <v>3</v>
      </c>
      <c r="H2" s="8" t="str">
        <f>IFERROR(__xludf.DUMMYFUNCTION("""COMPUTED_VALUE"""),"FLSP")</f>
        <v>FLSP</v>
      </c>
      <c r="I2" s="8">
        <f t="shared" ref="I2:J2" si="1">COUNTIF($H2:$H1579,I1)</f>
        <v>524</v>
      </c>
      <c r="J2" s="8">
        <f t="shared" si="1"/>
        <v>1016</v>
      </c>
      <c r="K2" s="8">
        <f>I2+J2</f>
        <v>1540</v>
      </c>
    </row>
    <row r="3">
      <c r="A3" s="8" t="str">
        <f>IFERROR(__xludf.DUMMYFUNCTION("""COMPUTED_VALUE"""),"351392")</f>
        <v>351392</v>
      </c>
      <c r="B3" s="8" t="str">
        <f>IFERROR(__xludf.DUMMYFUNCTION("""COMPUTED_VALUE"""),"RUN-FLMP_2020-12-11_APS-001")</f>
        <v>RUN-FLMP_2020-12-11_APS-001</v>
      </c>
      <c r="C3" s="10">
        <f>VLOOKUP(B3,'Run Reconcile'!A$2:B1579,2,FALSE)</f>
        <v>44176</v>
      </c>
      <c r="D3" s="14">
        <f>IFERROR(__xludf.DUMMYFUNCTION("""COMPUTED_VALUE"""),44176.0)</f>
        <v>44176</v>
      </c>
      <c r="E3" s="15">
        <f>IFERROR(__xludf.DUMMYFUNCTION("""COMPUTED_VALUE"""),0.3628240740727051)</f>
        <v>0.3628240741</v>
      </c>
      <c r="F3" s="8" t="str">
        <f>IFERROR(__xludf.DUMMYFUNCTION("""COMPUTED_VALUE"""),"Negative")</f>
        <v>Negative</v>
      </c>
      <c r="G3" s="16">
        <f>IFERROR(__xludf.DUMMYFUNCTION("""COMPUTED_VALUE"""),3.0)</f>
        <v>3</v>
      </c>
      <c r="H3" s="8" t="str">
        <f>IFERROR(__xludf.DUMMYFUNCTION("""COMPUTED_VALUE"""),"FLSP")</f>
        <v>FLSP</v>
      </c>
    </row>
    <row r="4">
      <c r="A4" s="8" t="str">
        <f>IFERROR(__xludf.DUMMYFUNCTION("""COMPUTED_VALUE"""),"336361")</f>
        <v>336361</v>
      </c>
      <c r="B4" s="8" t="str">
        <f>IFERROR(__xludf.DUMMYFUNCTION("""COMPUTED_VALUE"""),"RUN-FLMP_2020-12-19_APS-002")</f>
        <v>RUN-FLMP_2020-12-19_APS-002</v>
      </c>
      <c r="C4" s="10">
        <f>VLOOKUP(B4,'Run Reconcile'!A$2:B1579,2,FALSE)</f>
        <v>44184</v>
      </c>
      <c r="D4" s="14">
        <f>IFERROR(__xludf.DUMMYFUNCTION("""COMPUTED_VALUE"""),44184.0)</f>
        <v>44184</v>
      </c>
      <c r="E4" s="15">
        <f>IFERROR(__xludf.DUMMYFUNCTION("""COMPUTED_VALUE"""),0.4414351851846732)</f>
        <v>0.4414351852</v>
      </c>
      <c r="F4" s="8" t="str">
        <f>IFERROR(__xludf.DUMMYFUNCTION("""COMPUTED_VALUE"""),"Negative")</f>
        <v>Negative</v>
      </c>
      <c r="G4" s="16">
        <f>IFERROR(__xludf.DUMMYFUNCTION("""COMPUTED_VALUE"""),3.0)</f>
        <v>3</v>
      </c>
      <c r="H4" s="8" t="str">
        <f>IFERROR(__xludf.DUMMYFUNCTION("""COMPUTED_VALUE"""),"FLSP")</f>
        <v>FLSP</v>
      </c>
      <c r="I4" s="17">
        <v>44528.0</v>
      </c>
      <c r="J4" s="8">
        <f t="shared" ref="J4:J5" si="2">MATCH(I4,C$2:C1579,0)+1</f>
        <v>208</v>
      </c>
    </row>
    <row r="5">
      <c r="A5" s="8" t="str">
        <f>IFERROR(__xludf.DUMMYFUNCTION("""COMPUTED_VALUE"""),"425015")</f>
        <v>425015</v>
      </c>
      <c r="B5" s="8" t="str">
        <f>IFERROR(__xludf.DUMMYFUNCTION("""COMPUTED_VALUE"""),"RUN-FLMP_2020-12-22_APS-003")</f>
        <v>RUN-FLMP_2020-12-22_APS-003</v>
      </c>
      <c r="C5" s="10">
        <f>VLOOKUP(B5,'Run Reconcile'!A$2:B1579,2,FALSE)</f>
        <v>44187</v>
      </c>
      <c r="D5" s="14">
        <f>IFERROR(__xludf.DUMMYFUNCTION("""COMPUTED_VALUE"""),44187.0)</f>
        <v>44187</v>
      </c>
      <c r="E5" s="15">
        <f>IFERROR(__xludf.DUMMYFUNCTION("""COMPUTED_VALUE"""),0.7623379629621923)</f>
        <v>0.762337963</v>
      </c>
      <c r="F5" s="8" t="str">
        <f>IFERROR(__xludf.DUMMYFUNCTION("""COMPUTED_VALUE"""),"Negative")</f>
        <v>Negative</v>
      </c>
      <c r="G5" s="16">
        <f>IFERROR(__xludf.DUMMYFUNCTION("""COMPUTED_VALUE"""),2.0)</f>
        <v>2</v>
      </c>
      <c r="H5" s="8" t="str">
        <f>IFERROR(__xludf.DUMMYFUNCTION("""COMPUTED_VALUE"""),"FLSP")</f>
        <v>FLSP</v>
      </c>
      <c r="I5" s="14">
        <v>44718.0</v>
      </c>
      <c r="J5" s="8">
        <f t="shared" si="2"/>
        <v>1379</v>
      </c>
      <c r="K5" s="18" t="s">
        <v>2</v>
      </c>
    </row>
    <row r="6">
      <c r="A6" s="8" t="str">
        <f>IFERROR(__xludf.DUMMYFUNCTION("""COMPUTED_VALUE"""),"351402")</f>
        <v>351402</v>
      </c>
      <c r="B6" s="8" t="str">
        <f>IFERROR(__xludf.DUMMYFUNCTION("""COMPUTED_VALUE"""),"RUN-FLMP_2020-12-28_APS-004")</f>
        <v>RUN-FLMP_2020-12-28_APS-004</v>
      </c>
      <c r="C6" s="10">
        <f>VLOOKUP(B6,'Run Reconcile'!A$2:B1579,2,FALSE)</f>
        <v>44193</v>
      </c>
      <c r="D6" s="14">
        <f>IFERROR(__xludf.DUMMYFUNCTION("""COMPUTED_VALUE"""),44193.0)</f>
        <v>44193</v>
      </c>
      <c r="E6" s="15">
        <f>IFERROR(__xludf.DUMMYFUNCTION("""COMPUTED_VALUE"""),0.4721643518532801)</f>
        <v>0.4721643519</v>
      </c>
      <c r="F6" s="8" t="str">
        <f>IFERROR(__xludf.DUMMYFUNCTION("""COMPUTED_VALUE"""),"Negative")</f>
        <v>Negative</v>
      </c>
      <c r="G6" s="16">
        <f>IFERROR(__xludf.DUMMYFUNCTION("""COMPUTED_VALUE"""),4.0)</f>
        <v>4</v>
      </c>
      <c r="H6" s="8" t="str">
        <f>IFERROR(__xludf.DUMMYFUNCTION("""COMPUTED_VALUE"""),"FLSP")</f>
        <v>FLSP</v>
      </c>
      <c r="J6" s="19">
        <f>J5-J4+1</f>
        <v>1172</v>
      </c>
    </row>
    <row r="7">
      <c r="A7" s="8" t="str">
        <f>IFERROR(__xludf.DUMMYFUNCTION("""COMPUTED_VALUE"""),"336362")</f>
        <v>336362</v>
      </c>
      <c r="B7" s="8" t="str">
        <f>IFERROR(__xludf.DUMMYFUNCTION("""COMPUTED_VALUE"""),"RUN-FLMP_2020-12-28_APS-004")</f>
        <v>RUN-FLMP_2020-12-28_APS-004</v>
      </c>
      <c r="C7" s="10">
        <f>VLOOKUP(B7,'Run Reconcile'!A$2:B1579,2,FALSE)</f>
        <v>44193</v>
      </c>
      <c r="D7" s="14">
        <f>IFERROR(__xludf.DUMMYFUNCTION("""COMPUTED_VALUE"""),44193.0)</f>
        <v>44193</v>
      </c>
      <c r="E7" s="15">
        <f>IFERROR(__xludf.DUMMYFUNCTION("""COMPUTED_VALUE"""),0.49696759259313694)</f>
        <v>0.4969675926</v>
      </c>
      <c r="F7" s="8" t="str">
        <f>IFERROR(__xludf.DUMMYFUNCTION("""COMPUTED_VALUE"""),"Negative")</f>
        <v>Negative</v>
      </c>
      <c r="G7" s="16">
        <f>IFERROR(__xludf.DUMMYFUNCTION("""COMPUTED_VALUE"""),2.0)</f>
        <v>2</v>
      </c>
      <c r="H7" s="8" t="str">
        <f>IFERROR(__xludf.DUMMYFUNCTION("""COMPUTED_VALUE"""),"FLSP")</f>
        <v>FLSP</v>
      </c>
    </row>
    <row r="8">
      <c r="A8" s="8" t="str">
        <f>IFERROR(__xludf.DUMMYFUNCTION("""COMPUTED_VALUE"""),"351429")</f>
        <v>351429</v>
      </c>
      <c r="B8" s="8" t="str">
        <f>IFERROR(__xludf.DUMMYFUNCTION("""COMPUTED_VALUE"""),"RUN-FLMP_2021-01-11_APS-005")</f>
        <v>RUN-FLMP_2021-01-11_APS-005</v>
      </c>
      <c r="C8" s="10">
        <f>VLOOKUP(B8,'Run Reconcile'!A$2:B1579,2,FALSE)</f>
        <v>44207</v>
      </c>
      <c r="D8" s="14">
        <f>IFERROR(__xludf.DUMMYFUNCTION("""COMPUTED_VALUE"""),44207.0)</f>
        <v>44207</v>
      </c>
      <c r="E8" s="15">
        <f>IFERROR(__xludf.DUMMYFUNCTION("""COMPUTED_VALUE"""),0.3889467592598521)</f>
        <v>0.3889467593</v>
      </c>
      <c r="F8" s="8" t="str">
        <f>IFERROR(__xludf.DUMMYFUNCTION("""COMPUTED_VALUE"""),"Negative")</f>
        <v>Negative</v>
      </c>
      <c r="G8" s="16">
        <f>IFERROR(__xludf.DUMMYFUNCTION("""COMPUTED_VALUE"""),4.0)</f>
        <v>4</v>
      </c>
      <c r="H8" s="8" t="str">
        <f>IFERROR(__xludf.DUMMYFUNCTION("""COMPUTED_VALUE"""),"FLSP")</f>
        <v>FLSP</v>
      </c>
    </row>
    <row r="9">
      <c r="A9" s="8" t="str">
        <f>IFERROR(__xludf.DUMMYFUNCTION("""COMPUTED_VALUE"""),"351447")</f>
        <v>351447</v>
      </c>
      <c r="B9" s="8" t="str">
        <f>IFERROR(__xludf.DUMMYFUNCTION("""COMPUTED_VALUE"""),"RUN-FLMP_2021-01-11_APS-005")</f>
        <v>RUN-FLMP_2021-01-11_APS-005</v>
      </c>
      <c r="C9" s="10">
        <f>VLOOKUP(B9,'Run Reconcile'!A$2:B1579,2,FALSE)</f>
        <v>44207</v>
      </c>
      <c r="D9" s="14">
        <f>IFERROR(__xludf.DUMMYFUNCTION("""COMPUTED_VALUE"""),44207.0)</f>
        <v>44207</v>
      </c>
      <c r="E9" s="15">
        <f>IFERROR(__xludf.DUMMYFUNCTION("""COMPUTED_VALUE"""),0.3952083333315386)</f>
        <v>0.3952083333</v>
      </c>
      <c r="F9" s="8" t="str">
        <f>IFERROR(__xludf.DUMMYFUNCTION("""COMPUTED_VALUE"""),"Negative")</f>
        <v>Negative</v>
      </c>
      <c r="G9" s="16">
        <f>IFERROR(__xludf.DUMMYFUNCTION("""COMPUTED_VALUE"""),1.0)</f>
        <v>1</v>
      </c>
      <c r="H9" s="8" t="str">
        <f>IFERROR(__xludf.DUMMYFUNCTION("""COMPUTED_VALUE"""),"FLSP")</f>
        <v>FLSP</v>
      </c>
      <c r="I9" s="8">
        <f t="shared" ref="I9:J9" si="3">COUNTIF($H$208:$H$1378,I1)</f>
        <v>200</v>
      </c>
      <c r="J9" s="8">
        <f t="shared" si="3"/>
        <v>971</v>
      </c>
      <c r="K9" s="8">
        <f>I9+J9</f>
        <v>1171</v>
      </c>
    </row>
    <row r="10">
      <c r="A10" s="8" t="str">
        <f>IFERROR(__xludf.DUMMYFUNCTION("""COMPUTED_VALUE"""),"351450")</f>
        <v>351450</v>
      </c>
      <c r="B10" s="8" t="str">
        <f>IFERROR(__xludf.DUMMYFUNCTION("""COMPUTED_VALUE"""),"RUN-FLMP_2021-01-11_APS-005")</f>
        <v>RUN-FLMP_2021-01-11_APS-005</v>
      </c>
      <c r="C10" s="10">
        <f>VLOOKUP(B10,'Run Reconcile'!A$2:B1579,2,FALSE)</f>
        <v>44207</v>
      </c>
      <c r="D10" s="14">
        <f>IFERROR(__xludf.DUMMYFUNCTION("""COMPUTED_VALUE"""),44207.0)</f>
        <v>44207</v>
      </c>
      <c r="E10" s="15">
        <f>IFERROR(__xludf.DUMMYFUNCTION("""COMPUTED_VALUE"""),0.3982523148151813)</f>
        <v>0.3982523148</v>
      </c>
      <c r="F10" s="8" t="str">
        <f>IFERROR(__xludf.DUMMYFUNCTION("""COMPUTED_VALUE"""),"Negative")</f>
        <v>Negative</v>
      </c>
      <c r="G10" s="16">
        <f>IFERROR(__xludf.DUMMYFUNCTION("""COMPUTED_VALUE"""),4.0)</f>
        <v>4</v>
      </c>
      <c r="H10" s="8" t="str">
        <f>IFERROR(__xludf.DUMMYFUNCTION("""COMPUTED_VALUE"""),"FLSP")</f>
        <v>FLSP</v>
      </c>
      <c r="I10" s="20">
        <f>I9/K9</f>
        <v>0.170794193</v>
      </c>
      <c r="J10" s="20">
        <f>J9/K9</f>
        <v>0.829205807</v>
      </c>
    </row>
    <row r="11">
      <c r="A11" s="8" t="str">
        <f>IFERROR(__xludf.DUMMYFUNCTION("""COMPUTED_VALUE"""),"351448")</f>
        <v>351448</v>
      </c>
      <c r="B11" s="8" t="str">
        <f>IFERROR(__xludf.DUMMYFUNCTION("""COMPUTED_VALUE"""),"RUN-FLMP_2021-01-11_APS-005")</f>
        <v>RUN-FLMP_2021-01-11_APS-005</v>
      </c>
      <c r="C11" s="10">
        <f>VLOOKUP(B11,'Run Reconcile'!A$2:B1579,2,FALSE)</f>
        <v>44207</v>
      </c>
      <c r="D11" s="14">
        <f>IFERROR(__xludf.DUMMYFUNCTION("""COMPUTED_VALUE"""),44207.0)</f>
        <v>44207</v>
      </c>
      <c r="E11" s="15">
        <f>IFERROR(__xludf.DUMMYFUNCTION("""COMPUTED_VALUE"""),0.3986574074078817)</f>
        <v>0.3986574074</v>
      </c>
      <c r="F11" s="8" t="str">
        <f>IFERROR(__xludf.DUMMYFUNCTION("""COMPUTED_VALUE"""),"Negative")</f>
        <v>Negative</v>
      </c>
      <c r="G11" s="16">
        <f>IFERROR(__xludf.DUMMYFUNCTION("""COMPUTED_VALUE"""),4.0)</f>
        <v>4</v>
      </c>
      <c r="H11" s="8" t="str">
        <f>IFERROR(__xludf.DUMMYFUNCTION("""COMPUTED_VALUE"""),"FLSP")</f>
        <v>FLSP</v>
      </c>
    </row>
    <row r="12">
      <c r="A12" s="8" t="str">
        <f>IFERROR(__xludf.DUMMYFUNCTION("""COMPUTED_VALUE"""),"351425")</f>
        <v>351425</v>
      </c>
      <c r="B12" s="8" t="str">
        <f>IFERROR(__xludf.DUMMYFUNCTION("""COMPUTED_VALUE"""),"RUN-FLMP_2021-01-13_APS-006")</f>
        <v>RUN-FLMP_2021-01-13_APS-006</v>
      </c>
      <c r="C12" s="10">
        <f>VLOOKUP(B12,'Run Reconcile'!A$2:B1579,2,FALSE)</f>
        <v>44209</v>
      </c>
      <c r="D12" s="14">
        <f>IFERROR(__xludf.DUMMYFUNCTION("""COMPUTED_VALUE"""),44209.0)</f>
        <v>44209</v>
      </c>
      <c r="E12" s="15">
        <f>IFERROR(__xludf.DUMMYFUNCTION("""COMPUTED_VALUE"""),0.32501157407386927)</f>
        <v>0.3250115741</v>
      </c>
      <c r="F12" s="8" t="str">
        <f>IFERROR(__xludf.DUMMYFUNCTION("""COMPUTED_VALUE"""),"Negative")</f>
        <v>Negative</v>
      </c>
      <c r="G12" s="16">
        <f>IFERROR(__xludf.DUMMYFUNCTION("""COMPUTED_VALUE"""),1.0)</f>
        <v>1</v>
      </c>
      <c r="H12" s="8" t="str">
        <f>IFERROR(__xludf.DUMMYFUNCTION("""COMPUTED_VALUE"""),"FLSP")</f>
        <v>FLSP</v>
      </c>
    </row>
    <row r="13">
      <c r="A13" s="8" t="str">
        <f>IFERROR(__xludf.DUMMYFUNCTION("""COMPUTED_VALUE"""),"351427")</f>
        <v>351427</v>
      </c>
      <c r="B13" s="8" t="str">
        <f>IFERROR(__xludf.DUMMYFUNCTION("""COMPUTED_VALUE"""),"RUN-FLMP_2021-01-13_APS-006")</f>
        <v>RUN-FLMP_2021-01-13_APS-006</v>
      </c>
      <c r="C13" s="10">
        <f>VLOOKUP(B13,'Run Reconcile'!A$2:B1579,2,FALSE)</f>
        <v>44209</v>
      </c>
      <c r="D13" s="14">
        <f>IFERROR(__xludf.DUMMYFUNCTION("""COMPUTED_VALUE"""),44209.0)</f>
        <v>44209</v>
      </c>
      <c r="E13" s="15">
        <f>IFERROR(__xludf.DUMMYFUNCTION("""COMPUTED_VALUE"""),0.32784722222277196)</f>
        <v>0.3278472222</v>
      </c>
      <c r="F13" s="8" t="str">
        <f>IFERROR(__xludf.DUMMYFUNCTION("""COMPUTED_VALUE"""),"Negative")</f>
        <v>Negative</v>
      </c>
      <c r="G13" s="16">
        <f>IFERROR(__xludf.DUMMYFUNCTION("""COMPUTED_VALUE"""),2.0)</f>
        <v>2</v>
      </c>
      <c r="H13" s="8" t="str">
        <f>IFERROR(__xludf.DUMMYFUNCTION("""COMPUTED_VALUE"""),"FLSP")</f>
        <v>FLSP</v>
      </c>
    </row>
    <row r="14">
      <c r="A14" s="8" t="str">
        <f>IFERROR(__xludf.DUMMYFUNCTION("""COMPUTED_VALUE"""),"351428")</f>
        <v>351428</v>
      </c>
      <c r="B14" s="8" t="str">
        <f>IFERROR(__xludf.DUMMYFUNCTION("""COMPUTED_VALUE"""),"RUN-FLMP_2021-01-13_APS-006")</f>
        <v>RUN-FLMP_2021-01-13_APS-006</v>
      </c>
      <c r="C14" s="10">
        <f>VLOOKUP(B14,'Run Reconcile'!A$2:B1579,2,FALSE)</f>
        <v>44209</v>
      </c>
      <c r="D14" s="14">
        <f>IFERROR(__xludf.DUMMYFUNCTION("""COMPUTED_VALUE"""),44209.0)</f>
        <v>44209</v>
      </c>
      <c r="E14" s="15">
        <f>IFERROR(__xludf.DUMMYFUNCTION("""COMPUTED_VALUE"""),0.32894675925854244)</f>
        <v>0.3289467593</v>
      </c>
      <c r="F14" s="8" t="str">
        <f>IFERROR(__xludf.DUMMYFUNCTION("""COMPUTED_VALUE"""),"Negative")</f>
        <v>Negative</v>
      </c>
      <c r="G14" s="16">
        <f>IFERROR(__xludf.DUMMYFUNCTION("""COMPUTED_VALUE"""),4.0)</f>
        <v>4</v>
      </c>
      <c r="H14" s="8" t="str">
        <f>IFERROR(__xludf.DUMMYFUNCTION("""COMPUTED_VALUE"""),"FLSP")</f>
        <v>FLSP</v>
      </c>
    </row>
    <row r="15">
      <c r="A15" s="8" t="str">
        <f>IFERROR(__xludf.DUMMYFUNCTION("""COMPUTED_VALUE"""),"351441")</f>
        <v>351441</v>
      </c>
      <c r="B15" s="8" t="str">
        <f>IFERROR(__xludf.DUMMYFUNCTION("""COMPUTED_VALUE"""),"RUN-FLMP_2021-01-13_APS-006")</f>
        <v>RUN-FLMP_2021-01-13_APS-006</v>
      </c>
      <c r="C15" s="10">
        <f>VLOOKUP(B15,'Run Reconcile'!A$2:B1579,2,FALSE)</f>
        <v>44209</v>
      </c>
      <c r="D15" s="14">
        <f>IFERROR(__xludf.DUMMYFUNCTION("""COMPUTED_VALUE"""),44209.0)</f>
        <v>44209</v>
      </c>
      <c r="E15" s="15">
        <f>IFERROR(__xludf.DUMMYFUNCTION("""COMPUTED_VALUE"""),0.47378472222044365)</f>
        <v>0.4737847222</v>
      </c>
      <c r="F15" s="8" t="str">
        <f>IFERROR(__xludf.DUMMYFUNCTION("""COMPUTED_VALUE"""),"Negative")</f>
        <v>Negative</v>
      </c>
      <c r="G15" s="16">
        <f>IFERROR(__xludf.DUMMYFUNCTION("""COMPUTED_VALUE"""),4.0)</f>
        <v>4</v>
      </c>
      <c r="H15" s="8" t="str">
        <f>IFERROR(__xludf.DUMMYFUNCTION("""COMPUTED_VALUE"""),"FLSP")</f>
        <v>FLSP</v>
      </c>
    </row>
    <row r="16">
      <c r="A16" s="8" t="str">
        <f>IFERROR(__xludf.DUMMYFUNCTION("""COMPUTED_VALUE"""),"351430")</f>
        <v>351430</v>
      </c>
      <c r="B16" s="8" t="str">
        <f>IFERROR(__xludf.DUMMYFUNCTION("""COMPUTED_VALUE"""),"RUN-FLMP_2021-01-15_APS-007")</f>
        <v>RUN-FLMP_2021-01-15_APS-007</v>
      </c>
      <c r="C16" s="10">
        <f>VLOOKUP(B16,'Run Reconcile'!A$2:B1579,2,FALSE)</f>
        <v>44211</v>
      </c>
      <c r="D16" s="14">
        <f>IFERROR(__xludf.DUMMYFUNCTION("""COMPUTED_VALUE"""),44211.0)</f>
        <v>44211</v>
      </c>
      <c r="E16" s="15">
        <f>IFERROR(__xludf.DUMMYFUNCTION("""COMPUTED_VALUE"""),0.32527777777795563)</f>
        <v>0.3252777778</v>
      </c>
      <c r="F16" s="8" t="str">
        <f>IFERROR(__xludf.DUMMYFUNCTION("""COMPUTED_VALUE"""),"Positive")</f>
        <v>Positive</v>
      </c>
      <c r="G16" s="16">
        <f>IFERROR(__xludf.DUMMYFUNCTION("""COMPUTED_VALUE"""),2.0)</f>
        <v>2</v>
      </c>
      <c r="H16" s="8" t="str">
        <f>IFERROR(__xludf.DUMMYFUNCTION("""COMPUTED_VALUE"""),"FLSP")</f>
        <v>FLSP</v>
      </c>
    </row>
    <row r="17">
      <c r="A17" s="8" t="str">
        <f>IFERROR(__xludf.DUMMYFUNCTION("""COMPUTED_VALUE"""),"351426")</f>
        <v>351426</v>
      </c>
      <c r="B17" s="8" t="str">
        <f>IFERROR(__xludf.DUMMYFUNCTION("""COMPUTED_VALUE"""),"RUN-FLMP_2021-01-15_APS-007")</f>
        <v>RUN-FLMP_2021-01-15_APS-007</v>
      </c>
      <c r="C17" s="10">
        <f>VLOOKUP(B17,'Run Reconcile'!A$2:B1579,2,FALSE)</f>
        <v>44211</v>
      </c>
      <c r="D17" s="14">
        <f>IFERROR(__xludf.DUMMYFUNCTION("""COMPUTED_VALUE"""),44211.0)</f>
        <v>44211</v>
      </c>
      <c r="E17" s="15">
        <f>IFERROR(__xludf.DUMMYFUNCTION("""COMPUTED_VALUE"""),0.3357175925921183)</f>
        <v>0.3357175926</v>
      </c>
      <c r="F17" s="8" t="str">
        <f>IFERROR(__xludf.DUMMYFUNCTION("""COMPUTED_VALUE"""),"Negative")</f>
        <v>Negative</v>
      </c>
      <c r="G17" s="16">
        <f>IFERROR(__xludf.DUMMYFUNCTION("""COMPUTED_VALUE"""),2.0)</f>
        <v>2</v>
      </c>
      <c r="H17" s="8" t="str">
        <f>IFERROR(__xludf.DUMMYFUNCTION("""COMPUTED_VALUE"""),"FLSP")</f>
        <v>FLSP</v>
      </c>
    </row>
    <row r="18">
      <c r="A18" s="8" t="str">
        <f>IFERROR(__xludf.DUMMYFUNCTION("""COMPUTED_VALUE"""),"424944")</f>
        <v>424944</v>
      </c>
      <c r="B18" s="8" t="str">
        <f>IFERROR(__xludf.DUMMYFUNCTION("""COMPUTED_VALUE"""),"RUN-FLMP_2021-01-15_APS-007")</f>
        <v>RUN-FLMP_2021-01-15_APS-007</v>
      </c>
      <c r="C18" s="10">
        <f>VLOOKUP(B18,'Run Reconcile'!A$2:B1579,2,FALSE)</f>
        <v>44211</v>
      </c>
      <c r="D18" s="14">
        <f>IFERROR(__xludf.DUMMYFUNCTION("""COMPUTED_VALUE"""),44211.0)</f>
        <v>44211</v>
      </c>
      <c r="E18" s="15">
        <f>IFERROR(__xludf.DUMMYFUNCTION("""COMPUTED_VALUE"""),0.4014120370375167)</f>
        <v>0.401412037</v>
      </c>
      <c r="F18" s="8" t="str">
        <f>IFERROR(__xludf.DUMMYFUNCTION("""COMPUTED_VALUE"""),"Negative")</f>
        <v>Negative</v>
      </c>
      <c r="G18" s="16">
        <f>IFERROR(__xludf.DUMMYFUNCTION("""COMPUTED_VALUE"""),4.0)</f>
        <v>4</v>
      </c>
      <c r="H18" s="8" t="str">
        <f>IFERROR(__xludf.DUMMYFUNCTION("""COMPUTED_VALUE"""),"FLSP")</f>
        <v>FLSP</v>
      </c>
    </row>
    <row r="19">
      <c r="A19" s="8" t="str">
        <f>IFERROR(__xludf.DUMMYFUNCTION("""COMPUTED_VALUE"""),"351430A")</f>
        <v>351430A</v>
      </c>
      <c r="B19" s="8" t="str">
        <f>IFERROR(__xludf.DUMMYFUNCTION("""COMPUTED_VALUE"""),"RUN-FLMP_2021-01-15_APS-007")</f>
        <v>RUN-FLMP_2021-01-15_APS-007</v>
      </c>
      <c r="C19" s="10">
        <f>VLOOKUP(B19,'Run Reconcile'!A$2:B1579,2,FALSE)</f>
        <v>44211</v>
      </c>
      <c r="D19" s="14">
        <f>IFERROR(__xludf.DUMMYFUNCTION("""COMPUTED_VALUE"""),44211.0)</f>
        <v>44211</v>
      </c>
      <c r="E19" s="15">
        <f>IFERROR(__xludf.DUMMYFUNCTION("""COMPUTED_VALUE"""),0.6666666666678793)</f>
        <v>0.6666666667</v>
      </c>
      <c r="F19" s="8" t="str">
        <f>IFERROR(__xludf.DUMMYFUNCTION("""COMPUTED_VALUE"""),"Negative")</f>
        <v>Negative</v>
      </c>
      <c r="G19" s="16">
        <f>IFERROR(__xludf.DUMMYFUNCTION("""COMPUTED_VALUE"""),1.0)</f>
        <v>1</v>
      </c>
      <c r="H19" s="8" t="str">
        <f>IFERROR(__xludf.DUMMYFUNCTION("""COMPUTED_VALUE"""),"FLSP")</f>
        <v>FLSP</v>
      </c>
    </row>
    <row r="20">
      <c r="A20" s="8" t="str">
        <f>IFERROR(__xludf.DUMMYFUNCTION("""COMPUTED_VALUE"""),"351430B")</f>
        <v>351430B</v>
      </c>
      <c r="B20" s="8" t="str">
        <f>IFERROR(__xludf.DUMMYFUNCTION("""COMPUTED_VALUE"""),"RUN-FLMP_2021-01-15_APS-007")</f>
        <v>RUN-FLMP_2021-01-15_APS-007</v>
      </c>
      <c r="C20" s="10">
        <f>VLOOKUP(B20,'Run Reconcile'!A$2:B1579,2,FALSE)</f>
        <v>44211</v>
      </c>
      <c r="D20" s="14">
        <f>IFERROR(__xludf.DUMMYFUNCTION("""COMPUTED_VALUE"""),44211.0)</f>
        <v>44211</v>
      </c>
      <c r="E20" s="15">
        <f>IFERROR(__xludf.DUMMYFUNCTION("""COMPUTED_VALUE"""),0.6666666666678793)</f>
        <v>0.6666666667</v>
      </c>
      <c r="F20" s="8" t="str">
        <f>IFERROR(__xludf.DUMMYFUNCTION("""COMPUTED_VALUE"""),"Positive")</f>
        <v>Positive</v>
      </c>
      <c r="G20" s="16">
        <f>IFERROR(__xludf.DUMMYFUNCTION("""COMPUTED_VALUE"""),1.0)</f>
        <v>1</v>
      </c>
      <c r="H20" s="8" t="str">
        <f>IFERROR(__xludf.DUMMYFUNCTION("""COMPUTED_VALUE"""),"FLSP")</f>
        <v>FLSP</v>
      </c>
    </row>
    <row r="21">
      <c r="A21" s="8" t="str">
        <f>IFERROR(__xludf.DUMMYFUNCTION("""COMPUTED_VALUE"""),"351430C")</f>
        <v>351430C</v>
      </c>
      <c r="B21" s="8" t="str">
        <f>IFERROR(__xludf.DUMMYFUNCTION("""COMPUTED_VALUE"""),"RUN-FLMP_2021-01-15_APS-007")</f>
        <v>RUN-FLMP_2021-01-15_APS-007</v>
      </c>
      <c r="C21" s="10">
        <f>VLOOKUP(B21,'Run Reconcile'!A$2:B1579,2,FALSE)</f>
        <v>44211</v>
      </c>
      <c r="D21" s="14">
        <f>IFERROR(__xludf.DUMMYFUNCTION("""COMPUTED_VALUE"""),44211.0)</f>
        <v>44211</v>
      </c>
      <c r="E21" s="15">
        <f>IFERROR(__xludf.DUMMYFUNCTION("""COMPUTED_VALUE"""),0.6666666666678793)</f>
        <v>0.6666666667</v>
      </c>
      <c r="F21" s="8" t="str">
        <f>IFERROR(__xludf.DUMMYFUNCTION("""COMPUTED_VALUE"""),"Negative")</f>
        <v>Negative</v>
      </c>
      <c r="G21" s="16">
        <f>IFERROR(__xludf.DUMMYFUNCTION("""COMPUTED_VALUE"""),1.0)</f>
        <v>1</v>
      </c>
      <c r="H21" s="8" t="str">
        <f>IFERROR(__xludf.DUMMYFUNCTION("""COMPUTED_VALUE"""),"FLSP")</f>
        <v>FLSP</v>
      </c>
    </row>
    <row r="22">
      <c r="A22" s="8" t="str">
        <f>IFERROR(__xludf.DUMMYFUNCTION("""COMPUTED_VALUE"""),"351430D")</f>
        <v>351430D</v>
      </c>
      <c r="B22" s="8" t="str">
        <f>IFERROR(__xludf.DUMMYFUNCTION("""COMPUTED_VALUE"""),"RUN-FLMP_2021-01-15_APS-007")</f>
        <v>RUN-FLMP_2021-01-15_APS-007</v>
      </c>
      <c r="C22" s="10">
        <f>VLOOKUP(B22,'Run Reconcile'!A$2:B1579,2,FALSE)</f>
        <v>44211</v>
      </c>
      <c r="D22" s="14">
        <f>IFERROR(__xludf.DUMMYFUNCTION("""COMPUTED_VALUE"""),44211.0)</f>
        <v>44211</v>
      </c>
      <c r="E22" s="15">
        <f>IFERROR(__xludf.DUMMYFUNCTION("""COMPUTED_VALUE"""),0.6666666666678793)</f>
        <v>0.6666666667</v>
      </c>
      <c r="F22" s="8" t="str">
        <f>IFERROR(__xludf.DUMMYFUNCTION("""COMPUTED_VALUE"""),"Positive")</f>
        <v>Positive</v>
      </c>
      <c r="G22" s="16">
        <f>IFERROR(__xludf.DUMMYFUNCTION("""COMPUTED_VALUE"""),1.0)</f>
        <v>1</v>
      </c>
      <c r="H22" s="8" t="str">
        <f>IFERROR(__xludf.DUMMYFUNCTION("""COMPUTED_VALUE"""),"FLSP")</f>
        <v>FLSP</v>
      </c>
    </row>
    <row r="23">
      <c r="A23" s="8" t="str">
        <f>IFERROR(__xludf.DUMMYFUNCTION("""COMPUTED_VALUE"""),"360044")</f>
        <v>360044</v>
      </c>
      <c r="B23" s="8" t="str">
        <f>IFERROR(__xludf.DUMMYFUNCTION("""COMPUTED_VALUE"""),"RUN-FLMP_2021-01-18_APS-008")</f>
        <v>RUN-FLMP_2021-01-18_APS-008</v>
      </c>
      <c r="C23" s="10">
        <f>VLOOKUP(B23,'Run Reconcile'!A$2:B1579,2,FALSE)</f>
        <v>44214</v>
      </c>
      <c r="D23" s="14">
        <f>IFERROR(__xludf.DUMMYFUNCTION("""COMPUTED_VALUE"""),44214.0)</f>
        <v>44214</v>
      </c>
      <c r="E23" s="15">
        <f>IFERROR(__xludf.DUMMYFUNCTION("""COMPUTED_VALUE"""),0.3237615740727051)</f>
        <v>0.3237615741</v>
      </c>
      <c r="F23" s="8" t="str">
        <f>IFERROR(__xludf.DUMMYFUNCTION("""COMPUTED_VALUE"""),"Negative")</f>
        <v>Negative</v>
      </c>
      <c r="G23" s="16">
        <f>IFERROR(__xludf.DUMMYFUNCTION("""COMPUTED_VALUE"""),3.0)</f>
        <v>3</v>
      </c>
      <c r="H23" s="8" t="str">
        <f>IFERROR(__xludf.DUMMYFUNCTION("""COMPUTED_VALUE"""),"FLSP")</f>
        <v>FLSP</v>
      </c>
    </row>
    <row r="24">
      <c r="A24" s="8" t="str">
        <f>IFERROR(__xludf.DUMMYFUNCTION("""COMPUTED_VALUE"""),"360029")</f>
        <v>360029</v>
      </c>
      <c r="B24" s="8" t="str">
        <f>IFERROR(__xludf.DUMMYFUNCTION("""COMPUTED_VALUE"""),"RUN-FLMP_2021-01-18_APS-008")</f>
        <v>RUN-FLMP_2021-01-18_APS-008</v>
      </c>
      <c r="C24" s="10">
        <f>VLOOKUP(B24,'Run Reconcile'!A$2:B1579,2,FALSE)</f>
        <v>44214</v>
      </c>
      <c r="D24" s="14">
        <f>IFERROR(__xludf.DUMMYFUNCTION("""COMPUTED_VALUE"""),44214.0)</f>
        <v>44214</v>
      </c>
      <c r="E24" s="15">
        <f>IFERROR(__xludf.DUMMYFUNCTION("""COMPUTED_VALUE"""),0.3262962962980964)</f>
        <v>0.3262962963</v>
      </c>
      <c r="F24" s="8" t="str">
        <f>IFERROR(__xludf.DUMMYFUNCTION("""COMPUTED_VALUE"""),"Negative")</f>
        <v>Negative</v>
      </c>
      <c r="G24" s="16">
        <f>IFERROR(__xludf.DUMMYFUNCTION("""COMPUTED_VALUE"""),1.0)</f>
        <v>1</v>
      </c>
      <c r="H24" s="8" t="str">
        <f>IFERROR(__xludf.DUMMYFUNCTION("""COMPUTED_VALUE"""),"FLSP")</f>
        <v>FLSP</v>
      </c>
    </row>
    <row r="25">
      <c r="A25" s="8" t="str">
        <f>IFERROR(__xludf.DUMMYFUNCTION("""COMPUTED_VALUE"""),"360030")</f>
        <v>360030</v>
      </c>
      <c r="B25" s="8" t="str">
        <f>IFERROR(__xludf.DUMMYFUNCTION("""COMPUTED_VALUE"""),"RUN-FLMP_2021-01-18_APS-008")</f>
        <v>RUN-FLMP_2021-01-18_APS-008</v>
      </c>
      <c r="C25" s="10">
        <f>VLOOKUP(B25,'Run Reconcile'!A$2:B1579,2,FALSE)</f>
        <v>44214</v>
      </c>
      <c r="D25" s="14">
        <f>IFERROR(__xludf.DUMMYFUNCTION("""COMPUTED_VALUE"""),44214.0)</f>
        <v>44214</v>
      </c>
      <c r="E25" s="15">
        <f>IFERROR(__xludf.DUMMYFUNCTION("""COMPUTED_VALUE"""),0.3736226851870015)</f>
        <v>0.3736226852</v>
      </c>
      <c r="F25" s="8" t="str">
        <f>IFERROR(__xludf.DUMMYFUNCTION("""COMPUTED_VALUE"""),"Negative")</f>
        <v>Negative</v>
      </c>
      <c r="G25" s="16">
        <f>IFERROR(__xludf.DUMMYFUNCTION("""COMPUTED_VALUE"""),2.0)</f>
        <v>2</v>
      </c>
      <c r="H25" s="8" t="str">
        <f>IFERROR(__xludf.DUMMYFUNCTION("""COMPUTED_VALUE"""),"FLSP")</f>
        <v>FLSP</v>
      </c>
    </row>
    <row r="26">
      <c r="A26" s="8" t="str">
        <f>IFERROR(__xludf.DUMMYFUNCTION("""COMPUTED_VALUE"""),"360026")</f>
        <v>360026</v>
      </c>
      <c r="B26" s="8" t="str">
        <f>IFERROR(__xludf.DUMMYFUNCTION("""COMPUTED_VALUE"""),"RUN-FLMP_2021-01-18_APS-008")</f>
        <v>RUN-FLMP_2021-01-18_APS-008</v>
      </c>
      <c r="C26" s="10">
        <f>VLOOKUP(B26,'Run Reconcile'!A$2:B1579,2,FALSE)</f>
        <v>44214</v>
      </c>
      <c r="D26" s="14">
        <f>IFERROR(__xludf.DUMMYFUNCTION("""COMPUTED_VALUE"""),44214.0)</f>
        <v>44214</v>
      </c>
      <c r="E26" s="15">
        <f>IFERROR(__xludf.DUMMYFUNCTION("""COMPUTED_VALUE"""),0.3761921296281798)</f>
        <v>0.3761921296</v>
      </c>
      <c r="F26" s="8" t="str">
        <f>IFERROR(__xludf.DUMMYFUNCTION("""COMPUTED_VALUE"""),"Negative")</f>
        <v>Negative</v>
      </c>
      <c r="G26" s="16">
        <f>IFERROR(__xludf.DUMMYFUNCTION("""COMPUTED_VALUE"""),4.0)</f>
        <v>4</v>
      </c>
      <c r="H26" s="8" t="str">
        <f>IFERROR(__xludf.DUMMYFUNCTION("""COMPUTED_VALUE"""),"FLSP")</f>
        <v>FLSP</v>
      </c>
    </row>
    <row r="27">
      <c r="A27" s="8" t="str">
        <f>IFERROR(__xludf.DUMMYFUNCTION("""COMPUTED_VALUE"""),"360028")</f>
        <v>360028</v>
      </c>
      <c r="B27" s="8" t="str">
        <f>IFERROR(__xludf.DUMMYFUNCTION("""COMPUTED_VALUE"""),"RUN-FLMP_2021-01-18_APS-008")</f>
        <v>RUN-FLMP_2021-01-18_APS-008</v>
      </c>
      <c r="C27" s="10">
        <f>VLOOKUP(B27,'Run Reconcile'!A$2:B1579,2,FALSE)</f>
        <v>44214</v>
      </c>
      <c r="D27" s="14">
        <f>IFERROR(__xludf.DUMMYFUNCTION("""COMPUTED_VALUE"""),44214.0)</f>
        <v>44214</v>
      </c>
      <c r="E27" s="15">
        <f>IFERROR(__xludf.DUMMYFUNCTION("""COMPUTED_VALUE"""),0.37807870370306773)</f>
        <v>0.3780787037</v>
      </c>
      <c r="F27" s="8" t="str">
        <f>IFERROR(__xludf.DUMMYFUNCTION("""COMPUTED_VALUE"""),"Negative")</f>
        <v>Negative</v>
      </c>
      <c r="G27" s="16">
        <f>IFERROR(__xludf.DUMMYFUNCTION("""COMPUTED_VALUE"""),1.0)</f>
        <v>1</v>
      </c>
      <c r="H27" s="8" t="str">
        <f>IFERROR(__xludf.DUMMYFUNCTION("""COMPUTED_VALUE"""),"FLSP")</f>
        <v>FLSP</v>
      </c>
    </row>
    <row r="28">
      <c r="A28" s="8" t="str">
        <f>IFERROR(__xludf.DUMMYFUNCTION("""COMPUTED_VALUE"""),"360025")</f>
        <v>360025</v>
      </c>
      <c r="B28" s="8" t="str">
        <f>IFERROR(__xludf.DUMMYFUNCTION("""COMPUTED_VALUE"""),"RUN-FLMP_2021-01-18_APS-008")</f>
        <v>RUN-FLMP_2021-01-18_APS-008</v>
      </c>
      <c r="C28" s="10">
        <f>VLOOKUP(B28,'Run Reconcile'!A$2:B1579,2,FALSE)</f>
        <v>44214</v>
      </c>
      <c r="D28" s="14">
        <f>IFERROR(__xludf.DUMMYFUNCTION("""COMPUTED_VALUE"""),44214.0)</f>
        <v>44214</v>
      </c>
      <c r="E28" s="15">
        <f>IFERROR(__xludf.DUMMYFUNCTION("""COMPUTED_VALUE"""),0.8198379629611736)</f>
        <v>0.819837963</v>
      </c>
      <c r="F28" s="8" t="str">
        <f>IFERROR(__xludf.DUMMYFUNCTION("""COMPUTED_VALUE"""),"Null")</f>
        <v>Null</v>
      </c>
      <c r="G28" s="21">
        <f>IFERROR(__xludf.DUMMYFUNCTION("""COMPUTED_VALUE"""),1.0)</f>
        <v>1</v>
      </c>
      <c r="H28" s="18" t="str">
        <f>IFERROR(__xludf.DUMMYFUNCTION("""COMPUTED_VALUE"""),"FLSP")</f>
        <v>FLSP</v>
      </c>
      <c r="K28" s="18" t="s">
        <v>3</v>
      </c>
    </row>
    <row r="29">
      <c r="A29" s="8" t="str">
        <f>IFERROR(__xludf.DUMMYFUNCTION("""COMPUTED_VALUE"""),"360033")</f>
        <v>360033</v>
      </c>
      <c r="B29" s="8" t="str">
        <f>IFERROR(__xludf.DUMMYFUNCTION("""COMPUTED_VALUE"""),"RUN-FLMP_2021-01-18_APS-008")</f>
        <v>RUN-FLMP_2021-01-18_APS-008</v>
      </c>
      <c r="C29" s="10">
        <f>VLOOKUP(B29,'Run Reconcile'!A$2:B1579,2,FALSE)</f>
        <v>44214</v>
      </c>
      <c r="D29" s="14">
        <f>IFERROR(__xludf.DUMMYFUNCTION("""COMPUTED_VALUE"""),44214.0)</f>
        <v>44214</v>
      </c>
      <c r="E29" s="15">
        <f>IFERROR(__xludf.DUMMYFUNCTION("""COMPUTED_VALUE"""),0.8248958333315386)</f>
        <v>0.8248958333</v>
      </c>
      <c r="F29" s="8" t="str">
        <f>IFERROR(__xludf.DUMMYFUNCTION("""COMPUTED_VALUE"""),"Null")</f>
        <v>Null</v>
      </c>
      <c r="G29" s="21">
        <f>IFERROR(__xludf.DUMMYFUNCTION("""COMPUTED_VALUE"""),1.0)</f>
        <v>1</v>
      </c>
      <c r="H29" s="18" t="str">
        <f>IFERROR(__xludf.DUMMYFUNCTION("""COMPUTED_VALUE"""),"FLSP")</f>
        <v>FLSP</v>
      </c>
      <c r="K29" s="18" t="s">
        <v>3</v>
      </c>
    </row>
    <row r="30">
      <c r="A30" s="8" t="str">
        <f>IFERROR(__xludf.DUMMYFUNCTION("""COMPUTED_VALUE"""),"360042")</f>
        <v>360042</v>
      </c>
      <c r="B30" s="8" t="str">
        <f>IFERROR(__xludf.DUMMYFUNCTION("""COMPUTED_VALUE"""),"RUN-FLMP_2021-01-20_APS-009")</f>
        <v>RUN-FLMP_2021-01-20_APS-009</v>
      </c>
      <c r="C30" s="10">
        <f>VLOOKUP(B30,'Run Reconcile'!A$2:B1579,2,FALSE)</f>
        <v>44216</v>
      </c>
      <c r="D30" s="14">
        <f>IFERROR(__xludf.DUMMYFUNCTION("""COMPUTED_VALUE"""),44216.0)</f>
        <v>44216</v>
      </c>
      <c r="E30" s="15">
        <f>IFERROR(__xludf.DUMMYFUNCTION("""COMPUTED_VALUE"""),0.3248263888890506)</f>
        <v>0.3248263889</v>
      </c>
      <c r="F30" s="8" t="str">
        <f>IFERROR(__xludf.DUMMYFUNCTION("""COMPUTED_VALUE"""),"Negative")</f>
        <v>Negative</v>
      </c>
      <c r="G30" s="16">
        <f>IFERROR(__xludf.DUMMYFUNCTION("""COMPUTED_VALUE"""),3.0)</f>
        <v>3</v>
      </c>
      <c r="H30" s="8" t="str">
        <f>IFERROR(__xludf.DUMMYFUNCTION("""COMPUTED_VALUE"""),"FLSP")</f>
        <v>FLSP</v>
      </c>
    </row>
    <row r="31">
      <c r="A31" s="8" t="str">
        <f>IFERROR(__xludf.DUMMYFUNCTION("""COMPUTED_VALUE"""),"360031")</f>
        <v>360031</v>
      </c>
      <c r="B31" s="8" t="str">
        <f>IFERROR(__xludf.DUMMYFUNCTION("""COMPUTED_VALUE"""),"RUN-FLMP_2021-01-20_APS-009")</f>
        <v>RUN-FLMP_2021-01-20_APS-009</v>
      </c>
      <c r="C31" s="10">
        <f>VLOOKUP(B31,'Run Reconcile'!A$2:B1579,2,FALSE)</f>
        <v>44216</v>
      </c>
      <c r="D31" s="14">
        <f>IFERROR(__xludf.DUMMYFUNCTION("""COMPUTED_VALUE"""),44216.0)</f>
        <v>44216</v>
      </c>
      <c r="E31" s="15">
        <f>IFERROR(__xludf.DUMMYFUNCTION("""COMPUTED_VALUE"""),0.325474537035916)</f>
        <v>0.325474537</v>
      </c>
      <c r="F31" s="8" t="str">
        <f>IFERROR(__xludf.DUMMYFUNCTION("""COMPUTED_VALUE"""),"Negative")</f>
        <v>Negative</v>
      </c>
      <c r="G31" s="16">
        <f>IFERROR(__xludf.DUMMYFUNCTION("""COMPUTED_VALUE"""),1.0)</f>
        <v>1</v>
      </c>
      <c r="H31" s="8" t="str">
        <f>IFERROR(__xludf.DUMMYFUNCTION("""COMPUTED_VALUE"""),"FLSP")</f>
        <v>FLSP</v>
      </c>
    </row>
    <row r="32">
      <c r="A32" s="8" t="str">
        <f>IFERROR(__xludf.DUMMYFUNCTION("""COMPUTED_VALUE"""),"360039")</f>
        <v>360039</v>
      </c>
      <c r="B32" s="8" t="str">
        <f>IFERROR(__xludf.DUMMYFUNCTION("""COMPUTED_VALUE"""),"RUN-FLMP_2021-01-20_APS-009")</f>
        <v>RUN-FLMP_2021-01-20_APS-009</v>
      </c>
      <c r="C32" s="10">
        <f>VLOOKUP(B32,'Run Reconcile'!A$2:B1579,2,FALSE)</f>
        <v>44216</v>
      </c>
      <c r="D32" s="14">
        <f>IFERROR(__xludf.DUMMYFUNCTION("""COMPUTED_VALUE"""),44216.0)</f>
        <v>44216</v>
      </c>
      <c r="E32" s="15">
        <f>IFERROR(__xludf.DUMMYFUNCTION("""COMPUTED_VALUE"""),0.33905092592613073)</f>
        <v>0.3390509259</v>
      </c>
      <c r="F32" s="8" t="str">
        <f>IFERROR(__xludf.DUMMYFUNCTION("""COMPUTED_VALUE"""),"Negative")</f>
        <v>Negative</v>
      </c>
      <c r="G32" s="16">
        <f>IFERROR(__xludf.DUMMYFUNCTION("""COMPUTED_VALUE"""),2.0)</f>
        <v>2</v>
      </c>
      <c r="H32" s="8" t="str">
        <f>IFERROR(__xludf.DUMMYFUNCTION("""COMPUTED_VALUE"""),"FLSP")</f>
        <v>FLSP</v>
      </c>
    </row>
    <row r="33">
      <c r="A33" s="8" t="str">
        <f>IFERROR(__xludf.DUMMYFUNCTION("""COMPUTED_VALUE"""),"360032")</f>
        <v>360032</v>
      </c>
      <c r="B33" s="8" t="str">
        <f>IFERROR(__xludf.DUMMYFUNCTION("""COMPUTED_VALUE"""),"RUN-FLMP_2021-01-20_APS-009")</f>
        <v>RUN-FLMP_2021-01-20_APS-009</v>
      </c>
      <c r="C33" s="10">
        <f>VLOOKUP(B33,'Run Reconcile'!A$2:B1579,2,FALSE)</f>
        <v>44216</v>
      </c>
      <c r="D33" s="14">
        <f>IFERROR(__xludf.DUMMYFUNCTION("""COMPUTED_VALUE"""),44216.0)</f>
        <v>44216</v>
      </c>
      <c r="E33" s="15">
        <f>IFERROR(__xludf.DUMMYFUNCTION("""COMPUTED_VALUE"""),0.3561805555546016)</f>
        <v>0.3561805556</v>
      </c>
      <c r="F33" s="8" t="str">
        <f>IFERROR(__xludf.DUMMYFUNCTION("""COMPUTED_VALUE"""),"Negative")</f>
        <v>Negative</v>
      </c>
      <c r="G33" s="16">
        <f>IFERROR(__xludf.DUMMYFUNCTION("""COMPUTED_VALUE"""),1.0)</f>
        <v>1</v>
      </c>
      <c r="H33" s="8" t="str">
        <f>IFERROR(__xludf.DUMMYFUNCTION("""COMPUTED_VALUE"""),"FLSP")</f>
        <v>FLSP</v>
      </c>
    </row>
    <row r="34">
      <c r="A34" s="8" t="str">
        <f>IFERROR(__xludf.DUMMYFUNCTION("""COMPUTED_VALUE"""),"360017")</f>
        <v>360017</v>
      </c>
      <c r="B34" s="8" t="str">
        <f>IFERROR(__xludf.DUMMYFUNCTION("""COMPUTED_VALUE"""),"RUN-FLMP_2021-01-20_APS-009")</f>
        <v>RUN-FLMP_2021-01-20_APS-009</v>
      </c>
      <c r="C34" s="10">
        <f>VLOOKUP(B34,'Run Reconcile'!A$2:B1579,2,FALSE)</f>
        <v>44216</v>
      </c>
      <c r="D34" s="14">
        <f>IFERROR(__xludf.DUMMYFUNCTION("""COMPUTED_VALUE"""),44216.0)</f>
        <v>44216</v>
      </c>
      <c r="E34" s="15">
        <f>IFERROR(__xludf.DUMMYFUNCTION("""COMPUTED_VALUE"""),0.3587962962956226)</f>
        <v>0.3587962963</v>
      </c>
      <c r="F34" s="8" t="str">
        <f>IFERROR(__xludf.DUMMYFUNCTION("""COMPUTED_VALUE"""),"Negative")</f>
        <v>Negative</v>
      </c>
      <c r="G34" s="16">
        <f>IFERROR(__xludf.DUMMYFUNCTION("""COMPUTED_VALUE"""),3.0)</f>
        <v>3</v>
      </c>
      <c r="H34" s="8" t="str">
        <f>IFERROR(__xludf.DUMMYFUNCTION("""COMPUTED_VALUE"""),"FLSP")</f>
        <v>FLSP</v>
      </c>
    </row>
    <row r="35">
      <c r="A35" s="8" t="str">
        <f>IFERROR(__xludf.DUMMYFUNCTION("""COMPUTED_VALUE"""),"6")</f>
        <v>6</v>
      </c>
      <c r="B35" s="8" t="str">
        <f>IFERROR(__xludf.DUMMYFUNCTION("""COMPUTED_VALUE"""),"RUN-FLMP_2021-01-20_APS-009")</f>
        <v>RUN-FLMP_2021-01-20_APS-009</v>
      </c>
      <c r="C35" s="10">
        <f>VLOOKUP(B35,'Run Reconcile'!A$2:B1579,2,FALSE)</f>
        <v>44216</v>
      </c>
      <c r="D35" s="14">
        <f>IFERROR(__xludf.DUMMYFUNCTION("""COMPUTED_VALUE"""),44216.0)</f>
        <v>44216</v>
      </c>
      <c r="E35" s="15">
        <f>IFERROR(__xludf.DUMMYFUNCTION("""COMPUTED_VALUE"""),0.6091203703690553)</f>
        <v>0.6091203704</v>
      </c>
      <c r="F35" s="8" t="str">
        <f>IFERROR(__xludf.DUMMYFUNCTION("""COMPUTED_VALUE"""),"Negative")</f>
        <v>Negative</v>
      </c>
      <c r="G35" s="16">
        <f>IFERROR(__xludf.DUMMYFUNCTION("""COMPUTED_VALUE"""),4.0)</f>
        <v>4</v>
      </c>
      <c r="H35" s="8" t="str">
        <f>IFERROR(__xludf.DUMMYFUNCTION("""COMPUTED_VALUE"""),"FLSP")</f>
        <v>FLSP</v>
      </c>
    </row>
    <row r="36">
      <c r="A36" s="8" t="str">
        <f>IFERROR(__xludf.DUMMYFUNCTION("""COMPUTED_VALUE"""),"360023")</f>
        <v>360023</v>
      </c>
      <c r="B36" s="8" t="str">
        <f>IFERROR(__xludf.DUMMYFUNCTION("""COMPUTED_VALUE"""),"RUN-FLMP_2021-01-20_APS-009")</f>
        <v>RUN-FLMP_2021-01-20_APS-009</v>
      </c>
      <c r="C36" s="10">
        <f>VLOOKUP(B36,'Run Reconcile'!A$2:B1579,2,FALSE)</f>
        <v>44216</v>
      </c>
      <c r="D36" s="14">
        <f>IFERROR(__xludf.DUMMYFUNCTION("""COMPUTED_VALUE"""),44216.0)</f>
        <v>44216</v>
      </c>
      <c r="E36" s="15">
        <f>IFERROR(__xludf.DUMMYFUNCTION("""COMPUTED_VALUE"""),0.8735185185178125)</f>
        <v>0.8735185185</v>
      </c>
      <c r="F36" s="8" t="str">
        <f>IFERROR(__xludf.DUMMYFUNCTION("""COMPUTED_VALUE"""),"Negative")</f>
        <v>Negative</v>
      </c>
      <c r="G36" s="16">
        <f>IFERROR(__xludf.DUMMYFUNCTION("""COMPUTED_VALUE"""),1.0)</f>
        <v>1</v>
      </c>
      <c r="H36" s="8" t="str">
        <f>IFERROR(__xludf.DUMMYFUNCTION("""COMPUTED_VALUE"""),"FLSP")</f>
        <v>FLSP</v>
      </c>
    </row>
    <row r="37">
      <c r="A37" s="8" t="str">
        <f>IFERROR(__xludf.DUMMYFUNCTION("""COMPUTED_VALUE"""),"6009")</f>
        <v>6009</v>
      </c>
      <c r="B37" s="8" t="str">
        <f>IFERROR(__xludf.DUMMYFUNCTION("""COMPUTED_VALUE"""),"RUN-FLMP_2021-01-21_APS-010")</f>
        <v>RUN-FLMP_2021-01-21_APS-010</v>
      </c>
      <c r="C37" s="10">
        <f>VLOOKUP(B37,'Run Reconcile'!A$2:B1579,2,FALSE)</f>
        <v>44217</v>
      </c>
      <c r="D37" s="14">
        <f>IFERROR(__xludf.DUMMYFUNCTION("""COMPUTED_VALUE"""),44217.0)</f>
        <v>44217</v>
      </c>
      <c r="E37" s="15">
        <f>IFERROR(__xludf.DUMMYFUNCTION("""COMPUTED_VALUE"""),0.33932870370335877)</f>
        <v>0.3393287037</v>
      </c>
      <c r="F37" s="8" t="str">
        <f>IFERROR(__xludf.DUMMYFUNCTION("""COMPUTED_VALUE"""),"Negative")</f>
        <v>Negative</v>
      </c>
      <c r="G37" s="16">
        <f>IFERROR(__xludf.DUMMYFUNCTION("""COMPUTED_VALUE"""),2.0)</f>
        <v>2</v>
      </c>
      <c r="H37" s="8" t="str">
        <f>IFERROR(__xludf.DUMMYFUNCTION("""COMPUTED_VALUE"""),"FLSP")</f>
        <v>FLSP</v>
      </c>
    </row>
    <row r="38">
      <c r="A38" s="8" t="str">
        <f>IFERROR(__xludf.DUMMYFUNCTION("""COMPUTED_VALUE"""),"336378")</f>
        <v>336378</v>
      </c>
      <c r="B38" s="8" t="str">
        <f>IFERROR(__xludf.DUMMYFUNCTION("""COMPUTED_VALUE"""),"RUN-FLMP_2021-01-21_APS-010")</f>
        <v>RUN-FLMP_2021-01-21_APS-010</v>
      </c>
      <c r="C38" s="10">
        <f>VLOOKUP(B38,'Run Reconcile'!A$2:B1579,2,FALSE)</f>
        <v>44217</v>
      </c>
      <c r="D38" s="14">
        <f>IFERROR(__xludf.DUMMYFUNCTION("""COMPUTED_VALUE"""),44217.0)</f>
        <v>44217</v>
      </c>
      <c r="E38" s="15">
        <f>IFERROR(__xludf.DUMMYFUNCTION("""COMPUTED_VALUE"""),0.6283680555570754)</f>
        <v>0.6283680556</v>
      </c>
      <c r="F38" s="8" t="str">
        <f>IFERROR(__xludf.DUMMYFUNCTION("""COMPUTED_VALUE"""),"Negative")</f>
        <v>Negative</v>
      </c>
      <c r="G38" s="16">
        <f>IFERROR(__xludf.DUMMYFUNCTION("""COMPUTED_VALUE"""),1.0)</f>
        <v>1</v>
      </c>
      <c r="H38" s="8" t="str">
        <f>IFERROR(__xludf.DUMMYFUNCTION("""COMPUTED_VALUE"""),"FLSP")</f>
        <v>FLSP</v>
      </c>
    </row>
    <row r="39">
      <c r="A39" s="8" t="str">
        <f>IFERROR(__xludf.DUMMYFUNCTION("""COMPUTED_VALUE"""),"632574")</f>
        <v>632574</v>
      </c>
      <c r="B39" s="8" t="str">
        <f>IFERROR(__xludf.DUMMYFUNCTION("""COMPUTED_VALUE"""),"RUN-FLMP_2021-01-21_APS-010")</f>
        <v>RUN-FLMP_2021-01-21_APS-010</v>
      </c>
      <c r="C39" s="10">
        <f>VLOOKUP(B39,'Run Reconcile'!A$2:B1579,2,FALSE)</f>
        <v>44217</v>
      </c>
      <c r="D39" s="14">
        <f>IFERROR(__xludf.DUMMYFUNCTION("""COMPUTED_VALUE"""),44217.0)</f>
        <v>44217</v>
      </c>
      <c r="E39" s="15">
        <f>IFERROR(__xludf.DUMMYFUNCTION("""COMPUTED_VALUE"""),0.7206944444442343)</f>
        <v>0.7206944444</v>
      </c>
      <c r="F39" s="8" t="str">
        <f>IFERROR(__xludf.DUMMYFUNCTION("""COMPUTED_VALUE"""),"Negative")</f>
        <v>Negative</v>
      </c>
      <c r="G39" s="16">
        <f>IFERROR(__xludf.DUMMYFUNCTION("""COMPUTED_VALUE"""),2.0)</f>
        <v>2</v>
      </c>
      <c r="H39" s="8" t="str">
        <f>IFERROR(__xludf.DUMMYFUNCTION("""COMPUTED_VALUE"""),"FLSP")</f>
        <v>FLSP</v>
      </c>
    </row>
    <row r="40">
      <c r="A40" s="8" t="str">
        <f>IFERROR(__xludf.DUMMYFUNCTION("""COMPUTED_VALUE"""),"360018")</f>
        <v>360018</v>
      </c>
      <c r="B40" s="8" t="str">
        <f>IFERROR(__xludf.DUMMYFUNCTION("""COMPUTED_VALUE"""),"RUN-FLMP_2021-01-21_APS-010")</f>
        <v>RUN-FLMP_2021-01-21_APS-010</v>
      </c>
      <c r="C40" s="10">
        <f>VLOOKUP(B40,'Run Reconcile'!A$2:B1579,2,FALSE)</f>
        <v>44217</v>
      </c>
      <c r="D40" s="14">
        <f>IFERROR(__xludf.DUMMYFUNCTION("""COMPUTED_VALUE"""),44217.0)</f>
        <v>44217</v>
      </c>
      <c r="E40" s="15">
        <f>IFERROR(__xludf.DUMMYFUNCTION("""COMPUTED_VALUE"""),0.885289351852407)</f>
        <v>0.8852893519</v>
      </c>
      <c r="F40" s="8" t="str">
        <f>IFERROR(__xludf.DUMMYFUNCTION("""COMPUTED_VALUE"""),"Negative")</f>
        <v>Negative</v>
      </c>
      <c r="G40" s="16">
        <f>IFERROR(__xludf.DUMMYFUNCTION("""COMPUTED_VALUE"""),4.0)</f>
        <v>4</v>
      </c>
      <c r="H40" s="8" t="str">
        <f>IFERROR(__xludf.DUMMYFUNCTION("""COMPUTED_VALUE"""),"FLSP")</f>
        <v>FLSP</v>
      </c>
    </row>
    <row r="41">
      <c r="A41" s="8" t="str">
        <f>IFERROR(__xludf.DUMMYFUNCTION("""COMPUTED_VALUE"""),"360043")</f>
        <v>360043</v>
      </c>
      <c r="B41" s="8" t="str">
        <f>IFERROR(__xludf.DUMMYFUNCTION("""COMPUTED_VALUE"""),"RUN-FLMP_2021-01-22_APS-011")</f>
        <v>RUN-FLMP_2021-01-22_APS-011</v>
      </c>
      <c r="C41" s="10">
        <f>VLOOKUP(B41,'Run Reconcile'!A$2:B1579,2,FALSE)</f>
        <v>44218</v>
      </c>
      <c r="D41" s="14">
        <f>IFERROR(__xludf.DUMMYFUNCTION("""COMPUTED_VALUE"""),44218.0)</f>
        <v>44218</v>
      </c>
      <c r="E41" s="15">
        <f>IFERROR(__xludf.DUMMYFUNCTION("""COMPUTED_VALUE"""),0.3335763888899237)</f>
        <v>0.3335763889</v>
      </c>
      <c r="F41" s="8" t="str">
        <f>IFERROR(__xludf.DUMMYFUNCTION("""COMPUTED_VALUE"""),"Negative")</f>
        <v>Negative</v>
      </c>
      <c r="G41" s="16">
        <f>IFERROR(__xludf.DUMMYFUNCTION("""COMPUTED_VALUE"""),1.0)</f>
        <v>1</v>
      </c>
      <c r="H41" s="8" t="str">
        <f>IFERROR(__xludf.DUMMYFUNCTION("""COMPUTED_VALUE"""),"FLSP")</f>
        <v>FLSP</v>
      </c>
    </row>
    <row r="42">
      <c r="A42" s="8" t="str">
        <f>IFERROR(__xludf.DUMMYFUNCTION("""COMPUTED_VALUE"""),"351467")</f>
        <v>351467</v>
      </c>
      <c r="B42" s="8" t="str">
        <f>IFERROR(__xludf.DUMMYFUNCTION("""COMPUTED_VALUE"""),"RUN-FLMP_2021-01-22_APS-011")</f>
        <v>RUN-FLMP_2021-01-22_APS-011</v>
      </c>
      <c r="C42" s="10">
        <f>VLOOKUP(B42,'Run Reconcile'!A$2:B1579,2,FALSE)</f>
        <v>44218</v>
      </c>
      <c r="D42" s="14">
        <f>IFERROR(__xludf.DUMMYFUNCTION("""COMPUTED_VALUE"""),44218.0)</f>
        <v>44218</v>
      </c>
      <c r="E42" s="15">
        <f>IFERROR(__xludf.DUMMYFUNCTION("""COMPUTED_VALUE"""),0.33414351851752144)</f>
        <v>0.3341435185</v>
      </c>
      <c r="F42" s="8" t="str">
        <f>IFERROR(__xludf.DUMMYFUNCTION("""COMPUTED_VALUE"""),"Negative")</f>
        <v>Negative</v>
      </c>
      <c r="G42" s="16">
        <f>IFERROR(__xludf.DUMMYFUNCTION("""COMPUTED_VALUE"""),3.0)</f>
        <v>3</v>
      </c>
      <c r="H42" s="8" t="str">
        <f>IFERROR(__xludf.DUMMYFUNCTION("""COMPUTED_VALUE"""),"FLSP")</f>
        <v>FLSP</v>
      </c>
    </row>
    <row r="43">
      <c r="A43" s="8" t="str">
        <f>IFERROR(__xludf.DUMMYFUNCTION("""COMPUTED_VALUE"""),"360027")</f>
        <v>360027</v>
      </c>
      <c r="B43" s="8" t="str">
        <f>IFERROR(__xludf.DUMMYFUNCTION("""COMPUTED_VALUE"""),"RUN-FLMP_2021-01-22_APS-011")</f>
        <v>RUN-FLMP_2021-01-22_APS-011</v>
      </c>
      <c r="C43" s="10">
        <f>VLOOKUP(B43,'Run Reconcile'!A$2:B1579,2,FALSE)</f>
        <v>44218</v>
      </c>
      <c r="D43" s="14">
        <f>IFERROR(__xludf.DUMMYFUNCTION("""COMPUTED_VALUE"""),44218.0)</f>
        <v>44218</v>
      </c>
      <c r="E43" s="15">
        <f>IFERROR(__xludf.DUMMYFUNCTION("""COMPUTED_VALUE"""),0.33475694444496185)</f>
        <v>0.3347569444</v>
      </c>
      <c r="F43" s="8" t="str">
        <f>IFERROR(__xludf.DUMMYFUNCTION("""COMPUTED_VALUE"""),"Negative")</f>
        <v>Negative</v>
      </c>
      <c r="G43" s="16">
        <f>IFERROR(__xludf.DUMMYFUNCTION("""COMPUTED_VALUE"""),1.0)</f>
        <v>1</v>
      </c>
      <c r="H43" s="8" t="str">
        <f>IFERROR(__xludf.DUMMYFUNCTION("""COMPUTED_VALUE"""),"FLSP")</f>
        <v>FLSP</v>
      </c>
    </row>
    <row r="44">
      <c r="A44" s="8" t="str">
        <f>IFERROR(__xludf.DUMMYFUNCTION("""COMPUTED_VALUE"""),"360035")</f>
        <v>360035</v>
      </c>
      <c r="B44" s="8" t="str">
        <f>IFERROR(__xludf.DUMMYFUNCTION("""COMPUTED_VALUE"""),"RUN-FLMP_2021-01-22_APS-011")</f>
        <v>RUN-FLMP_2021-01-22_APS-011</v>
      </c>
      <c r="C44" s="10">
        <f>VLOOKUP(B44,'Run Reconcile'!A$2:B1579,2,FALSE)</f>
        <v>44218</v>
      </c>
      <c r="D44" s="14">
        <f>IFERROR(__xludf.DUMMYFUNCTION("""COMPUTED_VALUE"""),44218.0)</f>
        <v>44218</v>
      </c>
      <c r="E44" s="15">
        <f>IFERROR(__xludf.DUMMYFUNCTION("""COMPUTED_VALUE"""),0.33803240740598994)</f>
        <v>0.3380324074</v>
      </c>
      <c r="F44" s="8" t="str">
        <f>IFERROR(__xludf.DUMMYFUNCTION("""COMPUTED_VALUE"""),"Negative")</f>
        <v>Negative</v>
      </c>
      <c r="G44" s="16">
        <f>IFERROR(__xludf.DUMMYFUNCTION("""COMPUTED_VALUE"""),1.0)</f>
        <v>1</v>
      </c>
      <c r="H44" s="8" t="str">
        <f>IFERROR(__xludf.DUMMYFUNCTION("""COMPUTED_VALUE"""),"FLSP")</f>
        <v>FLSP</v>
      </c>
    </row>
    <row r="45">
      <c r="A45" s="8" t="str">
        <f>IFERROR(__xludf.DUMMYFUNCTION("""COMPUTED_VALUE"""),"360021")</f>
        <v>360021</v>
      </c>
      <c r="B45" s="8" t="str">
        <f>IFERROR(__xludf.DUMMYFUNCTION("""COMPUTED_VALUE"""),"RUN-FLMP_2021-01-24_APS-012")</f>
        <v>RUN-FLMP_2021-01-24_APS-012</v>
      </c>
      <c r="C45" s="10">
        <f>VLOOKUP(B45,'Run Reconcile'!A$2:B1579,2,FALSE)</f>
        <v>44220</v>
      </c>
      <c r="D45" s="14">
        <f>IFERROR(__xludf.DUMMYFUNCTION("""COMPUTED_VALUE"""),44220.0)</f>
        <v>44220</v>
      </c>
      <c r="E45" s="15">
        <f>IFERROR(__xludf.DUMMYFUNCTION("""COMPUTED_VALUE"""),0.8596759259271494)</f>
        <v>0.8596759259</v>
      </c>
      <c r="F45" s="8" t="str">
        <f>IFERROR(__xludf.DUMMYFUNCTION("""COMPUTED_VALUE"""),"Negative")</f>
        <v>Negative</v>
      </c>
      <c r="G45" s="16">
        <f>IFERROR(__xludf.DUMMYFUNCTION("""COMPUTED_VALUE"""),4.0)</f>
        <v>4</v>
      </c>
      <c r="H45" s="8" t="str">
        <f>IFERROR(__xludf.DUMMYFUNCTION("""COMPUTED_VALUE"""),"FLSP")</f>
        <v>FLSP</v>
      </c>
    </row>
    <row r="46">
      <c r="A46" s="8" t="str">
        <f>IFERROR(__xludf.DUMMYFUNCTION("""COMPUTED_VALUE"""),"360014")</f>
        <v>360014</v>
      </c>
      <c r="B46" s="8" t="str">
        <f>IFERROR(__xludf.DUMMYFUNCTION("""COMPUTED_VALUE"""),"RUN-FLMP_2021-01-24_APS-012")</f>
        <v>RUN-FLMP_2021-01-24_APS-012</v>
      </c>
      <c r="C46" s="10">
        <f>VLOOKUP(B46,'Run Reconcile'!A$2:B1579,2,FALSE)</f>
        <v>44220</v>
      </c>
      <c r="D46" s="14">
        <f>IFERROR(__xludf.DUMMYFUNCTION("""COMPUTED_VALUE"""),44220.0)</f>
        <v>44220</v>
      </c>
      <c r="E46" s="15">
        <f>IFERROR(__xludf.DUMMYFUNCTION("""COMPUTED_VALUE"""),0.869733796294895)</f>
        <v>0.8697337963</v>
      </c>
      <c r="F46" s="8" t="str">
        <f>IFERROR(__xludf.DUMMYFUNCTION("""COMPUTED_VALUE"""),"Negative")</f>
        <v>Negative</v>
      </c>
      <c r="G46" s="16">
        <f>IFERROR(__xludf.DUMMYFUNCTION("""COMPUTED_VALUE"""),2.0)</f>
        <v>2</v>
      </c>
      <c r="H46" s="8" t="str">
        <f>IFERROR(__xludf.DUMMYFUNCTION("""COMPUTED_VALUE"""),"FLSP")</f>
        <v>FLSP</v>
      </c>
    </row>
    <row r="47">
      <c r="A47" s="8" t="str">
        <f>IFERROR(__xludf.DUMMYFUNCTION("""COMPUTED_VALUE"""),"360045")</f>
        <v>360045</v>
      </c>
      <c r="B47" s="8" t="str">
        <f>IFERROR(__xludf.DUMMYFUNCTION("""COMPUTED_VALUE"""),"RUN-FLMP_2021-01-25_APS-013")</f>
        <v>RUN-FLMP_2021-01-25_APS-013</v>
      </c>
      <c r="C47" s="10">
        <f>VLOOKUP(B47,'Run Reconcile'!A$2:B1579,2,FALSE)</f>
        <v>44221</v>
      </c>
      <c r="D47" s="14">
        <f>IFERROR(__xludf.DUMMYFUNCTION("""COMPUTED_VALUE"""),44221.0)</f>
        <v>44221</v>
      </c>
      <c r="E47" s="15">
        <f>IFERROR(__xludf.DUMMYFUNCTION("""COMPUTED_VALUE"""),0.33618055555416504)</f>
        <v>0.3361805556</v>
      </c>
      <c r="F47" s="8" t="str">
        <f>IFERROR(__xludf.DUMMYFUNCTION("""COMPUTED_VALUE"""),"Negative")</f>
        <v>Negative</v>
      </c>
      <c r="G47" s="16">
        <f>IFERROR(__xludf.DUMMYFUNCTION("""COMPUTED_VALUE"""),1.0)</f>
        <v>1</v>
      </c>
      <c r="H47" s="8" t="str">
        <f>IFERROR(__xludf.DUMMYFUNCTION("""COMPUTED_VALUE"""),"FLSP")</f>
        <v>FLSP</v>
      </c>
    </row>
    <row r="48">
      <c r="A48" s="8" t="str">
        <f>IFERROR(__xludf.DUMMYFUNCTION("""COMPUTED_VALUE"""),"D3940")</f>
        <v>D3940</v>
      </c>
      <c r="B48" s="8" t="str">
        <f>IFERROR(__xludf.DUMMYFUNCTION("""COMPUTED_VALUE"""),"RUN-FLMP_2021-01-25_APS-013")</f>
        <v>RUN-FLMP_2021-01-25_APS-013</v>
      </c>
      <c r="C48" s="10">
        <f>VLOOKUP(B48,'Run Reconcile'!A$2:B1579,2,FALSE)</f>
        <v>44221</v>
      </c>
      <c r="D48" s="14">
        <f>IFERROR(__xludf.DUMMYFUNCTION("""COMPUTED_VALUE"""),44221.0)</f>
        <v>44221</v>
      </c>
      <c r="E48" s="15">
        <f>IFERROR(__xludf.DUMMYFUNCTION("""COMPUTED_VALUE"""),0.35420138888730435)</f>
        <v>0.3542013889</v>
      </c>
      <c r="F48" s="8" t="str">
        <f>IFERROR(__xludf.DUMMYFUNCTION("""COMPUTED_VALUE"""),"Negative")</f>
        <v>Negative</v>
      </c>
      <c r="G48" s="16">
        <f>IFERROR(__xludf.DUMMYFUNCTION("""COMPUTED_VALUE"""),4.0)</f>
        <v>4</v>
      </c>
      <c r="H48" s="8" t="str">
        <f>IFERROR(__xludf.DUMMYFUNCTION("""COMPUTED_VALUE"""),"FLSP")</f>
        <v>FLSP</v>
      </c>
    </row>
    <row r="49">
      <c r="A49" s="8" t="str">
        <f>IFERROR(__xludf.DUMMYFUNCTION("""COMPUTED_VALUE"""),"336382")</f>
        <v>336382</v>
      </c>
      <c r="B49" s="8" t="str">
        <f>IFERROR(__xludf.DUMMYFUNCTION("""COMPUTED_VALUE"""),"RUN-FLMP_2021-01-25_APS-013")</f>
        <v>RUN-FLMP_2021-01-25_APS-013</v>
      </c>
      <c r="C49" s="10">
        <f>VLOOKUP(B49,'Run Reconcile'!A$2:B1579,2,FALSE)</f>
        <v>44221</v>
      </c>
      <c r="D49" s="14">
        <f>IFERROR(__xludf.DUMMYFUNCTION("""COMPUTED_VALUE"""),44221.0)</f>
        <v>44221</v>
      </c>
      <c r="E49" s="15">
        <f>IFERROR(__xludf.DUMMYFUNCTION("""COMPUTED_VALUE"""),0.3662152777760639)</f>
        <v>0.3662152778</v>
      </c>
      <c r="F49" s="8" t="str">
        <f>IFERROR(__xludf.DUMMYFUNCTION("""COMPUTED_VALUE"""),"Negative")</f>
        <v>Negative</v>
      </c>
      <c r="G49" s="16">
        <f>IFERROR(__xludf.DUMMYFUNCTION("""COMPUTED_VALUE"""),1.0)</f>
        <v>1</v>
      </c>
      <c r="H49" s="8" t="str">
        <f>IFERROR(__xludf.DUMMYFUNCTION("""COMPUTED_VALUE"""),"FLSP")</f>
        <v>FLSP</v>
      </c>
    </row>
    <row r="50">
      <c r="A50" s="8" t="str">
        <f>IFERROR(__xludf.DUMMYFUNCTION("""COMPUTED_VALUE"""),"360021A")</f>
        <v>360021A</v>
      </c>
      <c r="B50" s="8" t="str">
        <f>IFERROR(__xludf.DUMMYFUNCTION("""COMPUTED_VALUE"""),"RUN-FLMP_2021-01-25_APS-013")</f>
        <v>RUN-FLMP_2021-01-25_APS-013</v>
      </c>
      <c r="C50" s="10">
        <f>VLOOKUP(B50,'Run Reconcile'!A$2:B1579,2,FALSE)</f>
        <v>44221</v>
      </c>
      <c r="D50" s="14">
        <f>IFERROR(__xludf.DUMMYFUNCTION("""COMPUTED_VALUE"""),44221.0)</f>
        <v>44221</v>
      </c>
      <c r="E50" s="15">
        <f>IFERROR(__xludf.DUMMYFUNCTION("""COMPUTED_VALUE"""),0.3677314814813144)</f>
        <v>0.3677314815</v>
      </c>
      <c r="F50" s="8" t="str">
        <f>IFERROR(__xludf.DUMMYFUNCTION("""COMPUTED_VALUE"""),"Negative")</f>
        <v>Negative</v>
      </c>
      <c r="G50" s="16">
        <f>IFERROR(__xludf.DUMMYFUNCTION("""COMPUTED_VALUE"""),1.0)</f>
        <v>1</v>
      </c>
      <c r="H50" s="8" t="str">
        <f>IFERROR(__xludf.DUMMYFUNCTION("""COMPUTED_VALUE"""),"FLSP")</f>
        <v>FLSP</v>
      </c>
    </row>
    <row r="51">
      <c r="A51" s="8" t="str">
        <f>IFERROR(__xludf.DUMMYFUNCTION("""COMPUTED_VALUE"""),"360015")</f>
        <v>360015</v>
      </c>
      <c r="B51" s="8" t="str">
        <f>IFERROR(__xludf.DUMMYFUNCTION("""COMPUTED_VALUE"""),"RUN-FLMP_2021-01-26_APS-014")</f>
        <v>RUN-FLMP_2021-01-26_APS-014</v>
      </c>
      <c r="C51" s="10">
        <f>VLOOKUP(B51,'Run Reconcile'!A$2:B1579,2,FALSE)</f>
        <v>44222</v>
      </c>
      <c r="D51" s="14">
        <f>IFERROR(__xludf.DUMMYFUNCTION("""COMPUTED_VALUE"""),44222.0)</f>
        <v>44222</v>
      </c>
      <c r="E51" s="15">
        <f>IFERROR(__xludf.DUMMYFUNCTION("""COMPUTED_VALUE"""),0.7698032407424762)</f>
        <v>0.7698032407</v>
      </c>
      <c r="F51" s="8" t="str">
        <f>IFERROR(__xludf.DUMMYFUNCTION("""COMPUTED_VALUE"""),"Negative")</f>
        <v>Negative</v>
      </c>
      <c r="G51" s="16">
        <f>IFERROR(__xludf.DUMMYFUNCTION("""COMPUTED_VALUE"""),4.0)</f>
        <v>4</v>
      </c>
      <c r="H51" s="8" t="str">
        <f>IFERROR(__xludf.DUMMYFUNCTION("""COMPUTED_VALUE"""),"FLSP")</f>
        <v>FLSP</v>
      </c>
    </row>
    <row r="52">
      <c r="A52" s="8" t="str">
        <f>IFERROR(__xludf.DUMMYFUNCTION("""COMPUTED_VALUE"""),"336380")</f>
        <v>336380</v>
      </c>
      <c r="B52" s="8" t="str">
        <f>IFERROR(__xludf.DUMMYFUNCTION("""COMPUTED_VALUE"""),"RUN-FLMP_2021-01-26_APS-014")</f>
        <v>RUN-FLMP_2021-01-26_APS-014</v>
      </c>
      <c r="C52" s="10">
        <f>VLOOKUP(B52,'Run Reconcile'!A$2:B1579,2,FALSE)</f>
        <v>44222</v>
      </c>
      <c r="D52" s="14">
        <f>IFERROR(__xludf.DUMMYFUNCTION("""COMPUTED_VALUE"""),44222.0)</f>
        <v>44222</v>
      </c>
      <c r="E52" s="15">
        <f>IFERROR(__xludf.DUMMYFUNCTION("""COMPUTED_VALUE"""),0.8078819444453984)</f>
        <v>0.8078819444</v>
      </c>
      <c r="F52" s="8" t="str">
        <f>IFERROR(__xludf.DUMMYFUNCTION("""COMPUTED_VALUE"""),"Negative")</f>
        <v>Negative</v>
      </c>
      <c r="G52" s="16">
        <f>IFERROR(__xludf.DUMMYFUNCTION("""COMPUTED_VALUE"""),1.0)</f>
        <v>1</v>
      </c>
      <c r="H52" s="8" t="str">
        <f>IFERROR(__xludf.DUMMYFUNCTION("""COMPUTED_VALUE"""),"FLSP")</f>
        <v>FLSP</v>
      </c>
    </row>
    <row r="53">
      <c r="A53" s="8" t="str">
        <f>IFERROR(__xludf.DUMMYFUNCTION("""COMPUTED_VALUE"""),"360019")</f>
        <v>360019</v>
      </c>
      <c r="B53" s="8" t="str">
        <f>IFERROR(__xludf.DUMMYFUNCTION("""COMPUTED_VALUE"""),"RUN-FLMP_2021-01-26_APS-014")</f>
        <v>RUN-FLMP_2021-01-26_APS-014</v>
      </c>
      <c r="C53" s="10">
        <f>VLOOKUP(B53,'Run Reconcile'!A$2:B1579,2,FALSE)</f>
        <v>44222</v>
      </c>
      <c r="D53" s="14">
        <f>IFERROR(__xludf.DUMMYFUNCTION("""COMPUTED_VALUE"""),44222.0)</f>
        <v>44222</v>
      </c>
      <c r="E53" s="15">
        <f>IFERROR(__xludf.DUMMYFUNCTION("""COMPUTED_VALUE"""),0.8815046296294895)</f>
        <v>0.8815046296</v>
      </c>
      <c r="F53" s="8" t="str">
        <f>IFERROR(__xludf.DUMMYFUNCTION("""COMPUTED_VALUE"""),"Negative")</f>
        <v>Negative</v>
      </c>
      <c r="G53" s="16">
        <f>IFERROR(__xludf.DUMMYFUNCTION("""COMPUTED_VALUE"""),4.0)</f>
        <v>4</v>
      </c>
      <c r="H53" s="8" t="str">
        <f>IFERROR(__xludf.DUMMYFUNCTION("""COMPUTED_VALUE"""),"FLSP")</f>
        <v>FLSP</v>
      </c>
    </row>
    <row r="54">
      <c r="A54" s="8" t="str">
        <f>IFERROR(__xludf.DUMMYFUNCTION("""COMPUTED_VALUE"""),"360047")</f>
        <v>360047</v>
      </c>
      <c r="B54" s="8" t="str">
        <f>IFERROR(__xludf.DUMMYFUNCTION("""COMPUTED_VALUE"""),"RUN-FLMP_2021-01-27_APS-015")</f>
        <v>RUN-FLMP_2021-01-27_APS-015</v>
      </c>
      <c r="C54" s="10">
        <f>VLOOKUP(B54,'Run Reconcile'!A$2:B1579,2,FALSE)</f>
        <v>44223</v>
      </c>
      <c r="D54" s="14">
        <f>IFERROR(__xludf.DUMMYFUNCTION("""COMPUTED_VALUE"""),44223.0)</f>
        <v>44223</v>
      </c>
      <c r="E54" s="15">
        <f>IFERROR(__xludf.DUMMYFUNCTION("""COMPUTED_VALUE"""),0.33541666666496894)</f>
        <v>0.3354166667</v>
      </c>
      <c r="F54" s="8" t="str">
        <f>IFERROR(__xludf.DUMMYFUNCTION("""COMPUTED_VALUE"""),"Negative")</f>
        <v>Negative</v>
      </c>
      <c r="G54" s="16">
        <f>IFERROR(__xludf.DUMMYFUNCTION("""COMPUTED_VALUE"""),1.0)</f>
        <v>1</v>
      </c>
      <c r="H54" s="8" t="str">
        <f>IFERROR(__xludf.DUMMYFUNCTION("""COMPUTED_VALUE"""),"FLSP")</f>
        <v>FLSP</v>
      </c>
    </row>
    <row r="55">
      <c r="A55" s="8" t="str">
        <f>IFERROR(__xludf.DUMMYFUNCTION("""COMPUTED_VALUE"""),"360041")</f>
        <v>360041</v>
      </c>
      <c r="B55" s="8" t="str">
        <f>IFERROR(__xludf.DUMMYFUNCTION("""COMPUTED_VALUE"""),"RUN-FLMP_2021-01-27_APS-015")</f>
        <v>RUN-FLMP_2021-01-27_APS-015</v>
      </c>
      <c r="C55" s="10">
        <f>VLOOKUP(B55,'Run Reconcile'!A$2:B1579,2,FALSE)</f>
        <v>44223</v>
      </c>
      <c r="D55" s="14">
        <f>IFERROR(__xludf.DUMMYFUNCTION("""COMPUTED_VALUE"""),44223.0)</f>
        <v>44223</v>
      </c>
      <c r="E55" s="15">
        <f>IFERROR(__xludf.DUMMYFUNCTION("""COMPUTED_VALUE"""),0.33603009259240935)</f>
        <v>0.3360300926</v>
      </c>
      <c r="F55" s="8" t="str">
        <f>IFERROR(__xludf.DUMMYFUNCTION("""COMPUTED_VALUE"""),"Negative")</f>
        <v>Negative</v>
      </c>
      <c r="G55" s="16">
        <f>IFERROR(__xludf.DUMMYFUNCTION("""COMPUTED_VALUE"""),2.0)</f>
        <v>2</v>
      </c>
      <c r="H55" s="8" t="str">
        <f>IFERROR(__xludf.DUMMYFUNCTION("""COMPUTED_VALUE"""),"FLSP")</f>
        <v>FLSP</v>
      </c>
    </row>
    <row r="56">
      <c r="A56" s="8" t="str">
        <f>IFERROR(__xludf.DUMMYFUNCTION("""COMPUTED_VALUE"""),"C09611")</f>
        <v>C09611</v>
      </c>
      <c r="B56" s="8" t="str">
        <f>IFERROR(__xludf.DUMMYFUNCTION("""COMPUTED_VALUE"""),"RUN-FLMP_2021-01-27_APS-015")</f>
        <v>RUN-FLMP_2021-01-27_APS-015</v>
      </c>
      <c r="C56" s="10">
        <f>VLOOKUP(B56,'Run Reconcile'!A$2:B1579,2,FALSE)</f>
        <v>44223</v>
      </c>
      <c r="D56" s="14">
        <f>IFERROR(__xludf.DUMMYFUNCTION("""COMPUTED_VALUE"""),44223.0)</f>
        <v>44223</v>
      </c>
      <c r="E56" s="15">
        <f>IFERROR(__xludf.DUMMYFUNCTION("""COMPUTED_VALUE"""),0.3535185185173759)</f>
        <v>0.3535185185</v>
      </c>
      <c r="F56" s="8" t="str">
        <f>IFERROR(__xludf.DUMMYFUNCTION("""COMPUTED_VALUE"""),"Negative")</f>
        <v>Negative</v>
      </c>
      <c r="G56" s="16">
        <f>IFERROR(__xludf.DUMMYFUNCTION("""COMPUTED_VALUE"""),3.0)</f>
        <v>3</v>
      </c>
      <c r="H56" s="8" t="str">
        <f>IFERROR(__xludf.DUMMYFUNCTION("""COMPUTED_VALUE"""),"FLSP")</f>
        <v>FLSP</v>
      </c>
    </row>
    <row r="57">
      <c r="A57" s="8" t="str">
        <f>IFERROR(__xludf.DUMMYFUNCTION("""COMPUTED_VALUE"""),"336384")</f>
        <v>336384</v>
      </c>
      <c r="B57" s="8" t="str">
        <f>IFERROR(__xludf.DUMMYFUNCTION("""COMPUTED_VALUE"""),"RUN-FLMP_2021-01-28_APS-016")</f>
        <v>RUN-FLMP_2021-01-28_APS-016</v>
      </c>
      <c r="C57" s="10">
        <f>VLOOKUP(B57,'Run Reconcile'!A$2:B1579,2,FALSE)</f>
        <v>44224</v>
      </c>
      <c r="D57" s="14">
        <f>IFERROR(__xludf.DUMMYFUNCTION("""COMPUTED_VALUE"""),44224.0)</f>
        <v>44224</v>
      </c>
      <c r="E57" s="15">
        <f>IFERROR(__xludf.DUMMYFUNCTION("""COMPUTED_VALUE"""),0.7621527777773736)</f>
        <v>0.7621527778</v>
      </c>
      <c r="F57" s="8" t="str">
        <f>IFERROR(__xludf.DUMMYFUNCTION("""COMPUTED_VALUE"""),"Negative")</f>
        <v>Negative</v>
      </c>
      <c r="G57" s="16">
        <f>IFERROR(__xludf.DUMMYFUNCTION("""COMPUTED_VALUE"""),1.0)</f>
        <v>1</v>
      </c>
      <c r="H57" s="8" t="str">
        <f>IFERROR(__xludf.DUMMYFUNCTION("""COMPUTED_VALUE"""),"FLSP")</f>
        <v>FLSP</v>
      </c>
    </row>
    <row r="58">
      <c r="A58" s="8" t="str">
        <f>IFERROR(__xludf.DUMMYFUNCTION("""COMPUTED_VALUE"""),"360024")</f>
        <v>360024</v>
      </c>
      <c r="B58" s="8" t="str">
        <f>IFERROR(__xludf.DUMMYFUNCTION("""COMPUTED_VALUE"""),"RUN-FLMP_2021-01-28_APS-016")</f>
        <v>RUN-FLMP_2021-01-28_APS-016</v>
      </c>
      <c r="C58" s="10">
        <f>VLOOKUP(B58,'Run Reconcile'!A$2:B1579,2,FALSE)</f>
        <v>44224</v>
      </c>
      <c r="D58" s="14">
        <f>IFERROR(__xludf.DUMMYFUNCTION("""COMPUTED_VALUE"""),44224.0)</f>
        <v>44224</v>
      </c>
      <c r="E58" s="15">
        <f>IFERROR(__xludf.DUMMYFUNCTION("""COMPUTED_VALUE"""),0.7718055555560568)</f>
        <v>0.7718055556</v>
      </c>
      <c r="F58" s="8" t="str">
        <f>IFERROR(__xludf.DUMMYFUNCTION("""COMPUTED_VALUE"""),"Negative")</f>
        <v>Negative</v>
      </c>
      <c r="G58" s="16">
        <f>IFERROR(__xludf.DUMMYFUNCTION("""COMPUTED_VALUE"""),4.0)</f>
        <v>4</v>
      </c>
      <c r="H58" s="8" t="str">
        <f>IFERROR(__xludf.DUMMYFUNCTION("""COMPUTED_VALUE"""),"FLSP")</f>
        <v>FLSP</v>
      </c>
    </row>
    <row r="59">
      <c r="A59" s="8" t="str">
        <f>IFERROR(__xludf.DUMMYFUNCTION("""COMPUTED_VALUE"""),"D3921A")</f>
        <v>D3921A</v>
      </c>
      <c r="B59" s="8" t="str">
        <f>IFERROR(__xludf.DUMMYFUNCTION("""COMPUTED_VALUE"""),"RUN-FLMP_2021-01-29_APS-017")</f>
        <v>RUN-FLMP_2021-01-29_APS-017</v>
      </c>
      <c r="C59" s="10">
        <f>VLOOKUP(B59,'Run Reconcile'!A$2:B1579,2,FALSE)</f>
        <v>44225</v>
      </c>
      <c r="D59" s="14">
        <f>IFERROR(__xludf.DUMMYFUNCTION("""COMPUTED_VALUE"""),44225.0)</f>
        <v>44225</v>
      </c>
      <c r="E59" s="15">
        <f>IFERROR(__xludf.DUMMYFUNCTION("""COMPUTED_VALUE"""),0.21753472222189885)</f>
        <v>0.2175347222</v>
      </c>
      <c r="F59" s="8" t="str">
        <f>IFERROR(__xludf.DUMMYFUNCTION("""COMPUTED_VALUE"""),"Negative")</f>
        <v>Negative</v>
      </c>
      <c r="G59" s="16">
        <f>IFERROR(__xludf.DUMMYFUNCTION("""COMPUTED_VALUE"""),4.0)</f>
        <v>4</v>
      </c>
      <c r="H59" s="8" t="str">
        <f>IFERROR(__xludf.DUMMYFUNCTION("""COMPUTED_VALUE"""),"FLSP")</f>
        <v>FLSP</v>
      </c>
    </row>
    <row r="60">
      <c r="A60" s="8" t="str">
        <f>IFERROR(__xludf.DUMMYFUNCTION("""COMPUTED_VALUE"""),"D3921")</f>
        <v>D3921</v>
      </c>
      <c r="B60" s="8" t="str">
        <f>IFERROR(__xludf.DUMMYFUNCTION("""COMPUTED_VALUE"""),"RUN-FLMP_2021-01-29_APS-017")</f>
        <v>RUN-FLMP_2021-01-29_APS-017</v>
      </c>
      <c r="C60" s="10">
        <f>VLOOKUP(B60,'Run Reconcile'!A$2:B1579,2,FALSE)</f>
        <v>44225</v>
      </c>
      <c r="D60" s="14">
        <f>IFERROR(__xludf.DUMMYFUNCTION("""COMPUTED_VALUE"""),44225.0)</f>
        <v>44225</v>
      </c>
      <c r="E60" s="15">
        <f>IFERROR(__xludf.DUMMYFUNCTION("""COMPUTED_VALUE"""),0.3555671296307992)</f>
        <v>0.3555671296</v>
      </c>
      <c r="F60" s="8" t="str">
        <f>IFERROR(__xludf.DUMMYFUNCTION("""COMPUTED_VALUE"""),"Negative")</f>
        <v>Negative</v>
      </c>
      <c r="G60" s="16">
        <f>IFERROR(__xludf.DUMMYFUNCTION("""COMPUTED_VALUE"""),4.0)</f>
        <v>4</v>
      </c>
      <c r="H60" s="8" t="str">
        <f>IFERROR(__xludf.DUMMYFUNCTION("""COMPUTED_VALUE"""),"FLSP")</f>
        <v>FLSP</v>
      </c>
    </row>
    <row r="61">
      <c r="A61" s="8" t="str">
        <f>IFERROR(__xludf.DUMMYFUNCTION("""COMPUTED_VALUE"""),"351468")</f>
        <v>351468</v>
      </c>
      <c r="B61" s="8" t="str">
        <f>IFERROR(__xludf.DUMMYFUNCTION("""COMPUTED_VALUE"""),"RUN-FLMP_2021-01-29_APS-017")</f>
        <v>RUN-FLMP_2021-01-29_APS-017</v>
      </c>
      <c r="C61" s="10">
        <f>VLOOKUP(B61,'Run Reconcile'!A$2:B1579,2,FALSE)</f>
        <v>44225</v>
      </c>
      <c r="D61" s="14">
        <f>IFERROR(__xludf.DUMMYFUNCTION("""COMPUTED_VALUE"""),44225.0)</f>
        <v>44225</v>
      </c>
      <c r="E61" s="15">
        <f>IFERROR(__xludf.DUMMYFUNCTION("""COMPUTED_VALUE"""),0.3600347222236451)</f>
        <v>0.3600347222</v>
      </c>
      <c r="F61" s="8" t="str">
        <f>IFERROR(__xludf.DUMMYFUNCTION("""COMPUTED_VALUE"""),"Negative")</f>
        <v>Negative</v>
      </c>
      <c r="G61" s="16">
        <f>IFERROR(__xludf.DUMMYFUNCTION("""COMPUTED_VALUE"""),1.0)</f>
        <v>1</v>
      </c>
      <c r="H61" s="8" t="str">
        <f>IFERROR(__xludf.DUMMYFUNCTION("""COMPUTED_VALUE"""),"FLSP")</f>
        <v>FLSP</v>
      </c>
    </row>
    <row r="62">
      <c r="A62" s="8" t="str">
        <f>IFERROR(__xludf.DUMMYFUNCTION("""COMPUTED_VALUE"""),"D3911")</f>
        <v>D3911</v>
      </c>
      <c r="B62" s="8" t="str">
        <f>IFERROR(__xludf.DUMMYFUNCTION("""COMPUTED_VALUE"""),"RUN-FLMP_2021-01-29_APS-017")</f>
        <v>RUN-FLMP_2021-01-29_APS-017</v>
      </c>
      <c r="C62" s="10">
        <f>VLOOKUP(B62,'Run Reconcile'!A$2:B1579,2,FALSE)</f>
        <v>44225</v>
      </c>
      <c r="D62" s="14">
        <f>IFERROR(__xludf.DUMMYFUNCTION("""COMPUTED_VALUE"""),44225.0)</f>
        <v>44225</v>
      </c>
      <c r="E62" s="15">
        <f>IFERROR(__xludf.DUMMYFUNCTION("""COMPUTED_VALUE"""),0.3608217592591245)</f>
        <v>0.3608217593</v>
      </c>
      <c r="F62" s="8" t="str">
        <f>IFERROR(__xludf.DUMMYFUNCTION("""COMPUTED_VALUE"""),"Negative")</f>
        <v>Negative</v>
      </c>
      <c r="G62" s="16">
        <f>IFERROR(__xludf.DUMMYFUNCTION("""COMPUTED_VALUE"""),1.0)</f>
        <v>1</v>
      </c>
      <c r="H62" s="8" t="str">
        <f>IFERROR(__xludf.DUMMYFUNCTION("""COMPUTED_VALUE"""),"FLSP")</f>
        <v>FLSP</v>
      </c>
    </row>
    <row r="63">
      <c r="A63" s="8" t="str">
        <f>IFERROR(__xludf.DUMMYFUNCTION("""COMPUTED_VALUE"""),"C09629")</f>
        <v>C09629</v>
      </c>
      <c r="B63" s="8" t="str">
        <f>IFERROR(__xludf.DUMMYFUNCTION("""COMPUTED_VALUE"""),"RUN-FLMP_2021-01-31_APS-018")</f>
        <v>RUN-FLMP_2021-01-31_APS-018</v>
      </c>
      <c r="C63" s="10">
        <f>VLOOKUP(B63,'Run Reconcile'!A$2:B1579,2,FALSE)</f>
        <v>44227</v>
      </c>
      <c r="D63" s="14">
        <f>IFERROR(__xludf.DUMMYFUNCTION("""COMPUTED_VALUE"""),44227.0)</f>
        <v>44227</v>
      </c>
      <c r="E63" s="15">
        <f>IFERROR(__xludf.DUMMYFUNCTION("""COMPUTED_VALUE"""),0.8020486111126957)</f>
        <v>0.8020486111</v>
      </c>
      <c r="F63" s="8" t="str">
        <f>IFERROR(__xludf.DUMMYFUNCTION("""COMPUTED_VALUE"""),"Negative")</f>
        <v>Negative</v>
      </c>
      <c r="G63" s="16">
        <f>IFERROR(__xludf.DUMMYFUNCTION("""COMPUTED_VALUE"""),4.0)</f>
        <v>4</v>
      </c>
      <c r="H63" s="8" t="str">
        <f>IFERROR(__xludf.DUMMYFUNCTION("""COMPUTED_VALUE"""),"FLSP")</f>
        <v>FLSP</v>
      </c>
    </row>
    <row r="64">
      <c r="A64" s="8" t="str">
        <f>IFERROR(__xludf.DUMMYFUNCTION("""COMPUTED_VALUE"""),"360016")</f>
        <v>360016</v>
      </c>
      <c r="B64" s="8" t="str">
        <f>IFERROR(__xludf.DUMMYFUNCTION("""COMPUTED_VALUE"""),"RUN-FLMP_2021-01-31_APS-018")</f>
        <v>RUN-FLMP_2021-01-31_APS-018</v>
      </c>
      <c r="C64" s="10">
        <f>VLOOKUP(B64,'Run Reconcile'!A$2:B1579,2,FALSE)</f>
        <v>44227</v>
      </c>
      <c r="D64" s="14">
        <f>IFERROR(__xludf.DUMMYFUNCTION("""COMPUTED_VALUE"""),44227.0)</f>
        <v>44227</v>
      </c>
      <c r="E64" s="15">
        <f>IFERROR(__xludf.DUMMYFUNCTION("""COMPUTED_VALUE"""),0.8431134259262762)</f>
        <v>0.8431134259</v>
      </c>
      <c r="F64" s="8" t="str">
        <f>IFERROR(__xludf.DUMMYFUNCTION("""COMPUTED_VALUE"""),"Negative")</f>
        <v>Negative</v>
      </c>
      <c r="G64" s="16">
        <f>IFERROR(__xludf.DUMMYFUNCTION("""COMPUTED_VALUE"""),3.0)</f>
        <v>3</v>
      </c>
      <c r="H64" s="8" t="str">
        <f>IFERROR(__xludf.DUMMYFUNCTION("""COMPUTED_VALUE"""),"FLSP")</f>
        <v>FLSP</v>
      </c>
    </row>
    <row r="65">
      <c r="A65" s="8" t="str">
        <f>IFERROR(__xludf.DUMMYFUNCTION("""COMPUTED_VALUE"""),"336376")</f>
        <v>336376</v>
      </c>
      <c r="B65" s="8" t="str">
        <f>IFERROR(__xludf.DUMMYFUNCTION("""COMPUTED_VALUE"""),"RUN-FLMP_2021-01-31_APS-018")</f>
        <v>RUN-FLMP_2021-01-31_APS-018</v>
      </c>
      <c r="C65" s="10">
        <f>VLOOKUP(B65,'Run Reconcile'!A$2:B1579,2,FALSE)</f>
        <v>44227</v>
      </c>
      <c r="D65" s="14">
        <f>IFERROR(__xludf.DUMMYFUNCTION("""COMPUTED_VALUE"""),44227.0)</f>
        <v>44227</v>
      </c>
      <c r="E65" s="15">
        <f>IFERROR(__xludf.DUMMYFUNCTION("""COMPUTED_VALUE"""),0.8458449074059899)</f>
        <v>0.8458449074</v>
      </c>
      <c r="F65" s="8" t="str">
        <f>IFERROR(__xludf.DUMMYFUNCTION("""COMPUTED_VALUE"""),"Negative")</f>
        <v>Negative</v>
      </c>
      <c r="G65" s="16">
        <f>IFERROR(__xludf.DUMMYFUNCTION("""COMPUTED_VALUE"""),1.0)</f>
        <v>1</v>
      </c>
      <c r="H65" s="8" t="str">
        <f>IFERROR(__xludf.DUMMYFUNCTION("""COMPUTED_VALUE"""),"FLSP")</f>
        <v>FLSP</v>
      </c>
    </row>
    <row r="66">
      <c r="A66" s="8" t="str">
        <f>IFERROR(__xludf.DUMMYFUNCTION("""COMPUTED_VALUE"""),"360040")</f>
        <v>360040</v>
      </c>
      <c r="B66" s="8" t="str">
        <f>IFERROR(__xludf.DUMMYFUNCTION("""COMPUTED_VALUE"""),"RUN-FLMP_2021-02-01_APS-019")</f>
        <v>RUN-FLMP_2021-02-01_APS-019</v>
      </c>
      <c r="C66" s="10">
        <f>VLOOKUP(B66,'Run Reconcile'!A$2:B1579,2,FALSE)</f>
        <v>44228</v>
      </c>
      <c r="D66" s="14">
        <f>IFERROR(__xludf.DUMMYFUNCTION("""COMPUTED_VALUE"""),44228.0)</f>
        <v>44228</v>
      </c>
      <c r="E66" s="15">
        <f>IFERROR(__xludf.DUMMYFUNCTION("""COMPUTED_VALUE"""),0.3353935185186856)</f>
        <v>0.3353935185</v>
      </c>
      <c r="F66" s="8" t="str">
        <f>IFERROR(__xludf.DUMMYFUNCTION("""COMPUTED_VALUE"""),"Negative")</f>
        <v>Negative</v>
      </c>
      <c r="G66" s="16">
        <f>IFERROR(__xludf.DUMMYFUNCTION("""COMPUTED_VALUE"""),3.0)</f>
        <v>3</v>
      </c>
      <c r="H66" s="8" t="str">
        <f>IFERROR(__xludf.DUMMYFUNCTION("""COMPUTED_VALUE"""),"FLSP")</f>
        <v>FLSP</v>
      </c>
    </row>
    <row r="67">
      <c r="A67" s="8" t="str">
        <f>IFERROR(__xludf.DUMMYFUNCTION("""COMPUTED_VALUE"""),"360048")</f>
        <v>360048</v>
      </c>
      <c r="B67" s="8" t="str">
        <f>IFERROR(__xludf.DUMMYFUNCTION("""COMPUTED_VALUE"""),"RUN-FLMP_2021-02-01_APS-019")</f>
        <v>RUN-FLMP_2021-02-01_APS-019</v>
      </c>
      <c r="C67" s="10">
        <f>VLOOKUP(B67,'Run Reconcile'!A$2:B1579,2,FALSE)</f>
        <v>44228</v>
      </c>
      <c r="D67" s="14">
        <f>IFERROR(__xludf.DUMMYFUNCTION("""COMPUTED_VALUE"""),44228.0)</f>
        <v>44228</v>
      </c>
      <c r="E67" s="15">
        <f>IFERROR(__xludf.DUMMYFUNCTION("""COMPUTED_VALUE"""),0.3366898148160544)</f>
        <v>0.3366898148</v>
      </c>
      <c r="F67" s="8" t="str">
        <f>IFERROR(__xludf.DUMMYFUNCTION("""COMPUTED_VALUE"""),"Negative")</f>
        <v>Negative</v>
      </c>
      <c r="G67" s="16">
        <f>IFERROR(__xludf.DUMMYFUNCTION("""COMPUTED_VALUE"""),1.0)</f>
        <v>1</v>
      </c>
      <c r="H67" s="8" t="str">
        <f>IFERROR(__xludf.DUMMYFUNCTION("""COMPUTED_VALUE"""),"FLSP")</f>
        <v>FLSP</v>
      </c>
    </row>
    <row r="68">
      <c r="A68" s="8" t="str">
        <f>IFERROR(__xludf.DUMMYFUNCTION("""COMPUTED_VALUE"""),"360037")</f>
        <v>360037</v>
      </c>
      <c r="B68" s="8" t="str">
        <f>IFERROR(__xludf.DUMMYFUNCTION("""COMPUTED_VALUE"""),"RUN-FLMP_2021-02-01_APS-019")</f>
        <v>RUN-FLMP_2021-02-01_APS-019</v>
      </c>
      <c r="C68" s="10">
        <f>VLOOKUP(B68,'Run Reconcile'!A$2:B1579,2,FALSE)</f>
        <v>44228</v>
      </c>
      <c r="D68" s="14">
        <f>IFERROR(__xludf.DUMMYFUNCTION("""COMPUTED_VALUE"""),44228.0)</f>
        <v>44228</v>
      </c>
      <c r="E68" s="15">
        <f>IFERROR(__xludf.DUMMYFUNCTION("""COMPUTED_VALUE"""),0.34685185185298906)</f>
        <v>0.3468518519</v>
      </c>
      <c r="F68" s="8" t="str">
        <f>IFERROR(__xludf.DUMMYFUNCTION("""COMPUTED_VALUE"""),"Negative")</f>
        <v>Negative</v>
      </c>
      <c r="G68" s="16">
        <f>IFERROR(__xludf.DUMMYFUNCTION("""COMPUTED_VALUE"""),2.0)</f>
        <v>2</v>
      </c>
      <c r="H68" s="8" t="str">
        <f>IFERROR(__xludf.DUMMYFUNCTION("""COMPUTED_VALUE"""),"FLSP")</f>
        <v>FLSP</v>
      </c>
    </row>
    <row r="69">
      <c r="A69" s="8" t="str">
        <f>IFERROR(__xludf.DUMMYFUNCTION("""COMPUTED_VALUE"""),"D3924")</f>
        <v>D3924</v>
      </c>
      <c r="B69" s="8" t="str">
        <f>IFERROR(__xludf.DUMMYFUNCTION("""COMPUTED_VALUE"""),"RUN-FLMP_2021-02-01_APS-019")</f>
        <v>RUN-FLMP_2021-02-01_APS-019</v>
      </c>
      <c r="C69" s="10">
        <f>VLOOKUP(B69,'Run Reconcile'!A$2:B1579,2,FALSE)</f>
        <v>44228</v>
      </c>
      <c r="D69" s="14">
        <f>IFERROR(__xludf.DUMMYFUNCTION("""COMPUTED_VALUE"""),44228.0)</f>
        <v>44228</v>
      </c>
      <c r="E69" s="15">
        <f>IFERROR(__xludf.DUMMYFUNCTION("""COMPUTED_VALUE"""),0.35255787037021946)</f>
        <v>0.3525578704</v>
      </c>
      <c r="F69" s="8" t="str">
        <f>IFERROR(__xludf.DUMMYFUNCTION("""COMPUTED_VALUE"""),"Negative")</f>
        <v>Negative</v>
      </c>
      <c r="G69" s="16">
        <f>IFERROR(__xludf.DUMMYFUNCTION("""COMPUTED_VALUE"""),4.0)</f>
        <v>4</v>
      </c>
      <c r="H69" s="8" t="str">
        <f>IFERROR(__xludf.DUMMYFUNCTION("""COMPUTED_VALUE"""),"FLSP")</f>
        <v>FLSP</v>
      </c>
    </row>
    <row r="70">
      <c r="A70" s="8" t="str">
        <f>IFERROR(__xludf.DUMMYFUNCTION("""COMPUTED_VALUE"""),"C09612")</f>
        <v>C09612</v>
      </c>
      <c r="B70" s="8" t="str">
        <f>IFERROR(__xludf.DUMMYFUNCTION("""COMPUTED_VALUE"""),"RUN-FLMP_2021-02-04_APS-020")</f>
        <v>RUN-FLMP_2021-02-04_APS-020</v>
      </c>
      <c r="C70" s="10">
        <f>VLOOKUP(B70,'Run Reconcile'!A$2:B1579,2,FALSE)</f>
        <v>44231</v>
      </c>
      <c r="D70" s="14">
        <f>IFERROR(__xludf.DUMMYFUNCTION("""COMPUTED_VALUE"""),44231.0)</f>
        <v>44231</v>
      </c>
      <c r="E70" s="15">
        <f>IFERROR(__xludf.DUMMYFUNCTION("""COMPUTED_VALUE"""),0.7701157407391293)</f>
        <v>0.7701157407</v>
      </c>
      <c r="F70" s="8" t="str">
        <f>IFERROR(__xludf.DUMMYFUNCTION("""COMPUTED_VALUE"""),"Negative")</f>
        <v>Negative</v>
      </c>
      <c r="G70" s="16">
        <f>IFERROR(__xludf.DUMMYFUNCTION("""COMPUTED_VALUE"""),4.0)</f>
        <v>4</v>
      </c>
      <c r="H70" s="8" t="str">
        <f>IFERROR(__xludf.DUMMYFUNCTION("""COMPUTED_VALUE"""),"FLSP")</f>
        <v>FLSP</v>
      </c>
    </row>
    <row r="71">
      <c r="A71" s="8" t="str">
        <f>IFERROR(__xludf.DUMMYFUNCTION("""COMPUTED_VALUE"""),"C09615")</f>
        <v>C09615</v>
      </c>
      <c r="B71" s="8" t="str">
        <f>IFERROR(__xludf.DUMMYFUNCTION("""COMPUTED_VALUE"""),"RUN-FLMP_2021-02-04_APS-020")</f>
        <v>RUN-FLMP_2021-02-04_APS-020</v>
      </c>
      <c r="C71" s="10">
        <f>VLOOKUP(B71,'Run Reconcile'!A$2:B1579,2,FALSE)</f>
        <v>44231</v>
      </c>
      <c r="D71" s="14">
        <f>IFERROR(__xludf.DUMMYFUNCTION("""COMPUTED_VALUE"""),44231.0)</f>
        <v>44231</v>
      </c>
      <c r="E71" s="15">
        <f>IFERROR(__xludf.DUMMYFUNCTION("""COMPUTED_VALUE"""),0.7854745370386809)</f>
        <v>0.785474537</v>
      </c>
      <c r="F71" s="8" t="str">
        <f>IFERROR(__xludf.DUMMYFUNCTION("""COMPUTED_VALUE"""),"Negative")</f>
        <v>Negative</v>
      </c>
      <c r="G71" s="16">
        <f>IFERROR(__xludf.DUMMYFUNCTION("""COMPUTED_VALUE"""),4.0)</f>
        <v>4</v>
      </c>
      <c r="H71" s="8" t="str">
        <f>IFERROR(__xludf.DUMMYFUNCTION("""COMPUTED_VALUE"""),"FLSP")</f>
        <v>FLSP</v>
      </c>
    </row>
    <row r="72">
      <c r="A72" s="8" t="str">
        <f>IFERROR(__xludf.DUMMYFUNCTION("""COMPUTED_VALUE"""),"336374")</f>
        <v>336374</v>
      </c>
      <c r="B72" s="8" t="str">
        <f>IFERROR(__xludf.DUMMYFUNCTION("""COMPUTED_VALUE"""),"RUN-FLMP_2021-02-04_APS-020")</f>
        <v>RUN-FLMP_2021-02-04_APS-020</v>
      </c>
      <c r="C72" s="10">
        <f>VLOOKUP(B72,'Run Reconcile'!A$2:B1579,2,FALSE)</f>
        <v>44231</v>
      </c>
      <c r="D72" s="14">
        <f>IFERROR(__xludf.DUMMYFUNCTION("""COMPUTED_VALUE"""),44231.0)</f>
        <v>44231</v>
      </c>
      <c r="E72" s="15">
        <f>IFERROR(__xludf.DUMMYFUNCTION("""COMPUTED_VALUE"""),0.9532060185192677)</f>
        <v>0.9532060185</v>
      </c>
      <c r="F72" s="8" t="str">
        <f>IFERROR(__xludf.DUMMYFUNCTION("""COMPUTED_VALUE"""),"Negative")</f>
        <v>Negative</v>
      </c>
      <c r="G72" s="16">
        <f>IFERROR(__xludf.DUMMYFUNCTION("""COMPUTED_VALUE"""),1.0)</f>
        <v>1</v>
      </c>
      <c r="H72" s="8" t="str">
        <f>IFERROR(__xludf.DUMMYFUNCTION("""COMPUTED_VALUE"""),"FLSP")</f>
        <v>FLSP</v>
      </c>
    </row>
    <row r="73">
      <c r="A73" s="8" t="str">
        <f>IFERROR(__xludf.DUMMYFUNCTION("""COMPUTED_VALUE"""),"C09617")</f>
        <v>C09617</v>
      </c>
      <c r="B73" s="8" t="str">
        <f>IFERROR(__xludf.DUMMYFUNCTION("""COMPUTED_VALUE"""),"RUN-FLMP_2021-02-05_APS-021")</f>
        <v>RUN-FLMP_2021-02-05_APS-021</v>
      </c>
      <c r="C73" s="10">
        <f>VLOOKUP(B73,'Run Reconcile'!A$2:B1579,2,FALSE)</f>
        <v>44232</v>
      </c>
      <c r="D73" s="14">
        <f>IFERROR(__xludf.DUMMYFUNCTION("""COMPUTED_VALUE"""),44232.0)</f>
        <v>44232</v>
      </c>
      <c r="E73" s="15">
        <f>IFERROR(__xludf.DUMMYFUNCTION("""COMPUTED_VALUE"""),0.3326388888890506)</f>
        <v>0.3326388889</v>
      </c>
      <c r="F73" s="8" t="str">
        <f>IFERROR(__xludf.DUMMYFUNCTION("""COMPUTED_VALUE"""),"Negative")</f>
        <v>Negative</v>
      </c>
      <c r="G73" s="16">
        <f>IFERROR(__xludf.DUMMYFUNCTION("""COMPUTED_VALUE"""),1.0)</f>
        <v>1</v>
      </c>
      <c r="H73" s="8" t="str">
        <f>IFERROR(__xludf.DUMMYFUNCTION("""COMPUTED_VALUE"""),"FLSP")</f>
        <v>FLSP</v>
      </c>
    </row>
    <row r="74">
      <c r="A74" s="8" t="str">
        <f>IFERROR(__xludf.DUMMYFUNCTION("""COMPUTED_VALUE"""),"D3927")</f>
        <v>D3927</v>
      </c>
      <c r="B74" s="8" t="str">
        <f>IFERROR(__xludf.DUMMYFUNCTION("""COMPUTED_VALUE"""),"RUN-FLMP_2021-02-05_APS-021")</f>
        <v>RUN-FLMP_2021-02-05_APS-021</v>
      </c>
      <c r="C74" s="10">
        <f>VLOOKUP(B74,'Run Reconcile'!A$2:B1579,2,FALSE)</f>
        <v>44232</v>
      </c>
      <c r="D74" s="14">
        <f>IFERROR(__xludf.DUMMYFUNCTION("""COMPUTED_VALUE"""),44232.0)</f>
        <v>44232</v>
      </c>
      <c r="E74" s="15">
        <f>IFERROR(__xludf.DUMMYFUNCTION("""COMPUTED_VALUE"""),0.33344907407445135)</f>
        <v>0.3334490741</v>
      </c>
      <c r="F74" s="8" t="str">
        <f>IFERROR(__xludf.DUMMYFUNCTION("""COMPUTED_VALUE"""),"Negative")</f>
        <v>Negative</v>
      </c>
      <c r="G74" s="16">
        <f>IFERROR(__xludf.DUMMYFUNCTION("""COMPUTED_VALUE"""),3.0)</f>
        <v>3</v>
      </c>
      <c r="H74" s="8" t="str">
        <f>IFERROR(__xludf.DUMMYFUNCTION("""COMPUTED_VALUE"""),"FLSP")</f>
        <v>FLSP</v>
      </c>
    </row>
    <row r="75">
      <c r="A75" s="8" t="str">
        <f>IFERROR(__xludf.DUMMYFUNCTION("""COMPUTED_VALUE"""),"C09614")</f>
        <v>C09614</v>
      </c>
      <c r="B75" s="8" t="str">
        <f>IFERROR(__xludf.DUMMYFUNCTION("""COMPUTED_VALUE"""),"RUN-FLMP_2021-02-05_APS-021")</f>
        <v>RUN-FLMP_2021-02-05_APS-021</v>
      </c>
      <c r="C75" s="10">
        <f>VLOOKUP(B75,'Run Reconcile'!A$2:B1579,2,FALSE)</f>
        <v>44232</v>
      </c>
      <c r="D75" s="14">
        <f>IFERROR(__xludf.DUMMYFUNCTION("""COMPUTED_VALUE"""),44232.0)</f>
        <v>44232</v>
      </c>
      <c r="E75" s="15">
        <f>IFERROR(__xludf.DUMMYFUNCTION("""COMPUTED_VALUE"""),0.3451967592591245)</f>
        <v>0.3451967593</v>
      </c>
      <c r="F75" s="8" t="str">
        <f>IFERROR(__xludf.DUMMYFUNCTION("""COMPUTED_VALUE"""),"Negative")</f>
        <v>Negative</v>
      </c>
      <c r="G75" s="16">
        <f>IFERROR(__xludf.DUMMYFUNCTION("""COMPUTED_VALUE"""),4.0)</f>
        <v>4</v>
      </c>
      <c r="H75" s="8" t="str">
        <f>IFERROR(__xludf.DUMMYFUNCTION("""COMPUTED_VALUE"""),"FLSP")</f>
        <v>FLSP</v>
      </c>
    </row>
    <row r="76">
      <c r="A76" s="8" t="str">
        <f>IFERROR(__xludf.DUMMYFUNCTION("""COMPUTED_VALUE"""),"C09630")</f>
        <v>C09630</v>
      </c>
      <c r="B76" s="8" t="str">
        <f>IFERROR(__xludf.DUMMYFUNCTION("""COMPUTED_VALUE"""),"RUN-FLMP_2021-02-07_APS-022")</f>
        <v>RUN-FLMP_2021-02-07_APS-022</v>
      </c>
      <c r="C76" s="10">
        <f>VLOOKUP(B76,'Run Reconcile'!A$2:B1579,2,FALSE)</f>
        <v>44234</v>
      </c>
      <c r="D76" s="14">
        <f>IFERROR(__xludf.DUMMYFUNCTION("""COMPUTED_VALUE"""),44234.0)</f>
        <v>44234</v>
      </c>
      <c r="E76" s="15">
        <f>IFERROR(__xludf.DUMMYFUNCTION("""COMPUTED_VALUE"""),0.8281712962962047)</f>
        <v>0.8281712963</v>
      </c>
      <c r="F76" s="8" t="str">
        <f>IFERROR(__xludf.DUMMYFUNCTION("""COMPUTED_VALUE"""),"Negative")</f>
        <v>Negative</v>
      </c>
      <c r="G76" s="16">
        <f>IFERROR(__xludf.DUMMYFUNCTION("""COMPUTED_VALUE"""),4.0)</f>
        <v>4</v>
      </c>
      <c r="H76" s="8" t="str">
        <f>IFERROR(__xludf.DUMMYFUNCTION("""COMPUTED_VALUE"""),"FLSP")</f>
        <v>FLSP</v>
      </c>
    </row>
    <row r="77">
      <c r="A77" s="8" t="str">
        <f>IFERROR(__xludf.DUMMYFUNCTION("""COMPUTED_VALUE"""),"C09696")</f>
        <v>C09696</v>
      </c>
      <c r="B77" s="8" t="str">
        <f>IFERROR(__xludf.DUMMYFUNCTION("""COMPUTED_VALUE"""),"RUN-FLMP_2021-02-08_APS-023")</f>
        <v>RUN-FLMP_2021-02-08_APS-023</v>
      </c>
      <c r="C77" s="10">
        <f>VLOOKUP(B77,'Run Reconcile'!A$2:B1579,2,FALSE)</f>
        <v>44235</v>
      </c>
      <c r="D77" s="14">
        <f>IFERROR(__xludf.DUMMYFUNCTION("""COMPUTED_VALUE"""),44235.0)</f>
        <v>44235</v>
      </c>
      <c r="E77" s="15">
        <f>IFERROR(__xludf.DUMMYFUNCTION("""COMPUTED_VALUE"""),0.23478009259270038)</f>
        <v>0.2347800926</v>
      </c>
      <c r="F77" s="8" t="str">
        <f>IFERROR(__xludf.DUMMYFUNCTION("""COMPUTED_VALUE"""),"Negative")</f>
        <v>Negative</v>
      </c>
      <c r="G77" s="16">
        <f>IFERROR(__xludf.DUMMYFUNCTION("""COMPUTED_VALUE"""),4.0)</f>
        <v>4</v>
      </c>
      <c r="H77" s="8" t="str">
        <f>IFERROR(__xludf.DUMMYFUNCTION("""COMPUTED_VALUE"""),"FLSP")</f>
        <v>FLSP</v>
      </c>
    </row>
    <row r="78">
      <c r="A78" s="8" t="str">
        <f>IFERROR(__xludf.DUMMYFUNCTION("""COMPUTED_VALUE"""),"C09619")</f>
        <v>C09619</v>
      </c>
      <c r="B78" s="8" t="str">
        <f>IFERROR(__xludf.DUMMYFUNCTION("""COMPUTED_VALUE"""),"RUN-FLMP_2021-02-08_APS-023")</f>
        <v>RUN-FLMP_2021-02-08_APS-023</v>
      </c>
      <c r="C78" s="10">
        <f>VLOOKUP(B78,'Run Reconcile'!A$2:B1579,2,FALSE)</f>
        <v>44235</v>
      </c>
      <c r="D78" s="14">
        <f>IFERROR(__xludf.DUMMYFUNCTION("""COMPUTED_VALUE"""),44235.0)</f>
        <v>44235</v>
      </c>
      <c r="E78" s="15">
        <f>IFERROR(__xludf.DUMMYFUNCTION("""COMPUTED_VALUE"""),0.3327662037045229)</f>
        <v>0.3327662037</v>
      </c>
      <c r="F78" s="8" t="str">
        <f>IFERROR(__xludf.DUMMYFUNCTION("""COMPUTED_VALUE"""),"Negative")</f>
        <v>Negative</v>
      </c>
      <c r="G78" s="16">
        <f>IFERROR(__xludf.DUMMYFUNCTION("""COMPUTED_VALUE"""),4.0)</f>
        <v>4</v>
      </c>
      <c r="H78" s="8" t="str">
        <f>IFERROR(__xludf.DUMMYFUNCTION("""COMPUTED_VALUE"""),"FLSP")</f>
        <v>FLSP</v>
      </c>
    </row>
    <row r="79">
      <c r="A79" s="8" t="str">
        <f>IFERROR(__xludf.DUMMYFUNCTION("""COMPUTED_VALUE"""),"C09616")</f>
        <v>C09616</v>
      </c>
      <c r="B79" s="8" t="str">
        <f>IFERROR(__xludf.DUMMYFUNCTION("""COMPUTED_VALUE"""),"RUN-FLMP_2021-02-08_APS-023")</f>
        <v>RUN-FLMP_2021-02-08_APS-023</v>
      </c>
      <c r="C79" s="10">
        <f>VLOOKUP(B79,'Run Reconcile'!A$2:B1579,2,FALSE)</f>
        <v>44235</v>
      </c>
      <c r="D79" s="14">
        <f>IFERROR(__xludf.DUMMYFUNCTION("""COMPUTED_VALUE"""),44235.0)</f>
        <v>44235</v>
      </c>
      <c r="E79" s="15">
        <f>IFERROR(__xludf.DUMMYFUNCTION("""COMPUTED_VALUE"""),0.3331018518510973)</f>
        <v>0.3331018519</v>
      </c>
      <c r="F79" s="8" t="str">
        <f>IFERROR(__xludf.DUMMYFUNCTION("""COMPUTED_VALUE"""),"Negative")</f>
        <v>Negative</v>
      </c>
      <c r="G79" s="16">
        <f>IFERROR(__xludf.DUMMYFUNCTION("""COMPUTED_VALUE"""),1.0)</f>
        <v>1</v>
      </c>
      <c r="H79" s="8" t="str">
        <f>IFERROR(__xludf.DUMMYFUNCTION("""COMPUTED_VALUE"""),"FLSP")</f>
        <v>FLSP</v>
      </c>
    </row>
    <row r="80">
      <c r="A80" s="8" t="str">
        <f>IFERROR(__xludf.DUMMYFUNCTION("""COMPUTED_VALUE"""),"D3916")</f>
        <v>D3916</v>
      </c>
      <c r="B80" s="8" t="str">
        <f>IFERROR(__xludf.DUMMYFUNCTION("""COMPUTED_VALUE"""),"RUN-FLMP_2021-02-08_APS-023")</f>
        <v>RUN-FLMP_2021-02-08_APS-023</v>
      </c>
      <c r="C80" s="10">
        <f>VLOOKUP(B80,'Run Reconcile'!A$2:B1579,2,FALSE)</f>
        <v>44235</v>
      </c>
      <c r="D80" s="14">
        <f>IFERROR(__xludf.DUMMYFUNCTION("""COMPUTED_VALUE"""),44235.0)</f>
        <v>44235</v>
      </c>
      <c r="E80" s="15">
        <f>IFERROR(__xludf.DUMMYFUNCTION("""COMPUTED_VALUE"""),0.364502314816491)</f>
        <v>0.3645023148</v>
      </c>
      <c r="F80" s="8" t="str">
        <f>IFERROR(__xludf.DUMMYFUNCTION("""COMPUTED_VALUE"""),"Negative")</f>
        <v>Negative</v>
      </c>
      <c r="G80" s="16">
        <f>IFERROR(__xludf.DUMMYFUNCTION("""COMPUTED_VALUE"""),3.0)</f>
        <v>3</v>
      </c>
      <c r="H80" s="8" t="str">
        <f>IFERROR(__xludf.DUMMYFUNCTION("""COMPUTED_VALUE"""),"FLSP")</f>
        <v>FLSP</v>
      </c>
    </row>
    <row r="81">
      <c r="A81" s="8" t="str">
        <f>IFERROR(__xludf.DUMMYFUNCTION("""COMPUTED_VALUE"""),"C09700")</f>
        <v>C09700</v>
      </c>
      <c r="B81" s="8" t="str">
        <f>IFERROR(__xludf.DUMMYFUNCTION("""COMPUTED_VALUE"""),"RUN-FLMP_2021-02-09_APS-024")</f>
        <v>RUN-FLMP_2021-02-09_APS-024</v>
      </c>
      <c r="C81" s="10">
        <f>VLOOKUP(B81,'Run Reconcile'!A$2:B1579,2,FALSE)</f>
        <v>44236</v>
      </c>
      <c r="D81" s="14">
        <f>IFERROR(__xludf.DUMMYFUNCTION("""COMPUTED_VALUE"""),44236.0)</f>
        <v>44236</v>
      </c>
      <c r="E81" s="15">
        <f>IFERROR(__xludf.DUMMYFUNCTION("""COMPUTED_VALUE"""),0.7716782407405844)</f>
        <v>0.7716782407</v>
      </c>
      <c r="F81" s="8" t="str">
        <f>IFERROR(__xludf.DUMMYFUNCTION("""COMPUTED_VALUE"""),"Negative")</f>
        <v>Negative</v>
      </c>
      <c r="G81" s="16">
        <f>IFERROR(__xludf.DUMMYFUNCTION("""COMPUTED_VALUE"""),4.0)</f>
        <v>4</v>
      </c>
      <c r="H81" s="8" t="str">
        <f>IFERROR(__xludf.DUMMYFUNCTION("""COMPUTED_VALUE"""),"FLSP")</f>
        <v>FLSP</v>
      </c>
    </row>
    <row r="82">
      <c r="A82" s="8" t="str">
        <f>IFERROR(__xludf.DUMMYFUNCTION("""COMPUTED_VALUE"""),"C09692")</f>
        <v>C09692</v>
      </c>
      <c r="B82" s="8" t="str">
        <f>IFERROR(__xludf.DUMMYFUNCTION("""COMPUTED_VALUE"""),"RUN-FLMP_2021-02-09_APS-024")</f>
        <v>RUN-FLMP_2021-02-09_APS-024</v>
      </c>
      <c r="C82" s="10">
        <f>VLOOKUP(B82,'Run Reconcile'!A$2:B1579,2,FALSE)</f>
        <v>44236</v>
      </c>
      <c r="D82" s="14">
        <f>IFERROR(__xludf.DUMMYFUNCTION("""COMPUTED_VALUE"""),44236.0)</f>
        <v>44236</v>
      </c>
      <c r="E82" s="15">
        <f>IFERROR(__xludf.DUMMYFUNCTION("""COMPUTED_VALUE"""),0.8655439814829151)</f>
        <v>0.8655439815</v>
      </c>
      <c r="F82" s="8" t="str">
        <f>IFERROR(__xludf.DUMMYFUNCTION("""COMPUTED_VALUE"""),"Negative")</f>
        <v>Negative</v>
      </c>
      <c r="G82" s="16">
        <f>IFERROR(__xludf.DUMMYFUNCTION("""COMPUTED_VALUE"""),4.0)</f>
        <v>4</v>
      </c>
      <c r="H82" s="8" t="str">
        <f>IFERROR(__xludf.DUMMYFUNCTION("""COMPUTED_VALUE"""),"FLSP")</f>
        <v>FLSP</v>
      </c>
    </row>
    <row r="83">
      <c r="A83" s="8" t="str">
        <f>IFERROR(__xludf.DUMMYFUNCTION("""COMPUTED_VALUE"""),"D3929")</f>
        <v>D3929</v>
      </c>
      <c r="B83" s="8" t="str">
        <f>IFERROR(__xludf.DUMMYFUNCTION("""COMPUTED_VALUE"""),"RUN-FLMP_2021-02-10_APS-025")</f>
        <v>RUN-FLMP_2021-02-10_APS-025</v>
      </c>
      <c r="C83" s="10">
        <f>VLOOKUP(B83,'Run Reconcile'!A$2:B1579,2,FALSE)</f>
        <v>44237</v>
      </c>
      <c r="D83" s="14">
        <f>IFERROR(__xludf.DUMMYFUNCTION("""COMPUTED_VALUE"""),44237.0)</f>
        <v>44237</v>
      </c>
      <c r="E83" s="15">
        <f>IFERROR(__xludf.DUMMYFUNCTION("""COMPUTED_VALUE"""),0.3419328703712381)</f>
        <v>0.3419328704</v>
      </c>
      <c r="F83" s="8" t="str">
        <f>IFERROR(__xludf.DUMMYFUNCTION("""COMPUTED_VALUE"""),"Negative")</f>
        <v>Negative</v>
      </c>
      <c r="G83" s="16">
        <f>IFERROR(__xludf.DUMMYFUNCTION("""COMPUTED_VALUE"""),1.0)</f>
        <v>1</v>
      </c>
      <c r="H83" s="8" t="str">
        <f>IFERROR(__xludf.DUMMYFUNCTION("""COMPUTED_VALUE"""),"FLSP")</f>
        <v>FLSP</v>
      </c>
    </row>
    <row r="84">
      <c r="A84" s="8" t="str">
        <f>IFERROR(__xludf.DUMMYFUNCTION("""COMPUTED_VALUE"""),"D3915")</f>
        <v>D3915</v>
      </c>
      <c r="B84" s="8" t="str">
        <f>IFERROR(__xludf.DUMMYFUNCTION("""COMPUTED_VALUE"""),"RUN-FLMP_2021-02-10_APS-025")</f>
        <v>RUN-FLMP_2021-02-10_APS-025</v>
      </c>
      <c r="C84" s="10">
        <f>VLOOKUP(B84,'Run Reconcile'!A$2:B1579,2,FALSE)</f>
        <v>44237</v>
      </c>
      <c r="D84" s="14">
        <f>IFERROR(__xludf.DUMMYFUNCTION("""COMPUTED_VALUE"""),44237.0)</f>
        <v>44237</v>
      </c>
      <c r="E84" s="15">
        <f>IFERROR(__xludf.DUMMYFUNCTION("""COMPUTED_VALUE"""),0.35233796296233777)</f>
        <v>0.352337963</v>
      </c>
      <c r="F84" s="8" t="str">
        <f>IFERROR(__xludf.DUMMYFUNCTION("""COMPUTED_VALUE"""),"Negative")</f>
        <v>Negative</v>
      </c>
      <c r="G84" s="16">
        <f>IFERROR(__xludf.DUMMYFUNCTION("""COMPUTED_VALUE"""),3.0)</f>
        <v>3</v>
      </c>
      <c r="H84" s="8" t="str">
        <f>IFERROR(__xludf.DUMMYFUNCTION("""COMPUTED_VALUE"""),"FLSP")</f>
        <v>FLSP</v>
      </c>
    </row>
    <row r="85">
      <c r="A85" s="8" t="str">
        <f>IFERROR(__xludf.DUMMYFUNCTION("""COMPUTED_VALUE"""),"C09699")</f>
        <v>C09699</v>
      </c>
      <c r="B85" s="8" t="str">
        <f>IFERROR(__xludf.DUMMYFUNCTION("""COMPUTED_VALUE"""),"RUN-FLMP_2021-02-11_APS-026")</f>
        <v>RUN-FLMP_2021-02-11_APS-026</v>
      </c>
      <c r="C85" s="10">
        <f>VLOOKUP(B85,'Run Reconcile'!A$2:B1579,2,FALSE)</f>
        <v>44238</v>
      </c>
      <c r="D85" s="14">
        <f>IFERROR(__xludf.DUMMYFUNCTION("""COMPUTED_VALUE"""),44238.0)</f>
        <v>44238</v>
      </c>
      <c r="E85" s="15">
        <f>IFERROR(__xludf.DUMMYFUNCTION("""COMPUTED_VALUE"""),0.7697800925925549)</f>
        <v>0.7697800926</v>
      </c>
      <c r="F85" s="8" t="str">
        <f>IFERROR(__xludf.DUMMYFUNCTION("""COMPUTED_VALUE"""),"Negative")</f>
        <v>Negative</v>
      </c>
      <c r="G85" s="16">
        <f>IFERROR(__xludf.DUMMYFUNCTION("""COMPUTED_VALUE"""),4.0)</f>
        <v>4</v>
      </c>
      <c r="H85" s="8" t="str">
        <f>IFERROR(__xludf.DUMMYFUNCTION("""COMPUTED_VALUE"""),"FLSP")</f>
        <v>FLSP</v>
      </c>
    </row>
    <row r="86">
      <c r="A86" s="8" t="str">
        <f>IFERROR(__xludf.DUMMYFUNCTION("""COMPUTED_VALUE"""),"C09694")</f>
        <v>C09694</v>
      </c>
      <c r="B86" s="8" t="str">
        <f>IFERROR(__xludf.DUMMYFUNCTION("""COMPUTED_VALUE"""),"RUN-FLMP_2021-02-11_APS-026")</f>
        <v>RUN-FLMP_2021-02-11_APS-026</v>
      </c>
      <c r="C86" s="10">
        <f>VLOOKUP(B86,'Run Reconcile'!A$2:B1579,2,FALSE)</f>
        <v>44238</v>
      </c>
      <c r="D86" s="14">
        <f>IFERROR(__xludf.DUMMYFUNCTION("""COMPUTED_VALUE"""),44238.0)</f>
        <v>44238</v>
      </c>
      <c r="E86" s="15">
        <f>IFERROR(__xludf.DUMMYFUNCTION("""COMPUTED_VALUE"""),0.8862962962957681)</f>
        <v>0.8862962963</v>
      </c>
      <c r="F86" s="8" t="str">
        <f>IFERROR(__xludf.DUMMYFUNCTION("""COMPUTED_VALUE"""),"Negative")</f>
        <v>Negative</v>
      </c>
      <c r="G86" s="16">
        <f>IFERROR(__xludf.DUMMYFUNCTION("""COMPUTED_VALUE"""),4.0)</f>
        <v>4</v>
      </c>
      <c r="H86" s="8" t="str">
        <f>IFERROR(__xludf.DUMMYFUNCTION("""COMPUTED_VALUE"""),"FLSP")</f>
        <v>FLSP</v>
      </c>
    </row>
    <row r="87">
      <c r="A87" s="8" t="str">
        <f>IFERROR(__xludf.DUMMYFUNCTION("""COMPUTED_VALUE"""),"C09618")</f>
        <v>C09618</v>
      </c>
      <c r="B87" s="8" t="str">
        <f>IFERROR(__xludf.DUMMYFUNCTION("""COMPUTED_VALUE"""),"RUN-FLMP_2021-02-12_APS-027")</f>
        <v>RUN-FLMP_2021-02-12_APS-027</v>
      </c>
      <c r="C87" s="10">
        <f>VLOOKUP(B87,'Run Reconcile'!A$2:B1579,2,FALSE)</f>
        <v>44239</v>
      </c>
      <c r="D87" s="14">
        <f>IFERROR(__xludf.DUMMYFUNCTION("""COMPUTED_VALUE"""),44239.0)</f>
        <v>44239</v>
      </c>
      <c r="E87" s="15">
        <f>IFERROR(__xludf.DUMMYFUNCTION("""COMPUTED_VALUE"""),0.3378356481480296)</f>
        <v>0.3378356481</v>
      </c>
      <c r="F87" s="8" t="str">
        <f>IFERROR(__xludf.DUMMYFUNCTION("""COMPUTED_VALUE"""),"Negative")</f>
        <v>Negative</v>
      </c>
      <c r="G87" s="16">
        <f>IFERROR(__xludf.DUMMYFUNCTION("""COMPUTED_VALUE"""),4.0)</f>
        <v>4</v>
      </c>
      <c r="H87" s="8" t="str">
        <f>IFERROR(__xludf.DUMMYFUNCTION("""COMPUTED_VALUE"""),"FLSP")</f>
        <v>FLSP</v>
      </c>
    </row>
    <row r="88">
      <c r="A88" s="8" t="str">
        <f>IFERROR(__xludf.DUMMYFUNCTION("""COMPUTED_VALUE"""),"D3917")</f>
        <v>D3917</v>
      </c>
      <c r="B88" s="8" t="str">
        <f>IFERROR(__xludf.DUMMYFUNCTION("""COMPUTED_VALUE"""),"RUN-FLMP_2021-02-12_APS-027")</f>
        <v>RUN-FLMP_2021-02-12_APS-027</v>
      </c>
      <c r="C88" s="10">
        <f>VLOOKUP(B88,'Run Reconcile'!A$2:B1579,2,FALSE)</f>
        <v>44239</v>
      </c>
      <c r="D88" s="14">
        <f>IFERROR(__xludf.DUMMYFUNCTION("""COMPUTED_VALUE"""),44239.0)</f>
        <v>44239</v>
      </c>
      <c r="E88" s="15">
        <f>IFERROR(__xludf.DUMMYFUNCTION("""COMPUTED_VALUE"""),0.3442939814813144)</f>
        <v>0.3442939815</v>
      </c>
      <c r="F88" s="8" t="str">
        <f>IFERROR(__xludf.DUMMYFUNCTION("""COMPUTED_VALUE"""),"Negative")</f>
        <v>Negative</v>
      </c>
      <c r="G88" s="16">
        <f>IFERROR(__xludf.DUMMYFUNCTION("""COMPUTED_VALUE"""),3.0)</f>
        <v>3</v>
      </c>
      <c r="H88" s="8" t="str">
        <f>IFERROR(__xludf.DUMMYFUNCTION("""COMPUTED_VALUE"""),"FLSP")</f>
        <v>FLSP</v>
      </c>
    </row>
    <row r="89">
      <c r="A89" s="8" t="str">
        <f>IFERROR(__xludf.DUMMYFUNCTION("""COMPUTED_VALUE"""),"D3981")</f>
        <v>D3981</v>
      </c>
      <c r="B89" s="8" t="str">
        <f>IFERROR(__xludf.DUMMYFUNCTION("""COMPUTED_VALUE"""),"RUN-FLMP_2021-02-12_APS-027")</f>
        <v>RUN-FLMP_2021-02-12_APS-027</v>
      </c>
      <c r="C89" s="10">
        <f>VLOOKUP(B89,'Run Reconcile'!A$2:B1579,2,FALSE)</f>
        <v>44239</v>
      </c>
      <c r="D89" s="14">
        <f>IFERROR(__xludf.DUMMYFUNCTION("""COMPUTED_VALUE"""),44239.0)</f>
        <v>44239</v>
      </c>
      <c r="E89" s="15">
        <f>IFERROR(__xludf.DUMMYFUNCTION("""COMPUTED_VALUE"""),0.3489004629627743)</f>
        <v>0.348900463</v>
      </c>
      <c r="F89" s="8" t="str">
        <f>IFERROR(__xludf.DUMMYFUNCTION("""COMPUTED_VALUE"""),"Negative")</f>
        <v>Negative</v>
      </c>
      <c r="G89" s="16">
        <f>IFERROR(__xludf.DUMMYFUNCTION("""COMPUTED_VALUE"""),1.0)</f>
        <v>1</v>
      </c>
      <c r="H89" s="8" t="str">
        <f>IFERROR(__xludf.DUMMYFUNCTION("""COMPUTED_VALUE"""),"FLSP")</f>
        <v>FLSP</v>
      </c>
    </row>
    <row r="90">
      <c r="A90" s="8" t="str">
        <f>IFERROR(__xludf.DUMMYFUNCTION("""COMPUTED_VALUE"""),"C09676")</f>
        <v>C09676</v>
      </c>
      <c r="B90" s="8" t="str">
        <f>IFERROR(__xludf.DUMMYFUNCTION("""COMPUTED_VALUE"""),"RUN-FLMP_2021-02-16_APS-028")</f>
        <v>RUN-FLMP_2021-02-16_APS-028</v>
      </c>
      <c r="C90" s="10">
        <f>VLOOKUP(B90,'Run Reconcile'!A$2:B1579,2,FALSE)</f>
        <v>44243</v>
      </c>
      <c r="D90" s="14">
        <f>IFERROR(__xludf.DUMMYFUNCTION("""COMPUTED_VALUE"""),44243.0)</f>
        <v>44243</v>
      </c>
      <c r="E90" s="15">
        <f>IFERROR(__xludf.DUMMYFUNCTION("""COMPUTED_VALUE"""),0.3416087962978054)</f>
        <v>0.3416087963</v>
      </c>
      <c r="F90" s="8" t="str">
        <f>IFERROR(__xludf.DUMMYFUNCTION("""COMPUTED_VALUE"""),"Negative")</f>
        <v>Negative</v>
      </c>
      <c r="G90" s="16">
        <f>IFERROR(__xludf.DUMMYFUNCTION("""COMPUTED_VALUE"""),3.0)</f>
        <v>3</v>
      </c>
      <c r="H90" s="8" t="str">
        <f>IFERROR(__xludf.DUMMYFUNCTION("""COMPUTED_VALUE"""),"FLSP")</f>
        <v>FLSP</v>
      </c>
    </row>
    <row r="91">
      <c r="A91" s="8" t="str">
        <f>IFERROR(__xludf.DUMMYFUNCTION("""COMPUTED_VALUE"""),"FL1217")</f>
        <v>FL1217</v>
      </c>
      <c r="B91" s="8" t="str">
        <f>IFERROR(__xludf.DUMMYFUNCTION("""COMPUTED_VALUE"""),"RUN-FLMP_2021-02-16_APS-028")</f>
        <v>RUN-FLMP_2021-02-16_APS-028</v>
      </c>
      <c r="C91" s="10">
        <f>VLOOKUP(B91,'Run Reconcile'!A$2:B1579,2,FALSE)</f>
        <v>44243</v>
      </c>
      <c r="D91" s="14">
        <f>IFERROR(__xludf.DUMMYFUNCTION("""COMPUTED_VALUE"""),44243.0)</f>
        <v>44243</v>
      </c>
      <c r="E91" s="15">
        <f>IFERROR(__xludf.DUMMYFUNCTION("""COMPUTED_VALUE"""),0.3531944444439432)</f>
        <v>0.3531944444</v>
      </c>
      <c r="F91" s="8" t="str">
        <f>IFERROR(__xludf.DUMMYFUNCTION("""COMPUTED_VALUE"""),"Negative")</f>
        <v>Negative</v>
      </c>
      <c r="G91" s="16">
        <f>IFERROR(__xludf.DUMMYFUNCTION("""COMPUTED_VALUE"""),3.0)</f>
        <v>3</v>
      </c>
      <c r="H91" s="8" t="str">
        <f>IFERROR(__xludf.DUMMYFUNCTION("""COMPUTED_VALUE"""),"FLSP")</f>
        <v>FLSP</v>
      </c>
    </row>
    <row r="92">
      <c r="A92" s="8" t="str">
        <f>IFERROR(__xludf.DUMMYFUNCTION("""COMPUTED_VALUE"""),"D3920")</f>
        <v>D3920</v>
      </c>
      <c r="B92" s="8" t="str">
        <f>IFERROR(__xludf.DUMMYFUNCTION("""COMPUTED_VALUE"""),"RUN-FLMP_2021-02-21_APS-029")</f>
        <v>RUN-FLMP_2021-02-21_APS-029</v>
      </c>
      <c r="C92" s="10">
        <f>VLOOKUP(B92,'Run Reconcile'!A$2:B1579,2,FALSE)</f>
        <v>44248</v>
      </c>
      <c r="D92" s="14">
        <f>IFERROR(__xludf.DUMMYFUNCTION("""COMPUTED_VALUE"""),44248.0)</f>
        <v>44248</v>
      </c>
      <c r="E92" s="15">
        <f>IFERROR(__xludf.DUMMYFUNCTION("""COMPUTED_VALUE"""),0.8456365740748879)</f>
        <v>0.8456365741</v>
      </c>
      <c r="F92" s="8" t="str">
        <f>IFERROR(__xludf.DUMMYFUNCTION("""COMPUTED_VALUE"""),"Negative")</f>
        <v>Negative</v>
      </c>
      <c r="G92" s="16">
        <f>IFERROR(__xludf.DUMMYFUNCTION("""COMPUTED_VALUE"""),4.0)</f>
        <v>4</v>
      </c>
      <c r="H92" s="8" t="str">
        <f>IFERROR(__xludf.DUMMYFUNCTION("""COMPUTED_VALUE"""),"FLSP")</f>
        <v>FLSP</v>
      </c>
    </row>
    <row r="93">
      <c r="A93" s="8" t="str">
        <f>IFERROR(__xludf.DUMMYFUNCTION("""COMPUTED_VALUE"""),"C09691")</f>
        <v>C09691</v>
      </c>
      <c r="B93" s="8" t="str">
        <f>IFERROR(__xludf.DUMMYFUNCTION("""COMPUTED_VALUE"""),"RUN-FLMP_2021-02-21_APS-029")</f>
        <v>RUN-FLMP_2021-02-21_APS-029</v>
      </c>
      <c r="C93" s="10">
        <f>VLOOKUP(B93,'Run Reconcile'!A$2:B1579,2,FALSE)</f>
        <v>44248</v>
      </c>
      <c r="D93" s="14">
        <f>IFERROR(__xludf.DUMMYFUNCTION("""COMPUTED_VALUE"""),44248.0)</f>
        <v>44248</v>
      </c>
      <c r="E93" s="15">
        <f>IFERROR(__xludf.DUMMYFUNCTION("""COMPUTED_VALUE"""),0.8863194444456894)</f>
        <v>0.8863194444</v>
      </c>
      <c r="F93" s="8" t="str">
        <f>IFERROR(__xludf.DUMMYFUNCTION("""COMPUTED_VALUE"""),"Negative")</f>
        <v>Negative</v>
      </c>
      <c r="G93" s="16">
        <f>IFERROR(__xludf.DUMMYFUNCTION("""COMPUTED_VALUE"""),4.0)</f>
        <v>4</v>
      </c>
      <c r="H93" s="8" t="str">
        <f>IFERROR(__xludf.DUMMYFUNCTION("""COMPUTED_VALUE"""),"FLSP")</f>
        <v>FLSP</v>
      </c>
    </row>
    <row r="94">
      <c r="A94" s="8" t="str">
        <f>IFERROR(__xludf.DUMMYFUNCTION("""COMPUTED_VALUE"""),"C09671")</f>
        <v>C09671</v>
      </c>
      <c r="B94" s="8" t="str">
        <f>IFERROR(__xludf.DUMMYFUNCTION("""COMPUTED_VALUE"""),"RUN-FLMP_2021-02-22_APS-030")</f>
        <v>RUN-FLMP_2021-02-22_APS-030</v>
      </c>
      <c r="C94" s="10">
        <f>VLOOKUP(B94,'Run Reconcile'!A$2:B1579,2,FALSE)</f>
        <v>44249</v>
      </c>
      <c r="D94" s="14">
        <f>IFERROR(__xludf.DUMMYFUNCTION("""COMPUTED_VALUE"""),44249.0)</f>
        <v>44249</v>
      </c>
      <c r="E94" s="15">
        <f>IFERROR(__xludf.DUMMYFUNCTION("""COMPUTED_VALUE"""),0.3314236111109494)</f>
        <v>0.3314236111</v>
      </c>
      <c r="F94" s="8" t="str">
        <f>IFERROR(__xludf.DUMMYFUNCTION("""COMPUTED_VALUE"""),"Negative")</f>
        <v>Negative</v>
      </c>
      <c r="G94" s="16">
        <f>IFERROR(__xludf.DUMMYFUNCTION("""COMPUTED_VALUE"""),3.0)</f>
        <v>3</v>
      </c>
      <c r="H94" s="8" t="str">
        <f>IFERROR(__xludf.DUMMYFUNCTION("""COMPUTED_VALUE"""),"FLSP")</f>
        <v>FLSP</v>
      </c>
    </row>
    <row r="95">
      <c r="A95" s="8" t="str">
        <f>IFERROR(__xludf.DUMMYFUNCTION("""COMPUTED_VALUE"""),"C09675")</f>
        <v>C09675</v>
      </c>
      <c r="B95" s="8" t="str">
        <f>IFERROR(__xludf.DUMMYFUNCTION("""COMPUTED_VALUE"""),"RUN-FLMP_2021-02-22_APS-030")</f>
        <v>RUN-FLMP_2021-02-22_APS-030</v>
      </c>
      <c r="C95" s="10">
        <f>VLOOKUP(B95,'Run Reconcile'!A$2:B1579,2,FALSE)</f>
        <v>44249</v>
      </c>
      <c r="D95" s="14">
        <f>IFERROR(__xludf.DUMMYFUNCTION("""COMPUTED_VALUE"""),44249.0)</f>
        <v>44249</v>
      </c>
      <c r="E95" s="15">
        <f>IFERROR(__xludf.DUMMYFUNCTION("""COMPUTED_VALUE"""),0.3320023148153268)</f>
        <v>0.3320023148</v>
      </c>
      <c r="F95" s="8" t="str">
        <f>IFERROR(__xludf.DUMMYFUNCTION("""COMPUTED_VALUE"""),"Negative")</f>
        <v>Negative</v>
      </c>
      <c r="G95" s="16">
        <f>IFERROR(__xludf.DUMMYFUNCTION("""COMPUTED_VALUE"""),2.0)</f>
        <v>2</v>
      </c>
      <c r="H95" s="8" t="str">
        <f>IFERROR(__xludf.DUMMYFUNCTION("""COMPUTED_VALUE"""),"FLSP")</f>
        <v>FLSP</v>
      </c>
    </row>
    <row r="96">
      <c r="A96" s="8" t="str">
        <f>IFERROR(__xludf.DUMMYFUNCTION("""COMPUTED_VALUE"""),"T1200")</f>
        <v>T1200</v>
      </c>
      <c r="B96" s="8" t="str">
        <f>IFERROR(__xludf.DUMMYFUNCTION("""COMPUTED_VALUE"""),"RUN-FLMP_2021-02-22_APS-030")</f>
        <v>RUN-FLMP_2021-02-22_APS-030</v>
      </c>
      <c r="C96" s="10">
        <f>VLOOKUP(B96,'Run Reconcile'!A$2:B1579,2,FALSE)</f>
        <v>44249</v>
      </c>
      <c r="D96" s="14">
        <f>IFERROR(__xludf.DUMMYFUNCTION("""COMPUTED_VALUE"""),44249.0)</f>
        <v>44249</v>
      </c>
      <c r="E96" s="15">
        <f>IFERROR(__xludf.DUMMYFUNCTION("""COMPUTED_VALUE"""),0.3477777777770825)</f>
        <v>0.3477777778</v>
      </c>
      <c r="F96" s="8" t="str">
        <f>IFERROR(__xludf.DUMMYFUNCTION("""COMPUTED_VALUE"""),"Negative")</f>
        <v>Negative</v>
      </c>
      <c r="G96" s="16">
        <f>IFERROR(__xludf.DUMMYFUNCTION("""COMPUTED_VALUE"""),4.0)</f>
        <v>4</v>
      </c>
      <c r="H96" s="8" t="str">
        <f>IFERROR(__xludf.DUMMYFUNCTION("""COMPUTED_VALUE"""),"FLSP")</f>
        <v>FLSP</v>
      </c>
    </row>
    <row r="97">
      <c r="A97" s="8" t="str">
        <f>IFERROR(__xludf.DUMMYFUNCTION("""COMPUTED_VALUE"""),"D3919")</f>
        <v>D3919</v>
      </c>
      <c r="B97" s="8" t="str">
        <f>IFERROR(__xludf.DUMMYFUNCTION("""COMPUTED_VALUE"""),"RUN-FLMP_2021-02-23_APS-031")</f>
        <v>RUN-FLMP_2021-02-23_APS-031</v>
      </c>
      <c r="C97" s="10">
        <f>VLOOKUP(B97,'Run Reconcile'!A$2:B1579,2,FALSE)</f>
        <v>44250</v>
      </c>
      <c r="D97" s="14">
        <f>IFERROR(__xludf.DUMMYFUNCTION("""COMPUTED_VALUE"""),44250.0)</f>
        <v>44250</v>
      </c>
      <c r="E97" s="15">
        <f>IFERROR(__xludf.DUMMYFUNCTION("""COMPUTED_VALUE"""),0.8303356481483206)</f>
        <v>0.8303356481</v>
      </c>
      <c r="F97" s="8" t="str">
        <f>IFERROR(__xludf.DUMMYFUNCTION("""COMPUTED_VALUE"""),"Negative")</f>
        <v>Negative</v>
      </c>
      <c r="G97" s="16">
        <f>IFERROR(__xludf.DUMMYFUNCTION("""COMPUTED_VALUE"""),3.0)</f>
        <v>3</v>
      </c>
      <c r="H97" s="8" t="str">
        <f>IFERROR(__xludf.DUMMYFUNCTION("""COMPUTED_VALUE"""),"FLSP")</f>
        <v>FLSP</v>
      </c>
    </row>
    <row r="98">
      <c r="A98" s="8" t="str">
        <f>IFERROR(__xludf.DUMMYFUNCTION("""COMPUTED_VALUE"""),"C09697")</f>
        <v>C09697</v>
      </c>
      <c r="B98" s="8" t="str">
        <f>IFERROR(__xludf.DUMMYFUNCTION("""COMPUTED_VALUE"""),"RUN-FLMP_2021-02-23_APS-031")</f>
        <v>RUN-FLMP_2021-02-23_APS-031</v>
      </c>
      <c r="C98" s="10">
        <f>VLOOKUP(B98,'Run Reconcile'!A$2:B1579,2,FALSE)</f>
        <v>44250</v>
      </c>
      <c r="D98" s="14">
        <f>IFERROR(__xludf.DUMMYFUNCTION("""COMPUTED_VALUE"""),44250.0)</f>
        <v>44250</v>
      </c>
      <c r="E98" s="15">
        <f>IFERROR(__xludf.DUMMYFUNCTION("""COMPUTED_VALUE"""),0.9032291666662786)</f>
        <v>0.9032291667</v>
      </c>
      <c r="F98" s="8" t="str">
        <f>IFERROR(__xludf.DUMMYFUNCTION("""COMPUTED_VALUE"""),"Negative")</f>
        <v>Negative</v>
      </c>
      <c r="G98" s="16">
        <f>IFERROR(__xludf.DUMMYFUNCTION("""COMPUTED_VALUE"""),4.0)</f>
        <v>4</v>
      </c>
      <c r="H98" s="8" t="str">
        <f>IFERROR(__xludf.DUMMYFUNCTION("""COMPUTED_VALUE"""),"FLSP")</f>
        <v>FLSP</v>
      </c>
    </row>
    <row r="99">
      <c r="A99" s="8" t="str">
        <f>IFERROR(__xludf.DUMMYFUNCTION("""COMPUTED_VALUE"""),"C09674")</f>
        <v>C09674</v>
      </c>
      <c r="B99" s="8" t="str">
        <f>IFERROR(__xludf.DUMMYFUNCTION("""COMPUTED_VALUE"""),"RUN-FLMP_2021-02-24_APS-032")</f>
        <v>RUN-FLMP_2021-02-24_APS-032</v>
      </c>
      <c r="C99" s="10">
        <f>VLOOKUP(B99,'Run Reconcile'!A$2:B1579,2,FALSE)</f>
        <v>44251</v>
      </c>
      <c r="D99" s="14">
        <f>IFERROR(__xludf.DUMMYFUNCTION("""COMPUTED_VALUE"""),44251.0)</f>
        <v>44251</v>
      </c>
      <c r="E99" s="15">
        <f>IFERROR(__xludf.DUMMYFUNCTION("""COMPUTED_VALUE"""),0.3353124999994179)</f>
        <v>0.3353125</v>
      </c>
      <c r="F99" s="8" t="str">
        <f>IFERROR(__xludf.DUMMYFUNCTION("""COMPUTED_VALUE"""),"Negative")</f>
        <v>Negative</v>
      </c>
      <c r="G99" s="16">
        <f>IFERROR(__xludf.DUMMYFUNCTION("""COMPUTED_VALUE"""),2.0)</f>
        <v>2</v>
      </c>
      <c r="H99" s="8" t="str">
        <f>IFERROR(__xludf.DUMMYFUNCTION("""COMPUTED_VALUE"""),"FLSP")</f>
        <v>FLSP</v>
      </c>
    </row>
    <row r="100">
      <c r="A100" s="8" t="str">
        <f>IFERROR(__xludf.DUMMYFUNCTION("""COMPUTED_VALUE"""),"D3989")</f>
        <v>D3989</v>
      </c>
      <c r="B100" s="8" t="str">
        <f>IFERROR(__xludf.DUMMYFUNCTION("""COMPUTED_VALUE"""),"RUN-FLMP_2021-02-24_APS-032")</f>
        <v>RUN-FLMP_2021-02-24_APS-032</v>
      </c>
      <c r="C100" s="10">
        <f>VLOOKUP(B100,'Run Reconcile'!A$2:B1579,2,FALSE)</f>
        <v>44251</v>
      </c>
      <c r="D100" s="14">
        <f>IFERROR(__xludf.DUMMYFUNCTION("""COMPUTED_VALUE"""),44251.0)</f>
        <v>44251</v>
      </c>
      <c r="E100" s="15">
        <f>IFERROR(__xludf.DUMMYFUNCTION("""COMPUTED_VALUE"""),0.3357870370382443)</f>
        <v>0.335787037</v>
      </c>
      <c r="F100" s="8" t="str">
        <f>IFERROR(__xludf.DUMMYFUNCTION("""COMPUTED_VALUE"""),"Negative")</f>
        <v>Negative</v>
      </c>
      <c r="G100" s="16">
        <f>IFERROR(__xludf.DUMMYFUNCTION("""COMPUTED_VALUE"""),1.0)</f>
        <v>1</v>
      </c>
      <c r="H100" s="8" t="str">
        <f>IFERROR(__xludf.DUMMYFUNCTION("""COMPUTED_VALUE"""),"FLSP")</f>
        <v>FLSP</v>
      </c>
    </row>
    <row r="101">
      <c r="A101" s="8" t="str">
        <f>IFERROR(__xludf.DUMMYFUNCTION("""COMPUTED_VALUE"""),"D3988")</f>
        <v>D3988</v>
      </c>
      <c r="B101" s="8" t="str">
        <f>IFERROR(__xludf.DUMMYFUNCTION("""COMPUTED_VALUE"""),"RUN-FLMP_2021-02-24_APS-032")</f>
        <v>RUN-FLMP_2021-02-24_APS-032</v>
      </c>
      <c r="C101" s="10">
        <f>VLOOKUP(B101,'Run Reconcile'!A$2:B1579,2,FALSE)</f>
        <v>44251</v>
      </c>
      <c r="D101" s="14">
        <f>IFERROR(__xludf.DUMMYFUNCTION("""COMPUTED_VALUE"""),44251.0)</f>
        <v>44251</v>
      </c>
      <c r="E101" s="15">
        <f>IFERROR(__xludf.DUMMYFUNCTION("""COMPUTED_VALUE"""),0.3372569444436522)</f>
        <v>0.3372569444</v>
      </c>
      <c r="F101" s="8" t="str">
        <f>IFERROR(__xludf.DUMMYFUNCTION("""COMPUTED_VALUE"""),"Negative")</f>
        <v>Negative</v>
      </c>
      <c r="G101" s="16">
        <f>IFERROR(__xludf.DUMMYFUNCTION("""COMPUTED_VALUE"""),1.0)</f>
        <v>1</v>
      </c>
      <c r="H101" s="8" t="str">
        <f>IFERROR(__xludf.DUMMYFUNCTION("""COMPUTED_VALUE"""),"FLSP")</f>
        <v>FLSP</v>
      </c>
    </row>
    <row r="102">
      <c r="A102" s="8" t="str">
        <f>IFERROR(__xludf.DUMMYFUNCTION("""COMPUTED_VALUE"""),"T1222")</f>
        <v>T1222</v>
      </c>
      <c r="B102" s="8" t="str">
        <f>IFERROR(__xludf.DUMMYFUNCTION("""COMPUTED_VALUE"""),"RUN-FLMP_2021-02-24_APS-032")</f>
        <v>RUN-FLMP_2021-02-24_APS-032</v>
      </c>
      <c r="C102" s="10">
        <f>VLOOKUP(B102,'Run Reconcile'!A$2:B1579,2,FALSE)</f>
        <v>44251</v>
      </c>
      <c r="D102" s="14">
        <f>IFERROR(__xludf.DUMMYFUNCTION("""COMPUTED_VALUE"""),44251.0)</f>
        <v>44251</v>
      </c>
      <c r="E102" s="15">
        <f>IFERROR(__xludf.DUMMYFUNCTION("""COMPUTED_VALUE"""),0.3418287037020491)</f>
        <v>0.3418287037</v>
      </c>
      <c r="F102" s="8" t="str">
        <f>IFERROR(__xludf.DUMMYFUNCTION("""COMPUTED_VALUE"""),"Negative")</f>
        <v>Negative</v>
      </c>
      <c r="G102" s="16">
        <f>IFERROR(__xludf.DUMMYFUNCTION("""COMPUTED_VALUE"""),4.0)</f>
        <v>4</v>
      </c>
      <c r="H102" s="8" t="str">
        <f>IFERROR(__xludf.DUMMYFUNCTION("""COMPUTED_VALUE"""),"FLSP")</f>
        <v>FLSP</v>
      </c>
    </row>
    <row r="103">
      <c r="A103" s="8" t="str">
        <f>IFERROR(__xludf.DUMMYFUNCTION("""COMPUTED_VALUE"""),"D3971")</f>
        <v>D3971</v>
      </c>
      <c r="B103" s="8" t="str">
        <f>IFERROR(__xludf.DUMMYFUNCTION("""COMPUTED_VALUE"""),"RUN-FLMP_2021-03-02_APS-033")</f>
        <v>RUN-FLMP_2021-03-02_APS-033</v>
      </c>
      <c r="C103" s="10">
        <f>VLOOKUP(B103,'Run Reconcile'!A$2:B1579,2,FALSE)</f>
        <v>44257</v>
      </c>
      <c r="D103" s="14">
        <f>IFERROR(__xludf.DUMMYFUNCTION("""COMPUTED_VALUE"""),44257.0)</f>
        <v>44257</v>
      </c>
      <c r="E103" s="15">
        <f>IFERROR(__xludf.DUMMYFUNCTION("""COMPUTED_VALUE"""),0.7287615740751789)</f>
        <v>0.7287615741</v>
      </c>
      <c r="F103" s="8" t="str">
        <f>IFERROR(__xludf.DUMMYFUNCTION("""COMPUTED_VALUE"""),"Negative")</f>
        <v>Negative</v>
      </c>
      <c r="G103" s="16">
        <f>IFERROR(__xludf.DUMMYFUNCTION("""COMPUTED_VALUE"""),4.0)</f>
        <v>4</v>
      </c>
      <c r="H103" s="8" t="str">
        <f>IFERROR(__xludf.DUMMYFUNCTION("""COMPUTED_VALUE"""),"FLSP")</f>
        <v>FLSP</v>
      </c>
    </row>
    <row r="104">
      <c r="A104" s="8" t="str">
        <f>IFERROR(__xludf.DUMMYFUNCTION("""COMPUTED_VALUE"""),"T1229")</f>
        <v>T1229</v>
      </c>
      <c r="B104" s="8" t="str">
        <f>IFERROR(__xludf.DUMMYFUNCTION("""COMPUTED_VALUE"""),"RUN-FLMP_2021-03-02_APS-033")</f>
        <v>RUN-FLMP_2021-03-02_APS-033</v>
      </c>
      <c r="C104" s="10">
        <f>VLOOKUP(B104,'Run Reconcile'!A$2:B1579,2,FALSE)</f>
        <v>44257</v>
      </c>
      <c r="D104" s="14">
        <f>IFERROR(__xludf.DUMMYFUNCTION("""COMPUTED_VALUE"""),44257.0)</f>
        <v>44257</v>
      </c>
      <c r="E104" s="15">
        <f>IFERROR(__xludf.DUMMYFUNCTION("""COMPUTED_VALUE"""),0.8986689814810234)</f>
        <v>0.8986689815</v>
      </c>
      <c r="F104" s="8" t="str">
        <f>IFERROR(__xludf.DUMMYFUNCTION("""COMPUTED_VALUE"""),"Negative")</f>
        <v>Negative</v>
      </c>
      <c r="G104" s="16">
        <f>IFERROR(__xludf.DUMMYFUNCTION("""COMPUTED_VALUE"""),4.0)</f>
        <v>4</v>
      </c>
      <c r="H104" s="8" t="str">
        <f>IFERROR(__xludf.DUMMYFUNCTION("""COMPUTED_VALUE"""),"FLSP")</f>
        <v>FLSP</v>
      </c>
    </row>
    <row r="105">
      <c r="A105" s="8" t="str">
        <f>IFERROR(__xludf.DUMMYFUNCTION("""COMPUTED_VALUE"""),"T1212")</f>
        <v>T1212</v>
      </c>
      <c r="B105" s="8" t="str">
        <f>IFERROR(__xludf.DUMMYFUNCTION("""COMPUTED_VALUE"""),"RUN-FLMP_2021-03-03_APS-034")</f>
        <v>RUN-FLMP_2021-03-03_APS-034</v>
      </c>
      <c r="C105" s="10">
        <f>VLOOKUP(B105,'Run Reconcile'!A$2:B1579,2,FALSE)</f>
        <v>44258</v>
      </c>
      <c r="D105" s="14">
        <f>IFERROR(__xludf.DUMMYFUNCTION("""COMPUTED_VALUE"""),44258.0)</f>
        <v>44258</v>
      </c>
      <c r="E105" s="15">
        <f>IFERROR(__xludf.DUMMYFUNCTION("""COMPUTED_VALUE"""),0.33623842592714936)</f>
        <v>0.3362384259</v>
      </c>
      <c r="F105" s="8" t="str">
        <f>IFERROR(__xludf.DUMMYFUNCTION("""COMPUTED_VALUE"""),"Negative")</f>
        <v>Negative</v>
      </c>
      <c r="G105" s="16">
        <f>IFERROR(__xludf.DUMMYFUNCTION("""COMPUTED_VALUE"""),4.0)</f>
        <v>4</v>
      </c>
      <c r="H105" s="8" t="str">
        <f>IFERROR(__xludf.DUMMYFUNCTION("""COMPUTED_VALUE"""),"FLSP")</f>
        <v>FLSP</v>
      </c>
    </row>
    <row r="106">
      <c r="A106" s="8" t="str">
        <f>IFERROR(__xludf.DUMMYFUNCTION("""COMPUTED_VALUE"""),"T1204")</f>
        <v>T1204</v>
      </c>
      <c r="B106" s="8" t="str">
        <f>IFERROR(__xludf.DUMMYFUNCTION("""COMPUTED_VALUE"""),"RUN-FLMP_2021-03-03_APS-034")</f>
        <v>RUN-FLMP_2021-03-03_APS-034</v>
      </c>
      <c r="C106" s="10">
        <f>VLOOKUP(B106,'Run Reconcile'!A$2:B1579,2,FALSE)</f>
        <v>44258</v>
      </c>
      <c r="D106" s="14">
        <f>IFERROR(__xludf.DUMMYFUNCTION("""COMPUTED_VALUE"""),44258.0)</f>
        <v>44258</v>
      </c>
      <c r="E106" s="15">
        <f>IFERROR(__xludf.DUMMYFUNCTION("""COMPUTED_VALUE"""),0.3365856481468654)</f>
        <v>0.3365856481</v>
      </c>
      <c r="F106" s="8" t="str">
        <f>IFERROR(__xludf.DUMMYFUNCTION("""COMPUTED_VALUE"""),"Negative")</f>
        <v>Negative</v>
      </c>
      <c r="G106" s="16">
        <f>IFERROR(__xludf.DUMMYFUNCTION("""COMPUTED_VALUE"""),1.0)</f>
        <v>1</v>
      </c>
      <c r="H106" s="8" t="str">
        <f>IFERROR(__xludf.DUMMYFUNCTION("""COMPUTED_VALUE"""),"FLSP")</f>
        <v>FLSP</v>
      </c>
    </row>
    <row r="107">
      <c r="A107" s="8" t="str">
        <f>IFERROR(__xludf.DUMMYFUNCTION("""COMPUTED_VALUE"""),"T1224")</f>
        <v>T1224</v>
      </c>
      <c r="B107" s="8" t="str">
        <f>IFERROR(__xludf.DUMMYFUNCTION("""COMPUTED_VALUE"""),"RUN-FLMP_2021-03-03_APS-034")</f>
        <v>RUN-FLMP_2021-03-03_APS-034</v>
      </c>
      <c r="C107" s="10">
        <f>VLOOKUP(B107,'Run Reconcile'!A$2:B1579,2,FALSE)</f>
        <v>44258</v>
      </c>
      <c r="D107" s="14">
        <f>IFERROR(__xludf.DUMMYFUNCTION("""COMPUTED_VALUE"""),44258.0)</f>
        <v>44258</v>
      </c>
      <c r="E107" s="15">
        <f>IFERROR(__xludf.DUMMYFUNCTION("""COMPUTED_VALUE"""),0.35644675925868796)</f>
        <v>0.3564467593</v>
      </c>
      <c r="F107" s="8" t="str">
        <f>IFERROR(__xludf.DUMMYFUNCTION("""COMPUTED_VALUE"""),"Negative")</f>
        <v>Negative</v>
      </c>
      <c r="G107" s="16">
        <f>IFERROR(__xludf.DUMMYFUNCTION("""COMPUTED_VALUE"""),4.0)</f>
        <v>4</v>
      </c>
      <c r="H107" s="8" t="str">
        <f>IFERROR(__xludf.DUMMYFUNCTION("""COMPUTED_VALUE"""),"FLSP")</f>
        <v>FLSP</v>
      </c>
    </row>
    <row r="108">
      <c r="A108" s="8" t="str">
        <f>IFERROR(__xludf.DUMMYFUNCTION("""COMPUTED_VALUE"""),"T1214")</f>
        <v>T1214</v>
      </c>
      <c r="B108" s="8" t="str">
        <f>IFERROR(__xludf.DUMMYFUNCTION("""COMPUTED_VALUE"""),"RUN-FLMP_2021-03-03_APS-034")</f>
        <v>RUN-FLMP_2021-03-03_APS-034</v>
      </c>
      <c r="C108" s="10">
        <f>VLOOKUP(B108,'Run Reconcile'!A$2:B1579,2,FALSE)</f>
        <v>44258</v>
      </c>
      <c r="D108" s="14">
        <f>IFERROR(__xludf.DUMMYFUNCTION("""COMPUTED_VALUE"""),44258.0)</f>
        <v>44258</v>
      </c>
      <c r="E108" s="15">
        <f>IFERROR(__xludf.DUMMYFUNCTION("""COMPUTED_VALUE"""),0.35800925926014315)</f>
        <v>0.3580092593</v>
      </c>
      <c r="F108" s="8" t="str">
        <f>IFERROR(__xludf.DUMMYFUNCTION("""COMPUTED_VALUE"""),"Negative")</f>
        <v>Negative</v>
      </c>
      <c r="G108" s="16">
        <f>IFERROR(__xludf.DUMMYFUNCTION("""COMPUTED_VALUE"""),1.0)</f>
        <v>1</v>
      </c>
      <c r="H108" s="8" t="str">
        <f>IFERROR(__xludf.DUMMYFUNCTION("""COMPUTED_VALUE"""),"FLSP")</f>
        <v>FLSP</v>
      </c>
    </row>
    <row r="109">
      <c r="A109" s="8" t="str">
        <f>IFERROR(__xludf.DUMMYFUNCTION("""COMPUTED_VALUE"""),"D3918")</f>
        <v>D3918</v>
      </c>
      <c r="B109" s="8" t="str">
        <f>IFERROR(__xludf.DUMMYFUNCTION("""COMPUTED_VALUE"""),"RUN-FLMP_2021-03-04_APS-035")</f>
        <v>RUN-FLMP_2021-03-04_APS-035</v>
      </c>
      <c r="C109" s="10">
        <f>VLOOKUP(B109,'Run Reconcile'!A$2:B1579,2,FALSE)</f>
        <v>44259</v>
      </c>
      <c r="D109" s="14">
        <f>IFERROR(__xludf.DUMMYFUNCTION("""COMPUTED_VALUE"""),44259.0)</f>
        <v>44259</v>
      </c>
      <c r="E109" s="15">
        <f>IFERROR(__xludf.DUMMYFUNCTION("""COMPUTED_VALUE"""),0.7285879629635019)</f>
        <v>0.728587963</v>
      </c>
      <c r="F109" s="8" t="str">
        <f>IFERROR(__xludf.DUMMYFUNCTION("""COMPUTED_VALUE"""),"Negative")</f>
        <v>Negative</v>
      </c>
      <c r="G109" s="16">
        <f>IFERROR(__xludf.DUMMYFUNCTION("""COMPUTED_VALUE"""),4.0)</f>
        <v>4</v>
      </c>
      <c r="H109" s="8" t="str">
        <f>IFERROR(__xludf.DUMMYFUNCTION("""COMPUTED_VALUE"""),"FLSP")</f>
        <v>FLSP</v>
      </c>
    </row>
    <row r="110">
      <c r="A110" s="8" t="str">
        <f>IFERROR(__xludf.DUMMYFUNCTION("""COMPUTED_VALUE"""),"T1205")</f>
        <v>T1205</v>
      </c>
      <c r="B110" s="8" t="str">
        <f>IFERROR(__xludf.DUMMYFUNCTION("""COMPUTED_VALUE"""),"RUN-FLMP_2021-03-05_APS-036")</f>
        <v>RUN-FLMP_2021-03-05_APS-036</v>
      </c>
      <c r="C110" s="10">
        <f>VLOOKUP(B110,'Run Reconcile'!A$2:B1579,2,FALSE)</f>
        <v>44260</v>
      </c>
      <c r="D110" s="14">
        <f>IFERROR(__xludf.DUMMYFUNCTION("""COMPUTED_VALUE"""),44260.0)</f>
        <v>44260</v>
      </c>
      <c r="E110" s="15">
        <f>IFERROR(__xludf.DUMMYFUNCTION("""COMPUTED_VALUE"""),0.2730671296303626)</f>
        <v>0.2730671296</v>
      </c>
      <c r="F110" s="8" t="str">
        <f>IFERROR(__xludf.DUMMYFUNCTION("""COMPUTED_VALUE"""),"Negative")</f>
        <v>Negative</v>
      </c>
      <c r="G110" s="16">
        <f>IFERROR(__xludf.DUMMYFUNCTION("""COMPUTED_VALUE"""),4.0)</f>
        <v>4</v>
      </c>
      <c r="H110" s="8" t="str">
        <f>IFERROR(__xludf.DUMMYFUNCTION("""COMPUTED_VALUE"""),"FLSP")</f>
        <v>FLSP</v>
      </c>
    </row>
    <row r="111">
      <c r="A111" s="8" t="str">
        <f>IFERROR(__xludf.DUMMYFUNCTION("""COMPUTED_VALUE"""),"T1225")</f>
        <v>T1225</v>
      </c>
      <c r="B111" s="8" t="str">
        <f>IFERROR(__xludf.DUMMYFUNCTION("""COMPUTED_VALUE"""),"RUN-FLMP_2021-03-05_APS-036")</f>
        <v>RUN-FLMP_2021-03-05_APS-036</v>
      </c>
      <c r="C111" s="10">
        <f>VLOOKUP(B111,'Run Reconcile'!A$2:B1579,2,FALSE)</f>
        <v>44260</v>
      </c>
      <c r="D111" s="14">
        <f>IFERROR(__xludf.DUMMYFUNCTION("""COMPUTED_VALUE"""),44260.0)</f>
        <v>44260</v>
      </c>
      <c r="E111" s="15">
        <f>IFERROR(__xludf.DUMMYFUNCTION("""COMPUTED_VALUE"""),0.3232986111106584)</f>
        <v>0.3232986111</v>
      </c>
      <c r="F111" s="8" t="str">
        <f>IFERROR(__xludf.DUMMYFUNCTION("""COMPUTED_VALUE"""),"Negative")</f>
        <v>Negative</v>
      </c>
      <c r="G111" s="16">
        <f>IFERROR(__xludf.DUMMYFUNCTION("""COMPUTED_VALUE"""),1.0)</f>
        <v>1</v>
      </c>
      <c r="H111" s="8" t="str">
        <f>IFERROR(__xludf.DUMMYFUNCTION("""COMPUTED_VALUE"""),"FLSP")</f>
        <v>FLSP</v>
      </c>
    </row>
    <row r="112">
      <c r="A112" s="8" t="str">
        <f>IFERROR(__xludf.DUMMYFUNCTION("""COMPUTED_VALUE"""),"T1202")</f>
        <v>T1202</v>
      </c>
      <c r="B112" s="8" t="str">
        <f>IFERROR(__xludf.DUMMYFUNCTION("""COMPUTED_VALUE"""),"RUN-FLMP_2021-03-05_APS-036")</f>
        <v>RUN-FLMP_2021-03-05_APS-036</v>
      </c>
      <c r="C112" s="10">
        <f>VLOOKUP(B112,'Run Reconcile'!A$2:B1579,2,FALSE)</f>
        <v>44260</v>
      </c>
      <c r="D112" s="14">
        <f>IFERROR(__xludf.DUMMYFUNCTION("""COMPUTED_VALUE"""),44260.0)</f>
        <v>44260</v>
      </c>
      <c r="E112" s="15">
        <f>IFERROR(__xludf.DUMMYFUNCTION("""COMPUTED_VALUE"""),0.32993055555562023)</f>
        <v>0.3299305556</v>
      </c>
      <c r="F112" s="8" t="str">
        <f>IFERROR(__xludf.DUMMYFUNCTION("""COMPUTED_VALUE"""),"Negative")</f>
        <v>Negative</v>
      </c>
      <c r="G112" s="16">
        <f>IFERROR(__xludf.DUMMYFUNCTION("""COMPUTED_VALUE"""),4.0)</f>
        <v>4</v>
      </c>
      <c r="H112" s="8" t="str">
        <f>IFERROR(__xludf.DUMMYFUNCTION("""COMPUTED_VALUE"""),"FLSP")</f>
        <v>FLSP</v>
      </c>
    </row>
    <row r="113">
      <c r="A113" s="8" t="str">
        <f>IFERROR(__xludf.DUMMYFUNCTION("""COMPUTED_VALUE"""),"FL1216")</f>
        <v>FL1216</v>
      </c>
      <c r="B113" s="8" t="str">
        <f>IFERROR(__xludf.DUMMYFUNCTION("""COMPUTED_VALUE"""),"RUN-FLMP_2021-03-05_APS-036")</f>
        <v>RUN-FLMP_2021-03-05_APS-036</v>
      </c>
      <c r="C113" s="10">
        <f>VLOOKUP(B113,'Run Reconcile'!A$2:B1579,2,FALSE)</f>
        <v>44260</v>
      </c>
      <c r="D113" s="14">
        <f>IFERROR(__xludf.DUMMYFUNCTION("""COMPUTED_VALUE"""),44260.0)</f>
        <v>44260</v>
      </c>
      <c r="E113" s="15">
        <f>IFERROR(__xludf.DUMMYFUNCTION("""COMPUTED_VALUE"""),0.3843402777783922)</f>
        <v>0.3843402778</v>
      </c>
      <c r="F113" s="8" t="str">
        <f>IFERROR(__xludf.DUMMYFUNCTION("""COMPUTED_VALUE"""),"Negative")</f>
        <v>Negative</v>
      </c>
      <c r="G113" s="16">
        <f>IFERROR(__xludf.DUMMYFUNCTION("""COMPUTED_VALUE"""),4.0)</f>
        <v>4</v>
      </c>
      <c r="H113" s="8" t="str">
        <f>IFERROR(__xludf.DUMMYFUNCTION("""COMPUTED_VALUE"""),"FLSP")</f>
        <v>FLSP</v>
      </c>
    </row>
    <row r="114">
      <c r="A114" s="8" t="str">
        <f>IFERROR(__xludf.DUMMYFUNCTION("""COMPUTED_VALUE"""),"T1221")</f>
        <v>T1221</v>
      </c>
      <c r="B114" s="8" t="str">
        <f>IFERROR(__xludf.DUMMYFUNCTION("""COMPUTED_VALUE"""),"RUN-FLMP_2021-03-08_APS-037")</f>
        <v>RUN-FLMP_2021-03-08_APS-037</v>
      </c>
      <c r="C114" s="10">
        <f>VLOOKUP(B114,'Run Reconcile'!A$2:B1579,2,FALSE)</f>
        <v>44263</v>
      </c>
      <c r="D114" s="14">
        <f>IFERROR(__xludf.DUMMYFUNCTION("""COMPUTED_VALUE"""),44263.0)</f>
        <v>44263</v>
      </c>
      <c r="E114" s="15">
        <f>IFERROR(__xludf.DUMMYFUNCTION("""COMPUTED_VALUE"""),0.25423611111182254)</f>
        <v>0.2542361111</v>
      </c>
      <c r="F114" s="8" t="str">
        <f>IFERROR(__xludf.DUMMYFUNCTION("""COMPUTED_VALUE"""),"Negative")</f>
        <v>Negative</v>
      </c>
      <c r="G114" s="16">
        <f>IFERROR(__xludf.DUMMYFUNCTION("""COMPUTED_VALUE"""),4.0)</f>
        <v>4</v>
      </c>
      <c r="H114" s="8" t="str">
        <f>IFERROR(__xludf.DUMMYFUNCTION("""COMPUTED_VALUE"""),"FLSP")</f>
        <v>FLSP</v>
      </c>
    </row>
    <row r="115">
      <c r="A115" s="8" t="str">
        <f>IFERROR(__xludf.DUMMYFUNCTION("""COMPUTED_VALUE"""),"T1201")</f>
        <v>T1201</v>
      </c>
      <c r="B115" s="8" t="str">
        <f>IFERROR(__xludf.DUMMYFUNCTION("""COMPUTED_VALUE"""),"RUN-FLMP_2021-03-08_APS-037")</f>
        <v>RUN-FLMP_2021-03-08_APS-037</v>
      </c>
      <c r="C115" s="10">
        <f>VLOOKUP(B115,'Run Reconcile'!A$2:B1579,2,FALSE)</f>
        <v>44263</v>
      </c>
      <c r="D115" s="14">
        <f>IFERROR(__xludf.DUMMYFUNCTION("""COMPUTED_VALUE"""),44263.0)</f>
        <v>44263</v>
      </c>
      <c r="E115" s="15">
        <f>IFERROR(__xludf.DUMMYFUNCTION("""COMPUTED_VALUE"""),0.3032754629639385)</f>
        <v>0.303275463</v>
      </c>
      <c r="F115" s="8" t="str">
        <f>IFERROR(__xludf.DUMMYFUNCTION("""COMPUTED_VALUE"""),"Negative")</f>
        <v>Negative</v>
      </c>
      <c r="G115" s="16">
        <f>IFERROR(__xludf.DUMMYFUNCTION("""COMPUTED_VALUE"""),1.0)</f>
        <v>1</v>
      </c>
      <c r="H115" s="8" t="str">
        <f>IFERROR(__xludf.DUMMYFUNCTION("""COMPUTED_VALUE"""),"FLSP")</f>
        <v>FLSP</v>
      </c>
    </row>
    <row r="116">
      <c r="A116" s="8" t="str">
        <f>IFERROR(__xludf.DUMMYFUNCTION("""COMPUTED_VALUE"""),"T1210")</f>
        <v>T1210</v>
      </c>
      <c r="B116" s="8" t="str">
        <f>IFERROR(__xludf.DUMMYFUNCTION("""COMPUTED_VALUE"""),"RUN-FLMP_2021-03-08_APS-037")</f>
        <v>RUN-FLMP_2021-03-08_APS-037</v>
      </c>
      <c r="C116" s="10">
        <f>VLOOKUP(B116,'Run Reconcile'!A$2:B1579,2,FALSE)</f>
        <v>44263</v>
      </c>
      <c r="D116" s="14">
        <f>IFERROR(__xludf.DUMMYFUNCTION("""COMPUTED_VALUE"""),44263.0)</f>
        <v>44263</v>
      </c>
      <c r="E116" s="15">
        <f>IFERROR(__xludf.DUMMYFUNCTION("""COMPUTED_VALUE"""),0.3090856481467199)</f>
        <v>0.3090856481</v>
      </c>
      <c r="F116" s="8" t="str">
        <f>IFERROR(__xludf.DUMMYFUNCTION("""COMPUTED_VALUE"""),"Negative")</f>
        <v>Negative</v>
      </c>
      <c r="G116" s="16">
        <f>IFERROR(__xludf.DUMMYFUNCTION("""COMPUTED_VALUE"""),4.0)</f>
        <v>4</v>
      </c>
      <c r="H116" s="8" t="str">
        <f>IFERROR(__xludf.DUMMYFUNCTION("""COMPUTED_VALUE"""),"FLSP")</f>
        <v>FLSP</v>
      </c>
    </row>
    <row r="117">
      <c r="A117" s="8" t="str">
        <f>IFERROR(__xludf.DUMMYFUNCTION("""COMPUTED_VALUE"""),"FLT1101")</f>
        <v>FLT1101</v>
      </c>
      <c r="B117" s="8" t="str">
        <f>IFERROR(__xludf.DUMMYFUNCTION("""COMPUTED_VALUE"""),"RUN-FLMP_2021-03-08_APS-037")</f>
        <v>RUN-FLMP_2021-03-08_APS-037</v>
      </c>
      <c r="C117" s="10">
        <f>VLOOKUP(B117,'Run Reconcile'!A$2:B1579,2,FALSE)</f>
        <v>44263</v>
      </c>
      <c r="D117" s="14">
        <f>IFERROR(__xludf.DUMMYFUNCTION("""COMPUTED_VALUE"""),44263.0)</f>
        <v>44263</v>
      </c>
      <c r="E117" s="15">
        <f>IFERROR(__xludf.DUMMYFUNCTION("""COMPUTED_VALUE"""),0.34391203703853535)</f>
        <v>0.343912037</v>
      </c>
      <c r="F117" s="8" t="str">
        <f>IFERROR(__xludf.DUMMYFUNCTION("""COMPUTED_VALUE"""),"Negative")</f>
        <v>Negative</v>
      </c>
      <c r="G117" s="16">
        <f>IFERROR(__xludf.DUMMYFUNCTION("""COMPUTED_VALUE"""),4.0)</f>
        <v>4</v>
      </c>
      <c r="H117" s="8" t="str">
        <f>IFERROR(__xludf.DUMMYFUNCTION("""COMPUTED_VALUE"""),"FLSP")</f>
        <v>FLSP</v>
      </c>
    </row>
    <row r="118">
      <c r="A118" s="8" t="str">
        <f>IFERROR(__xludf.DUMMYFUNCTION("""COMPUTED_VALUE"""),"FLT1103")</f>
        <v>FLT1103</v>
      </c>
      <c r="B118" s="8" t="str">
        <f>IFERROR(__xludf.DUMMYFUNCTION("""COMPUTED_VALUE"""),"RUN-FLMP_2021-03-10_APS-038")</f>
        <v>RUN-FLMP_2021-03-10_APS-038</v>
      </c>
      <c r="C118" s="10">
        <f>VLOOKUP(B118,'Run Reconcile'!A$2:B1579,2,FALSE)</f>
        <v>44265</v>
      </c>
      <c r="D118" s="14">
        <f>IFERROR(__xludf.DUMMYFUNCTION("""COMPUTED_VALUE"""),44265.0)</f>
        <v>44265</v>
      </c>
      <c r="E118" s="15">
        <f>IFERROR(__xludf.DUMMYFUNCTION("""COMPUTED_VALUE"""),0.31743055555489263)</f>
        <v>0.3174305556</v>
      </c>
      <c r="F118" s="8" t="str">
        <f>IFERROR(__xludf.DUMMYFUNCTION("""COMPUTED_VALUE"""),"Negative")</f>
        <v>Negative</v>
      </c>
      <c r="G118" s="16">
        <f>IFERROR(__xludf.DUMMYFUNCTION("""COMPUTED_VALUE"""),3.0)</f>
        <v>3</v>
      </c>
      <c r="H118" s="8" t="str">
        <f>IFERROR(__xludf.DUMMYFUNCTION("""COMPUTED_VALUE"""),"FLSP")</f>
        <v>FLSP</v>
      </c>
    </row>
    <row r="119">
      <c r="A119" s="8" t="str">
        <f>IFERROR(__xludf.DUMMYFUNCTION("""COMPUTED_VALUE"""),"T1257")</f>
        <v>T1257</v>
      </c>
      <c r="B119" s="8" t="str">
        <f>IFERROR(__xludf.DUMMYFUNCTION("""COMPUTED_VALUE"""),"RUN-FLMP_2021-03-10_APS-038")</f>
        <v>RUN-FLMP_2021-03-10_APS-038</v>
      </c>
      <c r="C119" s="10">
        <f>VLOOKUP(B119,'Run Reconcile'!A$2:B1579,2,FALSE)</f>
        <v>44265</v>
      </c>
      <c r="D119" s="14">
        <f>IFERROR(__xludf.DUMMYFUNCTION("""COMPUTED_VALUE"""),44265.0)</f>
        <v>44265</v>
      </c>
      <c r="E119" s="15">
        <f>IFERROR(__xludf.DUMMYFUNCTION("""COMPUTED_VALUE"""),0.5759259259248211)</f>
        <v>0.5759259259</v>
      </c>
      <c r="F119" s="8" t="str">
        <f>IFERROR(__xludf.DUMMYFUNCTION("""COMPUTED_VALUE"""),"Negative")</f>
        <v>Negative</v>
      </c>
      <c r="G119" s="16">
        <f>IFERROR(__xludf.DUMMYFUNCTION("""COMPUTED_VALUE"""),4.0)</f>
        <v>4</v>
      </c>
      <c r="H119" s="8" t="str">
        <f>IFERROR(__xludf.DUMMYFUNCTION("""COMPUTED_VALUE"""),"FLSP")</f>
        <v>FLSP</v>
      </c>
    </row>
    <row r="120">
      <c r="A120" s="8" t="str">
        <f>IFERROR(__xludf.DUMMYFUNCTION("""COMPUTED_VALUE"""),"T1220")</f>
        <v>T1220</v>
      </c>
      <c r="B120" s="8" t="str">
        <f>IFERROR(__xludf.DUMMYFUNCTION("""COMPUTED_VALUE"""),"RUN-FLMP_2021-03-12_APS-039")</f>
        <v>RUN-FLMP_2021-03-12_APS-039</v>
      </c>
      <c r="C120" s="10">
        <f>VLOOKUP(B120,'Run Reconcile'!A$2:B1579,2,FALSE)</f>
        <v>44267</v>
      </c>
      <c r="D120" s="14">
        <f>IFERROR(__xludf.DUMMYFUNCTION("""COMPUTED_VALUE"""),44267.0)</f>
        <v>44267</v>
      </c>
      <c r="E120" s="15">
        <f>IFERROR(__xludf.DUMMYFUNCTION("""COMPUTED_VALUE"""),0.31476851851766696)</f>
        <v>0.3147685185</v>
      </c>
      <c r="F120" s="8" t="str">
        <f>IFERROR(__xludf.DUMMYFUNCTION("""COMPUTED_VALUE"""),"Negative")</f>
        <v>Negative</v>
      </c>
      <c r="G120" s="16">
        <f>IFERROR(__xludf.DUMMYFUNCTION("""COMPUTED_VALUE"""),3.0)</f>
        <v>3</v>
      </c>
      <c r="H120" s="8" t="str">
        <f>IFERROR(__xludf.DUMMYFUNCTION("""COMPUTED_VALUE"""),"FLSP")</f>
        <v>FLSP</v>
      </c>
    </row>
    <row r="121">
      <c r="A121" s="8" t="str">
        <f>IFERROR(__xludf.DUMMYFUNCTION("""COMPUTED_VALUE"""),"FLT1102")</f>
        <v>FLT1102</v>
      </c>
      <c r="B121" s="8" t="str">
        <f>IFERROR(__xludf.DUMMYFUNCTION("""COMPUTED_VALUE"""),"RUN-FLMP_2021-03-12_APS-039")</f>
        <v>RUN-FLMP_2021-03-12_APS-039</v>
      </c>
      <c r="C121" s="10">
        <f>VLOOKUP(B121,'Run Reconcile'!A$2:B1579,2,FALSE)</f>
        <v>44267</v>
      </c>
      <c r="D121" s="14">
        <f>IFERROR(__xludf.DUMMYFUNCTION("""COMPUTED_VALUE"""),44267.0)</f>
        <v>44267</v>
      </c>
      <c r="E121" s="15">
        <f>IFERROR(__xludf.DUMMYFUNCTION("""COMPUTED_VALUE"""),0.31593749999956344)</f>
        <v>0.3159375</v>
      </c>
      <c r="F121" s="8" t="str">
        <f>IFERROR(__xludf.DUMMYFUNCTION("""COMPUTED_VALUE"""),"Negative")</f>
        <v>Negative</v>
      </c>
      <c r="G121" s="16">
        <f>IFERROR(__xludf.DUMMYFUNCTION("""COMPUTED_VALUE"""),3.0)</f>
        <v>3</v>
      </c>
      <c r="H121" s="8" t="str">
        <f>IFERROR(__xludf.DUMMYFUNCTION("""COMPUTED_VALUE"""),"FLSP")</f>
        <v>FLSP</v>
      </c>
    </row>
    <row r="122">
      <c r="A122" s="8" t="str">
        <f>IFERROR(__xludf.DUMMYFUNCTION("""COMPUTED_VALUE"""),"FLT156")</f>
        <v>FLT156</v>
      </c>
      <c r="B122" s="8" t="str">
        <f>IFERROR(__xludf.DUMMYFUNCTION("""COMPUTED_VALUE"""),"RUN-FLMP_2021-03-12_APS-039")</f>
        <v>RUN-FLMP_2021-03-12_APS-039</v>
      </c>
      <c r="C122" s="10">
        <f>VLOOKUP(B122,'Run Reconcile'!A$2:B1579,2,FALSE)</f>
        <v>44267</v>
      </c>
      <c r="D122" s="14">
        <f>IFERROR(__xludf.DUMMYFUNCTION("""COMPUTED_VALUE"""),44267.0)</f>
        <v>44267</v>
      </c>
      <c r="E122" s="15">
        <f>IFERROR(__xludf.DUMMYFUNCTION("""COMPUTED_VALUE"""),0.34035879629664123)</f>
        <v>0.3403587963</v>
      </c>
      <c r="F122" s="8" t="str">
        <f>IFERROR(__xludf.DUMMYFUNCTION("""COMPUTED_VALUE"""),"Negative")</f>
        <v>Negative</v>
      </c>
      <c r="G122" s="16">
        <f>IFERROR(__xludf.DUMMYFUNCTION("""COMPUTED_VALUE"""),4.0)</f>
        <v>4</v>
      </c>
      <c r="H122" s="8" t="str">
        <f>IFERROR(__xludf.DUMMYFUNCTION("""COMPUTED_VALUE"""),"FLSP")</f>
        <v>FLSP</v>
      </c>
    </row>
    <row r="123">
      <c r="A123" s="8" t="str">
        <f>IFERROR(__xludf.DUMMYFUNCTION("""COMPUTED_VALUE"""),"T1245")</f>
        <v>T1245</v>
      </c>
      <c r="B123" s="8" t="str">
        <f>IFERROR(__xludf.DUMMYFUNCTION("""COMPUTED_VALUE"""),"RUN-FLMP_2021-03-15_APS-040")</f>
        <v>RUN-FLMP_2021-03-15_APS-040</v>
      </c>
      <c r="C123" s="10">
        <f>VLOOKUP(B123,'Run Reconcile'!A$2:B1579,2,FALSE)</f>
        <v>44270</v>
      </c>
      <c r="D123" s="14">
        <f>IFERROR(__xludf.DUMMYFUNCTION("""COMPUTED_VALUE"""),44270.0)</f>
        <v>44270</v>
      </c>
      <c r="E123" s="15">
        <f>IFERROR(__xludf.DUMMYFUNCTION("""COMPUTED_VALUE"""),0.31716435185080627)</f>
        <v>0.3171643519</v>
      </c>
      <c r="F123" s="8" t="str">
        <f>IFERROR(__xludf.DUMMYFUNCTION("""COMPUTED_VALUE"""),"Negative")</f>
        <v>Negative</v>
      </c>
      <c r="G123" s="16">
        <f>IFERROR(__xludf.DUMMYFUNCTION("""COMPUTED_VALUE"""),1.0)</f>
        <v>1</v>
      </c>
      <c r="H123" s="8" t="str">
        <f>IFERROR(__xludf.DUMMYFUNCTION("""COMPUTED_VALUE"""),"FLSP")</f>
        <v>FLSP</v>
      </c>
    </row>
    <row r="124">
      <c r="A124" s="8" t="str">
        <f>IFERROR(__xludf.DUMMYFUNCTION("""COMPUTED_VALUE"""),"FLT165")</f>
        <v>FLT165</v>
      </c>
      <c r="B124" s="8" t="str">
        <f>IFERROR(__xludf.DUMMYFUNCTION("""COMPUTED_VALUE"""),"RUN-FLMP_2021-03-15_APS-040")</f>
        <v>RUN-FLMP_2021-03-15_APS-040</v>
      </c>
      <c r="C124" s="10">
        <f>VLOOKUP(B124,'Run Reconcile'!A$2:B1579,2,FALSE)</f>
        <v>44270</v>
      </c>
      <c r="D124" s="14">
        <f>IFERROR(__xludf.DUMMYFUNCTION("""COMPUTED_VALUE"""),44270.0)</f>
        <v>44270</v>
      </c>
      <c r="E124" s="15">
        <f>IFERROR(__xludf.DUMMYFUNCTION("""COMPUTED_VALUE"""),0.3467013888875954)</f>
        <v>0.3467013889</v>
      </c>
      <c r="F124" s="8" t="str">
        <f>IFERROR(__xludf.DUMMYFUNCTION("""COMPUTED_VALUE"""),"Negative")</f>
        <v>Negative</v>
      </c>
      <c r="G124" s="16">
        <f>IFERROR(__xludf.DUMMYFUNCTION("""COMPUTED_VALUE"""),4.0)</f>
        <v>4</v>
      </c>
      <c r="H124" s="8" t="str">
        <f>IFERROR(__xludf.DUMMYFUNCTION("""COMPUTED_VALUE"""),"FLSP")</f>
        <v>FLSP</v>
      </c>
    </row>
    <row r="125">
      <c r="A125" s="8" t="str">
        <f>IFERROR(__xludf.DUMMYFUNCTION("""COMPUTED_VALUE"""),"T1203")</f>
        <v>T1203</v>
      </c>
      <c r="B125" s="8" t="str">
        <f>IFERROR(__xludf.DUMMYFUNCTION("""COMPUTED_VALUE"""),"RUN-FLMP_2021-03-17_APS-041")</f>
        <v>RUN-FLMP_2021-03-17_APS-041</v>
      </c>
      <c r="C125" s="10">
        <f>VLOOKUP(B125,'Run Reconcile'!A$2:B1579,2,FALSE)</f>
        <v>44272</v>
      </c>
      <c r="D125" s="14">
        <f>IFERROR(__xludf.DUMMYFUNCTION("""COMPUTED_VALUE"""),44272.0)</f>
        <v>44272</v>
      </c>
      <c r="E125" s="15">
        <f>IFERROR(__xludf.DUMMYFUNCTION("""COMPUTED_VALUE"""),0.273506944446126)</f>
        <v>0.2735069444</v>
      </c>
      <c r="F125" s="8" t="str">
        <f>IFERROR(__xludf.DUMMYFUNCTION("""COMPUTED_VALUE"""),"Negative")</f>
        <v>Negative</v>
      </c>
      <c r="G125" s="16">
        <f>IFERROR(__xludf.DUMMYFUNCTION("""COMPUTED_VALUE"""),4.0)</f>
        <v>4</v>
      </c>
      <c r="H125" s="8" t="str">
        <f>IFERROR(__xludf.DUMMYFUNCTION("""COMPUTED_VALUE"""),"FLSP")</f>
        <v>FLSP</v>
      </c>
    </row>
    <row r="126">
      <c r="A126" s="8" t="str">
        <f>IFERROR(__xludf.DUMMYFUNCTION("""COMPUTED_VALUE"""),"T1230")</f>
        <v>T1230</v>
      </c>
      <c r="B126" s="8" t="str">
        <f>IFERROR(__xludf.DUMMYFUNCTION("""COMPUTED_VALUE"""),"RUN-FLMP_2021-03-17_APS-041")</f>
        <v>RUN-FLMP_2021-03-17_APS-041</v>
      </c>
      <c r="C126" s="10">
        <f>VLOOKUP(B126,'Run Reconcile'!A$2:B1579,2,FALSE)</f>
        <v>44272</v>
      </c>
      <c r="D126" s="14">
        <f>IFERROR(__xludf.DUMMYFUNCTION("""COMPUTED_VALUE"""),44272.0)</f>
        <v>44272</v>
      </c>
      <c r="E126" s="15">
        <f>IFERROR(__xludf.DUMMYFUNCTION("""COMPUTED_VALUE"""),0.33450231481401715)</f>
        <v>0.3345023148</v>
      </c>
      <c r="F126" s="8" t="str">
        <f>IFERROR(__xludf.DUMMYFUNCTION("""COMPUTED_VALUE"""),"Negative")</f>
        <v>Negative</v>
      </c>
      <c r="G126" s="16">
        <f>IFERROR(__xludf.DUMMYFUNCTION("""COMPUTED_VALUE"""),4.0)</f>
        <v>4</v>
      </c>
      <c r="H126" s="8" t="str">
        <f>IFERROR(__xludf.DUMMYFUNCTION("""COMPUTED_VALUE"""),"FLSP")</f>
        <v>FLSP</v>
      </c>
    </row>
    <row r="127">
      <c r="A127" s="8" t="str">
        <f>IFERROR(__xludf.DUMMYFUNCTION("""COMPUTED_VALUE"""),"FLT1105")</f>
        <v>FLT1105</v>
      </c>
      <c r="B127" s="8" t="str">
        <f>IFERROR(__xludf.DUMMYFUNCTION("""COMPUTED_VALUE"""),"RUN-FLMP_2021-03-17_APS-041")</f>
        <v>RUN-FLMP_2021-03-17_APS-041</v>
      </c>
      <c r="C127" s="10">
        <f>VLOOKUP(B127,'Run Reconcile'!A$2:B1579,2,FALSE)</f>
        <v>44272</v>
      </c>
      <c r="D127" s="14">
        <f>IFERROR(__xludf.DUMMYFUNCTION("""COMPUTED_VALUE"""),44272.0)</f>
        <v>44272</v>
      </c>
      <c r="E127" s="15">
        <f>IFERROR(__xludf.DUMMYFUNCTION("""COMPUTED_VALUE"""),0.5622337962959136)</f>
        <v>0.5622337963</v>
      </c>
      <c r="F127" s="8" t="str">
        <f>IFERROR(__xludf.DUMMYFUNCTION("""COMPUTED_VALUE"""),"Negative")</f>
        <v>Negative</v>
      </c>
      <c r="G127" s="16">
        <f>IFERROR(__xludf.DUMMYFUNCTION("""COMPUTED_VALUE"""),1.0)</f>
        <v>1</v>
      </c>
      <c r="H127" s="8" t="str">
        <f>IFERROR(__xludf.DUMMYFUNCTION("""COMPUTED_VALUE"""),"FLSP")</f>
        <v>FLSP</v>
      </c>
    </row>
    <row r="128">
      <c r="A128" s="8" t="str">
        <f>IFERROR(__xludf.DUMMYFUNCTION("""COMPUTED_VALUE"""),"FLT1554")</f>
        <v>FLT1554</v>
      </c>
      <c r="B128" s="8" t="str">
        <f>IFERROR(__xludf.DUMMYFUNCTION("""COMPUTED_VALUE"""),"RUN-FLMP_2021-03-17_APS-041")</f>
        <v>RUN-FLMP_2021-03-17_APS-041</v>
      </c>
      <c r="C128" s="10">
        <f>VLOOKUP(B128,'Run Reconcile'!A$2:B1579,2,FALSE)</f>
        <v>44272</v>
      </c>
      <c r="D128" s="14">
        <f>IFERROR(__xludf.DUMMYFUNCTION("""COMPUTED_VALUE"""),44272.0)</f>
        <v>44272</v>
      </c>
      <c r="E128" s="15">
        <f>IFERROR(__xludf.DUMMYFUNCTION("""COMPUTED_VALUE"""),0.6212384259270038)</f>
        <v>0.6212384259</v>
      </c>
      <c r="F128" s="8" t="str">
        <f>IFERROR(__xludf.DUMMYFUNCTION("""COMPUTED_VALUE"""),"Negative")</f>
        <v>Negative</v>
      </c>
      <c r="G128" s="16">
        <f>IFERROR(__xludf.DUMMYFUNCTION("""COMPUTED_VALUE"""),2.0)</f>
        <v>2</v>
      </c>
      <c r="H128" s="8" t="str">
        <f>IFERROR(__xludf.DUMMYFUNCTION("""COMPUTED_VALUE"""),"FLSP")</f>
        <v>FLSP</v>
      </c>
    </row>
    <row r="129">
      <c r="A129" s="8" t="str">
        <f>IFERROR(__xludf.DUMMYFUNCTION("""COMPUTED_VALUE"""),"T1258")</f>
        <v>T1258</v>
      </c>
      <c r="B129" s="8" t="str">
        <f>IFERROR(__xludf.DUMMYFUNCTION("""COMPUTED_VALUE"""),"RUN-FLMP_2021-03-26_APS-042")</f>
        <v>RUN-FLMP_2021-03-26_APS-042</v>
      </c>
      <c r="C129" s="10">
        <f>VLOOKUP(B129,'Run Reconcile'!A$2:B1579,2,FALSE)</f>
        <v>44281</v>
      </c>
      <c r="D129" s="14">
        <f>IFERROR(__xludf.DUMMYFUNCTION("""COMPUTED_VALUE"""),44281.0)</f>
        <v>44281</v>
      </c>
      <c r="E129" s="15">
        <f>IFERROR(__xludf.DUMMYFUNCTION("""COMPUTED_VALUE"""),0.32752314814933925)</f>
        <v>0.3275231481</v>
      </c>
      <c r="F129" s="8" t="str">
        <f>IFERROR(__xludf.DUMMYFUNCTION("""COMPUTED_VALUE"""),"Negative")</f>
        <v>Negative</v>
      </c>
      <c r="G129" s="16">
        <f>IFERROR(__xludf.DUMMYFUNCTION("""COMPUTED_VALUE"""),2.0)</f>
        <v>2</v>
      </c>
      <c r="H129" s="8" t="str">
        <f>IFERROR(__xludf.DUMMYFUNCTION("""COMPUTED_VALUE"""),"FLSP")</f>
        <v>FLSP</v>
      </c>
    </row>
    <row r="130">
      <c r="A130" s="8" t="str">
        <f>IFERROR(__xludf.DUMMYFUNCTION("""COMPUTED_VALUE"""),"FLT179")</f>
        <v>FLT179</v>
      </c>
      <c r="B130" s="8" t="str">
        <f>IFERROR(__xludf.DUMMYFUNCTION("""COMPUTED_VALUE"""),"RUN-FLMP_2021-03-26_APS-042")</f>
        <v>RUN-FLMP_2021-03-26_APS-042</v>
      </c>
      <c r="C130" s="10">
        <f>VLOOKUP(B130,'Run Reconcile'!A$2:B1579,2,FALSE)</f>
        <v>44281</v>
      </c>
      <c r="D130" s="14">
        <f>IFERROR(__xludf.DUMMYFUNCTION("""COMPUTED_VALUE"""),44281.0)</f>
        <v>44281</v>
      </c>
      <c r="E130" s="15">
        <f>IFERROR(__xludf.DUMMYFUNCTION("""COMPUTED_VALUE"""),0.34457175925854244)</f>
        <v>0.3445717593</v>
      </c>
      <c r="F130" s="8" t="str">
        <f>IFERROR(__xludf.DUMMYFUNCTION("""COMPUTED_VALUE"""),"Negative")</f>
        <v>Negative</v>
      </c>
      <c r="G130" s="16">
        <f>IFERROR(__xludf.DUMMYFUNCTION("""COMPUTED_VALUE"""),4.0)</f>
        <v>4</v>
      </c>
      <c r="H130" s="8" t="str">
        <f>IFERROR(__xludf.DUMMYFUNCTION("""COMPUTED_VALUE"""),"FLSP")</f>
        <v>FLSP</v>
      </c>
    </row>
    <row r="131">
      <c r="A131" s="8" t="str">
        <f>IFERROR(__xludf.DUMMYFUNCTION("""COMPUTED_VALUE"""),"T1241")</f>
        <v>T1241</v>
      </c>
      <c r="B131" s="8" t="str">
        <f>IFERROR(__xludf.DUMMYFUNCTION("""COMPUTED_VALUE"""),"RUN-FLMP_2021-03-29_APS-043")</f>
        <v>RUN-FLMP_2021-03-29_APS-043</v>
      </c>
      <c r="C131" s="10">
        <f>VLOOKUP(B131,'Run Reconcile'!A$2:B1579,2,FALSE)</f>
        <v>44284</v>
      </c>
      <c r="D131" s="14">
        <f>IFERROR(__xludf.DUMMYFUNCTION("""COMPUTED_VALUE"""),44284.0)</f>
        <v>44284</v>
      </c>
      <c r="E131" s="15">
        <f>IFERROR(__xludf.DUMMYFUNCTION("""COMPUTED_VALUE"""),0.31847222222131677)</f>
        <v>0.3184722222</v>
      </c>
      <c r="F131" s="8" t="str">
        <f>IFERROR(__xludf.DUMMYFUNCTION("""COMPUTED_VALUE"""),"Negative")</f>
        <v>Negative</v>
      </c>
      <c r="G131" s="16">
        <f>IFERROR(__xludf.DUMMYFUNCTION("""COMPUTED_VALUE"""),2.0)</f>
        <v>2</v>
      </c>
      <c r="H131" s="8" t="str">
        <f>IFERROR(__xludf.DUMMYFUNCTION("""COMPUTED_VALUE"""),"FLSP")</f>
        <v>FLSP</v>
      </c>
    </row>
    <row r="132">
      <c r="A132" s="8" t="str">
        <f>IFERROR(__xludf.DUMMYFUNCTION("""COMPUTED_VALUE"""),"FLT167")</f>
        <v>FLT167</v>
      </c>
      <c r="B132" s="8" t="str">
        <f>IFERROR(__xludf.DUMMYFUNCTION("""COMPUTED_VALUE"""),"RUN-FLMP_2021-03-29_APS-043")</f>
        <v>RUN-FLMP_2021-03-29_APS-043</v>
      </c>
      <c r="C132" s="10">
        <f>VLOOKUP(B132,'Run Reconcile'!A$2:B1579,2,FALSE)</f>
        <v>44284</v>
      </c>
      <c r="D132" s="14">
        <f>IFERROR(__xludf.DUMMYFUNCTION("""COMPUTED_VALUE"""),44284.0)</f>
        <v>44284</v>
      </c>
      <c r="E132" s="15">
        <f>IFERROR(__xludf.DUMMYFUNCTION("""COMPUTED_VALUE"""),0.3470833333340124)</f>
        <v>0.3470833333</v>
      </c>
      <c r="F132" s="8" t="str">
        <f>IFERROR(__xludf.DUMMYFUNCTION("""COMPUTED_VALUE"""),"Negative")</f>
        <v>Negative</v>
      </c>
      <c r="G132" s="16">
        <f>IFERROR(__xludf.DUMMYFUNCTION("""COMPUTED_VALUE"""),4.0)</f>
        <v>4</v>
      </c>
      <c r="H132" s="8" t="str">
        <f>IFERROR(__xludf.DUMMYFUNCTION("""COMPUTED_VALUE"""),"FLSP")</f>
        <v>FLSP</v>
      </c>
    </row>
    <row r="133">
      <c r="A133" s="8" t="str">
        <f>IFERROR(__xludf.DUMMYFUNCTION("""COMPUTED_VALUE"""),"T1240")</f>
        <v>T1240</v>
      </c>
      <c r="B133" s="8" t="str">
        <f>IFERROR(__xludf.DUMMYFUNCTION("""COMPUTED_VALUE"""),"RUN-FLMP_2021-04-16_APS-044")</f>
        <v>RUN-FLMP_2021-04-16_APS-044</v>
      </c>
      <c r="C133" s="10">
        <f>VLOOKUP(B133,'Run Reconcile'!A$2:B1579,2,FALSE)</f>
        <v>44302</v>
      </c>
      <c r="D133" s="14">
        <f>IFERROR(__xludf.DUMMYFUNCTION("""COMPUTED_VALUE"""),44302.0)</f>
        <v>44302</v>
      </c>
      <c r="E133" s="15">
        <f>IFERROR(__xludf.DUMMYFUNCTION("""COMPUTED_VALUE"""),0.3437615740731417)</f>
        <v>0.3437615741</v>
      </c>
      <c r="F133" s="8" t="str">
        <f>IFERROR(__xludf.DUMMYFUNCTION("""COMPUTED_VALUE"""),"Negative")</f>
        <v>Negative</v>
      </c>
      <c r="G133" s="16">
        <f>IFERROR(__xludf.DUMMYFUNCTION("""COMPUTED_VALUE"""),4.0)</f>
        <v>4</v>
      </c>
      <c r="H133" s="8" t="str">
        <f>IFERROR(__xludf.DUMMYFUNCTION("""COMPUTED_VALUE"""),"FLSP")</f>
        <v>FLSP</v>
      </c>
    </row>
    <row r="134">
      <c r="A134" s="8" t="str">
        <f>IFERROR(__xludf.DUMMYFUNCTION("""COMPUTED_VALUE"""),"FLT1557")</f>
        <v>FLT1557</v>
      </c>
      <c r="B134" s="8" t="str">
        <f>IFERROR(__xludf.DUMMYFUNCTION("""COMPUTED_VALUE"""),"RUN-FLMP_2021-04-16_APS-044")</f>
        <v>RUN-FLMP_2021-04-16_APS-044</v>
      </c>
      <c r="C134" s="10">
        <f>VLOOKUP(B134,'Run Reconcile'!A$2:B1579,2,FALSE)</f>
        <v>44302</v>
      </c>
      <c r="D134" s="14">
        <f>IFERROR(__xludf.DUMMYFUNCTION("""COMPUTED_VALUE"""),44302.0)</f>
        <v>44302</v>
      </c>
      <c r="E134" s="15">
        <f>IFERROR(__xludf.DUMMYFUNCTION("""COMPUTED_VALUE"""),0.35071759259153623)</f>
        <v>0.3507175926</v>
      </c>
      <c r="F134" s="8" t="str">
        <f>IFERROR(__xludf.DUMMYFUNCTION("""COMPUTED_VALUE"""),"Negative")</f>
        <v>Negative</v>
      </c>
      <c r="G134" s="16">
        <f>IFERROR(__xludf.DUMMYFUNCTION("""COMPUTED_VALUE"""),3.0)</f>
        <v>3</v>
      </c>
      <c r="H134" s="8" t="str">
        <f>IFERROR(__xludf.DUMMYFUNCTION("""COMPUTED_VALUE"""),"FLSP")</f>
        <v>FLSP</v>
      </c>
    </row>
    <row r="135">
      <c r="A135" s="8" t="str">
        <f>IFERROR(__xludf.DUMMYFUNCTION("""COMPUTED_VALUE"""),"FLT1537")</f>
        <v>FLT1537</v>
      </c>
      <c r="B135" s="8" t="str">
        <f>IFERROR(__xludf.DUMMYFUNCTION("""COMPUTED_VALUE"""),"RUN-FLMP_2021-04-16_APS-044")</f>
        <v>RUN-FLMP_2021-04-16_APS-044</v>
      </c>
      <c r="C135" s="10">
        <f>VLOOKUP(B135,'Run Reconcile'!A$2:B1579,2,FALSE)</f>
        <v>44302</v>
      </c>
      <c r="D135" s="14">
        <f>IFERROR(__xludf.DUMMYFUNCTION("""COMPUTED_VALUE"""),44302.0)</f>
        <v>44302</v>
      </c>
      <c r="E135" s="15">
        <f>IFERROR(__xludf.DUMMYFUNCTION("""COMPUTED_VALUE"""),0.35124999999970896)</f>
        <v>0.35125</v>
      </c>
      <c r="F135" s="8" t="str">
        <f>IFERROR(__xludf.DUMMYFUNCTION("""COMPUTED_VALUE"""),"Negative")</f>
        <v>Negative</v>
      </c>
      <c r="G135" s="16">
        <f>IFERROR(__xludf.DUMMYFUNCTION("""COMPUTED_VALUE"""),1.0)</f>
        <v>1</v>
      </c>
      <c r="H135" s="8" t="str">
        <f>IFERROR(__xludf.DUMMYFUNCTION("""COMPUTED_VALUE"""),"FLSP")</f>
        <v>FLSP</v>
      </c>
    </row>
    <row r="136">
      <c r="A136" s="8" t="str">
        <f>IFERROR(__xludf.DUMMYFUNCTION("""COMPUTED_VALUE"""),"T1211")</f>
        <v>T1211</v>
      </c>
      <c r="B136" s="8" t="str">
        <f>IFERROR(__xludf.DUMMYFUNCTION("""COMPUTED_VALUE"""),"RUN-FLMP_2021-05-09_APS-045")</f>
        <v>RUN-FLMP_2021-05-09_APS-045</v>
      </c>
      <c r="C136" s="10">
        <f>VLOOKUP(B136,'Run Reconcile'!A$2:B1579,2,FALSE)</f>
        <v>44325</v>
      </c>
      <c r="D136" s="14">
        <f>IFERROR(__xludf.DUMMYFUNCTION("""COMPUTED_VALUE"""),44325.0)</f>
        <v>44325</v>
      </c>
      <c r="E136" s="15">
        <f>IFERROR(__xludf.DUMMYFUNCTION("""COMPUTED_VALUE"""),0.8940046296302171)</f>
        <v>0.8940046296</v>
      </c>
      <c r="F136" s="8" t="str">
        <f>IFERROR(__xludf.DUMMYFUNCTION("""COMPUTED_VALUE"""),"Negative")</f>
        <v>Negative</v>
      </c>
      <c r="G136" s="16">
        <f>IFERROR(__xludf.DUMMYFUNCTION("""COMPUTED_VALUE"""),1.0)</f>
        <v>1</v>
      </c>
      <c r="H136" s="8" t="str">
        <f>IFERROR(__xludf.DUMMYFUNCTION("""COMPUTED_VALUE"""),"FLSP")</f>
        <v>FLSP</v>
      </c>
    </row>
    <row r="137">
      <c r="A137" s="8" t="str">
        <f>IFERROR(__xludf.DUMMYFUNCTION("""COMPUTED_VALUE"""),"D3978")</f>
        <v>D3978</v>
      </c>
      <c r="B137" s="8" t="str">
        <f>IFERROR(__xludf.DUMMYFUNCTION("""COMPUTED_VALUE"""),"RUN-FLMP_2021-05-10_APS-046")</f>
        <v>RUN-FLMP_2021-05-10_APS-046</v>
      </c>
      <c r="C137" s="10">
        <f>VLOOKUP(B137,'Run Reconcile'!A$2:B1579,2,FALSE)</f>
        <v>44326</v>
      </c>
      <c r="D137" s="14">
        <f>IFERROR(__xludf.DUMMYFUNCTION("""COMPUTED_VALUE"""),44326.0)</f>
        <v>44326</v>
      </c>
      <c r="E137" s="15">
        <f>IFERROR(__xludf.DUMMYFUNCTION("""COMPUTED_VALUE"""),0.24245370370408637)</f>
        <v>0.2424537037</v>
      </c>
      <c r="F137" s="8" t="str">
        <f>IFERROR(__xludf.DUMMYFUNCTION("""COMPUTED_VALUE"""),"Negative")</f>
        <v>Negative</v>
      </c>
      <c r="G137" s="16">
        <f>IFERROR(__xludf.DUMMYFUNCTION("""COMPUTED_VALUE"""),1.0)</f>
        <v>1</v>
      </c>
      <c r="H137" s="8" t="str">
        <f>IFERROR(__xludf.DUMMYFUNCTION("""COMPUTED_VALUE"""),"FLSP")</f>
        <v>FLSP</v>
      </c>
    </row>
    <row r="138">
      <c r="A138" s="8" t="str">
        <f>IFERROR(__xludf.DUMMYFUNCTION("""COMPUTED_VALUE"""),"FLT182")</f>
        <v>FLT182</v>
      </c>
      <c r="B138" s="8" t="str">
        <f>IFERROR(__xludf.DUMMYFUNCTION("""COMPUTED_VALUE"""),"RUN-FLMP_2021-05-10_APS-046")</f>
        <v>RUN-FLMP_2021-05-10_APS-046</v>
      </c>
      <c r="C138" s="10">
        <f>VLOOKUP(B138,'Run Reconcile'!A$2:B1579,2,FALSE)</f>
        <v>44326</v>
      </c>
      <c r="D138" s="14">
        <f>IFERROR(__xludf.DUMMYFUNCTION("""COMPUTED_VALUE"""),44326.0)</f>
        <v>44326</v>
      </c>
      <c r="E138" s="15">
        <f>IFERROR(__xludf.DUMMYFUNCTION("""COMPUTED_VALUE"""),0.3807060185172304)</f>
        <v>0.3807060185</v>
      </c>
      <c r="F138" s="8" t="str">
        <f>IFERROR(__xludf.DUMMYFUNCTION("""COMPUTED_VALUE"""),"Negative")</f>
        <v>Negative</v>
      </c>
      <c r="G138" s="16">
        <f>IFERROR(__xludf.DUMMYFUNCTION("""COMPUTED_VALUE"""),4.0)</f>
        <v>4</v>
      </c>
      <c r="H138" s="8" t="str">
        <f>IFERROR(__xludf.DUMMYFUNCTION("""COMPUTED_VALUE"""),"FLSP")</f>
        <v>FLSP</v>
      </c>
    </row>
    <row r="139">
      <c r="A139" s="8" t="str">
        <f>IFERROR(__xludf.DUMMYFUNCTION("""COMPUTED_VALUE"""),"FLT1584")</f>
        <v>FLT1584</v>
      </c>
      <c r="B139" s="8" t="str">
        <f>IFERROR(__xludf.DUMMYFUNCTION("""COMPUTED_VALUE"""),"RUN-FLMP_2021-05-18_APS-047")</f>
        <v>RUN-FLMP_2021-05-18_APS-047</v>
      </c>
      <c r="C139" s="10">
        <f>VLOOKUP(B139,'Run Reconcile'!A$2:B1579,2,FALSE)</f>
        <v>44334</v>
      </c>
      <c r="D139" s="14">
        <f>IFERROR(__xludf.DUMMYFUNCTION("""COMPUTED_VALUE"""),44334.0)</f>
        <v>44334</v>
      </c>
      <c r="E139" s="15">
        <f>IFERROR(__xludf.DUMMYFUNCTION("""COMPUTED_VALUE"""),0.36223379629518604)</f>
        <v>0.3622337963</v>
      </c>
      <c r="F139" s="8" t="str">
        <f>IFERROR(__xludf.DUMMYFUNCTION("""COMPUTED_VALUE"""),"Negative")</f>
        <v>Negative</v>
      </c>
      <c r="G139" s="16">
        <f>IFERROR(__xludf.DUMMYFUNCTION("""COMPUTED_VALUE"""),1.0)</f>
        <v>1</v>
      </c>
      <c r="H139" s="8" t="str">
        <f>IFERROR(__xludf.DUMMYFUNCTION("""COMPUTED_VALUE"""),"FLSP")</f>
        <v>FLSP</v>
      </c>
    </row>
    <row r="140">
      <c r="A140" s="8" t="str">
        <f>IFERROR(__xludf.DUMMYFUNCTION("""COMPUTED_VALUE"""),"FLT153")</f>
        <v>FLT153</v>
      </c>
      <c r="B140" s="8" t="str">
        <f>IFERROR(__xludf.DUMMYFUNCTION("""COMPUTED_VALUE"""),"RUN-FLMP_2021-05-18_APS-047")</f>
        <v>RUN-FLMP_2021-05-18_APS-047</v>
      </c>
      <c r="C140" s="10">
        <f>VLOOKUP(B140,'Run Reconcile'!A$2:B1579,2,FALSE)</f>
        <v>44334</v>
      </c>
      <c r="D140" s="14">
        <f>IFERROR(__xludf.DUMMYFUNCTION("""COMPUTED_VALUE"""),44334.0)</f>
        <v>44334</v>
      </c>
      <c r="E140" s="15">
        <f>IFERROR(__xludf.DUMMYFUNCTION("""COMPUTED_VALUE"""),0.36368055555431056)</f>
        <v>0.3636805556</v>
      </c>
      <c r="F140" s="8" t="str">
        <f>IFERROR(__xludf.DUMMYFUNCTION("""COMPUTED_VALUE"""),"Negative")</f>
        <v>Negative</v>
      </c>
      <c r="G140" s="16">
        <f>IFERROR(__xludf.DUMMYFUNCTION("""COMPUTED_VALUE"""),1.0)</f>
        <v>1</v>
      </c>
      <c r="H140" s="8" t="str">
        <f>IFERROR(__xludf.DUMMYFUNCTION("""COMPUTED_VALUE"""),"FLSP")</f>
        <v>FLSP</v>
      </c>
    </row>
    <row r="141">
      <c r="A141" s="8" t="str">
        <f>IFERROR(__xludf.DUMMYFUNCTION("""COMPUTED_VALUE"""),"FLT1572")</f>
        <v>FLT1572</v>
      </c>
      <c r="B141" s="8" t="str">
        <f>IFERROR(__xludf.DUMMYFUNCTION("""COMPUTED_VALUE"""),"RUN-FLMP_2021-05-18_APS-047")</f>
        <v>RUN-FLMP_2021-05-18_APS-047</v>
      </c>
      <c r="C141" s="10">
        <f>VLOOKUP(B141,'Run Reconcile'!A$2:B1579,2,FALSE)</f>
        <v>44334</v>
      </c>
      <c r="D141" s="14">
        <f>IFERROR(__xludf.DUMMYFUNCTION("""COMPUTED_VALUE"""),44334.0)</f>
        <v>44334</v>
      </c>
      <c r="E141" s="15">
        <f>IFERROR(__xludf.DUMMYFUNCTION("""COMPUTED_VALUE"""),0.36429398148175096)</f>
        <v>0.3642939815</v>
      </c>
      <c r="F141" s="8" t="str">
        <f>IFERROR(__xludf.DUMMYFUNCTION("""COMPUTED_VALUE"""),"Negative")</f>
        <v>Negative</v>
      </c>
      <c r="G141" s="16">
        <f>IFERROR(__xludf.DUMMYFUNCTION("""COMPUTED_VALUE"""),1.0)</f>
        <v>1</v>
      </c>
      <c r="H141" s="8" t="str">
        <f>IFERROR(__xludf.DUMMYFUNCTION("""COMPUTED_VALUE"""),"FLSP")</f>
        <v>FLSP</v>
      </c>
    </row>
    <row r="142">
      <c r="A142" s="8" t="str">
        <f>IFERROR(__xludf.DUMMYFUNCTION("""COMPUTED_VALUE"""),"FLT1512")</f>
        <v>FLT1512</v>
      </c>
      <c r="B142" s="8" t="str">
        <f>IFERROR(__xludf.DUMMYFUNCTION("""COMPUTED_VALUE"""),"RUN-FLMP_2021-05-18_APS-047")</f>
        <v>RUN-FLMP_2021-05-18_APS-047</v>
      </c>
      <c r="C142" s="10">
        <f>VLOOKUP(B142,'Run Reconcile'!A$2:B1579,2,FALSE)</f>
        <v>44334</v>
      </c>
      <c r="D142" s="14">
        <f>IFERROR(__xludf.DUMMYFUNCTION("""COMPUTED_VALUE"""),44334.0)</f>
        <v>44334</v>
      </c>
      <c r="E142" s="15">
        <f>IFERROR(__xludf.DUMMYFUNCTION("""COMPUTED_VALUE"""),0.36487268518612836)</f>
        <v>0.3648726852</v>
      </c>
      <c r="F142" s="8" t="str">
        <f>IFERROR(__xludf.DUMMYFUNCTION("""COMPUTED_VALUE"""),"Negative")</f>
        <v>Negative</v>
      </c>
      <c r="G142" s="16">
        <f>IFERROR(__xludf.DUMMYFUNCTION("""COMPUTED_VALUE"""),1.0)</f>
        <v>1</v>
      </c>
      <c r="H142" s="8" t="str">
        <f>IFERROR(__xludf.DUMMYFUNCTION("""COMPUTED_VALUE"""),"FLSP")</f>
        <v>FLSP</v>
      </c>
    </row>
    <row r="143">
      <c r="A143" s="8" t="str">
        <f>IFERROR(__xludf.DUMMYFUNCTION("""COMPUTED_VALUE"""),"FLT176")</f>
        <v>FLT176</v>
      </c>
      <c r="B143" s="8" t="str">
        <f>IFERROR(__xludf.DUMMYFUNCTION("""COMPUTED_VALUE"""),"RUN-FLMP_2021-05-18_APS-047")</f>
        <v>RUN-FLMP_2021-05-18_APS-047</v>
      </c>
      <c r="C143" s="10">
        <f>VLOOKUP(B143,'Run Reconcile'!A$2:B1579,2,FALSE)</f>
        <v>44334</v>
      </c>
      <c r="D143" s="14">
        <f>IFERROR(__xludf.DUMMYFUNCTION("""COMPUTED_VALUE"""),44334.0)</f>
        <v>44334</v>
      </c>
      <c r="E143" s="15">
        <f>IFERROR(__xludf.DUMMYFUNCTION("""COMPUTED_VALUE"""),0.3655092592598521)</f>
        <v>0.3655092593</v>
      </c>
      <c r="F143" s="8" t="str">
        <f>IFERROR(__xludf.DUMMYFUNCTION("""COMPUTED_VALUE"""),"Negative")</f>
        <v>Negative</v>
      </c>
      <c r="G143" s="16">
        <f>IFERROR(__xludf.DUMMYFUNCTION("""COMPUTED_VALUE"""),1.0)</f>
        <v>1</v>
      </c>
      <c r="H143" s="8" t="str">
        <f>IFERROR(__xludf.DUMMYFUNCTION("""COMPUTED_VALUE"""),"FLSP")</f>
        <v>FLSP</v>
      </c>
    </row>
    <row r="144">
      <c r="A144" s="8" t="str">
        <f>IFERROR(__xludf.DUMMYFUNCTION("""COMPUTED_VALUE"""),"FLT1458")</f>
        <v>FLT1458</v>
      </c>
      <c r="B144" s="8" t="str">
        <f>IFERROR(__xludf.DUMMYFUNCTION("""COMPUTED_VALUE"""),"RUN-FLMP_2021-05-18_APS-047")</f>
        <v>RUN-FLMP_2021-05-18_APS-047</v>
      </c>
      <c r="C144" s="10">
        <f>VLOOKUP(B144,'Run Reconcile'!A$2:B1579,2,FALSE)</f>
        <v>44334</v>
      </c>
      <c r="D144" s="14">
        <f>IFERROR(__xludf.DUMMYFUNCTION("""COMPUTED_VALUE"""),44334.0)</f>
        <v>44334</v>
      </c>
      <c r="E144" s="15">
        <f>IFERROR(__xludf.DUMMYFUNCTION("""COMPUTED_VALUE"""),0.4017824074071541)</f>
        <v>0.4017824074</v>
      </c>
      <c r="F144" s="8" t="str">
        <f>IFERROR(__xludf.DUMMYFUNCTION("""COMPUTED_VALUE"""),"Negative")</f>
        <v>Negative</v>
      </c>
      <c r="G144" s="16">
        <f>IFERROR(__xludf.DUMMYFUNCTION("""COMPUTED_VALUE"""),1.0)</f>
        <v>1</v>
      </c>
      <c r="H144" s="8" t="str">
        <f>IFERROR(__xludf.DUMMYFUNCTION("""COMPUTED_VALUE"""),"FLSP")</f>
        <v>FLSP</v>
      </c>
    </row>
    <row r="145">
      <c r="A145" s="8" t="str">
        <f>IFERROR(__xludf.DUMMYFUNCTION("""COMPUTED_VALUE"""),"FLT1594")</f>
        <v>FLT1594</v>
      </c>
      <c r="B145" s="8" t="str">
        <f>IFERROR(__xludf.DUMMYFUNCTION("""COMPUTED_VALUE"""),"RUN-FLMP_2021-06-17_APS-048")</f>
        <v>RUN-FLMP_2021-06-17_APS-048</v>
      </c>
      <c r="C145" s="10">
        <f>VLOOKUP(B145,'Run Reconcile'!A$2:B1579,2,FALSE)</f>
        <v>44364</v>
      </c>
      <c r="D145" s="14">
        <f>IFERROR(__xludf.DUMMYFUNCTION("""COMPUTED_VALUE"""),44364.0)</f>
        <v>44364</v>
      </c>
      <c r="E145" s="15">
        <f>IFERROR(__xludf.DUMMYFUNCTION("""COMPUTED_VALUE"""),0.1734722222208802)</f>
        <v>0.1734722222</v>
      </c>
      <c r="F145" s="8" t="str">
        <f>IFERROR(__xludf.DUMMYFUNCTION("""COMPUTED_VALUE"""),"Negative")</f>
        <v>Negative</v>
      </c>
      <c r="G145" s="16">
        <f>IFERROR(__xludf.DUMMYFUNCTION("""COMPUTED_VALUE"""),1.0)</f>
        <v>1</v>
      </c>
      <c r="H145" s="8" t="str">
        <f>IFERROR(__xludf.DUMMYFUNCTION("""COMPUTED_VALUE"""),"FLSP")</f>
        <v>FLSP</v>
      </c>
    </row>
    <row r="146">
      <c r="A146" s="8" t="str">
        <f>IFERROR(__xludf.DUMMYFUNCTION("""COMPUTED_VALUE"""),"FLT1123")</f>
        <v>FLT1123</v>
      </c>
      <c r="B146" s="8" t="str">
        <f>IFERROR(__xludf.DUMMYFUNCTION("""COMPUTED_VALUE"""),"RUN-FLMP_2021-06-17_APS-048")</f>
        <v>RUN-FLMP_2021-06-17_APS-048</v>
      </c>
      <c r="C146" s="10">
        <f>VLOOKUP(B146,'Run Reconcile'!A$2:B1579,2,FALSE)</f>
        <v>44364</v>
      </c>
      <c r="D146" s="14">
        <f>IFERROR(__xludf.DUMMYFUNCTION("""COMPUTED_VALUE"""),44364.0)</f>
        <v>44364</v>
      </c>
      <c r="E146" s="15">
        <f>IFERROR(__xludf.DUMMYFUNCTION("""COMPUTED_VALUE"""),0.18686342592627625)</f>
        <v>0.1868634259</v>
      </c>
      <c r="F146" s="8" t="str">
        <f>IFERROR(__xludf.DUMMYFUNCTION("""COMPUTED_VALUE"""),"Negative")</f>
        <v>Negative</v>
      </c>
      <c r="G146" s="16">
        <f>IFERROR(__xludf.DUMMYFUNCTION("""COMPUTED_VALUE"""),1.0)</f>
        <v>1</v>
      </c>
      <c r="H146" s="8" t="str">
        <f>IFERROR(__xludf.DUMMYFUNCTION("""COMPUTED_VALUE"""),"FLSP")</f>
        <v>FLSP</v>
      </c>
    </row>
    <row r="147">
      <c r="A147" s="8" t="str">
        <f>IFERROR(__xludf.DUMMYFUNCTION("""COMPUTED_VALUE"""),"FLM294")</f>
        <v>FLM294</v>
      </c>
      <c r="B147" s="8" t="str">
        <f>IFERROR(__xludf.DUMMYFUNCTION("""COMPUTED_VALUE"""),"RUN-FLMP_2021-09-03_APS-049")</f>
        <v>RUN-FLMP_2021-09-03_APS-049</v>
      </c>
      <c r="C147" s="10">
        <f>VLOOKUP(B147,'Run Reconcile'!A$2:B1579,2,FALSE)</f>
        <v>44442</v>
      </c>
      <c r="D147" s="14">
        <f>IFERROR(__xludf.DUMMYFUNCTION("""COMPUTED_VALUE"""),44442.0)</f>
        <v>44442</v>
      </c>
      <c r="E147" s="15">
        <f>IFERROR(__xludf.DUMMYFUNCTION("""COMPUTED_VALUE"""),0.3736574074064265)</f>
        <v>0.3736574074</v>
      </c>
      <c r="F147" s="8" t="str">
        <f>IFERROR(__xludf.DUMMYFUNCTION("""COMPUTED_VALUE"""),"Negative")</f>
        <v>Negative</v>
      </c>
      <c r="G147" s="16">
        <f>IFERROR(__xludf.DUMMYFUNCTION("""COMPUTED_VALUE"""),2.0)</f>
        <v>2</v>
      </c>
      <c r="H147" s="8" t="str">
        <f>IFERROR(__xludf.DUMMYFUNCTION("""COMPUTED_VALUE"""),"FLSP")</f>
        <v>FLSP</v>
      </c>
    </row>
    <row r="148">
      <c r="A148" s="8" t="str">
        <f>IFERROR(__xludf.DUMMYFUNCTION("""COMPUTED_VALUE"""),"FLM255")</f>
        <v>FLM255</v>
      </c>
      <c r="B148" s="8" t="str">
        <f>IFERROR(__xludf.DUMMYFUNCTION("""COMPUTED_VALUE"""),"RUN-FLMP_2021-09-03_APS-049")</f>
        <v>RUN-FLMP_2021-09-03_APS-049</v>
      </c>
      <c r="C148" s="10">
        <f>VLOOKUP(B148,'Run Reconcile'!A$2:B1579,2,FALSE)</f>
        <v>44442</v>
      </c>
      <c r="D148" s="14">
        <f>IFERROR(__xludf.DUMMYFUNCTION("""COMPUTED_VALUE"""),44442.0)</f>
        <v>44442</v>
      </c>
      <c r="E148" s="15">
        <f>IFERROR(__xludf.DUMMYFUNCTION("""COMPUTED_VALUE"""),0.3741319444452529)</f>
        <v>0.3741319444</v>
      </c>
      <c r="F148" s="8" t="str">
        <f>IFERROR(__xludf.DUMMYFUNCTION("""COMPUTED_VALUE"""),"Negative")</f>
        <v>Negative</v>
      </c>
      <c r="G148" s="16">
        <f>IFERROR(__xludf.DUMMYFUNCTION("""COMPUTED_VALUE"""),1.0)</f>
        <v>1</v>
      </c>
      <c r="H148" s="8" t="str">
        <f>IFERROR(__xludf.DUMMYFUNCTION("""COMPUTED_VALUE"""),"FLSP")</f>
        <v>FLSP</v>
      </c>
    </row>
    <row r="149">
      <c r="A149" s="8" t="str">
        <f>IFERROR(__xludf.DUMMYFUNCTION("""COMPUTED_VALUE"""),"FLM291")</f>
        <v>FLM291</v>
      </c>
      <c r="B149" s="8" t="str">
        <f>IFERROR(__xludf.DUMMYFUNCTION("""COMPUTED_VALUE"""),"RUN-FLMP_2021-09-03_APS-049")</f>
        <v>RUN-FLMP_2021-09-03_APS-049</v>
      </c>
      <c r="C149" s="10">
        <f>VLOOKUP(B149,'Run Reconcile'!A$2:B1579,2,FALSE)</f>
        <v>44442</v>
      </c>
      <c r="D149" s="14">
        <f>IFERROR(__xludf.DUMMYFUNCTION("""COMPUTED_VALUE"""),44442.0)</f>
        <v>44442</v>
      </c>
      <c r="E149" s="15">
        <f>IFERROR(__xludf.DUMMYFUNCTION("""COMPUTED_VALUE"""),0.3783680555570754)</f>
        <v>0.3783680556</v>
      </c>
      <c r="F149" s="8" t="str">
        <f>IFERROR(__xludf.DUMMYFUNCTION("""COMPUTED_VALUE"""),"Negative")</f>
        <v>Negative</v>
      </c>
      <c r="G149" s="16">
        <f>IFERROR(__xludf.DUMMYFUNCTION("""COMPUTED_VALUE"""),2.0)</f>
        <v>2</v>
      </c>
      <c r="H149" s="8" t="str">
        <f>IFERROR(__xludf.DUMMYFUNCTION("""COMPUTED_VALUE"""),"FLSP")</f>
        <v>FLSP</v>
      </c>
    </row>
    <row r="150">
      <c r="A150" s="8" t="str">
        <f>IFERROR(__xludf.DUMMYFUNCTION("""COMPUTED_VALUE"""),"FLM290")</f>
        <v>FLM290</v>
      </c>
      <c r="B150" s="8" t="str">
        <f>IFERROR(__xludf.DUMMYFUNCTION("""COMPUTED_VALUE"""),"RUN-FLMP_2021-09-03_APS-049")</f>
        <v>RUN-FLMP_2021-09-03_APS-049</v>
      </c>
      <c r="C150" s="10">
        <f>VLOOKUP(B150,'Run Reconcile'!A$2:B1579,2,FALSE)</f>
        <v>44442</v>
      </c>
      <c r="D150" s="14">
        <f>IFERROR(__xludf.DUMMYFUNCTION("""COMPUTED_VALUE"""),44442.0)</f>
        <v>44442</v>
      </c>
      <c r="E150" s="15">
        <f>IFERROR(__xludf.DUMMYFUNCTION("""COMPUTED_VALUE"""),0.44635416666642413)</f>
        <v>0.4463541667</v>
      </c>
      <c r="F150" s="8" t="str">
        <f>IFERROR(__xludf.DUMMYFUNCTION("""COMPUTED_VALUE"""),"Negative")</f>
        <v>Negative</v>
      </c>
      <c r="G150" s="16">
        <f>IFERROR(__xludf.DUMMYFUNCTION("""COMPUTED_VALUE"""),2.0)</f>
        <v>2</v>
      </c>
      <c r="H150" s="8" t="str">
        <f>IFERROR(__xludf.DUMMYFUNCTION("""COMPUTED_VALUE"""),"FLSP")</f>
        <v>FLSP</v>
      </c>
    </row>
    <row r="151">
      <c r="A151" s="8" t="str">
        <f>IFERROR(__xludf.DUMMYFUNCTION("""COMPUTED_VALUE"""),"FLM243")</f>
        <v>FLM243</v>
      </c>
      <c r="B151" s="8" t="str">
        <f>IFERROR(__xludf.DUMMYFUNCTION("""COMPUTED_VALUE"""),"RUN-FLMP_2021-09-10_APS-050")</f>
        <v>RUN-FLMP_2021-09-10_APS-050</v>
      </c>
      <c r="C151" s="10">
        <f>VLOOKUP(B151,'Run Reconcile'!A$2:B1579,2,FALSE)</f>
        <v>44449</v>
      </c>
      <c r="D151" s="14">
        <f>IFERROR(__xludf.DUMMYFUNCTION("""COMPUTED_VALUE"""),44449.0)</f>
        <v>44449</v>
      </c>
      <c r="E151" s="15">
        <f>IFERROR(__xludf.DUMMYFUNCTION("""COMPUTED_VALUE"""),0.37010416666817036)</f>
        <v>0.3701041667</v>
      </c>
      <c r="F151" s="8" t="str">
        <f>IFERROR(__xludf.DUMMYFUNCTION("""COMPUTED_VALUE"""),"Negative")</f>
        <v>Negative</v>
      </c>
      <c r="G151" s="16">
        <f>IFERROR(__xludf.DUMMYFUNCTION("""COMPUTED_VALUE"""),2.0)</f>
        <v>2</v>
      </c>
      <c r="H151" s="8" t="str">
        <f>IFERROR(__xludf.DUMMYFUNCTION("""COMPUTED_VALUE"""),"FLSP")</f>
        <v>FLSP</v>
      </c>
    </row>
    <row r="152">
      <c r="A152" s="8" t="str">
        <f>IFERROR(__xludf.DUMMYFUNCTION("""COMPUTED_VALUE"""),"FLM292")</f>
        <v>FLM292</v>
      </c>
      <c r="B152" s="8" t="str">
        <f>IFERROR(__xludf.DUMMYFUNCTION("""COMPUTED_VALUE"""),"RUN-FLMP_2021-09-10_APS-050")</f>
        <v>RUN-FLMP_2021-09-10_APS-050</v>
      </c>
      <c r="C152" s="10">
        <f>VLOOKUP(B152,'Run Reconcile'!A$2:B1579,2,FALSE)</f>
        <v>44449</v>
      </c>
      <c r="D152" s="14">
        <f>IFERROR(__xludf.DUMMYFUNCTION("""COMPUTED_VALUE"""),44449.0)</f>
        <v>44449</v>
      </c>
      <c r="E152" s="15">
        <f>IFERROR(__xludf.DUMMYFUNCTION("""COMPUTED_VALUE"""),0.3706712962957681)</f>
        <v>0.3706712963</v>
      </c>
      <c r="F152" s="8" t="str">
        <f>IFERROR(__xludf.DUMMYFUNCTION("""COMPUTED_VALUE"""),"Negative")</f>
        <v>Negative</v>
      </c>
      <c r="G152" s="16">
        <f>IFERROR(__xludf.DUMMYFUNCTION("""COMPUTED_VALUE"""),2.0)</f>
        <v>2</v>
      </c>
      <c r="H152" s="8" t="str">
        <f>IFERROR(__xludf.DUMMYFUNCTION("""COMPUTED_VALUE"""),"FLSP")</f>
        <v>FLSP</v>
      </c>
    </row>
    <row r="153">
      <c r="A153" s="8" t="str">
        <f>IFERROR(__xludf.DUMMYFUNCTION("""COMPUTED_VALUE"""),"FLM269")</f>
        <v>FLM269</v>
      </c>
      <c r="B153" s="8" t="str">
        <f>IFERROR(__xludf.DUMMYFUNCTION("""COMPUTED_VALUE"""),"RUN-FLMP_2021-09-13_APS-051")</f>
        <v>RUN-FLMP_2021-09-13_APS-051</v>
      </c>
      <c r="C153" s="10">
        <f>VLOOKUP(B153,'Run Reconcile'!A$2:B1579,2,FALSE)</f>
        <v>44452</v>
      </c>
      <c r="D153" s="14">
        <f>IFERROR(__xludf.DUMMYFUNCTION("""COMPUTED_VALUE"""),44452.0)</f>
        <v>44452</v>
      </c>
      <c r="E153" s="15">
        <f>IFERROR(__xludf.DUMMYFUNCTION("""COMPUTED_VALUE"""),0.3887615740750334)</f>
        <v>0.3887615741</v>
      </c>
      <c r="F153" s="8" t="str">
        <f>IFERROR(__xludf.DUMMYFUNCTION("""COMPUTED_VALUE"""),"Negative")</f>
        <v>Negative</v>
      </c>
      <c r="G153" s="16">
        <f>IFERROR(__xludf.DUMMYFUNCTION("""COMPUTED_VALUE"""),1.0)</f>
        <v>1</v>
      </c>
      <c r="H153" s="8" t="str">
        <f>IFERROR(__xludf.DUMMYFUNCTION("""COMPUTED_VALUE"""),"FLSP")</f>
        <v>FLSP</v>
      </c>
    </row>
    <row r="154">
      <c r="A154" s="8" t="str">
        <f>IFERROR(__xludf.DUMMYFUNCTION("""COMPUTED_VALUE"""),"A171978")</f>
        <v>A171978</v>
      </c>
      <c r="B154" s="8" t="str">
        <f>IFERROR(__xludf.DUMMYFUNCTION("""COMPUTED_VALUE"""),"RUN-FLMP_2021-09-13_APS-051")</f>
        <v>RUN-FLMP_2021-09-13_APS-051</v>
      </c>
      <c r="C154" s="10">
        <f>VLOOKUP(B154,'Run Reconcile'!A$2:B1579,2,FALSE)</f>
        <v>44452</v>
      </c>
      <c r="D154" s="14">
        <f>IFERROR(__xludf.DUMMYFUNCTION("""COMPUTED_VALUE"""),44452.0)</f>
        <v>44452</v>
      </c>
      <c r="E154" s="15">
        <f>IFERROR(__xludf.DUMMYFUNCTION("""COMPUTED_VALUE"""),0.38881944444437977)</f>
        <v>0.3888194444</v>
      </c>
      <c r="F154" s="8" t="str">
        <f>IFERROR(__xludf.DUMMYFUNCTION("""COMPUTED_VALUE"""),"Negative")</f>
        <v>Negative</v>
      </c>
      <c r="G154" s="16">
        <f>IFERROR(__xludf.DUMMYFUNCTION("""COMPUTED_VALUE"""),2.0)</f>
        <v>2</v>
      </c>
      <c r="H154" s="8" t="str">
        <f>IFERROR(__xludf.DUMMYFUNCTION("""COMPUTED_VALUE"""),"FLSP")</f>
        <v>FLSP</v>
      </c>
    </row>
    <row r="155">
      <c r="A155" s="8" t="str">
        <f>IFERROR(__xludf.DUMMYFUNCTION("""COMPUTED_VALUE"""),"FLM298")</f>
        <v>FLM298</v>
      </c>
      <c r="B155" s="8" t="str">
        <f>IFERROR(__xludf.DUMMYFUNCTION("""COMPUTED_VALUE"""),"RUN-FLMP_2021-09-13_APS-051")</f>
        <v>RUN-FLMP_2021-09-13_APS-051</v>
      </c>
      <c r="C155" s="10">
        <f>VLOOKUP(B155,'Run Reconcile'!A$2:B1579,2,FALSE)</f>
        <v>44452</v>
      </c>
      <c r="D155" s="14">
        <f>IFERROR(__xludf.DUMMYFUNCTION("""COMPUTED_VALUE"""),44452.0)</f>
        <v>44452</v>
      </c>
      <c r="E155" s="15">
        <f>IFERROR(__xludf.DUMMYFUNCTION("""COMPUTED_VALUE"""),0.40430555555576575)</f>
        <v>0.4043055556</v>
      </c>
      <c r="F155" s="8" t="str">
        <f>IFERROR(__xludf.DUMMYFUNCTION("""COMPUTED_VALUE"""),"Negative")</f>
        <v>Negative</v>
      </c>
      <c r="G155" s="16">
        <f>IFERROR(__xludf.DUMMYFUNCTION("""COMPUTED_VALUE"""),1.0)</f>
        <v>1</v>
      </c>
      <c r="H155" s="8" t="str">
        <f>IFERROR(__xludf.DUMMYFUNCTION("""COMPUTED_VALUE"""),"FLSP")</f>
        <v>FLSP</v>
      </c>
    </row>
    <row r="156">
      <c r="A156" s="8" t="str">
        <f>IFERROR(__xludf.DUMMYFUNCTION("""COMPUTED_VALUE"""),"MAX421")</f>
        <v>MAX421</v>
      </c>
      <c r="B156" s="8" t="str">
        <f>IFERROR(__xludf.DUMMYFUNCTION("""COMPUTED_VALUE"""),"RUN-FLMP_2021-09-15_APS-052")</f>
        <v>RUN-FLMP_2021-09-15_APS-052</v>
      </c>
      <c r="C156" s="10">
        <f>VLOOKUP(B156,'Run Reconcile'!A$2:B1579,2,FALSE)</f>
        <v>44454</v>
      </c>
      <c r="D156" s="14">
        <f>IFERROR(__xludf.DUMMYFUNCTION("""COMPUTED_VALUE"""),44454.0)</f>
        <v>44454</v>
      </c>
      <c r="E156" s="15">
        <f>IFERROR(__xludf.DUMMYFUNCTION("""COMPUTED_VALUE"""),0.37028935185298906)</f>
        <v>0.3702893519</v>
      </c>
      <c r="F156" s="8" t="str">
        <f>IFERROR(__xludf.DUMMYFUNCTION("""COMPUTED_VALUE"""),"Negative")</f>
        <v>Negative</v>
      </c>
      <c r="G156" s="16">
        <f>IFERROR(__xludf.DUMMYFUNCTION("""COMPUTED_VALUE"""),2.0)</f>
        <v>2</v>
      </c>
      <c r="H156" s="8" t="str">
        <f>IFERROR(__xludf.DUMMYFUNCTION("""COMPUTED_VALUE"""),"FLSP")</f>
        <v>FLSP</v>
      </c>
    </row>
    <row r="157">
      <c r="A157" s="8" t="str">
        <f>IFERROR(__xludf.DUMMYFUNCTION("""COMPUTED_VALUE"""),"MAX392")</f>
        <v>MAX392</v>
      </c>
      <c r="B157" s="8" t="str">
        <f>IFERROR(__xludf.DUMMYFUNCTION("""COMPUTED_VALUE"""),"RUN-FLMP_2021-09-15_APS-052")</f>
        <v>RUN-FLMP_2021-09-15_APS-052</v>
      </c>
      <c r="C157" s="10">
        <f>VLOOKUP(B157,'Run Reconcile'!A$2:B1579,2,FALSE)</f>
        <v>44454</v>
      </c>
      <c r="D157" s="14">
        <f>IFERROR(__xludf.DUMMYFUNCTION("""COMPUTED_VALUE"""),44454.0)</f>
        <v>44454</v>
      </c>
      <c r="E157" s="15">
        <f>IFERROR(__xludf.DUMMYFUNCTION("""COMPUTED_VALUE"""),0.3718287037045229)</f>
        <v>0.3718287037</v>
      </c>
      <c r="F157" s="8" t="str">
        <f>IFERROR(__xludf.DUMMYFUNCTION("""COMPUTED_VALUE"""),"Negative")</f>
        <v>Negative</v>
      </c>
      <c r="G157" s="16">
        <f>IFERROR(__xludf.DUMMYFUNCTION("""COMPUTED_VALUE"""),2.0)</f>
        <v>2</v>
      </c>
      <c r="H157" s="8" t="str">
        <f>IFERROR(__xludf.DUMMYFUNCTION("""COMPUTED_VALUE"""),"FLSP")</f>
        <v>FLSP</v>
      </c>
    </row>
    <row r="158">
      <c r="A158" s="8" t="str">
        <f>IFERROR(__xludf.DUMMYFUNCTION("""COMPUTED_VALUE"""),"FLM250")</f>
        <v>FLM250</v>
      </c>
      <c r="B158" s="8" t="str">
        <f>IFERROR(__xludf.DUMMYFUNCTION("""COMPUTED_VALUE"""),"RUN-FLMP_2021-09-15_APS-052")</f>
        <v>RUN-FLMP_2021-09-15_APS-052</v>
      </c>
      <c r="C158" s="10">
        <f>VLOOKUP(B158,'Run Reconcile'!A$2:B1579,2,FALSE)</f>
        <v>44454</v>
      </c>
      <c r="D158" s="14">
        <f>IFERROR(__xludf.DUMMYFUNCTION("""COMPUTED_VALUE"""),44454.0)</f>
        <v>44454</v>
      </c>
      <c r="E158" s="15">
        <f>IFERROR(__xludf.DUMMYFUNCTION("""COMPUTED_VALUE"""),0.39780092592627625)</f>
        <v>0.3978009259</v>
      </c>
      <c r="F158" s="8" t="str">
        <f>IFERROR(__xludf.DUMMYFUNCTION("""COMPUTED_VALUE"""),"Negative")</f>
        <v>Negative</v>
      </c>
      <c r="G158" s="16">
        <f>IFERROR(__xludf.DUMMYFUNCTION("""COMPUTED_VALUE"""),1.0)</f>
        <v>1</v>
      </c>
      <c r="H158" s="8" t="str">
        <f>IFERROR(__xludf.DUMMYFUNCTION("""COMPUTED_VALUE"""),"FLSP")</f>
        <v>FLSP</v>
      </c>
    </row>
    <row r="159">
      <c r="A159" s="8" t="str">
        <f>IFERROR(__xludf.DUMMYFUNCTION("""COMPUTED_VALUE"""),"MAX362")</f>
        <v>MAX362</v>
      </c>
      <c r="B159" s="8" t="str">
        <f>IFERROR(__xludf.DUMMYFUNCTION("""COMPUTED_VALUE"""),"RUN-FLMP_2021-09-21_APS-053")</f>
        <v>RUN-FLMP_2021-09-21_APS-053</v>
      </c>
      <c r="C159" s="10">
        <f>VLOOKUP(B159,'Run Reconcile'!A$2:B1579,2,FALSE)</f>
        <v>44460</v>
      </c>
      <c r="D159" s="14">
        <f>IFERROR(__xludf.DUMMYFUNCTION("""COMPUTED_VALUE"""),44460.0)</f>
        <v>44460</v>
      </c>
      <c r="E159" s="15">
        <f>IFERROR(__xludf.DUMMYFUNCTION("""COMPUTED_VALUE"""),0.5931828703687643)</f>
        <v>0.5931828704</v>
      </c>
      <c r="F159" s="8" t="str">
        <f>IFERROR(__xludf.DUMMYFUNCTION("""COMPUTED_VALUE"""),"Negative")</f>
        <v>Negative</v>
      </c>
      <c r="G159" s="16">
        <f>IFERROR(__xludf.DUMMYFUNCTION("""COMPUTED_VALUE"""),2.0)</f>
        <v>2</v>
      </c>
      <c r="H159" s="8" t="str">
        <f>IFERROR(__xludf.DUMMYFUNCTION("""COMPUTED_VALUE"""),"FLSP")</f>
        <v>FLSP</v>
      </c>
    </row>
    <row r="160">
      <c r="A160" s="8" t="str">
        <f>IFERROR(__xludf.DUMMYFUNCTION("""COMPUTED_VALUE"""),"MAX409")</f>
        <v>MAX409</v>
      </c>
      <c r="B160" s="8" t="str">
        <f>IFERROR(__xludf.DUMMYFUNCTION("""COMPUTED_VALUE"""),"RUN-FLMP_2021-09-21_APS-053")</f>
        <v>RUN-FLMP_2021-09-21_APS-053</v>
      </c>
      <c r="C160" s="10">
        <f>VLOOKUP(B160,'Run Reconcile'!A$2:B1579,2,FALSE)</f>
        <v>44460</v>
      </c>
      <c r="D160" s="14">
        <f>IFERROR(__xludf.DUMMYFUNCTION("""COMPUTED_VALUE"""),44460.0)</f>
        <v>44460</v>
      </c>
      <c r="E160" s="15">
        <f>IFERROR(__xludf.DUMMYFUNCTION("""COMPUTED_VALUE"""),0.5946875000008731)</f>
        <v>0.5946875</v>
      </c>
      <c r="F160" s="8" t="str">
        <f>IFERROR(__xludf.DUMMYFUNCTION("""COMPUTED_VALUE"""),"Negative")</f>
        <v>Negative</v>
      </c>
      <c r="G160" s="16">
        <f>IFERROR(__xludf.DUMMYFUNCTION("""COMPUTED_VALUE"""),2.0)</f>
        <v>2</v>
      </c>
      <c r="H160" s="8" t="str">
        <f>IFERROR(__xludf.DUMMYFUNCTION("""COMPUTED_VALUE"""),"FLSP")</f>
        <v>FLSP</v>
      </c>
    </row>
    <row r="161">
      <c r="A161" s="8" t="str">
        <f>IFERROR(__xludf.DUMMYFUNCTION("""COMPUTED_VALUE"""),"MAX459A")</f>
        <v>MAX459A</v>
      </c>
      <c r="B161" s="8" t="str">
        <f>IFERROR(__xludf.DUMMYFUNCTION("""COMPUTED_VALUE"""),"RUN-FLMP_2021-09-24_APS-054")</f>
        <v>RUN-FLMP_2021-09-24_APS-054</v>
      </c>
      <c r="C161" s="10">
        <f>VLOOKUP(B161,'Run Reconcile'!A$2:B1579,2,FALSE)</f>
        <v>44463</v>
      </c>
      <c r="D161" s="14">
        <f>IFERROR(__xludf.DUMMYFUNCTION("""COMPUTED_VALUE"""),44463.0)</f>
        <v>44463</v>
      </c>
      <c r="E161" s="15">
        <f>IFERROR(__xludf.DUMMYFUNCTION("""COMPUTED_VALUE"""),0.7037962962967867)</f>
        <v>0.7037962963</v>
      </c>
      <c r="F161" s="8" t="str">
        <f>IFERROR(__xludf.DUMMYFUNCTION("""COMPUTED_VALUE"""),"Negative")</f>
        <v>Negative</v>
      </c>
      <c r="G161" s="16">
        <f>IFERROR(__xludf.DUMMYFUNCTION("""COMPUTED_VALUE"""),2.0)</f>
        <v>2</v>
      </c>
      <c r="H161" s="8" t="str">
        <f>IFERROR(__xludf.DUMMYFUNCTION("""COMPUTED_VALUE"""),"FLSP")</f>
        <v>FLSP</v>
      </c>
    </row>
    <row r="162">
      <c r="A162" s="8" t="str">
        <f>IFERROR(__xludf.DUMMYFUNCTION("""COMPUTED_VALUE"""),"MAX376")</f>
        <v>MAX376</v>
      </c>
      <c r="B162" s="8" t="str">
        <f>IFERROR(__xludf.DUMMYFUNCTION("""COMPUTED_VALUE"""),"RUN-FLMP_2021-09-24_APS-054")</f>
        <v>RUN-FLMP_2021-09-24_APS-054</v>
      </c>
      <c r="C162" s="10">
        <f>VLOOKUP(B162,'Run Reconcile'!A$2:B1579,2,FALSE)</f>
        <v>44463</v>
      </c>
      <c r="D162" s="14">
        <f>IFERROR(__xludf.DUMMYFUNCTION("""COMPUTED_VALUE"""),44463.0)</f>
        <v>44463</v>
      </c>
      <c r="E162" s="15">
        <f>IFERROR(__xludf.DUMMYFUNCTION("""COMPUTED_VALUE"""),0.7067939814805868)</f>
        <v>0.7067939815</v>
      </c>
      <c r="F162" s="8" t="str">
        <f>IFERROR(__xludf.DUMMYFUNCTION("""COMPUTED_VALUE"""),"Negative")</f>
        <v>Negative</v>
      </c>
      <c r="G162" s="16">
        <f>IFERROR(__xludf.DUMMYFUNCTION("""COMPUTED_VALUE"""),1.0)</f>
        <v>1</v>
      </c>
      <c r="H162" s="8" t="str">
        <f>IFERROR(__xludf.DUMMYFUNCTION("""COMPUTED_VALUE"""),"FLSP")</f>
        <v>FLSP</v>
      </c>
    </row>
    <row r="163">
      <c r="A163" s="8" t="str">
        <f>IFERROR(__xludf.DUMMYFUNCTION("""COMPUTED_VALUE"""),"MAX445")</f>
        <v>MAX445</v>
      </c>
      <c r="B163" s="8" t="str">
        <f>IFERROR(__xludf.DUMMYFUNCTION("""COMPUTED_VALUE"""),"RUN-FLMP_2021-10-04_APS-055")</f>
        <v>RUN-FLMP_2021-10-04_APS-055</v>
      </c>
      <c r="C163" s="10">
        <f>VLOOKUP(B163,'Run Reconcile'!A$2:B1579,2,FALSE)</f>
        <v>44473</v>
      </c>
      <c r="D163" s="14">
        <f>IFERROR(__xludf.DUMMYFUNCTION("""COMPUTED_VALUE"""),44473.0)</f>
        <v>44473</v>
      </c>
      <c r="E163" s="15">
        <f>IFERROR(__xludf.DUMMYFUNCTION("""COMPUTED_VALUE"""),0.38509259259080864)</f>
        <v>0.3850925926</v>
      </c>
      <c r="F163" s="8" t="str">
        <f>IFERROR(__xludf.DUMMYFUNCTION("""COMPUTED_VALUE"""),"Negative")</f>
        <v>Negative</v>
      </c>
      <c r="G163" s="16">
        <f>IFERROR(__xludf.DUMMYFUNCTION("""COMPUTED_VALUE"""),1.0)</f>
        <v>1</v>
      </c>
      <c r="H163" s="8" t="str">
        <f>IFERROR(__xludf.DUMMYFUNCTION("""COMPUTED_VALUE"""),"FLSP")</f>
        <v>FLSP</v>
      </c>
    </row>
    <row r="164">
      <c r="A164" s="8" t="str">
        <f>IFERROR(__xludf.DUMMYFUNCTION("""COMPUTED_VALUE"""),"MAX380")</f>
        <v>MAX380</v>
      </c>
      <c r="B164" s="8" t="str">
        <f>IFERROR(__xludf.DUMMYFUNCTION("""COMPUTED_VALUE"""),"RUN-FLMP_2021-10-04_APS-055")</f>
        <v>RUN-FLMP_2021-10-04_APS-055</v>
      </c>
      <c r="C164" s="10">
        <f>VLOOKUP(B164,'Run Reconcile'!A$2:B1579,2,FALSE)</f>
        <v>44473</v>
      </c>
      <c r="D164" s="14">
        <f>IFERROR(__xludf.DUMMYFUNCTION("""COMPUTED_VALUE"""),44473.0)</f>
        <v>44473</v>
      </c>
      <c r="E164" s="15">
        <f>IFERROR(__xludf.DUMMYFUNCTION("""COMPUTED_VALUE"""),0.3860416666684614)</f>
        <v>0.3860416667</v>
      </c>
      <c r="F164" s="8" t="str">
        <f>IFERROR(__xludf.DUMMYFUNCTION("""COMPUTED_VALUE"""),"Negative")</f>
        <v>Negative</v>
      </c>
      <c r="G164" s="16">
        <f>IFERROR(__xludf.DUMMYFUNCTION("""COMPUTED_VALUE"""),2.0)</f>
        <v>2</v>
      </c>
      <c r="H164" s="8" t="str">
        <f>IFERROR(__xludf.DUMMYFUNCTION("""COMPUTED_VALUE"""),"FLSP")</f>
        <v>FLSP</v>
      </c>
    </row>
    <row r="165">
      <c r="A165" s="8" t="str">
        <f>IFERROR(__xludf.DUMMYFUNCTION("""COMPUTED_VALUE"""),"FLM282")</f>
        <v>FLM282</v>
      </c>
      <c r="B165" s="8" t="str">
        <f>IFERROR(__xludf.DUMMYFUNCTION("""COMPUTED_VALUE"""),"RUN-FLMP_2021-10-05_APS-056")</f>
        <v>RUN-FLMP_2021-10-05_APS-056</v>
      </c>
      <c r="C165" s="10">
        <f>VLOOKUP(B165,'Run Reconcile'!A$2:B1579,2,FALSE)</f>
        <v>44474</v>
      </c>
      <c r="D165" s="14">
        <f>IFERROR(__xludf.DUMMYFUNCTION("""COMPUTED_VALUE"""),44474.0)</f>
        <v>44474</v>
      </c>
      <c r="E165" s="15">
        <f>IFERROR(__xludf.DUMMYFUNCTION("""COMPUTED_VALUE"""),0.6805555555547471)</f>
        <v>0.6805555556</v>
      </c>
      <c r="F165" s="8" t="str">
        <f>IFERROR(__xludf.DUMMYFUNCTION("""COMPUTED_VALUE"""),"Negative")</f>
        <v>Negative</v>
      </c>
      <c r="G165" s="16">
        <f>IFERROR(__xludf.DUMMYFUNCTION("""COMPUTED_VALUE"""),2.0)</f>
        <v>2</v>
      </c>
      <c r="H165" s="8" t="str">
        <f>IFERROR(__xludf.DUMMYFUNCTION("""COMPUTED_VALUE"""),"FLSP")</f>
        <v>FLSP</v>
      </c>
    </row>
    <row r="166">
      <c r="A166" s="8" t="str">
        <f>IFERROR(__xludf.DUMMYFUNCTION("""COMPUTED_VALUE"""),"FLM257")</f>
        <v>FLM257</v>
      </c>
      <c r="B166" s="8" t="str">
        <f>IFERROR(__xludf.DUMMYFUNCTION("""COMPUTED_VALUE"""),"RUN-FLMP_2021-10-05_APS-056")</f>
        <v>RUN-FLMP_2021-10-05_APS-056</v>
      </c>
      <c r="C166" s="10">
        <f>VLOOKUP(B166,'Run Reconcile'!A$2:B1579,2,FALSE)</f>
        <v>44474</v>
      </c>
      <c r="D166" s="14">
        <f>IFERROR(__xludf.DUMMYFUNCTION("""COMPUTED_VALUE"""),44474.0)</f>
        <v>44474</v>
      </c>
      <c r="E166" s="15">
        <f>IFERROR(__xludf.DUMMYFUNCTION("""COMPUTED_VALUE"""),0.6814004629632109)</f>
        <v>0.681400463</v>
      </c>
      <c r="F166" s="8" t="str">
        <f>IFERROR(__xludf.DUMMYFUNCTION("""COMPUTED_VALUE"""),"Negative")</f>
        <v>Negative</v>
      </c>
      <c r="G166" s="16">
        <f>IFERROR(__xludf.DUMMYFUNCTION("""COMPUTED_VALUE"""),1.0)</f>
        <v>1</v>
      </c>
      <c r="H166" s="8" t="str">
        <f>IFERROR(__xludf.DUMMYFUNCTION("""COMPUTED_VALUE"""),"FLSP")</f>
        <v>FLSP</v>
      </c>
    </row>
    <row r="167">
      <c r="A167" s="8" t="str">
        <f>IFERROR(__xludf.DUMMYFUNCTION("""COMPUTED_VALUE"""),"MAX453")</f>
        <v>MAX453</v>
      </c>
      <c r="B167" s="8" t="str">
        <f>IFERROR(__xludf.DUMMYFUNCTION("""COMPUTED_VALUE"""),"RUN-FLMP_2021-10-10_APS-057")</f>
        <v>RUN-FLMP_2021-10-10_APS-057</v>
      </c>
      <c r="C167" s="10">
        <f>VLOOKUP(B167,'Run Reconcile'!A$2:B1579,2,FALSE)</f>
        <v>44479</v>
      </c>
      <c r="D167" s="14">
        <f>IFERROR(__xludf.DUMMYFUNCTION("""COMPUTED_VALUE"""),44479.0)</f>
        <v>44479</v>
      </c>
      <c r="E167" s="15">
        <f>IFERROR(__xludf.DUMMYFUNCTION("""COMPUTED_VALUE"""),0.5948495370357705)</f>
        <v>0.594849537</v>
      </c>
      <c r="F167" s="8" t="str">
        <f>IFERROR(__xludf.DUMMYFUNCTION("""COMPUTED_VALUE"""),"Negative")</f>
        <v>Negative</v>
      </c>
      <c r="G167" s="16">
        <f>IFERROR(__xludf.DUMMYFUNCTION("""COMPUTED_VALUE"""),1.0)</f>
        <v>1</v>
      </c>
      <c r="H167" s="8" t="str">
        <f>IFERROR(__xludf.DUMMYFUNCTION("""COMPUTED_VALUE"""),"FLSP")</f>
        <v>FLSP</v>
      </c>
    </row>
    <row r="168">
      <c r="A168" s="8" t="str">
        <f>IFERROR(__xludf.DUMMYFUNCTION("""COMPUTED_VALUE"""),"MAX438")</f>
        <v>MAX438</v>
      </c>
      <c r="B168" s="8" t="str">
        <f>IFERROR(__xludf.DUMMYFUNCTION("""COMPUTED_VALUE"""),"RUN-FLMP_2021-10-10_APS-057")</f>
        <v>RUN-FLMP_2021-10-10_APS-057</v>
      </c>
      <c r="C168" s="10">
        <f>VLOOKUP(B168,'Run Reconcile'!A$2:B1579,2,FALSE)</f>
        <v>44479</v>
      </c>
      <c r="D168" s="14">
        <f>IFERROR(__xludf.DUMMYFUNCTION("""COMPUTED_VALUE"""),44479.0)</f>
        <v>44479</v>
      </c>
      <c r="E168" s="15">
        <f>IFERROR(__xludf.DUMMYFUNCTION("""COMPUTED_VALUE"""),0.5953125000014552)</f>
        <v>0.5953125</v>
      </c>
      <c r="F168" s="8" t="str">
        <f>IFERROR(__xludf.DUMMYFUNCTION("""COMPUTED_VALUE"""),"Negative")</f>
        <v>Negative</v>
      </c>
      <c r="G168" s="16">
        <f>IFERROR(__xludf.DUMMYFUNCTION("""COMPUTED_VALUE"""),2.0)</f>
        <v>2</v>
      </c>
      <c r="H168" s="8" t="str">
        <f>IFERROR(__xludf.DUMMYFUNCTION("""COMPUTED_VALUE"""),"FLSP")</f>
        <v>FLSP</v>
      </c>
    </row>
    <row r="169">
      <c r="A169" s="8" t="str">
        <f>IFERROR(__xludf.DUMMYFUNCTION("""COMPUTED_VALUE"""),"FLM296")</f>
        <v>FLM296</v>
      </c>
      <c r="B169" s="8" t="str">
        <f>IFERROR(__xludf.DUMMYFUNCTION("""COMPUTED_VALUE"""),"RUN-FLMP_2021-10-10_APS-057")</f>
        <v>RUN-FLMP_2021-10-10_APS-057</v>
      </c>
      <c r="C169" s="10">
        <f>VLOOKUP(B169,'Run Reconcile'!A$2:B1579,2,FALSE)</f>
        <v>44479</v>
      </c>
      <c r="D169" s="14">
        <f>IFERROR(__xludf.DUMMYFUNCTION("""COMPUTED_VALUE"""),44479.0)</f>
        <v>44479</v>
      </c>
      <c r="E169" s="15">
        <f>IFERROR(__xludf.DUMMYFUNCTION("""COMPUTED_VALUE"""),0.6444097222229175)</f>
        <v>0.6444097222</v>
      </c>
      <c r="F169" s="8" t="str">
        <f>IFERROR(__xludf.DUMMYFUNCTION("""COMPUTED_VALUE"""),"Negative")</f>
        <v>Negative</v>
      </c>
      <c r="G169" s="16">
        <f>IFERROR(__xludf.DUMMYFUNCTION("""COMPUTED_VALUE"""),1.0)</f>
        <v>1</v>
      </c>
      <c r="H169" s="8" t="str">
        <f>IFERROR(__xludf.DUMMYFUNCTION("""COMPUTED_VALUE"""),"FLSP")</f>
        <v>FLSP</v>
      </c>
    </row>
    <row r="170">
      <c r="A170" s="8" t="str">
        <f>IFERROR(__xludf.DUMMYFUNCTION("""COMPUTED_VALUE"""),"FLM249")</f>
        <v>FLM249</v>
      </c>
      <c r="B170" s="8" t="str">
        <f>IFERROR(__xludf.DUMMYFUNCTION("""COMPUTED_VALUE"""),"RUN-FLMP_2021-10-13_APS-058")</f>
        <v>RUN-FLMP_2021-10-13_APS-058</v>
      </c>
      <c r="C170" s="10">
        <f>VLOOKUP(B170,'Run Reconcile'!A$2:B1579,2,FALSE)</f>
        <v>44482</v>
      </c>
      <c r="D170" s="14">
        <f>IFERROR(__xludf.DUMMYFUNCTION("""COMPUTED_VALUE"""),44482.0)</f>
        <v>44482</v>
      </c>
      <c r="E170" s="15">
        <f>IFERROR(__xludf.DUMMYFUNCTION("""COMPUTED_VALUE"""),0.955601851852407)</f>
        <v>0.9556018519</v>
      </c>
      <c r="F170" s="8" t="str">
        <f>IFERROR(__xludf.DUMMYFUNCTION("""COMPUTED_VALUE"""),"Negative")</f>
        <v>Negative</v>
      </c>
      <c r="G170" s="16">
        <f>IFERROR(__xludf.DUMMYFUNCTION("""COMPUTED_VALUE"""),2.0)</f>
        <v>2</v>
      </c>
      <c r="H170" s="8" t="str">
        <f>IFERROR(__xludf.DUMMYFUNCTION("""COMPUTED_VALUE"""),"FLSP")</f>
        <v>FLSP</v>
      </c>
    </row>
    <row r="171">
      <c r="A171" s="8" t="str">
        <f>IFERROR(__xludf.DUMMYFUNCTION("""COMPUTED_VALUE"""),"FLM258")</f>
        <v>FLM258</v>
      </c>
      <c r="B171" s="8" t="str">
        <f>IFERROR(__xludf.DUMMYFUNCTION("""COMPUTED_VALUE"""),"RUN-FLMP_2021-10-13_APS-058")</f>
        <v>RUN-FLMP_2021-10-13_APS-058</v>
      </c>
      <c r="C171" s="10">
        <f>VLOOKUP(B171,'Run Reconcile'!A$2:B1579,2,FALSE)</f>
        <v>44482</v>
      </c>
      <c r="D171" s="14">
        <f>IFERROR(__xludf.DUMMYFUNCTION("""COMPUTED_VALUE"""),44482.0)</f>
        <v>44482</v>
      </c>
      <c r="E171" s="15">
        <f>IFERROR(__xludf.DUMMYFUNCTION("""COMPUTED_VALUE"""),0.9561574074068631)</f>
        <v>0.9561574074</v>
      </c>
      <c r="F171" s="8" t="str">
        <f>IFERROR(__xludf.DUMMYFUNCTION("""COMPUTED_VALUE"""),"Negative")</f>
        <v>Negative</v>
      </c>
      <c r="G171" s="16">
        <f>IFERROR(__xludf.DUMMYFUNCTION("""COMPUTED_VALUE"""),2.0)</f>
        <v>2</v>
      </c>
      <c r="H171" s="8" t="str">
        <f>IFERROR(__xludf.DUMMYFUNCTION("""COMPUTED_VALUE"""),"FLSP")</f>
        <v>FLSP</v>
      </c>
    </row>
    <row r="172">
      <c r="A172" s="8" t="str">
        <f>IFERROR(__xludf.DUMMYFUNCTION("""COMPUTED_VALUE"""),"FLM272")</f>
        <v>FLM272</v>
      </c>
      <c r="B172" s="8" t="str">
        <f>IFERROR(__xludf.DUMMYFUNCTION("""COMPUTED_VALUE"""),"RUN-FLMP_2021-10-16_APS-059")</f>
        <v>RUN-FLMP_2021-10-16_APS-059</v>
      </c>
      <c r="C172" s="10">
        <f>VLOOKUP(B172,'Run Reconcile'!A$2:B1579,2,FALSE)</f>
        <v>44485</v>
      </c>
      <c r="D172" s="14">
        <f>IFERROR(__xludf.DUMMYFUNCTION("""COMPUTED_VALUE"""),44485.0)</f>
        <v>44485</v>
      </c>
      <c r="E172" s="15">
        <f>IFERROR(__xludf.DUMMYFUNCTION("""COMPUTED_VALUE"""),0.33097222222204437)</f>
        <v>0.3309722222</v>
      </c>
      <c r="F172" s="8" t="str">
        <f>IFERROR(__xludf.DUMMYFUNCTION("""COMPUTED_VALUE"""),"Negative")</f>
        <v>Negative</v>
      </c>
      <c r="G172" s="16">
        <f>IFERROR(__xludf.DUMMYFUNCTION("""COMPUTED_VALUE"""),3.0)</f>
        <v>3</v>
      </c>
      <c r="H172" s="8" t="str">
        <f>IFERROR(__xludf.DUMMYFUNCTION("""COMPUTED_VALUE"""),"FLSP")</f>
        <v>FLSP</v>
      </c>
    </row>
    <row r="173">
      <c r="A173" s="8" t="str">
        <f>IFERROR(__xludf.DUMMYFUNCTION("""COMPUTED_VALUE"""),"FLM280")</f>
        <v>FLM280</v>
      </c>
      <c r="B173" s="8" t="str">
        <f>IFERROR(__xludf.DUMMYFUNCTION("""COMPUTED_VALUE"""),"RUN-FLMP_2021-10-16_APS-059")</f>
        <v>RUN-FLMP_2021-10-16_APS-059</v>
      </c>
      <c r="C173" s="10">
        <f>VLOOKUP(B173,'Run Reconcile'!A$2:B1579,2,FALSE)</f>
        <v>44485</v>
      </c>
      <c r="D173" s="14">
        <f>IFERROR(__xludf.DUMMYFUNCTION("""COMPUTED_VALUE"""),44485.0)</f>
        <v>44485</v>
      </c>
      <c r="E173" s="15">
        <f>IFERROR(__xludf.DUMMYFUNCTION("""COMPUTED_VALUE"""),0.33342592592453)</f>
        <v>0.3334259259</v>
      </c>
      <c r="F173" s="8" t="str">
        <f>IFERROR(__xludf.DUMMYFUNCTION("""COMPUTED_VALUE"""),"Negative")</f>
        <v>Negative</v>
      </c>
      <c r="G173" s="16">
        <f>IFERROR(__xludf.DUMMYFUNCTION("""COMPUTED_VALUE"""),2.0)</f>
        <v>2</v>
      </c>
      <c r="H173" s="8" t="str">
        <f>IFERROR(__xludf.DUMMYFUNCTION("""COMPUTED_VALUE"""),"FLSP")</f>
        <v>FLSP</v>
      </c>
    </row>
    <row r="174">
      <c r="A174" s="8" t="str">
        <f>IFERROR(__xludf.DUMMYFUNCTION("""COMPUTED_VALUE"""),"FLM261")</f>
        <v>FLM261</v>
      </c>
      <c r="B174" s="8" t="str">
        <f>IFERROR(__xludf.DUMMYFUNCTION("""COMPUTED_VALUE"""),"RUN-FLMP_2021-10-16_APS-059")</f>
        <v>RUN-FLMP_2021-10-16_APS-059</v>
      </c>
      <c r="C174" s="10">
        <f>VLOOKUP(B174,'Run Reconcile'!A$2:B1579,2,FALSE)</f>
        <v>44485</v>
      </c>
      <c r="D174" s="14">
        <f>IFERROR(__xludf.DUMMYFUNCTION("""COMPUTED_VALUE"""),44485.0)</f>
        <v>44485</v>
      </c>
      <c r="E174" s="15">
        <f>IFERROR(__xludf.DUMMYFUNCTION("""COMPUTED_VALUE"""),0.33402777777882875)</f>
        <v>0.3340277778</v>
      </c>
      <c r="F174" s="8" t="str">
        <f>IFERROR(__xludf.DUMMYFUNCTION("""COMPUTED_VALUE"""),"Negative")</f>
        <v>Negative</v>
      </c>
      <c r="G174" s="16">
        <f>IFERROR(__xludf.DUMMYFUNCTION("""COMPUTED_VALUE"""),2.0)</f>
        <v>2</v>
      </c>
      <c r="H174" s="8" t="str">
        <f>IFERROR(__xludf.DUMMYFUNCTION("""COMPUTED_VALUE"""),"FLSP")</f>
        <v>FLSP</v>
      </c>
    </row>
    <row r="175">
      <c r="A175" s="8" t="str">
        <f>IFERROR(__xludf.DUMMYFUNCTION("""COMPUTED_VALUE"""),"FLM266")</f>
        <v>FLM266</v>
      </c>
      <c r="B175" s="8" t="str">
        <f>IFERROR(__xludf.DUMMYFUNCTION("""COMPUTED_VALUE"""),"RUN-FLMP_2021-10-19_APS-060")</f>
        <v>RUN-FLMP_2021-10-19_APS-060</v>
      </c>
      <c r="C175" s="10">
        <f>VLOOKUP(B175,'Run Reconcile'!A$2:B1579,2,FALSE)</f>
        <v>44488</v>
      </c>
      <c r="D175" s="14">
        <f>IFERROR(__xludf.DUMMYFUNCTION("""COMPUTED_VALUE"""),44488.0)</f>
        <v>44488</v>
      </c>
      <c r="E175" s="15">
        <f>IFERROR(__xludf.DUMMYFUNCTION("""COMPUTED_VALUE"""),0.37450231481489027)</f>
        <v>0.3745023148</v>
      </c>
      <c r="F175" s="8" t="str">
        <f>IFERROR(__xludf.DUMMYFUNCTION("""COMPUTED_VALUE"""),"Negative")</f>
        <v>Negative</v>
      </c>
      <c r="G175" s="16">
        <f>IFERROR(__xludf.DUMMYFUNCTION("""COMPUTED_VALUE"""),4.0)</f>
        <v>4</v>
      </c>
      <c r="H175" s="8" t="str">
        <f>IFERROR(__xludf.DUMMYFUNCTION("""COMPUTED_VALUE"""),"FLSP")</f>
        <v>FLSP</v>
      </c>
    </row>
    <row r="176">
      <c r="A176" s="8" t="str">
        <f>IFERROR(__xludf.DUMMYFUNCTION("""COMPUTED_VALUE"""),"FLM274")</f>
        <v>FLM274</v>
      </c>
      <c r="B176" s="8" t="str">
        <f>IFERROR(__xludf.DUMMYFUNCTION("""COMPUTED_VALUE"""),"RUN-FLMP_2021-10-19_APS-060")</f>
        <v>RUN-FLMP_2021-10-19_APS-060</v>
      </c>
      <c r="C176" s="10">
        <f>VLOOKUP(B176,'Run Reconcile'!A$2:B1579,2,FALSE)</f>
        <v>44488</v>
      </c>
      <c r="D176" s="14">
        <f>IFERROR(__xludf.DUMMYFUNCTION("""COMPUTED_VALUE"""),44488.0)</f>
        <v>44488</v>
      </c>
      <c r="E176" s="15">
        <f>IFERROR(__xludf.DUMMYFUNCTION("""COMPUTED_VALUE"""),0.3753587962964957)</f>
        <v>0.3753587963</v>
      </c>
      <c r="F176" s="8" t="str">
        <f>IFERROR(__xludf.DUMMYFUNCTION("""COMPUTED_VALUE"""),"Negative")</f>
        <v>Negative</v>
      </c>
      <c r="G176" s="16">
        <f>IFERROR(__xludf.DUMMYFUNCTION("""COMPUTED_VALUE"""),1.0)</f>
        <v>1</v>
      </c>
      <c r="H176" s="8" t="str">
        <f>IFERROR(__xludf.DUMMYFUNCTION("""COMPUTED_VALUE"""),"FLSP")</f>
        <v>FLSP</v>
      </c>
    </row>
    <row r="177">
      <c r="A177" s="8" t="str">
        <f>IFERROR(__xludf.DUMMYFUNCTION("""COMPUTED_VALUE"""),"FLM283")</f>
        <v>FLM283</v>
      </c>
      <c r="B177" s="8" t="str">
        <f>IFERROR(__xludf.DUMMYFUNCTION("""COMPUTED_VALUE"""),"RUN-FLMP_2021-10-21_APS-061")</f>
        <v>RUN-FLMP_2021-10-21_APS-061</v>
      </c>
      <c r="C177" s="10">
        <f>VLOOKUP(B177,'Run Reconcile'!A$2:B1579,2,FALSE)</f>
        <v>44490</v>
      </c>
      <c r="D177" s="14">
        <f>IFERROR(__xludf.DUMMYFUNCTION("""COMPUTED_VALUE"""),44490.0)</f>
        <v>44490</v>
      </c>
      <c r="E177" s="15">
        <f>IFERROR(__xludf.DUMMYFUNCTION("""COMPUTED_VALUE"""),0.37978009259313694)</f>
        <v>0.3797800926</v>
      </c>
      <c r="F177" s="8" t="str">
        <f>IFERROR(__xludf.DUMMYFUNCTION("""COMPUTED_VALUE"""),"Negative")</f>
        <v>Negative</v>
      </c>
      <c r="G177" s="16">
        <f>IFERROR(__xludf.DUMMYFUNCTION("""COMPUTED_VALUE"""),1.0)</f>
        <v>1</v>
      </c>
      <c r="H177" s="8" t="str">
        <f>IFERROR(__xludf.DUMMYFUNCTION("""COMPUTED_VALUE"""),"FLSP")</f>
        <v>FLSP</v>
      </c>
    </row>
    <row r="178">
      <c r="A178" s="8" t="str">
        <f>IFERROR(__xludf.DUMMYFUNCTION("""COMPUTED_VALUE"""),"FLM284")</f>
        <v>FLM284</v>
      </c>
      <c r="B178" s="8" t="str">
        <f>IFERROR(__xludf.DUMMYFUNCTION("""COMPUTED_VALUE"""),"RUN-FLMP_2021-10-21_APS-061")</f>
        <v>RUN-FLMP_2021-10-21_APS-061</v>
      </c>
      <c r="C178" s="10">
        <f>VLOOKUP(B178,'Run Reconcile'!A$2:B1579,2,FALSE)</f>
        <v>44490</v>
      </c>
      <c r="D178" s="14">
        <f>IFERROR(__xludf.DUMMYFUNCTION("""COMPUTED_VALUE"""),44490.0)</f>
        <v>44490</v>
      </c>
      <c r="E178" s="15">
        <f>IFERROR(__xludf.DUMMYFUNCTION("""COMPUTED_VALUE"""),0.3815740740756155)</f>
        <v>0.3815740741</v>
      </c>
      <c r="F178" s="8" t="str">
        <f>IFERROR(__xludf.DUMMYFUNCTION("""COMPUTED_VALUE"""),"Negative")</f>
        <v>Negative</v>
      </c>
      <c r="G178" s="16">
        <f>IFERROR(__xludf.DUMMYFUNCTION("""COMPUTED_VALUE"""),1.0)</f>
        <v>1</v>
      </c>
      <c r="H178" s="8" t="str">
        <f>IFERROR(__xludf.DUMMYFUNCTION("""COMPUTED_VALUE"""),"FLSP")</f>
        <v>FLSP</v>
      </c>
    </row>
    <row r="179">
      <c r="A179" s="8" t="str">
        <f>IFERROR(__xludf.DUMMYFUNCTION("""COMPUTED_VALUE"""),"FLM248")</f>
        <v>FLM248</v>
      </c>
      <c r="B179" s="8" t="str">
        <f>IFERROR(__xludf.DUMMYFUNCTION("""COMPUTED_VALUE"""),"RUN-FLMP_2021-10-21_APS-061")</f>
        <v>RUN-FLMP_2021-10-21_APS-061</v>
      </c>
      <c r="C179" s="10">
        <f>VLOOKUP(B179,'Run Reconcile'!A$2:B1579,2,FALSE)</f>
        <v>44490</v>
      </c>
      <c r="D179" s="14">
        <f>IFERROR(__xludf.DUMMYFUNCTION("""COMPUTED_VALUE"""),44490.0)</f>
        <v>44490</v>
      </c>
      <c r="E179" s="15">
        <f>IFERROR(__xludf.DUMMYFUNCTION("""COMPUTED_VALUE"""),0.3820601851839456)</f>
        <v>0.3820601852</v>
      </c>
      <c r="F179" s="8" t="str">
        <f>IFERROR(__xludf.DUMMYFUNCTION("""COMPUTED_VALUE"""),"Negative")</f>
        <v>Negative</v>
      </c>
      <c r="G179" s="16">
        <f>IFERROR(__xludf.DUMMYFUNCTION("""COMPUTED_VALUE"""),2.0)</f>
        <v>2</v>
      </c>
      <c r="H179" s="8" t="str">
        <f>IFERROR(__xludf.DUMMYFUNCTION("""COMPUTED_VALUE"""),"FLSP")</f>
        <v>FLSP</v>
      </c>
    </row>
    <row r="180">
      <c r="A180" s="8" t="str">
        <f>IFERROR(__xludf.DUMMYFUNCTION("""COMPUTED_VALUE"""),"FLM278")</f>
        <v>FLM278</v>
      </c>
      <c r="B180" s="8" t="str">
        <f>IFERROR(__xludf.DUMMYFUNCTION("""COMPUTED_VALUE"""),"RUN-FLMP_2021-10-23_APS-062")</f>
        <v>RUN-FLMP_2021-10-23_APS-062</v>
      </c>
      <c r="C180" s="10">
        <f>VLOOKUP(B180,'Run Reconcile'!A$2:B1579,2,FALSE)</f>
        <v>44492</v>
      </c>
      <c r="D180" s="14">
        <f>IFERROR(__xludf.DUMMYFUNCTION("""COMPUTED_VALUE"""),44492.0)</f>
        <v>44492</v>
      </c>
      <c r="E180" s="15">
        <f>IFERROR(__xludf.DUMMYFUNCTION("""COMPUTED_VALUE"""),0.4376851851848187)</f>
        <v>0.4376851852</v>
      </c>
      <c r="F180" s="8" t="str">
        <f>IFERROR(__xludf.DUMMYFUNCTION("""COMPUTED_VALUE"""),"Negative")</f>
        <v>Negative</v>
      </c>
      <c r="G180" s="16">
        <f>IFERROR(__xludf.DUMMYFUNCTION("""COMPUTED_VALUE"""),2.0)</f>
        <v>2</v>
      </c>
      <c r="H180" s="8" t="str">
        <f>IFERROR(__xludf.DUMMYFUNCTION("""COMPUTED_VALUE"""),"FLSP")</f>
        <v>FLSP</v>
      </c>
    </row>
    <row r="181">
      <c r="A181" s="8" t="str">
        <f>IFERROR(__xludf.DUMMYFUNCTION("""COMPUTED_VALUE"""),"FLM256")</f>
        <v>FLM256</v>
      </c>
      <c r="B181" s="8" t="str">
        <f>IFERROR(__xludf.DUMMYFUNCTION("""COMPUTED_VALUE"""),"RUN-FLMP_2021-10-23_APS-062")</f>
        <v>RUN-FLMP_2021-10-23_APS-062</v>
      </c>
      <c r="C181" s="10">
        <f>VLOOKUP(B181,'Run Reconcile'!A$2:B1579,2,FALSE)</f>
        <v>44492</v>
      </c>
      <c r="D181" s="14">
        <f>IFERROR(__xludf.DUMMYFUNCTION("""COMPUTED_VALUE"""),44492.0)</f>
        <v>44492</v>
      </c>
      <c r="E181" s="15">
        <f>IFERROR(__xludf.DUMMYFUNCTION("""COMPUTED_VALUE"""),0.44046296296437504)</f>
        <v>0.440462963</v>
      </c>
      <c r="F181" s="8" t="str">
        <f>IFERROR(__xludf.DUMMYFUNCTION("""COMPUTED_VALUE"""),"Negative")</f>
        <v>Negative</v>
      </c>
      <c r="G181" s="16">
        <f>IFERROR(__xludf.DUMMYFUNCTION("""COMPUTED_VALUE"""),2.0)</f>
        <v>2</v>
      </c>
      <c r="H181" s="8" t="str">
        <f>IFERROR(__xludf.DUMMYFUNCTION("""COMPUTED_VALUE"""),"FLSP")</f>
        <v>FLSP</v>
      </c>
    </row>
    <row r="182">
      <c r="A182" s="8" t="str">
        <f>IFERROR(__xludf.DUMMYFUNCTION("""COMPUTED_VALUE"""),"FLM252")</f>
        <v>FLM252</v>
      </c>
      <c r="B182" s="8" t="str">
        <f>IFERROR(__xludf.DUMMYFUNCTION("""COMPUTED_VALUE"""),"RUN-FLMP_2021-10-23_APS-062")</f>
        <v>RUN-FLMP_2021-10-23_APS-062</v>
      </c>
      <c r="C182" s="10">
        <f>VLOOKUP(B182,'Run Reconcile'!A$2:B1579,2,FALSE)</f>
        <v>44492</v>
      </c>
      <c r="D182" s="14">
        <f>IFERROR(__xludf.DUMMYFUNCTION("""COMPUTED_VALUE"""),44492.0)</f>
        <v>44492</v>
      </c>
      <c r="E182" s="15">
        <f>IFERROR(__xludf.DUMMYFUNCTION("""COMPUTED_VALUE"""),0.4790624999986903)</f>
        <v>0.4790625</v>
      </c>
      <c r="F182" s="8" t="str">
        <f>IFERROR(__xludf.DUMMYFUNCTION("""COMPUTED_VALUE"""),"Negative")</f>
        <v>Negative</v>
      </c>
      <c r="G182" s="16">
        <f>IFERROR(__xludf.DUMMYFUNCTION("""COMPUTED_VALUE"""),2.0)</f>
        <v>2</v>
      </c>
      <c r="H182" s="8" t="str">
        <f>IFERROR(__xludf.DUMMYFUNCTION("""COMPUTED_VALUE"""),"FLSP")</f>
        <v>FLSP</v>
      </c>
    </row>
    <row r="183">
      <c r="A183" s="8" t="str">
        <f>IFERROR(__xludf.DUMMYFUNCTION("""COMPUTED_VALUE"""),"MAX442")</f>
        <v>MAX442</v>
      </c>
      <c r="B183" s="8" t="str">
        <f>IFERROR(__xludf.DUMMYFUNCTION("""COMPUTED_VALUE"""),"RUN-FLMP_2021-10-30_APS-063")</f>
        <v>RUN-FLMP_2021-10-30_APS-063</v>
      </c>
      <c r="C183" s="10">
        <f>VLOOKUP(B183,'Run Reconcile'!A$2:B1579,2,FALSE)</f>
        <v>44499</v>
      </c>
      <c r="D183" s="14">
        <f>IFERROR(__xludf.DUMMYFUNCTION("""COMPUTED_VALUE"""),44499.0)</f>
        <v>44499</v>
      </c>
      <c r="E183" s="15">
        <f>IFERROR(__xludf.DUMMYFUNCTION("""COMPUTED_VALUE"""),0.4953124999992724)</f>
        <v>0.4953125</v>
      </c>
      <c r="F183" s="8" t="str">
        <f>IFERROR(__xludf.DUMMYFUNCTION("""COMPUTED_VALUE"""),"Negative")</f>
        <v>Negative</v>
      </c>
      <c r="G183" s="16">
        <f>IFERROR(__xludf.DUMMYFUNCTION("""COMPUTED_VALUE"""),1.0)</f>
        <v>1</v>
      </c>
      <c r="H183" s="8" t="str">
        <f>IFERROR(__xludf.DUMMYFUNCTION("""COMPUTED_VALUE"""),"FLSP")</f>
        <v>FLSP</v>
      </c>
    </row>
    <row r="184">
      <c r="A184" s="8" t="str">
        <f>IFERROR(__xludf.DUMMYFUNCTION("""COMPUTED_VALUE"""),"MAX390")</f>
        <v>MAX390</v>
      </c>
      <c r="B184" s="8" t="str">
        <f>IFERROR(__xludf.DUMMYFUNCTION("""COMPUTED_VALUE"""),"RUN-FLMP_2021-10-30_APS-063")</f>
        <v>RUN-FLMP_2021-10-30_APS-063</v>
      </c>
      <c r="C184" s="10">
        <f>VLOOKUP(B184,'Run Reconcile'!A$2:B1579,2,FALSE)</f>
        <v>44499</v>
      </c>
      <c r="D184" s="14">
        <f>IFERROR(__xludf.DUMMYFUNCTION("""COMPUTED_VALUE"""),44499.0)</f>
        <v>44499</v>
      </c>
      <c r="E184" s="15">
        <f>IFERROR(__xludf.DUMMYFUNCTION("""COMPUTED_VALUE"""),0.5578587962954771)</f>
        <v>0.5578587963</v>
      </c>
      <c r="F184" s="8" t="str">
        <f>IFERROR(__xludf.DUMMYFUNCTION("""COMPUTED_VALUE"""),"Negative")</f>
        <v>Negative</v>
      </c>
      <c r="G184" s="16">
        <f>IFERROR(__xludf.DUMMYFUNCTION("""COMPUTED_VALUE"""),1.0)</f>
        <v>1</v>
      </c>
      <c r="H184" s="8" t="str">
        <f>IFERROR(__xludf.DUMMYFUNCTION("""COMPUTED_VALUE"""),"FLSP")</f>
        <v>FLSP</v>
      </c>
    </row>
    <row r="185">
      <c r="A185" s="8" t="str">
        <f>IFERROR(__xludf.DUMMYFUNCTION("""COMPUTED_VALUE"""),"FLM295")</f>
        <v>FLM295</v>
      </c>
      <c r="B185" s="8" t="str">
        <f>IFERROR(__xludf.DUMMYFUNCTION("""COMPUTED_VALUE"""),"RUN-FLMP_2021-11-01_RFR-001")</f>
        <v>RUN-FLMP_2021-11-01_RFR-001</v>
      </c>
      <c r="C185" s="10">
        <f>VLOOKUP(B185,'Run Reconcile'!A$2:B1579,2,FALSE)</f>
        <v>44501</v>
      </c>
      <c r="D185" s="14">
        <f>IFERROR(__xludf.DUMMYFUNCTION("""COMPUTED_VALUE"""),44501.0)</f>
        <v>44501</v>
      </c>
      <c r="E185" s="15">
        <f>IFERROR(__xludf.DUMMYFUNCTION("""COMPUTED_VALUE"""),0.36706018518452765)</f>
        <v>0.3670601852</v>
      </c>
      <c r="F185" s="8" t="str">
        <f>IFERROR(__xludf.DUMMYFUNCTION("""COMPUTED_VALUE"""),"Negative")</f>
        <v>Negative</v>
      </c>
      <c r="G185" s="16">
        <f>IFERROR(__xludf.DUMMYFUNCTION("""COMPUTED_VALUE"""),1.0)</f>
        <v>1</v>
      </c>
      <c r="H185" s="8" t="str">
        <f>IFERROR(__xludf.DUMMYFUNCTION("""COMPUTED_VALUE"""),"FLSP")</f>
        <v>FLSP</v>
      </c>
    </row>
    <row r="186">
      <c r="A186" s="8" t="str">
        <f>IFERROR(__xludf.DUMMYFUNCTION("""COMPUTED_VALUE"""),"FLM241")</f>
        <v>FLM241</v>
      </c>
      <c r="B186" s="8" t="str">
        <f>IFERROR(__xludf.DUMMYFUNCTION("""COMPUTED_VALUE"""),"RUN-FLMP_2021-11-01_RFR-001")</f>
        <v>RUN-FLMP_2021-11-01_RFR-001</v>
      </c>
      <c r="C186" s="10">
        <f>VLOOKUP(B186,'Run Reconcile'!A$2:B1579,2,FALSE)</f>
        <v>44501</v>
      </c>
      <c r="D186" s="14">
        <f>IFERROR(__xludf.DUMMYFUNCTION("""COMPUTED_VALUE"""),44501.0)</f>
        <v>44501</v>
      </c>
      <c r="E186" s="15">
        <f>IFERROR(__xludf.DUMMYFUNCTION("""COMPUTED_VALUE"""),0.367361111111677)</f>
        <v>0.3673611111</v>
      </c>
      <c r="F186" s="8" t="str">
        <f>IFERROR(__xludf.DUMMYFUNCTION("""COMPUTED_VALUE"""),"Negative")</f>
        <v>Negative</v>
      </c>
      <c r="G186" s="16">
        <f>IFERROR(__xludf.DUMMYFUNCTION("""COMPUTED_VALUE"""),2.0)</f>
        <v>2</v>
      </c>
      <c r="H186" s="8" t="str">
        <f>IFERROR(__xludf.DUMMYFUNCTION("""COMPUTED_VALUE"""),"FLSP")</f>
        <v>FLSP</v>
      </c>
    </row>
    <row r="187">
      <c r="A187" s="8" t="str">
        <f>IFERROR(__xludf.DUMMYFUNCTION("""COMPUTED_VALUE"""),"FLM273")</f>
        <v>FLM273</v>
      </c>
      <c r="B187" s="8" t="str">
        <f>IFERROR(__xludf.DUMMYFUNCTION("""COMPUTED_VALUE"""),"RUN-FLMP_2021-11-01_RFR-001")</f>
        <v>RUN-FLMP_2021-11-01_RFR-001</v>
      </c>
      <c r="C187" s="10">
        <f>VLOOKUP(B187,'Run Reconcile'!A$2:B1579,2,FALSE)</f>
        <v>44501</v>
      </c>
      <c r="D187" s="14">
        <f>IFERROR(__xludf.DUMMYFUNCTION("""COMPUTED_VALUE"""),44501.0)</f>
        <v>44501</v>
      </c>
      <c r="E187" s="15">
        <f>IFERROR(__xludf.DUMMYFUNCTION("""COMPUTED_VALUE"""),0.3677777777775191)</f>
        <v>0.3677777778</v>
      </c>
      <c r="F187" s="8" t="str">
        <f>IFERROR(__xludf.DUMMYFUNCTION("""COMPUTED_VALUE"""),"Negative")</f>
        <v>Negative</v>
      </c>
      <c r="G187" s="16">
        <f>IFERROR(__xludf.DUMMYFUNCTION("""COMPUTED_VALUE"""),2.0)</f>
        <v>2</v>
      </c>
      <c r="H187" s="8" t="str">
        <f>IFERROR(__xludf.DUMMYFUNCTION("""COMPUTED_VALUE"""),"FLSP")</f>
        <v>FLSP</v>
      </c>
    </row>
    <row r="188">
      <c r="A188" s="8" t="str">
        <f>IFERROR(__xludf.DUMMYFUNCTION("""COMPUTED_VALUE"""),"MA1208")</f>
        <v>MA1208</v>
      </c>
      <c r="B188" s="8" t="str">
        <f>IFERROR(__xludf.DUMMYFUNCTION("""COMPUTED_VALUE"""),"RUN-FLMP_2021-11-02_RFR-002")</f>
        <v>RUN-FLMP_2021-11-02_RFR-002</v>
      </c>
      <c r="C188" s="10">
        <f>VLOOKUP(B188,'Run Reconcile'!A$2:B1579,2,FALSE)</f>
        <v>44502</v>
      </c>
      <c r="D188" s="14">
        <f>IFERROR(__xludf.DUMMYFUNCTION("""COMPUTED_VALUE"""),44502.0)</f>
        <v>44502</v>
      </c>
      <c r="E188" s="15">
        <f>IFERROR(__xludf.DUMMYFUNCTION("""COMPUTED_VALUE"""),0.3610532407401479)</f>
        <v>0.3610532407</v>
      </c>
      <c r="F188" s="8" t="str">
        <f>IFERROR(__xludf.DUMMYFUNCTION("""COMPUTED_VALUE"""),"Negative")</f>
        <v>Negative</v>
      </c>
      <c r="G188" s="16">
        <f>IFERROR(__xludf.DUMMYFUNCTION("""COMPUTED_VALUE"""),4.0)</f>
        <v>4</v>
      </c>
      <c r="H188" s="8" t="str">
        <f>IFERROR(__xludf.DUMMYFUNCTION("""COMPUTED_VALUE"""),"FLSP")</f>
        <v>FLSP</v>
      </c>
    </row>
    <row r="189">
      <c r="A189" s="8" t="str">
        <f>IFERROR(__xludf.DUMMYFUNCTION("""COMPUTED_VALUE"""),"MA1475")</f>
        <v>MA1475</v>
      </c>
      <c r="B189" s="8" t="str">
        <f>IFERROR(__xludf.DUMMYFUNCTION("""COMPUTED_VALUE"""),"RUN-FLMP_2021-11-02_RFR-002")</f>
        <v>RUN-FLMP_2021-11-02_RFR-002</v>
      </c>
      <c r="C189" s="10">
        <f>VLOOKUP(B189,'Run Reconcile'!A$2:B1579,2,FALSE)</f>
        <v>44502</v>
      </c>
      <c r="D189" s="14">
        <f>IFERROR(__xludf.DUMMYFUNCTION("""COMPUTED_VALUE"""),44502.0)</f>
        <v>44502</v>
      </c>
      <c r="E189" s="15">
        <f>IFERROR(__xludf.DUMMYFUNCTION("""COMPUTED_VALUE"""),0.36665509259182727)</f>
        <v>0.3666550926</v>
      </c>
      <c r="F189" s="8" t="str">
        <f>IFERROR(__xludf.DUMMYFUNCTION("""COMPUTED_VALUE"""),"Negative")</f>
        <v>Negative</v>
      </c>
      <c r="G189" s="16">
        <f>IFERROR(__xludf.DUMMYFUNCTION("""COMPUTED_VALUE"""),1.0)</f>
        <v>1</v>
      </c>
      <c r="H189" s="8" t="str">
        <f>IFERROR(__xludf.DUMMYFUNCTION("""COMPUTED_VALUE"""),"FLSP")</f>
        <v>FLSP</v>
      </c>
    </row>
    <row r="190">
      <c r="A190" s="8" t="str">
        <f>IFERROR(__xludf.DUMMYFUNCTION("""COMPUTED_VALUE"""),"MA1483")</f>
        <v>MA1483</v>
      </c>
      <c r="B190" s="8" t="str">
        <f>IFERROR(__xludf.DUMMYFUNCTION("""COMPUTED_VALUE"""),"RUN-FLMP_2021-11-03_APS-064")</f>
        <v>RUN-FLMP_2021-11-03_APS-064</v>
      </c>
      <c r="C190" s="10">
        <f>VLOOKUP(B190,'Run Reconcile'!A$2:B1579,2,FALSE)</f>
        <v>44503</v>
      </c>
      <c r="D190" s="14">
        <f>IFERROR(__xludf.DUMMYFUNCTION("""COMPUTED_VALUE"""),44503.0)</f>
        <v>44503</v>
      </c>
      <c r="E190" s="15">
        <f>IFERROR(__xludf.DUMMYFUNCTION("""COMPUTED_VALUE"""),0.3724652777782467)</f>
        <v>0.3724652778</v>
      </c>
      <c r="F190" s="8" t="str">
        <f>IFERROR(__xludf.DUMMYFUNCTION("""COMPUTED_VALUE"""),"Negative")</f>
        <v>Negative</v>
      </c>
      <c r="G190" s="16">
        <f>IFERROR(__xludf.DUMMYFUNCTION("""COMPUTED_VALUE"""),1.0)</f>
        <v>1</v>
      </c>
      <c r="H190" s="8" t="str">
        <f>IFERROR(__xludf.DUMMYFUNCTION("""COMPUTED_VALUE"""),"FLSP")</f>
        <v>FLSP</v>
      </c>
    </row>
    <row r="191">
      <c r="A191" s="8" t="str">
        <f>IFERROR(__xludf.DUMMYFUNCTION("""COMPUTED_VALUE"""),"MA523")</f>
        <v>MA523</v>
      </c>
      <c r="B191" s="8" t="str">
        <f>IFERROR(__xludf.DUMMYFUNCTION("""COMPUTED_VALUE"""),"RUN-FLMP_2021-11-03_APS-064")</f>
        <v>RUN-FLMP_2021-11-03_APS-064</v>
      </c>
      <c r="C191" s="10">
        <f>VLOOKUP(B191,'Run Reconcile'!A$2:B1579,2,FALSE)</f>
        <v>44503</v>
      </c>
      <c r="D191" s="14">
        <f>IFERROR(__xludf.DUMMYFUNCTION("""COMPUTED_VALUE"""),44503.0)</f>
        <v>44503</v>
      </c>
      <c r="E191" s="15">
        <f>IFERROR(__xludf.DUMMYFUNCTION("""COMPUTED_VALUE"""),0.3738425925912452)</f>
        <v>0.3738425926</v>
      </c>
      <c r="F191" s="8" t="str">
        <f>IFERROR(__xludf.DUMMYFUNCTION("""COMPUTED_VALUE"""),"Negative")</f>
        <v>Negative</v>
      </c>
      <c r="G191" s="16">
        <f>IFERROR(__xludf.DUMMYFUNCTION("""COMPUTED_VALUE"""),3.0)</f>
        <v>3</v>
      </c>
      <c r="H191" s="8" t="str">
        <f>IFERROR(__xludf.DUMMYFUNCTION("""COMPUTED_VALUE"""),"FLSP")</f>
        <v>FLSP</v>
      </c>
    </row>
    <row r="192">
      <c r="A192" s="8" t="str">
        <f>IFERROR(__xludf.DUMMYFUNCTION("""COMPUTED_VALUE"""),"MA1212")</f>
        <v>MA1212</v>
      </c>
      <c r="B192" s="8" t="str">
        <f>IFERROR(__xludf.DUMMYFUNCTION("""COMPUTED_VALUE"""),"RUN-FLMP_2021-11-05_APS-065")</f>
        <v>RUN-FLMP_2021-11-05_APS-065</v>
      </c>
      <c r="C192" s="10">
        <f>VLOOKUP(B192,'Run Reconcile'!A$2:B1579,2,FALSE)</f>
        <v>44505</v>
      </c>
      <c r="D192" s="14">
        <f>IFERROR(__xludf.DUMMYFUNCTION("""COMPUTED_VALUE"""),44505.0)</f>
        <v>44505</v>
      </c>
      <c r="E192" s="15">
        <f>IFERROR(__xludf.DUMMYFUNCTION("""COMPUTED_VALUE"""),0.2905092592591245)</f>
        <v>0.2905092593</v>
      </c>
      <c r="F192" s="8" t="str">
        <f>IFERROR(__xludf.DUMMYFUNCTION("""COMPUTED_VALUE"""),"Negative")</f>
        <v>Negative</v>
      </c>
      <c r="G192" s="16">
        <f>IFERROR(__xludf.DUMMYFUNCTION("""COMPUTED_VALUE"""),4.0)</f>
        <v>4</v>
      </c>
      <c r="H192" s="8" t="str">
        <f>IFERROR(__xludf.DUMMYFUNCTION("""COMPUTED_VALUE"""),"FLSP")</f>
        <v>FLSP</v>
      </c>
    </row>
    <row r="193">
      <c r="A193" s="8" t="str">
        <f>IFERROR(__xludf.DUMMYFUNCTION("""COMPUTED_VALUE"""),"MA1342")</f>
        <v>MA1342</v>
      </c>
      <c r="B193" s="8" t="str">
        <f>IFERROR(__xludf.DUMMYFUNCTION("""COMPUTED_VALUE"""),"RUN-FLMP_2021-11-05_APS-065")</f>
        <v>RUN-FLMP_2021-11-05_APS-065</v>
      </c>
      <c r="C193" s="10">
        <f>VLOOKUP(B193,'Run Reconcile'!A$2:B1579,2,FALSE)</f>
        <v>44505</v>
      </c>
      <c r="D193" s="14">
        <f>IFERROR(__xludf.DUMMYFUNCTION("""COMPUTED_VALUE"""),44505.0)</f>
        <v>44505</v>
      </c>
      <c r="E193" s="15">
        <f>IFERROR(__xludf.DUMMYFUNCTION("""COMPUTED_VALUE"""),0.40175925926087075)</f>
        <v>0.4017592593</v>
      </c>
      <c r="F193" s="8" t="str">
        <f>IFERROR(__xludf.DUMMYFUNCTION("""COMPUTED_VALUE"""),"Negative")</f>
        <v>Negative</v>
      </c>
      <c r="G193" s="16">
        <f>IFERROR(__xludf.DUMMYFUNCTION("""COMPUTED_VALUE"""),1.0)</f>
        <v>1</v>
      </c>
      <c r="H193" s="8" t="str">
        <f>IFERROR(__xludf.DUMMYFUNCTION("""COMPUTED_VALUE"""),"FLSP")</f>
        <v>FLSP</v>
      </c>
    </row>
    <row r="194">
      <c r="A194" s="8" t="str">
        <f>IFERROR(__xludf.DUMMYFUNCTION("""COMPUTED_VALUE"""),"MA1369")</f>
        <v>MA1369</v>
      </c>
      <c r="B194" s="8" t="str">
        <f>IFERROR(__xludf.DUMMYFUNCTION("""COMPUTED_VALUE"""),"RUN-FLMP_2021-11-08_APS-066")</f>
        <v>RUN-FLMP_2021-11-08_APS-066</v>
      </c>
      <c r="C194" s="10">
        <f>VLOOKUP(B194,'Run Reconcile'!A$2:B1579,2,FALSE)</f>
        <v>44508</v>
      </c>
      <c r="D194" s="14">
        <f>IFERROR(__xludf.DUMMYFUNCTION("""COMPUTED_VALUE"""),44508.0)</f>
        <v>44508</v>
      </c>
      <c r="E194" s="15">
        <f>IFERROR(__xludf.DUMMYFUNCTION("""COMPUTED_VALUE"""),0.3013194444429246)</f>
        <v>0.3013194444</v>
      </c>
      <c r="F194" s="8" t="str">
        <f>IFERROR(__xludf.DUMMYFUNCTION("""COMPUTED_VALUE"""),"Negative")</f>
        <v>Negative</v>
      </c>
      <c r="G194" s="16">
        <f>IFERROR(__xludf.DUMMYFUNCTION("""COMPUTED_VALUE"""),4.0)</f>
        <v>4</v>
      </c>
      <c r="H194" s="8" t="str">
        <f>IFERROR(__xludf.DUMMYFUNCTION("""COMPUTED_VALUE"""),"FLSP")</f>
        <v>FLSP</v>
      </c>
    </row>
    <row r="195">
      <c r="A195" s="8" t="str">
        <f>IFERROR(__xludf.DUMMYFUNCTION("""COMPUTED_VALUE"""),"MA1348")</f>
        <v>MA1348</v>
      </c>
      <c r="B195" s="8" t="str">
        <f>IFERROR(__xludf.DUMMYFUNCTION("""COMPUTED_VALUE"""),"RUN-FLMP_2021-11-08_APS-066")</f>
        <v>RUN-FLMP_2021-11-08_APS-066</v>
      </c>
      <c r="C195" s="10">
        <f>VLOOKUP(B195,'Run Reconcile'!A$2:B1579,2,FALSE)</f>
        <v>44508</v>
      </c>
      <c r="D195" s="14">
        <f>IFERROR(__xludf.DUMMYFUNCTION("""COMPUTED_VALUE"""),44508.0)</f>
        <v>44508</v>
      </c>
      <c r="E195" s="15">
        <f>IFERROR(__xludf.DUMMYFUNCTION("""COMPUTED_VALUE"""),0.37752314814861165)</f>
        <v>0.3775231481</v>
      </c>
      <c r="F195" s="8" t="str">
        <f>IFERROR(__xludf.DUMMYFUNCTION("""COMPUTED_VALUE"""),"Negative")</f>
        <v>Negative</v>
      </c>
      <c r="G195" s="16">
        <f>IFERROR(__xludf.DUMMYFUNCTION("""COMPUTED_VALUE"""),1.0)</f>
        <v>1</v>
      </c>
      <c r="H195" s="8" t="str">
        <f>IFERROR(__xludf.DUMMYFUNCTION("""COMPUTED_VALUE"""),"FLSP")</f>
        <v>FLSP</v>
      </c>
    </row>
    <row r="196">
      <c r="A196" s="8" t="str">
        <f>IFERROR(__xludf.DUMMYFUNCTION("""COMPUTED_VALUE"""),"MA1326")</f>
        <v>MA1326</v>
      </c>
      <c r="B196" s="8" t="str">
        <f>IFERROR(__xludf.DUMMYFUNCTION("""COMPUTED_VALUE"""),"RUN-FLMP_2021-11-10_APS-067")</f>
        <v>RUN-FLMP_2021-11-10_APS-067</v>
      </c>
      <c r="C196" s="10">
        <f>VLOOKUP(B196,'Run Reconcile'!A$2:B1579,2,FALSE)</f>
        <v>44510</v>
      </c>
      <c r="D196" s="14">
        <f>IFERROR(__xludf.DUMMYFUNCTION("""COMPUTED_VALUE"""),44510.0)</f>
        <v>44510</v>
      </c>
      <c r="E196" s="15">
        <f>IFERROR(__xludf.DUMMYFUNCTION("""COMPUTED_VALUE"""),0.3410185185202863)</f>
        <v>0.3410185185</v>
      </c>
      <c r="F196" s="8" t="str">
        <f>IFERROR(__xludf.DUMMYFUNCTION("""COMPUTED_VALUE"""),"Negative")</f>
        <v>Negative</v>
      </c>
      <c r="G196" s="16">
        <f>IFERROR(__xludf.DUMMYFUNCTION("""COMPUTED_VALUE"""),4.0)</f>
        <v>4</v>
      </c>
      <c r="H196" s="8" t="str">
        <f>IFERROR(__xludf.DUMMYFUNCTION("""COMPUTED_VALUE"""),"FLSP")</f>
        <v>FLSP</v>
      </c>
    </row>
    <row r="197">
      <c r="A197" s="8" t="str">
        <f>IFERROR(__xludf.DUMMYFUNCTION("""COMPUTED_VALUE"""),"MA1470")</f>
        <v>MA1470</v>
      </c>
      <c r="B197" s="8" t="str">
        <f>IFERROR(__xludf.DUMMYFUNCTION("""COMPUTED_VALUE"""),"RUN-FLMP_2021-11-10_APS-067")</f>
        <v>RUN-FLMP_2021-11-10_APS-067</v>
      </c>
      <c r="C197" s="10">
        <f>VLOOKUP(B197,'Run Reconcile'!A$2:B1579,2,FALSE)</f>
        <v>44510</v>
      </c>
      <c r="D197" s="14">
        <f>IFERROR(__xludf.DUMMYFUNCTION("""COMPUTED_VALUE"""),44510.0)</f>
        <v>44510</v>
      </c>
      <c r="E197" s="15">
        <f>IFERROR(__xludf.DUMMYFUNCTION("""COMPUTED_VALUE"""),0.36503472222102573)</f>
        <v>0.3650347222</v>
      </c>
      <c r="F197" s="8" t="str">
        <f>IFERROR(__xludf.DUMMYFUNCTION("""COMPUTED_VALUE"""),"Negative")</f>
        <v>Negative</v>
      </c>
      <c r="G197" s="16">
        <f>IFERROR(__xludf.DUMMYFUNCTION("""COMPUTED_VALUE"""),1.0)</f>
        <v>1</v>
      </c>
      <c r="H197" s="8" t="str">
        <f>IFERROR(__xludf.DUMMYFUNCTION("""COMPUTED_VALUE"""),"FLSP")</f>
        <v>FLSP</v>
      </c>
    </row>
    <row r="198">
      <c r="A198" s="8" t="str">
        <f>IFERROR(__xludf.DUMMYFUNCTION("""COMPUTED_VALUE"""),"MA1387")</f>
        <v>MA1387</v>
      </c>
      <c r="B198" s="8" t="str">
        <f>IFERROR(__xludf.DUMMYFUNCTION("""COMPUTED_VALUE"""),"RUN-FLMP_2021-11-12_RFR-003")</f>
        <v>RUN-FLMP_2021-11-12_RFR-003</v>
      </c>
      <c r="C198" s="10">
        <f>VLOOKUP(B198,'Run Reconcile'!A$2:B1579,2,FALSE)</f>
        <v>44512</v>
      </c>
      <c r="D198" s="14">
        <f>IFERROR(__xludf.DUMMYFUNCTION("""COMPUTED_VALUE"""),44512.0)</f>
        <v>44512</v>
      </c>
      <c r="E198" s="15">
        <f>IFERROR(__xludf.DUMMYFUNCTION("""COMPUTED_VALUE"""),0.3659259259256942)</f>
        <v>0.3659259259</v>
      </c>
      <c r="F198" s="8" t="str">
        <f>IFERROR(__xludf.DUMMYFUNCTION("""COMPUTED_VALUE"""),"Negative")</f>
        <v>Negative</v>
      </c>
      <c r="G198" s="16">
        <f>IFERROR(__xludf.DUMMYFUNCTION("""COMPUTED_VALUE"""),1.0)</f>
        <v>1</v>
      </c>
      <c r="H198" s="8" t="str">
        <f>IFERROR(__xludf.DUMMYFUNCTION("""COMPUTED_VALUE"""),"FLSP")</f>
        <v>FLSP</v>
      </c>
    </row>
    <row r="199">
      <c r="A199" s="8" t="str">
        <f>IFERROR(__xludf.DUMMYFUNCTION("""COMPUTED_VALUE"""),"MA1471")</f>
        <v>MA1471</v>
      </c>
      <c r="B199" s="8" t="str">
        <f>IFERROR(__xludf.DUMMYFUNCTION("""COMPUTED_VALUE"""),"RUN-FLMP_2021-11-12_RFR-003")</f>
        <v>RUN-FLMP_2021-11-12_RFR-003</v>
      </c>
      <c r="C199" s="10">
        <f>VLOOKUP(B199,'Run Reconcile'!A$2:B1579,2,FALSE)</f>
        <v>44512</v>
      </c>
      <c r="D199" s="14">
        <f>IFERROR(__xludf.DUMMYFUNCTION("""COMPUTED_VALUE"""),44512.0)</f>
        <v>44512</v>
      </c>
      <c r="E199" s="15">
        <f>IFERROR(__xludf.DUMMYFUNCTION("""COMPUTED_VALUE"""),0.36792824073927477)</f>
        <v>0.3679282407</v>
      </c>
      <c r="F199" s="8" t="str">
        <f>IFERROR(__xludf.DUMMYFUNCTION("""COMPUTED_VALUE"""),"Negative")</f>
        <v>Negative</v>
      </c>
      <c r="G199" s="16">
        <f>IFERROR(__xludf.DUMMYFUNCTION("""COMPUTED_VALUE"""),4.0)</f>
        <v>4</v>
      </c>
      <c r="H199" s="8" t="str">
        <f>IFERROR(__xludf.DUMMYFUNCTION("""COMPUTED_VALUE"""),"FLSP")</f>
        <v>FLSP</v>
      </c>
    </row>
    <row r="200">
      <c r="A200" s="8" t="str">
        <f>IFERROR(__xludf.DUMMYFUNCTION("""COMPUTED_VALUE"""),"MA1322")</f>
        <v>MA1322</v>
      </c>
      <c r="B200" s="8" t="str">
        <f>IFERROR(__xludf.DUMMYFUNCTION("""COMPUTED_VALUE"""),"RUN-FLMP_2021-11-15_APS-068")</f>
        <v>RUN-FLMP_2021-11-15_APS-068</v>
      </c>
      <c r="C200" s="10">
        <f>VLOOKUP(B200,'Run Reconcile'!A$2:B1579,2,FALSE)</f>
        <v>44515</v>
      </c>
      <c r="D200" s="14">
        <f>IFERROR(__xludf.DUMMYFUNCTION("""COMPUTED_VALUE"""),44515.0)</f>
        <v>44515</v>
      </c>
      <c r="E200" s="15">
        <f>IFERROR(__xludf.DUMMYFUNCTION("""COMPUTED_VALUE"""),0.35539351851912215)</f>
        <v>0.3553935185</v>
      </c>
      <c r="F200" s="8" t="str">
        <f>IFERROR(__xludf.DUMMYFUNCTION("""COMPUTED_VALUE"""),"Negative")</f>
        <v>Negative</v>
      </c>
      <c r="G200" s="16">
        <f>IFERROR(__xludf.DUMMYFUNCTION("""COMPUTED_VALUE"""),4.0)</f>
        <v>4</v>
      </c>
      <c r="H200" s="8" t="str">
        <f>IFERROR(__xludf.DUMMYFUNCTION("""COMPUTED_VALUE"""),"FLSP")</f>
        <v>FLSP</v>
      </c>
    </row>
    <row r="201">
      <c r="A201" s="8" t="str">
        <f>IFERROR(__xludf.DUMMYFUNCTION("""COMPUTED_VALUE"""),"MA1339")</f>
        <v>MA1339</v>
      </c>
      <c r="B201" s="8" t="str">
        <f>IFERROR(__xludf.DUMMYFUNCTION("""COMPUTED_VALUE"""),"RUN-FLMP_2021-11-15_APS-068")</f>
        <v>RUN-FLMP_2021-11-15_APS-068</v>
      </c>
      <c r="C201" s="10">
        <f>VLOOKUP(B201,'Run Reconcile'!A$2:B1579,2,FALSE)</f>
        <v>44515</v>
      </c>
      <c r="D201" s="14">
        <f>IFERROR(__xludf.DUMMYFUNCTION("""COMPUTED_VALUE"""),44515.0)</f>
        <v>44515</v>
      </c>
      <c r="E201" s="15">
        <f>IFERROR(__xludf.DUMMYFUNCTION("""COMPUTED_VALUE"""),0.3812499999985448)</f>
        <v>0.38125</v>
      </c>
      <c r="F201" s="8" t="str">
        <f>IFERROR(__xludf.DUMMYFUNCTION("""COMPUTED_VALUE"""),"Negative")</f>
        <v>Negative</v>
      </c>
      <c r="G201" s="16">
        <f>IFERROR(__xludf.DUMMYFUNCTION("""COMPUTED_VALUE"""),1.0)</f>
        <v>1</v>
      </c>
      <c r="H201" s="8" t="str">
        <f>IFERROR(__xludf.DUMMYFUNCTION("""COMPUTED_VALUE"""),"FLSP")</f>
        <v>FLSP</v>
      </c>
    </row>
    <row r="202">
      <c r="A202" s="8" t="str">
        <f>IFERROR(__xludf.DUMMYFUNCTION("""COMPUTED_VALUE"""),"MA1350")</f>
        <v>MA1350</v>
      </c>
      <c r="B202" s="8" t="str">
        <f>IFERROR(__xludf.DUMMYFUNCTION("""COMPUTED_VALUE"""),"RUN-FLMP_2021-11-17_APS-069")</f>
        <v>RUN-FLMP_2021-11-17_APS-069</v>
      </c>
      <c r="C202" s="10">
        <f>VLOOKUP(B202,'Run Reconcile'!A$2:B1579,2,FALSE)</f>
        <v>44517</v>
      </c>
      <c r="D202" s="14">
        <f>IFERROR(__xludf.DUMMYFUNCTION("""COMPUTED_VALUE"""),44517.0)</f>
        <v>44517</v>
      </c>
      <c r="E202" s="15">
        <f>IFERROR(__xludf.DUMMYFUNCTION("""COMPUTED_VALUE"""),0.3025000000016007)</f>
        <v>0.3025</v>
      </c>
      <c r="F202" s="8" t="str">
        <f>IFERROR(__xludf.DUMMYFUNCTION("""COMPUTED_VALUE"""),"Negative")</f>
        <v>Negative</v>
      </c>
      <c r="G202" s="16">
        <f>IFERROR(__xludf.DUMMYFUNCTION("""COMPUTED_VALUE"""),4.0)</f>
        <v>4</v>
      </c>
      <c r="H202" s="8" t="str">
        <f>IFERROR(__xludf.DUMMYFUNCTION("""COMPUTED_VALUE"""),"FLSP")</f>
        <v>FLSP</v>
      </c>
    </row>
    <row r="203">
      <c r="A203" s="8" t="str">
        <f>IFERROR(__xludf.DUMMYFUNCTION("""COMPUTED_VALUE"""),"MA1368")</f>
        <v>MA1368</v>
      </c>
      <c r="B203" s="8" t="str">
        <f>IFERROR(__xludf.DUMMYFUNCTION("""COMPUTED_VALUE"""),"RUN-FLMP_2021-11-17_APS-069")</f>
        <v>RUN-FLMP_2021-11-17_APS-069</v>
      </c>
      <c r="C203" s="10">
        <f>VLOOKUP(B203,'Run Reconcile'!A$2:B1579,2,FALSE)</f>
        <v>44517</v>
      </c>
      <c r="D203" s="14">
        <f>IFERROR(__xludf.DUMMYFUNCTION("""COMPUTED_VALUE"""),44517.0)</f>
        <v>44517</v>
      </c>
      <c r="E203" s="15">
        <f>IFERROR(__xludf.DUMMYFUNCTION("""COMPUTED_VALUE"""),0.3658796296294895)</f>
        <v>0.3658796296</v>
      </c>
      <c r="F203" s="8" t="str">
        <f>IFERROR(__xludf.DUMMYFUNCTION("""COMPUTED_VALUE"""),"Negative")</f>
        <v>Negative</v>
      </c>
      <c r="G203" s="16">
        <f>IFERROR(__xludf.DUMMYFUNCTION("""COMPUTED_VALUE"""),1.0)</f>
        <v>1</v>
      </c>
      <c r="H203" s="8" t="str">
        <f>IFERROR(__xludf.DUMMYFUNCTION("""COMPUTED_VALUE"""),"FLSP")</f>
        <v>FLSP</v>
      </c>
    </row>
    <row r="204">
      <c r="A204" s="8" t="str">
        <f>IFERROR(__xludf.DUMMYFUNCTION("""COMPUTED_VALUE"""),"MA1372")</f>
        <v>MA1372</v>
      </c>
      <c r="B204" s="8" t="str">
        <f>IFERROR(__xludf.DUMMYFUNCTION("""COMPUTED_VALUE"""),"RUN-FLMP_2021-11-19_APS-070")</f>
        <v>RUN-FLMP_2021-11-19_APS-070</v>
      </c>
      <c r="C204" s="10">
        <f>VLOOKUP(B204,'Run Reconcile'!A$2:B1579,2,FALSE)</f>
        <v>44519</v>
      </c>
      <c r="D204" s="14">
        <f>IFERROR(__xludf.DUMMYFUNCTION("""COMPUTED_VALUE"""),44519.0)</f>
        <v>44519</v>
      </c>
      <c r="E204" s="15">
        <f>IFERROR(__xludf.DUMMYFUNCTION("""COMPUTED_VALUE"""),0.35521990740744513)</f>
        <v>0.3552199074</v>
      </c>
      <c r="F204" s="8" t="str">
        <f>IFERROR(__xludf.DUMMYFUNCTION("""COMPUTED_VALUE"""),"Negative")</f>
        <v>Negative</v>
      </c>
      <c r="G204" s="16">
        <f>IFERROR(__xludf.DUMMYFUNCTION("""COMPUTED_VALUE"""),4.0)</f>
        <v>4</v>
      </c>
      <c r="H204" s="8" t="str">
        <f>IFERROR(__xludf.DUMMYFUNCTION("""COMPUTED_VALUE"""),"FLSP")</f>
        <v>FLSP</v>
      </c>
    </row>
    <row r="205">
      <c r="A205" s="8" t="str">
        <f>IFERROR(__xludf.DUMMYFUNCTION("""COMPUTED_VALUE"""),"MA1354")</f>
        <v>MA1354</v>
      </c>
      <c r="B205" s="8" t="str">
        <f>IFERROR(__xludf.DUMMYFUNCTION("""COMPUTED_VALUE"""),"RUN-FLMP_2021-11-19_APS-070")</f>
        <v>RUN-FLMP_2021-11-19_APS-070</v>
      </c>
      <c r="C205" s="10">
        <f>VLOOKUP(B205,'Run Reconcile'!A$2:B1579,2,FALSE)</f>
        <v>44519</v>
      </c>
      <c r="D205" s="14">
        <f>IFERROR(__xludf.DUMMYFUNCTION("""COMPUTED_VALUE"""),44519.0)</f>
        <v>44519</v>
      </c>
      <c r="E205" s="15">
        <f>IFERROR(__xludf.DUMMYFUNCTION("""COMPUTED_VALUE"""),0.3909143518503697)</f>
        <v>0.3909143519</v>
      </c>
      <c r="F205" s="8" t="str">
        <f>IFERROR(__xludf.DUMMYFUNCTION("""COMPUTED_VALUE"""),"Negative")</f>
        <v>Negative</v>
      </c>
      <c r="G205" s="16">
        <f>IFERROR(__xludf.DUMMYFUNCTION("""COMPUTED_VALUE"""),1.0)</f>
        <v>1</v>
      </c>
      <c r="H205" s="8" t="str">
        <f>IFERROR(__xludf.DUMMYFUNCTION("""COMPUTED_VALUE"""),"FLSP")</f>
        <v>FLSP</v>
      </c>
    </row>
    <row r="206">
      <c r="A206" s="8" t="str">
        <f>IFERROR(__xludf.DUMMYFUNCTION("""COMPUTED_VALUE"""),"MA1371")</f>
        <v>MA1371</v>
      </c>
      <c r="B206" s="8" t="str">
        <f>IFERROR(__xludf.DUMMYFUNCTION("""COMPUTED_VALUE"""),"RUN-FLMP_2021-11-26_RFR-004")</f>
        <v>RUN-FLMP_2021-11-26_RFR-004</v>
      </c>
      <c r="C206" s="10">
        <f>VLOOKUP(B206,'Run Reconcile'!A$2:B1579,2,FALSE)</f>
        <v>44526</v>
      </c>
      <c r="D206" s="14">
        <f>IFERROR(__xludf.DUMMYFUNCTION("""COMPUTED_VALUE"""),44526.0)</f>
        <v>44526</v>
      </c>
      <c r="E206" s="15">
        <f>IFERROR(__xludf.DUMMYFUNCTION("""COMPUTED_VALUE"""),0.6359722222223354)</f>
        <v>0.6359722222</v>
      </c>
      <c r="F206" s="8" t="str">
        <f>IFERROR(__xludf.DUMMYFUNCTION("""COMPUTED_VALUE"""),"Negative")</f>
        <v>Negative</v>
      </c>
      <c r="G206" s="16">
        <f>IFERROR(__xludf.DUMMYFUNCTION("""COMPUTED_VALUE"""),4.0)</f>
        <v>4</v>
      </c>
      <c r="H206" s="8" t="str">
        <f>IFERROR(__xludf.DUMMYFUNCTION("""COMPUTED_VALUE"""),"FLSP")</f>
        <v>FLSP</v>
      </c>
    </row>
    <row r="207">
      <c r="A207" s="8" t="str">
        <f>IFERROR(__xludf.DUMMYFUNCTION("""COMPUTED_VALUE"""),"MA1323")</f>
        <v>MA1323</v>
      </c>
      <c r="B207" s="8" t="str">
        <f>IFERROR(__xludf.DUMMYFUNCTION("""COMPUTED_VALUE"""),"RUN-FLMP_2021-11-26_RFR-004")</f>
        <v>RUN-FLMP_2021-11-26_RFR-004</v>
      </c>
      <c r="C207" s="10">
        <f>VLOOKUP(B207,'Run Reconcile'!A$2:B1579,2,FALSE)</f>
        <v>44526</v>
      </c>
      <c r="D207" s="14">
        <f>IFERROR(__xludf.DUMMYFUNCTION("""COMPUTED_VALUE"""),44526.0)</f>
        <v>44526</v>
      </c>
      <c r="E207" s="15">
        <f>IFERROR(__xludf.DUMMYFUNCTION("""COMPUTED_VALUE"""),0.7202546296284709)</f>
        <v>0.7202546296</v>
      </c>
      <c r="F207" s="8" t="str">
        <f>IFERROR(__xludf.DUMMYFUNCTION("""COMPUTED_VALUE"""),"Negative")</f>
        <v>Negative</v>
      </c>
      <c r="G207" s="16">
        <f>IFERROR(__xludf.DUMMYFUNCTION("""COMPUTED_VALUE"""),2.0)</f>
        <v>2</v>
      </c>
      <c r="H207" s="8" t="str">
        <f>IFERROR(__xludf.DUMMYFUNCTION("""COMPUTED_VALUE"""),"FLSP")</f>
        <v>FLSP</v>
      </c>
    </row>
    <row r="208">
      <c r="A208" s="8" t="str">
        <f>IFERROR(__xludf.DUMMYFUNCTION("""COMPUTED_VALUE"""),"FLT149")</f>
        <v>FLT149</v>
      </c>
      <c r="B208" s="8" t="str">
        <f>IFERROR(__xludf.DUMMYFUNCTION("""COMPUTED_VALUE"""),"RUN-FLMP_2021-11-28_RFR-006")</f>
        <v>RUN-FLMP_2021-11-28_RFR-006</v>
      </c>
      <c r="C208" s="10">
        <f>VLOOKUP(B208,'Run Reconcile'!A$2:B1579,2,FALSE)</f>
        <v>44528</v>
      </c>
      <c r="D208" s="14">
        <f>IFERROR(__xludf.DUMMYFUNCTION("""COMPUTED_VALUE"""),44528.0)</f>
        <v>44528</v>
      </c>
      <c r="E208" s="15">
        <f>IFERROR(__xludf.DUMMYFUNCTION("""COMPUTED_VALUE"""),0.38112268518671044)</f>
        <v>0.3811226852</v>
      </c>
      <c r="F208" s="8" t="str">
        <f>IFERROR(__xludf.DUMMYFUNCTION("""COMPUTED_VALUE"""),"Negative")</f>
        <v>Negative</v>
      </c>
      <c r="G208" s="16">
        <f>IFERROR(__xludf.DUMMYFUNCTION("""COMPUTED_VALUE"""),4.0)</f>
        <v>4</v>
      </c>
      <c r="H208" s="8" t="str">
        <f>IFERROR(__xludf.DUMMYFUNCTION("""COMPUTED_VALUE"""),"FLSP")</f>
        <v>FLSP</v>
      </c>
    </row>
    <row r="209">
      <c r="A209" s="8" t="str">
        <f>IFERROR(__xludf.DUMMYFUNCTION("""COMPUTED_VALUE"""),"FLT1521")</f>
        <v>FLT1521</v>
      </c>
      <c r="B209" s="8" t="str">
        <f>IFERROR(__xludf.DUMMYFUNCTION("""COMPUTED_VALUE"""),"RUN-FLMP_2021-11-28_RFR-006")</f>
        <v>RUN-FLMP_2021-11-28_RFR-006</v>
      </c>
      <c r="C209" s="10">
        <f>VLOOKUP(B209,'Run Reconcile'!A$2:B1579,2,FALSE)</f>
        <v>44528</v>
      </c>
      <c r="D209" s="14">
        <f>IFERROR(__xludf.DUMMYFUNCTION("""COMPUTED_VALUE"""),44528.0)</f>
        <v>44528</v>
      </c>
      <c r="E209" s="15">
        <f>IFERROR(__xludf.DUMMYFUNCTION("""COMPUTED_VALUE"""),0.46847222222277196)</f>
        <v>0.4684722222</v>
      </c>
      <c r="F209" s="8" t="str">
        <f>IFERROR(__xludf.DUMMYFUNCTION("""COMPUTED_VALUE"""),"Negative")</f>
        <v>Negative</v>
      </c>
      <c r="G209" s="16">
        <f>IFERROR(__xludf.DUMMYFUNCTION("""COMPUTED_VALUE"""),3.0)</f>
        <v>3</v>
      </c>
      <c r="H209" s="8" t="str">
        <f>IFERROR(__xludf.DUMMYFUNCTION("""COMPUTED_VALUE"""),"FLSP")</f>
        <v>FLSP</v>
      </c>
    </row>
    <row r="210">
      <c r="A210" s="8" t="str">
        <f>IFERROR(__xludf.DUMMYFUNCTION("""COMPUTED_VALUE"""),"FLT19")</f>
        <v>FLT19</v>
      </c>
      <c r="B210" s="8" t="str">
        <f>IFERROR(__xludf.DUMMYFUNCTION("""COMPUTED_VALUE"""),"RUN-FLMP_2021-11-28_RFR-006")</f>
        <v>RUN-FLMP_2021-11-28_RFR-006</v>
      </c>
      <c r="C210" s="10">
        <f>VLOOKUP(B210,'Run Reconcile'!A$2:B1579,2,FALSE)</f>
        <v>44528</v>
      </c>
      <c r="D210" s="14">
        <f>IFERROR(__xludf.DUMMYFUNCTION("""COMPUTED_VALUE"""),44528.0)</f>
        <v>44528</v>
      </c>
      <c r="E210" s="15">
        <f>IFERROR(__xludf.DUMMYFUNCTION("""COMPUTED_VALUE"""),0.49063657407532446)</f>
        <v>0.4906365741</v>
      </c>
      <c r="F210" s="8" t="str">
        <f>IFERROR(__xludf.DUMMYFUNCTION("""COMPUTED_VALUE"""),"Negative")</f>
        <v>Negative</v>
      </c>
      <c r="G210" s="16">
        <f>IFERROR(__xludf.DUMMYFUNCTION("""COMPUTED_VALUE"""),4.0)</f>
        <v>4</v>
      </c>
      <c r="H210" s="8" t="str">
        <f>IFERROR(__xludf.DUMMYFUNCTION("""COMPUTED_VALUE"""),"FLSP")</f>
        <v>FLSP</v>
      </c>
    </row>
    <row r="211">
      <c r="A211" s="8" t="str">
        <f>IFERROR(__xludf.DUMMYFUNCTION("""COMPUTED_VALUE"""),"FLE365")</f>
        <v>FLE365</v>
      </c>
      <c r="B211" s="8" t="str">
        <f>IFERROR(__xludf.DUMMYFUNCTION("""COMPUTED_VALUE"""),"RUN-FLMP_2021-11-28_RFR-006")</f>
        <v>RUN-FLMP_2021-11-28_RFR-006</v>
      </c>
      <c r="C211" s="10">
        <f>VLOOKUP(B211,'Run Reconcile'!A$2:B1579,2,FALSE)</f>
        <v>44528</v>
      </c>
      <c r="D211" s="14">
        <f>IFERROR(__xludf.DUMMYFUNCTION("""COMPUTED_VALUE"""),44528.0)</f>
        <v>44528</v>
      </c>
      <c r="E211" s="15">
        <f>IFERROR(__xludf.DUMMYFUNCTION("""COMPUTED_VALUE"""),0.528425925924239)</f>
        <v>0.5284259259</v>
      </c>
      <c r="F211" s="8" t="str">
        <f>IFERROR(__xludf.DUMMYFUNCTION("""COMPUTED_VALUE"""),"Negative")</f>
        <v>Negative</v>
      </c>
      <c r="G211" s="16">
        <f>IFERROR(__xludf.DUMMYFUNCTION("""COMPUTED_VALUE"""),4.0)</f>
        <v>4</v>
      </c>
      <c r="H211" s="8" t="str">
        <f>IFERROR(__xludf.DUMMYFUNCTION("""COMPUTED_VALUE"""),"FLSP")</f>
        <v>FLSP</v>
      </c>
    </row>
    <row r="212">
      <c r="A212" s="8" t="str">
        <f>IFERROR(__xludf.DUMMYFUNCTION("""COMPUTED_VALUE"""),"FLT1540")</f>
        <v>FLT1540</v>
      </c>
      <c r="B212" s="8" t="str">
        <f>IFERROR(__xludf.DUMMYFUNCTION("""COMPUTED_VALUE"""),"RUN-FLMP_2021-11-28_RFR-006")</f>
        <v>RUN-FLMP_2021-11-28_RFR-006</v>
      </c>
      <c r="C212" s="10">
        <f>VLOOKUP(B212,'Run Reconcile'!A$2:B1579,2,FALSE)</f>
        <v>44528</v>
      </c>
      <c r="D212" s="14">
        <f>IFERROR(__xludf.DUMMYFUNCTION("""COMPUTED_VALUE"""),44528.0)</f>
        <v>44528</v>
      </c>
      <c r="E212" s="15">
        <f>IFERROR(__xludf.DUMMYFUNCTION("""COMPUTED_VALUE"""),0.5303124999991269)</f>
        <v>0.5303125</v>
      </c>
      <c r="F212" s="8" t="str">
        <f>IFERROR(__xludf.DUMMYFUNCTION("""COMPUTED_VALUE"""),"Negative")</f>
        <v>Negative</v>
      </c>
      <c r="G212" s="16">
        <f>IFERROR(__xludf.DUMMYFUNCTION("""COMPUTED_VALUE"""),4.0)</f>
        <v>4</v>
      </c>
      <c r="H212" s="8" t="str">
        <f>IFERROR(__xludf.DUMMYFUNCTION("""COMPUTED_VALUE"""),"FLSP")</f>
        <v>FLSP</v>
      </c>
    </row>
    <row r="213">
      <c r="A213" s="8" t="str">
        <f>IFERROR(__xludf.DUMMYFUNCTION("""COMPUTED_VALUE"""),"FLT1134")</f>
        <v>FLT1134</v>
      </c>
      <c r="B213" s="8" t="str">
        <f>IFERROR(__xludf.DUMMYFUNCTION("""COMPUTED_VALUE"""),"RUN-FLMP_2021-11-28_RFR-006")</f>
        <v>RUN-FLMP_2021-11-28_RFR-006</v>
      </c>
      <c r="C213" s="10">
        <f>VLOOKUP(B213,'Run Reconcile'!A$2:B1579,2,FALSE)</f>
        <v>44528</v>
      </c>
      <c r="D213" s="14">
        <f>IFERROR(__xludf.DUMMYFUNCTION("""COMPUTED_VALUE"""),44528.0)</f>
        <v>44528</v>
      </c>
      <c r="E213" s="15">
        <f>IFERROR(__xludf.DUMMYFUNCTION("""COMPUTED_VALUE"""),0.557025462963793)</f>
        <v>0.557025463</v>
      </c>
      <c r="F213" s="8" t="str">
        <f>IFERROR(__xludf.DUMMYFUNCTION("""COMPUTED_VALUE"""),"Negative")</f>
        <v>Negative</v>
      </c>
      <c r="G213" s="16">
        <f>IFERROR(__xludf.DUMMYFUNCTION("""COMPUTED_VALUE"""),4.0)</f>
        <v>4</v>
      </c>
      <c r="H213" s="8" t="str">
        <f>IFERROR(__xludf.DUMMYFUNCTION("""COMPUTED_VALUE"""),"FLSP")</f>
        <v>FLSP</v>
      </c>
    </row>
    <row r="214">
      <c r="A214" s="8" t="str">
        <f>IFERROR(__xludf.DUMMYFUNCTION("""COMPUTED_VALUE"""),"FLT129")</f>
        <v>FLT129</v>
      </c>
      <c r="B214" s="8" t="str">
        <f>IFERROR(__xludf.DUMMYFUNCTION("""COMPUTED_VALUE"""),"RUN-FLMP_2021-11-28_RFR-006")</f>
        <v>RUN-FLMP_2021-11-28_RFR-006</v>
      </c>
      <c r="C214" s="10">
        <f>VLOOKUP(B214,'Run Reconcile'!A$2:B1579,2,FALSE)</f>
        <v>44528</v>
      </c>
      <c r="D214" s="14">
        <f>IFERROR(__xludf.DUMMYFUNCTION("""COMPUTED_VALUE"""),44528.0)</f>
        <v>44528</v>
      </c>
      <c r="E214" s="15">
        <f>IFERROR(__xludf.DUMMYFUNCTION("""COMPUTED_VALUE"""),0.5701620370382443)</f>
        <v>0.570162037</v>
      </c>
      <c r="F214" s="8" t="str">
        <f>IFERROR(__xludf.DUMMYFUNCTION("""COMPUTED_VALUE"""),"Negative")</f>
        <v>Negative</v>
      </c>
      <c r="G214" s="16">
        <f>IFERROR(__xludf.DUMMYFUNCTION("""COMPUTED_VALUE"""),4.0)</f>
        <v>4</v>
      </c>
      <c r="H214" s="8" t="str">
        <f>IFERROR(__xludf.DUMMYFUNCTION("""COMPUTED_VALUE"""),"FLSP")</f>
        <v>FLSP</v>
      </c>
    </row>
    <row r="215">
      <c r="A215" s="8" t="str">
        <f>IFERROR(__xludf.DUMMYFUNCTION("""COMPUTED_VALUE"""),"FLT163")</f>
        <v>FLT163</v>
      </c>
      <c r="B215" s="8" t="str">
        <f>IFERROR(__xludf.DUMMYFUNCTION("""COMPUTED_VALUE"""),"RUN-FLMP_2021-11-28_RFR-006")</f>
        <v>RUN-FLMP_2021-11-28_RFR-006</v>
      </c>
      <c r="C215" s="10">
        <f>VLOOKUP(B215,'Run Reconcile'!A$2:B1579,2,FALSE)</f>
        <v>44528</v>
      </c>
      <c r="D215" s="14">
        <f>IFERROR(__xludf.DUMMYFUNCTION("""COMPUTED_VALUE"""),44528.0)</f>
        <v>44528</v>
      </c>
      <c r="E215" s="15">
        <f>IFERROR(__xludf.DUMMYFUNCTION("""COMPUTED_VALUE"""),0.580775462964084)</f>
        <v>0.580775463</v>
      </c>
      <c r="F215" s="8" t="str">
        <f>IFERROR(__xludf.DUMMYFUNCTION("""COMPUTED_VALUE"""),"Negative")</f>
        <v>Negative</v>
      </c>
      <c r="G215" s="16">
        <f>IFERROR(__xludf.DUMMYFUNCTION("""COMPUTED_VALUE"""),3.0)</f>
        <v>3</v>
      </c>
      <c r="H215" s="8" t="str">
        <f>IFERROR(__xludf.DUMMYFUNCTION("""COMPUTED_VALUE"""),"FLSP")</f>
        <v>FLSP</v>
      </c>
    </row>
    <row r="216">
      <c r="A216" s="8" t="str">
        <f>IFERROR(__xludf.DUMMYFUNCTION("""COMPUTED_VALUE"""),"FLB6851")</f>
        <v>FLB6851</v>
      </c>
      <c r="B216" s="8" t="str">
        <f>IFERROR(__xludf.DUMMYFUNCTION("""COMPUTED_VALUE"""),"RUN-FLMP_2021-11-28_RFR-006")</f>
        <v>RUN-FLMP_2021-11-28_RFR-006</v>
      </c>
      <c r="C216" s="10">
        <f>VLOOKUP(B216,'Run Reconcile'!A$2:B1579,2,FALSE)</f>
        <v>44528</v>
      </c>
      <c r="D216" s="14">
        <f>IFERROR(__xludf.DUMMYFUNCTION("""COMPUTED_VALUE"""),44528.0)</f>
        <v>44528</v>
      </c>
      <c r="E216" s="15">
        <f>IFERROR(__xludf.DUMMYFUNCTION("""COMPUTED_VALUE"""),0.6153009259251121)</f>
        <v>0.6153009259</v>
      </c>
      <c r="F216" s="8" t="str">
        <f>IFERROR(__xludf.DUMMYFUNCTION("""COMPUTED_VALUE"""),"Negative")</f>
        <v>Negative</v>
      </c>
      <c r="G216" s="16">
        <f>IFERROR(__xludf.DUMMYFUNCTION("""COMPUTED_VALUE"""),3.0)</f>
        <v>3</v>
      </c>
      <c r="H216" s="8" t="str">
        <f>IFERROR(__xludf.DUMMYFUNCTION("""COMPUTED_VALUE"""),"FLSP")</f>
        <v>FLSP</v>
      </c>
    </row>
    <row r="217">
      <c r="A217" s="8" t="str">
        <f>IFERROR(__xludf.DUMMYFUNCTION("""COMPUTED_VALUE"""),"FLT1421")</f>
        <v>FLT1421</v>
      </c>
      <c r="B217" s="8" t="str">
        <f>IFERROR(__xludf.DUMMYFUNCTION("""COMPUTED_VALUE"""),"RUN-FLMP_2021-11-28_RFR-006")</f>
        <v>RUN-FLMP_2021-11-28_RFR-006</v>
      </c>
      <c r="C217" s="10">
        <f>VLOOKUP(B217,'Run Reconcile'!A$2:B1579,2,FALSE)</f>
        <v>44528</v>
      </c>
      <c r="D217" s="14">
        <f>IFERROR(__xludf.DUMMYFUNCTION("""COMPUTED_VALUE"""),44528.0)</f>
        <v>44528</v>
      </c>
      <c r="E217" s="15">
        <f>IFERROR(__xludf.DUMMYFUNCTION("""COMPUTED_VALUE"""),0.6476967592607252)</f>
        <v>0.6476967593</v>
      </c>
      <c r="F217" s="8" t="str">
        <f>IFERROR(__xludf.DUMMYFUNCTION("""COMPUTED_VALUE"""),"Negative")</f>
        <v>Negative</v>
      </c>
      <c r="G217" s="16">
        <f>IFERROR(__xludf.DUMMYFUNCTION("""COMPUTED_VALUE"""),4.0)</f>
        <v>4</v>
      </c>
      <c r="H217" s="8" t="str">
        <f>IFERROR(__xludf.DUMMYFUNCTION("""COMPUTED_VALUE"""),"FLSP")</f>
        <v>FLSP</v>
      </c>
    </row>
    <row r="218">
      <c r="A218" s="8" t="str">
        <f>IFERROR(__xludf.DUMMYFUNCTION("""COMPUTED_VALUE"""),"FLT122")</f>
        <v>FLT122</v>
      </c>
      <c r="B218" s="8" t="str">
        <f>IFERROR(__xludf.DUMMYFUNCTION("""COMPUTED_VALUE"""),"RUN-FLMP_2021-11-29_RFR-007")</f>
        <v>RUN-FLMP_2021-11-29_RFR-007</v>
      </c>
      <c r="C218" s="10">
        <f>VLOOKUP(B218,'Run Reconcile'!A$2:B1579,2,FALSE)</f>
        <v>44529</v>
      </c>
      <c r="D218" s="14">
        <f>IFERROR(__xludf.DUMMYFUNCTION("""COMPUTED_VALUE"""),44528.0)</f>
        <v>44528</v>
      </c>
      <c r="E218" s="15">
        <f>IFERROR(__xludf.DUMMYFUNCTION("""COMPUTED_VALUE"""),0.6856134259251121)</f>
        <v>0.6856134259</v>
      </c>
      <c r="F218" s="8" t="str">
        <f>IFERROR(__xludf.DUMMYFUNCTION("""COMPUTED_VALUE"""),"Negative")</f>
        <v>Negative</v>
      </c>
      <c r="G218" s="16">
        <f>IFERROR(__xludf.DUMMYFUNCTION("""COMPUTED_VALUE"""),3.0)</f>
        <v>3</v>
      </c>
      <c r="H218" s="8" t="str">
        <f>IFERROR(__xludf.DUMMYFUNCTION("""COMPUTED_VALUE"""),"FLSP")</f>
        <v>FLSP</v>
      </c>
    </row>
    <row r="219">
      <c r="A219" s="8" t="str">
        <f>IFERROR(__xludf.DUMMYFUNCTION("""COMPUTED_VALUE"""),"FLT1564")</f>
        <v>FLT1564</v>
      </c>
      <c r="B219" s="8" t="str">
        <f>IFERROR(__xludf.DUMMYFUNCTION("""COMPUTED_VALUE"""),"RUN-FLMP_2021-11-29_RFR-007")</f>
        <v>RUN-FLMP_2021-11-29_RFR-007</v>
      </c>
      <c r="C219" s="10">
        <f>VLOOKUP(B219,'Run Reconcile'!A$2:B1579,2,FALSE)</f>
        <v>44529</v>
      </c>
      <c r="D219" s="14">
        <f>IFERROR(__xludf.DUMMYFUNCTION("""COMPUTED_VALUE"""),44529.0)</f>
        <v>44529</v>
      </c>
      <c r="E219" s="15">
        <f>IFERROR(__xludf.DUMMYFUNCTION("""COMPUTED_VALUE"""),0.35561342592700385)</f>
        <v>0.3556134259</v>
      </c>
      <c r="F219" s="8" t="str">
        <f>IFERROR(__xludf.DUMMYFUNCTION("""COMPUTED_VALUE"""),"Negative")</f>
        <v>Negative</v>
      </c>
      <c r="G219" s="16">
        <f>IFERROR(__xludf.DUMMYFUNCTION("""COMPUTED_VALUE"""),4.0)</f>
        <v>4</v>
      </c>
      <c r="H219" s="8" t="str">
        <f>IFERROR(__xludf.DUMMYFUNCTION("""COMPUTED_VALUE"""),"FLSP")</f>
        <v>FLSP</v>
      </c>
    </row>
    <row r="220">
      <c r="A220" s="8" t="str">
        <f>IFERROR(__xludf.DUMMYFUNCTION("""COMPUTED_VALUE"""),"FLT126")</f>
        <v>FLT126</v>
      </c>
      <c r="B220" s="8" t="str">
        <f>IFERROR(__xludf.DUMMYFUNCTION("""COMPUTED_VALUE"""),"RUN-FLMP_2021-11-29_RFR-007")</f>
        <v>RUN-FLMP_2021-11-29_RFR-007</v>
      </c>
      <c r="C220" s="10">
        <f>VLOOKUP(B220,'Run Reconcile'!A$2:B1579,2,FALSE)</f>
        <v>44529</v>
      </c>
      <c r="D220" s="14">
        <f>IFERROR(__xludf.DUMMYFUNCTION("""COMPUTED_VALUE"""),44529.0)</f>
        <v>44529</v>
      </c>
      <c r="E220" s="15">
        <f>IFERROR(__xludf.DUMMYFUNCTION("""COMPUTED_VALUE"""),0.40518518518365454)</f>
        <v>0.4051851852</v>
      </c>
      <c r="F220" s="8" t="str">
        <f>IFERROR(__xludf.DUMMYFUNCTION("""COMPUTED_VALUE"""),"Negative")</f>
        <v>Negative</v>
      </c>
      <c r="G220" s="16">
        <f>IFERROR(__xludf.DUMMYFUNCTION("""COMPUTED_VALUE"""),1.0)</f>
        <v>1</v>
      </c>
      <c r="H220" s="8" t="str">
        <f>IFERROR(__xludf.DUMMYFUNCTION("""COMPUTED_VALUE"""),"FLSP")</f>
        <v>FLSP</v>
      </c>
    </row>
    <row r="221">
      <c r="A221" s="8" t="str">
        <f>IFERROR(__xludf.DUMMYFUNCTION("""COMPUTED_VALUE"""),"FLT1425")</f>
        <v>FLT1425</v>
      </c>
      <c r="B221" s="8" t="str">
        <f>IFERROR(__xludf.DUMMYFUNCTION("""COMPUTED_VALUE"""),"RUN-FLMP_2021-11-30_APS-071")</f>
        <v>RUN-FLMP_2021-11-30_APS-071</v>
      </c>
      <c r="C221" s="10">
        <f>VLOOKUP(B221,'Run Reconcile'!A$2:B1579,2,FALSE)</f>
        <v>44530</v>
      </c>
      <c r="D221" s="14">
        <f>IFERROR(__xludf.DUMMYFUNCTION("""COMPUTED_VALUE"""),44530.0)</f>
        <v>44530</v>
      </c>
      <c r="E221" s="15">
        <f>IFERROR(__xludf.DUMMYFUNCTION("""COMPUTED_VALUE"""),0.3773263888906513)</f>
        <v>0.3773263889</v>
      </c>
      <c r="F221" s="8" t="str">
        <f>IFERROR(__xludf.DUMMYFUNCTION("""COMPUTED_VALUE"""),"Negative")</f>
        <v>Negative</v>
      </c>
      <c r="G221" s="16">
        <f>IFERROR(__xludf.DUMMYFUNCTION("""COMPUTED_VALUE"""),1.0)</f>
        <v>1</v>
      </c>
      <c r="H221" s="8" t="str">
        <f>IFERROR(__xludf.DUMMYFUNCTION("""COMPUTED_VALUE"""),"FLSP")</f>
        <v>FLSP</v>
      </c>
    </row>
    <row r="222">
      <c r="A222" s="8" t="str">
        <f>IFERROR(__xludf.DUMMYFUNCTION("""COMPUTED_VALUE"""),"FLT1141")</f>
        <v>FLT1141</v>
      </c>
      <c r="B222" s="8" t="str">
        <f>IFERROR(__xludf.DUMMYFUNCTION("""COMPUTED_VALUE"""),"RUN-FLMP_2021-11-30_APS-071")</f>
        <v>RUN-FLMP_2021-11-30_APS-071</v>
      </c>
      <c r="C222" s="10">
        <f>VLOOKUP(B222,'Run Reconcile'!A$2:B1579,2,FALSE)</f>
        <v>44530</v>
      </c>
      <c r="D222" s="14">
        <f>IFERROR(__xludf.DUMMYFUNCTION("""COMPUTED_VALUE"""),44530.0)</f>
        <v>44530</v>
      </c>
      <c r="E222" s="15">
        <f>IFERROR(__xludf.DUMMYFUNCTION("""COMPUTED_VALUE"""),0.37858796296131914)</f>
        <v>0.378587963</v>
      </c>
      <c r="F222" s="8" t="str">
        <f>IFERROR(__xludf.DUMMYFUNCTION("""COMPUTED_VALUE"""),"Negative")</f>
        <v>Negative</v>
      </c>
      <c r="G222" s="16">
        <f>IFERROR(__xludf.DUMMYFUNCTION("""COMPUTED_VALUE"""),1.0)</f>
        <v>1</v>
      </c>
      <c r="H222" s="8" t="str">
        <f>IFERROR(__xludf.DUMMYFUNCTION("""COMPUTED_VALUE"""),"FLSP")</f>
        <v>FLSP</v>
      </c>
    </row>
    <row r="223">
      <c r="A223" s="8" t="str">
        <f>IFERROR(__xludf.DUMMYFUNCTION("""COMPUTED_VALUE"""),"FLT188")</f>
        <v>FLT188</v>
      </c>
      <c r="B223" s="8" t="str">
        <f>IFERROR(__xludf.DUMMYFUNCTION("""COMPUTED_VALUE"""),"RUN-FLMP_2021-12-02_APS-072")</f>
        <v>RUN-FLMP_2021-12-02_APS-072</v>
      </c>
      <c r="C223" s="10">
        <f>VLOOKUP(B223,'Run Reconcile'!A$2:B1579,2,FALSE)</f>
        <v>44532</v>
      </c>
      <c r="D223" s="14">
        <f>IFERROR(__xludf.DUMMYFUNCTION("""COMPUTED_VALUE"""),44532.0)</f>
        <v>44532</v>
      </c>
      <c r="E223" s="15">
        <f>IFERROR(__xludf.DUMMYFUNCTION("""COMPUTED_VALUE"""),0.29638888888803194)</f>
        <v>0.2963888889</v>
      </c>
      <c r="F223" s="8" t="str">
        <f>IFERROR(__xludf.DUMMYFUNCTION("""COMPUTED_VALUE"""),"Negative")</f>
        <v>Negative</v>
      </c>
      <c r="G223" s="16">
        <f>IFERROR(__xludf.DUMMYFUNCTION("""COMPUTED_VALUE"""),3.0)</f>
        <v>3</v>
      </c>
      <c r="H223" s="8" t="str">
        <f>IFERROR(__xludf.DUMMYFUNCTION("""COMPUTED_VALUE"""),"FLSP")</f>
        <v>FLSP</v>
      </c>
    </row>
    <row r="224">
      <c r="A224" s="8" t="str">
        <f>IFERROR(__xludf.DUMMYFUNCTION("""COMPUTED_VALUE"""),"FLT15691")</f>
        <v>FLT15691</v>
      </c>
      <c r="B224" s="8" t="str">
        <f>IFERROR(__xludf.DUMMYFUNCTION("""COMPUTED_VALUE"""),"RUN-FLMP_2021-12-02_APS-072")</f>
        <v>RUN-FLMP_2021-12-02_APS-072</v>
      </c>
      <c r="C224" s="10">
        <f>VLOOKUP(B224,'Run Reconcile'!A$2:B1579,2,FALSE)</f>
        <v>44532</v>
      </c>
      <c r="D224" s="14">
        <f>IFERROR(__xludf.DUMMYFUNCTION("""COMPUTED_VALUE"""),44532.0)</f>
        <v>44532</v>
      </c>
      <c r="E224" s="15">
        <f>IFERROR(__xludf.DUMMYFUNCTION("""COMPUTED_VALUE"""),0.3998842592591245)</f>
        <v>0.3998842593</v>
      </c>
      <c r="F224" s="8" t="str">
        <f>IFERROR(__xludf.DUMMYFUNCTION("""COMPUTED_VALUE"""),"Negative")</f>
        <v>Negative</v>
      </c>
      <c r="G224" s="16">
        <f>IFERROR(__xludf.DUMMYFUNCTION("""COMPUTED_VALUE"""),1.0)</f>
        <v>1</v>
      </c>
      <c r="H224" s="8" t="str">
        <f>IFERROR(__xludf.DUMMYFUNCTION("""COMPUTED_VALUE"""),"FLSP")</f>
        <v>FLSP</v>
      </c>
    </row>
    <row r="225">
      <c r="A225" s="8" t="str">
        <f>IFERROR(__xludf.DUMMYFUNCTION("""COMPUTED_VALUE"""),"FLT11091")</f>
        <v>FLT11091</v>
      </c>
      <c r="B225" s="8" t="str">
        <f>IFERROR(__xludf.DUMMYFUNCTION("""COMPUTED_VALUE"""),"RUN-FLMP_2021-12-02_APS-072")</f>
        <v>RUN-FLMP_2021-12-02_APS-072</v>
      </c>
      <c r="C225" s="10">
        <f>VLOOKUP(B225,'Run Reconcile'!A$2:B1579,2,FALSE)</f>
        <v>44532</v>
      </c>
      <c r="D225" s="14">
        <f>IFERROR(__xludf.DUMMYFUNCTION("""COMPUTED_VALUE"""),44532.0)</f>
        <v>44532</v>
      </c>
      <c r="E225" s="15">
        <f>IFERROR(__xludf.DUMMYFUNCTION("""COMPUTED_VALUE"""),0.40048611110978527)</f>
        <v>0.4004861111</v>
      </c>
      <c r="F225" s="8" t="str">
        <f>IFERROR(__xludf.DUMMYFUNCTION("""COMPUTED_VALUE"""),"Negative")</f>
        <v>Negative</v>
      </c>
      <c r="G225" s="16">
        <f>IFERROR(__xludf.DUMMYFUNCTION("""COMPUTED_VALUE"""),4.0)</f>
        <v>4</v>
      </c>
      <c r="H225" s="8" t="str">
        <f>IFERROR(__xludf.DUMMYFUNCTION("""COMPUTED_VALUE"""),"FLSP")</f>
        <v>FLSP</v>
      </c>
    </row>
    <row r="226">
      <c r="A226" s="8" t="str">
        <f>IFERROR(__xludf.DUMMYFUNCTION("""COMPUTED_VALUE"""),"FLE405")</f>
        <v>FLE405</v>
      </c>
      <c r="B226" s="8" t="str">
        <f>IFERROR(__xludf.DUMMYFUNCTION("""COMPUTED_VALUE"""),"RUN-FLMP_2021-12-06_RFR-009")</f>
        <v>RUN-FLMP_2021-12-06_RFR-009</v>
      </c>
      <c r="C226" s="10">
        <f>VLOOKUP(B226,'Run Reconcile'!A$2:B1579,2,FALSE)</f>
        <v>44536</v>
      </c>
      <c r="D226" s="14">
        <f>IFERROR(__xludf.DUMMYFUNCTION("""COMPUTED_VALUE"""),44536.0)</f>
        <v>44536</v>
      </c>
      <c r="E226" s="15">
        <f>IFERROR(__xludf.DUMMYFUNCTION("""COMPUTED_VALUE"""),0.31167824074145756)</f>
        <v>0.3116782407</v>
      </c>
      <c r="F226" s="8" t="str">
        <f>IFERROR(__xludf.DUMMYFUNCTION("""COMPUTED_VALUE"""),"Negative")</f>
        <v>Negative</v>
      </c>
      <c r="G226" s="16">
        <f>IFERROR(__xludf.DUMMYFUNCTION("""COMPUTED_VALUE"""),4.0)</f>
        <v>4</v>
      </c>
      <c r="H226" s="8" t="str">
        <f>IFERROR(__xludf.DUMMYFUNCTION("""COMPUTED_VALUE"""),"FLSP")</f>
        <v>FLSP</v>
      </c>
    </row>
    <row r="227">
      <c r="A227" s="8" t="str">
        <f>IFERROR(__xludf.DUMMYFUNCTION("""COMPUTED_VALUE"""),"FLT1517")</f>
        <v>FLT1517</v>
      </c>
      <c r="B227" s="8" t="str">
        <f>IFERROR(__xludf.DUMMYFUNCTION("""COMPUTED_VALUE"""),"RUN-FLMP_2021-12-06_RFR-009")</f>
        <v>RUN-FLMP_2021-12-06_RFR-009</v>
      </c>
      <c r="C227" s="10">
        <f>VLOOKUP(B227,'Run Reconcile'!A$2:B1579,2,FALSE)</f>
        <v>44536</v>
      </c>
      <c r="D227" s="14">
        <f>IFERROR(__xludf.DUMMYFUNCTION("""COMPUTED_VALUE"""),44536.0)</f>
        <v>44536</v>
      </c>
      <c r="E227" s="15">
        <f>IFERROR(__xludf.DUMMYFUNCTION("""COMPUTED_VALUE"""),0.3872453703697829)</f>
        <v>0.3872453704</v>
      </c>
      <c r="F227" s="8" t="str">
        <f>IFERROR(__xludf.DUMMYFUNCTION("""COMPUTED_VALUE"""),"Negative")</f>
        <v>Negative</v>
      </c>
      <c r="G227" s="16">
        <f>IFERROR(__xludf.DUMMYFUNCTION("""COMPUTED_VALUE"""),1.0)</f>
        <v>1</v>
      </c>
      <c r="H227" s="8" t="str">
        <f>IFERROR(__xludf.DUMMYFUNCTION("""COMPUTED_VALUE"""),"FLSP")</f>
        <v>FLSP</v>
      </c>
    </row>
    <row r="228">
      <c r="A228" s="8" t="str">
        <f>IFERROR(__xludf.DUMMYFUNCTION("""COMPUTED_VALUE"""),"FLT195")</f>
        <v>FLT195</v>
      </c>
      <c r="B228" s="8" t="str">
        <f>IFERROR(__xludf.DUMMYFUNCTION("""COMPUTED_VALUE"""),"RUN-FLMP_2021-12-06_RFR-009")</f>
        <v>RUN-FLMP_2021-12-06_RFR-009</v>
      </c>
      <c r="C228" s="10">
        <f>VLOOKUP(B228,'Run Reconcile'!A$2:B1579,2,FALSE)</f>
        <v>44536</v>
      </c>
      <c r="D228" s="14">
        <f>IFERROR(__xludf.DUMMYFUNCTION("""COMPUTED_VALUE"""),44536.0)</f>
        <v>44536</v>
      </c>
      <c r="E228" s="15">
        <f>IFERROR(__xludf.DUMMYFUNCTION("""COMPUTED_VALUE"""),0.3877546296280343)</f>
        <v>0.3877546296</v>
      </c>
      <c r="F228" s="8" t="str">
        <f>IFERROR(__xludf.DUMMYFUNCTION("""COMPUTED_VALUE"""),"Negative")</f>
        <v>Negative</v>
      </c>
      <c r="G228" s="16">
        <f>IFERROR(__xludf.DUMMYFUNCTION("""COMPUTED_VALUE"""),4.0)</f>
        <v>4</v>
      </c>
      <c r="H228" s="8" t="str">
        <f>IFERROR(__xludf.DUMMYFUNCTION("""COMPUTED_VALUE"""),"FLSP")</f>
        <v>FLSP</v>
      </c>
    </row>
    <row r="229">
      <c r="A229" s="8" t="str">
        <f>IFERROR(__xludf.DUMMYFUNCTION("""COMPUTED_VALUE"""),"FLB6832")</f>
        <v>FLB6832</v>
      </c>
      <c r="B229" s="8" t="str">
        <f>IFERROR(__xludf.DUMMYFUNCTION("""COMPUTED_VALUE"""),"RUN-FLMP_2021-12-06_RFR-009")</f>
        <v>RUN-FLMP_2021-12-06_RFR-009</v>
      </c>
      <c r="C229" s="10">
        <f>VLOOKUP(B229,'Run Reconcile'!A$2:B1579,2,FALSE)</f>
        <v>44536</v>
      </c>
      <c r="D229" s="14">
        <f>IFERROR(__xludf.DUMMYFUNCTION("""COMPUTED_VALUE"""),44536.0)</f>
        <v>44536</v>
      </c>
      <c r="E229" s="15">
        <f>IFERROR(__xludf.DUMMYFUNCTION("""COMPUTED_VALUE"""),0.5042361111118225)</f>
        <v>0.5042361111</v>
      </c>
      <c r="F229" s="8" t="str">
        <f>IFERROR(__xludf.DUMMYFUNCTION("""COMPUTED_VALUE"""),"Negative")</f>
        <v>Negative</v>
      </c>
      <c r="G229" s="16">
        <f>IFERROR(__xludf.DUMMYFUNCTION("""COMPUTED_VALUE"""),3.0)</f>
        <v>3</v>
      </c>
      <c r="H229" s="8" t="str">
        <f>IFERROR(__xludf.DUMMYFUNCTION("""COMPUTED_VALUE"""),"FLSP")</f>
        <v>FLSP</v>
      </c>
    </row>
    <row r="230">
      <c r="A230" s="8" t="str">
        <f>IFERROR(__xludf.DUMMYFUNCTION("""COMPUTED_VALUE"""),"FLE484")</f>
        <v>FLE484</v>
      </c>
      <c r="B230" s="8" t="str">
        <f>IFERROR(__xludf.DUMMYFUNCTION("""COMPUTED_VALUE"""),"RUN-FLMP_2021-12-07_RFR-011")</f>
        <v>RUN-FLMP_2021-12-07_RFR-011</v>
      </c>
      <c r="C230" s="10">
        <f>VLOOKUP(B230,'Run Reconcile'!A$2:B1579,2,FALSE)</f>
        <v>44537</v>
      </c>
      <c r="D230" s="14">
        <f>IFERROR(__xludf.DUMMYFUNCTION("""COMPUTED_VALUE"""),44536.0)</f>
        <v>44536</v>
      </c>
      <c r="E230" s="15">
        <f>IFERROR(__xludf.DUMMYFUNCTION("""COMPUTED_VALUE"""),0.7862500000010186)</f>
        <v>0.78625</v>
      </c>
      <c r="F230" s="8" t="str">
        <f>IFERROR(__xludf.DUMMYFUNCTION("""COMPUTED_VALUE"""),"Negative")</f>
        <v>Negative</v>
      </c>
      <c r="G230" s="16">
        <f>IFERROR(__xludf.DUMMYFUNCTION("""COMPUTED_VALUE"""),4.0)</f>
        <v>4</v>
      </c>
      <c r="H230" s="8" t="str">
        <f>IFERROR(__xludf.DUMMYFUNCTION("""COMPUTED_VALUE"""),"FLSP")</f>
        <v>FLSP</v>
      </c>
    </row>
    <row r="231">
      <c r="A231" s="8" t="str">
        <f>IFERROR(__xludf.DUMMYFUNCTION("""COMPUTED_VALUE"""),"MA1327")</f>
        <v>MA1327</v>
      </c>
      <c r="B231" s="8" t="str">
        <f>IFERROR(__xludf.DUMMYFUNCTION("""COMPUTED_VALUE"""),"RUN-FLMP_2021-12-07_RFR-011")</f>
        <v>RUN-FLMP_2021-12-07_RFR-011</v>
      </c>
      <c r="C231" s="10">
        <f>VLOOKUP(B231,'Run Reconcile'!A$2:B1579,2,FALSE)</f>
        <v>44537</v>
      </c>
      <c r="D231" s="14">
        <f>IFERROR(__xludf.DUMMYFUNCTION("""COMPUTED_VALUE"""),44537.0)</f>
        <v>44537</v>
      </c>
      <c r="E231" s="15">
        <f>IFERROR(__xludf.DUMMYFUNCTION("""COMPUTED_VALUE"""),0.22436342592482106)</f>
        <v>0.2243634259</v>
      </c>
      <c r="F231" s="8" t="str">
        <f>IFERROR(__xludf.DUMMYFUNCTION("""COMPUTED_VALUE"""),"Negative")</f>
        <v>Negative</v>
      </c>
      <c r="G231" s="16">
        <f>IFERROR(__xludf.DUMMYFUNCTION("""COMPUTED_VALUE"""),1.0)</f>
        <v>1</v>
      </c>
      <c r="H231" s="8" t="str">
        <f>IFERROR(__xludf.DUMMYFUNCTION("""COMPUTED_VALUE"""),"FLSP")</f>
        <v>FLSP</v>
      </c>
    </row>
    <row r="232">
      <c r="A232" s="8" t="str">
        <f>IFERROR(__xludf.DUMMYFUNCTION("""COMPUTED_VALUE"""),"FLB6877")</f>
        <v>FLB6877</v>
      </c>
      <c r="B232" s="8" t="str">
        <f>IFERROR(__xludf.DUMMYFUNCTION("""COMPUTED_VALUE"""),"RUN-FLMP_2021-12-07_RFR-011")</f>
        <v>RUN-FLMP_2021-12-07_RFR-011</v>
      </c>
      <c r="C232" s="10">
        <f>VLOOKUP(B232,'Run Reconcile'!A$2:B1579,2,FALSE)</f>
        <v>44537</v>
      </c>
      <c r="D232" s="14">
        <f>IFERROR(__xludf.DUMMYFUNCTION("""COMPUTED_VALUE"""),44537.0)</f>
        <v>44537</v>
      </c>
      <c r="E232" s="15">
        <f>IFERROR(__xludf.DUMMYFUNCTION("""COMPUTED_VALUE"""),0.3245949074080272)</f>
        <v>0.3245949074</v>
      </c>
      <c r="F232" s="8" t="str">
        <f>IFERROR(__xludf.DUMMYFUNCTION("""COMPUTED_VALUE"""),"Negative")</f>
        <v>Negative</v>
      </c>
      <c r="G232" s="16">
        <f>IFERROR(__xludf.DUMMYFUNCTION("""COMPUTED_VALUE"""),4.0)</f>
        <v>4</v>
      </c>
      <c r="H232" s="8" t="str">
        <f>IFERROR(__xludf.DUMMYFUNCTION("""COMPUTED_VALUE"""),"FLSP")</f>
        <v>FLSP</v>
      </c>
    </row>
    <row r="233">
      <c r="A233" s="8" t="str">
        <f>IFERROR(__xludf.DUMMYFUNCTION("""COMPUTED_VALUE"""),"FLT15")</f>
        <v>FLT15</v>
      </c>
      <c r="B233" s="8" t="str">
        <f>IFERROR(__xludf.DUMMYFUNCTION("""COMPUTED_VALUE"""),"RUN-FLMP_2021-12-07_RFR-011")</f>
        <v>RUN-FLMP_2021-12-07_RFR-011</v>
      </c>
      <c r="C233" s="10">
        <f>VLOOKUP(B233,'Run Reconcile'!A$2:B1579,2,FALSE)</f>
        <v>44537</v>
      </c>
      <c r="D233" s="14">
        <f>IFERROR(__xludf.DUMMYFUNCTION("""COMPUTED_VALUE"""),44537.0)</f>
        <v>44537</v>
      </c>
      <c r="E233" s="15">
        <f>IFERROR(__xludf.DUMMYFUNCTION("""COMPUTED_VALUE"""),0.3421180555560568)</f>
        <v>0.3421180556</v>
      </c>
      <c r="F233" s="8" t="str">
        <f>IFERROR(__xludf.DUMMYFUNCTION("""COMPUTED_VALUE"""),"Negative")</f>
        <v>Negative</v>
      </c>
      <c r="G233" s="16">
        <f>IFERROR(__xludf.DUMMYFUNCTION("""COMPUTED_VALUE"""),3.0)</f>
        <v>3</v>
      </c>
      <c r="H233" s="8" t="str">
        <f>IFERROR(__xludf.DUMMYFUNCTION("""COMPUTED_VALUE"""),"FLSP")</f>
        <v>FLSP</v>
      </c>
    </row>
    <row r="234">
      <c r="A234" s="8" t="str">
        <f>IFERROR(__xludf.DUMMYFUNCTION("""COMPUTED_VALUE"""),"FL11026")</f>
        <v>FL11026</v>
      </c>
      <c r="B234" s="8" t="str">
        <f>IFERROR(__xludf.DUMMYFUNCTION("""COMPUTED_VALUE"""),"RUN-FLMP_2021-12-07_RFR-011")</f>
        <v>RUN-FLMP_2021-12-07_RFR-011</v>
      </c>
      <c r="C234" s="10">
        <f>VLOOKUP(B234,'Run Reconcile'!A$2:B1579,2,FALSE)</f>
        <v>44537</v>
      </c>
      <c r="D234" s="14">
        <f>IFERROR(__xludf.DUMMYFUNCTION("""COMPUTED_VALUE"""),44537.0)</f>
        <v>44537</v>
      </c>
      <c r="E234" s="15">
        <f>IFERROR(__xludf.DUMMYFUNCTION("""COMPUTED_VALUE"""),0.37324074074058444)</f>
        <v>0.3732407407</v>
      </c>
      <c r="F234" s="8" t="str">
        <f>IFERROR(__xludf.DUMMYFUNCTION("""COMPUTED_VALUE"""),"Negative")</f>
        <v>Negative</v>
      </c>
      <c r="G234" s="16">
        <f>IFERROR(__xludf.DUMMYFUNCTION("""COMPUTED_VALUE"""),2.0)</f>
        <v>2</v>
      </c>
      <c r="H234" s="8" t="str">
        <f>IFERROR(__xludf.DUMMYFUNCTION("""COMPUTED_VALUE"""),"FLSP")</f>
        <v>FLSP</v>
      </c>
    </row>
    <row r="235">
      <c r="A235" s="8" t="str">
        <f>IFERROR(__xludf.DUMMYFUNCTION("""COMPUTED_VALUE"""),"FLT1138")</f>
        <v>FLT1138</v>
      </c>
      <c r="B235" s="8" t="str">
        <f>IFERROR(__xludf.DUMMYFUNCTION("""COMPUTED_VALUE"""),"RUN-FLMP_2021-12-09_RFR-012")</f>
        <v>RUN-FLMP_2021-12-09_RFR-012</v>
      </c>
      <c r="C235" s="10">
        <f>VLOOKUP(B235,'Run Reconcile'!A$2:B1579,2,FALSE)</f>
        <v>44539</v>
      </c>
      <c r="D235" s="14">
        <f>IFERROR(__xludf.DUMMYFUNCTION("""COMPUTED_VALUE"""),44539.0)</f>
        <v>44539</v>
      </c>
      <c r="E235" s="15">
        <f>IFERROR(__xludf.DUMMYFUNCTION("""COMPUTED_VALUE"""),0.36695601851897663)</f>
        <v>0.3669560185</v>
      </c>
      <c r="F235" s="8" t="str">
        <f>IFERROR(__xludf.DUMMYFUNCTION("""COMPUTED_VALUE"""),"Negative")</f>
        <v>Negative</v>
      </c>
      <c r="G235" s="16">
        <f>IFERROR(__xludf.DUMMYFUNCTION("""COMPUTED_VALUE"""),1.0)</f>
        <v>1</v>
      </c>
      <c r="H235" s="8" t="str">
        <f>IFERROR(__xludf.DUMMYFUNCTION("""COMPUTED_VALUE"""),"FLSP")</f>
        <v>FLSP</v>
      </c>
    </row>
    <row r="236">
      <c r="A236" s="8" t="str">
        <f>IFERROR(__xludf.DUMMYFUNCTION("""COMPUTED_VALUE"""),"FLT1473")</f>
        <v>FLT1473</v>
      </c>
      <c r="B236" s="8" t="str">
        <f>IFERROR(__xludf.DUMMYFUNCTION("""COMPUTED_VALUE"""),"RUN-FLMP_2021-12-09_RFR-012")</f>
        <v>RUN-FLMP_2021-12-09_RFR-012</v>
      </c>
      <c r="C236" s="10">
        <f>VLOOKUP(B236,'Run Reconcile'!A$2:B1579,2,FALSE)</f>
        <v>44539</v>
      </c>
      <c r="D236" s="14">
        <f>IFERROR(__xludf.DUMMYFUNCTION("""COMPUTED_VALUE"""),44539.0)</f>
        <v>44539</v>
      </c>
      <c r="E236" s="15">
        <f>IFERROR(__xludf.DUMMYFUNCTION("""COMPUTED_VALUE"""),0.37261574074000237)</f>
        <v>0.3726157407</v>
      </c>
      <c r="F236" s="8" t="str">
        <f>IFERROR(__xludf.DUMMYFUNCTION("""COMPUTED_VALUE"""),"Negative")</f>
        <v>Negative</v>
      </c>
      <c r="G236" s="16">
        <f>IFERROR(__xludf.DUMMYFUNCTION("""COMPUTED_VALUE"""),4.0)</f>
        <v>4</v>
      </c>
      <c r="H236" s="8" t="str">
        <f>IFERROR(__xludf.DUMMYFUNCTION("""COMPUTED_VALUE"""),"FLSP")</f>
        <v>FLSP</v>
      </c>
    </row>
    <row r="237">
      <c r="A237" s="8" t="str">
        <f>IFERROR(__xludf.DUMMYFUNCTION("""COMPUTED_VALUE"""),"FLT1457")</f>
        <v>FLT1457</v>
      </c>
      <c r="B237" s="8" t="str">
        <f>IFERROR(__xludf.DUMMYFUNCTION("""COMPUTED_VALUE"""),"RUN-FLMP_2021-12-10_RFR-013")</f>
        <v>RUN-FLMP_2021-12-10_RFR-013</v>
      </c>
      <c r="C237" s="10">
        <f>VLOOKUP(B237,'Run Reconcile'!A$2:B1579,2,FALSE)</f>
        <v>44540</v>
      </c>
      <c r="D237" s="14">
        <f>IFERROR(__xludf.DUMMYFUNCTION("""COMPUTED_VALUE"""),44540.0)</f>
        <v>44540</v>
      </c>
      <c r="E237" s="15">
        <f>IFERROR(__xludf.DUMMYFUNCTION("""COMPUTED_VALUE"""),0.38071759259401006)</f>
        <v>0.3807175926</v>
      </c>
      <c r="F237" s="8" t="str">
        <f>IFERROR(__xludf.DUMMYFUNCTION("""COMPUTED_VALUE"""),"Negative")</f>
        <v>Negative</v>
      </c>
      <c r="G237" s="16">
        <f>IFERROR(__xludf.DUMMYFUNCTION("""COMPUTED_VALUE"""),1.0)</f>
        <v>1</v>
      </c>
      <c r="H237" s="8" t="str">
        <f>IFERROR(__xludf.DUMMYFUNCTION("""COMPUTED_VALUE"""),"FLSP")</f>
        <v>FLSP</v>
      </c>
    </row>
    <row r="238">
      <c r="A238" s="8" t="str">
        <f>IFERROR(__xludf.DUMMYFUNCTION("""COMPUTED_VALUE"""),"FLT16")</f>
        <v>FLT16</v>
      </c>
      <c r="B238" s="8" t="str">
        <f>IFERROR(__xludf.DUMMYFUNCTION("""COMPUTED_VALUE"""),"RUN-FLMP_2021-12-10_RFR-013")</f>
        <v>RUN-FLMP_2021-12-10_RFR-013</v>
      </c>
      <c r="C238" s="10">
        <f>VLOOKUP(B238,'Run Reconcile'!A$2:B1579,2,FALSE)</f>
        <v>44540</v>
      </c>
      <c r="D238" s="14">
        <f>IFERROR(__xludf.DUMMYFUNCTION("""COMPUTED_VALUE"""),44540.0)</f>
        <v>44540</v>
      </c>
      <c r="E238" s="15">
        <f>IFERROR(__xludf.DUMMYFUNCTION("""COMPUTED_VALUE"""),0.38104166666744277)</f>
        <v>0.3810416667</v>
      </c>
      <c r="F238" s="8" t="str">
        <f>IFERROR(__xludf.DUMMYFUNCTION("""COMPUTED_VALUE"""),"Negative")</f>
        <v>Negative</v>
      </c>
      <c r="G238" s="16">
        <f>IFERROR(__xludf.DUMMYFUNCTION("""COMPUTED_VALUE"""),1.0)</f>
        <v>1</v>
      </c>
      <c r="H238" s="8" t="str">
        <f>IFERROR(__xludf.DUMMYFUNCTION("""COMPUTED_VALUE"""),"FLSP")</f>
        <v>FLSP</v>
      </c>
    </row>
    <row r="239">
      <c r="A239" s="8" t="str">
        <f>IFERROR(__xludf.DUMMYFUNCTION("""COMPUTED_VALUE"""),"FLT137")</f>
        <v>FLT137</v>
      </c>
      <c r="B239" s="8" t="str">
        <f>IFERROR(__xludf.DUMMYFUNCTION("""COMPUTED_VALUE"""),"RUN-FLMP_2021-12-10_RFR-013")</f>
        <v>RUN-FLMP_2021-12-10_RFR-013</v>
      </c>
      <c r="C239" s="10">
        <f>VLOOKUP(B239,'Run Reconcile'!A$2:B1579,2,FALSE)</f>
        <v>44540</v>
      </c>
      <c r="D239" s="14">
        <f>IFERROR(__xludf.DUMMYFUNCTION("""COMPUTED_VALUE"""),44540.0)</f>
        <v>44540</v>
      </c>
      <c r="E239" s="15">
        <f>IFERROR(__xludf.DUMMYFUNCTION("""COMPUTED_VALUE"""),0.3818634259259852)</f>
        <v>0.3818634259</v>
      </c>
      <c r="F239" s="8" t="str">
        <f>IFERROR(__xludf.DUMMYFUNCTION("""COMPUTED_VALUE"""),"Negative")</f>
        <v>Negative</v>
      </c>
      <c r="G239" s="16">
        <f>IFERROR(__xludf.DUMMYFUNCTION("""COMPUTED_VALUE"""),1.0)</f>
        <v>1</v>
      </c>
      <c r="H239" s="8" t="str">
        <f>IFERROR(__xludf.DUMMYFUNCTION("""COMPUTED_VALUE"""),"FLSP")</f>
        <v>FLSP</v>
      </c>
    </row>
    <row r="240">
      <c r="A240" s="8" t="str">
        <f>IFERROR(__xludf.DUMMYFUNCTION("""COMPUTED_VALUE"""),"MA1380")</f>
        <v>MA1380</v>
      </c>
      <c r="B240" s="8" t="str">
        <f>IFERROR(__xludf.DUMMYFUNCTION("""COMPUTED_VALUE"""),"RUN-FLMP_2021-12-11_RFR-015")</f>
        <v>RUN-FLMP_2021-12-11_RFR-015</v>
      </c>
      <c r="C240" s="10">
        <f>VLOOKUP(B240,'Run Reconcile'!A$2:B1579,2,FALSE)</f>
        <v>44541</v>
      </c>
      <c r="D240" s="14">
        <f>IFERROR(__xludf.DUMMYFUNCTION("""COMPUTED_VALUE"""),44541.0)</f>
        <v>44541</v>
      </c>
      <c r="E240" s="15">
        <f>IFERROR(__xludf.DUMMYFUNCTION("""COMPUTED_VALUE"""),0.39053240740759065)</f>
        <v>0.3905324074</v>
      </c>
      <c r="F240" s="8" t="str">
        <f>IFERROR(__xludf.DUMMYFUNCTION("""COMPUTED_VALUE"""),"Negative")</f>
        <v>Negative</v>
      </c>
      <c r="G240" s="16">
        <f>IFERROR(__xludf.DUMMYFUNCTION("""COMPUTED_VALUE"""),4.0)</f>
        <v>4</v>
      </c>
      <c r="H240" s="8" t="str">
        <f>IFERROR(__xludf.DUMMYFUNCTION("""COMPUTED_VALUE"""),"FLSP")</f>
        <v>FLSP</v>
      </c>
    </row>
    <row r="241">
      <c r="A241" s="8" t="str">
        <f>IFERROR(__xludf.DUMMYFUNCTION("""COMPUTED_VALUE"""),"MA1329")</f>
        <v>MA1329</v>
      </c>
      <c r="B241" s="8" t="str">
        <f>IFERROR(__xludf.DUMMYFUNCTION("""COMPUTED_VALUE"""),"RUN-FLMP_2021-12-11_RFR-015")</f>
        <v>RUN-FLMP_2021-12-11_RFR-015</v>
      </c>
      <c r="C241" s="10">
        <f>VLOOKUP(B241,'Run Reconcile'!A$2:B1579,2,FALSE)</f>
        <v>44541</v>
      </c>
      <c r="D241" s="14">
        <f>IFERROR(__xludf.DUMMYFUNCTION("""COMPUTED_VALUE"""),44541.0)</f>
        <v>44541</v>
      </c>
      <c r="E241" s="15">
        <f>IFERROR(__xludf.DUMMYFUNCTION("""COMPUTED_VALUE"""),0.4605439814804413)</f>
        <v>0.4605439815</v>
      </c>
      <c r="F241" s="8" t="str">
        <f>IFERROR(__xludf.DUMMYFUNCTION("""COMPUTED_VALUE"""),"Negative")</f>
        <v>Negative</v>
      </c>
      <c r="G241" s="16">
        <f>IFERROR(__xludf.DUMMYFUNCTION("""COMPUTED_VALUE"""),1.0)</f>
        <v>1</v>
      </c>
      <c r="H241" s="8" t="str">
        <f>IFERROR(__xludf.DUMMYFUNCTION("""COMPUTED_VALUE"""),"FLSP")</f>
        <v>FLSP</v>
      </c>
    </row>
    <row r="242">
      <c r="A242" s="8" t="str">
        <f>IFERROR(__xludf.DUMMYFUNCTION("""COMPUTED_VALUE"""),"FLB6878")</f>
        <v>FLB6878</v>
      </c>
      <c r="B242" s="8" t="str">
        <f>IFERROR(__xludf.DUMMYFUNCTION("""COMPUTED_VALUE"""),"RUN-FLMP_2021-12-13_RFR-016")</f>
        <v>RUN-FLMP_2021-12-13_RFR-016</v>
      </c>
      <c r="C242" s="10">
        <f>VLOOKUP(B242,'Run Reconcile'!A$2:B1579,2,FALSE)</f>
        <v>44543</v>
      </c>
      <c r="D242" s="14">
        <f>IFERROR(__xludf.DUMMYFUNCTION("""COMPUTED_VALUE"""),44543.0)</f>
        <v>44543</v>
      </c>
      <c r="E242" s="15">
        <f>IFERROR(__xludf.DUMMYFUNCTION("""COMPUTED_VALUE"""),0.3209027777775191)</f>
        <v>0.3209027778</v>
      </c>
      <c r="F242" s="8" t="str">
        <f>IFERROR(__xludf.DUMMYFUNCTION("""COMPUTED_VALUE"""),"Negative")</f>
        <v>Negative</v>
      </c>
      <c r="G242" s="16">
        <f>IFERROR(__xludf.DUMMYFUNCTION("""COMPUTED_VALUE"""),4.0)</f>
        <v>4</v>
      </c>
      <c r="H242" s="8" t="str">
        <f>IFERROR(__xludf.DUMMYFUNCTION("""COMPUTED_VALUE"""),"FLSP")</f>
        <v>FLSP</v>
      </c>
    </row>
    <row r="243">
      <c r="A243" s="8" t="str">
        <f>IFERROR(__xludf.DUMMYFUNCTION("""COMPUTED_VALUE"""),"FLT1171")</f>
        <v>FLT1171</v>
      </c>
      <c r="B243" s="8" t="str">
        <f>IFERROR(__xludf.DUMMYFUNCTION("""COMPUTED_VALUE"""),"RUN-FLMP_2021-12-13_RFR-016")</f>
        <v>RUN-FLMP_2021-12-13_RFR-016</v>
      </c>
      <c r="C243" s="10">
        <f>VLOOKUP(B243,'Run Reconcile'!A$2:B1579,2,FALSE)</f>
        <v>44543</v>
      </c>
      <c r="D243" s="14">
        <f>IFERROR(__xludf.DUMMYFUNCTION("""COMPUTED_VALUE"""),44543.0)</f>
        <v>44543</v>
      </c>
      <c r="E243" s="15">
        <f>IFERROR(__xludf.DUMMYFUNCTION("""COMPUTED_VALUE"""),0.36524305555576575)</f>
        <v>0.3652430556</v>
      </c>
      <c r="F243" s="8" t="str">
        <f>IFERROR(__xludf.DUMMYFUNCTION("""COMPUTED_VALUE"""),"Negative")</f>
        <v>Negative</v>
      </c>
      <c r="G243" s="16">
        <f>IFERROR(__xludf.DUMMYFUNCTION("""COMPUTED_VALUE"""),3.0)</f>
        <v>3</v>
      </c>
      <c r="H243" s="8" t="str">
        <f>IFERROR(__xludf.DUMMYFUNCTION("""COMPUTED_VALUE"""),"FLSP")</f>
        <v>FLSP</v>
      </c>
    </row>
    <row r="244">
      <c r="A244" s="8" t="str">
        <f>IFERROR(__xludf.DUMMYFUNCTION("""COMPUTED_VALUE"""),"FLT1148")</f>
        <v>FLT1148</v>
      </c>
      <c r="B244" s="8" t="str">
        <f>IFERROR(__xludf.DUMMYFUNCTION("""COMPUTED_VALUE"""),"RUN-FLMP_2021-12-13_RFR-016")</f>
        <v>RUN-FLMP_2021-12-13_RFR-016</v>
      </c>
      <c r="C244" s="10">
        <f>VLOOKUP(B244,'Run Reconcile'!A$2:B1579,2,FALSE)</f>
        <v>44543</v>
      </c>
      <c r="D244" s="14">
        <f>IFERROR(__xludf.DUMMYFUNCTION("""COMPUTED_VALUE"""),44543.0)</f>
        <v>44543</v>
      </c>
      <c r="E244" s="15">
        <f>IFERROR(__xludf.DUMMYFUNCTION("""COMPUTED_VALUE"""),0.4123958333329938)</f>
        <v>0.4123958333</v>
      </c>
      <c r="F244" s="8" t="str">
        <f>IFERROR(__xludf.DUMMYFUNCTION("""COMPUTED_VALUE"""),"Negative")</f>
        <v>Negative</v>
      </c>
      <c r="G244" s="16">
        <f>IFERROR(__xludf.DUMMYFUNCTION("""COMPUTED_VALUE"""),1.0)</f>
        <v>1</v>
      </c>
      <c r="H244" s="8" t="str">
        <f>IFERROR(__xludf.DUMMYFUNCTION("""COMPUTED_VALUE"""),"FLSP")</f>
        <v>FLSP</v>
      </c>
    </row>
    <row r="245">
      <c r="A245" s="8" t="str">
        <f>IFERROR(__xludf.DUMMYFUNCTION("""COMPUTED_VALUE"""),"FLT1565")</f>
        <v>FLT1565</v>
      </c>
      <c r="B245" s="8" t="str">
        <f>IFERROR(__xludf.DUMMYFUNCTION("""COMPUTED_VALUE"""),"RUN-FLMP_2021-12-14_RFR-017")</f>
        <v>RUN-FLMP_2021-12-14_RFR-017</v>
      </c>
      <c r="C245" s="10">
        <f>VLOOKUP(B245,'Run Reconcile'!A$2:B1579,2,FALSE)</f>
        <v>44544</v>
      </c>
      <c r="D245" s="14">
        <f>IFERROR(__xludf.DUMMYFUNCTION("""COMPUTED_VALUE"""),44544.0)</f>
        <v>44544</v>
      </c>
      <c r="E245" s="15">
        <f>IFERROR(__xludf.DUMMYFUNCTION("""COMPUTED_VALUE"""),0.29450231481314404)</f>
        <v>0.2945023148</v>
      </c>
      <c r="F245" s="8" t="str">
        <f>IFERROR(__xludf.DUMMYFUNCTION("""COMPUTED_VALUE"""),"Negative")</f>
        <v>Negative</v>
      </c>
      <c r="G245" s="16">
        <f>IFERROR(__xludf.DUMMYFUNCTION("""COMPUTED_VALUE"""),4.0)</f>
        <v>4</v>
      </c>
      <c r="H245" s="8" t="str">
        <f>IFERROR(__xludf.DUMMYFUNCTION("""COMPUTED_VALUE"""),"FLSP")</f>
        <v>FLSP</v>
      </c>
    </row>
    <row r="246">
      <c r="A246" s="8" t="str">
        <f>IFERROR(__xludf.DUMMYFUNCTION("""COMPUTED_VALUE"""),"FLE232")</f>
        <v>FLE232</v>
      </c>
      <c r="B246" s="8" t="str">
        <f>IFERROR(__xludf.DUMMYFUNCTION("""COMPUTED_VALUE"""),"RUN-FLMP_2021-12-14_RFR-017")</f>
        <v>RUN-FLMP_2021-12-14_RFR-017</v>
      </c>
      <c r="C246" s="10">
        <f>VLOOKUP(B246,'Run Reconcile'!A$2:B1579,2,FALSE)</f>
        <v>44544</v>
      </c>
      <c r="D246" s="14">
        <f>IFERROR(__xludf.DUMMYFUNCTION("""COMPUTED_VALUE"""),44544.0)</f>
        <v>44544</v>
      </c>
      <c r="E246" s="15">
        <f>IFERROR(__xludf.DUMMYFUNCTION("""COMPUTED_VALUE"""),0.3571643518516794)</f>
        <v>0.3571643519</v>
      </c>
      <c r="F246" s="8" t="str">
        <f>IFERROR(__xludf.DUMMYFUNCTION("""COMPUTED_VALUE"""),"Negative")</f>
        <v>Negative</v>
      </c>
      <c r="G246" s="16">
        <f>IFERROR(__xludf.DUMMYFUNCTION("""COMPUTED_VALUE"""),2.0)</f>
        <v>2</v>
      </c>
      <c r="H246" s="8" t="str">
        <f>IFERROR(__xludf.DUMMYFUNCTION("""COMPUTED_VALUE"""),"FLSP")</f>
        <v>FLSP</v>
      </c>
    </row>
    <row r="247">
      <c r="A247" s="8" t="str">
        <f>IFERROR(__xludf.DUMMYFUNCTION("""COMPUTED_VALUE"""),"FLE302")</f>
        <v>FLE302</v>
      </c>
      <c r="B247" s="8" t="str">
        <f>IFERROR(__xludf.DUMMYFUNCTION("""COMPUTED_VALUE"""),"RUN-FLMP_2021-12-14_RFR-017")</f>
        <v>RUN-FLMP_2021-12-14_RFR-017</v>
      </c>
      <c r="C247" s="10">
        <f>VLOOKUP(B247,'Run Reconcile'!A$2:B1579,2,FALSE)</f>
        <v>44544</v>
      </c>
      <c r="D247" s="14">
        <f>IFERROR(__xludf.DUMMYFUNCTION("""COMPUTED_VALUE"""),44544.0)</f>
        <v>44544</v>
      </c>
      <c r="E247" s="15">
        <f>IFERROR(__xludf.DUMMYFUNCTION("""COMPUTED_VALUE"""),0.3576967592598521)</f>
        <v>0.3576967593</v>
      </c>
      <c r="F247" s="8" t="str">
        <f>IFERROR(__xludf.DUMMYFUNCTION("""COMPUTED_VALUE"""),"Negative")</f>
        <v>Negative</v>
      </c>
      <c r="G247" s="16">
        <f>IFERROR(__xludf.DUMMYFUNCTION("""COMPUTED_VALUE"""),2.0)</f>
        <v>2</v>
      </c>
      <c r="H247" s="8" t="str">
        <f>IFERROR(__xludf.DUMMYFUNCTION("""COMPUTED_VALUE"""),"FLSP")</f>
        <v>FLSP</v>
      </c>
    </row>
    <row r="248">
      <c r="A248" s="8" t="str">
        <f>IFERROR(__xludf.DUMMYFUNCTION("""COMPUTED_VALUE"""),"FLT1539")</f>
        <v>FLT1539</v>
      </c>
      <c r="B248" s="8" t="str">
        <f>IFERROR(__xludf.DUMMYFUNCTION("""COMPUTED_VALUE"""),"RUN-FLMP_2021-12-14_RFR-017")</f>
        <v>RUN-FLMP_2021-12-14_RFR-017</v>
      </c>
      <c r="C248" s="10">
        <f>VLOOKUP(B248,'Run Reconcile'!A$2:B1579,2,FALSE)</f>
        <v>44544</v>
      </c>
      <c r="D248" s="14">
        <f>IFERROR(__xludf.DUMMYFUNCTION("""COMPUTED_VALUE"""),44544.0)</f>
        <v>44544</v>
      </c>
      <c r="E248" s="15">
        <f>IFERROR(__xludf.DUMMYFUNCTION("""COMPUTED_VALUE"""),0.3587268518531346)</f>
        <v>0.3587268519</v>
      </c>
      <c r="F248" s="8" t="str">
        <f>IFERROR(__xludf.DUMMYFUNCTION("""COMPUTED_VALUE"""),"Negative")</f>
        <v>Negative</v>
      </c>
      <c r="G248" s="16">
        <f>IFERROR(__xludf.DUMMYFUNCTION("""COMPUTED_VALUE"""),2.0)</f>
        <v>2</v>
      </c>
      <c r="H248" s="8" t="str">
        <f>IFERROR(__xludf.DUMMYFUNCTION("""COMPUTED_VALUE"""),"FLSP")</f>
        <v>FLSP</v>
      </c>
    </row>
    <row r="249">
      <c r="A249" s="8" t="str">
        <f>IFERROR(__xludf.DUMMYFUNCTION("""COMPUTED_VALUE"""),"MAX475")</f>
        <v>MAX475</v>
      </c>
      <c r="B249" s="8" t="str">
        <f>IFERROR(__xludf.DUMMYFUNCTION("""COMPUTED_VALUE"""),"RUN-FLMP_2021-12-14_APS-073")</f>
        <v>RUN-FLMP_2021-12-14_APS-073</v>
      </c>
      <c r="C249" s="10">
        <f>VLOOKUP(B249,'Run Reconcile'!A$2:B1579,2,FALSE)</f>
        <v>44544</v>
      </c>
      <c r="D249" s="14">
        <f>IFERROR(__xludf.DUMMYFUNCTION("""COMPUTED_VALUE"""),44544.0)</f>
        <v>44544</v>
      </c>
      <c r="E249" s="15">
        <f>IFERROR(__xludf.DUMMYFUNCTION("""COMPUTED_VALUE"""),0.6230787037020491)</f>
        <v>0.6230787037</v>
      </c>
      <c r="F249" s="8" t="str">
        <f>IFERROR(__xludf.DUMMYFUNCTION("""COMPUTED_VALUE"""),"Negative")</f>
        <v>Negative</v>
      </c>
      <c r="G249" s="16">
        <f>IFERROR(__xludf.DUMMYFUNCTION("""COMPUTED_VALUE"""),1.0)</f>
        <v>1</v>
      </c>
      <c r="H249" s="8" t="str">
        <f>IFERROR(__xludf.DUMMYFUNCTION("""COMPUTED_VALUE"""),"FLSP")</f>
        <v>FLSP</v>
      </c>
    </row>
    <row r="250">
      <c r="A250" s="8" t="str">
        <f>IFERROR(__xludf.DUMMYFUNCTION("""COMPUTED_VALUE"""),"MAX478")</f>
        <v>MAX478</v>
      </c>
      <c r="B250" s="8" t="str">
        <f>IFERROR(__xludf.DUMMYFUNCTION("""COMPUTED_VALUE"""),"RUN-FLMP_2021-12-14_APS-073")</f>
        <v>RUN-FLMP_2021-12-14_APS-073</v>
      </c>
      <c r="C250" s="10">
        <f>VLOOKUP(B250,'Run Reconcile'!A$2:B1579,2,FALSE)</f>
        <v>44544</v>
      </c>
      <c r="D250" s="14">
        <f>IFERROR(__xludf.DUMMYFUNCTION("""COMPUTED_VALUE"""),44544.0)</f>
        <v>44544</v>
      </c>
      <c r="E250" s="15">
        <f>IFERROR(__xludf.DUMMYFUNCTION("""COMPUTED_VALUE"""),0.6338657407395658)</f>
        <v>0.6338657407</v>
      </c>
      <c r="F250" s="8" t="str">
        <f>IFERROR(__xludf.DUMMYFUNCTION("""COMPUTED_VALUE"""),"Negative")</f>
        <v>Negative</v>
      </c>
      <c r="G250" s="16">
        <f>IFERROR(__xludf.DUMMYFUNCTION("""COMPUTED_VALUE"""),2.0)</f>
        <v>2</v>
      </c>
      <c r="H250" s="8" t="str">
        <f>IFERROR(__xludf.DUMMYFUNCTION("""COMPUTED_VALUE"""),"FLSP")</f>
        <v>FLSP</v>
      </c>
    </row>
    <row r="251">
      <c r="A251" s="8" t="str">
        <f>IFERROR(__xludf.DUMMYFUNCTION("""COMPUTED_VALUE"""),"MAX365")</f>
        <v>MAX365</v>
      </c>
      <c r="B251" s="8" t="str">
        <f>IFERROR(__xludf.DUMMYFUNCTION("""COMPUTED_VALUE"""),"RUN-FLMP_2021-12-14_APS-073")</f>
        <v>RUN-FLMP_2021-12-14_APS-073</v>
      </c>
      <c r="C251" s="10">
        <f>VLOOKUP(B251,'Run Reconcile'!A$2:B1579,2,FALSE)</f>
        <v>44544</v>
      </c>
      <c r="D251" s="14">
        <f>IFERROR(__xludf.DUMMYFUNCTION("""COMPUTED_VALUE"""),44544.0)</f>
        <v>44544</v>
      </c>
      <c r="E251" s="15">
        <f>IFERROR(__xludf.DUMMYFUNCTION("""COMPUTED_VALUE"""),0.6351620370369346)</f>
        <v>0.635162037</v>
      </c>
      <c r="F251" s="8" t="str">
        <f>IFERROR(__xludf.DUMMYFUNCTION("""COMPUTED_VALUE"""),"Negative")</f>
        <v>Negative</v>
      </c>
      <c r="G251" s="16">
        <f>IFERROR(__xludf.DUMMYFUNCTION("""COMPUTED_VALUE"""),2.0)</f>
        <v>2</v>
      </c>
      <c r="H251" s="8" t="str">
        <f>IFERROR(__xludf.DUMMYFUNCTION("""COMPUTED_VALUE"""),"FLSP")</f>
        <v>FLSP</v>
      </c>
    </row>
    <row r="252">
      <c r="A252" s="8" t="str">
        <f>IFERROR(__xludf.DUMMYFUNCTION("""COMPUTED_VALUE"""),"MA1482")</f>
        <v>MA1482</v>
      </c>
      <c r="B252" s="8" t="str">
        <f>IFERROR(__xludf.DUMMYFUNCTION("""COMPUTED_VALUE"""),"RUN-FLMP_2021-12-16_RFR-018")</f>
        <v>RUN-FLMP_2021-12-16_RFR-018</v>
      </c>
      <c r="C252" s="10">
        <f>VLOOKUP(B252,'Run Reconcile'!A$2:B1579,2,FALSE)</f>
        <v>44546</v>
      </c>
      <c r="D252" s="14">
        <f>IFERROR(__xludf.DUMMYFUNCTION("""COMPUTED_VALUE"""),44546.0)</f>
        <v>44546</v>
      </c>
      <c r="E252" s="15">
        <f>IFERROR(__xludf.DUMMYFUNCTION("""COMPUTED_VALUE"""),0.3561458333315386)</f>
        <v>0.3561458333</v>
      </c>
      <c r="F252" s="8" t="str">
        <f>IFERROR(__xludf.DUMMYFUNCTION("""COMPUTED_VALUE"""),"Negative")</f>
        <v>Negative</v>
      </c>
      <c r="G252" s="16">
        <f>IFERROR(__xludf.DUMMYFUNCTION("""COMPUTED_VALUE"""),4.0)</f>
        <v>4</v>
      </c>
      <c r="H252" s="8" t="str">
        <f>IFERROR(__xludf.DUMMYFUNCTION("""COMPUTED_VALUE"""),"FLSP")</f>
        <v>FLSP</v>
      </c>
    </row>
    <row r="253">
      <c r="A253" s="8" t="str">
        <f>IFERROR(__xludf.DUMMYFUNCTION("""COMPUTED_VALUE"""),"MA1378")</f>
        <v>MA1378</v>
      </c>
      <c r="B253" s="8" t="str">
        <f>IFERROR(__xludf.DUMMYFUNCTION("""COMPUTED_VALUE"""),"RUN-FLMP_2021-12-16_RFR-018")</f>
        <v>RUN-FLMP_2021-12-16_RFR-018</v>
      </c>
      <c r="C253" s="10">
        <f>VLOOKUP(B253,'Run Reconcile'!A$2:B1579,2,FALSE)</f>
        <v>44546</v>
      </c>
      <c r="D253" s="14">
        <f>IFERROR(__xludf.DUMMYFUNCTION("""COMPUTED_VALUE"""),44546.0)</f>
        <v>44546</v>
      </c>
      <c r="E253" s="15">
        <f>IFERROR(__xludf.DUMMYFUNCTION("""COMPUTED_VALUE"""),0.3648958333324117)</f>
        <v>0.3648958333</v>
      </c>
      <c r="F253" s="8" t="str">
        <f>IFERROR(__xludf.DUMMYFUNCTION("""COMPUTED_VALUE"""),"Negative")</f>
        <v>Negative</v>
      </c>
      <c r="G253" s="16">
        <f>IFERROR(__xludf.DUMMYFUNCTION("""COMPUTED_VALUE"""),1.0)</f>
        <v>1</v>
      </c>
      <c r="H253" s="8" t="str">
        <f>IFERROR(__xludf.DUMMYFUNCTION("""COMPUTED_VALUE"""),"FLSP")</f>
        <v>FLSP</v>
      </c>
    </row>
    <row r="254">
      <c r="A254" s="8" t="str">
        <f>IFERROR(__xludf.DUMMYFUNCTION("""COMPUTED_VALUE"""),"MA1463")</f>
        <v>MA1463</v>
      </c>
      <c r="B254" s="8" t="str">
        <f>IFERROR(__xludf.DUMMYFUNCTION("""COMPUTED_VALUE"""),"RUN-FLMP_2021-12-18_RFR-019")</f>
        <v>RUN-FLMP_2021-12-18_RFR-019</v>
      </c>
      <c r="C254" s="10">
        <f>VLOOKUP(B254,'Run Reconcile'!A$2:B1579,2,FALSE)</f>
        <v>44548</v>
      </c>
      <c r="D254" s="14">
        <f>IFERROR(__xludf.DUMMYFUNCTION("""COMPUTED_VALUE"""),44548.0)</f>
        <v>44548</v>
      </c>
      <c r="E254" s="15">
        <f>IFERROR(__xludf.DUMMYFUNCTION("""COMPUTED_VALUE"""),0.29943287037167465)</f>
        <v>0.2994328704</v>
      </c>
      <c r="F254" s="8" t="str">
        <f>IFERROR(__xludf.DUMMYFUNCTION("""COMPUTED_VALUE"""),"Positive")</f>
        <v>Positive</v>
      </c>
      <c r="G254" s="16">
        <f>IFERROR(__xludf.DUMMYFUNCTION("""COMPUTED_VALUE"""),2.0)</f>
        <v>2</v>
      </c>
      <c r="H254" s="8" t="str">
        <f>IFERROR(__xludf.DUMMYFUNCTION("""COMPUTED_VALUE"""),"FLSP")</f>
        <v>FLSP</v>
      </c>
    </row>
    <row r="255">
      <c r="A255" s="8" t="str">
        <f>IFERROR(__xludf.DUMMYFUNCTION("""COMPUTED_VALUE"""),"MA1375")</f>
        <v>MA1375</v>
      </c>
      <c r="B255" s="8" t="str">
        <f>IFERROR(__xludf.DUMMYFUNCTION("""COMPUTED_VALUE"""),"RUN-FLMP_2021-12-18_RFR-019")</f>
        <v>RUN-FLMP_2021-12-18_RFR-019</v>
      </c>
      <c r="C255" s="10">
        <f>VLOOKUP(B255,'Run Reconcile'!A$2:B1579,2,FALSE)</f>
        <v>44548</v>
      </c>
      <c r="D255" s="14">
        <f>IFERROR(__xludf.DUMMYFUNCTION("""COMPUTED_VALUE"""),44548.0)</f>
        <v>44548</v>
      </c>
      <c r="E255" s="15">
        <f>IFERROR(__xludf.DUMMYFUNCTION("""COMPUTED_VALUE"""),0.3056597222239361)</f>
        <v>0.3056597222</v>
      </c>
      <c r="F255" s="8" t="str">
        <f>IFERROR(__xludf.DUMMYFUNCTION("""COMPUTED_VALUE"""),"Negative")</f>
        <v>Negative</v>
      </c>
      <c r="G255" s="16">
        <f>IFERROR(__xludf.DUMMYFUNCTION("""COMPUTED_VALUE"""),2.0)</f>
        <v>2</v>
      </c>
      <c r="H255" s="8" t="str">
        <f>IFERROR(__xludf.DUMMYFUNCTION("""COMPUTED_VALUE"""),"FLSP")</f>
        <v>FLSP</v>
      </c>
    </row>
    <row r="256">
      <c r="A256" s="8" t="str">
        <f>IFERROR(__xludf.DUMMYFUNCTION("""COMPUTED_VALUE"""),"MA1215")</f>
        <v>MA1215</v>
      </c>
      <c r="B256" s="8" t="str">
        <f>IFERROR(__xludf.DUMMYFUNCTION("""COMPUTED_VALUE"""),"RUN-FLMP_2021-12-18_RFR-020")</f>
        <v>RUN-FLMP_2021-12-18_RFR-020</v>
      </c>
      <c r="C256" s="10">
        <f>VLOOKUP(B256,'Run Reconcile'!A$2:B1579,2,FALSE)</f>
        <v>44548</v>
      </c>
      <c r="D256" s="14">
        <f>IFERROR(__xludf.DUMMYFUNCTION("""COMPUTED_VALUE"""),44548.0)</f>
        <v>44548</v>
      </c>
      <c r="E256" s="15">
        <f>IFERROR(__xludf.DUMMYFUNCTION("""COMPUTED_VALUE"""),0.3919097222205892)</f>
        <v>0.3919097222</v>
      </c>
      <c r="F256" s="8" t="str">
        <f>IFERROR(__xludf.DUMMYFUNCTION("""COMPUTED_VALUE"""),"Positive")</f>
        <v>Positive</v>
      </c>
      <c r="G256" s="16">
        <f>IFERROR(__xludf.DUMMYFUNCTION("""COMPUTED_VALUE"""),1.0)</f>
        <v>1</v>
      </c>
      <c r="H256" s="8" t="str">
        <f>IFERROR(__xludf.DUMMYFUNCTION("""COMPUTED_VALUE"""),"FLSP")</f>
        <v>FLSP</v>
      </c>
    </row>
    <row r="257">
      <c r="A257" s="8" t="str">
        <f>IFERROR(__xludf.DUMMYFUNCTION("""COMPUTED_VALUE"""),"MA1345")</f>
        <v>MA1345</v>
      </c>
      <c r="B257" s="8" t="str">
        <f>IFERROR(__xludf.DUMMYFUNCTION("""COMPUTED_VALUE"""),"RUN-FLMP_2021-12-18_RFR-020")</f>
        <v>RUN-FLMP_2021-12-18_RFR-020</v>
      </c>
      <c r="C257" s="10">
        <f>VLOOKUP(B257,'Run Reconcile'!A$2:B1579,2,FALSE)</f>
        <v>44548</v>
      </c>
      <c r="D257" s="14">
        <f>IFERROR(__xludf.DUMMYFUNCTION("""COMPUTED_VALUE"""),44548.0)</f>
        <v>44548</v>
      </c>
      <c r="E257" s="15">
        <f>IFERROR(__xludf.DUMMYFUNCTION("""COMPUTED_VALUE"""),0.39228009259386454)</f>
        <v>0.3922800926</v>
      </c>
      <c r="F257" s="8" t="str">
        <f>IFERROR(__xludf.DUMMYFUNCTION("""COMPUTED_VALUE"""),"Negative")</f>
        <v>Negative</v>
      </c>
      <c r="G257" s="16">
        <f>IFERROR(__xludf.DUMMYFUNCTION("""COMPUTED_VALUE"""),1.0)</f>
        <v>1</v>
      </c>
      <c r="H257" s="8" t="str">
        <f>IFERROR(__xludf.DUMMYFUNCTION("""COMPUTED_VALUE"""),"FLSP")</f>
        <v>FLSP</v>
      </c>
    </row>
    <row r="258">
      <c r="A258" s="8" t="str">
        <f>IFERROR(__xludf.DUMMYFUNCTION("""COMPUTED_VALUE"""),"MA1466")</f>
        <v>MA1466</v>
      </c>
      <c r="B258" s="8" t="str">
        <f>IFERROR(__xludf.DUMMYFUNCTION("""COMPUTED_VALUE"""),"RUN-FLMP_2021-12-18_RFR-021")</f>
        <v>RUN-FLMP_2021-12-18_RFR-021</v>
      </c>
      <c r="C258" s="10">
        <f>VLOOKUP(B258,'Run Reconcile'!A$2:B1579,2,FALSE)</f>
        <v>44548</v>
      </c>
      <c r="D258" s="14">
        <f>IFERROR(__xludf.DUMMYFUNCTION("""COMPUTED_VALUE"""),44548.0)</f>
        <v>44548</v>
      </c>
      <c r="E258" s="15">
        <f>IFERROR(__xludf.DUMMYFUNCTION("""COMPUTED_VALUE"""),0.4157291666670062)</f>
        <v>0.4157291667</v>
      </c>
      <c r="F258" s="8" t="str">
        <f>IFERROR(__xludf.DUMMYFUNCTION("""COMPUTED_VALUE"""),"Negative")</f>
        <v>Negative</v>
      </c>
      <c r="G258" s="16">
        <f>IFERROR(__xludf.DUMMYFUNCTION("""COMPUTED_VALUE"""),1.0)</f>
        <v>1</v>
      </c>
      <c r="H258" s="8" t="str">
        <f>IFERROR(__xludf.DUMMYFUNCTION("""COMPUTED_VALUE"""),"FLSP")</f>
        <v>FLSP</v>
      </c>
    </row>
    <row r="259">
      <c r="A259" s="8" t="str">
        <f>IFERROR(__xludf.DUMMYFUNCTION("""COMPUTED_VALUE"""),"MA1340")</f>
        <v>MA1340</v>
      </c>
      <c r="B259" s="8" t="str">
        <f>IFERROR(__xludf.DUMMYFUNCTION("""COMPUTED_VALUE"""),"RUN-FLMP_2021-12-18_RFR-021")</f>
        <v>RUN-FLMP_2021-12-18_RFR-021</v>
      </c>
      <c r="C259" s="10">
        <f>VLOOKUP(B259,'Run Reconcile'!A$2:B1579,2,FALSE)</f>
        <v>44548</v>
      </c>
      <c r="D259" s="14">
        <f>IFERROR(__xludf.DUMMYFUNCTION("""COMPUTED_VALUE"""),44548.0)</f>
        <v>44548</v>
      </c>
      <c r="E259" s="15">
        <f>IFERROR(__xludf.DUMMYFUNCTION("""COMPUTED_VALUE"""),0.4187037037045229)</f>
        <v>0.4187037037</v>
      </c>
      <c r="F259" s="8" t="str">
        <f>IFERROR(__xludf.DUMMYFUNCTION("""COMPUTED_VALUE"""),"Negative")</f>
        <v>Negative</v>
      </c>
      <c r="G259" s="16">
        <f>IFERROR(__xludf.DUMMYFUNCTION("""COMPUTED_VALUE"""),1.0)</f>
        <v>1</v>
      </c>
      <c r="H259" s="8" t="str">
        <f>IFERROR(__xludf.DUMMYFUNCTION("""COMPUTED_VALUE"""),"FLSP")</f>
        <v>FLSP</v>
      </c>
    </row>
    <row r="260">
      <c r="A260" s="8" t="str">
        <f>IFERROR(__xludf.DUMMYFUNCTION("""COMPUTED_VALUE"""),"MA1474")</f>
        <v>MA1474</v>
      </c>
      <c r="B260" s="8" t="str">
        <f>IFERROR(__xludf.DUMMYFUNCTION("""COMPUTED_VALUE"""),"RUN-FLMP_2021-12-19_RFR-022")</f>
        <v>RUN-FLMP_2021-12-19_RFR-022</v>
      </c>
      <c r="C260" s="10">
        <f>VLOOKUP(B260,'Run Reconcile'!A$2:B1579,2,FALSE)</f>
        <v>44549</v>
      </c>
      <c r="D260" s="14">
        <f>IFERROR(__xludf.DUMMYFUNCTION("""COMPUTED_VALUE"""),44549.0)</f>
        <v>44549</v>
      </c>
      <c r="E260" s="15">
        <f>IFERROR(__xludf.DUMMYFUNCTION("""COMPUTED_VALUE"""),0.32173611111284117)</f>
        <v>0.3217361111</v>
      </c>
      <c r="F260" s="8" t="str">
        <f>IFERROR(__xludf.DUMMYFUNCTION("""COMPUTED_VALUE"""),"Negative")</f>
        <v>Negative</v>
      </c>
      <c r="G260" s="16">
        <f>IFERROR(__xludf.DUMMYFUNCTION("""COMPUTED_VALUE"""),1.0)</f>
        <v>1</v>
      </c>
      <c r="H260" s="8" t="str">
        <f>IFERROR(__xludf.DUMMYFUNCTION("""COMPUTED_VALUE"""),"FLSP")</f>
        <v>FLSP</v>
      </c>
    </row>
    <row r="261">
      <c r="A261" s="8" t="str">
        <f>IFERROR(__xludf.DUMMYFUNCTION("""COMPUTED_VALUE"""),"MA1347")</f>
        <v>MA1347</v>
      </c>
      <c r="B261" s="8" t="str">
        <f>IFERROR(__xludf.DUMMYFUNCTION("""COMPUTED_VALUE"""),"RUN-FLMP_2021-12-19_RFR-022")</f>
        <v>RUN-FLMP_2021-12-19_RFR-022</v>
      </c>
      <c r="C261" s="10">
        <f>VLOOKUP(B261,'Run Reconcile'!A$2:B1579,2,FALSE)</f>
        <v>44549</v>
      </c>
      <c r="D261" s="14">
        <f>IFERROR(__xludf.DUMMYFUNCTION("""COMPUTED_VALUE"""),44549.0)</f>
        <v>44549</v>
      </c>
      <c r="E261" s="15">
        <f>IFERROR(__xludf.DUMMYFUNCTION("""COMPUTED_VALUE"""),0.3223379629635019)</f>
        <v>0.322337963</v>
      </c>
      <c r="F261" s="8" t="str">
        <f>IFERROR(__xludf.DUMMYFUNCTION("""COMPUTED_VALUE"""),"Negative")</f>
        <v>Negative</v>
      </c>
      <c r="G261" s="16">
        <f>IFERROR(__xludf.DUMMYFUNCTION("""COMPUTED_VALUE"""),1.0)</f>
        <v>1</v>
      </c>
      <c r="H261" s="8" t="str">
        <f>IFERROR(__xludf.DUMMYFUNCTION("""COMPUTED_VALUE"""),"FLSP")</f>
        <v>FLSP</v>
      </c>
    </row>
    <row r="262">
      <c r="A262" s="8" t="str">
        <f>IFERROR(__xludf.DUMMYFUNCTION("""COMPUTED_VALUE"""),"MA1363")</f>
        <v>MA1363</v>
      </c>
      <c r="B262" s="8" t="str">
        <f>IFERROR(__xludf.DUMMYFUNCTION("""COMPUTED_VALUE"""),"RUN-FLMP_2021-12-19_RFR-022")</f>
        <v>RUN-FLMP_2021-12-19_RFR-022</v>
      </c>
      <c r="C262" s="10">
        <f>VLOOKUP(B262,'Run Reconcile'!A$2:B1579,2,FALSE)</f>
        <v>44549</v>
      </c>
      <c r="D262" s="14">
        <f>IFERROR(__xludf.DUMMYFUNCTION("""COMPUTED_VALUE"""),44549.0)</f>
        <v>44549</v>
      </c>
      <c r="E262" s="15">
        <f>IFERROR(__xludf.DUMMYFUNCTION("""COMPUTED_VALUE"""),0.322789351852407)</f>
        <v>0.3227893519</v>
      </c>
      <c r="F262" s="8" t="str">
        <f>IFERROR(__xludf.DUMMYFUNCTION("""COMPUTED_VALUE"""),"Negative")</f>
        <v>Negative</v>
      </c>
      <c r="G262" s="16">
        <f>IFERROR(__xludf.DUMMYFUNCTION("""COMPUTED_VALUE"""),1.0)</f>
        <v>1</v>
      </c>
      <c r="H262" s="8" t="str">
        <f>IFERROR(__xludf.DUMMYFUNCTION("""COMPUTED_VALUE"""),"FLSP")</f>
        <v>FLSP</v>
      </c>
    </row>
    <row r="263">
      <c r="A263" s="8" t="str">
        <f>IFERROR(__xludf.DUMMYFUNCTION("""COMPUTED_VALUE"""),"FLT1530")</f>
        <v>FLT1530</v>
      </c>
      <c r="B263" s="8" t="str">
        <f>IFERROR(__xludf.DUMMYFUNCTION("""COMPUTED_VALUE"""),"RUN-FLMP_2021-12-19_RFR-023")</f>
        <v>RUN-FLMP_2021-12-19_RFR-023</v>
      </c>
      <c r="C263" s="10">
        <f>VLOOKUP(B263,'Run Reconcile'!A$2:B1579,2,FALSE)</f>
        <v>44549</v>
      </c>
      <c r="D263" s="14">
        <f>IFERROR(__xludf.DUMMYFUNCTION("""COMPUTED_VALUE"""),44549.0)</f>
        <v>44549</v>
      </c>
      <c r="E263" s="15">
        <f>IFERROR(__xludf.DUMMYFUNCTION("""COMPUTED_VALUE"""),0.3256597222207347)</f>
        <v>0.3256597222</v>
      </c>
      <c r="F263" s="8" t="str">
        <f>IFERROR(__xludf.DUMMYFUNCTION("""COMPUTED_VALUE"""),"Negative")</f>
        <v>Negative</v>
      </c>
      <c r="G263" s="16">
        <f>IFERROR(__xludf.DUMMYFUNCTION("""COMPUTED_VALUE"""),4.0)</f>
        <v>4</v>
      </c>
      <c r="H263" s="8" t="str">
        <f>IFERROR(__xludf.DUMMYFUNCTION("""COMPUTED_VALUE"""),"FLSP")</f>
        <v>FLSP</v>
      </c>
    </row>
    <row r="264">
      <c r="A264" s="8" t="str">
        <f>IFERROR(__xludf.DUMMYFUNCTION("""COMPUTED_VALUE"""),"MA1467")</f>
        <v>MA1467</v>
      </c>
      <c r="B264" s="8" t="str">
        <f>IFERROR(__xludf.DUMMYFUNCTION("""COMPUTED_VALUE"""),"RUN-FLMP_2021-12-20_RFR-024")</f>
        <v>RUN-FLMP_2021-12-20_RFR-024</v>
      </c>
      <c r="C264" s="10">
        <f>VLOOKUP(B264,'Run Reconcile'!A$2:B1579,2,FALSE)</f>
        <v>44550</v>
      </c>
      <c r="D264" s="14">
        <f>IFERROR(__xludf.DUMMYFUNCTION("""COMPUTED_VALUE"""),44550.0)</f>
        <v>44550</v>
      </c>
      <c r="E264" s="15">
        <f>IFERROR(__xludf.DUMMYFUNCTION("""COMPUTED_VALUE"""),0.27490740740904585)</f>
        <v>0.2749074074</v>
      </c>
      <c r="F264" s="8" t="str">
        <f>IFERROR(__xludf.DUMMYFUNCTION("""COMPUTED_VALUE"""),"Negative")</f>
        <v>Negative</v>
      </c>
      <c r="G264" s="16">
        <f>IFERROR(__xludf.DUMMYFUNCTION("""COMPUTED_VALUE"""),1.0)</f>
        <v>1</v>
      </c>
      <c r="H264" s="8" t="str">
        <f>IFERROR(__xludf.DUMMYFUNCTION("""COMPUTED_VALUE"""),"FLSP")</f>
        <v>FLSP</v>
      </c>
    </row>
    <row r="265">
      <c r="A265" s="8" t="str">
        <f>IFERROR(__xludf.DUMMYFUNCTION("""COMPUTED_VALUE"""),"MA1370")</f>
        <v>MA1370</v>
      </c>
      <c r="B265" s="8" t="str">
        <f>IFERROR(__xludf.DUMMYFUNCTION("""COMPUTED_VALUE"""),"RUN-FLMP_2021-12-20_RFR-024")</f>
        <v>RUN-FLMP_2021-12-20_RFR-024</v>
      </c>
      <c r="C265" s="10">
        <f>VLOOKUP(B265,'Run Reconcile'!A$2:B1579,2,FALSE)</f>
        <v>44550</v>
      </c>
      <c r="D265" s="14">
        <f>IFERROR(__xludf.DUMMYFUNCTION("""COMPUTED_VALUE"""),44550.0)</f>
        <v>44550</v>
      </c>
      <c r="E265" s="15">
        <f>IFERROR(__xludf.DUMMYFUNCTION("""COMPUTED_VALUE"""),0.2763888888875954)</f>
        <v>0.2763888889</v>
      </c>
      <c r="F265" s="8" t="str">
        <f>IFERROR(__xludf.DUMMYFUNCTION("""COMPUTED_VALUE"""),"Negative")</f>
        <v>Negative</v>
      </c>
      <c r="G265" s="16">
        <f>IFERROR(__xludf.DUMMYFUNCTION("""COMPUTED_VALUE"""),1.0)</f>
        <v>1</v>
      </c>
      <c r="H265" s="8" t="str">
        <f>IFERROR(__xludf.DUMMYFUNCTION("""COMPUTED_VALUE"""),"FLSP")</f>
        <v>FLSP</v>
      </c>
    </row>
    <row r="266">
      <c r="A266" s="8" t="str">
        <f>IFERROR(__xludf.DUMMYFUNCTION("""COMPUTED_VALUE"""),"MA1211")</f>
        <v>MA1211</v>
      </c>
      <c r="B266" s="8" t="str">
        <f>IFERROR(__xludf.DUMMYFUNCTION("""COMPUTED_VALUE"""),"RUN-FLMP_2021-12-20_RFR-024")</f>
        <v>RUN-FLMP_2021-12-20_RFR-024</v>
      </c>
      <c r="C266" s="10">
        <f>VLOOKUP(B266,'Run Reconcile'!A$2:B1579,2,FALSE)</f>
        <v>44550</v>
      </c>
      <c r="D266" s="14">
        <f>IFERROR(__xludf.DUMMYFUNCTION("""COMPUTED_VALUE"""),44550.0)</f>
        <v>44550</v>
      </c>
      <c r="E266" s="15">
        <f>IFERROR(__xludf.DUMMYFUNCTION("""COMPUTED_VALUE"""),0.2833101851865649)</f>
        <v>0.2833101852</v>
      </c>
      <c r="F266" s="8" t="str">
        <f>IFERROR(__xludf.DUMMYFUNCTION("""COMPUTED_VALUE"""),"Negative")</f>
        <v>Negative</v>
      </c>
      <c r="G266" s="16">
        <f>IFERROR(__xludf.DUMMYFUNCTION("""COMPUTED_VALUE"""),1.0)</f>
        <v>1</v>
      </c>
      <c r="H266" s="8" t="str">
        <f>IFERROR(__xludf.DUMMYFUNCTION("""COMPUTED_VALUE"""),"FLSP")</f>
        <v>FLSP</v>
      </c>
    </row>
    <row r="267">
      <c r="A267" s="8" t="str">
        <f>IFERROR(__xludf.DUMMYFUNCTION("""COMPUTED_VALUE"""),"MA1487")</f>
        <v>MA1487</v>
      </c>
      <c r="B267" s="8" t="str">
        <f>IFERROR(__xludf.DUMMYFUNCTION("""COMPUTED_VALUE"""),"RUN-FLMP_2021-12-20_RFR-026")</f>
        <v>RUN-FLMP_2021-12-20_RFR-026</v>
      </c>
      <c r="C267" s="10">
        <f>VLOOKUP(B267,'Run Reconcile'!A$2:B1579,2,FALSE)</f>
        <v>44550</v>
      </c>
      <c r="D267" s="14">
        <f>IFERROR(__xludf.DUMMYFUNCTION("""COMPUTED_VALUE"""),44550.0)</f>
        <v>44550</v>
      </c>
      <c r="E267" s="15">
        <f>IFERROR(__xludf.DUMMYFUNCTION("""COMPUTED_VALUE"""),0.3761574074087548)</f>
        <v>0.3761574074</v>
      </c>
      <c r="F267" s="8" t="str">
        <f>IFERROR(__xludf.DUMMYFUNCTION("""COMPUTED_VALUE"""),"Negative")</f>
        <v>Negative</v>
      </c>
      <c r="G267" s="16">
        <f>IFERROR(__xludf.DUMMYFUNCTION("""COMPUTED_VALUE"""),1.0)</f>
        <v>1</v>
      </c>
      <c r="H267" s="8" t="str">
        <f>IFERROR(__xludf.DUMMYFUNCTION("""COMPUTED_VALUE"""),"FLSP")</f>
        <v>FLSP</v>
      </c>
    </row>
    <row r="268">
      <c r="A268" s="8" t="str">
        <f>IFERROR(__xludf.DUMMYFUNCTION("""COMPUTED_VALUE"""),"MA1346")</f>
        <v>MA1346</v>
      </c>
      <c r="B268" s="8" t="str">
        <f>IFERROR(__xludf.DUMMYFUNCTION("""COMPUTED_VALUE"""),"RUN-FLMP_2021-12-20_RFR-026")</f>
        <v>RUN-FLMP_2021-12-20_RFR-026</v>
      </c>
      <c r="C268" s="10">
        <f>VLOOKUP(B268,'Run Reconcile'!A$2:B1579,2,FALSE)</f>
        <v>44550</v>
      </c>
      <c r="D268" s="14">
        <f>IFERROR(__xludf.DUMMYFUNCTION("""COMPUTED_VALUE"""),44550.0)</f>
        <v>44550</v>
      </c>
      <c r="E268" s="15">
        <f>IFERROR(__xludf.DUMMYFUNCTION("""COMPUTED_VALUE"""),0.380057870370365)</f>
        <v>0.3800578704</v>
      </c>
      <c r="F268" s="8" t="str">
        <f>IFERROR(__xludf.DUMMYFUNCTION("""COMPUTED_VALUE"""),"Negative")</f>
        <v>Negative</v>
      </c>
      <c r="G268" s="16">
        <f>IFERROR(__xludf.DUMMYFUNCTION("""COMPUTED_VALUE"""),1.0)</f>
        <v>1</v>
      </c>
      <c r="H268" s="8" t="str">
        <f>IFERROR(__xludf.DUMMYFUNCTION("""COMPUTED_VALUE"""),"FLSP")</f>
        <v>FLSP</v>
      </c>
    </row>
    <row r="269">
      <c r="A269" s="8" t="str">
        <f>IFERROR(__xludf.DUMMYFUNCTION("""COMPUTED_VALUE"""),"MA1341")</f>
        <v>MA1341</v>
      </c>
      <c r="B269" s="8" t="str">
        <f>IFERROR(__xludf.DUMMYFUNCTION("""COMPUTED_VALUE"""),"RUN-FLMP_2021-12-21_RFR-028")</f>
        <v>RUN-FLMP_2021-12-21_RFR-028</v>
      </c>
      <c r="C269" s="10">
        <f>VLOOKUP(B269,'Run Reconcile'!A$2:B1579,2,FALSE)</f>
        <v>44551</v>
      </c>
      <c r="D269" s="14">
        <f>IFERROR(__xludf.DUMMYFUNCTION("""COMPUTED_VALUE"""),44551.0)</f>
        <v>44551</v>
      </c>
      <c r="E269" s="15">
        <f>IFERROR(__xludf.DUMMYFUNCTION("""COMPUTED_VALUE"""),0.3070138888906513)</f>
        <v>0.3070138889</v>
      </c>
      <c r="F269" s="8" t="str">
        <f>IFERROR(__xludf.DUMMYFUNCTION("""COMPUTED_VALUE"""),"Negative")</f>
        <v>Negative</v>
      </c>
      <c r="G269" s="16">
        <f>IFERROR(__xludf.DUMMYFUNCTION("""COMPUTED_VALUE"""),1.0)</f>
        <v>1</v>
      </c>
      <c r="H269" s="8" t="str">
        <f>IFERROR(__xludf.DUMMYFUNCTION("""COMPUTED_VALUE"""),"FLSP")</f>
        <v>FLSP</v>
      </c>
    </row>
    <row r="270">
      <c r="A270" s="8" t="str">
        <f>IFERROR(__xludf.DUMMYFUNCTION("""COMPUTED_VALUE"""),"FLM275")</f>
        <v>FLM275</v>
      </c>
      <c r="B270" s="8" t="str">
        <f>IFERROR(__xludf.DUMMYFUNCTION("""COMPUTED_VALUE"""),"RUN-FLMP_2021-12-21_RFR-029")</f>
        <v>RUN-FLMP_2021-12-21_RFR-029</v>
      </c>
      <c r="C270" s="10">
        <f>VLOOKUP(B270,'Run Reconcile'!A$2:B1579,2,FALSE)</f>
        <v>44551</v>
      </c>
      <c r="D270" s="14">
        <f>IFERROR(__xludf.DUMMYFUNCTION("""COMPUTED_VALUE"""),44551.0)</f>
        <v>44551</v>
      </c>
      <c r="E270" s="15">
        <f>IFERROR(__xludf.DUMMYFUNCTION("""COMPUTED_VALUE"""),0.3274074074070086)</f>
        <v>0.3274074074</v>
      </c>
      <c r="F270" s="8" t="str">
        <f>IFERROR(__xludf.DUMMYFUNCTION("""COMPUTED_VALUE"""),"Negative")</f>
        <v>Negative</v>
      </c>
      <c r="G270" s="16">
        <f>IFERROR(__xludf.DUMMYFUNCTION("""COMPUTED_VALUE"""),1.0)</f>
        <v>1</v>
      </c>
      <c r="H270" s="8" t="str">
        <f>IFERROR(__xludf.DUMMYFUNCTION("""COMPUTED_VALUE"""),"FLSP")</f>
        <v>FLSP</v>
      </c>
    </row>
    <row r="271">
      <c r="A271" s="8" t="str">
        <f>IFERROR(__xludf.DUMMYFUNCTION("""COMPUTED_VALUE"""),"MA646")</f>
        <v>MA646</v>
      </c>
      <c r="B271" s="8" t="str">
        <f>IFERROR(__xludf.DUMMYFUNCTION("""COMPUTED_VALUE"""),"RUN-FLMP_2021-12-21_RFR-028")</f>
        <v>RUN-FLMP_2021-12-21_RFR-028</v>
      </c>
      <c r="C271" s="10">
        <f>VLOOKUP(B271,'Run Reconcile'!A$2:B1579,2,FALSE)</f>
        <v>44551</v>
      </c>
      <c r="D271" s="14">
        <f>IFERROR(__xludf.DUMMYFUNCTION("""COMPUTED_VALUE"""),44551.0)</f>
        <v>44551</v>
      </c>
      <c r="E271" s="15">
        <f>IFERROR(__xludf.DUMMYFUNCTION("""COMPUTED_VALUE"""),0.3311342592605797)</f>
        <v>0.3311342593</v>
      </c>
      <c r="F271" s="8" t="str">
        <f>IFERROR(__xludf.DUMMYFUNCTION("""COMPUTED_VALUE"""),"Negative")</f>
        <v>Negative</v>
      </c>
      <c r="G271" s="16">
        <f>IFERROR(__xludf.DUMMYFUNCTION("""COMPUTED_VALUE"""),1.0)</f>
        <v>1</v>
      </c>
      <c r="H271" s="8" t="str">
        <f>IFERROR(__xludf.DUMMYFUNCTION("""COMPUTED_VALUE"""),"FLSP")</f>
        <v>FLSP</v>
      </c>
    </row>
    <row r="272">
      <c r="A272" s="8" t="str">
        <f>IFERROR(__xludf.DUMMYFUNCTION("""COMPUTED_VALUE"""),"MA1330")</f>
        <v>MA1330</v>
      </c>
      <c r="B272" s="8" t="str">
        <f>IFERROR(__xludf.DUMMYFUNCTION("""COMPUTED_VALUE"""),"RUN-FLMP_2021-12-21_RFR-028")</f>
        <v>RUN-FLMP_2021-12-21_RFR-028</v>
      </c>
      <c r="C272" s="10">
        <f>VLOOKUP(B272,'Run Reconcile'!A$2:B1579,2,FALSE)</f>
        <v>44551</v>
      </c>
      <c r="D272" s="14">
        <f>IFERROR(__xludf.DUMMYFUNCTION("""COMPUTED_VALUE"""),44551.0)</f>
        <v>44551</v>
      </c>
      <c r="E272" s="15">
        <f>IFERROR(__xludf.DUMMYFUNCTION("""COMPUTED_VALUE"""),0.33159722222262644)</f>
        <v>0.3315972222</v>
      </c>
      <c r="F272" s="8" t="str">
        <f>IFERROR(__xludf.DUMMYFUNCTION("""COMPUTED_VALUE"""),"Negative")</f>
        <v>Negative</v>
      </c>
      <c r="G272" s="16">
        <f>IFERROR(__xludf.DUMMYFUNCTION("""COMPUTED_VALUE"""),1.0)</f>
        <v>1</v>
      </c>
      <c r="H272" s="8" t="str">
        <f>IFERROR(__xludf.DUMMYFUNCTION("""COMPUTED_VALUE"""),"FLSP")</f>
        <v>FLSP</v>
      </c>
    </row>
    <row r="273">
      <c r="A273" s="8" t="str">
        <f>IFERROR(__xludf.DUMMYFUNCTION("""COMPUTED_VALUE"""),"MA1353")</f>
        <v>MA1353</v>
      </c>
      <c r="B273" s="8" t="str">
        <f>IFERROR(__xludf.DUMMYFUNCTION("""COMPUTED_VALUE"""),"RUN-FLMP_2021-12-21_RFR-028")</f>
        <v>RUN-FLMP_2021-12-21_RFR-028</v>
      </c>
      <c r="C273" s="10">
        <f>VLOOKUP(B273,'Run Reconcile'!A$2:B1579,2,FALSE)</f>
        <v>44551</v>
      </c>
      <c r="D273" s="14">
        <f>IFERROR(__xludf.DUMMYFUNCTION("""COMPUTED_VALUE"""),44551.0)</f>
        <v>44551</v>
      </c>
      <c r="E273" s="15">
        <f>IFERROR(__xludf.DUMMYFUNCTION("""COMPUTED_VALUE"""),0.3321296296307992)</f>
        <v>0.3321296296</v>
      </c>
      <c r="F273" s="8" t="str">
        <f>IFERROR(__xludf.DUMMYFUNCTION("""COMPUTED_VALUE"""),"Negative")</f>
        <v>Negative</v>
      </c>
      <c r="G273" s="16">
        <f>IFERROR(__xludf.DUMMYFUNCTION("""COMPUTED_VALUE"""),1.0)</f>
        <v>1</v>
      </c>
      <c r="H273" s="8" t="str">
        <f>IFERROR(__xludf.DUMMYFUNCTION("""COMPUTED_VALUE"""),"FLSP")</f>
        <v>FLSP</v>
      </c>
    </row>
    <row r="274">
      <c r="A274" s="8" t="str">
        <f>IFERROR(__xludf.DUMMYFUNCTION("""COMPUTED_VALUE"""),"MA1355")</f>
        <v>MA1355</v>
      </c>
      <c r="B274" s="8" t="str">
        <f>IFERROR(__xludf.DUMMYFUNCTION("""COMPUTED_VALUE"""),"RUN-FLMP_2021-12-21_RFR-029")</f>
        <v>RUN-FLMP_2021-12-21_RFR-029</v>
      </c>
      <c r="C274" s="10">
        <f>VLOOKUP(B274,'Run Reconcile'!A$2:B1579,2,FALSE)</f>
        <v>44551</v>
      </c>
      <c r="D274" s="14">
        <f>IFERROR(__xludf.DUMMYFUNCTION("""COMPUTED_VALUE"""),44551.0)</f>
        <v>44551</v>
      </c>
      <c r="E274" s="15">
        <f>IFERROR(__xludf.DUMMYFUNCTION("""COMPUTED_VALUE"""),0.3879282407397113)</f>
        <v>0.3879282407</v>
      </c>
      <c r="F274" s="8" t="str">
        <f>IFERROR(__xludf.DUMMYFUNCTION("""COMPUTED_VALUE"""),"Negative")</f>
        <v>Negative</v>
      </c>
      <c r="G274" s="16">
        <f>IFERROR(__xludf.DUMMYFUNCTION("""COMPUTED_VALUE"""),1.0)</f>
        <v>1</v>
      </c>
      <c r="H274" s="8" t="str">
        <f>IFERROR(__xludf.DUMMYFUNCTION("""COMPUTED_VALUE"""),"FLSP")</f>
        <v>FLSP</v>
      </c>
    </row>
    <row r="275">
      <c r="A275" s="8" t="str">
        <f>IFERROR(__xludf.DUMMYFUNCTION("""COMPUTED_VALUE"""),"FLM247")</f>
        <v>FLM247</v>
      </c>
      <c r="B275" s="8" t="str">
        <f>IFERROR(__xludf.DUMMYFUNCTION("""COMPUTED_VALUE"""),"RUN-FLMP_2021-12-22_RFR-030")</f>
        <v>RUN-FLMP_2021-12-22_RFR-030</v>
      </c>
      <c r="C275" s="10">
        <f>VLOOKUP(B275,'Run Reconcile'!A$2:B1579,2,FALSE)</f>
        <v>44552</v>
      </c>
      <c r="D275" s="14">
        <f>IFERROR(__xludf.DUMMYFUNCTION("""COMPUTED_VALUE"""),44552.0)</f>
        <v>44552</v>
      </c>
      <c r="E275" s="15">
        <f>IFERROR(__xludf.DUMMYFUNCTION("""COMPUTED_VALUE"""),0.375138888888614)</f>
        <v>0.3751388889</v>
      </c>
      <c r="F275" s="8" t="str">
        <f>IFERROR(__xludf.DUMMYFUNCTION("""COMPUTED_VALUE"""),"Negative")</f>
        <v>Negative</v>
      </c>
      <c r="G275" s="16">
        <f>IFERROR(__xludf.DUMMYFUNCTION("""COMPUTED_VALUE"""),1.0)</f>
        <v>1</v>
      </c>
      <c r="H275" s="8" t="str">
        <f>IFERROR(__xludf.DUMMYFUNCTION("""COMPUTED_VALUE"""),"FLSP")</f>
        <v>FLSP</v>
      </c>
    </row>
    <row r="276">
      <c r="A276" s="8" t="str">
        <f>IFERROR(__xludf.DUMMYFUNCTION("""COMPUTED_VALUE"""),"MAX418")</f>
        <v>MAX418</v>
      </c>
      <c r="B276" s="8" t="str">
        <f>IFERROR(__xludf.DUMMYFUNCTION("""COMPUTED_VALUE"""),"RUN-FLMP_2021-12-22_RFR-030")</f>
        <v>RUN-FLMP_2021-12-22_RFR-030</v>
      </c>
      <c r="C276" s="10">
        <f>VLOOKUP(B276,'Run Reconcile'!A$2:B1579,2,FALSE)</f>
        <v>44552</v>
      </c>
      <c r="D276" s="14">
        <f>IFERROR(__xludf.DUMMYFUNCTION("""COMPUTED_VALUE"""),44552.0)</f>
        <v>44552</v>
      </c>
      <c r="E276" s="15">
        <f>IFERROR(__xludf.DUMMYFUNCTION("""COMPUTED_VALUE"""),0.4080324074056989)</f>
        <v>0.4080324074</v>
      </c>
      <c r="F276" s="8" t="str">
        <f>IFERROR(__xludf.DUMMYFUNCTION("""COMPUTED_VALUE"""),"Negative")</f>
        <v>Negative</v>
      </c>
      <c r="G276" s="16">
        <f>IFERROR(__xludf.DUMMYFUNCTION("""COMPUTED_VALUE"""),1.0)</f>
        <v>1</v>
      </c>
      <c r="H276" s="8" t="str">
        <f>IFERROR(__xludf.DUMMYFUNCTION("""COMPUTED_VALUE"""),"FLSP")</f>
        <v>FLSP</v>
      </c>
    </row>
    <row r="277">
      <c r="A277" s="8" t="str">
        <f>IFERROR(__xludf.DUMMYFUNCTION("""COMPUTED_VALUE"""),"MA1328")</f>
        <v>MA1328</v>
      </c>
      <c r="B277" s="8" t="str">
        <f>IFERROR(__xludf.DUMMYFUNCTION("""COMPUTED_VALUE"""),"RUN-FLMP_2021-12-22_RFR-030")</f>
        <v>RUN-FLMP_2021-12-22_RFR-030</v>
      </c>
      <c r="C277" s="10">
        <f>VLOOKUP(B277,'Run Reconcile'!A$2:B1579,2,FALSE)</f>
        <v>44552</v>
      </c>
      <c r="D277" s="14">
        <f>IFERROR(__xludf.DUMMYFUNCTION("""COMPUTED_VALUE"""),44552.0)</f>
        <v>44552</v>
      </c>
      <c r="E277" s="15">
        <f>IFERROR(__xludf.DUMMYFUNCTION("""COMPUTED_VALUE"""),0.40939814814919373)</f>
        <v>0.4093981481</v>
      </c>
      <c r="F277" s="8" t="str">
        <f>IFERROR(__xludf.DUMMYFUNCTION("""COMPUTED_VALUE"""),"Negative")</f>
        <v>Negative</v>
      </c>
      <c r="G277" s="16">
        <f>IFERROR(__xludf.DUMMYFUNCTION("""COMPUTED_VALUE"""),1.0)</f>
        <v>1</v>
      </c>
      <c r="H277" s="8" t="str">
        <f>IFERROR(__xludf.DUMMYFUNCTION("""COMPUTED_VALUE"""),"FLSP")</f>
        <v>FLSP</v>
      </c>
    </row>
    <row r="278">
      <c r="A278" s="8" t="str">
        <f>IFERROR(__xludf.DUMMYFUNCTION("""COMPUTED_VALUE"""),"MA1360")</f>
        <v>MA1360</v>
      </c>
      <c r="B278" s="8" t="str">
        <f>IFERROR(__xludf.DUMMYFUNCTION("""COMPUTED_VALUE"""),"RUN-FLMP_2021-12-22_RFR-030")</f>
        <v>RUN-FLMP_2021-12-22_RFR-030</v>
      </c>
      <c r="C278" s="10">
        <f>VLOOKUP(B278,'Run Reconcile'!A$2:B1579,2,FALSE)</f>
        <v>44552</v>
      </c>
      <c r="D278" s="14">
        <f>IFERROR(__xludf.DUMMYFUNCTION("""COMPUTED_VALUE"""),44552.0)</f>
        <v>44552</v>
      </c>
      <c r="E278" s="15">
        <f>IFERROR(__xludf.DUMMYFUNCTION("""COMPUTED_VALUE"""),0.4100694444459805)</f>
        <v>0.4100694444</v>
      </c>
      <c r="F278" s="8" t="str">
        <f>IFERROR(__xludf.DUMMYFUNCTION("""COMPUTED_VALUE"""),"Negative")</f>
        <v>Negative</v>
      </c>
      <c r="G278" s="16">
        <f>IFERROR(__xludf.DUMMYFUNCTION("""COMPUTED_VALUE"""),1.0)</f>
        <v>1</v>
      </c>
      <c r="H278" s="8" t="str">
        <f>IFERROR(__xludf.DUMMYFUNCTION("""COMPUTED_VALUE"""),"FLSP")</f>
        <v>FLSP</v>
      </c>
    </row>
    <row r="279">
      <c r="A279" s="8" t="str">
        <f>IFERROR(__xludf.DUMMYFUNCTION("""COMPUTED_VALUE"""),"MA1499")</f>
        <v>MA1499</v>
      </c>
      <c r="B279" s="8" t="str">
        <f>IFERROR(__xludf.DUMMYFUNCTION("""COMPUTED_VALUE"""),"RUN-FLMP_2021-12-22_RFR-030")</f>
        <v>RUN-FLMP_2021-12-22_RFR-030</v>
      </c>
      <c r="C279" s="10">
        <f>VLOOKUP(B279,'Run Reconcile'!A$2:B1579,2,FALSE)</f>
        <v>44552</v>
      </c>
      <c r="D279" s="14">
        <f>IFERROR(__xludf.DUMMYFUNCTION("""COMPUTED_VALUE"""),44552.0)</f>
        <v>44552</v>
      </c>
      <c r="E279" s="15">
        <f>IFERROR(__xludf.DUMMYFUNCTION("""COMPUTED_VALUE"""),0.41098379629693227)</f>
        <v>0.4109837963</v>
      </c>
      <c r="F279" s="8" t="str">
        <f>IFERROR(__xludf.DUMMYFUNCTION("""COMPUTED_VALUE"""),"Negative")</f>
        <v>Negative</v>
      </c>
      <c r="G279" s="16">
        <f>IFERROR(__xludf.DUMMYFUNCTION("""COMPUTED_VALUE"""),1.0)</f>
        <v>1</v>
      </c>
      <c r="H279" s="8" t="str">
        <f>IFERROR(__xludf.DUMMYFUNCTION("""COMPUTED_VALUE"""),"FLSP")</f>
        <v>FLSP</v>
      </c>
    </row>
    <row r="280">
      <c r="A280" s="8" t="str">
        <f>IFERROR(__xludf.DUMMYFUNCTION("""COMPUTED_VALUE"""),"MAX474")</f>
        <v>MAX474</v>
      </c>
      <c r="B280" s="8" t="str">
        <f>IFERROR(__xludf.DUMMYFUNCTION("""COMPUTED_VALUE"""),"RUN-FLMP_2021-12-22_RFR-031")</f>
        <v>RUN-FLMP_2021-12-22_RFR-031</v>
      </c>
      <c r="C280" s="10">
        <f>VLOOKUP(B280,'Run Reconcile'!A$2:B1579,2,FALSE)</f>
        <v>44552</v>
      </c>
      <c r="D280" s="14">
        <f>IFERROR(__xludf.DUMMYFUNCTION("""COMPUTED_VALUE"""),44552.0)</f>
        <v>44552</v>
      </c>
      <c r="E280" s="15">
        <f>IFERROR(__xludf.DUMMYFUNCTION("""COMPUTED_VALUE"""),0.7559837962980964)</f>
        <v>0.7559837963</v>
      </c>
      <c r="F280" s="8" t="str">
        <f>IFERROR(__xludf.DUMMYFUNCTION("""COMPUTED_VALUE"""),"Negative")</f>
        <v>Negative</v>
      </c>
      <c r="G280" s="16">
        <f>IFERROR(__xludf.DUMMYFUNCTION("""COMPUTED_VALUE"""),1.0)</f>
        <v>1</v>
      </c>
      <c r="H280" s="8" t="str">
        <f>IFERROR(__xludf.DUMMYFUNCTION("""COMPUTED_VALUE"""),"FLSP")</f>
        <v>FLSP</v>
      </c>
    </row>
    <row r="281">
      <c r="A281" s="8" t="str">
        <f>IFERROR(__xludf.DUMMYFUNCTION("""COMPUTED_VALUE"""),"FLM276")</f>
        <v>FLM276</v>
      </c>
      <c r="B281" s="8" t="str">
        <f>IFERROR(__xludf.DUMMYFUNCTION("""COMPUTED_VALUE"""),"RUN-FLMP_2021-12-22_RFR-031")</f>
        <v>RUN-FLMP_2021-12-22_RFR-031</v>
      </c>
      <c r="C281" s="10">
        <f>VLOOKUP(B281,'Run Reconcile'!A$2:B1579,2,FALSE)</f>
        <v>44552</v>
      </c>
      <c r="D281" s="14">
        <f>IFERROR(__xludf.DUMMYFUNCTION("""COMPUTED_VALUE"""),44552.0)</f>
        <v>44552</v>
      </c>
      <c r="E281" s="15">
        <f>IFERROR(__xludf.DUMMYFUNCTION("""COMPUTED_VALUE"""),0.7594791666670062)</f>
        <v>0.7594791667</v>
      </c>
      <c r="F281" s="8" t="str">
        <f>IFERROR(__xludf.DUMMYFUNCTION("""COMPUTED_VALUE"""),"Positive")</f>
        <v>Positive</v>
      </c>
      <c r="G281" s="16">
        <f>IFERROR(__xludf.DUMMYFUNCTION("""COMPUTED_VALUE"""),1.0)</f>
        <v>1</v>
      </c>
      <c r="H281" s="8" t="str">
        <f>IFERROR(__xludf.DUMMYFUNCTION("""COMPUTED_VALUE"""),"FLSP")</f>
        <v>FLSP</v>
      </c>
    </row>
    <row r="282">
      <c r="A282" s="8" t="str">
        <f>IFERROR(__xludf.DUMMYFUNCTION("""COMPUTED_VALUE"""),"MA1494")</f>
        <v>MA1494</v>
      </c>
      <c r="B282" s="8" t="str">
        <f>IFERROR(__xludf.DUMMYFUNCTION("""COMPUTED_VALUE"""),"RUN-FLMP_2021-12-23_RFR-032")</f>
        <v>RUN-FLMP_2021-12-23_RFR-032</v>
      </c>
      <c r="C282" s="10">
        <f>VLOOKUP(B282,'Run Reconcile'!A$2:B1579,2,FALSE)</f>
        <v>44553</v>
      </c>
      <c r="D282" s="14">
        <f>IFERROR(__xludf.DUMMYFUNCTION("""COMPUTED_VALUE"""),44553.0)</f>
        <v>44553</v>
      </c>
      <c r="E282" s="15">
        <f>IFERROR(__xludf.DUMMYFUNCTION("""COMPUTED_VALUE"""),0.34606481481387164)</f>
        <v>0.3460648148</v>
      </c>
      <c r="F282" s="8" t="str">
        <f>IFERROR(__xludf.DUMMYFUNCTION("""COMPUTED_VALUE"""),"Negative")</f>
        <v>Negative</v>
      </c>
      <c r="G282" s="16">
        <f>IFERROR(__xludf.DUMMYFUNCTION("""COMPUTED_VALUE"""),1.0)</f>
        <v>1</v>
      </c>
      <c r="H282" s="8" t="str">
        <f>IFERROR(__xludf.DUMMYFUNCTION("""COMPUTED_VALUE"""),"FLSP")</f>
        <v>FLSP</v>
      </c>
    </row>
    <row r="283">
      <c r="A283" s="8" t="str">
        <f>IFERROR(__xludf.DUMMYFUNCTION("""COMPUTED_VALUE"""),"MA1343")</f>
        <v>MA1343</v>
      </c>
      <c r="B283" s="8" t="str">
        <f>IFERROR(__xludf.DUMMYFUNCTION("""COMPUTED_VALUE"""),"RUN-FLMP_2021-12-23_RFR-032")</f>
        <v>RUN-FLMP_2021-12-23_RFR-032</v>
      </c>
      <c r="C283" s="10">
        <f>VLOOKUP(B283,'Run Reconcile'!A$2:B1579,2,FALSE)</f>
        <v>44553</v>
      </c>
      <c r="D283" s="14">
        <f>IFERROR(__xludf.DUMMYFUNCTION("""COMPUTED_VALUE"""),44553.0)</f>
        <v>44553</v>
      </c>
      <c r="E283" s="15">
        <f>IFERROR(__xludf.DUMMYFUNCTION("""COMPUTED_VALUE"""),0.3466898148144537)</f>
        <v>0.3466898148</v>
      </c>
      <c r="F283" s="8" t="str">
        <f>IFERROR(__xludf.DUMMYFUNCTION("""COMPUTED_VALUE"""),"Negative")</f>
        <v>Negative</v>
      </c>
      <c r="G283" s="16">
        <f>IFERROR(__xludf.DUMMYFUNCTION("""COMPUTED_VALUE"""),2.0)</f>
        <v>2</v>
      </c>
      <c r="H283" s="8" t="str">
        <f>IFERROR(__xludf.DUMMYFUNCTION("""COMPUTED_VALUE"""),"FLSP")</f>
        <v>FLSP</v>
      </c>
    </row>
    <row r="284">
      <c r="A284" s="8" t="str">
        <f>IFERROR(__xludf.DUMMYFUNCTION("""COMPUTED_VALUE"""),"MA1362")</f>
        <v>MA1362</v>
      </c>
      <c r="B284" s="8" t="str">
        <f>IFERROR(__xludf.DUMMYFUNCTION("""COMPUTED_VALUE"""),"RUN-FLMP_2021-12-23_RFR-032")</f>
        <v>RUN-FLMP_2021-12-23_RFR-032</v>
      </c>
      <c r="C284" s="10">
        <f>VLOOKUP(B284,'Run Reconcile'!A$2:B1579,2,FALSE)</f>
        <v>44553</v>
      </c>
      <c r="D284" s="14">
        <f>IFERROR(__xludf.DUMMYFUNCTION("""COMPUTED_VALUE"""),44553.0)</f>
        <v>44553</v>
      </c>
      <c r="E284" s="15">
        <f>IFERROR(__xludf.DUMMYFUNCTION("""COMPUTED_VALUE"""),0.37064814814948477)</f>
        <v>0.3706481481</v>
      </c>
      <c r="F284" s="8" t="str">
        <f>IFERROR(__xludf.DUMMYFUNCTION("""COMPUTED_VALUE"""),"Positive")</f>
        <v>Positive</v>
      </c>
      <c r="G284" s="16">
        <f>IFERROR(__xludf.DUMMYFUNCTION("""COMPUTED_VALUE"""),1.0)</f>
        <v>1</v>
      </c>
      <c r="H284" s="8" t="str">
        <f>IFERROR(__xludf.DUMMYFUNCTION("""COMPUTED_VALUE"""),"FLSP")</f>
        <v>FLSP</v>
      </c>
    </row>
    <row r="285">
      <c r="A285" s="8" t="str">
        <f>IFERROR(__xludf.DUMMYFUNCTION("""COMPUTED_VALUE"""),"FLM245")</f>
        <v>FLM245</v>
      </c>
      <c r="B285" s="8" t="str">
        <f>IFERROR(__xludf.DUMMYFUNCTION("""COMPUTED_VALUE"""),"RUN-FLMP_2021-12-23_RFR-032")</f>
        <v>RUN-FLMP_2021-12-23_RFR-032</v>
      </c>
      <c r="C285" s="10">
        <f>VLOOKUP(B285,'Run Reconcile'!A$2:B1579,2,FALSE)</f>
        <v>44553</v>
      </c>
      <c r="D285" s="14">
        <f>IFERROR(__xludf.DUMMYFUNCTION("""COMPUTED_VALUE"""),44553.0)</f>
        <v>44553</v>
      </c>
      <c r="E285" s="15">
        <f>IFERROR(__xludf.DUMMYFUNCTION("""COMPUTED_VALUE"""),0.37509259259240935)</f>
        <v>0.3750925926</v>
      </c>
      <c r="F285" s="8" t="str">
        <f>IFERROR(__xludf.DUMMYFUNCTION("""COMPUTED_VALUE"""),"Negative")</f>
        <v>Negative</v>
      </c>
      <c r="G285" s="16">
        <f>IFERROR(__xludf.DUMMYFUNCTION("""COMPUTED_VALUE"""),1.0)</f>
        <v>1</v>
      </c>
      <c r="H285" s="8" t="str">
        <f>IFERROR(__xludf.DUMMYFUNCTION("""COMPUTED_VALUE"""),"FLSP")</f>
        <v>FLSP</v>
      </c>
    </row>
    <row r="286">
      <c r="A286" s="8" t="str">
        <f>IFERROR(__xludf.DUMMYFUNCTION("""COMPUTED_VALUE"""),"MA1325")</f>
        <v>MA1325</v>
      </c>
      <c r="B286" s="8" t="str">
        <f>IFERROR(__xludf.DUMMYFUNCTION("""COMPUTED_VALUE"""),"RUN-FLMP_2021-12-24_RFR-033")</f>
        <v>RUN-FLMP_2021-12-24_RFR-033</v>
      </c>
      <c r="C286" s="10">
        <f>VLOOKUP(B286,'Run Reconcile'!A$2:B1579,2,FALSE)</f>
        <v>44554</v>
      </c>
      <c r="D286" s="14">
        <f>IFERROR(__xludf.DUMMYFUNCTION("""COMPUTED_VALUE"""),44554.0)</f>
        <v>44554</v>
      </c>
      <c r="E286" s="15">
        <f>IFERROR(__xludf.DUMMYFUNCTION("""COMPUTED_VALUE"""),0.30942129629693227)</f>
        <v>0.3094212963</v>
      </c>
      <c r="F286" s="8" t="str">
        <f>IFERROR(__xludf.DUMMYFUNCTION("""COMPUTED_VALUE"""),"Positive")</f>
        <v>Positive</v>
      </c>
      <c r="G286" s="16">
        <f>IFERROR(__xludf.DUMMYFUNCTION("""COMPUTED_VALUE"""),1.0)</f>
        <v>1</v>
      </c>
      <c r="H286" s="8" t="str">
        <f>IFERROR(__xludf.DUMMYFUNCTION("""COMPUTED_VALUE"""),"FLSP")</f>
        <v>FLSP</v>
      </c>
    </row>
    <row r="287">
      <c r="A287" s="8" t="str">
        <f>IFERROR(__xludf.DUMMYFUNCTION("""COMPUTED_VALUE"""),"MA1333")</f>
        <v>MA1333</v>
      </c>
      <c r="B287" s="8" t="str">
        <f>IFERROR(__xludf.DUMMYFUNCTION("""COMPUTED_VALUE"""),"RUN-FLMP_2021-12-24_RFR-033")</f>
        <v>RUN-FLMP_2021-12-24_RFR-033</v>
      </c>
      <c r="C287" s="10">
        <f>VLOOKUP(B287,'Run Reconcile'!A$2:B1579,2,FALSE)</f>
        <v>44554</v>
      </c>
      <c r="D287" s="14">
        <f>IFERROR(__xludf.DUMMYFUNCTION("""COMPUTED_VALUE"""),44554.0)</f>
        <v>44554</v>
      </c>
      <c r="E287" s="15">
        <f>IFERROR(__xludf.DUMMYFUNCTION("""COMPUTED_VALUE"""),0.3097685185202863)</f>
        <v>0.3097685185</v>
      </c>
      <c r="F287" s="8" t="str">
        <f>IFERROR(__xludf.DUMMYFUNCTION("""COMPUTED_VALUE"""),"Negative")</f>
        <v>Negative</v>
      </c>
      <c r="G287" s="16">
        <f>IFERROR(__xludf.DUMMYFUNCTION("""COMPUTED_VALUE"""),3.0)</f>
        <v>3</v>
      </c>
      <c r="H287" s="8" t="str">
        <f>IFERROR(__xludf.DUMMYFUNCTION("""COMPUTED_VALUE"""),"FLSP")</f>
        <v>FLSP</v>
      </c>
    </row>
    <row r="288">
      <c r="A288" s="8" t="str">
        <f>IFERROR(__xludf.DUMMYFUNCTION("""COMPUTED_VALUE"""),"MAX448")</f>
        <v>MAX448</v>
      </c>
      <c r="B288" s="8" t="str">
        <f>IFERROR(__xludf.DUMMYFUNCTION("""COMPUTED_VALUE"""),"RUN-FLMP_2021-12-24_RFR-033")</f>
        <v>RUN-FLMP_2021-12-24_RFR-033</v>
      </c>
      <c r="C288" s="10">
        <f>VLOOKUP(B288,'Run Reconcile'!A$2:B1579,2,FALSE)</f>
        <v>44554</v>
      </c>
      <c r="D288" s="14">
        <f>IFERROR(__xludf.DUMMYFUNCTION("""COMPUTED_VALUE"""),44554.0)</f>
        <v>44554</v>
      </c>
      <c r="E288" s="15">
        <f>IFERROR(__xludf.DUMMYFUNCTION("""COMPUTED_VALUE"""),0.30982638888963265)</f>
        <v>0.3098263889</v>
      </c>
      <c r="F288" s="8" t="str">
        <f>IFERROR(__xludf.DUMMYFUNCTION("""COMPUTED_VALUE"""),"Negative")</f>
        <v>Negative</v>
      </c>
      <c r="G288" s="16">
        <f>IFERROR(__xludf.DUMMYFUNCTION("""COMPUTED_VALUE"""),1.0)</f>
        <v>1</v>
      </c>
      <c r="H288" s="8" t="str">
        <f>IFERROR(__xludf.DUMMYFUNCTION("""COMPUTED_VALUE"""),"FLSP")</f>
        <v>FLSP</v>
      </c>
    </row>
    <row r="289">
      <c r="A289" s="8" t="str">
        <f>IFERROR(__xludf.DUMMYFUNCTION("""COMPUTED_VALUE"""),"FLB6853")</f>
        <v>FLB6853</v>
      </c>
      <c r="B289" s="8" t="str">
        <f>IFERROR(__xludf.DUMMYFUNCTION("""COMPUTED_VALUE"""),"RUN-FLMP_2021-12-24_APS-074")</f>
        <v>RUN-FLMP_2021-12-24_APS-074</v>
      </c>
      <c r="C289" s="10">
        <f>VLOOKUP(B289,'Run Reconcile'!A$2:B1579,2,FALSE)</f>
        <v>44554</v>
      </c>
      <c r="D289" s="14">
        <f>IFERROR(__xludf.DUMMYFUNCTION("""COMPUTED_VALUE"""),44554.0)</f>
        <v>44554</v>
      </c>
      <c r="E289" s="15">
        <f>IFERROR(__xludf.DUMMYFUNCTION("""COMPUTED_VALUE"""),0.37254629629751435)</f>
        <v>0.3725462963</v>
      </c>
      <c r="F289" s="8" t="str">
        <f>IFERROR(__xludf.DUMMYFUNCTION("""COMPUTED_VALUE"""),"Negative")</f>
        <v>Negative</v>
      </c>
      <c r="G289" s="16">
        <f>IFERROR(__xludf.DUMMYFUNCTION("""COMPUTED_VALUE"""),4.0)</f>
        <v>4</v>
      </c>
      <c r="H289" s="8" t="str">
        <f>IFERROR(__xludf.DUMMYFUNCTION("""COMPUTED_VALUE"""),"CRLN")</f>
        <v>CRLN</v>
      </c>
    </row>
    <row r="290">
      <c r="A290" s="8" t="str">
        <f>IFERROR(__xludf.DUMMYFUNCTION("""COMPUTED_VALUE"""),"MAX311")</f>
        <v>MAX311</v>
      </c>
      <c r="B290" s="8" t="str">
        <f>IFERROR(__xludf.DUMMYFUNCTION("""COMPUTED_VALUE"""),"RUN-FLMP_2021-12-25_RFR-034")</f>
        <v>RUN-FLMP_2021-12-25_RFR-034</v>
      </c>
      <c r="C290" s="10">
        <f>VLOOKUP(B290,'Run Reconcile'!A$2:B1579,2,FALSE)</f>
        <v>44555</v>
      </c>
      <c r="D290" s="14">
        <f>IFERROR(__xludf.DUMMYFUNCTION("""COMPUTED_VALUE"""),44555.0)</f>
        <v>44555</v>
      </c>
      <c r="E290" s="15">
        <f>IFERROR(__xludf.DUMMYFUNCTION("""COMPUTED_VALUE"""),0.3553009259267128)</f>
        <v>0.3553009259</v>
      </c>
      <c r="F290" s="8" t="str">
        <f>IFERROR(__xludf.DUMMYFUNCTION("""COMPUTED_VALUE"""),"Positive")</f>
        <v>Positive</v>
      </c>
      <c r="G290" s="16">
        <f>IFERROR(__xludf.DUMMYFUNCTION("""COMPUTED_VALUE"""),1.0)</f>
        <v>1</v>
      </c>
      <c r="H290" s="8" t="str">
        <f>IFERROR(__xludf.DUMMYFUNCTION("""COMPUTED_VALUE"""),"FLSP")</f>
        <v>FLSP</v>
      </c>
    </row>
    <row r="291">
      <c r="A291" s="8" t="str">
        <f>IFERROR(__xludf.DUMMYFUNCTION("""COMPUTED_VALUE"""),"MAX430")</f>
        <v>MAX430</v>
      </c>
      <c r="B291" s="8" t="str">
        <f>IFERROR(__xludf.DUMMYFUNCTION("""COMPUTED_VALUE"""),"RUN-FLMP_2021-12-25_RFR-034")</f>
        <v>RUN-FLMP_2021-12-25_RFR-034</v>
      </c>
      <c r="C291" s="10">
        <f>VLOOKUP(B291,'Run Reconcile'!A$2:B1579,2,FALSE)</f>
        <v>44555</v>
      </c>
      <c r="D291" s="14">
        <f>IFERROR(__xludf.DUMMYFUNCTION("""COMPUTED_VALUE"""),44555.0)</f>
        <v>44555</v>
      </c>
      <c r="E291" s="15">
        <f>IFERROR(__xludf.DUMMYFUNCTION("""COMPUTED_VALUE"""),0.35569444444263354)</f>
        <v>0.3556944444</v>
      </c>
      <c r="F291" s="8" t="str">
        <f>IFERROR(__xludf.DUMMYFUNCTION("""COMPUTED_VALUE"""),"Positive")</f>
        <v>Positive</v>
      </c>
      <c r="G291" s="16">
        <f>IFERROR(__xludf.DUMMYFUNCTION("""COMPUTED_VALUE"""),1.0)</f>
        <v>1</v>
      </c>
      <c r="H291" s="8" t="str">
        <f>IFERROR(__xludf.DUMMYFUNCTION("""COMPUTED_VALUE"""),"FLSP")</f>
        <v>FLSP</v>
      </c>
    </row>
    <row r="292">
      <c r="A292" s="8" t="str">
        <f>IFERROR(__xludf.DUMMYFUNCTION("""COMPUTED_VALUE"""),"MA1335")</f>
        <v>MA1335</v>
      </c>
      <c r="B292" s="8" t="str">
        <f>IFERROR(__xludf.DUMMYFUNCTION("""COMPUTED_VALUE"""),"RUN-FLMP_2021-12-26_APS-075")</f>
        <v>RUN-FLMP_2021-12-26_APS-075</v>
      </c>
      <c r="C292" s="10">
        <f>VLOOKUP(B292,'Run Reconcile'!A$2:B1579,2,FALSE)</f>
        <v>44556</v>
      </c>
      <c r="D292" s="14">
        <f>IFERROR(__xludf.DUMMYFUNCTION("""COMPUTED_VALUE"""),44556.0)</f>
        <v>44556</v>
      </c>
      <c r="E292" s="15">
        <f>IFERROR(__xludf.DUMMYFUNCTION("""COMPUTED_VALUE"""),0.16767361111124046)</f>
        <v>0.1676736111</v>
      </c>
      <c r="F292" s="8" t="str">
        <f>IFERROR(__xludf.DUMMYFUNCTION("""COMPUTED_VALUE"""),"Negative")</f>
        <v>Negative</v>
      </c>
      <c r="G292" s="16">
        <f>IFERROR(__xludf.DUMMYFUNCTION("""COMPUTED_VALUE"""),3.0)</f>
        <v>3</v>
      </c>
      <c r="H292" s="8" t="str">
        <f>IFERROR(__xludf.DUMMYFUNCTION("""COMPUTED_VALUE"""),"FLSP")</f>
        <v>FLSP</v>
      </c>
    </row>
    <row r="293">
      <c r="A293" s="8" t="str">
        <f>IFERROR(__xludf.DUMMYFUNCTION("""COMPUTED_VALUE"""),"MAX371")</f>
        <v>MAX371</v>
      </c>
      <c r="B293" s="8" t="str">
        <f>IFERROR(__xludf.DUMMYFUNCTION("""COMPUTED_VALUE"""),"RUN-FLMP_2021-12-26_RFR-035")</f>
        <v>RUN-FLMP_2021-12-26_RFR-035</v>
      </c>
      <c r="C293" s="10">
        <f>VLOOKUP(B293,'Run Reconcile'!A$2:B1579,2,FALSE)</f>
        <v>44556</v>
      </c>
      <c r="D293" s="14">
        <f>IFERROR(__xludf.DUMMYFUNCTION("""COMPUTED_VALUE"""),44556.0)</f>
        <v>44556</v>
      </c>
      <c r="E293" s="15">
        <f>IFERROR(__xludf.DUMMYFUNCTION("""COMPUTED_VALUE"""),0.20648148148029577)</f>
        <v>0.2064814815</v>
      </c>
      <c r="F293" s="8" t="str">
        <f>IFERROR(__xludf.DUMMYFUNCTION("""COMPUTED_VALUE"""),"Positive")</f>
        <v>Positive</v>
      </c>
      <c r="G293" s="16">
        <f>IFERROR(__xludf.DUMMYFUNCTION("""COMPUTED_VALUE"""),1.0)</f>
        <v>1</v>
      </c>
      <c r="H293" s="8" t="str">
        <f>IFERROR(__xludf.DUMMYFUNCTION("""COMPUTED_VALUE"""),"FLSP")</f>
        <v>FLSP</v>
      </c>
    </row>
    <row r="294">
      <c r="A294" s="8" t="str">
        <f>IFERROR(__xludf.DUMMYFUNCTION("""COMPUTED_VALUE"""),"MA1207")</f>
        <v>MA1207</v>
      </c>
      <c r="B294" s="8" t="str">
        <f>IFERROR(__xludf.DUMMYFUNCTION("""COMPUTED_VALUE"""),"RUN-FLMP_2021-12-27_RFR-036")</f>
        <v>RUN-FLMP_2021-12-27_RFR-036</v>
      </c>
      <c r="C294" s="10">
        <f>VLOOKUP(B294,'Run Reconcile'!A$2:B1579,2,FALSE)</f>
        <v>44557</v>
      </c>
      <c r="D294" s="14">
        <f>IFERROR(__xludf.DUMMYFUNCTION("""COMPUTED_VALUE"""),44557.0)</f>
        <v>44557</v>
      </c>
      <c r="E294" s="15">
        <f>IFERROR(__xludf.DUMMYFUNCTION("""COMPUTED_VALUE"""),0.3638194444429246)</f>
        <v>0.3638194444</v>
      </c>
      <c r="F294" s="8" t="str">
        <f>IFERROR(__xludf.DUMMYFUNCTION("""COMPUTED_VALUE"""),"Negative")</f>
        <v>Negative</v>
      </c>
      <c r="G294" s="16">
        <f>IFERROR(__xludf.DUMMYFUNCTION("""COMPUTED_VALUE"""),3.0)</f>
        <v>3</v>
      </c>
      <c r="H294" s="8" t="str">
        <f>IFERROR(__xludf.DUMMYFUNCTION("""COMPUTED_VALUE"""),"FLSP")</f>
        <v>FLSP</v>
      </c>
    </row>
    <row r="295">
      <c r="A295" s="8" t="str">
        <f>IFERROR(__xludf.DUMMYFUNCTION("""COMPUTED_VALUE"""),"MAX471")</f>
        <v>MAX471</v>
      </c>
      <c r="B295" s="8" t="str">
        <f>IFERROR(__xludf.DUMMYFUNCTION("""COMPUTED_VALUE"""),"RUN-FLMP_2021-12-27_RFR-036")</f>
        <v>RUN-FLMP_2021-12-27_RFR-036</v>
      </c>
      <c r="C295" s="10">
        <f>VLOOKUP(B295,'Run Reconcile'!A$2:B1579,2,FALSE)</f>
        <v>44557</v>
      </c>
      <c r="D295" s="14">
        <f>IFERROR(__xludf.DUMMYFUNCTION("""COMPUTED_VALUE"""),44557.0)</f>
        <v>44557</v>
      </c>
      <c r="E295" s="15">
        <f>IFERROR(__xludf.DUMMYFUNCTION("""COMPUTED_VALUE"""),0.380162037035916)</f>
        <v>0.380162037</v>
      </c>
      <c r="F295" s="8" t="str">
        <f>IFERROR(__xludf.DUMMYFUNCTION("""COMPUTED_VALUE"""),"Negative")</f>
        <v>Negative</v>
      </c>
      <c r="G295" s="16">
        <f>IFERROR(__xludf.DUMMYFUNCTION("""COMPUTED_VALUE"""),1.0)</f>
        <v>1</v>
      </c>
      <c r="H295" s="8" t="str">
        <f>IFERROR(__xludf.DUMMYFUNCTION("""COMPUTED_VALUE"""),"FLSP")</f>
        <v>FLSP</v>
      </c>
    </row>
    <row r="296">
      <c r="A296" s="8" t="str">
        <f>IFERROR(__xludf.DUMMYFUNCTION("""COMPUTED_VALUE"""),"MAX470")</f>
        <v>MAX470</v>
      </c>
      <c r="B296" s="8" t="str">
        <f>IFERROR(__xludf.DUMMYFUNCTION("""COMPUTED_VALUE"""),"RUN-FLMP_2021-12-27_RFR-036")</f>
        <v>RUN-FLMP_2021-12-27_RFR-036</v>
      </c>
      <c r="C296" s="10">
        <f>VLOOKUP(B296,'Run Reconcile'!A$2:B1579,2,FALSE)</f>
        <v>44557</v>
      </c>
      <c r="D296" s="14">
        <f>IFERROR(__xludf.DUMMYFUNCTION("""COMPUTED_VALUE"""),44557.0)</f>
        <v>44557</v>
      </c>
      <c r="E296" s="15">
        <f>IFERROR(__xludf.DUMMYFUNCTION("""COMPUTED_VALUE"""),0.3894212962950405)</f>
        <v>0.3894212963</v>
      </c>
      <c r="F296" s="8" t="str">
        <f>IFERROR(__xludf.DUMMYFUNCTION("""COMPUTED_VALUE"""),"Negative")</f>
        <v>Negative</v>
      </c>
      <c r="G296" s="16">
        <f>IFERROR(__xludf.DUMMYFUNCTION("""COMPUTED_VALUE"""),1.0)</f>
        <v>1</v>
      </c>
      <c r="H296" s="8" t="str">
        <f>IFERROR(__xludf.DUMMYFUNCTION("""COMPUTED_VALUE"""),"FLSP")</f>
        <v>FLSP</v>
      </c>
    </row>
    <row r="297">
      <c r="A297" s="8" t="str">
        <f>IFERROR(__xludf.DUMMYFUNCTION("""COMPUTED_VALUE"""),"MAX350")</f>
        <v>MAX350</v>
      </c>
      <c r="B297" s="8" t="str">
        <f>IFERROR(__xludf.DUMMYFUNCTION("""COMPUTED_VALUE"""),"RUN-FLMP_2021-12-27_RFR-037")</f>
        <v>RUN-FLMP_2021-12-27_RFR-037</v>
      </c>
      <c r="C297" s="10">
        <f>VLOOKUP(B297,'Run Reconcile'!A$2:B1579,2,FALSE)</f>
        <v>44557</v>
      </c>
      <c r="D297" s="14">
        <f>IFERROR(__xludf.DUMMYFUNCTION("""COMPUTED_VALUE"""),44557.0)</f>
        <v>44557</v>
      </c>
      <c r="E297" s="15">
        <f>IFERROR(__xludf.DUMMYFUNCTION("""COMPUTED_VALUE"""),0.7083333333321207)</f>
        <v>0.7083333333</v>
      </c>
      <c r="F297" s="8" t="str">
        <f>IFERROR(__xludf.DUMMYFUNCTION("""COMPUTED_VALUE"""),"Negative")</f>
        <v>Negative</v>
      </c>
      <c r="G297" s="16">
        <f>IFERROR(__xludf.DUMMYFUNCTION("""COMPUTED_VALUE"""),1.0)</f>
        <v>1</v>
      </c>
      <c r="H297" s="8" t="str">
        <f>IFERROR(__xludf.DUMMYFUNCTION("""COMPUTED_VALUE"""),"FLSP")</f>
        <v>FLSP</v>
      </c>
    </row>
    <row r="298">
      <c r="A298" s="8" t="str">
        <f>IFERROR(__xludf.DUMMYFUNCTION("""COMPUTED_VALUE"""),"MAX383")</f>
        <v>MAX383</v>
      </c>
      <c r="B298" s="8" t="str">
        <f>IFERROR(__xludf.DUMMYFUNCTION("""COMPUTED_VALUE"""),"RUN-FLMP_2021-12-27_RFR-037")</f>
        <v>RUN-FLMP_2021-12-27_RFR-037</v>
      </c>
      <c r="C298" s="10">
        <f>VLOOKUP(B298,'Run Reconcile'!A$2:B1579,2,FALSE)</f>
        <v>44557</v>
      </c>
      <c r="D298" s="14">
        <f>IFERROR(__xludf.DUMMYFUNCTION("""COMPUTED_VALUE"""),44557.0)</f>
        <v>44557</v>
      </c>
      <c r="E298" s="15">
        <f>IFERROR(__xludf.DUMMYFUNCTION("""COMPUTED_VALUE"""),0.7090277777788287)</f>
        <v>0.7090277778</v>
      </c>
      <c r="F298" s="8" t="str">
        <f>IFERROR(__xludf.DUMMYFUNCTION("""COMPUTED_VALUE"""),"Negative")</f>
        <v>Negative</v>
      </c>
      <c r="G298" s="16">
        <f>IFERROR(__xludf.DUMMYFUNCTION("""COMPUTED_VALUE"""),1.0)</f>
        <v>1</v>
      </c>
      <c r="H298" s="8" t="str">
        <f>IFERROR(__xludf.DUMMYFUNCTION("""COMPUTED_VALUE"""),"FLSP")</f>
        <v>FLSP</v>
      </c>
    </row>
    <row r="299">
      <c r="A299" s="8" t="str">
        <f>IFERROR(__xludf.DUMMYFUNCTION("""COMPUTED_VALUE"""),"MAX388")</f>
        <v>MAX388</v>
      </c>
      <c r="B299" s="8" t="str">
        <f>IFERROR(__xludf.DUMMYFUNCTION("""COMPUTED_VALUE"""),"RUN-FLMP_2021-12-28_RFR-038")</f>
        <v>RUN-FLMP_2021-12-28_RFR-038</v>
      </c>
      <c r="C299" s="10">
        <f>VLOOKUP(B299,'Run Reconcile'!A$2:B1579,2,FALSE)</f>
        <v>44558</v>
      </c>
      <c r="D299" s="14">
        <f>IFERROR(__xludf.DUMMYFUNCTION("""COMPUTED_VALUE"""),44558.0)</f>
        <v>44558</v>
      </c>
      <c r="E299" s="15">
        <f>IFERROR(__xludf.DUMMYFUNCTION("""COMPUTED_VALUE"""),0.34681712962992606)</f>
        <v>0.3468171296</v>
      </c>
      <c r="F299" s="8" t="str">
        <f>IFERROR(__xludf.DUMMYFUNCTION("""COMPUTED_VALUE"""),"Negative")</f>
        <v>Negative</v>
      </c>
      <c r="G299" s="16">
        <f>IFERROR(__xludf.DUMMYFUNCTION("""COMPUTED_VALUE"""),1.0)</f>
        <v>1</v>
      </c>
      <c r="H299" s="8" t="str">
        <f>IFERROR(__xludf.DUMMYFUNCTION("""COMPUTED_VALUE"""),"FLSP")</f>
        <v>FLSP</v>
      </c>
    </row>
    <row r="300">
      <c r="A300" s="8" t="str">
        <f>IFERROR(__xludf.DUMMYFUNCTION("""COMPUTED_VALUE"""),"MA1377")</f>
        <v>MA1377</v>
      </c>
      <c r="B300" s="8" t="str">
        <f>IFERROR(__xludf.DUMMYFUNCTION("""COMPUTED_VALUE"""),"RUN-FLMP_2021-12-28_APS-076")</f>
        <v>RUN-FLMP_2021-12-28_APS-076</v>
      </c>
      <c r="C300" s="10">
        <f>VLOOKUP(B300,'Run Reconcile'!A$2:B1579,2,FALSE)</f>
        <v>44558</v>
      </c>
      <c r="D300" s="14">
        <f>IFERROR(__xludf.DUMMYFUNCTION("""COMPUTED_VALUE"""),44558.0)</f>
        <v>44558</v>
      </c>
      <c r="E300" s="15">
        <f>IFERROR(__xludf.DUMMYFUNCTION("""COMPUTED_VALUE"""),0.3589699074072996)</f>
        <v>0.3589699074</v>
      </c>
      <c r="F300" s="8" t="str">
        <f>IFERROR(__xludf.DUMMYFUNCTION("""COMPUTED_VALUE"""),"Negative")</f>
        <v>Negative</v>
      </c>
      <c r="G300" s="16">
        <f>IFERROR(__xludf.DUMMYFUNCTION("""COMPUTED_VALUE"""),3.0)</f>
        <v>3</v>
      </c>
      <c r="H300" s="8" t="str">
        <f>IFERROR(__xludf.DUMMYFUNCTION("""COMPUTED_VALUE"""),"FLSP")</f>
        <v>FLSP</v>
      </c>
    </row>
    <row r="301">
      <c r="A301" s="8" t="str">
        <f>IFERROR(__xludf.DUMMYFUNCTION("""COMPUTED_VALUE"""),"MAX447")</f>
        <v>MAX447</v>
      </c>
      <c r="B301" s="8" t="str">
        <f>IFERROR(__xludf.DUMMYFUNCTION("""COMPUTED_VALUE"""),"RUN-FLMP_2021-12-28_APS-076")</f>
        <v>RUN-FLMP_2021-12-28_APS-076</v>
      </c>
      <c r="C301" s="10">
        <f>VLOOKUP(B301,'Run Reconcile'!A$2:B1579,2,FALSE)</f>
        <v>44558</v>
      </c>
      <c r="D301" s="14">
        <f>IFERROR(__xludf.DUMMYFUNCTION("""COMPUTED_VALUE"""),44558.0)</f>
        <v>44558</v>
      </c>
      <c r="E301" s="15">
        <f>IFERROR(__xludf.DUMMYFUNCTION("""COMPUTED_VALUE"""),0.36724537036934635)</f>
        <v>0.3672453704</v>
      </c>
      <c r="F301" s="8" t="str">
        <f>IFERROR(__xludf.DUMMYFUNCTION("""COMPUTED_VALUE"""),"Negative")</f>
        <v>Negative</v>
      </c>
      <c r="G301" s="16">
        <f>IFERROR(__xludf.DUMMYFUNCTION("""COMPUTED_VALUE"""),1.0)</f>
        <v>1</v>
      </c>
      <c r="H301" s="8" t="str">
        <f>IFERROR(__xludf.DUMMYFUNCTION("""COMPUTED_VALUE"""),"FLSP")</f>
        <v>FLSP</v>
      </c>
    </row>
    <row r="302">
      <c r="A302" s="8" t="str">
        <f>IFERROR(__xludf.DUMMYFUNCTION("""COMPUTED_VALUE"""),"MA1486")</f>
        <v>MA1486</v>
      </c>
      <c r="B302" s="8" t="str">
        <f>IFERROR(__xludf.DUMMYFUNCTION("""COMPUTED_VALUE"""),"RUN-FLMP_2021-12-28_APS-076")</f>
        <v>RUN-FLMP_2021-12-28_APS-076</v>
      </c>
      <c r="C302" s="10">
        <f>VLOOKUP(B302,'Run Reconcile'!A$2:B1579,2,FALSE)</f>
        <v>44558</v>
      </c>
      <c r="D302" s="14">
        <f>IFERROR(__xludf.DUMMYFUNCTION("""COMPUTED_VALUE"""),44558.0)</f>
        <v>44558</v>
      </c>
      <c r="E302" s="15">
        <f>IFERROR(__xludf.DUMMYFUNCTION("""COMPUTED_VALUE"""),0.3781365740724141)</f>
        <v>0.3781365741</v>
      </c>
      <c r="F302" s="8" t="str">
        <f>IFERROR(__xludf.DUMMYFUNCTION("""COMPUTED_VALUE"""),"Negative")</f>
        <v>Negative</v>
      </c>
      <c r="G302" s="16">
        <f>IFERROR(__xludf.DUMMYFUNCTION("""COMPUTED_VALUE"""),1.0)</f>
        <v>1</v>
      </c>
      <c r="H302" s="8" t="str">
        <f>IFERROR(__xludf.DUMMYFUNCTION("""COMPUTED_VALUE"""),"FLSP")</f>
        <v>FLSP</v>
      </c>
    </row>
    <row r="303">
      <c r="A303" s="8" t="str">
        <f>IFERROR(__xludf.DUMMYFUNCTION("""COMPUTED_VALUE"""),"MA1338")</f>
        <v>MA1338</v>
      </c>
      <c r="B303" s="8" t="str">
        <f>IFERROR(__xludf.DUMMYFUNCTION("""COMPUTED_VALUE"""),"RUN-FLMP_2021-12-29_RFR-039")</f>
        <v>RUN-FLMP_2021-12-29_RFR-039</v>
      </c>
      <c r="C303" s="10">
        <f>VLOOKUP(B303,'Run Reconcile'!A$2:B1579,2,FALSE)</f>
        <v>44559</v>
      </c>
      <c r="D303" s="14">
        <f>IFERROR(__xludf.DUMMYFUNCTION("""COMPUTED_VALUE"""),44559.0)</f>
        <v>44559</v>
      </c>
      <c r="E303" s="15">
        <f>IFERROR(__xludf.DUMMYFUNCTION("""COMPUTED_VALUE"""),0.3394907407418941)</f>
        <v>0.3394907407</v>
      </c>
      <c r="F303" s="8" t="str">
        <f>IFERROR(__xludf.DUMMYFUNCTION("""COMPUTED_VALUE"""),"Negative")</f>
        <v>Negative</v>
      </c>
      <c r="G303" s="16">
        <f>IFERROR(__xludf.DUMMYFUNCTION("""COMPUTED_VALUE"""),1.0)</f>
        <v>1</v>
      </c>
      <c r="H303" s="8" t="str">
        <f>IFERROR(__xludf.DUMMYFUNCTION("""COMPUTED_VALUE"""),"FLSP")</f>
        <v>FLSP</v>
      </c>
    </row>
    <row r="304">
      <c r="A304" s="8" t="str">
        <f>IFERROR(__xludf.DUMMYFUNCTION("""COMPUTED_VALUE"""),"MA1361")</f>
        <v>MA1361</v>
      </c>
      <c r="B304" s="8" t="str">
        <f>IFERROR(__xludf.DUMMYFUNCTION("""COMPUTED_VALUE"""),"RUN-FLMP_2021-12-29_RFR-039")</f>
        <v>RUN-FLMP_2021-12-29_RFR-039</v>
      </c>
      <c r="C304" s="10">
        <f>VLOOKUP(B304,'Run Reconcile'!A$2:B1579,2,FALSE)</f>
        <v>44559</v>
      </c>
      <c r="D304" s="14">
        <f>IFERROR(__xludf.DUMMYFUNCTION("""COMPUTED_VALUE"""),44559.0)</f>
        <v>44559</v>
      </c>
      <c r="E304" s="15">
        <f>IFERROR(__xludf.DUMMYFUNCTION("""COMPUTED_VALUE"""),0.3399074074077362)</f>
        <v>0.3399074074</v>
      </c>
      <c r="F304" s="8" t="str">
        <f>IFERROR(__xludf.DUMMYFUNCTION("""COMPUTED_VALUE"""),"Negative")</f>
        <v>Negative</v>
      </c>
      <c r="G304" s="16">
        <f>IFERROR(__xludf.DUMMYFUNCTION("""COMPUTED_VALUE"""),3.0)</f>
        <v>3</v>
      </c>
      <c r="H304" s="8" t="str">
        <f>IFERROR(__xludf.DUMMYFUNCTION("""COMPUTED_VALUE"""),"FLSP")</f>
        <v>FLSP</v>
      </c>
    </row>
    <row r="305">
      <c r="A305" s="8" t="str">
        <f>IFERROR(__xludf.DUMMYFUNCTION("""COMPUTED_VALUE"""),"MAX262")</f>
        <v>MAX262</v>
      </c>
      <c r="B305" s="8" t="str">
        <f>IFERROR(__xludf.DUMMYFUNCTION("""COMPUTED_VALUE"""),"RUN-FLMP_2021-12-29_RFR-039")</f>
        <v>RUN-FLMP_2021-12-29_RFR-039</v>
      </c>
      <c r="C305" s="10">
        <f>VLOOKUP(B305,'Run Reconcile'!A$2:B1579,2,FALSE)</f>
        <v>44559</v>
      </c>
      <c r="D305" s="14">
        <f>IFERROR(__xludf.DUMMYFUNCTION("""COMPUTED_VALUE"""),44559.0)</f>
        <v>44559</v>
      </c>
      <c r="E305" s="15">
        <f>IFERROR(__xludf.DUMMYFUNCTION("""COMPUTED_VALUE"""),0.36509259259401006)</f>
        <v>0.3650925926</v>
      </c>
      <c r="F305" s="8" t="str">
        <f>IFERROR(__xludf.DUMMYFUNCTION("""COMPUTED_VALUE"""),"Negative")</f>
        <v>Negative</v>
      </c>
      <c r="G305" s="16">
        <f>IFERROR(__xludf.DUMMYFUNCTION("""COMPUTED_VALUE"""),1.0)</f>
        <v>1</v>
      </c>
      <c r="H305" s="8" t="str">
        <f>IFERROR(__xludf.DUMMYFUNCTION("""COMPUTED_VALUE"""),"FLSP")</f>
        <v>FLSP</v>
      </c>
    </row>
    <row r="306">
      <c r="A306" s="8" t="str">
        <f>IFERROR(__xludf.DUMMYFUNCTION("""COMPUTED_VALUE"""),"MAX304")</f>
        <v>MAX304</v>
      </c>
      <c r="B306" s="8" t="str">
        <f>IFERROR(__xludf.DUMMYFUNCTION("""COMPUTED_VALUE"""),"RUN-FLMP_2021-12-29_RFR-039")</f>
        <v>RUN-FLMP_2021-12-29_RFR-039</v>
      </c>
      <c r="C306" s="10">
        <f>VLOOKUP(B306,'Run Reconcile'!A$2:B1579,2,FALSE)</f>
        <v>44559</v>
      </c>
      <c r="D306" s="14">
        <f>IFERROR(__xludf.DUMMYFUNCTION("""COMPUTED_VALUE"""),44559.0)</f>
        <v>44559</v>
      </c>
      <c r="E306" s="15">
        <f>IFERROR(__xludf.DUMMYFUNCTION("""COMPUTED_VALUE"""),0.3861805555570754)</f>
        <v>0.3861805556</v>
      </c>
      <c r="F306" s="8" t="str">
        <f>IFERROR(__xludf.DUMMYFUNCTION("""COMPUTED_VALUE"""),"Negative")</f>
        <v>Negative</v>
      </c>
      <c r="G306" s="16">
        <f>IFERROR(__xludf.DUMMYFUNCTION("""COMPUTED_VALUE"""),1.0)</f>
        <v>1</v>
      </c>
      <c r="H306" s="8" t="str">
        <f>IFERROR(__xludf.DUMMYFUNCTION("""COMPUTED_VALUE"""),"FLSP")</f>
        <v>FLSP</v>
      </c>
    </row>
    <row r="307">
      <c r="A307" s="8" t="str">
        <f>IFERROR(__xludf.DUMMYFUNCTION("""COMPUTED_VALUE"""),"MAX398")</f>
        <v>MAX398</v>
      </c>
      <c r="B307" s="8" t="str">
        <f>IFERROR(__xludf.DUMMYFUNCTION("""COMPUTED_VALUE"""),"RUN-FLMP_2021-12-29_APS-077")</f>
        <v>RUN-FLMP_2021-12-29_APS-077</v>
      </c>
      <c r="C307" s="10">
        <f>VLOOKUP(B307,'Run Reconcile'!A$2:B1579,2,FALSE)</f>
        <v>44559</v>
      </c>
      <c r="D307" s="14">
        <f>IFERROR(__xludf.DUMMYFUNCTION("""COMPUTED_VALUE"""),44559.0)</f>
        <v>44559</v>
      </c>
      <c r="E307" s="15">
        <f>IFERROR(__xludf.DUMMYFUNCTION("""COMPUTED_VALUE"""),0.5398495370354794)</f>
        <v>0.539849537</v>
      </c>
      <c r="F307" s="8" t="str">
        <f>IFERROR(__xludf.DUMMYFUNCTION("""COMPUTED_VALUE"""),"Negative")</f>
        <v>Negative</v>
      </c>
      <c r="G307" s="16">
        <f>IFERROR(__xludf.DUMMYFUNCTION("""COMPUTED_VALUE"""),1.0)</f>
        <v>1</v>
      </c>
      <c r="H307" s="8" t="str">
        <f>IFERROR(__xludf.DUMMYFUNCTION("""COMPUTED_VALUE"""),"FLSP")</f>
        <v>FLSP</v>
      </c>
    </row>
    <row r="308">
      <c r="A308" s="8" t="str">
        <f>IFERROR(__xludf.DUMMYFUNCTION("""COMPUTED_VALUE"""),"MAX280")</f>
        <v>MAX280</v>
      </c>
      <c r="B308" s="8" t="str">
        <f>IFERROR(__xludf.DUMMYFUNCTION("""COMPUTED_VALUE"""),"RUN-FLMP_2021-12-29_APS-077")</f>
        <v>RUN-FLMP_2021-12-29_APS-077</v>
      </c>
      <c r="C308" s="10">
        <f>VLOOKUP(B308,'Run Reconcile'!A$2:B1579,2,FALSE)</f>
        <v>44559</v>
      </c>
      <c r="D308" s="14">
        <f>IFERROR(__xludf.DUMMYFUNCTION("""COMPUTED_VALUE"""),44559.0)</f>
        <v>44559</v>
      </c>
      <c r="E308" s="15">
        <f>IFERROR(__xludf.DUMMYFUNCTION("""COMPUTED_VALUE"""),0.5400925925932825)</f>
        <v>0.5400925926</v>
      </c>
      <c r="F308" s="8" t="str">
        <f>IFERROR(__xludf.DUMMYFUNCTION("""COMPUTED_VALUE"""),"Negative")</f>
        <v>Negative</v>
      </c>
      <c r="G308" s="16">
        <f>IFERROR(__xludf.DUMMYFUNCTION("""COMPUTED_VALUE"""),1.0)</f>
        <v>1</v>
      </c>
      <c r="H308" s="8" t="str">
        <f>IFERROR(__xludf.DUMMYFUNCTION("""COMPUTED_VALUE"""),"FLSP")</f>
        <v>FLSP</v>
      </c>
    </row>
    <row r="309">
      <c r="A309" s="8" t="str">
        <f>IFERROR(__xludf.DUMMYFUNCTION("""COMPUTED_VALUE"""),"MAX364")</f>
        <v>MAX364</v>
      </c>
      <c r="B309" s="8" t="str">
        <f>IFERROR(__xludf.DUMMYFUNCTION("""COMPUTED_VALUE"""),"RUN-FLMP_2021-12-29_APS-077")</f>
        <v>RUN-FLMP_2021-12-29_APS-077</v>
      </c>
      <c r="C309" s="10">
        <f>VLOOKUP(B309,'Run Reconcile'!A$2:B1579,2,FALSE)</f>
        <v>44559</v>
      </c>
      <c r="D309" s="14">
        <f>IFERROR(__xludf.DUMMYFUNCTION("""COMPUTED_VALUE"""),44559.0)</f>
        <v>44559</v>
      </c>
      <c r="E309" s="15">
        <f>IFERROR(__xludf.DUMMYFUNCTION("""COMPUTED_VALUE"""),0.5404629629629198)</f>
        <v>0.540462963</v>
      </c>
      <c r="F309" s="8" t="str">
        <f>IFERROR(__xludf.DUMMYFUNCTION("""COMPUTED_VALUE"""),"Negative")</f>
        <v>Negative</v>
      </c>
      <c r="G309" s="16">
        <f>IFERROR(__xludf.DUMMYFUNCTION("""COMPUTED_VALUE"""),1.0)</f>
        <v>1</v>
      </c>
      <c r="H309" s="8" t="str">
        <f>IFERROR(__xludf.DUMMYFUNCTION("""COMPUTED_VALUE"""),"FLSP")</f>
        <v>FLSP</v>
      </c>
    </row>
    <row r="310">
      <c r="A310" s="8" t="str">
        <f>IFERROR(__xludf.DUMMYFUNCTION("""COMPUTED_VALUE"""),"MAX287")</f>
        <v>MAX287</v>
      </c>
      <c r="B310" s="8" t="str">
        <f>IFERROR(__xludf.DUMMYFUNCTION("""COMPUTED_VALUE"""),"RUN-FLMP_2021-12-29_APS-077")</f>
        <v>RUN-FLMP_2021-12-29_APS-077</v>
      </c>
      <c r="C310" s="10">
        <f>VLOOKUP(B310,'Run Reconcile'!A$2:B1579,2,FALSE)</f>
        <v>44559</v>
      </c>
      <c r="D310" s="14">
        <f>IFERROR(__xludf.DUMMYFUNCTION("""COMPUTED_VALUE"""),44559.0)</f>
        <v>44559</v>
      </c>
      <c r="E310" s="15">
        <f>IFERROR(__xludf.DUMMYFUNCTION("""COMPUTED_VALUE"""),0.5407638888900692)</f>
        <v>0.5407638889</v>
      </c>
      <c r="F310" s="8" t="str">
        <f>IFERROR(__xludf.DUMMYFUNCTION("""COMPUTED_VALUE"""),"Negative")</f>
        <v>Negative</v>
      </c>
      <c r="G310" s="16">
        <f>IFERROR(__xludf.DUMMYFUNCTION("""COMPUTED_VALUE"""),1.0)</f>
        <v>1</v>
      </c>
      <c r="H310" s="8" t="str">
        <f>IFERROR(__xludf.DUMMYFUNCTION("""COMPUTED_VALUE"""),"FLSP")</f>
        <v>FLSP</v>
      </c>
    </row>
    <row r="311">
      <c r="A311" s="8" t="str">
        <f>IFERROR(__xludf.DUMMYFUNCTION("""COMPUTED_VALUE"""),"MA1337")</f>
        <v>MA1337</v>
      </c>
      <c r="B311" s="8" t="str">
        <f>IFERROR(__xludf.DUMMYFUNCTION("""COMPUTED_VALUE"""),"RUN-FLMP_2021-12-30_RFR-040")</f>
        <v>RUN-FLMP_2021-12-30_RFR-040</v>
      </c>
      <c r="C311" s="10">
        <f>VLOOKUP(B311,'Run Reconcile'!A$2:B1579,2,FALSE)</f>
        <v>44560</v>
      </c>
      <c r="D311" s="14">
        <f>IFERROR(__xludf.DUMMYFUNCTION("""COMPUTED_VALUE"""),44560.0)</f>
        <v>44560</v>
      </c>
      <c r="E311" s="15">
        <f>IFERROR(__xludf.DUMMYFUNCTION("""COMPUTED_VALUE"""),0.36229166666817036)</f>
        <v>0.3622916667</v>
      </c>
      <c r="F311" s="8" t="str">
        <f>IFERROR(__xludf.DUMMYFUNCTION("""COMPUTED_VALUE"""),"Negative")</f>
        <v>Negative</v>
      </c>
      <c r="G311" s="16">
        <f>IFERROR(__xludf.DUMMYFUNCTION("""COMPUTED_VALUE"""),1.0)</f>
        <v>1</v>
      </c>
      <c r="H311" s="8" t="str">
        <f>IFERROR(__xludf.DUMMYFUNCTION("""COMPUTED_VALUE"""),"FLSP")</f>
        <v>FLSP</v>
      </c>
    </row>
    <row r="312">
      <c r="A312" s="8" t="str">
        <f>IFERROR(__xludf.DUMMYFUNCTION("""COMPUTED_VALUE"""),"MA1479")</f>
        <v>MA1479</v>
      </c>
      <c r="B312" s="8" t="str">
        <f>IFERROR(__xludf.DUMMYFUNCTION("""COMPUTED_VALUE"""),"RUN-FLMP_2021-12-30_RFR-040")</f>
        <v>RUN-FLMP_2021-12-30_RFR-040</v>
      </c>
      <c r="C312" s="10">
        <f>VLOOKUP(B312,'Run Reconcile'!A$2:B1579,2,FALSE)</f>
        <v>44560</v>
      </c>
      <c r="D312" s="14">
        <f>IFERROR(__xludf.DUMMYFUNCTION("""COMPUTED_VALUE"""),44560.0)</f>
        <v>44560</v>
      </c>
      <c r="E312" s="15">
        <f>IFERROR(__xludf.DUMMYFUNCTION("""COMPUTED_VALUE"""),0.36262731481474475)</f>
        <v>0.3626273148</v>
      </c>
      <c r="F312" s="8" t="str">
        <f>IFERROR(__xludf.DUMMYFUNCTION("""COMPUTED_VALUE"""),"Negative")</f>
        <v>Negative</v>
      </c>
      <c r="G312" s="16">
        <f>IFERROR(__xludf.DUMMYFUNCTION("""COMPUTED_VALUE"""),3.0)</f>
        <v>3</v>
      </c>
      <c r="H312" s="8" t="str">
        <f>IFERROR(__xludf.DUMMYFUNCTION("""COMPUTED_VALUE"""),"FLSP")</f>
        <v>FLSP</v>
      </c>
    </row>
    <row r="313">
      <c r="A313" s="8" t="str">
        <f>IFERROR(__xludf.DUMMYFUNCTION("""COMPUTED_VALUE"""),"MAX415")</f>
        <v>MAX415</v>
      </c>
      <c r="B313" s="8" t="str">
        <f>IFERROR(__xludf.DUMMYFUNCTION("""COMPUTED_VALUE"""),"RUN-FLMP_2021-12-30_RFR-040")</f>
        <v>RUN-FLMP_2021-12-30_RFR-040</v>
      </c>
      <c r="C313" s="10">
        <f>VLOOKUP(B313,'Run Reconcile'!A$2:B1579,2,FALSE)</f>
        <v>44560</v>
      </c>
      <c r="D313" s="14">
        <f>IFERROR(__xludf.DUMMYFUNCTION("""COMPUTED_VALUE"""),44560.0)</f>
        <v>44560</v>
      </c>
      <c r="E313" s="15">
        <f>IFERROR(__xludf.DUMMYFUNCTION("""COMPUTED_VALUE"""),0.369837962964084)</f>
        <v>0.369837963</v>
      </c>
      <c r="F313" s="8" t="str">
        <f>IFERROR(__xludf.DUMMYFUNCTION("""COMPUTED_VALUE"""),"Negative")</f>
        <v>Negative</v>
      </c>
      <c r="G313" s="16">
        <f>IFERROR(__xludf.DUMMYFUNCTION("""COMPUTED_VALUE"""),1.0)</f>
        <v>1</v>
      </c>
      <c r="H313" s="8" t="str">
        <f>IFERROR(__xludf.DUMMYFUNCTION("""COMPUTED_VALUE"""),"FLSP")</f>
        <v>FLSP</v>
      </c>
    </row>
    <row r="314">
      <c r="A314" s="8" t="str">
        <f>IFERROR(__xludf.DUMMYFUNCTION("""COMPUTED_VALUE"""),"MAX351")</f>
        <v>MAX351</v>
      </c>
      <c r="B314" s="8" t="str">
        <f>IFERROR(__xludf.DUMMYFUNCTION("""COMPUTED_VALUE"""),"RUN-FLMP_2021-12-30_RFR-040")</f>
        <v>RUN-FLMP_2021-12-30_RFR-040</v>
      </c>
      <c r="C314" s="10">
        <f>VLOOKUP(B314,'Run Reconcile'!A$2:B1579,2,FALSE)</f>
        <v>44560</v>
      </c>
      <c r="D314" s="14">
        <f>IFERROR(__xludf.DUMMYFUNCTION("""COMPUTED_VALUE"""),44560.0)</f>
        <v>44560</v>
      </c>
      <c r="E314" s="15">
        <f>IFERROR(__xludf.DUMMYFUNCTION("""COMPUTED_VALUE"""),0.3784837962957681)</f>
        <v>0.3784837963</v>
      </c>
      <c r="F314" s="8" t="str">
        <f>IFERROR(__xludf.DUMMYFUNCTION("""COMPUTED_VALUE"""),"Negative")</f>
        <v>Negative</v>
      </c>
      <c r="G314" s="16">
        <f>IFERROR(__xludf.DUMMYFUNCTION("""COMPUTED_VALUE"""),1.0)</f>
        <v>1</v>
      </c>
      <c r="H314" s="8" t="str">
        <f>IFERROR(__xludf.DUMMYFUNCTION("""COMPUTED_VALUE"""),"FLSP")</f>
        <v>FLSP</v>
      </c>
    </row>
    <row r="315">
      <c r="A315" s="8" t="str">
        <f>IFERROR(__xludf.DUMMYFUNCTION("""COMPUTED_VALUE"""),"MA1351")</f>
        <v>MA1351</v>
      </c>
      <c r="B315" s="8" t="str">
        <f>IFERROR(__xludf.DUMMYFUNCTION("""COMPUTED_VALUE"""),"RUN-FLMP_2021-12-31_RFR-042")</f>
        <v>RUN-FLMP_2021-12-31_RFR-042</v>
      </c>
      <c r="C315" s="10">
        <f>VLOOKUP(B315,'Run Reconcile'!A$2:B1579,2,FALSE)</f>
        <v>44561</v>
      </c>
      <c r="D315" s="14">
        <f>IFERROR(__xludf.DUMMYFUNCTION("""COMPUTED_VALUE"""),44561.0)</f>
        <v>44561</v>
      </c>
      <c r="E315" s="15">
        <f>IFERROR(__xludf.DUMMYFUNCTION("""COMPUTED_VALUE"""),0.3710300925922638)</f>
        <v>0.3710300926</v>
      </c>
      <c r="F315" s="8" t="str">
        <f>IFERROR(__xludf.DUMMYFUNCTION("""COMPUTED_VALUE"""),"Negative")</f>
        <v>Negative</v>
      </c>
      <c r="G315" s="16">
        <f>IFERROR(__xludf.DUMMYFUNCTION("""COMPUTED_VALUE"""),4.0)</f>
        <v>4</v>
      </c>
      <c r="H315" s="8" t="str">
        <f>IFERROR(__xludf.DUMMYFUNCTION("""COMPUTED_VALUE"""),"FLSP")</f>
        <v>FLSP</v>
      </c>
    </row>
    <row r="316">
      <c r="A316" s="8" t="str">
        <f>IFERROR(__xludf.DUMMYFUNCTION("""COMPUTED_VALUE"""),"MA1358")</f>
        <v>MA1358</v>
      </c>
      <c r="B316" s="8" t="str">
        <f>IFERROR(__xludf.DUMMYFUNCTION("""COMPUTED_VALUE"""),"RUN-FLMP_2021-12-31_RFR-042")</f>
        <v>RUN-FLMP_2021-12-31_RFR-042</v>
      </c>
      <c r="C316" s="10">
        <f>VLOOKUP(B316,'Run Reconcile'!A$2:B1579,2,FALSE)</f>
        <v>44561</v>
      </c>
      <c r="D316" s="14">
        <f>IFERROR(__xludf.DUMMYFUNCTION("""COMPUTED_VALUE"""),44561.0)</f>
        <v>44561</v>
      </c>
      <c r="E316" s="15">
        <f>IFERROR(__xludf.DUMMYFUNCTION("""COMPUTED_VALUE"""),0.3722685185202863)</f>
        <v>0.3722685185</v>
      </c>
      <c r="F316" s="8" t="str">
        <f>IFERROR(__xludf.DUMMYFUNCTION("""COMPUTED_VALUE"""),"Negative")</f>
        <v>Negative</v>
      </c>
      <c r="G316" s="16">
        <f>IFERROR(__xludf.DUMMYFUNCTION("""COMPUTED_VALUE"""),2.0)</f>
        <v>2</v>
      </c>
      <c r="H316" s="8" t="str">
        <f>IFERROR(__xludf.DUMMYFUNCTION("""COMPUTED_VALUE"""),"FLSP")</f>
        <v>FLSP</v>
      </c>
    </row>
    <row r="317">
      <c r="A317" s="8" t="str">
        <f>IFERROR(__xludf.DUMMYFUNCTION("""COMPUTED_VALUE"""),"MA1367")</f>
        <v>MA1367</v>
      </c>
      <c r="B317" s="8" t="str">
        <f>IFERROR(__xludf.DUMMYFUNCTION("""COMPUTED_VALUE"""),"RUN-FLMP_2021-12-31_RFR-042")</f>
        <v>RUN-FLMP_2021-12-31_RFR-042</v>
      </c>
      <c r="C317" s="10">
        <f>VLOOKUP(B317,'Run Reconcile'!A$2:B1579,2,FALSE)</f>
        <v>44561</v>
      </c>
      <c r="D317" s="14">
        <f>IFERROR(__xludf.DUMMYFUNCTION("""COMPUTED_VALUE"""),44561.0)</f>
        <v>44561</v>
      </c>
      <c r="E317" s="15">
        <f>IFERROR(__xludf.DUMMYFUNCTION("""COMPUTED_VALUE"""),0.3731018518519704)</f>
        <v>0.3731018519</v>
      </c>
      <c r="F317" s="8" t="str">
        <f>IFERROR(__xludf.DUMMYFUNCTION("""COMPUTED_VALUE"""),"Negative")</f>
        <v>Negative</v>
      </c>
      <c r="G317" s="16">
        <f>IFERROR(__xludf.DUMMYFUNCTION("""COMPUTED_VALUE"""),2.0)</f>
        <v>2</v>
      </c>
      <c r="H317" s="8" t="str">
        <f>IFERROR(__xludf.DUMMYFUNCTION("""COMPUTED_VALUE"""),"FLSP")</f>
        <v>FLSP</v>
      </c>
    </row>
    <row r="318">
      <c r="A318" s="8" t="str">
        <f>IFERROR(__xludf.DUMMYFUNCTION("""COMPUTED_VALUE"""),"MAX434")</f>
        <v>MAX434</v>
      </c>
      <c r="B318" s="8" t="str">
        <f>IFERROR(__xludf.DUMMYFUNCTION("""COMPUTED_VALUE"""),"RUN-FLMP_2021-12-31_RFR-042")</f>
        <v>RUN-FLMP_2021-12-31_RFR-042</v>
      </c>
      <c r="C318" s="10">
        <f>VLOOKUP(B318,'Run Reconcile'!A$2:B1579,2,FALSE)</f>
        <v>44561</v>
      </c>
      <c r="D318" s="14">
        <f>IFERROR(__xludf.DUMMYFUNCTION("""COMPUTED_VALUE"""),44561.0)</f>
        <v>44561</v>
      </c>
      <c r="E318" s="15">
        <f>IFERROR(__xludf.DUMMYFUNCTION("""COMPUTED_VALUE"""),0.5029861111106584)</f>
        <v>0.5029861111</v>
      </c>
      <c r="F318" s="8" t="str">
        <f>IFERROR(__xludf.DUMMYFUNCTION("""COMPUTED_VALUE"""),"Negative")</f>
        <v>Negative</v>
      </c>
      <c r="G318" s="16">
        <f>IFERROR(__xludf.DUMMYFUNCTION("""COMPUTED_VALUE"""),1.0)</f>
        <v>1</v>
      </c>
      <c r="H318" s="8" t="str">
        <f>IFERROR(__xludf.DUMMYFUNCTION("""COMPUTED_VALUE"""),"FLSP")</f>
        <v>FLSP</v>
      </c>
    </row>
    <row r="319">
      <c r="A319" s="8" t="str">
        <f>IFERROR(__xludf.DUMMYFUNCTION("""COMPUTED_VALUE"""),"MAX255")</f>
        <v>MAX255</v>
      </c>
      <c r="B319" s="8" t="str">
        <f>IFERROR(__xludf.DUMMYFUNCTION("""COMPUTED_VALUE"""),"RUN-FLMP_2021-12-31_RFR-042")</f>
        <v>RUN-FLMP_2021-12-31_RFR-042</v>
      </c>
      <c r="C319" s="10">
        <f>VLOOKUP(B319,'Run Reconcile'!A$2:B1579,2,FALSE)</f>
        <v>44561</v>
      </c>
      <c r="D319" s="14">
        <f>IFERROR(__xludf.DUMMYFUNCTION("""COMPUTED_VALUE"""),44561.0)</f>
        <v>44561</v>
      </c>
      <c r="E319" s="15">
        <f>IFERROR(__xludf.DUMMYFUNCTION("""COMPUTED_VALUE"""),0.5036342592575238)</f>
        <v>0.5036342593</v>
      </c>
      <c r="F319" s="8" t="str">
        <f>IFERROR(__xludf.DUMMYFUNCTION("""COMPUTED_VALUE"""),"Negative")</f>
        <v>Negative</v>
      </c>
      <c r="G319" s="16">
        <f>IFERROR(__xludf.DUMMYFUNCTION("""COMPUTED_VALUE"""),1.0)</f>
        <v>1</v>
      </c>
      <c r="H319" s="8" t="str">
        <f>IFERROR(__xludf.DUMMYFUNCTION("""COMPUTED_VALUE"""),"FLSP")</f>
        <v>FLSP</v>
      </c>
    </row>
    <row r="320">
      <c r="A320" s="8" t="str">
        <f>IFERROR(__xludf.DUMMYFUNCTION("""COMPUTED_VALUE"""),"MAX288FIX")</f>
        <v>MAX288FIX</v>
      </c>
      <c r="B320" s="8" t="str">
        <f>IFERROR(__xludf.DUMMYFUNCTION("""COMPUTED_VALUE"""),"RUN-FLMP_2021-12-31_RFR-042")</f>
        <v>RUN-FLMP_2021-12-31_RFR-042</v>
      </c>
      <c r="C320" s="10">
        <f>VLOOKUP(B320,'Run Reconcile'!A$2:B1579,2,FALSE)</f>
        <v>44561</v>
      </c>
      <c r="D320" s="14">
        <f>IFERROR(__xludf.DUMMYFUNCTION("""COMPUTED_VALUE"""),44561.0)</f>
        <v>44561</v>
      </c>
      <c r="E320" s="15">
        <f>IFERROR(__xludf.DUMMYFUNCTION("""COMPUTED_VALUE"""),0.7209259259252576)</f>
        <v>0.7209259259</v>
      </c>
      <c r="F320" s="8" t="str">
        <f>IFERROR(__xludf.DUMMYFUNCTION("""COMPUTED_VALUE"""),"Positive")</f>
        <v>Positive</v>
      </c>
      <c r="G320" s="16">
        <f>IFERROR(__xludf.DUMMYFUNCTION("""COMPUTED_VALUE"""),1.0)</f>
        <v>1</v>
      </c>
      <c r="H320" s="8" t="str">
        <f>IFERROR(__xludf.DUMMYFUNCTION("""COMPUTED_VALUE"""),"FLSP")</f>
        <v>FLSP</v>
      </c>
    </row>
    <row r="321">
      <c r="A321" s="8" t="str">
        <f>IFERROR(__xludf.DUMMYFUNCTION("""COMPUTED_VALUE"""),"MAX340")</f>
        <v>MAX340</v>
      </c>
      <c r="B321" s="8" t="str">
        <f>IFERROR(__xludf.DUMMYFUNCTION("""COMPUTED_VALUE"""),"RUN-FLMP_2021-12-31_RFR-043")</f>
        <v>RUN-FLMP_2021-12-31_RFR-043</v>
      </c>
      <c r="C321" s="10">
        <f>VLOOKUP(B321,'Run Reconcile'!A$2:B1579,2,FALSE)</f>
        <v>44561</v>
      </c>
      <c r="D321" s="14">
        <f>IFERROR(__xludf.DUMMYFUNCTION("""COMPUTED_VALUE"""),44561.0)</f>
        <v>44561</v>
      </c>
      <c r="E321" s="15">
        <f>IFERROR(__xludf.DUMMYFUNCTION("""COMPUTED_VALUE"""),0.7306250000001455)</f>
        <v>0.730625</v>
      </c>
      <c r="F321" s="8" t="str">
        <f>IFERROR(__xludf.DUMMYFUNCTION("""COMPUTED_VALUE"""),"Negative")</f>
        <v>Negative</v>
      </c>
      <c r="G321" s="16">
        <f>IFERROR(__xludf.DUMMYFUNCTION("""COMPUTED_VALUE"""),1.0)</f>
        <v>1</v>
      </c>
      <c r="H321" s="8" t="str">
        <f>IFERROR(__xludf.DUMMYFUNCTION("""COMPUTED_VALUE"""),"FLSP")</f>
        <v>FLSP</v>
      </c>
    </row>
    <row r="322">
      <c r="A322" s="8" t="str">
        <f>IFERROR(__xludf.DUMMYFUNCTION("""COMPUTED_VALUE"""),"MAX347")</f>
        <v>MAX347</v>
      </c>
      <c r="B322" s="8" t="str">
        <f>IFERROR(__xludf.DUMMYFUNCTION("""COMPUTED_VALUE"""),"RUN-FLMP_2021-12-31_RFR-043")</f>
        <v>RUN-FLMP_2021-12-31_RFR-043</v>
      </c>
      <c r="C322" s="10">
        <f>VLOOKUP(B322,'Run Reconcile'!A$2:B1579,2,FALSE)</f>
        <v>44561</v>
      </c>
      <c r="D322" s="14">
        <f>IFERROR(__xludf.DUMMYFUNCTION("""COMPUTED_VALUE"""),44561.0)</f>
        <v>44561</v>
      </c>
      <c r="E322" s="15">
        <f>IFERROR(__xludf.DUMMYFUNCTION("""COMPUTED_VALUE"""),0.7309143518505152)</f>
        <v>0.7309143519</v>
      </c>
      <c r="F322" s="8" t="str">
        <f>IFERROR(__xludf.DUMMYFUNCTION("""COMPUTED_VALUE"""),"Positive")</f>
        <v>Positive</v>
      </c>
      <c r="G322" s="16">
        <f>IFERROR(__xludf.DUMMYFUNCTION("""COMPUTED_VALUE"""),1.0)</f>
        <v>1</v>
      </c>
      <c r="H322" s="8" t="str">
        <f>IFERROR(__xludf.DUMMYFUNCTION("""COMPUTED_VALUE"""),"FLSP")</f>
        <v>FLSP</v>
      </c>
    </row>
    <row r="323">
      <c r="A323" s="8" t="str">
        <f>IFERROR(__xludf.DUMMYFUNCTION("""COMPUTED_VALUE"""),"MA63")</f>
        <v>MA63</v>
      </c>
      <c r="B323" s="8" t="str">
        <f>IFERROR(__xludf.DUMMYFUNCTION("""COMPUTED_VALUE"""),"RUN-FLMP_2022-01-01_RFR-044")</f>
        <v>RUN-FLMP_2022-01-01_RFR-044</v>
      </c>
      <c r="C323" s="10">
        <f>VLOOKUP(B323,'Run Reconcile'!A$2:B1579,2,FALSE)</f>
        <v>44562</v>
      </c>
      <c r="D323" s="14">
        <f>IFERROR(__xludf.DUMMYFUNCTION("""COMPUTED_VALUE"""),44562.0)</f>
        <v>44562</v>
      </c>
      <c r="E323" s="15">
        <f>IFERROR(__xludf.DUMMYFUNCTION("""COMPUTED_VALUE"""),0.523576388888614)</f>
        <v>0.5235763889</v>
      </c>
      <c r="F323" s="8" t="str">
        <f>IFERROR(__xludf.DUMMYFUNCTION("""COMPUTED_VALUE"""),"Positive")</f>
        <v>Positive</v>
      </c>
      <c r="G323" s="16">
        <f>IFERROR(__xludf.DUMMYFUNCTION("""COMPUTED_VALUE"""),1.0)</f>
        <v>1</v>
      </c>
      <c r="H323" s="8" t="str">
        <f>IFERROR(__xludf.DUMMYFUNCTION("""COMPUTED_VALUE"""),"FLSP")</f>
        <v>FLSP</v>
      </c>
    </row>
    <row r="324">
      <c r="A324" s="8" t="str">
        <f>IFERROR(__xludf.DUMMYFUNCTION("""COMPUTED_VALUE"""),"MA92")</f>
        <v>MA92</v>
      </c>
      <c r="B324" s="8" t="str">
        <f>IFERROR(__xludf.DUMMYFUNCTION("""COMPUTED_VALUE"""),"RUN-FLMP_2022-01-01_RFR-044")</f>
        <v>RUN-FLMP_2022-01-01_RFR-044</v>
      </c>
      <c r="C324" s="10">
        <f>VLOOKUP(B324,'Run Reconcile'!A$2:B1579,2,FALSE)</f>
        <v>44562</v>
      </c>
      <c r="D324" s="14">
        <f>IFERROR(__xludf.DUMMYFUNCTION("""COMPUTED_VALUE"""),44562.0)</f>
        <v>44562</v>
      </c>
      <c r="E324" s="15">
        <f>IFERROR(__xludf.DUMMYFUNCTION("""COMPUTED_VALUE"""),0.5242824074084638)</f>
        <v>0.5242824074</v>
      </c>
      <c r="F324" s="8" t="str">
        <f>IFERROR(__xludf.DUMMYFUNCTION("""COMPUTED_VALUE"""),"Positive")</f>
        <v>Positive</v>
      </c>
      <c r="G324" s="16">
        <f>IFERROR(__xludf.DUMMYFUNCTION("""COMPUTED_VALUE"""),1.0)</f>
        <v>1</v>
      </c>
      <c r="H324" s="8" t="str">
        <f>IFERROR(__xludf.DUMMYFUNCTION("""COMPUTED_VALUE"""),"FLSP")</f>
        <v>FLSP</v>
      </c>
    </row>
    <row r="325">
      <c r="A325" s="8" t="str">
        <f>IFERROR(__xludf.DUMMYFUNCTION("""COMPUTED_VALUE"""),"FLB6854")</f>
        <v>FLB6854</v>
      </c>
      <c r="B325" s="8" t="str">
        <f>IFERROR(__xludf.DUMMYFUNCTION("""COMPUTED_VALUE"""),"RUN-FLMP_2022-01-02_RFR-046")</f>
        <v>RUN-FLMP_2022-01-02_RFR-046</v>
      </c>
      <c r="C325" s="10">
        <f>VLOOKUP(B325,'Run Reconcile'!A$2:B1579,2,FALSE)</f>
        <v>44563</v>
      </c>
      <c r="D325" s="14">
        <f>IFERROR(__xludf.DUMMYFUNCTION("""COMPUTED_VALUE"""),44563.0)</f>
        <v>44563</v>
      </c>
      <c r="E325" s="15">
        <f>IFERROR(__xludf.DUMMYFUNCTION("""COMPUTED_VALUE"""),0.4171990740724141)</f>
        <v>0.4171990741</v>
      </c>
      <c r="F325" s="8" t="str">
        <f>IFERROR(__xludf.DUMMYFUNCTION("""COMPUTED_VALUE"""),"Negative")</f>
        <v>Negative</v>
      </c>
      <c r="G325" s="16">
        <f>IFERROR(__xludf.DUMMYFUNCTION("""COMPUTED_VALUE"""),1.0)</f>
        <v>1</v>
      </c>
      <c r="H325" s="8" t="str">
        <f>IFERROR(__xludf.DUMMYFUNCTION("""COMPUTED_VALUE"""),"CRLN")</f>
        <v>CRLN</v>
      </c>
    </row>
    <row r="326">
      <c r="A326" s="8" t="str">
        <f>IFERROR(__xludf.DUMMYFUNCTION("""COMPUTED_VALUE"""),"FLT1525")</f>
        <v>FLT1525</v>
      </c>
      <c r="B326" s="8" t="str">
        <f>IFERROR(__xludf.DUMMYFUNCTION("""COMPUTED_VALUE"""),"RUN-FLMP_2022-01-02_RFR-046")</f>
        <v>RUN-FLMP_2022-01-02_RFR-046</v>
      </c>
      <c r="C326" s="10">
        <f>VLOOKUP(B326,'Run Reconcile'!A$2:B1579,2,FALSE)</f>
        <v>44563</v>
      </c>
      <c r="D326" s="14">
        <f>IFERROR(__xludf.DUMMYFUNCTION("""COMPUTED_VALUE"""),44563.0)</f>
        <v>44563</v>
      </c>
      <c r="E326" s="15">
        <f>IFERROR(__xludf.DUMMYFUNCTION("""COMPUTED_VALUE"""),0.450648148147593)</f>
        <v>0.4506481481</v>
      </c>
      <c r="F326" s="8" t="str">
        <f>IFERROR(__xludf.DUMMYFUNCTION("""COMPUTED_VALUE"""),"Negative")</f>
        <v>Negative</v>
      </c>
      <c r="G326" s="16">
        <f>IFERROR(__xludf.DUMMYFUNCTION("""COMPUTED_VALUE"""),3.0)</f>
        <v>3</v>
      </c>
      <c r="H326" s="8" t="str">
        <f>IFERROR(__xludf.DUMMYFUNCTION("""COMPUTED_VALUE"""),"CRLN")</f>
        <v>CRLN</v>
      </c>
    </row>
    <row r="327">
      <c r="A327" s="8" t="str">
        <f>IFERROR(__xludf.DUMMYFUNCTION("""COMPUTED_VALUE"""),"FLB6863")</f>
        <v>FLB6863</v>
      </c>
      <c r="B327" s="8" t="str">
        <f>IFERROR(__xludf.DUMMYFUNCTION("""COMPUTED_VALUE"""),"RUN-FLMP_2022-01-02_RFR-046")</f>
        <v>RUN-FLMP_2022-01-02_RFR-046</v>
      </c>
      <c r="C327" s="10">
        <f>VLOOKUP(B327,'Run Reconcile'!A$2:B1579,2,FALSE)</f>
        <v>44563</v>
      </c>
      <c r="D327" s="14">
        <f>IFERROR(__xludf.DUMMYFUNCTION("""COMPUTED_VALUE"""),44563.0)</f>
        <v>44563</v>
      </c>
      <c r="E327" s="15">
        <f>IFERROR(__xludf.DUMMYFUNCTION("""COMPUTED_VALUE"""),0.4641435185185401)</f>
        <v>0.4641435185</v>
      </c>
      <c r="F327" s="8" t="str">
        <f>IFERROR(__xludf.DUMMYFUNCTION("""COMPUTED_VALUE"""),"Negative")</f>
        <v>Negative</v>
      </c>
      <c r="G327" s="16">
        <f>IFERROR(__xludf.DUMMYFUNCTION("""COMPUTED_VALUE"""),2.0)</f>
        <v>2</v>
      </c>
      <c r="H327" s="8" t="str">
        <f>IFERROR(__xludf.DUMMYFUNCTION("""COMPUTED_VALUE"""),"CRLN")</f>
        <v>CRLN</v>
      </c>
    </row>
    <row r="328">
      <c r="A328" s="8" t="str">
        <f>IFERROR(__xludf.DUMMYFUNCTION("""COMPUTED_VALUE"""),"FLB6834")</f>
        <v>FLB6834</v>
      </c>
      <c r="B328" s="8" t="str">
        <f>IFERROR(__xludf.DUMMYFUNCTION("""COMPUTED_VALUE"""),"RUN-FLMP_2022-01-02_RFR-046")</f>
        <v>RUN-FLMP_2022-01-02_RFR-046</v>
      </c>
      <c r="C328" s="10">
        <f>VLOOKUP(B328,'Run Reconcile'!A$2:B1579,2,FALSE)</f>
        <v>44563</v>
      </c>
      <c r="D328" s="14">
        <f>IFERROR(__xludf.DUMMYFUNCTION("""COMPUTED_VALUE"""),44563.0)</f>
        <v>44563</v>
      </c>
      <c r="E328" s="15">
        <f>IFERROR(__xludf.DUMMYFUNCTION("""COMPUTED_VALUE"""),0.47781250000116415)</f>
        <v>0.4778125</v>
      </c>
      <c r="F328" s="8" t="str">
        <f>IFERROR(__xludf.DUMMYFUNCTION("""COMPUTED_VALUE"""),"Negative")</f>
        <v>Negative</v>
      </c>
      <c r="G328" s="16">
        <f>IFERROR(__xludf.DUMMYFUNCTION("""COMPUTED_VALUE"""),3.0)</f>
        <v>3</v>
      </c>
      <c r="H328" s="8" t="str">
        <f>IFERROR(__xludf.DUMMYFUNCTION("""COMPUTED_VALUE"""),"CRLN")</f>
        <v>CRLN</v>
      </c>
    </row>
    <row r="329">
      <c r="A329" s="8" t="str">
        <f>IFERROR(__xludf.DUMMYFUNCTION("""COMPUTED_VALUE"""),"FLT1433")</f>
        <v>FLT1433</v>
      </c>
      <c r="B329" s="8" t="str">
        <f>IFERROR(__xludf.DUMMYFUNCTION("""COMPUTED_VALUE"""),"RUN-FLMP_2022-01-02_RFR-046")</f>
        <v>RUN-FLMP_2022-01-02_RFR-046</v>
      </c>
      <c r="C329" s="10">
        <f>VLOOKUP(B329,'Run Reconcile'!A$2:B1579,2,FALSE)</f>
        <v>44563</v>
      </c>
      <c r="D329" s="14">
        <f>IFERROR(__xludf.DUMMYFUNCTION("""COMPUTED_VALUE"""),44563.0)</f>
        <v>44563</v>
      </c>
      <c r="E329" s="15">
        <f>IFERROR(__xludf.DUMMYFUNCTION("""COMPUTED_VALUE"""),0.5042592592581059)</f>
        <v>0.5042592593</v>
      </c>
      <c r="F329" s="8" t="str">
        <f>IFERROR(__xludf.DUMMYFUNCTION("""COMPUTED_VALUE"""),"Positive")</f>
        <v>Positive</v>
      </c>
      <c r="G329" s="16">
        <f>IFERROR(__xludf.DUMMYFUNCTION("""COMPUTED_VALUE"""),4.0)</f>
        <v>4</v>
      </c>
      <c r="H329" s="8" t="str">
        <f>IFERROR(__xludf.DUMMYFUNCTION("""COMPUTED_VALUE"""),"CRLN")</f>
        <v>CRLN</v>
      </c>
    </row>
    <row r="330">
      <c r="A330" s="8" t="str">
        <f>IFERROR(__xludf.DUMMYFUNCTION("""COMPUTED_VALUE"""),"FLB6345")</f>
        <v>FLB6345</v>
      </c>
      <c r="B330" s="8" t="str">
        <f>IFERROR(__xludf.DUMMYFUNCTION("""COMPUTED_VALUE"""),"RUN-FLMP_2022-01-02_RFR-046")</f>
        <v>RUN-FLMP_2022-01-02_RFR-046</v>
      </c>
      <c r="C330" s="10">
        <f>VLOOKUP(B330,'Run Reconcile'!A$2:B1579,2,FALSE)</f>
        <v>44563</v>
      </c>
      <c r="D330" s="14">
        <f>IFERROR(__xludf.DUMMYFUNCTION("""COMPUTED_VALUE"""),44563.0)</f>
        <v>44563</v>
      </c>
      <c r="E330" s="15">
        <f>IFERROR(__xludf.DUMMYFUNCTION("""COMPUTED_VALUE"""),0.5467592592576693)</f>
        <v>0.5467592593</v>
      </c>
      <c r="F330" s="8" t="str">
        <f>IFERROR(__xludf.DUMMYFUNCTION("""COMPUTED_VALUE"""),"Negative")</f>
        <v>Negative</v>
      </c>
      <c r="G330" s="16">
        <f>IFERROR(__xludf.DUMMYFUNCTION("""COMPUTED_VALUE"""),3.0)</f>
        <v>3</v>
      </c>
      <c r="H330" s="8" t="str">
        <f>IFERROR(__xludf.DUMMYFUNCTION("""COMPUTED_VALUE"""),"CRLN")</f>
        <v>CRLN</v>
      </c>
    </row>
    <row r="331">
      <c r="A331" s="8" t="str">
        <f>IFERROR(__xludf.DUMMYFUNCTION("""COMPUTED_VALUE"""),"FLT11")</f>
        <v>FLT11</v>
      </c>
      <c r="B331" s="8" t="str">
        <f>IFERROR(__xludf.DUMMYFUNCTION("""COMPUTED_VALUE"""),"RUN-FLMP_2022-01-02_RFR-046")</f>
        <v>RUN-FLMP_2022-01-02_RFR-046</v>
      </c>
      <c r="C331" s="10">
        <f>VLOOKUP(B331,'Run Reconcile'!A$2:B1579,2,FALSE)</f>
        <v>44563</v>
      </c>
      <c r="D331" s="14">
        <f>IFERROR(__xludf.DUMMYFUNCTION("""COMPUTED_VALUE"""),44563.0)</f>
        <v>44563</v>
      </c>
      <c r="E331" s="15">
        <f>IFERROR(__xludf.DUMMYFUNCTION("""COMPUTED_VALUE"""),0.5510416666656965)</f>
        <v>0.5510416667</v>
      </c>
      <c r="F331" s="8" t="str">
        <f>IFERROR(__xludf.DUMMYFUNCTION("""COMPUTED_VALUE"""),"Negative")</f>
        <v>Negative</v>
      </c>
      <c r="G331" s="16">
        <f>IFERROR(__xludf.DUMMYFUNCTION("""COMPUTED_VALUE"""),3.0)</f>
        <v>3</v>
      </c>
      <c r="H331" s="8" t="str">
        <f>IFERROR(__xludf.DUMMYFUNCTION("""COMPUTED_VALUE"""),"CRLN")</f>
        <v>CRLN</v>
      </c>
    </row>
    <row r="332">
      <c r="A332" s="8" t="str">
        <f>IFERROR(__xludf.DUMMYFUNCTION("""COMPUTED_VALUE"""),"FLB6845")</f>
        <v>FLB6845</v>
      </c>
      <c r="B332" s="8" t="str">
        <f>IFERROR(__xludf.DUMMYFUNCTION("""COMPUTED_VALUE"""),"RUN-FLMP_2022-01-02_RFR-046")</f>
        <v>RUN-FLMP_2022-01-02_RFR-046</v>
      </c>
      <c r="C332" s="10">
        <f>VLOOKUP(B332,'Run Reconcile'!A$2:B1579,2,FALSE)</f>
        <v>44563</v>
      </c>
      <c r="D332" s="14">
        <f>IFERROR(__xludf.DUMMYFUNCTION("""COMPUTED_VALUE"""),44563.0)</f>
        <v>44563</v>
      </c>
      <c r="E332" s="15">
        <f>IFERROR(__xludf.DUMMYFUNCTION("""COMPUTED_VALUE"""),0.6414004629623378)</f>
        <v>0.641400463</v>
      </c>
      <c r="F332" s="8" t="str">
        <f>IFERROR(__xludf.DUMMYFUNCTION("""COMPUTED_VALUE"""),"Positive")</f>
        <v>Positive</v>
      </c>
      <c r="G332" s="16">
        <f>IFERROR(__xludf.DUMMYFUNCTION("""COMPUTED_VALUE"""),3.0)</f>
        <v>3</v>
      </c>
      <c r="H332" s="8" t="str">
        <f>IFERROR(__xludf.DUMMYFUNCTION("""COMPUTED_VALUE"""),"CRLN")</f>
        <v>CRLN</v>
      </c>
    </row>
    <row r="333">
      <c r="A333" s="8" t="str">
        <f>IFERROR(__xludf.DUMMYFUNCTION("""COMPUTED_VALUE"""),"FLB6875")</f>
        <v>FLB6875</v>
      </c>
      <c r="B333" s="8" t="str">
        <f>IFERROR(__xludf.DUMMYFUNCTION("""COMPUTED_VALUE"""),"RUN-FLMP_2022-01-02_RFR-046")</f>
        <v>RUN-FLMP_2022-01-02_RFR-046</v>
      </c>
      <c r="C333" s="10">
        <f>VLOOKUP(B333,'Run Reconcile'!A$2:B1579,2,FALSE)</f>
        <v>44563</v>
      </c>
      <c r="D333" s="14">
        <f>IFERROR(__xludf.DUMMYFUNCTION("""COMPUTED_VALUE"""),44563.0)</f>
        <v>44563</v>
      </c>
      <c r="E333" s="15">
        <f>IFERROR(__xludf.DUMMYFUNCTION("""COMPUTED_VALUE"""),0.6874189814807323)</f>
        <v>0.6874189815</v>
      </c>
      <c r="F333" s="8" t="str">
        <f>IFERROR(__xludf.DUMMYFUNCTION("""COMPUTED_VALUE"""),"Negative")</f>
        <v>Negative</v>
      </c>
      <c r="G333" s="16">
        <f>IFERROR(__xludf.DUMMYFUNCTION("""COMPUTED_VALUE"""),3.0)</f>
        <v>3</v>
      </c>
      <c r="H333" s="8" t="str">
        <f>IFERROR(__xludf.DUMMYFUNCTION("""COMPUTED_VALUE"""),"CRLN")</f>
        <v>CRLN</v>
      </c>
    </row>
    <row r="334">
      <c r="A334" s="8" t="str">
        <f>IFERROR(__xludf.DUMMYFUNCTION("""COMPUTED_VALUE"""),"FLB6861")</f>
        <v>FLB6861</v>
      </c>
      <c r="B334" s="8" t="str">
        <f>IFERROR(__xludf.DUMMYFUNCTION("""COMPUTED_VALUE"""),"RUN-FLMP_2022-01-02_RFR-046")</f>
        <v>RUN-FLMP_2022-01-02_RFR-046</v>
      </c>
      <c r="C334" s="10">
        <f>VLOOKUP(B334,'Run Reconcile'!A$2:B1579,2,FALSE)</f>
        <v>44563</v>
      </c>
      <c r="D334" s="14">
        <f>IFERROR(__xludf.DUMMYFUNCTION("""COMPUTED_VALUE"""),44563.0)</f>
        <v>44563</v>
      </c>
      <c r="E334" s="15">
        <f>IFERROR(__xludf.DUMMYFUNCTION("""COMPUTED_VALUE"""),0.6881018518506608)</f>
        <v>0.6881018519</v>
      </c>
      <c r="F334" s="8" t="str">
        <f>IFERROR(__xludf.DUMMYFUNCTION("""COMPUTED_VALUE"""),"Negative")</f>
        <v>Negative</v>
      </c>
      <c r="G334" s="16">
        <f>IFERROR(__xludf.DUMMYFUNCTION("""COMPUTED_VALUE"""),2.0)</f>
        <v>2</v>
      </c>
      <c r="H334" s="8" t="str">
        <f>IFERROR(__xludf.DUMMYFUNCTION("""COMPUTED_VALUE"""),"CRLN")</f>
        <v>CRLN</v>
      </c>
    </row>
    <row r="335">
      <c r="A335" s="8" t="str">
        <f>IFERROR(__xludf.DUMMYFUNCTION("""COMPUTED_VALUE"""),"FL11022")</f>
        <v>FL11022</v>
      </c>
      <c r="B335" s="8" t="str">
        <f>IFERROR(__xludf.DUMMYFUNCTION("""COMPUTED_VALUE"""),"RUN-FLMP_2022-01-02_RFR-046")</f>
        <v>RUN-FLMP_2022-01-02_RFR-046</v>
      </c>
      <c r="C335" s="10">
        <f>VLOOKUP(B335,'Run Reconcile'!A$2:B1579,2,FALSE)</f>
        <v>44563</v>
      </c>
      <c r="D335" s="14">
        <f>IFERROR(__xludf.DUMMYFUNCTION("""COMPUTED_VALUE"""),44563.0)</f>
        <v>44563</v>
      </c>
      <c r="E335" s="15">
        <f>IFERROR(__xludf.DUMMYFUNCTION("""COMPUTED_VALUE"""),0.7153587962966412)</f>
        <v>0.7153587963</v>
      </c>
      <c r="F335" s="8" t="str">
        <f>IFERROR(__xludf.DUMMYFUNCTION("""COMPUTED_VALUE"""),"Negative")</f>
        <v>Negative</v>
      </c>
      <c r="G335" s="16">
        <f>IFERROR(__xludf.DUMMYFUNCTION("""COMPUTED_VALUE"""),4.0)</f>
        <v>4</v>
      </c>
      <c r="H335" s="8" t="str">
        <f>IFERROR(__xludf.DUMMYFUNCTION("""COMPUTED_VALUE"""),"CRLN")</f>
        <v>CRLN</v>
      </c>
    </row>
    <row r="336">
      <c r="A336" s="8" t="str">
        <f>IFERROR(__xludf.DUMMYFUNCTION("""COMPUTED_VALUE"""),"FLE264")</f>
        <v>FLE264</v>
      </c>
      <c r="B336" s="8" t="str">
        <f>IFERROR(__xludf.DUMMYFUNCTION("""COMPUTED_VALUE"""),"RUN-FLMP_2022-01-02_RFR-046")</f>
        <v>RUN-FLMP_2022-01-02_RFR-046</v>
      </c>
      <c r="C336" s="10">
        <f>VLOOKUP(B336,'Run Reconcile'!A$2:B1579,2,FALSE)</f>
        <v>44563</v>
      </c>
      <c r="D336" s="14">
        <f>IFERROR(__xludf.DUMMYFUNCTION("""COMPUTED_VALUE"""),44563.0)</f>
        <v>44563</v>
      </c>
      <c r="E336" s="15">
        <f>IFERROR(__xludf.DUMMYFUNCTION("""COMPUTED_VALUE"""),0.7852430555540195)</f>
        <v>0.7852430556</v>
      </c>
      <c r="F336" s="8" t="str">
        <f>IFERROR(__xludf.DUMMYFUNCTION("""COMPUTED_VALUE"""),"Negative")</f>
        <v>Negative</v>
      </c>
      <c r="G336" s="16">
        <f>IFERROR(__xludf.DUMMYFUNCTION("""COMPUTED_VALUE"""),3.0)</f>
        <v>3</v>
      </c>
      <c r="H336" s="8" t="str">
        <f>IFERROR(__xludf.DUMMYFUNCTION("""COMPUTED_VALUE"""),"CRLN")</f>
        <v>CRLN</v>
      </c>
    </row>
    <row r="337">
      <c r="A337" s="8" t="str">
        <f>IFERROR(__xludf.DUMMYFUNCTION("""COMPUTED_VALUE"""),"FLT1570")</f>
        <v>FLT1570</v>
      </c>
      <c r="B337" s="8" t="str">
        <f>IFERROR(__xludf.DUMMYFUNCTION("""COMPUTED_VALUE"""),"RUN-FLMP_2022-01-03_RFR-047")</f>
        <v>RUN-FLMP_2022-01-03_RFR-047</v>
      </c>
      <c r="C337" s="10">
        <f>VLOOKUP(B337,'Run Reconcile'!A$2:B1579,2,FALSE)</f>
        <v>44564</v>
      </c>
      <c r="D337" s="14">
        <f>IFERROR(__xludf.DUMMYFUNCTION("""COMPUTED_VALUE"""),44564.0)</f>
        <v>44564</v>
      </c>
      <c r="E337" s="15">
        <f>IFERROR(__xludf.DUMMYFUNCTION("""COMPUTED_VALUE"""),0.3034606481487572)</f>
        <v>0.3034606481</v>
      </c>
      <c r="F337" s="8" t="str">
        <f>IFERROR(__xludf.DUMMYFUNCTION("""COMPUTED_VALUE"""),"Negative")</f>
        <v>Negative</v>
      </c>
      <c r="G337" s="16">
        <f>IFERROR(__xludf.DUMMYFUNCTION("""COMPUTED_VALUE"""),1.0)</f>
        <v>1</v>
      </c>
      <c r="H337" s="8" t="str">
        <f>IFERROR(__xludf.DUMMYFUNCTION("""COMPUTED_VALUE"""),"CRLN")</f>
        <v>CRLN</v>
      </c>
    </row>
    <row r="338">
      <c r="A338" s="8" t="str">
        <f>IFERROR(__xludf.DUMMYFUNCTION("""COMPUTED_VALUE"""),"FLT14")</f>
        <v>FLT14</v>
      </c>
      <c r="B338" s="8" t="str">
        <f>IFERROR(__xludf.DUMMYFUNCTION("""COMPUTED_VALUE"""),"RUN-FLMP_2022-01-03_RFR-047")</f>
        <v>RUN-FLMP_2022-01-03_RFR-047</v>
      </c>
      <c r="C338" s="10">
        <f>VLOOKUP(B338,'Run Reconcile'!A$2:B1579,2,FALSE)</f>
        <v>44564</v>
      </c>
      <c r="D338" s="14">
        <f>IFERROR(__xludf.DUMMYFUNCTION("""COMPUTED_VALUE"""),44564.0)</f>
        <v>44564</v>
      </c>
      <c r="E338" s="15">
        <f>IFERROR(__xludf.DUMMYFUNCTION("""COMPUTED_VALUE"""),0.30405092592627625)</f>
        <v>0.3040509259</v>
      </c>
      <c r="F338" s="8" t="str">
        <f>IFERROR(__xludf.DUMMYFUNCTION("""COMPUTED_VALUE"""),"Negative")</f>
        <v>Negative</v>
      </c>
      <c r="G338" s="16">
        <f>IFERROR(__xludf.DUMMYFUNCTION("""COMPUTED_VALUE"""),1.0)</f>
        <v>1</v>
      </c>
      <c r="H338" s="8" t="str">
        <f>IFERROR(__xludf.DUMMYFUNCTION("""COMPUTED_VALUE"""),"CRLN")</f>
        <v>CRLN</v>
      </c>
    </row>
    <row r="339">
      <c r="A339" s="8" t="str">
        <f>IFERROR(__xludf.DUMMYFUNCTION("""COMPUTED_VALUE"""),"FL11017")</f>
        <v>FL11017</v>
      </c>
      <c r="B339" s="8" t="str">
        <f>IFERROR(__xludf.DUMMYFUNCTION("""COMPUTED_VALUE"""),"RUN-FLMP_2022-01-03_RFR-047")</f>
        <v>RUN-FLMP_2022-01-03_RFR-047</v>
      </c>
      <c r="C339" s="10">
        <f>VLOOKUP(B339,'Run Reconcile'!A$2:B1579,2,FALSE)</f>
        <v>44564</v>
      </c>
      <c r="D339" s="14">
        <f>IFERROR(__xludf.DUMMYFUNCTION("""COMPUTED_VALUE"""),44564.0)</f>
        <v>44564</v>
      </c>
      <c r="E339" s="15">
        <f>IFERROR(__xludf.DUMMYFUNCTION("""COMPUTED_VALUE"""),0.304583333334449)</f>
        <v>0.3045833333</v>
      </c>
      <c r="F339" s="8" t="str">
        <f>IFERROR(__xludf.DUMMYFUNCTION("""COMPUTED_VALUE"""),"Positive")</f>
        <v>Positive</v>
      </c>
      <c r="G339" s="16">
        <f>IFERROR(__xludf.DUMMYFUNCTION("""COMPUTED_VALUE"""),1.0)</f>
        <v>1</v>
      </c>
      <c r="H339" s="8" t="str">
        <f>IFERROR(__xludf.DUMMYFUNCTION("""COMPUTED_VALUE"""),"CRLN")</f>
        <v>CRLN</v>
      </c>
    </row>
    <row r="340">
      <c r="A340" s="8" t="str">
        <f>IFERROR(__xludf.DUMMYFUNCTION("""COMPUTED_VALUE"""),"FLT1128")</f>
        <v>FLT1128</v>
      </c>
      <c r="B340" s="8" t="str">
        <f>IFERROR(__xludf.DUMMYFUNCTION("""COMPUTED_VALUE"""),"RUN-FLMP_2022-01-03_RFR-047")</f>
        <v>RUN-FLMP_2022-01-03_RFR-047</v>
      </c>
      <c r="C340" s="10">
        <f>VLOOKUP(B340,'Run Reconcile'!A$2:B1579,2,FALSE)</f>
        <v>44564</v>
      </c>
      <c r="D340" s="14">
        <f>IFERROR(__xludf.DUMMYFUNCTION("""COMPUTED_VALUE"""),44564.0)</f>
        <v>44564</v>
      </c>
      <c r="E340" s="15">
        <f>IFERROR(__xludf.DUMMYFUNCTION("""COMPUTED_VALUE"""),0.3050231481465744)</f>
        <v>0.3050231481</v>
      </c>
      <c r="F340" s="8" t="str">
        <f>IFERROR(__xludf.DUMMYFUNCTION("""COMPUTED_VALUE"""),"Positive")</f>
        <v>Positive</v>
      </c>
      <c r="G340" s="16">
        <f>IFERROR(__xludf.DUMMYFUNCTION("""COMPUTED_VALUE"""),1.0)</f>
        <v>1</v>
      </c>
      <c r="H340" s="8" t="str">
        <f>IFERROR(__xludf.DUMMYFUNCTION("""COMPUTED_VALUE"""),"CRLN")</f>
        <v>CRLN</v>
      </c>
    </row>
    <row r="341">
      <c r="A341" s="8" t="str">
        <f>IFERROR(__xludf.DUMMYFUNCTION("""COMPUTED_VALUE"""),"FLB6342")</f>
        <v>FLB6342</v>
      </c>
      <c r="B341" s="8" t="str">
        <f>IFERROR(__xludf.DUMMYFUNCTION("""COMPUTED_VALUE"""),"RUN-FLMP_2022-01-03_RFR-047")</f>
        <v>RUN-FLMP_2022-01-03_RFR-047</v>
      </c>
      <c r="C341" s="10">
        <f>VLOOKUP(B341,'Run Reconcile'!A$2:B1579,2,FALSE)</f>
        <v>44564</v>
      </c>
      <c r="D341" s="14">
        <f>IFERROR(__xludf.DUMMYFUNCTION("""COMPUTED_VALUE"""),44564.0)</f>
        <v>44564</v>
      </c>
      <c r="E341" s="15">
        <f>IFERROR(__xludf.DUMMYFUNCTION("""COMPUTED_VALUE"""),0.3408796296280343)</f>
        <v>0.3408796296</v>
      </c>
      <c r="F341" s="8" t="str">
        <f>IFERROR(__xludf.DUMMYFUNCTION("""COMPUTED_VALUE"""),"Negative")</f>
        <v>Negative</v>
      </c>
      <c r="G341" s="16">
        <f>IFERROR(__xludf.DUMMYFUNCTION("""COMPUTED_VALUE"""),4.0)</f>
        <v>4</v>
      </c>
      <c r="H341" s="8" t="str">
        <f>IFERROR(__xludf.DUMMYFUNCTION("""COMPUTED_VALUE"""),"CRLN")</f>
        <v>CRLN</v>
      </c>
    </row>
    <row r="342">
      <c r="A342" s="8" t="str">
        <f>IFERROR(__xludf.DUMMYFUNCTION("""COMPUTED_VALUE"""),"FL11024")</f>
        <v>FL11024</v>
      </c>
      <c r="B342" s="8" t="str">
        <f>IFERROR(__xludf.DUMMYFUNCTION("""COMPUTED_VALUE"""),"RUN-FLMP_2022-01-03_RFR-047")</f>
        <v>RUN-FLMP_2022-01-03_RFR-047</v>
      </c>
      <c r="C342" s="10">
        <f>VLOOKUP(B342,'Run Reconcile'!A$2:B1579,2,FALSE)</f>
        <v>44564</v>
      </c>
      <c r="D342" s="14">
        <f>IFERROR(__xludf.DUMMYFUNCTION("""COMPUTED_VALUE"""),44564.0)</f>
        <v>44564</v>
      </c>
      <c r="E342" s="15">
        <f>IFERROR(__xludf.DUMMYFUNCTION("""COMPUTED_VALUE"""),0.35692129629751435)</f>
        <v>0.3569212963</v>
      </c>
      <c r="F342" s="8" t="str">
        <f>IFERROR(__xludf.DUMMYFUNCTION("""COMPUTED_VALUE"""),"Negative")</f>
        <v>Negative</v>
      </c>
      <c r="G342" s="16">
        <f>IFERROR(__xludf.DUMMYFUNCTION("""COMPUTED_VALUE"""),2.0)</f>
        <v>2</v>
      </c>
      <c r="H342" s="8" t="str">
        <f>IFERROR(__xludf.DUMMYFUNCTION("""COMPUTED_VALUE"""),"CRLN")</f>
        <v>CRLN</v>
      </c>
    </row>
    <row r="343">
      <c r="A343" s="8" t="str">
        <f>IFERROR(__xludf.DUMMYFUNCTION("""COMPUTED_VALUE"""),"FL11014")</f>
        <v>FL11014</v>
      </c>
      <c r="B343" s="8" t="str">
        <f>IFERROR(__xludf.DUMMYFUNCTION("""COMPUTED_VALUE"""),"RUN-FLMP_2022-01-03_APS-078")</f>
        <v>RUN-FLMP_2022-01-03_APS-078</v>
      </c>
      <c r="C343" s="10">
        <f>VLOOKUP(B343,'Run Reconcile'!A$2:B1579,2,FALSE)</f>
        <v>44564</v>
      </c>
      <c r="D343" s="14">
        <f>IFERROR(__xludf.DUMMYFUNCTION("""COMPUTED_VALUE"""),44564.0)</f>
        <v>44564</v>
      </c>
      <c r="E343" s="15">
        <f>IFERROR(__xludf.DUMMYFUNCTION("""COMPUTED_VALUE"""),0.359201388888323)</f>
        <v>0.3592013889</v>
      </c>
      <c r="F343" s="8" t="str">
        <f>IFERROR(__xludf.DUMMYFUNCTION("""COMPUTED_VALUE"""),"Negative")</f>
        <v>Negative</v>
      </c>
      <c r="G343" s="16">
        <f>IFERROR(__xludf.DUMMYFUNCTION("""COMPUTED_VALUE"""),3.0)</f>
        <v>3</v>
      </c>
      <c r="H343" s="8" t="str">
        <f>IFERROR(__xludf.DUMMYFUNCTION("""COMPUTED_VALUE"""),"CRLN")</f>
        <v>CRLN</v>
      </c>
    </row>
    <row r="344">
      <c r="A344" s="8" t="str">
        <f>IFERROR(__xludf.DUMMYFUNCTION("""COMPUTED_VALUE"""),"FLB7370")</f>
        <v>FLB7370</v>
      </c>
      <c r="B344" s="8" t="str">
        <f>IFERROR(__xludf.DUMMYFUNCTION("""COMPUTED_VALUE"""),"RUN-FLMP_2022-01-03_APS-078")</f>
        <v>RUN-FLMP_2022-01-03_APS-078</v>
      </c>
      <c r="C344" s="10">
        <f>VLOOKUP(B344,'Run Reconcile'!A$2:B1579,2,FALSE)</f>
        <v>44564</v>
      </c>
      <c r="D344" s="14">
        <f>IFERROR(__xludf.DUMMYFUNCTION("""COMPUTED_VALUE"""),44564.0)</f>
        <v>44564</v>
      </c>
      <c r="E344" s="15">
        <f>IFERROR(__xludf.DUMMYFUNCTION("""COMPUTED_VALUE"""),0.3675462962964957)</f>
        <v>0.3675462963</v>
      </c>
      <c r="F344" s="8" t="str">
        <f>IFERROR(__xludf.DUMMYFUNCTION("""COMPUTED_VALUE"""),"Negative")</f>
        <v>Negative</v>
      </c>
      <c r="G344" s="16">
        <f>IFERROR(__xludf.DUMMYFUNCTION("""COMPUTED_VALUE"""),1.0)</f>
        <v>1</v>
      </c>
      <c r="H344" s="8" t="str">
        <f>IFERROR(__xludf.DUMMYFUNCTION("""COMPUTED_VALUE"""),"CRLN")</f>
        <v>CRLN</v>
      </c>
    </row>
    <row r="345">
      <c r="A345" s="8" t="str">
        <f>IFERROR(__xludf.DUMMYFUNCTION("""COMPUTED_VALUE"""),"FLB7379")</f>
        <v>FLB7379</v>
      </c>
      <c r="B345" s="8" t="str">
        <f>IFERROR(__xludf.DUMMYFUNCTION("""COMPUTED_VALUE"""),"RUN-FLMP_2022-01-03_APS-078")</f>
        <v>RUN-FLMP_2022-01-03_APS-078</v>
      </c>
      <c r="C345" s="10">
        <f>VLOOKUP(B345,'Run Reconcile'!A$2:B1579,2,FALSE)</f>
        <v>44564</v>
      </c>
      <c r="D345" s="14">
        <f>IFERROR(__xludf.DUMMYFUNCTION("""COMPUTED_VALUE"""),44564.0)</f>
        <v>44564</v>
      </c>
      <c r="E345" s="15">
        <f>IFERROR(__xludf.DUMMYFUNCTION("""COMPUTED_VALUE"""),0.37585648148160544)</f>
        <v>0.3758564815</v>
      </c>
      <c r="F345" s="8" t="str">
        <f>IFERROR(__xludf.DUMMYFUNCTION("""COMPUTED_VALUE"""),"Negative")</f>
        <v>Negative</v>
      </c>
      <c r="G345" s="16">
        <f>IFERROR(__xludf.DUMMYFUNCTION("""COMPUTED_VALUE"""),1.0)</f>
        <v>1</v>
      </c>
      <c r="H345" s="8" t="str">
        <f>IFERROR(__xludf.DUMMYFUNCTION("""COMPUTED_VALUE"""),"FLSP")</f>
        <v>FLSP</v>
      </c>
    </row>
    <row r="346">
      <c r="A346" s="8" t="str">
        <f>IFERROR(__xludf.DUMMYFUNCTION("""COMPUTED_VALUE"""),"FLT113")</f>
        <v>FLT113</v>
      </c>
      <c r="B346" s="8" t="str">
        <f>IFERROR(__xludf.DUMMYFUNCTION("""COMPUTED_VALUE"""),"RUN-FLMP_2022-01-03_APS-078")</f>
        <v>RUN-FLMP_2022-01-03_APS-078</v>
      </c>
      <c r="C346" s="10">
        <f>VLOOKUP(B346,'Run Reconcile'!A$2:B1579,2,FALSE)</f>
        <v>44564</v>
      </c>
      <c r="D346" s="14">
        <f>IFERROR(__xludf.DUMMYFUNCTION("""COMPUTED_VALUE"""),44564.0)</f>
        <v>44564</v>
      </c>
      <c r="E346" s="15">
        <f>IFERROR(__xludf.DUMMYFUNCTION("""COMPUTED_VALUE"""),0.400844907406281)</f>
        <v>0.4008449074</v>
      </c>
      <c r="F346" s="8" t="str">
        <f>IFERROR(__xludf.DUMMYFUNCTION("""COMPUTED_VALUE"""),"Negative")</f>
        <v>Negative</v>
      </c>
      <c r="G346" s="16">
        <f>IFERROR(__xludf.DUMMYFUNCTION("""COMPUTED_VALUE"""),1.0)</f>
        <v>1</v>
      </c>
      <c r="H346" s="8" t="str">
        <f>IFERROR(__xludf.DUMMYFUNCTION("""COMPUTED_VALUE"""),"CRLN")</f>
        <v>CRLN</v>
      </c>
    </row>
    <row r="347">
      <c r="A347" s="8" t="str">
        <f>IFERROR(__xludf.DUMMYFUNCTION("""COMPUTED_VALUE"""),"FLB6876")</f>
        <v>FLB6876</v>
      </c>
      <c r="B347" s="8" t="str">
        <f>IFERROR(__xludf.DUMMYFUNCTION("""COMPUTED_VALUE"""),"RUN-FLMP_2022-01-04_RFR-049")</f>
        <v>RUN-FLMP_2022-01-04_RFR-049</v>
      </c>
      <c r="C347" s="10">
        <f>VLOOKUP(B347,'Run Reconcile'!A$2:B1579,2,FALSE)</f>
        <v>44565</v>
      </c>
      <c r="D347" s="14">
        <f>IFERROR(__xludf.DUMMYFUNCTION("""COMPUTED_VALUE"""),44564.0)</f>
        <v>44564</v>
      </c>
      <c r="E347" s="15">
        <f>IFERROR(__xludf.DUMMYFUNCTION("""COMPUTED_VALUE"""),0.7540509259270038)</f>
        <v>0.7540509259</v>
      </c>
      <c r="F347" s="8" t="str">
        <f>IFERROR(__xludf.DUMMYFUNCTION("""COMPUTED_VALUE"""),"Negative")</f>
        <v>Negative</v>
      </c>
      <c r="G347" s="16">
        <f>IFERROR(__xludf.DUMMYFUNCTION("""COMPUTED_VALUE"""),4.0)</f>
        <v>4</v>
      </c>
      <c r="H347" s="8" t="str">
        <f>IFERROR(__xludf.DUMMYFUNCTION("""COMPUTED_VALUE"""),"CRLN")</f>
        <v>CRLN</v>
      </c>
    </row>
    <row r="348">
      <c r="A348" s="8" t="str">
        <f>IFERROR(__xludf.DUMMYFUNCTION("""COMPUTED_VALUE"""),"FLB5848")</f>
        <v>FLB5848</v>
      </c>
      <c r="B348" s="8" t="str">
        <f>IFERROR(__xludf.DUMMYFUNCTION("""COMPUTED_VALUE"""),"RUN-FLMP_2022-01-04_RFR-049")</f>
        <v>RUN-FLMP_2022-01-04_RFR-049</v>
      </c>
      <c r="C348" s="10">
        <f>VLOOKUP(B348,'Run Reconcile'!A$2:B1579,2,FALSE)</f>
        <v>44565</v>
      </c>
      <c r="D348" s="14">
        <f>IFERROR(__xludf.DUMMYFUNCTION("""COMPUTED_VALUE"""),44564.0)</f>
        <v>44564</v>
      </c>
      <c r="E348" s="15">
        <f>IFERROR(__xludf.DUMMYFUNCTION("""COMPUTED_VALUE"""),0.7615972222229175)</f>
        <v>0.7615972222</v>
      </c>
      <c r="F348" s="8" t="str">
        <f>IFERROR(__xludf.DUMMYFUNCTION("""COMPUTED_VALUE"""),"Negative")</f>
        <v>Negative</v>
      </c>
      <c r="G348" s="16">
        <f>IFERROR(__xludf.DUMMYFUNCTION("""COMPUTED_VALUE"""),4.0)</f>
        <v>4</v>
      </c>
      <c r="H348" s="8" t="str">
        <f>IFERROR(__xludf.DUMMYFUNCTION("""COMPUTED_VALUE"""),"CRLN")</f>
        <v>CRLN</v>
      </c>
    </row>
    <row r="349">
      <c r="A349" s="8" t="str">
        <f>IFERROR(__xludf.DUMMYFUNCTION("""COMPUTED_VALUE"""),"FLT1519")</f>
        <v>FLT1519</v>
      </c>
      <c r="B349" s="8" t="str">
        <f>IFERROR(__xludf.DUMMYFUNCTION("""COMPUTED_VALUE"""),"RUN-FLMP_2022-01-04_RFR-049")</f>
        <v>RUN-FLMP_2022-01-04_RFR-049</v>
      </c>
      <c r="C349" s="10">
        <f>VLOOKUP(B349,'Run Reconcile'!A$2:B1579,2,FALSE)</f>
        <v>44565</v>
      </c>
      <c r="D349" s="14">
        <f>IFERROR(__xludf.DUMMYFUNCTION("""COMPUTED_VALUE"""),44565.0)</f>
        <v>44565</v>
      </c>
      <c r="E349" s="15">
        <f>IFERROR(__xludf.DUMMYFUNCTION("""COMPUTED_VALUE"""),0.30306712962919846)</f>
        <v>0.3030671296</v>
      </c>
      <c r="F349" s="8" t="str">
        <f>IFERROR(__xludf.DUMMYFUNCTION("""COMPUTED_VALUE"""),"Negative")</f>
        <v>Negative</v>
      </c>
      <c r="G349" s="16">
        <f>IFERROR(__xludf.DUMMYFUNCTION("""COMPUTED_VALUE"""),2.0)</f>
        <v>2</v>
      </c>
      <c r="H349" s="8" t="str">
        <f>IFERROR(__xludf.DUMMYFUNCTION("""COMPUTED_VALUE"""),"CRLN")</f>
        <v>CRLN</v>
      </c>
    </row>
    <row r="350">
      <c r="A350" s="8" t="str">
        <f>IFERROR(__xludf.DUMMYFUNCTION("""COMPUTED_VALUE"""),"FLB7360")</f>
        <v>FLB7360</v>
      </c>
      <c r="B350" s="8" t="str">
        <f>IFERROR(__xludf.DUMMYFUNCTION("""COMPUTED_VALUE"""),"RUN-FLMP_2022-01-04_RFR-049")</f>
        <v>RUN-FLMP_2022-01-04_RFR-049</v>
      </c>
      <c r="C350" s="10">
        <f>VLOOKUP(B350,'Run Reconcile'!A$2:B1579,2,FALSE)</f>
        <v>44565</v>
      </c>
      <c r="D350" s="14">
        <f>IFERROR(__xludf.DUMMYFUNCTION("""COMPUTED_VALUE"""),44565.0)</f>
        <v>44565</v>
      </c>
      <c r="E350" s="15">
        <f>IFERROR(__xludf.DUMMYFUNCTION("""COMPUTED_VALUE"""),0.3304166666675883)</f>
        <v>0.3304166667</v>
      </c>
      <c r="F350" s="8" t="str">
        <f>IFERROR(__xludf.DUMMYFUNCTION("""COMPUTED_VALUE"""),"Negative")</f>
        <v>Negative</v>
      </c>
      <c r="G350" s="16">
        <f>IFERROR(__xludf.DUMMYFUNCTION("""COMPUTED_VALUE"""),3.0)</f>
        <v>3</v>
      </c>
      <c r="H350" s="8" t="str">
        <f>IFERROR(__xludf.DUMMYFUNCTION("""COMPUTED_VALUE"""),"CRLN")</f>
        <v>CRLN</v>
      </c>
    </row>
    <row r="351">
      <c r="A351" s="8" t="str">
        <f>IFERROR(__xludf.DUMMYFUNCTION("""COMPUTED_VALUE"""),"FLT1516")</f>
        <v>FLT1516</v>
      </c>
      <c r="B351" s="8" t="str">
        <f>IFERROR(__xludf.DUMMYFUNCTION("""COMPUTED_VALUE"""),"RUN-FLMP_2022-01-04_RFR-049")</f>
        <v>RUN-FLMP_2022-01-04_RFR-049</v>
      </c>
      <c r="C351" s="10">
        <f>VLOOKUP(B351,'Run Reconcile'!A$2:B1579,2,FALSE)</f>
        <v>44565</v>
      </c>
      <c r="D351" s="14">
        <f>IFERROR(__xludf.DUMMYFUNCTION("""COMPUTED_VALUE"""),44565.0)</f>
        <v>44565</v>
      </c>
      <c r="E351" s="15">
        <f>IFERROR(__xludf.DUMMYFUNCTION("""COMPUTED_VALUE"""),0.35462962962992606)</f>
        <v>0.3546296296</v>
      </c>
      <c r="F351" s="8" t="str">
        <f>IFERROR(__xludf.DUMMYFUNCTION("""COMPUTED_VALUE"""),"Negative")</f>
        <v>Negative</v>
      </c>
      <c r="G351" s="16">
        <f>IFERROR(__xludf.DUMMYFUNCTION("""COMPUTED_VALUE"""),4.0)</f>
        <v>4</v>
      </c>
      <c r="H351" s="8" t="str">
        <f>IFERROR(__xludf.DUMMYFUNCTION("""COMPUTED_VALUE"""),"CRLN")</f>
        <v>CRLN</v>
      </c>
    </row>
    <row r="352">
      <c r="A352" s="8" t="str">
        <f>IFERROR(__xludf.DUMMYFUNCTION("""COMPUTED_VALUE"""),"FLT133")</f>
        <v>FLT133</v>
      </c>
      <c r="B352" s="8" t="str">
        <f>IFERROR(__xludf.DUMMYFUNCTION("""COMPUTED_VALUE"""),"RUN-FLMP_2022-01-04_RFR-049")</f>
        <v>RUN-FLMP_2022-01-04_RFR-049</v>
      </c>
      <c r="C352" s="10">
        <f>VLOOKUP(B352,'Run Reconcile'!A$2:B1579,2,FALSE)</f>
        <v>44565</v>
      </c>
      <c r="D352" s="14">
        <f>IFERROR(__xludf.DUMMYFUNCTION("""COMPUTED_VALUE"""),44565.0)</f>
        <v>44565</v>
      </c>
      <c r="E352" s="15">
        <f>IFERROR(__xludf.DUMMYFUNCTION("""COMPUTED_VALUE"""),0.3578587962947495)</f>
        <v>0.3578587963</v>
      </c>
      <c r="F352" s="8" t="str">
        <f>IFERROR(__xludf.DUMMYFUNCTION("""COMPUTED_VALUE"""),"Negative")</f>
        <v>Negative</v>
      </c>
      <c r="G352" s="16">
        <f>IFERROR(__xludf.DUMMYFUNCTION("""COMPUTED_VALUE"""),2.0)</f>
        <v>2</v>
      </c>
      <c r="H352" s="8" t="str">
        <f>IFERROR(__xludf.DUMMYFUNCTION("""COMPUTED_VALUE"""),"CRLN")</f>
        <v>CRLN</v>
      </c>
    </row>
    <row r="353">
      <c r="A353" s="8" t="str">
        <f>IFERROR(__xludf.DUMMYFUNCTION("""COMPUTED_VALUE"""),"FLB7284")</f>
        <v>FLB7284</v>
      </c>
      <c r="B353" s="8" t="str">
        <f>IFERROR(__xludf.DUMMYFUNCTION("""COMPUTED_VALUE"""),"RUN-FLMP_2022-01-04_RFR-049")</f>
        <v>RUN-FLMP_2022-01-04_RFR-049</v>
      </c>
      <c r="C353" s="10">
        <f>VLOOKUP(B353,'Run Reconcile'!A$2:B1579,2,FALSE)</f>
        <v>44565</v>
      </c>
      <c r="D353" s="14">
        <f>IFERROR(__xludf.DUMMYFUNCTION("""COMPUTED_VALUE"""),44565.0)</f>
        <v>44565</v>
      </c>
      <c r="E353" s="15">
        <f>IFERROR(__xludf.DUMMYFUNCTION("""COMPUTED_VALUE"""),0.3712152777770825)</f>
        <v>0.3712152778</v>
      </c>
      <c r="F353" s="8" t="str">
        <f>IFERROR(__xludf.DUMMYFUNCTION("""COMPUTED_VALUE"""),"Negative")</f>
        <v>Negative</v>
      </c>
      <c r="G353" s="16">
        <f>IFERROR(__xludf.DUMMYFUNCTION("""COMPUTED_VALUE"""),1.0)</f>
        <v>1</v>
      </c>
      <c r="H353" s="8" t="str">
        <f>IFERROR(__xludf.DUMMYFUNCTION("""COMPUTED_VALUE"""),"CRLN")</f>
        <v>CRLN</v>
      </c>
    </row>
    <row r="354">
      <c r="A354" s="8" t="str">
        <f>IFERROR(__xludf.DUMMYFUNCTION("""COMPUTED_VALUE"""),"FLE300")</f>
        <v>FLE300</v>
      </c>
      <c r="B354" s="8" t="str">
        <f>IFERROR(__xludf.DUMMYFUNCTION("""COMPUTED_VALUE"""),"RUN-FLMP_2022-01-04_RFR-049")</f>
        <v>RUN-FLMP_2022-01-04_RFR-049</v>
      </c>
      <c r="C354" s="10">
        <f>VLOOKUP(B354,'Run Reconcile'!A$2:B1579,2,FALSE)</f>
        <v>44565</v>
      </c>
      <c r="D354" s="14">
        <f>IFERROR(__xludf.DUMMYFUNCTION("""COMPUTED_VALUE"""),44565.0)</f>
        <v>44565</v>
      </c>
      <c r="E354" s="15">
        <f>IFERROR(__xludf.DUMMYFUNCTION("""COMPUTED_VALUE"""),0.45489583333255723)</f>
        <v>0.4548958333</v>
      </c>
      <c r="F354" s="8" t="str">
        <f>IFERROR(__xludf.DUMMYFUNCTION("""COMPUTED_VALUE"""),"Negative")</f>
        <v>Negative</v>
      </c>
      <c r="G354" s="16">
        <f>IFERROR(__xludf.DUMMYFUNCTION("""COMPUTED_VALUE"""),4.0)</f>
        <v>4</v>
      </c>
      <c r="H354" s="8" t="str">
        <f>IFERROR(__xludf.DUMMYFUNCTION("""COMPUTED_VALUE"""),"CRLN")</f>
        <v>CRLN</v>
      </c>
    </row>
    <row r="355">
      <c r="A355" s="8" t="str">
        <f>IFERROR(__xludf.DUMMYFUNCTION("""COMPUTED_VALUE"""),"FLB6849")</f>
        <v>FLB6849</v>
      </c>
      <c r="B355" s="8" t="str">
        <f>IFERROR(__xludf.DUMMYFUNCTION("""COMPUTED_VALUE"""),"RUN-FLMP_2022-01-06_RFR-050")</f>
        <v>RUN-FLMP_2022-01-06_RFR-050</v>
      </c>
      <c r="C355" s="10">
        <f>VLOOKUP(B355,'Run Reconcile'!A$2:B1579,2,FALSE)</f>
        <v>44567</v>
      </c>
      <c r="D355" s="14">
        <f>IFERROR(__xludf.DUMMYFUNCTION("""COMPUTED_VALUE"""),44566.0)</f>
        <v>44566</v>
      </c>
      <c r="E355" s="15">
        <f>IFERROR(__xludf.DUMMYFUNCTION("""COMPUTED_VALUE"""),0.6553124999991269)</f>
        <v>0.6553125</v>
      </c>
      <c r="F355" s="8" t="str">
        <f>IFERROR(__xludf.DUMMYFUNCTION("""COMPUTED_VALUE"""),"Positive")</f>
        <v>Positive</v>
      </c>
      <c r="G355" s="16">
        <f>IFERROR(__xludf.DUMMYFUNCTION("""COMPUTED_VALUE"""),1.0)</f>
        <v>1</v>
      </c>
      <c r="H355" s="8" t="str">
        <f>IFERROR(__xludf.DUMMYFUNCTION("""COMPUTED_VALUE"""),"CRLN")</f>
        <v>CRLN</v>
      </c>
    </row>
    <row r="356">
      <c r="A356" s="8" t="str">
        <f>IFERROR(__xludf.DUMMYFUNCTION("""COMPUTED_VALUE"""),"FLB5119")</f>
        <v>FLB5119</v>
      </c>
      <c r="B356" s="8" t="str">
        <f>IFERROR(__xludf.DUMMYFUNCTION("""COMPUTED_VALUE"""),"RUN-FLMP_2022-01-06_RFR-050")</f>
        <v>RUN-FLMP_2022-01-06_RFR-050</v>
      </c>
      <c r="C356" s="10">
        <f>VLOOKUP(B356,'Run Reconcile'!A$2:B1579,2,FALSE)</f>
        <v>44567</v>
      </c>
      <c r="D356" s="14">
        <f>IFERROR(__xludf.DUMMYFUNCTION("""COMPUTED_VALUE"""),44566.0)</f>
        <v>44566</v>
      </c>
      <c r="E356" s="15">
        <f>IFERROR(__xludf.DUMMYFUNCTION("""COMPUTED_VALUE"""),0.6583912037021946)</f>
        <v>0.6583912037</v>
      </c>
      <c r="F356" s="8" t="str">
        <f>IFERROR(__xludf.DUMMYFUNCTION("""COMPUTED_VALUE"""),"Negative")</f>
        <v>Negative</v>
      </c>
      <c r="G356" s="16">
        <f>IFERROR(__xludf.DUMMYFUNCTION("""COMPUTED_VALUE"""),1.0)</f>
        <v>1</v>
      </c>
      <c r="H356" s="8" t="str">
        <f>IFERROR(__xludf.DUMMYFUNCTION("""COMPUTED_VALUE"""),"CRLN")</f>
        <v>CRLN</v>
      </c>
    </row>
    <row r="357">
      <c r="A357" s="8" t="str">
        <f>IFERROR(__xludf.DUMMYFUNCTION("""COMPUTED_VALUE"""),"FLT12")</f>
        <v>FLT12</v>
      </c>
      <c r="B357" s="8" t="str">
        <f>IFERROR(__xludf.DUMMYFUNCTION("""COMPUTED_VALUE"""),"RUN-FLMP_2022-01-06_RFR-050")</f>
        <v>RUN-FLMP_2022-01-06_RFR-050</v>
      </c>
      <c r="C357" s="10">
        <f>VLOOKUP(B357,'Run Reconcile'!A$2:B1579,2,FALSE)</f>
        <v>44567</v>
      </c>
      <c r="D357" s="14">
        <f>IFERROR(__xludf.DUMMYFUNCTION("""COMPUTED_VALUE"""),44566.0)</f>
        <v>44566</v>
      </c>
      <c r="E357" s="15">
        <f>IFERROR(__xludf.DUMMYFUNCTION("""COMPUTED_VALUE"""),0.661238425924239)</f>
        <v>0.6612384259</v>
      </c>
      <c r="F357" s="8" t="str">
        <f>IFERROR(__xludf.DUMMYFUNCTION("""COMPUTED_VALUE"""),"Negative")</f>
        <v>Negative</v>
      </c>
      <c r="G357" s="16">
        <f>IFERROR(__xludf.DUMMYFUNCTION("""COMPUTED_VALUE"""),1.0)</f>
        <v>1</v>
      </c>
      <c r="H357" s="8" t="str">
        <f>IFERROR(__xludf.DUMMYFUNCTION("""COMPUTED_VALUE"""),"CRLN")</f>
        <v>CRLN</v>
      </c>
    </row>
    <row r="358">
      <c r="A358" s="8" t="str">
        <f>IFERROR(__xludf.DUMMYFUNCTION("""COMPUTED_VALUE"""),"FLB7136")</f>
        <v>FLB7136</v>
      </c>
      <c r="B358" s="8" t="str">
        <f>IFERROR(__xludf.DUMMYFUNCTION("""COMPUTED_VALUE"""),"RUN-FLMP_2022-01-06_RFR-050")</f>
        <v>RUN-FLMP_2022-01-06_RFR-050</v>
      </c>
      <c r="C358" s="10">
        <f>VLOOKUP(B358,'Run Reconcile'!A$2:B1579,2,FALSE)</f>
        <v>44567</v>
      </c>
      <c r="D358" s="14">
        <f>IFERROR(__xludf.DUMMYFUNCTION("""COMPUTED_VALUE"""),44566.0)</f>
        <v>44566</v>
      </c>
      <c r="E358" s="15">
        <f>IFERROR(__xludf.DUMMYFUNCTION("""COMPUTED_VALUE"""),0.6912847222229175)</f>
        <v>0.6912847222</v>
      </c>
      <c r="F358" s="8" t="str">
        <f>IFERROR(__xludf.DUMMYFUNCTION("""COMPUTED_VALUE"""),"Negative")</f>
        <v>Negative</v>
      </c>
      <c r="G358" s="16">
        <f>IFERROR(__xludf.DUMMYFUNCTION("""COMPUTED_VALUE"""),1.0)</f>
        <v>1</v>
      </c>
      <c r="H358" s="8" t="str">
        <f>IFERROR(__xludf.DUMMYFUNCTION("""COMPUTED_VALUE"""),"CRLN")</f>
        <v>CRLN</v>
      </c>
    </row>
    <row r="359">
      <c r="A359" s="8" t="str">
        <f>IFERROR(__xludf.DUMMYFUNCTION("""COMPUTED_VALUE"""),"FLB6343")</f>
        <v>FLB6343</v>
      </c>
      <c r="B359" s="8" t="str">
        <f>IFERROR(__xludf.DUMMYFUNCTION("""COMPUTED_VALUE"""),"RUN-FLMP_2022-01-06_RFR-050")</f>
        <v>RUN-FLMP_2022-01-06_RFR-050</v>
      </c>
      <c r="C359" s="10">
        <f>VLOOKUP(B359,'Run Reconcile'!A$2:B1579,2,FALSE)</f>
        <v>44567</v>
      </c>
      <c r="D359" s="14">
        <f>IFERROR(__xludf.DUMMYFUNCTION("""COMPUTED_VALUE"""),44566.0)</f>
        <v>44566</v>
      </c>
      <c r="E359" s="15">
        <f>IFERROR(__xludf.DUMMYFUNCTION("""COMPUTED_VALUE"""),0.7654282407420396)</f>
        <v>0.7654282407</v>
      </c>
      <c r="F359" s="8" t="str">
        <f>IFERROR(__xludf.DUMMYFUNCTION("""COMPUTED_VALUE"""),"Negative")</f>
        <v>Negative</v>
      </c>
      <c r="G359" s="16">
        <f>IFERROR(__xludf.DUMMYFUNCTION("""COMPUTED_VALUE"""),4.0)</f>
        <v>4</v>
      </c>
      <c r="H359" s="8" t="str">
        <f>IFERROR(__xludf.DUMMYFUNCTION("""COMPUTED_VALUE"""),"CRLN")</f>
        <v>CRLN</v>
      </c>
    </row>
    <row r="360">
      <c r="A360" s="8" t="str">
        <f>IFERROR(__xludf.DUMMYFUNCTION("""COMPUTED_VALUE"""),"FLT1127")</f>
        <v>FLT1127</v>
      </c>
      <c r="B360" s="8" t="str">
        <f>IFERROR(__xludf.DUMMYFUNCTION("""COMPUTED_VALUE"""),"RUN-FLMP_2022-01-06_RFR-050")</f>
        <v>RUN-FLMP_2022-01-06_RFR-050</v>
      </c>
      <c r="C360" s="10">
        <f>VLOOKUP(B360,'Run Reconcile'!A$2:B1579,2,FALSE)</f>
        <v>44567</v>
      </c>
      <c r="D360" s="14">
        <f>IFERROR(__xludf.DUMMYFUNCTION("""COMPUTED_VALUE"""),44567.0)</f>
        <v>44567</v>
      </c>
      <c r="E360" s="15">
        <f>IFERROR(__xludf.DUMMYFUNCTION("""COMPUTED_VALUE"""),0.32425925925781485)</f>
        <v>0.3242592593</v>
      </c>
      <c r="F360" s="8" t="str">
        <f>IFERROR(__xludf.DUMMYFUNCTION("""COMPUTED_VALUE"""),"Negative")</f>
        <v>Negative</v>
      </c>
      <c r="G360" s="16">
        <f>IFERROR(__xludf.DUMMYFUNCTION("""COMPUTED_VALUE"""),4.0)</f>
        <v>4</v>
      </c>
      <c r="H360" s="8" t="str">
        <f>IFERROR(__xludf.DUMMYFUNCTION("""COMPUTED_VALUE"""),"CRLN")</f>
        <v>CRLN</v>
      </c>
    </row>
    <row r="361">
      <c r="A361" s="8" t="str">
        <f>IFERROR(__xludf.DUMMYFUNCTION("""COMPUTED_VALUE"""),"FLB5889")</f>
        <v>FLB5889</v>
      </c>
      <c r="B361" s="8" t="str">
        <f>IFERROR(__xludf.DUMMYFUNCTION("""COMPUTED_VALUE"""),"RUN-FLMP_2022-01-06_RFR-050")</f>
        <v>RUN-FLMP_2022-01-06_RFR-050</v>
      </c>
      <c r="C361" s="10">
        <f>VLOOKUP(B361,'Run Reconcile'!A$2:B1579,2,FALSE)</f>
        <v>44567</v>
      </c>
      <c r="D361" s="14">
        <f>IFERROR(__xludf.DUMMYFUNCTION("""COMPUTED_VALUE"""),44567.0)</f>
        <v>44567</v>
      </c>
      <c r="E361" s="15">
        <f>IFERROR(__xludf.DUMMYFUNCTION("""COMPUTED_VALUE"""),0.3404861111121136)</f>
        <v>0.3404861111</v>
      </c>
      <c r="F361" s="8" t="str">
        <f>IFERROR(__xludf.DUMMYFUNCTION("""COMPUTED_VALUE"""),"Positive")</f>
        <v>Positive</v>
      </c>
      <c r="G361" s="16">
        <f>IFERROR(__xludf.DUMMYFUNCTION("""COMPUTED_VALUE"""),1.0)</f>
        <v>1</v>
      </c>
      <c r="H361" s="8" t="str">
        <f>IFERROR(__xludf.DUMMYFUNCTION("""COMPUTED_VALUE"""),"CRLN")</f>
        <v>CRLN</v>
      </c>
    </row>
    <row r="362">
      <c r="A362" s="8" t="str">
        <f>IFERROR(__xludf.DUMMYFUNCTION("""COMPUTED_VALUE"""),"FLB5830")</f>
        <v>FLB5830</v>
      </c>
      <c r="B362" s="8" t="str">
        <f>IFERROR(__xludf.DUMMYFUNCTION("""COMPUTED_VALUE"""),"RUN-FLMP_2022-01-06_RFR-050")</f>
        <v>RUN-FLMP_2022-01-06_RFR-050</v>
      </c>
      <c r="C362" s="10">
        <f>VLOOKUP(B362,'Run Reconcile'!A$2:B1579,2,FALSE)</f>
        <v>44567</v>
      </c>
      <c r="D362" s="14">
        <f>IFERROR(__xludf.DUMMYFUNCTION("""COMPUTED_VALUE"""),44567.0)</f>
        <v>44567</v>
      </c>
      <c r="E362" s="15">
        <f>IFERROR(__xludf.DUMMYFUNCTION("""COMPUTED_VALUE"""),0.3410879629627743)</f>
        <v>0.341087963</v>
      </c>
      <c r="F362" s="8" t="str">
        <f>IFERROR(__xludf.DUMMYFUNCTION("""COMPUTED_VALUE"""),"Positive")</f>
        <v>Positive</v>
      </c>
      <c r="G362" s="16">
        <f>IFERROR(__xludf.DUMMYFUNCTION("""COMPUTED_VALUE"""),1.0)</f>
        <v>1</v>
      </c>
      <c r="H362" s="8" t="str">
        <f>IFERROR(__xludf.DUMMYFUNCTION("""COMPUTED_VALUE"""),"CRLN")</f>
        <v>CRLN</v>
      </c>
    </row>
    <row r="363">
      <c r="A363" s="8" t="str">
        <f>IFERROR(__xludf.DUMMYFUNCTION("""COMPUTED_VALUE"""),"FLT1159")</f>
        <v>FLT1159</v>
      </c>
      <c r="B363" s="8" t="str">
        <f>IFERROR(__xludf.DUMMYFUNCTION("""COMPUTED_VALUE"""),"RUN-FLMP_2022-01-06_RFR-050")</f>
        <v>RUN-FLMP_2022-01-06_RFR-050</v>
      </c>
      <c r="C363" s="10">
        <f>VLOOKUP(B363,'Run Reconcile'!A$2:B1579,2,FALSE)</f>
        <v>44567</v>
      </c>
      <c r="D363" s="14">
        <f>IFERROR(__xludf.DUMMYFUNCTION("""COMPUTED_VALUE"""),44567.0)</f>
        <v>44567</v>
      </c>
      <c r="E363" s="15">
        <f>IFERROR(__xludf.DUMMYFUNCTION("""COMPUTED_VALUE"""),0.3418865740750334)</f>
        <v>0.3418865741</v>
      </c>
      <c r="F363" s="8" t="str">
        <f>IFERROR(__xludf.DUMMYFUNCTION("""COMPUTED_VALUE"""),"Negative")</f>
        <v>Negative</v>
      </c>
      <c r="G363" s="16">
        <f>IFERROR(__xludf.DUMMYFUNCTION("""COMPUTED_VALUE"""),2.0)</f>
        <v>2</v>
      </c>
      <c r="H363" s="8" t="str">
        <f>IFERROR(__xludf.DUMMYFUNCTION("""COMPUTED_VALUE"""),"CRLN")</f>
        <v>CRLN</v>
      </c>
    </row>
    <row r="364">
      <c r="A364" s="8" t="str">
        <f>IFERROR(__xludf.DUMMYFUNCTION("""COMPUTED_VALUE"""),"FLT1136")</f>
        <v>FLT1136</v>
      </c>
      <c r="B364" s="8" t="str">
        <f>IFERROR(__xludf.DUMMYFUNCTION("""COMPUTED_VALUE"""),"RUN-FLMP_2022-01-06_RFR-050")</f>
        <v>RUN-FLMP_2022-01-06_RFR-050</v>
      </c>
      <c r="C364" s="10">
        <f>VLOOKUP(B364,'Run Reconcile'!A$2:B1579,2,FALSE)</f>
        <v>44567</v>
      </c>
      <c r="D364" s="14">
        <f>IFERROR(__xludf.DUMMYFUNCTION("""COMPUTED_VALUE"""),44567.0)</f>
        <v>44567</v>
      </c>
      <c r="E364" s="15">
        <f>IFERROR(__xludf.DUMMYFUNCTION("""COMPUTED_VALUE"""),0.3426157407411665)</f>
        <v>0.3426157407</v>
      </c>
      <c r="F364" s="8" t="str">
        <f>IFERROR(__xludf.DUMMYFUNCTION("""COMPUTED_VALUE"""),"Positive")</f>
        <v>Positive</v>
      </c>
      <c r="G364" s="16">
        <f>IFERROR(__xludf.DUMMYFUNCTION("""COMPUTED_VALUE"""),1.0)</f>
        <v>1</v>
      </c>
      <c r="H364" s="8" t="str">
        <f>IFERROR(__xludf.DUMMYFUNCTION("""COMPUTED_VALUE"""),"CRLN")</f>
        <v>CRLN</v>
      </c>
    </row>
    <row r="365">
      <c r="A365" s="8" t="str">
        <f>IFERROR(__xludf.DUMMYFUNCTION("""COMPUTED_VALUE"""),"FLB5852")</f>
        <v>FLB5852</v>
      </c>
      <c r="B365" s="8" t="str">
        <f>IFERROR(__xludf.DUMMYFUNCTION("""COMPUTED_VALUE"""),"RUN-FLMP_2022-01-06_RFR-050")</f>
        <v>RUN-FLMP_2022-01-06_RFR-050</v>
      </c>
      <c r="C365" s="10">
        <f>VLOOKUP(B365,'Run Reconcile'!A$2:B1579,2,FALSE)</f>
        <v>44567</v>
      </c>
      <c r="D365" s="14">
        <f>IFERROR(__xludf.DUMMYFUNCTION("""COMPUTED_VALUE"""),44567.0)</f>
        <v>44567</v>
      </c>
      <c r="E365" s="15">
        <f>IFERROR(__xludf.DUMMYFUNCTION("""COMPUTED_VALUE"""),0.34406250000029104)</f>
        <v>0.3440625</v>
      </c>
      <c r="F365" s="8" t="str">
        <f>IFERROR(__xludf.DUMMYFUNCTION("""COMPUTED_VALUE"""),"Negative")</f>
        <v>Negative</v>
      </c>
      <c r="G365" s="16">
        <f>IFERROR(__xludf.DUMMYFUNCTION("""COMPUTED_VALUE"""),1.0)</f>
        <v>1</v>
      </c>
      <c r="H365" s="8" t="str">
        <f>IFERROR(__xludf.DUMMYFUNCTION("""COMPUTED_VALUE"""),"CRLN")</f>
        <v>CRLN</v>
      </c>
    </row>
    <row r="366">
      <c r="A366" s="8" t="str">
        <f>IFERROR(__xludf.DUMMYFUNCTION("""COMPUTED_VALUE"""),"FLB5966")</f>
        <v>FLB5966</v>
      </c>
      <c r="B366" s="8" t="str">
        <f>IFERROR(__xludf.DUMMYFUNCTION("""COMPUTED_VALUE"""),"RUN-FLMP_2022-01-06_RFR-050")</f>
        <v>RUN-FLMP_2022-01-06_RFR-050</v>
      </c>
      <c r="C366" s="10">
        <f>VLOOKUP(B366,'Run Reconcile'!A$2:B1579,2,FALSE)</f>
        <v>44567</v>
      </c>
      <c r="D366" s="14">
        <f>IFERROR(__xludf.DUMMYFUNCTION("""COMPUTED_VALUE"""),44567.0)</f>
        <v>44567</v>
      </c>
      <c r="E366" s="15">
        <f>IFERROR(__xludf.DUMMYFUNCTION("""COMPUTED_VALUE"""),0.34990740740613546)</f>
        <v>0.3499074074</v>
      </c>
      <c r="F366" s="8" t="str">
        <f>IFERROR(__xludf.DUMMYFUNCTION("""COMPUTED_VALUE"""),"Negative")</f>
        <v>Negative</v>
      </c>
      <c r="G366" s="16">
        <f>IFERROR(__xludf.DUMMYFUNCTION("""COMPUTED_VALUE"""),3.0)</f>
        <v>3</v>
      </c>
      <c r="H366" s="8" t="str">
        <f>IFERROR(__xludf.DUMMYFUNCTION("""COMPUTED_VALUE"""),"CRLN")</f>
        <v>CRLN</v>
      </c>
    </row>
    <row r="367">
      <c r="A367" s="8" t="str">
        <f>IFERROR(__xludf.DUMMYFUNCTION("""COMPUTED_VALUE"""),"FLB6872")</f>
        <v>FLB6872</v>
      </c>
      <c r="B367" s="8" t="str">
        <f>IFERROR(__xludf.DUMMYFUNCTION("""COMPUTED_VALUE"""),"RUN-FLMP_2022-01-06_RFR-050")</f>
        <v>RUN-FLMP_2022-01-06_RFR-050</v>
      </c>
      <c r="C367" s="10">
        <f>VLOOKUP(B367,'Run Reconcile'!A$2:B1579,2,FALSE)</f>
        <v>44567</v>
      </c>
      <c r="D367" s="14">
        <f>IFERROR(__xludf.DUMMYFUNCTION("""COMPUTED_VALUE"""),44567.0)</f>
        <v>44567</v>
      </c>
      <c r="E367" s="15">
        <f>IFERROR(__xludf.DUMMYFUNCTION("""COMPUTED_VALUE"""),0.3511921296303626)</f>
        <v>0.3511921296</v>
      </c>
      <c r="F367" s="8" t="str">
        <f>IFERROR(__xludf.DUMMYFUNCTION("""COMPUTED_VALUE"""),"Negative")</f>
        <v>Negative</v>
      </c>
      <c r="G367" s="16">
        <f>IFERROR(__xludf.DUMMYFUNCTION("""COMPUTED_VALUE"""),3.0)</f>
        <v>3</v>
      </c>
      <c r="H367" s="8" t="str">
        <f>IFERROR(__xludf.DUMMYFUNCTION("""COMPUTED_VALUE"""),"CRLN")</f>
        <v>CRLN</v>
      </c>
    </row>
    <row r="368">
      <c r="A368" s="8" t="str">
        <f>IFERROR(__xludf.DUMMYFUNCTION("""COMPUTED_VALUE"""),"FLT1515")</f>
        <v>FLT1515</v>
      </c>
      <c r="B368" s="8" t="str">
        <f>IFERROR(__xludf.DUMMYFUNCTION("""COMPUTED_VALUE"""),"RUN-FLMP_2022-01-06_RFR-050")</f>
        <v>RUN-FLMP_2022-01-06_RFR-050</v>
      </c>
      <c r="C368" s="10">
        <f>VLOOKUP(B368,'Run Reconcile'!A$2:B1579,2,FALSE)</f>
        <v>44567</v>
      </c>
      <c r="D368" s="14">
        <f>IFERROR(__xludf.DUMMYFUNCTION("""COMPUTED_VALUE"""),44567.0)</f>
        <v>44567</v>
      </c>
      <c r="E368" s="15">
        <f>IFERROR(__xludf.DUMMYFUNCTION("""COMPUTED_VALUE"""),0.35478009259168175)</f>
        <v>0.3547800926</v>
      </c>
      <c r="F368" s="8" t="str">
        <f>IFERROR(__xludf.DUMMYFUNCTION("""COMPUTED_VALUE"""),"Negative")</f>
        <v>Negative</v>
      </c>
      <c r="G368" s="16">
        <f>IFERROR(__xludf.DUMMYFUNCTION("""COMPUTED_VALUE"""),4.0)</f>
        <v>4</v>
      </c>
      <c r="H368" s="8" t="str">
        <f>IFERROR(__xludf.DUMMYFUNCTION("""COMPUTED_VALUE"""),"CRLN")</f>
        <v>CRLN</v>
      </c>
    </row>
    <row r="369">
      <c r="A369" s="8" t="str">
        <f>IFERROR(__xludf.DUMMYFUNCTION("""COMPUTED_VALUE"""),"FLE239")</f>
        <v>FLE239</v>
      </c>
      <c r="B369" s="8" t="str">
        <f>IFERROR(__xludf.DUMMYFUNCTION("""COMPUTED_VALUE"""),"RUN-FLMP_2022-01-06_RFR-050")</f>
        <v>RUN-FLMP_2022-01-06_RFR-050</v>
      </c>
      <c r="C369" s="10">
        <f>VLOOKUP(B369,'Run Reconcile'!A$2:B1579,2,FALSE)</f>
        <v>44567</v>
      </c>
      <c r="D369" s="14">
        <f>IFERROR(__xludf.DUMMYFUNCTION("""COMPUTED_VALUE"""),44567.0)</f>
        <v>44567</v>
      </c>
      <c r="E369" s="15">
        <f>IFERROR(__xludf.DUMMYFUNCTION("""COMPUTED_VALUE"""),0.3641782407394203)</f>
        <v>0.3641782407</v>
      </c>
      <c r="F369" s="8" t="str">
        <f>IFERROR(__xludf.DUMMYFUNCTION("""COMPUTED_VALUE"""),"Negative")</f>
        <v>Negative</v>
      </c>
      <c r="G369" s="16">
        <f>IFERROR(__xludf.DUMMYFUNCTION("""COMPUTED_VALUE"""),4.0)</f>
        <v>4</v>
      </c>
      <c r="H369" s="8" t="str">
        <f>IFERROR(__xludf.DUMMYFUNCTION("""COMPUTED_VALUE"""),"CRLN")</f>
        <v>CRLN</v>
      </c>
    </row>
    <row r="370">
      <c r="A370" s="8" t="str">
        <f>IFERROR(__xludf.DUMMYFUNCTION("""COMPUTED_VALUE"""),"FLB7362")</f>
        <v>FLB7362</v>
      </c>
      <c r="B370" s="8" t="str">
        <f>IFERROR(__xludf.DUMMYFUNCTION("""COMPUTED_VALUE"""),"RUN-FLMP_2022-01-06_RFR-050")</f>
        <v>RUN-FLMP_2022-01-06_RFR-050</v>
      </c>
      <c r="C370" s="10">
        <f>VLOOKUP(B370,'Run Reconcile'!A$2:B1579,2,FALSE)</f>
        <v>44567</v>
      </c>
      <c r="D370" s="14">
        <f>IFERROR(__xludf.DUMMYFUNCTION("""COMPUTED_VALUE"""),44567.0)</f>
        <v>44567</v>
      </c>
      <c r="E370" s="15">
        <f>IFERROR(__xludf.DUMMYFUNCTION("""COMPUTED_VALUE"""),0.364537037035916)</f>
        <v>0.364537037</v>
      </c>
      <c r="F370" s="8" t="str">
        <f>IFERROR(__xludf.DUMMYFUNCTION("""COMPUTED_VALUE"""),"Negative")</f>
        <v>Negative</v>
      </c>
      <c r="G370" s="16">
        <f>IFERROR(__xludf.DUMMYFUNCTION("""COMPUTED_VALUE"""),4.0)</f>
        <v>4</v>
      </c>
      <c r="H370" s="8" t="str">
        <f>IFERROR(__xludf.DUMMYFUNCTION("""COMPUTED_VALUE"""),"FLSP")</f>
        <v>FLSP</v>
      </c>
    </row>
    <row r="371">
      <c r="A371" s="8" t="str">
        <f>IFERROR(__xludf.DUMMYFUNCTION("""COMPUTED_VALUE"""),"FLT1492")</f>
        <v>FLT1492</v>
      </c>
      <c r="B371" s="8" t="str">
        <f>IFERROR(__xludf.DUMMYFUNCTION("""COMPUTED_VALUE"""),"RUN-FLMP_2022-01-06_RFR-050")</f>
        <v>RUN-FLMP_2022-01-06_RFR-050</v>
      </c>
      <c r="C371" s="10">
        <f>VLOOKUP(B371,'Run Reconcile'!A$2:B1579,2,FALSE)</f>
        <v>44567</v>
      </c>
      <c r="D371" s="14">
        <f>IFERROR(__xludf.DUMMYFUNCTION("""COMPUTED_VALUE"""),44567.0)</f>
        <v>44567</v>
      </c>
      <c r="E371" s="15">
        <f>IFERROR(__xludf.DUMMYFUNCTION("""COMPUTED_VALUE"""),0.3655902777791198)</f>
        <v>0.3655902778</v>
      </c>
      <c r="F371" s="8" t="str">
        <f>IFERROR(__xludf.DUMMYFUNCTION("""COMPUTED_VALUE"""),"Negative")</f>
        <v>Negative</v>
      </c>
      <c r="G371" s="16">
        <f>IFERROR(__xludf.DUMMYFUNCTION("""COMPUTED_VALUE"""),2.0)</f>
        <v>2</v>
      </c>
      <c r="H371" s="8" t="str">
        <f>IFERROR(__xludf.DUMMYFUNCTION("""COMPUTED_VALUE"""),"CRLN")</f>
        <v>CRLN</v>
      </c>
    </row>
    <row r="372">
      <c r="A372" s="8" t="str">
        <f>IFERROR(__xludf.DUMMYFUNCTION("""COMPUTED_VALUE"""),"FLE259")</f>
        <v>FLE259</v>
      </c>
      <c r="B372" s="8" t="str">
        <f>IFERROR(__xludf.DUMMYFUNCTION("""COMPUTED_VALUE"""),"RUN-FLMP_2022-01-06_RFR-050")</f>
        <v>RUN-FLMP_2022-01-06_RFR-050</v>
      </c>
      <c r="C372" s="10">
        <f>VLOOKUP(B372,'Run Reconcile'!A$2:B1579,2,FALSE)</f>
        <v>44567</v>
      </c>
      <c r="D372" s="14">
        <f>IFERROR(__xludf.DUMMYFUNCTION("""COMPUTED_VALUE"""),44567.0)</f>
        <v>44567</v>
      </c>
      <c r="E372" s="15">
        <f>IFERROR(__xludf.DUMMYFUNCTION("""COMPUTED_VALUE"""),0.37271990740919136)</f>
        <v>0.3727199074</v>
      </c>
      <c r="F372" s="8" t="str">
        <f>IFERROR(__xludf.DUMMYFUNCTION("""COMPUTED_VALUE"""),"Negative")</f>
        <v>Negative</v>
      </c>
      <c r="G372" s="16">
        <f>IFERROR(__xludf.DUMMYFUNCTION("""COMPUTED_VALUE"""),1.0)</f>
        <v>1</v>
      </c>
      <c r="H372" s="8" t="str">
        <f>IFERROR(__xludf.DUMMYFUNCTION("""COMPUTED_VALUE"""),"CRLN")</f>
        <v>CRLN</v>
      </c>
    </row>
    <row r="373">
      <c r="A373" s="8" t="str">
        <f>IFERROR(__xludf.DUMMYFUNCTION("""COMPUTED_VALUE"""),"FLT1424")</f>
        <v>FLT1424</v>
      </c>
      <c r="B373" s="8" t="str">
        <f>IFERROR(__xludf.DUMMYFUNCTION("""COMPUTED_VALUE"""),"RUN-FLMP_2022-01-08_RFR-052")</f>
        <v>RUN-FLMP_2022-01-08_RFR-052</v>
      </c>
      <c r="C373" s="10">
        <f>VLOOKUP(B373,'Run Reconcile'!A$2:B1579,2,FALSE)</f>
        <v>44569</v>
      </c>
      <c r="D373" s="14">
        <f>IFERROR(__xludf.DUMMYFUNCTION("""COMPUTED_VALUE"""),44569.0)</f>
        <v>44569</v>
      </c>
      <c r="E373" s="15">
        <f>IFERROR(__xludf.DUMMYFUNCTION("""COMPUTED_VALUE"""),0.3592939814807323)</f>
        <v>0.3592939815</v>
      </c>
      <c r="F373" s="8" t="str">
        <f>IFERROR(__xludf.DUMMYFUNCTION("""COMPUTED_VALUE"""),"Negative")</f>
        <v>Negative</v>
      </c>
      <c r="G373" s="16">
        <f>IFERROR(__xludf.DUMMYFUNCTION("""COMPUTED_VALUE"""),1.0)</f>
        <v>1</v>
      </c>
      <c r="H373" s="8" t="str">
        <f>IFERROR(__xludf.DUMMYFUNCTION("""COMPUTED_VALUE"""),"FLSP")</f>
        <v>FLSP</v>
      </c>
    </row>
    <row r="374">
      <c r="A374" s="8" t="str">
        <f>IFERROR(__xludf.DUMMYFUNCTION("""COMPUTED_VALUE"""),"FLT1501")</f>
        <v>FLT1501</v>
      </c>
      <c r="B374" s="8" t="str">
        <f>IFERROR(__xludf.DUMMYFUNCTION("""COMPUTED_VALUE"""),"RUN-FLMP_2022-01-08_RFR-052")</f>
        <v>RUN-FLMP_2022-01-08_RFR-052</v>
      </c>
      <c r="C374" s="10">
        <f>VLOOKUP(B374,'Run Reconcile'!A$2:B1579,2,FALSE)</f>
        <v>44569</v>
      </c>
      <c r="D374" s="14">
        <f>IFERROR(__xludf.DUMMYFUNCTION("""COMPUTED_VALUE"""),44569.0)</f>
        <v>44569</v>
      </c>
      <c r="E374" s="15">
        <f>IFERROR(__xludf.DUMMYFUNCTION("""COMPUTED_VALUE"""),0.35986111111196806)</f>
        <v>0.3598611111</v>
      </c>
      <c r="F374" s="8" t="str">
        <f>IFERROR(__xludf.DUMMYFUNCTION("""COMPUTED_VALUE"""),"Negative")</f>
        <v>Negative</v>
      </c>
      <c r="G374" s="16">
        <f>IFERROR(__xludf.DUMMYFUNCTION("""COMPUTED_VALUE"""),1.0)</f>
        <v>1</v>
      </c>
      <c r="H374" s="8" t="str">
        <f>IFERROR(__xludf.DUMMYFUNCTION("""COMPUTED_VALUE"""),"FLSP")</f>
        <v>FLSP</v>
      </c>
    </row>
    <row r="375">
      <c r="A375" s="8" t="str">
        <f>IFERROR(__xludf.DUMMYFUNCTION("""COMPUTED_VALUE"""),"FLT1155")</f>
        <v>FLT1155</v>
      </c>
      <c r="B375" s="8" t="str">
        <f>IFERROR(__xludf.DUMMYFUNCTION("""COMPUTED_VALUE"""),"RUN-FLMP_2022-01-08_RFR-052")</f>
        <v>RUN-FLMP_2022-01-08_RFR-052</v>
      </c>
      <c r="C375" s="10">
        <f>VLOOKUP(B375,'Run Reconcile'!A$2:B1579,2,FALSE)</f>
        <v>44569</v>
      </c>
      <c r="D375" s="14">
        <f>IFERROR(__xludf.DUMMYFUNCTION("""COMPUTED_VALUE"""),44569.0)</f>
        <v>44569</v>
      </c>
      <c r="E375" s="15">
        <f>IFERROR(__xludf.DUMMYFUNCTION("""COMPUTED_VALUE"""),0.3602430555547471)</f>
        <v>0.3602430556</v>
      </c>
      <c r="F375" s="8" t="str">
        <f>IFERROR(__xludf.DUMMYFUNCTION("""COMPUTED_VALUE"""),"Negative")</f>
        <v>Negative</v>
      </c>
      <c r="G375" s="16">
        <f>IFERROR(__xludf.DUMMYFUNCTION("""COMPUTED_VALUE"""),1.0)</f>
        <v>1</v>
      </c>
      <c r="H375" s="8" t="str">
        <f>IFERROR(__xludf.DUMMYFUNCTION("""COMPUTED_VALUE"""),"FLSP")</f>
        <v>FLSP</v>
      </c>
    </row>
    <row r="376">
      <c r="A376" s="8" t="str">
        <f>IFERROR(__xludf.DUMMYFUNCTION("""COMPUTED_VALUE"""),"FLT1475")</f>
        <v>FLT1475</v>
      </c>
      <c r="B376" s="8" t="str">
        <f>IFERROR(__xludf.DUMMYFUNCTION("""COMPUTED_VALUE"""),"RUN-FLMP_2022-01-08_RFR-052")</f>
        <v>RUN-FLMP_2022-01-08_RFR-052</v>
      </c>
      <c r="C376" s="10">
        <f>VLOOKUP(B376,'Run Reconcile'!A$2:B1579,2,FALSE)</f>
        <v>44569</v>
      </c>
      <c r="D376" s="14">
        <f>IFERROR(__xludf.DUMMYFUNCTION("""COMPUTED_VALUE"""),44569.0)</f>
        <v>44569</v>
      </c>
      <c r="E376" s="15">
        <f>IFERROR(__xludf.DUMMYFUNCTION("""COMPUTED_VALUE"""),0.36055555555503815)</f>
        <v>0.3605555556</v>
      </c>
      <c r="F376" s="8" t="str">
        <f>IFERROR(__xludf.DUMMYFUNCTION("""COMPUTED_VALUE"""),"Positive")</f>
        <v>Positive</v>
      </c>
      <c r="G376" s="16">
        <f>IFERROR(__xludf.DUMMYFUNCTION("""COMPUTED_VALUE"""),1.0)</f>
        <v>1</v>
      </c>
      <c r="H376" s="8" t="str">
        <f>IFERROR(__xludf.DUMMYFUNCTION("""COMPUTED_VALUE"""),"FLSP")</f>
        <v>FLSP</v>
      </c>
    </row>
    <row r="377">
      <c r="A377" s="8" t="str">
        <f>IFERROR(__xludf.DUMMYFUNCTION("""COMPUTED_VALUE"""),"MA772")</f>
        <v>MA772</v>
      </c>
      <c r="B377" s="8" t="str">
        <f>IFERROR(__xludf.DUMMYFUNCTION("""COMPUTED_VALUE"""),"RUN-FLMP_2022-01-08_RFR-052")</f>
        <v>RUN-FLMP_2022-01-08_RFR-052</v>
      </c>
      <c r="C377" s="10">
        <f>VLOOKUP(B377,'Run Reconcile'!A$2:B1579,2,FALSE)</f>
        <v>44569</v>
      </c>
      <c r="D377" s="14">
        <f>IFERROR(__xludf.DUMMYFUNCTION("""COMPUTED_VALUE"""),44569.0)</f>
        <v>44569</v>
      </c>
      <c r="E377" s="15">
        <f>IFERROR(__xludf.DUMMYFUNCTION("""COMPUTED_VALUE"""),0.3831828703696374)</f>
        <v>0.3831828704</v>
      </c>
      <c r="F377" s="8" t="str">
        <f>IFERROR(__xludf.DUMMYFUNCTION("""COMPUTED_VALUE"""),"Negative")</f>
        <v>Negative</v>
      </c>
      <c r="G377" s="16">
        <f>IFERROR(__xludf.DUMMYFUNCTION("""COMPUTED_VALUE"""),4.0)</f>
        <v>4</v>
      </c>
      <c r="H377" s="8" t="str">
        <f>IFERROR(__xludf.DUMMYFUNCTION("""COMPUTED_VALUE"""),"CRLN")</f>
        <v>CRLN</v>
      </c>
    </row>
    <row r="378">
      <c r="A378" s="8" t="str">
        <f>IFERROR(__xludf.DUMMYFUNCTION("""COMPUTED_VALUE"""),"FLE240")</f>
        <v>FLE240</v>
      </c>
      <c r="B378" s="8" t="str">
        <f>IFERROR(__xludf.DUMMYFUNCTION("""COMPUTED_VALUE"""),"RUN-FLMP_2022-01-08_RFR-052")</f>
        <v>RUN-FLMP_2022-01-08_RFR-052</v>
      </c>
      <c r="C378" s="10">
        <f>VLOOKUP(B378,'Run Reconcile'!A$2:B1579,2,FALSE)</f>
        <v>44569</v>
      </c>
      <c r="D378" s="14">
        <f>IFERROR(__xludf.DUMMYFUNCTION("""COMPUTED_VALUE"""),44569.0)</f>
        <v>44569</v>
      </c>
      <c r="E378" s="15">
        <f>IFERROR(__xludf.DUMMYFUNCTION("""COMPUTED_VALUE"""),0.3867476851846732)</f>
        <v>0.3867476852</v>
      </c>
      <c r="F378" s="8" t="str">
        <f>IFERROR(__xludf.DUMMYFUNCTION("""COMPUTED_VALUE"""),"Negative")</f>
        <v>Negative</v>
      </c>
      <c r="G378" s="16">
        <f>IFERROR(__xludf.DUMMYFUNCTION("""COMPUTED_VALUE"""),4.0)</f>
        <v>4</v>
      </c>
      <c r="H378" s="8" t="str">
        <f>IFERROR(__xludf.DUMMYFUNCTION("""COMPUTED_VALUE"""),"CRLN")</f>
        <v>CRLN</v>
      </c>
    </row>
    <row r="379">
      <c r="A379" s="8" t="str">
        <f>IFERROR(__xludf.DUMMYFUNCTION("""COMPUTED_VALUE"""),"FLT1505")</f>
        <v>FLT1505</v>
      </c>
      <c r="B379" s="8" t="str">
        <f>IFERROR(__xludf.DUMMYFUNCTION("""COMPUTED_VALUE"""),"RUN-FLMP_2022-01-08_RFR-052")</f>
        <v>RUN-FLMP_2022-01-08_RFR-052</v>
      </c>
      <c r="C379" s="10">
        <f>VLOOKUP(B379,'Run Reconcile'!A$2:B1579,2,FALSE)</f>
        <v>44569</v>
      </c>
      <c r="D379" s="14">
        <f>IFERROR(__xludf.DUMMYFUNCTION("""COMPUTED_VALUE"""),44569.0)</f>
        <v>44569</v>
      </c>
      <c r="E379" s="15">
        <f>IFERROR(__xludf.DUMMYFUNCTION("""COMPUTED_VALUE"""),0.3949421296310902)</f>
        <v>0.3949421296</v>
      </c>
      <c r="F379" s="8" t="str">
        <f>IFERROR(__xludf.DUMMYFUNCTION("""COMPUTED_VALUE"""),"Negative")</f>
        <v>Negative</v>
      </c>
      <c r="G379" s="16">
        <f>IFERROR(__xludf.DUMMYFUNCTION("""COMPUTED_VALUE"""),3.0)</f>
        <v>3</v>
      </c>
      <c r="H379" s="8" t="str">
        <f>IFERROR(__xludf.DUMMYFUNCTION("""COMPUTED_VALUE"""),"CRLN")</f>
        <v>CRLN</v>
      </c>
    </row>
    <row r="380">
      <c r="A380" s="8" t="str">
        <f>IFERROR(__xludf.DUMMYFUNCTION("""COMPUTED_VALUE"""),"FLE895")</f>
        <v>FLE895</v>
      </c>
      <c r="B380" s="8" t="str">
        <f>IFERROR(__xludf.DUMMYFUNCTION("""COMPUTED_VALUE"""),"RUN-FLMP_2022-01-10_RFR-053")</f>
        <v>RUN-FLMP_2022-01-10_RFR-053</v>
      </c>
      <c r="C380" s="10">
        <f>VLOOKUP(B380,'Run Reconcile'!A$2:B1579,2,FALSE)</f>
        <v>44571</v>
      </c>
      <c r="D380" s="14">
        <f>IFERROR(__xludf.DUMMYFUNCTION("""COMPUTED_VALUE"""),44570.0)</f>
        <v>44570</v>
      </c>
      <c r="E380" s="15">
        <f>IFERROR(__xludf.DUMMYFUNCTION("""COMPUTED_VALUE"""),0.5401620370357705)</f>
        <v>0.540162037</v>
      </c>
      <c r="F380" s="8" t="str">
        <f>IFERROR(__xludf.DUMMYFUNCTION("""COMPUTED_VALUE"""),"Positive")</f>
        <v>Positive</v>
      </c>
      <c r="G380" s="16">
        <f>IFERROR(__xludf.DUMMYFUNCTION("""COMPUTED_VALUE"""),1.0)</f>
        <v>1</v>
      </c>
      <c r="H380" s="8" t="str">
        <f>IFERROR(__xludf.DUMMYFUNCTION("""COMPUTED_VALUE"""),"CRLN")</f>
        <v>CRLN</v>
      </c>
    </row>
    <row r="381">
      <c r="A381" s="8" t="str">
        <f>IFERROR(__xludf.DUMMYFUNCTION("""COMPUTED_VALUE"""),"FLE885")</f>
        <v>FLE885</v>
      </c>
      <c r="B381" s="8" t="str">
        <f>IFERROR(__xludf.DUMMYFUNCTION("""COMPUTED_VALUE"""),"RUN-FLMP_2022-01-10_RFR-053")</f>
        <v>RUN-FLMP_2022-01-10_RFR-053</v>
      </c>
      <c r="C381" s="10">
        <f>VLOOKUP(B381,'Run Reconcile'!A$2:B1579,2,FALSE)</f>
        <v>44571</v>
      </c>
      <c r="D381" s="14">
        <f>IFERROR(__xludf.DUMMYFUNCTION("""COMPUTED_VALUE"""),44570.0)</f>
        <v>44570</v>
      </c>
      <c r="E381" s="15">
        <f>IFERROR(__xludf.DUMMYFUNCTION("""COMPUTED_VALUE"""),0.5405555555553292)</f>
        <v>0.5405555556</v>
      </c>
      <c r="F381" s="8" t="str">
        <f>IFERROR(__xludf.DUMMYFUNCTION("""COMPUTED_VALUE"""),"Positive")</f>
        <v>Positive</v>
      </c>
      <c r="G381" s="16">
        <f>IFERROR(__xludf.DUMMYFUNCTION("""COMPUTED_VALUE"""),1.0)</f>
        <v>1</v>
      </c>
      <c r="H381" s="8" t="str">
        <f>IFERROR(__xludf.DUMMYFUNCTION("""COMPUTED_VALUE"""),"CRLN")</f>
        <v>CRLN</v>
      </c>
    </row>
    <row r="382">
      <c r="A382" s="8" t="str">
        <f>IFERROR(__xludf.DUMMYFUNCTION("""COMPUTED_VALUE"""),"FLE810")</f>
        <v>FLE810</v>
      </c>
      <c r="B382" s="8" t="str">
        <f>IFERROR(__xludf.DUMMYFUNCTION("""COMPUTED_VALUE"""),"RUN-FLMP_2022-01-10_RFR-053")</f>
        <v>RUN-FLMP_2022-01-10_RFR-053</v>
      </c>
      <c r="C382" s="10">
        <f>VLOOKUP(B382,'Run Reconcile'!A$2:B1579,2,FALSE)</f>
        <v>44571</v>
      </c>
      <c r="D382" s="14">
        <f>IFERROR(__xludf.DUMMYFUNCTION("""COMPUTED_VALUE"""),44570.0)</f>
        <v>44570</v>
      </c>
      <c r="E382" s="15">
        <f>IFERROR(__xludf.DUMMYFUNCTION("""COMPUTED_VALUE"""),0.5409375000017462)</f>
        <v>0.5409375</v>
      </c>
      <c r="F382" s="8" t="str">
        <f>IFERROR(__xludf.DUMMYFUNCTION("""COMPUTED_VALUE"""),"Positive")</f>
        <v>Positive</v>
      </c>
      <c r="G382" s="16">
        <f>IFERROR(__xludf.DUMMYFUNCTION("""COMPUTED_VALUE"""),1.0)</f>
        <v>1</v>
      </c>
      <c r="H382" s="8" t="str">
        <f>IFERROR(__xludf.DUMMYFUNCTION("""COMPUTED_VALUE"""),"CRLN")</f>
        <v>CRLN</v>
      </c>
    </row>
    <row r="383">
      <c r="A383" s="8" t="str">
        <f>IFERROR(__xludf.DUMMYFUNCTION("""COMPUTED_VALUE"""),"FLE812")</f>
        <v>FLE812</v>
      </c>
      <c r="B383" s="8" t="str">
        <f>IFERROR(__xludf.DUMMYFUNCTION("""COMPUTED_VALUE"""),"RUN-FLMP_2022-01-10_RFR-053")</f>
        <v>RUN-FLMP_2022-01-10_RFR-053</v>
      </c>
      <c r="C383" s="10">
        <f>VLOOKUP(B383,'Run Reconcile'!A$2:B1579,2,FALSE)</f>
        <v>44571</v>
      </c>
      <c r="D383" s="14">
        <f>IFERROR(__xludf.DUMMYFUNCTION("""COMPUTED_VALUE"""),44570.0)</f>
        <v>44570</v>
      </c>
      <c r="E383" s="15">
        <f>IFERROR(__xludf.DUMMYFUNCTION("""COMPUTED_VALUE"""),0.5412847222214623)</f>
        <v>0.5412847222</v>
      </c>
      <c r="F383" s="8" t="str">
        <f>IFERROR(__xludf.DUMMYFUNCTION("""COMPUTED_VALUE"""),"Positive")</f>
        <v>Positive</v>
      </c>
      <c r="G383" s="16">
        <f>IFERROR(__xludf.DUMMYFUNCTION("""COMPUTED_VALUE"""),1.0)</f>
        <v>1</v>
      </c>
      <c r="H383" s="8" t="str">
        <f>IFERROR(__xludf.DUMMYFUNCTION("""COMPUTED_VALUE"""),"CRLN")</f>
        <v>CRLN</v>
      </c>
    </row>
    <row r="384">
      <c r="A384" s="8" t="str">
        <f>IFERROR(__xludf.DUMMYFUNCTION("""COMPUTED_VALUE"""),"FLB5850")</f>
        <v>FLB5850</v>
      </c>
      <c r="B384" s="8" t="str">
        <f>IFERROR(__xludf.DUMMYFUNCTION("""COMPUTED_VALUE"""),"RUN-FLMP_2022-01-10_RFR-053")</f>
        <v>RUN-FLMP_2022-01-10_RFR-053</v>
      </c>
      <c r="C384" s="10">
        <f>VLOOKUP(B384,'Run Reconcile'!A$2:B1579,2,FALSE)</f>
        <v>44571</v>
      </c>
      <c r="D384" s="14">
        <f>IFERROR(__xludf.DUMMYFUNCTION("""COMPUTED_VALUE"""),44570.0)</f>
        <v>44570</v>
      </c>
      <c r="E384" s="15">
        <f>IFERROR(__xludf.DUMMYFUNCTION("""COMPUTED_VALUE"""),0.6099884259274404)</f>
        <v>0.6099884259</v>
      </c>
      <c r="F384" s="8" t="str">
        <f>IFERROR(__xludf.DUMMYFUNCTION("""COMPUTED_VALUE"""),"Negative")</f>
        <v>Negative</v>
      </c>
      <c r="G384" s="16">
        <f>IFERROR(__xludf.DUMMYFUNCTION("""COMPUTED_VALUE"""),3.0)</f>
        <v>3</v>
      </c>
      <c r="H384" s="8" t="str">
        <f>IFERROR(__xludf.DUMMYFUNCTION("""COMPUTED_VALUE"""),"CRLN")</f>
        <v>CRLN</v>
      </c>
    </row>
    <row r="385">
      <c r="A385" s="8" t="str">
        <f>IFERROR(__xludf.DUMMYFUNCTION("""COMPUTED_VALUE"""),"FLB6848")</f>
        <v>FLB6848</v>
      </c>
      <c r="B385" s="8" t="str">
        <f>IFERROR(__xludf.DUMMYFUNCTION("""COMPUTED_VALUE"""),"RUN-FLMP_2022-01-10_RFR-053")</f>
        <v>RUN-FLMP_2022-01-10_RFR-053</v>
      </c>
      <c r="C385" s="10">
        <f>VLOOKUP(B385,'Run Reconcile'!A$2:B1579,2,FALSE)</f>
        <v>44571</v>
      </c>
      <c r="D385" s="14">
        <f>IFERROR(__xludf.DUMMYFUNCTION("""COMPUTED_VALUE"""),44570.0)</f>
        <v>44570</v>
      </c>
      <c r="E385" s="15">
        <f>IFERROR(__xludf.DUMMYFUNCTION("""COMPUTED_VALUE"""),0.6676851851843821)</f>
        <v>0.6676851852</v>
      </c>
      <c r="F385" s="8" t="str">
        <f>IFERROR(__xludf.DUMMYFUNCTION("""COMPUTED_VALUE"""),"Negative")</f>
        <v>Negative</v>
      </c>
      <c r="G385" s="16">
        <f>IFERROR(__xludf.DUMMYFUNCTION("""COMPUTED_VALUE"""),4.0)</f>
        <v>4</v>
      </c>
      <c r="H385" s="8" t="str">
        <f>IFERROR(__xludf.DUMMYFUNCTION("""COMPUTED_VALUE"""),"CRLN")</f>
        <v>CRLN</v>
      </c>
    </row>
    <row r="386">
      <c r="A386" s="8" t="str">
        <f>IFERROR(__xludf.DUMMYFUNCTION("""COMPUTED_VALUE"""),"FLT1395")</f>
        <v>FLT1395</v>
      </c>
      <c r="B386" s="8" t="str">
        <f>IFERROR(__xludf.DUMMYFUNCTION("""COMPUTED_VALUE"""),"RUN-FLMP_2022-01-10_RFR-053")</f>
        <v>RUN-FLMP_2022-01-10_RFR-053</v>
      </c>
      <c r="C386" s="10">
        <f>VLOOKUP(B386,'Run Reconcile'!A$2:B1579,2,FALSE)</f>
        <v>44571</v>
      </c>
      <c r="D386" s="14">
        <f>IFERROR(__xludf.DUMMYFUNCTION("""COMPUTED_VALUE"""),44570.0)</f>
        <v>44570</v>
      </c>
      <c r="E386" s="15">
        <f>IFERROR(__xludf.DUMMYFUNCTION("""COMPUTED_VALUE"""),0.6896990740751789)</f>
        <v>0.6896990741</v>
      </c>
      <c r="F386" s="8" t="str">
        <f>IFERROR(__xludf.DUMMYFUNCTION("""COMPUTED_VALUE"""),"Negative")</f>
        <v>Negative</v>
      </c>
      <c r="G386" s="16">
        <f>IFERROR(__xludf.DUMMYFUNCTION("""COMPUTED_VALUE"""),1.0)</f>
        <v>1</v>
      </c>
      <c r="H386" s="8" t="str">
        <f>IFERROR(__xludf.DUMMYFUNCTION("""COMPUTED_VALUE"""),"CRLN")</f>
        <v>CRLN</v>
      </c>
    </row>
    <row r="387">
      <c r="A387" s="8" t="str">
        <f>IFERROR(__xludf.DUMMYFUNCTION("""COMPUTED_VALUE"""),"FLT1119")</f>
        <v>FLT1119</v>
      </c>
      <c r="B387" s="8" t="str">
        <f>IFERROR(__xludf.DUMMYFUNCTION("""COMPUTED_VALUE"""),"RUN-FLMP_2022-01-10_RFR-053")</f>
        <v>RUN-FLMP_2022-01-10_RFR-053</v>
      </c>
      <c r="C387" s="10">
        <f>VLOOKUP(B387,'Run Reconcile'!A$2:B1579,2,FALSE)</f>
        <v>44571</v>
      </c>
      <c r="D387" s="14">
        <f>IFERROR(__xludf.DUMMYFUNCTION("""COMPUTED_VALUE"""),44570.0)</f>
        <v>44570</v>
      </c>
      <c r="E387" s="15">
        <f>IFERROR(__xludf.DUMMYFUNCTION("""COMPUTED_VALUE"""),0.7316666666665697)</f>
        <v>0.7316666667</v>
      </c>
      <c r="F387" s="8" t="str">
        <f>IFERROR(__xludf.DUMMYFUNCTION("""COMPUTED_VALUE"""),"Negative")</f>
        <v>Negative</v>
      </c>
      <c r="G387" s="16">
        <f>IFERROR(__xludf.DUMMYFUNCTION("""COMPUTED_VALUE"""),2.0)</f>
        <v>2</v>
      </c>
      <c r="H387" s="8" t="str">
        <f>IFERROR(__xludf.DUMMYFUNCTION("""COMPUTED_VALUE"""),"CRLN")</f>
        <v>CRLN</v>
      </c>
    </row>
    <row r="388">
      <c r="A388" s="8" t="str">
        <f>IFERROR(__xludf.DUMMYFUNCTION("""COMPUTED_VALUE"""),"FLT1439")</f>
        <v>FLT1439</v>
      </c>
      <c r="B388" s="8" t="str">
        <f>IFERROR(__xludf.DUMMYFUNCTION("""COMPUTED_VALUE"""),"RUN-FLMP_2022-01-10_RFR-053")</f>
        <v>RUN-FLMP_2022-01-10_RFR-053</v>
      </c>
      <c r="C388" s="10">
        <f>VLOOKUP(B388,'Run Reconcile'!A$2:B1579,2,FALSE)</f>
        <v>44571</v>
      </c>
      <c r="D388" s="14">
        <f>IFERROR(__xludf.DUMMYFUNCTION("""COMPUTED_VALUE"""),44570.0)</f>
        <v>44570</v>
      </c>
      <c r="E388" s="15">
        <f>IFERROR(__xludf.DUMMYFUNCTION("""COMPUTED_VALUE"""),0.7323032407402934)</f>
        <v>0.7323032407</v>
      </c>
      <c r="F388" s="8" t="str">
        <f>IFERROR(__xludf.DUMMYFUNCTION("""COMPUTED_VALUE"""),"Negative")</f>
        <v>Negative</v>
      </c>
      <c r="G388" s="16">
        <f>IFERROR(__xludf.DUMMYFUNCTION("""COMPUTED_VALUE"""),2.0)</f>
        <v>2</v>
      </c>
      <c r="H388" s="8" t="str">
        <f>IFERROR(__xludf.DUMMYFUNCTION("""COMPUTED_VALUE"""),"CRLN")</f>
        <v>CRLN</v>
      </c>
    </row>
    <row r="389">
      <c r="A389" s="8" t="str">
        <f>IFERROR(__xludf.DUMMYFUNCTION("""COMPUTED_VALUE"""),"FLT1400")</f>
        <v>FLT1400</v>
      </c>
      <c r="B389" s="8" t="str">
        <f>IFERROR(__xludf.DUMMYFUNCTION("""COMPUTED_VALUE"""),"RUN-FLMP_2022-01-10_RFR-053")</f>
        <v>RUN-FLMP_2022-01-10_RFR-053</v>
      </c>
      <c r="C389" s="10">
        <f>VLOOKUP(B389,'Run Reconcile'!A$2:B1579,2,FALSE)</f>
        <v>44571</v>
      </c>
      <c r="D389" s="14">
        <f>IFERROR(__xludf.DUMMYFUNCTION("""COMPUTED_VALUE"""),44570.0)</f>
        <v>44570</v>
      </c>
      <c r="E389" s="15">
        <f>IFERROR(__xludf.DUMMYFUNCTION("""COMPUTED_VALUE"""),0.7543171296310902)</f>
        <v>0.7543171296</v>
      </c>
      <c r="F389" s="8" t="str">
        <f>IFERROR(__xludf.DUMMYFUNCTION("""COMPUTED_VALUE"""),"Positive")</f>
        <v>Positive</v>
      </c>
      <c r="G389" s="16">
        <f>IFERROR(__xludf.DUMMYFUNCTION("""COMPUTED_VALUE"""),1.0)</f>
        <v>1</v>
      </c>
      <c r="H389" s="8" t="str">
        <f>IFERROR(__xludf.DUMMYFUNCTION("""COMPUTED_VALUE"""),"CRLN")</f>
        <v>CRLN</v>
      </c>
    </row>
    <row r="390">
      <c r="A390" s="8" t="str">
        <f>IFERROR(__xludf.DUMMYFUNCTION("""COMPUTED_VALUE"""),"FLT1465")</f>
        <v>FLT1465</v>
      </c>
      <c r="B390" s="8" t="str">
        <f>IFERROR(__xludf.DUMMYFUNCTION("""COMPUTED_VALUE"""),"RUN-FLMP_2022-01-10_RFR-053")</f>
        <v>RUN-FLMP_2022-01-10_RFR-053</v>
      </c>
      <c r="C390" s="10">
        <f>VLOOKUP(B390,'Run Reconcile'!A$2:B1579,2,FALSE)</f>
        <v>44571</v>
      </c>
      <c r="D390" s="14">
        <f>IFERROR(__xludf.DUMMYFUNCTION("""COMPUTED_VALUE"""),44570.0)</f>
        <v>44570</v>
      </c>
      <c r="E390" s="15">
        <f>IFERROR(__xludf.DUMMYFUNCTION("""COMPUTED_VALUE"""),0.7574768518534256)</f>
        <v>0.7574768519</v>
      </c>
      <c r="F390" s="8" t="str">
        <f>IFERROR(__xludf.DUMMYFUNCTION("""COMPUTED_VALUE"""),"Positive")</f>
        <v>Positive</v>
      </c>
      <c r="G390" s="16">
        <f>IFERROR(__xludf.DUMMYFUNCTION("""COMPUTED_VALUE"""),1.0)</f>
        <v>1</v>
      </c>
      <c r="H390" s="8" t="str">
        <f>IFERROR(__xludf.DUMMYFUNCTION("""COMPUTED_VALUE"""),"CRLN")</f>
        <v>CRLN</v>
      </c>
    </row>
    <row r="391">
      <c r="A391" s="8" t="str">
        <f>IFERROR(__xludf.DUMMYFUNCTION("""COMPUTED_VALUE"""),"FLB5838")</f>
        <v>FLB5838</v>
      </c>
      <c r="B391" s="8" t="str">
        <f>IFERROR(__xludf.DUMMYFUNCTION("""COMPUTED_VALUE"""),"RUN-FLMP_2022-01-10_RFR-053")</f>
        <v>RUN-FLMP_2022-01-10_RFR-053</v>
      </c>
      <c r="C391" s="10">
        <f>VLOOKUP(B391,'Run Reconcile'!A$2:B1579,2,FALSE)</f>
        <v>44571</v>
      </c>
      <c r="D391" s="14">
        <f>IFERROR(__xludf.DUMMYFUNCTION("""COMPUTED_VALUE"""),44570.0)</f>
        <v>44570</v>
      </c>
      <c r="E391" s="15">
        <f>IFERROR(__xludf.DUMMYFUNCTION("""COMPUTED_VALUE"""),0.762939814816491)</f>
        <v>0.7629398148</v>
      </c>
      <c r="F391" s="8" t="str">
        <f>IFERROR(__xludf.DUMMYFUNCTION("""COMPUTED_VALUE"""),"Positive")</f>
        <v>Positive</v>
      </c>
      <c r="G391" s="16">
        <f>IFERROR(__xludf.DUMMYFUNCTION("""COMPUTED_VALUE"""),3.0)</f>
        <v>3</v>
      </c>
      <c r="H391" s="8" t="str">
        <f>IFERROR(__xludf.DUMMYFUNCTION("""COMPUTED_VALUE"""),"CRLN")</f>
        <v>CRLN</v>
      </c>
    </row>
    <row r="392">
      <c r="A392" s="8" t="str">
        <f>IFERROR(__xludf.DUMMYFUNCTION("""COMPUTED_VALUE"""),"FLT1177")</f>
        <v>FLT1177</v>
      </c>
      <c r="B392" s="8" t="str">
        <f>IFERROR(__xludf.DUMMYFUNCTION("""COMPUTED_VALUE"""),"RUN-FLMP_2022-01-10_RFR-053")</f>
        <v>RUN-FLMP_2022-01-10_RFR-053</v>
      </c>
      <c r="C392" s="10">
        <f>VLOOKUP(B392,'Run Reconcile'!A$2:B1579,2,FALSE)</f>
        <v>44571</v>
      </c>
      <c r="D392" s="14">
        <f>IFERROR(__xludf.DUMMYFUNCTION("""COMPUTED_VALUE"""),44570.0)</f>
        <v>44570</v>
      </c>
      <c r="E392" s="15">
        <f>IFERROR(__xludf.DUMMYFUNCTION("""COMPUTED_VALUE"""),0.76583333333474)</f>
        <v>0.7658333333</v>
      </c>
      <c r="F392" s="8" t="str">
        <f>IFERROR(__xludf.DUMMYFUNCTION("""COMPUTED_VALUE"""),"Negative")</f>
        <v>Negative</v>
      </c>
      <c r="G392" s="16">
        <f>IFERROR(__xludf.DUMMYFUNCTION("""COMPUTED_VALUE"""),3.0)</f>
        <v>3</v>
      </c>
      <c r="H392" s="8" t="str">
        <f>IFERROR(__xludf.DUMMYFUNCTION("""COMPUTED_VALUE"""),"CRLN")</f>
        <v>CRLN</v>
      </c>
    </row>
    <row r="393">
      <c r="A393" s="8" t="str">
        <f>IFERROR(__xludf.DUMMYFUNCTION("""COMPUTED_VALUE"""),"FLB5843")</f>
        <v>FLB5843</v>
      </c>
      <c r="B393" s="8" t="str">
        <f>IFERROR(__xludf.DUMMYFUNCTION("""COMPUTED_VALUE"""),"RUN-FLMP_2022-01-10_RFR-053")</f>
        <v>RUN-FLMP_2022-01-10_RFR-053</v>
      </c>
      <c r="C393" s="10">
        <f>VLOOKUP(B393,'Run Reconcile'!A$2:B1579,2,FALSE)</f>
        <v>44571</v>
      </c>
      <c r="D393" s="14">
        <f>IFERROR(__xludf.DUMMYFUNCTION("""COMPUTED_VALUE"""),44570.0)</f>
        <v>44570</v>
      </c>
      <c r="E393" s="15">
        <f>IFERROR(__xludf.DUMMYFUNCTION("""COMPUTED_VALUE"""),0.7983333333322662)</f>
        <v>0.7983333333</v>
      </c>
      <c r="F393" s="8" t="str">
        <f>IFERROR(__xludf.DUMMYFUNCTION("""COMPUTED_VALUE"""),"Negative")</f>
        <v>Negative</v>
      </c>
      <c r="G393" s="16">
        <f>IFERROR(__xludf.DUMMYFUNCTION("""COMPUTED_VALUE"""),4.0)</f>
        <v>4</v>
      </c>
      <c r="H393" s="8" t="str">
        <f>IFERROR(__xludf.DUMMYFUNCTION("""COMPUTED_VALUE"""),"CRLN")</f>
        <v>CRLN</v>
      </c>
    </row>
    <row r="394">
      <c r="A394" s="8" t="str">
        <f>IFERROR(__xludf.DUMMYFUNCTION("""COMPUTED_VALUE"""),"FLT1463")</f>
        <v>FLT1463</v>
      </c>
      <c r="B394" s="8" t="str">
        <f>IFERROR(__xludf.DUMMYFUNCTION("""COMPUTED_VALUE"""),"RUN-FLMP_2022-01-10_RFR-053")</f>
        <v>RUN-FLMP_2022-01-10_RFR-053</v>
      </c>
      <c r="C394" s="10">
        <f>VLOOKUP(B394,'Run Reconcile'!A$2:B1579,2,FALSE)</f>
        <v>44571</v>
      </c>
      <c r="D394" s="14">
        <f>IFERROR(__xludf.DUMMYFUNCTION("""COMPUTED_VALUE"""),44570.0)</f>
        <v>44570</v>
      </c>
      <c r="E394" s="15">
        <f>IFERROR(__xludf.DUMMYFUNCTION("""COMPUTED_VALUE"""),0.8176157407397113)</f>
        <v>0.8176157407</v>
      </c>
      <c r="F394" s="8" t="str">
        <f>IFERROR(__xludf.DUMMYFUNCTION("""COMPUTED_VALUE"""),"Negative")</f>
        <v>Negative</v>
      </c>
      <c r="G394" s="16">
        <f>IFERROR(__xludf.DUMMYFUNCTION("""COMPUTED_VALUE"""),1.0)</f>
        <v>1</v>
      </c>
      <c r="H394" s="8" t="str">
        <f>IFERROR(__xludf.DUMMYFUNCTION("""COMPUTED_VALUE"""),"CRLN")</f>
        <v>CRLN</v>
      </c>
    </row>
    <row r="395">
      <c r="A395" s="8" t="str">
        <f>IFERROR(__xludf.DUMMYFUNCTION("""COMPUTED_VALUE"""),"FLT1476")</f>
        <v>FLT1476</v>
      </c>
      <c r="B395" s="8" t="str">
        <f>IFERROR(__xludf.DUMMYFUNCTION("""COMPUTED_VALUE"""),"RUN-FLMP_2022-01-10_RFR-053")</f>
        <v>RUN-FLMP_2022-01-10_RFR-053</v>
      </c>
      <c r="C395" s="10">
        <f>VLOOKUP(B395,'Run Reconcile'!A$2:B1579,2,FALSE)</f>
        <v>44571</v>
      </c>
      <c r="D395" s="14">
        <f>IFERROR(__xludf.DUMMYFUNCTION("""COMPUTED_VALUE"""),44570.0)</f>
        <v>44570</v>
      </c>
      <c r="E395" s="15">
        <f>IFERROR(__xludf.DUMMYFUNCTION("""COMPUTED_VALUE"""),0.8424074074064265)</f>
        <v>0.8424074074</v>
      </c>
      <c r="F395" s="8" t="str">
        <f>IFERROR(__xludf.DUMMYFUNCTION("""COMPUTED_VALUE"""),"Negative")</f>
        <v>Negative</v>
      </c>
      <c r="G395" s="16">
        <f>IFERROR(__xludf.DUMMYFUNCTION("""COMPUTED_VALUE"""),4.0)</f>
        <v>4</v>
      </c>
      <c r="H395" s="8" t="str">
        <f>IFERROR(__xludf.DUMMYFUNCTION("""COMPUTED_VALUE"""),"CRLN")</f>
        <v>CRLN</v>
      </c>
    </row>
    <row r="396">
      <c r="A396" s="8" t="str">
        <f>IFERROR(__xludf.DUMMYFUNCTION("""COMPUTED_VALUE"""),"FLT1440")</f>
        <v>FLT1440</v>
      </c>
      <c r="B396" s="8" t="str">
        <f>IFERROR(__xludf.DUMMYFUNCTION("""COMPUTED_VALUE"""),"RUN-FLMP_2022-01-10_RFR-053")</f>
        <v>RUN-FLMP_2022-01-10_RFR-053</v>
      </c>
      <c r="C396" s="10">
        <f>VLOOKUP(B396,'Run Reconcile'!A$2:B1579,2,FALSE)</f>
        <v>44571</v>
      </c>
      <c r="D396" s="14">
        <f>IFERROR(__xludf.DUMMYFUNCTION("""COMPUTED_VALUE"""),44570.0)</f>
        <v>44570</v>
      </c>
      <c r="E396" s="15">
        <f>IFERROR(__xludf.DUMMYFUNCTION("""COMPUTED_VALUE"""),0.8436226851845277)</f>
        <v>0.8436226852</v>
      </c>
      <c r="F396" s="8" t="str">
        <f>IFERROR(__xludf.DUMMYFUNCTION("""COMPUTED_VALUE"""),"Negative")</f>
        <v>Negative</v>
      </c>
      <c r="G396" s="16">
        <f>IFERROR(__xludf.DUMMYFUNCTION("""COMPUTED_VALUE"""),1.0)</f>
        <v>1</v>
      </c>
      <c r="H396" s="8" t="str">
        <f>IFERROR(__xludf.DUMMYFUNCTION("""COMPUTED_VALUE"""),"CRLN")</f>
        <v>CRLN</v>
      </c>
    </row>
    <row r="397">
      <c r="A397" s="8" t="str">
        <f>IFERROR(__xludf.DUMMYFUNCTION("""COMPUTED_VALUE"""),"FLT1178")</f>
        <v>FLT1178</v>
      </c>
      <c r="B397" s="8" t="str">
        <f>IFERROR(__xludf.DUMMYFUNCTION("""COMPUTED_VALUE"""),"RUN-FLMP_2022-01-10_RFR-053")</f>
        <v>RUN-FLMP_2022-01-10_RFR-053</v>
      </c>
      <c r="C397" s="10">
        <f>VLOOKUP(B397,'Run Reconcile'!A$2:B1579,2,FALSE)</f>
        <v>44571</v>
      </c>
      <c r="D397" s="14">
        <f>IFERROR(__xludf.DUMMYFUNCTION("""COMPUTED_VALUE"""),44570.0)</f>
        <v>44570</v>
      </c>
      <c r="E397" s="15">
        <f>IFERROR(__xludf.DUMMYFUNCTION("""COMPUTED_VALUE"""),0.9296643518500787)</f>
        <v>0.9296643519</v>
      </c>
      <c r="F397" s="8" t="str">
        <f>IFERROR(__xludf.DUMMYFUNCTION("""COMPUTED_VALUE"""),"Negative")</f>
        <v>Negative</v>
      </c>
      <c r="G397" s="16">
        <f>IFERROR(__xludf.DUMMYFUNCTION("""COMPUTED_VALUE"""),1.0)</f>
        <v>1</v>
      </c>
      <c r="H397" s="8" t="str">
        <f>IFERROR(__xludf.DUMMYFUNCTION("""COMPUTED_VALUE"""),"CRLN")</f>
        <v>CRLN</v>
      </c>
    </row>
    <row r="398">
      <c r="A398" s="8" t="str">
        <f>IFERROR(__xludf.DUMMYFUNCTION("""COMPUTED_VALUE"""),"FLB5818")</f>
        <v>FLB5818</v>
      </c>
      <c r="B398" s="8" t="str">
        <f>IFERROR(__xludf.DUMMYFUNCTION("""COMPUTED_VALUE"""),"RUN-FLMP_2022-01-10_RFR-053")</f>
        <v>RUN-FLMP_2022-01-10_RFR-053</v>
      </c>
      <c r="C398" s="10">
        <f>VLOOKUP(B398,'Run Reconcile'!A$2:B1579,2,FALSE)</f>
        <v>44571</v>
      </c>
      <c r="D398" s="14">
        <f>IFERROR(__xludf.DUMMYFUNCTION("""COMPUTED_VALUE"""),44571.0)</f>
        <v>44571</v>
      </c>
      <c r="E398" s="15">
        <f>IFERROR(__xludf.DUMMYFUNCTION("""COMPUTED_VALUE"""),0.0)</f>
        <v>0</v>
      </c>
      <c r="F398" s="8" t="str">
        <f>IFERROR(__xludf.DUMMYFUNCTION("""COMPUTED_VALUE"""),"Negative")</f>
        <v>Negative</v>
      </c>
      <c r="G398" s="16">
        <f>IFERROR(__xludf.DUMMYFUNCTION("""COMPUTED_VALUE"""),2.0)</f>
        <v>2</v>
      </c>
      <c r="H398" s="8" t="str">
        <f>IFERROR(__xludf.DUMMYFUNCTION("""COMPUTED_VALUE"""),"CRLN")</f>
        <v>CRLN</v>
      </c>
    </row>
    <row r="399">
      <c r="A399" s="8" t="str">
        <f>IFERROR(__xludf.DUMMYFUNCTION("""COMPUTED_VALUE"""),"FLB7375")</f>
        <v>FLB7375</v>
      </c>
      <c r="B399" s="8" t="str">
        <f>IFERROR(__xludf.DUMMYFUNCTION("""COMPUTED_VALUE"""),"RUN-FLMP_2022-01-10_RFR-053")</f>
        <v>RUN-FLMP_2022-01-10_RFR-053</v>
      </c>
      <c r="C399" s="10">
        <f>VLOOKUP(B399,'Run Reconcile'!A$2:B1579,2,FALSE)</f>
        <v>44571</v>
      </c>
      <c r="D399" s="14">
        <f>IFERROR(__xludf.DUMMYFUNCTION("""COMPUTED_VALUE"""),44571.0)</f>
        <v>44571</v>
      </c>
      <c r="E399" s="15">
        <f>IFERROR(__xludf.DUMMYFUNCTION("""COMPUTED_VALUE"""),0.0)</f>
        <v>0</v>
      </c>
      <c r="F399" s="8" t="str">
        <f>IFERROR(__xludf.DUMMYFUNCTION("""COMPUTED_VALUE"""),"Positive")</f>
        <v>Positive</v>
      </c>
      <c r="G399" s="16">
        <f>IFERROR(__xludf.DUMMYFUNCTION("""COMPUTED_VALUE"""),2.0)</f>
        <v>2</v>
      </c>
      <c r="H399" s="8" t="str">
        <f>IFERROR(__xludf.DUMMYFUNCTION("""COMPUTED_VALUE"""),"CRLN")</f>
        <v>CRLN</v>
      </c>
    </row>
    <row r="400">
      <c r="A400" s="8" t="str">
        <f>IFERROR(__xludf.DUMMYFUNCTION("""COMPUTED_VALUE"""),"FLT1137")</f>
        <v>FLT1137</v>
      </c>
      <c r="B400" s="8" t="str">
        <f>IFERROR(__xludf.DUMMYFUNCTION("""COMPUTED_VALUE"""),"RUN-FLMP_2022-01-10_RFR-053")</f>
        <v>RUN-FLMP_2022-01-10_RFR-053</v>
      </c>
      <c r="C400" s="10">
        <f>VLOOKUP(B400,'Run Reconcile'!A$2:B1579,2,FALSE)</f>
        <v>44571</v>
      </c>
      <c r="D400" s="14">
        <f>IFERROR(__xludf.DUMMYFUNCTION("""COMPUTED_VALUE"""),44571.0)</f>
        <v>44571</v>
      </c>
      <c r="E400" s="15">
        <f>IFERROR(__xludf.DUMMYFUNCTION("""COMPUTED_VALUE"""),0.29896990740598994)</f>
        <v>0.2989699074</v>
      </c>
      <c r="F400" s="8" t="str">
        <f>IFERROR(__xludf.DUMMYFUNCTION("""COMPUTED_VALUE"""),"Negative")</f>
        <v>Negative</v>
      </c>
      <c r="G400" s="16">
        <f>IFERROR(__xludf.DUMMYFUNCTION("""COMPUTED_VALUE"""),2.0)</f>
        <v>2</v>
      </c>
      <c r="H400" s="8" t="str">
        <f>IFERROR(__xludf.DUMMYFUNCTION("""COMPUTED_VALUE"""),"CRLN")</f>
        <v>CRLN</v>
      </c>
    </row>
    <row r="401">
      <c r="A401" s="8" t="str">
        <f>IFERROR(__xludf.DUMMYFUNCTION("""COMPUTED_VALUE"""),"FLB7416")</f>
        <v>FLB7416</v>
      </c>
      <c r="B401" s="8" t="str">
        <f>IFERROR(__xludf.DUMMYFUNCTION("""COMPUTED_VALUE"""),"RUN-FLMP_2022-01-10_RFR-053")</f>
        <v>RUN-FLMP_2022-01-10_RFR-053</v>
      </c>
      <c r="C401" s="10">
        <f>VLOOKUP(B401,'Run Reconcile'!A$2:B1579,2,FALSE)</f>
        <v>44571</v>
      </c>
      <c r="D401" s="14">
        <f>IFERROR(__xludf.DUMMYFUNCTION("""COMPUTED_VALUE"""),44571.0)</f>
        <v>44571</v>
      </c>
      <c r="E401" s="15">
        <f>IFERROR(__xludf.DUMMYFUNCTION("""COMPUTED_VALUE"""),0.30368055555663886)</f>
        <v>0.3036805556</v>
      </c>
      <c r="F401" s="8" t="str">
        <f>IFERROR(__xludf.DUMMYFUNCTION("""COMPUTED_VALUE"""),"Negative")</f>
        <v>Negative</v>
      </c>
      <c r="G401" s="16">
        <f>IFERROR(__xludf.DUMMYFUNCTION("""COMPUTED_VALUE"""),1.0)</f>
        <v>1</v>
      </c>
      <c r="H401" s="8" t="str">
        <f>IFERROR(__xludf.DUMMYFUNCTION("""COMPUTED_VALUE"""),"CRLN")</f>
        <v>CRLN</v>
      </c>
    </row>
    <row r="402">
      <c r="A402" s="8" t="str">
        <f>IFERROR(__xludf.DUMMYFUNCTION("""COMPUTED_VALUE"""),"FLB6348")</f>
        <v>FLB6348</v>
      </c>
      <c r="B402" s="8" t="str">
        <f>IFERROR(__xludf.DUMMYFUNCTION("""COMPUTED_VALUE"""),"RUN-FLMP_2022-01-10_RFR-053")</f>
        <v>RUN-FLMP_2022-01-10_RFR-053</v>
      </c>
      <c r="C402" s="10">
        <f>VLOOKUP(B402,'Run Reconcile'!A$2:B1579,2,FALSE)</f>
        <v>44571</v>
      </c>
      <c r="D402" s="14">
        <f>IFERROR(__xludf.DUMMYFUNCTION("""COMPUTED_VALUE"""),44571.0)</f>
        <v>44571</v>
      </c>
      <c r="E402" s="15">
        <f>IFERROR(__xludf.DUMMYFUNCTION("""COMPUTED_VALUE"""),0.31030092592482106)</f>
        <v>0.3103009259</v>
      </c>
      <c r="F402" s="8" t="str">
        <f>IFERROR(__xludf.DUMMYFUNCTION("""COMPUTED_VALUE"""),"Negative")</f>
        <v>Negative</v>
      </c>
      <c r="G402" s="16">
        <f>IFERROR(__xludf.DUMMYFUNCTION("""COMPUTED_VALUE"""),4.0)</f>
        <v>4</v>
      </c>
      <c r="H402" s="8" t="str">
        <f>IFERROR(__xludf.DUMMYFUNCTION("""COMPUTED_VALUE"""),"CRLN")</f>
        <v>CRLN</v>
      </c>
    </row>
    <row r="403">
      <c r="A403" s="8" t="str">
        <f>IFERROR(__xludf.DUMMYFUNCTION("""COMPUTED_VALUE"""),"FLT1168")</f>
        <v>FLT1168</v>
      </c>
      <c r="B403" s="8" t="str">
        <f>IFERROR(__xludf.DUMMYFUNCTION("""COMPUTED_VALUE"""),"RUN-FLMP_2022-01-10_RFR-053")</f>
        <v>RUN-FLMP_2022-01-10_RFR-053</v>
      </c>
      <c r="C403" s="10">
        <f>VLOOKUP(B403,'Run Reconcile'!A$2:B1579,2,FALSE)</f>
        <v>44571</v>
      </c>
      <c r="D403" s="14">
        <f>IFERROR(__xludf.DUMMYFUNCTION("""COMPUTED_VALUE"""),44571.0)</f>
        <v>44571</v>
      </c>
      <c r="E403" s="15">
        <f>IFERROR(__xludf.DUMMYFUNCTION("""COMPUTED_VALUE"""),0.3206481481465744)</f>
        <v>0.3206481481</v>
      </c>
      <c r="F403" s="8" t="str">
        <f>IFERROR(__xludf.DUMMYFUNCTION("""COMPUTED_VALUE"""),"Negative")</f>
        <v>Negative</v>
      </c>
      <c r="G403" s="16">
        <f>IFERROR(__xludf.DUMMYFUNCTION("""COMPUTED_VALUE"""),1.0)</f>
        <v>1</v>
      </c>
      <c r="H403" s="8" t="str">
        <f>IFERROR(__xludf.DUMMYFUNCTION("""COMPUTED_VALUE"""),"CRLN")</f>
        <v>CRLN</v>
      </c>
    </row>
    <row r="404">
      <c r="A404" s="8" t="str">
        <f>IFERROR(__xludf.DUMMYFUNCTION("""COMPUTED_VALUE"""),"FLB6341")</f>
        <v>FLB6341</v>
      </c>
      <c r="B404" s="8" t="str">
        <f>IFERROR(__xludf.DUMMYFUNCTION("""COMPUTED_VALUE"""),"RUN-FLMP_2022-01-10_RFR-053")</f>
        <v>RUN-FLMP_2022-01-10_RFR-053</v>
      </c>
      <c r="C404" s="10">
        <f>VLOOKUP(B404,'Run Reconcile'!A$2:B1579,2,FALSE)</f>
        <v>44571</v>
      </c>
      <c r="D404" s="14">
        <f>IFERROR(__xludf.DUMMYFUNCTION("""COMPUTED_VALUE"""),44571.0)</f>
        <v>44571</v>
      </c>
      <c r="E404" s="15">
        <f>IFERROR(__xludf.DUMMYFUNCTION("""COMPUTED_VALUE"""),0.322858796294895)</f>
        <v>0.3228587963</v>
      </c>
      <c r="F404" s="8" t="str">
        <f>IFERROR(__xludf.DUMMYFUNCTION("""COMPUTED_VALUE"""),"Negative")</f>
        <v>Negative</v>
      </c>
      <c r="G404" s="16">
        <f>IFERROR(__xludf.DUMMYFUNCTION("""COMPUTED_VALUE"""),1.0)</f>
        <v>1</v>
      </c>
      <c r="H404" s="8" t="str">
        <f>IFERROR(__xludf.DUMMYFUNCTION("""COMPUTED_VALUE"""),"CRLN")</f>
        <v>CRLN</v>
      </c>
    </row>
    <row r="405">
      <c r="A405" s="8" t="str">
        <f>IFERROR(__xludf.DUMMYFUNCTION("""COMPUTED_VALUE"""),"FLB5890")</f>
        <v>FLB5890</v>
      </c>
      <c r="B405" s="8" t="str">
        <f>IFERROR(__xludf.DUMMYFUNCTION("""COMPUTED_VALUE"""),"RUN-FLMP_2022-01-10_RFR-053")</f>
        <v>RUN-FLMP_2022-01-10_RFR-053</v>
      </c>
      <c r="C405" s="10">
        <f>VLOOKUP(B405,'Run Reconcile'!A$2:B1579,2,FALSE)</f>
        <v>44571</v>
      </c>
      <c r="D405" s="14">
        <f>IFERROR(__xludf.DUMMYFUNCTION("""COMPUTED_VALUE"""),44571.0)</f>
        <v>44571</v>
      </c>
      <c r="E405" s="15">
        <f>IFERROR(__xludf.DUMMYFUNCTION("""COMPUTED_VALUE"""),0.3372222222205892)</f>
        <v>0.3372222222</v>
      </c>
      <c r="F405" s="8" t="str">
        <f>IFERROR(__xludf.DUMMYFUNCTION("""COMPUTED_VALUE"""),"Negative")</f>
        <v>Negative</v>
      </c>
      <c r="G405" s="16">
        <f>IFERROR(__xludf.DUMMYFUNCTION("""COMPUTED_VALUE"""),1.0)</f>
        <v>1</v>
      </c>
      <c r="H405" s="8" t="str">
        <f>IFERROR(__xludf.DUMMYFUNCTION("""COMPUTED_VALUE"""),"CRLN")</f>
        <v>CRLN</v>
      </c>
    </row>
    <row r="406">
      <c r="A406" s="8" t="str">
        <f>IFERROR(__xludf.DUMMYFUNCTION("""COMPUTED_VALUE"""),"FLT1407")</f>
        <v>FLT1407</v>
      </c>
      <c r="B406" s="8" t="str">
        <f>IFERROR(__xludf.DUMMYFUNCTION("""COMPUTED_VALUE"""),"RUN-FLMP_2022-01-10_RFR-053")</f>
        <v>RUN-FLMP_2022-01-10_RFR-053</v>
      </c>
      <c r="C406" s="10">
        <f>VLOOKUP(B406,'Run Reconcile'!A$2:B1579,2,FALSE)</f>
        <v>44571</v>
      </c>
      <c r="D406" s="14">
        <f>IFERROR(__xludf.DUMMYFUNCTION("""COMPUTED_VALUE"""),44571.0)</f>
        <v>44571</v>
      </c>
      <c r="E406" s="15">
        <f>IFERROR(__xludf.DUMMYFUNCTION("""COMPUTED_VALUE"""),0.33842592592554865)</f>
        <v>0.3384259259</v>
      </c>
      <c r="F406" s="8" t="str">
        <f>IFERROR(__xludf.DUMMYFUNCTION("""COMPUTED_VALUE"""),"Negative")</f>
        <v>Negative</v>
      </c>
      <c r="G406" s="16">
        <f>IFERROR(__xludf.DUMMYFUNCTION("""COMPUTED_VALUE"""),3.0)</f>
        <v>3</v>
      </c>
      <c r="H406" s="8" t="str">
        <f>IFERROR(__xludf.DUMMYFUNCTION("""COMPUTED_VALUE"""),"CRLN")</f>
        <v>CRLN</v>
      </c>
    </row>
    <row r="407">
      <c r="A407" s="8" t="str">
        <f>IFERROR(__xludf.DUMMYFUNCTION("""COMPUTED_VALUE"""),"FLE296")</f>
        <v>FLE296</v>
      </c>
      <c r="B407" s="8" t="str">
        <f>IFERROR(__xludf.DUMMYFUNCTION("""COMPUTED_VALUE"""),"RUN-FLMP_2022-01-10_RFR-053")</f>
        <v>RUN-FLMP_2022-01-10_RFR-053</v>
      </c>
      <c r="C407" s="10">
        <f>VLOOKUP(B407,'Run Reconcile'!A$2:B1579,2,FALSE)</f>
        <v>44571</v>
      </c>
      <c r="D407" s="14">
        <f>IFERROR(__xludf.DUMMYFUNCTION("""COMPUTED_VALUE"""),44571.0)</f>
        <v>44571</v>
      </c>
      <c r="E407" s="15">
        <f>IFERROR(__xludf.DUMMYFUNCTION("""COMPUTED_VALUE"""),0.33939814814948477)</f>
        <v>0.3393981481</v>
      </c>
      <c r="F407" s="8" t="str">
        <f>IFERROR(__xludf.DUMMYFUNCTION("""COMPUTED_VALUE"""),"Positive")</f>
        <v>Positive</v>
      </c>
      <c r="G407" s="16">
        <f>IFERROR(__xludf.DUMMYFUNCTION("""COMPUTED_VALUE"""),1.0)</f>
        <v>1</v>
      </c>
      <c r="H407" s="8" t="str">
        <f>IFERROR(__xludf.DUMMYFUNCTION("""COMPUTED_VALUE"""),"FLSP")</f>
        <v>FLSP</v>
      </c>
    </row>
    <row r="408">
      <c r="A408" s="8" t="str">
        <f>IFERROR(__xludf.DUMMYFUNCTION("""COMPUTED_VALUE"""),"FLB5866")</f>
        <v>FLB5866</v>
      </c>
      <c r="B408" s="8" t="str">
        <f>IFERROR(__xludf.DUMMYFUNCTION("""COMPUTED_VALUE"""),"RUN-FLMP_2022-01-10_RFR-053")</f>
        <v>RUN-FLMP_2022-01-10_RFR-053</v>
      </c>
      <c r="C408" s="10">
        <f>VLOOKUP(B408,'Run Reconcile'!A$2:B1579,2,FALSE)</f>
        <v>44571</v>
      </c>
      <c r="D408" s="14">
        <f>IFERROR(__xludf.DUMMYFUNCTION("""COMPUTED_VALUE"""),44571.0)</f>
        <v>44571</v>
      </c>
      <c r="E408" s="15">
        <f>IFERROR(__xludf.DUMMYFUNCTION("""COMPUTED_VALUE"""),0.3410185185202863)</f>
        <v>0.3410185185</v>
      </c>
      <c r="F408" s="8" t="str">
        <f>IFERROR(__xludf.DUMMYFUNCTION("""COMPUTED_VALUE"""),"Positive")</f>
        <v>Positive</v>
      </c>
      <c r="G408" s="16">
        <f>IFERROR(__xludf.DUMMYFUNCTION("""COMPUTED_VALUE"""),1.0)</f>
        <v>1</v>
      </c>
      <c r="H408" s="8" t="str">
        <f>IFERROR(__xludf.DUMMYFUNCTION("""COMPUTED_VALUE"""),"FLSP")</f>
        <v>FLSP</v>
      </c>
    </row>
    <row r="409">
      <c r="A409" s="8" t="str">
        <f>IFERROR(__xludf.DUMMYFUNCTION("""COMPUTED_VALUE"""),"FLT1578")</f>
        <v>FLT1578</v>
      </c>
      <c r="B409" s="8" t="str">
        <f>IFERROR(__xludf.DUMMYFUNCTION("""COMPUTED_VALUE"""),"RUN-FLMP_2022-01-10_RFR-053")</f>
        <v>RUN-FLMP_2022-01-10_RFR-053</v>
      </c>
      <c r="C409" s="10">
        <f>VLOOKUP(B409,'Run Reconcile'!A$2:B1579,2,FALSE)</f>
        <v>44571</v>
      </c>
      <c r="D409" s="14">
        <f>IFERROR(__xludf.DUMMYFUNCTION("""COMPUTED_VALUE"""),44571.0)</f>
        <v>44571</v>
      </c>
      <c r="E409" s="15">
        <f>IFERROR(__xludf.DUMMYFUNCTION("""COMPUTED_VALUE"""),0.35012731481401715)</f>
        <v>0.3501273148</v>
      </c>
      <c r="F409" s="8" t="str">
        <f>IFERROR(__xludf.DUMMYFUNCTION("""COMPUTED_VALUE"""),"Negative")</f>
        <v>Negative</v>
      </c>
      <c r="G409" s="16">
        <f>IFERROR(__xludf.DUMMYFUNCTION("""COMPUTED_VALUE"""),2.0)</f>
        <v>2</v>
      </c>
      <c r="H409" s="8" t="str">
        <f>IFERROR(__xludf.DUMMYFUNCTION("""COMPUTED_VALUE"""),"CRLN")</f>
        <v>CRLN</v>
      </c>
    </row>
    <row r="410">
      <c r="A410" s="8" t="str">
        <f>IFERROR(__xludf.DUMMYFUNCTION("""COMPUTED_VALUE"""),"FLT1106")</f>
        <v>FLT1106</v>
      </c>
      <c r="B410" s="8" t="str">
        <f>IFERROR(__xludf.DUMMYFUNCTION("""COMPUTED_VALUE"""),"RUN-FLMP_2022-01-10_RFR-053")</f>
        <v>RUN-FLMP_2022-01-10_RFR-053</v>
      </c>
      <c r="C410" s="10">
        <f>VLOOKUP(B410,'Run Reconcile'!A$2:B1579,2,FALSE)</f>
        <v>44571</v>
      </c>
      <c r="D410" s="14">
        <f>IFERROR(__xludf.DUMMYFUNCTION("""COMPUTED_VALUE"""),44571.0)</f>
        <v>44571</v>
      </c>
      <c r="E410" s="15">
        <f>IFERROR(__xludf.DUMMYFUNCTION("""COMPUTED_VALUE"""),0.3503935185181035)</f>
        <v>0.3503935185</v>
      </c>
      <c r="F410" s="8" t="str">
        <f>IFERROR(__xludf.DUMMYFUNCTION("""COMPUTED_VALUE"""),"Negative")</f>
        <v>Negative</v>
      </c>
      <c r="G410" s="16">
        <f>IFERROR(__xludf.DUMMYFUNCTION("""COMPUTED_VALUE"""),4.0)</f>
        <v>4</v>
      </c>
      <c r="H410" s="8" t="str">
        <f>IFERROR(__xludf.DUMMYFUNCTION("""COMPUTED_VALUE"""),"CRLN")</f>
        <v>CRLN</v>
      </c>
    </row>
    <row r="411">
      <c r="A411" s="8" t="str">
        <f>IFERROR(__xludf.DUMMYFUNCTION("""COMPUTED_VALUE"""),"FLT1435")</f>
        <v>FLT1435</v>
      </c>
      <c r="B411" s="8" t="str">
        <f>IFERROR(__xludf.DUMMYFUNCTION("""COMPUTED_VALUE"""),"RUN-FLMP_2022-01-10_RFR-053")</f>
        <v>RUN-FLMP_2022-01-10_RFR-053</v>
      </c>
      <c r="C411" s="10">
        <f>VLOOKUP(B411,'Run Reconcile'!A$2:B1579,2,FALSE)</f>
        <v>44571</v>
      </c>
      <c r="D411" s="14">
        <f>IFERROR(__xludf.DUMMYFUNCTION("""COMPUTED_VALUE"""),44571.0)</f>
        <v>44571</v>
      </c>
      <c r="E411" s="15">
        <f>IFERROR(__xludf.DUMMYFUNCTION("""COMPUTED_VALUE"""),0.3532060185170849)</f>
        <v>0.3532060185</v>
      </c>
      <c r="F411" s="8" t="str">
        <f>IFERROR(__xludf.DUMMYFUNCTION("""COMPUTED_VALUE"""),"Negative")</f>
        <v>Negative</v>
      </c>
      <c r="G411" s="16">
        <f>IFERROR(__xludf.DUMMYFUNCTION("""COMPUTED_VALUE"""),4.0)</f>
        <v>4</v>
      </c>
      <c r="H411" s="8" t="str">
        <f>IFERROR(__xludf.DUMMYFUNCTION("""COMPUTED_VALUE"""),"CRLN")</f>
        <v>CRLN</v>
      </c>
    </row>
    <row r="412">
      <c r="A412" s="8" t="str">
        <f>IFERROR(__xludf.DUMMYFUNCTION("""COMPUTED_VALUE"""),"FLT1161")</f>
        <v>FLT1161</v>
      </c>
      <c r="B412" s="8" t="str">
        <f>IFERROR(__xludf.DUMMYFUNCTION("""COMPUTED_VALUE"""),"RUN-FLMP_2022-01-10_RFR-053")</f>
        <v>RUN-FLMP_2022-01-10_RFR-053</v>
      </c>
      <c r="C412" s="10">
        <f>VLOOKUP(B412,'Run Reconcile'!A$2:B1579,2,FALSE)</f>
        <v>44571</v>
      </c>
      <c r="D412" s="14">
        <f>IFERROR(__xludf.DUMMYFUNCTION("""COMPUTED_VALUE"""),44571.0)</f>
        <v>44571</v>
      </c>
      <c r="E412" s="15">
        <f>IFERROR(__xludf.DUMMYFUNCTION("""COMPUTED_VALUE"""),0.35539351851912215)</f>
        <v>0.3553935185</v>
      </c>
      <c r="F412" s="8" t="str">
        <f>IFERROR(__xludf.DUMMYFUNCTION("""COMPUTED_VALUE"""),"Positive")</f>
        <v>Positive</v>
      </c>
      <c r="G412" s="16">
        <f>IFERROR(__xludf.DUMMYFUNCTION("""COMPUTED_VALUE"""),3.0)</f>
        <v>3</v>
      </c>
      <c r="H412" s="8" t="str">
        <f>IFERROR(__xludf.DUMMYFUNCTION("""COMPUTED_VALUE"""),"CRLN")</f>
        <v>CRLN</v>
      </c>
    </row>
    <row r="413">
      <c r="A413" s="8" t="str">
        <f>IFERROR(__xludf.DUMMYFUNCTION("""COMPUTED_VALUE"""),"FLT1405")</f>
        <v>FLT1405</v>
      </c>
      <c r="B413" s="8" t="str">
        <f>IFERROR(__xludf.DUMMYFUNCTION("""COMPUTED_VALUE"""),"RUN-FLMP_2022-01-10_RFR-053")</f>
        <v>RUN-FLMP_2022-01-10_RFR-053</v>
      </c>
      <c r="C413" s="10">
        <f>VLOOKUP(B413,'Run Reconcile'!A$2:B1579,2,FALSE)</f>
        <v>44571</v>
      </c>
      <c r="D413" s="14">
        <f>IFERROR(__xludf.DUMMYFUNCTION("""COMPUTED_VALUE"""),44571.0)</f>
        <v>44571</v>
      </c>
      <c r="E413" s="15">
        <f>IFERROR(__xludf.DUMMYFUNCTION("""COMPUTED_VALUE"""),0.3556597222232085)</f>
        <v>0.3556597222</v>
      </c>
      <c r="F413" s="8" t="str">
        <f>IFERROR(__xludf.DUMMYFUNCTION("""COMPUTED_VALUE"""),"Negative")</f>
        <v>Negative</v>
      </c>
      <c r="G413" s="16">
        <f>IFERROR(__xludf.DUMMYFUNCTION("""COMPUTED_VALUE"""),2.0)</f>
        <v>2</v>
      </c>
      <c r="H413" s="8" t="str">
        <f>IFERROR(__xludf.DUMMYFUNCTION("""COMPUTED_VALUE"""),"CRLN")</f>
        <v>CRLN</v>
      </c>
    </row>
    <row r="414">
      <c r="A414" s="8" t="str">
        <f>IFERROR(__xludf.DUMMYFUNCTION("""COMPUTED_VALUE"""),"FLE258")</f>
        <v>FLE258</v>
      </c>
      <c r="B414" s="8" t="str">
        <f>IFERROR(__xludf.DUMMYFUNCTION("""COMPUTED_VALUE"""),"RUN-FLMP_2022-01-10_RFR-053")</f>
        <v>RUN-FLMP_2022-01-10_RFR-053</v>
      </c>
      <c r="C414" s="10">
        <f>VLOOKUP(B414,'Run Reconcile'!A$2:B1579,2,FALSE)</f>
        <v>44571</v>
      </c>
      <c r="D414" s="14">
        <f>IFERROR(__xludf.DUMMYFUNCTION("""COMPUTED_VALUE"""),44571.0)</f>
        <v>44571</v>
      </c>
      <c r="E414" s="15">
        <f>IFERROR(__xludf.DUMMYFUNCTION("""COMPUTED_VALUE"""),0.3584374999991269)</f>
        <v>0.3584375</v>
      </c>
      <c r="F414" s="8" t="str">
        <f>IFERROR(__xludf.DUMMYFUNCTION("""COMPUTED_VALUE"""),"Positive")</f>
        <v>Positive</v>
      </c>
      <c r="G414" s="16">
        <f>IFERROR(__xludf.DUMMYFUNCTION("""COMPUTED_VALUE"""),1.0)</f>
        <v>1</v>
      </c>
      <c r="H414" s="8" t="str">
        <f>IFERROR(__xludf.DUMMYFUNCTION("""COMPUTED_VALUE"""),"FLSP")</f>
        <v>FLSP</v>
      </c>
    </row>
    <row r="415">
      <c r="A415" s="8" t="str">
        <f>IFERROR(__xludf.DUMMYFUNCTION("""COMPUTED_VALUE"""),"FLT1165")</f>
        <v>FLT1165</v>
      </c>
      <c r="B415" s="8" t="str">
        <f>IFERROR(__xludf.DUMMYFUNCTION("""COMPUTED_VALUE"""),"RUN-FLMP_2022-01-10_RFR-053")</f>
        <v>RUN-FLMP_2022-01-10_RFR-053</v>
      </c>
      <c r="C415" s="10">
        <f>VLOOKUP(B415,'Run Reconcile'!A$2:B1579,2,FALSE)</f>
        <v>44571</v>
      </c>
      <c r="D415" s="14">
        <f>IFERROR(__xludf.DUMMYFUNCTION("""COMPUTED_VALUE"""),44571.0)</f>
        <v>44571</v>
      </c>
      <c r="E415" s="15">
        <f>IFERROR(__xludf.DUMMYFUNCTION("""COMPUTED_VALUE"""),0.3589814814804413)</f>
        <v>0.3589814815</v>
      </c>
      <c r="F415" s="8" t="str">
        <f>IFERROR(__xludf.DUMMYFUNCTION("""COMPUTED_VALUE"""),"Negative")</f>
        <v>Negative</v>
      </c>
      <c r="G415" s="16">
        <f>IFERROR(__xludf.DUMMYFUNCTION("""COMPUTED_VALUE"""),2.0)</f>
        <v>2</v>
      </c>
      <c r="H415" s="8" t="str">
        <f>IFERROR(__xludf.DUMMYFUNCTION("""COMPUTED_VALUE"""),"CRLN")</f>
        <v>CRLN</v>
      </c>
    </row>
    <row r="416">
      <c r="A416" s="8" t="str">
        <f>IFERROR(__xludf.DUMMYFUNCTION("""COMPUTED_VALUE"""),"FLB5872")</f>
        <v>FLB5872</v>
      </c>
      <c r="B416" s="8" t="str">
        <f>IFERROR(__xludf.DUMMYFUNCTION("""COMPUTED_VALUE"""),"RUN-FLMP_2022-01-10_RFR-053")</f>
        <v>RUN-FLMP_2022-01-10_RFR-053</v>
      </c>
      <c r="C416" s="10">
        <f>VLOOKUP(B416,'Run Reconcile'!A$2:B1579,2,FALSE)</f>
        <v>44571</v>
      </c>
      <c r="D416" s="14">
        <f>IFERROR(__xludf.DUMMYFUNCTION("""COMPUTED_VALUE"""),44571.0)</f>
        <v>44571</v>
      </c>
      <c r="E416" s="15">
        <f>IFERROR(__xludf.DUMMYFUNCTION("""COMPUTED_VALUE"""),0.3592245370382443)</f>
        <v>0.359224537</v>
      </c>
      <c r="F416" s="8" t="str">
        <f>IFERROR(__xludf.DUMMYFUNCTION("""COMPUTED_VALUE"""),"Negative")</f>
        <v>Negative</v>
      </c>
      <c r="G416" s="16">
        <f>IFERROR(__xludf.DUMMYFUNCTION("""COMPUTED_VALUE"""),2.0)</f>
        <v>2</v>
      </c>
      <c r="H416" s="8" t="str">
        <f>IFERROR(__xludf.DUMMYFUNCTION("""COMPUTED_VALUE"""),"CRLN")</f>
        <v>CRLN</v>
      </c>
    </row>
    <row r="417">
      <c r="A417" s="8" t="str">
        <f>IFERROR(__xludf.DUMMYFUNCTION("""COMPUTED_VALUE"""),"FLE237")</f>
        <v>FLE237</v>
      </c>
      <c r="B417" s="8" t="str">
        <f>IFERROR(__xludf.DUMMYFUNCTION("""COMPUTED_VALUE"""),"RUN-FLMP_2022-01-10_RFR-053")</f>
        <v>RUN-FLMP_2022-01-10_RFR-053</v>
      </c>
      <c r="C417" s="10">
        <f>VLOOKUP(B417,'Run Reconcile'!A$2:B1579,2,FALSE)</f>
        <v>44571</v>
      </c>
      <c r="D417" s="14">
        <f>IFERROR(__xludf.DUMMYFUNCTION("""COMPUTED_VALUE"""),44571.0)</f>
        <v>44571</v>
      </c>
      <c r="E417" s="15">
        <f>IFERROR(__xludf.DUMMYFUNCTION("""COMPUTED_VALUE"""),0.3682754629626288)</f>
        <v>0.368275463</v>
      </c>
      <c r="F417" s="8" t="str">
        <f>IFERROR(__xludf.DUMMYFUNCTION("""COMPUTED_VALUE"""),"Negative")</f>
        <v>Negative</v>
      </c>
      <c r="G417" s="16">
        <f>IFERROR(__xludf.DUMMYFUNCTION("""COMPUTED_VALUE"""),1.0)</f>
        <v>1</v>
      </c>
      <c r="H417" s="8" t="str">
        <f>IFERROR(__xludf.DUMMYFUNCTION("""COMPUTED_VALUE"""),"CRLN")</f>
        <v>CRLN</v>
      </c>
    </row>
    <row r="418">
      <c r="A418" s="8" t="str">
        <f>IFERROR(__xludf.DUMMYFUNCTION("""COMPUTED_VALUE"""),"FLT169")</f>
        <v>FLT169</v>
      </c>
      <c r="B418" s="8" t="str">
        <f>IFERROR(__xludf.DUMMYFUNCTION("""COMPUTED_VALUE"""),"RUN-FLMP_2022-01-10_RFR-053")</f>
        <v>RUN-FLMP_2022-01-10_RFR-053</v>
      </c>
      <c r="C418" s="10">
        <f>VLOOKUP(B418,'Run Reconcile'!A$2:B1579,2,FALSE)</f>
        <v>44571</v>
      </c>
      <c r="D418" s="14">
        <f>IFERROR(__xludf.DUMMYFUNCTION("""COMPUTED_VALUE"""),44571.0)</f>
        <v>44571</v>
      </c>
      <c r="E418" s="15">
        <f>IFERROR(__xludf.DUMMYFUNCTION("""COMPUTED_VALUE"""),0.37003472222204437)</f>
        <v>0.3700347222</v>
      </c>
      <c r="F418" s="8" t="str">
        <f>IFERROR(__xludf.DUMMYFUNCTION("""COMPUTED_VALUE"""),"Negative")</f>
        <v>Negative</v>
      </c>
      <c r="G418" s="16">
        <f>IFERROR(__xludf.DUMMYFUNCTION("""COMPUTED_VALUE"""),3.0)</f>
        <v>3</v>
      </c>
      <c r="H418" s="8" t="str">
        <f>IFERROR(__xludf.DUMMYFUNCTION("""COMPUTED_VALUE"""),"CRLN")</f>
        <v>CRLN</v>
      </c>
    </row>
    <row r="419">
      <c r="A419" s="8" t="str">
        <f>IFERROR(__xludf.DUMMYFUNCTION("""COMPUTED_VALUE"""),"FLT1495")</f>
        <v>FLT1495</v>
      </c>
      <c r="B419" s="8" t="str">
        <f>IFERROR(__xludf.DUMMYFUNCTION("""COMPUTED_VALUE"""),"RUN-FLMP_2022-01-10_RFR-053")</f>
        <v>RUN-FLMP_2022-01-10_RFR-053</v>
      </c>
      <c r="C419" s="10">
        <f>VLOOKUP(B419,'Run Reconcile'!A$2:B1579,2,FALSE)</f>
        <v>44571</v>
      </c>
      <c r="D419" s="14">
        <f>IFERROR(__xludf.DUMMYFUNCTION("""COMPUTED_VALUE"""),44571.0)</f>
        <v>44571</v>
      </c>
      <c r="E419" s="15">
        <f>IFERROR(__xludf.DUMMYFUNCTION("""COMPUTED_VALUE"""),0.3728240740747424)</f>
        <v>0.3728240741</v>
      </c>
      <c r="F419" s="8" t="str">
        <f>IFERROR(__xludf.DUMMYFUNCTION("""COMPUTED_VALUE"""),"Positive")</f>
        <v>Positive</v>
      </c>
      <c r="G419" s="16">
        <f>IFERROR(__xludf.DUMMYFUNCTION("""COMPUTED_VALUE"""),1.0)</f>
        <v>1</v>
      </c>
      <c r="H419" s="8" t="str">
        <f>IFERROR(__xludf.DUMMYFUNCTION("""COMPUTED_VALUE"""),"CRLN")</f>
        <v>CRLN</v>
      </c>
    </row>
    <row r="420">
      <c r="A420" s="8" t="str">
        <f>IFERROR(__xludf.DUMMYFUNCTION("""COMPUTED_VALUE"""),"FLT1472")</f>
        <v>FLT1472</v>
      </c>
      <c r="B420" s="8" t="str">
        <f>IFERROR(__xludf.DUMMYFUNCTION("""COMPUTED_VALUE"""),"RUN-FLMP_2022-01-10_RFR-053")</f>
        <v>RUN-FLMP_2022-01-10_RFR-053</v>
      </c>
      <c r="C420" s="10">
        <f>VLOOKUP(B420,'Run Reconcile'!A$2:B1579,2,FALSE)</f>
        <v>44571</v>
      </c>
      <c r="D420" s="14">
        <f>IFERROR(__xludf.DUMMYFUNCTION("""COMPUTED_VALUE"""),44571.0)</f>
        <v>44571</v>
      </c>
      <c r="E420" s="15">
        <f>IFERROR(__xludf.DUMMYFUNCTION("""COMPUTED_VALUE"""),0.37465277777664596)</f>
        <v>0.3746527778</v>
      </c>
      <c r="F420" s="8" t="str">
        <f>IFERROR(__xludf.DUMMYFUNCTION("""COMPUTED_VALUE"""),"Inconclusive")</f>
        <v>Inconclusive</v>
      </c>
      <c r="G420" s="16">
        <f>IFERROR(__xludf.DUMMYFUNCTION("""COMPUTED_VALUE"""),1.0)</f>
        <v>1</v>
      </c>
      <c r="H420" s="8" t="str">
        <f>IFERROR(__xludf.DUMMYFUNCTION("""COMPUTED_VALUE"""),"CRLN")</f>
        <v>CRLN</v>
      </c>
    </row>
    <row r="421">
      <c r="A421" s="8" t="str">
        <f>IFERROR(__xludf.DUMMYFUNCTION("""COMPUTED_VALUE"""),"FLT1469")</f>
        <v>FLT1469</v>
      </c>
      <c r="B421" s="8" t="str">
        <f>IFERROR(__xludf.DUMMYFUNCTION("""COMPUTED_VALUE"""),"RUN-FLMP_2022-01-10_RFR-053")</f>
        <v>RUN-FLMP_2022-01-10_RFR-053</v>
      </c>
      <c r="C421" s="10">
        <f>VLOOKUP(B421,'Run Reconcile'!A$2:B1579,2,FALSE)</f>
        <v>44571</v>
      </c>
      <c r="D421" s="14">
        <f>IFERROR(__xludf.DUMMYFUNCTION("""COMPUTED_VALUE"""),44571.0)</f>
        <v>44571</v>
      </c>
      <c r="E421" s="15">
        <f>IFERROR(__xludf.DUMMYFUNCTION("""COMPUTED_VALUE"""),0.37574074073927477)</f>
        <v>0.3757407407</v>
      </c>
      <c r="F421" s="8" t="str">
        <f>IFERROR(__xludf.DUMMYFUNCTION("""COMPUTED_VALUE"""),"Negative")</f>
        <v>Negative</v>
      </c>
      <c r="G421" s="16">
        <f>IFERROR(__xludf.DUMMYFUNCTION("""COMPUTED_VALUE"""),1.0)</f>
        <v>1</v>
      </c>
      <c r="H421" s="8" t="str">
        <f>IFERROR(__xludf.DUMMYFUNCTION("""COMPUTED_VALUE"""),"CRLN")</f>
        <v>CRLN</v>
      </c>
    </row>
    <row r="422">
      <c r="A422" s="8" t="str">
        <f>IFERROR(__xludf.DUMMYFUNCTION("""COMPUTED_VALUE"""),"FLT1510")</f>
        <v>FLT1510</v>
      </c>
      <c r="B422" s="8" t="str">
        <f>IFERROR(__xludf.DUMMYFUNCTION("""COMPUTED_VALUE"""),"RUN-FLMP_2022-01-10_RFR-055")</f>
        <v>RUN-FLMP_2022-01-10_RFR-055</v>
      </c>
      <c r="C422" s="10">
        <f>VLOOKUP(B422,'Run Reconcile'!A$2:B1579,2,FALSE)</f>
        <v>44571</v>
      </c>
      <c r="D422" s="14">
        <f>IFERROR(__xludf.DUMMYFUNCTION("""COMPUTED_VALUE"""),44571.0)</f>
        <v>44571</v>
      </c>
      <c r="E422" s="15">
        <f>IFERROR(__xludf.DUMMYFUNCTION("""COMPUTED_VALUE"""),0.6582986111097853)</f>
        <v>0.6582986111</v>
      </c>
      <c r="F422" s="8" t="str">
        <f>IFERROR(__xludf.DUMMYFUNCTION("""COMPUTED_VALUE"""),"Negative")</f>
        <v>Negative</v>
      </c>
      <c r="G422" s="16">
        <f>IFERROR(__xludf.DUMMYFUNCTION("""COMPUTED_VALUE"""),1.0)</f>
        <v>1</v>
      </c>
      <c r="H422" s="8" t="str">
        <f>IFERROR(__xludf.DUMMYFUNCTION("""COMPUTED_VALUE"""),"CRLN")</f>
        <v>CRLN</v>
      </c>
    </row>
    <row r="423">
      <c r="A423" s="8" t="str">
        <f>IFERROR(__xludf.DUMMYFUNCTION("""COMPUTED_VALUE"""),"FLT1434")</f>
        <v>FLT1434</v>
      </c>
      <c r="B423" s="8" t="str">
        <f>IFERROR(__xludf.DUMMYFUNCTION("""COMPUTED_VALUE"""),"RUN-FLMP_2022-01-10_RFR-055")</f>
        <v>RUN-FLMP_2022-01-10_RFR-055</v>
      </c>
      <c r="C423" s="10">
        <f>VLOOKUP(B423,'Run Reconcile'!A$2:B1579,2,FALSE)</f>
        <v>44571</v>
      </c>
      <c r="D423" s="14">
        <f>IFERROR(__xludf.DUMMYFUNCTION("""COMPUTED_VALUE"""),44571.0)</f>
        <v>44571</v>
      </c>
      <c r="E423" s="15">
        <f>IFERROR(__xludf.DUMMYFUNCTION("""COMPUTED_VALUE"""),0.6599189814805868)</f>
        <v>0.6599189815</v>
      </c>
      <c r="F423" s="8" t="str">
        <f>IFERROR(__xludf.DUMMYFUNCTION("""COMPUTED_VALUE"""),"Positive")</f>
        <v>Positive</v>
      </c>
      <c r="G423" s="16">
        <f>IFERROR(__xludf.DUMMYFUNCTION("""COMPUTED_VALUE"""),1.0)</f>
        <v>1</v>
      </c>
      <c r="H423" s="8" t="str">
        <f>IFERROR(__xludf.DUMMYFUNCTION("""COMPUTED_VALUE"""),"CRLN")</f>
        <v>CRLN</v>
      </c>
    </row>
    <row r="424">
      <c r="A424" s="8" t="str">
        <f>IFERROR(__xludf.DUMMYFUNCTION("""COMPUTED_VALUE"""),"FLE244")</f>
        <v>FLE244</v>
      </c>
      <c r="B424" s="8" t="str">
        <f>IFERROR(__xludf.DUMMYFUNCTION("""COMPUTED_VALUE"""),"RUN-FLMP_2022-01-10_RFR-055")</f>
        <v>RUN-FLMP_2022-01-10_RFR-055</v>
      </c>
      <c r="C424" s="10">
        <f>VLOOKUP(B424,'Run Reconcile'!A$2:B1579,2,FALSE)</f>
        <v>44571</v>
      </c>
      <c r="D424" s="14">
        <f>IFERROR(__xludf.DUMMYFUNCTION("""COMPUTED_VALUE"""),44571.0)</f>
        <v>44571</v>
      </c>
      <c r="E424" s="15">
        <f>IFERROR(__xludf.DUMMYFUNCTION("""COMPUTED_VALUE"""),0.7369444444448163)</f>
        <v>0.7369444444</v>
      </c>
      <c r="F424" s="8" t="str">
        <f>IFERROR(__xludf.DUMMYFUNCTION("""COMPUTED_VALUE"""),"Negative")</f>
        <v>Negative</v>
      </c>
      <c r="G424" s="16">
        <f>IFERROR(__xludf.DUMMYFUNCTION("""COMPUTED_VALUE"""),1.0)</f>
        <v>1</v>
      </c>
      <c r="H424" s="8" t="str">
        <f>IFERROR(__xludf.DUMMYFUNCTION("""COMPUTED_VALUE"""),"CRLN")</f>
        <v>CRLN</v>
      </c>
    </row>
    <row r="425">
      <c r="A425" s="8" t="str">
        <f>IFERROR(__xludf.DUMMYFUNCTION("""COMPUTED_VALUE"""),"MA1431")</f>
        <v>MA1431</v>
      </c>
      <c r="B425" s="8" t="str">
        <f>IFERROR(__xludf.DUMMYFUNCTION("""COMPUTED_VALUE"""),"RUN-FLMP_2022-01-11_APS-079")</f>
        <v>RUN-FLMP_2022-01-11_APS-079</v>
      </c>
      <c r="C425" s="10">
        <f>VLOOKUP(B425,'Run Reconcile'!A$2:B1579,2,FALSE)</f>
        <v>44572</v>
      </c>
      <c r="D425" s="14">
        <f>IFERROR(__xludf.DUMMYFUNCTION("""COMPUTED_VALUE"""),44572.0)</f>
        <v>44572</v>
      </c>
      <c r="E425" s="15">
        <f>IFERROR(__xludf.DUMMYFUNCTION("""COMPUTED_VALUE"""),0.36324074074218515)</f>
        <v>0.3632407407</v>
      </c>
      <c r="F425" s="8" t="str">
        <f>IFERROR(__xludf.DUMMYFUNCTION("""COMPUTED_VALUE"""),"Negative")</f>
        <v>Negative</v>
      </c>
      <c r="G425" s="16">
        <f>IFERROR(__xludf.DUMMYFUNCTION("""COMPUTED_VALUE"""),4.0)</f>
        <v>4</v>
      </c>
      <c r="H425" s="8" t="str">
        <f>IFERROR(__xludf.DUMMYFUNCTION("""COMPUTED_VALUE"""),"CRLN")</f>
        <v>CRLN</v>
      </c>
    </row>
    <row r="426">
      <c r="A426" s="8" t="str">
        <f>IFERROR(__xludf.DUMMYFUNCTION("""COMPUTED_VALUE"""),"MA682")</f>
        <v>MA682</v>
      </c>
      <c r="B426" s="8" t="str">
        <f>IFERROR(__xludf.DUMMYFUNCTION("""COMPUTED_VALUE"""),"RUN-FLMP_2022-01-11_APS-079")</f>
        <v>RUN-FLMP_2022-01-11_APS-079</v>
      </c>
      <c r="C426" s="10">
        <f>VLOOKUP(B426,'Run Reconcile'!A$2:B1579,2,FALSE)</f>
        <v>44572</v>
      </c>
      <c r="D426" s="14">
        <f>IFERROR(__xludf.DUMMYFUNCTION("""COMPUTED_VALUE"""),44572.0)</f>
        <v>44572</v>
      </c>
      <c r="E426" s="15">
        <f>IFERROR(__xludf.DUMMYFUNCTION("""COMPUTED_VALUE"""),0.3716550925928459)</f>
        <v>0.3716550926</v>
      </c>
      <c r="F426" s="8" t="str">
        <f>IFERROR(__xludf.DUMMYFUNCTION("""COMPUTED_VALUE"""),"Negative")</f>
        <v>Negative</v>
      </c>
      <c r="G426" s="16">
        <f>IFERROR(__xludf.DUMMYFUNCTION("""COMPUTED_VALUE"""),1.0)</f>
        <v>1</v>
      </c>
      <c r="H426" s="8" t="str">
        <f>IFERROR(__xludf.DUMMYFUNCTION("""COMPUTED_VALUE"""),"CRLN")</f>
        <v>CRLN</v>
      </c>
    </row>
    <row r="427">
      <c r="A427" s="8" t="str">
        <f>IFERROR(__xludf.DUMMYFUNCTION("""COMPUTED_VALUE"""),"MA26")</f>
        <v>MA26</v>
      </c>
      <c r="B427" s="8" t="str">
        <f>IFERROR(__xludf.DUMMYFUNCTION("""COMPUTED_VALUE"""),"RUN-FLMP_2022-01-11_RFR-059")</f>
        <v>RUN-FLMP_2022-01-11_RFR-059</v>
      </c>
      <c r="C427" s="10">
        <f>VLOOKUP(B427,'Run Reconcile'!A$2:B1579,2,FALSE)</f>
        <v>44572</v>
      </c>
      <c r="D427" s="14">
        <f>IFERROR(__xludf.DUMMYFUNCTION("""COMPUTED_VALUE"""),44572.0)</f>
        <v>44572</v>
      </c>
      <c r="E427" s="15">
        <f>IFERROR(__xludf.DUMMYFUNCTION("""COMPUTED_VALUE"""),0.6732986111128412)</f>
        <v>0.6732986111</v>
      </c>
      <c r="F427" s="8" t="str">
        <f>IFERROR(__xludf.DUMMYFUNCTION("""COMPUTED_VALUE"""),"Positive")</f>
        <v>Positive</v>
      </c>
      <c r="G427" s="16">
        <f>IFERROR(__xludf.DUMMYFUNCTION("""COMPUTED_VALUE"""),1.0)</f>
        <v>1</v>
      </c>
      <c r="H427" s="8" t="str">
        <f>IFERROR(__xludf.DUMMYFUNCTION("""COMPUTED_VALUE"""),"FLSP")</f>
        <v>FLSP</v>
      </c>
    </row>
    <row r="428">
      <c r="A428" s="8" t="str">
        <f>IFERROR(__xludf.DUMMYFUNCTION("""COMPUTED_VALUE"""),"FLT1180")</f>
        <v>FLT1180</v>
      </c>
      <c r="B428" s="8" t="str">
        <f>IFERROR(__xludf.DUMMYFUNCTION("""COMPUTED_VALUE"""),"RUN-FLMP_2022-01-13_RFR-057")</f>
        <v>RUN-FLMP_2022-01-13_RFR-057</v>
      </c>
      <c r="C428" s="10">
        <f>VLOOKUP(B428,'Run Reconcile'!A$2:B1579,2,FALSE)</f>
        <v>44574</v>
      </c>
      <c r="D428" s="14">
        <f>IFERROR(__xludf.DUMMYFUNCTION("""COMPUTED_VALUE"""),44573.0)</f>
        <v>44573</v>
      </c>
      <c r="E428" s="15">
        <f>IFERROR(__xludf.DUMMYFUNCTION("""COMPUTED_VALUE"""),0.6168981481496303)</f>
        <v>0.6168981481</v>
      </c>
      <c r="F428" s="8" t="str">
        <f>IFERROR(__xludf.DUMMYFUNCTION("""COMPUTED_VALUE"""),"Negative")</f>
        <v>Negative</v>
      </c>
      <c r="G428" s="16">
        <f>IFERROR(__xludf.DUMMYFUNCTION("""COMPUTED_VALUE"""),1.0)</f>
        <v>1</v>
      </c>
      <c r="H428" s="8" t="str">
        <f>IFERROR(__xludf.DUMMYFUNCTION("""COMPUTED_VALUE"""),"CRLN")</f>
        <v>CRLN</v>
      </c>
    </row>
    <row r="429">
      <c r="A429" s="8" t="str">
        <f>IFERROR(__xludf.DUMMYFUNCTION("""COMPUTED_VALUE"""),"FLT1450")</f>
        <v>FLT1450</v>
      </c>
      <c r="B429" s="8" t="str">
        <f>IFERROR(__xludf.DUMMYFUNCTION("""COMPUTED_VALUE"""),"RUN-FLMP_2022-01-13_RFR-057")</f>
        <v>RUN-FLMP_2022-01-13_RFR-057</v>
      </c>
      <c r="C429" s="10">
        <f>VLOOKUP(B429,'Run Reconcile'!A$2:B1579,2,FALSE)</f>
        <v>44574</v>
      </c>
      <c r="D429" s="14">
        <f>IFERROR(__xludf.DUMMYFUNCTION("""COMPUTED_VALUE"""),44573.0)</f>
        <v>44573</v>
      </c>
      <c r="E429" s="15">
        <f>IFERROR(__xludf.DUMMYFUNCTION("""COMPUTED_VALUE"""),0.7403240740750334)</f>
        <v>0.7403240741</v>
      </c>
      <c r="F429" s="8" t="str">
        <f>IFERROR(__xludf.DUMMYFUNCTION("""COMPUTED_VALUE"""),"Negative")</f>
        <v>Negative</v>
      </c>
      <c r="G429" s="16">
        <f>IFERROR(__xludf.DUMMYFUNCTION("""COMPUTED_VALUE"""),1.0)</f>
        <v>1</v>
      </c>
      <c r="H429" s="8" t="str">
        <f>IFERROR(__xludf.DUMMYFUNCTION("""COMPUTED_VALUE"""),"CRLN")</f>
        <v>CRLN</v>
      </c>
    </row>
    <row r="430">
      <c r="A430" s="8" t="str">
        <f>IFERROR(__xludf.DUMMYFUNCTION("""COMPUTED_VALUE"""),"FLT1478")</f>
        <v>FLT1478</v>
      </c>
      <c r="B430" s="8" t="str">
        <f>IFERROR(__xludf.DUMMYFUNCTION("""COMPUTED_VALUE"""),"RUN-FLMP_2022-01-13_RFR-057")</f>
        <v>RUN-FLMP_2022-01-13_RFR-057</v>
      </c>
      <c r="C430" s="10">
        <f>VLOOKUP(B430,'Run Reconcile'!A$2:B1579,2,FALSE)</f>
        <v>44574</v>
      </c>
      <c r="D430" s="14">
        <f>IFERROR(__xludf.DUMMYFUNCTION("""COMPUTED_VALUE"""),44573.0)</f>
        <v>44573</v>
      </c>
      <c r="E430" s="15">
        <f>IFERROR(__xludf.DUMMYFUNCTION("""COMPUTED_VALUE"""),0.7427083333350311)</f>
        <v>0.7427083333</v>
      </c>
      <c r="F430" s="8" t="str">
        <f>IFERROR(__xludf.DUMMYFUNCTION("""COMPUTED_VALUE"""),"Negative")</f>
        <v>Negative</v>
      </c>
      <c r="G430" s="16">
        <f>IFERROR(__xludf.DUMMYFUNCTION("""COMPUTED_VALUE"""),2.0)</f>
        <v>2</v>
      </c>
      <c r="H430" s="8" t="str">
        <f>IFERROR(__xludf.DUMMYFUNCTION("""COMPUTED_VALUE"""),"CRLN")</f>
        <v>CRLN</v>
      </c>
    </row>
    <row r="431">
      <c r="A431" s="8" t="str">
        <f>IFERROR(__xludf.DUMMYFUNCTION("""COMPUTED_VALUE"""),"MA51")</f>
        <v>MA51</v>
      </c>
      <c r="B431" s="8" t="str">
        <f>IFERROR(__xludf.DUMMYFUNCTION("""COMPUTED_VALUE"""),"RUN-FLMP_2022-01-13_RFR-056")</f>
        <v>RUN-FLMP_2022-01-13_RFR-056</v>
      </c>
      <c r="C431" s="10">
        <f>VLOOKUP(B431,'Run Reconcile'!A$2:B1579,2,FALSE)</f>
        <v>44574</v>
      </c>
      <c r="D431" s="14">
        <f>IFERROR(__xludf.DUMMYFUNCTION("""COMPUTED_VALUE"""),44573.0)</f>
        <v>44573</v>
      </c>
      <c r="E431" s="15">
        <f>IFERROR(__xludf.DUMMYFUNCTION("""COMPUTED_VALUE"""),0.8036574074067175)</f>
        <v>0.8036574074</v>
      </c>
      <c r="F431" s="8" t="str">
        <f>IFERROR(__xludf.DUMMYFUNCTION("""COMPUTED_VALUE"""),"Negative")</f>
        <v>Negative</v>
      </c>
      <c r="G431" s="16">
        <f>IFERROR(__xludf.DUMMYFUNCTION("""COMPUTED_VALUE"""),1.0)</f>
        <v>1</v>
      </c>
      <c r="H431" s="8" t="str">
        <f>IFERROR(__xludf.DUMMYFUNCTION("""COMPUTED_VALUE"""),"FLSP")</f>
        <v>FLSP</v>
      </c>
    </row>
    <row r="432">
      <c r="A432" s="8" t="str">
        <f>IFERROR(__xludf.DUMMYFUNCTION("""COMPUTED_VALUE"""),"MA8")</f>
        <v>MA8</v>
      </c>
      <c r="B432" s="8" t="str">
        <f>IFERROR(__xludf.DUMMYFUNCTION("""COMPUTED_VALUE"""),"RUN-FLMP_2022-01-13_RFR-056")</f>
        <v>RUN-FLMP_2022-01-13_RFR-056</v>
      </c>
      <c r="C432" s="10">
        <f>VLOOKUP(B432,'Run Reconcile'!A$2:B1579,2,FALSE)</f>
        <v>44574</v>
      </c>
      <c r="D432" s="14">
        <f>IFERROR(__xludf.DUMMYFUNCTION("""COMPUTED_VALUE"""),44573.0)</f>
        <v>44573</v>
      </c>
      <c r="E432" s="15">
        <f>IFERROR(__xludf.DUMMYFUNCTION("""COMPUTED_VALUE"""),0.8039930555569299)</f>
        <v>0.8039930556</v>
      </c>
      <c r="F432" s="8" t="str">
        <f>IFERROR(__xludf.DUMMYFUNCTION("""COMPUTED_VALUE"""),"Negative")</f>
        <v>Negative</v>
      </c>
      <c r="G432" s="16">
        <f>IFERROR(__xludf.DUMMYFUNCTION("""COMPUTED_VALUE"""),1.0)</f>
        <v>1</v>
      </c>
      <c r="H432" s="8" t="str">
        <f>IFERROR(__xludf.DUMMYFUNCTION("""COMPUTED_VALUE"""),"FLSP")</f>
        <v>FLSP</v>
      </c>
    </row>
    <row r="433">
      <c r="A433" s="8" t="str">
        <f>IFERROR(__xludf.DUMMYFUNCTION("""COMPUTED_VALUE"""),"FLT1491")</f>
        <v>FLT1491</v>
      </c>
      <c r="B433" s="8" t="str">
        <f>IFERROR(__xludf.DUMMYFUNCTION("""COMPUTED_VALUE"""),"RUN-FLMP_2022-01-13_RFR-057")</f>
        <v>RUN-FLMP_2022-01-13_RFR-057</v>
      </c>
      <c r="C433" s="10">
        <f>VLOOKUP(B433,'Run Reconcile'!A$2:B1579,2,FALSE)</f>
        <v>44574</v>
      </c>
      <c r="D433" s="14">
        <f>IFERROR(__xludf.DUMMYFUNCTION("""COMPUTED_VALUE"""),44573.0)</f>
        <v>44573</v>
      </c>
      <c r="E433" s="15">
        <f>IFERROR(__xludf.DUMMYFUNCTION("""COMPUTED_VALUE"""),0.8382986111100763)</f>
        <v>0.8382986111</v>
      </c>
      <c r="F433" s="8" t="str">
        <f>IFERROR(__xludf.DUMMYFUNCTION("""COMPUTED_VALUE"""),"Negative")</f>
        <v>Negative</v>
      </c>
      <c r="G433" s="16">
        <f>IFERROR(__xludf.DUMMYFUNCTION("""COMPUTED_VALUE"""),1.0)</f>
        <v>1</v>
      </c>
      <c r="H433" s="8" t="str">
        <f>IFERROR(__xludf.DUMMYFUNCTION("""COMPUTED_VALUE"""),"CRLN")</f>
        <v>CRLN</v>
      </c>
    </row>
    <row r="434">
      <c r="A434" s="8" t="str">
        <f>IFERROR(__xludf.DUMMYFUNCTION("""COMPUTED_VALUE"""),"FLT1157")</f>
        <v>FLT1157</v>
      </c>
      <c r="B434" s="8" t="str">
        <f>IFERROR(__xludf.DUMMYFUNCTION("""COMPUTED_VALUE"""),"RUN-FLMP_2022-01-13_RFR-057")</f>
        <v>RUN-FLMP_2022-01-13_RFR-057</v>
      </c>
      <c r="C434" s="10">
        <f>VLOOKUP(B434,'Run Reconcile'!A$2:B1579,2,FALSE)</f>
        <v>44574</v>
      </c>
      <c r="D434" s="14">
        <f>IFERROR(__xludf.DUMMYFUNCTION("""COMPUTED_VALUE"""),44573.0)</f>
        <v>44573</v>
      </c>
      <c r="E434" s="15">
        <f>IFERROR(__xludf.DUMMYFUNCTION("""COMPUTED_VALUE"""),0.8398148148153268)</f>
        <v>0.8398148148</v>
      </c>
      <c r="F434" s="8" t="str">
        <f>IFERROR(__xludf.DUMMYFUNCTION("""COMPUTED_VALUE"""),"Negative")</f>
        <v>Negative</v>
      </c>
      <c r="G434" s="16">
        <f>IFERROR(__xludf.DUMMYFUNCTION("""COMPUTED_VALUE"""),2.0)</f>
        <v>2</v>
      </c>
      <c r="H434" s="8" t="str">
        <f>IFERROR(__xludf.DUMMYFUNCTION("""COMPUTED_VALUE"""),"CRLN")</f>
        <v>CRLN</v>
      </c>
    </row>
    <row r="435">
      <c r="A435" s="8" t="str">
        <f>IFERROR(__xludf.DUMMYFUNCTION("""COMPUTED_VALUE"""),"FLT1125")</f>
        <v>FLT1125</v>
      </c>
      <c r="B435" s="8" t="str">
        <f>IFERROR(__xludf.DUMMYFUNCTION("""COMPUTED_VALUE"""),"RUN-FLMP_2022-01-13_RFR-057")</f>
        <v>RUN-FLMP_2022-01-13_RFR-057</v>
      </c>
      <c r="C435" s="10">
        <f>VLOOKUP(B435,'Run Reconcile'!A$2:B1579,2,FALSE)</f>
        <v>44574</v>
      </c>
      <c r="D435" s="14">
        <f>IFERROR(__xludf.DUMMYFUNCTION("""COMPUTED_VALUE"""),44573.0)</f>
        <v>44573</v>
      </c>
      <c r="E435" s="15">
        <f>IFERROR(__xludf.DUMMYFUNCTION("""COMPUTED_VALUE"""),0.8543634259258397)</f>
        <v>0.8543634259</v>
      </c>
      <c r="F435" s="8" t="str">
        <f>IFERROR(__xludf.DUMMYFUNCTION("""COMPUTED_VALUE"""),"Negative")</f>
        <v>Negative</v>
      </c>
      <c r="G435" s="16">
        <f>IFERROR(__xludf.DUMMYFUNCTION("""COMPUTED_VALUE"""),2.0)</f>
        <v>2</v>
      </c>
      <c r="H435" s="8" t="str">
        <f>IFERROR(__xludf.DUMMYFUNCTION("""COMPUTED_VALUE"""),"CRLN")</f>
        <v>CRLN</v>
      </c>
    </row>
    <row r="436">
      <c r="A436" s="8" t="str">
        <f>IFERROR(__xludf.DUMMYFUNCTION("""COMPUTED_VALUE"""),"FLT1474")</f>
        <v>FLT1474</v>
      </c>
      <c r="B436" s="8" t="str">
        <f>IFERROR(__xludf.DUMMYFUNCTION("""COMPUTED_VALUE"""),"RUN-FLMP_2022-01-13_RFR-057")</f>
        <v>RUN-FLMP_2022-01-13_RFR-057</v>
      </c>
      <c r="C436" s="10">
        <f>VLOOKUP(B436,'Run Reconcile'!A$2:B1579,2,FALSE)</f>
        <v>44574</v>
      </c>
      <c r="D436" s="14">
        <f>IFERROR(__xludf.DUMMYFUNCTION("""COMPUTED_VALUE"""),44573.0)</f>
        <v>44573</v>
      </c>
      <c r="E436" s="15">
        <f>IFERROR(__xludf.DUMMYFUNCTION("""COMPUTED_VALUE"""),0.9474884259252576)</f>
        <v>0.9474884259</v>
      </c>
      <c r="F436" s="8" t="str">
        <f>IFERROR(__xludf.DUMMYFUNCTION("""COMPUTED_VALUE"""),"Negative")</f>
        <v>Negative</v>
      </c>
      <c r="G436" s="16">
        <f>IFERROR(__xludf.DUMMYFUNCTION("""COMPUTED_VALUE"""),4.0)</f>
        <v>4</v>
      </c>
      <c r="H436" s="8" t="str">
        <f>IFERROR(__xludf.DUMMYFUNCTION("""COMPUTED_VALUE"""),"CRLN")</f>
        <v>CRLN</v>
      </c>
    </row>
    <row r="437">
      <c r="A437" s="8" t="str">
        <f>IFERROR(__xludf.DUMMYFUNCTION("""COMPUTED_VALUE"""),"FLT1160")</f>
        <v>FLT1160</v>
      </c>
      <c r="B437" s="8" t="str">
        <f>IFERROR(__xludf.DUMMYFUNCTION("""COMPUTED_VALUE"""),"RUN-FLMP_2022-01-13_RFR-057")</f>
        <v>RUN-FLMP_2022-01-13_RFR-057</v>
      </c>
      <c r="C437" s="10">
        <f>VLOOKUP(B437,'Run Reconcile'!A$2:B1579,2,FALSE)</f>
        <v>44574</v>
      </c>
      <c r="D437" s="14">
        <f>IFERROR(__xludf.DUMMYFUNCTION("""COMPUTED_VALUE"""),44574.0)</f>
        <v>44574</v>
      </c>
      <c r="E437" s="15">
        <f>IFERROR(__xludf.DUMMYFUNCTION("""COMPUTED_VALUE"""),0.2225231481497758)</f>
        <v>0.2225231481</v>
      </c>
      <c r="F437" s="8" t="str">
        <f>IFERROR(__xludf.DUMMYFUNCTION("""COMPUTED_VALUE"""),"Negative")</f>
        <v>Negative</v>
      </c>
      <c r="G437" s="16">
        <f>IFERROR(__xludf.DUMMYFUNCTION("""COMPUTED_VALUE"""),1.0)</f>
        <v>1</v>
      </c>
      <c r="H437" s="8" t="str">
        <f>IFERROR(__xludf.DUMMYFUNCTION("""COMPUTED_VALUE"""),"CRLN")</f>
        <v>CRLN</v>
      </c>
    </row>
    <row r="438">
      <c r="A438" s="8" t="str">
        <f>IFERROR(__xludf.DUMMYFUNCTION("""COMPUTED_VALUE"""),"FLT1126")</f>
        <v>FLT1126</v>
      </c>
      <c r="B438" s="8" t="str">
        <f>IFERROR(__xludf.DUMMYFUNCTION("""COMPUTED_VALUE"""),"RUN-FLMP_2022-01-13_RFR-057")</f>
        <v>RUN-FLMP_2022-01-13_RFR-057</v>
      </c>
      <c r="C438" s="10">
        <f>VLOOKUP(B438,'Run Reconcile'!A$2:B1579,2,FALSE)</f>
        <v>44574</v>
      </c>
      <c r="D438" s="14">
        <f>IFERROR(__xludf.DUMMYFUNCTION("""COMPUTED_VALUE"""),44574.0)</f>
        <v>44574</v>
      </c>
      <c r="E438" s="15">
        <f>IFERROR(__xludf.DUMMYFUNCTION("""COMPUTED_VALUE"""),0.2899305555547471)</f>
        <v>0.2899305556</v>
      </c>
      <c r="F438" s="8" t="str">
        <f>IFERROR(__xludf.DUMMYFUNCTION("""COMPUTED_VALUE"""),"Negative")</f>
        <v>Negative</v>
      </c>
      <c r="G438" s="16">
        <f>IFERROR(__xludf.DUMMYFUNCTION("""COMPUTED_VALUE"""),2.0)</f>
        <v>2</v>
      </c>
      <c r="H438" s="8" t="str">
        <f>IFERROR(__xludf.DUMMYFUNCTION("""COMPUTED_VALUE"""),"CRLN")</f>
        <v>CRLN</v>
      </c>
    </row>
    <row r="439">
      <c r="A439" s="8" t="str">
        <f>IFERROR(__xludf.DUMMYFUNCTION("""COMPUTED_VALUE"""),"FLE933")</f>
        <v>FLE933</v>
      </c>
      <c r="B439" s="8" t="str">
        <f>IFERROR(__xludf.DUMMYFUNCTION("""COMPUTED_VALUE"""),"RUN-FLMP_2022-01-13_RFR-057")</f>
        <v>RUN-FLMP_2022-01-13_RFR-057</v>
      </c>
      <c r="C439" s="10">
        <f>VLOOKUP(B439,'Run Reconcile'!A$2:B1579,2,FALSE)</f>
        <v>44574</v>
      </c>
      <c r="D439" s="14">
        <f>IFERROR(__xludf.DUMMYFUNCTION("""COMPUTED_VALUE"""),44574.0)</f>
        <v>44574</v>
      </c>
      <c r="E439" s="15">
        <f>IFERROR(__xludf.DUMMYFUNCTION("""COMPUTED_VALUE"""),0.307129629629344)</f>
        <v>0.3071296296</v>
      </c>
      <c r="F439" s="8" t="str">
        <f>IFERROR(__xludf.DUMMYFUNCTION("""COMPUTED_VALUE"""),"Negative")</f>
        <v>Negative</v>
      </c>
      <c r="G439" s="16">
        <f>IFERROR(__xludf.DUMMYFUNCTION("""COMPUTED_VALUE"""),2.0)</f>
        <v>2</v>
      </c>
      <c r="H439" s="8" t="str">
        <f>IFERROR(__xludf.DUMMYFUNCTION("""COMPUTED_VALUE"""),"CRLN")</f>
        <v>CRLN</v>
      </c>
    </row>
    <row r="440">
      <c r="A440" s="8" t="str">
        <f>IFERROR(__xludf.DUMMYFUNCTION("""COMPUTED_VALUE"""),"FLE891")</f>
        <v>FLE891</v>
      </c>
      <c r="B440" s="8" t="str">
        <f>IFERROR(__xludf.DUMMYFUNCTION("""COMPUTED_VALUE"""),"RUN-FLMP_2022-01-13_RFR-057")</f>
        <v>RUN-FLMP_2022-01-13_RFR-057</v>
      </c>
      <c r="C440" s="10">
        <f>VLOOKUP(B440,'Run Reconcile'!A$2:B1579,2,FALSE)</f>
        <v>44574</v>
      </c>
      <c r="D440" s="14">
        <f>IFERROR(__xludf.DUMMYFUNCTION("""COMPUTED_VALUE"""),44574.0)</f>
        <v>44574</v>
      </c>
      <c r="E440" s="15">
        <f>IFERROR(__xludf.DUMMYFUNCTION("""COMPUTED_VALUE"""),0.3075925925913907)</f>
        <v>0.3075925926</v>
      </c>
      <c r="F440" s="8" t="str">
        <f>IFERROR(__xludf.DUMMYFUNCTION("""COMPUTED_VALUE"""),"Negative")</f>
        <v>Negative</v>
      </c>
      <c r="G440" s="16">
        <f>IFERROR(__xludf.DUMMYFUNCTION("""COMPUTED_VALUE"""),4.0)</f>
        <v>4</v>
      </c>
      <c r="H440" s="8" t="str">
        <f>IFERROR(__xludf.DUMMYFUNCTION("""COMPUTED_VALUE"""),"CRLN")</f>
        <v>CRLN</v>
      </c>
    </row>
    <row r="441">
      <c r="A441" s="8" t="str">
        <f>IFERROR(__xludf.DUMMYFUNCTION("""COMPUTED_VALUE"""),"FLT1468")</f>
        <v>FLT1468</v>
      </c>
      <c r="B441" s="8" t="str">
        <f>IFERROR(__xludf.DUMMYFUNCTION("""COMPUTED_VALUE"""),"RUN-FLMP_2022-01-13_RFR-057")</f>
        <v>RUN-FLMP_2022-01-13_RFR-057</v>
      </c>
      <c r="C441" s="10">
        <f>VLOOKUP(B441,'Run Reconcile'!A$2:B1579,2,FALSE)</f>
        <v>44574</v>
      </c>
      <c r="D441" s="14">
        <f>IFERROR(__xludf.DUMMYFUNCTION("""COMPUTED_VALUE"""),44574.0)</f>
        <v>44574</v>
      </c>
      <c r="E441" s="15">
        <f>IFERROR(__xludf.DUMMYFUNCTION("""COMPUTED_VALUE"""),0.31087962962919846)</f>
        <v>0.3108796296</v>
      </c>
      <c r="F441" s="8" t="str">
        <f>IFERROR(__xludf.DUMMYFUNCTION("""COMPUTED_VALUE"""),"Negative")</f>
        <v>Negative</v>
      </c>
      <c r="G441" s="16">
        <f>IFERROR(__xludf.DUMMYFUNCTION("""COMPUTED_VALUE"""),4.0)</f>
        <v>4</v>
      </c>
      <c r="H441" s="8" t="str">
        <f>IFERROR(__xludf.DUMMYFUNCTION("""COMPUTED_VALUE"""),"CRLN")</f>
        <v>CRLN</v>
      </c>
    </row>
    <row r="442">
      <c r="A442" s="8" t="str">
        <f>IFERROR(__xludf.DUMMYFUNCTION("""COMPUTED_VALUE"""),"FLE842")</f>
        <v>FLE842</v>
      </c>
      <c r="B442" s="8" t="str">
        <f>IFERROR(__xludf.DUMMYFUNCTION("""COMPUTED_VALUE"""),"RUN-FLMP_2022-01-13_RFR-057")</f>
        <v>RUN-FLMP_2022-01-13_RFR-057</v>
      </c>
      <c r="C442" s="10">
        <f>VLOOKUP(B442,'Run Reconcile'!A$2:B1579,2,FALSE)</f>
        <v>44574</v>
      </c>
      <c r="D442" s="14">
        <f>IFERROR(__xludf.DUMMYFUNCTION("""COMPUTED_VALUE"""),44574.0)</f>
        <v>44574</v>
      </c>
      <c r="E442" s="15">
        <f>IFERROR(__xludf.DUMMYFUNCTION("""COMPUTED_VALUE"""),0.3114814814798592)</f>
        <v>0.3114814815</v>
      </c>
      <c r="F442" s="8" t="str">
        <f>IFERROR(__xludf.DUMMYFUNCTION("""COMPUTED_VALUE"""),"Negative")</f>
        <v>Negative</v>
      </c>
      <c r="G442" s="16">
        <f>IFERROR(__xludf.DUMMYFUNCTION("""COMPUTED_VALUE"""),4.0)</f>
        <v>4</v>
      </c>
      <c r="H442" s="8" t="str">
        <f>IFERROR(__xludf.DUMMYFUNCTION("""COMPUTED_VALUE"""),"CRLN")</f>
        <v>CRLN</v>
      </c>
    </row>
    <row r="443">
      <c r="A443" s="8" t="str">
        <f>IFERROR(__xludf.DUMMYFUNCTION("""COMPUTED_VALUE"""),"FLB6879")</f>
        <v>FLB6879</v>
      </c>
      <c r="B443" s="8" t="str">
        <f>IFERROR(__xludf.DUMMYFUNCTION("""COMPUTED_VALUE"""),"RUN-FLMP_2022-01-13_RFR-057")</f>
        <v>RUN-FLMP_2022-01-13_RFR-057</v>
      </c>
      <c r="C443" s="10">
        <f>VLOOKUP(B443,'Run Reconcile'!A$2:B1579,2,FALSE)</f>
        <v>44574</v>
      </c>
      <c r="D443" s="14">
        <f>IFERROR(__xludf.DUMMYFUNCTION("""COMPUTED_VALUE"""),44574.0)</f>
        <v>44574</v>
      </c>
      <c r="E443" s="15">
        <f>IFERROR(__xludf.DUMMYFUNCTION("""COMPUTED_VALUE"""),0.3180208333324117)</f>
        <v>0.3180208333</v>
      </c>
      <c r="F443" s="8" t="str">
        <f>IFERROR(__xludf.DUMMYFUNCTION("""COMPUTED_VALUE"""),"Negative")</f>
        <v>Negative</v>
      </c>
      <c r="G443" s="16">
        <f>IFERROR(__xludf.DUMMYFUNCTION("""COMPUTED_VALUE"""),1.0)</f>
        <v>1</v>
      </c>
      <c r="H443" s="8" t="str">
        <f>IFERROR(__xludf.DUMMYFUNCTION("""COMPUTED_VALUE"""),"CRLN")</f>
        <v>CRLN</v>
      </c>
    </row>
    <row r="444">
      <c r="A444" s="8" t="str">
        <f>IFERROR(__xludf.DUMMYFUNCTION("""COMPUTED_VALUE"""),"FLB5883")</f>
        <v>FLB5883</v>
      </c>
      <c r="B444" s="8" t="str">
        <f>IFERROR(__xludf.DUMMYFUNCTION("""COMPUTED_VALUE"""),"RUN-FLMP_2022-01-13_RFR-057")</f>
        <v>RUN-FLMP_2022-01-13_RFR-057</v>
      </c>
      <c r="C444" s="10">
        <f>VLOOKUP(B444,'Run Reconcile'!A$2:B1579,2,FALSE)</f>
        <v>44574</v>
      </c>
      <c r="D444" s="14">
        <f>IFERROR(__xludf.DUMMYFUNCTION("""COMPUTED_VALUE"""),44574.0)</f>
        <v>44574</v>
      </c>
      <c r="E444" s="15">
        <f>IFERROR(__xludf.DUMMYFUNCTION("""COMPUTED_VALUE"""),0.32603009259401006)</f>
        <v>0.3260300926</v>
      </c>
      <c r="F444" s="8" t="str">
        <f>IFERROR(__xludf.DUMMYFUNCTION("""COMPUTED_VALUE"""),"Negative")</f>
        <v>Negative</v>
      </c>
      <c r="G444" s="16">
        <f>IFERROR(__xludf.DUMMYFUNCTION("""COMPUTED_VALUE"""),4.0)</f>
        <v>4</v>
      </c>
      <c r="H444" s="8" t="str">
        <f>IFERROR(__xludf.DUMMYFUNCTION("""COMPUTED_VALUE"""),"CRLN")</f>
        <v>CRLN</v>
      </c>
    </row>
    <row r="445">
      <c r="A445" s="8" t="str">
        <f>IFERROR(__xludf.DUMMYFUNCTION("""COMPUTED_VALUE"""),"FLT1169")</f>
        <v>FLT1169</v>
      </c>
      <c r="B445" s="8" t="str">
        <f>IFERROR(__xludf.DUMMYFUNCTION("""COMPUTED_VALUE"""),"RUN-FLMP_2022-01-13_RFR-057")</f>
        <v>RUN-FLMP_2022-01-13_RFR-057</v>
      </c>
      <c r="C445" s="10">
        <f>VLOOKUP(B445,'Run Reconcile'!A$2:B1579,2,FALSE)</f>
        <v>44574</v>
      </c>
      <c r="D445" s="14">
        <f>IFERROR(__xludf.DUMMYFUNCTION("""COMPUTED_VALUE"""),44574.0)</f>
        <v>44574</v>
      </c>
      <c r="E445" s="15">
        <f>IFERROR(__xludf.DUMMYFUNCTION("""COMPUTED_VALUE"""),0.32658564814846613)</f>
        <v>0.3265856481</v>
      </c>
      <c r="F445" s="8" t="str">
        <f>IFERROR(__xludf.DUMMYFUNCTION("""COMPUTED_VALUE"""),"Negative")</f>
        <v>Negative</v>
      </c>
      <c r="G445" s="16">
        <f>IFERROR(__xludf.DUMMYFUNCTION("""COMPUTED_VALUE"""),2.0)</f>
        <v>2</v>
      </c>
      <c r="H445" s="8" t="str">
        <f>IFERROR(__xludf.DUMMYFUNCTION("""COMPUTED_VALUE"""),"CRLN")</f>
        <v>CRLN</v>
      </c>
    </row>
    <row r="446">
      <c r="A446" s="8" t="str">
        <f>IFERROR(__xludf.DUMMYFUNCTION("""COMPUTED_VALUE"""),"FLT1441")</f>
        <v>FLT1441</v>
      </c>
      <c r="B446" s="8" t="str">
        <f>IFERROR(__xludf.DUMMYFUNCTION("""COMPUTED_VALUE"""),"RUN-FLMP_2022-01-13_RFR-057")</f>
        <v>RUN-FLMP_2022-01-13_RFR-057</v>
      </c>
      <c r="C446" s="10">
        <f>VLOOKUP(B446,'Run Reconcile'!A$2:B1579,2,FALSE)</f>
        <v>44574</v>
      </c>
      <c r="D446" s="14">
        <f>IFERROR(__xludf.DUMMYFUNCTION("""COMPUTED_VALUE"""),44574.0)</f>
        <v>44574</v>
      </c>
      <c r="E446" s="15">
        <f>IFERROR(__xludf.DUMMYFUNCTION("""COMPUTED_VALUE"""),0.32752314814933925)</f>
        <v>0.3275231481</v>
      </c>
      <c r="F446" s="8" t="str">
        <f>IFERROR(__xludf.DUMMYFUNCTION("""COMPUTED_VALUE"""),"Negative")</f>
        <v>Negative</v>
      </c>
      <c r="G446" s="16">
        <f>IFERROR(__xludf.DUMMYFUNCTION("""COMPUTED_VALUE"""),1.0)</f>
        <v>1</v>
      </c>
      <c r="H446" s="8" t="str">
        <f>IFERROR(__xludf.DUMMYFUNCTION("""COMPUTED_VALUE"""),"CRLN")</f>
        <v>CRLN</v>
      </c>
    </row>
    <row r="447">
      <c r="A447" s="8" t="str">
        <f>IFERROR(__xludf.DUMMYFUNCTION("""COMPUTED_VALUE"""),"FLT1167")</f>
        <v>FLT1167</v>
      </c>
      <c r="B447" s="8" t="str">
        <f>IFERROR(__xludf.DUMMYFUNCTION("""COMPUTED_VALUE"""),"RUN-FLMP_2022-01-13_RFR-057")</f>
        <v>RUN-FLMP_2022-01-13_RFR-057</v>
      </c>
      <c r="C447" s="10">
        <f>VLOOKUP(B447,'Run Reconcile'!A$2:B1579,2,FALSE)</f>
        <v>44574</v>
      </c>
      <c r="D447" s="14">
        <f>IFERROR(__xludf.DUMMYFUNCTION("""COMPUTED_VALUE"""),44574.0)</f>
        <v>44574</v>
      </c>
      <c r="E447" s="15">
        <f>IFERROR(__xludf.DUMMYFUNCTION("""COMPUTED_VALUE"""),0.3347106481487572)</f>
        <v>0.3347106481</v>
      </c>
      <c r="F447" s="8" t="str">
        <f>IFERROR(__xludf.DUMMYFUNCTION("""COMPUTED_VALUE"""),"Negative")</f>
        <v>Negative</v>
      </c>
      <c r="G447" s="16">
        <f>IFERROR(__xludf.DUMMYFUNCTION("""COMPUTED_VALUE"""),1.0)</f>
        <v>1</v>
      </c>
      <c r="H447" s="8" t="str">
        <f>IFERROR(__xludf.DUMMYFUNCTION("""COMPUTED_VALUE"""),"CRLN")</f>
        <v>CRLN</v>
      </c>
    </row>
    <row r="448">
      <c r="A448" s="8" t="str">
        <f>IFERROR(__xludf.DUMMYFUNCTION("""COMPUTED_VALUE"""),"FLB5829")</f>
        <v>FLB5829</v>
      </c>
      <c r="B448" s="8" t="str">
        <f>IFERROR(__xludf.DUMMYFUNCTION("""COMPUTED_VALUE"""),"RUN-FLMP_2022-01-13_RFR-057")</f>
        <v>RUN-FLMP_2022-01-13_RFR-057</v>
      </c>
      <c r="C448" s="10">
        <f>VLOOKUP(B448,'Run Reconcile'!A$2:B1579,2,FALSE)</f>
        <v>44574</v>
      </c>
      <c r="D448" s="14">
        <f>IFERROR(__xludf.DUMMYFUNCTION("""COMPUTED_VALUE"""),44574.0)</f>
        <v>44574</v>
      </c>
      <c r="E448" s="15">
        <f>IFERROR(__xludf.DUMMYFUNCTION("""COMPUTED_VALUE"""),0.3446180555547471)</f>
        <v>0.3446180556</v>
      </c>
      <c r="F448" s="8" t="str">
        <f>IFERROR(__xludf.DUMMYFUNCTION("""COMPUTED_VALUE"""),"Negative")</f>
        <v>Negative</v>
      </c>
      <c r="G448" s="16">
        <f>IFERROR(__xludf.DUMMYFUNCTION("""COMPUTED_VALUE"""),4.0)</f>
        <v>4</v>
      </c>
      <c r="H448" s="8" t="str">
        <f>IFERROR(__xludf.DUMMYFUNCTION("""COMPUTED_VALUE"""),"CRLN")</f>
        <v>CRLN</v>
      </c>
    </row>
    <row r="449">
      <c r="A449" s="8" t="str">
        <f>IFERROR(__xludf.DUMMYFUNCTION("""COMPUTED_VALUE"""),"FLT1403")</f>
        <v>FLT1403</v>
      </c>
      <c r="B449" s="8" t="str">
        <f>IFERROR(__xludf.DUMMYFUNCTION("""COMPUTED_VALUE"""),"RUN-FLMP_2022-01-13_RFR-057")</f>
        <v>RUN-FLMP_2022-01-13_RFR-057</v>
      </c>
      <c r="C449" s="10">
        <f>VLOOKUP(B449,'Run Reconcile'!A$2:B1579,2,FALSE)</f>
        <v>44574</v>
      </c>
      <c r="D449" s="14">
        <f>IFERROR(__xludf.DUMMYFUNCTION("""COMPUTED_VALUE"""),44574.0)</f>
        <v>44574</v>
      </c>
      <c r="E449" s="15">
        <f>IFERROR(__xludf.DUMMYFUNCTION("""COMPUTED_VALUE"""),0.3485532407394203)</f>
        <v>0.3485532407</v>
      </c>
      <c r="F449" s="8" t="str">
        <f>IFERROR(__xludf.DUMMYFUNCTION("""COMPUTED_VALUE"""),"Negative")</f>
        <v>Negative</v>
      </c>
      <c r="G449" s="16">
        <f>IFERROR(__xludf.DUMMYFUNCTION("""COMPUTED_VALUE"""),4.0)</f>
        <v>4</v>
      </c>
      <c r="H449" s="8" t="str">
        <f>IFERROR(__xludf.DUMMYFUNCTION("""COMPUTED_VALUE"""),"CRLN")</f>
        <v>CRLN</v>
      </c>
    </row>
    <row r="450">
      <c r="A450" s="8" t="str">
        <f>IFERROR(__xludf.DUMMYFUNCTION("""COMPUTED_VALUE"""),"FLE316")</f>
        <v>FLE316</v>
      </c>
      <c r="B450" s="8" t="str">
        <f>IFERROR(__xludf.DUMMYFUNCTION("""COMPUTED_VALUE"""),"RUN-FLMP_2022-01-13_RFR-057")</f>
        <v>RUN-FLMP_2022-01-13_RFR-057</v>
      </c>
      <c r="C450" s="10">
        <f>VLOOKUP(B450,'Run Reconcile'!A$2:B1579,2,FALSE)</f>
        <v>44574</v>
      </c>
      <c r="D450" s="14">
        <f>IFERROR(__xludf.DUMMYFUNCTION("""COMPUTED_VALUE"""),44574.0)</f>
        <v>44574</v>
      </c>
      <c r="E450" s="15">
        <f>IFERROR(__xludf.DUMMYFUNCTION("""COMPUTED_VALUE"""),0.3492013888899237)</f>
        <v>0.3492013889</v>
      </c>
      <c r="F450" s="8" t="str">
        <f>IFERROR(__xludf.DUMMYFUNCTION("""COMPUTED_VALUE"""),"Negative")</f>
        <v>Negative</v>
      </c>
      <c r="G450" s="16">
        <f>IFERROR(__xludf.DUMMYFUNCTION("""COMPUTED_VALUE"""),4.0)</f>
        <v>4</v>
      </c>
      <c r="H450" s="8" t="str">
        <f>IFERROR(__xludf.DUMMYFUNCTION("""COMPUTED_VALUE"""),"CRLN")</f>
        <v>CRLN</v>
      </c>
    </row>
    <row r="451">
      <c r="A451" s="8" t="str">
        <f>IFERROR(__xludf.DUMMYFUNCTION("""COMPUTED_VALUE"""),"FLB7154")</f>
        <v>FLB7154</v>
      </c>
      <c r="B451" s="8" t="str">
        <f>IFERROR(__xludf.DUMMYFUNCTION("""COMPUTED_VALUE"""),"RUN-FLMP_2022-01-13_RFR-057")</f>
        <v>RUN-FLMP_2022-01-13_RFR-057</v>
      </c>
      <c r="C451" s="10">
        <f>VLOOKUP(B451,'Run Reconcile'!A$2:B1579,2,FALSE)</f>
        <v>44574</v>
      </c>
      <c r="D451" s="14">
        <f>IFERROR(__xludf.DUMMYFUNCTION("""COMPUTED_VALUE"""),44574.0)</f>
        <v>44574</v>
      </c>
      <c r="E451" s="15">
        <f>IFERROR(__xludf.DUMMYFUNCTION("""COMPUTED_VALUE"""),0.34982638889050577)</f>
        <v>0.3498263889</v>
      </c>
      <c r="F451" s="8" t="str">
        <f>IFERROR(__xludf.DUMMYFUNCTION("""COMPUTED_VALUE"""),"Negative")</f>
        <v>Negative</v>
      </c>
      <c r="G451" s="16">
        <f>IFERROR(__xludf.DUMMYFUNCTION("""COMPUTED_VALUE"""),4.0)</f>
        <v>4</v>
      </c>
      <c r="H451" s="8" t="str">
        <f>IFERROR(__xludf.DUMMYFUNCTION("""COMPUTED_VALUE"""),"CRLN")</f>
        <v>CRLN</v>
      </c>
    </row>
    <row r="452">
      <c r="A452" s="8" t="str">
        <f>IFERROR(__xludf.DUMMYFUNCTION("""COMPUTED_VALUE"""),"FLT1113")</f>
        <v>FLT1113</v>
      </c>
      <c r="B452" s="8" t="str">
        <f>IFERROR(__xludf.DUMMYFUNCTION("""COMPUTED_VALUE"""),"RUN-FLMP_2022-01-13_RFR-057")</f>
        <v>RUN-FLMP_2022-01-13_RFR-057</v>
      </c>
      <c r="C452" s="10">
        <f>VLOOKUP(B452,'Run Reconcile'!A$2:B1579,2,FALSE)</f>
        <v>44574</v>
      </c>
      <c r="D452" s="14">
        <f>IFERROR(__xludf.DUMMYFUNCTION("""COMPUTED_VALUE"""),44574.0)</f>
        <v>44574</v>
      </c>
      <c r="E452" s="15">
        <f>IFERROR(__xludf.DUMMYFUNCTION("""COMPUTED_VALUE"""),0.35376157407517894)</f>
        <v>0.3537615741</v>
      </c>
      <c r="F452" s="8" t="str">
        <f>IFERROR(__xludf.DUMMYFUNCTION("""COMPUTED_VALUE"""),"Negative")</f>
        <v>Negative</v>
      </c>
      <c r="G452" s="16">
        <f>IFERROR(__xludf.DUMMYFUNCTION("""COMPUTED_VALUE"""),4.0)</f>
        <v>4</v>
      </c>
      <c r="H452" s="8" t="str">
        <f>IFERROR(__xludf.DUMMYFUNCTION("""COMPUTED_VALUE"""),"CRLN")</f>
        <v>CRLN</v>
      </c>
    </row>
    <row r="453">
      <c r="A453" s="8" t="str">
        <f>IFERROR(__xludf.DUMMYFUNCTION("""COMPUTED_VALUE"""),"FLT1179")</f>
        <v>FLT1179</v>
      </c>
      <c r="B453" s="8" t="str">
        <f>IFERROR(__xludf.DUMMYFUNCTION("""COMPUTED_VALUE"""),"RUN-FLMP_2022-01-13_RFR-057")</f>
        <v>RUN-FLMP_2022-01-13_RFR-057</v>
      </c>
      <c r="C453" s="10">
        <f>VLOOKUP(B453,'Run Reconcile'!A$2:B1579,2,FALSE)</f>
        <v>44574</v>
      </c>
      <c r="D453" s="14">
        <f>IFERROR(__xludf.DUMMYFUNCTION("""COMPUTED_VALUE"""),44574.0)</f>
        <v>44574</v>
      </c>
      <c r="E453" s="15">
        <f>IFERROR(__xludf.DUMMYFUNCTION("""COMPUTED_VALUE"""),0.3552314814805868)</f>
        <v>0.3552314815</v>
      </c>
      <c r="F453" s="8" t="str">
        <f>IFERROR(__xludf.DUMMYFUNCTION("""COMPUTED_VALUE"""),"Negative")</f>
        <v>Negative</v>
      </c>
      <c r="G453" s="16">
        <f>IFERROR(__xludf.DUMMYFUNCTION("""COMPUTED_VALUE"""),4.0)</f>
        <v>4</v>
      </c>
      <c r="H453" s="8" t="str">
        <f>IFERROR(__xludf.DUMMYFUNCTION("""COMPUTED_VALUE"""),"CRLN")</f>
        <v>CRLN</v>
      </c>
    </row>
    <row r="454">
      <c r="A454" s="8" t="str">
        <f>IFERROR(__xludf.DUMMYFUNCTION("""COMPUTED_VALUE"""),"FLB6880")</f>
        <v>FLB6880</v>
      </c>
      <c r="B454" s="8" t="str">
        <f>IFERROR(__xludf.DUMMYFUNCTION("""COMPUTED_VALUE"""),"RUN-FLMP_2022-01-13_RFR-057")</f>
        <v>RUN-FLMP_2022-01-13_RFR-057</v>
      </c>
      <c r="C454" s="10">
        <f>VLOOKUP(B454,'Run Reconcile'!A$2:B1579,2,FALSE)</f>
        <v>44574</v>
      </c>
      <c r="D454" s="14">
        <f>IFERROR(__xludf.DUMMYFUNCTION("""COMPUTED_VALUE"""),44574.0)</f>
        <v>44574</v>
      </c>
      <c r="E454" s="15">
        <f>IFERROR(__xludf.DUMMYFUNCTION("""COMPUTED_VALUE"""),0.359375)</f>
        <v>0.359375</v>
      </c>
      <c r="F454" s="8" t="str">
        <f>IFERROR(__xludf.DUMMYFUNCTION("""COMPUTED_VALUE"""),"Negative")</f>
        <v>Negative</v>
      </c>
      <c r="G454" s="16">
        <f>IFERROR(__xludf.DUMMYFUNCTION("""COMPUTED_VALUE"""),3.0)</f>
        <v>3</v>
      </c>
      <c r="H454" s="8" t="str">
        <f>IFERROR(__xludf.DUMMYFUNCTION("""COMPUTED_VALUE"""),"CRLN")</f>
        <v>CRLN</v>
      </c>
    </row>
    <row r="455">
      <c r="A455" s="8" t="str">
        <f>IFERROR(__xludf.DUMMYFUNCTION("""COMPUTED_VALUE"""),"FLB5865")</f>
        <v>FLB5865</v>
      </c>
      <c r="B455" s="8" t="str">
        <f>IFERROR(__xludf.DUMMYFUNCTION("""COMPUTED_VALUE"""),"RUN-FLMP_2022-01-13_RFR-057")</f>
        <v>RUN-FLMP_2022-01-13_RFR-057</v>
      </c>
      <c r="C455" s="10">
        <f>VLOOKUP(B455,'Run Reconcile'!A$2:B1579,2,FALSE)</f>
        <v>44574</v>
      </c>
      <c r="D455" s="14">
        <f>IFERROR(__xludf.DUMMYFUNCTION("""COMPUTED_VALUE"""),44574.0)</f>
        <v>44574</v>
      </c>
      <c r="E455" s="15">
        <f>IFERROR(__xludf.DUMMYFUNCTION("""COMPUTED_VALUE"""),0.36670138888803194)</f>
        <v>0.3667013889</v>
      </c>
      <c r="F455" s="8" t="str">
        <f>IFERROR(__xludf.DUMMYFUNCTION("""COMPUTED_VALUE"""),"Negative")</f>
        <v>Negative</v>
      </c>
      <c r="G455" s="16">
        <f>IFERROR(__xludf.DUMMYFUNCTION("""COMPUTED_VALUE"""),2.0)</f>
        <v>2</v>
      </c>
      <c r="H455" s="8" t="str">
        <f>IFERROR(__xludf.DUMMYFUNCTION("""COMPUTED_VALUE"""),"CRLN")</f>
        <v>CRLN</v>
      </c>
    </row>
    <row r="456">
      <c r="A456" s="8" t="str">
        <f>IFERROR(__xludf.DUMMYFUNCTION("""COMPUTED_VALUE"""),"FLB7356")</f>
        <v>FLB7356</v>
      </c>
      <c r="B456" s="8" t="str">
        <f>IFERROR(__xludf.DUMMYFUNCTION("""COMPUTED_VALUE"""),"RUN-FLMP_2022-01-13_RFR-057")</f>
        <v>RUN-FLMP_2022-01-13_RFR-057</v>
      </c>
      <c r="C456" s="10">
        <f>VLOOKUP(B456,'Run Reconcile'!A$2:B1579,2,FALSE)</f>
        <v>44574</v>
      </c>
      <c r="D456" s="14">
        <f>IFERROR(__xludf.DUMMYFUNCTION("""COMPUTED_VALUE"""),44574.0)</f>
        <v>44574</v>
      </c>
      <c r="E456" s="15">
        <f>IFERROR(__xludf.DUMMYFUNCTION("""COMPUTED_VALUE"""),0.36709490740759065)</f>
        <v>0.3670949074</v>
      </c>
      <c r="F456" s="8" t="str">
        <f>IFERROR(__xludf.DUMMYFUNCTION("""COMPUTED_VALUE"""),"Negative")</f>
        <v>Negative</v>
      </c>
      <c r="G456" s="16">
        <f>IFERROR(__xludf.DUMMYFUNCTION("""COMPUTED_VALUE"""),2.0)</f>
        <v>2</v>
      </c>
      <c r="H456" s="8" t="str">
        <f>IFERROR(__xludf.DUMMYFUNCTION("""COMPUTED_VALUE"""),"CRLN")</f>
        <v>CRLN</v>
      </c>
    </row>
    <row r="457">
      <c r="A457" s="8" t="str">
        <f>IFERROR(__xludf.DUMMYFUNCTION("""COMPUTED_VALUE"""),"FLB5881")</f>
        <v>FLB5881</v>
      </c>
      <c r="B457" s="8" t="str">
        <f>IFERROR(__xludf.DUMMYFUNCTION("""COMPUTED_VALUE"""),"RUN-FLMP_2022-01-13_RFR-057")</f>
        <v>RUN-FLMP_2022-01-13_RFR-057</v>
      </c>
      <c r="C457" s="10">
        <f>VLOOKUP(B457,'Run Reconcile'!A$2:B1579,2,FALSE)</f>
        <v>44574</v>
      </c>
      <c r="D457" s="14">
        <f>IFERROR(__xludf.DUMMYFUNCTION("""COMPUTED_VALUE"""),44574.0)</f>
        <v>44574</v>
      </c>
      <c r="E457" s="15">
        <f>IFERROR(__xludf.DUMMYFUNCTION("""COMPUTED_VALUE"""),0.36785879629678675)</f>
        <v>0.3678587963</v>
      </c>
      <c r="F457" s="8" t="str">
        <f>IFERROR(__xludf.DUMMYFUNCTION("""COMPUTED_VALUE"""),"Negative")</f>
        <v>Negative</v>
      </c>
      <c r="G457" s="16">
        <f>IFERROR(__xludf.DUMMYFUNCTION("""COMPUTED_VALUE"""),1.0)</f>
        <v>1</v>
      </c>
      <c r="H457" s="8" t="str">
        <f>IFERROR(__xludf.DUMMYFUNCTION("""COMPUTED_VALUE"""),"CRLN")</f>
        <v>CRLN</v>
      </c>
    </row>
    <row r="458">
      <c r="A458" s="8" t="str">
        <f>IFERROR(__xludf.DUMMYFUNCTION("""COMPUTED_VALUE"""),"FLT1408")</f>
        <v>FLT1408</v>
      </c>
      <c r="B458" s="8" t="str">
        <f>IFERROR(__xludf.DUMMYFUNCTION("""COMPUTED_VALUE"""),"RUN-FLMP_2022-01-13_RFR-057")</f>
        <v>RUN-FLMP_2022-01-13_RFR-057</v>
      </c>
      <c r="C458" s="10">
        <f>VLOOKUP(B458,'Run Reconcile'!A$2:B1579,2,FALSE)</f>
        <v>44574</v>
      </c>
      <c r="D458" s="14">
        <f>IFERROR(__xludf.DUMMYFUNCTION("""COMPUTED_VALUE"""),44574.0)</f>
        <v>44574</v>
      </c>
      <c r="E458" s="15">
        <f>IFERROR(__xludf.DUMMYFUNCTION("""COMPUTED_VALUE"""),0.37028935185298906)</f>
        <v>0.3702893519</v>
      </c>
      <c r="F458" s="8" t="str">
        <f>IFERROR(__xludf.DUMMYFUNCTION("""COMPUTED_VALUE"""),"Negative")</f>
        <v>Negative</v>
      </c>
      <c r="G458" s="16">
        <f>IFERROR(__xludf.DUMMYFUNCTION("""COMPUTED_VALUE"""),3.0)</f>
        <v>3</v>
      </c>
      <c r="H458" s="8" t="str">
        <f>IFERROR(__xludf.DUMMYFUNCTION("""COMPUTED_VALUE"""),"CRLN")</f>
        <v>CRLN</v>
      </c>
    </row>
    <row r="459">
      <c r="A459" s="8" t="str">
        <f>IFERROR(__xludf.DUMMYFUNCTION("""COMPUTED_VALUE"""),"FLT1466")</f>
        <v>FLT1466</v>
      </c>
      <c r="B459" s="8" t="str">
        <f>IFERROR(__xludf.DUMMYFUNCTION("""COMPUTED_VALUE"""),"RUN-FLMP_2022-01-13_RFR-057")</f>
        <v>RUN-FLMP_2022-01-13_RFR-057</v>
      </c>
      <c r="C459" s="10">
        <f>VLOOKUP(B459,'Run Reconcile'!A$2:B1579,2,FALSE)</f>
        <v>44574</v>
      </c>
      <c r="D459" s="14">
        <f>IFERROR(__xludf.DUMMYFUNCTION("""COMPUTED_VALUE"""),44574.0)</f>
        <v>44574</v>
      </c>
      <c r="E459" s="15">
        <f>IFERROR(__xludf.DUMMYFUNCTION("""COMPUTED_VALUE"""),0.4674074074064265)</f>
        <v>0.4674074074</v>
      </c>
      <c r="F459" s="8" t="str">
        <f>IFERROR(__xludf.DUMMYFUNCTION("""COMPUTED_VALUE"""),"Negative")</f>
        <v>Negative</v>
      </c>
      <c r="G459" s="16">
        <f>IFERROR(__xludf.DUMMYFUNCTION("""COMPUTED_VALUE"""),2.0)</f>
        <v>2</v>
      </c>
      <c r="H459" s="8" t="str">
        <f>IFERROR(__xludf.DUMMYFUNCTION("""COMPUTED_VALUE"""),"CRLN")</f>
        <v>CRLN</v>
      </c>
    </row>
    <row r="460">
      <c r="A460" s="8" t="str">
        <f>IFERROR(__xludf.DUMMYFUNCTION("""COMPUTED_VALUE"""),"FLB7408")</f>
        <v>FLB7408</v>
      </c>
      <c r="B460" s="8" t="str">
        <f>IFERROR(__xludf.DUMMYFUNCTION("""COMPUTED_VALUE"""),"RUN-FLMP_2022-01-15_RFR-060")</f>
        <v>RUN-FLMP_2022-01-15_RFR-060</v>
      </c>
      <c r="C460" s="10">
        <f>VLOOKUP(B460,'Run Reconcile'!A$2:B1579,2,FALSE)</f>
        <v>44576</v>
      </c>
      <c r="D460" s="14">
        <f>IFERROR(__xludf.DUMMYFUNCTION("""COMPUTED_VALUE"""),44576.0)</f>
        <v>44576</v>
      </c>
      <c r="E460" s="15">
        <f>IFERROR(__xludf.DUMMYFUNCTION("""COMPUTED_VALUE"""),0.2985185185170849)</f>
        <v>0.2985185185</v>
      </c>
      <c r="F460" s="8" t="str">
        <f>IFERROR(__xludf.DUMMYFUNCTION("""COMPUTED_VALUE"""),"Negative")</f>
        <v>Negative</v>
      </c>
      <c r="G460" s="16">
        <f>IFERROR(__xludf.DUMMYFUNCTION("""COMPUTED_VALUE"""),3.0)</f>
        <v>3</v>
      </c>
      <c r="H460" s="8" t="str">
        <f>IFERROR(__xludf.DUMMYFUNCTION("""COMPUTED_VALUE"""),"CRLN")</f>
        <v>CRLN</v>
      </c>
    </row>
    <row r="461">
      <c r="A461" s="8" t="str">
        <f>IFERROR(__xludf.DUMMYFUNCTION("""COMPUTED_VALUE"""),"FLB5887")</f>
        <v>FLB5887</v>
      </c>
      <c r="B461" s="8" t="str">
        <f>IFERROR(__xludf.DUMMYFUNCTION("""COMPUTED_VALUE"""),"RUN-FLMP_2022-01-15_RFR-060")</f>
        <v>RUN-FLMP_2022-01-15_RFR-060</v>
      </c>
      <c r="C461" s="10">
        <f>VLOOKUP(B461,'Run Reconcile'!A$2:B1579,2,FALSE)</f>
        <v>44576</v>
      </c>
      <c r="D461" s="14">
        <f>IFERROR(__xludf.DUMMYFUNCTION("""COMPUTED_VALUE"""),44576.0)</f>
        <v>44576</v>
      </c>
      <c r="E461" s="15">
        <f>IFERROR(__xludf.DUMMYFUNCTION("""COMPUTED_VALUE"""),0.3201273148151813)</f>
        <v>0.3201273148</v>
      </c>
      <c r="F461" s="8" t="str">
        <f>IFERROR(__xludf.DUMMYFUNCTION("""COMPUTED_VALUE"""),"Negative")</f>
        <v>Negative</v>
      </c>
      <c r="G461" s="16">
        <f>IFERROR(__xludf.DUMMYFUNCTION("""COMPUTED_VALUE"""),2.0)</f>
        <v>2</v>
      </c>
      <c r="H461" s="8" t="str">
        <f>IFERROR(__xludf.DUMMYFUNCTION("""COMPUTED_VALUE"""),"CRLN")</f>
        <v>CRLN</v>
      </c>
    </row>
    <row r="462">
      <c r="A462" s="8" t="str">
        <f>IFERROR(__xludf.DUMMYFUNCTION("""COMPUTED_VALUE"""),"FLE283")</f>
        <v>FLE283</v>
      </c>
      <c r="B462" s="8" t="str">
        <f>IFERROR(__xludf.DUMMYFUNCTION("""COMPUTED_VALUE"""),"RUN-FLMP_2022-01-15_RFR-060")</f>
        <v>RUN-FLMP_2022-01-15_RFR-060</v>
      </c>
      <c r="C462" s="10">
        <f>VLOOKUP(B462,'Run Reconcile'!A$2:B1579,2,FALSE)</f>
        <v>44576</v>
      </c>
      <c r="D462" s="14">
        <f>IFERROR(__xludf.DUMMYFUNCTION("""COMPUTED_VALUE"""),44576.0)</f>
        <v>44576</v>
      </c>
      <c r="E462" s="15">
        <f>IFERROR(__xludf.DUMMYFUNCTION("""COMPUTED_VALUE"""),0.33937499999956344)</f>
        <v>0.339375</v>
      </c>
      <c r="F462" s="8" t="str">
        <f>IFERROR(__xludf.DUMMYFUNCTION("""COMPUTED_VALUE"""),"Negative")</f>
        <v>Negative</v>
      </c>
      <c r="G462" s="16">
        <f>IFERROR(__xludf.DUMMYFUNCTION("""COMPUTED_VALUE"""),4.0)</f>
        <v>4</v>
      </c>
      <c r="H462" s="8" t="str">
        <f>IFERROR(__xludf.DUMMYFUNCTION("""COMPUTED_VALUE"""),"CRLN")</f>
        <v>CRLN</v>
      </c>
    </row>
    <row r="463">
      <c r="A463" s="8" t="str">
        <f>IFERROR(__xludf.DUMMYFUNCTION("""COMPUTED_VALUE"""),"MA30")</f>
        <v>MA30</v>
      </c>
      <c r="B463" s="8" t="str">
        <f>IFERROR(__xludf.DUMMYFUNCTION("""COMPUTED_VALUE"""),"RUN-FLMP_2022-01-15_RFR-060")</f>
        <v>RUN-FLMP_2022-01-15_RFR-060</v>
      </c>
      <c r="C463" s="10">
        <f>VLOOKUP(B463,'Run Reconcile'!A$2:B1579,2,FALSE)</f>
        <v>44576</v>
      </c>
      <c r="D463" s="14">
        <f>IFERROR(__xludf.DUMMYFUNCTION("""COMPUTED_VALUE"""),44576.0)</f>
        <v>44576</v>
      </c>
      <c r="E463" s="15">
        <f>IFERROR(__xludf.DUMMYFUNCTION("""COMPUTED_VALUE"""),0.45960648148320615)</f>
        <v>0.4596064815</v>
      </c>
      <c r="F463" s="8" t="str">
        <f>IFERROR(__xludf.DUMMYFUNCTION("""COMPUTED_VALUE"""),"Negative")</f>
        <v>Negative</v>
      </c>
      <c r="G463" s="16">
        <f>IFERROR(__xludf.DUMMYFUNCTION("""COMPUTED_VALUE"""),1.0)</f>
        <v>1</v>
      </c>
      <c r="H463" s="8" t="str">
        <f>IFERROR(__xludf.DUMMYFUNCTION("""COMPUTED_VALUE"""),"FLSP")</f>
        <v>FLSP</v>
      </c>
    </row>
    <row r="464">
      <c r="A464" s="8" t="str">
        <f>IFERROR(__xludf.DUMMYFUNCTION("""COMPUTED_VALUE"""),"MA75")</f>
        <v>MA75</v>
      </c>
      <c r="B464" s="8" t="str">
        <f>IFERROR(__xludf.DUMMYFUNCTION("""COMPUTED_VALUE"""),"RUN-FLMP_2022-01-16_APS-080")</f>
        <v>RUN-FLMP_2022-01-16_APS-080</v>
      </c>
      <c r="C464" s="10">
        <f>VLOOKUP(B464,'Run Reconcile'!A$2:B1579,2,FALSE)</f>
        <v>44577</v>
      </c>
      <c r="D464" s="14">
        <f>IFERROR(__xludf.DUMMYFUNCTION("""COMPUTED_VALUE"""),44577.0)</f>
        <v>44577</v>
      </c>
      <c r="E464" s="15">
        <f>IFERROR(__xludf.DUMMYFUNCTION("""COMPUTED_VALUE"""),0.47599537036876427)</f>
        <v>0.4759953704</v>
      </c>
      <c r="F464" s="8" t="str">
        <f>IFERROR(__xludf.DUMMYFUNCTION("""COMPUTED_VALUE"""),"Negative")</f>
        <v>Negative</v>
      </c>
      <c r="G464" s="16">
        <f>IFERROR(__xludf.DUMMYFUNCTION("""COMPUTED_VALUE"""),1.0)</f>
        <v>1</v>
      </c>
      <c r="H464" s="8" t="str">
        <f>IFERROR(__xludf.DUMMYFUNCTION("""COMPUTED_VALUE"""),"FLSP")</f>
        <v>FLSP</v>
      </c>
    </row>
    <row r="465">
      <c r="A465" s="8" t="str">
        <f>IFERROR(__xludf.DUMMYFUNCTION("""COMPUTED_VALUE"""),"MA100")</f>
        <v>MA100</v>
      </c>
      <c r="B465" s="8" t="str">
        <f>IFERROR(__xludf.DUMMYFUNCTION("""COMPUTED_VALUE"""),"RUN-FLMP_2022-01-16_APS-080")</f>
        <v>RUN-FLMP_2022-01-16_APS-080</v>
      </c>
      <c r="C465" s="10">
        <f>VLOOKUP(B465,'Run Reconcile'!A$2:B1579,2,FALSE)</f>
        <v>44577</v>
      </c>
      <c r="D465" s="14">
        <f>IFERROR(__xludf.DUMMYFUNCTION("""COMPUTED_VALUE"""),44577.0)</f>
        <v>44577</v>
      </c>
      <c r="E465" s="15">
        <f>IFERROR(__xludf.DUMMYFUNCTION("""COMPUTED_VALUE"""),0.4778356481474475)</f>
        <v>0.4778356481</v>
      </c>
      <c r="F465" s="8" t="str">
        <f>IFERROR(__xludf.DUMMYFUNCTION("""COMPUTED_VALUE"""),"Negative")</f>
        <v>Negative</v>
      </c>
      <c r="G465" s="16">
        <f>IFERROR(__xludf.DUMMYFUNCTION("""COMPUTED_VALUE"""),1.0)</f>
        <v>1</v>
      </c>
      <c r="H465" s="8" t="str">
        <f>IFERROR(__xludf.DUMMYFUNCTION("""COMPUTED_VALUE"""),"FLSP")</f>
        <v>FLSP</v>
      </c>
    </row>
    <row r="466">
      <c r="A466" s="8" t="str">
        <f>IFERROR(__xludf.DUMMYFUNCTION("""COMPUTED_VALUE"""),"MA78")</f>
        <v>MA78</v>
      </c>
      <c r="B466" s="8" t="str">
        <f>IFERROR(__xludf.DUMMYFUNCTION("""COMPUTED_VALUE"""),"RUN-FLMP_2022-01-16_APS-080")</f>
        <v>RUN-FLMP_2022-01-16_APS-080</v>
      </c>
      <c r="C466" s="10">
        <f>VLOOKUP(B466,'Run Reconcile'!A$2:B1579,2,FALSE)</f>
        <v>44577</v>
      </c>
      <c r="D466" s="14">
        <f>IFERROR(__xludf.DUMMYFUNCTION("""COMPUTED_VALUE"""),44577.0)</f>
        <v>44577</v>
      </c>
      <c r="E466" s="15">
        <f>IFERROR(__xludf.DUMMYFUNCTION("""COMPUTED_VALUE"""),0.4779166666667152)</f>
        <v>0.4779166667</v>
      </c>
      <c r="F466" s="8" t="str">
        <f>IFERROR(__xludf.DUMMYFUNCTION("""COMPUTED_VALUE"""),"Negative")</f>
        <v>Negative</v>
      </c>
      <c r="G466" s="16">
        <f>IFERROR(__xludf.DUMMYFUNCTION("""COMPUTED_VALUE"""),1.0)</f>
        <v>1</v>
      </c>
      <c r="H466" s="8" t="str">
        <f>IFERROR(__xludf.DUMMYFUNCTION("""COMPUTED_VALUE"""),"CRLN")</f>
        <v>CRLN</v>
      </c>
    </row>
    <row r="467">
      <c r="A467" s="8" t="str">
        <f>IFERROR(__xludf.DUMMYFUNCTION("""COMPUTED_VALUE"""),"MA59")</f>
        <v>MA59</v>
      </c>
      <c r="B467" s="8" t="str">
        <f>IFERROR(__xludf.DUMMYFUNCTION("""COMPUTED_VALUE"""),"RUN-FLMP_2022-01-16_APS-080")</f>
        <v>RUN-FLMP_2022-01-16_APS-080</v>
      </c>
      <c r="C467" s="10">
        <f>VLOOKUP(B467,'Run Reconcile'!A$2:B1579,2,FALSE)</f>
        <v>44577</v>
      </c>
      <c r="D467" s="14">
        <f>IFERROR(__xludf.DUMMYFUNCTION("""COMPUTED_VALUE"""),44577.0)</f>
        <v>44577</v>
      </c>
      <c r="E467" s="15">
        <f>IFERROR(__xludf.DUMMYFUNCTION("""COMPUTED_VALUE"""),0.47995370370335877)</f>
        <v>0.4799537037</v>
      </c>
      <c r="F467" s="8" t="str">
        <f>IFERROR(__xludf.DUMMYFUNCTION("""COMPUTED_VALUE"""),"Negative")</f>
        <v>Negative</v>
      </c>
      <c r="G467" s="16">
        <f>IFERROR(__xludf.DUMMYFUNCTION("""COMPUTED_VALUE"""),1.0)</f>
        <v>1</v>
      </c>
      <c r="H467" s="8" t="str">
        <f>IFERROR(__xludf.DUMMYFUNCTION("""COMPUTED_VALUE"""),"FLSP")</f>
        <v>FLSP</v>
      </c>
    </row>
    <row r="468">
      <c r="A468" s="8" t="str">
        <f>IFERROR(__xludf.DUMMYFUNCTION("""COMPUTED_VALUE"""),"FLB7387")</f>
        <v>FLB7387</v>
      </c>
      <c r="B468" s="8" t="str">
        <f>IFERROR(__xludf.DUMMYFUNCTION("""COMPUTED_VALUE"""),"RUN-FLMP_2022-01-16_APS-080")</f>
        <v>RUN-FLMP_2022-01-16_APS-080</v>
      </c>
      <c r="C468" s="10">
        <f>VLOOKUP(B468,'Run Reconcile'!A$2:B1579,2,FALSE)</f>
        <v>44577</v>
      </c>
      <c r="D468" s="14">
        <f>IFERROR(__xludf.DUMMYFUNCTION("""COMPUTED_VALUE"""),44577.0)</f>
        <v>44577</v>
      </c>
      <c r="E468" s="15">
        <f>IFERROR(__xludf.DUMMYFUNCTION("""COMPUTED_VALUE"""),0.4992824074070086)</f>
        <v>0.4992824074</v>
      </c>
      <c r="F468" s="8" t="str">
        <f>IFERROR(__xludf.DUMMYFUNCTION("""COMPUTED_VALUE"""),"Negative")</f>
        <v>Negative</v>
      </c>
      <c r="G468" s="16">
        <f>IFERROR(__xludf.DUMMYFUNCTION("""COMPUTED_VALUE"""),1.0)</f>
        <v>1</v>
      </c>
      <c r="H468" s="8" t="str">
        <f>IFERROR(__xludf.DUMMYFUNCTION("""COMPUTED_VALUE"""),"CRLN")</f>
        <v>CRLN</v>
      </c>
    </row>
    <row r="469">
      <c r="A469" s="8" t="str">
        <f>IFERROR(__xludf.DUMMYFUNCTION("""COMPUTED_VALUE"""),"FLE946")</f>
        <v>FLE946</v>
      </c>
      <c r="B469" s="8" t="str">
        <f>IFERROR(__xludf.DUMMYFUNCTION("""COMPUTED_VALUE"""),"RUN-FLMP_2022-01-17_RFR-063")</f>
        <v>RUN-FLMP_2022-01-17_RFR-063</v>
      </c>
      <c r="C469" s="10">
        <f>VLOOKUP(B469,'Run Reconcile'!A$2:B1579,2,FALSE)</f>
        <v>44578</v>
      </c>
      <c r="D469" s="14">
        <f>IFERROR(__xludf.DUMMYFUNCTION("""COMPUTED_VALUE"""),44578.0)</f>
        <v>44578</v>
      </c>
      <c r="E469" s="15">
        <f>IFERROR(__xludf.DUMMYFUNCTION("""COMPUTED_VALUE"""),0.3444097222236451)</f>
        <v>0.3444097222</v>
      </c>
      <c r="F469" s="8" t="str">
        <f>IFERROR(__xludf.DUMMYFUNCTION("""COMPUTED_VALUE"""),"Negative")</f>
        <v>Negative</v>
      </c>
      <c r="G469" s="16">
        <f>IFERROR(__xludf.DUMMYFUNCTION("""COMPUTED_VALUE"""),4.0)</f>
        <v>4</v>
      </c>
      <c r="H469" s="8" t="str">
        <f>IFERROR(__xludf.DUMMYFUNCTION("""COMPUTED_VALUE"""),"CRLN")</f>
        <v>CRLN</v>
      </c>
    </row>
    <row r="470">
      <c r="A470" s="8" t="str">
        <f>IFERROR(__xludf.DUMMYFUNCTION("""COMPUTED_VALUE"""),"FLE887")</f>
        <v>FLE887</v>
      </c>
      <c r="B470" s="8" t="str">
        <f>IFERROR(__xludf.DUMMYFUNCTION("""COMPUTED_VALUE"""),"RUN-FLMP_2022-01-17_RFR-063")</f>
        <v>RUN-FLMP_2022-01-17_RFR-063</v>
      </c>
      <c r="C470" s="10">
        <f>VLOOKUP(B470,'Run Reconcile'!A$2:B1579,2,FALSE)</f>
        <v>44578</v>
      </c>
      <c r="D470" s="14">
        <f>IFERROR(__xludf.DUMMYFUNCTION("""COMPUTED_VALUE"""),44578.0)</f>
        <v>44578</v>
      </c>
      <c r="E470" s="15">
        <f>IFERROR(__xludf.DUMMYFUNCTION("""COMPUTED_VALUE"""),0.3495717592595611)</f>
        <v>0.3495717593</v>
      </c>
      <c r="F470" s="8" t="str">
        <f>IFERROR(__xludf.DUMMYFUNCTION("""COMPUTED_VALUE"""),"Negative")</f>
        <v>Negative</v>
      </c>
      <c r="G470" s="16">
        <f>IFERROR(__xludf.DUMMYFUNCTION("""COMPUTED_VALUE"""),4.0)</f>
        <v>4</v>
      </c>
      <c r="H470" s="8" t="str">
        <f>IFERROR(__xludf.DUMMYFUNCTION("""COMPUTED_VALUE"""),"CRLN")</f>
        <v>CRLN</v>
      </c>
    </row>
    <row r="471">
      <c r="A471" s="8" t="str">
        <f>IFERROR(__xludf.DUMMYFUNCTION("""COMPUTED_VALUE"""),"FLB5836")</f>
        <v>FLB5836</v>
      </c>
      <c r="B471" s="8" t="str">
        <f>IFERROR(__xludf.DUMMYFUNCTION("""COMPUTED_VALUE"""),"RUN-FLMP_2022-01-17_RFR-063")</f>
        <v>RUN-FLMP_2022-01-17_RFR-063</v>
      </c>
      <c r="C471" s="10">
        <f>VLOOKUP(B471,'Run Reconcile'!A$2:B1579,2,FALSE)</f>
        <v>44578</v>
      </c>
      <c r="D471" s="14">
        <f>IFERROR(__xludf.DUMMYFUNCTION("""COMPUTED_VALUE"""),44578.0)</f>
        <v>44578</v>
      </c>
      <c r="E471" s="15">
        <f>IFERROR(__xludf.DUMMYFUNCTION("""COMPUTED_VALUE"""),0.4183101851849642)</f>
        <v>0.4183101852</v>
      </c>
      <c r="F471" s="8" t="str">
        <f>IFERROR(__xludf.DUMMYFUNCTION("""COMPUTED_VALUE"""),"Negative")</f>
        <v>Negative</v>
      </c>
      <c r="G471" s="16">
        <f>IFERROR(__xludf.DUMMYFUNCTION("""COMPUTED_VALUE"""),4.0)</f>
        <v>4</v>
      </c>
      <c r="H471" s="8" t="str">
        <f>IFERROR(__xludf.DUMMYFUNCTION("""COMPUTED_VALUE"""),"CRLN")</f>
        <v>CRLN</v>
      </c>
    </row>
    <row r="472">
      <c r="A472" s="8" t="str">
        <f>IFERROR(__xludf.DUMMYFUNCTION("""COMPUTED_VALUE"""),"FLB6850")</f>
        <v>FLB6850</v>
      </c>
      <c r="B472" s="8" t="str">
        <f>IFERROR(__xludf.DUMMYFUNCTION("""COMPUTED_VALUE"""),"RUN-FLMP_2022-01-17_RFR-063")</f>
        <v>RUN-FLMP_2022-01-17_RFR-063</v>
      </c>
      <c r="C472" s="10">
        <f>VLOOKUP(B472,'Run Reconcile'!A$2:B1579,2,FALSE)</f>
        <v>44578</v>
      </c>
      <c r="D472" s="14">
        <f>IFERROR(__xludf.DUMMYFUNCTION("""COMPUTED_VALUE"""),44578.0)</f>
        <v>44578</v>
      </c>
      <c r="E472" s="15">
        <f>IFERROR(__xludf.DUMMYFUNCTION("""COMPUTED_VALUE"""),0.4287499999991269)</f>
        <v>0.42875</v>
      </c>
      <c r="F472" s="8" t="str">
        <f>IFERROR(__xludf.DUMMYFUNCTION("""COMPUTED_VALUE"""),"Positive")</f>
        <v>Positive</v>
      </c>
      <c r="G472" s="16">
        <f>IFERROR(__xludf.DUMMYFUNCTION("""COMPUTED_VALUE"""),1.0)</f>
        <v>1</v>
      </c>
      <c r="H472" s="8" t="str">
        <f>IFERROR(__xludf.DUMMYFUNCTION("""COMPUTED_VALUE"""),"CRLN")</f>
        <v>CRLN</v>
      </c>
    </row>
    <row r="473">
      <c r="A473" s="8" t="str">
        <f>IFERROR(__xludf.DUMMYFUNCTION("""COMPUTED_VALUE"""),"FLT1172")</f>
        <v>FLT1172</v>
      </c>
      <c r="B473" s="8" t="str">
        <f>IFERROR(__xludf.DUMMYFUNCTION("""COMPUTED_VALUE"""),"RUN-FLMP_2022-01-17_RFR-063")</f>
        <v>RUN-FLMP_2022-01-17_RFR-063</v>
      </c>
      <c r="C473" s="10">
        <f>VLOOKUP(B473,'Run Reconcile'!A$2:B1579,2,FALSE)</f>
        <v>44578</v>
      </c>
      <c r="D473" s="14">
        <f>IFERROR(__xludf.DUMMYFUNCTION("""COMPUTED_VALUE"""),44578.0)</f>
        <v>44578</v>
      </c>
      <c r="E473" s="15">
        <f>IFERROR(__xludf.DUMMYFUNCTION("""COMPUTED_VALUE"""),0.42949074074203963)</f>
        <v>0.4294907407</v>
      </c>
      <c r="F473" s="8" t="str">
        <f>IFERROR(__xludf.DUMMYFUNCTION("""COMPUTED_VALUE"""),"Positive")</f>
        <v>Positive</v>
      </c>
      <c r="G473" s="16">
        <f>IFERROR(__xludf.DUMMYFUNCTION("""COMPUTED_VALUE"""),1.0)</f>
        <v>1</v>
      </c>
      <c r="H473" s="8" t="str">
        <f>IFERROR(__xludf.DUMMYFUNCTION("""COMPUTED_VALUE"""),"CRLN")</f>
        <v>CRLN</v>
      </c>
    </row>
    <row r="474">
      <c r="A474" s="8" t="str">
        <f>IFERROR(__xludf.DUMMYFUNCTION("""COMPUTED_VALUE"""),"FLT1443")</f>
        <v>FLT1443</v>
      </c>
      <c r="B474" s="8" t="str">
        <f>IFERROR(__xludf.DUMMYFUNCTION("""COMPUTED_VALUE"""),"RUN-FLMP_2022-01-17_RFR-063")</f>
        <v>RUN-FLMP_2022-01-17_RFR-063</v>
      </c>
      <c r="C474" s="10">
        <f>VLOOKUP(B474,'Run Reconcile'!A$2:B1579,2,FALSE)</f>
        <v>44578</v>
      </c>
      <c r="D474" s="14">
        <f>IFERROR(__xludf.DUMMYFUNCTION("""COMPUTED_VALUE"""),44578.0)</f>
        <v>44578</v>
      </c>
      <c r="E474" s="15">
        <f>IFERROR(__xludf.DUMMYFUNCTION("""COMPUTED_VALUE"""),0.43119212962847087)</f>
        <v>0.4311921296</v>
      </c>
      <c r="F474" s="8" t="str">
        <f>IFERROR(__xludf.DUMMYFUNCTION("""COMPUTED_VALUE"""),"Negative")</f>
        <v>Negative</v>
      </c>
      <c r="G474" s="16">
        <f>IFERROR(__xludf.DUMMYFUNCTION("""COMPUTED_VALUE"""),1.0)</f>
        <v>1</v>
      </c>
      <c r="H474" s="8" t="str">
        <f>IFERROR(__xludf.DUMMYFUNCTION("""COMPUTED_VALUE"""),"CRLN")</f>
        <v>CRLN</v>
      </c>
    </row>
    <row r="475">
      <c r="A475" s="8" t="str">
        <f>IFERROR(__xludf.DUMMYFUNCTION("""COMPUTED_VALUE"""),"FLT1129")</f>
        <v>FLT1129</v>
      </c>
      <c r="B475" s="8" t="str">
        <f>IFERROR(__xludf.DUMMYFUNCTION("""COMPUTED_VALUE"""),"RUN-FLMP_2022-01-17_RFR-063")</f>
        <v>RUN-FLMP_2022-01-17_RFR-063</v>
      </c>
      <c r="C475" s="10">
        <f>VLOOKUP(B475,'Run Reconcile'!A$2:B1579,2,FALSE)</f>
        <v>44578</v>
      </c>
      <c r="D475" s="14">
        <f>IFERROR(__xludf.DUMMYFUNCTION("""COMPUTED_VALUE"""),44578.0)</f>
        <v>44578</v>
      </c>
      <c r="E475" s="15">
        <f>IFERROR(__xludf.DUMMYFUNCTION("""COMPUTED_VALUE"""),0.4324884259258397)</f>
        <v>0.4324884259</v>
      </c>
      <c r="F475" s="8" t="str">
        <f>IFERROR(__xludf.DUMMYFUNCTION("""COMPUTED_VALUE"""),"Positive")</f>
        <v>Positive</v>
      </c>
      <c r="G475" s="16">
        <f>IFERROR(__xludf.DUMMYFUNCTION("""COMPUTED_VALUE"""),1.0)</f>
        <v>1</v>
      </c>
      <c r="H475" s="8" t="str">
        <f>IFERROR(__xludf.DUMMYFUNCTION("""COMPUTED_VALUE"""),"CRLN")</f>
        <v>CRLN</v>
      </c>
    </row>
    <row r="476">
      <c r="A476" s="8" t="str">
        <f>IFERROR(__xludf.DUMMYFUNCTION("""COMPUTED_VALUE"""),"FLB6842")</f>
        <v>FLB6842</v>
      </c>
      <c r="B476" s="8" t="str">
        <f>IFERROR(__xludf.DUMMYFUNCTION("""COMPUTED_VALUE"""),"RUN-FLMP_2022-01-17_RFR-063")</f>
        <v>RUN-FLMP_2022-01-17_RFR-063</v>
      </c>
      <c r="C476" s="10">
        <f>VLOOKUP(B476,'Run Reconcile'!A$2:B1579,2,FALSE)</f>
        <v>44578</v>
      </c>
      <c r="D476" s="14">
        <f>IFERROR(__xludf.DUMMYFUNCTION("""COMPUTED_VALUE"""),44578.0)</f>
        <v>44578</v>
      </c>
      <c r="E476" s="15">
        <f>IFERROR(__xludf.DUMMYFUNCTION("""COMPUTED_VALUE"""),0.4374884259268583)</f>
        <v>0.4374884259</v>
      </c>
      <c r="F476" s="8" t="str">
        <f>IFERROR(__xludf.DUMMYFUNCTION("""COMPUTED_VALUE"""),"Negative")</f>
        <v>Negative</v>
      </c>
      <c r="G476" s="16">
        <f>IFERROR(__xludf.DUMMYFUNCTION("""COMPUTED_VALUE"""),3.0)</f>
        <v>3</v>
      </c>
      <c r="H476" s="8" t="str">
        <f>IFERROR(__xludf.DUMMYFUNCTION("""COMPUTED_VALUE"""),"CRLN")</f>
        <v>CRLN</v>
      </c>
    </row>
    <row r="477">
      <c r="A477" s="8" t="str">
        <f>IFERROR(__xludf.DUMMYFUNCTION("""COMPUTED_VALUE"""),"FLT1482")</f>
        <v>FLT1482</v>
      </c>
      <c r="B477" s="8" t="str">
        <f>IFERROR(__xludf.DUMMYFUNCTION("""COMPUTED_VALUE"""),"RUN-FLMP_2022-01-17_RFR-063")</f>
        <v>RUN-FLMP_2022-01-17_RFR-063</v>
      </c>
      <c r="C477" s="10">
        <f>VLOOKUP(B477,'Run Reconcile'!A$2:B1579,2,FALSE)</f>
        <v>44578</v>
      </c>
      <c r="D477" s="14">
        <f>IFERROR(__xludf.DUMMYFUNCTION("""COMPUTED_VALUE"""),44578.0)</f>
        <v>44578</v>
      </c>
      <c r="E477" s="15">
        <f>IFERROR(__xludf.DUMMYFUNCTION("""COMPUTED_VALUE"""),0.4381828703699284)</f>
        <v>0.4381828704</v>
      </c>
      <c r="F477" s="8" t="str">
        <f>IFERROR(__xludf.DUMMYFUNCTION("""COMPUTED_VALUE"""),"Negative")</f>
        <v>Negative</v>
      </c>
      <c r="G477" s="16">
        <f>IFERROR(__xludf.DUMMYFUNCTION("""COMPUTED_VALUE"""),1.0)</f>
        <v>1</v>
      </c>
      <c r="H477" s="8" t="str">
        <f>IFERROR(__xludf.DUMMYFUNCTION("""COMPUTED_VALUE"""),"CRLN")</f>
        <v>CRLN</v>
      </c>
    </row>
    <row r="478">
      <c r="A478" s="8" t="str">
        <f>IFERROR(__xludf.DUMMYFUNCTION("""COMPUTED_VALUE"""),"FLB5837")</f>
        <v>FLB5837</v>
      </c>
      <c r="B478" s="8" t="str">
        <f>IFERROR(__xludf.DUMMYFUNCTION("""COMPUTED_VALUE"""),"RUN-FLMP_2022-01-17_RFR-063")</f>
        <v>RUN-FLMP_2022-01-17_RFR-063</v>
      </c>
      <c r="C478" s="10">
        <f>VLOOKUP(B478,'Run Reconcile'!A$2:B1579,2,FALSE)</f>
        <v>44578</v>
      </c>
      <c r="D478" s="14">
        <f>IFERROR(__xludf.DUMMYFUNCTION("""COMPUTED_VALUE"""),44578.0)</f>
        <v>44578</v>
      </c>
      <c r="E478" s="15">
        <f>IFERROR(__xludf.DUMMYFUNCTION("""COMPUTED_VALUE"""),0.44460648148015025)</f>
        <v>0.4446064815</v>
      </c>
      <c r="F478" s="8" t="str">
        <f>IFERROR(__xludf.DUMMYFUNCTION("""COMPUTED_VALUE"""),"Positive")</f>
        <v>Positive</v>
      </c>
      <c r="G478" s="16">
        <f>IFERROR(__xludf.DUMMYFUNCTION("""COMPUTED_VALUE"""),3.0)</f>
        <v>3</v>
      </c>
      <c r="H478" s="8" t="str">
        <f>IFERROR(__xludf.DUMMYFUNCTION("""COMPUTED_VALUE"""),"CRLN")</f>
        <v>CRLN</v>
      </c>
    </row>
    <row r="479">
      <c r="A479" s="8" t="str">
        <f>IFERROR(__xludf.DUMMYFUNCTION("""COMPUTED_VALUE"""),"FLE248")</f>
        <v>FLE248</v>
      </c>
      <c r="B479" s="8" t="str">
        <f>IFERROR(__xludf.DUMMYFUNCTION("""COMPUTED_VALUE"""),"RUN-FLMP_2022-01-17_RFR-063")</f>
        <v>RUN-FLMP_2022-01-17_RFR-063</v>
      </c>
      <c r="C479" s="10">
        <f>VLOOKUP(B479,'Run Reconcile'!A$2:B1579,2,FALSE)</f>
        <v>44578</v>
      </c>
      <c r="D479" s="14">
        <f>IFERROR(__xludf.DUMMYFUNCTION("""COMPUTED_VALUE"""),44578.0)</f>
        <v>44578</v>
      </c>
      <c r="E479" s="15">
        <f>IFERROR(__xludf.DUMMYFUNCTION("""COMPUTED_VALUE"""),0.46571759259313694)</f>
        <v>0.4657175926</v>
      </c>
      <c r="F479" s="8" t="str">
        <f>IFERROR(__xludf.DUMMYFUNCTION("""COMPUTED_VALUE"""),"Negative")</f>
        <v>Negative</v>
      </c>
      <c r="G479" s="16">
        <f>IFERROR(__xludf.DUMMYFUNCTION("""COMPUTED_VALUE"""),1.0)</f>
        <v>1</v>
      </c>
      <c r="H479" s="8" t="str">
        <f>IFERROR(__xludf.DUMMYFUNCTION("""COMPUTED_VALUE"""),"CRLN")</f>
        <v>CRLN</v>
      </c>
    </row>
    <row r="480">
      <c r="A480" s="8" t="str">
        <f>IFERROR(__xludf.DUMMYFUNCTION("""COMPUTED_VALUE"""),"FLE292")</f>
        <v>FLE292</v>
      </c>
      <c r="B480" s="8" t="str">
        <f>IFERROR(__xludf.DUMMYFUNCTION("""COMPUTED_VALUE"""),"RUN-FLMP_2022-01-17_RFR-063")</f>
        <v>RUN-FLMP_2022-01-17_RFR-063</v>
      </c>
      <c r="C480" s="10">
        <f>VLOOKUP(B480,'Run Reconcile'!A$2:B1579,2,FALSE)</f>
        <v>44578</v>
      </c>
      <c r="D480" s="14">
        <f>IFERROR(__xludf.DUMMYFUNCTION("""COMPUTED_VALUE"""),44578.0)</f>
        <v>44578</v>
      </c>
      <c r="E480" s="15">
        <f>IFERROR(__xludf.DUMMYFUNCTION("""COMPUTED_VALUE"""),0.46728009259095415)</f>
        <v>0.4672800926</v>
      </c>
      <c r="F480" s="8" t="str">
        <f>IFERROR(__xludf.DUMMYFUNCTION("""COMPUTED_VALUE"""),"Negative")</f>
        <v>Negative</v>
      </c>
      <c r="G480" s="16">
        <f>IFERROR(__xludf.DUMMYFUNCTION("""COMPUTED_VALUE"""),2.0)</f>
        <v>2</v>
      </c>
      <c r="H480" s="8" t="str">
        <f>IFERROR(__xludf.DUMMYFUNCTION("""COMPUTED_VALUE"""),"CRLN")</f>
        <v>CRLN</v>
      </c>
    </row>
    <row r="481">
      <c r="A481" s="8" t="str">
        <f>IFERROR(__xludf.DUMMYFUNCTION("""COMPUTED_VALUE"""),"FLB7383")</f>
        <v>FLB7383</v>
      </c>
      <c r="B481" s="8" t="str">
        <f>IFERROR(__xludf.DUMMYFUNCTION("""COMPUTED_VALUE"""),"RUN-FLMP_2022-01-17_RFR-063")</f>
        <v>RUN-FLMP_2022-01-17_RFR-063</v>
      </c>
      <c r="C481" s="10">
        <f>VLOOKUP(B481,'Run Reconcile'!A$2:B1579,2,FALSE)</f>
        <v>44578</v>
      </c>
      <c r="D481" s="14">
        <f>IFERROR(__xludf.DUMMYFUNCTION("""COMPUTED_VALUE"""),44578.0)</f>
        <v>44578</v>
      </c>
      <c r="E481" s="15">
        <f>IFERROR(__xludf.DUMMYFUNCTION("""COMPUTED_VALUE"""),0.4814699074086093)</f>
        <v>0.4814699074</v>
      </c>
      <c r="F481" s="8" t="str">
        <f>IFERROR(__xludf.DUMMYFUNCTION("""COMPUTED_VALUE"""),"Negative")</f>
        <v>Negative</v>
      </c>
      <c r="G481" s="16">
        <f>IFERROR(__xludf.DUMMYFUNCTION("""COMPUTED_VALUE"""),3.0)</f>
        <v>3</v>
      </c>
      <c r="H481" s="8" t="str">
        <f>IFERROR(__xludf.DUMMYFUNCTION("""COMPUTED_VALUE"""),"CRLN")</f>
        <v>CRLN</v>
      </c>
    </row>
    <row r="482">
      <c r="A482" s="8" t="str">
        <f>IFERROR(__xludf.DUMMYFUNCTION("""COMPUTED_VALUE"""),"FLT1488")</f>
        <v>FLT1488</v>
      </c>
      <c r="B482" s="8" t="str">
        <f>IFERROR(__xludf.DUMMYFUNCTION("""COMPUTED_VALUE"""),"RUN-FLMP_2022-01-17_RFR-063")</f>
        <v>RUN-FLMP_2022-01-17_RFR-063</v>
      </c>
      <c r="C482" s="10">
        <f>VLOOKUP(B482,'Run Reconcile'!A$2:B1579,2,FALSE)</f>
        <v>44578</v>
      </c>
      <c r="D482" s="14">
        <f>IFERROR(__xludf.DUMMYFUNCTION("""COMPUTED_VALUE"""),44578.0)</f>
        <v>44578</v>
      </c>
      <c r="E482" s="15">
        <f>IFERROR(__xludf.DUMMYFUNCTION("""COMPUTED_VALUE"""),0.4882175925922638)</f>
        <v>0.4882175926</v>
      </c>
      <c r="F482" s="8" t="str">
        <f>IFERROR(__xludf.DUMMYFUNCTION("""COMPUTED_VALUE"""),"Negative")</f>
        <v>Negative</v>
      </c>
      <c r="G482" s="16">
        <f>IFERROR(__xludf.DUMMYFUNCTION("""COMPUTED_VALUE"""),1.0)</f>
        <v>1</v>
      </c>
      <c r="H482" s="8" t="str">
        <f>IFERROR(__xludf.DUMMYFUNCTION("""COMPUTED_VALUE"""),"CRLN")</f>
        <v>CRLN</v>
      </c>
    </row>
    <row r="483">
      <c r="A483" s="8" t="str">
        <f>IFERROR(__xludf.DUMMYFUNCTION("""COMPUTED_VALUE"""),"MA115")</f>
        <v>MA115</v>
      </c>
      <c r="B483" s="8" t="str">
        <f>IFERROR(__xludf.DUMMYFUNCTION("""COMPUTED_VALUE"""),"RUN-FLMP_2022-01-17_RFR-061")</f>
        <v>RUN-FLMP_2022-01-17_RFR-061</v>
      </c>
      <c r="C483" s="10">
        <f>VLOOKUP(B483,'Run Reconcile'!A$2:B1579,2,FALSE)</f>
        <v>44578</v>
      </c>
      <c r="D483" s="14">
        <f>IFERROR(__xludf.DUMMYFUNCTION("""COMPUTED_VALUE"""),44578.0)</f>
        <v>44578</v>
      </c>
      <c r="E483" s="15">
        <f>IFERROR(__xludf.DUMMYFUNCTION("""COMPUTED_VALUE"""),0.4935648148129985)</f>
        <v>0.4935648148</v>
      </c>
      <c r="F483" s="8" t="str">
        <f>IFERROR(__xludf.DUMMYFUNCTION("""COMPUTED_VALUE"""),"Negative")</f>
        <v>Negative</v>
      </c>
      <c r="G483" s="16">
        <f>IFERROR(__xludf.DUMMYFUNCTION("""COMPUTED_VALUE"""),1.0)</f>
        <v>1</v>
      </c>
      <c r="H483" s="8" t="str">
        <f>IFERROR(__xludf.DUMMYFUNCTION("""COMPUTED_VALUE"""),"FLSP")</f>
        <v>FLSP</v>
      </c>
    </row>
    <row r="484">
      <c r="A484" s="8" t="str">
        <f>IFERROR(__xludf.DUMMYFUNCTION("""COMPUTED_VALUE"""),"MA43")</f>
        <v>MA43</v>
      </c>
      <c r="B484" s="8" t="str">
        <f>IFERROR(__xludf.DUMMYFUNCTION("""COMPUTED_VALUE"""),"RUN-FLMP_2022-01-17_RFR-061")</f>
        <v>RUN-FLMP_2022-01-17_RFR-061</v>
      </c>
      <c r="C484" s="10">
        <f>VLOOKUP(B484,'Run Reconcile'!A$2:B1579,2,FALSE)</f>
        <v>44578</v>
      </c>
      <c r="D484" s="14">
        <f>IFERROR(__xludf.DUMMYFUNCTION("""COMPUTED_VALUE"""),44578.0)</f>
        <v>44578</v>
      </c>
      <c r="E484" s="15">
        <f>IFERROR(__xludf.DUMMYFUNCTION("""COMPUTED_VALUE"""),0.49384259259386454)</f>
        <v>0.4938425926</v>
      </c>
      <c r="F484" s="8" t="str">
        <f>IFERROR(__xludf.DUMMYFUNCTION("""COMPUTED_VALUE"""),"Negative")</f>
        <v>Negative</v>
      </c>
      <c r="G484" s="16">
        <f>IFERROR(__xludf.DUMMYFUNCTION("""COMPUTED_VALUE"""),1.0)</f>
        <v>1</v>
      </c>
      <c r="H484" s="8" t="str">
        <f>IFERROR(__xludf.DUMMYFUNCTION("""COMPUTED_VALUE"""),"FLSP")</f>
        <v>FLSP</v>
      </c>
    </row>
    <row r="485">
      <c r="A485" s="8" t="str">
        <f>IFERROR(__xludf.DUMMYFUNCTION("""COMPUTED_VALUE"""),"MA32")</f>
        <v>MA32</v>
      </c>
      <c r="B485" s="8" t="str">
        <f>IFERROR(__xludf.DUMMYFUNCTION("""COMPUTED_VALUE"""),"RUN-FLMP_2022-01-17_RFR-061")</f>
        <v>RUN-FLMP_2022-01-17_RFR-061</v>
      </c>
      <c r="C485" s="10">
        <f>VLOOKUP(B485,'Run Reconcile'!A$2:B1579,2,FALSE)</f>
        <v>44578</v>
      </c>
      <c r="D485" s="14">
        <f>IFERROR(__xludf.DUMMYFUNCTION("""COMPUTED_VALUE"""),44578.0)</f>
        <v>44578</v>
      </c>
      <c r="E485" s="15">
        <f>IFERROR(__xludf.DUMMYFUNCTION("""COMPUTED_VALUE"""),0.49423611110978527)</f>
        <v>0.4942361111</v>
      </c>
      <c r="F485" s="8" t="str">
        <f>IFERROR(__xludf.DUMMYFUNCTION("""COMPUTED_VALUE"""),"Negative")</f>
        <v>Negative</v>
      </c>
      <c r="G485" s="16">
        <f>IFERROR(__xludf.DUMMYFUNCTION("""COMPUTED_VALUE"""),1.0)</f>
        <v>1</v>
      </c>
      <c r="H485" s="8" t="str">
        <f>IFERROR(__xludf.DUMMYFUNCTION("""COMPUTED_VALUE"""),"FLSP")</f>
        <v>FLSP</v>
      </c>
    </row>
    <row r="486">
      <c r="A486" s="8" t="str">
        <f>IFERROR(__xludf.DUMMYFUNCTION("""COMPUTED_VALUE"""),"MA23")</f>
        <v>MA23</v>
      </c>
      <c r="B486" s="8" t="str">
        <f>IFERROR(__xludf.DUMMYFUNCTION("""COMPUTED_VALUE"""),"RUN-FLMP_2022-01-17_RFR-061")</f>
        <v>RUN-FLMP_2022-01-17_RFR-061</v>
      </c>
      <c r="C486" s="10">
        <f>VLOOKUP(B486,'Run Reconcile'!A$2:B1579,2,FALSE)</f>
        <v>44578</v>
      </c>
      <c r="D486" s="14">
        <f>IFERROR(__xludf.DUMMYFUNCTION("""COMPUTED_VALUE"""),44578.0)</f>
        <v>44578</v>
      </c>
      <c r="E486" s="15">
        <f>IFERROR(__xludf.DUMMYFUNCTION("""COMPUTED_VALUE"""),0.49486111111036735)</f>
        <v>0.4948611111</v>
      </c>
      <c r="F486" s="8" t="str">
        <f>IFERROR(__xludf.DUMMYFUNCTION("""COMPUTED_VALUE"""),"Negative")</f>
        <v>Negative</v>
      </c>
      <c r="G486" s="16">
        <f>IFERROR(__xludf.DUMMYFUNCTION("""COMPUTED_VALUE"""),1.0)</f>
        <v>1</v>
      </c>
      <c r="H486" s="8" t="str">
        <f>IFERROR(__xludf.DUMMYFUNCTION("""COMPUTED_VALUE"""),"FLSP")</f>
        <v>FLSP</v>
      </c>
    </row>
    <row r="487">
      <c r="A487" s="8" t="str">
        <f>IFERROR(__xludf.DUMMYFUNCTION("""COMPUTED_VALUE"""),"FLT1174")</f>
        <v>FLT1174</v>
      </c>
      <c r="B487" s="8" t="str">
        <f>IFERROR(__xludf.DUMMYFUNCTION("""COMPUTED_VALUE"""),"RUN-FLMP_2022-01-17_RFR-063")</f>
        <v>RUN-FLMP_2022-01-17_RFR-063</v>
      </c>
      <c r="C487" s="10">
        <f>VLOOKUP(B487,'Run Reconcile'!A$2:B1579,2,FALSE)</f>
        <v>44578</v>
      </c>
      <c r="D487" s="14">
        <f>IFERROR(__xludf.DUMMYFUNCTION("""COMPUTED_VALUE"""),44578.0)</f>
        <v>44578</v>
      </c>
      <c r="E487" s="15">
        <f>IFERROR(__xludf.DUMMYFUNCTION("""COMPUTED_VALUE"""),0.5012615740743058)</f>
        <v>0.5012615741</v>
      </c>
      <c r="F487" s="8" t="str">
        <f>IFERROR(__xludf.DUMMYFUNCTION("""COMPUTED_VALUE"""),"Negative")</f>
        <v>Negative</v>
      </c>
      <c r="G487" s="16">
        <f>IFERROR(__xludf.DUMMYFUNCTION("""COMPUTED_VALUE"""),1.0)</f>
        <v>1</v>
      </c>
      <c r="H487" s="8" t="str">
        <f>IFERROR(__xludf.DUMMYFUNCTION("""COMPUTED_VALUE"""),"CRLN")</f>
        <v>CRLN</v>
      </c>
    </row>
    <row r="488">
      <c r="A488" s="8" t="str">
        <f>IFERROR(__xludf.DUMMYFUNCTION("""COMPUTED_VALUE"""),"FL11020")</f>
        <v>FL11020</v>
      </c>
      <c r="B488" s="8" t="str">
        <f>IFERROR(__xludf.DUMMYFUNCTION("""COMPUTED_VALUE"""),"RUN-FLMP_2022-01-17_RFR-063")</f>
        <v>RUN-FLMP_2022-01-17_RFR-063</v>
      </c>
      <c r="C488" s="10">
        <f>VLOOKUP(B488,'Run Reconcile'!A$2:B1579,2,FALSE)</f>
        <v>44578</v>
      </c>
      <c r="D488" s="14">
        <f>IFERROR(__xludf.DUMMYFUNCTION("""COMPUTED_VALUE"""),44578.0)</f>
        <v>44578</v>
      </c>
      <c r="E488" s="15">
        <f>IFERROR(__xludf.DUMMYFUNCTION("""COMPUTED_VALUE"""),0.526018518517958)</f>
        <v>0.5260185185</v>
      </c>
      <c r="F488" s="8" t="str">
        <f>IFERROR(__xludf.DUMMYFUNCTION("""COMPUTED_VALUE"""),"Negative")</f>
        <v>Negative</v>
      </c>
      <c r="G488" s="16">
        <f>IFERROR(__xludf.DUMMYFUNCTION("""COMPUTED_VALUE"""),2.0)</f>
        <v>2</v>
      </c>
      <c r="H488" s="8" t="str">
        <f>IFERROR(__xludf.DUMMYFUNCTION("""COMPUTED_VALUE"""),"CRLN")</f>
        <v>CRLN</v>
      </c>
    </row>
    <row r="489">
      <c r="A489" s="8" t="str">
        <f>IFERROR(__xludf.DUMMYFUNCTION("""COMPUTED_VALUE"""),"FLB5401")</f>
        <v>FLB5401</v>
      </c>
      <c r="B489" s="8" t="str">
        <f>IFERROR(__xludf.DUMMYFUNCTION("""COMPUTED_VALUE"""),"RUN-FLMP_2022-01-17_RFR-063")</f>
        <v>RUN-FLMP_2022-01-17_RFR-063</v>
      </c>
      <c r="C489" s="10">
        <f>VLOOKUP(B489,'Run Reconcile'!A$2:B1579,2,FALSE)</f>
        <v>44578</v>
      </c>
      <c r="D489" s="14">
        <f>IFERROR(__xludf.DUMMYFUNCTION("""COMPUTED_VALUE"""),44578.0)</f>
        <v>44578</v>
      </c>
      <c r="E489" s="15">
        <f>IFERROR(__xludf.DUMMYFUNCTION("""COMPUTED_VALUE"""),0.536412037035916)</f>
        <v>0.536412037</v>
      </c>
      <c r="F489" s="8" t="str">
        <f>IFERROR(__xludf.DUMMYFUNCTION("""COMPUTED_VALUE"""),"Negative")</f>
        <v>Negative</v>
      </c>
      <c r="G489" s="16">
        <f>IFERROR(__xludf.DUMMYFUNCTION("""COMPUTED_VALUE"""),4.0)</f>
        <v>4</v>
      </c>
      <c r="H489" s="8" t="str">
        <f>IFERROR(__xludf.DUMMYFUNCTION("""COMPUTED_VALUE"""),"CRLN")</f>
        <v>CRLN</v>
      </c>
    </row>
    <row r="490">
      <c r="A490" s="8" t="str">
        <f>IFERROR(__xludf.DUMMYFUNCTION("""COMPUTED_VALUE"""),"FLE851")</f>
        <v>FLE851</v>
      </c>
      <c r="B490" s="8" t="str">
        <f>IFERROR(__xludf.DUMMYFUNCTION("""COMPUTED_VALUE"""),"RUN-FLMP_2022-01-17_RFR-063")</f>
        <v>RUN-FLMP_2022-01-17_RFR-063</v>
      </c>
      <c r="C490" s="10">
        <f>VLOOKUP(B490,'Run Reconcile'!A$2:B1579,2,FALSE)</f>
        <v>44578</v>
      </c>
      <c r="D490" s="14">
        <f>IFERROR(__xludf.DUMMYFUNCTION("""COMPUTED_VALUE"""),44578.0)</f>
        <v>44578</v>
      </c>
      <c r="E490" s="15">
        <f>IFERROR(__xludf.DUMMYFUNCTION("""COMPUTED_VALUE"""),0.5593055555546016)</f>
        <v>0.5593055556</v>
      </c>
      <c r="F490" s="8" t="str">
        <f>IFERROR(__xludf.DUMMYFUNCTION("""COMPUTED_VALUE"""),"Negative")</f>
        <v>Negative</v>
      </c>
      <c r="G490" s="16">
        <f>IFERROR(__xludf.DUMMYFUNCTION("""COMPUTED_VALUE"""),2.0)</f>
        <v>2</v>
      </c>
      <c r="H490" s="8" t="str">
        <f>IFERROR(__xludf.DUMMYFUNCTION("""COMPUTED_VALUE"""),"CRLN")</f>
        <v>CRLN</v>
      </c>
    </row>
    <row r="491">
      <c r="A491" s="8" t="str">
        <f>IFERROR(__xludf.DUMMYFUNCTION("""COMPUTED_VALUE"""),"FLB7156")</f>
        <v>FLB7156</v>
      </c>
      <c r="B491" s="8" t="str">
        <f>IFERROR(__xludf.DUMMYFUNCTION("""COMPUTED_VALUE"""),"RUN-FLMP_2022-01-17_RFR-063")</f>
        <v>RUN-FLMP_2022-01-17_RFR-063</v>
      </c>
      <c r="C491" s="10">
        <f>VLOOKUP(B491,'Run Reconcile'!A$2:B1579,2,FALSE)</f>
        <v>44578</v>
      </c>
      <c r="D491" s="14">
        <f>IFERROR(__xludf.DUMMYFUNCTION("""COMPUTED_VALUE"""),44578.0)</f>
        <v>44578</v>
      </c>
      <c r="E491" s="15">
        <f>IFERROR(__xludf.DUMMYFUNCTION("""COMPUTED_VALUE"""),0.5683680555557657)</f>
        <v>0.5683680556</v>
      </c>
      <c r="F491" s="8" t="str">
        <f>IFERROR(__xludf.DUMMYFUNCTION("""COMPUTED_VALUE"""),"Positive")</f>
        <v>Positive</v>
      </c>
      <c r="G491" s="16">
        <f>IFERROR(__xludf.DUMMYFUNCTION("""COMPUTED_VALUE"""),4.0)</f>
        <v>4</v>
      </c>
      <c r="H491" s="8" t="str">
        <f>IFERROR(__xludf.DUMMYFUNCTION("""COMPUTED_VALUE"""),"CRLN")</f>
        <v>CRLN</v>
      </c>
    </row>
    <row r="492">
      <c r="A492" s="8" t="str">
        <f>IFERROR(__xludf.DUMMYFUNCTION("""COMPUTED_VALUE"""),"FLT1500")</f>
        <v>FLT1500</v>
      </c>
      <c r="B492" s="8" t="str">
        <f>IFERROR(__xludf.DUMMYFUNCTION("""COMPUTED_VALUE"""),"RUN-FLMP_2022-01-17_RFR-063")</f>
        <v>RUN-FLMP_2022-01-17_RFR-063</v>
      </c>
      <c r="C492" s="10">
        <f>VLOOKUP(B492,'Run Reconcile'!A$2:B1579,2,FALSE)</f>
        <v>44578</v>
      </c>
      <c r="D492" s="14">
        <f>IFERROR(__xludf.DUMMYFUNCTION("""COMPUTED_VALUE"""),44578.0)</f>
        <v>44578</v>
      </c>
      <c r="E492" s="15">
        <f>IFERROR(__xludf.DUMMYFUNCTION("""COMPUTED_VALUE"""),0.5789120370354794)</f>
        <v>0.578912037</v>
      </c>
      <c r="F492" s="8" t="str">
        <f>IFERROR(__xludf.DUMMYFUNCTION("""COMPUTED_VALUE"""),"Negative")</f>
        <v>Negative</v>
      </c>
      <c r="G492" s="16">
        <f>IFERROR(__xludf.DUMMYFUNCTION("""COMPUTED_VALUE"""),1.0)</f>
        <v>1</v>
      </c>
      <c r="H492" s="8" t="str">
        <f>IFERROR(__xludf.DUMMYFUNCTION("""COMPUTED_VALUE"""),"CRLN")</f>
        <v>CRLN</v>
      </c>
    </row>
    <row r="493">
      <c r="A493" s="8" t="str">
        <f>IFERROR(__xludf.DUMMYFUNCTION("""COMPUTED_VALUE"""),"FLB7404")</f>
        <v>FLB7404</v>
      </c>
      <c r="B493" s="8" t="str">
        <f>IFERROR(__xludf.DUMMYFUNCTION("""COMPUTED_VALUE"""),"RUN-FLMP_2022-01-18_RFR-065")</f>
        <v>RUN-FLMP_2022-01-18_RFR-065</v>
      </c>
      <c r="C493" s="10">
        <f>VLOOKUP(B493,'Run Reconcile'!A$2:B1579,2,FALSE)</f>
        <v>44579</v>
      </c>
      <c r="D493" s="14">
        <f>IFERROR(__xludf.DUMMYFUNCTION("""COMPUTED_VALUE"""),44578.0)</f>
        <v>44578</v>
      </c>
      <c r="E493" s="15">
        <f>IFERROR(__xludf.DUMMYFUNCTION("""COMPUTED_VALUE"""),0.5889351851838001)</f>
        <v>0.5889351852</v>
      </c>
      <c r="F493" s="8" t="str">
        <f>IFERROR(__xludf.DUMMYFUNCTION("""COMPUTED_VALUE"""),"Positive")</f>
        <v>Positive</v>
      </c>
      <c r="G493" s="16">
        <f>IFERROR(__xludf.DUMMYFUNCTION("""COMPUTED_VALUE"""),1.0)</f>
        <v>1</v>
      </c>
      <c r="H493" s="8" t="str">
        <f>IFERROR(__xludf.DUMMYFUNCTION("""COMPUTED_VALUE"""),"FLSP")</f>
        <v>FLSP</v>
      </c>
    </row>
    <row r="494">
      <c r="A494" s="8" t="str">
        <f>IFERROR(__xludf.DUMMYFUNCTION("""COMPUTED_VALUE"""),"FLE255")</f>
        <v>FLE255</v>
      </c>
      <c r="B494" s="8" t="str">
        <f>IFERROR(__xludf.DUMMYFUNCTION("""COMPUTED_VALUE"""),"RUN-FLMP_2022-01-18_RFR-065")</f>
        <v>RUN-FLMP_2022-01-18_RFR-065</v>
      </c>
      <c r="C494" s="10">
        <f>VLOOKUP(B494,'Run Reconcile'!A$2:B1579,2,FALSE)</f>
        <v>44579</v>
      </c>
      <c r="D494" s="14">
        <f>IFERROR(__xludf.DUMMYFUNCTION("""COMPUTED_VALUE"""),44578.0)</f>
        <v>44578</v>
      </c>
      <c r="E494" s="15">
        <f>IFERROR(__xludf.DUMMYFUNCTION("""COMPUTED_VALUE"""),0.5896296296305081)</f>
        <v>0.5896296296</v>
      </c>
      <c r="F494" s="8" t="str">
        <f>IFERROR(__xludf.DUMMYFUNCTION("""COMPUTED_VALUE"""),"Positive")</f>
        <v>Positive</v>
      </c>
      <c r="G494" s="16">
        <f>IFERROR(__xludf.DUMMYFUNCTION("""COMPUTED_VALUE"""),1.0)</f>
        <v>1</v>
      </c>
      <c r="H494" s="8" t="str">
        <f>IFERROR(__xludf.DUMMYFUNCTION("""COMPUTED_VALUE"""),"FLSP")</f>
        <v>FLSP</v>
      </c>
    </row>
    <row r="495">
      <c r="A495" s="8" t="str">
        <f>IFERROR(__xludf.DUMMYFUNCTION("""COMPUTED_VALUE"""),"FLE318")</f>
        <v>FLE318</v>
      </c>
      <c r="B495" s="8" t="str">
        <f>IFERROR(__xludf.DUMMYFUNCTION("""COMPUTED_VALUE"""),"RUN-FLMP_2022-01-18_RFR-065")</f>
        <v>RUN-FLMP_2022-01-18_RFR-065</v>
      </c>
      <c r="C495" s="10">
        <f>VLOOKUP(B495,'Run Reconcile'!A$2:B1579,2,FALSE)</f>
        <v>44579</v>
      </c>
      <c r="D495" s="14">
        <f>IFERROR(__xludf.DUMMYFUNCTION("""COMPUTED_VALUE"""),44578.0)</f>
        <v>44578</v>
      </c>
      <c r="E495" s="15">
        <f>IFERROR(__xludf.DUMMYFUNCTION("""COMPUTED_VALUE"""),0.5933449074072996)</f>
        <v>0.5933449074</v>
      </c>
      <c r="F495" s="8" t="str">
        <f>IFERROR(__xludf.DUMMYFUNCTION("""COMPUTED_VALUE"""),"Positive")</f>
        <v>Positive</v>
      </c>
      <c r="G495" s="16">
        <f>IFERROR(__xludf.DUMMYFUNCTION("""COMPUTED_VALUE"""),1.0)</f>
        <v>1</v>
      </c>
      <c r="H495" s="8" t="str">
        <f>IFERROR(__xludf.DUMMYFUNCTION("""COMPUTED_VALUE"""),"FLSP")</f>
        <v>FLSP</v>
      </c>
    </row>
    <row r="496">
      <c r="A496" s="8" t="str">
        <f>IFERROR(__xludf.DUMMYFUNCTION("""COMPUTED_VALUE"""),"FLB7377")</f>
        <v>FLB7377</v>
      </c>
      <c r="B496" s="8" t="str">
        <f>IFERROR(__xludf.DUMMYFUNCTION("""COMPUTED_VALUE"""),"RUN-FLMP_2022-01-17_RFR-063")</f>
        <v>RUN-FLMP_2022-01-17_RFR-063</v>
      </c>
      <c r="C496" s="10">
        <f>VLOOKUP(B496,'Run Reconcile'!A$2:B1579,2,FALSE)</f>
        <v>44578</v>
      </c>
      <c r="D496" s="14">
        <f>IFERROR(__xludf.DUMMYFUNCTION("""COMPUTED_VALUE"""),44578.0)</f>
        <v>44578</v>
      </c>
      <c r="E496" s="15">
        <f>IFERROR(__xludf.DUMMYFUNCTION("""COMPUTED_VALUE"""),0.5937037037037953)</f>
        <v>0.5937037037</v>
      </c>
      <c r="F496" s="8" t="str">
        <f>IFERROR(__xludf.DUMMYFUNCTION("""COMPUTED_VALUE"""),"Negative")</f>
        <v>Negative</v>
      </c>
      <c r="G496" s="16">
        <f>IFERROR(__xludf.DUMMYFUNCTION("""COMPUTED_VALUE"""),4.0)</f>
        <v>4</v>
      </c>
      <c r="H496" s="8" t="str">
        <f>IFERROR(__xludf.DUMMYFUNCTION("""COMPUTED_VALUE"""),"CRLN")</f>
        <v>CRLN</v>
      </c>
    </row>
    <row r="497">
      <c r="A497" s="8" t="str">
        <f>IFERROR(__xludf.DUMMYFUNCTION("""COMPUTED_VALUE"""),"FLE251")</f>
        <v>FLE251</v>
      </c>
      <c r="B497" s="8" t="str">
        <f>IFERROR(__xludf.DUMMYFUNCTION("""COMPUTED_VALUE"""),"RUN-FLMP_2022-01-18_RFR-065")</f>
        <v>RUN-FLMP_2022-01-18_RFR-065</v>
      </c>
      <c r="C497" s="10">
        <f>VLOOKUP(B497,'Run Reconcile'!A$2:B1579,2,FALSE)</f>
        <v>44579</v>
      </c>
      <c r="D497" s="14">
        <f>IFERROR(__xludf.DUMMYFUNCTION("""COMPUTED_VALUE"""),44578.0)</f>
        <v>44578</v>
      </c>
      <c r="E497" s="15">
        <f>IFERROR(__xludf.DUMMYFUNCTION("""COMPUTED_VALUE"""),0.594027777777228)</f>
        <v>0.5940277778</v>
      </c>
      <c r="F497" s="8" t="str">
        <f>IFERROR(__xludf.DUMMYFUNCTION("""COMPUTED_VALUE"""),"Positive")</f>
        <v>Positive</v>
      </c>
      <c r="G497" s="16">
        <f>IFERROR(__xludf.DUMMYFUNCTION("""COMPUTED_VALUE"""),1.0)</f>
        <v>1</v>
      </c>
      <c r="H497" s="8" t="str">
        <f>IFERROR(__xludf.DUMMYFUNCTION("""COMPUTED_VALUE"""),"FLSP")</f>
        <v>FLSP</v>
      </c>
    </row>
    <row r="498">
      <c r="A498" s="8" t="str">
        <f>IFERROR(__xludf.DUMMYFUNCTION("""COMPUTED_VALUE"""),"FLT1483")</f>
        <v>FLT1483</v>
      </c>
      <c r="B498" s="8" t="str">
        <f>IFERROR(__xludf.DUMMYFUNCTION("""COMPUTED_VALUE"""),"RUN-FLMP_2022-01-17_RFR-063")</f>
        <v>RUN-FLMP_2022-01-17_RFR-063</v>
      </c>
      <c r="C498" s="10">
        <f>VLOOKUP(B498,'Run Reconcile'!A$2:B1579,2,FALSE)</f>
        <v>44578</v>
      </c>
      <c r="D498" s="14">
        <f>IFERROR(__xludf.DUMMYFUNCTION("""COMPUTED_VALUE"""),44578.0)</f>
        <v>44578</v>
      </c>
      <c r="E498" s="15">
        <f>IFERROR(__xludf.DUMMYFUNCTION("""COMPUTED_VALUE"""),0.6049074074071541)</f>
        <v>0.6049074074</v>
      </c>
      <c r="F498" s="8" t="str">
        <f>IFERROR(__xludf.DUMMYFUNCTION("""COMPUTED_VALUE"""),"Negative")</f>
        <v>Negative</v>
      </c>
      <c r="G498" s="16">
        <f>IFERROR(__xludf.DUMMYFUNCTION("""COMPUTED_VALUE"""),1.0)</f>
        <v>1</v>
      </c>
      <c r="H498" s="8" t="str">
        <f>IFERROR(__xludf.DUMMYFUNCTION("""COMPUTED_VALUE"""),"CRLN")</f>
        <v>CRLN</v>
      </c>
    </row>
    <row r="499">
      <c r="A499" s="8" t="str">
        <f>IFERROR(__xludf.DUMMYFUNCTION("""COMPUTED_VALUE"""),"FLT1562")</f>
        <v>FLT1562</v>
      </c>
      <c r="B499" s="8" t="str">
        <f>IFERROR(__xludf.DUMMYFUNCTION("""COMPUTED_VALUE"""),"RUN-FLMP_2022-01-17_RFR-063")</f>
        <v>RUN-FLMP_2022-01-17_RFR-063</v>
      </c>
      <c r="C499" s="10">
        <f>VLOOKUP(B499,'Run Reconcile'!A$2:B1579,2,FALSE)</f>
        <v>44578</v>
      </c>
      <c r="D499" s="14">
        <f>IFERROR(__xludf.DUMMYFUNCTION("""COMPUTED_VALUE"""),44578.0)</f>
        <v>44578</v>
      </c>
      <c r="E499" s="15">
        <f>IFERROR(__xludf.DUMMYFUNCTION("""COMPUTED_VALUE"""),0.6291782407424762)</f>
        <v>0.6291782407</v>
      </c>
      <c r="F499" s="8" t="str">
        <f>IFERROR(__xludf.DUMMYFUNCTION("""COMPUTED_VALUE"""),"Negative")</f>
        <v>Negative</v>
      </c>
      <c r="G499" s="16">
        <f>IFERROR(__xludf.DUMMYFUNCTION("""COMPUTED_VALUE"""),4.0)</f>
        <v>4</v>
      </c>
      <c r="H499" s="8" t="str">
        <f>IFERROR(__xludf.DUMMYFUNCTION("""COMPUTED_VALUE"""),"CRLN")</f>
        <v>CRLN</v>
      </c>
    </row>
    <row r="500">
      <c r="A500" s="8" t="str">
        <f>IFERROR(__xludf.DUMMYFUNCTION("""COMPUTED_VALUE"""),"FLT1576")</f>
        <v>FLT1576</v>
      </c>
      <c r="B500" s="8" t="str">
        <f>IFERROR(__xludf.DUMMYFUNCTION("""COMPUTED_VALUE"""),"RUN-FLMP_2022-01-17_RFR-063")</f>
        <v>RUN-FLMP_2022-01-17_RFR-063</v>
      </c>
      <c r="C500" s="10">
        <f>VLOOKUP(B500,'Run Reconcile'!A$2:B1579,2,FALSE)</f>
        <v>44578</v>
      </c>
      <c r="D500" s="14">
        <f>IFERROR(__xludf.DUMMYFUNCTION("""COMPUTED_VALUE"""),44578.0)</f>
        <v>44578</v>
      </c>
      <c r="E500" s="15">
        <f>IFERROR(__xludf.DUMMYFUNCTION("""COMPUTED_VALUE"""),0.6299074074086093)</f>
        <v>0.6299074074</v>
      </c>
      <c r="F500" s="8" t="str">
        <f>IFERROR(__xludf.DUMMYFUNCTION("""COMPUTED_VALUE"""),"Negative")</f>
        <v>Negative</v>
      </c>
      <c r="G500" s="16">
        <f>IFERROR(__xludf.DUMMYFUNCTION("""COMPUTED_VALUE"""),2.0)</f>
        <v>2</v>
      </c>
      <c r="H500" s="8" t="str">
        <f>IFERROR(__xludf.DUMMYFUNCTION("""COMPUTED_VALUE"""),"CRLN")</f>
        <v>CRLN</v>
      </c>
    </row>
    <row r="501">
      <c r="A501" s="8" t="str">
        <f>IFERROR(__xludf.DUMMYFUNCTION("""COMPUTED_VALUE"""),"FLT1173")</f>
        <v>FLT1173</v>
      </c>
      <c r="B501" s="8" t="str">
        <f>IFERROR(__xludf.DUMMYFUNCTION("""COMPUTED_VALUE"""),"RUN-FLMP_2022-01-17_RFR-063")</f>
        <v>RUN-FLMP_2022-01-17_RFR-063</v>
      </c>
      <c r="C501" s="10">
        <f>VLOOKUP(B501,'Run Reconcile'!A$2:B1579,2,FALSE)</f>
        <v>44578</v>
      </c>
      <c r="D501" s="14">
        <f>IFERROR(__xludf.DUMMYFUNCTION("""COMPUTED_VALUE"""),44578.0)</f>
        <v>44578</v>
      </c>
      <c r="E501" s="15">
        <f>IFERROR(__xludf.DUMMYFUNCTION("""COMPUTED_VALUE"""),0.6471412037026312)</f>
        <v>0.6471412037</v>
      </c>
      <c r="F501" s="8" t="str">
        <f>IFERROR(__xludf.DUMMYFUNCTION("""COMPUTED_VALUE"""),"Negative")</f>
        <v>Negative</v>
      </c>
      <c r="G501" s="16">
        <f>IFERROR(__xludf.DUMMYFUNCTION("""COMPUTED_VALUE"""),2.0)</f>
        <v>2</v>
      </c>
      <c r="H501" s="8" t="str">
        <f>IFERROR(__xludf.DUMMYFUNCTION("""COMPUTED_VALUE"""),"CRLN")</f>
        <v>CRLN</v>
      </c>
    </row>
    <row r="502">
      <c r="A502" s="8" t="str">
        <f>IFERROR(__xludf.DUMMYFUNCTION("""COMPUTED_VALUE"""),"FLT1493")</f>
        <v>FLT1493</v>
      </c>
      <c r="B502" s="8" t="str">
        <f>IFERROR(__xludf.DUMMYFUNCTION("""COMPUTED_VALUE"""),"RUN-FLMP_2022-01-17_RFR-063")</f>
        <v>RUN-FLMP_2022-01-17_RFR-063</v>
      </c>
      <c r="C502" s="10">
        <f>VLOOKUP(B502,'Run Reconcile'!A$2:B1579,2,FALSE)</f>
        <v>44578</v>
      </c>
      <c r="D502" s="14">
        <f>IFERROR(__xludf.DUMMYFUNCTION("""COMPUTED_VALUE"""),44578.0)</f>
        <v>44578</v>
      </c>
      <c r="E502" s="15">
        <f>IFERROR(__xludf.DUMMYFUNCTION("""COMPUTED_VALUE"""),0.6516203703686188)</f>
        <v>0.6516203704</v>
      </c>
      <c r="F502" s="8" t="str">
        <f>IFERROR(__xludf.DUMMYFUNCTION("""COMPUTED_VALUE"""),"Negative")</f>
        <v>Negative</v>
      </c>
      <c r="G502" s="16">
        <f>IFERROR(__xludf.DUMMYFUNCTION("""COMPUTED_VALUE"""),4.0)</f>
        <v>4</v>
      </c>
      <c r="H502" s="8" t="str">
        <f>IFERROR(__xludf.DUMMYFUNCTION("""COMPUTED_VALUE"""),"CRLN")</f>
        <v>CRLN</v>
      </c>
    </row>
    <row r="503">
      <c r="A503" s="8" t="str">
        <f>IFERROR(__xludf.DUMMYFUNCTION("""COMPUTED_VALUE"""),"FLT1496")</f>
        <v>FLT1496</v>
      </c>
      <c r="B503" s="8" t="str">
        <f>IFERROR(__xludf.DUMMYFUNCTION("""COMPUTED_VALUE"""),"RUN-FLMP_2022-01-17_RFR-063")</f>
        <v>RUN-FLMP_2022-01-17_RFR-063</v>
      </c>
      <c r="C503" s="10">
        <f>VLOOKUP(B503,'Run Reconcile'!A$2:B1579,2,FALSE)</f>
        <v>44578</v>
      </c>
      <c r="D503" s="14">
        <f>IFERROR(__xludf.DUMMYFUNCTION("""COMPUTED_VALUE"""),44578.0)</f>
        <v>44578</v>
      </c>
      <c r="E503" s="15">
        <f>IFERROR(__xludf.DUMMYFUNCTION("""COMPUTED_VALUE"""),0.6593402777762094)</f>
        <v>0.6593402778</v>
      </c>
      <c r="F503" s="8" t="str">
        <f>IFERROR(__xludf.DUMMYFUNCTION("""COMPUTED_VALUE"""),"Negative")</f>
        <v>Negative</v>
      </c>
      <c r="G503" s="16">
        <f>IFERROR(__xludf.DUMMYFUNCTION("""COMPUTED_VALUE"""),4.0)</f>
        <v>4</v>
      </c>
      <c r="H503" s="8" t="str">
        <f>IFERROR(__xludf.DUMMYFUNCTION("""COMPUTED_VALUE"""),"CRLN")</f>
        <v>CRLN</v>
      </c>
    </row>
    <row r="504">
      <c r="A504" s="8" t="str">
        <f>IFERROR(__xludf.DUMMYFUNCTION("""COMPUTED_VALUE"""),"FLE850")</f>
        <v>FLE850</v>
      </c>
      <c r="B504" s="8" t="str">
        <f>IFERROR(__xludf.DUMMYFUNCTION("""COMPUTED_VALUE"""),"RUN-FLMP_2022-01-17_RFR-063")</f>
        <v>RUN-FLMP_2022-01-17_RFR-063</v>
      </c>
      <c r="C504" s="10">
        <f>VLOOKUP(B504,'Run Reconcile'!A$2:B1579,2,FALSE)</f>
        <v>44578</v>
      </c>
      <c r="D504" s="14">
        <f>IFERROR(__xludf.DUMMYFUNCTION("""COMPUTED_VALUE"""),44578.0)</f>
        <v>44578</v>
      </c>
      <c r="E504" s="15">
        <f>IFERROR(__xludf.DUMMYFUNCTION("""COMPUTED_VALUE"""),0.6622685185175214)</f>
        <v>0.6622685185</v>
      </c>
      <c r="F504" s="8" t="str">
        <f>IFERROR(__xludf.DUMMYFUNCTION("""COMPUTED_VALUE"""),"Negative")</f>
        <v>Negative</v>
      </c>
      <c r="G504" s="16">
        <f>IFERROR(__xludf.DUMMYFUNCTION("""COMPUTED_VALUE"""),4.0)</f>
        <v>4</v>
      </c>
      <c r="H504" s="8" t="str">
        <f>IFERROR(__xludf.DUMMYFUNCTION("""COMPUTED_VALUE"""),"CRLN")</f>
        <v>CRLN</v>
      </c>
    </row>
    <row r="505">
      <c r="A505" s="8" t="str">
        <f>IFERROR(__xludf.DUMMYFUNCTION("""COMPUTED_VALUE"""),"FLE948")</f>
        <v>FLE948</v>
      </c>
      <c r="B505" s="8" t="str">
        <f>IFERROR(__xludf.DUMMYFUNCTION("""COMPUTED_VALUE"""),"RUN-FLMP_2022-01-17_RFR-063")</f>
        <v>RUN-FLMP_2022-01-17_RFR-063</v>
      </c>
      <c r="C505" s="10">
        <f>VLOOKUP(B505,'Run Reconcile'!A$2:B1579,2,FALSE)</f>
        <v>44578</v>
      </c>
      <c r="D505" s="14">
        <f>IFERROR(__xludf.DUMMYFUNCTION("""COMPUTED_VALUE"""),44578.0)</f>
        <v>44578</v>
      </c>
      <c r="E505" s="15">
        <f>IFERROR(__xludf.DUMMYFUNCTION("""COMPUTED_VALUE"""),0.6626620370370802)</f>
        <v>0.662662037</v>
      </c>
      <c r="F505" s="8" t="str">
        <f>IFERROR(__xludf.DUMMYFUNCTION("""COMPUTED_VALUE"""),"Negative")</f>
        <v>Negative</v>
      </c>
      <c r="G505" s="16">
        <f>IFERROR(__xludf.DUMMYFUNCTION("""COMPUTED_VALUE"""),1.0)</f>
        <v>1</v>
      </c>
      <c r="H505" s="8" t="str">
        <f>IFERROR(__xludf.DUMMYFUNCTION("""COMPUTED_VALUE"""),"CRLN")</f>
        <v>CRLN</v>
      </c>
    </row>
    <row r="506">
      <c r="A506" s="8" t="str">
        <f>IFERROR(__xludf.DUMMYFUNCTION("""COMPUTED_VALUE"""),"FLT1392")</f>
        <v>FLT1392</v>
      </c>
      <c r="B506" s="8" t="str">
        <f>IFERROR(__xludf.DUMMYFUNCTION("""COMPUTED_VALUE"""),"RUN-FLMP_2022-01-17_RFR-063")</f>
        <v>RUN-FLMP_2022-01-17_RFR-063</v>
      </c>
      <c r="C506" s="10">
        <f>VLOOKUP(B506,'Run Reconcile'!A$2:B1579,2,FALSE)</f>
        <v>44578</v>
      </c>
      <c r="D506" s="14">
        <f>IFERROR(__xludf.DUMMYFUNCTION("""COMPUTED_VALUE"""),44578.0)</f>
        <v>44578</v>
      </c>
      <c r="E506" s="15">
        <f>IFERROR(__xludf.DUMMYFUNCTION("""COMPUTED_VALUE"""),0.6647800925929914)</f>
        <v>0.6647800926</v>
      </c>
      <c r="F506" s="8" t="str">
        <f>IFERROR(__xludf.DUMMYFUNCTION("""COMPUTED_VALUE"""),"Negative")</f>
        <v>Negative</v>
      </c>
      <c r="G506" s="16">
        <f>IFERROR(__xludf.DUMMYFUNCTION("""COMPUTED_VALUE"""),4.0)</f>
        <v>4</v>
      </c>
      <c r="H506" s="8" t="str">
        <f>IFERROR(__xludf.DUMMYFUNCTION("""COMPUTED_VALUE"""),"CRLN")</f>
        <v>CRLN</v>
      </c>
    </row>
    <row r="507">
      <c r="A507" s="8" t="str">
        <f>IFERROR(__xludf.DUMMYFUNCTION("""COMPUTED_VALUE"""),"FLT1164")</f>
        <v>FLT1164</v>
      </c>
      <c r="B507" s="8" t="str">
        <f>IFERROR(__xludf.DUMMYFUNCTION("""COMPUTED_VALUE"""),"RUN-FLMP_2022-01-17_RFR-063")</f>
        <v>RUN-FLMP_2022-01-17_RFR-063</v>
      </c>
      <c r="C507" s="10">
        <f>VLOOKUP(B507,'Run Reconcile'!A$2:B1579,2,FALSE)</f>
        <v>44578</v>
      </c>
      <c r="D507" s="14">
        <f>IFERROR(__xludf.DUMMYFUNCTION("""COMPUTED_VALUE"""),44578.0)</f>
        <v>44578</v>
      </c>
      <c r="E507" s="15">
        <f>IFERROR(__xludf.DUMMYFUNCTION("""COMPUTED_VALUE"""),0.6683333333348855)</f>
        <v>0.6683333333</v>
      </c>
      <c r="F507" s="8" t="str">
        <f>IFERROR(__xludf.DUMMYFUNCTION("""COMPUTED_VALUE"""),"Negative")</f>
        <v>Negative</v>
      </c>
      <c r="G507" s="16">
        <f>IFERROR(__xludf.DUMMYFUNCTION("""COMPUTED_VALUE"""),4.0)</f>
        <v>4</v>
      </c>
      <c r="H507" s="8" t="str">
        <f>IFERROR(__xludf.DUMMYFUNCTION("""COMPUTED_VALUE"""),"CRLN")</f>
        <v>CRLN</v>
      </c>
    </row>
    <row r="508">
      <c r="A508" s="8" t="str">
        <f>IFERROR(__xludf.DUMMYFUNCTION("""COMPUTED_VALUE"""),"FLE203")</f>
        <v>FLE203</v>
      </c>
      <c r="B508" s="8" t="str">
        <f>IFERROR(__xludf.DUMMYFUNCTION("""COMPUTED_VALUE"""),"RUN-FLMP_2022-01-17_RFR-063")</f>
        <v>RUN-FLMP_2022-01-17_RFR-063</v>
      </c>
      <c r="C508" s="10">
        <f>VLOOKUP(B508,'Run Reconcile'!A$2:B1579,2,FALSE)</f>
        <v>44578</v>
      </c>
      <c r="D508" s="14">
        <f>IFERROR(__xludf.DUMMYFUNCTION("""COMPUTED_VALUE"""),44578.0)</f>
        <v>44578</v>
      </c>
      <c r="E508" s="15">
        <f>IFERROR(__xludf.DUMMYFUNCTION("""COMPUTED_VALUE"""),0.6893402777786832)</f>
        <v>0.6893402778</v>
      </c>
      <c r="F508" s="8" t="str">
        <f>IFERROR(__xludf.DUMMYFUNCTION("""COMPUTED_VALUE"""),"Negative")</f>
        <v>Negative</v>
      </c>
      <c r="G508" s="16">
        <f>IFERROR(__xludf.DUMMYFUNCTION("""COMPUTED_VALUE"""),3.0)</f>
        <v>3</v>
      </c>
      <c r="H508" s="8" t="str">
        <f>IFERROR(__xludf.DUMMYFUNCTION("""COMPUTED_VALUE"""),"CRLN")</f>
        <v>CRLN</v>
      </c>
    </row>
    <row r="509">
      <c r="A509" s="8" t="str">
        <f>IFERROR(__xludf.DUMMYFUNCTION("""COMPUTED_VALUE"""),"FLB4955")</f>
        <v>FLB4955</v>
      </c>
      <c r="B509" s="8" t="str">
        <f>IFERROR(__xludf.DUMMYFUNCTION("""COMPUTED_VALUE"""),"RUN-FLMP_2022-01-17_RFR-063")</f>
        <v>RUN-FLMP_2022-01-17_RFR-063</v>
      </c>
      <c r="C509" s="10">
        <f>VLOOKUP(B509,'Run Reconcile'!A$2:B1579,2,FALSE)</f>
        <v>44578</v>
      </c>
      <c r="D509" s="14">
        <f>IFERROR(__xludf.DUMMYFUNCTION("""COMPUTED_VALUE"""),44578.0)</f>
        <v>44578</v>
      </c>
      <c r="E509" s="15">
        <f>IFERROR(__xludf.DUMMYFUNCTION("""COMPUTED_VALUE"""),0.7501851851848187)</f>
        <v>0.7501851852</v>
      </c>
      <c r="F509" s="8" t="str">
        <f>IFERROR(__xludf.DUMMYFUNCTION("""COMPUTED_VALUE"""),"Negative")</f>
        <v>Negative</v>
      </c>
      <c r="G509" s="16">
        <f>IFERROR(__xludf.DUMMYFUNCTION("""COMPUTED_VALUE"""),1.0)</f>
        <v>1</v>
      </c>
      <c r="H509" s="8" t="str">
        <f>IFERROR(__xludf.DUMMYFUNCTION("""COMPUTED_VALUE"""),"CRLN")</f>
        <v>CRLN</v>
      </c>
    </row>
    <row r="510">
      <c r="A510" s="8" t="str">
        <f>IFERROR(__xludf.DUMMYFUNCTION("""COMPUTED_VALUE"""),"FLT1494")</f>
        <v>FLT1494</v>
      </c>
      <c r="B510" s="8" t="str">
        <f>IFERROR(__xludf.DUMMYFUNCTION("""COMPUTED_VALUE"""),"RUN-FLMP_2022-01-18_RFR-065")</f>
        <v>RUN-FLMP_2022-01-18_RFR-065</v>
      </c>
      <c r="C510" s="10">
        <f>VLOOKUP(B510,'Run Reconcile'!A$2:B1579,2,FALSE)</f>
        <v>44579</v>
      </c>
      <c r="D510" s="14">
        <f>IFERROR(__xludf.DUMMYFUNCTION("""COMPUTED_VALUE"""),44578.0)</f>
        <v>44578</v>
      </c>
      <c r="E510" s="15">
        <f>IFERROR(__xludf.DUMMYFUNCTION("""COMPUTED_VALUE"""),0.7827430555553292)</f>
        <v>0.7827430556</v>
      </c>
      <c r="F510" s="8" t="str">
        <f>IFERROR(__xludf.DUMMYFUNCTION("""COMPUTED_VALUE"""),"Negative")</f>
        <v>Negative</v>
      </c>
      <c r="G510" s="16">
        <f>IFERROR(__xludf.DUMMYFUNCTION("""COMPUTED_VALUE"""),3.0)</f>
        <v>3</v>
      </c>
      <c r="H510" s="8" t="str">
        <f>IFERROR(__xludf.DUMMYFUNCTION("""COMPUTED_VALUE"""),"CRLN")</f>
        <v>CRLN</v>
      </c>
    </row>
    <row r="511">
      <c r="A511" s="8" t="str">
        <f>IFERROR(__xludf.DUMMYFUNCTION("""COMPUTED_VALUE"""),"FL1166")</f>
        <v>FL1166</v>
      </c>
      <c r="B511" s="8" t="str">
        <f>IFERROR(__xludf.DUMMYFUNCTION("""COMPUTED_VALUE"""),"RUN-FLMP_2022-01-18_RFR-066")</f>
        <v>RUN-FLMP_2022-01-18_RFR-066</v>
      </c>
      <c r="C511" s="10">
        <f>VLOOKUP(B511,'Run Reconcile'!A$2:B1579,2,FALSE)</f>
        <v>44579</v>
      </c>
      <c r="D511" s="14">
        <f>IFERROR(__xludf.DUMMYFUNCTION("""COMPUTED_VALUE"""),44579.0)</f>
        <v>44579</v>
      </c>
      <c r="E511" s="15">
        <f>IFERROR(__xludf.DUMMYFUNCTION("""COMPUTED_VALUE"""),0.5350925925922638)</f>
        <v>0.5350925926</v>
      </c>
      <c r="F511" s="8" t="str">
        <f>IFERROR(__xludf.DUMMYFUNCTION("""COMPUTED_VALUE"""),"Negative")</f>
        <v>Negative</v>
      </c>
      <c r="G511" s="16">
        <f>IFERROR(__xludf.DUMMYFUNCTION("""COMPUTED_VALUE"""),1.0)</f>
        <v>1</v>
      </c>
      <c r="H511" s="8" t="str">
        <f>IFERROR(__xludf.DUMMYFUNCTION("""COMPUTED_VALUE"""),"CRLN")</f>
        <v>CRLN</v>
      </c>
    </row>
    <row r="512">
      <c r="A512" s="8" t="str">
        <f>IFERROR(__xludf.DUMMYFUNCTION("""COMPUTED_VALUE"""),"FLT1499")</f>
        <v>FLT1499</v>
      </c>
      <c r="B512" s="8" t="str">
        <f>IFERROR(__xludf.DUMMYFUNCTION("""COMPUTED_VALUE"""),"RUN-FLMP_2022-01-20_RFR-067")</f>
        <v>RUN-FLMP_2022-01-20_RFR-067</v>
      </c>
      <c r="C512" s="10">
        <f>VLOOKUP(B512,'Run Reconcile'!A$2:B1579,2,FALSE)</f>
        <v>44581</v>
      </c>
      <c r="D512" s="14">
        <f>IFERROR(__xludf.DUMMYFUNCTION("""COMPUTED_VALUE"""),44580.0)</f>
        <v>44580</v>
      </c>
      <c r="E512" s="15">
        <f>IFERROR(__xludf.DUMMYFUNCTION("""COMPUTED_VALUE"""),0.6359259259261307)</f>
        <v>0.6359259259</v>
      </c>
      <c r="F512" s="8" t="str">
        <f>IFERROR(__xludf.DUMMYFUNCTION("""COMPUTED_VALUE"""),"Negative")</f>
        <v>Negative</v>
      </c>
      <c r="G512" s="16">
        <f>IFERROR(__xludf.DUMMYFUNCTION("""COMPUTED_VALUE"""),3.0)</f>
        <v>3</v>
      </c>
      <c r="H512" s="8" t="str">
        <f>IFERROR(__xludf.DUMMYFUNCTION("""COMPUTED_VALUE"""),"CRLN")</f>
        <v>CRLN</v>
      </c>
    </row>
    <row r="513">
      <c r="A513" s="8" t="str">
        <f>IFERROR(__xludf.DUMMYFUNCTION("""COMPUTED_VALUE"""),"FLT1462")</f>
        <v>FLT1462</v>
      </c>
      <c r="B513" s="8" t="str">
        <f>IFERROR(__xludf.DUMMYFUNCTION("""COMPUTED_VALUE"""),"RUN-FLMP_2022-01-20_RFR-067")</f>
        <v>RUN-FLMP_2022-01-20_RFR-067</v>
      </c>
      <c r="C513" s="10">
        <f>VLOOKUP(B513,'Run Reconcile'!A$2:B1579,2,FALSE)</f>
        <v>44581</v>
      </c>
      <c r="D513" s="14">
        <f>IFERROR(__xludf.DUMMYFUNCTION("""COMPUTED_VALUE"""),44580.0)</f>
        <v>44580</v>
      </c>
      <c r="E513" s="15">
        <f>IFERROR(__xludf.DUMMYFUNCTION("""COMPUTED_VALUE"""),0.7259027777763549)</f>
        <v>0.7259027778</v>
      </c>
      <c r="F513" s="8" t="str">
        <f>IFERROR(__xludf.DUMMYFUNCTION("""COMPUTED_VALUE"""),"Negative")</f>
        <v>Negative</v>
      </c>
      <c r="G513" s="16">
        <f>IFERROR(__xludf.DUMMYFUNCTION("""COMPUTED_VALUE"""),1.0)</f>
        <v>1</v>
      </c>
      <c r="H513" s="8" t="str">
        <f>IFERROR(__xludf.DUMMYFUNCTION("""COMPUTED_VALUE"""),"CRLN")</f>
        <v>CRLN</v>
      </c>
    </row>
    <row r="514">
      <c r="A514" s="8" t="str">
        <f>IFERROR(__xludf.DUMMYFUNCTION("""COMPUTED_VALUE"""),"FLE838")</f>
        <v>FLE838</v>
      </c>
      <c r="B514" s="8" t="str">
        <f>IFERROR(__xludf.DUMMYFUNCTION("""COMPUTED_VALUE"""),"RUN-FLMP_2022-01-20_RFR-067")</f>
        <v>RUN-FLMP_2022-01-20_RFR-067</v>
      </c>
      <c r="C514" s="10">
        <f>VLOOKUP(B514,'Run Reconcile'!A$2:B1579,2,FALSE)</f>
        <v>44581</v>
      </c>
      <c r="D514" s="14">
        <f>IFERROR(__xludf.DUMMYFUNCTION("""COMPUTED_VALUE"""),44580.0)</f>
        <v>44580</v>
      </c>
      <c r="E514" s="15">
        <f>IFERROR(__xludf.DUMMYFUNCTION("""COMPUTED_VALUE"""),0.8186805555560568)</f>
        <v>0.8186805556</v>
      </c>
      <c r="F514" s="8" t="str">
        <f>IFERROR(__xludf.DUMMYFUNCTION("""COMPUTED_VALUE"""),"Negative")</f>
        <v>Negative</v>
      </c>
      <c r="G514" s="16">
        <f>IFERROR(__xludf.DUMMYFUNCTION("""COMPUTED_VALUE"""),4.0)</f>
        <v>4</v>
      </c>
      <c r="H514" s="8" t="str">
        <f>IFERROR(__xludf.DUMMYFUNCTION("""COMPUTED_VALUE"""),"CRLN")</f>
        <v>CRLN</v>
      </c>
    </row>
    <row r="515">
      <c r="A515" s="8" t="str">
        <f>IFERROR(__xludf.DUMMYFUNCTION("""COMPUTED_VALUE"""),"FLT1506")</f>
        <v>FLT1506</v>
      </c>
      <c r="B515" s="8" t="str">
        <f>IFERROR(__xludf.DUMMYFUNCTION("""COMPUTED_VALUE"""),"RUN-FLMP_2022-01-20_RFR-067")</f>
        <v>RUN-FLMP_2022-01-20_RFR-067</v>
      </c>
      <c r="C515" s="10">
        <f>VLOOKUP(B515,'Run Reconcile'!A$2:B1579,2,FALSE)</f>
        <v>44581</v>
      </c>
      <c r="D515" s="14">
        <f>IFERROR(__xludf.DUMMYFUNCTION("""COMPUTED_VALUE"""),44580.0)</f>
        <v>44580</v>
      </c>
      <c r="E515" s="15">
        <f>IFERROR(__xludf.DUMMYFUNCTION("""COMPUTED_VALUE"""),0.8479282407424762)</f>
        <v>0.8479282407</v>
      </c>
      <c r="F515" s="8" t="str">
        <f>IFERROR(__xludf.DUMMYFUNCTION("""COMPUTED_VALUE"""),"Negative")</f>
        <v>Negative</v>
      </c>
      <c r="G515" s="16">
        <f>IFERROR(__xludf.DUMMYFUNCTION("""COMPUTED_VALUE"""),3.0)</f>
        <v>3</v>
      </c>
      <c r="H515" s="8" t="str">
        <f>IFERROR(__xludf.DUMMYFUNCTION("""COMPUTED_VALUE"""),"CRLN")</f>
        <v>CRLN</v>
      </c>
    </row>
    <row r="516">
      <c r="A516" s="8" t="str">
        <f>IFERROR(__xludf.DUMMYFUNCTION("""COMPUTED_VALUE"""),"FLT1481")</f>
        <v>FLT1481</v>
      </c>
      <c r="B516" s="8" t="str">
        <f>IFERROR(__xludf.DUMMYFUNCTION("""COMPUTED_VALUE"""),"RUN-FLMP_2022-01-20_RFR-067")</f>
        <v>RUN-FLMP_2022-01-20_RFR-067</v>
      </c>
      <c r="C516" s="10">
        <f>VLOOKUP(B516,'Run Reconcile'!A$2:B1579,2,FALSE)</f>
        <v>44581</v>
      </c>
      <c r="D516" s="14">
        <f>IFERROR(__xludf.DUMMYFUNCTION("""COMPUTED_VALUE"""),44580.0)</f>
        <v>44580</v>
      </c>
      <c r="E516" s="15">
        <f>IFERROR(__xludf.DUMMYFUNCTION("""COMPUTED_VALUE"""),0.8688888888900692)</f>
        <v>0.8688888889</v>
      </c>
      <c r="F516" s="8" t="str">
        <f>IFERROR(__xludf.DUMMYFUNCTION("""COMPUTED_VALUE"""),"Negative")</f>
        <v>Negative</v>
      </c>
      <c r="G516" s="16">
        <f>IFERROR(__xludf.DUMMYFUNCTION("""COMPUTED_VALUE"""),2.0)</f>
        <v>2</v>
      </c>
      <c r="H516" s="8" t="str">
        <f>IFERROR(__xludf.DUMMYFUNCTION("""COMPUTED_VALUE"""),"CRLN")</f>
        <v>CRLN</v>
      </c>
    </row>
    <row r="517">
      <c r="A517" s="8" t="str">
        <f>IFERROR(__xludf.DUMMYFUNCTION("""COMPUTED_VALUE"""),"FLT1436")</f>
        <v>FLT1436</v>
      </c>
      <c r="B517" s="8" t="str">
        <f>IFERROR(__xludf.DUMMYFUNCTION("""COMPUTED_VALUE"""),"RUN-FLMP_2022-01-20_RFR-067")</f>
        <v>RUN-FLMP_2022-01-20_RFR-067</v>
      </c>
      <c r="C517" s="10">
        <f>VLOOKUP(B517,'Run Reconcile'!A$2:B1579,2,FALSE)</f>
        <v>44581</v>
      </c>
      <c r="D517" s="14">
        <f>IFERROR(__xludf.DUMMYFUNCTION("""COMPUTED_VALUE"""),44581.0)</f>
        <v>44581</v>
      </c>
      <c r="E517" s="15">
        <f>IFERROR(__xludf.DUMMYFUNCTION("""COMPUTED_VALUE"""),0.014490740741166519)</f>
        <v>0.01449074074</v>
      </c>
      <c r="F517" s="8" t="str">
        <f>IFERROR(__xludf.DUMMYFUNCTION("""COMPUTED_VALUE"""),"Negative")</f>
        <v>Negative</v>
      </c>
      <c r="G517" s="16">
        <f>IFERROR(__xludf.DUMMYFUNCTION("""COMPUTED_VALUE"""),3.0)</f>
        <v>3</v>
      </c>
      <c r="H517" s="8" t="str">
        <f>IFERROR(__xludf.DUMMYFUNCTION("""COMPUTED_VALUE"""),"CRLN")</f>
        <v>CRLN</v>
      </c>
    </row>
    <row r="518">
      <c r="A518" s="8" t="str">
        <f>IFERROR(__xludf.DUMMYFUNCTION("""COMPUTED_VALUE"""),"FLT1426")</f>
        <v>FLT1426</v>
      </c>
      <c r="B518" s="8" t="str">
        <f>IFERROR(__xludf.DUMMYFUNCTION("""COMPUTED_VALUE"""),"RUN-FLMP_2022-01-20_RFR-067")</f>
        <v>RUN-FLMP_2022-01-20_RFR-067</v>
      </c>
      <c r="C518" s="10">
        <f>VLOOKUP(B518,'Run Reconcile'!A$2:B1579,2,FALSE)</f>
        <v>44581</v>
      </c>
      <c r="D518" s="14">
        <f>IFERROR(__xludf.DUMMYFUNCTION("""COMPUTED_VALUE"""),44581.0)</f>
        <v>44581</v>
      </c>
      <c r="E518" s="15">
        <f>IFERROR(__xludf.DUMMYFUNCTION("""COMPUTED_VALUE"""),0.22221064814948477)</f>
        <v>0.2222106481</v>
      </c>
      <c r="F518" s="8" t="str">
        <f>IFERROR(__xludf.DUMMYFUNCTION("""COMPUTED_VALUE"""),"Negative")</f>
        <v>Negative</v>
      </c>
      <c r="G518" s="16">
        <f>IFERROR(__xludf.DUMMYFUNCTION("""COMPUTED_VALUE"""),1.0)</f>
        <v>1</v>
      </c>
      <c r="H518" s="8" t="str">
        <f>IFERROR(__xludf.DUMMYFUNCTION("""COMPUTED_VALUE"""),"CRLN")</f>
        <v>CRLN</v>
      </c>
    </row>
    <row r="519">
      <c r="A519" s="8" t="str">
        <f>IFERROR(__xludf.DUMMYFUNCTION("""COMPUTED_VALUE"""),"FLE889")</f>
        <v>FLE889</v>
      </c>
      <c r="B519" s="8" t="str">
        <f>IFERROR(__xludf.DUMMYFUNCTION("""COMPUTED_VALUE"""),"RUN-FLMP_2022-01-20_RFR-067")</f>
        <v>RUN-FLMP_2022-01-20_RFR-067</v>
      </c>
      <c r="C519" s="10">
        <f>VLOOKUP(B519,'Run Reconcile'!A$2:B1579,2,FALSE)</f>
        <v>44581</v>
      </c>
      <c r="D519" s="14">
        <f>IFERROR(__xludf.DUMMYFUNCTION("""COMPUTED_VALUE"""),44581.0)</f>
        <v>44581</v>
      </c>
      <c r="E519" s="15">
        <f>IFERROR(__xludf.DUMMYFUNCTION("""COMPUTED_VALUE"""),0.2790277777785377)</f>
        <v>0.2790277778</v>
      </c>
      <c r="F519" s="8" t="str">
        <f>IFERROR(__xludf.DUMMYFUNCTION("""COMPUTED_VALUE"""),"Negative")</f>
        <v>Negative</v>
      </c>
      <c r="G519" s="16">
        <f>IFERROR(__xludf.DUMMYFUNCTION("""COMPUTED_VALUE"""),2.0)</f>
        <v>2</v>
      </c>
      <c r="H519" s="8" t="str">
        <f>IFERROR(__xludf.DUMMYFUNCTION("""COMPUTED_VALUE"""),"CRLN")</f>
        <v>CRLN</v>
      </c>
    </row>
    <row r="520">
      <c r="A520" s="8" t="str">
        <f>IFERROR(__xludf.DUMMYFUNCTION("""COMPUTED_VALUE"""),"FLT1393")</f>
        <v>FLT1393</v>
      </c>
      <c r="B520" s="8" t="str">
        <f>IFERROR(__xludf.DUMMYFUNCTION("""COMPUTED_VALUE"""),"RUN-FLMP_2022-01-20_RFR-067")</f>
        <v>RUN-FLMP_2022-01-20_RFR-067</v>
      </c>
      <c r="C520" s="10">
        <f>VLOOKUP(B520,'Run Reconcile'!A$2:B1579,2,FALSE)</f>
        <v>44581</v>
      </c>
      <c r="D520" s="14">
        <f>IFERROR(__xludf.DUMMYFUNCTION("""COMPUTED_VALUE"""),44581.0)</f>
        <v>44581</v>
      </c>
      <c r="E520" s="15">
        <f>IFERROR(__xludf.DUMMYFUNCTION("""COMPUTED_VALUE"""),0.2873958333329938)</f>
        <v>0.2873958333</v>
      </c>
      <c r="F520" s="8" t="str">
        <f>IFERROR(__xludf.DUMMYFUNCTION("""COMPUTED_VALUE"""),"Negative")</f>
        <v>Negative</v>
      </c>
      <c r="G520" s="16">
        <f>IFERROR(__xludf.DUMMYFUNCTION("""COMPUTED_VALUE"""),3.0)</f>
        <v>3</v>
      </c>
      <c r="H520" s="8" t="str">
        <f>IFERROR(__xludf.DUMMYFUNCTION("""COMPUTED_VALUE"""),"CRLN")</f>
        <v>CRLN</v>
      </c>
    </row>
    <row r="521">
      <c r="A521" s="8" t="str">
        <f>IFERROR(__xludf.DUMMYFUNCTION("""COMPUTED_VALUE"""),"FLB5404")</f>
        <v>FLB5404</v>
      </c>
      <c r="B521" s="8" t="str">
        <f>IFERROR(__xludf.DUMMYFUNCTION("""COMPUTED_VALUE"""),"RUN-FLMP_2022-01-20_RFR-067")</f>
        <v>RUN-FLMP_2022-01-20_RFR-067</v>
      </c>
      <c r="C521" s="10">
        <f>VLOOKUP(B521,'Run Reconcile'!A$2:B1579,2,FALSE)</f>
        <v>44581</v>
      </c>
      <c r="D521" s="14">
        <f>IFERROR(__xludf.DUMMYFUNCTION("""COMPUTED_VALUE"""),44581.0)</f>
        <v>44581</v>
      </c>
      <c r="E521" s="15">
        <f>IFERROR(__xludf.DUMMYFUNCTION("""COMPUTED_VALUE"""),0.30561342592773144)</f>
        <v>0.3056134259</v>
      </c>
      <c r="F521" s="8" t="str">
        <f>IFERROR(__xludf.DUMMYFUNCTION("""COMPUTED_VALUE"""),"Negative")</f>
        <v>Negative</v>
      </c>
      <c r="G521" s="16">
        <f>IFERROR(__xludf.DUMMYFUNCTION("""COMPUTED_VALUE"""),3.0)</f>
        <v>3</v>
      </c>
      <c r="H521" s="8" t="str">
        <f>IFERROR(__xludf.DUMMYFUNCTION("""COMPUTED_VALUE"""),"CRLN")</f>
        <v>CRLN</v>
      </c>
    </row>
    <row r="522">
      <c r="A522" s="8" t="str">
        <f>IFERROR(__xludf.DUMMYFUNCTION("""COMPUTED_VALUE"""),"FLB5409")</f>
        <v>FLB5409</v>
      </c>
      <c r="B522" s="8" t="str">
        <f>IFERROR(__xludf.DUMMYFUNCTION("""COMPUTED_VALUE"""),"RUN-FLMP_2022-01-20_RFR-067")</f>
        <v>RUN-FLMP_2022-01-20_RFR-067</v>
      </c>
      <c r="C522" s="10">
        <f>VLOOKUP(B522,'Run Reconcile'!A$2:B1579,2,FALSE)</f>
        <v>44581</v>
      </c>
      <c r="D522" s="14">
        <f>IFERROR(__xludf.DUMMYFUNCTION("""COMPUTED_VALUE"""),44581.0)</f>
        <v>44581</v>
      </c>
      <c r="E522" s="15">
        <f>IFERROR(__xludf.DUMMYFUNCTION("""COMPUTED_VALUE"""),0.30612268518598285)</f>
        <v>0.3061226852</v>
      </c>
      <c r="F522" s="8" t="str">
        <f>IFERROR(__xludf.DUMMYFUNCTION("""COMPUTED_VALUE"""),"Negative")</f>
        <v>Negative</v>
      </c>
      <c r="G522" s="16">
        <f>IFERROR(__xludf.DUMMYFUNCTION("""COMPUTED_VALUE"""),1.0)</f>
        <v>1</v>
      </c>
      <c r="H522" s="8" t="str">
        <f>IFERROR(__xludf.DUMMYFUNCTION("""COMPUTED_VALUE"""),"CRLN")</f>
        <v>CRLN</v>
      </c>
    </row>
    <row r="523">
      <c r="A523" s="8" t="str">
        <f>IFERROR(__xludf.DUMMYFUNCTION("""COMPUTED_VALUE"""),"FLT1428")</f>
        <v>FLT1428</v>
      </c>
      <c r="B523" s="8" t="str">
        <f>IFERROR(__xludf.DUMMYFUNCTION("""COMPUTED_VALUE"""),"RUN-FLMP_2022-01-20_RFR-067")</f>
        <v>RUN-FLMP_2022-01-20_RFR-067</v>
      </c>
      <c r="C523" s="10">
        <f>VLOOKUP(B523,'Run Reconcile'!A$2:B1579,2,FALSE)</f>
        <v>44581</v>
      </c>
      <c r="D523" s="14">
        <f>IFERROR(__xludf.DUMMYFUNCTION("""COMPUTED_VALUE"""),44581.0)</f>
        <v>44581</v>
      </c>
      <c r="E523" s="15">
        <f>IFERROR(__xludf.DUMMYFUNCTION("""COMPUTED_VALUE"""),0.3255208333321207)</f>
        <v>0.3255208333</v>
      </c>
      <c r="F523" s="8" t="str">
        <f>IFERROR(__xludf.DUMMYFUNCTION("""COMPUTED_VALUE"""),"Negative")</f>
        <v>Negative</v>
      </c>
      <c r="G523" s="16">
        <f>IFERROR(__xludf.DUMMYFUNCTION("""COMPUTED_VALUE"""),1.0)</f>
        <v>1</v>
      </c>
      <c r="H523" s="8" t="str">
        <f>IFERROR(__xludf.DUMMYFUNCTION("""COMPUTED_VALUE"""),"CRLN")</f>
        <v>CRLN</v>
      </c>
    </row>
    <row r="524">
      <c r="A524" s="8" t="str">
        <f>IFERROR(__xludf.DUMMYFUNCTION("""COMPUTED_VALUE"""),"FLE309")</f>
        <v>FLE309</v>
      </c>
      <c r="B524" s="8" t="str">
        <f>IFERROR(__xludf.DUMMYFUNCTION("""COMPUTED_VALUE"""),"RUN-FLMP_2022-01-20_RFR-067")</f>
        <v>RUN-FLMP_2022-01-20_RFR-067</v>
      </c>
      <c r="C524" s="10">
        <f>VLOOKUP(B524,'Run Reconcile'!A$2:B1579,2,FALSE)</f>
        <v>44581</v>
      </c>
      <c r="D524" s="14">
        <f>IFERROR(__xludf.DUMMYFUNCTION("""COMPUTED_VALUE"""),44581.0)</f>
        <v>44581</v>
      </c>
      <c r="E524" s="15">
        <f>IFERROR(__xludf.DUMMYFUNCTION("""COMPUTED_VALUE"""),0.3274421296300716)</f>
        <v>0.3274421296</v>
      </c>
      <c r="F524" s="8" t="str">
        <f>IFERROR(__xludf.DUMMYFUNCTION("""COMPUTED_VALUE"""),"Negative")</f>
        <v>Negative</v>
      </c>
      <c r="G524" s="16">
        <f>IFERROR(__xludf.DUMMYFUNCTION("""COMPUTED_VALUE"""),3.0)</f>
        <v>3</v>
      </c>
      <c r="H524" s="8" t="str">
        <f>IFERROR(__xludf.DUMMYFUNCTION("""COMPUTED_VALUE"""),"CRLN")</f>
        <v>CRLN</v>
      </c>
    </row>
    <row r="525">
      <c r="A525" s="8" t="str">
        <f>IFERROR(__xludf.DUMMYFUNCTION("""COMPUTED_VALUE"""),"FLT1489")</f>
        <v>FLT1489</v>
      </c>
      <c r="B525" s="8" t="str">
        <f>IFERROR(__xludf.DUMMYFUNCTION("""COMPUTED_VALUE"""),"RUN-FLMP_2022-01-20_RFR-067")</f>
        <v>RUN-FLMP_2022-01-20_RFR-067</v>
      </c>
      <c r="C525" s="10">
        <f>VLOOKUP(B525,'Run Reconcile'!A$2:B1579,2,FALSE)</f>
        <v>44581</v>
      </c>
      <c r="D525" s="14">
        <f>IFERROR(__xludf.DUMMYFUNCTION("""COMPUTED_VALUE"""),44581.0)</f>
        <v>44581</v>
      </c>
      <c r="E525" s="15">
        <f>IFERROR(__xludf.DUMMYFUNCTION("""COMPUTED_VALUE"""),0.32920138888948713)</f>
        <v>0.3292013889</v>
      </c>
      <c r="F525" s="8" t="str">
        <f>IFERROR(__xludf.DUMMYFUNCTION("""COMPUTED_VALUE"""),"Negative")</f>
        <v>Negative</v>
      </c>
      <c r="G525" s="16">
        <f>IFERROR(__xludf.DUMMYFUNCTION("""COMPUTED_VALUE"""),1.0)</f>
        <v>1</v>
      </c>
      <c r="H525" s="8" t="str">
        <f>IFERROR(__xludf.DUMMYFUNCTION("""COMPUTED_VALUE"""),"CRLN")</f>
        <v>CRLN</v>
      </c>
    </row>
    <row r="526">
      <c r="A526" s="8" t="str">
        <f>IFERROR(__xludf.DUMMYFUNCTION("""COMPUTED_VALUE"""),"FLT1431")</f>
        <v>FLT1431</v>
      </c>
      <c r="B526" s="8" t="str">
        <f>IFERROR(__xludf.DUMMYFUNCTION("""COMPUTED_VALUE"""),"RUN-FLMP_2022-01-20_RFR-067")</f>
        <v>RUN-FLMP_2022-01-20_RFR-067</v>
      </c>
      <c r="C526" s="10">
        <f>VLOOKUP(B526,'Run Reconcile'!A$2:B1579,2,FALSE)</f>
        <v>44581</v>
      </c>
      <c r="D526" s="14">
        <f>IFERROR(__xludf.DUMMYFUNCTION("""COMPUTED_VALUE"""),44581.0)</f>
        <v>44581</v>
      </c>
      <c r="E526" s="15">
        <f>IFERROR(__xludf.DUMMYFUNCTION("""COMPUTED_VALUE"""),0.3297685185170849)</f>
        <v>0.3297685185</v>
      </c>
      <c r="F526" s="8" t="str">
        <f>IFERROR(__xludf.DUMMYFUNCTION("""COMPUTED_VALUE"""),"Negative")</f>
        <v>Negative</v>
      </c>
      <c r="G526" s="16">
        <f>IFERROR(__xludf.DUMMYFUNCTION("""COMPUTED_VALUE"""),1.0)</f>
        <v>1</v>
      </c>
      <c r="H526" s="8" t="str">
        <f>IFERROR(__xludf.DUMMYFUNCTION("""COMPUTED_VALUE"""),"CRLN")</f>
        <v>CRLN</v>
      </c>
    </row>
    <row r="527">
      <c r="A527" s="8" t="str">
        <f>IFERROR(__xludf.DUMMYFUNCTION("""COMPUTED_VALUE"""),"FLT1156")</f>
        <v>FLT1156</v>
      </c>
      <c r="B527" s="8" t="str">
        <f>IFERROR(__xludf.DUMMYFUNCTION("""COMPUTED_VALUE"""),"RUN-FLMP_2022-01-20_RFR-067")</f>
        <v>RUN-FLMP_2022-01-20_RFR-067</v>
      </c>
      <c r="C527" s="10">
        <f>VLOOKUP(B527,'Run Reconcile'!A$2:B1579,2,FALSE)</f>
        <v>44581</v>
      </c>
      <c r="D527" s="14">
        <f>IFERROR(__xludf.DUMMYFUNCTION("""COMPUTED_VALUE"""),44581.0)</f>
        <v>44581</v>
      </c>
      <c r="E527" s="15">
        <f>IFERROR(__xludf.DUMMYFUNCTION("""COMPUTED_VALUE"""),0.3299768518518249)</f>
        <v>0.3299768519</v>
      </c>
      <c r="F527" s="8" t="str">
        <f>IFERROR(__xludf.DUMMYFUNCTION("""COMPUTED_VALUE"""),"Negative")</f>
        <v>Negative</v>
      </c>
      <c r="G527" s="16">
        <f>IFERROR(__xludf.DUMMYFUNCTION("""COMPUTED_VALUE"""),1.0)</f>
        <v>1</v>
      </c>
      <c r="H527" s="8" t="str">
        <f>IFERROR(__xludf.DUMMYFUNCTION("""COMPUTED_VALUE"""),"CRLN")</f>
        <v>CRLN</v>
      </c>
    </row>
    <row r="528">
      <c r="A528" s="8" t="str">
        <f>IFERROR(__xludf.DUMMYFUNCTION("""COMPUTED_VALUE"""),"FLE936")</f>
        <v>FLE936</v>
      </c>
      <c r="B528" s="8" t="str">
        <f>IFERROR(__xludf.DUMMYFUNCTION("""COMPUTED_VALUE"""),"RUN-FLMP_2022-01-20_RFR-067")</f>
        <v>RUN-FLMP_2022-01-20_RFR-067</v>
      </c>
      <c r="C528" s="10">
        <f>VLOOKUP(B528,'Run Reconcile'!A$2:B1579,2,FALSE)</f>
        <v>44581</v>
      </c>
      <c r="D528" s="14">
        <f>IFERROR(__xludf.DUMMYFUNCTION("""COMPUTED_VALUE"""),44581.0)</f>
        <v>44581</v>
      </c>
      <c r="E528" s="15">
        <f>IFERROR(__xludf.DUMMYFUNCTION("""COMPUTED_VALUE"""),0.3319791666654055)</f>
        <v>0.3319791667</v>
      </c>
      <c r="F528" s="8" t="str">
        <f>IFERROR(__xludf.DUMMYFUNCTION("""COMPUTED_VALUE"""),"Negative")</f>
        <v>Negative</v>
      </c>
      <c r="G528" s="16">
        <f>IFERROR(__xludf.DUMMYFUNCTION("""COMPUTED_VALUE"""),4.0)</f>
        <v>4</v>
      </c>
      <c r="H528" s="8" t="str">
        <f>IFERROR(__xludf.DUMMYFUNCTION("""COMPUTED_VALUE"""),"CRLN")</f>
        <v>CRLN</v>
      </c>
    </row>
    <row r="529">
      <c r="A529" s="8" t="str">
        <f>IFERROR(__xludf.DUMMYFUNCTION("""COMPUTED_VALUE"""),"FLE862")</f>
        <v>FLE862</v>
      </c>
      <c r="B529" s="8" t="str">
        <f>IFERROR(__xludf.DUMMYFUNCTION("""COMPUTED_VALUE"""),"RUN-FLMP_2022-01-20_RFR-067")</f>
        <v>RUN-FLMP_2022-01-20_RFR-067</v>
      </c>
      <c r="C529" s="10">
        <f>VLOOKUP(B529,'Run Reconcile'!A$2:B1579,2,FALSE)</f>
        <v>44581</v>
      </c>
      <c r="D529" s="14">
        <f>IFERROR(__xludf.DUMMYFUNCTION("""COMPUTED_VALUE"""),44581.0)</f>
        <v>44581</v>
      </c>
      <c r="E529" s="15">
        <f>IFERROR(__xludf.DUMMYFUNCTION("""COMPUTED_VALUE"""),0.33236111111182254)</f>
        <v>0.3323611111</v>
      </c>
      <c r="F529" s="8" t="str">
        <f>IFERROR(__xludf.DUMMYFUNCTION("""COMPUTED_VALUE"""),"Negative")</f>
        <v>Negative</v>
      </c>
      <c r="G529" s="16">
        <f>IFERROR(__xludf.DUMMYFUNCTION("""COMPUTED_VALUE"""),3.0)</f>
        <v>3</v>
      </c>
      <c r="H529" s="8" t="str">
        <f>IFERROR(__xludf.DUMMYFUNCTION("""COMPUTED_VALUE"""),"CRLN")</f>
        <v>CRLN</v>
      </c>
    </row>
    <row r="530">
      <c r="A530" s="8" t="str">
        <f>IFERROR(__xludf.DUMMYFUNCTION("""COMPUTED_VALUE"""),"FLE875")</f>
        <v>FLE875</v>
      </c>
      <c r="B530" s="8" t="str">
        <f>IFERROR(__xludf.DUMMYFUNCTION("""COMPUTED_VALUE"""),"RUN-FLMP_2022-01-20_RFR-067")</f>
        <v>RUN-FLMP_2022-01-20_RFR-067</v>
      </c>
      <c r="C530" s="10">
        <f>VLOOKUP(B530,'Run Reconcile'!A$2:B1579,2,FALSE)</f>
        <v>44581</v>
      </c>
      <c r="D530" s="14">
        <f>IFERROR(__xludf.DUMMYFUNCTION("""COMPUTED_VALUE"""),44581.0)</f>
        <v>44581</v>
      </c>
      <c r="E530" s="15">
        <f>IFERROR(__xludf.DUMMYFUNCTION("""COMPUTED_VALUE"""),0.3344791666677338)</f>
        <v>0.3344791667</v>
      </c>
      <c r="F530" s="8" t="str">
        <f>IFERROR(__xludf.DUMMYFUNCTION("""COMPUTED_VALUE"""),"Negative")</f>
        <v>Negative</v>
      </c>
      <c r="G530" s="16">
        <f>IFERROR(__xludf.DUMMYFUNCTION("""COMPUTED_VALUE"""),4.0)</f>
        <v>4</v>
      </c>
      <c r="H530" s="8" t="str">
        <f>IFERROR(__xludf.DUMMYFUNCTION("""COMPUTED_VALUE"""),"CRLN")</f>
        <v>CRLN</v>
      </c>
    </row>
    <row r="531">
      <c r="A531" s="8" t="str">
        <f>IFERROR(__xludf.DUMMYFUNCTION("""COMPUTED_VALUE"""),"FLB5840")</f>
        <v>FLB5840</v>
      </c>
      <c r="B531" s="8" t="str">
        <f>IFERROR(__xludf.DUMMYFUNCTION("""COMPUTED_VALUE"""),"RUN-FLMP_2022-01-20_RFR-067")</f>
        <v>RUN-FLMP_2022-01-20_RFR-067</v>
      </c>
      <c r="C531" s="10">
        <f>VLOOKUP(B531,'Run Reconcile'!A$2:B1579,2,FALSE)</f>
        <v>44581</v>
      </c>
      <c r="D531" s="14">
        <f>IFERROR(__xludf.DUMMYFUNCTION("""COMPUTED_VALUE"""),44581.0)</f>
        <v>44581</v>
      </c>
      <c r="E531" s="15">
        <f>IFERROR(__xludf.DUMMYFUNCTION("""COMPUTED_VALUE"""),0.3423958333332848)</f>
        <v>0.3423958333</v>
      </c>
      <c r="F531" s="8" t="str">
        <f>IFERROR(__xludf.DUMMYFUNCTION("""COMPUTED_VALUE"""),"Negative")</f>
        <v>Negative</v>
      </c>
      <c r="G531" s="16">
        <f>IFERROR(__xludf.DUMMYFUNCTION("""COMPUTED_VALUE"""),5.0)</f>
        <v>5</v>
      </c>
      <c r="H531" s="8" t="str">
        <f>IFERROR(__xludf.DUMMYFUNCTION("""COMPUTED_VALUE"""),"CRLN")</f>
        <v>CRLN</v>
      </c>
    </row>
    <row r="532">
      <c r="A532" s="8" t="str">
        <f>IFERROR(__xludf.DUMMYFUNCTION("""COMPUTED_VALUE"""),"FLT1447")</f>
        <v>FLT1447</v>
      </c>
      <c r="B532" s="8" t="str">
        <f>IFERROR(__xludf.DUMMYFUNCTION("""COMPUTED_VALUE"""),"RUN-FLMP_2022-01-20_RFR-067")</f>
        <v>RUN-FLMP_2022-01-20_RFR-067</v>
      </c>
      <c r="C532" s="10">
        <f>VLOOKUP(B532,'Run Reconcile'!A$2:B1579,2,FALSE)</f>
        <v>44581</v>
      </c>
      <c r="D532" s="14">
        <f>IFERROR(__xludf.DUMMYFUNCTION("""COMPUTED_VALUE"""),44581.0)</f>
        <v>44581</v>
      </c>
      <c r="E532" s="15">
        <f>IFERROR(__xludf.DUMMYFUNCTION("""COMPUTED_VALUE"""),0.3449421296281798)</f>
        <v>0.3449421296</v>
      </c>
      <c r="F532" s="8" t="str">
        <f>IFERROR(__xludf.DUMMYFUNCTION("""COMPUTED_VALUE"""),"Negative")</f>
        <v>Negative</v>
      </c>
      <c r="G532" s="16">
        <f>IFERROR(__xludf.DUMMYFUNCTION("""COMPUTED_VALUE"""),4.0)</f>
        <v>4</v>
      </c>
      <c r="H532" s="8" t="str">
        <f>IFERROR(__xludf.DUMMYFUNCTION("""COMPUTED_VALUE"""),"CRLN")</f>
        <v>CRLN</v>
      </c>
    </row>
    <row r="533">
      <c r="A533" s="8" t="str">
        <f>IFERROR(__xludf.DUMMYFUNCTION("""COMPUTED_VALUE"""),"FLB7397")</f>
        <v>FLB7397</v>
      </c>
      <c r="B533" s="8" t="str">
        <f>IFERROR(__xludf.DUMMYFUNCTION("""COMPUTED_VALUE"""),"RUN-FLMP_2022-01-20_RFR-067")</f>
        <v>RUN-FLMP_2022-01-20_RFR-067</v>
      </c>
      <c r="C533" s="10">
        <f>VLOOKUP(B533,'Run Reconcile'!A$2:B1579,2,FALSE)</f>
        <v>44581</v>
      </c>
      <c r="D533" s="14">
        <f>IFERROR(__xludf.DUMMYFUNCTION("""COMPUTED_VALUE"""),44581.0)</f>
        <v>44581</v>
      </c>
      <c r="E533" s="15">
        <f>IFERROR(__xludf.DUMMYFUNCTION("""COMPUTED_VALUE"""),0.34500000000116415)</f>
        <v>0.345</v>
      </c>
      <c r="F533" s="8" t="str">
        <f>IFERROR(__xludf.DUMMYFUNCTION("""COMPUTED_VALUE"""),"Negative")</f>
        <v>Negative</v>
      </c>
      <c r="G533" s="16">
        <f>IFERROR(__xludf.DUMMYFUNCTION("""COMPUTED_VALUE"""),4.0)</f>
        <v>4</v>
      </c>
      <c r="H533" s="8" t="str">
        <f>IFERROR(__xludf.DUMMYFUNCTION("""COMPUTED_VALUE"""),"CRLN")</f>
        <v>CRLN</v>
      </c>
    </row>
    <row r="534">
      <c r="A534" s="8" t="str">
        <f>IFERROR(__xludf.DUMMYFUNCTION("""COMPUTED_VALUE"""),"FLT1526")</f>
        <v>FLT1526</v>
      </c>
      <c r="B534" s="8" t="str">
        <f>IFERROR(__xludf.DUMMYFUNCTION("""COMPUTED_VALUE"""),"RUN-FLMP_2022-01-20_RFR-067")</f>
        <v>RUN-FLMP_2022-01-20_RFR-067</v>
      </c>
      <c r="C534" s="10">
        <f>VLOOKUP(B534,'Run Reconcile'!A$2:B1579,2,FALSE)</f>
        <v>44581</v>
      </c>
      <c r="D534" s="14">
        <f>IFERROR(__xludf.DUMMYFUNCTION("""COMPUTED_VALUE"""),44581.0)</f>
        <v>44581</v>
      </c>
      <c r="E534" s="15">
        <f>IFERROR(__xludf.DUMMYFUNCTION("""COMPUTED_VALUE"""),0.34540509259386454)</f>
        <v>0.3454050926</v>
      </c>
      <c r="F534" s="8" t="str">
        <f>IFERROR(__xludf.DUMMYFUNCTION("""COMPUTED_VALUE"""),"Negative")</f>
        <v>Negative</v>
      </c>
      <c r="G534" s="16">
        <f>IFERROR(__xludf.DUMMYFUNCTION("""COMPUTED_VALUE"""),4.0)</f>
        <v>4</v>
      </c>
      <c r="H534" s="8" t="str">
        <f>IFERROR(__xludf.DUMMYFUNCTION("""COMPUTED_VALUE"""),"CRLN")</f>
        <v>CRLN</v>
      </c>
    </row>
    <row r="535">
      <c r="A535" s="8" t="str">
        <f>IFERROR(__xludf.DUMMYFUNCTION("""COMPUTED_VALUE"""),"FLE924")</f>
        <v>FLE924</v>
      </c>
      <c r="B535" s="8" t="str">
        <f>IFERROR(__xludf.DUMMYFUNCTION("""COMPUTED_VALUE"""),"RUN-FLMP_2022-01-20_RFR-067")</f>
        <v>RUN-FLMP_2022-01-20_RFR-067</v>
      </c>
      <c r="C535" s="10">
        <f>VLOOKUP(B535,'Run Reconcile'!A$2:B1579,2,FALSE)</f>
        <v>44581</v>
      </c>
      <c r="D535" s="14">
        <f>IFERROR(__xludf.DUMMYFUNCTION("""COMPUTED_VALUE"""),44581.0)</f>
        <v>44581</v>
      </c>
      <c r="E535" s="15">
        <f>IFERROR(__xludf.DUMMYFUNCTION("""COMPUTED_VALUE"""),0.34583333333284827)</f>
        <v>0.3458333333</v>
      </c>
      <c r="F535" s="8" t="str">
        <f>IFERROR(__xludf.DUMMYFUNCTION("""COMPUTED_VALUE"""),"Negative")</f>
        <v>Negative</v>
      </c>
      <c r="G535" s="16">
        <f>IFERROR(__xludf.DUMMYFUNCTION("""COMPUTED_VALUE"""),2.0)</f>
        <v>2</v>
      </c>
      <c r="H535" s="8" t="str">
        <f>IFERROR(__xludf.DUMMYFUNCTION("""COMPUTED_VALUE"""),"CRLN")</f>
        <v>CRLN</v>
      </c>
    </row>
    <row r="536">
      <c r="A536" s="8" t="str">
        <f>IFERROR(__xludf.DUMMYFUNCTION("""COMPUTED_VALUE"""),"FLB5816")</f>
        <v>FLB5816</v>
      </c>
      <c r="B536" s="8" t="str">
        <f>IFERROR(__xludf.DUMMYFUNCTION("""COMPUTED_VALUE"""),"RUN-FLMP_2022-01-20_RFR-067")</f>
        <v>RUN-FLMP_2022-01-20_RFR-067</v>
      </c>
      <c r="C536" s="10">
        <f>VLOOKUP(B536,'Run Reconcile'!A$2:B1579,2,FALSE)</f>
        <v>44581</v>
      </c>
      <c r="D536" s="14">
        <f>IFERROR(__xludf.DUMMYFUNCTION("""COMPUTED_VALUE"""),44581.0)</f>
        <v>44581</v>
      </c>
      <c r="E536" s="15">
        <f>IFERROR(__xludf.DUMMYFUNCTION("""COMPUTED_VALUE"""),0.35129629629591363)</f>
        <v>0.3512962963</v>
      </c>
      <c r="F536" s="8" t="str">
        <f>IFERROR(__xludf.DUMMYFUNCTION("""COMPUTED_VALUE"""),"Negative")</f>
        <v>Negative</v>
      </c>
      <c r="G536" s="16">
        <f>IFERROR(__xludf.DUMMYFUNCTION("""COMPUTED_VALUE"""),1.0)</f>
        <v>1</v>
      </c>
      <c r="H536" s="8" t="str">
        <f>IFERROR(__xludf.DUMMYFUNCTION("""COMPUTED_VALUE"""),"FLSP")</f>
        <v>FLSP</v>
      </c>
    </row>
    <row r="537">
      <c r="A537" s="8" t="str">
        <f>IFERROR(__xludf.DUMMYFUNCTION("""COMPUTED_VALUE"""),"FLB4917")</f>
        <v>FLB4917</v>
      </c>
      <c r="B537" s="8" t="str">
        <f>IFERROR(__xludf.DUMMYFUNCTION("""COMPUTED_VALUE"""),"RUN-FLMP_2022-01-20_RFR-067")</f>
        <v>RUN-FLMP_2022-01-20_RFR-067</v>
      </c>
      <c r="C537" s="10">
        <f>VLOOKUP(B537,'Run Reconcile'!A$2:B1579,2,FALSE)</f>
        <v>44581</v>
      </c>
      <c r="D537" s="14">
        <f>IFERROR(__xludf.DUMMYFUNCTION("""COMPUTED_VALUE"""),44581.0)</f>
        <v>44581</v>
      </c>
      <c r="E537" s="15">
        <f>IFERROR(__xludf.DUMMYFUNCTION("""COMPUTED_VALUE"""),0.3527314814818965)</f>
        <v>0.3527314815</v>
      </c>
      <c r="F537" s="8" t="str">
        <f>IFERROR(__xludf.DUMMYFUNCTION("""COMPUTED_VALUE"""),"Negative")</f>
        <v>Negative</v>
      </c>
      <c r="G537" s="16">
        <f>IFERROR(__xludf.DUMMYFUNCTION("""COMPUTED_VALUE"""),1.0)</f>
        <v>1</v>
      </c>
      <c r="H537" s="8" t="str">
        <f>IFERROR(__xludf.DUMMYFUNCTION("""COMPUTED_VALUE"""),"CRLN")</f>
        <v>CRLN</v>
      </c>
    </row>
    <row r="538">
      <c r="A538" s="8" t="str">
        <f>IFERROR(__xludf.DUMMYFUNCTION("""COMPUTED_VALUE"""),"FLB5875")</f>
        <v>FLB5875</v>
      </c>
      <c r="B538" s="8" t="str">
        <f>IFERROR(__xludf.DUMMYFUNCTION("""COMPUTED_VALUE"""),"RUN-FLMP_2022-01-20_RFR-067")</f>
        <v>RUN-FLMP_2022-01-20_RFR-067</v>
      </c>
      <c r="C538" s="10">
        <f>VLOOKUP(B538,'Run Reconcile'!A$2:B1579,2,FALSE)</f>
        <v>44581</v>
      </c>
      <c r="D538" s="14">
        <f>IFERROR(__xludf.DUMMYFUNCTION("""COMPUTED_VALUE"""),44581.0)</f>
        <v>44581</v>
      </c>
      <c r="E538" s="15">
        <f>IFERROR(__xludf.DUMMYFUNCTION("""COMPUTED_VALUE"""),0.35310185185153387)</f>
        <v>0.3531018519</v>
      </c>
      <c r="F538" s="8" t="str">
        <f>IFERROR(__xludf.DUMMYFUNCTION("""COMPUTED_VALUE"""),"Negative")</f>
        <v>Negative</v>
      </c>
      <c r="G538" s="16">
        <f>IFERROR(__xludf.DUMMYFUNCTION("""COMPUTED_VALUE"""),2.0)</f>
        <v>2</v>
      </c>
      <c r="H538" s="8" t="str">
        <f>IFERROR(__xludf.DUMMYFUNCTION("""COMPUTED_VALUE"""),"CRLN")</f>
        <v>CRLN</v>
      </c>
    </row>
    <row r="539">
      <c r="A539" s="8" t="str">
        <f>IFERROR(__xludf.DUMMYFUNCTION("""COMPUTED_VALUE"""),"FLB5722")</f>
        <v>FLB5722</v>
      </c>
      <c r="B539" s="8" t="str">
        <f>IFERROR(__xludf.DUMMYFUNCTION("""COMPUTED_VALUE"""),"RUN-FLMP_2022-01-20_RFR-067")</f>
        <v>RUN-FLMP_2022-01-20_RFR-067</v>
      </c>
      <c r="C539" s="10">
        <f>VLOOKUP(B539,'Run Reconcile'!A$2:B1579,2,FALSE)</f>
        <v>44581</v>
      </c>
      <c r="D539" s="14">
        <f>IFERROR(__xludf.DUMMYFUNCTION("""COMPUTED_VALUE"""),44581.0)</f>
        <v>44581</v>
      </c>
      <c r="E539" s="15">
        <f>IFERROR(__xludf.DUMMYFUNCTION("""COMPUTED_VALUE"""),0.35335648148247856)</f>
        <v>0.3533564815</v>
      </c>
      <c r="F539" s="8" t="str">
        <f>IFERROR(__xludf.DUMMYFUNCTION("""COMPUTED_VALUE"""),"Negative")</f>
        <v>Negative</v>
      </c>
      <c r="G539" s="16">
        <f>IFERROR(__xludf.DUMMYFUNCTION("""COMPUTED_VALUE"""),2.0)</f>
        <v>2</v>
      </c>
      <c r="H539" s="8" t="str">
        <f>IFERROR(__xludf.DUMMYFUNCTION("""COMPUTED_VALUE"""),"CRLN")</f>
        <v>CRLN</v>
      </c>
    </row>
    <row r="540">
      <c r="A540" s="8" t="str">
        <f>IFERROR(__xludf.DUMMYFUNCTION("""COMPUTED_VALUE"""),"FLB5832")</f>
        <v>FLB5832</v>
      </c>
      <c r="B540" s="8" t="str">
        <f>IFERROR(__xludf.DUMMYFUNCTION("""COMPUTED_VALUE"""),"RUN-FLMP_2022-01-20_RFR-067")</f>
        <v>RUN-FLMP_2022-01-20_RFR-067</v>
      </c>
      <c r="C540" s="10">
        <f>VLOOKUP(B540,'Run Reconcile'!A$2:B1579,2,FALSE)</f>
        <v>44581</v>
      </c>
      <c r="D540" s="14">
        <f>IFERROR(__xludf.DUMMYFUNCTION("""COMPUTED_VALUE"""),44581.0)</f>
        <v>44581</v>
      </c>
      <c r="E540" s="15">
        <f>IFERROR(__xludf.DUMMYFUNCTION("""COMPUTED_VALUE"""),0.36004629629678675)</f>
        <v>0.3600462963</v>
      </c>
      <c r="F540" s="8" t="str">
        <f>IFERROR(__xludf.DUMMYFUNCTION("""COMPUTED_VALUE"""),"Negative")</f>
        <v>Negative</v>
      </c>
      <c r="G540" s="16">
        <f>IFERROR(__xludf.DUMMYFUNCTION("""COMPUTED_VALUE"""),1.0)</f>
        <v>1</v>
      </c>
      <c r="H540" s="8" t="str">
        <f>IFERROR(__xludf.DUMMYFUNCTION("""COMPUTED_VALUE"""),"CRLN")</f>
        <v>CRLN</v>
      </c>
    </row>
    <row r="541">
      <c r="A541" s="8" t="str">
        <f>IFERROR(__xludf.DUMMYFUNCTION("""COMPUTED_VALUE"""),"FLE874")</f>
        <v>FLE874</v>
      </c>
      <c r="B541" s="8" t="str">
        <f>IFERROR(__xludf.DUMMYFUNCTION("""COMPUTED_VALUE"""),"RUN-FLMP_2022-01-20_RFR-067")</f>
        <v>RUN-FLMP_2022-01-20_RFR-067</v>
      </c>
      <c r="C541" s="10">
        <f>VLOOKUP(B541,'Run Reconcile'!A$2:B1579,2,FALSE)</f>
        <v>44581</v>
      </c>
      <c r="D541" s="14">
        <f>IFERROR(__xludf.DUMMYFUNCTION("""COMPUTED_VALUE"""),44581.0)</f>
        <v>44581</v>
      </c>
      <c r="E541" s="15">
        <f>IFERROR(__xludf.DUMMYFUNCTION("""COMPUTED_VALUE"""),0.37523148148102337)</f>
        <v>0.3752314815</v>
      </c>
      <c r="F541" s="8" t="str">
        <f>IFERROR(__xludf.DUMMYFUNCTION("""COMPUTED_VALUE"""),"Negative")</f>
        <v>Negative</v>
      </c>
      <c r="G541" s="16">
        <f>IFERROR(__xludf.DUMMYFUNCTION("""COMPUTED_VALUE"""),3.0)</f>
        <v>3</v>
      </c>
      <c r="H541" s="8" t="str">
        <f>IFERROR(__xludf.DUMMYFUNCTION("""COMPUTED_VALUE"""),"CRLN")</f>
        <v>CRLN</v>
      </c>
    </row>
    <row r="542">
      <c r="A542" s="8" t="str">
        <f>IFERROR(__xludf.DUMMYFUNCTION("""COMPUTED_VALUE"""),"FLB5403")</f>
        <v>FLB5403</v>
      </c>
      <c r="B542" s="8" t="str">
        <f>IFERROR(__xludf.DUMMYFUNCTION("""COMPUTED_VALUE"""),"RUN-FLMP_2022-01-20_RFR-067")</f>
        <v>RUN-FLMP_2022-01-20_RFR-067</v>
      </c>
      <c r="C542" s="10">
        <f>VLOOKUP(B542,'Run Reconcile'!A$2:B1579,2,FALSE)</f>
        <v>44581</v>
      </c>
      <c r="D542" s="14">
        <f>IFERROR(__xludf.DUMMYFUNCTION("""COMPUTED_VALUE"""),44581.0)</f>
        <v>44581</v>
      </c>
      <c r="E542" s="15">
        <f>IFERROR(__xludf.DUMMYFUNCTION("""COMPUTED_VALUE"""),0.43387731481561786)</f>
        <v>0.4338773148</v>
      </c>
      <c r="F542" s="8" t="str">
        <f>IFERROR(__xludf.DUMMYFUNCTION("""COMPUTED_VALUE"""),"Negative")</f>
        <v>Negative</v>
      </c>
      <c r="G542" s="16">
        <f>IFERROR(__xludf.DUMMYFUNCTION("""COMPUTED_VALUE"""),4.0)</f>
        <v>4</v>
      </c>
      <c r="H542" s="8" t="str">
        <f>IFERROR(__xludf.DUMMYFUNCTION("""COMPUTED_VALUE"""),"CRLN")</f>
        <v>CRLN</v>
      </c>
    </row>
    <row r="543">
      <c r="A543" s="8" t="str">
        <f>IFERROR(__xludf.DUMMYFUNCTION("""COMPUTED_VALUE"""),"MA33")</f>
        <v>MA33</v>
      </c>
      <c r="B543" s="8" t="str">
        <f>IFERROR(__xludf.DUMMYFUNCTION("""COMPUTED_VALUE"""),"RUN-FLMP_2022-01-20_RFR-070")</f>
        <v>RUN-FLMP_2022-01-20_RFR-070</v>
      </c>
      <c r="C543" s="10">
        <f>VLOOKUP(B543,'Run Reconcile'!A$2:B1579,2,FALSE)</f>
        <v>44581</v>
      </c>
      <c r="D543" s="14">
        <f>IFERROR(__xludf.DUMMYFUNCTION("""COMPUTED_VALUE"""),44581.0)</f>
        <v>44581</v>
      </c>
      <c r="E543" s="15">
        <f>IFERROR(__xludf.DUMMYFUNCTION("""COMPUTED_VALUE"""),0.7015856481484661)</f>
        <v>0.7015856481</v>
      </c>
      <c r="F543" s="8" t="str">
        <f>IFERROR(__xludf.DUMMYFUNCTION("""COMPUTED_VALUE"""),"Negative")</f>
        <v>Negative</v>
      </c>
      <c r="G543" s="16">
        <f>IFERROR(__xludf.DUMMYFUNCTION("""COMPUTED_VALUE"""),1.0)</f>
        <v>1</v>
      </c>
      <c r="H543" s="8" t="str">
        <f>IFERROR(__xludf.DUMMYFUNCTION("""COMPUTED_VALUE"""),"FLSP")</f>
        <v>FLSP</v>
      </c>
    </row>
    <row r="544">
      <c r="A544" s="8" t="str">
        <f>IFERROR(__xludf.DUMMYFUNCTION("""COMPUTED_VALUE"""),"MA2")</f>
        <v>MA2</v>
      </c>
      <c r="B544" s="8" t="str">
        <f>IFERROR(__xludf.DUMMYFUNCTION("""COMPUTED_VALUE"""),"RUN-FLMP_2022-01-20_RFR-070")</f>
        <v>RUN-FLMP_2022-01-20_RFR-070</v>
      </c>
      <c r="C544" s="10">
        <f>VLOOKUP(B544,'Run Reconcile'!A$2:B1579,2,FALSE)</f>
        <v>44581</v>
      </c>
      <c r="D544" s="14">
        <f>IFERROR(__xludf.DUMMYFUNCTION("""COMPUTED_VALUE"""),44581.0)</f>
        <v>44581</v>
      </c>
      <c r="E544" s="15">
        <f>IFERROR(__xludf.DUMMYFUNCTION("""COMPUTED_VALUE"""),0.7571064814801503)</f>
        <v>0.7571064815</v>
      </c>
      <c r="F544" s="8" t="str">
        <f>IFERROR(__xludf.DUMMYFUNCTION("""COMPUTED_VALUE"""),"Negative")</f>
        <v>Negative</v>
      </c>
      <c r="G544" s="16">
        <f>IFERROR(__xludf.DUMMYFUNCTION("""COMPUTED_VALUE"""),1.0)</f>
        <v>1</v>
      </c>
      <c r="H544" s="8" t="str">
        <f>IFERROR(__xludf.DUMMYFUNCTION("""COMPUTED_VALUE"""),"FLSP")</f>
        <v>FLSP</v>
      </c>
    </row>
    <row r="545">
      <c r="A545" s="8" t="str">
        <f>IFERROR(__xludf.DUMMYFUNCTION("""COMPUTED_VALUE"""),"MA29")</f>
        <v>MA29</v>
      </c>
      <c r="B545" s="8" t="str">
        <f>IFERROR(__xludf.DUMMYFUNCTION("""COMPUTED_VALUE"""),"RUN-FLMP_2022-01-20_RFR-070")</f>
        <v>RUN-FLMP_2022-01-20_RFR-070</v>
      </c>
      <c r="C545" s="10">
        <f>VLOOKUP(B545,'Run Reconcile'!A$2:B1579,2,FALSE)</f>
        <v>44581</v>
      </c>
      <c r="D545" s="14">
        <f>IFERROR(__xludf.DUMMYFUNCTION("""COMPUTED_VALUE"""),44581.0)</f>
        <v>44581</v>
      </c>
      <c r="E545" s="15">
        <f>IFERROR(__xludf.DUMMYFUNCTION("""COMPUTED_VALUE"""),0.7574189814804413)</f>
        <v>0.7574189815</v>
      </c>
      <c r="F545" s="8" t="str">
        <f>IFERROR(__xludf.DUMMYFUNCTION("""COMPUTED_VALUE"""),"Negative")</f>
        <v>Negative</v>
      </c>
      <c r="G545" s="16">
        <f>IFERROR(__xludf.DUMMYFUNCTION("""COMPUTED_VALUE"""),1.0)</f>
        <v>1</v>
      </c>
      <c r="H545" s="8" t="str">
        <f>IFERROR(__xludf.DUMMYFUNCTION("""COMPUTED_VALUE"""),"FLSP")</f>
        <v>FLSP</v>
      </c>
    </row>
    <row r="546">
      <c r="A546" s="8" t="str">
        <f>IFERROR(__xludf.DUMMYFUNCTION("""COMPUTED_VALUE"""),"MA19")</f>
        <v>MA19</v>
      </c>
      <c r="B546" s="8" t="str">
        <f>IFERROR(__xludf.DUMMYFUNCTION("""COMPUTED_VALUE"""),"RUN-FLMP_2022-01-22_RFR-071")</f>
        <v>RUN-FLMP_2022-01-22_RFR-071</v>
      </c>
      <c r="C546" s="10">
        <f>VLOOKUP(B546,'Run Reconcile'!A$2:B1579,2,FALSE)</f>
        <v>44583</v>
      </c>
      <c r="D546" s="14">
        <f>IFERROR(__xludf.DUMMYFUNCTION("""COMPUTED_VALUE"""),44583.0)</f>
        <v>44583</v>
      </c>
      <c r="E546" s="15">
        <f>IFERROR(__xludf.DUMMYFUNCTION("""COMPUTED_VALUE"""),0.4000694444439432)</f>
        <v>0.4000694444</v>
      </c>
      <c r="F546" s="8" t="str">
        <f>IFERROR(__xludf.DUMMYFUNCTION("""COMPUTED_VALUE"""),"Negative")</f>
        <v>Negative</v>
      </c>
      <c r="G546" s="16">
        <f>IFERROR(__xludf.DUMMYFUNCTION("""COMPUTED_VALUE"""),1.0)</f>
        <v>1</v>
      </c>
      <c r="H546" s="8" t="str">
        <f>IFERROR(__xludf.DUMMYFUNCTION("""COMPUTED_VALUE"""),"FLSP")</f>
        <v>FLSP</v>
      </c>
    </row>
    <row r="547">
      <c r="A547" s="8" t="str">
        <f>IFERROR(__xludf.DUMMYFUNCTION("""COMPUTED_VALUE"""),"MA41")</f>
        <v>MA41</v>
      </c>
      <c r="B547" s="8" t="str">
        <f>IFERROR(__xludf.DUMMYFUNCTION("""COMPUTED_VALUE"""),"RUN-FLMP_2022-01-22_RFR-071")</f>
        <v>RUN-FLMP_2022-01-22_RFR-071</v>
      </c>
      <c r="C547" s="10">
        <f>VLOOKUP(B547,'Run Reconcile'!A$2:B1579,2,FALSE)</f>
        <v>44583</v>
      </c>
      <c r="D547" s="14">
        <f>IFERROR(__xludf.DUMMYFUNCTION("""COMPUTED_VALUE"""),44583.0)</f>
        <v>44583</v>
      </c>
      <c r="E547" s="15">
        <f>IFERROR(__xludf.DUMMYFUNCTION("""COMPUTED_VALUE"""),0.40045138889036025)</f>
        <v>0.4004513889</v>
      </c>
      <c r="F547" s="8" t="str">
        <f>IFERROR(__xludf.DUMMYFUNCTION("""COMPUTED_VALUE"""),"Negative")</f>
        <v>Negative</v>
      </c>
      <c r="G547" s="16">
        <f>IFERROR(__xludf.DUMMYFUNCTION("""COMPUTED_VALUE"""),1.0)</f>
        <v>1</v>
      </c>
      <c r="H547" s="8" t="str">
        <f>IFERROR(__xludf.DUMMYFUNCTION("""COMPUTED_VALUE"""),"FLSP")</f>
        <v>FLSP</v>
      </c>
    </row>
    <row r="548">
      <c r="A548" s="8" t="str">
        <f>IFERROR(__xludf.DUMMYFUNCTION("""COMPUTED_VALUE"""),"MA86")</f>
        <v>MA86</v>
      </c>
      <c r="B548" s="8" t="str">
        <f>IFERROR(__xludf.DUMMYFUNCTION("""COMPUTED_VALUE"""),"RUN-FLMP_2022-01-22_RFR-071")</f>
        <v>RUN-FLMP_2022-01-22_RFR-071</v>
      </c>
      <c r="C548" s="10">
        <f>VLOOKUP(B548,'Run Reconcile'!A$2:B1579,2,FALSE)</f>
        <v>44583</v>
      </c>
      <c r="D548" s="14">
        <f>IFERROR(__xludf.DUMMYFUNCTION("""COMPUTED_VALUE"""),44583.0)</f>
        <v>44583</v>
      </c>
      <c r="E548" s="15">
        <f>IFERROR(__xludf.DUMMYFUNCTION("""COMPUTED_VALUE"""),0.40077546296379296)</f>
        <v>0.400775463</v>
      </c>
      <c r="F548" s="8" t="str">
        <f>IFERROR(__xludf.DUMMYFUNCTION("""COMPUTED_VALUE"""),"Negative")</f>
        <v>Negative</v>
      </c>
      <c r="G548" s="16">
        <f>IFERROR(__xludf.DUMMYFUNCTION("""COMPUTED_VALUE"""),1.0)</f>
        <v>1</v>
      </c>
      <c r="H548" s="8" t="str">
        <f>IFERROR(__xludf.DUMMYFUNCTION("""COMPUTED_VALUE"""),"FLSP")</f>
        <v>FLSP</v>
      </c>
    </row>
    <row r="549">
      <c r="A549" s="8" t="str">
        <f>IFERROR(__xludf.DUMMYFUNCTION("""COMPUTED_VALUE"""),"FLB5726")</f>
        <v>FLB5726</v>
      </c>
      <c r="B549" s="8" t="str">
        <f>IFERROR(__xludf.DUMMYFUNCTION("""COMPUTED_VALUE"""),"RUN-FLMP_2022-01-24_RFR-072")</f>
        <v>RUN-FLMP_2022-01-24_RFR-072</v>
      </c>
      <c r="C549" s="10">
        <f>VLOOKUP(B549,'Run Reconcile'!A$2:B1579,2,FALSE)</f>
        <v>44585</v>
      </c>
      <c r="D549" s="14">
        <f>IFERROR(__xludf.DUMMYFUNCTION("""COMPUTED_VALUE"""),44584.0)</f>
        <v>44584</v>
      </c>
      <c r="E549" s="15">
        <f>IFERROR(__xludf.DUMMYFUNCTION("""COMPUTED_VALUE"""),0.4673958333332848)</f>
        <v>0.4673958333</v>
      </c>
      <c r="F549" s="8" t="str">
        <f>IFERROR(__xludf.DUMMYFUNCTION("""COMPUTED_VALUE"""),"Negative")</f>
        <v>Negative</v>
      </c>
      <c r="G549" s="16">
        <f>IFERROR(__xludf.DUMMYFUNCTION("""COMPUTED_VALUE"""),1.0)</f>
        <v>1</v>
      </c>
      <c r="H549" s="8" t="str">
        <f>IFERROR(__xludf.DUMMYFUNCTION("""COMPUTED_VALUE"""),"CRLN")</f>
        <v>CRLN</v>
      </c>
    </row>
    <row r="550">
      <c r="A550" s="8" t="str">
        <f>IFERROR(__xludf.DUMMYFUNCTION("""COMPUTED_VALUE"""),"FLB7347")</f>
        <v>FLB7347</v>
      </c>
      <c r="B550" s="8" t="str">
        <f>IFERROR(__xludf.DUMMYFUNCTION("""COMPUTED_VALUE"""),"RUN-FLMP_2022-01-24_RFR-072")</f>
        <v>RUN-FLMP_2022-01-24_RFR-072</v>
      </c>
      <c r="C550" s="10">
        <f>VLOOKUP(B550,'Run Reconcile'!A$2:B1579,2,FALSE)</f>
        <v>44585</v>
      </c>
      <c r="D550" s="14">
        <f>IFERROR(__xludf.DUMMYFUNCTION("""COMPUTED_VALUE"""),44584.0)</f>
        <v>44584</v>
      </c>
      <c r="E550" s="15">
        <f>IFERROR(__xludf.DUMMYFUNCTION("""COMPUTED_VALUE"""),0.6593287037030677)</f>
        <v>0.6593287037</v>
      </c>
      <c r="F550" s="8" t="str">
        <f>IFERROR(__xludf.DUMMYFUNCTION("""COMPUTED_VALUE"""),"Negative")</f>
        <v>Negative</v>
      </c>
      <c r="G550" s="16">
        <f>IFERROR(__xludf.DUMMYFUNCTION("""COMPUTED_VALUE"""),4.0)</f>
        <v>4</v>
      </c>
      <c r="H550" s="8" t="str">
        <f>IFERROR(__xludf.DUMMYFUNCTION("""COMPUTED_VALUE"""),"CRLN")</f>
        <v>CRLN</v>
      </c>
    </row>
    <row r="551">
      <c r="A551" s="8" t="str">
        <f>IFERROR(__xludf.DUMMYFUNCTION("""COMPUTED_VALUE"""),"FLT1430")</f>
        <v>FLT1430</v>
      </c>
      <c r="B551" s="8" t="str">
        <f>IFERROR(__xludf.DUMMYFUNCTION("""COMPUTED_VALUE"""),"RUN-FLMP_2022-01-24_RFR-072")</f>
        <v>RUN-FLMP_2022-01-24_RFR-072</v>
      </c>
      <c r="C551" s="10">
        <f>VLOOKUP(B551,'Run Reconcile'!A$2:B1579,2,FALSE)</f>
        <v>44585</v>
      </c>
      <c r="D551" s="14">
        <f>IFERROR(__xludf.DUMMYFUNCTION("""COMPUTED_VALUE"""),44584.0)</f>
        <v>44584</v>
      </c>
      <c r="E551" s="15">
        <f>IFERROR(__xludf.DUMMYFUNCTION("""COMPUTED_VALUE"""),0.7070949074077362)</f>
        <v>0.7070949074</v>
      </c>
      <c r="F551" s="8" t="str">
        <f>IFERROR(__xludf.DUMMYFUNCTION("""COMPUTED_VALUE"""),"Negative")</f>
        <v>Negative</v>
      </c>
      <c r="G551" s="16">
        <f>IFERROR(__xludf.DUMMYFUNCTION("""COMPUTED_VALUE"""),1.0)</f>
        <v>1</v>
      </c>
      <c r="H551" s="8" t="str">
        <f>IFERROR(__xludf.DUMMYFUNCTION("""COMPUTED_VALUE"""),"CRLN")</f>
        <v>CRLN</v>
      </c>
    </row>
    <row r="552">
      <c r="A552" s="8" t="str">
        <f>IFERROR(__xludf.DUMMYFUNCTION("""COMPUTED_VALUE"""),"FLT1467")</f>
        <v>FLT1467</v>
      </c>
      <c r="B552" s="8" t="str">
        <f>IFERROR(__xludf.DUMMYFUNCTION("""COMPUTED_VALUE"""),"RUN-FLMP_2022-01-24_RFR-072")</f>
        <v>RUN-FLMP_2022-01-24_RFR-072</v>
      </c>
      <c r="C552" s="10">
        <f>VLOOKUP(B552,'Run Reconcile'!A$2:B1579,2,FALSE)</f>
        <v>44585</v>
      </c>
      <c r="D552" s="14">
        <f>IFERROR(__xludf.DUMMYFUNCTION("""COMPUTED_VALUE"""),44584.0)</f>
        <v>44584</v>
      </c>
      <c r="E552" s="15">
        <f>IFERROR(__xludf.DUMMYFUNCTION("""COMPUTED_VALUE"""),0.7092013888905058)</f>
        <v>0.7092013889</v>
      </c>
      <c r="F552" s="8" t="str">
        <f>IFERROR(__xludf.DUMMYFUNCTION("""COMPUTED_VALUE"""),"Negative")</f>
        <v>Negative</v>
      </c>
      <c r="G552" s="16">
        <f>IFERROR(__xludf.DUMMYFUNCTION("""COMPUTED_VALUE"""),2.0)</f>
        <v>2</v>
      </c>
      <c r="H552" s="8" t="str">
        <f>IFERROR(__xludf.DUMMYFUNCTION("""COMPUTED_VALUE"""),"CRLN")</f>
        <v>CRLN</v>
      </c>
    </row>
    <row r="553">
      <c r="A553" s="8" t="str">
        <f>IFERROR(__xludf.DUMMYFUNCTION("""COMPUTED_VALUE"""),"FLB5821")</f>
        <v>FLB5821</v>
      </c>
      <c r="B553" s="8" t="str">
        <f>IFERROR(__xludf.DUMMYFUNCTION("""COMPUTED_VALUE"""),"RUN-FLMP_2022-01-24_RFR-072")</f>
        <v>RUN-FLMP_2022-01-24_RFR-072</v>
      </c>
      <c r="C553" s="10">
        <f>VLOOKUP(B553,'Run Reconcile'!A$2:B1579,2,FALSE)</f>
        <v>44585</v>
      </c>
      <c r="D553" s="14">
        <f>IFERROR(__xludf.DUMMYFUNCTION("""COMPUTED_VALUE"""),44584.0)</f>
        <v>44584</v>
      </c>
      <c r="E553" s="15">
        <f>IFERROR(__xludf.DUMMYFUNCTION("""COMPUTED_VALUE"""),0.7832986111097853)</f>
        <v>0.7832986111</v>
      </c>
      <c r="F553" s="8" t="str">
        <f>IFERROR(__xludf.DUMMYFUNCTION("""COMPUTED_VALUE"""),"Negative")</f>
        <v>Negative</v>
      </c>
      <c r="G553" s="16">
        <f>IFERROR(__xludf.DUMMYFUNCTION("""COMPUTED_VALUE"""),3.0)</f>
        <v>3</v>
      </c>
      <c r="H553" s="8" t="str">
        <f>IFERROR(__xludf.DUMMYFUNCTION("""COMPUTED_VALUE"""),"CRLN")</f>
        <v>CRLN</v>
      </c>
    </row>
    <row r="554">
      <c r="A554" s="8" t="str">
        <f>IFERROR(__xludf.DUMMYFUNCTION("""COMPUTED_VALUE"""),"FLT1404")</f>
        <v>FLT1404</v>
      </c>
      <c r="B554" s="8" t="str">
        <f>IFERROR(__xludf.DUMMYFUNCTION("""COMPUTED_VALUE"""),"RUN-FLMP_2022-01-24_RFR-072")</f>
        <v>RUN-FLMP_2022-01-24_RFR-072</v>
      </c>
      <c r="C554" s="10">
        <f>VLOOKUP(B554,'Run Reconcile'!A$2:B1579,2,FALSE)</f>
        <v>44585</v>
      </c>
      <c r="D554" s="14">
        <f>IFERROR(__xludf.DUMMYFUNCTION("""COMPUTED_VALUE"""),44584.0)</f>
        <v>44584</v>
      </c>
      <c r="E554" s="15">
        <f>IFERROR(__xludf.DUMMYFUNCTION("""COMPUTED_VALUE"""),0.8174421296280343)</f>
        <v>0.8174421296</v>
      </c>
      <c r="F554" s="8" t="str">
        <f>IFERROR(__xludf.DUMMYFUNCTION("""COMPUTED_VALUE"""),"Negative")</f>
        <v>Negative</v>
      </c>
      <c r="G554" s="16">
        <f>IFERROR(__xludf.DUMMYFUNCTION("""COMPUTED_VALUE"""),2.0)</f>
        <v>2</v>
      </c>
      <c r="H554" s="8" t="str">
        <f>IFERROR(__xludf.DUMMYFUNCTION("""COMPUTED_VALUE"""),"CRLN")</f>
        <v>CRLN</v>
      </c>
    </row>
    <row r="555">
      <c r="A555" s="8" t="str">
        <f>IFERROR(__xludf.DUMMYFUNCTION("""COMPUTED_VALUE"""),"FLB4790")</f>
        <v>FLB4790</v>
      </c>
      <c r="B555" s="8" t="str">
        <f>IFERROR(__xludf.DUMMYFUNCTION("""COMPUTED_VALUE"""),"RUN-FLMP_2022-01-24_RFR-072")</f>
        <v>RUN-FLMP_2022-01-24_RFR-072</v>
      </c>
      <c r="C555" s="10">
        <f>VLOOKUP(B555,'Run Reconcile'!A$2:B1579,2,FALSE)</f>
        <v>44585</v>
      </c>
      <c r="D555" s="14">
        <f>IFERROR(__xludf.DUMMYFUNCTION("""COMPUTED_VALUE"""),44585.0)</f>
        <v>44585</v>
      </c>
      <c r="E555" s="15">
        <f>IFERROR(__xludf.DUMMYFUNCTION("""COMPUTED_VALUE"""),0.22219907407270512)</f>
        <v>0.2221990741</v>
      </c>
      <c r="F555" s="8" t="str">
        <f>IFERROR(__xludf.DUMMYFUNCTION("""COMPUTED_VALUE"""),"Negative")</f>
        <v>Negative</v>
      </c>
      <c r="G555" s="16">
        <f>IFERROR(__xludf.DUMMYFUNCTION("""COMPUTED_VALUE"""),1.0)</f>
        <v>1</v>
      </c>
      <c r="H555" s="8" t="str">
        <f>IFERROR(__xludf.DUMMYFUNCTION("""COMPUTED_VALUE"""),"CRLN")</f>
        <v>CRLN</v>
      </c>
    </row>
    <row r="556">
      <c r="A556" s="8" t="str">
        <f>IFERROR(__xludf.DUMMYFUNCTION("""COMPUTED_VALUE"""),"FLB5775")</f>
        <v>FLB5775</v>
      </c>
      <c r="B556" s="8" t="str">
        <f>IFERROR(__xludf.DUMMYFUNCTION("""COMPUTED_VALUE"""),"RUN-FLMP_2022-01-24_RFR-072")</f>
        <v>RUN-FLMP_2022-01-24_RFR-072</v>
      </c>
      <c r="C556" s="10">
        <f>VLOOKUP(B556,'Run Reconcile'!A$2:B1579,2,FALSE)</f>
        <v>44585</v>
      </c>
      <c r="D556" s="14">
        <f>IFERROR(__xludf.DUMMYFUNCTION("""COMPUTED_VALUE"""),44585.0)</f>
        <v>44585</v>
      </c>
      <c r="E556" s="15">
        <f>IFERROR(__xludf.DUMMYFUNCTION("""COMPUTED_VALUE"""),0.2875347222216078)</f>
        <v>0.2875347222</v>
      </c>
      <c r="F556" s="8" t="str">
        <f>IFERROR(__xludf.DUMMYFUNCTION("""COMPUTED_VALUE"""),"Negative")</f>
        <v>Negative</v>
      </c>
      <c r="G556" s="16">
        <f>IFERROR(__xludf.DUMMYFUNCTION("""COMPUTED_VALUE"""),2.0)</f>
        <v>2</v>
      </c>
      <c r="H556" s="8" t="str">
        <f>IFERROR(__xludf.DUMMYFUNCTION("""COMPUTED_VALUE"""),"CRLN")</f>
        <v>CRLN</v>
      </c>
    </row>
    <row r="557">
      <c r="A557" s="8" t="str">
        <f>IFERROR(__xludf.DUMMYFUNCTION("""COMPUTED_VALUE"""),"FLB5805")</f>
        <v>FLB5805</v>
      </c>
      <c r="B557" s="8" t="str">
        <f>IFERROR(__xludf.DUMMYFUNCTION("""COMPUTED_VALUE"""),"RUN-FLMP_2022-01-24_RFR-072")</f>
        <v>RUN-FLMP_2022-01-24_RFR-072</v>
      </c>
      <c r="C557" s="10">
        <f>VLOOKUP(B557,'Run Reconcile'!A$2:B1579,2,FALSE)</f>
        <v>44585</v>
      </c>
      <c r="D557" s="14">
        <f>IFERROR(__xludf.DUMMYFUNCTION("""COMPUTED_VALUE"""),44585.0)</f>
        <v>44585</v>
      </c>
      <c r="E557" s="15">
        <f>IFERROR(__xludf.DUMMYFUNCTION("""COMPUTED_VALUE"""),0.29766203703547944)</f>
        <v>0.297662037</v>
      </c>
      <c r="F557" s="8" t="str">
        <f>IFERROR(__xludf.DUMMYFUNCTION("""COMPUTED_VALUE"""),"Negative")</f>
        <v>Negative</v>
      </c>
      <c r="G557" s="16">
        <f>IFERROR(__xludf.DUMMYFUNCTION("""COMPUTED_VALUE"""),1.0)</f>
        <v>1</v>
      </c>
      <c r="H557" s="8" t="str">
        <f>IFERROR(__xludf.DUMMYFUNCTION("""COMPUTED_VALUE"""),"CRLN")</f>
        <v>CRLN</v>
      </c>
    </row>
    <row r="558">
      <c r="A558" s="8" t="str">
        <f>IFERROR(__xludf.DUMMYFUNCTION("""COMPUTED_VALUE"""),"FLB5790")</f>
        <v>FLB5790</v>
      </c>
      <c r="B558" s="8" t="str">
        <f>IFERROR(__xludf.DUMMYFUNCTION("""COMPUTED_VALUE"""),"RUN-FLMP_2022-01-24_RFR-072")</f>
        <v>RUN-FLMP_2022-01-24_RFR-072</v>
      </c>
      <c r="C558" s="10">
        <f>VLOOKUP(B558,'Run Reconcile'!A$2:B1579,2,FALSE)</f>
        <v>44585</v>
      </c>
      <c r="D558" s="14">
        <f>IFERROR(__xludf.DUMMYFUNCTION("""COMPUTED_VALUE"""),44585.0)</f>
        <v>44585</v>
      </c>
      <c r="E558" s="15">
        <f>IFERROR(__xludf.DUMMYFUNCTION("""COMPUTED_VALUE"""),0.2988425925941556)</f>
        <v>0.2988425926</v>
      </c>
      <c r="F558" s="8" t="str">
        <f>IFERROR(__xludf.DUMMYFUNCTION("""COMPUTED_VALUE"""),"Negative")</f>
        <v>Negative</v>
      </c>
      <c r="G558" s="16">
        <f>IFERROR(__xludf.DUMMYFUNCTION("""COMPUTED_VALUE"""),4.0)</f>
        <v>4</v>
      </c>
      <c r="H558" s="8" t="str">
        <f>IFERROR(__xludf.DUMMYFUNCTION("""COMPUTED_VALUE"""),"CRLN")</f>
        <v>CRLN</v>
      </c>
    </row>
    <row r="559">
      <c r="A559" s="8" t="str">
        <f>IFERROR(__xludf.DUMMYFUNCTION("""COMPUTED_VALUE"""),"FLB5789")</f>
        <v>FLB5789</v>
      </c>
      <c r="B559" s="8" t="str">
        <f>IFERROR(__xludf.DUMMYFUNCTION("""COMPUTED_VALUE"""),"RUN-FLMP_2022-01-24_RFR-072")</f>
        <v>RUN-FLMP_2022-01-24_RFR-072</v>
      </c>
      <c r="C559" s="10">
        <f>VLOOKUP(B559,'Run Reconcile'!A$2:B1579,2,FALSE)</f>
        <v>44585</v>
      </c>
      <c r="D559" s="14">
        <f>IFERROR(__xludf.DUMMYFUNCTION("""COMPUTED_VALUE"""),44585.0)</f>
        <v>44585</v>
      </c>
      <c r="E559" s="15">
        <f>IFERROR(__xludf.DUMMYFUNCTION("""COMPUTED_VALUE"""),0.3087962962963502)</f>
        <v>0.3087962963</v>
      </c>
      <c r="F559" s="8" t="str">
        <f>IFERROR(__xludf.DUMMYFUNCTION("""COMPUTED_VALUE"""),"Negative")</f>
        <v>Negative</v>
      </c>
      <c r="G559" s="16">
        <f>IFERROR(__xludf.DUMMYFUNCTION("""COMPUTED_VALUE"""),4.0)</f>
        <v>4</v>
      </c>
      <c r="H559" s="8" t="str">
        <f>IFERROR(__xludf.DUMMYFUNCTION("""COMPUTED_VALUE"""),"CRLN")</f>
        <v>CRLN</v>
      </c>
    </row>
    <row r="560">
      <c r="A560" s="8" t="str">
        <f>IFERROR(__xludf.DUMMYFUNCTION("""COMPUTED_VALUE"""),"FLB5826")</f>
        <v>FLB5826</v>
      </c>
      <c r="B560" s="8" t="str">
        <f>IFERROR(__xludf.DUMMYFUNCTION("""COMPUTED_VALUE"""),"RUN-FLMP_2022-01-24_RFR-072")</f>
        <v>RUN-FLMP_2022-01-24_RFR-072</v>
      </c>
      <c r="C560" s="10">
        <f>VLOOKUP(B560,'Run Reconcile'!A$2:B1579,2,FALSE)</f>
        <v>44585</v>
      </c>
      <c r="D560" s="14">
        <f>IFERROR(__xludf.DUMMYFUNCTION("""COMPUTED_VALUE"""),44585.0)</f>
        <v>44585</v>
      </c>
      <c r="E560" s="15">
        <f>IFERROR(__xludf.DUMMYFUNCTION("""COMPUTED_VALUE"""),0.31592592592642177)</f>
        <v>0.3159259259</v>
      </c>
      <c r="F560" s="8" t="str">
        <f>IFERROR(__xludf.DUMMYFUNCTION("""COMPUTED_VALUE"""),"Negative")</f>
        <v>Negative</v>
      </c>
      <c r="G560" s="16">
        <f>IFERROR(__xludf.DUMMYFUNCTION("""COMPUTED_VALUE"""),3.0)</f>
        <v>3</v>
      </c>
      <c r="H560" s="8" t="str">
        <f>IFERROR(__xludf.DUMMYFUNCTION("""COMPUTED_VALUE"""),"CRLN")</f>
        <v>CRLN</v>
      </c>
    </row>
    <row r="561">
      <c r="A561" s="8" t="str">
        <f>IFERROR(__xludf.DUMMYFUNCTION("""COMPUTED_VALUE"""),"FLE876")</f>
        <v>FLE876</v>
      </c>
      <c r="B561" s="8" t="str">
        <f>IFERROR(__xludf.DUMMYFUNCTION("""COMPUTED_VALUE"""),"RUN-FLMP_2022-01-24_RFR-072")</f>
        <v>RUN-FLMP_2022-01-24_RFR-072</v>
      </c>
      <c r="C561" s="10">
        <f>VLOOKUP(B561,'Run Reconcile'!A$2:B1579,2,FALSE)</f>
        <v>44585</v>
      </c>
      <c r="D561" s="14">
        <f>IFERROR(__xludf.DUMMYFUNCTION("""COMPUTED_VALUE"""),44585.0)</f>
        <v>44585</v>
      </c>
      <c r="E561" s="15">
        <f>IFERROR(__xludf.DUMMYFUNCTION("""COMPUTED_VALUE"""),0.32115740740846377)</f>
        <v>0.3211574074</v>
      </c>
      <c r="F561" s="8" t="str">
        <f>IFERROR(__xludf.DUMMYFUNCTION("""COMPUTED_VALUE"""),"Negative")</f>
        <v>Negative</v>
      </c>
      <c r="G561" s="16">
        <f>IFERROR(__xludf.DUMMYFUNCTION("""COMPUTED_VALUE"""),4.0)</f>
        <v>4</v>
      </c>
      <c r="H561" s="8" t="str">
        <f>IFERROR(__xludf.DUMMYFUNCTION("""COMPUTED_VALUE"""),"CRLN")</f>
        <v>CRLN</v>
      </c>
    </row>
    <row r="562">
      <c r="A562" s="8" t="str">
        <f>IFERROR(__xludf.DUMMYFUNCTION("""COMPUTED_VALUE"""),"FLB7287")</f>
        <v>FLB7287</v>
      </c>
      <c r="B562" s="8" t="str">
        <f>IFERROR(__xludf.DUMMYFUNCTION("""COMPUTED_VALUE"""),"RUN-FLMP_2022-01-24_RFR-072")</f>
        <v>RUN-FLMP_2022-01-24_RFR-072</v>
      </c>
      <c r="C562" s="10">
        <f>VLOOKUP(B562,'Run Reconcile'!A$2:B1579,2,FALSE)</f>
        <v>44585</v>
      </c>
      <c r="D562" s="14">
        <f>IFERROR(__xludf.DUMMYFUNCTION("""COMPUTED_VALUE"""),44585.0)</f>
        <v>44585</v>
      </c>
      <c r="E562" s="15">
        <f>IFERROR(__xludf.DUMMYFUNCTION("""COMPUTED_VALUE"""),0.32186342592467554)</f>
        <v>0.3218634259</v>
      </c>
      <c r="F562" s="8" t="str">
        <f>IFERROR(__xludf.DUMMYFUNCTION("""COMPUTED_VALUE"""),"Negative")</f>
        <v>Negative</v>
      </c>
      <c r="G562" s="16">
        <f>IFERROR(__xludf.DUMMYFUNCTION("""COMPUTED_VALUE"""),4.0)</f>
        <v>4</v>
      </c>
      <c r="H562" s="8" t="str">
        <f>IFERROR(__xludf.DUMMYFUNCTION("""COMPUTED_VALUE"""),"CRLN")</f>
        <v>CRLN</v>
      </c>
    </row>
    <row r="563">
      <c r="A563" s="8" t="str">
        <f>IFERROR(__xludf.DUMMYFUNCTION("""COMPUTED_VALUE"""),"FLB5892")</f>
        <v>FLB5892</v>
      </c>
      <c r="B563" s="8" t="str">
        <f>IFERROR(__xludf.DUMMYFUNCTION("""COMPUTED_VALUE"""),"RUN-FLMP_2022-01-24_RFR-072")</f>
        <v>RUN-FLMP_2022-01-24_RFR-072</v>
      </c>
      <c r="C563" s="10">
        <f>VLOOKUP(B563,'Run Reconcile'!A$2:B1579,2,FALSE)</f>
        <v>44585</v>
      </c>
      <c r="D563" s="14">
        <f>IFERROR(__xludf.DUMMYFUNCTION("""COMPUTED_VALUE"""),44585.0)</f>
        <v>44585</v>
      </c>
      <c r="E563" s="15">
        <f>IFERROR(__xludf.DUMMYFUNCTION("""COMPUTED_VALUE"""),0.3230787037027767)</f>
        <v>0.3230787037</v>
      </c>
      <c r="F563" s="8" t="str">
        <f>IFERROR(__xludf.DUMMYFUNCTION("""COMPUTED_VALUE"""),"Negative")</f>
        <v>Negative</v>
      </c>
      <c r="G563" s="16">
        <f>IFERROR(__xludf.DUMMYFUNCTION("""COMPUTED_VALUE"""),3.0)</f>
        <v>3</v>
      </c>
      <c r="H563" s="8" t="str">
        <f>IFERROR(__xludf.DUMMYFUNCTION("""COMPUTED_VALUE"""),"CRLN")</f>
        <v>CRLN</v>
      </c>
    </row>
    <row r="564">
      <c r="A564" s="8" t="str">
        <f>IFERROR(__xludf.DUMMYFUNCTION("""COMPUTED_VALUE"""),"FLT1158")</f>
        <v>FLT1158</v>
      </c>
      <c r="B564" s="8" t="str">
        <f>IFERROR(__xludf.DUMMYFUNCTION("""COMPUTED_VALUE"""),"RUN-FLMP_2022-01-24_RFR-072")</f>
        <v>RUN-FLMP_2022-01-24_RFR-072</v>
      </c>
      <c r="C564" s="10">
        <f>VLOOKUP(B564,'Run Reconcile'!A$2:B1579,2,FALSE)</f>
        <v>44585</v>
      </c>
      <c r="D564" s="14">
        <f>IFERROR(__xludf.DUMMYFUNCTION("""COMPUTED_VALUE"""),44585.0)</f>
        <v>44585</v>
      </c>
      <c r="E564" s="15">
        <f>IFERROR(__xludf.DUMMYFUNCTION("""COMPUTED_VALUE"""),0.32803240740759065)</f>
        <v>0.3280324074</v>
      </c>
      <c r="F564" s="8" t="str">
        <f>IFERROR(__xludf.DUMMYFUNCTION("""COMPUTED_VALUE"""),"Negative")</f>
        <v>Negative</v>
      </c>
      <c r="G564" s="16">
        <f>IFERROR(__xludf.DUMMYFUNCTION("""COMPUTED_VALUE"""),1.0)</f>
        <v>1</v>
      </c>
      <c r="H564" s="8" t="str">
        <f>IFERROR(__xludf.DUMMYFUNCTION("""COMPUTED_VALUE"""),"CRLN")</f>
        <v>CRLN</v>
      </c>
    </row>
    <row r="565">
      <c r="A565" s="8" t="str">
        <f>IFERROR(__xludf.DUMMYFUNCTION("""COMPUTED_VALUE"""),"FLB5768")</f>
        <v>FLB5768</v>
      </c>
      <c r="B565" s="8" t="str">
        <f>IFERROR(__xludf.DUMMYFUNCTION("""COMPUTED_VALUE"""),"RUN-FLMP_2022-01-24_RFR-072")</f>
        <v>RUN-FLMP_2022-01-24_RFR-072</v>
      </c>
      <c r="C565" s="10">
        <f>VLOOKUP(B565,'Run Reconcile'!A$2:B1579,2,FALSE)</f>
        <v>44585</v>
      </c>
      <c r="D565" s="14">
        <f>IFERROR(__xludf.DUMMYFUNCTION("""COMPUTED_VALUE"""),44585.0)</f>
        <v>44585</v>
      </c>
      <c r="E565" s="15">
        <f>IFERROR(__xludf.DUMMYFUNCTION("""COMPUTED_VALUE"""),0.3288773148160544)</f>
        <v>0.3288773148</v>
      </c>
      <c r="F565" s="8" t="str">
        <f>IFERROR(__xludf.DUMMYFUNCTION("""COMPUTED_VALUE"""),"Negative")</f>
        <v>Negative</v>
      </c>
      <c r="G565" s="16">
        <f>IFERROR(__xludf.DUMMYFUNCTION("""COMPUTED_VALUE"""),4.0)</f>
        <v>4</v>
      </c>
      <c r="H565" s="8" t="str">
        <f>IFERROR(__xludf.DUMMYFUNCTION("""COMPUTED_VALUE"""),"CRLN")</f>
        <v>CRLN</v>
      </c>
    </row>
    <row r="566">
      <c r="A566" s="8" t="str">
        <f>IFERROR(__xludf.DUMMYFUNCTION("""COMPUTED_VALUE"""),"FLE947")</f>
        <v>FLE947</v>
      </c>
      <c r="B566" s="8" t="str">
        <f>IFERROR(__xludf.DUMMYFUNCTION("""COMPUTED_VALUE"""),"RUN-FLMP_2022-01-24_RFR-072")</f>
        <v>RUN-FLMP_2022-01-24_RFR-072</v>
      </c>
      <c r="C566" s="10">
        <f>VLOOKUP(B566,'Run Reconcile'!A$2:B1579,2,FALSE)</f>
        <v>44585</v>
      </c>
      <c r="D566" s="14">
        <f>IFERROR(__xludf.DUMMYFUNCTION("""COMPUTED_VALUE"""),44585.0)</f>
        <v>44585</v>
      </c>
      <c r="E566" s="15">
        <f>IFERROR(__xludf.DUMMYFUNCTION("""COMPUTED_VALUE"""),0.3293634259243845)</f>
        <v>0.3293634259</v>
      </c>
      <c r="F566" s="8" t="str">
        <f>IFERROR(__xludf.DUMMYFUNCTION("""COMPUTED_VALUE"""),"Negative")</f>
        <v>Negative</v>
      </c>
      <c r="G566" s="16">
        <f>IFERROR(__xludf.DUMMYFUNCTION("""COMPUTED_VALUE"""),1.0)</f>
        <v>1</v>
      </c>
      <c r="H566" s="8" t="str">
        <f>IFERROR(__xludf.DUMMYFUNCTION("""COMPUTED_VALUE"""),"CRLN")</f>
        <v>CRLN</v>
      </c>
    </row>
    <row r="567">
      <c r="A567" s="8" t="str">
        <f>IFERROR(__xludf.DUMMYFUNCTION("""COMPUTED_VALUE"""),"FLE968")</f>
        <v>FLE968</v>
      </c>
      <c r="B567" s="8" t="str">
        <f>IFERROR(__xludf.DUMMYFUNCTION("""COMPUTED_VALUE"""),"RUN-FLMP_2022-01-24_RFR-072")</f>
        <v>RUN-FLMP_2022-01-24_RFR-072</v>
      </c>
      <c r="C567" s="10">
        <f>VLOOKUP(B567,'Run Reconcile'!A$2:B1579,2,FALSE)</f>
        <v>44585</v>
      </c>
      <c r="D567" s="14">
        <f>IFERROR(__xludf.DUMMYFUNCTION("""COMPUTED_VALUE"""),44585.0)</f>
        <v>44585</v>
      </c>
      <c r="E567" s="15">
        <f>IFERROR(__xludf.DUMMYFUNCTION("""COMPUTED_VALUE"""),0.3508680555569299)</f>
        <v>0.3508680556</v>
      </c>
      <c r="F567" s="8" t="str">
        <f>IFERROR(__xludf.DUMMYFUNCTION("""COMPUTED_VALUE"""),"Negative")</f>
        <v>Negative</v>
      </c>
      <c r="G567" s="16">
        <f>IFERROR(__xludf.DUMMYFUNCTION("""COMPUTED_VALUE"""),4.0)</f>
        <v>4</v>
      </c>
      <c r="H567" s="8" t="str">
        <f>IFERROR(__xludf.DUMMYFUNCTION("""COMPUTED_VALUE"""),"CRLN")</f>
        <v>CRLN</v>
      </c>
    </row>
    <row r="568">
      <c r="A568" s="8" t="str">
        <f>IFERROR(__xludf.DUMMYFUNCTION("""COMPUTED_VALUE"""),"FLB5392")</f>
        <v>FLB5392</v>
      </c>
      <c r="B568" s="8" t="str">
        <f>IFERROR(__xludf.DUMMYFUNCTION("""COMPUTED_VALUE"""),"RUN-FLMP_2022-01-24_RFR-072")</f>
        <v>RUN-FLMP_2022-01-24_RFR-072</v>
      </c>
      <c r="C568" s="10">
        <f>VLOOKUP(B568,'Run Reconcile'!A$2:B1579,2,FALSE)</f>
        <v>44585</v>
      </c>
      <c r="D568" s="14">
        <f>IFERROR(__xludf.DUMMYFUNCTION("""COMPUTED_VALUE"""),44585.0)</f>
        <v>44585</v>
      </c>
      <c r="E568" s="15">
        <f>IFERROR(__xludf.DUMMYFUNCTION("""COMPUTED_VALUE"""),0.3523611111122591)</f>
        <v>0.3523611111</v>
      </c>
      <c r="F568" s="8" t="str">
        <f>IFERROR(__xludf.DUMMYFUNCTION("""COMPUTED_VALUE"""),"Negative")</f>
        <v>Negative</v>
      </c>
      <c r="G568" s="16">
        <f>IFERROR(__xludf.DUMMYFUNCTION("""COMPUTED_VALUE"""),2.0)</f>
        <v>2</v>
      </c>
      <c r="H568" s="8" t="str">
        <f>IFERROR(__xludf.DUMMYFUNCTION("""COMPUTED_VALUE"""),"CRLN")</f>
        <v>CRLN</v>
      </c>
    </row>
    <row r="569">
      <c r="A569" s="8" t="str">
        <f>IFERROR(__xludf.DUMMYFUNCTION("""COMPUTED_VALUE"""),"FLB7428")</f>
        <v>FLB7428</v>
      </c>
      <c r="B569" s="8" t="str">
        <f>IFERROR(__xludf.DUMMYFUNCTION("""COMPUTED_VALUE"""),"RUN-FLMP_2022-01-24_RFR-072")</f>
        <v>RUN-FLMP_2022-01-24_RFR-072</v>
      </c>
      <c r="C569" s="10">
        <f>VLOOKUP(B569,'Run Reconcile'!A$2:B1579,2,FALSE)</f>
        <v>44585</v>
      </c>
      <c r="D569" s="14">
        <f>IFERROR(__xludf.DUMMYFUNCTION("""COMPUTED_VALUE"""),44585.0)</f>
        <v>44585</v>
      </c>
      <c r="E569" s="15">
        <f>IFERROR(__xludf.DUMMYFUNCTION("""COMPUTED_VALUE"""),0.35686342592453)</f>
        <v>0.3568634259</v>
      </c>
      <c r="F569" s="8" t="str">
        <f>IFERROR(__xludf.DUMMYFUNCTION("""COMPUTED_VALUE"""),"Negative")</f>
        <v>Negative</v>
      </c>
      <c r="G569" s="16">
        <f>IFERROR(__xludf.DUMMYFUNCTION("""COMPUTED_VALUE"""),4.0)</f>
        <v>4</v>
      </c>
      <c r="H569" s="8" t="str">
        <f>IFERROR(__xludf.DUMMYFUNCTION("""COMPUTED_VALUE"""),"CRLN")</f>
        <v>CRLN</v>
      </c>
    </row>
    <row r="570">
      <c r="A570" s="8" t="str">
        <f>IFERROR(__xludf.DUMMYFUNCTION("""COMPUTED_VALUE"""),"FLB7371")</f>
        <v>FLB7371</v>
      </c>
      <c r="B570" s="8" t="str">
        <f>IFERROR(__xludf.DUMMYFUNCTION("""COMPUTED_VALUE"""),"RUN-FLMP_2022-01-24_RFR-072")</f>
        <v>RUN-FLMP_2022-01-24_RFR-072</v>
      </c>
      <c r="C570" s="10">
        <f>VLOOKUP(B570,'Run Reconcile'!A$2:B1579,2,FALSE)</f>
        <v>44585</v>
      </c>
      <c r="D570" s="14">
        <f>IFERROR(__xludf.DUMMYFUNCTION("""COMPUTED_VALUE"""),44585.0)</f>
        <v>44585</v>
      </c>
      <c r="E570" s="15">
        <f>IFERROR(__xludf.DUMMYFUNCTION("""COMPUTED_VALUE"""),0.3575231481481751)</f>
        <v>0.3575231481</v>
      </c>
      <c r="F570" s="8" t="str">
        <f>IFERROR(__xludf.DUMMYFUNCTION("""COMPUTED_VALUE"""),"Negative")</f>
        <v>Negative</v>
      </c>
      <c r="G570" s="16">
        <f>IFERROR(__xludf.DUMMYFUNCTION("""COMPUTED_VALUE"""),1.0)</f>
        <v>1</v>
      </c>
      <c r="H570" s="8" t="str">
        <f>IFERROR(__xludf.DUMMYFUNCTION("""COMPUTED_VALUE"""),"CRLN")</f>
        <v>CRLN</v>
      </c>
    </row>
    <row r="571">
      <c r="A571" s="8" t="str">
        <f>IFERROR(__xludf.DUMMYFUNCTION("""COMPUTED_VALUE"""),"FLB5846")</f>
        <v>FLB5846</v>
      </c>
      <c r="B571" s="8" t="str">
        <f>IFERROR(__xludf.DUMMYFUNCTION("""COMPUTED_VALUE"""),"RUN-FLMP_2022-01-24_RFR-072")</f>
        <v>RUN-FLMP_2022-01-24_RFR-072</v>
      </c>
      <c r="C571" s="10">
        <f>VLOOKUP(B571,'Run Reconcile'!A$2:B1579,2,FALSE)</f>
        <v>44585</v>
      </c>
      <c r="D571" s="14">
        <f>IFERROR(__xludf.DUMMYFUNCTION("""COMPUTED_VALUE"""),44585.0)</f>
        <v>44585</v>
      </c>
      <c r="E571" s="15">
        <f>IFERROR(__xludf.DUMMYFUNCTION("""COMPUTED_VALUE"""),0.36368055555431056)</f>
        <v>0.3636805556</v>
      </c>
      <c r="F571" s="8" t="str">
        <f>IFERROR(__xludf.DUMMYFUNCTION("""COMPUTED_VALUE"""),"Negative")</f>
        <v>Negative</v>
      </c>
      <c r="G571" s="16">
        <f>IFERROR(__xludf.DUMMYFUNCTION("""COMPUTED_VALUE"""),2.0)</f>
        <v>2</v>
      </c>
      <c r="H571" s="8" t="str">
        <f>IFERROR(__xludf.DUMMYFUNCTION("""COMPUTED_VALUE"""),"CRLN")</f>
        <v>CRLN</v>
      </c>
    </row>
    <row r="572">
      <c r="A572" s="8" t="str">
        <f>IFERROR(__xludf.DUMMYFUNCTION("""COMPUTED_VALUE"""),"FLB7179")</f>
        <v>FLB7179</v>
      </c>
      <c r="B572" s="8" t="str">
        <f>IFERROR(__xludf.DUMMYFUNCTION("""COMPUTED_VALUE"""),"RUN-FLMP_2022-01-24_RFR-072")</f>
        <v>RUN-FLMP_2022-01-24_RFR-072</v>
      </c>
      <c r="C572" s="10">
        <f>VLOOKUP(B572,'Run Reconcile'!A$2:B1579,2,FALSE)</f>
        <v>44585</v>
      </c>
      <c r="D572" s="14">
        <f>IFERROR(__xludf.DUMMYFUNCTION("""COMPUTED_VALUE"""),44585.0)</f>
        <v>44585</v>
      </c>
      <c r="E572" s="15">
        <f>IFERROR(__xludf.DUMMYFUNCTION("""COMPUTED_VALUE"""),0.3704513888878864)</f>
        <v>0.3704513889</v>
      </c>
      <c r="F572" s="8" t="str">
        <f>IFERROR(__xludf.DUMMYFUNCTION("""COMPUTED_VALUE"""),"Negative")</f>
        <v>Negative</v>
      </c>
      <c r="G572" s="16">
        <f>IFERROR(__xludf.DUMMYFUNCTION("""COMPUTED_VALUE"""),1.0)</f>
        <v>1</v>
      </c>
      <c r="H572" s="8" t="str">
        <f>IFERROR(__xludf.DUMMYFUNCTION("""COMPUTED_VALUE"""),"CRLN")</f>
        <v>CRLN</v>
      </c>
    </row>
    <row r="573">
      <c r="A573" s="8" t="str">
        <f>IFERROR(__xludf.DUMMYFUNCTION("""COMPUTED_VALUE"""),"FLB7131")</f>
        <v>FLB7131</v>
      </c>
      <c r="B573" s="8" t="str">
        <f>IFERROR(__xludf.DUMMYFUNCTION("""COMPUTED_VALUE"""),"RUN-FLMP_2022-01-24_RFR-072")</f>
        <v>RUN-FLMP_2022-01-24_RFR-072</v>
      </c>
      <c r="C573" s="10">
        <f>VLOOKUP(B573,'Run Reconcile'!A$2:B1579,2,FALSE)</f>
        <v>44585</v>
      </c>
      <c r="D573" s="14">
        <f>IFERROR(__xludf.DUMMYFUNCTION("""COMPUTED_VALUE"""),44585.0)</f>
        <v>44585</v>
      </c>
      <c r="E573" s="15">
        <f>IFERROR(__xludf.DUMMYFUNCTION("""COMPUTED_VALUE"""),0.3704976851840911)</f>
        <v>0.3704976852</v>
      </c>
      <c r="F573" s="8" t="str">
        <f>IFERROR(__xludf.DUMMYFUNCTION("""COMPUTED_VALUE"""),"Negative")</f>
        <v>Negative</v>
      </c>
      <c r="G573" s="16">
        <f>IFERROR(__xludf.DUMMYFUNCTION("""COMPUTED_VALUE"""),2.0)</f>
        <v>2</v>
      </c>
      <c r="H573" s="8" t="str">
        <f>IFERROR(__xludf.DUMMYFUNCTION("""COMPUTED_VALUE"""),"CRLN")</f>
        <v>CRLN</v>
      </c>
    </row>
    <row r="574">
      <c r="A574" s="8" t="str">
        <f>IFERROR(__xludf.DUMMYFUNCTION("""COMPUTED_VALUE"""),"FLB5807")</f>
        <v>FLB5807</v>
      </c>
      <c r="B574" s="8" t="str">
        <f>IFERROR(__xludf.DUMMYFUNCTION("""COMPUTED_VALUE"""),"RUN-FLMP_2022-01-25_RFR-074")</f>
        <v>RUN-FLMP_2022-01-25_RFR-074</v>
      </c>
      <c r="C574" s="10">
        <f>VLOOKUP(B574,'Run Reconcile'!A$2:B1579,2,FALSE)</f>
        <v>44586</v>
      </c>
      <c r="D574" s="14">
        <f>IFERROR(__xludf.DUMMYFUNCTION("""COMPUTED_VALUE"""),44586.0)</f>
        <v>44586</v>
      </c>
      <c r="E574" s="15">
        <f>IFERROR(__xludf.DUMMYFUNCTION("""COMPUTED_VALUE"""),0.3150925925910997)</f>
        <v>0.3150925926</v>
      </c>
      <c r="F574" s="8" t="str">
        <f>IFERROR(__xludf.DUMMYFUNCTION("""COMPUTED_VALUE"""),"Negative")</f>
        <v>Negative</v>
      </c>
      <c r="G574" s="16">
        <f>IFERROR(__xludf.DUMMYFUNCTION("""COMPUTED_VALUE"""),1.0)</f>
        <v>1</v>
      </c>
      <c r="H574" s="8" t="str">
        <f>IFERROR(__xludf.DUMMYFUNCTION("""COMPUTED_VALUE"""),"CRLN")</f>
        <v>CRLN</v>
      </c>
    </row>
    <row r="575">
      <c r="A575" s="8" t="str">
        <f>IFERROR(__xludf.DUMMYFUNCTION("""COMPUTED_VALUE"""),"FLB5771")</f>
        <v>FLB5771</v>
      </c>
      <c r="B575" s="8" t="str">
        <f>IFERROR(__xludf.DUMMYFUNCTION("""COMPUTED_VALUE"""),"RUN-FLMP_2022-01-25_RFR-074")</f>
        <v>RUN-FLMP_2022-01-25_RFR-074</v>
      </c>
      <c r="C575" s="10">
        <f>VLOOKUP(B575,'Run Reconcile'!A$2:B1579,2,FALSE)</f>
        <v>44586</v>
      </c>
      <c r="D575" s="14">
        <f>IFERROR(__xludf.DUMMYFUNCTION("""COMPUTED_VALUE"""),44586.0)</f>
        <v>44586</v>
      </c>
      <c r="E575" s="15">
        <f>IFERROR(__xludf.DUMMYFUNCTION("""COMPUTED_VALUE"""),0.3155208333337214)</f>
        <v>0.3155208333</v>
      </c>
      <c r="F575" s="8" t="str">
        <f>IFERROR(__xludf.DUMMYFUNCTION("""COMPUTED_VALUE"""),"Negative")</f>
        <v>Negative</v>
      </c>
      <c r="G575" s="16">
        <f>IFERROR(__xludf.DUMMYFUNCTION("""COMPUTED_VALUE"""),1.0)</f>
        <v>1</v>
      </c>
      <c r="H575" s="8" t="str">
        <f>IFERROR(__xludf.DUMMYFUNCTION("""COMPUTED_VALUE"""),"CRLN")</f>
        <v>CRLN</v>
      </c>
    </row>
    <row r="576">
      <c r="A576" s="8" t="str">
        <f>IFERROR(__xludf.DUMMYFUNCTION("""COMPUTED_VALUE"""),"FLB5803")</f>
        <v>FLB5803</v>
      </c>
      <c r="B576" s="8" t="str">
        <f>IFERROR(__xludf.DUMMYFUNCTION("""COMPUTED_VALUE"""),"RUN-FLMP_2022-01-25_RFR-074")</f>
        <v>RUN-FLMP_2022-01-25_RFR-074</v>
      </c>
      <c r="C576" s="10">
        <f>VLOOKUP(B576,'Run Reconcile'!A$2:B1579,2,FALSE)</f>
        <v>44586</v>
      </c>
      <c r="D576" s="14">
        <f>IFERROR(__xludf.DUMMYFUNCTION("""COMPUTED_VALUE"""),44586.0)</f>
        <v>44586</v>
      </c>
      <c r="E576" s="15">
        <f>IFERROR(__xludf.DUMMYFUNCTION("""COMPUTED_VALUE"""),0.3158796296302171)</f>
        <v>0.3158796296</v>
      </c>
      <c r="F576" s="8" t="str">
        <f>IFERROR(__xludf.DUMMYFUNCTION("""COMPUTED_VALUE"""),"Negative")</f>
        <v>Negative</v>
      </c>
      <c r="G576" s="16">
        <f>IFERROR(__xludf.DUMMYFUNCTION("""COMPUTED_VALUE"""),1.0)</f>
        <v>1</v>
      </c>
      <c r="H576" s="8" t="str">
        <f>IFERROR(__xludf.DUMMYFUNCTION("""COMPUTED_VALUE"""),"CRLN")</f>
        <v>CRLN</v>
      </c>
    </row>
    <row r="577">
      <c r="A577" s="8" t="str">
        <f>IFERROR(__xludf.DUMMYFUNCTION("""COMPUTED_VALUE"""),"FLE865")</f>
        <v>FLE865</v>
      </c>
      <c r="B577" s="8" t="str">
        <f>IFERROR(__xludf.DUMMYFUNCTION("""COMPUTED_VALUE"""),"RUN-FLMP_2022-01-25_RFR-074")</f>
        <v>RUN-FLMP_2022-01-25_RFR-074</v>
      </c>
      <c r="C577" s="10">
        <f>VLOOKUP(B577,'Run Reconcile'!A$2:B1579,2,FALSE)</f>
        <v>44586</v>
      </c>
      <c r="D577" s="14">
        <f>IFERROR(__xludf.DUMMYFUNCTION("""COMPUTED_VALUE"""),44586.0)</f>
        <v>44586</v>
      </c>
      <c r="E577" s="15">
        <f>IFERROR(__xludf.DUMMYFUNCTION("""COMPUTED_VALUE"""),0.32327546296437504)</f>
        <v>0.323275463</v>
      </c>
      <c r="F577" s="8" t="str">
        <f>IFERROR(__xludf.DUMMYFUNCTION("""COMPUTED_VALUE"""),"Negative")</f>
        <v>Negative</v>
      </c>
      <c r="G577" s="16">
        <f>IFERROR(__xludf.DUMMYFUNCTION("""COMPUTED_VALUE"""),1.0)</f>
        <v>1</v>
      </c>
      <c r="H577" s="8" t="str">
        <f>IFERROR(__xludf.DUMMYFUNCTION("""COMPUTED_VALUE"""),"CRLN")</f>
        <v>CRLN</v>
      </c>
    </row>
    <row r="578">
      <c r="A578" s="8" t="str">
        <f>IFERROR(__xludf.DUMMYFUNCTION("""COMPUTED_VALUE"""),"FLB5397")</f>
        <v>FLB5397</v>
      </c>
      <c r="B578" s="8" t="str">
        <f>IFERROR(__xludf.DUMMYFUNCTION("""COMPUTED_VALUE"""),"RUN-FLMP_2022-01-26_RFR-075")</f>
        <v>RUN-FLMP_2022-01-26_RFR-075</v>
      </c>
      <c r="C578" s="10">
        <f>VLOOKUP(B578,'Run Reconcile'!A$2:B1579,2,FALSE)</f>
        <v>44587</v>
      </c>
      <c r="D578" s="14">
        <f>IFERROR(__xludf.DUMMYFUNCTION("""COMPUTED_VALUE"""),44586.0)</f>
        <v>44586</v>
      </c>
      <c r="E578" s="15">
        <f>IFERROR(__xludf.DUMMYFUNCTION("""COMPUTED_VALUE"""),0.4669212962980964)</f>
        <v>0.4669212963</v>
      </c>
      <c r="F578" s="8" t="str">
        <f>IFERROR(__xludf.DUMMYFUNCTION("""COMPUTED_VALUE"""),"Negative")</f>
        <v>Negative</v>
      </c>
      <c r="G578" s="16">
        <f>IFERROR(__xludf.DUMMYFUNCTION("""COMPUTED_VALUE"""),2.0)</f>
        <v>2</v>
      </c>
      <c r="H578" s="8" t="str">
        <f>IFERROR(__xludf.DUMMYFUNCTION("""COMPUTED_VALUE"""),"CRLN")</f>
        <v>CRLN</v>
      </c>
    </row>
    <row r="579">
      <c r="A579" s="8" t="str">
        <f>IFERROR(__xludf.DUMMYFUNCTION("""COMPUTED_VALUE"""),"FLT111")</f>
        <v>FLT111</v>
      </c>
      <c r="B579" s="8" t="str">
        <f>IFERROR(__xludf.DUMMYFUNCTION("""COMPUTED_VALUE"""),"RUN-FLMP_2022-01-26_RFR-075")</f>
        <v>RUN-FLMP_2022-01-26_RFR-075</v>
      </c>
      <c r="C579" s="10">
        <f>VLOOKUP(B579,'Run Reconcile'!A$2:B1579,2,FALSE)</f>
        <v>44587</v>
      </c>
      <c r="D579" s="14">
        <f>IFERROR(__xludf.DUMMYFUNCTION("""COMPUTED_VALUE"""),44587.0)</f>
        <v>44587</v>
      </c>
      <c r="E579" s="15">
        <f>IFERROR(__xludf.DUMMYFUNCTION("""COMPUTED_VALUE"""),0.3078819444453984)</f>
        <v>0.3078819444</v>
      </c>
      <c r="F579" s="8" t="str">
        <f>IFERROR(__xludf.DUMMYFUNCTION("""COMPUTED_VALUE"""),"Negative")</f>
        <v>Negative</v>
      </c>
      <c r="G579" s="16">
        <f>IFERROR(__xludf.DUMMYFUNCTION("""COMPUTED_VALUE"""),4.0)</f>
        <v>4</v>
      </c>
      <c r="H579" s="8" t="str">
        <f>IFERROR(__xludf.DUMMYFUNCTION("""COMPUTED_VALUE"""),"CRLN")</f>
        <v>CRLN</v>
      </c>
    </row>
    <row r="580">
      <c r="A580" s="8" t="str">
        <f>IFERROR(__xludf.DUMMYFUNCTION("""COMPUTED_VALUE"""),"FLT1484")</f>
        <v>FLT1484</v>
      </c>
      <c r="B580" s="8" t="str">
        <f>IFERROR(__xludf.DUMMYFUNCTION("""COMPUTED_VALUE"""),"RUN-FLMP_2022-01-27_APS-081")</f>
        <v>RUN-FLMP_2022-01-27_APS-081</v>
      </c>
      <c r="C580" s="10">
        <f>VLOOKUP(B580,'Run Reconcile'!A$2:B1579,2,FALSE)</f>
        <v>44588</v>
      </c>
      <c r="D580" s="14">
        <f>IFERROR(__xludf.DUMMYFUNCTION("""COMPUTED_VALUE"""),44587.0)</f>
        <v>44587</v>
      </c>
      <c r="E580" s="15">
        <f>IFERROR(__xludf.DUMMYFUNCTION("""COMPUTED_VALUE"""),0.8534027777786832)</f>
        <v>0.8534027778</v>
      </c>
      <c r="F580" s="8" t="str">
        <f>IFERROR(__xludf.DUMMYFUNCTION("""COMPUTED_VALUE"""),"Negative")</f>
        <v>Negative</v>
      </c>
      <c r="G580" s="16">
        <f>IFERROR(__xludf.DUMMYFUNCTION("""COMPUTED_VALUE"""),2.0)</f>
        <v>2</v>
      </c>
      <c r="H580" s="8" t="str">
        <f>IFERROR(__xludf.DUMMYFUNCTION("""COMPUTED_VALUE"""),"CRLN")</f>
        <v>CRLN</v>
      </c>
    </row>
    <row r="581">
      <c r="A581" s="8" t="str">
        <f>IFERROR(__xludf.DUMMYFUNCTION("""COMPUTED_VALUE"""),"FLB7151")</f>
        <v>FLB7151</v>
      </c>
      <c r="B581" s="8" t="str">
        <f>IFERROR(__xludf.DUMMYFUNCTION("""COMPUTED_VALUE"""),"RUN-FLMP_2022-01-27_APS-081")</f>
        <v>RUN-FLMP_2022-01-27_APS-081</v>
      </c>
      <c r="C581" s="10">
        <f>VLOOKUP(B581,'Run Reconcile'!A$2:B1579,2,FALSE)</f>
        <v>44588</v>
      </c>
      <c r="D581" s="14">
        <f>IFERROR(__xludf.DUMMYFUNCTION("""COMPUTED_VALUE"""),44587.0)</f>
        <v>44587</v>
      </c>
      <c r="E581" s="15">
        <f>IFERROR(__xludf.DUMMYFUNCTION("""COMPUTED_VALUE"""),0.913749999999709)</f>
        <v>0.91375</v>
      </c>
      <c r="F581" s="8" t="str">
        <f>IFERROR(__xludf.DUMMYFUNCTION("""COMPUTED_VALUE"""),"Negative")</f>
        <v>Negative</v>
      </c>
      <c r="G581" s="16">
        <f>IFERROR(__xludf.DUMMYFUNCTION("""COMPUTED_VALUE"""),3.0)</f>
        <v>3</v>
      </c>
      <c r="H581" s="8" t="str">
        <f>IFERROR(__xludf.DUMMYFUNCTION("""COMPUTED_VALUE"""),"CRLN")</f>
        <v>CRLN</v>
      </c>
    </row>
    <row r="582">
      <c r="A582" s="8" t="str">
        <f>IFERROR(__xludf.DUMMYFUNCTION("""COMPUTED_VALUE"""),"FLB5750")</f>
        <v>FLB5750</v>
      </c>
      <c r="B582" s="8" t="str">
        <f>IFERROR(__xludf.DUMMYFUNCTION("""COMPUTED_VALUE"""),"RUN-FLMP_2022-01-27_APS-081")</f>
        <v>RUN-FLMP_2022-01-27_APS-081</v>
      </c>
      <c r="C582" s="10">
        <f>VLOOKUP(B582,'Run Reconcile'!A$2:B1579,2,FALSE)</f>
        <v>44588</v>
      </c>
      <c r="D582" s="14">
        <f>IFERROR(__xludf.DUMMYFUNCTION("""COMPUTED_VALUE"""),44587.0)</f>
        <v>44587</v>
      </c>
      <c r="E582" s="15">
        <f>IFERROR(__xludf.DUMMYFUNCTION("""COMPUTED_VALUE"""),0.9699421296281798)</f>
        <v>0.9699421296</v>
      </c>
      <c r="F582" s="8" t="str">
        <f>IFERROR(__xludf.DUMMYFUNCTION("""COMPUTED_VALUE"""),"Negative")</f>
        <v>Negative</v>
      </c>
      <c r="G582" s="16">
        <f>IFERROR(__xludf.DUMMYFUNCTION("""COMPUTED_VALUE"""),1.0)</f>
        <v>1</v>
      </c>
      <c r="H582" s="8" t="str">
        <f>IFERROR(__xludf.DUMMYFUNCTION("""COMPUTED_VALUE"""),"CRLN")</f>
        <v>CRLN</v>
      </c>
    </row>
    <row r="583">
      <c r="A583" s="8" t="str">
        <f>IFERROR(__xludf.DUMMYFUNCTION("""COMPUTED_VALUE"""),"FLE894")</f>
        <v>FLE894</v>
      </c>
      <c r="B583" s="8" t="str">
        <f>IFERROR(__xludf.DUMMYFUNCTION("""COMPUTED_VALUE"""),"RUN-FLMP_2022-01-27_APS-081")</f>
        <v>RUN-FLMP_2022-01-27_APS-081</v>
      </c>
      <c r="C583" s="10">
        <f>VLOOKUP(B583,'Run Reconcile'!A$2:B1579,2,FALSE)</f>
        <v>44588</v>
      </c>
      <c r="D583" s="14">
        <f>IFERROR(__xludf.DUMMYFUNCTION("""COMPUTED_VALUE"""),44588.0)</f>
        <v>44588</v>
      </c>
      <c r="E583" s="15">
        <f>IFERROR(__xludf.DUMMYFUNCTION("""COMPUTED_VALUE"""),0.28061342592627625)</f>
        <v>0.2806134259</v>
      </c>
      <c r="F583" s="8" t="str">
        <f>IFERROR(__xludf.DUMMYFUNCTION("""COMPUTED_VALUE"""),"Negative")</f>
        <v>Negative</v>
      </c>
      <c r="G583" s="16">
        <f>IFERROR(__xludf.DUMMYFUNCTION("""COMPUTED_VALUE"""),2.0)</f>
        <v>2</v>
      </c>
      <c r="H583" s="8" t="str">
        <f>IFERROR(__xludf.DUMMYFUNCTION("""COMPUTED_VALUE"""),"CRLN")</f>
        <v>CRLN</v>
      </c>
    </row>
    <row r="584">
      <c r="A584" s="8" t="str">
        <f>IFERROR(__xludf.DUMMYFUNCTION("""COMPUTED_VALUE"""),"FLB7182")</f>
        <v>FLB7182</v>
      </c>
      <c r="B584" s="8" t="str">
        <f>IFERROR(__xludf.DUMMYFUNCTION("""COMPUTED_VALUE"""),"RUN-FLMP_2022-01-27_APS-081")</f>
        <v>RUN-FLMP_2022-01-27_APS-081</v>
      </c>
      <c r="C584" s="10">
        <f>VLOOKUP(B584,'Run Reconcile'!A$2:B1579,2,FALSE)</f>
        <v>44588</v>
      </c>
      <c r="D584" s="14">
        <f>IFERROR(__xludf.DUMMYFUNCTION("""COMPUTED_VALUE"""),44588.0)</f>
        <v>44588</v>
      </c>
      <c r="E584" s="15">
        <f>IFERROR(__xludf.DUMMYFUNCTION("""COMPUTED_VALUE"""),0.2873148148137261)</f>
        <v>0.2873148148</v>
      </c>
      <c r="F584" s="8" t="str">
        <f>IFERROR(__xludf.DUMMYFUNCTION("""COMPUTED_VALUE"""),"Negative")</f>
        <v>Negative</v>
      </c>
      <c r="G584" s="16">
        <f>IFERROR(__xludf.DUMMYFUNCTION("""COMPUTED_VALUE"""),4.0)</f>
        <v>4</v>
      </c>
      <c r="H584" s="8" t="str">
        <f>IFERROR(__xludf.DUMMYFUNCTION("""COMPUTED_VALUE"""),"CRLN")</f>
        <v>CRLN</v>
      </c>
    </row>
    <row r="585">
      <c r="A585" s="8" t="str">
        <f>IFERROR(__xludf.DUMMYFUNCTION("""COMPUTED_VALUE"""),"FLT1504")</f>
        <v>FLT1504</v>
      </c>
      <c r="B585" s="8" t="str">
        <f>IFERROR(__xludf.DUMMYFUNCTION("""COMPUTED_VALUE"""),"RUN-FLMP_2022-01-27_APS-081")</f>
        <v>RUN-FLMP_2022-01-27_APS-081</v>
      </c>
      <c r="C585" s="10">
        <f>VLOOKUP(B585,'Run Reconcile'!A$2:B1579,2,FALSE)</f>
        <v>44588</v>
      </c>
      <c r="D585" s="14">
        <f>IFERROR(__xludf.DUMMYFUNCTION("""COMPUTED_VALUE"""),44588.0)</f>
        <v>44588</v>
      </c>
      <c r="E585" s="15">
        <f>IFERROR(__xludf.DUMMYFUNCTION("""COMPUTED_VALUE"""),0.3074884259258397)</f>
        <v>0.3074884259</v>
      </c>
      <c r="F585" s="8" t="str">
        <f>IFERROR(__xludf.DUMMYFUNCTION("""COMPUTED_VALUE"""),"Negative")</f>
        <v>Negative</v>
      </c>
      <c r="G585" s="16">
        <f>IFERROR(__xludf.DUMMYFUNCTION("""COMPUTED_VALUE"""),2.0)</f>
        <v>2</v>
      </c>
      <c r="H585" s="8" t="str">
        <f>IFERROR(__xludf.DUMMYFUNCTION("""COMPUTED_VALUE"""),"CRLN")</f>
        <v>CRLN</v>
      </c>
    </row>
    <row r="586">
      <c r="A586" s="8" t="str">
        <f>IFERROR(__xludf.DUMMYFUNCTION("""COMPUTED_VALUE"""),"FLT1477")</f>
        <v>FLT1477</v>
      </c>
      <c r="B586" s="8" t="str">
        <f>IFERROR(__xludf.DUMMYFUNCTION("""COMPUTED_VALUE"""),"RUN-FLMP_2022-01-27_APS-081")</f>
        <v>RUN-FLMP_2022-01-27_APS-081</v>
      </c>
      <c r="C586" s="10">
        <f>VLOOKUP(B586,'Run Reconcile'!A$2:B1579,2,FALSE)</f>
        <v>44588</v>
      </c>
      <c r="D586" s="14">
        <f>IFERROR(__xludf.DUMMYFUNCTION("""COMPUTED_VALUE"""),44588.0)</f>
        <v>44588</v>
      </c>
      <c r="E586" s="15">
        <f>IFERROR(__xludf.DUMMYFUNCTION("""COMPUTED_VALUE"""),0.31030092592482106)</f>
        <v>0.3103009259</v>
      </c>
      <c r="F586" s="8" t="str">
        <f>IFERROR(__xludf.DUMMYFUNCTION("""COMPUTED_VALUE"""),"Negative")</f>
        <v>Negative</v>
      </c>
      <c r="G586" s="16">
        <f>IFERROR(__xludf.DUMMYFUNCTION("""COMPUTED_VALUE"""),4.0)</f>
        <v>4</v>
      </c>
      <c r="H586" s="8" t="str">
        <f>IFERROR(__xludf.DUMMYFUNCTION("""COMPUTED_VALUE"""),"CRLN")</f>
        <v>CRLN</v>
      </c>
    </row>
    <row r="587">
      <c r="A587" s="8" t="str">
        <f>IFERROR(__xludf.DUMMYFUNCTION("""COMPUTED_VALUE"""),"FL7386")</f>
        <v>FL7386</v>
      </c>
      <c r="B587" s="8" t="str">
        <f>IFERROR(__xludf.DUMMYFUNCTION("""COMPUTED_VALUE"""),"RUN-FLMP_2022-01-27_APS-081")</f>
        <v>RUN-FLMP_2022-01-27_APS-081</v>
      </c>
      <c r="C587" s="10">
        <f>VLOOKUP(B587,'Run Reconcile'!A$2:B1579,2,FALSE)</f>
        <v>44588</v>
      </c>
      <c r="D587" s="14">
        <f>IFERROR(__xludf.DUMMYFUNCTION("""COMPUTED_VALUE"""),44588.0)</f>
        <v>44588</v>
      </c>
      <c r="E587" s="15">
        <f>IFERROR(__xludf.DUMMYFUNCTION("""COMPUTED_VALUE"""),0.3165393518502242)</f>
        <v>0.3165393519</v>
      </c>
      <c r="F587" s="8" t="str">
        <f>IFERROR(__xludf.DUMMYFUNCTION("""COMPUTED_VALUE"""),"Negative")</f>
        <v>Negative</v>
      </c>
      <c r="G587" s="16">
        <f>IFERROR(__xludf.DUMMYFUNCTION("""COMPUTED_VALUE"""),4.0)</f>
        <v>4</v>
      </c>
      <c r="H587" s="8" t="str">
        <f>IFERROR(__xludf.DUMMYFUNCTION("""COMPUTED_VALUE"""),"CRLN")</f>
        <v>CRLN</v>
      </c>
    </row>
    <row r="588">
      <c r="A588" s="8" t="str">
        <f>IFERROR(__xludf.DUMMYFUNCTION("""COMPUTED_VALUE"""),"FLB5758")</f>
        <v>FLB5758</v>
      </c>
      <c r="B588" s="8" t="str">
        <f>IFERROR(__xludf.DUMMYFUNCTION("""COMPUTED_VALUE"""),"RUN-FLMP_2022-01-27_APS-081")</f>
        <v>RUN-FLMP_2022-01-27_APS-081</v>
      </c>
      <c r="C588" s="10">
        <f>VLOOKUP(B588,'Run Reconcile'!A$2:B1579,2,FALSE)</f>
        <v>44588</v>
      </c>
      <c r="D588" s="14">
        <f>IFERROR(__xludf.DUMMYFUNCTION("""COMPUTED_VALUE"""),44588.0)</f>
        <v>44588</v>
      </c>
      <c r="E588" s="15">
        <f>IFERROR(__xludf.DUMMYFUNCTION("""COMPUTED_VALUE"""),0.31877314814846613)</f>
        <v>0.3187731481</v>
      </c>
      <c r="F588" s="8" t="str">
        <f>IFERROR(__xludf.DUMMYFUNCTION("""COMPUTED_VALUE"""),"Negative")</f>
        <v>Negative</v>
      </c>
      <c r="G588" s="16">
        <f>IFERROR(__xludf.DUMMYFUNCTION("""COMPUTED_VALUE"""),4.0)</f>
        <v>4</v>
      </c>
      <c r="H588" s="8" t="str">
        <f>IFERROR(__xludf.DUMMYFUNCTION("""COMPUTED_VALUE"""),"CRLN")</f>
        <v>CRLN</v>
      </c>
    </row>
    <row r="589">
      <c r="A589" s="8" t="str">
        <f>IFERROR(__xludf.DUMMYFUNCTION("""COMPUTED_VALUE"""),"FLE866")</f>
        <v>FLE866</v>
      </c>
      <c r="B589" s="8" t="str">
        <f>IFERROR(__xludf.DUMMYFUNCTION("""COMPUTED_VALUE"""),"RUN-FLMP_2022-01-27_APS-081")</f>
        <v>RUN-FLMP_2022-01-27_APS-081</v>
      </c>
      <c r="C589" s="10">
        <f>VLOOKUP(B589,'Run Reconcile'!A$2:B1579,2,FALSE)</f>
        <v>44588</v>
      </c>
      <c r="D589" s="14">
        <f>IFERROR(__xludf.DUMMYFUNCTION("""COMPUTED_VALUE"""),44588.0)</f>
        <v>44588</v>
      </c>
      <c r="E589" s="15">
        <f>IFERROR(__xludf.DUMMYFUNCTION("""COMPUTED_VALUE"""),0.32273148148306063)</f>
        <v>0.3227314815</v>
      </c>
      <c r="F589" s="8" t="str">
        <f>IFERROR(__xludf.DUMMYFUNCTION("""COMPUTED_VALUE"""),"Negative")</f>
        <v>Negative</v>
      </c>
      <c r="G589" s="16">
        <f>IFERROR(__xludf.DUMMYFUNCTION("""COMPUTED_VALUE"""),1.0)</f>
        <v>1</v>
      </c>
      <c r="H589" s="8" t="str">
        <f>IFERROR(__xludf.DUMMYFUNCTION("""COMPUTED_VALUE"""),"CRLN")</f>
        <v>CRLN</v>
      </c>
    </row>
    <row r="590">
      <c r="A590" s="8" t="str">
        <f>IFERROR(__xludf.DUMMYFUNCTION("""COMPUTED_VALUE"""),"FLE859")</f>
        <v>FLE859</v>
      </c>
      <c r="B590" s="8" t="str">
        <f>IFERROR(__xludf.DUMMYFUNCTION("""COMPUTED_VALUE"""),"RUN-FLMP_2022-01-27_APS-081")</f>
        <v>RUN-FLMP_2022-01-27_APS-081</v>
      </c>
      <c r="C590" s="10">
        <f>VLOOKUP(B590,'Run Reconcile'!A$2:B1579,2,FALSE)</f>
        <v>44588</v>
      </c>
      <c r="D590" s="14">
        <f>IFERROR(__xludf.DUMMYFUNCTION("""COMPUTED_VALUE"""),44588.0)</f>
        <v>44588</v>
      </c>
      <c r="E590" s="15">
        <f>IFERROR(__xludf.DUMMYFUNCTION("""COMPUTED_VALUE"""),0.32453703703868086)</f>
        <v>0.324537037</v>
      </c>
      <c r="F590" s="8" t="str">
        <f>IFERROR(__xludf.DUMMYFUNCTION("""COMPUTED_VALUE"""),"Negative")</f>
        <v>Negative</v>
      </c>
      <c r="G590" s="16">
        <f>IFERROR(__xludf.DUMMYFUNCTION("""COMPUTED_VALUE"""),3.0)</f>
        <v>3</v>
      </c>
      <c r="H590" s="8" t="str">
        <f>IFERROR(__xludf.DUMMYFUNCTION("""COMPUTED_VALUE"""),"CRLN")</f>
        <v>CRLN</v>
      </c>
    </row>
    <row r="591">
      <c r="A591" s="8" t="str">
        <f>IFERROR(__xludf.DUMMYFUNCTION("""COMPUTED_VALUE"""),"FLB5877")</f>
        <v>FLB5877</v>
      </c>
      <c r="B591" s="8" t="str">
        <f>IFERROR(__xludf.DUMMYFUNCTION("""COMPUTED_VALUE"""),"RUN-FLMP_2022-01-27_APS-081")</f>
        <v>RUN-FLMP_2022-01-27_APS-081</v>
      </c>
      <c r="C591" s="10">
        <f>VLOOKUP(B591,'Run Reconcile'!A$2:B1579,2,FALSE)</f>
        <v>44588</v>
      </c>
      <c r="D591" s="14">
        <f>IFERROR(__xludf.DUMMYFUNCTION("""COMPUTED_VALUE"""),44588.0)</f>
        <v>44588</v>
      </c>
      <c r="E591" s="15">
        <f>IFERROR(__xludf.DUMMYFUNCTION("""COMPUTED_VALUE"""),0.3259837962978054)</f>
        <v>0.3259837963</v>
      </c>
      <c r="F591" s="8" t="str">
        <f>IFERROR(__xludf.DUMMYFUNCTION("""COMPUTED_VALUE"""),"Negative")</f>
        <v>Negative</v>
      </c>
      <c r="G591" s="16">
        <f>IFERROR(__xludf.DUMMYFUNCTION("""COMPUTED_VALUE"""),4.0)</f>
        <v>4</v>
      </c>
      <c r="H591" s="8" t="str">
        <f>IFERROR(__xludf.DUMMYFUNCTION("""COMPUTED_VALUE"""),"CRLN")</f>
        <v>CRLN</v>
      </c>
    </row>
    <row r="592">
      <c r="A592" s="8" t="str">
        <f>IFERROR(__xludf.DUMMYFUNCTION("""COMPUTED_VALUE"""),"FLB5815")</f>
        <v>FLB5815</v>
      </c>
      <c r="B592" s="8" t="str">
        <f>IFERROR(__xludf.DUMMYFUNCTION("""COMPUTED_VALUE"""),"RUN-FLMP_2022-01-27_APS-081")</f>
        <v>RUN-FLMP_2022-01-27_APS-081</v>
      </c>
      <c r="C592" s="10">
        <f>VLOOKUP(B592,'Run Reconcile'!A$2:B1579,2,FALSE)</f>
        <v>44588</v>
      </c>
      <c r="D592" s="14">
        <f>IFERROR(__xludf.DUMMYFUNCTION("""COMPUTED_VALUE"""),44588.0)</f>
        <v>44588</v>
      </c>
      <c r="E592" s="15">
        <f>IFERROR(__xludf.DUMMYFUNCTION("""COMPUTED_VALUE"""),0.3283796296309447)</f>
        <v>0.3283796296</v>
      </c>
      <c r="F592" s="8" t="str">
        <f>IFERROR(__xludf.DUMMYFUNCTION("""COMPUTED_VALUE"""),"Negative")</f>
        <v>Negative</v>
      </c>
      <c r="G592" s="16">
        <f>IFERROR(__xludf.DUMMYFUNCTION("""COMPUTED_VALUE"""),4.0)</f>
        <v>4</v>
      </c>
      <c r="H592" s="8" t="str">
        <f>IFERROR(__xludf.DUMMYFUNCTION("""COMPUTED_VALUE"""),"CRLN")</f>
        <v>CRLN</v>
      </c>
    </row>
    <row r="593">
      <c r="A593" s="8" t="str">
        <f>IFERROR(__xludf.DUMMYFUNCTION("""COMPUTED_VALUE"""),"FLB7142")</f>
        <v>FLB7142</v>
      </c>
      <c r="B593" s="8" t="str">
        <f>IFERROR(__xludf.DUMMYFUNCTION("""COMPUTED_VALUE"""),"RUN-FLMP_2022-01-27_APS-081")</f>
        <v>RUN-FLMP_2022-01-27_APS-081</v>
      </c>
      <c r="C593" s="10">
        <f>VLOOKUP(B593,'Run Reconcile'!A$2:B1579,2,FALSE)</f>
        <v>44588</v>
      </c>
      <c r="D593" s="14">
        <f>IFERROR(__xludf.DUMMYFUNCTION("""COMPUTED_VALUE"""),44588.0)</f>
        <v>44588</v>
      </c>
      <c r="E593" s="15">
        <f>IFERROR(__xludf.DUMMYFUNCTION("""COMPUTED_VALUE"""),0.32966435185153387)</f>
        <v>0.3296643519</v>
      </c>
      <c r="F593" s="8" t="str">
        <f>IFERROR(__xludf.DUMMYFUNCTION("""COMPUTED_VALUE"""),"Negative")</f>
        <v>Negative</v>
      </c>
      <c r="G593" s="16">
        <f>IFERROR(__xludf.DUMMYFUNCTION("""COMPUTED_VALUE"""),3.0)</f>
        <v>3</v>
      </c>
      <c r="H593" s="8" t="str">
        <f>IFERROR(__xludf.DUMMYFUNCTION("""COMPUTED_VALUE"""),"CRLN")</f>
        <v>CRLN</v>
      </c>
    </row>
    <row r="594">
      <c r="A594" s="8" t="str">
        <f>IFERROR(__xludf.DUMMYFUNCTION("""COMPUTED_VALUE"""),"MA1336")</f>
        <v>MA1336</v>
      </c>
      <c r="B594" s="8" t="str">
        <f>IFERROR(__xludf.DUMMYFUNCTION("""COMPUTED_VALUE"""),"RUN-FLMP_2022-01-27_APS-081")</f>
        <v>RUN-FLMP_2022-01-27_APS-081</v>
      </c>
      <c r="C594" s="10">
        <f>VLOOKUP(B594,'Run Reconcile'!A$2:B1579,2,FALSE)</f>
        <v>44588</v>
      </c>
      <c r="D594" s="14">
        <f>IFERROR(__xludf.DUMMYFUNCTION("""COMPUTED_VALUE"""),44588.0)</f>
        <v>44588</v>
      </c>
      <c r="E594" s="15">
        <f>IFERROR(__xludf.DUMMYFUNCTION("""COMPUTED_VALUE"""),0.3306944444448163)</f>
        <v>0.3306944444</v>
      </c>
      <c r="F594" s="8" t="str">
        <f>IFERROR(__xludf.DUMMYFUNCTION("""COMPUTED_VALUE"""),"Negative")</f>
        <v>Negative</v>
      </c>
      <c r="G594" s="16">
        <f>IFERROR(__xludf.DUMMYFUNCTION("""COMPUTED_VALUE"""),1.0)</f>
        <v>1</v>
      </c>
      <c r="H594" s="8" t="str">
        <f>IFERROR(__xludf.DUMMYFUNCTION("""COMPUTED_VALUE"""),"CRLN")</f>
        <v>CRLN</v>
      </c>
    </row>
    <row r="595">
      <c r="A595" s="8" t="str">
        <f>IFERROR(__xludf.DUMMYFUNCTION("""COMPUTED_VALUE"""),"MA1364")</f>
        <v>MA1364</v>
      </c>
      <c r="B595" s="8" t="str">
        <f>IFERROR(__xludf.DUMMYFUNCTION("""COMPUTED_VALUE"""),"RUN-FLMP_2022-01-27_APS-081")</f>
        <v>RUN-FLMP_2022-01-27_APS-081</v>
      </c>
      <c r="C595" s="10">
        <f>VLOOKUP(B595,'Run Reconcile'!A$2:B1579,2,FALSE)</f>
        <v>44588</v>
      </c>
      <c r="D595" s="14">
        <f>IFERROR(__xludf.DUMMYFUNCTION("""COMPUTED_VALUE"""),44588.0)</f>
        <v>44588</v>
      </c>
      <c r="E595" s="15">
        <f>IFERROR(__xludf.DUMMYFUNCTION("""COMPUTED_VALUE"""),0.330949074075761)</f>
        <v>0.3309490741</v>
      </c>
      <c r="F595" s="8" t="str">
        <f>IFERROR(__xludf.DUMMYFUNCTION("""COMPUTED_VALUE"""),"Negative")</f>
        <v>Negative</v>
      </c>
      <c r="G595" s="16">
        <f>IFERROR(__xludf.DUMMYFUNCTION("""COMPUTED_VALUE"""),1.0)</f>
        <v>1</v>
      </c>
      <c r="H595" s="8" t="str">
        <f>IFERROR(__xludf.DUMMYFUNCTION("""COMPUTED_VALUE"""),"CRLN")</f>
        <v>CRLN</v>
      </c>
    </row>
    <row r="596">
      <c r="A596" s="8" t="str">
        <f>IFERROR(__xludf.DUMMYFUNCTION("""COMPUTED_VALUE"""),"FLT192")</f>
        <v>FLT192</v>
      </c>
      <c r="B596" s="8" t="str">
        <f>IFERROR(__xludf.DUMMYFUNCTION("""COMPUTED_VALUE"""),"RUN-FLMP_2022-01-27_APS-081")</f>
        <v>RUN-FLMP_2022-01-27_APS-081</v>
      </c>
      <c r="C596" s="10">
        <f>VLOOKUP(B596,'Run Reconcile'!A$2:B1579,2,FALSE)</f>
        <v>44588</v>
      </c>
      <c r="D596" s="14">
        <f>IFERROR(__xludf.DUMMYFUNCTION("""COMPUTED_VALUE"""),44588.0)</f>
        <v>44588</v>
      </c>
      <c r="E596" s="15">
        <f>IFERROR(__xludf.DUMMYFUNCTION("""COMPUTED_VALUE"""),0.3318402777767915)</f>
        <v>0.3318402778</v>
      </c>
      <c r="F596" s="8" t="str">
        <f>IFERROR(__xludf.DUMMYFUNCTION("""COMPUTED_VALUE"""),"Negative")</f>
        <v>Negative</v>
      </c>
      <c r="G596" s="16">
        <f>IFERROR(__xludf.DUMMYFUNCTION("""COMPUTED_VALUE"""),3.0)</f>
        <v>3</v>
      </c>
      <c r="H596" s="8" t="str">
        <f>IFERROR(__xludf.DUMMYFUNCTION("""COMPUTED_VALUE"""),"CRLN")</f>
        <v>CRLN</v>
      </c>
    </row>
    <row r="597">
      <c r="A597" s="8" t="str">
        <f>IFERROR(__xludf.DUMMYFUNCTION("""COMPUTED_VALUE"""),"FLT1163")</f>
        <v>FLT1163</v>
      </c>
      <c r="B597" s="8" t="str">
        <f>IFERROR(__xludf.DUMMYFUNCTION("""COMPUTED_VALUE"""),"RUN-FLMP_2022-01-27_APS-081")</f>
        <v>RUN-FLMP_2022-01-27_APS-081</v>
      </c>
      <c r="C597" s="10">
        <f>VLOOKUP(B597,'Run Reconcile'!A$2:B1579,2,FALSE)</f>
        <v>44588</v>
      </c>
      <c r="D597" s="14">
        <f>IFERROR(__xludf.DUMMYFUNCTION("""COMPUTED_VALUE"""),44588.0)</f>
        <v>44588</v>
      </c>
      <c r="E597" s="15">
        <f>IFERROR(__xludf.DUMMYFUNCTION("""COMPUTED_VALUE"""),0.3380092592597066)</f>
        <v>0.3380092593</v>
      </c>
      <c r="F597" s="8" t="str">
        <f>IFERROR(__xludf.DUMMYFUNCTION("""COMPUTED_VALUE"""),"Negative")</f>
        <v>Negative</v>
      </c>
      <c r="G597" s="16">
        <f>IFERROR(__xludf.DUMMYFUNCTION("""COMPUTED_VALUE"""),1.0)</f>
        <v>1</v>
      </c>
      <c r="H597" s="8" t="str">
        <f>IFERROR(__xludf.DUMMYFUNCTION("""COMPUTED_VALUE"""),"CRLN")</f>
        <v>CRLN</v>
      </c>
    </row>
    <row r="598">
      <c r="A598" s="8" t="str">
        <f>IFERROR(__xludf.DUMMYFUNCTION("""COMPUTED_VALUE"""),"FLB5884")</f>
        <v>FLB5884</v>
      </c>
      <c r="B598" s="8" t="str">
        <f>IFERROR(__xludf.DUMMYFUNCTION("""COMPUTED_VALUE"""),"RUN-FLMP_2022-01-27_APS-081")</f>
        <v>RUN-FLMP_2022-01-27_APS-081</v>
      </c>
      <c r="C598" s="10">
        <f>VLOOKUP(B598,'Run Reconcile'!A$2:B1579,2,FALSE)</f>
        <v>44588</v>
      </c>
      <c r="D598" s="14">
        <f>IFERROR(__xludf.DUMMYFUNCTION("""COMPUTED_VALUE"""),44588.0)</f>
        <v>44588</v>
      </c>
      <c r="E598" s="15">
        <f>IFERROR(__xludf.DUMMYFUNCTION("""COMPUTED_VALUE"""),0.343611111111386)</f>
        <v>0.3436111111</v>
      </c>
      <c r="F598" s="8" t="str">
        <f>IFERROR(__xludf.DUMMYFUNCTION("""COMPUTED_VALUE"""),"Negative")</f>
        <v>Negative</v>
      </c>
      <c r="G598" s="16">
        <f>IFERROR(__xludf.DUMMYFUNCTION("""COMPUTED_VALUE"""),2.0)</f>
        <v>2</v>
      </c>
      <c r="H598" s="8" t="str">
        <f>IFERROR(__xludf.DUMMYFUNCTION("""COMPUTED_VALUE"""),"CRLN")</f>
        <v>CRLN</v>
      </c>
    </row>
    <row r="599">
      <c r="A599" s="8" t="str">
        <f>IFERROR(__xludf.DUMMYFUNCTION("""COMPUTED_VALUE"""),"FLT1486")</f>
        <v>FLT1486</v>
      </c>
      <c r="B599" s="8" t="str">
        <f>IFERROR(__xludf.DUMMYFUNCTION("""COMPUTED_VALUE"""),"RUN-FLMP_2022-01-27_APS-081")</f>
        <v>RUN-FLMP_2022-01-27_APS-081</v>
      </c>
      <c r="C599" s="10">
        <f>VLOOKUP(B599,'Run Reconcile'!A$2:B1579,2,FALSE)</f>
        <v>44588</v>
      </c>
      <c r="D599" s="14">
        <f>IFERROR(__xludf.DUMMYFUNCTION("""COMPUTED_VALUE"""),44588.0)</f>
        <v>44588</v>
      </c>
      <c r="E599" s="15">
        <f>IFERROR(__xludf.DUMMYFUNCTION("""COMPUTED_VALUE"""),0.3444328703699284)</f>
        <v>0.3444328704</v>
      </c>
      <c r="F599" s="8" t="str">
        <f>IFERROR(__xludf.DUMMYFUNCTION("""COMPUTED_VALUE"""),"Negative")</f>
        <v>Negative</v>
      </c>
      <c r="G599" s="16">
        <f>IFERROR(__xludf.DUMMYFUNCTION("""COMPUTED_VALUE"""),2.0)</f>
        <v>2</v>
      </c>
      <c r="H599" s="8" t="str">
        <f>IFERROR(__xludf.DUMMYFUNCTION("""COMPUTED_VALUE"""),"CRLN")</f>
        <v>CRLN</v>
      </c>
    </row>
    <row r="600">
      <c r="A600" s="8" t="str">
        <f>IFERROR(__xludf.DUMMYFUNCTION("""COMPUTED_VALUE"""),"FLB7406")</f>
        <v>FLB7406</v>
      </c>
      <c r="B600" s="8" t="str">
        <f>IFERROR(__xludf.DUMMYFUNCTION("""COMPUTED_VALUE"""),"RUN-FLMP_2022-01-27_APS-081")</f>
        <v>RUN-FLMP_2022-01-27_APS-081</v>
      </c>
      <c r="C600" s="10">
        <f>VLOOKUP(B600,'Run Reconcile'!A$2:B1579,2,FALSE)</f>
        <v>44588</v>
      </c>
      <c r="D600" s="14">
        <f>IFERROR(__xludf.DUMMYFUNCTION("""COMPUTED_VALUE"""),44588.0)</f>
        <v>44588</v>
      </c>
      <c r="E600" s="15">
        <f>IFERROR(__xludf.DUMMYFUNCTION("""COMPUTED_VALUE"""),0.35180555555416504)</f>
        <v>0.3518055556</v>
      </c>
      <c r="F600" s="8" t="str">
        <f>IFERROR(__xludf.DUMMYFUNCTION("""COMPUTED_VALUE"""),"Negative")</f>
        <v>Negative</v>
      </c>
      <c r="G600" s="16">
        <f>IFERROR(__xludf.DUMMYFUNCTION("""COMPUTED_VALUE"""),4.0)</f>
        <v>4</v>
      </c>
      <c r="H600" s="8" t="str">
        <f>IFERROR(__xludf.DUMMYFUNCTION("""COMPUTED_VALUE"""),"CRLN")</f>
        <v>CRLN</v>
      </c>
    </row>
    <row r="601">
      <c r="A601" s="8" t="str">
        <f>IFERROR(__xludf.DUMMYFUNCTION("""COMPUTED_VALUE"""),"FLB5844")</f>
        <v>FLB5844</v>
      </c>
      <c r="B601" s="8" t="str">
        <f>IFERROR(__xludf.DUMMYFUNCTION("""COMPUTED_VALUE"""),"RUN-FLMP_2022-01-27_APS-081")</f>
        <v>RUN-FLMP_2022-01-27_APS-081</v>
      </c>
      <c r="C601" s="10">
        <f>VLOOKUP(B601,'Run Reconcile'!A$2:B1579,2,FALSE)</f>
        <v>44588</v>
      </c>
      <c r="D601" s="14">
        <f>IFERROR(__xludf.DUMMYFUNCTION("""COMPUTED_VALUE"""),44588.0)</f>
        <v>44588</v>
      </c>
      <c r="E601" s="15">
        <f>IFERROR(__xludf.DUMMYFUNCTION("""COMPUTED_VALUE"""),0.3534837962979509)</f>
        <v>0.3534837963</v>
      </c>
      <c r="F601" s="8" t="str">
        <f>IFERROR(__xludf.DUMMYFUNCTION("""COMPUTED_VALUE"""),"Negative")</f>
        <v>Negative</v>
      </c>
      <c r="G601" s="16">
        <f>IFERROR(__xludf.DUMMYFUNCTION("""COMPUTED_VALUE"""),4.0)</f>
        <v>4</v>
      </c>
      <c r="H601" s="8" t="str">
        <f>IFERROR(__xludf.DUMMYFUNCTION("""COMPUTED_VALUE"""),"CRLN")</f>
        <v>CRLN</v>
      </c>
    </row>
    <row r="602">
      <c r="A602" s="8" t="str">
        <f>IFERROR(__xludf.DUMMYFUNCTION("""COMPUTED_VALUE"""),"FLE945")</f>
        <v>FLE945</v>
      </c>
      <c r="B602" s="8" t="str">
        <f>IFERROR(__xludf.DUMMYFUNCTION("""COMPUTED_VALUE"""),"RUN-FLMP_2022-01-27_APS-081")</f>
        <v>RUN-FLMP_2022-01-27_APS-081</v>
      </c>
      <c r="C602" s="10">
        <f>VLOOKUP(B602,'Run Reconcile'!A$2:B1579,2,FALSE)</f>
        <v>44588</v>
      </c>
      <c r="D602" s="14">
        <f>IFERROR(__xludf.DUMMYFUNCTION("""COMPUTED_VALUE"""),44588.0)</f>
        <v>44588</v>
      </c>
      <c r="E602" s="15">
        <f>IFERROR(__xludf.DUMMYFUNCTION("""COMPUTED_VALUE"""),0.35608796296219225)</f>
        <v>0.356087963</v>
      </c>
      <c r="F602" s="8" t="str">
        <f>IFERROR(__xludf.DUMMYFUNCTION("""COMPUTED_VALUE"""),"Negative")</f>
        <v>Negative</v>
      </c>
      <c r="G602" s="16">
        <f>IFERROR(__xludf.DUMMYFUNCTION("""COMPUTED_VALUE"""),2.0)</f>
        <v>2</v>
      </c>
      <c r="H602" s="8" t="str">
        <f>IFERROR(__xludf.DUMMYFUNCTION("""COMPUTED_VALUE"""),"CRLN")</f>
        <v>CRLN</v>
      </c>
    </row>
    <row r="603">
      <c r="A603" s="8" t="str">
        <f>IFERROR(__xludf.DUMMYFUNCTION("""COMPUTED_VALUE"""),"FLE929")</f>
        <v>FLE929</v>
      </c>
      <c r="B603" s="8" t="str">
        <f>IFERROR(__xludf.DUMMYFUNCTION("""COMPUTED_VALUE"""),"RUN-FLMP_2022-01-27_APS-081")</f>
        <v>RUN-FLMP_2022-01-27_APS-081</v>
      </c>
      <c r="C603" s="10">
        <f>VLOOKUP(B603,'Run Reconcile'!A$2:B1579,2,FALSE)</f>
        <v>44588</v>
      </c>
      <c r="D603" s="14">
        <f>IFERROR(__xludf.DUMMYFUNCTION("""COMPUTED_VALUE"""),44588.0)</f>
        <v>44588</v>
      </c>
      <c r="E603" s="15">
        <f>IFERROR(__xludf.DUMMYFUNCTION("""COMPUTED_VALUE"""),0.3561805555546016)</f>
        <v>0.3561805556</v>
      </c>
      <c r="F603" s="8" t="str">
        <f>IFERROR(__xludf.DUMMYFUNCTION("""COMPUTED_VALUE"""),"Negative")</f>
        <v>Negative</v>
      </c>
      <c r="G603" s="16">
        <f>IFERROR(__xludf.DUMMYFUNCTION("""COMPUTED_VALUE"""),4.0)</f>
        <v>4</v>
      </c>
      <c r="H603" s="8" t="str">
        <f>IFERROR(__xludf.DUMMYFUNCTION("""COMPUTED_VALUE"""),"CRLN")</f>
        <v>CRLN</v>
      </c>
    </row>
    <row r="604">
      <c r="A604" s="8" t="str">
        <f>IFERROR(__xludf.DUMMYFUNCTION("""COMPUTED_VALUE"""),"FLB5819")</f>
        <v>FLB5819</v>
      </c>
      <c r="B604" s="8" t="str">
        <f>IFERROR(__xludf.DUMMYFUNCTION("""COMPUTED_VALUE"""),"RUN-FLMP_2022-01-27_APS-081")</f>
        <v>RUN-FLMP_2022-01-27_APS-081</v>
      </c>
      <c r="C604" s="10">
        <f>VLOOKUP(B604,'Run Reconcile'!A$2:B1579,2,FALSE)</f>
        <v>44588</v>
      </c>
      <c r="D604" s="14">
        <f>IFERROR(__xludf.DUMMYFUNCTION("""COMPUTED_VALUE"""),44588.0)</f>
        <v>44588</v>
      </c>
      <c r="E604" s="15">
        <f>IFERROR(__xludf.DUMMYFUNCTION("""COMPUTED_VALUE"""),0.3633333333345945)</f>
        <v>0.3633333333</v>
      </c>
      <c r="F604" s="8" t="str">
        <f>IFERROR(__xludf.DUMMYFUNCTION("""COMPUTED_VALUE"""),"Negative")</f>
        <v>Negative</v>
      </c>
      <c r="G604" s="16">
        <f>IFERROR(__xludf.DUMMYFUNCTION("""COMPUTED_VALUE"""),1.0)</f>
        <v>1</v>
      </c>
      <c r="H604" s="8" t="str">
        <f>IFERROR(__xludf.DUMMYFUNCTION("""COMPUTED_VALUE"""),"CRLN")</f>
        <v>CRLN</v>
      </c>
    </row>
    <row r="605">
      <c r="A605" s="8" t="str">
        <f>IFERROR(__xludf.DUMMYFUNCTION("""COMPUTED_VALUE"""),"FLB4906")</f>
        <v>FLB4906</v>
      </c>
      <c r="B605" s="8" t="str">
        <f>IFERROR(__xludf.DUMMYFUNCTION("""COMPUTED_VALUE"""),"RUN-FLMP_2022-01-27_APS-081")</f>
        <v>RUN-FLMP_2022-01-27_APS-081</v>
      </c>
      <c r="C605" s="10">
        <f>VLOOKUP(B605,'Run Reconcile'!A$2:B1579,2,FALSE)</f>
        <v>44588</v>
      </c>
      <c r="D605" s="14">
        <f>IFERROR(__xludf.DUMMYFUNCTION("""COMPUTED_VALUE"""),44588.0)</f>
        <v>44588</v>
      </c>
      <c r="E605" s="15">
        <f>IFERROR(__xludf.DUMMYFUNCTION("""COMPUTED_VALUE"""),0.364571759258979)</f>
        <v>0.3645717593</v>
      </c>
      <c r="F605" s="8" t="str">
        <f>IFERROR(__xludf.DUMMYFUNCTION("""COMPUTED_VALUE"""),"Negative")</f>
        <v>Negative</v>
      </c>
      <c r="G605" s="16">
        <f>IFERROR(__xludf.DUMMYFUNCTION("""COMPUTED_VALUE"""),1.0)</f>
        <v>1</v>
      </c>
      <c r="H605" s="8" t="str">
        <f>IFERROR(__xludf.DUMMYFUNCTION("""COMPUTED_VALUE"""),"CRLN")</f>
        <v>CRLN</v>
      </c>
    </row>
    <row r="606">
      <c r="A606" s="8" t="str">
        <f>IFERROR(__xludf.DUMMYFUNCTION("""COMPUTED_VALUE"""),"FLE896")</f>
        <v>FLE896</v>
      </c>
      <c r="B606" s="8" t="str">
        <f>IFERROR(__xludf.DUMMYFUNCTION("""COMPUTED_VALUE"""),"RUN-FLMP_2022-01-27_APS-081")</f>
        <v>RUN-FLMP_2022-01-27_APS-081</v>
      </c>
      <c r="C606" s="10">
        <f>VLOOKUP(B606,'Run Reconcile'!A$2:B1579,2,FALSE)</f>
        <v>44588</v>
      </c>
      <c r="D606" s="14">
        <f>IFERROR(__xludf.DUMMYFUNCTION("""COMPUTED_VALUE"""),44588.0)</f>
        <v>44588</v>
      </c>
      <c r="E606" s="15">
        <f>IFERROR(__xludf.DUMMYFUNCTION("""COMPUTED_VALUE"""),0.36840277777810115)</f>
        <v>0.3684027778</v>
      </c>
      <c r="F606" s="8" t="str">
        <f>IFERROR(__xludf.DUMMYFUNCTION("""COMPUTED_VALUE"""),"Negative")</f>
        <v>Negative</v>
      </c>
      <c r="G606" s="16">
        <f>IFERROR(__xludf.DUMMYFUNCTION("""COMPUTED_VALUE"""),1.0)</f>
        <v>1</v>
      </c>
      <c r="H606" s="8" t="str">
        <f>IFERROR(__xludf.DUMMYFUNCTION("""COMPUTED_VALUE"""),"CRLN")</f>
        <v>CRLN</v>
      </c>
    </row>
    <row r="607">
      <c r="A607" s="8" t="str">
        <f>IFERROR(__xludf.DUMMYFUNCTION("""COMPUTED_VALUE"""),"FLB5874")</f>
        <v>FLB5874</v>
      </c>
      <c r="B607" s="8" t="str">
        <f>IFERROR(__xludf.DUMMYFUNCTION("""COMPUTED_VALUE"""),"RUN-FLMP_2022-01-27_APS-081")</f>
        <v>RUN-FLMP_2022-01-27_APS-081</v>
      </c>
      <c r="C607" s="10">
        <f>VLOOKUP(B607,'Run Reconcile'!A$2:B1579,2,FALSE)</f>
        <v>44588</v>
      </c>
      <c r="D607" s="14">
        <f>IFERROR(__xludf.DUMMYFUNCTION("""COMPUTED_VALUE"""),44588.0)</f>
        <v>44588</v>
      </c>
      <c r="E607" s="15">
        <f>IFERROR(__xludf.DUMMYFUNCTION("""COMPUTED_VALUE"""),0.3744097222224809)</f>
        <v>0.3744097222</v>
      </c>
      <c r="F607" s="8" t="str">
        <f>IFERROR(__xludf.DUMMYFUNCTION("""COMPUTED_VALUE"""),"Negative")</f>
        <v>Negative</v>
      </c>
      <c r="G607" s="16">
        <f>IFERROR(__xludf.DUMMYFUNCTION("""COMPUTED_VALUE"""),3.0)</f>
        <v>3</v>
      </c>
      <c r="H607" s="8" t="str">
        <f>IFERROR(__xludf.DUMMYFUNCTION("""COMPUTED_VALUE"""),"CRLN")</f>
        <v>CRLN</v>
      </c>
    </row>
    <row r="608">
      <c r="A608" s="8" t="str">
        <f>IFERROR(__xludf.DUMMYFUNCTION("""COMPUTED_VALUE"""),"MAX344")</f>
        <v>MAX344</v>
      </c>
      <c r="B608" s="8" t="str">
        <f>IFERROR(__xludf.DUMMYFUNCTION("""COMPUTED_VALUE"""),"RUN-FLMP_2022-01-29_APS-082")</f>
        <v>RUN-FLMP_2022-01-29_APS-082</v>
      </c>
      <c r="C608" s="10">
        <f>VLOOKUP(B608,'Run Reconcile'!A$2:B1579,2,FALSE)</f>
        <v>44590</v>
      </c>
      <c r="D608" s="14">
        <f>IFERROR(__xludf.DUMMYFUNCTION("""COMPUTED_VALUE"""),44590.0)</f>
        <v>44590</v>
      </c>
      <c r="E608" s="15">
        <f>IFERROR(__xludf.DUMMYFUNCTION("""COMPUTED_VALUE"""),0.31924768518365454)</f>
        <v>0.3192476852</v>
      </c>
      <c r="F608" s="8" t="str">
        <f>IFERROR(__xludf.DUMMYFUNCTION("""COMPUTED_VALUE"""),"Negative")</f>
        <v>Negative</v>
      </c>
      <c r="G608" s="16">
        <f>IFERROR(__xludf.DUMMYFUNCTION("""COMPUTED_VALUE"""),3.0)</f>
        <v>3</v>
      </c>
      <c r="H608" s="8" t="str">
        <f>IFERROR(__xludf.DUMMYFUNCTION("""COMPUTED_VALUE"""),"CRLN")</f>
        <v>CRLN</v>
      </c>
    </row>
    <row r="609">
      <c r="A609" s="8" t="str">
        <f>IFERROR(__xludf.DUMMYFUNCTION("""COMPUTED_VALUE"""),"MA901")</f>
        <v>MA901</v>
      </c>
      <c r="B609" s="8" t="str">
        <f>IFERROR(__xludf.DUMMYFUNCTION("""COMPUTED_VALUE"""),"RUN-FLMP_2022-01-29_APS-082")</f>
        <v>RUN-FLMP_2022-01-29_APS-082</v>
      </c>
      <c r="C609" s="10">
        <f>VLOOKUP(B609,'Run Reconcile'!A$2:B1579,2,FALSE)</f>
        <v>44590</v>
      </c>
      <c r="D609" s="14">
        <f>IFERROR(__xludf.DUMMYFUNCTION("""COMPUTED_VALUE"""),44590.0)</f>
        <v>44590</v>
      </c>
      <c r="E609" s="15">
        <f>IFERROR(__xludf.DUMMYFUNCTION("""COMPUTED_VALUE"""),0.42295138888948713)</f>
        <v>0.4229513889</v>
      </c>
      <c r="F609" s="8" t="str">
        <f>IFERROR(__xludf.DUMMYFUNCTION("""COMPUTED_VALUE"""),"Negative")</f>
        <v>Negative</v>
      </c>
      <c r="G609" s="16">
        <f>IFERROR(__xludf.DUMMYFUNCTION("""COMPUTED_VALUE"""),3.0)</f>
        <v>3</v>
      </c>
      <c r="H609" s="8" t="str">
        <f>IFERROR(__xludf.DUMMYFUNCTION("""COMPUTED_VALUE"""),"CRLN")</f>
        <v>CRLN</v>
      </c>
    </row>
    <row r="610">
      <c r="A610" s="8" t="str">
        <f>IFERROR(__xludf.DUMMYFUNCTION("""COMPUTED_VALUE"""),"MA58")</f>
        <v>MA58</v>
      </c>
      <c r="B610" s="8" t="str">
        <f>IFERROR(__xludf.DUMMYFUNCTION("""COMPUTED_VALUE"""),"RUN-FLMP_2022-01-29_APS-082")</f>
        <v>RUN-FLMP_2022-01-29_APS-082</v>
      </c>
      <c r="C610" s="10">
        <f>VLOOKUP(B610,'Run Reconcile'!A$2:B1579,2,FALSE)</f>
        <v>44590</v>
      </c>
      <c r="D610" s="14">
        <f>IFERROR(__xludf.DUMMYFUNCTION("""COMPUTED_VALUE"""),44590.0)</f>
        <v>44590</v>
      </c>
      <c r="E610" s="15">
        <f>IFERROR(__xludf.DUMMYFUNCTION("""COMPUTED_VALUE"""),0.45878472222102573)</f>
        <v>0.4587847222</v>
      </c>
      <c r="F610" s="8" t="str">
        <f>IFERROR(__xludf.DUMMYFUNCTION("""COMPUTED_VALUE"""),"Negative")</f>
        <v>Negative</v>
      </c>
      <c r="G610" s="16">
        <f>IFERROR(__xludf.DUMMYFUNCTION("""COMPUTED_VALUE"""),2.0)</f>
        <v>2</v>
      </c>
      <c r="H610" s="8" t="str">
        <f>IFERROR(__xludf.DUMMYFUNCTION("""COMPUTED_VALUE"""),"CRLN")</f>
        <v>CRLN</v>
      </c>
    </row>
    <row r="611">
      <c r="A611" s="8" t="str">
        <f>IFERROR(__xludf.DUMMYFUNCTION("""COMPUTED_VALUE"""),"MA98")</f>
        <v>MA98</v>
      </c>
      <c r="B611" s="8" t="str">
        <f>IFERROR(__xludf.DUMMYFUNCTION("""COMPUTED_VALUE"""),"RUN-FLMP_2022-01-29_APS-082")</f>
        <v>RUN-FLMP_2022-01-29_APS-082</v>
      </c>
      <c r="C611" s="10">
        <f>VLOOKUP(B611,'Run Reconcile'!A$2:B1579,2,FALSE)</f>
        <v>44590</v>
      </c>
      <c r="D611" s="14">
        <f>IFERROR(__xludf.DUMMYFUNCTION("""COMPUTED_VALUE"""),44590.0)</f>
        <v>44590</v>
      </c>
      <c r="E611" s="15">
        <f>IFERROR(__xludf.DUMMYFUNCTION("""COMPUTED_VALUE"""),0.4594444444446708)</f>
        <v>0.4594444444</v>
      </c>
      <c r="F611" s="8" t="str">
        <f>IFERROR(__xludf.DUMMYFUNCTION("""COMPUTED_VALUE"""),"Negative")</f>
        <v>Negative</v>
      </c>
      <c r="G611" s="16">
        <f>IFERROR(__xludf.DUMMYFUNCTION("""COMPUTED_VALUE"""),1.0)</f>
        <v>1</v>
      </c>
      <c r="H611" s="8" t="str">
        <f>IFERROR(__xludf.DUMMYFUNCTION("""COMPUTED_VALUE"""),"FLSP")</f>
        <v>FLSP</v>
      </c>
    </row>
    <row r="612">
      <c r="A612" s="8" t="str">
        <f>IFERROR(__xludf.DUMMYFUNCTION("""COMPUTED_VALUE"""),"MA22")</f>
        <v>MA22</v>
      </c>
      <c r="B612" s="8" t="str">
        <f>IFERROR(__xludf.DUMMYFUNCTION("""COMPUTED_VALUE"""),"RUN-FLMP_2022-01-29_APS-082")</f>
        <v>RUN-FLMP_2022-01-29_APS-082</v>
      </c>
      <c r="C612" s="10">
        <f>VLOOKUP(B612,'Run Reconcile'!A$2:B1579,2,FALSE)</f>
        <v>44590</v>
      </c>
      <c r="D612" s="14">
        <f>IFERROR(__xludf.DUMMYFUNCTION("""COMPUTED_VALUE"""),44590.0)</f>
        <v>44590</v>
      </c>
      <c r="E612" s="15">
        <f>IFERROR(__xludf.DUMMYFUNCTION("""COMPUTED_VALUE"""),0.4605324074072996)</f>
        <v>0.4605324074</v>
      </c>
      <c r="F612" s="8" t="str">
        <f>IFERROR(__xludf.DUMMYFUNCTION("""COMPUTED_VALUE"""),"Negative")</f>
        <v>Negative</v>
      </c>
      <c r="G612" s="16">
        <f>IFERROR(__xludf.DUMMYFUNCTION("""COMPUTED_VALUE"""),2.0)</f>
        <v>2</v>
      </c>
      <c r="H612" s="8" t="str">
        <f>IFERROR(__xludf.DUMMYFUNCTION("""COMPUTED_VALUE"""),"FLSP")</f>
        <v>FLSP</v>
      </c>
    </row>
    <row r="613">
      <c r="A613" s="8" t="str">
        <f>IFERROR(__xludf.DUMMYFUNCTION("""COMPUTED_VALUE"""),"MA116")</f>
        <v>MA116</v>
      </c>
      <c r="B613" s="8" t="str">
        <f>IFERROR(__xludf.DUMMYFUNCTION("""COMPUTED_VALUE"""),"RUN-FLMP_2022-01-29_APS-082")</f>
        <v>RUN-FLMP_2022-01-29_APS-082</v>
      </c>
      <c r="C613" s="10">
        <f>VLOOKUP(B613,'Run Reconcile'!A$2:B1579,2,FALSE)</f>
        <v>44590</v>
      </c>
      <c r="D613" s="14">
        <f>IFERROR(__xludf.DUMMYFUNCTION("""COMPUTED_VALUE"""),44590.0)</f>
        <v>44590</v>
      </c>
      <c r="E613" s="15">
        <f>IFERROR(__xludf.DUMMYFUNCTION("""COMPUTED_VALUE"""),0.46393518518380006)</f>
        <v>0.4639351852</v>
      </c>
      <c r="F613" s="8" t="str">
        <f>IFERROR(__xludf.DUMMYFUNCTION("""COMPUTED_VALUE"""),"Negative")</f>
        <v>Negative</v>
      </c>
      <c r="G613" s="16">
        <f>IFERROR(__xludf.DUMMYFUNCTION("""COMPUTED_VALUE"""),1.0)</f>
        <v>1</v>
      </c>
      <c r="H613" s="8" t="str">
        <f>IFERROR(__xludf.DUMMYFUNCTION("""COMPUTED_VALUE"""),"FLSP")</f>
        <v>FLSP</v>
      </c>
    </row>
    <row r="614">
      <c r="A614" s="8" t="str">
        <f>IFERROR(__xludf.DUMMYFUNCTION("""COMPUTED_VALUE"""),"FLB5806")</f>
        <v>FLB5806</v>
      </c>
      <c r="B614" s="8" t="str">
        <f>IFERROR(__xludf.DUMMYFUNCTION("""COMPUTED_VALUE"""),"RUN-FLMP_2022-01-31_RFR-076")</f>
        <v>RUN-FLMP_2022-01-31_RFR-076</v>
      </c>
      <c r="C614" s="10">
        <f>VLOOKUP(B614,'Run Reconcile'!A$2:B1579,2,FALSE)</f>
        <v>44592</v>
      </c>
      <c r="D614" s="14">
        <f>IFERROR(__xludf.DUMMYFUNCTION("""COMPUTED_VALUE"""),44591.0)</f>
        <v>44591</v>
      </c>
      <c r="E614" s="15">
        <f>IFERROR(__xludf.DUMMYFUNCTION("""COMPUTED_VALUE"""),0.7687268518529891)</f>
        <v>0.7687268519</v>
      </c>
      <c r="F614" s="8" t="str">
        <f>IFERROR(__xludf.DUMMYFUNCTION("""COMPUTED_VALUE"""),"Negative")</f>
        <v>Negative</v>
      </c>
      <c r="G614" s="16">
        <f>IFERROR(__xludf.DUMMYFUNCTION("""COMPUTED_VALUE"""),1.0)</f>
        <v>1</v>
      </c>
      <c r="H614" s="8" t="str">
        <f>IFERROR(__xludf.DUMMYFUNCTION("""COMPUTED_VALUE"""),"CRLN")</f>
        <v>CRLN</v>
      </c>
    </row>
    <row r="615">
      <c r="A615" s="8" t="str">
        <f>IFERROR(__xludf.DUMMYFUNCTION("""COMPUTED_VALUE"""),"FLE927")</f>
        <v>FLE927</v>
      </c>
      <c r="B615" s="8" t="str">
        <f>IFERROR(__xludf.DUMMYFUNCTION("""COMPUTED_VALUE"""),"RUN-FLMP_2022-01-31_RFR-076")</f>
        <v>RUN-FLMP_2022-01-31_RFR-076</v>
      </c>
      <c r="C615" s="10">
        <f>VLOOKUP(B615,'Run Reconcile'!A$2:B1579,2,FALSE)</f>
        <v>44592</v>
      </c>
      <c r="D615" s="14">
        <f>IFERROR(__xludf.DUMMYFUNCTION("""COMPUTED_VALUE"""),44591.0)</f>
        <v>44591</v>
      </c>
      <c r="E615" s="15">
        <f>IFERROR(__xludf.DUMMYFUNCTION("""COMPUTED_VALUE"""),0.7804861111108039)</f>
        <v>0.7804861111</v>
      </c>
      <c r="F615" s="8" t="str">
        <f>IFERROR(__xludf.DUMMYFUNCTION("""COMPUTED_VALUE"""),"Negative")</f>
        <v>Negative</v>
      </c>
      <c r="G615" s="16">
        <f>IFERROR(__xludf.DUMMYFUNCTION("""COMPUTED_VALUE"""),2.0)</f>
        <v>2</v>
      </c>
      <c r="H615" s="8" t="str">
        <f>IFERROR(__xludf.DUMMYFUNCTION("""COMPUTED_VALUE"""),"CRLN")</f>
        <v>CRLN</v>
      </c>
    </row>
    <row r="616">
      <c r="A616" s="8" t="str">
        <f>IFERROR(__xludf.DUMMYFUNCTION("""COMPUTED_VALUE"""),"FLB4926")</f>
        <v>FLB4926</v>
      </c>
      <c r="B616" s="8" t="str">
        <f>IFERROR(__xludf.DUMMYFUNCTION("""COMPUTED_VALUE"""),"RUN-FLMP_2022-01-31_RFR-076")</f>
        <v>RUN-FLMP_2022-01-31_RFR-076</v>
      </c>
      <c r="C616" s="10">
        <f>VLOOKUP(B616,'Run Reconcile'!A$2:B1579,2,FALSE)</f>
        <v>44592</v>
      </c>
      <c r="D616" s="14">
        <f>IFERROR(__xludf.DUMMYFUNCTION("""COMPUTED_VALUE"""),44592.0)</f>
        <v>44592</v>
      </c>
      <c r="E616" s="15">
        <f>IFERROR(__xludf.DUMMYFUNCTION("""COMPUTED_VALUE"""),0.21752314814875717)</f>
        <v>0.2175231481</v>
      </c>
      <c r="F616" s="8" t="str">
        <f>IFERROR(__xludf.DUMMYFUNCTION("""COMPUTED_VALUE"""),"Negative")</f>
        <v>Negative</v>
      </c>
      <c r="G616" s="16">
        <f>IFERROR(__xludf.DUMMYFUNCTION("""COMPUTED_VALUE"""),1.0)</f>
        <v>1</v>
      </c>
      <c r="H616" s="8" t="str">
        <f>IFERROR(__xludf.DUMMYFUNCTION("""COMPUTED_VALUE"""),"CRLN")</f>
        <v>CRLN</v>
      </c>
    </row>
    <row r="617">
      <c r="A617" s="8" t="str">
        <f>IFERROR(__xludf.DUMMYFUNCTION("""COMPUTED_VALUE"""),"FLB5749")</f>
        <v>FLB5749</v>
      </c>
      <c r="B617" s="8" t="str">
        <f>IFERROR(__xludf.DUMMYFUNCTION("""COMPUTED_VALUE"""),"RUN-FLMP_2022-01-31_RFR-076")</f>
        <v>RUN-FLMP_2022-01-31_RFR-076</v>
      </c>
      <c r="C617" s="10">
        <f>VLOOKUP(B617,'Run Reconcile'!A$2:B1579,2,FALSE)</f>
        <v>44592</v>
      </c>
      <c r="D617" s="14">
        <f>IFERROR(__xludf.DUMMYFUNCTION("""COMPUTED_VALUE"""),44592.0)</f>
        <v>44592</v>
      </c>
      <c r="E617" s="15">
        <f>IFERROR(__xludf.DUMMYFUNCTION("""COMPUTED_VALUE"""),0.2950925925943011)</f>
        <v>0.2950925926</v>
      </c>
      <c r="F617" s="8" t="str">
        <f>IFERROR(__xludf.DUMMYFUNCTION("""COMPUTED_VALUE"""),"Negative")</f>
        <v>Negative</v>
      </c>
      <c r="G617" s="16">
        <f>IFERROR(__xludf.DUMMYFUNCTION("""COMPUTED_VALUE"""),2.0)</f>
        <v>2</v>
      </c>
      <c r="H617" s="8" t="str">
        <f>IFERROR(__xludf.DUMMYFUNCTION("""COMPUTED_VALUE"""),"CRLN")</f>
        <v>CRLN</v>
      </c>
    </row>
    <row r="618">
      <c r="A618" s="8" t="str">
        <f>IFERROR(__xludf.DUMMYFUNCTION("""COMPUTED_VALUE"""),"FLE939")</f>
        <v>FLE939</v>
      </c>
      <c r="B618" s="8" t="str">
        <f>IFERROR(__xludf.DUMMYFUNCTION("""COMPUTED_VALUE"""),"RUN-FLMP_2022-01-31_RFR-076")</f>
        <v>RUN-FLMP_2022-01-31_RFR-076</v>
      </c>
      <c r="C618" s="10">
        <f>VLOOKUP(B618,'Run Reconcile'!A$2:B1579,2,FALSE)</f>
        <v>44592</v>
      </c>
      <c r="D618" s="14">
        <f>IFERROR(__xludf.DUMMYFUNCTION("""COMPUTED_VALUE"""),44592.0)</f>
        <v>44592</v>
      </c>
      <c r="E618" s="15">
        <f>IFERROR(__xludf.DUMMYFUNCTION("""COMPUTED_VALUE"""),0.3210763888891961)</f>
        <v>0.3210763889</v>
      </c>
      <c r="F618" s="8" t="str">
        <f>IFERROR(__xludf.DUMMYFUNCTION("""COMPUTED_VALUE"""),"Negative")</f>
        <v>Negative</v>
      </c>
      <c r="G618" s="16">
        <f>IFERROR(__xludf.DUMMYFUNCTION("""COMPUTED_VALUE"""),1.0)</f>
        <v>1</v>
      </c>
      <c r="H618" s="8" t="str">
        <f>IFERROR(__xludf.DUMMYFUNCTION("""COMPUTED_VALUE"""),"CRLN")</f>
        <v>CRLN</v>
      </c>
    </row>
    <row r="619">
      <c r="A619" s="8" t="str">
        <f>IFERROR(__xludf.DUMMYFUNCTION("""COMPUTED_VALUE"""),"FLB5873")</f>
        <v>FLB5873</v>
      </c>
      <c r="B619" s="8" t="str">
        <f>IFERROR(__xludf.DUMMYFUNCTION("""COMPUTED_VALUE"""),"RUN-FLMP_2022-01-31_RFR-076")</f>
        <v>RUN-FLMP_2022-01-31_RFR-076</v>
      </c>
      <c r="C619" s="10">
        <f>VLOOKUP(B619,'Run Reconcile'!A$2:B1579,2,FALSE)</f>
        <v>44592</v>
      </c>
      <c r="D619" s="14">
        <f>IFERROR(__xludf.DUMMYFUNCTION("""COMPUTED_VALUE"""),44592.0)</f>
        <v>44592</v>
      </c>
      <c r="E619" s="15">
        <f>IFERROR(__xludf.DUMMYFUNCTION("""COMPUTED_VALUE"""),0.3215856481474475)</f>
        <v>0.3215856481</v>
      </c>
      <c r="F619" s="8" t="str">
        <f>IFERROR(__xludf.DUMMYFUNCTION("""COMPUTED_VALUE"""),"Negative")</f>
        <v>Negative</v>
      </c>
      <c r="G619" s="16">
        <f>IFERROR(__xludf.DUMMYFUNCTION("""COMPUTED_VALUE"""),3.0)</f>
        <v>3</v>
      </c>
      <c r="H619" s="8" t="str">
        <f>IFERROR(__xludf.DUMMYFUNCTION("""COMPUTED_VALUE"""),"CRLN")</f>
        <v>CRLN</v>
      </c>
    </row>
    <row r="620">
      <c r="A620" s="8" t="str">
        <f>IFERROR(__xludf.DUMMYFUNCTION("""COMPUTED_VALUE"""),"FLB5839")</f>
        <v>FLB5839</v>
      </c>
      <c r="B620" s="8" t="str">
        <f>IFERROR(__xludf.DUMMYFUNCTION("""COMPUTED_VALUE"""),"RUN-FLMP_2022-01-31_RFR-076")</f>
        <v>RUN-FLMP_2022-01-31_RFR-076</v>
      </c>
      <c r="C620" s="10">
        <f>VLOOKUP(B620,'Run Reconcile'!A$2:B1579,2,FALSE)</f>
        <v>44592</v>
      </c>
      <c r="D620" s="14">
        <f>IFERROR(__xludf.DUMMYFUNCTION("""COMPUTED_VALUE"""),44592.0)</f>
        <v>44592</v>
      </c>
      <c r="E620" s="15">
        <f>IFERROR(__xludf.DUMMYFUNCTION("""COMPUTED_VALUE"""),0.323101851852698)</f>
        <v>0.3231018519</v>
      </c>
      <c r="F620" s="8" t="str">
        <f>IFERROR(__xludf.DUMMYFUNCTION("""COMPUTED_VALUE"""),"Negative")</f>
        <v>Negative</v>
      </c>
      <c r="G620" s="16">
        <f>IFERROR(__xludf.DUMMYFUNCTION("""COMPUTED_VALUE"""),4.0)</f>
        <v>4</v>
      </c>
      <c r="H620" s="8" t="str">
        <f>IFERROR(__xludf.DUMMYFUNCTION("""COMPUTED_VALUE"""),"CRLN")</f>
        <v>CRLN</v>
      </c>
    </row>
    <row r="621">
      <c r="A621" s="8" t="str">
        <f>IFERROR(__xludf.DUMMYFUNCTION("""COMPUTED_VALUE"""),"FLB5772")</f>
        <v>FLB5772</v>
      </c>
      <c r="B621" s="8" t="str">
        <f>IFERROR(__xludf.DUMMYFUNCTION("""COMPUTED_VALUE"""),"RUN-FLMP_2022-01-31_RFR-076")</f>
        <v>RUN-FLMP_2022-01-31_RFR-076</v>
      </c>
      <c r="C621" s="10">
        <f>VLOOKUP(B621,'Run Reconcile'!A$2:B1579,2,FALSE)</f>
        <v>44592</v>
      </c>
      <c r="D621" s="14">
        <f>IFERROR(__xludf.DUMMYFUNCTION("""COMPUTED_VALUE"""),44592.0)</f>
        <v>44592</v>
      </c>
      <c r="E621" s="15">
        <f>IFERROR(__xludf.DUMMYFUNCTION("""COMPUTED_VALUE"""),0.3238425925919728)</f>
        <v>0.3238425926</v>
      </c>
      <c r="F621" s="8" t="str">
        <f>IFERROR(__xludf.DUMMYFUNCTION("""COMPUTED_VALUE"""),"Negative")</f>
        <v>Negative</v>
      </c>
      <c r="G621" s="16">
        <f>IFERROR(__xludf.DUMMYFUNCTION("""COMPUTED_VALUE"""),4.0)</f>
        <v>4</v>
      </c>
      <c r="H621" s="8" t="str">
        <f>IFERROR(__xludf.DUMMYFUNCTION("""COMPUTED_VALUE"""),"CRLN")</f>
        <v>CRLN</v>
      </c>
    </row>
    <row r="622">
      <c r="A622" s="8" t="str">
        <f>IFERROR(__xludf.DUMMYFUNCTION("""COMPUTED_VALUE"""),"FLB5899")</f>
        <v>FLB5899</v>
      </c>
      <c r="B622" s="8" t="str">
        <f>IFERROR(__xludf.DUMMYFUNCTION("""COMPUTED_VALUE"""),"RUN-FLMP_2022-01-31_RFR-076")</f>
        <v>RUN-FLMP_2022-01-31_RFR-076</v>
      </c>
      <c r="C622" s="10">
        <f>VLOOKUP(B622,'Run Reconcile'!A$2:B1579,2,FALSE)</f>
        <v>44592</v>
      </c>
      <c r="D622" s="14">
        <f>IFERROR(__xludf.DUMMYFUNCTION("""COMPUTED_VALUE"""),44592.0)</f>
        <v>44592</v>
      </c>
      <c r="E622" s="15">
        <f>IFERROR(__xludf.DUMMYFUNCTION("""COMPUTED_VALUE"""),0.3243402777770825)</f>
        <v>0.3243402778</v>
      </c>
      <c r="F622" s="8" t="str">
        <f>IFERROR(__xludf.DUMMYFUNCTION("""COMPUTED_VALUE"""),"Negative")</f>
        <v>Negative</v>
      </c>
      <c r="G622" s="16">
        <f>IFERROR(__xludf.DUMMYFUNCTION("""COMPUTED_VALUE"""),4.0)</f>
        <v>4</v>
      </c>
      <c r="H622" s="8" t="str">
        <f>IFERROR(__xludf.DUMMYFUNCTION("""COMPUTED_VALUE"""),"CRLN")</f>
        <v>CRLN</v>
      </c>
    </row>
    <row r="623">
      <c r="A623" s="8" t="str">
        <f>IFERROR(__xludf.DUMMYFUNCTION("""COMPUTED_VALUE"""),"FLT1396")</f>
        <v>FLT1396</v>
      </c>
      <c r="B623" s="8" t="str">
        <f>IFERROR(__xludf.DUMMYFUNCTION("""COMPUTED_VALUE"""),"RUN-FLMP_2022-01-31_RFR-076")</f>
        <v>RUN-FLMP_2022-01-31_RFR-076</v>
      </c>
      <c r="C623" s="10">
        <f>VLOOKUP(B623,'Run Reconcile'!A$2:B1579,2,FALSE)</f>
        <v>44592</v>
      </c>
      <c r="D623" s="14">
        <f>IFERROR(__xludf.DUMMYFUNCTION("""COMPUTED_VALUE"""),44592.0)</f>
        <v>44592</v>
      </c>
      <c r="E623" s="15">
        <f>IFERROR(__xludf.DUMMYFUNCTION("""COMPUTED_VALUE"""),0.32600694444408873)</f>
        <v>0.3260069444</v>
      </c>
      <c r="F623" s="8" t="str">
        <f>IFERROR(__xludf.DUMMYFUNCTION("""COMPUTED_VALUE"""),"Negative")</f>
        <v>Negative</v>
      </c>
      <c r="G623" s="16">
        <f>IFERROR(__xludf.DUMMYFUNCTION("""COMPUTED_VALUE"""),4.0)</f>
        <v>4</v>
      </c>
      <c r="H623" s="8" t="str">
        <f>IFERROR(__xludf.DUMMYFUNCTION("""COMPUTED_VALUE"""),"CRLN")</f>
        <v>CRLN</v>
      </c>
    </row>
    <row r="624">
      <c r="A624" s="8" t="str">
        <f>IFERROR(__xludf.DUMMYFUNCTION("""COMPUTED_VALUE"""),"FLB5886")</f>
        <v>FLB5886</v>
      </c>
      <c r="B624" s="8" t="str">
        <f>IFERROR(__xludf.DUMMYFUNCTION("""COMPUTED_VALUE"""),"RUN-FLMP_2022-01-31_RFR-076")</f>
        <v>RUN-FLMP_2022-01-31_RFR-076</v>
      </c>
      <c r="C624" s="10">
        <f>VLOOKUP(B624,'Run Reconcile'!A$2:B1579,2,FALSE)</f>
        <v>44592</v>
      </c>
      <c r="D624" s="14">
        <f>IFERROR(__xludf.DUMMYFUNCTION("""COMPUTED_VALUE"""),44592.0)</f>
        <v>44592</v>
      </c>
      <c r="E624" s="15">
        <f>IFERROR(__xludf.DUMMYFUNCTION("""COMPUTED_VALUE"""),0.3289930555547471)</f>
        <v>0.3289930556</v>
      </c>
      <c r="F624" s="8" t="str">
        <f>IFERROR(__xludf.DUMMYFUNCTION("""COMPUTED_VALUE"""),"Negative")</f>
        <v>Negative</v>
      </c>
      <c r="G624" s="16">
        <f>IFERROR(__xludf.DUMMYFUNCTION("""COMPUTED_VALUE"""),4.0)</f>
        <v>4</v>
      </c>
      <c r="H624" s="8" t="str">
        <f>IFERROR(__xludf.DUMMYFUNCTION("""COMPUTED_VALUE"""),"CRLN")</f>
        <v>CRLN</v>
      </c>
    </row>
    <row r="625">
      <c r="A625" s="8" t="str">
        <f>IFERROR(__xludf.DUMMYFUNCTION("""COMPUTED_VALUE"""),"FLB5744")</f>
        <v>FLB5744</v>
      </c>
      <c r="B625" s="8" t="str">
        <f>IFERROR(__xludf.DUMMYFUNCTION("""COMPUTED_VALUE"""),"RUN-FLMP_2022-01-31_RFR-076")</f>
        <v>RUN-FLMP_2022-01-31_RFR-076</v>
      </c>
      <c r="C625" s="10">
        <f>VLOOKUP(B625,'Run Reconcile'!A$2:B1579,2,FALSE)</f>
        <v>44592</v>
      </c>
      <c r="D625" s="14">
        <f>IFERROR(__xludf.DUMMYFUNCTION("""COMPUTED_VALUE"""),44592.0)</f>
        <v>44592</v>
      </c>
      <c r="E625" s="15">
        <f>IFERROR(__xludf.DUMMYFUNCTION("""COMPUTED_VALUE"""),0.3295833333322662)</f>
        <v>0.3295833333</v>
      </c>
      <c r="F625" s="8" t="str">
        <f>IFERROR(__xludf.DUMMYFUNCTION("""COMPUTED_VALUE"""),"Negative")</f>
        <v>Negative</v>
      </c>
      <c r="G625" s="16">
        <f>IFERROR(__xludf.DUMMYFUNCTION("""COMPUTED_VALUE"""),4.0)</f>
        <v>4</v>
      </c>
      <c r="H625" s="8" t="str">
        <f>IFERROR(__xludf.DUMMYFUNCTION("""COMPUTED_VALUE"""),"CRLN")</f>
        <v>CRLN</v>
      </c>
    </row>
    <row r="626">
      <c r="A626" s="8" t="str">
        <f>IFERROR(__xludf.DUMMYFUNCTION("""COMPUTED_VALUE"""),"FLB5860")</f>
        <v>FLB5860</v>
      </c>
      <c r="B626" s="8" t="str">
        <f>IFERROR(__xludf.DUMMYFUNCTION("""COMPUTED_VALUE"""),"RUN-FLMP_2022-01-31_RFR-076")</f>
        <v>RUN-FLMP_2022-01-31_RFR-076</v>
      </c>
      <c r="C626" s="10">
        <f>VLOOKUP(B626,'Run Reconcile'!A$2:B1579,2,FALSE)</f>
        <v>44592</v>
      </c>
      <c r="D626" s="14">
        <f>IFERROR(__xludf.DUMMYFUNCTION("""COMPUTED_VALUE"""),44592.0)</f>
        <v>44592</v>
      </c>
      <c r="E626" s="15">
        <f>IFERROR(__xludf.DUMMYFUNCTION("""COMPUTED_VALUE"""),0.3385300925910997)</f>
        <v>0.3385300926</v>
      </c>
      <c r="F626" s="8" t="str">
        <f>IFERROR(__xludf.DUMMYFUNCTION("""COMPUTED_VALUE"""),"Negative")</f>
        <v>Negative</v>
      </c>
      <c r="G626" s="16">
        <f>IFERROR(__xludf.DUMMYFUNCTION("""COMPUTED_VALUE"""),2.0)</f>
        <v>2</v>
      </c>
      <c r="H626" s="8" t="str">
        <f>IFERROR(__xludf.DUMMYFUNCTION("""COMPUTED_VALUE"""),"CRLN")</f>
        <v>CRLN</v>
      </c>
    </row>
    <row r="627">
      <c r="A627" s="8" t="str">
        <f>IFERROR(__xludf.DUMMYFUNCTION("""COMPUTED_VALUE"""),"FLB7381")</f>
        <v>FLB7381</v>
      </c>
      <c r="B627" s="8" t="str">
        <f>IFERROR(__xludf.DUMMYFUNCTION("""COMPUTED_VALUE"""),"RUN-FLMP_2022-01-31_RFR-076")</f>
        <v>RUN-FLMP_2022-01-31_RFR-076</v>
      </c>
      <c r="C627" s="10">
        <f>VLOOKUP(B627,'Run Reconcile'!A$2:B1579,2,FALSE)</f>
        <v>44592</v>
      </c>
      <c r="D627" s="14">
        <f>IFERROR(__xludf.DUMMYFUNCTION("""COMPUTED_VALUE"""),44592.0)</f>
        <v>44592</v>
      </c>
      <c r="E627" s="15">
        <f>IFERROR(__xludf.DUMMYFUNCTION("""COMPUTED_VALUE"""),0.34155092592482106)</f>
        <v>0.3415509259</v>
      </c>
      <c r="F627" s="8" t="str">
        <f>IFERROR(__xludf.DUMMYFUNCTION("""COMPUTED_VALUE"""),"Negative")</f>
        <v>Negative</v>
      </c>
      <c r="G627" s="16">
        <f>IFERROR(__xludf.DUMMYFUNCTION("""COMPUTED_VALUE"""),1.0)</f>
        <v>1</v>
      </c>
      <c r="H627" s="8" t="str">
        <f>IFERROR(__xludf.DUMMYFUNCTION("""COMPUTED_VALUE"""),"CRLN")</f>
        <v>CRLN</v>
      </c>
    </row>
    <row r="628">
      <c r="A628" s="8" t="str">
        <f>IFERROR(__xludf.DUMMYFUNCTION("""COMPUTED_VALUE"""),"FLB7392")</f>
        <v>FLB7392</v>
      </c>
      <c r="B628" s="8" t="str">
        <f>IFERROR(__xludf.DUMMYFUNCTION("""COMPUTED_VALUE"""),"RUN-FLMP_2022-01-31_RFR-076")</f>
        <v>RUN-FLMP_2022-01-31_RFR-076</v>
      </c>
      <c r="C628" s="10">
        <f>VLOOKUP(B628,'Run Reconcile'!A$2:B1579,2,FALSE)</f>
        <v>44592</v>
      </c>
      <c r="D628" s="14">
        <f>IFERROR(__xludf.DUMMYFUNCTION("""COMPUTED_VALUE"""),44592.0)</f>
        <v>44592</v>
      </c>
      <c r="E628" s="15">
        <f>IFERROR(__xludf.DUMMYFUNCTION("""COMPUTED_VALUE"""),0.3478587962963502)</f>
        <v>0.3478587963</v>
      </c>
      <c r="F628" s="8" t="str">
        <f>IFERROR(__xludf.DUMMYFUNCTION("""COMPUTED_VALUE"""),"Negative")</f>
        <v>Negative</v>
      </c>
      <c r="G628" s="16">
        <f>IFERROR(__xludf.DUMMYFUNCTION("""COMPUTED_VALUE"""),3.0)</f>
        <v>3</v>
      </c>
      <c r="H628" s="8" t="str">
        <f>IFERROR(__xludf.DUMMYFUNCTION("""COMPUTED_VALUE"""),"CRLN")</f>
        <v>CRLN</v>
      </c>
    </row>
    <row r="629">
      <c r="A629" s="8" t="str">
        <f>IFERROR(__xludf.DUMMYFUNCTION("""COMPUTED_VALUE"""),"FLE905")</f>
        <v>FLE905</v>
      </c>
      <c r="B629" s="8" t="str">
        <f>IFERROR(__xludf.DUMMYFUNCTION("""COMPUTED_VALUE"""),"RUN-FLMP_2022-01-31_RFR-076")</f>
        <v>RUN-FLMP_2022-01-31_RFR-076</v>
      </c>
      <c r="C629" s="10">
        <f>VLOOKUP(B629,'Run Reconcile'!A$2:B1579,2,FALSE)</f>
        <v>44592</v>
      </c>
      <c r="D629" s="14">
        <f>IFERROR(__xludf.DUMMYFUNCTION("""COMPUTED_VALUE"""),44592.0)</f>
        <v>44592</v>
      </c>
      <c r="E629" s="15">
        <f>IFERROR(__xludf.DUMMYFUNCTION("""COMPUTED_VALUE"""),0.35208333333503106)</f>
        <v>0.3520833333</v>
      </c>
      <c r="F629" s="8" t="str">
        <f>IFERROR(__xludf.DUMMYFUNCTION("""COMPUTED_VALUE"""),"Negative")</f>
        <v>Negative</v>
      </c>
      <c r="G629" s="16">
        <f>IFERROR(__xludf.DUMMYFUNCTION("""COMPUTED_VALUE"""),4.0)</f>
        <v>4</v>
      </c>
      <c r="H629" s="8" t="str">
        <f>IFERROR(__xludf.DUMMYFUNCTION("""COMPUTED_VALUE"""),"CRLN")</f>
        <v>CRLN</v>
      </c>
    </row>
    <row r="630">
      <c r="A630" s="8" t="str">
        <f>IFERROR(__xludf.DUMMYFUNCTION("""COMPUTED_VALUE"""),"FLT1509")</f>
        <v>FLT1509</v>
      </c>
      <c r="B630" s="8" t="str">
        <f>IFERROR(__xludf.DUMMYFUNCTION("""COMPUTED_VALUE"""),"RUN-FLMP_2022-01-31_RFR-076")</f>
        <v>RUN-FLMP_2022-01-31_RFR-076</v>
      </c>
      <c r="C630" s="10">
        <f>VLOOKUP(B630,'Run Reconcile'!A$2:B1579,2,FALSE)</f>
        <v>44592</v>
      </c>
      <c r="D630" s="14">
        <f>IFERROR(__xludf.DUMMYFUNCTION("""COMPUTED_VALUE"""),44592.0)</f>
        <v>44592</v>
      </c>
      <c r="E630" s="15">
        <f>IFERROR(__xludf.DUMMYFUNCTION("""COMPUTED_VALUE"""),0.35223379629678675)</f>
        <v>0.3522337963</v>
      </c>
      <c r="F630" s="8" t="str">
        <f>IFERROR(__xludf.DUMMYFUNCTION("""COMPUTED_VALUE"""),"Negative")</f>
        <v>Negative</v>
      </c>
      <c r="G630" s="16">
        <f>IFERROR(__xludf.DUMMYFUNCTION("""COMPUTED_VALUE"""),2.0)</f>
        <v>2</v>
      </c>
      <c r="H630" s="8" t="str">
        <f>IFERROR(__xludf.DUMMYFUNCTION("""COMPUTED_VALUE"""),"CRLN")</f>
        <v>CRLN</v>
      </c>
    </row>
    <row r="631">
      <c r="A631" s="8" t="str">
        <f>IFERROR(__xludf.DUMMYFUNCTION("""COMPUTED_VALUE"""),"FLB5987")</f>
        <v>FLB5987</v>
      </c>
      <c r="B631" s="8" t="str">
        <f>IFERROR(__xludf.DUMMYFUNCTION("""COMPUTED_VALUE"""),"RUN-FLMP_2022-01-31_RFR-076")</f>
        <v>RUN-FLMP_2022-01-31_RFR-076</v>
      </c>
      <c r="C631" s="10">
        <f>VLOOKUP(B631,'Run Reconcile'!A$2:B1579,2,FALSE)</f>
        <v>44592</v>
      </c>
      <c r="D631" s="14">
        <f>IFERROR(__xludf.DUMMYFUNCTION("""COMPUTED_VALUE"""),44592.0)</f>
        <v>44592</v>
      </c>
      <c r="E631" s="15">
        <f>IFERROR(__xludf.DUMMYFUNCTION("""COMPUTED_VALUE"""),0.35440972222204437)</f>
        <v>0.3544097222</v>
      </c>
      <c r="F631" s="8" t="str">
        <f>IFERROR(__xludf.DUMMYFUNCTION("""COMPUTED_VALUE"""),"Negative")</f>
        <v>Negative</v>
      </c>
      <c r="G631" s="16">
        <f>IFERROR(__xludf.DUMMYFUNCTION("""COMPUTED_VALUE"""),4.0)</f>
        <v>4</v>
      </c>
      <c r="H631" s="8" t="str">
        <f>IFERROR(__xludf.DUMMYFUNCTION("""COMPUTED_VALUE"""),"CRLN")</f>
        <v>CRLN</v>
      </c>
    </row>
    <row r="632">
      <c r="A632" s="8" t="str">
        <f>IFERROR(__xludf.DUMMYFUNCTION("""COMPUTED_VALUE"""),"FLT1410")</f>
        <v>FLT1410</v>
      </c>
      <c r="B632" s="8" t="str">
        <f>IFERROR(__xludf.DUMMYFUNCTION("""COMPUTED_VALUE"""),"RUN-FLMP_2022-01-31_RFR-076")</f>
        <v>RUN-FLMP_2022-01-31_RFR-076</v>
      </c>
      <c r="C632" s="10">
        <f>VLOOKUP(B632,'Run Reconcile'!A$2:B1579,2,FALSE)</f>
        <v>44592</v>
      </c>
      <c r="D632" s="14">
        <f>IFERROR(__xludf.DUMMYFUNCTION("""COMPUTED_VALUE"""),44592.0)</f>
        <v>44592</v>
      </c>
      <c r="E632" s="15">
        <f>IFERROR(__xludf.DUMMYFUNCTION("""COMPUTED_VALUE"""),0.3581712962950405)</f>
        <v>0.3581712963</v>
      </c>
      <c r="F632" s="8" t="str">
        <f>IFERROR(__xludf.DUMMYFUNCTION("""COMPUTED_VALUE"""),"Negative")</f>
        <v>Negative</v>
      </c>
      <c r="G632" s="16">
        <f>IFERROR(__xludf.DUMMYFUNCTION("""COMPUTED_VALUE"""),1.0)</f>
        <v>1</v>
      </c>
      <c r="H632" s="8" t="str">
        <f>IFERROR(__xludf.DUMMYFUNCTION("""COMPUTED_VALUE"""),"CRLN")</f>
        <v>CRLN</v>
      </c>
    </row>
    <row r="633">
      <c r="A633" s="8" t="str">
        <f>IFERROR(__xludf.DUMMYFUNCTION("""COMPUTED_VALUE"""),"FLT1437")</f>
        <v>FLT1437</v>
      </c>
      <c r="B633" s="8" t="str">
        <f>IFERROR(__xludf.DUMMYFUNCTION("""COMPUTED_VALUE"""),"RUN-FLMP_2022-01-31_RFR-076")</f>
        <v>RUN-FLMP_2022-01-31_RFR-076</v>
      </c>
      <c r="C633" s="10">
        <f>VLOOKUP(B633,'Run Reconcile'!A$2:B1579,2,FALSE)</f>
        <v>44592</v>
      </c>
      <c r="D633" s="14">
        <f>IFERROR(__xludf.DUMMYFUNCTION("""COMPUTED_VALUE"""),44592.0)</f>
        <v>44592</v>
      </c>
      <c r="E633" s="15">
        <f>IFERROR(__xludf.DUMMYFUNCTION("""COMPUTED_VALUE"""),0.3607523148129985)</f>
        <v>0.3607523148</v>
      </c>
      <c r="F633" s="8" t="str">
        <f>IFERROR(__xludf.DUMMYFUNCTION("""COMPUTED_VALUE"""),"Negative")</f>
        <v>Negative</v>
      </c>
      <c r="G633" s="16">
        <f>IFERROR(__xludf.DUMMYFUNCTION("""COMPUTED_VALUE"""),1.0)</f>
        <v>1</v>
      </c>
      <c r="H633" s="8" t="str">
        <f>IFERROR(__xludf.DUMMYFUNCTION("""COMPUTED_VALUE"""),"CRLN")</f>
        <v>CRLN</v>
      </c>
    </row>
    <row r="634">
      <c r="A634" s="8" t="str">
        <f>IFERROR(__xludf.DUMMYFUNCTION("""COMPUTED_VALUE"""),"FLB4903")</f>
        <v>FLB4903</v>
      </c>
      <c r="B634" s="8" t="str">
        <f>IFERROR(__xludf.DUMMYFUNCTION("""COMPUTED_VALUE"""),"RUN-FLMP_2022-01-31_RFR-076")</f>
        <v>RUN-FLMP_2022-01-31_RFR-076</v>
      </c>
      <c r="C634" s="10">
        <f>VLOOKUP(B634,'Run Reconcile'!A$2:B1579,2,FALSE)</f>
        <v>44592</v>
      </c>
      <c r="D634" s="14">
        <f>IFERROR(__xludf.DUMMYFUNCTION("""COMPUTED_VALUE"""),44592.0)</f>
        <v>44592</v>
      </c>
      <c r="E634" s="15">
        <f>IFERROR(__xludf.DUMMYFUNCTION("""COMPUTED_VALUE"""),0.36490740740919136)</f>
        <v>0.3649074074</v>
      </c>
      <c r="F634" s="8" t="str">
        <f>IFERROR(__xludf.DUMMYFUNCTION("""COMPUTED_VALUE"""),"Negative")</f>
        <v>Negative</v>
      </c>
      <c r="G634" s="16">
        <f>IFERROR(__xludf.DUMMYFUNCTION("""COMPUTED_VALUE"""),1.0)</f>
        <v>1</v>
      </c>
      <c r="H634" s="8" t="str">
        <f>IFERROR(__xludf.DUMMYFUNCTION("""COMPUTED_VALUE"""),"CRLN")</f>
        <v>CRLN</v>
      </c>
    </row>
    <row r="635">
      <c r="A635" s="8" t="str">
        <f>IFERROR(__xludf.DUMMYFUNCTION("""COMPUTED_VALUE"""),"FLE281")</f>
        <v>FLE281</v>
      </c>
      <c r="B635" s="8" t="str">
        <f>IFERROR(__xludf.DUMMYFUNCTION("""COMPUTED_VALUE"""),"RUN-FLMP_2022-01-31_RFR-076")</f>
        <v>RUN-FLMP_2022-01-31_RFR-076</v>
      </c>
      <c r="C635" s="10">
        <f>VLOOKUP(B635,'Run Reconcile'!A$2:B1579,2,FALSE)</f>
        <v>44592</v>
      </c>
      <c r="D635" s="14">
        <f>IFERROR(__xludf.DUMMYFUNCTION("""COMPUTED_VALUE"""),44592.0)</f>
        <v>44592</v>
      </c>
      <c r="E635" s="15">
        <f>IFERROR(__xludf.DUMMYFUNCTION("""COMPUTED_VALUE"""),0.36974537037167465)</f>
        <v>0.3697453704</v>
      </c>
      <c r="F635" s="8" t="str">
        <f>IFERROR(__xludf.DUMMYFUNCTION("""COMPUTED_VALUE"""),"Negative")</f>
        <v>Negative</v>
      </c>
      <c r="G635" s="16">
        <f>IFERROR(__xludf.DUMMYFUNCTION("""COMPUTED_VALUE"""),3.0)</f>
        <v>3</v>
      </c>
      <c r="H635" s="8" t="str">
        <f>IFERROR(__xludf.DUMMYFUNCTION("""COMPUTED_VALUE"""),"CRLN")</f>
        <v>CRLN</v>
      </c>
    </row>
    <row r="636">
      <c r="A636" s="8" t="str">
        <f>IFERROR(__xludf.DUMMYFUNCTION("""COMPUTED_VALUE"""),"FLB5876")</f>
        <v>FLB5876</v>
      </c>
      <c r="B636" s="8" t="str">
        <f>IFERROR(__xludf.DUMMYFUNCTION("""COMPUTED_VALUE"""),"RUN-FLMP_2022-01-31_RFR-076")</f>
        <v>RUN-FLMP_2022-01-31_RFR-076</v>
      </c>
      <c r="C636" s="10">
        <f>VLOOKUP(B636,'Run Reconcile'!A$2:B1579,2,FALSE)</f>
        <v>44592</v>
      </c>
      <c r="D636" s="14">
        <f>IFERROR(__xludf.DUMMYFUNCTION("""COMPUTED_VALUE"""),44592.0)</f>
        <v>44592</v>
      </c>
      <c r="E636" s="15">
        <f>IFERROR(__xludf.DUMMYFUNCTION("""COMPUTED_VALUE"""),0.37346064814846613)</f>
        <v>0.3734606481</v>
      </c>
      <c r="F636" s="8" t="str">
        <f>IFERROR(__xludf.DUMMYFUNCTION("""COMPUTED_VALUE"""),"Negative")</f>
        <v>Negative</v>
      </c>
      <c r="G636" s="16">
        <f>IFERROR(__xludf.DUMMYFUNCTION("""COMPUTED_VALUE"""),3.0)</f>
        <v>3</v>
      </c>
      <c r="H636" s="8" t="str">
        <f>IFERROR(__xludf.DUMMYFUNCTION("""COMPUTED_VALUE"""),"CRLN")</f>
        <v>CRLN</v>
      </c>
    </row>
    <row r="637">
      <c r="A637" s="8" t="str">
        <f>IFERROR(__xludf.DUMMYFUNCTION("""COMPUTED_VALUE"""),"MA1331")</f>
        <v>MA1331</v>
      </c>
      <c r="B637" s="8" t="str">
        <f>IFERROR(__xludf.DUMMYFUNCTION("""COMPUTED_VALUE"""),"RUN-FLMP_2022-02-02_RFR-078")</f>
        <v>RUN-FLMP_2022-02-02_RFR-078</v>
      </c>
      <c r="C637" s="10">
        <f>VLOOKUP(B637,'Run Reconcile'!A$2:B1579,2,FALSE)</f>
        <v>44594</v>
      </c>
      <c r="D637" s="14">
        <f>IFERROR(__xludf.DUMMYFUNCTION("""COMPUTED_VALUE"""),44594.0)</f>
        <v>44594</v>
      </c>
      <c r="E637" s="15">
        <f>IFERROR(__xludf.DUMMYFUNCTION("""COMPUTED_VALUE"""),0.33545138888803194)</f>
        <v>0.3354513889</v>
      </c>
      <c r="F637" s="8" t="str">
        <f>IFERROR(__xludf.DUMMYFUNCTION("""COMPUTED_VALUE"""),"Negative")</f>
        <v>Negative</v>
      </c>
      <c r="G637" s="16">
        <f>IFERROR(__xludf.DUMMYFUNCTION("""COMPUTED_VALUE"""),3.0)</f>
        <v>3</v>
      </c>
      <c r="H637" s="8" t="str">
        <f>IFERROR(__xludf.DUMMYFUNCTION("""COMPUTED_VALUE"""),"CRLN")</f>
        <v>CRLN</v>
      </c>
    </row>
    <row r="638">
      <c r="A638" s="8" t="str">
        <f>IFERROR(__xludf.DUMMYFUNCTION("""COMPUTED_VALUE"""),"MAX343")</f>
        <v>MAX343</v>
      </c>
      <c r="B638" s="8" t="str">
        <f>IFERROR(__xludf.DUMMYFUNCTION("""COMPUTED_VALUE"""),"RUN-FLMP_2022-02-02_RFR-078")</f>
        <v>RUN-FLMP_2022-02-02_RFR-078</v>
      </c>
      <c r="C638" s="10">
        <f>VLOOKUP(B638,'Run Reconcile'!A$2:B1579,2,FALSE)</f>
        <v>44594</v>
      </c>
      <c r="D638" s="14">
        <f>IFERROR(__xludf.DUMMYFUNCTION("""COMPUTED_VALUE"""),44594.0)</f>
        <v>44594</v>
      </c>
      <c r="E638" s="15">
        <f>IFERROR(__xludf.DUMMYFUNCTION("""COMPUTED_VALUE"""),0.338622685183509)</f>
        <v>0.3386226852</v>
      </c>
      <c r="F638" s="8" t="str">
        <f>IFERROR(__xludf.DUMMYFUNCTION("""COMPUTED_VALUE"""),"Negative")</f>
        <v>Negative</v>
      </c>
      <c r="G638" s="16">
        <f>IFERROR(__xludf.DUMMYFUNCTION("""COMPUTED_VALUE"""),2.0)</f>
        <v>2</v>
      </c>
      <c r="H638" s="8" t="str">
        <f>IFERROR(__xludf.DUMMYFUNCTION("""COMPUTED_VALUE"""),"CRLN")</f>
        <v>CRLN</v>
      </c>
    </row>
    <row r="639">
      <c r="A639" s="8" t="str">
        <f>IFERROR(__xludf.DUMMYFUNCTION("""COMPUTED_VALUE"""),"MA922")</f>
        <v>MA922</v>
      </c>
      <c r="B639" s="8" t="str">
        <f>IFERROR(__xludf.DUMMYFUNCTION("""COMPUTED_VALUE"""),"RUN-FLMP_2022-02-02_RFR-078")</f>
        <v>RUN-FLMP_2022-02-02_RFR-078</v>
      </c>
      <c r="C639" s="10">
        <f>VLOOKUP(B639,'Run Reconcile'!A$2:B1579,2,FALSE)</f>
        <v>44594</v>
      </c>
      <c r="D639" s="14">
        <f>IFERROR(__xludf.DUMMYFUNCTION("""COMPUTED_VALUE"""),44594.0)</f>
        <v>44594</v>
      </c>
      <c r="E639" s="15">
        <f>IFERROR(__xludf.DUMMYFUNCTION("""COMPUTED_VALUE"""),0.3663194444452529)</f>
        <v>0.3663194444</v>
      </c>
      <c r="F639" s="8" t="str">
        <f>IFERROR(__xludf.DUMMYFUNCTION("""COMPUTED_VALUE"""),"Negative")</f>
        <v>Negative</v>
      </c>
      <c r="G639" s="16">
        <f>IFERROR(__xludf.DUMMYFUNCTION("""COMPUTED_VALUE"""),1.0)</f>
        <v>1</v>
      </c>
      <c r="H639" s="8" t="str">
        <f>IFERROR(__xludf.DUMMYFUNCTION("""COMPUTED_VALUE"""),"CRLN")</f>
        <v>CRLN</v>
      </c>
    </row>
    <row r="640">
      <c r="A640" s="8" t="str">
        <f>IFERROR(__xludf.DUMMYFUNCTION("""COMPUTED_VALUE"""),"FLT1449")</f>
        <v>FLT1449</v>
      </c>
      <c r="B640" s="8" t="str">
        <f>IFERROR(__xludf.DUMMYFUNCTION("""COMPUTED_VALUE"""),"RUN-FLMP_2022-02-03_RFR-079")</f>
        <v>RUN-FLMP_2022-02-03_RFR-079</v>
      </c>
      <c r="C640" s="10">
        <f>VLOOKUP(B640,'Run Reconcile'!A$2:B1579,2,FALSE)</f>
        <v>44595</v>
      </c>
      <c r="D640" s="14">
        <f>IFERROR(__xludf.DUMMYFUNCTION("""COMPUTED_VALUE"""),44594.0)</f>
        <v>44594</v>
      </c>
      <c r="E640" s="15">
        <f>IFERROR(__xludf.DUMMYFUNCTION("""COMPUTED_VALUE"""),0.7847106481494848)</f>
        <v>0.7847106481</v>
      </c>
      <c r="F640" s="8" t="str">
        <f>IFERROR(__xludf.DUMMYFUNCTION("""COMPUTED_VALUE"""),"Negative")</f>
        <v>Negative</v>
      </c>
      <c r="G640" s="16">
        <f>IFERROR(__xludf.DUMMYFUNCTION("""COMPUTED_VALUE"""),1.0)</f>
        <v>1</v>
      </c>
      <c r="H640" s="8" t="str">
        <f>IFERROR(__xludf.DUMMYFUNCTION("""COMPUTED_VALUE"""),"CRLN")</f>
        <v>CRLN</v>
      </c>
    </row>
    <row r="641">
      <c r="A641" s="8" t="str">
        <f>IFERROR(__xludf.DUMMYFUNCTION("""COMPUTED_VALUE"""),"FLB5879")</f>
        <v>FLB5879</v>
      </c>
      <c r="B641" s="8" t="str">
        <f>IFERROR(__xludf.DUMMYFUNCTION("""COMPUTED_VALUE"""),"RUN-FLMP_2022-02-03_RFR-079")</f>
        <v>RUN-FLMP_2022-02-03_RFR-079</v>
      </c>
      <c r="C641" s="10">
        <f>VLOOKUP(B641,'Run Reconcile'!A$2:B1579,2,FALSE)</f>
        <v>44595</v>
      </c>
      <c r="D641" s="14">
        <f>IFERROR(__xludf.DUMMYFUNCTION("""COMPUTED_VALUE"""),44594.0)</f>
        <v>44594</v>
      </c>
      <c r="E641" s="15">
        <f>IFERROR(__xludf.DUMMYFUNCTION("""COMPUTED_VALUE"""),0.8837731481471565)</f>
        <v>0.8837731481</v>
      </c>
      <c r="F641" s="8" t="str">
        <f>IFERROR(__xludf.DUMMYFUNCTION("""COMPUTED_VALUE"""),"Negative")</f>
        <v>Negative</v>
      </c>
      <c r="G641" s="16">
        <f>IFERROR(__xludf.DUMMYFUNCTION("""COMPUTED_VALUE"""),4.0)</f>
        <v>4</v>
      </c>
      <c r="H641" s="8" t="str">
        <f>IFERROR(__xludf.DUMMYFUNCTION("""COMPUTED_VALUE"""),"CRLN")</f>
        <v>CRLN</v>
      </c>
    </row>
    <row r="642">
      <c r="A642" s="8" t="str">
        <f>IFERROR(__xludf.DUMMYFUNCTION("""COMPUTED_VALUE"""),"FLB4961")</f>
        <v>FLB4961</v>
      </c>
      <c r="B642" s="8" t="str">
        <f>IFERROR(__xludf.DUMMYFUNCTION("""COMPUTED_VALUE"""),"RUN-FLMP_2022-02-03_RFR-079")</f>
        <v>RUN-FLMP_2022-02-03_RFR-079</v>
      </c>
      <c r="C642" s="10">
        <f>VLOOKUP(B642,'Run Reconcile'!A$2:B1579,2,FALSE)</f>
        <v>44595</v>
      </c>
      <c r="D642" s="14">
        <f>IFERROR(__xludf.DUMMYFUNCTION("""COMPUTED_VALUE"""),44595.0)</f>
        <v>44595</v>
      </c>
      <c r="E642" s="15">
        <f>IFERROR(__xludf.DUMMYFUNCTION("""COMPUTED_VALUE"""),0.2235532407394203)</f>
        <v>0.2235532407</v>
      </c>
      <c r="F642" s="8" t="str">
        <f>IFERROR(__xludf.DUMMYFUNCTION("""COMPUTED_VALUE"""),"Negative")</f>
        <v>Negative</v>
      </c>
      <c r="G642" s="16">
        <f>IFERROR(__xludf.DUMMYFUNCTION("""COMPUTED_VALUE"""),1.0)</f>
        <v>1</v>
      </c>
      <c r="H642" s="8" t="str">
        <f>IFERROR(__xludf.DUMMYFUNCTION("""COMPUTED_VALUE"""),"CRLN")</f>
        <v>CRLN</v>
      </c>
    </row>
    <row r="643">
      <c r="A643" s="8" t="str">
        <f>IFERROR(__xludf.DUMMYFUNCTION("""COMPUTED_VALUE"""),"FLB5788")</f>
        <v>FLB5788</v>
      </c>
      <c r="B643" s="8" t="str">
        <f>IFERROR(__xludf.DUMMYFUNCTION("""COMPUTED_VALUE"""),"RUN-FLMP_2022-02-03_RFR-079")</f>
        <v>RUN-FLMP_2022-02-03_RFR-079</v>
      </c>
      <c r="C643" s="10">
        <f>VLOOKUP(B643,'Run Reconcile'!A$2:B1579,2,FALSE)</f>
        <v>44595</v>
      </c>
      <c r="D643" s="14">
        <f>IFERROR(__xludf.DUMMYFUNCTION("""COMPUTED_VALUE"""),44595.0)</f>
        <v>44595</v>
      </c>
      <c r="E643" s="15">
        <f>IFERROR(__xludf.DUMMYFUNCTION("""COMPUTED_VALUE"""),0.30194444444350665)</f>
        <v>0.3019444444</v>
      </c>
      <c r="F643" s="8" t="str">
        <f>IFERROR(__xludf.DUMMYFUNCTION("""COMPUTED_VALUE"""),"Negative")</f>
        <v>Negative</v>
      </c>
      <c r="G643" s="16">
        <f>IFERROR(__xludf.DUMMYFUNCTION("""COMPUTED_VALUE"""),2.0)</f>
        <v>2</v>
      </c>
      <c r="H643" s="8" t="str">
        <f>IFERROR(__xludf.DUMMYFUNCTION("""COMPUTED_VALUE"""),"CRLN")</f>
        <v>CRLN</v>
      </c>
    </row>
    <row r="644">
      <c r="A644" s="8" t="str">
        <f>IFERROR(__xludf.DUMMYFUNCTION("""COMPUTED_VALUE"""),"FLB5436")</f>
        <v>FLB5436</v>
      </c>
      <c r="B644" s="8" t="str">
        <f>IFERROR(__xludf.DUMMYFUNCTION("""COMPUTED_VALUE"""),"RUN-FLMP_2022-02-03_RFR-079")</f>
        <v>RUN-FLMP_2022-02-03_RFR-079</v>
      </c>
      <c r="C644" s="10">
        <f>VLOOKUP(B644,'Run Reconcile'!A$2:B1579,2,FALSE)</f>
        <v>44595</v>
      </c>
      <c r="D644" s="14">
        <f>IFERROR(__xludf.DUMMYFUNCTION("""COMPUTED_VALUE"""),44595.0)</f>
        <v>44595</v>
      </c>
      <c r="E644" s="15">
        <f>IFERROR(__xludf.DUMMYFUNCTION("""COMPUTED_VALUE"""),0.3170023148159089)</f>
        <v>0.3170023148</v>
      </c>
      <c r="F644" s="8" t="str">
        <f>IFERROR(__xludf.DUMMYFUNCTION("""COMPUTED_VALUE"""),"Negative")</f>
        <v>Negative</v>
      </c>
      <c r="G644" s="16">
        <f>IFERROR(__xludf.DUMMYFUNCTION("""COMPUTED_VALUE"""),1.0)</f>
        <v>1</v>
      </c>
      <c r="H644" s="8" t="str">
        <f>IFERROR(__xludf.DUMMYFUNCTION("""COMPUTED_VALUE"""),"CRLN")</f>
        <v>CRLN</v>
      </c>
    </row>
    <row r="645">
      <c r="A645" s="8" t="str">
        <f>IFERROR(__xludf.DUMMYFUNCTION("""COMPUTED_VALUE"""),"FLB5861")</f>
        <v>FLB5861</v>
      </c>
      <c r="B645" s="8" t="str">
        <f>IFERROR(__xludf.DUMMYFUNCTION("""COMPUTED_VALUE"""),"RUN-FLMP_2022-02-03_RFR-079")</f>
        <v>RUN-FLMP_2022-02-03_RFR-079</v>
      </c>
      <c r="C645" s="10">
        <f>VLOOKUP(B645,'Run Reconcile'!A$2:B1579,2,FALSE)</f>
        <v>44595</v>
      </c>
      <c r="D645" s="14">
        <f>IFERROR(__xludf.DUMMYFUNCTION("""COMPUTED_VALUE"""),44595.0)</f>
        <v>44595</v>
      </c>
      <c r="E645" s="15">
        <f>IFERROR(__xludf.DUMMYFUNCTION("""COMPUTED_VALUE"""),0.3210763888891961)</f>
        <v>0.3210763889</v>
      </c>
      <c r="F645" s="8" t="str">
        <f>IFERROR(__xludf.DUMMYFUNCTION("""COMPUTED_VALUE"""),"Negative")</f>
        <v>Negative</v>
      </c>
      <c r="G645" s="16">
        <f>IFERROR(__xludf.DUMMYFUNCTION("""COMPUTED_VALUE"""),3.0)</f>
        <v>3</v>
      </c>
      <c r="H645" s="8" t="str">
        <f>IFERROR(__xludf.DUMMYFUNCTION("""COMPUTED_VALUE"""),"CRLN")</f>
        <v>CRLN</v>
      </c>
    </row>
    <row r="646">
      <c r="A646" s="8" t="str">
        <f>IFERROR(__xludf.DUMMYFUNCTION("""COMPUTED_VALUE"""),"FLB5406")</f>
        <v>FLB5406</v>
      </c>
      <c r="B646" s="8" t="str">
        <f>IFERROR(__xludf.DUMMYFUNCTION("""COMPUTED_VALUE"""),"RUN-FLMP_2022-02-03_RFR-079")</f>
        <v>RUN-FLMP_2022-02-03_RFR-079</v>
      </c>
      <c r="C646" s="10">
        <f>VLOOKUP(B646,'Run Reconcile'!A$2:B1579,2,FALSE)</f>
        <v>44595</v>
      </c>
      <c r="D646" s="14">
        <f>IFERROR(__xludf.DUMMYFUNCTION("""COMPUTED_VALUE"""),44595.0)</f>
        <v>44595</v>
      </c>
      <c r="E646" s="15">
        <f>IFERROR(__xludf.DUMMYFUNCTION("""COMPUTED_VALUE"""),0.3227777777792653)</f>
        <v>0.3227777778</v>
      </c>
      <c r="F646" s="8" t="str">
        <f>IFERROR(__xludf.DUMMYFUNCTION("""COMPUTED_VALUE"""),"Negative")</f>
        <v>Negative</v>
      </c>
      <c r="G646" s="16">
        <f>IFERROR(__xludf.DUMMYFUNCTION("""COMPUTED_VALUE"""),4.0)</f>
        <v>4</v>
      </c>
      <c r="H646" s="8" t="str">
        <f>IFERROR(__xludf.DUMMYFUNCTION("""COMPUTED_VALUE"""),"CRLN")</f>
        <v>CRLN</v>
      </c>
    </row>
    <row r="647">
      <c r="A647" s="8" t="str">
        <f>IFERROR(__xludf.DUMMYFUNCTION("""COMPUTED_VALUE"""),"FLB5888")</f>
        <v>FLB5888</v>
      </c>
      <c r="B647" s="8" t="str">
        <f>IFERROR(__xludf.DUMMYFUNCTION("""COMPUTED_VALUE"""),"RUN-FLMP_2022-02-03_RFR-079")</f>
        <v>RUN-FLMP_2022-02-03_RFR-079</v>
      </c>
      <c r="C647" s="10">
        <f>VLOOKUP(B647,'Run Reconcile'!A$2:B1579,2,FALSE)</f>
        <v>44595</v>
      </c>
      <c r="D647" s="14">
        <f>IFERROR(__xludf.DUMMYFUNCTION("""COMPUTED_VALUE"""),44595.0)</f>
        <v>44595</v>
      </c>
      <c r="E647" s="15">
        <f>IFERROR(__xludf.DUMMYFUNCTION("""COMPUTED_VALUE"""),0.3235763888878864)</f>
        <v>0.3235763889</v>
      </c>
      <c r="F647" s="8" t="str">
        <f>IFERROR(__xludf.DUMMYFUNCTION("""COMPUTED_VALUE"""),"Negative")</f>
        <v>Negative</v>
      </c>
      <c r="G647" s="16">
        <f>IFERROR(__xludf.DUMMYFUNCTION("""COMPUTED_VALUE"""),4.0)</f>
        <v>4</v>
      </c>
      <c r="H647" s="8" t="str">
        <f>IFERROR(__xludf.DUMMYFUNCTION("""COMPUTED_VALUE"""),"CRLN")</f>
        <v>CRLN</v>
      </c>
    </row>
    <row r="648">
      <c r="A648" s="8" t="str">
        <f>IFERROR(__xludf.DUMMYFUNCTION("""COMPUTED_VALUE"""),"FLB5853")</f>
        <v>FLB5853</v>
      </c>
      <c r="B648" s="8" t="str">
        <f>IFERROR(__xludf.DUMMYFUNCTION("""COMPUTED_VALUE"""),"RUN-FLMP_2022-02-03_RFR-079")</f>
        <v>RUN-FLMP_2022-02-03_RFR-079</v>
      </c>
      <c r="C648" s="10">
        <f>VLOOKUP(B648,'Run Reconcile'!A$2:B1579,2,FALSE)</f>
        <v>44595</v>
      </c>
      <c r="D648" s="14">
        <f>IFERROR(__xludf.DUMMYFUNCTION("""COMPUTED_VALUE"""),44595.0)</f>
        <v>44595</v>
      </c>
      <c r="E648" s="15">
        <f>IFERROR(__xludf.DUMMYFUNCTION("""COMPUTED_VALUE"""),0.3247800925928459)</f>
        <v>0.3247800926</v>
      </c>
      <c r="F648" s="8" t="str">
        <f>IFERROR(__xludf.DUMMYFUNCTION("""COMPUTED_VALUE"""),"Negative")</f>
        <v>Negative</v>
      </c>
      <c r="G648" s="16">
        <f>IFERROR(__xludf.DUMMYFUNCTION("""COMPUTED_VALUE"""),3.0)</f>
        <v>3</v>
      </c>
      <c r="H648" s="8" t="str">
        <f>IFERROR(__xludf.DUMMYFUNCTION("""COMPUTED_VALUE"""),"CRLN")</f>
        <v>CRLN</v>
      </c>
    </row>
    <row r="649">
      <c r="A649" s="8" t="str">
        <f>IFERROR(__xludf.DUMMYFUNCTION("""COMPUTED_VALUE"""),"FLB5804")</f>
        <v>FLB5804</v>
      </c>
      <c r="B649" s="8" t="str">
        <f>IFERROR(__xludf.DUMMYFUNCTION("""COMPUTED_VALUE"""),"RUN-FLMP_2022-02-03_RFR-079")</f>
        <v>RUN-FLMP_2022-02-03_RFR-079</v>
      </c>
      <c r="C649" s="10">
        <f>VLOOKUP(B649,'Run Reconcile'!A$2:B1579,2,FALSE)</f>
        <v>44595</v>
      </c>
      <c r="D649" s="14">
        <f>IFERROR(__xludf.DUMMYFUNCTION("""COMPUTED_VALUE"""),44595.0)</f>
        <v>44595</v>
      </c>
      <c r="E649" s="15">
        <f>IFERROR(__xludf.DUMMYFUNCTION("""COMPUTED_VALUE"""),0.3251504629624833)</f>
        <v>0.325150463</v>
      </c>
      <c r="F649" s="8" t="str">
        <f>IFERROR(__xludf.DUMMYFUNCTION("""COMPUTED_VALUE"""),"Negative")</f>
        <v>Negative</v>
      </c>
      <c r="G649" s="16">
        <f>IFERROR(__xludf.DUMMYFUNCTION("""COMPUTED_VALUE"""),4.0)</f>
        <v>4</v>
      </c>
      <c r="H649" s="8" t="str">
        <f>IFERROR(__xludf.DUMMYFUNCTION("""COMPUTED_VALUE"""),"CRLN")</f>
        <v>CRLN</v>
      </c>
    </row>
    <row r="650">
      <c r="A650" s="8" t="str">
        <f>IFERROR(__xludf.DUMMYFUNCTION("""COMPUTED_VALUE"""),"FLB5721")</f>
        <v>FLB5721</v>
      </c>
      <c r="B650" s="8" t="str">
        <f>IFERROR(__xludf.DUMMYFUNCTION("""COMPUTED_VALUE"""),"RUN-FLMP_2022-02-03_RFR-079")</f>
        <v>RUN-FLMP_2022-02-03_RFR-079</v>
      </c>
      <c r="C650" s="10">
        <f>VLOOKUP(B650,'Run Reconcile'!A$2:B1579,2,FALSE)</f>
        <v>44595</v>
      </c>
      <c r="D650" s="14">
        <f>IFERROR(__xludf.DUMMYFUNCTION("""COMPUTED_VALUE"""),44595.0)</f>
        <v>44595</v>
      </c>
      <c r="E650" s="15">
        <f>IFERROR(__xludf.DUMMYFUNCTION("""COMPUTED_VALUE"""),0.3251851851855463)</f>
        <v>0.3251851852</v>
      </c>
      <c r="F650" s="8" t="str">
        <f>IFERROR(__xludf.DUMMYFUNCTION("""COMPUTED_VALUE"""),"Negative")</f>
        <v>Negative</v>
      </c>
      <c r="G650" s="16">
        <f>IFERROR(__xludf.DUMMYFUNCTION("""COMPUTED_VALUE"""),1.0)</f>
        <v>1</v>
      </c>
      <c r="H650" s="8" t="str">
        <f>IFERROR(__xludf.DUMMYFUNCTION("""COMPUTED_VALUE"""),"CRLN")</f>
        <v>CRLN</v>
      </c>
    </row>
    <row r="651">
      <c r="A651" s="8" t="str">
        <f>IFERROR(__xludf.DUMMYFUNCTION("""COMPUTED_VALUE"""),"FLB5851")</f>
        <v>FLB5851</v>
      </c>
      <c r="B651" s="8" t="str">
        <f>IFERROR(__xludf.DUMMYFUNCTION("""COMPUTED_VALUE"""),"RUN-FLMP_2022-02-03_RFR-079")</f>
        <v>RUN-FLMP_2022-02-03_RFR-079</v>
      </c>
      <c r="C651" s="10">
        <f>VLOOKUP(B651,'Run Reconcile'!A$2:B1579,2,FALSE)</f>
        <v>44595</v>
      </c>
      <c r="D651" s="14">
        <f>IFERROR(__xludf.DUMMYFUNCTION("""COMPUTED_VALUE"""),44595.0)</f>
        <v>44595</v>
      </c>
      <c r="E651" s="15">
        <f>IFERROR(__xludf.DUMMYFUNCTION("""COMPUTED_VALUE"""),0.32781249999970896)</f>
        <v>0.3278125</v>
      </c>
      <c r="F651" s="8" t="str">
        <f>IFERROR(__xludf.DUMMYFUNCTION("""COMPUTED_VALUE"""),"Negative")</f>
        <v>Negative</v>
      </c>
      <c r="G651" s="16">
        <f>IFERROR(__xludf.DUMMYFUNCTION("""COMPUTED_VALUE"""),4.0)</f>
        <v>4</v>
      </c>
      <c r="H651" s="8" t="str">
        <f>IFERROR(__xludf.DUMMYFUNCTION("""COMPUTED_VALUE"""),"CRLN")</f>
        <v>CRLN</v>
      </c>
    </row>
    <row r="652">
      <c r="A652" s="8" t="str">
        <f>IFERROR(__xludf.DUMMYFUNCTION("""COMPUTED_VALUE"""),"FLB5808")</f>
        <v>FLB5808</v>
      </c>
      <c r="B652" s="8" t="str">
        <f>IFERROR(__xludf.DUMMYFUNCTION("""COMPUTED_VALUE"""),"RUN-FLMP_2022-02-03_RFR-079")</f>
        <v>RUN-FLMP_2022-02-03_RFR-079</v>
      </c>
      <c r="C652" s="10">
        <f>VLOOKUP(B652,'Run Reconcile'!A$2:B1579,2,FALSE)</f>
        <v>44595</v>
      </c>
      <c r="D652" s="14">
        <f>IFERROR(__xludf.DUMMYFUNCTION("""COMPUTED_VALUE"""),44595.0)</f>
        <v>44595</v>
      </c>
      <c r="E652" s="15">
        <f>IFERROR(__xludf.DUMMYFUNCTION("""COMPUTED_VALUE"""),0.3281712962962047)</f>
        <v>0.3281712963</v>
      </c>
      <c r="F652" s="8" t="str">
        <f>IFERROR(__xludf.DUMMYFUNCTION("""COMPUTED_VALUE"""),"Negative")</f>
        <v>Negative</v>
      </c>
      <c r="G652" s="16">
        <f>IFERROR(__xludf.DUMMYFUNCTION("""COMPUTED_VALUE"""),4.0)</f>
        <v>4</v>
      </c>
      <c r="H652" s="8" t="str">
        <f>IFERROR(__xludf.DUMMYFUNCTION("""COMPUTED_VALUE"""),"CRLN")</f>
        <v>CRLN</v>
      </c>
    </row>
    <row r="653">
      <c r="A653" s="8" t="str">
        <f>IFERROR(__xludf.DUMMYFUNCTION("""COMPUTED_VALUE"""),"FLB5780")</f>
        <v>FLB5780</v>
      </c>
      <c r="B653" s="8" t="str">
        <f>IFERROR(__xludf.DUMMYFUNCTION("""COMPUTED_VALUE"""),"RUN-FLMP_2022-02-03_RFR-079")</f>
        <v>RUN-FLMP_2022-02-03_RFR-079</v>
      </c>
      <c r="C653" s="10">
        <f>VLOOKUP(B653,'Run Reconcile'!A$2:B1579,2,FALSE)</f>
        <v>44595</v>
      </c>
      <c r="D653" s="14">
        <f>IFERROR(__xludf.DUMMYFUNCTION("""COMPUTED_VALUE"""),44595.0)</f>
        <v>44595</v>
      </c>
      <c r="E653" s="15">
        <f>IFERROR(__xludf.DUMMYFUNCTION("""COMPUTED_VALUE"""),0.32840277777722804)</f>
        <v>0.3284027778</v>
      </c>
      <c r="F653" s="8" t="str">
        <f>IFERROR(__xludf.DUMMYFUNCTION("""COMPUTED_VALUE"""),"Negative")</f>
        <v>Negative</v>
      </c>
      <c r="G653" s="16">
        <f>IFERROR(__xludf.DUMMYFUNCTION("""COMPUTED_VALUE"""),2.0)</f>
        <v>2</v>
      </c>
      <c r="H653" s="8" t="str">
        <f>IFERROR(__xludf.DUMMYFUNCTION("""COMPUTED_VALUE"""),"CRLN")</f>
        <v>CRLN</v>
      </c>
    </row>
    <row r="654">
      <c r="A654" s="8" t="str">
        <f>IFERROR(__xludf.DUMMYFUNCTION("""COMPUTED_VALUE"""),"FLT1445")</f>
        <v>FLT1445</v>
      </c>
      <c r="B654" s="8" t="str">
        <f>IFERROR(__xludf.DUMMYFUNCTION("""COMPUTED_VALUE"""),"RUN-FLMP_2022-02-03_RFR-079")</f>
        <v>RUN-FLMP_2022-02-03_RFR-079</v>
      </c>
      <c r="C654" s="10">
        <f>VLOOKUP(B654,'Run Reconcile'!A$2:B1579,2,FALSE)</f>
        <v>44595</v>
      </c>
      <c r="D654" s="14">
        <f>IFERROR(__xludf.DUMMYFUNCTION("""COMPUTED_VALUE"""),44595.0)</f>
        <v>44595</v>
      </c>
      <c r="E654" s="15">
        <f>IFERROR(__xludf.DUMMYFUNCTION("""COMPUTED_VALUE"""),0.32905092592773144)</f>
        <v>0.3290509259</v>
      </c>
      <c r="F654" s="8" t="str">
        <f>IFERROR(__xludf.DUMMYFUNCTION("""COMPUTED_VALUE"""),"Negative")</f>
        <v>Negative</v>
      </c>
      <c r="G654" s="16">
        <f>IFERROR(__xludf.DUMMYFUNCTION("""COMPUTED_VALUE"""),1.0)</f>
        <v>1</v>
      </c>
      <c r="H654" s="8" t="str">
        <f>IFERROR(__xludf.DUMMYFUNCTION("""COMPUTED_VALUE"""),"CRLN")</f>
        <v>CRLN</v>
      </c>
    </row>
    <row r="655">
      <c r="A655" s="8" t="str">
        <f>IFERROR(__xludf.DUMMYFUNCTION("""COMPUTED_VALUE"""),"FLB7412")</f>
        <v>FLB7412</v>
      </c>
      <c r="B655" s="8" t="str">
        <f>IFERROR(__xludf.DUMMYFUNCTION("""COMPUTED_VALUE"""),"RUN-FLMP_2022-02-03_RFR-079")</f>
        <v>RUN-FLMP_2022-02-03_RFR-079</v>
      </c>
      <c r="C655" s="10">
        <f>VLOOKUP(B655,'Run Reconcile'!A$2:B1579,2,FALSE)</f>
        <v>44595</v>
      </c>
      <c r="D655" s="14">
        <f>IFERROR(__xludf.DUMMYFUNCTION("""COMPUTED_VALUE"""),44595.0)</f>
        <v>44595</v>
      </c>
      <c r="E655" s="15">
        <f>IFERROR(__xludf.DUMMYFUNCTION("""COMPUTED_VALUE"""),0.3292939814818965)</f>
        <v>0.3292939815</v>
      </c>
      <c r="F655" s="8" t="str">
        <f>IFERROR(__xludf.DUMMYFUNCTION("""COMPUTED_VALUE"""),"Negative")</f>
        <v>Negative</v>
      </c>
      <c r="G655" s="16">
        <f>IFERROR(__xludf.DUMMYFUNCTION("""COMPUTED_VALUE"""),1.0)</f>
        <v>1</v>
      </c>
      <c r="H655" s="8" t="str">
        <f>IFERROR(__xludf.DUMMYFUNCTION("""COMPUTED_VALUE"""),"CRLN")</f>
        <v>CRLN</v>
      </c>
    </row>
    <row r="656">
      <c r="A656" s="8" t="str">
        <f>IFERROR(__xludf.DUMMYFUNCTION("""COMPUTED_VALUE"""),"FLT1170")</f>
        <v>FLT1170</v>
      </c>
      <c r="B656" s="8" t="str">
        <f>IFERROR(__xludf.DUMMYFUNCTION("""COMPUTED_VALUE"""),"RUN-FLMP_2022-02-03_RFR-079")</f>
        <v>RUN-FLMP_2022-02-03_RFR-079</v>
      </c>
      <c r="C656" s="10">
        <f>VLOOKUP(B656,'Run Reconcile'!A$2:B1579,2,FALSE)</f>
        <v>44595</v>
      </c>
      <c r="D656" s="14">
        <f>IFERROR(__xludf.DUMMYFUNCTION("""COMPUTED_VALUE"""),44595.0)</f>
        <v>44595</v>
      </c>
      <c r="E656" s="15">
        <f>IFERROR(__xludf.DUMMYFUNCTION("""COMPUTED_VALUE"""),0.3310648148144537)</f>
        <v>0.3310648148</v>
      </c>
      <c r="F656" s="8" t="str">
        <f>IFERROR(__xludf.DUMMYFUNCTION("""COMPUTED_VALUE"""),"Negative")</f>
        <v>Negative</v>
      </c>
      <c r="G656" s="16">
        <f>IFERROR(__xludf.DUMMYFUNCTION("""COMPUTED_VALUE"""),3.0)</f>
        <v>3</v>
      </c>
      <c r="H656" s="8" t="str">
        <f>IFERROR(__xludf.DUMMYFUNCTION("""COMPUTED_VALUE"""),"CRLN")</f>
        <v>CRLN</v>
      </c>
    </row>
    <row r="657">
      <c r="A657" s="8" t="str">
        <f>IFERROR(__xludf.DUMMYFUNCTION("""COMPUTED_VALUE"""),"FLE310")</f>
        <v>FLE310</v>
      </c>
      <c r="B657" s="8" t="str">
        <f>IFERROR(__xludf.DUMMYFUNCTION("""COMPUTED_VALUE"""),"RUN-FLMP_2022-02-03_RFR-079")</f>
        <v>RUN-FLMP_2022-02-03_RFR-079</v>
      </c>
      <c r="C657" s="10">
        <f>VLOOKUP(B657,'Run Reconcile'!A$2:B1579,2,FALSE)</f>
        <v>44595</v>
      </c>
      <c r="D657" s="14">
        <f>IFERROR(__xludf.DUMMYFUNCTION("""COMPUTED_VALUE"""),44595.0)</f>
        <v>44595</v>
      </c>
      <c r="E657" s="15">
        <f>IFERROR(__xludf.DUMMYFUNCTION("""COMPUTED_VALUE"""),0.33232638888875954)</f>
        <v>0.3323263889</v>
      </c>
      <c r="F657" s="8" t="str">
        <f>IFERROR(__xludf.DUMMYFUNCTION("""COMPUTED_VALUE"""),"Negative")</f>
        <v>Negative</v>
      </c>
      <c r="G657" s="16">
        <f>IFERROR(__xludf.DUMMYFUNCTION("""COMPUTED_VALUE"""),4.0)</f>
        <v>4</v>
      </c>
      <c r="H657" s="8" t="str">
        <f>IFERROR(__xludf.DUMMYFUNCTION("""COMPUTED_VALUE"""),"CRLN")</f>
        <v>CRLN</v>
      </c>
    </row>
    <row r="658">
      <c r="A658" s="8" t="str">
        <f>IFERROR(__xludf.DUMMYFUNCTION("""COMPUTED_VALUE"""),"FLB7184")</f>
        <v>FLB7184</v>
      </c>
      <c r="B658" s="8" t="str">
        <f>IFERROR(__xludf.DUMMYFUNCTION("""COMPUTED_VALUE"""),"RUN-FLMP_2022-02-03_RFR-079")</f>
        <v>RUN-FLMP_2022-02-03_RFR-079</v>
      </c>
      <c r="C658" s="10">
        <f>VLOOKUP(B658,'Run Reconcile'!A$2:B1579,2,FALSE)</f>
        <v>44595</v>
      </c>
      <c r="D658" s="14">
        <f>IFERROR(__xludf.DUMMYFUNCTION("""COMPUTED_VALUE"""),44595.0)</f>
        <v>44595</v>
      </c>
      <c r="E658" s="15">
        <f>IFERROR(__xludf.DUMMYFUNCTION("""COMPUTED_VALUE"""),0.3369560185201408)</f>
        <v>0.3369560185</v>
      </c>
      <c r="F658" s="8" t="str">
        <f>IFERROR(__xludf.DUMMYFUNCTION("""COMPUTED_VALUE"""),"Negative")</f>
        <v>Negative</v>
      </c>
      <c r="G658" s="16">
        <f>IFERROR(__xludf.DUMMYFUNCTION("""COMPUTED_VALUE"""),4.0)</f>
        <v>4</v>
      </c>
      <c r="H658" s="8" t="str">
        <f>IFERROR(__xludf.DUMMYFUNCTION("""COMPUTED_VALUE"""),"CRLN")</f>
        <v>CRLN</v>
      </c>
    </row>
    <row r="659">
      <c r="A659" s="8" t="str">
        <f>IFERROR(__xludf.DUMMYFUNCTION("""COMPUTED_VALUE"""),"FLB5864")</f>
        <v>FLB5864</v>
      </c>
      <c r="B659" s="8" t="str">
        <f>IFERROR(__xludf.DUMMYFUNCTION("""COMPUTED_VALUE"""),"RUN-FLMP_2022-02-03_RFR-079")</f>
        <v>RUN-FLMP_2022-02-03_RFR-079</v>
      </c>
      <c r="C659" s="10">
        <f>VLOOKUP(B659,'Run Reconcile'!A$2:B1579,2,FALSE)</f>
        <v>44595</v>
      </c>
      <c r="D659" s="14">
        <f>IFERROR(__xludf.DUMMYFUNCTION("""COMPUTED_VALUE"""),44595.0)</f>
        <v>44595</v>
      </c>
      <c r="E659" s="15">
        <f>IFERROR(__xludf.DUMMYFUNCTION("""COMPUTED_VALUE"""),0.34296296296452056)</f>
        <v>0.342962963</v>
      </c>
      <c r="F659" s="8" t="str">
        <f>IFERROR(__xludf.DUMMYFUNCTION("""COMPUTED_VALUE"""),"Negative")</f>
        <v>Negative</v>
      </c>
      <c r="G659" s="16">
        <f>IFERROR(__xludf.DUMMYFUNCTION("""COMPUTED_VALUE"""),3.0)</f>
        <v>3</v>
      </c>
      <c r="H659" s="8" t="str">
        <f>IFERROR(__xludf.DUMMYFUNCTION("""COMPUTED_VALUE"""),"CRLN")</f>
        <v>CRLN</v>
      </c>
    </row>
    <row r="660">
      <c r="A660" s="8" t="str">
        <f>IFERROR(__xludf.DUMMYFUNCTION("""COMPUTED_VALUE"""),"FLB5825")</f>
        <v>FLB5825</v>
      </c>
      <c r="B660" s="8" t="str">
        <f>IFERROR(__xludf.DUMMYFUNCTION("""COMPUTED_VALUE"""),"RUN-FLMP_2022-02-03_RFR-079")</f>
        <v>RUN-FLMP_2022-02-03_RFR-079</v>
      </c>
      <c r="C660" s="10">
        <f>VLOOKUP(B660,'Run Reconcile'!A$2:B1579,2,FALSE)</f>
        <v>44595</v>
      </c>
      <c r="D660" s="14">
        <f>IFERROR(__xludf.DUMMYFUNCTION("""COMPUTED_VALUE"""),44595.0)</f>
        <v>44595</v>
      </c>
      <c r="E660" s="15">
        <f>IFERROR(__xludf.DUMMYFUNCTION("""COMPUTED_VALUE"""),0.3445138888891961)</f>
        <v>0.3445138889</v>
      </c>
      <c r="F660" s="8" t="str">
        <f>IFERROR(__xludf.DUMMYFUNCTION("""COMPUTED_VALUE"""),"Negative")</f>
        <v>Negative</v>
      </c>
      <c r="G660" s="16">
        <f>IFERROR(__xludf.DUMMYFUNCTION("""COMPUTED_VALUE"""),1.0)</f>
        <v>1</v>
      </c>
      <c r="H660" s="8" t="str">
        <f>IFERROR(__xludf.DUMMYFUNCTION("""COMPUTED_VALUE"""),"CRLN")</f>
        <v>CRLN</v>
      </c>
    </row>
    <row r="661">
      <c r="A661" s="8" t="str">
        <f>IFERROR(__xludf.DUMMYFUNCTION("""COMPUTED_VALUE"""),"FLB5801")</f>
        <v>FLB5801</v>
      </c>
      <c r="B661" s="8" t="str">
        <f>IFERROR(__xludf.DUMMYFUNCTION("""COMPUTED_VALUE"""),"RUN-FLMP_2022-02-03_RFR-079")</f>
        <v>RUN-FLMP_2022-02-03_RFR-079</v>
      </c>
      <c r="C661" s="10">
        <f>VLOOKUP(B661,'Run Reconcile'!A$2:B1579,2,FALSE)</f>
        <v>44595</v>
      </c>
      <c r="D661" s="14">
        <f>IFERROR(__xludf.DUMMYFUNCTION("""COMPUTED_VALUE"""),44595.0)</f>
        <v>44595</v>
      </c>
      <c r="E661" s="15">
        <f>IFERROR(__xludf.DUMMYFUNCTION("""COMPUTED_VALUE"""),0.34682870370306773)</f>
        <v>0.3468287037</v>
      </c>
      <c r="F661" s="8" t="str">
        <f>IFERROR(__xludf.DUMMYFUNCTION("""COMPUTED_VALUE"""),"Negative")</f>
        <v>Negative</v>
      </c>
      <c r="G661" s="16">
        <f>IFERROR(__xludf.DUMMYFUNCTION("""COMPUTED_VALUE"""),1.0)</f>
        <v>1</v>
      </c>
      <c r="H661" s="8" t="str">
        <f>IFERROR(__xludf.DUMMYFUNCTION("""COMPUTED_VALUE"""),"CRLN")</f>
        <v>CRLN</v>
      </c>
    </row>
    <row r="662">
      <c r="A662" s="8" t="str">
        <f>IFERROR(__xludf.DUMMYFUNCTION("""COMPUTED_VALUE"""),"FLB5745")</f>
        <v>FLB5745</v>
      </c>
      <c r="B662" s="8" t="str">
        <f>IFERROR(__xludf.DUMMYFUNCTION("""COMPUTED_VALUE"""),"RUN-FLMP_2022-02-03_RFR-079")</f>
        <v>RUN-FLMP_2022-02-03_RFR-079</v>
      </c>
      <c r="C662" s="10">
        <f>VLOOKUP(B662,'Run Reconcile'!A$2:B1579,2,FALSE)</f>
        <v>44595</v>
      </c>
      <c r="D662" s="14">
        <f>IFERROR(__xludf.DUMMYFUNCTION("""COMPUTED_VALUE"""),44595.0)</f>
        <v>44595</v>
      </c>
      <c r="E662" s="15">
        <f>IFERROR(__xludf.DUMMYFUNCTION("""COMPUTED_VALUE"""),0.35372685185211594)</f>
        <v>0.3537268519</v>
      </c>
      <c r="F662" s="8" t="str">
        <f>IFERROR(__xludf.DUMMYFUNCTION("""COMPUTED_VALUE"""),"Negative")</f>
        <v>Negative</v>
      </c>
      <c r="G662" s="16">
        <f>IFERROR(__xludf.DUMMYFUNCTION("""COMPUTED_VALUE"""),2.0)</f>
        <v>2</v>
      </c>
      <c r="H662" s="8" t="str">
        <f>IFERROR(__xludf.DUMMYFUNCTION("""COMPUTED_VALUE"""),"CRLN")</f>
        <v>CRLN</v>
      </c>
    </row>
    <row r="663">
      <c r="A663" s="8" t="str">
        <f>IFERROR(__xludf.DUMMYFUNCTION("""COMPUTED_VALUE"""),"FLB5845")</f>
        <v>FLB5845</v>
      </c>
      <c r="B663" s="8" t="str">
        <f>IFERROR(__xludf.DUMMYFUNCTION("""COMPUTED_VALUE"""),"RUN-FLMP_2022-02-03_RFR-079")</f>
        <v>RUN-FLMP_2022-02-03_RFR-079</v>
      </c>
      <c r="C663" s="10">
        <f>VLOOKUP(B663,'Run Reconcile'!A$2:B1579,2,FALSE)</f>
        <v>44595</v>
      </c>
      <c r="D663" s="14">
        <f>IFERROR(__xludf.DUMMYFUNCTION("""COMPUTED_VALUE"""),44595.0)</f>
        <v>44595</v>
      </c>
      <c r="E663" s="15">
        <f>IFERROR(__xludf.DUMMYFUNCTION("""COMPUTED_VALUE"""),0.35659722222044365)</f>
        <v>0.3565972222</v>
      </c>
      <c r="F663" s="8" t="str">
        <f>IFERROR(__xludf.DUMMYFUNCTION("""COMPUTED_VALUE"""),"Negative")</f>
        <v>Negative</v>
      </c>
      <c r="G663" s="16">
        <f>IFERROR(__xludf.DUMMYFUNCTION("""COMPUTED_VALUE"""),4.0)</f>
        <v>4</v>
      </c>
      <c r="H663" s="8" t="str">
        <f>IFERROR(__xludf.DUMMYFUNCTION("""COMPUTED_VALUE"""),"CRLN")</f>
        <v>CRLN</v>
      </c>
    </row>
    <row r="664">
      <c r="A664" s="8" t="str">
        <f>IFERROR(__xludf.DUMMYFUNCTION("""COMPUTED_VALUE"""),"FLE864")</f>
        <v>FLE864</v>
      </c>
      <c r="B664" s="8" t="str">
        <f>IFERROR(__xludf.DUMMYFUNCTION("""COMPUTED_VALUE"""),"RUN-FLMP_2022-02-03_RFR-079")</f>
        <v>RUN-FLMP_2022-02-03_RFR-079</v>
      </c>
      <c r="C664" s="10">
        <f>VLOOKUP(B664,'Run Reconcile'!A$2:B1579,2,FALSE)</f>
        <v>44595</v>
      </c>
      <c r="D664" s="14">
        <f>IFERROR(__xludf.DUMMYFUNCTION("""COMPUTED_VALUE"""),44595.0)</f>
        <v>44595</v>
      </c>
      <c r="E664" s="15">
        <f>IFERROR(__xludf.DUMMYFUNCTION("""COMPUTED_VALUE"""),0.36288194444568944)</f>
        <v>0.3628819444</v>
      </c>
      <c r="F664" s="8" t="str">
        <f>IFERROR(__xludf.DUMMYFUNCTION("""COMPUTED_VALUE"""),"Negative")</f>
        <v>Negative</v>
      </c>
      <c r="G664" s="16">
        <f>IFERROR(__xludf.DUMMYFUNCTION("""COMPUTED_VALUE"""),3.0)</f>
        <v>3</v>
      </c>
      <c r="H664" s="8" t="str">
        <f>IFERROR(__xludf.DUMMYFUNCTION("""COMPUTED_VALUE"""),"CRLN")</f>
        <v>CRLN</v>
      </c>
    </row>
    <row r="665">
      <c r="A665" s="8" t="str">
        <f>IFERROR(__xludf.DUMMYFUNCTION("""COMPUTED_VALUE"""),"FLT1152")</f>
        <v>FLT1152</v>
      </c>
      <c r="B665" s="8" t="str">
        <f>IFERROR(__xludf.DUMMYFUNCTION("""COMPUTED_VALUE"""),"RUN-FLMP_2022-02-03_RFR-079")</f>
        <v>RUN-FLMP_2022-02-03_RFR-079</v>
      </c>
      <c r="C665" s="10">
        <f>VLOOKUP(B665,'Run Reconcile'!A$2:B1579,2,FALSE)</f>
        <v>44595</v>
      </c>
      <c r="D665" s="14">
        <f>IFERROR(__xludf.DUMMYFUNCTION("""COMPUTED_VALUE"""),44595.0)</f>
        <v>44595</v>
      </c>
      <c r="E665" s="15">
        <f>IFERROR(__xludf.DUMMYFUNCTION("""COMPUTED_VALUE"""),0.3634375000001455)</f>
        <v>0.3634375</v>
      </c>
      <c r="F665" s="8" t="str">
        <f>IFERROR(__xludf.DUMMYFUNCTION("""COMPUTED_VALUE"""),"Negative")</f>
        <v>Negative</v>
      </c>
      <c r="G665" s="16">
        <f>IFERROR(__xludf.DUMMYFUNCTION("""COMPUTED_VALUE"""),2.0)</f>
        <v>2</v>
      </c>
      <c r="H665" s="8" t="str">
        <f>IFERROR(__xludf.DUMMYFUNCTION("""COMPUTED_VALUE"""),"CRLN")</f>
        <v>CRLN</v>
      </c>
    </row>
    <row r="666">
      <c r="A666" s="8" t="str">
        <f>IFERROR(__xludf.DUMMYFUNCTION("""COMPUTED_VALUE"""),"FLB4897")</f>
        <v>FLB4897</v>
      </c>
      <c r="B666" s="8" t="str">
        <f>IFERROR(__xludf.DUMMYFUNCTION("""COMPUTED_VALUE"""),"RUN-FLMP_2022-02-03_RFR-079")</f>
        <v>RUN-FLMP_2022-02-03_RFR-079</v>
      </c>
      <c r="C666" s="10">
        <f>VLOOKUP(B666,'Run Reconcile'!A$2:B1579,2,FALSE)</f>
        <v>44595</v>
      </c>
      <c r="D666" s="14">
        <f>IFERROR(__xludf.DUMMYFUNCTION("""COMPUTED_VALUE"""),44595.0)</f>
        <v>44595</v>
      </c>
      <c r="E666" s="15">
        <f>IFERROR(__xludf.DUMMYFUNCTION("""COMPUTED_VALUE"""),0.3654398148137261)</f>
        <v>0.3654398148</v>
      </c>
      <c r="F666" s="8" t="str">
        <f>IFERROR(__xludf.DUMMYFUNCTION("""COMPUTED_VALUE"""),"Negative")</f>
        <v>Negative</v>
      </c>
      <c r="G666" s="16">
        <f>IFERROR(__xludf.DUMMYFUNCTION("""COMPUTED_VALUE"""),1.0)</f>
        <v>1</v>
      </c>
      <c r="H666" s="8" t="str">
        <f>IFERROR(__xludf.DUMMYFUNCTION("""COMPUTED_VALUE"""),"CRLN")</f>
        <v>CRLN</v>
      </c>
    </row>
    <row r="667">
      <c r="A667" s="8" t="str">
        <f>IFERROR(__xludf.DUMMYFUNCTION("""COMPUTED_VALUE"""),"FLT1151")</f>
        <v>FLT1151</v>
      </c>
      <c r="B667" s="8" t="str">
        <f>IFERROR(__xludf.DUMMYFUNCTION("""COMPUTED_VALUE"""),"RUN-FLMP_2022-02-03_RFR-079")</f>
        <v>RUN-FLMP_2022-02-03_RFR-079</v>
      </c>
      <c r="C667" s="10">
        <f>VLOOKUP(B667,'Run Reconcile'!A$2:B1579,2,FALSE)</f>
        <v>44595</v>
      </c>
      <c r="D667" s="14">
        <f>IFERROR(__xludf.DUMMYFUNCTION("""COMPUTED_VALUE"""),44595.0)</f>
        <v>44595</v>
      </c>
      <c r="E667" s="15">
        <f>IFERROR(__xludf.DUMMYFUNCTION("""COMPUTED_VALUE"""),0.36680555555722094)</f>
        <v>0.3668055556</v>
      </c>
      <c r="F667" s="8" t="str">
        <f>IFERROR(__xludf.DUMMYFUNCTION("""COMPUTED_VALUE"""),"Negative")</f>
        <v>Negative</v>
      </c>
      <c r="G667" s="16">
        <f>IFERROR(__xludf.DUMMYFUNCTION("""COMPUTED_VALUE"""),3.0)</f>
        <v>3</v>
      </c>
      <c r="H667" s="8" t="str">
        <f>IFERROR(__xludf.DUMMYFUNCTION("""COMPUTED_VALUE"""),"CRLN")</f>
        <v>CRLN</v>
      </c>
    </row>
    <row r="668">
      <c r="A668" s="8" t="str">
        <f>IFERROR(__xludf.DUMMYFUNCTION("""COMPUTED_VALUE"""),"FLB5785")</f>
        <v>FLB5785</v>
      </c>
      <c r="B668" s="8" t="str">
        <f>IFERROR(__xludf.DUMMYFUNCTION("""COMPUTED_VALUE"""),"RUN-FLMP_2022-02-03_RFR-079")</f>
        <v>RUN-FLMP_2022-02-03_RFR-079</v>
      </c>
      <c r="C668" s="10">
        <f>VLOOKUP(B668,'Run Reconcile'!A$2:B1579,2,FALSE)</f>
        <v>44595</v>
      </c>
      <c r="D668" s="14">
        <f>IFERROR(__xludf.DUMMYFUNCTION("""COMPUTED_VALUE"""),44595.0)</f>
        <v>44595</v>
      </c>
      <c r="E668" s="15">
        <f>IFERROR(__xludf.DUMMYFUNCTION("""COMPUTED_VALUE"""),0.38017361111269565)</f>
        <v>0.3801736111</v>
      </c>
      <c r="F668" s="8" t="str">
        <f>IFERROR(__xludf.DUMMYFUNCTION("""COMPUTED_VALUE"""),"Negative")</f>
        <v>Negative</v>
      </c>
      <c r="G668" s="16">
        <f>IFERROR(__xludf.DUMMYFUNCTION("""COMPUTED_VALUE"""),2.0)</f>
        <v>2</v>
      </c>
      <c r="H668" s="8" t="str">
        <f>IFERROR(__xludf.DUMMYFUNCTION("""COMPUTED_VALUE"""),"CRLN")</f>
        <v>CRLN</v>
      </c>
    </row>
    <row r="669">
      <c r="A669" s="8" t="str">
        <f>IFERROR(__xludf.DUMMYFUNCTION("""COMPUTED_VALUE"""),"MA381")</f>
        <v>MA381</v>
      </c>
      <c r="B669" s="8" t="str">
        <f>IFERROR(__xludf.DUMMYFUNCTION("""COMPUTED_VALUE"""),"RUN-FLMP_2022-02-05_APS-083")</f>
        <v>RUN-FLMP_2022-02-05_APS-083</v>
      </c>
      <c r="C669" s="10">
        <f>VLOOKUP(B669,'Run Reconcile'!A$2:B1579,2,FALSE)</f>
        <v>44597</v>
      </c>
      <c r="D669" s="14">
        <f>IFERROR(__xludf.DUMMYFUNCTION("""COMPUTED_VALUE"""),44597.0)</f>
        <v>44597</v>
      </c>
      <c r="E669" s="15">
        <f>IFERROR(__xludf.DUMMYFUNCTION("""COMPUTED_VALUE"""),0.315289351852698)</f>
        <v>0.3152893519</v>
      </c>
      <c r="F669" s="8" t="str">
        <f>IFERROR(__xludf.DUMMYFUNCTION("""COMPUTED_VALUE"""),"Negative")</f>
        <v>Negative</v>
      </c>
      <c r="G669" s="16">
        <f>IFERROR(__xludf.DUMMYFUNCTION("""COMPUTED_VALUE"""),3.0)</f>
        <v>3</v>
      </c>
      <c r="H669" s="8" t="str">
        <f>IFERROR(__xludf.DUMMYFUNCTION("""COMPUTED_VALUE"""),"CRLN")</f>
        <v>CRLN</v>
      </c>
    </row>
    <row r="670">
      <c r="A670" s="8" t="str">
        <f>IFERROR(__xludf.DUMMYFUNCTION("""COMPUTED_VALUE"""),"MA1332")</f>
        <v>MA1332</v>
      </c>
      <c r="B670" s="8" t="str">
        <f>IFERROR(__xludf.DUMMYFUNCTION("""COMPUTED_VALUE"""),"RUN-FLMP_2022-02-05_APS-083")</f>
        <v>RUN-FLMP_2022-02-05_APS-083</v>
      </c>
      <c r="C670" s="10">
        <f>VLOOKUP(B670,'Run Reconcile'!A$2:B1579,2,FALSE)</f>
        <v>44597</v>
      </c>
      <c r="D670" s="14">
        <f>IFERROR(__xludf.DUMMYFUNCTION("""COMPUTED_VALUE"""),44597.0)</f>
        <v>44597</v>
      </c>
      <c r="E670" s="15">
        <f>IFERROR(__xludf.DUMMYFUNCTION("""COMPUTED_VALUE"""),0.5971412037033588)</f>
        <v>0.5971412037</v>
      </c>
      <c r="F670" s="8" t="str">
        <f>IFERROR(__xludf.DUMMYFUNCTION("""COMPUTED_VALUE"""),"Negative")</f>
        <v>Negative</v>
      </c>
      <c r="G670" s="16">
        <f>IFERROR(__xludf.DUMMYFUNCTION("""COMPUTED_VALUE"""),1.0)</f>
        <v>1</v>
      </c>
      <c r="H670" s="8" t="str">
        <f>IFERROR(__xludf.DUMMYFUNCTION("""COMPUTED_VALUE"""),"CRLN")</f>
        <v>CRLN</v>
      </c>
    </row>
    <row r="671">
      <c r="A671" s="8" t="str">
        <f>IFERROR(__xludf.DUMMYFUNCTION("""COMPUTED_VALUE"""),"MA766")</f>
        <v>MA766</v>
      </c>
      <c r="B671" s="8" t="str">
        <f>IFERROR(__xludf.DUMMYFUNCTION("""COMPUTED_VALUE"""),"RUN-FLMP_2022-02-05_APS-083")</f>
        <v>RUN-FLMP_2022-02-05_APS-083</v>
      </c>
      <c r="C671" s="10">
        <f>VLOOKUP(B671,'Run Reconcile'!A$2:B1579,2,FALSE)</f>
        <v>44597</v>
      </c>
      <c r="D671" s="14">
        <f>IFERROR(__xludf.DUMMYFUNCTION("""COMPUTED_VALUE"""),44597.0)</f>
        <v>44597</v>
      </c>
      <c r="E671" s="15">
        <f>IFERROR(__xludf.DUMMYFUNCTION("""COMPUTED_VALUE"""),0.6315277777794108)</f>
        <v>0.6315277778</v>
      </c>
      <c r="F671" s="8" t="str">
        <f>IFERROR(__xludf.DUMMYFUNCTION("""COMPUTED_VALUE"""),"Negative")</f>
        <v>Negative</v>
      </c>
      <c r="G671" s="16">
        <f>IFERROR(__xludf.DUMMYFUNCTION("""COMPUTED_VALUE"""),1.0)</f>
        <v>1</v>
      </c>
      <c r="H671" s="8" t="str">
        <f>IFERROR(__xludf.DUMMYFUNCTION("""COMPUTED_VALUE"""),"CRLN")</f>
        <v>CRLN</v>
      </c>
    </row>
    <row r="672">
      <c r="A672" s="8" t="str">
        <f>IFERROR(__xludf.DUMMYFUNCTION("""COMPUTED_VALUE"""),"MA1085")</f>
        <v>MA1085</v>
      </c>
      <c r="B672" s="8" t="str">
        <f>IFERROR(__xludf.DUMMYFUNCTION("""COMPUTED_VALUE"""),"RUN-FLMP_2022-02-05_APS-083")</f>
        <v>RUN-FLMP_2022-02-05_APS-083</v>
      </c>
      <c r="C672" s="10">
        <f>VLOOKUP(B672,'Run Reconcile'!A$2:B1579,2,FALSE)</f>
        <v>44597</v>
      </c>
      <c r="D672" s="14">
        <f>IFERROR(__xludf.DUMMYFUNCTION("""COMPUTED_VALUE"""),44597.0)</f>
        <v>44597</v>
      </c>
      <c r="E672" s="15">
        <f>IFERROR(__xludf.DUMMYFUNCTION("""COMPUTED_VALUE"""),0.6318749999991269)</f>
        <v>0.631875</v>
      </c>
      <c r="F672" s="8" t="str">
        <f>IFERROR(__xludf.DUMMYFUNCTION("""COMPUTED_VALUE"""),"Negative")</f>
        <v>Negative</v>
      </c>
      <c r="G672" s="16">
        <f>IFERROR(__xludf.DUMMYFUNCTION("""COMPUTED_VALUE"""),1.0)</f>
        <v>1</v>
      </c>
      <c r="H672" s="8" t="str">
        <f>IFERROR(__xludf.DUMMYFUNCTION("""COMPUTED_VALUE"""),"FLSP")</f>
        <v>FLSP</v>
      </c>
    </row>
    <row r="673">
      <c r="A673" s="8" t="str">
        <f>IFERROR(__xludf.DUMMYFUNCTION("""COMPUTED_VALUE"""),"FLB5748")</f>
        <v>FLB5748</v>
      </c>
      <c r="B673" s="8" t="str">
        <f>IFERROR(__xludf.DUMMYFUNCTION("""COMPUTED_VALUE"""),"RUN-FLMP_2022-02-07_RFR-083")</f>
        <v>RUN-FLMP_2022-02-07_RFR-083</v>
      </c>
      <c r="C673" s="10">
        <f>VLOOKUP(B673,'Run Reconcile'!A$2:B1579,2,FALSE)</f>
        <v>44599</v>
      </c>
      <c r="D673" s="14">
        <f>IFERROR(__xludf.DUMMYFUNCTION("""COMPUTED_VALUE"""),44598.0)</f>
        <v>44598</v>
      </c>
      <c r="E673" s="15">
        <f>IFERROR(__xludf.DUMMYFUNCTION("""COMPUTED_VALUE"""),0.47501157407532446)</f>
        <v>0.4750115741</v>
      </c>
      <c r="F673" s="8" t="str">
        <f>IFERROR(__xludf.DUMMYFUNCTION("""COMPUTED_VALUE"""),"Negative")</f>
        <v>Negative</v>
      </c>
      <c r="G673" s="16">
        <f>IFERROR(__xludf.DUMMYFUNCTION("""COMPUTED_VALUE"""),1.0)</f>
        <v>1</v>
      </c>
      <c r="H673" s="8" t="str">
        <f>IFERROR(__xludf.DUMMYFUNCTION("""COMPUTED_VALUE"""),"CRLN")</f>
        <v>CRLN</v>
      </c>
    </row>
    <row r="674">
      <c r="A674" s="8" t="str">
        <f>IFERROR(__xludf.DUMMYFUNCTION("""COMPUTED_VALUE"""),"FLB6841")</f>
        <v>FLB6841</v>
      </c>
      <c r="B674" s="8" t="str">
        <f>IFERROR(__xludf.DUMMYFUNCTION("""COMPUTED_VALUE"""),"RUN-FLMP_2022-02-07_RFR-083")</f>
        <v>RUN-FLMP_2022-02-07_RFR-083</v>
      </c>
      <c r="C674" s="10">
        <f>VLOOKUP(B674,'Run Reconcile'!A$2:B1579,2,FALSE)</f>
        <v>44599</v>
      </c>
      <c r="D674" s="14">
        <f>IFERROR(__xludf.DUMMYFUNCTION("""COMPUTED_VALUE"""),44598.0)</f>
        <v>44598</v>
      </c>
      <c r="E674" s="15">
        <f>IFERROR(__xludf.DUMMYFUNCTION("""COMPUTED_VALUE"""),0.6424305555556202)</f>
        <v>0.6424305556</v>
      </c>
      <c r="F674" s="8" t="str">
        <f>IFERROR(__xludf.DUMMYFUNCTION("""COMPUTED_VALUE"""),"Negative")</f>
        <v>Negative</v>
      </c>
      <c r="G674" s="16">
        <f>IFERROR(__xludf.DUMMYFUNCTION("""COMPUTED_VALUE"""),4.0)</f>
        <v>4</v>
      </c>
      <c r="H674" s="8" t="str">
        <f>IFERROR(__xludf.DUMMYFUNCTION("""COMPUTED_VALUE"""),"CRLN")</f>
        <v>CRLN</v>
      </c>
    </row>
    <row r="675">
      <c r="A675" s="8" t="str">
        <f>IFERROR(__xludf.DUMMYFUNCTION("""COMPUTED_VALUE"""),"FLB5774")</f>
        <v>FLB5774</v>
      </c>
      <c r="B675" s="8" t="str">
        <f>IFERROR(__xludf.DUMMYFUNCTION("""COMPUTED_VALUE"""),"RUN-FLMP_2022-02-07_RFR-083")</f>
        <v>RUN-FLMP_2022-02-07_RFR-083</v>
      </c>
      <c r="C675" s="10">
        <f>VLOOKUP(B675,'Run Reconcile'!A$2:B1579,2,FALSE)</f>
        <v>44599</v>
      </c>
      <c r="D675" s="14">
        <f>IFERROR(__xludf.DUMMYFUNCTION("""COMPUTED_VALUE"""),44599.0)</f>
        <v>44599</v>
      </c>
      <c r="E675" s="15">
        <f>IFERROR(__xludf.DUMMYFUNCTION("""COMPUTED_VALUE"""),0.0)</f>
        <v>0</v>
      </c>
      <c r="F675" s="8" t="str">
        <f>IFERROR(__xludf.DUMMYFUNCTION("""COMPUTED_VALUE"""),"Negative")</f>
        <v>Negative</v>
      </c>
      <c r="G675" s="16">
        <f>IFERROR(__xludf.DUMMYFUNCTION("""COMPUTED_VALUE"""),2.0)</f>
        <v>2</v>
      </c>
      <c r="H675" s="8" t="str">
        <f>IFERROR(__xludf.DUMMYFUNCTION("""COMPUTED_VALUE"""),"CRLN")</f>
        <v>CRLN</v>
      </c>
    </row>
    <row r="676">
      <c r="A676" s="8" t="str">
        <f>IFERROR(__xludf.DUMMYFUNCTION("""COMPUTED_VALUE"""),"FLB5731")</f>
        <v>FLB5731</v>
      </c>
      <c r="B676" s="8" t="str">
        <f>IFERROR(__xludf.DUMMYFUNCTION("""COMPUTED_VALUE"""),"RUN-FLMP_2022-02-07_RFR-083")</f>
        <v>RUN-FLMP_2022-02-07_RFR-083</v>
      </c>
      <c r="C676" s="10">
        <f>VLOOKUP(B676,'Run Reconcile'!A$2:B1579,2,FALSE)</f>
        <v>44599</v>
      </c>
      <c r="D676" s="14">
        <f>IFERROR(__xludf.DUMMYFUNCTION("""COMPUTED_VALUE"""),44599.0)</f>
        <v>44599</v>
      </c>
      <c r="E676" s="15">
        <f>IFERROR(__xludf.DUMMYFUNCTION("""COMPUTED_VALUE"""),0.2493865740725596)</f>
        <v>0.2493865741</v>
      </c>
      <c r="F676" s="8" t="str">
        <f>IFERROR(__xludf.DUMMYFUNCTION("""COMPUTED_VALUE"""),"Negative")</f>
        <v>Negative</v>
      </c>
      <c r="G676" s="16">
        <f>IFERROR(__xludf.DUMMYFUNCTION("""COMPUTED_VALUE"""),1.0)</f>
        <v>1</v>
      </c>
      <c r="H676" s="8" t="str">
        <f>IFERROR(__xludf.DUMMYFUNCTION("""COMPUTED_VALUE"""),"CRLN")</f>
        <v>CRLN</v>
      </c>
    </row>
    <row r="677">
      <c r="A677" s="8" t="str">
        <f>IFERROR(__xludf.DUMMYFUNCTION("""COMPUTED_VALUE"""),"FLB5794")</f>
        <v>FLB5794</v>
      </c>
      <c r="B677" s="8" t="str">
        <f>IFERROR(__xludf.DUMMYFUNCTION("""COMPUTED_VALUE"""),"RUN-FLMP_2022-02-07_RFR-083")</f>
        <v>RUN-FLMP_2022-02-07_RFR-083</v>
      </c>
      <c r="C677" s="10">
        <f>VLOOKUP(B677,'Run Reconcile'!A$2:B1579,2,FALSE)</f>
        <v>44599</v>
      </c>
      <c r="D677" s="14">
        <f>IFERROR(__xludf.DUMMYFUNCTION("""COMPUTED_VALUE"""),44599.0)</f>
        <v>44599</v>
      </c>
      <c r="E677" s="15">
        <f>IFERROR(__xludf.DUMMYFUNCTION("""COMPUTED_VALUE"""),0.29064814814773854)</f>
        <v>0.2906481481</v>
      </c>
      <c r="F677" s="8" t="str">
        <f>IFERROR(__xludf.DUMMYFUNCTION("""COMPUTED_VALUE"""),"Negative")</f>
        <v>Negative</v>
      </c>
      <c r="G677" s="16">
        <f>IFERROR(__xludf.DUMMYFUNCTION("""COMPUTED_VALUE"""),2.0)</f>
        <v>2</v>
      </c>
      <c r="H677" s="8" t="str">
        <f>IFERROR(__xludf.DUMMYFUNCTION("""COMPUTED_VALUE"""),"CRLN")</f>
        <v>CRLN</v>
      </c>
    </row>
    <row r="678">
      <c r="A678" s="8" t="str">
        <f>IFERROR(__xludf.DUMMYFUNCTION("""COMPUTED_VALUE"""),"FLB5728")</f>
        <v>FLB5728</v>
      </c>
      <c r="B678" s="8" t="str">
        <f>IFERROR(__xludf.DUMMYFUNCTION("""COMPUTED_VALUE"""),"RUN-FLMP_2022-02-07_RFR-083")</f>
        <v>RUN-FLMP_2022-02-07_RFR-083</v>
      </c>
      <c r="C678" s="10">
        <f>VLOOKUP(B678,'Run Reconcile'!A$2:B1579,2,FALSE)</f>
        <v>44599</v>
      </c>
      <c r="D678" s="14">
        <f>IFERROR(__xludf.DUMMYFUNCTION("""COMPUTED_VALUE"""),44599.0)</f>
        <v>44599</v>
      </c>
      <c r="E678" s="15">
        <f>IFERROR(__xludf.DUMMYFUNCTION("""COMPUTED_VALUE"""),0.30756944444510737)</f>
        <v>0.3075694444</v>
      </c>
      <c r="F678" s="8" t="str">
        <f>IFERROR(__xludf.DUMMYFUNCTION("""COMPUTED_VALUE"""),"Negative")</f>
        <v>Negative</v>
      </c>
      <c r="G678" s="16">
        <f>IFERROR(__xludf.DUMMYFUNCTION("""COMPUTED_VALUE"""),1.0)</f>
        <v>1</v>
      </c>
      <c r="H678" s="8" t="str">
        <f>IFERROR(__xludf.DUMMYFUNCTION("""COMPUTED_VALUE"""),"CRLN")</f>
        <v>CRLN</v>
      </c>
    </row>
    <row r="679">
      <c r="A679" s="8" t="str">
        <f>IFERROR(__xludf.DUMMYFUNCTION("""COMPUTED_VALUE"""),"FLB5828")</f>
        <v>FLB5828</v>
      </c>
      <c r="B679" s="8" t="str">
        <f>IFERROR(__xludf.DUMMYFUNCTION("""COMPUTED_VALUE"""),"RUN-FLMP_2022-02-07_RFR-083")</f>
        <v>RUN-FLMP_2022-02-07_RFR-083</v>
      </c>
      <c r="C679" s="10">
        <f>VLOOKUP(B679,'Run Reconcile'!A$2:B1579,2,FALSE)</f>
        <v>44599</v>
      </c>
      <c r="D679" s="14">
        <f>IFERROR(__xludf.DUMMYFUNCTION("""COMPUTED_VALUE"""),44599.0)</f>
        <v>44599</v>
      </c>
      <c r="E679" s="15">
        <f>IFERROR(__xludf.DUMMYFUNCTION("""COMPUTED_VALUE"""),0.3079976851840911)</f>
        <v>0.3079976852</v>
      </c>
      <c r="F679" s="8" t="str">
        <f>IFERROR(__xludf.DUMMYFUNCTION("""COMPUTED_VALUE"""),"Negative")</f>
        <v>Negative</v>
      </c>
      <c r="G679" s="16">
        <f>IFERROR(__xludf.DUMMYFUNCTION("""COMPUTED_VALUE"""),4.0)</f>
        <v>4</v>
      </c>
      <c r="H679" s="8" t="str">
        <f>IFERROR(__xludf.DUMMYFUNCTION("""COMPUTED_VALUE"""),"CRLN")</f>
        <v>CRLN</v>
      </c>
    </row>
    <row r="680">
      <c r="A680" s="8" t="str">
        <f>IFERROR(__xludf.DUMMYFUNCTION("""COMPUTED_VALUE"""),"FLB5859")</f>
        <v>FLB5859</v>
      </c>
      <c r="B680" s="8" t="str">
        <f>IFERROR(__xludf.DUMMYFUNCTION("""COMPUTED_VALUE"""),"RUN-FLMP_2022-02-07_RFR-083")</f>
        <v>RUN-FLMP_2022-02-07_RFR-083</v>
      </c>
      <c r="C680" s="10">
        <f>VLOOKUP(B680,'Run Reconcile'!A$2:B1579,2,FALSE)</f>
        <v>44599</v>
      </c>
      <c r="D680" s="14">
        <f>IFERROR(__xludf.DUMMYFUNCTION("""COMPUTED_VALUE"""),44599.0)</f>
        <v>44599</v>
      </c>
      <c r="E680" s="15">
        <f>IFERROR(__xludf.DUMMYFUNCTION("""COMPUTED_VALUE"""),0.3095254629624833)</f>
        <v>0.309525463</v>
      </c>
      <c r="F680" s="8" t="str">
        <f>IFERROR(__xludf.DUMMYFUNCTION("""COMPUTED_VALUE"""),"Negative")</f>
        <v>Negative</v>
      </c>
      <c r="G680" s="16">
        <f>IFERROR(__xludf.DUMMYFUNCTION("""COMPUTED_VALUE"""),3.0)</f>
        <v>3</v>
      </c>
      <c r="H680" s="8" t="str">
        <f>IFERROR(__xludf.DUMMYFUNCTION("""COMPUTED_VALUE"""),"CRLN")</f>
        <v>CRLN</v>
      </c>
    </row>
    <row r="681">
      <c r="A681" s="8" t="str">
        <f>IFERROR(__xludf.DUMMYFUNCTION("""COMPUTED_VALUE"""),"FLB4898")</f>
        <v>FLB4898</v>
      </c>
      <c r="B681" s="8" t="str">
        <f>IFERROR(__xludf.DUMMYFUNCTION("""COMPUTED_VALUE"""),"RUN-FLMP_2022-02-07_RFR-083")</f>
        <v>RUN-FLMP_2022-02-07_RFR-083</v>
      </c>
      <c r="C681" s="10">
        <f>VLOOKUP(B681,'Run Reconcile'!A$2:B1579,2,FALSE)</f>
        <v>44599</v>
      </c>
      <c r="D681" s="14">
        <f>IFERROR(__xludf.DUMMYFUNCTION("""COMPUTED_VALUE"""),44599.0)</f>
        <v>44599</v>
      </c>
      <c r="E681" s="15">
        <f>IFERROR(__xludf.DUMMYFUNCTION("""COMPUTED_VALUE"""),0.3112268518525525)</f>
        <v>0.3112268519</v>
      </c>
      <c r="F681" s="8" t="str">
        <f>IFERROR(__xludf.DUMMYFUNCTION("""COMPUTED_VALUE"""),"Negative")</f>
        <v>Negative</v>
      </c>
      <c r="G681" s="16">
        <f>IFERROR(__xludf.DUMMYFUNCTION("""COMPUTED_VALUE"""),4.0)</f>
        <v>4</v>
      </c>
      <c r="H681" s="8" t="str">
        <f>IFERROR(__xludf.DUMMYFUNCTION("""COMPUTED_VALUE"""),"CRLN")</f>
        <v>CRLN</v>
      </c>
    </row>
    <row r="682">
      <c r="A682" s="8" t="str">
        <f>IFERROR(__xludf.DUMMYFUNCTION("""COMPUTED_VALUE"""),"FL5738")</f>
        <v>FL5738</v>
      </c>
      <c r="B682" s="8" t="str">
        <f>IFERROR(__xludf.DUMMYFUNCTION("""COMPUTED_VALUE"""),"RUN-FLMP_2022-02-07_RFR-083")</f>
        <v>RUN-FLMP_2022-02-07_RFR-083</v>
      </c>
      <c r="C682" s="10">
        <f>VLOOKUP(B682,'Run Reconcile'!A$2:B1579,2,FALSE)</f>
        <v>44599</v>
      </c>
      <c r="D682" s="14">
        <f>IFERROR(__xludf.DUMMYFUNCTION("""COMPUTED_VALUE"""),44599.0)</f>
        <v>44599</v>
      </c>
      <c r="E682" s="15">
        <f>IFERROR(__xludf.DUMMYFUNCTION("""COMPUTED_VALUE"""),0.3240277777767915)</f>
        <v>0.3240277778</v>
      </c>
      <c r="F682" s="8" t="str">
        <f>IFERROR(__xludf.DUMMYFUNCTION("""COMPUTED_VALUE"""),"Negative")</f>
        <v>Negative</v>
      </c>
      <c r="G682" s="16">
        <f>IFERROR(__xludf.DUMMYFUNCTION("""COMPUTED_VALUE"""),2.0)</f>
        <v>2</v>
      </c>
      <c r="H682" s="8" t="str">
        <f>IFERROR(__xludf.DUMMYFUNCTION("""COMPUTED_VALUE"""),"CRLN")</f>
        <v>CRLN</v>
      </c>
    </row>
    <row r="683">
      <c r="A683" s="8" t="str">
        <f>IFERROR(__xludf.DUMMYFUNCTION("""COMPUTED_VALUE"""),"FLB5743")</f>
        <v>FLB5743</v>
      </c>
      <c r="B683" s="8" t="str">
        <f>IFERROR(__xludf.DUMMYFUNCTION("""COMPUTED_VALUE"""),"RUN-FLMP_2022-02-07_RFR-083")</f>
        <v>RUN-FLMP_2022-02-07_RFR-083</v>
      </c>
      <c r="C683" s="10">
        <f>VLOOKUP(B683,'Run Reconcile'!A$2:B1579,2,FALSE)</f>
        <v>44599</v>
      </c>
      <c r="D683" s="14">
        <f>IFERROR(__xludf.DUMMYFUNCTION("""COMPUTED_VALUE"""),44599.0)</f>
        <v>44599</v>
      </c>
      <c r="E683" s="15">
        <f>IFERROR(__xludf.DUMMYFUNCTION("""COMPUTED_VALUE"""),0.325648148147593)</f>
        <v>0.3256481481</v>
      </c>
      <c r="F683" s="8" t="str">
        <f>IFERROR(__xludf.DUMMYFUNCTION("""COMPUTED_VALUE"""),"Negative")</f>
        <v>Negative</v>
      </c>
      <c r="G683" s="16">
        <f>IFERROR(__xludf.DUMMYFUNCTION("""COMPUTED_VALUE"""),1.0)</f>
        <v>1</v>
      </c>
      <c r="H683" s="8" t="str">
        <f>IFERROR(__xludf.DUMMYFUNCTION("""COMPUTED_VALUE"""),"CRLN")</f>
        <v>CRLN</v>
      </c>
    </row>
    <row r="684">
      <c r="A684" s="8" t="str">
        <f>IFERROR(__xludf.DUMMYFUNCTION("""COMPUTED_VALUE"""),"FLB6330")</f>
        <v>FLB6330</v>
      </c>
      <c r="B684" s="8" t="str">
        <f>IFERROR(__xludf.DUMMYFUNCTION("""COMPUTED_VALUE"""),"RUN-FLMP_2022-02-07_RFR-083")</f>
        <v>RUN-FLMP_2022-02-07_RFR-083</v>
      </c>
      <c r="C684" s="10">
        <f>VLOOKUP(B684,'Run Reconcile'!A$2:B1579,2,FALSE)</f>
        <v>44599</v>
      </c>
      <c r="D684" s="14">
        <f>IFERROR(__xludf.DUMMYFUNCTION("""COMPUTED_VALUE"""),44599.0)</f>
        <v>44599</v>
      </c>
      <c r="E684" s="15">
        <f>IFERROR(__xludf.DUMMYFUNCTION("""COMPUTED_VALUE"""),0.32712962962978054)</f>
        <v>0.3271296296</v>
      </c>
      <c r="F684" s="8" t="str">
        <f>IFERROR(__xludf.DUMMYFUNCTION("""COMPUTED_VALUE"""),"Negative")</f>
        <v>Negative</v>
      </c>
      <c r="G684" s="16">
        <f>IFERROR(__xludf.DUMMYFUNCTION("""COMPUTED_VALUE"""),4.0)</f>
        <v>4</v>
      </c>
      <c r="H684" s="8" t="str">
        <f>IFERROR(__xludf.DUMMYFUNCTION("""COMPUTED_VALUE"""),"CRLN")</f>
        <v>CRLN</v>
      </c>
    </row>
    <row r="685">
      <c r="A685" s="8" t="str">
        <f>IFERROR(__xludf.DUMMYFUNCTION("""COMPUTED_VALUE"""),"FLT1480")</f>
        <v>FLT1480</v>
      </c>
      <c r="B685" s="8" t="str">
        <f>IFERROR(__xludf.DUMMYFUNCTION("""COMPUTED_VALUE"""),"RUN-FLMP_2022-02-07_RFR-083")</f>
        <v>RUN-FLMP_2022-02-07_RFR-083</v>
      </c>
      <c r="C685" s="10">
        <f>VLOOKUP(B685,'Run Reconcile'!A$2:B1579,2,FALSE)</f>
        <v>44599</v>
      </c>
      <c r="D685" s="14">
        <f>IFERROR(__xludf.DUMMYFUNCTION("""COMPUTED_VALUE"""),44599.0)</f>
        <v>44599</v>
      </c>
      <c r="E685" s="15">
        <f>IFERROR(__xludf.DUMMYFUNCTION("""COMPUTED_VALUE"""),0.328194444446126)</f>
        <v>0.3281944444</v>
      </c>
      <c r="F685" s="8" t="str">
        <f>IFERROR(__xludf.DUMMYFUNCTION("""COMPUTED_VALUE"""),"Negative")</f>
        <v>Negative</v>
      </c>
      <c r="G685" s="16">
        <f>IFERROR(__xludf.DUMMYFUNCTION("""COMPUTED_VALUE"""),1.0)</f>
        <v>1</v>
      </c>
      <c r="H685" s="8" t="str">
        <f>IFERROR(__xludf.DUMMYFUNCTION("""COMPUTED_VALUE"""),"CRLN")</f>
        <v>CRLN</v>
      </c>
    </row>
    <row r="686">
      <c r="A686" s="8" t="str">
        <f>IFERROR(__xludf.DUMMYFUNCTION("""COMPUTED_VALUE"""),"FLB5757")</f>
        <v>FLB5757</v>
      </c>
      <c r="B686" s="8" t="str">
        <f>IFERROR(__xludf.DUMMYFUNCTION("""COMPUTED_VALUE"""),"RUN-FLMP_2022-02-07_RFR-083")</f>
        <v>RUN-FLMP_2022-02-07_RFR-083</v>
      </c>
      <c r="C686" s="10">
        <f>VLOOKUP(B686,'Run Reconcile'!A$2:B1579,2,FALSE)</f>
        <v>44599</v>
      </c>
      <c r="D686" s="14">
        <f>IFERROR(__xludf.DUMMYFUNCTION("""COMPUTED_VALUE"""),44599.0)</f>
        <v>44599</v>
      </c>
      <c r="E686" s="15">
        <f>IFERROR(__xludf.DUMMYFUNCTION("""COMPUTED_VALUE"""),0.3292592592588335)</f>
        <v>0.3292592593</v>
      </c>
      <c r="F686" s="8" t="str">
        <f>IFERROR(__xludf.DUMMYFUNCTION("""COMPUTED_VALUE"""),"Negative")</f>
        <v>Negative</v>
      </c>
      <c r="G686" s="16">
        <f>IFERROR(__xludf.DUMMYFUNCTION("""COMPUTED_VALUE"""),3.0)</f>
        <v>3</v>
      </c>
      <c r="H686" s="8" t="str">
        <f>IFERROR(__xludf.DUMMYFUNCTION("""COMPUTED_VALUE"""),"CRLN")</f>
        <v>CRLN</v>
      </c>
    </row>
    <row r="687">
      <c r="A687" s="8" t="str">
        <f>IFERROR(__xludf.DUMMYFUNCTION("""COMPUTED_VALUE"""),"FLB7394")</f>
        <v>FLB7394</v>
      </c>
      <c r="B687" s="8" t="str">
        <f>IFERROR(__xludf.DUMMYFUNCTION("""COMPUTED_VALUE"""),"RUN-FLMP_2022-02-07_RFR-083")</f>
        <v>RUN-FLMP_2022-02-07_RFR-083</v>
      </c>
      <c r="C687" s="10">
        <f>VLOOKUP(B687,'Run Reconcile'!A$2:B1579,2,FALSE)</f>
        <v>44599</v>
      </c>
      <c r="D687" s="14">
        <f>IFERROR(__xludf.DUMMYFUNCTION("""COMPUTED_VALUE"""),44599.0)</f>
        <v>44599</v>
      </c>
      <c r="E687" s="15">
        <f>IFERROR(__xludf.DUMMYFUNCTION("""COMPUTED_VALUE"""),0.3299537037019036)</f>
        <v>0.3299537037</v>
      </c>
      <c r="F687" s="8" t="str">
        <f>IFERROR(__xludf.DUMMYFUNCTION("""COMPUTED_VALUE"""),"Negative")</f>
        <v>Negative</v>
      </c>
      <c r="G687" s="16">
        <f>IFERROR(__xludf.DUMMYFUNCTION("""COMPUTED_VALUE"""),1.0)</f>
        <v>1</v>
      </c>
      <c r="H687" s="8" t="str">
        <f>IFERROR(__xludf.DUMMYFUNCTION("""COMPUTED_VALUE"""),"CRLN")</f>
        <v>CRLN</v>
      </c>
    </row>
    <row r="688">
      <c r="A688" s="8" t="str">
        <f>IFERROR(__xludf.DUMMYFUNCTION("""COMPUTED_VALUE"""),"FLB5833")</f>
        <v>FLB5833</v>
      </c>
      <c r="B688" s="8" t="str">
        <f>IFERROR(__xludf.DUMMYFUNCTION("""COMPUTED_VALUE"""),"RUN-FLMP_2022-02-07_RFR-083")</f>
        <v>RUN-FLMP_2022-02-07_RFR-083</v>
      </c>
      <c r="C688" s="10">
        <f>VLOOKUP(B688,'Run Reconcile'!A$2:B1579,2,FALSE)</f>
        <v>44599</v>
      </c>
      <c r="D688" s="14">
        <f>IFERROR(__xludf.DUMMYFUNCTION("""COMPUTED_VALUE"""),44599.0)</f>
        <v>44599</v>
      </c>
      <c r="E688" s="15">
        <f>IFERROR(__xludf.DUMMYFUNCTION("""COMPUTED_VALUE"""),0.3383680555562023)</f>
        <v>0.3383680556</v>
      </c>
      <c r="F688" s="8" t="str">
        <f>IFERROR(__xludf.DUMMYFUNCTION("""COMPUTED_VALUE"""),"Negative")</f>
        <v>Negative</v>
      </c>
      <c r="G688" s="16">
        <f>IFERROR(__xludf.DUMMYFUNCTION("""COMPUTED_VALUE"""),3.0)</f>
        <v>3</v>
      </c>
      <c r="H688" s="8" t="str">
        <f>IFERROR(__xludf.DUMMYFUNCTION("""COMPUTED_VALUE"""),"CRLN")</f>
        <v>CRLN</v>
      </c>
    </row>
    <row r="689">
      <c r="A689" s="8" t="str">
        <f>IFERROR(__xludf.DUMMYFUNCTION("""COMPUTED_VALUE"""),"FLB5813")</f>
        <v>FLB5813</v>
      </c>
      <c r="B689" s="8" t="str">
        <f>IFERROR(__xludf.DUMMYFUNCTION("""COMPUTED_VALUE"""),"RUN-FLMP_2022-02-07_RFR-083")</f>
        <v>RUN-FLMP_2022-02-07_RFR-083</v>
      </c>
      <c r="C689" s="10">
        <f>VLOOKUP(B689,'Run Reconcile'!A$2:B1579,2,FALSE)</f>
        <v>44599</v>
      </c>
      <c r="D689" s="14">
        <f>IFERROR(__xludf.DUMMYFUNCTION("""COMPUTED_VALUE"""),44599.0)</f>
        <v>44599</v>
      </c>
      <c r="E689" s="15">
        <f>IFERROR(__xludf.DUMMYFUNCTION("""COMPUTED_VALUE"""),0.34271990740671754)</f>
        <v>0.3427199074</v>
      </c>
      <c r="F689" s="8" t="str">
        <f>IFERROR(__xludf.DUMMYFUNCTION("""COMPUTED_VALUE"""),"Negative")</f>
        <v>Negative</v>
      </c>
      <c r="G689" s="16">
        <f>IFERROR(__xludf.DUMMYFUNCTION("""COMPUTED_VALUE"""),3.0)</f>
        <v>3</v>
      </c>
      <c r="H689" s="8" t="str">
        <f>IFERROR(__xludf.DUMMYFUNCTION("""COMPUTED_VALUE"""),"CRLN")</f>
        <v>CRLN</v>
      </c>
    </row>
    <row r="690">
      <c r="A690" s="8" t="str">
        <f>IFERROR(__xludf.DUMMYFUNCTION("""COMPUTED_VALUE"""),"FLB5770")</f>
        <v>FLB5770</v>
      </c>
      <c r="B690" s="8" t="str">
        <f>IFERROR(__xludf.DUMMYFUNCTION("""COMPUTED_VALUE"""),"RUN-FLMP_2022-02-07_RFR-083")</f>
        <v>RUN-FLMP_2022-02-07_RFR-083</v>
      </c>
      <c r="C690" s="10">
        <f>VLOOKUP(B690,'Run Reconcile'!A$2:B1579,2,FALSE)</f>
        <v>44599</v>
      </c>
      <c r="D690" s="14">
        <f>IFERROR(__xludf.DUMMYFUNCTION("""COMPUTED_VALUE"""),44599.0)</f>
        <v>44599</v>
      </c>
      <c r="E690" s="15">
        <f>IFERROR(__xludf.DUMMYFUNCTION("""COMPUTED_VALUE"""),0.34601851851766696)</f>
        <v>0.3460185185</v>
      </c>
      <c r="F690" s="8" t="str">
        <f>IFERROR(__xludf.DUMMYFUNCTION("""COMPUTED_VALUE"""),"Negative")</f>
        <v>Negative</v>
      </c>
      <c r="G690" s="16">
        <f>IFERROR(__xludf.DUMMYFUNCTION("""COMPUTED_VALUE"""),2.0)</f>
        <v>2</v>
      </c>
      <c r="H690" s="8" t="str">
        <f>IFERROR(__xludf.DUMMYFUNCTION("""COMPUTED_VALUE"""),"CRLN")</f>
        <v>CRLN</v>
      </c>
    </row>
    <row r="691">
      <c r="A691" s="8" t="str">
        <f>IFERROR(__xludf.DUMMYFUNCTION("""COMPUTED_VALUE"""),"FLT1121")</f>
        <v>FLT1121</v>
      </c>
      <c r="B691" s="8" t="str">
        <f>IFERROR(__xludf.DUMMYFUNCTION("""COMPUTED_VALUE"""),"RUN-FLMP_2022-02-07_RFR-083")</f>
        <v>RUN-FLMP_2022-02-07_RFR-083</v>
      </c>
      <c r="C691" s="10">
        <f>VLOOKUP(B691,'Run Reconcile'!A$2:B1579,2,FALSE)</f>
        <v>44599</v>
      </c>
      <c r="D691" s="14">
        <f>IFERROR(__xludf.DUMMYFUNCTION("""COMPUTED_VALUE"""),44599.0)</f>
        <v>44599</v>
      </c>
      <c r="E691" s="15">
        <f>IFERROR(__xludf.DUMMYFUNCTION("""COMPUTED_VALUE"""),0.3539930555562023)</f>
        <v>0.3539930556</v>
      </c>
      <c r="F691" s="8" t="str">
        <f>IFERROR(__xludf.DUMMYFUNCTION("""COMPUTED_VALUE"""),"Negative")</f>
        <v>Negative</v>
      </c>
      <c r="G691" s="16">
        <f>IFERROR(__xludf.DUMMYFUNCTION("""COMPUTED_VALUE"""),4.0)</f>
        <v>4</v>
      </c>
      <c r="H691" s="8" t="str">
        <f>IFERROR(__xludf.DUMMYFUNCTION("""COMPUTED_VALUE"""),"CRLN")</f>
        <v>CRLN</v>
      </c>
    </row>
    <row r="692">
      <c r="A692" s="8" t="str">
        <f>IFERROR(__xludf.DUMMYFUNCTION("""COMPUTED_VALUE"""),"FLE308")</f>
        <v>FLE308</v>
      </c>
      <c r="B692" s="8" t="str">
        <f>IFERROR(__xludf.DUMMYFUNCTION("""COMPUTED_VALUE"""),"RUN-FLMP_2022-02-07_RFR-083")</f>
        <v>RUN-FLMP_2022-02-07_RFR-083</v>
      </c>
      <c r="C692" s="10">
        <f>VLOOKUP(B692,'Run Reconcile'!A$2:B1579,2,FALSE)</f>
        <v>44599</v>
      </c>
      <c r="D692" s="14">
        <f>IFERROR(__xludf.DUMMYFUNCTION("""COMPUTED_VALUE"""),44599.0)</f>
        <v>44599</v>
      </c>
      <c r="E692" s="15">
        <f>IFERROR(__xludf.DUMMYFUNCTION("""COMPUTED_VALUE"""),0.3583217592604342)</f>
        <v>0.3583217593</v>
      </c>
      <c r="F692" s="8" t="str">
        <f>IFERROR(__xludf.DUMMYFUNCTION("""COMPUTED_VALUE"""),"Negative")</f>
        <v>Negative</v>
      </c>
      <c r="G692" s="16">
        <f>IFERROR(__xludf.DUMMYFUNCTION("""COMPUTED_VALUE"""),4.0)</f>
        <v>4</v>
      </c>
      <c r="H692" s="8" t="str">
        <f>IFERROR(__xludf.DUMMYFUNCTION("""COMPUTED_VALUE"""),"CRLN")</f>
        <v>CRLN</v>
      </c>
    </row>
    <row r="693">
      <c r="A693" s="8" t="str">
        <f>IFERROR(__xludf.DUMMYFUNCTION("""COMPUTED_VALUE"""),"FLB5984")</f>
        <v>FLB5984</v>
      </c>
      <c r="B693" s="8" t="str">
        <f>IFERROR(__xludf.DUMMYFUNCTION("""COMPUTED_VALUE"""),"RUN-FLMP_2022-02-07_RFR-083")</f>
        <v>RUN-FLMP_2022-02-07_RFR-083</v>
      </c>
      <c r="C693" s="10">
        <f>VLOOKUP(B693,'Run Reconcile'!A$2:B1579,2,FALSE)</f>
        <v>44599</v>
      </c>
      <c r="D693" s="14">
        <f>IFERROR(__xludf.DUMMYFUNCTION("""COMPUTED_VALUE"""),44599.0)</f>
        <v>44599</v>
      </c>
      <c r="E693" s="15">
        <f>IFERROR(__xludf.DUMMYFUNCTION("""COMPUTED_VALUE"""),0.36079861111284117)</f>
        <v>0.3607986111</v>
      </c>
      <c r="F693" s="8" t="str">
        <f>IFERROR(__xludf.DUMMYFUNCTION("""COMPUTED_VALUE"""),"Negative")</f>
        <v>Negative</v>
      </c>
      <c r="G693" s="16">
        <f>IFERROR(__xludf.DUMMYFUNCTION("""COMPUTED_VALUE"""),2.0)</f>
        <v>2</v>
      </c>
      <c r="H693" s="8" t="str">
        <f>IFERROR(__xludf.DUMMYFUNCTION("""COMPUTED_VALUE"""),"CRLN")</f>
        <v>CRLN</v>
      </c>
    </row>
    <row r="694">
      <c r="A694" s="8" t="str">
        <f>IFERROR(__xludf.DUMMYFUNCTION("""COMPUTED_VALUE"""),"FLB5880")</f>
        <v>FLB5880</v>
      </c>
      <c r="B694" s="8" t="str">
        <f>IFERROR(__xludf.DUMMYFUNCTION("""COMPUTED_VALUE"""),"RUN-FLMP_2022-02-07_RFR-083")</f>
        <v>RUN-FLMP_2022-02-07_RFR-083</v>
      </c>
      <c r="C694" s="10">
        <f>VLOOKUP(B694,'Run Reconcile'!A$2:B1579,2,FALSE)</f>
        <v>44599</v>
      </c>
      <c r="D694" s="14">
        <f>IFERROR(__xludf.DUMMYFUNCTION("""COMPUTED_VALUE"""),44599.0)</f>
        <v>44599</v>
      </c>
      <c r="E694" s="15">
        <f>IFERROR(__xludf.DUMMYFUNCTION("""COMPUTED_VALUE"""),0.36131944444423425)</f>
        <v>0.3613194444</v>
      </c>
      <c r="F694" s="8" t="str">
        <f>IFERROR(__xludf.DUMMYFUNCTION("""COMPUTED_VALUE"""),"Negative")</f>
        <v>Negative</v>
      </c>
      <c r="G694" s="16">
        <f>IFERROR(__xludf.DUMMYFUNCTION("""COMPUTED_VALUE"""),2.0)</f>
        <v>2</v>
      </c>
      <c r="H694" s="8" t="str">
        <f>IFERROR(__xludf.DUMMYFUNCTION("""COMPUTED_VALUE"""),"CRLN")</f>
        <v>CRLN</v>
      </c>
    </row>
    <row r="695">
      <c r="A695" s="8" t="str">
        <f>IFERROR(__xludf.DUMMYFUNCTION("""COMPUTED_VALUE"""),"FLB5742")</f>
        <v>FLB5742</v>
      </c>
      <c r="B695" s="8" t="str">
        <f>IFERROR(__xludf.DUMMYFUNCTION("""COMPUTED_VALUE"""),"RUN-FLMP_2022-02-07_RFR-083")</f>
        <v>RUN-FLMP_2022-02-07_RFR-083</v>
      </c>
      <c r="C695" s="10">
        <f>VLOOKUP(B695,'Run Reconcile'!A$2:B1579,2,FALSE)</f>
        <v>44599</v>
      </c>
      <c r="D695" s="14">
        <f>IFERROR(__xludf.DUMMYFUNCTION("""COMPUTED_VALUE"""),44599.0)</f>
        <v>44599</v>
      </c>
      <c r="E695" s="15">
        <f>IFERROR(__xludf.DUMMYFUNCTION("""COMPUTED_VALUE"""),0.36165509259080864)</f>
        <v>0.3616550926</v>
      </c>
      <c r="F695" s="8" t="str">
        <f>IFERROR(__xludf.DUMMYFUNCTION("""COMPUTED_VALUE"""),"Negative")</f>
        <v>Negative</v>
      </c>
      <c r="G695" s="16">
        <f>IFERROR(__xludf.DUMMYFUNCTION("""COMPUTED_VALUE"""),1.0)</f>
        <v>1</v>
      </c>
      <c r="H695" s="8" t="str">
        <f>IFERROR(__xludf.DUMMYFUNCTION("""COMPUTED_VALUE"""),"CRLN")</f>
        <v>CRLN</v>
      </c>
    </row>
    <row r="696">
      <c r="A696" s="8" t="str">
        <f>IFERROR(__xludf.DUMMYFUNCTION("""COMPUTED_VALUE"""),"FLB4918")</f>
        <v>FLB4918</v>
      </c>
      <c r="B696" s="8" t="str">
        <f>IFERROR(__xludf.DUMMYFUNCTION("""COMPUTED_VALUE"""),"RUN-FLMP_2022-02-07_RFR-083")</f>
        <v>RUN-FLMP_2022-02-07_RFR-083</v>
      </c>
      <c r="C696" s="10">
        <f>VLOOKUP(B696,'Run Reconcile'!A$2:B1579,2,FALSE)</f>
        <v>44599</v>
      </c>
      <c r="D696" s="14">
        <f>IFERROR(__xludf.DUMMYFUNCTION("""COMPUTED_VALUE"""),44599.0)</f>
        <v>44599</v>
      </c>
      <c r="E696" s="15">
        <f>IFERROR(__xludf.DUMMYFUNCTION("""COMPUTED_VALUE"""),0.36571759259095415)</f>
        <v>0.3657175926</v>
      </c>
      <c r="F696" s="8" t="str">
        <f>IFERROR(__xludf.DUMMYFUNCTION("""COMPUTED_VALUE"""),"Negative")</f>
        <v>Negative</v>
      </c>
      <c r="G696" s="16">
        <f>IFERROR(__xludf.DUMMYFUNCTION("""COMPUTED_VALUE"""),1.0)</f>
        <v>1</v>
      </c>
      <c r="H696" s="8" t="str">
        <f>IFERROR(__xludf.DUMMYFUNCTION("""COMPUTED_VALUE"""),"CRLN")</f>
        <v>CRLN</v>
      </c>
    </row>
    <row r="697">
      <c r="A697" s="8" t="str">
        <f>IFERROR(__xludf.DUMMYFUNCTION("""COMPUTED_VALUE"""),"FLB7174")</f>
        <v>FLB7174</v>
      </c>
      <c r="B697" s="8" t="str">
        <f>IFERROR(__xludf.DUMMYFUNCTION("""COMPUTED_VALUE"""),"RUN-FLMP_2022-02-07_RFR-083")</f>
        <v>RUN-FLMP_2022-02-07_RFR-083</v>
      </c>
      <c r="C697" s="10">
        <f>VLOOKUP(B697,'Run Reconcile'!A$2:B1579,2,FALSE)</f>
        <v>44599</v>
      </c>
      <c r="D697" s="14">
        <f>IFERROR(__xludf.DUMMYFUNCTION("""COMPUTED_VALUE"""),44599.0)</f>
        <v>44599</v>
      </c>
      <c r="E697" s="15">
        <f>IFERROR(__xludf.DUMMYFUNCTION("""COMPUTED_VALUE"""),0.36607638888744987)</f>
        <v>0.3660763889</v>
      </c>
      <c r="F697" s="8" t="str">
        <f>IFERROR(__xludf.DUMMYFUNCTION("""COMPUTED_VALUE"""),"Negative")</f>
        <v>Negative</v>
      </c>
      <c r="G697" s="16">
        <f>IFERROR(__xludf.DUMMYFUNCTION("""COMPUTED_VALUE"""),4.0)</f>
        <v>4</v>
      </c>
      <c r="H697" s="8" t="str">
        <f>IFERROR(__xludf.DUMMYFUNCTION("""COMPUTED_VALUE"""),"CRLN")</f>
        <v>CRLN</v>
      </c>
    </row>
    <row r="698">
      <c r="A698" s="8" t="str">
        <f>IFERROR(__xludf.DUMMYFUNCTION("""COMPUTED_VALUE"""),"FLE934")</f>
        <v>FLE934</v>
      </c>
      <c r="B698" s="8" t="str">
        <f>IFERROR(__xludf.DUMMYFUNCTION("""COMPUTED_VALUE"""),"RUN-FLMP_2022-02-07_RFR-083")</f>
        <v>RUN-FLMP_2022-02-07_RFR-083</v>
      </c>
      <c r="C698" s="10">
        <f>VLOOKUP(B698,'Run Reconcile'!A$2:B1579,2,FALSE)</f>
        <v>44599</v>
      </c>
      <c r="D698" s="14">
        <f>IFERROR(__xludf.DUMMYFUNCTION("""COMPUTED_VALUE"""),44599.0)</f>
        <v>44599</v>
      </c>
      <c r="E698" s="15">
        <f>IFERROR(__xludf.DUMMYFUNCTION("""COMPUTED_VALUE"""),0.36658564814933925)</f>
        <v>0.3665856481</v>
      </c>
      <c r="F698" s="8" t="str">
        <f>IFERROR(__xludf.DUMMYFUNCTION("""COMPUTED_VALUE"""),"Negative")</f>
        <v>Negative</v>
      </c>
      <c r="G698" s="16">
        <f>IFERROR(__xludf.DUMMYFUNCTION("""COMPUTED_VALUE"""),3.0)</f>
        <v>3</v>
      </c>
      <c r="H698" s="8" t="str">
        <f>IFERROR(__xludf.DUMMYFUNCTION("""COMPUTED_VALUE"""),"CRLN")</f>
        <v>CRLN</v>
      </c>
    </row>
    <row r="699">
      <c r="A699" s="8" t="str">
        <f>IFERROR(__xludf.DUMMYFUNCTION("""COMPUTED_VALUE"""),"FLB5817")</f>
        <v>FLB5817</v>
      </c>
      <c r="B699" s="8" t="str">
        <f>IFERROR(__xludf.DUMMYFUNCTION("""COMPUTED_VALUE"""),"RUN-FLMP_2022-02-07_RFR-083")</f>
        <v>RUN-FLMP_2022-02-07_RFR-083</v>
      </c>
      <c r="C699" s="10">
        <f>VLOOKUP(B699,'Run Reconcile'!A$2:B1579,2,FALSE)</f>
        <v>44599</v>
      </c>
      <c r="D699" s="14">
        <f>IFERROR(__xludf.DUMMYFUNCTION("""COMPUTED_VALUE"""),44599.0)</f>
        <v>44599</v>
      </c>
      <c r="E699" s="15">
        <f>IFERROR(__xludf.DUMMYFUNCTION("""COMPUTED_VALUE"""),0.3677314814813144)</f>
        <v>0.3677314815</v>
      </c>
      <c r="F699" s="8" t="str">
        <f>IFERROR(__xludf.DUMMYFUNCTION("""COMPUTED_VALUE"""),"Negative")</f>
        <v>Negative</v>
      </c>
      <c r="G699" s="16">
        <f>IFERROR(__xludf.DUMMYFUNCTION("""COMPUTED_VALUE"""),2.0)</f>
        <v>2</v>
      </c>
      <c r="H699" s="8" t="str">
        <f>IFERROR(__xludf.DUMMYFUNCTION("""COMPUTED_VALUE"""),"CRLN")</f>
        <v>CRLN</v>
      </c>
    </row>
    <row r="700">
      <c r="A700" s="8" t="str">
        <f>IFERROR(__xludf.DUMMYFUNCTION("""COMPUTED_VALUE"""),"FLB5811")</f>
        <v>FLB5811</v>
      </c>
      <c r="B700" s="8" t="str">
        <f>IFERROR(__xludf.DUMMYFUNCTION("""COMPUTED_VALUE"""),"RUN-FLMP_2022-02-07_RFR-083")</f>
        <v>RUN-FLMP_2022-02-07_RFR-083</v>
      </c>
      <c r="C700" s="10">
        <f>VLOOKUP(B700,'Run Reconcile'!A$2:B1579,2,FALSE)</f>
        <v>44599</v>
      </c>
      <c r="D700" s="14">
        <f>IFERROR(__xludf.DUMMYFUNCTION("""COMPUTED_VALUE"""),44599.0)</f>
        <v>44599</v>
      </c>
      <c r="E700" s="15">
        <f>IFERROR(__xludf.DUMMYFUNCTION("""COMPUTED_VALUE"""),0.3740624999991269)</f>
        <v>0.3740625</v>
      </c>
      <c r="F700" s="8" t="str">
        <f>IFERROR(__xludf.DUMMYFUNCTION("""COMPUTED_VALUE"""),"Negative")</f>
        <v>Negative</v>
      </c>
      <c r="G700" s="16">
        <f>IFERROR(__xludf.DUMMYFUNCTION("""COMPUTED_VALUE"""),1.0)</f>
        <v>1</v>
      </c>
      <c r="H700" s="8" t="str">
        <f>IFERROR(__xludf.DUMMYFUNCTION("""COMPUTED_VALUE"""),"CRLN")</f>
        <v>CRLN</v>
      </c>
    </row>
    <row r="701">
      <c r="A701" s="8" t="str">
        <f>IFERROR(__xludf.DUMMYFUNCTION("""COMPUTED_VALUE"""),"FLB5793")</f>
        <v>FLB5793</v>
      </c>
      <c r="B701" s="8" t="str">
        <f>IFERROR(__xludf.DUMMYFUNCTION("""COMPUTED_VALUE"""),"RUN-FLMP_2022-02-10_RFR-085")</f>
        <v>RUN-FLMP_2022-02-10_RFR-085</v>
      </c>
      <c r="C701" s="10">
        <f>VLOOKUP(B701,'Run Reconcile'!A$2:B1579,2,FALSE)</f>
        <v>44602</v>
      </c>
      <c r="D701" s="14">
        <f>IFERROR(__xludf.DUMMYFUNCTION("""COMPUTED_VALUE"""),44601.0)</f>
        <v>44601</v>
      </c>
      <c r="E701" s="15">
        <f>IFERROR(__xludf.DUMMYFUNCTION("""COMPUTED_VALUE"""),0.7367013888906513)</f>
        <v>0.7367013889</v>
      </c>
      <c r="F701" s="8" t="str">
        <f>IFERROR(__xludf.DUMMYFUNCTION("""COMPUTED_VALUE"""),"Negative")</f>
        <v>Negative</v>
      </c>
      <c r="G701" s="16">
        <f>IFERROR(__xludf.DUMMYFUNCTION("""COMPUTED_VALUE"""),1.0)</f>
        <v>1</v>
      </c>
      <c r="H701" s="8" t="str">
        <f>IFERROR(__xludf.DUMMYFUNCTION("""COMPUTED_VALUE"""),"CRLN")</f>
        <v>CRLN</v>
      </c>
    </row>
    <row r="702">
      <c r="A702" s="8" t="str">
        <f>IFERROR(__xludf.DUMMYFUNCTION("""COMPUTED_VALUE"""),"FLB5783")</f>
        <v>FLB5783</v>
      </c>
      <c r="B702" s="8" t="str">
        <f>IFERROR(__xludf.DUMMYFUNCTION("""COMPUTED_VALUE"""),"RUN-FLMP_2022-02-10_RFR-085")</f>
        <v>RUN-FLMP_2022-02-10_RFR-085</v>
      </c>
      <c r="C702" s="10">
        <f>VLOOKUP(B702,'Run Reconcile'!A$2:B1579,2,FALSE)</f>
        <v>44602</v>
      </c>
      <c r="D702" s="14">
        <f>IFERROR(__xludf.DUMMYFUNCTION("""COMPUTED_VALUE"""),44602.0)</f>
        <v>44602</v>
      </c>
      <c r="E702" s="15">
        <f>IFERROR(__xludf.DUMMYFUNCTION("""COMPUTED_VALUE"""),0.2214814814797137)</f>
        <v>0.2214814815</v>
      </c>
      <c r="F702" s="8" t="str">
        <f>IFERROR(__xludf.DUMMYFUNCTION("""COMPUTED_VALUE"""),"Negative")</f>
        <v>Negative</v>
      </c>
      <c r="G702" s="16">
        <f>IFERROR(__xludf.DUMMYFUNCTION("""COMPUTED_VALUE"""),1.0)</f>
        <v>1</v>
      </c>
      <c r="H702" s="8" t="str">
        <f>IFERROR(__xludf.DUMMYFUNCTION("""COMPUTED_VALUE"""),"CRLN")</f>
        <v>CRLN</v>
      </c>
    </row>
    <row r="703">
      <c r="A703" s="8" t="str">
        <f>IFERROR(__xludf.DUMMYFUNCTION("""COMPUTED_VALUE"""),"FLB4927")</f>
        <v>FLB4927</v>
      </c>
      <c r="B703" s="8" t="str">
        <f>IFERROR(__xludf.DUMMYFUNCTION("""COMPUTED_VALUE"""),"RUN-FLMP_2022-02-10_RFR-085")</f>
        <v>RUN-FLMP_2022-02-10_RFR-085</v>
      </c>
      <c r="C703" s="10">
        <f>VLOOKUP(B703,'Run Reconcile'!A$2:B1579,2,FALSE)</f>
        <v>44602</v>
      </c>
      <c r="D703" s="14">
        <f>IFERROR(__xludf.DUMMYFUNCTION("""COMPUTED_VALUE"""),44602.0)</f>
        <v>44602</v>
      </c>
      <c r="E703" s="15">
        <f>IFERROR(__xludf.DUMMYFUNCTION("""COMPUTED_VALUE"""),0.29190972222204437)</f>
        <v>0.2919097222</v>
      </c>
      <c r="F703" s="8" t="str">
        <f>IFERROR(__xludf.DUMMYFUNCTION("""COMPUTED_VALUE"""),"Negative")</f>
        <v>Negative</v>
      </c>
      <c r="G703" s="16">
        <f>IFERROR(__xludf.DUMMYFUNCTION("""COMPUTED_VALUE"""),2.0)</f>
        <v>2</v>
      </c>
      <c r="H703" s="8" t="str">
        <f>IFERROR(__xludf.DUMMYFUNCTION("""COMPUTED_VALUE"""),"CRLN")</f>
        <v>CRLN</v>
      </c>
    </row>
    <row r="704">
      <c r="A704" s="8" t="str">
        <f>IFERROR(__xludf.DUMMYFUNCTION("""COMPUTED_VALUE"""),"FLB5732")</f>
        <v>FLB5732</v>
      </c>
      <c r="B704" s="8" t="str">
        <f>IFERROR(__xludf.DUMMYFUNCTION("""COMPUTED_VALUE"""),"RUN-FLMP_2022-02-10_RFR-085")</f>
        <v>RUN-FLMP_2022-02-10_RFR-085</v>
      </c>
      <c r="C704" s="10">
        <f>VLOOKUP(B704,'Run Reconcile'!A$2:B1579,2,FALSE)</f>
        <v>44602</v>
      </c>
      <c r="D704" s="14">
        <f>IFERROR(__xludf.DUMMYFUNCTION("""COMPUTED_VALUE"""),44602.0)</f>
        <v>44602</v>
      </c>
      <c r="E704" s="15">
        <f>IFERROR(__xludf.DUMMYFUNCTION("""COMPUTED_VALUE"""),0.3112037037026312)</f>
        <v>0.3112037037</v>
      </c>
      <c r="F704" s="8" t="str">
        <f>IFERROR(__xludf.DUMMYFUNCTION("""COMPUTED_VALUE"""),"Negative")</f>
        <v>Negative</v>
      </c>
      <c r="G704" s="16">
        <f>IFERROR(__xludf.DUMMYFUNCTION("""COMPUTED_VALUE"""),4.0)</f>
        <v>4</v>
      </c>
      <c r="H704" s="8" t="str">
        <f>IFERROR(__xludf.DUMMYFUNCTION("""COMPUTED_VALUE"""),"CRLN")</f>
        <v>CRLN</v>
      </c>
    </row>
    <row r="705">
      <c r="A705" s="8" t="str">
        <f>IFERROR(__xludf.DUMMYFUNCTION("""COMPUTED_VALUE"""),"FLB5967")</f>
        <v>FLB5967</v>
      </c>
      <c r="B705" s="8" t="str">
        <f>IFERROR(__xludf.DUMMYFUNCTION("""COMPUTED_VALUE"""),"RUN-FLMP_2022-02-10_RFR-085")</f>
        <v>RUN-FLMP_2022-02-10_RFR-085</v>
      </c>
      <c r="C705" s="10">
        <f>VLOOKUP(B705,'Run Reconcile'!A$2:B1579,2,FALSE)</f>
        <v>44602</v>
      </c>
      <c r="D705" s="14">
        <f>IFERROR(__xludf.DUMMYFUNCTION("""COMPUTED_VALUE"""),44602.0)</f>
        <v>44602</v>
      </c>
      <c r="E705" s="15">
        <f>IFERROR(__xludf.DUMMYFUNCTION("""COMPUTED_VALUE"""),0.3119560185186856)</f>
        <v>0.3119560185</v>
      </c>
      <c r="F705" s="8" t="str">
        <f>IFERROR(__xludf.DUMMYFUNCTION("""COMPUTED_VALUE"""),"Negative")</f>
        <v>Negative</v>
      </c>
      <c r="G705" s="16">
        <f>IFERROR(__xludf.DUMMYFUNCTION("""COMPUTED_VALUE"""),4.0)</f>
        <v>4</v>
      </c>
      <c r="H705" s="8" t="str">
        <f>IFERROR(__xludf.DUMMYFUNCTION("""COMPUTED_VALUE"""),"CRLN")</f>
        <v>CRLN</v>
      </c>
    </row>
    <row r="706">
      <c r="A706" s="8" t="str">
        <f>IFERROR(__xludf.DUMMYFUNCTION("""COMPUTED_VALUE"""),"FLB7159")</f>
        <v>FLB7159</v>
      </c>
      <c r="B706" s="8" t="str">
        <f>IFERROR(__xludf.DUMMYFUNCTION("""COMPUTED_VALUE"""),"RUN-FLMP_2022-02-10_RFR-085")</f>
        <v>RUN-FLMP_2022-02-10_RFR-085</v>
      </c>
      <c r="C706" s="10">
        <f>VLOOKUP(B706,'Run Reconcile'!A$2:B1579,2,FALSE)</f>
        <v>44602</v>
      </c>
      <c r="D706" s="14">
        <f>IFERROR(__xludf.DUMMYFUNCTION("""COMPUTED_VALUE"""),44602.0)</f>
        <v>44602</v>
      </c>
      <c r="E706" s="15">
        <f>IFERROR(__xludf.DUMMYFUNCTION("""COMPUTED_VALUE"""),0.312395833334449)</f>
        <v>0.3123958333</v>
      </c>
      <c r="F706" s="8" t="str">
        <f>IFERROR(__xludf.DUMMYFUNCTION("""COMPUTED_VALUE"""),"Negative")</f>
        <v>Negative</v>
      </c>
      <c r="G706" s="16">
        <f>IFERROR(__xludf.DUMMYFUNCTION("""COMPUTED_VALUE"""),2.0)</f>
        <v>2</v>
      </c>
      <c r="H706" s="8" t="str">
        <f>IFERROR(__xludf.DUMMYFUNCTION("""COMPUTED_VALUE"""),"CRLN")</f>
        <v>CRLN</v>
      </c>
    </row>
    <row r="707">
      <c r="A707" s="8" t="str">
        <f>IFERROR(__xludf.DUMMYFUNCTION("""COMPUTED_VALUE"""),"FLB4896")</f>
        <v>FLB4896</v>
      </c>
      <c r="B707" s="8" t="str">
        <f>IFERROR(__xludf.DUMMYFUNCTION("""COMPUTED_VALUE"""),"RUN-FLMP_2022-02-10_RFR-085")</f>
        <v>RUN-FLMP_2022-02-10_RFR-085</v>
      </c>
      <c r="C707" s="10">
        <f>VLOOKUP(B707,'Run Reconcile'!A$2:B1579,2,FALSE)</f>
        <v>44602</v>
      </c>
      <c r="D707" s="14">
        <f>IFERROR(__xludf.DUMMYFUNCTION("""COMPUTED_VALUE"""),44602.0)</f>
        <v>44602</v>
      </c>
      <c r="E707" s="15">
        <f>IFERROR(__xludf.DUMMYFUNCTION("""COMPUTED_VALUE"""),0.31554398148000473)</f>
        <v>0.3155439815</v>
      </c>
      <c r="F707" s="8" t="str">
        <f>IFERROR(__xludf.DUMMYFUNCTION("""COMPUTED_VALUE"""),"Negative")</f>
        <v>Negative</v>
      </c>
      <c r="G707" s="16">
        <f>IFERROR(__xludf.DUMMYFUNCTION("""COMPUTED_VALUE"""),4.0)</f>
        <v>4</v>
      </c>
      <c r="H707" s="8" t="str">
        <f>IFERROR(__xludf.DUMMYFUNCTION("""COMPUTED_VALUE"""),"CRLN")</f>
        <v>CRLN</v>
      </c>
    </row>
    <row r="708">
      <c r="A708" s="8" t="str">
        <f>IFERROR(__xludf.DUMMYFUNCTION("""COMPUTED_VALUE"""),"FLB5798")</f>
        <v>FLB5798</v>
      </c>
      <c r="B708" s="8" t="str">
        <f>IFERROR(__xludf.DUMMYFUNCTION("""COMPUTED_VALUE"""),"RUN-FLMP_2022-02-10_RFR-085")</f>
        <v>RUN-FLMP_2022-02-10_RFR-085</v>
      </c>
      <c r="C708" s="10">
        <f>VLOOKUP(B708,'Run Reconcile'!A$2:B1579,2,FALSE)</f>
        <v>44602</v>
      </c>
      <c r="D708" s="14">
        <f>IFERROR(__xludf.DUMMYFUNCTION("""COMPUTED_VALUE"""),44602.0)</f>
        <v>44602</v>
      </c>
      <c r="E708" s="15">
        <f>IFERROR(__xludf.DUMMYFUNCTION("""COMPUTED_VALUE"""),0.317592592593428)</f>
        <v>0.3175925926</v>
      </c>
      <c r="F708" s="8" t="str">
        <f>IFERROR(__xludf.DUMMYFUNCTION("""COMPUTED_VALUE"""),"Negative")</f>
        <v>Negative</v>
      </c>
      <c r="G708" s="16">
        <f>IFERROR(__xludf.DUMMYFUNCTION("""COMPUTED_VALUE"""),5.0)</f>
        <v>5</v>
      </c>
      <c r="H708" s="8" t="str">
        <f>IFERROR(__xludf.DUMMYFUNCTION("""COMPUTED_VALUE"""),"CRLN")</f>
        <v>CRLN</v>
      </c>
    </row>
    <row r="709">
      <c r="A709" s="8" t="str">
        <f>IFERROR(__xludf.DUMMYFUNCTION("""COMPUTED_VALUE"""),"FLT1176")</f>
        <v>FLT1176</v>
      </c>
      <c r="B709" s="8" t="str">
        <f>IFERROR(__xludf.DUMMYFUNCTION("""COMPUTED_VALUE"""),"RUN-FLMP_2022-02-10_RFR-085")</f>
        <v>RUN-FLMP_2022-02-10_RFR-085</v>
      </c>
      <c r="C709" s="10">
        <f>VLOOKUP(B709,'Run Reconcile'!A$2:B1579,2,FALSE)</f>
        <v>44602</v>
      </c>
      <c r="D709" s="14">
        <f>IFERROR(__xludf.DUMMYFUNCTION("""COMPUTED_VALUE"""),44602.0)</f>
        <v>44602</v>
      </c>
      <c r="E709" s="15">
        <f>IFERROR(__xludf.DUMMYFUNCTION("""COMPUTED_VALUE"""),0.31986111111109494)</f>
        <v>0.3198611111</v>
      </c>
      <c r="F709" s="8" t="str">
        <f>IFERROR(__xludf.DUMMYFUNCTION("""COMPUTED_VALUE"""),"Negative")</f>
        <v>Negative</v>
      </c>
      <c r="G709" s="16">
        <f>IFERROR(__xludf.DUMMYFUNCTION("""COMPUTED_VALUE"""),1.0)</f>
        <v>1</v>
      </c>
      <c r="H709" s="8" t="str">
        <f>IFERROR(__xludf.DUMMYFUNCTION("""COMPUTED_VALUE"""),"CRLN")</f>
        <v>CRLN</v>
      </c>
    </row>
    <row r="710">
      <c r="A710" s="8" t="str">
        <f>IFERROR(__xludf.DUMMYFUNCTION("""COMPUTED_VALUE"""),"FLB5868")</f>
        <v>FLB5868</v>
      </c>
      <c r="B710" s="8" t="str">
        <f>IFERROR(__xludf.DUMMYFUNCTION("""COMPUTED_VALUE"""),"RUN-FLMP_2022-02-10_RFR-085")</f>
        <v>RUN-FLMP_2022-02-10_RFR-085</v>
      </c>
      <c r="C710" s="10">
        <f>VLOOKUP(B710,'Run Reconcile'!A$2:B1579,2,FALSE)</f>
        <v>44602</v>
      </c>
      <c r="D710" s="14">
        <f>IFERROR(__xludf.DUMMYFUNCTION("""COMPUTED_VALUE"""),44602.0)</f>
        <v>44602</v>
      </c>
      <c r="E710" s="15">
        <f>IFERROR(__xludf.DUMMYFUNCTION("""COMPUTED_VALUE"""),0.3232523148144537)</f>
        <v>0.3232523148</v>
      </c>
      <c r="F710" s="8" t="str">
        <f>IFERROR(__xludf.DUMMYFUNCTION("""COMPUTED_VALUE"""),"Negative")</f>
        <v>Negative</v>
      </c>
      <c r="G710" s="16">
        <f>IFERROR(__xludf.DUMMYFUNCTION("""COMPUTED_VALUE"""),3.0)</f>
        <v>3</v>
      </c>
      <c r="H710" s="8" t="str">
        <f>IFERROR(__xludf.DUMMYFUNCTION("""COMPUTED_VALUE"""),"CRLN")</f>
        <v>CRLN</v>
      </c>
    </row>
    <row r="711">
      <c r="A711" s="8" t="str">
        <f>IFERROR(__xludf.DUMMYFUNCTION("""COMPUTED_VALUE"""),"FLT1487")</f>
        <v>FLT1487</v>
      </c>
      <c r="B711" s="8" t="str">
        <f>IFERROR(__xludf.DUMMYFUNCTION("""COMPUTED_VALUE"""),"RUN-FLMP_2022-02-10_RFR-085")</f>
        <v>RUN-FLMP_2022-02-10_RFR-085</v>
      </c>
      <c r="C711" s="10">
        <f>VLOOKUP(B711,'Run Reconcile'!A$2:B1579,2,FALSE)</f>
        <v>44602</v>
      </c>
      <c r="D711" s="14">
        <f>IFERROR(__xludf.DUMMYFUNCTION("""COMPUTED_VALUE"""),44602.0)</f>
        <v>44602</v>
      </c>
      <c r="E711" s="15">
        <f>IFERROR(__xludf.DUMMYFUNCTION("""COMPUTED_VALUE"""),0.32672453703708015)</f>
        <v>0.326724537</v>
      </c>
      <c r="F711" s="8" t="str">
        <f>IFERROR(__xludf.DUMMYFUNCTION("""COMPUTED_VALUE"""),"Negative")</f>
        <v>Negative</v>
      </c>
      <c r="G711" s="16">
        <f>IFERROR(__xludf.DUMMYFUNCTION("""COMPUTED_VALUE"""),4.0)</f>
        <v>4</v>
      </c>
      <c r="H711" s="8" t="str">
        <f>IFERROR(__xludf.DUMMYFUNCTION("""COMPUTED_VALUE"""),"CRLN")</f>
        <v>CRLN</v>
      </c>
    </row>
    <row r="712">
      <c r="A712" s="8" t="str">
        <f>IFERROR(__xludf.DUMMYFUNCTION("""COMPUTED_VALUE"""),"FLT1124")</f>
        <v>FLT1124</v>
      </c>
      <c r="B712" s="8" t="str">
        <f>IFERROR(__xludf.DUMMYFUNCTION("""COMPUTED_VALUE"""),"RUN-FLMP_2022-02-10_RFR-085")</f>
        <v>RUN-FLMP_2022-02-10_RFR-085</v>
      </c>
      <c r="C712" s="10">
        <f>VLOOKUP(B712,'Run Reconcile'!A$2:B1579,2,FALSE)</f>
        <v>44602</v>
      </c>
      <c r="D712" s="14">
        <f>IFERROR(__xludf.DUMMYFUNCTION("""COMPUTED_VALUE"""),44602.0)</f>
        <v>44602</v>
      </c>
      <c r="E712" s="15">
        <f>IFERROR(__xludf.DUMMYFUNCTION("""COMPUTED_VALUE"""),0.3287500000005821)</f>
        <v>0.32875</v>
      </c>
      <c r="F712" s="8" t="str">
        <f>IFERROR(__xludf.DUMMYFUNCTION("""COMPUTED_VALUE"""),"Negative")</f>
        <v>Negative</v>
      </c>
      <c r="G712" s="16">
        <f>IFERROR(__xludf.DUMMYFUNCTION("""COMPUTED_VALUE"""),4.0)</f>
        <v>4</v>
      </c>
      <c r="H712" s="8" t="str">
        <f>IFERROR(__xludf.DUMMYFUNCTION("""COMPUTED_VALUE"""),"CRLN")</f>
        <v>CRLN</v>
      </c>
    </row>
    <row r="713">
      <c r="A713" s="8" t="str">
        <f>IFERROR(__xludf.DUMMYFUNCTION("""COMPUTED_VALUE"""),"FLB5752")</f>
        <v>FLB5752</v>
      </c>
      <c r="B713" s="8" t="str">
        <f>IFERROR(__xludf.DUMMYFUNCTION("""COMPUTED_VALUE"""),"RUN-FLMP_2022-02-10_RFR-085")</f>
        <v>RUN-FLMP_2022-02-10_RFR-085</v>
      </c>
      <c r="C713" s="10">
        <f>VLOOKUP(B713,'Run Reconcile'!A$2:B1579,2,FALSE)</f>
        <v>44602</v>
      </c>
      <c r="D713" s="14">
        <f>IFERROR(__xludf.DUMMYFUNCTION("""COMPUTED_VALUE"""),44602.0)</f>
        <v>44602</v>
      </c>
      <c r="E713" s="15">
        <f>IFERROR(__xludf.DUMMYFUNCTION("""COMPUTED_VALUE"""),0.33144675926087075)</f>
        <v>0.3314467593</v>
      </c>
      <c r="F713" s="8" t="str">
        <f>IFERROR(__xludf.DUMMYFUNCTION("""COMPUTED_VALUE"""),"Negative")</f>
        <v>Negative</v>
      </c>
      <c r="G713" s="16">
        <f>IFERROR(__xludf.DUMMYFUNCTION("""COMPUTED_VALUE"""),1.0)</f>
        <v>1</v>
      </c>
      <c r="H713" s="8" t="str">
        <f>IFERROR(__xludf.DUMMYFUNCTION("""COMPUTED_VALUE"""),"CRLN")</f>
        <v>CRLN</v>
      </c>
    </row>
    <row r="714">
      <c r="A714" s="8" t="str">
        <f>IFERROR(__xludf.DUMMYFUNCTION("""COMPUTED_VALUE"""),"FLB5402")</f>
        <v>FLB5402</v>
      </c>
      <c r="B714" s="8" t="str">
        <f>IFERROR(__xludf.DUMMYFUNCTION("""COMPUTED_VALUE"""),"RUN-FLMP_2022-02-10_RFR-085")</f>
        <v>RUN-FLMP_2022-02-10_RFR-085</v>
      </c>
      <c r="C714" s="10">
        <f>VLOOKUP(B714,'Run Reconcile'!A$2:B1579,2,FALSE)</f>
        <v>44602</v>
      </c>
      <c r="D714" s="14">
        <f>IFERROR(__xludf.DUMMYFUNCTION("""COMPUTED_VALUE"""),44602.0)</f>
        <v>44602</v>
      </c>
      <c r="E714" s="15">
        <f>IFERROR(__xludf.DUMMYFUNCTION("""COMPUTED_VALUE"""),0.3332060185202863)</f>
        <v>0.3332060185</v>
      </c>
      <c r="F714" s="8" t="str">
        <f>IFERROR(__xludf.DUMMYFUNCTION("""COMPUTED_VALUE"""),"Negative")</f>
        <v>Negative</v>
      </c>
      <c r="G714" s="16">
        <f>IFERROR(__xludf.DUMMYFUNCTION("""COMPUTED_VALUE"""),4.0)</f>
        <v>4</v>
      </c>
      <c r="H714" s="8" t="str">
        <f>IFERROR(__xludf.DUMMYFUNCTION("""COMPUTED_VALUE"""),"CRLN")</f>
        <v>CRLN</v>
      </c>
    </row>
    <row r="715">
      <c r="A715" s="8" t="str">
        <f>IFERROR(__xludf.DUMMYFUNCTION("""COMPUTED_VALUE"""),"FLE246")</f>
        <v>FLE246</v>
      </c>
      <c r="B715" s="8" t="str">
        <f>IFERROR(__xludf.DUMMYFUNCTION("""COMPUTED_VALUE"""),"RUN-FLMP_2022-02-10_RFR-085")</f>
        <v>RUN-FLMP_2022-02-10_RFR-085</v>
      </c>
      <c r="C715" s="10">
        <f>VLOOKUP(B715,'Run Reconcile'!A$2:B1579,2,FALSE)</f>
        <v>44602</v>
      </c>
      <c r="D715" s="14">
        <f>IFERROR(__xludf.DUMMYFUNCTION("""COMPUTED_VALUE"""),44602.0)</f>
        <v>44602</v>
      </c>
      <c r="E715" s="15">
        <f>IFERROR(__xludf.DUMMYFUNCTION("""COMPUTED_VALUE"""),0.33446759259095415)</f>
        <v>0.3344675926</v>
      </c>
      <c r="F715" s="8" t="str">
        <f>IFERROR(__xludf.DUMMYFUNCTION("""COMPUTED_VALUE"""),"Negative")</f>
        <v>Negative</v>
      </c>
      <c r="G715" s="16">
        <f>IFERROR(__xludf.DUMMYFUNCTION("""COMPUTED_VALUE"""),4.0)</f>
        <v>4</v>
      </c>
      <c r="H715" s="8" t="str">
        <f>IFERROR(__xludf.DUMMYFUNCTION("""COMPUTED_VALUE"""),"CRLN")</f>
        <v>CRLN</v>
      </c>
    </row>
    <row r="716">
      <c r="A716" s="8" t="str">
        <f>IFERROR(__xludf.DUMMYFUNCTION("""COMPUTED_VALUE"""),"FLB5870")</f>
        <v>FLB5870</v>
      </c>
      <c r="B716" s="8" t="str">
        <f>IFERROR(__xludf.DUMMYFUNCTION("""COMPUTED_VALUE"""),"RUN-FLMP_2022-02-10_RFR-085")</f>
        <v>RUN-FLMP_2022-02-10_RFR-085</v>
      </c>
      <c r="C716" s="10">
        <f>VLOOKUP(B716,'Run Reconcile'!A$2:B1579,2,FALSE)</f>
        <v>44602</v>
      </c>
      <c r="D716" s="14">
        <f>IFERROR(__xludf.DUMMYFUNCTION("""COMPUTED_VALUE"""),44602.0)</f>
        <v>44602</v>
      </c>
      <c r="E716" s="15">
        <f>IFERROR(__xludf.DUMMYFUNCTION("""COMPUTED_VALUE"""),0.34307870370321325)</f>
        <v>0.3430787037</v>
      </c>
      <c r="F716" s="8" t="str">
        <f>IFERROR(__xludf.DUMMYFUNCTION("""COMPUTED_VALUE"""),"Negative")</f>
        <v>Negative</v>
      </c>
      <c r="G716" s="16">
        <f>IFERROR(__xludf.DUMMYFUNCTION("""COMPUTED_VALUE"""),3.0)</f>
        <v>3</v>
      </c>
      <c r="H716" s="8" t="str">
        <f>IFERROR(__xludf.DUMMYFUNCTION("""COMPUTED_VALUE"""),"CRLN")</f>
        <v>CRLN</v>
      </c>
    </row>
    <row r="717">
      <c r="A717" s="8" t="str">
        <f>IFERROR(__xludf.DUMMYFUNCTION("""COMPUTED_VALUE"""),"FLE811")</f>
        <v>FLE811</v>
      </c>
      <c r="B717" s="8" t="str">
        <f>IFERROR(__xludf.DUMMYFUNCTION("""COMPUTED_VALUE"""),"RUN-FLMP_2022-02-10_RFR-085")</f>
        <v>RUN-FLMP_2022-02-10_RFR-085</v>
      </c>
      <c r="C717" s="10">
        <f>VLOOKUP(B717,'Run Reconcile'!A$2:B1579,2,FALSE)</f>
        <v>44602</v>
      </c>
      <c r="D717" s="14">
        <f>IFERROR(__xludf.DUMMYFUNCTION("""COMPUTED_VALUE"""),44602.0)</f>
        <v>44602</v>
      </c>
      <c r="E717" s="15">
        <f>IFERROR(__xludf.DUMMYFUNCTION("""COMPUTED_VALUE"""),0.34500000000116415)</f>
        <v>0.345</v>
      </c>
      <c r="F717" s="8" t="str">
        <f>IFERROR(__xludf.DUMMYFUNCTION("""COMPUTED_VALUE"""),"Negative")</f>
        <v>Negative</v>
      </c>
      <c r="G717" s="16">
        <f>IFERROR(__xludf.DUMMYFUNCTION("""COMPUTED_VALUE"""),1.0)</f>
        <v>1</v>
      </c>
      <c r="H717" s="8" t="str">
        <f>IFERROR(__xludf.DUMMYFUNCTION("""COMPUTED_VALUE"""),"CRLN")</f>
        <v>CRLN</v>
      </c>
    </row>
    <row r="718">
      <c r="A718" s="8" t="str">
        <f>IFERROR(__xludf.DUMMYFUNCTION("""COMPUTED_VALUE"""),"FLE854")</f>
        <v>FLE854</v>
      </c>
      <c r="B718" s="8" t="str">
        <f>IFERROR(__xludf.DUMMYFUNCTION("""COMPUTED_VALUE"""),"RUN-FLMP_2022-02-10_RFR-085")</f>
        <v>RUN-FLMP_2022-02-10_RFR-085</v>
      </c>
      <c r="C718" s="10">
        <f>VLOOKUP(B718,'Run Reconcile'!A$2:B1579,2,FALSE)</f>
        <v>44602</v>
      </c>
      <c r="D718" s="14">
        <f>IFERROR(__xludf.DUMMYFUNCTION("""COMPUTED_VALUE"""),44602.0)</f>
        <v>44602</v>
      </c>
      <c r="E718" s="15">
        <f>IFERROR(__xludf.DUMMYFUNCTION("""COMPUTED_VALUE"""),0.3450694444436522)</f>
        <v>0.3450694444</v>
      </c>
      <c r="F718" s="8" t="str">
        <f>IFERROR(__xludf.DUMMYFUNCTION("""COMPUTED_VALUE"""),"Negative")</f>
        <v>Negative</v>
      </c>
      <c r="G718" s="16">
        <f>IFERROR(__xludf.DUMMYFUNCTION("""COMPUTED_VALUE"""),4.0)</f>
        <v>4</v>
      </c>
      <c r="H718" s="8" t="str">
        <f>IFERROR(__xludf.DUMMYFUNCTION("""COMPUTED_VALUE"""),"CRLN")</f>
        <v>CRLN</v>
      </c>
    </row>
    <row r="719">
      <c r="A719" s="8" t="str">
        <f>IFERROR(__xludf.DUMMYFUNCTION("""COMPUTED_VALUE"""),"FLB5400")</f>
        <v>FLB5400</v>
      </c>
      <c r="B719" s="8" t="str">
        <f>IFERROR(__xludf.DUMMYFUNCTION("""COMPUTED_VALUE"""),"RUN-FLMP_2022-02-10_RFR-085")</f>
        <v>RUN-FLMP_2022-02-10_RFR-085</v>
      </c>
      <c r="C719" s="10">
        <f>VLOOKUP(B719,'Run Reconcile'!A$2:B1579,2,FALSE)</f>
        <v>44602</v>
      </c>
      <c r="D719" s="14">
        <f>IFERROR(__xludf.DUMMYFUNCTION("""COMPUTED_VALUE"""),44602.0)</f>
        <v>44602</v>
      </c>
      <c r="E719" s="15">
        <f>IFERROR(__xludf.DUMMYFUNCTION("""COMPUTED_VALUE"""),0.3570486111093487)</f>
        <v>0.3570486111</v>
      </c>
      <c r="F719" s="8" t="str">
        <f>IFERROR(__xludf.DUMMYFUNCTION("""COMPUTED_VALUE"""),"Negative")</f>
        <v>Negative</v>
      </c>
      <c r="G719" s="16">
        <f>IFERROR(__xludf.DUMMYFUNCTION("""COMPUTED_VALUE"""),4.0)</f>
        <v>4</v>
      </c>
      <c r="H719" s="8" t="str">
        <f>IFERROR(__xludf.DUMMYFUNCTION("""COMPUTED_VALUE"""),"CRLN")</f>
        <v>CRLN</v>
      </c>
    </row>
    <row r="720">
      <c r="A720" s="8" t="str">
        <f>IFERROR(__xludf.DUMMYFUNCTION("""COMPUTED_VALUE"""),"FLB5974")</f>
        <v>FLB5974</v>
      </c>
      <c r="B720" s="8" t="str">
        <f>IFERROR(__xludf.DUMMYFUNCTION("""COMPUTED_VALUE"""),"RUN-FLMP_2022-02-10_RFR-085")</f>
        <v>RUN-FLMP_2022-02-10_RFR-085</v>
      </c>
      <c r="C720" s="10">
        <f>VLOOKUP(B720,'Run Reconcile'!A$2:B1579,2,FALSE)</f>
        <v>44602</v>
      </c>
      <c r="D720" s="14">
        <f>IFERROR(__xludf.DUMMYFUNCTION("""COMPUTED_VALUE"""),44602.0)</f>
        <v>44602</v>
      </c>
      <c r="E720" s="15">
        <f>IFERROR(__xludf.DUMMYFUNCTION("""COMPUTED_VALUE"""),0.3579166666677338)</f>
        <v>0.3579166667</v>
      </c>
      <c r="F720" s="8" t="str">
        <f>IFERROR(__xludf.DUMMYFUNCTION("""COMPUTED_VALUE"""),"Negative")</f>
        <v>Negative</v>
      </c>
      <c r="G720" s="16">
        <f>IFERROR(__xludf.DUMMYFUNCTION("""COMPUTED_VALUE"""),4.0)</f>
        <v>4</v>
      </c>
      <c r="H720" s="8" t="str">
        <f>IFERROR(__xludf.DUMMYFUNCTION("""COMPUTED_VALUE"""),"CRLN")</f>
        <v>CRLN</v>
      </c>
    </row>
    <row r="721">
      <c r="A721" s="8" t="str">
        <f>IFERROR(__xludf.DUMMYFUNCTION("""COMPUTED_VALUE"""),"FLB5986")</f>
        <v>FLB5986</v>
      </c>
      <c r="B721" s="8" t="str">
        <f>IFERROR(__xludf.DUMMYFUNCTION("""COMPUTED_VALUE"""),"RUN-FLMP_2022-02-10_RFR-085")</f>
        <v>RUN-FLMP_2022-02-10_RFR-085</v>
      </c>
      <c r="C721" s="10">
        <f>VLOOKUP(B721,'Run Reconcile'!A$2:B1579,2,FALSE)</f>
        <v>44602</v>
      </c>
      <c r="D721" s="14">
        <f>IFERROR(__xludf.DUMMYFUNCTION("""COMPUTED_VALUE"""),44602.0)</f>
        <v>44602</v>
      </c>
      <c r="E721" s="15">
        <f>IFERROR(__xludf.DUMMYFUNCTION("""COMPUTED_VALUE"""),0.3655092592598521)</f>
        <v>0.3655092593</v>
      </c>
      <c r="F721" s="8" t="str">
        <f>IFERROR(__xludf.DUMMYFUNCTION("""COMPUTED_VALUE"""),"Negative")</f>
        <v>Negative</v>
      </c>
      <c r="G721" s="16">
        <f>IFERROR(__xludf.DUMMYFUNCTION("""COMPUTED_VALUE"""),2.0)</f>
        <v>2</v>
      </c>
      <c r="H721" s="8" t="str">
        <f>IFERROR(__xludf.DUMMYFUNCTION("""COMPUTED_VALUE"""),"CRLN")</f>
        <v>CRLN</v>
      </c>
    </row>
    <row r="722">
      <c r="A722" s="8" t="str">
        <f>IFERROR(__xludf.DUMMYFUNCTION("""COMPUTED_VALUE"""),"FLB4895")</f>
        <v>FLB4895</v>
      </c>
      <c r="B722" s="8" t="str">
        <f>IFERROR(__xludf.DUMMYFUNCTION("""COMPUTED_VALUE"""),"RUN-FLMP_2022-02-10_RFR-085")</f>
        <v>RUN-FLMP_2022-02-10_RFR-085</v>
      </c>
      <c r="C722" s="10">
        <f>VLOOKUP(B722,'Run Reconcile'!A$2:B1579,2,FALSE)</f>
        <v>44602</v>
      </c>
      <c r="D722" s="14">
        <f>IFERROR(__xludf.DUMMYFUNCTION("""COMPUTED_VALUE"""),44602.0)</f>
        <v>44602</v>
      </c>
      <c r="E722" s="15">
        <f>IFERROR(__xludf.DUMMYFUNCTION("""COMPUTED_VALUE"""),0.36607638888744987)</f>
        <v>0.3660763889</v>
      </c>
      <c r="F722" s="8" t="str">
        <f>IFERROR(__xludf.DUMMYFUNCTION("""COMPUTED_VALUE"""),"Negative")</f>
        <v>Negative</v>
      </c>
      <c r="G722" s="16">
        <f>IFERROR(__xludf.DUMMYFUNCTION("""COMPUTED_VALUE"""),1.0)</f>
        <v>1</v>
      </c>
      <c r="H722" s="8" t="str">
        <f>IFERROR(__xludf.DUMMYFUNCTION("""COMPUTED_VALUE"""),"CRLN")</f>
        <v>CRLN</v>
      </c>
    </row>
    <row r="723">
      <c r="A723" s="8" t="str">
        <f>IFERROR(__xludf.DUMMYFUNCTION("""COMPUTED_VALUE"""),"FLB5733")</f>
        <v>FLB5733</v>
      </c>
      <c r="B723" s="8" t="str">
        <f>IFERROR(__xludf.DUMMYFUNCTION("""COMPUTED_VALUE"""),"RUN-FLMP_2022-02-10_RFR-085")</f>
        <v>RUN-FLMP_2022-02-10_RFR-085</v>
      </c>
      <c r="C723" s="10">
        <f>VLOOKUP(B723,'Run Reconcile'!A$2:B1579,2,FALSE)</f>
        <v>44602</v>
      </c>
      <c r="D723" s="14">
        <f>IFERROR(__xludf.DUMMYFUNCTION("""COMPUTED_VALUE"""),44602.0)</f>
        <v>44602</v>
      </c>
      <c r="E723" s="15">
        <f>IFERROR(__xludf.DUMMYFUNCTION("""COMPUTED_VALUE"""),0.36619212962978054)</f>
        <v>0.3661921296</v>
      </c>
      <c r="F723" s="8" t="str">
        <f>IFERROR(__xludf.DUMMYFUNCTION("""COMPUTED_VALUE"""),"Negative")</f>
        <v>Negative</v>
      </c>
      <c r="G723" s="16">
        <f>IFERROR(__xludf.DUMMYFUNCTION("""COMPUTED_VALUE"""),2.0)</f>
        <v>2</v>
      </c>
      <c r="H723" s="8" t="str">
        <f>IFERROR(__xludf.DUMMYFUNCTION("""COMPUTED_VALUE"""),"CRLN")</f>
        <v>CRLN</v>
      </c>
    </row>
    <row r="724">
      <c r="A724" s="8" t="str">
        <f>IFERROR(__xludf.DUMMYFUNCTION("""COMPUTED_VALUE"""),"FLB5894")</f>
        <v>FLB5894</v>
      </c>
      <c r="B724" s="8" t="str">
        <f>IFERROR(__xludf.DUMMYFUNCTION("""COMPUTED_VALUE"""),"RUN-FLMP_2022-02-10_RFR-085")</f>
        <v>RUN-FLMP_2022-02-10_RFR-085</v>
      </c>
      <c r="C724" s="10">
        <f>VLOOKUP(B724,'Run Reconcile'!A$2:B1579,2,FALSE)</f>
        <v>44602</v>
      </c>
      <c r="D724" s="14">
        <f>IFERROR(__xludf.DUMMYFUNCTION("""COMPUTED_VALUE"""),44602.0)</f>
        <v>44602</v>
      </c>
      <c r="E724" s="15">
        <f>IFERROR(__xludf.DUMMYFUNCTION("""COMPUTED_VALUE"""),0.3663541666683159)</f>
        <v>0.3663541667</v>
      </c>
      <c r="F724" s="8" t="str">
        <f>IFERROR(__xludf.DUMMYFUNCTION("""COMPUTED_VALUE"""),"Negative")</f>
        <v>Negative</v>
      </c>
      <c r="G724" s="16">
        <f>IFERROR(__xludf.DUMMYFUNCTION("""COMPUTED_VALUE"""),1.0)</f>
        <v>1</v>
      </c>
      <c r="H724" s="8" t="str">
        <f>IFERROR(__xludf.DUMMYFUNCTION("""COMPUTED_VALUE"""),"CRLN")</f>
        <v>CRLN</v>
      </c>
    </row>
    <row r="725">
      <c r="A725" s="8" t="str">
        <f>IFERROR(__xludf.DUMMYFUNCTION("""COMPUTED_VALUE"""),"FLB5891")</f>
        <v>FLB5891</v>
      </c>
      <c r="B725" s="8" t="str">
        <f>IFERROR(__xludf.DUMMYFUNCTION("""COMPUTED_VALUE"""),"RUN-FLMP_2022-02-10_RFR-085")</f>
        <v>RUN-FLMP_2022-02-10_RFR-085</v>
      </c>
      <c r="C725" s="10">
        <f>VLOOKUP(B725,'Run Reconcile'!A$2:B1579,2,FALSE)</f>
        <v>44602</v>
      </c>
      <c r="D725" s="14">
        <f>IFERROR(__xludf.DUMMYFUNCTION("""COMPUTED_VALUE"""),44602.0)</f>
        <v>44602</v>
      </c>
      <c r="E725" s="15">
        <f>IFERROR(__xludf.DUMMYFUNCTION("""COMPUTED_VALUE"""),0.36636574074145756)</f>
        <v>0.3663657407</v>
      </c>
      <c r="F725" s="8" t="str">
        <f>IFERROR(__xludf.DUMMYFUNCTION("""COMPUTED_VALUE"""),"Negative")</f>
        <v>Negative</v>
      </c>
      <c r="G725" s="16">
        <f>IFERROR(__xludf.DUMMYFUNCTION("""COMPUTED_VALUE"""),3.0)</f>
        <v>3</v>
      </c>
      <c r="H725" s="8" t="str">
        <f>IFERROR(__xludf.DUMMYFUNCTION("""COMPUTED_VALUE"""),"CRLN")</f>
        <v>CRLN</v>
      </c>
    </row>
    <row r="726">
      <c r="A726" s="8" t="str">
        <f>IFERROR(__xludf.DUMMYFUNCTION("""COMPUTED_VALUE"""),"FLT5760A")</f>
        <v>FLT5760A</v>
      </c>
      <c r="B726" s="8" t="str">
        <f>IFERROR(__xludf.DUMMYFUNCTION("""COMPUTED_VALUE"""),"RUN-FLMP_2022-02-10_RFR-085")</f>
        <v>RUN-FLMP_2022-02-10_RFR-085</v>
      </c>
      <c r="C726" s="10">
        <f>VLOOKUP(B726,'Run Reconcile'!A$2:B1579,2,FALSE)</f>
        <v>44602</v>
      </c>
      <c r="D726" s="14">
        <f>IFERROR(__xludf.DUMMYFUNCTION("""COMPUTED_VALUE"""),44602.0)</f>
        <v>44602</v>
      </c>
      <c r="E726" s="15">
        <f>IFERROR(__xludf.DUMMYFUNCTION("""COMPUTED_VALUE"""),0.3664583333338669)</f>
        <v>0.3664583333</v>
      </c>
      <c r="F726" s="8" t="str">
        <f>IFERROR(__xludf.DUMMYFUNCTION("""COMPUTED_VALUE"""),"Negative")</f>
        <v>Negative</v>
      </c>
      <c r="G726" s="16">
        <f>IFERROR(__xludf.DUMMYFUNCTION("""COMPUTED_VALUE"""),1.0)</f>
        <v>1</v>
      </c>
      <c r="H726" s="8" t="str">
        <f>IFERROR(__xludf.DUMMYFUNCTION("""COMPUTED_VALUE"""),"CRLN")</f>
        <v>CRLN</v>
      </c>
    </row>
    <row r="727">
      <c r="A727" s="8" t="str">
        <f>IFERROR(__xludf.DUMMYFUNCTION("""COMPUTED_VALUE"""),"FLB5756")</f>
        <v>FLB5756</v>
      </c>
      <c r="B727" s="8" t="str">
        <f>IFERROR(__xludf.DUMMYFUNCTION("""COMPUTED_VALUE"""),"RUN-FLMP_2022-02-10_RFR-085")</f>
        <v>RUN-FLMP_2022-02-10_RFR-085</v>
      </c>
      <c r="C727" s="10">
        <f>VLOOKUP(B727,'Run Reconcile'!A$2:B1579,2,FALSE)</f>
        <v>44602</v>
      </c>
      <c r="D727" s="14">
        <f>IFERROR(__xludf.DUMMYFUNCTION("""COMPUTED_VALUE"""),44602.0)</f>
        <v>44602</v>
      </c>
      <c r="E727" s="15">
        <f>IFERROR(__xludf.DUMMYFUNCTION("""COMPUTED_VALUE"""),0.3692129629635019)</f>
        <v>0.369212963</v>
      </c>
      <c r="F727" s="8" t="str">
        <f>IFERROR(__xludf.DUMMYFUNCTION("""COMPUTED_VALUE"""),"Negative")</f>
        <v>Negative</v>
      </c>
      <c r="G727" s="16">
        <f>IFERROR(__xludf.DUMMYFUNCTION("""COMPUTED_VALUE"""),1.0)</f>
        <v>1</v>
      </c>
      <c r="H727" s="8" t="str">
        <f>IFERROR(__xludf.DUMMYFUNCTION("""COMPUTED_VALUE"""),"CRLN")</f>
        <v>CRLN</v>
      </c>
    </row>
    <row r="728">
      <c r="A728" s="8" t="str">
        <f>IFERROR(__xludf.DUMMYFUNCTION("""COMPUTED_VALUE"""),"FLB5739")</f>
        <v>FLB5739</v>
      </c>
      <c r="B728" s="8" t="str">
        <f>IFERROR(__xludf.DUMMYFUNCTION("""COMPUTED_VALUE"""),"RUN-FLMP_2022-02-10_RFR-085")</f>
        <v>RUN-FLMP_2022-02-10_RFR-085</v>
      </c>
      <c r="C728" s="10">
        <f>VLOOKUP(B728,'Run Reconcile'!A$2:B1579,2,FALSE)</f>
        <v>44602</v>
      </c>
      <c r="D728" s="14">
        <f>IFERROR(__xludf.DUMMYFUNCTION("""COMPUTED_VALUE"""),44602.0)</f>
        <v>44602</v>
      </c>
      <c r="E728" s="15">
        <f>IFERROR(__xludf.DUMMYFUNCTION("""COMPUTED_VALUE"""),0.38645833333430346)</f>
        <v>0.3864583333</v>
      </c>
      <c r="F728" s="8" t="str">
        <f>IFERROR(__xludf.DUMMYFUNCTION("""COMPUTED_VALUE"""),"Negative")</f>
        <v>Negative</v>
      </c>
      <c r="G728" s="16">
        <f>IFERROR(__xludf.DUMMYFUNCTION("""COMPUTED_VALUE"""),1.0)</f>
        <v>1</v>
      </c>
      <c r="H728" s="8" t="str">
        <f>IFERROR(__xludf.DUMMYFUNCTION("""COMPUTED_VALUE"""),"CRLN")</f>
        <v>CRLN</v>
      </c>
    </row>
    <row r="729">
      <c r="A729" s="8" t="str">
        <f>IFERROR(__xludf.DUMMYFUNCTION("""COMPUTED_VALUE"""),"MA974")</f>
        <v>MA974</v>
      </c>
      <c r="B729" s="8" t="str">
        <f>IFERROR(__xludf.DUMMYFUNCTION("""COMPUTED_VALUE"""),"RUN-FLMP_2022-02-12_RFR-087")</f>
        <v>RUN-FLMP_2022-02-12_RFR-087</v>
      </c>
      <c r="C729" s="10">
        <f>VLOOKUP(B729,'Run Reconcile'!A$2:B1579,2,FALSE)</f>
        <v>44604</v>
      </c>
      <c r="D729" s="14">
        <f>IFERROR(__xludf.DUMMYFUNCTION("""COMPUTED_VALUE"""),44603.0)</f>
        <v>44603</v>
      </c>
      <c r="E729" s="15">
        <f>IFERROR(__xludf.DUMMYFUNCTION("""COMPUTED_VALUE"""),0.8286689814813144)</f>
        <v>0.8286689815</v>
      </c>
      <c r="F729" s="8" t="str">
        <f>IFERROR(__xludf.DUMMYFUNCTION("""COMPUTED_VALUE"""),"Negative")</f>
        <v>Negative</v>
      </c>
      <c r="G729" s="16">
        <f>IFERROR(__xludf.DUMMYFUNCTION("""COMPUTED_VALUE"""),4.0)</f>
        <v>4</v>
      </c>
      <c r="H729" s="8" t="str">
        <f>IFERROR(__xludf.DUMMYFUNCTION("""COMPUTED_VALUE"""),"CRLN")</f>
        <v>CRLN</v>
      </c>
    </row>
    <row r="730">
      <c r="A730" s="8" t="str">
        <f>IFERROR(__xludf.DUMMYFUNCTION("""COMPUTED_VALUE"""),"MA1117")</f>
        <v>MA1117</v>
      </c>
      <c r="B730" s="8" t="str">
        <f>IFERROR(__xludf.DUMMYFUNCTION("""COMPUTED_VALUE"""),"RUN-FLMP_2022-02-12_RFR-087")</f>
        <v>RUN-FLMP_2022-02-12_RFR-087</v>
      </c>
      <c r="C730" s="10">
        <f>VLOOKUP(B730,'Run Reconcile'!A$2:B1579,2,FALSE)</f>
        <v>44604</v>
      </c>
      <c r="D730" s="14">
        <f>IFERROR(__xludf.DUMMYFUNCTION("""COMPUTED_VALUE"""),44604.0)</f>
        <v>44604</v>
      </c>
      <c r="E730" s="15">
        <f>IFERROR(__xludf.DUMMYFUNCTION("""COMPUTED_VALUE"""),0.30557870370466844)</f>
        <v>0.3055787037</v>
      </c>
      <c r="F730" s="8" t="str">
        <f>IFERROR(__xludf.DUMMYFUNCTION("""COMPUTED_VALUE"""),"Negative")</f>
        <v>Negative</v>
      </c>
      <c r="G730" s="16">
        <f>IFERROR(__xludf.DUMMYFUNCTION("""COMPUTED_VALUE"""),3.0)</f>
        <v>3</v>
      </c>
      <c r="H730" s="8" t="str">
        <f>IFERROR(__xludf.DUMMYFUNCTION("""COMPUTED_VALUE"""),"CRLN")</f>
        <v>CRLN</v>
      </c>
    </row>
    <row r="731">
      <c r="A731" s="8" t="str">
        <f>IFERROR(__xludf.DUMMYFUNCTION("""COMPUTED_VALUE"""),"MA1366")</f>
        <v>MA1366</v>
      </c>
      <c r="B731" s="8" t="str">
        <f>IFERROR(__xludf.DUMMYFUNCTION("""COMPUTED_VALUE"""),"RUN-FLMP_2022-02-12_RFR-087")</f>
        <v>RUN-FLMP_2022-02-12_RFR-087</v>
      </c>
      <c r="C731" s="10">
        <f>VLOOKUP(B731,'Run Reconcile'!A$2:B1579,2,FALSE)</f>
        <v>44604</v>
      </c>
      <c r="D731" s="14">
        <f>IFERROR(__xludf.DUMMYFUNCTION("""COMPUTED_VALUE"""),44604.0)</f>
        <v>44604</v>
      </c>
      <c r="E731" s="15">
        <f>IFERROR(__xludf.DUMMYFUNCTION("""COMPUTED_VALUE"""),0.3443287037043774)</f>
        <v>0.3443287037</v>
      </c>
      <c r="F731" s="8" t="str">
        <f>IFERROR(__xludf.DUMMYFUNCTION("""COMPUTED_VALUE"""),"Negative")</f>
        <v>Negative</v>
      </c>
      <c r="G731" s="16">
        <f>IFERROR(__xludf.DUMMYFUNCTION("""COMPUTED_VALUE"""),3.0)</f>
        <v>3</v>
      </c>
      <c r="H731" s="8" t="str">
        <f>IFERROR(__xludf.DUMMYFUNCTION("""COMPUTED_VALUE"""),"CRLN")</f>
        <v>CRLN</v>
      </c>
    </row>
    <row r="732">
      <c r="A732" s="8" t="str">
        <f>IFERROR(__xludf.DUMMYFUNCTION("""COMPUTED_VALUE"""),"FLB5782")</f>
        <v>FLB5782</v>
      </c>
      <c r="B732" s="8" t="str">
        <f>IFERROR(__xludf.DUMMYFUNCTION("""COMPUTED_VALUE"""),"RUN-FLMP_2022-02-14_RFR-088")</f>
        <v>RUN-FLMP_2022-02-14_RFR-088</v>
      </c>
      <c r="C732" s="10">
        <f>VLOOKUP(B732,'Run Reconcile'!A$2:B1579,2,FALSE)</f>
        <v>44606</v>
      </c>
      <c r="D732" s="14">
        <f>IFERROR(__xludf.DUMMYFUNCTION("""COMPUTED_VALUE"""),44605.0)</f>
        <v>44605</v>
      </c>
      <c r="E732" s="15">
        <f>IFERROR(__xludf.DUMMYFUNCTION("""COMPUTED_VALUE"""),0.4650000000001455)</f>
        <v>0.465</v>
      </c>
      <c r="F732" s="8" t="str">
        <f>IFERROR(__xludf.DUMMYFUNCTION("""COMPUTED_VALUE"""),"Negative")</f>
        <v>Negative</v>
      </c>
      <c r="G732" s="16">
        <f>IFERROR(__xludf.DUMMYFUNCTION("""COMPUTED_VALUE"""),1.0)</f>
        <v>1</v>
      </c>
      <c r="H732" s="8" t="str">
        <f>IFERROR(__xludf.DUMMYFUNCTION("""COMPUTED_VALUE"""),"CRLN")</f>
        <v>CRLN</v>
      </c>
    </row>
    <row r="733">
      <c r="A733" s="8" t="str">
        <f>IFERROR(__xludf.DUMMYFUNCTION("""COMPUTED_VALUE"""),"FLB7166")</f>
        <v>FLB7166</v>
      </c>
      <c r="B733" s="8" t="str">
        <f>IFERROR(__xludf.DUMMYFUNCTION("""COMPUTED_VALUE"""),"RUN-FLMP_2022-02-14_RFR-088")</f>
        <v>RUN-FLMP_2022-02-14_RFR-088</v>
      </c>
      <c r="C733" s="10">
        <f>VLOOKUP(B733,'Run Reconcile'!A$2:B1579,2,FALSE)</f>
        <v>44606</v>
      </c>
      <c r="D733" s="14">
        <f>IFERROR(__xludf.DUMMYFUNCTION("""COMPUTED_VALUE"""),44605.0)</f>
        <v>44605</v>
      </c>
      <c r="E733" s="15">
        <f>IFERROR(__xludf.DUMMYFUNCTION("""COMPUTED_VALUE"""),0.49224537036934635)</f>
        <v>0.4922453704</v>
      </c>
      <c r="F733" s="8" t="str">
        <f>IFERROR(__xludf.DUMMYFUNCTION("""COMPUTED_VALUE"""),"Negative")</f>
        <v>Negative</v>
      </c>
      <c r="G733" s="16">
        <f>IFERROR(__xludf.DUMMYFUNCTION("""COMPUTED_VALUE"""),1.0)</f>
        <v>1</v>
      </c>
      <c r="H733" s="8" t="str">
        <f>IFERROR(__xludf.DUMMYFUNCTION("""COMPUTED_VALUE"""),"CRLN")</f>
        <v>CRLN</v>
      </c>
    </row>
    <row r="734">
      <c r="A734" s="8" t="str">
        <f>IFERROR(__xludf.DUMMYFUNCTION("""COMPUTED_VALUE"""),"FLB7158")</f>
        <v>FLB7158</v>
      </c>
      <c r="B734" s="8" t="str">
        <f>IFERROR(__xludf.DUMMYFUNCTION("""COMPUTED_VALUE"""),"RUN-FLMP_2022-02-14_RFR-088")</f>
        <v>RUN-FLMP_2022-02-14_RFR-088</v>
      </c>
      <c r="C734" s="10">
        <f>VLOOKUP(B734,'Run Reconcile'!A$2:B1579,2,FALSE)</f>
        <v>44606</v>
      </c>
      <c r="D734" s="14">
        <f>IFERROR(__xludf.DUMMYFUNCTION("""COMPUTED_VALUE"""),44605.0)</f>
        <v>44605</v>
      </c>
      <c r="E734" s="15">
        <f>IFERROR(__xludf.DUMMYFUNCTION("""COMPUTED_VALUE"""),0.8523032407392748)</f>
        <v>0.8523032407</v>
      </c>
      <c r="F734" s="8" t="str">
        <f>IFERROR(__xludf.DUMMYFUNCTION("""COMPUTED_VALUE"""),"Negative")</f>
        <v>Negative</v>
      </c>
      <c r="G734" s="16">
        <f>IFERROR(__xludf.DUMMYFUNCTION("""COMPUTED_VALUE"""),4.0)</f>
        <v>4</v>
      </c>
      <c r="H734" s="8" t="str">
        <f>IFERROR(__xludf.DUMMYFUNCTION("""COMPUTED_VALUE"""),"CRLN")</f>
        <v>CRLN</v>
      </c>
    </row>
    <row r="735">
      <c r="A735" s="8" t="str">
        <f>IFERROR(__xludf.DUMMYFUNCTION("""COMPUTED_VALUE"""),"FLT1503")</f>
        <v>FLT1503</v>
      </c>
      <c r="B735" s="8" t="str">
        <f>IFERROR(__xludf.DUMMYFUNCTION("""COMPUTED_VALUE"""),"RUN-FLMP_2022-02-14_RFR-088")</f>
        <v>RUN-FLMP_2022-02-14_RFR-088</v>
      </c>
      <c r="C735" s="10">
        <f>VLOOKUP(B735,'Run Reconcile'!A$2:B1579,2,FALSE)</f>
        <v>44606</v>
      </c>
      <c r="D735" s="14">
        <f>IFERROR(__xludf.DUMMYFUNCTION("""COMPUTED_VALUE"""),44605.0)</f>
        <v>44605</v>
      </c>
      <c r="E735" s="15">
        <f>IFERROR(__xludf.DUMMYFUNCTION("""COMPUTED_VALUE"""),0.8616319444445253)</f>
        <v>0.8616319444</v>
      </c>
      <c r="F735" s="8" t="str">
        <f>IFERROR(__xludf.DUMMYFUNCTION("""COMPUTED_VALUE"""),"Negative")</f>
        <v>Negative</v>
      </c>
      <c r="G735" s="16">
        <f>IFERROR(__xludf.DUMMYFUNCTION("""COMPUTED_VALUE"""),3.0)</f>
        <v>3</v>
      </c>
      <c r="H735" s="8" t="str">
        <f>IFERROR(__xludf.DUMMYFUNCTION("""COMPUTED_VALUE"""),"CRLN")</f>
        <v>CRLN</v>
      </c>
    </row>
    <row r="736">
      <c r="A736" s="8" t="str">
        <f>IFERROR(__xludf.DUMMYFUNCTION("""COMPUTED_VALUE"""),"FLB5786")</f>
        <v>FLB5786</v>
      </c>
      <c r="B736" s="8" t="str">
        <f>IFERROR(__xludf.DUMMYFUNCTION("""COMPUTED_VALUE"""),"RUN-FLMP_2022-02-14_RFR-088")</f>
        <v>RUN-FLMP_2022-02-14_RFR-088</v>
      </c>
      <c r="C736" s="10">
        <f>VLOOKUP(B736,'Run Reconcile'!A$2:B1579,2,FALSE)</f>
        <v>44606</v>
      </c>
      <c r="D736" s="14">
        <f>IFERROR(__xludf.DUMMYFUNCTION("""COMPUTED_VALUE"""),44606.0)</f>
        <v>44606</v>
      </c>
      <c r="E736" s="15">
        <f>IFERROR(__xludf.DUMMYFUNCTION("""COMPUTED_VALUE"""),0.22319444444292458)</f>
        <v>0.2231944444</v>
      </c>
      <c r="F736" s="8" t="str">
        <f>IFERROR(__xludf.DUMMYFUNCTION("""COMPUTED_VALUE"""),"Negative")</f>
        <v>Negative</v>
      </c>
      <c r="G736" s="16">
        <f>IFERROR(__xludf.DUMMYFUNCTION("""COMPUTED_VALUE"""),1.0)</f>
        <v>1</v>
      </c>
      <c r="H736" s="8" t="str">
        <f>IFERROR(__xludf.DUMMYFUNCTION("""COMPUTED_VALUE"""),"CRLN")</f>
        <v>CRLN</v>
      </c>
    </row>
    <row r="737">
      <c r="A737" s="8" t="str">
        <f>IFERROR(__xludf.DUMMYFUNCTION("""COMPUTED_VALUE"""),"FLE800")</f>
        <v>FLE800</v>
      </c>
      <c r="B737" s="8" t="str">
        <f>IFERROR(__xludf.DUMMYFUNCTION("""COMPUTED_VALUE"""),"RUN-FLMP_2022-02-14_RFR-088")</f>
        <v>RUN-FLMP_2022-02-14_RFR-088</v>
      </c>
      <c r="C737" s="10">
        <f>VLOOKUP(B737,'Run Reconcile'!A$2:B1579,2,FALSE)</f>
        <v>44606</v>
      </c>
      <c r="D737" s="14">
        <f>IFERROR(__xludf.DUMMYFUNCTION("""COMPUTED_VALUE"""),44606.0)</f>
        <v>44606</v>
      </c>
      <c r="E737" s="15">
        <f>IFERROR(__xludf.DUMMYFUNCTION("""COMPUTED_VALUE"""),0.29532407407532446)</f>
        <v>0.2953240741</v>
      </c>
      <c r="F737" s="8" t="str">
        <f>IFERROR(__xludf.DUMMYFUNCTION("""COMPUTED_VALUE"""),"Negative")</f>
        <v>Negative</v>
      </c>
      <c r="G737" s="16">
        <f>IFERROR(__xludf.DUMMYFUNCTION("""COMPUTED_VALUE"""),2.0)</f>
        <v>2</v>
      </c>
      <c r="H737" s="8" t="str">
        <f>IFERROR(__xludf.DUMMYFUNCTION("""COMPUTED_VALUE"""),"CRLN")</f>
        <v>CRLN</v>
      </c>
    </row>
    <row r="738">
      <c r="A738" s="8" t="str">
        <f>IFERROR(__xludf.DUMMYFUNCTION("""COMPUTED_VALUE"""),"FLB6835")</f>
        <v>FLB6835</v>
      </c>
      <c r="B738" s="8" t="str">
        <f>IFERROR(__xludf.DUMMYFUNCTION("""COMPUTED_VALUE"""),"RUN-FLMP_2022-02-14_RFR-088")</f>
        <v>RUN-FLMP_2022-02-14_RFR-088</v>
      </c>
      <c r="C738" s="10">
        <f>VLOOKUP(B738,'Run Reconcile'!A$2:B1579,2,FALSE)</f>
        <v>44606</v>
      </c>
      <c r="D738" s="14">
        <f>IFERROR(__xludf.DUMMYFUNCTION("""COMPUTED_VALUE"""),44606.0)</f>
        <v>44606</v>
      </c>
      <c r="E738" s="15">
        <f>IFERROR(__xludf.DUMMYFUNCTION("""COMPUTED_VALUE"""),0.30157407407386927)</f>
        <v>0.3015740741</v>
      </c>
      <c r="F738" s="8" t="str">
        <f>IFERROR(__xludf.DUMMYFUNCTION("""COMPUTED_VALUE"""),"Negative")</f>
        <v>Negative</v>
      </c>
      <c r="G738" s="16">
        <f>IFERROR(__xludf.DUMMYFUNCTION("""COMPUTED_VALUE"""),3.0)</f>
        <v>3</v>
      </c>
      <c r="H738" s="8" t="str">
        <f>IFERROR(__xludf.DUMMYFUNCTION("""COMPUTED_VALUE"""),"CRLN")</f>
        <v>CRLN</v>
      </c>
    </row>
    <row r="739">
      <c r="A739" s="8" t="str">
        <f>IFERROR(__xludf.DUMMYFUNCTION("""COMPUTED_VALUE"""),"FLB7134")</f>
        <v>FLB7134</v>
      </c>
      <c r="B739" s="8" t="str">
        <f>IFERROR(__xludf.DUMMYFUNCTION("""COMPUTED_VALUE"""),"RUN-FLMP_2022-02-14_RFR-088")</f>
        <v>RUN-FLMP_2022-02-14_RFR-088</v>
      </c>
      <c r="C739" s="10">
        <f>VLOOKUP(B739,'Run Reconcile'!A$2:B1579,2,FALSE)</f>
        <v>44606</v>
      </c>
      <c r="D739" s="14">
        <f>IFERROR(__xludf.DUMMYFUNCTION("""COMPUTED_VALUE"""),44606.0)</f>
        <v>44606</v>
      </c>
      <c r="E739" s="15">
        <f>IFERROR(__xludf.DUMMYFUNCTION("""COMPUTED_VALUE"""),0.3109837962947495)</f>
        <v>0.3109837963</v>
      </c>
      <c r="F739" s="8" t="str">
        <f>IFERROR(__xludf.DUMMYFUNCTION("""COMPUTED_VALUE"""),"Negative")</f>
        <v>Negative</v>
      </c>
      <c r="G739" s="16">
        <f>IFERROR(__xludf.DUMMYFUNCTION("""COMPUTED_VALUE"""),4.0)</f>
        <v>4</v>
      </c>
      <c r="H739" s="8" t="str">
        <f>IFERROR(__xludf.DUMMYFUNCTION("""COMPUTED_VALUE"""),"CRLN")</f>
        <v>CRLN</v>
      </c>
    </row>
    <row r="740">
      <c r="A740" s="8" t="str">
        <f>IFERROR(__xludf.DUMMYFUNCTION("""COMPUTED_VALUE"""),"FLB7185")</f>
        <v>FLB7185</v>
      </c>
      <c r="B740" s="8" t="str">
        <f>IFERROR(__xludf.DUMMYFUNCTION("""COMPUTED_VALUE"""),"RUN-FLMP_2022-02-14_RFR-088")</f>
        <v>RUN-FLMP_2022-02-14_RFR-088</v>
      </c>
      <c r="C740" s="10">
        <f>VLOOKUP(B740,'Run Reconcile'!A$2:B1579,2,FALSE)</f>
        <v>44606</v>
      </c>
      <c r="D740" s="14">
        <f>IFERROR(__xludf.DUMMYFUNCTION("""COMPUTED_VALUE"""),44606.0)</f>
        <v>44606</v>
      </c>
      <c r="E740" s="15">
        <f>IFERROR(__xludf.DUMMYFUNCTION("""COMPUTED_VALUE"""),0.31142361111051287)</f>
        <v>0.3114236111</v>
      </c>
      <c r="F740" s="8" t="str">
        <f>IFERROR(__xludf.DUMMYFUNCTION("""COMPUTED_VALUE"""),"Negative")</f>
        <v>Negative</v>
      </c>
      <c r="G740" s="16">
        <f>IFERROR(__xludf.DUMMYFUNCTION("""COMPUTED_VALUE"""),4.0)</f>
        <v>4</v>
      </c>
      <c r="H740" s="8" t="str">
        <f>IFERROR(__xludf.DUMMYFUNCTION("""COMPUTED_VALUE"""),"CRLN")</f>
        <v>CRLN</v>
      </c>
    </row>
    <row r="741">
      <c r="A741" s="8" t="str">
        <f>IFERROR(__xludf.DUMMYFUNCTION("""COMPUTED_VALUE"""),"FLE245")</f>
        <v>FLE245</v>
      </c>
      <c r="B741" s="8" t="str">
        <f>IFERROR(__xludf.DUMMYFUNCTION("""COMPUTED_VALUE"""),"RUN-FLMP_2022-02-14_RFR-088")</f>
        <v>RUN-FLMP_2022-02-14_RFR-088</v>
      </c>
      <c r="C741" s="10">
        <f>VLOOKUP(B741,'Run Reconcile'!A$2:B1579,2,FALSE)</f>
        <v>44606</v>
      </c>
      <c r="D741" s="14">
        <f>IFERROR(__xludf.DUMMYFUNCTION("""COMPUTED_VALUE"""),44606.0)</f>
        <v>44606</v>
      </c>
      <c r="E741" s="15">
        <f>IFERROR(__xludf.DUMMYFUNCTION("""COMPUTED_VALUE"""),0.31739583333182964)</f>
        <v>0.3173958333</v>
      </c>
      <c r="F741" s="8" t="str">
        <f>IFERROR(__xludf.DUMMYFUNCTION("""COMPUTED_VALUE"""),"Negative")</f>
        <v>Negative</v>
      </c>
      <c r="G741" s="16">
        <f>IFERROR(__xludf.DUMMYFUNCTION("""COMPUTED_VALUE"""),2.0)</f>
        <v>2</v>
      </c>
      <c r="H741" s="8" t="str">
        <f>IFERROR(__xludf.DUMMYFUNCTION("""COMPUTED_VALUE"""),"CRLN")</f>
        <v>CRLN</v>
      </c>
    </row>
    <row r="742">
      <c r="A742" s="8" t="str">
        <f>IFERROR(__xludf.DUMMYFUNCTION("""COMPUTED_VALUE"""),"FLB6772")</f>
        <v>FLB6772</v>
      </c>
      <c r="B742" s="8" t="str">
        <f>IFERROR(__xludf.DUMMYFUNCTION("""COMPUTED_VALUE"""),"RUN-FLMP_2022-02-14_RFR-088")</f>
        <v>RUN-FLMP_2022-02-14_RFR-088</v>
      </c>
      <c r="C742" s="10">
        <f>VLOOKUP(B742,'Run Reconcile'!A$2:B1579,2,FALSE)</f>
        <v>44606</v>
      </c>
      <c r="D742" s="14">
        <f>IFERROR(__xludf.DUMMYFUNCTION("""COMPUTED_VALUE"""),44606.0)</f>
        <v>44606</v>
      </c>
      <c r="E742" s="15">
        <f>IFERROR(__xludf.DUMMYFUNCTION("""COMPUTED_VALUE"""),0.32774305555722094)</f>
        <v>0.3277430556</v>
      </c>
      <c r="F742" s="8" t="str">
        <f>IFERROR(__xludf.DUMMYFUNCTION("""COMPUTED_VALUE"""),"Negative")</f>
        <v>Negative</v>
      </c>
      <c r="G742" s="16">
        <f>IFERROR(__xludf.DUMMYFUNCTION("""COMPUTED_VALUE"""),4.0)</f>
        <v>4</v>
      </c>
      <c r="H742" s="8" t="str">
        <f>IFERROR(__xludf.DUMMYFUNCTION("""COMPUTED_VALUE"""),"CRLN")</f>
        <v>CRLN</v>
      </c>
    </row>
    <row r="743">
      <c r="A743" s="8" t="str">
        <f>IFERROR(__xludf.DUMMYFUNCTION("""COMPUTED_VALUE"""),"FLB7173")</f>
        <v>FLB7173</v>
      </c>
      <c r="B743" s="8" t="str">
        <f>IFERROR(__xludf.DUMMYFUNCTION("""COMPUTED_VALUE"""),"RUN-FLMP_2022-02-14_RFR-088")</f>
        <v>RUN-FLMP_2022-02-14_RFR-088</v>
      </c>
      <c r="C743" s="10">
        <f>VLOOKUP(B743,'Run Reconcile'!A$2:B1579,2,FALSE)</f>
        <v>44606</v>
      </c>
      <c r="D743" s="14">
        <f>IFERROR(__xludf.DUMMYFUNCTION("""COMPUTED_VALUE"""),44606.0)</f>
        <v>44606</v>
      </c>
      <c r="E743" s="15">
        <f>IFERROR(__xludf.DUMMYFUNCTION("""COMPUTED_VALUE"""),0.32962962962847087)</f>
        <v>0.3296296296</v>
      </c>
      <c r="F743" s="8" t="str">
        <f>IFERROR(__xludf.DUMMYFUNCTION("""COMPUTED_VALUE"""),"Negative")</f>
        <v>Negative</v>
      </c>
      <c r="G743" s="16">
        <f>IFERROR(__xludf.DUMMYFUNCTION("""COMPUTED_VALUE"""),4.0)</f>
        <v>4</v>
      </c>
      <c r="H743" s="8" t="str">
        <f>IFERROR(__xludf.DUMMYFUNCTION("""COMPUTED_VALUE"""),"CRLN")</f>
        <v>CRLN</v>
      </c>
    </row>
    <row r="744">
      <c r="A744" s="8" t="str">
        <f>IFERROR(__xludf.DUMMYFUNCTION("""COMPUTED_VALUE"""),"FLB5792")</f>
        <v>FLB5792</v>
      </c>
      <c r="B744" s="8" t="str">
        <f>IFERROR(__xludf.DUMMYFUNCTION("""COMPUTED_VALUE"""),"RUN-FLMP_2022-02-14_RFR-088")</f>
        <v>RUN-FLMP_2022-02-14_RFR-088</v>
      </c>
      <c r="C744" s="10">
        <f>VLOOKUP(B744,'Run Reconcile'!A$2:B1579,2,FALSE)</f>
        <v>44606</v>
      </c>
      <c r="D744" s="14">
        <f>IFERROR(__xludf.DUMMYFUNCTION("""COMPUTED_VALUE"""),44606.0)</f>
        <v>44606</v>
      </c>
      <c r="E744" s="15">
        <f>IFERROR(__xludf.DUMMYFUNCTION("""COMPUTED_VALUE"""),0.3314699074071541)</f>
        <v>0.3314699074</v>
      </c>
      <c r="F744" s="8" t="str">
        <f>IFERROR(__xludf.DUMMYFUNCTION("""COMPUTED_VALUE"""),"Inconclusive")</f>
        <v>Inconclusive</v>
      </c>
      <c r="G744" s="16">
        <f>IFERROR(__xludf.DUMMYFUNCTION("""COMPUTED_VALUE"""),1.0)</f>
        <v>1</v>
      </c>
      <c r="H744" s="8" t="str">
        <f>IFERROR(__xludf.DUMMYFUNCTION("""COMPUTED_VALUE"""),"CRLN")</f>
        <v>CRLN</v>
      </c>
    </row>
    <row r="745">
      <c r="A745" s="8" t="str">
        <f>IFERROR(__xludf.DUMMYFUNCTION("""COMPUTED_VALUE"""),"FLB5893")</f>
        <v>FLB5893</v>
      </c>
      <c r="B745" s="8" t="str">
        <f>IFERROR(__xludf.DUMMYFUNCTION("""COMPUTED_VALUE"""),"RUN-FLMP_2022-02-14_RFR-088")</f>
        <v>RUN-FLMP_2022-02-14_RFR-088</v>
      </c>
      <c r="C745" s="10">
        <f>VLOOKUP(B745,'Run Reconcile'!A$2:B1579,2,FALSE)</f>
        <v>44606</v>
      </c>
      <c r="D745" s="14">
        <f>IFERROR(__xludf.DUMMYFUNCTION("""COMPUTED_VALUE"""),44606.0)</f>
        <v>44606</v>
      </c>
      <c r="E745" s="15">
        <f>IFERROR(__xludf.DUMMYFUNCTION("""COMPUTED_VALUE"""),0.333287037035916)</f>
        <v>0.333287037</v>
      </c>
      <c r="F745" s="8" t="str">
        <f>IFERROR(__xludf.DUMMYFUNCTION("""COMPUTED_VALUE"""),"Negative")</f>
        <v>Negative</v>
      </c>
      <c r="G745" s="16">
        <f>IFERROR(__xludf.DUMMYFUNCTION("""COMPUTED_VALUE"""),3.0)</f>
        <v>3</v>
      </c>
      <c r="H745" s="8" t="str">
        <f>IFERROR(__xludf.DUMMYFUNCTION("""COMPUTED_VALUE"""),"CRLN")</f>
        <v>CRLN</v>
      </c>
    </row>
    <row r="746">
      <c r="A746" s="8" t="str">
        <f>IFERROR(__xludf.DUMMYFUNCTION("""COMPUTED_VALUE"""),"FLB5822")</f>
        <v>FLB5822</v>
      </c>
      <c r="B746" s="8" t="str">
        <f>IFERROR(__xludf.DUMMYFUNCTION("""COMPUTED_VALUE"""),"RUN-FLMP_2022-02-14_RFR-088")</f>
        <v>RUN-FLMP_2022-02-14_RFR-088</v>
      </c>
      <c r="C746" s="10">
        <f>VLOOKUP(B746,'Run Reconcile'!A$2:B1579,2,FALSE)</f>
        <v>44606</v>
      </c>
      <c r="D746" s="14">
        <f>IFERROR(__xludf.DUMMYFUNCTION("""COMPUTED_VALUE"""),44606.0)</f>
        <v>44606</v>
      </c>
      <c r="E746" s="15">
        <f>IFERROR(__xludf.DUMMYFUNCTION("""COMPUTED_VALUE"""),0.3340856481481751)</f>
        <v>0.3340856481</v>
      </c>
      <c r="F746" s="8" t="str">
        <f>IFERROR(__xludf.DUMMYFUNCTION("""COMPUTED_VALUE"""),"Negative")</f>
        <v>Negative</v>
      </c>
      <c r="G746" s="16">
        <f>IFERROR(__xludf.DUMMYFUNCTION("""COMPUTED_VALUE"""),3.0)</f>
        <v>3</v>
      </c>
      <c r="H746" s="8" t="str">
        <f>IFERROR(__xludf.DUMMYFUNCTION("""COMPUTED_VALUE"""),"CRLN")</f>
        <v>CRLN</v>
      </c>
    </row>
    <row r="747">
      <c r="A747" s="8" t="str">
        <f>IFERROR(__xludf.DUMMYFUNCTION("""COMPUTED_VALUE"""),"FLB5791")</f>
        <v>FLB5791</v>
      </c>
      <c r="B747" s="8" t="str">
        <f>IFERROR(__xludf.DUMMYFUNCTION("""COMPUTED_VALUE"""),"RUN-FLMP_2022-02-14_RFR-088")</f>
        <v>RUN-FLMP_2022-02-14_RFR-088</v>
      </c>
      <c r="C747" s="10">
        <f>VLOOKUP(B747,'Run Reconcile'!A$2:B1579,2,FALSE)</f>
        <v>44606</v>
      </c>
      <c r="D747" s="14">
        <f>IFERROR(__xludf.DUMMYFUNCTION("""COMPUTED_VALUE"""),44606.0)</f>
        <v>44606</v>
      </c>
      <c r="E747" s="15">
        <f>IFERROR(__xludf.DUMMYFUNCTION("""COMPUTED_VALUE"""),0.3397453703692008)</f>
        <v>0.3397453704</v>
      </c>
      <c r="F747" s="8" t="str">
        <f>IFERROR(__xludf.DUMMYFUNCTION("""COMPUTED_VALUE"""),"Negative")</f>
        <v>Negative</v>
      </c>
      <c r="G747" s="16">
        <f>IFERROR(__xludf.DUMMYFUNCTION("""COMPUTED_VALUE"""),2.0)</f>
        <v>2</v>
      </c>
      <c r="H747" s="8" t="str">
        <f>IFERROR(__xludf.DUMMYFUNCTION("""COMPUTED_VALUE"""),"CRLN")</f>
        <v>CRLN</v>
      </c>
    </row>
    <row r="748">
      <c r="A748" s="8" t="str">
        <f>IFERROR(__xludf.DUMMYFUNCTION("""COMPUTED_VALUE"""),"FLE849")</f>
        <v>FLE849</v>
      </c>
      <c r="B748" s="8" t="str">
        <f>IFERROR(__xludf.DUMMYFUNCTION("""COMPUTED_VALUE"""),"RUN-FLMP_2022-02-14_RFR-088")</f>
        <v>RUN-FLMP_2022-02-14_RFR-088</v>
      </c>
      <c r="C748" s="10">
        <f>VLOOKUP(B748,'Run Reconcile'!A$2:B1579,2,FALSE)</f>
        <v>44606</v>
      </c>
      <c r="D748" s="14">
        <f>IFERROR(__xludf.DUMMYFUNCTION("""COMPUTED_VALUE"""),44606.0)</f>
        <v>44606</v>
      </c>
      <c r="E748" s="15">
        <f>IFERROR(__xludf.DUMMYFUNCTION("""COMPUTED_VALUE"""),0.3415393518516794)</f>
        <v>0.3415393519</v>
      </c>
      <c r="F748" s="8" t="str">
        <f>IFERROR(__xludf.DUMMYFUNCTION("""COMPUTED_VALUE"""),"Negative")</f>
        <v>Negative</v>
      </c>
      <c r="G748" s="16">
        <f>IFERROR(__xludf.DUMMYFUNCTION("""COMPUTED_VALUE"""),1.0)</f>
        <v>1</v>
      </c>
      <c r="H748" s="8" t="str">
        <f>IFERROR(__xludf.DUMMYFUNCTION("""COMPUTED_VALUE"""),"CRLN")</f>
        <v>CRLN</v>
      </c>
    </row>
    <row r="749">
      <c r="A749" s="8" t="str">
        <f>IFERROR(__xludf.DUMMYFUNCTION("""COMPUTED_VALUE"""),"FLB5797")</f>
        <v>FLB5797</v>
      </c>
      <c r="B749" s="8" t="str">
        <f>IFERROR(__xludf.DUMMYFUNCTION("""COMPUTED_VALUE"""),"RUN-FLMP_2022-02-14_RFR-088")</f>
        <v>RUN-FLMP_2022-02-14_RFR-088</v>
      </c>
      <c r="C749" s="10">
        <f>VLOOKUP(B749,'Run Reconcile'!A$2:B1579,2,FALSE)</f>
        <v>44606</v>
      </c>
      <c r="D749" s="14">
        <f>IFERROR(__xludf.DUMMYFUNCTION("""COMPUTED_VALUE"""),44606.0)</f>
        <v>44606</v>
      </c>
      <c r="E749" s="15">
        <f>IFERROR(__xludf.DUMMYFUNCTION("""COMPUTED_VALUE"""),0.3485879629624833)</f>
        <v>0.348587963</v>
      </c>
      <c r="F749" s="8" t="str">
        <f>IFERROR(__xludf.DUMMYFUNCTION("""COMPUTED_VALUE"""),"Negative")</f>
        <v>Negative</v>
      </c>
      <c r="G749" s="16">
        <f>IFERROR(__xludf.DUMMYFUNCTION("""COMPUTED_VALUE"""),4.0)</f>
        <v>4</v>
      </c>
      <c r="H749" s="8" t="str">
        <f>IFERROR(__xludf.DUMMYFUNCTION("""COMPUTED_VALUE"""),"CRLN")</f>
        <v>CRLN</v>
      </c>
    </row>
    <row r="750">
      <c r="A750" s="8" t="str">
        <f>IFERROR(__xludf.DUMMYFUNCTION("""COMPUTED_VALUE"""),"FLB6765")</f>
        <v>FLB6765</v>
      </c>
      <c r="B750" s="8" t="str">
        <f>IFERROR(__xludf.DUMMYFUNCTION("""COMPUTED_VALUE"""),"RUN-FLMP_2022-02-14_RFR-088")</f>
        <v>RUN-FLMP_2022-02-14_RFR-088</v>
      </c>
      <c r="C750" s="10">
        <f>VLOOKUP(B750,'Run Reconcile'!A$2:B1579,2,FALSE)</f>
        <v>44606</v>
      </c>
      <c r="D750" s="14">
        <f>IFERROR(__xludf.DUMMYFUNCTION("""COMPUTED_VALUE"""),44606.0)</f>
        <v>44606</v>
      </c>
      <c r="E750" s="15">
        <f>IFERROR(__xludf.DUMMYFUNCTION("""COMPUTED_VALUE"""),0.3507291666683159)</f>
        <v>0.3507291667</v>
      </c>
      <c r="F750" s="8" t="str">
        <f>IFERROR(__xludf.DUMMYFUNCTION("""COMPUTED_VALUE"""),"Negative")</f>
        <v>Negative</v>
      </c>
      <c r="G750" s="16">
        <f>IFERROR(__xludf.DUMMYFUNCTION("""COMPUTED_VALUE"""),4.0)</f>
        <v>4</v>
      </c>
      <c r="H750" s="8" t="str">
        <f>IFERROR(__xludf.DUMMYFUNCTION("""COMPUTED_VALUE"""),"CRLN")</f>
        <v>CRLN</v>
      </c>
    </row>
    <row r="751">
      <c r="A751" s="8" t="str">
        <f>IFERROR(__xludf.DUMMYFUNCTION("""COMPUTED_VALUE"""),"FLB5809")</f>
        <v>FLB5809</v>
      </c>
      <c r="B751" s="8" t="str">
        <f>IFERROR(__xludf.DUMMYFUNCTION("""COMPUTED_VALUE"""),"RUN-FLMP_2022-02-14_RFR-088")</f>
        <v>RUN-FLMP_2022-02-14_RFR-088</v>
      </c>
      <c r="C751" s="10">
        <f>VLOOKUP(B751,'Run Reconcile'!A$2:B1579,2,FALSE)</f>
        <v>44606</v>
      </c>
      <c r="D751" s="14">
        <f>IFERROR(__xludf.DUMMYFUNCTION("""COMPUTED_VALUE"""),44606.0)</f>
        <v>44606</v>
      </c>
      <c r="E751" s="15">
        <f>IFERROR(__xludf.DUMMYFUNCTION("""COMPUTED_VALUE"""),0.35179398148102337)</f>
        <v>0.3517939815</v>
      </c>
      <c r="F751" s="8" t="str">
        <f>IFERROR(__xludf.DUMMYFUNCTION("""COMPUTED_VALUE"""),"Negative")</f>
        <v>Negative</v>
      </c>
      <c r="G751" s="16">
        <f>IFERROR(__xludf.DUMMYFUNCTION("""COMPUTED_VALUE"""),3.0)</f>
        <v>3</v>
      </c>
      <c r="H751" s="8" t="str">
        <f>IFERROR(__xludf.DUMMYFUNCTION("""COMPUTED_VALUE"""),"CRLN")</f>
        <v>CRLN</v>
      </c>
    </row>
    <row r="752">
      <c r="A752" s="8" t="str">
        <f>IFERROR(__xludf.DUMMYFUNCTION("""COMPUTED_VALUE"""),"FLB5773")</f>
        <v>FLB5773</v>
      </c>
      <c r="B752" s="8" t="str">
        <f>IFERROR(__xludf.DUMMYFUNCTION("""COMPUTED_VALUE"""),"RUN-FLMP_2022-02-14_RFR-088")</f>
        <v>RUN-FLMP_2022-02-14_RFR-088</v>
      </c>
      <c r="C752" s="10">
        <f>VLOOKUP(B752,'Run Reconcile'!A$2:B1579,2,FALSE)</f>
        <v>44606</v>
      </c>
      <c r="D752" s="14">
        <f>IFERROR(__xludf.DUMMYFUNCTION("""COMPUTED_VALUE"""),44606.0)</f>
        <v>44606</v>
      </c>
      <c r="E752" s="15">
        <f>IFERROR(__xludf.DUMMYFUNCTION("""COMPUTED_VALUE"""),0.3522106481468654)</f>
        <v>0.3522106481</v>
      </c>
      <c r="F752" s="8" t="str">
        <f>IFERROR(__xludf.DUMMYFUNCTION("""COMPUTED_VALUE"""),"Negative")</f>
        <v>Negative</v>
      </c>
      <c r="G752" s="16">
        <f>IFERROR(__xludf.DUMMYFUNCTION("""COMPUTED_VALUE"""),2.0)</f>
        <v>2</v>
      </c>
      <c r="H752" s="8" t="str">
        <f>IFERROR(__xludf.DUMMYFUNCTION("""COMPUTED_VALUE"""),"CRLN")</f>
        <v>CRLN</v>
      </c>
    </row>
    <row r="753">
      <c r="A753" s="8" t="str">
        <f>IFERROR(__xludf.DUMMYFUNCTION("""COMPUTED_VALUE"""),"FLB5900")</f>
        <v>FLB5900</v>
      </c>
      <c r="B753" s="8" t="str">
        <f>IFERROR(__xludf.DUMMYFUNCTION("""COMPUTED_VALUE"""),"RUN-FLMP_2022-02-14_RFR-088")</f>
        <v>RUN-FLMP_2022-02-14_RFR-088</v>
      </c>
      <c r="C753" s="10">
        <f>VLOOKUP(B753,'Run Reconcile'!A$2:B1579,2,FALSE)</f>
        <v>44606</v>
      </c>
      <c r="D753" s="14">
        <f>IFERROR(__xludf.DUMMYFUNCTION("""COMPUTED_VALUE"""),44606.0)</f>
        <v>44606</v>
      </c>
      <c r="E753" s="15">
        <f>IFERROR(__xludf.DUMMYFUNCTION("""COMPUTED_VALUE"""),0.35383101851766696)</f>
        <v>0.3538310185</v>
      </c>
      <c r="F753" s="8" t="str">
        <f>IFERROR(__xludf.DUMMYFUNCTION("""COMPUTED_VALUE"""),"Negative")</f>
        <v>Negative</v>
      </c>
      <c r="G753" s="16">
        <f>IFERROR(__xludf.DUMMYFUNCTION("""COMPUTED_VALUE"""),3.0)</f>
        <v>3</v>
      </c>
      <c r="H753" s="8" t="str">
        <f>IFERROR(__xludf.DUMMYFUNCTION("""COMPUTED_VALUE"""),"CRLN")</f>
        <v>CRLN</v>
      </c>
    </row>
    <row r="754">
      <c r="A754" s="8" t="str">
        <f>IFERROR(__xludf.DUMMYFUNCTION("""COMPUTED_VALUE"""),"FLE267")</f>
        <v>FLE267</v>
      </c>
      <c r="B754" s="8" t="str">
        <f>IFERROR(__xludf.DUMMYFUNCTION("""COMPUTED_VALUE"""),"RUN-FLMP_2022-02-14_RFR-088")</f>
        <v>RUN-FLMP_2022-02-14_RFR-088</v>
      </c>
      <c r="C754" s="10">
        <f>VLOOKUP(B754,'Run Reconcile'!A$2:B1579,2,FALSE)</f>
        <v>44606</v>
      </c>
      <c r="D754" s="14">
        <f>IFERROR(__xludf.DUMMYFUNCTION("""COMPUTED_VALUE"""),44606.0)</f>
        <v>44606</v>
      </c>
      <c r="E754" s="15">
        <f>IFERROR(__xludf.DUMMYFUNCTION("""COMPUTED_VALUE"""),0.3646875000013097)</f>
        <v>0.3646875</v>
      </c>
      <c r="F754" s="8" t="str">
        <f>IFERROR(__xludf.DUMMYFUNCTION("""COMPUTED_VALUE"""),"Negative")</f>
        <v>Negative</v>
      </c>
      <c r="G754" s="16">
        <f>IFERROR(__xludf.DUMMYFUNCTION("""COMPUTED_VALUE"""),4.0)</f>
        <v>4</v>
      </c>
      <c r="H754" s="8" t="str">
        <f>IFERROR(__xludf.DUMMYFUNCTION("""COMPUTED_VALUE"""),"CRLN")</f>
        <v>CRLN</v>
      </c>
    </row>
    <row r="755">
      <c r="A755" s="8" t="str">
        <f>IFERROR(__xludf.DUMMYFUNCTION("""COMPUTED_VALUE"""),"FLB7345")</f>
        <v>FLB7345</v>
      </c>
      <c r="B755" s="8" t="str">
        <f>IFERROR(__xludf.DUMMYFUNCTION("""COMPUTED_VALUE"""),"RUN-FLMP_2022-02-14_RFR-088")</f>
        <v>RUN-FLMP_2022-02-14_RFR-088</v>
      </c>
      <c r="C755" s="10">
        <f>VLOOKUP(B755,'Run Reconcile'!A$2:B1579,2,FALSE)</f>
        <v>44606</v>
      </c>
      <c r="D755" s="14">
        <f>IFERROR(__xludf.DUMMYFUNCTION("""COMPUTED_VALUE"""),44606.0)</f>
        <v>44606</v>
      </c>
      <c r="E755" s="15">
        <f>IFERROR(__xludf.DUMMYFUNCTION("""COMPUTED_VALUE"""),0.3655902777791198)</f>
        <v>0.3655902778</v>
      </c>
      <c r="F755" s="8" t="str">
        <f>IFERROR(__xludf.DUMMYFUNCTION("""COMPUTED_VALUE"""),"Negative")</f>
        <v>Negative</v>
      </c>
      <c r="G755" s="16">
        <f>IFERROR(__xludf.DUMMYFUNCTION("""COMPUTED_VALUE"""),1.0)</f>
        <v>1</v>
      </c>
      <c r="H755" s="8" t="str">
        <f>IFERROR(__xludf.DUMMYFUNCTION("""COMPUTED_VALUE"""),"CRLN")</f>
        <v>CRLN</v>
      </c>
    </row>
    <row r="756">
      <c r="A756" s="8" t="str">
        <f>IFERROR(__xludf.DUMMYFUNCTION("""COMPUTED_VALUE"""),"FLB4800")</f>
        <v>FLB4800</v>
      </c>
      <c r="B756" s="8" t="str">
        <f>IFERROR(__xludf.DUMMYFUNCTION("""COMPUTED_VALUE"""),"RUN-FLMP_2022-02-14_RFR-088")</f>
        <v>RUN-FLMP_2022-02-14_RFR-088</v>
      </c>
      <c r="C756" s="10">
        <f>VLOOKUP(B756,'Run Reconcile'!A$2:B1579,2,FALSE)</f>
        <v>44606</v>
      </c>
      <c r="D756" s="14">
        <f>IFERROR(__xludf.DUMMYFUNCTION("""COMPUTED_VALUE"""),44606.0)</f>
        <v>44606</v>
      </c>
      <c r="E756" s="15">
        <f>IFERROR(__xludf.DUMMYFUNCTION("""COMPUTED_VALUE"""),0.36648148148015025)</f>
        <v>0.3664814815</v>
      </c>
      <c r="F756" s="8" t="str">
        <f>IFERROR(__xludf.DUMMYFUNCTION("""COMPUTED_VALUE"""),"Negative")</f>
        <v>Negative</v>
      </c>
      <c r="G756" s="16">
        <f>IFERROR(__xludf.DUMMYFUNCTION("""COMPUTED_VALUE"""),1.0)</f>
        <v>1</v>
      </c>
      <c r="H756" s="8" t="str">
        <f>IFERROR(__xludf.DUMMYFUNCTION("""COMPUTED_VALUE"""),"CRLN")</f>
        <v>CRLN</v>
      </c>
    </row>
    <row r="757">
      <c r="A757" s="8" t="str">
        <f>IFERROR(__xludf.DUMMYFUNCTION("""COMPUTED_VALUE"""),"FLB6742")</f>
        <v>FLB6742</v>
      </c>
      <c r="B757" s="8" t="str">
        <f>IFERROR(__xludf.DUMMYFUNCTION("""COMPUTED_VALUE"""),"RUN-FLMP_2022-02-14_RFR-088")</f>
        <v>RUN-FLMP_2022-02-14_RFR-088</v>
      </c>
      <c r="C757" s="10">
        <f>VLOOKUP(B757,'Run Reconcile'!A$2:B1579,2,FALSE)</f>
        <v>44606</v>
      </c>
      <c r="D757" s="14">
        <f>IFERROR(__xludf.DUMMYFUNCTION("""COMPUTED_VALUE"""),44606.0)</f>
        <v>44606</v>
      </c>
      <c r="E757" s="15">
        <f>IFERROR(__xludf.DUMMYFUNCTION("""COMPUTED_VALUE"""),0.3726736111093487)</f>
        <v>0.3726736111</v>
      </c>
      <c r="F757" s="8" t="str">
        <f>IFERROR(__xludf.DUMMYFUNCTION("""COMPUTED_VALUE"""),"Negative")</f>
        <v>Negative</v>
      </c>
      <c r="G757" s="16">
        <f>IFERROR(__xludf.DUMMYFUNCTION("""COMPUTED_VALUE"""),2.0)</f>
        <v>2</v>
      </c>
      <c r="H757" s="8" t="str">
        <f>IFERROR(__xludf.DUMMYFUNCTION("""COMPUTED_VALUE"""),"CRLN")</f>
        <v>CRLN</v>
      </c>
    </row>
    <row r="758">
      <c r="A758" s="8" t="str">
        <f>IFERROR(__xludf.DUMMYFUNCTION("""COMPUTED_VALUE"""),"FLB5769")</f>
        <v>FLB5769</v>
      </c>
      <c r="B758" s="8" t="str">
        <f>IFERROR(__xludf.DUMMYFUNCTION("""COMPUTED_VALUE"""),"RUN-FLMP_2022-02-17_RFR-089")</f>
        <v>RUN-FLMP_2022-02-17_RFR-089</v>
      </c>
      <c r="C758" s="10">
        <f>VLOOKUP(B758,'Run Reconcile'!A$2:B1579,2,FALSE)</f>
        <v>44609</v>
      </c>
      <c r="D758" s="14">
        <f>IFERROR(__xludf.DUMMYFUNCTION("""COMPUTED_VALUE"""),44608.0)</f>
        <v>44608</v>
      </c>
      <c r="E758" s="15">
        <f>IFERROR(__xludf.DUMMYFUNCTION("""COMPUTED_VALUE"""),0.3590162037035043)</f>
        <v>0.3590162037</v>
      </c>
      <c r="F758" s="8" t="str">
        <f>IFERROR(__xludf.DUMMYFUNCTION("""COMPUTED_VALUE"""),"Negative")</f>
        <v>Negative</v>
      </c>
      <c r="G758" s="16">
        <f>IFERROR(__xludf.DUMMYFUNCTION("""COMPUTED_VALUE"""),2.0)</f>
        <v>2</v>
      </c>
      <c r="H758" s="8" t="str">
        <f>IFERROR(__xludf.DUMMYFUNCTION("""COMPUTED_VALUE"""),"CRLN")</f>
        <v>CRLN</v>
      </c>
    </row>
    <row r="759">
      <c r="A759" s="8" t="str">
        <f>IFERROR(__xludf.DUMMYFUNCTION("""COMPUTED_VALUE"""),"FLB5867")</f>
        <v>FLB5867</v>
      </c>
      <c r="B759" s="8" t="str">
        <f>IFERROR(__xludf.DUMMYFUNCTION("""COMPUTED_VALUE"""),"RUN-FLMP_2022-02-17_RFR-089")</f>
        <v>RUN-FLMP_2022-02-17_RFR-089</v>
      </c>
      <c r="C759" s="10">
        <f>VLOOKUP(B759,'Run Reconcile'!A$2:B1579,2,FALSE)</f>
        <v>44609</v>
      </c>
      <c r="D759" s="14">
        <f>IFERROR(__xludf.DUMMYFUNCTION("""COMPUTED_VALUE"""),44608.0)</f>
        <v>44608</v>
      </c>
      <c r="E759" s="15">
        <f>IFERROR(__xludf.DUMMYFUNCTION("""COMPUTED_VALUE"""),0.7690740740727051)</f>
        <v>0.7690740741</v>
      </c>
      <c r="F759" s="8" t="str">
        <f>IFERROR(__xludf.DUMMYFUNCTION("""COMPUTED_VALUE"""),"Negative")</f>
        <v>Negative</v>
      </c>
      <c r="G759" s="16">
        <f>IFERROR(__xludf.DUMMYFUNCTION("""COMPUTED_VALUE"""),4.0)</f>
        <v>4</v>
      </c>
      <c r="H759" s="8" t="str">
        <f>IFERROR(__xludf.DUMMYFUNCTION("""COMPUTED_VALUE"""),"CRLN")</f>
        <v>CRLN</v>
      </c>
    </row>
    <row r="760">
      <c r="A760" s="8" t="str">
        <f>IFERROR(__xludf.DUMMYFUNCTION("""COMPUTED_VALUE"""),"FLB6788")</f>
        <v>FLB6788</v>
      </c>
      <c r="B760" s="8" t="str">
        <f>IFERROR(__xludf.DUMMYFUNCTION("""COMPUTED_VALUE"""),"RUN-FLMP_2022-02-17_RFR-089")</f>
        <v>RUN-FLMP_2022-02-17_RFR-089</v>
      </c>
      <c r="C760" s="10">
        <f>VLOOKUP(B760,'Run Reconcile'!A$2:B1579,2,FALSE)</f>
        <v>44609</v>
      </c>
      <c r="D760" s="14">
        <f>IFERROR(__xludf.DUMMYFUNCTION("""COMPUTED_VALUE"""),44608.0)</f>
        <v>44608</v>
      </c>
      <c r="E760" s="15">
        <f>IFERROR(__xludf.DUMMYFUNCTION("""COMPUTED_VALUE"""),0.8989120370388264)</f>
        <v>0.898912037</v>
      </c>
      <c r="F760" s="8" t="str">
        <f>IFERROR(__xludf.DUMMYFUNCTION("""COMPUTED_VALUE"""),"Negative")</f>
        <v>Negative</v>
      </c>
      <c r="G760" s="16">
        <f>IFERROR(__xludf.DUMMYFUNCTION("""COMPUTED_VALUE"""),1.0)</f>
        <v>1</v>
      </c>
      <c r="H760" s="8" t="str">
        <f>IFERROR(__xludf.DUMMYFUNCTION("""COMPUTED_VALUE"""),"CRLN")</f>
        <v>CRLN</v>
      </c>
    </row>
    <row r="761">
      <c r="A761" s="8" t="str">
        <f>IFERROR(__xludf.DUMMYFUNCTION("""COMPUTED_VALUE"""),"FLB4787")</f>
        <v>FLB4787</v>
      </c>
      <c r="B761" s="8" t="str">
        <f>IFERROR(__xludf.DUMMYFUNCTION("""COMPUTED_VALUE"""),"RUN-FLMP_2022-02-17_RFR-089")</f>
        <v>RUN-FLMP_2022-02-17_RFR-089</v>
      </c>
      <c r="C761" s="10">
        <f>VLOOKUP(B761,'Run Reconcile'!A$2:B1579,2,FALSE)</f>
        <v>44609</v>
      </c>
      <c r="D761" s="14">
        <f>IFERROR(__xludf.DUMMYFUNCTION("""COMPUTED_VALUE"""),44609.0)</f>
        <v>44609</v>
      </c>
      <c r="E761" s="15">
        <f>IFERROR(__xludf.DUMMYFUNCTION("""COMPUTED_VALUE"""),0.2991203703713836)</f>
        <v>0.2991203704</v>
      </c>
      <c r="F761" s="8" t="str">
        <f>IFERROR(__xludf.DUMMYFUNCTION("""COMPUTED_VALUE"""),"Negative")</f>
        <v>Negative</v>
      </c>
      <c r="G761" s="16">
        <f>IFERROR(__xludf.DUMMYFUNCTION("""COMPUTED_VALUE"""),2.0)</f>
        <v>2</v>
      </c>
      <c r="H761" s="8" t="str">
        <f>IFERROR(__xludf.DUMMYFUNCTION("""COMPUTED_VALUE"""),"CRLN")</f>
        <v>CRLN</v>
      </c>
    </row>
    <row r="762">
      <c r="A762" s="8" t="str">
        <f>IFERROR(__xludf.DUMMYFUNCTION("""COMPUTED_VALUE"""),"FLE278")</f>
        <v>FLE278</v>
      </c>
      <c r="B762" s="8" t="str">
        <f>IFERROR(__xludf.DUMMYFUNCTION("""COMPUTED_VALUE"""),"RUN-FLMP_2022-02-17_RFR-089")</f>
        <v>RUN-FLMP_2022-02-17_RFR-089</v>
      </c>
      <c r="C762" s="10">
        <f>VLOOKUP(B762,'Run Reconcile'!A$2:B1579,2,FALSE)</f>
        <v>44609</v>
      </c>
      <c r="D762" s="14">
        <f>IFERROR(__xludf.DUMMYFUNCTION("""COMPUTED_VALUE"""),44609.0)</f>
        <v>44609</v>
      </c>
      <c r="E762" s="15">
        <f>IFERROR(__xludf.DUMMYFUNCTION("""COMPUTED_VALUE"""),0.31626157407299615)</f>
        <v>0.3162615741</v>
      </c>
      <c r="F762" s="8" t="str">
        <f>IFERROR(__xludf.DUMMYFUNCTION("""COMPUTED_VALUE"""),"Negative")</f>
        <v>Negative</v>
      </c>
      <c r="G762" s="16">
        <f>IFERROR(__xludf.DUMMYFUNCTION("""COMPUTED_VALUE"""),4.0)</f>
        <v>4</v>
      </c>
      <c r="H762" s="8" t="str">
        <f>IFERROR(__xludf.DUMMYFUNCTION("""COMPUTED_VALUE"""),"CRLN")</f>
        <v>CRLN</v>
      </c>
    </row>
    <row r="763">
      <c r="A763" s="8" t="str">
        <f>IFERROR(__xludf.DUMMYFUNCTION("""COMPUTED_VALUE"""),"FLB6799")</f>
        <v>FLB6799</v>
      </c>
      <c r="B763" s="8" t="str">
        <f>IFERROR(__xludf.DUMMYFUNCTION("""COMPUTED_VALUE"""),"RUN-FLMP_2022-02-17_RFR-089")</f>
        <v>RUN-FLMP_2022-02-17_RFR-089</v>
      </c>
      <c r="C763" s="10">
        <f>VLOOKUP(B763,'Run Reconcile'!A$2:B1579,2,FALSE)</f>
        <v>44609</v>
      </c>
      <c r="D763" s="14">
        <f>IFERROR(__xludf.DUMMYFUNCTION("""COMPUTED_VALUE"""),44609.0)</f>
        <v>44609</v>
      </c>
      <c r="E763" s="15">
        <f>IFERROR(__xludf.DUMMYFUNCTION("""COMPUTED_VALUE"""),0.31712962963138125)</f>
        <v>0.3171296296</v>
      </c>
      <c r="F763" s="8" t="str">
        <f>IFERROR(__xludf.DUMMYFUNCTION("""COMPUTED_VALUE"""),"Negative")</f>
        <v>Negative</v>
      </c>
      <c r="G763" s="16">
        <f>IFERROR(__xludf.DUMMYFUNCTION("""COMPUTED_VALUE"""),4.0)</f>
        <v>4</v>
      </c>
      <c r="H763" s="8" t="str">
        <f>IFERROR(__xludf.DUMMYFUNCTION("""COMPUTED_VALUE"""),"CRLN")</f>
        <v>CRLN</v>
      </c>
    </row>
    <row r="764">
      <c r="A764" s="8" t="str">
        <f>IFERROR(__xludf.DUMMYFUNCTION("""COMPUTED_VALUE"""),"FLT1402")</f>
        <v>FLT1402</v>
      </c>
      <c r="B764" s="8" t="str">
        <f>IFERROR(__xludf.DUMMYFUNCTION("""COMPUTED_VALUE"""),"RUN-FLMP_2022-02-17_RFR-089")</f>
        <v>RUN-FLMP_2022-02-17_RFR-089</v>
      </c>
      <c r="C764" s="10">
        <f>VLOOKUP(B764,'Run Reconcile'!A$2:B1579,2,FALSE)</f>
        <v>44609</v>
      </c>
      <c r="D764" s="14">
        <f>IFERROR(__xludf.DUMMYFUNCTION("""COMPUTED_VALUE"""),44609.0)</f>
        <v>44609</v>
      </c>
      <c r="E764" s="15">
        <f>IFERROR(__xludf.DUMMYFUNCTION("""COMPUTED_VALUE"""),0.3206712962964957)</f>
        <v>0.3206712963</v>
      </c>
      <c r="F764" s="8" t="str">
        <f>IFERROR(__xludf.DUMMYFUNCTION("""COMPUTED_VALUE"""),"Negative")</f>
        <v>Negative</v>
      </c>
      <c r="G764" s="16">
        <f>IFERROR(__xludf.DUMMYFUNCTION("""COMPUTED_VALUE"""),1.0)</f>
        <v>1</v>
      </c>
      <c r="H764" s="8" t="str">
        <f>IFERROR(__xludf.DUMMYFUNCTION("""COMPUTED_VALUE"""),"CRLN")</f>
        <v>CRLN</v>
      </c>
    </row>
    <row r="765">
      <c r="A765" s="8" t="str">
        <f>IFERROR(__xludf.DUMMYFUNCTION("""COMPUTED_VALUE"""),"FLB5395")</f>
        <v>FLB5395</v>
      </c>
      <c r="B765" s="8" t="str">
        <f>IFERROR(__xludf.DUMMYFUNCTION("""COMPUTED_VALUE"""),"RUN-FLMP_2022-02-17_RFR-089")</f>
        <v>RUN-FLMP_2022-02-17_RFR-089</v>
      </c>
      <c r="C765" s="10">
        <f>VLOOKUP(B765,'Run Reconcile'!A$2:B1579,2,FALSE)</f>
        <v>44609</v>
      </c>
      <c r="D765" s="14">
        <f>IFERROR(__xludf.DUMMYFUNCTION("""COMPUTED_VALUE"""),44609.0)</f>
        <v>44609</v>
      </c>
      <c r="E765" s="15">
        <f>IFERROR(__xludf.DUMMYFUNCTION("""COMPUTED_VALUE"""),0.32312499999898137)</f>
        <v>0.323125</v>
      </c>
      <c r="F765" s="8" t="str">
        <f>IFERROR(__xludf.DUMMYFUNCTION("""COMPUTED_VALUE"""),"Negative")</f>
        <v>Negative</v>
      </c>
      <c r="G765" s="16">
        <f>IFERROR(__xludf.DUMMYFUNCTION("""COMPUTED_VALUE"""),3.0)</f>
        <v>3</v>
      </c>
      <c r="H765" s="8" t="str">
        <f>IFERROR(__xludf.DUMMYFUNCTION("""COMPUTED_VALUE"""),"CRLN")</f>
        <v>CRLN</v>
      </c>
    </row>
    <row r="766">
      <c r="A766" s="8" t="str">
        <f>IFERROR(__xludf.DUMMYFUNCTION("""COMPUTED_VALUE"""),"FLB7132")</f>
        <v>FLB7132</v>
      </c>
      <c r="B766" s="8" t="str">
        <f>IFERROR(__xludf.DUMMYFUNCTION("""COMPUTED_VALUE"""),"RUN-FLMP_2022-02-17_RFR-089")</f>
        <v>RUN-FLMP_2022-02-17_RFR-089</v>
      </c>
      <c r="C766" s="10">
        <f>VLOOKUP(B766,'Run Reconcile'!A$2:B1579,2,FALSE)</f>
        <v>44609</v>
      </c>
      <c r="D766" s="14">
        <f>IFERROR(__xludf.DUMMYFUNCTION("""COMPUTED_VALUE"""),44609.0)</f>
        <v>44609</v>
      </c>
      <c r="E766" s="15">
        <f>IFERROR(__xludf.DUMMYFUNCTION("""COMPUTED_VALUE"""),0.3252199074086093)</f>
        <v>0.3252199074</v>
      </c>
      <c r="F766" s="8" t="str">
        <f>IFERROR(__xludf.DUMMYFUNCTION("""COMPUTED_VALUE"""),"Negative")</f>
        <v>Negative</v>
      </c>
      <c r="G766" s="16">
        <f>IFERROR(__xludf.DUMMYFUNCTION("""COMPUTED_VALUE"""),4.0)</f>
        <v>4</v>
      </c>
      <c r="H766" s="8" t="str">
        <f>IFERROR(__xludf.DUMMYFUNCTION("""COMPUTED_VALUE"""),"CRLN")</f>
        <v>CRLN</v>
      </c>
    </row>
    <row r="767">
      <c r="A767" s="8" t="str">
        <f>IFERROR(__xludf.DUMMYFUNCTION("""COMPUTED_VALUE"""),"FLB6766")</f>
        <v>FLB6766</v>
      </c>
      <c r="B767" s="8" t="str">
        <f>IFERROR(__xludf.DUMMYFUNCTION("""COMPUTED_VALUE"""),"RUN-FLMP_2022-02-17_RFR-089")</f>
        <v>RUN-FLMP_2022-02-17_RFR-089</v>
      </c>
      <c r="C767" s="10">
        <f>VLOOKUP(B767,'Run Reconcile'!A$2:B1579,2,FALSE)</f>
        <v>44609</v>
      </c>
      <c r="D767" s="14">
        <f>IFERROR(__xludf.DUMMYFUNCTION("""COMPUTED_VALUE"""),44609.0)</f>
        <v>44609</v>
      </c>
      <c r="E767" s="15">
        <f>IFERROR(__xludf.DUMMYFUNCTION("""COMPUTED_VALUE"""),0.33381944444408873)</f>
        <v>0.3338194444</v>
      </c>
      <c r="F767" s="8" t="str">
        <f>IFERROR(__xludf.DUMMYFUNCTION("""COMPUTED_VALUE"""),"Negative")</f>
        <v>Negative</v>
      </c>
      <c r="G767" s="16">
        <f>IFERROR(__xludf.DUMMYFUNCTION("""COMPUTED_VALUE"""),1.0)</f>
        <v>1</v>
      </c>
      <c r="H767" s="8" t="str">
        <f>IFERROR(__xludf.DUMMYFUNCTION("""COMPUTED_VALUE"""),"CRLN")</f>
        <v>CRLN</v>
      </c>
    </row>
    <row r="768">
      <c r="A768" s="8" t="str">
        <f>IFERROR(__xludf.DUMMYFUNCTION("""COMPUTED_VALUE"""),"FLB6750")</f>
        <v>FLB6750</v>
      </c>
      <c r="B768" s="8" t="str">
        <f>IFERROR(__xludf.DUMMYFUNCTION("""COMPUTED_VALUE"""),"RUN-FLMP_2022-02-17_RFR-089")</f>
        <v>RUN-FLMP_2022-02-17_RFR-089</v>
      </c>
      <c r="C768" s="10">
        <f>VLOOKUP(B768,'Run Reconcile'!A$2:B1579,2,FALSE)</f>
        <v>44609</v>
      </c>
      <c r="D768" s="14">
        <f>IFERROR(__xludf.DUMMYFUNCTION("""COMPUTED_VALUE"""),44609.0)</f>
        <v>44609</v>
      </c>
      <c r="E768" s="15">
        <f>IFERROR(__xludf.DUMMYFUNCTION("""COMPUTED_VALUE"""),0.3465856481489027)</f>
        <v>0.3465856481</v>
      </c>
      <c r="F768" s="8" t="str">
        <f>IFERROR(__xludf.DUMMYFUNCTION("""COMPUTED_VALUE"""),"Negative")</f>
        <v>Negative</v>
      </c>
      <c r="G768" s="16">
        <f>IFERROR(__xludf.DUMMYFUNCTION("""COMPUTED_VALUE"""),3.0)</f>
        <v>3</v>
      </c>
      <c r="H768" s="8" t="str">
        <f>IFERROR(__xludf.DUMMYFUNCTION("""COMPUTED_VALUE"""),"CRLN")</f>
        <v>CRLN</v>
      </c>
    </row>
    <row r="769">
      <c r="A769" s="8" t="str">
        <f>IFERROR(__xludf.DUMMYFUNCTION("""COMPUTED_VALUE"""),"FLT1479")</f>
        <v>FLT1479</v>
      </c>
      <c r="B769" s="8" t="str">
        <f>IFERROR(__xludf.DUMMYFUNCTION("""COMPUTED_VALUE"""),"RUN-FLMP_2022-02-17_RFR-089")</f>
        <v>RUN-FLMP_2022-02-17_RFR-089</v>
      </c>
      <c r="C769" s="10">
        <f>VLOOKUP(B769,'Run Reconcile'!A$2:B1579,2,FALSE)</f>
        <v>44609</v>
      </c>
      <c r="D769" s="14">
        <f>IFERROR(__xludf.DUMMYFUNCTION("""COMPUTED_VALUE"""),44609.0)</f>
        <v>44609</v>
      </c>
      <c r="E769" s="15">
        <f>IFERROR(__xludf.DUMMYFUNCTION("""COMPUTED_VALUE"""),0.35437499999898137)</f>
        <v>0.354375</v>
      </c>
      <c r="F769" s="8" t="str">
        <f>IFERROR(__xludf.DUMMYFUNCTION("""COMPUTED_VALUE"""),"Negative")</f>
        <v>Negative</v>
      </c>
      <c r="G769" s="16">
        <f>IFERROR(__xludf.DUMMYFUNCTION("""COMPUTED_VALUE"""),3.0)</f>
        <v>3</v>
      </c>
      <c r="H769" s="8" t="str">
        <f>IFERROR(__xludf.DUMMYFUNCTION("""COMPUTED_VALUE"""),"CRLN")</f>
        <v>CRLN</v>
      </c>
    </row>
    <row r="770">
      <c r="A770" s="8" t="str">
        <f>IFERROR(__xludf.DUMMYFUNCTION("""COMPUTED_VALUE"""),"FLE841")</f>
        <v>FLE841</v>
      </c>
      <c r="B770" s="8" t="str">
        <f>IFERROR(__xludf.DUMMYFUNCTION("""COMPUTED_VALUE"""),"RUN-FLMP_2022-02-17_RFR-089")</f>
        <v>RUN-FLMP_2022-02-17_RFR-089</v>
      </c>
      <c r="C770" s="10">
        <f>VLOOKUP(B770,'Run Reconcile'!A$2:B1579,2,FALSE)</f>
        <v>44609</v>
      </c>
      <c r="D770" s="14">
        <f>IFERROR(__xludf.DUMMYFUNCTION("""COMPUTED_VALUE"""),44609.0)</f>
        <v>44609</v>
      </c>
      <c r="E770" s="15">
        <f>IFERROR(__xludf.DUMMYFUNCTION("""COMPUTED_VALUE"""),0.3565740740741603)</f>
        <v>0.3565740741</v>
      </c>
      <c r="F770" s="8" t="str">
        <f>IFERROR(__xludf.DUMMYFUNCTION("""COMPUTED_VALUE"""),"Negative")</f>
        <v>Negative</v>
      </c>
      <c r="G770" s="16">
        <f>IFERROR(__xludf.DUMMYFUNCTION("""COMPUTED_VALUE"""),1.0)</f>
        <v>1</v>
      </c>
      <c r="H770" s="8" t="str">
        <f>IFERROR(__xludf.DUMMYFUNCTION("""COMPUTED_VALUE"""),"CRLN")</f>
        <v>CRLN</v>
      </c>
    </row>
    <row r="771">
      <c r="A771" s="8" t="str">
        <f>IFERROR(__xludf.DUMMYFUNCTION("""COMPUTED_VALUE"""),"FLB6755")</f>
        <v>FLB6755</v>
      </c>
      <c r="B771" s="8" t="str">
        <f>IFERROR(__xludf.DUMMYFUNCTION("""COMPUTED_VALUE"""),"RUN-FLMP_2022-02-17_RFR-089")</f>
        <v>RUN-FLMP_2022-02-17_RFR-089</v>
      </c>
      <c r="C771" s="10">
        <f>VLOOKUP(B771,'Run Reconcile'!A$2:B1579,2,FALSE)</f>
        <v>44609</v>
      </c>
      <c r="D771" s="14">
        <f>IFERROR(__xludf.DUMMYFUNCTION("""COMPUTED_VALUE"""),44609.0)</f>
        <v>44609</v>
      </c>
      <c r="E771" s="15">
        <f>IFERROR(__xludf.DUMMYFUNCTION("""COMPUTED_VALUE"""),0.3574421296289074)</f>
        <v>0.3574421296</v>
      </c>
      <c r="F771" s="8" t="str">
        <f>IFERROR(__xludf.DUMMYFUNCTION("""COMPUTED_VALUE"""),"Negative")</f>
        <v>Negative</v>
      </c>
      <c r="G771" s="16">
        <f>IFERROR(__xludf.DUMMYFUNCTION("""COMPUTED_VALUE"""),4.0)</f>
        <v>4</v>
      </c>
      <c r="H771" s="8" t="str">
        <f>IFERROR(__xludf.DUMMYFUNCTION("""COMPUTED_VALUE"""),"CRLN")</f>
        <v>CRLN</v>
      </c>
    </row>
    <row r="772">
      <c r="A772" s="8" t="str">
        <f>IFERROR(__xludf.DUMMYFUNCTION("""COMPUTED_VALUE"""),"FLB4893")</f>
        <v>FLB4893</v>
      </c>
      <c r="B772" s="8" t="str">
        <f>IFERROR(__xludf.DUMMYFUNCTION("""COMPUTED_VALUE"""),"RUN-FLMP_2022-02-17_RFR-089")</f>
        <v>RUN-FLMP_2022-02-17_RFR-089</v>
      </c>
      <c r="C772" s="10">
        <f>VLOOKUP(B772,'Run Reconcile'!A$2:B1579,2,FALSE)</f>
        <v>44609</v>
      </c>
      <c r="D772" s="14">
        <f>IFERROR(__xludf.DUMMYFUNCTION("""COMPUTED_VALUE"""),44609.0)</f>
        <v>44609</v>
      </c>
      <c r="E772" s="15">
        <f>IFERROR(__xludf.DUMMYFUNCTION("""COMPUTED_VALUE"""),0.3577430555560568)</f>
        <v>0.3577430556</v>
      </c>
      <c r="F772" s="8" t="str">
        <f>IFERROR(__xludf.DUMMYFUNCTION("""COMPUTED_VALUE"""),"Negative")</f>
        <v>Negative</v>
      </c>
      <c r="G772" s="16">
        <f>IFERROR(__xludf.DUMMYFUNCTION("""COMPUTED_VALUE"""),1.0)</f>
        <v>1</v>
      </c>
      <c r="H772" s="8" t="str">
        <f>IFERROR(__xludf.DUMMYFUNCTION("""COMPUTED_VALUE"""),"CRLN")</f>
        <v>CRLN</v>
      </c>
    </row>
    <row r="773">
      <c r="A773" s="8" t="str">
        <f>IFERROR(__xludf.DUMMYFUNCTION("""COMPUTED_VALUE"""),"FLB6798")</f>
        <v>FLB6798</v>
      </c>
      <c r="B773" s="8" t="str">
        <f>IFERROR(__xludf.DUMMYFUNCTION("""COMPUTED_VALUE"""),"RUN-FLMP_2022-02-17_RFR-089")</f>
        <v>RUN-FLMP_2022-02-17_RFR-089</v>
      </c>
      <c r="C773" s="10">
        <f>VLOOKUP(B773,'Run Reconcile'!A$2:B1579,2,FALSE)</f>
        <v>44609</v>
      </c>
      <c r="D773" s="14">
        <f>IFERROR(__xludf.DUMMYFUNCTION("""COMPUTED_VALUE"""),44609.0)</f>
        <v>44609</v>
      </c>
      <c r="E773" s="15">
        <f>IFERROR(__xludf.DUMMYFUNCTION("""COMPUTED_VALUE"""),0.35877314814933925)</f>
        <v>0.3587731481</v>
      </c>
      <c r="F773" s="8" t="str">
        <f>IFERROR(__xludf.DUMMYFUNCTION("""COMPUTED_VALUE"""),"Negative")</f>
        <v>Negative</v>
      </c>
      <c r="G773" s="16">
        <f>IFERROR(__xludf.DUMMYFUNCTION("""COMPUTED_VALUE"""),1.0)</f>
        <v>1</v>
      </c>
      <c r="H773" s="8" t="str">
        <f>IFERROR(__xludf.DUMMYFUNCTION("""COMPUTED_VALUE"""),"CRLN")</f>
        <v>CRLN</v>
      </c>
    </row>
    <row r="774">
      <c r="A774" s="8" t="str">
        <f>IFERROR(__xludf.DUMMYFUNCTION("""COMPUTED_VALUE"""),"FLE837")</f>
        <v>FLE837</v>
      </c>
      <c r="B774" s="8" t="str">
        <f>IFERROR(__xludf.DUMMYFUNCTION("""COMPUTED_VALUE"""),"RUN-FLMP_2022-02-17_RFR-089")</f>
        <v>RUN-FLMP_2022-02-17_RFR-089</v>
      </c>
      <c r="C774" s="10">
        <f>VLOOKUP(B774,'Run Reconcile'!A$2:B1579,2,FALSE)</f>
        <v>44609</v>
      </c>
      <c r="D774" s="14">
        <f>IFERROR(__xludf.DUMMYFUNCTION("""COMPUTED_VALUE"""),44609.0)</f>
        <v>44609</v>
      </c>
      <c r="E774" s="15">
        <f>IFERROR(__xludf.DUMMYFUNCTION("""COMPUTED_VALUE"""),0.3593518518500787)</f>
        <v>0.3593518519</v>
      </c>
      <c r="F774" s="8" t="str">
        <f>IFERROR(__xludf.DUMMYFUNCTION("""COMPUTED_VALUE"""),"Negative")</f>
        <v>Negative</v>
      </c>
      <c r="G774" s="16">
        <f>IFERROR(__xludf.DUMMYFUNCTION("""COMPUTED_VALUE"""),3.0)</f>
        <v>3</v>
      </c>
      <c r="H774" s="8" t="str">
        <f>IFERROR(__xludf.DUMMYFUNCTION("""COMPUTED_VALUE"""),"CRLN")</f>
        <v>CRLN</v>
      </c>
    </row>
    <row r="775">
      <c r="A775" s="8" t="str">
        <f>IFERROR(__xludf.DUMMYFUNCTION("""COMPUTED_VALUE"""),"FLB6803")</f>
        <v>FLB6803</v>
      </c>
      <c r="B775" s="8" t="str">
        <f>IFERROR(__xludf.DUMMYFUNCTION("""COMPUTED_VALUE"""),"RUN-FLMP_2022-02-17_RFR-089")</f>
        <v>RUN-FLMP_2022-02-17_RFR-089</v>
      </c>
      <c r="C775" s="10">
        <f>VLOOKUP(B775,'Run Reconcile'!A$2:B1579,2,FALSE)</f>
        <v>44609</v>
      </c>
      <c r="D775" s="14">
        <f>IFERROR(__xludf.DUMMYFUNCTION("""COMPUTED_VALUE"""),44609.0)</f>
        <v>44609</v>
      </c>
      <c r="E775" s="15">
        <f>IFERROR(__xludf.DUMMYFUNCTION("""COMPUTED_VALUE"""),0.3599189814813144)</f>
        <v>0.3599189815</v>
      </c>
      <c r="F775" s="8" t="str">
        <f>IFERROR(__xludf.DUMMYFUNCTION("""COMPUTED_VALUE"""),"Negative")</f>
        <v>Negative</v>
      </c>
      <c r="G775" s="16">
        <f>IFERROR(__xludf.DUMMYFUNCTION("""COMPUTED_VALUE"""),1.0)</f>
        <v>1</v>
      </c>
      <c r="H775" s="8" t="str">
        <f>IFERROR(__xludf.DUMMYFUNCTION("""COMPUTED_VALUE"""),"CRLN")</f>
        <v>CRLN</v>
      </c>
    </row>
    <row r="776">
      <c r="A776" s="8" t="str">
        <f>IFERROR(__xludf.DUMMYFUNCTION("""COMPUTED_VALUE"""),"FLB5723")</f>
        <v>FLB5723</v>
      </c>
      <c r="B776" s="8" t="str">
        <f>IFERROR(__xludf.DUMMYFUNCTION("""COMPUTED_VALUE"""),"RUN-FLMP_2022-02-17_RFR-089")</f>
        <v>RUN-FLMP_2022-02-17_RFR-089</v>
      </c>
      <c r="C776" s="10">
        <f>VLOOKUP(B776,'Run Reconcile'!A$2:B1579,2,FALSE)</f>
        <v>44609</v>
      </c>
      <c r="D776" s="14">
        <f>IFERROR(__xludf.DUMMYFUNCTION("""COMPUTED_VALUE"""),44609.0)</f>
        <v>44609</v>
      </c>
      <c r="E776" s="15">
        <f>IFERROR(__xludf.DUMMYFUNCTION("""COMPUTED_VALUE"""),0.36135416666729725)</f>
        <v>0.3613541667</v>
      </c>
      <c r="F776" s="8" t="str">
        <f>IFERROR(__xludf.DUMMYFUNCTION("""COMPUTED_VALUE"""),"Negative")</f>
        <v>Negative</v>
      </c>
      <c r="G776" s="16">
        <f>IFERROR(__xludf.DUMMYFUNCTION("""COMPUTED_VALUE"""),1.0)</f>
        <v>1</v>
      </c>
      <c r="H776" s="8" t="str">
        <f>IFERROR(__xludf.DUMMYFUNCTION("""COMPUTED_VALUE"""),"CRLN")</f>
        <v>CRLN</v>
      </c>
    </row>
    <row r="777">
      <c r="A777" s="8" t="str">
        <f>IFERROR(__xludf.DUMMYFUNCTION("""COMPUTED_VALUE"""),"FLB5784")</f>
        <v>FLB5784</v>
      </c>
      <c r="B777" s="8" t="str">
        <f>IFERROR(__xludf.DUMMYFUNCTION("""COMPUTED_VALUE"""),"RUN-FLMP_2022-02-17_RFR-089")</f>
        <v>RUN-FLMP_2022-02-17_RFR-089</v>
      </c>
      <c r="C777" s="10">
        <f>VLOOKUP(B777,'Run Reconcile'!A$2:B1579,2,FALSE)</f>
        <v>44609</v>
      </c>
      <c r="D777" s="14">
        <f>IFERROR(__xludf.DUMMYFUNCTION("""COMPUTED_VALUE"""),44609.0)</f>
        <v>44609</v>
      </c>
      <c r="E777" s="15">
        <f>IFERROR(__xludf.DUMMYFUNCTION("""COMPUTED_VALUE"""),0.36245370370306773)</f>
        <v>0.3624537037</v>
      </c>
      <c r="F777" s="8" t="str">
        <f>IFERROR(__xludf.DUMMYFUNCTION("""COMPUTED_VALUE"""),"Negative")</f>
        <v>Negative</v>
      </c>
      <c r="G777" s="16">
        <f>IFERROR(__xludf.DUMMYFUNCTION("""COMPUTED_VALUE"""),1.0)</f>
        <v>1</v>
      </c>
      <c r="H777" s="8" t="str">
        <f>IFERROR(__xludf.DUMMYFUNCTION("""COMPUTED_VALUE"""),"CRLN")</f>
        <v>CRLN</v>
      </c>
    </row>
    <row r="778">
      <c r="A778" s="8" t="str">
        <f>IFERROR(__xludf.DUMMYFUNCTION("""COMPUTED_VALUE"""),"FLB4943")</f>
        <v>FLB4943</v>
      </c>
      <c r="B778" s="8" t="str">
        <f>IFERROR(__xludf.DUMMYFUNCTION("""COMPUTED_VALUE"""),"RUN-FLMP_2022-02-17_RFR-089")</f>
        <v>RUN-FLMP_2022-02-17_RFR-089</v>
      </c>
      <c r="C778" s="10">
        <f>VLOOKUP(B778,'Run Reconcile'!A$2:B1579,2,FALSE)</f>
        <v>44609</v>
      </c>
      <c r="D778" s="14">
        <f>IFERROR(__xludf.DUMMYFUNCTION("""COMPUTED_VALUE"""),44609.0)</f>
        <v>44609</v>
      </c>
      <c r="E778" s="15">
        <f>IFERROR(__xludf.DUMMYFUNCTION("""COMPUTED_VALUE"""),0.3657291666677338)</f>
        <v>0.3657291667</v>
      </c>
      <c r="F778" s="8" t="str">
        <f>IFERROR(__xludf.DUMMYFUNCTION("""COMPUTED_VALUE"""),"Negative")</f>
        <v>Negative</v>
      </c>
      <c r="G778" s="16">
        <f>IFERROR(__xludf.DUMMYFUNCTION("""COMPUTED_VALUE"""),2.0)</f>
        <v>2</v>
      </c>
      <c r="H778" s="8" t="str">
        <f>IFERROR(__xludf.DUMMYFUNCTION("""COMPUTED_VALUE"""),"CRLN")</f>
        <v>CRLN</v>
      </c>
    </row>
    <row r="779">
      <c r="A779" s="8" t="str">
        <f>IFERROR(__xludf.DUMMYFUNCTION("""COMPUTED_VALUE"""),"FLB4789")</f>
        <v>FLB4789</v>
      </c>
      <c r="B779" s="8" t="str">
        <f>IFERROR(__xludf.DUMMYFUNCTION("""COMPUTED_VALUE"""),"RUN-FLMP_2022-02-17_RFR-089")</f>
        <v>RUN-FLMP_2022-02-17_RFR-089</v>
      </c>
      <c r="C779" s="10">
        <f>VLOOKUP(B779,'Run Reconcile'!A$2:B1579,2,FALSE)</f>
        <v>44609</v>
      </c>
      <c r="D779" s="14">
        <f>IFERROR(__xludf.DUMMYFUNCTION("""COMPUTED_VALUE"""),44609.0)</f>
        <v>44609</v>
      </c>
      <c r="E779" s="15">
        <f>IFERROR(__xludf.DUMMYFUNCTION("""COMPUTED_VALUE"""),0.3659837962950405)</f>
        <v>0.3659837963</v>
      </c>
      <c r="F779" s="8" t="str">
        <f>IFERROR(__xludf.DUMMYFUNCTION("""COMPUTED_VALUE"""),"Negative")</f>
        <v>Negative</v>
      </c>
      <c r="G779" s="16">
        <f>IFERROR(__xludf.DUMMYFUNCTION("""COMPUTED_VALUE"""),1.0)</f>
        <v>1</v>
      </c>
      <c r="H779" s="8" t="str">
        <f>IFERROR(__xludf.DUMMYFUNCTION("""COMPUTED_VALUE"""),"CRLN")</f>
        <v>CRLN</v>
      </c>
    </row>
    <row r="780">
      <c r="A780" s="8" t="str">
        <f>IFERROR(__xludf.DUMMYFUNCTION("""COMPUTED_VALUE"""),"FLB4899")</f>
        <v>FLB4899</v>
      </c>
      <c r="B780" s="8" t="str">
        <f>IFERROR(__xludf.DUMMYFUNCTION("""COMPUTED_VALUE"""),"RUN-FLMP_2022-02-17_RFR-089")</f>
        <v>RUN-FLMP_2022-02-17_RFR-089</v>
      </c>
      <c r="C780" s="10">
        <f>VLOOKUP(B780,'Run Reconcile'!A$2:B1579,2,FALSE)</f>
        <v>44609</v>
      </c>
      <c r="D780" s="14">
        <f>IFERROR(__xludf.DUMMYFUNCTION("""COMPUTED_VALUE"""),44609.0)</f>
        <v>44609</v>
      </c>
      <c r="E780" s="15">
        <f>IFERROR(__xludf.DUMMYFUNCTION("""COMPUTED_VALUE"""),0.36611111111051287)</f>
        <v>0.3661111111</v>
      </c>
      <c r="F780" s="8" t="str">
        <f>IFERROR(__xludf.DUMMYFUNCTION("""COMPUTED_VALUE"""),"Negative")</f>
        <v>Negative</v>
      </c>
      <c r="G780" s="16">
        <f>IFERROR(__xludf.DUMMYFUNCTION("""COMPUTED_VALUE"""),2.0)</f>
        <v>2</v>
      </c>
      <c r="H780" s="8" t="str">
        <f>IFERROR(__xludf.DUMMYFUNCTION("""COMPUTED_VALUE"""),"CRLN")</f>
        <v>CRLN</v>
      </c>
    </row>
    <row r="781">
      <c r="A781" s="8" t="str">
        <f>IFERROR(__xludf.DUMMYFUNCTION("""COMPUTED_VALUE"""),"FLT1597")</f>
        <v>FLT1597</v>
      </c>
      <c r="B781" s="8" t="str">
        <f>IFERROR(__xludf.DUMMYFUNCTION("""COMPUTED_VALUE"""),"RUN-FLMP_2022-02-17_RFR-089")</f>
        <v>RUN-FLMP_2022-02-17_RFR-089</v>
      </c>
      <c r="C781" s="10">
        <f>VLOOKUP(B781,'Run Reconcile'!A$2:B1579,2,FALSE)</f>
        <v>44609</v>
      </c>
      <c r="D781" s="14">
        <f>IFERROR(__xludf.DUMMYFUNCTION("""COMPUTED_VALUE"""),44609.0)</f>
        <v>44609</v>
      </c>
      <c r="E781" s="15">
        <f>IFERROR(__xludf.DUMMYFUNCTION("""COMPUTED_VALUE"""),0.3680902777778101)</f>
        <v>0.3680902778</v>
      </c>
      <c r="F781" s="8" t="str">
        <f>IFERROR(__xludf.DUMMYFUNCTION("""COMPUTED_VALUE"""),"Negative")</f>
        <v>Negative</v>
      </c>
      <c r="G781" s="16">
        <f>IFERROR(__xludf.DUMMYFUNCTION("""COMPUTED_VALUE"""),2.0)</f>
        <v>2</v>
      </c>
      <c r="H781" s="8" t="str">
        <f>IFERROR(__xludf.DUMMYFUNCTION("""COMPUTED_VALUE"""),"CRLN")</f>
        <v>CRLN</v>
      </c>
    </row>
    <row r="782">
      <c r="A782" s="8" t="str">
        <f>IFERROR(__xludf.DUMMYFUNCTION("""COMPUTED_VALUE"""),"FLB7161")</f>
        <v>FLB7161</v>
      </c>
      <c r="B782" s="8" t="str">
        <f>IFERROR(__xludf.DUMMYFUNCTION("""COMPUTED_VALUE"""),"RUN-FLMP_2022-02-17_RFR-089")</f>
        <v>RUN-FLMP_2022-02-17_RFR-089</v>
      </c>
      <c r="C782" s="10">
        <f>VLOOKUP(B782,'Run Reconcile'!A$2:B1579,2,FALSE)</f>
        <v>44609</v>
      </c>
      <c r="D782" s="14">
        <f>IFERROR(__xludf.DUMMYFUNCTION("""COMPUTED_VALUE"""),44609.0)</f>
        <v>44609</v>
      </c>
      <c r="E782" s="15">
        <f>IFERROR(__xludf.DUMMYFUNCTION("""COMPUTED_VALUE"""),0.3737384259256942)</f>
        <v>0.3737384259</v>
      </c>
      <c r="F782" s="8" t="str">
        <f>IFERROR(__xludf.DUMMYFUNCTION("""COMPUTED_VALUE"""),"Negative")</f>
        <v>Negative</v>
      </c>
      <c r="G782" s="16">
        <f>IFERROR(__xludf.DUMMYFUNCTION("""COMPUTED_VALUE"""),2.0)</f>
        <v>2</v>
      </c>
      <c r="H782" s="8" t="str">
        <f>IFERROR(__xludf.DUMMYFUNCTION("""COMPUTED_VALUE"""),"CRLN")</f>
        <v>CRLN</v>
      </c>
    </row>
    <row r="783">
      <c r="A783" s="8" t="str">
        <f>IFERROR(__xludf.DUMMYFUNCTION("""COMPUTED_VALUE"""),"FLT1438")</f>
        <v>FLT1438</v>
      </c>
      <c r="B783" s="8" t="str">
        <f>IFERROR(__xludf.DUMMYFUNCTION("""COMPUTED_VALUE"""),"RUN-FLMP_2022-02-17_RFR-089")</f>
        <v>RUN-FLMP_2022-02-17_RFR-089</v>
      </c>
      <c r="C783" s="10">
        <f>VLOOKUP(B783,'Run Reconcile'!A$2:B1579,2,FALSE)</f>
        <v>44609</v>
      </c>
      <c r="D783" s="14">
        <f>IFERROR(__xludf.DUMMYFUNCTION("""COMPUTED_VALUE"""),44609.0)</f>
        <v>44609</v>
      </c>
      <c r="E783" s="15">
        <f>IFERROR(__xludf.DUMMYFUNCTION("""COMPUTED_VALUE"""),0.3840740740743058)</f>
        <v>0.3840740741</v>
      </c>
      <c r="F783" s="8" t="str">
        <f>IFERROR(__xludf.DUMMYFUNCTION("""COMPUTED_VALUE"""),"Negative")</f>
        <v>Negative</v>
      </c>
      <c r="G783" s="16">
        <f>IFERROR(__xludf.DUMMYFUNCTION("""COMPUTED_VALUE"""),4.0)</f>
        <v>4</v>
      </c>
      <c r="H783" s="8" t="str">
        <f>IFERROR(__xludf.DUMMYFUNCTION("""COMPUTED_VALUE"""),"CRLN")</f>
        <v>CRLN</v>
      </c>
    </row>
    <row r="784">
      <c r="A784" s="8" t="str">
        <f>IFERROR(__xludf.DUMMYFUNCTION("""COMPUTED_VALUE"""),"MA749")</f>
        <v>MA749</v>
      </c>
      <c r="B784" s="8" t="str">
        <f>IFERROR(__xludf.DUMMYFUNCTION("""COMPUTED_VALUE"""),"RUN-FLMP_2022-02-18_APS-084")</f>
        <v>RUN-FLMP_2022-02-18_APS-084</v>
      </c>
      <c r="C784" s="10">
        <f>VLOOKUP(B784,'Run Reconcile'!A$2:B1579,2,FALSE)</f>
        <v>44610</v>
      </c>
      <c r="D784" s="14">
        <f>IFERROR(__xludf.DUMMYFUNCTION("""COMPUTED_VALUE"""),44610.0)</f>
        <v>44610</v>
      </c>
      <c r="E784" s="15">
        <f>IFERROR(__xludf.DUMMYFUNCTION("""COMPUTED_VALUE"""),0.8369328703702195)</f>
        <v>0.8369328704</v>
      </c>
      <c r="F784" s="8" t="str">
        <f>IFERROR(__xludf.DUMMYFUNCTION("""COMPUTED_VALUE"""),"Negative")</f>
        <v>Negative</v>
      </c>
      <c r="G784" s="16">
        <f>IFERROR(__xludf.DUMMYFUNCTION("""COMPUTED_VALUE"""),3.0)</f>
        <v>3</v>
      </c>
      <c r="H784" s="8" t="str">
        <f>IFERROR(__xludf.DUMMYFUNCTION("""COMPUTED_VALUE"""),"CRLN")</f>
        <v>CRLN</v>
      </c>
    </row>
    <row r="785">
      <c r="A785" s="8" t="str">
        <f>IFERROR(__xludf.DUMMYFUNCTION("""COMPUTED_VALUE"""),"FLB5989")</f>
        <v>FLB5989</v>
      </c>
      <c r="B785" s="8" t="str">
        <f>IFERROR(__xludf.DUMMYFUNCTION("""COMPUTED_VALUE"""),"RUN-FLMP_2022-02-27_RFR-091")</f>
        <v>RUN-FLMP_2022-02-27_RFR-091</v>
      </c>
      <c r="C785" s="10">
        <f>VLOOKUP(B785,'Run Reconcile'!A$2:B1579,2,FALSE)</f>
        <v>44619</v>
      </c>
      <c r="D785" s="14">
        <f>IFERROR(__xludf.DUMMYFUNCTION("""COMPUTED_VALUE"""),44616.0)</f>
        <v>44616</v>
      </c>
      <c r="E785" s="15">
        <f>IFERROR(__xludf.DUMMYFUNCTION("""COMPUTED_VALUE"""),0.3606712962973688)</f>
        <v>0.3606712963</v>
      </c>
      <c r="F785" s="8" t="str">
        <f>IFERROR(__xludf.DUMMYFUNCTION("""COMPUTED_VALUE"""),"Negative")</f>
        <v>Negative</v>
      </c>
      <c r="G785" s="16">
        <f>IFERROR(__xludf.DUMMYFUNCTION("""COMPUTED_VALUE"""),3.0)</f>
        <v>3</v>
      </c>
      <c r="H785" s="8" t="str">
        <f>IFERROR(__xludf.DUMMYFUNCTION("""COMPUTED_VALUE"""),"CRLN")</f>
        <v>CRLN</v>
      </c>
    </row>
    <row r="786">
      <c r="A786" s="8" t="str">
        <f>IFERROR(__xludf.DUMMYFUNCTION("""COMPUTED_VALUE"""),"FLE863")</f>
        <v>FLE863</v>
      </c>
      <c r="B786" s="8" t="str">
        <f>IFERROR(__xludf.DUMMYFUNCTION("""COMPUTED_VALUE"""),"RUN-FLMP_2022-02-27_RFR-091")</f>
        <v>RUN-FLMP_2022-02-27_RFR-091</v>
      </c>
      <c r="C786" s="10">
        <f>VLOOKUP(B786,'Run Reconcile'!A$2:B1579,2,FALSE)</f>
        <v>44619</v>
      </c>
      <c r="D786" s="14">
        <f>IFERROR(__xludf.DUMMYFUNCTION("""COMPUTED_VALUE"""),44619.0)</f>
        <v>44619</v>
      </c>
      <c r="E786" s="15">
        <f>IFERROR(__xludf.DUMMYFUNCTION("""COMPUTED_VALUE"""),0.43249999999898137)</f>
        <v>0.4325</v>
      </c>
      <c r="F786" s="8" t="str">
        <f>IFERROR(__xludf.DUMMYFUNCTION("""COMPUTED_VALUE"""),"Negative")</f>
        <v>Negative</v>
      </c>
      <c r="G786" s="16">
        <f>IFERROR(__xludf.DUMMYFUNCTION("""COMPUTED_VALUE"""),4.0)</f>
        <v>4</v>
      </c>
      <c r="H786" s="8" t="str">
        <f>IFERROR(__xludf.DUMMYFUNCTION("""COMPUTED_VALUE"""),"CRLN")</f>
        <v>CRLN</v>
      </c>
    </row>
    <row r="787">
      <c r="A787" s="8" t="str">
        <f>IFERROR(__xludf.DUMMYFUNCTION("""COMPUTED_VALUE"""),"FLB4964")</f>
        <v>FLB4964</v>
      </c>
      <c r="B787" s="8" t="str">
        <f>IFERROR(__xludf.DUMMYFUNCTION("""COMPUTED_VALUE"""),"RUN-FLMP_2022-02-27_RFR-091")</f>
        <v>RUN-FLMP_2022-02-27_RFR-091</v>
      </c>
      <c r="C787" s="10">
        <f>VLOOKUP(B787,'Run Reconcile'!A$2:B1579,2,FALSE)</f>
        <v>44619</v>
      </c>
      <c r="D787" s="14">
        <f>IFERROR(__xludf.DUMMYFUNCTION("""COMPUTED_VALUE"""),44619.0)</f>
        <v>44619</v>
      </c>
      <c r="E787" s="15">
        <f>IFERROR(__xludf.DUMMYFUNCTION("""COMPUTED_VALUE"""),0.4731134259272949)</f>
        <v>0.4731134259</v>
      </c>
      <c r="F787" s="8" t="str">
        <f>IFERROR(__xludf.DUMMYFUNCTION("""COMPUTED_VALUE"""),"Negative")</f>
        <v>Negative</v>
      </c>
      <c r="G787" s="16">
        <f>IFERROR(__xludf.DUMMYFUNCTION("""COMPUTED_VALUE"""),2.0)</f>
        <v>2</v>
      </c>
      <c r="H787" s="8" t="str">
        <f>IFERROR(__xludf.DUMMYFUNCTION("""COMPUTED_VALUE"""),"CRLN")</f>
        <v>CRLN</v>
      </c>
    </row>
    <row r="788">
      <c r="A788" s="8" t="str">
        <f>IFERROR(__xludf.DUMMYFUNCTION("""COMPUTED_VALUE"""),"FLB5787")</f>
        <v>FLB5787</v>
      </c>
      <c r="B788" s="8" t="str">
        <f>IFERROR(__xludf.DUMMYFUNCTION("""COMPUTED_VALUE"""),"RUN-FLMP_2022-02-27_RFR-091")</f>
        <v>RUN-FLMP_2022-02-27_RFR-091</v>
      </c>
      <c r="C788" s="10">
        <f>VLOOKUP(B788,'Run Reconcile'!A$2:B1579,2,FALSE)</f>
        <v>44619</v>
      </c>
      <c r="D788" s="14">
        <f>IFERROR(__xludf.DUMMYFUNCTION("""COMPUTED_VALUE"""),44619.0)</f>
        <v>44619</v>
      </c>
      <c r="E788" s="15">
        <f>IFERROR(__xludf.DUMMYFUNCTION("""COMPUTED_VALUE"""),0.4734375000007276)</f>
        <v>0.4734375</v>
      </c>
      <c r="F788" s="8" t="str">
        <f>IFERROR(__xludf.DUMMYFUNCTION("""COMPUTED_VALUE"""),"Negative")</f>
        <v>Negative</v>
      </c>
      <c r="G788" s="16">
        <f>IFERROR(__xludf.DUMMYFUNCTION("""COMPUTED_VALUE"""),1.0)</f>
        <v>1</v>
      </c>
      <c r="H788" s="8" t="str">
        <f>IFERROR(__xludf.DUMMYFUNCTION("""COMPUTED_VALUE"""),"CRLN")</f>
        <v>CRLN</v>
      </c>
    </row>
    <row r="789">
      <c r="A789" s="8" t="str">
        <f>IFERROR(__xludf.DUMMYFUNCTION("""COMPUTED_VALUE"""),"FLE893")</f>
        <v>FLE893</v>
      </c>
      <c r="B789" s="8" t="str">
        <f>IFERROR(__xludf.DUMMYFUNCTION("""COMPUTED_VALUE"""),"RUN-FLMP_2022-02-27_RFR-091")</f>
        <v>RUN-FLMP_2022-02-27_RFR-091</v>
      </c>
      <c r="C789" s="10">
        <f>VLOOKUP(B789,'Run Reconcile'!A$2:B1579,2,FALSE)</f>
        <v>44619</v>
      </c>
      <c r="D789" s="14">
        <f>IFERROR(__xludf.DUMMYFUNCTION("""COMPUTED_VALUE"""),44619.0)</f>
        <v>44619</v>
      </c>
      <c r="E789" s="15">
        <f>IFERROR(__xludf.DUMMYFUNCTION("""COMPUTED_VALUE"""),0.5036342592575238)</f>
        <v>0.5036342593</v>
      </c>
      <c r="F789" s="8" t="str">
        <f>IFERROR(__xludf.DUMMYFUNCTION("""COMPUTED_VALUE"""),"Negative")</f>
        <v>Negative</v>
      </c>
      <c r="G789" s="16">
        <f>IFERROR(__xludf.DUMMYFUNCTION("""COMPUTED_VALUE"""),2.0)</f>
        <v>2</v>
      </c>
      <c r="H789" s="8" t="str">
        <f>IFERROR(__xludf.DUMMYFUNCTION("""COMPUTED_VALUE"""),"CRLN")</f>
        <v>CRLN</v>
      </c>
    </row>
    <row r="790">
      <c r="A790" s="8" t="str">
        <f>IFERROR(__xludf.DUMMYFUNCTION("""COMPUTED_VALUE"""),"FLB5983")</f>
        <v>FLB5983</v>
      </c>
      <c r="B790" s="8" t="str">
        <f>IFERROR(__xludf.DUMMYFUNCTION("""COMPUTED_VALUE"""),"RUN-FLMP_2022-02-27_RFR-091")</f>
        <v>RUN-FLMP_2022-02-27_RFR-091</v>
      </c>
      <c r="C790" s="10">
        <f>VLOOKUP(B790,'Run Reconcile'!A$2:B1579,2,FALSE)</f>
        <v>44619</v>
      </c>
      <c r="D790" s="14">
        <f>IFERROR(__xludf.DUMMYFUNCTION("""COMPUTED_VALUE"""),44619.0)</f>
        <v>44619</v>
      </c>
      <c r="E790" s="15">
        <f>IFERROR(__xludf.DUMMYFUNCTION("""COMPUTED_VALUE"""),0.5413773148138716)</f>
        <v>0.5413773148</v>
      </c>
      <c r="F790" s="8" t="str">
        <f>IFERROR(__xludf.DUMMYFUNCTION("""COMPUTED_VALUE"""),"Negative")</f>
        <v>Negative</v>
      </c>
      <c r="G790" s="16">
        <f>IFERROR(__xludf.DUMMYFUNCTION("""COMPUTED_VALUE"""),1.0)</f>
        <v>1</v>
      </c>
      <c r="H790" s="8" t="str">
        <f>IFERROR(__xludf.DUMMYFUNCTION("""COMPUTED_VALUE"""),"CRLN")</f>
        <v>CRLN</v>
      </c>
    </row>
    <row r="791">
      <c r="A791" s="8" t="str">
        <f>IFERROR(__xludf.DUMMYFUNCTION("""COMPUTED_VALUE"""),"FLB5736")</f>
        <v>FLB5736</v>
      </c>
      <c r="B791" s="8" t="str">
        <f>IFERROR(__xludf.DUMMYFUNCTION("""COMPUTED_VALUE"""),"RUN-FLMP_2022-02-27_RFR-091")</f>
        <v>RUN-FLMP_2022-02-27_RFR-091</v>
      </c>
      <c r="C791" s="10">
        <f>VLOOKUP(B791,'Run Reconcile'!A$2:B1579,2,FALSE)</f>
        <v>44619</v>
      </c>
      <c r="D791" s="14">
        <f>IFERROR(__xludf.DUMMYFUNCTION("""COMPUTED_VALUE"""),44619.0)</f>
        <v>44619</v>
      </c>
      <c r="E791" s="15">
        <f>IFERROR(__xludf.DUMMYFUNCTION("""COMPUTED_VALUE"""),0.5463425925918273)</f>
        <v>0.5463425926</v>
      </c>
      <c r="F791" s="8" t="str">
        <f>IFERROR(__xludf.DUMMYFUNCTION("""COMPUTED_VALUE"""),"Negative")</f>
        <v>Negative</v>
      </c>
      <c r="G791" s="16">
        <f>IFERROR(__xludf.DUMMYFUNCTION("""COMPUTED_VALUE"""),1.0)</f>
        <v>1</v>
      </c>
      <c r="H791" s="8" t="str">
        <f>IFERROR(__xludf.DUMMYFUNCTION("""COMPUTED_VALUE"""),"CRLN")</f>
        <v>CRLN</v>
      </c>
    </row>
    <row r="792">
      <c r="A792" s="8" t="str">
        <f>IFERROR(__xludf.DUMMYFUNCTION("""COMPUTED_VALUE"""),"FLB5724")</f>
        <v>FLB5724</v>
      </c>
      <c r="B792" s="8" t="str">
        <f>IFERROR(__xludf.DUMMYFUNCTION("""COMPUTED_VALUE"""),"RUN-FLMP_2022-02-27_RFR-091")</f>
        <v>RUN-FLMP_2022-02-27_RFR-091</v>
      </c>
      <c r="C792" s="10">
        <f>VLOOKUP(B792,'Run Reconcile'!A$2:B1579,2,FALSE)</f>
        <v>44619</v>
      </c>
      <c r="D792" s="14">
        <f>IFERROR(__xludf.DUMMYFUNCTION("""COMPUTED_VALUE"""),44619.0)</f>
        <v>44619</v>
      </c>
      <c r="E792" s="15">
        <f>IFERROR(__xludf.DUMMYFUNCTION("""COMPUTED_VALUE"""),0.6089467592610163)</f>
        <v>0.6089467593</v>
      </c>
      <c r="F792" s="8" t="str">
        <f>IFERROR(__xludf.DUMMYFUNCTION("""COMPUTED_VALUE"""),"Negative")</f>
        <v>Negative</v>
      </c>
      <c r="G792" s="16">
        <f>IFERROR(__xludf.DUMMYFUNCTION("""COMPUTED_VALUE"""),4.0)</f>
        <v>4</v>
      </c>
      <c r="H792" s="8" t="str">
        <f>IFERROR(__xludf.DUMMYFUNCTION("""COMPUTED_VALUE"""),"CRLN")</f>
        <v>CRLN</v>
      </c>
    </row>
    <row r="793">
      <c r="A793" s="8" t="str">
        <f>IFERROR(__xludf.DUMMYFUNCTION("""COMPUTED_VALUE"""),"FLB5729")</f>
        <v>FLB5729</v>
      </c>
      <c r="B793" s="8" t="str">
        <f>IFERROR(__xludf.DUMMYFUNCTION("""COMPUTED_VALUE"""),"RUN-FLMP_2022-02-27_RFR-091")</f>
        <v>RUN-FLMP_2022-02-27_RFR-091</v>
      </c>
      <c r="C793" s="10">
        <f>VLOOKUP(B793,'Run Reconcile'!A$2:B1579,2,FALSE)</f>
        <v>44619</v>
      </c>
      <c r="D793" s="14">
        <f>IFERROR(__xludf.DUMMYFUNCTION("""COMPUTED_VALUE"""),44619.0)</f>
        <v>44619</v>
      </c>
      <c r="E793" s="15">
        <f>IFERROR(__xludf.DUMMYFUNCTION("""COMPUTED_VALUE"""),0.6093518518500787)</f>
        <v>0.6093518519</v>
      </c>
      <c r="F793" s="8" t="str">
        <f>IFERROR(__xludf.DUMMYFUNCTION("""COMPUTED_VALUE"""),"Negative")</f>
        <v>Negative</v>
      </c>
      <c r="G793" s="16">
        <f>IFERROR(__xludf.DUMMYFUNCTION("""COMPUTED_VALUE"""),2.0)</f>
        <v>2</v>
      </c>
      <c r="H793" s="8" t="str">
        <f>IFERROR(__xludf.DUMMYFUNCTION("""COMPUTED_VALUE"""),"CRLN")</f>
        <v>CRLN</v>
      </c>
    </row>
    <row r="794">
      <c r="A794" s="8" t="str">
        <f>IFERROR(__xludf.DUMMYFUNCTION("""COMPUTED_VALUE"""),"FLB5973")</f>
        <v>FLB5973</v>
      </c>
      <c r="B794" s="8" t="str">
        <f>IFERROR(__xludf.DUMMYFUNCTION("""COMPUTED_VALUE"""),"RUN-FLMP_2022-02-27_RFR-091")</f>
        <v>RUN-FLMP_2022-02-27_RFR-091</v>
      </c>
      <c r="C794" s="10">
        <f>VLOOKUP(B794,'Run Reconcile'!A$2:B1579,2,FALSE)</f>
        <v>44619</v>
      </c>
      <c r="D794" s="14">
        <f>IFERROR(__xludf.DUMMYFUNCTION("""COMPUTED_VALUE"""),44619.0)</f>
        <v>44619</v>
      </c>
      <c r="E794" s="15">
        <f>IFERROR(__xludf.DUMMYFUNCTION("""COMPUTED_VALUE"""),0.612164351852698)</f>
        <v>0.6121643519</v>
      </c>
      <c r="F794" s="8" t="str">
        <f>IFERROR(__xludf.DUMMYFUNCTION("""COMPUTED_VALUE"""),"Negative")</f>
        <v>Negative</v>
      </c>
      <c r="G794" s="16">
        <f>IFERROR(__xludf.DUMMYFUNCTION("""COMPUTED_VALUE"""),1.0)</f>
        <v>1</v>
      </c>
      <c r="H794" s="8" t="str">
        <f>IFERROR(__xludf.DUMMYFUNCTION("""COMPUTED_VALUE"""),"CRLN")</f>
        <v>CRLN</v>
      </c>
    </row>
    <row r="795">
      <c r="A795" s="8" t="str">
        <f>IFERROR(__xludf.DUMMYFUNCTION("""COMPUTED_VALUE"""),"FLB6760")</f>
        <v>FLB6760</v>
      </c>
      <c r="B795" s="8" t="str">
        <f>IFERROR(__xludf.DUMMYFUNCTION("""COMPUTED_VALUE"""),"RUN-FLMP_2022-02-27_RFR-091")</f>
        <v>RUN-FLMP_2022-02-27_RFR-091</v>
      </c>
      <c r="C795" s="10">
        <f>VLOOKUP(B795,'Run Reconcile'!A$2:B1579,2,FALSE)</f>
        <v>44619</v>
      </c>
      <c r="D795" s="14">
        <f>IFERROR(__xludf.DUMMYFUNCTION("""COMPUTED_VALUE"""),44619.0)</f>
        <v>44619</v>
      </c>
      <c r="E795" s="15">
        <f>IFERROR(__xludf.DUMMYFUNCTION("""COMPUTED_VALUE"""),0.6229166666671517)</f>
        <v>0.6229166667</v>
      </c>
      <c r="F795" s="8" t="str">
        <f>IFERROR(__xludf.DUMMYFUNCTION("""COMPUTED_VALUE"""),"Negative")</f>
        <v>Negative</v>
      </c>
      <c r="G795" s="16">
        <f>IFERROR(__xludf.DUMMYFUNCTION("""COMPUTED_VALUE"""),3.0)</f>
        <v>3</v>
      </c>
      <c r="H795" s="8" t="str">
        <f>IFERROR(__xludf.DUMMYFUNCTION("""COMPUTED_VALUE"""),"CRLN")</f>
        <v>CRLN</v>
      </c>
    </row>
    <row r="796">
      <c r="A796" s="8" t="str">
        <f>IFERROR(__xludf.DUMMYFUNCTION("""COMPUTED_VALUE"""),"FLB5391")</f>
        <v>FLB5391</v>
      </c>
      <c r="B796" s="8" t="str">
        <f>IFERROR(__xludf.DUMMYFUNCTION("""COMPUTED_VALUE"""),"RUN-FLMP_2022-02-27_RFR-091")</f>
        <v>RUN-FLMP_2022-02-27_RFR-091</v>
      </c>
      <c r="C796" s="10">
        <f>VLOOKUP(B796,'Run Reconcile'!A$2:B1579,2,FALSE)</f>
        <v>44619</v>
      </c>
      <c r="D796" s="14">
        <f>IFERROR(__xludf.DUMMYFUNCTION("""COMPUTED_VALUE"""),44619.0)</f>
        <v>44619</v>
      </c>
      <c r="E796" s="15">
        <f>IFERROR(__xludf.DUMMYFUNCTION("""COMPUTED_VALUE"""),0.6289814814808778)</f>
        <v>0.6289814815</v>
      </c>
      <c r="F796" s="8" t="str">
        <f>IFERROR(__xludf.DUMMYFUNCTION("""COMPUTED_VALUE"""),"Negative")</f>
        <v>Negative</v>
      </c>
      <c r="G796" s="16">
        <f>IFERROR(__xludf.DUMMYFUNCTION("""COMPUTED_VALUE"""),4.0)</f>
        <v>4</v>
      </c>
      <c r="H796" s="8" t="str">
        <f>IFERROR(__xludf.DUMMYFUNCTION("""COMPUTED_VALUE"""),"CRLN")</f>
        <v>CRLN</v>
      </c>
    </row>
    <row r="797">
      <c r="A797" s="8" t="str">
        <f>IFERROR(__xludf.DUMMYFUNCTION("""COMPUTED_VALUE"""),"FLB6869")</f>
        <v>FLB6869</v>
      </c>
      <c r="B797" s="8" t="str">
        <f>IFERROR(__xludf.DUMMYFUNCTION("""COMPUTED_VALUE"""),"RUN-FLMP_2022-02-27_RFR-091")</f>
        <v>RUN-FLMP_2022-02-27_RFR-091</v>
      </c>
      <c r="C797" s="10">
        <f>VLOOKUP(B797,'Run Reconcile'!A$2:B1579,2,FALSE)</f>
        <v>44619</v>
      </c>
      <c r="D797" s="14">
        <f>IFERROR(__xludf.DUMMYFUNCTION("""COMPUTED_VALUE"""),44619.0)</f>
        <v>44619</v>
      </c>
      <c r="E797" s="15">
        <f>IFERROR(__xludf.DUMMYFUNCTION("""COMPUTED_VALUE"""),0.6396527777760639)</f>
        <v>0.6396527778</v>
      </c>
      <c r="F797" s="8" t="str">
        <f>IFERROR(__xludf.DUMMYFUNCTION("""COMPUTED_VALUE"""),"Negative")</f>
        <v>Negative</v>
      </c>
      <c r="G797" s="16">
        <f>IFERROR(__xludf.DUMMYFUNCTION("""COMPUTED_VALUE"""),4.0)</f>
        <v>4</v>
      </c>
      <c r="H797" s="8" t="str">
        <f>IFERROR(__xludf.DUMMYFUNCTION("""COMPUTED_VALUE"""),"CRLN")</f>
        <v>CRLN</v>
      </c>
    </row>
    <row r="798">
      <c r="A798" s="8" t="str">
        <f>IFERROR(__xludf.DUMMYFUNCTION("""COMPUTED_VALUE"""),"FLT1409")</f>
        <v>FLT1409</v>
      </c>
      <c r="B798" s="8" t="str">
        <f>IFERROR(__xludf.DUMMYFUNCTION("""COMPUTED_VALUE"""),"RUN-FLMP_2022-02-27_RFR-091")</f>
        <v>RUN-FLMP_2022-02-27_RFR-091</v>
      </c>
      <c r="C798" s="10">
        <f>VLOOKUP(B798,'Run Reconcile'!A$2:B1579,2,FALSE)</f>
        <v>44619</v>
      </c>
      <c r="D798" s="14">
        <f>IFERROR(__xludf.DUMMYFUNCTION("""COMPUTED_VALUE"""),44619.0)</f>
        <v>44619</v>
      </c>
      <c r="E798" s="15">
        <f>IFERROR(__xludf.DUMMYFUNCTION("""COMPUTED_VALUE"""),0.6415393518509518)</f>
        <v>0.6415393519</v>
      </c>
      <c r="F798" s="8" t="str">
        <f>IFERROR(__xludf.DUMMYFUNCTION("""COMPUTED_VALUE"""),"Negative")</f>
        <v>Negative</v>
      </c>
      <c r="G798" s="16">
        <f>IFERROR(__xludf.DUMMYFUNCTION("""COMPUTED_VALUE"""),4.0)</f>
        <v>4</v>
      </c>
      <c r="H798" s="8" t="str">
        <f>IFERROR(__xludf.DUMMYFUNCTION("""COMPUTED_VALUE"""),"CRLN")</f>
        <v>CRLN</v>
      </c>
    </row>
    <row r="799">
      <c r="A799" s="8" t="str">
        <f>IFERROR(__xludf.DUMMYFUNCTION("""COMPUTED_VALUE"""),"FLB6759")</f>
        <v>FLB6759</v>
      </c>
      <c r="B799" s="8" t="str">
        <f>IFERROR(__xludf.DUMMYFUNCTION("""COMPUTED_VALUE"""),"RUN-FLMP_2022-02-27_RFR-091")</f>
        <v>RUN-FLMP_2022-02-27_RFR-091</v>
      </c>
      <c r="C799" s="10">
        <f>VLOOKUP(B799,'Run Reconcile'!A$2:B1579,2,FALSE)</f>
        <v>44619</v>
      </c>
      <c r="D799" s="14">
        <f>IFERROR(__xludf.DUMMYFUNCTION("""COMPUTED_VALUE"""),44619.0)</f>
        <v>44619</v>
      </c>
      <c r="E799" s="15">
        <f>IFERROR(__xludf.DUMMYFUNCTION("""COMPUTED_VALUE"""),0.6434374999989814)</f>
        <v>0.6434375</v>
      </c>
      <c r="F799" s="8" t="str">
        <f>IFERROR(__xludf.DUMMYFUNCTION("""COMPUTED_VALUE"""),"Negative")</f>
        <v>Negative</v>
      </c>
      <c r="G799" s="16">
        <f>IFERROR(__xludf.DUMMYFUNCTION("""COMPUTED_VALUE"""),4.0)</f>
        <v>4</v>
      </c>
      <c r="H799" s="8" t="str">
        <f>IFERROR(__xludf.DUMMYFUNCTION("""COMPUTED_VALUE"""),"CRLN")</f>
        <v>CRLN</v>
      </c>
    </row>
    <row r="800">
      <c r="A800" s="8" t="str">
        <f>IFERROR(__xludf.DUMMYFUNCTION("""COMPUTED_VALUE"""),"FLB6770")</f>
        <v>FLB6770</v>
      </c>
      <c r="B800" s="8" t="str">
        <f>IFERROR(__xludf.DUMMYFUNCTION("""COMPUTED_VALUE"""),"RUN-FLMP_2022-02-27_RFR-091")</f>
        <v>RUN-FLMP_2022-02-27_RFR-091</v>
      </c>
      <c r="C800" s="10">
        <f>VLOOKUP(B800,'Run Reconcile'!A$2:B1579,2,FALSE)</f>
        <v>44619</v>
      </c>
      <c r="D800" s="14">
        <f>IFERROR(__xludf.DUMMYFUNCTION("""COMPUTED_VALUE"""),44619.0)</f>
        <v>44619</v>
      </c>
      <c r="E800" s="15">
        <f>IFERROR(__xludf.DUMMYFUNCTION("""COMPUTED_VALUE"""),0.6515277777762094)</f>
        <v>0.6515277778</v>
      </c>
      <c r="F800" s="8" t="str">
        <f>IFERROR(__xludf.DUMMYFUNCTION("""COMPUTED_VALUE"""),"Negative")</f>
        <v>Negative</v>
      </c>
      <c r="G800" s="16">
        <f>IFERROR(__xludf.DUMMYFUNCTION("""COMPUTED_VALUE"""),2.0)</f>
        <v>2</v>
      </c>
      <c r="H800" s="8" t="str">
        <f>IFERROR(__xludf.DUMMYFUNCTION("""COMPUTED_VALUE"""),"CRLN")</f>
        <v>CRLN</v>
      </c>
    </row>
    <row r="801">
      <c r="A801" s="8" t="str">
        <f>IFERROR(__xludf.DUMMYFUNCTION("""COMPUTED_VALUE"""),"FLB6554")</f>
        <v>FLB6554</v>
      </c>
      <c r="B801" s="8" t="str">
        <f>IFERROR(__xludf.DUMMYFUNCTION("""COMPUTED_VALUE"""),"RUN-FLMP_2022-02-27_RFR-091")</f>
        <v>RUN-FLMP_2022-02-27_RFR-091</v>
      </c>
      <c r="C801" s="10">
        <f>VLOOKUP(B801,'Run Reconcile'!A$2:B1579,2,FALSE)</f>
        <v>44619</v>
      </c>
      <c r="D801" s="14">
        <f>IFERROR(__xludf.DUMMYFUNCTION("""COMPUTED_VALUE"""),44619.0)</f>
        <v>44619</v>
      </c>
      <c r="E801" s="15">
        <f>IFERROR(__xludf.DUMMYFUNCTION("""COMPUTED_VALUE"""),0.6535185185202863)</f>
        <v>0.6535185185</v>
      </c>
      <c r="F801" s="8" t="str">
        <f>IFERROR(__xludf.DUMMYFUNCTION("""COMPUTED_VALUE"""),"Negative")</f>
        <v>Negative</v>
      </c>
      <c r="G801" s="16">
        <f>IFERROR(__xludf.DUMMYFUNCTION("""COMPUTED_VALUE"""),3.0)</f>
        <v>3</v>
      </c>
      <c r="H801" s="8" t="str">
        <f>IFERROR(__xludf.DUMMYFUNCTION("""COMPUTED_VALUE"""),"CRLN")</f>
        <v>CRLN</v>
      </c>
    </row>
    <row r="802">
      <c r="A802" s="8" t="str">
        <f>IFERROR(__xludf.DUMMYFUNCTION("""COMPUTED_VALUE"""),"FLB5435")</f>
        <v>FLB5435</v>
      </c>
      <c r="B802" s="8" t="str">
        <f>IFERROR(__xludf.DUMMYFUNCTION("""COMPUTED_VALUE"""),"RUN-FLMP_2022-02-27_RFR-091")</f>
        <v>RUN-FLMP_2022-02-27_RFR-091</v>
      </c>
      <c r="C802" s="10">
        <f>VLOOKUP(B802,'Run Reconcile'!A$2:B1579,2,FALSE)</f>
        <v>44619</v>
      </c>
      <c r="D802" s="14">
        <f>IFERROR(__xludf.DUMMYFUNCTION("""COMPUTED_VALUE"""),44619.0)</f>
        <v>44619</v>
      </c>
      <c r="E802" s="15">
        <f>IFERROR(__xludf.DUMMYFUNCTION("""COMPUTED_VALUE"""),0.6568750000005821)</f>
        <v>0.656875</v>
      </c>
      <c r="F802" s="8" t="str">
        <f>IFERROR(__xludf.DUMMYFUNCTION("""COMPUTED_VALUE"""),"Negative")</f>
        <v>Negative</v>
      </c>
      <c r="G802" s="16">
        <f>IFERROR(__xludf.DUMMYFUNCTION("""COMPUTED_VALUE"""),4.0)</f>
        <v>4</v>
      </c>
      <c r="H802" s="8" t="str">
        <f>IFERROR(__xludf.DUMMYFUNCTION("""COMPUTED_VALUE"""),"CRLN")</f>
        <v>CRLN</v>
      </c>
    </row>
    <row r="803">
      <c r="A803" s="8" t="str">
        <f>IFERROR(__xludf.DUMMYFUNCTION("""COMPUTED_VALUE"""),"FLB4937")</f>
        <v>FLB4937</v>
      </c>
      <c r="B803" s="8" t="str">
        <f>IFERROR(__xludf.DUMMYFUNCTION("""COMPUTED_VALUE"""),"RUN-FLMP_2022-02-27_RFR-091")</f>
        <v>RUN-FLMP_2022-02-27_RFR-091</v>
      </c>
      <c r="C803" s="10">
        <f>VLOOKUP(B803,'Run Reconcile'!A$2:B1579,2,FALSE)</f>
        <v>44619</v>
      </c>
      <c r="D803" s="14">
        <f>IFERROR(__xludf.DUMMYFUNCTION("""COMPUTED_VALUE"""),44619.0)</f>
        <v>44619</v>
      </c>
      <c r="E803" s="15">
        <f>IFERROR(__xludf.DUMMYFUNCTION("""COMPUTED_VALUE"""),0.6646875000005821)</f>
        <v>0.6646875</v>
      </c>
      <c r="F803" s="8" t="str">
        <f>IFERROR(__xludf.DUMMYFUNCTION("""COMPUTED_VALUE"""),"Negative")</f>
        <v>Negative</v>
      </c>
      <c r="G803" s="16">
        <f>IFERROR(__xludf.DUMMYFUNCTION("""COMPUTED_VALUE"""),1.0)</f>
        <v>1</v>
      </c>
      <c r="H803" s="8" t="str">
        <f>IFERROR(__xludf.DUMMYFUNCTION("""COMPUTED_VALUE"""),"CRLN")</f>
        <v>CRLN</v>
      </c>
    </row>
    <row r="804">
      <c r="A804" s="8" t="str">
        <f>IFERROR(__xludf.DUMMYFUNCTION("""COMPUTED_VALUE"""),"FLB4945")</f>
        <v>FLB4945</v>
      </c>
      <c r="B804" s="8" t="str">
        <f>IFERROR(__xludf.DUMMYFUNCTION("""COMPUTED_VALUE"""),"RUN-FLMP_2022-02-27_RFR-091")</f>
        <v>RUN-FLMP_2022-02-27_RFR-091</v>
      </c>
      <c r="C804" s="10">
        <f>VLOOKUP(B804,'Run Reconcile'!A$2:B1579,2,FALSE)</f>
        <v>44619</v>
      </c>
      <c r="D804" s="14">
        <f>IFERROR(__xludf.DUMMYFUNCTION("""COMPUTED_VALUE"""),44619.0)</f>
        <v>44619</v>
      </c>
      <c r="E804" s="15">
        <f>IFERROR(__xludf.DUMMYFUNCTION("""COMPUTED_VALUE"""),0.6650231481471565)</f>
        <v>0.6650231481</v>
      </c>
      <c r="F804" s="8" t="str">
        <f>IFERROR(__xludf.DUMMYFUNCTION("""COMPUTED_VALUE"""),"Negative")</f>
        <v>Negative</v>
      </c>
      <c r="G804" s="16">
        <f>IFERROR(__xludf.DUMMYFUNCTION("""COMPUTED_VALUE"""),1.0)</f>
        <v>1</v>
      </c>
      <c r="H804" s="8" t="str">
        <f>IFERROR(__xludf.DUMMYFUNCTION("""COMPUTED_VALUE"""),"CRLN")</f>
        <v>CRLN</v>
      </c>
    </row>
    <row r="805">
      <c r="A805" s="8" t="str">
        <f>IFERROR(__xludf.DUMMYFUNCTION("""COMPUTED_VALUE"""),"FLT1185")</f>
        <v>FLT1185</v>
      </c>
      <c r="B805" s="8" t="str">
        <f>IFERROR(__xludf.DUMMYFUNCTION("""COMPUTED_VALUE"""),"RUN-FLMP_2022-02-27_RFR-091")</f>
        <v>RUN-FLMP_2022-02-27_RFR-091</v>
      </c>
      <c r="C805" s="10">
        <f>VLOOKUP(B805,'Run Reconcile'!A$2:B1579,2,FALSE)</f>
        <v>44619</v>
      </c>
      <c r="D805" s="14">
        <f>IFERROR(__xludf.DUMMYFUNCTION("""COMPUTED_VALUE"""),44619.0)</f>
        <v>44619</v>
      </c>
      <c r="E805" s="15">
        <f>IFERROR(__xludf.DUMMYFUNCTION("""COMPUTED_VALUE"""),0.6823495370372257)</f>
        <v>0.682349537</v>
      </c>
      <c r="F805" s="8" t="str">
        <f>IFERROR(__xludf.DUMMYFUNCTION("""COMPUTED_VALUE"""),"Negative")</f>
        <v>Negative</v>
      </c>
      <c r="G805" s="16">
        <f>IFERROR(__xludf.DUMMYFUNCTION("""COMPUTED_VALUE"""),4.0)</f>
        <v>4</v>
      </c>
      <c r="H805" s="8" t="str">
        <f>IFERROR(__xludf.DUMMYFUNCTION("""COMPUTED_VALUE"""),"CRLN")</f>
        <v>CRLN</v>
      </c>
    </row>
    <row r="806">
      <c r="A806" s="8" t="str">
        <f>IFERROR(__xludf.DUMMYFUNCTION("""COMPUTED_VALUE"""),"FLB6773")</f>
        <v>FLB6773</v>
      </c>
      <c r="B806" s="8" t="str">
        <f>IFERROR(__xludf.DUMMYFUNCTION("""COMPUTED_VALUE"""),"RUN-FLMP_2022-03-03_RFR-093")</f>
        <v>RUN-FLMP_2022-03-03_RFR-093</v>
      </c>
      <c r="C806" s="10">
        <f>VLOOKUP(B806,'Run Reconcile'!A$2:B1579,2,FALSE)</f>
        <v>44623</v>
      </c>
      <c r="D806" s="14">
        <f>IFERROR(__xludf.DUMMYFUNCTION("""COMPUTED_VALUE"""),44623.0)</f>
        <v>44623</v>
      </c>
      <c r="E806" s="15">
        <f>IFERROR(__xludf.DUMMYFUNCTION("""COMPUTED_VALUE"""),0.21930555555445608)</f>
        <v>0.2193055556</v>
      </c>
      <c r="F806" s="8" t="str">
        <f>IFERROR(__xludf.DUMMYFUNCTION("""COMPUTED_VALUE"""),"Negative")</f>
        <v>Negative</v>
      </c>
      <c r="G806" s="16">
        <f>IFERROR(__xludf.DUMMYFUNCTION("""COMPUTED_VALUE"""),1.0)</f>
        <v>1</v>
      </c>
      <c r="H806" s="8" t="str">
        <f>IFERROR(__xludf.DUMMYFUNCTION("""COMPUTED_VALUE"""),"CRLN")</f>
        <v>CRLN</v>
      </c>
    </row>
    <row r="807">
      <c r="A807" s="8" t="str">
        <f>IFERROR(__xludf.DUMMYFUNCTION("""COMPUTED_VALUE"""),"FLB4956")</f>
        <v>FLB4956</v>
      </c>
      <c r="B807" s="8" t="str">
        <f>IFERROR(__xludf.DUMMYFUNCTION("""COMPUTED_VALUE"""),"RUN-FLMP_2022-03-03_RFR-093")</f>
        <v>RUN-FLMP_2022-03-03_RFR-093</v>
      </c>
      <c r="C807" s="10">
        <f>VLOOKUP(B807,'Run Reconcile'!A$2:B1579,2,FALSE)</f>
        <v>44623</v>
      </c>
      <c r="D807" s="14">
        <f>IFERROR(__xludf.DUMMYFUNCTION("""COMPUTED_VALUE"""),44623.0)</f>
        <v>44623</v>
      </c>
      <c r="E807" s="15">
        <f>IFERROR(__xludf.DUMMYFUNCTION("""COMPUTED_VALUE"""),0.2772916666654055)</f>
        <v>0.2772916667</v>
      </c>
      <c r="F807" s="8" t="str">
        <f>IFERROR(__xludf.DUMMYFUNCTION("""COMPUTED_VALUE"""),"Negative")</f>
        <v>Negative</v>
      </c>
      <c r="G807" s="16">
        <f>IFERROR(__xludf.DUMMYFUNCTION("""COMPUTED_VALUE"""),2.0)</f>
        <v>2</v>
      </c>
      <c r="H807" s="8" t="str">
        <f>IFERROR(__xludf.DUMMYFUNCTION("""COMPUTED_VALUE"""),"CRLN")</f>
        <v>CRLN</v>
      </c>
    </row>
    <row r="808">
      <c r="A808" s="8" t="str">
        <f>IFERROR(__xludf.DUMMYFUNCTION("""COMPUTED_VALUE"""),"FLB5741")</f>
        <v>FLB5741</v>
      </c>
      <c r="B808" s="8" t="str">
        <f>IFERROR(__xludf.DUMMYFUNCTION("""COMPUTED_VALUE"""),"RUN-FLMP_2022-03-03_RFR-093")</f>
        <v>RUN-FLMP_2022-03-03_RFR-093</v>
      </c>
      <c r="C808" s="10">
        <f>VLOOKUP(B808,'Run Reconcile'!A$2:B1579,2,FALSE)</f>
        <v>44623</v>
      </c>
      <c r="D808" s="14">
        <f>IFERROR(__xludf.DUMMYFUNCTION("""COMPUTED_VALUE"""),44623.0)</f>
        <v>44623</v>
      </c>
      <c r="E808" s="15">
        <f>IFERROR(__xludf.DUMMYFUNCTION("""COMPUTED_VALUE"""),0.2790625000016007)</f>
        <v>0.2790625</v>
      </c>
      <c r="F808" s="8" t="str">
        <f>IFERROR(__xludf.DUMMYFUNCTION("""COMPUTED_VALUE"""),"Negative")</f>
        <v>Negative</v>
      </c>
      <c r="G808" s="16">
        <f>IFERROR(__xludf.DUMMYFUNCTION("""COMPUTED_VALUE"""),1.0)</f>
        <v>1</v>
      </c>
      <c r="H808" s="8" t="str">
        <f>IFERROR(__xludf.DUMMYFUNCTION("""COMPUTED_VALUE"""),"CRLN")</f>
        <v>CRLN</v>
      </c>
    </row>
    <row r="809">
      <c r="A809" s="8" t="str">
        <f>IFERROR(__xludf.DUMMYFUNCTION("""COMPUTED_VALUE"""),"FLB6814")</f>
        <v>FLB6814</v>
      </c>
      <c r="B809" s="8" t="str">
        <f>IFERROR(__xludf.DUMMYFUNCTION("""COMPUTED_VALUE"""),"RUN-FLMP_2022-03-03_RFR-093")</f>
        <v>RUN-FLMP_2022-03-03_RFR-093</v>
      </c>
      <c r="C809" s="10">
        <f>VLOOKUP(B809,'Run Reconcile'!A$2:B1579,2,FALSE)</f>
        <v>44623</v>
      </c>
      <c r="D809" s="14">
        <f>IFERROR(__xludf.DUMMYFUNCTION("""COMPUTED_VALUE"""),44623.0)</f>
        <v>44623</v>
      </c>
      <c r="E809" s="15">
        <f>IFERROR(__xludf.DUMMYFUNCTION("""COMPUTED_VALUE"""),0.3038194444452529)</f>
        <v>0.3038194444</v>
      </c>
      <c r="F809" s="8" t="str">
        <f>IFERROR(__xludf.DUMMYFUNCTION("""COMPUTED_VALUE"""),"Negative")</f>
        <v>Negative</v>
      </c>
      <c r="G809" s="16">
        <f>IFERROR(__xludf.DUMMYFUNCTION("""COMPUTED_VALUE"""),4.0)</f>
        <v>4</v>
      </c>
      <c r="H809" s="8" t="str">
        <f>IFERROR(__xludf.DUMMYFUNCTION("""COMPUTED_VALUE"""),"CRLN")</f>
        <v>CRLN</v>
      </c>
    </row>
    <row r="810">
      <c r="A810" s="8" t="str">
        <f>IFERROR(__xludf.DUMMYFUNCTION("""COMPUTED_VALUE"""),"FLB5754")</f>
        <v>FLB5754</v>
      </c>
      <c r="B810" s="8" t="str">
        <f>IFERROR(__xludf.DUMMYFUNCTION("""COMPUTED_VALUE"""),"RUN-FLMP_2022-03-03_RFR-093")</f>
        <v>RUN-FLMP_2022-03-03_RFR-093</v>
      </c>
      <c r="C810" s="10">
        <f>VLOOKUP(B810,'Run Reconcile'!A$2:B1579,2,FALSE)</f>
        <v>44623</v>
      </c>
      <c r="D810" s="14">
        <f>IFERROR(__xludf.DUMMYFUNCTION("""COMPUTED_VALUE"""),44623.0)</f>
        <v>44623</v>
      </c>
      <c r="E810" s="15">
        <f>IFERROR(__xludf.DUMMYFUNCTION("""COMPUTED_VALUE"""),0.3076967592605797)</f>
        <v>0.3076967593</v>
      </c>
      <c r="F810" s="8" t="str">
        <f>IFERROR(__xludf.DUMMYFUNCTION("""COMPUTED_VALUE"""),"Negative")</f>
        <v>Negative</v>
      </c>
      <c r="G810" s="16">
        <f>IFERROR(__xludf.DUMMYFUNCTION("""COMPUTED_VALUE"""),4.0)</f>
        <v>4</v>
      </c>
      <c r="H810" s="8" t="str">
        <f>IFERROR(__xludf.DUMMYFUNCTION("""COMPUTED_VALUE"""),"CRLN")</f>
        <v>CRLN</v>
      </c>
    </row>
    <row r="811">
      <c r="A811" s="8" t="str">
        <f>IFERROR(__xludf.DUMMYFUNCTION("""COMPUTED_VALUE"""),"FLB5795")</f>
        <v>FLB5795</v>
      </c>
      <c r="B811" s="8" t="str">
        <f>IFERROR(__xludf.DUMMYFUNCTION("""COMPUTED_VALUE"""),"RUN-FLMP_2022-03-03_RFR-093")</f>
        <v>RUN-FLMP_2022-03-03_RFR-093</v>
      </c>
      <c r="C811" s="10">
        <f>VLOOKUP(B811,'Run Reconcile'!A$2:B1579,2,FALSE)</f>
        <v>44623</v>
      </c>
      <c r="D811" s="14">
        <f>IFERROR(__xludf.DUMMYFUNCTION("""COMPUTED_VALUE"""),44623.0)</f>
        <v>44623</v>
      </c>
      <c r="E811" s="15">
        <f>IFERROR(__xludf.DUMMYFUNCTION("""COMPUTED_VALUE"""),0.30961805555489263)</f>
        <v>0.3096180556</v>
      </c>
      <c r="F811" s="8" t="str">
        <f>IFERROR(__xludf.DUMMYFUNCTION("""COMPUTED_VALUE"""),"Negative")</f>
        <v>Negative</v>
      </c>
      <c r="G811" s="16">
        <f>IFERROR(__xludf.DUMMYFUNCTION("""COMPUTED_VALUE"""),3.0)</f>
        <v>3</v>
      </c>
      <c r="H811" s="8" t="str">
        <f>IFERROR(__xludf.DUMMYFUNCTION("""COMPUTED_VALUE"""),"CRLN")</f>
        <v>CRLN</v>
      </c>
    </row>
    <row r="812">
      <c r="A812" s="8" t="str">
        <f>IFERROR(__xludf.DUMMYFUNCTION("""COMPUTED_VALUE"""),"FLB6553")</f>
        <v>FLB6553</v>
      </c>
      <c r="B812" s="8" t="str">
        <f>IFERROR(__xludf.DUMMYFUNCTION("""COMPUTED_VALUE"""),"RUN-FLMP_2022-03-03_RFR-093")</f>
        <v>RUN-FLMP_2022-03-03_RFR-093</v>
      </c>
      <c r="C812" s="10">
        <f>VLOOKUP(B812,'Run Reconcile'!A$2:B1579,2,FALSE)</f>
        <v>44623</v>
      </c>
      <c r="D812" s="14">
        <f>IFERROR(__xludf.DUMMYFUNCTION("""COMPUTED_VALUE"""),44623.0)</f>
        <v>44623</v>
      </c>
      <c r="E812" s="15">
        <f>IFERROR(__xludf.DUMMYFUNCTION("""COMPUTED_VALUE"""),0.30994212962832535)</f>
        <v>0.3099421296</v>
      </c>
      <c r="F812" s="8" t="str">
        <f>IFERROR(__xludf.DUMMYFUNCTION("""COMPUTED_VALUE"""),"Negative")</f>
        <v>Negative</v>
      </c>
      <c r="G812" s="16">
        <f>IFERROR(__xludf.DUMMYFUNCTION("""COMPUTED_VALUE"""),1.0)</f>
        <v>1</v>
      </c>
      <c r="H812" s="8" t="str">
        <f>IFERROR(__xludf.DUMMYFUNCTION("""COMPUTED_VALUE"""),"CRLN")</f>
        <v>CRLN</v>
      </c>
    </row>
    <row r="813">
      <c r="A813" s="8" t="str">
        <f>IFERROR(__xludf.DUMMYFUNCTION("""COMPUTED_VALUE"""),"FLB4891")</f>
        <v>FLB4891</v>
      </c>
      <c r="B813" s="8" t="str">
        <f>IFERROR(__xludf.DUMMYFUNCTION("""COMPUTED_VALUE"""),"RUN-FLMP_2022-03-03_RFR-093")</f>
        <v>RUN-FLMP_2022-03-03_RFR-093</v>
      </c>
      <c r="C813" s="10">
        <f>VLOOKUP(B813,'Run Reconcile'!A$2:B1579,2,FALSE)</f>
        <v>44623</v>
      </c>
      <c r="D813" s="14">
        <f>IFERROR(__xludf.DUMMYFUNCTION("""COMPUTED_VALUE"""),44623.0)</f>
        <v>44623</v>
      </c>
      <c r="E813" s="15">
        <f>IFERROR(__xludf.DUMMYFUNCTION("""COMPUTED_VALUE"""),0.328298611111677)</f>
        <v>0.3282986111</v>
      </c>
      <c r="F813" s="8" t="str">
        <f>IFERROR(__xludf.DUMMYFUNCTION("""COMPUTED_VALUE"""),"Negative")</f>
        <v>Negative</v>
      </c>
      <c r="G813" s="16">
        <f>IFERROR(__xludf.DUMMYFUNCTION("""COMPUTED_VALUE"""),1.0)</f>
        <v>1</v>
      </c>
      <c r="H813" s="8" t="str">
        <f>IFERROR(__xludf.DUMMYFUNCTION("""COMPUTED_VALUE"""),"CRLN")</f>
        <v>CRLN</v>
      </c>
    </row>
    <row r="814">
      <c r="A814" s="8" t="str">
        <f>IFERROR(__xludf.DUMMYFUNCTION("""COMPUTED_VALUE"""),"FLB4948")</f>
        <v>FLB4948</v>
      </c>
      <c r="B814" s="8" t="str">
        <f>IFERROR(__xludf.DUMMYFUNCTION("""COMPUTED_VALUE"""),"RUN-FLMP_2022-03-03_RFR-093")</f>
        <v>RUN-FLMP_2022-03-03_RFR-093</v>
      </c>
      <c r="C814" s="10">
        <f>VLOOKUP(B814,'Run Reconcile'!A$2:B1579,2,FALSE)</f>
        <v>44623</v>
      </c>
      <c r="D814" s="14">
        <f>IFERROR(__xludf.DUMMYFUNCTION("""COMPUTED_VALUE"""),44623.0)</f>
        <v>44623</v>
      </c>
      <c r="E814" s="15">
        <f>IFERROR(__xludf.DUMMYFUNCTION("""COMPUTED_VALUE"""),0.32858796296204673)</f>
        <v>0.328587963</v>
      </c>
      <c r="F814" s="8" t="str">
        <f>IFERROR(__xludf.DUMMYFUNCTION("""COMPUTED_VALUE"""),"Negative")</f>
        <v>Negative</v>
      </c>
      <c r="G814" s="16">
        <f>IFERROR(__xludf.DUMMYFUNCTION("""COMPUTED_VALUE"""),1.0)</f>
        <v>1</v>
      </c>
      <c r="H814" s="8" t="str">
        <f>IFERROR(__xludf.DUMMYFUNCTION("""COMPUTED_VALUE"""),"CRLN")</f>
        <v>CRLN</v>
      </c>
    </row>
    <row r="815">
      <c r="A815" s="8" t="str">
        <f>IFERROR(__xludf.DUMMYFUNCTION("""COMPUTED_VALUE"""),"FLB5746")</f>
        <v>FLB5746</v>
      </c>
      <c r="B815" s="8" t="str">
        <f>IFERROR(__xludf.DUMMYFUNCTION("""COMPUTED_VALUE"""),"RUN-FLMP_2022-03-03_RFR-093")</f>
        <v>RUN-FLMP_2022-03-03_RFR-093</v>
      </c>
      <c r="C815" s="10">
        <f>VLOOKUP(B815,'Run Reconcile'!A$2:B1579,2,FALSE)</f>
        <v>44623</v>
      </c>
      <c r="D815" s="14">
        <f>IFERROR(__xludf.DUMMYFUNCTION("""COMPUTED_VALUE"""),44623.0)</f>
        <v>44623</v>
      </c>
      <c r="E815" s="15">
        <f>IFERROR(__xludf.DUMMYFUNCTION("""COMPUTED_VALUE"""),0.330844907406572)</f>
        <v>0.3308449074</v>
      </c>
      <c r="F815" s="8" t="str">
        <f>IFERROR(__xludf.DUMMYFUNCTION("""COMPUTED_VALUE"""),"Negative")</f>
        <v>Negative</v>
      </c>
      <c r="G815" s="16">
        <f>IFERROR(__xludf.DUMMYFUNCTION("""COMPUTED_VALUE"""),1.0)</f>
        <v>1</v>
      </c>
      <c r="H815" s="8" t="str">
        <f>IFERROR(__xludf.DUMMYFUNCTION("""COMPUTED_VALUE"""),"CRLN")</f>
        <v>CRLN</v>
      </c>
    </row>
    <row r="816">
      <c r="A816" s="8" t="str">
        <f>IFERROR(__xludf.DUMMYFUNCTION("""COMPUTED_VALUE"""),"FLB6812")</f>
        <v>FLB6812</v>
      </c>
      <c r="B816" s="8" t="str">
        <f>IFERROR(__xludf.DUMMYFUNCTION("""COMPUTED_VALUE"""),"RUN-FLMP_2022-03-03_RFR-093")</f>
        <v>RUN-FLMP_2022-03-03_RFR-093</v>
      </c>
      <c r="C816" s="10">
        <f>VLOOKUP(B816,'Run Reconcile'!A$2:B1579,2,FALSE)</f>
        <v>44623</v>
      </c>
      <c r="D816" s="14">
        <f>IFERROR(__xludf.DUMMYFUNCTION("""COMPUTED_VALUE"""),44623.0)</f>
        <v>44623</v>
      </c>
      <c r="E816" s="15">
        <f>IFERROR(__xludf.DUMMYFUNCTION("""COMPUTED_VALUE"""),0.33988425925781485)</f>
        <v>0.3398842593</v>
      </c>
      <c r="F816" s="8" t="str">
        <f>IFERROR(__xludf.DUMMYFUNCTION("""COMPUTED_VALUE"""),"Negative")</f>
        <v>Negative</v>
      </c>
      <c r="G816" s="16">
        <f>IFERROR(__xludf.DUMMYFUNCTION("""COMPUTED_VALUE"""),3.0)</f>
        <v>3</v>
      </c>
      <c r="H816" s="8" t="str">
        <f>IFERROR(__xludf.DUMMYFUNCTION("""COMPUTED_VALUE"""),"CRLN")</f>
        <v>CRLN</v>
      </c>
    </row>
    <row r="817">
      <c r="A817" s="8" t="str">
        <f>IFERROR(__xludf.DUMMYFUNCTION("""COMPUTED_VALUE"""),"FLB6810")</f>
        <v>FLB6810</v>
      </c>
      <c r="B817" s="8" t="str">
        <f>IFERROR(__xludf.DUMMYFUNCTION("""COMPUTED_VALUE"""),"RUN-FLMP_2022-03-03_RFR-093")</f>
        <v>RUN-FLMP_2022-03-03_RFR-093</v>
      </c>
      <c r="C817" s="10">
        <f>VLOOKUP(B817,'Run Reconcile'!A$2:B1579,2,FALSE)</f>
        <v>44623</v>
      </c>
      <c r="D817" s="14">
        <f>IFERROR(__xludf.DUMMYFUNCTION("""COMPUTED_VALUE"""),44623.0)</f>
        <v>44623</v>
      </c>
      <c r="E817" s="15">
        <f>IFERROR(__xludf.DUMMYFUNCTION("""COMPUTED_VALUE"""),0.34271990740671754)</f>
        <v>0.3427199074</v>
      </c>
      <c r="F817" s="8" t="str">
        <f>IFERROR(__xludf.DUMMYFUNCTION("""COMPUTED_VALUE"""),"Negative")</f>
        <v>Negative</v>
      </c>
      <c r="G817" s="16">
        <f>IFERROR(__xludf.DUMMYFUNCTION("""COMPUTED_VALUE"""),2.0)</f>
        <v>2</v>
      </c>
      <c r="H817" s="8" t="str">
        <f>IFERROR(__xludf.DUMMYFUNCTION("""COMPUTED_VALUE"""),"CRLN")</f>
        <v>CRLN</v>
      </c>
    </row>
    <row r="818">
      <c r="A818" s="8" t="str">
        <f>IFERROR(__xludf.DUMMYFUNCTION("""COMPUTED_VALUE"""),"FLB5439")</f>
        <v>FLB5439</v>
      </c>
      <c r="B818" s="8" t="str">
        <f>IFERROR(__xludf.DUMMYFUNCTION("""COMPUTED_VALUE"""),"RUN-FLMP_2022-03-03_RFR-093")</f>
        <v>RUN-FLMP_2022-03-03_RFR-093</v>
      </c>
      <c r="C818" s="10">
        <f>VLOOKUP(B818,'Run Reconcile'!A$2:B1579,2,FALSE)</f>
        <v>44623</v>
      </c>
      <c r="D818" s="14">
        <f>IFERROR(__xludf.DUMMYFUNCTION("""COMPUTED_VALUE"""),44623.0)</f>
        <v>44623</v>
      </c>
      <c r="E818" s="15">
        <f>IFERROR(__xludf.DUMMYFUNCTION("""COMPUTED_VALUE"""),0.3443634259274404)</f>
        <v>0.3443634259</v>
      </c>
      <c r="F818" s="8" t="str">
        <f>IFERROR(__xludf.DUMMYFUNCTION("""COMPUTED_VALUE"""),"Negative")</f>
        <v>Negative</v>
      </c>
      <c r="G818" s="16">
        <f>IFERROR(__xludf.DUMMYFUNCTION("""COMPUTED_VALUE"""),1.0)</f>
        <v>1</v>
      </c>
      <c r="H818" s="8" t="str">
        <f>IFERROR(__xludf.DUMMYFUNCTION("""COMPUTED_VALUE"""),"CRLN")</f>
        <v>CRLN</v>
      </c>
    </row>
    <row r="819">
      <c r="A819" s="8" t="str">
        <f>IFERROR(__xludf.DUMMYFUNCTION("""COMPUTED_VALUE"""),"FLB6804")</f>
        <v>FLB6804</v>
      </c>
      <c r="B819" s="8" t="str">
        <f>IFERROR(__xludf.DUMMYFUNCTION("""COMPUTED_VALUE"""),"RUN-FLMP_2022-03-03_RFR-093")</f>
        <v>RUN-FLMP_2022-03-03_RFR-093</v>
      </c>
      <c r="C819" s="10">
        <f>VLOOKUP(B819,'Run Reconcile'!A$2:B1579,2,FALSE)</f>
        <v>44623</v>
      </c>
      <c r="D819" s="14">
        <f>IFERROR(__xludf.DUMMYFUNCTION("""COMPUTED_VALUE"""),44623.0)</f>
        <v>44623</v>
      </c>
      <c r="E819" s="15">
        <f>IFERROR(__xludf.DUMMYFUNCTION("""COMPUTED_VALUE"""),0.3508680555569299)</f>
        <v>0.3508680556</v>
      </c>
      <c r="F819" s="8" t="str">
        <f>IFERROR(__xludf.DUMMYFUNCTION("""COMPUTED_VALUE"""),"Negative")</f>
        <v>Negative</v>
      </c>
      <c r="G819" s="16">
        <f>IFERROR(__xludf.DUMMYFUNCTION("""COMPUTED_VALUE"""),1.0)</f>
        <v>1</v>
      </c>
      <c r="H819" s="8" t="str">
        <f>IFERROR(__xludf.DUMMYFUNCTION("""COMPUTED_VALUE"""),"CRLN")</f>
        <v>CRLN</v>
      </c>
    </row>
    <row r="820">
      <c r="A820" s="8" t="str">
        <f>IFERROR(__xludf.DUMMYFUNCTION("""COMPUTED_VALUE"""),"FLE858")</f>
        <v>FLE858</v>
      </c>
      <c r="B820" s="8" t="str">
        <f>IFERROR(__xludf.DUMMYFUNCTION("""COMPUTED_VALUE"""),"RUN-FLMP_2022-03-03_RFR-093")</f>
        <v>RUN-FLMP_2022-03-03_RFR-093</v>
      </c>
      <c r="C820" s="10">
        <f>VLOOKUP(B820,'Run Reconcile'!A$2:B1579,2,FALSE)</f>
        <v>44623</v>
      </c>
      <c r="D820" s="14">
        <f>IFERROR(__xludf.DUMMYFUNCTION("""COMPUTED_VALUE"""),44623.0)</f>
        <v>44623</v>
      </c>
      <c r="E820" s="15">
        <f>IFERROR(__xludf.DUMMYFUNCTION("""COMPUTED_VALUE"""),0.3522800925929914)</f>
        <v>0.3522800926</v>
      </c>
      <c r="F820" s="8" t="str">
        <f>IFERROR(__xludf.DUMMYFUNCTION("""COMPUTED_VALUE"""),"Negative")</f>
        <v>Negative</v>
      </c>
      <c r="G820" s="16">
        <f>IFERROR(__xludf.DUMMYFUNCTION("""COMPUTED_VALUE"""),2.0)</f>
        <v>2</v>
      </c>
      <c r="H820" s="8" t="str">
        <f>IFERROR(__xludf.DUMMYFUNCTION("""COMPUTED_VALUE"""),"CRLN")</f>
        <v>CRLN</v>
      </c>
    </row>
    <row r="821">
      <c r="A821" s="8" t="str">
        <f>IFERROR(__xludf.DUMMYFUNCTION("""COMPUTED_VALUE"""),"FLB4966")</f>
        <v>FLB4966</v>
      </c>
      <c r="B821" s="8" t="str">
        <f>IFERROR(__xludf.DUMMYFUNCTION("""COMPUTED_VALUE"""),"RUN-FLMP_2022-03-03_RFR-093")</f>
        <v>RUN-FLMP_2022-03-03_RFR-093</v>
      </c>
      <c r="C821" s="10">
        <f>VLOOKUP(B821,'Run Reconcile'!A$2:B1579,2,FALSE)</f>
        <v>44623</v>
      </c>
      <c r="D821" s="14">
        <f>IFERROR(__xludf.DUMMYFUNCTION("""COMPUTED_VALUE"""),44623.0)</f>
        <v>44623</v>
      </c>
      <c r="E821" s="15">
        <f>IFERROR(__xludf.DUMMYFUNCTION("""COMPUTED_VALUE"""),0.3530092592591245)</f>
        <v>0.3530092593</v>
      </c>
      <c r="F821" s="8" t="str">
        <f>IFERROR(__xludf.DUMMYFUNCTION("""COMPUTED_VALUE"""),"Negative")</f>
        <v>Negative</v>
      </c>
      <c r="G821" s="16">
        <f>IFERROR(__xludf.DUMMYFUNCTION("""COMPUTED_VALUE"""),3.0)</f>
        <v>3</v>
      </c>
      <c r="H821" s="8" t="str">
        <f>IFERROR(__xludf.DUMMYFUNCTION("""COMPUTED_VALUE"""),"CRLN")</f>
        <v>CRLN</v>
      </c>
    </row>
    <row r="822">
      <c r="A822" s="8" t="str">
        <f>IFERROR(__xludf.DUMMYFUNCTION("""COMPUTED_VALUE"""),"FLB4944")</f>
        <v>FLB4944</v>
      </c>
      <c r="B822" s="8" t="str">
        <f>IFERROR(__xludf.DUMMYFUNCTION("""COMPUTED_VALUE"""),"RUN-FLMP_2022-03-03_RFR-093")</f>
        <v>RUN-FLMP_2022-03-03_RFR-093</v>
      </c>
      <c r="C822" s="10">
        <f>VLOOKUP(B822,'Run Reconcile'!A$2:B1579,2,FALSE)</f>
        <v>44623</v>
      </c>
      <c r="D822" s="14">
        <f>IFERROR(__xludf.DUMMYFUNCTION("""COMPUTED_VALUE"""),44623.0)</f>
        <v>44623</v>
      </c>
      <c r="E822" s="15">
        <f>IFERROR(__xludf.DUMMYFUNCTION("""COMPUTED_VALUE"""),0.3532407407401479)</f>
        <v>0.3532407407</v>
      </c>
      <c r="F822" s="8" t="str">
        <f>IFERROR(__xludf.DUMMYFUNCTION("""COMPUTED_VALUE"""),"Negative")</f>
        <v>Negative</v>
      </c>
      <c r="G822" s="16">
        <f>IFERROR(__xludf.DUMMYFUNCTION("""COMPUTED_VALUE"""),2.0)</f>
        <v>2</v>
      </c>
      <c r="H822" s="8" t="str">
        <f>IFERROR(__xludf.DUMMYFUNCTION("""COMPUTED_VALUE"""),"CRLN")</f>
        <v>CRLN</v>
      </c>
    </row>
    <row r="823">
      <c r="A823" s="8" t="str">
        <f>IFERROR(__xludf.DUMMYFUNCTION("""COMPUTED_VALUE"""),"FLB6549")</f>
        <v>FLB6549</v>
      </c>
      <c r="B823" s="8" t="str">
        <f>IFERROR(__xludf.DUMMYFUNCTION("""COMPUTED_VALUE"""),"RUN-FLMP_2022-03-03_RFR-093")</f>
        <v>RUN-FLMP_2022-03-03_RFR-093</v>
      </c>
      <c r="C823" s="10">
        <f>VLOOKUP(B823,'Run Reconcile'!A$2:B1579,2,FALSE)</f>
        <v>44623</v>
      </c>
      <c r="D823" s="14">
        <f>IFERROR(__xludf.DUMMYFUNCTION("""COMPUTED_VALUE"""),44623.0)</f>
        <v>44623</v>
      </c>
      <c r="E823" s="15">
        <f>IFERROR(__xludf.DUMMYFUNCTION("""COMPUTED_VALUE"""),0.3535185185173759)</f>
        <v>0.3535185185</v>
      </c>
      <c r="F823" s="8" t="str">
        <f>IFERROR(__xludf.DUMMYFUNCTION("""COMPUTED_VALUE"""),"Negative")</f>
        <v>Negative</v>
      </c>
      <c r="G823" s="16">
        <f>IFERROR(__xludf.DUMMYFUNCTION("""COMPUTED_VALUE"""),1.0)</f>
        <v>1</v>
      </c>
      <c r="H823" s="8" t="str">
        <f>IFERROR(__xludf.DUMMYFUNCTION("""COMPUTED_VALUE"""),"CRLN")</f>
        <v>CRLN</v>
      </c>
    </row>
    <row r="824">
      <c r="A824" s="8" t="str">
        <f>IFERROR(__xludf.DUMMYFUNCTION("""COMPUTED_VALUE"""),"FLB6774")</f>
        <v>FLB6774</v>
      </c>
      <c r="B824" s="8" t="str">
        <f>IFERROR(__xludf.DUMMYFUNCTION("""COMPUTED_VALUE"""),"RUN-FLMP_2022-03-03_RFR-093")</f>
        <v>RUN-FLMP_2022-03-03_RFR-093</v>
      </c>
      <c r="C824" s="10">
        <f>VLOOKUP(B824,'Run Reconcile'!A$2:B1579,2,FALSE)</f>
        <v>44623</v>
      </c>
      <c r="D824" s="14">
        <f>IFERROR(__xludf.DUMMYFUNCTION("""COMPUTED_VALUE"""),44623.0)</f>
        <v>44623</v>
      </c>
      <c r="E824" s="15">
        <f>IFERROR(__xludf.DUMMYFUNCTION("""COMPUTED_VALUE"""),0.3559606481467199)</f>
        <v>0.3559606481</v>
      </c>
      <c r="F824" s="8" t="str">
        <f>IFERROR(__xludf.DUMMYFUNCTION("""COMPUTED_VALUE"""),"Negative")</f>
        <v>Negative</v>
      </c>
      <c r="G824" s="16">
        <f>IFERROR(__xludf.DUMMYFUNCTION("""COMPUTED_VALUE"""),4.0)</f>
        <v>4</v>
      </c>
      <c r="H824" s="8" t="str">
        <f>IFERROR(__xludf.DUMMYFUNCTION("""COMPUTED_VALUE"""),"CRLN")</f>
        <v>CRLN</v>
      </c>
    </row>
    <row r="825">
      <c r="A825" s="8" t="str">
        <f>IFERROR(__xludf.DUMMYFUNCTION("""COMPUTED_VALUE"""),"FLB4793")</f>
        <v>FLB4793</v>
      </c>
      <c r="B825" s="8" t="str">
        <f>IFERROR(__xludf.DUMMYFUNCTION("""COMPUTED_VALUE"""),"RUN-FLMP_2022-03-03_RFR-093")</f>
        <v>RUN-FLMP_2022-03-03_RFR-093</v>
      </c>
      <c r="C825" s="10">
        <f>VLOOKUP(B825,'Run Reconcile'!A$2:B1579,2,FALSE)</f>
        <v>44623</v>
      </c>
      <c r="D825" s="14">
        <f>IFERROR(__xludf.DUMMYFUNCTION("""COMPUTED_VALUE"""),44623.0)</f>
        <v>44623</v>
      </c>
      <c r="E825" s="15">
        <f>IFERROR(__xludf.DUMMYFUNCTION("""COMPUTED_VALUE"""),0.36142361110978527)</f>
        <v>0.3614236111</v>
      </c>
      <c r="F825" s="8" t="str">
        <f>IFERROR(__xludf.DUMMYFUNCTION("""COMPUTED_VALUE"""),"Negative")</f>
        <v>Negative</v>
      </c>
      <c r="G825" s="16">
        <f>IFERROR(__xludf.DUMMYFUNCTION("""COMPUTED_VALUE"""),3.0)</f>
        <v>3</v>
      </c>
      <c r="H825" s="8" t="str">
        <f>IFERROR(__xludf.DUMMYFUNCTION("""COMPUTED_VALUE"""),"CRLN")</f>
        <v>CRLN</v>
      </c>
    </row>
    <row r="826">
      <c r="A826" s="8" t="str">
        <f>IFERROR(__xludf.DUMMYFUNCTION("""COMPUTED_VALUE"""),"FLB7389")</f>
        <v>FLB7389</v>
      </c>
      <c r="B826" s="8" t="str">
        <f>IFERROR(__xludf.DUMMYFUNCTION("""COMPUTED_VALUE"""),"RUN-FLMP_2022-03-03_RFR-093")</f>
        <v>RUN-FLMP_2022-03-03_RFR-093</v>
      </c>
      <c r="C826" s="10">
        <f>VLOOKUP(B826,'Run Reconcile'!A$2:B1579,2,FALSE)</f>
        <v>44623</v>
      </c>
      <c r="D826" s="14">
        <f>IFERROR(__xludf.DUMMYFUNCTION("""COMPUTED_VALUE"""),44623.0)</f>
        <v>44623</v>
      </c>
      <c r="E826" s="15">
        <f>IFERROR(__xludf.DUMMYFUNCTION("""COMPUTED_VALUE"""),0.3666319444455439)</f>
        <v>0.3666319444</v>
      </c>
      <c r="F826" s="8" t="str">
        <f>IFERROR(__xludf.DUMMYFUNCTION("""COMPUTED_VALUE"""),"Negative")</f>
        <v>Negative</v>
      </c>
      <c r="G826" s="16">
        <f>IFERROR(__xludf.DUMMYFUNCTION("""COMPUTED_VALUE"""),2.0)</f>
        <v>2</v>
      </c>
      <c r="H826" s="8" t="str">
        <f>IFERROR(__xludf.DUMMYFUNCTION("""COMPUTED_VALUE"""),"CRLN")</f>
        <v>CRLN</v>
      </c>
    </row>
    <row r="827">
      <c r="A827" s="8" t="str">
        <f>IFERROR(__xludf.DUMMYFUNCTION("""COMPUTED_VALUE"""),"FLT1202")</f>
        <v>FLT1202</v>
      </c>
      <c r="B827" s="8" t="str">
        <f>IFERROR(__xludf.DUMMYFUNCTION("""COMPUTED_VALUE"""),"RUN-FLMP_2022-03-03_RFR-093")</f>
        <v>RUN-FLMP_2022-03-03_RFR-093</v>
      </c>
      <c r="C827" s="10">
        <f>VLOOKUP(B827,'Run Reconcile'!A$2:B1579,2,FALSE)</f>
        <v>44623</v>
      </c>
      <c r="D827" s="14">
        <f>IFERROR(__xludf.DUMMYFUNCTION("""COMPUTED_VALUE"""),44623.0)</f>
        <v>44623</v>
      </c>
      <c r="E827" s="15">
        <f>IFERROR(__xludf.DUMMYFUNCTION("""COMPUTED_VALUE"""),0.3671064814807323)</f>
        <v>0.3671064815</v>
      </c>
      <c r="F827" s="8" t="str">
        <f>IFERROR(__xludf.DUMMYFUNCTION("""COMPUTED_VALUE"""),"Negative")</f>
        <v>Negative</v>
      </c>
      <c r="G827" s="16">
        <f>IFERROR(__xludf.DUMMYFUNCTION("""COMPUTED_VALUE"""),1.0)</f>
        <v>1</v>
      </c>
      <c r="H827" s="8" t="str">
        <f>IFERROR(__xludf.DUMMYFUNCTION("""COMPUTED_VALUE"""),"CRLN")</f>
        <v>CRLN</v>
      </c>
    </row>
    <row r="828">
      <c r="A828" s="8" t="str">
        <f>IFERROR(__xludf.DUMMYFUNCTION("""COMPUTED_VALUE"""),"FLB5755")</f>
        <v>FLB5755</v>
      </c>
      <c r="B828" s="8" t="str">
        <f>IFERROR(__xludf.DUMMYFUNCTION("""COMPUTED_VALUE"""),"RUN-FLMP_2022-03-03_RFR-093")</f>
        <v>RUN-FLMP_2022-03-03_RFR-093</v>
      </c>
      <c r="C828" s="10">
        <f>VLOOKUP(B828,'Run Reconcile'!A$2:B1579,2,FALSE)</f>
        <v>44623</v>
      </c>
      <c r="D828" s="14">
        <f>IFERROR(__xludf.DUMMYFUNCTION("""COMPUTED_VALUE"""),44623.0)</f>
        <v>44623</v>
      </c>
      <c r="E828" s="15">
        <f>IFERROR(__xludf.DUMMYFUNCTION("""COMPUTED_VALUE"""),0.3709374999998545)</f>
        <v>0.3709375</v>
      </c>
      <c r="F828" s="8" t="str">
        <f>IFERROR(__xludf.DUMMYFUNCTION("""COMPUTED_VALUE"""),"Negative")</f>
        <v>Negative</v>
      </c>
      <c r="G828" s="16">
        <f>IFERROR(__xludf.DUMMYFUNCTION("""COMPUTED_VALUE"""),3.0)</f>
        <v>3</v>
      </c>
      <c r="H828" s="8" t="str">
        <f>IFERROR(__xludf.DUMMYFUNCTION("""COMPUTED_VALUE"""),"CRLN")</f>
        <v>CRLN</v>
      </c>
    </row>
    <row r="829">
      <c r="A829" s="8" t="str">
        <f>IFERROR(__xludf.DUMMYFUNCTION("""COMPUTED_VALUE"""),"FLT1186")</f>
        <v>FLT1186</v>
      </c>
      <c r="B829" s="8" t="str">
        <f>IFERROR(__xludf.DUMMYFUNCTION("""COMPUTED_VALUE"""),"RUN-FLMP_2022-03-03_RFR-093")</f>
        <v>RUN-FLMP_2022-03-03_RFR-093</v>
      </c>
      <c r="C829" s="10">
        <f>VLOOKUP(B829,'Run Reconcile'!A$2:B1579,2,FALSE)</f>
        <v>44623</v>
      </c>
      <c r="D829" s="14">
        <f>IFERROR(__xludf.DUMMYFUNCTION("""COMPUTED_VALUE"""),44623.0)</f>
        <v>44623</v>
      </c>
      <c r="E829" s="15">
        <f>IFERROR(__xludf.DUMMYFUNCTION("""COMPUTED_VALUE"""),0.37417824074145756)</f>
        <v>0.3741782407</v>
      </c>
      <c r="F829" s="8" t="str">
        <f>IFERROR(__xludf.DUMMYFUNCTION("""COMPUTED_VALUE"""),"Negative")</f>
        <v>Negative</v>
      </c>
      <c r="G829" s="16">
        <f>IFERROR(__xludf.DUMMYFUNCTION("""COMPUTED_VALUE"""),3.0)</f>
        <v>3</v>
      </c>
      <c r="H829" s="8" t="str">
        <f>IFERROR(__xludf.DUMMYFUNCTION("""COMPUTED_VALUE"""),"CRLN")</f>
        <v>CRLN</v>
      </c>
    </row>
    <row r="830">
      <c r="A830" s="8" t="str">
        <f>IFERROR(__xludf.DUMMYFUNCTION("""COMPUTED_VALUE"""),"FLB6868")</f>
        <v>FLB6868</v>
      </c>
      <c r="B830" s="8" t="str">
        <f>IFERROR(__xludf.DUMMYFUNCTION("""COMPUTED_VALUE"""),"RUN-FLMP_2022-03-03_RFR-093")</f>
        <v>RUN-FLMP_2022-03-03_RFR-093</v>
      </c>
      <c r="C830" s="10">
        <f>VLOOKUP(B830,'Run Reconcile'!A$2:B1579,2,FALSE)</f>
        <v>44623</v>
      </c>
      <c r="D830" s="14">
        <f>IFERROR(__xludf.DUMMYFUNCTION("""COMPUTED_VALUE"""),44623.0)</f>
        <v>44623</v>
      </c>
      <c r="E830" s="15">
        <f>IFERROR(__xludf.DUMMYFUNCTION("""COMPUTED_VALUE"""),0.37545138888890506)</f>
        <v>0.3754513889</v>
      </c>
      <c r="F830" s="8" t="str">
        <f>IFERROR(__xludf.DUMMYFUNCTION("""COMPUTED_VALUE"""),"Negative")</f>
        <v>Negative</v>
      </c>
      <c r="G830" s="16">
        <f>IFERROR(__xludf.DUMMYFUNCTION("""COMPUTED_VALUE"""),1.0)</f>
        <v>1</v>
      </c>
      <c r="H830" s="8" t="str">
        <f>IFERROR(__xludf.DUMMYFUNCTION("""COMPUTED_VALUE"""),"CRLN")</f>
        <v>CRLN</v>
      </c>
    </row>
    <row r="831">
      <c r="A831" s="8" t="str">
        <f>IFERROR(__xludf.DUMMYFUNCTION("""COMPUTED_VALUE"""),"FLB5433")</f>
        <v>FLB5433</v>
      </c>
      <c r="B831" s="8" t="str">
        <f>IFERROR(__xludf.DUMMYFUNCTION("""COMPUTED_VALUE"""),"RUN-FLMP_2022-03-07_RFR-096")</f>
        <v>RUN-FLMP_2022-03-07_RFR-096</v>
      </c>
      <c r="C831" s="10">
        <f>VLOOKUP(B831,'Run Reconcile'!A$2:B1579,2,FALSE)</f>
        <v>44627</v>
      </c>
      <c r="D831" s="14">
        <f>IFERROR(__xludf.DUMMYFUNCTION("""COMPUTED_VALUE"""),44626.0)</f>
        <v>44626</v>
      </c>
      <c r="E831" s="15">
        <f>IFERROR(__xludf.DUMMYFUNCTION("""COMPUTED_VALUE"""),0.5173958333325572)</f>
        <v>0.5173958333</v>
      </c>
      <c r="F831" s="8" t="str">
        <f>IFERROR(__xludf.DUMMYFUNCTION("""COMPUTED_VALUE"""),"Negative")</f>
        <v>Negative</v>
      </c>
      <c r="G831" s="16">
        <f>IFERROR(__xludf.DUMMYFUNCTION("""COMPUTED_VALUE"""),4.0)</f>
        <v>4</v>
      </c>
      <c r="H831" s="8" t="str">
        <f>IFERROR(__xludf.DUMMYFUNCTION("""COMPUTED_VALUE"""),"CRLN")</f>
        <v>CRLN</v>
      </c>
    </row>
    <row r="832">
      <c r="A832" s="8" t="str">
        <f>IFERROR(__xludf.DUMMYFUNCTION("""COMPUTED_VALUE"""),"FLB4929")</f>
        <v>FLB4929</v>
      </c>
      <c r="B832" s="8" t="str">
        <f>IFERROR(__xludf.DUMMYFUNCTION("""COMPUTED_VALUE"""),"RUN-FLMP_2022-03-07_RFR-096")</f>
        <v>RUN-FLMP_2022-03-07_RFR-096</v>
      </c>
      <c r="C832" s="10">
        <f>VLOOKUP(B832,'Run Reconcile'!A$2:B1579,2,FALSE)</f>
        <v>44627</v>
      </c>
      <c r="D832" s="14">
        <f>IFERROR(__xludf.DUMMYFUNCTION("""COMPUTED_VALUE"""),44626.0)</f>
        <v>44626</v>
      </c>
      <c r="E832" s="15">
        <f>IFERROR(__xludf.DUMMYFUNCTION("""COMPUTED_VALUE"""),0.5494444444448163)</f>
        <v>0.5494444444</v>
      </c>
      <c r="F832" s="8" t="str">
        <f>IFERROR(__xludf.DUMMYFUNCTION("""COMPUTED_VALUE"""),"Negative")</f>
        <v>Negative</v>
      </c>
      <c r="G832" s="16">
        <f>IFERROR(__xludf.DUMMYFUNCTION("""COMPUTED_VALUE"""),3.0)</f>
        <v>3</v>
      </c>
      <c r="H832" s="8" t="str">
        <f>IFERROR(__xludf.DUMMYFUNCTION("""COMPUTED_VALUE"""),"CRLN")</f>
        <v>CRLN</v>
      </c>
    </row>
    <row r="833">
      <c r="A833" s="8" t="str">
        <f>IFERROR(__xludf.DUMMYFUNCTION("""COMPUTED_VALUE"""),"FLB5437")</f>
        <v>FLB5437</v>
      </c>
      <c r="B833" s="8" t="str">
        <f>IFERROR(__xludf.DUMMYFUNCTION("""COMPUTED_VALUE"""),"RUN-FLMP_2022-03-07_RFR-096")</f>
        <v>RUN-FLMP_2022-03-07_RFR-096</v>
      </c>
      <c r="C833" s="10">
        <f>VLOOKUP(B833,'Run Reconcile'!A$2:B1579,2,FALSE)</f>
        <v>44627</v>
      </c>
      <c r="D833" s="14">
        <f>IFERROR(__xludf.DUMMYFUNCTION("""COMPUTED_VALUE"""),44626.0)</f>
        <v>44626</v>
      </c>
      <c r="E833" s="15">
        <f>IFERROR(__xludf.DUMMYFUNCTION("""COMPUTED_VALUE"""),0.7900925925932825)</f>
        <v>0.7900925926</v>
      </c>
      <c r="F833" s="8" t="str">
        <f>IFERROR(__xludf.DUMMYFUNCTION("""COMPUTED_VALUE"""),"Negative")</f>
        <v>Negative</v>
      </c>
      <c r="G833" s="16">
        <f>IFERROR(__xludf.DUMMYFUNCTION("""COMPUTED_VALUE"""),1.0)</f>
        <v>1</v>
      </c>
      <c r="H833" s="8" t="str">
        <f>IFERROR(__xludf.DUMMYFUNCTION("""COMPUTED_VALUE"""),"CRLN")</f>
        <v>CRLN</v>
      </c>
    </row>
    <row r="834">
      <c r="A834" s="8" t="str">
        <f>IFERROR(__xludf.DUMMYFUNCTION("""COMPUTED_VALUE"""),"FLE839")</f>
        <v>FLE839</v>
      </c>
      <c r="B834" s="8" t="str">
        <f>IFERROR(__xludf.DUMMYFUNCTION("""COMPUTED_VALUE"""),"RUN-FLMP_2022-03-07_RFR-096")</f>
        <v>RUN-FLMP_2022-03-07_RFR-096</v>
      </c>
      <c r="C834" s="10">
        <f>VLOOKUP(B834,'Run Reconcile'!A$2:B1579,2,FALSE)</f>
        <v>44627</v>
      </c>
      <c r="D834" s="14">
        <f>IFERROR(__xludf.DUMMYFUNCTION("""COMPUTED_VALUE"""),44626.0)</f>
        <v>44626</v>
      </c>
      <c r="E834" s="15">
        <f>IFERROR(__xludf.DUMMYFUNCTION("""COMPUTED_VALUE"""),0.8345486111102218)</f>
        <v>0.8345486111</v>
      </c>
      <c r="F834" s="8" t="str">
        <f>IFERROR(__xludf.DUMMYFUNCTION("""COMPUTED_VALUE"""),"Negative")</f>
        <v>Negative</v>
      </c>
      <c r="G834" s="16">
        <f>IFERROR(__xludf.DUMMYFUNCTION("""COMPUTED_VALUE"""),1.0)</f>
        <v>1</v>
      </c>
      <c r="H834" s="8" t="str">
        <f>IFERROR(__xludf.DUMMYFUNCTION("""COMPUTED_VALUE"""),"CRLN")</f>
        <v>CRLN</v>
      </c>
    </row>
    <row r="835">
      <c r="A835" s="8" t="str">
        <f>IFERROR(__xludf.DUMMYFUNCTION("""COMPUTED_VALUE"""),"FLB4792")</f>
        <v>FLB4792</v>
      </c>
      <c r="B835" s="8" t="str">
        <f>IFERROR(__xludf.DUMMYFUNCTION("""COMPUTED_VALUE"""),"RUN-FLMP_2022-03-07_RFR-096")</f>
        <v>RUN-FLMP_2022-03-07_RFR-096</v>
      </c>
      <c r="C835" s="10">
        <f>VLOOKUP(B835,'Run Reconcile'!A$2:B1579,2,FALSE)</f>
        <v>44627</v>
      </c>
      <c r="D835" s="14">
        <f>IFERROR(__xludf.DUMMYFUNCTION("""COMPUTED_VALUE"""),44626.0)</f>
        <v>44626</v>
      </c>
      <c r="E835" s="15">
        <f>IFERROR(__xludf.DUMMYFUNCTION("""COMPUTED_VALUE"""),0.8406828703700739)</f>
        <v>0.8406828704</v>
      </c>
      <c r="F835" s="8" t="str">
        <f>IFERROR(__xludf.DUMMYFUNCTION("""COMPUTED_VALUE"""),"Negative")</f>
        <v>Negative</v>
      </c>
      <c r="G835" s="16">
        <f>IFERROR(__xludf.DUMMYFUNCTION("""COMPUTED_VALUE"""),3.0)</f>
        <v>3</v>
      </c>
      <c r="H835" s="8" t="str">
        <f>IFERROR(__xludf.DUMMYFUNCTION("""COMPUTED_VALUE"""),"CRLN")</f>
        <v>CRLN</v>
      </c>
    </row>
    <row r="836">
      <c r="A836" s="8" t="str">
        <f>IFERROR(__xludf.DUMMYFUNCTION("""COMPUTED_VALUE"""),"FLB6758")</f>
        <v>FLB6758</v>
      </c>
      <c r="B836" s="8" t="str">
        <f>IFERROR(__xludf.DUMMYFUNCTION("""COMPUTED_VALUE"""),"RUN-FLMP_2022-03-07_RFR-096")</f>
        <v>RUN-FLMP_2022-03-07_RFR-096</v>
      </c>
      <c r="C836" s="10">
        <f>VLOOKUP(B836,'Run Reconcile'!A$2:B1579,2,FALSE)</f>
        <v>44627</v>
      </c>
      <c r="D836" s="14">
        <f>IFERROR(__xludf.DUMMYFUNCTION("""COMPUTED_VALUE"""),44627.0)</f>
        <v>44627</v>
      </c>
      <c r="E836" s="15">
        <f>IFERROR(__xludf.DUMMYFUNCTION("""COMPUTED_VALUE"""),0.24590277777679148)</f>
        <v>0.2459027778</v>
      </c>
      <c r="F836" s="8" t="str">
        <f>IFERROR(__xludf.DUMMYFUNCTION("""COMPUTED_VALUE"""),"Negative")</f>
        <v>Negative</v>
      </c>
      <c r="G836" s="16">
        <f>IFERROR(__xludf.DUMMYFUNCTION("""COMPUTED_VALUE"""),1.0)</f>
        <v>1</v>
      </c>
      <c r="H836" s="8" t="str">
        <f>IFERROR(__xludf.DUMMYFUNCTION("""COMPUTED_VALUE"""),"CRLN")</f>
        <v>CRLN</v>
      </c>
    </row>
    <row r="837">
      <c r="A837" s="8" t="str">
        <f>IFERROR(__xludf.DUMMYFUNCTION("""COMPUTED_VALUE"""),"FLB6547")</f>
        <v>FLB6547</v>
      </c>
      <c r="B837" s="8" t="str">
        <f>IFERROR(__xludf.DUMMYFUNCTION("""COMPUTED_VALUE"""),"RUN-FLMP_2022-03-07_RFR-096")</f>
        <v>RUN-FLMP_2022-03-07_RFR-096</v>
      </c>
      <c r="C837" s="10">
        <f>VLOOKUP(B837,'Run Reconcile'!A$2:B1579,2,FALSE)</f>
        <v>44627</v>
      </c>
      <c r="D837" s="14">
        <f>IFERROR(__xludf.DUMMYFUNCTION("""COMPUTED_VALUE"""),44627.0)</f>
        <v>44627</v>
      </c>
      <c r="E837" s="15">
        <f>IFERROR(__xludf.DUMMYFUNCTION("""COMPUTED_VALUE"""),0.28835648148015025)</f>
        <v>0.2883564815</v>
      </c>
      <c r="F837" s="8" t="str">
        <f>IFERROR(__xludf.DUMMYFUNCTION("""COMPUTED_VALUE"""),"Negative")</f>
        <v>Negative</v>
      </c>
      <c r="G837" s="16">
        <f>IFERROR(__xludf.DUMMYFUNCTION("""COMPUTED_VALUE"""),3.0)</f>
        <v>3</v>
      </c>
      <c r="H837" s="8" t="str">
        <f>IFERROR(__xludf.DUMMYFUNCTION("""COMPUTED_VALUE"""),"CRLN")</f>
        <v>CRLN</v>
      </c>
    </row>
    <row r="838">
      <c r="A838" s="8" t="str">
        <f>IFERROR(__xludf.DUMMYFUNCTION("""COMPUTED_VALUE"""),"FLE847")</f>
        <v>FLE847</v>
      </c>
      <c r="B838" s="8" t="str">
        <f>IFERROR(__xludf.DUMMYFUNCTION("""COMPUTED_VALUE"""),"RUN-FLMP_2022-03-07_RFR-096")</f>
        <v>RUN-FLMP_2022-03-07_RFR-096</v>
      </c>
      <c r="C838" s="10">
        <f>VLOOKUP(B838,'Run Reconcile'!A$2:B1579,2,FALSE)</f>
        <v>44627</v>
      </c>
      <c r="D838" s="14">
        <f>IFERROR(__xludf.DUMMYFUNCTION("""COMPUTED_VALUE"""),44627.0)</f>
        <v>44627</v>
      </c>
      <c r="E838" s="15">
        <f>IFERROR(__xludf.DUMMYFUNCTION("""COMPUTED_VALUE"""),0.3012037037042319)</f>
        <v>0.3012037037</v>
      </c>
      <c r="F838" s="8" t="str">
        <f>IFERROR(__xludf.DUMMYFUNCTION("""COMPUTED_VALUE"""),"Negative")</f>
        <v>Negative</v>
      </c>
      <c r="G838" s="16">
        <f>IFERROR(__xludf.DUMMYFUNCTION("""COMPUTED_VALUE"""),2.0)</f>
        <v>2</v>
      </c>
      <c r="H838" s="8" t="str">
        <f>IFERROR(__xludf.DUMMYFUNCTION("""COMPUTED_VALUE"""),"CRLN")</f>
        <v>CRLN</v>
      </c>
    </row>
    <row r="839">
      <c r="A839" s="8" t="str">
        <f>IFERROR(__xludf.DUMMYFUNCTION("""COMPUTED_VALUE"""),"FLB5778")</f>
        <v>FLB5778</v>
      </c>
      <c r="B839" s="8" t="str">
        <f>IFERROR(__xludf.DUMMYFUNCTION("""COMPUTED_VALUE"""),"RUN-FLMP_2022-03-07_RFR-096")</f>
        <v>RUN-FLMP_2022-03-07_RFR-096</v>
      </c>
      <c r="C839" s="10">
        <f>VLOOKUP(B839,'Run Reconcile'!A$2:B1579,2,FALSE)</f>
        <v>44627</v>
      </c>
      <c r="D839" s="14">
        <f>IFERROR(__xludf.DUMMYFUNCTION("""COMPUTED_VALUE"""),44627.0)</f>
        <v>44627</v>
      </c>
      <c r="E839" s="15">
        <f>IFERROR(__xludf.DUMMYFUNCTION("""COMPUTED_VALUE"""),0.3061458333322662)</f>
        <v>0.3061458333</v>
      </c>
      <c r="F839" s="8" t="str">
        <f>IFERROR(__xludf.DUMMYFUNCTION("""COMPUTED_VALUE"""),"Negative")</f>
        <v>Negative</v>
      </c>
      <c r="G839" s="16">
        <f>IFERROR(__xludf.DUMMYFUNCTION("""COMPUTED_VALUE"""),3.0)</f>
        <v>3</v>
      </c>
      <c r="H839" s="8" t="str">
        <f>IFERROR(__xludf.DUMMYFUNCTION("""COMPUTED_VALUE"""),"CRLN")</f>
        <v>CRLN</v>
      </c>
    </row>
    <row r="840">
      <c r="A840" s="8" t="str">
        <f>IFERROR(__xludf.DUMMYFUNCTION("""COMPUTED_VALUE"""),"FLB6839")</f>
        <v>FLB6839</v>
      </c>
      <c r="B840" s="8" t="str">
        <f>IFERROR(__xludf.DUMMYFUNCTION("""COMPUTED_VALUE"""),"RUN-FLMP_2022-03-07_RFR-096")</f>
        <v>RUN-FLMP_2022-03-07_RFR-096</v>
      </c>
      <c r="C840" s="10">
        <f>VLOOKUP(B840,'Run Reconcile'!A$2:B1579,2,FALSE)</f>
        <v>44627</v>
      </c>
      <c r="D840" s="14">
        <f>IFERROR(__xludf.DUMMYFUNCTION("""COMPUTED_VALUE"""),44627.0)</f>
        <v>44627</v>
      </c>
      <c r="E840" s="15">
        <f>IFERROR(__xludf.DUMMYFUNCTION("""COMPUTED_VALUE"""),0.3064351851862739)</f>
        <v>0.3064351852</v>
      </c>
      <c r="F840" s="8" t="str">
        <f>IFERROR(__xludf.DUMMYFUNCTION("""COMPUTED_VALUE"""),"Negative")</f>
        <v>Negative</v>
      </c>
      <c r="G840" s="16">
        <f>IFERROR(__xludf.DUMMYFUNCTION("""COMPUTED_VALUE"""),4.0)</f>
        <v>4</v>
      </c>
      <c r="H840" s="8" t="str">
        <f>IFERROR(__xludf.DUMMYFUNCTION("""COMPUTED_VALUE"""),"CRLN")</f>
        <v>CRLN</v>
      </c>
    </row>
    <row r="841">
      <c r="A841" s="8" t="str">
        <f>IFERROR(__xludf.DUMMYFUNCTION("""COMPUTED_VALUE"""),"FLB4908")</f>
        <v>FLB4908</v>
      </c>
      <c r="B841" s="8" t="str">
        <f>IFERROR(__xludf.DUMMYFUNCTION("""COMPUTED_VALUE"""),"RUN-FLMP_2022-03-07_RFR-096")</f>
        <v>RUN-FLMP_2022-03-07_RFR-096</v>
      </c>
      <c r="C841" s="10">
        <f>VLOOKUP(B841,'Run Reconcile'!A$2:B1579,2,FALSE)</f>
        <v>44627</v>
      </c>
      <c r="D841" s="14">
        <f>IFERROR(__xludf.DUMMYFUNCTION("""COMPUTED_VALUE"""),44627.0)</f>
        <v>44627</v>
      </c>
      <c r="E841" s="15">
        <f>IFERROR(__xludf.DUMMYFUNCTION("""COMPUTED_VALUE"""),0.33342592592453)</f>
        <v>0.3334259259</v>
      </c>
      <c r="F841" s="8" t="str">
        <f>IFERROR(__xludf.DUMMYFUNCTION("""COMPUTED_VALUE"""),"Negative")</f>
        <v>Negative</v>
      </c>
      <c r="G841" s="16">
        <f>IFERROR(__xludf.DUMMYFUNCTION("""COMPUTED_VALUE"""),1.0)</f>
        <v>1</v>
      </c>
      <c r="H841" s="8" t="str">
        <f>IFERROR(__xludf.DUMMYFUNCTION("""COMPUTED_VALUE"""),"CRLN")</f>
        <v>CRLN</v>
      </c>
    </row>
    <row r="842">
      <c r="A842" s="8" t="str">
        <f>IFERROR(__xludf.DUMMYFUNCTION("""COMPUTED_VALUE"""),"FLB4965")</f>
        <v>FLB4965</v>
      </c>
      <c r="B842" s="8" t="str">
        <f>IFERROR(__xludf.DUMMYFUNCTION("""COMPUTED_VALUE"""),"RUN-FLMP_2022-03-07_RFR-096")</f>
        <v>RUN-FLMP_2022-03-07_RFR-096</v>
      </c>
      <c r="C842" s="10">
        <f>VLOOKUP(B842,'Run Reconcile'!A$2:B1579,2,FALSE)</f>
        <v>44627</v>
      </c>
      <c r="D842" s="14">
        <f>IFERROR(__xludf.DUMMYFUNCTION("""COMPUTED_VALUE"""),44627.0)</f>
        <v>44627</v>
      </c>
      <c r="E842" s="15">
        <f>IFERROR(__xludf.DUMMYFUNCTION("""COMPUTED_VALUE"""),0.3337152777785377)</f>
        <v>0.3337152778</v>
      </c>
      <c r="F842" s="8" t="str">
        <f>IFERROR(__xludf.DUMMYFUNCTION("""COMPUTED_VALUE"""),"Negative")</f>
        <v>Negative</v>
      </c>
      <c r="G842" s="16">
        <f>IFERROR(__xludf.DUMMYFUNCTION("""COMPUTED_VALUE"""),2.0)</f>
        <v>2</v>
      </c>
      <c r="H842" s="8" t="str">
        <f>IFERROR(__xludf.DUMMYFUNCTION("""COMPUTED_VALUE"""),"CRLN")</f>
        <v>CRLN</v>
      </c>
    </row>
    <row r="843">
      <c r="A843" s="8" t="str">
        <f>IFERROR(__xludf.DUMMYFUNCTION("""COMPUTED_VALUE"""),"FLE253")</f>
        <v>FLE253</v>
      </c>
      <c r="B843" s="8" t="str">
        <f>IFERROR(__xludf.DUMMYFUNCTION("""COMPUTED_VALUE"""),"RUN-FLMP_2022-03-07_RFR-096")</f>
        <v>RUN-FLMP_2022-03-07_RFR-096</v>
      </c>
      <c r="C843" s="10">
        <f>VLOOKUP(B843,'Run Reconcile'!A$2:B1579,2,FALSE)</f>
        <v>44627</v>
      </c>
      <c r="D843" s="14">
        <f>IFERROR(__xludf.DUMMYFUNCTION("""COMPUTED_VALUE"""),44627.0)</f>
        <v>44627</v>
      </c>
      <c r="E843" s="15">
        <f>IFERROR(__xludf.DUMMYFUNCTION("""COMPUTED_VALUE"""),0.3358564814807323)</f>
        <v>0.3358564815</v>
      </c>
      <c r="F843" s="8" t="str">
        <f>IFERROR(__xludf.DUMMYFUNCTION("""COMPUTED_VALUE"""),"Negative")</f>
        <v>Negative</v>
      </c>
      <c r="G843" s="16">
        <f>IFERROR(__xludf.DUMMYFUNCTION("""COMPUTED_VALUE"""),4.0)</f>
        <v>4</v>
      </c>
      <c r="H843" s="8" t="str">
        <f>IFERROR(__xludf.DUMMYFUNCTION("""COMPUTED_VALUE"""),"CRLN")</f>
        <v>CRLN</v>
      </c>
    </row>
    <row r="844">
      <c r="A844" s="8" t="str">
        <f>IFERROR(__xludf.DUMMYFUNCTION("""COMPUTED_VALUE"""),"FLT1498")</f>
        <v>FLT1498</v>
      </c>
      <c r="B844" s="8" t="str">
        <f>IFERROR(__xludf.DUMMYFUNCTION("""COMPUTED_VALUE"""),"RUN-FLMP_2022-03-07_RFR-096")</f>
        <v>RUN-FLMP_2022-03-07_RFR-096</v>
      </c>
      <c r="C844" s="10">
        <f>VLOOKUP(B844,'Run Reconcile'!A$2:B1579,2,FALSE)</f>
        <v>44627</v>
      </c>
      <c r="D844" s="14">
        <f>IFERROR(__xludf.DUMMYFUNCTION("""COMPUTED_VALUE"""),44627.0)</f>
        <v>44627</v>
      </c>
      <c r="E844" s="15">
        <f>IFERROR(__xludf.DUMMYFUNCTION("""COMPUTED_VALUE"""),0.3363773148157634)</f>
        <v>0.3363773148</v>
      </c>
      <c r="F844" s="8" t="str">
        <f>IFERROR(__xludf.DUMMYFUNCTION("""COMPUTED_VALUE"""),"Negative")</f>
        <v>Negative</v>
      </c>
      <c r="G844" s="16">
        <f>IFERROR(__xludf.DUMMYFUNCTION("""COMPUTED_VALUE"""),3.0)</f>
        <v>3</v>
      </c>
      <c r="H844" s="8" t="str">
        <f>IFERROR(__xludf.DUMMYFUNCTION("""COMPUTED_VALUE"""),"CRLN")</f>
        <v>CRLN</v>
      </c>
    </row>
    <row r="845">
      <c r="A845" s="8" t="str">
        <f>IFERROR(__xludf.DUMMYFUNCTION("""COMPUTED_VALUE"""),"FLB5730")</f>
        <v>FLB5730</v>
      </c>
      <c r="B845" s="8" t="str">
        <f>IFERROR(__xludf.DUMMYFUNCTION("""COMPUTED_VALUE"""),"RUN-FLMP_2022-03-07_RFR-096")</f>
        <v>RUN-FLMP_2022-03-07_RFR-096</v>
      </c>
      <c r="C845" s="10">
        <f>VLOOKUP(B845,'Run Reconcile'!A$2:B1579,2,FALSE)</f>
        <v>44627</v>
      </c>
      <c r="D845" s="14">
        <f>IFERROR(__xludf.DUMMYFUNCTION("""COMPUTED_VALUE"""),44627.0)</f>
        <v>44627</v>
      </c>
      <c r="E845" s="15">
        <f>IFERROR(__xludf.DUMMYFUNCTION("""COMPUTED_VALUE"""),0.3422685185178125)</f>
        <v>0.3422685185</v>
      </c>
      <c r="F845" s="8" t="str">
        <f>IFERROR(__xludf.DUMMYFUNCTION("""COMPUTED_VALUE"""),"Negative")</f>
        <v>Negative</v>
      </c>
      <c r="G845" s="16">
        <f>IFERROR(__xludf.DUMMYFUNCTION("""COMPUTED_VALUE"""),4.0)</f>
        <v>4</v>
      </c>
      <c r="H845" s="8" t="str">
        <f>IFERROR(__xludf.DUMMYFUNCTION("""COMPUTED_VALUE"""),"CRLN")</f>
        <v>CRLN</v>
      </c>
    </row>
    <row r="846">
      <c r="A846" s="8" t="str">
        <f>IFERROR(__xludf.DUMMYFUNCTION("""COMPUTED_VALUE"""),"FLB6768")</f>
        <v>FLB6768</v>
      </c>
      <c r="B846" s="8" t="str">
        <f>IFERROR(__xludf.DUMMYFUNCTION("""COMPUTED_VALUE"""),"RUN-FLMP_2022-03-07_RFR-096")</f>
        <v>RUN-FLMP_2022-03-07_RFR-096</v>
      </c>
      <c r="C846" s="10">
        <f>VLOOKUP(B846,'Run Reconcile'!A$2:B1579,2,FALSE)</f>
        <v>44627</v>
      </c>
      <c r="D846" s="14">
        <f>IFERROR(__xludf.DUMMYFUNCTION("""COMPUTED_VALUE"""),44627.0)</f>
        <v>44627</v>
      </c>
      <c r="E846" s="15">
        <f>IFERROR(__xludf.DUMMYFUNCTION("""COMPUTED_VALUE"""),0.3522569444430701)</f>
        <v>0.3522569444</v>
      </c>
      <c r="F846" s="8" t="str">
        <f>IFERROR(__xludf.DUMMYFUNCTION("""COMPUTED_VALUE"""),"Negative")</f>
        <v>Negative</v>
      </c>
      <c r="G846" s="16">
        <f>IFERROR(__xludf.DUMMYFUNCTION("""COMPUTED_VALUE"""),2.0)</f>
        <v>2</v>
      </c>
      <c r="H846" s="8" t="str">
        <f>IFERROR(__xludf.DUMMYFUNCTION("""COMPUTED_VALUE"""),"CRLN")</f>
        <v>CRLN</v>
      </c>
    </row>
    <row r="847">
      <c r="A847" s="8" t="str">
        <f>IFERROR(__xludf.DUMMYFUNCTION("""COMPUTED_VALUE"""),"FLB4798")</f>
        <v>FLB4798</v>
      </c>
      <c r="B847" s="8" t="str">
        <f>IFERROR(__xludf.DUMMYFUNCTION("""COMPUTED_VALUE"""),"RUN-FLMP_2022-03-07_RFR-096")</f>
        <v>RUN-FLMP_2022-03-07_RFR-096</v>
      </c>
      <c r="C847" s="10">
        <f>VLOOKUP(B847,'Run Reconcile'!A$2:B1579,2,FALSE)</f>
        <v>44627</v>
      </c>
      <c r="D847" s="14">
        <f>IFERROR(__xludf.DUMMYFUNCTION("""COMPUTED_VALUE"""),44627.0)</f>
        <v>44627</v>
      </c>
      <c r="E847" s="15">
        <f>IFERROR(__xludf.DUMMYFUNCTION("""COMPUTED_VALUE"""),0.35571759259255487)</f>
        <v>0.3557175926</v>
      </c>
      <c r="F847" s="8" t="str">
        <f>IFERROR(__xludf.DUMMYFUNCTION("""COMPUTED_VALUE"""),"Negative")</f>
        <v>Negative</v>
      </c>
      <c r="G847" s="16">
        <f>IFERROR(__xludf.DUMMYFUNCTION("""COMPUTED_VALUE"""),2.0)</f>
        <v>2</v>
      </c>
      <c r="H847" s="8" t="str">
        <f>IFERROR(__xludf.DUMMYFUNCTION("""COMPUTED_VALUE"""),"CRLN")</f>
        <v>CRLN</v>
      </c>
    </row>
    <row r="848">
      <c r="A848" s="8" t="str">
        <f>IFERROR(__xludf.DUMMYFUNCTION("""COMPUTED_VALUE"""),"FLB5747")</f>
        <v>FLB5747</v>
      </c>
      <c r="B848" s="8" t="str">
        <f>IFERROR(__xludf.DUMMYFUNCTION("""COMPUTED_VALUE"""),"RUN-FLMP_2022-03-07_RFR-096")</f>
        <v>RUN-FLMP_2022-03-07_RFR-096</v>
      </c>
      <c r="C848" s="10">
        <f>VLOOKUP(B848,'Run Reconcile'!A$2:B1579,2,FALSE)</f>
        <v>44627</v>
      </c>
      <c r="D848" s="14">
        <f>IFERROR(__xludf.DUMMYFUNCTION("""COMPUTED_VALUE"""),44627.0)</f>
        <v>44627</v>
      </c>
      <c r="E848" s="15">
        <f>IFERROR(__xludf.DUMMYFUNCTION("""COMPUTED_VALUE"""),0.3562152777776646)</f>
        <v>0.3562152778</v>
      </c>
      <c r="F848" s="8" t="str">
        <f>IFERROR(__xludf.DUMMYFUNCTION("""COMPUTED_VALUE"""),"Negative")</f>
        <v>Negative</v>
      </c>
      <c r="G848" s="16">
        <f>IFERROR(__xludf.DUMMYFUNCTION("""COMPUTED_VALUE"""),3.0)</f>
        <v>3</v>
      </c>
      <c r="H848" s="8" t="str">
        <f>IFERROR(__xludf.DUMMYFUNCTION("""COMPUTED_VALUE"""),"CRLN")</f>
        <v>CRLN</v>
      </c>
    </row>
    <row r="849">
      <c r="A849" s="8" t="str">
        <f>IFERROR(__xludf.DUMMYFUNCTION("""COMPUTED_VALUE"""),"FLB5753")</f>
        <v>FLB5753</v>
      </c>
      <c r="B849" s="8" t="str">
        <f>IFERROR(__xludf.DUMMYFUNCTION("""COMPUTED_VALUE"""),"RUN-FLMP_2022-03-07_RFR-096")</f>
        <v>RUN-FLMP_2022-03-07_RFR-096</v>
      </c>
      <c r="C849" s="10">
        <f>VLOOKUP(B849,'Run Reconcile'!A$2:B1579,2,FALSE)</f>
        <v>44627</v>
      </c>
      <c r="D849" s="14">
        <f>IFERROR(__xludf.DUMMYFUNCTION("""COMPUTED_VALUE"""),44627.0)</f>
        <v>44627</v>
      </c>
      <c r="E849" s="15">
        <f>IFERROR(__xludf.DUMMYFUNCTION("""COMPUTED_VALUE"""),0.35663194444350665)</f>
        <v>0.3566319444</v>
      </c>
      <c r="F849" s="8" t="str">
        <f>IFERROR(__xludf.DUMMYFUNCTION("""COMPUTED_VALUE"""),"Negative")</f>
        <v>Negative</v>
      </c>
      <c r="G849" s="16">
        <f>IFERROR(__xludf.DUMMYFUNCTION("""COMPUTED_VALUE"""),2.0)</f>
        <v>2</v>
      </c>
      <c r="H849" s="8" t="str">
        <f>IFERROR(__xludf.DUMMYFUNCTION("""COMPUTED_VALUE"""),"CRLN")</f>
        <v>CRLN</v>
      </c>
    </row>
    <row r="850">
      <c r="A850" s="8" t="str">
        <f>IFERROR(__xludf.DUMMYFUNCTION("""COMPUTED_VALUE"""),"FLB5765")</f>
        <v>FLB5765</v>
      </c>
      <c r="B850" s="8" t="str">
        <f>IFERROR(__xludf.DUMMYFUNCTION("""COMPUTED_VALUE"""),"RUN-FLMP_2022-03-07_RFR-096")</f>
        <v>RUN-FLMP_2022-03-07_RFR-096</v>
      </c>
      <c r="C850" s="10">
        <f>VLOOKUP(B850,'Run Reconcile'!A$2:B1579,2,FALSE)</f>
        <v>44627</v>
      </c>
      <c r="D850" s="14">
        <f>IFERROR(__xludf.DUMMYFUNCTION("""COMPUTED_VALUE"""),44627.0)</f>
        <v>44627</v>
      </c>
      <c r="E850" s="15">
        <f>IFERROR(__xludf.DUMMYFUNCTION("""COMPUTED_VALUE"""),0.3629745370380988)</f>
        <v>0.362974537</v>
      </c>
      <c r="F850" s="8" t="str">
        <f>IFERROR(__xludf.DUMMYFUNCTION("""COMPUTED_VALUE"""),"Negative")</f>
        <v>Negative</v>
      </c>
      <c r="G850" s="16">
        <f>IFERROR(__xludf.DUMMYFUNCTION("""COMPUTED_VALUE"""),1.0)</f>
        <v>1</v>
      </c>
      <c r="H850" s="8" t="str">
        <f>IFERROR(__xludf.DUMMYFUNCTION("""COMPUTED_VALUE"""),"CRLN")</f>
        <v>CRLN</v>
      </c>
    </row>
    <row r="851">
      <c r="A851" s="8" t="str">
        <f>IFERROR(__xludf.DUMMYFUNCTION("""COMPUTED_VALUE"""),"FLT1206")</f>
        <v>FLT1206</v>
      </c>
      <c r="B851" s="8" t="str">
        <f>IFERROR(__xludf.DUMMYFUNCTION("""COMPUTED_VALUE"""),"RUN-FLMP_2022-03-07_RFR-096")</f>
        <v>RUN-FLMP_2022-03-07_RFR-096</v>
      </c>
      <c r="C851" s="10">
        <f>VLOOKUP(B851,'Run Reconcile'!A$2:B1579,2,FALSE)</f>
        <v>44627</v>
      </c>
      <c r="D851" s="14">
        <f>IFERROR(__xludf.DUMMYFUNCTION("""COMPUTED_VALUE"""),44627.0)</f>
        <v>44627</v>
      </c>
      <c r="E851" s="15">
        <f>IFERROR(__xludf.DUMMYFUNCTION("""COMPUTED_VALUE"""),0.36483796296306537)</f>
        <v>0.364837963</v>
      </c>
      <c r="F851" s="8" t="str">
        <f>IFERROR(__xludf.DUMMYFUNCTION("""COMPUTED_VALUE"""),"Negative")</f>
        <v>Negative</v>
      </c>
      <c r="G851" s="16">
        <f>IFERROR(__xludf.DUMMYFUNCTION("""COMPUTED_VALUE"""),1.0)</f>
        <v>1</v>
      </c>
      <c r="H851" s="8" t="str">
        <f>IFERROR(__xludf.DUMMYFUNCTION("""COMPUTED_VALUE"""),"CRLN")</f>
        <v>CRLN</v>
      </c>
    </row>
    <row r="852">
      <c r="A852" s="8" t="str">
        <f>IFERROR(__xludf.DUMMYFUNCTION("""COMPUTED_VALUE"""),"FLB6862")</f>
        <v>FLB6862</v>
      </c>
      <c r="B852" s="8" t="str">
        <f>IFERROR(__xludf.DUMMYFUNCTION("""COMPUTED_VALUE"""),"RUN-FLMP_2022-03-07_RFR-096")</f>
        <v>RUN-FLMP_2022-03-07_RFR-096</v>
      </c>
      <c r="C852" s="10">
        <f>VLOOKUP(B852,'Run Reconcile'!A$2:B1579,2,FALSE)</f>
        <v>44627</v>
      </c>
      <c r="D852" s="14">
        <f>IFERROR(__xludf.DUMMYFUNCTION("""COMPUTED_VALUE"""),44627.0)</f>
        <v>44627</v>
      </c>
      <c r="E852" s="15">
        <f>IFERROR(__xludf.DUMMYFUNCTION("""COMPUTED_VALUE"""),0.3719444444432156)</f>
        <v>0.3719444444</v>
      </c>
      <c r="F852" s="8" t="str">
        <f>IFERROR(__xludf.DUMMYFUNCTION("""COMPUTED_VALUE"""),"Negative")</f>
        <v>Negative</v>
      </c>
      <c r="G852" s="16">
        <f>IFERROR(__xludf.DUMMYFUNCTION("""COMPUTED_VALUE"""),1.0)</f>
        <v>1</v>
      </c>
      <c r="H852" s="8" t="str">
        <f>IFERROR(__xludf.DUMMYFUNCTION("""COMPUTED_VALUE"""),"CRLN")</f>
        <v>CRLN</v>
      </c>
    </row>
    <row r="853">
      <c r="A853" s="8" t="str">
        <f>IFERROR(__xludf.DUMMYFUNCTION("""COMPUTED_VALUE"""),"FLB6537")</f>
        <v>FLB6537</v>
      </c>
      <c r="B853" s="8" t="str">
        <f>IFERROR(__xludf.DUMMYFUNCTION("""COMPUTED_VALUE"""),"RUN-FLMP_2022-03-07_RFR-096")</f>
        <v>RUN-FLMP_2022-03-07_RFR-096</v>
      </c>
      <c r="C853" s="10">
        <f>VLOOKUP(B853,'Run Reconcile'!A$2:B1579,2,FALSE)</f>
        <v>44627</v>
      </c>
      <c r="D853" s="14">
        <f>IFERROR(__xludf.DUMMYFUNCTION("""COMPUTED_VALUE"""),44627.0)</f>
        <v>44627</v>
      </c>
      <c r="E853" s="15">
        <f>IFERROR(__xludf.DUMMYFUNCTION("""COMPUTED_VALUE"""),0.3761921296281798)</f>
        <v>0.3761921296</v>
      </c>
      <c r="F853" s="8" t="str">
        <f>IFERROR(__xludf.DUMMYFUNCTION("""COMPUTED_VALUE"""),"Negative")</f>
        <v>Negative</v>
      </c>
      <c r="G853" s="16">
        <f>IFERROR(__xludf.DUMMYFUNCTION("""COMPUTED_VALUE"""),4.0)</f>
        <v>4</v>
      </c>
      <c r="H853" s="8" t="str">
        <f>IFERROR(__xludf.DUMMYFUNCTION("""COMPUTED_VALUE"""),"CRLN")</f>
        <v>CRLN</v>
      </c>
    </row>
    <row r="854">
      <c r="A854" s="8" t="str">
        <f>IFERROR(__xludf.DUMMYFUNCTION("""COMPUTED_VALUE"""),"FLB6544")</f>
        <v>FLB6544</v>
      </c>
      <c r="B854" s="8" t="str">
        <f>IFERROR(__xludf.DUMMYFUNCTION("""COMPUTED_VALUE"""),"RUN-FLMP_2022-03-10_RFR-098")</f>
        <v>RUN-FLMP_2022-03-10_RFR-098</v>
      </c>
      <c r="C854" s="10">
        <f>VLOOKUP(B854,'Run Reconcile'!A$2:B1579,2,FALSE)</f>
        <v>44630</v>
      </c>
      <c r="D854" s="14">
        <f>IFERROR(__xludf.DUMMYFUNCTION("""COMPUTED_VALUE"""),44629.0)</f>
        <v>44629</v>
      </c>
      <c r="E854" s="15">
        <f>IFERROR(__xludf.DUMMYFUNCTION("""COMPUTED_VALUE"""),0.7528472222220444)</f>
        <v>0.7528472222</v>
      </c>
      <c r="F854" s="8" t="str">
        <f>IFERROR(__xludf.DUMMYFUNCTION("""COMPUTED_VALUE"""),"Negative")</f>
        <v>Negative</v>
      </c>
      <c r="G854" s="16">
        <f>IFERROR(__xludf.DUMMYFUNCTION("""COMPUTED_VALUE"""),4.0)</f>
        <v>4</v>
      </c>
      <c r="H854" s="8" t="str">
        <f>IFERROR(__xludf.DUMMYFUNCTION("""COMPUTED_VALUE"""),"CRLN")</f>
        <v>CRLN</v>
      </c>
    </row>
    <row r="855">
      <c r="A855" s="8" t="str">
        <f>IFERROR(__xludf.DUMMYFUNCTION("""COMPUTED_VALUE"""),"FLB7165")</f>
        <v>FLB7165</v>
      </c>
      <c r="B855" s="8" t="str">
        <f>IFERROR(__xludf.DUMMYFUNCTION("""COMPUTED_VALUE"""),"RUN-FLMP_2022-03-10_RFR-098")</f>
        <v>RUN-FLMP_2022-03-10_RFR-098</v>
      </c>
      <c r="C855" s="10">
        <f>VLOOKUP(B855,'Run Reconcile'!A$2:B1579,2,FALSE)</f>
        <v>44630</v>
      </c>
      <c r="D855" s="14">
        <f>IFERROR(__xludf.DUMMYFUNCTION("""COMPUTED_VALUE"""),44629.0)</f>
        <v>44629</v>
      </c>
      <c r="E855" s="15">
        <f>IFERROR(__xludf.DUMMYFUNCTION("""COMPUTED_VALUE"""),0.8478703703694919)</f>
        <v>0.8478703704</v>
      </c>
      <c r="F855" s="8" t="str">
        <f>IFERROR(__xludf.DUMMYFUNCTION("""COMPUTED_VALUE"""),"Negative")</f>
        <v>Negative</v>
      </c>
      <c r="G855" s="16">
        <f>IFERROR(__xludf.DUMMYFUNCTION("""COMPUTED_VALUE"""),3.0)</f>
        <v>3</v>
      </c>
      <c r="H855" s="8" t="str">
        <f>IFERROR(__xludf.DUMMYFUNCTION("""COMPUTED_VALUE"""),"CRLN")</f>
        <v>CRLN</v>
      </c>
    </row>
    <row r="856">
      <c r="A856" s="8" t="str">
        <f>IFERROR(__xludf.DUMMYFUNCTION("""COMPUTED_VALUE"""),"FLB6787")</f>
        <v>FLB6787</v>
      </c>
      <c r="B856" s="8" t="str">
        <f>IFERROR(__xludf.DUMMYFUNCTION("""COMPUTED_VALUE"""),"RUN-FLMP_2022-03-10_RFR-098")</f>
        <v>RUN-FLMP_2022-03-10_RFR-098</v>
      </c>
      <c r="C856" s="10">
        <f>VLOOKUP(B856,'Run Reconcile'!A$2:B1579,2,FALSE)</f>
        <v>44630</v>
      </c>
      <c r="D856" s="14">
        <f>IFERROR(__xludf.DUMMYFUNCTION("""COMPUTED_VALUE"""),44630.0)</f>
        <v>44630</v>
      </c>
      <c r="E856" s="15">
        <f>IFERROR(__xludf.DUMMYFUNCTION("""COMPUTED_VALUE"""),0.0)</f>
        <v>0</v>
      </c>
      <c r="F856" s="8" t="str">
        <f>IFERROR(__xludf.DUMMYFUNCTION("""COMPUTED_VALUE"""),"Negative")</f>
        <v>Negative</v>
      </c>
      <c r="G856" s="16">
        <f>IFERROR(__xludf.DUMMYFUNCTION("""COMPUTED_VALUE"""),3.0)</f>
        <v>3</v>
      </c>
      <c r="H856" s="8" t="str">
        <f>IFERROR(__xludf.DUMMYFUNCTION("""COMPUTED_VALUE"""),"CRLN")</f>
        <v>CRLN</v>
      </c>
    </row>
    <row r="857">
      <c r="A857" s="8" t="str">
        <f>IFERROR(__xludf.DUMMYFUNCTION("""COMPUTED_VALUE"""),"FLB6867")</f>
        <v>FLB6867</v>
      </c>
      <c r="B857" s="8" t="str">
        <f>IFERROR(__xludf.DUMMYFUNCTION("""COMPUTED_VALUE"""),"RUN-FLMP_2022-03-10_RFR-098")</f>
        <v>RUN-FLMP_2022-03-10_RFR-098</v>
      </c>
      <c r="C857" s="10">
        <f>VLOOKUP(B857,'Run Reconcile'!A$2:B1579,2,FALSE)</f>
        <v>44630</v>
      </c>
      <c r="D857" s="14">
        <f>IFERROR(__xludf.DUMMYFUNCTION("""COMPUTED_VALUE"""),44630.0)</f>
        <v>44630</v>
      </c>
      <c r="E857" s="15">
        <f>IFERROR(__xludf.DUMMYFUNCTION("""COMPUTED_VALUE"""),0.2864930555551837)</f>
        <v>0.2864930556</v>
      </c>
      <c r="F857" s="8" t="str">
        <f>IFERROR(__xludf.DUMMYFUNCTION("""COMPUTED_VALUE"""),"Negative")</f>
        <v>Negative</v>
      </c>
      <c r="G857" s="16">
        <f>IFERROR(__xludf.DUMMYFUNCTION("""COMPUTED_VALUE"""),4.0)</f>
        <v>4</v>
      </c>
      <c r="H857" s="8" t="str">
        <f>IFERROR(__xludf.DUMMYFUNCTION("""COMPUTED_VALUE"""),"CRLN")</f>
        <v>CRLN</v>
      </c>
    </row>
    <row r="858">
      <c r="A858" s="8" t="str">
        <f>IFERROR(__xludf.DUMMYFUNCTION("""COMPUTED_VALUE"""),"FLB6782")</f>
        <v>FLB6782</v>
      </c>
      <c r="B858" s="8" t="str">
        <f>IFERROR(__xludf.DUMMYFUNCTION("""COMPUTED_VALUE"""),"RUN-FLMP_2022-03-10_RFR-098")</f>
        <v>RUN-FLMP_2022-03-10_RFR-098</v>
      </c>
      <c r="C858" s="10">
        <f>VLOOKUP(B858,'Run Reconcile'!A$2:B1579,2,FALSE)</f>
        <v>44630</v>
      </c>
      <c r="D858" s="14">
        <f>IFERROR(__xludf.DUMMYFUNCTION("""COMPUTED_VALUE"""),44630.0)</f>
        <v>44630</v>
      </c>
      <c r="E858" s="15">
        <f>IFERROR(__xludf.DUMMYFUNCTION("""COMPUTED_VALUE"""),0.30288194444437977)</f>
        <v>0.3028819444</v>
      </c>
      <c r="F858" s="8" t="str">
        <f>IFERROR(__xludf.DUMMYFUNCTION("""COMPUTED_VALUE"""),"Negative")</f>
        <v>Negative</v>
      </c>
      <c r="G858" s="16">
        <f>IFERROR(__xludf.DUMMYFUNCTION("""COMPUTED_VALUE"""),1.0)</f>
        <v>1</v>
      </c>
      <c r="H858" s="8" t="str">
        <f>IFERROR(__xludf.DUMMYFUNCTION("""COMPUTED_VALUE"""),"CRLN")</f>
        <v>CRLN</v>
      </c>
    </row>
    <row r="859">
      <c r="A859" s="8" t="str">
        <f>IFERROR(__xludf.DUMMYFUNCTION("""COMPUTED_VALUE"""),"FLB6546")</f>
        <v>FLB6546</v>
      </c>
      <c r="B859" s="8" t="str">
        <f>IFERROR(__xludf.DUMMYFUNCTION("""COMPUTED_VALUE"""),"RUN-FLMP_2022-03-10_RFR-098")</f>
        <v>RUN-FLMP_2022-03-10_RFR-098</v>
      </c>
      <c r="C859" s="10">
        <f>VLOOKUP(B859,'Run Reconcile'!A$2:B1579,2,FALSE)</f>
        <v>44630</v>
      </c>
      <c r="D859" s="14">
        <f>IFERROR(__xludf.DUMMYFUNCTION("""COMPUTED_VALUE"""),44630.0)</f>
        <v>44630</v>
      </c>
      <c r="E859" s="15">
        <f>IFERROR(__xludf.DUMMYFUNCTION("""COMPUTED_VALUE"""),0.3207523148157634)</f>
        <v>0.3207523148</v>
      </c>
      <c r="F859" s="8" t="str">
        <f>IFERROR(__xludf.DUMMYFUNCTION("""COMPUTED_VALUE"""),"Negative")</f>
        <v>Negative</v>
      </c>
      <c r="G859" s="16">
        <f>IFERROR(__xludf.DUMMYFUNCTION("""COMPUTED_VALUE"""),2.0)</f>
        <v>2</v>
      </c>
      <c r="H859" s="8" t="str">
        <f>IFERROR(__xludf.DUMMYFUNCTION("""COMPUTED_VALUE"""),"CRLN")</f>
        <v>CRLN</v>
      </c>
    </row>
    <row r="860">
      <c r="A860" s="8" t="str">
        <f>IFERROR(__xludf.DUMMYFUNCTION("""COMPUTED_VALUE"""),"FLB7189")</f>
        <v>FLB7189</v>
      </c>
      <c r="B860" s="8" t="str">
        <f>IFERROR(__xludf.DUMMYFUNCTION("""COMPUTED_VALUE"""),"RUN-FLMP_2022-03-10_RFR-098")</f>
        <v>RUN-FLMP_2022-03-10_RFR-098</v>
      </c>
      <c r="C860" s="10">
        <f>VLOOKUP(B860,'Run Reconcile'!A$2:B1579,2,FALSE)</f>
        <v>44630</v>
      </c>
      <c r="D860" s="14">
        <f>IFERROR(__xludf.DUMMYFUNCTION("""COMPUTED_VALUE"""),44630.0)</f>
        <v>44630</v>
      </c>
      <c r="E860" s="15">
        <f>IFERROR(__xludf.DUMMYFUNCTION("""COMPUTED_VALUE"""),0.3219097222208802)</f>
        <v>0.3219097222</v>
      </c>
      <c r="F860" s="8" t="str">
        <f>IFERROR(__xludf.DUMMYFUNCTION("""COMPUTED_VALUE"""),"Negative")</f>
        <v>Negative</v>
      </c>
      <c r="G860" s="16">
        <f>IFERROR(__xludf.DUMMYFUNCTION("""COMPUTED_VALUE"""),2.0)</f>
        <v>2</v>
      </c>
      <c r="H860" s="8" t="str">
        <f>IFERROR(__xludf.DUMMYFUNCTION("""COMPUTED_VALUE"""),"CRLN")</f>
        <v>CRLN</v>
      </c>
    </row>
    <row r="861">
      <c r="A861" s="8" t="str">
        <f>IFERROR(__xludf.DUMMYFUNCTION("""COMPUTED_VALUE"""),"FLB5394")</f>
        <v>FLB5394</v>
      </c>
      <c r="B861" s="8" t="str">
        <f>IFERROR(__xludf.DUMMYFUNCTION("""COMPUTED_VALUE"""),"RUN-FLMP_2022-03-10_RFR-098")</f>
        <v>RUN-FLMP_2022-03-10_RFR-098</v>
      </c>
      <c r="C861" s="10">
        <f>VLOOKUP(B861,'Run Reconcile'!A$2:B1579,2,FALSE)</f>
        <v>44630</v>
      </c>
      <c r="D861" s="14">
        <f>IFERROR(__xludf.DUMMYFUNCTION("""COMPUTED_VALUE"""),44630.0)</f>
        <v>44630</v>
      </c>
      <c r="E861" s="15">
        <f>IFERROR(__xludf.DUMMYFUNCTION("""COMPUTED_VALUE"""),0.3222106481480296)</f>
        <v>0.3222106481</v>
      </c>
      <c r="F861" s="8" t="str">
        <f>IFERROR(__xludf.DUMMYFUNCTION("""COMPUTED_VALUE"""),"Negative")</f>
        <v>Negative</v>
      </c>
      <c r="G861" s="16">
        <f>IFERROR(__xludf.DUMMYFUNCTION("""COMPUTED_VALUE"""),2.0)</f>
        <v>2</v>
      </c>
      <c r="H861" s="8" t="str">
        <f>IFERROR(__xludf.DUMMYFUNCTION("""COMPUTED_VALUE"""),"CRLN")</f>
        <v>CRLN</v>
      </c>
    </row>
    <row r="862">
      <c r="A862" s="8" t="str">
        <f>IFERROR(__xludf.DUMMYFUNCTION("""COMPUTED_VALUE"""),"FLB5438")</f>
        <v>FLB5438</v>
      </c>
      <c r="B862" s="8" t="str">
        <f>IFERROR(__xludf.DUMMYFUNCTION("""COMPUTED_VALUE"""),"RUN-FLMP_2022-03-10_RFR-098")</f>
        <v>RUN-FLMP_2022-03-10_RFR-098</v>
      </c>
      <c r="C862" s="10">
        <f>VLOOKUP(B862,'Run Reconcile'!A$2:B1579,2,FALSE)</f>
        <v>44630</v>
      </c>
      <c r="D862" s="14">
        <f>IFERROR(__xludf.DUMMYFUNCTION("""COMPUTED_VALUE"""),44630.0)</f>
        <v>44630</v>
      </c>
      <c r="E862" s="15">
        <f>IFERROR(__xludf.DUMMYFUNCTION("""COMPUTED_VALUE"""),0.3300231481480296)</f>
        <v>0.3300231481</v>
      </c>
      <c r="F862" s="8" t="str">
        <f>IFERROR(__xludf.DUMMYFUNCTION("""COMPUTED_VALUE"""),"Negative")</f>
        <v>Negative</v>
      </c>
      <c r="G862" s="16">
        <f>IFERROR(__xludf.DUMMYFUNCTION("""COMPUTED_VALUE"""),1.0)</f>
        <v>1</v>
      </c>
      <c r="H862" s="8" t="str">
        <f>IFERROR(__xludf.DUMMYFUNCTION("""COMPUTED_VALUE"""),"CRLN")</f>
        <v>CRLN</v>
      </c>
    </row>
    <row r="863">
      <c r="A863" s="8" t="str">
        <f>IFERROR(__xludf.DUMMYFUNCTION("""COMPUTED_VALUE"""),"FLB6558")</f>
        <v>FLB6558</v>
      </c>
      <c r="B863" s="8" t="str">
        <f>IFERROR(__xludf.DUMMYFUNCTION("""COMPUTED_VALUE"""),"RUN-FLMP_2022-03-10_RFR-098")</f>
        <v>RUN-FLMP_2022-03-10_RFR-098</v>
      </c>
      <c r="C863" s="10">
        <f>VLOOKUP(B863,'Run Reconcile'!A$2:B1579,2,FALSE)</f>
        <v>44630</v>
      </c>
      <c r="D863" s="14">
        <f>IFERROR(__xludf.DUMMYFUNCTION("""COMPUTED_VALUE"""),44630.0)</f>
        <v>44630</v>
      </c>
      <c r="E863" s="15">
        <f>IFERROR(__xludf.DUMMYFUNCTION("""COMPUTED_VALUE"""),0.3316087962957681)</f>
        <v>0.3316087963</v>
      </c>
      <c r="F863" s="8" t="str">
        <f>IFERROR(__xludf.DUMMYFUNCTION("""COMPUTED_VALUE"""),"Negative")</f>
        <v>Negative</v>
      </c>
      <c r="G863" s="16">
        <f>IFERROR(__xludf.DUMMYFUNCTION("""COMPUTED_VALUE"""),3.0)</f>
        <v>3</v>
      </c>
      <c r="H863" s="8" t="str">
        <f>IFERROR(__xludf.DUMMYFUNCTION("""COMPUTED_VALUE"""),"CRLN")</f>
        <v>CRLN</v>
      </c>
    </row>
    <row r="864">
      <c r="A864" s="8" t="str">
        <f>IFERROR(__xludf.DUMMYFUNCTION("""COMPUTED_VALUE"""),"FLB5725")</f>
        <v>FLB5725</v>
      </c>
      <c r="B864" s="8" t="str">
        <f>IFERROR(__xludf.DUMMYFUNCTION("""COMPUTED_VALUE"""),"RUN-FLMP_2022-03-10_RFR-098")</f>
        <v>RUN-FLMP_2022-03-10_RFR-098</v>
      </c>
      <c r="C864" s="10">
        <f>VLOOKUP(B864,'Run Reconcile'!A$2:B1579,2,FALSE)</f>
        <v>44630</v>
      </c>
      <c r="D864" s="14">
        <f>IFERROR(__xludf.DUMMYFUNCTION("""COMPUTED_VALUE"""),44630.0)</f>
        <v>44630</v>
      </c>
      <c r="E864" s="15">
        <f>IFERROR(__xludf.DUMMYFUNCTION("""COMPUTED_VALUE"""),0.33640046296204673)</f>
        <v>0.336400463</v>
      </c>
      <c r="F864" s="8" t="str">
        <f>IFERROR(__xludf.DUMMYFUNCTION("""COMPUTED_VALUE"""),"Negative")</f>
        <v>Negative</v>
      </c>
      <c r="G864" s="16">
        <f>IFERROR(__xludf.DUMMYFUNCTION("""COMPUTED_VALUE"""),2.0)</f>
        <v>2</v>
      </c>
      <c r="H864" s="8" t="str">
        <f>IFERROR(__xludf.DUMMYFUNCTION("""COMPUTED_VALUE"""),"CRLN")</f>
        <v>CRLN</v>
      </c>
    </row>
    <row r="865">
      <c r="A865" s="8" t="str">
        <f>IFERROR(__xludf.DUMMYFUNCTION("""COMPUTED_VALUE"""),"FLB5759")</f>
        <v>FLB5759</v>
      </c>
      <c r="B865" s="8" t="str">
        <f>IFERROR(__xludf.DUMMYFUNCTION("""COMPUTED_VALUE"""),"RUN-FLMP_2022-03-10_RFR-098")</f>
        <v>RUN-FLMP_2022-03-10_RFR-098</v>
      </c>
      <c r="C865" s="10">
        <f>VLOOKUP(B865,'Run Reconcile'!A$2:B1579,2,FALSE)</f>
        <v>44630</v>
      </c>
      <c r="D865" s="14">
        <f>IFERROR(__xludf.DUMMYFUNCTION("""COMPUTED_VALUE"""),44630.0)</f>
        <v>44630</v>
      </c>
      <c r="E865" s="15">
        <f>IFERROR(__xludf.DUMMYFUNCTION("""COMPUTED_VALUE"""),0.3372106481474475)</f>
        <v>0.3372106481</v>
      </c>
      <c r="F865" s="8" t="str">
        <f>IFERROR(__xludf.DUMMYFUNCTION("""COMPUTED_VALUE"""),"Negative")</f>
        <v>Negative</v>
      </c>
      <c r="G865" s="16">
        <f>IFERROR(__xludf.DUMMYFUNCTION("""COMPUTED_VALUE"""),3.0)</f>
        <v>3</v>
      </c>
      <c r="H865" s="8" t="str">
        <f>IFERROR(__xludf.DUMMYFUNCTION("""COMPUTED_VALUE"""),"CRLN")</f>
        <v>CRLN</v>
      </c>
    </row>
    <row r="866">
      <c r="A866" s="8" t="str">
        <f>IFERROR(__xludf.DUMMYFUNCTION("""COMPUTED_VALUE"""),"FLB6762")</f>
        <v>FLB6762</v>
      </c>
      <c r="B866" s="8" t="str">
        <f>IFERROR(__xludf.DUMMYFUNCTION("""COMPUTED_VALUE"""),"RUN-FLMP_2022-03-10_RFR-098")</f>
        <v>RUN-FLMP_2022-03-10_RFR-098</v>
      </c>
      <c r="C866" s="10">
        <f>VLOOKUP(B866,'Run Reconcile'!A$2:B1579,2,FALSE)</f>
        <v>44630</v>
      </c>
      <c r="D866" s="14">
        <f>IFERROR(__xludf.DUMMYFUNCTION("""COMPUTED_VALUE"""),44630.0)</f>
        <v>44630</v>
      </c>
      <c r="E866" s="15">
        <f>IFERROR(__xludf.DUMMYFUNCTION("""COMPUTED_VALUE"""),0.3509374999994179)</f>
        <v>0.3509375</v>
      </c>
      <c r="F866" s="8" t="str">
        <f>IFERROR(__xludf.DUMMYFUNCTION("""COMPUTED_VALUE"""),"Negative")</f>
        <v>Negative</v>
      </c>
      <c r="G866" s="16">
        <f>IFERROR(__xludf.DUMMYFUNCTION("""COMPUTED_VALUE"""),2.0)</f>
        <v>2</v>
      </c>
      <c r="H866" s="8" t="str">
        <f>IFERROR(__xludf.DUMMYFUNCTION("""COMPUTED_VALUE"""),"CRLN")</f>
        <v>CRLN</v>
      </c>
    </row>
    <row r="867">
      <c r="A867" s="8" t="str">
        <f>IFERROR(__xludf.DUMMYFUNCTION("""COMPUTED_VALUE"""),"FLB6769")</f>
        <v>FLB6769</v>
      </c>
      <c r="B867" s="8" t="str">
        <f>IFERROR(__xludf.DUMMYFUNCTION("""COMPUTED_VALUE"""),"RUN-FLMP_2022-03-10_RFR-098")</f>
        <v>RUN-FLMP_2022-03-10_RFR-098</v>
      </c>
      <c r="C867" s="10">
        <f>VLOOKUP(B867,'Run Reconcile'!A$2:B1579,2,FALSE)</f>
        <v>44630</v>
      </c>
      <c r="D867" s="14">
        <f>IFERROR(__xludf.DUMMYFUNCTION("""COMPUTED_VALUE"""),44630.0)</f>
        <v>44630</v>
      </c>
      <c r="E867" s="15">
        <f>IFERROR(__xludf.DUMMYFUNCTION("""COMPUTED_VALUE"""),0.3513425925921183)</f>
        <v>0.3513425926</v>
      </c>
      <c r="F867" s="8" t="str">
        <f>IFERROR(__xludf.DUMMYFUNCTION("""COMPUTED_VALUE"""),"Negative")</f>
        <v>Negative</v>
      </c>
      <c r="G867" s="16">
        <f>IFERROR(__xludf.DUMMYFUNCTION("""COMPUTED_VALUE"""),1.0)</f>
        <v>1</v>
      </c>
      <c r="H867" s="8" t="str">
        <f>IFERROR(__xludf.DUMMYFUNCTION("""COMPUTED_VALUE"""),"CRLN")</f>
        <v>CRLN</v>
      </c>
    </row>
    <row r="868">
      <c r="A868" s="8" t="str">
        <f>IFERROR(__xludf.DUMMYFUNCTION("""COMPUTED_VALUE"""),"FLB6791")</f>
        <v>FLB6791</v>
      </c>
      <c r="B868" s="8" t="str">
        <f>IFERROR(__xludf.DUMMYFUNCTION("""COMPUTED_VALUE"""),"RUN-FLMP_2022-03-10_RFR-098")</f>
        <v>RUN-FLMP_2022-03-10_RFR-098</v>
      </c>
      <c r="C868" s="10">
        <f>VLOOKUP(B868,'Run Reconcile'!A$2:B1579,2,FALSE)</f>
        <v>44630</v>
      </c>
      <c r="D868" s="14">
        <f>IFERROR(__xludf.DUMMYFUNCTION("""COMPUTED_VALUE"""),44630.0)</f>
        <v>44630</v>
      </c>
      <c r="E868" s="15">
        <f>IFERROR(__xludf.DUMMYFUNCTION("""COMPUTED_VALUE"""),0.35776620370234014)</f>
        <v>0.3577662037</v>
      </c>
      <c r="F868" s="8" t="str">
        <f>IFERROR(__xludf.DUMMYFUNCTION("""COMPUTED_VALUE"""),"Negative")</f>
        <v>Negative</v>
      </c>
      <c r="G868" s="16">
        <f>IFERROR(__xludf.DUMMYFUNCTION("""COMPUTED_VALUE"""),2.0)</f>
        <v>2</v>
      </c>
      <c r="H868" s="8" t="str">
        <f>IFERROR(__xludf.DUMMYFUNCTION("""COMPUTED_VALUE"""),"CRLN")</f>
        <v>CRLN</v>
      </c>
    </row>
    <row r="869">
      <c r="A869" s="8" t="str">
        <f>IFERROR(__xludf.DUMMYFUNCTION("""COMPUTED_VALUE"""),"FLB7183")</f>
        <v>FLB7183</v>
      </c>
      <c r="B869" s="8" t="str">
        <f>IFERROR(__xludf.DUMMYFUNCTION("""COMPUTED_VALUE"""),"RUN-FLMP_2022-03-10_RFR-098")</f>
        <v>RUN-FLMP_2022-03-10_RFR-098</v>
      </c>
      <c r="C869" s="10">
        <f>VLOOKUP(B869,'Run Reconcile'!A$2:B1579,2,FALSE)</f>
        <v>44630</v>
      </c>
      <c r="D869" s="14">
        <f>IFERROR(__xludf.DUMMYFUNCTION("""COMPUTED_VALUE"""),44630.0)</f>
        <v>44630</v>
      </c>
      <c r="E869" s="15">
        <f>IFERROR(__xludf.DUMMYFUNCTION("""COMPUTED_VALUE"""),0.36038194444336114)</f>
        <v>0.3603819444</v>
      </c>
      <c r="F869" s="8" t="str">
        <f>IFERROR(__xludf.DUMMYFUNCTION("""COMPUTED_VALUE"""),"Negative")</f>
        <v>Negative</v>
      </c>
      <c r="G869" s="16">
        <f>IFERROR(__xludf.DUMMYFUNCTION("""COMPUTED_VALUE"""),1.0)</f>
        <v>1</v>
      </c>
      <c r="H869" s="8" t="str">
        <f>IFERROR(__xludf.DUMMYFUNCTION("""COMPUTED_VALUE"""),"CRLN")</f>
        <v>CRLN</v>
      </c>
    </row>
    <row r="870">
      <c r="A870" s="8" t="str">
        <f>IFERROR(__xludf.DUMMYFUNCTION("""COMPUTED_VALUE"""),"FLB4950")</f>
        <v>FLB4950</v>
      </c>
      <c r="B870" s="8" t="str">
        <f>IFERROR(__xludf.DUMMYFUNCTION("""COMPUTED_VALUE"""),"RUN-FLMP_2022-03-10_RFR-098")</f>
        <v>RUN-FLMP_2022-03-10_RFR-098</v>
      </c>
      <c r="C870" s="10">
        <f>VLOOKUP(B870,'Run Reconcile'!A$2:B1579,2,FALSE)</f>
        <v>44630</v>
      </c>
      <c r="D870" s="14">
        <f>IFERROR(__xludf.DUMMYFUNCTION("""COMPUTED_VALUE"""),44630.0)</f>
        <v>44630</v>
      </c>
      <c r="E870" s="15">
        <f>IFERROR(__xludf.DUMMYFUNCTION("""COMPUTED_VALUE"""),0.364363425924239)</f>
        <v>0.3643634259</v>
      </c>
      <c r="F870" s="8" t="str">
        <f>IFERROR(__xludf.DUMMYFUNCTION("""COMPUTED_VALUE"""),"Negative")</f>
        <v>Negative</v>
      </c>
      <c r="G870" s="16">
        <f>IFERROR(__xludf.DUMMYFUNCTION("""COMPUTED_VALUE"""),3.0)</f>
        <v>3</v>
      </c>
      <c r="H870" s="8" t="str">
        <f>IFERROR(__xludf.DUMMYFUNCTION("""COMPUTED_VALUE"""),"CRLN")</f>
        <v>CRLN</v>
      </c>
    </row>
    <row r="871">
      <c r="A871" s="8" t="str">
        <f>IFERROR(__xludf.DUMMYFUNCTION("""COMPUTED_VALUE"""),"FLB6874")</f>
        <v>FLB6874</v>
      </c>
      <c r="B871" s="8" t="str">
        <f>IFERROR(__xludf.DUMMYFUNCTION("""COMPUTED_VALUE"""),"RUN-FLMP_2022-03-10_RFR-098")</f>
        <v>RUN-FLMP_2022-03-10_RFR-098</v>
      </c>
      <c r="C871" s="10">
        <f>VLOOKUP(B871,'Run Reconcile'!A$2:B1579,2,FALSE)</f>
        <v>44630</v>
      </c>
      <c r="D871" s="14">
        <f>IFERROR(__xludf.DUMMYFUNCTION("""COMPUTED_VALUE"""),44630.0)</f>
        <v>44630</v>
      </c>
      <c r="E871" s="15">
        <f>IFERROR(__xludf.DUMMYFUNCTION("""COMPUTED_VALUE"""),0.3663541666683159)</f>
        <v>0.3663541667</v>
      </c>
      <c r="F871" s="8" t="str">
        <f>IFERROR(__xludf.DUMMYFUNCTION("""COMPUTED_VALUE"""),"Negative")</f>
        <v>Negative</v>
      </c>
      <c r="G871" s="16">
        <f>IFERROR(__xludf.DUMMYFUNCTION("""COMPUTED_VALUE"""),2.0)</f>
        <v>2</v>
      </c>
      <c r="H871" s="8" t="str">
        <f>IFERROR(__xludf.DUMMYFUNCTION("""COMPUTED_VALUE"""),"CRLN")</f>
        <v>CRLN</v>
      </c>
    </row>
    <row r="872">
      <c r="A872" s="8" t="str">
        <f>IFERROR(__xludf.DUMMYFUNCTION("""COMPUTED_VALUE"""),"FLT1201")</f>
        <v>FLT1201</v>
      </c>
      <c r="B872" s="8" t="str">
        <f>IFERROR(__xludf.DUMMYFUNCTION("""COMPUTED_VALUE"""),"RUN-FLMP_2022-03-10_RFR-098")</f>
        <v>RUN-FLMP_2022-03-10_RFR-098</v>
      </c>
      <c r="C872" s="10">
        <f>VLOOKUP(B872,'Run Reconcile'!A$2:B1579,2,FALSE)</f>
        <v>44630</v>
      </c>
      <c r="D872" s="14">
        <f>IFERROR(__xludf.DUMMYFUNCTION("""COMPUTED_VALUE"""),44630.0)</f>
        <v>44630</v>
      </c>
      <c r="E872" s="15">
        <f>IFERROR(__xludf.DUMMYFUNCTION("""COMPUTED_VALUE"""),0.36761574073898373)</f>
        <v>0.3676157407</v>
      </c>
      <c r="F872" s="8" t="str">
        <f>IFERROR(__xludf.DUMMYFUNCTION("""COMPUTED_VALUE"""),"Negative")</f>
        <v>Negative</v>
      </c>
      <c r="G872" s="16">
        <f>IFERROR(__xludf.DUMMYFUNCTION("""COMPUTED_VALUE"""),1.0)</f>
        <v>1</v>
      </c>
      <c r="H872" s="8" t="str">
        <f>IFERROR(__xludf.DUMMYFUNCTION("""COMPUTED_VALUE"""),"CRLN")</f>
        <v>CRLN</v>
      </c>
    </row>
    <row r="873">
      <c r="A873" s="8" t="str">
        <f>IFERROR(__xludf.DUMMYFUNCTION("""COMPUTED_VALUE"""),"FLB4960")</f>
        <v>FLB4960</v>
      </c>
      <c r="B873" s="8" t="str">
        <f>IFERROR(__xludf.DUMMYFUNCTION("""COMPUTED_VALUE"""),"RUN-FLMP_2022-03-10_RFR-098")</f>
        <v>RUN-FLMP_2022-03-10_RFR-098</v>
      </c>
      <c r="C873" s="10">
        <f>VLOOKUP(B873,'Run Reconcile'!A$2:B1579,2,FALSE)</f>
        <v>44630</v>
      </c>
      <c r="D873" s="14">
        <f>IFERROR(__xludf.DUMMYFUNCTION("""COMPUTED_VALUE"""),44630.0)</f>
        <v>44630</v>
      </c>
      <c r="E873" s="15">
        <f>IFERROR(__xludf.DUMMYFUNCTION("""COMPUTED_VALUE"""),0.37043981481474475)</f>
        <v>0.3704398148</v>
      </c>
      <c r="F873" s="8" t="str">
        <f>IFERROR(__xludf.DUMMYFUNCTION("""COMPUTED_VALUE"""),"Negative")</f>
        <v>Negative</v>
      </c>
      <c r="G873" s="16">
        <f>IFERROR(__xludf.DUMMYFUNCTION("""COMPUTED_VALUE"""),4.0)</f>
        <v>4</v>
      </c>
      <c r="H873" s="8" t="str">
        <f>IFERROR(__xludf.DUMMYFUNCTION("""COMPUTED_VALUE"""),"CRLN")</f>
        <v>CRLN</v>
      </c>
    </row>
    <row r="874">
      <c r="A874" s="8" t="str">
        <f>IFERROR(__xludf.DUMMYFUNCTION("""COMPUTED_VALUE"""),"FLB7157")</f>
        <v>FLB7157</v>
      </c>
      <c r="B874" s="8" t="str">
        <f>IFERROR(__xludf.DUMMYFUNCTION("""COMPUTED_VALUE"""),"RUN-FLMP_2022-03-10_RFR-098")</f>
        <v>RUN-FLMP_2022-03-10_RFR-098</v>
      </c>
      <c r="C874" s="10">
        <f>VLOOKUP(B874,'Run Reconcile'!A$2:B1579,2,FALSE)</f>
        <v>44630</v>
      </c>
      <c r="D874" s="14">
        <f>IFERROR(__xludf.DUMMYFUNCTION("""COMPUTED_VALUE"""),44630.0)</f>
        <v>44630</v>
      </c>
      <c r="E874" s="15">
        <f>IFERROR(__xludf.DUMMYFUNCTION("""COMPUTED_VALUE"""),0.3754050925927004)</f>
        <v>0.3754050926</v>
      </c>
      <c r="F874" s="8" t="str">
        <f>IFERROR(__xludf.DUMMYFUNCTION("""COMPUTED_VALUE"""),"Negative")</f>
        <v>Negative</v>
      </c>
      <c r="G874" s="16">
        <f>IFERROR(__xludf.DUMMYFUNCTION("""COMPUTED_VALUE"""),4.0)</f>
        <v>4</v>
      </c>
      <c r="H874" s="8" t="str">
        <f>IFERROR(__xludf.DUMMYFUNCTION("""COMPUTED_VALUE"""),"CRLN")</f>
        <v>CRLN</v>
      </c>
    </row>
    <row r="875">
      <c r="A875" s="8" t="str">
        <f>IFERROR(__xludf.DUMMYFUNCTION("""COMPUTED_VALUE"""),"MA586")</f>
        <v>MA586</v>
      </c>
      <c r="B875" s="8" t="str">
        <f>IFERROR(__xludf.DUMMYFUNCTION("""COMPUTED_VALUE"""),"RUN-FLMP_2022-03-12_RFR-099")</f>
        <v>RUN-FLMP_2022-03-12_RFR-099</v>
      </c>
      <c r="C875" s="10">
        <f>VLOOKUP(B875,'Run Reconcile'!A$2:B1579,2,FALSE)</f>
        <v>44632</v>
      </c>
      <c r="D875" s="14">
        <f>IFERROR(__xludf.DUMMYFUNCTION("""COMPUTED_VALUE"""),44632.0)</f>
        <v>44632</v>
      </c>
      <c r="E875" s="15">
        <f>IFERROR(__xludf.DUMMYFUNCTION("""COMPUTED_VALUE"""),0.34158564814788406)</f>
        <v>0.3415856481</v>
      </c>
      <c r="F875" s="8" t="str">
        <f>IFERROR(__xludf.DUMMYFUNCTION("""COMPUTED_VALUE"""),"Negative")</f>
        <v>Negative</v>
      </c>
      <c r="G875" s="16">
        <f>IFERROR(__xludf.DUMMYFUNCTION("""COMPUTED_VALUE"""),4.0)</f>
        <v>4</v>
      </c>
      <c r="H875" s="8" t="str">
        <f>IFERROR(__xludf.DUMMYFUNCTION("""COMPUTED_VALUE"""),"CRLN")</f>
        <v>CRLN</v>
      </c>
    </row>
    <row r="876">
      <c r="A876" s="8" t="str">
        <f>IFERROR(__xludf.DUMMYFUNCTION("""COMPUTED_VALUE"""),"MA718")</f>
        <v>MA718</v>
      </c>
      <c r="B876" s="8" t="str">
        <f>IFERROR(__xludf.DUMMYFUNCTION("""COMPUTED_VALUE"""),"RUN-FLMP_2022-03-12_RFR-099")</f>
        <v>RUN-FLMP_2022-03-12_RFR-099</v>
      </c>
      <c r="C876" s="10">
        <f>VLOOKUP(B876,'Run Reconcile'!A$2:B1579,2,FALSE)</f>
        <v>44632</v>
      </c>
      <c r="D876" s="14">
        <f>IFERROR(__xludf.DUMMYFUNCTION("""COMPUTED_VALUE"""),44632.0)</f>
        <v>44632</v>
      </c>
      <c r="E876" s="15">
        <f>IFERROR(__xludf.DUMMYFUNCTION("""COMPUTED_VALUE"""),0.45789351851999527)</f>
        <v>0.4578935185</v>
      </c>
      <c r="F876" s="8" t="str">
        <f>IFERROR(__xludf.DUMMYFUNCTION("""COMPUTED_VALUE"""),"Negative")</f>
        <v>Negative</v>
      </c>
      <c r="G876" s="16">
        <f>IFERROR(__xludf.DUMMYFUNCTION("""COMPUTED_VALUE"""),4.0)</f>
        <v>4</v>
      </c>
      <c r="H876" s="8" t="str">
        <f>IFERROR(__xludf.DUMMYFUNCTION("""COMPUTED_VALUE"""),"CRLN")</f>
        <v>CRLN</v>
      </c>
    </row>
    <row r="877">
      <c r="A877" s="8" t="str">
        <f>IFERROR(__xludf.DUMMYFUNCTION("""COMPUTED_VALUE"""),"FLT1573")</f>
        <v>FLT1573</v>
      </c>
      <c r="B877" s="8" t="str">
        <f>IFERROR(__xludf.DUMMYFUNCTION("""COMPUTED_VALUE"""),"RUN-FLMP_2022-03-14_RFR-100")</f>
        <v>RUN-FLMP_2022-03-14_RFR-100</v>
      </c>
      <c r="C877" s="10">
        <f>VLOOKUP(B877,'Run Reconcile'!A$2:B1579,2,FALSE)</f>
        <v>44634</v>
      </c>
      <c r="D877" s="14">
        <f>IFERROR(__xludf.DUMMYFUNCTION("""COMPUTED_VALUE"""),44633.0)</f>
        <v>44633</v>
      </c>
      <c r="E877" s="15">
        <f>IFERROR(__xludf.DUMMYFUNCTION("""COMPUTED_VALUE"""),0.7052662037021946)</f>
        <v>0.7052662037</v>
      </c>
      <c r="F877" s="8" t="str">
        <f>IFERROR(__xludf.DUMMYFUNCTION("""COMPUTED_VALUE"""),"Negative")</f>
        <v>Negative</v>
      </c>
      <c r="G877" s="16">
        <f>IFERROR(__xludf.DUMMYFUNCTION("""COMPUTED_VALUE"""),1.0)</f>
        <v>1</v>
      </c>
      <c r="H877" s="8" t="str">
        <f>IFERROR(__xludf.DUMMYFUNCTION("""COMPUTED_VALUE"""),"CRLN")</f>
        <v>CRLN</v>
      </c>
    </row>
    <row r="878">
      <c r="A878" s="8" t="str">
        <f>IFERROR(__xludf.DUMMYFUNCTION("""COMPUTED_VALUE"""),"FLB4924")</f>
        <v>FLB4924</v>
      </c>
      <c r="B878" s="8" t="str">
        <f>IFERROR(__xludf.DUMMYFUNCTION("""COMPUTED_VALUE"""),"RUN-FLMP_2022-03-14_RFR-100")</f>
        <v>RUN-FLMP_2022-03-14_RFR-100</v>
      </c>
      <c r="C878" s="10">
        <f>VLOOKUP(B878,'Run Reconcile'!A$2:B1579,2,FALSE)</f>
        <v>44634</v>
      </c>
      <c r="D878" s="14">
        <f>IFERROR(__xludf.DUMMYFUNCTION("""COMPUTED_VALUE"""),44633.0)</f>
        <v>44633</v>
      </c>
      <c r="E878" s="15">
        <f>IFERROR(__xludf.DUMMYFUNCTION("""COMPUTED_VALUE"""),0.8422337962947495)</f>
        <v>0.8422337963</v>
      </c>
      <c r="F878" s="8" t="str">
        <f>IFERROR(__xludf.DUMMYFUNCTION("""COMPUTED_VALUE"""),"Negative")</f>
        <v>Negative</v>
      </c>
      <c r="G878" s="16">
        <f>IFERROR(__xludf.DUMMYFUNCTION("""COMPUTED_VALUE"""),4.0)</f>
        <v>4</v>
      </c>
      <c r="H878" s="8" t="str">
        <f>IFERROR(__xludf.DUMMYFUNCTION("""COMPUTED_VALUE"""),"CRLN")</f>
        <v>CRLN</v>
      </c>
    </row>
    <row r="879">
      <c r="A879" s="8" t="str">
        <f>IFERROR(__xludf.DUMMYFUNCTION("""COMPUTED_VALUE"""),"FLE852")</f>
        <v>FLE852</v>
      </c>
      <c r="B879" s="8" t="str">
        <f>IFERROR(__xludf.DUMMYFUNCTION("""COMPUTED_VALUE"""),"RUN-FLMP_2022-03-14_RFR-100")</f>
        <v>RUN-FLMP_2022-03-14_RFR-100</v>
      </c>
      <c r="C879" s="10">
        <f>VLOOKUP(B879,'Run Reconcile'!A$2:B1579,2,FALSE)</f>
        <v>44634</v>
      </c>
      <c r="D879" s="14">
        <f>IFERROR(__xludf.DUMMYFUNCTION("""COMPUTED_VALUE"""),44633.0)</f>
        <v>44633</v>
      </c>
      <c r="E879" s="15">
        <f>IFERROR(__xludf.DUMMYFUNCTION("""COMPUTED_VALUE"""),0.877233796294604)</f>
        <v>0.8772337963</v>
      </c>
      <c r="F879" s="8" t="str">
        <f>IFERROR(__xludf.DUMMYFUNCTION("""COMPUTED_VALUE"""),"Negative")</f>
        <v>Negative</v>
      </c>
      <c r="G879" s="16">
        <f>IFERROR(__xludf.DUMMYFUNCTION("""COMPUTED_VALUE"""),1.0)</f>
        <v>1</v>
      </c>
      <c r="H879" s="8" t="str">
        <f>IFERROR(__xludf.DUMMYFUNCTION("""COMPUTED_VALUE"""),"CRLN")</f>
        <v>CRLN</v>
      </c>
    </row>
    <row r="880">
      <c r="A880" s="8" t="str">
        <f>IFERROR(__xludf.DUMMYFUNCTION("""COMPUTED_VALUE"""),"FLB6551")</f>
        <v>FLB6551</v>
      </c>
      <c r="B880" s="8" t="str">
        <f>IFERROR(__xludf.DUMMYFUNCTION("""COMPUTED_VALUE"""),"RUN-FLMP_2022-03-14_RFR-100")</f>
        <v>RUN-FLMP_2022-03-14_RFR-100</v>
      </c>
      <c r="C880" s="10">
        <f>VLOOKUP(B880,'Run Reconcile'!A$2:B1579,2,FALSE)</f>
        <v>44634</v>
      </c>
      <c r="D880" s="14">
        <f>IFERROR(__xludf.DUMMYFUNCTION("""COMPUTED_VALUE"""),44634.0)</f>
        <v>44634</v>
      </c>
      <c r="E880" s="15">
        <f>IFERROR(__xludf.DUMMYFUNCTION("""COMPUTED_VALUE"""),0.24133101851839456)</f>
        <v>0.2413310185</v>
      </c>
      <c r="F880" s="8" t="str">
        <f>IFERROR(__xludf.DUMMYFUNCTION("""COMPUTED_VALUE"""),"Negative")</f>
        <v>Negative</v>
      </c>
      <c r="G880" s="16">
        <f>IFERROR(__xludf.DUMMYFUNCTION("""COMPUTED_VALUE"""),1.0)</f>
        <v>1</v>
      </c>
      <c r="H880" s="8" t="str">
        <f>IFERROR(__xludf.DUMMYFUNCTION("""COMPUTED_VALUE"""),"CRLN")</f>
        <v>CRLN</v>
      </c>
    </row>
    <row r="881">
      <c r="A881" s="8" t="str">
        <f>IFERROR(__xludf.DUMMYFUNCTION("""COMPUTED_VALUE"""),"FLE943")</f>
        <v>FLE943</v>
      </c>
      <c r="B881" s="8" t="str">
        <f>IFERROR(__xludf.DUMMYFUNCTION("""COMPUTED_VALUE"""),"RUN-FLMP_2022-03-14_RFR-100")</f>
        <v>RUN-FLMP_2022-03-14_RFR-100</v>
      </c>
      <c r="C881" s="10">
        <f>VLOOKUP(B881,'Run Reconcile'!A$2:B1579,2,FALSE)</f>
        <v>44634</v>
      </c>
      <c r="D881" s="14">
        <f>IFERROR(__xludf.DUMMYFUNCTION("""COMPUTED_VALUE"""),44634.0)</f>
        <v>44634</v>
      </c>
      <c r="E881" s="15">
        <f>IFERROR(__xludf.DUMMYFUNCTION("""COMPUTED_VALUE"""),0.2831018518518249)</f>
        <v>0.2831018519</v>
      </c>
      <c r="F881" s="8" t="str">
        <f>IFERROR(__xludf.DUMMYFUNCTION("""COMPUTED_VALUE"""),"Negative")</f>
        <v>Negative</v>
      </c>
      <c r="G881" s="16">
        <f>IFERROR(__xludf.DUMMYFUNCTION("""COMPUTED_VALUE"""),2.0)</f>
        <v>2</v>
      </c>
      <c r="H881" s="8" t="str">
        <f>IFERROR(__xludf.DUMMYFUNCTION("""COMPUTED_VALUE"""),"CRLN")</f>
        <v>CRLN</v>
      </c>
    </row>
    <row r="882">
      <c r="A882" s="8" t="str">
        <f>IFERROR(__xludf.DUMMYFUNCTION("""COMPUTED_VALUE"""),"FLB4925")</f>
        <v>FLB4925</v>
      </c>
      <c r="B882" s="8" t="str">
        <f>IFERROR(__xludf.DUMMYFUNCTION("""COMPUTED_VALUE"""),"RUN-FLMP_2022-03-14_RFR-100")</f>
        <v>RUN-FLMP_2022-03-14_RFR-100</v>
      </c>
      <c r="C882" s="10">
        <f>VLOOKUP(B882,'Run Reconcile'!A$2:B1579,2,FALSE)</f>
        <v>44634</v>
      </c>
      <c r="D882" s="14">
        <f>IFERROR(__xludf.DUMMYFUNCTION("""COMPUTED_VALUE"""),44634.0)</f>
        <v>44634</v>
      </c>
      <c r="E882" s="15">
        <f>IFERROR(__xludf.DUMMYFUNCTION("""COMPUTED_VALUE"""),0.32954861111284117)</f>
        <v>0.3295486111</v>
      </c>
      <c r="F882" s="8" t="str">
        <f>IFERROR(__xludf.DUMMYFUNCTION("""COMPUTED_VALUE"""),"Negative")</f>
        <v>Negative</v>
      </c>
      <c r="G882" s="16">
        <f>IFERROR(__xludf.DUMMYFUNCTION("""COMPUTED_VALUE"""),4.0)</f>
        <v>4</v>
      </c>
      <c r="H882" s="8" t="str">
        <f>IFERROR(__xludf.DUMMYFUNCTION("""COMPUTED_VALUE"""),"CRLN")</f>
        <v>CRLN</v>
      </c>
    </row>
    <row r="883">
      <c r="A883" s="8" t="str">
        <f>IFERROR(__xludf.DUMMYFUNCTION("""COMPUTED_VALUE"""),"FLB6743")</f>
        <v>FLB6743</v>
      </c>
      <c r="B883" s="8" t="str">
        <f>IFERROR(__xludf.DUMMYFUNCTION("""COMPUTED_VALUE"""),"RUN-FLMP_2022-03-14_RFR-100")</f>
        <v>RUN-FLMP_2022-03-14_RFR-100</v>
      </c>
      <c r="C883" s="10">
        <f>VLOOKUP(B883,'Run Reconcile'!A$2:B1579,2,FALSE)</f>
        <v>44634</v>
      </c>
      <c r="D883" s="14">
        <f>IFERROR(__xludf.DUMMYFUNCTION("""COMPUTED_VALUE"""),44634.0)</f>
        <v>44634</v>
      </c>
      <c r="E883" s="15">
        <f>IFERROR(__xludf.DUMMYFUNCTION("""COMPUTED_VALUE"""),0.3304166666675883)</f>
        <v>0.3304166667</v>
      </c>
      <c r="F883" s="8" t="str">
        <f>IFERROR(__xludf.DUMMYFUNCTION("""COMPUTED_VALUE"""),"Negative")</f>
        <v>Negative</v>
      </c>
      <c r="G883" s="16">
        <f>IFERROR(__xludf.DUMMYFUNCTION("""COMPUTED_VALUE"""),3.0)</f>
        <v>3</v>
      </c>
      <c r="H883" s="8" t="str">
        <f>IFERROR(__xludf.DUMMYFUNCTION("""COMPUTED_VALUE"""),"CRLN")</f>
        <v>CRLN</v>
      </c>
    </row>
    <row r="884">
      <c r="A884" s="8" t="str">
        <f>IFERROR(__xludf.DUMMYFUNCTION("""COMPUTED_VALUE"""),"FLB6790")</f>
        <v>FLB6790</v>
      </c>
      <c r="B884" s="8" t="str">
        <f>IFERROR(__xludf.DUMMYFUNCTION("""COMPUTED_VALUE"""),"RUN-FLMP_2022-03-14_RFR-100")</f>
        <v>RUN-FLMP_2022-03-14_RFR-100</v>
      </c>
      <c r="C884" s="10">
        <f>VLOOKUP(B884,'Run Reconcile'!A$2:B1579,2,FALSE)</f>
        <v>44634</v>
      </c>
      <c r="D884" s="14">
        <f>IFERROR(__xludf.DUMMYFUNCTION("""COMPUTED_VALUE"""),44634.0)</f>
        <v>44634</v>
      </c>
      <c r="E884" s="15">
        <f>IFERROR(__xludf.DUMMYFUNCTION("""COMPUTED_VALUE"""),0.33878472222204437)</f>
        <v>0.3387847222</v>
      </c>
      <c r="F884" s="8" t="str">
        <f>IFERROR(__xludf.DUMMYFUNCTION("""COMPUTED_VALUE"""),"Negative")</f>
        <v>Negative</v>
      </c>
      <c r="G884" s="16">
        <f>IFERROR(__xludf.DUMMYFUNCTION("""COMPUTED_VALUE"""),4.0)</f>
        <v>4</v>
      </c>
      <c r="H884" s="8" t="str">
        <f>IFERROR(__xludf.DUMMYFUNCTION("""COMPUTED_VALUE"""),"CRLN")</f>
        <v>CRLN</v>
      </c>
    </row>
    <row r="885">
      <c r="A885" s="8" t="str">
        <f>IFERROR(__xludf.DUMMYFUNCTION("""COMPUTED_VALUE"""),"FLB4794")</f>
        <v>FLB4794</v>
      </c>
      <c r="B885" s="8" t="str">
        <f>IFERROR(__xludf.DUMMYFUNCTION("""COMPUTED_VALUE"""),"RUN-FLMP_2022-03-14_RFR-100")</f>
        <v>RUN-FLMP_2022-03-14_RFR-100</v>
      </c>
      <c r="C885" s="10">
        <f>VLOOKUP(B885,'Run Reconcile'!A$2:B1579,2,FALSE)</f>
        <v>44634</v>
      </c>
      <c r="D885" s="14">
        <f>IFERROR(__xludf.DUMMYFUNCTION("""COMPUTED_VALUE"""),44634.0)</f>
        <v>44634</v>
      </c>
      <c r="E885" s="15">
        <f>IFERROR(__xludf.DUMMYFUNCTION("""COMPUTED_VALUE"""),0.34126157407445135)</f>
        <v>0.3412615741</v>
      </c>
      <c r="F885" s="8" t="str">
        <f>IFERROR(__xludf.DUMMYFUNCTION("""COMPUTED_VALUE"""),"Negative")</f>
        <v>Negative</v>
      </c>
      <c r="G885" s="16">
        <f>IFERROR(__xludf.DUMMYFUNCTION("""COMPUTED_VALUE"""),3.0)</f>
        <v>3</v>
      </c>
      <c r="H885" s="8" t="str">
        <f>IFERROR(__xludf.DUMMYFUNCTION("""COMPUTED_VALUE"""),"CRLN")</f>
        <v>CRLN</v>
      </c>
    </row>
    <row r="886">
      <c r="A886" s="8" t="str">
        <f>IFERROR(__xludf.DUMMYFUNCTION("""COMPUTED_VALUE"""),"FLB6778")</f>
        <v>FLB6778</v>
      </c>
      <c r="B886" s="8" t="str">
        <f>IFERROR(__xludf.DUMMYFUNCTION("""COMPUTED_VALUE"""),"RUN-FLMP_2022-03-14_RFR-100")</f>
        <v>RUN-FLMP_2022-03-14_RFR-100</v>
      </c>
      <c r="C886" s="10">
        <f>VLOOKUP(B886,'Run Reconcile'!A$2:B1579,2,FALSE)</f>
        <v>44634</v>
      </c>
      <c r="D886" s="14">
        <f>IFERROR(__xludf.DUMMYFUNCTION("""COMPUTED_VALUE"""),44634.0)</f>
        <v>44634</v>
      </c>
      <c r="E886" s="15">
        <f>IFERROR(__xludf.DUMMYFUNCTION("""COMPUTED_VALUE"""),0.34321759259182727)</f>
        <v>0.3432175926</v>
      </c>
      <c r="F886" s="8" t="str">
        <f>IFERROR(__xludf.DUMMYFUNCTION("""COMPUTED_VALUE"""),"Negative")</f>
        <v>Negative</v>
      </c>
      <c r="G886" s="16">
        <f>IFERROR(__xludf.DUMMYFUNCTION("""COMPUTED_VALUE"""),2.0)</f>
        <v>2</v>
      </c>
      <c r="H886" s="8" t="str">
        <f>IFERROR(__xludf.DUMMYFUNCTION("""COMPUTED_VALUE"""),"CRLN")</f>
        <v>CRLN</v>
      </c>
    </row>
    <row r="887">
      <c r="A887" s="8" t="str">
        <f>IFERROR(__xludf.DUMMYFUNCTION("""COMPUTED_VALUE"""),"FLB5776")</f>
        <v>FLB5776</v>
      </c>
      <c r="B887" s="8" t="str">
        <f>IFERROR(__xludf.DUMMYFUNCTION("""COMPUTED_VALUE"""),"RUN-FLMP_2022-03-14_RFR-100")</f>
        <v>RUN-FLMP_2022-03-14_RFR-100</v>
      </c>
      <c r="C887" s="10">
        <f>VLOOKUP(B887,'Run Reconcile'!A$2:B1579,2,FALSE)</f>
        <v>44634</v>
      </c>
      <c r="D887" s="14">
        <f>IFERROR(__xludf.DUMMYFUNCTION("""COMPUTED_VALUE"""),44634.0)</f>
        <v>44634</v>
      </c>
      <c r="E887" s="15">
        <f>IFERROR(__xludf.DUMMYFUNCTION("""COMPUTED_VALUE"""),0.3493402777785377)</f>
        <v>0.3493402778</v>
      </c>
      <c r="F887" s="8" t="str">
        <f>IFERROR(__xludf.DUMMYFUNCTION("""COMPUTED_VALUE"""),"Negative")</f>
        <v>Negative</v>
      </c>
      <c r="G887" s="16">
        <f>IFERROR(__xludf.DUMMYFUNCTION("""COMPUTED_VALUE"""),2.0)</f>
        <v>2</v>
      </c>
      <c r="H887" s="8" t="str">
        <f>IFERROR(__xludf.DUMMYFUNCTION("""COMPUTED_VALUE"""),"CRLN")</f>
        <v>CRLN</v>
      </c>
    </row>
    <row r="888">
      <c r="A888" s="8" t="str">
        <f>IFERROR(__xludf.DUMMYFUNCTION("""COMPUTED_VALUE"""),"FLB6548")</f>
        <v>FLB6548</v>
      </c>
      <c r="B888" s="8" t="str">
        <f>IFERROR(__xludf.DUMMYFUNCTION("""COMPUTED_VALUE"""),"RUN-FLMP_2022-03-14_RFR-100")</f>
        <v>RUN-FLMP_2022-03-14_RFR-100</v>
      </c>
      <c r="C888" s="10">
        <f>VLOOKUP(B888,'Run Reconcile'!A$2:B1579,2,FALSE)</f>
        <v>44634</v>
      </c>
      <c r="D888" s="14">
        <f>IFERROR(__xludf.DUMMYFUNCTION("""COMPUTED_VALUE"""),44634.0)</f>
        <v>44634</v>
      </c>
      <c r="E888" s="15">
        <f>IFERROR(__xludf.DUMMYFUNCTION("""COMPUTED_VALUE"""),0.35162037036934635)</f>
        <v>0.3516203704</v>
      </c>
      <c r="F888" s="8" t="str">
        <f>IFERROR(__xludf.DUMMYFUNCTION("""COMPUTED_VALUE"""),"Negative")</f>
        <v>Negative</v>
      </c>
      <c r="G888" s="16">
        <f>IFERROR(__xludf.DUMMYFUNCTION("""COMPUTED_VALUE"""),3.0)</f>
        <v>3</v>
      </c>
      <c r="H888" s="8" t="str">
        <f>IFERROR(__xludf.DUMMYFUNCTION("""COMPUTED_VALUE"""),"CRLN")</f>
        <v>CRLN</v>
      </c>
    </row>
    <row r="889">
      <c r="A889" s="8" t="str">
        <f>IFERROR(__xludf.DUMMYFUNCTION("""COMPUTED_VALUE"""),"FLT117")</f>
        <v>FLT117</v>
      </c>
      <c r="B889" s="8" t="str">
        <f>IFERROR(__xludf.DUMMYFUNCTION("""COMPUTED_VALUE"""),"RUN-FLMP_2022-03-14_RFR-100")</f>
        <v>RUN-FLMP_2022-03-14_RFR-100</v>
      </c>
      <c r="C889" s="10">
        <f>VLOOKUP(B889,'Run Reconcile'!A$2:B1579,2,FALSE)</f>
        <v>44634</v>
      </c>
      <c r="D889" s="14">
        <f>IFERROR(__xludf.DUMMYFUNCTION("""COMPUTED_VALUE"""),44634.0)</f>
        <v>44634</v>
      </c>
      <c r="E889" s="15">
        <f>IFERROR(__xludf.DUMMYFUNCTION("""COMPUTED_VALUE"""),0.3521064814813144)</f>
        <v>0.3521064815</v>
      </c>
      <c r="F889" s="8" t="str">
        <f>IFERROR(__xludf.DUMMYFUNCTION("""COMPUTED_VALUE"""),"Negative")</f>
        <v>Negative</v>
      </c>
      <c r="G889" s="16">
        <f>IFERROR(__xludf.DUMMYFUNCTION("""COMPUTED_VALUE"""),1.0)</f>
        <v>1</v>
      </c>
      <c r="H889" s="8" t="str">
        <f>IFERROR(__xludf.DUMMYFUNCTION("""COMPUTED_VALUE"""),"CRLN")</f>
        <v>CRLN</v>
      </c>
    </row>
    <row r="890">
      <c r="A890" s="8" t="str">
        <f>IFERROR(__xludf.DUMMYFUNCTION("""COMPUTED_VALUE"""),"FLB5735")</f>
        <v>FLB5735</v>
      </c>
      <c r="B890" s="8" t="str">
        <f>IFERROR(__xludf.DUMMYFUNCTION("""COMPUTED_VALUE"""),"RUN-FLMP_2022-03-14_RFR-100")</f>
        <v>RUN-FLMP_2022-03-14_RFR-100</v>
      </c>
      <c r="C890" s="10">
        <f>VLOOKUP(B890,'Run Reconcile'!A$2:B1579,2,FALSE)</f>
        <v>44634</v>
      </c>
      <c r="D890" s="14">
        <f>IFERROR(__xludf.DUMMYFUNCTION("""COMPUTED_VALUE"""),44634.0)</f>
        <v>44634</v>
      </c>
      <c r="E890" s="15">
        <f>IFERROR(__xludf.DUMMYFUNCTION("""COMPUTED_VALUE"""),0.3521527777775191)</f>
        <v>0.3521527778</v>
      </c>
      <c r="F890" s="8" t="str">
        <f>IFERROR(__xludf.DUMMYFUNCTION("""COMPUTED_VALUE"""),"Negative")</f>
        <v>Negative</v>
      </c>
      <c r="G890" s="16">
        <f>IFERROR(__xludf.DUMMYFUNCTION("""COMPUTED_VALUE"""),4.0)</f>
        <v>4</v>
      </c>
      <c r="H890" s="8" t="str">
        <f>IFERROR(__xludf.DUMMYFUNCTION("""COMPUTED_VALUE"""),"CRLN")</f>
        <v>CRLN</v>
      </c>
    </row>
    <row r="891">
      <c r="A891" s="8" t="str">
        <f>IFERROR(__xludf.DUMMYFUNCTION("""COMPUTED_VALUE"""),"FL11010")</f>
        <v>FL11010</v>
      </c>
      <c r="B891" s="8" t="str">
        <f>IFERROR(__xludf.DUMMYFUNCTION("""COMPUTED_VALUE"""),"RUN-FLMP_2022-03-14_RFR-100")</f>
        <v>RUN-FLMP_2022-03-14_RFR-100</v>
      </c>
      <c r="C891" s="10">
        <f>VLOOKUP(B891,'Run Reconcile'!A$2:B1579,2,FALSE)</f>
        <v>44634</v>
      </c>
      <c r="D891" s="14">
        <f>IFERROR(__xludf.DUMMYFUNCTION("""COMPUTED_VALUE"""),44634.0)</f>
        <v>44634</v>
      </c>
      <c r="E891" s="15">
        <f>IFERROR(__xludf.DUMMYFUNCTION("""COMPUTED_VALUE"""),0.36142361110978527)</f>
        <v>0.3614236111</v>
      </c>
      <c r="F891" s="8" t="str">
        <f>IFERROR(__xludf.DUMMYFUNCTION("""COMPUTED_VALUE"""),"Negative")</f>
        <v>Negative</v>
      </c>
      <c r="G891" s="16">
        <f>IFERROR(__xludf.DUMMYFUNCTION("""COMPUTED_VALUE"""),3.0)</f>
        <v>3</v>
      </c>
      <c r="H891" s="8" t="str">
        <f>IFERROR(__xludf.DUMMYFUNCTION("""COMPUTED_VALUE"""),"CRLN")</f>
        <v>CRLN</v>
      </c>
    </row>
    <row r="892">
      <c r="A892" s="8" t="str">
        <f>IFERROR(__xludf.DUMMYFUNCTION("""COMPUTED_VALUE"""),"FLT17")</f>
        <v>FLT17</v>
      </c>
      <c r="B892" s="8" t="str">
        <f>IFERROR(__xludf.DUMMYFUNCTION("""COMPUTED_VALUE"""),"RUN-FLMP_2022-03-14_RFR-100")</f>
        <v>RUN-FLMP_2022-03-14_RFR-100</v>
      </c>
      <c r="C892" s="10">
        <f>VLOOKUP(B892,'Run Reconcile'!A$2:B1579,2,FALSE)</f>
        <v>44634</v>
      </c>
      <c r="D892" s="14">
        <f>IFERROR(__xludf.DUMMYFUNCTION("""COMPUTED_VALUE"""),44634.0)</f>
        <v>44634</v>
      </c>
      <c r="E892" s="15">
        <f>IFERROR(__xludf.DUMMYFUNCTION("""COMPUTED_VALUE"""),0.3618402777792653)</f>
        <v>0.3618402778</v>
      </c>
      <c r="F892" s="8" t="str">
        <f>IFERROR(__xludf.DUMMYFUNCTION("""COMPUTED_VALUE"""),"Negative")</f>
        <v>Negative</v>
      </c>
      <c r="G892" s="16">
        <f>IFERROR(__xludf.DUMMYFUNCTION("""COMPUTED_VALUE"""),2.0)</f>
        <v>2</v>
      </c>
      <c r="H892" s="8" t="str">
        <f>IFERROR(__xludf.DUMMYFUNCTION("""COMPUTED_VALUE"""),"CRLN")</f>
        <v>CRLN</v>
      </c>
    </row>
    <row r="893">
      <c r="A893" s="8" t="str">
        <f>IFERROR(__xludf.DUMMYFUNCTION("""COMPUTED_VALUE"""),"FLB4939")</f>
        <v>FLB4939</v>
      </c>
      <c r="B893" s="8" t="str">
        <f>IFERROR(__xludf.DUMMYFUNCTION("""COMPUTED_VALUE"""),"RUN-FLMP_2022-03-14_RFR-100")</f>
        <v>RUN-FLMP_2022-03-14_RFR-100</v>
      </c>
      <c r="C893" s="10">
        <f>VLOOKUP(B893,'Run Reconcile'!A$2:B1579,2,FALSE)</f>
        <v>44634</v>
      </c>
      <c r="D893" s="14">
        <f>IFERROR(__xludf.DUMMYFUNCTION("""COMPUTED_VALUE"""),44634.0)</f>
        <v>44634</v>
      </c>
      <c r="E893" s="15">
        <f>IFERROR(__xludf.DUMMYFUNCTION("""COMPUTED_VALUE"""),0.3634837962963502)</f>
        <v>0.3634837963</v>
      </c>
      <c r="F893" s="8" t="str">
        <f>IFERROR(__xludf.DUMMYFUNCTION("""COMPUTED_VALUE"""),"Negative")</f>
        <v>Negative</v>
      </c>
      <c r="G893" s="16">
        <f>IFERROR(__xludf.DUMMYFUNCTION("""COMPUTED_VALUE"""),1.0)</f>
        <v>1</v>
      </c>
      <c r="H893" s="8" t="str">
        <f>IFERROR(__xludf.DUMMYFUNCTION("""COMPUTED_VALUE"""),"CRLN")</f>
        <v>CRLN</v>
      </c>
    </row>
    <row r="894">
      <c r="A894" s="8" t="str">
        <f>IFERROR(__xludf.DUMMYFUNCTION("""COMPUTED_VALUE"""),"FLB6866")</f>
        <v>FLB6866</v>
      </c>
      <c r="B894" s="8" t="str">
        <f>IFERROR(__xludf.DUMMYFUNCTION("""COMPUTED_VALUE"""),"RUN-FLMP_2022-03-14_RFR-100")</f>
        <v>RUN-FLMP_2022-03-14_RFR-100</v>
      </c>
      <c r="C894" s="10">
        <f>VLOOKUP(B894,'Run Reconcile'!A$2:B1579,2,FALSE)</f>
        <v>44634</v>
      </c>
      <c r="D894" s="14">
        <f>IFERROR(__xludf.DUMMYFUNCTION("""COMPUTED_VALUE"""),44634.0)</f>
        <v>44634</v>
      </c>
      <c r="E894" s="15">
        <f>IFERROR(__xludf.DUMMYFUNCTION("""COMPUTED_VALUE"""),0.36357638888875954)</f>
        <v>0.3635763889</v>
      </c>
      <c r="F894" s="8" t="str">
        <f>IFERROR(__xludf.DUMMYFUNCTION("""COMPUTED_VALUE"""),"Negative")</f>
        <v>Negative</v>
      </c>
      <c r="G894" s="16">
        <f>IFERROR(__xludf.DUMMYFUNCTION("""COMPUTED_VALUE"""),2.0)</f>
        <v>2</v>
      </c>
      <c r="H894" s="8" t="str">
        <f>IFERROR(__xludf.DUMMYFUNCTION("""COMPUTED_VALUE"""),"CRLN")</f>
        <v>CRLN</v>
      </c>
    </row>
    <row r="895">
      <c r="A895" s="8" t="str">
        <f>IFERROR(__xludf.DUMMYFUNCTION("""COMPUTED_VALUE"""),"FLB6555")</f>
        <v>FLB6555</v>
      </c>
      <c r="B895" s="8" t="str">
        <f>IFERROR(__xludf.DUMMYFUNCTION("""COMPUTED_VALUE"""),"RUN-FLMP_2022-03-14_RFR-100")</f>
        <v>RUN-FLMP_2022-03-14_RFR-100</v>
      </c>
      <c r="C895" s="10">
        <f>VLOOKUP(B895,'Run Reconcile'!A$2:B1579,2,FALSE)</f>
        <v>44634</v>
      </c>
      <c r="D895" s="14">
        <f>IFERROR(__xludf.DUMMYFUNCTION("""COMPUTED_VALUE"""),44634.0)</f>
        <v>44634</v>
      </c>
      <c r="E895" s="15">
        <f>IFERROR(__xludf.DUMMYFUNCTION("""COMPUTED_VALUE"""),0.3637731481467199)</f>
        <v>0.3637731481</v>
      </c>
      <c r="F895" s="8" t="str">
        <f>IFERROR(__xludf.DUMMYFUNCTION("""COMPUTED_VALUE"""),"Negative")</f>
        <v>Negative</v>
      </c>
      <c r="G895" s="16">
        <f>IFERROR(__xludf.DUMMYFUNCTION("""COMPUTED_VALUE"""),3.0)</f>
        <v>3</v>
      </c>
      <c r="H895" s="8" t="str">
        <f>IFERROR(__xludf.DUMMYFUNCTION("""COMPUTED_VALUE"""),"CRLN")</f>
        <v>CRLN</v>
      </c>
    </row>
    <row r="896">
      <c r="A896" s="8" t="str">
        <f>IFERROR(__xludf.DUMMYFUNCTION("""COMPUTED_VALUE"""),"FLB4797")</f>
        <v>FLB4797</v>
      </c>
      <c r="B896" s="8" t="str">
        <f>IFERROR(__xludf.DUMMYFUNCTION("""COMPUTED_VALUE"""),"RUN-FLMP_2022-03-14_RFR-100")</f>
        <v>RUN-FLMP_2022-03-14_RFR-100</v>
      </c>
      <c r="C896" s="10">
        <f>VLOOKUP(B896,'Run Reconcile'!A$2:B1579,2,FALSE)</f>
        <v>44634</v>
      </c>
      <c r="D896" s="14">
        <f>IFERROR(__xludf.DUMMYFUNCTION("""COMPUTED_VALUE"""),44634.0)</f>
        <v>44634</v>
      </c>
      <c r="E896" s="15">
        <f>IFERROR(__xludf.DUMMYFUNCTION("""COMPUTED_VALUE"""),0.36400462963138125)</f>
        <v>0.3640046296</v>
      </c>
      <c r="F896" s="8" t="str">
        <f>IFERROR(__xludf.DUMMYFUNCTION("""COMPUTED_VALUE"""),"Negative")</f>
        <v>Negative</v>
      </c>
      <c r="G896" s="16">
        <f>IFERROR(__xludf.DUMMYFUNCTION("""COMPUTED_VALUE"""),1.0)</f>
        <v>1</v>
      </c>
      <c r="H896" s="8" t="str">
        <f>IFERROR(__xludf.DUMMYFUNCTION("""COMPUTED_VALUE"""),"CRLN")</f>
        <v>CRLN</v>
      </c>
    </row>
    <row r="897">
      <c r="A897" s="8" t="str">
        <f>IFERROR(__xludf.DUMMYFUNCTION("""COMPUTED_VALUE"""),"FLB4941")</f>
        <v>FLB4941</v>
      </c>
      <c r="B897" s="8" t="str">
        <f>IFERROR(__xludf.DUMMYFUNCTION("""COMPUTED_VALUE"""),"RUN-FLMP_2022-03-14_RFR-100")</f>
        <v>RUN-FLMP_2022-03-14_RFR-100</v>
      </c>
      <c r="C897" s="10">
        <f>VLOOKUP(B897,'Run Reconcile'!A$2:B1579,2,FALSE)</f>
        <v>44634</v>
      </c>
      <c r="D897" s="14">
        <f>IFERROR(__xludf.DUMMYFUNCTION("""COMPUTED_VALUE"""),44634.0)</f>
        <v>44634</v>
      </c>
      <c r="E897" s="15">
        <f>IFERROR(__xludf.DUMMYFUNCTION("""COMPUTED_VALUE"""),0.3723726851858373)</f>
        <v>0.3723726852</v>
      </c>
      <c r="F897" s="8" t="str">
        <f>IFERROR(__xludf.DUMMYFUNCTION("""COMPUTED_VALUE"""),"Negative")</f>
        <v>Negative</v>
      </c>
      <c r="G897" s="16">
        <f>IFERROR(__xludf.DUMMYFUNCTION("""COMPUTED_VALUE"""),4.0)</f>
        <v>4</v>
      </c>
      <c r="H897" s="8" t="str">
        <f>IFERROR(__xludf.DUMMYFUNCTION("""COMPUTED_VALUE"""),"CRLN")</f>
        <v>CRLN</v>
      </c>
    </row>
    <row r="898">
      <c r="A898" s="8" t="str">
        <f>IFERROR(__xludf.DUMMYFUNCTION("""COMPUTED_VALUE"""),"FLT1432")</f>
        <v>FLT1432</v>
      </c>
      <c r="B898" s="8" t="str">
        <f>IFERROR(__xludf.DUMMYFUNCTION("""COMPUTED_VALUE"""),"RUN-FLMP_2022-03-17_RFR-102")</f>
        <v>RUN-FLMP_2022-03-17_RFR-102</v>
      </c>
      <c r="C898" s="10">
        <f>VLOOKUP(B898,'Run Reconcile'!A$2:B1579,2,FALSE)</f>
        <v>44637</v>
      </c>
      <c r="D898" s="14">
        <f>IFERROR(__xludf.DUMMYFUNCTION("""COMPUTED_VALUE"""),44636.0)</f>
        <v>44636</v>
      </c>
      <c r="E898" s="15">
        <f>IFERROR(__xludf.DUMMYFUNCTION("""COMPUTED_VALUE"""),0.7859837962969323)</f>
        <v>0.7859837963</v>
      </c>
      <c r="F898" s="8" t="str">
        <f>IFERROR(__xludf.DUMMYFUNCTION("""COMPUTED_VALUE"""),"Negative")</f>
        <v>Negative</v>
      </c>
      <c r="G898" s="16">
        <f>IFERROR(__xludf.DUMMYFUNCTION("""COMPUTED_VALUE"""),1.0)</f>
        <v>1</v>
      </c>
      <c r="H898" s="8" t="str">
        <f>IFERROR(__xludf.DUMMYFUNCTION("""COMPUTED_VALUE"""),"CRLN")</f>
        <v>CRLN</v>
      </c>
    </row>
    <row r="899">
      <c r="A899" s="8" t="str">
        <f>IFERROR(__xludf.DUMMYFUNCTION("""COMPUTED_VALUE"""),"FLB4940")</f>
        <v>FLB4940</v>
      </c>
      <c r="B899" s="8" t="str">
        <f>IFERROR(__xludf.DUMMYFUNCTION("""COMPUTED_VALUE"""),"RUN-FLMP_2022-03-17_RFR-102")</f>
        <v>RUN-FLMP_2022-03-17_RFR-102</v>
      </c>
      <c r="C899" s="10">
        <f>VLOOKUP(B899,'Run Reconcile'!A$2:B1579,2,FALSE)</f>
        <v>44637</v>
      </c>
      <c r="D899" s="14">
        <f>IFERROR(__xludf.DUMMYFUNCTION("""COMPUTED_VALUE"""),44637.0)</f>
        <v>44637</v>
      </c>
      <c r="E899" s="15">
        <f>IFERROR(__xludf.DUMMYFUNCTION("""COMPUTED_VALUE"""),0.27959490740613546)</f>
        <v>0.2795949074</v>
      </c>
      <c r="F899" s="8" t="str">
        <f>IFERROR(__xludf.DUMMYFUNCTION("""COMPUTED_VALUE"""),"Negative")</f>
        <v>Negative</v>
      </c>
      <c r="G899" s="16">
        <f>IFERROR(__xludf.DUMMYFUNCTION("""COMPUTED_VALUE"""),2.0)</f>
        <v>2</v>
      </c>
      <c r="H899" s="8" t="str">
        <f>IFERROR(__xludf.DUMMYFUNCTION("""COMPUTED_VALUE"""),"CRLN")</f>
        <v>CRLN</v>
      </c>
    </row>
    <row r="900">
      <c r="A900" s="8" t="str">
        <f>IFERROR(__xludf.DUMMYFUNCTION("""COMPUTED_VALUE"""),"FLB6347")</f>
        <v>FLB6347</v>
      </c>
      <c r="B900" s="8" t="str">
        <f>IFERROR(__xludf.DUMMYFUNCTION("""COMPUTED_VALUE"""),"RUN-FLMP_2022-03-17_RFR-102")</f>
        <v>RUN-FLMP_2022-03-17_RFR-102</v>
      </c>
      <c r="C900" s="10">
        <f>VLOOKUP(B900,'Run Reconcile'!A$2:B1579,2,FALSE)</f>
        <v>44637</v>
      </c>
      <c r="D900" s="14">
        <f>IFERROR(__xludf.DUMMYFUNCTION("""COMPUTED_VALUE"""),44637.0)</f>
        <v>44637</v>
      </c>
      <c r="E900" s="15">
        <f>IFERROR(__xludf.DUMMYFUNCTION("""COMPUTED_VALUE"""),0.30442129629591363)</f>
        <v>0.3044212963</v>
      </c>
      <c r="F900" s="8" t="str">
        <f>IFERROR(__xludf.DUMMYFUNCTION("""COMPUTED_VALUE"""),"Negative")</f>
        <v>Negative</v>
      </c>
      <c r="G900" s="16">
        <f>IFERROR(__xludf.DUMMYFUNCTION("""COMPUTED_VALUE"""),1.0)</f>
        <v>1</v>
      </c>
      <c r="H900" s="8" t="str">
        <f>IFERROR(__xludf.DUMMYFUNCTION("""COMPUTED_VALUE"""),"CRLN")</f>
        <v>CRLN</v>
      </c>
    </row>
    <row r="901">
      <c r="A901" s="8" t="str">
        <f>IFERROR(__xludf.DUMMYFUNCTION("""COMPUTED_VALUE"""),"FLB4913")</f>
        <v>FLB4913</v>
      </c>
      <c r="B901" s="8" t="str">
        <f>IFERROR(__xludf.DUMMYFUNCTION("""COMPUTED_VALUE"""),"RUN-FLMP_2022-03-17_RFR-102")</f>
        <v>RUN-FLMP_2022-03-17_RFR-102</v>
      </c>
      <c r="C901" s="10">
        <f>VLOOKUP(B901,'Run Reconcile'!A$2:B1579,2,FALSE)</f>
        <v>44637</v>
      </c>
      <c r="D901" s="14">
        <f>IFERROR(__xludf.DUMMYFUNCTION("""COMPUTED_VALUE"""),44637.0)</f>
        <v>44637</v>
      </c>
      <c r="E901" s="15">
        <f>IFERROR(__xludf.DUMMYFUNCTION("""COMPUTED_VALUE"""),0.3070833333331393)</f>
        <v>0.3070833333</v>
      </c>
      <c r="F901" s="8" t="str">
        <f>IFERROR(__xludf.DUMMYFUNCTION("""COMPUTED_VALUE"""),"Negative")</f>
        <v>Negative</v>
      </c>
      <c r="G901" s="16">
        <f>IFERROR(__xludf.DUMMYFUNCTION("""COMPUTED_VALUE"""),4.0)</f>
        <v>4</v>
      </c>
      <c r="H901" s="8" t="str">
        <f>IFERROR(__xludf.DUMMYFUNCTION("""COMPUTED_VALUE"""),"CRLN")</f>
        <v>CRLN</v>
      </c>
    </row>
    <row r="902">
      <c r="A902" s="8" t="str">
        <f>IFERROR(__xludf.DUMMYFUNCTION("""COMPUTED_VALUE"""),"FLB4901")</f>
        <v>FLB4901</v>
      </c>
      <c r="B902" s="8" t="str">
        <f>IFERROR(__xludf.DUMMYFUNCTION("""COMPUTED_VALUE"""),"RUN-FLMP_2022-03-17_RFR-102")</f>
        <v>RUN-FLMP_2022-03-17_RFR-102</v>
      </c>
      <c r="C902" s="10">
        <f>VLOOKUP(B902,'Run Reconcile'!A$2:B1579,2,FALSE)</f>
        <v>44637</v>
      </c>
      <c r="D902" s="14">
        <f>IFERROR(__xludf.DUMMYFUNCTION("""COMPUTED_VALUE"""),44637.0)</f>
        <v>44637</v>
      </c>
      <c r="E902" s="15">
        <f>IFERROR(__xludf.DUMMYFUNCTION("""COMPUTED_VALUE"""),0.3178125000013097)</f>
        <v>0.3178125</v>
      </c>
      <c r="F902" s="8" t="str">
        <f>IFERROR(__xludf.DUMMYFUNCTION("""COMPUTED_VALUE"""),"Negative")</f>
        <v>Negative</v>
      </c>
      <c r="G902" s="16">
        <f>IFERROR(__xludf.DUMMYFUNCTION("""COMPUTED_VALUE"""),4.0)</f>
        <v>4</v>
      </c>
      <c r="H902" s="8" t="str">
        <f>IFERROR(__xludf.DUMMYFUNCTION("""COMPUTED_VALUE"""),"CRLN")</f>
        <v>CRLN</v>
      </c>
    </row>
    <row r="903">
      <c r="A903" s="8" t="str">
        <f>IFERROR(__xludf.DUMMYFUNCTION("""COMPUTED_VALUE"""),"FLB4781")</f>
        <v>FLB4781</v>
      </c>
      <c r="B903" s="8" t="str">
        <f>IFERROR(__xludf.DUMMYFUNCTION("""COMPUTED_VALUE"""),"RUN-FLMP_2022-03-17_RFR-102")</f>
        <v>RUN-FLMP_2022-03-17_RFR-102</v>
      </c>
      <c r="C903" s="10">
        <f>VLOOKUP(B903,'Run Reconcile'!A$2:B1579,2,FALSE)</f>
        <v>44637</v>
      </c>
      <c r="D903" s="14">
        <f>IFERROR(__xludf.DUMMYFUNCTION("""COMPUTED_VALUE"""),44637.0)</f>
        <v>44637</v>
      </c>
      <c r="E903" s="15">
        <f>IFERROR(__xludf.DUMMYFUNCTION("""COMPUTED_VALUE"""),0.3184606481481751)</f>
        <v>0.3184606481</v>
      </c>
      <c r="F903" s="8" t="str">
        <f>IFERROR(__xludf.DUMMYFUNCTION("""COMPUTED_VALUE"""),"Negative")</f>
        <v>Negative</v>
      </c>
      <c r="G903" s="16">
        <f>IFERROR(__xludf.DUMMYFUNCTION("""COMPUTED_VALUE"""),3.0)</f>
        <v>3</v>
      </c>
      <c r="H903" s="8" t="str">
        <f>IFERROR(__xludf.DUMMYFUNCTION("""COMPUTED_VALUE"""),"CRLN")</f>
        <v>CRLN</v>
      </c>
    </row>
    <row r="904">
      <c r="A904" s="8" t="str">
        <f>IFERROR(__xludf.DUMMYFUNCTION("""COMPUTED_VALUE"""),"FLB7167")</f>
        <v>FLB7167</v>
      </c>
      <c r="B904" s="8" t="str">
        <f>IFERROR(__xludf.DUMMYFUNCTION("""COMPUTED_VALUE"""),"RUN-FLMP_2022-03-17_RFR-102")</f>
        <v>RUN-FLMP_2022-03-17_RFR-102</v>
      </c>
      <c r="C904" s="10">
        <f>VLOOKUP(B904,'Run Reconcile'!A$2:B1579,2,FALSE)</f>
        <v>44637</v>
      </c>
      <c r="D904" s="14">
        <f>IFERROR(__xludf.DUMMYFUNCTION("""COMPUTED_VALUE"""),44637.0)</f>
        <v>44637</v>
      </c>
      <c r="E904" s="15">
        <f>IFERROR(__xludf.DUMMYFUNCTION("""COMPUTED_VALUE"""),0.33035879629460396)</f>
        <v>0.3303587963</v>
      </c>
      <c r="F904" s="8" t="str">
        <f>IFERROR(__xludf.DUMMYFUNCTION("""COMPUTED_VALUE"""),"Negative")</f>
        <v>Negative</v>
      </c>
      <c r="G904" s="16">
        <f>IFERROR(__xludf.DUMMYFUNCTION("""COMPUTED_VALUE"""),4.0)</f>
        <v>4</v>
      </c>
      <c r="H904" s="8" t="str">
        <f>IFERROR(__xludf.DUMMYFUNCTION("""COMPUTED_VALUE"""),"CRLN")</f>
        <v>CRLN</v>
      </c>
    </row>
    <row r="905">
      <c r="A905" s="8" t="str">
        <f>IFERROR(__xludf.DUMMYFUNCTION("""COMPUTED_VALUE"""),"FLB5976")</f>
        <v>FLB5976</v>
      </c>
      <c r="B905" s="8" t="str">
        <f>IFERROR(__xludf.DUMMYFUNCTION("""COMPUTED_VALUE"""),"RUN-FLMP_2022-03-17_RFR-102")</f>
        <v>RUN-FLMP_2022-03-17_RFR-102</v>
      </c>
      <c r="C905" s="10">
        <f>VLOOKUP(B905,'Run Reconcile'!A$2:B1579,2,FALSE)</f>
        <v>44637</v>
      </c>
      <c r="D905" s="14">
        <f>IFERROR(__xludf.DUMMYFUNCTION("""COMPUTED_VALUE"""),44637.0)</f>
        <v>44637</v>
      </c>
      <c r="E905" s="15">
        <f>IFERROR(__xludf.DUMMYFUNCTION("""COMPUTED_VALUE"""),0.3343055555560568)</f>
        <v>0.3343055556</v>
      </c>
      <c r="F905" s="8" t="str">
        <f>IFERROR(__xludf.DUMMYFUNCTION("""COMPUTED_VALUE"""),"Negative")</f>
        <v>Negative</v>
      </c>
      <c r="G905" s="16">
        <f>IFERROR(__xludf.DUMMYFUNCTION("""COMPUTED_VALUE"""),2.0)</f>
        <v>2</v>
      </c>
      <c r="H905" s="8" t="str">
        <f>IFERROR(__xludf.DUMMYFUNCTION("""COMPUTED_VALUE"""),"CRLN")</f>
        <v>CRLN</v>
      </c>
    </row>
    <row r="906">
      <c r="A906" s="8" t="str">
        <f>IFERROR(__xludf.DUMMYFUNCTION("""COMPUTED_VALUE"""),"FLB7426")</f>
        <v>FLB7426</v>
      </c>
      <c r="B906" s="8" t="str">
        <f>IFERROR(__xludf.DUMMYFUNCTION("""COMPUTED_VALUE"""),"RUN-FLMP_2022-03-17_RFR-102")</f>
        <v>RUN-FLMP_2022-03-17_RFR-102</v>
      </c>
      <c r="C906" s="10">
        <f>VLOOKUP(B906,'Run Reconcile'!A$2:B1579,2,FALSE)</f>
        <v>44637</v>
      </c>
      <c r="D906" s="14">
        <f>IFERROR(__xludf.DUMMYFUNCTION("""COMPUTED_VALUE"""),44637.0)</f>
        <v>44637</v>
      </c>
      <c r="E906" s="15">
        <f>IFERROR(__xludf.DUMMYFUNCTION("""COMPUTED_VALUE"""),0.33623842592714936)</f>
        <v>0.3362384259</v>
      </c>
      <c r="F906" s="8" t="str">
        <f>IFERROR(__xludf.DUMMYFUNCTION("""COMPUTED_VALUE"""),"Negative")</f>
        <v>Negative</v>
      </c>
      <c r="G906" s="16">
        <f>IFERROR(__xludf.DUMMYFUNCTION("""COMPUTED_VALUE"""),3.0)</f>
        <v>3</v>
      </c>
      <c r="H906" s="8" t="str">
        <f>IFERROR(__xludf.DUMMYFUNCTION("""COMPUTED_VALUE"""),"CRLN")</f>
        <v>CRLN</v>
      </c>
    </row>
    <row r="907">
      <c r="A907" s="8" t="str">
        <f>IFERROR(__xludf.DUMMYFUNCTION("""COMPUTED_VALUE"""),"FLT151")</f>
        <v>FLT151</v>
      </c>
      <c r="B907" s="8" t="str">
        <f>IFERROR(__xludf.DUMMYFUNCTION("""COMPUTED_VALUE"""),"RUN-FLMP_2022-03-17_RFR-102")</f>
        <v>RUN-FLMP_2022-03-17_RFR-102</v>
      </c>
      <c r="C907" s="10">
        <f>VLOOKUP(B907,'Run Reconcile'!A$2:B1579,2,FALSE)</f>
        <v>44637</v>
      </c>
      <c r="D907" s="14">
        <f>IFERROR(__xludf.DUMMYFUNCTION("""COMPUTED_VALUE"""),44637.0)</f>
        <v>44637</v>
      </c>
      <c r="E907" s="15">
        <f>IFERROR(__xludf.DUMMYFUNCTION("""COMPUTED_VALUE"""),0.35296296296291985)</f>
        <v>0.352962963</v>
      </c>
      <c r="F907" s="8" t="str">
        <f>IFERROR(__xludf.DUMMYFUNCTION("""COMPUTED_VALUE"""),"Negative")</f>
        <v>Negative</v>
      </c>
      <c r="G907" s="16">
        <f>IFERROR(__xludf.DUMMYFUNCTION("""COMPUTED_VALUE"""),1.0)</f>
        <v>1</v>
      </c>
      <c r="H907" s="8" t="str">
        <f>IFERROR(__xludf.DUMMYFUNCTION("""COMPUTED_VALUE"""),"CRLN")</f>
        <v>CRLN</v>
      </c>
    </row>
    <row r="908">
      <c r="A908" s="8" t="str">
        <f>IFERROR(__xludf.DUMMYFUNCTION("""COMPUTED_VALUE"""),"FLB5432")</f>
        <v>FLB5432</v>
      </c>
      <c r="B908" s="8" t="str">
        <f>IFERROR(__xludf.DUMMYFUNCTION("""COMPUTED_VALUE"""),"RUN-FLMP_2022-03-17_RFR-102")</f>
        <v>RUN-FLMP_2022-03-17_RFR-102</v>
      </c>
      <c r="C908" s="10">
        <f>VLOOKUP(B908,'Run Reconcile'!A$2:B1579,2,FALSE)</f>
        <v>44637</v>
      </c>
      <c r="D908" s="14">
        <f>IFERROR(__xludf.DUMMYFUNCTION("""COMPUTED_VALUE"""),44637.0)</f>
        <v>44637</v>
      </c>
      <c r="E908" s="15">
        <f>IFERROR(__xludf.DUMMYFUNCTION("""COMPUTED_VALUE"""),0.35488425926087075)</f>
        <v>0.3548842593</v>
      </c>
      <c r="F908" s="8" t="str">
        <f>IFERROR(__xludf.DUMMYFUNCTION("""COMPUTED_VALUE"""),"Negative")</f>
        <v>Negative</v>
      </c>
      <c r="G908" s="16">
        <f>IFERROR(__xludf.DUMMYFUNCTION("""COMPUTED_VALUE"""),4.0)</f>
        <v>4</v>
      </c>
      <c r="H908" s="8" t="str">
        <f>IFERROR(__xludf.DUMMYFUNCTION("""COMPUTED_VALUE"""),"CRLN")</f>
        <v>CRLN</v>
      </c>
    </row>
    <row r="909">
      <c r="A909" s="8" t="str">
        <f>IFERROR(__xludf.DUMMYFUNCTION("""COMPUTED_VALUE"""),"FLB6761")</f>
        <v>FLB6761</v>
      </c>
      <c r="B909" s="8" t="str">
        <f>IFERROR(__xludf.DUMMYFUNCTION("""COMPUTED_VALUE"""),"RUN-FLMP_2022-03-17_RFR-102")</f>
        <v>RUN-FLMP_2022-03-17_RFR-102</v>
      </c>
      <c r="C909" s="10">
        <f>VLOOKUP(B909,'Run Reconcile'!A$2:B1579,2,FALSE)</f>
        <v>44637</v>
      </c>
      <c r="D909" s="14">
        <f>IFERROR(__xludf.DUMMYFUNCTION("""COMPUTED_VALUE"""),44637.0)</f>
        <v>44637</v>
      </c>
      <c r="E909" s="15">
        <f>IFERROR(__xludf.DUMMYFUNCTION("""COMPUTED_VALUE"""),0.35568287036949187)</f>
        <v>0.3556828704</v>
      </c>
      <c r="F909" s="8" t="str">
        <f>IFERROR(__xludf.DUMMYFUNCTION("""COMPUTED_VALUE"""),"Negative")</f>
        <v>Negative</v>
      </c>
      <c r="G909" s="16">
        <f>IFERROR(__xludf.DUMMYFUNCTION("""COMPUTED_VALUE"""),2.0)</f>
        <v>2</v>
      </c>
      <c r="H909" s="8" t="str">
        <f>IFERROR(__xludf.DUMMYFUNCTION("""COMPUTED_VALUE"""),"CRLN")</f>
        <v>CRLN</v>
      </c>
    </row>
    <row r="910">
      <c r="A910" s="8" t="str">
        <f>IFERROR(__xludf.DUMMYFUNCTION("""COMPUTED_VALUE"""),"FLE286")</f>
        <v>FLE286</v>
      </c>
      <c r="B910" s="8" t="str">
        <f>IFERROR(__xludf.DUMMYFUNCTION("""COMPUTED_VALUE"""),"RUN-FLMP_2022-03-17_RFR-102")</f>
        <v>RUN-FLMP_2022-03-17_RFR-102</v>
      </c>
      <c r="C910" s="10">
        <f>VLOOKUP(B910,'Run Reconcile'!A$2:B1579,2,FALSE)</f>
        <v>44637</v>
      </c>
      <c r="D910" s="14">
        <f>IFERROR(__xludf.DUMMYFUNCTION("""COMPUTED_VALUE"""),44637.0)</f>
        <v>44637</v>
      </c>
      <c r="E910" s="15">
        <f>IFERROR(__xludf.DUMMYFUNCTION("""COMPUTED_VALUE"""),0.35902777777664596)</f>
        <v>0.3590277778</v>
      </c>
      <c r="F910" s="8" t="str">
        <f>IFERROR(__xludf.DUMMYFUNCTION("""COMPUTED_VALUE"""),"Negative")</f>
        <v>Negative</v>
      </c>
      <c r="G910" s="16">
        <f>IFERROR(__xludf.DUMMYFUNCTION("""COMPUTED_VALUE"""),4.0)</f>
        <v>4</v>
      </c>
      <c r="H910" s="8" t="str">
        <f>IFERROR(__xludf.DUMMYFUNCTION("""COMPUTED_VALUE"""),"CRLN")</f>
        <v>CRLN</v>
      </c>
    </row>
    <row r="911">
      <c r="A911" s="8" t="str">
        <f>IFERROR(__xludf.DUMMYFUNCTION("""COMPUTED_VALUE"""),"FLT1187")</f>
        <v>FLT1187</v>
      </c>
      <c r="B911" s="8" t="str">
        <f>IFERROR(__xludf.DUMMYFUNCTION("""COMPUTED_VALUE"""),"RUN-FLMP_2022-03-17_RFR-102")</f>
        <v>RUN-FLMP_2022-03-17_RFR-102</v>
      </c>
      <c r="C911" s="10">
        <f>VLOOKUP(B911,'Run Reconcile'!A$2:B1579,2,FALSE)</f>
        <v>44637</v>
      </c>
      <c r="D911" s="14">
        <f>IFERROR(__xludf.DUMMYFUNCTION("""COMPUTED_VALUE"""),44637.0)</f>
        <v>44637</v>
      </c>
      <c r="E911" s="15">
        <f>IFERROR(__xludf.DUMMYFUNCTION("""COMPUTED_VALUE"""),0.36524305555576575)</f>
        <v>0.3652430556</v>
      </c>
      <c r="F911" s="8" t="str">
        <f>IFERROR(__xludf.DUMMYFUNCTION("""COMPUTED_VALUE"""),"Negative")</f>
        <v>Negative</v>
      </c>
      <c r="G911" s="16">
        <f>IFERROR(__xludf.DUMMYFUNCTION("""COMPUTED_VALUE"""),2.0)</f>
        <v>2</v>
      </c>
      <c r="H911" s="8" t="str">
        <f>IFERROR(__xludf.DUMMYFUNCTION("""COMPUTED_VALUE"""),"CRLN")</f>
        <v>CRLN</v>
      </c>
    </row>
    <row r="912">
      <c r="A912" s="8" t="str">
        <f>IFERROR(__xludf.DUMMYFUNCTION("""COMPUTED_VALUE"""),"FLE899")</f>
        <v>FLE899</v>
      </c>
      <c r="B912" s="8" t="str">
        <f>IFERROR(__xludf.DUMMYFUNCTION("""COMPUTED_VALUE"""),"RUN-FLMP_2022-03-17_RFR-102")</f>
        <v>RUN-FLMP_2022-03-17_RFR-102</v>
      </c>
      <c r="C912" s="10">
        <f>VLOOKUP(B912,'Run Reconcile'!A$2:B1579,2,FALSE)</f>
        <v>44637</v>
      </c>
      <c r="D912" s="14">
        <f>IFERROR(__xludf.DUMMYFUNCTION("""COMPUTED_VALUE"""),44637.0)</f>
        <v>44637</v>
      </c>
      <c r="E912" s="15">
        <f>IFERROR(__xludf.DUMMYFUNCTION("""COMPUTED_VALUE"""),0.3759722222239361)</f>
        <v>0.3759722222</v>
      </c>
      <c r="F912" s="8" t="str">
        <f>IFERROR(__xludf.DUMMYFUNCTION("""COMPUTED_VALUE"""),"Negative")</f>
        <v>Negative</v>
      </c>
      <c r="G912" s="16">
        <f>IFERROR(__xludf.DUMMYFUNCTION("""COMPUTED_VALUE"""),3.0)</f>
        <v>3</v>
      </c>
      <c r="H912" s="8" t="str">
        <f>IFERROR(__xludf.DUMMYFUNCTION("""COMPUTED_VALUE"""),"CRLN")</f>
        <v>CRLN</v>
      </c>
    </row>
    <row r="913">
      <c r="A913" s="8" t="str">
        <f>IFERROR(__xludf.DUMMYFUNCTION("""COMPUTED_VALUE"""),"FLB7353")</f>
        <v>FLB7353</v>
      </c>
      <c r="B913" s="8" t="str">
        <f>IFERROR(__xludf.DUMMYFUNCTION("""COMPUTED_VALUE"""),"RUN-FLMP_2022-03-21_APS-085")</f>
        <v>RUN-FLMP_2022-03-21_APS-085</v>
      </c>
      <c r="C913" s="10">
        <f>VLOOKUP(B913,'Run Reconcile'!A$2:B1579,2,FALSE)</f>
        <v>44641</v>
      </c>
      <c r="D913" s="14">
        <f>IFERROR(__xludf.DUMMYFUNCTION("""COMPUTED_VALUE"""),44640.0)</f>
        <v>44640</v>
      </c>
      <c r="E913" s="15">
        <f>IFERROR(__xludf.DUMMYFUNCTION("""COMPUTED_VALUE"""),0.57561342592453)</f>
        <v>0.5756134259</v>
      </c>
      <c r="F913" s="8" t="str">
        <f>IFERROR(__xludf.DUMMYFUNCTION("""COMPUTED_VALUE"""),"Negative")</f>
        <v>Negative</v>
      </c>
      <c r="G913" s="16">
        <f>IFERROR(__xludf.DUMMYFUNCTION("""COMPUTED_VALUE"""),3.0)</f>
        <v>3</v>
      </c>
      <c r="H913" s="8" t="str">
        <f>IFERROR(__xludf.DUMMYFUNCTION("""COMPUTED_VALUE"""),"CRLN")</f>
        <v>CRLN</v>
      </c>
    </row>
    <row r="914">
      <c r="A914" s="8" t="str">
        <f>IFERROR(__xludf.DUMMYFUNCTION("""COMPUTED_VALUE"""),"FLE857")</f>
        <v>FLE857</v>
      </c>
      <c r="B914" s="8" t="str">
        <f>IFERROR(__xludf.DUMMYFUNCTION("""COMPUTED_VALUE"""),"RUN-FLMP_2022-03-21_APS-085")</f>
        <v>RUN-FLMP_2022-03-21_APS-085</v>
      </c>
      <c r="C914" s="10">
        <f>VLOOKUP(B914,'Run Reconcile'!A$2:B1579,2,FALSE)</f>
        <v>44641</v>
      </c>
      <c r="D914" s="14">
        <f>IFERROR(__xludf.DUMMYFUNCTION("""COMPUTED_VALUE"""),44640.0)</f>
        <v>44640</v>
      </c>
      <c r="E914" s="15">
        <f>IFERROR(__xludf.DUMMYFUNCTION("""COMPUTED_VALUE"""),0.6798726851848187)</f>
        <v>0.6798726852</v>
      </c>
      <c r="F914" s="8" t="str">
        <f>IFERROR(__xludf.DUMMYFUNCTION("""COMPUTED_VALUE"""),"Negative")</f>
        <v>Negative</v>
      </c>
      <c r="G914" s="16">
        <f>IFERROR(__xludf.DUMMYFUNCTION("""COMPUTED_VALUE"""),1.0)</f>
        <v>1</v>
      </c>
      <c r="H914" s="8" t="str">
        <f>IFERROR(__xludf.DUMMYFUNCTION("""COMPUTED_VALUE"""),"CRLN")</f>
        <v>CRLN</v>
      </c>
    </row>
    <row r="915">
      <c r="A915" s="8" t="str">
        <f>IFERROR(__xludf.DUMMYFUNCTION("""COMPUTED_VALUE"""),"FLB6843")</f>
        <v>FLB6843</v>
      </c>
      <c r="B915" s="8" t="str">
        <f>IFERROR(__xludf.DUMMYFUNCTION("""COMPUTED_VALUE"""),"RUN-FLMP_2022-03-21_APS-085")</f>
        <v>RUN-FLMP_2022-03-21_APS-085</v>
      </c>
      <c r="C915" s="10">
        <f>VLOOKUP(B915,'Run Reconcile'!A$2:B1579,2,FALSE)</f>
        <v>44641</v>
      </c>
      <c r="D915" s="14">
        <f>IFERROR(__xludf.DUMMYFUNCTION("""COMPUTED_VALUE"""),44641.0)</f>
        <v>44641</v>
      </c>
      <c r="E915" s="15">
        <f>IFERROR(__xludf.DUMMYFUNCTION("""COMPUTED_VALUE"""),0.31339120370466844)</f>
        <v>0.3133912037</v>
      </c>
      <c r="F915" s="8" t="str">
        <f>IFERROR(__xludf.DUMMYFUNCTION("""COMPUTED_VALUE"""),"Negative")</f>
        <v>Negative</v>
      </c>
      <c r="G915" s="16">
        <f>IFERROR(__xludf.DUMMYFUNCTION("""COMPUTED_VALUE"""),1.0)</f>
        <v>1</v>
      </c>
      <c r="H915" s="8" t="str">
        <f>IFERROR(__xludf.DUMMYFUNCTION("""COMPUTED_VALUE"""),"CRLN")</f>
        <v>CRLN</v>
      </c>
    </row>
    <row r="916">
      <c r="A916" s="8" t="str">
        <f>IFERROR(__xludf.DUMMYFUNCTION("""COMPUTED_VALUE"""),"FLB7286")</f>
        <v>FLB7286</v>
      </c>
      <c r="B916" s="8" t="str">
        <f>IFERROR(__xludf.DUMMYFUNCTION("""COMPUTED_VALUE"""),"RUN-FLMP_2022-03-21_APS-085")</f>
        <v>RUN-FLMP_2022-03-21_APS-085</v>
      </c>
      <c r="C916" s="10">
        <f>VLOOKUP(B916,'Run Reconcile'!A$2:B1579,2,FALSE)</f>
        <v>44641</v>
      </c>
      <c r="D916" s="14">
        <f>IFERROR(__xludf.DUMMYFUNCTION("""COMPUTED_VALUE"""),44641.0)</f>
        <v>44641</v>
      </c>
      <c r="E916" s="15">
        <f>IFERROR(__xludf.DUMMYFUNCTION("""COMPUTED_VALUE"""),0.3191087962950405)</f>
        <v>0.3191087963</v>
      </c>
      <c r="F916" s="8" t="str">
        <f>IFERROR(__xludf.DUMMYFUNCTION("""COMPUTED_VALUE"""),"Negative")</f>
        <v>Negative</v>
      </c>
      <c r="G916" s="16">
        <f>IFERROR(__xludf.DUMMYFUNCTION("""COMPUTED_VALUE"""),3.0)</f>
        <v>3</v>
      </c>
      <c r="H916" s="8" t="str">
        <f>IFERROR(__xludf.DUMMYFUNCTION("""COMPUTED_VALUE"""),"CRLN")</f>
        <v>CRLN</v>
      </c>
    </row>
    <row r="917">
      <c r="A917" s="8" t="str">
        <f>IFERROR(__xludf.DUMMYFUNCTION("""COMPUTED_VALUE"""),"FLB7429")</f>
        <v>FLB7429</v>
      </c>
      <c r="B917" s="8" t="str">
        <f>IFERROR(__xludf.DUMMYFUNCTION("""COMPUTED_VALUE"""),"RUN-FLMP_2022-03-21_APS-085")</f>
        <v>RUN-FLMP_2022-03-21_APS-085</v>
      </c>
      <c r="C917" s="10">
        <f>VLOOKUP(B917,'Run Reconcile'!A$2:B1579,2,FALSE)</f>
        <v>44641</v>
      </c>
      <c r="D917" s="14">
        <f>IFERROR(__xludf.DUMMYFUNCTION("""COMPUTED_VALUE"""),44641.0)</f>
        <v>44641</v>
      </c>
      <c r="E917" s="15">
        <f>IFERROR(__xludf.DUMMYFUNCTION("""COMPUTED_VALUE"""),0.31960648148015025)</f>
        <v>0.3196064815</v>
      </c>
      <c r="F917" s="8" t="str">
        <f>IFERROR(__xludf.DUMMYFUNCTION("""COMPUTED_VALUE"""),"Negative")</f>
        <v>Negative</v>
      </c>
      <c r="G917" s="16">
        <f>IFERROR(__xludf.DUMMYFUNCTION("""COMPUTED_VALUE"""),3.0)</f>
        <v>3</v>
      </c>
      <c r="H917" s="8" t="str">
        <f>IFERROR(__xludf.DUMMYFUNCTION("""COMPUTED_VALUE"""),"CRLN")</f>
        <v>CRLN</v>
      </c>
    </row>
    <row r="918">
      <c r="A918" s="8" t="str">
        <f>IFERROR(__xludf.DUMMYFUNCTION("""COMPUTED_VALUE"""),"FL11023")</f>
        <v>FL11023</v>
      </c>
      <c r="B918" s="8" t="str">
        <f>IFERROR(__xludf.DUMMYFUNCTION("""COMPUTED_VALUE"""),"RUN-FLMP_2022-03-21_APS-085")</f>
        <v>RUN-FLMP_2022-03-21_APS-085</v>
      </c>
      <c r="C918" s="10">
        <f>VLOOKUP(B918,'Run Reconcile'!A$2:B1579,2,FALSE)</f>
        <v>44641</v>
      </c>
      <c r="D918" s="14">
        <f>IFERROR(__xludf.DUMMYFUNCTION("""COMPUTED_VALUE"""),44641.0)</f>
        <v>44641</v>
      </c>
      <c r="E918" s="15">
        <f>IFERROR(__xludf.DUMMYFUNCTION("""COMPUTED_VALUE"""),0.32855324073898373)</f>
        <v>0.3285532407</v>
      </c>
      <c r="F918" s="8" t="str">
        <f>IFERROR(__xludf.DUMMYFUNCTION("""COMPUTED_VALUE"""),"Negative")</f>
        <v>Negative</v>
      </c>
      <c r="G918" s="16">
        <f>IFERROR(__xludf.DUMMYFUNCTION("""COMPUTED_VALUE"""),4.0)</f>
        <v>4</v>
      </c>
      <c r="H918" s="8" t="str">
        <f>IFERROR(__xludf.DUMMYFUNCTION("""COMPUTED_VALUE"""),"CRLN")</f>
        <v>CRLN</v>
      </c>
    </row>
    <row r="919">
      <c r="A919" s="8" t="str">
        <f>IFERROR(__xludf.DUMMYFUNCTION("""COMPUTED_VALUE"""),"FLB5962")</f>
        <v>FLB5962</v>
      </c>
      <c r="B919" s="8" t="str">
        <f>IFERROR(__xludf.DUMMYFUNCTION("""COMPUTED_VALUE"""),"RUN-FLMP_2022-03-21_APS-085")</f>
        <v>RUN-FLMP_2022-03-21_APS-085</v>
      </c>
      <c r="C919" s="10">
        <f>VLOOKUP(B919,'Run Reconcile'!A$2:B1579,2,FALSE)</f>
        <v>44641</v>
      </c>
      <c r="D919" s="14">
        <f>IFERROR(__xludf.DUMMYFUNCTION("""COMPUTED_VALUE"""),44641.0)</f>
        <v>44641</v>
      </c>
      <c r="E919" s="15">
        <f>IFERROR(__xludf.DUMMYFUNCTION("""COMPUTED_VALUE"""),0.33221064814642887)</f>
        <v>0.3322106481</v>
      </c>
      <c r="F919" s="8" t="str">
        <f>IFERROR(__xludf.DUMMYFUNCTION("""COMPUTED_VALUE"""),"Negative")</f>
        <v>Negative</v>
      </c>
      <c r="G919" s="16">
        <f>IFERROR(__xludf.DUMMYFUNCTION("""COMPUTED_VALUE"""),2.0)</f>
        <v>2</v>
      </c>
      <c r="H919" s="8" t="str">
        <f>IFERROR(__xludf.DUMMYFUNCTION("""COMPUTED_VALUE"""),"CRLN")</f>
        <v>CRLN</v>
      </c>
    </row>
    <row r="920">
      <c r="A920" s="8" t="str">
        <f>IFERROR(__xludf.DUMMYFUNCTION("""COMPUTED_VALUE"""),"FLB4942")</f>
        <v>FLB4942</v>
      </c>
      <c r="B920" s="8" t="str">
        <f>IFERROR(__xludf.DUMMYFUNCTION("""COMPUTED_VALUE"""),"RUN-FLMP_2022-03-21_APS-085")</f>
        <v>RUN-FLMP_2022-03-21_APS-085</v>
      </c>
      <c r="C920" s="10">
        <f>VLOOKUP(B920,'Run Reconcile'!A$2:B1579,2,FALSE)</f>
        <v>44641</v>
      </c>
      <c r="D920" s="14">
        <f>IFERROR(__xludf.DUMMYFUNCTION("""COMPUTED_VALUE"""),44641.0)</f>
        <v>44641</v>
      </c>
      <c r="E920" s="15">
        <f>IFERROR(__xludf.DUMMYFUNCTION("""COMPUTED_VALUE"""),0.33234953703868086)</f>
        <v>0.332349537</v>
      </c>
      <c r="F920" s="8" t="str">
        <f>IFERROR(__xludf.DUMMYFUNCTION("""COMPUTED_VALUE"""),"Negative")</f>
        <v>Negative</v>
      </c>
      <c r="G920" s="16">
        <f>IFERROR(__xludf.DUMMYFUNCTION("""COMPUTED_VALUE"""),2.0)</f>
        <v>2</v>
      </c>
      <c r="H920" s="8" t="str">
        <f>IFERROR(__xludf.DUMMYFUNCTION("""COMPUTED_VALUE"""),"CRLN")</f>
        <v>CRLN</v>
      </c>
    </row>
    <row r="921">
      <c r="A921" s="8" t="str">
        <f>IFERROR(__xludf.DUMMYFUNCTION("""COMPUTED_VALUE"""),"FLB6744")</f>
        <v>FLB6744</v>
      </c>
      <c r="B921" s="8" t="str">
        <f>IFERROR(__xludf.DUMMYFUNCTION("""COMPUTED_VALUE"""),"RUN-FLMP_2022-03-21_APS-085")</f>
        <v>RUN-FLMP_2022-03-21_APS-085</v>
      </c>
      <c r="C921" s="10">
        <f>VLOOKUP(B921,'Run Reconcile'!A$2:B1579,2,FALSE)</f>
        <v>44641</v>
      </c>
      <c r="D921" s="14">
        <f>IFERROR(__xludf.DUMMYFUNCTION("""COMPUTED_VALUE"""),44641.0)</f>
        <v>44641</v>
      </c>
      <c r="E921" s="15">
        <f>IFERROR(__xludf.DUMMYFUNCTION("""COMPUTED_VALUE"""),0.3325231481467199)</f>
        <v>0.3325231481</v>
      </c>
      <c r="F921" s="8" t="str">
        <f>IFERROR(__xludf.DUMMYFUNCTION("""COMPUTED_VALUE"""),"Negative")</f>
        <v>Negative</v>
      </c>
      <c r="G921" s="16">
        <f>IFERROR(__xludf.DUMMYFUNCTION("""COMPUTED_VALUE"""),4.0)</f>
        <v>4</v>
      </c>
      <c r="H921" s="8" t="str">
        <f>IFERROR(__xludf.DUMMYFUNCTION("""COMPUTED_VALUE"""),"CRLN")</f>
        <v>CRLN</v>
      </c>
    </row>
    <row r="922">
      <c r="A922" s="8" t="str">
        <f>IFERROR(__xludf.DUMMYFUNCTION("""COMPUTED_VALUE"""),"FLB7181")</f>
        <v>FLB7181</v>
      </c>
      <c r="B922" s="8" t="str">
        <f>IFERROR(__xludf.DUMMYFUNCTION("""COMPUTED_VALUE"""),"RUN-FLMP_2022-03-21_APS-085")</f>
        <v>RUN-FLMP_2022-03-21_APS-085</v>
      </c>
      <c r="C922" s="10">
        <f>VLOOKUP(B922,'Run Reconcile'!A$2:B1579,2,FALSE)</f>
        <v>44641</v>
      </c>
      <c r="D922" s="14">
        <f>IFERROR(__xludf.DUMMYFUNCTION("""COMPUTED_VALUE"""),44641.0)</f>
        <v>44641</v>
      </c>
      <c r="E922" s="15">
        <f>IFERROR(__xludf.DUMMYFUNCTION("""COMPUTED_VALUE"""),0.33329861111269565)</f>
        <v>0.3332986111</v>
      </c>
      <c r="F922" s="8" t="str">
        <f>IFERROR(__xludf.DUMMYFUNCTION("""COMPUTED_VALUE"""),"Negative")</f>
        <v>Negative</v>
      </c>
      <c r="G922" s="16">
        <f>IFERROR(__xludf.DUMMYFUNCTION("""COMPUTED_VALUE"""),2.0)</f>
        <v>2</v>
      </c>
      <c r="H922" s="8" t="str">
        <f>IFERROR(__xludf.DUMMYFUNCTION("""COMPUTED_VALUE"""),"CRLN")</f>
        <v>CRLN</v>
      </c>
    </row>
    <row r="923">
      <c r="A923" s="8" t="str">
        <f>IFERROR(__xludf.DUMMYFUNCTION("""COMPUTED_VALUE"""),"FLB7350")</f>
        <v>FLB7350</v>
      </c>
      <c r="B923" s="8" t="str">
        <f>IFERROR(__xludf.DUMMYFUNCTION("""COMPUTED_VALUE"""),"RUN-FLMP_2022-03-21_APS-085")</f>
        <v>RUN-FLMP_2022-03-21_APS-085</v>
      </c>
      <c r="C923" s="10">
        <f>VLOOKUP(B923,'Run Reconcile'!A$2:B1579,2,FALSE)</f>
        <v>44641</v>
      </c>
      <c r="D923" s="14">
        <f>IFERROR(__xludf.DUMMYFUNCTION("""COMPUTED_VALUE"""),44641.0)</f>
        <v>44641</v>
      </c>
      <c r="E923" s="15">
        <f>IFERROR(__xludf.DUMMYFUNCTION("""COMPUTED_VALUE"""),0.3363310185195587)</f>
        <v>0.3363310185</v>
      </c>
      <c r="F923" s="8" t="str">
        <f>IFERROR(__xludf.DUMMYFUNCTION("""COMPUTED_VALUE"""),"Negative")</f>
        <v>Negative</v>
      </c>
      <c r="G923" s="16">
        <f>IFERROR(__xludf.DUMMYFUNCTION("""COMPUTED_VALUE"""),1.0)</f>
        <v>1</v>
      </c>
      <c r="H923" s="8" t="str">
        <f>IFERROR(__xludf.DUMMYFUNCTION("""COMPUTED_VALUE"""),"CRLN")</f>
        <v>CRLN</v>
      </c>
    </row>
    <row r="924">
      <c r="A924" s="8" t="str">
        <f>IFERROR(__xludf.DUMMYFUNCTION("""COMPUTED_VALUE"""),"FLB7288")</f>
        <v>FLB7288</v>
      </c>
      <c r="B924" s="8" t="str">
        <f>IFERROR(__xludf.DUMMYFUNCTION("""COMPUTED_VALUE"""),"RUN-FLMP_2022-03-21_APS-085")</f>
        <v>RUN-FLMP_2022-03-21_APS-085</v>
      </c>
      <c r="C924" s="10">
        <f>VLOOKUP(B924,'Run Reconcile'!A$2:B1579,2,FALSE)</f>
        <v>44641</v>
      </c>
      <c r="D924" s="14">
        <f>IFERROR(__xludf.DUMMYFUNCTION("""COMPUTED_VALUE"""),44641.0)</f>
        <v>44641</v>
      </c>
      <c r="E924" s="15">
        <f>IFERROR(__xludf.DUMMYFUNCTION("""COMPUTED_VALUE"""),0.3418634259251121)</f>
        <v>0.3418634259</v>
      </c>
      <c r="F924" s="8" t="str">
        <f>IFERROR(__xludf.DUMMYFUNCTION("""COMPUTED_VALUE"""),"Negative")</f>
        <v>Negative</v>
      </c>
      <c r="G924" s="16">
        <f>IFERROR(__xludf.DUMMYFUNCTION("""COMPUTED_VALUE"""),3.0)</f>
        <v>3</v>
      </c>
      <c r="H924" s="8" t="str">
        <f>IFERROR(__xludf.DUMMYFUNCTION("""COMPUTED_VALUE"""),"CRLN")</f>
        <v>CRLN</v>
      </c>
    </row>
    <row r="925">
      <c r="A925" s="8" t="str">
        <f>IFERROR(__xludf.DUMMYFUNCTION("""COMPUTED_VALUE"""),"FLB4905")</f>
        <v>FLB4905</v>
      </c>
      <c r="B925" s="8" t="str">
        <f>IFERROR(__xludf.DUMMYFUNCTION("""COMPUTED_VALUE"""),"RUN-FLMP_2022-03-21_APS-085")</f>
        <v>RUN-FLMP_2022-03-21_APS-085</v>
      </c>
      <c r="C925" s="10">
        <f>VLOOKUP(B925,'Run Reconcile'!A$2:B1579,2,FALSE)</f>
        <v>44641</v>
      </c>
      <c r="D925" s="14">
        <f>IFERROR(__xludf.DUMMYFUNCTION("""COMPUTED_VALUE"""),44641.0)</f>
        <v>44641</v>
      </c>
      <c r="E925" s="15">
        <f>IFERROR(__xludf.DUMMYFUNCTION("""COMPUTED_VALUE"""),0.34586805555591127)</f>
        <v>0.3458680556</v>
      </c>
      <c r="F925" s="8" t="str">
        <f>IFERROR(__xludf.DUMMYFUNCTION("""COMPUTED_VALUE"""),"Negative")</f>
        <v>Negative</v>
      </c>
      <c r="G925" s="16">
        <f>IFERROR(__xludf.DUMMYFUNCTION("""COMPUTED_VALUE"""),1.0)</f>
        <v>1</v>
      </c>
      <c r="H925" s="8" t="str">
        <f>IFERROR(__xludf.DUMMYFUNCTION("""COMPUTED_VALUE"""),"CRLN")</f>
        <v>CRLN</v>
      </c>
    </row>
    <row r="926">
      <c r="A926" s="8" t="str">
        <f>IFERROR(__xludf.DUMMYFUNCTION("""COMPUTED_VALUE"""),"FLB5751")</f>
        <v>FLB5751</v>
      </c>
      <c r="B926" s="8" t="str">
        <f>IFERROR(__xludf.DUMMYFUNCTION("""COMPUTED_VALUE"""),"RUN-FLMP_2022-03-21_APS-085")</f>
        <v>RUN-FLMP_2022-03-21_APS-085</v>
      </c>
      <c r="C926" s="10">
        <f>VLOOKUP(B926,'Run Reconcile'!A$2:B1579,2,FALSE)</f>
        <v>44641</v>
      </c>
      <c r="D926" s="14">
        <f>IFERROR(__xludf.DUMMYFUNCTION("""COMPUTED_VALUE"""),44641.0)</f>
        <v>44641</v>
      </c>
      <c r="E926" s="15">
        <f>IFERROR(__xludf.DUMMYFUNCTION("""COMPUTED_VALUE"""),0.3506134259259852)</f>
        <v>0.3506134259</v>
      </c>
      <c r="F926" s="8" t="str">
        <f>IFERROR(__xludf.DUMMYFUNCTION("""COMPUTED_VALUE"""),"Negative")</f>
        <v>Negative</v>
      </c>
      <c r="G926" s="16">
        <f>IFERROR(__xludf.DUMMYFUNCTION("""COMPUTED_VALUE"""),3.0)</f>
        <v>3</v>
      </c>
      <c r="H926" s="8" t="str">
        <f>IFERROR(__xludf.DUMMYFUNCTION("""COMPUTED_VALUE"""),"CRLN")</f>
        <v>CRLN</v>
      </c>
    </row>
    <row r="927">
      <c r="A927" s="8" t="str">
        <f>IFERROR(__xludf.DUMMYFUNCTION("""COMPUTED_VALUE"""),"FLB4904")</f>
        <v>FLB4904</v>
      </c>
      <c r="B927" s="8" t="str">
        <f>IFERROR(__xludf.DUMMYFUNCTION("""COMPUTED_VALUE"""),"RUN-FLMP_2022-03-21_APS-085")</f>
        <v>RUN-FLMP_2022-03-21_APS-085</v>
      </c>
      <c r="C927" s="10">
        <f>VLOOKUP(B927,'Run Reconcile'!A$2:B1579,2,FALSE)</f>
        <v>44641</v>
      </c>
      <c r="D927" s="14">
        <f>IFERROR(__xludf.DUMMYFUNCTION("""COMPUTED_VALUE"""),44641.0)</f>
        <v>44641</v>
      </c>
      <c r="E927" s="15">
        <f>IFERROR(__xludf.DUMMYFUNCTION("""COMPUTED_VALUE"""),0.3529050925935735)</f>
        <v>0.3529050926</v>
      </c>
      <c r="F927" s="8" t="str">
        <f>IFERROR(__xludf.DUMMYFUNCTION("""COMPUTED_VALUE"""),"Negative")</f>
        <v>Negative</v>
      </c>
      <c r="G927" s="16">
        <f>IFERROR(__xludf.DUMMYFUNCTION("""COMPUTED_VALUE"""),4.0)</f>
        <v>4</v>
      </c>
      <c r="H927" s="8" t="str">
        <f>IFERROR(__xludf.DUMMYFUNCTION("""COMPUTED_VALUE"""),"CRLN")</f>
        <v>CRLN</v>
      </c>
    </row>
    <row r="928">
      <c r="A928" s="8" t="str">
        <f>IFERROR(__xludf.DUMMYFUNCTION("""COMPUTED_VALUE"""),"FLT128")</f>
        <v>FLT128</v>
      </c>
      <c r="B928" s="8" t="str">
        <f>IFERROR(__xludf.DUMMYFUNCTION("""COMPUTED_VALUE"""),"RUN-FLMP_2022-03-21_APS-085")</f>
        <v>RUN-FLMP_2022-03-21_APS-085</v>
      </c>
      <c r="C928" s="10">
        <f>VLOOKUP(B928,'Run Reconcile'!A$2:B1579,2,FALSE)</f>
        <v>44641</v>
      </c>
      <c r="D928" s="14">
        <f>IFERROR(__xludf.DUMMYFUNCTION("""COMPUTED_VALUE"""),44641.0)</f>
        <v>44641</v>
      </c>
      <c r="E928" s="15">
        <f>IFERROR(__xludf.DUMMYFUNCTION("""COMPUTED_VALUE"""),0.35579861111182254)</f>
        <v>0.3557986111</v>
      </c>
      <c r="F928" s="8" t="str">
        <f>IFERROR(__xludf.DUMMYFUNCTION("""COMPUTED_VALUE"""),"Negative")</f>
        <v>Negative</v>
      </c>
      <c r="G928" s="16">
        <f>IFERROR(__xludf.DUMMYFUNCTION("""COMPUTED_VALUE"""),4.0)</f>
        <v>4</v>
      </c>
      <c r="H928" s="8" t="str">
        <f>IFERROR(__xludf.DUMMYFUNCTION("""COMPUTED_VALUE"""),"CRLN")</f>
        <v>CRLN</v>
      </c>
    </row>
    <row r="929">
      <c r="A929" s="8" t="str">
        <f>IFERROR(__xludf.DUMMYFUNCTION("""COMPUTED_VALUE"""),"FLB6806")</f>
        <v>FLB6806</v>
      </c>
      <c r="B929" s="8" t="str">
        <f>IFERROR(__xludf.DUMMYFUNCTION("""COMPUTED_VALUE"""),"RUN-FLMP_2022-03-21_APS-085")</f>
        <v>RUN-FLMP_2022-03-21_APS-085</v>
      </c>
      <c r="C929" s="10">
        <f>VLOOKUP(B929,'Run Reconcile'!A$2:B1579,2,FALSE)</f>
        <v>44641</v>
      </c>
      <c r="D929" s="14">
        <f>IFERROR(__xludf.DUMMYFUNCTION("""COMPUTED_VALUE"""),44641.0)</f>
        <v>44641</v>
      </c>
      <c r="E929" s="15">
        <f>IFERROR(__xludf.DUMMYFUNCTION("""COMPUTED_VALUE"""),0.359340277776937)</f>
        <v>0.3593402778</v>
      </c>
      <c r="F929" s="8" t="str">
        <f>IFERROR(__xludf.DUMMYFUNCTION("""COMPUTED_VALUE"""),"Negative")</f>
        <v>Negative</v>
      </c>
      <c r="G929" s="16">
        <f>IFERROR(__xludf.DUMMYFUNCTION("""COMPUTED_VALUE"""),1.0)</f>
        <v>1</v>
      </c>
      <c r="H929" s="8" t="str">
        <f>IFERROR(__xludf.DUMMYFUNCTION("""COMPUTED_VALUE"""),"CRLN")</f>
        <v>CRLN</v>
      </c>
    </row>
    <row r="930">
      <c r="A930" s="8" t="str">
        <f>IFERROR(__xludf.DUMMYFUNCTION("""COMPUTED_VALUE"""),"FLB7149")</f>
        <v>FLB7149</v>
      </c>
      <c r="B930" s="8" t="str">
        <f>IFERROR(__xludf.DUMMYFUNCTION("""COMPUTED_VALUE"""),"RUN-FLMP_2022-03-21_APS-085")</f>
        <v>RUN-FLMP_2022-03-21_APS-085</v>
      </c>
      <c r="C930" s="10">
        <f>VLOOKUP(B930,'Run Reconcile'!A$2:B1579,2,FALSE)</f>
        <v>44641</v>
      </c>
      <c r="D930" s="14">
        <f>IFERROR(__xludf.DUMMYFUNCTION("""COMPUTED_VALUE"""),44641.0)</f>
        <v>44641</v>
      </c>
      <c r="E930" s="15">
        <f>IFERROR(__xludf.DUMMYFUNCTION("""COMPUTED_VALUE"""),0.3604282407395658)</f>
        <v>0.3604282407</v>
      </c>
      <c r="F930" s="8" t="str">
        <f>IFERROR(__xludf.DUMMYFUNCTION("""COMPUTED_VALUE"""),"Negative")</f>
        <v>Negative</v>
      </c>
      <c r="G930" s="16">
        <f>IFERROR(__xludf.DUMMYFUNCTION("""COMPUTED_VALUE"""),4.0)</f>
        <v>4</v>
      </c>
      <c r="H930" s="8" t="str">
        <f>IFERROR(__xludf.DUMMYFUNCTION("""COMPUTED_VALUE"""),"CRLN")</f>
        <v>CRLN</v>
      </c>
    </row>
    <row r="931">
      <c r="A931" s="8" t="str">
        <f>IFERROR(__xludf.DUMMYFUNCTION("""COMPUTED_VALUE"""),"FLB7285")</f>
        <v>FLB7285</v>
      </c>
      <c r="B931" s="8" t="str">
        <f>IFERROR(__xludf.DUMMYFUNCTION("""COMPUTED_VALUE"""),"RUN-FLMP_2022-03-21_APS-085")</f>
        <v>RUN-FLMP_2022-03-21_APS-085</v>
      </c>
      <c r="C931" s="10">
        <f>VLOOKUP(B931,'Run Reconcile'!A$2:B1579,2,FALSE)</f>
        <v>44641</v>
      </c>
      <c r="D931" s="14">
        <f>IFERROR(__xludf.DUMMYFUNCTION("""COMPUTED_VALUE"""),44641.0)</f>
        <v>44641</v>
      </c>
      <c r="E931" s="15">
        <f>IFERROR(__xludf.DUMMYFUNCTION("""COMPUTED_VALUE"""),0.36193287037167465)</f>
        <v>0.3619328704</v>
      </c>
      <c r="F931" s="8" t="str">
        <f>IFERROR(__xludf.DUMMYFUNCTION("""COMPUTED_VALUE"""),"Negative")</f>
        <v>Negative</v>
      </c>
      <c r="G931" s="16">
        <f>IFERROR(__xludf.DUMMYFUNCTION("""COMPUTED_VALUE"""),2.0)</f>
        <v>2</v>
      </c>
      <c r="H931" s="8" t="str">
        <f>IFERROR(__xludf.DUMMYFUNCTION("""COMPUTED_VALUE"""),"CRLN")</f>
        <v>CRLN</v>
      </c>
    </row>
    <row r="932">
      <c r="A932" s="8" t="str">
        <f>IFERROR(__xludf.DUMMYFUNCTION("""COMPUTED_VALUE"""),"FLB6757")</f>
        <v>FLB6757</v>
      </c>
      <c r="B932" s="8" t="str">
        <f>IFERROR(__xludf.DUMMYFUNCTION("""COMPUTED_VALUE"""),"RUN-FLMP_2022-03-21_APS-085")</f>
        <v>RUN-FLMP_2022-03-21_APS-085</v>
      </c>
      <c r="C932" s="10">
        <f>VLOOKUP(B932,'Run Reconcile'!A$2:B1579,2,FALSE)</f>
        <v>44641</v>
      </c>
      <c r="D932" s="14">
        <f>IFERROR(__xludf.DUMMYFUNCTION("""COMPUTED_VALUE"""),44641.0)</f>
        <v>44641</v>
      </c>
      <c r="E932" s="15">
        <f>IFERROR(__xludf.DUMMYFUNCTION("""COMPUTED_VALUE"""),0.3656597222216078)</f>
        <v>0.3656597222</v>
      </c>
      <c r="F932" s="8" t="str">
        <f>IFERROR(__xludf.DUMMYFUNCTION("""COMPUTED_VALUE"""),"Negative")</f>
        <v>Negative</v>
      </c>
      <c r="G932" s="16">
        <f>IFERROR(__xludf.DUMMYFUNCTION("""COMPUTED_VALUE"""),3.0)</f>
        <v>3</v>
      </c>
      <c r="H932" s="8" t="str">
        <f>IFERROR(__xludf.DUMMYFUNCTION("""COMPUTED_VALUE"""),"CRLN")</f>
        <v>CRLN</v>
      </c>
    </row>
    <row r="933">
      <c r="A933" s="8" t="str">
        <f>IFERROR(__xludf.DUMMYFUNCTION("""COMPUTED_VALUE"""),"FLB7393")</f>
        <v>FLB7393</v>
      </c>
      <c r="B933" s="8" t="str">
        <f>IFERROR(__xludf.DUMMYFUNCTION("""COMPUTED_VALUE"""),"RUN-FLMP_2022-03-21_APS-085")</f>
        <v>RUN-FLMP_2022-03-21_APS-085</v>
      </c>
      <c r="C933" s="10">
        <f>VLOOKUP(B933,'Run Reconcile'!A$2:B1579,2,FALSE)</f>
        <v>44641</v>
      </c>
      <c r="D933" s="14">
        <f>IFERROR(__xludf.DUMMYFUNCTION("""COMPUTED_VALUE"""),44641.0)</f>
        <v>44641</v>
      </c>
      <c r="E933" s="15">
        <f>IFERROR(__xludf.DUMMYFUNCTION("""COMPUTED_VALUE"""),0.36942129629460396)</f>
        <v>0.3694212963</v>
      </c>
      <c r="F933" s="8" t="str">
        <f>IFERROR(__xludf.DUMMYFUNCTION("""COMPUTED_VALUE"""),"Negative")</f>
        <v>Negative</v>
      </c>
      <c r="G933" s="16">
        <f>IFERROR(__xludf.DUMMYFUNCTION("""COMPUTED_VALUE"""),2.0)</f>
        <v>2</v>
      </c>
      <c r="H933" s="8" t="str">
        <f>IFERROR(__xludf.DUMMYFUNCTION("""COMPUTED_VALUE"""),"CRLN")</f>
        <v>CRLN</v>
      </c>
    </row>
    <row r="934">
      <c r="A934" s="8" t="str">
        <f>IFERROR(__xludf.DUMMYFUNCTION("""COMPUTED_VALUE"""),"FLB4938")</f>
        <v>FLB4938</v>
      </c>
      <c r="B934" s="8" t="str">
        <f>IFERROR(__xludf.DUMMYFUNCTION("""COMPUTED_VALUE"""),"RUN-FLMP_2022-03-21_APS-085")</f>
        <v>RUN-FLMP_2022-03-21_APS-085</v>
      </c>
      <c r="C934" s="10">
        <f>VLOOKUP(B934,'Run Reconcile'!A$2:B1579,2,FALSE)</f>
        <v>44641</v>
      </c>
      <c r="D934" s="14">
        <f>IFERROR(__xludf.DUMMYFUNCTION("""COMPUTED_VALUE"""),44641.0)</f>
        <v>44641</v>
      </c>
      <c r="E934" s="15">
        <f>IFERROR(__xludf.DUMMYFUNCTION("""COMPUTED_VALUE"""),0.37359953703708015)</f>
        <v>0.373599537</v>
      </c>
      <c r="F934" s="8" t="str">
        <f>IFERROR(__xludf.DUMMYFUNCTION("""COMPUTED_VALUE"""),"Negative")</f>
        <v>Negative</v>
      </c>
      <c r="G934" s="16">
        <f>IFERROR(__xludf.DUMMYFUNCTION("""COMPUTED_VALUE"""),1.0)</f>
        <v>1</v>
      </c>
      <c r="H934" s="8" t="str">
        <f>IFERROR(__xludf.DUMMYFUNCTION("""COMPUTED_VALUE"""),"FLSP")</f>
        <v>FLSP</v>
      </c>
    </row>
    <row r="935">
      <c r="A935" s="8" t="str">
        <f>IFERROR(__xludf.DUMMYFUNCTION("""COMPUTED_VALUE"""),"MA585")</f>
        <v>MA585</v>
      </c>
      <c r="B935" s="8" t="str">
        <f>IFERROR(__xludf.DUMMYFUNCTION("""COMPUTED_VALUE"""),"RUN-FLMP_2022-03-22_RFR-103")</f>
        <v>RUN-FLMP_2022-03-22_RFR-103</v>
      </c>
      <c r="C935" s="10">
        <f>VLOOKUP(B935,'Run Reconcile'!A$2:B1579,2,FALSE)</f>
        <v>44642</v>
      </c>
      <c r="D935" s="14">
        <f>IFERROR(__xludf.DUMMYFUNCTION("""COMPUTED_VALUE"""),44642.0)</f>
        <v>44642</v>
      </c>
      <c r="E935" s="15">
        <f>IFERROR(__xludf.DUMMYFUNCTION("""COMPUTED_VALUE"""),0.43777777777722804)</f>
        <v>0.4377777778</v>
      </c>
      <c r="F935" s="8" t="str">
        <f>IFERROR(__xludf.DUMMYFUNCTION("""COMPUTED_VALUE"""),"Negative")</f>
        <v>Negative</v>
      </c>
      <c r="G935" s="16">
        <f>IFERROR(__xludf.DUMMYFUNCTION("""COMPUTED_VALUE"""),1.0)</f>
        <v>1</v>
      </c>
      <c r="H935" s="8" t="str">
        <f>IFERROR(__xludf.DUMMYFUNCTION("""COMPUTED_VALUE"""),"FLSP")</f>
        <v>FLSP</v>
      </c>
    </row>
    <row r="936">
      <c r="A936" s="8" t="str">
        <f>IFERROR(__xludf.DUMMYFUNCTION("""COMPUTED_VALUE"""),"FLB7152")</f>
        <v>FLB7152</v>
      </c>
      <c r="B936" s="8" t="str">
        <f>IFERROR(__xludf.DUMMYFUNCTION("""COMPUTED_VALUE"""),"RUN-FLMP_2022-03-24_APS-086")</f>
        <v>RUN-FLMP_2022-03-24_APS-086</v>
      </c>
      <c r="C936" s="10">
        <f>VLOOKUP(B936,'Run Reconcile'!A$2:B1579,2,FALSE)</f>
        <v>44644</v>
      </c>
      <c r="D936" s="14">
        <f>IFERROR(__xludf.DUMMYFUNCTION("""COMPUTED_VALUE"""),44644.0)</f>
        <v>44644</v>
      </c>
      <c r="E936" s="15">
        <f>IFERROR(__xludf.DUMMYFUNCTION("""COMPUTED_VALUE"""),0.27738425925781485)</f>
        <v>0.2773842593</v>
      </c>
      <c r="F936" s="8" t="str">
        <f>IFERROR(__xludf.DUMMYFUNCTION("""COMPUTED_VALUE"""),"Negative")</f>
        <v>Negative</v>
      </c>
      <c r="G936" s="16">
        <f>IFERROR(__xludf.DUMMYFUNCTION("""COMPUTED_VALUE"""),1.0)</f>
        <v>1</v>
      </c>
      <c r="H936" s="8" t="str">
        <f>IFERROR(__xludf.DUMMYFUNCTION("""COMPUTED_VALUE"""),"CRLN")</f>
        <v>CRLN</v>
      </c>
    </row>
    <row r="937">
      <c r="A937" s="8" t="str">
        <f>IFERROR(__xludf.DUMMYFUNCTION("""COMPUTED_VALUE"""),"FLB7145")</f>
        <v>FLB7145</v>
      </c>
      <c r="B937" s="8" t="str">
        <f>IFERROR(__xludf.DUMMYFUNCTION("""COMPUTED_VALUE"""),"RUN-FLMP_2022-03-24_APS-086")</f>
        <v>RUN-FLMP_2022-03-24_APS-086</v>
      </c>
      <c r="C937" s="10">
        <f>VLOOKUP(B937,'Run Reconcile'!A$2:B1579,2,FALSE)</f>
        <v>44644</v>
      </c>
      <c r="D937" s="14">
        <f>IFERROR(__xludf.DUMMYFUNCTION("""COMPUTED_VALUE"""),44644.0)</f>
        <v>44644</v>
      </c>
      <c r="E937" s="15">
        <f>IFERROR(__xludf.DUMMYFUNCTION("""COMPUTED_VALUE"""),0.27828703703562496)</f>
        <v>0.278287037</v>
      </c>
      <c r="F937" s="8" t="str">
        <f>IFERROR(__xludf.DUMMYFUNCTION("""COMPUTED_VALUE"""),"Negative")</f>
        <v>Negative</v>
      </c>
      <c r="G937" s="16">
        <f>IFERROR(__xludf.DUMMYFUNCTION("""COMPUTED_VALUE"""),4.0)</f>
        <v>4</v>
      </c>
      <c r="H937" s="8" t="str">
        <f>IFERROR(__xludf.DUMMYFUNCTION("""COMPUTED_VALUE"""),"CRLN")</f>
        <v>CRLN</v>
      </c>
    </row>
    <row r="938">
      <c r="A938" s="8" t="str">
        <f>IFERROR(__xludf.DUMMYFUNCTION("""COMPUTED_VALUE"""),"FLE903")</f>
        <v>FLE903</v>
      </c>
      <c r="B938" s="8" t="str">
        <f>IFERROR(__xludf.DUMMYFUNCTION("""COMPUTED_VALUE"""),"RUN-FLMP_2022-03-24_APS-086")</f>
        <v>RUN-FLMP_2022-03-24_APS-086</v>
      </c>
      <c r="C938" s="10">
        <f>VLOOKUP(B938,'Run Reconcile'!A$2:B1579,2,FALSE)</f>
        <v>44644</v>
      </c>
      <c r="D938" s="14">
        <f>IFERROR(__xludf.DUMMYFUNCTION("""COMPUTED_VALUE"""),44644.0)</f>
        <v>44644</v>
      </c>
      <c r="E938" s="15">
        <f>IFERROR(__xludf.DUMMYFUNCTION("""COMPUTED_VALUE"""),0.2907754629632109)</f>
        <v>0.290775463</v>
      </c>
      <c r="F938" s="8" t="str">
        <f>IFERROR(__xludf.DUMMYFUNCTION("""COMPUTED_VALUE"""),"Negative")</f>
        <v>Negative</v>
      </c>
      <c r="G938" s="16">
        <f>IFERROR(__xludf.DUMMYFUNCTION("""COMPUTED_VALUE"""),2.0)</f>
        <v>2</v>
      </c>
      <c r="H938" s="8" t="str">
        <f>IFERROR(__xludf.DUMMYFUNCTION("""COMPUTED_VALUE"""),"CRLN")</f>
        <v>CRLN</v>
      </c>
    </row>
    <row r="939">
      <c r="A939" s="8" t="str">
        <f>IFERROR(__xludf.DUMMYFUNCTION("""COMPUTED_VALUE"""),"FLB7143")</f>
        <v>FLB7143</v>
      </c>
      <c r="B939" s="8" t="str">
        <f>IFERROR(__xludf.DUMMYFUNCTION("""COMPUTED_VALUE"""),"RUN-FLMP_2022-03-24_APS-086")</f>
        <v>RUN-FLMP_2022-03-24_APS-086</v>
      </c>
      <c r="C939" s="10">
        <f>VLOOKUP(B939,'Run Reconcile'!A$2:B1579,2,FALSE)</f>
        <v>44644</v>
      </c>
      <c r="D939" s="14">
        <f>IFERROR(__xludf.DUMMYFUNCTION("""COMPUTED_VALUE"""),44644.0)</f>
        <v>44644</v>
      </c>
      <c r="E939" s="15">
        <f>IFERROR(__xludf.DUMMYFUNCTION("""COMPUTED_VALUE"""),0.31008101851693937)</f>
        <v>0.3100810185</v>
      </c>
      <c r="F939" s="8" t="str">
        <f>IFERROR(__xludf.DUMMYFUNCTION("""COMPUTED_VALUE"""),"Negative")</f>
        <v>Negative</v>
      </c>
      <c r="G939" s="16">
        <f>IFERROR(__xludf.DUMMYFUNCTION("""COMPUTED_VALUE"""),4.0)</f>
        <v>4</v>
      </c>
      <c r="H939" s="8" t="str">
        <f>IFERROR(__xludf.DUMMYFUNCTION("""COMPUTED_VALUE"""),"CRLN")</f>
        <v>CRLN</v>
      </c>
    </row>
    <row r="940">
      <c r="A940" s="8" t="str">
        <f>IFERROR(__xludf.DUMMYFUNCTION("""COMPUTED_VALUE"""),"FLB5985")</f>
        <v>FLB5985</v>
      </c>
      <c r="B940" s="8" t="str">
        <f>IFERROR(__xludf.DUMMYFUNCTION("""COMPUTED_VALUE"""),"RUN-FLMP_2022-03-24_APS-086")</f>
        <v>RUN-FLMP_2022-03-24_APS-086</v>
      </c>
      <c r="C940" s="10">
        <f>VLOOKUP(B940,'Run Reconcile'!A$2:B1579,2,FALSE)</f>
        <v>44644</v>
      </c>
      <c r="D940" s="14">
        <f>IFERROR(__xludf.DUMMYFUNCTION("""COMPUTED_VALUE"""),44644.0)</f>
        <v>44644</v>
      </c>
      <c r="E940" s="15">
        <f>IFERROR(__xludf.DUMMYFUNCTION("""COMPUTED_VALUE"""),0.31225694444583496)</f>
        <v>0.3122569444</v>
      </c>
      <c r="F940" s="8" t="str">
        <f>IFERROR(__xludf.DUMMYFUNCTION("""COMPUTED_VALUE"""),"Negative")</f>
        <v>Negative</v>
      </c>
      <c r="G940" s="16">
        <f>IFERROR(__xludf.DUMMYFUNCTION("""COMPUTED_VALUE"""),2.0)</f>
        <v>2</v>
      </c>
      <c r="H940" s="8" t="str">
        <f>IFERROR(__xludf.DUMMYFUNCTION("""COMPUTED_VALUE"""),"CRLN")</f>
        <v>CRLN</v>
      </c>
    </row>
    <row r="941">
      <c r="A941" s="8" t="str">
        <f>IFERROR(__xludf.DUMMYFUNCTION("""COMPUTED_VALUE"""),"FLB7281")</f>
        <v>FLB7281</v>
      </c>
      <c r="B941" s="8" t="str">
        <f>IFERROR(__xludf.DUMMYFUNCTION("""COMPUTED_VALUE"""),"RUN-FLMP_2022-03-24_APS-086")</f>
        <v>RUN-FLMP_2022-03-24_APS-086</v>
      </c>
      <c r="C941" s="10">
        <f>VLOOKUP(B941,'Run Reconcile'!A$2:B1579,2,FALSE)</f>
        <v>44644</v>
      </c>
      <c r="D941" s="14">
        <f>IFERROR(__xludf.DUMMYFUNCTION("""COMPUTED_VALUE"""),44644.0)</f>
        <v>44644</v>
      </c>
      <c r="E941" s="15">
        <f>IFERROR(__xludf.DUMMYFUNCTION("""COMPUTED_VALUE"""),0.3125)</f>
        <v>0.3125</v>
      </c>
      <c r="F941" s="8" t="str">
        <f>IFERROR(__xludf.DUMMYFUNCTION("""COMPUTED_VALUE"""),"Negative")</f>
        <v>Negative</v>
      </c>
      <c r="G941" s="16">
        <f>IFERROR(__xludf.DUMMYFUNCTION("""COMPUTED_VALUE"""),2.0)</f>
        <v>2</v>
      </c>
      <c r="H941" s="8" t="str">
        <f>IFERROR(__xludf.DUMMYFUNCTION("""COMPUTED_VALUE"""),"CRLN")</f>
        <v>CRLN</v>
      </c>
    </row>
    <row r="942">
      <c r="A942" s="8" t="str">
        <f>IFERROR(__xludf.DUMMYFUNCTION("""COMPUTED_VALUE"""),"FLB6767")</f>
        <v>FLB6767</v>
      </c>
      <c r="B942" s="8" t="str">
        <f>IFERROR(__xludf.DUMMYFUNCTION("""COMPUTED_VALUE"""),"RUN-FLMP_2022-03-24_APS-086")</f>
        <v>RUN-FLMP_2022-03-24_APS-086</v>
      </c>
      <c r="C942" s="10">
        <f>VLOOKUP(B942,'Run Reconcile'!A$2:B1579,2,FALSE)</f>
        <v>44644</v>
      </c>
      <c r="D942" s="14">
        <f>IFERROR(__xludf.DUMMYFUNCTION("""COMPUTED_VALUE"""),44644.0)</f>
        <v>44644</v>
      </c>
      <c r="E942" s="15">
        <f>IFERROR(__xludf.DUMMYFUNCTION("""COMPUTED_VALUE"""),0.31673611111182254)</f>
        <v>0.3167361111</v>
      </c>
      <c r="F942" s="8" t="str">
        <f>IFERROR(__xludf.DUMMYFUNCTION("""COMPUTED_VALUE"""),"Negative")</f>
        <v>Negative</v>
      </c>
      <c r="G942" s="16">
        <f>IFERROR(__xludf.DUMMYFUNCTION("""COMPUTED_VALUE"""),4.0)</f>
        <v>4</v>
      </c>
      <c r="H942" s="8" t="str">
        <f>IFERROR(__xludf.DUMMYFUNCTION("""COMPUTED_VALUE"""),"CRLN")</f>
        <v>CRLN</v>
      </c>
    </row>
    <row r="943">
      <c r="A943" s="8" t="str">
        <f>IFERROR(__xludf.DUMMYFUNCTION("""COMPUTED_VALUE"""),"FLB7171")</f>
        <v>FLB7171</v>
      </c>
      <c r="B943" s="8" t="str">
        <f>IFERROR(__xludf.DUMMYFUNCTION("""COMPUTED_VALUE"""),"RUN-FLMP_2022-03-24_APS-086")</f>
        <v>RUN-FLMP_2022-03-24_APS-086</v>
      </c>
      <c r="C943" s="10">
        <f>VLOOKUP(B943,'Run Reconcile'!A$2:B1579,2,FALSE)</f>
        <v>44644</v>
      </c>
      <c r="D943" s="14">
        <f>IFERROR(__xludf.DUMMYFUNCTION("""COMPUTED_VALUE"""),44644.0)</f>
        <v>44644</v>
      </c>
      <c r="E943" s="15">
        <f>IFERROR(__xludf.DUMMYFUNCTION("""COMPUTED_VALUE"""),0.32087962963123573)</f>
        <v>0.3208796296</v>
      </c>
      <c r="F943" s="8" t="str">
        <f>IFERROR(__xludf.DUMMYFUNCTION("""COMPUTED_VALUE"""),"Negative")</f>
        <v>Negative</v>
      </c>
      <c r="G943" s="16">
        <f>IFERROR(__xludf.DUMMYFUNCTION("""COMPUTED_VALUE"""),3.0)</f>
        <v>3</v>
      </c>
      <c r="H943" s="8" t="str">
        <f>IFERROR(__xludf.DUMMYFUNCTION("""COMPUTED_VALUE"""),"CRLN")</f>
        <v>CRLN</v>
      </c>
    </row>
    <row r="944">
      <c r="A944" s="8" t="str">
        <f>IFERROR(__xludf.DUMMYFUNCTION("""COMPUTED_VALUE"""),"FLB7178")</f>
        <v>FLB7178</v>
      </c>
      <c r="B944" s="8" t="str">
        <f>IFERROR(__xludf.DUMMYFUNCTION("""COMPUTED_VALUE"""),"RUN-FLMP_2022-03-24_APS-086")</f>
        <v>RUN-FLMP_2022-03-24_APS-086</v>
      </c>
      <c r="C944" s="10">
        <f>VLOOKUP(B944,'Run Reconcile'!A$2:B1579,2,FALSE)</f>
        <v>44644</v>
      </c>
      <c r="D944" s="14">
        <f>IFERROR(__xludf.DUMMYFUNCTION("""COMPUTED_VALUE"""),44644.0)</f>
        <v>44644</v>
      </c>
      <c r="E944" s="15">
        <f>IFERROR(__xludf.DUMMYFUNCTION("""COMPUTED_VALUE"""),0.3221412037019036)</f>
        <v>0.3221412037</v>
      </c>
      <c r="F944" s="8" t="str">
        <f>IFERROR(__xludf.DUMMYFUNCTION("""COMPUTED_VALUE"""),"Negative")</f>
        <v>Negative</v>
      </c>
      <c r="G944" s="16">
        <f>IFERROR(__xludf.DUMMYFUNCTION("""COMPUTED_VALUE"""),3.0)</f>
        <v>3</v>
      </c>
      <c r="H944" s="8" t="str">
        <f>IFERROR(__xludf.DUMMYFUNCTION("""COMPUTED_VALUE"""),"CRLN")</f>
        <v>CRLN</v>
      </c>
    </row>
    <row r="945">
      <c r="A945" s="8" t="str">
        <f>IFERROR(__xludf.DUMMYFUNCTION("""COMPUTED_VALUE"""),"FLB7359")</f>
        <v>FLB7359</v>
      </c>
      <c r="B945" s="8" t="str">
        <f>IFERROR(__xludf.DUMMYFUNCTION("""COMPUTED_VALUE"""),"RUN-FLMP_2022-03-24_APS-086")</f>
        <v>RUN-FLMP_2022-03-24_APS-086</v>
      </c>
      <c r="C945" s="10">
        <f>VLOOKUP(B945,'Run Reconcile'!A$2:B1579,2,FALSE)</f>
        <v>44644</v>
      </c>
      <c r="D945" s="14">
        <f>IFERROR(__xludf.DUMMYFUNCTION("""COMPUTED_VALUE"""),44644.0)</f>
        <v>44644</v>
      </c>
      <c r="E945" s="15">
        <f>IFERROR(__xludf.DUMMYFUNCTION("""COMPUTED_VALUE"""),0.3371412037049595)</f>
        <v>0.3371412037</v>
      </c>
      <c r="F945" s="8" t="str">
        <f>IFERROR(__xludf.DUMMYFUNCTION("""COMPUTED_VALUE"""),"Negative")</f>
        <v>Negative</v>
      </c>
      <c r="G945" s="16">
        <f>IFERROR(__xludf.DUMMYFUNCTION("""COMPUTED_VALUE"""),4.0)</f>
        <v>4</v>
      </c>
      <c r="H945" s="8" t="str">
        <f>IFERROR(__xludf.DUMMYFUNCTION("""COMPUTED_VALUE"""),"CRLN")</f>
        <v>CRLN</v>
      </c>
    </row>
    <row r="946">
      <c r="A946" s="8" t="str">
        <f>IFERROR(__xludf.DUMMYFUNCTION("""COMPUTED_VALUE"""),"FLB5982")</f>
        <v>FLB5982</v>
      </c>
      <c r="B946" s="8" t="str">
        <f>IFERROR(__xludf.DUMMYFUNCTION("""COMPUTED_VALUE"""),"RUN-FLMP_2022-03-24_APS-086")</f>
        <v>RUN-FLMP_2022-03-24_APS-086</v>
      </c>
      <c r="C946" s="10">
        <f>VLOOKUP(B946,'Run Reconcile'!A$2:B1579,2,FALSE)</f>
        <v>44644</v>
      </c>
      <c r="D946" s="14">
        <f>IFERROR(__xludf.DUMMYFUNCTION("""COMPUTED_VALUE"""),44644.0)</f>
        <v>44644</v>
      </c>
      <c r="E946" s="15">
        <f>IFERROR(__xludf.DUMMYFUNCTION("""COMPUTED_VALUE"""),0.33730324073985685)</f>
        <v>0.3373032407</v>
      </c>
      <c r="F946" s="8" t="str">
        <f>IFERROR(__xludf.DUMMYFUNCTION("""COMPUTED_VALUE"""),"Negative")</f>
        <v>Negative</v>
      </c>
      <c r="G946" s="16">
        <f>IFERROR(__xludf.DUMMYFUNCTION("""COMPUTED_VALUE"""),3.0)</f>
        <v>3</v>
      </c>
      <c r="H946" s="8" t="str">
        <f>IFERROR(__xludf.DUMMYFUNCTION("""COMPUTED_VALUE"""),"CRLN")</f>
        <v>CRLN</v>
      </c>
    </row>
    <row r="947">
      <c r="A947" s="8" t="str">
        <f>IFERROR(__xludf.DUMMYFUNCTION("""COMPUTED_VALUE"""),"FLB6545")</f>
        <v>FLB6545</v>
      </c>
      <c r="B947" s="8" t="str">
        <f>IFERROR(__xludf.DUMMYFUNCTION("""COMPUTED_VALUE"""),"RUN-FLMP_2022-03-24_APS-086")</f>
        <v>RUN-FLMP_2022-03-24_APS-086</v>
      </c>
      <c r="C947" s="10">
        <f>VLOOKUP(B947,'Run Reconcile'!A$2:B1579,2,FALSE)</f>
        <v>44644</v>
      </c>
      <c r="D947" s="14">
        <f>IFERROR(__xludf.DUMMYFUNCTION("""COMPUTED_VALUE"""),44644.0)</f>
        <v>44644</v>
      </c>
      <c r="E947" s="15">
        <f>IFERROR(__xludf.DUMMYFUNCTION("""COMPUTED_VALUE"""),0.3391435185185401)</f>
        <v>0.3391435185</v>
      </c>
      <c r="F947" s="8" t="str">
        <f>IFERROR(__xludf.DUMMYFUNCTION("""COMPUTED_VALUE"""),"Negative")</f>
        <v>Negative</v>
      </c>
      <c r="G947" s="16">
        <f>IFERROR(__xludf.DUMMYFUNCTION("""COMPUTED_VALUE"""),2.0)</f>
        <v>2</v>
      </c>
      <c r="H947" s="8" t="str">
        <f>IFERROR(__xludf.DUMMYFUNCTION("""COMPUTED_VALUE"""),"CRLN")</f>
        <v>CRLN</v>
      </c>
    </row>
    <row r="948">
      <c r="A948" s="8" t="str">
        <f>IFERROR(__xludf.DUMMYFUNCTION("""COMPUTED_VALUE"""),"FLB4892")</f>
        <v>FLB4892</v>
      </c>
      <c r="B948" s="8" t="str">
        <f>IFERROR(__xludf.DUMMYFUNCTION("""COMPUTED_VALUE"""),"RUN-FLMP_2022-03-24_APS-086")</f>
        <v>RUN-FLMP_2022-03-24_APS-086</v>
      </c>
      <c r="C948" s="10">
        <f>VLOOKUP(B948,'Run Reconcile'!A$2:B1579,2,FALSE)</f>
        <v>44644</v>
      </c>
      <c r="D948" s="14">
        <f>IFERROR(__xludf.DUMMYFUNCTION("""COMPUTED_VALUE"""),44644.0)</f>
        <v>44644</v>
      </c>
      <c r="E948" s="15">
        <f>IFERROR(__xludf.DUMMYFUNCTION("""COMPUTED_VALUE"""),0.3449074074087548)</f>
        <v>0.3449074074</v>
      </c>
      <c r="F948" s="8" t="str">
        <f>IFERROR(__xludf.DUMMYFUNCTION("""COMPUTED_VALUE"""),"Negative")</f>
        <v>Negative</v>
      </c>
      <c r="G948" s="16">
        <f>IFERROR(__xludf.DUMMYFUNCTION("""COMPUTED_VALUE"""),1.0)</f>
        <v>1</v>
      </c>
      <c r="H948" s="8" t="str">
        <f>IFERROR(__xludf.DUMMYFUNCTION("""COMPUTED_VALUE"""),"CRLN")</f>
        <v>CRLN</v>
      </c>
    </row>
    <row r="949">
      <c r="A949" s="8" t="str">
        <f>IFERROR(__xludf.DUMMYFUNCTION("""COMPUTED_VALUE"""),"FLB6859")</f>
        <v>FLB6859</v>
      </c>
      <c r="B949" s="8" t="str">
        <f>IFERROR(__xludf.DUMMYFUNCTION("""COMPUTED_VALUE"""),"RUN-FLMP_2022-03-24_APS-086")</f>
        <v>RUN-FLMP_2022-03-24_APS-086</v>
      </c>
      <c r="C949" s="10">
        <f>VLOOKUP(B949,'Run Reconcile'!A$2:B1579,2,FALSE)</f>
        <v>44644</v>
      </c>
      <c r="D949" s="14">
        <f>IFERROR(__xludf.DUMMYFUNCTION("""COMPUTED_VALUE"""),44644.0)</f>
        <v>44644</v>
      </c>
      <c r="E949" s="15">
        <f>IFERROR(__xludf.DUMMYFUNCTION("""COMPUTED_VALUE"""),0.348946759258979)</f>
        <v>0.3489467593</v>
      </c>
      <c r="F949" s="8" t="str">
        <f>IFERROR(__xludf.DUMMYFUNCTION("""COMPUTED_VALUE"""),"Negative")</f>
        <v>Negative</v>
      </c>
      <c r="G949" s="16">
        <f>IFERROR(__xludf.DUMMYFUNCTION("""COMPUTED_VALUE"""),2.0)</f>
        <v>2</v>
      </c>
      <c r="H949" s="8" t="str">
        <f>IFERROR(__xludf.DUMMYFUNCTION("""COMPUTED_VALUE"""),"CRLN")</f>
        <v>CRLN</v>
      </c>
    </row>
    <row r="950">
      <c r="A950" s="8" t="str">
        <f>IFERROR(__xludf.DUMMYFUNCTION("""COMPUTED_VALUE"""),"FLB4962")</f>
        <v>FLB4962</v>
      </c>
      <c r="B950" s="8" t="str">
        <f>IFERROR(__xludf.DUMMYFUNCTION("""COMPUTED_VALUE"""),"RUN-FLMP_2022-03-24_APS-086")</f>
        <v>RUN-FLMP_2022-03-24_APS-086</v>
      </c>
      <c r="C950" s="10">
        <f>VLOOKUP(B950,'Run Reconcile'!A$2:B1579,2,FALSE)</f>
        <v>44644</v>
      </c>
      <c r="D950" s="14">
        <f>IFERROR(__xludf.DUMMYFUNCTION("""COMPUTED_VALUE"""),44644.0)</f>
        <v>44644</v>
      </c>
      <c r="E950" s="15">
        <f>IFERROR(__xludf.DUMMYFUNCTION("""COMPUTED_VALUE"""),0.34924768518612836)</f>
        <v>0.3492476852</v>
      </c>
      <c r="F950" s="8" t="str">
        <f>IFERROR(__xludf.DUMMYFUNCTION("""COMPUTED_VALUE"""),"Negative")</f>
        <v>Negative</v>
      </c>
      <c r="G950" s="16">
        <f>IFERROR(__xludf.DUMMYFUNCTION("""COMPUTED_VALUE"""),2.0)</f>
        <v>2</v>
      </c>
      <c r="H950" s="8" t="str">
        <f>IFERROR(__xludf.DUMMYFUNCTION("""COMPUTED_VALUE"""),"CRLN")</f>
        <v>CRLN</v>
      </c>
    </row>
    <row r="951">
      <c r="A951" s="8" t="str">
        <f>IFERROR(__xludf.DUMMYFUNCTION("""COMPUTED_VALUE"""),"FLB6802")</f>
        <v>FLB6802</v>
      </c>
      <c r="B951" s="8" t="str">
        <f>IFERROR(__xludf.DUMMYFUNCTION("""COMPUTED_VALUE"""),"RUN-FLMP_2022-03-24_APS-086")</f>
        <v>RUN-FLMP_2022-03-24_APS-086</v>
      </c>
      <c r="C951" s="10">
        <f>VLOOKUP(B951,'Run Reconcile'!A$2:B1579,2,FALSE)</f>
        <v>44644</v>
      </c>
      <c r="D951" s="14">
        <f>IFERROR(__xludf.DUMMYFUNCTION("""COMPUTED_VALUE"""),44644.0)</f>
        <v>44644</v>
      </c>
      <c r="E951" s="15">
        <f>IFERROR(__xludf.DUMMYFUNCTION("""COMPUTED_VALUE"""),0.3533796296287619)</f>
        <v>0.3533796296</v>
      </c>
      <c r="F951" s="8" t="str">
        <f>IFERROR(__xludf.DUMMYFUNCTION("""COMPUTED_VALUE"""),"Negative")</f>
        <v>Negative</v>
      </c>
      <c r="G951" s="16">
        <f>IFERROR(__xludf.DUMMYFUNCTION("""COMPUTED_VALUE"""),1.0)</f>
        <v>1</v>
      </c>
      <c r="H951" s="8" t="str">
        <f>IFERROR(__xludf.DUMMYFUNCTION("""COMPUTED_VALUE"""),"CRLN")</f>
        <v>CRLN</v>
      </c>
    </row>
    <row r="952">
      <c r="A952" s="8" t="str">
        <f>IFERROR(__xludf.DUMMYFUNCTION("""COMPUTED_VALUE"""),"FLB7175")</f>
        <v>FLB7175</v>
      </c>
      <c r="B952" s="8" t="str">
        <f>IFERROR(__xludf.DUMMYFUNCTION("""COMPUTED_VALUE"""),"RUN-FLMP_2022-03-24_APS-086")</f>
        <v>RUN-FLMP_2022-03-24_APS-086</v>
      </c>
      <c r="C952" s="10">
        <f>VLOOKUP(B952,'Run Reconcile'!A$2:B1579,2,FALSE)</f>
        <v>44644</v>
      </c>
      <c r="D952" s="14">
        <f>IFERROR(__xludf.DUMMYFUNCTION("""COMPUTED_VALUE"""),44644.0)</f>
        <v>44644</v>
      </c>
      <c r="E952" s="15">
        <f>IFERROR(__xludf.DUMMYFUNCTION("""COMPUTED_VALUE"""),0.3543981481489027)</f>
        <v>0.3543981481</v>
      </c>
      <c r="F952" s="8" t="str">
        <f>IFERROR(__xludf.DUMMYFUNCTION("""COMPUTED_VALUE"""),"Negative")</f>
        <v>Negative</v>
      </c>
      <c r="G952" s="16">
        <f>IFERROR(__xludf.DUMMYFUNCTION("""COMPUTED_VALUE"""),3.0)</f>
        <v>3</v>
      </c>
      <c r="H952" s="8" t="str">
        <f>IFERROR(__xludf.DUMMYFUNCTION("""COMPUTED_VALUE"""),"CRLN")</f>
        <v>CRLN</v>
      </c>
    </row>
    <row r="953">
      <c r="A953" s="8" t="str">
        <f>IFERROR(__xludf.DUMMYFUNCTION("""COMPUTED_VALUE"""),"FLE349")</f>
        <v>FLE349</v>
      </c>
      <c r="B953" s="8" t="str">
        <f>IFERROR(__xludf.DUMMYFUNCTION("""COMPUTED_VALUE"""),"RUN-FLMP_2022-03-24_APS-086")</f>
        <v>RUN-FLMP_2022-03-24_APS-086</v>
      </c>
      <c r="C953" s="10">
        <f>VLOOKUP(B953,'Run Reconcile'!A$2:B1579,2,FALSE)</f>
        <v>44644</v>
      </c>
      <c r="D953" s="14">
        <f>IFERROR(__xludf.DUMMYFUNCTION("""COMPUTED_VALUE"""),44644.0)</f>
        <v>44644</v>
      </c>
      <c r="E953" s="15">
        <f>IFERROR(__xludf.DUMMYFUNCTION("""COMPUTED_VALUE"""),0.35688657407445135)</f>
        <v>0.3568865741</v>
      </c>
      <c r="F953" s="8" t="str">
        <f>IFERROR(__xludf.DUMMYFUNCTION("""COMPUTED_VALUE"""),"Negative")</f>
        <v>Negative</v>
      </c>
      <c r="G953" s="16">
        <f>IFERROR(__xludf.DUMMYFUNCTION("""COMPUTED_VALUE"""),4.0)</f>
        <v>4</v>
      </c>
      <c r="H953" s="8" t="str">
        <f>IFERROR(__xludf.DUMMYFUNCTION("""COMPUTED_VALUE"""),"CRLN")</f>
        <v>CRLN</v>
      </c>
    </row>
    <row r="954">
      <c r="A954" s="8" t="str">
        <f>IFERROR(__xludf.DUMMYFUNCTION("""COMPUTED_VALUE"""),"FLB6777")</f>
        <v>FLB6777</v>
      </c>
      <c r="B954" s="8" t="str">
        <f>IFERROR(__xludf.DUMMYFUNCTION("""COMPUTED_VALUE"""),"RUN-FLMP_2022-03-24_APS-086")</f>
        <v>RUN-FLMP_2022-03-24_APS-086</v>
      </c>
      <c r="C954" s="10">
        <f>VLOOKUP(B954,'Run Reconcile'!A$2:B1579,2,FALSE)</f>
        <v>44644</v>
      </c>
      <c r="D954" s="14">
        <f>IFERROR(__xludf.DUMMYFUNCTION("""COMPUTED_VALUE"""),44644.0)</f>
        <v>44644</v>
      </c>
      <c r="E954" s="15">
        <f>IFERROR(__xludf.DUMMYFUNCTION("""COMPUTED_VALUE"""),0.35957175925796037)</f>
        <v>0.3595717593</v>
      </c>
      <c r="F954" s="8" t="str">
        <f>IFERROR(__xludf.DUMMYFUNCTION("""COMPUTED_VALUE"""),"Negative")</f>
        <v>Negative</v>
      </c>
      <c r="G954" s="16">
        <f>IFERROR(__xludf.DUMMYFUNCTION("""COMPUTED_VALUE"""),3.0)</f>
        <v>3</v>
      </c>
      <c r="H954" s="8" t="str">
        <f>IFERROR(__xludf.DUMMYFUNCTION("""COMPUTED_VALUE"""),"CRLN")</f>
        <v>CRLN</v>
      </c>
    </row>
    <row r="955">
      <c r="A955" s="8" t="str">
        <f>IFERROR(__xludf.DUMMYFUNCTION("""COMPUTED_VALUE"""),"FLB7188")</f>
        <v>FLB7188</v>
      </c>
      <c r="B955" s="8" t="str">
        <f>IFERROR(__xludf.DUMMYFUNCTION("""COMPUTED_VALUE"""),"RUN-FLMP_2022-03-24_APS-086")</f>
        <v>RUN-FLMP_2022-03-24_APS-086</v>
      </c>
      <c r="C955" s="10">
        <f>VLOOKUP(B955,'Run Reconcile'!A$2:B1579,2,FALSE)</f>
        <v>44644</v>
      </c>
      <c r="D955" s="14">
        <f>IFERROR(__xludf.DUMMYFUNCTION("""COMPUTED_VALUE"""),44644.0)</f>
        <v>44644</v>
      </c>
      <c r="E955" s="15">
        <f>IFERROR(__xludf.DUMMYFUNCTION("""COMPUTED_VALUE"""),0.36454861111269565)</f>
        <v>0.3645486111</v>
      </c>
      <c r="F955" s="8" t="str">
        <f>IFERROR(__xludf.DUMMYFUNCTION("""COMPUTED_VALUE"""),"Negative")</f>
        <v>Negative</v>
      </c>
      <c r="G955" s="16">
        <f>IFERROR(__xludf.DUMMYFUNCTION("""COMPUTED_VALUE"""),2.0)</f>
        <v>2</v>
      </c>
      <c r="H955" s="8" t="str">
        <f>IFERROR(__xludf.DUMMYFUNCTION("""COMPUTED_VALUE"""),"CRLN")</f>
        <v>CRLN</v>
      </c>
    </row>
    <row r="956">
      <c r="A956" s="8" t="str">
        <f>IFERROR(__xludf.DUMMYFUNCTION("""COMPUTED_VALUE"""),"FLB4957")</f>
        <v>FLB4957</v>
      </c>
      <c r="B956" s="8" t="str">
        <f>IFERROR(__xludf.DUMMYFUNCTION("""COMPUTED_VALUE"""),"RUN-FLMP_2022-03-24_APS-086")</f>
        <v>RUN-FLMP_2022-03-24_APS-086</v>
      </c>
      <c r="C956" s="10">
        <f>VLOOKUP(B956,'Run Reconcile'!A$2:B1579,2,FALSE)</f>
        <v>44644</v>
      </c>
      <c r="D956" s="14">
        <f>IFERROR(__xludf.DUMMYFUNCTION("""COMPUTED_VALUE"""),44644.0)</f>
        <v>44644</v>
      </c>
      <c r="E956" s="15">
        <f>IFERROR(__xludf.DUMMYFUNCTION("""COMPUTED_VALUE"""),0.36884259259386454)</f>
        <v>0.3688425926</v>
      </c>
      <c r="F956" s="8" t="str">
        <f>IFERROR(__xludf.DUMMYFUNCTION("""COMPUTED_VALUE"""),"Negative")</f>
        <v>Negative</v>
      </c>
      <c r="G956" s="16">
        <f>IFERROR(__xludf.DUMMYFUNCTION("""COMPUTED_VALUE"""),1.0)</f>
        <v>1</v>
      </c>
      <c r="H956" s="8" t="str">
        <f>IFERROR(__xludf.DUMMYFUNCTION("""COMPUTED_VALUE"""),"FLSP")</f>
        <v>FLSP</v>
      </c>
    </row>
    <row r="957">
      <c r="A957" s="8" t="str">
        <f>IFERROR(__xludf.DUMMYFUNCTION("""COMPUTED_VALUE"""),"FLB7148")</f>
        <v>FLB7148</v>
      </c>
      <c r="B957" s="8" t="str">
        <f>IFERROR(__xludf.DUMMYFUNCTION("""COMPUTED_VALUE"""),"RUN-FLMP_2022-03-24_APS-086")</f>
        <v>RUN-FLMP_2022-03-24_APS-086</v>
      </c>
      <c r="C957" s="10">
        <f>VLOOKUP(B957,'Run Reconcile'!A$2:B1579,2,FALSE)</f>
        <v>44644</v>
      </c>
      <c r="D957" s="14">
        <f>IFERROR(__xludf.DUMMYFUNCTION("""COMPUTED_VALUE"""),44644.0)</f>
        <v>44644</v>
      </c>
      <c r="E957" s="15">
        <f>IFERROR(__xludf.DUMMYFUNCTION("""COMPUTED_VALUE"""),0.3690393518518249)</f>
        <v>0.3690393519</v>
      </c>
      <c r="F957" s="8" t="str">
        <f>IFERROR(__xludf.DUMMYFUNCTION("""COMPUTED_VALUE"""),"Negative")</f>
        <v>Negative</v>
      </c>
      <c r="G957" s="16">
        <f>IFERROR(__xludf.DUMMYFUNCTION("""COMPUTED_VALUE"""),2.0)</f>
        <v>2</v>
      </c>
      <c r="H957" s="8" t="str">
        <f>IFERROR(__xludf.DUMMYFUNCTION("""COMPUTED_VALUE"""),"CRLN")</f>
        <v>CRLN</v>
      </c>
    </row>
    <row r="958">
      <c r="A958" s="8" t="str">
        <f>IFERROR(__xludf.DUMMYFUNCTION("""COMPUTED_VALUE"""),"FLB5988")</f>
        <v>FLB5988</v>
      </c>
      <c r="B958" s="8" t="str">
        <f>IFERROR(__xludf.DUMMYFUNCTION("""COMPUTED_VALUE"""),"RUN-FLMP_2022-03-24_APS-086")</f>
        <v>RUN-FLMP_2022-03-24_APS-086</v>
      </c>
      <c r="C958" s="10">
        <f>VLOOKUP(B958,'Run Reconcile'!A$2:B1579,2,FALSE)</f>
        <v>44644</v>
      </c>
      <c r="D958" s="14">
        <f>IFERROR(__xludf.DUMMYFUNCTION("""COMPUTED_VALUE"""),44644.0)</f>
        <v>44644</v>
      </c>
      <c r="E958" s="15">
        <f>IFERROR(__xludf.DUMMYFUNCTION("""COMPUTED_VALUE"""),0.3746296296303626)</f>
        <v>0.3746296296</v>
      </c>
      <c r="F958" s="8" t="str">
        <f>IFERROR(__xludf.DUMMYFUNCTION("""COMPUTED_VALUE"""),"Negative")</f>
        <v>Negative</v>
      </c>
      <c r="G958" s="16">
        <f>IFERROR(__xludf.DUMMYFUNCTION("""COMPUTED_VALUE"""),2.0)</f>
        <v>2</v>
      </c>
      <c r="H958" s="8" t="str">
        <f>IFERROR(__xludf.DUMMYFUNCTION("""COMPUTED_VALUE"""),"CRLN")</f>
        <v>CRLN</v>
      </c>
    </row>
    <row r="959">
      <c r="A959" s="8" t="str">
        <f>IFERROR(__xludf.DUMMYFUNCTION("""COMPUTED_VALUE"""),"FLB5777")</f>
        <v>FLB5777</v>
      </c>
      <c r="B959" s="8" t="str">
        <f>IFERROR(__xludf.DUMMYFUNCTION("""COMPUTED_VALUE"""),"RUN-FLMP_2022-03-24_APS-086")</f>
        <v>RUN-FLMP_2022-03-24_APS-086</v>
      </c>
      <c r="C959" s="10">
        <f>VLOOKUP(B959,'Run Reconcile'!A$2:B1579,2,FALSE)</f>
        <v>44644</v>
      </c>
      <c r="D959" s="14">
        <f>IFERROR(__xludf.DUMMYFUNCTION("""COMPUTED_VALUE"""),44644.0)</f>
        <v>44644</v>
      </c>
      <c r="E959" s="15">
        <f>IFERROR(__xludf.DUMMYFUNCTION("""COMPUTED_VALUE"""),0.3898958333338669)</f>
        <v>0.3898958333</v>
      </c>
      <c r="F959" s="8" t="str">
        <f>IFERROR(__xludf.DUMMYFUNCTION("""COMPUTED_VALUE"""),"Negative")</f>
        <v>Negative</v>
      </c>
      <c r="G959" s="16">
        <f>IFERROR(__xludf.DUMMYFUNCTION("""COMPUTED_VALUE"""),1.0)</f>
        <v>1</v>
      </c>
      <c r="H959" s="8" t="str">
        <f>IFERROR(__xludf.DUMMYFUNCTION("""COMPUTED_VALUE"""),"CRLN")</f>
        <v>CRLN</v>
      </c>
    </row>
    <row r="960">
      <c r="A960" s="8" t="str">
        <f>IFERROR(__xludf.DUMMYFUNCTION("""COMPUTED_VALUE"""),"FM4350")</f>
        <v>FM4350</v>
      </c>
      <c r="B960" s="8" t="str">
        <f>IFERROR(__xludf.DUMMYFUNCTION("""COMPUTED_VALUE"""),"RUN-FLMP_2022-03-28_APS-087")</f>
        <v>RUN-FLMP_2022-03-28_APS-087</v>
      </c>
      <c r="C960" s="10">
        <f>VLOOKUP(B960,'Run Reconcile'!A$2:B1579,2,FALSE)</f>
        <v>44648</v>
      </c>
      <c r="D960" s="14">
        <f>IFERROR(__xludf.DUMMYFUNCTION("""COMPUTED_VALUE"""),44648.0)</f>
        <v>44648</v>
      </c>
      <c r="E960" s="15">
        <f>IFERROR(__xludf.DUMMYFUNCTION("""COMPUTED_VALUE"""),0.49168981481489027)</f>
        <v>0.4916898148</v>
      </c>
      <c r="F960" s="8" t="str">
        <f>IFERROR(__xludf.DUMMYFUNCTION("""COMPUTED_VALUE"""),"Negative")</f>
        <v>Negative</v>
      </c>
      <c r="G960" s="16">
        <f>IFERROR(__xludf.DUMMYFUNCTION("""COMPUTED_VALUE"""),1.0)</f>
        <v>1</v>
      </c>
      <c r="H960" s="8" t="str">
        <f>IFERROR(__xludf.DUMMYFUNCTION("""COMPUTED_VALUE"""),"CRLN")</f>
        <v>CRLN</v>
      </c>
    </row>
    <row r="961">
      <c r="A961" s="8" t="str">
        <f>IFERROR(__xludf.DUMMYFUNCTION("""COMPUTED_VALUE"""),"FM4355")</f>
        <v>FM4355</v>
      </c>
      <c r="B961" s="8" t="str">
        <f>IFERROR(__xludf.DUMMYFUNCTION("""COMPUTED_VALUE"""),"RUN-FLMP_2022-03-28_APS-087")</f>
        <v>RUN-FLMP_2022-03-28_APS-087</v>
      </c>
      <c r="C961" s="10">
        <f>VLOOKUP(B961,'Run Reconcile'!A$2:B1579,2,FALSE)</f>
        <v>44648</v>
      </c>
      <c r="D961" s="14">
        <f>IFERROR(__xludf.DUMMYFUNCTION("""COMPUTED_VALUE"""),44648.0)</f>
        <v>44648</v>
      </c>
      <c r="E961" s="15">
        <f>IFERROR(__xludf.DUMMYFUNCTION("""COMPUTED_VALUE"""),0.49271990740817273)</f>
        <v>0.4927199074</v>
      </c>
      <c r="F961" s="8" t="str">
        <f>IFERROR(__xludf.DUMMYFUNCTION("""COMPUTED_VALUE"""),"Negative")</f>
        <v>Negative</v>
      </c>
      <c r="G961" s="16">
        <f>IFERROR(__xludf.DUMMYFUNCTION("""COMPUTED_VALUE"""),1.0)</f>
        <v>1</v>
      </c>
      <c r="H961" s="8" t="str">
        <f>IFERROR(__xludf.DUMMYFUNCTION("""COMPUTED_VALUE"""),"FLSP")</f>
        <v>FLSP</v>
      </c>
    </row>
    <row r="962">
      <c r="A962" s="8" t="str">
        <f>IFERROR(__xludf.DUMMYFUNCTION("""COMPUTED_VALUE"""),"FM4487")</f>
        <v>FM4487</v>
      </c>
      <c r="B962" s="8" t="str">
        <f>IFERROR(__xludf.DUMMYFUNCTION("""COMPUTED_VALUE"""),"RUN-FLMP_2022-03-28_APS-087")</f>
        <v>RUN-FLMP_2022-03-28_APS-087</v>
      </c>
      <c r="C962" s="10">
        <f>VLOOKUP(B962,'Run Reconcile'!A$2:B1579,2,FALSE)</f>
        <v>44648</v>
      </c>
      <c r="D962" s="14">
        <f>IFERROR(__xludf.DUMMYFUNCTION("""COMPUTED_VALUE"""),44648.0)</f>
        <v>44648</v>
      </c>
      <c r="E962" s="15">
        <f>IFERROR(__xludf.DUMMYFUNCTION("""COMPUTED_VALUE"""),0.5157870370385353)</f>
        <v>0.515787037</v>
      </c>
      <c r="F962" s="8" t="str">
        <f>IFERROR(__xludf.DUMMYFUNCTION("""COMPUTED_VALUE"""),"Negative")</f>
        <v>Negative</v>
      </c>
      <c r="G962" s="16">
        <f>IFERROR(__xludf.DUMMYFUNCTION("""COMPUTED_VALUE"""),1.0)</f>
        <v>1</v>
      </c>
      <c r="H962" s="8" t="str">
        <f>IFERROR(__xludf.DUMMYFUNCTION("""COMPUTED_VALUE"""),"CRLN")</f>
        <v>CRLN</v>
      </c>
    </row>
    <row r="963">
      <c r="A963" s="8" t="str">
        <f>IFERROR(__xludf.DUMMYFUNCTION("""COMPUTED_VALUE"""),"MA924")</f>
        <v>MA924</v>
      </c>
      <c r="B963" s="8" t="str">
        <f>IFERROR(__xludf.DUMMYFUNCTION("""COMPUTED_VALUE"""),"RUN-FLMP_2022-03-28_APS-087")</f>
        <v>RUN-FLMP_2022-03-28_APS-087</v>
      </c>
      <c r="C963" s="10">
        <f>VLOOKUP(B963,'Run Reconcile'!A$2:B1579,2,FALSE)</f>
        <v>44648</v>
      </c>
      <c r="D963" s="14">
        <f>IFERROR(__xludf.DUMMYFUNCTION("""COMPUTED_VALUE"""),44648.0)</f>
        <v>44648</v>
      </c>
      <c r="E963" s="15">
        <f>IFERROR(__xludf.DUMMYFUNCTION("""COMPUTED_VALUE"""),0.6228935185172304)</f>
        <v>0.6228935185</v>
      </c>
      <c r="F963" s="8" t="str">
        <f>IFERROR(__xludf.DUMMYFUNCTION("""COMPUTED_VALUE"""),"Negative")</f>
        <v>Negative</v>
      </c>
      <c r="G963" s="16">
        <f>IFERROR(__xludf.DUMMYFUNCTION("""COMPUTED_VALUE"""),1.0)</f>
        <v>1</v>
      </c>
      <c r="H963" s="8" t="str">
        <f>IFERROR(__xludf.DUMMYFUNCTION("""COMPUTED_VALUE"""),"CRLN")</f>
        <v>CRLN</v>
      </c>
    </row>
    <row r="964">
      <c r="A964" s="8" t="str">
        <f>IFERROR(__xludf.DUMMYFUNCTION("""COMPUTED_VALUE"""),"FM4483")</f>
        <v>FM4483</v>
      </c>
      <c r="B964" s="8" t="str">
        <f>IFERROR(__xludf.DUMMYFUNCTION("""COMPUTED_VALUE"""),"RUN-FLMP_2022-03-28_APS-087")</f>
        <v>RUN-FLMP_2022-03-28_APS-087</v>
      </c>
      <c r="C964" s="10">
        <f>VLOOKUP(B964,'Run Reconcile'!A$2:B1579,2,FALSE)</f>
        <v>44648</v>
      </c>
      <c r="D964" s="14">
        <f>IFERROR(__xludf.DUMMYFUNCTION("""COMPUTED_VALUE"""),44648.0)</f>
        <v>44648</v>
      </c>
      <c r="E964" s="15">
        <f>IFERROR(__xludf.DUMMYFUNCTION("""COMPUTED_VALUE"""),0.6242129629645206)</f>
        <v>0.624212963</v>
      </c>
      <c r="F964" s="8" t="str">
        <f>IFERROR(__xludf.DUMMYFUNCTION("""COMPUTED_VALUE"""),"Negative")</f>
        <v>Negative</v>
      </c>
      <c r="G964" s="16">
        <f>IFERROR(__xludf.DUMMYFUNCTION("""COMPUTED_VALUE"""),1.0)</f>
        <v>1</v>
      </c>
      <c r="H964" s="8" t="str">
        <f>IFERROR(__xludf.DUMMYFUNCTION("""COMPUTED_VALUE"""),"FLSP")</f>
        <v>FLSP</v>
      </c>
    </row>
    <row r="965">
      <c r="A965" s="8" t="str">
        <f>IFERROR(__xludf.DUMMYFUNCTION("""COMPUTED_VALUE"""),"MA940")</f>
        <v>MA940</v>
      </c>
      <c r="B965" s="8" t="str">
        <f>IFERROR(__xludf.DUMMYFUNCTION("""COMPUTED_VALUE"""),"RUN-FLMP_2022-04-01_APS-088")</f>
        <v>RUN-FLMP_2022-04-01_APS-088</v>
      </c>
      <c r="C965" s="10">
        <f>VLOOKUP(B965,'Run Reconcile'!A$2:B1579,2,FALSE)</f>
        <v>44652</v>
      </c>
      <c r="D965" s="14">
        <f>IFERROR(__xludf.DUMMYFUNCTION("""COMPUTED_VALUE"""),44652.0)</f>
        <v>44652</v>
      </c>
      <c r="E965" s="15">
        <f>IFERROR(__xludf.DUMMYFUNCTION("""COMPUTED_VALUE"""),0.35957175925796037)</f>
        <v>0.3595717593</v>
      </c>
      <c r="F965" s="8" t="str">
        <f>IFERROR(__xludf.DUMMYFUNCTION("""COMPUTED_VALUE"""),"Negative")</f>
        <v>Negative</v>
      </c>
      <c r="G965" s="16">
        <f>IFERROR(__xludf.DUMMYFUNCTION("""COMPUTED_VALUE"""),4.0)</f>
        <v>4</v>
      </c>
      <c r="H965" s="8" t="str">
        <f>IFERROR(__xludf.DUMMYFUNCTION("""COMPUTED_VALUE"""),"CRLN")</f>
        <v>CRLN</v>
      </c>
    </row>
    <row r="966">
      <c r="A966" s="8" t="str">
        <f>IFERROR(__xludf.DUMMYFUNCTION("""COMPUTED_VALUE"""),"MAX396")</f>
        <v>MAX396</v>
      </c>
      <c r="B966" s="8" t="str">
        <f>IFERROR(__xludf.DUMMYFUNCTION("""COMPUTED_VALUE"""),"RUN-FLMP_2022-04-01_APS-088")</f>
        <v>RUN-FLMP_2022-04-01_APS-088</v>
      </c>
      <c r="C966" s="10">
        <f>VLOOKUP(B966,'Run Reconcile'!A$2:B1579,2,FALSE)</f>
        <v>44652</v>
      </c>
      <c r="D966" s="14">
        <f>IFERROR(__xludf.DUMMYFUNCTION("""COMPUTED_VALUE"""),44652.0)</f>
        <v>44652</v>
      </c>
      <c r="E966" s="15">
        <f>IFERROR(__xludf.DUMMYFUNCTION("""COMPUTED_VALUE"""),0.37959490740831825)</f>
        <v>0.3795949074</v>
      </c>
      <c r="F966" s="8" t="str">
        <f>IFERROR(__xludf.DUMMYFUNCTION("""COMPUTED_VALUE"""),"Negative")</f>
        <v>Negative</v>
      </c>
      <c r="G966" s="16">
        <f>IFERROR(__xludf.DUMMYFUNCTION("""COMPUTED_VALUE"""),1.0)</f>
        <v>1</v>
      </c>
      <c r="H966" s="8" t="str">
        <f>IFERROR(__xludf.DUMMYFUNCTION("""COMPUTED_VALUE"""),"CRLN")</f>
        <v>CRLN</v>
      </c>
    </row>
    <row r="967">
      <c r="A967" s="8" t="str">
        <f>IFERROR(__xludf.DUMMYFUNCTION("""COMPUTED_VALUE"""),"FM4497")</f>
        <v>FM4497</v>
      </c>
      <c r="B967" s="8" t="str">
        <f>IFERROR(__xludf.DUMMYFUNCTION("""COMPUTED_VALUE"""),"RUN-FLMP_2022-04-01_APS-088")</f>
        <v>RUN-FLMP_2022-04-01_APS-088</v>
      </c>
      <c r="C967" s="10">
        <f>VLOOKUP(B967,'Run Reconcile'!A$2:B1579,2,FALSE)</f>
        <v>44652</v>
      </c>
      <c r="D967" s="14">
        <f>IFERROR(__xludf.DUMMYFUNCTION("""COMPUTED_VALUE"""),44652.0)</f>
        <v>44652</v>
      </c>
      <c r="E967" s="15">
        <f>IFERROR(__xludf.DUMMYFUNCTION("""COMPUTED_VALUE"""),0.4084259259252576)</f>
        <v>0.4084259259</v>
      </c>
      <c r="F967" s="8" t="str">
        <f>IFERROR(__xludf.DUMMYFUNCTION("""COMPUTED_VALUE"""),"Negative")</f>
        <v>Negative</v>
      </c>
      <c r="G967" s="16">
        <f>IFERROR(__xludf.DUMMYFUNCTION("""COMPUTED_VALUE"""),1.0)</f>
        <v>1</v>
      </c>
      <c r="H967" s="8" t="str">
        <f>IFERROR(__xludf.DUMMYFUNCTION("""COMPUTED_VALUE"""),"FLSP")</f>
        <v>FLSP</v>
      </c>
    </row>
    <row r="968">
      <c r="A968" s="8" t="str">
        <f>IFERROR(__xludf.DUMMYFUNCTION("""COMPUTED_VALUE"""),"MA979")</f>
        <v>MA979</v>
      </c>
      <c r="B968" s="8" t="str">
        <f>IFERROR(__xludf.DUMMYFUNCTION("""COMPUTED_VALUE"""),"RUN-FLMP_2022-04-02_RFR-104")</f>
        <v>RUN-FLMP_2022-04-02_RFR-104</v>
      </c>
      <c r="C968" s="10">
        <f>VLOOKUP(B968,'Run Reconcile'!A$2:B1579,2,FALSE)</f>
        <v>44653</v>
      </c>
      <c r="D968" s="14">
        <f>IFERROR(__xludf.DUMMYFUNCTION("""COMPUTED_VALUE"""),44653.0)</f>
        <v>44653</v>
      </c>
      <c r="E968" s="15">
        <f>IFERROR(__xludf.DUMMYFUNCTION("""COMPUTED_VALUE"""),0.2946643518516794)</f>
        <v>0.2946643519</v>
      </c>
      <c r="F968" s="8" t="str">
        <f>IFERROR(__xludf.DUMMYFUNCTION("""COMPUTED_VALUE"""),"Negative")</f>
        <v>Negative</v>
      </c>
      <c r="G968" s="16">
        <f>IFERROR(__xludf.DUMMYFUNCTION("""COMPUTED_VALUE"""),4.0)</f>
        <v>4</v>
      </c>
      <c r="H968" s="8" t="str">
        <f>IFERROR(__xludf.DUMMYFUNCTION("""COMPUTED_VALUE"""),"CRLN")</f>
        <v>CRLN</v>
      </c>
    </row>
    <row r="969">
      <c r="A969" s="8" t="str">
        <f>IFERROR(__xludf.DUMMYFUNCTION("""COMPUTED_VALUE"""),"MA948")</f>
        <v>MA948</v>
      </c>
      <c r="B969" s="8" t="str">
        <f>IFERROR(__xludf.DUMMYFUNCTION("""COMPUTED_VALUE"""),"RUN-FLMP_2022-04-02_RFR-104")</f>
        <v>RUN-FLMP_2022-04-02_RFR-104</v>
      </c>
      <c r="C969" s="10">
        <f>VLOOKUP(B969,'Run Reconcile'!A$2:B1579,2,FALSE)</f>
        <v>44653</v>
      </c>
      <c r="D969" s="14">
        <f>IFERROR(__xludf.DUMMYFUNCTION("""COMPUTED_VALUE"""),44653.0)</f>
        <v>44653</v>
      </c>
      <c r="E969" s="15">
        <f>IFERROR(__xludf.DUMMYFUNCTION("""COMPUTED_VALUE"""),0.34212962962919846)</f>
        <v>0.3421296296</v>
      </c>
      <c r="F969" s="8" t="str">
        <f>IFERROR(__xludf.DUMMYFUNCTION("""COMPUTED_VALUE"""),"Negative")</f>
        <v>Negative</v>
      </c>
      <c r="G969" s="16">
        <f>IFERROR(__xludf.DUMMYFUNCTION("""COMPUTED_VALUE"""),4.0)</f>
        <v>4</v>
      </c>
      <c r="H969" s="8" t="str">
        <f>IFERROR(__xludf.DUMMYFUNCTION("""COMPUTED_VALUE"""),"CRLN")</f>
        <v>CRLN</v>
      </c>
    </row>
    <row r="970">
      <c r="A970" s="8" t="str">
        <f>IFERROR(__xludf.DUMMYFUNCTION("""COMPUTED_VALUE"""),"MA987")</f>
        <v>MA987</v>
      </c>
      <c r="B970" s="8" t="str">
        <f>IFERROR(__xludf.DUMMYFUNCTION("""COMPUTED_VALUE"""),"RUN-FLMP_2022-04-02_RFR-104")</f>
        <v>RUN-FLMP_2022-04-02_RFR-104</v>
      </c>
      <c r="C970" s="10">
        <f>VLOOKUP(B970,'Run Reconcile'!A$2:B1579,2,FALSE)</f>
        <v>44653</v>
      </c>
      <c r="D970" s="14">
        <f>IFERROR(__xludf.DUMMYFUNCTION("""COMPUTED_VALUE"""),44653.0)</f>
        <v>44653</v>
      </c>
      <c r="E970" s="15">
        <f>IFERROR(__xludf.DUMMYFUNCTION("""COMPUTED_VALUE"""),0.3690046296287619)</f>
        <v>0.3690046296</v>
      </c>
      <c r="F970" s="8" t="str">
        <f>IFERROR(__xludf.DUMMYFUNCTION("""COMPUTED_VALUE"""),"Negative")</f>
        <v>Negative</v>
      </c>
      <c r="G970" s="16">
        <f>IFERROR(__xludf.DUMMYFUNCTION("""COMPUTED_VALUE"""),3.0)</f>
        <v>3</v>
      </c>
      <c r="H970" s="8" t="str">
        <f>IFERROR(__xludf.DUMMYFUNCTION("""COMPUTED_VALUE"""),"CRLN")</f>
        <v>CRLN</v>
      </c>
    </row>
    <row r="971">
      <c r="A971" s="8" t="str">
        <f>IFERROR(__xludf.DUMMYFUNCTION("""COMPUTED_VALUE"""),"MA939")</f>
        <v>MA939</v>
      </c>
      <c r="B971" s="8" t="str">
        <f>IFERROR(__xludf.DUMMYFUNCTION("""COMPUTED_VALUE"""),"RUN-FLMP_2022-04-02_RFR-104")</f>
        <v>RUN-FLMP_2022-04-02_RFR-104</v>
      </c>
      <c r="C971" s="10">
        <f>VLOOKUP(B971,'Run Reconcile'!A$2:B1579,2,FALSE)</f>
        <v>44653</v>
      </c>
      <c r="D971" s="14">
        <f>IFERROR(__xludf.DUMMYFUNCTION("""COMPUTED_VALUE"""),44653.0)</f>
        <v>44653</v>
      </c>
      <c r="E971" s="15">
        <f>IFERROR(__xludf.DUMMYFUNCTION("""COMPUTED_VALUE"""),0.4014120370375167)</f>
        <v>0.401412037</v>
      </c>
      <c r="F971" s="8" t="str">
        <f>IFERROR(__xludf.DUMMYFUNCTION("""COMPUTED_VALUE"""),"Negative")</f>
        <v>Negative</v>
      </c>
      <c r="G971" s="16">
        <f>IFERROR(__xludf.DUMMYFUNCTION("""COMPUTED_VALUE"""),3.0)</f>
        <v>3</v>
      </c>
      <c r="H971" s="8" t="str">
        <f>IFERROR(__xludf.DUMMYFUNCTION("""COMPUTED_VALUE"""),"CRLN")</f>
        <v>CRLN</v>
      </c>
    </row>
    <row r="972">
      <c r="A972" s="8" t="str">
        <f>IFERROR(__xludf.DUMMYFUNCTION("""COMPUTED_VALUE"""),"FLT190")</f>
        <v>FLT190</v>
      </c>
      <c r="B972" s="8" t="str">
        <f>IFERROR(__xludf.DUMMYFUNCTION("""COMPUTED_VALUE"""),"RUN-FLMP_2022-04-04_RFR-105")</f>
        <v>RUN-FLMP_2022-04-04_RFR-105</v>
      </c>
      <c r="C972" s="10">
        <f>VLOOKUP(B972,'Run Reconcile'!A$2:B1579,2,FALSE)</f>
        <v>44655</v>
      </c>
      <c r="D972" s="14">
        <f>IFERROR(__xludf.DUMMYFUNCTION("""COMPUTED_VALUE"""),44654.0)</f>
        <v>44654</v>
      </c>
      <c r="E972" s="15">
        <f>IFERROR(__xludf.DUMMYFUNCTION("""COMPUTED_VALUE"""),0.434745370370365)</f>
        <v>0.4347453704</v>
      </c>
      <c r="F972" s="8" t="str">
        <f>IFERROR(__xludf.DUMMYFUNCTION("""COMPUTED_VALUE"""),"Negative")</f>
        <v>Negative</v>
      </c>
      <c r="G972" s="16">
        <f>IFERROR(__xludf.DUMMYFUNCTION("""COMPUTED_VALUE"""),4.0)</f>
        <v>4</v>
      </c>
      <c r="H972" s="8" t="str">
        <f>IFERROR(__xludf.DUMMYFUNCTION("""COMPUTED_VALUE"""),"CRLN")</f>
        <v>CRLN</v>
      </c>
    </row>
    <row r="973">
      <c r="A973" s="8" t="str">
        <f>IFERROR(__xludf.DUMMYFUNCTION("""COMPUTED_VALUE"""),"FLB5980")</f>
        <v>FLB5980</v>
      </c>
      <c r="B973" s="8" t="str">
        <f>IFERROR(__xludf.DUMMYFUNCTION("""COMPUTED_VALUE"""),"RUN-FLMP_2022-04-04_RFR-105")</f>
        <v>RUN-FLMP_2022-04-04_RFR-105</v>
      </c>
      <c r="C973" s="10">
        <f>VLOOKUP(B973,'Run Reconcile'!A$2:B1579,2,FALSE)</f>
        <v>44655</v>
      </c>
      <c r="D973" s="14">
        <f>IFERROR(__xludf.DUMMYFUNCTION("""COMPUTED_VALUE"""),44654.0)</f>
        <v>44654</v>
      </c>
      <c r="E973" s="15">
        <f>IFERROR(__xludf.DUMMYFUNCTION("""COMPUTED_VALUE"""),0.7120949074087548)</f>
        <v>0.7120949074</v>
      </c>
      <c r="F973" s="8" t="str">
        <f>IFERROR(__xludf.DUMMYFUNCTION("""COMPUTED_VALUE"""),"Negative")</f>
        <v>Negative</v>
      </c>
      <c r="G973" s="16">
        <f>IFERROR(__xludf.DUMMYFUNCTION("""COMPUTED_VALUE"""),1.0)</f>
        <v>1</v>
      </c>
      <c r="H973" s="8" t="str">
        <f>IFERROR(__xludf.DUMMYFUNCTION("""COMPUTED_VALUE"""),"CRLN")</f>
        <v>CRLN</v>
      </c>
    </row>
    <row r="974">
      <c r="A974" s="8" t="str">
        <f>IFERROR(__xludf.DUMMYFUNCTION("""COMPUTED_VALUE"""),"FLB7368")</f>
        <v>FLB7368</v>
      </c>
      <c r="B974" s="8" t="str">
        <f>IFERROR(__xludf.DUMMYFUNCTION("""COMPUTED_VALUE"""),"RUN-FLMP_2022-04-04_RFR-105")</f>
        <v>RUN-FLMP_2022-04-04_RFR-105</v>
      </c>
      <c r="C974" s="10">
        <f>VLOOKUP(B974,'Run Reconcile'!A$2:B1579,2,FALSE)</f>
        <v>44655</v>
      </c>
      <c r="D974" s="14">
        <f>IFERROR(__xludf.DUMMYFUNCTION("""COMPUTED_VALUE"""),44654.0)</f>
        <v>44654</v>
      </c>
      <c r="E974" s="15">
        <f>IFERROR(__xludf.DUMMYFUNCTION("""COMPUTED_VALUE"""),0.8262962962980964)</f>
        <v>0.8262962963</v>
      </c>
      <c r="F974" s="8" t="str">
        <f>IFERROR(__xludf.DUMMYFUNCTION("""COMPUTED_VALUE"""),"Negative")</f>
        <v>Negative</v>
      </c>
      <c r="G974" s="16">
        <f>IFERROR(__xludf.DUMMYFUNCTION("""COMPUTED_VALUE"""),4.0)</f>
        <v>4</v>
      </c>
      <c r="H974" s="8" t="str">
        <f>IFERROR(__xludf.DUMMYFUNCTION("""COMPUTED_VALUE"""),"CRLN")</f>
        <v>CRLN</v>
      </c>
    </row>
    <row r="975">
      <c r="A975" s="8" t="str">
        <f>IFERROR(__xludf.DUMMYFUNCTION("""COMPUTED_VALUE"""),"FLB7346")</f>
        <v>FLB7346</v>
      </c>
      <c r="B975" s="8" t="str">
        <f>IFERROR(__xludf.DUMMYFUNCTION("""COMPUTED_VALUE"""),"RUN-FLMP_2022-04-04_RFR-105")</f>
        <v>RUN-FLMP_2022-04-04_RFR-105</v>
      </c>
      <c r="C975" s="10">
        <f>VLOOKUP(B975,'Run Reconcile'!A$2:B1579,2,FALSE)</f>
        <v>44655</v>
      </c>
      <c r="D975" s="14">
        <f>IFERROR(__xludf.DUMMYFUNCTION("""COMPUTED_VALUE"""),44655.0)</f>
        <v>44655</v>
      </c>
      <c r="E975" s="15">
        <f>IFERROR(__xludf.DUMMYFUNCTION("""COMPUTED_VALUE"""),0.0)</f>
        <v>0</v>
      </c>
      <c r="F975" s="8" t="str">
        <f>IFERROR(__xludf.DUMMYFUNCTION("""COMPUTED_VALUE"""),"Negative")</f>
        <v>Negative</v>
      </c>
      <c r="G975" s="16">
        <f>IFERROR(__xludf.DUMMYFUNCTION("""COMPUTED_VALUE"""),4.0)</f>
        <v>4</v>
      </c>
      <c r="H975" s="8" t="str">
        <f>IFERROR(__xludf.DUMMYFUNCTION("""COMPUTED_VALUE"""),"CRLN")</f>
        <v>CRLN</v>
      </c>
    </row>
    <row r="976">
      <c r="A976" s="8" t="str">
        <f>IFERROR(__xludf.DUMMYFUNCTION("""COMPUTED_VALUE"""),"FLB7162")</f>
        <v>FLB7162</v>
      </c>
      <c r="B976" s="8" t="str">
        <f>IFERROR(__xludf.DUMMYFUNCTION("""COMPUTED_VALUE"""),"RUN-FLMP_2022-04-04_RFR-105")</f>
        <v>RUN-FLMP_2022-04-04_RFR-105</v>
      </c>
      <c r="C976" s="10">
        <f>VLOOKUP(B976,'Run Reconcile'!A$2:B1579,2,FALSE)</f>
        <v>44655</v>
      </c>
      <c r="D976" s="14">
        <f>IFERROR(__xludf.DUMMYFUNCTION("""COMPUTED_VALUE"""),44655.0)</f>
        <v>44655</v>
      </c>
      <c r="E976" s="15">
        <f>IFERROR(__xludf.DUMMYFUNCTION("""COMPUTED_VALUE"""),0.2610416666684614)</f>
        <v>0.2610416667</v>
      </c>
      <c r="F976" s="8" t="str">
        <f>IFERROR(__xludf.DUMMYFUNCTION("""COMPUTED_VALUE"""),"Negative")</f>
        <v>Negative</v>
      </c>
      <c r="G976" s="16">
        <f>IFERROR(__xludf.DUMMYFUNCTION("""COMPUTED_VALUE"""),1.0)</f>
        <v>1</v>
      </c>
      <c r="H976" s="8" t="str">
        <f>IFERROR(__xludf.DUMMYFUNCTION("""COMPUTED_VALUE"""),"CRLN")</f>
        <v>CRLN</v>
      </c>
    </row>
    <row r="977">
      <c r="A977" s="8" t="str">
        <f>IFERROR(__xludf.DUMMYFUNCTION("""COMPUTED_VALUE"""),"FLE855")</f>
        <v>FLE855</v>
      </c>
      <c r="B977" s="8" t="str">
        <f>IFERROR(__xludf.DUMMYFUNCTION("""COMPUTED_VALUE"""),"RUN-FLMP_2022-04-04_RFR-105")</f>
        <v>RUN-FLMP_2022-04-04_RFR-105</v>
      </c>
      <c r="C977" s="10">
        <f>VLOOKUP(B977,'Run Reconcile'!A$2:B1579,2,FALSE)</f>
        <v>44655</v>
      </c>
      <c r="D977" s="14">
        <f>IFERROR(__xludf.DUMMYFUNCTION("""COMPUTED_VALUE"""),44655.0)</f>
        <v>44655</v>
      </c>
      <c r="E977" s="15">
        <f>IFERROR(__xludf.DUMMYFUNCTION("""COMPUTED_VALUE"""),0.2853240740732872)</f>
        <v>0.2853240741</v>
      </c>
      <c r="F977" s="8" t="str">
        <f>IFERROR(__xludf.DUMMYFUNCTION("""COMPUTED_VALUE"""),"Negative")</f>
        <v>Negative</v>
      </c>
      <c r="G977" s="16">
        <f>IFERROR(__xludf.DUMMYFUNCTION("""COMPUTED_VALUE"""),2.0)</f>
        <v>2</v>
      </c>
      <c r="H977" s="8" t="str">
        <f>IFERROR(__xludf.DUMMYFUNCTION("""COMPUTED_VALUE"""),"CRLN")</f>
        <v>CRLN</v>
      </c>
    </row>
    <row r="978">
      <c r="A978" s="8" t="str">
        <f>IFERROR(__xludf.DUMMYFUNCTION("""COMPUTED_VALUE"""),"FLB4936")</f>
        <v>FLB4936</v>
      </c>
      <c r="B978" s="8" t="str">
        <f>IFERROR(__xludf.DUMMYFUNCTION("""COMPUTED_VALUE"""),"RUN-FLMP_2022-04-04_RFR-105")</f>
        <v>RUN-FLMP_2022-04-04_RFR-105</v>
      </c>
      <c r="C978" s="10">
        <f>VLOOKUP(B978,'Run Reconcile'!A$2:B1579,2,FALSE)</f>
        <v>44655</v>
      </c>
      <c r="D978" s="14">
        <f>IFERROR(__xludf.DUMMYFUNCTION("""COMPUTED_VALUE"""),44655.0)</f>
        <v>44655</v>
      </c>
      <c r="E978" s="15">
        <f>IFERROR(__xludf.DUMMYFUNCTION("""COMPUTED_VALUE"""),0.3120601851842366)</f>
        <v>0.3120601852</v>
      </c>
      <c r="F978" s="8" t="str">
        <f>IFERROR(__xludf.DUMMYFUNCTION("""COMPUTED_VALUE"""),"Negative")</f>
        <v>Negative</v>
      </c>
      <c r="G978" s="16">
        <f>IFERROR(__xludf.DUMMYFUNCTION("""COMPUTED_VALUE"""),1.0)</f>
        <v>1</v>
      </c>
      <c r="H978" s="8" t="str">
        <f>IFERROR(__xludf.DUMMYFUNCTION("""COMPUTED_VALUE"""),"CRLN")</f>
        <v>CRLN</v>
      </c>
    </row>
    <row r="979">
      <c r="A979" s="8" t="str">
        <f>IFERROR(__xludf.DUMMYFUNCTION("""COMPUTED_VALUE"""),"FLB4894")</f>
        <v>FLB4894</v>
      </c>
      <c r="B979" s="8" t="str">
        <f>IFERROR(__xludf.DUMMYFUNCTION("""COMPUTED_VALUE"""),"RUN-FLMP_2022-04-04_RFR-105")</f>
        <v>RUN-FLMP_2022-04-04_RFR-105</v>
      </c>
      <c r="C979" s="10">
        <f>VLOOKUP(B979,'Run Reconcile'!A$2:B1579,2,FALSE)</f>
        <v>44655</v>
      </c>
      <c r="D979" s="14">
        <f>IFERROR(__xludf.DUMMYFUNCTION("""COMPUTED_VALUE"""),44655.0)</f>
        <v>44655</v>
      </c>
      <c r="E979" s="15">
        <f>IFERROR(__xludf.DUMMYFUNCTION("""COMPUTED_VALUE"""),0.31346064814715646)</f>
        <v>0.3134606481</v>
      </c>
      <c r="F979" s="8" t="str">
        <f>IFERROR(__xludf.DUMMYFUNCTION("""COMPUTED_VALUE"""),"Negative")</f>
        <v>Negative</v>
      </c>
      <c r="G979" s="16">
        <f>IFERROR(__xludf.DUMMYFUNCTION("""COMPUTED_VALUE"""),3.0)</f>
        <v>3</v>
      </c>
      <c r="H979" s="8" t="str">
        <f>IFERROR(__xludf.DUMMYFUNCTION("""COMPUTED_VALUE"""),"CRLN")</f>
        <v>CRLN</v>
      </c>
    </row>
    <row r="980">
      <c r="A980" s="8" t="str">
        <f>IFERROR(__xludf.DUMMYFUNCTION("""COMPUTED_VALUE"""),"FLT1451")</f>
        <v>FLT1451</v>
      </c>
      <c r="B980" s="8" t="str">
        <f>IFERROR(__xludf.DUMMYFUNCTION("""COMPUTED_VALUE"""),"RUN-FLMP_2022-04-04_RFR-105")</f>
        <v>RUN-FLMP_2022-04-04_RFR-105</v>
      </c>
      <c r="C980" s="10">
        <f>VLOOKUP(B980,'Run Reconcile'!A$2:B1579,2,FALSE)</f>
        <v>44655</v>
      </c>
      <c r="D980" s="14">
        <f>IFERROR(__xludf.DUMMYFUNCTION("""COMPUTED_VALUE"""),44655.0)</f>
        <v>44655</v>
      </c>
      <c r="E980" s="15">
        <f>IFERROR(__xludf.DUMMYFUNCTION("""COMPUTED_VALUE"""),0.3182060185172304)</f>
        <v>0.3182060185</v>
      </c>
      <c r="F980" s="8" t="str">
        <f>IFERROR(__xludf.DUMMYFUNCTION("""COMPUTED_VALUE"""),"Negative")</f>
        <v>Negative</v>
      </c>
      <c r="G980" s="16">
        <f>IFERROR(__xludf.DUMMYFUNCTION("""COMPUTED_VALUE"""),4.0)</f>
        <v>4</v>
      </c>
      <c r="H980" s="8" t="str">
        <f>IFERROR(__xludf.DUMMYFUNCTION("""COMPUTED_VALUE"""),"CRLN")</f>
        <v>CRLN</v>
      </c>
    </row>
    <row r="981">
      <c r="A981" s="8" t="str">
        <f>IFERROR(__xludf.DUMMYFUNCTION("""COMPUTED_VALUE"""),"FLB6552")</f>
        <v>FLB6552</v>
      </c>
      <c r="B981" s="8" t="str">
        <f>IFERROR(__xludf.DUMMYFUNCTION("""COMPUTED_VALUE"""),"RUN-FLMP_2022-04-04_RFR-105")</f>
        <v>RUN-FLMP_2022-04-04_RFR-105</v>
      </c>
      <c r="C981" s="10">
        <f>VLOOKUP(B981,'Run Reconcile'!A$2:B1579,2,FALSE)</f>
        <v>44655</v>
      </c>
      <c r="D981" s="14">
        <f>IFERROR(__xludf.DUMMYFUNCTION("""COMPUTED_VALUE"""),44655.0)</f>
        <v>44655</v>
      </c>
      <c r="E981" s="15">
        <f>IFERROR(__xludf.DUMMYFUNCTION("""COMPUTED_VALUE"""),0.3227777777792653)</f>
        <v>0.3227777778</v>
      </c>
      <c r="F981" s="8" t="str">
        <f>IFERROR(__xludf.DUMMYFUNCTION("""COMPUTED_VALUE"""),"Negative")</f>
        <v>Negative</v>
      </c>
      <c r="G981" s="16">
        <f>IFERROR(__xludf.DUMMYFUNCTION("""COMPUTED_VALUE"""),4.0)</f>
        <v>4</v>
      </c>
      <c r="H981" s="8" t="str">
        <f>IFERROR(__xludf.DUMMYFUNCTION("""COMPUTED_VALUE"""),"CRLN")</f>
        <v>CRLN</v>
      </c>
    </row>
    <row r="982">
      <c r="A982" s="8" t="str">
        <f>IFERROR(__xludf.DUMMYFUNCTION("""COMPUTED_VALUE"""),"FLB5979")</f>
        <v>FLB5979</v>
      </c>
      <c r="B982" s="8" t="str">
        <f>IFERROR(__xludf.DUMMYFUNCTION("""COMPUTED_VALUE"""),"RUN-FLMP_2022-04-04_RFR-105")</f>
        <v>RUN-FLMP_2022-04-04_RFR-105</v>
      </c>
      <c r="C982" s="10">
        <f>VLOOKUP(B982,'Run Reconcile'!A$2:B1579,2,FALSE)</f>
        <v>44655</v>
      </c>
      <c r="D982" s="14">
        <f>IFERROR(__xludf.DUMMYFUNCTION("""COMPUTED_VALUE"""),44655.0)</f>
        <v>44655</v>
      </c>
      <c r="E982" s="15">
        <f>IFERROR(__xludf.DUMMYFUNCTION("""COMPUTED_VALUE"""),0.3287847222236451)</f>
        <v>0.3287847222</v>
      </c>
      <c r="F982" s="8" t="str">
        <f>IFERROR(__xludf.DUMMYFUNCTION("""COMPUTED_VALUE"""),"Negative")</f>
        <v>Negative</v>
      </c>
      <c r="G982" s="16">
        <f>IFERROR(__xludf.DUMMYFUNCTION("""COMPUTED_VALUE"""),3.0)</f>
        <v>3</v>
      </c>
      <c r="H982" s="8" t="str">
        <f>IFERROR(__xludf.DUMMYFUNCTION("""COMPUTED_VALUE"""),"CRLN")</f>
        <v>CRLN</v>
      </c>
    </row>
    <row r="983">
      <c r="A983" s="8" t="str">
        <f>IFERROR(__xludf.DUMMYFUNCTION("""COMPUTED_VALUE"""),"FLB7413")</f>
        <v>FLB7413</v>
      </c>
      <c r="B983" s="8" t="str">
        <f>IFERROR(__xludf.DUMMYFUNCTION("""COMPUTED_VALUE"""),"RUN-FLMP_2022-04-04_RFR-105")</f>
        <v>RUN-FLMP_2022-04-04_RFR-105</v>
      </c>
      <c r="C983" s="10">
        <f>VLOOKUP(B983,'Run Reconcile'!A$2:B1579,2,FALSE)</f>
        <v>44655</v>
      </c>
      <c r="D983" s="14">
        <f>IFERROR(__xludf.DUMMYFUNCTION("""COMPUTED_VALUE"""),44655.0)</f>
        <v>44655</v>
      </c>
      <c r="E983" s="15">
        <f>IFERROR(__xludf.DUMMYFUNCTION("""COMPUTED_VALUE"""),0.32945601851679385)</f>
        <v>0.3294560185</v>
      </c>
      <c r="F983" s="8" t="str">
        <f>IFERROR(__xludf.DUMMYFUNCTION("""COMPUTED_VALUE"""),"Negative")</f>
        <v>Negative</v>
      </c>
      <c r="G983" s="16">
        <f>IFERROR(__xludf.DUMMYFUNCTION("""COMPUTED_VALUE"""),3.0)</f>
        <v>3</v>
      </c>
      <c r="H983" s="8" t="str">
        <f>IFERROR(__xludf.DUMMYFUNCTION("""COMPUTED_VALUE"""),"CRLN")</f>
        <v>CRLN</v>
      </c>
    </row>
    <row r="984">
      <c r="A984" s="8" t="str">
        <f>IFERROR(__xludf.DUMMYFUNCTION("""COMPUTED_VALUE"""),"FLB7137")</f>
        <v>FLB7137</v>
      </c>
      <c r="B984" s="8" t="str">
        <f>IFERROR(__xludf.DUMMYFUNCTION("""COMPUTED_VALUE"""),"RUN-FLMP_2022-04-04_RFR-105")</f>
        <v>RUN-FLMP_2022-04-04_RFR-105</v>
      </c>
      <c r="C984" s="10">
        <f>VLOOKUP(B984,'Run Reconcile'!A$2:B1579,2,FALSE)</f>
        <v>44655</v>
      </c>
      <c r="D984" s="14">
        <f>IFERROR(__xludf.DUMMYFUNCTION("""COMPUTED_VALUE"""),44655.0)</f>
        <v>44655</v>
      </c>
      <c r="E984" s="15">
        <f>IFERROR(__xludf.DUMMYFUNCTION("""COMPUTED_VALUE"""),0.33228009259255487)</f>
        <v>0.3322800926</v>
      </c>
      <c r="F984" s="8" t="str">
        <f>IFERROR(__xludf.DUMMYFUNCTION("""COMPUTED_VALUE"""),"Negative")</f>
        <v>Negative</v>
      </c>
      <c r="G984" s="16">
        <f>IFERROR(__xludf.DUMMYFUNCTION("""COMPUTED_VALUE"""),3.0)</f>
        <v>3</v>
      </c>
      <c r="H984" s="8" t="str">
        <f>IFERROR(__xludf.DUMMYFUNCTION("""COMPUTED_VALUE"""),"CRLN")</f>
        <v>CRLN</v>
      </c>
    </row>
    <row r="985">
      <c r="A985" s="8" t="str">
        <f>IFERROR(__xludf.DUMMYFUNCTION("""COMPUTED_VALUE"""),"FLB6556")</f>
        <v>FLB6556</v>
      </c>
      <c r="B985" s="8" t="str">
        <f>IFERROR(__xludf.DUMMYFUNCTION("""COMPUTED_VALUE"""),"RUN-FLMP_2022-04-04_RFR-105")</f>
        <v>RUN-FLMP_2022-04-04_RFR-105</v>
      </c>
      <c r="C985" s="10">
        <f>VLOOKUP(B985,'Run Reconcile'!A$2:B1579,2,FALSE)</f>
        <v>44655</v>
      </c>
      <c r="D985" s="14">
        <f>IFERROR(__xludf.DUMMYFUNCTION("""COMPUTED_VALUE"""),44655.0)</f>
        <v>44655</v>
      </c>
      <c r="E985" s="15">
        <f>IFERROR(__xludf.DUMMYFUNCTION("""COMPUTED_VALUE"""),0.33355324074000237)</f>
        <v>0.3335532407</v>
      </c>
      <c r="F985" s="8" t="str">
        <f>IFERROR(__xludf.DUMMYFUNCTION("""COMPUTED_VALUE"""),"Negative")</f>
        <v>Negative</v>
      </c>
      <c r="G985" s="16">
        <f>IFERROR(__xludf.DUMMYFUNCTION("""COMPUTED_VALUE"""),2.0)</f>
        <v>2</v>
      </c>
      <c r="H985" s="8" t="str">
        <f>IFERROR(__xludf.DUMMYFUNCTION("""COMPUTED_VALUE"""),"CRLN")</f>
        <v>CRLN</v>
      </c>
    </row>
    <row r="986">
      <c r="A986" s="8" t="str">
        <f>IFERROR(__xludf.DUMMYFUNCTION("""COMPUTED_VALUE"""),"FLB5968")</f>
        <v>FLB5968</v>
      </c>
      <c r="B986" s="8" t="str">
        <f>IFERROR(__xludf.DUMMYFUNCTION("""COMPUTED_VALUE"""),"RUN-FLMP_2022-04-04_RFR-105")</f>
        <v>RUN-FLMP_2022-04-04_RFR-105</v>
      </c>
      <c r="C986" s="10">
        <f>VLOOKUP(B986,'Run Reconcile'!A$2:B1579,2,FALSE)</f>
        <v>44655</v>
      </c>
      <c r="D986" s="14">
        <f>IFERROR(__xludf.DUMMYFUNCTION("""COMPUTED_VALUE"""),44655.0)</f>
        <v>44655</v>
      </c>
      <c r="E986" s="15">
        <f>IFERROR(__xludf.DUMMYFUNCTION("""COMPUTED_VALUE"""),0.33918981481474475)</f>
        <v>0.3391898148</v>
      </c>
      <c r="F986" s="8" t="str">
        <f>IFERROR(__xludf.DUMMYFUNCTION("""COMPUTED_VALUE"""),"Negative")</f>
        <v>Negative</v>
      </c>
      <c r="G986" s="16">
        <f>IFERROR(__xludf.DUMMYFUNCTION("""COMPUTED_VALUE"""),2.0)</f>
        <v>2</v>
      </c>
      <c r="H986" s="8" t="str">
        <f>IFERROR(__xludf.DUMMYFUNCTION("""COMPUTED_VALUE"""),"CRLN")</f>
        <v>CRLN</v>
      </c>
    </row>
    <row r="987">
      <c r="A987" s="8" t="str">
        <f>IFERROR(__xludf.DUMMYFUNCTION("""COMPUTED_VALUE"""),"FLE877")</f>
        <v>FLE877</v>
      </c>
      <c r="B987" s="8" t="str">
        <f>IFERROR(__xludf.DUMMYFUNCTION("""COMPUTED_VALUE"""),"RUN-FLMP_2022-04-04_RFR-105")</f>
        <v>RUN-FLMP_2022-04-04_RFR-105</v>
      </c>
      <c r="C987" s="10">
        <f>VLOOKUP(B987,'Run Reconcile'!A$2:B1579,2,FALSE)</f>
        <v>44655</v>
      </c>
      <c r="D987" s="14">
        <f>IFERROR(__xludf.DUMMYFUNCTION("""COMPUTED_VALUE"""),44655.0)</f>
        <v>44655</v>
      </c>
      <c r="E987" s="15">
        <f>IFERROR(__xludf.DUMMYFUNCTION("""COMPUTED_VALUE"""),0.35277777777810115)</f>
        <v>0.3527777778</v>
      </c>
      <c r="F987" s="8" t="str">
        <f>IFERROR(__xludf.DUMMYFUNCTION("""COMPUTED_VALUE"""),"Negative")</f>
        <v>Negative</v>
      </c>
      <c r="G987" s="16">
        <f>IFERROR(__xludf.DUMMYFUNCTION("""COMPUTED_VALUE"""),4.0)</f>
        <v>4</v>
      </c>
      <c r="H987" s="8" t="str">
        <f>IFERROR(__xludf.DUMMYFUNCTION("""COMPUTED_VALUE"""),"CRLN")</f>
        <v>CRLN</v>
      </c>
    </row>
    <row r="988">
      <c r="A988" s="8" t="str">
        <f>IFERROR(__xludf.DUMMYFUNCTION("""COMPUTED_VALUE"""),"FLB5990")</f>
        <v>FLB5990</v>
      </c>
      <c r="B988" s="8" t="str">
        <f>IFERROR(__xludf.DUMMYFUNCTION("""COMPUTED_VALUE"""),"RUN-FLMP_2022-04-04_RFR-105")</f>
        <v>RUN-FLMP_2022-04-04_RFR-105</v>
      </c>
      <c r="C988" s="10">
        <f>VLOOKUP(B988,'Run Reconcile'!A$2:B1579,2,FALSE)</f>
        <v>44655</v>
      </c>
      <c r="D988" s="14">
        <f>IFERROR(__xludf.DUMMYFUNCTION("""COMPUTED_VALUE"""),44655.0)</f>
        <v>44655</v>
      </c>
      <c r="E988" s="15">
        <f>IFERROR(__xludf.DUMMYFUNCTION("""COMPUTED_VALUE"""),0.35384259259080864)</f>
        <v>0.3538425926</v>
      </c>
      <c r="F988" s="8" t="str">
        <f>IFERROR(__xludf.DUMMYFUNCTION("""COMPUTED_VALUE"""),"Negative")</f>
        <v>Negative</v>
      </c>
      <c r="G988" s="16">
        <f>IFERROR(__xludf.DUMMYFUNCTION("""COMPUTED_VALUE"""),4.0)</f>
        <v>4</v>
      </c>
      <c r="H988" s="8" t="str">
        <f>IFERROR(__xludf.DUMMYFUNCTION("""COMPUTED_VALUE"""),"CRLN")</f>
        <v>CRLN</v>
      </c>
    </row>
    <row r="989">
      <c r="A989" s="8" t="str">
        <f>IFERROR(__xludf.DUMMYFUNCTION("""COMPUTED_VALUE"""),"FLB7141")</f>
        <v>FLB7141</v>
      </c>
      <c r="B989" s="8" t="str">
        <f>IFERROR(__xludf.DUMMYFUNCTION("""COMPUTED_VALUE"""),"RUN-FLMP_2022-04-04_RFR-105")</f>
        <v>RUN-FLMP_2022-04-04_RFR-105</v>
      </c>
      <c r="C989" s="10">
        <f>VLOOKUP(B989,'Run Reconcile'!A$2:B1579,2,FALSE)</f>
        <v>44655</v>
      </c>
      <c r="D989" s="14">
        <f>IFERROR(__xludf.DUMMYFUNCTION("""COMPUTED_VALUE"""),44655.0)</f>
        <v>44655</v>
      </c>
      <c r="E989" s="15">
        <f>IFERROR(__xludf.DUMMYFUNCTION("""COMPUTED_VALUE"""),0.36281249999956344)</f>
        <v>0.3628125</v>
      </c>
      <c r="F989" s="8" t="str">
        <f>IFERROR(__xludf.DUMMYFUNCTION("""COMPUTED_VALUE"""),"Negative")</f>
        <v>Negative</v>
      </c>
      <c r="G989" s="16">
        <f>IFERROR(__xludf.DUMMYFUNCTION("""COMPUTED_VALUE"""),1.0)</f>
        <v>1</v>
      </c>
      <c r="H989" s="8" t="str">
        <f>IFERROR(__xludf.DUMMYFUNCTION("""COMPUTED_VALUE"""),"CRLN")</f>
        <v>CRLN</v>
      </c>
    </row>
    <row r="990">
      <c r="A990" s="8" t="str">
        <f>IFERROR(__xludf.DUMMYFUNCTION("""COMPUTED_VALUE"""),"FLB7140")</f>
        <v>FLB7140</v>
      </c>
      <c r="B990" s="8" t="str">
        <f>IFERROR(__xludf.DUMMYFUNCTION("""COMPUTED_VALUE"""),"RUN-FLMP_2022-04-04_RFR-105")</f>
        <v>RUN-FLMP_2022-04-04_RFR-105</v>
      </c>
      <c r="C990" s="10">
        <f>VLOOKUP(B990,'Run Reconcile'!A$2:B1579,2,FALSE)</f>
        <v>44655</v>
      </c>
      <c r="D990" s="14">
        <f>IFERROR(__xludf.DUMMYFUNCTION("""COMPUTED_VALUE"""),44655.0)</f>
        <v>44655</v>
      </c>
      <c r="E990" s="15">
        <f>IFERROR(__xludf.DUMMYFUNCTION("""COMPUTED_VALUE"""),0.36495370370539604)</f>
        <v>0.3649537037</v>
      </c>
      <c r="F990" s="8" t="str">
        <f>IFERROR(__xludf.DUMMYFUNCTION("""COMPUTED_VALUE"""),"Negative")</f>
        <v>Negative</v>
      </c>
      <c r="G990" s="16">
        <f>IFERROR(__xludf.DUMMYFUNCTION("""COMPUTED_VALUE"""),2.0)</f>
        <v>2</v>
      </c>
      <c r="H990" s="8" t="str">
        <f>IFERROR(__xludf.DUMMYFUNCTION("""COMPUTED_VALUE"""),"CRLN")</f>
        <v>CRLN</v>
      </c>
    </row>
    <row r="991">
      <c r="A991" s="8" t="str">
        <f>IFERROR(__xludf.DUMMYFUNCTION("""COMPUTED_VALUE"""),"FLB5970")</f>
        <v>FLB5970</v>
      </c>
      <c r="B991" s="8" t="str">
        <f>IFERROR(__xludf.DUMMYFUNCTION("""COMPUTED_VALUE"""),"RUN-FLMP_2022-04-04_RFR-105")</f>
        <v>RUN-FLMP_2022-04-04_RFR-105</v>
      </c>
      <c r="C991" s="10">
        <f>VLOOKUP(B991,'Run Reconcile'!A$2:B1579,2,FALSE)</f>
        <v>44655</v>
      </c>
      <c r="D991" s="14">
        <f>IFERROR(__xludf.DUMMYFUNCTION("""COMPUTED_VALUE"""),44655.0)</f>
        <v>44655</v>
      </c>
      <c r="E991" s="15">
        <f>IFERROR(__xludf.DUMMYFUNCTION("""COMPUTED_VALUE"""),0.36615740740671754)</f>
        <v>0.3661574074</v>
      </c>
      <c r="F991" s="8" t="str">
        <f>IFERROR(__xludf.DUMMYFUNCTION("""COMPUTED_VALUE"""),"Negative")</f>
        <v>Negative</v>
      </c>
      <c r="G991" s="16">
        <f>IFERROR(__xludf.DUMMYFUNCTION("""COMPUTED_VALUE"""),1.0)</f>
        <v>1</v>
      </c>
      <c r="H991" s="8" t="str">
        <f>IFERROR(__xludf.DUMMYFUNCTION("""COMPUTED_VALUE"""),"CRLN")</f>
        <v>CRLN</v>
      </c>
    </row>
    <row r="992">
      <c r="A992" s="8" t="str">
        <f>IFERROR(__xludf.DUMMYFUNCTION("""COMPUTED_VALUE"""),"FLT1135")</f>
        <v>FLT1135</v>
      </c>
      <c r="B992" s="8" t="str">
        <f>IFERROR(__xludf.DUMMYFUNCTION("""COMPUTED_VALUE"""),"RUN-FLMP_2022-04-04_RFR-105")</f>
        <v>RUN-FLMP_2022-04-04_RFR-105</v>
      </c>
      <c r="C992" s="10">
        <f>VLOOKUP(B992,'Run Reconcile'!A$2:B1579,2,FALSE)</f>
        <v>44655</v>
      </c>
      <c r="D992" s="14">
        <f>IFERROR(__xludf.DUMMYFUNCTION("""COMPUTED_VALUE"""),44655.0)</f>
        <v>44655</v>
      </c>
      <c r="E992" s="15">
        <f>IFERROR(__xludf.DUMMYFUNCTION("""COMPUTED_VALUE"""),0.36699074074203963)</f>
        <v>0.3669907407</v>
      </c>
      <c r="F992" s="8" t="str">
        <f>IFERROR(__xludf.DUMMYFUNCTION("""COMPUTED_VALUE"""),"Negative")</f>
        <v>Negative</v>
      </c>
      <c r="G992" s="16">
        <f>IFERROR(__xludf.DUMMYFUNCTION("""COMPUTED_VALUE"""),2.0)</f>
        <v>2</v>
      </c>
      <c r="H992" s="8" t="str">
        <f>IFERROR(__xludf.DUMMYFUNCTION("""COMPUTED_VALUE"""),"FLSP")</f>
        <v>FLSP</v>
      </c>
    </row>
    <row r="993">
      <c r="A993" s="8" t="str">
        <f>IFERROR(__xludf.DUMMYFUNCTION("""COMPUTED_VALUE"""),"FLB6808")</f>
        <v>FLB6808</v>
      </c>
      <c r="B993" s="8" t="str">
        <f>IFERROR(__xludf.DUMMYFUNCTION("""COMPUTED_VALUE"""),"RUN-FLMP_2022-04-04_RFR-105")</f>
        <v>RUN-FLMP_2022-04-04_RFR-105</v>
      </c>
      <c r="C993" s="10">
        <f>VLOOKUP(B993,'Run Reconcile'!A$2:B1579,2,FALSE)</f>
        <v>44655</v>
      </c>
      <c r="D993" s="14">
        <f>IFERROR(__xludf.DUMMYFUNCTION("""COMPUTED_VALUE"""),44655.0)</f>
        <v>44655</v>
      </c>
      <c r="E993" s="15">
        <f>IFERROR(__xludf.DUMMYFUNCTION("""COMPUTED_VALUE"""),0.36949074074072996)</f>
        <v>0.3694907407</v>
      </c>
      <c r="F993" s="8" t="str">
        <f>IFERROR(__xludf.DUMMYFUNCTION("""COMPUTED_VALUE"""),"Negative")</f>
        <v>Negative</v>
      </c>
      <c r="G993" s="16">
        <f>IFERROR(__xludf.DUMMYFUNCTION("""COMPUTED_VALUE"""),4.0)</f>
        <v>4</v>
      </c>
      <c r="H993" s="8" t="str">
        <f>IFERROR(__xludf.DUMMYFUNCTION("""COMPUTED_VALUE"""),"CRLN")</f>
        <v>CRLN</v>
      </c>
    </row>
    <row r="994">
      <c r="A994" s="8" t="str">
        <f>IFERROR(__xludf.DUMMYFUNCTION("""COMPUTED_VALUE"""),"FLB5396")</f>
        <v>FLB5396</v>
      </c>
      <c r="B994" s="8" t="str">
        <f>IFERROR(__xludf.DUMMYFUNCTION("""COMPUTED_VALUE"""),"RUN-FLMP_2022-04-04_RFR-105")</f>
        <v>RUN-FLMP_2022-04-04_RFR-105</v>
      </c>
      <c r="C994" s="10">
        <f>VLOOKUP(B994,'Run Reconcile'!A$2:B1579,2,FALSE)</f>
        <v>44655</v>
      </c>
      <c r="D994" s="14">
        <f>IFERROR(__xludf.DUMMYFUNCTION("""COMPUTED_VALUE"""),44655.0)</f>
        <v>44655</v>
      </c>
      <c r="E994" s="15">
        <f>IFERROR(__xludf.DUMMYFUNCTION("""COMPUTED_VALUE"""),0.37512731481547235)</f>
        <v>0.3751273148</v>
      </c>
      <c r="F994" s="8" t="str">
        <f>IFERROR(__xludf.DUMMYFUNCTION("""COMPUTED_VALUE"""),"Negative")</f>
        <v>Negative</v>
      </c>
      <c r="G994" s="16">
        <f>IFERROR(__xludf.DUMMYFUNCTION("""COMPUTED_VALUE"""),3.0)</f>
        <v>3</v>
      </c>
      <c r="H994" s="8" t="str">
        <f>IFERROR(__xludf.DUMMYFUNCTION("""COMPUTED_VALUE"""),"CRLN")</f>
        <v>CRLN</v>
      </c>
    </row>
    <row r="995">
      <c r="A995" s="8" t="str">
        <f>IFERROR(__xludf.DUMMYFUNCTION("""COMPUTED_VALUE"""),"FLB7382")</f>
        <v>FLB7382</v>
      </c>
      <c r="B995" s="8" t="str">
        <f>IFERROR(__xludf.DUMMYFUNCTION("""COMPUTED_VALUE"""),"RUN-FLMP_2022-04-04_RFR-105")</f>
        <v>RUN-FLMP_2022-04-04_RFR-105</v>
      </c>
      <c r="C995" s="10">
        <f>VLOOKUP(B995,'Run Reconcile'!A$2:B1579,2,FALSE)</f>
        <v>44655</v>
      </c>
      <c r="D995" s="14">
        <f>IFERROR(__xludf.DUMMYFUNCTION("""COMPUTED_VALUE"""),44655.0)</f>
        <v>44655</v>
      </c>
      <c r="E995" s="15">
        <f>IFERROR(__xludf.DUMMYFUNCTION("""COMPUTED_VALUE"""),0.37868055555736646)</f>
        <v>0.3786805556</v>
      </c>
      <c r="F995" s="8" t="str">
        <f>IFERROR(__xludf.DUMMYFUNCTION("""COMPUTED_VALUE"""),"Negative")</f>
        <v>Negative</v>
      </c>
      <c r="G995" s="16">
        <f>IFERROR(__xludf.DUMMYFUNCTION("""COMPUTED_VALUE"""),1.0)</f>
        <v>1</v>
      </c>
      <c r="H995" s="8" t="str">
        <f>IFERROR(__xludf.DUMMYFUNCTION("""COMPUTED_VALUE"""),"CRLN")</f>
        <v>CRLN</v>
      </c>
    </row>
    <row r="996">
      <c r="A996" s="8" t="str">
        <f>IFERROR(__xludf.DUMMYFUNCTION("""COMPUTED_VALUE"""),"FLE238")</f>
        <v>FLE238</v>
      </c>
      <c r="B996" s="8" t="str">
        <f>IFERROR(__xludf.DUMMYFUNCTION("""COMPUTED_VALUE"""),"RUN-FLMP_2022-04-04_RFR-105")</f>
        <v>RUN-FLMP_2022-04-04_RFR-105</v>
      </c>
      <c r="C996" s="10">
        <f>VLOOKUP(B996,'Run Reconcile'!A$2:B1579,2,FALSE)</f>
        <v>44655</v>
      </c>
      <c r="D996" s="14">
        <f>IFERROR(__xludf.DUMMYFUNCTION("""COMPUTED_VALUE"""),44655.0)</f>
        <v>44655</v>
      </c>
      <c r="E996" s="15">
        <f>IFERROR(__xludf.DUMMYFUNCTION("""COMPUTED_VALUE"""),0.38737268518525525)</f>
        <v>0.3873726852</v>
      </c>
      <c r="F996" s="8" t="str">
        <f>IFERROR(__xludf.DUMMYFUNCTION("""COMPUTED_VALUE"""),"Negative")</f>
        <v>Negative</v>
      </c>
      <c r="G996" s="16">
        <f>IFERROR(__xludf.DUMMYFUNCTION("""COMPUTED_VALUE"""),3.0)</f>
        <v>3</v>
      </c>
      <c r="H996" s="8" t="str">
        <f>IFERROR(__xludf.DUMMYFUNCTION("""COMPUTED_VALUE"""),"FLSP")</f>
        <v>FLSP</v>
      </c>
    </row>
    <row r="997">
      <c r="A997" s="8" t="str">
        <f>IFERROR(__xludf.DUMMYFUNCTION("""COMPUTED_VALUE"""),"FLB7144")</f>
        <v>FLB7144</v>
      </c>
      <c r="B997" s="8" t="str">
        <f>IFERROR(__xludf.DUMMYFUNCTION("""COMPUTED_VALUE"""),"RUN-FLMP_2022-04-07_RFR-107")</f>
        <v>RUN-FLMP_2022-04-07_RFR-107</v>
      </c>
      <c r="C997" s="10">
        <f>VLOOKUP(B997,'Run Reconcile'!A$2:B1579,2,FALSE)</f>
        <v>44658</v>
      </c>
      <c r="D997" s="14">
        <f>IFERROR(__xludf.DUMMYFUNCTION("""COMPUTED_VALUE"""),44657.0)</f>
        <v>44657</v>
      </c>
      <c r="E997" s="15">
        <f>IFERROR(__xludf.DUMMYFUNCTION("""COMPUTED_VALUE"""),0.8370370370357705)</f>
        <v>0.837037037</v>
      </c>
      <c r="F997" s="8" t="str">
        <f>IFERROR(__xludf.DUMMYFUNCTION("""COMPUTED_VALUE"""),"Negative")</f>
        <v>Negative</v>
      </c>
      <c r="G997" s="16">
        <f>IFERROR(__xludf.DUMMYFUNCTION("""COMPUTED_VALUE"""),4.0)</f>
        <v>4</v>
      </c>
      <c r="H997" s="8" t="str">
        <f>IFERROR(__xludf.DUMMYFUNCTION("""COMPUTED_VALUE"""),"CRLN")</f>
        <v>CRLN</v>
      </c>
    </row>
    <row r="998">
      <c r="A998" s="8" t="str">
        <f>IFERROR(__xludf.DUMMYFUNCTION("""COMPUTED_VALUE"""),"FLB7418")</f>
        <v>FLB7418</v>
      </c>
      <c r="B998" s="8" t="str">
        <f>IFERROR(__xludf.DUMMYFUNCTION("""COMPUTED_VALUE"""),"RUN-FLMP_2022-04-07_RFR-107")</f>
        <v>RUN-FLMP_2022-04-07_RFR-107</v>
      </c>
      <c r="C998" s="10">
        <f>VLOOKUP(B998,'Run Reconcile'!A$2:B1579,2,FALSE)</f>
        <v>44658</v>
      </c>
      <c r="D998" s="14">
        <f>IFERROR(__xludf.DUMMYFUNCTION("""COMPUTED_VALUE"""),44658.0)</f>
        <v>44658</v>
      </c>
      <c r="E998" s="15">
        <f>IFERROR(__xludf.DUMMYFUNCTION("""COMPUTED_VALUE"""),0.3128587962964957)</f>
        <v>0.3128587963</v>
      </c>
      <c r="F998" s="8" t="str">
        <f>IFERROR(__xludf.DUMMYFUNCTION("""COMPUTED_VALUE"""),"Negative")</f>
        <v>Negative</v>
      </c>
      <c r="G998" s="16">
        <f>IFERROR(__xludf.DUMMYFUNCTION("""COMPUTED_VALUE"""),1.0)</f>
        <v>1</v>
      </c>
      <c r="H998" s="8" t="str">
        <f>IFERROR(__xludf.DUMMYFUNCTION("""COMPUTED_VALUE"""),"CRLN")</f>
        <v>CRLN</v>
      </c>
    </row>
    <row r="999">
      <c r="A999" s="8" t="str">
        <f>IFERROR(__xludf.DUMMYFUNCTION("""COMPUTED_VALUE"""),"FLB7354")</f>
        <v>FLB7354</v>
      </c>
      <c r="B999" s="8" t="str">
        <f>IFERROR(__xludf.DUMMYFUNCTION("""COMPUTED_VALUE"""),"RUN-FLMP_2022-04-07_RFR-107")</f>
        <v>RUN-FLMP_2022-04-07_RFR-107</v>
      </c>
      <c r="C999" s="10">
        <f>VLOOKUP(B999,'Run Reconcile'!A$2:B1579,2,FALSE)</f>
        <v>44658</v>
      </c>
      <c r="D999" s="14">
        <f>IFERROR(__xludf.DUMMYFUNCTION("""COMPUTED_VALUE"""),44658.0)</f>
        <v>44658</v>
      </c>
      <c r="E999" s="15">
        <f>IFERROR(__xludf.DUMMYFUNCTION("""COMPUTED_VALUE"""),0.3143865740748879)</f>
        <v>0.3143865741</v>
      </c>
      <c r="F999" s="8" t="str">
        <f>IFERROR(__xludf.DUMMYFUNCTION("""COMPUTED_VALUE"""),"Negative")</f>
        <v>Negative</v>
      </c>
      <c r="G999" s="16">
        <f>IFERROR(__xludf.DUMMYFUNCTION("""COMPUTED_VALUE"""),3.0)</f>
        <v>3</v>
      </c>
      <c r="H999" s="8" t="str">
        <f>IFERROR(__xludf.DUMMYFUNCTION("""COMPUTED_VALUE"""),"CRLN")</f>
        <v>CRLN</v>
      </c>
    </row>
    <row r="1000">
      <c r="A1000" s="8" t="str">
        <f>IFERROR(__xludf.DUMMYFUNCTION("""COMPUTED_VALUE"""),"FLB7427")</f>
        <v>FLB7427</v>
      </c>
      <c r="B1000" s="8" t="str">
        <f>IFERROR(__xludf.DUMMYFUNCTION("""COMPUTED_VALUE"""),"RUN-FLMP_2022-04-07_RFR-107")</f>
        <v>RUN-FLMP_2022-04-07_RFR-107</v>
      </c>
      <c r="C1000" s="10">
        <f>VLOOKUP(B1000,'Run Reconcile'!A$2:B1579,2,FALSE)</f>
        <v>44658</v>
      </c>
      <c r="D1000" s="14">
        <f>IFERROR(__xludf.DUMMYFUNCTION("""COMPUTED_VALUE"""),44658.0)</f>
        <v>44658</v>
      </c>
      <c r="E1000" s="15">
        <f>IFERROR(__xludf.DUMMYFUNCTION("""COMPUTED_VALUE"""),0.3175810185202863)</f>
        <v>0.3175810185</v>
      </c>
      <c r="F1000" s="8" t="str">
        <f>IFERROR(__xludf.DUMMYFUNCTION("""COMPUTED_VALUE"""),"Negative")</f>
        <v>Negative</v>
      </c>
      <c r="G1000" s="16">
        <f>IFERROR(__xludf.DUMMYFUNCTION("""COMPUTED_VALUE"""),4.0)</f>
        <v>4</v>
      </c>
      <c r="H1000" s="8" t="str">
        <f>IFERROR(__xludf.DUMMYFUNCTION("""COMPUTED_VALUE"""),"CRLN")</f>
        <v>CRLN</v>
      </c>
    </row>
    <row r="1001">
      <c r="A1001" s="8" t="str">
        <f>IFERROR(__xludf.DUMMYFUNCTION("""COMPUTED_VALUE"""),"FLB7282")</f>
        <v>FLB7282</v>
      </c>
      <c r="B1001" s="8" t="str">
        <f>IFERROR(__xludf.DUMMYFUNCTION("""COMPUTED_VALUE"""),"RUN-FLMP_2022-04-07_RFR-107")</f>
        <v>RUN-FLMP_2022-04-07_RFR-107</v>
      </c>
      <c r="C1001" s="10">
        <f>VLOOKUP(B1001,'Run Reconcile'!A$2:B1579,2,FALSE)</f>
        <v>44658</v>
      </c>
      <c r="D1001" s="14">
        <f>IFERROR(__xludf.DUMMYFUNCTION("""COMPUTED_VALUE"""),44658.0)</f>
        <v>44658</v>
      </c>
      <c r="E1001" s="15">
        <f>IFERROR(__xludf.DUMMYFUNCTION("""COMPUTED_VALUE"""),0.32585648148233304)</f>
        <v>0.3258564815</v>
      </c>
      <c r="F1001" s="8" t="str">
        <f>IFERROR(__xludf.DUMMYFUNCTION("""COMPUTED_VALUE"""),"Negative")</f>
        <v>Negative</v>
      </c>
      <c r="G1001" s="16">
        <f>IFERROR(__xludf.DUMMYFUNCTION("""COMPUTED_VALUE"""),3.0)</f>
        <v>3</v>
      </c>
      <c r="H1001" s="8" t="str">
        <f>IFERROR(__xludf.DUMMYFUNCTION("""COMPUTED_VALUE"""),"CRLN")</f>
        <v>CRLN</v>
      </c>
    </row>
    <row r="1002">
      <c r="A1002" s="8" t="str">
        <f>IFERROR(__xludf.DUMMYFUNCTION("""COMPUTED_VALUE"""),"FLB5399")</f>
        <v>FLB5399</v>
      </c>
      <c r="B1002" s="8" t="str">
        <f>IFERROR(__xludf.DUMMYFUNCTION("""COMPUTED_VALUE"""),"RUN-FLMP_2022-04-07_RFR-107")</f>
        <v>RUN-FLMP_2022-04-07_RFR-107</v>
      </c>
      <c r="C1002" s="10">
        <f>VLOOKUP(B1002,'Run Reconcile'!A$2:B1579,2,FALSE)</f>
        <v>44658</v>
      </c>
      <c r="D1002" s="14">
        <f>IFERROR(__xludf.DUMMYFUNCTION("""COMPUTED_VALUE"""),44658.0)</f>
        <v>44658</v>
      </c>
      <c r="E1002" s="15">
        <f>IFERROR(__xludf.DUMMYFUNCTION("""COMPUTED_VALUE"""),0.32927083333197515)</f>
        <v>0.3292708333</v>
      </c>
      <c r="F1002" s="8" t="str">
        <f>IFERROR(__xludf.DUMMYFUNCTION("""COMPUTED_VALUE"""),"Negative")</f>
        <v>Negative</v>
      </c>
      <c r="G1002" s="16">
        <f>IFERROR(__xludf.DUMMYFUNCTION("""COMPUTED_VALUE"""),4.0)</f>
        <v>4</v>
      </c>
      <c r="H1002" s="8" t="str">
        <f>IFERROR(__xludf.DUMMYFUNCTION("""COMPUTED_VALUE"""),"CRLN")</f>
        <v>CRLN</v>
      </c>
    </row>
    <row r="1003">
      <c r="A1003" s="8" t="str">
        <f>IFERROR(__xludf.DUMMYFUNCTION("""COMPUTED_VALUE"""),"FLB7398")</f>
        <v>FLB7398</v>
      </c>
      <c r="B1003" s="8" t="str">
        <f>IFERROR(__xludf.DUMMYFUNCTION("""COMPUTED_VALUE"""),"RUN-FLMP_2022-04-07_RFR-107")</f>
        <v>RUN-FLMP_2022-04-07_RFR-107</v>
      </c>
      <c r="C1003" s="10">
        <f>VLOOKUP(B1003,'Run Reconcile'!A$2:B1579,2,FALSE)</f>
        <v>44658</v>
      </c>
      <c r="D1003" s="14">
        <f>IFERROR(__xludf.DUMMYFUNCTION("""COMPUTED_VALUE"""),44658.0)</f>
        <v>44658</v>
      </c>
      <c r="E1003" s="15">
        <f>IFERROR(__xludf.DUMMYFUNCTION("""COMPUTED_VALUE"""),0.3395370370380988)</f>
        <v>0.339537037</v>
      </c>
      <c r="F1003" s="8" t="str">
        <f>IFERROR(__xludf.DUMMYFUNCTION("""COMPUTED_VALUE"""),"Negative")</f>
        <v>Negative</v>
      </c>
      <c r="G1003" s="16">
        <f>IFERROR(__xludf.DUMMYFUNCTION("""COMPUTED_VALUE"""),3.0)</f>
        <v>3</v>
      </c>
      <c r="H1003" s="8" t="str">
        <f>IFERROR(__xludf.DUMMYFUNCTION("""COMPUTED_VALUE"""),"CRLN")</f>
        <v>CRLN</v>
      </c>
    </row>
    <row r="1004">
      <c r="A1004" s="8" t="str">
        <f>IFERROR(__xludf.DUMMYFUNCTION("""COMPUTED_VALUE"""),"FLB7170")</f>
        <v>FLB7170</v>
      </c>
      <c r="B1004" s="8" t="str">
        <f>IFERROR(__xludf.DUMMYFUNCTION("""COMPUTED_VALUE"""),"RUN-FLMP_2022-04-07_RFR-107")</f>
        <v>RUN-FLMP_2022-04-07_RFR-107</v>
      </c>
      <c r="C1004" s="10">
        <f>VLOOKUP(B1004,'Run Reconcile'!A$2:B1579,2,FALSE)</f>
        <v>44658</v>
      </c>
      <c r="D1004" s="14">
        <f>IFERROR(__xludf.DUMMYFUNCTION("""COMPUTED_VALUE"""),44658.0)</f>
        <v>44658</v>
      </c>
      <c r="E1004" s="15">
        <f>IFERROR(__xludf.DUMMYFUNCTION("""COMPUTED_VALUE"""),0.34140046296306537)</f>
        <v>0.341400463</v>
      </c>
      <c r="F1004" s="8" t="str">
        <f>IFERROR(__xludf.DUMMYFUNCTION("""COMPUTED_VALUE"""),"Negative")</f>
        <v>Negative</v>
      </c>
      <c r="G1004" s="16">
        <f>IFERROR(__xludf.DUMMYFUNCTION("""COMPUTED_VALUE"""),1.0)</f>
        <v>1</v>
      </c>
      <c r="H1004" s="8" t="str">
        <f>IFERROR(__xludf.DUMMYFUNCTION("""COMPUTED_VALUE"""),"CRLN")</f>
        <v>CRLN</v>
      </c>
    </row>
    <row r="1005">
      <c r="A1005" s="8" t="str">
        <f>IFERROR(__xludf.DUMMYFUNCTION("""COMPUTED_VALUE"""),"FLB7424")</f>
        <v>FLB7424</v>
      </c>
      <c r="B1005" s="8" t="str">
        <f>IFERROR(__xludf.DUMMYFUNCTION("""COMPUTED_VALUE"""),"RUN-FLMP_2022-04-07_RFR-107")</f>
        <v>RUN-FLMP_2022-04-07_RFR-107</v>
      </c>
      <c r="C1005" s="10">
        <f>VLOOKUP(B1005,'Run Reconcile'!A$2:B1579,2,FALSE)</f>
        <v>44658</v>
      </c>
      <c r="D1005" s="14">
        <f>IFERROR(__xludf.DUMMYFUNCTION("""COMPUTED_VALUE"""),44658.0)</f>
        <v>44658</v>
      </c>
      <c r="E1005" s="15">
        <f>IFERROR(__xludf.DUMMYFUNCTION("""COMPUTED_VALUE"""),0.35262731481634546)</f>
        <v>0.3526273148</v>
      </c>
      <c r="F1005" s="8" t="str">
        <f>IFERROR(__xludf.DUMMYFUNCTION("""COMPUTED_VALUE"""),"Negative")</f>
        <v>Negative</v>
      </c>
      <c r="G1005" s="16">
        <f>IFERROR(__xludf.DUMMYFUNCTION("""COMPUTED_VALUE"""),2.0)</f>
        <v>2</v>
      </c>
      <c r="H1005" s="8" t="str">
        <f>IFERROR(__xludf.DUMMYFUNCTION("""COMPUTED_VALUE"""),"CRLN")</f>
        <v>CRLN</v>
      </c>
    </row>
    <row r="1006">
      <c r="A1006" s="8" t="str">
        <f>IFERROR(__xludf.DUMMYFUNCTION("""COMPUTED_VALUE"""),"FLB7341")</f>
        <v>FLB7341</v>
      </c>
      <c r="B1006" s="8" t="str">
        <f>IFERROR(__xludf.DUMMYFUNCTION("""COMPUTED_VALUE"""),"RUN-FLMP_2022-04-07_RFR-107")</f>
        <v>RUN-FLMP_2022-04-07_RFR-107</v>
      </c>
      <c r="C1006" s="10">
        <f>VLOOKUP(B1006,'Run Reconcile'!A$2:B1579,2,FALSE)</f>
        <v>44658</v>
      </c>
      <c r="D1006" s="14">
        <f>IFERROR(__xludf.DUMMYFUNCTION("""COMPUTED_VALUE"""),44658.0)</f>
        <v>44658</v>
      </c>
      <c r="E1006" s="15">
        <f>IFERROR(__xludf.DUMMYFUNCTION("""COMPUTED_VALUE"""),0.354108796294895)</f>
        <v>0.3541087963</v>
      </c>
      <c r="F1006" s="8" t="str">
        <f>IFERROR(__xludf.DUMMYFUNCTION("""COMPUTED_VALUE"""),"Negative")</f>
        <v>Negative</v>
      </c>
      <c r="G1006" s="16">
        <f>IFERROR(__xludf.DUMMYFUNCTION("""COMPUTED_VALUE"""),4.0)</f>
        <v>4</v>
      </c>
      <c r="H1006" s="8" t="str">
        <f>IFERROR(__xludf.DUMMYFUNCTION("""COMPUTED_VALUE"""),"CRLN")</f>
        <v>CRLN</v>
      </c>
    </row>
    <row r="1007">
      <c r="A1007" s="8" t="str">
        <f>IFERROR(__xludf.DUMMYFUNCTION("""COMPUTED_VALUE"""),"FLB6756")</f>
        <v>FLB6756</v>
      </c>
      <c r="B1007" s="8" t="str">
        <f>IFERROR(__xludf.DUMMYFUNCTION("""COMPUTED_VALUE"""),"RUN-FLMP_2022-04-07_RFR-107")</f>
        <v>RUN-FLMP_2022-04-07_RFR-107</v>
      </c>
      <c r="C1007" s="10">
        <f>VLOOKUP(B1007,'Run Reconcile'!A$2:B1579,2,FALSE)</f>
        <v>44658</v>
      </c>
      <c r="D1007" s="14">
        <f>IFERROR(__xludf.DUMMYFUNCTION("""COMPUTED_VALUE"""),44658.0)</f>
        <v>44658</v>
      </c>
      <c r="E1007" s="15">
        <f>IFERROR(__xludf.DUMMYFUNCTION("""COMPUTED_VALUE"""),0.35525462963050813)</f>
        <v>0.3552546296</v>
      </c>
      <c r="F1007" s="8" t="str">
        <f>IFERROR(__xludf.DUMMYFUNCTION("""COMPUTED_VALUE"""),"Negative")</f>
        <v>Negative</v>
      </c>
      <c r="G1007" s="16">
        <f>IFERROR(__xludf.DUMMYFUNCTION("""COMPUTED_VALUE"""),1.0)</f>
        <v>1</v>
      </c>
      <c r="H1007" s="8" t="str">
        <f>IFERROR(__xludf.DUMMYFUNCTION("""COMPUTED_VALUE"""),"CRLN")</f>
        <v>CRLN</v>
      </c>
    </row>
    <row r="1008">
      <c r="A1008" s="8" t="str">
        <f>IFERROR(__xludf.DUMMYFUNCTION("""COMPUTED_VALUE"""),"FLB4952")</f>
        <v>FLB4952</v>
      </c>
      <c r="B1008" s="8" t="str">
        <f>IFERROR(__xludf.DUMMYFUNCTION("""COMPUTED_VALUE"""),"RUN-FLMP_2022-04-07_RFR-107")</f>
        <v>RUN-FLMP_2022-04-07_RFR-107</v>
      </c>
      <c r="C1008" s="10">
        <f>VLOOKUP(B1008,'Run Reconcile'!A$2:B1579,2,FALSE)</f>
        <v>44658</v>
      </c>
      <c r="D1008" s="14">
        <f>IFERROR(__xludf.DUMMYFUNCTION("""COMPUTED_VALUE"""),44658.0)</f>
        <v>44658</v>
      </c>
      <c r="E1008" s="15">
        <f>IFERROR(__xludf.DUMMYFUNCTION("""COMPUTED_VALUE"""),0.3680555555547471)</f>
        <v>0.3680555556</v>
      </c>
      <c r="F1008" s="8" t="str">
        <f>IFERROR(__xludf.DUMMYFUNCTION("""COMPUTED_VALUE"""),"Negative")</f>
        <v>Negative</v>
      </c>
      <c r="G1008" s="16">
        <f>IFERROR(__xludf.DUMMYFUNCTION("""COMPUTED_VALUE"""),1.0)</f>
        <v>1</v>
      </c>
      <c r="H1008" s="8" t="str">
        <f>IFERROR(__xludf.DUMMYFUNCTION("""COMPUTED_VALUE"""),"FLSP")</f>
        <v>FLSP</v>
      </c>
    </row>
    <row r="1009">
      <c r="A1009" s="8" t="str">
        <f>IFERROR(__xludf.DUMMYFUNCTION("""COMPUTED_VALUE"""),"FLB5834")</f>
        <v>FLB5834</v>
      </c>
      <c r="B1009" s="8" t="str">
        <f>IFERROR(__xludf.DUMMYFUNCTION("""COMPUTED_VALUE"""),"RUN-FLMP_2022-04-07_RFR-107")</f>
        <v>RUN-FLMP_2022-04-07_RFR-107</v>
      </c>
      <c r="C1009" s="10">
        <f>VLOOKUP(B1009,'Run Reconcile'!A$2:B1579,2,FALSE)</f>
        <v>44658</v>
      </c>
      <c r="D1009" s="14">
        <f>IFERROR(__xludf.DUMMYFUNCTION("""COMPUTED_VALUE"""),44658.0)</f>
        <v>44658</v>
      </c>
      <c r="E1009" s="15">
        <f>IFERROR(__xludf.DUMMYFUNCTION("""COMPUTED_VALUE"""),0.3695486111100763)</f>
        <v>0.3695486111</v>
      </c>
      <c r="F1009" s="8" t="str">
        <f>IFERROR(__xludf.DUMMYFUNCTION("""COMPUTED_VALUE"""),"Negative")</f>
        <v>Negative</v>
      </c>
      <c r="G1009" s="16">
        <f>IFERROR(__xludf.DUMMYFUNCTION("""COMPUTED_VALUE"""),3.0)</f>
        <v>3</v>
      </c>
      <c r="H1009" s="8" t="str">
        <f>IFERROR(__xludf.DUMMYFUNCTION("""COMPUTED_VALUE"""),"CRLN")</f>
        <v>CRLN</v>
      </c>
    </row>
    <row r="1010">
      <c r="A1010" s="8" t="str">
        <f>IFERROR(__xludf.DUMMYFUNCTION("""COMPUTED_VALUE"""),"FLB7363")</f>
        <v>FLB7363</v>
      </c>
      <c r="B1010" s="8" t="str">
        <f>IFERROR(__xludf.DUMMYFUNCTION("""COMPUTED_VALUE"""),"RUN-FLMP_2022-04-07_RFR-107")</f>
        <v>RUN-FLMP_2022-04-07_RFR-107</v>
      </c>
      <c r="C1010" s="10">
        <f>VLOOKUP(B1010,'Run Reconcile'!A$2:B1579,2,FALSE)</f>
        <v>44658</v>
      </c>
      <c r="D1010" s="14">
        <f>IFERROR(__xludf.DUMMYFUNCTION("""COMPUTED_VALUE"""),44658.0)</f>
        <v>44658</v>
      </c>
      <c r="E1010" s="15">
        <f>IFERROR(__xludf.DUMMYFUNCTION("""COMPUTED_VALUE"""),0.3707523148150358)</f>
        <v>0.3707523148</v>
      </c>
      <c r="F1010" s="8" t="str">
        <f>IFERROR(__xludf.DUMMYFUNCTION("""COMPUTED_VALUE"""),"Negative")</f>
        <v>Negative</v>
      </c>
      <c r="G1010" s="16">
        <f>IFERROR(__xludf.DUMMYFUNCTION("""COMPUTED_VALUE"""),3.0)</f>
        <v>3</v>
      </c>
      <c r="H1010" s="8" t="str">
        <f>IFERROR(__xludf.DUMMYFUNCTION("""COMPUTED_VALUE"""),"FLSP")</f>
        <v>FLSP</v>
      </c>
    </row>
    <row r="1011">
      <c r="A1011" s="8" t="str">
        <f>IFERROR(__xludf.DUMMYFUNCTION("""COMPUTED_VALUE"""),"FLB7423")</f>
        <v>FLB7423</v>
      </c>
      <c r="B1011" s="8" t="str">
        <f>IFERROR(__xludf.DUMMYFUNCTION("""COMPUTED_VALUE"""),"RUN-FLMP_2022-04-07_RFR-107")</f>
        <v>RUN-FLMP_2022-04-07_RFR-107</v>
      </c>
      <c r="C1011" s="10">
        <f>VLOOKUP(B1011,'Run Reconcile'!A$2:B1579,2,FALSE)</f>
        <v>44658</v>
      </c>
      <c r="D1011" s="14">
        <f>IFERROR(__xludf.DUMMYFUNCTION("""COMPUTED_VALUE"""),44658.0)</f>
        <v>44658</v>
      </c>
      <c r="E1011" s="15">
        <f>IFERROR(__xludf.DUMMYFUNCTION("""COMPUTED_VALUE"""),0.3715046296310902)</f>
        <v>0.3715046296</v>
      </c>
      <c r="F1011" s="8" t="str">
        <f>IFERROR(__xludf.DUMMYFUNCTION("""COMPUTED_VALUE"""),"Negative")</f>
        <v>Negative</v>
      </c>
      <c r="G1011" s="16">
        <f>IFERROR(__xludf.DUMMYFUNCTION("""COMPUTED_VALUE"""),3.0)</f>
        <v>3</v>
      </c>
      <c r="H1011" s="8" t="str">
        <f>IFERROR(__xludf.DUMMYFUNCTION("""COMPUTED_VALUE"""),"CRLN")</f>
        <v>CRLN</v>
      </c>
    </row>
    <row r="1012">
      <c r="A1012" s="8" t="str">
        <f>IFERROR(__xludf.DUMMYFUNCTION("""COMPUTED_VALUE"""),"FLB5849")</f>
        <v>FLB5849</v>
      </c>
      <c r="B1012" s="8" t="str">
        <f>IFERROR(__xludf.DUMMYFUNCTION("""COMPUTED_VALUE"""),"RUN-FLMP_2022-04-07_RFR-107")</f>
        <v>RUN-FLMP_2022-04-07_RFR-107</v>
      </c>
      <c r="C1012" s="10">
        <f>VLOOKUP(B1012,'Run Reconcile'!A$2:B1579,2,FALSE)</f>
        <v>44658</v>
      </c>
      <c r="D1012" s="14">
        <f>IFERROR(__xludf.DUMMYFUNCTION("""COMPUTED_VALUE"""),44658.0)</f>
        <v>44658</v>
      </c>
      <c r="E1012" s="15">
        <f>IFERROR(__xludf.DUMMYFUNCTION("""COMPUTED_VALUE"""),0.37188657407386927)</f>
        <v>0.3718865741</v>
      </c>
      <c r="F1012" s="8" t="str">
        <f>IFERROR(__xludf.DUMMYFUNCTION("""COMPUTED_VALUE"""),"Negative")</f>
        <v>Negative</v>
      </c>
      <c r="G1012" s="16">
        <f>IFERROR(__xludf.DUMMYFUNCTION("""COMPUTED_VALUE"""),2.0)</f>
        <v>2</v>
      </c>
      <c r="H1012" s="8" t="str">
        <f>IFERROR(__xludf.DUMMYFUNCTION("""COMPUTED_VALUE"""),"CRLN")</f>
        <v>CRLN</v>
      </c>
    </row>
    <row r="1013">
      <c r="A1013" s="8" t="str">
        <f>IFERROR(__xludf.DUMMYFUNCTION("""COMPUTED_VALUE"""),"FLE230")</f>
        <v>FLE230</v>
      </c>
      <c r="B1013" s="8" t="str">
        <f>IFERROR(__xludf.DUMMYFUNCTION("""COMPUTED_VALUE"""),"RUN-FLMP_2022-04-07_RFR-107")</f>
        <v>RUN-FLMP_2022-04-07_RFR-107</v>
      </c>
      <c r="C1013" s="10">
        <f>VLOOKUP(B1013,'Run Reconcile'!A$2:B1579,2,FALSE)</f>
        <v>44658</v>
      </c>
      <c r="D1013" s="14">
        <f>IFERROR(__xludf.DUMMYFUNCTION("""COMPUTED_VALUE"""),44658.0)</f>
        <v>44658</v>
      </c>
      <c r="E1013" s="15">
        <f>IFERROR(__xludf.DUMMYFUNCTION("""COMPUTED_VALUE"""),0.3720486111124046)</f>
        <v>0.3720486111</v>
      </c>
      <c r="F1013" s="8" t="str">
        <f>IFERROR(__xludf.DUMMYFUNCTION("""COMPUTED_VALUE"""),"Negative")</f>
        <v>Negative</v>
      </c>
      <c r="G1013" s="16">
        <f>IFERROR(__xludf.DUMMYFUNCTION("""COMPUTED_VALUE"""),2.0)</f>
        <v>2</v>
      </c>
      <c r="H1013" s="8" t="str">
        <f>IFERROR(__xludf.DUMMYFUNCTION("""COMPUTED_VALUE"""),"CRLN")</f>
        <v>CRLN</v>
      </c>
    </row>
    <row r="1014">
      <c r="A1014" s="8" t="str">
        <f>IFERROR(__xludf.DUMMYFUNCTION("""COMPUTED_VALUE"""),"FLB6801")</f>
        <v>FLB6801</v>
      </c>
      <c r="B1014" s="8" t="str">
        <f>IFERROR(__xludf.DUMMYFUNCTION("""COMPUTED_VALUE"""),"RUN-FLMP_2022-04-07_RFR-107")</f>
        <v>RUN-FLMP_2022-04-07_RFR-107</v>
      </c>
      <c r="C1014" s="10">
        <f>VLOOKUP(B1014,'Run Reconcile'!A$2:B1579,2,FALSE)</f>
        <v>44658</v>
      </c>
      <c r="D1014" s="14">
        <f>IFERROR(__xludf.DUMMYFUNCTION("""COMPUTED_VALUE"""),44658.0)</f>
        <v>44658</v>
      </c>
      <c r="E1014" s="15">
        <f>IFERROR(__xludf.DUMMYFUNCTION("""COMPUTED_VALUE"""),0.37381944444496185)</f>
        <v>0.3738194444</v>
      </c>
      <c r="F1014" s="8" t="str">
        <f>IFERROR(__xludf.DUMMYFUNCTION("""COMPUTED_VALUE"""),"Negative")</f>
        <v>Negative</v>
      </c>
      <c r="G1014" s="16">
        <f>IFERROR(__xludf.DUMMYFUNCTION("""COMPUTED_VALUE"""),3.0)</f>
        <v>3</v>
      </c>
      <c r="H1014" s="8" t="str">
        <f>IFERROR(__xludf.DUMMYFUNCTION("""COMPUTED_VALUE"""),"CRLN")</f>
        <v>CRLN</v>
      </c>
    </row>
    <row r="1015">
      <c r="A1015" s="8" t="str">
        <f>IFERROR(__xludf.DUMMYFUNCTION("""COMPUTED_VALUE"""),"FLE940")</f>
        <v>FLE940</v>
      </c>
      <c r="B1015" s="8" t="str">
        <f>IFERROR(__xludf.DUMMYFUNCTION("""COMPUTED_VALUE"""),"RUN-FLMP_2022-04-07_RFR-107")</f>
        <v>RUN-FLMP_2022-04-07_RFR-107</v>
      </c>
      <c r="C1015" s="10">
        <f>VLOOKUP(B1015,'Run Reconcile'!A$2:B1579,2,FALSE)</f>
        <v>44658</v>
      </c>
      <c r="D1015" s="14">
        <f>IFERROR(__xludf.DUMMYFUNCTION("""COMPUTED_VALUE"""),44658.0)</f>
        <v>44658</v>
      </c>
      <c r="E1015" s="15">
        <f>IFERROR(__xludf.DUMMYFUNCTION("""COMPUTED_VALUE"""),0.377546296294895)</f>
        <v>0.3775462963</v>
      </c>
      <c r="F1015" s="8" t="str">
        <f>IFERROR(__xludf.DUMMYFUNCTION("""COMPUTED_VALUE"""),"Negative")</f>
        <v>Negative</v>
      </c>
      <c r="G1015" s="16">
        <f>IFERROR(__xludf.DUMMYFUNCTION("""COMPUTED_VALUE"""),2.0)</f>
        <v>2</v>
      </c>
      <c r="H1015" s="8" t="str">
        <f>IFERROR(__xludf.DUMMYFUNCTION("""COMPUTED_VALUE"""),"CRLN")</f>
        <v>CRLN</v>
      </c>
    </row>
    <row r="1016">
      <c r="A1016" s="8" t="str">
        <f>IFERROR(__xludf.DUMMYFUNCTION("""COMPUTED_VALUE"""),"AH7625A")</f>
        <v>AH7625A</v>
      </c>
      <c r="B1016" s="8" t="str">
        <f>IFERROR(__xludf.DUMMYFUNCTION("""COMPUTED_VALUE"""),"RUN-FLMP_2022-04-07_RFR-107")</f>
        <v>RUN-FLMP_2022-04-07_RFR-107</v>
      </c>
      <c r="C1016" s="10">
        <f>VLOOKUP(B1016,'Run Reconcile'!A$2:B1579,2,FALSE)</f>
        <v>44658</v>
      </c>
      <c r="D1016" s="14">
        <f>IFERROR(__xludf.DUMMYFUNCTION("""COMPUTED_VALUE"""),44658.0)</f>
        <v>44658</v>
      </c>
      <c r="E1016" s="15">
        <f>IFERROR(__xludf.DUMMYFUNCTION("""COMPUTED_VALUE"""),0.5362962962972233)</f>
        <v>0.5362962963</v>
      </c>
      <c r="F1016" s="8" t="str">
        <f>IFERROR(__xludf.DUMMYFUNCTION("""COMPUTED_VALUE"""),"Negative")</f>
        <v>Negative</v>
      </c>
      <c r="G1016" s="16">
        <f>IFERROR(__xludf.DUMMYFUNCTION("""COMPUTED_VALUE"""),4.0)</f>
        <v>4</v>
      </c>
      <c r="H1016" s="8" t="str">
        <f>IFERROR(__xludf.DUMMYFUNCTION("""COMPUTED_VALUE"""),"CRLN")</f>
        <v>CRLN</v>
      </c>
    </row>
    <row r="1017">
      <c r="A1017" s="8" t="str">
        <f>IFERROR(__xludf.DUMMYFUNCTION("""COMPUTED_VALUE"""),"FLB7365")</f>
        <v>FLB7365</v>
      </c>
      <c r="B1017" s="8" t="str">
        <f>IFERROR(__xludf.DUMMYFUNCTION("""COMPUTED_VALUE"""),"RUN-FLMP_2022-04-11_RFR-109")</f>
        <v>RUN-FLMP_2022-04-11_RFR-109</v>
      </c>
      <c r="C1017" s="10">
        <f>VLOOKUP(B1017,'Run Reconcile'!A$2:B1579,2,FALSE)</f>
        <v>44662</v>
      </c>
      <c r="D1017" s="14">
        <f>IFERROR(__xludf.DUMMYFUNCTION("""COMPUTED_VALUE"""),44661.0)</f>
        <v>44661</v>
      </c>
      <c r="E1017" s="15">
        <f>IFERROR(__xludf.DUMMYFUNCTION("""COMPUTED_VALUE"""),0.5052430555551837)</f>
        <v>0.5052430556</v>
      </c>
      <c r="F1017" s="8" t="str">
        <f>IFERROR(__xludf.DUMMYFUNCTION("""COMPUTED_VALUE"""),"Negative")</f>
        <v>Negative</v>
      </c>
      <c r="G1017" s="16">
        <f>IFERROR(__xludf.DUMMYFUNCTION("""COMPUTED_VALUE"""),3.0)</f>
        <v>3</v>
      </c>
      <c r="H1017" s="8" t="str">
        <f>IFERROR(__xludf.DUMMYFUNCTION("""COMPUTED_VALUE"""),"CRLN")</f>
        <v>CRLN</v>
      </c>
    </row>
    <row r="1018">
      <c r="A1018" s="8" t="str">
        <f>IFERROR(__xludf.DUMMYFUNCTION("""COMPUTED_VALUE"""),"FLB5799")</f>
        <v>FLB5799</v>
      </c>
      <c r="B1018" s="8" t="str">
        <f>IFERROR(__xludf.DUMMYFUNCTION("""COMPUTED_VALUE"""),"RUN-FLMP_2022-04-11_RFR-109")</f>
        <v>RUN-FLMP_2022-04-11_RFR-109</v>
      </c>
      <c r="C1018" s="10">
        <f>VLOOKUP(B1018,'Run Reconcile'!A$2:B1579,2,FALSE)</f>
        <v>44662</v>
      </c>
      <c r="D1018" s="14">
        <f>IFERROR(__xludf.DUMMYFUNCTION("""COMPUTED_VALUE"""),44662.0)</f>
        <v>44662</v>
      </c>
      <c r="E1018" s="15">
        <f>IFERROR(__xludf.DUMMYFUNCTION("""COMPUTED_VALUE"""),0.30335648148320615)</f>
        <v>0.3033564815</v>
      </c>
      <c r="F1018" s="8" t="str">
        <f>IFERROR(__xludf.DUMMYFUNCTION("""COMPUTED_VALUE"""),"Negative")</f>
        <v>Negative</v>
      </c>
      <c r="G1018" s="16">
        <f>IFERROR(__xludf.DUMMYFUNCTION("""COMPUTED_VALUE"""),3.0)</f>
        <v>3</v>
      </c>
      <c r="H1018" s="8" t="str">
        <f>IFERROR(__xludf.DUMMYFUNCTION("""COMPUTED_VALUE"""),"CRLN")</f>
        <v>CRLN</v>
      </c>
    </row>
    <row r="1019">
      <c r="A1019" s="8" t="str">
        <f>IFERROR(__xludf.DUMMYFUNCTION("""COMPUTED_VALUE"""),"FLB5737")</f>
        <v>FLB5737</v>
      </c>
      <c r="B1019" s="8" t="str">
        <f>IFERROR(__xludf.DUMMYFUNCTION("""COMPUTED_VALUE"""),"RUN-FLMP_2022-04-11_RFR-109")</f>
        <v>RUN-FLMP_2022-04-11_RFR-109</v>
      </c>
      <c r="C1019" s="10">
        <f>VLOOKUP(B1019,'Run Reconcile'!A$2:B1579,2,FALSE)</f>
        <v>44662</v>
      </c>
      <c r="D1019" s="14">
        <f>IFERROR(__xludf.DUMMYFUNCTION("""COMPUTED_VALUE"""),44662.0)</f>
        <v>44662</v>
      </c>
      <c r="E1019" s="15">
        <f>IFERROR(__xludf.DUMMYFUNCTION("""COMPUTED_VALUE"""),0.3159953703689098)</f>
        <v>0.3159953704</v>
      </c>
      <c r="F1019" s="8" t="str">
        <f>IFERROR(__xludf.DUMMYFUNCTION("""COMPUTED_VALUE"""),"Negative")</f>
        <v>Negative</v>
      </c>
      <c r="G1019" s="16">
        <f>IFERROR(__xludf.DUMMYFUNCTION("""COMPUTED_VALUE"""),4.0)</f>
        <v>4</v>
      </c>
      <c r="H1019" s="8" t="str">
        <f>IFERROR(__xludf.DUMMYFUNCTION("""COMPUTED_VALUE"""),"CRLN")</f>
        <v>CRLN</v>
      </c>
    </row>
    <row r="1020">
      <c r="A1020" s="8" t="str">
        <f>IFERROR(__xludf.DUMMYFUNCTION("""COMPUTED_VALUE"""),"FLB7290")</f>
        <v>FLB7290</v>
      </c>
      <c r="B1020" s="8" t="str">
        <f>IFERROR(__xludf.DUMMYFUNCTION("""COMPUTED_VALUE"""),"RUN-FLMP_2022-04-11_RFR-109")</f>
        <v>RUN-FLMP_2022-04-11_RFR-109</v>
      </c>
      <c r="C1020" s="10">
        <f>VLOOKUP(B1020,'Run Reconcile'!A$2:B1579,2,FALSE)</f>
        <v>44662</v>
      </c>
      <c r="D1020" s="14">
        <f>IFERROR(__xludf.DUMMYFUNCTION("""COMPUTED_VALUE"""),44662.0)</f>
        <v>44662</v>
      </c>
      <c r="E1020" s="15">
        <f>IFERROR(__xludf.DUMMYFUNCTION("""COMPUTED_VALUE"""),0.3185300925943011)</f>
        <v>0.3185300926</v>
      </c>
      <c r="F1020" s="8" t="str">
        <f>IFERROR(__xludf.DUMMYFUNCTION("""COMPUTED_VALUE"""),"Negative")</f>
        <v>Negative</v>
      </c>
      <c r="G1020" s="16">
        <f>IFERROR(__xludf.DUMMYFUNCTION("""COMPUTED_VALUE"""),4.0)</f>
        <v>4</v>
      </c>
      <c r="H1020" s="8" t="str">
        <f>IFERROR(__xludf.DUMMYFUNCTION("""COMPUTED_VALUE"""),"CRLN")</f>
        <v>CRLN</v>
      </c>
    </row>
    <row r="1021">
      <c r="A1021" s="8" t="str">
        <f>IFERROR(__xludf.DUMMYFUNCTION("""COMPUTED_VALUE"""),"FLB6784")</f>
        <v>FLB6784</v>
      </c>
      <c r="B1021" s="8" t="str">
        <f>IFERROR(__xludf.DUMMYFUNCTION("""COMPUTED_VALUE"""),"RUN-FLMP_2022-04-11_RFR-109")</f>
        <v>RUN-FLMP_2022-04-11_RFR-109</v>
      </c>
      <c r="C1021" s="10">
        <f>VLOOKUP(B1021,'Run Reconcile'!A$2:B1579,2,FALSE)</f>
        <v>44662</v>
      </c>
      <c r="D1021" s="14">
        <f>IFERROR(__xludf.DUMMYFUNCTION("""COMPUTED_VALUE"""),44662.0)</f>
        <v>44662</v>
      </c>
      <c r="E1021" s="15">
        <f>IFERROR(__xludf.DUMMYFUNCTION("""COMPUTED_VALUE"""),0.32836805555416504)</f>
        <v>0.3283680556</v>
      </c>
      <c r="F1021" s="8" t="str">
        <f>IFERROR(__xludf.DUMMYFUNCTION("""COMPUTED_VALUE"""),"Negative")</f>
        <v>Negative</v>
      </c>
      <c r="G1021" s="16">
        <f>IFERROR(__xludf.DUMMYFUNCTION("""COMPUTED_VALUE"""),2.0)</f>
        <v>2</v>
      </c>
      <c r="H1021" s="8" t="str">
        <f>IFERROR(__xludf.DUMMYFUNCTION("""COMPUTED_VALUE"""),"CRLN")</f>
        <v>CRLN</v>
      </c>
    </row>
    <row r="1022">
      <c r="A1022" s="8" t="str">
        <f>IFERROR(__xludf.DUMMYFUNCTION("""COMPUTED_VALUE"""),"FLE906")</f>
        <v>FLE906</v>
      </c>
      <c r="B1022" s="8" t="str">
        <f>IFERROR(__xludf.DUMMYFUNCTION("""COMPUTED_VALUE"""),"RUN-FLMP_2022-04-11_RFR-109")</f>
        <v>RUN-FLMP_2022-04-11_RFR-109</v>
      </c>
      <c r="C1022" s="10">
        <f>VLOOKUP(B1022,'Run Reconcile'!A$2:B1579,2,FALSE)</f>
        <v>44662</v>
      </c>
      <c r="D1022" s="14">
        <f>IFERROR(__xludf.DUMMYFUNCTION("""COMPUTED_VALUE"""),44662.0)</f>
        <v>44662</v>
      </c>
      <c r="E1022" s="15">
        <f>IFERROR(__xludf.DUMMYFUNCTION("""COMPUTED_VALUE"""),0.33224537036949187)</f>
        <v>0.3322453704</v>
      </c>
      <c r="F1022" s="8" t="str">
        <f>IFERROR(__xludf.DUMMYFUNCTION("""COMPUTED_VALUE"""),"Negative")</f>
        <v>Negative</v>
      </c>
      <c r="G1022" s="16">
        <f>IFERROR(__xludf.DUMMYFUNCTION("""COMPUTED_VALUE"""),2.0)</f>
        <v>2</v>
      </c>
      <c r="H1022" s="8" t="str">
        <f>IFERROR(__xludf.DUMMYFUNCTION("""COMPUTED_VALUE"""),"CRLN")</f>
        <v>CRLN</v>
      </c>
    </row>
    <row r="1023">
      <c r="A1023" s="8" t="str">
        <f>IFERROR(__xludf.DUMMYFUNCTION("""COMPUTED_VALUE"""),"FLB7186")</f>
        <v>FLB7186</v>
      </c>
      <c r="B1023" s="8" t="str">
        <f>IFERROR(__xludf.DUMMYFUNCTION("""COMPUTED_VALUE"""),"RUN-FLMP_2022-04-11_RFR-109")</f>
        <v>RUN-FLMP_2022-04-11_RFR-109</v>
      </c>
      <c r="C1023" s="10">
        <f>VLOOKUP(B1023,'Run Reconcile'!A$2:B1579,2,FALSE)</f>
        <v>44662</v>
      </c>
      <c r="D1023" s="14">
        <f>IFERROR(__xludf.DUMMYFUNCTION("""COMPUTED_VALUE"""),44662.0)</f>
        <v>44662</v>
      </c>
      <c r="E1023" s="15">
        <f>IFERROR(__xludf.DUMMYFUNCTION("""COMPUTED_VALUE"""),0.3324884259272949)</f>
        <v>0.3324884259</v>
      </c>
      <c r="F1023" s="8" t="str">
        <f>IFERROR(__xludf.DUMMYFUNCTION("""COMPUTED_VALUE"""),"Negative")</f>
        <v>Negative</v>
      </c>
      <c r="G1023" s="16">
        <f>IFERROR(__xludf.DUMMYFUNCTION("""COMPUTED_VALUE"""),2.0)</f>
        <v>2</v>
      </c>
      <c r="H1023" s="8" t="str">
        <f>IFERROR(__xludf.DUMMYFUNCTION("""COMPUTED_VALUE"""),"CRLN")</f>
        <v>CRLN</v>
      </c>
    </row>
    <row r="1024">
      <c r="A1024" s="8" t="str">
        <f>IFERROR(__xludf.DUMMYFUNCTION("""COMPUTED_VALUE"""),"FLB7402")</f>
        <v>FLB7402</v>
      </c>
      <c r="B1024" s="8" t="str">
        <f>IFERROR(__xludf.DUMMYFUNCTION("""COMPUTED_VALUE"""),"RUN-FLMP_2022-04-11_RFR-109")</f>
        <v>RUN-FLMP_2022-04-11_RFR-109</v>
      </c>
      <c r="C1024" s="10">
        <f>VLOOKUP(B1024,'Run Reconcile'!A$2:B1579,2,FALSE)</f>
        <v>44662</v>
      </c>
      <c r="D1024" s="14">
        <f>IFERROR(__xludf.DUMMYFUNCTION("""COMPUTED_VALUE"""),44662.0)</f>
        <v>44662</v>
      </c>
      <c r="E1024" s="15">
        <f>IFERROR(__xludf.DUMMYFUNCTION("""COMPUTED_VALUE"""),0.3350231481490482)</f>
        <v>0.3350231481</v>
      </c>
      <c r="F1024" s="8" t="str">
        <f>IFERROR(__xludf.DUMMYFUNCTION("""COMPUTED_VALUE"""),"Negative")</f>
        <v>Negative</v>
      </c>
      <c r="G1024" s="16">
        <f>IFERROR(__xludf.DUMMYFUNCTION("""COMPUTED_VALUE"""),1.0)</f>
        <v>1</v>
      </c>
      <c r="H1024" s="8" t="str">
        <f>IFERROR(__xludf.DUMMYFUNCTION("""COMPUTED_VALUE"""),"CRLN")</f>
        <v>CRLN</v>
      </c>
    </row>
    <row r="1025">
      <c r="A1025" s="8" t="str">
        <f>IFERROR(__xludf.DUMMYFUNCTION("""COMPUTED_VALUE"""),"FLB7163")</f>
        <v>FLB7163</v>
      </c>
      <c r="B1025" s="8" t="str">
        <f>IFERROR(__xludf.DUMMYFUNCTION("""COMPUTED_VALUE"""),"RUN-FLMP_2022-04-11_RFR-109")</f>
        <v>RUN-FLMP_2022-04-11_RFR-109</v>
      </c>
      <c r="C1025" s="10">
        <f>VLOOKUP(B1025,'Run Reconcile'!A$2:B1579,2,FALSE)</f>
        <v>44662</v>
      </c>
      <c r="D1025" s="14">
        <f>IFERROR(__xludf.DUMMYFUNCTION("""COMPUTED_VALUE"""),44662.0)</f>
        <v>44662</v>
      </c>
      <c r="E1025" s="15">
        <f>IFERROR(__xludf.DUMMYFUNCTION("""COMPUTED_VALUE"""),0.34866898148175096)</f>
        <v>0.3486689815</v>
      </c>
      <c r="F1025" s="8" t="str">
        <f>IFERROR(__xludf.DUMMYFUNCTION("""COMPUTED_VALUE"""),"Negative")</f>
        <v>Negative</v>
      </c>
      <c r="G1025" s="16">
        <f>IFERROR(__xludf.DUMMYFUNCTION("""COMPUTED_VALUE"""),1.0)</f>
        <v>1</v>
      </c>
      <c r="H1025" s="8" t="str">
        <f>IFERROR(__xludf.DUMMYFUNCTION("""COMPUTED_VALUE"""),"CRLN")</f>
        <v>CRLN</v>
      </c>
    </row>
    <row r="1026">
      <c r="A1026" s="8" t="str">
        <f>IFERROR(__xludf.DUMMYFUNCTION("""COMPUTED_VALUE"""),"FLB7369")</f>
        <v>FLB7369</v>
      </c>
      <c r="B1026" s="8" t="str">
        <f>IFERROR(__xludf.DUMMYFUNCTION("""COMPUTED_VALUE"""),"RUN-FLMP_2022-04-11_RFR-109")</f>
        <v>RUN-FLMP_2022-04-11_RFR-109</v>
      </c>
      <c r="C1026" s="10">
        <f>VLOOKUP(B1026,'Run Reconcile'!A$2:B1579,2,FALSE)</f>
        <v>44662</v>
      </c>
      <c r="D1026" s="14">
        <f>IFERROR(__xludf.DUMMYFUNCTION("""COMPUTED_VALUE"""),44662.0)</f>
        <v>44662</v>
      </c>
      <c r="E1026" s="15">
        <f>IFERROR(__xludf.DUMMYFUNCTION("""COMPUTED_VALUE"""),0.3522453703699284)</f>
        <v>0.3522453704</v>
      </c>
      <c r="F1026" s="8" t="str">
        <f>IFERROR(__xludf.DUMMYFUNCTION("""COMPUTED_VALUE"""),"Negative")</f>
        <v>Negative</v>
      </c>
      <c r="G1026" s="16">
        <f>IFERROR(__xludf.DUMMYFUNCTION("""COMPUTED_VALUE"""),4.0)</f>
        <v>4</v>
      </c>
      <c r="H1026" s="8" t="str">
        <f>IFERROR(__xludf.DUMMYFUNCTION("""COMPUTED_VALUE"""),"CRLN")</f>
        <v>CRLN</v>
      </c>
    </row>
    <row r="1027">
      <c r="A1027" s="8" t="str">
        <f>IFERROR(__xludf.DUMMYFUNCTION("""COMPUTED_VALUE"""),"FLB4782")</f>
        <v>FLB4782</v>
      </c>
      <c r="B1027" s="8" t="str">
        <f>IFERROR(__xludf.DUMMYFUNCTION("""COMPUTED_VALUE"""),"RUN-FLMP_2022-04-11_RFR-109")</f>
        <v>RUN-FLMP_2022-04-11_RFR-109</v>
      </c>
      <c r="C1027" s="10">
        <f>VLOOKUP(B1027,'Run Reconcile'!A$2:B1579,2,FALSE)</f>
        <v>44662</v>
      </c>
      <c r="D1027" s="14">
        <f>IFERROR(__xludf.DUMMYFUNCTION("""COMPUTED_VALUE"""),44662.0)</f>
        <v>44662</v>
      </c>
      <c r="E1027" s="15">
        <f>IFERROR(__xludf.DUMMYFUNCTION("""COMPUTED_VALUE"""),0.3537731481483206)</f>
        <v>0.3537731481</v>
      </c>
      <c r="F1027" s="8" t="str">
        <f>IFERROR(__xludf.DUMMYFUNCTION("""COMPUTED_VALUE"""),"Negative")</f>
        <v>Negative</v>
      </c>
      <c r="G1027" s="16">
        <f>IFERROR(__xludf.DUMMYFUNCTION("""COMPUTED_VALUE"""),2.0)</f>
        <v>2</v>
      </c>
      <c r="H1027" s="8" t="str">
        <f>IFERROR(__xludf.DUMMYFUNCTION("""COMPUTED_VALUE"""),"CRLN")</f>
        <v>CRLN</v>
      </c>
    </row>
    <row r="1028">
      <c r="A1028" s="8" t="str">
        <f>IFERROR(__xludf.DUMMYFUNCTION("""COMPUTED_VALUE"""),"FLB6540")</f>
        <v>FLB6540</v>
      </c>
      <c r="B1028" s="8" t="str">
        <f>IFERROR(__xludf.DUMMYFUNCTION("""COMPUTED_VALUE"""),"RUN-FLMP_2022-04-11_RFR-109")</f>
        <v>RUN-FLMP_2022-04-11_RFR-109</v>
      </c>
      <c r="C1028" s="10">
        <f>VLOOKUP(B1028,'Run Reconcile'!A$2:B1579,2,FALSE)</f>
        <v>44662</v>
      </c>
      <c r="D1028" s="14">
        <f>IFERROR(__xludf.DUMMYFUNCTION("""COMPUTED_VALUE"""),44662.0)</f>
        <v>44662</v>
      </c>
      <c r="E1028" s="15">
        <f>IFERROR(__xludf.DUMMYFUNCTION("""COMPUTED_VALUE"""),0.3549768518532801)</f>
        <v>0.3549768519</v>
      </c>
      <c r="F1028" s="8" t="str">
        <f>IFERROR(__xludf.DUMMYFUNCTION("""COMPUTED_VALUE"""),"Negative")</f>
        <v>Negative</v>
      </c>
      <c r="G1028" s="16">
        <f>IFERROR(__xludf.DUMMYFUNCTION("""COMPUTED_VALUE"""),3.0)</f>
        <v>3</v>
      </c>
      <c r="H1028" s="8" t="str">
        <f>IFERROR(__xludf.DUMMYFUNCTION("""COMPUTED_VALUE"""),"CRLN")</f>
        <v>CRLN</v>
      </c>
    </row>
    <row r="1029">
      <c r="A1029" s="8" t="str">
        <f>IFERROR(__xludf.DUMMYFUNCTION("""COMPUTED_VALUE"""),"FLE823")</f>
        <v>FLE823</v>
      </c>
      <c r="B1029" s="8" t="str">
        <f>IFERROR(__xludf.DUMMYFUNCTION("""COMPUTED_VALUE"""),"RUN-FLMP_2022-04-11_RFR-109")</f>
        <v>RUN-FLMP_2022-04-11_RFR-109</v>
      </c>
      <c r="C1029" s="10">
        <f>VLOOKUP(B1029,'Run Reconcile'!A$2:B1579,2,FALSE)</f>
        <v>44662</v>
      </c>
      <c r="D1029" s="14">
        <f>IFERROR(__xludf.DUMMYFUNCTION("""COMPUTED_VALUE"""),44662.0)</f>
        <v>44662</v>
      </c>
      <c r="E1029" s="15">
        <f>IFERROR(__xludf.DUMMYFUNCTION("""COMPUTED_VALUE"""),0.3554629629616102)</f>
        <v>0.355462963</v>
      </c>
      <c r="F1029" s="8" t="str">
        <f>IFERROR(__xludf.DUMMYFUNCTION("""COMPUTED_VALUE"""),"Negative")</f>
        <v>Negative</v>
      </c>
      <c r="G1029" s="16">
        <f>IFERROR(__xludf.DUMMYFUNCTION("""COMPUTED_VALUE"""),4.0)</f>
        <v>4</v>
      </c>
      <c r="H1029" s="8" t="str">
        <f>IFERROR(__xludf.DUMMYFUNCTION("""COMPUTED_VALUE"""),"CRLN")</f>
        <v>CRLN</v>
      </c>
    </row>
    <row r="1030">
      <c r="A1030" s="8" t="str">
        <f>IFERROR(__xludf.DUMMYFUNCTION("""COMPUTED_VALUE"""),"FLB6793")</f>
        <v>FLB6793</v>
      </c>
      <c r="B1030" s="8" t="str">
        <f>IFERROR(__xludf.DUMMYFUNCTION("""COMPUTED_VALUE"""),"RUN-FLMP_2022-04-11_RFR-109")</f>
        <v>RUN-FLMP_2022-04-11_RFR-109</v>
      </c>
      <c r="C1030" s="10">
        <f>VLOOKUP(B1030,'Run Reconcile'!A$2:B1579,2,FALSE)</f>
        <v>44662</v>
      </c>
      <c r="D1030" s="14">
        <f>IFERROR(__xludf.DUMMYFUNCTION("""COMPUTED_VALUE"""),44662.0)</f>
        <v>44662</v>
      </c>
      <c r="E1030" s="15">
        <f>IFERROR(__xludf.DUMMYFUNCTION("""COMPUTED_VALUE"""),0.3554861111115315)</f>
        <v>0.3554861111</v>
      </c>
      <c r="F1030" s="8" t="str">
        <f>IFERROR(__xludf.DUMMYFUNCTION("""COMPUTED_VALUE"""),"Negative")</f>
        <v>Negative</v>
      </c>
      <c r="G1030" s="16">
        <f>IFERROR(__xludf.DUMMYFUNCTION("""COMPUTED_VALUE"""),3.0)</f>
        <v>3</v>
      </c>
      <c r="H1030" s="8" t="str">
        <f>IFERROR(__xludf.DUMMYFUNCTION("""COMPUTED_VALUE"""),"CRLN")</f>
        <v>CRLN</v>
      </c>
    </row>
    <row r="1031">
      <c r="A1031" s="8" t="str">
        <f>IFERROR(__xludf.DUMMYFUNCTION("""COMPUTED_VALUE"""),"FLE317")</f>
        <v>FLE317</v>
      </c>
      <c r="B1031" s="8" t="str">
        <f>IFERROR(__xludf.DUMMYFUNCTION("""COMPUTED_VALUE"""),"RUN-FLMP_2022-04-11_RFR-109")</f>
        <v>RUN-FLMP_2022-04-11_RFR-109</v>
      </c>
      <c r="C1031" s="10">
        <f>VLOOKUP(B1031,'Run Reconcile'!A$2:B1579,2,FALSE)</f>
        <v>44662</v>
      </c>
      <c r="D1031" s="14">
        <f>IFERROR(__xludf.DUMMYFUNCTION("""COMPUTED_VALUE"""),44662.0)</f>
        <v>44662</v>
      </c>
      <c r="E1031" s="15">
        <f>IFERROR(__xludf.DUMMYFUNCTION("""COMPUTED_VALUE"""),0.35633101851999527)</f>
        <v>0.3563310185</v>
      </c>
      <c r="F1031" s="8" t="str">
        <f>IFERROR(__xludf.DUMMYFUNCTION("""COMPUTED_VALUE"""),"Negative")</f>
        <v>Negative</v>
      </c>
      <c r="G1031" s="16">
        <f>IFERROR(__xludf.DUMMYFUNCTION("""COMPUTED_VALUE"""),4.0)</f>
        <v>4</v>
      </c>
      <c r="H1031" s="8" t="str">
        <f>IFERROR(__xludf.DUMMYFUNCTION("""COMPUTED_VALUE"""),"CRLN")</f>
        <v>CRLN</v>
      </c>
    </row>
    <row r="1032">
      <c r="A1032" s="8" t="str">
        <f>IFERROR(__xludf.DUMMYFUNCTION("""COMPUTED_VALUE"""),"FLB4949")</f>
        <v>FLB4949</v>
      </c>
      <c r="B1032" s="8" t="str">
        <f>IFERROR(__xludf.DUMMYFUNCTION("""COMPUTED_VALUE"""),"RUN-FLMP_2022-04-11_RFR-109")</f>
        <v>RUN-FLMP_2022-04-11_RFR-109</v>
      </c>
      <c r="C1032" s="10">
        <f>VLOOKUP(B1032,'Run Reconcile'!A$2:B1579,2,FALSE)</f>
        <v>44662</v>
      </c>
      <c r="D1032" s="14">
        <f>IFERROR(__xludf.DUMMYFUNCTION("""COMPUTED_VALUE"""),44662.0)</f>
        <v>44662</v>
      </c>
      <c r="E1032" s="15">
        <f>IFERROR(__xludf.DUMMYFUNCTION("""COMPUTED_VALUE"""),0.36135416666729725)</f>
        <v>0.3613541667</v>
      </c>
      <c r="F1032" s="8" t="str">
        <f>IFERROR(__xludf.DUMMYFUNCTION("""COMPUTED_VALUE"""),"Negative")</f>
        <v>Negative</v>
      </c>
      <c r="G1032" s="16">
        <f>IFERROR(__xludf.DUMMYFUNCTION("""COMPUTED_VALUE"""),1.0)</f>
        <v>1</v>
      </c>
      <c r="H1032" s="8" t="str">
        <f>IFERROR(__xludf.DUMMYFUNCTION("""COMPUTED_VALUE"""),"CRLN")</f>
        <v>CRLN</v>
      </c>
    </row>
    <row r="1033">
      <c r="A1033" s="8" t="str">
        <f>IFERROR(__xludf.DUMMYFUNCTION("""COMPUTED_VALUE"""),"FLE935")</f>
        <v>FLE935</v>
      </c>
      <c r="B1033" s="8" t="str">
        <f>IFERROR(__xludf.DUMMYFUNCTION("""COMPUTED_VALUE"""),"RUN-FLMP_2022-04-11_RFR-109")</f>
        <v>RUN-FLMP_2022-04-11_RFR-109</v>
      </c>
      <c r="C1033" s="10">
        <f>VLOOKUP(B1033,'Run Reconcile'!A$2:B1579,2,FALSE)</f>
        <v>44662</v>
      </c>
      <c r="D1033" s="14">
        <f>IFERROR(__xludf.DUMMYFUNCTION("""COMPUTED_VALUE"""),44662.0)</f>
        <v>44662</v>
      </c>
      <c r="E1033" s="15">
        <f>IFERROR(__xludf.DUMMYFUNCTION("""COMPUTED_VALUE"""),0.364571759258979)</f>
        <v>0.3645717593</v>
      </c>
      <c r="F1033" s="8" t="str">
        <f>IFERROR(__xludf.DUMMYFUNCTION("""COMPUTED_VALUE"""),"Negative")</f>
        <v>Negative</v>
      </c>
      <c r="G1033" s="16">
        <f>IFERROR(__xludf.DUMMYFUNCTION("""COMPUTED_VALUE"""),2.0)</f>
        <v>2</v>
      </c>
      <c r="H1033" s="8" t="str">
        <f>IFERROR(__xludf.DUMMYFUNCTION("""COMPUTED_VALUE"""),"CRLN")</f>
        <v>CRLN</v>
      </c>
    </row>
    <row r="1034">
      <c r="A1034" s="8" t="str">
        <f>IFERROR(__xludf.DUMMYFUNCTION("""COMPUTED_VALUE"""),"FLB5869")</f>
        <v>FLB5869</v>
      </c>
      <c r="B1034" s="8" t="str">
        <f>IFERROR(__xludf.DUMMYFUNCTION("""COMPUTED_VALUE"""),"RUN-FLMP_2022-04-11_RFR-109")</f>
        <v>RUN-FLMP_2022-04-11_RFR-109</v>
      </c>
      <c r="C1034" s="10">
        <f>VLOOKUP(B1034,'Run Reconcile'!A$2:B1579,2,FALSE)</f>
        <v>44662</v>
      </c>
      <c r="D1034" s="14">
        <f>IFERROR(__xludf.DUMMYFUNCTION("""COMPUTED_VALUE"""),44662.0)</f>
        <v>44662</v>
      </c>
      <c r="E1034" s="15">
        <f>IFERROR(__xludf.DUMMYFUNCTION("""COMPUTED_VALUE"""),0.36534722222131677)</f>
        <v>0.3653472222</v>
      </c>
      <c r="F1034" s="8" t="str">
        <f>IFERROR(__xludf.DUMMYFUNCTION("""COMPUTED_VALUE"""),"Negative")</f>
        <v>Negative</v>
      </c>
      <c r="G1034" s="16">
        <f>IFERROR(__xludf.DUMMYFUNCTION("""COMPUTED_VALUE"""),2.0)</f>
        <v>2</v>
      </c>
      <c r="H1034" s="8" t="str">
        <f>IFERROR(__xludf.DUMMYFUNCTION("""COMPUTED_VALUE"""),"CRLN")</f>
        <v>CRLN</v>
      </c>
    </row>
    <row r="1035">
      <c r="A1035" s="8" t="str">
        <f>IFERROR(__xludf.DUMMYFUNCTION("""COMPUTED_VALUE"""),"FLB4919")</f>
        <v>FLB4919</v>
      </c>
      <c r="B1035" s="8" t="str">
        <f>IFERROR(__xludf.DUMMYFUNCTION("""COMPUTED_VALUE"""),"RUN-FLMP_2022-04-11_RFR-109")</f>
        <v>RUN-FLMP_2022-04-11_RFR-109</v>
      </c>
      <c r="C1035" s="10">
        <f>VLOOKUP(B1035,'Run Reconcile'!A$2:B1579,2,FALSE)</f>
        <v>44662</v>
      </c>
      <c r="D1035" s="14">
        <f>IFERROR(__xludf.DUMMYFUNCTION("""COMPUTED_VALUE"""),44662.0)</f>
        <v>44662</v>
      </c>
      <c r="E1035" s="15">
        <f>IFERROR(__xludf.DUMMYFUNCTION("""COMPUTED_VALUE"""),0.36640046296452056)</f>
        <v>0.366400463</v>
      </c>
      <c r="F1035" s="8" t="str">
        <f>IFERROR(__xludf.DUMMYFUNCTION("""COMPUTED_VALUE"""),"Negative")</f>
        <v>Negative</v>
      </c>
      <c r="G1035" s="16">
        <f>IFERROR(__xludf.DUMMYFUNCTION("""COMPUTED_VALUE"""),1.0)</f>
        <v>1</v>
      </c>
      <c r="H1035" s="8" t="str">
        <f>IFERROR(__xludf.DUMMYFUNCTION("""COMPUTED_VALUE"""),"FLSP")</f>
        <v>FLSP</v>
      </c>
    </row>
    <row r="1036">
      <c r="A1036" s="8" t="str">
        <f>IFERROR(__xludf.DUMMYFUNCTION("""COMPUTED_VALUE"""),"FLB7414")</f>
        <v>FLB7414</v>
      </c>
      <c r="B1036" s="8" t="str">
        <f>IFERROR(__xludf.DUMMYFUNCTION("""COMPUTED_VALUE"""),"RUN-FLMP_2022-04-11_RFR-109")</f>
        <v>RUN-FLMP_2022-04-11_RFR-109</v>
      </c>
      <c r="C1036" s="10">
        <f>VLOOKUP(B1036,'Run Reconcile'!A$2:B1579,2,FALSE)</f>
        <v>44662</v>
      </c>
      <c r="D1036" s="14">
        <f>IFERROR(__xludf.DUMMYFUNCTION("""COMPUTED_VALUE"""),44662.0)</f>
        <v>44662</v>
      </c>
      <c r="E1036" s="15">
        <f>IFERROR(__xludf.DUMMYFUNCTION("""COMPUTED_VALUE"""),0.3672685185192677)</f>
        <v>0.3672685185</v>
      </c>
      <c r="F1036" s="8" t="str">
        <f>IFERROR(__xludf.DUMMYFUNCTION("""COMPUTED_VALUE"""),"Negative")</f>
        <v>Negative</v>
      </c>
      <c r="G1036" s="16">
        <f>IFERROR(__xludf.DUMMYFUNCTION("""COMPUTED_VALUE"""),1.0)</f>
        <v>1</v>
      </c>
      <c r="H1036" s="8" t="str">
        <f>IFERROR(__xludf.DUMMYFUNCTION("""COMPUTED_VALUE"""),"CRLN")</f>
        <v>CRLN</v>
      </c>
    </row>
    <row r="1037">
      <c r="A1037" s="8" t="str">
        <f>IFERROR(__xludf.DUMMYFUNCTION("""COMPUTED_VALUE"""),"FLE208")</f>
        <v>FLE208</v>
      </c>
      <c r="B1037" s="8" t="str">
        <f>IFERROR(__xludf.DUMMYFUNCTION("""COMPUTED_VALUE"""),"RUN-FLMP_2022-04-11_RFR-109")</f>
        <v>RUN-FLMP_2022-04-11_RFR-109</v>
      </c>
      <c r="C1037" s="10">
        <f>VLOOKUP(B1037,'Run Reconcile'!A$2:B1579,2,FALSE)</f>
        <v>44662</v>
      </c>
      <c r="D1037" s="14">
        <f>IFERROR(__xludf.DUMMYFUNCTION("""COMPUTED_VALUE"""),44662.0)</f>
        <v>44662</v>
      </c>
      <c r="E1037" s="15">
        <f>IFERROR(__xludf.DUMMYFUNCTION("""COMPUTED_VALUE"""),0.3691203703710926)</f>
        <v>0.3691203704</v>
      </c>
      <c r="F1037" s="8" t="str">
        <f>IFERROR(__xludf.DUMMYFUNCTION("""COMPUTED_VALUE"""),"Negative")</f>
        <v>Negative</v>
      </c>
      <c r="G1037" s="16">
        <f>IFERROR(__xludf.DUMMYFUNCTION("""COMPUTED_VALUE"""),3.0)</f>
        <v>3</v>
      </c>
      <c r="H1037" s="8" t="str">
        <f>IFERROR(__xludf.DUMMYFUNCTION("""COMPUTED_VALUE"""),"CRLN")</f>
        <v>CRLN</v>
      </c>
    </row>
    <row r="1038">
      <c r="A1038" s="8" t="str">
        <f>IFERROR(__xludf.DUMMYFUNCTION("""COMPUTED_VALUE"""),"FLB4915")</f>
        <v>FLB4915</v>
      </c>
      <c r="B1038" s="8" t="str">
        <f>IFERROR(__xludf.DUMMYFUNCTION("""COMPUTED_VALUE"""),"RUN-FLMP_2022-04-11_RFR-109")</f>
        <v>RUN-FLMP_2022-04-11_RFR-109</v>
      </c>
      <c r="C1038" s="10">
        <f>VLOOKUP(B1038,'Run Reconcile'!A$2:B1579,2,FALSE)</f>
        <v>44662</v>
      </c>
      <c r="D1038" s="14">
        <f>IFERROR(__xludf.DUMMYFUNCTION("""COMPUTED_VALUE"""),44662.0)</f>
        <v>44662</v>
      </c>
      <c r="E1038" s="15">
        <f>IFERROR(__xludf.DUMMYFUNCTION("""COMPUTED_VALUE"""),0.3964467592595611)</f>
        <v>0.3964467593</v>
      </c>
      <c r="F1038" s="8" t="str">
        <f>IFERROR(__xludf.DUMMYFUNCTION("""COMPUTED_VALUE"""),"Negative")</f>
        <v>Negative</v>
      </c>
      <c r="G1038" s="16">
        <f>IFERROR(__xludf.DUMMYFUNCTION("""COMPUTED_VALUE"""),1.0)</f>
        <v>1</v>
      </c>
      <c r="H1038" s="8" t="str">
        <f>IFERROR(__xludf.DUMMYFUNCTION("""COMPUTED_VALUE"""),"FLSP")</f>
        <v>FLSP</v>
      </c>
    </row>
    <row r="1039">
      <c r="A1039" s="8" t="str">
        <f>IFERROR(__xludf.DUMMYFUNCTION("""COMPUTED_VALUE"""),"FLB7373")</f>
        <v>FLB7373</v>
      </c>
      <c r="B1039" s="8" t="str">
        <f>IFERROR(__xludf.DUMMYFUNCTION("""COMPUTED_VALUE"""),"RUN-FLMP_2022-04-14_RFR-111")</f>
        <v>RUN-FLMP_2022-04-14_RFR-111</v>
      </c>
      <c r="C1039" s="10">
        <f>VLOOKUP(B1039,'Run Reconcile'!A$2:B1579,2,FALSE)</f>
        <v>44665</v>
      </c>
      <c r="D1039" s="14">
        <f>IFERROR(__xludf.DUMMYFUNCTION("""COMPUTED_VALUE"""),44665.0)</f>
        <v>44665</v>
      </c>
      <c r="E1039" s="15">
        <f>IFERROR(__xludf.DUMMYFUNCTION("""COMPUTED_VALUE"""),0.28446759259168175)</f>
        <v>0.2844675926</v>
      </c>
      <c r="F1039" s="8" t="str">
        <f>IFERROR(__xludf.DUMMYFUNCTION("""COMPUTED_VALUE"""),"Negative")</f>
        <v>Negative</v>
      </c>
      <c r="G1039" s="16">
        <f>IFERROR(__xludf.DUMMYFUNCTION("""COMPUTED_VALUE"""),2.0)</f>
        <v>2</v>
      </c>
      <c r="H1039" s="8" t="str">
        <f>IFERROR(__xludf.DUMMYFUNCTION("""COMPUTED_VALUE"""),"CRLN")</f>
        <v>CRLN</v>
      </c>
    </row>
    <row r="1040">
      <c r="A1040" s="8" t="str">
        <f>IFERROR(__xludf.DUMMYFUNCTION("""COMPUTED_VALUE"""),"FLB5964")</f>
        <v>FLB5964</v>
      </c>
      <c r="B1040" s="8" t="str">
        <f>IFERROR(__xludf.DUMMYFUNCTION("""COMPUTED_VALUE"""),"RUN-FLMP_2022-04-14_RFR-111")</f>
        <v>RUN-FLMP_2022-04-14_RFR-111</v>
      </c>
      <c r="C1040" s="10">
        <f>VLOOKUP(B1040,'Run Reconcile'!A$2:B1579,2,FALSE)</f>
        <v>44665</v>
      </c>
      <c r="D1040" s="14">
        <f>IFERROR(__xludf.DUMMYFUNCTION("""COMPUTED_VALUE"""),44665.0)</f>
        <v>44665</v>
      </c>
      <c r="E1040" s="15">
        <f>IFERROR(__xludf.DUMMYFUNCTION("""COMPUTED_VALUE"""),0.309884259258979)</f>
        <v>0.3098842593</v>
      </c>
      <c r="F1040" s="8" t="str">
        <f>IFERROR(__xludf.DUMMYFUNCTION("""COMPUTED_VALUE"""),"Negative")</f>
        <v>Negative</v>
      </c>
      <c r="G1040" s="16">
        <f>IFERROR(__xludf.DUMMYFUNCTION("""COMPUTED_VALUE"""),1.0)</f>
        <v>1</v>
      </c>
      <c r="H1040" s="8" t="str">
        <f>IFERROR(__xludf.DUMMYFUNCTION("""COMPUTED_VALUE"""),"CRLN")</f>
        <v>CRLN</v>
      </c>
    </row>
    <row r="1041">
      <c r="A1041" s="8" t="str">
        <f>IFERROR(__xludf.DUMMYFUNCTION("""COMPUTED_VALUE"""),"FLE306")</f>
        <v>FLE306</v>
      </c>
      <c r="B1041" s="8" t="str">
        <f>IFERROR(__xludf.DUMMYFUNCTION("""COMPUTED_VALUE"""),"RUN-FLMP_2022-04-14_RFR-111")</f>
        <v>RUN-FLMP_2022-04-14_RFR-111</v>
      </c>
      <c r="C1041" s="10">
        <f>VLOOKUP(B1041,'Run Reconcile'!A$2:B1579,2,FALSE)</f>
        <v>44665</v>
      </c>
      <c r="D1041" s="14">
        <f>IFERROR(__xludf.DUMMYFUNCTION("""COMPUTED_VALUE"""),44665.0)</f>
        <v>44665</v>
      </c>
      <c r="E1041" s="15">
        <f>IFERROR(__xludf.DUMMYFUNCTION("""COMPUTED_VALUE"""),0.31945601851839456)</f>
        <v>0.3194560185</v>
      </c>
      <c r="F1041" s="8" t="str">
        <f>IFERROR(__xludf.DUMMYFUNCTION("""COMPUTED_VALUE"""),"Negative")</f>
        <v>Negative</v>
      </c>
      <c r="G1041" s="16">
        <f>IFERROR(__xludf.DUMMYFUNCTION("""COMPUTED_VALUE"""),4.0)</f>
        <v>4</v>
      </c>
      <c r="H1041" s="8" t="str">
        <f>IFERROR(__xludf.DUMMYFUNCTION("""COMPUTED_VALUE"""),"CRLN")</f>
        <v>CRLN</v>
      </c>
    </row>
    <row r="1042">
      <c r="A1042" s="8" t="str">
        <f>IFERROR(__xludf.DUMMYFUNCTION("""COMPUTED_VALUE"""),"FLB6746")</f>
        <v>FLB6746</v>
      </c>
      <c r="B1042" s="8" t="str">
        <f>IFERROR(__xludf.DUMMYFUNCTION("""COMPUTED_VALUE"""),"RUN-FLMP_2022-04-14_RFR-111")</f>
        <v>RUN-FLMP_2022-04-14_RFR-111</v>
      </c>
      <c r="C1042" s="10">
        <f>VLOOKUP(B1042,'Run Reconcile'!A$2:B1579,2,FALSE)</f>
        <v>44665</v>
      </c>
      <c r="D1042" s="14">
        <f>IFERROR(__xludf.DUMMYFUNCTION("""COMPUTED_VALUE"""),44665.0)</f>
        <v>44665</v>
      </c>
      <c r="E1042" s="15">
        <f>IFERROR(__xludf.DUMMYFUNCTION("""COMPUTED_VALUE"""),0.3195833333338669)</f>
        <v>0.3195833333</v>
      </c>
      <c r="F1042" s="8" t="str">
        <f>IFERROR(__xludf.DUMMYFUNCTION("""COMPUTED_VALUE"""),"Negative")</f>
        <v>Negative</v>
      </c>
      <c r="G1042" s="16">
        <f>IFERROR(__xludf.DUMMYFUNCTION("""COMPUTED_VALUE"""),3.0)</f>
        <v>3</v>
      </c>
      <c r="H1042" s="8" t="str">
        <f>IFERROR(__xludf.DUMMYFUNCTION("""COMPUTED_VALUE"""),"CRLN")</f>
        <v>CRLN</v>
      </c>
    </row>
    <row r="1043">
      <c r="A1043" s="8" t="str">
        <f>IFERROR(__xludf.DUMMYFUNCTION("""COMPUTED_VALUE"""),"FLB6557")</f>
        <v>FLB6557</v>
      </c>
      <c r="B1043" s="8" t="str">
        <f>IFERROR(__xludf.DUMMYFUNCTION("""COMPUTED_VALUE"""),"RUN-FLMP_2022-04-14_RFR-111")</f>
        <v>RUN-FLMP_2022-04-14_RFR-111</v>
      </c>
      <c r="C1043" s="10">
        <f>VLOOKUP(B1043,'Run Reconcile'!A$2:B1579,2,FALSE)</f>
        <v>44665</v>
      </c>
      <c r="D1043" s="14">
        <f>IFERROR(__xludf.DUMMYFUNCTION("""COMPUTED_VALUE"""),44665.0)</f>
        <v>44665</v>
      </c>
      <c r="E1043" s="15">
        <f>IFERROR(__xludf.DUMMYFUNCTION("""COMPUTED_VALUE"""),0.320173611111386)</f>
        <v>0.3201736111</v>
      </c>
      <c r="F1043" s="8" t="str">
        <f>IFERROR(__xludf.DUMMYFUNCTION("""COMPUTED_VALUE"""),"Negative")</f>
        <v>Negative</v>
      </c>
      <c r="G1043" s="16">
        <f>IFERROR(__xludf.DUMMYFUNCTION("""COMPUTED_VALUE"""),3.0)</f>
        <v>3</v>
      </c>
      <c r="H1043" s="8" t="str">
        <f>IFERROR(__xludf.DUMMYFUNCTION("""COMPUTED_VALUE"""),"CRLN")</f>
        <v>CRLN</v>
      </c>
    </row>
    <row r="1044">
      <c r="A1044" s="8" t="str">
        <f>IFERROR(__xludf.DUMMYFUNCTION("""COMPUTED_VALUE"""),"FLB7133")</f>
        <v>FLB7133</v>
      </c>
      <c r="B1044" s="8" t="str">
        <f>IFERROR(__xludf.DUMMYFUNCTION("""COMPUTED_VALUE"""),"RUN-FLMP_2022-04-14_RFR-111")</f>
        <v>RUN-FLMP_2022-04-14_RFR-111</v>
      </c>
      <c r="C1044" s="10">
        <f>VLOOKUP(B1044,'Run Reconcile'!A$2:B1579,2,FALSE)</f>
        <v>44665</v>
      </c>
      <c r="D1044" s="14">
        <f>IFERROR(__xludf.DUMMYFUNCTION("""COMPUTED_VALUE"""),44665.0)</f>
        <v>44665</v>
      </c>
      <c r="E1044" s="15">
        <f>IFERROR(__xludf.DUMMYFUNCTION("""COMPUTED_VALUE"""),0.3261226851864194)</f>
        <v>0.3261226852</v>
      </c>
      <c r="F1044" s="8" t="str">
        <f>IFERROR(__xludf.DUMMYFUNCTION("""COMPUTED_VALUE"""),"Negative")</f>
        <v>Negative</v>
      </c>
      <c r="G1044" s="16">
        <f>IFERROR(__xludf.DUMMYFUNCTION("""COMPUTED_VALUE"""),3.0)</f>
        <v>3</v>
      </c>
      <c r="H1044" s="8" t="str">
        <f>IFERROR(__xludf.DUMMYFUNCTION("""COMPUTED_VALUE"""),"CRLN")</f>
        <v>CRLN</v>
      </c>
    </row>
    <row r="1045">
      <c r="A1045" s="8" t="str">
        <f>IFERROR(__xludf.DUMMYFUNCTION("""COMPUTED_VALUE"""),"FLB4907")</f>
        <v>FLB4907</v>
      </c>
      <c r="B1045" s="8" t="str">
        <f>IFERROR(__xludf.DUMMYFUNCTION("""COMPUTED_VALUE"""),"RUN-FLMP_2022-04-14_RFR-111")</f>
        <v>RUN-FLMP_2022-04-14_RFR-111</v>
      </c>
      <c r="C1045" s="10">
        <f>VLOOKUP(B1045,'Run Reconcile'!A$2:B1579,2,FALSE)</f>
        <v>44665</v>
      </c>
      <c r="D1045" s="14">
        <f>IFERROR(__xludf.DUMMYFUNCTION("""COMPUTED_VALUE"""),44665.0)</f>
        <v>44665</v>
      </c>
      <c r="E1045" s="15">
        <f>IFERROR(__xludf.DUMMYFUNCTION("""COMPUTED_VALUE"""),0.32657407407532446)</f>
        <v>0.3265740741</v>
      </c>
      <c r="F1045" s="8" t="str">
        <f>IFERROR(__xludf.DUMMYFUNCTION("""COMPUTED_VALUE"""),"Negative")</f>
        <v>Negative</v>
      </c>
      <c r="G1045" s="16">
        <f>IFERROR(__xludf.DUMMYFUNCTION("""COMPUTED_VALUE"""),4.0)</f>
        <v>4</v>
      </c>
      <c r="H1045" s="8" t="str">
        <f>IFERROR(__xludf.DUMMYFUNCTION("""COMPUTED_VALUE"""),"CRLN")</f>
        <v>CRLN</v>
      </c>
    </row>
    <row r="1046">
      <c r="A1046" s="8" t="str">
        <f>IFERROR(__xludf.DUMMYFUNCTION("""COMPUTED_VALUE"""),"FLB6535")</f>
        <v>FLB6535</v>
      </c>
      <c r="B1046" s="8" t="str">
        <f>IFERROR(__xludf.DUMMYFUNCTION("""COMPUTED_VALUE"""),"RUN-FLMP_2022-04-14_RFR-111")</f>
        <v>RUN-FLMP_2022-04-14_RFR-111</v>
      </c>
      <c r="C1046" s="10">
        <f>VLOOKUP(B1046,'Run Reconcile'!A$2:B1579,2,FALSE)</f>
        <v>44665</v>
      </c>
      <c r="D1046" s="14">
        <f>IFERROR(__xludf.DUMMYFUNCTION("""COMPUTED_VALUE"""),44665.0)</f>
        <v>44665</v>
      </c>
      <c r="E1046" s="15">
        <f>IFERROR(__xludf.DUMMYFUNCTION("""COMPUTED_VALUE"""),0.33613425925796037)</f>
        <v>0.3361342593</v>
      </c>
      <c r="F1046" s="8" t="str">
        <f>IFERROR(__xludf.DUMMYFUNCTION("""COMPUTED_VALUE"""),"Negative")</f>
        <v>Negative</v>
      </c>
      <c r="G1046" s="16">
        <f>IFERROR(__xludf.DUMMYFUNCTION("""COMPUTED_VALUE"""),1.0)</f>
        <v>1</v>
      </c>
      <c r="H1046" s="8" t="str">
        <f>IFERROR(__xludf.DUMMYFUNCTION("""COMPUTED_VALUE"""),"CRLN")</f>
        <v>CRLN</v>
      </c>
    </row>
    <row r="1047">
      <c r="A1047" s="8" t="str">
        <f>IFERROR(__xludf.DUMMYFUNCTION("""COMPUTED_VALUE"""),"FLE900")</f>
        <v>FLE900</v>
      </c>
      <c r="B1047" s="8" t="str">
        <f>IFERROR(__xludf.DUMMYFUNCTION("""COMPUTED_VALUE"""),"RUN-FLMP_2022-04-14_RFR-111")</f>
        <v>RUN-FLMP_2022-04-14_RFR-111</v>
      </c>
      <c r="C1047" s="10">
        <f>VLOOKUP(B1047,'Run Reconcile'!A$2:B1579,2,FALSE)</f>
        <v>44665</v>
      </c>
      <c r="D1047" s="14">
        <f>IFERROR(__xludf.DUMMYFUNCTION("""COMPUTED_VALUE"""),44665.0)</f>
        <v>44665</v>
      </c>
      <c r="E1047" s="15">
        <f>IFERROR(__xludf.DUMMYFUNCTION("""COMPUTED_VALUE"""),0.35106481481489027)</f>
        <v>0.3510648148</v>
      </c>
      <c r="F1047" s="8" t="str">
        <f>IFERROR(__xludf.DUMMYFUNCTION("""COMPUTED_VALUE"""),"Negative")</f>
        <v>Negative</v>
      </c>
      <c r="G1047" s="16">
        <f>IFERROR(__xludf.DUMMYFUNCTION("""COMPUTED_VALUE"""),4.0)</f>
        <v>4</v>
      </c>
      <c r="H1047" s="8" t="str">
        <f>IFERROR(__xludf.DUMMYFUNCTION("""COMPUTED_VALUE"""),"CRLN")</f>
        <v>CRLN</v>
      </c>
    </row>
    <row r="1048">
      <c r="A1048" s="8" t="str">
        <f>IFERROR(__xludf.DUMMYFUNCTION("""COMPUTED_VALUE"""),"FLB7168")</f>
        <v>FLB7168</v>
      </c>
      <c r="B1048" s="8" t="str">
        <f>IFERROR(__xludf.DUMMYFUNCTION("""COMPUTED_VALUE"""),"RUN-FLMP_2022-04-14_RFR-111")</f>
        <v>RUN-FLMP_2022-04-14_RFR-111</v>
      </c>
      <c r="C1048" s="10">
        <f>VLOOKUP(B1048,'Run Reconcile'!A$2:B1579,2,FALSE)</f>
        <v>44665</v>
      </c>
      <c r="D1048" s="14">
        <f>IFERROR(__xludf.DUMMYFUNCTION("""COMPUTED_VALUE"""),44665.0)</f>
        <v>44665</v>
      </c>
      <c r="E1048" s="15">
        <f>IFERROR(__xludf.DUMMYFUNCTION("""COMPUTED_VALUE"""),0.35260416666642413)</f>
        <v>0.3526041667</v>
      </c>
      <c r="F1048" s="8" t="str">
        <f>IFERROR(__xludf.DUMMYFUNCTION("""COMPUTED_VALUE"""),"Negative")</f>
        <v>Negative</v>
      </c>
      <c r="G1048" s="16">
        <f>IFERROR(__xludf.DUMMYFUNCTION("""COMPUTED_VALUE"""),3.0)</f>
        <v>3</v>
      </c>
      <c r="H1048" s="8" t="str">
        <f>IFERROR(__xludf.DUMMYFUNCTION("""COMPUTED_VALUE"""),"CRLN")</f>
        <v>CRLN</v>
      </c>
    </row>
    <row r="1049">
      <c r="A1049" s="8" t="str">
        <f>IFERROR(__xludf.DUMMYFUNCTION("""COMPUTED_VALUE"""),"FLB4912")</f>
        <v>FLB4912</v>
      </c>
      <c r="B1049" s="8" t="str">
        <f>IFERROR(__xludf.DUMMYFUNCTION("""COMPUTED_VALUE"""),"RUN-FLMP_2022-04-14_RFR-111")</f>
        <v>RUN-FLMP_2022-04-14_RFR-111</v>
      </c>
      <c r="C1049" s="10">
        <f>VLOOKUP(B1049,'Run Reconcile'!A$2:B1579,2,FALSE)</f>
        <v>44665</v>
      </c>
      <c r="D1049" s="14">
        <f>IFERROR(__xludf.DUMMYFUNCTION("""COMPUTED_VALUE"""),44665.0)</f>
        <v>44665</v>
      </c>
      <c r="E1049" s="15">
        <f>IFERROR(__xludf.DUMMYFUNCTION("""COMPUTED_VALUE"""),0.35393518518685596)</f>
        <v>0.3539351852</v>
      </c>
      <c r="F1049" s="8" t="str">
        <f>IFERROR(__xludf.DUMMYFUNCTION("""COMPUTED_VALUE"""),"Negative")</f>
        <v>Negative</v>
      </c>
      <c r="G1049" s="16">
        <f>IFERROR(__xludf.DUMMYFUNCTION("""COMPUTED_VALUE"""),2.0)</f>
        <v>2</v>
      </c>
      <c r="H1049" s="8" t="str">
        <f>IFERROR(__xludf.DUMMYFUNCTION("""COMPUTED_VALUE"""),"CRLN")</f>
        <v>CRLN</v>
      </c>
    </row>
    <row r="1050">
      <c r="A1050" s="8" t="str">
        <f>IFERROR(__xludf.DUMMYFUNCTION("""COMPUTED_VALUE"""),"FLB4910")</f>
        <v>FLB4910</v>
      </c>
      <c r="B1050" s="8" t="str">
        <f>IFERROR(__xludf.DUMMYFUNCTION("""COMPUTED_VALUE"""),"RUN-FLMP_2022-04-14_RFR-111")</f>
        <v>RUN-FLMP_2022-04-14_RFR-111</v>
      </c>
      <c r="C1050" s="10">
        <f>VLOOKUP(B1050,'Run Reconcile'!A$2:B1579,2,FALSE)</f>
        <v>44665</v>
      </c>
      <c r="D1050" s="14">
        <f>IFERROR(__xludf.DUMMYFUNCTION("""COMPUTED_VALUE"""),44665.0)</f>
        <v>44665</v>
      </c>
      <c r="E1050" s="15">
        <f>IFERROR(__xludf.DUMMYFUNCTION("""COMPUTED_VALUE"""),0.3553356481497758)</f>
        <v>0.3553356481</v>
      </c>
      <c r="F1050" s="8" t="str">
        <f>IFERROR(__xludf.DUMMYFUNCTION("""COMPUTED_VALUE"""),"Negative")</f>
        <v>Negative</v>
      </c>
      <c r="G1050" s="16">
        <f>IFERROR(__xludf.DUMMYFUNCTION("""COMPUTED_VALUE"""),1.0)</f>
        <v>1</v>
      </c>
      <c r="H1050" s="8" t="str">
        <f>IFERROR(__xludf.DUMMYFUNCTION("""COMPUTED_VALUE"""),"CRLN")</f>
        <v>CRLN</v>
      </c>
    </row>
    <row r="1051">
      <c r="A1051" s="8" t="str">
        <f>IFERROR(__xludf.DUMMYFUNCTION("""COMPUTED_VALUE"""),"FLB4970")</f>
        <v>FLB4970</v>
      </c>
      <c r="B1051" s="8" t="str">
        <f>IFERROR(__xludf.DUMMYFUNCTION("""COMPUTED_VALUE"""),"RUN-FLMP_2022-04-14_RFR-111")</f>
        <v>RUN-FLMP_2022-04-14_RFR-111</v>
      </c>
      <c r="C1051" s="10">
        <f>VLOOKUP(B1051,'Run Reconcile'!A$2:B1579,2,FALSE)</f>
        <v>44665</v>
      </c>
      <c r="D1051" s="14">
        <f>IFERROR(__xludf.DUMMYFUNCTION("""COMPUTED_VALUE"""),44665.0)</f>
        <v>44665</v>
      </c>
      <c r="E1051" s="15">
        <f>IFERROR(__xludf.DUMMYFUNCTION("""COMPUTED_VALUE"""),0.3574537037020491)</f>
        <v>0.3574537037</v>
      </c>
      <c r="F1051" s="8" t="str">
        <f>IFERROR(__xludf.DUMMYFUNCTION("""COMPUTED_VALUE"""),"Negative")</f>
        <v>Negative</v>
      </c>
      <c r="G1051" s="16">
        <f>IFERROR(__xludf.DUMMYFUNCTION("""COMPUTED_VALUE"""),2.0)</f>
        <v>2</v>
      </c>
      <c r="H1051" s="8" t="str">
        <f>IFERROR(__xludf.DUMMYFUNCTION("""COMPUTED_VALUE"""),"CRLN")</f>
        <v>CRLN</v>
      </c>
    </row>
    <row r="1052">
      <c r="A1052" s="8" t="str">
        <f>IFERROR(__xludf.DUMMYFUNCTION("""COMPUTED_VALUE"""),"FLE848")</f>
        <v>FLE848</v>
      </c>
      <c r="B1052" s="8" t="str">
        <f>IFERROR(__xludf.DUMMYFUNCTION("""COMPUTED_VALUE"""),"RUN-FLMP_2022-04-14_RFR-111")</f>
        <v>RUN-FLMP_2022-04-14_RFR-111</v>
      </c>
      <c r="C1052" s="10">
        <f>VLOOKUP(B1052,'Run Reconcile'!A$2:B1579,2,FALSE)</f>
        <v>44665</v>
      </c>
      <c r="D1052" s="14">
        <f>IFERROR(__xludf.DUMMYFUNCTION("""COMPUTED_VALUE"""),44665.0)</f>
        <v>44665</v>
      </c>
      <c r="E1052" s="15">
        <f>IFERROR(__xludf.DUMMYFUNCTION("""COMPUTED_VALUE"""),0.3576273148137261)</f>
        <v>0.3576273148</v>
      </c>
      <c r="F1052" s="8" t="str">
        <f>IFERROR(__xludf.DUMMYFUNCTION("""COMPUTED_VALUE"""),"Negative")</f>
        <v>Negative</v>
      </c>
      <c r="G1052" s="16">
        <f>IFERROR(__xludf.DUMMYFUNCTION("""COMPUTED_VALUE"""),2.0)</f>
        <v>2</v>
      </c>
      <c r="H1052" s="8" t="str">
        <f>IFERROR(__xludf.DUMMYFUNCTION("""COMPUTED_VALUE"""),"CRLN")</f>
        <v>CRLN</v>
      </c>
    </row>
    <row r="1053">
      <c r="A1053" s="8" t="str">
        <f>IFERROR(__xludf.DUMMYFUNCTION("""COMPUTED_VALUE"""),"FLE313")</f>
        <v>FLE313</v>
      </c>
      <c r="B1053" s="8" t="str">
        <f>IFERROR(__xludf.DUMMYFUNCTION("""COMPUTED_VALUE"""),"RUN-FLMP_2022-04-14_RFR-111")</f>
        <v>RUN-FLMP_2022-04-14_RFR-111</v>
      </c>
      <c r="C1053" s="10">
        <f>VLOOKUP(B1053,'Run Reconcile'!A$2:B1579,2,FALSE)</f>
        <v>44665</v>
      </c>
      <c r="D1053" s="14">
        <f>IFERROR(__xludf.DUMMYFUNCTION("""COMPUTED_VALUE"""),44665.0)</f>
        <v>44665</v>
      </c>
      <c r="E1053" s="15">
        <f>IFERROR(__xludf.DUMMYFUNCTION("""COMPUTED_VALUE"""),0.3580208333332848)</f>
        <v>0.3580208333</v>
      </c>
      <c r="F1053" s="8" t="str">
        <f>IFERROR(__xludf.DUMMYFUNCTION("""COMPUTED_VALUE"""),"Negative")</f>
        <v>Negative</v>
      </c>
      <c r="G1053" s="16">
        <f>IFERROR(__xludf.DUMMYFUNCTION("""COMPUTED_VALUE"""),4.0)</f>
        <v>4</v>
      </c>
      <c r="H1053" s="8" t="str">
        <f>IFERROR(__xludf.DUMMYFUNCTION("""COMPUTED_VALUE"""),"CRLN")</f>
        <v>CRLN</v>
      </c>
    </row>
    <row r="1054">
      <c r="A1054" s="8" t="str">
        <f>IFERROR(__xludf.DUMMYFUNCTION("""COMPUTED_VALUE"""),"AH683")</f>
        <v>AH683</v>
      </c>
      <c r="B1054" s="8" t="str">
        <f>IFERROR(__xludf.DUMMYFUNCTION("""COMPUTED_VALUE"""),"RUN-FLMP_2022-04-14_RFR-111")</f>
        <v>RUN-FLMP_2022-04-14_RFR-111</v>
      </c>
      <c r="C1054" s="10">
        <f>VLOOKUP(B1054,'Run Reconcile'!A$2:B1579,2,FALSE)</f>
        <v>44665</v>
      </c>
      <c r="D1054" s="14">
        <f>IFERROR(__xludf.DUMMYFUNCTION("""COMPUTED_VALUE"""),44665.0)</f>
        <v>44665</v>
      </c>
      <c r="E1054" s="15">
        <f>IFERROR(__xludf.DUMMYFUNCTION("""COMPUTED_VALUE"""),0.364398148147302)</f>
        <v>0.3643981481</v>
      </c>
      <c r="F1054" s="8" t="str">
        <f>IFERROR(__xludf.DUMMYFUNCTION("""COMPUTED_VALUE"""),"Negative")</f>
        <v>Negative</v>
      </c>
      <c r="G1054" s="16">
        <f>IFERROR(__xludf.DUMMYFUNCTION("""COMPUTED_VALUE"""),2.0)</f>
        <v>2</v>
      </c>
      <c r="H1054" s="8" t="str">
        <f>IFERROR(__xludf.DUMMYFUNCTION("""COMPUTED_VALUE"""),"CRLN")</f>
        <v>CRLN</v>
      </c>
    </row>
    <row r="1055">
      <c r="A1055" s="8" t="str">
        <f>IFERROR(__xludf.DUMMYFUNCTION("""COMPUTED_VALUE"""),"AG1613")</f>
        <v>AG1613</v>
      </c>
      <c r="B1055" s="8" t="str">
        <f>IFERROR(__xludf.DUMMYFUNCTION("""COMPUTED_VALUE"""),"RUN-FLMP_2022-04-14_RFR-111")</f>
        <v>RUN-FLMP_2022-04-14_RFR-111</v>
      </c>
      <c r="C1055" s="10">
        <f>VLOOKUP(B1055,'Run Reconcile'!A$2:B1579,2,FALSE)</f>
        <v>44665</v>
      </c>
      <c r="D1055" s="14">
        <f>IFERROR(__xludf.DUMMYFUNCTION("""COMPUTED_VALUE"""),44665.0)</f>
        <v>44665</v>
      </c>
      <c r="E1055" s="15">
        <f>IFERROR(__xludf.DUMMYFUNCTION("""COMPUTED_VALUE"""),0.36531249999825377)</f>
        <v>0.3653125</v>
      </c>
      <c r="F1055" s="8" t="str">
        <f>IFERROR(__xludf.DUMMYFUNCTION("""COMPUTED_VALUE"""),"Negative")</f>
        <v>Negative</v>
      </c>
      <c r="G1055" s="16">
        <f>IFERROR(__xludf.DUMMYFUNCTION("""COMPUTED_VALUE"""),1.0)</f>
        <v>1</v>
      </c>
      <c r="H1055" s="8" t="str">
        <f>IFERROR(__xludf.DUMMYFUNCTION("""COMPUTED_VALUE"""),"CRLN")</f>
        <v>CRLN</v>
      </c>
    </row>
    <row r="1056">
      <c r="A1056" s="8" t="str">
        <f>IFERROR(__xludf.DUMMYFUNCTION("""COMPUTED_VALUE"""),"FLB7169")</f>
        <v>FLB7169</v>
      </c>
      <c r="B1056" s="8" t="str">
        <f>IFERROR(__xludf.DUMMYFUNCTION("""COMPUTED_VALUE"""),"RUN-FLMP_2022-04-14_RFR-111")</f>
        <v>RUN-FLMP_2022-04-14_RFR-111</v>
      </c>
      <c r="C1056" s="10">
        <f>VLOOKUP(B1056,'Run Reconcile'!A$2:B1579,2,FALSE)</f>
        <v>44665</v>
      </c>
      <c r="D1056" s="14">
        <f>IFERROR(__xludf.DUMMYFUNCTION("""COMPUTED_VALUE"""),44665.0)</f>
        <v>44665</v>
      </c>
      <c r="E1056" s="15">
        <f>IFERROR(__xludf.DUMMYFUNCTION("""COMPUTED_VALUE"""),0.37159722222349956)</f>
        <v>0.3715972222</v>
      </c>
      <c r="F1056" s="8" t="str">
        <f>IFERROR(__xludf.DUMMYFUNCTION("""COMPUTED_VALUE"""),"Negative")</f>
        <v>Negative</v>
      </c>
      <c r="G1056" s="16">
        <f>IFERROR(__xludf.DUMMYFUNCTION("""COMPUTED_VALUE"""),3.0)</f>
        <v>3</v>
      </c>
      <c r="H1056" s="8" t="str">
        <f>IFERROR(__xludf.DUMMYFUNCTION("""COMPUTED_VALUE"""),"CRLN")</f>
        <v>CRLN</v>
      </c>
    </row>
    <row r="1057">
      <c r="A1057" s="8" t="str">
        <f>IFERROR(__xludf.DUMMYFUNCTION("""COMPUTED_VALUE"""),"FLB4909")</f>
        <v>FLB4909</v>
      </c>
      <c r="B1057" s="8" t="str">
        <f>IFERROR(__xludf.DUMMYFUNCTION("""COMPUTED_VALUE"""),"RUN-FLMP_2022-04-14_RFR-111")</f>
        <v>RUN-FLMP_2022-04-14_RFR-111</v>
      </c>
      <c r="C1057" s="10">
        <f>VLOOKUP(B1057,'Run Reconcile'!A$2:B1579,2,FALSE)</f>
        <v>44665</v>
      </c>
      <c r="D1057" s="14">
        <f>IFERROR(__xludf.DUMMYFUNCTION("""COMPUTED_VALUE"""),44665.0)</f>
        <v>44665</v>
      </c>
      <c r="E1057" s="15">
        <f>IFERROR(__xludf.DUMMYFUNCTION("""COMPUTED_VALUE"""),0.3753935185195587)</f>
        <v>0.3753935185</v>
      </c>
      <c r="F1057" s="8" t="str">
        <f>IFERROR(__xludf.DUMMYFUNCTION("""COMPUTED_VALUE"""),"Negative")</f>
        <v>Negative</v>
      </c>
      <c r="G1057" s="16">
        <f>IFERROR(__xludf.DUMMYFUNCTION("""COMPUTED_VALUE"""),2.0)</f>
        <v>2</v>
      </c>
      <c r="H1057" s="8" t="str">
        <f>IFERROR(__xludf.DUMMYFUNCTION("""COMPUTED_VALUE"""),"FLSP")</f>
        <v>FLSP</v>
      </c>
    </row>
    <row r="1058">
      <c r="A1058" s="8" t="str">
        <f>IFERROR(__xludf.DUMMYFUNCTION("""COMPUTED_VALUE"""),"MA1017")</f>
        <v>MA1017</v>
      </c>
      <c r="B1058" s="8" t="str">
        <f>IFERROR(__xludf.DUMMYFUNCTION("""COMPUTED_VALUE"""),"RUN-FLMP_2022-04-16_APS-089")</f>
        <v>RUN-FLMP_2022-04-16_APS-089</v>
      </c>
      <c r="C1058" s="10">
        <f>VLOOKUP(B1058,'Run Reconcile'!A$2:B1579,2,FALSE)</f>
        <v>44667</v>
      </c>
      <c r="D1058" s="14">
        <f>IFERROR(__xludf.DUMMYFUNCTION("""COMPUTED_VALUE"""),44667.0)</f>
        <v>44667</v>
      </c>
      <c r="E1058" s="15">
        <f>IFERROR(__xludf.DUMMYFUNCTION("""COMPUTED_VALUE"""),0.34831018518525525)</f>
        <v>0.3483101852</v>
      </c>
      <c r="F1058" s="8" t="str">
        <f>IFERROR(__xludf.DUMMYFUNCTION("""COMPUTED_VALUE"""),"Negative")</f>
        <v>Negative</v>
      </c>
      <c r="G1058" s="16">
        <f>IFERROR(__xludf.DUMMYFUNCTION("""COMPUTED_VALUE"""),4.0)</f>
        <v>4</v>
      </c>
      <c r="H1058" s="8" t="str">
        <f>IFERROR(__xludf.DUMMYFUNCTION("""COMPUTED_VALUE"""),"CRLN")</f>
        <v>CRLN</v>
      </c>
    </row>
    <row r="1059">
      <c r="A1059" s="8" t="str">
        <f>IFERROR(__xludf.DUMMYFUNCTION("""COMPUTED_VALUE"""),"FLB5978")</f>
        <v>FLB5978</v>
      </c>
      <c r="B1059" s="8" t="str">
        <f>IFERROR(__xludf.DUMMYFUNCTION("""COMPUTED_VALUE"""),"RUN-FLMP_2022-04-18_RFR-113")</f>
        <v>RUN-FLMP_2022-04-18_RFR-113</v>
      </c>
      <c r="C1059" s="10">
        <f>VLOOKUP(B1059,'Run Reconcile'!A$2:B1579,2,FALSE)</f>
        <v>44669</v>
      </c>
      <c r="D1059" s="14">
        <f>IFERROR(__xludf.DUMMYFUNCTION("""COMPUTED_VALUE"""),44668.0)</f>
        <v>44668</v>
      </c>
      <c r="E1059" s="15">
        <f>IFERROR(__xludf.DUMMYFUNCTION("""COMPUTED_VALUE"""),0.6657638888900692)</f>
        <v>0.6657638889</v>
      </c>
      <c r="F1059" s="8" t="str">
        <f>IFERROR(__xludf.DUMMYFUNCTION("""COMPUTED_VALUE"""),"Negative")</f>
        <v>Negative</v>
      </c>
      <c r="G1059" s="16">
        <f>IFERROR(__xludf.DUMMYFUNCTION("""COMPUTED_VALUE"""),1.0)</f>
        <v>1</v>
      </c>
      <c r="H1059" s="8" t="str">
        <f>IFERROR(__xludf.DUMMYFUNCTION("""COMPUTED_VALUE"""),"CRLN")</f>
        <v>CRLN</v>
      </c>
    </row>
    <row r="1060">
      <c r="A1060" s="8" t="str">
        <f>IFERROR(__xludf.DUMMYFUNCTION("""COMPUTED_VALUE"""),"FLB7417")</f>
        <v>FLB7417</v>
      </c>
      <c r="B1060" s="8" t="str">
        <f>IFERROR(__xludf.DUMMYFUNCTION("""COMPUTED_VALUE"""),"RUN-FLMP_2022-04-18_RFR-113")</f>
        <v>RUN-FLMP_2022-04-18_RFR-113</v>
      </c>
      <c r="C1060" s="10">
        <f>VLOOKUP(B1060,'Run Reconcile'!A$2:B1579,2,FALSE)</f>
        <v>44669</v>
      </c>
      <c r="D1060" s="14">
        <f>IFERROR(__xludf.DUMMYFUNCTION("""COMPUTED_VALUE"""),44668.0)</f>
        <v>44668</v>
      </c>
      <c r="E1060" s="15">
        <f>IFERROR(__xludf.DUMMYFUNCTION("""COMPUTED_VALUE"""),0.8768287037019036)</f>
        <v>0.8768287037</v>
      </c>
      <c r="F1060" s="8" t="str">
        <f>IFERROR(__xludf.DUMMYFUNCTION("""COMPUTED_VALUE"""),"Negative")</f>
        <v>Negative</v>
      </c>
      <c r="G1060" s="16">
        <f>IFERROR(__xludf.DUMMYFUNCTION("""COMPUTED_VALUE"""),4.0)</f>
        <v>4</v>
      </c>
      <c r="H1060" s="8" t="str">
        <f>IFERROR(__xludf.DUMMYFUNCTION("""COMPUTED_VALUE"""),"CRLN")</f>
        <v>CRLN</v>
      </c>
    </row>
    <row r="1061">
      <c r="A1061" s="8" t="str">
        <f>IFERROR(__xludf.DUMMYFUNCTION("""COMPUTED_VALUE"""),"FLE288")</f>
        <v>FLE288</v>
      </c>
      <c r="B1061" s="8" t="str">
        <f>IFERROR(__xludf.DUMMYFUNCTION("""COMPUTED_VALUE"""),"RUN-FLMP_2022-04-18_RFR-113")</f>
        <v>RUN-FLMP_2022-04-18_RFR-113</v>
      </c>
      <c r="C1061" s="10">
        <f>VLOOKUP(B1061,'Run Reconcile'!A$2:B1579,2,FALSE)</f>
        <v>44669</v>
      </c>
      <c r="D1061" s="14">
        <f>IFERROR(__xludf.DUMMYFUNCTION("""COMPUTED_VALUE"""),44669.0)</f>
        <v>44669</v>
      </c>
      <c r="E1061" s="15">
        <f>IFERROR(__xludf.DUMMYFUNCTION("""COMPUTED_VALUE"""),0.31648148148087785)</f>
        <v>0.3164814815</v>
      </c>
      <c r="F1061" s="8" t="str">
        <f>IFERROR(__xludf.DUMMYFUNCTION("""COMPUTED_VALUE"""),"Negative")</f>
        <v>Negative</v>
      </c>
      <c r="G1061" s="16">
        <f>IFERROR(__xludf.DUMMYFUNCTION("""COMPUTED_VALUE"""),4.0)</f>
        <v>4</v>
      </c>
      <c r="H1061" s="8" t="str">
        <f>IFERROR(__xludf.DUMMYFUNCTION("""COMPUTED_VALUE"""),"CRLN")</f>
        <v>CRLN</v>
      </c>
    </row>
    <row r="1062">
      <c r="A1062" s="8" t="str">
        <f>IFERROR(__xludf.DUMMYFUNCTION("""COMPUTED_VALUE"""),"FLB7283")</f>
        <v>FLB7283</v>
      </c>
      <c r="B1062" s="8" t="str">
        <f>IFERROR(__xludf.DUMMYFUNCTION("""COMPUTED_VALUE"""),"RUN-FLMP_2022-04-18_RFR-113")</f>
        <v>RUN-FLMP_2022-04-18_RFR-113</v>
      </c>
      <c r="C1062" s="10">
        <f>VLOOKUP(B1062,'Run Reconcile'!A$2:B1579,2,FALSE)</f>
        <v>44669</v>
      </c>
      <c r="D1062" s="14">
        <f>IFERROR(__xludf.DUMMYFUNCTION("""COMPUTED_VALUE"""),44669.0)</f>
        <v>44669</v>
      </c>
      <c r="E1062" s="15">
        <f>IFERROR(__xludf.DUMMYFUNCTION("""COMPUTED_VALUE"""),0.3170833333315386)</f>
        <v>0.3170833333</v>
      </c>
      <c r="F1062" s="8" t="str">
        <f>IFERROR(__xludf.DUMMYFUNCTION("""COMPUTED_VALUE"""),"Negative")</f>
        <v>Negative</v>
      </c>
      <c r="G1062" s="16">
        <f>IFERROR(__xludf.DUMMYFUNCTION("""COMPUTED_VALUE"""),1.0)</f>
        <v>1</v>
      </c>
      <c r="H1062" s="8" t="str">
        <f>IFERROR(__xludf.DUMMYFUNCTION("""COMPUTED_VALUE"""),"CRLN")</f>
        <v>CRLN</v>
      </c>
    </row>
    <row r="1063">
      <c r="A1063" s="8" t="str">
        <f>IFERROR(__xludf.DUMMYFUNCTION("""COMPUTED_VALUE"""),"AG1663")</f>
        <v>AG1663</v>
      </c>
      <c r="B1063" s="8" t="str">
        <f>IFERROR(__xludf.DUMMYFUNCTION("""COMPUTED_VALUE"""),"RUN-FLMP_2022-04-18_RFR-113")</f>
        <v>RUN-FLMP_2022-04-18_RFR-113</v>
      </c>
      <c r="C1063" s="10">
        <f>VLOOKUP(B1063,'Run Reconcile'!A$2:B1579,2,FALSE)</f>
        <v>44669</v>
      </c>
      <c r="D1063" s="14">
        <f>IFERROR(__xludf.DUMMYFUNCTION("""COMPUTED_VALUE"""),44669.0)</f>
        <v>44669</v>
      </c>
      <c r="E1063" s="15">
        <f>IFERROR(__xludf.DUMMYFUNCTION("""COMPUTED_VALUE"""),0.32655092592540313)</f>
        <v>0.3265509259</v>
      </c>
      <c r="F1063" s="8" t="str">
        <f>IFERROR(__xludf.DUMMYFUNCTION("""COMPUTED_VALUE"""),"Negative")</f>
        <v>Negative</v>
      </c>
      <c r="G1063" s="16">
        <f>IFERROR(__xludf.DUMMYFUNCTION("""COMPUTED_VALUE"""),4.0)</f>
        <v>4</v>
      </c>
      <c r="H1063" s="8" t="str">
        <f>IFERROR(__xludf.DUMMYFUNCTION("""COMPUTED_VALUE"""),"CRLN")</f>
        <v>CRLN</v>
      </c>
    </row>
    <row r="1064">
      <c r="A1064" s="8" t="str">
        <f>IFERROR(__xludf.DUMMYFUNCTION("""COMPUTED_VALUE"""),"FLB5882")</f>
        <v>FLB5882</v>
      </c>
      <c r="B1064" s="8" t="str">
        <f>IFERROR(__xludf.DUMMYFUNCTION("""COMPUTED_VALUE"""),"RUN-FLMP_2022-04-18_RFR-113")</f>
        <v>RUN-FLMP_2022-04-18_RFR-113</v>
      </c>
      <c r="C1064" s="10">
        <f>VLOOKUP(B1064,'Run Reconcile'!A$2:B1579,2,FALSE)</f>
        <v>44669</v>
      </c>
      <c r="D1064" s="14">
        <f>IFERROR(__xludf.DUMMYFUNCTION("""COMPUTED_VALUE"""),44669.0)</f>
        <v>44669</v>
      </c>
      <c r="E1064" s="15">
        <f>IFERROR(__xludf.DUMMYFUNCTION("""COMPUTED_VALUE"""),0.3322222222232085)</f>
        <v>0.3322222222</v>
      </c>
      <c r="F1064" s="8" t="str">
        <f>IFERROR(__xludf.DUMMYFUNCTION("""COMPUTED_VALUE"""),"Negative")</f>
        <v>Negative</v>
      </c>
      <c r="G1064" s="16">
        <f>IFERROR(__xludf.DUMMYFUNCTION("""COMPUTED_VALUE"""),3.0)</f>
        <v>3</v>
      </c>
      <c r="H1064" s="8" t="str">
        <f>IFERROR(__xludf.DUMMYFUNCTION("""COMPUTED_VALUE"""),"CRLN")</f>
        <v>CRLN</v>
      </c>
    </row>
    <row r="1065">
      <c r="A1065" s="8" t="str">
        <f>IFERROR(__xludf.DUMMYFUNCTION("""COMPUTED_VALUE"""),"AJ9342")</f>
        <v>AJ9342</v>
      </c>
      <c r="B1065" s="8" t="str">
        <f>IFERROR(__xludf.DUMMYFUNCTION("""COMPUTED_VALUE"""),"RUN-FLMP_2022-04-18_RFR-113")</f>
        <v>RUN-FLMP_2022-04-18_RFR-113</v>
      </c>
      <c r="C1065" s="10">
        <f>VLOOKUP(B1065,'Run Reconcile'!A$2:B1579,2,FALSE)</f>
        <v>44669</v>
      </c>
      <c r="D1065" s="14">
        <f>IFERROR(__xludf.DUMMYFUNCTION("""COMPUTED_VALUE"""),44669.0)</f>
        <v>44669</v>
      </c>
      <c r="E1065" s="15">
        <f>IFERROR(__xludf.DUMMYFUNCTION("""COMPUTED_VALUE"""),0.3356134259265673)</f>
        <v>0.3356134259</v>
      </c>
      <c r="F1065" s="8" t="str">
        <f>IFERROR(__xludf.DUMMYFUNCTION("""COMPUTED_VALUE"""),"Negative")</f>
        <v>Negative</v>
      </c>
      <c r="G1065" s="16">
        <f>IFERROR(__xludf.DUMMYFUNCTION("""COMPUTED_VALUE"""),3.0)</f>
        <v>3</v>
      </c>
      <c r="H1065" s="8" t="str">
        <f>IFERROR(__xludf.DUMMYFUNCTION("""COMPUTED_VALUE"""),"CRLN")</f>
        <v>CRLN</v>
      </c>
    </row>
    <row r="1066">
      <c r="A1066" s="8" t="str">
        <f>IFERROR(__xludf.DUMMYFUNCTION("""COMPUTED_VALUE"""),"AH7588")</f>
        <v>AH7588</v>
      </c>
      <c r="B1066" s="8" t="str">
        <f>IFERROR(__xludf.DUMMYFUNCTION("""COMPUTED_VALUE"""),"RUN-FLMP_2022-04-18_RFR-113")</f>
        <v>RUN-FLMP_2022-04-18_RFR-113</v>
      </c>
      <c r="C1066" s="10">
        <f>VLOOKUP(B1066,'Run Reconcile'!A$2:B1579,2,FALSE)</f>
        <v>44669</v>
      </c>
      <c r="D1066" s="14">
        <f>IFERROR(__xludf.DUMMYFUNCTION("""COMPUTED_VALUE"""),44669.0)</f>
        <v>44669</v>
      </c>
      <c r="E1066" s="15">
        <f>IFERROR(__xludf.DUMMYFUNCTION("""COMPUTED_VALUE"""),0.33616898148102337)</f>
        <v>0.3361689815</v>
      </c>
      <c r="F1066" s="8" t="str">
        <f>IFERROR(__xludf.DUMMYFUNCTION("""COMPUTED_VALUE"""),"Negative")</f>
        <v>Negative</v>
      </c>
      <c r="G1066" s="16">
        <f>IFERROR(__xludf.DUMMYFUNCTION("""COMPUTED_VALUE"""),3.0)</f>
        <v>3</v>
      </c>
      <c r="H1066" s="8" t="str">
        <f>IFERROR(__xludf.DUMMYFUNCTION("""COMPUTED_VALUE"""),"CRLN")</f>
        <v>CRLN</v>
      </c>
    </row>
    <row r="1067">
      <c r="A1067" s="8" t="str">
        <f>IFERROR(__xludf.DUMMYFUNCTION("""COMPUTED_VALUE"""),"FLE256")</f>
        <v>FLE256</v>
      </c>
      <c r="B1067" s="8" t="str">
        <f>IFERROR(__xludf.DUMMYFUNCTION("""COMPUTED_VALUE"""),"RUN-FLMP_2022-04-18_RFR-113")</f>
        <v>RUN-FLMP_2022-04-18_RFR-113</v>
      </c>
      <c r="C1067" s="10">
        <f>VLOOKUP(B1067,'Run Reconcile'!A$2:B1579,2,FALSE)</f>
        <v>44669</v>
      </c>
      <c r="D1067" s="14">
        <f>IFERROR(__xludf.DUMMYFUNCTION("""COMPUTED_VALUE"""),44669.0)</f>
        <v>44669</v>
      </c>
      <c r="E1067" s="15">
        <f>IFERROR(__xludf.DUMMYFUNCTION("""COMPUTED_VALUE"""),0.34307870370321325)</f>
        <v>0.3430787037</v>
      </c>
      <c r="F1067" s="8" t="str">
        <f>IFERROR(__xludf.DUMMYFUNCTION("""COMPUTED_VALUE"""),"Negative")</f>
        <v>Negative</v>
      </c>
      <c r="G1067" s="16">
        <f>IFERROR(__xludf.DUMMYFUNCTION("""COMPUTED_VALUE"""),2.0)</f>
        <v>2</v>
      </c>
      <c r="H1067" s="8" t="str">
        <f>IFERROR(__xludf.DUMMYFUNCTION("""COMPUTED_VALUE"""),"CRLN")</f>
        <v>CRLN</v>
      </c>
    </row>
    <row r="1068">
      <c r="A1068" s="8" t="str">
        <f>IFERROR(__xludf.DUMMYFUNCTION("""COMPUTED_VALUE"""),"FLB7388")</f>
        <v>FLB7388</v>
      </c>
      <c r="B1068" s="8" t="str">
        <f>IFERROR(__xludf.DUMMYFUNCTION("""COMPUTED_VALUE"""),"RUN-FLMP_2022-04-18_RFR-113")</f>
        <v>RUN-FLMP_2022-04-18_RFR-113</v>
      </c>
      <c r="C1068" s="10">
        <f>VLOOKUP(B1068,'Run Reconcile'!A$2:B1579,2,FALSE)</f>
        <v>44669</v>
      </c>
      <c r="D1068" s="14">
        <f>IFERROR(__xludf.DUMMYFUNCTION("""COMPUTED_VALUE"""),44669.0)</f>
        <v>44669</v>
      </c>
      <c r="E1068" s="15">
        <f>IFERROR(__xludf.DUMMYFUNCTION("""COMPUTED_VALUE"""),0.34351851851897663)</f>
        <v>0.3435185185</v>
      </c>
      <c r="F1068" s="8" t="str">
        <f>IFERROR(__xludf.DUMMYFUNCTION("""COMPUTED_VALUE"""),"Negative")</f>
        <v>Negative</v>
      </c>
      <c r="G1068" s="16">
        <f>IFERROR(__xludf.DUMMYFUNCTION("""COMPUTED_VALUE"""),4.0)</f>
        <v>4</v>
      </c>
      <c r="H1068" s="8" t="str">
        <f>IFERROR(__xludf.DUMMYFUNCTION("""COMPUTED_VALUE"""),"CRLN")</f>
        <v>CRLN</v>
      </c>
    </row>
    <row r="1069">
      <c r="A1069" s="8" t="str">
        <f>IFERROR(__xludf.DUMMYFUNCTION("""COMPUTED_VALUE"""),"FLB6749")</f>
        <v>FLB6749</v>
      </c>
      <c r="B1069" s="8" t="str">
        <f>IFERROR(__xludf.DUMMYFUNCTION("""COMPUTED_VALUE"""),"RUN-FLMP_2022-04-18_RFR-113")</f>
        <v>RUN-FLMP_2022-04-18_RFR-113</v>
      </c>
      <c r="C1069" s="10">
        <f>VLOOKUP(B1069,'Run Reconcile'!A$2:B1579,2,FALSE)</f>
        <v>44669</v>
      </c>
      <c r="D1069" s="14">
        <f>IFERROR(__xludf.DUMMYFUNCTION("""COMPUTED_VALUE"""),44669.0)</f>
        <v>44669</v>
      </c>
      <c r="E1069" s="15">
        <f>IFERROR(__xludf.DUMMYFUNCTION("""COMPUTED_VALUE"""),0.34467592592773144)</f>
        <v>0.3446759259</v>
      </c>
      <c r="F1069" s="8" t="str">
        <f>IFERROR(__xludf.DUMMYFUNCTION("""COMPUTED_VALUE"""),"Negative")</f>
        <v>Negative</v>
      </c>
      <c r="G1069" s="16">
        <f>IFERROR(__xludf.DUMMYFUNCTION("""COMPUTED_VALUE"""),1.0)</f>
        <v>1</v>
      </c>
      <c r="H1069" s="8" t="str">
        <f>IFERROR(__xludf.DUMMYFUNCTION("""COMPUTED_VALUE"""),"CRLN")</f>
        <v>CRLN</v>
      </c>
    </row>
    <row r="1070">
      <c r="A1070" s="8" t="str">
        <f>IFERROR(__xludf.DUMMYFUNCTION("""COMPUTED_VALUE"""),"FLB4784")</f>
        <v>FLB4784</v>
      </c>
      <c r="B1070" s="8" t="str">
        <f>IFERROR(__xludf.DUMMYFUNCTION("""COMPUTED_VALUE"""),"RUN-FLMP_2022-04-18_RFR-113")</f>
        <v>RUN-FLMP_2022-04-18_RFR-113</v>
      </c>
      <c r="C1070" s="10">
        <f>VLOOKUP(B1070,'Run Reconcile'!A$2:B1579,2,FALSE)</f>
        <v>44669</v>
      </c>
      <c r="D1070" s="14">
        <f>IFERROR(__xludf.DUMMYFUNCTION("""COMPUTED_VALUE"""),44669.0)</f>
        <v>44669</v>
      </c>
      <c r="E1070" s="15">
        <f>IFERROR(__xludf.DUMMYFUNCTION("""COMPUTED_VALUE"""),0.3541898148141627)</f>
        <v>0.3541898148</v>
      </c>
      <c r="F1070" s="8" t="str">
        <f>IFERROR(__xludf.DUMMYFUNCTION("""COMPUTED_VALUE"""),"Negative")</f>
        <v>Negative</v>
      </c>
      <c r="G1070" s="16">
        <f>IFERROR(__xludf.DUMMYFUNCTION("""COMPUTED_VALUE"""),4.0)</f>
        <v>4</v>
      </c>
      <c r="H1070" s="8" t="str">
        <f>IFERROR(__xludf.DUMMYFUNCTION("""COMPUTED_VALUE"""),"CRLN")</f>
        <v>CRLN</v>
      </c>
    </row>
    <row r="1071">
      <c r="A1071" s="8" t="str">
        <f>IFERROR(__xludf.DUMMYFUNCTION("""COMPUTED_VALUE"""),"AJ7653")</f>
        <v>AJ7653</v>
      </c>
      <c r="B1071" s="8" t="str">
        <f>IFERROR(__xludf.DUMMYFUNCTION("""COMPUTED_VALUE"""),"RUN-FLMP_2022-04-18_RFR-113")</f>
        <v>RUN-FLMP_2022-04-18_RFR-113</v>
      </c>
      <c r="C1071" s="10">
        <f>VLOOKUP(B1071,'Run Reconcile'!A$2:B1579,2,FALSE)</f>
        <v>44669</v>
      </c>
      <c r="D1071" s="14">
        <f>IFERROR(__xludf.DUMMYFUNCTION("""COMPUTED_VALUE"""),44669.0)</f>
        <v>44669</v>
      </c>
      <c r="E1071" s="15">
        <f>IFERROR(__xludf.DUMMYFUNCTION("""COMPUTED_VALUE"""),0.356550925924239)</f>
        <v>0.3565509259</v>
      </c>
      <c r="F1071" s="8" t="str">
        <f>IFERROR(__xludf.DUMMYFUNCTION("""COMPUTED_VALUE"""),"Negative")</f>
        <v>Negative</v>
      </c>
      <c r="G1071" s="16">
        <f>IFERROR(__xludf.DUMMYFUNCTION("""COMPUTED_VALUE"""),2.0)</f>
        <v>2</v>
      </c>
      <c r="H1071" s="8" t="str">
        <f>IFERROR(__xludf.DUMMYFUNCTION("""COMPUTED_VALUE"""),"CRLN")</f>
        <v>CRLN</v>
      </c>
    </row>
    <row r="1072">
      <c r="A1072" s="8" t="str">
        <f>IFERROR(__xludf.DUMMYFUNCTION("""COMPUTED_VALUE"""),"FLE265")</f>
        <v>FLE265</v>
      </c>
      <c r="B1072" s="8" t="str">
        <f>IFERROR(__xludf.DUMMYFUNCTION("""COMPUTED_VALUE"""),"RUN-FLMP_2022-04-18_RFR-113")</f>
        <v>RUN-FLMP_2022-04-18_RFR-113</v>
      </c>
      <c r="C1072" s="10">
        <f>VLOOKUP(B1072,'Run Reconcile'!A$2:B1579,2,FALSE)</f>
        <v>44669</v>
      </c>
      <c r="D1072" s="14">
        <f>IFERROR(__xludf.DUMMYFUNCTION("""COMPUTED_VALUE"""),44669.0)</f>
        <v>44669</v>
      </c>
      <c r="E1072" s="15">
        <f>IFERROR(__xludf.DUMMYFUNCTION("""COMPUTED_VALUE"""),0.3587499999994179)</f>
        <v>0.35875</v>
      </c>
      <c r="F1072" s="8" t="str">
        <f>IFERROR(__xludf.DUMMYFUNCTION("""COMPUTED_VALUE"""),"Negative")</f>
        <v>Negative</v>
      </c>
      <c r="G1072" s="16">
        <f>IFERROR(__xludf.DUMMYFUNCTION("""COMPUTED_VALUE"""),2.0)</f>
        <v>2</v>
      </c>
      <c r="H1072" s="8" t="str">
        <f>IFERROR(__xludf.DUMMYFUNCTION("""COMPUTED_VALUE"""),"CRLN")</f>
        <v>CRLN</v>
      </c>
    </row>
    <row r="1073">
      <c r="A1073" s="8" t="str">
        <f>IFERROR(__xludf.DUMMYFUNCTION("""COMPUTED_VALUE"""),"FLE824")</f>
        <v>FLE824</v>
      </c>
      <c r="B1073" s="8" t="str">
        <f>IFERROR(__xludf.DUMMYFUNCTION("""COMPUTED_VALUE"""),"RUN-FLMP_2022-04-18_RFR-113")</f>
        <v>RUN-FLMP_2022-04-18_RFR-113</v>
      </c>
      <c r="C1073" s="10">
        <f>VLOOKUP(B1073,'Run Reconcile'!A$2:B1579,2,FALSE)</f>
        <v>44669</v>
      </c>
      <c r="D1073" s="14">
        <f>IFERROR(__xludf.DUMMYFUNCTION("""COMPUTED_VALUE"""),44669.0)</f>
        <v>44669</v>
      </c>
      <c r="E1073" s="15">
        <f>IFERROR(__xludf.DUMMYFUNCTION("""COMPUTED_VALUE"""),0.3612615740748879)</f>
        <v>0.3612615741</v>
      </c>
      <c r="F1073" s="8" t="str">
        <f>IFERROR(__xludf.DUMMYFUNCTION("""COMPUTED_VALUE"""),"Negative")</f>
        <v>Negative</v>
      </c>
      <c r="G1073" s="16">
        <f>IFERROR(__xludf.DUMMYFUNCTION("""COMPUTED_VALUE"""),2.0)</f>
        <v>2</v>
      </c>
      <c r="H1073" s="8" t="str">
        <f>IFERROR(__xludf.DUMMYFUNCTION("""COMPUTED_VALUE"""),"CRLN")</f>
        <v>CRLN</v>
      </c>
    </row>
    <row r="1074">
      <c r="A1074" s="8" t="str">
        <f>IFERROR(__xludf.DUMMYFUNCTION("""COMPUTED_VALUE"""),"AH7298")</f>
        <v>AH7298</v>
      </c>
      <c r="B1074" s="8" t="str">
        <f>IFERROR(__xludf.DUMMYFUNCTION("""COMPUTED_VALUE"""),"RUN-FLMP_2022-04-18_RFR-113")</f>
        <v>RUN-FLMP_2022-04-18_RFR-113</v>
      </c>
      <c r="C1074" s="10">
        <f>VLOOKUP(B1074,'Run Reconcile'!A$2:B1579,2,FALSE)</f>
        <v>44669</v>
      </c>
      <c r="D1074" s="14">
        <f>IFERROR(__xludf.DUMMYFUNCTION("""COMPUTED_VALUE"""),44669.0)</f>
        <v>44669</v>
      </c>
      <c r="E1074" s="15">
        <f>IFERROR(__xludf.DUMMYFUNCTION("""COMPUTED_VALUE"""),0.36247685185298906)</f>
        <v>0.3624768519</v>
      </c>
      <c r="F1074" s="8" t="str">
        <f>IFERROR(__xludf.DUMMYFUNCTION("""COMPUTED_VALUE"""),"Negative")</f>
        <v>Negative</v>
      </c>
      <c r="G1074" s="16">
        <f>IFERROR(__xludf.DUMMYFUNCTION("""COMPUTED_VALUE"""),1.0)</f>
        <v>1</v>
      </c>
      <c r="H1074" s="8" t="str">
        <f>IFERROR(__xludf.DUMMYFUNCTION("""COMPUTED_VALUE"""),"CRLN")</f>
        <v>CRLN</v>
      </c>
    </row>
    <row r="1075">
      <c r="A1075" s="8" t="str">
        <f>IFERROR(__xludf.DUMMYFUNCTION("""COMPUTED_VALUE"""),"FLB5824")</f>
        <v>FLB5824</v>
      </c>
      <c r="B1075" s="8" t="str">
        <f>IFERROR(__xludf.DUMMYFUNCTION("""COMPUTED_VALUE"""),"RUN-FLMP_2022-04-18_RFR-113")</f>
        <v>RUN-FLMP_2022-04-18_RFR-113</v>
      </c>
      <c r="C1075" s="10">
        <f>VLOOKUP(B1075,'Run Reconcile'!A$2:B1579,2,FALSE)</f>
        <v>44669</v>
      </c>
      <c r="D1075" s="14">
        <f>IFERROR(__xludf.DUMMYFUNCTION("""COMPUTED_VALUE"""),44669.0)</f>
        <v>44669</v>
      </c>
      <c r="E1075" s="15">
        <f>IFERROR(__xludf.DUMMYFUNCTION("""COMPUTED_VALUE"""),0.36349537036949187)</f>
        <v>0.3634953704</v>
      </c>
      <c r="F1075" s="8" t="str">
        <f>IFERROR(__xludf.DUMMYFUNCTION("""COMPUTED_VALUE"""),"Negative")</f>
        <v>Negative</v>
      </c>
      <c r="G1075" s="16">
        <f>IFERROR(__xludf.DUMMYFUNCTION("""COMPUTED_VALUE"""),3.0)</f>
        <v>3</v>
      </c>
      <c r="H1075" s="8" t="str">
        <f>IFERROR(__xludf.DUMMYFUNCTION("""COMPUTED_VALUE"""),"CRLN")</f>
        <v>CRLN</v>
      </c>
    </row>
    <row r="1076">
      <c r="A1076" s="8" t="str">
        <f>IFERROR(__xludf.DUMMYFUNCTION("""COMPUTED_VALUE"""),"FLE868")</f>
        <v>FLE868</v>
      </c>
      <c r="B1076" s="8" t="str">
        <f>IFERROR(__xludf.DUMMYFUNCTION("""COMPUTED_VALUE"""),"RUN-FLMP_2022-04-18_RFR-113")</f>
        <v>RUN-FLMP_2022-04-18_RFR-113</v>
      </c>
      <c r="C1076" s="10">
        <f>VLOOKUP(B1076,'Run Reconcile'!A$2:B1579,2,FALSE)</f>
        <v>44669</v>
      </c>
      <c r="D1076" s="14">
        <f>IFERROR(__xludf.DUMMYFUNCTION("""COMPUTED_VALUE"""),44669.0)</f>
        <v>44669</v>
      </c>
      <c r="E1076" s="15">
        <f>IFERROR(__xludf.DUMMYFUNCTION("""COMPUTED_VALUE"""),0.3643171296280343)</f>
        <v>0.3643171296</v>
      </c>
      <c r="F1076" s="8" t="str">
        <f>IFERROR(__xludf.DUMMYFUNCTION("""COMPUTED_VALUE"""),"Negative")</f>
        <v>Negative</v>
      </c>
      <c r="G1076" s="16">
        <f>IFERROR(__xludf.DUMMYFUNCTION("""COMPUTED_VALUE"""),2.0)</f>
        <v>2</v>
      </c>
      <c r="H1076" s="8" t="str">
        <f>IFERROR(__xludf.DUMMYFUNCTION("""COMPUTED_VALUE"""),"CRLN")</f>
        <v>CRLN</v>
      </c>
    </row>
    <row r="1077">
      <c r="A1077" s="8" t="str">
        <f>IFERROR(__xludf.DUMMYFUNCTION("""COMPUTED_VALUE"""),"FLE293")</f>
        <v>FLE293</v>
      </c>
      <c r="B1077" s="8" t="str">
        <f>IFERROR(__xludf.DUMMYFUNCTION("""COMPUTED_VALUE"""),"RUN-FLMP_2022-04-18_RFR-113")</f>
        <v>RUN-FLMP_2022-04-18_RFR-113</v>
      </c>
      <c r="C1077" s="10">
        <f>VLOOKUP(B1077,'Run Reconcile'!A$2:B1579,2,FALSE)</f>
        <v>44669</v>
      </c>
      <c r="D1077" s="14">
        <f>IFERROR(__xludf.DUMMYFUNCTION("""COMPUTED_VALUE"""),44669.0)</f>
        <v>44669</v>
      </c>
      <c r="E1077" s="15">
        <f>IFERROR(__xludf.DUMMYFUNCTION("""COMPUTED_VALUE"""),0.3706365740727051)</f>
        <v>0.3706365741</v>
      </c>
      <c r="F1077" s="8" t="str">
        <f>IFERROR(__xludf.DUMMYFUNCTION("""COMPUTED_VALUE"""),"Negative")</f>
        <v>Negative</v>
      </c>
      <c r="G1077" s="16">
        <f>IFERROR(__xludf.DUMMYFUNCTION("""COMPUTED_VALUE"""),4.0)</f>
        <v>4</v>
      </c>
      <c r="H1077" s="8" t="str">
        <f>IFERROR(__xludf.DUMMYFUNCTION("""COMPUTED_VALUE"""),"CRLN")</f>
        <v>CRLN</v>
      </c>
    </row>
    <row r="1078">
      <c r="A1078" s="8" t="str">
        <f>IFERROR(__xludf.DUMMYFUNCTION("""COMPUTED_VALUE"""),"FLB4902")</f>
        <v>FLB4902</v>
      </c>
      <c r="B1078" s="8" t="str">
        <f>IFERROR(__xludf.DUMMYFUNCTION("""COMPUTED_VALUE"""),"RUN-FLMP_2022-04-18_RFR-113")</f>
        <v>RUN-FLMP_2022-04-18_RFR-113</v>
      </c>
      <c r="C1078" s="10">
        <f>VLOOKUP(B1078,'Run Reconcile'!A$2:B1579,2,FALSE)</f>
        <v>44669</v>
      </c>
      <c r="D1078" s="14">
        <f>IFERROR(__xludf.DUMMYFUNCTION("""COMPUTED_VALUE"""),44669.0)</f>
        <v>44669</v>
      </c>
      <c r="E1078" s="15">
        <f>IFERROR(__xludf.DUMMYFUNCTION("""COMPUTED_VALUE"""),0.37324074074058444)</f>
        <v>0.3732407407</v>
      </c>
      <c r="F1078" s="8" t="str">
        <f>IFERROR(__xludf.DUMMYFUNCTION("""COMPUTED_VALUE"""),"Negative")</f>
        <v>Negative</v>
      </c>
      <c r="G1078" s="16">
        <f>IFERROR(__xludf.DUMMYFUNCTION("""COMPUTED_VALUE"""),1.0)</f>
        <v>1</v>
      </c>
      <c r="H1078" s="8" t="str">
        <f>IFERROR(__xludf.DUMMYFUNCTION("""COMPUTED_VALUE"""),"FLSP")</f>
        <v>FLSP</v>
      </c>
    </row>
    <row r="1079">
      <c r="A1079" s="8" t="str">
        <f>IFERROR(__xludf.DUMMYFUNCTION("""COMPUTED_VALUE"""),"FLE890")</f>
        <v>FLE890</v>
      </c>
      <c r="B1079" s="8" t="str">
        <f>IFERROR(__xludf.DUMMYFUNCTION("""COMPUTED_VALUE"""),"RUN-FLMP_2022-04-18_RFR-113")</f>
        <v>RUN-FLMP_2022-04-18_RFR-113</v>
      </c>
      <c r="C1079" s="10">
        <f>VLOOKUP(B1079,'Run Reconcile'!A$2:B1579,2,FALSE)</f>
        <v>44669</v>
      </c>
      <c r="D1079" s="14">
        <f>IFERROR(__xludf.DUMMYFUNCTION("""COMPUTED_VALUE"""),44669.0)</f>
        <v>44669</v>
      </c>
      <c r="E1079" s="15">
        <f>IFERROR(__xludf.DUMMYFUNCTION("""COMPUTED_VALUE"""),0.3837615740740148)</f>
        <v>0.3837615741</v>
      </c>
      <c r="F1079" s="8" t="str">
        <f>IFERROR(__xludf.DUMMYFUNCTION("""COMPUTED_VALUE"""),"Negative")</f>
        <v>Negative</v>
      </c>
      <c r="G1079" s="16">
        <f>IFERROR(__xludf.DUMMYFUNCTION("""COMPUTED_VALUE"""),2.0)</f>
        <v>2</v>
      </c>
      <c r="H1079" s="8" t="str">
        <f>IFERROR(__xludf.DUMMYFUNCTION("""COMPUTED_VALUE"""),"CRLN")</f>
        <v>CRLN</v>
      </c>
    </row>
    <row r="1080">
      <c r="A1080" s="8" t="str">
        <f>IFERROR(__xludf.DUMMYFUNCTION("""COMPUTED_VALUE"""),"FLB4959")</f>
        <v>FLB4959</v>
      </c>
      <c r="B1080" s="8" t="str">
        <f>IFERROR(__xludf.DUMMYFUNCTION("""COMPUTED_VALUE"""),"RUN-FLMP_2022-04-18_RFR-113")</f>
        <v>RUN-FLMP_2022-04-18_RFR-113</v>
      </c>
      <c r="C1080" s="10">
        <f>VLOOKUP(B1080,'Run Reconcile'!A$2:B1579,2,FALSE)</f>
        <v>44669</v>
      </c>
      <c r="D1080" s="14">
        <f>IFERROR(__xludf.DUMMYFUNCTION("""COMPUTED_VALUE"""),44669.0)</f>
        <v>44669</v>
      </c>
      <c r="E1080" s="15">
        <f>IFERROR(__xludf.DUMMYFUNCTION("""COMPUTED_VALUE"""),0.38436342592467554)</f>
        <v>0.3843634259</v>
      </c>
      <c r="F1080" s="8" t="str">
        <f>IFERROR(__xludf.DUMMYFUNCTION("""COMPUTED_VALUE"""),"Negative")</f>
        <v>Negative</v>
      </c>
      <c r="G1080" s="16">
        <f>IFERROR(__xludf.DUMMYFUNCTION("""COMPUTED_VALUE"""),1.0)</f>
        <v>1</v>
      </c>
      <c r="H1080" s="8" t="str">
        <f>IFERROR(__xludf.DUMMYFUNCTION("""COMPUTED_VALUE"""),"FLSP")</f>
        <v>FLSP</v>
      </c>
    </row>
    <row r="1081">
      <c r="A1081" s="8" t="str">
        <f>IFERROR(__xludf.DUMMYFUNCTION("""COMPUTED_VALUE"""),"MA902")</f>
        <v>MA902</v>
      </c>
      <c r="B1081" s="8" t="str">
        <f>IFERROR(__xludf.DUMMYFUNCTION("""COMPUTED_VALUE"""),"RUN-FLMP_2022-04-19_RFR-115")</f>
        <v>RUN-FLMP_2022-04-19_RFR-115</v>
      </c>
      <c r="C1081" s="10">
        <f>VLOOKUP(B1081,'Run Reconcile'!A$2:B1579,2,FALSE)</f>
        <v>44670</v>
      </c>
      <c r="D1081" s="14">
        <f>IFERROR(__xludf.DUMMYFUNCTION("""COMPUTED_VALUE"""),44670.0)</f>
        <v>44670</v>
      </c>
      <c r="E1081" s="15">
        <f>IFERROR(__xludf.DUMMYFUNCTION("""COMPUTED_VALUE"""),0.34848379629693227)</f>
        <v>0.3484837963</v>
      </c>
      <c r="F1081" s="8" t="str">
        <f>IFERROR(__xludf.DUMMYFUNCTION("""COMPUTED_VALUE"""),"Negative")</f>
        <v>Negative</v>
      </c>
      <c r="G1081" s="16">
        <f>IFERROR(__xludf.DUMMYFUNCTION("""COMPUTED_VALUE"""),2.0)</f>
        <v>2</v>
      </c>
      <c r="H1081" s="8" t="str">
        <f>IFERROR(__xludf.DUMMYFUNCTION("""COMPUTED_VALUE"""),"CRLN")</f>
        <v>CRLN</v>
      </c>
    </row>
    <row r="1082">
      <c r="A1082" s="8" t="str">
        <f>IFERROR(__xludf.DUMMYFUNCTION("""COMPUTED_VALUE"""),"MA958")</f>
        <v>MA958</v>
      </c>
      <c r="B1082" s="8" t="str">
        <f>IFERROR(__xludf.DUMMYFUNCTION("""COMPUTED_VALUE"""),"RUN-FLMP_2022-04-19_RFR-115")</f>
        <v>RUN-FLMP_2022-04-19_RFR-115</v>
      </c>
      <c r="C1082" s="10">
        <f>VLOOKUP(B1082,'Run Reconcile'!A$2:B1579,2,FALSE)</f>
        <v>44670</v>
      </c>
      <c r="D1082" s="14">
        <f>IFERROR(__xludf.DUMMYFUNCTION("""COMPUTED_VALUE"""),44670.0)</f>
        <v>44670</v>
      </c>
      <c r="E1082" s="15">
        <f>IFERROR(__xludf.DUMMYFUNCTION("""COMPUTED_VALUE"""),0.3794444444429246)</f>
        <v>0.3794444444</v>
      </c>
      <c r="F1082" s="8" t="str">
        <f>IFERROR(__xludf.DUMMYFUNCTION("""COMPUTED_VALUE"""),"Negative")</f>
        <v>Negative</v>
      </c>
      <c r="G1082" s="16">
        <f>IFERROR(__xludf.DUMMYFUNCTION("""COMPUTED_VALUE"""),1.0)</f>
        <v>1</v>
      </c>
      <c r="H1082" s="8" t="str">
        <f>IFERROR(__xludf.DUMMYFUNCTION("""COMPUTED_VALUE"""),"FLSP")</f>
        <v>FLSP</v>
      </c>
    </row>
    <row r="1083">
      <c r="A1083" s="8" t="str">
        <f>IFERROR(__xludf.DUMMYFUNCTION("""COMPUTED_VALUE"""),"MA64")</f>
        <v>MA64</v>
      </c>
      <c r="B1083" s="8" t="str">
        <f>IFERROR(__xludf.DUMMYFUNCTION("""COMPUTED_VALUE"""),"RUN-FLMP_2022-04-19_RFR-115")</f>
        <v>RUN-FLMP_2022-04-19_RFR-115</v>
      </c>
      <c r="C1083" s="10">
        <f>VLOOKUP(B1083,'Run Reconcile'!A$2:B1579,2,FALSE)</f>
        <v>44670</v>
      </c>
      <c r="D1083" s="14">
        <f>IFERROR(__xludf.DUMMYFUNCTION("""COMPUTED_VALUE"""),44670.0)</f>
        <v>44670</v>
      </c>
      <c r="E1083" s="15">
        <f>IFERROR(__xludf.DUMMYFUNCTION("""COMPUTED_VALUE"""),0.38559027777955635)</f>
        <v>0.3855902778</v>
      </c>
      <c r="F1083" s="8" t="str">
        <f>IFERROR(__xludf.DUMMYFUNCTION("""COMPUTED_VALUE"""),"Negative")</f>
        <v>Negative</v>
      </c>
      <c r="G1083" s="16">
        <f>IFERROR(__xludf.DUMMYFUNCTION("""COMPUTED_VALUE"""),1.0)</f>
        <v>1</v>
      </c>
      <c r="H1083" s="8" t="str">
        <f>IFERROR(__xludf.DUMMYFUNCTION("""COMPUTED_VALUE"""),"FLSP")</f>
        <v>FLSP</v>
      </c>
    </row>
    <row r="1084">
      <c r="A1084" s="8" t="str">
        <f>IFERROR(__xludf.DUMMYFUNCTION("""COMPUTED_VALUE"""),"MA21")</f>
        <v>MA21</v>
      </c>
      <c r="B1084" s="8" t="str">
        <f>IFERROR(__xludf.DUMMYFUNCTION("""COMPUTED_VALUE"""),"RUN-FLMP_2022-04-19_RFR-115")</f>
        <v>RUN-FLMP_2022-04-19_RFR-115</v>
      </c>
      <c r="C1084" s="10">
        <f>VLOOKUP(B1084,'Run Reconcile'!A$2:B1579,2,FALSE)</f>
        <v>44670</v>
      </c>
      <c r="D1084" s="14">
        <f>IFERROR(__xludf.DUMMYFUNCTION("""COMPUTED_VALUE"""),44670.0)</f>
        <v>44670</v>
      </c>
      <c r="E1084" s="15">
        <f>IFERROR(__xludf.DUMMYFUNCTION("""COMPUTED_VALUE"""),0.38770833333182964)</f>
        <v>0.3877083333</v>
      </c>
      <c r="F1084" s="8" t="str">
        <f>IFERROR(__xludf.DUMMYFUNCTION("""COMPUTED_VALUE"""),"Negative")</f>
        <v>Negative</v>
      </c>
      <c r="G1084" s="16">
        <f>IFERROR(__xludf.DUMMYFUNCTION("""COMPUTED_VALUE"""),1.0)</f>
        <v>1</v>
      </c>
      <c r="H1084" s="8" t="str">
        <f>IFERROR(__xludf.DUMMYFUNCTION("""COMPUTED_VALUE"""),"CRLN")</f>
        <v>CRLN</v>
      </c>
    </row>
    <row r="1085">
      <c r="A1085" s="8" t="str">
        <f>IFERROR(__xludf.DUMMYFUNCTION("""COMPUTED_VALUE"""),"MA84")</f>
        <v>MA84</v>
      </c>
      <c r="B1085" s="8" t="str">
        <f>IFERROR(__xludf.DUMMYFUNCTION("""COMPUTED_VALUE"""),"RUN-FLMP_2022-04-19_RFR-115")</f>
        <v>RUN-FLMP_2022-04-19_RFR-115</v>
      </c>
      <c r="C1085" s="10">
        <f>VLOOKUP(B1085,'Run Reconcile'!A$2:B1579,2,FALSE)</f>
        <v>44670</v>
      </c>
      <c r="D1085" s="14">
        <f>IFERROR(__xludf.DUMMYFUNCTION("""COMPUTED_VALUE"""),44670.0)</f>
        <v>44670</v>
      </c>
      <c r="E1085" s="15">
        <f>IFERROR(__xludf.DUMMYFUNCTION("""COMPUTED_VALUE"""),0.38854166666715173)</f>
        <v>0.3885416667</v>
      </c>
      <c r="F1085" s="8" t="str">
        <f>IFERROR(__xludf.DUMMYFUNCTION("""COMPUTED_VALUE"""),"Negative")</f>
        <v>Negative</v>
      </c>
      <c r="G1085" s="16">
        <f>IFERROR(__xludf.DUMMYFUNCTION("""COMPUTED_VALUE"""),1.0)</f>
        <v>1</v>
      </c>
      <c r="H1085" s="8" t="str">
        <f>IFERROR(__xludf.DUMMYFUNCTION("""COMPUTED_VALUE"""),"CRLN")</f>
        <v>CRLN</v>
      </c>
    </row>
    <row r="1086">
      <c r="A1086" s="8" t="str">
        <f>IFERROR(__xludf.DUMMYFUNCTION("""COMPUTED_VALUE"""),"FLB7344")</f>
        <v>FLB7344</v>
      </c>
      <c r="B1086" s="8" t="str">
        <f>IFERROR(__xludf.DUMMYFUNCTION("""COMPUTED_VALUE"""),"RUN-FLMP_2022-04-21_RFR-116")</f>
        <v>RUN-FLMP_2022-04-21_RFR-116</v>
      </c>
      <c r="C1086" s="10">
        <f>VLOOKUP(B1086,'Run Reconcile'!A$2:B1579,2,FALSE)</f>
        <v>44672</v>
      </c>
      <c r="D1086" s="14">
        <f>IFERROR(__xludf.DUMMYFUNCTION("""COMPUTED_VALUE"""),44672.0)</f>
        <v>44672</v>
      </c>
      <c r="E1086" s="15">
        <f>IFERROR(__xludf.DUMMYFUNCTION("""COMPUTED_VALUE"""),0.27840277777795563)</f>
        <v>0.2784027778</v>
      </c>
      <c r="F1086" s="8" t="str">
        <f>IFERROR(__xludf.DUMMYFUNCTION("""COMPUTED_VALUE"""),"Negative")</f>
        <v>Negative</v>
      </c>
      <c r="G1086" s="16">
        <f>IFERROR(__xludf.DUMMYFUNCTION("""COMPUTED_VALUE"""),2.0)</f>
        <v>2</v>
      </c>
      <c r="H1086" s="8" t="str">
        <f>IFERROR(__xludf.DUMMYFUNCTION("""COMPUTED_VALUE"""),"CRLN")</f>
        <v>CRLN</v>
      </c>
    </row>
    <row r="1087">
      <c r="A1087" s="8" t="str">
        <f>IFERROR(__xludf.DUMMYFUNCTION("""COMPUTED_VALUE"""),"AJ8716")</f>
        <v>AJ8716</v>
      </c>
      <c r="B1087" s="8" t="str">
        <f>IFERROR(__xludf.DUMMYFUNCTION("""COMPUTED_VALUE"""),"RUN-FLMP_2022-04-21_RFR-116")</f>
        <v>RUN-FLMP_2022-04-21_RFR-116</v>
      </c>
      <c r="C1087" s="10">
        <f>VLOOKUP(B1087,'Run Reconcile'!A$2:B1579,2,FALSE)</f>
        <v>44672</v>
      </c>
      <c r="D1087" s="14">
        <f>IFERROR(__xludf.DUMMYFUNCTION("""COMPUTED_VALUE"""),44672.0)</f>
        <v>44672</v>
      </c>
      <c r="E1087" s="15">
        <f>IFERROR(__xludf.DUMMYFUNCTION("""COMPUTED_VALUE"""),0.31612268518438214)</f>
        <v>0.3161226852</v>
      </c>
      <c r="F1087" s="8" t="str">
        <f>IFERROR(__xludf.DUMMYFUNCTION("""COMPUTED_VALUE"""),"Negative")</f>
        <v>Negative</v>
      </c>
      <c r="G1087" s="16">
        <f>IFERROR(__xludf.DUMMYFUNCTION("""COMPUTED_VALUE"""),3.0)</f>
        <v>3</v>
      </c>
      <c r="H1087" s="8" t="str">
        <f>IFERROR(__xludf.DUMMYFUNCTION("""COMPUTED_VALUE"""),"CRLN")</f>
        <v>CRLN</v>
      </c>
    </row>
    <row r="1088">
      <c r="A1088" s="8" t="str">
        <f>IFERROR(__xludf.DUMMYFUNCTION("""COMPUTED_VALUE"""),"AJ8981")</f>
        <v>AJ8981</v>
      </c>
      <c r="B1088" s="8" t="str">
        <f>IFERROR(__xludf.DUMMYFUNCTION("""COMPUTED_VALUE"""),"RUN-FLMP_2022-04-21_RFR-116")</f>
        <v>RUN-FLMP_2022-04-21_RFR-116</v>
      </c>
      <c r="C1088" s="10">
        <f>VLOOKUP(B1088,'Run Reconcile'!A$2:B1579,2,FALSE)</f>
        <v>44672</v>
      </c>
      <c r="D1088" s="14">
        <f>IFERROR(__xludf.DUMMYFUNCTION("""COMPUTED_VALUE"""),44672.0)</f>
        <v>44672</v>
      </c>
      <c r="E1088" s="15">
        <f>IFERROR(__xludf.DUMMYFUNCTION("""COMPUTED_VALUE"""),0.31670138888875954)</f>
        <v>0.3167013889</v>
      </c>
      <c r="F1088" s="8" t="str">
        <f>IFERROR(__xludf.DUMMYFUNCTION("""COMPUTED_VALUE"""),"Negative")</f>
        <v>Negative</v>
      </c>
      <c r="G1088" s="16">
        <f>IFERROR(__xludf.DUMMYFUNCTION("""COMPUTED_VALUE"""),3.0)</f>
        <v>3</v>
      </c>
      <c r="H1088" s="8" t="str">
        <f>IFERROR(__xludf.DUMMYFUNCTION("""COMPUTED_VALUE"""),"CRLN")</f>
        <v>CRLN</v>
      </c>
    </row>
    <row r="1089">
      <c r="A1089" s="8" t="str">
        <f>IFERROR(__xludf.DUMMYFUNCTION("""COMPUTED_VALUE"""),"FLB7135")</f>
        <v>FLB7135</v>
      </c>
      <c r="B1089" s="8" t="str">
        <f>IFERROR(__xludf.DUMMYFUNCTION("""COMPUTED_VALUE"""),"RUN-FLMP_2022-04-21_RFR-116")</f>
        <v>RUN-FLMP_2022-04-21_RFR-116</v>
      </c>
      <c r="C1089" s="10">
        <f>VLOOKUP(B1089,'Run Reconcile'!A$2:B1579,2,FALSE)</f>
        <v>44672</v>
      </c>
      <c r="D1089" s="14">
        <f>IFERROR(__xludf.DUMMYFUNCTION("""COMPUTED_VALUE"""),44672.0)</f>
        <v>44672</v>
      </c>
      <c r="E1089" s="15">
        <f>IFERROR(__xludf.DUMMYFUNCTION("""COMPUTED_VALUE"""),0.3187847222216078)</f>
        <v>0.3187847222</v>
      </c>
      <c r="F1089" s="8" t="str">
        <f>IFERROR(__xludf.DUMMYFUNCTION("""COMPUTED_VALUE"""),"Negative")</f>
        <v>Negative</v>
      </c>
      <c r="G1089" s="16">
        <f>IFERROR(__xludf.DUMMYFUNCTION("""COMPUTED_VALUE"""),4.0)</f>
        <v>4</v>
      </c>
      <c r="H1089" s="8" t="str">
        <f>IFERROR(__xludf.DUMMYFUNCTION("""COMPUTED_VALUE"""),"CRLN")</f>
        <v>CRLN</v>
      </c>
    </row>
    <row r="1090">
      <c r="A1090" s="8" t="str">
        <f>IFERROR(__xludf.DUMMYFUNCTION("""COMPUTED_VALUE"""),"FLB4928")</f>
        <v>FLB4928</v>
      </c>
      <c r="B1090" s="8" t="str">
        <f>IFERROR(__xludf.DUMMYFUNCTION("""COMPUTED_VALUE"""),"RUN-FLMP_2022-04-21_RFR-116")</f>
        <v>RUN-FLMP_2022-04-21_RFR-116</v>
      </c>
      <c r="C1090" s="10">
        <f>VLOOKUP(B1090,'Run Reconcile'!A$2:B1579,2,FALSE)</f>
        <v>44672</v>
      </c>
      <c r="D1090" s="14">
        <f>IFERROR(__xludf.DUMMYFUNCTION("""COMPUTED_VALUE"""),44672.0)</f>
        <v>44672</v>
      </c>
      <c r="E1090" s="15">
        <f>IFERROR(__xludf.DUMMYFUNCTION("""COMPUTED_VALUE"""),0.32091435185066075)</f>
        <v>0.3209143519</v>
      </c>
      <c r="F1090" s="8" t="str">
        <f>IFERROR(__xludf.DUMMYFUNCTION("""COMPUTED_VALUE"""),"Negative")</f>
        <v>Negative</v>
      </c>
      <c r="G1090" s="16">
        <f>IFERROR(__xludf.DUMMYFUNCTION("""COMPUTED_VALUE"""),4.0)</f>
        <v>4</v>
      </c>
      <c r="H1090" s="8" t="str">
        <f>IFERROR(__xludf.DUMMYFUNCTION("""COMPUTED_VALUE"""),"CRLN")</f>
        <v>CRLN</v>
      </c>
    </row>
    <row r="1091">
      <c r="A1091" s="8" t="str">
        <f>IFERROR(__xludf.DUMMYFUNCTION("""COMPUTED_VALUE"""),"FLE941")</f>
        <v>FLE941</v>
      </c>
      <c r="B1091" s="8" t="str">
        <f>IFERROR(__xludf.DUMMYFUNCTION("""COMPUTED_VALUE"""),"RUN-FLMP_2022-04-21_RFR-116")</f>
        <v>RUN-FLMP_2022-04-21_RFR-116</v>
      </c>
      <c r="C1091" s="10">
        <f>VLOOKUP(B1091,'Run Reconcile'!A$2:B1579,2,FALSE)</f>
        <v>44672</v>
      </c>
      <c r="D1091" s="14">
        <f>IFERROR(__xludf.DUMMYFUNCTION("""COMPUTED_VALUE"""),44672.0)</f>
        <v>44672</v>
      </c>
      <c r="E1091" s="15">
        <f>IFERROR(__xludf.DUMMYFUNCTION("""COMPUTED_VALUE"""),0.33234953703868086)</f>
        <v>0.332349537</v>
      </c>
      <c r="F1091" s="8" t="str">
        <f>IFERROR(__xludf.DUMMYFUNCTION("""COMPUTED_VALUE"""),"Negative")</f>
        <v>Negative</v>
      </c>
      <c r="G1091" s="16">
        <f>IFERROR(__xludf.DUMMYFUNCTION("""COMPUTED_VALUE"""),2.0)</f>
        <v>2</v>
      </c>
      <c r="H1091" s="8" t="str">
        <f>IFERROR(__xludf.DUMMYFUNCTION("""COMPUTED_VALUE"""),"CRLN")</f>
        <v>CRLN</v>
      </c>
    </row>
    <row r="1092">
      <c r="A1092" s="8" t="str">
        <f>IFERROR(__xludf.DUMMYFUNCTION("""COMPUTED_VALUE"""),"FLE902")</f>
        <v>FLE902</v>
      </c>
      <c r="B1092" s="8" t="str">
        <f>IFERROR(__xludf.DUMMYFUNCTION("""COMPUTED_VALUE"""),"RUN-FLMP_2022-04-21_RFR-116")</f>
        <v>RUN-FLMP_2022-04-21_RFR-116</v>
      </c>
      <c r="C1092" s="10">
        <f>VLOOKUP(B1092,'Run Reconcile'!A$2:B1579,2,FALSE)</f>
        <v>44672</v>
      </c>
      <c r="D1092" s="14">
        <f>IFERROR(__xludf.DUMMYFUNCTION("""COMPUTED_VALUE"""),44672.0)</f>
        <v>44672</v>
      </c>
      <c r="E1092" s="15">
        <f>IFERROR(__xludf.DUMMYFUNCTION("""COMPUTED_VALUE"""),0.3325231481467199)</f>
        <v>0.3325231481</v>
      </c>
      <c r="F1092" s="8" t="str">
        <f>IFERROR(__xludf.DUMMYFUNCTION("""COMPUTED_VALUE"""),"Negative")</f>
        <v>Negative</v>
      </c>
      <c r="G1092" s="16">
        <f>IFERROR(__xludf.DUMMYFUNCTION("""COMPUTED_VALUE"""),2.0)</f>
        <v>2</v>
      </c>
      <c r="H1092" s="8" t="str">
        <f>IFERROR(__xludf.DUMMYFUNCTION("""COMPUTED_VALUE"""),"CRLN")</f>
        <v>CRLN</v>
      </c>
    </row>
    <row r="1093">
      <c r="A1093" s="8" t="str">
        <f>IFERROR(__xludf.DUMMYFUNCTION("""COMPUTED_VALUE"""),"FLB7172")</f>
        <v>FLB7172</v>
      </c>
      <c r="B1093" s="8" t="str">
        <f>IFERROR(__xludf.DUMMYFUNCTION("""COMPUTED_VALUE"""),"RUN-FLMP_2022-04-21_RFR-116")</f>
        <v>RUN-FLMP_2022-04-21_RFR-116</v>
      </c>
      <c r="C1093" s="10">
        <f>VLOOKUP(B1093,'Run Reconcile'!A$2:B1579,2,FALSE)</f>
        <v>44672</v>
      </c>
      <c r="D1093" s="14">
        <f>IFERROR(__xludf.DUMMYFUNCTION("""COMPUTED_VALUE"""),44672.0)</f>
        <v>44672</v>
      </c>
      <c r="E1093" s="15">
        <f>IFERROR(__xludf.DUMMYFUNCTION("""COMPUTED_VALUE"""),0.3410185185202863)</f>
        <v>0.3410185185</v>
      </c>
      <c r="F1093" s="8" t="str">
        <f>IFERROR(__xludf.DUMMYFUNCTION("""COMPUTED_VALUE"""),"Negative")</f>
        <v>Negative</v>
      </c>
      <c r="G1093" s="16">
        <f>IFERROR(__xludf.DUMMYFUNCTION("""COMPUTED_VALUE"""),3.0)</f>
        <v>3</v>
      </c>
      <c r="H1093" s="8" t="str">
        <f>IFERROR(__xludf.DUMMYFUNCTION("""COMPUTED_VALUE"""),"CRLN")</f>
        <v>CRLN</v>
      </c>
    </row>
    <row r="1094">
      <c r="A1094" s="8" t="str">
        <f>IFERROR(__xludf.DUMMYFUNCTION("""COMPUTED_VALUE"""),"FLB6805")</f>
        <v>FLB6805</v>
      </c>
      <c r="B1094" s="8" t="str">
        <f>IFERROR(__xludf.DUMMYFUNCTION("""COMPUTED_VALUE"""),"RUN-FLMP_2022-04-21_RFR-116")</f>
        <v>RUN-FLMP_2022-04-21_RFR-116</v>
      </c>
      <c r="C1094" s="10">
        <f>VLOOKUP(B1094,'Run Reconcile'!A$2:B1579,2,FALSE)</f>
        <v>44672</v>
      </c>
      <c r="D1094" s="14">
        <f>IFERROR(__xludf.DUMMYFUNCTION("""COMPUTED_VALUE"""),44672.0)</f>
        <v>44672</v>
      </c>
      <c r="E1094" s="15">
        <f>IFERROR(__xludf.DUMMYFUNCTION("""COMPUTED_VALUE"""),0.3485416666662786)</f>
        <v>0.3485416667</v>
      </c>
      <c r="F1094" s="8" t="str">
        <f>IFERROR(__xludf.DUMMYFUNCTION("""COMPUTED_VALUE"""),"Negative")</f>
        <v>Negative</v>
      </c>
      <c r="G1094" s="16">
        <f>IFERROR(__xludf.DUMMYFUNCTION("""COMPUTED_VALUE"""),1.0)</f>
        <v>1</v>
      </c>
      <c r="H1094" s="8" t="str">
        <f>IFERROR(__xludf.DUMMYFUNCTION("""COMPUTED_VALUE"""),"CRLN")</f>
        <v>CRLN</v>
      </c>
    </row>
    <row r="1095">
      <c r="A1095" s="8" t="str">
        <f>IFERROR(__xludf.DUMMYFUNCTION("""COMPUTED_VALUE"""),"FLE845")</f>
        <v>FLE845</v>
      </c>
      <c r="B1095" s="8" t="str">
        <f>IFERROR(__xludf.DUMMYFUNCTION("""COMPUTED_VALUE"""),"RUN-FLMP_2022-04-21_RFR-116")</f>
        <v>RUN-FLMP_2022-04-21_RFR-116</v>
      </c>
      <c r="C1095" s="10">
        <f>VLOOKUP(B1095,'Run Reconcile'!A$2:B1579,2,FALSE)</f>
        <v>44672</v>
      </c>
      <c r="D1095" s="14">
        <f>IFERROR(__xludf.DUMMYFUNCTION("""COMPUTED_VALUE"""),44672.0)</f>
        <v>44672</v>
      </c>
      <c r="E1095" s="15">
        <f>IFERROR(__xludf.DUMMYFUNCTION("""COMPUTED_VALUE"""),0.35092592592627625)</f>
        <v>0.3509259259</v>
      </c>
      <c r="F1095" s="8" t="str">
        <f>IFERROR(__xludf.DUMMYFUNCTION("""COMPUTED_VALUE"""),"Negative")</f>
        <v>Negative</v>
      </c>
      <c r="G1095" s="16">
        <f>IFERROR(__xludf.DUMMYFUNCTION("""COMPUTED_VALUE"""),2.0)</f>
        <v>2</v>
      </c>
      <c r="H1095" s="8" t="str">
        <f>IFERROR(__xludf.DUMMYFUNCTION("""COMPUTED_VALUE"""),"CRLN")</f>
        <v>CRLN</v>
      </c>
    </row>
    <row r="1096">
      <c r="A1096" s="8" t="str">
        <f>IFERROR(__xludf.DUMMYFUNCTION("""COMPUTED_VALUE"""),"AH101")</f>
        <v>AH101</v>
      </c>
      <c r="B1096" s="8" t="str">
        <f>IFERROR(__xludf.DUMMYFUNCTION("""COMPUTED_VALUE"""),"RUN-FLMP_2022-04-21_RFR-116")</f>
        <v>RUN-FLMP_2022-04-21_RFR-116</v>
      </c>
      <c r="C1096" s="10">
        <f>VLOOKUP(B1096,'Run Reconcile'!A$2:B1579,2,FALSE)</f>
        <v>44672</v>
      </c>
      <c r="D1096" s="14">
        <f>IFERROR(__xludf.DUMMYFUNCTION("""COMPUTED_VALUE"""),44672.0)</f>
        <v>44672</v>
      </c>
      <c r="E1096" s="15">
        <f>IFERROR(__xludf.DUMMYFUNCTION("""COMPUTED_VALUE"""),0.35135416666526)</f>
        <v>0.3513541667</v>
      </c>
      <c r="F1096" s="8" t="str">
        <f>IFERROR(__xludf.DUMMYFUNCTION("""COMPUTED_VALUE"""),"Negative")</f>
        <v>Negative</v>
      </c>
      <c r="G1096" s="16">
        <f>IFERROR(__xludf.DUMMYFUNCTION("""COMPUTED_VALUE"""),1.0)</f>
        <v>1</v>
      </c>
      <c r="H1096" s="8" t="str">
        <f>IFERROR(__xludf.DUMMYFUNCTION("""COMPUTED_VALUE"""),"CRLN")</f>
        <v>CRLN</v>
      </c>
    </row>
    <row r="1097">
      <c r="A1097" s="8" t="str">
        <f>IFERROR(__xludf.DUMMYFUNCTION("""COMPUTED_VALUE"""),"FLB4911")</f>
        <v>FLB4911</v>
      </c>
      <c r="B1097" s="8" t="str">
        <f>IFERROR(__xludf.DUMMYFUNCTION("""COMPUTED_VALUE"""),"RUN-FLMP_2022-04-21_RFR-116")</f>
        <v>RUN-FLMP_2022-04-21_RFR-116</v>
      </c>
      <c r="C1097" s="10">
        <f>VLOOKUP(B1097,'Run Reconcile'!A$2:B1579,2,FALSE)</f>
        <v>44672</v>
      </c>
      <c r="D1097" s="14">
        <f>IFERROR(__xludf.DUMMYFUNCTION("""COMPUTED_VALUE"""),44672.0)</f>
        <v>44672</v>
      </c>
      <c r="E1097" s="15">
        <f>IFERROR(__xludf.DUMMYFUNCTION("""COMPUTED_VALUE"""),0.3522800925929914)</f>
        <v>0.3522800926</v>
      </c>
      <c r="F1097" s="8" t="str">
        <f>IFERROR(__xludf.DUMMYFUNCTION("""COMPUTED_VALUE"""),"Negative")</f>
        <v>Negative</v>
      </c>
      <c r="G1097" s="16">
        <f>IFERROR(__xludf.DUMMYFUNCTION("""COMPUTED_VALUE"""),4.0)</f>
        <v>4</v>
      </c>
      <c r="H1097" s="8" t="str">
        <f>IFERROR(__xludf.DUMMYFUNCTION("""COMPUTED_VALUE"""),"CRLN")</f>
        <v>CRLN</v>
      </c>
    </row>
    <row r="1098">
      <c r="A1098" s="8" t="str">
        <f>IFERROR(__xludf.DUMMYFUNCTION("""COMPUTED_VALUE"""),"AJ5176")</f>
        <v>AJ5176</v>
      </c>
      <c r="B1098" s="8" t="str">
        <f>IFERROR(__xludf.DUMMYFUNCTION("""COMPUTED_VALUE"""),"RUN-FLMP_2022-04-21_RFR-116")</f>
        <v>RUN-FLMP_2022-04-21_RFR-116</v>
      </c>
      <c r="C1098" s="10">
        <f>VLOOKUP(B1098,'Run Reconcile'!A$2:B1579,2,FALSE)</f>
        <v>44672</v>
      </c>
      <c r="D1098" s="14">
        <f>IFERROR(__xludf.DUMMYFUNCTION("""COMPUTED_VALUE"""),44672.0)</f>
        <v>44672</v>
      </c>
      <c r="E1098" s="15">
        <f>IFERROR(__xludf.DUMMYFUNCTION("""COMPUTED_VALUE"""),0.3525115740740148)</f>
        <v>0.3525115741</v>
      </c>
      <c r="F1098" s="8" t="str">
        <f>IFERROR(__xludf.DUMMYFUNCTION("""COMPUTED_VALUE"""),"Negative")</f>
        <v>Negative</v>
      </c>
      <c r="G1098" s="16">
        <f>IFERROR(__xludf.DUMMYFUNCTION("""COMPUTED_VALUE"""),1.0)</f>
        <v>1</v>
      </c>
      <c r="H1098" s="8" t="str">
        <f>IFERROR(__xludf.DUMMYFUNCTION("""COMPUTED_VALUE"""),"CRLN")</f>
        <v>CRLN</v>
      </c>
    </row>
    <row r="1099">
      <c r="A1099" s="8" t="str">
        <f>IFERROR(__xludf.DUMMYFUNCTION("""COMPUTED_VALUE"""),"AJ7852")</f>
        <v>AJ7852</v>
      </c>
      <c r="B1099" s="8" t="str">
        <f>IFERROR(__xludf.DUMMYFUNCTION("""COMPUTED_VALUE"""),"RUN-FLMP_2022-04-21_RFR-116")</f>
        <v>RUN-FLMP_2022-04-21_RFR-116</v>
      </c>
      <c r="C1099" s="10">
        <f>VLOOKUP(B1099,'Run Reconcile'!A$2:B1579,2,FALSE)</f>
        <v>44672</v>
      </c>
      <c r="D1099" s="14">
        <f>IFERROR(__xludf.DUMMYFUNCTION("""COMPUTED_VALUE"""),44672.0)</f>
        <v>44672</v>
      </c>
      <c r="E1099" s="15">
        <f>IFERROR(__xludf.DUMMYFUNCTION("""COMPUTED_VALUE"""),0.3534490740748879)</f>
        <v>0.3534490741</v>
      </c>
      <c r="F1099" s="8" t="str">
        <f>IFERROR(__xludf.DUMMYFUNCTION("""COMPUTED_VALUE"""),"Negative")</f>
        <v>Negative</v>
      </c>
      <c r="G1099" s="16">
        <f>IFERROR(__xludf.DUMMYFUNCTION("""COMPUTED_VALUE"""),2.0)</f>
        <v>2</v>
      </c>
      <c r="H1099" s="8" t="str">
        <f>IFERROR(__xludf.DUMMYFUNCTION("""COMPUTED_VALUE"""),"CRLN")</f>
        <v>CRLN</v>
      </c>
    </row>
    <row r="1100">
      <c r="A1100" s="8" t="str">
        <f>IFERROR(__xludf.DUMMYFUNCTION("""COMPUTED_VALUE"""),"FLE250")</f>
        <v>FLE250</v>
      </c>
      <c r="B1100" s="8" t="str">
        <f>IFERROR(__xludf.DUMMYFUNCTION("""COMPUTED_VALUE"""),"RUN-FLMP_2022-04-21_RFR-116")</f>
        <v>RUN-FLMP_2022-04-21_RFR-116</v>
      </c>
      <c r="C1100" s="10">
        <f>VLOOKUP(B1100,'Run Reconcile'!A$2:B1579,2,FALSE)</f>
        <v>44672</v>
      </c>
      <c r="D1100" s="14">
        <f>IFERROR(__xludf.DUMMYFUNCTION("""COMPUTED_VALUE"""),44672.0)</f>
        <v>44672</v>
      </c>
      <c r="E1100" s="15">
        <f>IFERROR(__xludf.DUMMYFUNCTION("""COMPUTED_VALUE"""),0.35702546296306537)</f>
        <v>0.357025463</v>
      </c>
      <c r="F1100" s="8" t="str">
        <f>IFERROR(__xludf.DUMMYFUNCTION("""COMPUTED_VALUE"""),"Negative")</f>
        <v>Negative</v>
      </c>
      <c r="G1100" s="16">
        <f>IFERROR(__xludf.DUMMYFUNCTION("""COMPUTED_VALUE"""),1.0)</f>
        <v>1</v>
      </c>
      <c r="H1100" s="8" t="str">
        <f>IFERROR(__xludf.DUMMYFUNCTION("""COMPUTED_VALUE"""),"CRLN")</f>
        <v>CRLN</v>
      </c>
    </row>
    <row r="1101">
      <c r="A1101" s="8" t="str">
        <f>IFERROR(__xludf.DUMMYFUNCTION("""COMPUTED_VALUE"""),"FLE243")</f>
        <v>FLE243</v>
      </c>
      <c r="B1101" s="8" t="str">
        <f>IFERROR(__xludf.DUMMYFUNCTION("""COMPUTED_VALUE"""),"RUN-FLMP_2022-04-21_RFR-116")</f>
        <v>RUN-FLMP_2022-04-21_RFR-116</v>
      </c>
      <c r="C1101" s="10">
        <f>VLOOKUP(B1101,'Run Reconcile'!A$2:B1579,2,FALSE)</f>
        <v>44672</v>
      </c>
      <c r="D1101" s="14">
        <f>IFERROR(__xludf.DUMMYFUNCTION("""COMPUTED_VALUE"""),44672.0)</f>
        <v>44672</v>
      </c>
      <c r="E1101" s="15">
        <f>IFERROR(__xludf.DUMMYFUNCTION("""COMPUTED_VALUE"""),0.36142361110978527)</f>
        <v>0.3614236111</v>
      </c>
      <c r="F1101" s="8" t="str">
        <f>IFERROR(__xludf.DUMMYFUNCTION("""COMPUTED_VALUE"""),"Negative")</f>
        <v>Negative</v>
      </c>
      <c r="G1101" s="16">
        <f>IFERROR(__xludf.DUMMYFUNCTION("""COMPUTED_VALUE"""),4.0)</f>
        <v>4</v>
      </c>
      <c r="H1101" s="8" t="str">
        <f>IFERROR(__xludf.DUMMYFUNCTION("""COMPUTED_VALUE"""),"CRLN")</f>
        <v>CRLN</v>
      </c>
    </row>
    <row r="1102">
      <c r="A1102" s="8" t="str">
        <f>IFERROR(__xludf.DUMMYFUNCTION("""COMPUTED_VALUE"""),"AH194")</f>
        <v>AH194</v>
      </c>
      <c r="B1102" s="8" t="str">
        <f>IFERROR(__xludf.DUMMYFUNCTION("""COMPUTED_VALUE"""),"RUN-FLMP_2022-04-21_RFR-116")</f>
        <v>RUN-FLMP_2022-04-21_RFR-116</v>
      </c>
      <c r="C1102" s="10">
        <f>VLOOKUP(B1102,'Run Reconcile'!A$2:B1579,2,FALSE)</f>
        <v>44672</v>
      </c>
      <c r="D1102" s="14">
        <f>IFERROR(__xludf.DUMMYFUNCTION("""COMPUTED_VALUE"""),44672.0)</f>
        <v>44672</v>
      </c>
      <c r="E1102" s="15">
        <f>IFERROR(__xludf.DUMMYFUNCTION("""COMPUTED_VALUE"""),0.364745370370656)</f>
        <v>0.3647453704</v>
      </c>
      <c r="F1102" s="8" t="str">
        <f>IFERROR(__xludf.DUMMYFUNCTION("""COMPUTED_VALUE"""),"Negative")</f>
        <v>Negative</v>
      </c>
      <c r="G1102" s="16">
        <f>IFERROR(__xludf.DUMMYFUNCTION("""COMPUTED_VALUE"""),1.0)</f>
        <v>1</v>
      </c>
      <c r="H1102" s="8" t="str">
        <f>IFERROR(__xludf.DUMMYFUNCTION("""COMPUTED_VALUE"""),"CRLN")</f>
        <v>CRLN</v>
      </c>
    </row>
    <row r="1103">
      <c r="A1103" s="8" t="str">
        <f>IFERROR(__xludf.DUMMYFUNCTION("""COMPUTED_VALUE"""),"FLB4786")</f>
        <v>FLB4786</v>
      </c>
      <c r="B1103" s="8" t="str">
        <f>IFERROR(__xludf.DUMMYFUNCTION("""COMPUTED_VALUE"""),"RUN-FLMP_2022-04-21_RFR-116")</f>
        <v>RUN-FLMP_2022-04-21_RFR-116</v>
      </c>
      <c r="C1103" s="10">
        <f>VLOOKUP(B1103,'Run Reconcile'!A$2:B1579,2,FALSE)</f>
        <v>44672</v>
      </c>
      <c r="D1103" s="14">
        <f>IFERROR(__xludf.DUMMYFUNCTION("""COMPUTED_VALUE"""),44672.0)</f>
        <v>44672</v>
      </c>
      <c r="E1103" s="15">
        <f>IFERROR(__xludf.DUMMYFUNCTION("""COMPUTED_VALUE"""),0.36506944444408873)</f>
        <v>0.3650694444</v>
      </c>
      <c r="F1103" s="8" t="str">
        <f>IFERROR(__xludf.DUMMYFUNCTION("""COMPUTED_VALUE"""),"Negative")</f>
        <v>Negative</v>
      </c>
      <c r="G1103" s="16">
        <f>IFERROR(__xludf.DUMMYFUNCTION("""COMPUTED_VALUE"""),2.0)</f>
        <v>2</v>
      </c>
      <c r="H1103" s="8" t="str">
        <f>IFERROR(__xludf.DUMMYFUNCTION("""COMPUTED_VALUE"""),"CRLN")</f>
        <v>CRLN</v>
      </c>
    </row>
    <row r="1104">
      <c r="A1104" s="8" t="str">
        <f>IFERROR(__xludf.DUMMYFUNCTION("""COMPUTED_VALUE"""),"FLB5855")</f>
        <v>FLB5855</v>
      </c>
      <c r="B1104" s="8" t="str">
        <f>IFERROR(__xludf.DUMMYFUNCTION("""COMPUTED_VALUE"""),"RUN-FLMP_2022-04-21_RFR-116")</f>
        <v>RUN-FLMP_2022-04-21_RFR-116</v>
      </c>
      <c r="C1104" s="10">
        <f>VLOOKUP(B1104,'Run Reconcile'!A$2:B1579,2,FALSE)</f>
        <v>44672</v>
      </c>
      <c r="D1104" s="14">
        <f>IFERROR(__xludf.DUMMYFUNCTION("""COMPUTED_VALUE"""),44672.0)</f>
        <v>44672</v>
      </c>
      <c r="E1104" s="15">
        <f>IFERROR(__xludf.DUMMYFUNCTION("""COMPUTED_VALUE"""),0.3700231481489027)</f>
        <v>0.3700231481</v>
      </c>
      <c r="F1104" s="8" t="str">
        <f>IFERROR(__xludf.DUMMYFUNCTION("""COMPUTED_VALUE"""),"Negative")</f>
        <v>Negative</v>
      </c>
      <c r="G1104" s="16">
        <f>IFERROR(__xludf.DUMMYFUNCTION("""COMPUTED_VALUE"""),2.0)</f>
        <v>2</v>
      </c>
      <c r="H1104" s="8" t="str">
        <f>IFERROR(__xludf.DUMMYFUNCTION("""COMPUTED_VALUE"""),"CRLN")</f>
        <v>CRLN</v>
      </c>
    </row>
    <row r="1105">
      <c r="A1105" s="8" t="str">
        <f>IFERROR(__xludf.DUMMYFUNCTION("""COMPUTED_VALUE"""),"FLB7385")</f>
        <v>FLB7385</v>
      </c>
      <c r="B1105" s="8" t="str">
        <f>IFERROR(__xludf.DUMMYFUNCTION("""COMPUTED_VALUE"""),"RUN-FLMP_2022-04-21_RFR-116")</f>
        <v>RUN-FLMP_2022-04-21_RFR-116</v>
      </c>
      <c r="C1105" s="10">
        <f>VLOOKUP(B1105,'Run Reconcile'!A$2:B1579,2,FALSE)</f>
        <v>44672</v>
      </c>
      <c r="D1105" s="14">
        <f>IFERROR(__xludf.DUMMYFUNCTION("""COMPUTED_VALUE"""),44672.0)</f>
        <v>44672</v>
      </c>
      <c r="E1105" s="15">
        <f>IFERROR(__xludf.DUMMYFUNCTION("""COMPUTED_VALUE"""),0.3701388888875954)</f>
        <v>0.3701388889</v>
      </c>
      <c r="F1105" s="8" t="str">
        <f>IFERROR(__xludf.DUMMYFUNCTION("""COMPUTED_VALUE"""),"Negative")</f>
        <v>Negative</v>
      </c>
      <c r="G1105" s="16">
        <f>IFERROR(__xludf.DUMMYFUNCTION("""COMPUTED_VALUE"""),3.0)</f>
        <v>3</v>
      </c>
      <c r="H1105" s="8" t="str">
        <f>IFERROR(__xludf.DUMMYFUNCTION("""COMPUTED_VALUE"""),"CRLN")</f>
        <v>CRLN</v>
      </c>
    </row>
    <row r="1106">
      <c r="A1106" s="8" t="str">
        <f>IFERROR(__xludf.DUMMYFUNCTION("""COMPUTED_VALUE"""),"FLB4932")</f>
        <v>FLB4932</v>
      </c>
      <c r="B1106" s="8" t="str">
        <f>IFERROR(__xludf.DUMMYFUNCTION("""COMPUTED_VALUE"""),"RUN-FLMP_2022-04-21_RFR-116")</f>
        <v>RUN-FLMP_2022-04-21_RFR-116</v>
      </c>
      <c r="C1106" s="10">
        <f>VLOOKUP(B1106,'Run Reconcile'!A$2:B1579,2,FALSE)</f>
        <v>44672</v>
      </c>
      <c r="D1106" s="14">
        <f>IFERROR(__xludf.DUMMYFUNCTION("""COMPUTED_VALUE"""),44672.0)</f>
        <v>44672</v>
      </c>
      <c r="E1106" s="15">
        <f>IFERROR(__xludf.DUMMYFUNCTION("""COMPUTED_VALUE"""),0.3751504629617557)</f>
        <v>0.375150463</v>
      </c>
      <c r="F1106" s="8" t="str">
        <f>IFERROR(__xludf.DUMMYFUNCTION("""COMPUTED_VALUE"""),"Negative")</f>
        <v>Negative</v>
      </c>
      <c r="G1106" s="16">
        <f>IFERROR(__xludf.DUMMYFUNCTION("""COMPUTED_VALUE"""),1.0)</f>
        <v>1</v>
      </c>
      <c r="H1106" s="8" t="str">
        <f>IFERROR(__xludf.DUMMYFUNCTION("""COMPUTED_VALUE"""),"FLSP")</f>
        <v>FLSP</v>
      </c>
    </row>
    <row r="1107">
      <c r="A1107" s="8" t="str">
        <f>IFERROR(__xludf.DUMMYFUNCTION("""COMPUTED_VALUE"""),"FLE280")</f>
        <v>FLE280</v>
      </c>
      <c r="B1107" s="8" t="str">
        <f>IFERROR(__xludf.DUMMYFUNCTION("""COMPUTED_VALUE"""),"RUN-FLMP_2022-04-21_RFR-116")</f>
        <v>RUN-FLMP_2022-04-21_RFR-116</v>
      </c>
      <c r="C1107" s="10">
        <f>VLOOKUP(B1107,'Run Reconcile'!A$2:B1579,2,FALSE)</f>
        <v>44672</v>
      </c>
      <c r="D1107" s="14">
        <f>IFERROR(__xludf.DUMMYFUNCTION("""COMPUTED_VALUE"""),44672.0)</f>
        <v>44672</v>
      </c>
      <c r="E1107" s="15">
        <f>IFERROR(__xludf.DUMMYFUNCTION("""COMPUTED_VALUE"""),0.4248263888875954)</f>
        <v>0.4248263889</v>
      </c>
      <c r="F1107" s="8" t="str">
        <f>IFERROR(__xludf.DUMMYFUNCTION("""COMPUTED_VALUE"""),"Negative")</f>
        <v>Negative</v>
      </c>
      <c r="G1107" s="16">
        <f>IFERROR(__xludf.DUMMYFUNCTION("""COMPUTED_VALUE"""),3.0)</f>
        <v>3</v>
      </c>
      <c r="H1107" s="8" t="str">
        <f>IFERROR(__xludf.DUMMYFUNCTION("""COMPUTED_VALUE"""),"CRLN")</f>
        <v>CRLN</v>
      </c>
    </row>
    <row r="1108">
      <c r="A1108" s="8" t="str">
        <f>IFERROR(__xludf.DUMMYFUNCTION("""COMPUTED_VALUE"""),"AJ7863")</f>
        <v>AJ7863</v>
      </c>
      <c r="B1108" s="8" t="str">
        <f>IFERROR(__xludf.DUMMYFUNCTION("""COMPUTED_VALUE"""),"RUN-FLMP_2022-04-21_RFR-116")</f>
        <v>RUN-FLMP_2022-04-21_RFR-116</v>
      </c>
      <c r="C1108" s="10">
        <f>VLOOKUP(B1108,'Run Reconcile'!A$2:B1579,2,FALSE)</f>
        <v>44672</v>
      </c>
      <c r="D1108" s="14">
        <f>IFERROR(__xludf.DUMMYFUNCTION("""COMPUTED_VALUE"""),44672.0)</f>
        <v>44672</v>
      </c>
      <c r="E1108" s="15">
        <f>IFERROR(__xludf.DUMMYFUNCTION("""COMPUTED_VALUE"""),0.4277662037020491)</f>
        <v>0.4277662037</v>
      </c>
      <c r="F1108" s="8" t="str">
        <f>IFERROR(__xludf.DUMMYFUNCTION("""COMPUTED_VALUE"""),"Negative")</f>
        <v>Negative</v>
      </c>
      <c r="G1108" s="16">
        <f>IFERROR(__xludf.DUMMYFUNCTION("""COMPUTED_VALUE"""),4.0)</f>
        <v>4</v>
      </c>
      <c r="H1108" s="8" t="str">
        <f>IFERROR(__xludf.DUMMYFUNCTION("""COMPUTED_VALUE"""),"CRLN")</f>
        <v>CRLN</v>
      </c>
    </row>
    <row r="1109">
      <c r="A1109" s="8" t="str">
        <f>IFERROR(__xludf.DUMMYFUNCTION("""COMPUTED_VALUE"""),"MA112")</f>
        <v>MA112</v>
      </c>
      <c r="B1109" s="8" t="str">
        <f>IFERROR(__xludf.DUMMYFUNCTION("""COMPUTED_VALUE"""),"RUN-FLMP_2022-04-21_RFR-117")</f>
        <v>RUN-FLMP_2022-04-21_RFR-117</v>
      </c>
      <c r="C1109" s="10">
        <f>VLOOKUP(B1109,'Run Reconcile'!A$2:B1579,2,FALSE)</f>
        <v>44672</v>
      </c>
      <c r="D1109" s="14">
        <f>IFERROR(__xludf.DUMMYFUNCTION("""COMPUTED_VALUE"""),44672.0)</f>
        <v>44672</v>
      </c>
      <c r="E1109" s="15">
        <f>IFERROR(__xludf.DUMMYFUNCTION("""COMPUTED_VALUE"""),0.4296875)</f>
        <v>0.4296875</v>
      </c>
      <c r="F1109" s="8" t="str">
        <f>IFERROR(__xludf.DUMMYFUNCTION("""COMPUTED_VALUE"""),"Negative")</f>
        <v>Negative</v>
      </c>
      <c r="G1109" s="16">
        <f>IFERROR(__xludf.DUMMYFUNCTION("""COMPUTED_VALUE"""),1.0)</f>
        <v>1</v>
      </c>
      <c r="H1109" s="8" t="str">
        <f>IFERROR(__xludf.DUMMYFUNCTION("""COMPUTED_VALUE"""),"FLSP")</f>
        <v>FLSP</v>
      </c>
    </row>
    <row r="1110">
      <c r="A1110" s="8" t="str">
        <f>IFERROR(__xludf.DUMMYFUNCTION("""COMPUTED_VALUE"""),"FLE231")</f>
        <v>FLE231</v>
      </c>
      <c r="B1110" s="8" t="str">
        <f>IFERROR(__xludf.DUMMYFUNCTION("""COMPUTED_VALUE"""),"RUN-FLMP_2022-04-25_RFR-118")</f>
        <v>RUN-FLMP_2022-04-25_RFR-118</v>
      </c>
      <c r="C1110" s="10">
        <f>VLOOKUP(B1110,'Run Reconcile'!A$2:B1579,2,FALSE)</f>
        <v>44676</v>
      </c>
      <c r="D1110" s="14">
        <f>IFERROR(__xludf.DUMMYFUNCTION("""COMPUTED_VALUE"""),44675.0)</f>
        <v>44675</v>
      </c>
      <c r="E1110" s="15">
        <f>IFERROR(__xludf.DUMMYFUNCTION("""COMPUTED_VALUE"""),0.5344907407416031)</f>
        <v>0.5344907407</v>
      </c>
      <c r="F1110" s="8" t="str">
        <f>IFERROR(__xludf.DUMMYFUNCTION("""COMPUTED_VALUE"""),"Negative")</f>
        <v>Negative</v>
      </c>
      <c r="G1110" s="16">
        <f>IFERROR(__xludf.DUMMYFUNCTION("""COMPUTED_VALUE"""),3.0)</f>
        <v>3</v>
      </c>
      <c r="H1110" s="8" t="str">
        <f>IFERROR(__xludf.DUMMYFUNCTION("""COMPUTED_VALUE"""),"CRLN")</f>
        <v>CRLN</v>
      </c>
    </row>
    <row r="1111">
      <c r="A1111" s="8" t="str">
        <f>IFERROR(__xludf.DUMMYFUNCTION("""COMPUTED_VALUE"""),"FLB5434")</f>
        <v>FLB5434</v>
      </c>
      <c r="B1111" s="8" t="str">
        <f>IFERROR(__xludf.DUMMYFUNCTION("""COMPUTED_VALUE"""),"RUN-FLMP_2022-04-25_RFR-118")</f>
        <v>RUN-FLMP_2022-04-25_RFR-118</v>
      </c>
      <c r="C1111" s="10">
        <f>VLOOKUP(B1111,'Run Reconcile'!A$2:B1579,2,FALSE)</f>
        <v>44676</v>
      </c>
      <c r="D1111" s="14">
        <f>IFERROR(__xludf.DUMMYFUNCTION("""COMPUTED_VALUE"""),44675.0)</f>
        <v>44675</v>
      </c>
      <c r="E1111" s="15">
        <f>IFERROR(__xludf.DUMMYFUNCTION("""COMPUTED_VALUE"""),0.6835879629616102)</f>
        <v>0.683587963</v>
      </c>
      <c r="F1111" s="8" t="str">
        <f>IFERROR(__xludf.DUMMYFUNCTION("""COMPUTED_VALUE"""),"Negative")</f>
        <v>Negative</v>
      </c>
      <c r="G1111" s="16">
        <f>IFERROR(__xludf.DUMMYFUNCTION("""COMPUTED_VALUE"""),1.0)</f>
        <v>1</v>
      </c>
      <c r="H1111" s="8" t="str">
        <f>IFERROR(__xludf.DUMMYFUNCTION("""COMPUTED_VALUE"""),"CRLN")</f>
        <v>CRLN</v>
      </c>
    </row>
    <row r="1112">
      <c r="A1112" s="8" t="str">
        <f>IFERROR(__xludf.DUMMYFUNCTION("""COMPUTED_VALUE"""),"FLB6794")</f>
        <v>FLB6794</v>
      </c>
      <c r="B1112" s="8" t="str">
        <f>IFERROR(__xludf.DUMMYFUNCTION("""COMPUTED_VALUE"""),"RUN-FLMP_2022-04-25_RFR-118")</f>
        <v>RUN-FLMP_2022-04-25_RFR-118</v>
      </c>
      <c r="C1112" s="10">
        <f>VLOOKUP(B1112,'Run Reconcile'!A$2:B1579,2,FALSE)</f>
        <v>44676</v>
      </c>
      <c r="D1112" s="14">
        <f>IFERROR(__xludf.DUMMYFUNCTION("""COMPUTED_VALUE"""),44675.0)</f>
        <v>44675</v>
      </c>
      <c r="E1112" s="15">
        <f>IFERROR(__xludf.DUMMYFUNCTION("""COMPUTED_VALUE"""),0.8032175925909542)</f>
        <v>0.8032175926</v>
      </c>
      <c r="F1112" s="8" t="str">
        <f>IFERROR(__xludf.DUMMYFUNCTION("""COMPUTED_VALUE"""),"Negative")</f>
        <v>Negative</v>
      </c>
      <c r="G1112" s="16">
        <f>IFERROR(__xludf.DUMMYFUNCTION("""COMPUTED_VALUE"""),3.0)</f>
        <v>3</v>
      </c>
      <c r="H1112" s="8" t="str">
        <f>IFERROR(__xludf.DUMMYFUNCTION("""COMPUTED_VALUE"""),"CRLN")</f>
        <v>CRLN</v>
      </c>
    </row>
    <row r="1113">
      <c r="A1113" s="8" t="str">
        <f>IFERROR(__xludf.DUMMYFUNCTION("""COMPUTED_VALUE"""),"FLB5854")</f>
        <v>FLB5854</v>
      </c>
      <c r="B1113" s="8" t="str">
        <f>IFERROR(__xludf.DUMMYFUNCTION("""COMPUTED_VALUE"""),"RUN-FLMP_2022-04-25_RFR-118")</f>
        <v>RUN-FLMP_2022-04-25_RFR-118</v>
      </c>
      <c r="C1113" s="10">
        <f>VLOOKUP(B1113,'Run Reconcile'!A$2:B1579,2,FALSE)</f>
        <v>44676</v>
      </c>
      <c r="D1113" s="14">
        <f>IFERROR(__xludf.DUMMYFUNCTION("""COMPUTED_VALUE"""),44676.0)</f>
        <v>44676</v>
      </c>
      <c r="E1113" s="15">
        <f>IFERROR(__xludf.DUMMYFUNCTION("""COMPUTED_VALUE"""),0.3098958333321207)</f>
        <v>0.3098958333</v>
      </c>
      <c r="F1113" s="8" t="str">
        <f>IFERROR(__xludf.DUMMYFUNCTION("""COMPUTED_VALUE"""),"Negative")</f>
        <v>Negative</v>
      </c>
      <c r="G1113" s="16">
        <f>IFERROR(__xludf.DUMMYFUNCTION("""COMPUTED_VALUE"""),1.0)</f>
        <v>1</v>
      </c>
      <c r="H1113" s="8" t="str">
        <f>IFERROR(__xludf.DUMMYFUNCTION("""COMPUTED_VALUE"""),"CRLN")</f>
        <v>CRLN</v>
      </c>
    </row>
    <row r="1114">
      <c r="A1114" s="8" t="str">
        <f>IFERROR(__xludf.DUMMYFUNCTION("""COMPUTED_VALUE"""),"FLB4958")</f>
        <v>FLB4958</v>
      </c>
      <c r="B1114" s="8" t="str">
        <f>IFERROR(__xludf.DUMMYFUNCTION("""COMPUTED_VALUE"""),"RUN-FLMP_2022-04-25_RFR-118")</f>
        <v>RUN-FLMP_2022-04-25_RFR-118</v>
      </c>
      <c r="C1114" s="10">
        <f>VLOOKUP(B1114,'Run Reconcile'!A$2:B1579,2,FALSE)</f>
        <v>44676</v>
      </c>
      <c r="D1114" s="14">
        <f>IFERROR(__xludf.DUMMYFUNCTION("""COMPUTED_VALUE"""),44676.0)</f>
        <v>44676</v>
      </c>
      <c r="E1114" s="15">
        <f>IFERROR(__xludf.DUMMYFUNCTION("""COMPUTED_VALUE"""),0.32087962963123573)</f>
        <v>0.3208796296</v>
      </c>
      <c r="F1114" s="8" t="str">
        <f>IFERROR(__xludf.DUMMYFUNCTION("""COMPUTED_VALUE"""),"Negative")</f>
        <v>Negative</v>
      </c>
      <c r="G1114" s="16">
        <f>IFERROR(__xludf.DUMMYFUNCTION("""COMPUTED_VALUE"""),4.0)</f>
        <v>4</v>
      </c>
      <c r="H1114" s="8" t="str">
        <f>IFERROR(__xludf.DUMMYFUNCTION("""COMPUTED_VALUE"""),"CRLN")</f>
        <v>CRLN</v>
      </c>
    </row>
    <row r="1115">
      <c r="A1115" s="8" t="str">
        <f>IFERROR(__xludf.DUMMYFUNCTION("""COMPUTED_VALUE"""),"FLE200")</f>
        <v>FLE200</v>
      </c>
      <c r="B1115" s="8" t="str">
        <f>IFERROR(__xludf.DUMMYFUNCTION("""COMPUTED_VALUE"""),"RUN-FLMP_2022-04-25_RFR-118")</f>
        <v>RUN-FLMP_2022-04-25_RFR-118</v>
      </c>
      <c r="C1115" s="10">
        <f>VLOOKUP(B1115,'Run Reconcile'!A$2:B1579,2,FALSE)</f>
        <v>44676</v>
      </c>
      <c r="D1115" s="14">
        <f>IFERROR(__xludf.DUMMYFUNCTION("""COMPUTED_VALUE"""),44676.0)</f>
        <v>44676</v>
      </c>
      <c r="E1115" s="15">
        <f>IFERROR(__xludf.DUMMYFUNCTION("""COMPUTED_VALUE"""),0.3274768518531346)</f>
        <v>0.3274768519</v>
      </c>
      <c r="F1115" s="8" t="str">
        <f>IFERROR(__xludf.DUMMYFUNCTION("""COMPUTED_VALUE"""),"Negative")</f>
        <v>Negative</v>
      </c>
      <c r="G1115" s="16">
        <f>IFERROR(__xludf.DUMMYFUNCTION("""COMPUTED_VALUE"""),4.0)</f>
        <v>4</v>
      </c>
      <c r="H1115" s="8" t="str">
        <f>IFERROR(__xludf.DUMMYFUNCTION("""COMPUTED_VALUE"""),"CRLN")</f>
        <v>CRLN</v>
      </c>
    </row>
    <row r="1116">
      <c r="A1116" s="8" t="str">
        <f>IFERROR(__xludf.DUMMYFUNCTION("""COMPUTED_VALUE"""),"FLB6857")</f>
        <v>FLB6857</v>
      </c>
      <c r="B1116" s="8" t="str">
        <f>IFERROR(__xludf.DUMMYFUNCTION("""COMPUTED_VALUE"""),"RUN-FLMP_2022-04-25_RFR-118")</f>
        <v>RUN-FLMP_2022-04-25_RFR-118</v>
      </c>
      <c r="C1116" s="10">
        <f>VLOOKUP(B1116,'Run Reconcile'!A$2:B1579,2,FALSE)</f>
        <v>44676</v>
      </c>
      <c r="D1116" s="14">
        <f>IFERROR(__xludf.DUMMYFUNCTION("""COMPUTED_VALUE"""),44676.0)</f>
        <v>44676</v>
      </c>
      <c r="E1116" s="15">
        <f>IFERROR(__xludf.DUMMYFUNCTION("""COMPUTED_VALUE"""),0.33533564814933925)</f>
        <v>0.3353356481</v>
      </c>
      <c r="F1116" s="8" t="str">
        <f>IFERROR(__xludf.DUMMYFUNCTION("""COMPUTED_VALUE"""),"Negative")</f>
        <v>Negative</v>
      </c>
      <c r="G1116" s="16">
        <f>IFERROR(__xludf.DUMMYFUNCTION("""COMPUTED_VALUE"""),3.0)</f>
        <v>3</v>
      </c>
      <c r="H1116" s="8" t="str">
        <f>IFERROR(__xludf.DUMMYFUNCTION("""COMPUTED_VALUE"""),"CRLN")</f>
        <v>CRLN</v>
      </c>
    </row>
    <row r="1117">
      <c r="A1117" s="8" t="str">
        <f>IFERROR(__xludf.DUMMYFUNCTION("""COMPUTED_VALUE"""),"FLE299")</f>
        <v>FLE299</v>
      </c>
      <c r="B1117" s="8" t="str">
        <f>IFERROR(__xludf.DUMMYFUNCTION("""COMPUTED_VALUE"""),"RUN-FLMP_2022-04-25_RFR-118")</f>
        <v>RUN-FLMP_2022-04-25_RFR-118</v>
      </c>
      <c r="C1117" s="10">
        <f>VLOOKUP(B1117,'Run Reconcile'!A$2:B1579,2,FALSE)</f>
        <v>44676</v>
      </c>
      <c r="D1117" s="14">
        <f>IFERROR(__xludf.DUMMYFUNCTION("""COMPUTED_VALUE"""),44676.0)</f>
        <v>44676</v>
      </c>
      <c r="E1117" s="15">
        <f>IFERROR(__xludf.DUMMYFUNCTION("""COMPUTED_VALUE"""),0.3372453703705105)</f>
        <v>0.3372453704</v>
      </c>
      <c r="F1117" s="8" t="str">
        <f>IFERROR(__xludf.DUMMYFUNCTION("""COMPUTED_VALUE"""),"Negative")</f>
        <v>Negative</v>
      </c>
      <c r="G1117" s="16">
        <f>IFERROR(__xludf.DUMMYFUNCTION("""COMPUTED_VALUE"""),1.0)</f>
        <v>1</v>
      </c>
      <c r="H1117" s="8" t="str">
        <f>IFERROR(__xludf.DUMMYFUNCTION("""COMPUTED_VALUE"""),"FLSP")</f>
        <v>FLSP</v>
      </c>
    </row>
    <row r="1118">
      <c r="A1118" s="8" t="str">
        <f>IFERROR(__xludf.DUMMYFUNCTION("""COMPUTED_VALUE"""),"FLE962")</f>
        <v>FLE962</v>
      </c>
      <c r="B1118" s="8" t="str">
        <f>IFERROR(__xludf.DUMMYFUNCTION("""COMPUTED_VALUE"""),"RUN-FLMP_2022-04-25_RFR-118")</f>
        <v>RUN-FLMP_2022-04-25_RFR-118</v>
      </c>
      <c r="C1118" s="10">
        <f>VLOOKUP(B1118,'Run Reconcile'!A$2:B1579,2,FALSE)</f>
        <v>44676</v>
      </c>
      <c r="D1118" s="14">
        <f>IFERROR(__xludf.DUMMYFUNCTION("""COMPUTED_VALUE"""),44676.0)</f>
        <v>44676</v>
      </c>
      <c r="E1118" s="15">
        <f>IFERROR(__xludf.DUMMYFUNCTION("""COMPUTED_VALUE"""),0.34642361111036735)</f>
        <v>0.3464236111</v>
      </c>
      <c r="F1118" s="8" t="str">
        <f>IFERROR(__xludf.DUMMYFUNCTION("""COMPUTED_VALUE"""),"Negative")</f>
        <v>Negative</v>
      </c>
      <c r="G1118" s="16">
        <f>IFERROR(__xludf.DUMMYFUNCTION("""COMPUTED_VALUE"""),4.0)</f>
        <v>4</v>
      </c>
      <c r="H1118" s="8" t="str">
        <f>IFERROR(__xludf.DUMMYFUNCTION("""COMPUTED_VALUE"""),"CRLN")</f>
        <v>CRLN</v>
      </c>
    </row>
    <row r="1119">
      <c r="A1119" s="8" t="str">
        <f>IFERROR(__xludf.DUMMYFUNCTION("""COMPUTED_VALUE"""),"AJ7880")</f>
        <v>AJ7880</v>
      </c>
      <c r="B1119" s="8" t="str">
        <f>IFERROR(__xludf.DUMMYFUNCTION("""COMPUTED_VALUE"""),"RUN-FLMP_2022-04-25_RFR-118")</f>
        <v>RUN-FLMP_2022-04-25_RFR-118</v>
      </c>
      <c r="C1119" s="10">
        <f>VLOOKUP(B1119,'Run Reconcile'!A$2:B1579,2,FALSE)</f>
        <v>44676</v>
      </c>
      <c r="D1119" s="14">
        <f>IFERROR(__xludf.DUMMYFUNCTION("""COMPUTED_VALUE"""),44676.0)</f>
        <v>44676</v>
      </c>
      <c r="E1119" s="15">
        <f>IFERROR(__xludf.DUMMYFUNCTION("""COMPUTED_VALUE"""),0.3485416666662786)</f>
        <v>0.3485416667</v>
      </c>
      <c r="F1119" s="8" t="str">
        <f>IFERROR(__xludf.DUMMYFUNCTION("""COMPUTED_VALUE"""),"Negative")</f>
        <v>Negative</v>
      </c>
      <c r="G1119" s="16">
        <f>IFERROR(__xludf.DUMMYFUNCTION("""COMPUTED_VALUE"""),2.0)</f>
        <v>2</v>
      </c>
      <c r="H1119" s="8" t="str">
        <f>IFERROR(__xludf.DUMMYFUNCTION("""COMPUTED_VALUE"""),"CRLN")</f>
        <v>CRLN</v>
      </c>
    </row>
    <row r="1120">
      <c r="A1120" s="8" t="str">
        <f>IFERROR(__xludf.DUMMYFUNCTION("""COMPUTED_VALUE"""),"FLB6811")</f>
        <v>FLB6811</v>
      </c>
      <c r="B1120" s="8" t="str">
        <f>IFERROR(__xludf.DUMMYFUNCTION("""COMPUTED_VALUE"""),"RUN-FLMP_2022-04-25_RFR-118")</f>
        <v>RUN-FLMP_2022-04-25_RFR-118</v>
      </c>
      <c r="C1120" s="10">
        <f>VLOOKUP(B1120,'Run Reconcile'!A$2:B1579,2,FALSE)</f>
        <v>44676</v>
      </c>
      <c r="D1120" s="14">
        <f>IFERROR(__xludf.DUMMYFUNCTION("""COMPUTED_VALUE"""),44676.0)</f>
        <v>44676</v>
      </c>
      <c r="E1120" s="15">
        <f>IFERROR(__xludf.DUMMYFUNCTION("""COMPUTED_VALUE"""),0.34972222222131677)</f>
        <v>0.3497222222</v>
      </c>
      <c r="F1120" s="8" t="str">
        <f>IFERROR(__xludf.DUMMYFUNCTION("""COMPUTED_VALUE"""),"Negative")</f>
        <v>Negative</v>
      </c>
      <c r="G1120" s="16">
        <f>IFERROR(__xludf.DUMMYFUNCTION("""COMPUTED_VALUE"""),1.0)</f>
        <v>1</v>
      </c>
      <c r="H1120" s="8" t="str">
        <f>IFERROR(__xludf.DUMMYFUNCTION("""COMPUTED_VALUE"""),"CRLN")</f>
        <v>CRLN</v>
      </c>
    </row>
    <row r="1121">
      <c r="A1121" s="8" t="str">
        <f>IFERROR(__xludf.DUMMYFUNCTION("""COMPUTED_VALUE"""),"FLE274")</f>
        <v>FLE274</v>
      </c>
      <c r="B1121" s="8" t="str">
        <f>IFERROR(__xludf.DUMMYFUNCTION("""COMPUTED_VALUE"""),"RUN-FLMP_2022-04-25_RFR-118")</f>
        <v>RUN-FLMP_2022-04-25_RFR-118</v>
      </c>
      <c r="C1121" s="10">
        <f>VLOOKUP(B1121,'Run Reconcile'!A$2:B1579,2,FALSE)</f>
        <v>44676</v>
      </c>
      <c r="D1121" s="14">
        <f>IFERROR(__xludf.DUMMYFUNCTION("""COMPUTED_VALUE"""),44676.0)</f>
        <v>44676</v>
      </c>
      <c r="E1121" s="15">
        <f>IFERROR(__xludf.DUMMYFUNCTION("""COMPUTED_VALUE"""),0.3514814814807323)</f>
        <v>0.3514814815</v>
      </c>
      <c r="F1121" s="8" t="str">
        <f>IFERROR(__xludf.DUMMYFUNCTION("""COMPUTED_VALUE"""),"Negative")</f>
        <v>Negative</v>
      </c>
      <c r="G1121" s="16">
        <f>IFERROR(__xludf.DUMMYFUNCTION("""COMPUTED_VALUE"""),1.0)</f>
        <v>1</v>
      </c>
      <c r="H1121" s="8" t="str">
        <f>IFERROR(__xludf.DUMMYFUNCTION("""COMPUTED_VALUE"""),"CRLN")</f>
        <v>CRLN</v>
      </c>
    </row>
    <row r="1122">
      <c r="A1122" s="8" t="str">
        <f>IFERROR(__xludf.DUMMYFUNCTION("""COMPUTED_VALUE"""),"AJ8170")</f>
        <v>AJ8170</v>
      </c>
      <c r="B1122" s="8" t="str">
        <f>IFERROR(__xludf.DUMMYFUNCTION("""COMPUTED_VALUE"""),"RUN-FLMP_2022-04-25_RFR-118")</f>
        <v>RUN-FLMP_2022-04-25_RFR-118</v>
      </c>
      <c r="C1122" s="10">
        <f>VLOOKUP(B1122,'Run Reconcile'!A$2:B1579,2,FALSE)</f>
        <v>44676</v>
      </c>
      <c r="D1122" s="14">
        <f>IFERROR(__xludf.DUMMYFUNCTION("""COMPUTED_VALUE"""),44676.0)</f>
        <v>44676</v>
      </c>
      <c r="E1122" s="15">
        <f>IFERROR(__xludf.DUMMYFUNCTION("""COMPUTED_VALUE"""),0.35298611111284117)</f>
        <v>0.3529861111</v>
      </c>
      <c r="F1122" s="8" t="str">
        <f>IFERROR(__xludf.DUMMYFUNCTION("""COMPUTED_VALUE"""),"Negative")</f>
        <v>Negative</v>
      </c>
      <c r="G1122" s="16">
        <f>IFERROR(__xludf.DUMMYFUNCTION("""COMPUTED_VALUE"""),4.0)</f>
        <v>4</v>
      </c>
      <c r="H1122" s="8" t="str">
        <f>IFERROR(__xludf.DUMMYFUNCTION("""COMPUTED_VALUE"""),"CRLN")</f>
        <v>CRLN</v>
      </c>
    </row>
    <row r="1123">
      <c r="A1123" s="8" t="str">
        <f>IFERROR(__xludf.DUMMYFUNCTION("""COMPUTED_VALUE"""),"AH8004")</f>
        <v>AH8004</v>
      </c>
      <c r="B1123" s="8" t="str">
        <f>IFERROR(__xludf.DUMMYFUNCTION("""COMPUTED_VALUE"""),"RUN-FLMP_2022-04-25_RFR-118")</f>
        <v>RUN-FLMP_2022-04-25_RFR-118</v>
      </c>
      <c r="C1123" s="10">
        <f>VLOOKUP(B1123,'Run Reconcile'!A$2:B1579,2,FALSE)</f>
        <v>44676</v>
      </c>
      <c r="D1123" s="14">
        <f>IFERROR(__xludf.DUMMYFUNCTION("""COMPUTED_VALUE"""),44676.0)</f>
        <v>44676</v>
      </c>
      <c r="E1123" s="15">
        <f>IFERROR(__xludf.DUMMYFUNCTION("""COMPUTED_VALUE"""),0.35376157407517894)</f>
        <v>0.3537615741</v>
      </c>
      <c r="F1123" s="8" t="str">
        <f>IFERROR(__xludf.DUMMYFUNCTION("""COMPUTED_VALUE"""),"Negative")</f>
        <v>Negative</v>
      </c>
      <c r="G1123" s="16">
        <f>IFERROR(__xludf.DUMMYFUNCTION("""COMPUTED_VALUE"""),4.0)</f>
        <v>4</v>
      </c>
      <c r="H1123" s="8" t="str">
        <f>IFERROR(__xludf.DUMMYFUNCTION("""COMPUTED_VALUE"""),"CRLN")</f>
        <v>CRLN</v>
      </c>
    </row>
    <row r="1124">
      <c r="A1124" s="8" t="str">
        <f>IFERROR(__xludf.DUMMYFUNCTION("""COMPUTED_VALUE"""),"FLE207")</f>
        <v>FLE207</v>
      </c>
      <c r="B1124" s="8" t="str">
        <f>IFERROR(__xludf.DUMMYFUNCTION("""COMPUTED_VALUE"""),"RUN-FLMP_2022-04-25_RFR-118")</f>
        <v>RUN-FLMP_2022-04-25_RFR-118</v>
      </c>
      <c r="C1124" s="10">
        <f>VLOOKUP(B1124,'Run Reconcile'!A$2:B1579,2,FALSE)</f>
        <v>44676</v>
      </c>
      <c r="D1124" s="14">
        <f>IFERROR(__xludf.DUMMYFUNCTION("""COMPUTED_VALUE"""),44676.0)</f>
        <v>44676</v>
      </c>
      <c r="E1124" s="15">
        <f>IFERROR(__xludf.DUMMYFUNCTION("""COMPUTED_VALUE"""),0.3562037037045229)</f>
        <v>0.3562037037</v>
      </c>
      <c r="F1124" s="8" t="str">
        <f>IFERROR(__xludf.DUMMYFUNCTION("""COMPUTED_VALUE"""),"Negative")</f>
        <v>Negative</v>
      </c>
      <c r="G1124" s="16">
        <f>IFERROR(__xludf.DUMMYFUNCTION("""COMPUTED_VALUE"""),2.0)</f>
        <v>2</v>
      </c>
      <c r="H1124" s="8" t="str">
        <f>IFERROR(__xludf.DUMMYFUNCTION("""COMPUTED_VALUE"""),"CRLN")</f>
        <v>CRLN</v>
      </c>
    </row>
    <row r="1125">
      <c r="A1125" s="8" t="str">
        <f>IFERROR(__xludf.DUMMYFUNCTION("""COMPUTED_VALUE"""),"FLE312")</f>
        <v>FLE312</v>
      </c>
      <c r="B1125" s="8" t="str">
        <f>IFERROR(__xludf.DUMMYFUNCTION("""COMPUTED_VALUE"""),"RUN-FLMP_2022-04-25_RFR-118")</f>
        <v>RUN-FLMP_2022-04-25_RFR-118</v>
      </c>
      <c r="C1125" s="10">
        <f>VLOOKUP(B1125,'Run Reconcile'!A$2:B1579,2,FALSE)</f>
        <v>44676</v>
      </c>
      <c r="D1125" s="14">
        <f>IFERROR(__xludf.DUMMYFUNCTION("""COMPUTED_VALUE"""),44676.0)</f>
        <v>44676</v>
      </c>
      <c r="E1125" s="15">
        <f>IFERROR(__xludf.DUMMYFUNCTION("""COMPUTED_VALUE"""),0.35681712962832535)</f>
        <v>0.3568171296</v>
      </c>
      <c r="F1125" s="8" t="str">
        <f>IFERROR(__xludf.DUMMYFUNCTION("""COMPUTED_VALUE"""),"Negative")</f>
        <v>Negative</v>
      </c>
      <c r="G1125" s="16">
        <f>IFERROR(__xludf.DUMMYFUNCTION("""COMPUTED_VALUE"""),1.0)</f>
        <v>1</v>
      </c>
      <c r="H1125" s="8" t="str">
        <f>IFERROR(__xludf.DUMMYFUNCTION("""COMPUTED_VALUE"""),"CRLN")</f>
        <v>CRLN</v>
      </c>
    </row>
    <row r="1126">
      <c r="A1126" s="8" t="str">
        <f>IFERROR(__xludf.DUMMYFUNCTION("""COMPUTED_VALUE"""),"FLB7376")</f>
        <v>FLB7376</v>
      </c>
      <c r="B1126" s="8" t="str">
        <f>IFERROR(__xludf.DUMMYFUNCTION("""COMPUTED_VALUE"""),"RUN-FLMP_2022-04-25_RFR-118")</f>
        <v>RUN-FLMP_2022-04-25_RFR-118</v>
      </c>
      <c r="C1126" s="10">
        <f>VLOOKUP(B1126,'Run Reconcile'!A$2:B1579,2,FALSE)</f>
        <v>44676</v>
      </c>
      <c r="D1126" s="14">
        <f>IFERROR(__xludf.DUMMYFUNCTION("""COMPUTED_VALUE"""),44676.0)</f>
        <v>44676</v>
      </c>
      <c r="E1126" s="15">
        <f>IFERROR(__xludf.DUMMYFUNCTION("""COMPUTED_VALUE"""),0.35739583333270275)</f>
        <v>0.3573958333</v>
      </c>
      <c r="F1126" s="8" t="str">
        <f>IFERROR(__xludf.DUMMYFUNCTION("""COMPUTED_VALUE"""),"Negative")</f>
        <v>Negative</v>
      </c>
      <c r="G1126" s="16">
        <f>IFERROR(__xludf.DUMMYFUNCTION("""COMPUTED_VALUE"""),3.0)</f>
        <v>3</v>
      </c>
      <c r="H1126" s="8" t="str">
        <f>IFERROR(__xludf.DUMMYFUNCTION("""COMPUTED_VALUE"""),"CRLN")</f>
        <v>CRLN</v>
      </c>
    </row>
    <row r="1127">
      <c r="A1127" s="8" t="str">
        <f>IFERROR(__xludf.DUMMYFUNCTION("""COMPUTED_VALUE"""),"FLE820")</f>
        <v>FLE820</v>
      </c>
      <c r="B1127" s="8" t="str">
        <f>IFERROR(__xludf.DUMMYFUNCTION("""COMPUTED_VALUE"""),"RUN-FLMP_2022-04-25_RFR-118")</f>
        <v>RUN-FLMP_2022-04-25_RFR-118</v>
      </c>
      <c r="C1127" s="10">
        <f>VLOOKUP(B1127,'Run Reconcile'!A$2:B1579,2,FALSE)</f>
        <v>44676</v>
      </c>
      <c r="D1127" s="14">
        <f>IFERROR(__xludf.DUMMYFUNCTION("""COMPUTED_VALUE"""),44676.0)</f>
        <v>44676</v>
      </c>
      <c r="E1127" s="15">
        <f>IFERROR(__xludf.DUMMYFUNCTION("""COMPUTED_VALUE"""),0.36440972222044365)</f>
        <v>0.3644097222</v>
      </c>
      <c r="F1127" s="8" t="str">
        <f>IFERROR(__xludf.DUMMYFUNCTION("""COMPUTED_VALUE"""),"Negative")</f>
        <v>Negative</v>
      </c>
      <c r="G1127" s="16">
        <f>IFERROR(__xludf.DUMMYFUNCTION("""COMPUTED_VALUE"""),2.0)</f>
        <v>2</v>
      </c>
      <c r="H1127" s="8" t="str">
        <f>IFERROR(__xludf.DUMMYFUNCTION("""COMPUTED_VALUE"""),"CRLN")</f>
        <v>CRLN</v>
      </c>
    </row>
    <row r="1128">
      <c r="A1128" s="8" t="str">
        <f>IFERROR(__xludf.DUMMYFUNCTION("""COMPUTED_VALUE"""),"FLB4785")</f>
        <v>FLB4785</v>
      </c>
      <c r="B1128" s="8" t="str">
        <f>IFERROR(__xludf.DUMMYFUNCTION("""COMPUTED_VALUE"""),"RUN-FLMP_2022-04-25_RFR-118")</f>
        <v>RUN-FLMP_2022-04-25_RFR-118</v>
      </c>
      <c r="C1128" s="10">
        <f>VLOOKUP(B1128,'Run Reconcile'!A$2:B1579,2,FALSE)</f>
        <v>44676</v>
      </c>
      <c r="D1128" s="14">
        <f>IFERROR(__xludf.DUMMYFUNCTION("""COMPUTED_VALUE"""),44676.0)</f>
        <v>44676</v>
      </c>
      <c r="E1128" s="15">
        <f>IFERROR(__xludf.DUMMYFUNCTION("""COMPUTED_VALUE"""),0.36699074074203963)</f>
        <v>0.3669907407</v>
      </c>
      <c r="F1128" s="8" t="str">
        <f>IFERROR(__xludf.DUMMYFUNCTION("""COMPUTED_VALUE"""),"Negative")</f>
        <v>Negative</v>
      </c>
      <c r="G1128" s="16">
        <f>IFERROR(__xludf.DUMMYFUNCTION("""COMPUTED_VALUE"""),1.0)</f>
        <v>1</v>
      </c>
      <c r="H1128" s="8" t="str">
        <f>IFERROR(__xludf.DUMMYFUNCTION("""COMPUTED_VALUE"""),"FLSP")</f>
        <v>FLSP</v>
      </c>
    </row>
    <row r="1129">
      <c r="A1129" s="8" t="str">
        <f>IFERROR(__xludf.DUMMYFUNCTION("""COMPUTED_VALUE"""),"FLE856")</f>
        <v>FLE856</v>
      </c>
      <c r="B1129" s="8" t="str">
        <f>IFERROR(__xludf.DUMMYFUNCTION("""COMPUTED_VALUE"""),"RUN-FLMP_2022-04-25_RFR-118")</f>
        <v>RUN-FLMP_2022-04-25_RFR-118</v>
      </c>
      <c r="C1129" s="10">
        <f>VLOOKUP(B1129,'Run Reconcile'!A$2:B1579,2,FALSE)</f>
        <v>44676</v>
      </c>
      <c r="D1129" s="14">
        <f>IFERROR(__xludf.DUMMYFUNCTION("""COMPUTED_VALUE"""),44676.0)</f>
        <v>44676</v>
      </c>
      <c r="E1129" s="15">
        <f>IFERROR(__xludf.DUMMYFUNCTION("""COMPUTED_VALUE"""),0.3720949074086093)</f>
        <v>0.3720949074</v>
      </c>
      <c r="F1129" s="8" t="str">
        <f>IFERROR(__xludf.DUMMYFUNCTION("""COMPUTED_VALUE"""),"Negative")</f>
        <v>Negative</v>
      </c>
      <c r="G1129" s="16">
        <f>IFERROR(__xludf.DUMMYFUNCTION("""COMPUTED_VALUE"""),3.0)</f>
        <v>3</v>
      </c>
      <c r="H1129" s="8" t="str">
        <f>IFERROR(__xludf.DUMMYFUNCTION("""COMPUTED_VALUE"""),"CRLN")</f>
        <v>CRLN</v>
      </c>
    </row>
    <row r="1130">
      <c r="A1130" s="8" t="str">
        <f>IFERROR(__xludf.DUMMYFUNCTION("""COMPUTED_VALUE"""),"FLB4931")</f>
        <v>FLB4931</v>
      </c>
      <c r="B1130" s="8" t="str">
        <f>IFERROR(__xludf.DUMMYFUNCTION("""COMPUTED_VALUE"""),"RUN-FLMP_2022-04-25_RFR-118")</f>
        <v>RUN-FLMP_2022-04-25_RFR-118</v>
      </c>
      <c r="C1130" s="10">
        <f>VLOOKUP(B1130,'Run Reconcile'!A$2:B1579,2,FALSE)</f>
        <v>44676</v>
      </c>
      <c r="D1130" s="14">
        <f>IFERROR(__xludf.DUMMYFUNCTION("""COMPUTED_VALUE"""),44676.0)</f>
        <v>44676</v>
      </c>
      <c r="E1130" s="15">
        <f>IFERROR(__xludf.DUMMYFUNCTION("""COMPUTED_VALUE"""),0.3858680555567844)</f>
        <v>0.3858680556</v>
      </c>
      <c r="F1130" s="8" t="str">
        <f>IFERROR(__xludf.DUMMYFUNCTION("""COMPUTED_VALUE"""),"Negative")</f>
        <v>Negative</v>
      </c>
      <c r="G1130" s="16">
        <f>IFERROR(__xludf.DUMMYFUNCTION("""COMPUTED_VALUE"""),1.0)</f>
        <v>1</v>
      </c>
      <c r="H1130" s="8" t="str">
        <f>IFERROR(__xludf.DUMMYFUNCTION("""COMPUTED_VALUE"""),"FLSP")</f>
        <v>FLSP</v>
      </c>
    </row>
    <row r="1131">
      <c r="A1131" s="8" t="str">
        <f>IFERROR(__xludf.DUMMYFUNCTION("""COMPUTED_VALUE"""),"AH7611")</f>
        <v>AH7611</v>
      </c>
      <c r="B1131" s="8" t="str">
        <f>IFERROR(__xludf.DUMMYFUNCTION("""COMPUTED_VALUE"""),"RUN-FLMP_2022-04-28_RFR-120")</f>
        <v>RUN-FLMP_2022-04-28_RFR-120</v>
      </c>
      <c r="C1131" s="10">
        <f>VLOOKUP(B1131,'Run Reconcile'!A$2:B1579,2,FALSE)</f>
        <v>44679</v>
      </c>
      <c r="D1131" s="14">
        <f>IFERROR(__xludf.DUMMYFUNCTION("""COMPUTED_VALUE"""),44679.0)</f>
        <v>44679</v>
      </c>
      <c r="E1131" s="15">
        <f>IFERROR(__xludf.DUMMYFUNCTION("""COMPUTED_VALUE"""),0.2716087962980964)</f>
        <v>0.2716087963</v>
      </c>
      <c r="F1131" s="8" t="str">
        <f>IFERROR(__xludf.DUMMYFUNCTION("""COMPUTED_VALUE"""),"Negative")</f>
        <v>Negative</v>
      </c>
      <c r="G1131" s="16">
        <f>IFERROR(__xludf.DUMMYFUNCTION("""COMPUTED_VALUE"""),1.0)</f>
        <v>1</v>
      </c>
      <c r="H1131" s="8" t="str">
        <f>IFERROR(__xludf.DUMMYFUNCTION("""COMPUTED_VALUE"""),"CRLN")</f>
        <v>CRLN</v>
      </c>
    </row>
    <row r="1132">
      <c r="A1132" s="8" t="str">
        <f>IFERROR(__xludf.DUMMYFUNCTION("""COMPUTED_VALUE"""),"AH7866")</f>
        <v>AH7866</v>
      </c>
      <c r="B1132" s="8" t="str">
        <f>IFERROR(__xludf.DUMMYFUNCTION("""COMPUTED_VALUE"""),"RUN-FLMP_2022-04-28_RFR-120")</f>
        <v>RUN-FLMP_2022-04-28_RFR-120</v>
      </c>
      <c r="C1132" s="10">
        <f>VLOOKUP(B1132,'Run Reconcile'!A$2:B1579,2,FALSE)</f>
        <v>44679</v>
      </c>
      <c r="D1132" s="14">
        <f>IFERROR(__xludf.DUMMYFUNCTION("""COMPUTED_VALUE"""),44679.0)</f>
        <v>44679</v>
      </c>
      <c r="E1132" s="15">
        <f>IFERROR(__xludf.DUMMYFUNCTION("""COMPUTED_VALUE"""),0.2948726851864194)</f>
        <v>0.2948726852</v>
      </c>
      <c r="F1132" s="8" t="str">
        <f>IFERROR(__xludf.DUMMYFUNCTION("""COMPUTED_VALUE"""),"Negative")</f>
        <v>Negative</v>
      </c>
      <c r="G1132" s="16">
        <f>IFERROR(__xludf.DUMMYFUNCTION("""COMPUTED_VALUE"""),4.0)</f>
        <v>4</v>
      </c>
      <c r="H1132" s="8" t="str">
        <f>IFERROR(__xludf.DUMMYFUNCTION("""COMPUTED_VALUE"""),"CRLN")</f>
        <v>CRLN</v>
      </c>
    </row>
    <row r="1133">
      <c r="A1133" s="8" t="str">
        <f>IFERROR(__xludf.DUMMYFUNCTION("""COMPUTED_VALUE"""),"AK7126")</f>
        <v>AK7126</v>
      </c>
      <c r="B1133" s="8" t="str">
        <f>IFERROR(__xludf.DUMMYFUNCTION("""COMPUTED_VALUE"""),"RUN-FLMP_2022-04-28_RFR-120")</f>
        <v>RUN-FLMP_2022-04-28_RFR-120</v>
      </c>
      <c r="C1133" s="10">
        <f>VLOOKUP(B1133,'Run Reconcile'!A$2:B1579,2,FALSE)</f>
        <v>44679</v>
      </c>
      <c r="D1133" s="14">
        <f>IFERROR(__xludf.DUMMYFUNCTION("""COMPUTED_VALUE"""),44679.0)</f>
        <v>44679</v>
      </c>
      <c r="E1133" s="15">
        <f>IFERROR(__xludf.DUMMYFUNCTION("""COMPUTED_VALUE"""),0.30965277777795563)</f>
        <v>0.3096527778</v>
      </c>
      <c r="F1133" s="8" t="str">
        <f>IFERROR(__xludf.DUMMYFUNCTION("""COMPUTED_VALUE"""),"Negative")</f>
        <v>Negative</v>
      </c>
      <c r="G1133" s="16">
        <f>IFERROR(__xludf.DUMMYFUNCTION("""COMPUTED_VALUE"""),5.0)</f>
        <v>5</v>
      </c>
      <c r="H1133" s="8" t="str">
        <f>IFERROR(__xludf.DUMMYFUNCTION("""COMPUTED_VALUE"""),"CRLN")</f>
        <v>CRLN</v>
      </c>
    </row>
    <row r="1134">
      <c r="A1134" s="8" t="str">
        <f>IFERROR(__xludf.DUMMYFUNCTION("""COMPUTED_VALUE"""),"FLE279")</f>
        <v>FLE279</v>
      </c>
      <c r="B1134" s="8" t="str">
        <f>IFERROR(__xludf.DUMMYFUNCTION("""COMPUTED_VALUE"""),"RUN-FLMP_2022-04-28_RFR-120")</f>
        <v>RUN-FLMP_2022-04-28_RFR-120</v>
      </c>
      <c r="C1134" s="10">
        <f>VLOOKUP(B1134,'Run Reconcile'!A$2:B1579,2,FALSE)</f>
        <v>44679</v>
      </c>
      <c r="D1134" s="14">
        <f>IFERROR(__xludf.DUMMYFUNCTION("""COMPUTED_VALUE"""),44679.0)</f>
        <v>44679</v>
      </c>
      <c r="E1134" s="15">
        <f>IFERROR(__xludf.DUMMYFUNCTION("""COMPUTED_VALUE"""),0.31706018518525525)</f>
        <v>0.3170601852</v>
      </c>
      <c r="F1134" s="8" t="str">
        <f>IFERROR(__xludf.DUMMYFUNCTION("""COMPUTED_VALUE"""),"Negative")</f>
        <v>Negative</v>
      </c>
      <c r="G1134" s="16">
        <f>IFERROR(__xludf.DUMMYFUNCTION("""COMPUTED_VALUE"""),4.0)</f>
        <v>4</v>
      </c>
      <c r="H1134" s="8" t="str">
        <f>IFERROR(__xludf.DUMMYFUNCTION("""COMPUTED_VALUE"""),"CRLN")</f>
        <v>CRLN</v>
      </c>
    </row>
    <row r="1135">
      <c r="A1135" s="8" t="str">
        <f>IFERROR(__xludf.DUMMYFUNCTION("""COMPUTED_VALUE"""),"FLE937")</f>
        <v>FLE937</v>
      </c>
      <c r="B1135" s="8" t="str">
        <f>IFERROR(__xludf.DUMMYFUNCTION("""COMPUTED_VALUE"""),"RUN-FLMP_2022-04-28_RFR-120")</f>
        <v>RUN-FLMP_2022-04-28_RFR-120</v>
      </c>
      <c r="C1135" s="10">
        <f>VLOOKUP(B1135,'Run Reconcile'!A$2:B1579,2,FALSE)</f>
        <v>44679</v>
      </c>
      <c r="D1135" s="14">
        <f>IFERROR(__xludf.DUMMYFUNCTION("""COMPUTED_VALUE"""),44679.0)</f>
        <v>44679</v>
      </c>
      <c r="E1135" s="15">
        <f>IFERROR(__xludf.DUMMYFUNCTION("""COMPUTED_VALUE"""),0.3314004629646661)</f>
        <v>0.331400463</v>
      </c>
      <c r="F1135" s="8" t="str">
        <f>IFERROR(__xludf.DUMMYFUNCTION("""COMPUTED_VALUE"""),"Negative")</f>
        <v>Negative</v>
      </c>
      <c r="G1135" s="16">
        <f>IFERROR(__xludf.DUMMYFUNCTION("""COMPUTED_VALUE"""),2.0)</f>
        <v>2</v>
      </c>
      <c r="H1135" s="8" t="str">
        <f>IFERROR(__xludf.DUMMYFUNCTION("""COMPUTED_VALUE"""),"CRLN")</f>
        <v>CRLN</v>
      </c>
    </row>
    <row r="1136">
      <c r="A1136" s="8" t="str">
        <f>IFERROR(__xludf.DUMMYFUNCTION("""COMPUTED_VALUE"""),"FLE263")</f>
        <v>FLE263</v>
      </c>
      <c r="B1136" s="8" t="str">
        <f>IFERROR(__xludf.DUMMYFUNCTION("""COMPUTED_VALUE"""),"RUN-FLMP_2022-04-28_RFR-120")</f>
        <v>RUN-FLMP_2022-04-28_RFR-120</v>
      </c>
      <c r="C1136" s="10">
        <f>VLOOKUP(B1136,'Run Reconcile'!A$2:B1579,2,FALSE)</f>
        <v>44679</v>
      </c>
      <c r="D1136" s="14">
        <f>IFERROR(__xludf.DUMMYFUNCTION("""COMPUTED_VALUE"""),44679.0)</f>
        <v>44679</v>
      </c>
      <c r="E1136" s="15">
        <f>IFERROR(__xludf.DUMMYFUNCTION("""COMPUTED_VALUE"""),0.33501157407226856)</f>
        <v>0.3350115741</v>
      </c>
      <c r="F1136" s="8" t="str">
        <f>IFERROR(__xludf.DUMMYFUNCTION("""COMPUTED_VALUE"""),"Negative")</f>
        <v>Negative</v>
      </c>
      <c r="G1136" s="16">
        <f>IFERROR(__xludf.DUMMYFUNCTION("""COMPUTED_VALUE"""),4.0)</f>
        <v>4</v>
      </c>
      <c r="H1136" s="8" t="str">
        <f>IFERROR(__xludf.DUMMYFUNCTION("""COMPUTED_VALUE"""),"CRLN")</f>
        <v>CRLN</v>
      </c>
    </row>
    <row r="1137">
      <c r="A1137" s="8" t="str">
        <f>IFERROR(__xludf.DUMMYFUNCTION("""COMPUTED_VALUE"""),"FLT13")</f>
        <v>FLT13</v>
      </c>
      <c r="B1137" s="8" t="str">
        <f>IFERROR(__xludf.DUMMYFUNCTION("""COMPUTED_VALUE"""),"RUN-FLMP_2022-04-28_RFR-120")</f>
        <v>RUN-FLMP_2022-04-28_RFR-120</v>
      </c>
      <c r="C1137" s="10">
        <f>VLOOKUP(B1137,'Run Reconcile'!A$2:B1579,2,FALSE)</f>
        <v>44679</v>
      </c>
      <c r="D1137" s="14">
        <f>IFERROR(__xludf.DUMMYFUNCTION("""COMPUTED_VALUE"""),44679.0)</f>
        <v>44679</v>
      </c>
      <c r="E1137" s="15">
        <f>IFERROR(__xludf.DUMMYFUNCTION("""COMPUTED_VALUE"""),0.3371412037049595)</f>
        <v>0.3371412037</v>
      </c>
      <c r="F1137" s="8" t="str">
        <f>IFERROR(__xludf.DUMMYFUNCTION("""COMPUTED_VALUE"""),"Negative")</f>
        <v>Negative</v>
      </c>
      <c r="G1137" s="16">
        <f>IFERROR(__xludf.DUMMYFUNCTION("""COMPUTED_VALUE"""),4.0)</f>
        <v>4</v>
      </c>
      <c r="H1137" s="8" t="str">
        <f>IFERROR(__xludf.DUMMYFUNCTION("""COMPUTED_VALUE"""),"CRLN")</f>
        <v>CRLN</v>
      </c>
    </row>
    <row r="1138">
      <c r="A1138" s="8" t="str">
        <f>IFERROR(__xludf.DUMMYFUNCTION("""COMPUTED_VALUE"""),"FLB7378")</f>
        <v>FLB7378</v>
      </c>
      <c r="B1138" s="8" t="str">
        <f>IFERROR(__xludf.DUMMYFUNCTION("""COMPUTED_VALUE"""),"RUN-FLMP_2022-04-28_RFR-120")</f>
        <v>RUN-FLMP_2022-04-28_RFR-120</v>
      </c>
      <c r="C1138" s="10">
        <f>VLOOKUP(B1138,'Run Reconcile'!A$2:B1579,2,FALSE)</f>
        <v>44679</v>
      </c>
      <c r="D1138" s="14">
        <f>IFERROR(__xludf.DUMMYFUNCTION("""COMPUTED_VALUE"""),44679.0)</f>
        <v>44679</v>
      </c>
      <c r="E1138" s="15">
        <f>IFERROR(__xludf.DUMMYFUNCTION("""COMPUTED_VALUE"""),0.33773148148247856)</f>
        <v>0.3377314815</v>
      </c>
      <c r="F1138" s="8" t="str">
        <f>IFERROR(__xludf.DUMMYFUNCTION("""COMPUTED_VALUE"""),"Negative")</f>
        <v>Negative</v>
      </c>
      <c r="G1138" s="16">
        <f>IFERROR(__xludf.DUMMYFUNCTION("""COMPUTED_VALUE"""),1.0)</f>
        <v>1</v>
      </c>
      <c r="H1138" s="8" t="str">
        <f>IFERROR(__xludf.DUMMYFUNCTION("""COMPUTED_VALUE"""),"CRLN")</f>
        <v>CRLN</v>
      </c>
    </row>
    <row r="1139">
      <c r="A1139" s="8" t="str">
        <f>IFERROR(__xludf.DUMMYFUNCTION("""COMPUTED_VALUE"""),"AG2054")</f>
        <v>AG2054</v>
      </c>
      <c r="B1139" s="8" t="str">
        <f>IFERROR(__xludf.DUMMYFUNCTION("""COMPUTED_VALUE"""),"RUN-FLMP_2022-04-28_RFR-120")</f>
        <v>RUN-FLMP_2022-04-28_RFR-120</v>
      </c>
      <c r="C1139" s="10">
        <f>VLOOKUP(B1139,'Run Reconcile'!A$2:B1579,2,FALSE)</f>
        <v>44679</v>
      </c>
      <c r="D1139" s="14">
        <f>IFERROR(__xludf.DUMMYFUNCTION("""COMPUTED_VALUE"""),44679.0)</f>
        <v>44679</v>
      </c>
      <c r="E1139" s="15">
        <f>IFERROR(__xludf.DUMMYFUNCTION("""COMPUTED_VALUE"""),0.3411574074089003)</f>
        <v>0.3411574074</v>
      </c>
      <c r="F1139" s="8" t="str">
        <f>IFERROR(__xludf.DUMMYFUNCTION("""COMPUTED_VALUE"""),"Negative")</f>
        <v>Negative</v>
      </c>
      <c r="G1139" s="16">
        <f>IFERROR(__xludf.DUMMYFUNCTION("""COMPUTED_VALUE"""),1.0)</f>
        <v>1</v>
      </c>
      <c r="H1139" s="8" t="str">
        <f>IFERROR(__xludf.DUMMYFUNCTION("""COMPUTED_VALUE"""),"CRLN")</f>
        <v>CRLN</v>
      </c>
    </row>
    <row r="1140">
      <c r="A1140" s="8" t="str">
        <f>IFERROR(__xludf.DUMMYFUNCTION("""COMPUTED_VALUE"""),"AJ7078")</f>
        <v>AJ7078</v>
      </c>
      <c r="B1140" s="8" t="str">
        <f>IFERROR(__xludf.DUMMYFUNCTION("""COMPUTED_VALUE"""),"RUN-FLMP_2022-04-28_RFR-120")</f>
        <v>RUN-FLMP_2022-04-28_RFR-120</v>
      </c>
      <c r="C1140" s="10">
        <f>VLOOKUP(B1140,'Run Reconcile'!A$2:B1579,2,FALSE)</f>
        <v>44679</v>
      </c>
      <c r="D1140" s="14">
        <f>IFERROR(__xludf.DUMMYFUNCTION("""COMPUTED_VALUE"""),44679.0)</f>
        <v>44679</v>
      </c>
      <c r="E1140" s="15">
        <f>IFERROR(__xludf.DUMMYFUNCTION("""COMPUTED_VALUE"""),0.34552083333255723)</f>
        <v>0.3455208333</v>
      </c>
      <c r="F1140" s="8" t="str">
        <f>IFERROR(__xludf.DUMMYFUNCTION("""COMPUTED_VALUE"""),"Negative")</f>
        <v>Negative</v>
      </c>
      <c r="G1140" s="16">
        <f>IFERROR(__xludf.DUMMYFUNCTION("""COMPUTED_VALUE"""),1.0)</f>
        <v>1</v>
      </c>
      <c r="H1140" s="8" t="str">
        <f>IFERROR(__xludf.DUMMYFUNCTION("""COMPUTED_VALUE"""),"CRLN")</f>
        <v>CRLN</v>
      </c>
    </row>
    <row r="1141">
      <c r="A1141" s="8" t="str">
        <f>IFERROR(__xludf.DUMMYFUNCTION("""COMPUTED_VALUE"""),"AJ6399")</f>
        <v>AJ6399</v>
      </c>
      <c r="B1141" s="8" t="str">
        <f>IFERROR(__xludf.DUMMYFUNCTION("""COMPUTED_VALUE"""),"RUN-FLMP_2022-04-28_RFR-120")</f>
        <v>RUN-FLMP_2022-04-28_RFR-120</v>
      </c>
      <c r="C1141" s="10">
        <f>VLOOKUP(B1141,'Run Reconcile'!A$2:B1579,2,FALSE)</f>
        <v>44679</v>
      </c>
      <c r="D1141" s="14">
        <f>IFERROR(__xludf.DUMMYFUNCTION("""COMPUTED_VALUE"""),44679.0)</f>
        <v>44679</v>
      </c>
      <c r="E1141" s="15">
        <f>IFERROR(__xludf.DUMMYFUNCTION("""COMPUTED_VALUE"""),0.351597222223063)</f>
        <v>0.3515972222</v>
      </c>
      <c r="F1141" s="8" t="str">
        <f>IFERROR(__xludf.DUMMYFUNCTION("""COMPUTED_VALUE"""),"Negative")</f>
        <v>Negative</v>
      </c>
      <c r="G1141" s="16">
        <f>IFERROR(__xludf.DUMMYFUNCTION("""COMPUTED_VALUE"""),2.0)</f>
        <v>2</v>
      </c>
      <c r="H1141" s="8" t="str">
        <f>IFERROR(__xludf.DUMMYFUNCTION("""COMPUTED_VALUE"""),"CRLN")</f>
        <v>CRLN</v>
      </c>
    </row>
    <row r="1142">
      <c r="A1142" s="8" t="str">
        <f>IFERROR(__xludf.DUMMYFUNCTION("""COMPUTED_VALUE"""),"FLB7147")</f>
        <v>FLB7147</v>
      </c>
      <c r="B1142" s="8" t="str">
        <f>IFERROR(__xludf.DUMMYFUNCTION("""COMPUTED_VALUE"""),"RUN-FLMP_2022-04-28_RFR-120")</f>
        <v>RUN-FLMP_2022-04-28_RFR-120</v>
      </c>
      <c r="C1142" s="10">
        <f>VLOOKUP(B1142,'Run Reconcile'!A$2:B1579,2,FALSE)</f>
        <v>44679</v>
      </c>
      <c r="D1142" s="14">
        <f>IFERROR(__xludf.DUMMYFUNCTION("""COMPUTED_VALUE"""),44679.0)</f>
        <v>44679</v>
      </c>
      <c r="E1142" s="15">
        <f>IFERROR(__xludf.DUMMYFUNCTION("""COMPUTED_VALUE"""),0.35340277777868323)</f>
        <v>0.3534027778</v>
      </c>
      <c r="F1142" s="8" t="str">
        <f>IFERROR(__xludf.DUMMYFUNCTION("""COMPUTED_VALUE"""),"Negative")</f>
        <v>Negative</v>
      </c>
      <c r="G1142" s="16">
        <f>IFERROR(__xludf.DUMMYFUNCTION("""COMPUTED_VALUE"""),2.0)</f>
        <v>2</v>
      </c>
      <c r="H1142" s="8" t="str">
        <f>IFERROR(__xludf.DUMMYFUNCTION("""COMPUTED_VALUE"""),"CRLN")</f>
        <v>CRLN</v>
      </c>
    </row>
    <row r="1143">
      <c r="A1143" s="8" t="str">
        <f>IFERROR(__xludf.DUMMYFUNCTION("""COMPUTED_VALUE"""),"AH8107")</f>
        <v>AH8107</v>
      </c>
      <c r="B1143" s="8" t="str">
        <f>IFERROR(__xludf.DUMMYFUNCTION("""COMPUTED_VALUE"""),"RUN-FLMP_2022-04-28_RFR-120")</f>
        <v>RUN-FLMP_2022-04-28_RFR-120</v>
      </c>
      <c r="C1143" s="10">
        <f>VLOOKUP(B1143,'Run Reconcile'!A$2:B1579,2,FALSE)</f>
        <v>44679</v>
      </c>
      <c r="D1143" s="14">
        <f>IFERROR(__xludf.DUMMYFUNCTION("""COMPUTED_VALUE"""),44679.0)</f>
        <v>44679</v>
      </c>
      <c r="E1143" s="15">
        <f>IFERROR(__xludf.DUMMYFUNCTION("""COMPUTED_VALUE"""),0.35423611111036735)</f>
        <v>0.3542361111</v>
      </c>
      <c r="F1143" s="8" t="str">
        <f>IFERROR(__xludf.DUMMYFUNCTION("""COMPUTED_VALUE"""),"Negative")</f>
        <v>Negative</v>
      </c>
      <c r="G1143" s="16">
        <f>IFERROR(__xludf.DUMMYFUNCTION("""COMPUTED_VALUE"""),3.0)</f>
        <v>3</v>
      </c>
      <c r="H1143" s="8" t="str">
        <f>IFERROR(__xludf.DUMMYFUNCTION("""COMPUTED_VALUE"""),"CRLN")</f>
        <v>CRLN</v>
      </c>
    </row>
    <row r="1144">
      <c r="A1144" s="8" t="str">
        <f>IFERROR(__xludf.DUMMYFUNCTION("""COMPUTED_VALUE"""),"FLE204")</f>
        <v>FLE204</v>
      </c>
      <c r="B1144" s="8" t="str">
        <f>IFERROR(__xludf.DUMMYFUNCTION("""COMPUTED_VALUE"""),"RUN-FLMP_2022-04-28_RFR-120")</f>
        <v>RUN-FLMP_2022-04-28_RFR-120</v>
      </c>
      <c r="C1144" s="10">
        <f>VLOOKUP(B1144,'Run Reconcile'!A$2:B1579,2,FALSE)</f>
        <v>44679</v>
      </c>
      <c r="D1144" s="14">
        <f>IFERROR(__xludf.DUMMYFUNCTION("""COMPUTED_VALUE"""),44679.0)</f>
        <v>44679</v>
      </c>
      <c r="E1144" s="15">
        <f>IFERROR(__xludf.DUMMYFUNCTION("""COMPUTED_VALUE"""),0.3547916666684614)</f>
        <v>0.3547916667</v>
      </c>
      <c r="F1144" s="8" t="str">
        <f>IFERROR(__xludf.DUMMYFUNCTION("""COMPUTED_VALUE"""),"Negative")</f>
        <v>Negative</v>
      </c>
      <c r="G1144" s="16">
        <f>IFERROR(__xludf.DUMMYFUNCTION("""COMPUTED_VALUE"""),4.0)</f>
        <v>4</v>
      </c>
      <c r="H1144" s="8" t="str">
        <f>IFERROR(__xludf.DUMMYFUNCTION("""COMPUTED_VALUE"""),"CRLN")</f>
        <v>CRLN</v>
      </c>
    </row>
    <row r="1145">
      <c r="A1145" s="8" t="str">
        <f>IFERROR(__xludf.DUMMYFUNCTION("""COMPUTED_VALUE"""),"FLB5847")</f>
        <v>FLB5847</v>
      </c>
      <c r="B1145" s="8" t="str">
        <f>IFERROR(__xludf.DUMMYFUNCTION("""COMPUTED_VALUE"""),"RUN-FLMP_2022-04-28_RFR-120")</f>
        <v>RUN-FLMP_2022-04-28_RFR-120</v>
      </c>
      <c r="C1145" s="10">
        <f>VLOOKUP(B1145,'Run Reconcile'!A$2:B1579,2,FALSE)</f>
        <v>44679</v>
      </c>
      <c r="D1145" s="14">
        <f>IFERROR(__xludf.DUMMYFUNCTION("""COMPUTED_VALUE"""),44679.0)</f>
        <v>44679</v>
      </c>
      <c r="E1145" s="15">
        <f>IFERROR(__xludf.DUMMYFUNCTION("""COMPUTED_VALUE"""),0.3572685185172304)</f>
        <v>0.3572685185</v>
      </c>
      <c r="F1145" s="8" t="str">
        <f>IFERROR(__xludf.DUMMYFUNCTION("""COMPUTED_VALUE"""),"Negative")</f>
        <v>Negative</v>
      </c>
      <c r="G1145" s="16">
        <f>IFERROR(__xludf.DUMMYFUNCTION("""COMPUTED_VALUE"""),2.0)</f>
        <v>2</v>
      </c>
      <c r="H1145" s="8" t="str">
        <f>IFERROR(__xludf.DUMMYFUNCTION("""COMPUTED_VALUE"""),"CRLN")</f>
        <v>CRLN</v>
      </c>
    </row>
    <row r="1146">
      <c r="A1146" s="8" t="str">
        <f>IFERROR(__xludf.DUMMYFUNCTION("""COMPUTED_VALUE"""),"AH151")</f>
        <v>AH151</v>
      </c>
      <c r="B1146" s="8" t="str">
        <f>IFERROR(__xludf.DUMMYFUNCTION("""COMPUTED_VALUE"""),"RUN-FLMP_2022-04-28_RFR-120")</f>
        <v>RUN-FLMP_2022-04-28_RFR-120</v>
      </c>
      <c r="C1146" s="10">
        <f>VLOOKUP(B1146,'Run Reconcile'!A$2:B1579,2,FALSE)</f>
        <v>44679</v>
      </c>
      <c r="D1146" s="14">
        <f>IFERROR(__xludf.DUMMYFUNCTION("""COMPUTED_VALUE"""),44679.0)</f>
        <v>44679</v>
      </c>
      <c r="E1146" s="15">
        <f>IFERROR(__xludf.DUMMYFUNCTION("""COMPUTED_VALUE"""),0.36157407407517894)</f>
        <v>0.3615740741</v>
      </c>
      <c r="F1146" s="8" t="str">
        <f>IFERROR(__xludf.DUMMYFUNCTION("""COMPUTED_VALUE"""),"Negative")</f>
        <v>Negative</v>
      </c>
      <c r="G1146" s="16">
        <f>IFERROR(__xludf.DUMMYFUNCTION("""COMPUTED_VALUE"""),1.0)</f>
        <v>1</v>
      </c>
      <c r="H1146" s="8" t="str">
        <f>IFERROR(__xludf.DUMMYFUNCTION("""COMPUTED_VALUE"""),"CRLN")</f>
        <v>CRLN</v>
      </c>
    </row>
    <row r="1147">
      <c r="A1147" s="8" t="str">
        <f>IFERROR(__xludf.DUMMYFUNCTION("""COMPUTED_VALUE"""),"FLB4946")</f>
        <v>FLB4946</v>
      </c>
      <c r="B1147" s="8" t="str">
        <f>IFERROR(__xludf.DUMMYFUNCTION("""COMPUTED_VALUE"""),"RUN-FLMP_2022-04-28_RFR-120")</f>
        <v>RUN-FLMP_2022-04-28_RFR-120</v>
      </c>
      <c r="C1147" s="10">
        <f>VLOOKUP(B1147,'Run Reconcile'!A$2:B1579,2,FALSE)</f>
        <v>44679</v>
      </c>
      <c r="D1147" s="14">
        <f>IFERROR(__xludf.DUMMYFUNCTION("""COMPUTED_VALUE"""),44679.0)</f>
        <v>44679</v>
      </c>
      <c r="E1147" s="15">
        <f>IFERROR(__xludf.DUMMYFUNCTION("""COMPUTED_VALUE"""),0.36673611111109494)</f>
        <v>0.3667361111</v>
      </c>
      <c r="F1147" s="8" t="str">
        <f>IFERROR(__xludf.DUMMYFUNCTION("""COMPUTED_VALUE"""),"Negative")</f>
        <v>Negative</v>
      </c>
      <c r="G1147" s="16">
        <f>IFERROR(__xludf.DUMMYFUNCTION("""COMPUTED_VALUE"""),1.0)</f>
        <v>1</v>
      </c>
      <c r="H1147" s="8" t="str">
        <f>IFERROR(__xludf.DUMMYFUNCTION("""COMPUTED_VALUE"""),"FLSP")</f>
        <v>FLSP</v>
      </c>
    </row>
    <row r="1148">
      <c r="A1148" s="8" t="str">
        <f>IFERROR(__xludf.DUMMYFUNCTION("""COMPUTED_VALUE"""),"AJ8007")</f>
        <v>AJ8007</v>
      </c>
      <c r="B1148" s="8" t="str">
        <f>IFERROR(__xludf.DUMMYFUNCTION("""COMPUTED_VALUE"""),"RUN-FLMP_2022-04-28_RFR-120")</f>
        <v>RUN-FLMP_2022-04-28_RFR-120</v>
      </c>
      <c r="C1148" s="10">
        <f>VLOOKUP(B1148,'Run Reconcile'!A$2:B1579,2,FALSE)</f>
        <v>44679</v>
      </c>
      <c r="D1148" s="14">
        <f>IFERROR(__xludf.DUMMYFUNCTION("""COMPUTED_VALUE"""),44679.0)</f>
        <v>44679</v>
      </c>
      <c r="E1148" s="15">
        <f>IFERROR(__xludf.DUMMYFUNCTION("""COMPUTED_VALUE"""),0.3675462962964957)</f>
        <v>0.3675462963</v>
      </c>
      <c r="F1148" s="8" t="str">
        <f>IFERROR(__xludf.DUMMYFUNCTION("""COMPUTED_VALUE"""),"Negative")</f>
        <v>Negative</v>
      </c>
      <c r="G1148" s="16">
        <f>IFERROR(__xludf.DUMMYFUNCTION("""COMPUTED_VALUE"""),4.0)</f>
        <v>4</v>
      </c>
      <c r="H1148" s="8" t="str">
        <f>IFERROR(__xludf.DUMMYFUNCTION("""COMPUTED_VALUE"""),"CRLN")</f>
        <v>CRLN</v>
      </c>
    </row>
    <row r="1149">
      <c r="A1149" s="8" t="str">
        <f>IFERROR(__xludf.DUMMYFUNCTION("""COMPUTED_VALUE"""),"FLB7367")</f>
        <v>FLB7367</v>
      </c>
      <c r="B1149" s="8" t="str">
        <f>IFERROR(__xludf.DUMMYFUNCTION("""COMPUTED_VALUE"""),"RUN-FLMP_2022-04-28_RFR-120")</f>
        <v>RUN-FLMP_2022-04-28_RFR-120</v>
      </c>
      <c r="C1149" s="10">
        <f>VLOOKUP(B1149,'Run Reconcile'!A$2:B1579,2,FALSE)</f>
        <v>44679</v>
      </c>
      <c r="D1149" s="14">
        <f>IFERROR(__xludf.DUMMYFUNCTION("""COMPUTED_VALUE"""),44679.0)</f>
        <v>44679</v>
      </c>
      <c r="E1149" s="15">
        <f>IFERROR(__xludf.DUMMYFUNCTION("""COMPUTED_VALUE"""),0.3677314814813144)</f>
        <v>0.3677314815</v>
      </c>
      <c r="F1149" s="8" t="str">
        <f>IFERROR(__xludf.DUMMYFUNCTION("""COMPUTED_VALUE"""),"Negative")</f>
        <v>Negative</v>
      </c>
      <c r="G1149" s="16">
        <f>IFERROR(__xludf.DUMMYFUNCTION("""COMPUTED_VALUE"""),3.0)</f>
        <v>3</v>
      </c>
      <c r="H1149" s="8" t="str">
        <f>IFERROR(__xludf.DUMMYFUNCTION("""COMPUTED_VALUE"""),"CRLN")</f>
        <v>CRLN</v>
      </c>
    </row>
    <row r="1150">
      <c r="A1150" s="8" t="str">
        <f>IFERROR(__xludf.DUMMYFUNCTION("""COMPUTED_VALUE"""),"AJ9580")</f>
        <v>AJ9580</v>
      </c>
      <c r="B1150" s="8" t="str">
        <f>IFERROR(__xludf.DUMMYFUNCTION("""COMPUTED_VALUE"""),"RUN-FLMP_2022-04-28_RFR-120")</f>
        <v>RUN-FLMP_2022-04-28_RFR-120</v>
      </c>
      <c r="C1150" s="10">
        <f>VLOOKUP(B1150,'Run Reconcile'!A$2:B1579,2,FALSE)</f>
        <v>44679</v>
      </c>
      <c r="D1150" s="14">
        <f>IFERROR(__xludf.DUMMYFUNCTION("""COMPUTED_VALUE"""),44679.0)</f>
        <v>44679</v>
      </c>
      <c r="E1150" s="15">
        <f>IFERROR(__xludf.DUMMYFUNCTION("""COMPUTED_VALUE"""),0.3679398148160544)</f>
        <v>0.3679398148</v>
      </c>
      <c r="F1150" s="8" t="str">
        <f>IFERROR(__xludf.DUMMYFUNCTION("""COMPUTED_VALUE"""),"Negative")</f>
        <v>Negative</v>
      </c>
      <c r="G1150" s="16">
        <f>IFERROR(__xludf.DUMMYFUNCTION("""COMPUTED_VALUE"""),2.0)</f>
        <v>2</v>
      </c>
      <c r="H1150" s="8" t="str">
        <f>IFERROR(__xludf.DUMMYFUNCTION("""COMPUTED_VALUE"""),"CRLN")</f>
        <v>CRLN</v>
      </c>
    </row>
    <row r="1151">
      <c r="A1151" s="8" t="str">
        <f>IFERROR(__xludf.DUMMYFUNCTION("""COMPUTED_VALUE"""),"FLE298")</f>
        <v>FLE298</v>
      </c>
      <c r="B1151" s="8" t="str">
        <f>IFERROR(__xludf.DUMMYFUNCTION("""COMPUTED_VALUE"""),"RUN-FLMP_2022-04-28_RFR-120")</f>
        <v>RUN-FLMP_2022-04-28_RFR-120</v>
      </c>
      <c r="C1151" s="10">
        <f>VLOOKUP(B1151,'Run Reconcile'!A$2:B1579,2,FALSE)</f>
        <v>44679</v>
      </c>
      <c r="D1151" s="14">
        <f>IFERROR(__xludf.DUMMYFUNCTION("""COMPUTED_VALUE"""),44679.0)</f>
        <v>44679</v>
      </c>
      <c r="E1151" s="15">
        <f>IFERROR(__xludf.DUMMYFUNCTION("""COMPUTED_VALUE"""),0.36862268518598285)</f>
        <v>0.3686226852</v>
      </c>
      <c r="F1151" s="8" t="str">
        <f>IFERROR(__xludf.DUMMYFUNCTION("""COMPUTED_VALUE"""),"Negative")</f>
        <v>Negative</v>
      </c>
      <c r="G1151" s="16">
        <f>IFERROR(__xludf.DUMMYFUNCTION("""COMPUTED_VALUE"""),2.0)</f>
        <v>2</v>
      </c>
      <c r="H1151" s="8" t="str">
        <f>IFERROR(__xludf.DUMMYFUNCTION("""COMPUTED_VALUE"""),"CRLN")</f>
        <v>CRLN</v>
      </c>
    </row>
    <row r="1152">
      <c r="A1152" s="8" t="str">
        <f>IFERROR(__xludf.DUMMYFUNCTION("""COMPUTED_VALUE"""),"AG1582")</f>
        <v>AG1582</v>
      </c>
      <c r="B1152" s="8" t="str">
        <f>IFERROR(__xludf.DUMMYFUNCTION("""COMPUTED_VALUE"""),"RUN-FLMP_2022-04-28_RFR-120")</f>
        <v>RUN-FLMP_2022-04-28_RFR-120</v>
      </c>
      <c r="C1152" s="10">
        <f>VLOOKUP(B1152,'Run Reconcile'!A$2:B1579,2,FALSE)</f>
        <v>44679</v>
      </c>
      <c r="D1152" s="14">
        <f>IFERROR(__xludf.DUMMYFUNCTION("""COMPUTED_VALUE"""),44679.0)</f>
        <v>44679</v>
      </c>
      <c r="E1152" s="15">
        <f>IFERROR(__xludf.DUMMYFUNCTION("""COMPUTED_VALUE"""),0.3748148148151813)</f>
        <v>0.3748148148</v>
      </c>
      <c r="F1152" s="8" t="str">
        <f>IFERROR(__xludf.DUMMYFUNCTION("""COMPUTED_VALUE"""),"Negative")</f>
        <v>Negative</v>
      </c>
      <c r="G1152" s="16">
        <f>IFERROR(__xludf.DUMMYFUNCTION("""COMPUTED_VALUE"""),3.0)</f>
        <v>3</v>
      </c>
      <c r="H1152" s="8" t="str">
        <f>IFERROR(__xludf.DUMMYFUNCTION("""COMPUTED_VALUE"""),"CRLN")</f>
        <v>CRLN</v>
      </c>
    </row>
    <row r="1153">
      <c r="A1153" s="8" t="str">
        <f>IFERROR(__xludf.DUMMYFUNCTION("""COMPUTED_VALUE"""),"AJ 7882")</f>
        <v>AJ 7882</v>
      </c>
      <c r="B1153" s="8" t="str">
        <f>IFERROR(__xludf.DUMMYFUNCTION("""COMPUTED_VALUE"""),"RUN-FLMP_2022-04-28_RFR-120")</f>
        <v>RUN-FLMP_2022-04-28_RFR-120</v>
      </c>
      <c r="C1153" s="10">
        <f>VLOOKUP(B1153,'Run Reconcile'!A$2:B1579,2,FALSE)</f>
        <v>44679</v>
      </c>
      <c r="D1153" s="14">
        <f>IFERROR(__xludf.DUMMYFUNCTION("""COMPUTED_VALUE"""),44679.0)</f>
        <v>44679</v>
      </c>
      <c r="E1153" s="15">
        <f>IFERROR(__xludf.DUMMYFUNCTION("""COMPUTED_VALUE"""),0.3754050925927004)</f>
        <v>0.3754050926</v>
      </c>
      <c r="F1153" s="8" t="str">
        <f>IFERROR(__xludf.DUMMYFUNCTION("""COMPUTED_VALUE"""),"Negative")</f>
        <v>Negative</v>
      </c>
      <c r="G1153" s="16">
        <f>IFERROR(__xludf.DUMMYFUNCTION("""COMPUTED_VALUE"""),3.0)</f>
        <v>3</v>
      </c>
      <c r="H1153" s="8" t="str">
        <f>IFERROR(__xludf.DUMMYFUNCTION("""COMPUTED_VALUE"""),"CRLN")</f>
        <v>CRLN</v>
      </c>
    </row>
    <row r="1154">
      <c r="A1154" s="8" t="str">
        <f>IFERROR(__xludf.DUMMYFUNCTION("""COMPUTED_VALUE"""),"FLB4799")</f>
        <v>FLB4799</v>
      </c>
      <c r="B1154" s="8" t="str">
        <f>IFERROR(__xludf.DUMMYFUNCTION("""COMPUTED_VALUE"""),"RUN-FLMP_2022-04-28_RFR-120")</f>
        <v>RUN-FLMP_2022-04-28_RFR-120</v>
      </c>
      <c r="C1154" s="10">
        <f>VLOOKUP(B1154,'Run Reconcile'!A$2:B1579,2,FALSE)</f>
        <v>44679</v>
      </c>
      <c r="D1154" s="14">
        <f>IFERROR(__xludf.DUMMYFUNCTION("""COMPUTED_VALUE"""),44679.0)</f>
        <v>44679</v>
      </c>
      <c r="E1154" s="15">
        <f>IFERROR(__xludf.DUMMYFUNCTION("""COMPUTED_VALUE"""),0.37788194444510737)</f>
        <v>0.3778819444</v>
      </c>
      <c r="F1154" s="8" t="str">
        <f>IFERROR(__xludf.DUMMYFUNCTION("""COMPUTED_VALUE"""),"Negative")</f>
        <v>Negative</v>
      </c>
      <c r="G1154" s="16">
        <f>IFERROR(__xludf.DUMMYFUNCTION("""COMPUTED_VALUE"""),1.0)</f>
        <v>1</v>
      </c>
      <c r="H1154" s="8" t="str">
        <f>IFERROR(__xludf.DUMMYFUNCTION("""COMPUTED_VALUE"""),"FLSP")</f>
        <v>FLSP</v>
      </c>
    </row>
    <row r="1155">
      <c r="A1155" s="8" t="str">
        <f>IFERROR(__xludf.DUMMYFUNCTION("""COMPUTED_VALUE"""),"FLE898")</f>
        <v>FLE898</v>
      </c>
      <c r="B1155" s="8" t="str">
        <f>IFERROR(__xludf.DUMMYFUNCTION("""COMPUTED_VALUE"""),"RUN-FLMP_2022-04-28_RFR-120")</f>
        <v>RUN-FLMP_2022-04-28_RFR-120</v>
      </c>
      <c r="C1155" s="10">
        <f>VLOOKUP(B1155,'Run Reconcile'!A$2:B1579,2,FALSE)</f>
        <v>44679</v>
      </c>
      <c r="D1155" s="14">
        <f>IFERROR(__xludf.DUMMYFUNCTION("""COMPUTED_VALUE"""),44679.0)</f>
        <v>44679</v>
      </c>
      <c r="E1155" s="15">
        <f>IFERROR(__xludf.DUMMYFUNCTION("""COMPUTED_VALUE"""),0.3812499999985448)</f>
        <v>0.38125</v>
      </c>
      <c r="F1155" s="8" t="str">
        <f>IFERROR(__xludf.DUMMYFUNCTION("""COMPUTED_VALUE"""),"Negative")</f>
        <v>Negative</v>
      </c>
      <c r="G1155" s="16">
        <f>IFERROR(__xludf.DUMMYFUNCTION("""COMPUTED_VALUE"""),3.0)</f>
        <v>3</v>
      </c>
      <c r="H1155" s="8" t="str">
        <f>IFERROR(__xludf.DUMMYFUNCTION("""COMPUTED_VALUE"""),"CRLN")</f>
        <v>CRLN</v>
      </c>
    </row>
    <row r="1156">
      <c r="A1156" s="8" t="str">
        <f>IFERROR(__xludf.DUMMYFUNCTION("""COMPUTED_VALUE"""),"FLB4935")</f>
        <v>FLB4935</v>
      </c>
      <c r="B1156" s="8" t="str">
        <f>IFERROR(__xludf.DUMMYFUNCTION("""COMPUTED_VALUE"""),"RUN-FLMP_2022-04-28_RFR-120")</f>
        <v>RUN-FLMP_2022-04-28_RFR-120</v>
      </c>
      <c r="C1156" s="10">
        <f>VLOOKUP(B1156,'Run Reconcile'!A$2:B1579,2,FALSE)</f>
        <v>44679</v>
      </c>
      <c r="D1156" s="14">
        <f>IFERROR(__xludf.DUMMYFUNCTION("""COMPUTED_VALUE"""),44679.0)</f>
        <v>44679</v>
      </c>
      <c r="E1156" s="15">
        <f>IFERROR(__xludf.DUMMYFUNCTION("""COMPUTED_VALUE"""),0.3867476851846732)</f>
        <v>0.3867476852</v>
      </c>
      <c r="F1156" s="8" t="str">
        <f>IFERROR(__xludf.DUMMYFUNCTION("""COMPUTED_VALUE"""),"Negative")</f>
        <v>Negative</v>
      </c>
      <c r="G1156" s="16">
        <f>IFERROR(__xludf.DUMMYFUNCTION("""COMPUTED_VALUE"""),1.0)</f>
        <v>1</v>
      </c>
      <c r="H1156" s="8" t="str">
        <f>IFERROR(__xludf.DUMMYFUNCTION("""COMPUTED_VALUE"""),"FLSP")</f>
        <v>FLSP</v>
      </c>
    </row>
    <row r="1157">
      <c r="A1157" s="8" t="str">
        <f>IFERROR(__xludf.DUMMYFUNCTION("""COMPUTED_VALUE"""),"AJ8908")</f>
        <v>AJ8908</v>
      </c>
      <c r="B1157" s="8" t="str">
        <f>IFERROR(__xludf.DUMMYFUNCTION("""COMPUTED_VALUE"""),"RUN-FLMP_2022-05-02_RFR-122")</f>
        <v>RUN-FLMP_2022-05-02_RFR-122</v>
      </c>
      <c r="C1157" s="10">
        <f>VLOOKUP(B1157,'Run Reconcile'!A$2:B1579,2,FALSE)</f>
        <v>44683</v>
      </c>
      <c r="D1157" s="14">
        <f>IFERROR(__xludf.DUMMYFUNCTION("""COMPUTED_VALUE"""),44682.0)</f>
        <v>44682</v>
      </c>
      <c r="E1157" s="15">
        <f>IFERROR(__xludf.DUMMYFUNCTION("""COMPUTED_VALUE"""),0.46923611111196806)</f>
        <v>0.4692361111</v>
      </c>
      <c r="F1157" s="8" t="str">
        <f>IFERROR(__xludf.DUMMYFUNCTION("""COMPUTED_VALUE"""),"Negative")</f>
        <v>Negative</v>
      </c>
      <c r="G1157" s="16">
        <f>IFERROR(__xludf.DUMMYFUNCTION("""COMPUTED_VALUE"""),3.0)</f>
        <v>3</v>
      </c>
      <c r="H1157" s="8" t="str">
        <f>IFERROR(__xludf.DUMMYFUNCTION("""COMPUTED_VALUE"""),"CRLN")</f>
        <v>CRLN</v>
      </c>
    </row>
    <row r="1158">
      <c r="A1158" s="8" t="str">
        <f>IFERROR(__xludf.DUMMYFUNCTION("""COMPUTED_VALUE"""),"FLB7160")</f>
        <v>FLB7160</v>
      </c>
      <c r="B1158" s="8" t="str">
        <f>IFERROR(__xludf.DUMMYFUNCTION("""COMPUTED_VALUE"""),"RUN-FLMP_2022-05-02_RFR-122")</f>
        <v>RUN-FLMP_2022-05-02_RFR-122</v>
      </c>
      <c r="C1158" s="10">
        <f>VLOOKUP(B1158,'Run Reconcile'!A$2:B1579,2,FALSE)</f>
        <v>44683</v>
      </c>
      <c r="D1158" s="14">
        <f>IFERROR(__xludf.DUMMYFUNCTION("""COMPUTED_VALUE"""),44682.0)</f>
        <v>44682</v>
      </c>
      <c r="E1158" s="15">
        <f>IFERROR(__xludf.DUMMYFUNCTION("""COMPUTED_VALUE"""),0.8262847222213168)</f>
        <v>0.8262847222</v>
      </c>
      <c r="F1158" s="8" t="str">
        <f>IFERROR(__xludf.DUMMYFUNCTION("""COMPUTED_VALUE"""),"Negative")</f>
        <v>Negative</v>
      </c>
      <c r="G1158" s="16">
        <f>IFERROR(__xludf.DUMMYFUNCTION("""COMPUTED_VALUE"""),3.0)</f>
        <v>3</v>
      </c>
      <c r="H1158" s="8" t="str">
        <f>IFERROR(__xludf.DUMMYFUNCTION("""COMPUTED_VALUE"""),"CRLN")</f>
        <v>CRLN</v>
      </c>
    </row>
    <row r="1159">
      <c r="A1159" s="8" t="str">
        <f>IFERROR(__xludf.DUMMYFUNCTION("""COMPUTED_VALUE"""),"FLE938")</f>
        <v>FLE938</v>
      </c>
      <c r="B1159" s="8" t="str">
        <f>IFERROR(__xludf.DUMMYFUNCTION("""COMPUTED_VALUE"""),"RUN-FLMP_2022-05-02_RFR-122")</f>
        <v>RUN-FLMP_2022-05-02_RFR-122</v>
      </c>
      <c r="C1159" s="10">
        <f>VLOOKUP(B1159,'Run Reconcile'!A$2:B1579,2,FALSE)</f>
        <v>44683</v>
      </c>
      <c r="D1159" s="14">
        <f>IFERROR(__xludf.DUMMYFUNCTION("""COMPUTED_VALUE"""),44682.0)</f>
        <v>44682</v>
      </c>
      <c r="E1159" s="15">
        <f>IFERROR(__xludf.DUMMYFUNCTION("""COMPUTED_VALUE"""),0.848877314816491)</f>
        <v>0.8488773148</v>
      </c>
      <c r="F1159" s="8" t="str">
        <f>IFERROR(__xludf.DUMMYFUNCTION("""COMPUTED_VALUE"""),"Negative")</f>
        <v>Negative</v>
      </c>
      <c r="G1159" s="16">
        <f>IFERROR(__xludf.DUMMYFUNCTION("""COMPUTED_VALUE"""),3.0)</f>
        <v>3</v>
      </c>
      <c r="H1159" s="8" t="str">
        <f>IFERROR(__xludf.DUMMYFUNCTION("""COMPUTED_VALUE"""),"CRLN")</f>
        <v>CRLN</v>
      </c>
    </row>
    <row r="1160">
      <c r="A1160" s="8" t="str">
        <f>IFERROR(__xludf.DUMMYFUNCTION("""COMPUTED_VALUE"""),"AH7557")</f>
        <v>AH7557</v>
      </c>
      <c r="B1160" s="8" t="str">
        <f>IFERROR(__xludf.DUMMYFUNCTION("""COMPUTED_VALUE"""),"RUN-FLMP_2022-05-02_RFR-122")</f>
        <v>RUN-FLMP_2022-05-02_RFR-122</v>
      </c>
      <c r="C1160" s="10">
        <f>VLOOKUP(B1160,'Run Reconcile'!A$2:B1579,2,FALSE)</f>
        <v>44683</v>
      </c>
      <c r="D1160" s="14">
        <f>IFERROR(__xludf.DUMMYFUNCTION("""COMPUTED_VALUE"""),44683.0)</f>
        <v>44683</v>
      </c>
      <c r="E1160" s="15">
        <f>IFERROR(__xludf.DUMMYFUNCTION("""COMPUTED_VALUE"""),0.21883101851926767)</f>
        <v>0.2188310185</v>
      </c>
      <c r="F1160" s="8" t="str">
        <f>IFERROR(__xludf.DUMMYFUNCTION("""COMPUTED_VALUE"""),"Negative")</f>
        <v>Negative</v>
      </c>
      <c r="G1160" s="16">
        <f>IFERROR(__xludf.DUMMYFUNCTION("""COMPUTED_VALUE"""),1.0)</f>
        <v>1</v>
      </c>
      <c r="H1160" s="8" t="str">
        <f>IFERROR(__xludf.DUMMYFUNCTION("""COMPUTED_VALUE"""),"CRLN")</f>
        <v>CRLN</v>
      </c>
    </row>
    <row r="1161">
      <c r="A1161" s="8" t="str">
        <f>IFERROR(__xludf.DUMMYFUNCTION("""COMPUTED_VALUE"""),"AG721")</f>
        <v>AG721</v>
      </c>
      <c r="B1161" s="8" t="str">
        <f>IFERROR(__xludf.DUMMYFUNCTION("""COMPUTED_VALUE"""),"RUN-FLMP_2022-05-02_RFR-122")</f>
        <v>RUN-FLMP_2022-05-02_RFR-122</v>
      </c>
      <c r="C1161" s="10">
        <f>VLOOKUP(B1161,'Run Reconcile'!A$2:B1579,2,FALSE)</f>
        <v>44683</v>
      </c>
      <c r="D1161" s="14">
        <f>IFERROR(__xludf.DUMMYFUNCTION("""COMPUTED_VALUE"""),44683.0)</f>
        <v>44683</v>
      </c>
      <c r="E1161" s="15">
        <f>IFERROR(__xludf.DUMMYFUNCTION("""COMPUTED_VALUE"""),0.28214120370466844)</f>
        <v>0.2821412037</v>
      </c>
      <c r="F1161" s="8" t="str">
        <f>IFERROR(__xludf.DUMMYFUNCTION("""COMPUTED_VALUE"""),"Positive")</f>
        <v>Positive</v>
      </c>
      <c r="G1161" s="16">
        <f>IFERROR(__xludf.DUMMYFUNCTION("""COMPUTED_VALUE"""),4.0)</f>
        <v>4</v>
      </c>
      <c r="H1161" s="8" t="str">
        <f>IFERROR(__xludf.DUMMYFUNCTION("""COMPUTED_VALUE"""),"CRLN")</f>
        <v>CRLN</v>
      </c>
    </row>
    <row r="1162">
      <c r="A1162" s="8" t="str">
        <f>IFERROR(__xludf.DUMMYFUNCTION("""COMPUTED_VALUE"""),"AJ9869")</f>
        <v>AJ9869</v>
      </c>
      <c r="B1162" s="8" t="str">
        <f>IFERROR(__xludf.DUMMYFUNCTION("""COMPUTED_VALUE"""),"RUN-FLMP_2022-05-02_RFR-122")</f>
        <v>RUN-FLMP_2022-05-02_RFR-122</v>
      </c>
      <c r="C1162" s="10">
        <f>VLOOKUP(B1162,'Run Reconcile'!A$2:B1579,2,FALSE)</f>
        <v>44683</v>
      </c>
      <c r="D1162" s="14">
        <f>IFERROR(__xludf.DUMMYFUNCTION("""COMPUTED_VALUE"""),44683.0)</f>
        <v>44683</v>
      </c>
      <c r="E1162" s="15">
        <f>IFERROR(__xludf.DUMMYFUNCTION("""COMPUTED_VALUE"""),0.29844907407459687)</f>
        <v>0.2984490741</v>
      </c>
      <c r="F1162" s="8" t="str">
        <f>IFERROR(__xludf.DUMMYFUNCTION("""COMPUTED_VALUE"""),"Negative")</f>
        <v>Negative</v>
      </c>
      <c r="G1162" s="16">
        <f>IFERROR(__xludf.DUMMYFUNCTION("""COMPUTED_VALUE"""),2.0)</f>
        <v>2</v>
      </c>
      <c r="H1162" s="8" t="str">
        <f>IFERROR(__xludf.DUMMYFUNCTION("""COMPUTED_VALUE"""),"CRLN")</f>
        <v>CRLN</v>
      </c>
    </row>
    <row r="1163">
      <c r="A1163" s="8" t="str">
        <f>IFERROR(__xludf.DUMMYFUNCTION("""COMPUTED_VALUE"""),"AJ9401")</f>
        <v>AJ9401</v>
      </c>
      <c r="B1163" s="8" t="str">
        <f>IFERROR(__xludf.DUMMYFUNCTION("""COMPUTED_VALUE"""),"RUN-FLMP_2022-05-02_RFR-122")</f>
        <v>RUN-FLMP_2022-05-02_RFR-122</v>
      </c>
      <c r="C1163" s="10">
        <f>VLOOKUP(B1163,'Run Reconcile'!A$2:B1579,2,FALSE)</f>
        <v>44683</v>
      </c>
      <c r="D1163" s="14">
        <f>IFERROR(__xludf.DUMMYFUNCTION("""COMPUTED_VALUE"""),44683.0)</f>
        <v>44683</v>
      </c>
      <c r="E1163" s="15">
        <f>IFERROR(__xludf.DUMMYFUNCTION("""COMPUTED_VALUE"""),0.30855324074218515)</f>
        <v>0.3085532407</v>
      </c>
      <c r="F1163" s="8" t="str">
        <f>IFERROR(__xludf.DUMMYFUNCTION("""COMPUTED_VALUE"""),"Negative")</f>
        <v>Negative</v>
      </c>
      <c r="G1163" s="16">
        <f>IFERROR(__xludf.DUMMYFUNCTION("""COMPUTED_VALUE"""),3.0)</f>
        <v>3</v>
      </c>
      <c r="H1163" s="8" t="str">
        <f>IFERROR(__xludf.DUMMYFUNCTION("""COMPUTED_VALUE"""),"CRLN")</f>
        <v>CRLN</v>
      </c>
    </row>
    <row r="1164">
      <c r="A1164" s="8" t="str">
        <f>IFERROR(__xludf.DUMMYFUNCTION("""COMPUTED_VALUE"""),"FLE235")</f>
        <v>FLE235</v>
      </c>
      <c r="B1164" s="8" t="str">
        <f>IFERROR(__xludf.DUMMYFUNCTION("""COMPUTED_VALUE"""),"RUN-FLMP_2022-05-02_RFR-122")</f>
        <v>RUN-FLMP_2022-05-02_RFR-122</v>
      </c>
      <c r="C1164" s="10">
        <f>VLOOKUP(B1164,'Run Reconcile'!A$2:B1579,2,FALSE)</f>
        <v>44683</v>
      </c>
      <c r="D1164" s="14">
        <f>IFERROR(__xludf.DUMMYFUNCTION("""COMPUTED_VALUE"""),44683.0)</f>
        <v>44683</v>
      </c>
      <c r="E1164" s="15">
        <f>IFERROR(__xludf.DUMMYFUNCTION("""COMPUTED_VALUE"""),0.3143171296287619)</f>
        <v>0.3143171296</v>
      </c>
      <c r="F1164" s="8" t="str">
        <f>IFERROR(__xludf.DUMMYFUNCTION("""COMPUTED_VALUE"""),"Negative")</f>
        <v>Negative</v>
      </c>
      <c r="G1164" s="16">
        <f>IFERROR(__xludf.DUMMYFUNCTION("""COMPUTED_VALUE"""),1.0)</f>
        <v>1</v>
      </c>
      <c r="H1164" s="8" t="str">
        <f>IFERROR(__xludf.DUMMYFUNCTION("""COMPUTED_VALUE"""),"CRLN")</f>
        <v>CRLN</v>
      </c>
    </row>
    <row r="1165">
      <c r="A1165" s="8" t="str">
        <f>IFERROR(__xludf.DUMMYFUNCTION("""COMPUTED_VALUE"""),"AH133")</f>
        <v>AH133</v>
      </c>
      <c r="B1165" s="8" t="str">
        <f>IFERROR(__xludf.DUMMYFUNCTION("""COMPUTED_VALUE"""),"RUN-FLMP_2022-05-02_RFR-122")</f>
        <v>RUN-FLMP_2022-05-02_RFR-122</v>
      </c>
      <c r="C1165" s="10">
        <f>VLOOKUP(B1165,'Run Reconcile'!A$2:B1579,2,FALSE)</f>
        <v>44683</v>
      </c>
      <c r="D1165" s="14">
        <f>IFERROR(__xludf.DUMMYFUNCTION("""COMPUTED_VALUE"""),44683.0)</f>
        <v>44683</v>
      </c>
      <c r="E1165" s="15">
        <f>IFERROR(__xludf.DUMMYFUNCTION("""COMPUTED_VALUE"""),0.3168171296310902)</f>
        <v>0.3168171296</v>
      </c>
      <c r="F1165" s="8" t="str">
        <f>IFERROR(__xludf.DUMMYFUNCTION("""COMPUTED_VALUE"""),"Negative")</f>
        <v>Negative</v>
      </c>
      <c r="G1165" s="16">
        <f>IFERROR(__xludf.DUMMYFUNCTION("""COMPUTED_VALUE"""),4.0)</f>
        <v>4</v>
      </c>
      <c r="H1165" s="8" t="str">
        <f>IFERROR(__xludf.DUMMYFUNCTION("""COMPUTED_VALUE"""),"CRLN")</f>
        <v>CRLN</v>
      </c>
    </row>
    <row r="1166">
      <c r="A1166" s="8" t="str">
        <f>IFERROR(__xludf.DUMMYFUNCTION("""COMPUTED_VALUE"""),"AJ7583")</f>
        <v>AJ7583</v>
      </c>
      <c r="B1166" s="8" t="str">
        <f>IFERROR(__xludf.DUMMYFUNCTION("""COMPUTED_VALUE"""),"RUN-FLMP_2022-05-02_RFR-122")</f>
        <v>RUN-FLMP_2022-05-02_RFR-122</v>
      </c>
      <c r="C1166" s="10">
        <f>VLOOKUP(B1166,'Run Reconcile'!A$2:B1579,2,FALSE)</f>
        <v>44683</v>
      </c>
      <c r="D1166" s="14">
        <f>IFERROR(__xludf.DUMMYFUNCTION("""COMPUTED_VALUE"""),44683.0)</f>
        <v>44683</v>
      </c>
      <c r="E1166" s="15">
        <f>IFERROR(__xludf.DUMMYFUNCTION("""COMPUTED_VALUE"""),0.3207060185195587)</f>
        <v>0.3207060185</v>
      </c>
      <c r="F1166" s="8" t="str">
        <f>IFERROR(__xludf.DUMMYFUNCTION("""COMPUTED_VALUE"""),"Negative")</f>
        <v>Negative</v>
      </c>
      <c r="G1166" s="16">
        <f>IFERROR(__xludf.DUMMYFUNCTION("""COMPUTED_VALUE"""),4.0)</f>
        <v>4</v>
      </c>
      <c r="H1166" s="8" t="str">
        <f>IFERROR(__xludf.DUMMYFUNCTION("""COMPUTED_VALUE"""),"CRLN")</f>
        <v>CRLN</v>
      </c>
    </row>
    <row r="1167">
      <c r="A1167" s="8" t="str">
        <f>IFERROR(__xludf.DUMMYFUNCTION("""COMPUTED_VALUE"""),"FLE277")</f>
        <v>FLE277</v>
      </c>
      <c r="B1167" s="8" t="str">
        <f>IFERROR(__xludf.DUMMYFUNCTION("""COMPUTED_VALUE"""),"RUN-FLMP_2022-05-02_RFR-122")</f>
        <v>RUN-FLMP_2022-05-02_RFR-122</v>
      </c>
      <c r="C1167" s="10">
        <f>VLOOKUP(B1167,'Run Reconcile'!A$2:B1579,2,FALSE)</f>
        <v>44683</v>
      </c>
      <c r="D1167" s="14">
        <f>IFERROR(__xludf.DUMMYFUNCTION("""COMPUTED_VALUE"""),44683.0)</f>
        <v>44683</v>
      </c>
      <c r="E1167" s="15">
        <f>IFERROR(__xludf.DUMMYFUNCTION("""COMPUTED_VALUE"""),0.3214467592588335)</f>
        <v>0.3214467593</v>
      </c>
      <c r="F1167" s="8" t="str">
        <f>IFERROR(__xludf.DUMMYFUNCTION("""COMPUTED_VALUE"""),"Negative")</f>
        <v>Negative</v>
      </c>
      <c r="G1167" s="16">
        <f>IFERROR(__xludf.DUMMYFUNCTION("""COMPUTED_VALUE"""),4.0)</f>
        <v>4</v>
      </c>
      <c r="H1167" s="8" t="str">
        <f>IFERROR(__xludf.DUMMYFUNCTION("""COMPUTED_VALUE"""),"CRLN")</f>
        <v>CRLN</v>
      </c>
    </row>
    <row r="1168">
      <c r="A1168" s="8" t="str">
        <f>IFERROR(__xludf.DUMMYFUNCTION("""COMPUTED_VALUE"""),"AH7544")</f>
        <v>AH7544</v>
      </c>
      <c r="B1168" s="8" t="str">
        <f>IFERROR(__xludf.DUMMYFUNCTION("""COMPUTED_VALUE"""),"RUN-FLMP_2022-05-02_RFR-122")</f>
        <v>RUN-FLMP_2022-05-02_RFR-122</v>
      </c>
      <c r="C1168" s="10">
        <f>VLOOKUP(B1168,'Run Reconcile'!A$2:B1579,2,FALSE)</f>
        <v>44683</v>
      </c>
      <c r="D1168" s="14">
        <f>IFERROR(__xludf.DUMMYFUNCTION("""COMPUTED_VALUE"""),44683.0)</f>
        <v>44683</v>
      </c>
      <c r="E1168" s="15">
        <f>IFERROR(__xludf.DUMMYFUNCTION("""COMPUTED_VALUE"""),0.33842592592554865)</f>
        <v>0.3384259259</v>
      </c>
      <c r="F1168" s="8" t="str">
        <f>IFERROR(__xludf.DUMMYFUNCTION("""COMPUTED_VALUE"""),"Negative")</f>
        <v>Negative</v>
      </c>
      <c r="G1168" s="16">
        <f>IFERROR(__xludf.DUMMYFUNCTION("""COMPUTED_VALUE"""),1.0)</f>
        <v>1</v>
      </c>
      <c r="H1168" s="8" t="str">
        <f>IFERROR(__xludf.DUMMYFUNCTION("""COMPUTED_VALUE"""),"CRLN")</f>
        <v>CRLN</v>
      </c>
    </row>
    <row r="1169">
      <c r="A1169" s="8" t="str">
        <f>IFERROR(__xludf.DUMMYFUNCTION("""COMPUTED_VALUE"""),"FLE252")</f>
        <v>FLE252</v>
      </c>
      <c r="B1169" s="8" t="str">
        <f>IFERROR(__xludf.DUMMYFUNCTION("""COMPUTED_VALUE"""),"RUN-FLMP_2022-05-02_RFR-122")</f>
        <v>RUN-FLMP_2022-05-02_RFR-122</v>
      </c>
      <c r="C1169" s="10">
        <f>VLOOKUP(B1169,'Run Reconcile'!A$2:B1579,2,FALSE)</f>
        <v>44683</v>
      </c>
      <c r="D1169" s="14">
        <f>IFERROR(__xludf.DUMMYFUNCTION("""COMPUTED_VALUE"""),44683.0)</f>
        <v>44683</v>
      </c>
      <c r="E1169" s="15">
        <f>IFERROR(__xludf.DUMMYFUNCTION("""COMPUTED_VALUE"""),0.3494560185172304)</f>
        <v>0.3494560185</v>
      </c>
      <c r="F1169" s="8" t="str">
        <f>IFERROR(__xludf.DUMMYFUNCTION("""COMPUTED_VALUE"""),"Negative")</f>
        <v>Negative</v>
      </c>
      <c r="G1169" s="16">
        <f>IFERROR(__xludf.DUMMYFUNCTION("""COMPUTED_VALUE"""),3.0)</f>
        <v>3</v>
      </c>
      <c r="H1169" s="8" t="str">
        <f>IFERROR(__xludf.DUMMYFUNCTION("""COMPUTED_VALUE"""),"CRLN")</f>
        <v>CRLN</v>
      </c>
    </row>
    <row r="1170">
      <c r="A1170" s="8" t="str">
        <f>IFERROR(__xludf.DUMMYFUNCTION("""COMPUTED_VALUE"""),"FLB6541")</f>
        <v>FLB6541</v>
      </c>
      <c r="B1170" s="8" t="str">
        <f>IFERROR(__xludf.DUMMYFUNCTION("""COMPUTED_VALUE"""),"RUN-FLMP_2022-05-02_RFR-122")</f>
        <v>RUN-FLMP_2022-05-02_RFR-122</v>
      </c>
      <c r="C1170" s="10">
        <f>VLOOKUP(B1170,'Run Reconcile'!A$2:B1579,2,FALSE)</f>
        <v>44683</v>
      </c>
      <c r="D1170" s="14">
        <f>IFERROR(__xludf.DUMMYFUNCTION("""COMPUTED_VALUE"""),44683.0)</f>
        <v>44683</v>
      </c>
      <c r="E1170" s="15">
        <f>IFERROR(__xludf.DUMMYFUNCTION("""COMPUTED_VALUE"""),0.3506944444452529)</f>
        <v>0.3506944444</v>
      </c>
      <c r="F1170" s="8" t="str">
        <f>IFERROR(__xludf.DUMMYFUNCTION("""COMPUTED_VALUE"""),"Negative")</f>
        <v>Negative</v>
      </c>
      <c r="G1170" s="16">
        <f>IFERROR(__xludf.DUMMYFUNCTION("""COMPUTED_VALUE"""),4.0)</f>
        <v>4</v>
      </c>
      <c r="H1170" s="8" t="str">
        <f>IFERROR(__xludf.DUMMYFUNCTION("""COMPUTED_VALUE"""),"CRLN")</f>
        <v>CRLN</v>
      </c>
    </row>
    <row r="1171">
      <c r="A1171" s="8" t="str">
        <f>IFERROR(__xludf.DUMMYFUNCTION("""COMPUTED_VALUE"""),"AH7525")</f>
        <v>AH7525</v>
      </c>
      <c r="B1171" s="8" t="str">
        <f>IFERROR(__xludf.DUMMYFUNCTION("""COMPUTED_VALUE"""),"RUN-FLMP_2022-05-02_RFR-122")</f>
        <v>RUN-FLMP_2022-05-02_RFR-122</v>
      </c>
      <c r="C1171" s="10">
        <f>VLOOKUP(B1171,'Run Reconcile'!A$2:B1579,2,FALSE)</f>
        <v>44683</v>
      </c>
      <c r="D1171" s="14">
        <f>IFERROR(__xludf.DUMMYFUNCTION("""COMPUTED_VALUE"""),44683.0)</f>
        <v>44683</v>
      </c>
      <c r="E1171" s="15">
        <f>IFERROR(__xludf.DUMMYFUNCTION("""COMPUTED_VALUE"""),0.35071759259153623)</f>
        <v>0.3507175926</v>
      </c>
      <c r="F1171" s="8" t="str">
        <f>IFERROR(__xludf.DUMMYFUNCTION("""COMPUTED_VALUE"""),"Negative")</f>
        <v>Negative</v>
      </c>
      <c r="G1171" s="16">
        <f>IFERROR(__xludf.DUMMYFUNCTION("""COMPUTED_VALUE"""),1.0)</f>
        <v>1</v>
      </c>
      <c r="H1171" s="8" t="str">
        <f>IFERROR(__xludf.DUMMYFUNCTION("""COMPUTED_VALUE"""),"CRLN")</f>
        <v>CRLN</v>
      </c>
    </row>
    <row r="1172">
      <c r="A1172" s="8" t="str">
        <f>IFERROR(__xludf.DUMMYFUNCTION("""COMPUTED_VALUE"""),"FLB6754")</f>
        <v>FLB6754</v>
      </c>
      <c r="B1172" s="8" t="str">
        <f>IFERROR(__xludf.DUMMYFUNCTION("""COMPUTED_VALUE"""),"RUN-FLMP_2022-05-02_RFR-122")</f>
        <v>RUN-FLMP_2022-05-02_RFR-122</v>
      </c>
      <c r="C1172" s="10">
        <f>VLOOKUP(B1172,'Run Reconcile'!A$2:B1579,2,FALSE)</f>
        <v>44683</v>
      </c>
      <c r="D1172" s="14">
        <f>IFERROR(__xludf.DUMMYFUNCTION("""COMPUTED_VALUE"""),44683.0)</f>
        <v>44683</v>
      </c>
      <c r="E1172" s="15">
        <f>IFERROR(__xludf.DUMMYFUNCTION("""COMPUTED_VALUE"""),0.3516087962962047)</f>
        <v>0.3516087963</v>
      </c>
      <c r="F1172" s="8" t="str">
        <f>IFERROR(__xludf.DUMMYFUNCTION("""COMPUTED_VALUE"""),"Negative")</f>
        <v>Negative</v>
      </c>
      <c r="G1172" s="16">
        <f>IFERROR(__xludf.DUMMYFUNCTION("""COMPUTED_VALUE"""),3.0)</f>
        <v>3</v>
      </c>
      <c r="H1172" s="8" t="str">
        <f>IFERROR(__xludf.DUMMYFUNCTION("""COMPUTED_VALUE"""),"CRLN")</f>
        <v>CRLN</v>
      </c>
    </row>
    <row r="1173">
      <c r="A1173" s="8" t="str">
        <f>IFERROR(__xludf.DUMMYFUNCTION("""COMPUTED_VALUE"""),"FLB6536")</f>
        <v>FLB6536</v>
      </c>
      <c r="B1173" s="8" t="str">
        <f>IFERROR(__xludf.DUMMYFUNCTION("""COMPUTED_VALUE"""),"RUN-FLMP_2022-05-02_RFR-122")</f>
        <v>RUN-FLMP_2022-05-02_RFR-122</v>
      </c>
      <c r="C1173" s="10">
        <f>VLOOKUP(B1173,'Run Reconcile'!A$2:B1579,2,FALSE)</f>
        <v>44683</v>
      </c>
      <c r="D1173" s="14">
        <f>IFERROR(__xludf.DUMMYFUNCTION("""COMPUTED_VALUE"""),44683.0)</f>
        <v>44683</v>
      </c>
      <c r="E1173" s="15">
        <f>IFERROR(__xludf.DUMMYFUNCTION("""COMPUTED_VALUE"""),0.35208333333503106)</f>
        <v>0.3520833333</v>
      </c>
      <c r="F1173" s="8" t="str">
        <f>IFERROR(__xludf.DUMMYFUNCTION("""COMPUTED_VALUE"""),"Negative")</f>
        <v>Negative</v>
      </c>
      <c r="G1173" s="16">
        <f>IFERROR(__xludf.DUMMYFUNCTION("""COMPUTED_VALUE"""),3.0)</f>
        <v>3</v>
      </c>
      <c r="H1173" s="8" t="str">
        <f>IFERROR(__xludf.DUMMYFUNCTION("""COMPUTED_VALUE"""),"CRLN")</f>
        <v>CRLN</v>
      </c>
    </row>
    <row r="1174">
      <c r="A1174" s="8" t="str">
        <f>IFERROR(__xludf.DUMMYFUNCTION("""COMPUTED_VALUE"""),"AH7496")</f>
        <v>AH7496</v>
      </c>
      <c r="B1174" s="8" t="str">
        <f>IFERROR(__xludf.DUMMYFUNCTION("""COMPUTED_VALUE"""),"RUN-FLMP_2022-05-02_RFR-122")</f>
        <v>RUN-FLMP_2022-05-02_RFR-122</v>
      </c>
      <c r="C1174" s="10">
        <f>VLOOKUP(B1174,'Run Reconcile'!A$2:B1579,2,FALSE)</f>
        <v>44683</v>
      </c>
      <c r="D1174" s="14">
        <f>IFERROR(__xludf.DUMMYFUNCTION("""COMPUTED_VALUE"""),44683.0)</f>
        <v>44683</v>
      </c>
      <c r="E1174" s="15">
        <f>IFERROR(__xludf.DUMMYFUNCTION("""COMPUTED_VALUE"""),0.35335648148247856)</f>
        <v>0.3533564815</v>
      </c>
      <c r="F1174" s="8" t="str">
        <f>IFERROR(__xludf.DUMMYFUNCTION("""COMPUTED_VALUE"""),"Negative")</f>
        <v>Negative</v>
      </c>
      <c r="G1174" s="16">
        <f>IFERROR(__xludf.DUMMYFUNCTION("""COMPUTED_VALUE"""),2.0)</f>
        <v>2</v>
      </c>
      <c r="H1174" s="8" t="str">
        <f>IFERROR(__xludf.DUMMYFUNCTION("""COMPUTED_VALUE"""),"CRLN")</f>
        <v>CRLN</v>
      </c>
    </row>
    <row r="1175">
      <c r="A1175" s="8" t="str">
        <f>IFERROR(__xludf.DUMMYFUNCTION("""COMPUTED_VALUE"""),"AH7284")</f>
        <v>AH7284</v>
      </c>
      <c r="B1175" s="8" t="str">
        <f>IFERROR(__xludf.DUMMYFUNCTION("""COMPUTED_VALUE"""),"RUN-FLMP_2022-05-02_RFR-122")</f>
        <v>RUN-FLMP_2022-05-02_RFR-122</v>
      </c>
      <c r="C1175" s="10">
        <f>VLOOKUP(B1175,'Run Reconcile'!A$2:B1579,2,FALSE)</f>
        <v>44683</v>
      </c>
      <c r="D1175" s="14">
        <f>IFERROR(__xludf.DUMMYFUNCTION("""COMPUTED_VALUE"""),44683.0)</f>
        <v>44683</v>
      </c>
      <c r="E1175" s="15">
        <f>IFERROR(__xludf.DUMMYFUNCTION("""COMPUTED_VALUE"""),0.3543287037027767)</f>
        <v>0.3543287037</v>
      </c>
      <c r="F1175" s="8" t="str">
        <f>IFERROR(__xludf.DUMMYFUNCTION("""COMPUTED_VALUE"""),"Negative")</f>
        <v>Negative</v>
      </c>
      <c r="G1175" s="16">
        <f>IFERROR(__xludf.DUMMYFUNCTION("""COMPUTED_VALUE"""),3.0)</f>
        <v>3</v>
      </c>
      <c r="H1175" s="8" t="str">
        <f>IFERROR(__xludf.DUMMYFUNCTION("""COMPUTED_VALUE"""),"CRLN")</f>
        <v>CRLN</v>
      </c>
    </row>
    <row r="1176">
      <c r="A1176" s="8" t="str">
        <f>IFERROR(__xludf.DUMMYFUNCTION("""COMPUTED_VALUE"""),"FLE926")</f>
        <v>FLE926</v>
      </c>
      <c r="B1176" s="8" t="str">
        <f>IFERROR(__xludf.DUMMYFUNCTION("""COMPUTED_VALUE"""),"RUN-FLMP_2022-05-02_RFR-122")</f>
        <v>RUN-FLMP_2022-05-02_RFR-122</v>
      </c>
      <c r="C1176" s="10">
        <f>VLOOKUP(B1176,'Run Reconcile'!A$2:B1579,2,FALSE)</f>
        <v>44683</v>
      </c>
      <c r="D1176" s="14">
        <f>IFERROR(__xludf.DUMMYFUNCTION("""COMPUTED_VALUE"""),44683.0)</f>
        <v>44683</v>
      </c>
      <c r="E1176" s="15">
        <f>IFERROR(__xludf.DUMMYFUNCTION("""COMPUTED_VALUE"""),0.3605787037049595)</f>
        <v>0.3605787037</v>
      </c>
      <c r="F1176" s="8" t="str">
        <f>IFERROR(__xludf.DUMMYFUNCTION("""COMPUTED_VALUE"""),"Negative")</f>
        <v>Negative</v>
      </c>
      <c r="G1176" s="16">
        <f>IFERROR(__xludf.DUMMYFUNCTION("""COMPUTED_VALUE"""),2.0)</f>
        <v>2</v>
      </c>
      <c r="H1176" s="8" t="str">
        <f>IFERROR(__xludf.DUMMYFUNCTION("""COMPUTED_VALUE"""),"CRLN")</f>
        <v>CRLN</v>
      </c>
    </row>
    <row r="1177">
      <c r="A1177" s="8" t="str">
        <f>IFERROR(__xludf.DUMMYFUNCTION("""COMPUTED_VALUE"""),"FLE297")</f>
        <v>FLE297</v>
      </c>
      <c r="B1177" s="8" t="str">
        <f>IFERROR(__xludf.DUMMYFUNCTION("""COMPUTED_VALUE"""),"RUN-FLMP_2022-05-02_RFR-122")</f>
        <v>RUN-FLMP_2022-05-02_RFR-122</v>
      </c>
      <c r="C1177" s="10">
        <f>VLOOKUP(B1177,'Run Reconcile'!A$2:B1579,2,FALSE)</f>
        <v>44683</v>
      </c>
      <c r="D1177" s="14">
        <f>IFERROR(__xludf.DUMMYFUNCTION("""COMPUTED_VALUE"""),44683.0)</f>
        <v>44683</v>
      </c>
      <c r="E1177" s="15">
        <f>IFERROR(__xludf.DUMMYFUNCTION("""COMPUTED_VALUE"""),0.3665277777763549)</f>
        <v>0.3665277778</v>
      </c>
      <c r="F1177" s="8" t="str">
        <f>IFERROR(__xludf.DUMMYFUNCTION("""COMPUTED_VALUE"""),"Negative")</f>
        <v>Negative</v>
      </c>
      <c r="G1177" s="16">
        <f>IFERROR(__xludf.DUMMYFUNCTION("""COMPUTED_VALUE"""),2.0)</f>
        <v>2</v>
      </c>
      <c r="H1177" s="8" t="str">
        <f>IFERROR(__xludf.DUMMYFUNCTION("""COMPUTED_VALUE"""),"CRLN")</f>
        <v>CRLN</v>
      </c>
    </row>
    <row r="1178">
      <c r="A1178" s="8" t="str">
        <f>IFERROR(__xludf.DUMMYFUNCTION("""COMPUTED_VALUE"""),"FLB4969")</f>
        <v>FLB4969</v>
      </c>
      <c r="B1178" s="8" t="str">
        <f>IFERROR(__xludf.DUMMYFUNCTION("""COMPUTED_VALUE"""),"RUN-FLMP_2022-05-02_RFR-122")</f>
        <v>RUN-FLMP_2022-05-02_RFR-122</v>
      </c>
      <c r="C1178" s="10">
        <f>VLOOKUP(B1178,'Run Reconcile'!A$2:B1579,2,FALSE)</f>
        <v>44683</v>
      </c>
      <c r="D1178" s="14">
        <f>IFERROR(__xludf.DUMMYFUNCTION("""COMPUTED_VALUE"""),44683.0)</f>
        <v>44683</v>
      </c>
      <c r="E1178" s="15">
        <f>IFERROR(__xludf.DUMMYFUNCTION("""COMPUTED_VALUE"""),0.3737615740756155)</f>
        <v>0.3737615741</v>
      </c>
      <c r="F1178" s="8" t="str">
        <f>IFERROR(__xludf.DUMMYFUNCTION("""COMPUTED_VALUE"""),"Negative")</f>
        <v>Negative</v>
      </c>
      <c r="G1178" s="16">
        <f>IFERROR(__xludf.DUMMYFUNCTION("""COMPUTED_VALUE"""),1.0)</f>
        <v>1</v>
      </c>
      <c r="H1178" s="8" t="str">
        <f>IFERROR(__xludf.DUMMYFUNCTION("""COMPUTED_VALUE"""),"FLSP")</f>
        <v>FLSP</v>
      </c>
    </row>
    <row r="1179">
      <c r="A1179" s="8" t="str">
        <f>IFERROR(__xludf.DUMMYFUNCTION("""COMPUTED_VALUE"""),"FLB4920")</f>
        <v>FLB4920</v>
      </c>
      <c r="B1179" s="8" t="str">
        <f>IFERROR(__xludf.DUMMYFUNCTION("""COMPUTED_VALUE"""),"RUN-FLMP_2022-05-02_RFR-122")</f>
        <v>RUN-FLMP_2022-05-02_RFR-122</v>
      </c>
      <c r="C1179" s="10">
        <f>VLOOKUP(B1179,'Run Reconcile'!A$2:B1579,2,FALSE)</f>
        <v>44683</v>
      </c>
      <c r="D1179" s="14">
        <f>IFERROR(__xludf.DUMMYFUNCTION("""COMPUTED_VALUE"""),44683.0)</f>
        <v>44683</v>
      </c>
      <c r="E1179" s="15">
        <f>IFERROR(__xludf.DUMMYFUNCTION("""COMPUTED_VALUE"""),0.38777777777795563)</f>
        <v>0.3877777778</v>
      </c>
      <c r="F1179" s="8" t="str">
        <f>IFERROR(__xludf.DUMMYFUNCTION("""COMPUTED_VALUE"""),"Negative")</f>
        <v>Negative</v>
      </c>
      <c r="G1179" s="16">
        <f>IFERROR(__xludf.DUMMYFUNCTION("""COMPUTED_VALUE"""),1.0)</f>
        <v>1</v>
      </c>
      <c r="H1179" s="8" t="str">
        <f>IFERROR(__xludf.DUMMYFUNCTION("""COMPUTED_VALUE"""),"FLSP")</f>
        <v>FLSP</v>
      </c>
    </row>
    <row r="1180">
      <c r="A1180" s="8" t="str">
        <f>IFERROR(__xludf.DUMMYFUNCTION("""COMPUTED_VALUE"""),"FLB4922")</f>
        <v>FLB4922</v>
      </c>
      <c r="B1180" s="8" t="str">
        <f>IFERROR(__xludf.DUMMYFUNCTION("""COMPUTED_VALUE"""),"RUN-FLMP_2022-05-02_RFR-122")</f>
        <v>RUN-FLMP_2022-05-02_RFR-122</v>
      </c>
      <c r="C1180" s="10">
        <f>VLOOKUP(B1180,'Run Reconcile'!A$2:B1579,2,FALSE)</f>
        <v>44683</v>
      </c>
      <c r="D1180" s="14">
        <f>IFERROR(__xludf.DUMMYFUNCTION("""COMPUTED_VALUE"""),44683.0)</f>
        <v>44683</v>
      </c>
      <c r="E1180" s="15">
        <f>IFERROR(__xludf.DUMMYFUNCTION("""COMPUTED_VALUE"""),0.4149421296278888)</f>
        <v>0.4149421296</v>
      </c>
      <c r="F1180" s="8" t="str">
        <f>IFERROR(__xludf.DUMMYFUNCTION("""COMPUTED_VALUE"""),"Negative")</f>
        <v>Negative</v>
      </c>
      <c r="G1180" s="16">
        <f>IFERROR(__xludf.DUMMYFUNCTION("""COMPUTED_VALUE"""),1.0)</f>
        <v>1</v>
      </c>
      <c r="H1180" s="8" t="str">
        <f>IFERROR(__xludf.DUMMYFUNCTION("""COMPUTED_VALUE"""),"FLSP")</f>
        <v>FLSP</v>
      </c>
    </row>
    <row r="1181">
      <c r="A1181" s="8" t="str">
        <f>IFERROR(__xludf.DUMMYFUNCTION("""COMPUTED_VALUE"""),"MA108")</f>
        <v>MA108</v>
      </c>
      <c r="B1181" s="8" t="str">
        <f>IFERROR(__xludf.DUMMYFUNCTION("""COMPUTED_VALUE"""),"RUN-FLMP_2022-05-02_RFR-124")</f>
        <v>RUN-FLMP_2022-05-02_RFR-124</v>
      </c>
      <c r="C1181" s="10">
        <f>VLOOKUP(B1181,'Run Reconcile'!A$2:B1579,2,FALSE)</f>
        <v>44683</v>
      </c>
      <c r="D1181" s="14">
        <f>IFERROR(__xludf.DUMMYFUNCTION("""COMPUTED_VALUE"""),44683.0)</f>
        <v>44683</v>
      </c>
      <c r="E1181" s="15">
        <f>IFERROR(__xludf.DUMMYFUNCTION("""COMPUTED_VALUE"""),0.5416666666678793)</f>
        <v>0.5416666667</v>
      </c>
      <c r="F1181" s="8" t="str">
        <f>IFERROR(__xludf.DUMMYFUNCTION("""COMPUTED_VALUE"""),"Positive")</f>
        <v>Positive</v>
      </c>
      <c r="G1181" s="16">
        <f>IFERROR(__xludf.DUMMYFUNCTION("""COMPUTED_VALUE"""),1.0)</f>
        <v>1</v>
      </c>
      <c r="H1181" s="8" t="str">
        <f>IFERROR(__xludf.DUMMYFUNCTION("""COMPUTED_VALUE"""),"CRLN")</f>
        <v>CRLN</v>
      </c>
    </row>
    <row r="1182">
      <c r="A1182" s="8" t="str">
        <f>IFERROR(__xludf.DUMMYFUNCTION("""COMPUTED_VALUE"""),"MA57")</f>
        <v>MA57</v>
      </c>
      <c r="B1182" s="8" t="str">
        <f>IFERROR(__xludf.DUMMYFUNCTION("""COMPUTED_VALUE"""),"RUN-FLMP_2022-05-02_RFR-124")</f>
        <v>RUN-FLMP_2022-05-02_RFR-124</v>
      </c>
      <c r="C1182" s="10">
        <f>VLOOKUP(B1182,'Run Reconcile'!A$2:B1579,2,FALSE)</f>
        <v>44683</v>
      </c>
      <c r="D1182" s="14">
        <f>IFERROR(__xludf.DUMMYFUNCTION("""COMPUTED_VALUE"""),44683.0)</f>
        <v>44683</v>
      </c>
      <c r="E1182" s="15">
        <f>IFERROR(__xludf.DUMMYFUNCTION("""COMPUTED_VALUE"""),0.5416666666678793)</f>
        <v>0.5416666667</v>
      </c>
      <c r="F1182" s="8" t="str">
        <f>IFERROR(__xludf.DUMMYFUNCTION("""COMPUTED_VALUE"""),"Negative")</f>
        <v>Negative</v>
      </c>
      <c r="G1182" s="16">
        <f>IFERROR(__xludf.DUMMYFUNCTION("""COMPUTED_VALUE"""),1.0)</f>
        <v>1</v>
      </c>
      <c r="H1182" s="8" t="str">
        <f>IFERROR(__xludf.DUMMYFUNCTION("""COMPUTED_VALUE"""),"CRLN")</f>
        <v>CRLN</v>
      </c>
    </row>
    <row r="1183">
      <c r="A1183" s="8" t="str">
        <f>IFERROR(__xludf.DUMMYFUNCTION("""COMPUTED_VALUE"""),"MA82")</f>
        <v>MA82</v>
      </c>
      <c r="B1183" s="8" t="str">
        <f>IFERROR(__xludf.DUMMYFUNCTION("""COMPUTED_VALUE"""),"RUN-FLMP_2022-05-02_RFR-124")</f>
        <v>RUN-FLMP_2022-05-02_RFR-124</v>
      </c>
      <c r="C1183" s="10">
        <f>VLOOKUP(B1183,'Run Reconcile'!A$2:B1579,2,FALSE)</f>
        <v>44683</v>
      </c>
      <c r="D1183" s="14">
        <f>IFERROR(__xludf.DUMMYFUNCTION("""COMPUTED_VALUE"""),44683.0)</f>
        <v>44683</v>
      </c>
      <c r="E1183" s="15">
        <f>IFERROR(__xludf.DUMMYFUNCTION("""COMPUTED_VALUE"""),0.5416666666678793)</f>
        <v>0.5416666667</v>
      </c>
      <c r="F1183" s="8" t="str">
        <f>IFERROR(__xludf.DUMMYFUNCTION("""COMPUTED_VALUE"""),"Negative")</f>
        <v>Negative</v>
      </c>
      <c r="G1183" s="16">
        <f>IFERROR(__xludf.DUMMYFUNCTION("""COMPUTED_VALUE"""),1.0)</f>
        <v>1</v>
      </c>
      <c r="H1183" s="8" t="str">
        <f>IFERROR(__xludf.DUMMYFUNCTION("""COMPUTED_VALUE"""),"CRLN")</f>
        <v>CRLN</v>
      </c>
    </row>
    <row r="1184">
      <c r="A1184" s="8" t="str">
        <f>IFERROR(__xludf.DUMMYFUNCTION("""COMPUTED_VALUE"""),"MA100A")</f>
        <v>MA100A</v>
      </c>
      <c r="B1184" s="8" t="str">
        <f>IFERROR(__xludf.DUMMYFUNCTION("""COMPUTED_VALUE"""),"RUN-FLMP_2022-05-02_RFR-125")</f>
        <v>RUN-FLMP_2022-05-02_RFR-125</v>
      </c>
      <c r="C1184" s="10">
        <f>VLOOKUP(B1184,'Run Reconcile'!A$2:B1579,2,FALSE)</f>
        <v>44683</v>
      </c>
      <c r="D1184" s="14">
        <f>IFERROR(__xludf.DUMMYFUNCTION("""COMPUTED_VALUE"""),44683.0)</f>
        <v>44683</v>
      </c>
      <c r="E1184" s="15">
        <f>IFERROR(__xludf.DUMMYFUNCTION("""COMPUTED_VALUE"""),0.7083333333321207)</f>
        <v>0.7083333333</v>
      </c>
      <c r="F1184" s="8" t="str">
        <f>IFERROR(__xludf.DUMMYFUNCTION("""COMPUTED_VALUE"""),"Negative")</f>
        <v>Negative</v>
      </c>
      <c r="G1184" s="16">
        <f>IFERROR(__xludf.DUMMYFUNCTION("""COMPUTED_VALUE"""),1.0)</f>
        <v>1</v>
      </c>
      <c r="H1184" s="8" t="str">
        <f>IFERROR(__xludf.DUMMYFUNCTION("""COMPUTED_VALUE"""),"CRLN")</f>
        <v>CRLN</v>
      </c>
    </row>
    <row r="1185">
      <c r="A1185" s="8" t="str">
        <f>IFERROR(__xludf.DUMMYFUNCTION("""COMPUTED_VALUE"""),"AH315")</f>
        <v>AH315</v>
      </c>
      <c r="B1185" s="8" t="str">
        <f>IFERROR(__xludf.DUMMYFUNCTION("""COMPUTED_VALUE"""),"RUN-FLMP_2022-05-05_RFR-126")</f>
        <v>RUN-FLMP_2022-05-05_RFR-126</v>
      </c>
      <c r="C1185" s="10">
        <f>VLOOKUP(B1185,'Run Reconcile'!A$2:B1579,2,FALSE)</f>
        <v>44686</v>
      </c>
      <c r="D1185" s="14">
        <f>IFERROR(__xludf.DUMMYFUNCTION("""COMPUTED_VALUE"""),44686.0)</f>
        <v>44686</v>
      </c>
      <c r="E1185" s="15">
        <f>IFERROR(__xludf.DUMMYFUNCTION("""COMPUTED_VALUE"""),0.25104166666642413)</f>
        <v>0.2510416667</v>
      </c>
      <c r="F1185" s="8" t="str">
        <f>IFERROR(__xludf.DUMMYFUNCTION("""COMPUTED_VALUE"""),"Negative")</f>
        <v>Negative</v>
      </c>
      <c r="G1185" s="16">
        <f>IFERROR(__xludf.DUMMYFUNCTION("""COMPUTED_VALUE"""),1.0)</f>
        <v>1</v>
      </c>
      <c r="H1185" s="8" t="str">
        <f>IFERROR(__xludf.DUMMYFUNCTION("""COMPUTED_VALUE"""),"CRLN")</f>
        <v>CRLN</v>
      </c>
    </row>
    <row r="1186">
      <c r="A1186" s="8" t="str">
        <f>IFERROR(__xludf.DUMMYFUNCTION("""COMPUTED_VALUE"""),"AG769")</f>
        <v>AG769</v>
      </c>
      <c r="B1186" s="8" t="str">
        <f>IFERROR(__xludf.DUMMYFUNCTION("""COMPUTED_VALUE"""),"RUN-FLMP_2022-05-05_RFR-126")</f>
        <v>RUN-FLMP_2022-05-05_RFR-126</v>
      </c>
      <c r="C1186" s="10">
        <f>VLOOKUP(B1186,'Run Reconcile'!A$2:B1579,2,FALSE)</f>
        <v>44686</v>
      </c>
      <c r="D1186" s="14">
        <f>IFERROR(__xludf.DUMMYFUNCTION("""COMPUTED_VALUE"""),44686.0)</f>
        <v>44686</v>
      </c>
      <c r="E1186" s="15">
        <f>IFERROR(__xludf.DUMMYFUNCTION("""COMPUTED_VALUE"""),0.28711805555576575)</f>
        <v>0.2871180556</v>
      </c>
      <c r="F1186" s="8" t="str">
        <f>IFERROR(__xludf.DUMMYFUNCTION("""COMPUTED_VALUE"""),"Negative")</f>
        <v>Negative</v>
      </c>
      <c r="G1186" s="16">
        <f>IFERROR(__xludf.DUMMYFUNCTION("""COMPUTED_VALUE"""),1.0)</f>
        <v>1</v>
      </c>
      <c r="H1186" s="8" t="str">
        <f>IFERROR(__xludf.DUMMYFUNCTION("""COMPUTED_VALUE"""),"CRLN")</f>
        <v>CRLN</v>
      </c>
    </row>
    <row r="1187">
      <c r="A1187" s="8" t="str">
        <f>IFERROR(__xludf.DUMMYFUNCTION("""COMPUTED_VALUE"""),"FLE271")</f>
        <v>FLE271</v>
      </c>
      <c r="B1187" s="8" t="str">
        <f>IFERROR(__xludf.DUMMYFUNCTION("""COMPUTED_VALUE"""),"RUN-FLMP_2022-05-05_RFR-126")</f>
        <v>RUN-FLMP_2022-05-05_RFR-126</v>
      </c>
      <c r="C1187" s="10">
        <f>VLOOKUP(B1187,'Run Reconcile'!A$2:B1579,2,FALSE)</f>
        <v>44686</v>
      </c>
      <c r="D1187" s="14">
        <f>IFERROR(__xludf.DUMMYFUNCTION("""COMPUTED_VALUE"""),44686.0)</f>
        <v>44686</v>
      </c>
      <c r="E1187" s="15">
        <f>IFERROR(__xludf.DUMMYFUNCTION("""COMPUTED_VALUE"""),0.29707175925796037)</f>
        <v>0.2970717593</v>
      </c>
      <c r="F1187" s="8" t="str">
        <f>IFERROR(__xludf.DUMMYFUNCTION("""COMPUTED_VALUE"""),"Negative")</f>
        <v>Negative</v>
      </c>
      <c r="G1187" s="16">
        <f>IFERROR(__xludf.DUMMYFUNCTION("""COMPUTED_VALUE"""),1.0)</f>
        <v>1</v>
      </c>
      <c r="H1187" s="8" t="str">
        <f>IFERROR(__xludf.DUMMYFUNCTION("""COMPUTED_VALUE"""),"CRLN")</f>
        <v>CRLN</v>
      </c>
    </row>
    <row r="1188">
      <c r="A1188" s="8" t="str">
        <f>IFERROR(__xludf.DUMMYFUNCTION("""COMPUTED_VALUE"""),"AH662")</f>
        <v>AH662</v>
      </c>
      <c r="B1188" s="8" t="str">
        <f>IFERROR(__xludf.DUMMYFUNCTION("""COMPUTED_VALUE"""),"RUN-FLMP_2022-05-05_RFR-126")</f>
        <v>RUN-FLMP_2022-05-05_RFR-126</v>
      </c>
      <c r="C1188" s="10">
        <f>VLOOKUP(B1188,'Run Reconcile'!A$2:B1579,2,FALSE)</f>
        <v>44686</v>
      </c>
      <c r="D1188" s="14">
        <f>IFERROR(__xludf.DUMMYFUNCTION("""COMPUTED_VALUE"""),44686.0)</f>
        <v>44686</v>
      </c>
      <c r="E1188" s="15">
        <f>IFERROR(__xludf.DUMMYFUNCTION("""COMPUTED_VALUE"""),0.3093750000007276)</f>
        <v>0.309375</v>
      </c>
      <c r="F1188" s="8" t="str">
        <f>IFERROR(__xludf.DUMMYFUNCTION("""COMPUTED_VALUE"""),"Negative")</f>
        <v>Negative</v>
      </c>
      <c r="G1188" s="16">
        <f>IFERROR(__xludf.DUMMYFUNCTION("""COMPUTED_VALUE"""),3.0)</f>
        <v>3</v>
      </c>
      <c r="H1188" s="8" t="str">
        <f>IFERROR(__xludf.DUMMYFUNCTION("""COMPUTED_VALUE"""),"CRLN")</f>
        <v>CRLN</v>
      </c>
    </row>
    <row r="1189">
      <c r="A1189" s="8" t="str">
        <f>IFERROR(__xludf.DUMMYFUNCTION("""COMPUTED_VALUE"""),"AH294")</f>
        <v>AH294</v>
      </c>
      <c r="B1189" s="8" t="str">
        <f>IFERROR(__xludf.DUMMYFUNCTION("""COMPUTED_VALUE"""),"RUN-FLMP_2022-05-05_RFR-126")</f>
        <v>RUN-FLMP_2022-05-05_RFR-126</v>
      </c>
      <c r="C1189" s="10">
        <f>VLOOKUP(B1189,'Run Reconcile'!A$2:B1579,2,FALSE)</f>
        <v>44686</v>
      </c>
      <c r="D1189" s="14">
        <f>IFERROR(__xludf.DUMMYFUNCTION("""COMPUTED_VALUE"""),44686.0)</f>
        <v>44686</v>
      </c>
      <c r="E1189" s="15">
        <f>IFERROR(__xludf.DUMMYFUNCTION("""COMPUTED_VALUE"""),0.3098379629627743)</f>
        <v>0.309837963</v>
      </c>
      <c r="F1189" s="8" t="str">
        <f>IFERROR(__xludf.DUMMYFUNCTION("""COMPUTED_VALUE"""),"Negative")</f>
        <v>Negative</v>
      </c>
      <c r="G1189" s="16">
        <f>IFERROR(__xludf.DUMMYFUNCTION("""COMPUTED_VALUE"""),4.0)</f>
        <v>4</v>
      </c>
      <c r="H1189" s="8" t="str">
        <f>IFERROR(__xludf.DUMMYFUNCTION("""COMPUTED_VALUE"""),"CRLN")</f>
        <v>CRLN</v>
      </c>
    </row>
    <row r="1190">
      <c r="A1190" s="8" t="str">
        <f>IFERROR(__xludf.DUMMYFUNCTION("""COMPUTED_VALUE"""),"AG4643")</f>
        <v>AG4643</v>
      </c>
      <c r="B1190" s="8" t="str">
        <f>IFERROR(__xludf.DUMMYFUNCTION("""COMPUTED_VALUE"""),"RUN-FLMP_2022-05-05_RFR-126")</f>
        <v>RUN-FLMP_2022-05-05_RFR-126</v>
      </c>
      <c r="C1190" s="10">
        <f>VLOOKUP(B1190,'Run Reconcile'!A$2:B1579,2,FALSE)</f>
        <v>44686</v>
      </c>
      <c r="D1190" s="14">
        <f>IFERROR(__xludf.DUMMYFUNCTION("""COMPUTED_VALUE"""),44686.0)</f>
        <v>44686</v>
      </c>
      <c r="E1190" s="15">
        <f>IFERROR(__xludf.DUMMYFUNCTION("""COMPUTED_VALUE"""),0.31952546296452056)</f>
        <v>0.319525463</v>
      </c>
      <c r="F1190" s="8" t="str">
        <f>IFERROR(__xludf.DUMMYFUNCTION("""COMPUTED_VALUE"""),"Negative")</f>
        <v>Negative</v>
      </c>
      <c r="G1190" s="16">
        <f>IFERROR(__xludf.DUMMYFUNCTION("""COMPUTED_VALUE"""),3.0)</f>
        <v>3</v>
      </c>
      <c r="H1190" s="8" t="str">
        <f>IFERROR(__xludf.DUMMYFUNCTION("""COMPUTED_VALUE"""),"CRLN")</f>
        <v>CRLN</v>
      </c>
    </row>
    <row r="1191">
      <c r="A1191" s="8" t="str">
        <f>IFERROR(__xludf.DUMMYFUNCTION("""COMPUTED_VALUE"""),"AG998")</f>
        <v>AG998</v>
      </c>
      <c r="B1191" s="8" t="str">
        <f>IFERROR(__xludf.DUMMYFUNCTION("""COMPUTED_VALUE"""),"RUN-FLMP_2022-05-05_RFR-126")</f>
        <v>RUN-FLMP_2022-05-05_RFR-126</v>
      </c>
      <c r="C1191" s="10">
        <f>VLOOKUP(B1191,'Run Reconcile'!A$2:B1579,2,FALSE)</f>
        <v>44686</v>
      </c>
      <c r="D1191" s="14">
        <f>IFERROR(__xludf.DUMMYFUNCTION("""COMPUTED_VALUE"""),44686.0)</f>
        <v>44686</v>
      </c>
      <c r="E1191" s="15">
        <f>IFERROR(__xludf.DUMMYFUNCTION("""COMPUTED_VALUE"""),0.3200578703690553)</f>
        <v>0.3200578704</v>
      </c>
      <c r="F1191" s="8" t="str">
        <f>IFERROR(__xludf.DUMMYFUNCTION("""COMPUTED_VALUE"""),"Negative")</f>
        <v>Negative</v>
      </c>
      <c r="G1191" s="16">
        <f>IFERROR(__xludf.DUMMYFUNCTION("""COMPUTED_VALUE"""),3.0)</f>
        <v>3</v>
      </c>
      <c r="H1191" s="8" t="str">
        <f>IFERROR(__xludf.DUMMYFUNCTION("""COMPUTED_VALUE"""),"CRLN")</f>
        <v>CRLN</v>
      </c>
    </row>
    <row r="1192">
      <c r="A1192" s="8" t="str">
        <f>IFERROR(__xludf.DUMMYFUNCTION("""COMPUTED_VALUE"""),"AJ9379")</f>
        <v>AJ9379</v>
      </c>
      <c r="B1192" s="8" t="str">
        <f>IFERROR(__xludf.DUMMYFUNCTION("""COMPUTED_VALUE"""),"RUN-FLMP_2022-05-05_RFR-126")</f>
        <v>RUN-FLMP_2022-05-05_RFR-126</v>
      </c>
      <c r="C1192" s="10">
        <f>VLOOKUP(B1192,'Run Reconcile'!A$2:B1579,2,FALSE)</f>
        <v>44686</v>
      </c>
      <c r="D1192" s="14">
        <f>IFERROR(__xludf.DUMMYFUNCTION("""COMPUTED_VALUE"""),44686.0)</f>
        <v>44686</v>
      </c>
      <c r="E1192" s="15">
        <f>IFERROR(__xludf.DUMMYFUNCTION("""COMPUTED_VALUE"""),0.33523148148015025)</f>
        <v>0.3352314815</v>
      </c>
      <c r="F1192" s="8" t="str">
        <f>IFERROR(__xludf.DUMMYFUNCTION("""COMPUTED_VALUE"""),"Negative")</f>
        <v>Negative</v>
      </c>
      <c r="G1192" s="16">
        <f>IFERROR(__xludf.DUMMYFUNCTION("""COMPUTED_VALUE"""),1.0)</f>
        <v>1</v>
      </c>
      <c r="H1192" s="8" t="str">
        <f>IFERROR(__xludf.DUMMYFUNCTION("""COMPUTED_VALUE"""),"CRLN")</f>
        <v>CRLN</v>
      </c>
    </row>
    <row r="1193">
      <c r="A1193" s="8" t="str">
        <f>IFERROR(__xludf.DUMMYFUNCTION("""COMPUTED_VALUE"""),"FLB5393")</f>
        <v>FLB5393</v>
      </c>
      <c r="B1193" s="8" t="str">
        <f>IFERROR(__xludf.DUMMYFUNCTION("""COMPUTED_VALUE"""),"RUN-FLMP_2022-05-05_RFR-126")</f>
        <v>RUN-FLMP_2022-05-05_RFR-126</v>
      </c>
      <c r="C1193" s="10">
        <f>VLOOKUP(B1193,'Run Reconcile'!A$2:B1579,2,FALSE)</f>
        <v>44686</v>
      </c>
      <c r="D1193" s="14">
        <f>IFERROR(__xludf.DUMMYFUNCTION("""COMPUTED_VALUE"""),44686.0)</f>
        <v>44686</v>
      </c>
      <c r="E1193" s="15">
        <f>IFERROR(__xludf.DUMMYFUNCTION("""COMPUTED_VALUE"""),0.3352777777763549)</f>
        <v>0.3352777778</v>
      </c>
      <c r="F1193" s="8" t="str">
        <f>IFERROR(__xludf.DUMMYFUNCTION("""COMPUTED_VALUE"""),"Negative")</f>
        <v>Negative</v>
      </c>
      <c r="G1193" s="16">
        <f>IFERROR(__xludf.DUMMYFUNCTION("""COMPUTED_VALUE"""),3.0)</f>
        <v>3</v>
      </c>
      <c r="H1193" s="8" t="str">
        <f>IFERROR(__xludf.DUMMYFUNCTION("""COMPUTED_VALUE"""),"CRLN")</f>
        <v>CRLN</v>
      </c>
    </row>
    <row r="1194">
      <c r="A1194" s="8" t="str">
        <f>IFERROR(__xludf.DUMMYFUNCTION("""COMPUTED_VALUE"""),"AH7262")</f>
        <v>AH7262</v>
      </c>
      <c r="B1194" s="8" t="str">
        <f>IFERROR(__xludf.DUMMYFUNCTION("""COMPUTED_VALUE"""),"RUN-FLMP_2022-05-05_RFR-126")</f>
        <v>RUN-FLMP_2022-05-05_RFR-126</v>
      </c>
      <c r="C1194" s="10">
        <f>VLOOKUP(B1194,'Run Reconcile'!A$2:B1579,2,FALSE)</f>
        <v>44686</v>
      </c>
      <c r="D1194" s="14">
        <f>IFERROR(__xludf.DUMMYFUNCTION("""COMPUTED_VALUE"""),44686.0)</f>
        <v>44686</v>
      </c>
      <c r="E1194" s="15">
        <f>IFERROR(__xludf.DUMMYFUNCTION("""COMPUTED_VALUE"""),0.34028935185051523)</f>
        <v>0.3402893519</v>
      </c>
      <c r="F1194" s="8" t="str">
        <f>IFERROR(__xludf.DUMMYFUNCTION("""COMPUTED_VALUE"""),"Negative")</f>
        <v>Negative</v>
      </c>
      <c r="G1194" s="16">
        <f>IFERROR(__xludf.DUMMYFUNCTION("""COMPUTED_VALUE"""),1.0)</f>
        <v>1</v>
      </c>
      <c r="H1194" s="8" t="str">
        <f>IFERROR(__xludf.DUMMYFUNCTION("""COMPUTED_VALUE"""),"CRLN")</f>
        <v>CRLN</v>
      </c>
    </row>
    <row r="1195">
      <c r="A1195" s="8" t="str">
        <f>IFERROR(__xludf.DUMMYFUNCTION("""COMPUTED_VALUE"""),"AJ 7726")</f>
        <v>AJ 7726</v>
      </c>
      <c r="B1195" s="8" t="str">
        <f>IFERROR(__xludf.DUMMYFUNCTION("""COMPUTED_VALUE"""),"RUN-FLMP_2022-05-05_RFR-126")</f>
        <v>RUN-FLMP_2022-05-05_RFR-126</v>
      </c>
      <c r="C1195" s="10">
        <f>VLOOKUP(B1195,'Run Reconcile'!A$2:B1579,2,FALSE)</f>
        <v>44686</v>
      </c>
      <c r="D1195" s="14">
        <f>IFERROR(__xludf.DUMMYFUNCTION("""COMPUTED_VALUE"""),44686.0)</f>
        <v>44686</v>
      </c>
      <c r="E1195" s="15">
        <f>IFERROR(__xludf.DUMMYFUNCTION("""COMPUTED_VALUE"""),0.3420486111099308)</f>
        <v>0.3420486111</v>
      </c>
      <c r="F1195" s="8" t="str">
        <f>IFERROR(__xludf.DUMMYFUNCTION("""COMPUTED_VALUE"""),"Negative")</f>
        <v>Negative</v>
      </c>
      <c r="G1195" s="16">
        <f>IFERROR(__xludf.DUMMYFUNCTION("""COMPUTED_VALUE"""),1.0)</f>
        <v>1</v>
      </c>
      <c r="H1195" s="8" t="str">
        <f>IFERROR(__xludf.DUMMYFUNCTION("""COMPUTED_VALUE"""),"CRLN")</f>
        <v>CRLN</v>
      </c>
    </row>
    <row r="1196">
      <c r="A1196" s="8" t="str">
        <f>IFERROR(__xludf.DUMMYFUNCTION("""COMPUTED_VALUE"""),"AH128")</f>
        <v>AH128</v>
      </c>
      <c r="B1196" s="8" t="str">
        <f>IFERROR(__xludf.DUMMYFUNCTION("""COMPUTED_VALUE"""),"RUN-FLMP_2022-05-05_RFR-126")</f>
        <v>RUN-FLMP_2022-05-05_RFR-126</v>
      </c>
      <c r="C1196" s="10">
        <f>VLOOKUP(B1196,'Run Reconcile'!A$2:B1579,2,FALSE)</f>
        <v>44686</v>
      </c>
      <c r="D1196" s="14">
        <f>IFERROR(__xludf.DUMMYFUNCTION("""COMPUTED_VALUE"""),44686.0)</f>
        <v>44686</v>
      </c>
      <c r="E1196" s="15">
        <f>IFERROR(__xludf.DUMMYFUNCTION("""COMPUTED_VALUE"""),0.3529050925935735)</f>
        <v>0.3529050926</v>
      </c>
      <c r="F1196" s="8" t="str">
        <f>IFERROR(__xludf.DUMMYFUNCTION("""COMPUTED_VALUE"""),"Negative")</f>
        <v>Negative</v>
      </c>
      <c r="G1196" s="16">
        <f>IFERROR(__xludf.DUMMYFUNCTION("""COMPUTED_VALUE"""),2.0)</f>
        <v>2</v>
      </c>
      <c r="H1196" s="8" t="str">
        <f>IFERROR(__xludf.DUMMYFUNCTION("""COMPUTED_VALUE"""),"CRLN")</f>
        <v>CRLN</v>
      </c>
    </row>
    <row r="1197">
      <c r="A1197" s="8" t="str">
        <f>IFERROR(__xludf.DUMMYFUNCTION("""COMPUTED_VALUE"""),"AG267")</f>
        <v>AG267</v>
      </c>
      <c r="B1197" s="8" t="str">
        <f>IFERROR(__xludf.DUMMYFUNCTION("""COMPUTED_VALUE"""),"RUN-FLMP_2022-05-05_RFR-126")</f>
        <v>RUN-FLMP_2022-05-05_RFR-126</v>
      </c>
      <c r="C1197" s="10">
        <f>VLOOKUP(B1197,'Run Reconcile'!A$2:B1579,2,FALSE)</f>
        <v>44686</v>
      </c>
      <c r="D1197" s="14">
        <f>IFERROR(__xludf.DUMMYFUNCTION("""COMPUTED_VALUE"""),44686.0)</f>
        <v>44686</v>
      </c>
      <c r="E1197" s="15">
        <f>IFERROR(__xludf.DUMMYFUNCTION("""COMPUTED_VALUE"""),0.35714120370539604)</f>
        <v>0.3571412037</v>
      </c>
      <c r="F1197" s="8" t="str">
        <f>IFERROR(__xludf.DUMMYFUNCTION("""COMPUTED_VALUE"""),"Negative")</f>
        <v>Negative</v>
      </c>
      <c r="G1197" s="16">
        <f>IFERROR(__xludf.DUMMYFUNCTION("""COMPUTED_VALUE"""),2.0)</f>
        <v>2</v>
      </c>
      <c r="H1197" s="8" t="str">
        <f>IFERROR(__xludf.DUMMYFUNCTION("""COMPUTED_VALUE"""),"CRLN")</f>
        <v>CRLN</v>
      </c>
    </row>
    <row r="1198">
      <c r="A1198" s="8" t="str">
        <f>IFERROR(__xludf.DUMMYFUNCTION("""COMPUTED_VALUE"""),"FLB6833")</f>
        <v>FLB6833</v>
      </c>
      <c r="B1198" s="8" t="str">
        <f>IFERROR(__xludf.DUMMYFUNCTION("""COMPUTED_VALUE"""),"RUN-FLMP_2022-05-05_RFR-126")</f>
        <v>RUN-FLMP_2022-05-05_RFR-126</v>
      </c>
      <c r="C1198" s="10">
        <f>VLOOKUP(B1198,'Run Reconcile'!A$2:B1579,2,FALSE)</f>
        <v>44686</v>
      </c>
      <c r="D1198" s="14">
        <f>IFERROR(__xludf.DUMMYFUNCTION("""COMPUTED_VALUE"""),44686.0)</f>
        <v>44686</v>
      </c>
      <c r="E1198" s="15">
        <f>IFERROR(__xludf.DUMMYFUNCTION("""COMPUTED_VALUE"""),0.3579976851870015)</f>
        <v>0.3579976852</v>
      </c>
      <c r="F1198" s="8" t="str">
        <f>IFERROR(__xludf.DUMMYFUNCTION("""COMPUTED_VALUE"""),"Negative")</f>
        <v>Negative</v>
      </c>
      <c r="G1198" s="16">
        <f>IFERROR(__xludf.DUMMYFUNCTION("""COMPUTED_VALUE"""),1.0)</f>
        <v>1</v>
      </c>
      <c r="H1198" s="8" t="str">
        <f>IFERROR(__xludf.DUMMYFUNCTION("""COMPUTED_VALUE"""),"CRLN")</f>
        <v>CRLN</v>
      </c>
    </row>
    <row r="1199">
      <c r="A1199" s="8" t="str">
        <f>IFERROR(__xludf.DUMMYFUNCTION("""COMPUTED_VALUE"""),"AJ9852")</f>
        <v>AJ9852</v>
      </c>
      <c r="B1199" s="8" t="str">
        <f>IFERROR(__xludf.DUMMYFUNCTION("""COMPUTED_VALUE"""),"RUN-FLMP_2022-05-05_RFR-126")</f>
        <v>RUN-FLMP_2022-05-05_RFR-126</v>
      </c>
      <c r="C1199" s="10">
        <f>VLOOKUP(B1199,'Run Reconcile'!A$2:B1579,2,FALSE)</f>
        <v>44686</v>
      </c>
      <c r="D1199" s="14">
        <f>IFERROR(__xludf.DUMMYFUNCTION("""COMPUTED_VALUE"""),44686.0)</f>
        <v>44686</v>
      </c>
      <c r="E1199" s="15">
        <f>IFERROR(__xludf.DUMMYFUNCTION("""COMPUTED_VALUE"""),0.36131944444423425)</f>
        <v>0.3613194444</v>
      </c>
      <c r="F1199" s="8" t="str">
        <f>IFERROR(__xludf.DUMMYFUNCTION("""COMPUTED_VALUE"""),"Negative")</f>
        <v>Negative</v>
      </c>
      <c r="G1199" s="16">
        <f>IFERROR(__xludf.DUMMYFUNCTION("""COMPUTED_VALUE"""),1.0)</f>
        <v>1</v>
      </c>
      <c r="H1199" s="8" t="str">
        <f>IFERROR(__xludf.DUMMYFUNCTION("""COMPUTED_VALUE"""),"CRLN")</f>
        <v>CRLN</v>
      </c>
    </row>
    <row r="1200">
      <c r="A1200" s="8" t="str">
        <f>IFERROR(__xludf.DUMMYFUNCTION("""COMPUTED_VALUE"""),"AJ5270")</f>
        <v>AJ5270</v>
      </c>
      <c r="B1200" s="8" t="str">
        <f>IFERROR(__xludf.DUMMYFUNCTION("""COMPUTED_VALUE"""),"RUN-FLMP_2022-05-05_RFR-126")</f>
        <v>RUN-FLMP_2022-05-05_RFR-126</v>
      </c>
      <c r="C1200" s="10">
        <f>VLOOKUP(B1200,'Run Reconcile'!A$2:B1579,2,FALSE)</f>
        <v>44686</v>
      </c>
      <c r="D1200" s="14">
        <f>IFERROR(__xludf.DUMMYFUNCTION("""COMPUTED_VALUE"""),44686.0)</f>
        <v>44686</v>
      </c>
      <c r="E1200" s="15">
        <f>IFERROR(__xludf.DUMMYFUNCTION("""COMPUTED_VALUE"""),0.3637037037042319)</f>
        <v>0.3637037037</v>
      </c>
      <c r="F1200" s="8" t="str">
        <f>IFERROR(__xludf.DUMMYFUNCTION("""COMPUTED_VALUE"""),"Negative")</f>
        <v>Negative</v>
      </c>
      <c r="G1200" s="16">
        <f>IFERROR(__xludf.DUMMYFUNCTION("""COMPUTED_VALUE"""),1.0)</f>
        <v>1</v>
      </c>
      <c r="H1200" s="8" t="str">
        <f>IFERROR(__xludf.DUMMYFUNCTION("""COMPUTED_VALUE"""),"CRLN")</f>
        <v>CRLN</v>
      </c>
    </row>
    <row r="1201">
      <c r="A1201" s="8" t="str">
        <f>IFERROR(__xludf.DUMMYFUNCTION("""COMPUTED_VALUE"""),"AH609")</f>
        <v>AH609</v>
      </c>
      <c r="B1201" s="8" t="str">
        <f>IFERROR(__xludf.DUMMYFUNCTION("""COMPUTED_VALUE"""),"RUN-FLMP_2022-05-05_RFR-126")</f>
        <v>RUN-FLMP_2022-05-05_RFR-126</v>
      </c>
      <c r="C1201" s="10">
        <f>VLOOKUP(B1201,'Run Reconcile'!A$2:B1579,2,FALSE)</f>
        <v>44686</v>
      </c>
      <c r="D1201" s="14">
        <f>IFERROR(__xludf.DUMMYFUNCTION("""COMPUTED_VALUE"""),44686.0)</f>
        <v>44686</v>
      </c>
      <c r="E1201" s="15">
        <f>IFERROR(__xludf.DUMMYFUNCTION("""COMPUTED_VALUE"""),0.3642824074086093)</f>
        <v>0.3642824074</v>
      </c>
      <c r="F1201" s="8" t="str">
        <f>IFERROR(__xludf.DUMMYFUNCTION("""COMPUTED_VALUE"""),"Negative")</f>
        <v>Negative</v>
      </c>
      <c r="G1201" s="16">
        <f>IFERROR(__xludf.DUMMYFUNCTION("""COMPUTED_VALUE"""),4.0)</f>
        <v>4</v>
      </c>
      <c r="H1201" s="8" t="str">
        <f>IFERROR(__xludf.DUMMYFUNCTION("""COMPUTED_VALUE"""),"CRLN")</f>
        <v>CRLN</v>
      </c>
    </row>
    <row r="1202">
      <c r="A1202" s="8" t="str">
        <f>IFERROR(__xludf.DUMMYFUNCTION("""COMPUTED_VALUE"""),"FLE957")</f>
        <v>FLE957</v>
      </c>
      <c r="B1202" s="8" t="str">
        <f>IFERROR(__xludf.DUMMYFUNCTION("""COMPUTED_VALUE"""),"RUN-FLMP_2022-05-05_RFR-126")</f>
        <v>RUN-FLMP_2022-05-05_RFR-126</v>
      </c>
      <c r="C1202" s="10">
        <f>VLOOKUP(B1202,'Run Reconcile'!A$2:B1579,2,FALSE)</f>
        <v>44686</v>
      </c>
      <c r="D1202" s="14">
        <f>IFERROR(__xludf.DUMMYFUNCTION("""COMPUTED_VALUE"""),44686.0)</f>
        <v>44686</v>
      </c>
      <c r="E1202" s="15">
        <f>IFERROR(__xludf.DUMMYFUNCTION("""COMPUTED_VALUE"""),0.36585648148320615)</f>
        <v>0.3658564815</v>
      </c>
      <c r="F1202" s="8" t="str">
        <f>IFERROR(__xludf.DUMMYFUNCTION("""COMPUTED_VALUE"""),"Negative")</f>
        <v>Negative</v>
      </c>
      <c r="G1202" s="16">
        <f>IFERROR(__xludf.DUMMYFUNCTION("""COMPUTED_VALUE"""),4.0)</f>
        <v>4</v>
      </c>
      <c r="H1202" s="8" t="str">
        <f>IFERROR(__xludf.DUMMYFUNCTION("""COMPUTED_VALUE"""),"CRLN")</f>
        <v>CRLN</v>
      </c>
    </row>
    <row r="1203">
      <c r="A1203" s="8" t="str">
        <f>IFERROR(__xludf.DUMMYFUNCTION("""COMPUTED_VALUE"""),"AJ8077")</f>
        <v>AJ8077</v>
      </c>
      <c r="B1203" s="8" t="str">
        <f>IFERROR(__xludf.DUMMYFUNCTION("""COMPUTED_VALUE"""),"RUN-FLMP_2022-05-05_RFR-126")</f>
        <v>RUN-FLMP_2022-05-05_RFR-126</v>
      </c>
      <c r="C1203" s="10">
        <f>VLOOKUP(B1203,'Run Reconcile'!A$2:B1579,2,FALSE)</f>
        <v>44686</v>
      </c>
      <c r="D1203" s="14">
        <f>IFERROR(__xludf.DUMMYFUNCTION("""COMPUTED_VALUE"""),44686.0)</f>
        <v>44686</v>
      </c>
      <c r="E1203" s="15">
        <f>IFERROR(__xludf.DUMMYFUNCTION("""COMPUTED_VALUE"""),0.36668981481489027)</f>
        <v>0.3666898148</v>
      </c>
      <c r="F1203" s="8" t="str">
        <f>IFERROR(__xludf.DUMMYFUNCTION("""COMPUTED_VALUE"""),"Negative")</f>
        <v>Negative</v>
      </c>
      <c r="G1203" s="16">
        <f>IFERROR(__xludf.DUMMYFUNCTION("""COMPUTED_VALUE"""),2.0)</f>
        <v>2</v>
      </c>
      <c r="H1203" s="8" t="str">
        <f>IFERROR(__xludf.DUMMYFUNCTION("""COMPUTED_VALUE"""),"CRLN")</f>
        <v>CRLN</v>
      </c>
    </row>
    <row r="1204">
      <c r="A1204" s="8" t="str">
        <f>IFERROR(__xludf.DUMMYFUNCTION("""COMPUTED_VALUE"""),"FLB5858")</f>
        <v>FLB5858</v>
      </c>
      <c r="B1204" s="8" t="str">
        <f>IFERROR(__xludf.DUMMYFUNCTION("""COMPUTED_VALUE"""),"RUN-FLMP_2022-05-05_RFR-126")</f>
        <v>RUN-FLMP_2022-05-05_RFR-126</v>
      </c>
      <c r="C1204" s="10">
        <f>VLOOKUP(B1204,'Run Reconcile'!A$2:B1579,2,FALSE)</f>
        <v>44686</v>
      </c>
      <c r="D1204" s="14">
        <f>IFERROR(__xludf.DUMMYFUNCTION("""COMPUTED_VALUE"""),44686.0)</f>
        <v>44686</v>
      </c>
      <c r="E1204" s="15">
        <f>IFERROR(__xludf.DUMMYFUNCTION("""COMPUTED_VALUE"""),0.3681018518509518)</f>
        <v>0.3681018519</v>
      </c>
      <c r="F1204" s="8" t="str">
        <f>IFERROR(__xludf.DUMMYFUNCTION("""COMPUTED_VALUE"""),"Negative")</f>
        <v>Negative</v>
      </c>
      <c r="G1204" s="16">
        <f>IFERROR(__xludf.DUMMYFUNCTION("""COMPUTED_VALUE"""),1.0)</f>
        <v>1</v>
      </c>
      <c r="H1204" s="8" t="str">
        <f>IFERROR(__xludf.DUMMYFUNCTION("""COMPUTED_VALUE"""),"FLSP")</f>
        <v>FLSP</v>
      </c>
    </row>
    <row r="1205">
      <c r="A1205" s="8" t="str">
        <f>IFERROR(__xludf.DUMMYFUNCTION("""COMPUTED_VALUE"""),"FLB4934")</f>
        <v>FLB4934</v>
      </c>
      <c r="B1205" s="8" t="str">
        <f>IFERROR(__xludf.DUMMYFUNCTION("""COMPUTED_VALUE"""),"RUN-FLMP_2022-05-05_RFR-126")</f>
        <v>RUN-FLMP_2022-05-05_RFR-126</v>
      </c>
      <c r="C1205" s="10">
        <f>VLOOKUP(B1205,'Run Reconcile'!A$2:B1579,2,FALSE)</f>
        <v>44686</v>
      </c>
      <c r="D1205" s="14">
        <f>IFERROR(__xludf.DUMMYFUNCTION("""COMPUTED_VALUE"""),44686.0)</f>
        <v>44686</v>
      </c>
      <c r="E1205" s="15">
        <f>IFERROR(__xludf.DUMMYFUNCTION("""COMPUTED_VALUE"""),0.3701388888875954)</f>
        <v>0.3701388889</v>
      </c>
      <c r="F1205" s="8" t="str">
        <f>IFERROR(__xludf.DUMMYFUNCTION("""COMPUTED_VALUE"""),"Negative")</f>
        <v>Negative</v>
      </c>
      <c r="G1205" s="16">
        <f>IFERROR(__xludf.DUMMYFUNCTION("""COMPUTED_VALUE"""),2.0)</f>
        <v>2</v>
      </c>
      <c r="H1205" s="8" t="str">
        <f>IFERROR(__xludf.DUMMYFUNCTION("""COMPUTED_VALUE"""),"CRLN")</f>
        <v>CRLN</v>
      </c>
    </row>
    <row r="1206">
      <c r="A1206" s="8" t="str">
        <f>IFERROR(__xludf.DUMMYFUNCTION("""COMPUTED_VALUE"""),"AK8024")</f>
        <v>AK8024</v>
      </c>
      <c r="B1206" s="8" t="str">
        <f>IFERROR(__xludf.DUMMYFUNCTION("""COMPUTED_VALUE"""),"RUN-FLMP_2022-05-05_RFR-126")</f>
        <v>RUN-FLMP_2022-05-05_RFR-126</v>
      </c>
      <c r="C1206" s="10">
        <f>VLOOKUP(B1206,'Run Reconcile'!A$2:B1579,2,FALSE)</f>
        <v>44686</v>
      </c>
      <c r="D1206" s="14">
        <f>IFERROR(__xludf.DUMMYFUNCTION("""COMPUTED_VALUE"""),44686.0)</f>
        <v>44686</v>
      </c>
      <c r="E1206" s="15">
        <f>IFERROR(__xludf.DUMMYFUNCTION("""COMPUTED_VALUE"""),0.3742476851839456)</f>
        <v>0.3742476852</v>
      </c>
      <c r="F1206" s="8" t="str">
        <f>IFERROR(__xludf.DUMMYFUNCTION("""COMPUTED_VALUE"""),"Negative")</f>
        <v>Negative</v>
      </c>
      <c r="G1206" s="16">
        <f>IFERROR(__xludf.DUMMYFUNCTION("""COMPUTED_VALUE"""),3.0)</f>
        <v>3</v>
      </c>
      <c r="H1206" s="8" t="str">
        <f>IFERROR(__xludf.DUMMYFUNCTION("""COMPUTED_VALUE"""),"CRLN")</f>
        <v>CRLN</v>
      </c>
    </row>
    <row r="1207">
      <c r="A1207" s="8" t="str">
        <f>IFERROR(__xludf.DUMMYFUNCTION("""COMPUTED_VALUE"""),"FLE282")</f>
        <v>FLE282</v>
      </c>
      <c r="B1207" s="8" t="str">
        <f>IFERROR(__xludf.DUMMYFUNCTION("""COMPUTED_VALUE"""),"RUN-FLMP_2022-05-05_RFR-126")</f>
        <v>RUN-FLMP_2022-05-05_RFR-126</v>
      </c>
      <c r="C1207" s="10">
        <f>VLOOKUP(B1207,'Run Reconcile'!A$2:B1579,2,FALSE)</f>
        <v>44686</v>
      </c>
      <c r="D1207" s="14">
        <f>IFERROR(__xludf.DUMMYFUNCTION("""COMPUTED_VALUE"""),44686.0)</f>
        <v>44686</v>
      </c>
      <c r="E1207" s="15">
        <f>IFERROR(__xludf.DUMMYFUNCTION("""COMPUTED_VALUE"""),0.3807407407402934)</f>
        <v>0.3807407407</v>
      </c>
      <c r="F1207" s="8" t="str">
        <f>IFERROR(__xludf.DUMMYFUNCTION("""COMPUTED_VALUE"""),"Negative")</f>
        <v>Negative</v>
      </c>
      <c r="G1207" s="16">
        <f>IFERROR(__xludf.DUMMYFUNCTION("""COMPUTED_VALUE"""),1.0)</f>
        <v>1</v>
      </c>
      <c r="H1207" s="8" t="str">
        <f>IFERROR(__xludf.DUMMYFUNCTION("""COMPUTED_VALUE"""),"FLSP")</f>
        <v>FLSP</v>
      </c>
    </row>
    <row r="1208">
      <c r="A1208" s="8" t="str">
        <f>IFERROR(__xludf.DUMMYFUNCTION("""COMPUTED_VALUE"""),"FLE261")</f>
        <v>FLE261</v>
      </c>
      <c r="B1208" s="8" t="str">
        <f>IFERROR(__xludf.DUMMYFUNCTION("""COMPUTED_VALUE"""),"RUN-FLMP_2022-05-05_RFR-126")</f>
        <v>RUN-FLMP_2022-05-05_RFR-126</v>
      </c>
      <c r="C1208" s="10">
        <f>VLOOKUP(B1208,'Run Reconcile'!A$2:B1579,2,FALSE)</f>
        <v>44686</v>
      </c>
      <c r="D1208" s="14">
        <f>IFERROR(__xludf.DUMMYFUNCTION("""COMPUTED_VALUE"""),44686.0)</f>
        <v>44686</v>
      </c>
      <c r="E1208" s="15">
        <f>IFERROR(__xludf.DUMMYFUNCTION("""COMPUTED_VALUE"""),0.3916782407395658)</f>
        <v>0.3916782407</v>
      </c>
      <c r="F1208" s="8" t="str">
        <f>IFERROR(__xludf.DUMMYFUNCTION("""COMPUTED_VALUE"""),"Negative")</f>
        <v>Negative</v>
      </c>
      <c r="G1208" s="16">
        <f>IFERROR(__xludf.DUMMYFUNCTION("""COMPUTED_VALUE"""),1.0)</f>
        <v>1</v>
      </c>
      <c r="H1208" s="8" t="str">
        <f>IFERROR(__xludf.DUMMYFUNCTION("""COMPUTED_VALUE"""),"FLSP")</f>
        <v>FLSP</v>
      </c>
    </row>
    <row r="1209">
      <c r="A1209" s="8" t="str">
        <f>IFERROR(__xludf.DUMMYFUNCTION("""COMPUTED_VALUE"""),"AH7435")</f>
        <v>AH7435</v>
      </c>
      <c r="B1209" s="8" t="str">
        <f>IFERROR(__xludf.DUMMYFUNCTION("""COMPUTED_VALUE"""),"RUN-FLMP_2022-05-05_RFR-126")</f>
        <v>RUN-FLMP_2022-05-05_RFR-126</v>
      </c>
      <c r="C1209" s="10">
        <f>VLOOKUP(B1209,'Run Reconcile'!A$2:B1579,2,FALSE)</f>
        <v>44686</v>
      </c>
      <c r="D1209" s="14">
        <f>IFERROR(__xludf.DUMMYFUNCTION("""COMPUTED_VALUE"""),44686.0)</f>
        <v>44686</v>
      </c>
      <c r="E1209" s="15">
        <f>IFERROR(__xludf.DUMMYFUNCTION("""COMPUTED_VALUE"""),0.4369097222224809)</f>
        <v>0.4369097222</v>
      </c>
      <c r="F1209" s="8" t="str">
        <f>IFERROR(__xludf.DUMMYFUNCTION("""COMPUTED_VALUE"""),"Negative")</f>
        <v>Negative</v>
      </c>
      <c r="G1209" s="16">
        <f>IFERROR(__xludf.DUMMYFUNCTION("""COMPUTED_VALUE"""),4.0)</f>
        <v>4</v>
      </c>
      <c r="H1209" s="8" t="str">
        <f>IFERROR(__xludf.DUMMYFUNCTION("""COMPUTED_VALUE"""),"CRLN")</f>
        <v>CRLN</v>
      </c>
    </row>
    <row r="1210">
      <c r="A1210" s="8" t="str">
        <f>IFERROR(__xludf.DUMMYFUNCTION("""COMPUTED_VALUE"""),"AJ6912")</f>
        <v>AJ6912</v>
      </c>
      <c r="B1210" s="8" t="str">
        <f>IFERROR(__xludf.DUMMYFUNCTION("""COMPUTED_VALUE"""),"RUN-FLMP_2022-05-09_RFR-128")</f>
        <v>RUN-FLMP_2022-05-09_RFR-128</v>
      </c>
      <c r="C1210" s="10">
        <f>VLOOKUP(B1210,'Run Reconcile'!A$2:B1579,2,FALSE)</f>
        <v>44690</v>
      </c>
      <c r="D1210" s="14">
        <f>IFERROR(__xludf.DUMMYFUNCTION("""COMPUTED_VALUE"""),44689.0)</f>
        <v>44689</v>
      </c>
      <c r="E1210" s="15">
        <f>IFERROR(__xludf.DUMMYFUNCTION("""COMPUTED_VALUE"""),0.7787152777782467)</f>
        <v>0.7787152778</v>
      </c>
      <c r="F1210" s="8" t="str">
        <f>IFERROR(__xludf.DUMMYFUNCTION("""COMPUTED_VALUE"""),"Inconclusive")</f>
        <v>Inconclusive</v>
      </c>
      <c r="G1210" s="16">
        <f>IFERROR(__xludf.DUMMYFUNCTION("""COMPUTED_VALUE"""),3.0)</f>
        <v>3</v>
      </c>
      <c r="H1210" s="8" t="str">
        <f>IFERROR(__xludf.DUMMYFUNCTION("""COMPUTED_VALUE"""),"CRLN")</f>
        <v>CRLN</v>
      </c>
    </row>
    <row r="1211">
      <c r="A1211" s="8" t="str">
        <f>IFERROR(__xludf.DUMMYFUNCTION("""COMPUTED_VALUE"""),"FLE254")</f>
        <v>FLE254</v>
      </c>
      <c r="B1211" s="8" t="str">
        <f>IFERROR(__xludf.DUMMYFUNCTION("""COMPUTED_VALUE"""),"RUN-FLMP_2022-05-09_RFR-128")</f>
        <v>RUN-FLMP_2022-05-09_RFR-128</v>
      </c>
      <c r="C1211" s="10">
        <f>VLOOKUP(B1211,'Run Reconcile'!A$2:B1579,2,FALSE)</f>
        <v>44690</v>
      </c>
      <c r="D1211" s="14">
        <f>IFERROR(__xludf.DUMMYFUNCTION("""COMPUTED_VALUE"""),44689.0)</f>
        <v>44689</v>
      </c>
      <c r="E1211" s="15">
        <f>IFERROR(__xludf.DUMMYFUNCTION("""COMPUTED_VALUE"""),0.820486111111677)</f>
        <v>0.8204861111</v>
      </c>
      <c r="F1211" s="8" t="str">
        <f>IFERROR(__xludf.DUMMYFUNCTION("""COMPUTED_VALUE"""),"Negative")</f>
        <v>Negative</v>
      </c>
      <c r="G1211" s="16">
        <f>IFERROR(__xludf.DUMMYFUNCTION("""COMPUTED_VALUE"""),3.0)</f>
        <v>3</v>
      </c>
      <c r="H1211" s="8" t="str">
        <f>IFERROR(__xludf.DUMMYFUNCTION("""COMPUTED_VALUE"""),"CRLN")</f>
        <v>CRLN</v>
      </c>
    </row>
    <row r="1212">
      <c r="A1212" s="8" t="str">
        <f>IFERROR(__xludf.DUMMYFUNCTION("""COMPUTED_VALUE"""),"AH7037")</f>
        <v>AH7037</v>
      </c>
      <c r="B1212" s="8" t="str">
        <f>IFERROR(__xludf.DUMMYFUNCTION("""COMPUTED_VALUE"""),"RUN-FLMP_2022-05-09_RFR-128")</f>
        <v>RUN-FLMP_2022-05-09_RFR-128</v>
      </c>
      <c r="C1212" s="10">
        <f>VLOOKUP(B1212,'Run Reconcile'!A$2:B1579,2,FALSE)</f>
        <v>44690</v>
      </c>
      <c r="D1212" s="14">
        <f>IFERROR(__xludf.DUMMYFUNCTION("""COMPUTED_VALUE"""),44689.0)</f>
        <v>44689</v>
      </c>
      <c r="E1212" s="15">
        <f>IFERROR(__xludf.DUMMYFUNCTION("""COMPUTED_VALUE"""),0.8972569444449618)</f>
        <v>0.8972569444</v>
      </c>
      <c r="F1212" s="8" t="str">
        <f>IFERROR(__xludf.DUMMYFUNCTION("""COMPUTED_VALUE"""),"Negative")</f>
        <v>Negative</v>
      </c>
      <c r="G1212" s="16">
        <f>IFERROR(__xludf.DUMMYFUNCTION("""COMPUTED_VALUE"""),1.0)</f>
        <v>1</v>
      </c>
      <c r="H1212" s="8" t="str">
        <f>IFERROR(__xludf.DUMMYFUNCTION("""COMPUTED_VALUE"""),"CRLN")</f>
        <v>CRLN</v>
      </c>
    </row>
    <row r="1213">
      <c r="A1213" s="8" t="str">
        <f>IFERROR(__xludf.DUMMYFUNCTION("""COMPUTED_VALUE"""),"AG3012")</f>
        <v>AG3012</v>
      </c>
      <c r="B1213" s="8" t="str">
        <f>IFERROR(__xludf.DUMMYFUNCTION("""COMPUTED_VALUE"""),"RUN-FLMP_2022-05-09_RFR-128")</f>
        <v>RUN-FLMP_2022-05-09_RFR-128</v>
      </c>
      <c r="C1213" s="10">
        <f>VLOOKUP(B1213,'Run Reconcile'!A$2:B1579,2,FALSE)</f>
        <v>44690</v>
      </c>
      <c r="D1213" s="14">
        <f>IFERROR(__xludf.DUMMYFUNCTION("""COMPUTED_VALUE"""),44690.0)</f>
        <v>44690</v>
      </c>
      <c r="E1213" s="15">
        <f>IFERROR(__xludf.DUMMYFUNCTION("""COMPUTED_VALUE"""),0.29834490740904585)</f>
        <v>0.2983449074</v>
      </c>
      <c r="F1213" s="8" t="str">
        <f>IFERROR(__xludf.DUMMYFUNCTION("""COMPUTED_VALUE"""),"Negative")</f>
        <v>Negative</v>
      </c>
      <c r="G1213" s="16">
        <f>IFERROR(__xludf.DUMMYFUNCTION("""COMPUTED_VALUE"""),1.0)</f>
        <v>1</v>
      </c>
      <c r="H1213" s="8" t="str">
        <f>IFERROR(__xludf.DUMMYFUNCTION("""COMPUTED_VALUE"""),"CRLN")</f>
        <v>CRLN</v>
      </c>
    </row>
    <row r="1214">
      <c r="A1214" s="8" t="str">
        <f>IFERROR(__xludf.DUMMYFUNCTION("""COMPUTED_VALUE"""),"AH911")</f>
        <v>AH911</v>
      </c>
      <c r="B1214" s="8" t="str">
        <f>IFERROR(__xludf.DUMMYFUNCTION("""COMPUTED_VALUE"""),"RUN-FLMP_2022-05-09_APS-090")</f>
        <v>RUN-FLMP_2022-05-09_APS-090</v>
      </c>
      <c r="C1214" s="10">
        <f>VLOOKUP(B1214,'Run Reconcile'!A$2:B1579,2,FALSE)</f>
        <v>44690</v>
      </c>
      <c r="D1214" s="14">
        <f>IFERROR(__xludf.DUMMYFUNCTION("""COMPUTED_VALUE"""),44690.0)</f>
        <v>44690</v>
      </c>
      <c r="E1214" s="15">
        <f>IFERROR(__xludf.DUMMYFUNCTION("""COMPUTED_VALUE"""),0.3026620370364981)</f>
        <v>0.302662037</v>
      </c>
      <c r="F1214" s="8" t="str">
        <f>IFERROR(__xludf.DUMMYFUNCTION("""COMPUTED_VALUE"""),"Negative")</f>
        <v>Negative</v>
      </c>
      <c r="G1214" s="16">
        <f>IFERROR(__xludf.DUMMYFUNCTION("""COMPUTED_VALUE"""),1.0)</f>
        <v>1</v>
      </c>
      <c r="H1214" s="8" t="str">
        <f>IFERROR(__xludf.DUMMYFUNCTION("""COMPUTED_VALUE"""),"CRLN")</f>
        <v>CRLN</v>
      </c>
    </row>
    <row r="1215">
      <c r="A1215" s="8" t="str">
        <f>IFERROR(__xludf.DUMMYFUNCTION("""COMPUTED_VALUE"""),"AH532")</f>
        <v>AH532</v>
      </c>
      <c r="B1215" s="8" t="str">
        <f>IFERROR(__xludf.DUMMYFUNCTION("""COMPUTED_VALUE"""),"RUN-FLMP_2022-05-09_RFR-128")</f>
        <v>RUN-FLMP_2022-05-09_RFR-128</v>
      </c>
      <c r="C1215" s="10">
        <f>VLOOKUP(B1215,'Run Reconcile'!A$2:B1579,2,FALSE)</f>
        <v>44690</v>
      </c>
      <c r="D1215" s="14">
        <f>IFERROR(__xludf.DUMMYFUNCTION("""COMPUTED_VALUE"""),44690.0)</f>
        <v>44690</v>
      </c>
      <c r="E1215" s="15">
        <f>IFERROR(__xludf.DUMMYFUNCTION("""COMPUTED_VALUE"""),0.3031944444446708)</f>
        <v>0.3031944444</v>
      </c>
      <c r="F1215" s="8" t="str">
        <f>IFERROR(__xludf.DUMMYFUNCTION("""COMPUTED_VALUE"""),"Negative")</f>
        <v>Negative</v>
      </c>
      <c r="G1215" s="16">
        <f>IFERROR(__xludf.DUMMYFUNCTION("""COMPUTED_VALUE"""),3.0)</f>
        <v>3</v>
      </c>
      <c r="H1215" s="8" t="str">
        <f>IFERROR(__xludf.DUMMYFUNCTION("""COMPUTED_VALUE"""),"CRLN")</f>
        <v>CRLN</v>
      </c>
    </row>
    <row r="1216">
      <c r="A1216" s="8" t="str">
        <f>IFERROR(__xludf.DUMMYFUNCTION("""COMPUTED_VALUE"""),"AJ8250")</f>
        <v>AJ8250</v>
      </c>
      <c r="B1216" s="8" t="str">
        <f>IFERROR(__xludf.DUMMYFUNCTION("""COMPUTED_VALUE"""),"RUN-FLMP_2022-05-09_APS-090")</f>
        <v>RUN-FLMP_2022-05-09_APS-090</v>
      </c>
      <c r="C1216" s="10">
        <f>VLOOKUP(B1216,'Run Reconcile'!A$2:B1579,2,FALSE)</f>
        <v>44690</v>
      </c>
      <c r="D1216" s="14">
        <f>IFERROR(__xludf.DUMMYFUNCTION("""COMPUTED_VALUE"""),44690.0)</f>
        <v>44690</v>
      </c>
      <c r="E1216" s="15">
        <f>IFERROR(__xludf.DUMMYFUNCTION("""COMPUTED_VALUE"""),0.31328703703547944)</f>
        <v>0.313287037</v>
      </c>
      <c r="F1216" s="8" t="str">
        <f>IFERROR(__xludf.DUMMYFUNCTION("""COMPUTED_VALUE"""),"Negative")</f>
        <v>Negative</v>
      </c>
      <c r="G1216" s="16">
        <f>IFERROR(__xludf.DUMMYFUNCTION("""COMPUTED_VALUE"""),1.0)</f>
        <v>1</v>
      </c>
      <c r="H1216" s="8" t="str">
        <f>IFERROR(__xludf.DUMMYFUNCTION("""COMPUTED_VALUE"""),"CRLN")</f>
        <v>CRLN</v>
      </c>
    </row>
    <row r="1217">
      <c r="A1217" s="8" t="str">
        <f>IFERROR(__xludf.DUMMYFUNCTION("""COMPUTED_VALUE"""),"AG1128")</f>
        <v>AG1128</v>
      </c>
      <c r="B1217" s="8" t="str">
        <f>IFERROR(__xludf.DUMMYFUNCTION("""COMPUTED_VALUE"""),"RUN-FLMP_2022-05-09_APS-090")</f>
        <v>RUN-FLMP_2022-05-09_APS-090</v>
      </c>
      <c r="C1217" s="10">
        <f>VLOOKUP(B1217,'Run Reconcile'!A$2:B1579,2,FALSE)</f>
        <v>44690</v>
      </c>
      <c r="D1217" s="14">
        <f>IFERROR(__xludf.DUMMYFUNCTION("""COMPUTED_VALUE"""),44690.0)</f>
        <v>44690</v>
      </c>
      <c r="E1217" s="15">
        <f>IFERROR(__xludf.DUMMYFUNCTION("""COMPUTED_VALUE"""),0.31582175926087075)</f>
        <v>0.3158217593</v>
      </c>
      <c r="F1217" s="8" t="str">
        <f>IFERROR(__xludf.DUMMYFUNCTION("""COMPUTED_VALUE"""),"Negative")</f>
        <v>Negative</v>
      </c>
      <c r="G1217" s="16">
        <f>IFERROR(__xludf.DUMMYFUNCTION("""COMPUTED_VALUE"""),1.0)</f>
        <v>1</v>
      </c>
      <c r="H1217" s="8" t="str">
        <f>IFERROR(__xludf.DUMMYFUNCTION("""COMPUTED_VALUE"""),"CRLN")</f>
        <v>CRLN</v>
      </c>
    </row>
    <row r="1218">
      <c r="A1218" s="8" t="str">
        <f>IFERROR(__xludf.DUMMYFUNCTION("""COMPUTED_VALUE"""),"AJ7592")</f>
        <v>AJ7592</v>
      </c>
      <c r="B1218" s="8" t="str">
        <f>IFERROR(__xludf.DUMMYFUNCTION("""COMPUTED_VALUE"""),"RUN-FLMP_2022-05-09_RFR-128")</f>
        <v>RUN-FLMP_2022-05-09_RFR-128</v>
      </c>
      <c r="C1218" s="10">
        <f>VLOOKUP(B1218,'Run Reconcile'!A$2:B1579,2,FALSE)</f>
        <v>44690</v>
      </c>
      <c r="D1218" s="14">
        <f>IFERROR(__xludf.DUMMYFUNCTION("""COMPUTED_VALUE"""),44690.0)</f>
        <v>44690</v>
      </c>
      <c r="E1218" s="15">
        <f>IFERROR(__xludf.DUMMYFUNCTION("""COMPUTED_VALUE"""),0.32561342592453)</f>
        <v>0.3256134259</v>
      </c>
      <c r="F1218" s="8" t="str">
        <f>IFERROR(__xludf.DUMMYFUNCTION("""COMPUTED_VALUE"""),"Negative")</f>
        <v>Negative</v>
      </c>
      <c r="G1218" s="16">
        <f>IFERROR(__xludf.DUMMYFUNCTION("""COMPUTED_VALUE"""),3.0)</f>
        <v>3</v>
      </c>
      <c r="H1218" s="8" t="str">
        <f>IFERROR(__xludf.DUMMYFUNCTION("""COMPUTED_VALUE"""),"CRLN")</f>
        <v>CRLN</v>
      </c>
    </row>
    <row r="1219">
      <c r="A1219" s="8" t="str">
        <f>IFERROR(__xludf.DUMMYFUNCTION("""COMPUTED_VALUE"""),"AG317")</f>
        <v>AG317</v>
      </c>
      <c r="B1219" s="8" t="str">
        <f>IFERROR(__xludf.DUMMYFUNCTION("""COMPUTED_VALUE"""),"RUN-FLMP_2022-05-09_RFR-128")</f>
        <v>RUN-FLMP_2022-05-09_RFR-128</v>
      </c>
      <c r="C1219" s="10">
        <f>VLOOKUP(B1219,'Run Reconcile'!A$2:B1579,2,FALSE)</f>
        <v>44690</v>
      </c>
      <c r="D1219" s="14">
        <f>IFERROR(__xludf.DUMMYFUNCTION("""COMPUTED_VALUE"""),44690.0)</f>
        <v>44690</v>
      </c>
      <c r="E1219" s="15">
        <f>IFERROR(__xludf.DUMMYFUNCTION("""COMPUTED_VALUE"""),0.3261226851864194)</f>
        <v>0.3261226852</v>
      </c>
      <c r="F1219" s="8" t="str">
        <f>IFERROR(__xludf.DUMMYFUNCTION("""COMPUTED_VALUE"""),"Negative")</f>
        <v>Negative</v>
      </c>
      <c r="G1219" s="16">
        <f>IFERROR(__xludf.DUMMYFUNCTION("""COMPUTED_VALUE"""),3.0)</f>
        <v>3</v>
      </c>
      <c r="H1219" s="8" t="str">
        <f>IFERROR(__xludf.DUMMYFUNCTION("""COMPUTED_VALUE"""),"CRLN")</f>
        <v>CRLN</v>
      </c>
    </row>
    <row r="1220">
      <c r="A1220" s="8" t="str">
        <f>IFERROR(__xludf.DUMMYFUNCTION("""COMPUTED_VALUE"""),"AG1533")</f>
        <v>AG1533</v>
      </c>
      <c r="B1220" s="8" t="str">
        <f>IFERROR(__xludf.DUMMYFUNCTION("""COMPUTED_VALUE"""),"RUN-FLMP_2022-05-09_RFR-128")</f>
        <v>RUN-FLMP_2022-05-09_RFR-128</v>
      </c>
      <c r="C1220" s="10">
        <f>VLOOKUP(B1220,'Run Reconcile'!A$2:B1579,2,FALSE)</f>
        <v>44690</v>
      </c>
      <c r="D1220" s="14">
        <f>IFERROR(__xludf.DUMMYFUNCTION("""COMPUTED_VALUE"""),44690.0)</f>
        <v>44690</v>
      </c>
      <c r="E1220" s="15">
        <f>IFERROR(__xludf.DUMMYFUNCTION("""COMPUTED_VALUE"""),0.3264583333329938)</f>
        <v>0.3264583333</v>
      </c>
      <c r="F1220" s="8" t="str">
        <f>IFERROR(__xludf.DUMMYFUNCTION("""COMPUTED_VALUE"""),"Negative")</f>
        <v>Negative</v>
      </c>
      <c r="G1220" s="16">
        <f>IFERROR(__xludf.DUMMYFUNCTION("""COMPUTED_VALUE"""),4.0)</f>
        <v>4</v>
      </c>
      <c r="H1220" s="8" t="str">
        <f>IFERROR(__xludf.DUMMYFUNCTION("""COMPUTED_VALUE"""),"CRLN")</f>
        <v>CRLN</v>
      </c>
    </row>
    <row r="1221">
      <c r="A1221" s="8" t="str">
        <f>IFERROR(__xludf.DUMMYFUNCTION("""COMPUTED_VALUE"""),"FLB7409")</f>
        <v>FLB7409</v>
      </c>
      <c r="B1221" s="8" t="str">
        <f>IFERROR(__xludf.DUMMYFUNCTION("""COMPUTED_VALUE"""),"RUN-FLMP_2022-05-09_APS-090")</f>
        <v>RUN-FLMP_2022-05-09_APS-090</v>
      </c>
      <c r="C1221" s="10">
        <f>VLOOKUP(B1221,'Run Reconcile'!A$2:B1579,2,FALSE)</f>
        <v>44690</v>
      </c>
      <c r="D1221" s="14">
        <f>IFERROR(__xludf.DUMMYFUNCTION("""COMPUTED_VALUE"""),44690.0)</f>
        <v>44690</v>
      </c>
      <c r="E1221" s="15">
        <f>IFERROR(__xludf.DUMMYFUNCTION("""COMPUTED_VALUE"""),0.32945601851679385)</f>
        <v>0.3294560185</v>
      </c>
      <c r="F1221" s="8" t="str">
        <f>IFERROR(__xludf.DUMMYFUNCTION("""COMPUTED_VALUE"""),"Negative")</f>
        <v>Negative</v>
      </c>
      <c r="G1221" s="16">
        <f>IFERROR(__xludf.DUMMYFUNCTION("""COMPUTED_VALUE"""),2.0)</f>
        <v>2</v>
      </c>
      <c r="H1221" s="8" t="str">
        <f>IFERROR(__xludf.DUMMYFUNCTION("""COMPUTED_VALUE"""),"CRLN")</f>
        <v>CRLN</v>
      </c>
    </row>
    <row r="1222">
      <c r="A1222" s="8" t="str">
        <f>IFERROR(__xludf.DUMMYFUNCTION("""COMPUTED_VALUE"""),"AJ7469")</f>
        <v>AJ7469</v>
      </c>
      <c r="B1222" s="8" t="str">
        <f>IFERROR(__xludf.DUMMYFUNCTION("""COMPUTED_VALUE"""),"RUN-FLMP_2022-05-09_RFR-128")</f>
        <v>RUN-FLMP_2022-05-09_RFR-128</v>
      </c>
      <c r="C1222" s="10">
        <f>VLOOKUP(B1222,'Run Reconcile'!A$2:B1579,2,FALSE)</f>
        <v>44690</v>
      </c>
      <c r="D1222" s="14">
        <f>IFERROR(__xludf.DUMMYFUNCTION("""COMPUTED_VALUE"""),44690.0)</f>
        <v>44690</v>
      </c>
      <c r="E1222" s="15">
        <f>IFERROR(__xludf.DUMMYFUNCTION("""COMPUTED_VALUE"""),0.3302662037021946)</f>
        <v>0.3302662037</v>
      </c>
      <c r="F1222" s="8" t="str">
        <f>IFERROR(__xludf.DUMMYFUNCTION("""COMPUTED_VALUE"""),"Negative")</f>
        <v>Negative</v>
      </c>
      <c r="G1222" s="16">
        <f>IFERROR(__xludf.DUMMYFUNCTION("""COMPUTED_VALUE"""),1.0)</f>
        <v>1</v>
      </c>
      <c r="H1222" s="8" t="str">
        <f>IFERROR(__xludf.DUMMYFUNCTION("""COMPUTED_VALUE"""),"CRLN")</f>
        <v>CRLN</v>
      </c>
    </row>
    <row r="1223">
      <c r="A1223" s="8" t="str">
        <f>IFERROR(__xludf.DUMMYFUNCTION("""COMPUTED_VALUE"""),"AJ8958")</f>
        <v>AJ8958</v>
      </c>
      <c r="B1223" s="8" t="str">
        <f>IFERROR(__xludf.DUMMYFUNCTION("""COMPUTED_VALUE"""),"RUN-FLMP_2022-05-09_RFR-128")</f>
        <v>RUN-FLMP_2022-05-09_RFR-128</v>
      </c>
      <c r="C1223" s="10">
        <f>VLOOKUP(B1223,'Run Reconcile'!A$2:B1579,2,FALSE)</f>
        <v>44690</v>
      </c>
      <c r="D1223" s="14">
        <f>IFERROR(__xludf.DUMMYFUNCTION("""COMPUTED_VALUE"""),44690.0)</f>
        <v>44690</v>
      </c>
      <c r="E1223" s="15">
        <f>IFERROR(__xludf.DUMMYFUNCTION("""COMPUTED_VALUE"""),0.33171296296131914)</f>
        <v>0.331712963</v>
      </c>
      <c r="F1223" s="8" t="str">
        <f>IFERROR(__xludf.DUMMYFUNCTION("""COMPUTED_VALUE"""),"Positive")</f>
        <v>Positive</v>
      </c>
      <c r="G1223" s="16">
        <f>IFERROR(__xludf.DUMMYFUNCTION("""COMPUTED_VALUE"""),4.0)</f>
        <v>4</v>
      </c>
      <c r="H1223" s="8" t="str">
        <f>IFERROR(__xludf.DUMMYFUNCTION("""COMPUTED_VALUE"""),"CRLN")</f>
        <v>CRLN</v>
      </c>
    </row>
    <row r="1224">
      <c r="A1224" s="8" t="str">
        <f>IFERROR(__xludf.DUMMYFUNCTION("""COMPUTED_VALUE"""),"AH520")</f>
        <v>AH520</v>
      </c>
      <c r="B1224" s="8" t="str">
        <f>IFERROR(__xludf.DUMMYFUNCTION("""COMPUTED_VALUE"""),"RUN-FLMP_2022-05-09_RFR-128")</f>
        <v>RUN-FLMP_2022-05-09_RFR-128</v>
      </c>
      <c r="C1224" s="10">
        <f>VLOOKUP(B1224,'Run Reconcile'!A$2:B1579,2,FALSE)</f>
        <v>44690</v>
      </c>
      <c r="D1224" s="14">
        <f>IFERROR(__xludf.DUMMYFUNCTION("""COMPUTED_VALUE"""),44690.0)</f>
        <v>44690</v>
      </c>
      <c r="E1224" s="15">
        <f>IFERROR(__xludf.DUMMYFUNCTION("""COMPUTED_VALUE"""),0.3452083333322662)</f>
        <v>0.3452083333</v>
      </c>
      <c r="F1224" s="8" t="str">
        <f>IFERROR(__xludf.DUMMYFUNCTION("""COMPUTED_VALUE"""),"Negative")</f>
        <v>Negative</v>
      </c>
      <c r="G1224" s="16">
        <f>IFERROR(__xludf.DUMMYFUNCTION("""COMPUTED_VALUE"""),1.0)</f>
        <v>1</v>
      </c>
      <c r="H1224" s="8" t="str">
        <f>IFERROR(__xludf.DUMMYFUNCTION("""COMPUTED_VALUE"""),"CRLN")</f>
        <v>CRLN</v>
      </c>
    </row>
    <row r="1225">
      <c r="A1225" s="8" t="str">
        <f>IFERROR(__xludf.DUMMYFUNCTION("""COMPUTED_VALUE"""),"AH1707")</f>
        <v>AH1707</v>
      </c>
      <c r="B1225" s="8" t="str">
        <f>IFERROR(__xludf.DUMMYFUNCTION("""COMPUTED_VALUE"""),"RUN-FLMP_2022-05-09_RFR-128")</f>
        <v>RUN-FLMP_2022-05-09_RFR-128</v>
      </c>
      <c r="C1225" s="10">
        <f>VLOOKUP(B1225,'Run Reconcile'!A$2:B1579,2,FALSE)</f>
        <v>44690</v>
      </c>
      <c r="D1225" s="14">
        <f>IFERROR(__xludf.DUMMYFUNCTION("""COMPUTED_VALUE"""),44690.0)</f>
        <v>44690</v>
      </c>
      <c r="E1225" s="15">
        <f>IFERROR(__xludf.DUMMYFUNCTION("""COMPUTED_VALUE"""),0.3518981481465744)</f>
        <v>0.3518981481</v>
      </c>
      <c r="F1225" s="8" t="str">
        <f>IFERROR(__xludf.DUMMYFUNCTION("""COMPUTED_VALUE"""),"Negative")</f>
        <v>Negative</v>
      </c>
      <c r="G1225" s="16">
        <f>IFERROR(__xludf.DUMMYFUNCTION("""COMPUTED_VALUE"""),4.0)</f>
        <v>4</v>
      </c>
      <c r="H1225" s="8" t="str">
        <f>IFERROR(__xludf.DUMMYFUNCTION("""COMPUTED_VALUE"""),"CRLN")</f>
        <v>CRLN</v>
      </c>
    </row>
    <row r="1226">
      <c r="A1226" s="8" t="str">
        <f>IFERROR(__xludf.DUMMYFUNCTION("""COMPUTED_VALUE"""),"AH7339")</f>
        <v>AH7339</v>
      </c>
      <c r="B1226" s="8" t="str">
        <f>IFERROR(__xludf.DUMMYFUNCTION("""COMPUTED_VALUE"""),"RUN-FLMP_2022-05-09_RFR-128")</f>
        <v>RUN-FLMP_2022-05-09_RFR-128</v>
      </c>
      <c r="C1226" s="10">
        <f>VLOOKUP(B1226,'Run Reconcile'!A$2:B1579,2,FALSE)</f>
        <v>44690</v>
      </c>
      <c r="D1226" s="14">
        <f>IFERROR(__xludf.DUMMYFUNCTION("""COMPUTED_VALUE"""),44690.0)</f>
        <v>44690</v>
      </c>
      <c r="E1226" s="15">
        <f>IFERROR(__xludf.DUMMYFUNCTION("""COMPUTED_VALUE"""),0.3609027777783922)</f>
        <v>0.3609027778</v>
      </c>
      <c r="F1226" s="8" t="str">
        <f>IFERROR(__xludf.DUMMYFUNCTION("""COMPUTED_VALUE"""),"Negative")</f>
        <v>Negative</v>
      </c>
      <c r="G1226" s="16">
        <f>IFERROR(__xludf.DUMMYFUNCTION("""COMPUTED_VALUE"""),1.0)</f>
        <v>1</v>
      </c>
      <c r="H1226" s="8" t="str">
        <f>IFERROR(__xludf.DUMMYFUNCTION("""COMPUTED_VALUE"""),"CRLN")</f>
        <v>CRLN</v>
      </c>
    </row>
    <row r="1227">
      <c r="A1227" s="8" t="str">
        <f>IFERROR(__xludf.DUMMYFUNCTION("""COMPUTED_VALUE"""),"FLB6809")</f>
        <v>FLB6809</v>
      </c>
      <c r="B1227" s="8" t="str">
        <f>IFERROR(__xludf.DUMMYFUNCTION("""COMPUTED_VALUE"""),"RUN-FLMP_2022-05-09_RFR-128")</f>
        <v>RUN-FLMP_2022-05-09_RFR-128</v>
      </c>
      <c r="C1227" s="10">
        <f>VLOOKUP(B1227,'Run Reconcile'!A$2:B1579,2,FALSE)</f>
        <v>44690</v>
      </c>
      <c r="D1227" s="14">
        <f>IFERROR(__xludf.DUMMYFUNCTION("""COMPUTED_VALUE"""),44690.0)</f>
        <v>44690</v>
      </c>
      <c r="E1227" s="15">
        <f>IFERROR(__xludf.DUMMYFUNCTION("""COMPUTED_VALUE"""),0.3634375000001455)</f>
        <v>0.3634375</v>
      </c>
      <c r="F1227" s="8" t="str">
        <f>IFERROR(__xludf.DUMMYFUNCTION("""COMPUTED_VALUE"""),"Negative")</f>
        <v>Negative</v>
      </c>
      <c r="G1227" s="16">
        <f>IFERROR(__xludf.DUMMYFUNCTION("""COMPUTED_VALUE"""),2.0)</f>
        <v>2</v>
      </c>
      <c r="H1227" s="8" t="str">
        <f>IFERROR(__xludf.DUMMYFUNCTION("""COMPUTED_VALUE"""),"CRLN")</f>
        <v>CRLN</v>
      </c>
    </row>
    <row r="1228">
      <c r="A1228" s="8" t="str">
        <f>IFERROR(__xludf.DUMMYFUNCTION("""COMPUTED_VALUE"""),"AG896")</f>
        <v>AG896</v>
      </c>
      <c r="B1228" s="8" t="str">
        <f>IFERROR(__xludf.DUMMYFUNCTION("""COMPUTED_VALUE"""),"RUN-FLMP_2022-05-09_RFR-128")</f>
        <v>RUN-FLMP_2022-05-09_RFR-128</v>
      </c>
      <c r="C1228" s="10">
        <f>VLOOKUP(B1228,'Run Reconcile'!A$2:B1579,2,FALSE)</f>
        <v>44690</v>
      </c>
      <c r="D1228" s="14">
        <f>IFERROR(__xludf.DUMMYFUNCTION("""COMPUTED_VALUE"""),44690.0)</f>
        <v>44690</v>
      </c>
      <c r="E1228" s="15">
        <f>IFERROR(__xludf.DUMMYFUNCTION("""COMPUTED_VALUE"""),0.3636342592581059)</f>
        <v>0.3636342593</v>
      </c>
      <c r="F1228" s="8" t="str">
        <f>IFERROR(__xludf.DUMMYFUNCTION("""COMPUTED_VALUE"""),"Negative")</f>
        <v>Negative</v>
      </c>
      <c r="G1228" s="16">
        <f>IFERROR(__xludf.DUMMYFUNCTION("""COMPUTED_VALUE"""),1.0)</f>
        <v>1</v>
      </c>
      <c r="H1228" s="8" t="str">
        <f>IFERROR(__xludf.DUMMYFUNCTION("""COMPUTED_VALUE"""),"CRLN")</f>
        <v>CRLN</v>
      </c>
    </row>
    <row r="1229">
      <c r="A1229" s="8" t="str">
        <f>IFERROR(__xludf.DUMMYFUNCTION("""COMPUTED_VALUE"""),"FLE295")</f>
        <v>FLE295</v>
      </c>
      <c r="B1229" s="8" t="str">
        <f>IFERROR(__xludf.DUMMYFUNCTION("""COMPUTED_VALUE"""),"RUN-FLMP_2022-05-09_RFR-128")</f>
        <v>RUN-FLMP_2022-05-09_RFR-128</v>
      </c>
      <c r="C1229" s="10">
        <f>VLOOKUP(B1229,'Run Reconcile'!A$2:B1579,2,FALSE)</f>
        <v>44690</v>
      </c>
      <c r="D1229" s="14">
        <f>IFERROR(__xludf.DUMMYFUNCTION("""COMPUTED_VALUE"""),44690.0)</f>
        <v>44690</v>
      </c>
      <c r="E1229" s="15">
        <f>IFERROR(__xludf.DUMMYFUNCTION("""COMPUTED_VALUE"""),0.3664930555569299)</f>
        <v>0.3664930556</v>
      </c>
      <c r="F1229" s="8" t="str">
        <f>IFERROR(__xludf.DUMMYFUNCTION("""COMPUTED_VALUE"""),"Negative")</f>
        <v>Negative</v>
      </c>
      <c r="G1229" s="16">
        <f>IFERROR(__xludf.DUMMYFUNCTION("""COMPUTED_VALUE"""),3.0)</f>
        <v>3</v>
      </c>
      <c r="H1229" s="8" t="str">
        <f>IFERROR(__xludf.DUMMYFUNCTION("""COMPUTED_VALUE"""),"CRLN")</f>
        <v>CRLN</v>
      </c>
    </row>
    <row r="1230">
      <c r="A1230" s="8" t="str">
        <f>IFERROR(__xludf.DUMMYFUNCTION("""COMPUTED_VALUE"""),"AH1347")</f>
        <v>AH1347</v>
      </c>
      <c r="B1230" s="8" t="str">
        <f>IFERROR(__xludf.DUMMYFUNCTION("""COMPUTED_VALUE"""),"RUN-FLMP_2022-05-09_RFR-128")</f>
        <v>RUN-FLMP_2022-05-09_RFR-128</v>
      </c>
      <c r="C1230" s="10">
        <f>VLOOKUP(B1230,'Run Reconcile'!A$2:B1579,2,FALSE)</f>
        <v>44690</v>
      </c>
      <c r="D1230" s="14">
        <f>IFERROR(__xludf.DUMMYFUNCTION("""COMPUTED_VALUE"""),44690.0)</f>
        <v>44690</v>
      </c>
      <c r="E1230" s="15">
        <f>IFERROR(__xludf.DUMMYFUNCTION("""COMPUTED_VALUE"""),0.36668981481489027)</f>
        <v>0.3666898148</v>
      </c>
      <c r="F1230" s="8" t="str">
        <f>IFERROR(__xludf.DUMMYFUNCTION("""COMPUTED_VALUE"""),"Negative")</f>
        <v>Negative</v>
      </c>
      <c r="G1230" s="16">
        <f>IFERROR(__xludf.DUMMYFUNCTION("""COMPUTED_VALUE"""),2.0)</f>
        <v>2</v>
      </c>
      <c r="H1230" s="8" t="str">
        <f>IFERROR(__xludf.DUMMYFUNCTION("""COMPUTED_VALUE"""),"CRLN")</f>
        <v>CRLN</v>
      </c>
    </row>
    <row r="1231">
      <c r="A1231" s="8" t="str">
        <f>IFERROR(__xludf.DUMMYFUNCTION("""COMPUTED_VALUE"""),"FLE861")</f>
        <v>FLE861</v>
      </c>
      <c r="B1231" s="8" t="str">
        <f>IFERROR(__xludf.DUMMYFUNCTION("""COMPUTED_VALUE"""),"RUN-FLMP_2022-05-09_RFR-128")</f>
        <v>RUN-FLMP_2022-05-09_RFR-128</v>
      </c>
      <c r="C1231" s="10">
        <f>VLOOKUP(B1231,'Run Reconcile'!A$2:B1579,2,FALSE)</f>
        <v>44690</v>
      </c>
      <c r="D1231" s="14">
        <f>IFERROR(__xludf.DUMMYFUNCTION("""COMPUTED_VALUE"""),44690.0)</f>
        <v>44690</v>
      </c>
      <c r="E1231" s="15">
        <f>IFERROR(__xludf.DUMMYFUNCTION("""COMPUTED_VALUE"""),0.3676967592582514)</f>
        <v>0.3676967593</v>
      </c>
      <c r="F1231" s="8" t="str">
        <f>IFERROR(__xludf.DUMMYFUNCTION("""COMPUTED_VALUE"""),"Negative")</f>
        <v>Negative</v>
      </c>
      <c r="G1231" s="16">
        <f>IFERROR(__xludf.DUMMYFUNCTION("""COMPUTED_VALUE"""),3.0)</f>
        <v>3</v>
      </c>
      <c r="H1231" s="8" t="str">
        <f>IFERROR(__xludf.DUMMYFUNCTION("""COMPUTED_VALUE"""),"CRLN")</f>
        <v>CRLN</v>
      </c>
    </row>
    <row r="1232">
      <c r="A1232" s="8" t="str">
        <f>IFERROR(__xludf.DUMMYFUNCTION("""COMPUTED_VALUE"""),"FLE289")</f>
        <v>FLE289</v>
      </c>
      <c r="B1232" s="8" t="str">
        <f>IFERROR(__xludf.DUMMYFUNCTION("""COMPUTED_VALUE"""),"RUN-FLMP_2022-05-09_RFR-128")</f>
        <v>RUN-FLMP_2022-05-09_RFR-128</v>
      </c>
      <c r="C1232" s="10">
        <f>VLOOKUP(B1232,'Run Reconcile'!A$2:B1579,2,FALSE)</f>
        <v>44690</v>
      </c>
      <c r="D1232" s="14">
        <f>IFERROR(__xludf.DUMMYFUNCTION("""COMPUTED_VALUE"""),44690.0)</f>
        <v>44690</v>
      </c>
      <c r="E1232" s="15">
        <f>IFERROR(__xludf.DUMMYFUNCTION("""COMPUTED_VALUE"""),0.37334490740613546)</f>
        <v>0.3733449074</v>
      </c>
      <c r="F1232" s="8" t="str">
        <f>IFERROR(__xludf.DUMMYFUNCTION("""COMPUTED_VALUE"""),"Negative")</f>
        <v>Negative</v>
      </c>
      <c r="G1232" s="16">
        <f>IFERROR(__xludf.DUMMYFUNCTION("""COMPUTED_VALUE"""),1.0)</f>
        <v>1</v>
      </c>
      <c r="H1232" s="8" t="str">
        <f>IFERROR(__xludf.DUMMYFUNCTION("""COMPUTED_VALUE"""),"FLSP")</f>
        <v>FLSP</v>
      </c>
    </row>
    <row r="1233">
      <c r="A1233" s="8" t="str">
        <f>IFERROR(__xludf.DUMMYFUNCTION("""COMPUTED_VALUE"""),"FLE821")</f>
        <v>FLE821</v>
      </c>
      <c r="B1233" s="8" t="str">
        <f>IFERROR(__xludf.DUMMYFUNCTION("""COMPUTED_VALUE"""),"RUN-FLMP_2022-05-09_RFR-128")</f>
        <v>RUN-FLMP_2022-05-09_RFR-128</v>
      </c>
      <c r="C1233" s="10">
        <f>VLOOKUP(B1233,'Run Reconcile'!A$2:B1579,2,FALSE)</f>
        <v>44690</v>
      </c>
      <c r="D1233" s="14">
        <f>IFERROR(__xludf.DUMMYFUNCTION("""COMPUTED_VALUE"""),44690.0)</f>
        <v>44690</v>
      </c>
      <c r="E1233" s="15">
        <f>IFERROR(__xludf.DUMMYFUNCTION("""COMPUTED_VALUE"""),0.37625000000116415)</f>
        <v>0.37625</v>
      </c>
      <c r="F1233" s="8" t="str">
        <f>IFERROR(__xludf.DUMMYFUNCTION("""COMPUTED_VALUE"""),"Positive")</f>
        <v>Positive</v>
      </c>
      <c r="G1233" s="16">
        <f>IFERROR(__xludf.DUMMYFUNCTION("""COMPUTED_VALUE"""),2.0)</f>
        <v>2</v>
      </c>
      <c r="H1233" s="8" t="str">
        <f>IFERROR(__xludf.DUMMYFUNCTION("""COMPUTED_VALUE"""),"CRLN")</f>
        <v>CRLN</v>
      </c>
    </row>
    <row r="1234">
      <c r="A1234" s="8" t="str">
        <f>IFERROR(__xludf.DUMMYFUNCTION("""COMPUTED_VALUE"""),"FLE836")</f>
        <v>FLE836</v>
      </c>
      <c r="B1234" s="8" t="str">
        <f>IFERROR(__xludf.DUMMYFUNCTION("""COMPUTED_VALUE"""),"RUN-FLMP_2022-05-09_RFR-128")</f>
        <v>RUN-FLMP_2022-05-09_RFR-128</v>
      </c>
      <c r="C1234" s="10">
        <f>VLOOKUP(B1234,'Run Reconcile'!A$2:B1579,2,FALSE)</f>
        <v>44690</v>
      </c>
      <c r="D1234" s="14">
        <f>IFERROR(__xludf.DUMMYFUNCTION("""COMPUTED_VALUE"""),44690.0)</f>
        <v>44690</v>
      </c>
      <c r="E1234" s="15">
        <f>IFERROR(__xludf.DUMMYFUNCTION("""COMPUTED_VALUE"""),0.3765972222208802)</f>
        <v>0.3765972222</v>
      </c>
      <c r="F1234" s="8" t="str">
        <f>IFERROR(__xludf.DUMMYFUNCTION("""COMPUTED_VALUE"""),"Negative")</f>
        <v>Negative</v>
      </c>
      <c r="G1234" s="16">
        <f>IFERROR(__xludf.DUMMYFUNCTION("""COMPUTED_VALUE"""),2.0)</f>
        <v>2</v>
      </c>
      <c r="H1234" s="8" t="str">
        <f>IFERROR(__xludf.DUMMYFUNCTION("""COMPUTED_VALUE"""),"CRLN")</f>
        <v>CRLN</v>
      </c>
    </row>
    <row r="1235">
      <c r="A1235" s="8" t="str">
        <f>IFERROR(__xludf.DUMMYFUNCTION("""COMPUTED_VALUE"""),"FLE233")</f>
        <v>FLE233</v>
      </c>
      <c r="B1235" s="8" t="str">
        <f>IFERROR(__xludf.DUMMYFUNCTION("""COMPUTED_VALUE"""),"RUN-FLMP_2022-05-09_RFR-128")</f>
        <v>RUN-FLMP_2022-05-09_RFR-128</v>
      </c>
      <c r="C1235" s="10">
        <f>VLOOKUP(B1235,'Run Reconcile'!A$2:B1579,2,FALSE)</f>
        <v>44690</v>
      </c>
      <c r="D1235" s="14">
        <f>IFERROR(__xludf.DUMMYFUNCTION("""COMPUTED_VALUE"""),44690.0)</f>
        <v>44690</v>
      </c>
      <c r="E1235" s="15">
        <f>IFERROR(__xludf.DUMMYFUNCTION("""COMPUTED_VALUE"""),0.38461805555562023)</f>
        <v>0.3846180556</v>
      </c>
      <c r="F1235" s="8" t="str">
        <f>IFERROR(__xludf.DUMMYFUNCTION("""COMPUTED_VALUE"""),"Negative")</f>
        <v>Negative</v>
      </c>
      <c r="G1235" s="16">
        <f>IFERROR(__xludf.DUMMYFUNCTION("""COMPUTED_VALUE"""),1.0)</f>
        <v>1</v>
      </c>
      <c r="H1235" s="8" t="str">
        <f>IFERROR(__xludf.DUMMYFUNCTION("""COMPUTED_VALUE"""),"FLSP")</f>
        <v>FLSP</v>
      </c>
    </row>
    <row r="1236">
      <c r="A1236" s="8" t="str">
        <f>IFERROR(__xludf.DUMMYFUNCTION("""COMPUTED_VALUE"""),"FLE202")</f>
        <v>FLE202</v>
      </c>
      <c r="B1236" s="8" t="str">
        <f>IFERROR(__xludf.DUMMYFUNCTION("""COMPUTED_VALUE"""),"RUN-FLMP_2022-05-09_RFR-131")</f>
        <v>RUN-FLMP_2022-05-09_RFR-131</v>
      </c>
      <c r="C1236" s="10">
        <f>VLOOKUP(B1236,'Run Reconcile'!A$2:B1579,2,FALSE)</f>
        <v>44690</v>
      </c>
      <c r="D1236" s="14">
        <f>IFERROR(__xludf.DUMMYFUNCTION("""COMPUTED_VALUE"""),44690.0)</f>
        <v>44690</v>
      </c>
      <c r="E1236" s="15">
        <f>IFERROR(__xludf.DUMMYFUNCTION("""COMPUTED_VALUE"""),0.5220833333332848)</f>
        <v>0.5220833333</v>
      </c>
      <c r="F1236" s="8" t="str">
        <f>IFERROR(__xludf.DUMMYFUNCTION("""COMPUTED_VALUE"""),"Positive")</f>
        <v>Positive</v>
      </c>
      <c r="G1236" s="16">
        <f>IFERROR(__xludf.DUMMYFUNCTION("""COMPUTED_VALUE"""),1.0)</f>
        <v>1</v>
      </c>
      <c r="H1236" s="8" t="str">
        <f>IFERROR(__xludf.DUMMYFUNCTION("""COMPUTED_VALUE"""),"CRLN")</f>
        <v>CRLN</v>
      </c>
    </row>
    <row r="1237">
      <c r="A1237" s="8" t="str">
        <f>IFERROR(__xludf.DUMMYFUNCTION("""COMPUTED_VALUE"""),"FLB5969")</f>
        <v>FLB5969</v>
      </c>
      <c r="B1237" s="8" t="str">
        <f>IFERROR(__xludf.DUMMYFUNCTION("""COMPUTED_VALUE"""),"RUN-FLMP_2022-05-09_RFR-131")</f>
        <v>RUN-FLMP_2022-05-09_RFR-131</v>
      </c>
      <c r="C1237" s="10">
        <f>VLOOKUP(B1237,'Run Reconcile'!A$2:B1579,2,FALSE)</f>
        <v>44690</v>
      </c>
      <c r="D1237" s="14">
        <f>IFERROR(__xludf.DUMMYFUNCTION("""COMPUTED_VALUE"""),44690.0)</f>
        <v>44690</v>
      </c>
      <c r="E1237" s="15">
        <f>IFERROR(__xludf.DUMMYFUNCTION("""COMPUTED_VALUE"""),0.5224421296297805)</f>
        <v>0.5224421296</v>
      </c>
      <c r="F1237" s="8" t="str">
        <f>IFERROR(__xludf.DUMMYFUNCTION("""COMPUTED_VALUE"""),"Negative")</f>
        <v>Negative</v>
      </c>
      <c r="G1237" s="16">
        <f>IFERROR(__xludf.DUMMYFUNCTION("""COMPUTED_VALUE"""),1.0)</f>
        <v>1</v>
      </c>
      <c r="H1237" s="8" t="str">
        <f>IFERROR(__xludf.DUMMYFUNCTION("""COMPUTED_VALUE"""),"CRLN")</f>
        <v>CRLN</v>
      </c>
    </row>
    <row r="1238">
      <c r="A1238" s="8" t="str">
        <f>IFERROR(__xludf.DUMMYFUNCTION("""COMPUTED_VALUE"""),"FLE269")</f>
        <v>FLE269</v>
      </c>
      <c r="B1238" s="8" t="str">
        <f>IFERROR(__xludf.DUMMYFUNCTION("""COMPUTED_VALUE"""),"RUN-FLMP_2022-05-09_RFR-131")</f>
        <v>RUN-FLMP_2022-05-09_RFR-131</v>
      </c>
      <c r="C1238" s="10">
        <f>VLOOKUP(B1238,'Run Reconcile'!A$2:B1579,2,FALSE)</f>
        <v>44690</v>
      </c>
      <c r="D1238" s="14">
        <f>IFERROR(__xludf.DUMMYFUNCTION("""COMPUTED_VALUE"""),44690.0)</f>
        <v>44690</v>
      </c>
      <c r="E1238" s="15">
        <f>IFERROR(__xludf.DUMMYFUNCTION("""COMPUTED_VALUE"""),0.5228935185186856)</f>
        <v>0.5228935185</v>
      </c>
      <c r="F1238" s="8" t="str">
        <f>IFERROR(__xludf.DUMMYFUNCTION("""COMPUTED_VALUE"""),"Negative")</f>
        <v>Negative</v>
      </c>
      <c r="G1238" s="16">
        <f>IFERROR(__xludf.DUMMYFUNCTION("""COMPUTED_VALUE"""),1.0)</f>
        <v>1</v>
      </c>
      <c r="H1238" s="8" t="str">
        <f>IFERROR(__xludf.DUMMYFUNCTION("""COMPUTED_VALUE"""),"CRLN")</f>
        <v>CRLN</v>
      </c>
    </row>
    <row r="1239">
      <c r="A1239" s="8" t="str">
        <f>IFERROR(__xludf.DUMMYFUNCTION("""COMPUTED_VALUE"""),"AJ9253")</f>
        <v>AJ9253</v>
      </c>
      <c r="B1239" s="8" t="str">
        <f>IFERROR(__xludf.DUMMYFUNCTION("""COMPUTED_VALUE"""),"RUN-FLMP_2022-05-09_RFR-131")</f>
        <v>RUN-FLMP_2022-05-09_RFR-131</v>
      </c>
      <c r="C1239" s="10">
        <f>VLOOKUP(B1239,'Run Reconcile'!A$2:B1579,2,FALSE)</f>
        <v>44690</v>
      </c>
      <c r="D1239" s="14">
        <f>IFERROR(__xludf.DUMMYFUNCTION("""COMPUTED_VALUE"""),44690.0)</f>
        <v>44690</v>
      </c>
      <c r="E1239" s="15">
        <f>IFERROR(__xludf.DUMMYFUNCTION("""COMPUTED_VALUE"""),0.5349074074074451)</f>
        <v>0.5349074074</v>
      </c>
      <c r="F1239" s="8" t="str">
        <f>IFERROR(__xludf.DUMMYFUNCTION("""COMPUTED_VALUE"""),"Negative")</f>
        <v>Negative</v>
      </c>
      <c r="G1239" s="16">
        <f>IFERROR(__xludf.DUMMYFUNCTION("""COMPUTED_VALUE"""),1.0)</f>
        <v>1</v>
      </c>
      <c r="H1239" s="8" t="str">
        <f>IFERROR(__xludf.DUMMYFUNCTION("""COMPUTED_VALUE"""),"CRLN")</f>
        <v>CRLN</v>
      </c>
    </row>
    <row r="1240">
      <c r="A1240" s="8" t="str">
        <f>IFERROR(__xludf.DUMMYFUNCTION("""COMPUTED_VALUE"""),"AH245")</f>
        <v>AH245</v>
      </c>
      <c r="B1240" s="8" t="str">
        <f>IFERROR(__xludf.DUMMYFUNCTION("""COMPUTED_VALUE"""),"RUN-FLMP_2022-05-09_RFR-131")</f>
        <v>RUN-FLMP_2022-05-09_RFR-131</v>
      </c>
      <c r="C1240" s="10">
        <f>VLOOKUP(B1240,'Run Reconcile'!A$2:B1579,2,FALSE)</f>
        <v>44690</v>
      </c>
      <c r="D1240" s="14">
        <f>IFERROR(__xludf.DUMMYFUNCTION("""COMPUTED_VALUE"""),44690.0)</f>
        <v>44690</v>
      </c>
      <c r="E1240" s="15">
        <f>IFERROR(__xludf.DUMMYFUNCTION("""COMPUTED_VALUE"""),0.5353240740732872)</f>
        <v>0.5353240741</v>
      </c>
      <c r="F1240" s="8" t="str">
        <f>IFERROR(__xludf.DUMMYFUNCTION("""COMPUTED_VALUE"""),"Negative")</f>
        <v>Negative</v>
      </c>
      <c r="G1240" s="16">
        <f>IFERROR(__xludf.DUMMYFUNCTION("""COMPUTED_VALUE"""),1.0)</f>
        <v>1</v>
      </c>
      <c r="H1240" s="8" t="str">
        <f>IFERROR(__xludf.DUMMYFUNCTION("""COMPUTED_VALUE"""),"CRLN")</f>
        <v>CRLN</v>
      </c>
    </row>
    <row r="1241">
      <c r="A1241" s="8" t="str">
        <f>IFERROR(__xludf.DUMMYFUNCTION("""COMPUTED_VALUE"""),"AH365")</f>
        <v>AH365</v>
      </c>
      <c r="B1241" s="8" t="str">
        <f>IFERROR(__xludf.DUMMYFUNCTION("""COMPUTED_VALUE"""),"RUN-FLMP_2022-05-09_RFR-131")</f>
        <v>RUN-FLMP_2022-05-09_RFR-131</v>
      </c>
      <c r="C1241" s="10">
        <f>VLOOKUP(B1241,'Run Reconcile'!A$2:B1579,2,FALSE)</f>
        <v>44690</v>
      </c>
      <c r="D1241" s="14">
        <f>IFERROR(__xludf.DUMMYFUNCTION("""COMPUTED_VALUE"""),44690.0)</f>
        <v>44690</v>
      </c>
      <c r="E1241" s="15">
        <f>IFERROR(__xludf.DUMMYFUNCTION("""COMPUTED_VALUE"""),0.5359490740738693)</f>
        <v>0.5359490741</v>
      </c>
      <c r="F1241" s="8" t="str">
        <f>IFERROR(__xludf.DUMMYFUNCTION("""COMPUTED_VALUE"""),"Positive")</f>
        <v>Positive</v>
      </c>
      <c r="G1241" s="16">
        <f>IFERROR(__xludf.DUMMYFUNCTION("""COMPUTED_VALUE"""),1.0)</f>
        <v>1</v>
      </c>
      <c r="H1241" s="8" t="str">
        <f>IFERROR(__xludf.DUMMYFUNCTION("""COMPUTED_VALUE"""),"CRLN")</f>
        <v>CRLN</v>
      </c>
    </row>
    <row r="1242">
      <c r="A1242" s="8" t="str">
        <f>IFERROR(__xludf.DUMMYFUNCTION("""COMPUTED_VALUE"""),"AH679")</f>
        <v>AH679</v>
      </c>
      <c r="B1242" s="8" t="str">
        <f>IFERROR(__xludf.DUMMYFUNCTION("""COMPUTED_VALUE"""),"RUN-FLMP_2022-05-09_RFR-131")</f>
        <v>RUN-FLMP_2022-05-09_RFR-131</v>
      </c>
      <c r="C1242" s="10">
        <f>VLOOKUP(B1242,'Run Reconcile'!A$2:B1579,2,FALSE)</f>
        <v>44690</v>
      </c>
      <c r="D1242" s="14">
        <f>IFERROR(__xludf.DUMMYFUNCTION("""COMPUTED_VALUE"""),44690.0)</f>
        <v>44690</v>
      </c>
      <c r="E1242" s="15">
        <f>IFERROR(__xludf.DUMMYFUNCTION("""COMPUTED_VALUE"""),0.5364236111126957)</f>
        <v>0.5364236111</v>
      </c>
      <c r="F1242" s="8" t="str">
        <f>IFERROR(__xludf.DUMMYFUNCTION("""COMPUTED_VALUE"""),"Negative")</f>
        <v>Negative</v>
      </c>
      <c r="G1242" s="16">
        <f>IFERROR(__xludf.DUMMYFUNCTION("""COMPUTED_VALUE"""),1.0)</f>
        <v>1</v>
      </c>
      <c r="H1242" s="8" t="str">
        <f>IFERROR(__xludf.DUMMYFUNCTION("""COMPUTED_VALUE"""),"CRLN")</f>
        <v>CRLN</v>
      </c>
    </row>
    <row r="1243">
      <c r="A1243" s="8" t="str">
        <f>IFERROR(__xludf.DUMMYFUNCTION("""COMPUTED_VALUE"""),"AG175")</f>
        <v>AG175</v>
      </c>
      <c r="B1243" s="8" t="str">
        <f>IFERROR(__xludf.DUMMYFUNCTION("""COMPUTED_VALUE"""),"RUN-FLMP_2022-05-11_RFR-132")</f>
        <v>RUN-FLMP_2022-05-11_RFR-132</v>
      </c>
      <c r="C1243" s="10">
        <f>VLOOKUP(B1243,'Run Reconcile'!A$2:B1579,2,FALSE)</f>
        <v>44692</v>
      </c>
      <c r="D1243" s="14">
        <f>IFERROR(__xludf.DUMMYFUNCTION("""COMPUTED_VALUE"""),44691.0)</f>
        <v>44691</v>
      </c>
      <c r="E1243" s="15">
        <f>IFERROR(__xludf.DUMMYFUNCTION("""COMPUTED_VALUE"""),0.9651157407424762)</f>
        <v>0.9651157407</v>
      </c>
      <c r="F1243" s="8" t="str">
        <f>IFERROR(__xludf.DUMMYFUNCTION("""COMPUTED_VALUE"""),"Negative")</f>
        <v>Negative</v>
      </c>
      <c r="G1243" s="16">
        <f>IFERROR(__xludf.DUMMYFUNCTION("""COMPUTED_VALUE"""),1.0)</f>
        <v>1</v>
      </c>
      <c r="H1243" s="8" t="str">
        <f>IFERROR(__xludf.DUMMYFUNCTION("""COMPUTED_VALUE"""),"CRLN")</f>
        <v>CRLN</v>
      </c>
    </row>
    <row r="1244">
      <c r="A1244" s="8" t="str">
        <f>IFERROR(__xludf.DUMMYFUNCTION("""COMPUTED_VALUE"""),"AJ6664")</f>
        <v>AJ6664</v>
      </c>
      <c r="B1244" s="8" t="str">
        <f>IFERROR(__xludf.DUMMYFUNCTION("""COMPUTED_VALUE"""),"RUN-FLMP_2022-05-11_RFR-132")</f>
        <v>RUN-FLMP_2022-05-11_RFR-132</v>
      </c>
      <c r="C1244" s="10">
        <f>VLOOKUP(B1244,'Run Reconcile'!A$2:B1579,2,FALSE)</f>
        <v>44692</v>
      </c>
      <c r="D1244" s="14">
        <f>IFERROR(__xludf.DUMMYFUNCTION("""COMPUTED_VALUE"""),44692.0)</f>
        <v>44692</v>
      </c>
      <c r="E1244" s="15">
        <f>IFERROR(__xludf.DUMMYFUNCTION("""COMPUTED_VALUE"""),0.3509374999994179)</f>
        <v>0.3509375</v>
      </c>
      <c r="F1244" s="8" t="str">
        <f>IFERROR(__xludf.DUMMYFUNCTION("""COMPUTED_VALUE"""),"Inconclusive")</f>
        <v>Inconclusive</v>
      </c>
      <c r="G1244" s="16">
        <f>IFERROR(__xludf.DUMMYFUNCTION("""COMPUTED_VALUE"""),1.0)</f>
        <v>1</v>
      </c>
      <c r="H1244" s="8" t="str">
        <f>IFERROR(__xludf.DUMMYFUNCTION("""COMPUTED_VALUE"""),"CRLN")</f>
        <v>CRLN</v>
      </c>
    </row>
    <row r="1245">
      <c r="A1245" s="8" t="str">
        <f>IFERROR(__xludf.DUMMYFUNCTION("""COMPUTED_VALUE"""),"AJ9838")</f>
        <v>AJ9838</v>
      </c>
      <c r="B1245" s="8" t="str">
        <f>IFERROR(__xludf.DUMMYFUNCTION("""COMPUTED_VALUE"""),"RUN-FLMP_2022-05-11_RFR-132")</f>
        <v>RUN-FLMP_2022-05-11_RFR-132</v>
      </c>
      <c r="C1245" s="10">
        <f>VLOOKUP(B1245,'Run Reconcile'!A$2:B1579,2,FALSE)</f>
        <v>44692</v>
      </c>
      <c r="D1245" s="14">
        <f>IFERROR(__xludf.DUMMYFUNCTION("""COMPUTED_VALUE"""),44692.0)</f>
        <v>44692</v>
      </c>
      <c r="E1245" s="15">
        <f>IFERROR(__xludf.DUMMYFUNCTION("""COMPUTED_VALUE"""),0.3564236111124046)</f>
        <v>0.3564236111</v>
      </c>
      <c r="F1245" s="8" t="str">
        <f>IFERROR(__xludf.DUMMYFUNCTION("""COMPUTED_VALUE"""),"Negative")</f>
        <v>Negative</v>
      </c>
      <c r="G1245" s="16">
        <f>IFERROR(__xludf.DUMMYFUNCTION("""COMPUTED_VALUE"""),1.0)</f>
        <v>1</v>
      </c>
      <c r="H1245" s="8" t="str">
        <f>IFERROR(__xludf.DUMMYFUNCTION("""COMPUTED_VALUE"""),"CRLN")</f>
        <v>CRLN</v>
      </c>
    </row>
    <row r="1246">
      <c r="A1246" s="8" t="str">
        <f>IFERROR(__xludf.DUMMYFUNCTION("""COMPUTED_VALUE"""),"AJ9205")</f>
        <v>AJ9205</v>
      </c>
      <c r="B1246" s="8" t="str">
        <f>IFERROR(__xludf.DUMMYFUNCTION("""COMPUTED_VALUE"""),"RUN-FLMP_2022-05-11_RFR-132")</f>
        <v>RUN-FLMP_2022-05-11_RFR-132</v>
      </c>
      <c r="C1246" s="10">
        <f>VLOOKUP(B1246,'Run Reconcile'!A$2:B1579,2,FALSE)</f>
        <v>44692</v>
      </c>
      <c r="D1246" s="14">
        <f>IFERROR(__xludf.DUMMYFUNCTION("""COMPUTED_VALUE"""),44692.0)</f>
        <v>44692</v>
      </c>
      <c r="E1246" s="15">
        <f>IFERROR(__xludf.DUMMYFUNCTION("""COMPUTED_VALUE"""),0.35688657407445135)</f>
        <v>0.3568865741</v>
      </c>
      <c r="F1246" s="8" t="str">
        <f>IFERROR(__xludf.DUMMYFUNCTION("""COMPUTED_VALUE"""),"Negative")</f>
        <v>Negative</v>
      </c>
      <c r="G1246" s="16">
        <f>IFERROR(__xludf.DUMMYFUNCTION("""COMPUTED_VALUE"""),1.0)</f>
        <v>1</v>
      </c>
      <c r="H1246" s="8" t="str">
        <f>IFERROR(__xludf.DUMMYFUNCTION("""COMPUTED_VALUE"""),"CRLN")</f>
        <v>CRLN</v>
      </c>
    </row>
    <row r="1247">
      <c r="A1247" s="8" t="str">
        <f>IFERROR(__xludf.DUMMYFUNCTION("""COMPUTED_VALUE"""),"FLB7380")</f>
        <v>FLB7380</v>
      </c>
      <c r="B1247" s="8" t="str">
        <f>IFERROR(__xludf.DUMMYFUNCTION("""COMPUTED_VALUE"""),"RUN-FLMP_2022-05-11_RFR-132")</f>
        <v>RUN-FLMP_2022-05-11_RFR-132</v>
      </c>
      <c r="C1247" s="10">
        <f>VLOOKUP(B1247,'Run Reconcile'!A$2:B1579,2,FALSE)</f>
        <v>44692</v>
      </c>
      <c r="D1247" s="14">
        <f>IFERROR(__xludf.DUMMYFUNCTION("""COMPUTED_VALUE"""),44692.0)</f>
        <v>44692</v>
      </c>
      <c r="E1247" s="15">
        <f>IFERROR(__xludf.DUMMYFUNCTION("""COMPUTED_VALUE"""),0.3657060185178125)</f>
        <v>0.3657060185</v>
      </c>
      <c r="F1247" s="8" t="str">
        <f>IFERROR(__xludf.DUMMYFUNCTION("""COMPUTED_VALUE"""),"Negative")</f>
        <v>Negative</v>
      </c>
      <c r="G1247" s="16">
        <f>IFERROR(__xludf.DUMMYFUNCTION("""COMPUTED_VALUE"""),1.0)</f>
        <v>1</v>
      </c>
      <c r="H1247" s="8" t="str">
        <f>IFERROR(__xludf.DUMMYFUNCTION("""COMPUTED_VALUE"""),"CRLN")</f>
        <v>CRLN</v>
      </c>
    </row>
    <row r="1248">
      <c r="A1248" s="8" t="str">
        <f>IFERROR(__xludf.DUMMYFUNCTION("""COMPUTED_VALUE"""),"AJ9119")</f>
        <v>AJ9119</v>
      </c>
      <c r="B1248" s="8" t="str">
        <f>IFERROR(__xludf.DUMMYFUNCTION("""COMPUTED_VALUE"""),"RUN-FLMP_2022-05-11_RFR-132")</f>
        <v>RUN-FLMP_2022-05-11_RFR-132</v>
      </c>
      <c r="C1248" s="10">
        <f>VLOOKUP(B1248,'Run Reconcile'!A$2:B1579,2,FALSE)</f>
        <v>44692</v>
      </c>
      <c r="D1248" s="14">
        <f>IFERROR(__xludf.DUMMYFUNCTION("""COMPUTED_VALUE"""),44692.0)</f>
        <v>44692</v>
      </c>
      <c r="E1248" s="15">
        <f>IFERROR(__xludf.DUMMYFUNCTION("""COMPUTED_VALUE"""),0.3668518518534256)</f>
        <v>0.3668518519</v>
      </c>
      <c r="F1248" s="8" t="str">
        <f>IFERROR(__xludf.DUMMYFUNCTION("""COMPUTED_VALUE"""),"Negative")</f>
        <v>Negative</v>
      </c>
      <c r="G1248" s="16">
        <f>IFERROR(__xludf.DUMMYFUNCTION("""COMPUTED_VALUE"""),1.0)</f>
        <v>1</v>
      </c>
      <c r="H1248" s="8" t="str">
        <f>IFERROR(__xludf.DUMMYFUNCTION("""COMPUTED_VALUE"""),"CRLN")</f>
        <v>CRLN</v>
      </c>
    </row>
    <row r="1249">
      <c r="A1249" s="8" t="str">
        <f>IFERROR(__xludf.DUMMYFUNCTION("""COMPUTED_VALUE"""),"FLB6748")</f>
        <v>FLB6748</v>
      </c>
      <c r="B1249" s="8" t="str">
        <f>IFERROR(__xludf.DUMMYFUNCTION("""COMPUTED_VALUE"""),"RUN-FLMP_2022-05-12_RFR-135")</f>
        <v>RUN-FLMP_2022-05-12_RFR-135</v>
      </c>
      <c r="C1249" s="10">
        <f>VLOOKUP(B1249,'Run Reconcile'!A$2:B1579,2,FALSE)</f>
        <v>44693</v>
      </c>
      <c r="D1249" s="14">
        <f>IFERROR(__xludf.DUMMYFUNCTION("""COMPUTED_VALUE"""),44693.0)</f>
        <v>44693</v>
      </c>
      <c r="E1249" s="15">
        <f>IFERROR(__xludf.DUMMYFUNCTION("""COMPUTED_VALUE"""),0.2930555555540195)</f>
        <v>0.2930555556</v>
      </c>
      <c r="F1249" s="8" t="str">
        <f>IFERROR(__xludf.DUMMYFUNCTION("""COMPUTED_VALUE"""),"Negative")</f>
        <v>Negative</v>
      </c>
      <c r="G1249" s="16">
        <f>IFERROR(__xludf.DUMMYFUNCTION("""COMPUTED_VALUE"""),1.0)</f>
        <v>1</v>
      </c>
      <c r="H1249" s="8" t="str">
        <f>IFERROR(__xludf.DUMMYFUNCTION("""COMPUTED_VALUE"""),"CRLN")</f>
        <v>CRLN</v>
      </c>
    </row>
    <row r="1250">
      <c r="A1250" s="8" t="str">
        <f>IFERROR(__xludf.DUMMYFUNCTION("""COMPUTED_VALUE"""),"FLB4921")</f>
        <v>FLB4921</v>
      </c>
      <c r="B1250" s="8" t="str">
        <f>IFERROR(__xludf.DUMMYFUNCTION("""COMPUTED_VALUE"""),"RUN-FLMP_2022-05-12_RFR-135")</f>
        <v>RUN-FLMP_2022-05-12_RFR-135</v>
      </c>
      <c r="C1250" s="10">
        <f>VLOOKUP(B1250,'Run Reconcile'!A$2:B1579,2,FALSE)</f>
        <v>44693</v>
      </c>
      <c r="D1250" s="14">
        <f>IFERROR(__xludf.DUMMYFUNCTION("""COMPUTED_VALUE"""),44693.0)</f>
        <v>44693</v>
      </c>
      <c r="E1250" s="15">
        <f>IFERROR(__xludf.DUMMYFUNCTION("""COMPUTED_VALUE"""),0.3164930555540195)</f>
        <v>0.3164930556</v>
      </c>
      <c r="F1250" s="8" t="str">
        <f>IFERROR(__xludf.DUMMYFUNCTION("""COMPUTED_VALUE"""),"Negative")</f>
        <v>Negative</v>
      </c>
      <c r="G1250" s="16">
        <f>IFERROR(__xludf.DUMMYFUNCTION("""COMPUTED_VALUE"""),4.0)</f>
        <v>4</v>
      </c>
      <c r="H1250" s="8" t="str">
        <f>IFERROR(__xludf.DUMMYFUNCTION("""COMPUTED_VALUE"""),"CRLN")</f>
        <v>CRLN</v>
      </c>
    </row>
    <row r="1251">
      <c r="A1251" s="8" t="str">
        <f>IFERROR(__xludf.DUMMYFUNCTION("""COMPUTED_VALUE"""),"FLB7138")</f>
        <v>FLB7138</v>
      </c>
      <c r="B1251" s="8" t="str">
        <f>IFERROR(__xludf.DUMMYFUNCTION("""COMPUTED_VALUE"""),"RUN-FLMP_2022-05-12_RFR-135")</f>
        <v>RUN-FLMP_2022-05-12_RFR-135</v>
      </c>
      <c r="C1251" s="10">
        <f>VLOOKUP(B1251,'Run Reconcile'!A$2:B1579,2,FALSE)</f>
        <v>44693</v>
      </c>
      <c r="D1251" s="14">
        <f>IFERROR(__xludf.DUMMYFUNCTION("""COMPUTED_VALUE"""),44693.0)</f>
        <v>44693</v>
      </c>
      <c r="E1251" s="15">
        <f>IFERROR(__xludf.DUMMYFUNCTION("""COMPUTED_VALUE"""),0.3276851851842366)</f>
        <v>0.3276851852</v>
      </c>
      <c r="F1251" s="8" t="str">
        <f>IFERROR(__xludf.DUMMYFUNCTION("""COMPUTED_VALUE"""),"Negative")</f>
        <v>Negative</v>
      </c>
      <c r="G1251" s="16">
        <f>IFERROR(__xludf.DUMMYFUNCTION("""COMPUTED_VALUE"""),4.0)</f>
        <v>4</v>
      </c>
      <c r="H1251" s="8" t="str">
        <f>IFERROR(__xludf.DUMMYFUNCTION("""COMPUTED_VALUE"""),"CRLN")</f>
        <v>CRLN</v>
      </c>
    </row>
    <row r="1252">
      <c r="A1252" s="8" t="str">
        <f>IFERROR(__xludf.DUMMYFUNCTION("""COMPUTED_VALUE"""),"AH7814")</f>
        <v>AH7814</v>
      </c>
      <c r="B1252" s="8" t="str">
        <f>IFERROR(__xludf.DUMMYFUNCTION("""COMPUTED_VALUE"""),"RUN-FLMP_2022-05-12_RFR-135")</f>
        <v>RUN-FLMP_2022-05-12_RFR-135</v>
      </c>
      <c r="C1252" s="10">
        <f>VLOOKUP(B1252,'Run Reconcile'!A$2:B1579,2,FALSE)</f>
        <v>44693</v>
      </c>
      <c r="D1252" s="14">
        <f>IFERROR(__xludf.DUMMYFUNCTION("""COMPUTED_VALUE"""),44693.0)</f>
        <v>44693</v>
      </c>
      <c r="E1252" s="15">
        <f>IFERROR(__xludf.DUMMYFUNCTION("""COMPUTED_VALUE"""),0.33064814814861165)</f>
        <v>0.3306481481</v>
      </c>
      <c r="F1252" s="8" t="str">
        <f>IFERROR(__xludf.DUMMYFUNCTION("""COMPUTED_VALUE"""),"Negative")</f>
        <v>Negative</v>
      </c>
      <c r="G1252" s="16">
        <f>IFERROR(__xludf.DUMMYFUNCTION("""COMPUTED_VALUE"""),4.0)</f>
        <v>4</v>
      </c>
      <c r="H1252" s="8" t="str">
        <f>IFERROR(__xludf.DUMMYFUNCTION("""COMPUTED_VALUE"""),"CRLN")</f>
        <v>CRLN</v>
      </c>
    </row>
    <row r="1253">
      <c r="A1253" s="8" t="str">
        <f>IFERROR(__xludf.DUMMYFUNCTION("""COMPUTED_VALUE"""),"AG1652")</f>
        <v>AG1652</v>
      </c>
      <c r="B1253" s="8" t="str">
        <f>IFERROR(__xludf.DUMMYFUNCTION("""COMPUTED_VALUE"""),"RUN-FLMP_2022-05-12_RFR-135")</f>
        <v>RUN-FLMP_2022-05-12_RFR-135</v>
      </c>
      <c r="C1253" s="10">
        <f>VLOOKUP(B1253,'Run Reconcile'!A$2:B1579,2,FALSE)</f>
        <v>44693</v>
      </c>
      <c r="D1253" s="14">
        <f>IFERROR(__xludf.DUMMYFUNCTION("""COMPUTED_VALUE"""),44693.0)</f>
        <v>44693</v>
      </c>
      <c r="E1253" s="15">
        <f>IFERROR(__xludf.DUMMYFUNCTION("""COMPUTED_VALUE"""),0.3350694444452529)</f>
        <v>0.3350694444</v>
      </c>
      <c r="F1253" s="8" t="str">
        <f>IFERROR(__xludf.DUMMYFUNCTION("""COMPUTED_VALUE"""),"Negative")</f>
        <v>Negative</v>
      </c>
      <c r="G1253" s="16">
        <f>IFERROR(__xludf.DUMMYFUNCTION("""COMPUTED_VALUE"""),4.0)</f>
        <v>4</v>
      </c>
      <c r="H1253" s="8" t="str">
        <f>IFERROR(__xludf.DUMMYFUNCTION("""COMPUTED_VALUE"""),"CRLN")</f>
        <v>CRLN</v>
      </c>
    </row>
    <row r="1254">
      <c r="A1254" s="8" t="str">
        <f>IFERROR(__xludf.DUMMYFUNCTION("""COMPUTED_VALUE"""),"AJ8585")</f>
        <v>AJ8585</v>
      </c>
      <c r="B1254" s="8" t="str">
        <f>IFERROR(__xludf.DUMMYFUNCTION("""COMPUTED_VALUE"""),"RUN-FLMP_2022-05-12_RFR-135")</f>
        <v>RUN-FLMP_2022-05-12_RFR-135</v>
      </c>
      <c r="C1254" s="10">
        <f>VLOOKUP(B1254,'Run Reconcile'!A$2:B1579,2,FALSE)</f>
        <v>44693</v>
      </c>
      <c r="D1254" s="14">
        <f>IFERROR(__xludf.DUMMYFUNCTION("""COMPUTED_VALUE"""),44693.0)</f>
        <v>44693</v>
      </c>
      <c r="E1254" s="15">
        <f>IFERROR(__xludf.DUMMYFUNCTION("""COMPUTED_VALUE"""),0.33925925926087075)</f>
        <v>0.3392592593</v>
      </c>
      <c r="F1254" s="8" t="str">
        <f>IFERROR(__xludf.DUMMYFUNCTION("""COMPUTED_VALUE"""),"Negative")</f>
        <v>Negative</v>
      </c>
      <c r="G1254" s="16">
        <f>IFERROR(__xludf.DUMMYFUNCTION("""COMPUTED_VALUE"""),1.0)</f>
        <v>1</v>
      </c>
      <c r="H1254" s="8" t="str">
        <f>IFERROR(__xludf.DUMMYFUNCTION("""COMPUTED_VALUE"""),"CRLN")</f>
        <v>CRLN</v>
      </c>
    </row>
    <row r="1255">
      <c r="A1255" s="8" t="str">
        <f>IFERROR(__xludf.DUMMYFUNCTION("""COMPUTED_VALUE"""),"AJ8021")</f>
        <v>AJ8021</v>
      </c>
      <c r="B1255" s="8" t="str">
        <f>IFERROR(__xludf.DUMMYFUNCTION("""COMPUTED_VALUE"""),"RUN-FLMP_2022-05-12_RFR-135")</f>
        <v>RUN-FLMP_2022-05-12_RFR-135</v>
      </c>
      <c r="C1255" s="10">
        <f>VLOOKUP(B1255,'Run Reconcile'!A$2:B1579,2,FALSE)</f>
        <v>44693</v>
      </c>
      <c r="D1255" s="14">
        <f>IFERROR(__xludf.DUMMYFUNCTION("""COMPUTED_VALUE"""),44693.0)</f>
        <v>44693</v>
      </c>
      <c r="E1255" s="15">
        <f>IFERROR(__xludf.DUMMYFUNCTION("""COMPUTED_VALUE"""),0.3428819444452529)</f>
        <v>0.3428819444</v>
      </c>
      <c r="F1255" s="8" t="str">
        <f>IFERROR(__xludf.DUMMYFUNCTION("""COMPUTED_VALUE"""),"Negative")</f>
        <v>Negative</v>
      </c>
      <c r="G1255" s="16">
        <f>IFERROR(__xludf.DUMMYFUNCTION("""COMPUTED_VALUE"""),1.0)</f>
        <v>1</v>
      </c>
      <c r="H1255" s="8" t="str">
        <f>IFERROR(__xludf.DUMMYFUNCTION("""COMPUTED_VALUE"""),"CRLN")</f>
        <v>CRLN</v>
      </c>
    </row>
    <row r="1256">
      <c r="A1256" s="8" t="str">
        <f>IFERROR(__xludf.DUMMYFUNCTION("""COMPUTED_VALUE"""),"FLE206")</f>
        <v>FLE206</v>
      </c>
      <c r="B1256" s="8" t="str">
        <f>IFERROR(__xludf.DUMMYFUNCTION("""COMPUTED_VALUE"""),"RUN-FLMP_2022-05-12_RFR-135")</f>
        <v>RUN-FLMP_2022-05-12_RFR-135</v>
      </c>
      <c r="C1256" s="10">
        <f>VLOOKUP(B1256,'Run Reconcile'!A$2:B1579,2,FALSE)</f>
        <v>44693</v>
      </c>
      <c r="D1256" s="14">
        <f>IFERROR(__xludf.DUMMYFUNCTION("""COMPUTED_VALUE"""),44693.0)</f>
        <v>44693</v>
      </c>
      <c r="E1256" s="15">
        <f>IFERROR(__xludf.DUMMYFUNCTION("""COMPUTED_VALUE"""),0.3448379629626288)</f>
        <v>0.344837963</v>
      </c>
      <c r="F1256" s="8" t="str">
        <f>IFERROR(__xludf.DUMMYFUNCTION("""COMPUTED_VALUE"""),"Negative")</f>
        <v>Negative</v>
      </c>
      <c r="G1256" s="16">
        <f>IFERROR(__xludf.DUMMYFUNCTION("""COMPUTED_VALUE"""),2.0)</f>
        <v>2</v>
      </c>
      <c r="H1256" s="8" t="str">
        <f>IFERROR(__xludf.DUMMYFUNCTION("""COMPUTED_VALUE"""),"CRLN")</f>
        <v>CRLN</v>
      </c>
    </row>
    <row r="1257">
      <c r="A1257" s="8" t="str">
        <f>IFERROR(__xludf.DUMMYFUNCTION("""COMPUTED_VALUE"""),"FLE236")</f>
        <v>FLE236</v>
      </c>
      <c r="B1257" s="8" t="str">
        <f>IFERROR(__xludf.DUMMYFUNCTION("""COMPUTED_VALUE"""),"RUN-FLMP_2022-05-12_RFR-135")</f>
        <v>RUN-FLMP_2022-05-12_RFR-135</v>
      </c>
      <c r="C1257" s="10">
        <f>VLOOKUP(B1257,'Run Reconcile'!A$2:B1579,2,FALSE)</f>
        <v>44693</v>
      </c>
      <c r="D1257" s="14">
        <f>IFERROR(__xludf.DUMMYFUNCTION("""COMPUTED_VALUE"""),44693.0)</f>
        <v>44693</v>
      </c>
      <c r="E1257" s="15">
        <f>IFERROR(__xludf.DUMMYFUNCTION("""COMPUTED_VALUE"""),0.34758101851912215)</f>
        <v>0.3475810185</v>
      </c>
      <c r="F1257" s="8" t="str">
        <f>IFERROR(__xludf.DUMMYFUNCTION("""COMPUTED_VALUE"""),"Negative")</f>
        <v>Negative</v>
      </c>
      <c r="G1257" s="16">
        <f>IFERROR(__xludf.DUMMYFUNCTION("""COMPUTED_VALUE"""),2.0)</f>
        <v>2</v>
      </c>
      <c r="H1257" s="8" t="str">
        <f>IFERROR(__xludf.DUMMYFUNCTION("""COMPUTED_VALUE"""),"FLSP")</f>
        <v>FLSP</v>
      </c>
    </row>
    <row r="1258">
      <c r="A1258" s="8" t="str">
        <f>IFERROR(__xludf.DUMMYFUNCTION("""COMPUTED_VALUE"""),"FLE314")</f>
        <v>FLE314</v>
      </c>
      <c r="B1258" s="8" t="str">
        <f>IFERROR(__xludf.DUMMYFUNCTION("""COMPUTED_VALUE"""),"RUN-FLMP_2022-05-12_RFR-135")</f>
        <v>RUN-FLMP_2022-05-12_RFR-135</v>
      </c>
      <c r="C1258" s="10">
        <f>VLOOKUP(B1258,'Run Reconcile'!A$2:B1579,2,FALSE)</f>
        <v>44693</v>
      </c>
      <c r="D1258" s="14">
        <f>IFERROR(__xludf.DUMMYFUNCTION("""COMPUTED_VALUE"""),44693.0)</f>
        <v>44693</v>
      </c>
      <c r="E1258" s="15">
        <f>IFERROR(__xludf.DUMMYFUNCTION("""COMPUTED_VALUE"""),0.35237268518540077)</f>
        <v>0.3523726852</v>
      </c>
      <c r="F1258" s="8" t="str">
        <f>IFERROR(__xludf.DUMMYFUNCTION("""COMPUTED_VALUE"""),"Negative")</f>
        <v>Negative</v>
      </c>
      <c r="G1258" s="16">
        <f>IFERROR(__xludf.DUMMYFUNCTION("""COMPUTED_VALUE"""),4.0)</f>
        <v>4</v>
      </c>
      <c r="H1258" s="8" t="str">
        <f>IFERROR(__xludf.DUMMYFUNCTION("""COMPUTED_VALUE"""),"CRLN")</f>
        <v>CRLN</v>
      </c>
    </row>
    <row r="1259">
      <c r="A1259" s="8" t="str">
        <f>IFERROR(__xludf.DUMMYFUNCTION("""COMPUTED_VALUE"""),"AG1553")</f>
        <v>AG1553</v>
      </c>
      <c r="B1259" s="8" t="str">
        <f>IFERROR(__xludf.DUMMYFUNCTION("""COMPUTED_VALUE"""),"RUN-FLMP_2022-05-12_RFR-135")</f>
        <v>RUN-FLMP_2022-05-12_RFR-135</v>
      </c>
      <c r="C1259" s="10">
        <f>VLOOKUP(B1259,'Run Reconcile'!A$2:B1579,2,FALSE)</f>
        <v>44693</v>
      </c>
      <c r="D1259" s="14">
        <f>IFERROR(__xludf.DUMMYFUNCTION("""COMPUTED_VALUE"""),44693.0)</f>
        <v>44693</v>
      </c>
      <c r="E1259" s="15">
        <f>IFERROR(__xludf.DUMMYFUNCTION("""COMPUTED_VALUE"""),0.353969907406281)</f>
        <v>0.3539699074</v>
      </c>
      <c r="F1259" s="8" t="str">
        <f>IFERROR(__xludf.DUMMYFUNCTION("""COMPUTED_VALUE"""),"Negative")</f>
        <v>Negative</v>
      </c>
      <c r="G1259" s="16">
        <f>IFERROR(__xludf.DUMMYFUNCTION("""COMPUTED_VALUE"""),1.0)</f>
        <v>1</v>
      </c>
      <c r="H1259" s="8" t="str">
        <f>IFERROR(__xludf.DUMMYFUNCTION("""COMPUTED_VALUE"""),"CRLN")</f>
        <v>CRLN</v>
      </c>
    </row>
    <row r="1260">
      <c r="A1260" s="8" t="str">
        <f>IFERROR(__xludf.DUMMYFUNCTION("""COMPUTED_VALUE"""),"AH973")</f>
        <v>AH973</v>
      </c>
      <c r="B1260" s="8" t="str">
        <f>IFERROR(__xludf.DUMMYFUNCTION("""COMPUTED_VALUE"""),"RUN-FLMP_2022-05-12_RFR-135")</f>
        <v>RUN-FLMP_2022-05-12_RFR-135</v>
      </c>
      <c r="C1260" s="10">
        <f>VLOOKUP(B1260,'Run Reconcile'!A$2:B1579,2,FALSE)</f>
        <v>44693</v>
      </c>
      <c r="D1260" s="14">
        <f>IFERROR(__xludf.DUMMYFUNCTION("""COMPUTED_VALUE"""),44693.0)</f>
        <v>44693</v>
      </c>
      <c r="E1260" s="15">
        <f>IFERROR(__xludf.DUMMYFUNCTION("""COMPUTED_VALUE"""),0.35491898148029577)</f>
        <v>0.3549189815</v>
      </c>
      <c r="F1260" s="8" t="str">
        <f>IFERROR(__xludf.DUMMYFUNCTION("""COMPUTED_VALUE"""),"Negative")</f>
        <v>Negative</v>
      </c>
      <c r="G1260" s="16">
        <f>IFERROR(__xludf.DUMMYFUNCTION("""COMPUTED_VALUE"""),3.0)</f>
        <v>3</v>
      </c>
      <c r="H1260" s="8" t="str">
        <f>IFERROR(__xludf.DUMMYFUNCTION("""COMPUTED_VALUE"""),"CRLN")</f>
        <v>CRLN</v>
      </c>
    </row>
    <row r="1261">
      <c r="A1261" s="8" t="str">
        <f>IFERROR(__xludf.DUMMYFUNCTION("""COMPUTED_VALUE"""),"AH7413")</f>
        <v>AH7413</v>
      </c>
      <c r="B1261" s="8" t="str">
        <f>IFERROR(__xludf.DUMMYFUNCTION("""COMPUTED_VALUE"""),"RUN-FLMP_2022-05-12_RFR-135")</f>
        <v>RUN-FLMP_2022-05-12_RFR-135</v>
      </c>
      <c r="C1261" s="10">
        <f>VLOOKUP(B1261,'Run Reconcile'!A$2:B1579,2,FALSE)</f>
        <v>44693</v>
      </c>
      <c r="D1261" s="14">
        <f>IFERROR(__xludf.DUMMYFUNCTION("""COMPUTED_VALUE"""),44693.0)</f>
        <v>44693</v>
      </c>
      <c r="E1261" s="15">
        <f>IFERROR(__xludf.DUMMYFUNCTION("""COMPUTED_VALUE"""),0.3553009259267128)</f>
        <v>0.3553009259</v>
      </c>
      <c r="F1261" s="8" t="str">
        <f>IFERROR(__xludf.DUMMYFUNCTION("""COMPUTED_VALUE"""),"Negative")</f>
        <v>Negative</v>
      </c>
      <c r="G1261" s="16">
        <f>IFERROR(__xludf.DUMMYFUNCTION("""COMPUTED_VALUE"""),2.0)</f>
        <v>2</v>
      </c>
      <c r="H1261" s="8" t="str">
        <f>IFERROR(__xludf.DUMMYFUNCTION("""COMPUTED_VALUE"""),"CRLN")</f>
        <v>CRLN</v>
      </c>
    </row>
    <row r="1262">
      <c r="A1262" s="8" t="str">
        <f>IFERROR(__xludf.DUMMYFUNCTION("""COMPUTED_VALUE"""),"AH8007")</f>
        <v>AH8007</v>
      </c>
      <c r="B1262" s="8" t="str">
        <f>IFERROR(__xludf.DUMMYFUNCTION("""COMPUTED_VALUE"""),"RUN-FLMP_2022-05-12_RFR-135")</f>
        <v>RUN-FLMP_2022-05-12_RFR-135</v>
      </c>
      <c r="C1262" s="10">
        <f>VLOOKUP(B1262,'Run Reconcile'!A$2:B1579,2,FALSE)</f>
        <v>44693</v>
      </c>
      <c r="D1262" s="14">
        <f>IFERROR(__xludf.DUMMYFUNCTION("""COMPUTED_VALUE"""),44693.0)</f>
        <v>44693</v>
      </c>
      <c r="E1262" s="15">
        <f>IFERROR(__xludf.DUMMYFUNCTION("""COMPUTED_VALUE"""),0.3554745370383898)</f>
        <v>0.355474537</v>
      </c>
      <c r="F1262" s="8" t="str">
        <f>IFERROR(__xludf.DUMMYFUNCTION("""COMPUTED_VALUE"""),"Negative")</f>
        <v>Negative</v>
      </c>
      <c r="G1262" s="16">
        <f>IFERROR(__xludf.DUMMYFUNCTION("""COMPUTED_VALUE"""),2.0)</f>
        <v>2</v>
      </c>
      <c r="H1262" s="8" t="str">
        <f>IFERROR(__xludf.DUMMYFUNCTION("""COMPUTED_VALUE"""),"CRLN")</f>
        <v>CRLN</v>
      </c>
    </row>
    <row r="1263">
      <c r="A1263" s="8" t="str">
        <f>IFERROR(__xludf.DUMMYFUNCTION("""COMPUTED_VALUE"""),"AG169")</f>
        <v>AG169</v>
      </c>
      <c r="B1263" s="8" t="str">
        <f>IFERROR(__xludf.DUMMYFUNCTION("""COMPUTED_VALUE"""),"RUN-FLMP_2022-05-12_RFR-135")</f>
        <v>RUN-FLMP_2022-05-12_RFR-135</v>
      </c>
      <c r="C1263" s="10">
        <f>VLOOKUP(B1263,'Run Reconcile'!A$2:B1579,2,FALSE)</f>
        <v>44693</v>
      </c>
      <c r="D1263" s="14">
        <f>IFERROR(__xludf.DUMMYFUNCTION("""COMPUTED_VALUE"""),44693.0)</f>
        <v>44693</v>
      </c>
      <c r="E1263" s="15">
        <f>IFERROR(__xludf.DUMMYFUNCTION("""COMPUTED_VALUE"""),0.356585648147302)</f>
        <v>0.3565856481</v>
      </c>
      <c r="F1263" s="8" t="str">
        <f>IFERROR(__xludf.DUMMYFUNCTION("""COMPUTED_VALUE"""),"Negative")</f>
        <v>Negative</v>
      </c>
      <c r="G1263" s="16">
        <f>IFERROR(__xludf.DUMMYFUNCTION("""COMPUTED_VALUE"""),3.0)</f>
        <v>3</v>
      </c>
      <c r="H1263" s="8" t="str">
        <f>IFERROR(__xludf.DUMMYFUNCTION("""COMPUTED_VALUE"""),"CRLN")</f>
        <v>CRLN</v>
      </c>
    </row>
    <row r="1264">
      <c r="A1264" s="8" t="str">
        <f>IFERROR(__xludf.DUMMYFUNCTION("""COMPUTED_VALUE"""),"AG563")</f>
        <v>AG563</v>
      </c>
      <c r="B1264" s="8" t="str">
        <f>IFERROR(__xludf.DUMMYFUNCTION("""COMPUTED_VALUE"""),"RUN-FLMP_2022-05-12_RFR-135")</f>
        <v>RUN-FLMP_2022-05-12_RFR-135</v>
      </c>
      <c r="C1264" s="10">
        <f>VLOOKUP(B1264,'Run Reconcile'!A$2:B1579,2,FALSE)</f>
        <v>44693</v>
      </c>
      <c r="D1264" s="14">
        <f>IFERROR(__xludf.DUMMYFUNCTION("""COMPUTED_VALUE"""),44693.0)</f>
        <v>44693</v>
      </c>
      <c r="E1264" s="15">
        <f>IFERROR(__xludf.DUMMYFUNCTION("""COMPUTED_VALUE"""),0.35673611111269565)</f>
        <v>0.3567361111</v>
      </c>
      <c r="F1264" s="8" t="str">
        <f>IFERROR(__xludf.DUMMYFUNCTION("""COMPUTED_VALUE"""),"Negative")</f>
        <v>Negative</v>
      </c>
      <c r="G1264" s="16">
        <f>IFERROR(__xludf.DUMMYFUNCTION("""COMPUTED_VALUE"""),1.0)</f>
        <v>1</v>
      </c>
      <c r="H1264" s="8" t="str">
        <f>IFERROR(__xludf.DUMMYFUNCTION("""COMPUTED_VALUE"""),"CRLN")</f>
        <v>CRLN</v>
      </c>
    </row>
    <row r="1265">
      <c r="A1265" s="8" t="str">
        <f>IFERROR(__xludf.DUMMYFUNCTION("""COMPUTED_VALUE"""),"FLE266")</f>
        <v>FLE266</v>
      </c>
      <c r="B1265" s="8" t="str">
        <f>IFERROR(__xludf.DUMMYFUNCTION("""COMPUTED_VALUE"""),"RUN-FLMP_2022-05-12_RFR-135")</f>
        <v>RUN-FLMP_2022-05-12_RFR-135</v>
      </c>
      <c r="C1265" s="10">
        <f>VLOOKUP(B1265,'Run Reconcile'!A$2:B1579,2,FALSE)</f>
        <v>44693</v>
      </c>
      <c r="D1265" s="14">
        <f>IFERROR(__xludf.DUMMYFUNCTION("""COMPUTED_VALUE"""),44693.0)</f>
        <v>44693</v>
      </c>
      <c r="E1265" s="15">
        <f>IFERROR(__xludf.DUMMYFUNCTION("""COMPUTED_VALUE"""),0.36498842592482106)</f>
        <v>0.3649884259</v>
      </c>
      <c r="F1265" s="8" t="str">
        <f>IFERROR(__xludf.DUMMYFUNCTION("""COMPUTED_VALUE"""),"Negative")</f>
        <v>Negative</v>
      </c>
      <c r="G1265" s="16">
        <f>IFERROR(__xludf.DUMMYFUNCTION("""COMPUTED_VALUE"""),1.0)</f>
        <v>1</v>
      </c>
      <c r="H1265" s="8" t="str">
        <f>IFERROR(__xludf.DUMMYFUNCTION("""COMPUTED_VALUE"""),"FLSP")</f>
        <v>FLSP</v>
      </c>
    </row>
    <row r="1266">
      <c r="A1266" s="8" t="str">
        <f>IFERROR(__xludf.DUMMYFUNCTION("""COMPUTED_VALUE"""),"AH7212")</f>
        <v>AH7212</v>
      </c>
      <c r="B1266" s="8" t="str">
        <f>IFERROR(__xludf.DUMMYFUNCTION("""COMPUTED_VALUE"""),"RUN-FLMP_2022-05-12_RFR-135")</f>
        <v>RUN-FLMP_2022-05-12_RFR-135</v>
      </c>
      <c r="C1266" s="10">
        <f>VLOOKUP(B1266,'Run Reconcile'!A$2:B1579,2,FALSE)</f>
        <v>44693</v>
      </c>
      <c r="D1266" s="14">
        <f>IFERROR(__xludf.DUMMYFUNCTION("""COMPUTED_VALUE"""),44693.0)</f>
        <v>44693</v>
      </c>
      <c r="E1266" s="15">
        <f>IFERROR(__xludf.DUMMYFUNCTION("""COMPUTED_VALUE"""),0.36743055555416504)</f>
        <v>0.3674305556</v>
      </c>
      <c r="F1266" s="8" t="str">
        <f>IFERROR(__xludf.DUMMYFUNCTION("""COMPUTED_VALUE"""),"Negative")</f>
        <v>Negative</v>
      </c>
      <c r="G1266" s="16">
        <f>IFERROR(__xludf.DUMMYFUNCTION("""COMPUTED_VALUE"""),2.0)</f>
        <v>2</v>
      </c>
      <c r="H1266" s="8" t="str">
        <f>IFERROR(__xludf.DUMMYFUNCTION("""COMPUTED_VALUE"""),"CRLN")</f>
        <v>CRLN</v>
      </c>
    </row>
    <row r="1267">
      <c r="A1267" s="8" t="str">
        <f>IFERROR(__xludf.DUMMYFUNCTION("""COMPUTED_VALUE"""),"FLE925")</f>
        <v>FLE925</v>
      </c>
      <c r="B1267" s="8" t="str">
        <f>IFERROR(__xludf.DUMMYFUNCTION("""COMPUTED_VALUE"""),"RUN-FLMP_2022-05-12_RFR-135")</f>
        <v>RUN-FLMP_2022-05-12_RFR-135</v>
      </c>
      <c r="C1267" s="10">
        <f>VLOOKUP(B1267,'Run Reconcile'!A$2:B1579,2,FALSE)</f>
        <v>44693</v>
      </c>
      <c r="D1267" s="14">
        <f>IFERROR(__xludf.DUMMYFUNCTION("""COMPUTED_VALUE"""),44693.0)</f>
        <v>44693</v>
      </c>
      <c r="E1267" s="15">
        <f>IFERROR(__xludf.DUMMYFUNCTION("""COMPUTED_VALUE"""),0.3683217592588335)</f>
        <v>0.3683217593</v>
      </c>
      <c r="F1267" s="8" t="str">
        <f>IFERROR(__xludf.DUMMYFUNCTION("""COMPUTED_VALUE"""),"Negative")</f>
        <v>Negative</v>
      </c>
      <c r="G1267" s="16">
        <f>IFERROR(__xludf.DUMMYFUNCTION("""COMPUTED_VALUE"""),3.0)</f>
        <v>3</v>
      </c>
      <c r="H1267" s="8" t="str">
        <f>IFERROR(__xludf.DUMMYFUNCTION("""COMPUTED_VALUE"""),"CRLN")</f>
        <v>CRLN</v>
      </c>
    </row>
    <row r="1268">
      <c r="A1268" s="8" t="str">
        <f>IFERROR(__xludf.DUMMYFUNCTION("""COMPUTED_VALUE"""),"AK6493")</f>
        <v>AK6493</v>
      </c>
      <c r="B1268" s="8" t="str">
        <f>IFERROR(__xludf.DUMMYFUNCTION("""COMPUTED_VALUE"""),"RUN-FLMP_2022-05-12_RFR-135")</f>
        <v>RUN-FLMP_2022-05-12_RFR-135</v>
      </c>
      <c r="C1268" s="10">
        <f>VLOOKUP(B1268,'Run Reconcile'!A$2:B1579,2,FALSE)</f>
        <v>44693</v>
      </c>
      <c r="D1268" s="14">
        <f>IFERROR(__xludf.DUMMYFUNCTION("""COMPUTED_VALUE"""),44693.0)</f>
        <v>44693</v>
      </c>
      <c r="E1268" s="15">
        <f>IFERROR(__xludf.DUMMYFUNCTION("""COMPUTED_VALUE"""),0.38915509259095415)</f>
        <v>0.3891550926</v>
      </c>
      <c r="F1268" s="8" t="str">
        <f>IFERROR(__xludf.DUMMYFUNCTION("""COMPUTED_VALUE"""),"Negative")</f>
        <v>Negative</v>
      </c>
      <c r="G1268" s="16">
        <f>IFERROR(__xludf.DUMMYFUNCTION("""COMPUTED_VALUE"""),1.0)</f>
        <v>1</v>
      </c>
      <c r="H1268" s="8" t="str">
        <f>IFERROR(__xludf.DUMMYFUNCTION("""COMPUTED_VALUE"""),"FLSP")</f>
        <v>FLSP</v>
      </c>
    </row>
    <row r="1269">
      <c r="A1269" s="8" t="str">
        <f>IFERROR(__xludf.DUMMYFUNCTION("""COMPUTED_VALUE"""),"FLE801")</f>
        <v>FLE801</v>
      </c>
      <c r="B1269" s="8" t="str">
        <f>IFERROR(__xludf.DUMMYFUNCTION("""COMPUTED_VALUE"""),"RUN-FLMP_2022-05-12_RFR-135")</f>
        <v>RUN-FLMP_2022-05-12_RFR-135</v>
      </c>
      <c r="C1269" s="10">
        <f>VLOOKUP(B1269,'Run Reconcile'!A$2:B1579,2,FALSE)</f>
        <v>44693</v>
      </c>
      <c r="D1269" s="14">
        <f>IFERROR(__xludf.DUMMYFUNCTION("""COMPUTED_VALUE"""),44693.0)</f>
        <v>44693</v>
      </c>
      <c r="E1269" s="15">
        <f>IFERROR(__xludf.DUMMYFUNCTION("""COMPUTED_VALUE"""),0.4592939814829151)</f>
        <v>0.4592939815</v>
      </c>
      <c r="F1269" s="8" t="str">
        <f>IFERROR(__xludf.DUMMYFUNCTION("""COMPUTED_VALUE"""),"Negative")</f>
        <v>Negative</v>
      </c>
      <c r="G1269" s="16">
        <f>IFERROR(__xludf.DUMMYFUNCTION("""COMPUTED_VALUE"""),4.0)</f>
        <v>4</v>
      </c>
      <c r="H1269" s="8" t="str">
        <f>IFERROR(__xludf.DUMMYFUNCTION("""COMPUTED_VALUE"""),"CRLN")</f>
        <v>CRLN</v>
      </c>
    </row>
    <row r="1270">
      <c r="A1270" s="8" t="str">
        <f>IFERROR(__xludf.DUMMYFUNCTION("""COMPUTED_VALUE"""),"FLB7420")</f>
        <v>FLB7420</v>
      </c>
      <c r="B1270" s="8" t="str">
        <f>IFERROR(__xludf.DUMMYFUNCTION("""COMPUTED_VALUE"""),"RUN-FLMP_2022-05-16_RFR-138")</f>
        <v>RUN-FLMP_2022-05-16_RFR-138</v>
      </c>
      <c r="C1270" s="10">
        <f>VLOOKUP(B1270,'Run Reconcile'!A$2:B1579,2,FALSE)</f>
        <v>44697</v>
      </c>
      <c r="D1270" s="14">
        <f>IFERROR(__xludf.DUMMYFUNCTION("""COMPUTED_VALUE"""),44696.0)</f>
        <v>44696</v>
      </c>
      <c r="E1270" s="15">
        <f>IFERROR(__xludf.DUMMYFUNCTION("""COMPUTED_VALUE"""),0.8007638888884685)</f>
        <v>0.8007638889</v>
      </c>
      <c r="F1270" s="8" t="str">
        <f>IFERROR(__xludf.DUMMYFUNCTION("""COMPUTED_VALUE"""),"Negative")</f>
        <v>Negative</v>
      </c>
      <c r="G1270" s="16">
        <f>IFERROR(__xludf.DUMMYFUNCTION("""COMPUTED_VALUE"""),3.0)</f>
        <v>3</v>
      </c>
      <c r="H1270" s="8" t="str">
        <f>IFERROR(__xludf.DUMMYFUNCTION("""COMPUTED_VALUE"""),"CRLN")</f>
        <v>CRLN</v>
      </c>
    </row>
    <row r="1271">
      <c r="A1271" s="8" t="str">
        <f>IFERROR(__xludf.DUMMYFUNCTION("""COMPUTED_VALUE"""),"AJ7864")</f>
        <v>AJ7864</v>
      </c>
      <c r="B1271" s="8" t="str">
        <f>IFERROR(__xludf.DUMMYFUNCTION("""COMPUTED_VALUE"""),"RUN-FLMP_2022-05-16_RFR-138")</f>
        <v>RUN-FLMP_2022-05-16_RFR-138</v>
      </c>
      <c r="C1271" s="10">
        <f>VLOOKUP(B1271,'Run Reconcile'!A$2:B1579,2,FALSE)</f>
        <v>44697</v>
      </c>
      <c r="D1271" s="14">
        <f>IFERROR(__xludf.DUMMYFUNCTION("""COMPUTED_VALUE"""),44697.0)</f>
        <v>44697</v>
      </c>
      <c r="E1271" s="15">
        <f>IFERROR(__xludf.DUMMYFUNCTION("""COMPUTED_VALUE"""),0.26140046296131914)</f>
        <v>0.261400463</v>
      </c>
      <c r="F1271" s="8" t="str">
        <f>IFERROR(__xludf.DUMMYFUNCTION("""COMPUTED_VALUE"""),"Negative")</f>
        <v>Negative</v>
      </c>
      <c r="G1271" s="16">
        <f>IFERROR(__xludf.DUMMYFUNCTION("""COMPUTED_VALUE"""),2.0)</f>
        <v>2</v>
      </c>
      <c r="H1271" s="8" t="str">
        <f>IFERROR(__xludf.DUMMYFUNCTION("""COMPUTED_VALUE"""),"CRLN")</f>
        <v>CRLN</v>
      </c>
    </row>
    <row r="1272">
      <c r="A1272" s="8" t="str">
        <f>IFERROR(__xludf.DUMMYFUNCTION("""COMPUTED_VALUE"""),"AJ6841")</f>
        <v>AJ6841</v>
      </c>
      <c r="B1272" s="8" t="str">
        <f>IFERROR(__xludf.DUMMYFUNCTION("""COMPUTED_VALUE"""),"RUN-FLMP_2022-05-16_RFR-138")</f>
        <v>RUN-FLMP_2022-05-16_RFR-138</v>
      </c>
      <c r="C1272" s="10">
        <f>VLOOKUP(B1272,'Run Reconcile'!A$2:B1579,2,FALSE)</f>
        <v>44697</v>
      </c>
      <c r="D1272" s="14">
        <f>IFERROR(__xludf.DUMMYFUNCTION("""COMPUTED_VALUE"""),44697.0)</f>
        <v>44697</v>
      </c>
      <c r="E1272" s="15">
        <f>IFERROR(__xludf.DUMMYFUNCTION("""COMPUTED_VALUE"""),0.3009027777770825)</f>
        <v>0.3009027778</v>
      </c>
      <c r="F1272" s="8" t="str">
        <f>IFERROR(__xludf.DUMMYFUNCTION("""COMPUTED_VALUE"""),"Negative")</f>
        <v>Negative</v>
      </c>
      <c r="G1272" s="16">
        <f>IFERROR(__xludf.DUMMYFUNCTION("""COMPUTED_VALUE"""),1.0)</f>
        <v>1</v>
      </c>
      <c r="H1272" s="8" t="str">
        <f>IFERROR(__xludf.DUMMYFUNCTION("""COMPUTED_VALUE"""),"CRLN")</f>
        <v>CRLN</v>
      </c>
    </row>
    <row r="1273">
      <c r="A1273" s="8" t="str">
        <f>IFERROR(__xludf.DUMMYFUNCTION("""COMPUTED_VALUE"""),"FLE878")</f>
        <v>FLE878</v>
      </c>
      <c r="B1273" s="8" t="str">
        <f>IFERROR(__xludf.DUMMYFUNCTION("""COMPUTED_VALUE"""),"RUN-FLMP_2022-05-16_RFR-138")</f>
        <v>RUN-FLMP_2022-05-16_RFR-138</v>
      </c>
      <c r="C1273" s="10">
        <f>VLOOKUP(B1273,'Run Reconcile'!A$2:B1579,2,FALSE)</f>
        <v>44697</v>
      </c>
      <c r="D1273" s="14">
        <f>IFERROR(__xludf.DUMMYFUNCTION("""COMPUTED_VALUE"""),44697.0)</f>
        <v>44697</v>
      </c>
      <c r="E1273" s="15">
        <f>IFERROR(__xludf.DUMMYFUNCTION("""COMPUTED_VALUE"""),0.3033912037026312)</f>
        <v>0.3033912037</v>
      </c>
      <c r="F1273" s="8" t="str">
        <f>IFERROR(__xludf.DUMMYFUNCTION("""COMPUTED_VALUE"""),"Negative")</f>
        <v>Negative</v>
      </c>
      <c r="G1273" s="16">
        <f>IFERROR(__xludf.DUMMYFUNCTION("""COMPUTED_VALUE"""),4.0)</f>
        <v>4</v>
      </c>
      <c r="H1273" s="8" t="str">
        <f>IFERROR(__xludf.DUMMYFUNCTION("""COMPUTED_VALUE"""),"CRLN")</f>
        <v>CRLN</v>
      </c>
    </row>
    <row r="1274">
      <c r="A1274" s="8" t="str">
        <f>IFERROR(__xludf.DUMMYFUNCTION("""COMPUTED_VALUE"""),"AG1594")</f>
        <v>AG1594</v>
      </c>
      <c r="B1274" s="8" t="str">
        <f>IFERROR(__xludf.DUMMYFUNCTION("""COMPUTED_VALUE"""),"RUN-FLMP_2022-05-16_RFR-138")</f>
        <v>RUN-FLMP_2022-05-16_RFR-138</v>
      </c>
      <c r="C1274" s="10">
        <f>VLOOKUP(B1274,'Run Reconcile'!A$2:B1579,2,FALSE)</f>
        <v>44697</v>
      </c>
      <c r="D1274" s="14">
        <f>IFERROR(__xludf.DUMMYFUNCTION("""COMPUTED_VALUE"""),44697.0)</f>
        <v>44697</v>
      </c>
      <c r="E1274" s="15">
        <f>IFERROR(__xludf.DUMMYFUNCTION("""COMPUTED_VALUE"""),0.3259143518516794)</f>
        <v>0.3259143519</v>
      </c>
      <c r="F1274" s="8" t="str">
        <f>IFERROR(__xludf.DUMMYFUNCTION("""COMPUTED_VALUE"""),"Negative")</f>
        <v>Negative</v>
      </c>
      <c r="G1274" s="16">
        <f>IFERROR(__xludf.DUMMYFUNCTION("""COMPUTED_VALUE"""),4.0)</f>
        <v>4</v>
      </c>
      <c r="H1274" s="8" t="str">
        <f>IFERROR(__xludf.DUMMYFUNCTION("""COMPUTED_VALUE"""),"CRLN")</f>
        <v>CRLN</v>
      </c>
    </row>
    <row r="1275">
      <c r="A1275" s="8" t="str">
        <f>IFERROR(__xludf.DUMMYFUNCTION("""COMPUTED_VALUE"""),"AH7492")</f>
        <v>AH7492</v>
      </c>
      <c r="B1275" s="8" t="str">
        <f>IFERROR(__xludf.DUMMYFUNCTION("""COMPUTED_VALUE"""),"RUN-FLMP_2022-05-16_RFR-138")</f>
        <v>RUN-FLMP_2022-05-16_RFR-138</v>
      </c>
      <c r="C1275" s="10">
        <f>VLOOKUP(B1275,'Run Reconcile'!A$2:B1579,2,FALSE)</f>
        <v>44697</v>
      </c>
      <c r="D1275" s="14">
        <f>IFERROR(__xludf.DUMMYFUNCTION("""COMPUTED_VALUE"""),44697.0)</f>
        <v>44697</v>
      </c>
      <c r="E1275" s="15">
        <f>IFERROR(__xludf.DUMMYFUNCTION("""COMPUTED_VALUE"""),0.33181712963050813)</f>
        <v>0.3318171296</v>
      </c>
      <c r="F1275" s="8" t="str">
        <f>IFERROR(__xludf.DUMMYFUNCTION("""COMPUTED_VALUE"""),"Negative")</f>
        <v>Negative</v>
      </c>
      <c r="G1275" s="16">
        <f>IFERROR(__xludf.DUMMYFUNCTION("""COMPUTED_VALUE"""),1.0)</f>
        <v>1</v>
      </c>
      <c r="H1275" s="8" t="str">
        <f>IFERROR(__xludf.DUMMYFUNCTION("""COMPUTED_VALUE"""),"CRLN")</f>
        <v>CRLN</v>
      </c>
    </row>
    <row r="1276">
      <c r="A1276" s="8" t="str">
        <f>IFERROR(__xludf.DUMMYFUNCTION("""COMPUTED_VALUE"""),"AH9649")</f>
        <v>AH9649</v>
      </c>
      <c r="B1276" s="8" t="str">
        <f>IFERROR(__xludf.DUMMYFUNCTION("""COMPUTED_VALUE"""),"RUN-FLMP_2022-05-16_RFR-138")</f>
        <v>RUN-FLMP_2022-05-16_RFR-138</v>
      </c>
      <c r="C1276" s="10">
        <f>VLOOKUP(B1276,'Run Reconcile'!A$2:B1579,2,FALSE)</f>
        <v>44697</v>
      </c>
      <c r="D1276" s="14">
        <f>IFERROR(__xludf.DUMMYFUNCTION("""COMPUTED_VALUE"""),44697.0)</f>
        <v>44697</v>
      </c>
      <c r="E1276" s="15">
        <f>IFERROR(__xludf.DUMMYFUNCTION("""COMPUTED_VALUE"""),0.34554398148247856)</f>
        <v>0.3455439815</v>
      </c>
      <c r="F1276" s="8" t="str">
        <f>IFERROR(__xludf.DUMMYFUNCTION("""COMPUTED_VALUE"""),"Negative")</f>
        <v>Negative</v>
      </c>
      <c r="G1276" s="16">
        <f>IFERROR(__xludf.DUMMYFUNCTION("""COMPUTED_VALUE"""),4.0)</f>
        <v>4</v>
      </c>
      <c r="H1276" s="8" t="str">
        <f>IFERROR(__xludf.DUMMYFUNCTION("""COMPUTED_VALUE"""),"CRLN")</f>
        <v>CRLN</v>
      </c>
    </row>
    <row r="1277">
      <c r="A1277" s="8" t="str">
        <f>IFERROR(__xludf.DUMMYFUNCTION("""COMPUTED_VALUE"""),"AK5521")</f>
        <v>AK5521</v>
      </c>
      <c r="B1277" s="8" t="str">
        <f>IFERROR(__xludf.DUMMYFUNCTION("""COMPUTED_VALUE"""),"RUN-FLMP_2022-05-16_RFR-138")</f>
        <v>RUN-FLMP_2022-05-16_RFR-138</v>
      </c>
      <c r="C1277" s="10">
        <f>VLOOKUP(B1277,'Run Reconcile'!A$2:B1579,2,FALSE)</f>
        <v>44697</v>
      </c>
      <c r="D1277" s="14">
        <f>IFERROR(__xludf.DUMMYFUNCTION("""COMPUTED_VALUE"""),44697.0)</f>
        <v>44697</v>
      </c>
      <c r="E1277" s="15">
        <f>IFERROR(__xludf.DUMMYFUNCTION("""COMPUTED_VALUE"""),0.35060185185284354)</f>
        <v>0.3506018519</v>
      </c>
      <c r="F1277" s="8" t="str">
        <f>IFERROR(__xludf.DUMMYFUNCTION("""COMPUTED_VALUE"""),"Negative")</f>
        <v>Negative</v>
      </c>
      <c r="G1277" s="16">
        <f>IFERROR(__xludf.DUMMYFUNCTION("""COMPUTED_VALUE"""),2.0)</f>
        <v>2</v>
      </c>
      <c r="H1277" s="8" t="str">
        <f>IFERROR(__xludf.DUMMYFUNCTION("""COMPUTED_VALUE"""),"CRLN")</f>
        <v>CRLN</v>
      </c>
    </row>
    <row r="1278">
      <c r="A1278" s="8" t="str">
        <f>IFERROR(__xludf.DUMMYFUNCTION("""COMPUTED_VALUE"""),"AJ5313")</f>
        <v>AJ5313</v>
      </c>
      <c r="B1278" s="8" t="str">
        <f>IFERROR(__xludf.DUMMYFUNCTION("""COMPUTED_VALUE"""),"RUN-FLMP_2022-05-16_RFR-138")</f>
        <v>RUN-FLMP_2022-05-16_RFR-138</v>
      </c>
      <c r="C1278" s="10">
        <f>VLOOKUP(B1278,'Run Reconcile'!A$2:B1579,2,FALSE)</f>
        <v>44697</v>
      </c>
      <c r="D1278" s="14">
        <f>IFERROR(__xludf.DUMMYFUNCTION("""COMPUTED_VALUE"""),44697.0)</f>
        <v>44697</v>
      </c>
      <c r="E1278" s="15">
        <f>IFERROR(__xludf.DUMMYFUNCTION("""COMPUTED_VALUE"""),0.3521064814813144)</f>
        <v>0.3521064815</v>
      </c>
      <c r="F1278" s="8" t="str">
        <f>IFERROR(__xludf.DUMMYFUNCTION("""COMPUTED_VALUE"""),"Negative")</f>
        <v>Negative</v>
      </c>
      <c r="G1278" s="16">
        <f>IFERROR(__xludf.DUMMYFUNCTION("""COMPUTED_VALUE"""),2.0)</f>
        <v>2</v>
      </c>
      <c r="H1278" s="8" t="str">
        <f>IFERROR(__xludf.DUMMYFUNCTION("""COMPUTED_VALUE"""),"CRLN")</f>
        <v>CRLN</v>
      </c>
    </row>
    <row r="1279">
      <c r="A1279" s="8" t="str">
        <f>IFERROR(__xludf.DUMMYFUNCTION("""COMPUTED_VALUE"""),"AH150")</f>
        <v>AH150</v>
      </c>
      <c r="B1279" s="8" t="str">
        <f>IFERROR(__xludf.DUMMYFUNCTION("""COMPUTED_VALUE"""),"RUN-FLMP_2022-05-16_RFR-138")</f>
        <v>RUN-FLMP_2022-05-16_RFR-138</v>
      </c>
      <c r="C1279" s="10">
        <f>VLOOKUP(B1279,'Run Reconcile'!A$2:B1579,2,FALSE)</f>
        <v>44697</v>
      </c>
      <c r="D1279" s="14">
        <f>IFERROR(__xludf.DUMMYFUNCTION("""COMPUTED_VALUE"""),44697.0)</f>
        <v>44697</v>
      </c>
      <c r="E1279" s="15">
        <f>IFERROR(__xludf.DUMMYFUNCTION("""COMPUTED_VALUE"""),0.35629629629693227)</f>
        <v>0.3562962963</v>
      </c>
      <c r="F1279" s="8" t="str">
        <f>IFERROR(__xludf.DUMMYFUNCTION("""COMPUTED_VALUE"""),"Negative")</f>
        <v>Negative</v>
      </c>
      <c r="G1279" s="16">
        <f>IFERROR(__xludf.DUMMYFUNCTION("""COMPUTED_VALUE"""),1.0)</f>
        <v>1</v>
      </c>
      <c r="H1279" s="8" t="str">
        <f>IFERROR(__xludf.DUMMYFUNCTION("""COMPUTED_VALUE"""),"CRLN")</f>
        <v>CRLN</v>
      </c>
    </row>
    <row r="1280">
      <c r="A1280" s="8" t="str">
        <f>IFERROR(__xludf.DUMMYFUNCTION("""COMPUTED_VALUE"""),"FLE270")</f>
        <v>FLE270</v>
      </c>
      <c r="B1280" s="8" t="str">
        <f>IFERROR(__xludf.DUMMYFUNCTION("""COMPUTED_VALUE"""),"RUN-FLMP_2022-05-16_RFR-138")</f>
        <v>RUN-FLMP_2022-05-16_RFR-138</v>
      </c>
      <c r="C1280" s="10">
        <f>VLOOKUP(B1280,'Run Reconcile'!A$2:B1579,2,FALSE)</f>
        <v>44697</v>
      </c>
      <c r="D1280" s="14">
        <f>IFERROR(__xludf.DUMMYFUNCTION("""COMPUTED_VALUE"""),44697.0)</f>
        <v>44697</v>
      </c>
      <c r="E1280" s="15">
        <f>IFERROR(__xludf.DUMMYFUNCTION("""COMPUTED_VALUE"""),0.36004629629678675)</f>
        <v>0.3600462963</v>
      </c>
      <c r="F1280" s="8" t="str">
        <f>IFERROR(__xludf.DUMMYFUNCTION("""COMPUTED_VALUE"""),"Negative")</f>
        <v>Negative</v>
      </c>
      <c r="G1280" s="16">
        <f>IFERROR(__xludf.DUMMYFUNCTION("""COMPUTED_VALUE"""),4.0)</f>
        <v>4</v>
      </c>
      <c r="H1280" s="8" t="str">
        <f>IFERROR(__xludf.DUMMYFUNCTION("""COMPUTED_VALUE"""),"CRLN")</f>
        <v>CRLN</v>
      </c>
    </row>
    <row r="1281">
      <c r="A1281" s="8" t="str">
        <f>IFERROR(__xludf.DUMMYFUNCTION("""COMPUTED_VALUE"""),"AG1998")</f>
        <v>AG1998</v>
      </c>
      <c r="B1281" s="8" t="str">
        <f>IFERROR(__xludf.DUMMYFUNCTION("""COMPUTED_VALUE"""),"RUN-FLMP_2022-05-16_RFR-138")</f>
        <v>RUN-FLMP_2022-05-16_RFR-138</v>
      </c>
      <c r="C1281" s="10">
        <f>VLOOKUP(B1281,'Run Reconcile'!A$2:B1579,2,FALSE)</f>
        <v>44697</v>
      </c>
      <c r="D1281" s="14">
        <f>IFERROR(__xludf.DUMMYFUNCTION("""COMPUTED_VALUE"""),44697.0)</f>
        <v>44697</v>
      </c>
      <c r="E1281" s="15">
        <f>IFERROR(__xludf.DUMMYFUNCTION("""COMPUTED_VALUE"""),0.3605787037049595)</f>
        <v>0.3605787037</v>
      </c>
      <c r="F1281" s="8" t="str">
        <f>IFERROR(__xludf.DUMMYFUNCTION("""COMPUTED_VALUE"""),"Negative")</f>
        <v>Negative</v>
      </c>
      <c r="G1281" s="16">
        <f>IFERROR(__xludf.DUMMYFUNCTION("""COMPUTED_VALUE"""),1.0)</f>
        <v>1</v>
      </c>
      <c r="H1281" s="8" t="str">
        <f>IFERROR(__xludf.DUMMYFUNCTION("""COMPUTED_VALUE"""),"CRLN")</f>
        <v>CRLN</v>
      </c>
    </row>
    <row r="1282">
      <c r="A1282" s="8" t="str">
        <f>IFERROR(__xludf.DUMMYFUNCTION("""COMPUTED_VALUE"""),"AH1641")</f>
        <v>AH1641</v>
      </c>
      <c r="B1282" s="8" t="str">
        <f>IFERROR(__xludf.DUMMYFUNCTION("""COMPUTED_VALUE"""),"RUN-FLMP_2022-05-16_RFR-138")</f>
        <v>RUN-FLMP_2022-05-16_RFR-138</v>
      </c>
      <c r="C1282" s="10">
        <f>VLOOKUP(B1282,'Run Reconcile'!A$2:B1579,2,FALSE)</f>
        <v>44697</v>
      </c>
      <c r="D1282" s="14">
        <f>IFERROR(__xludf.DUMMYFUNCTION("""COMPUTED_VALUE"""),44697.0)</f>
        <v>44697</v>
      </c>
      <c r="E1282" s="15">
        <f>IFERROR(__xludf.DUMMYFUNCTION("""COMPUTED_VALUE"""),0.3616203703713836)</f>
        <v>0.3616203704</v>
      </c>
      <c r="F1282" s="8" t="str">
        <f>IFERROR(__xludf.DUMMYFUNCTION("""COMPUTED_VALUE"""),"Negative")</f>
        <v>Negative</v>
      </c>
      <c r="G1282" s="16">
        <f>IFERROR(__xludf.DUMMYFUNCTION("""COMPUTED_VALUE"""),2.0)</f>
        <v>2</v>
      </c>
      <c r="H1282" s="8" t="str">
        <f>IFERROR(__xludf.DUMMYFUNCTION("""COMPUTED_VALUE"""),"CRLN")</f>
        <v>CRLN</v>
      </c>
    </row>
    <row r="1283">
      <c r="A1283" s="8" t="str">
        <f>IFERROR(__xludf.DUMMYFUNCTION("""COMPUTED_VALUE"""),"AJ7952")</f>
        <v>AJ7952</v>
      </c>
      <c r="B1283" s="8" t="str">
        <f>IFERROR(__xludf.DUMMYFUNCTION("""COMPUTED_VALUE"""),"RUN-FLMP_2022-05-16_RFR-138")</f>
        <v>RUN-FLMP_2022-05-16_RFR-138</v>
      </c>
      <c r="C1283" s="10">
        <f>VLOOKUP(B1283,'Run Reconcile'!A$2:B1579,2,FALSE)</f>
        <v>44697</v>
      </c>
      <c r="D1283" s="14">
        <f>IFERROR(__xludf.DUMMYFUNCTION("""COMPUTED_VALUE"""),44697.0)</f>
        <v>44697</v>
      </c>
      <c r="E1283" s="15">
        <f>IFERROR(__xludf.DUMMYFUNCTION("""COMPUTED_VALUE"""),0.3662499999991269)</f>
        <v>0.36625</v>
      </c>
      <c r="F1283" s="8" t="str">
        <f>IFERROR(__xludf.DUMMYFUNCTION("""COMPUTED_VALUE"""),"Negative")</f>
        <v>Negative</v>
      </c>
      <c r="G1283" s="16">
        <f>IFERROR(__xludf.DUMMYFUNCTION("""COMPUTED_VALUE"""),1.0)</f>
        <v>1</v>
      </c>
      <c r="H1283" s="8" t="str">
        <f>IFERROR(__xludf.DUMMYFUNCTION("""COMPUTED_VALUE"""),"FLSP")</f>
        <v>FLSP</v>
      </c>
    </row>
    <row r="1284">
      <c r="A1284" s="8" t="str">
        <f>IFERROR(__xludf.DUMMYFUNCTION("""COMPUTED_VALUE"""),"FLE879")</f>
        <v>FLE879</v>
      </c>
      <c r="B1284" s="8" t="str">
        <f>IFERROR(__xludf.DUMMYFUNCTION("""COMPUTED_VALUE"""),"RUN-FLMP_2022-05-16_RFR-138")</f>
        <v>RUN-FLMP_2022-05-16_RFR-138</v>
      </c>
      <c r="C1284" s="10">
        <f>VLOOKUP(B1284,'Run Reconcile'!A$2:B1579,2,FALSE)</f>
        <v>44697</v>
      </c>
      <c r="D1284" s="14">
        <f>IFERROR(__xludf.DUMMYFUNCTION("""COMPUTED_VALUE"""),44697.0)</f>
        <v>44697</v>
      </c>
      <c r="E1284" s="15">
        <f>IFERROR(__xludf.DUMMYFUNCTION("""COMPUTED_VALUE"""),0.3664236111108039)</f>
        <v>0.3664236111</v>
      </c>
      <c r="F1284" s="8" t="str">
        <f>IFERROR(__xludf.DUMMYFUNCTION("""COMPUTED_VALUE"""),"Negative")</f>
        <v>Negative</v>
      </c>
      <c r="G1284" s="16">
        <f>IFERROR(__xludf.DUMMYFUNCTION("""COMPUTED_VALUE"""),2.0)</f>
        <v>2</v>
      </c>
      <c r="H1284" s="8" t="str">
        <f>IFERROR(__xludf.DUMMYFUNCTION("""COMPUTED_VALUE"""),"CRLN")</f>
        <v>CRLN</v>
      </c>
    </row>
    <row r="1285">
      <c r="A1285" s="8" t="str">
        <f>IFERROR(__xludf.DUMMYFUNCTION("""COMPUTED_VALUE"""),"AJ8134")</f>
        <v>AJ8134</v>
      </c>
      <c r="B1285" s="8" t="str">
        <f>IFERROR(__xludf.DUMMYFUNCTION("""COMPUTED_VALUE"""),"RUN-FLMP_2022-05-16_RFR-138")</f>
        <v>RUN-FLMP_2022-05-16_RFR-138</v>
      </c>
      <c r="C1285" s="10">
        <f>VLOOKUP(B1285,'Run Reconcile'!A$2:B1579,2,FALSE)</f>
        <v>44697</v>
      </c>
      <c r="D1285" s="14">
        <f>IFERROR(__xludf.DUMMYFUNCTION("""COMPUTED_VALUE"""),44697.0)</f>
        <v>44697</v>
      </c>
      <c r="E1285" s="15">
        <f>IFERROR(__xludf.DUMMYFUNCTION("""COMPUTED_VALUE"""),0.3667824074072996)</f>
        <v>0.3667824074</v>
      </c>
      <c r="F1285" s="8" t="str">
        <f>IFERROR(__xludf.DUMMYFUNCTION("""COMPUTED_VALUE"""),"Negative")</f>
        <v>Negative</v>
      </c>
      <c r="G1285" s="16">
        <f>IFERROR(__xludf.DUMMYFUNCTION("""COMPUTED_VALUE"""),2.0)</f>
        <v>2</v>
      </c>
      <c r="H1285" s="8" t="str">
        <f>IFERROR(__xludf.DUMMYFUNCTION("""COMPUTED_VALUE"""),"CRLN")</f>
        <v>CRLN</v>
      </c>
    </row>
    <row r="1286">
      <c r="A1286" s="8" t="str">
        <f>IFERROR(__xludf.DUMMYFUNCTION("""COMPUTED_VALUE"""),"AH7064")</f>
        <v>AH7064</v>
      </c>
      <c r="B1286" s="8" t="str">
        <f>IFERROR(__xludf.DUMMYFUNCTION("""COMPUTED_VALUE"""),"RUN-FLMP_2022-05-16_RFR-138")</f>
        <v>RUN-FLMP_2022-05-16_RFR-138</v>
      </c>
      <c r="C1286" s="10">
        <f>VLOOKUP(B1286,'Run Reconcile'!A$2:B1579,2,FALSE)</f>
        <v>44697</v>
      </c>
      <c r="D1286" s="14">
        <f>IFERROR(__xludf.DUMMYFUNCTION("""COMPUTED_VALUE"""),44697.0)</f>
        <v>44697</v>
      </c>
      <c r="E1286" s="15">
        <f>IFERROR(__xludf.DUMMYFUNCTION("""COMPUTED_VALUE"""),0.36804398148160544)</f>
        <v>0.3680439815</v>
      </c>
      <c r="F1286" s="8" t="str">
        <f>IFERROR(__xludf.DUMMYFUNCTION("""COMPUTED_VALUE"""),"Negative")</f>
        <v>Negative</v>
      </c>
      <c r="G1286" s="16">
        <f>IFERROR(__xludf.DUMMYFUNCTION("""COMPUTED_VALUE"""),3.0)</f>
        <v>3</v>
      </c>
      <c r="H1286" s="8" t="str">
        <f>IFERROR(__xludf.DUMMYFUNCTION("""COMPUTED_VALUE"""),"CRLN")</f>
        <v>CRLN</v>
      </c>
    </row>
    <row r="1287">
      <c r="A1287" s="8" t="str">
        <f>IFERROR(__xludf.DUMMYFUNCTION("""COMPUTED_VALUE"""),"AJ5520")</f>
        <v>AJ5520</v>
      </c>
      <c r="B1287" s="8" t="str">
        <f>IFERROR(__xludf.DUMMYFUNCTION("""COMPUTED_VALUE"""),"RUN-FLMP_2022-05-16_RFR-138")</f>
        <v>RUN-FLMP_2022-05-16_RFR-138</v>
      </c>
      <c r="C1287" s="10">
        <f>VLOOKUP(B1287,'Run Reconcile'!A$2:B1579,2,FALSE)</f>
        <v>44697</v>
      </c>
      <c r="D1287" s="14">
        <f>IFERROR(__xludf.DUMMYFUNCTION("""COMPUTED_VALUE"""),44697.0)</f>
        <v>44697</v>
      </c>
      <c r="E1287" s="15">
        <f>IFERROR(__xludf.DUMMYFUNCTION("""COMPUTED_VALUE"""),0.3683912037049595)</f>
        <v>0.3683912037</v>
      </c>
      <c r="F1287" s="8" t="str">
        <f>IFERROR(__xludf.DUMMYFUNCTION("""COMPUTED_VALUE"""),"Negative")</f>
        <v>Negative</v>
      </c>
      <c r="G1287" s="16">
        <f>IFERROR(__xludf.DUMMYFUNCTION("""COMPUTED_VALUE"""),2.0)</f>
        <v>2</v>
      </c>
      <c r="H1287" s="8" t="str">
        <f>IFERROR(__xludf.DUMMYFUNCTION("""COMPUTED_VALUE"""),"CRLN")</f>
        <v>CRLN</v>
      </c>
    </row>
    <row r="1288">
      <c r="A1288" s="8" t="str">
        <f>IFERROR(__xludf.DUMMYFUNCTION("""COMPUTED_VALUE"""),"FLB7391")</f>
        <v>FLB7391</v>
      </c>
      <c r="B1288" s="8" t="str">
        <f>IFERROR(__xludf.DUMMYFUNCTION("""COMPUTED_VALUE"""),"RUN-FLMP_2022-05-16_RFR-138")</f>
        <v>RUN-FLMP_2022-05-16_RFR-138</v>
      </c>
      <c r="C1288" s="10">
        <f>VLOOKUP(B1288,'Run Reconcile'!A$2:B1579,2,FALSE)</f>
        <v>44697</v>
      </c>
      <c r="D1288" s="14">
        <f>IFERROR(__xludf.DUMMYFUNCTION("""COMPUTED_VALUE"""),44697.0)</f>
        <v>44697</v>
      </c>
      <c r="E1288" s="15">
        <f>IFERROR(__xludf.DUMMYFUNCTION("""COMPUTED_VALUE"""),0.37025462962992606)</f>
        <v>0.3702546296</v>
      </c>
      <c r="F1288" s="8" t="str">
        <f>IFERROR(__xludf.DUMMYFUNCTION("""COMPUTED_VALUE"""),"Negative")</f>
        <v>Negative</v>
      </c>
      <c r="G1288" s="16">
        <f>IFERROR(__xludf.DUMMYFUNCTION("""COMPUTED_VALUE"""),3.0)</f>
        <v>3</v>
      </c>
      <c r="H1288" s="8" t="str">
        <f>IFERROR(__xludf.DUMMYFUNCTION("""COMPUTED_VALUE"""),"CRLN")</f>
        <v>CRLN</v>
      </c>
    </row>
    <row r="1289">
      <c r="A1289" s="8" t="str">
        <f>IFERROR(__xludf.DUMMYFUNCTION("""COMPUTED_VALUE"""),"MA739")</f>
        <v>MA739</v>
      </c>
      <c r="B1289" s="8" t="str">
        <f>IFERROR(__xludf.DUMMYFUNCTION("""COMPUTED_VALUE"""),"RUN-FLMP_2022-05-17_RFR-140")</f>
        <v>RUN-FLMP_2022-05-17_RFR-140</v>
      </c>
      <c r="C1289" s="10">
        <f>VLOOKUP(B1289,'Run Reconcile'!A$2:B1579,2,FALSE)</f>
        <v>44698</v>
      </c>
      <c r="D1289" s="14">
        <f>IFERROR(__xludf.DUMMYFUNCTION("""COMPUTED_VALUE"""),44698.0)</f>
        <v>44698</v>
      </c>
      <c r="E1289" s="15">
        <f>IFERROR(__xludf.DUMMYFUNCTION("""COMPUTED_VALUE"""),0.3944444444459805)</f>
        <v>0.3944444444</v>
      </c>
      <c r="F1289" s="8" t="str">
        <f>IFERROR(__xludf.DUMMYFUNCTION("""COMPUTED_VALUE"""),"Negative")</f>
        <v>Negative</v>
      </c>
      <c r="G1289" s="16">
        <f>IFERROR(__xludf.DUMMYFUNCTION("""COMPUTED_VALUE"""),1.0)</f>
        <v>1</v>
      </c>
      <c r="H1289" s="8" t="str">
        <f>IFERROR(__xludf.DUMMYFUNCTION("""COMPUTED_VALUE"""),"CRLN")</f>
        <v>CRLN</v>
      </c>
    </row>
    <row r="1290">
      <c r="A1290" s="8" t="str">
        <f>IFERROR(__xludf.DUMMYFUNCTION("""COMPUTED_VALUE"""),"FM1702")</f>
        <v>FM1702</v>
      </c>
      <c r="B1290" s="8" t="str">
        <f>IFERROR(__xludf.DUMMYFUNCTION("""COMPUTED_VALUE"""),"RUN-FLMP_2022-05-17_RFR-141")</f>
        <v>RUN-FLMP_2022-05-17_RFR-141</v>
      </c>
      <c r="C1290" s="10">
        <f>VLOOKUP(B1290,'Run Reconcile'!A$2:B1579,2,FALSE)</f>
        <v>44698</v>
      </c>
      <c r="D1290" s="14">
        <f>IFERROR(__xludf.DUMMYFUNCTION("""COMPUTED_VALUE"""),44698.0)</f>
        <v>44698</v>
      </c>
      <c r="E1290" s="15">
        <f>IFERROR(__xludf.DUMMYFUNCTION("""COMPUTED_VALUE"""),0.5792013888894871)</f>
        <v>0.5792013889</v>
      </c>
      <c r="F1290" s="8" t="str">
        <f>IFERROR(__xludf.DUMMYFUNCTION("""COMPUTED_VALUE"""),"Negative")</f>
        <v>Negative</v>
      </c>
      <c r="G1290" s="16">
        <f>IFERROR(__xludf.DUMMYFUNCTION("""COMPUTED_VALUE"""),2.0)</f>
        <v>2</v>
      </c>
      <c r="H1290" s="8" t="str">
        <f>IFERROR(__xludf.DUMMYFUNCTION("""COMPUTED_VALUE"""),"FLSP")</f>
        <v>FLSP</v>
      </c>
    </row>
    <row r="1291">
      <c r="A1291" s="8" t="str">
        <f>IFERROR(__xludf.DUMMYFUNCTION("""COMPUTED_VALUE"""),"FM1987")</f>
        <v>FM1987</v>
      </c>
      <c r="B1291" s="8" t="str">
        <f>IFERROR(__xludf.DUMMYFUNCTION("""COMPUTED_VALUE"""),"RUN-FLMP_2022-05-17_RFR-141")</f>
        <v>RUN-FLMP_2022-05-17_RFR-141</v>
      </c>
      <c r="C1291" s="10">
        <f>VLOOKUP(B1291,'Run Reconcile'!A$2:B1579,2,FALSE)</f>
        <v>44698</v>
      </c>
      <c r="D1291" s="14">
        <f>IFERROR(__xludf.DUMMYFUNCTION("""COMPUTED_VALUE"""),44698.0)</f>
        <v>44698</v>
      </c>
      <c r="E1291" s="15">
        <f>IFERROR(__xludf.DUMMYFUNCTION("""COMPUTED_VALUE"""),0.5794907407398568)</f>
        <v>0.5794907407</v>
      </c>
      <c r="F1291" s="8" t="str">
        <f>IFERROR(__xludf.DUMMYFUNCTION("""COMPUTED_VALUE"""),"Negative")</f>
        <v>Negative</v>
      </c>
      <c r="G1291" s="16">
        <f>IFERROR(__xludf.DUMMYFUNCTION("""COMPUTED_VALUE"""),1.0)</f>
        <v>1</v>
      </c>
      <c r="H1291" s="8" t="str">
        <f>IFERROR(__xludf.DUMMYFUNCTION("""COMPUTED_VALUE"""),"FLSP")</f>
        <v>FLSP</v>
      </c>
    </row>
    <row r="1292">
      <c r="A1292" s="8" t="str">
        <f>IFERROR(__xludf.DUMMYFUNCTION("""COMPUTED_VALUE"""),"AH7129")</f>
        <v>AH7129</v>
      </c>
      <c r="B1292" s="8" t="str">
        <f>IFERROR(__xludf.DUMMYFUNCTION("""COMPUTED_VALUE"""),"RUN-FLMP_2022-05-19_RFR-144")</f>
        <v>RUN-FLMP_2022-05-19_RFR-144</v>
      </c>
      <c r="C1292" s="10">
        <f>VLOOKUP(B1292,'Run Reconcile'!A$2:B1579,2,FALSE)</f>
        <v>44700</v>
      </c>
      <c r="D1292" s="14">
        <f>IFERROR(__xludf.DUMMYFUNCTION("""COMPUTED_VALUE"""),44700.0)</f>
        <v>44700</v>
      </c>
      <c r="E1292" s="15">
        <f>IFERROR(__xludf.DUMMYFUNCTION("""COMPUTED_VALUE"""),0.2687499999992724)</f>
        <v>0.26875</v>
      </c>
      <c r="F1292" s="8" t="str">
        <f>IFERROR(__xludf.DUMMYFUNCTION("""COMPUTED_VALUE"""),"Negative")</f>
        <v>Negative</v>
      </c>
      <c r="G1292" s="16">
        <f>IFERROR(__xludf.DUMMYFUNCTION("""COMPUTED_VALUE"""),3.0)</f>
        <v>3</v>
      </c>
      <c r="H1292" s="8" t="str">
        <f>IFERROR(__xludf.DUMMYFUNCTION("""COMPUTED_VALUE"""),"CRLN")</f>
        <v>CRLN</v>
      </c>
    </row>
    <row r="1293">
      <c r="A1293" s="8" t="str">
        <f>IFERROR(__xludf.DUMMYFUNCTION("""COMPUTED_VALUE"""),"AH9071")</f>
        <v>AH9071</v>
      </c>
      <c r="B1293" s="8" t="str">
        <f>IFERROR(__xludf.DUMMYFUNCTION("""COMPUTED_VALUE"""),"RUN-FLMP_2022-05-19_RFR-144")</f>
        <v>RUN-FLMP_2022-05-19_RFR-144</v>
      </c>
      <c r="C1293" s="10">
        <f>VLOOKUP(B1293,'Run Reconcile'!A$2:B1579,2,FALSE)</f>
        <v>44700</v>
      </c>
      <c r="D1293" s="14">
        <f>IFERROR(__xludf.DUMMYFUNCTION("""COMPUTED_VALUE"""),44700.0)</f>
        <v>44700</v>
      </c>
      <c r="E1293" s="15">
        <f>IFERROR(__xludf.DUMMYFUNCTION("""COMPUTED_VALUE"""),0.31037037037094706)</f>
        <v>0.3103703704</v>
      </c>
      <c r="F1293" s="8" t="str">
        <f>IFERROR(__xludf.DUMMYFUNCTION("""COMPUTED_VALUE"""),"Negative")</f>
        <v>Negative</v>
      </c>
      <c r="G1293" s="16">
        <f>IFERROR(__xludf.DUMMYFUNCTION("""COMPUTED_VALUE"""),4.0)</f>
        <v>4</v>
      </c>
      <c r="H1293" s="8" t="str">
        <f>IFERROR(__xludf.DUMMYFUNCTION("""COMPUTED_VALUE"""),"CRLN")</f>
        <v>CRLN</v>
      </c>
    </row>
    <row r="1294">
      <c r="A1294" s="8" t="str">
        <f>IFERROR(__xludf.DUMMYFUNCTION("""COMPUTED_VALUE"""),"FLB7407")</f>
        <v>FLB7407</v>
      </c>
      <c r="B1294" s="8" t="str">
        <f>IFERROR(__xludf.DUMMYFUNCTION("""COMPUTED_VALUE"""),"RUN-FLMP_2022-05-19_RFR-144")</f>
        <v>RUN-FLMP_2022-05-19_RFR-144</v>
      </c>
      <c r="C1294" s="10">
        <f>VLOOKUP(B1294,'Run Reconcile'!A$2:B1579,2,FALSE)</f>
        <v>44700</v>
      </c>
      <c r="D1294" s="14">
        <f>IFERROR(__xludf.DUMMYFUNCTION("""COMPUTED_VALUE"""),44700.0)</f>
        <v>44700</v>
      </c>
      <c r="E1294" s="15">
        <f>IFERROR(__xludf.DUMMYFUNCTION("""COMPUTED_VALUE"""),0.3168981481467199)</f>
        <v>0.3168981481</v>
      </c>
      <c r="F1294" s="8" t="str">
        <f>IFERROR(__xludf.DUMMYFUNCTION("""COMPUTED_VALUE"""),"Negative")</f>
        <v>Negative</v>
      </c>
      <c r="G1294" s="16">
        <f>IFERROR(__xludf.DUMMYFUNCTION("""COMPUTED_VALUE"""),3.0)</f>
        <v>3</v>
      </c>
      <c r="H1294" s="8" t="str">
        <f>IFERROR(__xludf.DUMMYFUNCTION("""COMPUTED_VALUE"""),"CRLN")</f>
        <v>CRLN</v>
      </c>
    </row>
    <row r="1295">
      <c r="A1295" s="8" t="str">
        <f>IFERROR(__xludf.DUMMYFUNCTION("""COMPUTED_VALUE"""),"AG338")</f>
        <v>AG338</v>
      </c>
      <c r="B1295" s="8" t="str">
        <f>IFERROR(__xludf.DUMMYFUNCTION("""COMPUTED_VALUE"""),"RUN-FLMP_2022-05-19_RFR-144")</f>
        <v>RUN-FLMP_2022-05-19_RFR-144</v>
      </c>
      <c r="C1295" s="10">
        <f>VLOOKUP(B1295,'Run Reconcile'!A$2:B1579,2,FALSE)</f>
        <v>44700</v>
      </c>
      <c r="D1295" s="14">
        <f>IFERROR(__xludf.DUMMYFUNCTION("""COMPUTED_VALUE"""),44700.0)</f>
        <v>44700</v>
      </c>
      <c r="E1295" s="15">
        <f>IFERROR(__xludf.DUMMYFUNCTION("""COMPUTED_VALUE"""),0.32487268518525525)</f>
        <v>0.3248726852</v>
      </c>
      <c r="F1295" s="8" t="str">
        <f>IFERROR(__xludf.DUMMYFUNCTION("""COMPUTED_VALUE"""),"Negative")</f>
        <v>Negative</v>
      </c>
      <c r="G1295" s="16">
        <f>IFERROR(__xludf.DUMMYFUNCTION("""COMPUTED_VALUE"""),1.0)</f>
        <v>1</v>
      </c>
      <c r="H1295" s="8" t="str">
        <f>IFERROR(__xludf.DUMMYFUNCTION("""COMPUTED_VALUE"""),"CRLN")</f>
        <v>CRLN</v>
      </c>
    </row>
    <row r="1296">
      <c r="A1296" s="8" t="str">
        <f>IFERROR(__xludf.DUMMYFUNCTION("""COMPUTED_VALUE"""),"FLB4967")</f>
        <v>FLB4967</v>
      </c>
      <c r="B1296" s="8" t="str">
        <f>IFERROR(__xludf.DUMMYFUNCTION("""COMPUTED_VALUE"""),"RUN-FLMP_2022-05-19_RFR-144")</f>
        <v>RUN-FLMP_2022-05-19_RFR-144</v>
      </c>
      <c r="C1296" s="10">
        <f>VLOOKUP(B1296,'Run Reconcile'!A$2:B1579,2,FALSE)</f>
        <v>44700</v>
      </c>
      <c r="D1296" s="14">
        <f>IFERROR(__xludf.DUMMYFUNCTION("""COMPUTED_VALUE"""),44700.0)</f>
        <v>44700</v>
      </c>
      <c r="E1296" s="15">
        <f>IFERROR(__xludf.DUMMYFUNCTION("""COMPUTED_VALUE"""),0.32592592592482106)</f>
        <v>0.3259259259</v>
      </c>
      <c r="F1296" s="8" t="str">
        <f>IFERROR(__xludf.DUMMYFUNCTION("""COMPUTED_VALUE"""),"Negative")</f>
        <v>Negative</v>
      </c>
      <c r="G1296" s="16">
        <f>IFERROR(__xludf.DUMMYFUNCTION("""COMPUTED_VALUE"""),1.0)</f>
        <v>1</v>
      </c>
      <c r="H1296" s="8" t="str">
        <f>IFERROR(__xludf.DUMMYFUNCTION("""COMPUTED_VALUE"""),"CRLN")</f>
        <v>CRLN</v>
      </c>
    </row>
    <row r="1297">
      <c r="A1297" s="8" t="str">
        <f>IFERROR(__xludf.DUMMYFUNCTION("""COMPUTED_VALUE"""),"FLB4791")</f>
        <v>FLB4791</v>
      </c>
      <c r="B1297" s="8" t="str">
        <f>IFERROR(__xludf.DUMMYFUNCTION("""COMPUTED_VALUE"""),"RUN-FLMP_2022-05-19_RFR-144")</f>
        <v>RUN-FLMP_2022-05-19_RFR-144</v>
      </c>
      <c r="C1297" s="10">
        <f>VLOOKUP(B1297,'Run Reconcile'!A$2:B1579,2,FALSE)</f>
        <v>44700</v>
      </c>
      <c r="D1297" s="14">
        <f>IFERROR(__xludf.DUMMYFUNCTION("""COMPUTED_VALUE"""),44700.0)</f>
        <v>44700</v>
      </c>
      <c r="E1297" s="15">
        <f>IFERROR(__xludf.DUMMYFUNCTION("""COMPUTED_VALUE"""),0.3262037037020491)</f>
        <v>0.3262037037</v>
      </c>
      <c r="F1297" s="8" t="str">
        <f>IFERROR(__xludf.DUMMYFUNCTION("""COMPUTED_VALUE"""),"Negative")</f>
        <v>Negative</v>
      </c>
      <c r="G1297" s="16">
        <f>IFERROR(__xludf.DUMMYFUNCTION("""COMPUTED_VALUE"""),1.0)</f>
        <v>1</v>
      </c>
      <c r="H1297" s="8" t="str">
        <f>IFERROR(__xludf.DUMMYFUNCTION("""COMPUTED_VALUE"""),"CRLN")</f>
        <v>CRLN</v>
      </c>
    </row>
    <row r="1298">
      <c r="A1298" s="8" t="str">
        <f>IFERROR(__xludf.DUMMYFUNCTION("""COMPUTED_VALUE"""),"FLE249")</f>
        <v>FLE249</v>
      </c>
      <c r="B1298" s="8" t="str">
        <f>IFERROR(__xludf.DUMMYFUNCTION("""COMPUTED_VALUE"""),"RUN-FLMP_2022-05-19_RFR-144")</f>
        <v>RUN-FLMP_2022-05-19_RFR-144</v>
      </c>
      <c r="C1298" s="10">
        <f>VLOOKUP(B1298,'Run Reconcile'!A$2:B1579,2,FALSE)</f>
        <v>44700</v>
      </c>
      <c r="D1298" s="14">
        <f>IFERROR(__xludf.DUMMYFUNCTION("""COMPUTED_VALUE"""),44700.0)</f>
        <v>44700</v>
      </c>
      <c r="E1298" s="15">
        <f>IFERROR(__xludf.DUMMYFUNCTION("""COMPUTED_VALUE"""),0.32723379629533156)</f>
        <v>0.3272337963</v>
      </c>
      <c r="F1298" s="8" t="str">
        <f>IFERROR(__xludf.DUMMYFUNCTION("""COMPUTED_VALUE"""),"Negative")</f>
        <v>Negative</v>
      </c>
      <c r="G1298" s="16">
        <f>IFERROR(__xludf.DUMMYFUNCTION("""COMPUTED_VALUE"""),1.0)</f>
        <v>1</v>
      </c>
      <c r="H1298" s="8" t="str">
        <f>IFERROR(__xludf.DUMMYFUNCTION("""COMPUTED_VALUE"""),"FLSP")</f>
        <v>FLSP</v>
      </c>
    </row>
    <row r="1299">
      <c r="A1299" s="8" t="str">
        <f>IFERROR(__xludf.DUMMYFUNCTION("""COMPUTED_VALUE"""),"FLB6807")</f>
        <v>FLB6807</v>
      </c>
      <c r="B1299" s="8" t="str">
        <f>IFERROR(__xludf.DUMMYFUNCTION("""COMPUTED_VALUE"""),"RUN-FLMP_2022-05-19_RFR-144")</f>
        <v>RUN-FLMP_2022-05-19_RFR-144</v>
      </c>
      <c r="C1299" s="10">
        <f>VLOOKUP(B1299,'Run Reconcile'!A$2:B1579,2,FALSE)</f>
        <v>44700</v>
      </c>
      <c r="D1299" s="14">
        <f>IFERROR(__xludf.DUMMYFUNCTION("""COMPUTED_VALUE"""),44700.0)</f>
        <v>44700</v>
      </c>
      <c r="E1299" s="15">
        <f>IFERROR(__xludf.DUMMYFUNCTION("""COMPUTED_VALUE"""),0.32843750000029104)</f>
        <v>0.3284375</v>
      </c>
      <c r="F1299" s="8" t="str">
        <f>IFERROR(__xludf.DUMMYFUNCTION("""COMPUTED_VALUE"""),"Positive")</f>
        <v>Positive</v>
      </c>
      <c r="G1299" s="16">
        <f>IFERROR(__xludf.DUMMYFUNCTION("""COMPUTED_VALUE"""),1.0)</f>
        <v>1</v>
      </c>
      <c r="H1299" s="8" t="str">
        <f>IFERROR(__xludf.DUMMYFUNCTION("""COMPUTED_VALUE"""),"CRLN")</f>
        <v>CRLN</v>
      </c>
    </row>
    <row r="1300">
      <c r="A1300" s="8" t="str">
        <f>IFERROR(__xludf.DUMMYFUNCTION("""COMPUTED_VALUE"""),"AJ6835")</f>
        <v>AJ6835</v>
      </c>
      <c r="B1300" s="8" t="str">
        <f>IFERROR(__xludf.DUMMYFUNCTION("""COMPUTED_VALUE"""),"RUN-FLMP_2022-05-19_APS-091")</f>
        <v>RUN-FLMP_2022-05-19_APS-091</v>
      </c>
      <c r="C1300" s="10">
        <f>VLOOKUP(B1300,'Run Reconcile'!A$2:B1579,2,FALSE)</f>
        <v>44700</v>
      </c>
      <c r="D1300" s="14">
        <f>IFERROR(__xludf.DUMMYFUNCTION("""COMPUTED_VALUE"""),44700.0)</f>
        <v>44700</v>
      </c>
      <c r="E1300" s="15">
        <f>IFERROR(__xludf.DUMMYFUNCTION("""COMPUTED_VALUE"""),0.3314004629646661)</f>
        <v>0.331400463</v>
      </c>
      <c r="F1300" s="8" t="str">
        <f>IFERROR(__xludf.DUMMYFUNCTION("""COMPUTED_VALUE"""),"Negative")</f>
        <v>Negative</v>
      </c>
      <c r="G1300" s="16">
        <f>IFERROR(__xludf.DUMMYFUNCTION("""COMPUTED_VALUE"""),3.0)</f>
        <v>3</v>
      </c>
      <c r="H1300" s="8" t="str">
        <f>IFERROR(__xludf.DUMMYFUNCTION("""COMPUTED_VALUE"""),"CRLN")</f>
        <v>CRLN</v>
      </c>
    </row>
    <row r="1301">
      <c r="A1301" s="8" t="str">
        <f>IFERROR(__xludf.DUMMYFUNCTION("""COMPUTED_VALUE"""),"FLB7422")</f>
        <v>FLB7422</v>
      </c>
      <c r="B1301" s="8" t="str">
        <f>IFERROR(__xludf.DUMMYFUNCTION("""COMPUTED_VALUE"""),"RUN-FLMP_2022-05-19_RFR-144")</f>
        <v>RUN-FLMP_2022-05-19_RFR-144</v>
      </c>
      <c r="C1301" s="10">
        <f>VLOOKUP(B1301,'Run Reconcile'!A$2:B1579,2,FALSE)</f>
        <v>44700</v>
      </c>
      <c r="D1301" s="14">
        <f>IFERROR(__xludf.DUMMYFUNCTION("""COMPUTED_VALUE"""),44700.0)</f>
        <v>44700</v>
      </c>
      <c r="E1301" s="15">
        <f>IFERROR(__xludf.DUMMYFUNCTION("""COMPUTED_VALUE"""),0.333182870370365)</f>
        <v>0.3331828704</v>
      </c>
      <c r="F1301" s="8" t="str">
        <f>IFERROR(__xludf.DUMMYFUNCTION("""COMPUTED_VALUE"""),"Negative")</f>
        <v>Negative</v>
      </c>
      <c r="G1301" s="16">
        <f>IFERROR(__xludf.DUMMYFUNCTION("""COMPUTED_VALUE"""),2.0)</f>
        <v>2</v>
      </c>
      <c r="H1301" s="8" t="str">
        <f>IFERROR(__xludf.DUMMYFUNCTION("""COMPUTED_VALUE"""),"FLSP")</f>
        <v>FLSP</v>
      </c>
    </row>
    <row r="1302">
      <c r="A1302" s="8" t="str">
        <f>IFERROR(__xludf.DUMMYFUNCTION("""COMPUTED_VALUE"""),"AJ4912")</f>
        <v>AJ4912</v>
      </c>
      <c r="B1302" s="8" t="str">
        <f>IFERROR(__xludf.DUMMYFUNCTION("""COMPUTED_VALUE"""),"RUN-FLMP_2022-05-19_RFR-144")</f>
        <v>RUN-FLMP_2022-05-19_RFR-144</v>
      </c>
      <c r="C1302" s="10">
        <f>VLOOKUP(B1302,'Run Reconcile'!A$2:B1579,2,FALSE)</f>
        <v>44700</v>
      </c>
      <c r="D1302" s="14">
        <f>IFERROR(__xludf.DUMMYFUNCTION("""COMPUTED_VALUE"""),44700.0)</f>
        <v>44700</v>
      </c>
      <c r="E1302" s="15">
        <f>IFERROR(__xludf.DUMMYFUNCTION("""COMPUTED_VALUE"""),0.343854166665551)</f>
        <v>0.3438541667</v>
      </c>
      <c r="F1302" s="8" t="str">
        <f>IFERROR(__xludf.DUMMYFUNCTION("""COMPUTED_VALUE"""),"Negative")</f>
        <v>Negative</v>
      </c>
      <c r="G1302" s="16">
        <f>IFERROR(__xludf.DUMMYFUNCTION("""COMPUTED_VALUE"""),1.0)</f>
        <v>1</v>
      </c>
      <c r="H1302" s="8" t="str">
        <f>IFERROR(__xludf.DUMMYFUNCTION("""COMPUTED_VALUE"""),"CRLN")</f>
        <v>CRLN</v>
      </c>
    </row>
    <row r="1303">
      <c r="A1303" s="8" t="str">
        <f>IFERROR(__xludf.DUMMYFUNCTION("""COMPUTED_VALUE"""),"FLB7415")</f>
        <v>FLB7415</v>
      </c>
      <c r="B1303" s="8" t="str">
        <f>IFERROR(__xludf.DUMMYFUNCTION("""COMPUTED_VALUE"""),"RUN-FLMP_2022-05-19_RFR-144")</f>
        <v>RUN-FLMP_2022-05-19_RFR-144</v>
      </c>
      <c r="C1303" s="10">
        <f>VLOOKUP(B1303,'Run Reconcile'!A$2:B1579,2,FALSE)</f>
        <v>44700</v>
      </c>
      <c r="D1303" s="14">
        <f>IFERROR(__xludf.DUMMYFUNCTION("""COMPUTED_VALUE"""),44700.0)</f>
        <v>44700</v>
      </c>
      <c r="E1303" s="15">
        <f>IFERROR(__xludf.DUMMYFUNCTION("""COMPUTED_VALUE"""),0.34693287036861875)</f>
        <v>0.3469328704</v>
      </c>
      <c r="F1303" s="8" t="str">
        <f>IFERROR(__xludf.DUMMYFUNCTION("""COMPUTED_VALUE"""),"Negative")</f>
        <v>Negative</v>
      </c>
      <c r="G1303" s="16">
        <f>IFERROR(__xludf.DUMMYFUNCTION("""COMPUTED_VALUE"""),4.0)</f>
        <v>4</v>
      </c>
      <c r="H1303" s="8" t="str">
        <f>IFERROR(__xludf.DUMMYFUNCTION("""COMPUTED_VALUE"""),"CRLN")</f>
        <v>CRLN</v>
      </c>
    </row>
    <row r="1304">
      <c r="A1304" s="8" t="str">
        <f>IFERROR(__xludf.DUMMYFUNCTION("""COMPUTED_VALUE"""),"AK7242")</f>
        <v>AK7242</v>
      </c>
      <c r="B1304" s="8" t="str">
        <f>IFERROR(__xludf.DUMMYFUNCTION("""COMPUTED_VALUE"""),"RUN-FLMP_2022-05-19_RFR-144")</f>
        <v>RUN-FLMP_2022-05-19_RFR-144</v>
      </c>
      <c r="C1304" s="10">
        <f>VLOOKUP(B1304,'Run Reconcile'!A$2:B1579,2,FALSE)</f>
        <v>44700</v>
      </c>
      <c r="D1304" s="14">
        <f>IFERROR(__xludf.DUMMYFUNCTION("""COMPUTED_VALUE"""),44700.0)</f>
        <v>44700</v>
      </c>
      <c r="E1304" s="15">
        <f>IFERROR(__xludf.DUMMYFUNCTION("""COMPUTED_VALUE"""),0.3496990740750334)</f>
        <v>0.3496990741</v>
      </c>
      <c r="F1304" s="8" t="str">
        <f>IFERROR(__xludf.DUMMYFUNCTION("""COMPUTED_VALUE"""),"Negative")</f>
        <v>Negative</v>
      </c>
      <c r="G1304" s="16">
        <f>IFERROR(__xludf.DUMMYFUNCTION("""COMPUTED_VALUE"""),4.0)</f>
        <v>4</v>
      </c>
      <c r="H1304" s="8" t="str">
        <f>IFERROR(__xludf.DUMMYFUNCTION("""COMPUTED_VALUE"""),"CRLN")</f>
        <v>CRLN</v>
      </c>
    </row>
    <row r="1305">
      <c r="A1305" s="8" t="str">
        <f>IFERROR(__xludf.DUMMYFUNCTION("""COMPUTED_VALUE"""),"AK5676")</f>
        <v>AK5676</v>
      </c>
      <c r="B1305" s="8" t="str">
        <f>IFERROR(__xludf.DUMMYFUNCTION("""COMPUTED_VALUE"""),"RUN-FLMP_2022-05-19_RFR-144")</f>
        <v>RUN-FLMP_2022-05-19_RFR-144</v>
      </c>
      <c r="C1305" s="10">
        <f>VLOOKUP(B1305,'Run Reconcile'!A$2:B1579,2,FALSE)</f>
        <v>44700</v>
      </c>
      <c r="D1305" s="14">
        <f>IFERROR(__xludf.DUMMYFUNCTION("""COMPUTED_VALUE"""),44700.0)</f>
        <v>44700</v>
      </c>
      <c r="E1305" s="15">
        <f>IFERROR(__xludf.DUMMYFUNCTION("""COMPUTED_VALUE"""),0.35143518518452765)</f>
        <v>0.3514351852</v>
      </c>
      <c r="F1305" s="8" t="str">
        <f>IFERROR(__xludf.DUMMYFUNCTION("""COMPUTED_VALUE"""),"Negative")</f>
        <v>Negative</v>
      </c>
      <c r="G1305" s="16">
        <f>IFERROR(__xludf.DUMMYFUNCTION("""COMPUTED_VALUE"""),4.0)</f>
        <v>4</v>
      </c>
      <c r="H1305" s="8" t="str">
        <f>IFERROR(__xludf.DUMMYFUNCTION("""COMPUTED_VALUE"""),"CRLN")</f>
        <v>CRLN</v>
      </c>
    </row>
    <row r="1306">
      <c r="A1306" s="8" t="str">
        <f>IFERROR(__xludf.DUMMYFUNCTION("""COMPUTED_VALUE"""),"AG2012")</f>
        <v>AG2012</v>
      </c>
      <c r="B1306" s="8" t="str">
        <f>IFERROR(__xludf.DUMMYFUNCTION("""COMPUTED_VALUE"""),"RUN-FLMP_2022-05-19_RFR-144")</f>
        <v>RUN-FLMP_2022-05-19_RFR-144</v>
      </c>
      <c r="C1306" s="10">
        <f>VLOOKUP(B1306,'Run Reconcile'!A$2:B1579,2,FALSE)</f>
        <v>44700</v>
      </c>
      <c r="D1306" s="14">
        <f>IFERROR(__xludf.DUMMYFUNCTION("""COMPUTED_VALUE"""),44700.0)</f>
        <v>44700</v>
      </c>
      <c r="E1306" s="15">
        <f>IFERROR(__xludf.DUMMYFUNCTION("""COMPUTED_VALUE"""),0.3528009259243845)</f>
        <v>0.3528009259</v>
      </c>
      <c r="F1306" s="8" t="str">
        <f>IFERROR(__xludf.DUMMYFUNCTION("""COMPUTED_VALUE"""),"Negative")</f>
        <v>Negative</v>
      </c>
      <c r="G1306" s="16">
        <f>IFERROR(__xludf.DUMMYFUNCTION("""COMPUTED_VALUE"""),2.0)</f>
        <v>2</v>
      </c>
      <c r="H1306" s="8" t="str">
        <f>IFERROR(__xludf.DUMMYFUNCTION("""COMPUTED_VALUE"""),"CRLN")</f>
        <v>CRLN</v>
      </c>
    </row>
    <row r="1307">
      <c r="A1307" s="8" t="str">
        <f>IFERROR(__xludf.DUMMYFUNCTION("""COMPUTED_VALUE"""),"AK6475")</f>
        <v>AK6475</v>
      </c>
      <c r="B1307" s="8" t="str">
        <f>IFERROR(__xludf.DUMMYFUNCTION("""COMPUTED_VALUE"""),"RUN-FLMP_2022-05-19_RFR-144")</f>
        <v>RUN-FLMP_2022-05-19_RFR-144</v>
      </c>
      <c r="C1307" s="10">
        <f>VLOOKUP(B1307,'Run Reconcile'!A$2:B1579,2,FALSE)</f>
        <v>44700</v>
      </c>
      <c r="D1307" s="14">
        <f>IFERROR(__xludf.DUMMYFUNCTION("""COMPUTED_VALUE"""),44700.0)</f>
        <v>44700</v>
      </c>
      <c r="E1307" s="15">
        <f>IFERROR(__xludf.DUMMYFUNCTION("""COMPUTED_VALUE"""),0.3542592592602887)</f>
        <v>0.3542592593</v>
      </c>
      <c r="F1307" s="8" t="str">
        <f>IFERROR(__xludf.DUMMYFUNCTION("""COMPUTED_VALUE"""),"Negative")</f>
        <v>Negative</v>
      </c>
      <c r="G1307" s="16">
        <f>IFERROR(__xludf.DUMMYFUNCTION("""COMPUTED_VALUE"""),1.0)</f>
        <v>1</v>
      </c>
      <c r="H1307" s="8" t="str">
        <f>IFERROR(__xludf.DUMMYFUNCTION("""COMPUTED_VALUE"""),"CRLN")</f>
        <v>CRLN</v>
      </c>
    </row>
    <row r="1308">
      <c r="A1308" s="8" t="str">
        <f>IFERROR(__xludf.DUMMYFUNCTION("""COMPUTED_VALUE"""),"AG1449")</f>
        <v>AG1449</v>
      </c>
      <c r="B1308" s="8" t="str">
        <f>IFERROR(__xludf.DUMMYFUNCTION("""COMPUTED_VALUE"""),"RUN-FLMP_2022-05-19_RFR-144")</f>
        <v>RUN-FLMP_2022-05-19_RFR-144</v>
      </c>
      <c r="C1308" s="10">
        <f>VLOOKUP(B1308,'Run Reconcile'!A$2:B1579,2,FALSE)</f>
        <v>44700</v>
      </c>
      <c r="D1308" s="14">
        <f>IFERROR(__xludf.DUMMYFUNCTION("""COMPUTED_VALUE"""),44700.0)</f>
        <v>44700</v>
      </c>
      <c r="E1308" s="15">
        <f>IFERROR(__xludf.DUMMYFUNCTION("""COMPUTED_VALUE"""),0.3559953703697829)</f>
        <v>0.3559953704</v>
      </c>
      <c r="F1308" s="8" t="str">
        <f>IFERROR(__xludf.DUMMYFUNCTION("""COMPUTED_VALUE"""),"Negative")</f>
        <v>Negative</v>
      </c>
      <c r="G1308" s="16">
        <f>IFERROR(__xludf.DUMMYFUNCTION("""COMPUTED_VALUE"""),2.0)</f>
        <v>2</v>
      </c>
      <c r="H1308" s="8" t="str">
        <f>IFERROR(__xludf.DUMMYFUNCTION("""COMPUTED_VALUE"""),"CRLN")</f>
        <v>CRLN</v>
      </c>
    </row>
    <row r="1309">
      <c r="A1309" s="8" t="str">
        <f>IFERROR(__xludf.DUMMYFUNCTION("""COMPUTED_VALUE"""),"AH7513")</f>
        <v>AH7513</v>
      </c>
      <c r="B1309" s="8" t="str">
        <f>IFERROR(__xludf.DUMMYFUNCTION("""COMPUTED_VALUE"""),"RUN-FLMP_2022-05-19_RFR-144")</f>
        <v>RUN-FLMP_2022-05-19_RFR-144</v>
      </c>
      <c r="C1309" s="10">
        <f>VLOOKUP(B1309,'Run Reconcile'!A$2:B1579,2,FALSE)</f>
        <v>44700</v>
      </c>
      <c r="D1309" s="14">
        <f>IFERROR(__xludf.DUMMYFUNCTION("""COMPUTED_VALUE"""),44700.0)</f>
        <v>44700</v>
      </c>
      <c r="E1309" s="15">
        <f>IFERROR(__xludf.DUMMYFUNCTION("""COMPUTED_VALUE"""),0.359305555553874)</f>
        <v>0.3593055556</v>
      </c>
      <c r="F1309" s="8" t="str">
        <f>IFERROR(__xludf.DUMMYFUNCTION("""COMPUTED_VALUE"""),"Negative")</f>
        <v>Negative</v>
      </c>
      <c r="G1309" s="16">
        <f>IFERROR(__xludf.DUMMYFUNCTION("""COMPUTED_VALUE"""),3.0)</f>
        <v>3</v>
      </c>
      <c r="H1309" s="8" t="str">
        <f>IFERROR(__xludf.DUMMYFUNCTION("""COMPUTED_VALUE"""),"CRLN")</f>
        <v>CRLN</v>
      </c>
    </row>
    <row r="1310">
      <c r="A1310" s="8" t="str">
        <f>IFERROR(__xludf.DUMMYFUNCTION("""COMPUTED_VALUE"""),"AJ8261")</f>
        <v>AJ8261</v>
      </c>
      <c r="B1310" s="8" t="str">
        <f>IFERROR(__xludf.DUMMYFUNCTION("""COMPUTED_VALUE"""),"RUN-FLMP_2022-05-19_RFR-144")</f>
        <v>RUN-FLMP_2022-05-19_RFR-144</v>
      </c>
      <c r="C1310" s="10">
        <f>VLOOKUP(B1310,'Run Reconcile'!A$2:B1579,2,FALSE)</f>
        <v>44700</v>
      </c>
      <c r="D1310" s="14">
        <f>IFERROR(__xludf.DUMMYFUNCTION("""COMPUTED_VALUE"""),44700.0)</f>
        <v>44700</v>
      </c>
      <c r="E1310" s="15">
        <f>IFERROR(__xludf.DUMMYFUNCTION("""COMPUTED_VALUE"""),0.3608564814821875)</f>
        <v>0.3608564815</v>
      </c>
      <c r="F1310" s="8" t="str">
        <f>IFERROR(__xludf.DUMMYFUNCTION("""COMPUTED_VALUE"""),"Negative")</f>
        <v>Negative</v>
      </c>
      <c r="G1310" s="16">
        <f>IFERROR(__xludf.DUMMYFUNCTION("""COMPUTED_VALUE"""),2.0)</f>
        <v>2</v>
      </c>
      <c r="H1310" s="8" t="str">
        <f>IFERROR(__xludf.DUMMYFUNCTION("""COMPUTED_VALUE"""),"FLSP")</f>
        <v>FLSP</v>
      </c>
    </row>
    <row r="1311">
      <c r="A1311" s="8" t="str">
        <f>IFERROR(__xludf.DUMMYFUNCTION("""COMPUTED_VALUE"""),"AH8143")</f>
        <v>AH8143</v>
      </c>
      <c r="B1311" s="8" t="str">
        <f>IFERROR(__xludf.DUMMYFUNCTION("""COMPUTED_VALUE"""),"RUN-FLMP_2022-05-19_RFR-144")</f>
        <v>RUN-FLMP_2022-05-19_RFR-144</v>
      </c>
      <c r="C1311" s="10">
        <f>VLOOKUP(B1311,'Run Reconcile'!A$2:B1579,2,FALSE)</f>
        <v>44700</v>
      </c>
      <c r="D1311" s="14">
        <f>IFERROR(__xludf.DUMMYFUNCTION("""COMPUTED_VALUE"""),44700.0)</f>
        <v>44700</v>
      </c>
      <c r="E1311" s="15">
        <f>IFERROR(__xludf.DUMMYFUNCTION("""COMPUTED_VALUE"""),0.36288194444568944)</f>
        <v>0.3628819444</v>
      </c>
      <c r="F1311" s="8" t="str">
        <f>IFERROR(__xludf.DUMMYFUNCTION("""COMPUTED_VALUE"""),"Negative")</f>
        <v>Negative</v>
      </c>
      <c r="G1311" s="16">
        <f>IFERROR(__xludf.DUMMYFUNCTION("""COMPUTED_VALUE"""),2.0)</f>
        <v>2</v>
      </c>
      <c r="H1311" s="8" t="str">
        <f>IFERROR(__xludf.DUMMYFUNCTION("""COMPUTED_VALUE"""),"CRLN")</f>
        <v>CRLN</v>
      </c>
    </row>
    <row r="1312">
      <c r="A1312" s="8" t="str">
        <f>IFERROR(__xludf.DUMMYFUNCTION("""COMPUTED_VALUE"""),"AH688")</f>
        <v>AH688</v>
      </c>
      <c r="B1312" s="8" t="str">
        <f>IFERROR(__xludf.DUMMYFUNCTION("""COMPUTED_VALUE"""),"RUN-FLMP_2022-05-19_RFR-144")</f>
        <v>RUN-FLMP_2022-05-19_RFR-144</v>
      </c>
      <c r="C1312" s="10">
        <f>VLOOKUP(B1312,'Run Reconcile'!A$2:B1579,2,FALSE)</f>
        <v>44700</v>
      </c>
      <c r="D1312" s="14">
        <f>IFERROR(__xludf.DUMMYFUNCTION("""COMPUTED_VALUE"""),44700.0)</f>
        <v>44700</v>
      </c>
      <c r="E1312" s="15">
        <f>IFERROR(__xludf.DUMMYFUNCTION("""COMPUTED_VALUE"""),0.3657754629639385)</f>
        <v>0.365775463</v>
      </c>
      <c r="F1312" s="8" t="str">
        <f>IFERROR(__xludf.DUMMYFUNCTION("""COMPUTED_VALUE"""),"Negative")</f>
        <v>Negative</v>
      </c>
      <c r="G1312" s="16">
        <f>IFERROR(__xludf.DUMMYFUNCTION("""COMPUTED_VALUE"""),1.0)</f>
        <v>1</v>
      </c>
      <c r="H1312" s="8" t="str">
        <f>IFERROR(__xludf.DUMMYFUNCTION("""COMPUTED_VALUE"""),"CRLN")</f>
        <v>CRLN</v>
      </c>
    </row>
    <row r="1313">
      <c r="A1313" s="8" t="str">
        <f>IFERROR(__xludf.DUMMYFUNCTION("""COMPUTED_VALUE"""),"AG1031")</f>
        <v>AG1031</v>
      </c>
      <c r="B1313" s="8" t="str">
        <f>IFERROR(__xludf.DUMMYFUNCTION("""COMPUTED_VALUE"""),"RUN-FLMP_2022-05-19_RFR-144")</f>
        <v>RUN-FLMP_2022-05-19_RFR-144</v>
      </c>
      <c r="C1313" s="10">
        <f>VLOOKUP(B1313,'Run Reconcile'!A$2:B1579,2,FALSE)</f>
        <v>44700</v>
      </c>
      <c r="D1313" s="14">
        <f>IFERROR(__xludf.DUMMYFUNCTION("""COMPUTED_VALUE"""),44700.0)</f>
        <v>44700</v>
      </c>
      <c r="E1313" s="15">
        <f>IFERROR(__xludf.DUMMYFUNCTION("""COMPUTED_VALUE"""),0.36887731481328956)</f>
        <v>0.3688773148</v>
      </c>
      <c r="F1313" s="8" t="str">
        <f>IFERROR(__xludf.DUMMYFUNCTION("""COMPUTED_VALUE"""),"Negative")</f>
        <v>Negative</v>
      </c>
      <c r="G1313" s="16">
        <f>IFERROR(__xludf.DUMMYFUNCTION("""COMPUTED_VALUE"""),3.0)</f>
        <v>3</v>
      </c>
      <c r="H1313" s="8" t="str">
        <f>IFERROR(__xludf.DUMMYFUNCTION("""COMPUTED_VALUE"""),"CRLN")</f>
        <v>CRLN</v>
      </c>
    </row>
    <row r="1314">
      <c r="A1314" s="8" t="str">
        <f>IFERROR(__xludf.DUMMYFUNCTION("""COMPUTED_VALUE"""),"AG834")</f>
        <v>AG834</v>
      </c>
      <c r="B1314" s="8" t="str">
        <f>IFERROR(__xludf.DUMMYFUNCTION("""COMPUTED_VALUE"""),"RUN-FLMP_2022-05-19_RFR-144")</f>
        <v>RUN-FLMP_2022-05-19_RFR-144</v>
      </c>
      <c r="C1314" s="10">
        <f>VLOOKUP(B1314,'Run Reconcile'!A$2:B1579,2,FALSE)</f>
        <v>44700</v>
      </c>
      <c r="D1314" s="14">
        <f>IFERROR(__xludf.DUMMYFUNCTION("""COMPUTED_VALUE"""),44700.0)</f>
        <v>44700</v>
      </c>
      <c r="E1314" s="15">
        <f>IFERROR(__xludf.DUMMYFUNCTION("""COMPUTED_VALUE"""),0.37193287037007394)</f>
        <v>0.3719328704</v>
      </c>
      <c r="F1314" s="8" t="str">
        <f>IFERROR(__xludf.DUMMYFUNCTION("""COMPUTED_VALUE"""),"Negative")</f>
        <v>Negative</v>
      </c>
      <c r="G1314" s="16">
        <f>IFERROR(__xludf.DUMMYFUNCTION("""COMPUTED_VALUE"""),2.0)</f>
        <v>2</v>
      </c>
      <c r="H1314" s="8" t="str">
        <f>IFERROR(__xludf.DUMMYFUNCTION("""COMPUTED_VALUE"""),"CRLN")</f>
        <v>CRLN</v>
      </c>
    </row>
    <row r="1315">
      <c r="A1315" s="8" t="str">
        <f>IFERROR(__xludf.DUMMYFUNCTION("""COMPUTED_VALUE"""),"AJ9071")</f>
        <v>AJ9071</v>
      </c>
      <c r="B1315" s="8" t="str">
        <f>IFERROR(__xludf.DUMMYFUNCTION("""COMPUTED_VALUE"""),"RUN-FLMP_2022-05-19_RFR-144")</f>
        <v>RUN-FLMP_2022-05-19_RFR-144</v>
      </c>
      <c r="C1315" s="10">
        <f>VLOOKUP(B1315,'Run Reconcile'!A$2:B1579,2,FALSE)</f>
        <v>44700</v>
      </c>
      <c r="D1315" s="14">
        <f>IFERROR(__xludf.DUMMYFUNCTION("""COMPUTED_VALUE"""),44700.0)</f>
        <v>44700</v>
      </c>
      <c r="E1315" s="15">
        <f>IFERROR(__xludf.DUMMYFUNCTION("""COMPUTED_VALUE"""),0.3734722222216078)</f>
        <v>0.3734722222</v>
      </c>
      <c r="F1315" s="8" t="str">
        <f>IFERROR(__xludf.DUMMYFUNCTION("""COMPUTED_VALUE"""),"Negative")</f>
        <v>Negative</v>
      </c>
      <c r="G1315" s="16">
        <f>IFERROR(__xludf.DUMMYFUNCTION("""COMPUTED_VALUE"""),2.0)</f>
        <v>2</v>
      </c>
      <c r="H1315" s="8" t="str">
        <f>IFERROR(__xludf.DUMMYFUNCTION("""COMPUTED_VALUE"""),"CRLN")</f>
        <v>CRLN</v>
      </c>
    </row>
    <row r="1316">
      <c r="A1316" s="8" t="str">
        <f>IFERROR(__xludf.DUMMYFUNCTION("""COMPUTED_VALUE"""),"MA1125")</f>
        <v>MA1125</v>
      </c>
      <c r="B1316" s="8" t="str">
        <f>IFERROR(__xludf.DUMMYFUNCTION("""COMPUTED_VALUE"""),"RUN-FLMP_2022-05-19_APS-091")</f>
        <v>RUN-FLMP_2022-05-19_APS-091</v>
      </c>
      <c r="C1316" s="10">
        <f>VLOOKUP(B1316,'Run Reconcile'!A$2:B1579,2,FALSE)</f>
        <v>44700</v>
      </c>
      <c r="D1316" s="14">
        <f>IFERROR(__xludf.DUMMYFUNCTION("""COMPUTED_VALUE"""),44700.0)</f>
        <v>44700</v>
      </c>
      <c r="E1316" s="15">
        <f>IFERROR(__xludf.DUMMYFUNCTION("""COMPUTED_VALUE"""),0.7019212962950405)</f>
        <v>0.7019212963</v>
      </c>
      <c r="F1316" s="8" t="str">
        <f>IFERROR(__xludf.DUMMYFUNCTION("""COMPUTED_VALUE"""),"Negative")</f>
        <v>Negative</v>
      </c>
      <c r="G1316" s="16">
        <f>IFERROR(__xludf.DUMMYFUNCTION("""COMPUTED_VALUE"""),1.0)</f>
        <v>1</v>
      </c>
      <c r="H1316" s="8" t="str">
        <f>IFERROR(__xludf.DUMMYFUNCTION("""COMPUTED_VALUE"""),"FLSP")</f>
        <v>FLSP</v>
      </c>
    </row>
    <row r="1317">
      <c r="A1317" s="8" t="str">
        <f>IFERROR(__xludf.DUMMYFUNCTION("""COMPUTED_VALUE"""),"AH408")</f>
        <v>AH408</v>
      </c>
      <c r="B1317" s="8" t="str">
        <f>IFERROR(__xludf.DUMMYFUNCTION("""COMPUTED_VALUE"""),"RUN-FLMP_2022-05-23_RFR-146")</f>
        <v>RUN-FLMP_2022-05-23_RFR-146</v>
      </c>
      <c r="C1317" s="10">
        <f>VLOOKUP(B1317,'Run Reconcile'!A$2:B1579,2,FALSE)</f>
        <v>44704</v>
      </c>
      <c r="D1317" s="14">
        <f>IFERROR(__xludf.DUMMYFUNCTION("""COMPUTED_VALUE"""),44703.0)</f>
        <v>44703</v>
      </c>
      <c r="E1317" s="15">
        <f>IFERROR(__xludf.DUMMYFUNCTION("""COMPUTED_VALUE"""),0.6963194444433611)</f>
        <v>0.6963194444</v>
      </c>
      <c r="F1317" s="8" t="str">
        <f>IFERROR(__xludf.DUMMYFUNCTION("""COMPUTED_VALUE"""),"Positive")</f>
        <v>Positive</v>
      </c>
      <c r="G1317" s="16">
        <f>IFERROR(__xludf.DUMMYFUNCTION("""COMPUTED_VALUE"""),3.0)</f>
        <v>3</v>
      </c>
      <c r="H1317" s="8" t="str">
        <f>IFERROR(__xludf.DUMMYFUNCTION("""COMPUTED_VALUE"""),"CRLN")</f>
        <v>CRLN</v>
      </c>
    </row>
    <row r="1318">
      <c r="A1318" s="8" t="str">
        <f>IFERROR(__xludf.DUMMYFUNCTION("""COMPUTED_VALUE"""),"FLB5761")</f>
        <v>FLB5761</v>
      </c>
      <c r="B1318" s="8" t="str">
        <f>IFERROR(__xludf.DUMMYFUNCTION("""COMPUTED_VALUE"""),"RUN-FLMP_2022-05-23_RFR-146")</f>
        <v>RUN-FLMP_2022-05-23_RFR-146</v>
      </c>
      <c r="C1318" s="10">
        <f>VLOOKUP(B1318,'Run Reconcile'!A$2:B1579,2,FALSE)</f>
        <v>44704</v>
      </c>
      <c r="D1318" s="14">
        <f>IFERROR(__xludf.DUMMYFUNCTION("""COMPUTED_VALUE"""),44703.0)</f>
        <v>44703</v>
      </c>
      <c r="E1318" s="15">
        <f>IFERROR(__xludf.DUMMYFUNCTION("""COMPUTED_VALUE"""),0.713483796294895)</f>
        <v>0.7134837963</v>
      </c>
      <c r="F1318" s="8" t="str">
        <f>IFERROR(__xludf.DUMMYFUNCTION("""COMPUTED_VALUE"""),"Negative")</f>
        <v>Negative</v>
      </c>
      <c r="G1318" s="16">
        <f>IFERROR(__xludf.DUMMYFUNCTION("""COMPUTED_VALUE"""),1.0)</f>
        <v>1</v>
      </c>
      <c r="H1318" s="8" t="str">
        <f>IFERROR(__xludf.DUMMYFUNCTION("""COMPUTED_VALUE"""),"CRLN")</f>
        <v>CRLN</v>
      </c>
    </row>
    <row r="1319">
      <c r="A1319" s="8" t="str">
        <f>IFERROR(__xludf.DUMMYFUNCTION("""COMPUTED_VALUE"""),"FLB6539")</f>
        <v>FLB6539</v>
      </c>
      <c r="B1319" s="8" t="str">
        <f>IFERROR(__xludf.DUMMYFUNCTION("""COMPUTED_VALUE"""),"RUN-FLMP_2022-05-23_RFR-146")</f>
        <v>RUN-FLMP_2022-05-23_RFR-146</v>
      </c>
      <c r="C1319" s="10">
        <f>VLOOKUP(B1319,'Run Reconcile'!A$2:B1579,2,FALSE)</f>
        <v>44704</v>
      </c>
      <c r="D1319" s="14">
        <f>IFERROR(__xludf.DUMMYFUNCTION("""COMPUTED_VALUE"""),44703.0)</f>
        <v>44703</v>
      </c>
      <c r="E1319" s="15">
        <f>IFERROR(__xludf.DUMMYFUNCTION("""COMPUTED_VALUE"""),0.8027199074058444)</f>
        <v>0.8027199074</v>
      </c>
      <c r="F1319" s="8" t="str">
        <f>IFERROR(__xludf.DUMMYFUNCTION("""COMPUTED_VALUE"""),"Negative")</f>
        <v>Negative</v>
      </c>
      <c r="G1319" s="16">
        <f>IFERROR(__xludf.DUMMYFUNCTION("""COMPUTED_VALUE"""),1.0)</f>
        <v>1</v>
      </c>
      <c r="H1319" s="8" t="str">
        <f>IFERROR(__xludf.DUMMYFUNCTION("""COMPUTED_VALUE"""),"CRLN")</f>
        <v>CRLN</v>
      </c>
    </row>
    <row r="1320">
      <c r="A1320" s="8" t="str">
        <f>IFERROR(__xludf.DUMMYFUNCTION("""COMPUTED_VALUE"""),"AG1739")</f>
        <v>AG1739</v>
      </c>
      <c r="B1320" s="8" t="str">
        <f>IFERROR(__xludf.DUMMYFUNCTION("""COMPUTED_VALUE"""),"RUN-FLMP_2022-05-23_RFR-146")</f>
        <v>RUN-FLMP_2022-05-23_RFR-146</v>
      </c>
      <c r="C1320" s="10">
        <f>VLOOKUP(B1320,'Run Reconcile'!A$2:B1579,2,FALSE)</f>
        <v>44704</v>
      </c>
      <c r="D1320" s="14">
        <f>IFERROR(__xludf.DUMMYFUNCTION("""COMPUTED_VALUE"""),44703.0)</f>
        <v>44703</v>
      </c>
      <c r="E1320" s="15">
        <f>IFERROR(__xludf.DUMMYFUNCTION("""COMPUTED_VALUE"""),0.8885763888902147)</f>
        <v>0.8885763889</v>
      </c>
      <c r="F1320" s="8" t="str">
        <f>IFERROR(__xludf.DUMMYFUNCTION("""COMPUTED_VALUE"""),"Negative")</f>
        <v>Negative</v>
      </c>
      <c r="G1320" s="16">
        <f>IFERROR(__xludf.DUMMYFUNCTION("""COMPUTED_VALUE"""),3.0)</f>
        <v>3</v>
      </c>
      <c r="H1320" s="8" t="str">
        <f>IFERROR(__xludf.DUMMYFUNCTION("""COMPUTED_VALUE"""),"CRLN")</f>
        <v>CRLN</v>
      </c>
    </row>
    <row r="1321">
      <c r="A1321" s="8" t="str">
        <f>IFERROR(__xludf.DUMMYFUNCTION("""COMPUTED_VALUE"""),"FLB4923")</f>
        <v>FLB4923</v>
      </c>
      <c r="B1321" s="8" t="str">
        <f>IFERROR(__xludf.DUMMYFUNCTION("""COMPUTED_VALUE"""),"RUN-FLMP_2022-05-23_RFR-146")</f>
        <v>RUN-FLMP_2022-05-23_RFR-146</v>
      </c>
      <c r="C1321" s="10">
        <f>VLOOKUP(B1321,'Run Reconcile'!A$2:B1579,2,FALSE)</f>
        <v>44704</v>
      </c>
      <c r="D1321" s="14">
        <f>IFERROR(__xludf.DUMMYFUNCTION("""COMPUTED_VALUE"""),44704.0)</f>
        <v>44704</v>
      </c>
      <c r="E1321" s="15">
        <f>IFERROR(__xludf.DUMMYFUNCTION("""COMPUTED_VALUE"""),0.2674421296287619)</f>
        <v>0.2674421296</v>
      </c>
      <c r="F1321" s="8" t="str">
        <f>IFERROR(__xludf.DUMMYFUNCTION("""COMPUTED_VALUE"""),"Negative")</f>
        <v>Negative</v>
      </c>
      <c r="G1321" s="16">
        <f>IFERROR(__xludf.DUMMYFUNCTION("""COMPUTED_VALUE"""),2.0)</f>
        <v>2</v>
      </c>
      <c r="H1321" s="8" t="str">
        <f>IFERROR(__xludf.DUMMYFUNCTION("""COMPUTED_VALUE"""),"CRLN")</f>
        <v>CRLN</v>
      </c>
    </row>
    <row r="1322">
      <c r="A1322" s="8" t="str">
        <f>IFERROR(__xludf.DUMMYFUNCTION("""COMPUTED_VALUE"""),"AK7155")</f>
        <v>AK7155</v>
      </c>
      <c r="B1322" s="8" t="str">
        <f>IFERROR(__xludf.DUMMYFUNCTION("""COMPUTED_VALUE"""),"RUN-FLMP_2022-05-23_RFR-146")</f>
        <v>RUN-FLMP_2022-05-23_RFR-146</v>
      </c>
      <c r="C1322" s="10">
        <f>VLOOKUP(B1322,'Run Reconcile'!A$2:B1579,2,FALSE)</f>
        <v>44704</v>
      </c>
      <c r="D1322" s="14">
        <f>IFERROR(__xludf.DUMMYFUNCTION("""COMPUTED_VALUE"""),44704.0)</f>
        <v>44704</v>
      </c>
      <c r="E1322" s="15">
        <f>IFERROR(__xludf.DUMMYFUNCTION("""COMPUTED_VALUE"""),0.3168171296310902)</f>
        <v>0.3168171296</v>
      </c>
      <c r="F1322" s="8" t="str">
        <f>IFERROR(__xludf.DUMMYFUNCTION("""COMPUTED_VALUE"""),"Negative")</f>
        <v>Negative</v>
      </c>
      <c r="G1322" s="16">
        <f>IFERROR(__xludf.DUMMYFUNCTION("""COMPUTED_VALUE"""),3.0)</f>
        <v>3</v>
      </c>
      <c r="H1322" s="8" t="str">
        <f>IFERROR(__xludf.DUMMYFUNCTION("""COMPUTED_VALUE"""),"CRLN")</f>
        <v>CRLN</v>
      </c>
    </row>
    <row r="1323">
      <c r="A1323" s="8" t="str">
        <f>IFERROR(__xludf.DUMMYFUNCTION("""COMPUTED_VALUE"""),"FLB6550")</f>
        <v>FLB6550</v>
      </c>
      <c r="B1323" s="8" t="str">
        <f>IFERROR(__xludf.DUMMYFUNCTION("""COMPUTED_VALUE"""),"RUN-FLMP_2022-05-23_RFR-146")</f>
        <v>RUN-FLMP_2022-05-23_RFR-146</v>
      </c>
      <c r="C1323" s="10">
        <f>VLOOKUP(B1323,'Run Reconcile'!A$2:B1579,2,FALSE)</f>
        <v>44704</v>
      </c>
      <c r="D1323" s="14">
        <f>IFERROR(__xludf.DUMMYFUNCTION("""COMPUTED_VALUE"""),44704.0)</f>
        <v>44704</v>
      </c>
      <c r="E1323" s="15">
        <f>IFERROR(__xludf.DUMMYFUNCTION("""COMPUTED_VALUE"""),0.3328472222237906)</f>
        <v>0.3328472222</v>
      </c>
      <c r="F1323" s="8" t="str">
        <f>IFERROR(__xludf.DUMMYFUNCTION("""COMPUTED_VALUE"""),"Negative")</f>
        <v>Negative</v>
      </c>
      <c r="G1323" s="16">
        <f>IFERROR(__xludf.DUMMYFUNCTION("""COMPUTED_VALUE"""),3.0)</f>
        <v>3</v>
      </c>
      <c r="H1323" s="8" t="str">
        <f>IFERROR(__xludf.DUMMYFUNCTION("""COMPUTED_VALUE"""),"CRLN")</f>
        <v>CRLN</v>
      </c>
    </row>
    <row r="1324">
      <c r="A1324" s="8" t="str">
        <f>IFERROR(__xludf.DUMMYFUNCTION("""COMPUTED_VALUE"""),"FLB6785")</f>
        <v>FLB6785</v>
      </c>
      <c r="B1324" s="8" t="str">
        <f>IFERROR(__xludf.DUMMYFUNCTION("""COMPUTED_VALUE"""),"RUN-FLMP_2022-05-23_RFR-146")</f>
        <v>RUN-FLMP_2022-05-23_RFR-146</v>
      </c>
      <c r="C1324" s="10">
        <f>VLOOKUP(B1324,'Run Reconcile'!A$2:B1579,2,FALSE)</f>
        <v>44704</v>
      </c>
      <c r="D1324" s="14">
        <f>IFERROR(__xludf.DUMMYFUNCTION("""COMPUTED_VALUE"""),44704.0)</f>
        <v>44704</v>
      </c>
      <c r="E1324" s="15">
        <f>IFERROR(__xludf.DUMMYFUNCTION("""COMPUTED_VALUE"""),0.33420138889050577)</f>
        <v>0.3342013889</v>
      </c>
      <c r="F1324" s="8" t="str">
        <f>IFERROR(__xludf.DUMMYFUNCTION("""COMPUTED_VALUE"""),"Negative")</f>
        <v>Negative</v>
      </c>
      <c r="G1324" s="16">
        <f>IFERROR(__xludf.DUMMYFUNCTION("""COMPUTED_VALUE"""),3.0)</f>
        <v>3</v>
      </c>
      <c r="H1324" s="8" t="str">
        <f>IFERROR(__xludf.DUMMYFUNCTION("""COMPUTED_VALUE"""),"CRLN")</f>
        <v>CRLN</v>
      </c>
    </row>
    <row r="1325">
      <c r="A1325" s="8" t="str">
        <f>IFERROR(__xludf.DUMMYFUNCTION("""COMPUTED_VALUE"""),"AJ9796")</f>
        <v>AJ9796</v>
      </c>
      <c r="B1325" s="8" t="str">
        <f>IFERROR(__xludf.DUMMYFUNCTION("""COMPUTED_VALUE"""),"RUN-FLMP_2022-05-23_RFR-146")</f>
        <v>RUN-FLMP_2022-05-23_RFR-146</v>
      </c>
      <c r="C1325" s="10">
        <f>VLOOKUP(B1325,'Run Reconcile'!A$2:B1579,2,FALSE)</f>
        <v>44704</v>
      </c>
      <c r="D1325" s="14">
        <f>IFERROR(__xludf.DUMMYFUNCTION("""COMPUTED_VALUE"""),44704.0)</f>
        <v>44704</v>
      </c>
      <c r="E1325" s="15">
        <f>IFERROR(__xludf.DUMMYFUNCTION("""COMPUTED_VALUE"""),0.3399305555540195)</f>
        <v>0.3399305556</v>
      </c>
      <c r="F1325" s="8" t="str">
        <f>IFERROR(__xludf.DUMMYFUNCTION("""COMPUTED_VALUE"""),"Negative")</f>
        <v>Negative</v>
      </c>
      <c r="G1325" s="16">
        <f>IFERROR(__xludf.DUMMYFUNCTION("""COMPUTED_VALUE"""),1.0)</f>
        <v>1</v>
      </c>
      <c r="H1325" s="8" t="str">
        <f>IFERROR(__xludf.DUMMYFUNCTION("""COMPUTED_VALUE"""),"CRLN")</f>
        <v>CRLN</v>
      </c>
    </row>
    <row r="1326">
      <c r="A1326" s="8" t="str">
        <f>IFERROR(__xludf.DUMMYFUNCTION("""COMPUTED_VALUE"""),"AJ8905")</f>
        <v>AJ8905</v>
      </c>
      <c r="B1326" s="8" t="str">
        <f>IFERROR(__xludf.DUMMYFUNCTION("""COMPUTED_VALUE"""),"RUN-FLMP_2022-05-23_RFR-146")</f>
        <v>RUN-FLMP_2022-05-23_RFR-146</v>
      </c>
      <c r="C1326" s="10">
        <f>VLOOKUP(B1326,'Run Reconcile'!A$2:B1579,2,FALSE)</f>
        <v>44704</v>
      </c>
      <c r="D1326" s="14">
        <f>IFERROR(__xludf.DUMMYFUNCTION("""COMPUTED_VALUE"""),44704.0)</f>
        <v>44704</v>
      </c>
      <c r="E1326" s="15">
        <f>IFERROR(__xludf.DUMMYFUNCTION("""COMPUTED_VALUE"""),0.3451041666667152)</f>
        <v>0.3451041667</v>
      </c>
      <c r="F1326" s="8" t="str">
        <f>IFERROR(__xludf.DUMMYFUNCTION("""COMPUTED_VALUE"""),"Negative")</f>
        <v>Negative</v>
      </c>
      <c r="G1326" s="16">
        <f>IFERROR(__xludf.DUMMYFUNCTION("""COMPUTED_VALUE"""),1.0)</f>
        <v>1</v>
      </c>
      <c r="H1326" s="8" t="str">
        <f>IFERROR(__xludf.DUMMYFUNCTION("""COMPUTED_VALUE"""),"CRLN")</f>
        <v>CRLN</v>
      </c>
    </row>
    <row r="1327">
      <c r="A1327" s="8" t="str">
        <f>IFERROR(__xludf.DUMMYFUNCTION("""COMPUTED_VALUE"""),"AH7995")</f>
        <v>AH7995</v>
      </c>
      <c r="B1327" s="8" t="str">
        <f>IFERROR(__xludf.DUMMYFUNCTION("""COMPUTED_VALUE"""),"RUN-FLMP_2022-05-23_RFR-146")</f>
        <v>RUN-FLMP_2022-05-23_RFR-146</v>
      </c>
      <c r="C1327" s="10">
        <f>VLOOKUP(B1327,'Run Reconcile'!A$2:B1579,2,FALSE)</f>
        <v>44704</v>
      </c>
      <c r="D1327" s="14">
        <f>IFERROR(__xludf.DUMMYFUNCTION("""COMPUTED_VALUE"""),44704.0)</f>
        <v>44704</v>
      </c>
      <c r="E1327" s="15">
        <f>IFERROR(__xludf.DUMMYFUNCTION("""COMPUTED_VALUE"""),0.34707175926087075)</f>
        <v>0.3470717593</v>
      </c>
      <c r="F1327" s="8" t="str">
        <f>IFERROR(__xludf.DUMMYFUNCTION("""COMPUTED_VALUE"""),"Negative")</f>
        <v>Negative</v>
      </c>
      <c r="G1327" s="16">
        <f>IFERROR(__xludf.DUMMYFUNCTION("""COMPUTED_VALUE"""),3.0)</f>
        <v>3</v>
      </c>
      <c r="H1327" s="8" t="str">
        <f>IFERROR(__xludf.DUMMYFUNCTION("""COMPUTED_VALUE"""),"CRLN")</f>
        <v>CRLN</v>
      </c>
    </row>
    <row r="1328">
      <c r="A1328" s="8" t="str">
        <f>IFERROR(__xludf.DUMMYFUNCTION("""COMPUTED_VALUE"""),"AJ9748")</f>
        <v>AJ9748</v>
      </c>
      <c r="B1328" s="8" t="str">
        <f>IFERROR(__xludf.DUMMYFUNCTION("""COMPUTED_VALUE"""),"RUN-FLMP_2022-05-23_RFR-146")</f>
        <v>RUN-FLMP_2022-05-23_RFR-146</v>
      </c>
      <c r="C1328" s="10">
        <f>VLOOKUP(B1328,'Run Reconcile'!A$2:B1579,2,FALSE)</f>
        <v>44704</v>
      </c>
      <c r="D1328" s="14">
        <f>IFERROR(__xludf.DUMMYFUNCTION("""COMPUTED_VALUE"""),44704.0)</f>
        <v>44704</v>
      </c>
      <c r="E1328" s="15">
        <f>IFERROR(__xludf.DUMMYFUNCTION("""COMPUTED_VALUE"""),0.3520370370388264)</f>
        <v>0.352037037</v>
      </c>
      <c r="F1328" s="8" t="str">
        <f>IFERROR(__xludf.DUMMYFUNCTION("""COMPUTED_VALUE"""),"Negative")</f>
        <v>Negative</v>
      </c>
      <c r="G1328" s="16">
        <f>IFERROR(__xludf.DUMMYFUNCTION("""COMPUTED_VALUE"""),4.0)</f>
        <v>4</v>
      </c>
      <c r="H1328" s="8" t="str">
        <f>IFERROR(__xludf.DUMMYFUNCTION("""COMPUTED_VALUE"""),"CRLN")</f>
        <v>CRLN</v>
      </c>
    </row>
    <row r="1329">
      <c r="A1329" s="8" t="str">
        <f>IFERROR(__xludf.DUMMYFUNCTION("""COMPUTED_VALUE"""),"AG1989")</f>
        <v>AG1989</v>
      </c>
      <c r="B1329" s="8" t="str">
        <f>IFERROR(__xludf.DUMMYFUNCTION("""COMPUTED_VALUE"""),"RUN-FLMP_2022-05-23_RFR-146")</f>
        <v>RUN-FLMP_2022-05-23_RFR-146</v>
      </c>
      <c r="C1329" s="10">
        <f>VLOOKUP(B1329,'Run Reconcile'!A$2:B1579,2,FALSE)</f>
        <v>44704</v>
      </c>
      <c r="D1329" s="14">
        <f>IFERROR(__xludf.DUMMYFUNCTION("""COMPUTED_VALUE"""),44704.0)</f>
        <v>44704</v>
      </c>
      <c r="E1329" s="15">
        <f>IFERROR(__xludf.DUMMYFUNCTION("""COMPUTED_VALUE"""),0.3559606481467199)</f>
        <v>0.3559606481</v>
      </c>
      <c r="F1329" s="8" t="str">
        <f>IFERROR(__xludf.DUMMYFUNCTION("""COMPUTED_VALUE"""),"Negative")</f>
        <v>Negative</v>
      </c>
      <c r="G1329" s="16">
        <f>IFERROR(__xludf.DUMMYFUNCTION("""COMPUTED_VALUE"""),1.0)</f>
        <v>1</v>
      </c>
      <c r="H1329" s="8" t="str">
        <f>IFERROR(__xludf.DUMMYFUNCTION("""COMPUTED_VALUE"""),"CRLN")</f>
        <v>CRLN</v>
      </c>
    </row>
    <row r="1330">
      <c r="A1330" s="8" t="str">
        <f>IFERROR(__xludf.DUMMYFUNCTION("""COMPUTED_VALUE"""),"AJ8331")</f>
        <v>AJ8331</v>
      </c>
      <c r="B1330" s="8" t="str">
        <f>IFERROR(__xludf.DUMMYFUNCTION("""COMPUTED_VALUE"""),"RUN-FLMP_2022-05-23_RFR-146")</f>
        <v>RUN-FLMP_2022-05-23_RFR-146</v>
      </c>
      <c r="C1330" s="10">
        <f>VLOOKUP(B1330,'Run Reconcile'!A$2:B1579,2,FALSE)</f>
        <v>44704</v>
      </c>
      <c r="D1330" s="14">
        <f>IFERROR(__xludf.DUMMYFUNCTION("""COMPUTED_VALUE"""),44704.0)</f>
        <v>44704</v>
      </c>
      <c r="E1330" s="15">
        <f>IFERROR(__xludf.DUMMYFUNCTION("""COMPUTED_VALUE"""),0.3639930555546016)</f>
        <v>0.3639930556</v>
      </c>
      <c r="F1330" s="8" t="str">
        <f>IFERROR(__xludf.DUMMYFUNCTION("""COMPUTED_VALUE"""),"Negative")</f>
        <v>Negative</v>
      </c>
      <c r="G1330" s="16">
        <f>IFERROR(__xludf.DUMMYFUNCTION("""COMPUTED_VALUE"""),1.0)</f>
        <v>1</v>
      </c>
      <c r="H1330" s="8" t="str">
        <f>IFERROR(__xludf.DUMMYFUNCTION("""COMPUTED_VALUE"""),"CRLN")</f>
        <v>CRLN</v>
      </c>
    </row>
    <row r="1331">
      <c r="A1331" s="8" t="str">
        <f>IFERROR(__xludf.DUMMYFUNCTION("""COMPUTED_VALUE"""),"AK6070")</f>
        <v>AK6070</v>
      </c>
      <c r="B1331" s="8" t="str">
        <f>IFERROR(__xludf.DUMMYFUNCTION("""COMPUTED_VALUE"""),"RUN-FLMP_2022-05-23_RFR-146")</f>
        <v>RUN-FLMP_2022-05-23_RFR-146</v>
      </c>
      <c r="C1331" s="10">
        <f>VLOOKUP(B1331,'Run Reconcile'!A$2:B1579,2,FALSE)</f>
        <v>44704</v>
      </c>
      <c r="D1331" s="14">
        <f>IFERROR(__xludf.DUMMYFUNCTION("""COMPUTED_VALUE"""),44704.0)</f>
        <v>44704</v>
      </c>
      <c r="E1331" s="15">
        <f>IFERROR(__xludf.DUMMYFUNCTION("""COMPUTED_VALUE"""),0.3646180555551837)</f>
        <v>0.3646180556</v>
      </c>
      <c r="F1331" s="8" t="str">
        <f>IFERROR(__xludf.DUMMYFUNCTION("""COMPUTED_VALUE"""),"Negative")</f>
        <v>Negative</v>
      </c>
      <c r="G1331" s="16">
        <f>IFERROR(__xludf.DUMMYFUNCTION("""COMPUTED_VALUE"""),2.0)</f>
        <v>2</v>
      </c>
      <c r="H1331" s="8" t="str">
        <f>IFERROR(__xludf.DUMMYFUNCTION("""COMPUTED_VALUE"""),"CRLN")</f>
        <v>CRLN</v>
      </c>
    </row>
    <row r="1332">
      <c r="A1332" s="8" t="str">
        <f>IFERROR(__xludf.DUMMYFUNCTION("""COMPUTED_VALUE"""),"AH7643")</f>
        <v>AH7643</v>
      </c>
      <c r="B1332" s="8" t="str">
        <f>IFERROR(__xludf.DUMMYFUNCTION("""COMPUTED_VALUE"""),"RUN-FLMP_2022-05-23_RFR-146")</f>
        <v>RUN-FLMP_2022-05-23_RFR-146</v>
      </c>
      <c r="C1332" s="10">
        <f>VLOOKUP(B1332,'Run Reconcile'!A$2:B1579,2,FALSE)</f>
        <v>44704</v>
      </c>
      <c r="D1332" s="14">
        <f>IFERROR(__xludf.DUMMYFUNCTION("""COMPUTED_VALUE"""),44704.0)</f>
        <v>44704</v>
      </c>
      <c r="E1332" s="15">
        <f>IFERROR(__xludf.DUMMYFUNCTION("""COMPUTED_VALUE"""),0.3658912037026312)</f>
        <v>0.3658912037</v>
      </c>
      <c r="F1332" s="8" t="str">
        <f>IFERROR(__xludf.DUMMYFUNCTION("""COMPUTED_VALUE"""),"Negative")</f>
        <v>Negative</v>
      </c>
      <c r="G1332" s="16">
        <f>IFERROR(__xludf.DUMMYFUNCTION("""COMPUTED_VALUE"""),2.0)</f>
        <v>2</v>
      </c>
      <c r="H1332" s="8" t="str">
        <f>IFERROR(__xludf.DUMMYFUNCTION("""COMPUTED_VALUE"""),"CRLN")</f>
        <v>CRLN</v>
      </c>
    </row>
    <row r="1333">
      <c r="A1333" s="8" t="str">
        <f>IFERROR(__xludf.DUMMYFUNCTION("""COMPUTED_VALUE"""),"AG296")</f>
        <v>AG296</v>
      </c>
      <c r="B1333" s="8" t="str">
        <f>IFERROR(__xludf.DUMMYFUNCTION("""COMPUTED_VALUE"""),"RUN-FLMP_2022-05-23_RFR-146")</f>
        <v>RUN-FLMP_2022-05-23_RFR-146</v>
      </c>
      <c r="C1333" s="10">
        <f>VLOOKUP(B1333,'Run Reconcile'!A$2:B1579,2,FALSE)</f>
        <v>44704</v>
      </c>
      <c r="D1333" s="14">
        <f>IFERROR(__xludf.DUMMYFUNCTION("""COMPUTED_VALUE"""),44704.0)</f>
        <v>44704</v>
      </c>
      <c r="E1333" s="15">
        <f>IFERROR(__xludf.DUMMYFUNCTION("""COMPUTED_VALUE"""),0.36906250000174623)</f>
        <v>0.3690625</v>
      </c>
      <c r="F1333" s="8" t="str">
        <f>IFERROR(__xludf.DUMMYFUNCTION("""COMPUTED_VALUE"""),"Negative")</f>
        <v>Negative</v>
      </c>
      <c r="G1333" s="16">
        <f>IFERROR(__xludf.DUMMYFUNCTION("""COMPUTED_VALUE"""),1.0)</f>
        <v>1</v>
      </c>
      <c r="H1333" s="8" t="str">
        <f>IFERROR(__xludf.DUMMYFUNCTION("""COMPUTED_VALUE"""),"CRLN")</f>
        <v>CRLN</v>
      </c>
    </row>
    <row r="1334">
      <c r="A1334" s="8" t="str">
        <f>IFERROR(__xludf.DUMMYFUNCTION("""COMPUTED_VALUE"""),"FLE284")</f>
        <v>FLE284</v>
      </c>
      <c r="B1334" s="8" t="str">
        <f>IFERROR(__xludf.DUMMYFUNCTION("""COMPUTED_VALUE"""),"RUN-FLMP_2022-05-23_RFR-146")</f>
        <v>RUN-FLMP_2022-05-23_RFR-146</v>
      </c>
      <c r="C1334" s="10">
        <f>VLOOKUP(B1334,'Run Reconcile'!A$2:B1579,2,FALSE)</f>
        <v>44704</v>
      </c>
      <c r="D1334" s="14">
        <f>IFERROR(__xludf.DUMMYFUNCTION("""COMPUTED_VALUE"""),44704.0)</f>
        <v>44704</v>
      </c>
      <c r="E1334" s="15">
        <f>IFERROR(__xludf.DUMMYFUNCTION("""COMPUTED_VALUE"""),0.3752893518503697)</f>
        <v>0.3752893519</v>
      </c>
      <c r="F1334" s="8" t="str">
        <f>IFERROR(__xludf.DUMMYFUNCTION("""COMPUTED_VALUE"""),"Negative")</f>
        <v>Negative</v>
      </c>
      <c r="G1334" s="16">
        <f>IFERROR(__xludf.DUMMYFUNCTION("""COMPUTED_VALUE"""),1.0)</f>
        <v>1</v>
      </c>
      <c r="H1334" s="8" t="str">
        <f>IFERROR(__xludf.DUMMYFUNCTION("""COMPUTED_VALUE"""),"FLSP")</f>
        <v>FLSP</v>
      </c>
    </row>
    <row r="1335">
      <c r="A1335" s="8" t="str">
        <f>IFERROR(__xludf.DUMMYFUNCTION("""COMPUTED_VALUE"""),"AJ8910")</f>
        <v>AJ8910</v>
      </c>
      <c r="B1335" s="8" t="str">
        <f>IFERROR(__xludf.DUMMYFUNCTION("""COMPUTED_VALUE"""),"RUN-FLMP_2022-05-23_RFR-146")</f>
        <v>RUN-FLMP_2022-05-23_RFR-146</v>
      </c>
      <c r="C1335" s="10">
        <f>VLOOKUP(B1335,'Run Reconcile'!A$2:B1579,2,FALSE)</f>
        <v>44704</v>
      </c>
      <c r="D1335" s="14">
        <f>IFERROR(__xludf.DUMMYFUNCTION("""COMPUTED_VALUE"""),44704.0)</f>
        <v>44704</v>
      </c>
      <c r="E1335" s="15">
        <f>IFERROR(__xludf.DUMMYFUNCTION("""COMPUTED_VALUE"""),0.40625)</f>
        <v>0.40625</v>
      </c>
      <c r="F1335" s="8" t="str">
        <f>IFERROR(__xludf.DUMMYFUNCTION("""COMPUTED_VALUE"""),"Negative")</f>
        <v>Negative</v>
      </c>
      <c r="G1335" s="16">
        <f>IFERROR(__xludf.DUMMYFUNCTION("""COMPUTED_VALUE"""),3.0)</f>
        <v>3</v>
      </c>
      <c r="H1335" s="8" t="str">
        <f>IFERROR(__xludf.DUMMYFUNCTION("""COMPUTED_VALUE"""),"CRLN")</f>
        <v>CRLN</v>
      </c>
    </row>
    <row r="1336">
      <c r="A1336" s="8" t="str">
        <f>IFERROR(__xludf.DUMMYFUNCTION("""COMPUTED_VALUE"""),"FLE241")</f>
        <v>FLE241</v>
      </c>
      <c r="B1336" s="8" t="str">
        <f>IFERROR(__xludf.DUMMYFUNCTION("""COMPUTED_VALUE"""),"RUN-FLMP_2022-05-23_RFR-146")</f>
        <v>RUN-FLMP_2022-05-23_RFR-146</v>
      </c>
      <c r="C1336" s="10">
        <f>VLOOKUP(B1336,'Run Reconcile'!A$2:B1579,2,FALSE)</f>
        <v>44704</v>
      </c>
      <c r="D1336" s="14">
        <f>IFERROR(__xludf.DUMMYFUNCTION("""COMPUTED_VALUE"""),44704.0)</f>
        <v>44704</v>
      </c>
      <c r="E1336" s="15">
        <f>IFERROR(__xludf.DUMMYFUNCTION("""COMPUTED_VALUE"""),0.4375810185192677)</f>
        <v>0.4375810185</v>
      </c>
      <c r="F1336" s="8" t="str">
        <f>IFERROR(__xludf.DUMMYFUNCTION("""COMPUTED_VALUE"""),"Negative")</f>
        <v>Negative</v>
      </c>
      <c r="G1336" s="16">
        <f>IFERROR(__xludf.DUMMYFUNCTION("""COMPUTED_VALUE"""),4.0)</f>
        <v>4</v>
      </c>
      <c r="H1336" s="8" t="str">
        <f>IFERROR(__xludf.DUMMYFUNCTION("""COMPUTED_VALUE"""),"CRLN")</f>
        <v>CRLN</v>
      </c>
    </row>
    <row r="1337">
      <c r="A1337" s="8" t="str">
        <f>IFERROR(__xludf.DUMMYFUNCTION("""COMPUTED_VALUE"""),"AH394")</f>
        <v>AH394</v>
      </c>
      <c r="B1337" s="8" t="str">
        <f>IFERROR(__xludf.DUMMYFUNCTION("""COMPUTED_VALUE"""),"RUN-FLMP_2022-05-26_RFR-148")</f>
        <v>RUN-FLMP_2022-05-26_RFR-148</v>
      </c>
      <c r="C1337" s="10">
        <f>VLOOKUP(B1337,'Run Reconcile'!A$2:B1579,2,FALSE)</f>
        <v>44707</v>
      </c>
      <c r="D1337" s="14">
        <f>IFERROR(__xludf.DUMMYFUNCTION("""COMPUTED_VALUE"""),44706.0)</f>
        <v>44706</v>
      </c>
      <c r="E1337" s="15">
        <f>IFERROR(__xludf.DUMMYFUNCTION("""COMPUTED_VALUE"""),0.8085416666654055)</f>
        <v>0.8085416667</v>
      </c>
      <c r="F1337" s="8" t="str">
        <f>IFERROR(__xludf.DUMMYFUNCTION("""COMPUTED_VALUE"""),"Negative")</f>
        <v>Negative</v>
      </c>
      <c r="G1337" s="16">
        <f>IFERROR(__xludf.DUMMYFUNCTION("""COMPUTED_VALUE"""),1.0)</f>
        <v>1</v>
      </c>
      <c r="H1337" s="8" t="str">
        <f>IFERROR(__xludf.DUMMYFUNCTION("""COMPUTED_VALUE"""),"CRLN")</f>
        <v>CRLN</v>
      </c>
    </row>
    <row r="1338">
      <c r="A1338" s="8" t="str">
        <f>IFERROR(__xludf.DUMMYFUNCTION("""COMPUTED_VALUE"""),"FLB6753")</f>
        <v>FLB6753</v>
      </c>
      <c r="B1338" s="8" t="str">
        <f>IFERROR(__xludf.DUMMYFUNCTION("""COMPUTED_VALUE"""),"RUN-FLMP_2022-05-26_RFR-148")</f>
        <v>RUN-FLMP_2022-05-26_RFR-148</v>
      </c>
      <c r="C1338" s="10">
        <f>VLOOKUP(B1338,'Run Reconcile'!A$2:B1579,2,FALSE)</f>
        <v>44707</v>
      </c>
      <c r="D1338" s="14">
        <f>IFERROR(__xludf.DUMMYFUNCTION("""COMPUTED_VALUE"""),44707.0)</f>
        <v>44707</v>
      </c>
      <c r="E1338" s="15">
        <f>IFERROR(__xludf.DUMMYFUNCTION("""COMPUTED_VALUE"""),0.22442129629780538)</f>
        <v>0.2244212963</v>
      </c>
      <c r="F1338" s="8" t="str">
        <f>IFERROR(__xludf.DUMMYFUNCTION("""COMPUTED_VALUE"""),"Negative")</f>
        <v>Negative</v>
      </c>
      <c r="G1338" s="16">
        <f>IFERROR(__xludf.DUMMYFUNCTION("""COMPUTED_VALUE"""),1.0)</f>
        <v>1</v>
      </c>
      <c r="H1338" s="8" t="str">
        <f>IFERROR(__xludf.DUMMYFUNCTION("""COMPUTED_VALUE"""),"CRLN")</f>
        <v>CRLN</v>
      </c>
    </row>
    <row r="1339">
      <c r="A1339" s="8" t="str">
        <f>IFERROR(__xludf.DUMMYFUNCTION("""COMPUTED_VALUE"""),"AH7319")</f>
        <v>AH7319</v>
      </c>
      <c r="B1339" s="8" t="str">
        <f>IFERROR(__xludf.DUMMYFUNCTION("""COMPUTED_VALUE"""),"RUN-FLMP_2022-05-26_RFR-148")</f>
        <v>RUN-FLMP_2022-05-26_RFR-148</v>
      </c>
      <c r="C1339" s="10">
        <f>VLOOKUP(B1339,'Run Reconcile'!A$2:B1579,2,FALSE)</f>
        <v>44707</v>
      </c>
      <c r="D1339" s="14">
        <f>IFERROR(__xludf.DUMMYFUNCTION("""COMPUTED_VALUE"""),44707.0)</f>
        <v>44707</v>
      </c>
      <c r="E1339" s="15">
        <f>IFERROR(__xludf.DUMMYFUNCTION("""COMPUTED_VALUE"""),0.24791666666715173)</f>
        <v>0.2479166667</v>
      </c>
      <c r="F1339" s="8" t="str">
        <f>IFERROR(__xludf.DUMMYFUNCTION("""COMPUTED_VALUE"""),"Negative")</f>
        <v>Negative</v>
      </c>
      <c r="G1339" s="16">
        <f>IFERROR(__xludf.DUMMYFUNCTION("""COMPUTED_VALUE"""),2.0)</f>
        <v>2</v>
      </c>
      <c r="H1339" s="8" t="str">
        <f>IFERROR(__xludf.DUMMYFUNCTION("""COMPUTED_VALUE"""),"CRLN")</f>
        <v>CRLN</v>
      </c>
    </row>
    <row r="1340">
      <c r="A1340" s="8" t="str">
        <f>IFERROR(__xludf.DUMMYFUNCTION("""COMPUTED_VALUE"""),"FLB7355")</f>
        <v>FLB7355</v>
      </c>
      <c r="B1340" s="8" t="str">
        <f>IFERROR(__xludf.DUMMYFUNCTION("""COMPUTED_VALUE"""),"RUN-FLMP_2022-05-26_RFR-148")</f>
        <v>RUN-FLMP_2022-05-26_RFR-148</v>
      </c>
      <c r="C1340" s="10">
        <f>VLOOKUP(B1340,'Run Reconcile'!A$2:B1579,2,FALSE)</f>
        <v>44707</v>
      </c>
      <c r="D1340" s="14">
        <f>IFERROR(__xludf.DUMMYFUNCTION("""COMPUTED_VALUE"""),44707.0)</f>
        <v>44707</v>
      </c>
      <c r="E1340" s="15">
        <f>IFERROR(__xludf.DUMMYFUNCTION("""COMPUTED_VALUE"""),0.2824537037049595)</f>
        <v>0.2824537037</v>
      </c>
      <c r="F1340" s="8" t="str">
        <f>IFERROR(__xludf.DUMMYFUNCTION("""COMPUTED_VALUE"""),"Negative")</f>
        <v>Negative</v>
      </c>
      <c r="G1340" s="16">
        <f>IFERROR(__xludf.DUMMYFUNCTION("""COMPUTED_VALUE"""),2.0)</f>
        <v>2</v>
      </c>
      <c r="H1340" s="8" t="str">
        <f>IFERROR(__xludf.DUMMYFUNCTION("""COMPUTED_VALUE"""),"CRLN")</f>
        <v>CRLN</v>
      </c>
    </row>
    <row r="1341">
      <c r="A1341" s="8" t="str">
        <f>IFERROR(__xludf.DUMMYFUNCTION("""COMPUTED_VALUE"""),"FLE257")</f>
        <v>FLE257</v>
      </c>
      <c r="B1341" s="8" t="str">
        <f>IFERROR(__xludf.DUMMYFUNCTION("""COMPUTED_VALUE"""),"RUN-FLMP_2022-05-26_RFR-148")</f>
        <v>RUN-FLMP_2022-05-26_RFR-148</v>
      </c>
      <c r="C1341" s="10">
        <f>VLOOKUP(B1341,'Run Reconcile'!A$2:B1579,2,FALSE)</f>
        <v>44707</v>
      </c>
      <c r="D1341" s="14">
        <f>IFERROR(__xludf.DUMMYFUNCTION("""COMPUTED_VALUE"""),44707.0)</f>
        <v>44707</v>
      </c>
      <c r="E1341" s="15">
        <f>IFERROR(__xludf.DUMMYFUNCTION("""COMPUTED_VALUE"""),0.3148263888906513)</f>
        <v>0.3148263889</v>
      </c>
      <c r="F1341" s="8" t="str">
        <f>IFERROR(__xludf.DUMMYFUNCTION("""COMPUTED_VALUE"""),"Negative")</f>
        <v>Negative</v>
      </c>
      <c r="G1341" s="16">
        <f>IFERROR(__xludf.DUMMYFUNCTION("""COMPUTED_VALUE"""),2.0)</f>
        <v>2</v>
      </c>
      <c r="H1341" s="8" t="str">
        <f>IFERROR(__xludf.DUMMYFUNCTION("""COMPUTED_VALUE"""),"FLSP")</f>
        <v>FLSP</v>
      </c>
    </row>
    <row r="1342">
      <c r="A1342" s="8" t="str">
        <f>IFERROR(__xludf.DUMMYFUNCTION("""COMPUTED_VALUE"""),"AJ9795")</f>
        <v>AJ9795</v>
      </c>
      <c r="B1342" s="8" t="str">
        <f>IFERROR(__xludf.DUMMYFUNCTION("""COMPUTED_VALUE"""),"RUN-FLMP_2022-05-26_RFR-148")</f>
        <v>RUN-FLMP_2022-05-26_RFR-148</v>
      </c>
      <c r="C1342" s="10">
        <f>VLOOKUP(B1342,'Run Reconcile'!A$2:B1579,2,FALSE)</f>
        <v>44707</v>
      </c>
      <c r="D1342" s="14">
        <f>IFERROR(__xludf.DUMMYFUNCTION("""COMPUTED_VALUE"""),44707.0)</f>
        <v>44707</v>
      </c>
      <c r="E1342" s="15">
        <f>IFERROR(__xludf.DUMMYFUNCTION("""COMPUTED_VALUE"""),0.31582175926087075)</f>
        <v>0.3158217593</v>
      </c>
      <c r="F1342" s="8" t="str">
        <f>IFERROR(__xludf.DUMMYFUNCTION("""COMPUTED_VALUE"""),"Negative")</f>
        <v>Negative</v>
      </c>
      <c r="G1342" s="16">
        <f>IFERROR(__xludf.DUMMYFUNCTION("""COMPUTED_VALUE"""),4.0)</f>
        <v>4</v>
      </c>
      <c r="H1342" s="8" t="str">
        <f>IFERROR(__xludf.DUMMYFUNCTION("""COMPUTED_VALUE"""),"CRLN")</f>
        <v>CRLN</v>
      </c>
    </row>
    <row r="1343">
      <c r="A1343" s="8" t="str">
        <f>IFERROR(__xludf.DUMMYFUNCTION("""COMPUTED_VALUE"""),"AK8383")</f>
        <v>AK8383</v>
      </c>
      <c r="B1343" s="8" t="str">
        <f>IFERROR(__xludf.DUMMYFUNCTION("""COMPUTED_VALUE"""),"RUN-FLMP_2022-05-26_RFR-148")</f>
        <v>RUN-FLMP_2022-05-26_RFR-148</v>
      </c>
      <c r="C1343" s="10">
        <f>VLOOKUP(B1343,'Run Reconcile'!A$2:B1579,2,FALSE)</f>
        <v>44707</v>
      </c>
      <c r="D1343" s="14">
        <f>IFERROR(__xludf.DUMMYFUNCTION("""COMPUTED_VALUE"""),44707.0)</f>
        <v>44707</v>
      </c>
      <c r="E1343" s="15">
        <f>IFERROR(__xludf.DUMMYFUNCTION("""COMPUTED_VALUE"""),0.3243518518502242)</f>
        <v>0.3243518519</v>
      </c>
      <c r="F1343" s="8" t="str">
        <f>IFERROR(__xludf.DUMMYFUNCTION("""COMPUTED_VALUE"""),"Negative")</f>
        <v>Negative</v>
      </c>
      <c r="G1343" s="16">
        <f>IFERROR(__xludf.DUMMYFUNCTION("""COMPUTED_VALUE"""),2.0)</f>
        <v>2</v>
      </c>
      <c r="H1343" s="8" t="str">
        <f>IFERROR(__xludf.DUMMYFUNCTION("""COMPUTED_VALUE"""),"CRLN")</f>
        <v>CRLN</v>
      </c>
    </row>
    <row r="1344">
      <c r="A1344" s="8" t="str">
        <f>IFERROR(__xludf.DUMMYFUNCTION("""COMPUTED_VALUE"""),"AK7607")</f>
        <v>AK7607</v>
      </c>
      <c r="B1344" s="8" t="str">
        <f>IFERROR(__xludf.DUMMYFUNCTION("""COMPUTED_VALUE"""),"RUN-FLMP_2022-05-26_RFR-148")</f>
        <v>RUN-FLMP_2022-05-26_RFR-148</v>
      </c>
      <c r="C1344" s="10">
        <f>VLOOKUP(B1344,'Run Reconcile'!A$2:B1579,2,FALSE)</f>
        <v>44707</v>
      </c>
      <c r="D1344" s="14">
        <f>IFERROR(__xludf.DUMMYFUNCTION("""COMPUTED_VALUE"""),44707.0)</f>
        <v>44707</v>
      </c>
      <c r="E1344" s="15">
        <f>IFERROR(__xludf.DUMMYFUNCTION("""COMPUTED_VALUE"""),0.32766203703795327)</f>
        <v>0.327662037</v>
      </c>
      <c r="F1344" s="8" t="str">
        <f>IFERROR(__xludf.DUMMYFUNCTION("""COMPUTED_VALUE"""),"Negative")</f>
        <v>Negative</v>
      </c>
      <c r="G1344" s="16">
        <f>IFERROR(__xludf.DUMMYFUNCTION("""COMPUTED_VALUE"""),4.0)</f>
        <v>4</v>
      </c>
      <c r="H1344" s="8" t="str">
        <f>IFERROR(__xludf.DUMMYFUNCTION("""COMPUTED_VALUE"""),"CRLN")</f>
        <v>CRLN</v>
      </c>
    </row>
    <row r="1345">
      <c r="A1345" s="8" t="str">
        <f>IFERROR(__xludf.DUMMYFUNCTION("""COMPUTED_VALUE"""),"AJ7812")</f>
        <v>AJ7812</v>
      </c>
      <c r="B1345" s="8" t="str">
        <f>IFERROR(__xludf.DUMMYFUNCTION("""COMPUTED_VALUE"""),"RUN-FLMP_2022-05-26_RFR-148")</f>
        <v>RUN-FLMP_2022-05-26_RFR-148</v>
      </c>
      <c r="C1345" s="10">
        <f>VLOOKUP(B1345,'Run Reconcile'!A$2:B1579,2,FALSE)</f>
        <v>44707</v>
      </c>
      <c r="D1345" s="14">
        <f>IFERROR(__xludf.DUMMYFUNCTION("""COMPUTED_VALUE"""),44707.0)</f>
        <v>44707</v>
      </c>
      <c r="E1345" s="15">
        <f>IFERROR(__xludf.DUMMYFUNCTION("""COMPUTED_VALUE"""),0.3370717592588335)</f>
        <v>0.3370717593</v>
      </c>
      <c r="F1345" s="8" t="str">
        <f>IFERROR(__xludf.DUMMYFUNCTION("""COMPUTED_VALUE"""),"Negative")</f>
        <v>Negative</v>
      </c>
      <c r="G1345" s="16">
        <f>IFERROR(__xludf.DUMMYFUNCTION("""COMPUTED_VALUE"""),1.0)</f>
        <v>1</v>
      </c>
      <c r="H1345" s="8" t="str">
        <f>IFERROR(__xludf.DUMMYFUNCTION("""COMPUTED_VALUE"""),"CRLN")</f>
        <v>CRLN</v>
      </c>
    </row>
    <row r="1346">
      <c r="A1346" s="8" t="str">
        <f>IFERROR(__xludf.DUMMYFUNCTION("""COMPUTED_VALUE"""),"FLB7045")</f>
        <v>FLB7045</v>
      </c>
      <c r="B1346" s="8" t="str">
        <f>IFERROR(__xludf.DUMMYFUNCTION("""COMPUTED_VALUE"""),"RUN-FLMP_2022-05-26_RFR-148")</f>
        <v>RUN-FLMP_2022-05-26_RFR-148</v>
      </c>
      <c r="C1346" s="10">
        <f>VLOOKUP(B1346,'Run Reconcile'!A$2:B1579,2,FALSE)</f>
        <v>44707</v>
      </c>
      <c r="D1346" s="14">
        <f>IFERROR(__xludf.DUMMYFUNCTION("""COMPUTED_VALUE"""),44707.0)</f>
        <v>44707</v>
      </c>
      <c r="E1346" s="15">
        <f>IFERROR(__xludf.DUMMYFUNCTION("""COMPUTED_VALUE"""),0.3485532407394203)</f>
        <v>0.3485532407</v>
      </c>
      <c r="F1346" s="8" t="str">
        <f>IFERROR(__xludf.DUMMYFUNCTION("""COMPUTED_VALUE"""),"Negative")</f>
        <v>Negative</v>
      </c>
      <c r="G1346" s="16">
        <f>IFERROR(__xludf.DUMMYFUNCTION("""COMPUTED_VALUE"""),4.0)</f>
        <v>4</v>
      </c>
      <c r="H1346" s="8" t="str">
        <f>IFERROR(__xludf.DUMMYFUNCTION("""COMPUTED_VALUE"""),"CRLN")</f>
        <v>CRLN</v>
      </c>
    </row>
    <row r="1347">
      <c r="A1347" s="8" t="str">
        <f>IFERROR(__xludf.DUMMYFUNCTION("""COMPUTED_VALUE"""),"AG4823")</f>
        <v>AG4823</v>
      </c>
      <c r="B1347" s="8" t="str">
        <f>IFERROR(__xludf.DUMMYFUNCTION("""COMPUTED_VALUE"""),"RUN-FLMP_2022-05-26_RFR-148")</f>
        <v>RUN-FLMP_2022-05-26_RFR-148</v>
      </c>
      <c r="C1347" s="10">
        <f>VLOOKUP(B1347,'Run Reconcile'!A$2:B1579,2,FALSE)</f>
        <v>44707</v>
      </c>
      <c r="D1347" s="14">
        <f>IFERROR(__xludf.DUMMYFUNCTION("""COMPUTED_VALUE"""),44707.0)</f>
        <v>44707</v>
      </c>
      <c r="E1347" s="15">
        <f>IFERROR(__xludf.DUMMYFUNCTION("""COMPUTED_VALUE"""),0.348738425924239)</f>
        <v>0.3487384259</v>
      </c>
      <c r="F1347" s="8" t="str">
        <f>IFERROR(__xludf.DUMMYFUNCTION("""COMPUTED_VALUE"""),"Negative")</f>
        <v>Negative</v>
      </c>
      <c r="G1347" s="16">
        <f>IFERROR(__xludf.DUMMYFUNCTION("""COMPUTED_VALUE"""),1.0)</f>
        <v>1</v>
      </c>
      <c r="H1347" s="8" t="str">
        <f>IFERROR(__xludf.DUMMYFUNCTION("""COMPUTED_VALUE"""),"CRLN")</f>
        <v>CRLN</v>
      </c>
    </row>
    <row r="1348">
      <c r="A1348" s="8" t="str">
        <f>IFERROR(__xludf.DUMMYFUNCTION("""COMPUTED_VALUE"""),"AH1863")</f>
        <v>AH1863</v>
      </c>
      <c r="B1348" s="8" t="str">
        <f>IFERROR(__xludf.DUMMYFUNCTION("""COMPUTED_VALUE"""),"RUN-FLMP_2022-05-26_RFR-148")</f>
        <v>RUN-FLMP_2022-05-26_RFR-148</v>
      </c>
      <c r="C1348" s="10">
        <f>VLOOKUP(B1348,'Run Reconcile'!A$2:B1579,2,FALSE)</f>
        <v>44707</v>
      </c>
      <c r="D1348" s="14">
        <f>IFERROR(__xludf.DUMMYFUNCTION("""COMPUTED_VALUE"""),44707.0)</f>
        <v>44707</v>
      </c>
      <c r="E1348" s="15">
        <f>IFERROR(__xludf.DUMMYFUNCTION("""COMPUTED_VALUE"""),0.35055555555663886)</f>
        <v>0.3505555556</v>
      </c>
      <c r="F1348" s="8" t="str">
        <f>IFERROR(__xludf.DUMMYFUNCTION("""COMPUTED_VALUE"""),"Negative")</f>
        <v>Negative</v>
      </c>
      <c r="G1348" s="16">
        <f>IFERROR(__xludf.DUMMYFUNCTION("""COMPUTED_VALUE"""),4.0)</f>
        <v>4</v>
      </c>
      <c r="H1348" s="8" t="str">
        <f>IFERROR(__xludf.DUMMYFUNCTION("""COMPUTED_VALUE"""),"CRLN")</f>
        <v>CRLN</v>
      </c>
    </row>
    <row r="1349">
      <c r="A1349" s="8" t="str">
        <f>IFERROR(__xludf.DUMMYFUNCTION("""COMPUTED_VALUE"""),"AH7915")</f>
        <v>AH7915</v>
      </c>
      <c r="B1349" s="8" t="str">
        <f>IFERROR(__xludf.DUMMYFUNCTION("""COMPUTED_VALUE"""),"RUN-FLMP_2022-05-26_RFR-148")</f>
        <v>RUN-FLMP_2022-05-26_RFR-148</v>
      </c>
      <c r="C1349" s="10">
        <f>VLOOKUP(B1349,'Run Reconcile'!A$2:B1579,2,FALSE)</f>
        <v>44707</v>
      </c>
      <c r="D1349" s="14">
        <f>IFERROR(__xludf.DUMMYFUNCTION("""COMPUTED_VALUE"""),44707.0)</f>
        <v>44707</v>
      </c>
      <c r="E1349" s="15">
        <f>IFERROR(__xludf.DUMMYFUNCTION("""COMPUTED_VALUE"""),0.3530555555553292)</f>
        <v>0.3530555556</v>
      </c>
      <c r="F1349" s="8" t="str">
        <f>IFERROR(__xludf.DUMMYFUNCTION("""COMPUTED_VALUE"""),"Negative")</f>
        <v>Negative</v>
      </c>
      <c r="G1349" s="16">
        <f>IFERROR(__xludf.DUMMYFUNCTION("""COMPUTED_VALUE"""),3.0)</f>
        <v>3</v>
      </c>
      <c r="H1349" s="8" t="str">
        <f>IFERROR(__xludf.DUMMYFUNCTION("""COMPUTED_VALUE"""),"CRLN")</f>
        <v>CRLN</v>
      </c>
    </row>
    <row r="1350">
      <c r="A1350" s="8" t="str">
        <f>IFERROR(__xludf.DUMMYFUNCTION("""COMPUTED_VALUE"""),"AJ5386")</f>
        <v>AJ5386</v>
      </c>
      <c r="B1350" s="8" t="str">
        <f>IFERROR(__xludf.DUMMYFUNCTION("""COMPUTED_VALUE"""),"RUN-FLMP_2022-05-26_RFR-148")</f>
        <v>RUN-FLMP_2022-05-26_RFR-148</v>
      </c>
      <c r="C1350" s="10">
        <f>VLOOKUP(B1350,'Run Reconcile'!A$2:B1579,2,FALSE)</f>
        <v>44707</v>
      </c>
      <c r="D1350" s="14">
        <f>IFERROR(__xludf.DUMMYFUNCTION("""COMPUTED_VALUE"""),44707.0)</f>
        <v>44707</v>
      </c>
      <c r="E1350" s="15">
        <f>IFERROR(__xludf.DUMMYFUNCTION("""COMPUTED_VALUE"""),0.3539930555562023)</f>
        <v>0.3539930556</v>
      </c>
      <c r="F1350" s="8" t="str">
        <f>IFERROR(__xludf.DUMMYFUNCTION("""COMPUTED_VALUE"""),"Negative")</f>
        <v>Negative</v>
      </c>
      <c r="G1350" s="16">
        <f>IFERROR(__xludf.DUMMYFUNCTION("""COMPUTED_VALUE"""),4.0)</f>
        <v>4</v>
      </c>
      <c r="H1350" s="8" t="str">
        <f>IFERROR(__xludf.DUMMYFUNCTION("""COMPUTED_VALUE"""),"CRLN")</f>
        <v>CRLN</v>
      </c>
    </row>
    <row r="1351">
      <c r="A1351" s="8" t="str">
        <f>IFERROR(__xludf.DUMMYFUNCTION("""COMPUTED_VALUE"""),"AH6906")</f>
        <v>AH6906</v>
      </c>
      <c r="B1351" s="8" t="str">
        <f>IFERROR(__xludf.DUMMYFUNCTION("""COMPUTED_VALUE"""),"RUN-FLMP_2022-05-26_RFR-148")</f>
        <v>RUN-FLMP_2022-05-26_RFR-148</v>
      </c>
      <c r="C1351" s="10">
        <f>VLOOKUP(B1351,'Run Reconcile'!A$2:B1579,2,FALSE)</f>
        <v>44707</v>
      </c>
      <c r="D1351" s="14">
        <f>IFERROR(__xludf.DUMMYFUNCTION("""COMPUTED_VALUE"""),44707.0)</f>
        <v>44707</v>
      </c>
      <c r="E1351" s="15">
        <f>IFERROR(__xludf.DUMMYFUNCTION("""COMPUTED_VALUE"""),0.3586458333338669)</f>
        <v>0.3586458333</v>
      </c>
      <c r="F1351" s="8" t="str">
        <f>IFERROR(__xludf.DUMMYFUNCTION("""COMPUTED_VALUE"""),"Negative")</f>
        <v>Negative</v>
      </c>
      <c r="G1351" s="16">
        <f>IFERROR(__xludf.DUMMYFUNCTION("""COMPUTED_VALUE"""),4.0)</f>
        <v>4</v>
      </c>
      <c r="H1351" s="8" t="str">
        <f>IFERROR(__xludf.DUMMYFUNCTION("""COMPUTED_VALUE"""),"CRLN")</f>
        <v>CRLN</v>
      </c>
    </row>
    <row r="1352">
      <c r="A1352" s="8" t="str">
        <f>IFERROR(__xludf.DUMMYFUNCTION("""COMPUTED_VALUE"""),"AH8890")</f>
        <v>AH8890</v>
      </c>
      <c r="B1352" s="8" t="str">
        <f>IFERROR(__xludf.DUMMYFUNCTION("""COMPUTED_VALUE"""),"RUN-FLMP_2022-05-26_RFR-148")</f>
        <v>RUN-FLMP_2022-05-26_RFR-148</v>
      </c>
      <c r="C1352" s="10">
        <f>VLOOKUP(B1352,'Run Reconcile'!A$2:B1579,2,FALSE)</f>
        <v>44707</v>
      </c>
      <c r="D1352" s="14">
        <f>IFERROR(__xludf.DUMMYFUNCTION("""COMPUTED_VALUE"""),44707.0)</f>
        <v>44707</v>
      </c>
      <c r="E1352" s="15">
        <f>IFERROR(__xludf.DUMMYFUNCTION("""COMPUTED_VALUE"""),0.3620023148141627)</f>
        <v>0.3620023148</v>
      </c>
      <c r="F1352" s="8" t="str">
        <f>IFERROR(__xludf.DUMMYFUNCTION("""COMPUTED_VALUE"""),"Negative")</f>
        <v>Negative</v>
      </c>
      <c r="G1352" s="16">
        <f>IFERROR(__xludf.DUMMYFUNCTION("""COMPUTED_VALUE"""),1.0)</f>
        <v>1</v>
      </c>
      <c r="H1352" s="8" t="str">
        <f>IFERROR(__xludf.DUMMYFUNCTION("""COMPUTED_VALUE"""),"CRLN")</f>
        <v>CRLN</v>
      </c>
    </row>
    <row r="1353">
      <c r="A1353" s="8" t="str">
        <f>IFERROR(__xludf.DUMMYFUNCTION("""COMPUTED_VALUE"""),"AH8792")</f>
        <v>AH8792</v>
      </c>
      <c r="B1353" s="8" t="str">
        <f>IFERROR(__xludf.DUMMYFUNCTION("""COMPUTED_VALUE"""),"RUN-FLMP_2022-05-26_RFR-148")</f>
        <v>RUN-FLMP_2022-05-26_RFR-148</v>
      </c>
      <c r="C1353" s="10">
        <f>VLOOKUP(B1353,'Run Reconcile'!A$2:B1579,2,FALSE)</f>
        <v>44707</v>
      </c>
      <c r="D1353" s="14">
        <f>IFERROR(__xludf.DUMMYFUNCTION("""COMPUTED_VALUE"""),44707.0)</f>
        <v>44707</v>
      </c>
      <c r="E1353" s="15">
        <f>IFERROR(__xludf.DUMMYFUNCTION("""COMPUTED_VALUE"""),0.3675462962964957)</f>
        <v>0.3675462963</v>
      </c>
      <c r="F1353" s="8" t="str">
        <f>IFERROR(__xludf.DUMMYFUNCTION("""COMPUTED_VALUE"""),"Negative")</f>
        <v>Negative</v>
      </c>
      <c r="G1353" s="16">
        <f>IFERROR(__xludf.DUMMYFUNCTION("""COMPUTED_VALUE"""),1.0)</f>
        <v>1</v>
      </c>
      <c r="H1353" s="8" t="str">
        <f>IFERROR(__xludf.DUMMYFUNCTION("""COMPUTED_VALUE"""),"CRLN")</f>
        <v>CRLN</v>
      </c>
    </row>
    <row r="1354">
      <c r="A1354" s="8" t="str">
        <f>IFERROR(__xludf.DUMMYFUNCTION("""COMPUTED_VALUE"""),"AJ9693")</f>
        <v>AJ9693</v>
      </c>
      <c r="B1354" s="8" t="str">
        <f>IFERROR(__xludf.DUMMYFUNCTION("""COMPUTED_VALUE"""),"RUN-FLMP_2022-05-26_RFR-148")</f>
        <v>RUN-FLMP_2022-05-26_RFR-148</v>
      </c>
      <c r="C1354" s="10">
        <f>VLOOKUP(B1354,'Run Reconcile'!A$2:B1579,2,FALSE)</f>
        <v>44707</v>
      </c>
      <c r="D1354" s="14">
        <f>IFERROR(__xludf.DUMMYFUNCTION("""COMPUTED_VALUE"""),44707.0)</f>
        <v>44707</v>
      </c>
      <c r="E1354" s="15">
        <f>IFERROR(__xludf.DUMMYFUNCTION("""COMPUTED_VALUE"""),0.3729745370364981)</f>
        <v>0.372974537</v>
      </c>
      <c r="F1354" s="8" t="str">
        <f>IFERROR(__xludf.DUMMYFUNCTION("""COMPUTED_VALUE"""),"Negative")</f>
        <v>Negative</v>
      </c>
      <c r="G1354" s="16">
        <f>IFERROR(__xludf.DUMMYFUNCTION("""COMPUTED_VALUE"""),2.0)</f>
        <v>2</v>
      </c>
      <c r="H1354" s="8" t="str">
        <f>IFERROR(__xludf.DUMMYFUNCTION("""COMPUTED_VALUE"""),"CRLN")</f>
        <v>CRLN</v>
      </c>
    </row>
    <row r="1355">
      <c r="A1355" s="8" t="str">
        <f>IFERROR(__xludf.DUMMYFUNCTION("""COMPUTED_VALUE"""),"AJ7190")</f>
        <v>AJ7190</v>
      </c>
      <c r="B1355" s="8" t="str">
        <f>IFERROR(__xludf.DUMMYFUNCTION("""COMPUTED_VALUE"""),"RUN-FLMP_2022-05-26_RFR-148")</f>
        <v>RUN-FLMP_2022-05-26_RFR-148</v>
      </c>
      <c r="C1355" s="10">
        <f>VLOOKUP(B1355,'Run Reconcile'!A$2:B1579,2,FALSE)</f>
        <v>44707</v>
      </c>
      <c r="D1355" s="14">
        <f>IFERROR(__xludf.DUMMYFUNCTION("""COMPUTED_VALUE"""),44707.0)</f>
        <v>44707</v>
      </c>
      <c r="E1355" s="15">
        <f>IFERROR(__xludf.DUMMYFUNCTION("""COMPUTED_VALUE"""),0.4211226851839456)</f>
        <v>0.4211226852</v>
      </c>
      <c r="F1355" s="8" t="str">
        <f>IFERROR(__xludf.DUMMYFUNCTION("""COMPUTED_VALUE"""),"Negative")</f>
        <v>Negative</v>
      </c>
      <c r="G1355" s="16">
        <f>IFERROR(__xludf.DUMMYFUNCTION("""COMPUTED_VALUE"""),3.0)</f>
        <v>3</v>
      </c>
      <c r="H1355" s="8" t="str">
        <f>IFERROR(__xludf.DUMMYFUNCTION("""COMPUTED_VALUE"""),"CRLN")</f>
        <v>CRLN</v>
      </c>
    </row>
    <row r="1356">
      <c r="A1356" s="8" t="str">
        <f>IFERROR(__xludf.DUMMYFUNCTION("""COMPUTED_VALUE"""),"AJ9058")</f>
        <v>AJ9058</v>
      </c>
      <c r="B1356" s="8" t="str">
        <f>IFERROR(__xludf.DUMMYFUNCTION("""COMPUTED_VALUE"""),"RUN-FLMP_2022-05-26_RFR-148")</f>
        <v>RUN-FLMP_2022-05-26_RFR-148</v>
      </c>
      <c r="C1356" s="10">
        <f>VLOOKUP(B1356,'Run Reconcile'!A$2:B1579,2,FALSE)</f>
        <v>44707</v>
      </c>
      <c r="D1356" s="14">
        <f>IFERROR(__xludf.DUMMYFUNCTION("""COMPUTED_VALUE"""),44707.0)</f>
        <v>44707</v>
      </c>
      <c r="E1356" s="15">
        <f>IFERROR(__xludf.DUMMYFUNCTION("""COMPUTED_VALUE"""),0.4348379629627743)</f>
        <v>0.434837963</v>
      </c>
      <c r="F1356" s="8" t="str">
        <f>IFERROR(__xludf.DUMMYFUNCTION("""COMPUTED_VALUE"""),"Negative")</f>
        <v>Negative</v>
      </c>
      <c r="G1356" s="16">
        <f>IFERROR(__xludf.DUMMYFUNCTION("""COMPUTED_VALUE"""),1.0)</f>
        <v>1</v>
      </c>
      <c r="H1356" s="8" t="str">
        <f>IFERROR(__xludf.DUMMYFUNCTION("""COMPUTED_VALUE"""),"FLSP")</f>
        <v>FLSP</v>
      </c>
    </row>
    <row r="1357">
      <c r="A1357" s="8" t="str">
        <f>IFERROR(__xludf.DUMMYFUNCTION("""COMPUTED_VALUE"""),"AJ8159")</f>
        <v>AJ8159</v>
      </c>
      <c r="B1357" s="8" t="str">
        <f>IFERROR(__xludf.DUMMYFUNCTION("""COMPUTED_VALUE"""),"RUN-FLMP_2022-05-26_RFR-148")</f>
        <v>RUN-FLMP_2022-05-26_RFR-148</v>
      </c>
      <c r="C1357" s="10">
        <f>VLOOKUP(B1357,'Run Reconcile'!A$2:B1579,2,FALSE)</f>
        <v>44707</v>
      </c>
      <c r="D1357" s="14">
        <f>IFERROR(__xludf.DUMMYFUNCTION("""COMPUTED_VALUE"""),44707.0)</f>
        <v>44707</v>
      </c>
      <c r="E1357" s="15">
        <f>IFERROR(__xludf.DUMMYFUNCTION("""COMPUTED_VALUE"""),0.49922453703766223)</f>
        <v>0.499224537</v>
      </c>
      <c r="F1357" s="8" t="str">
        <f>IFERROR(__xludf.DUMMYFUNCTION("""COMPUTED_VALUE"""),"Negative")</f>
        <v>Negative</v>
      </c>
      <c r="G1357" s="16">
        <f>IFERROR(__xludf.DUMMYFUNCTION("""COMPUTED_VALUE"""),3.0)</f>
        <v>3</v>
      </c>
      <c r="H1357" s="8" t="str">
        <f>IFERROR(__xludf.DUMMYFUNCTION("""COMPUTED_VALUE"""),"CRLN")</f>
        <v>CRLN</v>
      </c>
    </row>
    <row r="1358">
      <c r="A1358" s="8" t="str">
        <f>IFERROR(__xludf.DUMMYFUNCTION("""COMPUTED_VALUE"""),"AJ8160")</f>
        <v>AJ8160</v>
      </c>
      <c r="B1358" s="8" t="str">
        <f>IFERROR(__xludf.DUMMYFUNCTION("""COMPUTED_VALUE"""),"RUN-FLMP_2022-05-31_RFR-150")</f>
        <v>RUN-FLMP_2022-05-31_RFR-150</v>
      </c>
      <c r="C1358" s="10">
        <f>VLOOKUP(B1358,'Run Reconcile'!A$2:B1579,2,FALSE)</f>
        <v>44712</v>
      </c>
      <c r="D1358" s="14">
        <f>IFERROR(__xludf.DUMMYFUNCTION("""COMPUTED_VALUE"""),44708.0)</f>
        <v>44708</v>
      </c>
      <c r="E1358" s="15">
        <f>IFERROR(__xludf.DUMMYFUNCTION("""COMPUTED_VALUE"""),0.29903935185211594)</f>
        <v>0.2990393519</v>
      </c>
      <c r="F1358" s="8" t="str">
        <f>IFERROR(__xludf.DUMMYFUNCTION("""COMPUTED_VALUE"""),"Negative")</f>
        <v>Negative</v>
      </c>
      <c r="G1358" s="16">
        <f>IFERROR(__xludf.DUMMYFUNCTION("""COMPUTED_VALUE"""),1.0)</f>
        <v>1</v>
      </c>
      <c r="H1358" s="8" t="str">
        <f>IFERROR(__xludf.DUMMYFUNCTION("""COMPUTED_VALUE"""),"CRLN")</f>
        <v>CRLN</v>
      </c>
    </row>
    <row r="1359">
      <c r="A1359" s="8" t="str">
        <f>IFERROR(__xludf.DUMMYFUNCTION("""COMPUTED_VALUE"""),"AG1064")</f>
        <v>AG1064</v>
      </c>
      <c r="B1359" s="8" t="str">
        <f>IFERROR(__xludf.DUMMYFUNCTION("""COMPUTED_VALUE"""),"RUN-FLMP_2022-05-31_RFR-150")</f>
        <v>RUN-FLMP_2022-05-31_RFR-150</v>
      </c>
      <c r="C1359" s="10">
        <f>VLOOKUP(B1359,'Run Reconcile'!A$2:B1579,2,FALSE)</f>
        <v>44712</v>
      </c>
      <c r="D1359" s="14">
        <f>IFERROR(__xludf.DUMMYFUNCTION("""COMPUTED_VALUE"""),44711.0)</f>
        <v>44711</v>
      </c>
      <c r="E1359" s="15">
        <f>IFERROR(__xludf.DUMMYFUNCTION("""COMPUTED_VALUE"""),0.8051504629620467)</f>
        <v>0.805150463</v>
      </c>
      <c r="F1359" s="8" t="str">
        <f>IFERROR(__xludf.DUMMYFUNCTION("""COMPUTED_VALUE"""),"Negative")</f>
        <v>Negative</v>
      </c>
      <c r="G1359" s="16">
        <f>IFERROR(__xludf.DUMMYFUNCTION("""COMPUTED_VALUE"""),2.0)</f>
        <v>2</v>
      </c>
      <c r="H1359" s="8" t="str">
        <f>IFERROR(__xludf.DUMMYFUNCTION("""COMPUTED_VALUE"""),"CRLN")</f>
        <v>CRLN</v>
      </c>
    </row>
    <row r="1360">
      <c r="A1360" s="8" t="str">
        <f>IFERROR(__xludf.DUMMYFUNCTION("""COMPUTED_VALUE"""),"AK6697")</f>
        <v>AK6697</v>
      </c>
      <c r="B1360" s="8" t="str">
        <f>IFERROR(__xludf.DUMMYFUNCTION("""COMPUTED_VALUE"""),"RUN-FLMP_2022-05-31_RFR-150")</f>
        <v>RUN-FLMP_2022-05-31_RFR-150</v>
      </c>
      <c r="C1360" s="10">
        <f>VLOOKUP(B1360,'Run Reconcile'!A$2:B1579,2,FALSE)</f>
        <v>44712</v>
      </c>
      <c r="D1360" s="14">
        <f>IFERROR(__xludf.DUMMYFUNCTION("""COMPUTED_VALUE"""),44711.0)</f>
        <v>44711</v>
      </c>
      <c r="E1360" s="15">
        <f>IFERROR(__xludf.DUMMYFUNCTION("""COMPUTED_VALUE"""),0.8855439814797137)</f>
        <v>0.8855439815</v>
      </c>
      <c r="F1360" s="8" t="str">
        <f>IFERROR(__xludf.DUMMYFUNCTION("""COMPUTED_VALUE"""),"Negative")</f>
        <v>Negative</v>
      </c>
      <c r="G1360" s="16">
        <f>IFERROR(__xludf.DUMMYFUNCTION("""COMPUTED_VALUE"""),4.0)</f>
        <v>4</v>
      </c>
      <c r="H1360" s="8" t="str">
        <f>IFERROR(__xludf.DUMMYFUNCTION("""COMPUTED_VALUE"""),"CRLN")</f>
        <v>CRLN</v>
      </c>
    </row>
    <row r="1361">
      <c r="A1361" s="8" t="str">
        <f>IFERROR(__xludf.DUMMYFUNCTION("""COMPUTED_VALUE"""),"AH7315")</f>
        <v>AH7315</v>
      </c>
      <c r="B1361" s="8" t="str">
        <f>IFERROR(__xludf.DUMMYFUNCTION("""COMPUTED_VALUE"""),"RUN-FLMP_2022-05-31_RFR-150")</f>
        <v>RUN-FLMP_2022-05-31_RFR-150</v>
      </c>
      <c r="C1361" s="10">
        <f>VLOOKUP(B1361,'Run Reconcile'!A$2:B1579,2,FALSE)</f>
        <v>44712</v>
      </c>
      <c r="D1361" s="14">
        <f>IFERROR(__xludf.DUMMYFUNCTION("""COMPUTED_VALUE"""),44711.0)</f>
        <v>44711</v>
      </c>
      <c r="E1361" s="15">
        <f>IFERROR(__xludf.DUMMYFUNCTION("""COMPUTED_VALUE"""),0.8863657407418941)</f>
        <v>0.8863657407</v>
      </c>
      <c r="F1361" s="8" t="str">
        <f>IFERROR(__xludf.DUMMYFUNCTION("""COMPUTED_VALUE"""),"Negative")</f>
        <v>Negative</v>
      </c>
      <c r="G1361" s="16">
        <f>IFERROR(__xludf.DUMMYFUNCTION("""COMPUTED_VALUE"""),2.0)</f>
        <v>2</v>
      </c>
      <c r="H1361" s="8" t="str">
        <f>IFERROR(__xludf.DUMMYFUNCTION("""COMPUTED_VALUE"""),"CRLN")</f>
        <v>CRLN</v>
      </c>
    </row>
    <row r="1362">
      <c r="A1362" s="8" t="str">
        <f>IFERROR(__xludf.DUMMYFUNCTION("""COMPUTED_VALUE"""),"AK6480")</f>
        <v>AK6480</v>
      </c>
      <c r="B1362" s="8" t="str">
        <f>IFERROR(__xludf.DUMMYFUNCTION("""COMPUTED_VALUE"""),"RUN-FLMP_2022-05-31_RFR-150")</f>
        <v>RUN-FLMP_2022-05-31_RFR-150</v>
      </c>
      <c r="C1362" s="10">
        <f>VLOOKUP(B1362,'Run Reconcile'!A$2:B1579,2,FALSE)</f>
        <v>44712</v>
      </c>
      <c r="D1362" s="14">
        <f>IFERROR(__xludf.DUMMYFUNCTION("""COMPUTED_VALUE"""),44712.0)</f>
        <v>44712</v>
      </c>
      <c r="E1362" s="15">
        <f>IFERROR(__xludf.DUMMYFUNCTION("""COMPUTED_VALUE"""),0.268206018517958)</f>
        <v>0.2682060185</v>
      </c>
      <c r="F1362" s="8" t="str">
        <f>IFERROR(__xludf.DUMMYFUNCTION("""COMPUTED_VALUE"""),"Negative")</f>
        <v>Negative</v>
      </c>
      <c r="G1362" s="16">
        <f>IFERROR(__xludf.DUMMYFUNCTION("""COMPUTED_VALUE"""),2.0)</f>
        <v>2</v>
      </c>
      <c r="H1362" s="8" t="str">
        <f>IFERROR(__xludf.DUMMYFUNCTION("""COMPUTED_VALUE"""),"CRLN")</f>
        <v>CRLN</v>
      </c>
    </row>
    <row r="1363">
      <c r="A1363" s="8" t="str">
        <f>IFERROR(__xludf.DUMMYFUNCTION("""COMPUTED_VALUE"""),"AH6918")</f>
        <v>AH6918</v>
      </c>
      <c r="B1363" s="8" t="str">
        <f>IFERROR(__xludf.DUMMYFUNCTION("""COMPUTED_VALUE"""),"RUN-FLMP_2022-05-31_RFR-150")</f>
        <v>RUN-FLMP_2022-05-31_RFR-150</v>
      </c>
      <c r="C1363" s="10">
        <f>VLOOKUP(B1363,'Run Reconcile'!A$2:B1579,2,FALSE)</f>
        <v>44712</v>
      </c>
      <c r="D1363" s="14">
        <f>IFERROR(__xludf.DUMMYFUNCTION("""COMPUTED_VALUE"""),44712.0)</f>
        <v>44712</v>
      </c>
      <c r="E1363" s="15">
        <f>IFERROR(__xludf.DUMMYFUNCTION("""COMPUTED_VALUE"""),0.28893518518452765)</f>
        <v>0.2889351852</v>
      </c>
      <c r="F1363" s="8" t="str">
        <f>IFERROR(__xludf.DUMMYFUNCTION("""COMPUTED_VALUE"""),"Negative")</f>
        <v>Negative</v>
      </c>
      <c r="G1363" s="16">
        <f>IFERROR(__xludf.DUMMYFUNCTION("""COMPUTED_VALUE"""),1.0)</f>
        <v>1</v>
      </c>
      <c r="H1363" s="8" t="str">
        <f>IFERROR(__xludf.DUMMYFUNCTION("""COMPUTED_VALUE"""),"CRLN")</f>
        <v>CRLN</v>
      </c>
    </row>
    <row r="1364">
      <c r="A1364" s="8" t="str">
        <f>IFERROR(__xludf.DUMMYFUNCTION("""COMPUTED_VALUE"""),"AJ8926")</f>
        <v>AJ8926</v>
      </c>
      <c r="B1364" s="8" t="str">
        <f>IFERROR(__xludf.DUMMYFUNCTION("""COMPUTED_VALUE"""),"RUN-FLMP_2022-05-31_RFR-150")</f>
        <v>RUN-FLMP_2022-05-31_RFR-150</v>
      </c>
      <c r="C1364" s="10">
        <f>VLOOKUP(B1364,'Run Reconcile'!A$2:B1579,2,FALSE)</f>
        <v>44712</v>
      </c>
      <c r="D1364" s="14">
        <f>IFERROR(__xludf.DUMMYFUNCTION("""COMPUTED_VALUE"""),44712.0)</f>
        <v>44712</v>
      </c>
      <c r="E1364" s="15">
        <f>IFERROR(__xludf.DUMMYFUNCTION("""COMPUTED_VALUE"""),0.3227083333331393)</f>
        <v>0.3227083333</v>
      </c>
      <c r="F1364" s="8" t="str">
        <f>IFERROR(__xludf.DUMMYFUNCTION("""COMPUTED_VALUE"""),"Negative")</f>
        <v>Negative</v>
      </c>
      <c r="G1364" s="16">
        <f>IFERROR(__xludf.DUMMYFUNCTION("""COMPUTED_VALUE"""),4.0)</f>
        <v>4</v>
      </c>
      <c r="H1364" s="8" t="str">
        <f>IFERROR(__xludf.DUMMYFUNCTION("""COMPUTED_VALUE"""),"CRLN")</f>
        <v>CRLN</v>
      </c>
    </row>
    <row r="1365">
      <c r="A1365" s="8" t="str">
        <f>IFERROR(__xludf.DUMMYFUNCTION("""COMPUTED_VALUE"""),"AH704")</f>
        <v>AH704</v>
      </c>
      <c r="B1365" s="8" t="str">
        <f>IFERROR(__xludf.DUMMYFUNCTION("""COMPUTED_VALUE"""),"RUN-FLMP_2022-05-31_RFR-150")</f>
        <v>RUN-FLMP_2022-05-31_RFR-150</v>
      </c>
      <c r="C1365" s="10">
        <f>VLOOKUP(B1365,'Run Reconcile'!A$2:B1579,2,FALSE)</f>
        <v>44712</v>
      </c>
      <c r="D1365" s="14">
        <f>IFERROR(__xludf.DUMMYFUNCTION("""COMPUTED_VALUE"""),44712.0)</f>
        <v>44712</v>
      </c>
      <c r="E1365" s="15">
        <f>IFERROR(__xludf.DUMMYFUNCTION("""COMPUTED_VALUE"""),0.33358796296306537)</f>
        <v>0.333587963</v>
      </c>
      <c r="F1365" s="8" t="str">
        <f>IFERROR(__xludf.DUMMYFUNCTION("""COMPUTED_VALUE"""),"Negative")</f>
        <v>Negative</v>
      </c>
      <c r="G1365" s="16">
        <f>IFERROR(__xludf.DUMMYFUNCTION("""COMPUTED_VALUE"""),4.0)</f>
        <v>4</v>
      </c>
      <c r="H1365" s="8" t="str">
        <f>IFERROR(__xludf.DUMMYFUNCTION("""COMPUTED_VALUE"""),"CRLN")</f>
        <v>CRLN</v>
      </c>
    </row>
    <row r="1366">
      <c r="A1366" s="8" t="str">
        <f>IFERROR(__xludf.DUMMYFUNCTION("""COMPUTED_VALUE"""),"AJ9664")</f>
        <v>AJ9664</v>
      </c>
      <c r="B1366" s="8" t="str">
        <f>IFERROR(__xludf.DUMMYFUNCTION("""COMPUTED_VALUE"""),"RUN-FLMP_2022-05-31_RFR-150")</f>
        <v>RUN-FLMP_2022-05-31_RFR-150</v>
      </c>
      <c r="C1366" s="10">
        <f>VLOOKUP(B1366,'Run Reconcile'!A$2:B1579,2,FALSE)</f>
        <v>44712</v>
      </c>
      <c r="D1366" s="14">
        <f>IFERROR(__xludf.DUMMYFUNCTION("""COMPUTED_VALUE"""),44712.0)</f>
        <v>44712</v>
      </c>
      <c r="E1366" s="15">
        <f>IFERROR(__xludf.DUMMYFUNCTION("""COMPUTED_VALUE"""),0.3456481481480296)</f>
        <v>0.3456481481</v>
      </c>
      <c r="F1366" s="8" t="str">
        <f>IFERROR(__xludf.DUMMYFUNCTION("""COMPUTED_VALUE"""),"Negative")</f>
        <v>Negative</v>
      </c>
      <c r="G1366" s="16">
        <f>IFERROR(__xludf.DUMMYFUNCTION("""COMPUTED_VALUE"""),4.0)</f>
        <v>4</v>
      </c>
      <c r="H1366" s="8" t="str">
        <f>IFERROR(__xludf.DUMMYFUNCTION("""COMPUTED_VALUE"""),"FLSP")</f>
        <v>FLSP</v>
      </c>
    </row>
    <row r="1367">
      <c r="A1367" s="8" t="str">
        <f>IFERROR(__xludf.DUMMYFUNCTION("""COMPUTED_VALUE"""),"AJ9294")</f>
        <v>AJ9294</v>
      </c>
      <c r="B1367" s="8" t="str">
        <f>IFERROR(__xludf.DUMMYFUNCTION("""COMPUTED_VALUE"""),"RUN-FLMP_2022-05-31_RFR-150")</f>
        <v>RUN-FLMP_2022-05-31_RFR-150</v>
      </c>
      <c r="C1367" s="10">
        <f>VLOOKUP(B1367,'Run Reconcile'!A$2:B1579,2,FALSE)</f>
        <v>44712</v>
      </c>
      <c r="D1367" s="14">
        <f>IFERROR(__xludf.DUMMYFUNCTION("""COMPUTED_VALUE"""),44712.0)</f>
        <v>44712</v>
      </c>
      <c r="E1367" s="15">
        <f>IFERROR(__xludf.DUMMYFUNCTION("""COMPUTED_VALUE"""),0.3498958333329938)</f>
        <v>0.3498958333</v>
      </c>
      <c r="F1367" s="8" t="str">
        <f>IFERROR(__xludf.DUMMYFUNCTION("""COMPUTED_VALUE"""),"Negative")</f>
        <v>Negative</v>
      </c>
      <c r="G1367" s="16">
        <f>IFERROR(__xludf.DUMMYFUNCTION("""COMPUTED_VALUE"""),1.0)</f>
        <v>1</v>
      </c>
      <c r="H1367" s="8" t="str">
        <f>IFERROR(__xludf.DUMMYFUNCTION("""COMPUTED_VALUE"""),"CRLN")</f>
        <v>CRLN</v>
      </c>
    </row>
    <row r="1368">
      <c r="A1368" s="8" t="str">
        <f>IFERROR(__xludf.DUMMYFUNCTION("""COMPUTED_VALUE"""),"AK6792")</f>
        <v>AK6792</v>
      </c>
      <c r="B1368" s="8" t="str">
        <f>IFERROR(__xludf.DUMMYFUNCTION("""COMPUTED_VALUE"""),"RUN-FLMP_2022-05-31_RFR-150")</f>
        <v>RUN-FLMP_2022-05-31_RFR-150</v>
      </c>
      <c r="C1368" s="10">
        <f>VLOOKUP(B1368,'Run Reconcile'!A$2:B1579,2,FALSE)</f>
        <v>44712</v>
      </c>
      <c r="D1368" s="14">
        <f>IFERROR(__xludf.DUMMYFUNCTION("""COMPUTED_VALUE"""),44712.0)</f>
        <v>44712</v>
      </c>
      <c r="E1368" s="15">
        <f>IFERROR(__xludf.DUMMYFUNCTION("""COMPUTED_VALUE"""),0.3523611111122591)</f>
        <v>0.3523611111</v>
      </c>
      <c r="F1368" s="8" t="str">
        <f>IFERROR(__xludf.DUMMYFUNCTION("""COMPUTED_VALUE"""),"Negative")</f>
        <v>Negative</v>
      </c>
      <c r="G1368" s="16">
        <f>IFERROR(__xludf.DUMMYFUNCTION("""COMPUTED_VALUE"""),4.0)</f>
        <v>4</v>
      </c>
      <c r="H1368" s="8" t="str">
        <f>IFERROR(__xludf.DUMMYFUNCTION("""COMPUTED_VALUE"""),"CRLN")</f>
        <v>CRLN</v>
      </c>
    </row>
    <row r="1369">
      <c r="A1369" s="8" t="str">
        <f>IFERROR(__xludf.DUMMYFUNCTION("""COMPUTED_VALUE"""),"AG653")</f>
        <v>AG653</v>
      </c>
      <c r="B1369" s="8" t="str">
        <f>IFERROR(__xludf.DUMMYFUNCTION("""COMPUTED_VALUE"""),"RUN-FLMP_2022-05-31_RFR-150")</f>
        <v>RUN-FLMP_2022-05-31_RFR-150</v>
      </c>
      <c r="C1369" s="10">
        <f>VLOOKUP(B1369,'Run Reconcile'!A$2:B1579,2,FALSE)</f>
        <v>44712</v>
      </c>
      <c r="D1369" s="14">
        <f>IFERROR(__xludf.DUMMYFUNCTION("""COMPUTED_VALUE"""),44712.0)</f>
        <v>44712</v>
      </c>
      <c r="E1369" s="15">
        <f>IFERROR(__xludf.DUMMYFUNCTION("""COMPUTED_VALUE"""),0.3571527777785377)</f>
        <v>0.3571527778</v>
      </c>
      <c r="F1369" s="8" t="str">
        <f>IFERROR(__xludf.DUMMYFUNCTION("""COMPUTED_VALUE"""),"Negative")</f>
        <v>Negative</v>
      </c>
      <c r="G1369" s="16">
        <f>IFERROR(__xludf.DUMMYFUNCTION("""COMPUTED_VALUE"""),1.0)</f>
        <v>1</v>
      </c>
      <c r="H1369" s="8" t="str">
        <f>IFERROR(__xludf.DUMMYFUNCTION("""COMPUTED_VALUE"""),"CRLN")</f>
        <v>CRLN</v>
      </c>
    </row>
    <row r="1370">
      <c r="A1370" s="8" t="str">
        <f>IFERROR(__xludf.DUMMYFUNCTION("""COMPUTED_VALUE"""),"FLE268")</f>
        <v>FLE268</v>
      </c>
      <c r="B1370" s="8" t="str">
        <f>IFERROR(__xludf.DUMMYFUNCTION("""COMPUTED_VALUE"""),"RUN-FLMP_2022-05-31_RFR-150")</f>
        <v>RUN-FLMP_2022-05-31_RFR-150</v>
      </c>
      <c r="C1370" s="10">
        <f>VLOOKUP(B1370,'Run Reconcile'!A$2:B1579,2,FALSE)</f>
        <v>44712</v>
      </c>
      <c r="D1370" s="14">
        <f>IFERROR(__xludf.DUMMYFUNCTION("""COMPUTED_VALUE"""),44712.0)</f>
        <v>44712</v>
      </c>
      <c r="E1370" s="15">
        <f>IFERROR(__xludf.DUMMYFUNCTION("""COMPUTED_VALUE"""),0.36429398148175096)</f>
        <v>0.3642939815</v>
      </c>
      <c r="F1370" s="8" t="str">
        <f>IFERROR(__xludf.DUMMYFUNCTION("""COMPUTED_VALUE"""),"Negative")</f>
        <v>Negative</v>
      </c>
      <c r="G1370" s="16">
        <f>IFERROR(__xludf.DUMMYFUNCTION("""COMPUTED_VALUE"""),4.0)</f>
        <v>4</v>
      </c>
      <c r="H1370" s="8" t="str">
        <f>IFERROR(__xludf.DUMMYFUNCTION("""COMPUTED_VALUE"""),"CRLN")</f>
        <v>CRLN</v>
      </c>
    </row>
    <row r="1371">
      <c r="A1371" s="8" t="str">
        <f>IFERROR(__xludf.DUMMYFUNCTION("""COMPUTED_VALUE"""),"AJ8274")</f>
        <v>AJ8274</v>
      </c>
      <c r="B1371" s="8" t="str">
        <f>IFERROR(__xludf.DUMMYFUNCTION("""COMPUTED_VALUE"""),"RUN-FLMP_2022-05-31_RFR-150")</f>
        <v>RUN-FLMP_2022-05-31_RFR-150</v>
      </c>
      <c r="C1371" s="10">
        <f>VLOOKUP(B1371,'Run Reconcile'!A$2:B1579,2,FALSE)</f>
        <v>44712</v>
      </c>
      <c r="D1371" s="14">
        <f>IFERROR(__xludf.DUMMYFUNCTION("""COMPUTED_VALUE"""),44712.0)</f>
        <v>44712</v>
      </c>
      <c r="E1371" s="15">
        <f>IFERROR(__xludf.DUMMYFUNCTION("""COMPUTED_VALUE"""),0.3651157407402934)</f>
        <v>0.3651157407</v>
      </c>
      <c r="F1371" s="8" t="str">
        <f>IFERROR(__xludf.DUMMYFUNCTION("""COMPUTED_VALUE"""),"Negative")</f>
        <v>Negative</v>
      </c>
      <c r="G1371" s="16">
        <f>IFERROR(__xludf.DUMMYFUNCTION("""COMPUTED_VALUE"""),3.0)</f>
        <v>3</v>
      </c>
      <c r="H1371" s="8" t="str">
        <f>IFERROR(__xludf.DUMMYFUNCTION("""COMPUTED_VALUE"""),"CRLN")</f>
        <v>CRLN</v>
      </c>
    </row>
    <row r="1372">
      <c r="A1372" s="8" t="str">
        <f>IFERROR(__xludf.DUMMYFUNCTION("""COMPUTED_VALUE"""),"AJ9498")</f>
        <v>AJ9498</v>
      </c>
      <c r="B1372" s="8" t="str">
        <f>IFERROR(__xludf.DUMMYFUNCTION("""COMPUTED_VALUE"""),"RUN-FLMP_2022-05-31_RFR-150")</f>
        <v>RUN-FLMP_2022-05-31_RFR-150</v>
      </c>
      <c r="C1372" s="10">
        <f>VLOOKUP(B1372,'Run Reconcile'!A$2:B1579,2,FALSE)</f>
        <v>44712</v>
      </c>
      <c r="D1372" s="14">
        <f>IFERROR(__xludf.DUMMYFUNCTION("""COMPUTED_VALUE"""),44712.0)</f>
        <v>44712</v>
      </c>
      <c r="E1372" s="15">
        <f>IFERROR(__xludf.DUMMYFUNCTION("""COMPUTED_VALUE"""),0.36578703703708015)</f>
        <v>0.365787037</v>
      </c>
      <c r="F1372" s="8" t="str">
        <f>IFERROR(__xludf.DUMMYFUNCTION("""COMPUTED_VALUE"""),"Negative")</f>
        <v>Negative</v>
      </c>
      <c r="G1372" s="16">
        <f>IFERROR(__xludf.DUMMYFUNCTION("""COMPUTED_VALUE"""),2.0)</f>
        <v>2</v>
      </c>
      <c r="H1372" s="8" t="str">
        <f>IFERROR(__xludf.DUMMYFUNCTION("""COMPUTED_VALUE"""),"CRLN")</f>
        <v>CRLN</v>
      </c>
    </row>
    <row r="1373">
      <c r="A1373" s="8" t="str">
        <f>IFERROR(__xludf.DUMMYFUNCTION("""COMPUTED_VALUE"""),"AH631")</f>
        <v>AH631</v>
      </c>
      <c r="B1373" s="8" t="str">
        <f>IFERROR(__xludf.DUMMYFUNCTION("""COMPUTED_VALUE"""),"RUN-FLMP_2022-05-31_RFR-150")</f>
        <v>RUN-FLMP_2022-05-31_RFR-150</v>
      </c>
      <c r="C1373" s="10">
        <f>VLOOKUP(B1373,'Run Reconcile'!A$2:B1579,2,FALSE)</f>
        <v>44712</v>
      </c>
      <c r="D1373" s="14">
        <f>IFERROR(__xludf.DUMMYFUNCTION("""COMPUTED_VALUE"""),44712.0)</f>
        <v>44712</v>
      </c>
      <c r="E1373" s="15">
        <f>IFERROR(__xludf.DUMMYFUNCTION("""COMPUTED_VALUE"""),0.36648148148015025)</f>
        <v>0.3664814815</v>
      </c>
      <c r="F1373" s="8" t="str">
        <f>IFERROR(__xludf.DUMMYFUNCTION("""COMPUTED_VALUE"""),"Negative")</f>
        <v>Negative</v>
      </c>
      <c r="G1373" s="16">
        <f>IFERROR(__xludf.DUMMYFUNCTION("""COMPUTED_VALUE"""),1.0)</f>
        <v>1</v>
      </c>
      <c r="H1373" s="8" t="str">
        <f>IFERROR(__xludf.DUMMYFUNCTION("""COMPUTED_VALUE"""),"CRLN")</f>
        <v>CRLN</v>
      </c>
    </row>
    <row r="1374">
      <c r="A1374" s="8" t="str">
        <f>IFERROR(__xludf.DUMMYFUNCTION("""COMPUTED_VALUE"""),"AG1598")</f>
        <v>AG1598</v>
      </c>
      <c r="B1374" s="8" t="str">
        <f>IFERROR(__xludf.DUMMYFUNCTION("""COMPUTED_VALUE"""),"RUN-FLMP_2022-05-31_RFR-150")</f>
        <v>RUN-FLMP_2022-05-31_RFR-150</v>
      </c>
      <c r="C1374" s="10">
        <f>VLOOKUP(B1374,'Run Reconcile'!A$2:B1579,2,FALSE)</f>
        <v>44712</v>
      </c>
      <c r="D1374" s="14">
        <f>IFERROR(__xludf.DUMMYFUNCTION("""COMPUTED_VALUE"""),44712.0)</f>
        <v>44712</v>
      </c>
      <c r="E1374" s="15">
        <f>IFERROR(__xludf.DUMMYFUNCTION("""COMPUTED_VALUE"""),0.36935185185211594)</f>
        <v>0.3693518519</v>
      </c>
      <c r="F1374" s="8" t="str">
        <f>IFERROR(__xludf.DUMMYFUNCTION("""COMPUTED_VALUE"""),"Negative")</f>
        <v>Negative</v>
      </c>
      <c r="G1374" s="16">
        <f>IFERROR(__xludf.DUMMYFUNCTION("""COMPUTED_VALUE"""),3.0)</f>
        <v>3</v>
      </c>
      <c r="H1374" s="8" t="str">
        <f>IFERROR(__xludf.DUMMYFUNCTION("""COMPUTED_VALUE"""),"CRLN")</f>
        <v>CRLN</v>
      </c>
    </row>
    <row r="1375">
      <c r="A1375" s="8" t="str">
        <f>IFERROR(__xludf.DUMMYFUNCTION("""COMPUTED_VALUE"""),"AJ4879")</f>
        <v>AJ4879</v>
      </c>
      <c r="B1375" s="8" t="str">
        <f>IFERROR(__xludf.DUMMYFUNCTION("""COMPUTED_VALUE"""),"RUN-FLMP_2022-05-31_RFR-150")</f>
        <v>RUN-FLMP_2022-05-31_RFR-150</v>
      </c>
      <c r="C1375" s="10">
        <f>VLOOKUP(B1375,'Run Reconcile'!A$2:B1579,2,FALSE)</f>
        <v>44712</v>
      </c>
      <c r="D1375" s="14">
        <f>IFERROR(__xludf.DUMMYFUNCTION("""COMPUTED_VALUE"""),44712.0)</f>
        <v>44712</v>
      </c>
      <c r="E1375" s="15">
        <f>IFERROR(__xludf.DUMMYFUNCTION("""COMPUTED_VALUE"""),0.37302083333270275)</f>
        <v>0.3730208333</v>
      </c>
      <c r="F1375" s="8" t="str">
        <f>IFERROR(__xludf.DUMMYFUNCTION("""COMPUTED_VALUE"""),"Negative")</f>
        <v>Negative</v>
      </c>
      <c r="G1375" s="16">
        <f>IFERROR(__xludf.DUMMYFUNCTION("""COMPUTED_VALUE"""),1.0)</f>
        <v>1</v>
      </c>
      <c r="H1375" s="8" t="str">
        <f>IFERROR(__xludf.DUMMYFUNCTION("""COMPUTED_VALUE"""),"CRLN")</f>
        <v>CRLN</v>
      </c>
    </row>
    <row r="1376">
      <c r="A1376" s="8" t="str">
        <f>IFERROR(__xludf.DUMMYFUNCTION("""COMPUTED_VALUE"""),"AG1050")</f>
        <v>AG1050</v>
      </c>
      <c r="B1376" s="8" t="str">
        <f>IFERROR(__xludf.DUMMYFUNCTION("""COMPUTED_VALUE"""),"RUN-FLMP_2022-05-31_RFR-150")</f>
        <v>RUN-FLMP_2022-05-31_RFR-150</v>
      </c>
      <c r="C1376" s="10">
        <f>VLOOKUP(B1376,'Run Reconcile'!A$2:B1579,2,FALSE)</f>
        <v>44712</v>
      </c>
      <c r="D1376" s="14">
        <f>IFERROR(__xludf.DUMMYFUNCTION("""COMPUTED_VALUE"""),44712.0)</f>
        <v>44712</v>
      </c>
      <c r="E1376" s="15">
        <f>IFERROR(__xludf.DUMMYFUNCTION("""COMPUTED_VALUE"""),0.37927083333488554)</f>
        <v>0.3792708333</v>
      </c>
      <c r="F1376" s="8" t="str">
        <f>IFERROR(__xludf.DUMMYFUNCTION("""COMPUTED_VALUE"""),"Negative")</f>
        <v>Negative</v>
      </c>
      <c r="G1376" s="16">
        <f>IFERROR(__xludf.DUMMYFUNCTION("""COMPUTED_VALUE"""),2.0)</f>
        <v>2</v>
      </c>
      <c r="H1376" s="8" t="str">
        <f>IFERROR(__xludf.DUMMYFUNCTION("""COMPUTED_VALUE"""),"FLSP")</f>
        <v>FLSP</v>
      </c>
    </row>
    <row r="1377">
      <c r="A1377" s="8" t="str">
        <f>IFERROR(__xludf.DUMMYFUNCTION("""COMPUTED_VALUE"""),"AG2002")</f>
        <v>AG2002</v>
      </c>
      <c r="B1377" s="8" t="str">
        <f>IFERROR(__xludf.DUMMYFUNCTION("""COMPUTED_VALUE"""),"RUN-FLMP_2022-05-31_RFR-150")</f>
        <v>RUN-FLMP_2022-05-31_RFR-150</v>
      </c>
      <c r="C1377" s="10">
        <f>VLOOKUP(B1377,'Run Reconcile'!A$2:B1579,2,FALSE)</f>
        <v>44712</v>
      </c>
      <c r="D1377" s="14">
        <f>IFERROR(__xludf.DUMMYFUNCTION("""COMPUTED_VALUE"""),44712.0)</f>
        <v>44712</v>
      </c>
      <c r="E1377" s="15">
        <f>IFERROR(__xludf.DUMMYFUNCTION("""COMPUTED_VALUE"""),0.37956018518525525)</f>
        <v>0.3795601852</v>
      </c>
      <c r="F1377" s="8" t="str">
        <f>IFERROR(__xludf.DUMMYFUNCTION("""COMPUTED_VALUE"""),"Negative")</f>
        <v>Negative</v>
      </c>
      <c r="G1377" s="16">
        <f>IFERROR(__xludf.DUMMYFUNCTION("""COMPUTED_VALUE"""),1.0)</f>
        <v>1</v>
      </c>
      <c r="H1377" s="8" t="str">
        <f>IFERROR(__xludf.DUMMYFUNCTION("""COMPUTED_VALUE"""),"FLSP")</f>
        <v>FLSP</v>
      </c>
    </row>
    <row r="1378">
      <c r="A1378" s="8" t="str">
        <f>IFERROR(__xludf.DUMMYFUNCTION("""COMPUTED_VALUE"""),"AG180")</f>
        <v>AG180</v>
      </c>
      <c r="B1378" s="8" t="str">
        <f>IFERROR(__xludf.DUMMYFUNCTION("""COMPUTED_VALUE"""),"RUN-FLMP_2022-05-31_RFR-150")</f>
        <v>RUN-FLMP_2022-05-31_RFR-150</v>
      </c>
      <c r="C1378" s="10">
        <f>VLOOKUP(B1378,'Run Reconcile'!A$2:B1579,2,FALSE)</f>
        <v>44712</v>
      </c>
      <c r="D1378" s="14">
        <f>IFERROR(__xludf.DUMMYFUNCTION("""COMPUTED_VALUE"""),44712.0)</f>
        <v>44712</v>
      </c>
      <c r="E1378" s="15">
        <f>IFERROR(__xludf.DUMMYFUNCTION("""COMPUTED_VALUE"""),0.3808912037020491)</f>
        <v>0.3808912037</v>
      </c>
      <c r="F1378" s="8" t="str">
        <f>IFERROR(__xludf.DUMMYFUNCTION("""COMPUTED_VALUE"""),"Negative")</f>
        <v>Negative</v>
      </c>
      <c r="G1378" s="16">
        <f>IFERROR(__xludf.DUMMYFUNCTION("""COMPUTED_VALUE"""),2.0)</f>
        <v>2</v>
      </c>
      <c r="H1378" s="8" t="str">
        <f>IFERROR(__xludf.DUMMYFUNCTION("""COMPUTED_VALUE"""),"CRLN")</f>
        <v>CRLN</v>
      </c>
    </row>
    <row r="1379">
      <c r="A1379" s="8" t="str">
        <f>IFERROR(__xludf.DUMMYFUNCTION("""COMPUTED_VALUE"""),"MAX386")</f>
        <v>MAX386</v>
      </c>
      <c r="B1379" s="8" t="str">
        <f>IFERROR(__xludf.DUMMYFUNCTION("""COMPUTED_VALUE"""),"RUN-FLMP_2022-06-06_RFR-152")</f>
        <v>RUN-FLMP_2022-06-06_RFR-152</v>
      </c>
      <c r="C1379" s="10">
        <f>VLOOKUP(B1379,'Run Reconcile'!A$2:B1579,2,FALSE)</f>
        <v>44718</v>
      </c>
      <c r="D1379" s="14">
        <f>IFERROR(__xludf.DUMMYFUNCTION("""COMPUTED_VALUE"""),44718.0)</f>
        <v>44718</v>
      </c>
      <c r="E1379" s="15">
        <f>IFERROR(__xludf.DUMMYFUNCTION("""COMPUTED_VALUE"""),0.369976851852698)</f>
        <v>0.3699768519</v>
      </c>
      <c r="F1379" s="8" t="str">
        <f>IFERROR(__xludf.DUMMYFUNCTION("""COMPUTED_VALUE"""),"Negative")</f>
        <v>Negative</v>
      </c>
      <c r="G1379" s="16">
        <f>IFERROR(__xludf.DUMMYFUNCTION("""COMPUTED_VALUE"""),1.0)</f>
        <v>1</v>
      </c>
      <c r="H1379" s="8" t="str">
        <f>IFERROR(__xludf.DUMMYFUNCTION("""COMPUTED_VALUE"""),"FLSP")</f>
        <v>FLSP</v>
      </c>
    </row>
    <row r="1380">
      <c r="A1380" s="8" t="str">
        <f>IFERROR(__xludf.DUMMYFUNCTION("""COMPUTED_VALUE"""),"MAX419")</f>
        <v>MAX419</v>
      </c>
      <c r="B1380" s="8" t="str">
        <f>IFERROR(__xludf.DUMMYFUNCTION("""COMPUTED_VALUE"""),"RUN-FLMP_2022-06-06_RFR-152")</f>
        <v>RUN-FLMP_2022-06-06_RFR-152</v>
      </c>
      <c r="C1380" s="10">
        <f>VLOOKUP(B1380,'Run Reconcile'!A$2:B1579,2,FALSE)</f>
        <v>44718</v>
      </c>
      <c r="D1380" s="14">
        <f>IFERROR(__xludf.DUMMYFUNCTION("""COMPUTED_VALUE"""),44718.0)</f>
        <v>44718</v>
      </c>
      <c r="E1380" s="15">
        <f>IFERROR(__xludf.DUMMYFUNCTION("""COMPUTED_VALUE"""),0.3754398148157634)</f>
        <v>0.3754398148</v>
      </c>
      <c r="F1380" s="8" t="str">
        <f>IFERROR(__xludf.DUMMYFUNCTION("""COMPUTED_VALUE"""),"Negative")</f>
        <v>Negative</v>
      </c>
      <c r="G1380" s="16">
        <f>IFERROR(__xludf.DUMMYFUNCTION("""COMPUTED_VALUE"""),4.0)</f>
        <v>4</v>
      </c>
      <c r="H1380" s="8" t="str">
        <f>IFERROR(__xludf.DUMMYFUNCTION("""COMPUTED_VALUE"""),"FLSP")</f>
        <v>FLSP</v>
      </c>
    </row>
    <row r="1381">
      <c r="A1381" s="8" t="str">
        <f>IFERROR(__xludf.DUMMYFUNCTION("""COMPUTED_VALUE"""),"MA67")</f>
        <v>MA67</v>
      </c>
      <c r="B1381" s="8" t="str">
        <f>IFERROR(__xludf.DUMMYFUNCTION("""COMPUTED_VALUE"""),"RUN-FLMP_2022-06-06_RFR-152")</f>
        <v>RUN-FLMP_2022-06-06_RFR-152</v>
      </c>
      <c r="C1381" s="10">
        <f>VLOOKUP(B1381,'Run Reconcile'!A$2:B1579,2,FALSE)</f>
        <v>44718</v>
      </c>
      <c r="D1381" s="14">
        <f>IFERROR(__xludf.DUMMYFUNCTION("""COMPUTED_VALUE"""),44718.0)</f>
        <v>44718</v>
      </c>
      <c r="E1381" s="15">
        <f>IFERROR(__xludf.DUMMYFUNCTION("""COMPUTED_VALUE"""),0.38951388888744987)</f>
        <v>0.3895138889</v>
      </c>
      <c r="F1381" s="8" t="str">
        <f>IFERROR(__xludf.DUMMYFUNCTION("""COMPUTED_VALUE"""),"Negative")</f>
        <v>Negative</v>
      </c>
      <c r="G1381" s="16">
        <f>IFERROR(__xludf.DUMMYFUNCTION("""COMPUTED_VALUE"""),1.0)</f>
        <v>1</v>
      </c>
      <c r="H1381" s="8" t="str">
        <f>IFERROR(__xludf.DUMMYFUNCTION("""COMPUTED_VALUE"""),"FLSP")</f>
        <v>FLSP</v>
      </c>
    </row>
    <row r="1382">
      <c r="A1382" s="8" t="str">
        <f>IFERROR(__xludf.DUMMYFUNCTION("""COMPUTED_VALUE"""),"MA6")</f>
        <v>MA6</v>
      </c>
      <c r="B1382" s="8" t="str">
        <f>IFERROR(__xludf.DUMMYFUNCTION("""COMPUTED_VALUE"""),"RUN-FLMP_2022-06-06_RFR-152")</f>
        <v>RUN-FLMP_2022-06-06_RFR-152</v>
      </c>
      <c r="C1382" s="10">
        <f>VLOOKUP(B1382,'Run Reconcile'!A$2:B1579,2,FALSE)</f>
        <v>44718</v>
      </c>
      <c r="D1382" s="14">
        <f>IFERROR(__xludf.DUMMYFUNCTION("""COMPUTED_VALUE"""),44718.0)</f>
        <v>44718</v>
      </c>
      <c r="E1382" s="15">
        <f>IFERROR(__xludf.DUMMYFUNCTION("""COMPUTED_VALUE"""),0.3939583333340124)</f>
        <v>0.3939583333</v>
      </c>
      <c r="F1382" s="8" t="str">
        <f>IFERROR(__xludf.DUMMYFUNCTION("""COMPUTED_VALUE"""),"Negative")</f>
        <v>Negative</v>
      </c>
      <c r="G1382" s="16">
        <f>IFERROR(__xludf.DUMMYFUNCTION("""COMPUTED_VALUE"""),1.0)</f>
        <v>1</v>
      </c>
      <c r="H1382" s="8" t="str">
        <f>IFERROR(__xludf.DUMMYFUNCTION("""COMPUTED_VALUE"""),"FLSP")</f>
        <v>FLSP</v>
      </c>
    </row>
    <row r="1383">
      <c r="A1383" s="8" t="str">
        <f>IFERROR(__xludf.DUMMYFUNCTION("""COMPUTED_VALUE"""),"MA45")</f>
        <v>MA45</v>
      </c>
      <c r="B1383" s="8" t="str">
        <f>IFERROR(__xludf.DUMMYFUNCTION("""COMPUTED_VALUE"""),"RUN-FLMP_2022-06-09_APS-092")</f>
        <v>RUN-FLMP_2022-06-09_APS-092</v>
      </c>
      <c r="C1383" s="10">
        <f>VLOOKUP(B1383,'Run Reconcile'!A$2:B1579,2,FALSE)</f>
        <v>44721</v>
      </c>
      <c r="D1383" s="14">
        <f>IFERROR(__xludf.DUMMYFUNCTION("""COMPUTED_VALUE"""),44721.0)</f>
        <v>44721</v>
      </c>
      <c r="E1383" s="15">
        <f>IFERROR(__xludf.DUMMYFUNCTION("""COMPUTED_VALUE"""),0.3963773148134351)</f>
        <v>0.3963773148</v>
      </c>
      <c r="F1383" s="8" t="str">
        <f>IFERROR(__xludf.DUMMYFUNCTION("""COMPUTED_VALUE"""),"Negative")</f>
        <v>Negative</v>
      </c>
      <c r="G1383" s="16">
        <f>IFERROR(__xludf.DUMMYFUNCTION("""COMPUTED_VALUE"""),1.0)</f>
        <v>1</v>
      </c>
      <c r="H1383" s="8" t="str">
        <f>IFERROR(__xludf.DUMMYFUNCTION("""COMPUTED_VALUE"""),"FLSP")</f>
        <v>FLSP</v>
      </c>
    </row>
    <row r="1384">
      <c r="A1384" s="8" t="str">
        <f>IFERROR(__xludf.DUMMYFUNCTION("""COMPUTED_VALUE"""),"MA662")</f>
        <v>MA662</v>
      </c>
      <c r="B1384" s="8" t="str">
        <f>IFERROR(__xludf.DUMMYFUNCTION("""COMPUTED_VALUE"""),"RUN-FLMP_2022-06-09_APS-092")</f>
        <v>RUN-FLMP_2022-06-09_APS-092</v>
      </c>
      <c r="C1384" s="10">
        <f>VLOOKUP(B1384,'Run Reconcile'!A$2:B1579,2,FALSE)</f>
        <v>44721</v>
      </c>
      <c r="D1384" s="14">
        <f>IFERROR(__xludf.DUMMYFUNCTION("""COMPUTED_VALUE"""),44721.0)</f>
        <v>44721</v>
      </c>
      <c r="E1384" s="15">
        <f>IFERROR(__xludf.DUMMYFUNCTION("""COMPUTED_VALUE"""),0.4257754629616102)</f>
        <v>0.425775463</v>
      </c>
      <c r="F1384" s="8" t="str">
        <f>IFERROR(__xludf.DUMMYFUNCTION("""COMPUTED_VALUE"""),"Negative")</f>
        <v>Negative</v>
      </c>
      <c r="G1384" s="16">
        <f>IFERROR(__xludf.DUMMYFUNCTION("""COMPUTED_VALUE"""),4.0)</f>
        <v>4</v>
      </c>
      <c r="H1384" s="8" t="str">
        <f>IFERROR(__xludf.DUMMYFUNCTION("""COMPUTED_VALUE"""),"FLSP")</f>
        <v>FLSP</v>
      </c>
    </row>
    <row r="1385">
      <c r="A1385" s="8" t="str">
        <f>IFERROR(__xludf.DUMMYFUNCTION("""COMPUTED_VALUE"""),"MAX384")</f>
        <v>MAX384</v>
      </c>
      <c r="B1385" s="8" t="str">
        <f>IFERROR(__xludf.DUMMYFUNCTION("""COMPUTED_VALUE"""),"RUN-FLMP_2022-06-09_APS-092")</f>
        <v>RUN-FLMP_2022-06-09_APS-092</v>
      </c>
      <c r="C1385" s="10">
        <f>VLOOKUP(B1385,'Run Reconcile'!A$2:B1579,2,FALSE)</f>
        <v>44721</v>
      </c>
      <c r="D1385" s="14">
        <f>IFERROR(__xludf.DUMMYFUNCTION("""COMPUTED_VALUE"""),44721.0)</f>
        <v>44721</v>
      </c>
      <c r="E1385" s="15">
        <f>IFERROR(__xludf.DUMMYFUNCTION("""COMPUTED_VALUE"""),0.4259837962963502)</f>
        <v>0.4259837963</v>
      </c>
      <c r="F1385" s="8" t="str">
        <f>IFERROR(__xludf.DUMMYFUNCTION("""COMPUTED_VALUE"""),"Negative")</f>
        <v>Negative</v>
      </c>
      <c r="G1385" s="16">
        <f>IFERROR(__xludf.DUMMYFUNCTION("""COMPUTED_VALUE"""),1.0)</f>
        <v>1</v>
      </c>
      <c r="H1385" s="8" t="str">
        <f>IFERROR(__xludf.DUMMYFUNCTION("""COMPUTED_VALUE"""),"FLSP")</f>
        <v>FLSP</v>
      </c>
    </row>
    <row r="1386">
      <c r="A1386" s="8" t="str">
        <f>IFERROR(__xludf.DUMMYFUNCTION("""COMPUTED_VALUE"""),"MAX379")</f>
        <v>MAX379</v>
      </c>
      <c r="B1386" s="8" t="str">
        <f>IFERROR(__xludf.DUMMYFUNCTION("""COMPUTED_VALUE"""),"RUN-FLMP_2022-06-13_APS-093")</f>
        <v>RUN-FLMP_2022-06-13_APS-093</v>
      </c>
      <c r="C1386" s="10">
        <f>VLOOKUP(B1386,'Run Reconcile'!A$2:B1579,2,FALSE)</f>
        <v>44725</v>
      </c>
      <c r="D1386" s="14">
        <f>IFERROR(__xludf.DUMMYFUNCTION("""COMPUTED_VALUE"""),44725.0)</f>
        <v>44725</v>
      </c>
      <c r="E1386" s="15">
        <f>IFERROR(__xludf.DUMMYFUNCTION("""COMPUTED_VALUE"""),0.37322916666744277)</f>
        <v>0.3732291667</v>
      </c>
      <c r="F1386" s="8" t="str">
        <f>IFERROR(__xludf.DUMMYFUNCTION("""COMPUTED_VALUE"""),"Negative")</f>
        <v>Negative</v>
      </c>
      <c r="G1386" s="16">
        <f>IFERROR(__xludf.DUMMYFUNCTION("""COMPUTED_VALUE"""),1.0)</f>
        <v>1</v>
      </c>
      <c r="H1386" s="8" t="str">
        <f>IFERROR(__xludf.DUMMYFUNCTION("""COMPUTED_VALUE"""),"FLSP")</f>
        <v>FLSP</v>
      </c>
    </row>
    <row r="1387">
      <c r="A1387" s="8" t="str">
        <f>IFERROR(__xludf.DUMMYFUNCTION("""COMPUTED_VALUE"""),"MAX282")</f>
        <v>MAX282</v>
      </c>
      <c r="B1387" s="8" t="str">
        <f>IFERROR(__xludf.DUMMYFUNCTION("""COMPUTED_VALUE"""),"RUN-FLMP_2022-06-13_APS-093")</f>
        <v>RUN-FLMP_2022-06-13_APS-093</v>
      </c>
      <c r="C1387" s="10">
        <f>VLOOKUP(B1387,'Run Reconcile'!A$2:B1579,2,FALSE)</f>
        <v>44725</v>
      </c>
      <c r="D1387" s="14">
        <f>IFERROR(__xludf.DUMMYFUNCTION("""COMPUTED_VALUE"""),44725.0)</f>
        <v>44725</v>
      </c>
      <c r="E1387" s="15">
        <f>IFERROR(__xludf.DUMMYFUNCTION("""COMPUTED_VALUE"""),0.390763888888614)</f>
        <v>0.3907638889</v>
      </c>
      <c r="F1387" s="8" t="str">
        <f>IFERROR(__xludf.DUMMYFUNCTION("""COMPUTED_VALUE"""),"Negative")</f>
        <v>Negative</v>
      </c>
      <c r="G1387" s="16">
        <f>IFERROR(__xludf.DUMMYFUNCTION("""COMPUTED_VALUE"""),1.0)</f>
        <v>1</v>
      </c>
      <c r="H1387" s="8" t="str">
        <f>IFERROR(__xludf.DUMMYFUNCTION("""COMPUTED_VALUE"""),"FLSP")</f>
        <v>FLSP</v>
      </c>
    </row>
    <row r="1388">
      <c r="A1388" s="8" t="str">
        <f>IFERROR(__xludf.DUMMYFUNCTION("""COMPUTED_VALUE"""),"MAX466")</f>
        <v>MAX466</v>
      </c>
      <c r="B1388" s="8" t="str">
        <f>IFERROR(__xludf.DUMMYFUNCTION("""COMPUTED_VALUE"""),"RUN-FLMP_2022-06-16_APS-094")</f>
        <v>RUN-FLMP_2022-06-16_APS-094</v>
      </c>
      <c r="C1388" s="10">
        <f>VLOOKUP(B1388,'Run Reconcile'!A$2:B1579,2,FALSE)</f>
        <v>44728</v>
      </c>
      <c r="D1388" s="14">
        <f>IFERROR(__xludf.DUMMYFUNCTION("""COMPUTED_VALUE"""),44728.0)</f>
        <v>44728</v>
      </c>
      <c r="E1388" s="15">
        <f>IFERROR(__xludf.DUMMYFUNCTION("""COMPUTED_VALUE"""),0.37545138888890506)</f>
        <v>0.3754513889</v>
      </c>
      <c r="F1388" s="8" t="str">
        <f>IFERROR(__xludf.DUMMYFUNCTION("""COMPUTED_VALUE"""),"Negative")</f>
        <v>Negative</v>
      </c>
      <c r="G1388" s="16">
        <f>IFERROR(__xludf.DUMMYFUNCTION("""COMPUTED_VALUE"""),1.0)</f>
        <v>1</v>
      </c>
      <c r="H1388" s="8" t="str">
        <f>IFERROR(__xludf.DUMMYFUNCTION("""COMPUTED_VALUE"""),"FLSP")</f>
        <v>FLSP</v>
      </c>
    </row>
    <row r="1389">
      <c r="A1389" s="8" t="str">
        <f>IFERROR(__xludf.DUMMYFUNCTION("""COMPUTED_VALUE"""),"FLM270")</f>
        <v>FLM270</v>
      </c>
      <c r="B1389" s="8" t="str">
        <f>IFERROR(__xludf.DUMMYFUNCTION("""COMPUTED_VALUE"""),"RUN-FLMP_2022-06-16_APS-094")</f>
        <v>RUN-FLMP_2022-06-16_APS-094</v>
      </c>
      <c r="C1389" s="10">
        <f>VLOOKUP(B1389,'Run Reconcile'!A$2:B1579,2,FALSE)</f>
        <v>44728</v>
      </c>
      <c r="D1389" s="14">
        <f>IFERROR(__xludf.DUMMYFUNCTION("""COMPUTED_VALUE"""),44728.0)</f>
        <v>44728</v>
      </c>
      <c r="E1389" s="15">
        <f>IFERROR(__xludf.DUMMYFUNCTION("""COMPUTED_VALUE"""),0.37657407407459687)</f>
        <v>0.3765740741</v>
      </c>
      <c r="F1389" s="8" t="str">
        <f>IFERROR(__xludf.DUMMYFUNCTION("""COMPUTED_VALUE"""),"Negative")</f>
        <v>Negative</v>
      </c>
      <c r="G1389" s="16">
        <f>IFERROR(__xludf.DUMMYFUNCTION("""COMPUTED_VALUE"""),3.0)</f>
        <v>3</v>
      </c>
      <c r="H1389" s="8" t="str">
        <f>IFERROR(__xludf.DUMMYFUNCTION("""COMPUTED_VALUE"""),"FLSP")</f>
        <v>FLSP</v>
      </c>
    </row>
    <row r="1390">
      <c r="A1390" s="8" t="str">
        <f>IFERROR(__xludf.DUMMYFUNCTION("""COMPUTED_VALUE"""),"MA425")</f>
        <v>MA425</v>
      </c>
      <c r="B1390" s="8" t="str">
        <f>IFERROR(__xludf.DUMMYFUNCTION("""COMPUTED_VALUE"""),"RUN-FLMP_2022-06-17_APS-095")</f>
        <v>RUN-FLMP_2022-06-17_APS-095</v>
      </c>
      <c r="C1390" s="10">
        <f>VLOOKUP(B1390,'Run Reconcile'!A$2:B1579,2,FALSE)</f>
        <v>44729</v>
      </c>
      <c r="D1390" s="14">
        <f>IFERROR(__xludf.DUMMYFUNCTION("""COMPUTED_VALUE"""),44729.0)</f>
        <v>44729</v>
      </c>
      <c r="E1390" s="15">
        <f>IFERROR(__xludf.DUMMYFUNCTION("""COMPUTED_VALUE"""),0.3538888888906513)</f>
        <v>0.3538888889</v>
      </c>
      <c r="F1390" s="8" t="str">
        <f>IFERROR(__xludf.DUMMYFUNCTION("""COMPUTED_VALUE"""),"Negative")</f>
        <v>Negative</v>
      </c>
      <c r="G1390" s="16">
        <f>IFERROR(__xludf.DUMMYFUNCTION("""COMPUTED_VALUE"""),1.0)</f>
        <v>1</v>
      </c>
      <c r="H1390" s="8" t="str">
        <f>IFERROR(__xludf.DUMMYFUNCTION("""COMPUTED_VALUE"""),"FLSP")</f>
        <v>FLSP</v>
      </c>
    </row>
    <row r="1391">
      <c r="A1391" s="8" t="str">
        <f>IFERROR(__xludf.DUMMYFUNCTION("""COMPUTED_VALUE"""),"MA765")</f>
        <v>MA765</v>
      </c>
      <c r="B1391" s="8" t="str">
        <f>IFERROR(__xludf.DUMMYFUNCTION("""COMPUTED_VALUE"""),"RUN-FLMP_2022-06-20_APS-096")</f>
        <v>RUN-FLMP_2022-06-20_APS-096</v>
      </c>
      <c r="C1391" s="10">
        <f>VLOOKUP(B1391,'Run Reconcile'!A$2:B1579,2,FALSE)</f>
        <v>44732</v>
      </c>
      <c r="D1391" s="14">
        <f>IFERROR(__xludf.DUMMYFUNCTION("""COMPUTED_VALUE"""),44732.0)</f>
        <v>44732</v>
      </c>
      <c r="E1391" s="15">
        <f>IFERROR(__xludf.DUMMYFUNCTION("""COMPUTED_VALUE"""),0.36771990740817273)</f>
        <v>0.3677199074</v>
      </c>
      <c r="F1391" s="8" t="str">
        <f>IFERROR(__xludf.DUMMYFUNCTION("""COMPUTED_VALUE"""),"Negative")</f>
        <v>Negative</v>
      </c>
      <c r="G1391" s="16">
        <f>IFERROR(__xludf.DUMMYFUNCTION("""COMPUTED_VALUE"""),4.0)</f>
        <v>4</v>
      </c>
      <c r="H1391" s="8" t="str">
        <f>IFERROR(__xludf.DUMMYFUNCTION("""COMPUTED_VALUE"""),"FLSP")</f>
        <v>FLSP</v>
      </c>
    </row>
    <row r="1392">
      <c r="A1392" s="8" t="str">
        <f>IFERROR(__xludf.DUMMYFUNCTION("""COMPUTED_VALUE"""),"MA665")</f>
        <v>MA665</v>
      </c>
      <c r="B1392" s="8" t="str">
        <f>IFERROR(__xludf.DUMMYFUNCTION("""COMPUTED_VALUE"""),"RUN-FLMP_2022-06-20_APS-096")</f>
        <v>RUN-FLMP_2022-06-20_APS-096</v>
      </c>
      <c r="C1392" s="10">
        <f>VLOOKUP(B1392,'Run Reconcile'!A$2:B1579,2,FALSE)</f>
        <v>44732</v>
      </c>
      <c r="D1392" s="14">
        <f>IFERROR(__xludf.DUMMYFUNCTION("""COMPUTED_VALUE"""),44732.0)</f>
        <v>44732</v>
      </c>
      <c r="E1392" s="15">
        <f>IFERROR(__xludf.DUMMYFUNCTION("""COMPUTED_VALUE"""),0.37130787036949187)</f>
        <v>0.3713078704</v>
      </c>
      <c r="F1392" s="8" t="str">
        <f>IFERROR(__xludf.DUMMYFUNCTION("""COMPUTED_VALUE"""),"Negative")</f>
        <v>Negative</v>
      </c>
      <c r="G1392" s="16">
        <f>IFERROR(__xludf.DUMMYFUNCTION("""COMPUTED_VALUE"""),1.0)</f>
        <v>1</v>
      </c>
      <c r="H1392" s="8" t="str">
        <f>IFERROR(__xludf.DUMMYFUNCTION("""COMPUTED_VALUE"""),"FLSP")</f>
        <v>FLSP</v>
      </c>
    </row>
    <row r="1393">
      <c r="A1393" s="8" t="str">
        <f>IFERROR(__xludf.DUMMYFUNCTION("""COMPUTED_VALUE"""),"MAX269")</f>
        <v>MAX269</v>
      </c>
      <c r="B1393" s="8" t="str">
        <f>IFERROR(__xludf.DUMMYFUNCTION("""COMPUTED_VALUE"""),"RUN-FLMP_2022-06-23_APS-097")</f>
        <v>RUN-FLMP_2022-06-23_APS-097</v>
      </c>
      <c r="C1393" s="10">
        <f>VLOOKUP(B1393,'Run Reconcile'!A$2:B1579,2,FALSE)</f>
        <v>44735</v>
      </c>
      <c r="D1393" s="14">
        <f>IFERROR(__xludf.DUMMYFUNCTION("""COMPUTED_VALUE"""),44735.0)</f>
        <v>44735</v>
      </c>
      <c r="E1393" s="15">
        <f>IFERROR(__xludf.DUMMYFUNCTION("""COMPUTED_VALUE"""),0.3645254629627743)</f>
        <v>0.364525463</v>
      </c>
      <c r="F1393" s="8" t="str">
        <f>IFERROR(__xludf.DUMMYFUNCTION("""COMPUTED_VALUE"""),"Negative")</f>
        <v>Negative</v>
      </c>
      <c r="G1393" s="16">
        <f>IFERROR(__xludf.DUMMYFUNCTION("""COMPUTED_VALUE"""),4.0)</f>
        <v>4</v>
      </c>
      <c r="H1393" s="8" t="str">
        <f>IFERROR(__xludf.DUMMYFUNCTION("""COMPUTED_VALUE"""),"FLSP")</f>
        <v>FLSP</v>
      </c>
    </row>
    <row r="1394">
      <c r="A1394" s="8" t="str">
        <f>IFERROR(__xludf.DUMMYFUNCTION("""COMPUTED_VALUE"""),"MA27")</f>
        <v>MA27</v>
      </c>
      <c r="B1394" s="8" t="str">
        <f>IFERROR(__xludf.DUMMYFUNCTION("""COMPUTED_VALUE"""),"RUN-FLMP_2022-06-27_APS-098")</f>
        <v>RUN-FLMP_2022-06-27_APS-098</v>
      </c>
      <c r="C1394" s="10">
        <f>VLOOKUP(B1394,'Run Reconcile'!A$2:B1579,2,FALSE)</f>
        <v>44739</v>
      </c>
      <c r="D1394" s="14">
        <f>IFERROR(__xludf.DUMMYFUNCTION("""COMPUTED_VALUE"""),44739.0)</f>
        <v>44739</v>
      </c>
      <c r="E1394" s="15">
        <f>IFERROR(__xludf.DUMMYFUNCTION("""COMPUTED_VALUE"""),0.3675578703696374)</f>
        <v>0.3675578704</v>
      </c>
      <c r="F1394" s="8" t="str">
        <f>IFERROR(__xludf.DUMMYFUNCTION("""COMPUTED_VALUE"""),"Negative")</f>
        <v>Negative</v>
      </c>
      <c r="G1394" s="16">
        <f>IFERROR(__xludf.DUMMYFUNCTION("""COMPUTED_VALUE"""),1.0)</f>
        <v>1</v>
      </c>
      <c r="H1394" s="8" t="str">
        <f>IFERROR(__xludf.DUMMYFUNCTION("""COMPUTED_VALUE"""),"FLSP")</f>
        <v>FLSP</v>
      </c>
    </row>
    <row r="1395">
      <c r="A1395" s="8" t="str">
        <f>IFERROR(__xludf.DUMMYFUNCTION("""COMPUTED_VALUE"""),"FM2020")</f>
        <v>FM2020</v>
      </c>
      <c r="B1395" s="8" t="str">
        <f>IFERROR(__xludf.DUMMYFUNCTION("""COMPUTED_VALUE"""),"RUN-FLMP_2022-06-29_APS-099")</f>
        <v>RUN-FLMP_2022-06-29_APS-099</v>
      </c>
      <c r="C1395" s="10">
        <f>VLOOKUP(B1395,'Run Reconcile'!A$2:B1579,2,FALSE)</f>
        <v>44741</v>
      </c>
      <c r="D1395" s="14">
        <f>IFERROR(__xludf.DUMMYFUNCTION("""COMPUTED_VALUE"""),44741.0)</f>
        <v>44741</v>
      </c>
      <c r="E1395" s="15">
        <f>IFERROR(__xludf.DUMMYFUNCTION("""COMPUTED_VALUE"""),0.6211111111115315)</f>
        <v>0.6211111111</v>
      </c>
      <c r="F1395" s="8" t="str">
        <f>IFERROR(__xludf.DUMMYFUNCTION("""COMPUTED_VALUE"""),"Negative")</f>
        <v>Negative</v>
      </c>
      <c r="G1395" s="16">
        <f>IFERROR(__xludf.DUMMYFUNCTION("""COMPUTED_VALUE"""),2.0)</f>
        <v>2</v>
      </c>
      <c r="H1395" s="8" t="str">
        <f>IFERROR(__xludf.DUMMYFUNCTION("""COMPUTED_VALUE"""),"FLSP")</f>
        <v>FLSP</v>
      </c>
    </row>
    <row r="1396">
      <c r="A1396" s="8" t="str">
        <f>IFERROR(__xludf.DUMMYFUNCTION("""COMPUTED_VALUE"""),"MAX292")</f>
        <v>MAX292</v>
      </c>
      <c r="B1396" s="8" t="str">
        <f>IFERROR(__xludf.DUMMYFUNCTION("""COMPUTED_VALUE"""),"RUN-FLMP_2022-06-30_APS-100")</f>
        <v>RUN-FLMP_2022-06-30_APS-100</v>
      </c>
      <c r="C1396" s="10">
        <f>VLOOKUP(B1396,'Run Reconcile'!A$2:B1579,2,FALSE)</f>
        <v>44742</v>
      </c>
      <c r="D1396" s="14">
        <f>IFERROR(__xludf.DUMMYFUNCTION("""COMPUTED_VALUE"""),44742.0)</f>
        <v>44742</v>
      </c>
      <c r="E1396" s="15">
        <f>IFERROR(__xludf.DUMMYFUNCTION("""COMPUTED_VALUE"""),0.3515162037037953)</f>
        <v>0.3515162037</v>
      </c>
      <c r="F1396" s="8" t="str">
        <f>IFERROR(__xludf.DUMMYFUNCTION("""COMPUTED_VALUE"""),"Negative")</f>
        <v>Negative</v>
      </c>
      <c r="G1396" s="16">
        <f>IFERROR(__xludf.DUMMYFUNCTION("""COMPUTED_VALUE"""),1.0)</f>
        <v>1</v>
      </c>
      <c r="H1396" s="8" t="str">
        <f>IFERROR(__xludf.DUMMYFUNCTION("""COMPUTED_VALUE"""),"FLSP")</f>
        <v>FLSP</v>
      </c>
    </row>
    <row r="1397">
      <c r="A1397" s="8" t="str">
        <f>IFERROR(__xludf.DUMMYFUNCTION("""COMPUTED_VALUE"""),"MAX440")</f>
        <v>MAX440</v>
      </c>
      <c r="B1397" s="8" t="str">
        <f>IFERROR(__xludf.DUMMYFUNCTION("""COMPUTED_VALUE"""),"RUN-FLMP_2022-07-18_APS-101")</f>
        <v>RUN-FLMP_2022-07-18_APS-101</v>
      </c>
      <c r="C1397" s="10">
        <f>VLOOKUP(B1397,'Run Reconcile'!A$2:B1579,2,FALSE)</f>
        <v>44760</v>
      </c>
      <c r="D1397" s="14">
        <f>IFERROR(__xludf.DUMMYFUNCTION("""COMPUTED_VALUE"""),44760.0)</f>
        <v>44760</v>
      </c>
      <c r="E1397" s="15">
        <f>IFERROR(__xludf.DUMMYFUNCTION("""COMPUTED_VALUE"""),0.36712962963065365)</f>
        <v>0.3671296296</v>
      </c>
      <c r="F1397" s="8" t="str">
        <f>IFERROR(__xludf.DUMMYFUNCTION("""COMPUTED_VALUE"""),"Negative")</f>
        <v>Negative</v>
      </c>
      <c r="G1397" s="16">
        <f>IFERROR(__xludf.DUMMYFUNCTION("""COMPUTED_VALUE"""),4.0)</f>
        <v>4</v>
      </c>
      <c r="H1397" s="8" t="str">
        <f>IFERROR(__xludf.DUMMYFUNCTION("""COMPUTED_VALUE"""),"FLSP")</f>
        <v>FLSP</v>
      </c>
    </row>
    <row r="1398">
      <c r="A1398" s="8" t="str">
        <f>IFERROR(__xludf.DUMMYFUNCTION("""COMPUTED_VALUE"""),"MA579")</f>
        <v>MA579</v>
      </c>
      <c r="B1398" s="8" t="str">
        <f>IFERROR(__xludf.DUMMYFUNCTION("""COMPUTED_VALUE"""),"RUN-FLMP_2022-07-18_APS-101")</f>
        <v>RUN-FLMP_2022-07-18_APS-101</v>
      </c>
      <c r="C1398" s="10">
        <f>VLOOKUP(B1398,'Run Reconcile'!A$2:B1579,2,FALSE)</f>
        <v>44760</v>
      </c>
      <c r="D1398" s="14">
        <f>IFERROR(__xludf.DUMMYFUNCTION("""COMPUTED_VALUE"""),44760.0)</f>
        <v>44760</v>
      </c>
      <c r="E1398" s="15">
        <f>IFERROR(__xludf.DUMMYFUNCTION("""COMPUTED_VALUE"""),0.3768518518518249)</f>
        <v>0.3768518519</v>
      </c>
      <c r="F1398" s="8" t="str">
        <f>IFERROR(__xludf.DUMMYFUNCTION("""COMPUTED_VALUE"""),"Negative")</f>
        <v>Negative</v>
      </c>
      <c r="G1398" s="16">
        <f>IFERROR(__xludf.DUMMYFUNCTION("""COMPUTED_VALUE"""),1.0)</f>
        <v>1</v>
      </c>
      <c r="H1398" s="8" t="str">
        <f>IFERROR(__xludf.DUMMYFUNCTION("""COMPUTED_VALUE"""),"FLSP")</f>
        <v>FLSP</v>
      </c>
    </row>
    <row r="1399">
      <c r="A1399" s="8" t="str">
        <f>IFERROR(__xludf.DUMMYFUNCTION("""COMPUTED_VALUE"""),"FM4498")</f>
        <v>FM4498</v>
      </c>
      <c r="B1399" s="8" t="str">
        <f>IFERROR(__xludf.DUMMYFUNCTION("""COMPUTED_VALUE"""),"RUN-FLMP_2022-07-21_APS-102")</f>
        <v>RUN-FLMP_2022-07-21_APS-102</v>
      </c>
      <c r="C1399" s="10">
        <f>VLOOKUP(B1399,'Run Reconcile'!A$2:B1579,2,FALSE)</f>
        <v>44763</v>
      </c>
      <c r="D1399" s="14">
        <f>IFERROR(__xludf.DUMMYFUNCTION("""COMPUTED_VALUE"""),44763.0)</f>
        <v>44763</v>
      </c>
      <c r="E1399" s="15">
        <f>IFERROR(__xludf.DUMMYFUNCTION("""COMPUTED_VALUE"""),0.3737615740756155)</f>
        <v>0.3737615741</v>
      </c>
      <c r="F1399" s="8" t="str">
        <f>IFERROR(__xludf.DUMMYFUNCTION("""COMPUTED_VALUE"""),"Negative")</f>
        <v>Negative</v>
      </c>
      <c r="G1399" s="16">
        <f>IFERROR(__xludf.DUMMYFUNCTION("""COMPUTED_VALUE"""),1.0)</f>
        <v>1</v>
      </c>
      <c r="H1399" s="8" t="str">
        <f>IFERROR(__xludf.DUMMYFUNCTION("""COMPUTED_VALUE"""),"FLSP")</f>
        <v>FLSP</v>
      </c>
    </row>
    <row r="1400">
      <c r="A1400" s="8" t="str">
        <f>IFERROR(__xludf.DUMMYFUNCTION("""COMPUTED_VALUE"""),"FM4493")</f>
        <v>FM4493</v>
      </c>
      <c r="B1400" s="8" t="str">
        <f>IFERROR(__xludf.DUMMYFUNCTION("""COMPUTED_VALUE"""),"RUN-FLMP_2022-07-25_APS-103")</f>
        <v>RUN-FLMP_2022-07-25_APS-103</v>
      </c>
      <c r="C1400" s="10">
        <f>VLOOKUP(B1400,'Run Reconcile'!A$2:B1579,2,FALSE)</f>
        <v>44767</v>
      </c>
      <c r="D1400" s="14">
        <f>IFERROR(__xludf.DUMMYFUNCTION("""COMPUTED_VALUE"""),44767.0)</f>
        <v>44767</v>
      </c>
      <c r="E1400" s="15">
        <f>IFERROR(__xludf.DUMMYFUNCTION("""COMPUTED_VALUE"""),0.37393518518365454)</f>
        <v>0.3739351852</v>
      </c>
      <c r="F1400" s="8" t="str">
        <f>IFERROR(__xludf.DUMMYFUNCTION("""COMPUTED_VALUE"""),"Negative")</f>
        <v>Negative</v>
      </c>
      <c r="G1400" s="16">
        <f>IFERROR(__xludf.DUMMYFUNCTION("""COMPUTED_VALUE"""),1.0)</f>
        <v>1</v>
      </c>
      <c r="H1400" s="8" t="str">
        <f>IFERROR(__xludf.DUMMYFUNCTION("""COMPUTED_VALUE"""),"FLSP")</f>
        <v>FLSP</v>
      </c>
    </row>
    <row r="1401">
      <c r="A1401" s="8" t="str">
        <f>IFERROR(__xludf.DUMMYFUNCTION("""COMPUTED_VALUE"""),"MAX258")</f>
        <v>MAX258</v>
      </c>
      <c r="B1401" s="8" t="str">
        <f>IFERROR(__xludf.DUMMYFUNCTION("""COMPUTED_VALUE"""),"RUN-FLMP_2022-07-25_APS-103")</f>
        <v>RUN-FLMP_2022-07-25_APS-103</v>
      </c>
      <c r="C1401" s="10">
        <f>VLOOKUP(B1401,'Run Reconcile'!A$2:B1579,2,FALSE)</f>
        <v>44767</v>
      </c>
      <c r="D1401" s="14">
        <f>IFERROR(__xludf.DUMMYFUNCTION("""COMPUTED_VALUE"""),44767.0)</f>
        <v>44767</v>
      </c>
      <c r="E1401" s="15">
        <f>IFERROR(__xludf.DUMMYFUNCTION("""COMPUTED_VALUE"""),0.37989583333182964)</f>
        <v>0.3798958333</v>
      </c>
      <c r="F1401" s="8" t="str">
        <f>IFERROR(__xludf.DUMMYFUNCTION("""COMPUTED_VALUE"""),"Negative")</f>
        <v>Negative</v>
      </c>
      <c r="G1401" s="16">
        <f>IFERROR(__xludf.DUMMYFUNCTION("""COMPUTED_VALUE"""),4.0)</f>
        <v>4</v>
      </c>
      <c r="H1401" s="8" t="str">
        <f>IFERROR(__xludf.DUMMYFUNCTION("""COMPUTED_VALUE"""),"FLSP")</f>
        <v>FLSP</v>
      </c>
    </row>
    <row r="1402">
      <c r="A1402" s="8" t="str">
        <f>IFERROR(__xludf.DUMMYFUNCTION("""COMPUTED_VALUE"""),"MA48")</f>
        <v>MA48</v>
      </c>
      <c r="B1402" s="8" t="str">
        <f>IFERROR(__xludf.DUMMYFUNCTION("""COMPUTED_VALUE"""),"RUN-FLMP_2022-07-25_APS-103")</f>
        <v>RUN-FLMP_2022-07-25_APS-103</v>
      </c>
      <c r="C1402" s="10">
        <f>VLOOKUP(B1402,'Run Reconcile'!A$2:B1579,2,FALSE)</f>
        <v>44767</v>
      </c>
      <c r="D1402" s="14">
        <f>IFERROR(__xludf.DUMMYFUNCTION("""COMPUTED_VALUE"""),44767.0)</f>
        <v>44767</v>
      </c>
      <c r="E1402" s="15">
        <f>IFERROR(__xludf.DUMMYFUNCTION("""COMPUTED_VALUE"""),0.4170370370375167)</f>
        <v>0.417037037</v>
      </c>
      <c r="F1402" s="8" t="str">
        <f>IFERROR(__xludf.DUMMYFUNCTION("""COMPUTED_VALUE"""),"Negative")</f>
        <v>Negative</v>
      </c>
      <c r="G1402" s="16">
        <f>IFERROR(__xludf.DUMMYFUNCTION("""COMPUTED_VALUE"""),2.0)</f>
        <v>2</v>
      </c>
      <c r="H1402" s="8" t="str">
        <f>IFERROR(__xludf.DUMMYFUNCTION("""COMPUTED_VALUE"""),"FLSP")</f>
        <v>FLSP</v>
      </c>
    </row>
    <row r="1403">
      <c r="A1403" s="8" t="str">
        <f>IFERROR(__xludf.DUMMYFUNCTION("""COMPUTED_VALUE"""),"FM4474")</f>
        <v>FM4474</v>
      </c>
      <c r="B1403" s="8" t="str">
        <f>IFERROR(__xludf.DUMMYFUNCTION("""COMPUTED_VALUE"""),"RUN-FLMP_2022-07-28_APS-104")</f>
        <v>RUN-FLMP_2022-07-28_APS-104</v>
      </c>
      <c r="C1403" s="10">
        <f>VLOOKUP(B1403,'Run Reconcile'!A$2:B1579,2,FALSE)</f>
        <v>44770</v>
      </c>
      <c r="D1403" s="14">
        <f>IFERROR(__xludf.DUMMYFUNCTION("""COMPUTED_VALUE"""),44770.0)</f>
        <v>44770</v>
      </c>
      <c r="E1403" s="15">
        <f>IFERROR(__xludf.DUMMYFUNCTION("""COMPUTED_VALUE"""),0.3740856481490482)</f>
        <v>0.3740856481</v>
      </c>
      <c r="F1403" s="8" t="str">
        <f>IFERROR(__xludf.DUMMYFUNCTION("""COMPUTED_VALUE"""),"Negative")</f>
        <v>Negative</v>
      </c>
      <c r="G1403" s="16">
        <f>IFERROR(__xludf.DUMMYFUNCTION("""COMPUTED_VALUE"""),1.0)</f>
        <v>1</v>
      </c>
      <c r="H1403" s="8" t="str">
        <f>IFERROR(__xludf.DUMMYFUNCTION("""COMPUTED_VALUE"""),"FLSP")</f>
        <v>FLSP</v>
      </c>
    </row>
    <row r="1404">
      <c r="A1404" s="8" t="str">
        <f>IFERROR(__xludf.DUMMYFUNCTION("""COMPUTED_VALUE"""),"FM4380")</f>
        <v>FM4380</v>
      </c>
      <c r="B1404" s="8" t="str">
        <f>IFERROR(__xludf.DUMMYFUNCTION("""COMPUTED_VALUE"""),"RUN-FLMP_2022-08-01_APS-105")</f>
        <v>RUN-FLMP_2022-08-01_APS-105</v>
      </c>
      <c r="C1404" s="10">
        <f>VLOOKUP(B1404,'Run Reconcile'!A$2:B1579,2,FALSE)</f>
        <v>44774</v>
      </c>
      <c r="D1404" s="14">
        <f>IFERROR(__xludf.DUMMYFUNCTION("""COMPUTED_VALUE"""),44774.0)</f>
        <v>44774</v>
      </c>
      <c r="E1404" s="15">
        <f>IFERROR(__xludf.DUMMYFUNCTION("""COMPUTED_VALUE"""),0.37236111111269565)</f>
        <v>0.3723611111</v>
      </c>
      <c r="F1404" s="8" t="str">
        <f>IFERROR(__xludf.DUMMYFUNCTION("""COMPUTED_VALUE"""),"Negative")</f>
        <v>Negative</v>
      </c>
      <c r="G1404" s="16">
        <f>IFERROR(__xludf.DUMMYFUNCTION("""COMPUTED_VALUE"""),1.0)</f>
        <v>1</v>
      </c>
      <c r="H1404" s="8" t="str">
        <f>IFERROR(__xludf.DUMMYFUNCTION("""COMPUTED_VALUE"""),"FLSP")</f>
        <v>FLSP</v>
      </c>
    </row>
    <row r="1405">
      <c r="A1405" s="8" t="str">
        <f>IFERROR(__xludf.DUMMYFUNCTION("""COMPUTED_VALUE"""),"FM4348")</f>
        <v>FM4348</v>
      </c>
      <c r="B1405" s="8" t="str">
        <f>IFERROR(__xludf.DUMMYFUNCTION("""COMPUTED_VALUE"""),"RUN-FLMP_2022-08-04_APS-106")</f>
        <v>RUN-FLMP_2022-08-04_APS-106</v>
      </c>
      <c r="C1405" s="10">
        <f>VLOOKUP(B1405,'Run Reconcile'!A$2:B1579,2,FALSE)</f>
        <v>44777</v>
      </c>
      <c r="D1405" s="14">
        <f>IFERROR(__xludf.DUMMYFUNCTION("""COMPUTED_VALUE"""),44777.0)</f>
        <v>44777</v>
      </c>
      <c r="E1405" s="15">
        <f>IFERROR(__xludf.DUMMYFUNCTION("""COMPUTED_VALUE"""),0.3731481481481751)</f>
        <v>0.3731481481</v>
      </c>
      <c r="F1405" s="8" t="str">
        <f>IFERROR(__xludf.DUMMYFUNCTION("""COMPUTED_VALUE"""),"Negative")</f>
        <v>Negative</v>
      </c>
      <c r="G1405" s="16">
        <f>IFERROR(__xludf.DUMMYFUNCTION("""COMPUTED_VALUE"""),1.0)</f>
        <v>1</v>
      </c>
      <c r="H1405" s="8" t="str">
        <f>IFERROR(__xludf.DUMMYFUNCTION("""COMPUTED_VALUE"""),"FLSP")</f>
        <v>FLSP</v>
      </c>
    </row>
    <row r="1406">
      <c r="A1406" s="8" t="str">
        <f>IFERROR(__xludf.DUMMYFUNCTION("""COMPUTED_VALUE"""),"FM4495")</f>
        <v>FM4495</v>
      </c>
      <c r="B1406" s="8" t="str">
        <f>IFERROR(__xludf.DUMMYFUNCTION("""COMPUTED_VALUE"""),"RUN-FLMP_2022-08-04_APS-106")</f>
        <v>RUN-FLMP_2022-08-04_APS-106</v>
      </c>
      <c r="C1406" s="10">
        <f>VLOOKUP(B1406,'Run Reconcile'!A$2:B1579,2,FALSE)</f>
        <v>44777</v>
      </c>
      <c r="D1406" s="14">
        <f>IFERROR(__xludf.DUMMYFUNCTION("""COMPUTED_VALUE"""),44777.0)</f>
        <v>44777</v>
      </c>
      <c r="E1406" s="15">
        <f>IFERROR(__xludf.DUMMYFUNCTION("""COMPUTED_VALUE"""),0.3945601851846732)</f>
        <v>0.3945601852</v>
      </c>
      <c r="F1406" s="8" t="str">
        <f>IFERROR(__xludf.DUMMYFUNCTION("""COMPUTED_VALUE"""),"Negative")</f>
        <v>Negative</v>
      </c>
      <c r="G1406" s="16">
        <f>IFERROR(__xludf.DUMMYFUNCTION("""COMPUTED_VALUE"""),4.0)</f>
        <v>4</v>
      </c>
      <c r="H1406" s="8" t="str">
        <f>IFERROR(__xludf.DUMMYFUNCTION("""COMPUTED_VALUE"""),"FLSP")</f>
        <v>FLSP</v>
      </c>
    </row>
    <row r="1407">
      <c r="A1407" s="8" t="str">
        <f>IFERROR(__xludf.DUMMYFUNCTION("""COMPUTED_VALUE"""),"FM4466")</f>
        <v>FM4466</v>
      </c>
      <c r="B1407" s="8" t="str">
        <f>IFERROR(__xludf.DUMMYFUNCTION("""COMPUTED_VALUE"""),"RUN-FLMP_2022-08-22_APS-107")</f>
        <v>RUN-FLMP_2022-08-22_APS-107</v>
      </c>
      <c r="C1407" s="10">
        <f>VLOOKUP(B1407,'Run Reconcile'!A$2:B1579,2,FALSE)</f>
        <v>44795</v>
      </c>
      <c r="D1407" s="14">
        <f>IFERROR(__xludf.DUMMYFUNCTION("""COMPUTED_VALUE"""),44795.0)</f>
        <v>44795</v>
      </c>
      <c r="E1407" s="15">
        <f>IFERROR(__xludf.DUMMYFUNCTION("""COMPUTED_VALUE"""),0.37312499999825377)</f>
        <v>0.373125</v>
      </c>
      <c r="F1407" s="8" t="str">
        <f>IFERROR(__xludf.DUMMYFUNCTION("""COMPUTED_VALUE"""),"Negative")</f>
        <v>Negative</v>
      </c>
      <c r="G1407" s="16">
        <f>IFERROR(__xludf.DUMMYFUNCTION("""COMPUTED_VALUE"""),4.0)</f>
        <v>4</v>
      </c>
      <c r="H1407" s="8" t="str">
        <f>IFERROR(__xludf.DUMMYFUNCTION("""COMPUTED_VALUE"""),"FLSP")</f>
        <v>FLSP</v>
      </c>
    </row>
    <row r="1408">
      <c r="A1408" s="8" t="str">
        <f>IFERROR(__xludf.DUMMYFUNCTION("""COMPUTED_VALUE"""),"MA476")</f>
        <v>MA476</v>
      </c>
      <c r="B1408" s="8" t="str">
        <f>IFERROR(__xludf.DUMMYFUNCTION("""COMPUTED_VALUE"""),"RUN-FLMP_2022-09-06_APS-108")</f>
        <v>RUN-FLMP_2022-09-06_APS-108</v>
      </c>
      <c r="C1408" s="10">
        <f>VLOOKUP(B1408,'Run Reconcile'!A$2:B1579,2,FALSE)</f>
        <v>44810</v>
      </c>
      <c r="D1408" s="14">
        <f>IFERROR(__xludf.DUMMYFUNCTION("""COMPUTED_VALUE"""),44810.0)</f>
        <v>44810</v>
      </c>
      <c r="E1408" s="15">
        <f>IFERROR(__xludf.DUMMYFUNCTION("""COMPUTED_VALUE"""),0.36804398148160544)</f>
        <v>0.3680439815</v>
      </c>
      <c r="F1408" s="8" t="str">
        <f>IFERROR(__xludf.DUMMYFUNCTION("""COMPUTED_VALUE"""),"Negative")</f>
        <v>Negative</v>
      </c>
      <c r="G1408" s="16">
        <f>IFERROR(__xludf.DUMMYFUNCTION("""COMPUTED_VALUE"""),4.0)</f>
        <v>4</v>
      </c>
      <c r="H1408" s="8" t="str">
        <f>IFERROR(__xludf.DUMMYFUNCTION("""COMPUTED_VALUE"""),"FLSP")</f>
        <v>FLSP</v>
      </c>
    </row>
    <row r="1409">
      <c r="A1409" s="8" t="str">
        <f>IFERROR(__xludf.DUMMYFUNCTION("""COMPUTED_VALUE"""),"MA12")</f>
        <v>MA12</v>
      </c>
      <c r="B1409" s="8" t="str">
        <f>IFERROR(__xludf.DUMMYFUNCTION("""COMPUTED_VALUE"""),"RUN-FLMP_2022-09-06_APS-108")</f>
        <v>RUN-FLMP_2022-09-06_APS-108</v>
      </c>
      <c r="C1409" s="10">
        <f>VLOOKUP(B1409,'Run Reconcile'!A$2:B1579,2,FALSE)</f>
        <v>44810</v>
      </c>
      <c r="D1409" s="14">
        <f>IFERROR(__xludf.DUMMYFUNCTION("""COMPUTED_VALUE"""),44810.0)</f>
        <v>44810</v>
      </c>
      <c r="E1409" s="15">
        <f>IFERROR(__xludf.DUMMYFUNCTION("""COMPUTED_VALUE"""),0.4022106481497758)</f>
        <v>0.4022106481</v>
      </c>
      <c r="F1409" s="8" t="str">
        <f>IFERROR(__xludf.DUMMYFUNCTION("""COMPUTED_VALUE"""),"Negative")</f>
        <v>Negative</v>
      </c>
      <c r="G1409" s="16">
        <f>IFERROR(__xludf.DUMMYFUNCTION("""COMPUTED_VALUE"""),2.0)</f>
        <v>2</v>
      </c>
      <c r="H1409" s="8" t="str">
        <f>IFERROR(__xludf.DUMMYFUNCTION("""COMPUTED_VALUE"""),"FLSP")</f>
        <v>FLSP</v>
      </c>
    </row>
    <row r="1410">
      <c r="A1410" s="8" t="str">
        <f>IFERROR(__xludf.DUMMYFUNCTION("""COMPUTED_VALUE"""),"MA11")</f>
        <v>MA11</v>
      </c>
      <c r="B1410" s="8" t="str">
        <f>IFERROR(__xludf.DUMMYFUNCTION("""COMPUTED_VALUE"""),"RUN-FLMP_2022-09-08_APS-109")</f>
        <v>RUN-FLMP_2022-09-08_APS-109</v>
      </c>
      <c r="C1410" s="10">
        <f>VLOOKUP(B1410,'Run Reconcile'!A$2:B1579,2,FALSE)</f>
        <v>44812</v>
      </c>
      <c r="D1410" s="14">
        <f>IFERROR(__xludf.DUMMYFUNCTION("""COMPUTED_VALUE"""),44812.0)</f>
        <v>44812</v>
      </c>
      <c r="E1410" s="15">
        <f>IFERROR(__xludf.DUMMYFUNCTION("""COMPUTED_VALUE"""),0.3817129629642295)</f>
        <v>0.381712963</v>
      </c>
      <c r="F1410" s="8" t="str">
        <f>IFERROR(__xludf.DUMMYFUNCTION("""COMPUTED_VALUE"""),"Negative")</f>
        <v>Negative</v>
      </c>
      <c r="G1410" s="16">
        <f>IFERROR(__xludf.DUMMYFUNCTION("""COMPUTED_VALUE"""),2.0)</f>
        <v>2</v>
      </c>
      <c r="H1410" s="8" t="str">
        <f>IFERROR(__xludf.DUMMYFUNCTION("""COMPUTED_VALUE"""),"FLSP")</f>
        <v>FLSP</v>
      </c>
    </row>
    <row r="1411">
      <c r="A1411" s="8" t="str">
        <f>IFERROR(__xludf.DUMMYFUNCTION("""COMPUTED_VALUE"""),"FM4365")</f>
        <v>FM4365</v>
      </c>
      <c r="B1411" s="8" t="str">
        <f>IFERROR(__xludf.DUMMYFUNCTION("""COMPUTED_VALUE"""),"RUN-FLMP_2022-09-12_APS-110")</f>
        <v>RUN-FLMP_2022-09-12_APS-110</v>
      </c>
      <c r="C1411" s="10">
        <f>VLOOKUP(B1411,'Run Reconcile'!A$2:B1579,2,FALSE)</f>
        <v>44816</v>
      </c>
      <c r="D1411" s="14">
        <f>IFERROR(__xludf.DUMMYFUNCTION("""COMPUTED_VALUE"""),44816.0)</f>
        <v>44816</v>
      </c>
      <c r="E1411" s="15">
        <f>IFERROR(__xludf.DUMMYFUNCTION("""COMPUTED_VALUE"""),0.35311342592467554)</f>
        <v>0.3531134259</v>
      </c>
      <c r="F1411" s="8" t="str">
        <f>IFERROR(__xludf.DUMMYFUNCTION("""COMPUTED_VALUE"""),"Negative")</f>
        <v>Negative</v>
      </c>
      <c r="G1411" s="16">
        <f>IFERROR(__xludf.DUMMYFUNCTION("""COMPUTED_VALUE"""),3.0)</f>
        <v>3</v>
      </c>
      <c r="H1411" s="8" t="str">
        <f>IFERROR(__xludf.DUMMYFUNCTION("""COMPUTED_VALUE"""),"FLSP")</f>
        <v>FLSP</v>
      </c>
    </row>
    <row r="1412">
      <c r="A1412" s="8" t="str">
        <f>IFERROR(__xludf.DUMMYFUNCTION("""COMPUTED_VALUE"""),"MA68")</f>
        <v>MA68</v>
      </c>
      <c r="B1412" s="8" t="str">
        <f>IFERROR(__xludf.DUMMYFUNCTION("""COMPUTED_VALUE"""),"RUN-FLMP_2022-09-12_APS-110")</f>
        <v>RUN-FLMP_2022-09-12_APS-110</v>
      </c>
      <c r="C1412" s="10">
        <f>VLOOKUP(B1412,'Run Reconcile'!A$2:B1579,2,FALSE)</f>
        <v>44816</v>
      </c>
      <c r="D1412" s="14">
        <f>IFERROR(__xludf.DUMMYFUNCTION("""COMPUTED_VALUE"""),44816.0)</f>
        <v>44816</v>
      </c>
      <c r="E1412" s="15">
        <f>IFERROR(__xludf.DUMMYFUNCTION("""COMPUTED_VALUE"""),0.47287037036949187)</f>
        <v>0.4728703704</v>
      </c>
      <c r="F1412" s="8" t="str">
        <f>IFERROR(__xludf.DUMMYFUNCTION("""COMPUTED_VALUE"""),"Negative")</f>
        <v>Negative</v>
      </c>
      <c r="G1412" s="16">
        <f>IFERROR(__xludf.DUMMYFUNCTION("""COMPUTED_VALUE"""),2.0)</f>
        <v>2</v>
      </c>
      <c r="H1412" s="8" t="str">
        <f>IFERROR(__xludf.DUMMYFUNCTION("""COMPUTED_VALUE"""),"FLSP")</f>
        <v>FLSP</v>
      </c>
    </row>
    <row r="1413">
      <c r="A1413" s="8" t="str">
        <f>IFERROR(__xludf.DUMMYFUNCTION("""COMPUTED_VALUE"""),"FM4463")</f>
        <v>FM4463</v>
      </c>
      <c r="B1413" s="8" t="str">
        <f>IFERROR(__xludf.DUMMYFUNCTION("""COMPUTED_VALUE"""),"RUN-FLMP_2022-09-15_APS-111")</f>
        <v>RUN-FLMP_2022-09-15_APS-111</v>
      </c>
      <c r="C1413" s="10">
        <f>VLOOKUP(B1413,'Run Reconcile'!A$2:B1579,2,FALSE)</f>
        <v>44819</v>
      </c>
      <c r="D1413" s="14">
        <f>IFERROR(__xludf.DUMMYFUNCTION("""COMPUTED_VALUE"""),44819.0)</f>
        <v>44819</v>
      </c>
      <c r="E1413" s="15">
        <f>IFERROR(__xludf.DUMMYFUNCTION("""COMPUTED_VALUE"""),0.372280092593428)</f>
        <v>0.3722800926</v>
      </c>
      <c r="F1413" s="8" t="str">
        <f>IFERROR(__xludf.DUMMYFUNCTION("""COMPUTED_VALUE"""),"Negative")</f>
        <v>Negative</v>
      </c>
      <c r="G1413" s="16">
        <f>IFERROR(__xludf.DUMMYFUNCTION("""COMPUTED_VALUE"""),4.0)</f>
        <v>4</v>
      </c>
      <c r="H1413" s="8" t="str">
        <f>IFERROR(__xludf.DUMMYFUNCTION("""COMPUTED_VALUE"""),"FLSP")</f>
        <v>FLSP</v>
      </c>
    </row>
    <row r="1414">
      <c r="A1414" s="8" t="str">
        <f>IFERROR(__xludf.DUMMYFUNCTION("""COMPUTED_VALUE"""),"MA104")</f>
        <v>MA104</v>
      </c>
      <c r="B1414" s="8" t="str">
        <f>IFERROR(__xludf.DUMMYFUNCTION("""COMPUTED_VALUE"""),"RUN-FLMP_2022-09-15_APS-111")</f>
        <v>RUN-FLMP_2022-09-15_APS-111</v>
      </c>
      <c r="C1414" s="10">
        <f>VLOOKUP(B1414,'Run Reconcile'!A$2:B1579,2,FALSE)</f>
        <v>44819</v>
      </c>
      <c r="D1414" s="14">
        <f>IFERROR(__xludf.DUMMYFUNCTION("""COMPUTED_VALUE"""),44819.0)</f>
        <v>44819</v>
      </c>
      <c r="E1414" s="15">
        <f>IFERROR(__xludf.DUMMYFUNCTION("""COMPUTED_VALUE"""),0.38591435185298906)</f>
        <v>0.3859143519</v>
      </c>
      <c r="F1414" s="8" t="str">
        <f>IFERROR(__xludf.DUMMYFUNCTION("""COMPUTED_VALUE"""),"Negative")</f>
        <v>Negative</v>
      </c>
      <c r="G1414" s="16">
        <f>IFERROR(__xludf.DUMMYFUNCTION("""COMPUTED_VALUE"""),2.0)</f>
        <v>2</v>
      </c>
      <c r="H1414" s="8" t="str">
        <f>IFERROR(__xludf.DUMMYFUNCTION("""COMPUTED_VALUE"""),"FLSP")</f>
        <v>FLSP</v>
      </c>
    </row>
    <row r="1415">
      <c r="A1415" s="8" t="str">
        <f>IFERROR(__xludf.DUMMYFUNCTION("""COMPUTED_VALUE"""),"AH9175")</f>
        <v>AH9175</v>
      </c>
      <c r="B1415" s="8" t="str">
        <f>IFERROR(__xludf.DUMMYFUNCTION("""COMPUTED_VALUE"""),"RUN-FLMP_2022-09-19_APS-112")</f>
        <v>RUN-FLMP_2022-09-19_APS-112</v>
      </c>
      <c r="C1415" s="10">
        <f>VLOOKUP(B1415,'Run Reconcile'!A$2:B1579,2,FALSE)</f>
        <v>44823</v>
      </c>
      <c r="D1415" s="14">
        <f>IFERROR(__xludf.DUMMYFUNCTION("""COMPUTED_VALUE"""),44823.0)</f>
        <v>44823</v>
      </c>
      <c r="E1415" s="15">
        <f>IFERROR(__xludf.DUMMYFUNCTION("""COMPUTED_VALUE"""),0.36052083333197515)</f>
        <v>0.3605208333</v>
      </c>
      <c r="F1415" s="8" t="str">
        <f>IFERROR(__xludf.DUMMYFUNCTION("""COMPUTED_VALUE"""),"Negative")</f>
        <v>Negative</v>
      </c>
      <c r="G1415" s="16">
        <f>IFERROR(__xludf.DUMMYFUNCTION("""COMPUTED_VALUE"""),4.0)</f>
        <v>4</v>
      </c>
      <c r="H1415" s="8" t="str">
        <f>IFERROR(__xludf.DUMMYFUNCTION("""COMPUTED_VALUE"""),"FLSP")</f>
        <v>FLSP</v>
      </c>
    </row>
    <row r="1416">
      <c r="A1416" s="8" t="str">
        <f>IFERROR(__xludf.DUMMYFUNCTION("""COMPUTED_VALUE"""),"AG485A")</f>
        <v>AG485A</v>
      </c>
      <c r="B1416" s="8" t="str">
        <f>IFERROR(__xludf.DUMMYFUNCTION("""COMPUTED_VALUE"""),"RUN-FLMP_2022-09-19_APS-112")</f>
        <v>RUN-FLMP_2022-09-19_APS-112</v>
      </c>
      <c r="C1416" s="10">
        <f>VLOOKUP(B1416,'Run Reconcile'!A$2:B1579,2,FALSE)</f>
        <v>44823</v>
      </c>
      <c r="D1416" s="14">
        <f>IFERROR(__xludf.DUMMYFUNCTION("""COMPUTED_VALUE"""),44823.0)</f>
        <v>44823</v>
      </c>
      <c r="E1416" s="15">
        <f>IFERROR(__xludf.DUMMYFUNCTION("""COMPUTED_VALUE"""),0.39481481481561786)</f>
        <v>0.3948148148</v>
      </c>
      <c r="F1416" s="8" t="str">
        <f>IFERROR(__xludf.DUMMYFUNCTION("""COMPUTED_VALUE"""),"Negative")</f>
        <v>Negative</v>
      </c>
      <c r="G1416" s="16">
        <f>IFERROR(__xludf.DUMMYFUNCTION("""COMPUTED_VALUE"""),1.0)</f>
        <v>1</v>
      </c>
      <c r="H1416" s="8" t="str">
        <f>IFERROR(__xludf.DUMMYFUNCTION("""COMPUTED_VALUE"""),"FLSP")</f>
        <v>FLSP</v>
      </c>
    </row>
    <row r="1417">
      <c r="A1417" s="8" t="str">
        <f>IFERROR(__xludf.DUMMYFUNCTION("""COMPUTED_VALUE"""),"AH9745")</f>
        <v>AH9745</v>
      </c>
      <c r="B1417" s="8" t="str">
        <f>IFERROR(__xludf.DUMMYFUNCTION("""COMPUTED_VALUE"""),"RUN-FLMP_2022-09-22_APS-113")</f>
        <v>RUN-FLMP_2022-09-22_APS-113</v>
      </c>
      <c r="C1417" s="10">
        <f>VLOOKUP(B1417,'Run Reconcile'!A$2:B1579,2,FALSE)</f>
        <v>44826</v>
      </c>
      <c r="D1417" s="14">
        <f>IFERROR(__xludf.DUMMYFUNCTION("""COMPUTED_VALUE"""),44826.0)</f>
        <v>44826</v>
      </c>
      <c r="E1417" s="15">
        <f>IFERROR(__xludf.DUMMYFUNCTION("""COMPUTED_VALUE"""),0.3226736111100763)</f>
        <v>0.3226736111</v>
      </c>
      <c r="F1417" s="8" t="str">
        <f>IFERROR(__xludf.DUMMYFUNCTION("""COMPUTED_VALUE"""),"Negative")</f>
        <v>Negative</v>
      </c>
      <c r="G1417" s="16">
        <f>IFERROR(__xludf.DUMMYFUNCTION("""COMPUTED_VALUE"""),4.0)</f>
        <v>4</v>
      </c>
      <c r="H1417" s="8" t="str">
        <f>IFERROR(__xludf.DUMMYFUNCTION("""COMPUTED_VALUE"""),"FLSP")</f>
        <v>FLSP</v>
      </c>
    </row>
    <row r="1418">
      <c r="A1418" s="8" t="str">
        <f>IFERROR(__xludf.DUMMYFUNCTION("""COMPUTED_VALUE"""),"AG926")</f>
        <v>AG926</v>
      </c>
      <c r="B1418" s="8" t="str">
        <f>IFERROR(__xludf.DUMMYFUNCTION("""COMPUTED_VALUE"""),"RUN-FLMP_2022-09-22_APS-113")</f>
        <v>RUN-FLMP_2022-09-22_APS-113</v>
      </c>
      <c r="C1418" s="10">
        <f>VLOOKUP(B1418,'Run Reconcile'!A$2:B1579,2,FALSE)</f>
        <v>44826</v>
      </c>
      <c r="D1418" s="14">
        <f>IFERROR(__xludf.DUMMYFUNCTION("""COMPUTED_VALUE"""),44826.0)</f>
        <v>44826</v>
      </c>
      <c r="E1418" s="15">
        <f>IFERROR(__xludf.DUMMYFUNCTION("""COMPUTED_VALUE"""),0.38065972222102573)</f>
        <v>0.3806597222</v>
      </c>
      <c r="F1418" s="8" t="str">
        <f>IFERROR(__xludf.DUMMYFUNCTION("""COMPUTED_VALUE"""),"Negative")</f>
        <v>Negative</v>
      </c>
      <c r="G1418" s="16">
        <f>IFERROR(__xludf.DUMMYFUNCTION("""COMPUTED_VALUE"""),1.0)</f>
        <v>1</v>
      </c>
      <c r="H1418" s="8" t="str">
        <f>IFERROR(__xludf.DUMMYFUNCTION("""COMPUTED_VALUE"""),"FLSP")</f>
        <v>FLSP</v>
      </c>
    </row>
    <row r="1419">
      <c r="A1419" s="8" t="str">
        <f>IFERROR(__xludf.DUMMYFUNCTION("""COMPUTED_VALUE"""),"AG468")</f>
        <v>AG468</v>
      </c>
      <c r="B1419" s="8" t="str">
        <f>IFERROR(__xludf.DUMMYFUNCTION("""COMPUTED_VALUE"""),"RUN-FLMP_2022-09-26_APS-114")</f>
        <v>RUN-FLMP_2022-09-26_APS-114</v>
      </c>
      <c r="C1419" s="10">
        <f>VLOOKUP(B1419,'Run Reconcile'!A$2:B1579,2,FALSE)</f>
        <v>44830</v>
      </c>
      <c r="D1419" s="14">
        <f>IFERROR(__xludf.DUMMYFUNCTION("""COMPUTED_VALUE"""),44830.0)</f>
        <v>44830</v>
      </c>
      <c r="E1419" s="15">
        <f>IFERROR(__xludf.DUMMYFUNCTION("""COMPUTED_VALUE"""),0.33199074074218515)</f>
        <v>0.3319907407</v>
      </c>
      <c r="F1419" s="8" t="str">
        <f>IFERROR(__xludf.DUMMYFUNCTION("""COMPUTED_VALUE"""),"Negative")</f>
        <v>Negative</v>
      </c>
      <c r="G1419" s="16">
        <f>IFERROR(__xludf.DUMMYFUNCTION("""COMPUTED_VALUE"""),2.0)</f>
        <v>2</v>
      </c>
      <c r="H1419" s="8" t="str">
        <f>IFERROR(__xludf.DUMMYFUNCTION("""COMPUTED_VALUE"""),"FLSP")</f>
        <v>FLSP</v>
      </c>
    </row>
    <row r="1420">
      <c r="A1420" s="8" t="str">
        <f>IFERROR(__xludf.DUMMYFUNCTION("""COMPUTED_VALUE"""),"AJ9349")</f>
        <v>AJ9349</v>
      </c>
      <c r="B1420" s="8" t="str">
        <f>IFERROR(__xludf.DUMMYFUNCTION("""COMPUTED_VALUE"""),"RUN-FLMP_2022-09-26_APS-114")</f>
        <v>RUN-FLMP_2022-09-26_APS-114</v>
      </c>
      <c r="C1420" s="10">
        <f>VLOOKUP(B1420,'Run Reconcile'!A$2:B1579,2,FALSE)</f>
        <v>44830</v>
      </c>
      <c r="D1420" s="14">
        <f>IFERROR(__xludf.DUMMYFUNCTION("""COMPUTED_VALUE"""),44830.0)</f>
        <v>44830</v>
      </c>
      <c r="E1420" s="15">
        <f>IFERROR(__xludf.DUMMYFUNCTION("""COMPUTED_VALUE"""),0.36295138888817746)</f>
        <v>0.3629513889</v>
      </c>
      <c r="F1420" s="8" t="str">
        <f>IFERROR(__xludf.DUMMYFUNCTION("""COMPUTED_VALUE"""),"Negative")</f>
        <v>Negative</v>
      </c>
      <c r="G1420" s="16">
        <f>IFERROR(__xludf.DUMMYFUNCTION("""COMPUTED_VALUE"""),4.0)</f>
        <v>4</v>
      </c>
      <c r="H1420" s="8" t="str">
        <f>IFERROR(__xludf.DUMMYFUNCTION("""COMPUTED_VALUE"""),"FLSP")</f>
        <v>FLSP</v>
      </c>
    </row>
    <row r="1421">
      <c r="A1421" s="8" t="str">
        <f>IFERROR(__xludf.DUMMYFUNCTION("""COMPUTED_VALUE"""),"AH9407")</f>
        <v>AH9407</v>
      </c>
      <c r="B1421" s="8" t="str">
        <f>IFERROR(__xludf.DUMMYFUNCTION("""COMPUTED_VALUE"""),"RUN-FLMP_2022-09-29_APS-115")</f>
        <v>RUN-FLMP_2022-09-29_APS-115</v>
      </c>
      <c r="C1421" s="10">
        <f>VLOOKUP(B1421,'Run Reconcile'!A$2:B1579,2,FALSE)</f>
        <v>44833</v>
      </c>
      <c r="D1421" s="14">
        <f>IFERROR(__xludf.DUMMYFUNCTION("""COMPUTED_VALUE"""),44833.0)</f>
        <v>44833</v>
      </c>
      <c r="E1421" s="15">
        <f>IFERROR(__xludf.DUMMYFUNCTION("""COMPUTED_VALUE"""),0.3179861111093487)</f>
        <v>0.3179861111</v>
      </c>
      <c r="F1421" s="8" t="str">
        <f>IFERROR(__xludf.DUMMYFUNCTION("""COMPUTED_VALUE"""),"Negative")</f>
        <v>Negative</v>
      </c>
      <c r="G1421" s="16">
        <f>IFERROR(__xludf.DUMMYFUNCTION("""COMPUTED_VALUE"""),4.0)</f>
        <v>4</v>
      </c>
      <c r="H1421" s="8" t="str">
        <f>IFERROR(__xludf.DUMMYFUNCTION("""COMPUTED_VALUE"""),"FLSP")</f>
        <v>FLSP</v>
      </c>
    </row>
    <row r="1422">
      <c r="A1422" s="8" t="str">
        <f>IFERROR(__xludf.DUMMYFUNCTION("""COMPUTED_VALUE"""),"AG2057")</f>
        <v>AG2057</v>
      </c>
      <c r="B1422" s="8" t="str">
        <f>IFERROR(__xludf.DUMMYFUNCTION("""COMPUTED_VALUE"""),"RUN-FLMP_2022-09-29_APS-115")</f>
        <v>RUN-FLMP_2022-09-29_APS-115</v>
      </c>
      <c r="C1422" s="10">
        <f>VLOOKUP(B1422,'Run Reconcile'!A$2:B1579,2,FALSE)</f>
        <v>44833</v>
      </c>
      <c r="D1422" s="14">
        <f>IFERROR(__xludf.DUMMYFUNCTION("""COMPUTED_VALUE"""),44833.0)</f>
        <v>44833</v>
      </c>
      <c r="E1422" s="15">
        <f>IFERROR(__xludf.DUMMYFUNCTION("""COMPUTED_VALUE"""),0.33574074074203963)</f>
        <v>0.3357407407</v>
      </c>
      <c r="F1422" s="8" t="str">
        <f>IFERROR(__xludf.DUMMYFUNCTION("""COMPUTED_VALUE"""),"Negative")</f>
        <v>Negative</v>
      </c>
      <c r="G1422" s="16">
        <f>IFERROR(__xludf.DUMMYFUNCTION("""COMPUTED_VALUE"""),2.0)</f>
        <v>2</v>
      </c>
      <c r="H1422" s="8" t="str">
        <f>IFERROR(__xludf.DUMMYFUNCTION("""COMPUTED_VALUE"""),"FLSP")</f>
        <v>FLSP</v>
      </c>
    </row>
    <row r="1423">
      <c r="A1423" s="8" t="str">
        <f>IFERROR(__xludf.DUMMYFUNCTION("""COMPUTED_VALUE"""),"AG161")</f>
        <v>AG161</v>
      </c>
      <c r="B1423" s="8" t="str">
        <f>IFERROR(__xludf.DUMMYFUNCTION("""COMPUTED_VALUE"""),"RUN-FLMP_2022-10-03_APS-116")</f>
        <v>RUN-FLMP_2022-10-03_APS-116</v>
      </c>
      <c r="C1423" s="10">
        <f>VLOOKUP(B1423,'Run Reconcile'!A$2:B1579,2,FALSE)</f>
        <v>44837</v>
      </c>
      <c r="D1423" s="14">
        <f>IFERROR(__xludf.DUMMYFUNCTION("""COMPUTED_VALUE"""),44837.0)</f>
        <v>44837</v>
      </c>
      <c r="E1423" s="15">
        <f>IFERROR(__xludf.DUMMYFUNCTION("""COMPUTED_VALUE"""),0.33582175925766933)</f>
        <v>0.3358217593</v>
      </c>
      <c r="F1423" s="8" t="str">
        <f>IFERROR(__xludf.DUMMYFUNCTION("""COMPUTED_VALUE"""),"Negative")</f>
        <v>Negative</v>
      </c>
      <c r="G1423" s="16">
        <f>IFERROR(__xludf.DUMMYFUNCTION("""COMPUTED_VALUE"""),2.0)</f>
        <v>2</v>
      </c>
      <c r="H1423" s="8" t="str">
        <f>IFERROR(__xludf.DUMMYFUNCTION("""COMPUTED_VALUE"""),"FLSP")</f>
        <v>FLSP</v>
      </c>
    </row>
    <row r="1424">
      <c r="A1424" s="8" t="str">
        <f>IFERROR(__xludf.DUMMYFUNCTION("""COMPUTED_VALUE"""),"AG2070")</f>
        <v>AG2070</v>
      </c>
      <c r="B1424" s="8" t="str">
        <f>IFERROR(__xludf.DUMMYFUNCTION("""COMPUTED_VALUE"""),"RUN-FLMP_2022-10-06_APS-117")</f>
        <v>RUN-FLMP_2022-10-06_APS-117</v>
      </c>
      <c r="C1424" s="10">
        <f>VLOOKUP(B1424,'Run Reconcile'!A$2:B1579,2,FALSE)</f>
        <v>44840</v>
      </c>
      <c r="D1424" s="14">
        <f>IFERROR(__xludf.DUMMYFUNCTION("""COMPUTED_VALUE"""),44840.0)</f>
        <v>44840</v>
      </c>
      <c r="E1424" s="15">
        <f>IFERROR(__xludf.DUMMYFUNCTION("""COMPUTED_VALUE"""),0.3261342592595611)</f>
        <v>0.3261342593</v>
      </c>
      <c r="F1424" s="8" t="str">
        <f>IFERROR(__xludf.DUMMYFUNCTION("""COMPUTED_VALUE"""),"Negative")</f>
        <v>Negative</v>
      </c>
      <c r="G1424" s="16">
        <f>IFERROR(__xludf.DUMMYFUNCTION("""COMPUTED_VALUE"""),4.0)</f>
        <v>4</v>
      </c>
      <c r="H1424" s="8" t="str">
        <f>IFERROR(__xludf.DUMMYFUNCTION("""COMPUTED_VALUE"""),"FLSP")</f>
        <v>FLSP</v>
      </c>
    </row>
    <row r="1425">
      <c r="A1425" s="8" t="str">
        <f>IFERROR(__xludf.DUMMYFUNCTION("""COMPUTED_VALUE"""),"AG853")</f>
        <v>AG853</v>
      </c>
      <c r="B1425" s="8" t="str">
        <f>IFERROR(__xludf.DUMMYFUNCTION("""COMPUTED_VALUE"""),"RUN-FLMP_2022-10-06_APS-117")</f>
        <v>RUN-FLMP_2022-10-06_APS-117</v>
      </c>
      <c r="C1425" s="10">
        <f>VLOOKUP(B1425,'Run Reconcile'!A$2:B1579,2,FALSE)</f>
        <v>44840</v>
      </c>
      <c r="D1425" s="14">
        <f>IFERROR(__xludf.DUMMYFUNCTION("""COMPUTED_VALUE"""),44840.0)</f>
        <v>44840</v>
      </c>
      <c r="E1425" s="15">
        <f>IFERROR(__xludf.DUMMYFUNCTION("""COMPUTED_VALUE"""),0.33358796296306537)</f>
        <v>0.333587963</v>
      </c>
      <c r="F1425" s="8" t="str">
        <f>IFERROR(__xludf.DUMMYFUNCTION("""COMPUTED_VALUE"""),"Negative")</f>
        <v>Negative</v>
      </c>
      <c r="G1425" s="16">
        <f>IFERROR(__xludf.DUMMYFUNCTION("""COMPUTED_VALUE"""),2.0)</f>
        <v>2</v>
      </c>
      <c r="H1425" s="8" t="str">
        <f>IFERROR(__xludf.DUMMYFUNCTION("""COMPUTED_VALUE"""),"FLSP")</f>
        <v>FLSP</v>
      </c>
    </row>
    <row r="1426">
      <c r="A1426" s="8" t="str">
        <f>IFERROR(__xludf.DUMMYFUNCTION("""COMPUTED_VALUE"""),"AG2223A")</f>
        <v>AG2223A</v>
      </c>
      <c r="B1426" s="8" t="str">
        <f>IFERROR(__xludf.DUMMYFUNCTION("""COMPUTED_VALUE"""),"RUN-FLMP_2022-10-06_APS-117")</f>
        <v>RUN-FLMP_2022-10-06_APS-117</v>
      </c>
      <c r="C1426" s="10">
        <f>VLOOKUP(B1426,'Run Reconcile'!A$2:B1579,2,FALSE)</f>
        <v>44840</v>
      </c>
      <c r="D1426" s="14">
        <f>IFERROR(__xludf.DUMMYFUNCTION("""COMPUTED_VALUE"""),44840.0)</f>
        <v>44840</v>
      </c>
      <c r="E1426" s="15">
        <f>IFERROR(__xludf.DUMMYFUNCTION("""COMPUTED_VALUE"""),0.4083101851865649)</f>
        <v>0.4083101852</v>
      </c>
      <c r="F1426" s="8" t="str">
        <f>IFERROR(__xludf.DUMMYFUNCTION("""COMPUTED_VALUE"""),"Negative")</f>
        <v>Negative</v>
      </c>
      <c r="G1426" s="16">
        <f>IFERROR(__xludf.DUMMYFUNCTION("""COMPUTED_VALUE"""),4.0)</f>
        <v>4</v>
      </c>
      <c r="H1426" s="8" t="str">
        <f>IFERROR(__xludf.DUMMYFUNCTION("""COMPUTED_VALUE"""),"FLSP")</f>
        <v>FLSP</v>
      </c>
    </row>
    <row r="1427">
      <c r="A1427" s="8" t="str">
        <f>IFERROR(__xludf.DUMMYFUNCTION("""COMPUTED_VALUE"""),"AG978")</f>
        <v>AG978</v>
      </c>
      <c r="B1427" s="8" t="str">
        <f>IFERROR(__xludf.DUMMYFUNCTION("""COMPUTED_VALUE"""),"RUN-FLMP_2022-10-06_APS-117")</f>
        <v>RUN-FLMP_2022-10-06_APS-117</v>
      </c>
      <c r="C1427" s="10">
        <f>VLOOKUP(B1427,'Run Reconcile'!A$2:B1579,2,FALSE)</f>
        <v>44840</v>
      </c>
      <c r="D1427" s="14">
        <f>IFERROR(__xludf.DUMMYFUNCTION("""COMPUTED_VALUE"""),44840.0)</f>
        <v>44840</v>
      </c>
      <c r="E1427" s="15">
        <f>IFERROR(__xludf.DUMMYFUNCTION("""COMPUTED_VALUE"""),0.4095601851840911)</f>
        <v>0.4095601852</v>
      </c>
      <c r="F1427" s="8" t="str">
        <f>IFERROR(__xludf.DUMMYFUNCTION("""COMPUTED_VALUE"""),"Negative")</f>
        <v>Negative</v>
      </c>
      <c r="G1427" s="16">
        <f>IFERROR(__xludf.DUMMYFUNCTION("""COMPUTED_VALUE"""),1.0)</f>
        <v>1</v>
      </c>
      <c r="H1427" s="8" t="str">
        <f>IFERROR(__xludf.DUMMYFUNCTION("""COMPUTED_VALUE"""),"FLSP")</f>
        <v>FLSP</v>
      </c>
    </row>
    <row r="1428">
      <c r="A1428" s="8" t="str">
        <f>IFERROR(__xludf.DUMMYFUNCTION("""COMPUTED_VALUE"""),"AH7926")</f>
        <v>AH7926</v>
      </c>
      <c r="B1428" s="8" t="str">
        <f>IFERROR(__xludf.DUMMYFUNCTION("""COMPUTED_VALUE"""),"RUN-FLMP_2022-10-10_APS-118")</f>
        <v>RUN-FLMP_2022-10-10_APS-118</v>
      </c>
      <c r="C1428" s="10">
        <f>VLOOKUP(B1428,'Run Reconcile'!A$2:B1579,2,FALSE)</f>
        <v>44844</v>
      </c>
      <c r="D1428" s="14">
        <f>IFERROR(__xludf.DUMMYFUNCTION("""COMPUTED_VALUE"""),44844.0)</f>
        <v>44844</v>
      </c>
      <c r="E1428" s="15">
        <f>IFERROR(__xludf.DUMMYFUNCTION("""COMPUTED_VALUE"""),0.3324537037042319)</f>
        <v>0.3324537037</v>
      </c>
      <c r="F1428" s="8" t="str">
        <f>IFERROR(__xludf.DUMMYFUNCTION("""COMPUTED_VALUE"""),"Negative")</f>
        <v>Negative</v>
      </c>
      <c r="G1428" s="16">
        <f>IFERROR(__xludf.DUMMYFUNCTION("""COMPUTED_VALUE"""),2.0)</f>
        <v>2</v>
      </c>
      <c r="H1428" s="8" t="str">
        <f>IFERROR(__xludf.DUMMYFUNCTION("""COMPUTED_VALUE"""),"FLSP")</f>
        <v>FLSP</v>
      </c>
    </row>
    <row r="1429">
      <c r="A1429" s="8" t="str">
        <f>IFERROR(__xludf.DUMMYFUNCTION("""COMPUTED_VALUE"""),"AG2065")</f>
        <v>AG2065</v>
      </c>
      <c r="B1429" s="8" t="str">
        <f>IFERROR(__xludf.DUMMYFUNCTION("""COMPUTED_VALUE"""),"RUN-FLMP_2022-10-10_APS-118")</f>
        <v>RUN-FLMP_2022-10-10_APS-118</v>
      </c>
      <c r="C1429" s="10">
        <f>VLOOKUP(B1429,'Run Reconcile'!A$2:B1579,2,FALSE)</f>
        <v>44844</v>
      </c>
      <c r="D1429" s="14">
        <f>IFERROR(__xludf.DUMMYFUNCTION("""COMPUTED_VALUE"""),44844.0)</f>
        <v>44844</v>
      </c>
      <c r="E1429" s="15">
        <f>IFERROR(__xludf.DUMMYFUNCTION("""COMPUTED_VALUE"""),0.35133101851897663)</f>
        <v>0.3513310185</v>
      </c>
      <c r="F1429" s="8" t="str">
        <f>IFERROR(__xludf.DUMMYFUNCTION("""COMPUTED_VALUE"""),"Negative")</f>
        <v>Negative</v>
      </c>
      <c r="G1429" s="16">
        <f>IFERROR(__xludf.DUMMYFUNCTION("""COMPUTED_VALUE"""),2.0)</f>
        <v>2</v>
      </c>
      <c r="H1429" s="8" t="str">
        <f>IFERROR(__xludf.DUMMYFUNCTION("""COMPUTED_VALUE"""),"FLSP")</f>
        <v>FLSP</v>
      </c>
    </row>
    <row r="1430">
      <c r="A1430" s="8" t="str">
        <f>IFERROR(__xludf.DUMMYFUNCTION("""COMPUTED_VALUE"""),"AG1472")</f>
        <v>AG1472</v>
      </c>
      <c r="B1430" s="8" t="str">
        <f>IFERROR(__xludf.DUMMYFUNCTION("""COMPUTED_VALUE"""),"RUN-FLMP_2022-10-10_APS-118")</f>
        <v>RUN-FLMP_2022-10-10_APS-118</v>
      </c>
      <c r="C1430" s="10">
        <f>VLOOKUP(B1430,'Run Reconcile'!A$2:B1579,2,FALSE)</f>
        <v>44844</v>
      </c>
      <c r="D1430" s="14">
        <f>IFERROR(__xludf.DUMMYFUNCTION("""COMPUTED_VALUE"""),44844.0)</f>
        <v>44844</v>
      </c>
      <c r="E1430" s="15">
        <f>IFERROR(__xludf.DUMMYFUNCTION("""COMPUTED_VALUE"""),0.35204861111196806)</f>
        <v>0.3520486111</v>
      </c>
      <c r="F1430" s="8" t="str">
        <f>IFERROR(__xludf.DUMMYFUNCTION("""COMPUTED_VALUE"""),"Negative")</f>
        <v>Negative</v>
      </c>
      <c r="G1430" s="16">
        <f>IFERROR(__xludf.DUMMYFUNCTION("""COMPUTED_VALUE"""),4.0)</f>
        <v>4</v>
      </c>
      <c r="H1430" s="8" t="str">
        <f>IFERROR(__xludf.DUMMYFUNCTION("""COMPUTED_VALUE"""),"FLSP")</f>
        <v>FLSP</v>
      </c>
    </row>
    <row r="1431">
      <c r="A1431" s="8" t="str">
        <f>IFERROR(__xludf.DUMMYFUNCTION("""COMPUTED_VALUE"""),"AH8032")</f>
        <v>AH8032</v>
      </c>
      <c r="B1431" s="8" t="str">
        <f>IFERROR(__xludf.DUMMYFUNCTION("""COMPUTED_VALUE"""),"RUN-FLMP_2022-10-13_APS-119")</f>
        <v>RUN-FLMP_2022-10-13_APS-119</v>
      </c>
      <c r="C1431" s="10">
        <f>VLOOKUP(B1431,'Run Reconcile'!A$2:B1579,2,FALSE)</f>
        <v>44847</v>
      </c>
      <c r="D1431" s="14">
        <f>IFERROR(__xludf.DUMMYFUNCTION("""COMPUTED_VALUE"""),44847.0)</f>
        <v>44847</v>
      </c>
      <c r="E1431" s="15">
        <f>IFERROR(__xludf.DUMMYFUNCTION("""COMPUTED_VALUE"""),0.3368750000008731)</f>
        <v>0.336875</v>
      </c>
      <c r="F1431" s="8" t="str">
        <f>IFERROR(__xludf.DUMMYFUNCTION("""COMPUTED_VALUE"""),"Negative")</f>
        <v>Negative</v>
      </c>
      <c r="G1431" s="16">
        <f>IFERROR(__xludf.DUMMYFUNCTION("""COMPUTED_VALUE"""),4.0)</f>
        <v>4</v>
      </c>
      <c r="H1431" s="8" t="str">
        <f>IFERROR(__xludf.DUMMYFUNCTION("""COMPUTED_VALUE"""),"FLSP")</f>
        <v>FLSP</v>
      </c>
    </row>
    <row r="1432">
      <c r="A1432" s="8" t="str">
        <f>IFERROR(__xludf.DUMMYFUNCTION("""COMPUTED_VALUE"""),"AH7663")</f>
        <v>AH7663</v>
      </c>
      <c r="B1432" s="8" t="str">
        <f>IFERROR(__xludf.DUMMYFUNCTION("""COMPUTED_VALUE"""),"RUN-FLMP_2022-10-13_APS-119")</f>
        <v>RUN-FLMP_2022-10-13_APS-119</v>
      </c>
      <c r="C1432" s="10">
        <f>VLOOKUP(B1432,'Run Reconcile'!A$2:B1579,2,FALSE)</f>
        <v>44847</v>
      </c>
      <c r="D1432" s="14">
        <f>IFERROR(__xludf.DUMMYFUNCTION("""COMPUTED_VALUE"""),44847.0)</f>
        <v>44847</v>
      </c>
      <c r="E1432" s="15">
        <f>IFERROR(__xludf.DUMMYFUNCTION("""COMPUTED_VALUE"""),0.3747800925921183)</f>
        <v>0.3747800926</v>
      </c>
      <c r="F1432" s="8" t="str">
        <f>IFERROR(__xludf.DUMMYFUNCTION("""COMPUTED_VALUE"""),"Negative")</f>
        <v>Negative</v>
      </c>
      <c r="G1432" s="16">
        <f>IFERROR(__xludf.DUMMYFUNCTION("""COMPUTED_VALUE"""),2.0)</f>
        <v>2</v>
      </c>
      <c r="H1432" s="8" t="str">
        <f>IFERROR(__xludf.DUMMYFUNCTION("""COMPUTED_VALUE"""),"FLSP")</f>
        <v>FLSP</v>
      </c>
    </row>
    <row r="1433">
      <c r="A1433" s="8" t="str">
        <f>IFERROR(__xludf.DUMMYFUNCTION("""COMPUTED_VALUE"""),"AJ6981")</f>
        <v>AJ6981</v>
      </c>
      <c r="B1433" s="8" t="str">
        <f>IFERROR(__xludf.DUMMYFUNCTION("""COMPUTED_VALUE"""),"RUN-FLMP_2022-10-17_APS-120")</f>
        <v>RUN-FLMP_2022-10-17_APS-120</v>
      </c>
      <c r="C1433" s="10">
        <f>VLOOKUP(B1433,'Run Reconcile'!A$2:B1579,2,FALSE)</f>
        <v>44851</v>
      </c>
      <c r="D1433" s="14">
        <f>IFERROR(__xludf.DUMMYFUNCTION("""COMPUTED_VALUE"""),44851.0)</f>
        <v>44851</v>
      </c>
      <c r="E1433" s="15">
        <f>IFERROR(__xludf.DUMMYFUNCTION("""COMPUTED_VALUE"""),0.35521990740744513)</f>
        <v>0.3552199074</v>
      </c>
      <c r="F1433" s="8" t="str">
        <f>IFERROR(__xludf.DUMMYFUNCTION("""COMPUTED_VALUE"""),"Negative")</f>
        <v>Negative</v>
      </c>
      <c r="G1433" s="16">
        <f>IFERROR(__xludf.DUMMYFUNCTION("""COMPUTED_VALUE"""),2.0)</f>
        <v>2</v>
      </c>
      <c r="H1433" s="8" t="str">
        <f>IFERROR(__xludf.DUMMYFUNCTION("""COMPUTED_VALUE"""),"FLSP")</f>
        <v>FLSP</v>
      </c>
    </row>
    <row r="1434">
      <c r="A1434" s="8" t="str">
        <f>IFERROR(__xludf.DUMMYFUNCTION("""COMPUTED_VALUE"""),"AH9675")</f>
        <v>AH9675</v>
      </c>
      <c r="B1434" s="8" t="str">
        <f>IFERROR(__xludf.DUMMYFUNCTION("""COMPUTED_VALUE"""),"RUN-FLMP_2022-10-17_APS-120")</f>
        <v>RUN-FLMP_2022-10-17_APS-120</v>
      </c>
      <c r="C1434" s="10">
        <f>VLOOKUP(B1434,'Run Reconcile'!A$2:B1579,2,FALSE)</f>
        <v>44851</v>
      </c>
      <c r="D1434" s="14">
        <f>IFERROR(__xludf.DUMMYFUNCTION("""COMPUTED_VALUE"""),44851.0)</f>
        <v>44851</v>
      </c>
      <c r="E1434" s="15">
        <f>IFERROR(__xludf.DUMMYFUNCTION("""COMPUTED_VALUE"""),0.37541666666584206)</f>
        <v>0.3754166667</v>
      </c>
      <c r="F1434" s="8" t="str">
        <f>IFERROR(__xludf.DUMMYFUNCTION("""COMPUTED_VALUE"""),"Negative")</f>
        <v>Negative</v>
      </c>
      <c r="G1434" s="16">
        <f>IFERROR(__xludf.DUMMYFUNCTION("""COMPUTED_VALUE"""),4.0)</f>
        <v>4</v>
      </c>
      <c r="H1434" s="8" t="str">
        <f>IFERROR(__xludf.DUMMYFUNCTION("""COMPUTED_VALUE"""),"FLSP")</f>
        <v>FLSP</v>
      </c>
    </row>
    <row r="1435">
      <c r="A1435" s="8" t="str">
        <f>IFERROR(__xludf.DUMMYFUNCTION("""COMPUTED_VALUE"""),"AH8859")</f>
        <v>AH8859</v>
      </c>
      <c r="B1435" s="8" t="str">
        <f>IFERROR(__xludf.DUMMYFUNCTION("""COMPUTED_VALUE"""),"RUN-FLMP_2022-10-20_APS-121")</f>
        <v>RUN-FLMP_2022-10-20_APS-121</v>
      </c>
      <c r="C1435" s="10">
        <f>VLOOKUP(B1435,'Run Reconcile'!A$2:B1579,2,FALSE)</f>
        <v>44854</v>
      </c>
      <c r="D1435" s="14">
        <f>IFERROR(__xludf.DUMMYFUNCTION("""COMPUTED_VALUE"""),44854.0)</f>
        <v>44854</v>
      </c>
      <c r="E1435" s="15">
        <f>IFERROR(__xludf.DUMMYFUNCTION("""COMPUTED_VALUE"""),0.3169675925928459)</f>
        <v>0.3169675926</v>
      </c>
      <c r="F1435" s="8" t="str">
        <f>IFERROR(__xludf.DUMMYFUNCTION("""COMPUTED_VALUE"""),"Negative")</f>
        <v>Negative</v>
      </c>
      <c r="G1435" s="16">
        <f>IFERROR(__xludf.DUMMYFUNCTION("""COMPUTED_VALUE"""),4.0)</f>
        <v>4</v>
      </c>
      <c r="H1435" s="8" t="str">
        <f>IFERROR(__xludf.DUMMYFUNCTION("""COMPUTED_VALUE"""),"FLSP")</f>
        <v>FLSP</v>
      </c>
    </row>
    <row r="1436">
      <c r="A1436" s="8" t="str">
        <f>IFERROR(__xludf.DUMMYFUNCTION("""COMPUTED_VALUE"""),"AH9133")</f>
        <v>AH9133</v>
      </c>
      <c r="B1436" s="8" t="str">
        <f>IFERROR(__xludf.DUMMYFUNCTION("""COMPUTED_VALUE"""),"RUN-FLMP_2022-10-20_APS-121")</f>
        <v>RUN-FLMP_2022-10-20_APS-121</v>
      </c>
      <c r="C1436" s="10">
        <f>VLOOKUP(B1436,'Run Reconcile'!A$2:B1579,2,FALSE)</f>
        <v>44854</v>
      </c>
      <c r="D1436" s="14">
        <f>IFERROR(__xludf.DUMMYFUNCTION("""COMPUTED_VALUE"""),44854.0)</f>
        <v>44854</v>
      </c>
      <c r="E1436" s="15">
        <f>IFERROR(__xludf.DUMMYFUNCTION("""COMPUTED_VALUE"""),0.343854166665551)</f>
        <v>0.3438541667</v>
      </c>
      <c r="F1436" s="8" t="str">
        <f>IFERROR(__xludf.DUMMYFUNCTION("""COMPUTED_VALUE"""),"Negative")</f>
        <v>Negative</v>
      </c>
      <c r="G1436" s="16">
        <f>IFERROR(__xludf.DUMMYFUNCTION("""COMPUTED_VALUE"""),2.0)</f>
        <v>2</v>
      </c>
      <c r="H1436" s="8" t="str">
        <f>IFERROR(__xludf.DUMMYFUNCTION("""COMPUTED_VALUE"""),"FLSP")</f>
        <v>FLSP</v>
      </c>
    </row>
    <row r="1437">
      <c r="A1437" s="8" t="str">
        <f>IFERROR(__xludf.DUMMYFUNCTION("""COMPUTED_VALUE"""),"AJ8043")</f>
        <v>AJ8043</v>
      </c>
      <c r="B1437" s="8" t="str">
        <f>IFERROR(__xludf.DUMMYFUNCTION("""COMPUTED_VALUE"""),"RUN-FLMP_2022-10-24_APS-122")</f>
        <v>RUN-FLMP_2022-10-24_APS-122</v>
      </c>
      <c r="C1437" s="10">
        <f>VLOOKUP(B1437,'Run Reconcile'!A$2:B1579,2,FALSE)</f>
        <v>44858</v>
      </c>
      <c r="D1437" s="14">
        <f>IFERROR(__xludf.DUMMYFUNCTION("""COMPUTED_VALUE"""),44858.0)</f>
        <v>44858</v>
      </c>
      <c r="E1437" s="15">
        <f>IFERROR(__xludf.DUMMYFUNCTION("""COMPUTED_VALUE"""),0.3360879629617557)</f>
        <v>0.336087963</v>
      </c>
      <c r="F1437" s="8" t="str">
        <f>IFERROR(__xludf.DUMMYFUNCTION("""COMPUTED_VALUE"""),"Negative")</f>
        <v>Negative</v>
      </c>
      <c r="G1437" s="16">
        <f>IFERROR(__xludf.DUMMYFUNCTION("""COMPUTED_VALUE"""),2.0)</f>
        <v>2</v>
      </c>
      <c r="H1437" s="8" t="str">
        <f>IFERROR(__xludf.DUMMYFUNCTION("""COMPUTED_VALUE"""),"FLSP")</f>
        <v>FLSP</v>
      </c>
    </row>
    <row r="1438">
      <c r="A1438" s="8" t="str">
        <f>IFERROR(__xludf.DUMMYFUNCTION("""COMPUTED_VALUE"""),"AH8101")</f>
        <v>AH8101</v>
      </c>
      <c r="B1438" s="8" t="str">
        <f>IFERROR(__xludf.DUMMYFUNCTION("""COMPUTED_VALUE"""),"RUN-FLMP_2022-10-24_APS-122")</f>
        <v>RUN-FLMP_2022-10-24_APS-122</v>
      </c>
      <c r="C1438" s="10">
        <f>VLOOKUP(B1438,'Run Reconcile'!A$2:B1579,2,FALSE)</f>
        <v>44858</v>
      </c>
      <c r="D1438" s="14">
        <f>IFERROR(__xludf.DUMMYFUNCTION("""COMPUTED_VALUE"""),44858.0)</f>
        <v>44858</v>
      </c>
      <c r="E1438" s="15">
        <f>IFERROR(__xludf.DUMMYFUNCTION("""COMPUTED_VALUE"""),0.349155092593719)</f>
        <v>0.3491550926</v>
      </c>
      <c r="F1438" s="8" t="str">
        <f>IFERROR(__xludf.DUMMYFUNCTION("""COMPUTED_VALUE"""),"Negative")</f>
        <v>Negative</v>
      </c>
      <c r="G1438" s="16">
        <f>IFERROR(__xludf.DUMMYFUNCTION("""COMPUTED_VALUE"""),1.0)</f>
        <v>1</v>
      </c>
      <c r="H1438" s="8" t="str">
        <f>IFERROR(__xludf.DUMMYFUNCTION("""COMPUTED_VALUE"""),"FLSP")</f>
        <v>FLSP</v>
      </c>
    </row>
    <row r="1439">
      <c r="A1439" s="8" t="str">
        <f>IFERROR(__xludf.DUMMYFUNCTION("""COMPUTED_VALUE"""),"AG2075")</f>
        <v>AG2075</v>
      </c>
      <c r="B1439" s="8" t="str">
        <f>IFERROR(__xludf.DUMMYFUNCTION("""COMPUTED_VALUE"""),"RUN-FLMP_2022-10-24_APS-122")</f>
        <v>RUN-FLMP_2022-10-24_APS-122</v>
      </c>
      <c r="C1439" s="10">
        <f>VLOOKUP(B1439,'Run Reconcile'!A$2:B1579,2,FALSE)</f>
        <v>44858</v>
      </c>
      <c r="D1439" s="14">
        <f>IFERROR(__xludf.DUMMYFUNCTION("""COMPUTED_VALUE"""),44858.0)</f>
        <v>44858</v>
      </c>
      <c r="E1439" s="15">
        <f>IFERROR(__xludf.DUMMYFUNCTION("""COMPUTED_VALUE"""),0.35012731481401715)</f>
        <v>0.3501273148</v>
      </c>
      <c r="F1439" s="8" t="str">
        <f>IFERROR(__xludf.DUMMYFUNCTION("""COMPUTED_VALUE"""),"Negative")</f>
        <v>Negative</v>
      </c>
      <c r="G1439" s="16">
        <f>IFERROR(__xludf.DUMMYFUNCTION("""COMPUTED_VALUE"""),3.0)</f>
        <v>3</v>
      </c>
      <c r="H1439" s="8" t="str">
        <f>IFERROR(__xludf.DUMMYFUNCTION("""COMPUTED_VALUE"""),"FLSP")</f>
        <v>FLSP</v>
      </c>
    </row>
    <row r="1440">
      <c r="A1440" s="8" t="str">
        <f>IFERROR(__xludf.DUMMYFUNCTION("""COMPUTED_VALUE"""),"MA18")</f>
        <v>MA18</v>
      </c>
      <c r="B1440" s="8" t="str">
        <f>IFERROR(__xludf.DUMMYFUNCTION("""COMPUTED_VALUE"""),"RUN-FLMP_2022-10-25_APS-123")</f>
        <v>RUN-FLMP_2022-10-25_APS-123</v>
      </c>
      <c r="C1440" s="10">
        <f>VLOOKUP(B1440,'Run Reconcile'!A$2:B1579,2,FALSE)</f>
        <v>44859</v>
      </c>
      <c r="D1440" s="14">
        <f>IFERROR(__xludf.DUMMYFUNCTION("""COMPUTED_VALUE"""),44859.0)</f>
        <v>44859</v>
      </c>
      <c r="E1440" s="15">
        <f>IFERROR(__xludf.DUMMYFUNCTION("""COMPUTED_VALUE"""),0.40223379629605915)</f>
        <v>0.4022337963</v>
      </c>
      <c r="F1440" s="8" t="str">
        <f>IFERROR(__xludf.DUMMYFUNCTION("""COMPUTED_VALUE"""),"Negative")</f>
        <v>Negative</v>
      </c>
      <c r="G1440" s="16">
        <f>IFERROR(__xludf.DUMMYFUNCTION("""COMPUTED_VALUE"""),1.0)</f>
        <v>1</v>
      </c>
      <c r="H1440" s="8" t="str">
        <f>IFERROR(__xludf.DUMMYFUNCTION("""COMPUTED_VALUE"""),"FLSP")</f>
        <v>FLSP</v>
      </c>
    </row>
    <row r="1441">
      <c r="A1441" s="8" t="str">
        <f>IFERROR(__xludf.DUMMYFUNCTION("""COMPUTED_VALUE"""),"FM4485")</f>
        <v>FM4485</v>
      </c>
      <c r="B1441" s="8" t="str">
        <f>IFERROR(__xludf.DUMMYFUNCTION("""COMPUTED_VALUE"""),"RUN-FLMP_2022-10-27_APS-124")</f>
        <v>RUN-FLMP_2022-10-27_APS-124</v>
      </c>
      <c r="C1441" s="10">
        <f>VLOOKUP(B1441,'Run Reconcile'!A$2:B1579,2,FALSE)</f>
        <v>44861</v>
      </c>
      <c r="D1441" s="14">
        <f>IFERROR(__xludf.DUMMYFUNCTION("""COMPUTED_VALUE"""),44861.0)</f>
        <v>44861</v>
      </c>
      <c r="E1441" s="15">
        <f>IFERROR(__xludf.DUMMYFUNCTION("""COMPUTED_VALUE"""),0.3667129629611736)</f>
        <v>0.366712963</v>
      </c>
      <c r="F1441" s="8" t="str">
        <f>IFERROR(__xludf.DUMMYFUNCTION("""COMPUTED_VALUE"""),"Negative")</f>
        <v>Negative</v>
      </c>
      <c r="G1441" s="16">
        <f>IFERROR(__xludf.DUMMYFUNCTION("""COMPUTED_VALUE"""),1.0)</f>
        <v>1</v>
      </c>
      <c r="H1441" s="8" t="str">
        <f>IFERROR(__xludf.DUMMYFUNCTION("""COMPUTED_VALUE"""),"FLSP")</f>
        <v>FLSP</v>
      </c>
    </row>
    <row r="1442">
      <c r="A1442" s="8" t="str">
        <f>IFERROR(__xludf.DUMMYFUNCTION("""COMPUTED_VALUE"""),"FM4361")</f>
        <v>FM4361</v>
      </c>
      <c r="B1442" s="8" t="str">
        <f>IFERROR(__xludf.DUMMYFUNCTION("""COMPUTED_VALUE"""),"RUN-FLMP_2022-10-27_APS-124")</f>
        <v>RUN-FLMP_2022-10-27_APS-124</v>
      </c>
      <c r="C1442" s="10">
        <f>VLOOKUP(B1442,'Run Reconcile'!A$2:B1579,2,FALSE)</f>
        <v>44861</v>
      </c>
      <c r="D1442" s="14">
        <f>IFERROR(__xludf.DUMMYFUNCTION("""COMPUTED_VALUE"""),44861.0)</f>
        <v>44861</v>
      </c>
      <c r="E1442" s="15">
        <f>IFERROR(__xludf.DUMMYFUNCTION("""COMPUTED_VALUE"""),0.3681365740740148)</f>
        <v>0.3681365741</v>
      </c>
      <c r="F1442" s="8" t="str">
        <f>IFERROR(__xludf.DUMMYFUNCTION("""COMPUTED_VALUE"""),"Negative")</f>
        <v>Negative</v>
      </c>
      <c r="G1442" s="16">
        <f>IFERROR(__xludf.DUMMYFUNCTION("""COMPUTED_VALUE"""),2.0)</f>
        <v>2</v>
      </c>
      <c r="H1442" s="8" t="str">
        <f>IFERROR(__xludf.DUMMYFUNCTION("""COMPUTED_VALUE"""),"FLSP")</f>
        <v>FLSP</v>
      </c>
    </row>
    <row r="1443">
      <c r="A1443" s="8" t="str">
        <f>IFERROR(__xludf.DUMMYFUNCTION("""COMPUTED_VALUE"""),"MA31")</f>
        <v>MA31</v>
      </c>
      <c r="B1443" s="8" t="str">
        <f>IFERROR(__xludf.DUMMYFUNCTION("""COMPUTED_VALUE"""),"RUN-FLMP_2022-10-27_APS-124")</f>
        <v>RUN-FLMP_2022-10-27_APS-124</v>
      </c>
      <c r="C1443" s="10">
        <f>VLOOKUP(B1443,'Run Reconcile'!A$2:B1579,2,FALSE)</f>
        <v>44861</v>
      </c>
      <c r="D1443" s="14">
        <f>IFERROR(__xludf.DUMMYFUNCTION("""COMPUTED_VALUE"""),44861.0)</f>
        <v>44861</v>
      </c>
      <c r="E1443" s="15">
        <f>IFERROR(__xludf.DUMMYFUNCTION("""COMPUTED_VALUE"""),0.38868055555576575)</f>
        <v>0.3886805556</v>
      </c>
      <c r="F1443" s="8" t="str">
        <f>IFERROR(__xludf.DUMMYFUNCTION("""COMPUTED_VALUE"""),"Negative")</f>
        <v>Negative</v>
      </c>
      <c r="G1443" s="16">
        <f>IFERROR(__xludf.DUMMYFUNCTION("""COMPUTED_VALUE"""),1.0)</f>
        <v>1</v>
      </c>
      <c r="H1443" s="8" t="str">
        <f>IFERROR(__xludf.DUMMYFUNCTION("""COMPUTED_VALUE"""),"FLSP")</f>
        <v>FLSP</v>
      </c>
    </row>
    <row r="1444">
      <c r="A1444" s="8" t="str">
        <f>IFERROR(__xludf.DUMMYFUNCTION("""COMPUTED_VALUE"""),"MA72")</f>
        <v>MA72</v>
      </c>
      <c r="B1444" s="8" t="str">
        <f>IFERROR(__xludf.DUMMYFUNCTION("""COMPUTED_VALUE"""),"RUN-FLMP_2022-10-27_APS-124")</f>
        <v>RUN-FLMP_2022-10-27_APS-124</v>
      </c>
      <c r="C1444" s="10">
        <f>VLOOKUP(B1444,'Run Reconcile'!A$2:B1579,2,FALSE)</f>
        <v>44861</v>
      </c>
      <c r="D1444" s="14">
        <f>IFERROR(__xludf.DUMMYFUNCTION("""COMPUTED_VALUE"""),44861.0)</f>
        <v>44861</v>
      </c>
      <c r="E1444" s="15">
        <f>IFERROR(__xludf.DUMMYFUNCTION("""COMPUTED_VALUE"""),0.39050925925766933)</f>
        <v>0.3905092593</v>
      </c>
      <c r="F1444" s="8" t="str">
        <f>IFERROR(__xludf.DUMMYFUNCTION("""COMPUTED_VALUE"""),"Negative")</f>
        <v>Negative</v>
      </c>
      <c r="G1444" s="16">
        <f>IFERROR(__xludf.DUMMYFUNCTION("""COMPUTED_VALUE"""),1.0)</f>
        <v>1</v>
      </c>
      <c r="H1444" s="8" t="str">
        <f>IFERROR(__xludf.DUMMYFUNCTION("""COMPUTED_VALUE"""),"FLSP")</f>
        <v>FLSP</v>
      </c>
    </row>
    <row r="1445">
      <c r="A1445" s="8" t="str">
        <f>IFERROR(__xludf.DUMMYFUNCTION("""COMPUTED_VALUE"""),"AG536")</f>
        <v>AG536</v>
      </c>
      <c r="B1445" s="8" t="str">
        <f>IFERROR(__xludf.DUMMYFUNCTION("""COMPUTED_VALUE"""),"RUN-FLMP_2022-10-31_APS-125")</f>
        <v>RUN-FLMP_2022-10-31_APS-125</v>
      </c>
      <c r="C1445" s="10">
        <f>VLOOKUP(B1445,'Run Reconcile'!A$2:B1579,2,FALSE)</f>
        <v>44865</v>
      </c>
      <c r="D1445" s="14">
        <f>IFERROR(__xludf.DUMMYFUNCTION("""COMPUTED_VALUE"""),44865.0)</f>
        <v>44865</v>
      </c>
      <c r="E1445" s="15">
        <f>IFERROR(__xludf.DUMMYFUNCTION("""COMPUTED_VALUE"""),0.325474537035916)</f>
        <v>0.325474537</v>
      </c>
      <c r="F1445" s="8" t="str">
        <f>IFERROR(__xludf.DUMMYFUNCTION("""COMPUTED_VALUE"""),"Negative")</f>
        <v>Negative</v>
      </c>
      <c r="G1445" s="16">
        <f>IFERROR(__xludf.DUMMYFUNCTION("""COMPUTED_VALUE"""),3.0)</f>
        <v>3</v>
      </c>
      <c r="H1445" s="8" t="str">
        <f>IFERROR(__xludf.DUMMYFUNCTION("""COMPUTED_VALUE"""),"FLSP")</f>
        <v>FLSP</v>
      </c>
    </row>
    <row r="1446">
      <c r="A1446" s="8" t="str">
        <f>IFERROR(__xludf.DUMMYFUNCTION("""COMPUTED_VALUE"""),"AG1145")</f>
        <v>AG1145</v>
      </c>
      <c r="B1446" s="8" t="str">
        <f>IFERROR(__xludf.DUMMYFUNCTION("""COMPUTED_VALUE"""),"RUN-FLMP_2022-10-31_APS-125")</f>
        <v>RUN-FLMP_2022-10-31_APS-125</v>
      </c>
      <c r="C1446" s="10">
        <f>VLOOKUP(B1446,'Run Reconcile'!A$2:B1579,2,FALSE)</f>
        <v>44865</v>
      </c>
      <c r="D1446" s="14">
        <f>IFERROR(__xludf.DUMMYFUNCTION("""COMPUTED_VALUE"""),44865.0)</f>
        <v>44865</v>
      </c>
      <c r="E1446" s="15">
        <f>IFERROR(__xludf.DUMMYFUNCTION("""COMPUTED_VALUE"""),0.32592592592482106)</f>
        <v>0.3259259259</v>
      </c>
      <c r="F1446" s="8" t="str">
        <f>IFERROR(__xludf.DUMMYFUNCTION("""COMPUTED_VALUE"""),"Negative")</f>
        <v>Negative</v>
      </c>
      <c r="G1446" s="16">
        <f>IFERROR(__xludf.DUMMYFUNCTION("""COMPUTED_VALUE"""),1.0)</f>
        <v>1</v>
      </c>
      <c r="H1446" s="8" t="str">
        <f>IFERROR(__xludf.DUMMYFUNCTION("""COMPUTED_VALUE"""),"FLSP")</f>
        <v>FLSP</v>
      </c>
    </row>
    <row r="1447">
      <c r="A1447" s="8" t="str">
        <f>IFERROR(__xludf.DUMMYFUNCTION("""COMPUTED_VALUE"""),"AK9512")</f>
        <v>AK9512</v>
      </c>
      <c r="B1447" s="8" t="str">
        <f>IFERROR(__xludf.DUMMYFUNCTION("""COMPUTED_VALUE"""),"RUN-FLMP_2022-11-03_APS-126")</f>
        <v>RUN-FLMP_2022-11-03_APS-126</v>
      </c>
      <c r="C1447" s="10">
        <f>VLOOKUP(B1447,'Run Reconcile'!A$2:B1579,2,FALSE)</f>
        <v>44868</v>
      </c>
      <c r="D1447" s="14">
        <f>IFERROR(__xludf.DUMMYFUNCTION("""COMPUTED_VALUE"""),44868.0)</f>
        <v>44868</v>
      </c>
      <c r="E1447" s="15">
        <f>IFERROR(__xludf.DUMMYFUNCTION("""COMPUTED_VALUE"""),0.3408449074086093)</f>
        <v>0.3408449074</v>
      </c>
      <c r="F1447" s="8" t="str">
        <f>IFERROR(__xludf.DUMMYFUNCTION("""COMPUTED_VALUE"""),"Negative")</f>
        <v>Negative</v>
      </c>
      <c r="G1447" s="16">
        <f>IFERROR(__xludf.DUMMYFUNCTION("""COMPUTED_VALUE"""),2.0)</f>
        <v>2</v>
      </c>
      <c r="H1447" s="8" t="str">
        <f>IFERROR(__xludf.DUMMYFUNCTION("""COMPUTED_VALUE"""),"FLSP")</f>
        <v>FLSP</v>
      </c>
    </row>
    <row r="1448">
      <c r="A1448" s="8" t="str">
        <f>IFERROR(__xludf.DUMMYFUNCTION("""COMPUTED_VALUE"""),"AG2003")</f>
        <v>AG2003</v>
      </c>
      <c r="B1448" s="8" t="str">
        <f>IFERROR(__xludf.DUMMYFUNCTION("""COMPUTED_VALUE"""),"RUN-FLMP_2022-11-03_APS-126")</f>
        <v>RUN-FLMP_2022-11-03_APS-126</v>
      </c>
      <c r="C1448" s="10">
        <f>VLOOKUP(B1448,'Run Reconcile'!A$2:B1579,2,FALSE)</f>
        <v>44868</v>
      </c>
      <c r="D1448" s="14">
        <f>IFERROR(__xludf.DUMMYFUNCTION("""COMPUTED_VALUE"""),44868.0)</f>
        <v>44868</v>
      </c>
      <c r="E1448" s="15">
        <f>IFERROR(__xludf.DUMMYFUNCTION("""COMPUTED_VALUE"""),0.37208333333182964)</f>
        <v>0.3720833333</v>
      </c>
      <c r="F1448" s="8" t="str">
        <f>IFERROR(__xludf.DUMMYFUNCTION("""COMPUTED_VALUE"""),"Negative")</f>
        <v>Negative</v>
      </c>
      <c r="G1448" s="16">
        <f>IFERROR(__xludf.DUMMYFUNCTION("""COMPUTED_VALUE"""),4.0)</f>
        <v>4</v>
      </c>
      <c r="H1448" s="8" t="str">
        <f>IFERROR(__xludf.DUMMYFUNCTION("""COMPUTED_VALUE"""),"FLSP")</f>
        <v>FLSP</v>
      </c>
    </row>
    <row r="1449">
      <c r="A1449" s="8" t="str">
        <f>IFERROR(__xludf.DUMMYFUNCTION("""COMPUTED_VALUE"""),"AJ9310")</f>
        <v>AJ9310</v>
      </c>
      <c r="B1449" s="8" t="str">
        <f>IFERROR(__xludf.DUMMYFUNCTION("""COMPUTED_VALUE"""),"RUN-FLMP_2022-11-03_APS-126")</f>
        <v>RUN-FLMP_2022-11-03_APS-126</v>
      </c>
      <c r="C1449" s="10">
        <f>VLOOKUP(B1449,'Run Reconcile'!A$2:B1579,2,FALSE)</f>
        <v>44868</v>
      </c>
      <c r="D1449" s="14">
        <f>IFERROR(__xludf.DUMMYFUNCTION("""COMPUTED_VALUE"""),44868.0)</f>
        <v>44868</v>
      </c>
      <c r="E1449" s="15">
        <f>IFERROR(__xludf.DUMMYFUNCTION("""COMPUTED_VALUE"""),0.3798726851855463)</f>
        <v>0.3798726852</v>
      </c>
      <c r="F1449" s="8" t="str">
        <f>IFERROR(__xludf.DUMMYFUNCTION("""COMPUTED_VALUE"""),"Negative")</f>
        <v>Negative</v>
      </c>
      <c r="G1449" s="16">
        <f>IFERROR(__xludf.DUMMYFUNCTION("""COMPUTED_VALUE"""),1.0)</f>
        <v>1</v>
      </c>
      <c r="H1449" s="8" t="str">
        <f>IFERROR(__xludf.DUMMYFUNCTION("""COMPUTED_VALUE"""),"FLSP")</f>
        <v>FLSP</v>
      </c>
    </row>
    <row r="1450">
      <c r="A1450" s="8" t="str">
        <f>IFERROR(__xludf.DUMMYFUNCTION("""COMPUTED_VALUE"""),"FLE303")</f>
        <v>FLE303</v>
      </c>
      <c r="B1450" s="8" t="str">
        <f>IFERROR(__xludf.DUMMYFUNCTION("""COMPUTED_VALUE"""),"RUN-FLMP_2022-11-07_APS-127")</f>
        <v>RUN-FLMP_2022-11-07_APS-127</v>
      </c>
      <c r="C1450" s="10">
        <f>VLOOKUP(B1450,'Run Reconcile'!A$2:B1579,2,FALSE)</f>
        <v>44872</v>
      </c>
      <c r="D1450" s="14">
        <f>IFERROR(__xludf.DUMMYFUNCTION("""COMPUTED_VALUE"""),44872.0)</f>
        <v>44872</v>
      </c>
      <c r="E1450" s="15">
        <f>IFERROR(__xludf.DUMMYFUNCTION("""COMPUTED_VALUE"""),0.3559259259272949)</f>
        <v>0.3559259259</v>
      </c>
      <c r="F1450" s="8" t="str">
        <f>IFERROR(__xludf.DUMMYFUNCTION("""COMPUTED_VALUE"""),"Negative")</f>
        <v>Negative</v>
      </c>
      <c r="G1450" s="16">
        <f>IFERROR(__xludf.DUMMYFUNCTION("""COMPUTED_VALUE"""),4.0)</f>
        <v>4</v>
      </c>
      <c r="H1450" s="8" t="str">
        <f>IFERROR(__xludf.DUMMYFUNCTION("""COMPUTED_VALUE"""),"FLSP")</f>
        <v>FLSP</v>
      </c>
    </row>
    <row r="1451">
      <c r="A1451" s="8" t="str">
        <f>IFERROR(__xludf.DUMMYFUNCTION("""COMPUTED_VALUE"""),"AJ9136")</f>
        <v>AJ9136</v>
      </c>
      <c r="B1451" s="8" t="str">
        <f>IFERROR(__xludf.DUMMYFUNCTION("""COMPUTED_VALUE"""),"RUN-FLMP_2022-11-07_APS-127")</f>
        <v>RUN-FLMP_2022-11-07_APS-127</v>
      </c>
      <c r="C1451" s="10">
        <f>VLOOKUP(B1451,'Run Reconcile'!A$2:B1579,2,FALSE)</f>
        <v>44872</v>
      </c>
      <c r="D1451" s="14">
        <f>IFERROR(__xludf.DUMMYFUNCTION("""COMPUTED_VALUE"""),44872.0)</f>
        <v>44872</v>
      </c>
      <c r="E1451" s="15">
        <f>IFERROR(__xludf.DUMMYFUNCTION("""COMPUTED_VALUE"""),0.3737152777794108)</f>
        <v>0.3737152778</v>
      </c>
      <c r="F1451" s="8" t="str">
        <f>IFERROR(__xludf.DUMMYFUNCTION("""COMPUTED_VALUE"""),"Negative")</f>
        <v>Negative</v>
      </c>
      <c r="G1451" s="16">
        <f>IFERROR(__xludf.DUMMYFUNCTION("""COMPUTED_VALUE"""),2.0)</f>
        <v>2</v>
      </c>
      <c r="H1451" s="8" t="str">
        <f>IFERROR(__xludf.DUMMYFUNCTION("""COMPUTED_VALUE"""),"FLSP")</f>
        <v>FLSP</v>
      </c>
    </row>
    <row r="1452">
      <c r="A1452" s="8" t="str">
        <f>IFERROR(__xludf.DUMMYFUNCTION("""COMPUTED_VALUE"""),"AH6914")</f>
        <v>AH6914</v>
      </c>
      <c r="B1452" s="8" t="str">
        <f>IFERROR(__xludf.DUMMYFUNCTION("""COMPUTED_VALUE"""),"RUN-FLMP_2022-11-07_APS-127")</f>
        <v>RUN-FLMP_2022-11-07_APS-127</v>
      </c>
      <c r="C1452" s="10">
        <f>VLOOKUP(B1452,'Run Reconcile'!A$2:B1579,2,FALSE)</f>
        <v>44872</v>
      </c>
      <c r="D1452" s="14">
        <f>IFERROR(__xludf.DUMMYFUNCTION("""COMPUTED_VALUE"""),44872.0)</f>
        <v>44872</v>
      </c>
      <c r="E1452" s="15">
        <f>IFERROR(__xludf.DUMMYFUNCTION("""COMPUTED_VALUE"""),0.3999189814821875)</f>
        <v>0.3999189815</v>
      </c>
      <c r="F1452" s="8" t="str">
        <f>IFERROR(__xludf.DUMMYFUNCTION("""COMPUTED_VALUE"""),"Negative")</f>
        <v>Negative</v>
      </c>
      <c r="G1452" s="16">
        <f>IFERROR(__xludf.DUMMYFUNCTION("""COMPUTED_VALUE"""),1.0)</f>
        <v>1</v>
      </c>
      <c r="H1452" s="8" t="str">
        <f>IFERROR(__xludf.DUMMYFUNCTION("""COMPUTED_VALUE"""),"FLSP")</f>
        <v>FLSP</v>
      </c>
    </row>
    <row r="1453">
      <c r="A1453" s="8" t="str">
        <f>IFERROR(__xludf.DUMMYFUNCTION("""COMPUTED_VALUE"""),"AG4767")</f>
        <v>AG4767</v>
      </c>
      <c r="B1453" s="8" t="str">
        <f>IFERROR(__xludf.DUMMYFUNCTION("""COMPUTED_VALUE"""),"RUN-FLMP_2022-11-10_APS-128")</f>
        <v>RUN-FLMP_2022-11-10_APS-128</v>
      </c>
      <c r="C1453" s="10">
        <f>VLOOKUP(B1453,'Run Reconcile'!A$2:B1579,2,FALSE)</f>
        <v>44875</v>
      </c>
      <c r="D1453" s="14">
        <f>IFERROR(__xludf.DUMMYFUNCTION("""COMPUTED_VALUE"""),44875.0)</f>
        <v>44875</v>
      </c>
      <c r="E1453" s="15">
        <f>IFERROR(__xludf.DUMMYFUNCTION("""COMPUTED_VALUE"""),0.3945486111115315)</f>
        <v>0.3945486111</v>
      </c>
      <c r="F1453" s="8" t="str">
        <f>IFERROR(__xludf.DUMMYFUNCTION("""COMPUTED_VALUE"""),"Negative")</f>
        <v>Negative</v>
      </c>
      <c r="G1453" s="16">
        <f>IFERROR(__xludf.DUMMYFUNCTION("""COMPUTED_VALUE"""),1.0)</f>
        <v>1</v>
      </c>
      <c r="H1453" s="8" t="str">
        <f>IFERROR(__xludf.DUMMYFUNCTION("""COMPUTED_VALUE"""),"FLSP")</f>
        <v>FLSP</v>
      </c>
    </row>
    <row r="1454">
      <c r="A1454" s="8" t="str">
        <f>IFERROR(__xludf.DUMMYFUNCTION("""COMPUTED_VALUE"""),"FLE307A")</f>
        <v>FLE307A</v>
      </c>
      <c r="B1454" s="8" t="str">
        <f>IFERROR(__xludf.DUMMYFUNCTION("""COMPUTED_VALUE"""),"RUN-FLMP_2022-11-10_APS-128")</f>
        <v>RUN-FLMP_2022-11-10_APS-128</v>
      </c>
      <c r="C1454" s="10">
        <f>VLOOKUP(B1454,'Run Reconcile'!A$2:B1579,2,FALSE)</f>
        <v>44875</v>
      </c>
      <c r="D1454" s="14">
        <f>IFERROR(__xludf.DUMMYFUNCTION("""COMPUTED_VALUE"""),44875.0)</f>
        <v>44875</v>
      </c>
      <c r="E1454" s="15">
        <f>IFERROR(__xludf.DUMMYFUNCTION("""COMPUTED_VALUE"""),0.39539351851999527)</f>
        <v>0.3953935185</v>
      </c>
      <c r="F1454" s="8" t="str">
        <f>IFERROR(__xludf.DUMMYFUNCTION("""COMPUTED_VALUE"""),"Negative")</f>
        <v>Negative</v>
      </c>
      <c r="G1454" s="16">
        <f>IFERROR(__xludf.DUMMYFUNCTION("""COMPUTED_VALUE"""),4.0)</f>
        <v>4</v>
      </c>
      <c r="H1454" s="8" t="str">
        <f>IFERROR(__xludf.DUMMYFUNCTION("""COMPUTED_VALUE"""),"FLSP")</f>
        <v>FLSP</v>
      </c>
    </row>
    <row r="1455">
      <c r="A1455" s="8" t="str">
        <f>IFERROR(__xludf.DUMMYFUNCTION("""COMPUTED_VALUE"""),"AH7694")</f>
        <v>AH7694</v>
      </c>
      <c r="B1455" s="8" t="str">
        <f>IFERROR(__xludf.DUMMYFUNCTION("""COMPUTED_VALUE"""),"RUN-FLMP_2022-11-14_APS-129")</f>
        <v>RUN-FLMP_2022-11-14_APS-129</v>
      </c>
      <c r="C1455" s="10">
        <f>VLOOKUP(B1455,'Run Reconcile'!A$2:B1579,2,FALSE)</f>
        <v>44879</v>
      </c>
      <c r="D1455" s="14">
        <f>IFERROR(__xludf.DUMMYFUNCTION("""COMPUTED_VALUE"""),44879.0)</f>
        <v>44879</v>
      </c>
      <c r="E1455" s="15">
        <f>IFERROR(__xludf.DUMMYFUNCTION("""COMPUTED_VALUE"""),0.33482638888744987)</f>
        <v>0.3348263889</v>
      </c>
      <c r="F1455" s="8" t="str">
        <f>IFERROR(__xludf.DUMMYFUNCTION("""COMPUTED_VALUE"""),"Negative")</f>
        <v>Negative</v>
      </c>
      <c r="G1455" s="16">
        <f>IFERROR(__xludf.DUMMYFUNCTION("""COMPUTED_VALUE"""),1.0)</f>
        <v>1</v>
      </c>
      <c r="H1455" s="8" t="str">
        <f>IFERROR(__xludf.DUMMYFUNCTION("""COMPUTED_VALUE"""),"FLSP")</f>
        <v>FLSP</v>
      </c>
    </row>
    <row r="1456">
      <c r="A1456" s="8" t="str">
        <f>IFERROR(__xludf.DUMMYFUNCTION("""COMPUTED_VALUE"""),"AJ8133")</f>
        <v>AJ8133</v>
      </c>
      <c r="B1456" s="8" t="str">
        <f>IFERROR(__xludf.DUMMYFUNCTION("""COMPUTED_VALUE"""),"RUN-FLMP_2022-11-14_APS-129")</f>
        <v>RUN-FLMP_2022-11-14_APS-129</v>
      </c>
      <c r="C1456" s="10">
        <f>VLOOKUP(B1456,'Run Reconcile'!A$2:B1579,2,FALSE)</f>
        <v>44879</v>
      </c>
      <c r="D1456" s="14">
        <f>IFERROR(__xludf.DUMMYFUNCTION("""COMPUTED_VALUE"""),44879.0)</f>
        <v>44879</v>
      </c>
      <c r="E1456" s="15">
        <f>IFERROR(__xludf.DUMMYFUNCTION("""COMPUTED_VALUE"""),0.3370601851856918)</f>
        <v>0.3370601852</v>
      </c>
      <c r="F1456" s="8" t="str">
        <f>IFERROR(__xludf.DUMMYFUNCTION("""COMPUTED_VALUE"""),"Negative")</f>
        <v>Negative</v>
      </c>
      <c r="G1456" s="16">
        <f>IFERROR(__xludf.DUMMYFUNCTION("""COMPUTED_VALUE"""),2.0)</f>
        <v>2</v>
      </c>
      <c r="H1456" s="8" t="str">
        <f>IFERROR(__xludf.DUMMYFUNCTION("""COMPUTED_VALUE"""),"FLSP")</f>
        <v>FLSP</v>
      </c>
    </row>
    <row r="1457">
      <c r="A1457" s="8" t="str">
        <f>IFERROR(__xludf.DUMMYFUNCTION("""COMPUTED_VALUE"""),"AJ4687")</f>
        <v>AJ4687</v>
      </c>
      <c r="B1457" s="8" t="str">
        <f>IFERROR(__xludf.DUMMYFUNCTION("""COMPUTED_VALUE"""),"RUN-FLMP_2022-11-14_APS-129")</f>
        <v>RUN-FLMP_2022-11-14_APS-129</v>
      </c>
      <c r="C1457" s="10">
        <f>VLOOKUP(B1457,'Run Reconcile'!A$2:B1579,2,FALSE)</f>
        <v>44879</v>
      </c>
      <c r="D1457" s="14">
        <f>IFERROR(__xludf.DUMMYFUNCTION("""COMPUTED_VALUE"""),44879.0)</f>
        <v>44879</v>
      </c>
      <c r="E1457" s="15">
        <f>IFERROR(__xludf.DUMMYFUNCTION("""COMPUTED_VALUE"""),0.3779398148144537)</f>
        <v>0.3779398148</v>
      </c>
      <c r="F1457" s="8" t="str">
        <f>IFERROR(__xludf.DUMMYFUNCTION("""COMPUTED_VALUE"""),"Negative")</f>
        <v>Negative</v>
      </c>
      <c r="G1457" s="16">
        <f>IFERROR(__xludf.DUMMYFUNCTION("""COMPUTED_VALUE"""),1.0)</f>
        <v>1</v>
      </c>
      <c r="H1457" s="8" t="str">
        <f>IFERROR(__xludf.DUMMYFUNCTION("""COMPUTED_VALUE"""),"FLSP")</f>
        <v>FLSP</v>
      </c>
    </row>
    <row r="1458">
      <c r="A1458" s="8" t="str">
        <f>IFERROR(__xludf.DUMMYFUNCTION("""COMPUTED_VALUE"""),"AH7694A")</f>
        <v>AH7694A</v>
      </c>
      <c r="B1458" s="8" t="str">
        <f>IFERROR(__xludf.DUMMYFUNCTION("""COMPUTED_VALUE"""),"RUN-FLMP_2022-11-14_APS-129")</f>
        <v>RUN-FLMP_2022-11-14_APS-129</v>
      </c>
      <c r="C1458" s="10">
        <f>VLOOKUP(B1458,'Run Reconcile'!A$2:B1579,2,FALSE)</f>
        <v>44879</v>
      </c>
      <c r="D1458" s="14">
        <f>IFERROR(__xludf.DUMMYFUNCTION("""COMPUTED_VALUE"""),44879.0)</f>
        <v>44879</v>
      </c>
      <c r="E1458" s="15">
        <f>IFERROR(__xludf.DUMMYFUNCTION("""COMPUTED_VALUE"""),0.4836111111108039)</f>
        <v>0.4836111111</v>
      </c>
      <c r="F1458" s="8" t="str">
        <f>IFERROR(__xludf.DUMMYFUNCTION("""COMPUTED_VALUE"""),"Negative")</f>
        <v>Negative</v>
      </c>
      <c r="G1458" s="16">
        <f>IFERROR(__xludf.DUMMYFUNCTION("""COMPUTED_VALUE"""),2.0)</f>
        <v>2</v>
      </c>
      <c r="H1458" s="8" t="str">
        <f>IFERROR(__xludf.DUMMYFUNCTION("""COMPUTED_VALUE"""),"FLSP")</f>
        <v>FLSP</v>
      </c>
    </row>
    <row r="1459">
      <c r="A1459" s="8" t="str">
        <f>IFERROR(__xludf.DUMMYFUNCTION("""COMPUTED_VALUE"""),"AH944A")</f>
        <v>AH944A</v>
      </c>
      <c r="B1459" s="8" t="str">
        <f>IFERROR(__xludf.DUMMYFUNCTION("""COMPUTED_VALUE"""),"RUN-FLMP_2022-11-14_APS-129")</f>
        <v>RUN-FLMP_2022-11-14_APS-129</v>
      </c>
      <c r="C1459" s="10">
        <f>VLOOKUP(B1459,'Run Reconcile'!A$2:B1579,2,FALSE)</f>
        <v>44879</v>
      </c>
      <c r="D1459" s="14">
        <f>IFERROR(__xludf.DUMMYFUNCTION("""COMPUTED_VALUE"""),44879.0)</f>
        <v>44879</v>
      </c>
      <c r="E1459" s="15">
        <f>IFERROR(__xludf.DUMMYFUNCTION("""COMPUTED_VALUE"""),0.48394675926101627)</f>
        <v>0.4839467593</v>
      </c>
      <c r="F1459" s="8" t="str">
        <f>IFERROR(__xludf.DUMMYFUNCTION("""COMPUTED_VALUE"""),"Negative")</f>
        <v>Negative</v>
      </c>
      <c r="G1459" s="16">
        <f>IFERROR(__xludf.DUMMYFUNCTION("""COMPUTED_VALUE"""),2.0)</f>
        <v>2</v>
      </c>
      <c r="H1459" s="8" t="str">
        <f>IFERROR(__xludf.DUMMYFUNCTION("""COMPUTED_VALUE"""),"FLSP")</f>
        <v>FLSP</v>
      </c>
    </row>
    <row r="1460">
      <c r="A1460" s="8" t="str">
        <f>IFERROR(__xludf.DUMMYFUNCTION("""COMPUTED_VALUE"""),"AK6675")</f>
        <v>AK6675</v>
      </c>
      <c r="B1460" s="8" t="str">
        <f>IFERROR(__xludf.DUMMYFUNCTION("""COMPUTED_VALUE"""),"RUN-FLMP_2022-11-21_APS-130")</f>
        <v>RUN-FLMP_2022-11-21_APS-130</v>
      </c>
      <c r="C1460" s="10">
        <f>VLOOKUP(B1460,'Run Reconcile'!A$2:B1579,2,FALSE)</f>
        <v>44886</v>
      </c>
      <c r="D1460" s="14">
        <f>IFERROR(__xludf.DUMMYFUNCTION("""COMPUTED_VALUE"""),44886.0)</f>
        <v>44886</v>
      </c>
      <c r="E1460" s="15">
        <f>IFERROR(__xludf.DUMMYFUNCTION("""COMPUTED_VALUE"""),0.35204861111196806)</f>
        <v>0.3520486111</v>
      </c>
      <c r="F1460" s="8" t="str">
        <f>IFERROR(__xludf.DUMMYFUNCTION("""COMPUTED_VALUE"""),"Negative")</f>
        <v>Negative</v>
      </c>
      <c r="G1460" s="16">
        <f>IFERROR(__xludf.DUMMYFUNCTION("""COMPUTED_VALUE"""),2.0)</f>
        <v>2</v>
      </c>
      <c r="H1460" s="8" t="str">
        <f>IFERROR(__xludf.DUMMYFUNCTION("""COMPUTED_VALUE"""),"FLSP")</f>
        <v>FLSP</v>
      </c>
    </row>
    <row r="1461">
      <c r="A1461" s="8" t="str">
        <f>IFERROR(__xludf.DUMMYFUNCTION("""COMPUTED_VALUE"""),"AH131")</f>
        <v>AH131</v>
      </c>
      <c r="B1461" s="8" t="str">
        <f>IFERROR(__xludf.DUMMYFUNCTION("""COMPUTED_VALUE"""),"RUN-FLMP_2022-11-21_APS-130")</f>
        <v>RUN-FLMP_2022-11-21_APS-130</v>
      </c>
      <c r="C1461" s="10">
        <f>VLOOKUP(B1461,'Run Reconcile'!A$2:B1579,2,FALSE)</f>
        <v>44886</v>
      </c>
      <c r="D1461" s="14">
        <f>IFERROR(__xludf.DUMMYFUNCTION("""COMPUTED_VALUE"""),44886.0)</f>
        <v>44886</v>
      </c>
      <c r="E1461" s="15">
        <f>IFERROR(__xludf.DUMMYFUNCTION("""COMPUTED_VALUE"""),0.3677662037043774)</f>
        <v>0.3677662037</v>
      </c>
      <c r="F1461" s="8" t="str">
        <f>IFERROR(__xludf.DUMMYFUNCTION("""COMPUTED_VALUE"""),"Negative")</f>
        <v>Negative</v>
      </c>
      <c r="G1461" s="16">
        <f>IFERROR(__xludf.DUMMYFUNCTION("""COMPUTED_VALUE"""),2.0)</f>
        <v>2</v>
      </c>
      <c r="H1461" s="8" t="str">
        <f>IFERROR(__xludf.DUMMYFUNCTION("""COMPUTED_VALUE"""),"FLSP")</f>
        <v>FLSP</v>
      </c>
    </row>
    <row r="1462">
      <c r="A1462" s="8" t="str">
        <f>IFERROR(__xludf.DUMMYFUNCTION("""COMPUTED_VALUE"""),"AH990")</f>
        <v>AH990</v>
      </c>
      <c r="B1462" s="8" t="str">
        <f>IFERROR(__xludf.DUMMYFUNCTION("""COMPUTED_VALUE"""),"RUN-FLMP_2022-11-21_APS-130")</f>
        <v>RUN-FLMP_2022-11-21_APS-130</v>
      </c>
      <c r="C1462" s="10">
        <f>VLOOKUP(B1462,'Run Reconcile'!A$2:B1579,2,FALSE)</f>
        <v>44886</v>
      </c>
      <c r="D1462" s="14">
        <f>IFERROR(__xludf.DUMMYFUNCTION("""COMPUTED_VALUE"""),44886.0)</f>
        <v>44886</v>
      </c>
      <c r="E1462" s="15">
        <f>IFERROR(__xludf.DUMMYFUNCTION("""COMPUTED_VALUE"""),0.40645833333474)</f>
        <v>0.4064583333</v>
      </c>
      <c r="F1462" s="8" t="str">
        <f>IFERROR(__xludf.DUMMYFUNCTION("""COMPUTED_VALUE"""),"Negative")</f>
        <v>Negative</v>
      </c>
      <c r="G1462" s="16">
        <f>IFERROR(__xludf.DUMMYFUNCTION("""COMPUTED_VALUE"""),1.0)</f>
        <v>1</v>
      </c>
      <c r="H1462" s="8" t="str">
        <f>IFERROR(__xludf.DUMMYFUNCTION("""COMPUTED_VALUE"""),"FLSP")</f>
        <v>FLSP</v>
      </c>
    </row>
    <row r="1463">
      <c r="A1463" s="8" t="str">
        <f>IFERROR(__xludf.DUMMYFUNCTION("""COMPUTED_VALUE"""),"AJ7671")</f>
        <v>AJ7671</v>
      </c>
      <c r="B1463" s="8" t="str">
        <f>IFERROR(__xludf.DUMMYFUNCTION("""COMPUTED_VALUE"""),"RUN-FLMP_2022-11-29_APS-131")</f>
        <v>RUN-FLMP_2022-11-29_APS-131</v>
      </c>
      <c r="C1463" s="10">
        <f>VLOOKUP(B1463,'Run Reconcile'!A$2:B1579,2,FALSE)</f>
        <v>44894</v>
      </c>
      <c r="D1463" s="14">
        <f>IFERROR(__xludf.DUMMYFUNCTION("""COMPUTED_VALUE"""),44894.0)</f>
        <v>44894</v>
      </c>
      <c r="E1463" s="15">
        <f>IFERROR(__xludf.DUMMYFUNCTION("""COMPUTED_VALUE"""),0.3490625000013097)</f>
        <v>0.3490625</v>
      </c>
      <c r="F1463" s="8" t="str">
        <f>IFERROR(__xludf.DUMMYFUNCTION("""COMPUTED_VALUE"""),"Negative")</f>
        <v>Negative</v>
      </c>
      <c r="G1463" s="16">
        <f>IFERROR(__xludf.DUMMYFUNCTION("""COMPUTED_VALUE"""),4.0)</f>
        <v>4</v>
      </c>
      <c r="H1463" s="8" t="str">
        <f>IFERROR(__xludf.DUMMYFUNCTION("""COMPUTED_VALUE"""),"FLSP")</f>
        <v>FLSP</v>
      </c>
    </row>
    <row r="1464">
      <c r="A1464" s="8" t="str">
        <f>IFERROR(__xludf.DUMMYFUNCTION("""COMPUTED_VALUE"""),"AH7360")</f>
        <v>AH7360</v>
      </c>
      <c r="B1464" s="8" t="str">
        <f>IFERROR(__xludf.DUMMYFUNCTION("""COMPUTED_VALUE"""),"RUN-FLMP_2022-11-29_APS-131")</f>
        <v>RUN-FLMP_2022-11-29_APS-131</v>
      </c>
      <c r="C1464" s="10">
        <f>VLOOKUP(B1464,'Run Reconcile'!A$2:B1579,2,FALSE)</f>
        <v>44894</v>
      </c>
      <c r="D1464" s="14">
        <f>IFERROR(__xludf.DUMMYFUNCTION("""COMPUTED_VALUE"""),44894.0)</f>
        <v>44894</v>
      </c>
      <c r="E1464" s="15">
        <f>IFERROR(__xludf.DUMMYFUNCTION("""COMPUTED_VALUE"""),0.39983796296291985)</f>
        <v>0.399837963</v>
      </c>
      <c r="F1464" s="8" t="str">
        <f>IFERROR(__xludf.DUMMYFUNCTION("""COMPUTED_VALUE"""),"Negative")</f>
        <v>Negative</v>
      </c>
      <c r="G1464" s="16">
        <f>IFERROR(__xludf.DUMMYFUNCTION("""COMPUTED_VALUE"""),2.0)</f>
        <v>2</v>
      </c>
      <c r="H1464" s="8" t="str">
        <f>IFERROR(__xludf.DUMMYFUNCTION("""COMPUTED_VALUE"""),"FLSP")</f>
        <v>FLSP</v>
      </c>
    </row>
    <row r="1465">
      <c r="A1465" s="8" t="str">
        <f>IFERROR(__xludf.DUMMYFUNCTION("""COMPUTED_VALUE"""),"AG565")</f>
        <v>AG565</v>
      </c>
      <c r="B1465" s="8" t="str">
        <f>IFERROR(__xludf.DUMMYFUNCTION("""COMPUTED_VALUE"""),"RUN-FLMP_2022-12-01_APS-132")</f>
        <v>RUN-FLMP_2022-12-01_APS-132</v>
      </c>
      <c r="C1465" s="10">
        <f>VLOOKUP(B1465,'Run Reconcile'!A$2:B1579,2,FALSE)</f>
        <v>44896</v>
      </c>
      <c r="D1465" s="14">
        <f>IFERROR(__xludf.DUMMYFUNCTION("""COMPUTED_VALUE"""),44896.0)</f>
        <v>44896</v>
      </c>
      <c r="E1465" s="15">
        <f>IFERROR(__xludf.DUMMYFUNCTION("""COMPUTED_VALUE"""),0.309814814816491)</f>
        <v>0.3098148148</v>
      </c>
      <c r="F1465" s="8" t="str">
        <f>IFERROR(__xludf.DUMMYFUNCTION("""COMPUTED_VALUE"""),"Negative")</f>
        <v>Negative</v>
      </c>
      <c r="G1465" s="16">
        <f>IFERROR(__xludf.DUMMYFUNCTION("""COMPUTED_VALUE"""),4.0)</f>
        <v>4</v>
      </c>
      <c r="H1465" s="8" t="str">
        <f>IFERROR(__xludf.DUMMYFUNCTION("""COMPUTED_VALUE"""),"FLSP")</f>
        <v>FLSP</v>
      </c>
    </row>
    <row r="1466">
      <c r="A1466" s="8" t="str">
        <f>IFERROR(__xludf.DUMMYFUNCTION("""COMPUTED_VALUE"""),"AJ36")</f>
        <v>AJ36</v>
      </c>
      <c r="B1466" s="8" t="str">
        <f>IFERROR(__xludf.DUMMYFUNCTION("""COMPUTED_VALUE"""),"RUN-FLMP_2022-12-01_APS-132")</f>
        <v>RUN-FLMP_2022-12-01_APS-132</v>
      </c>
      <c r="C1466" s="10">
        <f>VLOOKUP(B1466,'Run Reconcile'!A$2:B1579,2,FALSE)</f>
        <v>44896</v>
      </c>
      <c r="D1466" s="14">
        <f>IFERROR(__xludf.DUMMYFUNCTION("""COMPUTED_VALUE"""),44896.0)</f>
        <v>44896</v>
      </c>
      <c r="E1466" s="15">
        <f>IFERROR(__xludf.DUMMYFUNCTION("""COMPUTED_VALUE"""),0.38811342592453)</f>
        <v>0.3881134259</v>
      </c>
      <c r="F1466" s="8" t="str">
        <f>IFERROR(__xludf.DUMMYFUNCTION("""COMPUTED_VALUE"""),"Negative")</f>
        <v>Negative</v>
      </c>
      <c r="G1466" s="16">
        <f>IFERROR(__xludf.DUMMYFUNCTION("""COMPUTED_VALUE"""),1.0)</f>
        <v>1</v>
      </c>
      <c r="H1466" s="8" t="str">
        <f>IFERROR(__xludf.DUMMYFUNCTION("""COMPUTED_VALUE"""),"FLSP")</f>
        <v>FLSP</v>
      </c>
    </row>
    <row r="1467">
      <c r="A1467" s="8" t="str">
        <f>IFERROR(__xludf.DUMMYFUNCTION("""COMPUTED_VALUE"""),"AG1671")</f>
        <v>AG1671</v>
      </c>
      <c r="B1467" s="8" t="str">
        <f>IFERROR(__xludf.DUMMYFUNCTION("""COMPUTED_VALUE"""),"RUN-FLMP_2022-12-01_APS-132")</f>
        <v>RUN-FLMP_2022-12-01_APS-132</v>
      </c>
      <c r="C1467" s="10">
        <f>VLOOKUP(B1467,'Run Reconcile'!A$2:B1579,2,FALSE)</f>
        <v>44896</v>
      </c>
      <c r="D1467" s="14">
        <f>IFERROR(__xludf.DUMMYFUNCTION("""COMPUTED_VALUE"""),44896.0)</f>
        <v>44896</v>
      </c>
      <c r="E1467" s="15">
        <f>IFERROR(__xludf.DUMMYFUNCTION("""COMPUTED_VALUE"""),0.38981481481459923)</f>
        <v>0.3898148148</v>
      </c>
      <c r="F1467" s="8" t="str">
        <f>IFERROR(__xludf.DUMMYFUNCTION("""COMPUTED_VALUE"""),"Negative")</f>
        <v>Negative</v>
      </c>
      <c r="G1467" s="16">
        <f>IFERROR(__xludf.DUMMYFUNCTION("""COMPUTED_VALUE"""),2.0)</f>
        <v>2</v>
      </c>
      <c r="H1467" s="8" t="str">
        <f>IFERROR(__xludf.DUMMYFUNCTION("""COMPUTED_VALUE"""),"FLSP")</f>
        <v>FLSP</v>
      </c>
    </row>
    <row r="1468">
      <c r="A1468" s="8" t="str">
        <f>IFERROR(__xludf.DUMMYFUNCTION("""COMPUTED_VALUE"""),"AG1767")</f>
        <v>AG1767</v>
      </c>
      <c r="B1468" s="8" t="str">
        <f>IFERROR(__xludf.DUMMYFUNCTION("""COMPUTED_VALUE"""),"RUN-FLMP_2022-12-08_APS-133")</f>
        <v>RUN-FLMP_2022-12-08_APS-133</v>
      </c>
      <c r="C1468" s="10">
        <f>VLOOKUP(B1468,'Run Reconcile'!A$2:B1579,2,FALSE)</f>
        <v>44903</v>
      </c>
      <c r="D1468" s="14">
        <f>IFERROR(__xludf.DUMMYFUNCTION("""COMPUTED_VALUE"""),44903.0)</f>
        <v>44903</v>
      </c>
      <c r="E1468" s="15">
        <f>IFERROR(__xludf.DUMMYFUNCTION("""COMPUTED_VALUE"""),0.3328472222237906)</f>
        <v>0.3328472222</v>
      </c>
      <c r="F1468" s="8" t="str">
        <f>IFERROR(__xludf.DUMMYFUNCTION("""COMPUTED_VALUE"""),"Negative")</f>
        <v>Negative</v>
      </c>
      <c r="G1468" s="16">
        <f>IFERROR(__xludf.DUMMYFUNCTION("""COMPUTED_VALUE"""),4.0)</f>
        <v>4</v>
      </c>
      <c r="H1468" s="8" t="str">
        <f>IFERROR(__xludf.DUMMYFUNCTION("""COMPUTED_VALUE"""),"FLSP")</f>
        <v>FLSP</v>
      </c>
    </row>
    <row r="1469">
      <c r="A1469" s="8" t="str">
        <f>IFERROR(__xludf.DUMMYFUNCTION("""COMPUTED_VALUE"""),"AG1725")</f>
        <v>AG1725</v>
      </c>
      <c r="B1469" s="8" t="str">
        <f>IFERROR(__xludf.DUMMYFUNCTION("""COMPUTED_VALUE"""),"RUN-FLMP_2022-12-08_APS-133")</f>
        <v>RUN-FLMP_2022-12-08_APS-133</v>
      </c>
      <c r="C1469" s="10">
        <f>VLOOKUP(B1469,'Run Reconcile'!A$2:B1579,2,FALSE)</f>
        <v>44903</v>
      </c>
      <c r="D1469" s="14">
        <f>IFERROR(__xludf.DUMMYFUNCTION("""COMPUTED_VALUE"""),44903.0)</f>
        <v>44903</v>
      </c>
      <c r="E1469" s="15">
        <f>IFERROR(__xludf.DUMMYFUNCTION("""COMPUTED_VALUE"""),0.3549421296302171)</f>
        <v>0.3549421296</v>
      </c>
      <c r="F1469" s="8" t="str">
        <f>IFERROR(__xludf.DUMMYFUNCTION("""COMPUTED_VALUE"""),"Negative")</f>
        <v>Negative</v>
      </c>
      <c r="G1469" s="16">
        <f>IFERROR(__xludf.DUMMYFUNCTION("""COMPUTED_VALUE"""),2.0)</f>
        <v>2</v>
      </c>
      <c r="H1469" s="8" t="str">
        <f>IFERROR(__xludf.DUMMYFUNCTION("""COMPUTED_VALUE"""),"FLSP")</f>
        <v>FLSP</v>
      </c>
    </row>
    <row r="1470">
      <c r="A1470" s="8" t="str">
        <f>IFERROR(__xludf.DUMMYFUNCTION("""COMPUTED_VALUE"""),"AJ8514")</f>
        <v>AJ8514</v>
      </c>
      <c r="B1470" s="8" t="str">
        <f>IFERROR(__xludf.DUMMYFUNCTION("""COMPUTED_VALUE"""),"RUN-FLMP_2022-12-09_APS-134")</f>
        <v>RUN-FLMP_2022-12-09_APS-134</v>
      </c>
      <c r="C1470" s="10">
        <f>VLOOKUP(B1470,'Run Reconcile'!A$2:B1579,2,FALSE)</f>
        <v>44904</v>
      </c>
      <c r="D1470" s="14">
        <f>IFERROR(__xludf.DUMMYFUNCTION("""COMPUTED_VALUE"""),44904.0)</f>
        <v>44904</v>
      </c>
      <c r="E1470" s="15">
        <f>IFERROR(__xludf.DUMMYFUNCTION("""COMPUTED_VALUE"""),0.33487268518365454)</f>
        <v>0.3348726852</v>
      </c>
      <c r="F1470" s="8" t="str">
        <f>IFERROR(__xludf.DUMMYFUNCTION("""COMPUTED_VALUE"""),"Negative")</f>
        <v>Negative</v>
      </c>
      <c r="G1470" s="16">
        <f>IFERROR(__xludf.DUMMYFUNCTION("""COMPUTED_VALUE"""),2.0)</f>
        <v>2</v>
      </c>
      <c r="H1470" s="8" t="str">
        <f>IFERROR(__xludf.DUMMYFUNCTION("""COMPUTED_VALUE"""),"FLSP")</f>
        <v>FLSP</v>
      </c>
    </row>
    <row r="1471">
      <c r="A1471" s="8" t="str">
        <f>IFERROR(__xludf.DUMMYFUNCTION("""COMPUTED_VALUE"""),"FLT193")</f>
        <v>FLT193</v>
      </c>
      <c r="B1471" s="8" t="str">
        <f>IFERROR(__xludf.DUMMYFUNCTION("""COMPUTED_VALUE"""),"RUN-FLMP_2022-12-12_APS-135")</f>
        <v>RUN-FLMP_2022-12-12_APS-135</v>
      </c>
      <c r="C1471" s="10">
        <f>VLOOKUP(B1471,'Run Reconcile'!A$2:B1579,2,FALSE)</f>
        <v>44907</v>
      </c>
      <c r="D1471" s="14">
        <f>IFERROR(__xludf.DUMMYFUNCTION("""COMPUTED_VALUE"""),44907.0)</f>
        <v>44907</v>
      </c>
      <c r="E1471" s="15">
        <f>IFERROR(__xludf.DUMMYFUNCTION("""COMPUTED_VALUE"""),0.3462499999986903)</f>
        <v>0.34625</v>
      </c>
      <c r="F1471" s="8" t="str">
        <f>IFERROR(__xludf.DUMMYFUNCTION("""COMPUTED_VALUE"""),"Negative")</f>
        <v>Negative</v>
      </c>
      <c r="G1471" s="16">
        <f>IFERROR(__xludf.DUMMYFUNCTION("""COMPUTED_VALUE"""),4.0)</f>
        <v>4</v>
      </c>
      <c r="H1471" s="8" t="str">
        <f>IFERROR(__xludf.DUMMYFUNCTION("""COMPUTED_VALUE"""),"FLSP")</f>
        <v>FLSP</v>
      </c>
    </row>
    <row r="1472">
      <c r="A1472" s="8" t="str">
        <f>IFERROR(__xludf.DUMMYFUNCTION("""COMPUTED_VALUE"""),"FLT186")</f>
        <v>FLT186</v>
      </c>
      <c r="B1472" s="8" t="str">
        <f>IFERROR(__xludf.DUMMYFUNCTION("""COMPUTED_VALUE"""),"RUN-FLMP_2022-12-15_APS-136")</f>
        <v>RUN-FLMP_2022-12-15_APS-136</v>
      </c>
      <c r="C1472" s="10">
        <f>VLOOKUP(B1472,'Run Reconcile'!A$2:B1579,2,FALSE)</f>
        <v>44910</v>
      </c>
      <c r="D1472" s="14">
        <f>IFERROR(__xludf.DUMMYFUNCTION("""COMPUTED_VALUE"""),44910.0)</f>
        <v>44910</v>
      </c>
      <c r="E1472" s="15">
        <f>IFERROR(__xludf.DUMMYFUNCTION("""COMPUTED_VALUE"""),0.34623842592554865)</f>
        <v>0.3462384259</v>
      </c>
      <c r="F1472" s="8" t="str">
        <f>IFERROR(__xludf.DUMMYFUNCTION("""COMPUTED_VALUE"""),"Negative")</f>
        <v>Negative</v>
      </c>
      <c r="G1472" s="16">
        <f>IFERROR(__xludf.DUMMYFUNCTION("""COMPUTED_VALUE"""),3.0)</f>
        <v>3</v>
      </c>
      <c r="H1472" s="8" t="str">
        <f>IFERROR(__xludf.DUMMYFUNCTION("""COMPUTED_VALUE"""),"FLSP")</f>
        <v>FLSP</v>
      </c>
    </row>
    <row r="1473">
      <c r="A1473" s="8" t="str">
        <f>IFERROR(__xludf.DUMMYFUNCTION("""COMPUTED_VALUE"""),"FLT150")</f>
        <v>FLT150</v>
      </c>
      <c r="B1473" s="8" t="str">
        <f>IFERROR(__xludf.DUMMYFUNCTION("""COMPUTED_VALUE"""),"RUN-FLMP_2022-12-15_APS-136")</f>
        <v>RUN-FLMP_2022-12-15_APS-136</v>
      </c>
      <c r="C1473" s="10">
        <f>VLOOKUP(B1473,'Run Reconcile'!A$2:B1579,2,FALSE)</f>
        <v>44910</v>
      </c>
      <c r="D1473" s="14">
        <f>IFERROR(__xludf.DUMMYFUNCTION("""COMPUTED_VALUE"""),44910.0)</f>
        <v>44910</v>
      </c>
      <c r="E1473" s="15">
        <f>IFERROR(__xludf.DUMMYFUNCTION("""COMPUTED_VALUE"""),0.3469212962954771)</f>
        <v>0.3469212963</v>
      </c>
      <c r="F1473" s="8" t="str">
        <f>IFERROR(__xludf.DUMMYFUNCTION("""COMPUTED_VALUE"""),"Negative")</f>
        <v>Negative</v>
      </c>
      <c r="G1473" s="16">
        <f>IFERROR(__xludf.DUMMYFUNCTION("""COMPUTED_VALUE"""),2.0)</f>
        <v>2</v>
      </c>
      <c r="H1473" s="8" t="str">
        <f>IFERROR(__xludf.DUMMYFUNCTION("""COMPUTED_VALUE"""),"FLSP")</f>
        <v>FLSP</v>
      </c>
    </row>
    <row r="1474">
      <c r="A1474" s="8" t="str">
        <f>IFERROR(__xludf.DUMMYFUNCTION("""COMPUTED_VALUE"""),"AH7754")</f>
        <v>AH7754</v>
      </c>
      <c r="B1474" s="8" t="str">
        <f>IFERROR(__xludf.DUMMYFUNCTION("""COMPUTED_VALUE"""),"RUN-FLMP_2022-12-15_APS-136")</f>
        <v>RUN-FLMP_2022-12-15_APS-136</v>
      </c>
      <c r="C1474" s="10">
        <f>VLOOKUP(B1474,'Run Reconcile'!A$2:B1579,2,FALSE)</f>
        <v>44910</v>
      </c>
      <c r="D1474" s="14">
        <f>IFERROR(__xludf.DUMMYFUNCTION("""COMPUTED_VALUE"""),44910.0)</f>
        <v>44910</v>
      </c>
      <c r="E1474" s="15">
        <f>IFERROR(__xludf.DUMMYFUNCTION("""COMPUTED_VALUE"""),0.35001157407532446)</f>
        <v>0.3500115741</v>
      </c>
      <c r="F1474" s="8" t="str">
        <f>IFERROR(__xludf.DUMMYFUNCTION("""COMPUTED_VALUE"""),"Positive")</f>
        <v>Positive</v>
      </c>
      <c r="G1474" s="16">
        <f>IFERROR(__xludf.DUMMYFUNCTION("""COMPUTED_VALUE"""),2.0)</f>
        <v>2</v>
      </c>
      <c r="H1474" s="8" t="str">
        <f>IFERROR(__xludf.DUMMYFUNCTION("""COMPUTED_VALUE"""),"FLSP")</f>
        <v>FLSP</v>
      </c>
    </row>
    <row r="1475">
      <c r="A1475" s="8" t="str">
        <f>IFERROR(__xludf.DUMMYFUNCTION("""COMPUTED_VALUE"""),"AJ7520")</f>
        <v>AJ7520</v>
      </c>
      <c r="B1475" s="8" t="str">
        <f>IFERROR(__xludf.DUMMYFUNCTION("""COMPUTED_VALUE"""),"RUN-FLMP_2022-12-15_APS-136")</f>
        <v>RUN-FLMP_2022-12-15_APS-136</v>
      </c>
      <c r="C1475" s="10">
        <f>VLOOKUP(B1475,'Run Reconcile'!A$2:B1579,2,FALSE)</f>
        <v>44910</v>
      </c>
      <c r="D1475" s="14">
        <f>IFERROR(__xludf.DUMMYFUNCTION("""COMPUTED_VALUE"""),44910.0)</f>
        <v>44910</v>
      </c>
      <c r="E1475" s="15">
        <f>IFERROR(__xludf.DUMMYFUNCTION("""COMPUTED_VALUE"""),0.39946759259328246)</f>
        <v>0.3994675926</v>
      </c>
      <c r="F1475" s="8" t="str">
        <f>IFERROR(__xludf.DUMMYFUNCTION("""COMPUTED_VALUE"""),"Negative")</f>
        <v>Negative</v>
      </c>
      <c r="G1475" s="16">
        <f>IFERROR(__xludf.DUMMYFUNCTION("""COMPUTED_VALUE"""),1.0)</f>
        <v>1</v>
      </c>
      <c r="H1475" s="8" t="str">
        <f>IFERROR(__xludf.DUMMYFUNCTION("""COMPUTED_VALUE"""),"FLSP")</f>
        <v>FLSP</v>
      </c>
    </row>
    <row r="1476">
      <c r="A1476" s="8" t="str">
        <f>IFERROR(__xludf.DUMMYFUNCTION("""COMPUTED_VALUE"""),"AG2168")</f>
        <v>AG2168</v>
      </c>
      <c r="B1476" s="8" t="str">
        <f>IFERROR(__xludf.DUMMYFUNCTION("""COMPUTED_VALUE"""),"RUN-FLMP_2022-12-15_APS-136")</f>
        <v>RUN-FLMP_2022-12-15_APS-136</v>
      </c>
      <c r="C1476" s="10">
        <f>VLOOKUP(B1476,'Run Reconcile'!A$2:B1579,2,FALSE)</f>
        <v>44910</v>
      </c>
      <c r="D1476" s="14">
        <f>IFERROR(__xludf.DUMMYFUNCTION("""COMPUTED_VALUE"""),44910.0)</f>
        <v>44910</v>
      </c>
      <c r="E1476" s="15">
        <f>IFERROR(__xludf.DUMMYFUNCTION("""COMPUTED_VALUE"""),0.39987268518598285)</f>
        <v>0.3998726852</v>
      </c>
      <c r="F1476" s="8" t="str">
        <f>IFERROR(__xludf.DUMMYFUNCTION("""COMPUTED_VALUE"""),"Negative")</f>
        <v>Negative</v>
      </c>
      <c r="G1476" s="16">
        <f>IFERROR(__xludf.DUMMYFUNCTION("""COMPUTED_VALUE"""),2.0)</f>
        <v>2</v>
      </c>
      <c r="H1476" s="8" t="str">
        <f>IFERROR(__xludf.DUMMYFUNCTION("""COMPUTED_VALUE"""),"FLSP")</f>
        <v>FLSP</v>
      </c>
    </row>
    <row r="1477">
      <c r="A1477" s="8" t="str">
        <f>IFERROR(__xludf.DUMMYFUNCTION("""COMPUTED_VALUE"""),"FLT1120")</f>
        <v>FLT1120</v>
      </c>
      <c r="B1477" s="8" t="str">
        <f>IFERROR(__xludf.DUMMYFUNCTION("""COMPUTED_VALUE"""),"RUN-FLMP_2022-12-15_APS-136")</f>
        <v>RUN-FLMP_2022-12-15_APS-136</v>
      </c>
      <c r="C1477" s="10">
        <f>VLOOKUP(B1477,'Run Reconcile'!A$2:B1579,2,FALSE)</f>
        <v>44910</v>
      </c>
      <c r="D1477" s="14">
        <f>IFERROR(__xludf.DUMMYFUNCTION("""COMPUTED_VALUE"""),44910.0)</f>
        <v>44910</v>
      </c>
      <c r="E1477" s="15">
        <f>IFERROR(__xludf.DUMMYFUNCTION("""COMPUTED_VALUE"""),0.4006249999983993)</f>
        <v>0.400625</v>
      </c>
      <c r="F1477" s="8" t="str">
        <f>IFERROR(__xludf.DUMMYFUNCTION("""COMPUTED_VALUE"""),"Negative")</f>
        <v>Negative</v>
      </c>
      <c r="G1477" s="16">
        <f>IFERROR(__xludf.DUMMYFUNCTION("""COMPUTED_VALUE"""),1.0)</f>
        <v>1</v>
      </c>
      <c r="H1477" s="8" t="str">
        <f>IFERROR(__xludf.DUMMYFUNCTION("""COMPUTED_VALUE"""),"FLSP")</f>
        <v>FLSP</v>
      </c>
    </row>
    <row r="1478">
      <c r="A1478" s="8" t="str">
        <f>IFERROR(__xludf.DUMMYFUNCTION("""COMPUTED_VALUE"""),"AH446")</f>
        <v>AH446</v>
      </c>
      <c r="B1478" s="8" t="str">
        <f>IFERROR(__xludf.DUMMYFUNCTION("""COMPUTED_VALUE"""),"RUN-FLMP_2022-12-15_APS-136")</f>
        <v>RUN-FLMP_2022-12-15_APS-136</v>
      </c>
      <c r="C1478" s="10">
        <f>VLOOKUP(B1478,'Run Reconcile'!A$2:B1579,2,FALSE)</f>
        <v>44910</v>
      </c>
      <c r="D1478" s="14">
        <f>IFERROR(__xludf.DUMMYFUNCTION("""COMPUTED_VALUE"""),44910.0)</f>
        <v>44910</v>
      </c>
      <c r="E1478" s="15">
        <f>IFERROR(__xludf.DUMMYFUNCTION("""COMPUTED_VALUE"""),0.4009374999986903)</f>
        <v>0.4009375</v>
      </c>
      <c r="F1478" s="8" t="str">
        <f>IFERROR(__xludf.DUMMYFUNCTION("""COMPUTED_VALUE"""),"Negative")</f>
        <v>Negative</v>
      </c>
      <c r="G1478" s="16">
        <f>IFERROR(__xludf.DUMMYFUNCTION("""COMPUTED_VALUE"""),1.0)</f>
        <v>1</v>
      </c>
      <c r="H1478" s="8" t="str">
        <f>IFERROR(__xludf.DUMMYFUNCTION("""COMPUTED_VALUE"""),"FLSP")</f>
        <v>FLSP</v>
      </c>
    </row>
    <row r="1479">
      <c r="A1479" s="8" t="str">
        <f>IFERROR(__xludf.DUMMYFUNCTION("""COMPUTED_VALUE"""),"AH9855")</f>
        <v>AH9855</v>
      </c>
      <c r="B1479" s="8" t="str">
        <f>IFERROR(__xludf.DUMMYFUNCTION("""COMPUTED_VALUE"""),"RUN-FLMP_2022-12-15_APS-136")</f>
        <v>RUN-FLMP_2022-12-15_APS-136</v>
      </c>
      <c r="C1479" s="10">
        <f>VLOOKUP(B1479,'Run Reconcile'!A$2:B1579,2,FALSE)</f>
        <v>44910</v>
      </c>
      <c r="D1479" s="14">
        <f>IFERROR(__xludf.DUMMYFUNCTION("""COMPUTED_VALUE"""),44910.0)</f>
        <v>44910</v>
      </c>
      <c r="E1479" s="15">
        <f>IFERROR(__xludf.DUMMYFUNCTION("""COMPUTED_VALUE"""),0.40133101851824904)</f>
        <v>0.4013310185</v>
      </c>
      <c r="F1479" s="8" t="str">
        <f>IFERROR(__xludf.DUMMYFUNCTION("""COMPUTED_VALUE"""),"Negative")</f>
        <v>Negative</v>
      </c>
      <c r="G1479" s="16">
        <f>IFERROR(__xludf.DUMMYFUNCTION("""COMPUTED_VALUE"""),4.0)</f>
        <v>4</v>
      </c>
      <c r="H1479" s="8" t="str">
        <f>IFERROR(__xludf.DUMMYFUNCTION("""COMPUTED_VALUE"""),"FLSP")</f>
        <v>FLSP</v>
      </c>
    </row>
    <row r="1480">
      <c r="A1480" s="8" t="str">
        <f>IFERROR(__xludf.DUMMYFUNCTION("""COMPUTED_VALUE"""),"AJ8886")</f>
        <v>AJ8886</v>
      </c>
      <c r="B1480" s="8" t="str">
        <f>IFERROR(__xludf.DUMMYFUNCTION("""COMPUTED_VALUE"""),"RUN-FLMP_2022-12-15_APS-136")</f>
        <v>RUN-FLMP_2022-12-15_APS-136</v>
      </c>
      <c r="C1480" s="10">
        <f>VLOOKUP(B1480,'Run Reconcile'!A$2:B1579,2,FALSE)</f>
        <v>44910</v>
      </c>
      <c r="D1480" s="14">
        <f>IFERROR(__xludf.DUMMYFUNCTION("""COMPUTED_VALUE"""),44910.0)</f>
        <v>44910</v>
      </c>
      <c r="E1480" s="15">
        <f>IFERROR(__xludf.DUMMYFUNCTION("""COMPUTED_VALUE"""),0.40216435185357113)</f>
        <v>0.4021643519</v>
      </c>
      <c r="F1480" s="8" t="str">
        <f>IFERROR(__xludf.DUMMYFUNCTION("""COMPUTED_VALUE"""),"Negative")</f>
        <v>Negative</v>
      </c>
      <c r="G1480" s="16">
        <f>IFERROR(__xludf.DUMMYFUNCTION("""COMPUTED_VALUE"""),1.0)</f>
        <v>1</v>
      </c>
      <c r="H1480" s="8" t="str">
        <f>IFERROR(__xludf.DUMMYFUNCTION("""COMPUTED_VALUE"""),"FLSP")</f>
        <v>FLSP</v>
      </c>
    </row>
    <row r="1481">
      <c r="A1481" s="8" t="str">
        <f>IFERROR(__xludf.DUMMYFUNCTION("""COMPUTED_VALUE"""),"AH507")</f>
        <v>AH507</v>
      </c>
      <c r="B1481" s="8" t="str">
        <f>IFERROR(__xludf.DUMMYFUNCTION("""COMPUTED_VALUE"""),"RUN-FLMP_2022-12-15_APS-136")</f>
        <v>RUN-FLMP_2022-12-15_APS-136</v>
      </c>
      <c r="C1481" s="10">
        <f>VLOOKUP(B1481,'Run Reconcile'!A$2:B1579,2,FALSE)</f>
        <v>44910</v>
      </c>
      <c r="D1481" s="14">
        <f>IFERROR(__xludf.DUMMYFUNCTION("""COMPUTED_VALUE"""),44910.0)</f>
        <v>44910</v>
      </c>
      <c r="E1481" s="15">
        <f>IFERROR(__xludf.DUMMYFUNCTION("""COMPUTED_VALUE"""),0.4045486111099308)</f>
        <v>0.4045486111</v>
      </c>
      <c r="F1481" s="8" t="str">
        <f>IFERROR(__xludf.DUMMYFUNCTION("""COMPUTED_VALUE"""),"Negative")</f>
        <v>Negative</v>
      </c>
      <c r="G1481" s="16">
        <f>IFERROR(__xludf.DUMMYFUNCTION("""COMPUTED_VALUE"""),2.0)</f>
        <v>2</v>
      </c>
      <c r="H1481" s="8" t="str">
        <f>IFERROR(__xludf.DUMMYFUNCTION("""COMPUTED_VALUE"""),"FLSP")</f>
        <v>FLSP</v>
      </c>
    </row>
    <row r="1482">
      <c r="A1482" s="8" t="str">
        <f>IFERROR(__xludf.DUMMYFUNCTION("""COMPUTED_VALUE"""),"FLT1551")</f>
        <v>FLT1551</v>
      </c>
      <c r="B1482" s="8" t="str">
        <f>IFERROR(__xludf.DUMMYFUNCTION("""COMPUTED_VALUE"""),"RUN-FLMP_2022-12-19_APS-137")</f>
        <v>RUN-FLMP_2022-12-19_APS-137</v>
      </c>
      <c r="C1482" s="10">
        <f>VLOOKUP(B1482,'Run Reconcile'!A$2:B1579,2,FALSE)</f>
        <v>44914</v>
      </c>
      <c r="D1482" s="14">
        <f>IFERROR(__xludf.DUMMYFUNCTION("""COMPUTED_VALUE"""),44914.0)</f>
        <v>44914</v>
      </c>
      <c r="E1482" s="15">
        <f>IFERROR(__xludf.DUMMYFUNCTION("""COMPUTED_VALUE"""),0.33173611111124046)</f>
        <v>0.3317361111</v>
      </c>
      <c r="F1482" s="8" t="str">
        <f>IFERROR(__xludf.DUMMYFUNCTION("""COMPUTED_VALUE"""),"Negative")</f>
        <v>Negative</v>
      </c>
      <c r="G1482" s="16">
        <f>IFERROR(__xludf.DUMMYFUNCTION("""COMPUTED_VALUE"""),4.0)</f>
        <v>4</v>
      </c>
      <c r="H1482" s="8" t="str">
        <f>IFERROR(__xludf.DUMMYFUNCTION("""COMPUTED_VALUE"""),"FLSP")</f>
        <v>FLSP</v>
      </c>
    </row>
    <row r="1483">
      <c r="A1483" s="8" t="str">
        <f>IFERROR(__xludf.DUMMYFUNCTION("""COMPUTED_VALUE"""),"AK5991")</f>
        <v>AK5991</v>
      </c>
      <c r="B1483" s="8" t="str">
        <f>IFERROR(__xludf.DUMMYFUNCTION("""COMPUTED_VALUE"""),"RUN-FLMP_2022-12-19_APS-137")</f>
        <v>RUN-FLMP_2022-12-19_APS-137</v>
      </c>
      <c r="C1483" s="10">
        <f>VLOOKUP(B1483,'Run Reconcile'!A$2:B1579,2,FALSE)</f>
        <v>44914</v>
      </c>
      <c r="D1483" s="14">
        <f>IFERROR(__xludf.DUMMYFUNCTION("""COMPUTED_VALUE"""),44914.0)</f>
        <v>44914</v>
      </c>
      <c r="E1483" s="15">
        <f>IFERROR(__xludf.DUMMYFUNCTION("""COMPUTED_VALUE"""),0.3423611111102218)</f>
        <v>0.3423611111</v>
      </c>
      <c r="F1483" s="8" t="str">
        <f>IFERROR(__xludf.DUMMYFUNCTION("""COMPUTED_VALUE"""),"Negative")</f>
        <v>Negative</v>
      </c>
      <c r="G1483" s="16">
        <f>IFERROR(__xludf.DUMMYFUNCTION("""COMPUTED_VALUE"""),2.0)</f>
        <v>2</v>
      </c>
      <c r="H1483" s="8" t="str">
        <f>IFERROR(__xludf.DUMMYFUNCTION("""COMPUTED_VALUE"""),"FLSP")</f>
        <v>FLSP</v>
      </c>
    </row>
    <row r="1484">
      <c r="A1484" s="8" t="str">
        <f>IFERROR(__xludf.DUMMYFUNCTION("""COMPUTED_VALUE"""),"AG139")</f>
        <v>AG139</v>
      </c>
      <c r="B1484" s="8" t="str">
        <f>IFERROR(__xludf.DUMMYFUNCTION("""COMPUTED_VALUE"""),"RUN-FLMP_2022-12-19_APS-137")</f>
        <v>RUN-FLMP_2022-12-19_APS-137</v>
      </c>
      <c r="C1484" s="10">
        <f>VLOOKUP(B1484,'Run Reconcile'!A$2:B1579,2,FALSE)</f>
        <v>44914</v>
      </c>
      <c r="D1484" s="14">
        <f>IFERROR(__xludf.DUMMYFUNCTION("""COMPUTED_VALUE"""),44914.0)</f>
        <v>44914</v>
      </c>
      <c r="E1484" s="15">
        <f>IFERROR(__xludf.DUMMYFUNCTION("""COMPUTED_VALUE"""),0.38072916666715173)</f>
        <v>0.3807291667</v>
      </c>
      <c r="F1484" s="8" t="str">
        <f>IFERROR(__xludf.DUMMYFUNCTION("""COMPUTED_VALUE"""),"Negative")</f>
        <v>Negative</v>
      </c>
      <c r="G1484" s="16">
        <f>IFERROR(__xludf.DUMMYFUNCTION("""COMPUTED_VALUE"""),1.0)</f>
        <v>1</v>
      </c>
      <c r="H1484" s="8" t="str">
        <f>IFERROR(__xludf.DUMMYFUNCTION("""COMPUTED_VALUE"""),"FLSP")</f>
        <v>FLSP</v>
      </c>
    </row>
    <row r="1485">
      <c r="A1485" s="8" t="str">
        <f>IFERROR(__xludf.DUMMYFUNCTION("""COMPUTED_VALUE"""),"AH8350")</f>
        <v>AH8350</v>
      </c>
      <c r="B1485" s="8" t="str">
        <f>IFERROR(__xludf.DUMMYFUNCTION("""COMPUTED_VALUE"""),"RUN-FLMP_2022-12-19_APS-137")</f>
        <v>RUN-FLMP_2022-12-19_APS-137</v>
      </c>
      <c r="C1485" s="10">
        <f>VLOOKUP(B1485,'Run Reconcile'!A$2:B1579,2,FALSE)</f>
        <v>44914</v>
      </c>
      <c r="D1485" s="14">
        <f>IFERROR(__xludf.DUMMYFUNCTION("""COMPUTED_VALUE"""),44914.0)</f>
        <v>44914</v>
      </c>
      <c r="E1485" s="15">
        <f>IFERROR(__xludf.DUMMYFUNCTION("""COMPUTED_VALUE"""),0.38701388888875954)</f>
        <v>0.3870138889</v>
      </c>
      <c r="F1485" s="8" t="str">
        <f>IFERROR(__xludf.DUMMYFUNCTION("""COMPUTED_VALUE"""),"Negative")</f>
        <v>Negative</v>
      </c>
      <c r="G1485" s="16">
        <f>IFERROR(__xludf.DUMMYFUNCTION("""COMPUTED_VALUE"""),1.0)</f>
        <v>1</v>
      </c>
      <c r="H1485" s="8" t="str">
        <f>IFERROR(__xludf.DUMMYFUNCTION("""COMPUTED_VALUE"""),"FLSP")</f>
        <v>FLSP</v>
      </c>
    </row>
    <row r="1486">
      <c r="A1486" s="8" t="str">
        <f>IFERROR(__xludf.DUMMYFUNCTION("""COMPUTED_VALUE"""),"AH607")</f>
        <v>AH607</v>
      </c>
      <c r="B1486" s="8" t="str">
        <f>IFERROR(__xludf.DUMMYFUNCTION("""COMPUTED_VALUE"""),"RUN-FLMP_2022-12-19_APS-137")</f>
        <v>RUN-FLMP_2022-12-19_APS-137</v>
      </c>
      <c r="C1486" s="10">
        <f>VLOOKUP(B1486,'Run Reconcile'!A$2:B1579,2,FALSE)</f>
        <v>44914</v>
      </c>
      <c r="D1486" s="14">
        <f>IFERROR(__xludf.DUMMYFUNCTION("""COMPUTED_VALUE"""),44914.0)</f>
        <v>44914</v>
      </c>
      <c r="E1486" s="15">
        <f>IFERROR(__xludf.DUMMYFUNCTION("""COMPUTED_VALUE"""),0.387800925924239)</f>
        <v>0.3878009259</v>
      </c>
      <c r="F1486" s="8" t="str">
        <f>IFERROR(__xludf.DUMMYFUNCTION("""COMPUTED_VALUE"""),"Negative")</f>
        <v>Negative</v>
      </c>
      <c r="G1486" s="16">
        <f>IFERROR(__xludf.DUMMYFUNCTION("""COMPUTED_VALUE"""),1.0)</f>
        <v>1</v>
      </c>
      <c r="H1486" s="8" t="str">
        <f>IFERROR(__xludf.DUMMYFUNCTION("""COMPUTED_VALUE"""),"FLSP")</f>
        <v>FLSP</v>
      </c>
    </row>
    <row r="1487">
      <c r="A1487" s="8" t="str">
        <f>IFERROR(__xludf.DUMMYFUNCTION("""COMPUTED_VALUE"""),"MA1")</f>
        <v>MA1</v>
      </c>
      <c r="B1487" s="8" t="str">
        <f>IFERROR(__xludf.DUMMYFUNCTION("""COMPUTED_VALUE"""),"RUN-FLMP_2022-12-20_APS-138")</f>
        <v>RUN-FLMP_2022-12-20_APS-138</v>
      </c>
      <c r="C1487" s="10">
        <f>VLOOKUP(B1487,'Run Reconcile'!A$2:B1579,2,FALSE)</f>
        <v>44915</v>
      </c>
      <c r="D1487" s="14">
        <f>IFERROR(__xludf.DUMMYFUNCTION("""COMPUTED_VALUE"""),44915.0)</f>
        <v>44915</v>
      </c>
      <c r="E1487" s="15">
        <f>IFERROR(__xludf.DUMMYFUNCTION("""COMPUTED_VALUE"""),0.37553240740817273)</f>
        <v>0.3755324074</v>
      </c>
      <c r="F1487" s="8" t="str">
        <f>IFERROR(__xludf.DUMMYFUNCTION("""COMPUTED_VALUE"""),"Negative")</f>
        <v>Negative</v>
      </c>
      <c r="G1487" s="16">
        <f>IFERROR(__xludf.DUMMYFUNCTION("""COMPUTED_VALUE"""),1.0)</f>
        <v>1</v>
      </c>
      <c r="H1487" s="8" t="str">
        <f>IFERROR(__xludf.DUMMYFUNCTION("""COMPUTED_VALUE"""),"FLSP")</f>
        <v>FLSP</v>
      </c>
    </row>
    <row r="1488">
      <c r="A1488" s="8" t="str">
        <f>IFERROR(__xludf.DUMMYFUNCTION("""COMPUTED_VALUE"""),"FM4470")</f>
        <v>FM4470</v>
      </c>
      <c r="B1488" s="8" t="str">
        <f>IFERROR(__xludf.DUMMYFUNCTION("""COMPUTED_VALUE"""),"RUN-FLMP_2022-12-26_APS-139")</f>
        <v>RUN-FLMP_2022-12-26_APS-139</v>
      </c>
      <c r="C1488" s="10">
        <f>VLOOKUP(B1488,'Run Reconcile'!A$2:B1579,2,FALSE)</f>
        <v>44921</v>
      </c>
      <c r="D1488" s="14">
        <f>IFERROR(__xludf.DUMMYFUNCTION("""COMPUTED_VALUE"""),44921.0)</f>
        <v>44921</v>
      </c>
      <c r="E1488" s="15">
        <f>IFERROR(__xludf.DUMMYFUNCTION("""COMPUTED_VALUE"""),0.44226851851999527)</f>
        <v>0.4422685185</v>
      </c>
      <c r="F1488" s="8" t="str">
        <f>IFERROR(__xludf.DUMMYFUNCTION("""COMPUTED_VALUE"""),"Negative")</f>
        <v>Negative</v>
      </c>
      <c r="G1488" s="16">
        <f>IFERROR(__xludf.DUMMYFUNCTION("""COMPUTED_VALUE"""),4.0)</f>
        <v>4</v>
      </c>
      <c r="H1488" s="8" t="str">
        <f>IFERROR(__xludf.DUMMYFUNCTION("""COMPUTED_VALUE"""),"FLSP")</f>
        <v>FLSP</v>
      </c>
    </row>
    <row r="1489">
      <c r="A1489" s="8" t="str">
        <f>IFERROR(__xludf.DUMMYFUNCTION("""COMPUTED_VALUE"""),"FM4473")</f>
        <v>FM4473</v>
      </c>
      <c r="B1489" s="8" t="str">
        <f>IFERROR(__xludf.DUMMYFUNCTION("""COMPUTED_VALUE"""),"RUN-FLMP_2022-12-26_APS-139")</f>
        <v>RUN-FLMP_2022-12-26_APS-139</v>
      </c>
      <c r="C1489" s="10">
        <f>VLOOKUP(B1489,'Run Reconcile'!A$2:B1579,2,FALSE)</f>
        <v>44921</v>
      </c>
      <c r="D1489" s="14">
        <f>IFERROR(__xludf.DUMMYFUNCTION("""COMPUTED_VALUE"""),44921.0)</f>
        <v>44921</v>
      </c>
      <c r="E1489" s="15">
        <f>IFERROR(__xludf.DUMMYFUNCTION("""COMPUTED_VALUE"""),0.4430902777785377)</f>
        <v>0.4430902778</v>
      </c>
      <c r="F1489" s="8" t="str">
        <f>IFERROR(__xludf.DUMMYFUNCTION("""COMPUTED_VALUE"""),"Negative")</f>
        <v>Negative</v>
      </c>
      <c r="G1489" s="16">
        <f>IFERROR(__xludf.DUMMYFUNCTION("""COMPUTED_VALUE"""),1.0)</f>
        <v>1</v>
      </c>
      <c r="H1489" s="8" t="str">
        <f>IFERROR(__xludf.DUMMYFUNCTION("""COMPUTED_VALUE"""),"FLSP")</f>
        <v>FLSP</v>
      </c>
    </row>
    <row r="1490">
      <c r="A1490" s="8" t="str">
        <f>IFERROR(__xludf.DUMMYFUNCTION("""COMPUTED_VALUE"""),"FM2021")</f>
        <v>FM2021</v>
      </c>
      <c r="B1490" s="8" t="str">
        <f>IFERROR(__xludf.DUMMYFUNCTION("""COMPUTED_VALUE"""),"RUN-FLMP_2022-12-26_APS-139")</f>
        <v>RUN-FLMP_2022-12-26_APS-139</v>
      </c>
      <c r="C1490" s="10">
        <f>VLOOKUP(B1490,'Run Reconcile'!A$2:B1579,2,FALSE)</f>
        <v>44921</v>
      </c>
      <c r="D1490" s="14">
        <f>IFERROR(__xludf.DUMMYFUNCTION("""COMPUTED_VALUE"""),44921.0)</f>
        <v>44921</v>
      </c>
      <c r="E1490" s="15">
        <f>IFERROR(__xludf.DUMMYFUNCTION("""COMPUTED_VALUE"""),0.44336805555576575)</f>
        <v>0.4433680556</v>
      </c>
      <c r="F1490" s="8" t="str">
        <f>IFERROR(__xludf.DUMMYFUNCTION("""COMPUTED_VALUE"""),"Negative")</f>
        <v>Negative</v>
      </c>
      <c r="G1490" s="16">
        <f>IFERROR(__xludf.DUMMYFUNCTION("""COMPUTED_VALUE"""),1.0)</f>
        <v>1</v>
      </c>
      <c r="H1490" s="8" t="str">
        <f>IFERROR(__xludf.DUMMYFUNCTION("""COMPUTED_VALUE"""),"FLSP")</f>
        <v>FLSP</v>
      </c>
    </row>
    <row r="1491">
      <c r="A1491" s="8" t="str">
        <f>IFERROR(__xludf.DUMMYFUNCTION("""COMPUTED_VALUE"""),"AG1618")</f>
        <v>AG1618</v>
      </c>
      <c r="B1491" s="8" t="str">
        <f>IFERROR(__xludf.DUMMYFUNCTION("""COMPUTED_VALUE"""),"RUN-FLMP_2023-01-02_APS-140")</f>
        <v>RUN-FLMP_2023-01-02_APS-140</v>
      </c>
      <c r="C1491" s="10">
        <f>VLOOKUP(B1491,'Run Reconcile'!A$2:B1579,2,FALSE)</f>
        <v>44928</v>
      </c>
      <c r="D1491" s="14">
        <f>IFERROR(__xludf.DUMMYFUNCTION("""COMPUTED_VALUE"""),44928.0)</f>
        <v>44928</v>
      </c>
      <c r="E1491" s="15">
        <f>IFERROR(__xludf.DUMMYFUNCTION("""COMPUTED_VALUE"""),0.35895833333415794)</f>
        <v>0.3589583333</v>
      </c>
      <c r="F1491" s="8" t="str">
        <f>IFERROR(__xludf.DUMMYFUNCTION("""COMPUTED_VALUE"""),"Negative")</f>
        <v>Negative</v>
      </c>
      <c r="G1491" s="16">
        <f>IFERROR(__xludf.DUMMYFUNCTION("""COMPUTED_VALUE"""),2.0)</f>
        <v>2</v>
      </c>
      <c r="H1491" s="8" t="str">
        <f>IFERROR(__xludf.DUMMYFUNCTION("""COMPUTED_VALUE"""),"FLSP")</f>
        <v>FLSP</v>
      </c>
    </row>
    <row r="1492">
      <c r="A1492" s="8" t="str">
        <f>IFERROR(__xludf.DUMMYFUNCTION("""COMPUTED_VALUE"""),"AH9318")</f>
        <v>AH9318</v>
      </c>
      <c r="B1492" s="8" t="str">
        <f>IFERROR(__xludf.DUMMYFUNCTION("""COMPUTED_VALUE"""),"RUN-FLMP_2023-01-02_APS-140")</f>
        <v>RUN-FLMP_2023-01-02_APS-140</v>
      </c>
      <c r="C1492" s="10">
        <f>VLOOKUP(B1492,'Run Reconcile'!A$2:B1579,2,FALSE)</f>
        <v>44928</v>
      </c>
      <c r="D1492" s="14">
        <f>IFERROR(__xludf.DUMMYFUNCTION("""COMPUTED_VALUE"""),44928.0)</f>
        <v>44928</v>
      </c>
      <c r="E1492" s="15">
        <f>IFERROR(__xludf.DUMMYFUNCTION("""COMPUTED_VALUE"""),0.5433449074080272)</f>
        <v>0.5433449074</v>
      </c>
      <c r="F1492" s="8" t="str">
        <f>IFERROR(__xludf.DUMMYFUNCTION("""COMPUTED_VALUE"""),"Negative")</f>
        <v>Negative</v>
      </c>
      <c r="G1492" s="16">
        <f>IFERROR(__xludf.DUMMYFUNCTION("""COMPUTED_VALUE"""),4.0)</f>
        <v>4</v>
      </c>
      <c r="H1492" s="8" t="str">
        <f>IFERROR(__xludf.DUMMYFUNCTION("""COMPUTED_VALUE"""),"FLSP")</f>
        <v>FLSP</v>
      </c>
    </row>
    <row r="1493">
      <c r="A1493" s="8" t="str">
        <f>IFERROR(__xludf.DUMMYFUNCTION("""COMPUTED_VALUE"""),"AH366")</f>
        <v>AH366</v>
      </c>
      <c r="B1493" s="8" t="str">
        <f>IFERROR(__xludf.DUMMYFUNCTION("""COMPUTED_VALUE"""),"RUN-FLMP_2023-01-02_APS-140")</f>
        <v>RUN-FLMP_2023-01-02_APS-140</v>
      </c>
      <c r="C1493" s="10">
        <f>VLOOKUP(B1493,'Run Reconcile'!A$2:B1579,2,FALSE)</f>
        <v>44928</v>
      </c>
      <c r="D1493" s="14">
        <f>IFERROR(__xludf.DUMMYFUNCTION("""COMPUTED_VALUE"""),44928.0)</f>
        <v>44928</v>
      </c>
      <c r="E1493" s="15">
        <f>IFERROR(__xludf.DUMMYFUNCTION("""COMPUTED_VALUE"""),0.5440625000010186)</f>
        <v>0.5440625</v>
      </c>
      <c r="F1493" s="8" t="str">
        <f>IFERROR(__xludf.DUMMYFUNCTION("""COMPUTED_VALUE"""),"Negative")</f>
        <v>Negative</v>
      </c>
      <c r="G1493" s="16">
        <f>IFERROR(__xludf.DUMMYFUNCTION("""COMPUTED_VALUE"""),1.0)</f>
        <v>1</v>
      </c>
      <c r="H1493" s="8" t="str">
        <f>IFERROR(__xludf.DUMMYFUNCTION("""COMPUTED_VALUE"""),"FLSP")</f>
        <v>FLSP</v>
      </c>
    </row>
    <row r="1494">
      <c r="A1494" s="8" t="str">
        <f>IFERROR(__xludf.DUMMYFUNCTION("""COMPUTED_VALUE"""),"ARFFLMP001")</f>
        <v>ARFFLMP001</v>
      </c>
      <c r="B1494" s="8" t="str">
        <f>IFERROR(__xludf.DUMMYFUNCTION("""COMPUTED_VALUE"""),"RUN-FLMP_2022-01-17_RFR-063")</f>
        <v>RUN-FLMP_2022-01-17_RFR-063</v>
      </c>
      <c r="C1494" s="10">
        <f>VLOOKUP(B1494,'Run Reconcile'!A$2:B1579,2,FALSE)</f>
        <v>44578</v>
      </c>
      <c r="F1494" s="8" t="str">
        <f>IFERROR(__xludf.DUMMYFUNCTION("""COMPUTED_VALUE"""),"Negative")</f>
        <v>Negative</v>
      </c>
      <c r="G1494" s="22"/>
      <c r="H1494" s="23" t="str">
        <f t="shared" ref="H1494:H1506" si="4">IF(AND(LEFT(A1494,3)="ARF",DATEVALUE(C1494)&gt;=DATE(2021,11,28),DATEVALUE(C1494)&lt;=DATE(2022,5,31)),"CRLN",IFERROR(0/0,""))
</f>
        <v>CRLN</v>
      </c>
      <c r="I1494" s="18" t="s">
        <v>4</v>
      </c>
    </row>
    <row r="1495">
      <c r="A1495" s="8" t="str">
        <f>IFERROR(__xludf.DUMMYFUNCTION("""COMPUTED_VALUE"""),"ARFFLMP002")</f>
        <v>ARFFLMP002</v>
      </c>
      <c r="B1495" s="8" t="str">
        <f>IFERROR(__xludf.DUMMYFUNCTION("""COMPUTED_VALUE"""),"RUN-FLMP_2022-01-17_RFR-063")</f>
        <v>RUN-FLMP_2022-01-17_RFR-063</v>
      </c>
      <c r="C1495" s="10">
        <f>VLOOKUP(B1495,'Run Reconcile'!A$2:B1579,2,FALSE)</f>
        <v>44578</v>
      </c>
      <c r="F1495" s="8" t="str">
        <f>IFERROR(__xludf.DUMMYFUNCTION("""COMPUTED_VALUE"""),"Negative")</f>
        <v>Negative</v>
      </c>
      <c r="G1495" s="22"/>
      <c r="H1495" s="23" t="str">
        <f t="shared" si="4"/>
        <v>CRLN</v>
      </c>
    </row>
    <row r="1496">
      <c r="A1496" s="8" t="str">
        <f>IFERROR(__xludf.DUMMYFUNCTION("""COMPUTED_VALUE"""),"ARFFLMP003")</f>
        <v>ARFFLMP003</v>
      </c>
      <c r="B1496" s="8" t="str">
        <f>IFERROR(__xludf.DUMMYFUNCTION("""COMPUTED_VALUE"""),"RUN-FLMP_2022-01-17_RFR-063")</f>
        <v>RUN-FLMP_2022-01-17_RFR-063</v>
      </c>
      <c r="C1496" s="10">
        <f>VLOOKUP(B1496,'Run Reconcile'!A$2:B1579,2,FALSE)</f>
        <v>44578</v>
      </c>
      <c r="F1496" s="8" t="str">
        <f>IFERROR(__xludf.DUMMYFUNCTION("""COMPUTED_VALUE"""),"Negative")</f>
        <v>Negative</v>
      </c>
      <c r="G1496" s="22"/>
      <c r="H1496" s="23" t="str">
        <f t="shared" si="4"/>
        <v>CRLN</v>
      </c>
    </row>
    <row r="1497">
      <c r="A1497" s="8" t="str">
        <f>IFERROR(__xludf.DUMMYFUNCTION("""COMPUTED_VALUE"""),"ARFFLMP004")</f>
        <v>ARFFLMP004</v>
      </c>
      <c r="B1497" s="8" t="str">
        <f>IFERROR(__xludf.DUMMYFUNCTION("""COMPUTED_VALUE"""),"RUN-FLMP_2022-01-17_RFR-063")</f>
        <v>RUN-FLMP_2022-01-17_RFR-063</v>
      </c>
      <c r="C1497" s="10">
        <f>VLOOKUP(B1497,'Run Reconcile'!A$2:B1579,2,FALSE)</f>
        <v>44578</v>
      </c>
      <c r="F1497" s="8" t="str">
        <f>IFERROR(__xludf.DUMMYFUNCTION("""COMPUTED_VALUE"""),"Negative")</f>
        <v>Negative</v>
      </c>
      <c r="G1497" s="22"/>
      <c r="H1497" s="23" t="str">
        <f t="shared" si="4"/>
        <v>CRLN</v>
      </c>
    </row>
    <row r="1498">
      <c r="A1498" s="8" t="str">
        <f>IFERROR(__xludf.DUMMYFUNCTION("""COMPUTED_VALUE"""),"ARFFLMP005")</f>
        <v>ARFFLMP005</v>
      </c>
      <c r="B1498" s="8" t="str">
        <f>IFERROR(__xludf.DUMMYFUNCTION("""COMPUTED_VALUE"""),"RUN-FLMP_2022-01-17_RFR-063")</f>
        <v>RUN-FLMP_2022-01-17_RFR-063</v>
      </c>
      <c r="C1498" s="10">
        <f>VLOOKUP(B1498,'Run Reconcile'!A$2:B1579,2,FALSE)</f>
        <v>44578</v>
      </c>
      <c r="F1498" s="8" t="str">
        <f>IFERROR(__xludf.DUMMYFUNCTION("""COMPUTED_VALUE"""),"Negative")</f>
        <v>Negative</v>
      </c>
      <c r="G1498" s="22"/>
      <c r="H1498" s="23" t="str">
        <f t="shared" si="4"/>
        <v>CRLN</v>
      </c>
    </row>
    <row r="1499">
      <c r="A1499" s="8" t="str">
        <f>IFERROR(__xludf.DUMMYFUNCTION("""COMPUTED_VALUE"""),"ARFFLMP006")</f>
        <v>ARFFLMP006</v>
      </c>
      <c r="B1499" s="8" t="str">
        <f>IFERROR(__xludf.DUMMYFUNCTION("""COMPUTED_VALUE"""),"RUN-FLMP_2022-01-10_RFR-053")</f>
        <v>RUN-FLMP_2022-01-10_RFR-053</v>
      </c>
      <c r="C1499" s="10">
        <f>VLOOKUP(B1499,'Run Reconcile'!A$2:B1579,2,FALSE)</f>
        <v>44571</v>
      </c>
      <c r="F1499" s="8" t="str">
        <f>IFERROR(__xludf.DUMMYFUNCTION("""COMPUTED_VALUE"""),"Negative")</f>
        <v>Negative</v>
      </c>
      <c r="G1499" s="22"/>
      <c r="H1499" s="23" t="str">
        <f t="shared" si="4"/>
        <v>CRLN</v>
      </c>
    </row>
    <row r="1500">
      <c r="A1500" s="8" t="str">
        <f>IFERROR(__xludf.DUMMYFUNCTION("""COMPUTED_VALUE"""),"ARFFLMP007")</f>
        <v>ARFFLMP007</v>
      </c>
      <c r="B1500" s="8" t="str">
        <f>IFERROR(__xludf.DUMMYFUNCTION("""COMPUTED_VALUE"""),"RUN-FLMP_2022-01-10_RFR-053")</f>
        <v>RUN-FLMP_2022-01-10_RFR-053</v>
      </c>
      <c r="C1500" s="10">
        <f>VLOOKUP(B1500,'Run Reconcile'!A$2:B1579,2,FALSE)</f>
        <v>44571</v>
      </c>
      <c r="F1500" s="8" t="str">
        <f>IFERROR(__xludf.DUMMYFUNCTION("""COMPUTED_VALUE"""),"Negative")</f>
        <v>Negative</v>
      </c>
      <c r="G1500" s="22"/>
      <c r="H1500" s="23" t="str">
        <f t="shared" si="4"/>
        <v>CRLN</v>
      </c>
    </row>
    <row r="1501">
      <c r="A1501" s="8" t="str">
        <f>IFERROR(__xludf.DUMMYFUNCTION("""COMPUTED_VALUE"""),"ARFFLMP008")</f>
        <v>ARFFLMP008</v>
      </c>
      <c r="B1501" s="8" t="str">
        <f>IFERROR(__xludf.DUMMYFUNCTION("""COMPUTED_VALUE"""),"RUN-FLMP_2022-01-10_RFR-053")</f>
        <v>RUN-FLMP_2022-01-10_RFR-053</v>
      </c>
      <c r="C1501" s="10">
        <f>VLOOKUP(B1501,'Run Reconcile'!A$2:B1579,2,FALSE)</f>
        <v>44571</v>
      </c>
      <c r="F1501" s="8" t="str">
        <f>IFERROR(__xludf.DUMMYFUNCTION("""COMPUTED_VALUE"""),"Negative")</f>
        <v>Negative</v>
      </c>
      <c r="G1501" s="22"/>
      <c r="H1501" s="23" t="str">
        <f t="shared" si="4"/>
        <v>CRLN</v>
      </c>
    </row>
    <row r="1502">
      <c r="A1502" s="8" t="str">
        <f>IFERROR(__xludf.DUMMYFUNCTION("""COMPUTED_VALUE"""),"ARFFLMP009")</f>
        <v>ARFFLMP009</v>
      </c>
      <c r="B1502" s="8" t="str">
        <f>IFERROR(__xludf.DUMMYFUNCTION("""COMPUTED_VALUE"""),"RUN-FLMP_2022-01-10_RFR-053")</f>
        <v>RUN-FLMP_2022-01-10_RFR-053</v>
      </c>
      <c r="C1502" s="10">
        <f>VLOOKUP(B1502,'Run Reconcile'!A$2:B1579,2,FALSE)</f>
        <v>44571</v>
      </c>
      <c r="F1502" s="8" t="str">
        <f>IFERROR(__xludf.DUMMYFUNCTION("""COMPUTED_VALUE"""),"Negative")</f>
        <v>Negative</v>
      </c>
      <c r="G1502" s="22"/>
      <c r="H1502" s="23" t="str">
        <f t="shared" si="4"/>
        <v>CRLN</v>
      </c>
    </row>
    <row r="1503">
      <c r="A1503" s="8" t="str">
        <f>IFERROR(__xludf.DUMMYFUNCTION("""COMPUTED_VALUE"""),"ARFFLMP010")</f>
        <v>ARFFLMP010</v>
      </c>
      <c r="B1503" s="8" t="str">
        <f>IFERROR(__xludf.DUMMYFUNCTION("""COMPUTED_VALUE"""),"RUN-FLMP_2022-03-14_RFR-100")</f>
        <v>RUN-FLMP_2022-03-14_RFR-100</v>
      </c>
      <c r="C1503" s="10">
        <f>VLOOKUP(B1503,'Run Reconcile'!A$2:B1579,2,FALSE)</f>
        <v>44634</v>
      </c>
      <c r="F1503" s="8" t="str">
        <f>IFERROR(__xludf.DUMMYFUNCTION("""COMPUTED_VALUE"""),"Negative")</f>
        <v>Negative</v>
      </c>
      <c r="G1503" s="22"/>
      <c r="H1503" s="23" t="str">
        <f t="shared" si="4"/>
        <v>CRLN</v>
      </c>
    </row>
    <row r="1504">
      <c r="A1504" s="8" t="str">
        <f>IFERROR(__xludf.DUMMYFUNCTION("""COMPUTED_VALUE"""),"ARFFLMP011")</f>
        <v>ARFFLMP011</v>
      </c>
      <c r="B1504" s="8" t="str">
        <f>IFERROR(__xludf.DUMMYFUNCTION("""COMPUTED_VALUE"""),"RUN-FLMP_2022-03-14_RFR-100")</f>
        <v>RUN-FLMP_2022-03-14_RFR-100</v>
      </c>
      <c r="C1504" s="10">
        <f>VLOOKUP(B1504,'Run Reconcile'!A$2:B1579,2,FALSE)</f>
        <v>44634</v>
      </c>
      <c r="F1504" s="8" t="str">
        <f>IFERROR(__xludf.DUMMYFUNCTION("""COMPUTED_VALUE"""),"Negative")</f>
        <v>Negative</v>
      </c>
      <c r="G1504" s="22"/>
      <c r="H1504" s="23" t="str">
        <f t="shared" si="4"/>
        <v>CRLN</v>
      </c>
    </row>
    <row r="1505">
      <c r="A1505" s="8" t="str">
        <f>IFERROR(__xludf.DUMMYFUNCTION("""COMPUTED_VALUE"""),"ARFFLMP012")</f>
        <v>ARFFLMP012</v>
      </c>
      <c r="B1505" s="8" t="str">
        <f>IFERROR(__xludf.DUMMYFUNCTION("""COMPUTED_VALUE"""),"RUN-FLMP_2022-03-14_RFR-100")</f>
        <v>RUN-FLMP_2022-03-14_RFR-100</v>
      </c>
      <c r="C1505" s="10">
        <f>VLOOKUP(B1505,'Run Reconcile'!A$2:B1579,2,FALSE)</f>
        <v>44634</v>
      </c>
      <c r="F1505" s="8" t="str">
        <f>IFERROR(__xludf.DUMMYFUNCTION("""COMPUTED_VALUE"""),"Negative")</f>
        <v>Negative</v>
      </c>
      <c r="G1505" s="22"/>
      <c r="H1505" s="23" t="str">
        <f t="shared" si="4"/>
        <v>CRLN</v>
      </c>
    </row>
    <row r="1506">
      <c r="A1506" s="8" t="str">
        <f>IFERROR(__xludf.DUMMYFUNCTION("""COMPUTED_VALUE"""),"ARFFLMP013")</f>
        <v>ARFFLMP013</v>
      </c>
      <c r="B1506" s="8" t="str">
        <f>IFERROR(__xludf.DUMMYFUNCTION("""COMPUTED_VALUE"""),"RUN-FLMP_2022-03-14_RFR-100")</f>
        <v>RUN-FLMP_2022-03-14_RFR-100</v>
      </c>
      <c r="C1506" s="10">
        <f>VLOOKUP(B1506,'Run Reconcile'!A$2:B1579,2,FALSE)</f>
        <v>44634</v>
      </c>
      <c r="F1506" s="8" t="str">
        <f>IFERROR(__xludf.DUMMYFUNCTION("""COMPUTED_VALUE"""),"Negative")</f>
        <v>Negative</v>
      </c>
      <c r="G1506" s="22"/>
      <c r="H1506" s="23" t="str">
        <f t="shared" si="4"/>
        <v>CRLN</v>
      </c>
    </row>
    <row r="1507">
      <c r="A1507" s="8" t="str">
        <f>IFERROR(__xludf.DUMMYFUNCTION("""COMPUTED_VALUE"""),"ARFFLMP014")</f>
        <v>ARFFLMP014</v>
      </c>
      <c r="B1507" s="8" t="str">
        <f>IFERROR(__xludf.DUMMYFUNCTION("""COMPUTED_VALUE"""),"RUN-FLMP_2021-12-10_RFR-013")</f>
        <v>RUN-FLMP_2021-12-10_RFR-013</v>
      </c>
      <c r="C1507" s="10">
        <f>VLOOKUP(B1507,'Run Reconcile'!A$2:B1579,2,FALSE)</f>
        <v>44540</v>
      </c>
      <c r="F1507" s="8" t="str">
        <f>IFERROR(__xludf.DUMMYFUNCTION("""COMPUTED_VALUE"""),"Negative")</f>
        <v>Negative</v>
      </c>
      <c r="G1507" s="22"/>
      <c r="H1507" s="24" t="s">
        <v>0</v>
      </c>
    </row>
    <row r="1508">
      <c r="A1508" s="8" t="str">
        <f>IFERROR(__xludf.DUMMYFUNCTION("""COMPUTED_VALUE"""),"ARFFLMP015")</f>
        <v>ARFFLMP015</v>
      </c>
      <c r="B1508" s="8" t="str">
        <f>IFERROR(__xludf.DUMMYFUNCTION("""COMPUTED_VALUE"""),"RUN-FLMP_2021-12-10_RFR-013")</f>
        <v>RUN-FLMP_2021-12-10_RFR-013</v>
      </c>
      <c r="C1508" s="10">
        <f>VLOOKUP(B1508,'Run Reconcile'!A$2:B1579,2,FALSE)</f>
        <v>44540</v>
      </c>
      <c r="F1508" s="8" t="str">
        <f>IFERROR(__xludf.DUMMYFUNCTION("""COMPUTED_VALUE"""),"Negative")</f>
        <v>Negative</v>
      </c>
      <c r="G1508" s="22"/>
      <c r="H1508" s="24" t="s">
        <v>0</v>
      </c>
    </row>
    <row r="1509">
      <c r="A1509" s="8" t="str">
        <f>IFERROR(__xludf.DUMMYFUNCTION("""COMPUTED_VALUE"""),"ARFFLMP016")</f>
        <v>ARFFLMP016</v>
      </c>
      <c r="B1509" s="8" t="str">
        <f>IFERROR(__xludf.DUMMYFUNCTION("""COMPUTED_VALUE"""),"RUN-FLMP_2021-12-10_RFR-013")</f>
        <v>RUN-FLMP_2021-12-10_RFR-013</v>
      </c>
      <c r="C1509" s="10">
        <f>VLOOKUP(B1509,'Run Reconcile'!A$2:B1579,2,FALSE)</f>
        <v>44540</v>
      </c>
      <c r="F1509" s="8" t="str">
        <f>IFERROR(__xludf.DUMMYFUNCTION("""COMPUTED_VALUE"""),"Negative")</f>
        <v>Negative</v>
      </c>
      <c r="G1509" s="22"/>
      <c r="H1509" s="24" t="s">
        <v>0</v>
      </c>
    </row>
    <row r="1510">
      <c r="A1510" s="8" t="str">
        <f>IFERROR(__xludf.DUMMYFUNCTION("""COMPUTED_VALUE"""),"ARFFLMP017")</f>
        <v>ARFFLMP017</v>
      </c>
      <c r="B1510" s="8" t="str">
        <f>IFERROR(__xludf.DUMMYFUNCTION("""COMPUTED_VALUE"""),"RUN-FLMP_2022-03-07_RFR-096")</f>
        <v>RUN-FLMP_2022-03-07_RFR-096</v>
      </c>
      <c r="C1510" s="10">
        <f>VLOOKUP(B1510,'Run Reconcile'!A$2:B1579,2,FALSE)</f>
        <v>44627</v>
      </c>
      <c r="F1510" s="8" t="str">
        <f>IFERROR(__xludf.DUMMYFUNCTION("""COMPUTED_VALUE"""),"Negative")</f>
        <v>Negative</v>
      </c>
      <c r="G1510" s="22"/>
      <c r="H1510" s="23" t="str">
        <f t="shared" ref="H1510:H1541" si="5">IF(AND(LEFT(A1510,3)="ARF",DATEVALUE(C1510)&gt;=DATE(2021,11,28),DATEVALUE(C1510)&lt;=DATE(2022,5,31)),"CRLN",IFERROR(0/0,""))
</f>
        <v>CRLN</v>
      </c>
    </row>
    <row r="1511">
      <c r="A1511" s="8" t="str">
        <f>IFERROR(__xludf.DUMMYFUNCTION("""COMPUTED_VALUE"""),"ARFFLMP018")</f>
        <v>ARFFLMP018</v>
      </c>
      <c r="B1511" s="8" t="str">
        <f>IFERROR(__xludf.DUMMYFUNCTION("""COMPUTED_VALUE"""),"RUN-FLMP_2022-03-07_RFR-096")</f>
        <v>RUN-FLMP_2022-03-07_RFR-096</v>
      </c>
      <c r="C1511" s="10">
        <f>VLOOKUP(B1511,'Run Reconcile'!A$2:B1579,2,FALSE)</f>
        <v>44627</v>
      </c>
      <c r="F1511" s="8" t="str">
        <f>IFERROR(__xludf.DUMMYFUNCTION("""COMPUTED_VALUE"""),"Negative")</f>
        <v>Negative</v>
      </c>
      <c r="G1511" s="22"/>
      <c r="H1511" s="23" t="str">
        <f t="shared" si="5"/>
        <v>CRLN</v>
      </c>
    </row>
    <row r="1512">
      <c r="A1512" s="8" t="str">
        <f>IFERROR(__xludf.DUMMYFUNCTION("""COMPUTED_VALUE"""),"ARFFLMP019")</f>
        <v>ARFFLMP019</v>
      </c>
      <c r="B1512" s="8" t="str">
        <f>IFERROR(__xludf.DUMMYFUNCTION("""COMPUTED_VALUE"""),"RUN-FLMP_2022-03-07_RFR-096")</f>
        <v>RUN-FLMP_2022-03-07_RFR-096</v>
      </c>
      <c r="C1512" s="10">
        <f>VLOOKUP(B1512,'Run Reconcile'!A$2:B1579,2,FALSE)</f>
        <v>44627</v>
      </c>
      <c r="F1512" s="8" t="str">
        <f>IFERROR(__xludf.DUMMYFUNCTION("""COMPUTED_VALUE"""),"Negative")</f>
        <v>Negative</v>
      </c>
      <c r="G1512" s="22"/>
      <c r="H1512" s="23" t="str">
        <f t="shared" si="5"/>
        <v>CRLN</v>
      </c>
    </row>
    <row r="1513">
      <c r="A1513" s="8" t="str">
        <f>IFERROR(__xludf.DUMMYFUNCTION("""COMPUTED_VALUE"""),"ARFFLMP020")</f>
        <v>ARFFLMP020</v>
      </c>
      <c r="B1513" s="8" t="str">
        <f>IFERROR(__xludf.DUMMYFUNCTION("""COMPUTED_VALUE"""),"RUN-FLMP_2022-03-12_RFR-099")</f>
        <v>RUN-FLMP_2022-03-12_RFR-099</v>
      </c>
      <c r="C1513" s="10">
        <f>VLOOKUP(B1513,'Run Reconcile'!A$2:B1579,2,FALSE)</f>
        <v>44632</v>
      </c>
      <c r="F1513" s="8" t="str">
        <f>IFERROR(__xludf.DUMMYFUNCTION("""COMPUTED_VALUE"""),"Negative")</f>
        <v>Negative</v>
      </c>
      <c r="G1513" s="22"/>
      <c r="H1513" s="23" t="str">
        <f t="shared" si="5"/>
        <v>CRLN</v>
      </c>
    </row>
    <row r="1514">
      <c r="A1514" s="8" t="str">
        <f>IFERROR(__xludf.DUMMYFUNCTION("""COMPUTED_VALUE"""),"ARFFLMP021")</f>
        <v>ARFFLMP021</v>
      </c>
      <c r="B1514" s="8" t="str">
        <f>IFERROR(__xludf.DUMMYFUNCTION("""COMPUTED_VALUE"""),"RUN-FLMP_2022-03-12_RFR-099")</f>
        <v>RUN-FLMP_2022-03-12_RFR-099</v>
      </c>
      <c r="C1514" s="10">
        <f>VLOOKUP(B1514,'Run Reconcile'!A$2:B1579,2,FALSE)</f>
        <v>44632</v>
      </c>
      <c r="F1514" s="8" t="str">
        <f>IFERROR(__xludf.DUMMYFUNCTION("""COMPUTED_VALUE"""),"Negative")</f>
        <v>Negative</v>
      </c>
      <c r="G1514" s="22"/>
      <c r="H1514" s="23" t="str">
        <f t="shared" si="5"/>
        <v>CRLN</v>
      </c>
    </row>
    <row r="1515">
      <c r="A1515" s="8" t="str">
        <f>IFERROR(__xludf.DUMMYFUNCTION("""COMPUTED_VALUE"""),"ARFFLMP022")</f>
        <v>ARFFLMP022</v>
      </c>
      <c r="B1515" s="8" t="str">
        <f>IFERROR(__xludf.DUMMYFUNCTION("""COMPUTED_VALUE"""),"RUN-FLMP_2022-03-12_RFR-099")</f>
        <v>RUN-FLMP_2022-03-12_RFR-099</v>
      </c>
      <c r="C1515" s="10">
        <f>VLOOKUP(B1515,'Run Reconcile'!A$2:B1579,2,FALSE)</f>
        <v>44632</v>
      </c>
      <c r="F1515" s="8" t="str">
        <f>IFERROR(__xludf.DUMMYFUNCTION("""COMPUTED_VALUE"""),"Negative")</f>
        <v>Negative</v>
      </c>
      <c r="G1515" s="22"/>
      <c r="H1515" s="23" t="str">
        <f t="shared" si="5"/>
        <v>CRLN</v>
      </c>
    </row>
    <row r="1516">
      <c r="A1516" s="8" t="str">
        <f>IFERROR(__xludf.DUMMYFUNCTION("""COMPUTED_VALUE"""),"ARFFLMP023")</f>
        <v>ARFFLMP023</v>
      </c>
      <c r="B1516" s="8" t="str">
        <f>IFERROR(__xludf.DUMMYFUNCTION("""COMPUTED_VALUE"""),"RUN-FLMP_2022-05-14_RFR-137")</f>
        <v>RUN-FLMP_2022-05-14_RFR-137</v>
      </c>
      <c r="C1516" s="10">
        <f>VLOOKUP(B1516,'Run Reconcile'!A$2:B1579,2,FALSE)</f>
        <v>44695</v>
      </c>
      <c r="F1516" s="8" t="str">
        <f>IFERROR(__xludf.DUMMYFUNCTION("""COMPUTED_VALUE"""),"Negative")</f>
        <v>Negative</v>
      </c>
      <c r="G1516" s="22"/>
      <c r="H1516" s="23" t="str">
        <f t="shared" si="5"/>
        <v>CRLN</v>
      </c>
    </row>
    <row r="1517">
      <c r="A1517" s="8" t="str">
        <f>IFERROR(__xludf.DUMMYFUNCTION("""COMPUTED_VALUE"""),"ARFFLMP024")</f>
        <v>ARFFLMP024</v>
      </c>
      <c r="B1517" s="8" t="str">
        <f>IFERROR(__xludf.DUMMYFUNCTION("""COMPUTED_VALUE"""),"RUN-FLMP_2022-05-14_RFR-137")</f>
        <v>RUN-FLMP_2022-05-14_RFR-137</v>
      </c>
      <c r="C1517" s="10">
        <f>VLOOKUP(B1517,'Run Reconcile'!A$2:B1579,2,FALSE)</f>
        <v>44695</v>
      </c>
      <c r="F1517" s="8" t="str">
        <f>IFERROR(__xludf.DUMMYFUNCTION("""COMPUTED_VALUE"""),"Negative")</f>
        <v>Negative</v>
      </c>
      <c r="G1517" s="22"/>
      <c r="H1517" s="23" t="str">
        <f t="shared" si="5"/>
        <v>CRLN</v>
      </c>
    </row>
    <row r="1518">
      <c r="A1518" s="8" t="str">
        <f>IFERROR(__xludf.DUMMYFUNCTION("""COMPUTED_VALUE"""),"ARFFLMP025")</f>
        <v>ARFFLMP025</v>
      </c>
      <c r="B1518" s="8" t="str">
        <f>IFERROR(__xludf.DUMMYFUNCTION("""COMPUTED_VALUE"""),"RUN-FLMP_2022-05-14_RFR-137")</f>
        <v>RUN-FLMP_2022-05-14_RFR-137</v>
      </c>
      <c r="C1518" s="10">
        <f>VLOOKUP(B1518,'Run Reconcile'!A$2:B1579,2,FALSE)</f>
        <v>44695</v>
      </c>
      <c r="F1518" s="8" t="str">
        <f>IFERROR(__xludf.DUMMYFUNCTION("""COMPUTED_VALUE"""),"Negative")</f>
        <v>Negative</v>
      </c>
      <c r="G1518" s="22"/>
      <c r="H1518" s="23" t="str">
        <f t="shared" si="5"/>
        <v>CRLN</v>
      </c>
    </row>
    <row r="1519">
      <c r="A1519" s="8" t="str">
        <f>IFERROR(__xludf.DUMMYFUNCTION("""COMPUTED_VALUE"""),"ARFFLMP026")</f>
        <v>ARFFLMP026</v>
      </c>
      <c r="B1519" s="8" t="str">
        <f>IFERROR(__xludf.DUMMYFUNCTION("""COMPUTED_VALUE"""),"RUN-FLMP_2022-05-16_RFR-138")</f>
        <v>RUN-FLMP_2022-05-16_RFR-138</v>
      </c>
      <c r="C1519" s="10">
        <f>VLOOKUP(B1519,'Run Reconcile'!A$2:B1579,2,FALSE)</f>
        <v>44697</v>
      </c>
      <c r="F1519" s="8" t="str">
        <f>IFERROR(__xludf.DUMMYFUNCTION("""COMPUTED_VALUE"""),"Negative")</f>
        <v>Negative</v>
      </c>
      <c r="G1519" s="22"/>
      <c r="H1519" s="23" t="str">
        <f t="shared" si="5"/>
        <v>CRLN</v>
      </c>
    </row>
    <row r="1520">
      <c r="A1520" s="8" t="str">
        <f>IFERROR(__xludf.DUMMYFUNCTION("""COMPUTED_VALUE"""),"ARFFLMP027")</f>
        <v>ARFFLMP027</v>
      </c>
      <c r="B1520" s="8" t="str">
        <f>IFERROR(__xludf.DUMMYFUNCTION("""COMPUTED_VALUE"""),"RUN-FLMP_2022-05-16_RFR-138")</f>
        <v>RUN-FLMP_2022-05-16_RFR-138</v>
      </c>
      <c r="C1520" s="10">
        <f>VLOOKUP(B1520,'Run Reconcile'!A$2:B1579,2,FALSE)</f>
        <v>44697</v>
      </c>
      <c r="F1520" s="8" t="str">
        <f>IFERROR(__xludf.DUMMYFUNCTION("""COMPUTED_VALUE"""),"Negative")</f>
        <v>Negative</v>
      </c>
      <c r="G1520" s="22"/>
      <c r="H1520" s="23" t="str">
        <f t="shared" si="5"/>
        <v>CRLN</v>
      </c>
    </row>
    <row r="1521">
      <c r="A1521" s="8" t="str">
        <f>IFERROR(__xludf.DUMMYFUNCTION("""COMPUTED_VALUE"""),"ARFFLMP028")</f>
        <v>ARFFLMP028</v>
      </c>
      <c r="B1521" s="8" t="str">
        <f>IFERROR(__xludf.DUMMYFUNCTION("""COMPUTED_VALUE"""),"RUN-FLMP_2022-05-16_RFR-138")</f>
        <v>RUN-FLMP_2022-05-16_RFR-138</v>
      </c>
      <c r="C1521" s="10">
        <f>VLOOKUP(B1521,'Run Reconcile'!A$2:B1579,2,FALSE)</f>
        <v>44697</v>
      </c>
      <c r="F1521" s="8" t="str">
        <f>IFERROR(__xludf.DUMMYFUNCTION("""COMPUTED_VALUE"""),"Negative")</f>
        <v>Negative</v>
      </c>
      <c r="G1521" s="22"/>
      <c r="H1521" s="23" t="str">
        <f t="shared" si="5"/>
        <v>CRLN</v>
      </c>
    </row>
    <row r="1522">
      <c r="A1522" s="8" t="str">
        <f>IFERROR(__xludf.DUMMYFUNCTION("""COMPUTED_VALUE"""),"ARFFLMP029")</f>
        <v>ARFFLMP029</v>
      </c>
      <c r="B1522" s="8" t="str">
        <f>IFERROR(__xludf.DUMMYFUNCTION("""COMPUTED_VALUE"""),"RUN-FLMP_2022-05-23_RFR-146")</f>
        <v>RUN-FLMP_2022-05-23_RFR-146</v>
      </c>
      <c r="C1522" s="10">
        <f>VLOOKUP(B1522,'Run Reconcile'!A$2:B1579,2,FALSE)</f>
        <v>44704</v>
      </c>
      <c r="F1522" s="8" t="str">
        <f>IFERROR(__xludf.DUMMYFUNCTION("""COMPUTED_VALUE"""),"Negative")</f>
        <v>Negative</v>
      </c>
      <c r="G1522" s="22"/>
      <c r="H1522" s="23" t="str">
        <f t="shared" si="5"/>
        <v>CRLN</v>
      </c>
    </row>
    <row r="1523">
      <c r="A1523" s="8" t="str">
        <f>IFERROR(__xludf.DUMMYFUNCTION("""COMPUTED_VALUE"""),"ARFFLMP030")</f>
        <v>ARFFLMP030</v>
      </c>
      <c r="B1523" s="8" t="str">
        <f>IFERROR(__xludf.DUMMYFUNCTION("""COMPUTED_VALUE"""),"RUN-FLMP_2022-05-23_RFR-146")</f>
        <v>RUN-FLMP_2022-05-23_RFR-146</v>
      </c>
      <c r="C1523" s="10">
        <f>VLOOKUP(B1523,'Run Reconcile'!A$2:B1579,2,FALSE)</f>
        <v>44704</v>
      </c>
      <c r="F1523" s="8" t="str">
        <f>IFERROR(__xludf.DUMMYFUNCTION("""COMPUTED_VALUE"""),"Negative")</f>
        <v>Negative</v>
      </c>
      <c r="G1523" s="22"/>
      <c r="H1523" s="23" t="str">
        <f t="shared" si="5"/>
        <v>CRLN</v>
      </c>
    </row>
    <row r="1524">
      <c r="A1524" s="8" t="str">
        <f>IFERROR(__xludf.DUMMYFUNCTION("""COMPUTED_VALUE"""),"ARFFLMP031")</f>
        <v>ARFFLMP031</v>
      </c>
      <c r="B1524" s="8" t="str">
        <f>IFERROR(__xludf.DUMMYFUNCTION("""COMPUTED_VALUE"""),"RUN-FLMP_2022-05-23_RFR-146")</f>
        <v>RUN-FLMP_2022-05-23_RFR-146</v>
      </c>
      <c r="C1524" s="10">
        <f>VLOOKUP(B1524,'Run Reconcile'!A$2:B1579,2,FALSE)</f>
        <v>44704</v>
      </c>
      <c r="F1524" s="8" t="str">
        <f>IFERROR(__xludf.DUMMYFUNCTION("""COMPUTED_VALUE"""),"Negative")</f>
        <v>Negative</v>
      </c>
      <c r="G1524" s="22"/>
      <c r="H1524" s="23" t="str">
        <f t="shared" si="5"/>
        <v>CRLN</v>
      </c>
    </row>
    <row r="1525">
      <c r="A1525" s="8" t="str">
        <f>IFERROR(__xludf.DUMMYFUNCTION("""COMPUTED_VALUE"""),"ARFFLMP032")</f>
        <v>ARFFLMP032</v>
      </c>
      <c r="B1525" s="8" t="str">
        <f>IFERROR(__xludf.DUMMYFUNCTION("""COMPUTED_VALUE"""),"RUN-FLMP_2022-03-17_RFR-102")</f>
        <v>RUN-FLMP_2022-03-17_RFR-102</v>
      </c>
      <c r="C1525" s="10">
        <f>VLOOKUP(B1525,'Run Reconcile'!A$2:B1579,2,FALSE)</f>
        <v>44637</v>
      </c>
      <c r="F1525" s="8" t="str">
        <f>IFERROR(__xludf.DUMMYFUNCTION("""COMPUTED_VALUE"""),"Negative")</f>
        <v>Negative</v>
      </c>
      <c r="G1525" s="22"/>
      <c r="H1525" s="23" t="str">
        <f t="shared" si="5"/>
        <v>CRLN</v>
      </c>
    </row>
    <row r="1526">
      <c r="A1526" s="8" t="str">
        <f>IFERROR(__xludf.DUMMYFUNCTION("""COMPUTED_VALUE"""),"ARFFLMP033")</f>
        <v>ARFFLMP033</v>
      </c>
      <c r="B1526" s="8" t="str">
        <f>IFERROR(__xludf.DUMMYFUNCTION("""COMPUTED_VALUE"""),"RUN-FLMP_2022-03-17_RFR-102")</f>
        <v>RUN-FLMP_2022-03-17_RFR-102</v>
      </c>
      <c r="C1526" s="10">
        <f>VLOOKUP(B1526,'Run Reconcile'!A$2:B1579,2,FALSE)</f>
        <v>44637</v>
      </c>
      <c r="F1526" s="8" t="str">
        <f>IFERROR(__xludf.DUMMYFUNCTION("""COMPUTED_VALUE"""),"Negative")</f>
        <v>Negative</v>
      </c>
      <c r="G1526" s="22"/>
      <c r="H1526" s="23" t="str">
        <f t="shared" si="5"/>
        <v>CRLN</v>
      </c>
    </row>
    <row r="1527">
      <c r="A1527" s="8" t="str">
        <f>IFERROR(__xludf.DUMMYFUNCTION("""COMPUTED_VALUE"""),"ARFFLMP034")</f>
        <v>ARFFLMP034</v>
      </c>
      <c r="B1527" s="8" t="str">
        <f>IFERROR(__xludf.DUMMYFUNCTION("""COMPUTED_VALUE"""),"RUN-FLMP_2022-04-18_RFR-113")</f>
        <v>RUN-FLMP_2022-04-18_RFR-113</v>
      </c>
      <c r="C1527" s="10">
        <f>VLOOKUP(B1527,'Run Reconcile'!A$2:B1579,2,FALSE)</f>
        <v>44669</v>
      </c>
      <c r="F1527" s="8" t="str">
        <f>IFERROR(__xludf.DUMMYFUNCTION("""COMPUTED_VALUE"""),"Negative")</f>
        <v>Negative</v>
      </c>
      <c r="G1527" s="22"/>
      <c r="H1527" s="23" t="str">
        <f t="shared" si="5"/>
        <v>CRLN</v>
      </c>
    </row>
    <row r="1528">
      <c r="A1528" s="8" t="str">
        <f>IFERROR(__xludf.DUMMYFUNCTION("""COMPUTED_VALUE"""),"ARFFLMP035")</f>
        <v>ARFFLMP035</v>
      </c>
      <c r="B1528" s="8" t="str">
        <f>IFERROR(__xludf.DUMMYFUNCTION("""COMPUTED_VALUE"""),"RUN-FLMP_2022-04-18_RFR-113")</f>
        <v>RUN-FLMP_2022-04-18_RFR-113</v>
      </c>
      <c r="C1528" s="10">
        <f>VLOOKUP(B1528,'Run Reconcile'!A$2:B1579,2,FALSE)</f>
        <v>44669</v>
      </c>
      <c r="F1528" s="8" t="str">
        <f>IFERROR(__xludf.DUMMYFUNCTION("""COMPUTED_VALUE"""),"Negative")</f>
        <v>Negative</v>
      </c>
      <c r="G1528" s="22"/>
      <c r="H1528" s="23" t="str">
        <f t="shared" si="5"/>
        <v>CRLN</v>
      </c>
    </row>
    <row r="1529">
      <c r="A1529" s="8" t="str">
        <f>IFERROR(__xludf.DUMMYFUNCTION("""COMPUTED_VALUE"""),"ARFFLMP036")</f>
        <v>ARFFLMP036</v>
      </c>
      <c r="B1529" s="8" t="str">
        <f>IFERROR(__xludf.DUMMYFUNCTION("""COMPUTED_VALUE"""),"RUN-FLMP_2022-05-12_RFR-135")</f>
        <v>RUN-FLMP_2022-05-12_RFR-135</v>
      </c>
      <c r="C1529" s="10">
        <f>VLOOKUP(B1529,'Run Reconcile'!A$2:B1579,2,FALSE)</f>
        <v>44693</v>
      </c>
      <c r="F1529" s="8" t="str">
        <f>IFERROR(__xludf.DUMMYFUNCTION("""COMPUTED_VALUE"""),"Negative")</f>
        <v>Negative</v>
      </c>
      <c r="G1529" s="22"/>
      <c r="H1529" s="23" t="str">
        <f t="shared" si="5"/>
        <v>CRLN</v>
      </c>
    </row>
    <row r="1530">
      <c r="A1530" s="8" t="str">
        <f>IFERROR(__xludf.DUMMYFUNCTION("""COMPUTED_VALUE"""),"ARFFLMP037")</f>
        <v>ARFFLMP037</v>
      </c>
      <c r="B1530" s="8" t="str">
        <f>IFERROR(__xludf.DUMMYFUNCTION("""COMPUTED_VALUE"""),"RUN-FLMP_2022-05-12_RFR-135")</f>
        <v>RUN-FLMP_2022-05-12_RFR-135</v>
      </c>
      <c r="C1530" s="10">
        <f>VLOOKUP(B1530,'Run Reconcile'!A$2:B1579,2,FALSE)</f>
        <v>44693</v>
      </c>
      <c r="F1530" s="8" t="str">
        <f>IFERROR(__xludf.DUMMYFUNCTION("""COMPUTED_VALUE"""),"Negative")</f>
        <v>Negative</v>
      </c>
      <c r="G1530" s="22"/>
      <c r="H1530" s="23" t="str">
        <f t="shared" si="5"/>
        <v>CRLN</v>
      </c>
    </row>
    <row r="1531">
      <c r="A1531" s="8" t="str">
        <f>IFERROR(__xludf.DUMMYFUNCTION("""COMPUTED_VALUE"""),"ARFFLMP038")</f>
        <v>ARFFLMP038</v>
      </c>
      <c r="B1531" s="8" t="str">
        <f>IFERROR(__xludf.DUMMYFUNCTION("""COMPUTED_VALUE"""),"RUN-FLMP_2022-01-17_RFR-061")</f>
        <v>RUN-FLMP_2022-01-17_RFR-061</v>
      </c>
      <c r="C1531" s="10">
        <f>VLOOKUP(B1531,'Run Reconcile'!A$2:B1579,2,FALSE)</f>
        <v>44578</v>
      </c>
      <c r="F1531" s="8" t="str">
        <f>IFERROR(__xludf.DUMMYFUNCTION("""COMPUTED_VALUE"""),"Negative")</f>
        <v>Negative</v>
      </c>
      <c r="G1531" s="22"/>
      <c r="H1531" s="23" t="str">
        <f t="shared" si="5"/>
        <v>CRLN</v>
      </c>
    </row>
    <row r="1532">
      <c r="A1532" s="8" t="str">
        <f>IFERROR(__xludf.DUMMYFUNCTION("""COMPUTED_VALUE"""),"ARFFLMP039")</f>
        <v>ARFFLMP039</v>
      </c>
      <c r="B1532" s="8" t="str">
        <f>IFERROR(__xludf.DUMMYFUNCTION("""COMPUTED_VALUE"""),"RUN-FLMP_2022-02-10_RFR-085")</f>
        <v>RUN-FLMP_2022-02-10_RFR-085</v>
      </c>
      <c r="C1532" s="10">
        <f>VLOOKUP(B1532,'Run Reconcile'!A$2:B1579,2,FALSE)</f>
        <v>44602</v>
      </c>
      <c r="F1532" s="8" t="str">
        <f>IFERROR(__xludf.DUMMYFUNCTION("""COMPUTED_VALUE"""),"Negative")</f>
        <v>Negative</v>
      </c>
      <c r="G1532" s="22"/>
      <c r="H1532" s="23" t="str">
        <f t="shared" si="5"/>
        <v>CRLN</v>
      </c>
    </row>
    <row r="1533">
      <c r="A1533" s="8" t="str">
        <f>IFERROR(__xludf.DUMMYFUNCTION("""COMPUTED_VALUE"""),"ARFFLMP040")</f>
        <v>ARFFLMP040</v>
      </c>
      <c r="B1533" s="8" t="str">
        <f>IFERROR(__xludf.DUMMYFUNCTION("""COMPUTED_VALUE"""),"RUN-FLMP_2022-02-17_RFR-089")</f>
        <v>RUN-FLMP_2022-02-17_RFR-089</v>
      </c>
      <c r="C1533" s="10">
        <f>VLOOKUP(B1533,'Run Reconcile'!A$2:B1579,2,FALSE)</f>
        <v>44609</v>
      </c>
      <c r="F1533" s="8" t="str">
        <f>IFERROR(__xludf.DUMMYFUNCTION("""COMPUTED_VALUE"""),"Negative")</f>
        <v>Negative</v>
      </c>
      <c r="G1533" s="22"/>
      <c r="H1533" s="23" t="str">
        <f t="shared" si="5"/>
        <v>CRLN</v>
      </c>
    </row>
    <row r="1534">
      <c r="A1534" s="8" t="str">
        <f>IFERROR(__xludf.DUMMYFUNCTION("""COMPUTED_VALUE"""),"ARFFLMP041")</f>
        <v>ARFFLMP041</v>
      </c>
      <c r="B1534" s="8" t="str">
        <f>IFERROR(__xludf.DUMMYFUNCTION("""COMPUTED_VALUE"""),"RUN-FLMP_2022-04-04_RFR-105")</f>
        <v>RUN-FLMP_2022-04-04_RFR-105</v>
      </c>
      <c r="C1534" s="10">
        <f>VLOOKUP(B1534,'Run Reconcile'!A$2:B1579,2,FALSE)</f>
        <v>44655</v>
      </c>
      <c r="F1534" s="8" t="str">
        <f>IFERROR(__xludf.DUMMYFUNCTION("""COMPUTED_VALUE"""),"Negative")</f>
        <v>Negative</v>
      </c>
      <c r="G1534" s="22"/>
      <c r="H1534" s="23" t="str">
        <f t="shared" si="5"/>
        <v>CRLN</v>
      </c>
    </row>
    <row r="1535">
      <c r="A1535" s="8" t="str">
        <f>IFERROR(__xludf.DUMMYFUNCTION("""COMPUTED_VALUE"""),"ARFFLMP042")</f>
        <v>ARFFLMP042</v>
      </c>
      <c r="B1535" s="8" t="str">
        <f>IFERROR(__xludf.DUMMYFUNCTION("""COMPUTED_VALUE"""),"RUN-FLMP_2022-04-07_RFR-107")</f>
        <v>RUN-FLMP_2022-04-07_RFR-107</v>
      </c>
      <c r="C1535" s="10">
        <f>VLOOKUP(B1535,'Run Reconcile'!A$2:B1579,2,FALSE)</f>
        <v>44658</v>
      </c>
      <c r="F1535" s="8" t="str">
        <f>IFERROR(__xludf.DUMMYFUNCTION("""COMPUTED_VALUE"""),"Negative")</f>
        <v>Negative</v>
      </c>
      <c r="G1535" s="22"/>
      <c r="H1535" s="23" t="str">
        <f t="shared" si="5"/>
        <v>CRLN</v>
      </c>
    </row>
    <row r="1536">
      <c r="A1536" s="8" t="str">
        <f>IFERROR(__xludf.DUMMYFUNCTION("""COMPUTED_VALUE"""),"ARFFLMP043")</f>
        <v>ARFFLMP043</v>
      </c>
      <c r="B1536" s="8" t="str">
        <f>IFERROR(__xludf.DUMMYFUNCTION("""COMPUTED_VALUE"""),"RUN-FLMP_2022-04-14_RFR-111")</f>
        <v>RUN-FLMP_2022-04-14_RFR-111</v>
      </c>
      <c r="C1536" s="10">
        <f>VLOOKUP(B1536,'Run Reconcile'!A$2:B1579,2,FALSE)</f>
        <v>44665</v>
      </c>
      <c r="F1536" s="8" t="str">
        <f>IFERROR(__xludf.DUMMYFUNCTION("""COMPUTED_VALUE"""),"Negative")</f>
        <v>Negative</v>
      </c>
      <c r="G1536" s="22"/>
      <c r="H1536" s="23" t="str">
        <f t="shared" si="5"/>
        <v>CRLN</v>
      </c>
    </row>
    <row r="1537">
      <c r="A1537" s="8" t="str">
        <f>IFERROR(__xludf.DUMMYFUNCTION("""COMPUTED_VALUE"""),"ARFFLMP044")</f>
        <v>ARFFLMP044</v>
      </c>
      <c r="B1537" s="8" t="str">
        <f>IFERROR(__xludf.DUMMYFUNCTION("""COMPUTED_VALUE"""),"RUN-FLMP_2022-04-25_RFR-118")</f>
        <v>RUN-FLMP_2022-04-25_RFR-118</v>
      </c>
      <c r="C1537" s="10">
        <f>VLOOKUP(B1537,'Run Reconcile'!A$2:B1579,2,FALSE)</f>
        <v>44676</v>
      </c>
      <c r="F1537" s="8" t="str">
        <f>IFERROR(__xludf.DUMMYFUNCTION("""COMPUTED_VALUE"""),"Negative")</f>
        <v>Negative</v>
      </c>
      <c r="G1537" s="22"/>
      <c r="H1537" s="23" t="str">
        <f t="shared" si="5"/>
        <v>CRLN</v>
      </c>
    </row>
    <row r="1538">
      <c r="A1538" s="8" t="str">
        <f>IFERROR(__xludf.DUMMYFUNCTION("""COMPUTED_VALUE"""),"ARFFLMP045")</f>
        <v>ARFFLMP045</v>
      </c>
      <c r="B1538" s="8" t="str">
        <f>IFERROR(__xludf.DUMMYFUNCTION("""COMPUTED_VALUE"""),"RUN-FLMP_2022-05-09_RFR-128")</f>
        <v>RUN-FLMP_2022-05-09_RFR-128</v>
      </c>
      <c r="C1538" s="10">
        <f>VLOOKUP(B1538,'Run Reconcile'!A$2:B1579,2,FALSE)</f>
        <v>44690</v>
      </c>
      <c r="F1538" s="8" t="str">
        <f>IFERROR(__xludf.DUMMYFUNCTION("""COMPUTED_VALUE"""),"Negative")</f>
        <v>Negative</v>
      </c>
      <c r="G1538" s="22"/>
      <c r="H1538" s="23" t="str">
        <f t="shared" si="5"/>
        <v>CRLN</v>
      </c>
    </row>
    <row r="1539">
      <c r="A1539" s="8" t="str">
        <f>IFERROR(__xludf.DUMMYFUNCTION("""COMPUTED_VALUE"""),"ARFFLMP046")</f>
        <v>ARFFLMP046</v>
      </c>
      <c r="B1539" s="8" t="str">
        <f>IFERROR(__xludf.DUMMYFUNCTION("""COMPUTED_VALUE"""),"RUN-FLMP_2022-05-11_RFR-132")</f>
        <v>RUN-FLMP_2022-05-11_RFR-132</v>
      </c>
      <c r="C1539" s="10">
        <f>VLOOKUP(B1539,'Run Reconcile'!A$2:B1579,2,FALSE)</f>
        <v>44692</v>
      </c>
      <c r="F1539" s="8" t="str">
        <f>IFERROR(__xludf.DUMMYFUNCTION("""COMPUTED_VALUE"""),"Negative")</f>
        <v>Negative</v>
      </c>
      <c r="G1539" s="22"/>
      <c r="H1539" s="23" t="str">
        <f t="shared" si="5"/>
        <v>CRLN</v>
      </c>
    </row>
    <row r="1540">
      <c r="A1540" s="8" t="str">
        <f>IFERROR(__xludf.DUMMYFUNCTION("""COMPUTED_VALUE"""),"ARFFLMP047")</f>
        <v>ARFFLMP047</v>
      </c>
      <c r="B1540" s="8" t="str">
        <f>IFERROR(__xludf.DUMMYFUNCTION("""COMPUTED_VALUE"""),"RUN-FLMP_2022-05-18_RFR-142")</f>
        <v>RUN-FLMP_2022-05-18_RFR-142</v>
      </c>
      <c r="C1540" s="10">
        <f>VLOOKUP(B1540,'Run Reconcile'!A$2:B1579,2,FALSE)</f>
        <v>44699</v>
      </c>
      <c r="F1540" s="8" t="str">
        <f>IFERROR(__xludf.DUMMYFUNCTION("""COMPUTED_VALUE"""),"Negative")</f>
        <v>Negative</v>
      </c>
      <c r="G1540" s="22"/>
      <c r="H1540" s="23" t="str">
        <f t="shared" si="5"/>
        <v>CRLN</v>
      </c>
    </row>
    <row r="1541">
      <c r="A1541" s="8" t="str">
        <f>IFERROR(__xludf.DUMMYFUNCTION("""COMPUTED_VALUE"""),"ARFFLMP048")</f>
        <v>ARFFLMP048</v>
      </c>
      <c r="B1541" s="8" t="str">
        <f>IFERROR(__xludf.DUMMYFUNCTION("""COMPUTED_VALUE"""),"RUN-FLMP_2022-05-31_RFR-150")</f>
        <v>RUN-FLMP_2022-05-31_RFR-150</v>
      </c>
      <c r="C1541" s="10">
        <f>VLOOKUP(B1541,'Run Reconcile'!A$2:B1579,2,FALSE)</f>
        <v>44712</v>
      </c>
      <c r="F1541" s="8" t="str">
        <f>IFERROR(__xludf.DUMMYFUNCTION("""COMPUTED_VALUE"""),"Negative")</f>
        <v>Negative</v>
      </c>
      <c r="G1541" s="22"/>
      <c r="H1541" s="23" t="str">
        <f t="shared" si="5"/>
        <v>CRLN</v>
      </c>
    </row>
    <row r="1542">
      <c r="C1542" s="25"/>
      <c r="G1542" s="16"/>
    </row>
    <row r="1543">
      <c r="C1543" s="25"/>
      <c r="G1543" s="16"/>
    </row>
    <row r="1544">
      <c r="C1544" s="25"/>
      <c r="G1544" s="16"/>
    </row>
    <row r="1545">
      <c r="C1545" s="25"/>
      <c r="G1545" s="16"/>
    </row>
    <row r="1546">
      <c r="C1546" s="25"/>
      <c r="G1546" s="16"/>
    </row>
    <row r="1547">
      <c r="C1547" s="25"/>
      <c r="G1547" s="16"/>
    </row>
    <row r="1548">
      <c r="C1548" s="25"/>
      <c r="G1548" s="16"/>
    </row>
    <row r="1549">
      <c r="C1549" s="25"/>
      <c r="G1549" s="16"/>
    </row>
    <row r="1550">
      <c r="C1550" s="25"/>
      <c r="G1550" s="16"/>
    </row>
    <row r="1551">
      <c r="C1551" s="25"/>
      <c r="G1551" s="16"/>
    </row>
    <row r="1552">
      <c r="C1552" s="25"/>
      <c r="G1552" s="16"/>
    </row>
    <row r="1553">
      <c r="C1553" s="25"/>
      <c r="G1553" s="16"/>
    </row>
    <row r="1554">
      <c r="C1554" s="25"/>
      <c r="G1554" s="16"/>
    </row>
    <row r="1555">
      <c r="C1555" s="25"/>
      <c r="G1555" s="16"/>
    </row>
    <row r="1556">
      <c r="C1556" s="25"/>
      <c r="G1556" s="16"/>
    </row>
    <row r="1557">
      <c r="C1557" s="25"/>
      <c r="G1557" s="16"/>
    </row>
    <row r="1558">
      <c r="C1558" s="25"/>
      <c r="G1558" s="16"/>
    </row>
    <row r="1559">
      <c r="C1559" s="25"/>
      <c r="G1559" s="16"/>
    </row>
    <row r="1560">
      <c r="C1560" s="25"/>
      <c r="G1560" s="16"/>
    </row>
    <row r="1561">
      <c r="C1561" s="25"/>
      <c r="G1561" s="16"/>
    </row>
    <row r="1562">
      <c r="C1562" s="25"/>
      <c r="G1562" s="16"/>
    </row>
    <row r="1563">
      <c r="C1563" s="25"/>
      <c r="G1563" s="16"/>
    </row>
    <row r="1564">
      <c r="C1564" s="25"/>
      <c r="G1564" s="16"/>
    </row>
    <row r="1565">
      <c r="C1565" s="25"/>
      <c r="G1565" s="16"/>
    </row>
    <row r="1566">
      <c r="C1566" s="25"/>
      <c r="G1566" s="16"/>
    </row>
    <row r="1567">
      <c r="C1567" s="25"/>
      <c r="G1567" s="16"/>
    </row>
    <row r="1568">
      <c r="C1568" s="25"/>
      <c r="G1568" s="16"/>
    </row>
    <row r="1569">
      <c r="C1569" s="25"/>
      <c r="G1569" s="16"/>
    </row>
    <row r="1570">
      <c r="C1570" s="25"/>
      <c r="G1570" s="16"/>
    </row>
    <row r="1571">
      <c r="C1571" s="25"/>
      <c r="G1571" s="16"/>
    </row>
    <row r="1572">
      <c r="C1572" s="25"/>
      <c r="G1572" s="16"/>
    </row>
    <row r="1573">
      <c r="C1573" s="25"/>
      <c r="G1573" s="16"/>
    </row>
    <row r="1574">
      <c r="C1574" s="25"/>
      <c r="G1574" s="16"/>
    </row>
    <row r="1575">
      <c r="C1575" s="25"/>
      <c r="G1575" s="16"/>
    </row>
    <row r="1576">
      <c r="C1576" s="25"/>
      <c r="G1576" s="16"/>
    </row>
    <row r="1577">
      <c r="C1577" s="25"/>
      <c r="G1577" s="16"/>
    </row>
    <row r="1578">
      <c r="C1578" s="25"/>
      <c r="G1578" s="16"/>
    </row>
    <row r="1579">
      <c r="C1579" s="25"/>
      <c r="G1579" s="16"/>
    </row>
  </sheetData>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1.38"/>
    <col customWidth="1" min="4" max="4" width="9.88"/>
    <col customWidth="1" min="5" max="5" width="9.5"/>
  </cols>
  <sheetData>
    <row r="1">
      <c r="A1" s="7" t="s">
        <v>5</v>
      </c>
      <c r="B1" s="7" t="s">
        <v>6</v>
      </c>
      <c r="C1" s="26" t="str">
        <f>CONCATENATE("Weekly Participants ",SUM(C2:C199))</f>
        <v>Weekly Participants 3399</v>
      </c>
      <c r="D1" s="7" t="str">
        <f>CONCATENATE("Weekly Tubes Run ",SUM(D2:D199))</f>
        <v>Weekly Tubes Run 1540</v>
      </c>
      <c r="E1" s="7" t="str">
        <f>CONCATENATE("Weekly Positive Tubes ",SUM(E2:E199))</f>
        <v>Weekly Positive Tubes 57</v>
      </c>
      <c r="F1" s="7" t="str">
        <f>CONCATENATE("Weekly Inconclusive Tubes ",SUM(F2:F199))</f>
        <v>Weekly Inconclusive Tubes 4</v>
      </c>
      <c r="G1" s="7" t="s">
        <v>7</v>
      </c>
      <c r="H1" s="9"/>
      <c r="I1" s="9"/>
      <c r="J1" s="9"/>
      <c r="K1" s="9"/>
      <c r="L1" s="9"/>
      <c r="M1" s="9"/>
      <c r="N1" s="9"/>
      <c r="O1" s="9"/>
      <c r="P1" s="9"/>
      <c r="Q1" s="9"/>
      <c r="R1" s="9"/>
      <c r="S1" s="9"/>
      <c r="T1" s="9"/>
      <c r="U1" s="9"/>
      <c r="V1" s="9"/>
      <c r="W1" s="9"/>
      <c r="X1" s="9"/>
      <c r="Y1" s="9"/>
      <c r="Z1" s="9"/>
      <c r="AA1" s="9"/>
    </row>
    <row r="2">
      <c r="A2" s="27">
        <f>MIN('ALL Tube Results'!C:C) - WEEKDAY(MIN('ALL Tube Results'!C:C), 3)
</f>
        <v>44172</v>
      </c>
      <c r="B2" s="28">
        <f t="shared" ref="B2:B110" si="1">A2+6</f>
        <v>44178</v>
      </c>
      <c r="C2" s="29">
        <f>SUMIFS('ALL Tube Results'!$G$2:$G199, 'ALL Tube Results'!$C$2:$C199, "&gt;="&amp;A2, 'ALL Tube Results'!$C$2:$C199, "&lt;="&amp;B2)
</f>
        <v>6</v>
      </c>
      <c r="D2" s="30">
        <f>COUNTIFS('ALL Tube Results'!$C2:$C199, "&gt;="&amp;A2, 'ALL Tube Results'!$C2:$C199, "&lt;="&amp;B2)</f>
        <v>2</v>
      </c>
      <c r="E2" s="30">
        <f>COUNTIFS('ALL Tube Results'!$C2:$C199, "&gt;="&amp;A2, 'ALL Tube Results'!$C2:$C199, "&lt;="&amp;B2, 'ALL Tube Results'!$F2:$F199, "Positive")</f>
        <v>0</v>
      </c>
      <c r="F2" s="30">
        <f>COUNTIFS('ALL Tube Results'!$C2:$C199, "&gt;="&amp;A2, 'ALL Tube Results'!$C2:$C199, "&lt;="&amp;B2, 'ALL Tube Results'!$F2:$F199, "Inconclusive")</f>
        <v>0</v>
      </c>
      <c r="G2" s="31">
        <f t="shared" ref="G2:G110" si="2">IFERROR(E2/D2,IFERROR(0/0,""))</f>
        <v>0</v>
      </c>
    </row>
    <row r="3">
      <c r="A3" s="32">
        <f>B2+1</f>
        <v>44179</v>
      </c>
      <c r="B3" s="28">
        <f t="shared" si="1"/>
        <v>44185</v>
      </c>
      <c r="C3" s="29">
        <f>SUMIFS('ALL Tube Results'!$G$2:$G199, 'ALL Tube Results'!$C$2:$C199, "&gt;="&amp;A3, 'ALL Tube Results'!$C$2:$C199, "&lt;="&amp;B3)
</f>
        <v>3</v>
      </c>
      <c r="D3" s="30">
        <f>COUNTIFS('ALL Tube Results'!$C3:$C199, "&gt;="&amp;A3, 'ALL Tube Results'!$C3:$C199, "&lt;="&amp;B3)</f>
        <v>1</v>
      </c>
      <c r="E3" s="30">
        <f>COUNTIFS('ALL Tube Results'!$C3:$C199, "&gt;="&amp;A3, 'ALL Tube Results'!$C3:$C199, "&lt;="&amp;B3, 'ALL Tube Results'!$F3:$F199, "Positive")</f>
        <v>0</v>
      </c>
      <c r="F3" s="30">
        <f>COUNTIFS('ALL Tube Results'!$C3:$C199, "&gt;="&amp;A3, 'ALL Tube Results'!$C3:$C199, "&lt;="&amp;B3, 'ALL Tube Results'!$F3:$F199, "Inconclusive")</f>
        <v>0</v>
      </c>
      <c r="G3" s="31">
        <f t="shared" si="2"/>
        <v>0</v>
      </c>
    </row>
    <row r="4">
      <c r="A4" s="32">
        <f t="shared" ref="A4:A110" si="3">A3+7</f>
        <v>44186</v>
      </c>
      <c r="B4" s="28">
        <f t="shared" si="1"/>
        <v>44192</v>
      </c>
      <c r="C4" s="29">
        <f>SUMIFS('ALL Tube Results'!$G$2:$G199, 'ALL Tube Results'!$C$2:$C199, "&gt;="&amp;A4, 'ALL Tube Results'!$C$2:$C199, "&lt;="&amp;B4)
</f>
        <v>2</v>
      </c>
      <c r="D4" s="30">
        <f>COUNTIFS('ALL Tube Results'!$C4:$C199, "&gt;="&amp;A4, 'ALL Tube Results'!$C4:$C199, "&lt;="&amp;B4)</f>
        <v>1</v>
      </c>
      <c r="E4" s="30">
        <f>COUNTIFS('ALL Tube Results'!$C4:$C199, "&gt;="&amp;A4, 'ALL Tube Results'!$C4:$C199, "&lt;="&amp;B4, 'ALL Tube Results'!$F4:$F199, "Positive")</f>
        <v>0</v>
      </c>
      <c r="F4" s="30">
        <f>COUNTIFS('ALL Tube Results'!$C4:$C199, "&gt;="&amp;A4, 'ALL Tube Results'!$C4:$C199, "&lt;="&amp;B4, 'ALL Tube Results'!$F4:$F199, "Inconclusive")</f>
        <v>0</v>
      </c>
      <c r="G4" s="31">
        <f t="shared" si="2"/>
        <v>0</v>
      </c>
    </row>
    <row r="5">
      <c r="A5" s="32">
        <f t="shared" si="3"/>
        <v>44193</v>
      </c>
      <c r="B5" s="28">
        <f t="shared" si="1"/>
        <v>44199</v>
      </c>
      <c r="C5" s="29">
        <f>SUMIFS('ALL Tube Results'!$G$2:$G199, 'ALL Tube Results'!$C$2:$C199, "&gt;="&amp;A5, 'ALL Tube Results'!$C$2:$C199, "&lt;="&amp;B5)
</f>
        <v>6</v>
      </c>
      <c r="D5" s="30">
        <f>COUNTIFS('ALL Tube Results'!$C5:$C199, "&gt;="&amp;A5, 'ALL Tube Results'!$C5:$C199, "&lt;="&amp;B5)</f>
        <v>2</v>
      </c>
      <c r="E5" s="30">
        <f>COUNTIFS('ALL Tube Results'!$C5:$C199, "&gt;="&amp;A5, 'ALL Tube Results'!$C5:$C199, "&lt;="&amp;B5, 'ALL Tube Results'!$F5:$F199, "Positive")</f>
        <v>0</v>
      </c>
      <c r="F5" s="30">
        <f>COUNTIFS('ALL Tube Results'!$C5:$C199, "&gt;="&amp;A5, 'ALL Tube Results'!$C5:$C199, "&lt;="&amp;B5, 'ALL Tube Results'!$F5:$F199, "Inconclusive")</f>
        <v>0</v>
      </c>
      <c r="G5" s="31">
        <f t="shared" si="2"/>
        <v>0</v>
      </c>
    </row>
    <row r="6">
      <c r="A6" s="32">
        <f t="shared" si="3"/>
        <v>44200</v>
      </c>
      <c r="B6" s="28">
        <f t="shared" si="1"/>
        <v>44206</v>
      </c>
      <c r="C6" s="29">
        <f>SUMIFS('ALL Tube Results'!$G$2:$G199, 'ALL Tube Results'!$C$2:$C199, "&gt;="&amp;A6, 'ALL Tube Results'!$C$2:$C199, "&lt;="&amp;B6)
</f>
        <v>0</v>
      </c>
      <c r="D6" s="30">
        <f>COUNTIFS('ALL Tube Results'!$C6:$C199, "&gt;="&amp;A6, 'ALL Tube Results'!$C6:$C199, "&lt;="&amp;B6)</f>
        <v>0</v>
      </c>
      <c r="E6" s="30">
        <f>COUNTIFS('ALL Tube Results'!$C6:$C199, "&gt;="&amp;A6, 'ALL Tube Results'!$C6:$C199, "&lt;="&amp;B6, 'ALL Tube Results'!$F6:$F199, "Positive")</f>
        <v>0</v>
      </c>
      <c r="F6" s="30">
        <f>COUNTIFS('ALL Tube Results'!$C6:$C199, "&gt;="&amp;A6, 'ALL Tube Results'!$C6:$C199, "&lt;="&amp;B6, 'ALL Tube Results'!$F6:$F199, "Inconclusive")</f>
        <v>0</v>
      </c>
      <c r="G6" s="31" t="str">
        <f t="shared" si="2"/>
        <v/>
      </c>
    </row>
    <row r="7">
      <c r="A7" s="32">
        <f t="shared" si="3"/>
        <v>44207</v>
      </c>
      <c r="B7" s="28">
        <f t="shared" si="1"/>
        <v>44213</v>
      </c>
      <c r="C7" s="29">
        <f>SUMIFS('ALL Tube Results'!$G$2:$G199, 'ALL Tube Results'!$C$2:$C199, "&gt;="&amp;A7, 'ALL Tube Results'!$C$2:$C199, "&lt;="&amp;B7)
</f>
        <v>36</v>
      </c>
      <c r="D7" s="30">
        <f>COUNTIFS('ALL Tube Results'!$C7:$C199, "&gt;="&amp;A7, 'ALL Tube Results'!$C7:$C199, "&lt;="&amp;B7)</f>
        <v>15</v>
      </c>
      <c r="E7" s="30">
        <f>COUNTIFS('ALL Tube Results'!$C7:$C199, "&gt;="&amp;A7, 'ALL Tube Results'!$C7:$C199, "&lt;="&amp;B7, 'ALL Tube Results'!$F7:$F199, "Positive")</f>
        <v>3</v>
      </c>
      <c r="F7" s="30">
        <f>COUNTIFS('ALL Tube Results'!$C7:$C199, "&gt;="&amp;A7, 'ALL Tube Results'!$C7:$C199, "&lt;="&amp;B7, 'ALL Tube Results'!$F7:$F199, "Inconclusive")</f>
        <v>0</v>
      </c>
      <c r="G7" s="31">
        <f t="shared" si="2"/>
        <v>0.2</v>
      </c>
    </row>
    <row r="8">
      <c r="A8" s="32">
        <f t="shared" si="3"/>
        <v>44214</v>
      </c>
      <c r="B8" s="28">
        <f t="shared" si="1"/>
        <v>44220</v>
      </c>
      <c r="C8" s="29">
        <f>SUMIFS('ALL Tube Results'!$G$2:$G199, 'ALL Tube Results'!$C$2:$C199, "&gt;="&amp;A8, 'ALL Tube Results'!$C$2:$C199, "&lt;="&amp;B8)
</f>
        <v>49</v>
      </c>
      <c r="D8" s="30">
        <f>COUNTIFS('ALL Tube Results'!$C8:$C199, "&gt;="&amp;A8, 'ALL Tube Results'!$C8:$C199, "&lt;="&amp;B8)</f>
        <v>24</v>
      </c>
      <c r="E8" s="30">
        <f>COUNTIFS('ALL Tube Results'!$C8:$C199, "&gt;="&amp;A8, 'ALL Tube Results'!$C8:$C199, "&lt;="&amp;B8, 'ALL Tube Results'!$F8:$F199, "Positive")</f>
        <v>0</v>
      </c>
      <c r="F8" s="30">
        <f>COUNTIFS('ALL Tube Results'!$C8:$C199, "&gt;="&amp;A8, 'ALL Tube Results'!$C8:$C199, "&lt;="&amp;B8, 'ALL Tube Results'!$F8:$F199, "Inconclusive")</f>
        <v>0</v>
      </c>
      <c r="G8" s="31">
        <f t="shared" si="2"/>
        <v>0</v>
      </c>
    </row>
    <row r="9">
      <c r="A9" s="32">
        <f t="shared" si="3"/>
        <v>44221</v>
      </c>
      <c r="B9" s="28">
        <f t="shared" si="1"/>
        <v>44227</v>
      </c>
      <c r="C9" s="29">
        <f>SUMIFS('ALL Tube Results'!$G$2:$G199, 'ALL Tube Results'!$C$2:$C199, "&gt;="&amp;A9, 'ALL Tube Results'!$C$2:$C199, "&lt;="&amp;B9)
</f>
        <v>45</v>
      </c>
      <c r="D9" s="30">
        <f>COUNTIFS('ALL Tube Results'!$C9:$C199, "&gt;="&amp;A9, 'ALL Tube Results'!$C9:$C199, "&lt;="&amp;B9)</f>
        <v>19</v>
      </c>
      <c r="E9" s="30">
        <f>COUNTIFS('ALL Tube Results'!$C9:$C199, "&gt;="&amp;A9, 'ALL Tube Results'!$C9:$C199, "&lt;="&amp;B9, 'ALL Tube Results'!$F9:$F199, "Positive")</f>
        <v>0</v>
      </c>
      <c r="F9" s="30">
        <f>COUNTIFS('ALL Tube Results'!$C9:$C199, "&gt;="&amp;A9, 'ALL Tube Results'!$C9:$C199, "&lt;="&amp;B9, 'ALL Tube Results'!$F9:$F199, "Inconclusive")</f>
        <v>0</v>
      </c>
      <c r="G9" s="31">
        <f t="shared" si="2"/>
        <v>0</v>
      </c>
    </row>
    <row r="10">
      <c r="A10" s="32">
        <f t="shared" si="3"/>
        <v>44228</v>
      </c>
      <c r="B10" s="28">
        <f t="shared" si="1"/>
        <v>44234</v>
      </c>
      <c r="C10" s="29">
        <f>SUMIFS('ALL Tube Results'!$G$2:$G199, 'ALL Tube Results'!$C$2:$C199, "&gt;="&amp;A10, 'ALL Tube Results'!$C$2:$C199, "&lt;="&amp;B10)
</f>
        <v>31</v>
      </c>
      <c r="D10" s="30">
        <f>COUNTIFS('ALL Tube Results'!$C10:$C199, "&gt;="&amp;A10, 'ALL Tube Results'!$C10:$C199, "&lt;="&amp;B10)</f>
        <v>11</v>
      </c>
      <c r="E10" s="30">
        <f>COUNTIFS('ALL Tube Results'!$C10:$C199, "&gt;="&amp;A10, 'ALL Tube Results'!$C10:$C199, "&lt;="&amp;B10, 'ALL Tube Results'!$F10:$F199, "Positive")</f>
        <v>0</v>
      </c>
      <c r="F10" s="30">
        <f>COUNTIFS('ALL Tube Results'!$C10:$C199, "&gt;="&amp;A10, 'ALL Tube Results'!$C10:$C199, "&lt;="&amp;B10, 'ALL Tube Results'!$F10:$F199, "Inconclusive")</f>
        <v>0</v>
      </c>
      <c r="G10" s="31">
        <f t="shared" si="2"/>
        <v>0</v>
      </c>
    </row>
    <row r="11">
      <c r="A11" s="32">
        <f t="shared" si="3"/>
        <v>44235</v>
      </c>
      <c r="B11" s="28">
        <f t="shared" si="1"/>
        <v>44241</v>
      </c>
      <c r="C11" s="29">
        <f>SUMIFS('ALL Tube Results'!$G$2:$G199, 'ALL Tube Results'!$C$2:$C199, "&gt;="&amp;A11, 'ALL Tube Results'!$C$2:$C199, "&lt;="&amp;B11)
</f>
        <v>40</v>
      </c>
      <c r="D11" s="30">
        <f>COUNTIFS('ALL Tube Results'!$C11:$C199, "&gt;="&amp;A11, 'ALL Tube Results'!$C11:$C199, "&lt;="&amp;B11)</f>
        <v>13</v>
      </c>
      <c r="E11" s="30">
        <f>COUNTIFS('ALL Tube Results'!$C11:$C199, "&gt;="&amp;A11, 'ALL Tube Results'!$C11:$C199, "&lt;="&amp;B11, 'ALL Tube Results'!$F11:$F199, "Positive")</f>
        <v>0</v>
      </c>
      <c r="F11" s="30">
        <f>COUNTIFS('ALL Tube Results'!$C11:$C199, "&gt;="&amp;A11, 'ALL Tube Results'!$C11:$C199, "&lt;="&amp;B11, 'ALL Tube Results'!$F11:$F199, "Inconclusive")</f>
        <v>0</v>
      </c>
      <c r="G11" s="31">
        <f t="shared" si="2"/>
        <v>0</v>
      </c>
    </row>
    <row r="12">
      <c r="A12" s="32">
        <f t="shared" si="3"/>
        <v>44242</v>
      </c>
      <c r="B12" s="28">
        <f t="shared" si="1"/>
        <v>44248</v>
      </c>
      <c r="C12" s="29">
        <f>SUMIFS('ALL Tube Results'!$G$2:$G199, 'ALL Tube Results'!$C$2:$C199, "&gt;="&amp;A12, 'ALL Tube Results'!$C$2:$C199, "&lt;="&amp;B12)
</f>
        <v>14</v>
      </c>
      <c r="D12" s="30">
        <f>COUNTIFS('ALL Tube Results'!$C12:$C199, "&gt;="&amp;A12, 'ALL Tube Results'!$C12:$C199, "&lt;="&amp;B12)</f>
        <v>4</v>
      </c>
      <c r="E12" s="30">
        <f>COUNTIFS('ALL Tube Results'!$C12:$C199, "&gt;="&amp;A12, 'ALL Tube Results'!$C12:$C199, "&lt;="&amp;B12, 'ALL Tube Results'!$F12:$F199, "Positive")</f>
        <v>0</v>
      </c>
      <c r="F12" s="30">
        <f>COUNTIFS('ALL Tube Results'!$C12:$C199, "&gt;="&amp;A12, 'ALL Tube Results'!$C12:$C199, "&lt;="&amp;B12, 'ALL Tube Results'!$F12:$F199, "Inconclusive")</f>
        <v>0</v>
      </c>
      <c r="G12" s="31">
        <f t="shared" si="2"/>
        <v>0</v>
      </c>
    </row>
    <row r="13">
      <c r="A13" s="32">
        <f t="shared" si="3"/>
        <v>44249</v>
      </c>
      <c r="B13" s="28">
        <f t="shared" si="1"/>
        <v>44255</v>
      </c>
      <c r="C13" s="29">
        <f>SUMIFS('ALL Tube Results'!$G$2:$G199, 'ALL Tube Results'!$C$2:$C199, "&gt;="&amp;A13, 'ALL Tube Results'!$C$2:$C199, "&lt;="&amp;B13)
</f>
        <v>24</v>
      </c>
      <c r="D13" s="30">
        <f>COUNTIFS('ALL Tube Results'!$C13:$C199, "&gt;="&amp;A13, 'ALL Tube Results'!$C13:$C199, "&lt;="&amp;B13)</f>
        <v>9</v>
      </c>
      <c r="E13" s="30">
        <f>COUNTIFS('ALL Tube Results'!$C13:$C199, "&gt;="&amp;A13, 'ALL Tube Results'!$C13:$C199, "&lt;="&amp;B13, 'ALL Tube Results'!$F13:$F199, "Positive")</f>
        <v>0</v>
      </c>
      <c r="F13" s="30">
        <f>COUNTIFS('ALL Tube Results'!$C13:$C199, "&gt;="&amp;A13, 'ALL Tube Results'!$C13:$C199, "&lt;="&amp;B13, 'ALL Tube Results'!$F13:$F199, "Inconclusive")</f>
        <v>0</v>
      </c>
      <c r="G13" s="31">
        <f t="shared" si="2"/>
        <v>0</v>
      </c>
    </row>
    <row r="14">
      <c r="A14" s="32">
        <f t="shared" si="3"/>
        <v>44256</v>
      </c>
      <c r="B14" s="28">
        <f t="shared" si="1"/>
        <v>44262</v>
      </c>
      <c r="C14" s="29">
        <f>SUMIFS('ALL Tube Results'!$G$2:$G199, 'ALL Tube Results'!$C$2:$C199, "&gt;="&amp;A14, 'ALL Tube Results'!$C$2:$C199, "&lt;="&amp;B14)
</f>
        <v>35</v>
      </c>
      <c r="D14" s="30">
        <f>COUNTIFS('ALL Tube Results'!$C14:$C199, "&gt;="&amp;A14, 'ALL Tube Results'!$C14:$C199, "&lt;="&amp;B14)</f>
        <v>11</v>
      </c>
      <c r="E14" s="30">
        <f>COUNTIFS('ALL Tube Results'!$C14:$C199, "&gt;="&amp;A14, 'ALL Tube Results'!$C14:$C199, "&lt;="&amp;B14, 'ALL Tube Results'!$F14:$F199, "Positive")</f>
        <v>0</v>
      </c>
      <c r="F14" s="30">
        <f>COUNTIFS('ALL Tube Results'!$C14:$C199, "&gt;="&amp;A14, 'ALL Tube Results'!$C14:$C199, "&lt;="&amp;B14, 'ALL Tube Results'!$F14:$F199, "Inconclusive")</f>
        <v>0</v>
      </c>
      <c r="G14" s="31">
        <f t="shared" si="2"/>
        <v>0</v>
      </c>
    </row>
    <row r="15">
      <c r="A15" s="32">
        <f t="shared" si="3"/>
        <v>44263</v>
      </c>
      <c r="B15" s="28">
        <f t="shared" si="1"/>
        <v>44269</v>
      </c>
      <c r="C15" s="29">
        <f>SUMIFS('ALL Tube Results'!$G$2:$G199, 'ALL Tube Results'!$C$2:$C199, "&gt;="&amp;A15, 'ALL Tube Results'!$C$2:$C199, "&lt;="&amp;B15)
</f>
        <v>30</v>
      </c>
      <c r="D15" s="30">
        <f>COUNTIFS('ALL Tube Results'!$C15:$C199, "&gt;="&amp;A15, 'ALL Tube Results'!$C15:$C199, "&lt;="&amp;B15)</f>
        <v>9</v>
      </c>
      <c r="E15" s="30">
        <f>COUNTIFS('ALL Tube Results'!$C15:$C199, "&gt;="&amp;A15, 'ALL Tube Results'!$C15:$C199, "&lt;="&amp;B15, 'ALL Tube Results'!$F15:$F199, "Positive")</f>
        <v>0</v>
      </c>
      <c r="F15" s="30">
        <f>COUNTIFS('ALL Tube Results'!$C15:$C199, "&gt;="&amp;A15, 'ALL Tube Results'!$C15:$C199, "&lt;="&amp;B15, 'ALL Tube Results'!$F15:$F199, "Inconclusive")</f>
        <v>0</v>
      </c>
      <c r="G15" s="31">
        <f t="shared" si="2"/>
        <v>0</v>
      </c>
    </row>
    <row r="16">
      <c r="A16" s="32">
        <f t="shared" si="3"/>
        <v>44270</v>
      </c>
      <c r="B16" s="28">
        <f t="shared" si="1"/>
        <v>44276</v>
      </c>
      <c r="C16" s="29">
        <f>SUMIFS('ALL Tube Results'!$G$2:$G199, 'ALL Tube Results'!$C$2:$C199, "&gt;="&amp;A16, 'ALL Tube Results'!$C$2:$C199, "&lt;="&amp;B16)
</f>
        <v>16</v>
      </c>
      <c r="D16" s="30">
        <f>COUNTIFS('ALL Tube Results'!$C16:$C199, "&gt;="&amp;A16, 'ALL Tube Results'!$C16:$C199, "&lt;="&amp;B16)</f>
        <v>6</v>
      </c>
      <c r="E16" s="30">
        <f>COUNTIFS('ALL Tube Results'!$C16:$C199, "&gt;="&amp;A16, 'ALL Tube Results'!$C16:$C199, "&lt;="&amp;B16, 'ALL Tube Results'!$F16:$F199, "Positive")</f>
        <v>0</v>
      </c>
      <c r="F16" s="30">
        <f>COUNTIFS('ALL Tube Results'!$C16:$C199, "&gt;="&amp;A16, 'ALL Tube Results'!$C16:$C199, "&lt;="&amp;B16, 'ALL Tube Results'!$F16:$F199, "Inconclusive")</f>
        <v>0</v>
      </c>
      <c r="G16" s="31">
        <f t="shared" si="2"/>
        <v>0</v>
      </c>
    </row>
    <row r="17">
      <c r="A17" s="32">
        <f t="shared" si="3"/>
        <v>44277</v>
      </c>
      <c r="B17" s="28">
        <f t="shared" si="1"/>
        <v>44283</v>
      </c>
      <c r="C17" s="29">
        <f>SUMIFS('ALL Tube Results'!$G$2:$G199, 'ALL Tube Results'!$C$2:$C199, "&gt;="&amp;A17, 'ALL Tube Results'!$C$2:$C199, "&lt;="&amp;B17)
</f>
        <v>6</v>
      </c>
      <c r="D17" s="30">
        <f>COUNTIFS('ALL Tube Results'!$C17:$C199, "&gt;="&amp;A17, 'ALL Tube Results'!$C17:$C199, "&lt;="&amp;B17)</f>
        <v>2</v>
      </c>
      <c r="E17" s="30">
        <f>COUNTIFS('ALL Tube Results'!$C17:$C199, "&gt;="&amp;A17, 'ALL Tube Results'!$C17:$C199, "&lt;="&amp;B17, 'ALL Tube Results'!$F17:$F199, "Positive")</f>
        <v>0</v>
      </c>
      <c r="F17" s="30">
        <f>COUNTIFS('ALL Tube Results'!$C17:$C199, "&gt;="&amp;A17, 'ALL Tube Results'!$C17:$C199, "&lt;="&amp;B17, 'ALL Tube Results'!$F17:$F199, "Inconclusive")</f>
        <v>0</v>
      </c>
      <c r="G17" s="31">
        <f t="shared" si="2"/>
        <v>0</v>
      </c>
    </row>
    <row r="18">
      <c r="A18" s="32">
        <f t="shared" si="3"/>
        <v>44284</v>
      </c>
      <c r="B18" s="28">
        <f t="shared" si="1"/>
        <v>44290</v>
      </c>
      <c r="C18" s="29">
        <f>SUMIFS('ALL Tube Results'!$G$2:$G199, 'ALL Tube Results'!$C$2:$C199, "&gt;="&amp;A18, 'ALL Tube Results'!$C$2:$C199, "&lt;="&amp;B18)
</f>
        <v>6</v>
      </c>
      <c r="D18" s="30">
        <f>COUNTIFS('ALL Tube Results'!$C18:$C199, "&gt;="&amp;A18, 'ALL Tube Results'!$C18:$C199, "&lt;="&amp;B18)</f>
        <v>2</v>
      </c>
      <c r="E18" s="30">
        <f>COUNTIFS('ALL Tube Results'!$C18:$C199, "&gt;="&amp;A18, 'ALL Tube Results'!$C18:$C199, "&lt;="&amp;B18, 'ALL Tube Results'!$F18:$F199, "Positive")</f>
        <v>0</v>
      </c>
      <c r="F18" s="30">
        <f>COUNTIFS('ALL Tube Results'!$C18:$C199, "&gt;="&amp;A18, 'ALL Tube Results'!$C18:$C199, "&lt;="&amp;B18, 'ALL Tube Results'!$F18:$F199, "Inconclusive")</f>
        <v>0</v>
      </c>
      <c r="G18" s="31">
        <f t="shared" si="2"/>
        <v>0</v>
      </c>
    </row>
    <row r="19">
      <c r="A19" s="32">
        <f t="shared" si="3"/>
        <v>44291</v>
      </c>
      <c r="B19" s="28">
        <f t="shared" si="1"/>
        <v>44297</v>
      </c>
      <c r="C19" s="29">
        <f>SUMIFS('ALL Tube Results'!$G$2:$G199, 'ALL Tube Results'!$C$2:$C199, "&gt;="&amp;A19, 'ALL Tube Results'!$C$2:$C199, "&lt;="&amp;B19)
</f>
        <v>0</v>
      </c>
      <c r="D19" s="30">
        <f>COUNTIFS('ALL Tube Results'!$C19:$C199, "&gt;="&amp;A19, 'ALL Tube Results'!$C19:$C199, "&lt;="&amp;B19)</f>
        <v>0</v>
      </c>
      <c r="E19" s="30">
        <f>COUNTIFS('ALL Tube Results'!$C19:$C199, "&gt;="&amp;A19, 'ALL Tube Results'!$C19:$C199, "&lt;="&amp;B19, 'ALL Tube Results'!$F19:$F199, "Positive")</f>
        <v>0</v>
      </c>
      <c r="F19" s="30">
        <f>COUNTIFS('ALL Tube Results'!$C19:$C199, "&gt;="&amp;A19, 'ALL Tube Results'!$C19:$C199, "&lt;="&amp;B19, 'ALL Tube Results'!$F19:$F199, "Inconclusive")</f>
        <v>0</v>
      </c>
      <c r="G19" s="31" t="str">
        <f t="shared" si="2"/>
        <v/>
      </c>
    </row>
    <row r="20">
      <c r="A20" s="32">
        <f t="shared" si="3"/>
        <v>44298</v>
      </c>
      <c r="B20" s="28">
        <f t="shared" si="1"/>
        <v>44304</v>
      </c>
      <c r="C20" s="29">
        <f>SUMIFS('ALL Tube Results'!$G$2:$G199, 'ALL Tube Results'!$C$2:$C199, "&gt;="&amp;A20, 'ALL Tube Results'!$C$2:$C199, "&lt;="&amp;B20)
</f>
        <v>8</v>
      </c>
      <c r="D20" s="30">
        <f>COUNTIFS('ALL Tube Results'!$C20:$C199, "&gt;="&amp;A20, 'ALL Tube Results'!$C20:$C199, "&lt;="&amp;B20)</f>
        <v>3</v>
      </c>
      <c r="E20" s="30">
        <f>COUNTIFS('ALL Tube Results'!$C20:$C199, "&gt;="&amp;A20, 'ALL Tube Results'!$C20:$C199, "&lt;="&amp;B20, 'ALL Tube Results'!$F20:$F199, "Positive")</f>
        <v>0</v>
      </c>
      <c r="F20" s="30">
        <f>COUNTIFS('ALL Tube Results'!$C20:$C199, "&gt;="&amp;A20, 'ALL Tube Results'!$C20:$C199, "&lt;="&amp;B20, 'ALL Tube Results'!$F20:$F199, "Inconclusive")</f>
        <v>0</v>
      </c>
      <c r="G20" s="31">
        <f t="shared" si="2"/>
        <v>0</v>
      </c>
    </row>
    <row r="21">
      <c r="A21" s="32">
        <f t="shared" si="3"/>
        <v>44305</v>
      </c>
      <c r="B21" s="28">
        <f t="shared" si="1"/>
        <v>44311</v>
      </c>
      <c r="C21" s="29">
        <f>SUMIFS('ALL Tube Results'!$G$2:$G199, 'ALL Tube Results'!$C$2:$C199, "&gt;="&amp;A21, 'ALL Tube Results'!$C$2:$C199, "&lt;="&amp;B21)
</f>
        <v>0</v>
      </c>
      <c r="D21" s="30">
        <f>COUNTIFS('ALL Tube Results'!$C21:$C199, "&gt;="&amp;A21, 'ALL Tube Results'!$C21:$C199, "&lt;="&amp;B21)</f>
        <v>0</v>
      </c>
      <c r="E21" s="30">
        <f>COUNTIFS('ALL Tube Results'!$C21:$C199, "&gt;="&amp;A21, 'ALL Tube Results'!$C21:$C199, "&lt;="&amp;B21, 'ALL Tube Results'!$F21:$F199, "Positive")</f>
        <v>0</v>
      </c>
      <c r="F21" s="30">
        <f>COUNTIFS('ALL Tube Results'!$C21:$C199, "&gt;="&amp;A21, 'ALL Tube Results'!$C21:$C199, "&lt;="&amp;B21, 'ALL Tube Results'!$F21:$F199, "Inconclusive")</f>
        <v>0</v>
      </c>
      <c r="G21" s="31" t="str">
        <f t="shared" si="2"/>
        <v/>
      </c>
    </row>
    <row r="22">
      <c r="A22" s="32">
        <f t="shared" si="3"/>
        <v>44312</v>
      </c>
      <c r="B22" s="28">
        <f t="shared" si="1"/>
        <v>44318</v>
      </c>
      <c r="C22" s="29">
        <f>SUMIFS('ALL Tube Results'!$G$2:$G199, 'ALL Tube Results'!$C$2:$C199, "&gt;="&amp;A22, 'ALL Tube Results'!$C$2:$C199, "&lt;="&amp;B22)
</f>
        <v>0</v>
      </c>
      <c r="D22" s="30">
        <f>COUNTIFS('ALL Tube Results'!$C22:$C199, "&gt;="&amp;A22, 'ALL Tube Results'!$C22:$C199, "&lt;="&amp;B22)</f>
        <v>0</v>
      </c>
      <c r="E22" s="30">
        <f>COUNTIFS('ALL Tube Results'!$C22:$C199, "&gt;="&amp;A22, 'ALL Tube Results'!$C22:$C199, "&lt;="&amp;B22, 'ALL Tube Results'!$F22:$F199, "Positive")</f>
        <v>0</v>
      </c>
      <c r="F22" s="30">
        <f>COUNTIFS('ALL Tube Results'!$C22:$C199, "&gt;="&amp;A22, 'ALL Tube Results'!$C22:$C199, "&lt;="&amp;B22, 'ALL Tube Results'!$F22:$F199, "Inconclusive")</f>
        <v>0</v>
      </c>
      <c r="G22" s="31" t="str">
        <f t="shared" si="2"/>
        <v/>
      </c>
    </row>
    <row r="23">
      <c r="A23" s="32">
        <f t="shared" si="3"/>
        <v>44319</v>
      </c>
      <c r="B23" s="28">
        <f t="shared" si="1"/>
        <v>44325</v>
      </c>
      <c r="C23" s="29">
        <f>SUMIFS('ALL Tube Results'!$G$2:$G199, 'ALL Tube Results'!$C$2:$C199, "&gt;="&amp;A23, 'ALL Tube Results'!$C$2:$C199, "&lt;="&amp;B23)
</f>
        <v>1</v>
      </c>
      <c r="D23" s="30">
        <f>COUNTIFS('ALL Tube Results'!$C23:$C199, "&gt;="&amp;A23, 'ALL Tube Results'!$C23:$C199, "&lt;="&amp;B23)</f>
        <v>1</v>
      </c>
      <c r="E23" s="30">
        <f>COUNTIFS('ALL Tube Results'!$C23:$C199, "&gt;="&amp;A23, 'ALL Tube Results'!$C23:$C199, "&lt;="&amp;B23, 'ALL Tube Results'!$F23:$F199, "Positive")</f>
        <v>0</v>
      </c>
      <c r="F23" s="30">
        <f>COUNTIFS('ALL Tube Results'!$C23:$C199, "&gt;="&amp;A23, 'ALL Tube Results'!$C23:$C199, "&lt;="&amp;B23, 'ALL Tube Results'!$F23:$F199, "Inconclusive")</f>
        <v>0</v>
      </c>
      <c r="G23" s="31">
        <f t="shared" si="2"/>
        <v>0</v>
      </c>
    </row>
    <row r="24">
      <c r="A24" s="32">
        <f t="shared" si="3"/>
        <v>44326</v>
      </c>
      <c r="B24" s="28">
        <f t="shared" si="1"/>
        <v>44332</v>
      </c>
      <c r="C24" s="29">
        <f>SUMIFS('ALL Tube Results'!$G$2:$G199, 'ALL Tube Results'!$C$2:$C199, "&gt;="&amp;A24, 'ALL Tube Results'!$C$2:$C199, "&lt;="&amp;B24)
</f>
        <v>5</v>
      </c>
      <c r="D24" s="30">
        <f>COUNTIFS('ALL Tube Results'!$C24:$C199, "&gt;="&amp;A24, 'ALL Tube Results'!$C24:$C199, "&lt;="&amp;B24)</f>
        <v>2</v>
      </c>
      <c r="E24" s="30">
        <f>COUNTIFS('ALL Tube Results'!$C24:$C199, "&gt;="&amp;A24, 'ALL Tube Results'!$C24:$C199, "&lt;="&amp;B24, 'ALL Tube Results'!$F24:$F199, "Positive")</f>
        <v>0</v>
      </c>
      <c r="F24" s="30">
        <f>COUNTIFS('ALL Tube Results'!$C24:$C199, "&gt;="&amp;A24, 'ALL Tube Results'!$C24:$C199, "&lt;="&amp;B24, 'ALL Tube Results'!$F24:$F199, "Inconclusive")</f>
        <v>0</v>
      </c>
      <c r="G24" s="31">
        <f t="shared" si="2"/>
        <v>0</v>
      </c>
    </row>
    <row r="25">
      <c r="A25" s="32">
        <f t="shared" si="3"/>
        <v>44333</v>
      </c>
      <c r="B25" s="28">
        <f t="shared" si="1"/>
        <v>44339</v>
      </c>
      <c r="C25" s="29">
        <f>SUMIFS('ALL Tube Results'!$G$2:$G199, 'ALL Tube Results'!$C$2:$C199, "&gt;="&amp;A25, 'ALL Tube Results'!$C$2:$C199, "&lt;="&amp;B25)
</f>
        <v>6</v>
      </c>
      <c r="D25" s="30">
        <f>COUNTIFS('ALL Tube Results'!$C25:$C199, "&gt;="&amp;A25, 'ALL Tube Results'!$C25:$C199, "&lt;="&amp;B25)</f>
        <v>6</v>
      </c>
      <c r="E25" s="30">
        <f>COUNTIFS('ALL Tube Results'!$C25:$C199, "&gt;="&amp;A25, 'ALL Tube Results'!$C25:$C199, "&lt;="&amp;B25, 'ALL Tube Results'!$F25:$F199, "Positive")</f>
        <v>0</v>
      </c>
      <c r="F25" s="30">
        <f>COUNTIFS('ALL Tube Results'!$C25:$C199, "&gt;="&amp;A25, 'ALL Tube Results'!$C25:$C199, "&lt;="&amp;B25, 'ALL Tube Results'!$F25:$F199, "Inconclusive")</f>
        <v>0</v>
      </c>
      <c r="G25" s="31">
        <f t="shared" si="2"/>
        <v>0</v>
      </c>
    </row>
    <row r="26">
      <c r="A26" s="32">
        <f t="shared" si="3"/>
        <v>44340</v>
      </c>
      <c r="B26" s="28">
        <f t="shared" si="1"/>
        <v>44346</v>
      </c>
      <c r="C26" s="29">
        <f>SUMIFS('ALL Tube Results'!$G$2:$G199, 'ALL Tube Results'!$C$2:$C199, "&gt;="&amp;A26, 'ALL Tube Results'!$C$2:$C199, "&lt;="&amp;B26)
</f>
        <v>0</v>
      </c>
      <c r="D26" s="30">
        <f>COUNTIFS('ALL Tube Results'!$C26:$C199, "&gt;="&amp;A26, 'ALL Tube Results'!$C26:$C199, "&lt;="&amp;B26)</f>
        <v>0</v>
      </c>
      <c r="E26" s="30">
        <f>COUNTIFS('ALL Tube Results'!$C26:$C199, "&gt;="&amp;A26, 'ALL Tube Results'!$C26:$C199, "&lt;="&amp;B26, 'ALL Tube Results'!$F26:$F199, "Positive")</f>
        <v>0</v>
      </c>
      <c r="F26" s="30">
        <f>COUNTIFS('ALL Tube Results'!$C26:$C199, "&gt;="&amp;A26, 'ALL Tube Results'!$C26:$C199, "&lt;="&amp;B26, 'ALL Tube Results'!$F26:$F199, "Inconclusive")</f>
        <v>0</v>
      </c>
      <c r="G26" s="31" t="str">
        <f t="shared" si="2"/>
        <v/>
      </c>
    </row>
    <row r="27">
      <c r="A27" s="32">
        <f t="shared" si="3"/>
        <v>44347</v>
      </c>
      <c r="B27" s="28">
        <f t="shared" si="1"/>
        <v>44353</v>
      </c>
      <c r="C27" s="29">
        <f>SUMIFS('ALL Tube Results'!$G$2:$G199, 'ALL Tube Results'!$C$2:$C199, "&gt;="&amp;A27, 'ALL Tube Results'!$C$2:$C199, "&lt;="&amp;B27)
</f>
        <v>0</v>
      </c>
      <c r="D27" s="30">
        <f>COUNTIFS('ALL Tube Results'!$C27:$C199, "&gt;="&amp;A27, 'ALL Tube Results'!$C27:$C199, "&lt;="&amp;B27)</f>
        <v>0</v>
      </c>
      <c r="E27" s="30">
        <f>COUNTIFS('ALL Tube Results'!$C27:$C199, "&gt;="&amp;A27, 'ALL Tube Results'!$C27:$C199, "&lt;="&amp;B27, 'ALL Tube Results'!$F27:$F199, "Positive")</f>
        <v>0</v>
      </c>
      <c r="F27" s="30">
        <f>COUNTIFS('ALL Tube Results'!$C27:$C199, "&gt;="&amp;A27, 'ALL Tube Results'!$C27:$C199, "&lt;="&amp;B27, 'ALL Tube Results'!$F27:$F199, "Inconclusive")</f>
        <v>0</v>
      </c>
      <c r="G27" s="31" t="str">
        <f t="shared" si="2"/>
        <v/>
      </c>
    </row>
    <row r="28">
      <c r="A28" s="32">
        <f t="shared" si="3"/>
        <v>44354</v>
      </c>
      <c r="B28" s="28">
        <f t="shared" si="1"/>
        <v>44360</v>
      </c>
      <c r="C28" s="29">
        <f>SUMIFS('ALL Tube Results'!$G$2:$G199, 'ALL Tube Results'!$C$2:$C199, "&gt;="&amp;A28, 'ALL Tube Results'!$C$2:$C199, "&lt;="&amp;B28)
</f>
        <v>0</v>
      </c>
      <c r="D28" s="30">
        <f>COUNTIFS('ALL Tube Results'!$C28:$C199, "&gt;="&amp;A28, 'ALL Tube Results'!$C28:$C199, "&lt;="&amp;B28)</f>
        <v>0</v>
      </c>
      <c r="E28" s="30">
        <f>COUNTIFS('ALL Tube Results'!$C28:$C199, "&gt;="&amp;A28, 'ALL Tube Results'!$C28:$C199, "&lt;="&amp;B28, 'ALL Tube Results'!$F28:$F199, "Positive")</f>
        <v>0</v>
      </c>
      <c r="F28" s="30">
        <f>COUNTIFS('ALL Tube Results'!$C28:$C199, "&gt;="&amp;A28, 'ALL Tube Results'!$C28:$C199, "&lt;="&amp;B28, 'ALL Tube Results'!$F28:$F199, "Inconclusive")</f>
        <v>0</v>
      </c>
      <c r="G28" s="31" t="str">
        <f t="shared" si="2"/>
        <v/>
      </c>
    </row>
    <row r="29">
      <c r="A29" s="32">
        <f t="shared" si="3"/>
        <v>44361</v>
      </c>
      <c r="B29" s="28">
        <f t="shared" si="1"/>
        <v>44367</v>
      </c>
      <c r="C29" s="29">
        <f>SUMIFS('ALL Tube Results'!$G$2:$G199, 'ALL Tube Results'!$C$2:$C199, "&gt;="&amp;A29, 'ALL Tube Results'!$C$2:$C199, "&lt;="&amp;B29)
</f>
        <v>2</v>
      </c>
      <c r="D29" s="30">
        <f>COUNTIFS('ALL Tube Results'!$C29:$C199, "&gt;="&amp;A29, 'ALL Tube Results'!$C29:$C199, "&lt;="&amp;B29)</f>
        <v>2</v>
      </c>
      <c r="E29" s="30">
        <f>COUNTIFS('ALL Tube Results'!$C29:$C199, "&gt;="&amp;A29, 'ALL Tube Results'!$C29:$C199, "&lt;="&amp;B29, 'ALL Tube Results'!$F29:$F199, "Positive")</f>
        <v>0</v>
      </c>
      <c r="F29" s="30">
        <f>COUNTIFS('ALL Tube Results'!$C29:$C199, "&gt;="&amp;A29, 'ALL Tube Results'!$C29:$C199, "&lt;="&amp;B29, 'ALL Tube Results'!$F29:$F199, "Inconclusive")</f>
        <v>0</v>
      </c>
      <c r="G29" s="31">
        <f t="shared" si="2"/>
        <v>0</v>
      </c>
    </row>
    <row r="30">
      <c r="A30" s="32">
        <f t="shared" si="3"/>
        <v>44368</v>
      </c>
      <c r="B30" s="28">
        <f t="shared" si="1"/>
        <v>44374</v>
      </c>
      <c r="C30" s="29">
        <f>SUMIFS('ALL Tube Results'!$G$2:$G199, 'ALL Tube Results'!$C$2:$C199, "&gt;="&amp;A30, 'ALL Tube Results'!$C$2:$C199, "&lt;="&amp;B30)
</f>
        <v>0</v>
      </c>
      <c r="D30" s="30">
        <f>COUNTIFS('ALL Tube Results'!$C30:$C199, "&gt;="&amp;A30, 'ALL Tube Results'!$C30:$C199, "&lt;="&amp;B30)</f>
        <v>0</v>
      </c>
      <c r="E30" s="30">
        <f>COUNTIFS('ALL Tube Results'!$C30:$C199, "&gt;="&amp;A30, 'ALL Tube Results'!$C30:$C199, "&lt;="&amp;B30, 'ALL Tube Results'!$F30:$F199, "Positive")</f>
        <v>0</v>
      </c>
      <c r="F30" s="30">
        <f>COUNTIFS('ALL Tube Results'!$C30:$C199, "&gt;="&amp;A30, 'ALL Tube Results'!$C30:$C199, "&lt;="&amp;B30, 'ALL Tube Results'!$F30:$F199, "Inconclusive")</f>
        <v>0</v>
      </c>
      <c r="G30" s="31" t="str">
        <f t="shared" si="2"/>
        <v/>
      </c>
    </row>
    <row r="31">
      <c r="A31" s="32">
        <f t="shared" si="3"/>
        <v>44375</v>
      </c>
      <c r="B31" s="28">
        <f t="shared" si="1"/>
        <v>44381</v>
      </c>
      <c r="C31" s="29">
        <f>SUMIFS('ALL Tube Results'!$G$2:$G199, 'ALL Tube Results'!$C$2:$C199, "&gt;="&amp;A31, 'ALL Tube Results'!$C$2:$C199, "&lt;="&amp;B31)
</f>
        <v>0</v>
      </c>
      <c r="D31" s="30">
        <f>COUNTIFS('ALL Tube Results'!$C31:$C199, "&gt;="&amp;A31, 'ALL Tube Results'!$C31:$C199, "&lt;="&amp;B31)</f>
        <v>0</v>
      </c>
      <c r="E31" s="30">
        <f>COUNTIFS('ALL Tube Results'!$C31:$C199, "&gt;="&amp;A31, 'ALL Tube Results'!$C31:$C199, "&lt;="&amp;B31, 'ALL Tube Results'!$F31:$F199, "Positive")</f>
        <v>0</v>
      </c>
      <c r="F31" s="30">
        <f>COUNTIFS('ALL Tube Results'!$C31:$C199, "&gt;="&amp;A31, 'ALL Tube Results'!$C31:$C199, "&lt;="&amp;B31, 'ALL Tube Results'!$F31:$F199, "Inconclusive")</f>
        <v>0</v>
      </c>
      <c r="G31" s="31" t="str">
        <f t="shared" si="2"/>
        <v/>
      </c>
    </row>
    <row r="32">
      <c r="A32" s="32">
        <f t="shared" si="3"/>
        <v>44382</v>
      </c>
      <c r="B32" s="28">
        <f t="shared" si="1"/>
        <v>44388</v>
      </c>
      <c r="C32" s="29">
        <f>SUMIFS('ALL Tube Results'!$G$2:$G199, 'ALL Tube Results'!$C$2:$C199, "&gt;="&amp;A32, 'ALL Tube Results'!$C$2:$C199, "&lt;="&amp;B32)
</f>
        <v>0</v>
      </c>
      <c r="D32" s="30">
        <f>COUNTIFS('ALL Tube Results'!$C32:$C199, "&gt;="&amp;A32, 'ALL Tube Results'!$C32:$C199, "&lt;="&amp;B32)</f>
        <v>0</v>
      </c>
      <c r="E32" s="30">
        <f>COUNTIFS('ALL Tube Results'!$C32:$C199, "&gt;="&amp;A32, 'ALL Tube Results'!$C32:$C199, "&lt;="&amp;B32, 'ALL Tube Results'!$F32:$F199, "Positive")</f>
        <v>0</v>
      </c>
      <c r="F32" s="30">
        <f>COUNTIFS('ALL Tube Results'!$C32:$C199, "&gt;="&amp;A32, 'ALL Tube Results'!$C32:$C199, "&lt;="&amp;B32, 'ALL Tube Results'!$F32:$F199, "Inconclusive")</f>
        <v>0</v>
      </c>
      <c r="G32" s="31" t="str">
        <f t="shared" si="2"/>
        <v/>
      </c>
    </row>
    <row r="33">
      <c r="A33" s="32">
        <f t="shared" si="3"/>
        <v>44389</v>
      </c>
      <c r="B33" s="28">
        <f t="shared" si="1"/>
        <v>44395</v>
      </c>
      <c r="C33" s="29">
        <f>SUMIFS('ALL Tube Results'!$G$2:$G199, 'ALL Tube Results'!$C$2:$C199, "&gt;="&amp;A33, 'ALL Tube Results'!$C$2:$C199, "&lt;="&amp;B33)
</f>
        <v>0</v>
      </c>
      <c r="D33" s="30">
        <f>COUNTIFS('ALL Tube Results'!$C33:$C199, "&gt;="&amp;A33, 'ALL Tube Results'!$C33:$C199, "&lt;="&amp;B33)</f>
        <v>0</v>
      </c>
      <c r="E33" s="30">
        <f>COUNTIFS('ALL Tube Results'!$C33:$C199, "&gt;="&amp;A33, 'ALL Tube Results'!$C33:$C199, "&lt;="&amp;B33, 'ALL Tube Results'!$F33:$F199, "Positive")</f>
        <v>0</v>
      </c>
      <c r="F33" s="30">
        <f>COUNTIFS('ALL Tube Results'!$C33:$C199, "&gt;="&amp;A33, 'ALL Tube Results'!$C33:$C199, "&lt;="&amp;B33, 'ALL Tube Results'!$F33:$F199, "Inconclusive")</f>
        <v>0</v>
      </c>
      <c r="G33" s="31" t="str">
        <f t="shared" si="2"/>
        <v/>
      </c>
    </row>
    <row r="34">
      <c r="A34" s="32">
        <f t="shared" si="3"/>
        <v>44396</v>
      </c>
      <c r="B34" s="28">
        <f t="shared" si="1"/>
        <v>44402</v>
      </c>
      <c r="C34" s="29">
        <f>SUMIFS('ALL Tube Results'!$G$2:$G199, 'ALL Tube Results'!$C$2:$C199, "&gt;="&amp;A34, 'ALL Tube Results'!$C$2:$C199, "&lt;="&amp;B34)
</f>
        <v>0</v>
      </c>
      <c r="D34" s="30">
        <f>COUNTIFS('ALL Tube Results'!$C34:$C199, "&gt;="&amp;A34, 'ALL Tube Results'!$C34:$C199, "&lt;="&amp;B34)</f>
        <v>0</v>
      </c>
      <c r="E34" s="30">
        <f>COUNTIFS('ALL Tube Results'!$C34:$C199, "&gt;="&amp;A34, 'ALL Tube Results'!$C34:$C199, "&lt;="&amp;B34, 'ALL Tube Results'!$F34:$F199, "Positive")</f>
        <v>0</v>
      </c>
      <c r="F34" s="30">
        <f>COUNTIFS('ALL Tube Results'!$C34:$C199, "&gt;="&amp;A34, 'ALL Tube Results'!$C34:$C199, "&lt;="&amp;B34, 'ALL Tube Results'!$F34:$F199, "Inconclusive")</f>
        <v>0</v>
      </c>
      <c r="G34" s="31" t="str">
        <f t="shared" si="2"/>
        <v/>
      </c>
    </row>
    <row r="35">
      <c r="A35" s="32">
        <f t="shared" si="3"/>
        <v>44403</v>
      </c>
      <c r="B35" s="28">
        <f t="shared" si="1"/>
        <v>44409</v>
      </c>
      <c r="C35" s="29">
        <f>SUMIFS('ALL Tube Results'!$G$2:$G199, 'ALL Tube Results'!$C$2:$C199, "&gt;="&amp;A35, 'ALL Tube Results'!$C$2:$C199, "&lt;="&amp;B35)
</f>
        <v>0</v>
      </c>
      <c r="D35" s="30">
        <f>COUNTIFS('ALL Tube Results'!$C35:$C199, "&gt;="&amp;A35, 'ALL Tube Results'!$C35:$C199, "&lt;="&amp;B35)</f>
        <v>0</v>
      </c>
      <c r="E35" s="30">
        <f>COUNTIFS('ALL Tube Results'!$C35:$C199, "&gt;="&amp;A35, 'ALL Tube Results'!$C35:$C199, "&lt;="&amp;B35, 'ALL Tube Results'!$F35:$F199, "Positive")</f>
        <v>0</v>
      </c>
      <c r="F35" s="30">
        <f>COUNTIFS('ALL Tube Results'!$C35:$C199, "&gt;="&amp;A35, 'ALL Tube Results'!$C35:$C199, "&lt;="&amp;B35, 'ALL Tube Results'!$F35:$F199, "Inconclusive")</f>
        <v>0</v>
      </c>
      <c r="G35" s="31" t="str">
        <f t="shared" si="2"/>
        <v/>
      </c>
    </row>
    <row r="36">
      <c r="A36" s="32">
        <f t="shared" si="3"/>
        <v>44410</v>
      </c>
      <c r="B36" s="28">
        <f t="shared" si="1"/>
        <v>44416</v>
      </c>
      <c r="C36" s="29">
        <f>SUMIFS('ALL Tube Results'!$G$2:$G199, 'ALL Tube Results'!$C$2:$C199, "&gt;="&amp;A36, 'ALL Tube Results'!$C$2:$C199, "&lt;="&amp;B36)
</f>
        <v>0</v>
      </c>
      <c r="D36" s="30">
        <f>COUNTIFS('ALL Tube Results'!$C36:$C199, "&gt;="&amp;A36, 'ALL Tube Results'!$C36:$C199, "&lt;="&amp;B36)</f>
        <v>0</v>
      </c>
      <c r="E36" s="30">
        <f>COUNTIFS('ALL Tube Results'!$C36:$C199, "&gt;="&amp;A36, 'ALL Tube Results'!$C36:$C199, "&lt;="&amp;B36, 'ALL Tube Results'!$F36:$F199, "Positive")</f>
        <v>0</v>
      </c>
      <c r="F36" s="30">
        <f>COUNTIFS('ALL Tube Results'!$C36:$C199, "&gt;="&amp;A36, 'ALL Tube Results'!$C36:$C199, "&lt;="&amp;B36, 'ALL Tube Results'!$F36:$F199, "Inconclusive")</f>
        <v>0</v>
      </c>
      <c r="G36" s="31" t="str">
        <f t="shared" si="2"/>
        <v/>
      </c>
    </row>
    <row r="37">
      <c r="A37" s="32">
        <f t="shared" si="3"/>
        <v>44417</v>
      </c>
      <c r="B37" s="28">
        <f t="shared" si="1"/>
        <v>44423</v>
      </c>
      <c r="C37" s="29">
        <f>SUMIFS('ALL Tube Results'!$G$2:$G199, 'ALL Tube Results'!$C$2:$C199, "&gt;="&amp;A37, 'ALL Tube Results'!$C$2:$C199, "&lt;="&amp;B37)
</f>
        <v>0</v>
      </c>
      <c r="D37" s="30">
        <f>COUNTIFS('ALL Tube Results'!$C37:$C199, "&gt;="&amp;A37, 'ALL Tube Results'!$C37:$C199, "&lt;="&amp;B37)</f>
        <v>0</v>
      </c>
      <c r="E37" s="30">
        <f>COUNTIFS('ALL Tube Results'!$C37:$C199, "&gt;="&amp;A37, 'ALL Tube Results'!$C37:$C199, "&lt;="&amp;B37, 'ALL Tube Results'!$F37:$F199, "Positive")</f>
        <v>0</v>
      </c>
      <c r="F37" s="30">
        <f>COUNTIFS('ALL Tube Results'!$C37:$C199, "&gt;="&amp;A37, 'ALL Tube Results'!$C37:$C199, "&lt;="&amp;B37, 'ALL Tube Results'!$F37:$F199, "Inconclusive")</f>
        <v>0</v>
      </c>
      <c r="G37" s="31" t="str">
        <f t="shared" si="2"/>
        <v/>
      </c>
    </row>
    <row r="38">
      <c r="A38" s="32">
        <f t="shared" si="3"/>
        <v>44424</v>
      </c>
      <c r="B38" s="28">
        <f t="shared" si="1"/>
        <v>44430</v>
      </c>
      <c r="C38" s="29">
        <f>SUMIFS('ALL Tube Results'!$G$2:$G199, 'ALL Tube Results'!$C$2:$C199, "&gt;="&amp;A38, 'ALL Tube Results'!$C$2:$C199, "&lt;="&amp;B38)
</f>
        <v>0</v>
      </c>
      <c r="D38" s="30">
        <f>COUNTIFS('ALL Tube Results'!$C38:$C199, "&gt;="&amp;A38, 'ALL Tube Results'!$C38:$C199, "&lt;="&amp;B38)</f>
        <v>0</v>
      </c>
      <c r="E38" s="30">
        <f>COUNTIFS('ALL Tube Results'!$C38:$C199, "&gt;="&amp;A38, 'ALL Tube Results'!$C38:$C199, "&lt;="&amp;B38, 'ALL Tube Results'!$F38:$F199, "Positive")</f>
        <v>0</v>
      </c>
      <c r="F38" s="30">
        <f>COUNTIFS('ALL Tube Results'!$C38:$C199, "&gt;="&amp;A38, 'ALL Tube Results'!$C38:$C199, "&lt;="&amp;B38, 'ALL Tube Results'!$F38:$F199, "Inconclusive")</f>
        <v>0</v>
      </c>
      <c r="G38" s="31" t="str">
        <f t="shared" si="2"/>
        <v/>
      </c>
    </row>
    <row r="39">
      <c r="A39" s="32">
        <f t="shared" si="3"/>
        <v>44431</v>
      </c>
      <c r="B39" s="28">
        <f t="shared" si="1"/>
        <v>44437</v>
      </c>
      <c r="C39" s="29">
        <f>SUMIFS('ALL Tube Results'!$G$2:$G199, 'ALL Tube Results'!$C$2:$C199, "&gt;="&amp;A39, 'ALL Tube Results'!$C$2:$C199, "&lt;="&amp;B39)
</f>
        <v>0</v>
      </c>
      <c r="D39" s="30">
        <f>COUNTIFS('ALL Tube Results'!$C39:$C199, "&gt;="&amp;A39, 'ALL Tube Results'!$C39:$C199, "&lt;="&amp;B39)</f>
        <v>0</v>
      </c>
      <c r="E39" s="30">
        <f>COUNTIFS('ALL Tube Results'!$C39:$C199, "&gt;="&amp;A39, 'ALL Tube Results'!$C39:$C199, "&lt;="&amp;B39, 'ALL Tube Results'!$F39:$F199, "Positive")</f>
        <v>0</v>
      </c>
      <c r="F39" s="30">
        <f>COUNTIFS('ALL Tube Results'!$C39:$C199, "&gt;="&amp;A39, 'ALL Tube Results'!$C39:$C199, "&lt;="&amp;B39, 'ALL Tube Results'!$F39:$F199, "Inconclusive")</f>
        <v>0</v>
      </c>
      <c r="G39" s="31" t="str">
        <f t="shared" si="2"/>
        <v/>
      </c>
    </row>
    <row r="40">
      <c r="A40" s="32">
        <f t="shared" si="3"/>
        <v>44438</v>
      </c>
      <c r="B40" s="28">
        <f t="shared" si="1"/>
        <v>44444</v>
      </c>
      <c r="C40" s="29">
        <f>SUMIFS('ALL Tube Results'!$G$2:$G199, 'ALL Tube Results'!$C$2:$C199, "&gt;="&amp;A40, 'ALL Tube Results'!$C$2:$C199, "&lt;="&amp;B40)
</f>
        <v>7</v>
      </c>
      <c r="D40" s="30">
        <f>COUNTIFS('ALL Tube Results'!$C40:$C199, "&gt;="&amp;A40, 'ALL Tube Results'!$C40:$C199, "&lt;="&amp;B40)</f>
        <v>4</v>
      </c>
      <c r="E40" s="30">
        <f>COUNTIFS('ALL Tube Results'!$C40:$C199, "&gt;="&amp;A40, 'ALL Tube Results'!$C40:$C199, "&lt;="&amp;B40, 'ALL Tube Results'!$F40:$F199, "Positive")</f>
        <v>0</v>
      </c>
      <c r="F40" s="30">
        <f>COUNTIFS('ALL Tube Results'!$C40:$C199, "&gt;="&amp;A40, 'ALL Tube Results'!$C40:$C199, "&lt;="&amp;B40, 'ALL Tube Results'!$F40:$F199, "Inconclusive")</f>
        <v>0</v>
      </c>
      <c r="G40" s="31">
        <f t="shared" si="2"/>
        <v>0</v>
      </c>
    </row>
    <row r="41">
      <c r="A41" s="32">
        <f t="shared" si="3"/>
        <v>44445</v>
      </c>
      <c r="B41" s="28">
        <f t="shared" si="1"/>
        <v>44451</v>
      </c>
      <c r="C41" s="29">
        <f>SUMIFS('ALL Tube Results'!$G$2:$G199, 'ALL Tube Results'!$C$2:$C199, "&gt;="&amp;A41, 'ALL Tube Results'!$C$2:$C199, "&lt;="&amp;B41)
</f>
        <v>4</v>
      </c>
      <c r="D41" s="30">
        <f>COUNTIFS('ALL Tube Results'!$C41:$C199, "&gt;="&amp;A41, 'ALL Tube Results'!$C41:$C199, "&lt;="&amp;B41)</f>
        <v>2</v>
      </c>
      <c r="E41" s="30">
        <f>COUNTIFS('ALL Tube Results'!$C41:$C199, "&gt;="&amp;A41, 'ALL Tube Results'!$C41:$C199, "&lt;="&amp;B41, 'ALL Tube Results'!$F41:$F199, "Positive")</f>
        <v>0</v>
      </c>
      <c r="F41" s="30">
        <f>COUNTIFS('ALL Tube Results'!$C41:$C199, "&gt;="&amp;A41, 'ALL Tube Results'!$C41:$C199, "&lt;="&amp;B41, 'ALL Tube Results'!$F41:$F199, "Inconclusive")</f>
        <v>0</v>
      </c>
      <c r="G41" s="31">
        <f t="shared" si="2"/>
        <v>0</v>
      </c>
    </row>
    <row r="42">
      <c r="A42" s="32">
        <f t="shared" si="3"/>
        <v>44452</v>
      </c>
      <c r="B42" s="28">
        <f t="shared" si="1"/>
        <v>44458</v>
      </c>
      <c r="C42" s="29">
        <f>SUMIFS('ALL Tube Results'!$G$2:$G199, 'ALL Tube Results'!$C$2:$C199, "&gt;="&amp;A42, 'ALL Tube Results'!$C$2:$C199, "&lt;="&amp;B42)
</f>
        <v>9</v>
      </c>
      <c r="D42" s="30">
        <f>COUNTIFS('ALL Tube Results'!$C42:$C199, "&gt;="&amp;A42, 'ALL Tube Results'!$C42:$C199, "&lt;="&amp;B42)</f>
        <v>6</v>
      </c>
      <c r="E42" s="30">
        <f>COUNTIFS('ALL Tube Results'!$C42:$C199, "&gt;="&amp;A42, 'ALL Tube Results'!$C42:$C199, "&lt;="&amp;B42, 'ALL Tube Results'!$F42:$F199, "Positive")</f>
        <v>0</v>
      </c>
      <c r="F42" s="30">
        <f>COUNTIFS('ALL Tube Results'!$C42:$C199, "&gt;="&amp;A42, 'ALL Tube Results'!$C42:$C199, "&lt;="&amp;B42, 'ALL Tube Results'!$F42:$F199, "Inconclusive")</f>
        <v>0</v>
      </c>
      <c r="G42" s="31">
        <f t="shared" si="2"/>
        <v>0</v>
      </c>
    </row>
    <row r="43">
      <c r="A43" s="32">
        <f t="shared" si="3"/>
        <v>44459</v>
      </c>
      <c r="B43" s="28">
        <f t="shared" si="1"/>
        <v>44465</v>
      </c>
      <c r="C43" s="29">
        <f>SUMIFS('ALL Tube Results'!$G$2:$G199, 'ALL Tube Results'!$C$2:$C199, "&gt;="&amp;A43, 'ALL Tube Results'!$C$2:$C199, "&lt;="&amp;B43)
</f>
        <v>7</v>
      </c>
      <c r="D43" s="30">
        <f>COUNTIFS('ALL Tube Results'!$C43:$C199, "&gt;="&amp;A43, 'ALL Tube Results'!$C43:$C199, "&lt;="&amp;B43)</f>
        <v>4</v>
      </c>
      <c r="E43" s="30">
        <f>COUNTIFS('ALL Tube Results'!$C43:$C199, "&gt;="&amp;A43, 'ALL Tube Results'!$C43:$C199, "&lt;="&amp;B43, 'ALL Tube Results'!$F43:$F199, "Positive")</f>
        <v>0</v>
      </c>
      <c r="F43" s="30">
        <f>COUNTIFS('ALL Tube Results'!$C43:$C199, "&gt;="&amp;A43, 'ALL Tube Results'!$C43:$C199, "&lt;="&amp;B43, 'ALL Tube Results'!$F43:$F199, "Inconclusive")</f>
        <v>0</v>
      </c>
      <c r="G43" s="31">
        <f t="shared" si="2"/>
        <v>0</v>
      </c>
    </row>
    <row r="44">
      <c r="A44" s="32">
        <f t="shared" si="3"/>
        <v>44466</v>
      </c>
      <c r="B44" s="28">
        <f t="shared" si="1"/>
        <v>44472</v>
      </c>
      <c r="C44" s="29">
        <f>SUMIFS('ALL Tube Results'!$G$2:$G199, 'ALL Tube Results'!$C$2:$C199, "&gt;="&amp;A44, 'ALL Tube Results'!$C$2:$C199, "&lt;="&amp;B44)
</f>
        <v>0</v>
      </c>
      <c r="D44" s="30">
        <f>COUNTIFS('ALL Tube Results'!$C44:$C199, "&gt;="&amp;A44, 'ALL Tube Results'!$C44:$C199, "&lt;="&amp;B44)</f>
        <v>0</v>
      </c>
      <c r="E44" s="30">
        <f>COUNTIFS('ALL Tube Results'!$C44:$C199, "&gt;="&amp;A44, 'ALL Tube Results'!$C44:$C199, "&lt;="&amp;B44, 'ALL Tube Results'!$F44:$F199, "Positive")</f>
        <v>0</v>
      </c>
      <c r="F44" s="30">
        <f>COUNTIFS('ALL Tube Results'!$C44:$C199, "&gt;="&amp;A44, 'ALL Tube Results'!$C44:$C199, "&lt;="&amp;B44, 'ALL Tube Results'!$F44:$F199, "Inconclusive")</f>
        <v>0</v>
      </c>
      <c r="G44" s="31" t="str">
        <f t="shared" si="2"/>
        <v/>
      </c>
    </row>
    <row r="45">
      <c r="A45" s="32">
        <f t="shared" si="3"/>
        <v>44473</v>
      </c>
      <c r="B45" s="28">
        <f t="shared" si="1"/>
        <v>44479</v>
      </c>
      <c r="C45" s="29">
        <f>SUMIFS('ALL Tube Results'!$G$2:$G199, 'ALL Tube Results'!$C$2:$C199, "&gt;="&amp;A45, 'ALL Tube Results'!$C$2:$C199, "&lt;="&amp;B45)
</f>
        <v>10</v>
      </c>
      <c r="D45" s="30">
        <f>COUNTIFS('ALL Tube Results'!$C45:$C199, "&gt;="&amp;A45, 'ALL Tube Results'!$C45:$C199, "&lt;="&amp;B45)</f>
        <v>7</v>
      </c>
      <c r="E45" s="30">
        <f>COUNTIFS('ALL Tube Results'!$C45:$C199, "&gt;="&amp;A45, 'ALL Tube Results'!$C45:$C199, "&lt;="&amp;B45, 'ALL Tube Results'!$F45:$F199, "Positive")</f>
        <v>0</v>
      </c>
      <c r="F45" s="30">
        <f>COUNTIFS('ALL Tube Results'!$C45:$C199, "&gt;="&amp;A45, 'ALL Tube Results'!$C45:$C199, "&lt;="&amp;B45, 'ALL Tube Results'!$F45:$F199, "Inconclusive")</f>
        <v>0</v>
      </c>
      <c r="G45" s="31">
        <f t="shared" si="2"/>
        <v>0</v>
      </c>
    </row>
    <row r="46">
      <c r="A46" s="32">
        <f t="shared" si="3"/>
        <v>44480</v>
      </c>
      <c r="B46" s="28">
        <f t="shared" si="1"/>
        <v>44486</v>
      </c>
      <c r="C46" s="29">
        <f>SUMIFS('ALL Tube Results'!$G$2:$G199, 'ALL Tube Results'!$C$2:$C199, "&gt;="&amp;A46, 'ALL Tube Results'!$C$2:$C199, "&lt;="&amp;B46)
</f>
        <v>11</v>
      </c>
      <c r="D46" s="30">
        <f>COUNTIFS('ALL Tube Results'!$C46:$C199, "&gt;="&amp;A46, 'ALL Tube Results'!$C46:$C199, "&lt;="&amp;B46)</f>
        <v>5</v>
      </c>
      <c r="E46" s="30">
        <f>COUNTIFS('ALL Tube Results'!$C46:$C199, "&gt;="&amp;A46, 'ALL Tube Results'!$C46:$C199, "&lt;="&amp;B46, 'ALL Tube Results'!$F46:$F199, "Positive")</f>
        <v>0</v>
      </c>
      <c r="F46" s="30">
        <f>COUNTIFS('ALL Tube Results'!$C46:$C199, "&gt;="&amp;A46, 'ALL Tube Results'!$C46:$C199, "&lt;="&amp;B46, 'ALL Tube Results'!$F46:$F199, "Inconclusive")</f>
        <v>0</v>
      </c>
      <c r="G46" s="31">
        <f t="shared" si="2"/>
        <v>0</v>
      </c>
    </row>
    <row r="47">
      <c r="A47" s="32">
        <f t="shared" si="3"/>
        <v>44487</v>
      </c>
      <c r="B47" s="28">
        <f t="shared" si="1"/>
        <v>44493</v>
      </c>
      <c r="C47" s="29">
        <f>SUMIFS('ALL Tube Results'!$G$2:$G199, 'ALL Tube Results'!$C$2:$C199, "&gt;="&amp;A47, 'ALL Tube Results'!$C$2:$C199, "&lt;="&amp;B47)
</f>
        <v>15</v>
      </c>
      <c r="D47" s="30">
        <f>COUNTIFS('ALL Tube Results'!$C47:$C199, "&gt;="&amp;A47, 'ALL Tube Results'!$C47:$C199, "&lt;="&amp;B47)</f>
        <v>8</v>
      </c>
      <c r="E47" s="30">
        <f>COUNTIFS('ALL Tube Results'!$C47:$C199, "&gt;="&amp;A47, 'ALL Tube Results'!$C47:$C199, "&lt;="&amp;B47, 'ALL Tube Results'!$F47:$F199, "Positive")</f>
        <v>0</v>
      </c>
      <c r="F47" s="30">
        <f>COUNTIFS('ALL Tube Results'!$C47:$C199, "&gt;="&amp;A47, 'ALL Tube Results'!$C47:$C199, "&lt;="&amp;B47, 'ALL Tube Results'!$F47:$F199, "Inconclusive")</f>
        <v>0</v>
      </c>
      <c r="G47" s="31">
        <f t="shared" si="2"/>
        <v>0</v>
      </c>
    </row>
    <row r="48">
      <c r="A48" s="32">
        <f t="shared" si="3"/>
        <v>44494</v>
      </c>
      <c r="B48" s="28">
        <f t="shared" si="1"/>
        <v>44500</v>
      </c>
      <c r="C48" s="29">
        <f>SUMIFS('ALL Tube Results'!$G$2:$G199, 'ALL Tube Results'!$C$2:$C199, "&gt;="&amp;A48, 'ALL Tube Results'!$C$2:$C199, "&lt;="&amp;B48)
</f>
        <v>2</v>
      </c>
      <c r="D48" s="30">
        <f>COUNTIFS('ALL Tube Results'!$C48:$C199, "&gt;="&amp;A48, 'ALL Tube Results'!$C48:$C199, "&lt;="&amp;B48)</f>
        <v>2</v>
      </c>
      <c r="E48" s="30">
        <f>COUNTIFS('ALL Tube Results'!$C48:$C199, "&gt;="&amp;A48, 'ALL Tube Results'!$C48:$C199, "&lt;="&amp;B48, 'ALL Tube Results'!$F48:$F199, "Positive")</f>
        <v>0</v>
      </c>
      <c r="F48" s="30">
        <f>COUNTIFS('ALL Tube Results'!$C48:$C199, "&gt;="&amp;A48, 'ALL Tube Results'!$C48:$C199, "&lt;="&amp;B48, 'ALL Tube Results'!$F48:$F199, "Inconclusive")</f>
        <v>0</v>
      </c>
      <c r="G48" s="31">
        <f t="shared" si="2"/>
        <v>0</v>
      </c>
    </row>
    <row r="49">
      <c r="A49" s="32">
        <f t="shared" si="3"/>
        <v>44501</v>
      </c>
      <c r="B49" s="28">
        <f t="shared" si="1"/>
        <v>44507</v>
      </c>
      <c r="C49" s="29">
        <f>SUMIFS('ALL Tube Results'!$G$2:$G199, 'ALL Tube Results'!$C$2:$C199, "&gt;="&amp;A49, 'ALL Tube Results'!$C$2:$C199, "&lt;="&amp;B49)
</f>
        <v>19</v>
      </c>
      <c r="D49" s="30">
        <f>COUNTIFS('ALL Tube Results'!$C49:$C199, "&gt;="&amp;A49, 'ALL Tube Results'!$C49:$C199, "&lt;="&amp;B49)</f>
        <v>9</v>
      </c>
      <c r="E49" s="30">
        <f>COUNTIFS('ALL Tube Results'!$C49:$C199, "&gt;="&amp;A49, 'ALL Tube Results'!$C49:$C199, "&lt;="&amp;B49, 'ALL Tube Results'!$F49:$F199, "Positive")</f>
        <v>0</v>
      </c>
      <c r="F49" s="30">
        <f>COUNTIFS('ALL Tube Results'!$C49:$C199, "&gt;="&amp;A49, 'ALL Tube Results'!$C49:$C199, "&lt;="&amp;B49, 'ALL Tube Results'!$F49:$F199, "Inconclusive")</f>
        <v>0</v>
      </c>
      <c r="G49" s="31">
        <f t="shared" si="2"/>
        <v>0</v>
      </c>
    </row>
    <row r="50">
      <c r="A50" s="32">
        <f t="shared" si="3"/>
        <v>44508</v>
      </c>
      <c r="B50" s="28">
        <f t="shared" si="1"/>
        <v>44514</v>
      </c>
      <c r="C50" s="29">
        <f>SUMIFS('ALL Tube Results'!$G$2:$G199, 'ALL Tube Results'!$C$2:$C199, "&gt;="&amp;A50, 'ALL Tube Results'!$C$2:$C199, "&lt;="&amp;B50)
</f>
        <v>15</v>
      </c>
      <c r="D50" s="30">
        <f>COUNTIFS('ALL Tube Results'!$C50:$C199, "&gt;="&amp;A50, 'ALL Tube Results'!$C50:$C199, "&lt;="&amp;B50)</f>
        <v>6</v>
      </c>
      <c r="E50" s="30">
        <f>COUNTIFS('ALL Tube Results'!$C50:$C199, "&gt;="&amp;A50, 'ALL Tube Results'!$C50:$C199, "&lt;="&amp;B50, 'ALL Tube Results'!$F50:$F199, "Positive")</f>
        <v>0</v>
      </c>
      <c r="F50" s="30">
        <f>COUNTIFS('ALL Tube Results'!$C50:$C199, "&gt;="&amp;A50, 'ALL Tube Results'!$C50:$C199, "&lt;="&amp;B50, 'ALL Tube Results'!$F50:$F199, "Inconclusive")</f>
        <v>0</v>
      </c>
      <c r="G50" s="31">
        <f t="shared" si="2"/>
        <v>0</v>
      </c>
    </row>
    <row r="51">
      <c r="A51" s="32">
        <f t="shared" si="3"/>
        <v>44515</v>
      </c>
      <c r="B51" s="28">
        <f t="shared" si="1"/>
        <v>44521</v>
      </c>
      <c r="C51" s="29">
        <f>SUMIFS('ALL Tube Results'!$G$2:$G199, 'ALL Tube Results'!$C$2:$C199, "&gt;="&amp;A51, 'ALL Tube Results'!$C$2:$C199, "&lt;="&amp;B51)
</f>
        <v>15</v>
      </c>
      <c r="D51" s="30">
        <f>COUNTIFS('ALL Tube Results'!$C51:$C199, "&gt;="&amp;A51, 'ALL Tube Results'!$C51:$C199, "&lt;="&amp;B51)</f>
        <v>6</v>
      </c>
      <c r="E51" s="30">
        <f>COUNTIFS('ALL Tube Results'!$C51:$C199, "&gt;="&amp;A51, 'ALL Tube Results'!$C51:$C199, "&lt;="&amp;B51, 'ALL Tube Results'!$F51:$F199, "Positive")</f>
        <v>0</v>
      </c>
      <c r="F51" s="30">
        <f>COUNTIFS('ALL Tube Results'!$C51:$C199, "&gt;="&amp;A51, 'ALL Tube Results'!$C51:$C199, "&lt;="&amp;B51, 'ALL Tube Results'!$F51:$F199, "Inconclusive")</f>
        <v>0</v>
      </c>
      <c r="G51" s="31">
        <f t="shared" si="2"/>
        <v>0</v>
      </c>
    </row>
    <row r="52">
      <c r="A52" s="32">
        <f t="shared" si="3"/>
        <v>44522</v>
      </c>
      <c r="B52" s="28">
        <f t="shared" si="1"/>
        <v>44528</v>
      </c>
      <c r="C52" s="29">
        <f>SUMIFS('ALL Tube Results'!$G$2:$G199, 'ALL Tube Results'!$C$2:$C199, "&gt;="&amp;A52, 'ALL Tube Results'!$C$2:$C199, "&lt;="&amp;B52)
</f>
        <v>43</v>
      </c>
      <c r="D52" s="30">
        <f>COUNTIFS('ALL Tube Results'!$C52:$C199, "&gt;="&amp;A52, 'ALL Tube Results'!$C52:$C199, "&lt;="&amp;B52)</f>
        <v>12</v>
      </c>
      <c r="E52" s="30">
        <f>COUNTIFS('ALL Tube Results'!$C52:$C199, "&gt;="&amp;A52, 'ALL Tube Results'!$C52:$C199, "&lt;="&amp;B52, 'ALL Tube Results'!$F52:$F199, "Positive")</f>
        <v>0</v>
      </c>
      <c r="F52" s="30">
        <f>COUNTIFS('ALL Tube Results'!$C52:$C199, "&gt;="&amp;A52, 'ALL Tube Results'!$C52:$C199, "&lt;="&amp;B52, 'ALL Tube Results'!$F52:$F199, "Inconclusive")</f>
        <v>0</v>
      </c>
      <c r="G52" s="31">
        <f t="shared" si="2"/>
        <v>0</v>
      </c>
    </row>
    <row r="53">
      <c r="A53" s="32">
        <f t="shared" si="3"/>
        <v>44529</v>
      </c>
      <c r="B53" s="28">
        <f t="shared" si="1"/>
        <v>44535</v>
      </c>
      <c r="C53" s="29">
        <f>SUMIFS('ALL Tube Results'!$G$2:$G199, 'ALL Tube Results'!$C$2:$C199, "&gt;="&amp;A53, 'ALL Tube Results'!$C$2:$C199, "&lt;="&amp;B53)
</f>
        <v>18</v>
      </c>
      <c r="D53" s="30">
        <f>COUNTIFS('ALL Tube Results'!$C53:$C199, "&gt;="&amp;A53, 'ALL Tube Results'!$C53:$C199, "&lt;="&amp;B53)</f>
        <v>8</v>
      </c>
      <c r="E53" s="30">
        <f>COUNTIFS('ALL Tube Results'!$C53:$C199, "&gt;="&amp;A53, 'ALL Tube Results'!$C53:$C199, "&lt;="&amp;B53, 'ALL Tube Results'!$F53:$F199, "Positive")</f>
        <v>0</v>
      </c>
      <c r="F53" s="30">
        <f>COUNTIFS('ALL Tube Results'!$C53:$C199, "&gt;="&amp;A53, 'ALL Tube Results'!$C53:$C199, "&lt;="&amp;B53, 'ALL Tube Results'!$F53:$F199, "Inconclusive")</f>
        <v>0</v>
      </c>
      <c r="G53" s="31">
        <f t="shared" si="2"/>
        <v>0</v>
      </c>
    </row>
    <row r="54">
      <c r="A54" s="32">
        <f t="shared" si="3"/>
        <v>44536</v>
      </c>
      <c r="B54" s="28">
        <f t="shared" si="1"/>
        <v>44542</v>
      </c>
      <c r="C54" s="29">
        <f>SUMIFS('ALL Tube Results'!$G$2:$G199, 'ALL Tube Results'!$C$2:$C199, "&gt;="&amp;A54, 'ALL Tube Results'!$C$2:$C199, "&lt;="&amp;B54)
</f>
        <v>39</v>
      </c>
      <c r="D54" s="30">
        <f>COUNTIFS('ALL Tube Results'!$C54:$C199, "&gt;="&amp;A54, 'ALL Tube Results'!$C54:$C199, "&lt;="&amp;B54)</f>
        <v>19</v>
      </c>
      <c r="E54" s="30">
        <f>COUNTIFS('ALL Tube Results'!$C54:$C199, "&gt;="&amp;A54, 'ALL Tube Results'!$C54:$C199, "&lt;="&amp;B54, 'ALL Tube Results'!$F54:$F199, "Positive")</f>
        <v>0</v>
      </c>
      <c r="F54" s="30">
        <f>COUNTIFS('ALL Tube Results'!$C54:$C199, "&gt;="&amp;A54, 'ALL Tube Results'!$C54:$C199, "&lt;="&amp;B54, 'ALL Tube Results'!$F54:$F199, "Inconclusive")</f>
        <v>0</v>
      </c>
      <c r="G54" s="31">
        <f t="shared" si="2"/>
        <v>0</v>
      </c>
    </row>
    <row r="55">
      <c r="A55" s="32">
        <f t="shared" si="3"/>
        <v>44543</v>
      </c>
      <c r="B55" s="28">
        <f t="shared" si="1"/>
        <v>44549</v>
      </c>
      <c r="C55" s="29">
        <f>SUMIFS('ALL Tube Results'!$G$2:$G199, 'ALL Tube Results'!$C$2:$C199, "&gt;="&amp;A55, 'ALL Tube Results'!$C$2:$C199, "&lt;="&amp;B55)
</f>
        <v>43</v>
      </c>
      <c r="D55" s="30">
        <f>COUNTIFS('ALL Tube Results'!$C55:$C199, "&gt;="&amp;A55, 'ALL Tube Results'!$C55:$C199, "&lt;="&amp;B55)</f>
        <v>22</v>
      </c>
      <c r="E55" s="30">
        <f>COUNTIFS('ALL Tube Results'!$C55:$C199, "&gt;="&amp;A55, 'ALL Tube Results'!$C55:$C199, "&lt;="&amp;B55, 'ALL Tube Results'!$F55:$F199, "Positive")</f>
        <v>2</v>
      </c>
      <c r="F55" s="30">
        <f>COUNTIFS('ALL Tube Results'!$C55:$C199, "&gt;="&amp;A55, 'ALL Tube Results'!$C55:$C199, "&lt;="&amp;B55, 'ALL Tube Results'!$F55:$F199, "Inconclusive")</f>
        <v>0</v>
      </c>
      <c r="G55" s="31">
        <f t="shared" si="2"/>
        <v>0.09090909091</v>
      </c>
    </row>
    <row r="56">
      <c r="A56" s="32">
        <f t="shared" si="3"/>
        <v>44550</v>
      </c>
      <c r="B56" s="28">
        <f t="shared" si="1"/>
        <v>44556</v>
      </c>
      <c r="C56" s="29">
        <f>SUMIFS('ALL Tube Results'!$G$2:$G199, 'ALL Tube Results'!$C$2:$C199, "&gt;="&amp;A56, 'ALL Tube Results'!$C$2:$C199, "&lt;="&amp;B56)
</f>
        <v>38</v>
      </c>
      <c r="D56" s="30">
        <f>COUNTIFS('ALL Tube Results'!$C56:$C199, "&gt;="&amp;A56, 'ALL Tube Results'!$C56:$C199, "&lt;="&amp;B56)</f>
        <v>30</v>
      </c>
      <c r="E56" s="30">
        <f>COUNTIFS('ALL Tube Results'!$C56:$C199, "&gt;="&amp;A56, 'ALL Tube Results'!$C56:$C199, "&lt;="&amp;B56, 'ALL Tube Results'!$F56:$F199, "Positive")</f>
        <v>6</v>
      </c>
      <c r="F56" s="30">
        <f>COUNTIFS('ALL Tube Results'!$C56:$C199, "&gt;="&amp;A56, 'ALL Tube Results'!$C56:$C199, "&lt;="&amp;B56, 'ALL Tube Results'!$F56:$F199, "Inconclusive")</f>
        <v>0</v>
      </c>
      <c r="G56" s="31">
        <f t="shared" si="2"/>
        <v>0.2</v>
      </c>
    </row>
    <row r="57">
      <c r="A57" s="32">
        <f t="shared" si="3"/>
        <v>44557</v>
      </c>
      <c r="B57" s="28">
        <f t="shared" si="1"/>
        <v>44563</v>
      </c>
      <c r="C57" s="29">
        <f>SUMIFS('ALL Tube Results'!$G$2:$G199, 'ALL Tube Results'!$C$2:$C199, "&gt;="&amp;A57, 'ALL Tube Results'!$C$2:$C199, "&lt;="&amp;B57)
</f>
        <v>78</v>
      </c>
      <c r="D57" s="30">
        <f>COUNTIFS('ALL Tube Results'!$C57:$C199, "&gt;="&amp;A57, 'ALL Tube Results'!$C57:$C199, "&lt;="&amp;B57)</f>
        <v>43</v>
      </c>
      <c r="E57" s="30">
        <f>COUNTIFS('ALL Tube Results'!$C57:$C199, "&gt;="&amp;A57, 'ALL Tube Results'!$C57:$C199, "&lt;="&amp;B57, 'ALL Tube Results'!$F57:$F199, "Positive")</f>
        <v>6</v>
      </c>
      <c r="F57" s="30">
        <f>COUNTIFS('ALL Tube Results'!$C57:$C199, "&gt;="&amp;A57, 'ALL Tube Results'!$C57:$C199, "&lt;="&amp;B57, 'ALL Tube Results'!$F57:$F199, "Inconclusive")</f>
        <v>0</v>
      </c>
      <c r="G57" s="31">
        <f t="shared" si="2"/>
        <v>0.1395348837</v>
      </c>
    </row>
    <row r="58">
      <c r="A58" s="32">
        <f t="shared" si="3"/>
        <v>44564</v>
      </c>
      <c r="B58" s="28">
        <f t="shared" si="1"/>
        <v>44570</v>
      </c>
      <c r="C58" s="29">
        <f>SUMIFS('ALL Tube Results'!$G$2:$G199, 'ALL Tube Results'!$C$2:$C199, "&gt;="&amp;A58, 'ALL Tube Results'!$C$2:$C199, "&lt;="&amp;B58)
</f>
        <v>94</v>
      </c>
      <c r="D58" s="30">
        <f>COUNTIFS('ALL Tube Results'!$C58:$C199, "&gt;="&amp;A58, 'ALL Tube Results'!$C58:$C199, "&lt;="&amp;B58)</f>
        <v>43</v>
      </c>
      <c r="E58" s="30">
        <f>COUNTIFS('ALL Tube Results'!$C58:$C199, "&gt;="&amp;A58, 'ALL Tube Results'!$C58:$C199, "&lt;="&amp;B58, 'ALL Tube Results'!$F58:$F199, "Positive")</f>
        <v>7</v>
      </c>
      <c r="F58" s="30">
        <f>COUNTIFS('ALL Tube Results'!$C58:$C199, "&gt;="&amp;A58, 'ALL Tube Results'!$C58:$C199, "&lt;="&amp;B58, 'ALL Tube Results'!$F58:$F199, "Inconclusive")</f>
        <v>0</v>
      </c>
      <c r="G58" s="31">
        <f t="shared" si="2"/>
        <v>0.1627906977</v>
      </c>
    </row>
    <row r="59">
      <c r="A59" s="32">
        <f t="shared" si="3"/>
        <v>44571</v>
      </c>
      <c r="B59" s="28">
        <f t="shared" si="1"/>
        <v>44577</v>
      </c>
      <c r="C59" s="29">
        <f>SUMIFS('ALL Tube Results'!$G$2:$G199, 'ALL Tube Results'!$C$2:$C199, "&gt;="&amp;A59, 'ALL Tube Results'!$C$2:$C199, "&lt;="&amp;B59)
</f>
        <v>183</v>
      </c>
      <c r="D59" s="30">
        <f>COUNTIFS('ALL Tube Results'!$C59:$C199, "&gt;="&amp;A59, 'ALL Tube Results'!$C59:$C199, "&lt;="&amp;B59)</f>
        <v>93</v>
      </c>
      <c r="E59" s="30">
        <f>COUNTIFS('ALL Tube Results'!$C59:$C199, "&gt;="&amp;A59, 'ALL Tube Results'!$C59:$C199, "&lt;="&amp;B59, 'ALL Tube Results'!$F59:$F199, "Positive")</f>
        <v>15</v>
      </c>
      <c r="F59" s="30">
        <f>COUNTIFS('ALL Tube Results'!$C59:$C199, "&gt;="&amp;A59, 'ALL Tube Results'!$C59:$C199, "&lt;="&amp;B59, 'ALL Tube Results'!$F59:$F199, "Inconclusive")</f>
        <v>1</v>
      </c>
      <c r="G59" s="31">
        <f t="shared" si="2"/>
        <v>0.1612903226</v>
      </c>
    </row>
    <row r="60">
      <c r="A60" s="32">
        <f t="shared" si="3"/>
        <v>44578</v>
      </c>
      <c r="B60" s="28">
        <f t="shared" si="1"/>
        <v>44584</v>
      </c>
      <c r="C60" s="29">
        <f>SUMIFS('ALL Tube Results'!$G$2:$G199, 'ALL Tube Results'!$C$2:$C199, "&gt;="&amp;A60, 'ALL Tube Results'!$C$2:$C199, "&lt;="&amp;B60)
</f>
        <v>177</v>
      </c>
      <c r="D60" s="30">
        <f>COUNTIFS('ALL Tube Results'!$C60:$C199, "&gt;="&amp;A60, 'ALL Tube Results'!$C60:$C199, "&lt;="&amp;B60)</f>
        <v>86</v>
      </c>
      <c r="E60" s="30">
        <f>COUNTIFS('ALL Tube Results'!$C60:$C199, "&gt;="&amp;A60, 'ALL Tube Results'!$C60:$C199, "&lt;="&amp;B60, 'ALL Tube Results'!$F60:$F199, "Positive")</f>
        <v>9</v>
      </c>
      <c r="F60" s="30">
        <f>COUNTIFS('ALL Tube Results'!$C60:$C199, "&gt;="&amp;A60, 'ALL Tube Results'!$C60:$C199, "&lt;="&amp;B60, 'ALL Tube Results'!$F60:$F199, "Inconclusive")</f>
        <v>0</v>
      </c>
      <c r="G60" s="31">
        <f t="shared" si="2"/>
        <v>0.1046511628</v>
      </c>
    </row>
    <row r="61">
      <c r="A61" s="32">
        <f t="shared" si="3"/>
        <v>44585</v>
      </c>
      <c r="B61" s="28">
        <f t="shared" si="1"/>
        <v>44591</v>
      </c>
      <c r="C61" s="29">
        <f>SUMIFS('ALL Tube Results'!$G$2:$G199, 'ALL Tube Results'!$C$2:$C199, "&gt;="&amp;A61, 'ALL Tube Results'!$C$2:$C199, "&lt;="&amp;B61)
</f>
        <v>154</v>
      </c>
      <c r="D61" s="30">
        <f>COUNTIFS('ALL Tube Results'!$C61:$C199, "&gt;="&amp;A61, 'ALL Tube Results'!$C61:$C199, "&lt;="&amp;B61)</f>
        <v>65</v>
      </c>
      <c r="E61" s="30">
        <f>COUNTIFS('ALL Tube Results'!$C61:$C199, "&gt;="&amp;A61, 'ALL Tube Results'!$C61:$C199, "&lt;="&amp;B61, 'ALL Tube Results'!$F61:$F199, "Positive")</f>
        <v>0</v>
      </c>
      <c r="F61" s="30">
        <f>COUNTIFS('ALL Tube Results'!$C61:$C199, "&gt;="&amp;A61, 'ALL Tube Results'!$C61:$C199, "&lt;="&amp;B61, 'ALL Tube Results'!$F61:$F199, "Inconclusive")</f>
        <v>0</v>
      </c>
      <c r="G61" s="31">
        <f t="shared" si="2"/>
        <v>0</v>
      </c>
    </row>
    <row r="62">
      <c r="A62" s="32">
        <f t="shared" si="3"/>
        <v>44592</v>
      </c>
      <c r="B62" s="28">
        <f t="shared" si="1"/>
        <v>44598</v>
      </c>
      <c r="C62" s="29">
        <f>SUMIFS('ALL Tube Results'!$G$2:$G199, 'ALL Tube Results'!$C$2:$C199, "&gt;="&amp;A62, 'ALL Tube Results'!$C$2:$C199, "&lt;="&amp;B62)
</f>
        <v>144</v>
      </c>
      <c r="D62" s="30">
        <f>COUNTIFS('ALL Tube Results'!$C62:$C199, "&gt;="&amp;A62, 'ALL Tube Results'!$C62:$C199, "&lt;="&amp;B62)</f>
        <v>59</v>
      </c>
      <c r="E62" s="30">
        <f>COUNTIFS('ALL Tube Results'!$C62:$C199, "&gt;="&amp;A62, 'ALL Tube Results'!$C62:$C199, "&lt;="&amp;B62, 'ALL Tube Results'!$F62:$F199, "Positive")</f>
        <v>0</v>
      </c>
      <c r="F62" s="30">
        <f>COUNTIFS('ALL Tube Results'!$C62:$C199, "&gt;="&amp;A62, 'ALL Tube Results'!$C62:$C199, "&lt;="&amp;B62, 'ALL Tube Results'!$F62:$F199, "Inconclusive")</f>
        <v>0</v>
      </c>
      <c r="G62" s="31">
        <f t="shared" si="2"/>
        <v>0</v>
      </c>
    </row>
    <row r="63">
      <c r="A63" s="32">
        <f t="shared" si="3"/>
        <v>44599</v>
      </c>
      <c r="B63" s="28">
        <f t="shared" si="1"/>
        <v>44605</v>
      </c>
      <c r="C63" s="29">
        <f>SUMIFS('ALL Tube Results'!$G$2:$G199, 'ALL Tube Results'!$C$2:$C199, "&gt;="&amp;A63, 'ALL Tube Results'!$C$2:$C199, "&lt;="&amp;B63)
</f>
        <v>148</v>
      </c>
      <c r="D63" s="30">
        <f>COUNTIFS('ALL Tube Results'!$C63:$C199, "&gt;="&amp;A63, 'ALL Tube Results'!$C63:$C199, "&lt;="&amp;B63)</f>
        <v>60</v>
      </c>
      <c r="E63" s="30">
        <f>COUNTIFS('ALL Tube Results'!$C63:$C199, "&gt;="&amp;A63, 'ALL Tube Results'!$C63:$C199, "&lt;="&amp;B63, 'ALL Tube Results'!$F63:$F199, "Positive")</f>
        <v>0</v>
      </c>
      <c r="F63" s="30">
        <f>COUNTIFS('ALL Tube Results'!$C63:$C199, "&gt;="&amp;A63, 'ALL Tube Results'!$C63:$C199, "&lt;="&amp;B63, 'ALL Tube Results'!$F63:$F199, "Inconclusive")</f>
        <v>0</v>
      </c>
      <c r="G63" s="31">
        <f t="shared" si="2"/>
        <v>0</v>
      </c>
    </row>
    <row r="64">
      <c r="A64" s="32">
        <f t="shared" si="3"/>
        <v>44606</v>
      </c>
      <c r="B64" s="28">
        <f t="shared" si="1"/>
        <v>44612</v>
      </c>
      <c r="C64" s="29">
        <f>SUMIFS('ALL Tube Results'!$G$2:$G199, 'ALL Tube Results'!$C$2:$C199, "&gt;="&amp;A64, 'ALL Tube Results'!$C$2:$C199, "&lt;="&amp;B64)
</f>
        <v>128</v>
      </c>
      <c r="D64" s="30">
        <f>COUNTIFS('ALL Tube Results'!$C64:$C199, "&gt;="&amp;A64, 'ALL Tube Results'!$C64:$C199, "&lt;="&amp;B64)</f>
        <v>54</v>
      </c>
      <c r="E64" s="30">
        <f>COUNTIFS('ALL Tube Results'!$C64:$C199, "&gt;="&amp;A64, 'ALL Tube Results'!$C64:$C199, "&lt;="&amp;B64, 'ALL Tube Results'!$F64:$F199, "Positive")</f>
        <v>0</v>
      </c>
      <c r="F64" s="30">
        <f>COUNTIFS('ALL Tube Results'!$C64:$C199, "&gt;="&amp;A64, 'ALL Tube Results'!$C64:$C199, "&lt;="&amp;B64, 'ALL Tube Results'!$F64:$F199, "Inconclusive")</f>
        <v>1</v>
      </c>
      <c r="G64" s="31">
        <f t="shared" si="2"/>
        <v>0</v>
      </c>
    </row>
    <row r="65">
      <c r="A65" s="32">
        <f t="shared" si="3"/>
        <v>44613</v>
      </c>
      <c r="B65" s="28">
        <f t="shared" si="1"/>
        <v>44619</v>
      </c>
      <c r="C65" s="29">
        <f>SUMIFS('ALL Tube Results'!$G$2:$G199, 'ALL Tube Results'!$C$2:$C199, "&gt;="&amp;A65, 'ALL Tube Results'!$C$2:$C199, "&lt;="&amp;B65)
</f>
        <v>55</v>
      </c>
      <c r="D65" s="30">
        <f>COUNTIFS('ALL Tube Results'!$C65:$C199, "&gt;="&amp;A65, 'ALL Tube Results'!$C65:$C199, "&lt;="&amp;B65)</f>
        <v>21</v>
      </c>
      <c r="E65" s="30">
        <f>COUNTIFS('ALL Tube Results'!$C65:$C199, "&gt;="&amp;A65, 'ALL Tube Results'!$C65:$C199, "&lt;="&amp;B65, 'ALL Tube Results'!$F65:$F199, "Positive")</f>
        <v>0</v>
      </c>
      <c r="F65" s="30">
        <f>COUNTIFS('ALL Tube Results'!$C65:$C199, "&gt;="&amp;A65, 'ALL Tube Results'!$C65:$C199, "&lt;="&amp;B65, 'ALL Tube Results'!$F65:$F199, "Inconclusive")</f>
        <v>0</v>
      </c>
      <c r="G65" s="31">
        <f t="shared" si="2"/>
        <v>0</v>
      </c>
    </row>
    <row r="66">
      <c r="A66" s="32">
        <f t="shared" si="3"/>
        <v>44620</v>
      </c>
      <c r="B66" s="28">
        <f t="shared" si="1"/>
        <v>44626</v>
      </c>
      <c r="C66" s="29">
        <f>SUMIFS('ALL Tube Results'!$G$2:$G199, 'ALL Tube Results'!$C$2:$C199, "&gt;="&amp;A66, 'ALL Tube Results'!$C$2:$C199, "&lt;="&amp;B66)
</f>
        <v>51</v>
      </c>
      <c r="D66" s="30">
        <f>COUNTIFS('ALL Tube Results'!$C66:$C199, "&gt;="&amp;A66, 'ALL Tube Results'!$C66:$C199, "&lt;="&amp;B66)</f>
        <v>25</v>
      </c>
      <c r="E66" s="30">
        <f>COUNTIFS('ALL Tube Results'!$C66:$C199, "&gt;="&amp;A66, 'ALL Tube Results'!$C66:$C199, "&lt;="&amp;B66, 'ALL Tube Results'!$F66:$F199, "Positive")</f>
        <v>0</v>
      </c>
      <c r="F66" s="30">
        <f>COUNTIFS('ALL Tube Results'!$C66:$C199, "&gt;="&amp;A66, 'ALL Tube Results'!$C66:$C199, "&lt;="&amp;B66, 'ALL Tube Results'!$F66:$F199, "Inconclusive")</f>
        <v>0</v>
      </c>
      <c r="G66" s="31">
        <f t="shared" si="2"/>
        <v>0</v>
      </c>
    </row>
    <row r="67">
      <c r="A67" s="32">
        <f t="shared" si="3"/>
        <v>44627</v>
      </c>
      <c r="B67" s="28">
        <f t="shared" si="1"/>
        <v>44633</v>
      </c>
      <c r="C67" s="29">
        <f>SUMIFS('ALL Tube Results'!$G$2:$G199, 'ALL Tube Results'!$C$2:$C199, "&gt;="&amp;A67, 'ALL Tube Results'!$C$2:$C199, "&lt;="&amp;B67)
</f>
        <v>113</v>
      </c>
      <c r="D67" s="30">
        <f>COUNTIFS('ALL Tube Results'!$C67:$C199, "&gt;="&amp;A67, 'ALL Tube Results'!$C67:$C199, "&lt;="&amp;B67)</f>
        <v>52</v>
      </c>
      <c r="E67" s="30">
        <f>COUNTIFS('ALL Tube Results'!$C67:$C199, "&gt;="&amp;A67, 'ALL Tube Results'!$C67:$C199, "&lt;="&amp;B67, 'ALL Tube Results'!$F67:$F199, "Positive")</f>
        <v>0</v>
      </c>
      <c r="F67" s="30">
        <f>COUNTIFS('ALL Tube Results'!$C67:$C199, "&gt;="&amp;A67, 'ALL Tube Results'!$C67:$C199, "&lt;="&amp;B67, 'ALL Tube Results'!$F67:$F199, "Inconclusive")</f>
        <v>0</v>
      </c>
      <c r="G67" s="31">
        <f t="shared" si="2"/>
        <v>0</v>
      </c>
    </row>
    <row r="68">
      <c r="A68" s="32">
        <f t="shared" si="3"/>
        <v>44634</v>
      </c>
      <c r="B68" s="28">
        <f t="shared" si="1"/>
        <v>44640</v>
      </c>
      <c r="C68" s="29">
        <f>SUMIFS('ALL Tube Results'!$G$2:$G199, 'ALL Tube Results'!$C$2:$C199, "&gt;="&amp;A68, 'ALL Tube Results'!$C$2:$C199, "&lt;="&amp;B68)
</f>
        <v>91</v>
      </c>
      <c r="D68" s="30">
        <f>COUNTIFS('ALL Tube Results'!$C68:$C199, "&gt;="&amp;A68, 'ALL Tube Results'!$C68:$C199, "&lt;="&amp;B68)</f>
        <v>42</v>
      </c>
      <c r="E68" s="30">
        <f>COUNTIFS('ALL Tube Results'!$C68:$C199, "&gt;="&amp;A68, 'ALL Tube Results'!$C68:$C199, "&lt;="&amp;B68, 'ALL Tube Results'!$F68:$F199, "Positive")</f>
        <v>0</v>
      </c>
      <c r="F68" s="30">
        <f>COUNTIFS('ALL Tube Results'!$C68:$C199, "&gt;="&amp;A68, 'ALL Tube Results'!$C68:$C199, "&lt;="&amp;B68, 'ALL Tube Results'!$F68:$F199, "Inconclusive")</f>
        <v>0</v>
      </c>
      <c r="G68" s="31">
        <f t="shared" si="2"/>
        <v>0</v>
      </c>
    </row>
    <row r="69">
      <c r="A69" s="32">
        <f t="shared" si="3"/>
        <v>44641</v>
      </c>
      <c r="B69" s="28">
        <f t="shared" si="1"/>
        <v>44647</v>
      </c>
      <c r="C69" s="29">
        <f>SUMIFS('ALL Tube Results'!$G$2:$G199, 'ALL Tube Results'!$C$2:$C199, "&gt;="&amp;A69, 'ALL Tube Results'!$C$2:$C199, "&lt;="&amp;B69)
</f>
        <v>113</v>
      </c>
      <c r="D69" s="30">
        <f>COUNTIFS('ALL Tube Results'!$C69:$C199, "&gt;="&amp;A69, 'ALL Tube Results'!$C69:$C199, "&lt;="&amp;B69)</f>
        <v>47</v>
      </c>
      <c r="E69" s="30">
        <f>COUNTIFS('ALL Tube Results'!$C69:$C199, "&gt;="&amp;A69, 'ALL Tube Results'!$C69:$C199, "&lt;="&amp;B69, 'ALL Tube Results'!$F69:$F199, "Positive")</f>
        <v>0</v>
      </c>
      <c r="F69" s="30">
        <f>COUNTIFS('ALL Tube Results'!$C69:$C199, "&gt;="&amp;A69, 'ALL Tube Results'!$C69:$C199, "&lt;="&amp;B69, 'ALL Tube Results'!$F69:$F199, "Inconclusive")</f>
        <v>0</v>
      </c>
      <c r="G69" s="31">
        <f t="shared" si="2"/>
        <v>0</v>
      </c>
    </row>
    <row r="70">
      <c r="A70" s="32">
        <f t="shared" si="3"/>
        <v>44648</v>
      </c>
      <c r="B70" s="28">
        <f t="shared" si="1"/>
        <v>44654</v>
      </c>
      <c r="C70" s="29">
        <f>SUMIFS('ALL Tube Results'!$G$2:$G199, 'ALL Tube Results'!$C$2:$C199, "&gt;="&amp;A70, 'ALL Tube Results'!$C$2:$C199, "&lt;="&amp;B70)
</f>
        <v>25</v>
      </c>
      <c r="D70" s="30">
        <f>COUNTIFS('ALL Tube Results'!$C70:$C199, "&gt;="&amp;A70, 'ALL Tube Results'!$C70:$C199, "&lt;="&amp;B70)</f>
        <v>12</v>
      </c>
      <c r="E70" s="30">
        <f>COUNTIFS('ALL Tube Results'!$C70:$C199, "&gt;="&amp;A70, 'ALL Tube Results'!$C70:$C199, "&lt;="&amp;B70, 'ALL Tube Results'!$F70:$F199, "Positive")</f>
        <v>0</v>
      </c>
      <c r="F70" s="30">
        <f>COUNTIFS('ALL Tube Results'!$C70:$C199, "&gt;="&amp;A70, 'ALL Tube Results'!$C70:$C199, "&lt;="&amp;B70, 'ALL Tube Results'!$F70:$F199, "Inconclusive")</f>
        <v>0</v>
      </c>
      <c r="G70" s="31">
        <f t="shared" si="2"/>
        <v>0</v>
      </c>
    </row>
    <row r="71">
      <c r="A71" s="32">
        <f t="shared" si="3"/>
        <v>44655</v>
      </c>
      <c r="B71" s="28">
        <f t="shared" si="1"/>
        <v>44661</v>
      </c>
      <c r="C71" s="29">
        <f>SUMIFS('ALL Tube Results'!$G$2:$G199, 'ALL Tube Results'!$C$2:$C199, "&gt;="&amp;A71, 'ALL Tube Results'!$C$2:$C199, "&lt;="&amp;B71)
</f>
        <v>119</v>
      </c>
      <c r="D71" s="30">
        <f>COUNTIFS('ALL Tube Results'!$C71:$C199, "&gt;="&amp;A71, 'ALL Tube Results'!$C71:$C199, "&lt;="&amp;B71)</f>
        <v>47</v>
      </c>
      <c r="E71" s="30">
        <f>COUNTIFS('ALL Tube Results'!$C71:$C199, "&gt;="&amp;A71, 'ALL Tube Results'!$C71:$C199, "&lt;="&amp;B71, 'ALL Tube Results'!$F71:$F199, "Positive")</f>
        <v>0</v>
      </c>
      <c r="F71" s="30">
        <f>COUNTIFS('ALL Tube Results'!$C71:$C199, "&gt;="&amp;A71, 'ALL Tube Results'!$C71:$C199, "&lt;="&amp;B71, 'ALL Tube Results'!$F71:$F199, "Inconclusive")</f>
        <v>0</v>
      </c>
      <c r="G71" s="31">
        <f t="shared" si="2"/>
        <v>0</v>
      </c>
    </row>
    <row r="72">
      <c r="A72" s="32">
        <f t="shared" si="3"/>
        <v>44662</v>
      </c>
      <c r="B72" s="28">
        <f t="shared" si="1"/>
        <v>44668</v>
      </c>
      <c r="C72" s="29">
        <f>SUMIFS('ALL Tube Results'!$G$2:$G199, 'ALL Tube Results'!$C$2:$C199, "&gt;="&amp;A72, 'ALL Tube Results'!$C$2:$C199, "&lt;="&amp;B72)
</f>
        <v>104</v>
      </c>
      <c r="D72" s="30">
        <f>COUNTIFS('ALL Tube Results'!$C72:$C199, "&gt;="&amp;A72, 'ALL Tube Results'!$C72:$C199, "&lt;="&amp;B72)</f>
        <v>43</v>
      </c>
      <c r="E72" s="30">
        <f>COUNTIFS('ALL Tube Results'!$C72:$C199, "&gt;="&amp;A72, 'ALL Tube Results'!$C72:$C199, "&lt;="&amp;B72, 'ALL Tube Results'!$F72:$F199, "Positive")</f>
        <v>0</v>
      </c>
      <c r="F72" s="30">
        <f>COUNTIFS('ALL Tube Results'!$C72:$C199, "&gt;="&amp;A72, 'ALL Tube Results'!$C72:$C199, "&lt;="&amp;B72, 'ALL Tube Results'!$F72:$F199, "Inconclusive")</f>
        <v>0</v>
      </c>
      <c r="G72" s="31">
        <f t="shared" si="2"/>
        <v>0</v>
      </c>
    </row>
    <row r="73">
      <c r="A73" s="32">
        <f t="shared" si="3"/>
        <v>44669</v>
      </c>
      <c r="B73" s="28">
        <f t="shared" si="1"/>
        <v>44675</v>
      </c>
      <c r="C73" s="29">
        <f>SUMIFS('ALL Tube Results'!$G$2:$G199, 'ALL Tube Results'!$C$2:$C199, "&gt;="&amp;A73, 'ALL Tube Results'!$C$2:$C199, "&lt;="&amp;B73)
</f>
        <v>116</v>
      </c>
      <c r="D73" s="30">
        <f>COUNTIFS('ALL Tube Results'!$C73:$C199, "&gt;="&amp;A73, 'ALL Tube Results'!$C73:$C199, "&lt;="&amp;B73)</f>
        <v>53</v>
      </c>
      <c r="E73" s="30">
        <f>COUNTIFS('ALL Tube Results'!$C73:$C199, "&gt;="&amp;A73, 'ALL Tube Results'!$C73:$C199, "&lt;="&amp;B73, 'ALL Tube Results'!$F73:$F199, "Positive")</f>
        <v>0</v>
      </c>
      <c r="F73" s="30">
        <f>COUNTIFS('ALL Tube Results'!$C73:$C199, "&gt;="&amp;A73, 'ALL Tube Results'!$C73:$C199, "&lt;="&amp;B73, 'ALL Tube Results'!$F73:$F199, "Inconclusive")</f>
        <v>0</v>
      </c>
      <c r="G73" s="31">
        <f t="shared" si="2"/>
        <v>0</v>
      </c>
    </row>
    <row r="74">
      <c r="A74" s="32">
        <f t="shared" si="3"/>
        <v>44676</v>
      </c>
      <c r="B74" s="28">
        <f t="shared" si="1"/>
        <v>44682</v>
      </c>
      <c r="C74" s="29">
        <f>SUMIFS('ALL Tube Results'!$G$2:$G199, 'ALL Tube Results'!$C$2:$C199, "&gt;="&amp;A74, 'ALL Tube Results'!$C$2:$C199, "&lt;="&amp;B74)
</f>
        <v>113</v>
      </c>
      <c r="D74" s="30">
        <f>COUNTIFS('ALL Tube Results'!$C74:$C199, "&gt;="&amp;A74, 'ALL Tube Results'!$C74:$C199, "&lt;="&amp;B74)</f>
        <v>48</v>
      </c>
      <c r="E74" s="30">
        <f>COUNTIFS('ALL Tube Results'!$C74:$C199, "&gt;="&amp;A74, 'ALL Tube Results'!$C74:$C199, "&lt;="&amp;B74, 'ALL Tube Results'!$F74:$F199, "Positive")</f>
        <v>0</v>
      </c>
      <c r="F74" s="30">
        <f>COUNTIFS('ALL Tube Results'!$C74:$C199, "&gt;="&amp;A74, 'ALL Tube Results'!$C74:$C199, "&lt;="&amp;B74, 'ALL Tube Results'!$F74:$F199, "Inconclusive")</f>
        <v>0</v>
      </c>
      <c r="G74" s="31">
        <f t="shared" si="2"/>
        <v>0</v>
      </c>
    </row>
    <row r="75">
      <c r="A75" s="32">
        <f t="shared" si="3"/>
        <v>44683</v>
      </c>
      <c r="B75" s="28">
        <f t="shared" si="1"/>
        <v>44689</v>
      </c>
      <c r="C75" s="29">
        <f>SUMIFS('ALL Tube Results'!$G$2:$G199, 'ALL Tube Results'!$C$2:$C199, "&gt;="&amp;A75, 'ALL Tube Results'!$C$2:$C199, "&lt;="&amp;B75)
</f>
        <v>114</v>
      </c>
      <c r="D75" s="30">
        <f>COUNTIFS('ALL Tube Results'!$C75:$C199, "&gt;="&amp;A75, 'ALL Tube Results'!$C75:$C199, "&lt;="&amp;B75)</f>
        <v>53</v>
      </c>
      <c r="E75" s="30">
        <f>COUNTIFS('ALL Tube Results'!$C75:$C199, "&gt;="&amp;A75, 'ALL Tube Results'!$C75:$C199, "&lt;="&amp;B75, 'ALL Tube Results'!$F75:$F199, "Positive")</f>
        <v>2</v>
      </c>
      <c r="F75" s="30">
        <f>COUNTIFS('ALL Tube Results'!$C75:$C199, "&gt;="&amp;A75, 'ALL Tube Results'!$C75:$C199, "&lt;="&amp;B75, 'ALL Tube Results'!$F75:$F199, "Inconclusive")</f>
        <v>0</v>
      </c>
      <c r="G75" s="31">
        <f t="shared" si="2"/>
        <v>0.03773584906</v>
      </c>
    </row>
    <row r="76">
      <c r="A76" s="32">
        <f t="shared" si="3"/>
        <v>44690</v>
      </c>
      <c r="B76" s="28">
        <f t="shared" si="1"/>
        <v>44696</v>
      </c>
      <c r="C76" s="29">
        <f>SUMIFS('ALL Tube Results'!$G$2:$G199, 'ALL Tube Results'!$C$2:$C199, "&gt;="&amp;A76, 'ALL Tube Results'!$C$2:$C199, "&lt;="&amp;B76)
</f>
        <v>117</v>
      </c>
      <c r="D76" s="30">
        <f>COUNTIFS('ALL Tube Results'!$C76:$C199, "&gt;="&amp;A76, 'ALL Tube Results'!$C76:$C199, "&lt;="&amp;B76)</f>
        <v>67</v>
      </c>
      <c r="E76" s="30">
        <f>COUNTIFS('ALL Tube Results'!$C76:$C199, "&gt;="&amp;A76, 'ALL Tube Results'!$C76:$C199, "&lt;="&amp;B76, 'ALL Tube Results'!$F76:$F199, "Positive")</f>
        <v>4</v>
      </c>
      <c r="F76" s="30">
        <f>COUNTIFS('ALL Tube Results'!$C76:$C199, "&gt;="&amp;A76, 'ALL Tube Results'!$C76:$C199, "&lt;="&amp;B76, 'ALL Tube Results'!$F76:$F199, "Inconclusive")</f>
        <v>2</v>
      </c>
      <c r="G76" s="31">
        <f t="shared" si="2"/>
        <v>0.05970149254</v>
      </c>
    </row>
    <row r="77">
      <c r="A77" s="32">
        <f t="shared" si="3"/>
        <v>44697</v>
      </c>
      <c r="B77" s="28">
        <f t="shared" si="1"/>
        <v>44703</v>
      </c>
      <c r="C77" s="29">
        <f>SUMIFS('ALL Tube Results'!$G$2:$G199, 'ALL Tube Results'!$C$2:$C199, "&gt;="&amp;A77, 'ALL Tube Results'!$C$2:$C199, "&lt;="&amp;B77)
</f>
        <v>102</v>
      </c>
      <c r="D77" s="30">
        <f>COUNTIFS('ALL Tube Results'!$C77:$C199, "&gt;="&amp;A77, 'ALL Tube Results'!$C77:$C199, "&lt;="&amp;B77)</f>
        <v>51</v>
      </c>
      <c r="E77" s="30">
        <f>COUNTIFS('ALL Tube Results'!$C77:$C199, "&gt;="&amp;A77, 'ALL Tube Results'!$C77:$C199, "&lt;="&amp;B77, 'ALL Tube Results'!$F77:$F199, "Positive")</f>
        <v>1</v>
      </c>
      <c r="F77" s="30">
        <f>COUNTIFS('ALL Tube Results'!$C77:$C199, "&gt;="&amp;A77, 'ALL Tube Results'!$C77:$C199, "&lt;="&amp;B77, 'ALL Tube Results'!$F77:$F199, "Inconclusive")</f>
        <v>0</v>
      </c>
      <c r="G77" s="31">
        <f t="shared" si="2"/>
        <v>0.01960784314</v>
      </c>
    </row>
    <row r="78">
      <c r="A78" s="32">
        <f t="shared" si="3"/>
        <v>44704</v>
      </c>
      <c r="B78" s="28">
        <f t="shared" si="1"/>
        <v>44710</v>
      </c>
      <c r="C78" s="29">
        <f>SUMIFS('ALL Tube Results'!$G$2:$G199, 'ALL Tube Results'!$C$2:$C199, "&gt;="&amp;A78, 'ALL Tube Results'!$C$2:$C199, "&lt;="&amp;B78)
</f>
        <v>93</v>
      </c>
      <c r="D78" s="30">
        <f>COUNTIFS('ALL Tube Results'!$C78:$C199, "&gt;="&amp;A78, 'ALL Tube Results'!$C78:$C199, "&lt;="&amp;B78)</f>
        <v>44</v>
      </c>
      <c r="E78" s="30">
        <f>COUNTIFS('ALL Tube Results'!$C78:$C199, "&gt;="&amp;A78, 'ALL Tube Results'!$C78:$C199, "&lt;="&amp;B78, 'ALL Tube Results'!$F78:$F199, "Positive")</f>
        <v>1</v>
      </c>
      <c r="F78" s="30">
        <f>COUNTIFS('ALL Tube Results'!$C78:$C199, "&gt;="&amp;A78, 'ALL Tube Results'!$C78:$C199, "&lt;="&amp;B78, 'ALL Tube Results'!$F78:$F199, "Inconclusive")</f>
        <v>0</v>
      </c>
      <c r="G78" s="31">
        <f t="shared" si="2"/>
        <v>0.02272727273</v>
      </c>
    </row>
    <row r="79">
      <c r="A79" s="32">
        <f t="shared" si="3"/>
        <v>44711</v>
      </c>
      <c r="B79" s="28">
        <f t="shared" si="1"/>
        <v>44717</v>
      </c>
      <c r="C79" s="29">
        <f>SUMIFS('ALL Tube Results'!$G$2:$G199, 'ALL Tube Results'!$C$2:$C199, "&gt;="&amp;A79, 'ALL Tube Results'!$C$2:$C199, "&lt;="&amp;B79)
</f>
        <v>49</v>
      </c>
      <c r="D79" s="30">
        <f>COUNTIFS('ALL Tube Results'!$C79:$C199, "&gt;="&amp;A79, 'ALL Tube Results'!$C79:$C199, "&lt;="&amp;B79)</f>
        <v>22</v>
      </c>
      <c r="E79" s="30">
        <f>COUNTIFS('ALL Tube Results'!$C79:$C199, "&gt;="&amp;A79, 'ALL Tube Results'!$C79:$C199, "&lt;="&amp;B79, 'ALL Tube Results'!$F79:$F199, "Positive")</f>
        <v>0</v>
      </c>
      <c r="F79" s="30">
        <f>COUNTIFS('ALL Tube Results'!$C79:$C199, "&gt;="&amp;A79, 'ALL Tube Results'!$C79:$C199, "&lt;="&amp;B79, 'ALL Tube Results'!$F79:$F199, "Inconclusive")</f>
        <v>0</v>
      </c>
      <c r="G79" s="31">
        <f t="shared" si="2"/>
        <v>0</v>
      </c>
    </row>
    <row r="80">
      <c r="A80" s="32">
        <f t="shared" si="3"/>
        <v>44718</v>
      </c>
      <c r="B80" s="28">
        <f t="shared" si="1"/>
        <v>44724</v>
      </c>
      <c r="C80" s="29">
        <f>SUMIFS('ALL Tube Results'!$G$2:$G199, 'ALL Tube Results'!$C$2:$C199, "&gt;="&amp;A80, 'ALL Tube Results'!$C$2:$C199, "&lt;="&amp;B80)
</f>
        <v>13</v>
      </c>
      <c r="D80" s="30">
        <f>COUNTIFS('ALL Tube Results'!$C80:$C199, "&gt;="&amp;A80, 'ALL Tube Results'!$C80:$C199, "&lt;="&amp;B80)</f>
        <v>7</v>
      </c>
      <c r="E80" s="30">
        <f>COUNTIFS('ALL Tube Results'!$C80:$C199, "&gt;="&amp;A80, 'ALL Tube Results'!$C80:$C199, "&lt;="&amp;B80, 'ALL Tube Results'!$F80:$F199, "Positive")</f>
        <v>0</v>
      </c>
      <c r="F80" s="30">
        <f>COUNTIFS('ALL Tube Results'!$C80:$C199, "&gt;="&amp;A80, 'ALL Tube Results'!$C80:$C199, "&lt;="&amp;B80, 'ALL Tube Results'!$F80:$F199, "Inconclusive")</f>
        <v>0</v>
      </c>
      <c r="G80" s="31">
        <f t="shared" si="2"/>
        <v>0</v>
      </c>
    </row>
    <row r="81">
      <c r="A81" s="32">
        <f t="shared" si="3"/>
        <v>44725</v>
      </c>
      <c r="B81" s="28">
        <f t="shared" si="1"/>
        <v>44731</v>
      </c>
      <c r="C81" s="29">
        <f>SUMIFS('ALL Tube Results'!$G$2:$G199, 'ALL Tube Results'!$C$2:$C199, "&gt;="&amp;A81, 'ALL Tube Results'!$C$2:$C199, "&lt;="&amp;B81)
</f>
        <v>7</v>
      </c>
      <c r="D81" s="30">
        <f>COUNTIFS('ALL Tube Results'!$C81:$C199, "&gt;="&amp;A81, 'ALL Tube Results'!$C81:$C199, "&lt;="&amp;B81)</f>
        <v>5</v>
      </c>
      <c r="E81" s="30">
        <f>COUNTIFS('ALL Tube Results'!$C81:$C199, "&gt;="&amp;A81, 'ALL Tube Results'!$C81:$C199, "&lt;="&amp;B81, 'ALL Tube Results'!$F81:$F199, "Positive")</f>
        <v>0</v>
      </c>
      <c r="F81" s="30">
        <f>COUNTIFS('ALL Tube Results'!$C81:$C199, "&gt;="&amp;A81, 'ALL Tube Results'!$C81:$C199, "&lt;="&amp;B81, 'ALL Tube Results'!$F81:$F199, "Inconclusive")</f>
        <v>0</v>
      </c>
      <c r="G81" s="31">
        <f t="shared" si="2"/>
        <v>0</v>
      </c>
    </row>
    <row r="82">
      <c r="A82" s="32">
        <f t="shared" si="3"/>
        <v>44732</v>
      </c>
      <c r="B82" s="28">
        <f t="shared" si="1"/>
        <v>44738</v>
      </c>
      <c r="C82" s="29">
        <f>SUMIFS('ALL Tube Results'!$G$2:$G199, 'ALL Tube Results'!$C$2:$C199, "&gt;="&amp;A82, 'ALL Tube Results'!$C$2:$C199, "&lt;="&amp;B82)
</f>
        <v>9</v>
      </c>
      <c r="D82" s="30">
        <f>COUNTIFS('ALL Tube Results'!$C82:$C199, "&gt;="&amp;A82, 'ALL Tube Results'!$C82:$C199, "&lt;="&amp;B82)</f>
        <v>3</v>
      </c>
      <c r="E82" s="30">
        <f>COUNTIFS('ALL Tube Results'!$C82:$C199, "&gt;="&amp;A82, 'ALL Tube Results'!$C82:$C199, "&lt;="&amp;B82, 'ALL Tube Results'!$F82:$F199, "Positive")</f>
        <v>0</v>
      </c>
      <c r="F82" s="30">
        <f>COUNTIFS('ALL Tube Results'!$C82:$C199, "&gt;="&amp;A82, 'ALL Tube Results'!$C82:$C199, "&lt;="&amp;B82, 'ALL Tube Results'!$F82:$F199, "Inconclusive")</f>
        <v>0</v>
      </c>
      <c r="G82" s="31">
        <f t="shared" si="2"/>
        <v>0</v>
      </c>
    </row>
    <row r="83">
      <c r="A83" s="32">
        <f t="shared" si="3"/>
        <v>44739</v>
      </c>
      <c r="B83" s="28">
        <f t="shared" si="1"/>
        <v>44745</v>
      </c>
      <c r="C83" s="29">
        <f>SUMIFS('ALL Tube Results'!$G$2:$G199, 'ALL Tube Results'!$C$2:$C199, "&gt;="&amp;A83, 'ALL Tube Results'!$C$2:$C199, "&lt;="&amp;B83)
</f>
        <v>4</v>
      </c>
      <c r="D83" s="30">
        <f>COUNTIFS('ALL Tube Results'!$C83:$C199, "&gt;="&amp;A83, 'ALL Tube Results'!$C83:$C199, "&lt;="&amp;B83)</f>
        <v>3</v>
      </c>
      <c r="E83" s="30">
        <f>COUNTIFS('ALL Tube Results'!$C83:$C199, "&gt;="&amp;A83, 'ALL Tube Results'!$C83:$C199, "&lt;="&amp;B83, 'ALL Tube Results'!$F83:$F199, "Positive")</f>
        <v>0</v>
      </c>
      <c r="F83" s="30">
        <f>COUNTIFS('ALL Tube Results'!$C83:$C199, "&gt;="&amp;A83, 'ALL Tube Results'!$C83:$C199, "&lt;="&amp;B83, 'ALL Tube Results'!$F83:$F199, "Inconclusive")</f>
        <v>0</v>
      </c>
      <c r="G83" s="31">
        <f t="shared" si="2"/>
        <v>0</v>
      </c>
    </row>
    <row r="84">
      <c r="A84" s="32">
        <f t="shared" si="3"/>
        <v>44746</v>
      </c>
      <c r="B84" s="28">
        <f t="shared" si="1"/>
        <v>44752</v>
      </c>
      <c r="C84" s="29">
        <f>SUMIFS('ALL Tube Results'!$G$2:$G199, 'ALL Tube Results'!$C$2:$C199, "&gt;="&amp;A84, 'ALL Tube Results'!$C$2:$C199, "&lt;="&amp;B84)
</f>
        <v>0</v>
      </c>
      <c r="D84" s="30">
        <f>COUNTIFS('ALL Tube Results'!$C84:$C199, "&gt;="&amp;A84, 'ALL Tube Results'!$C84:$C199, "&lt;="&amp;B84)</f>
        <v>0</v>
      </c>
      <c r="E84" s="30">
        <f>COUNTIFS('ALL Tube Results'!$C84:$C199, "&gt;="&amp;A84, 'ALL Tube Results'!$C84:$C199, "&lt;="&amp;B84, 'ALL Tube Results'!$F84:$F199, "Positive")</f>
        <v>0</v>
      </c>
      <c r="F84" s="30">
        <f>COUNTIFS('ALL Tube Results'!$C84:$C199, "&gt;="&amp;A84, 'ALL Tube Results'!$C84:$C199, "&lt;="&amp;B84, 'ALL Tube Results'!$F84:$F199, "Inconclusive")</f>
        <v>0</v>
      </c>
      <c r="G84" s="31" t="str">
        <f t="shared" si="2"/>
        <v/>
      </c>
    </row>
    <row r="85">
      <c r="A85" s="32">
        <f t="shared" si="3"/>
        <v>44753</v>
      </c>
      <c r="B85" s="28">
        <f t="shared" si="1"/>
        <v>44759</v>
      </c>
      <c r="C85" s="29">
        <f>SUMIFS('ALL Tube Results'!$G$2:$G199, 'ALL Tube Results'!$C$2:$C199, "&gt;="&amp;A85, 'ALL Tube Results'!$C$2:$C199, "&lt;="&amp;B85)
</f>
        <v>0</v>
      </c>
      <c r="D85" s="30">
        <f>COUNTIFS('ALL Tube Results'!$C85:$C199, "&gt;="&amp;A85, 'ALL Tube Results'!$C85:$C199, "&lt;="&amp;B85)</f>
        <v>0</v>
      </c>
      <c r="E85" s="30">
        <f>COUNTIFS('ALL Tube Results'!$C85:$C199, "&gt;="&amp;A85, 'ALL Tube Results'!$C85:$C199, "&lt;="&amp;B85, 'ALL Tube Results'!$F85:$F199, "Positive")</f>
        <v>0</v>
      </c>
      <c r="F85" s="30">
        <f>COUNTIFS('ALL Tube Results'!$C85:$C199, "&gt;="&amp;A85, 'ALL Tube Results'!$C85:$C199, "&lt;="&amp;B85, 'ALL Tube Results'!$F85:$F199, "Inconclusive")</f>
        <v>0</v>
      </c>
      <c r="G85" s="31" t="str">
        <f t="shared" si="2"/>
        <v/>
      </c>
    </row>
    <row r="86">
      <c r="A86" s="32">
        <f t="shared" si="3"/>
        <v>44760</v>
      </c>
      <c r="B86" s="28">
        <f t="shared" si="1"/>
        <v>44766</v>
      </c>
      <c r="C86" s="29">
        <f>SUMIFS('ALL Tube Results'!$G$2:$G199, 'ALL Tube Results'!$C$2:$C199, "&gt;="&amp;A86, 'ALL Tube Results'!$C$2:$C199, "&lt;="&amp;B86)
</f>
        <v>6</v>
      </c>
      <c r="D86" s="30">
        <f>COUNTIFS('ALL Tube Results'!$C86:$C199, "&gt;="&amp;A86, 'ALL Tube Results'!$C86:$C199, "&lt;="&amp;B86)</f>
        <v>3</v>
      </c>
      <c r="E86" s="30">
        <f>COUNTIFS('ALL Tube Results'!$C86:$C199, "&gt;="&amp;A86, 'ALL Tube Results'!$C86:$C199, "&lt;="&amp;B86, 'ALL Tube Results'!$F86:$F199, "Positive")</f>
        <v>0</v>
      </c>
      <c r="F86" s="30">
        <f>COUNTIFS('ALL Tube Results'!$C86:$C199, "&gt;="&amp;A86, 'ALL Tube Results'!$C86:$C199, "&lt;="&amp;B86, 'ALL Tube Results'!$F86:$F199, "Inconclusive")</f>
        <v>0</v>
      </c>
      <c r="G86" s="31">
        <f t="shared" si="2"/>
        <v>0</v>
      </c>
    </row>
    <row r="87">
      <c r="A87" s="32">
        <f t="shared" si="3"/>
        <v>44767</v>
      </c>
      <c r="B87" s="28">
        <f t="shared" si="1"/>
        <v>44773</v>
      </c>
      <c r="C87" s="29">
        <f>SUMIFS('ALL Tube Results'!$G$2:$G199, 'ALL Tube Results'!$C$2:$C199, "&gt;="&amp;A87, 'ALL Tube Results'!$C$2:$C199, "&lt;="&amp;B87)
</f>
        <v>8</v>
      </c>
      <c r="D87" s="30">
        <f>COUNTIFS('ALL Tube Results'!$C87:$C199, "&gt;="&amp;A87, 'ALL Tube Results'!$C87:$C199, "&lt;="&amp;B87)</f>
        <v>4</v>
      </c>
      <c r="E87" s="30">
        <f>COUNTIFS('ALL Tube Results'!$C87:$C199, "&gt;="&amp;A87, 'ALL Tube Results'!$C87:$C199, "&lt;="&amp;B87, 'ALL Tube Results'!$F87:$F199, "Positive")</f>
        <v>0</v>
      </c>
      <c r="F87" s="30">
        <f>COUNTIFS('ALL Tube Results'!$C87:$C199, "&gt;="&amp;A87, 'ALL Tube Results'!$C87:$C199, "&lt;="&amp;B87, 'ALL Tube Results'!$F87:$F199, "Inconclusive")</f>
        <v>0</v>
      </c>
      <c r="G87" s="31">
        <f t="shared" si="2"/>
        <v>0</v>
      </c>
    </row>
    <row r="88">
      <c r="A88" s="32">
        <f t="shared" si="3"/>
        <v>44774</v>
      </c>
      <c r="B88" s="28">
        <f t="shared" si="1"/>
        <v>44780</v>
      </c>
      <c r="C88" s="29">
        <f>SUMIFS('ALL Tube Results'!$G$2:$G199, 'ALL Tube Results'!$C$2:$C199, "&gt;="&amp;A88, 'ALL Tube Results'!$C$2:$C199, "&lt;="&amp;B88)
</f>
        <v>6</v>
      </c>
      <c r="D88" s="30">
        <f>COUNTIFS('ALL Tube Results'!$C88:$C199, "&gt;="&amp;A88, 'ALL Tube Results'!$C88:$C199, "&lt;="&amp;B88)</f>
        <v>3</v>
      </c>
      <c r="E88" s="30">
        <f>COUNTIFS('ALL Tube Results'!$C88:$C199, "&gt;="&amp;A88, 'ALL Tube Results'!$C88:$C199, "&lt;="&amp;B88, 'ALL Tube Results'!$F88:$F199, "Positive")</f>
        <v>0</v>
      </c>
      <c r="F88" s="30">
        <f>COUNTIFS('ALL Tube Results'!$C88:$C199, "&gt;="&amp;A88, 'ALL Tube Results'!$C88:$C199, "&lt;="&amp;B88, 'ALL Tube Results'!$F88:$F199, "Inconclusive")</f>
        <v>0</v>
      </c>
      <c r="G88" s="31">
        <f t="shared" si="2"/>
        <v>0</v>
      </c>
    </row>
    <row r="89">
      <c r="A89" s="32">
        <f t="shared" si="3"/>
        <v>44781</v>
      </c>
      <c r="B89" s="28">
        <f t="shared" si="1"/>
        <v>44787</v>
      </c>
      <c r="C89" s="29">
        <f>SUMIFS('ALL Tube Results'!$G$2:$G199, 'ALL Tube Results'!$C$2:$C199, "&gt;="&amp;A89, 'ALL Tube Results'!$C$2:$C199, "&lt;="&amp;B89)
</f>
        <v>0</v>
      </c>
      <c r="D89" s="30">
        <f>COUNTIFS('ALL Tube Results'!$C89:$C199, "&gt;="&amp;A89, 'ALL Tube Results'!$C89:$C199, "&lt;="&amp;B89)</f>
        <v>0</v>
      </c>
      <c r="E89" s="30">
        <f>COUNTIFS('ALL Tube Results'!$C89:$C199, "&gt;="&amp;A89, 'ALL Tube Results'!$C89:$C199, "&lt;="&amp;B89, 'ALL Tube Results'!$F89:$F199, "Positive")</f>
        <v>0</v>
      </c>
      <c r="F89" s="30">
        <f>COUNTIFS('ALL Tube Results'!$C89:$C199, "&gt;="&amp;A89, 'ALL Tube Results'!$C89:$C199, "&lt;="&amp;B89, 'ALL Tube Results'!$F89:$F199, "Inconclusive")</f>
        <v>0</v>
      </c>
      <c r="G89" s="31" t="str">
        <f t="shared" si="2"/>
        <v/>
      </c>
    </row>
    <row r="90">
      <c r="A90" s="32">
        <f t="shared" si="3"/>
        <v>44788</v>
      </c>
      <c r="B90" s="28">
        <f t="shared" si="1"/>
        <v>44794</v>
      </c>
      <c r="C90" s="29">
        <f>SUMIFS('ALL Tube Results'!$G$2:$G199, 'ALL Tube Results'!$C$2:$C199, "&gt;="&amp;A90, 'ALL Tube Results'!$C$2:$C199, "&lt;="&amp;B90)
</f>
        <v>0</v>
      </c>
      <c r="D90" s="30">
        <f>COUNTIFS('ALL Tube Results'!$C90:$C199, "&gt;="&amp;A90, 'ALL Tube Results'!$C90:$C199, "&lt;="&amp;B90)</f>
        <v>0</v>
      </c>
      <c r="E90" s="30">
        <f>COUNTIFS('ALL Tube Results'!$C90:$C199, "&gt;="&amp;A90, 'ALL Tube Results'!$C90:$C199, "&lt;="&amp;B90, 'ALL Tube Results'!$F90:$F199, "Positive")</f>
        <v>0</v>
      </c>
      <c r="F90" s="30">
        <f>COUNTIFS('ALL Tube Results'!$C90:$C199, "&gt;="&amp;A90, 'ALL Tube Results'!$C90:$C199, "&lt;="&amp;B90, 'ALL Tube Results'!$F90:$F199, "Inconclusive")</f>
        <v>0</v>
      </c>
      <c r="G90" s="31" t="str">
        <f t="shared" si="2"/>
        <v/>
      </c>
    </row>
    <row r="91">
      <c r="A91" s="32">
        <f t="shared" si="3"/>
        <v>44795</v>
      </c>
      <c r="B91" s="28">
        <f t="shared" si="1"/>
        <v>44801</v>
      </c>
      <c r="C91" s="29">
        <f>SUMIFS('ALL Tube Results'!$G$2:$G199, 'ALL Tube Results'!$C$2:$C199, "&gt;="&amp;A91, 'ALL Tube Results'!$C$2:$C199, "&lt;="&amp;B91)
</f>
        <v>4</v>
      </c>
      <c r="D91" s="30">
        <f>COUNTIFS('ALL Tube Results'!$C91:$C199, "&gt;="&amp;A91, 'ALL Tube Results'!$C91:$C199, "&lt;="&amp;B91)</f>
        <v>1</v>
      </c>
      <c r="E91" s="30">
        <f>COUNTIFS('ALL Tube Results'!$C91:$C199, "&gt;="&amp;A91, 'ALL Tube Results'!$C91:$C199, "&lt;="&amp;B91, 'ALL Tube Results'!$F91:$F199, "Positive")</f>
        <v>0</v>
      </c>
      <c r="F91" s="30">
        <f>COUNTIFS('ALL Tube Results'!$C91:$C199, "&gt;="&amp;A91, 'ALL Tube Results'!$C91:$C199, "&lt;="&amp;B91, 'ALL Tube Results'!$F91:$F199, "Inconclusive")</f>
        <v>0</v>
      </c>
      <c r="G91" s="31">
        <f t="shared" si="2"/>
        <v>0</v>
      </c>
    </row>
    <row r="92">
      <c r="A92" s="32">
        <f t="shared" si="3"/>
        <v>44802</v>
      </c>
      <c r="B92" s="28">
        <f t="shared" si="1"/>
        <v>44808</v>
      </c>
      <c r="C92" s="29">
        <f>SUMIFS('ALL Tube Results'!$G$2:$G199, 'ALL Tube Results'!$C$2:$C199, "&gt;="&amp;A92, 'ALL Tube Results'!$C$2:$C199, "&lt;="&amp;B92)
</f>
        <v>0</v>
      </c>
      <c r="D92" s="30">
        <f>COUNTIFS('ALL Tube Results'!$C92:$C199, "&gt;="&amp;A92, 'ALL Tube Results'!$C92:$C199, "&lt;="&amp;B92)</f>
        <v>0</v>
      </c>
      <c r="E92" s="30">
        <f>COUNTIFS('ALL Tube Results'!$C92:$C199, "&gt;="&amp;A92, 'ALL Tube Results'!$C92:$C199, "&lt;="&amp;B92, 'ALL Tube Results'!$F92:$F199, "Positive")</f>
        <v>0</v>
      </c>
      <c r="F92" s="30">
        <f>COUNTIFS('ALL Tube Results'!$C92:$C199, "&gt;="&amp;A92, 'ALL Tube Results'!$C92:$C199, "&lt;="&amp;B92, 'ALL Tube Results'!$F92:$F199, "Inconclusive")</f>
        <v>0</v>
      </c>
      <c r="G92" s="31" t="str">
        <f t="shared" si="2"/>
        <v/>
      </c>
    </row>
    <row r="93">
      <c r="A93" s="32">
        <f t="shared" si="3"/>
        <v>44809</v>
      </c>
      <c r="B93" s="28">
        <f t="shared" si="1"/>
        <v>44815</v>
      </c>
      <c r="C93" s="29">
        <f>SUMIFS('ALL Tube Results'!$G$2:$G199, 'ALL Tube Results'!$C$2:$C199, "&gt;="&amp;A93, 'ALL Tube Results'!$C$2:$C199, "&lt;="&amp;B93)
</f>
        <v>8</v>
      </c>
      <c r="D93" s="30">
        <f>COUNTIFS('ALL Tube Results'!$C93:$C199, "&gt;="&amp;A93, 'ALL Tube Results'!$C93:$C199, "&lt;="&amp;B93)</f>
        <v>3</v>
      </c>
      <c r="E93" s="30">
        <f>COUNTIFS('ALL Tube Results'!$C93:$C199, "&gt;="&amp;A93, 'ALL Tube Results'!$C93:$C199, "&lt;="&amp;B93, 'ALL Tube Results'!$F93:$F199, "Positive")</f>
        <v>0</v>
      </c>
      <c r="F93" s="30">
        <f>COUNTIFS('ALL Tube Results'!$C93:$C199, "&gt;="&amp;A93, 'ALL Tube Results'!$C93:$C199, "&lt;="&amp;B93, 'ALL Tube Results'!$F93:$F199, "Inconclusive")</f>
        <v>0</v>
      </c>
      <c r="G93" s="31">
        <f t="shared" si="2"/>
        <v>0</v>
      </c>
    </row>
    <row r="94">
      <c r="A94" s="32">
        <f t="shared" si="3"/>
        <v>44816</v>
      </c>
      <c r="B94" s="28">
        <f t="shared" si="1"/>
        <v>44822</v>
      </c>
      <c r="C94" s="29">
        <f>SUMIFS('ALL Tube Results'!$G$2:$G199, 'ALL Tube Results'!$C$2:$C199, "&gt;="&amp;A94, 'ALL Tube Results'!$C$2:$C199, "&lt;="&amp;B94)
</f>
        <v>11</v>
      </c>
      <c r="D94" s="30">
        <f>COUNTIFS('ALL Tube Results'!$C94:$C199, "&gt;="&amp;A94, 'ALL Tube Results'!$C94:$C199, "&lt;="&amp;B94)</f>
        <v>4</v>
      </c>
      <c r="E94" s="30">
        <f>COUNTIFS('ALL Tube Results'!$C94:$C199, "&gt;="&amp;A94, 'ALL Tube Results'!$C94:$C199, "&lt;="&amp;B94, 'ALL Tube Results'!$F94:$F199, "Positive")</f>
        <v>0</v>
      </c>
      <c r="F94" s="30">
        <f>COUNTIFS('ALL Tube Results'!$C94:$C199, "&gt;="&amp;A94, 'ALL Tube Results'!$C94:$C199, "&lt;="&amp;B94, 'ALL Tube Results'!$F94:$F199, "Inconclusive")</f>
        <v>0</v>
      </c>
      <c r="G94" s="31">
        <f t="shared" si="2"/>
        <v>0</v>
      </c>
    </row>
    <row r="95">
      <c r="A95" s="32">
        <f t="shared" si="3"/>
        <v>44823</v>
      </c>
      <c r="B95" s="28">
        <f t="shared" si="1"/>
        <v>44829</v>
      </c>
      <c r="C95" s="29">
        <f>SUMIFS('ALL Tube Results'!$G$2:$G199, 'ALL Tube Results'!$C$2:$C199, "&gt;="&amp;A95, 'ALL Tube Results'!$C$2:$C199, "&lt;="&amp;B95)
</f>
        <v>10</v>
      </c>
      <c r="D95" s="30">
        <f>COUNTIFS('ALL Tube Results'!$C95:$C199, "&gt;="&amp;A95, 'ALL Tube Results'!$C95:$C199, "&lt;="&amp;B95)</f>
        <v>4</v>
      </c>
      <c r="E95" s="30">
        <f>COUNTIFS('ALL Tube Results'!$C95:$C199, "&gt;="&amp;A95, 'ALL Tube Results'!$C95:$C199, "&lt;="&amp;B95, 'ALL Tube Results'!$F95:$F199, "Positive")</f>
        <v>0</v>
      </c>
      <c r="F95" s="30">
        <f>COUNTIFS('ALL Tube Results'!$C95:$C199, "&gt;="&amp;A95, 'ALL Tube Results'!$C95:$C199, "&lt;="&amp;B95, 'ALL Tube Results'!$F95:$F199, "Inconclusive")</f>
        <v>0</v>
      </c>
      <c r="G95" s="31">
        <f t="shared" si="2"/>
        <v>0</v>
      </c>
    </row>
    <row r="96">
      <c r="A96" s="32">
        <f t="shared" si="3"/>
        <v>44830</v>
      </c>
      <c r="B96" s="28">
        <f t="shared" si="1"/>
        <v>44836</v>
      </c>
      <c r="C96" s="29">
        <f>SUMIFS('ALL Tube Results'!$G$2:$G199, 'ALL Tube Results'!$C$2:$C199, "&gt;="&amp;A96, 'ALL Tube Results'!$C$2:$C199, "&lt;="&amp;B96)
</f>
        <v>12</v>
      </c>
      <c r="D96" s="30">
        <f>COUNTIFS('ALL Tube Results'!$C96:$C199, "&gt;="&amp;A96, 'ALL Tube Results'!$C96:$C199, "&lt;="&amp;B96)</f>
        <v>4</v>
      </c>
      <c r="E96" s="30">
        <f>COUNTIFS('ALL Tube Results'!$C96:$C199, "&gt;="&amp;A96, 'ALL Tube Results'!$C96:$C199, "&lt;="&amp;B96, 'ALL Tube Results'!$F96:$F199, "Positive")</f>
        <v>0</v>
      </c>
      <c r="F96" s="30">
        <f>COUNTIFS('ALL Tube Results'!$C96:$C199, "&gt;="&amp;A96, 'ALL Tube Results'!$C96:$C199, "&lt;="&amp;B96, 'ALL Tube Results'!$F96:$F199, "Inconclusive")</f>
        <v>0</v>
      </c>
      <c r="G96" s="31">
        <f t="shared" si="2"/>
        <v>0</v>
      </c>
    </row>
    <row r="97">
      <c r="A97" s="32">
        <f t="shared" si="3"/>
        <v>44837</v>
      </c>
      <c r="B97" s="28">
        <f t="shared" si="1"/>
        <v>44843</v>
      </c>
      <c r="C97" s="29">
        <f>SUMIFS('ALL Tube Results'!$G$2:$G199, 'ALL Tube Results'!$C$2:$C199, "&gt;="&amp;A97, 'ALL Tube Results'!$C$2:$C199, "&lt;="&amp;B97)
</f>
        <v>13</v>
      </c>
      <c r="D97" s="30">
        <f>COUNTIFS('ALL Tube Results'!$C97:$C199, "&gt;="&amp;A97, 'ALL Tube Results'!$C97:$C199, "&lt;="&amp;B97)</f>
        <v>5</v>
      </c>
      <c r="E97" s="30">
        <f>COUNTIFS('ALL Tube Results'!$C97:$C199, "&gt;="&amp;A97, 'ALL Tube Results'!$C97:$C199, "&lt;="&amp;B97, 'ALL Tube Results'!$F97:$F199, "Positive")</f>
        <v>0</v>
      </c>
      <c r="F97" s="30">
        <f>COUNTIFS('ALL Tube Results'!$C97:$C199, "&gt;="&amp;A97, 'ALL Tube Results'!$C97:$C199, "&lt;="&amp;B97, 'ALL Tube Results'!$F97:$F199, "Inconclusive")</f>
        <v>0</v>
      </c>
      <c r="G97" s="31">
        <f t="shared" si="2"/>
        <v>0</v>
      </c>
    </row>
    <row r="98">
      <c r="A98" s="32">
        <f t="shared" si="3"/>
        <v>44844</v>
      </c>
      <c r="B98" s="28">
        <f t="shared" si="1"/>
        <v>44850</v>
      </c>
      <c r="C98" s="29">
        <f>SUMIFS('ALL Tube Results'!$G$2:$G199, 'ALL Tube Results'!$C$2:$C199, "&gt;="&amp;A98, 'ALL Tube Results'!$C$2:$C199, "&lt;="&amp;B98)
</f>
        <v>14</v>
      </c>
      <c r="D98" s="30">
        <f>COUNTIFS('ALL Tube Results'!$C98:$C199, "&gt;="&amp;A98, 'ALL Tube Results'!$C98:$C199, "&lt;="&amp;B98)</f>
        <v>5</v>
      </c>
      <c r="E98" s="30">
        <f>COUNTIFS('ALL Tube Results'!$C98:$C199, "&gt;="&amp;A98, 'ALL Tube Results'!$C98:$C199, "&lt;="&amp;B98, 'ALL Tube Results'!$F98:$F199, "Positive")</f>
        <v>0</v>
      </c>
      <c r="F98" s="30">
        <f>COUNTIFS('ALL Tube Results'!$C98:$C199, "&gt;="&amp;A98, 'ALL Tube Results'!$C98:$C199, "&lt;="&amp;B98, 'ALL Tube Results'!$F98:$F199, "Inconclusive")</f>
        <v>0</v>
      </c>
      <c r="G98" s="31">
        <f t="shared" si="2"/>
        <v>0</v>
      </c>
    </row>
    <row r="99">
      <c r="A99" s="32">
        <f t="shared" si="3"/>
        <v>44851</v>
      </c>
      <c r="B99" s="28">
        <f t="shared" si="1"/>
        <v>44857</v>
      </c>
      <c r="C99" s="29">
        <f>SUMIFS('ALL Tube Results'!$G$2:$G199, 'ALL Tube Results'!$C$2:$C199, "&gt;="&amp;A99, 'ALL Tube Results'!$C$2:$C199, "&lt;="&amp;B99)
</f>
        <v>12</v>
      </c>
      <c r="D99" s="30">
        <f>COUNTIFS('ALL Tube Results'!$C99:$C199, "&gt;="&amp;A99, 'ALL Tube Results'!$C99:$C199, "&lt;="&amp;B99)</f>
        <v>4</v>
      </c>
      <c r="E99" s="30">
        <f>COUNTIFS('ALL Tube Results'!$C99:$C199, "&gt;="&amp;A99, 'ALL Tube Results'!$C99:$C199, "&lt;="&amp;B99, 'ALL Tube Results'!$F99:$F199, "Positive")</f>
        <v>0</v>
      </c>
      <c r="F99" s="30">
        <f>COUNTIFS('ALL Tube Results'!$C99:$C199, "&gt;="&amp;A99, 'ALL Tube Results'!$C99:$C199, "&lt;="&amp;B99, 'ALL Tube Results'!$F99:$F199, "Inconclusive")</f>
        <v>0</v>
      </c>
      <c r="G99" s="31">
        <f t="shared" si="2"/>
        <v>0</v>
      </c>
    </row>
    <row r="100">
      <c r="A100" s="32">
        <f t="shared" si="3"/>
        <v>44858</v>
      </c>
      <c r="B100" s="28">
        <f t="shared" si="1"/>
        <v>44864</v>
      </c>
      <c r="C100" s="29">
        <f>SUMIFS('ALL Tube Results'!$G$2:$G199, 'ALL Tube Results'!$C$2:$C199, "&gt;="&amp;A100, 'ALL Tube Results'!$C$2:$C199, "&lt;="&amp;B100)
</f>
        <v>12</v>
      </c>
      <c r="D100" s="30">
        <f>COUNTIFS('ALL Tube Results'!$C100:$C199, "&gt;="&amp;A100, 'ALL Tube Results'!$C100:$C199, "&lt;="&amp;B100)</f>
        <v>8</v>
      </c>
      <c r="E100" s="30">
        <f>COUNTIFS('ALL Tube Results'!$C100:$C199, "&gt;="&amp;A100, 'ALL Tube Results'!$C100:$C199, "&lt;="&amp;B100, 'ALL Tube Results'!$F100:$F199, "Positive")</f>
        <v>0</v>
      </c>
      <c r="F100" s="30">
        <f>COUNTIFS('ALL Tube Results'!$C100:$C199, "&gt;="&amp;A100, 'ALL Tube Results'!$C100:$C199, "&lt;="&amp;B100, 'ALL Tube Results'!$F100:$F199, "Inconclusive")</f>
        <v>0</v>
      </c>
      <c r="G100" s="31">
        <f t="shared" si="2"/>
        <v>0</v>
      </c>
    </row>
    <row r="101">
      <c r="A101" s="32">
        <f t="shared" si="3"/>
        <v>44865</v>
      </c>
      <c r="B101" s="28">
        <f t="shared" si="1"/>
        <v>44871</v>
      </c>
      <c r="C101" s="29">
        <f>SUMIFS('ALL Tube Results'!$G$2:$G199, 'ALL Tube Results'!$C$2:$C199, "&gt;="&amp;A101, 'ALL Tube Results'!$C$2:$C199, "&lt;="&amp;B101)
</f>
        <v>11</v>
      </c>
      <c r="D101" s="30">
        <f>COUNTIFS('ALL Tube Results'!$C101:$C199, "&gt;="&amp;A101, 'ALL Tube Results'!$C101:$C199, "&lt;="&amp;B101)</f>
        <v>5</v>
      </c>
      <c r="E101" s="30">
        <f>COUNTIFS('ALL Tube Results'!$C101:$C199, "&gt;="&amp;A101, 'ALL Tube Results'!$C101:$C199, "&lt;="&amp;B101, 'ALL Tube Results'!$F101:$F199, "Positive")</f>
        <v>0</v>
      </c>
      <c r="F101" s="30">
        <f>COUNTIFS('ALL Tube Results'!$C101:$C199, "&gt;="&amp;A101, 'ALL Tube Results'!$C101:$C199, "&lt;="&amp;B101, 'ALL Tube Results'!$F101:$F199, "Inconclusive")</f>
        <v>0</v>
      </c>
      <c r="G101" s="31">
        <f t="shared" si="2"/>
        <v>0</v>
      </c>
    </row>
    <row r="102">
      <c r="A102" s="32">
        <f t="shared" si="3"/>
        <v>44872</v>
      </c>
      <c r="B102" s="28">
        <f t="shared" si="1"/>
        <v>44878</v>
      </c>
      <c r="C102" s="29">
        <f>SUMIFS('ALL Tube Results'!$G$2:$G199, 'ALL Tube Results'!$C$2:$C199, "&gt;="&amp;A102, 'ALL Tube Results'!$C$2:$C199, "&lt;="&amp;B102)
</f>
        <v>12</v>
      </c>
      <c r="D102" s="30">
        <f>COUNTIFS('ALL Tube Results'!$C102:$C199, "&gt;="&amp;A102, 'ALL Tube Results'!$C102:$C199, "&lt;="&amp;B102)</f>
        <v>5</v>
      </c>
      <c r="E102" s="30">
        <f>COUNTIFS('ALL Tube Results'!$C102:$C199, "&gt;="&amp;A102, 'ALL Tube Results'!$C102:$C199, "&lt;="&amp;B102, 'ALL Tube Results'!$F102:$F199, "Positive")</f>
        <v>0</v>
      </c>
      <c r="F102" s="30">
        <f>COUNTIFS('ALL Tube Results'!$C102:$C199, "&gt;="&amp;A102, 'ALL Tube Results'!$C102:$C199, "&lt;="&amp;B102, 'ALL Tube Results'!$F102:$F199, "Inconclusive")</f>
        <v>0</v>
      </c>
      <c r="G102" s="31">
        <f t="shared" si="2"/>
        <v>0</v>
      </c>
    </row>
    <row r="103">
      <c r="A103" s="32">
        <f t="shared" si="3"/>
        <v>44879</v>
      </c>
      <c r="B103" s="28">
        <f t="shared" si="1"/>
        <v>44885</v>
      </c>
      <c r="C103" s="29">
        <f>SUMIFS('ALL Tube Results'!$G$2:$G199, 'ALL Tube Results'!$C$2:$C199, "&gt;="&amp;A103, 'ALL Tube Results'!$C$2:$C199, "&lt;="&amp;B103)
</f>
        <v>8</v>
      </c>
      <c r="D103" s="30">
        <f>COUNTIFS('ALL Tube Results'!$C103:$C199, "&gt;="&amp;A103, 'ALL Tube Results'!$C103:$C199, "&lt;="&amp;B103)</f>
        <v>5</v>
      </c>
      <c r="E103" s="30">
        <f>COUNTIFS('ALL Tube Results'!$C103:$C199, "&gt;="&amp;A103, 'ALL Tube Results'!$C103:$C199, "&lt;="&amp;B103, 'ALL Tube Results'!$F103:$F199, "Positive")</f>
        <v>0</v>
      </c>
      <c r="F103" s="30">
        <f>COUNTIFS('ALL Tube Results'!$C103:$C199, "&gt;="&amp;A103, 'ALL Tube Results'!$C103:$C199, "&lt;="&amp;B103, 'ALL Tube Results'!$F103:$F199, "Inconclusive")</f>
        <v>0</v>
      </c>
      <c r="G103" s="31">
        <f t="shared" si="2"/>
        <v>0</v>
      </c>
    </row>
    <row r="104">
      <c r="A104" s="32">
        <f t="shared" si="3"/>
        <v>44886</v>
      </c>
      <c r="B104" s="28">
        <f t="shared" si="1"/>
        <v>44892</v>
      </c>
      <c r="C104" s="29">
        <f>SUMIFS('ALL Tube Results'!$G$2:$G199, 'ALL Tube Results'!$C$2:$C199, "&gt;="&amp;A104, 'ALL Tube Results'!$C$2:$C199, "&lt;="&amp;B104)
</f>
        <v>5</v>
      </c>
      <c r="D104" s="30">
        <f>COUNTIFS('ALL Tube Results'!$C104:$C199, "&gt;="&amp;A104, 'ALL Tube Results'!$C104:$C199, "&lt;="&amp;B104)</f>
        <v>3</v>
      </c>
      <c r="E104" s="30">
        <f>COUNTIFS('ALL Tube Results'!$C104:$C199, "&gt;="&amp;A104, 'ALL Tube Results'!$C104:$C199, "&lt;="&amp;B104, 'ALL Tube Results'!$F104:$F199, "Positive")</f>
        <v>0</v>
      </c>
      <c r="F104" s="30">
        <f>COUNTIFS('ALL Tube Results'!$C104:$C199, "&gt;="&amp;A104, 'ALL Tube Results'!$C104:$C199, "&lt;="&amp;B104, 'ALL Tube Results'!$F104:$F199, "Inconclusive")</f>
        <v>0</v>
      </c>
      <c r="G104" s="31">
        <f t="shared" si="2"/>
        <v>0</v>
      </c>
    </row>
    <row r="105">
      <c r="A105" s="32">
        <f t="shared" si="3"/>
        <v>44893</v>
      </c>
      <c r="B105" s="28">
        <f t="shared" si="1"/>
        <v>44899</v>
      </c>
      <c r="C105" s="29">
        <f>SUMIFS('ALL Tube Results'!$G$2:$G199, 'ALL Tube Results'!$C$2:$C199, "&gt;="&amp;A105, 'ALL Tube Results'!$C$2:$C199, "&lt;="&amp;B105)
</f>
        <v>13</v>
      </c>
      <c r="D105" s="30">
        <f>COUNTIFS('ALL Tube Results'!$C105:$C199, "&gt;="&amp;A105, 'ALL Tube Results'!$C105:$C199, "&lt;="&amp;B105)</f>
        <v>5</v>
      </c>
      <c r="E105" s="30">
        <f>COUNTIFS('ALL Tube Results'!$C105:$C199, "&gt;="&amp;A105, 'ALL Tube Results'!$C105:$C199, "&lt;="&amp;B105, 'ALL Tube Results'!$F105:$F199, "Positive")</f>
        <v>0</v>
      </c>
      <c r="F105" s="30">
        <f>COUNTIFS('ALL Tube Results'!$C105:$C199, "&gt;="&amp;A105, 'ALL Tube Results'!$C105:$C199, "&lt;="&amp;B105, 'ALL Tube Results'!$F105:$F199, "Inconclusive")</f>
        <v>0</v>
      </c>
      <c r="G105" s="31">
        <f t="shared" si="2"/>
        <v>0</v>
      </c>
    </row>
    <row r="106">
      <c r="A106" s="32">
        <f t="shared" si="3"/>
        <v>44900</v>
      </c>
      <c r="B106" s="28">
        <f t="shared" si="1"/>
        <v>44906</v>
      </c>
      <c r="C106" s="29">
        <f>SUMIFS('ALL Tube Results'!$G$2:$G199, 'ALL Tube Results'!$C$2:$C199, "&gt;="&amp;A106, 'ALL Tube Results'!$C$2:$C199, "&lt;="&amp;B106)
</f>
        <v>8</v>
      </c>
      <c r="D106" s="30">
        <f>COUNTIFS('ALL Tube Results'!$C106:$C199, "&gt;="&amp;A106, 'ALL Tube Results'!$C106:$C199, "&lt;="&amp;B106)</f>
        <v>3</v>
      </c>
      <c r="E106" s="30">
        <f>COUNTIFS('ALL Tube Results'!$C106:$C199, "&gt;="&amp;A106, 'ALL Tube Results'!$C106:$C199, "&lt;="&amp;B106, 'ALL Tube Results'!$F106:$F199, "Positive")</f>
        <v>0</v>
      </c>
      <c r="F106" s="30">
        <f>COUNTIFS('ALL Tube Results'!$C106:$C199, "&gt;="&amp;A106, 'ALL Tube Results'!$C106:$C199, "&lt;="&amp;B106, 'ALL Tube Results'!$F106:$F199, "Inconclusive")</f>
        <v>0</v>
      </c>
      <c r="G106" s="31">
        <f t="shared" si="2"/>
        <v>0</v>
      </c>
    </row>
    <row r="107">
      <c r="A107" s="32">
        <f t="shared" si="3"/>
        <v>44907</v>
      </c>
      <c r="B107" s="28">
        <f t="shared" si="1"/>
        <v>44913</v>
      </c>
      <c r="C107" s="29">
        <f>SUMIFS('ALL Tube Results'!$G$2:$G199, 'ALL Tube Results'!$C$2:$C199, "&gt;="&amp;A107, 'ALL Tube Results'!$C$2:$C199, "&lt;="&amp;B107)
</f>
        <v>23</v>
      </c>
      <c r="D107" s="30">
        <f>COUNTIFS('ALL Tube Results'!$C107:$C199, "&gt;="&amp;A107, 'ALL Tube Results'!$C107:$C199, "&lt;="&amp;B107)</f>
        <v>11</v>
      </c>
      <c r="E107" s="30">
        <f>COUNTIFS('ALL Tube Results'!$C107:$C199, "&gt;="&amp;A107, 'ALL Tube Results'!$C107:$C199, "&lt;="&amp;B107, 'ALL Tube Results'!$F107:$F199, "Positive")</f>
        <v>1</v>
      </c>
      <c r="F107" s="30">
        <f>COUNTIFS('ALL Tube Results'!$C107:$C199, "&gt;="&amp;A107, 'ALL Tube Results'!$C107:$C199, "&lt;="&amp;B107, 'ALL Tube Results'!$F107:$F199, "Inconclusive")</f>
        <v>0</v>
      </c>
      <c r="G107" s="31">
        <f t="shared" si="2"/>
        <v>0.09090909091</v>
      </c>
    </row>
    <row r="108">
      <c r="A108" s="32">
        <f t="shared" si="3"/>
        <v>44914</v>
      </c>
      <c r="B108" s="28">
        <f t="shared" si="1"/>
        <v>44920</v>
      </c>
      <c r="C108" s="29">
        <f>SUMIFS('ALL Tube Results'!$G$2:$G199, 'ALL Tube Results'!$C$2:$C199, "&gt;="&amp;A108, 'ALL Tube Results'!$C$2:$C199, "&lt;="&amp;B108)
</f>
        <v>10</v>
      </c>
      <c r="D108" s="30">
        <f>COUNTIFS('ALL Tube Results'!$C108:$C199, "&gt;="&amp;A108, 'ALL Tube Results'!$C108:$C199, "&lt;="&amp;B108)</f>
        <v>6</v>
      </c>
      <c r="E108" s="30">
        <f>COUNTIFS('ALL Tube Results'!$C108:$C199, "&gt;="&amp;A108, 'ALL Tube Results'!$C108:$C199, "&lt;="&amp;B108, 'ALL Tube Results'!$F108:$F199, "Positive")</f>
        <v>0</v>
      </c>
      <c r="F108" s="30">
        <f>COUNTIFS('ALL Tube Results'!$C108:$C199, "&gt;="&amp;A108, 'ALL Tube Results'!$C108:$C199, "&lt;="&amp;B108, 'ALL Tube Results'!$F108:$F199, "Inconclusive")</f>
        <v>0</v>
      </c>
      <c r="G108" s="31">
        <f t="shared" si="2"/>
        <v>0</v>
      </c>
    </row>
    <row r="109">
      <c r="A109" s="32">
        <f t="shared" si="3"/>
        <v>44921</v>
      </c>
      <c r="B109" s="28">
        <f t="shared" si="1"/>
        <v>44927</v>
      </c>
      <c r="C109" s="29">
        <f>SUMIFS('ALL Tube Results'!$G$2:$G199, 'ALL Tube Results'!$C$2:$C199, "&gt;="&amp;A109, 'ALL Tube Results'!$C$2:$C199, "&lt;="&amp;B109)
</f>
        <v>6</v>
      </c>
      <c r="D109" s="30">
        <f>COUNTIFS('ALL Tube Results'!$C109:$C199, "&gt;="&amp;A109, 'ALL Tube Results'!$C109:$C199, "&lt;="&amp;B109)</f>
        <v>3</v>
      </c>
      <c r="E109" s="30">
        <f>COUNTIFS('ALL Tube Results'!$C109:$C199, "&gt;="&amp;A109, 'ALL Tube Results'!$C109:$C199, "&lt;="&amp;B109, 'ALL Tube Results'!$F109:$F199, "Positive")</f>
        <v>0</v>
      </c>
      <c r="F109" s="30">
        <f>COUNTIFS('ALL Tube Results'!$C109:$C199, "&gt;="&amp;A109, 'ALL Tube Results'!$C109:$C199, "&lt;="&amp;B109, 'ALL Tube Results'!$F109:$F199, "Inconclusive")</f>
        <v>0</v>
      </c>
      <c r="G109" s="31">
        <f t="shared" si="2"/>
        <v>0</v>
      </c>
    </row>
    <row r="110">
      <c r="A110" s="32">
        <f t="shared" si="3"/>
        <v>44928</v>
      </c>
      <c r="B110" s="28">
        <f t="shared" si="1"/>
        <v>44934</v>
      </c>
      <c r="C110" s="29">
        <f>SUMIFS('ALL Tube Results'!$G$2:$G199, 'ALL Tube Results'!$C$2:$C199, "&gt;="&amp;A110, 'ALL Tube Results'!$C$2:$C199, "&lt;="&amp;B110)
</f>
        <v>7</v>
      </c>
      <c r="D110" s="30">
        <f>COUNTIFS('ALL Tube Results'!$C110:$C199, "&gt;="&amp;A110, 'ALL Tube Results'!$C110:$C199, "&lt;="&amp;B110)</f>
        <v>3</v>
      </c>
      <c r="E110" s="30">
        <f>COUNTIFS('ALL Tube Results'!$C110:$C199, "&gt;="&amp;A110, 'ALL Tube Results'!$C110:$C199, "&lt;="&amp;B110, 'ALL Tube Results'!$F110:$F199, "Positive")</f>
        <v>0</v>
      </c>
      <c r="F110" s="30">
        <f>COUNTIFS('ALL Tube Results'!$C110:$C199, "&gt;="&amp;A110, 'ALL Tube Results'!$C110:$C199, "&lt;="&amp;B110, 'ALL Tube Results'!$F110:$F199, "Inconclusive")</f>
        <v>0</v>
      </c>
      <c r="G110" s="31">
        <f t="shared" si="2"/>
        <v>0</v>
      </c>
    </row>
    <row r="111">
      <c r="A111" s="14"/>
      <c r="B111" s="14"/>
      <c r="G111" s="20"/>
    </row>
    <row r="112">
      <c r="A112" s="14"/>
      <c r="B112" s="14"/>
      <c r="G112" s="20"/>
    </row>
    <row r="113">
      <c r="A113" s="14"/>
      <c r="B113" s="14"/>
      <c r="G113" s="20"/>
    </row>
    <row r="114">
      <c r="A114" s="14"/>
      <c r="B114" s="14"/>
      <c r="G114" s="20"/>
    </row>
    <row r="115">
      <c r="A115" s="14"/>
      <c r="B115" s="14"/>
      <c r="G115" s="20"/>
    </row>
    <row r="116">
      <c r="A116" s="14"/>
      <c r="B116" s="14"/>
      <c r="G116" s="20"/>
    </row>
    <row r="117">
      <c r="A117" s="14"/>
      <c r="B117" s="14"/>
      <c r="G117" s="20"/>
    </row>
    <row r="118">
      <c r="A118" s="14"/>
      <c r="B118" s="14"/>
      <c r="G118" s="20"/>
    </row>
    <row r="119">
      <c r="A119" s="14"/>
      <c r="B119" s="14"/>
      <c r="G119" s="20"/>
    </row>
    <row r="120">
      <c r="A120" s="14"/>
      <c r="B120" s="1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1.38"/>
    <col customWidth="1" min="4" max="4" width="9.88"/>
    <col customWidth="1" min="5" max="5" width="9.5"/>
  </cols>
  <sheetData>
    <row r="1">
      <c r="A1" s="7" t="s">
        <v>5</v>
      </c>
      <c r="B1" s="7" t="s">
        <v>6</v>
      </c>
      <c r="C1" s="26" t="str">
        <f>CONCATENATE("Weekly Participants ",SUM(C2:C114))</f>
        <v>Weekly Participants 2338</v>
      </c>
      <c r="D1" s="7" t="str">
        <f>CONCATENATE("Weekly Tubes Run ",SUM(D2:D114))</f>
        <v>Weekly Tubes Run 1016</v>
      </c>
      <c r="E1" s="7" t="str">
        <f>CONCATENATE("Weekly Positive Tubes ",SUM(E2:E114))</f>
        <v>Weekly Positive Tubes 32</v>
      </c>
      <c r="F1" s="7" t="str">
        <f>CONCATENATE("Weekly Inconclusive Tubes ",SUM(F2:F114))</f>
        <v>Weekly Inconclusive Tubes 4</v>
      </c>
      <c r="G1" s="7" t="s">
        <v>7</v>
      </c>
      <c r="H1" s="9"/>
      <c r="I1" s="9"/>
      <c r="J1" s="9"/>
      <c r="K1" s="9"/>
      <c r="L1" s="9"/>
      <c r="M1" s="9"/>
      <c r="N1" s="9"/>
      <c r="O1" s="9"/>
      <c r="P1" s="9"/>
      <c r="Q1" s="9"/>
      <c r="R1" s="9"/>
      <c r="S1" s="9"/>
      <c r="T1" s="9"/>
      <c r="U1" s="9"/>
      <c r="V1" s="9"/>
      <c r="W1" s="9"/>
      <c r="X1" s="9"/>
      <c r="Y1" s="9"/>
      <c r="Z1" s="9"/>
      <c r="AA1" s="9"/>
    </row>
    <row r="2">
      <c r="A2" s="14">
        <v>44550.0</v>
      </c>
      <c r="B2" s="14">
        <v>44556.0</v>
      </c>
      <c r="C2" s="29">
        <f>SUMIFS('ALL Tube Results'!$G$2:$G114, 'ALL Tube Results'!$C$2:$C114, "&gt;="&amp;A2, 'ALL Tube Results'!$C$2:$C114, "&lt;="&amp;B2, 'ALL Tube Results'!$H$2:$H114, "CRLN")
</f>
        <v>4</v>
      </c>
      <c r="D2" s="30">
        <f>COUNTIFS('ALL Tube Results'!$C$2:$C114, "&gt;="&amp;A2, 'ALL Tube Results'!$C$2:$C114, "&lt;="&amp;B2, 'ALL Tube Results'!$H$2:$H114, "CRLN")
</f>
        <v>1</v>
      </c>
      <c r="E2" s="30">
        <f>COUNTIFS('ALL Tube Results'!$C$2:$C114, "&gt;="&amp;A2, 'ALL Tube Results'!$C$2:$C114, "&lt;="&amp;B2, 'ALL Tube Results'!$F$2:$F114, "Positive", 'ALL Tube Results'!$H$2:$H114, "CRLN") </f>
        <v>0</v>
      </c>
      <c r="F2" s="30">
        <f>COUNTIFS('ALL Tube Results'!$C$2:$C114, "&gt;="&amp;A2, 'ALL Tube Results'!$C$2:$C114, "&lt;="&amp;B2, 'ALL Tube Results'!$F$2:$F114, "Inconclusive", 'ALL Tube Results'!$H$2:$H114, "CRLN")
</f>
        <v>0</v>
      </c>
      <c r="G2" s="31">
        <f t="shared" ref="G2:G25" si="1">IFERROR(E2/D2,IFERROR(0/0,""))</f>
        <v>0</v>
      </c>
    </row>
    <row r="3">
      <c r="A3" s="14">
        <v>44557.0</v>
      </c>
      <c r="B3" s="14">
        <v>44563.0</v>
      </c>
      <c r="C3" s="29">
        <f>SUMIFS('ALL Tube Results'!$G$2:$G114, 'ALL Tube Results'!$C$2:$C114, "&gt;="&amp;A3, 'ALL Tube Results'!$C$2:$C114, "&lt;="&amp;B3, 'ALL Tube Results'!$H$2:$H114, "CRLN")
</f>
        <v>34</v>
      </c>
      <c r="D3" s="30">
        <f>COUNTIFS('ALL Tube Results'!$C$2:$C114, "&gt;="&amp;A3, 'ALL Tube Results'!$C$2:$C114, "&lt;="&amp;B3, 'ALL Tube Results'!$H$2:$H114, "CRLN")
</f>
        <v>12</v>
      </c>
      <c r="E3" s="30">
        <f>COUNTIFS('ALL Tube Results'!$C$2:$C114, "&gt;="&amp;A3, 'ALL Tube Results'!$C$2:$C114, "&lt;="&amp;B3, 'ALL Tube Results'!$F$2:$F114, "Positive", 'ALL Tube Results'!$H$2:$H114, "CRLN") </f>
        <v>2</v>
      </c>
      <c r="F3" s="30">
        <f>COUNTIFS('ALL Tube Results'!$C$2:$C114, "&gt;="&amp;A3, 'ALL Tube Results'!$C$2:$C114, "&lt;="&amp;B3, 'ALL Tube Results'!$F$2:$F114, "Inconclusive", 'ALL Tube Results'!$H$2:$H114, "CRLN")
</f>
        <v>0</v>
      </c>
      <c r="G3" s="31">
        <f t="shared" si="1"/>
        <v>0.1666666667</v>
      </c>
    </row>
    <row r="4">
      <c r="A4" s="14">
        <v>44564.0</v>
      </c>
      <c r="B4" s="14">
        <v>44570.0</v>
      </c>
      <c r="C4" s="29">
        <f>SUMIFS('ALL Tube Results'!$G$2:$G114, 'ALL Tube Results'!$C$2:$C114, "&gt;="&amp;A4, 'ALL Tube Results'!$C$2:$C114, "&lt;="&amp;B4, 'ALL Tube Results'!$H$2:$H114, "CRLN")
</f>
        <v>85</v>
      </c>
      <c r="D4" s="30">
        <f>COUNTIFS('ALL Tube Results'!$C$2:$C114, "&gt;="&amp;A4, 'ALL Tube Results'!$C$2:$C114, "&lt;="&amp;B4, 'ALL Tube Results'!$H$2:$H114, "CRLN")
</f>
        <v>37</v>
      </c>
      <c r="E4" s="30">
        <f>COUNTIFS('ALL Tube Results'!$C$2:$C114, "&gt;="&amp;A4, 'ALL Tube Results'!$C$2:$C114, "&lt;="&amp;B4, 'ALL Tube Results'!$F$2:$F114, "Positive", 'ALL Tube Results'!$H$2:$H114, "CRLN") </f>
        <v>6</v>
      </c>
      <c r="F4" s="30">
        <f>COUNTIFS('ALL Tube Results'!$C$2:$C114, "&gt;="&amp;A4, 'ALL Tube Results'!$C$2:$C114, "&lt;="&amp;B4, 'ALL Tube Results'!$F$2:$F114, "Inconclusive", 'ALL Tube Results'!$H$2:$H114, "CRLN")
</f>
        <v>0</v>
      </c>
      <c r="G4" s="31">
        <f t="shared" si="1"/>
        <v>0.1621621622</v>
      </c>
    </row>
    <row r="5">
      <c r="A5" s="14">
        <v>44571.0</v>
      </c>
      <c r="B5" s="14">
        <v>44577.0</v>
      </c>
      <c r="C5" s="29">
        <f>SUMIFS('ALL Tube Results'!$G$2:$G114, 'ALL Tube Results'!$C$2:$C114, "&gt;="&amp;A5, 'ALL Tube Results'!$C$2:$C114, "&lt;="&amp;B5, 'ALL Tube Results'!$H$2:$H114, "CRLN")
</f>
        <v>173</v>
      </c>
      <c r="D5" s="30">
        <f>COUNTIFS('ALL Tube Results'!$C$2:$C114, "&gt;="&amp;A5, 'ALL Tube Results'!$C$2:$C114, "&lt;="&amp;B5, 'ALL Tube Results'!$H$2:$H114, "CRLN")
</f>
        <v>83</v>
      </c>
      <c r="E5" s="30">
        <f>COUNTIFS('ALL Tube Results'!$C$2:$C114, "&gt;="&amp;A5, 'ALL Tube Results'!$C$2:$C114, "&lt;="&amp;B5, 'ALL Tube Results'!$F$2:$F114, "Positive", 'ALL Tube Results'!$H$2:$H114, "CRLN") </f>
        <v>11</v>
      </c>
      <c r="F5" s="30">
        <f>COUNTIFS('ALL Tube Results'!$C$2:$C114, "&gt;="&amp;A5, 'ALL Tube Results'!$C$2:$C114, "&lt;="&amp;B5, 'ALL Tube Results'!$F$2:$F114, "Inconclusive", 'ALL Tube Results'!$H$2:$H114, "CRLN")
</f>
        <v>1</v>
      </c>
      <c r="G5" s="31">
        <f t="shared" si="1"/>
        <v>0.1325301205</v>
      </c>
    </row>
    <row r="6">
      <c r="A6" s="14">
        <v>44578.0</v>
      </c>
      <c r="B6" s="14">
        <v>44584.0</v>
      </c>
      <c r="C6" s="29">
        <f>SUMIFS('ALL Tube Results'!$G$2:$G114, 'ALL Tube Results'!$C$2:$C114, "&gt;="&amp;A6, 'ALL Tube Results'!$C$2:$C114, "&lt;="&amp;B6, 'ALL Tube Results'!$H$2:$H114, "CRLN")
</f>
        <v>162</v>
      </c>
      <c r="D6" s="30">
        <f>COUNTIFS('ALL Tube Results'!$C$2:$C114, "&gt;="&amp;A6, 'ALL Tube Results'!$C$2:$C114, "&lt;="&amp;B6, 'ALL Tube Results'!$H$2:$H114, "CRLN")
</f>
        <v>71</v>
      </c>
      <c r="E6" s="30">
        <f>COUNTIFS('ALL Tube Results'!$C$2:$C114, "&gt;="&amp;A6, 'ALL Tube Results'!$C$2:$C114, "&lt;="&amp;B6, 'ALL Tube Results'!$F$2:$F114, "Positive", 'ALL Tube Results'!$H$2:$H114, "CRLN") </f>
        <v>5</v>
      </c>
      <c r="F6" s="30">
        <f>COUNTIFS('ALL Tube Results'!$C$2:$C114, "&gt;="&amp;A6, 'ALL Tube Results'!$C$2:$C114, "&lt;="&amp;B6, 'ALL Tube Results'!$F$2:$F114, "Inconclusive", 'ALL Tube Results'!$H$2:$H114, "CRLN")
</f>
        <v>0</v>
      </c>
      <c r="G6" s="31">
        <f t="shared" si="1"/>
        <v>0.07042253521</v>
      </c>
    </row>
    <row r="7">
      <c r="A7" s="14">
        <v>44585.0</v>
      </c>
      <c r="B7" s="14">
        <v>44591.0</v>
      </c>
      <c r="C7" s="29">
        <f>SUMIFS('ALL Tube Results'!$G$2:$G114, 'ALL Tube Results'!$C$2:$C114, "&gt;="&amp;A7, 'ALL Tube Results'!$C$2:$C114, "&lt;="&amp;B7, 'ALL Tube Results'!$H$2:$H114, "CRLN")
</f>
        <v>150</v>
      </c>
      <c r="D7" s="30">
        <f>COUNTIFS('ALL Tube Results'!$C$2:$C114, "&gt;="&amp;A7, 'ALL Tube Results'!$C$2:$C114, "&lt;="&amp;B7, 'ALL Tube Results'!$H$2:$H114, "CRLN")
</f>
        <v>62</v>
      </c>
      <c r="E7" s="30">
        <f>COUNTIFS('ALL Tube Results'!$C$2:$C114, "&gt;="&amp;A7, 'ALL Tube Results'!$C$2:$C114, "&lt;="&amp;B7, 'ALL Tube Results'!$F$2:$F114, "Positive", 'ALL Tube Results'!$H$2:$H114, "CRLN") </f>
        <v>0</v>
      </c>
      <c r="F7" s="30">
        <f>COUNTIFS('ALL Tube Results'!$C$2:$C114, "&gt;="&amp;A7, 'ALL Tube Results'!$C$2:$C114, "&lt;="&amp;B7, 'ALL Tube Results'!$F$2:$F114, "Inconclusive", 'ALL Tube Results'!$H$2:$H114, "CRLN")
</f>
        <v>0</v>
      </c>
      <c r="G7" s="31">
        <f t="shared" si="1"/>
        <v>0</v>
      </c>
    </row>
    <row r="8">
      <c r="A8" s="14">
        <v>44592.0</v>
      </c>
      <c r="B8" s="14">
        <v>44598.0</v>
      </c>
      <c r="C8" s="29">
        <f>SUMIFS('ALL Tube Results'!$G$2:$G114, 'ALL Tube Results'!$C$2:$C114, "&gt;="&amp;A8, 'ALL Tube Results'!$C$2:$C114, "&lt;="&amp;B8, 'ALL Tube Results'!$H$2:$H114, "CRLN")
</f>
        <v>143</v>
      </c>
      <c r="D8" s="30">
        <f>COUNTIFS('ALL Tube Results'!$C$2:$C114, "&gt;="&amp;A8, 'ALL Tube Results'!$C$2:$C114, "&lt;="&amp;B8, 'ALL Tube Results'!$H$2:$H114, "CRLN")
</f>
        <v>58</v>
      </c>
      <c r="E8" s="30">
        <f>COUNTIFS('ALL Tube Results'!$C$2:$C114, "&gt;="&amp;A8, 'ALL Tube Results'!$C$2:$C114, "&lt;="&amp;B8, 'ALL Tube Results'!$F$2:$F114, "Positive", 'ALL Tube Results'!$H$2:$H114, "CRLN") </f>
        <v>0</v>
      </c>
      <c r="F8" s="30">
        <f>COUNTIFS('ALL Tube Results'!$C$2:$C114, "&gt;="&amp;A8, 'ALL Tube Results'!$C$2:$C114, "&lt;="&amp;B8, 'ALL Tube Results'!$F$2:$F114, "Inconclusive", 'ALL Tube Results'!$H$2:$H114, "CRLN")
</f>
        <v>0</v>
      </c>
      <c r="G8" s="31">
        <f t="shared" si="1"/>
        <v>0</v>
      </c>
    </row>
    <row r="9">
      <c r="A9" s="14">
        <v>44599.0</v>
      </c>
      <c r="B9" s="14">
        <v>44605.0</v>
      </c>
      <c r="C9" s="29">
        <f>SUMIFS('ALL Tube Results'!$G$2:$G114, 'ALL Tube Results'!$C$2:$C114, "&gt;="&amp;A9, 'ALL Tube Results'!$C$2:$C114, "&lt;="&amp;B9, 'ALL Tube Results'!$H$2:$H114, "CRLN")
</f>
        <v>148</v>
      </c>
      <c r="D9" s="30">
        <f>COUNTIFS('ALL Tube Results'!$C$2:$C114, "&gt;="&amp;A9, 'ALL Tube Results'!$C$2:$C114, "&lt;="&amp;B9, 'ALL Tube Results'!$H$2:$H114, "CRLN")
</f>
        <v>60</v>
      </c>
      <c r="E9" s="30">
        <f>COUNTIFS('ALL Tube Results'!$C$2:$C114, "&gt;="&amp;A9, 'ALL Tube Results'!$C$2:$C114, "&lt;="&amp;B9, 'ALL Tube Results'!$F$2:$F114, "Positive", 'ALL Tube Results'!$H$2:$H114, "CRLN") </f>
        <v>0</v>
      </c>
      <c r="F9" s="30">
        <f>COUNTIFS('ALL Tube Results'!$C$2:$C114, "&gt;="&amp;A9, 'ALL Tube Results'!$C$2:$C114, "&lt;="&amp;B9, 'ALL Tube Results'!$F$2:$F114, "Inconclusive", 'ALL Tube Results'!$H$2:$H114, "CRLN")
</f>
        <v>0</v>
      </c>
      <c r="G9" s="31">
        <f t="shared" si="1"/>
        <v>0</v>
      </c>
    </row>
    <row r="10">
      <c r="A10" s="14">
        <v>44606.0</v>
      </c>
      <c r="B10" s="14">
        <v>44612.0</v>
      </c>
      <c r="C10" s="29">
        <f>SUMIFS('ALL Tube Results'!$G$2:$G114, 'ALL Tube Results'!$C$2:$C114, "&gt;="&amp;A10, 'ALL Tube Results'!$C$2:$C114, "&lt;="&amp;B10, 'ALL Tube Results'!$H$2:$H114, "CRLN")
</f>
        <v>128</v>
      </c>
      <c r="D10" s="30">
        <f>COUNTIFS('ALL Tube Results'!$C$2:$C114, "&gt;="&amp;A10, 'ALL Tube Results'!$C$2:$C114, "&lt;="&amp;B10, 'ALL Tube Results'!$H$2:$H114, "CRLN")
</f>
        <v>54</v>
      </c>
      <c r="E10" s="30">
        <f>COUNTIFS('ALL Tube Results'!$C$2:$C114, "&gt;="&amp;A10, 'ALL Tube Results'!$C$2:$C114, "&lt;="&amp;B10, 'ALL Tube Results'!$F$2:$F114, "Positive", 'ALL Tube Results'!$H$2:$H114, "CRLN") </f>
        <v>0</v>
      </c>
      <c r="F10" s="30">
        <f>COUNTIFS('ALL Tube Results'!$C$2:$C114, "&gt;="&amp;A10, 'ALL Tube Results'!$C$2:$C114, "&lt;="&amp;B10, 'ALL Tube Results'!$F$2:$F114, "Inconclusive", 'ALL Tube Results'!$H$2:$H114, "CRLN")
</f>
        <v>1</v>
      </c>
      <c r="G10" s="31">
        <f t="shared" si="1"/>
        <v>0</v>
      </c>
    </row>
    <row r="11">
      <c r="A11" s="14">
        <v>44613.0</v>
      </c>
      <c r="B11" s="14">
        <v>44619.0</v>
      </c>
      <c r="C11" s="29">
        <f>SUMIFS('ALL Tube Results'!$G$2:$G114, 'ALL Tube Results'!$C$2:$C114, "&gt;="&amp;A11, 'ALL Tube Results'!$C$2:$C114, "&lt;="&amp;B11, 'ALL Tube Results'!$H$2:$H114, "CRLN")
</f>
        <v>55</v>
      </c>
      <c r="D11" s="30">
        <f>COUNTIFS('ALL Tube Results'!$C$2:$C114, "&gt;="&amp;A11, 'ALL Tube Results'!$C$2:$C114, "&lt;="&amp;B11, 'ALL Tube Results'!$H$2:$H114, "CRLN")
</f>
        <v>21</v>
      </c>
      <c r="E11" s="30">
        <f>COUNTIFS('ALL Tube Results'!$C$2:$C114, "&gt;="&amp;A11, 'ALL Tube Results'!$C$2:$C114, "&lt;="&amp;B11, 'ALL Tube Results'!$F$2:$F114, "Positive", 'ALL Tube Results'!$H$2:$H114, "CRLN") </f>
        <v>0</v>
      </c>
      <c r="F11" s="30">
        <f>COUNTIFS('ALL Tube Results'!$C$2:$C114, "&gt;="&amp;A11, 'ALL Tube Results'!$C$2:$C114, "&lt;="&amp;B11, 'ALL Tube Results'!$F$2:$F114, "Inconclusive", 'ALL Tube Results'!$H$2:$H114, "CRLN")
</f>
        <v>0</v>
      </c>
      <c r="G11" s="31">
        <f t="shared" si="1"/>
        <v>0</v>
      </c>
    </row>
    <row r="12">
      <c r="A12" s="14">
        <v>44620.0</v>
      </c>
      <c r="B12" s="14">
        <v>44626.0</v>
      </c>
      <c r="C12" s="29">
        <f>SUMIFS('ALL Tube Results'!$G$2:$G114, 'ALL Tube Results'!$C$2:$C114, "&gt;="&amp;A12, 'ALL Tube Results'!$C$2:$C114, "&lt;="&amp;B12, 'ALL Tube Results'!$H$2:$H114, "CRLN")
</f>
        <v>51</v>
      </c>
      <c r="D12" s="30">
        <f>COUNTIFS('ALL Tube Results'!$C$2:$C114, "&gt;="&amp;A12, 'ALL Tube Results'!$C$2:$C114, "&lt;="&amp;B12, 'ALL Tube Results'!$H$2:$H114, "CRLN")
</f>
        <v>25</v>
      </c>
      <c r="E12" s="30">
        <f>COUNTIFS('ALL Tube Results'!$C$2:$C114, "&gt;="&amp;A12, 'ALL Tube Results'!$C$2:$C114, "&lt;="&amp;B12, 'ALL Tube Results'!$F$2:$F114, "Positive", 'ALL Tube Results'!$H$2:$H114, "CRLN") </f>
        <v>0</v>
      </c>
      <c r="F12" s="30">
        <f>COUNTIFS('ALL Tube Results'!$C$2:$C114, "&gt;="&amp;A12, 'ALL Tube Results'!$C$2:$C114, "&lt;="&amp;B12, 'ALL Tube Results'!$F$2:$F114, "Inconclusive", 'ALL Tube Results'!$H$2:$H114, "CRLN")
</f>
        <v>0</v>
      </c>
      <c r="G12" s="31">
        <f t="shared" si="1"/>
        <v>0</v>
      </c>
    </row>
    <row r="13">
      <c r="A13" s="14">
        <v>44627.0</v>
      </c>
      <c r="B13" s="14">
        <v>44633.0</v>
      </c>
      <c r="C13" s="29">
        <f>SUMIFS('ALL Tube Results'!$G$2:$G114, 'ALL Tube Results'!$C$2:$C114, "&gt;="&amp;A13, 'ALL Tube Results'!$C$2:$C114, "&lt;="&amp;B13, 'ALL Tube Results'!$H$2:$H114, "CRLN")
</f>
        <v>113</v>
      </c>
      <c r="D13" s="30">
        <f>COUNTIFS('ALL Tube Results'!$C$2:$C114, "&gt;="&amp;A13, 'ALL Tube Results'!$C$2:$C114, "&lt;="&amp;B13, 'ALL Tube Results'!$H$2:$H114, "CRLN")
</f>
        <v>52</v>
      </c>
      <c r="E13" s="30">
        <f>COUNTIFS('ALL Tube Results'!$C$2:$C114, "&gt;="&amp;A13, 'ALL Tube Results'!$C$2:$C114, "&lt;="&amp;B13, 'ALL Tube Results'!$F$2:$F114, "Positive", 'ALL Tube Results'!$H$2:$H114, "CRLN") </f>
        <v>0</v>
      </c>
      <c r="F13" s="30">
        <f>COUNTIFS('ALL Tube Results'!$C$2:$C114, "&gt;="&amp;A13, 'ALL Tube Results'!$C$2:$C114, "&lt;="&amp;B13, 'ALL Tube Results'!$F$2:$F114, "Inconclusive", 'ALL Tube Results'!$H$2:$H114, "CRLN")
</f>
        <v>0</v>
      </c>
      <c r="G13" s="31">
        <f t="shared" si="1"/>
        <v>0</v>
      </c>
    </row>
    <row r="14">
      <c r="A14" s="14">
        <v>44634.0</v>
      </c>
      <c r="B14" s="14">
        <v>44640.0</v>
      </c>
      <c r="C14" s="29">
        <f>SUMIFS('ALL Tube Results'!$G$2:$G114, 'ALL Tube Results'!$C$2:$C114, "&gt;="&amp;A14, 'ALL Tube Results'!$C$2:$C114, "&lt;="&amp;B14, 'ALL Tube Results'!$H$2:$H114, "CRLN")
</f>
        <v>91</v>
      </c>
      <c r="D14" s="30">
        <f>COUNTIFS('ALL Tube Results'!$C$2:$C114, "&gt;="&amp;A14, 'ALL Tube Results'!$C$2:$C114, "&lt;="&amp;B14, 'ALL Tube Results'!$H$2:$H114, "CRLN")
</f>
        <v>42</v>
      </c>
      <c r="E14" s="30">
        <f>COUNTIFS('ALL Tube Results'!$C$2:$C114, "&gt;="&amp;A14, 'ALL Tube Results'!$C$2:$C114, "&lt;="&amp;B14, 'ALL Tube Results'!$F$2:$F114, "Positive", 'ALL Tube Results'!$H$2:$H114, "CRLN") </f>
        <v>0</v>
      </c>
      <c r="F14" s="30">
        <f>COUNTIFS('ALL Tube Results'!$C$2:$C114, "&gt;="&amp;A14, 'ALL Tube Results'!$C$2:$C114, "&lt;="&amp;B14, 'ALL Tube Results'!$F$2:$F114, "Inconclusive", 'ALL Tube Results'!$H$2:$H114, "CRLN")
</f>
        <v>0</v>
      </c>
      <c r="G14" s="31">
        <f t="shared" si="1"/>
        <v>0</v>
      </c>
    </row>
    <row r="15">
      <c r="A15" s="14">
        <v>44641.0</v>
      </c>
      <c r="B15" s="14">
        <v>44647.0</v>
      </c>
      <c r="C15" s="29">
        <f>SUMIFS('ALL Tube Results'!$G$2:$G114, 'ALL Tube Results'!$C$2:$C114, "&gt;="&amp;A15, 'ALL Tube Results'!$C$2:$C114, "&lt;="&amp;B15, 'ALL Tube Results'!$H$2:$H114, "CRLN")
</f>
        <v>110</v>
      </c>
      <c r="D15" s="30">
        <f>COUNTIFS('ALL Tube Results'!$C$2:$C114, "&gt;="&amp;A15, 'ALL Tube Results'!$C$2:$C114, "&lt;="&amp;B15, 'ALL Tube Results'!$H$2:$H114, "CRLN")
</f>
        <v>44</v>
      </c>
      <c r="E15" s="30">
        <f>COUNTIFS('ALL Tube Results'!$C$2:$C114, "&gt;="&amp;A15, 'ALL Tube Results'!$C$2:$C114, "&lt;="&amp;B15, 'ALL Tube Results'!$F$2:$F114, "Positive", 'ALL Tube Results'!$H$2:$H114, "CRLN") </f>
        <v>0</v>
      </c>
      <c r="F15" s="30">
        <f>COUNTIFS('ALL Tube Results'!$C$2:$C114, "&gt;="&amp;A15, 'ALL Tube Results'!$C$2:$C114, "&lt;="&amp;B15, 'ALL Tube Results'!$F$2:$F114, "Inconclusive", 'ALL Tube Results'!$H$2:$H114, "CRLN")
</f>
        <v>0</v>
      </c>
      <c r="G15" s="31">
        <f t="shared" si="1"/>
        <v>0</v>
      </c>
    </row>
    <row r="16">
      <c r="A16" s="14">
        <v>44648.0</v>
      </c>
      <c r="B16" s="14">
        <v>44654.0</v>
      </c>
      <c r="C16" s="29">
        <f>SUMIFS('ALL Tube Results'!$G$2:$G114, 'ALL Tube Results'!$C$2:$C114, "&gt;="&amp;A16, 'ALL Tube Results'!$C$2:$C114, "&lt;="&amp;B16, 'ALL Tube Results'!$H$2:$H114, "CRLN")
</f>
        <v>22</v>
      </c>
      <c r="D16" s="30">
        <f>COUNTIFS('ALL Tube Results'!$C$2:$C114, "&gt;="&amp;A16, 'ALL Tube Results'!$C$2:$C114, "&lt;="&amp;B16, 'ALL Tube Results'!$H$2:$H114, "CRLN")
</f>
        <v>9</v>
      </c>
      <c r="E16" s="30">
        <f>COUNTIFS('ALL Tube Results'!$C$2:$C114, "&gt;="&amp;A16, 'ALL Tube Results'!$C$2:$C114, "&lt;="&amp;B16, 'ALL Tube Results'!$F$2:$F114, "Positive", 'ALL Tube Results'!$H$2:$H114, "CRLN") </f>
        <v>0</v>
      </c>
      <c r="F16" s="30">
        <f>COUNTIFS('ALL Tube Results'!$C$2:$C114, "&gt;="&amp;A16, 'ALL Tube Results'!$C$2:$C114, "&lt;="&amp;B16, 'ALL Tube Results'!$F$2:$F114, "Inconclusive", 'ALL Tube Results'!$H$2:$H114, "CRLN")
</f>
        <v>0</v>
      </c>
      <c r="G16" s="31">
        <f t="shared" si="1"/>
        <v>0</v>
      </c>
    </row>
    <row r="17">
      <c r="A17" s="14">
        <v>44655.0</v>
      </c>
      <c r="B17" s="14">
        <v>44661.0</v>
      </c>
      <c r="C17" s="29">
        <f>SUMIFS('ALL Tube Results'!$G$2:$G114, 'ALL Tube Results'!$C$2:$C114, "&gt;="&amp;A17, 'ALL Tube Results'!$C$2:$C114, "&lt;="&amp;B17, 'ALL Tube Results'!$H$2:$H114, "CRLN")
</f>
        <v>110</v>
      </c>
      <c r="D17" s="30">
        <f>COUNTIFS('ALL Tube Results'!$C$2:$C114, "&gt;="&amp;A17, 'ALL Tube Results'!$C$2:$C114, "&lt;="&amp;B17, 'ALL Tube Results'!$H$2:$H114, "CRLN")
</f>
        <v>43</v>
      </c>
      <c r="E17" s="30">
        <f>COUNTIFS('ALL Tube Results'!$C$2:$C114, "&gt;="&amp;A17, 'ALL Tube Results'!$C$2:$C114, "&lt;="&amp;B17, 'ALL Tube Results'!$F$2:$F114, "Positive", 'ALL Tube Results'!$H$2:$H114, "CRLN") </f>
        <v>0</v>
      </c>
      <c r="F17" s="30">
        <f>COUNTIFS('ALL Tube Results'!$C$2:$C114, "&gt;="&amp;A17, 'ALL Tube Results'!$C$2:$C114, "&lt;="&amp;B17, 'ALL Tube Results'!$F$2:$F114, "Inconclusive", 'ALL Tube Results'!$H$2:$H114, "CRLN")
</f>
        <v>0</v>
      </c>
      <c r="G17" s="31">
        <f t="shared" si="1"/>
        <v>0</v>
      </c>
    </row>
    <row r="18">
      <c r="A18" s="14">
        <v>44662.0</v>
      </c>
      <c r="B18" s="14">
        <v>44668.0</v>
      </c>
      <c r="C18" s="29">
        <f>SUMIFS('ALL Tube Results'!$G$2:$G114, 'ALL Tube Results'!$C$2:$C114, "&gt;="&amp;A18, 'ALL Tube Results'!$C$2:$C114, "&lt;="&amp;B18, 'ALL Tube Results'!$H$2:$H114, "CRLN")
</f>
        <v>100</v>
      </c>
      <c r="D18" s="30">
        <f>COUNTIFS('ALL Tube Results'!$C$2:$C114, "&gt;="&amp;A18, 'ALL Tube Results'!$C$2:$C114, "&lt;="&amp;B18, 'ALL Tube Results'!$H$2:$H114, "CRLN")
</f>
        <v>40</v>
      </c>
      <c r="E18" s="30">
        <f>COUNTIFS('ALL Tube Results'!$C$2:$C114, "&gt;="&amp;A18, 'ALL Tube Results'!$C$2:$C114, "&lt;="&amp;B18, 'ALL Tube Results'!$F$2:$F114, "Positive", 'ALL Tube Results'!$H$2:$H114, "CRLN") </f>
        <v>0</v>
      </c>
      <c r="F18" s="30">
        <f>COUNTIFS('ALL Tube Results'!$C$2:$C114, "&gt;="&amp;A18, 'ALL Tube Results'!$C$2:$C114, "&lt;="&amp;B18, 'ALL Tube Results'!$F$2:$F114, "Inconclusive", 'ALL Tube Results'!$H$2:$H114, "CRLN")
</f>
        <v>0</v>
      </c>
      <c r="G18" s="31">
        <f t="shared" si="1"/>
        <v>0</v>
      </c>
    </row>
    <row r="19">
      <c r="A19" s="14">
        <v>44669.0</v>
      </c>
      <c r="B19" s="14">
        <v>44675.0</v>
      </c>
      <c r="C19" s="29">
        <f>SUMIFS('ALL Tube Results'!$G$2:$G114, 'ALL Tube Results'!$C$2:$C114, "&gt;="&amp;A19, 'ALL Tube Results'!$C$2:$C114, "&lt;="&amp;B19, 'ALL Tube Results'!$H$2:$H114, "CRLN")
</f>
        <v>110</v>
      </c>
      <c r="D19" s="30">
        <f>COUNTIFS('ALL Tube Results'!$C$2:$C114, "&gt;="&amp;A19, 'ALL Tube Results'!$C$2:$C114, "&lt;="&amp;B19, 'ALL Tube Results'!$H$2:$H114, "CRLN")
</f>
        <v>47</v>
      </c>
      <c r="E19" s="30">
        <f>COUNTIFS('ALL Tube Results'!$C$2:$C114, "&gt;="&amp;A19, 'ALL Tube Results'!$C$2:$C114, "&lt;="&amp;B19, 'ALL Tube Results'!$F$2:$F114, "Positive", 'ALL Tube Results'!$H$2:$H114, "CRLN") </f>
        <v>0</v>
      </c>
      <c r="F19" s="30">
        <f>COUNTIFS('ALL Tube Results'!$C$2:$C114, "&gt;="&amp;A19, 'ALL Tube Results'!$C$2:$C114, "&lt;="&amp;B19, 'ALL Tube Results'!$F$2:$F114, "Inconclusive", 'ALL Tube Results'!$H$2:$H114, "CRLN")
</f>
        <v>0</v>
      </c>
      <c r="G19" s="31">
        <f t="shared" si="1"/>
        <v>0</v>
      </c>
    </row>
    <row r="20">
      <c r="A20" s="14">
        <v>44676.0</v>
      </c>
      <c r="B20" s="14">
        <v>44682.0</v>
      </c>
      <c r="C20" s="29">
        <f>SUMIFS('ALL Tube Results'!$G$2:$G114, 'ALL Tube Results'!$C$2:$C114, "&gt;="&amp;A20, 'ALL Tube Results'!$C$2:$C114, "&lt;="&amp;B20, 'ALL Tube Results'!$H$2:$H114, "CRLN")
</f>
        <v>107</v>
      </c>
      <c r="D20" s="30">
        <f>COUNTIFS('ALL Tube Results'!$C$2:$C114, "&gt;="&amp;A20, 'ALL Tube Results'!$C$2:$C114, "&lt;="&amp;B20, 'ALL Tube Results'!$H$2:$H114, "CRLN")
</f>
        <v>42</v>
      </c>
      <c r="E20" s="30">
        <f>COUNTIFS('ALL Tube Results'!$C$2:$C114, "&gt;="&amp;A20, 'ALL Tube Results'!$C$2:$C114, "&lt;="&amp;B20, 'ALL Tube Results'!$F$2:$F114, "Positive", 'ALL Tube Results'!$H$2:$H114, "CRLN") </f>
        <v>0</v>
      </c>
      <c r="F20" s="30">
        <f>COUNTIFS('ALL Tube Results'!$C$2:$C114, "&gt;="&amp;A20, 'ALL Tube Results'!$C$2:$C114, "&lt;="&amp;B20, 'ALL Tube Results'!$F$2:$F114, "Inconclusive", 'ALL Tube Results'!$H$2:$H114, "CRLN")
</f>
        <v>0</v>
      </c>
      <c r="G20" s="31">
        <f t="shared" si="1"/>
        <v>0</v>
      </c>
    </row>
    <row r="21">
      <c r="A21" s="14">
        <v>44683.0</v>
      </c>
      <c r="B21" s="14">
        <v>44689.0</v>
      </c>
      <c r="C21" s="29">
        <f>SUMIFS('ALL Tube Results'!$G$2:$G114, 'ALL Tube Results'!$C$2:$C114, "&gt;="&amp;A21, 'ALL Tube Results'!$C$2:$C114, "&lt;="&amp;B21, 'ALL Tube Results'!$H$2:$H114, "CRLN")
</f>
        <v>108</v>
      </c>
      <c r="D21" s="30">
        <f>COUNTIFS('ALL Tube Results'!$C$2:$C114, "&gt;="&amp;A21, 'ALL Tube Results'!$C$2:$C114, "&lt;="&amp;B21, 'ALL Tube Results'!$H$2:$H114, "CRLN")
</f>
        <v>47</v>
      </c>
      <c r="E21" s="30">
        <f>COUNTIFS('ALL Tube Results'!$C$2:$C114, "&gt;="&amp;A21, 'ALL Tube Results'!$C$2:$C114, "&lt;="&amp;B21, 'ALL Tube Results'!$F$2:$F114, "Positive", 'ALL Tube Results'!$H$2:$H114, "CRLN") </f>
        <v>2</v>
      </c>
      <c r="F21" s="30">
        <f>COUNTIFS('ALL Tube Results'!$C$2:$C114, "&gt;="&amp;A21, 'ALL Tube Results'!$C$2:$C114, "&lt;="&amp;B21, 'ALL Tube Results'!$F$2:$F114, "Inconclusive", 'ALL Tube Results'!$H$2:$H114, "CRLN")
</f>
        <v>0</v>
      </c>
      <c r="G21" s="31">
        <f t="shared" si="1"/>
        <v>0.04255319149</v>
      </c>
    </row>
    <row r="22">
      <c r="A22" s="14">
        <v>44690.0</v>
      </c>
      <c r="B22" s="14">
        <v>44696.0</v>
      </c>
      <c r="C22" s="29">
        <f>SUMIFS('ALL Tube Results'!$G$2:$G114, 'ALL Tube Results'!$C$2:$C114, "&gt;="&amp;A22, 'ALL Tube Results'!$C$2:$C114, "&lt;="&amp;B22, 'ALL Tube Results'!$H$2:$H114, "CRLN")
</f>
        <v>111</v>
      </c>
      <c r="D22" s="30">
        <f>COUNTIFS('ALL Tube Results'!$C$2:$C114, "&gt;="&amp;A22, 'ALL Tube Results'!$C$2:$C114, "&lt;="&amp;B22, 'ALL Tube Results'!$H$2:$H114, "CRLN")
</f>
        <v>62</v>
      </c>
      <c r="E22" s="30">
        <f>COUNTIFS('ALL Tube Results'!$C$2:$C114, "&gt;="&amp;A22, 'ALL Tube Results'!$C$2:$C114, "&lt;="&amp;B22, 'ALL Tube Results'!$F$2:$F114, "Positive", 'ALL Tube Results'!$H$2:$H114, "CRLN") </f>
        <v>4</v>
      </c>
      <c r="F22" s="30">
        <f>COUNTIFS('ALL Tube Results'!$C$2:$C114, "&gt;="&amp;A22, 'ALL Tube Results'!$C$2:$C114, "&lt;="&amp;B22, 'ALL Tube Results'!$F$2:$F114, "Inconclusive", 'ALL Tube Results'!$H$2:$H114, "CRLN")
</f>
        <v>2</v>
      </c>
      <c r="G22" s="31">
        <f t="shared" si="1"/>
        <v>0.06451612903</v>
      </c>
    </row>
    <row r="23">
      <c r="A23" s="14">
        <v>44697.0</v>
      </c>
      <c r="B23" s="14">
        <v>44703.0</v>
      </c>
      <c r="C23" s="29">
        <f>SUMIFS('ALL Tube Results'!$G$2:$G114, 'ALL Tube Results'!$C$2:$C114, "&gt;="&amp;A23, 'ALL Tube Results'!$C$2:$C114, "&lt;="&amp;B23, 'ALL Tube Results'!$H$2:$H114, "CRLN")
</f>
        <v>92</v>
      </c>
      <c r="D23" s="30">
        <f>COUNTIFS('ALL Tube Results'!$C$2:$C114, "&gt;="&amp;A23, 'ALL Tube Results'!$C$2:$C114, "&lt;="&amp;B23, 'ALL Tube Results'!$H$2:$H114, "CRLN")
</f>
        <v>44</v>
      </c>
      <c r="E23" s="30">
        <f>COUNTIFS('ALL Tube Results'!$C$2:$C114, "&gt;="&amp;A23, 'ALL Tube Results'!$C$2:$C114, "&lt;="&amp;B23, 'ALL Tube Results'!$F$2:$F114, "Positive", 'ALL Tube Results'!$H$2:$H114, "CRLN") </f>
        <v>1</v>
      </c>
      <c r="F23" s="30">
        <f>COUNTIFS('ALL Tube Results'!$C$2:$C114, "&gt;="&amp;A23, 'ALL Tube Results'!$C$2:$C114, "&lt;="&amp;B23, 'ALL Tube Results'!$F$2:$F114, "Inconclusive", 'ALL Tube Results'!$H$2:$H114, "CRLN")
</f>
        <v>0</v>
      </c>
      <c r="G23" s="31">
        <f t="shared" si="1"/>
        <v>0.02272727273</v>
      </c>
    </row>
    <row r="24">
      <c r="A24" s="14">
        <v>44704.0</v>
      </c>
      <c r="B24" s="14">
        <v>44710.0</v>
      </c>
      <c r="C24" s="29">
        <f>SUMIFS('ALL Tube Results'!$G$2:$G114, 'ALL Tube Results'!$C$2:$C114, "&gt;="&amp;A24, 'ALL Tube Results'!$C$2:$C114, "&lt;="&amp;B24, 'ALL Tube Results'!$H$2:$H114, "CRLN")
</f>
        <v>89</v>
      </c>
      <c r="D24" s="30">
        <f>COUNTIFS('ALL Tube Results'!$C$2:$C114, "&gt;="&amp;A24, 'ALL Tube Results'!$C$2:$C114, "&lt;="&amp;B24, 'ALL Tube Results'!$H$2:$H114, "CRLN")
</f>
        <v>41</v>
      </c>
      <c r="E24" s="30">
        <f>COUNTIFS('ALL Tube Results'!$C$2:$C114, "&gt;="&amp;A24, 'ALL Tube Results'!$C$2:$C114, "&lt;="&amp;B24, 'ALL Tube Results'!$F$2:$F114, "Positive", 'ALL Tube Results'!$H$2:$H114, "CRLN") </f>
        <v>1</v>
      </c>
      <c r="F24" s="30">
        <f>COUNTIFS('ALL Tube Results'!$C$2:$C114, "&gt;="&amp;A24, 'ALL Tube Results'!$C$2:$C114, "&lt;="&amp;B24, 'ALL Tube Results'!$F$2:$F114, "Inconclusive", 'ALL Tube Results'!$H$2:$H114, "CRLN")
</f>
        <v>0</v>
      </c>
      <c r="G24" s="31">
        <f t="shared" si="1"/>
        <v>0.0243902439</v>
      </c>
    </row>
    <row r="25">
      <c r="A25" s="14">
        <v>44711.0</v>
      </c>
      <c r="B25" s="14">
        <v>44717.0</v>
      </c>
      <c r="C25" s="29">
        <f>SUMIFS('ALL Tube Results'!$G$2:$G114, 'ALL Tube Results'!$C$2:$C114, "&gt;="&amp;A25, 'ALL Tube Results'!$C$2:$C114, "&lt;="&amp;B25, 'ALL Tube Results'!$H$2:$H114, "CRLN")
</f>
        <v>42</v>
      </c>
      <c r="D25" s="30">
        <f>COUNTIFS('ALL Tube Results'!$C$2:$C114, "&gt;="&amp;A25, 'ALL Tube Results'!$C$2:$C114, "&lt;="&amp;B25, 'ALL Tube Results'!$H$2:$H114, "CRLN")
</f>
        <v>19</v>
      </c>
      <c r="E25" s="30">
        <f>COUNTIFS('ALL Tube Results'!$C$2:$C114, "&gt;="&amp;A25, 'ALL Tube Results'!$C$2:$C114, "&lt;="&amp;B25, 'ALL Tube Results'!$F$2:$F114, "Positive", 'ALL Tube Results'!$H$2:$H114, "CRLN") </f>
        <v>0</v>
      </c>
      <c r="F25" s="30">
        <f>COUNTIFS('ALL Tube Results'!$C$2:$C114, "&gt;="&amp;A25, 'ALL Tube Results'!$C$2:$C114, "&lt;="&amp;B25, 'ALL Tube Results'!$F$2:$F114, "Inconclusive", 'ALL Tube Results'!$H$2:$H114, "CRLN")
</f>
        <v>0</v>
      </c>
      <c r="G25" s="31">
        <f t="shared" si="1"/>
        <v>0</v>
      </c>
    </row>
    <row r="26">
      <c r="A26" s="14"/>
      <c r="B26" s="14"/>
      <c r="G26" s="20"/>
    </row>
    <row r="27">
      <c r="A27" s="14"/>
      <c r="B27" s="14"/>
      <c r="G27" s="20"/>
    </row>
    <row r="28">
      <c r="A28" s="14"/>
      <c r="B28" s="14"/>
      <c r="G28" s="20"/>
    </row>
    <row r="29">
      <c r="A29" s="14"/>
      <c r="B29" s="14"/>
      <c r="G29" s="20"/>
    </row>
    <row r="30">
      <c r="A30" s="14"/>
      <c r="B30" s="14"/>
      <c r="G30" s="20"/>
    </row>
    <row r="31">
      <c r="A31" s="14"/>
      <c r="B31" s="14"/>
      <c r="G31" s="20"/>
    </row>
    <row r="32">
      <c r="A32" s="14"/>
      <c r="B32" s="14"/>
      <c r="G32" s="20"/>
    </row>
    <row r="33">
      <c r="A33" s="14"/>
      <c r="B33" s="14"/>
      <c r="G33" s="20"/>
    </row>
    <row r="34">
      <c r="A34" s="14"/>
      <c r="B34" s="14"/>
      <c r="G34" s="20"/>
    </row>
    <row r="35">
      <c r="A35" s="14"/>
      <c r="B35" s="1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1.38"/>
    <col customWidth="1" min="4" max="4" width="9.88"/>
    <col customWidth="1" min="5" max="5" width="9.5"/>
  </cols>
  <sheetData>
    <row r="1">
      <c r="A1" s="7" t="s">
        <v>5</v>
      </c>
      <c r="B1" s="7" t="s">
        <v>6</v>
      </c>
      <c r="C1" s="26" t="str">
        <f>CONCATENATE("Weekly Participants ",SUM(C2:C199))</f>
        <v>Weekly Participants 1061</v>
      </c>
      <c r="D1" s="7" t="str">
        <f>CONCATENATE("Weekly Tubes Run ",SUM(D2:D199))</f>
        <v>Weekly Tubes Run 524</v>
      </c>
      <c r="E1" s="7" t="str">
        <f>CONCATENATE("Weekly Positive Tubes ",SUM(E2:E199))</f>
        <v>Weekly Positive Tubes 25</v>
      </c>
      <c r="F1" s="7" t="str">
        <f>CONCATENATE("Weekly Inconclusive Tubes ",SUM(F2:F199))</f>
        <v>Weekly Inconclusive Tubes 0</v>
      </c>
      <c r="G1" s="7" t="s">
        <v>7</v>
      </c>
      <c r="H1" s="9"/>
      <c r="I1" s="9"/>
      <c r="J1" s="9"/>
      <c r="K1" s="9"/>
      <c r="L1" s="9"/>
      <c r="M1" s="9"/>
      <c r="N1" s="9"/>
      <c r="O1" s="9"/>
      <c r="P1" s="9"/>
      <c r="Q1" s="9"/>
      <c r="R1" s="9"/>
      <c r="S1" s="9"/>
      <c r="T1" s="9"/>
      <c r="U1" s="9"/>
      <c r="V1" s="9"/>
      <c r="W1" s="9"/>
      <c r="X1" s="9"/>
      <c r="Y1" s="9"/>
      <c r="Z1" s="9"/>
      <c r="AA1" s="9"/>
    </row>
    <row r="2">
      <c r="A2" s="14">
        <v>44172.0</v>
      </c>
      <c r="B2" s="14">
        <v>44178.0</v>
      </c>
      <c r="C2" s="29">
        <f>SUMIFS('ALL Tube Results'!$G$2:$G199, 'ALL Tube Results'!$C$2:$C199, "&gt;="&amp;A2, 'ALL Tube Results'!$C$2:$C199, "&lt;="&amp;B2, 'ALL Tube Results'!$H$2:$H199, "FLSP")</f>
        <v>6</v>
      </c>
      <c r="D2" s="30">
        <f>COUNTIFS('ALL Tube Results'!$C$2:$C199, "&gt;="&amp;A2, 'ALL Tube Results'!$C$2:$C199, "&lt;="&amp;B2, 'ALL Tube Results'!$H$2:$H199, "FLSP")
</f>
        <v>2</v>
      </c>
      <c r="E2" s="30">
        <f>COUNTIFS('ALL Tube Results'!$C$2:$C199, "&gt;="&amp;A2, 'ALL Tube Results'!$C$2:$C199, "&lt;="&amp;B2, 'ALL Tube Results'!$F$2:$F199, "Positive", 'ALL Tube Results'!$H$2:$H199, "FLSP") </f>
        <v>0</v>
      </c>
      <c r="F2" s="30">
        <f>COUNTIFS('ALL Tube Results'!$C$2:$C199, "&gt;="&amp;A2, 'ALL Tube Results'!$C$2:$C199, "&lt;="&amp;B2, 'ALL Tube Results'!$F$2:$F199, "Inconclusive", 'ALL Tube Results'!$H$2:$H199, "FLSP")
</f>
        <v>0</v>
      </c>
      <c r="G2" s="31">
        <f t="shared" ref="G2:G110" si="1">IFERROR(E2/D2,IFERROR(0/0,""))</f>
        <v>0</v>
      </c>
    </row>
    <row r="3">
      <c r="A3" s="14">
        <v>44179.0</v>
      </c>
      <c r="B3" s="14">
        <v>44185.0</v>
      </c>
      <c r="C3" s="29">
        <f>SUMIFS('ALL Tube Results'!$G$2:$G199, 'ALL Tube Results'!$C$2:$C199, "&gt;="&amp;A3, 'ALL Tube Results'!$C$2:$C199, "&lt;="&amp;B3, 'ALL Tube Results'!$H$2:$H199, "FLSP")</f>
        <v>3</v>
      </c>
      <c r="D3" s="30">
        <f>COUNTIFS('ALL Tube Results'!$C$2:$C199, "&gt;="&amp;A3, 'ALL Tube Results'!$C$2:$C199, "&lt;="&amp;B3, 'ALL Tube Results'!$H$2:$H199, "FLSP")
</f>
        <v>1</v>
      </c>
      <c r="E3" s="30">
        <f>COUNTIFS('ALL Tube Results'!$C$2:$C199, "&gt;="&amp;A3, 'ALL Tube Results'!$C$2:$C199, "&lt;="&amp;B3, 'ALL Tube Results'!$F$2:$F199, "Positive", 'ALL Tube Results'!$H$2:$H199, "FLSP") </f>
        <v>0</v>
      </c>
      <c r="F3" s="30">
        <f>COUNTIFS('ALL Tube Results'!$C$2:$C199, "&gt;="&amp;A3, 'ALL Tube Results'!$C$2:$C199, "&lt;="&amp;B3, 'ALL Tube Results'!$F$2:$F199, "Inconclusive", 'ALL Tube Results'!$H$2:$H199, "FLSP")
</f>
        <v>0</v>
      </c>
      <c r="G3" s="31">
        <f t="shared" si="1"/>
        <v>0</v>
      </c>
    </row>
    <row r="4">
      <c r="A4" s="14">
        <v>44186.0</v>
      </c>
      <c r="B4" s="14">
        <v>44192.0</v>
      </c>
      <c r="C4" s="29">
        <f>SUMIFS('ALL Tube Results'!$G$2:$G199, 'ALL Tube Results'!$C$2:$C199, "&gt;="&amp;A4, 'ALL Tube Results'!$C$2:$C199, "&lt;="&amp;B4, 'ALL Tube Results'!$H$2:$H199, "FLSP")</f>
        <v>2</v>
      </c>
      <c r="D4" s="30">
        <f>COUNTIFS('ALL Tube Results'!$C$2:$C199, "&gt;="&amp;A4, 'ALL Tube Results'!$C$2:$C199, "&lt;="&amp;B4, 'ALL Tube Results'!$H$2:$H199, "FLSP")
</f>
        <v>1</v>
      </c>
      <c r="E4" s="30">
        <f>COUNTIFS('ALL Tube Results'!$C$2:$C199, "&gt;="&amp;A4, 'ALL Tube Results'!$C$2:$C199, "&lt;="&amp;B4, 'ALL Tube Results'!$F$2:$F199, "Positive", 'ALL Tube Results'!$H$2:$H199, "FLSP") </f>
        <v>0</v>
      </c>
      <c r="F4" s="30">
        <f>COUNTIFS('ALL Tube Results'!$C$2:$C199, "&gt;="&amp;A4, 'ALL Tube Results'!$C$2:$C199, "&lt;="&amp;B4, 'ALL Tube Results'!$F$2:$F199, "Inconclusive", 'ALL Tube Results'!$H$2:$H199, "FLSP")
</f>
        <v>0</v>
      </c>
      <c r="G4" s="31">
        <f t="shared" si="1"/>
        <v>0</v>
      </c>
    </row>
    <row r="5">
      <c r="A5" s="14">
        <v>44193.0</v>
      </c>
      <c r="B5" s="14">
        <v>44199.0</v>
      </c>
      <c r="C5" s="29">
        <f>SUMIFS('ALL Tube Results'!$G$2:$G199, 'ALL Tube Results'!$C$2:$C199, "&gt;="&amp;A5, 'ALL Tube Results'!$C$2:$C199, "&lt;="&amp;B5, 'ALL Tube Results'!$H$2:$H199, "FLSP")</f>
        <v>6</v>
      </c>
      <c r="D5" s="30">
        <f>COUNTIFS('ALL Tube Results'!$C$2:$C199, "&gt;="&amp;A5, 'ALL Tube Results'!$C$2:$C199, "&lt;="&amp;B5, 'ALL Tube Results'!$H$2:$H199, "FLSP")
</f>
        <v>2</v>
      </c>
      <c r="E5" s="30">
        <f>COUNTIFS('ALL Tube Results'!$C$2:$C199, "&gt;="&amp;A5, 'ALL Tube Results'!$C$2:$C199, "&lt;="&amp;B5, 'ALL Tube Results'!$F$2:$F199, "Positive", 'ALL Tube Results'!$H$2:$H199, "FLSP") </f>
        <v>0</v>
      </c>
      <c r="F5" s="30">
        <f>COUNTIFS('ALL Tube Results'!$C$2:$C199, "&gt;="&amp;A5, 'ALL Tube Results'!$C$2:$C199, "&lt;="&amp;B5, 'ALL Tube Results'!$F$2:$F199, "Inconclusive", 'ALL Tube Results'!$H$2:$H199, "FLSP")
</f>
        <v>0</v>
      </c>
      <c r="G5" s="31">
        <f t="shared" si="1"/>
        <v>0</v>
      </c>
    </row>
    <row r="6">
      <c r="A6" s="14">
        <v>44200.0</v>
      </c>
      <c r="B6" s="14">
        <v>44206.0</v>
      </c>
      <c r="C6" s="29">
        <f>SUMIFS('ALL Tube Results'!$G$2:$G199, 'ALL Tube Results'!$C$2:$C199, "&gt;="&amp;A6, 'ALL Tube Results'!$C$2:$C199, "&lt;="&amp;B6, 'ALL Tube Results'!$H$2:$H199, "FLSP")</f>
        <v>0</v>
      </c>
      <c r="D6" s="30">
        <f>COUNTIFS('ALL Tube Results'!$C$2:$C199, "&gt;="&amp;A6, 'ALL Tube Results'!$C$2:$C199, "&lt;="&amp;B6, 'ALL Tube Results'!$H$2:$H199, "FLSP")
</f>
        <v>0</v>
      </c>
      <c r="E6" s="30">
        <f>COUNTIFS('ALL Tube Results'!$C$2:$C199, "&gt;="&amp;A6, 'ALL Tube Results'!$C$2:$C199, "&lt;="&amp;B6, 'ALL Tube Results'!$F$2:$F199, "Positive", 'ALL Tube Results'!$H$2:$H199, "FLSP") </f>
        <v>0</v>
      </c>
      <c r="F6" s="30">
        <f>COUNTIFS('ALL Tube Results'!$C$2:$C199, "&gt;="&amp;A6, 'ALL Tube Results'!$C$2:$C199, "&lt;="&amp;B6, 'ALL Tube Results'!$F$2:$F199, "Inconclusive", 'ALL Tube Results'!$H$2:$H199, "FLSP")
</f>
        <v>0</v>
      </c>
      <c r="G6" s="31" t="str">
        <f t="shared" si="1"/>
        <v/>
      </c>
    </row>
    <row r="7">
      <c r="A7" s="14">
        <v>44207.0</v>
      </c>
      <c r="B7" s="14">
        <v>44213.0</v>
      </c>
      <c r="C7" s="29">
        <f>SUMIFS('ALL Tube Results'!$G$2:$G199, 'ALL Tube Results'!$C$2:$C199, "&gt;="&amp;A7, 'ALL Tube Results'!$C$2:$C199, "&lt;="&amp;B7, 'ALL Tube Results'!$H$2:$H199, "FLSP")</f>
        <v>36</v>
      </c>
      <c r="D7" s="30">
        <f>COUNTIFS('ALL Tube Results'!$C$2:$C199, "&gt;="&amp;A7, 'ALL Tube Results'!$C$2:$C199, "&lt;="&amp;B7, 'ALL Tube Results'!$H$2:$H199, "FLSP")
</f>
        <v>15</v>
      </c>
      <c r="E7" s="30">
        <f>COUNTIFS('ALL Tube Results'!$C$2:$C199, "&gt;="&amp;A7, 'ALL Tube Results'!$C$2:$C199, "&lt;="&amp;B7, 'ALL Tube Results'!$F$2:$F199, "Positive", 'ALL Tube Results'!$H$2:$H199, "FLSP") </f>
        <v>3</v>
      </c>
      <c r="F7" s="30">
        <f>COUNTIFS('ALL Tube Results'!$C$2:$C199, "&gt;="&amp;A7, 'ALL Tube Results'!$C$2:$C199, "&lt;="&amp;B7, 'ALL Tube Results'!$F$2:$F199, "Inconclusive", 'ALL Tube Results'!$H$2:$H199, "FLSP")
</f>
        <v>0</v>
      </c>
      <c r="G7" s="31">
        <f t="shared" si="1"/>
        <v>0.2</v>
      </c>
    </row>
    <row r="8">
      <c r="A8" s="14">
        <v>44214.0</v>
      </c>
      <c r="B8" s="14">
        <v>44220.0</v>
      </c>
      <c r="C8" s="29">
        <f>SUMIFS('ALL Tube Results'!$G$2:$G199, 'ALL Tube Results'!$C$2:$C199, "&gt;="&amp;A8, 'ALL Tube Results'!$C$2:$C199, "&lt;="&amp;B8, 'ALL Tube Results'!$H$2:$H199, "FLSP")</f>
        <v>49</v>
      </c>
      <c r="D8" s="30">
        <f>COUNTIFS('ALL Tube Results'!$C$2:$C199, "&gt;="&amp;A8, 'ALL Tube Results'!$C$2:$C199, "&lt;="&amp;B8, 'ALL Tube Results'!$H$2:$H199, "FLSP")
</f>
        <v>24</v>
      </c>
      <c r="E8" s="30">
        <f>COUNTIFS('ALL Tube Results'!$C$2:$C199, "&gt;="&amp;A8, 'ALL Tube Results'!$C$2:$C199, "&lt;="&amp;B8, 'ALL Tube Results'!$F$2:$F199, "Positive", 'ALL Tube Results'!$H$2:$H199, "FLSP") </f>
        <v>0</v>
      </c>
      <c r="F8" s="30">
        <f>COUNTIFS('ALL Tube Results'!$C$2:$C199, "&gt;="&amp;A8, 'ALL Tube Results'!$C$2:$C199, "&lt;="&amp;B8, 'ALL Tube Results'!$F$2:$F199, "Inconclusive", 'ALL Tube Results'!$H$2:$H199, "FLSP")
</f>
        <v>0</v>
      </c>
      <c r="G8" s="31">
        <f t="shared" si="1"/>
        <v>0</v>
      </c>
    </row>
    <row r="9">
      <c r="A9" s="14">
        <v>44221.0</v>
      </c>
      <c r="B9" s="14">
        <v>44227.0</v>
      </c>
      <c r="C9" s="29">
        <f>SUMIFS('ALL Tube Results'!$G$2:$G199, 'ALL Tube Results'!$C$2:$C199, "&gt;="&amp;A9, 'ALL Tube Results'!$C$2:$C199, "&lt;="&amp;B9, 'ALL Tube Results'!$H$2:$H199, "FLSP")</f>
        <v>45</v>
      </c>
      <c r="D9" s="30">
        <f>COUNTIFS('ALL Tube Results'!$C$2:$C199, "&gt;="&amp;A9, 'ALL Tube Results'!$C$2:$C199, "&lt;="&amp;B9, 'ALL Tube Results'!$H$2:$H199, "FLSP")
</f>
        <v>19</v>
      </c>
      <c r="E9" s="30">
        <f>COUNTIFS('ALL Tube Results'!$C$2:$C199, "&gt;="&amp;A9, 'ALL Tube Results'!$C$2:$C199, "&lt;="&amp;B9, 'ALL Tube Results'!$F$2:$F199, "Positive", 'ALL Tube Results'!$H$2:$H199, "FLSP") </f>
        <v>0</v>
      </c>
      <c r="F9" s="30">
        <f>COUNTIFS('ALL Tube Results'!$C$2:$C199, "&gt;="&amp;A9, 'ALL Tube Results'!$C$2:$C199, "&lt;="&amp;B9, 'ALL Tube Results'!$F$2:$F199, "Inconclusive", 'ALL Tube Results'!$H$2:$H199, "FLSP")
</f>
        <v>0</v>
      </c>
      <c r="G9" s="31">
        <f t="shared" si="1"/>
        <v>0</v>
      </c>
    </row>
    <row r="10">
      <c r="A10" s="14">
        <v>44228.0</v>
      </c>
      <c r="B10" s="14">
        <v>44234.0</v>
      </c>
      <c r="C10" s="29">
        <f>SUMIFS('ALL Tube Results'!$G$2:$G199, 'ALL Tube Results'!$C$2:$C199, "&gt;="&amp;A10, 'ALL Tube Results'!$C$2:$C199, "&lt;="&amp;B10, 'ALL Tube Results'!$H$2:$H199, "FLSP")</f>
        <v>31</v>
      </c>
      <c r="D10" s="30">
        <f>COUNTIFS('ALL Tube Results'!$C$2:$C199, "&gt;="&amp;A10, 'ALL Tube Results'!$C$2:$C199, "&lt;="&amp;B10, 'ALL Tube Results'!$H$2:$H199, "FLSP")
</f>
        <v>11</v>
      </c>
      <c r="E10" s="30">
        <f>COUNTIFS('ALL Tube Results'!$C$2:$C199, "&gt;="&amp;A10, 'ALL Tube Results'!$C$2:$C199, "&lt;="&amp;B10, 'ALL Tube Results'!$F$2:$F199, "Positive", 'ALL Tube Results'!$H$2:$H199, "FLSP") </f>
        <v>0</v>
      </c>
      <c r="F10" s="30">
        <f>COUNTIFS('ALL Tube Results'!$C$2:$C199, "&gt;="&amp;A10, 'ALL Tube Results'!$C$2:$C199, "&lt;="&amp;B10, 'ALL Tube Results'!$F$2:$F199, "Inconclusive", 'ALL Tube Results'!$H$2:$H199, "FLSP")
</f>
        <v>0</v>
      </c>
      <c r="G10" s="31">
        <f t="shared" si="1"/>
        <v>0</v>
      </c>
    </row>
    <row r="11">
      <c r="A11" s="14">
        <v>44235.0</v>
      </c>
      <c r="B11" s="14">
        <v>44241.0</v>
      </c>
      <c r="C11" s="29">
        <f>SUMIFS('ALL Tube Results'!$G$2:$G199, 'ALL Tube Results'!$C$2:$C199, "&gt;="&amp;A11, 'ALL Tube Results'!$C$2:$C199, "&lt;="&amp;B11, 'ALL Tube Results'!$H$2:$H199, "FLSP")</f>
        <v>40</v>
      </c>
      <c r="D11" s="30">
        <f>COUNTIFS('ALL Tube Results'!$C$2:$C199, "&gt;="&amp;A11, 'ALL Tube Results'!$C$2:$C199, "&lt;="&amp;B11, 'ALL Tube Results'!$H$2:$H199, "FLSP")
</f>
        <v>13</v>
      </c>
      <c r="E11" s="30">
        <f>COUNTIFS('ALL Tube Results'!$C$2:$C199, "&gt;="&amp;A11, 'ALL Tube Results'!$C$2:$C199, "&lt;="&amp;B11, 'ALL Tube Results'!$F$2:$F199, "Positive", 'ALL Tube Results'!$H$2:$H199, "FLSP") </f>
        <v>0</v>
      </c>
      <c r="F11" s="30">
        <f>COUNTIFS('ALL Tube Results'!$C$2:$C199, "&gt;="&amp;A11, 'ALL Tube Results'!$C$2:$C199, "&lt;="&amp;B11, 'ALL Tube Results'!$F$2:$F199, "Inconclusive", 'ALL Tube Results'!$H$2:$H199, "FLSP")
</f>
        <v>0</v>
      </c>
      <c r="G11" s="31">
        <f t="shared" si="1"/>
        <v>0</v>
      </c>
    </row>
    <row r="12">
      <c r="A12" s="14">
        <v>44242.0</v>
      </c>
      <c r="B12" s="14">
        <v>44248.0</v>
      </c>
      <c r="C12" s="29">
        <f>SUMIFS('ALL Tube Results'!$G$2:$G199, 'ALL Tube Results'!$C$2:$C199, "&gt;="&amp;A12, 'ALL Tube Results'!$C$2:$C199, "&lt;="&amp;B12, 'ALL Tube Results'!$H$2:$H199, "FLSP")</f>
        <v>14</v>
      </c>
      <c r="D12" s="30">
        <f>COUNTIFS('ALL Tube Results'!$C$2:$C199, "&gt;="&amp;A12, 'ALL Tube Results'!$C$2:$C199, "&lt;="&amp;B12, 'ALL Tube Results'!$H$2:$H199, "FLSP")
</f>
        <v>4</v>
      </c>
      <c r="E12" s="30">
        <f>COUNTIFS('ALL Tube Results'!$C$2:$C199, "&gt;="&amp;A12, 'ALL Tube Results'!$C$2:$C199, "&lt;="&amp;B12, 'ALL Tube Results'!$F$2:$F199, "Positive", 'ALL Tube Results'!$H$2:$H199, "FLSP") </f>
        <v>0</v>
      </c>
      <c r="F12" s="30">
        <f>COUNTIFS('ALL Tube Results'!$C$2:$C199, "&gt;="&amp;A12, 'ALL Tube Results'!$C$2:$C199, "&lt;="&amp;B12, 'ALL Tube Results'!$F$2:$F199, "Inconclusive", 'ALL Tube Results'!$H$2:$H199, "FLSP")
</f>
        <v>0</v>
      </c>
      <c r="G12" s="31">
        <f t="shared" si="1"/>
        <v>0</v>
      </c>
    </row>
    <row r="13">
      <c r="A13" s="14">
        <v>44249.0</v>
      </c>
      <c r="B13" s="14">
        <v>44255.0</v>
      </c>
      <c r="C13" s="29">
        <f>SUMIFS('ALL Tube Results'!$G$2:$G199, 'ALL Tube Results'!$C$2:$C199, "&gt;="&amp;A13, 'ALL Tube Results'!$C$2:$C199, "&lt;="&amp;B13, 'ALL Tube Results'!$H$2:$H199, "FLSP")</f>
        <v>24</v>
      </c>
      <c r="D13" s="30">
        <f>COUNTIFS('ALL Tube Results'!$C$2:$C199, "&gt;="&amp;A13, 'ALL Tube Results'!$C$2:$C199, "&lt;="&amp;B13, 'ALL Tube Results'!$H$2:$H199, "FLSP")
</f>
        <v>9</v>
      </c>
      <c r="E13" s="30">
        <f>COUNTIFS('ALL Tube Results'!$C$2:$C199, "&gt;="&amp;A13, 'ALL Tube Results'!$C$2:$C199, "&lt;="&amp;B13, 'ALL Tube Results'!$F$2:$F199, "Positive", 'ALL Tube Results'!$H$2:$H199, "FLSP") </f>
        <v>0</v>
      </c>
      <c r="F13" s="30">
        <f>COUNTIFS('ALL Tube Results'!$C$2:$C199, "&gt;="&amp;A13, 'ALL Tube Results'!$C$2:$C199, "&lt;="&amp;B13, 'ALL Tube Results'!$F$2:$F199, "Inconclusive", 'ALL Tube Results'!$H$2:$H199, "FLSP")
</f>
        <v>0</v>
      </c>
      <c r="G13" s="31">
        <f t="shared" si="1"/>
        <v>0</v>
      </c>
    </row>
    <row r="14">
      <c r="A14" s="14">
        <v>44256.0</v>
      </c>
      <c r="B14" s="14">
        <v>44262.0</v>
      </c>
      <c r="C14" s="29">
        <f>SUMIFS('ALL Tube Results'!$G$2:$G199, 'ALL Tube Results'!$C$2:$C199, "&gt;="&amp;A14, 'ALL Tube Results'!$C$2:$C199, "&lt;="&amp;B14, 'ALL Tube Results'!$H$2:$H199, "FLSP")</f>
        <v>35</v>
      </c>
      <c r="D14" s="30">
        <f>COUNTIFS('ALL Tube Results'!$C$2:$C199, "&gt;="&amp;A14, 'ALL Tube Results'!$C$2:$C199, "&lt;="&amp;B14, 'ALL Tube Results'!$H$2:$H199, "FLSP")
</f>
        <v>11</v>
      </c>
      <c r="E14" s="30">
        <f>COUNTIFS('ALL Tube Results'!$C$2:$C199, "&gt;="&amp;A14, 'ALL Tube Results'!$C$2:$C199, "&lt;="&amp;B14, 'ALL Tube Results'!$F$2:$F199, "Positive", 'ALL Tube Results'!$H$2:$H199, "FLSP") </f>
        <v>0</v>
      </c>
      <c r="F14" s="30">
        <f>COUNTIFS('ALL Tube Results'!$C$2:$C199, "&gt;="&amp;A14, 'ALL Tube Results'!$C$2:$C199, "&lt;="&amp;B14, 'ALL Tube Results'!$F$2:$F199, "Inconclusive", 'ALL Tube Results'!$H$2:$H199, "FLSP")
</f>
        <v>0</v>
      </c>
      <c r="G14" s="31">
        <f t="shared" si="1"/>
        <v>0</v>
      </c>
    </row>
    <row r="15">
      <c r="A15" s="14">
        <v>44263.0</v>
      </c>
      <c r="B15" s="14">
        <v>44269.0</v>
      </c>
      <c r="C15" s="29">
        <f>SUMIFS('ALL Tube Results'!$G$2:$G199, 'ALL Tube Results'!$C$2:$C199, "&gt;="&amp;A15, 'ALL Tube Results'!$C$2:$C199, "&lt;="&amp;B15, 'ALL Tube Results'!$H$2:$H199, "FLSP")</f>
        <v>30</v>
      </c>
      <c r="D15" s="30">
        <f>COUNTIFS('ALL Tube Results'!$C$2:$C199, "&gt;="&amp;A15, 'ALL Tube Results'!$C$2:$C199, "&lt;="&amp;B15, 'ALL Tube Results'!$H$2:$H199, "FLSP")
</f>
        <v>9</v>
      </c>
      <c r="E15" s="30">
        <f>COUNTIFS('ALL Tube Results'!$C$2:$C199, "&gt;="&amp;A15, 'ALL Tube Results'!$C$2:$C199, "&lt;="&amp;B15, 'ALL Tube Results'!$F$2:$F199, "Positive", 'ALL Tube Results'!$H$2:$H199, "FLSP") </f>
        <v>0</v>
      </c>
      <c r="F15" s="30">
        <f>COUNTIFS('ALL Tube Results'!$C$2:$C199, "&gt;="&amp;A15, 'ALL Tube Results'!$C$2:$C199, "&lt;="&amp;B15, 'ALL Tube Results'!$F$2:$F199, "Inconclusive", 'ALL Tube Results'!$H$2:$H199, "FLSP")
</f>
        <v>0</v>
      </c>
      <c r="G15" s="31">
        <f t="shared" si="1"/>
        <v>0</v>
      </c>
    </row>
    <row r="16">
      <c r="A16" s="14">
        <v>44270.0</v>
      </c>
      <c r="B16" s="14">
        <v>44276.0</v>
      </c>
      <c r="C16" s="29">
        <f>SUMIFS('ALL Tube Results'!$G$2:$G199, 'ALL Tube Results'!$C$2:$C199, "&gt;="&amp;A16, 'ALL Tube Results'!$C$2:$C199, "&lt;="&amp;B16, 'ALL Tube Results'!$H$2:$H199, "FLSP")</f>
        <v>16</v>
      </c>
      <c r="D16" s="30">
        <f>COUNTIFS('ALL Tube Results'!$C$2:$C199, "&gt;="&amp;A16, 'ALL Tube Results'!$C$2:$C199, "&lt;="&amp;B16, 'ALL Tube Results'!$H$2:$H199, "FLSP")
</f>
        <v>6</v>
      </c>
      <c r="E16" s="30">
        <f>COUNTIFS('ALL Tube Results'!$C$2:$C199, "&gt;="&amp;A16, 'ALL Tube Results'!$C$2:$C199, "&lt;="&amp;B16, 'ALL Tube Results'!$F$2:$F199, "Positive", 'ALL Tube Results'!$H$2:$H199, "FLSP") </f>
        <v>0</v>
      </c>
      <c r="F16" s="30">
        <f>COUNTIFS('ALL Tube Results'!$C$2:$C199, "&gt;="&amp;A16, 'ALL Tube Results'!$C$2:$C199, "&lt;="&amp;B16, 'ALL Tube Results'!$F$2:$F199, "Inconclusive", 'ALL Tube Results'!$H$2:$H199, "FLSP")
</f>
        <v>0</v>
      </c>
      <c r="G16" s="31">
        <f t="shared" si="1"/>
        <v>0</v>
      </c>
    </row>
    <row r="17">
      <c r="A17" s="14">
        <v>44277.0</v>
      </c>
      <c r="B17" s="14">
        <v>44283.0</v>
      </c>
      <c r="C17" s="29">
        <f>SUMIFS('ALL Tube Results'!$G$2:$G199, 'ALL Tube Results'!$C$2:$C199, "&gt;="&amp;A17, 'ALL Tube Results'!$C$2:$C199, "&lt;="&amp;B17, 'ALL Tube Results'!$H$2:$H199, "FLSP")</f>
        <v>6</v>
      </c>
      <c r="D17" s="30">
        <f>COUNTIFS('ALL Tube Results'!$C$2:$C199, "&gt;="&amp;A17, 'ALL Tube Results'!$C$2:$C199, "&lt;="&amp;B17, 'ALL Tube Results'!$H$2:$H199, "FLSP")
</f>
        <v>2</v>
      </c>
      <c r="E17" s="30">
        <f>COUNTIFS('ALL Tube Results'!$C$2:$C199, "&gt;="&amp;A17, 'ALL Tube Results'!$C$2:$C199, "&lt;="&amp;B17, 'ALL Tube Results'!$F$2:$F199, "Positive", 'ALL Tube Results'!$H$2:$H199, "FLSP") </f>
        <v>0</v>
      </c>
      <c r="F17" s="30">
        <f>COUNTIFS('ALL Tube Results'!$C$2:$C199, "&gt;="&amp;A17, 'ALL Tube Results'!$C$2:$C199, "&lt;="&amp;B17, 'ALL Tube Results'!$F$2:$F199, "Inconclusive", 'ALL Tube Results'!$H$2:$H199, "FLSP")
</f>
        <v>0</v>
      </c>
      <c r="G17" s="31">
        <f t="shared" si="1"/>
        <v>0</v>
      </c>
    </row>
    <row r="18">
      <c r="A18" s="14">
        <v>44284.0</v>
      </c>
      <c r="B18" s="14">
        <v>44290.0</v>
      </c>
      <c r="C18" s="29">
        <f>SUMIFS('ALL Tube Results'!$G$2:$G199, 'ALL Tube Results'!$C$2:$C199, "&gt;="&amp;A18, 'ALL Tube Results'!$C$2:$C199, "&lt;="&amp;B18, 'ALL Tube Results'!$H$2:$H199, "FLSP")</f>
        <v>6</v>
      </c>
      <c r="D18" s="30">
        <f>COUNTIFS('ALL Tube Results'!$C$2:$C199, "&gt;="&amp;A18, 'ALL Tube Results'!$C$2:$C199, "&lt;="&amp;B18, 'ALL Tube Results'!$H$2:$H199, "FLSP")
</f>
        <v>2</v>
      </c>
      <c r="E18" s="30">
        <f>COUNTIFS('ALL Tube Results'!$C$2:$C199, "&gt;="&amp;A18, 'ALL Tube Results'!$C$2:$C199, "&lt;="&amp;B18, 'ALL Tube Results'!$F$2:$F199, "Positive", 'ALL Tube Results'!$H$2:$H199, "FLSP") </f>
        <v>0</v>
      </c>
      <c r="F18" s="30">
        <f>COUNTIFS('ALL Tube Results'!$C$2:$C199, "&gt;="&amp;A18, 'ALL Tube Results'!$C$2:$C199, "&lt;="&amp;B18, 'ALL Tube Results'!$F$2:$F199, "Inconclusive", 'ALL Tube Results'!$H$2:$H199, "FLSP")
</f>
        <v>0</v>
      </c>
      <c r="G18" s="31">
        <f t="shared" si="1"/>
        <v>0</v>
      </c>
    </row>
    <row r="19">
      <c r="A19" s="14">
        <v>44291.0</v>
      </c>
      <c r="B19" s="14">
        <v>44297.0</v>
      </c>
      <c r="C19" s="29">
        <f>SUMIFS('ALL Tube Results'!$G$2:$G199, 'ALL Tube Results'!$C$2:$C199, "&gt;="&amp;A19, 'ALL Tube Results'!$C$2:$C199, "&lt;="&amp;B19, 'ALL Tube Results'!$H$2:$H199, "FLSP")</f>
        <v>0</v>
      </c>
      <c r="D19" s="30">
        <f>COUNTIFS('ALL Tube Results'!$C$2:$C199, "&gt;="&amp;A19, 'ALL Tube Results'!$C$2:$C199, "&lt;="&amp;B19, 'ALL Tube Results'!$H$2:$H199, "FLSP")
</f>
        <v>0</v>
      </c>
      <c r="E19" s="30">
        <f>COUNTIFS('ALL Tube Results'!$C$2:$C199, "&gt;="&amp;A19, 'ALL Tube Results'!$C$2:$C199, "&lt;="&amp;B19, 'ALL Tube Results'!$F$2:$F199, "Positive", 'ALL Tube Results'!$H$2:$H199, "FLSP") </f>
        <v>0</v>
      </c>
      <c r="F19" s="30">
        <f>COUNTIFS('ALL Tube Results'!$C$2:$C199, "&gt;="&amp;A19, 'ALL Tube Results'!$C$2:$C199, "&lt;="&amp;B19, 'ALL Tube Results'!$F$2:$F199, "Inconclusive", 'ALL Tube Results'!$H$2:$H199, "FLSP")
</f>
        <v>0</v>
      </c>
      <c r="G19" s="31" t="str">
        <f t="shared" si="1"/>
        <v/>
      </c>
    </row>
    <row r="20">
      <c r="A20" s="14">
        <v>44298.0</v>
      </c>
      <c r="B20" s="14">
        <v>44304.0</v>
      </c>
      <c r="C20" s="29">
        <f>SUMIFS('ALL Tube Results'!$G$2:$G199, 'ALL Tube Results'!$C$2:$C199, "&gt;="&amp;A20, 'ALL Tube Results'!$C$2:$C199, "&lt;="&amp;B20, 'ALL Tube Results'!$H$2:$H199, "FLSP")</f>
        <v>8</v>
      </c>
      <c r="D20" s="30">
        <f>COUNTIFS('ALL Tube Results'!$C$2:$C199, "&gt;="&amp;A20, 'ALL Tube Results'!$C$2:$C199, "&lt;="&amp;B20, 'ALL Tube Results'!$H$2:$H199, "FLSP")
</f>
        <v>3</v>
      </c>
      <c r="E20" s="30">
        <f>COUNTIFS('ALL Tube Results'!$C$2:$C199, "&gt;="&amp;A20, 'ALL Tube Results'!$C$2:$C199, "&lt;="&amp;B20, 'ALL Tube Results'!$F$2:$F199, "Positive", 'ALL Tube Results'!$H$2:$H199, "FLSP") </f>
        <v>0</v>
      </c>
      <c r="F20" s="30">
        <f>COUNTIFS('ALL Tube Results'!$C$2:$C199, "&gt;="&amp;A20, 'ALL Tube Results'!$C$2:$C199, "&lt;="&amp;B20, 'ALL Tube Results'!$F$2:$F199, "Inconclusive", 'ALL Tube Results'!$H$2:$H199, "FLSP")
</f>
        <v>0</v>
      </c>
      <c r="G20" s="31">
        <f t="shared" si="1"/>
        <v>0</v>
      </c>
    </row>
    <row r="21">
      <c r="A21" s="14">
        <v>44305.0</v>
      </c>
      <c r="B21" s="14">
        <v>44311.0</v>
      </c>
      <c r="C21" s="29">
        <f>SUMIFS('ALL Tube Results'!$G$2:$G199, 'ALL Tube Results'!$C$2:$C199, "&gt;="&amp;A21, 'ALL Tube Results'!$C$2:$C199, "&lt;="&amp;B21, 'ALL Tube Results'!$H$2:$H199, "FLSP")</f>
        <v>0</v>
      </c>
      <c r="D21" s="30">
        <f>COUNTIFS('ALL Tube Results'!$C$2:$C199, "&gt;="&amp;A21, 'ALL Tube Results'!$C$2:$C199, "&lt;="&amp;B21, 'ALL Tube Results'!$H$2:$H199, "FLSP")
</f>
        <v>0</v>
      </c>
      <c r="E21" s="30">
        <f>COUNTIFS('ALL Tube Results'!$C$2:$C199, "&gt;="&amp;A21, 'ALL Tube Results'!$C$2:$C199, "&lt;="&amp;B21, 'ALL Tube Results'!$F$2:$F199, "Positive", 'ALL Tube Results'!$H$2:$H199, "FLSP") </f>
        <v>0</v>
      </c>
      <c r="F21" s="30">
        <f>COUNTIFS('ALL Tube Results'!$C$2:$C199, "&gt;="&amp;A21, 'ALL Tube Results'!$C$2:$C199, "&lt;="&amp;B21, 'ALL Tube Results'!$F$2:$F199, "Inconclusive", 'ALL Tube Results'!$H$2:$H199, "FLSP")
</f>
        <v>0</v>
      </c>
      <c r="G21" s="31" t="str">
        <f t="shared" si="1"/>
        <v/>
      </c>
    </row>
    <row r="22">
      <c r="A22" s="14">
        <v>44312.0</v>
      </c>
      <c r="B22" s="14">
        <v>44318.0</v>
      </c>
      <c r="C22" s="29">
        <f>SUMIFS('ALL Tube Results'!$G$2:$G199, 'ALL Tube Results'!$C$2:$C199, "&gt;="&amp;A22, 'ALL Tube Results'!$C$2:$C199, "&lt;="&amp;B22, 'ALL Tube Results'!$H$2:$H199, "FLSP")</f>
        <v>0</v>
      </c>
      <c r="D22" s="30">
        <f>COUNTIFS('ALL Tube Results'!$C$2:$C199, "&gt;="&amp;A22, 'ALL Tube Results'!$C$2:$C199, "&lt;="&amp;B22, 'ALL Tube Results'!$H$2:$H199, "FLSP")
</f>
        <v>0</v>
      </c>
      <c r="E22" s="30">
        <f>COUNTIFS('ALL Tube Results'!$C$2:$C199, "&gt;="&amp;A22, 'ALL Tube Results'!$C$2:$C199, "&lt;="&amp;B22, 'ALL Tube Results'!$F$2:$F199, "Positive", 'ALL Tube Results'!$H$2:$H199, "FLSP") </f>
        <v>0</v>
      </c>
      <c r="F22" s="30">
        <f>COUNTIFS('ALL Tube Results'!$C$2:$C199, "&gt;="&amp;A22, 'ALL Tube Results'!$C$2:$C199, "&lt;="&amp;B22, 'ALL Tube Results'!$F$2:$F199, "Inconclusive", 'ALL Tube Results'!$H$2:$H199, "FLSP")
</f>
        <v>0</v>
      </c>
      <c r="G22" s="31" t="str">
        <f t="shared" si="1"/>
        <v/>
      </c>
    </row>
    <row r="23">
      <c r="A23" s="14">
        <v>44319.0</v>
      </c>
      <c r="B23" s="14">
        <v>44325.0</v>
      </c>
      <c r="C23" s="29">
        <f>SUMIFS('ALL Tube Results'!$G$2:$G199, 'ALL Tube Results'!$C$2:$C199, "&gt;="&amp;A23, 'ALL Tube Results'!$C$2:$C199, "&lt;="&amp;B23, 'ALL Tube Results'!$H$2:$H199, "FLSP")</f>
        <v>1</v>
      </c>
      <c r="D23" s="30">
        <f>COUNTIFS('ALL Tube Results'!$C$2:$C199, "&gt;="&amp;A23, 'ALL Tube Results'!$C$2:$C199, "&lt;="&amp;B23, 'ALL Tube Results'!$H$2:$H199, "FLSP")
</f>
        <v>1</v>
      </c>
      <c r="E23" s="30">
        <f>COUNTIFS('ALL Tube Results'!$C$2:$C199, "&gt;="&amp;A23, 'ALL Tube Results'!$C$2:$C199, "&lt;="&amp;B23, 'ALL Tube Results'!$F$2:$F199, "Positive", 'ALL Tube Results'!$H$2:$H199, "FLSP") </f>
        <v>0</v>
      </c>
      <c r="F23" s="30">
        <f>COUNTIFS('ALL Tube Results'!$C$2:$C199, "&gt;="&amp;A23, 'ALL Tube Results'!$C$2:$C199, "&lt;="&amp;B23, 'ALL Tube Results'!$F$2:$F199, "Inconclusive", 'ALL Tube Results'!$H$2:$H199, "FLSP")
</f>
        <v>0</v>
      </c>
      <c r="G23" s="31">
        <f t="shared" si="1"/>
        <v>0</v>
      </c>
    </row>
    <row r="24">
      <c r="A24" s="14">
        <v>44326.0</v>
      </c>
      <c r="B24" s="14">
        <v>44332.0</v>
      </c>
      <c r="C24" s="29">
        <f>SUMIFS('ALL Tube Results'!$G$2:$G199, 'ALL Tube Results'!$C$2:$C199, "&gt;="&amp;A24, 'ALL Tube Results'!$C$2:$C199, "&lt;="&amp;B24, 'ALL Tube Results'!$H$2:$H199, "FLSP")</f>
        <v>5</v>
      </c>
      <c r="D24" s="30">
        <f>COUNTIFS('ALL Tube Results'!$C$2:$C199, "&gt;="&amp;A24, 'ALL Tube Results'!$C$2:$C199, "&lt;="&amp;B24, 'ALL Tube Results'!$H$2:$H199, "FLSP")
</f>
        <v>2</v>
      </c>
      <c r="E24" s="30">
        <f>COUNTIFS('ALL Tube Results'!$C$2:$C199, "&gt;="&amp;A24, 'ALL Tube Results'!$C$2:$C199, "&lt;="&amp;B24, 'ALL Tube Results'!$F$2:$F199, "Positive", 'ALL Tube Results'!$H$2:$H199, "FLSP") </f>
        <v>0</v>
      </c>
      <c r="F24" s="30">
        <f>COUNTIFS('ALL Tube Results'!$C$2:$C199, "&gt;="&amp;A24, 'ALL Tube Results'!$C$2:$C199, "&lt;="&amp;B24, 'ALL Tube Results'!$F$2:$F199, "Inconclusive", 'ALL Tube Results'!$H$2:$H199, "FLSP")
</f>
        <v>0</v>
      </c>
      <c r="G24" s="31">
        <f t="shared" si="1"/>
        <v>0</v>
      </c>
    </row>
    <row r="25">
      <c r="A25" s="14">
        <v>44333.0</v>
      </c>
      <c r="B25" s="14">
        <v>44339.0</v>
      </c>
      <c r="C25" s="29">
        <f>SUMIFS('ALL Tube Results'!$G$2:$G199, 'ALL Tube Results'!$C$2:$C199, "&gt;="&amp;A25, 'ALL Tube Results'!$C$2:$C199, "&lt;="&amp;B25, 'ALL Tube Results'!$H$2:$H199, "FLSP")</f>
        <v>6</v>
      </c>
      <c r="D25" s="30">
        <f>COUNTIFS('ALL Tube Results'!$C$2:$C199, "&gt;="&amp;A25, 'ALL Tube Results'!$C$2:$C199, "&lt;="&amp;B25, 'ALL Tube Results'!$H$2:$H199, "FLSP")
</f>
        <v>6</v>
      </c>
      <c r="E25" s="30">
        <f>COUNTIFS('ALL Tube Results'!$C$2:$C199, "&gt;="&amp;A25, 'ALL Tube Results'!$C$2:$C199, "&lt;="&amp;B25, 'ALL Tube Results'!$F$2:$F199, "Positive", 'ALL Tube Results'!$H$2:$H199, "FLSP") </f>
        <v>0</v>
      </c>
      <c r="F25" s="30">
        <f>COUNTIFS('ALL Tube Results'!$C$2:$C199, "&gt;="&amp;A25, 'ALL Tube Results'!$C$2:$C199, "&lt;="&amp;B25, 'ALL Tube Results'!$F$2:$F199, "Inconclusive", 'ALL Tube Results'!$H$2:$H199, "FLSP")
</f>
        <v>0</v>
      </c>
      <c r="G25" s="31">
        <f t="shared" si="1"/>
        <v>0</v>
      </c>
    </row>
    <row r="26">
      <c r="A26" s="14">
        <v>44340.0</v>
      </c>
      <c r="B26" s="14">
        <v>44346.0</v>
      </c>
      <c r="C26" s="29">
        <f>SUMIFS('ALL Tube Results'!$G$2:$G199, 'ALL Tube Results'!$C$2:$C199, "&gt;="&amp;A26, 'ALL Tube Results'!$C$2:$C199, "&lt;="&amp;B26, 'ALL Tube Results'!$H$2:$H199, "FLSP")</f>
        <v>0</v>
      </c>
      <c r="D26" s="30">
        <f>COUNTIFS('ALL Tube Results'!$C$2:$C199, "&gt;="&amp;A26, 'ALL Tube Results'!$C$2:$C199, "&lt;="&amp;B26, 'ALL Tube Results'!$H$2:$H199, "FLSP")
</f>
        <v>0</v>
      </c>
      <c r="E26" s="30">
        <f>COUNTIFS('ALL Tube Results'!$C$2:$C199, "&gt;="&amp;A26, 'ALL Tube Results'!$C$2:$C199, "&lt;="&amp;B26, 'ALL Tube Results'!$F$2:$F199, "Positive", 'ALL Tube Results'!$H$2:$H199, "FLSP") </f>
        <v>0</v>
      </c>
      <c r="F26" s="30">
        <f>COUNTIFS('ALL Tube Results'!$C$2:$C199, "&gt;="&amp;A26, 'ALL Tube Results'!$C$2:$C199, "&lt;="&amp;B26, 'ALL Tube Results'!$F$2:$F199, "Inconclusive", 'ALL Tube Results'!$H$2:$H199, "FLSP")
</f>
        <v>0</v>
      </c>
      <c r="G26" s="31" t="str">
        <f t="shared" si="1"/>
        <v/>
      </c>
    </row>
    <row r="27">
      <c r="A27" s="14">
        <v>44347.0</v>
      </c>
      <c r="B27" s="14">
        <v>44353.0</v>
      </c>
      <c r="C27" s="29">
        <f>SUMIFS('ALL Tube Results'!$G$2:$G199, 'ALL Tube Results'!$C$2:$C199, "&gt;="&amp;A27, 'ALL Tube Results'!$C$2:$C199, "&lt;="&amp;B27, 'ALL Tube Results'!$H$2:$H199, "FLSP")</f>
        <v>0</v>
      </c>
      <c r="D27" s="30">
        <f>COUNTIFS('ALL Tube Results'!$C$2:$C199, "&gt;="&amp;A27, 'ALL Tube Results'!$C$2:$C199, "&lt;="&amp;B27, 'ALL Tube Results'!$H$2:$H199, "FLSP")
</f>
        <v>0</v>
      </c>
      <c r="E27" s="30">
        <f>COUNTIFS('ALL Tube Results'!$C$2:$C199, "&gt;="&amp;A27, 'ALL Tube Results'!$C$2:$C199, "&lt;="&amp;B27, 'ALL Tube Results'!$F$2:$F199, "Positive", 'ALL Tube Results'!$H$2:$H199, "FLSP") </f>
        <v>0</v>
      </c>
      <c r="F27" s="30">
        <f>COUNTIFS('ALL Tube Results'!$C$2:$C199, "&gt;="&amp;A27, 'ALL Tube Results'!$C$2:$C199, "&lt;="&amp;B27, 'ALL Tube Results'!$F$2:$F199, "Inconclusive", 'ALL Tube Results'!$H$2:$H199, "FLSP")
</f>
        <v>0</v>
      </c>
      <c r="G27" s="31" t="str">
        <f t="shared" si="1"/>
        <v/>
      </c>
    </row>
    <row r="28">
      <c r="A28" s="14">
        <v>44354.0</v>
      </c>
      <c r="B28" s="14">
        <v>44360.0</v>
      </c>
      <c r="C28" s="29">
        <f>SUMIFS('ALL Tube Results'!$G$2:$G199, 'ALL Tube Results'!$C$2:$C199, "&gt;="&amp;A28, 'ALL Tube Results'!$C$2:$C199, "&lt;="&amp;B28, 'ALL Tube Results'!$H$2:$H199, "FLSP")</f>
        <v>0</v>
      </c>
      <c r="D28" s="30">
        <f>COUNTIFS('ALL Tube Results'!$C$2:$C199, "&gt;="&amp;A28, 'ALL Tube Results'!$C$2:$C199, "&lt;="&amp;B28, 'ALL Tube Results'!$H$2:$H199, "FLSP")
</f>
        <v>0</v>
      </c>
      <c r="E28" s="30">
        <f>COUNTIFS('ALL Tube Results'!$C$2:$C199, "&gt;="&amp;A28, 'ALL Tube Results'!$C$2:$C199, "&lt;="&amp;B28, 'ALL Tube Results'!$F$2:$F199, "Positive", 'ALL Tube Results'!$H$2:$H199, "FLSP") </f>
        <v>0</v>
      </c>
      <c r="F28" s="30">
        <f>COUNTIFS('ALL Tube Results'!$C$2:$C199, "&gt;="&amp;A28, 'ALL Tube Results'!$C$2:$C199, "&lt;="&amp;B28, 'ALL Tube Results'!$F$2:$F199, "Inconclusive", 'ALL Tube Results'!$H$2:$H199, "FLSP")
</f>
        <v>0</v>
      </c>
      <c r="G28" s="31" t="str">
        <f t="shared" si="1"/>
        <v/>
      </c>
    </row>
    <row r="29">
      <c r="A29" s="14">
        <v>44361.0</v>
      </c>
      <c r="B29" s="14">
        <v>44367.0</v>
      </c>
      <c r="C29" s="29">
        <f>SUMIFS('ALL Tube Results'!$G$2:$G199, 'ALL Tube Results'!$C$2:$C199, "&gt;="&amp;A29, 'ALL Tube Results'!$C$2:$C199, "&lt;="&amp;B29, 'ALL Tube Results'!$H$2:$H199, "FLSP")</f>
        <v>2</v>
      </c>
      <c r="D29" s="30">
        <f>COUNTIFS('ALL Tube Results'!$C$2:$C199, "&gt;="&amp;A29, 'ALL Tube Results'!$C$2:$C199, "&lt;="&amp;B29, 'ALL Tube Results'!$H$2:$H199, "FLSP")
</f>
        <v>2</v>
      </c>
      <c r="E29" s="30">
        <f>COUNTIFS('ALL Tube Results'!$C$2:$C199, "&gt;="&amp;A29, 'ALL Tube Results'!$C$2:$C199, "&lt;="&amp;B29, 'ALL Tube Results'!$F$2:$F199, "Positive", 'ALL Tube Results'!$H$2:$H199, "FLSP") </f>
        <v>0</v>
      </c>
      <c r="F29" s="30">
        <f>COUNTIFS('ALL Tube Results'!$C$2:$C199, "&gt;="&amp;A29, 'ALL Tube Results'!$C$2:$C199, "&lt;="&amp;B29, 'ALL Tube Results'!$F$2:$F199, "Inconclusive", 'ALL Tube Results'!$H$2:$H199, "FLSP")
</f>
        <v>0</v>
      </c>
      <c r="G29" s="31">
        <f t="shared" si="1"/>
        <v>0</v>
      </c>
    </row>
    <row r="30">
      <c r="A30" s="14">
        <v>44368.0</v>
      </c>
      <c r="B30" s="14">
        <v>44374.0</v>
      </c>
      <c r="C30" s="29">
        <f>SUMIFS('ALL Tube Results'!$G$2:$G199, 'ALL Tube Results'!$C$2:$C199, "&gt;="&amp;A30, 'ALL Tube Results'!$C$2:$C199, "&lt;="&amp;B30, 'ALL Tube Results'!$H$2:$H199, "FLSP")</f>
        <v>0</v>
      </c>
      <c r="D30" s="30">
        <f>COUNTIFS('ALL Tube Results'!$C$2:$C199, "&gt;="&amp;A30, 'ALL Tube Results'!$C$2:$C199, "&lt;="&amp;B30, 'ALL Tube Results'!$H$2:$H199, "FLSP")
</f>
        <v>0</v>
      </c>
      <c r="E30" s="30">
        <f>COUNTIFS('ALL Tube Results'!$C$2:$C199, "&gt;="&amp;A30, 'ALL Tube Results'!$C$2:$C199, "&lt;="&amp;B30, 'ALL Tube Results'!$F$2:$F199, "Positive", 'ALL Tube Results'!$H$2:$H199, "FLSP") </f>
        <v>0</v>
      </c>
      <c r="F30" s="30">
        <f>COUNTIFS('ALL Tube Results'!$C$2:$C199, "&gt;="&amp;A30, 'ALL Tube Results'!$C$2:$C199, "&lt;="&amp;B30, 'ALL Tube Results'!$F$2:$F199, "Inconclusive", 'ALL Tube Results'!$H$2:$H199, "FLSP")
</f>
        <v>0</v>
      </c>
      <c r="G30" s="31" t="str">
        <f t="shared" si="1"/>
        <v/>
      </c>
    </row>
    <row r="31">
      <c r="A31" s="14">
        <v>44375.0</v>
      </c>
      <c r="B31" s="14">
        <v>44381.0</v>
      </c>
      <c r="C31" s="29">
        <f>SUMIFS('ALL Tube Results'!$G$2:$G199, 'ALL Tube Results'!$C$2:$C199, "&gt;="&amp;A31, 'ALL Tube Results'!$C$2:$C199, "&lt;="&amp;B31, 'ALL Tube Results'!$H$2:$H199, "FLSP")</f>
        <v>0</v>
      </c>
      <c r="D31" s="30">
        <f>COUNTIFS('ALL Tube Results'!$C$2:$C199, "&gt;="&amp;A31, 'ALL Tube Results'!$C$2:$C199, "&lt;="&amp;B31, 'ALL Tube Results'!$H$2:$H199, "FLSP")
</f>
        <v>0</v>
      </c>
      <c r="E31" s="30">
        <f>COUNTIFS('ALL Tube Results'!$C$2:$C199, "&gt;="&amp;A31, 'ALL Tube Results'!$C$2:$C199, "&lt;="&amp;B31, 'ALL Tube Results'!$F$2:$F199, "Positive", 'ALL Tube Results'!$H$2:$H199, "FLSP") </f>
        <v>0</v>
      </c>
      <c r="F31" s="30">
        <f>COUNTIFS('ALL Tube Results'!$C$2:$C199, "&gt;="&amp;A31, 'ALL Tube Results'!$C$2:$C199, "&lt;="&amp;B31, 'ALL Tube Results'!$F$2:$F199, "Inconclusive", 'ALL Tube Results'!$H$2:$H199, "FLSP")
</f>
        <v>0</v>
      </c>
      <c r="G31" s="31" t="str">
        <f t="shared" si="1"/>
        <v/>
      </c>
    </row>
    <row r="32">
      <c r="A32" s="14">
        <v>44382.0</v>
      </c>
      <c r="B32" s="14">
        <v>44388.0</v>
      </c>
      <c r="C32" s="29">
        <f>SUMIFS('ALL Tube Results'!$G$2:$G199, 'ALL Tube Results'!$C$2:$C199, "&gt;="&amp;A32, 'ALL Tube Results'!$C$2:$C199, "&lt;="&amp;B32, 'ALL Tube Results'!$H$2:$H199, "FLSP")</f>
        <v>0</v>
      </c>
      <c r="D32" s="30">
        <f>COUNTIFS('ALL Tube Results'!$C$2:$C199, "&gt;="&amp;A32, 'ALL Tube Results'!$C$2:$C199, "&lt;="&amp;B32, 'ALL Tube Results'!$H$2:$H199, "FLSP")
</f>
        <v>0</v>
      </c>
      <c r="E32" s="30">
        <f>COUNTIFS('ALL Tube Results'!$C$2:$C199, "&gt;="&amp;A32, 'ALL Tube Results'!$C$2:$C199, "&lt;="&amp;B32, 'ALL Tube Results'!$F$2:$F199, "Positive", 'ALL Tube Results'!$H$2:$H199, "FLSP") </f>
        <v>0</v>
      </c>
      <c r="F32" s="30">
        <f>COUNTIFS('ALL Tube Results'!$C$2:$C199, "&gt;="&amp;A32, 'ALL Tube Results'!$C$2:$C199, "&lt;="&amp;B32, 'ALL Tube Results'!$F$2:$F199, "Inconclusive", 'ALL Tube Results'!$H$2:$H199, "FLSP")
</f>
        <v>0</v>
      </c>
      <c r="G32" s="31" t="str">
        <f t="shared" si="1"/>
        <v/>
      </c>
    </row>
    <row r="33">
      <c r="A33" s="14">
        <v>44389.0</v>
      </c>
      <c r="B33" s="14">
        <v>44395.0</v>
      </c>
      <c r="C33" s="29">
        <f>SUMIFS('ALL Tube Results'!$G$2:$G199, 'ALL Tube Results'!$C$2:$C199, "&gt;="&amp;A33, 'ALL Tube Results'!$C$2:$C199, "&lt;="&amp;B33, 'ALL Tube Results'!$H$2:$H199, "FLSP")</f>
        <v>0</v>
      </c>
      <c r="D33" s="30">
        <f>COUNTIFS('ALL Tube Results'!$C$2:$C199, "&gt;="&amp;A33, 'ALL Tube Results'!$C$2:$C199, "&lt;="&amp;B33, 'ALL Tube Results'!$H$2:$H199, "FLSP")
</f>
        <v>0</v>
      </c>
      <c r="E33" s="30">
        <f>COUNTIFS('ALL Tube Results'!$C$2:$C199, "&gt;="&amp;A33, 'ALL Tube Results'!$C$2:$C199, "&lt;="&amp;B33, 'ALL Tube Results'!$F$2:$F199, "Positive", 'ALL Tube Results'!$H$2:$H199, "FLSP") </f>
        <v>0</v>
      </c>
      <c r="F33" s="30">
        <f>COUNTIFS('ALL Tube Results'!$C$2:$C199, "&gt;="&amp;A33, 'ALL Tube Results'!$C$2:$C199, "&lt;="&amp;B33, 'ALL Tube Results'!$F$2:$F199, "Inconclusive", 'ALL Tube Results'!$H$2:$H199, "FLSP")
</f>
        <v>0</v>
      </c>
      <c r="G33" s="31" t="str">
        <f t="shared" si="1"/>
        <v/>
      </c>
    </row>
    <row r="34">
      <c r="A34" s="14">
        <v>44396.0</v>
      </c>
      <c r="B34" s="14">
        <v>44402.0</v>
      </c>
      <c r="C34" s="29">
        <f>SUMIFS('ALL Tube Results'!$G$2:$G199, 'ALL Tube Results'!$C$2:$C199, "&gt;="&amp;A34, 'ALL Tube Results'!$C$2:$C199, "&lt;="&amp;B34, 'ALL Tube Results'!$H$2:$H199, "FLSP")</f>
        <v>0</v>
      </c>
      <c r="D34" s="30">
        <f>COUNTIFS('ALL Tube Results'!$C$2:$C199, "&gt;="&amp;A34, 'ALL Tube Results'!$C$2:$C199, "&lt;="&amp;B34, 'ALL Tube Results'!$H$2:$H199, "FLSP")
</f>
        <v>0</v>
      </c>
      <c r="E34" s="30">
        <f>COUNTIFS('ALL Tube Results'!$C$2:$C199, "&gt;="&amp;A34, 'ALL Tube Results'!$C$2:$C199, "&lt;="&amp;B34, 'ALL Tube Results'!$F$2:$F199, "Positive", 'ALL Tube Results'!$H$2:$H199, "FLSP") </f>
        <v>0</v>
      </c>
      <c r="F34" s="30">
        <f>COUNTIFS('ALL Tube Results'!$C$2:$C199, "&gt;="&amp;A34, 'ALL Tube Results'!$C$2:$C199, "&lt;="&amp;B34, 'ALL Tube Results'!$F$2:$F199, "Inconclusive", 'ALL Tube Results'!$H$2:$H199, "FLSP")
</f>
        <v>0</v>
      </c>
      <c r="G34" s="31" t="str">
        <f t="shared" si="1"/>
        <v/>
      </c>
    </row>
    <row r="35">
      <c r="A35" s="14">
        <v>44403.0</v>
      </c>
      <c r="B35" s="14">
        <v>44409.0</v>
      </c>
      <c r="C35" s="29">
        <f>SUMIFS('ALL Tube Results'!$G$2:$G199, 'ALL Tube Results'!$C$2:$C199, "&gt;="&amp;A35, 'ALL Tube Results'!$C$2:$C199, "&lt;="&amp;B35, 'ALL Tube Results'!$H$2:$H199, "FLSP")</f>
        <v>0</v>
      </c>
      <c r="D35" s="30">
        <f>COUNTIFS('ALL Tube Results'!$C$2:$C199, "&gt;="&amp;A35, 'ALL Tube Results'!$C$2:$C199, "&lt;="&amp;B35, 'ALL Tube Results'!$H$2:$H199, "FLSP")
</f>
        <v>0</v>
      </c>
      <c r="E35" s="30">
        <f>COUNTIFS('ALL Tube Results'!$C$2:$C199, "&gt;="&amp;A35, 'ALL Tube Results'!$C$2:$C199, "&lt;="&amp;B35, 'ALL Tube Results'!$F$2:$F199, "Positive", 'ALL Tube Results'!$H$2:$H199, "FLSP") </f>
        <v>0</v>
      </c>
      <c r="F35" s="30">
        <f>COUNTIFS('ALL Tube Results'!$C$2:$C199, "&gt;="&amp;A35, 'ALL Tube Results'!$C$2:$C199, "&lt;="&amp;B35, 'ALL Tube Results'!$F$2:$F199, "Inconclusive", 'ALL Tube Results'!$H$2:$H199, "FLSP")
</f>
        <v>0</v>
      </c>
      <c r="G35" s="31" t="str">
        <f t="shared" si="1"/>
        <v/>
      </c>
    </row>
    <row r="36">
      <c r="A36" s="14">
        <v>44410.0</v>
      </c>
      <c r="B36" s="14">
        <v>44416.0</v>
      </c>
      <c r="C36" s="29">
        <f>SUMIFS('ALL Tube Results'!$G$2:$G199, 'ALL Tube Results'!$C$2:$C199, "&gt;="&amp;A36, 'ALL Tube Results'!$C$2:$C199, "&lt;="&amp;B36, 'ALL Tube Results'!$H$2:$H199, "FLSP")</f>
        <v>0</v>
      </c>
      <c r="D36" s="30">
        <f>COUNTIFS('ALL Tube Results'!$C$2:$C199, "&gt;="&amp;A36, 'ALL Tube Results'!$C$2:$C199, "&lt;="&amp;B36, 'ALL Tube Results'!$H$2:$H199, "FLSP")
</f>
        <v>0</v>
      </c>
      <c r="E36" s="30">
        <f>COUNTIFS('ALL Tube Results'!$C$2:$C199, "&gt;="&amp;A36, 'ALL Tube Results'!$C$2:$C199, "&lt;="&amp;B36, 'ALL Tube Results'!$F$2:$F199, "Positive", 'ALL Tube Results'!$H$2:$H199, "FLSP") </f>
        <v>0</v>
      </c>
      <c r="F36" s="30">
        <f>COUNTIFS('ALL Tube Results'!$C$2:$C199, "&gt;="&amp;A36, 'ALL Tube Results'!$C$2:$C199, "&lt;="&amp;B36, 'ALL Tube Results'!$F$2:$F199, "Inconclusive", 'ALL Tube Results'!$H$2:$H199, "FLSP")
</f>
        <v>0</v>
      </c>
      <c r="G36" s="31" t="str">
        <f t="shared" si="1"/>
        <v/>
      </c>
    </row>
    <row r="37">
      <c r="A37" s="14">
        <v>44417.0</v>
      </c>
      <c r="B37" s="14">
        <v>44423.0</v>
      </c>
      <c r="C37" s="29">
        <f>SUMIFS('ALL Tube Results'!$G$2:$G199, 'ALL Tube Results'!$C$2:$C199, "&gt;="&amp;A37, 'ALL Tube Results'!$C$2:$C199, "&lt;="&amp;B37, 'ALL Tube Results'!$H$2:$H199, "FLSP")</f>
        <v>0</v>
      </c>
      <c r="D37" s="30">
        <f>COUNTIFS('ALL Tube Results'!$C$2:$C199, "&gt;="&amp;A37, 'ALL Tube Results'!$C$2:$C199, "&lt;="&amp;B37, 'ALL Tube Results'!$H$2:$H199, "FLSP")
</f>
        <v>0</v>
      </c>
      <c r="E37" s="30">
        <f>COUNTIFS('ALL Tube Results'!$C$2:$C199, "&gt;="&amp;A37, 'ALL Tube Results'!$C$2:$C199, "&lt;="&amp;B37, 'ALL Tube Results'!$F$2:$F199, "Positive", 'ALL Tube Results'!$H$2:$H199, "FLSP") </f>
        <v>0</v>
      </c>
      <c r="F37" s="30">
        <f>COUNTIFS('ALL Tube Results'!$C$2:$C199, "&gt;="&amp;A37, 'ALL Tube Results'!$C$2:$C199, "&lt;="&amp;B37, 'ALL Tube Results'!$F$2:$F199, "Inconclusive", 'ALL Tube Results'!$H$2:$H199, "FLSP")
</f>
        <v>0</v>
      </c>
      <c r="G37" s="31" t="str">
        <f t="shared" si="1"/>
        <v/>
      </c>
    </row>
    <row r="38">
      <c r="A38" s="14">
        <v>44424.0</v>
      </c>
      <c r="B38" s="14">
        <v>44430.0</v>
      </c>
      <c r="C38" s="29">
        <f>SUMIFS('ALL Tube Results'!$G$2:$G199, 'ALL Tube Results'!$C$2:$C199, "&gt;="&amp;A38, 'ALL Tube Results'!$C$2:$C199, "&lt;="&amp;B38, 'ALL Tube Results'!$H$2:$H199, "FLSP")</f>
        <v>0</v>
      </c>
      <c r="D38" s="30">
        <f>COUNTIFS('ALL Tube Results'!$C$2:$C199, "&gt;="&amp;A38, 'ALL Tube Results'!$C$2:$C199, "&lt;="&amp;B38, 'ALL Tube Results'!$H$2:$H199, "FLSP")
</f>
        <v>0</v>
      </c>
      <c r="E38" s="30">
        <f>COUNTIFS('ALL Tube Results'!$C$2:$C199, "&gt;="&amp;A38, 'ALL Tube Results'!$C$2:$C199, "&lt;="&amp;B38, 'ALL Tube Results'!$F$2:$F199, "Positive", 'ALL Tube Results'!$H$2:$H199, "FLSP") </f>
        <v>0</v>
      </c>
      <c r="F38" s="30">
        <f>COUNTIFS('ALL Tube Results'!$C$2:$C199, "&gt;="&amp;A38, 'ALL Tube Results'!$C$2:$C199, "&lt;="&amp;B38, 'ALL Tube Results'!$F$2:$F199, "Inconclusive", 'ALL Tube Results'!$H$2:$H199, "FLSP")
</f>
        <v>0</v>
      </c>
      <c r="G38" s="31" t="str">
        <f t="shared" si="1"/>
        <v/>
      </c>
    </row>
    <row r="39">
      <c r="A39" s="14">
        <v>44431.0</v>
      </c>
      <c r="B39" s="14">
        <v>44437.0</v>
      </c>
      <c r="C39" s="29">
        <f>SUMIFS('ALL Tube Results'!$G$2:$G199, 'ALL Tube Results'!$C$2:$C199, "&gt;="&amp;A39, 'ALL Tube Results'!$C$2:$C199, "&lt;="&amp;B39, 'ALL Tube Results'!$H$2:$H199, "FLSP")</f>
        <v>0</v>
      </c>
      <c r="D39" s="30">
        <f>COUNTIFS('ALL Tube Results'!$C$2:$C199, "&gt;="&amp;A39, 'ALL Tube Results'!$C$2:$C199, "&lt;="&amp;B39, 'ALL Tube Results'!$H$2:$H199, "FLSP")
</f>
        <v>0</v>
      </c>
      <c r="E39" s="30">
        <f>COUNTIFS('ALL Tube Results'!$C$2:$C199, "&gt;="&amp;A39, 'ALL Tube Results'!$C$2:$C199, "&lt;="&amp;B39, 'ALL Tube Results'!$F$2:$F199, "Positive", 'ALL Tube Results'!$H$2:$H199, "FLSP") </f>
        <v>0</v>
      </c>
      <c r="F39" s="30">
        <f>COUNTIFS('ALL Tube Results'!$C$2:$C199, "&gt;="&amp;A39, 'ALL Tube Results'!$C$2:$C199, "&lt;="&amp;B39, 'ALL Tube Results'!$F$2:$F199, "Inconclusive", 'ALL Tube Results'!$H$2:$H199, "FLSP")
</f>
        <v>0</v>
      </c>
      <c r="G39" s="31" t="str">
        <f t="shared" si="1"/>
        <v/>
      </c>
    </row>
    <row r="40">
      <c r="A40" s="14">
        <v>44438.0</v>
      </c>
      <c r="B40" s="14">
        <v>44444.0</v>
      </c>
      <c r="C40" s="29">
        <f>SUMIFS('ALL Tube Results'!$G$2:$G199, 'ALL Tube Results'!$C$2:$C199, "&gt;="&amp;A40, 'ALL Tube Results'!$C$2:$C199, "&lt;="&amp;B40, 'ALL Tube Results'!$H$2:$H199, "FLSP")</f>
        <v>7</v>
      </c>
      <c r="D40" s="30">
        <f>COUNTIFS('ALL Tube Results'!$C$2:$C199, "&gt;="&amp;A40, 'ALL Tube Results'!$C$2:$C199, "&lt;="&amp;B40, 'ALL Tube Results'!$H$2:$H199, "FLSP")
</f>
        <v>4</v>
      </c>
      <c r="E40" s="30">
        <f>COUNTIFS('ALL Tube Results'!$C$2:$C199, "&gt;="&amp;A40, 'ALL Tube Results'!$C$2:$C199, "&lt;="&amp;B40, 'ALL Tube Results'!$F$2:$F199, "Positive", 'ALL Tube Results'!$H$2:$H199, "FLSP") </f>
        <v>0</v>
      </c>
      <c r="F40" s="30">
        <f>COUNTIFS('ALL Tube Results'!$C$2:$C199, "&gt;="&amp;A40, 'ALL Tube Results'!$C$2:$C199, "&lt;="&amp;B40, 'ALL Tube Results'!$F$2:$F199, "Inconclusive", 'ALL Tube Results'!$H$2:$H199, "FLSP")
</f>
        <v>0</v>
      </c>
      <c r="G40" s="31">
        <f t="shared" si="1"/>
        <v>0</v>
      </c>
    </row>
    <row r="41">
      <c r="A41" s="14">
        <v>44445.0</v>
      </c>
      <c r="B41" s="14">
        <v>44451.0</v>
      </c>
      <c r="C41" s="29">
        <f>SUMIFS('ALL Tube Results'!$G$2:$G199, 'ALL Tube Results'!$C$2:$C199, "&gt;="&amp;A41, 'ALL Tube Results'!$C$2:$C199, "&lt;="&amp;B41, 'ALL Tube Results'!$H$2:$H199, "FLSP")</f>
        <v>4</v>
      </c>
      <c r="D41" s="30">
        <f>COUNTIFS('ALL Tube Results'!$C$2:$C199, "&gt;="&amp;A41, 'ALL Tube Results'!$C$2:$C199, "&lt;="&amp;B41, 'ALL Tube Results'!$H$2:$H199, "FLSP")
</f>
        <v>2</v>
      </c>
      <c r="E41" s="30">
        <f>COUNTIFS('ALL Tube Results'!$C$2:$C199, "&gt;="&amp;A41, 'ALL Tube Results'!$C$2:$C199, "&lt;="&amp;B41, 'ALL Tube Results'!$F$2:$F199, "Positive", 'ALL Tube Results'!$H$2:$H199, "FLSP") </f>
        <v>0</v>
      </c>
      <c r="F41" s="30">
        <f>COUNTIFS('ALL Tube Results'!$C$2:$C199, "&gt;="&amp;A41, 'ALL Tube Results'!$C$2:$C199, "&lt;="&amp;B41, 'ALL Tube Results'!$F$2:$F199, "Inconclusive", 'ALL Tube Results'!$H$2:$H199, "FLSP")
</f>
        <v>0</v>
      </c>
      <c r="G41" s="31">
        <f t="shared" si="1"/>
        <v>0</v>
      </c>
    </row>
    <row r="42">
      <c r="A42" s="14">
        <v>44452.0</v>
      </c>
      <c r="B42" s="14">
        <v>44458.0</v>
      </c>
      <c r="C42" s="29">
        <f>SUMIFS('ALL Tube Results'!$G$2:$G199, 'ALL Tube Results'!$C$2:$C199, "&gt;="&amp;A42, 'ALL Tube Results'!$C$2:$C199, "&lt;="&amp;B42, 'ALL Tube Results'!$H$2:$H199, "FLSP")</f>
        <v>9</v>
      </c>
      <c r="D42" s="30">
        <f>COUNTIFS('ALL Tube Results'!$C$2:$C199, "&gt;="&amp;A42, 'ALL Tube Results'!$C$2:$C199, "&lt;="&amp;B42, 'ALL Tube Results'!$H$2:$H199, "FLSP")
</f>
        <v>6</v>
      </c>
      <c r="E42" s="30">
        <f>COUNTIFS('ALL Tube Results'!$C$2:$C199, "&gt;="&amp;A42, 'ALL Tube Results'!$C$2:$C199, "&lt;="&amp;B42, 'ALL Tube Results'!$F$2:$F199, "Positive", 'ALL Tube Results'!$H$2:$H199, "FLSP") </f>
        <v>0</v>
      </c>
      <c r="F42" s="30">
        <f>COUNTIFS('ALL Tube Results'!$C$2:$C199, "&gt;="&amp;A42, 'ALL Tube Results'!$C$2:$C199, "&lt;="&amp;B42, 'ALL Tube Results'!$F$2:$F199, "Inconclusive", 'ALL Tube Results'!$H$2:$H199, "FLSP")
</f>
        <v>0</v>
      </c>
      <c r="G42" s="31">
        <f t="shared" si="1"/>
        <v>0</v>
      </c>
    </row>
    <row r="43">
      <c r="A43" s="14">
        <v>44459.0</v>
      </c>
      <c r="B43" s="14">
        <v>44465.0</v>
      </c>
      <c r="C43" s="29">
        <f>SUMIFS('ALL Tube Results'!$G$2:$G199, 'ALL Tube Results'!$C$2:$C199, "&gt;="&amp;A43, 'ALL Tube Results'!$C$2:$C199, "&lt;="&amp;B43, 'ALL Tube Results'!$H$2:$H199, "FLSP")</f>
        <v>7</v>
      </c>
      <c r="D43" s="30">
        <f>COUNTIFS('ALL Tube Results'!$C$2:$C199, "&gt;="&amp;A43, 'ALL Tube Results'!$C$2:$C199, "&lt;="&amp;B43, 'ALL Tube Results'!$H$2:$H199, "FLSP")
</f>
        <v>4</v>
      </c>
      <c r="E43" s="30">
        <f>COUNTIFS('ALL Tube Results'!$C$2:$C199, "&gt;="&amp;A43, 'ALL Tube Results'!$C$2:$C199, "&lt;="&amp;B43, 'ALL Tube Results'!$F$2:$F199, "Positive", 'ALL Tube Results'!$H$2:$H199, "FLSP") </f>
        <v>0</v>
      </c>
      <c r="F43" s="30">
        <f>COUNTIFS('ALL Tube Results'!$C$2:$C199, "&gt;="&amp;A43, 'ALL Tube Results'!$C$2:$C199, "&lt;="&amp;B43, 'ALL Tube Results'!$F$2:$F199, "Inconclusive", 'ALL Tube Results'!$H$2:$H199, "FLSP")
</f>
        <v>0</v>
      </c>
      <c r="G43" s="31">
        <f t="shared" si="1"/>
        <v>0</v>
      </c>
    </row>
    <row r="44">
      <c r="A44" s="14">
        <v>44466.0</v>
      </c>
      <c r="B44" s="14">
        <v>44472.0</v>
      </c>
      <c r="C44" s="29">
        <f>SUMIFS('ALL Tube Results'!$G$2:$G199, 'ALL Tube Results'!$C$2:$C199, "&gt;="&amp;A44, 'ALL Tube Results'!$C$2:$C199, "&lt;="&amp;B44, 'ALL Tube Results'!$H$2:$H199, "FLSP")</f>
        <v>0</v>
      </c>
      <c r="D44" s="30">
        <f>COUNTIFS('ALL Tube Results'!$C$2:$C199, "&gt;="&amp;A44, 'ALL Tube Results'!$C$2:$C199, "&lt;="&amp;B44, 'ALL Tube Results'!$H$2:$H199, "FLSP")
</f>
        <v>0</v>
      </c>
      <c r="E44" s="30">
        <f>COUNTIFS('ALL Tube Results'!$C$2:$C199, "&gt;="&amp;A44, 'ALL Tube Results'!$C$2:$C199, "&lt;="&amp;B44, 'ALL Tube Results'!$F$2:$F199, "Positive", 'ALL Tube Results'!$H$2:$H199, "FLSP") </f>
        <v>0</v>
      </c>
      <c r="F44" s="30">
        <f>COUNTIFS('ALL Tube Results'!$C$2:$C199, "&gt;="&amp;A44, 'ALL Tube Results'!$C$2:$C199, "&lt;="&amp;B44, 'ALL Tube Results'!$F$2:$F199, "Inconclusive", 'ALL Tube Results'!$H$2:$H199, "FLSP")
</f>
        <v>0</v>
      </c>
      <c r="G44" s="31" t="str">
        <f t="shared" si="1"/>
        <v/>
      </c>
    </row>
    <row r="45">
      <c r="A45" s="14">
        <v>44473.0</v>
      </c>
      <c r="B45" s="14">
        <v>44479.0</v>
      </c>
      <c r="C45" s="29">
        <f>SUMIFS('ALL Tube Results'!$G$2:$G199, 'ALL Tube Results'!$C$2:$C199, "&gt;="&amp;A45, 'ALL Tube Results'!$C$2:$C199, "&lt;="&amp;B45, 'ALL Tube Results'!$H$2:$H199, "FLSP")</f>
        <v>10</v>
      </c>
      <c r="D45" s="30">
        <f>COUNTIFS('ALL Tube Results'!$C$2:$C199, "&gt;="&amp;A45, 'ALL Tube Results'!$C$2:$C199, "&lt;="&amp;B45, 'ALL Tube Results'!$H$2:$H199, "FLSP")
</f>
        <v>7</v>
      </c>
      <c r="E45" s="30">
        <f>COUNTIFS('ALL Tube Results'!$C$2:$C199, "&gt;="&amp;A45, 'ALL Tube Results'!$C$2:$C199, "&lt;="&amp;B45, 'ALL Tube Results'!$F$2:$F199, "Positive", 'ALL Tube Results'!$H$2:$H199, "FLSP") </f>
        <v>0</v>
      </c>
      <c r="F45" s="30">
        <f>COUNTIFS('ALL Tube Results'!$C$2:$C199, "&gt;="&amp;A45, 'ALL Tube Results'!$C$2:$C199, "&lt;="&amp;B45, 'ALL Tube Results'!$F$2:$F199, "Inconclusive", 'ALL Tube Results'!$H$2:$H199, "FLSP")
</f>
        <v>0</v>
      </c>
      <c r="G45" s="31">
        <f t="shared" si="1"/>
        <v>0</v>
      </c>
    </row>
    <row r="46">
      <c r="A46" s="14">
        <v>44480.0</v>
      </c>
      <c r="B46" s="14">
        <v>44486.0</v>
      </c>
      <c r="C46" s="29">
        <f>SUMIFS('ALL Tube Results'!$G$2:$G199, 'ALL Tube Results'!$C$2:$C199, "&gt;="&amp;A46, 'ALL Tube Results'!$C$2:$C199, "&lt;="&amp;B46, 'ALL Tube Results'!$H$2:$H199, "FLSP")</f>
        <v>11</v>
      </c>
      <c r="D46" s="30">
        <f>COUNTIFS('ALL Tube Results'!$C$2:$C199, "&gt;="&amp;A46, 'ALL Tube Results'!$C$2:$C199, "&lt;="&amp;B46, 'ALL Tube Results'!$H$2:$H199, "FLSP")
</f>
        <v>5</v>
      </c>
      <c r="E46" s="30">
        <f>COUNTIFS('ALL Tube Results'!$C$2:$C199, "&gt;="&amp;A46, 'ALL Tube Results'!$C$2:$C199, "&lt;="&amp;B46, 'ALL Tube Results'!$F$2:$F199, "Positive", 'ALL Tube Results'!$H$2:$H199, "FLSP") </f>
        <v>0</v>
      </c>
      <c r="F46" s="30">
        <f>COUNTIFS('ALL Tube Results'!$C$2:$C199, "&gt;="&amp;A46, 'ALL Tube Results'!$C$2:$C199, "&lt;="&amp;B46, 'ALL Tube Results'!$F$2:$F199, "Inconclusive", 'ALL Tube Results'!$H$2:$H199, "FLSP")
</f>
        <v>0</v>
      </c>
      <c r="G46" s="31">
        <f t="shared" si="1"/>
        <v>0</v>
      </c>
    </row>
    <row r="47">
      <c r="A47" s="14">
        <v>44487.0</v>
      </c>
      <c r="B47" s="14">
        <v>44493.0</v>
      </c>
      <c r="C47" s="29">
        <f>SUMIFS('ALL Tube Results'!$G$2:$G199, 'ALL Tube Results'!$C$2:$C199, "&gt;="&amp;A47, 'ALL Tube Results'!$C$2:$C199, "&lt;="&amp;B47, 'ALL Tube Results'!$H$2:$H199, "FLSP")</f>
        <v>15</v>
      </c>
      <c r="D47" s="30">
        <f>COUNTIFS('ALL Tube Results'!$C$2:$C199, "&gt;="&amp;A47, 'ALL Tube Results'!$C$2:$C199, "&lt;="&amp;B47, 'ALL Tube Results'!$H$2:$H199, "FLSP")
</f>
        <v>8</v>
      </c>
      <c r="E47" s="30">
        <f>COUNTIFS('ALL Tube Results'!$C$2:$C199, "&gt;="&amp;A47, 'ALL Tube Results'!$C$2:$C199, "&lt;="&amp;B47, 'ALL Tube Results'!$F$2:$F199, "Positive", 'ALL Tube Results'!$H$2:$H199, "FLSP") </f>
        <v>0</v>
      </c>
      <c r="F47" s="30">
        <f>COUNTIFS('ALL Tube Results'!$C$2:$C199, "&gt;="&amp;A47, 'ALL Tube Results'!$C$2:$C199, "&lt;="&amp;B47, 'ALL Tube Results'!$F$2:$F199, "Inconclusive", 'ALL Tube Results'!$H$2:$H199, "FLSP")
</f>
        <v>0</v>
      </c>
      <c r="G47" s="31">
        <f t="shared" si="1"/>
        <v>0</v>
      </c>
    </row>
    <row r="48">
      <c r="A48" s="14">
        <v>44494.0</v>
      </c>
      <c r="B48" s="14">
        <v>44500.0</v>
      </c>
      <c r="C48" s="29">
        <f>SUMIFS('ALL Tube Results'!$G$2:$G199, 'ALL Tube Results'!$C$2:$C199, "&gt;="&amp;A48, 'ALL Tube Results'!$C$2:$C199, "&lt;="&amp;B48, 'ALL Tube Results'!$H$2:$H199, "FLSP")</f>
        <v>2</v>
      </c>
      <c r="D48" s="30">
        <f>COUNTIFS('ALL Tube Results'!$C$2:$C199, "&gt;="&amp;A48, 'ALL Tube Results'!$C$2:$C199, "&lt;="&amp;B48, 'ALL Tube Results'!$H$2:$H199, "FLSP")
</f>
        <v>2</v>
      </c>
      <c r="E48" s="30">
        <f>COUNTIFS('ALL Tube Results'!$C$2:$C199, "&gt;="&amp;A48, 'ALL Tube Results'!$C$2:$C199, "&lt;="&amp;B48, 'ALL Tube Results'!$F$2:$F199, "Positive", 'ALL Tube Results'!$H$2:$H199, "FLSP") </f>
        <v>0</v>
      </c>
      <c r="F48" s="30">
        <f>COUNTIFS('ALL Tube Results'!$C$2:$C199, "&gt;="&amp;A48, 'ALL Tube Results'!$C$2:$C199, "&lt;="&amp;B48, 'ALL Tube Results'!$F$2:$F199, "Inconclusive", 'ALL Tube Results'!$H$2:$H199, "FLSP")
</f>
        <v>0</v>
      </c>
      <c r="G48" s="31">
        <f t="shared" si="1"/>
        <v>0</v>
      </c>
    </row>
    <row r="49">
      <c r="A49" s="14">
        <v>44501.0</v>
      </c>
      <c r="B49" s="14">
        <v>44507.0</v>
      </c>
      <c r="C49" s="29">
        <f>SUMIFS('ALL Tube Results'!$G$2:$G199, 'ALL Tube Results'!$C$2:$C199, "&gt;="&amp;A49, 'ALL Tube Results'!$C$2:$C199, "&lt;="&amp;B49, 'ALL Tube Results'!$H$2:$H199, "FLSP")</f>
        <v>19</v>
      </c>
      <c r="D49" s="30">
        <f>COUNTIFS('ALL Tube Results'!$C$2:$C199, "&gt;="&amp;A49, 'ALL Tube Results'!$C$2:$C199, "&lt;="&amp;B49, 'ALL Tube Results'!$H$2:$H199, "FLSP")
</f>
        <v>9</v>
      </c>
      <c r="E49" s="30">
        <f>COUNTIFS('ALL Tube Results'!$C$2:$C199, "&gt;="&amp;A49, 'ALL Tube Results'!$C$2:$C199, "&lt;="&amp;B49, 'ALL Tube Results'!$F$2:$F199, "Positive", 'ALL Tube Results'!$H$2:$H199, "FLSP") </f>
        <v>0</v>
      </c>
      <c r="F49" s="30">
        <f>COUNTIFS('ALL Tube Results'!$C$2:$C199, "&gt;="&amp;A49, 'ALL Tube Results'!$C$2:$C199, "&lt;="&amp;B49, 'ALL Tube Results'!$F$2:$F199, "Inconclusive", 'ALL Tube Results'!$H$2:$H199, "FLSP")
</f>
        <v>0</v>
      </c>
      <c r="G49" s="31">
        <f t="shared" si="1"/>
        <v>0</v>
      </c>
    </row>
    <row r="50">
      <c r="A50" s="14">
        <v>44508.0</v>
      </c>
      <c r="B50" s="14">
        <v>44514.0</v>
      </c>
      <c r="C50" s="29">
        <f>SUMIFS('ALL Tube Results'!$G$2:$G199, 'ALL Tube Results'!$C$2:$C199, "&gt;="&amp;A50, 'ALL Tube Results'!$C$2:$C199, "&lt;="&amp;B50, 'ALL Tube Results'!$H$2:$H199, "FLSP")</f>
        <v>15</v>
      </c>
      <c r="D50" s="30">
        <f>COUNTIFS('ALL Tube Results'!$C$2:$C199, "&gt;="&amp;A50, 'ALL Tube Results'!$C$2:$C199, "&lt;="&amp;B50, 'ALL Tube Results'!$H$2:$H199, "FLSP")
</f>
        <v>6</v>
      </c>
      <c r="E50" s="30">
        <f>COUNTIFS('ALL Tube Results'!$C$2:$C199, "&gt;="&amp;A50, 'ALL Tube Results'!$C$2:$C199, "&lt;="&amp;B50, 'ALL Tube Results'!$F$2:$F199, "Positive", 'ALL Tube Results'!$H$2:$H199, "FLSP") </f>
        <v>0</v>
      </c>
      <c r="F50" s="30">
        <f>COUNTIFS('ALL Tube Results'!$C$2:$C199, "&gt;="&amp;A50, 'ALL Tube Results'!$C$2:$C199, "&lt;="&amp;B50, 'ALL Tube Results'!$F$2:$F199, "Inconclusive", 'ALL Tube Results'!$H$2:$H199, "FLSP")
</f>
        <v>0</v>
      </c>
      <c r="G50" s="31">
        <f t="shared" si="1"/>
        <v>0</v>
      </c>
    </row>
    <row r="51">
      <c r="A51" s="14">
        <v>44515.0</v>
      </c>
      <c r="B51" s="14">
        <v>44521.0</v>
      </c>
      <c r="C51" s="29">
        <f>SUMIFS('ALL Tube Results'!$G$2:$G199, 'ALL Tube Results'!$C$2:$C199, "&gt;="&amp;A51, 'ALL Tube Results'!$C$2:$C199, "&lt;="&amp;B51, 'ALL Tube Results'!$H$2:$H199, "FLSP")</f>
        <v>15</v>
      </c>
      <c r="D51" s="30">
        <f>COUNTIFS('ALL Tube Results'!$C$2:$C199, "&gt;="&amp;A51, 'ALL Tube Results'!$C$2:$C199, "&lt;="&amp;B51, 'ALL Tube Results'!$H$2:$H199, "FLSP")
</f>
        <v>6</v>
      </c>
      <c r="E51" s="30">
        <f>COUNTIFS('ALL Tube Results'!$C$2:$C199, "&gt;="&amp;A51, 'ALL Tube Results'!$C$2:$C199, "&lt;="&amp;B51, 'ALL Tube Results'!$F$2:$F199, "Positive", 'ALL Tube Results'!$H$2:$H199, "FLSP") </f>
        <v>0</v>
      </c>
      <c r="F51" s="30">
        <f>COUNTIFS('ALL Tube Results'!$C$2:$C199, "&gt;="&amp;A51, 'ALL Tube Results'!$C$2:$C199, "&lt;="&amp;B51, 'ALL Tube Results'!$F$2:$F199, "Inconclusive", 'ALL Tube Results'!$H$2:$H199, "FLSP")
</f>
        <v>0</v>
      </c>
      <c r="G51" s="31">
        <f t="shared" si="1"/>
        <v>0</v>
      </c>
    </row>
    <row r="52">
      <c r="A52" s="14">
        <v>44522.0</v>
      </c>
      <c r="B52" s="14">
        <v>44528.0</v>
      </c>
      <c r="C52" s="29">
        <f>SUMIFS('ALL Tube Results'!$G$2:$G199, 'ALL Tube Results'!$C$2:$C199, "&gt;="&amp;A52, 'ALL Tube Results'!$C$2:$C199, "&lt;="&amp;B52, 'ALL Tube Results'!$H$2:$H199, "FLSP")</f>
        <v>43</v>
      </c>
      <c r="D52" s="30">
        <f>COUNTIFS('ALL Tube Results'!$C$2:$C199, "&gt;="&amp;A52, 'ALL Tube Results'!$C$2:$C199, "&lt;="&amp;B52, 'ALL Tube Results'!$H$2:$H199, "FLSP")
</f>
        <v>12</v>
      </c>
      <c r="E52" s="30">
        <f>COUNTIFS('ALL Tube Results'!$C$2:$C199, "&gt;="&amp;A52, 'ALL Tube Results'!$C$2:$C199, "&lt;="&amp;B52, 'ALL Tube Results'!$F$2:$F199, "Positive", 'ALL Tube Results'!$H$2:$H199, "FLSP") </f>
        <v>0</v>
      </c>
      <c r="F52" s="30">
        <f>COUNTIFS('ALL Tube Results'!$C$2:$C199, "&gt;="&amp;A52, 'ALL Tube Results'!$C$2:$C199, "&lt;="&amp;B52, 'ALL Tube Results'!$F$2:$F199, "Inconclusive", 'ALL Tube Results'!$H$2:$H199, "FLSP")
</f>
        <v>0</v>
      </c>
      <c r="G52" s="31">
        <f t="shared" si="1"/>
        <v>0</v>
      </c>
    </row>
    <row r="53">
      <c r="A53" s="14">
        <v>44529.0</v>
      </c>
      <c r="B53" s="14">
        <v>44535.0</v>
      </c>
      <c r="C53" s="29">
        <f>SUMIFS('ALL Tube Results'!$G$2:$G199, 'ALL Tube Results'!$C$2:$C199, "&gt;="&amp;A53, 'ALL Tube Results'!$C$2:$C199, "&lt;="&amp;B53, 'ALL Tube Results'!$H$2:$H199, "FLSP")</f>
        <v>18</v>
      </c>
      <c r="D53" s="30">
        <f>COUNTIFS('ALL Tube Results'!$C$2:$C199, "&gt;="&amp;A53, 'ALL Tube Results'!$C$2:$C199, "&lt;="&amp;B53, 'ALL Tube Results'!$H$2:$H199, "FLSP")
</f>
        <v>8</v>
      </c>
      <c r="E53" s="30">
        <f>COUNTIFS('ALL Tube Results'!$C$2:$C199, "&gt;="&amp;A53, 'ALL Tube Results'!$C$2:$C199, "&lt;="&amp;B53, 'ALL Tube Results'!$F$2:$F199, "Positive", 'ALL Tube Results'!$H$2:$H199, "FLSP") </f>
        <v>0</v>
      </c>
      <c r="F53" s="30">
        <f>COUNTIFS('ALL Tube Results'!$C$2:$C199, "&gt;="&amp;A53, 'ALL Tube Results'!$C$2:$C199, "&lt;="&amp;B53, 'ALL Tube Results'!$F$2:$F199, "Inconclusive", 'ALL Tube Results'!$H$2:$H199, "FLSP")
</f>
        <v>0</v>
      </c>
      <c r="G53" s="31">
        <f t="shared" si="1"/>
        <v>0</v>
      </c>
    </row>
    <row r="54">
      <c r="A54" s="14">
        <v>44536.0</v>
      </c>
      <c r="B54" s="14">
        <v>44542.0</v>
      </c>
      <c r="C54" s="29">
        <f>SUMIFS('ALL Tube Results'!$G$2:$G199, 'ALL Tube Results'!$C$2:$C199, "&gt;="&amp;A54, 'ALL Tube Results'!$C$2:$C199, "&lt;="&amp;B54, 'ALL Tube Results'!$H$2:$H199, "FLSP")</f>
        <v>39</v>
      </c>
      <c r="D54" s="30">
        <f>COUNTIFS('ALL Tube Results'!$C$2:$C199, "&gt;="&amp;A54, 'ALL Tube Results'!$C$2:$C199, "&lt;="&amp;B54, 'ALL Tube Results'!$H$2:$H199, "FLSP")
</f>
        <v>19</v>
      </c>
      <c r="E54" s="30">
        <f>COUNTIFS('ALL Tube Results'!$C$2:$C199, "&gt;="&amp;A54, 'ALL Tube Results'!$C$2:$C199, "&lt;="&amp;B54, 'ALL Tube Results'!$F$2:$F199, "Positive", 'ALL Tube Results'!$H$2:$H199, "FLSP") </f>
        <v>0</v>
      </c>
      <c r="F54" s="30">
        <f>COUNTIFS('ALL Tube Results'!$C$2:$C199, "&gt;="&amp;A54, 'ALL Tube Results'!$C$2:$C199, "&lt;="&amp;B54, 'ALL Tube Results'!$F$2:$F199, "Inconclusive", 'ALL Tube Results'!$H$2:$H199, "FLSP")
</f>
        <v>0</v>
      </c>
      <c r="G54" s="31">
        <f t="shared" si="1"/>
        <v>0</v>
      </c>
    </row>
    <row r="55">
      <c r="A55" s="14">
        <v>44543.0</v>
      </c>
      <c r="B55" s="14">
        <v>44549.0</v>
      </c>
      <c r="C55" s="29">
        <f>SUMIFS('ALL Tube Results'!$G$2:$G199, 'ALL Tube Results'!$C$2:$C199, "&gt;="&amp;A55, 'ALL Tube Results'!$C$2:$C199, "&lt;="&amp;B55, 'ALL Tube Results'!$H$2:$H199, "FLSP")</f>
        <v>43</v>
      </c>
      <c r="D55" s="30">
        <f>COUNTIFS('ALL Tube Results'!$C$2:$C199, "&gt;="&amp;A55, 'ALL Tube Results'!$C$2:$C199, "&lt;="&amp;B55, 'ALL Tube Results'!$H$2:$H199, "FLSP")
</f>
        <v>22</v>
      </c>
      <c r="E55" s="30">
        <f>COUNTIFS('ALL Tube Results'!$C$2:$C199, "&gt;="&amp;A55, 'ALL Tube Results'!$C$2:$C199, "&lt;="&amp;B55, 'ALL Tube Results'!$F$2:$F199, "Positive", 'ALL Tube Results'!$H$2:$H199, "FLSP") </f>
        <v>2</v>
      </c>
      <c r="F55" s="30">
        <f>COUNTIFS('ALL Tube Results'!$C$2:$C199, "&gt;="&amp;A55, 'ALL Tube Results'!$C$2:$C199, "&lt;="&amp;B55, 'ALL Tube Results'!$F$2:$F199, "Inconclusive", 'ALL Tube Results'!$H$2:$H199, "FLSP")
</f>
        <v>0</v>
      </c>
      <c r="G55" s="31">
        <f t="shared" si="1"/>
        <v>0.09090909091</v>
      </c>
      <c r="I55" s="33"/>
      <c r="J55" s="34"/>
      <c r="K55" s="34"/>
    </row>
    <row r="56">
      <c r="A56" s="14">
        <v>44550.0</v>
      </c>
      <c r="B56" s="14">
        <v>44556.0</v>
      </c>
      <c r="C56" s="29">
        <f>SUMIFS('ALL Tube Results'!$G$2:$G199, 'ALL Tube Results'!$C$2:$C199, "&gt;="&amp;A56, 'ALL Tube Results'!$C$2:$C199, "&lt;="&amp;B56, 'ALL Tube Results'!$H$2:$H199, "FLSP")</f>
        <v>34</v>
      </c>
      <c r="D56" s="30">
        <f>COUNTIFS('ALL Tube Results'!$C$2:$C199, "&gt;="&amp;A56, 'ALL Tube Results'!$C$2:$C199, "&lt;="&amp;B56, 'ALL Tube Results'!$H$2:$H199, "FLSP")
</f>
        <v>29</v>
      </c>
      <c r="E56" s="30">
        <f>COUNTIFS('ALL Tube Results'!$C$2:$C199, "&gt;="&amp;A56, 'ALL Tube Results'!$C$2:$C199, "&lt;="&amp;B56, 'ALL Tube Results'!$F$2:$F199, "Positive", 'ALL Tube Results'!$H$2:$H199, "FLSP") </f>
        <v>6</v>
      </c>
      <c r="F56" s="30">
        <f>COUNTIFS('ALL Tube Results'!$C$2:$C199, "&gt;="&amp;A56, 'ALL Tube Results'!$C$2:$C199, "&lt;="&amp;B56, 'ALL Tube Results'!$F$2:$F199, "Inconclusive", 'ALL Tube Results'!$H$2:$H199, "FLSP")
</f>
        <v>0</v>
      </c>
      <c r="G56" s="31">
        <f t="shared" si="1"/>
        <v>0.2068965517</v>
      </c>
    </row>
    <row r="57">
      <c r="A57" s="14">
        <v>44557.0</v>
      </c>
      <c r="B57" s="14">
        <v>44563.0</v>
      </c>
      <c r="C57" s="29">
        <f>SUMIFS('ALL Tube Results'!$G$2:$G199, 'ALL Tube Results'!$C$2:$C199, "&gt;="&amp;A57, 'ALL Tube Results'!$C$2:$C199, "&lt;="&amp;B57, 'ALL Tube Results'!$H$2:$H199, "FLSP")</f>
        <v>44</v>
      </c>
      <c r="D57" s="30">
        <f>COUNTIFS('ALL Tube Results'!$C$2:$C199, "&gt;="&amp;A57, 'ALL Tube Results'!$C$2:$C199, "&lt;="&amp;B57, 'ALL Tube Results'!$H$2:$H199, "FLSP")
</f>
        <v>31</v>
      </c>
      <c r="E57" s="30">
        <f>COUNTIFS('ALL Tube Results'!$C$2:$C199, "&gt;="&amp;A57, 'ALL Tube Results'!$C$2:$C199, "&lt;="&amp;B57, 'ALL Tube Results'!$F$2:$F199, "Positive", 'ALL Tube Results'!$H$2:$H199, "FLSP") </f>
        <v>4</v>
      </c>
      <c r="F57" s="30">
        <f>COUNTIFS('ALL Tube Results'!$C$2:$C199, "&gt;="&amp;A57, 'ALL Tube Results'!$C$2:$C199, "&lt;="&amp;B57, 'ALL Tube Results'!$F$2:$F199, "Inconclusive", 'ALL Tube Results'!$H$2:$H199, "FLSP")
</f>
        <v>0</v>
      </c>
      <c r="G57" s="31">
        <f t="shared" si="1"/>
        <v>0.1290322581</v>
      </c>
    </row>
    <row r="58">
      <c r="A58" s="14">
        <v>44564.0</v>
      </c>
      <c r="B58" s="14">
        <v>44570.0</v>
      </c>
      <c r="C58" s="29">
        <f>SUMIFS('ALL Tube Results'!$G$2:$G199, 'ALL Tube Results'!$C$2:$C199, "&gt;="&amp;A58, 'ALL Tube Results'!$C$2:$C199, "&lt;="&amp;B58, 'ALL Tube Results'!$H$2:$H199, "FLSP")</f>
        <v>9</v>
      </c>
      <c r="D58" s="30">
        <f>COUNTIFS('ALL Tube Results'!$C$2:$C199, "&gt;="&amp;A58, 'ALL Tube Results'!$C$2:$C199, "&lt;="&amp;B58, 'ALL Tube Results'!$H$2:$H199, "FLSP")
</f>
        <v>6</v>
      </c>
      <c r="E58" s="30">
        <f>COUNTIFS('ALL Tube Results'!$C$2:$C199, "&gt;="&amp;A58, 'ALL Tube Results'!$C$2:$C199, "&lt;="&amp;B58, 'ALL Tube Results'!$F$2:$F199, "Positive", 'ALL Tube Results'!$H$2:$H199, "FLSP") </f>
        <v>1</v>
      </c>
      <c r="F58" s="30">
        <f>COUNTIFS('ALL Tube Results'!$C$2:$C199, "&gt;="&amp;A58, 'ALL Tube Results'!$C$2:$C199, "&lt;="&amp;B58, 'ALL Tube Results'!$F$2:$F199, "Inconclusive", 'ALL Tube Results'!$H$2:$H199, "FLSP")
</f>
        <v>0</v>
      </c>
      <c r="G58" s="31">
        <f t="shared" si="1"/>
        <v>0.1666666667</v>
      </c>
    </row>
    <row r="59">
      <c r="A59" s="14">
        <v>44571.0</v>
      </c>
      <c r="B59" s="14">
        <v>44577.0</v>
      </c>
      <c r="C59" s="29">
        <f>SUMIFS('ALL Tube Results'!$G$2:$G199, 'ALL Tube Results'!$C$2:$C199, "&gt;="&amp;A59, 'ALL Tube Results'!$C$2:$C199, "&lt;="&amp;B59, 'ALL Tube Results'!$H$2:$H199, "FLSP")</f>
        <v>10</v>
      </c>
      <c r="D59" s="30">
        <f>COUNTIFS('ALL Tube Results'!$C$2:$C199, "&gt;="&amp;A59, 'ALL Tube Results'!$C$2:$C199, "&lt;="&amp;B59, 'ALL Tube Results'!$H$2:$H199, "FLSP")
</f>
        <v>10</v>
      </c>
      <c r="E59" s="30">
        <f>COUNTIFS('ALL Tube Results'!$C$2:$C199, "&gt;="&amp;A59, 'ALL Tube Results'!$C$2:$C199, "&lt;="&amp;B59, 'ALL Tube Results'!$F$2:$F199, "Positive", 'ALL Tube Results'!$H$2:$H199, "FLSP") </f>
        <v>4</v>
      </c>
      <c r="F59" s="30">
        <f>COUNTIFS('ALL Tube Results'!$C$2:$C199, "&gt;="&amp;A59, 'ALL Tube Results'!$C$2:$C199, "&lt;="&amp;B59, 'ALL Tube Results'!$F$2:$F199, "Inconclusive", 'ALL Tube Results'!$H$2:$H199, "FLSP")
</f>
        <v>0</v>
      </c>
      <c r="G59" s="31">
        <f t="shared" si="1"/>
        <v>0.4</v>
      </c>
    </row>
    <row r="60">
      <c r="A60" s="14">
        <v>44578.0</v>
      </c>
      <c r="B60" s="14">
        <v>44584.0</v>
      </c>
      <c r="C60" s="29">
        <f>SUMIFS('ALL Tube Results'!$G$2:$G199, 'ALL Tube Results'!$C$2:$C199, "&gt;="&amp;A60, 'ALL Tube Results'!$C$2:$C199, "&lt;="&amp;B60, 'ALL Tube Results'!$H$2:$H199, "FLSP")</f>
        <v>15</v>
      </c>
      <c r="D60" s="30">
        <f>COUNTIFS('ALL Tube Results'!$C$2:$C199, "&gt;="&amp;A60, 'ALL Tube Results'!$C$2:$C199, "&lt;="&amp;B60, 'ALL Tube Results'!$H$2:$H199, "FLSP")
</f>
        <v>15</v>
      </c>
      <c r="E60" s="30">
        <f>COUNTIFS('ALL Tube Results'!$C$2:$C199, "&gt;="&amp;A60, 'ALL Tube Results'!$C$2:$C199, "&lt;="&amp;B60, 'ALL Tube Results'!$F$2:$F199, "Positive", 'ALL Tube Results'!$H$2:$H199, "FLSP") </f>
        <v>4</v>
      </c>
      <c r="F60" s="30">
        <f>COUNTIFS('ALL Tube Results'!$C$2:$C199, "&gt;="&amp;A60, 'ALL Tube Results'!$C$2:$C199, "&lt;="&amp;B60, 'ALL Tube Results'!$F$2:$F199, "Inconclusive", 'ALL Tube Results'!$H$2:$H199, "FLSP")
</f>
        <v>0</v>
      </c>
      <c r="G60" s="31">
        <f t="shared" si="1"/>
        <v>0.2666666667</v>
      </c>
    </row>
    <row r="61">
      <c r="A61" s="14">
        <v>44585.0</v>
      </c>
      <c r="B61" s="14">
        <v>44591.0</v>
      </c>
      <c r="C61" s="29">
        <f>SUMIFS('ALL Tube Results'!$G$2:$G199, 'ALL Tube Results'!$C$2:$C199, "&gt;="&amp;A61, 'ALL Tube Results'!$C$2:$C199, "&lt;="&amp;B61, 'ALL Tube Results'!$H$2:$H199, "FLSP")</f>
        <v>4</v>
      </c>
      <c r="D61" s="30">
        <f>COUNTIFS('ALL Tube Results'!$C$2:$C199, "&gt;="&amp;A61, 'ALL Tube Results'!$C$2:$C199, "&lt;="&amp;B61, 'ALL Tube Results'!$H$2:$H199, "FLSP")
</f>
        <v>3</v>
      </c>
      <c r="E61" s="30">
        <f>COUNTIFS('ALL Tube Results'!$C$2:$C199, "&gt;="&amp;A61, 'ALL Tube Results'!$C$2:$C199, "&lt;="&amp;B61, 'ALL Tube Results'!$F$2:$F199, "Positive", 'ALL Tube Results'!$H$2:$H199, "FLSP") </f>
        <v>0</v>
      </c>
      <c r="F61" s="30">
        <f>COUNTIFS('ALL Tube Results'!$C$2:$C199, "&gt;="&amp;A61, 'ALL Tube Results'!$C$2:$C199, "&lt;="&amp;B61, 'ALL Tube Results'!$F$2:$F199, "Inconclusive", 'ALL Tube Results'!$H$2:$H199, "FLSP")
</f>
        <v>0</v>
      </c>
      <c r="G61" s="31">
        <f t="shared" si="1"/>
        <v>0</v>
      </c>
    </row>
    <row r="62">
      <c r="A62" s="14">
        <v>44592.0</v>
      </c>
      <c r="B62" s="14">
        <v>44598.0</v>
      </c>
      <c r="C62" s="29">
        <f>SUMIFS('ALL Tube Results'!$G$2:$G199, 'ALL Tube Results'!$C$2:$C199, "&gt;="&amp;A62, 'ALL Tube Results'!$C$2:$C199, "&lt;="&amp;B62, 'ALL Tube Results'!$H$2:$H199, "FLSP")</f>
        <v>1</v>
      </c>
      <c r="D62" s="30">
        <f>COUNTIFS('ALL Tube Results'!$C$2:$C199, "&gt;="&amp;A62, 'ALL Tube Results'!$C$2:$C199, "&lt;="&amp;B62, 'ALL Tube Results'!$H$2:$H199, "FLSP")
</f>
        <v>1</v>
      </c>
      <c r="E62" s="30">
        <f>COUNTIFS('ALL Tube Results'!$C$2:$C199, "&gt;="&amp;A62, 'ALL Tube Results'!$C$2:$C199, "&lt;="&amp;B62, 'ALL Tube Results'!$F$2:$F199, "Positive", 'ALL Tube Results'!$H$2:$H199, "FLSP") </f>
        <v>0</v>
      </c>
      <c r="F62" s="30">
        <f>COUNTIFS('ALL Tube Results'!$C$2:$C199, "&gt;="&amp;A62, 'ALL Tube Results'!$C$2:$C199, "&lt;="&amp;B62, 'ALL Tube Results'!$F$2:$F199, "Inconclusive", 'ALL Tube Results'!$H$2:$H199, "FLSP")
</f>
        <v>0</v>
      </c>
      <c r="G62" s="31">
        <f t="shared" si="1"/>
        <v>0</v>
      </c>
    </row>
    <row r="63">
      <c r="A63" s="14">
        <v>44599.0</v>
      </c>
      <c r="B63" s="14">
        <v>44605.0</v>
      </c>
      <c r="C63" s="29">
        <f>SUMIFS('ALL Tube Results'!$G$2:$G199, 'ALL Tube Results'!$C$2:$C199, "&gt;="&amp;A63, 'ALL Tube Results'!$C$2:$C199, "&lt;="&amp;B63, 'ALL Tube Results'!$H$2:$H199, "FLSP")</f>
        <v>0</v>
      </c>
      <c r="D63" s="30">
        <f>COUNTIFS('ALL Tube Results'!$C$2:$C199, "&gt;="&amp;A63, 'ALL Tube Results'!$C$2:$C199, "&lt;="&amp;B63, 'ALL Tube Results'!$H$2:$H199, "FLSP")
</f>
        <v>0</v>
      </c>
      <c r="E63" s="30">
        <f>COUNTIFS('ALL Tube Results'!$C$2:$C199, "&gt;="&amp;A63, 'ALL Tube Results'!$C$2:$C199, "&lt;="&amp;B63, 'ALL Tube Results'!$F$2:$F199, "Positive", 'ALL Tube Results'!$H$2:$H199, "FLSP") </f>
        <v>0</v>
      </c>
      <c r="F63" s="30">
        <f>COUNTIFS('ALL Tube Results'!$C$2:$C199, "&gt;="&amp;A63, 'ALL Tube Results'!$C$2:$C199, "&lt;="&amp;B63, 'ALL Tube Results'!$F$2:$F199, "Inconclusive", 'ALL Tube Results'!$H$2:$H199, "FLSP")
</f>
        <v>0</v>
      </c>
      <c r="G63" s="31" t="str">
        <f t="shared" si="1"/>
        <v/>
      </c>
    </row>
    <row r="64">
      <c r="A64" s="14">
        <v>44606.0</v>
      </c>
      <c r="B64" s="14">
        <v>44612.0</v>
      </c>
      <c r="C64" s="29">
        <f>SUMIFS('ALL Tube Results'!$G$2:$G199, 'ALL Tube Results'!$C$2:$C199, "&gt;="&amp;A64, 'ALL Tube Results'!$C$2:$C199, "&lt;="&amp;B64, 'ALL Tube Results'!$H$2:$H199, "FLSP")</f>
        <v>0</v>
      </c>
      <c r="D64" s="30">
        <f>COUNTIFS('ALL Tube Results'!$C$2:$C199, "&gt;="&amp;A64, 'ALL Tube Results'!$C$2:$C199, "&lt;="&amp;B64, 'ALL Tube Results'!$H$2:$H199, "FLSP")
</f>
        <v>0</v>
      </c>
      <c r="E64" s="30">
        <f>COUNTIFS('ALL Tube Results'!$C$2:$C199, "&gt;="&amp;A64, 'ALL Tube Results'!$C$2:$C199, "&lt;="&amp;B64, 'ALL Tube Results'!$F$2:$F199, "Positive", 'ALL Tube Results'!$H$2:$H199, "FLSP") </f>
        <v>0</v>
      </c>
      <c r="F64" s="30">
        <f>COUNTIFS('ALL Tube Results'!$C$2:$C199, "&gt;="&amp;A64, 'ALL Tube Results'!$C$2:$C199, "&lt;="&amp;B64, 'ALL Tube Results'!$F$2:$F199, "Inconclusive", 'ALL Tube Results'!$H$2:$H199, "FLSP")
</f>
        <v>0</v>
      </c>
      <c r="G64" s="31" t="str">
        <f t="shared" si="1"/>
        <v/>
      </c>
    </row>
    <row r="65">
      <c r="A65" s="14">
        <v>44613.0</v>
      </c>
      <c r="B65" s="14">
        <v>44619.0</v>
      </c>
      <c r="C65" s="29">
        <f>SUMIFS('ALL Tube Results'!$G$2:$G199, 'ALL Tube Results'!$C$2:$C199, "&gt;="&amp;A65, 'ALL Tube Results'!$C$2:$C199, "&lt;="&amp;B65, 'ALL Tube Results'!$H$2:$H199, "FLSP")</f>
        <v>0</v>
      </c>
      <c r="D65" s="30">
        <f>COUNTIFS('ALL Tube Results'!$C$2:$C199, "&gt;="&amp;A65, 'ALL Tube Results'!$C$2:$C199, "&lt;="&amp;B65, 'ALL Tube Results'!$H$2:$H199, "FLSP")
</f>
        <v>0</v>
      </c>
      <c r="E65" s="30">
        <f>COUNTIFS('ALL Tube Results'!$C$2:$C199, "&gt;="&amp;A65, 'ALL Tube Results'!$C$2:$C199, "&lt;="&amp;B65, 'ALL Tube Results'!$F$2:$F199, "Positive", 'ALL Tube Results'!$H$2:$H199, "FLSP") </f>
        <v>0</v>
      </c>
      <c r="F65" s="30">
        <f>COUNTIFS('ALL Tube Results'!$C$2:$C199, "&gt;="&amp;A65, 'ALL Tube Results'!$C$2:$C199, "&lt;="&amp;B65, 'ALL Tube Results'!$F$2:$F199, "Inconclusive", 'ALL Tube Results'!$H$2:$H199, "FLSP")
</f>
        <v>0</v>
      </c>
      <c r="G65" s="31" t="str">
        <f t="shared" si="1"/>
        <v/>
      </c>
    </row>
    <row r="66">
      <c r="A66" s="14">
        <v>44620.0</v>
      </c>
      <c r="B66" s="14">
        <v>44626.0</v>
      </c>
      <c r="C66" s="29">
        <f>SUMIFS('ALL Tube Results'!$G$2:$G199, 'ALL Tube Results'!$C$2:$C199, "&gt;="&amp;A66, 'ALL Tube Results'!$C$2:$C199, "&lt;="&amp;B66, 'ALL Tube Results'!$H$2:$H199, "FLSP")</f>
        <v>0</v>
      </c>
      <c r="D66" s="30">
        <f>COUNTIFS('ALL Tube Results'!$C$2:$C199, "&gt;="&amp;A66, 'ALL Tube Results'!$C$2:$C199, "&lt;="&amp;B66, 'ALL Tube Results'!$H$2:$H199, "FLSP")
</f>
        <v>0</v>
      </c>
      <c r="E66" s="30">
        <f>COUNTIFS('ALL Tube Results'!$C$2:$C199, "&gt;="&amp;A66, 'ALL Tube Results'!$C$2:$C199, "&lt;="&amp;B66, 'ALL Tube Results'!$F$2:$F199, "Positive", 'ALL Tube Results'!$H$2:$H199, "FLSP") </f>
        <v>0</v>
      </c>
      <c r="F66" s="30">
        <f>COUNTIFS('ALL Tube Results'!$C$2:$C199, "&gt;="&amp;A66, 'ALL Tube Results'!$C$2:$C199, "&lt;="&amp;B66, 'ALL Tube Results'!$F$2:$F199, "Inconclusive", 'ALL Tube Results'!$H$2:$H199, "FLSP")
</f>
        <v>0</v>
      </c>
      <c r="G66" s="31" t="str">
        <f t="shared" si="1"/>
        <v/>
      </c>
    </row>
    <row r="67">
      <c r="A67" s="14">
        <v>44627.0</v>
      </c>
      <c r="B67" s="14">
        <v>44633.0</v>
      </c>
      <c r="C67" s="29">
        <f>SUMIFS('ALL Tube Results'!$G$2:$G199, 'ALL Tube Results'!$C$2:$C199, "&gt;="&amp;A67, 'ALL Tube Results'!$C$2:$C199, "&lt;="&amp;B67, 'ALL Tube Results'!$H$2:$H199, "FLSP")</f>
        <v>0</v>
      </c>
      <c r="D67" s="30">
        <f>COUNTIFS('ALL Tube Results'!$C$2:$C199, "&gt;="&amp;A67, 'ALL Tube Results'!$C$2:$C199, "&lt;="&amp;B67, 'ALL Tube Results'!$H$2:$H199, "FLSP")
</f>
        <v>0</v>
      </c>
      <c r="E67" s="30">
        <f>COUNTIFS('ALL Tube Results'!$C$2:$C199, "&gt;="&amp;A67, 'ALL Tube Results'!$C$2:$C199, "&lt;="&amp;B67, 'ALL Tube Results'!$F$2:$F199, "Positive", 'ALL Tube Results'!$H$2:$H199, "FLSP") </f>
        <v>0</v>
      </c>
      <c r="F67" s="30">
        <f>COUNTIFS('ALL Tube Results'!$C$2:$C199, "&gt;="&amp;A67, 'ALL Tube Results'!$C$2:$C199, "&lt;="&amp;B67, 'ALL Tube Results'!$F$2:$F199, "Inconclusive", 'ALL Tube Results'!$H$2:$H199, "FLSP")
</f>
        <v>0</v>
      </c>
      <c r="G67" s="31" t="str">
        <f t="shared" si="1"/>
        <v/>
      </c>
    </row>
    <row r="68">
      <c r="A68" s="14">
        <v>44634.0</v>
      </c>
      <c r="B68" s="14">
        <v>44640.0</v>
      </c>
      <c r="C68" s="29">
        <f>SUMIFS('ALL Tube Results'!$G$2:$G199, 'ALL Tube Results'!$C$2:$C199, "&gt;="&amp;A68, 'ALL Tube Results'!$C$2:$C199, "&lt;="&amp;B68, 'ALL Tube Results'!$H$2:$H199, "FLSP")</f>
        <v>0</v>
      </c>
      <c r="D68" s="30">
        <f>COUNTIFS('ALL Tube Results'!$C$2:$C199, "&gt;="&amp;A68, 'ALL Tube Results'!$C$2:$C199, "&lt;="&amp;B68, 'ALL Tube Results'!$H$2:$H199, "FLSP")
</f>
        <v>0</v>
      </c>
      <c r="E68" s="30">
        <f>COUNTIFS('ALL Tube Results'!$C$2:$C199, "&gt;="&amp;A68, 'ALL Tube Results'!$C$2:$C199, "&lt;="&amp;B68, 'ALL Tube Results'!$F$2:$F199, "Positive", 'ALL Tube Results'!$H$2:$H199, "FLSP") </f>
        <v>0</v>
      </c>
      <c r="F68" s="30">
        <f>COUNTIFS('ALL Tube Results'!$C$2:$C199, "&gt;="&amp;A68, 'ALL Tube Results'!$C$2:$C199, "&lt;="&amp;B68, 'ALL Tube Results'!$F$2:$F199, "Inconclusive", 'ALL Tube Results'!$H$2:$H199, "FLSP")
</f>
        <v>0</v>
      </c>
      <c r="G68" s="31" t="str">
        <f t="shared" si="1"/>
        <v/>
      </c>
    </row>
    <row r="69">
      <c r="A69" s="14">
        <v>44641.0</v>
      </c>
      <c r="B69" s="14">
        <v>44647.0</v>
      </c>
      <c r="C69" s="29">
        <f>SUMIFS('ALL Tube Results'!$G$2:$G199, 'ALL Tube Results'!$C$2:$C199, "&gt;="&amp;A69, 'ALL Tube Results'!$C$2:$C199, "&lt;="&amp;B69, 'ALL Tube Results'!$H$2:$H199, "FLSP")</f>
        <v>3</v>
      </c>
      <c r="D69" s="30">
        <f>COUNTIFS('ALL Tube Results'!$C$2:$C199, "&gt;="&amp;A69, 'ALL Tube Results'!$C$2:$C199, "&lt;="&amp;B69, 'ALL Tube Results'!$H$2:$H199, "FLSP")
</f>
        <v>3</v>
      </c>
      <c r="E69" s="30">
        <f>COUNTIFS('ALL Tube Results'!$C$2:$C199, "&gt;="&amp;A69, 'ALL Tube Results'!$C$2:$C199, "&lt;="&amp;B69, 'ALL Tube Results'!$F$2:$F199, "Positive", 'ALL Tube Results'!$H$2:$H199, "FLSP") </f>
        <v>0</v>
      </c>
      <c r="F69" s="30">
        <f>COUNTIFS('ALL Tube Results'!$C$2:$C199, "&gt;="&amp;A69, 'ALL Tube Results'!$C$2:$C199, "&lt;="&amp;B69, 'ALL Tube Results'!$F$2:$F199, "Inconclusive", 'ALL Tube Results'!$H$2:$H199, "FLSP")
</f>
        <v>0</v>
      </c>
      <c r="G69" s="31">
        <f t="shared" si="1"/>
        <v>0</v>
      </c>
    </row>
    <row r="70">
      <c r="A70" s="14">
        <v>44648.0</v>
      </c>
      <c r="B70" s="14">
        <v>44654.0</v>
      </c>
      <c r="C70" s="29">
        <f>SUMIFS('ALL Tube Results'!$G$2:$G199, 'ALL Tube Results'!$C$2:$C199, "&gt;="&amp;A70, 'ALL Tube Results'!$C$2:$C199, "&lt;="&amp;B70, 'ALL Tube Results'!$H$2:$H199, "FLSP")</f>
        <v>3</v>
      </c>
      <c r="D70" s="30">
        <f>COUNTIFS('ALL Tube Results'!$C$2:$C199, "&gt;="&amp;A70, 'ALL Tube Results'!$C$2:$C199, "&lt;="&amp;B70, 'ALL Tube Results'!$H$2:$H199, "FLSP")
</f>
        <v>3</v>
      </c>
      <c r="E70" s="30">
        <f>COUNTIFS('ALL Tube Results'!$C$2:$C199, "&gt;="&amp;A70, 'ALL Tube Results'!$C$2:$C199, "&lt;="&amp;B70, 'ALL Tube Results'!$F$2:$F199, "Positive", 'ALL Tube Results'!$H$2:$H199, "FLSP") </f>
        <v>0</v>
      </c>
      <c r="F70" s="30">
        <f>COUNTIFS('ALL Tube Results'!$C$2:$C199, "&gt;="&amp;A70, 'ALL Tube Results'!$C$2:$C199, "&lt;="&amp;B70, 'ALL Tube Results'!$F$2:$F199, "Inconclusive", 'ALL Tube Results'!$H$2:$H199, "FLSP")
</f>
        <v>0</v>
      </c>
      <c r="G70" s="31">
        <f t="shared" si="1"/>
        <v>0</v>
      </c>
    </row>
    <row r="71">
      <c r="A71" s="14">
        <v>44655.0</v>
      </c>
      <c r="B71" s="14">
        <v>44661.0</v>
      </c>
      <c r="C71" s="29">
        <f>SUMIFS('ALL Tube Results'!$G$2:$G199, 'ALL Tube Results'!$C$2:$C199, "&gt;="&amp;A71, 'ALL Tube Results'!$C$2:$C199, "&lt;="&amp;B71, 'ALL Tube Results'!$H$2:$H199, "FLSP")</f>
        <v>9</v>
      </c>
      <c r="D71" s="30">
        <f>COUNTIFS('ALL Tube Results'!$C$2:$C199, "&gt;="&amp;A71, 'ALL Tube Results'!$C$2:$C199, "&lt;="&amp;B71, 'ALL Tube Results'!$H$2:$H199, "FLSP")
</f>
        <v>4</v>
      </c>
      <c r="E71" s="30">
        <f>COUNTIFS('ALL Tube Results'!$C$2:$C199, "&gt;="&amp;A71, 'ALL Tube Results'!$C$2:$C199, "&lt;="&amp;B71, 'ALL Tube Results'!$F$2:$F199, "Positive", 'ALL Tube Results'!$H$2:$H199, "FLSP") </f>
        <v>0</v>
      </c>
      <c r="F71" s="30">
        <f>COUNTIFS('ALL Tube Results'!$C$2:$C199, "&gt;="&amp;A71, 'ALL Tube Results'!$C$2:$C199, "&lt;="&amp;B71, 'ALL Tube Results'!$F$2:$F199, "Inconclusive", 'ALL Tube Results'!$H$2:$H199, "FLSP")
</f>
        <v>0</v>
      </c>
      <c r="G71" s="31">
        <f t="shared" si="1"/>
        <v>0</v>
      </c>
    </row>
    <row r="72">
      <c r="A72" s="14">
        <v>44662.0</v>
      </c>
      <c r="B72" s="14">
        <v>44668.0</v>
      </c>
      <c r="C72" s="29">
        <f>SUMIFS('ALL Tube Results'!$G$2:$G199, 'ALL Tube Results'!$C$2:$C199, "&gt;="&amp;A72, 'ALL Tube Results'!$C$2:$C199, "&lt;="&amp;B72, 'ALL Tube Results'!$H$2:$H199, "FLSP")</f>
        <v>4</v>
      </c>
      <c r="D72" s="30">
        <f>COUNTIFS('ALL Tube Results'!$C$2:$C199, "&gt;="&amp;A72, 'ALL Tube Results'!$C$2:$C199, "&lt;="&amp;B72, 'ALL Tube Results'!$H$2:$H199, "FLSP")
</f>
        <v>3</v>
      </c>
      <c r="E72" s="30">
        <f>COUNTIFS('ALL Tube Results'!$C$2:$C199, "&gt;="&amp;A72, 'ALL Tube Results'!$C$2:$C199, "&lt;="&amp;B72, 'ALL Tube Results'!$F$2:$F199, "Positive", 'ALL Tube Results'!$H$2:$H199, "FLSP") </f>
        <v>0</v>
      </c>
      <c r="F72" s="30">
        <f>COUNTIFS('ALL Tube Results'!$C$2:$C199, "&gt;="&amp;A72, 'ALL Tube Results'!$C$2:$C199, "&lt;="&amp;B72, 'ALL Tube Results'!$F$2:$F199, "Inconclusive", 'ALL Tube Results'!$H$2:$H199, "FLSP")
</f>
        <v>0</v>
      </c>
      <c r="G72" s="31">
        <f t="shared" si="1"/>
        <v>0</v>
      </c>
    </row>
    <row r="73">
      <c r="A73" s="14">
        <v>44669.0</v>
      </c>
      <c r="B73" s="14">
        <v>44675.0</v>
      </c>
      <c r="C73" s="29">
        <f>SUMIFS('ALL Tube Results'!$G$2:$G199, 'ALL Tube Results'!$C$2:$C199, "&gt;="&amp;A73, 'ALL Tube Results'!$C$2:$C199, "&lt;="&amp;B73, 'ALL Tube Results'!$H$2:$H199, "FLSP")</f>
        <v>6</v>
      </c>
      <c r="D73" s="30">
        <f>COUNTIFS('ALL Tube Results'!$C$2:$C199, "&gt;="&amp;A73, 'ALL Tube Results'!$C$2:$C199, "&lt;="&amp;B73, 'ALL Tube Results'!$H$2:$H199, "FLSP")
</f>
        <v>6</v>
      </c>
      <c r="E73" s="30">
        <f>COUNTIFS('ALL Tube Results'!$C$2:$C199, "&gt;="&amp;A73, 'ALL Tube Results'!$C$2:$C199, "&lt;="&amp;B73, 'ALL Tube Results'!$F$2:$F199, "Positive", 'ALL Tube Results'!$H$2:$H199, "FLSP") </f>
        <v>0</v>
      </c>
      <c r="F73" s="30">
        <f>COUNTIFS('ALL Tube Results'!$C$2:$C199, "&gt;="&amp;A73, 'ALL Tube Results'!$C$2:$C199, "&lt;="&amp;B73, 'ALL Tube Results'!$F$2:$F199, "Inconclusive", 'ALL Tube Results'!$H$2:$H199, "FLSP")
</f>
        <v>0</v>
      </c>
      <c r="G73" s="31">
        <f t="shared" si="1"/>
        <v>0</v>
      </c>
    </row>
    <row r="74">
      <c r="A74" s="14">
        <v>44676.0</v>
      </c>
      <c r="B74" s="14">
        <v>44682.0</v>
      </c>
      <c r="C74" s="29">
        <f>SUMIFS('ALL Tube Results'!$G$2:$G199, 'ALL Tube Results'!$C$2:$C199, "&gt;="&amp;A74, 'ALL Tube Results'!$C$2:$C199, "&lt;="&amp;B74, 'ALL Tube Results'!$H$2:$H199, "FLSP")</f>
        <v>6</v>
      </c>
      <c r="D74" s="30">
        <f>COUNTIFS('ALL Tube Results'!$C$2:$C199, "&gt;="&amp;A74, 'ALL Tube Results'!$C$2:$C199, "&lt;="&amp;B74, 'ALL Tube Results'!$H$2:$H199, "FLSP")
</f>
        <v>6</v>
      </c>
      <c r="E74" s="30">
        <f>COUNTIFS('ALL Tube Results'!$C$2:$C199, "&gt;="&amp;A74, 'ALL Tube Results'!$C$2:$C199, "&lt;="&amp;B74, 'ALL Tube Results'!$F$2:$F199, "Positive", 'ALL Tube Results'!$H$2:$H199, "FLSP") </f>
        <v>0</v>
      </c>
      <c r="F74" s="30">
        <f>COUNTIFS('ALL Tube Results'!$C$2:$C199, "&gt;="&amp;A74, 'ALL Tube Results'!$C$2:$C199, "&lt;="&amp;B74, 'ALL Tube Results'!$F$2:$F199, "Inconclusive", 'ALL Tube Results'!$H$2:$H199, "FLSP")
</f>
        <v>0</v>
      </c>
      <c r="G74" s="31">
        <f t="shared" si="1"/>
        <v>0</v>
      </c>
    </row>
    <row r="75">
      <c r="A75" s="14">
        <v>44683.0</v>
      </c>
      <c r="B75" s="14">
        <v>44689.0</v>
      </c>
      <c r="C75" s="29">
        <f>SUMIFS('ALL Tube Results'!$G$2:$G199, 'ALL Tube Results'!$C$2:$C199, "&gt;="&amp;A75, 'ALL Tube Results'!$C$2:$C199, "&lt;="&amp;B75, 'ALL Tube Results'!$H$2:$H199, "FLSP")</f>
        <v>6</v>
      </c>
      <c r="D75" s="30">
        <f>COUNTIFS('ALL Tube Results'!$C$2:$C199, "&gt;="&amp;A75, 'ALL Tube Results'!$C$2:$C199, "&lt;="&amp;B75, 'ALL Tube Results'!$H$2:$H199, "FLSP")
</f>
        <v>6</v>
      </c>
      <c r="E75" s="30">
        <f>COUNTIFS('ALL Tube Results'!$C$2:$C199, "&gt;="&amp;A75, 'ALL Tube Results'!$C$2:$C199, "&lt;="&amp;B75, 'ALL Tube Results'!$F$2:$F199, "Positive", 'ALL Tube Results'!$H$2:$H199, "FLSP") </f>
        <v>0</v>
      </c>
      <c r="F75" s="30">
        <f>COUNTIFS('ALL Tube Results'!$C$2:$C199, "&gt;="&amp;A75, 'ALL Tube Results'!$C$2:$C199, "&lt;="&amp;B75, 'ALL Tube Results'!$F$2:$F199, "Inconclusive", 'ALL Tube Results'!$H$2:$H199, "FLSP")
</f>
        <v>0</v>
      </c>
      <c r="G75" s="31">
        <f t="shared" si="1"/>
        <v>0</v>
      </c>
    </row>
    <row r="76">
      <c r="A76" s="14">
        <v>44690.0</v>
      </c>
      <c r="B76" s="14">
        <v>44696.0</v>
      </c>
      <c r="C76" s="29">
        <f>SUMIFS('ALL Tube Results'!$G$2:$G199, 'ALL Tube Results'!$C$2:$C199, "&gt;="&amp;A76, 'ALL Tube Results'!$C$2:$C199, "&lt;="&amp;B76, 'ALL Tube Results'!$H$2:$H199, "FLSP")</f>
        <v>6</v>
      </c>
      <c r="D76" s="30">
        <f>COUNTIFS('ALL Tube Results'!$C$2:$C199, "&gt;="&amp;A76, 'ALL Tube Results'!$C$2:$C199, "&lt;="&amp;B76, 'ALL Tube Results'!$H$2:$H199, "FLSP")
</f>
        <v>5</v>
      </c>
      <c r="E76" s="30">
        <f>COUNTIFS('ALL Tube Results'!$C$2:$C199, "&gt;="&amp;A76, 'ALL Tube Results'!$C$2:$C199, "&lt;="&amp;B76, 'ALL Tube Results'!$F$2:$F199, "Positive", 'ALL Tube Results'!$H$2:$H199, "FLSP") </f>
        <v>0</v>
      </c>
      <c r="F76" s="30">
        <f>COUNTIFS('ALL Tube Results'!$C$2:$C199, "&gt;="&amp;A76, 'ALL Tube Results'!$C$2:$C199, "&lt;="&amp;B76, 'ALL Tube Results'!$F$2:$F199, "Inconclusive", 'ALL Tube Results'!$H$2:$H199, "FLSP")
</f>
        <v>0</v>
      </c>
      <c r="G76" s="31">
        <f t="shared" si="1"/>
        <v>0</v>
      </c>
    </row>
    <row r="77">
      <c r="A77" s="14">
        <v>44697.0</v>
      </c>
      <c r="B77" s="14">
        <v>44703.0</v>
      </c>
      <c r="C77" s="29">
        <f>SUMIFS('ALL Tube Results'!$G$2:$G199, 'ALL Tube Results'!$C$2:$C199, "&gt;="&amp;A77, 'ALL Tube Results'!$C$2:$C199, "&lt;="&amp;B77, 'ALL Tube Results'!$H$2:$H199, "FLSP")</f>
        <v>10</v>
      </c>
      <c r="D77" s="30">
        <f>COUNTIFS('ALL Tube Results'!$C$2:$C199, "&gt;="&amp;A77, 'ALL Tube Results'!$C$2:$C199, "&lt;="&amp;B77, 'ALL Tube Results'!$H$2:$H199, "FLSP")
</f>
        <v>7</v>
      </c>
      <c r="E77" s="30">
        <f>COUNTIFS('ALL Tube Results'!$C$2:$C199, "&gt;="&amp;A77, 'ALL Tube Results'!$C$2:$C199, "&lt;="&amp;B77, 'ALL Tube Results'!$F$2:$F199, "Positive", 'ALL Tube Results'!$H$2:$H199, "FLSP") </f>
        <v>0</v>
      </c>
      <c r="F77" s="30">
        <f>COUNTIFS('ALL Tube Results'!$C$2:$C199, "&gt;="&amp;A77, 'ALL Tube Results'!$C$2:$C199, "&lt;="&amp;B77, 'ALL Tube Results'!$F$2:$F199, "Inconclusive", 'ALL Tube Results'!$H$2:$H199, "FLSP")
</f>
        <v>0</v>
      </c>
      <c r="G77" s="31">
        <f t="shared" si="1"/>
        <v>0</v>
      </c>
    </row>
    <row r="78">
      <c r="A78" s="14">
        <v>44704.0</v>
      </c>
      <c r="B78" s="14">
        <v>44710.0</v>
      </c>
      <c r="C78" s="29">
        <f>SUMIFS('ALL Tube Results'!$G$2:$G199, 'ALL Tube Results'!$C$2:$C199, "&gt;="&amp;A78, 'ALL Tube Results'!$C$2:$C199, "&lt;="&amp;B78, 'ALL Tube Results'!$H$2:$H199, "FLSP")</f>
        <v>4</v>
      </c>
      <c r="D78" s="30">
        <f>COUNTIFS('ALL Tube Results'!$C$2:$C199, "&gt;="&amp;A78, 'ALL Tube Results'!$C$2:$C199, "&lt;="&amp;B78, 'ALL Tube Results'!$H$2:$H199, "FLSP")
</f>
        <v>3</v>
      </c>
      <c r="E78" s="30">
        <f>COUNTIFS('ALL Tube Results'!$C$2:$C199, "&gt;="&amp;A78, 'ALL Tube Results'!$C$2:$C199, "&lt;="&amp;B78, 'ALL Tube Results'!$F$2:$F199, "Positive", 'ALL Tube Results'!$H$2:$H199, "FLSP") </f>
        <v>0</v>
      </c>
      <c r="F78" s="30">
        <f>COUNTIFS('ALL Tube Results'!$C$2:$C199, "&gt;="&amp;A78, 'ALL Tube Results'!$C$2:$C199, "&lt;="&amp;B78, 'ALL Tube Results'!$F$2:$F199, "Inconclusive", 'ALL Tube Results'!$H$2:$H199, "FLSP")
</f>
        <v>0</v>
      </c>
      <c r="G78" s="31">
        <f t="shared" si="1"/>
        <v>0</v>
      </c>
    </row>
    <row r="79">
      <c r="A79" s="14">
        <v>44711.0</v>
      </c>
      <c r="B79" s="14">
        <v>44717.0</v>
      </c>
      <c r="C79" s="29">
        <f>SUMIFS('ALL Tube Results'!$G$2:$G199, 'ALL Tube Results'!$C$2:$C199, "&gt;="&amp;A79, 'ALL Tube Results'!$C$2:$C199, "&lt;="&amp;B79, 'ALL Tube Results'!$H$2:$H199, "FLSP")</f>
        <v>7</v>
      </c>
      <c r="D79" s="30">
        <f>COUNTIFS('ALL Tube Results'!$C$2:$C199, "&gt;="&amp;A79, 'ALL Tube Results'!$C$2:$C199, "&lt;="&amp;B79, 'ALL Tube Results'!$H$2:$H199, "FLSP")
</f>
        <v>3</v>
      </c>
      <c r="E79" s="30">
        <f>COUNTIFS('ALL Tube Results'!$C$2:$C199, "&gt;="&amp;A79, 'ALL Tube Results'!$C$2:$C199, "&lt;="&amp;B79, 'ALL Tube Results'!$F$2:$F199, "Positive", 'ALL Tube Results'!$H$2:$H199, "FLSP") </f>
        <v>0</v>
      </c>
      <c r="F79" s="30">
        <f>COUNTIFS('ALL Tube Results'!$C$2:$C199, "&gt;="&amp;A79, 'ALL Tube Results'!$C$2:$C199, "&lt;="&amp;B79, 'ALL Tube Results'!$F$2:$F199, "Inconclusive", 'ALL Tube Results'!$H$2:$H199, "FLSP")
</f>
        <v>0</v>
      </c>
      <c r="G79" s="31">
        <f t="shared" si="1"/>
        <v>0</v>
      </c>
    </row>
    <row r="80">
      <c r="A80" s="14">
        <v>44718.0</v>
      </c>
      <c r="B80" s="14">
        <v>44724.0</v>
      </c>
      <c r="C80" s="29">
        <f>SUMIFS('ALL Tube Results'!$G$2:$G199, 'ALL Tube Results'!$C$2:$C199, "&gt;="&amp;A80, 'ALL Tube Results'!$C$2:$C199, "&lt;="&amp;B80, 'ALL Tube Results'!$H$2:$H199, "FLSP")</f>
        <v>13</v>
      </c>
      <c r="D80" s="30">
        <f>COUNTIFS('ALL Tube Results'!$C$2:$C199, "&gt;="&amp;A80, 'ALL Tube Results'!$C$2:$C199, "&lt;="&amp;B80, 'ALL Tube Results'!$H$2:$H199, "FLSP")
</f>
        <v>7</v>
      </c>
      <c r="E80" s="30">
        <f>COUNTIFS('ALL Tube Results'!$C$2:$C199, "&gt;="&amp;A80, 'ALL Tube Results'!$C$2:$C199, "&lt;="&amp;B80, 'ALL Tube Results'!$F$2:$F199, "Positive", 'ALL Tube Results'!$H$2:$H199, "FLSP") </f>
        <v>0</v>
      </c>
      <c r="F80" s="30">
        <f>COUNTIFS('ALL Tube Results'!$C$2:$C199, "&gt;="&amp;A80, 'ALL Tube Results'!$C$2:$C199, "&lt;="&amp;B80, 'ALL Tube Results'!$F$2:$F199, "Inconclusive", 'ALL Tube Results'!$H$2:$H199, "FLSP")
</f>
        <v>0</v>
      </c>
      <c r="G80" s="31">
        <f t="shared" si="1"/>
        <v>0</v>
      </c>
    </row>
    <row r="81">
      <c r="A81" s="14">
        <v>44725.0</v>
      </c>
      <c r="B81" s="14">
        <v>44731.0</v>
      </c>
      <c r="C81" s="29">
        <f>SUMIFS('ALL Tube Results'!$G$2:$G199, 'ALL Tube Results'!$C$2:$C199, "&gt;="&amp;A81, 'ALL Tube Results'!$C$2:$C199, "&lt;="&amp;B81, 'ALL Tube Results'!$H$2:$H199, "FLSP")</f>
        <v>7</v>
      </c>
      <c r="D81" s="30">
        <f>COUNTIFS('ALL Tube Results'!$C$2:$C199, "&gt;="&amp;A81, 'ALL Tube Results'!$C$2:$C199, "&lt;="&amp;B81, 'ALL Tube Results'!$H$2:$H199, "FLSP")
</f>
        <v>5</v>
      </c>
      <c r="E81" s="30">
        <f>COUNTIFS('ALL Tube Results'!$C$2:$C199, "&gt;="&amp;A81, 'ALL Tube Results'!$C$2:$C199, "&lt;="&amp;B81, 'ALL Tube Results'!$F$2:$F199, "Positive", 'ALL Tube Results'!$H$2:$H199, "FLSP") </f>
        <v>0</v>
      </c>
      <c r="F81" s="30">
        <f>COUNTIFS('ALL Tube Results'!$C$2:$C199, "&gt;="&amp;A81, 'ALL Tube Results'!$C$2:$C199, "&lt;="&amp;B81, 'ALL Tube Results'!$F$2:$F199, "Inconclusive", 'ALL Tube Results'!$H$2:$H199, "FLSP")
</f>
        <v>0</v>
      </c>
      <c r="G81" s="31">
        <f t="shared" si="1"/>
        <v>0</v>
      </c>
    </row>
    <row r="82">
      <c r="A82" s="14">
        <v>44732.0</v>
      </c>
      <c r="B82" s="14">
        <v>44738.0</v>
      </c>
      <c r="C82" s="29">
        <f>SUMIFS('ALL Tube Results'!$G$2:$G199, 'ALL Tube Results'!$C$2:$C199, "&gt;="&amp;A82, 'ALL Tube Results'!$C$2:$C199, "&lt;="&amp;B82, 'ALL Tube Results'!$H$2:$H199, "FLSP")</f>
        <v>9</v>
      </c>
      <c r="D82" s="30">
        <f>COUNTIFS('ALL Tube Results'!$C$2:$C199, "&gt;="&amp;A82, 'ALL Tube Results'!$C$2:$C199, "&lt;="&amp;B82, 'ALL Tube Results'!$H$2:$H199, "FLSP")
</f>
        <v>3</v>
      </c>
      <c r="E82" s="30">
        <f>COUNTIFS('ALL Tube Results'!$C$2:$C199, "&gt;="&amp;A82, 'ALL Tube Results'!$C$2:$C199, "&lt;="&amp;B82, 'ALL Tube Results'!$F$2:$F199, "Positive", 'ALL Tube Results'!$H$2:$H199, "FLSP") </f>
        <v>0</v>
      </c>
      <c r="F82" s="30">
        <f>COUNTIFS('ALL Tube Results'!$C$2:$C199, "&gt;="&amp;A82, 'ALL Tube Results'!$C$2:$C199, "&lt;="&amp;B82, 'ALL Tube Results'!$F$2:$F199, "Inconclusive", 'ALL Tube Results'!$H$2:$H199, "FLSP")
</f>
        <v>0</v>
      </c>
      <c r="G82" s="31">
        <f t="shared" si="1"/>
        <v>0</v>
      </c>
    </row>
    <row r="83">
      <c r="A83" s="14">
        <v>44739.0</v>
      </c>
      <c r="B83" s="14">
        <v>44745.0</v>
      </c>
      <c r="C83" s="29">
        <f>SUMIFS('ALL Tube Results'!$G$2:$G199, 'ALL Tube Results'!$C$2:$C199, "&gt;="&amp;A83, 'ALL Tube Results'!$C$2:$C199, "&lt;="&amp;B83, 'ALL Tube Results'!$H$2:$H199, "FLSP")</f>
        <v>4</v>
      </c>
      <c r="D83" s="30">
        <f>COUNTIFS('ALL Tube Results'!$C$2:$C199, "&gt;="&amp;A83, 'ALL Tube Results'!$C$2:$C199, "&lt;="&amp;B83, 'ALL Tube Results'!$H$2:$H199, "FLSP")
</f>
        <v>3</v>
      </c>
      <c r="E83" s="30">
        <f>COUNTIFS('ALL Tube Results'!$C$2:$C199, "&gt;="&amp;A83, 'ALL Tube Results'!$C$2:$C199, "&lt;="&amp;B83, 'ALL Tube Results'!$F$2:$F199, "Positive", 'ALL Tube Results'!$H$2:$H199, "FLSP") </f>
        <v>0</v>
      </c>
      <c r="F83" s="30">
        <f>COUNTIFS('ALL Tube Results'!$C$2:$C199, "&gt;="&amp;A83, 'ALL Tube Results'!$C$2:$C199, "&lt;="&amp;B83, 'ALL Tube Results'!$F$2:$F199, "Inconclusive", 'ALL Tube Results'!$H$2:$H199, "FLSP")
</f>
        <v>0</v>
      </c>
      <c r="G83" s="31">
        <f t="shared" si="1"/>
        <v>0</v>
      </c>
    </row>
    <row r="84">
      <c r="A84" s="14">
        <v>44746.0</v>
      </c>
      <c r="B84" s="14">
        <v>44752.0</v>
      </c>
      <c r="C84" s="29">
        <f>SUMIFS('ALL Tube Results'!$G$2:$G199, 'ALL Tube Results'!$C$2:$C199, "&gt;="&amp;A84, 'ALL Tube Results'!$C$2:$C199, "&lt;="&amp;B84, 'ALL Tube Results'!$H$2:$H199, "FLSP")</f>
        <v>0</v>
      </c>
      <c r="D84" s="30">
        <f>COUNTIFS('ALL Tube Results'!$C$2:$C199, "&gt;="&amp;A84, 'ALL Tube Results'!$C$2:$C199, "&lt;="&amp;B84, 'ALL Tube Results'!$H$2:$H199, "FLSP")
</f>
        <v>0</v>
      </c>
      <c r="E84" s="30">
        <f>COUNTIFS('ALL Tube Results'!$C$2:$C199, "&gt;="&amp;A84, 'ALL Tube Results'!$C$2:$C199, "&lt;="&amp;B84, 'ALL Tube Results'!$F$2:$F199, "Positive", 'ALL Tube Results'!$H$2:$H199, "FLSP") </f>
        <v>0</v>
      </c>
      <c r="F84" s="30">
        <f>COUNTIFS('ALL Tube Results'!$C$2:$C199, "&gt;="&amp;A84, 'ALL Tube Results'!$C$2:$C199, "&lt;="&amp;B84, 'ALL Tube Results'!$F$2:$F199, "Inconclusive", 'ALL Tube Results'!$H$2:$H199, "FLSP")
</f>
        <v>0</v>
      </c>
      <c r="G84" s="31" t="str">
        <f t="shared" si="1"/>
        <v/>
      </c>
    </row>
    <row r="85">
      <c r="A85" s="14">
        <v>44753.0</v>
      </c>
      <c r="B85" s="14">
        <v>44759.0</v>
      </c>
      <c r="C85" s="29">
        <f>SUMIFS('ALL Tube Results'!$G$2:$G199, 'ALL Tube Results'!$C$2:$C199, "&gt;="&amp;A85, 'ALL Tube Results'!$C$2:$C199, "&lt;="&amp;B85, 'ALL Tube Results'!$H$2:$H199, "FLSP")</f>
        <v>0</v>
      </c>
      <c r="D85" s="30">
        <f>COUNTIFS('ALL Tube Results'!$C$2:$C199, "&gt;="&amp;A85, 'ALL Tube Results'!$C$2:$C199, "&lt;="&amp;B85, 'ALL Tube Results'!$H$2:$H199, "FLSP")
</f>
        <v>0</v>
      </c>
      <c r="E85" s="30">
        <f>COUNTIFS('ALL Tube Results'!$C$2:$C199, "&gt;="&amp;A85, 'ALL Tube Results'!$C$2:$C199, "&lt;="&amp;B85, 'ALL Tube Results'!$F$2:$F199, "Positive", 'ALL Tube Results'!$H$2:$H199, "FLSP") </f>
        <v>0</v>
      </c>
      <c r="F85" s="30">
        <f>COUNTIFS('ALL Tube Results'!$C$2:$C199, "&gt;="&amp;A85, 'ALL Tube Results'!$C$2:$C199, "&lt;="&amp;B85, 'ALL Tube Results'!$F$2:$F199, "Inconclusive", 'ALL Tube Results'!$H$2:$H199, "FLSP")
</f>
        <v>0</v>
      </c>
      <c r="G85" s="31" t="str">
        <f t="shared" si="1"/>
        <v/>
      </c>
    </row>
    <row r="86">
      <c r="A86" s="14">
        <v>44760.0</v>
      </c>
      <c r="B86" s="14">
        <v>44766.0</v>
      </c>
      <c r="C86" s="29">
        <f>SUMIFS('ALL Tube Results'!$G$2:$G199, 'ALL Tube Results'!$C$2:$C199, "&gt;="&amp;A86, 'ALL Tube Results'!$C$2:$C199, "&lt;="&amp;B86, 'ALL Tube Results'!$H$2:$H199, "FLSP")</f>
        <v>6</v>
      </c>
      <c r="D86" s="30">
        <f>COUNTIFS('ALL Tube Results'!$C$2:$C199, "&gt;="&amp;A86, 'ALL Tube Results'!$C$2:$C199, "&lt;="&amp;B86, 'ALL Tube Results'!$H$2:$H199, "FLSP")
</f>
        <v>3</v>
      </c>
      <c r="E86" s="30">
        <f>COUNTIFS('ALL Tube Results'!$C$2:$C199, "&gt;="&amp;A86, 'ALL Tube Results'!$C$2:$C199, "&lt;="&amp;B86, 'ALL Tube Results'!$F$2:$F199, "Positive", 'ALL Tube Results'!$H$2:$H199, "FLSP") </f>
        <v>0</v>
      </c>
      <c r="F86" s="30">
        <f>COUNTIFS('ALL Tube Results'!$C$2:$C199, "&gt;="&amp;A86, 'ALL Tube Results'!$C$2:$C199, "&lt;="&amp;B86, 'ALL Tube Results'!$F$2:$F199, "Inconclusive", 'ALL Tube Results'!$H$2:$H199, "FLSP")
</f>
        <v>0</v>
      </c>
      <c r="G86" s="31">
        <f t="shared" si="1"/>
        <v>0</v>
      </c>
    </row>
    <row r="87">
      <c r="A87" s="14">
        <v>44767.0</v>
      </c>
      <c r="B87" s="14">
        <v>44773.0</v>
      </c>
      <c r="C87" s="29">
        <f>SUMIFS('ALL Tube Results'!$G$2:$G199, 'ALL Tube Results'!$C$2:$C199, "&gt;="&amp;A87, 'ALL Tube Results'!$C$2:$C199, "&lt;="&amp;B87, 'ALL Tube Results'!$H$2:$H199, "FLSP")</f>
        <v>8</v>
      </c>
      <c r="D87" s="30">
        <f>COUNTIFS('ALL Tube Results'!$C$2:$C199, "&gt;="&amp;A87, 'ALL Tube Results'!$C$2:$C199, "&lt;="&amp;B87, 'ALL Tube Results'!$H$2:$H199, "FLSP")
</f>
        <v>4</v>
      </c>
      <c r="E87" s="30">
        <f>COUNTIFS('ALL Tube Results'!$C$2:$C199, "&gt;="&amp;A87, 'ALL Tube Results'!$C$2:$C199, "&lt;="&amp;B87, 'ALL Tube Results'!$F$2:$F199, "Positive", 'ALL Tube Results'!$H$2:$H199, "FLSP") </f>
        <v>0</v>
      </c>
      <c r="F87" s="30">
        <f>COUNTIFS('ALL Tube Results'!$C$2:$C199, "&gt;="&amp;A87, 'ALL Tube Results'!$C$2:$C199, "&lt;="&amp;B87, 'ALL Tube Results'!$F$2:$F199, "Inconclusive", 'ALL Tube Results'!$H$2:$H199, "FLSP")
</f>
        <v>0</v>
      </c>
      <c r="G87" s="31">
        <f t="shared" si="1"/>
        <v>0</v>
      </c>
    </row>
    <row r="88">
      <c r="A88" s="14">
        <v>44774.0</v>
      </c>
      <c r="B88" s="14">
        <v>44780.0</v>
      </c>
      <c r="C88" s="29">
        <f>SUMIFS('ALL Tube Results'!$G$2:$G199, 'ALL Tube Results'!$C$2:$C199, "&gt;="&amp;A88, 'ALL Tube Results'!$C$2:$C199, "&lt;="&amp;B88, 'ALL Tube Results'!$H$2:$H199, "FLSP")</f>
        <v>6</v>
      </c>
      <c r="D88" s="30">
        <f>COUNTIFS('ALL Tube Results'!$C$2:$C199, "&gt;="&amp;A88, 'ALL Tube Results'!$C$2:$C199, "&lt;="&amp;B88, 'ALL Tube Results'!$H$2:$H199, "FLSP")
</f>
        <v>3</v>
      </c>
      <c r="E88" s="30">
        <f>COUNTIFS('ALL Tube Results'!$C$2:$C199, "&gt;="&amp;A88, 'ALL Tube Results'!$C$2:$C199, "&lt;="&amp;B88, 'ALL Tube Results'!$F$2:$F199, "Positive", 'ALL Tube Results'!$H$2:$H199, "FLSP") </f>
        <v>0</v>
      </c>
      <c r="F88" s="30">
        <f>COUNTIFS('ALL Tube Results'!$C$2:$C199, "&gt;="&amp;A88, 'ALL Tube Results'!$C$2:$C199, "&lt;="&amp;B88, 'ALL Tube Results'!$F$2:$F199, "Inconclusive", 'ALL Tube Results'!$H$2:$H199, "FLSP")
</f>
        <v>0</v>
      </c>
      <c r="G88" s="31">
        <f t="shared" si="1"/>
        <v>0</v>
      </c>
    </row>
    <row r="89">
      <c r="A89" s="14">
        <v>44781.0</v>
      </c>
      <c r="B89" s="14">
        <v>44787.0</v>
      </c>
      <c r="C89" s="29">
        <f>SUMIFS('ALL Tube Results'!$G$2:$G199, 'ALL Tube Results'!$C$2:$C199, "&gt;="&amp;A89, 'ALL Tube Results'!$C$2:$C199, "&lt;="&amp;B89, 'ALL Tube Results'!$H$2:$H199, "FLSP")</f>
        <v>0</v>
      </c>
      <c r="D89" s="30">
        <f>COUNTIFS('ALL Tube Results'!$C$2:$C199, "&gt;="&amp;A89, 'ALL Tube Results'!$C$2:$C199, "&lt;="&amp;B89, 'ALL Tube Results'!$H$2:$H199, "FLSP")
</f>
        <v>0</v>
      </c>
      <c r="E89" s="30">
        <f>COUNTIFS('ALL Tube Results'!$C$2:$C199, "&gt;="&amp;A89, 'ALL Tube Results'!$C$2:$C199, "&lt;="&amp;B89, 'ALL Tube Results'!$F$2:$F199, "Positive", 'ALL Tube Results'!$H$2:$H199, "FLSP") </f>
        <v>0</v>
      </c>
      <c r="F89" s="30">
        <f>COUNTIFS('ALL Tube Results'!$C$2:$C199, "&gt;="&amp;A89, 'ALL Tube Results'!$C$2:$C199, "&lt;="&amp;B89, 'ALL Tube Results'!$F$2:$F199, "Inconclusive", 'ALL Tube Results'!$H$2:$H199, "FLSP")
</f>
        <v>0</v>
      </c>
      <c r="G89" s="31" t="str">
        <f t="shared" si="1"/>
        <v/>
      </c>
    </row>
    <row r="90">
      <c r="A90" s="14">
        <v>44788.0</v>
      </c>
      <c r="B90" s="14">
        <v>44794.0</v>
      </c>
      <c r="C90" s="29">
        <f>SUMIFS('ALL Tube Results'!$G$2:$G199, 'ALL Tube Results'!$C$2:$C199, "&gt;="&amp;A90, 'ALL Tube Results'!$C$2:$C199, "&lt;="&amp;B90, 'ALL Tube Results'!$H$2:$H199, "FLSP")</f>
        <v>0</v>
      </c>
      <c r="D90" s="30">
        <f>COUNTIFS('ALL Tube Results'!$C$2:$C199, "&gt;="&amp;A90, 'ALL Tube Results'!$C$2:$C199, "&lt;="&amp;B90, 'ALL Tube Results'!$H$2:$H199, "FLSP")
</f>
        <v>0</v>
      </c>
      <c r="E90" s="30">
        <f>COUNTIFS('ALL Tube Results'!$C$2:$C199, "&gt;="&amp;A90, 'ALL Tube Results'!$C$2:$C199, "&lt;="&amp;B90, 'ALL Tube Results'!$F$2:$F199, "Positive", 'ALL Tube Results'!$H$2:$H199, "FLSP") </f>
        <v>0</v>
      </c>
      <c r="F90" s="30">
        <f>COUNTIFS('ALL Tube Results'!$C$2:$C199, "&gt;="&amp;A90, 'ALL Tube Results'!$C$2:$C199, "&lt;="&amp;B90, 'ALL Tube Results'!$F$2:$F199, "Inconclusive", 'ALL Tube Results'!$H$2:$H199, "FLSP")
</f>
        <v>0</v>
      </c>
      <c r="G90" s="31" t="str">
        <f t="shared" si="1"/>
        <v/>
      </c>
    </row>
    <row r="91">
      <c r="A91" s="14">
        <v>44795.0</v>
      </c>
      <c r="B91" s="14">
        <v>44801.0</v>
      </c>
      <c r="C91" s="29">
        <f>SUMIFS('ALL Tube Results'!$G$2:$G199, 'ALL Tube Results'!$C$2:$C199, "&gt;="&amp;A91, 'ALL Tube Results'!$C$2:$C199, "&lt;="&amp;B91, 'ALL Tube Results'!$H$2:$H199, "FLSP")</f>
        <v>4</v>
      </c>
      <c r="D91" s="30">
        <f>COUNTIFS('ALL Tube Results'!$C$2:$C199, "&gt;="&amp;A91, 'ALL Tube Results'!$C$2:$C199, "&lt;="&amp;B91, 'ALL Tube Results'!$H$2:$H199, "FLSP")
</f>
        <v>1</v>
      </c>
      <c r="E91" s="30">
        <f>COUNTIFS('ALL Tube Results'!$C$2:$C199, "&gt;="&amp;A91, 'ALL Tube Results'!$C$2:$C199, "&lt;="&amp;B91, 'ALL Tube Results'!$F$2:$F199, "Positive", 'ALL Tube Results'!$H$2:$H199, "FLSP") </f>
        <v>0</v>
      </c>
      <c r="F91" s="30">
        <f>COUNTIFS('ALL Tube Results'!$C$2:$C199, "&gt;="&amp;A91, 'ALL Tube Results'!$C$2:$C199, "&lt;="&amp;B91, 'ALL Tube Results'!$F$2:$F199, "Inconclusive", 'ALL Tube Results'!$H$2:$H199, "FLSP")
</f>
        <v>0</v>
      </c>
      <c r="G91" s="31">
        <f t="shared" si="1"/>
        <v>0</v>
      </c>
    </row>
    <row r="92">
      <c r="A92" s="14">
        <v>44802.0</v>
      </c>
      <c r="B92" s="14">
        <v>44808.0</v>
      </c>
      <c r="C92" s="29">
        <f>SUMIFS('ALL Tube Results'!$G$2:$G199, 'ALL Tube Results'!$C$2:$C199, "&gt;="&amp;A92, 'ALL Tube Results'!$C$2:$C199, "&lt;="&amp;B92, 'ALL Tube Results'!$H$2:$H199, "FLSP")</f>
        <v>0</v>
      </c>
      <c r="D92" s="30">
        <f>COUNTIFS('ALL Tube Results'!$C$2:$C199, "&gt;="&amp;A92, 'ALL Tube Results'!$C$2:$C199, "&lt;="&amp;B92, 'ALL Tube Results'!$H$2:$H199, "FLSP")
</f>
        <v>0</v>
      </c>
      <c r="E92" s="30">
        <f>COUNTIFS('ALL Tube Results'!$C$2:$C199, "&gt;="&amp;A92, 'ALL Tube Results'!$C$2:$C199, "&lt;="&amp;B92, 'ALL Tube Results'!$F$2:$F199, "Positive", 'ALL Tube Results'!$H$2:$H199, "FLSP") </f>
        <v>0</v>
      </c>
      <c r="F92" s="30">
        <f>COUNTIFS('ALL Tube Results'!$C$2:$C199, "&gt;="&amp;A92, 'ALL Tube Results'!$C$2:$C199, "&lt;="&amp;B92, 'ALL Tube Results'!$F$2:$F199, "Inconclusive", 'ALL Tube Results'!$H$2:$H199, "FLSP")
</f>
        <v>0</v>
      </c>
      <c r="G92" s="31" t="str">
        <f t="shared" si="1"/>
        <v/>
      </c>
    </row>
    <row r="93">
      <c r="A93" s="14">
        <v>44809.0</v>
      </c>
      <c r="B93" s="14">
        <v>44815.0</v>
      </c>
      <c r="C93" s="29">
        <f>SUMIFS('ALL Tube Results'!$G$2:$G199, 'ALL Tube Results'!$C$2:$C199, "&gt;="&amp;A93, 'ALL Tube Results'!$C$2:$C199, "&lt;="&amp;B93, 'ALL Tube Results'!$H$2:$H199, "FLSP")</f>
        <v>8</v>
      </c>
      <c r="D93" s="30">
        <f>COUNTIFS('ALL Tube Results'!$C$2:$C199, "&gt;="&amp;A93, 'ALL Tube Results'!$C$2:$C199, "&lt;="&amp;B93, 'ALL Tube Results'!$H$2:$H199, "FLSP")
</f>
        <v>3</v>
      </c>
      <c r="E93" s="30">
        <f>COUNTIFS('ALL Tube Results'!$C$2:$C199, "&gt;="&amp;A93, 'ALL Tube Results'!$C$2:$C199, "&lt;="&amp;B93, 'ALL Tube Results'!$F$2:$F199, "Positive", 'ALL Tube Results'!$H$2:$H199, "FLSP") </f>
        <v>0</v>
      </c>
      <c r="F93" s="30">
        <f>COUNTIFS('ALL Tube Results'!$C$2:$C199, "&gt;="&amp;A93, 'ALL Tube Results'!$C$2:$C199, "&lt;="&amp;B93, 'ALL Tube Results'!$F$2:$F199, "Inconclusive", 'ALL Tube Results'!$H$2:$H199, "FLSP")
</f>
        <v>0</v>
      </c>
      <c r="G93" s="31">
        <f t="shared" si="1"/>
        <v>0</v>
      </c>
    </row>
    <row r="94">
      <c r="A94" s="14">
        <v>44816.0</v>
      </c>
      <c r="B94" s="14">
        <v>44822.0</v>
      </c>
      <c r="C94" s="29">
        <f>SUMIFS('ALL Tube Results'!$G$2:$G199, 'ALL Tube Results'!$C$2:$C199, "&gt;="&amp;A94, 'ALL Tube Results'!$C$2:$C199, "&lt;="&amp;B94, 'ALL Tube Results'!$H$2:$H199, "FLSP")</f>
        <v>11</v>
      </c>
      <c r="D94" s="30">
        <f>COUNTIFS('ALL Tube Results'!$C$2:$C199, "&gt;="&amp;A94, 'ALL Tube Results'!$C$2:$C199, "&lt;="&amp;B94, 'ALL Tube Results'!$H$2:$H199, "FLSP")
</f>
        <v>4</v>
      </c>
      <c r="E94" s="30">
        <f>COUNTIFS('ALL Tube Results'!$C$2:$C199, "&gt;="&amp;A94, 'ALL Tube Results'!$C$2:$C199, "&lt;="&amp;B94, 'ALL Tube Results'!$F$2:$F199, "Positive", 'ALL Tube Results'!$H$2:$H199, "FLSP") </f>
        <v>0</v>
      </c>
      <c r="F94" s="30">
        <f>COUNTIFS('ALL Tube Results'!$C$2:$C199, "&gt;="&amp;A94, 'ALL Tube Results'!$C$2:$C199, "&lt;="&amp;B94, 'ALL Tube Results'!$F$2:$F199, "Inconclusive", 'ALL Tube Results'!$H$2:$H199, "FLSP")
</f>
        <v>0</v>
      </c>
      <c r="G94" s="31">
        <f t="shared" si="1"/>
        <v>0</v>
      </c>
    </row>
    <row r="95">
      <c r="A95" s="14">
        <v>44823.0</v>
      </c>
      <c r="B95" s="14">
        <v>44829.0</v>
      </c>
      <c r="C95" s="29">
        <f>SUMIFS('ALL Tube Results'!$G$2:$G199, 'ALL Tube Results'!$C$2:$C199, "&gt;="&amp;A95, 'ALL Tube Results'!$C$2:$C199, "&lt;="&amp;B95, 'ALL Tube Results'!$H$2:$H199, "FLSP")</f>
        <v>10</v>
      </c>
      <c r="D95" s="30">
        <f>COUNTIFS('ALL Tube Results'!$C$2:$C199, "&gt;="&amp;A95, 'ALL Tube Results'!$C$2:$C199, "&lt;="&amp;B95, 'ALL Tube Results'!$H$2:$H199, "FLSP")
</f>
        <v>4</v>
      </c>
      <c r="E95" s="30">
        <f>COUNTIFS('ALL Tube Results'!$C$2:$C199, "&gt;="&amp;A95, 'ALL Tube Results'!$C$2:$C199, "&lt;="&amp;B95, 'ALL Tube Results'!$F$2:$F199, "Positive", 'ALL Tube Results'!$H$2:$H199, "FLSP") </f>
        <v>0</v>
      </c>
      <c r="F95" s="30">
        <f>COUNTIFS('ALL Tube Results'!$C$2:$C199, "&gt;="&amp;A95, 'ALL Tube Results'!$C$2:$C199, "&lt;="&amp;B95, 'ALL Tube Results'!$F$2:$F199, "Inconclusive", 'ALL Tube Results'!$H$2:$H199, "FLSP")
</f>
        <v>0</v>
      </c>
      <c r="G95" s="31">
        <f t="shared" si="1"/>
        <v>0</v>
      </c>
    </row>
    <row r="96">
      <c r="A96" s="14">
        <v>44830.0</v>
      </c>
      <c r="B96" s="14">
        <v>44836.0</v>
      </c>
      <c r="C96" s="29">
        <f>SUMIFS('ALL Tube Results'!$G$2:$G199, 'ALL Tube Results'!$C$2:$C199, "&gt;="&amp;A96, 'ALL Tube Results'!$C$2:$C199, "&lt;="&amp;B96, 'ALL Tube Results'!$H$2:$H199, "FLSP")</f>
        <v>12</v>
      </c>
      <c r="D96" s="30">
        <f>COUNTIFS('ALL Tube Results'!$C$2:$C199, "&gt;="&amp;A96, 'ALL Tube Results'!$C$2:$C199, "&lt;="&amp;B96, 'ALL Tube Results'!$H$2:$H199, "FLSP")
</f>
        <v>4</v>
      </c>
      <c r="E96" s="30">
        <f>COUNTIFS('ALL Tube Results'!$C$2:$C199, "&gt;="&amp;A96, 'ALL Tube Results'!$C$2:$C199, "&lt;="&amp;B96, 'ALL Tube Results'!$F$2:$F199, "Positive", 'ALL Tube Results'!$H$2:$H199, "FLSP") </f>
        <v>0</v>
      </c>
      <c r="F96" s="30">
        <f>COUNTIFS('ALL Tube Results'!$C$2:$C199, "&gt;="&amp;A96, 'ALL Tube Results'!$C$2:$C199, "&lt;="&amp;B96, 'ALL Tube Results'!$F$2:$F199, "Inconclusive", 'ALL Tube Results'!$H$2:$H199, "FLSP")
</f>
        <v>0</v>
      </c>
      <c r="G96" s="31">
        <f t="shared" si="1"/>
        <v>0</v>
      </c>
    </row>
    <row r="97">
      <c r="A97" s="14">
        <v>44837.0</v>
      </c>
      <c r="B97" s="14">
        <v>44843.0</v>
      </c>
      <c r="C97" s="29">
        <f>SUMIFS('ALL Tube Results'!$G$2:$G199, 'ALL Tube Results'!$C$2:$C199, "&gt;="&amp;A97, 'ALL Tube Results'!$C$2:$C199, "&lt;="&amp;B97, 'ALL Tube Results'!$H$2:$H199, "FLSP")</f>
        <v>13</v>
      </c>
      <c r="D97" s="30">
        <f>COUNTIFS('ALL Tube Results'!$C$2:$C199, "&gt;="&amp;A97, 'ALL Tube Results'!$C$2:$C199, "&lt;="&amp;B97, 'ALL Tube Results'!$H$2:$H199, "FLSP")
</f>
        <v>5</v>
      </c>
      <c r="E97" s="30">
        <f>COUNTIFS('ALL Tube Results'!$C$2:$C199, "&gt;="&amp;A97, 'ALL Tube Results'!$C$2:$C199, "&lt;="&amp;B97, 'ALL Tube Results'!$F$2:$F199, "Positive", 'ALL Tube Results'!$H$2:$H199, "FLSP") </f>
        <v>0</v>
      </c>
      <c r="F97" s="30">
        <f>COUNTIFS('ALL Tube Results'!$C$2:$C199, "&gt;="&amp;A97, 'ALL Tube Results'!$C$2:$C199, "&lt;="&amp;B97, 'ALL Tube Results'!$F$2:$F199, "Inconclusive", 'ALL Tube Results'!$H$2:$H199, "FLSP")
</f>
        <v>0</v>
      </c>
      <c r="G97" s="31">
        <f t="shared" si="1"/>
        <v>0</v>
      </c>
    </row>
    <row r="98">
      <c r="A98" s="14">
        <v>44844.0</v>
      </c>
      <c r="B98" s="14">
        <v>44850.0</v>
      </c>
      <c r="C98" s="29">
        <f>SUMIFS('ALL Tube Results'!$G$2:$G199, 'ALL Tube Results'!$C$2:$C199, "&gt;="&amp;A98, 'ALL Tube Results'!$C$2:$C199, "&lt;="&amp;B98, 'ALL Tube Results'!$H$2:$H199, "FLSP")</f>
        <v>14</v>
      </c>
      <c r="D98" s="30">
        <f>COUNTIFS('ALL Tube Results'!$C$2:$C199, "&gt;="&amp;A98, 'ALL Tube Results'!$C$2:$C199, "&lt;="&amp;B98, 'ALL Tube Results'!$H$2:$H199, "FLSP")
</f>
        <v>5</v>
      </c>
      <c r="E98" s="30">
        <f>COUNTIFS('ALL Tube Results'!$C$2:$C199, "&gt;="&amp;A98, 'ALL Tube Results'!$C$2:$C199, "&lt;="&amp;B98, 'ALL Tube Results'!$F$2:$F199, "Positive", 'ALL Tube Results'!$H$2:$H199, "FLSP") </f>
        <v>0</v>
      </c>
      <c r="F98" s="30">
        <f>COUNTIFS('ALL Tube Results'!$C$2:$C199, "&gt;="&amp;A98, 'ALL Tube Results'!$C$2:$C199, "&lt;="&amp;B98, 'ALL Tube Results'!$F$2:$F199, "Inconclusive", 'ALL Tube Results'!$H$2:$H199, "FLSP")
</f>
        <v>0</v>
      </c>
      <c r="G98" s="31">
        <f t="shared" si="1"/>
        <v>0</v>
      </c>
    </row>
    <row r="99">
      <c r="A99" s="14">
        <v>44851.0</v>
      </c>
      <c r="B99" s="14">
        <v>44857.0</v>
      </c>
      <c r="C99" s="29">
        <f>SUMIFS('ALL Tube Results'!$G$2:$G199, 'ALL Tube Results'!$C$2:$C199, "&gt;="&amp;A99, 'ALL Tube Results'!$C$2:$C199, "&lt;="&amp;B99, 'ALL Tube Results'!$H$2:$H199, "FLSP")</f>
        <v>12</v>
      </c>
      <c r="D99" s="30">
        <f>COUNTIFS('ALL Tube Results'!$C$2:$C199, "&gt;="&amp;A99, 'ALL Tube Results'!$C$2:$C199, "&lt;="&amp;B99, 'ALL Tube Results'!$H$2:$H199, "FLSP")
</f>
        <v>4</v>
      </c>
      <c r="E99" s="30">
        <f>COUNTIFS('ALL Tube Results'!$C$2:$C199, "&gt;="&amp;A99, 'ALL Tube Results'!$C$2:$C199, "&lt;="&amp;B99, 'ALL Tube Results'!$F$2:$F199, "Positive", 'ALL Tube Results'!$H$2:$H199, "FLSP") </f>
        <v>0</v>
      </c>
      <c r="F99" s="30">
        <f>COUNTIFS('ALL Tube Results'!$C$2:$C199, "&gt;="&amp;A99, 'ALL Tube Results'!$C$2:$C199, "&lt;="&amp;B99, 'ALL Tube Results'!$F$2:$F199, "Inconclusive", 'ALL Tube Results'!$H$2:$H199, "FLSP")
</f>
        <v>0</v>
      </c>
      <c r="G99" s="31">
        <f t="shared" si="1"/>
        <v>0</v>
      </c>
    </row>
    <row r="100">
      <c r="A100" s="14">
        <v>44858.0</v>
      </c>
      <c r="B100" s="14">
        <v>44864.0</v>
      </c>
      <c r="C100" s="29">
        <f>SUMIFS('ALL Tube Results'!$G$2:$G199, 'ALL Tube Results'!$C$2:$C199, "&gt;="&amp;A100, 'ALL Tube Results'!$C$2:$C199, "&lt;="&amp;B100, 'ALL Tube Results'!$H$2:$H199, "FLSP")</f>
        <v>12</v>
      </c>
      <c r="D100" s="30">
        <f>COUNTIFS('ALL Tube Results'!$C$2:$C199, "&gt;="&amp;A100, 'ALL Tube Results'!$C$2:$C199, "&lt;="&amp;B100, 'ALL Tube Results'!$H$2:$H199, "FLSP")
</f>
        <v>8</v>
      </c>
      <c r="E100" s="30">
        <f>COUNTIFS('ALL Tube Results'!$C$2:$C199, "&gt;="&amp;A100, 'ALL Tube Results'!$C$2:$C199, "&lt;="&amp;B100, 'ALL Tube Results'!$F$2:$F199, "Positive", 'ALL Tube Results'!$H$2:$H199, "FLSP") </f>
        <v>0</v>
      </c>
      <c r="F100" s="30">
        <f>COUNTIFS('ALL Tube Results'!$C$2:$C199, "&gt;="&amp;A100, 'ALL Tube Results'!$C$2:$C199, "&lt;="&amp;B100, 'ALL Tube Results'!$F$2:$F199, "Inconclusive", 'ALL Tube Results'!$H$2:$H199, "FLSP")
</f>
        <v>0</v>
      </c>
      <c r="G100" s="31">
        <f t="shared" si="1"/>
        <v>0</v>
      </c>
    </row>
    <row r="101">
      <c r="A101" s="14">
        <v>44865.0</v>
      </c>
      <c r="B101" s="14">
        <v>44871.0</v>
      </c>
      <c r="C101" s="29">
        <f>SUMIFS('ALL Tube Results'!$G$2:$G199, 'ALL Tube Results'!$C$2:$C199, "&gt;="&amp;A101, 'ALL Tube Results'!$C$2:$C199, "&lt;="&amp;B101, 'ALL Tube Results'!$H$2:$H199, "FLSP")</f>
        <v>11</v>
      </c>
      <c r="D101" s="30">
        <f>COUNTIFS('ALL Tube Results'!$C$2:$C199, "&gt;="&amp;A101, 'ALL Tube Results'!$C$2:$C199, "&lt;="&amp;B101, 'ALL Tube Results'!$H$2:$H199, "FLSP")
</f>
        <v>5</v>
      </c>
      <c r="E101" s="30">
        <f>COUNTIFS('ALL Tube Results'!$C$2:$C199, "&gt;="&amp;A101, 'ALL Tube Results'!$C$2:$C199, "&lt;="&amp;B101, 'ALL Tube Results'!$F$2:$F199, "Positive", 'ALL Tube Results'!$H$2:$H199, "FLSP") </f>
        <v>0</v>
      </c>
      <c r="F101" s="30">
        <f>COUNTIFS('ALL Tube Results'!$C$2:$C199, "&gt;="&amp;A101, 'ALL Tube Results'!$C$2:$C199, "&lt;="&amp;B101, 'ALL Tube Results'!$F$2:$F199, "Inconclusive", 'ALL Tube Results'!$H$2:$H199, "FLSP")
</f>
        <v>0</v>
      </c>
      <c r="G101" s="31">
        <f t="shared" si="1"/>
        <v>0</v>
      </c>
    </row>
    <row r="102">
      <c r="A102" s="14">
        <v>44872.0</v>
      </c>
      <c r="B102" s="14">
        <v>44878.0</v>
      </c>
      <c r="C102" s="29">
        <f>SUMIFS('ALL Tube Results'!$G$2:$G199, 'ALL Tube Results'!$C$2:$C199, "&gt;="&amp;A102, 'ALL Tube Results'!$C$2:$C199, "&lt;="&amp;B102, 'ALL Tube Results'!$H$2:$H199, "FLSP")</f>
        <v>12</v>
      </c>
      <c r="D102" s="30">
        <f>COUNTIFS('ALL Tube Results'!$C$2:$C199, "&gt;="&amp;A102, 'ALL Tube Results'!$C$2:$C199, "&lt;="&amp;B102, 'ALL Tube Results'!$H$2:$H199, "FLSP")
</f>
        <v>5</v>
      </c>
      <c r="E102" s="30">
        <f>COUNTIFS('ALL Tube Results'!$C$2:$C199, "&gt;="&amp;A102, 'ALL Tube Results'!$C$2:$C199, "&lt;="&amp;B102, 'ALL Tube Results'!$F$2:$F199, "Positive", 'ALL Tube Results'!$H$2:$H199, "FLSP") </f>
        <v>0</v>
      </c>
      <c r="F102" s="30">
        <f>COUNTIFS('ALL Tube Results'!$C$2:$C199, "&gt;="&amp;A102, 'ALL Tube Results'!$C$2:$C199, "&lt;="&amp;B102, 'ALL Tube Results'!$F$2:$F199, "Inconclusive", 'ALL Tube Results'!$H$2:$H199, "FLSP")
</f>
        <v>0</v>
      </c>
      <c r="G102" s="31">
        <f t="shared" si="1"/>
        <v>0</v>
      </c>
    </row>
    <row r="103">
      <c r="A103" s="14">
        <v>44879.0</v>
      </c>
      <c r="B103" s="14">
        <v>44885.0</v>
      </c>
      <c r="C103" s="29">
        <f>SUMIFS('ALL Tube Results'!$G$2:$G199, 'ALL Tube Results'!$C$2:$C199, "&gt;="&amp;A103, 'ALL Tube Results'!$C$2:$C199, "&lt;="&amp;B103, 'ALL Tube Results'!$H$2:$H199, "FLSP")</f>
        <v>8</v>
      </c>
      <c r="D103" s="30">
        <f>COUNTIFS('ALL Tube Results'!$C$2:$C199, "&gt;="&amp;A103, 'ALL Tube Results'!$C$2:$C199, "&lt;="&amp;B103, 'ALL Tube Results'!$H$2:$H199, "FLSP")
</f>
        <v>5</v>
      </c>
      <c r="E103" s="30">
        <f>COUNTIFS('ALL Tube Results'!$C$2:$C199, "&gt;="&amp;A103, 'ALL Tube Results'!$C$2:$C199, "&lt;="&amp;B103, 'ALL Tube Results'!$F$2:$F199, "Positive", 'ALL Tube Results'!$H$2:$H199, "FLSP") </f>
        <v>0</v>
      </c>
      <c r="F103" s="30">
        <f>COUNTIFS('ALL Tube Results'!$C$2:$C199, "&gt;="&amp;A103, 'ALL Tube Results'!$C$2:$C199, "&lt;="&amp;B103, 'ALL Tube Results'!$F$2:$F199, "Inconclusive", 'ALL Tube Results'!$H$2:$H199, "FLSP")
</f>
        <v>0</v>
      </c>
      <c r="G103" s="31">
        <f t="shared" si="1"/>
        <v>0</v>
      </c>
    </row>
    <row r="104">
      <c r="A104" s="14">
        <v>44886.0</v>
      </c>
      <c r="B104" s="14">
        <v>44892.0</v>
      </c>
      <c r="C104" s="29">
        <f>SUMIFS('ALL Tube Results'!$G$2:$G199, 'ALL Tube Results'!$C$2:$C199, "&gt;="&amp;A104, 'ALL Tube Results'!$C$2:$C199, "&lt;="&amp;B104, 'ALL Tube Results'!$H$2:$H199, "FLSP")</f>
        <v>5</v>
      </c>
      <c r="D104" s="30">
        <f>COUNTIFS('ALL Tube Results'!$C$2:$C199, "&gt;="&amp;A104, 'ALL Tube Results'!$C$2:$C199, "&lt;="&amp;B104, 'ALL Tube Results'!$H$2:$H199, "FLSP")
</f>
        <v>3</v>
      </c>
      <c r="E104" s="30">
        <f>COUNTIFS('ALL Tube Results'!$C$2:$C199, "&gt;="&amp;A104, 'ALL Tube Results'!$C$2:$C199, "&lt;="&amp;B104, 'ALL Tube Results'!$F$2:$F199, "Positive", 'ALL Tube Results'!$H$2:$H199, "FLSP") </f>
        <v>0</v>
      </c>
      <c r="F104" s="30">
        <f>COUNTIFS('ALL Tube Results'!$C$2:$C199, "&gt;="&amp;A104, 'ALL Tube Results'!$C$2:$C199, "&lt;="&amp;B104, 'ALL Tube Results'!$F$2:$F199, "Inconclusive", 'ALL Tube Results'!$H$2:$H199, "FLSP")
</f>
        <v>0</v>
      </c>
      <c r="G104" s="31">
        <f t="shared" si="1"/>
        <v>0</v>
      </c>
    </row>
    <row r="105">
      <c r="A105" s="14">
        <v>44893.0</v>
      </c>
      <c r="B105" s="14">
        <v>44899.0</v>
      </c>
      <c r="C105" s="29">
        <f>SUMIFS('ALL Tube Results'!$G$2:$G199, 'ALL Tube Results'!$C$2:$C199, "&gt;="&amp;A105, 'ALL Tube Results'!$C$2:$C199, "&lt;="&amp;B105, 'ALL Tube Results'!$H$2:$H199, "FLSP")</f>
        <v>13</v>
      </c>
      <c r="D105" s="30">
        <f>COUNTIFS('ALL Tube Results'!$C$2:$C199, "&gt;="&amp;A105, 'ALL Tube Results'!$C$2:$C199, "&lt;="&amp;B105, 'ALL Tube Results'!$H$2:$H199, "FLSP")
</f>
        <v>5</v>
      </c>
      <c r="E105" s="30">
        <f>COUNTIFS('ALL Tube Results'!$C$2:$C199, "&gt;="&amp;A105, 'ALL Tube Results'!$C$2:$C199, "&lt;="&amp;B105, 'ALL Tube Results'!$F$2:$F199, "Positive", 'ALL Tube Results'!$H$2:$H199, "FLSP") </f>
        <v>0</v>
      </c>
      <c r="F105" s="30">
        <f>COUNTIFS('ALL Tube Results'!$C$2:$C199, "&gt;="&amp;A105, 'ALL Tube Results'!$C$2:$C199, "&lt;="&amp;B105, 'ALL Tube Results'!$F$2:$F199, "Inconclusive", 'ALL Tube Results'!$H$2:$H199, "FLSP")
</f>
        <v>0</v>
      </c>
      <c r="G105" s="31">
        <f t="shared" si="1"/>
        <v>0</v>
      </c>
    </row>
    <row r="106">
      <c r="A106" s="14">
        <v>44900.0</v>
      </c>
      <c r="B106" s="14">
        <v>44906.0</v>
      </c>
      <c r="C106" s="29">
        <f>SUMIFS('ALL Tube Results'!$G$2:$G199, 'ALL Tube Results'!$C$2:$C199, "&gt;="&amp;A106, 'ALL Tube Results'!$C$2:$C199, "&lt;="&amp;B106, 'ALL Tube Results'!$H$2:$H199, "FLSP")</f>
        <v>8</v>
      </c>
      <c r="D106" s="30">
        <f>COUNTIFS('ALL Tube Results'!$C$2:$C199, "&gt;="&amp;A106, 'ALL Tube Results'!$C$2:$C199, "&lt;="&amp;B106, 'ALL Tube Results'!$H$2:$H199, "FLSP")
</f>
        <v>3</v>
      </c>
      <c r="E106" s="30">
        <f>COUNTIFS('ALL Tube Results'!$C$2:$C199, "&gt;="&amp;A106, 'ALL Tube Results'!$C$2:$C199, "&lt;="&amp;B106, 'ALL Tube Results'!$F$2:$F199, "Positive", 'ALL Tube Results'!$H$2:$H199, "FLSP") </f>
        <v>0</v>
      </c>
      <c r="F106" s="30">
        <f>COUNTIFS('ALL Tube Results'!$C$2:$C199, "&gt;="&amp;A106, 'ALL Tube Results'!$C$2:$C199, "&lt;="&amp;B106, 'ALL Tube Results'!$F$2:$F199, "Inconclusive", 'ALL Tube Results'!$H$2:$H199, "FLSP")
</f>
        <v>0</v>
      </c>
      <c r="G106" s="31">
        <f t="shared" si="1"/>
        <v>0</v>
      </c>
    </row>
    <row r="107">
      <c r="A107" s="14">
        <v>44907.0</v>
      </c>
      <c r="B107" s="14">
        <v>44913.0</v>
      </c>
      <c r="C107" s="29">
        <f>SUMIFS('ALL Tube Results'!$G$2:$G199, 'ALL Tube Results'!$C$2:$C199, "&gt;="&amp;A107, 'ALL Tube Results'!$C$2:$C199, "&lt;="&amp;B107, 'ALL Tube Results'!$H$2:$H199, "FLSP")</f>
        <v>23</v>
      </c>
      <c r="D107" s="30">
        <f>COUNTIFS('ALL Tube Results'!$C$2:$C199, "&gt;="&amp;A107, 'ALL Tube Results'!$C$2:$C199, "&lt;="&amp;B107, 'ALL Tube Results'!$H$2:$H199, "FLSP")
</f>
        <v>11</v>
      </c>
      <c r="E107" s="30">
        <f>COUNTIFS('ALL Tube Results'!$C$2:$C199, "&gt;="&amp;A107, 'ALL Tube Results'!$C$2:$C199, "&lt;="&amp;B107, 'ALL Tube Results'!$F$2:$F199, "Positive", 'ALL Tube Results'!$H$2:$H199, "FLSP") </f>
        <v>1</v>
      </c>
      <c r="F107" s="30">
        <f>COUNTIFS('ALL Tube Results'!$C$2:$C199, "&gt;="&amp;A107, 'ALL Tube Results'!$C$2:$C199, "&lt;="&amp;B107, 'ALL Tube Results'!$F$2:$F199, "Inconclusive", 'ALL Tube Results'!$H$2:$H199, "FLSP")
</f>
        <v>0</v>
      </c>
      <c r="G107" s="31">
        <f t="shared" si="1"/>
        <v>0.09090909091</v>
      </c>
    </row>
    <row r="108">
      <c r="A108" s="14">
        <v>44914.0</v>
      </c>
      <c r="B108" s="14">
        <v>44920.0</v>
      </c>
      <c r="C108" s="29">
        <f>SUMIFS('ALL Tube Results'!$G$2:$G199, 'ALL Tube Results'!$C$2:$C199, "&gt;="&amp;A108, 'ALL Tube Results'!$C$2:$C199, "&lt;="&amp;B108, 'ALL Tube Results'!$H$2:$H199, "FLSP")</f>
        <v>10</v>
      </c>
      <c r="D108" s="30">
        <f>COUNTIFS('ALL Tube Results'!$C$2:$C199, "&gt;="&amp;A108, 'ALL Tube Results'!$C$2:$C199, "&lt;="&amp;B108, 'ALL Tube Results'!$H$2:$H199, "FLSP")
</f>
        <v>6</v>
      </c>
      <c r="E108" s="30">
        <f>COUNTIFS('ALL Tube Results'!$C$2:$C199, "&gt;="&amp;A108, 'ALL Tube Results'!$C$2:$C199, "&lt;="&amp;B108, 'ALL Tube Results'!$F$2:$F199, "Positive", 'ALL Tube Results'!$H$2:$H199, "FLSP") </f>
        <v>0</v>
      </c>
      <c r="F108" s="30">
        <f>COUNTIFS('ALL Tube Results'!$C$2:$C199, "&gt;="&amp;A108, 'ALL Tube Results'!$C$2:$C199, "&lt;="&amp;B108, 'ALL Tube Results'!$F$2:$F199, "Inconclusive", 'ALL Tube Results'!$H$2:$H199, "FLSP")
</f>
        <v>0</v>
      </c>
      <c r="G108" s="31">
        <f t="shared" si="1"/>
        <v>0</v>
      </c>
    </row>
    <row r="109">
      <c r="A109" s="14">
        <v>44921.0</v>
      </c>
      <c r="B109" s="14">
        <v>44927.0</v>
      </c>
      <c r="C109" s="29">
        <f>SUMIFS('ALL Tube Results'!$G$2:$G199, 'ALL Tube Results'!$C$2:$C199, "&gt;="&amp;A109, 'ALL Tube Results'!$C$2:$C199, "&lt;="&amp;B109, 'ALL Tube Results'!$H$2:$H199, "FLSP")</f>
        <v>6</v>
      </c>
      <c r="D109" s="30">
        <f>COUNTIFS('ALL Tube Results'!$C$2:$C199, "&gt;="&amp;A109, 'ALL Tube Results'!$C$2:$C199, "&lt;="&amp;B109, 'ALL Tube Results'!$H$2:$H199, "FLSP")
</f>
        <v>3</v>
      </c>
      <c r="E109" s="30">
        <f>COUNTIFS('ALL Tube Results'!$C$2:$C199, "&gt;="&amp;A109, 'ALL Tube Results'!$C$2:$C199, "&lt;="&amp;B109, 'ALL Tube Results'!$F$2:$F199, "Positive", 'ALL Tube Results'!$H$2:$H199, "FLSP") </f>
        <v>0</v>
      </c>
      <c r="F109" s="30">
        <f>COUNTIFS('ALL Tube Results'!$C$2:$C199, "&gt;="&amp;A109, 'ALL Tube Results'!$C$2:$C199, "&lt;="&amp;B109, 'ALL Tube Results'!$F$2:$F199, "Inconclusive", 'ALL Tube Results'!$H$2:$H199, "FLSP")
</f>
        <v>0</v>
      </c>
      <c r="G109" s="31">
        <f t="shared" si="1"/>
        <v>0</v>
      </c>
    </row>
    <row r="110">
      <c r="A110" s="14">
        <v>44928.0</v>
      </c>
      <c r="B110" s="14">
        <v>44934.0</v>
      </c>
      <c r="C110" s="29">
        <f>SUMIFS('ALL Tube Results'!$G$2:$G199, 'ALL Tube Results'!$C$2:$C199, "&gt;="&amp;A110, 'ALL Tube Results'!$C$2:$C199, "&lt;="&amp;B110, 'ALL Tube Results'!$H$2:$H199, "FLSP")</f>
        <v>7</v>
      </c>
      <c r="D110" s="30">
        <f>COUNTIFS('ALL Tube Results'!$C$2:$C199, "&gt;="&amp;A110, 'ALL Tube Results'!$C$2:$C199, "&lt;="&amp;B110, 'ALL Tube Results'!$H$2:$H199, "FLSP")
</f>
        <v>3</v>
      </c>
      <c r="E110" s="30">
        <f>COUNTIFS('ALL Tube Results'!$C$2:$C199, "&gt;="&amp;A110, 'ALL Tube Results'!$C$2:$C199, "&lt;="&amp;B110, 'ALL Tube Results'!$F$2:$F199, "Positive", 'ALL Tube Results'!$H$2:$H199, "FLSP") </f>
        <v>0</v>
      </c>
      <c r="F110" s="30">
        <f>COUNTIFS('ALL Tube Results'!$C$2:$C199, "&gt;="&amp;A110, 'ALL Tube Results'!$C$2:$C199, "&lt;="&amp;B110, 'ALL Tube Results'!$F$2:$F199, "Inconclusive", 'ALL Tube Results'!$H$2:$H199, "FLSP")
</f>
        <v>0</v>
      </c>
      <c r="G110" s="31">
        <f t="shared" si="1"/>
        <v>0</v>
      </c>
    </row>
    <row r="111">
      <c r="A111" s="14"/>
      <c r="B111" s="14"/>
      <c r="G111" s="20"/>
    </row>
    <row r="112">
      <c r="A112" s="14"/>
      <c r="B112" s="14"/>
      <c r="G112" s="20"/>
    </row>
    <row r="113">
      <c r="A113" s="14"/>
      <c r="B113" s="14"/>
      <c r="G113" s="20"/>
    </row>
    <row r="114">
      <c r="A114" s="14"/>
      <c r="B114" s="14"/>
      <c r="G114" s="20"/>
    </row>
    <row r="115">
      <c r="A115" s="14"/>
      <c r="B115" s="14"/>
      <c r="G115" s="20"/>
    </row>
    <row r="116">
      <c r="A116" s="14"/>
      <c r="B116" s="14"/>
      <c r="G116" s="20"/>
    </row>
    <row r="117">
      <c r="A117" s="14"/>
      <c r="B117" s="14"/>
      <c r="G117" s="20"/>
    </row>
    <row r="118">
      <c r="A118" s="14"/>
      <c r="B118" s="14"/>
      <c r="G118" s="20"/>
    </row>
    <row r="119">
      <c r="A119" s="14"/>
      <c r="B119" s="14"/>
      <c r="G119" s="20"/>
    </row>
    <row r="120">
      <c r="A120" s="14"/>
      <c r="B120" s="14"/>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outlineLevelCol="1"/>
  <cols>
    <col customWidth="1" min="1" max="1" width="33.75"/>
    <col customWidth="1" min="2" max="2" width="10.88"/>
    <col customWidth="1" min="3" max="3" width="8.88"/>
    <col customWidth="1" min="4" max="4" width="8.63"/>
    <col customWidth="1" min="5" max="5" width="8.25"/>
    <col customWidth="1" min="6" max="6" width="11.75"/>
    <col customWidth="1" min="7" max="7" width="4.25"/>
    <col customWidth="1" min="8" max="8" width="11.38"/>
    <col customWidth="1" min="9" max="11" width="3.13"/>
    <col customWidth="1" min="12" max="14" width="13.25"/>
    <col customWidth="1" min="15" max="15" width="3.75"/>
    <col customWidth="1" min="16" max="16" width="11.75"/>
    <col customWidth="1" min="17" max="17" width="2.63"/>
    <col customWidth="1" min="18" max="18" width="26.88"/>
    <col customWidth="1" min="19" max="19" width="14.38"/>
    <col customWidth="1" min="21" max="21" width="16.38"/>
    <col customWidth="1" min="22" max="22" width="5.25"/>
    <col customWidth="1" min="23" max="23" width="4.88"/>
    <col customWidth="1" min="24" max="24" width="3.13"/>
    <col customWidth="1" min="25" max="25" width="26.88" outlineLevel="1"/>
    <col customWidth="1" min="26" max="26" width="15.63" outlineLevel="1"/>
    <col min="27" max="30" width="12.63" outlineLevel="1"/>
    <col customWidth="1" min="31" max="31" width="7.13" outlineLevel="1"/>
    <col customWidth="1" min="32" max="32" width="3.13"/>
    <col customWidth="1" min="33" max="33" width="26.88" outlineLevel="1"/>
    <col customWidth="1" min="34" max="34" width="11.38" outlineLevel="1"/>
    <col customWidth="1" min="35" max="37" width="8.88" outlineLevel="1"/>
    <col customWidth="1" min="38" max="38" width="11.13" outlineLevel="1"/>
    <col customWidth="1" min="39" max="39" width="8.88" outlineLevel="1"/>
    <col customWidth="1" min="40" max="40" width="2.38"/>
    <col customWidth="1" min="41" max="41" width="18.38" outlineLevel="1"/>
    <col customWidth="1" min="42" max="42" width="9.25" outlineLevel="1"/>
    <col customWidth="1" min="43" max="43" width="8.88" outlineLevel="1"/>
    <col customWidth="1" min="44" max="44" width="8.63" outlineLevel="1"/>
    <col customWidth="1" min="45" max="45" width="11.13" outlineLevel="1"/>
    <col customWidth="1" min="46" max="46" width="5.5" outlineLevel="1"/>
    <col customWidth="1" min="47" max="47" width="2.38"/>
  </cols>
  <sheetData>
    <row r="1">
      <c r="A1" s="35" t="s">
        <v>8</v>
      </c>
      <c r="B1" s="36">
        <f>COUNT(B3:B783)</f>
        <v>243</v>
      </c>
      <c r="C1" s="36">
        <f t="shared" ref="C1:F1" si="1">SUM(C2:C783)</f>
        <v>1540</v>
      </c>
      <c r="D1" s="36">
        <f t="shared" si="1"/>
        <v>1477</v>
      </c>
      <c r="E1" s="36">
        <f t="shared" si="1"/>
        <v>57</v>
      </c>
      <c r="F1" s="36">
        <f t="shared" si="1"/>
        <v>4</v>
      </c>
      <c r="G1" s="36"/>
      <c r="H1" s="36">
        <f>SUM(H2:H783)</f>
        <v>2</v>
      </c>
      <c r="I1" s="37"/>
      <c r="J1" s="37"/>
      <c r="K1" s="37"/>
      <c r="L1" s="38">
        <f t="shared" ref="L1:N1" si="2">SUM(L2:L783)</f>
        <v>422</v>
      </c>
      <c r="M1" s="38">
        <f t="shared" si="2"/>
        <v>2</v>
      </c>
      <c r="N1" s="38">
        <f t="shared" si="2"/>
        <v>0</v>
      </c>
      <c r="O1" s="36"/>
      <c r="P1" s="36">
        <f>SUM(P2:P783)</f>
        <v>48</v>
      </c>
      <c r="Q1" s="39"/>
      <c r="R1" s="40" t="s">
        <v>9</v>
      </c>
      <c r="S1" s="41" t="str">
        <f>CONCATENATE("Delta Run Reconciled to ALL Tubes ",T1-C1)</f>
        <v>Delta Run Reconciled to ALL Tubes -2</v>
      </c>
      <c r="T1" s="42">
        <f>SUM(T2:T783)</f>
        <v>1538</v>
      </c>
      <c r="U1" s="42">
        <f>COUNTIF(U3:U783,FALSE)</f>
        <v>0</v>
      </c>
      <c r="V1" s="42">
        <f t="shared" ref="V1:W1" si="3">SUM(V2:V783)</f>
        <v>0</v>
      </c>
      <c r="W1" s="42">
        <f t="shared" si="3"/>
        <v>0</v>
      </c>
      <c r="X1" s="43"/>
      <c r="Y1" s="44" t="s">
        <v>10</v>
      </c>
      <c r="Z1" s="44"/>
      <c r="AA1" s="45">
        <f t="shared" ref="AA1:AD1" si="4">SUM(AA2:AA783)</f>
        <v>1118</v>
      </c>
      <c r="AB1" s="45">
        <f t="shared" si="4"/>
        <v>1059</v>
      </c>
      <c r="AC1" s="45">
        <f t="shared" si="4"/>
        <v>55</v>
      </c>
      <c r="AD1" s="45">
        <f t="shared" si="4"/>
        <v>4</v>
      </c>
      <c r="AE1" s="44"/>
      <c r="AF1" s="43"/>
      <c r="AG1" s="46" t="s">
        <v>11</v>
      </c>
      <c r="AH1" s="47"/>
      <c r="AI1" s="47">
        <f t="shared" ref="AI1:AM1" si="5">SUM(AI3:AI783)</f>
        <v>1492</v>
      </c>
      <c r="AJ1" s="47">
        <f t="shared" si="5"/>
        <v>1429</v>
      </c>
      <c r="AK1" s="47">
        <f t="shared" si="5"/>
        <v>57</v>
      </c>
      <c r="AL1" s="47">
        <f t="shared" si="5"/>
        <v>4</v>
      </c>
      <c r="AM1" s="47">
        <f t="shared" si="5"/>
        <v>2</v>
      </c>
      <c r="AN1" s="43"/>
      <c r="AO1" s="48" t="s">
        <v>12</v>
      </c>
      <c r="AP1" s="49">
        <f t="shared" ref="AP1:AT1" si="6">SUM(AP2:AP783)</f>
        <v>1434</v>
      </c>
      <c r="AQ1" s="49">
        <f t="shared" si="6"/>
        <v>1429</v>
      </c>
      <c r="AR1" s="49">
        <f t="shared" si="6"/>
        <v>57</v>
      </c>
      <c r="AS1" s="49">
        <f t="shared" si="6"/>
        <v>4</v>
      </c>
      <c r="AT1" s="49">
        <f t="shared" si="6"/>
        <v>2</v>
      </c>
      <c r="AU1" s="43"/>
    </row>
    <row r="2">
      <c r="A2" s="7" t="s">
        <v>13</v>
      </c>
      <c r="B2" s="50" t="s">
        <v>14</v>
      </c>
      <c r="C2" s="51" t="s">
        <v>15</v>
      </c>
      <c r="D2" s="50" t="s">
        <v>16</v>
      </c>
      <c r="E2" s="7" t="s">
        <v>17</v>
      </c>
      <c r="F2" s="7" t="s">
        <v>18</v>
      </c>
      <c r="G2" s="41"/>
      <c r="H2" s="41" t="s">
        <v>19</v>
      </c>
      <c r="I2" s="52" t="s">
        <v>20</v>
      </c>
      <c r="J2" s="52" t="s">
        <v>21</v>
      </c>
      <c r="K2" s="52" t="s">
        <v>22</v>
      </c>
      <c r="L2" s="52" t="s">
        <v>23</v>
      </c>
      <c r="M2" s="52" t="s">
        <v>24</v>
      </c>
      <c r="N2" s="52" t="s">
        <v>25</v>
      </c>
      <c r="O2" s="46"/>
      <c r="P2" s="46" t="s">
        <v>26</v>
      </c>
      <c r="Q2" s="53"/>
      <c r="R2" s="7" t="s">
        <v>13</v>
      </c>
      <c r="S2" s="7" t="s">
        <v>14</v>
      </c>
      <c r="T2" s="7" t="s">
        <v>27</v>
      </c>
      <c r="U2" s="7" t="s">
        <v>28</v>
      </c>
      <c r="V2" s="9"/>
      <c r="W2" s="9"/>
      <c r="X2" s="54"/>
      <c r="Y2" s="7" t="s">
        <v>29</v>
      </c>
      <c r="Z2" s="7" t="s">
        <v>14</v>
      </c>
      <c r="AA2" s="55" t="str">
        <f>'RFR Data - preExcl'!AK1</f>
        <v>RFR Audit
Num
Run Tubes</v>
      </c>
      <c r="AB2" s="7" t="s">
        <v>30</v>
      </c>
      <c r="AC2" s="9" t="str">
        <f>'RFR Data - preExcl'!AI1</f>
        <v>Audit
Pos Session
Calls</v>
      </c>
      <c r="AD2" s="9" t="str">
        <f>'RFR Data - preExcl'!AF1</f>
        <v>Audit
Inc Session Calls</v>
      </c>
      <c r="AE2" s="56" t="s">
        <v>31</v>
      </c>
      <c r="AF2" s="54"/>
      <c r="AG2" s="7" t="s">
        <v>32</v>
      </c>
      <c r="AH2" s="50" t="s">
        <v>14</v>
      </c>
      <c r="AI2" s="50" t="s">
        <v>15</v>
      </c>
      <c r="AJ2" s="50" t="s">
        <v>16</v>
      </c>
      <c r="AK2" s="7" t="s">
        <v>17</v>
      </c>
      <c r="AL2" s="7" t="s">
        <v>18</v>
      </c>
      <c r="AM2" s="7" t="s">
        <v>33</v>
      </c>
      <c r="AN2" s="54"/>
      <c r="AO2" s="9" t="str">
        <f>'APS Tubes by Date IMPORT'!B1</f>
        <v>APS
COLLECT DATE</v>
      </c>
      <c r="AP2" s="50" t="s">
        <v>15</v>
      </c>
      <c r="AQ2" s="50" t="s">
        <v>16</v>
      </c>
      <c r="AR2" s="7" t="s">
        <v>17</v>
      </c>
      <c r="AS2" s="7" t="s">
        <v>18</v>
      </c>
      <c r="AT2" s="7" t="s">
        <v>33</v>
      </c>
      <c r="AU2" s="54"/>
    </row>
    <row r="3">
      <c r="A3" s="57" t="str">
        <f t="array" ref="A3:A246">SORT(UNIQUE('ALL Tube Results'!B2:B783))</f>
        <v>RUN-FLMP_2020-12-11_APS-001</v>
      </c>
      <c r="B3" s="58">
        <f>VLOOKUP(A3,'Run Reconcile'!A$2:B783,2,FALSE)</f>
        <v>44176</v>
      </c>
      <c r="C3" s="59">
        <f>COUNTIF('ALL Tube Results'!B2:B783, A3)
</f>
        <v>2</v>
      </c>
      <c r="D3" s="60">
        <f>COUNTIFS('ALL Tube Results'!$B2:$B783, $A3, 'ALL Tube Results'!$F2:$F783, "Negative")
</f>
        <v>2</v>
      </c>
      <c r="E3" s="60">
        <f>COUNTIFS('ALL Tube Results'!$B2:$B783, $A3, 'ALL Tube Results'!$F2:$F783, "Positive")
</f>
        <v>0</v>
      </c>
      <c r="F3" s="60">
        <f>COUNTIFS('ALL Tube Results'!$B2:$B783, $A3, 'ALL Tube Results'!$F2:$F783, "Inconclusive")
</f>
        <v>0</v>
      </c>
      <c r="G3" s="61">
        <f t="shared" ref="G3:G245" si="7">IFERROR(VLOOKUP(A3,R$3:T783,3,FALSE),IFERROR(0/0,"")  )</f>
        <v>2</v>
      </c>
      <c r="H3" s="61" t="str">
        <f t="shared" ref="H3:H245" si="8">IF($C3=G3,IFERROR(0/0,""),$C3-G3)</f>
        <v/>
      </c>
      <c r="I3" s="62" t="str">
        <f t="shared" ref="I3:I245" si="9">IFERROR(VLOOKUP($A3,Y$3:AA783,3,FALSE),IFERROR(0/0,"")  )</f>
        <v/>
      </c>
      <c r="J3" s="63" t="str">
        <f t="shared" ref="J3:J245" si="10">IFERROR(VLOOKUP($A3,Y$3:AD783,5,FALSE),IFERROR(0/0,"")  )</f>
        <v/>
      </c>
      <c r="K3" s="63" t="str">
        <f t="shared" ref="K3:K245" si="11">IFERROR(VLOOKUP($A3,Y$3:AD783,6,FALSE),IFERROR(0/0,""))</f>
        <v/>
      </c>
      <c r="L3" s="63">
        <f t="shared" ref="L3:L245" si="12">IF($C3=I3,IFERROR(0/0,""),$C3-I3)</f>
        <v>2</v>
      </c>
      <c r="M3" s="63" t="str">
        <f t="shared" ref="M3:M245" si="13">IF($E3=J3,IFERROR(0/0,""),$E3-J3)</f>
        <v/>
      </c>
      <c r="N3" s="63" t="str">
        <f t="shared" ref="N3:N245" si="14">IF($F3=K3,IFERROR(0/0,""),$F3-K3)</f>
        <v/>
      </c>
      <c r="O3" s="64">
        <f t="shared" ref="O3:O245" si="15">IFERROR(VLOOKUP($A3,AG$3:AI783,3,FALSE),IFERROR(0/0,"")  )</f>
        <v>2</v>
      </c>
      <c r="P3" s="64" t="str">
        <f t="shared" ref="P3:P245" si="16">IF($C3=O3,IFERROR(0/0,""),$C3-O3)</f>
        <v/>
      </c>
      <c r="Q3" s="54"/>
      <c r="R3" s="65" t="str">
        <f t="array" ref="R3:S924">SORT('Run Reconcile'!A2:B783,1,TRUE)</f>
        <v>RUN-FLMP_2020-12-11_APS-001</v>
      </c>
      <c r="S3" s="14">
        <v>44176.0</v>
      </c>
      <c r="T3" s="16">
        <f>VLOOKUP(R3,'Run Reconcile'!$A$2:$L783,12,FALSE)</f>
        <v>2</v>
      </c>
      <c r="U3" s="16" t="str">
        <f t="shared" ref="U3:U245" si="17">IF(EXACT(A2,R2),IFERROR(0/0,""),FALSE)</f>
        <v/>
      </c>
      <c r="V3" s="16" t="str">
        <f t="shared" ref="V3:V279" si="18">IF(G3-T3=0,IFERROR(0/0,""),G3-T3)</f>
        <v/>
      </c>
      <c r="W3" s="16"/>
      <c r="X3" s="54"/>
      <c r="Y3" s="8" t="str">
        <f>IFERROR(__xludf.DUMMYFUNCTION("SORT(FILTER('Run Reconcile'!A2:B783,'Run Reconcile'!A2:A783&lt;&gt;""*"",REGEXMATCH('Run Reconcile'!A2:A783,""RFR-"")),1,TRUE)
"),"RUN-FLMP_2021-11-01_RFR-001")</f>
        <v>RUN-FLMP_2021-11-01_RFR-001</v>
      </c>
      <c r="Z3" s="14">
        <f>IFERROR(__xludf.DUMMYFUNCTION("""COMPUTED_VALUE"""),44501.0)</f>
        <v>44501</v>
      </c>
      <c r="AA3" s="62">
        <f t="array" ref="AA3">INDEX('RFR Data - preExcl'!AK$2:AK783,$AE3,1)</f>
        <v>3</v>
      </c>
      <c r="AB3" s="16">
        <f t="shared" ref="AB3:AB105" si="19">AA3-AC3-AD3</f>
        <v>3</v>
      </c>
      <c r="AC3" s="16">
        <f t="array" ref="AC3">INDEX('RFR Data - preExcl'!AI$2:AI783,$AE3,1)</f>
        <v>0</v>
      </c>
      <c r="AD3" s="16">
        <f t="array" ref="AD3">INDEX('RFR Data - preExcl'!AF$2:AF783,$AE3,1)</f>
        <v>0</v>
      </c>
      <c r="AE3" s="66">
        <f>IFNA(MATCH(Y3,'RFR Data - preExcl'!A$2:A783,0),"")</f>
        <v>1</v>
      </c>
      <c r="AF3" s="54"/>
      <c r="AG3" s="67" t="str">
        <f t="array" ref="AG3:AG244">SORT(UNIQUE('APS Tubes IMPORT'!V2:V783))</f>
        <v>RUN-FLMP_2020-12-11_APS-001</v>
      </c>
      <c r="AH3" s="68">
        <f>VLOOKUP(AG3,'Run Reconcile'!A$2:B783,2,FALSE)</f>
        <v>44176</v>
      </c>
      <c r="AI3" s="69">
        <f>COUNTIF('APS Tubes IMPORT'!$V$2:$V783, AG3)
</f>
        <v>2</v>
      </c>
      <c r="AJ3" s="69">
        <f>COUNTIFS('APS Tubes IMPORT'!V$2:V783, AG3, 'APS Tubes IMPORT'!H$2:H783, "Negative")
</f>
        <v>2</v>
      </c>
      <c r="AK3" s="69">
        <f>COUNTIFS('APS Tubes IMPORT'!V$2:V783, AG3, 'APS Tubes IMPORT'!H$2:H783, "Positive")
</f>
        <v>0</v>
      </c>
      <c r="AL3" s="69">
        <f>COUNTIFS('APS Tubes IMPORT'!V$2:V783, AG3, 'APS Tubes IMPORT'!H$2:H783, "Inconclusive")
</f>
        <v>0</v>
      </c>
      <c r="AM3" s="69">
        <f>COUNTIFS('APS Tubes IMPORT'!V$2:V783, AG3, 'APS Tubes IMPORT'!H$2:H783, "Null")
</f>
        <v>0</v>
      </c>
      <c r="AN3" s="54"/>
      <c r="AO3" s="14">
        <f>'APS Tubes by Date IMPORT'!B2</f>
        <v>44176</v>
      </c>
      <c r="AP3" s="16">
        <f>'APS Tubes by Date IMPORT'!C2</f>
        <v>2</v>
      </c>
      <c r="AQ3" s="16">
        <f>'APS Tubes by Date IMPORT'!D2</f>
        <v>2</v>
      </c>
      <c r="AR3" s="16">
        <f>'APS Tubes by Date IMPORT'!E2</f>
        <v>0</v>
      </c>
      <c r="AS3" s="16">
        <f>'APS Tubes by Date IMPORT'!F2</f>
        <v>0</v>
      </c>
      <c r="AT3" s="16">
        <f>'APS Tubes by Date IMPORT'!G2</f>
        <v>0</v>
      </c>
      <c r="AU3" s="54"/>
    </row>
    <row r="4">
      <c r="A4" s="8" t="s">
        <v>34</v>
      </c>
      <c r="B4" s="58">
        <f>VLOOKUP(A4,'Run Reconcile'!A$2:B783,2,FALSE)</f>
        <v>44184</v>
      </c>
      <c r="C4" s="59">
        <f>COUNTIF('ALL Tube Results'!B3:B783, A4)
</f>
        <v>1</v>
      </c>
      <c r="D4" s="60">
        <f>COUNTIFS('ALL Tube Results'!$B3:$B783, $A4, 'ALL Tube Results'!$F3:$F783, "Negative")
</f>
        <v>1</v>
      </c>
      <c r="E4" s="60">
        <f>COUNTIFS('ALL Tube Results'!$B3:$B783, $A4, 'ALL Tube Results'!$F3:$F783, "Positive")
</f>
        <v>0</v>
      </c>
      <c r="F4" s="60">
        <f>COUNTIFS('ALL Tube Results'!$B3:$B783, $A4, 'ALL Tube Results'!$F3:$F783, "Inconclusive")
</f>
        <v>0</v>
      </c>
      <c r="G4" s="61">
        <f t="shared" si="7"/>
        <v>1</v>
      </c>
      <c r="H4" s="61" t="str">
        <f t="shared" si="8"/>
        <v/>
      </c>
      <c r="I4" s="62" t="str">
        <f t="shared" si="9"/>
        <v/>
      </c>
      <c r="J4" s="63" t="str">
        <f t="shared" si="10"/>
        <v/>
      </c>
      <c r="K4" s="63" t="str">
        <f t="shared" si="11"/>
        <v/>
      </c>
      <c r="L4" s="63">
        <f t="shared" si="12"/>
        <v>1</v>
      </c>
      <c r="M4" s="63" t="str">
        <f t="shared" si="13"/>
        <v/>
      </c>
      <c r="N4" s="63" t="str">
        <f t="shared" si="14"/>
        <v/>
      </c>
      <c r="O4" s="64">
        <f t="shared" si="15"/>
        <v>1</v>
      </c>
      <c r="P4" s="64" t="str">
        <f t="shared" si="16"/>
        <v/>
      </c>
      <c r="Q4" s="54"/>
      <c r="R4" s="8" t="s">
        <v>34</v>
      </c>
      <c r="S4" s="14">
        <v>44184.0</v>
      </c>
      <c r="T4" s="16">
        <f>VLOOKUP(R4,'Run Reconcile'!$A$2:$L783,12,FALSE)</f>
        <v>1</v>
      </c>
      <c r="U4" s="16" t="str">
        <f t="shared" si="17"/>
        <v/>
      </c>
      <c r="V4" s="16" t="str">
        <f t="shared" si="18"/>
        <v/>
      </c>
      <c r="W4" s="16"/>
      <c r="X4" s="54"/>
      <c r="Y4" s="8" t="str">
        <f>IFERROR(__xludf.DUMMYFUNCTION("""COMPUTED_VALUE"""),"RUN-FLMP_2021-11-02_RFR-002")</f>
        <v>RUN-FLMP_2021-11-02_RFR-002</v>
      </c>
      <c r="Z4" s="14">
        <f>IFERROR(__xludf.DUMMYFUNCTION("""COMPUTED_VALUE"""),44502.0)</f>
        <v>44502</v>
      </c>
      <c r="AA4" s="62">
        <f t="array" ref="AA4">INDEX('RFR Data - preExcl'!AK$2:AK783,$AE4,1)</f>
        <v>2</v>
      </c>
      <c r="AB4" s="16">
        <f t="shared" si="19"/>
        <v>2</v>
      </c>
      <c r="AC4" s="16">
        <f t="array" ref="AC4">INDEX('RFR Data - preExcl'!AI$2:AI783,$AE4,1)</f>
        <v>0</v>
      </c>
      <c r="AD4" s="16">
        <f t="array" ref="AD4">INDEX('RFR Data - preExcl'!AF$2:AF783,$AE4,1)</f>
        <v>0</v>
      </c>
      <c r="AE4" s="66">
        <f>IFNA(MATCH(Y4,'RFR Data - preExcl'!A$2:A783,0),"")</f>
        <v>2</v>
      </c>
      <c r="AF4" s="54"/>
      <c r="AG4" s="70" t="s">
        <v>34</v>
      </c>
      <c r="AH4" s="68">
        <f>VLOOKUP(AG4,'Run Reconcile'!A$2:B783,2,FALSE)</f>
        <v>44184</v>
      </c>
      <c r="AI4" s="69">
        <f>COUNTIF('APS Tubes IMPORT'!$V$2:$V783, AG4)
</f>
        <v>1</v>
      </c>
      <c r="AJ4" s="69">
        <f>COUNTIFS('APS Tubes IMPORT'!V$2:V783, AG4, 'APS Tubes IMPORT'!H$2:H783, "Negative")
</f>
        <v>1</v>
      </c>
      <c r="AK4" s="69">
        <f>COUNTIFS('APS Tubes IMPORT'!V$2:V783, AG4, 'APS Tubes IMPORT'!H$2:H783, "Positive")
</f>
        <v>0</v>
      </c>
      <c r="AL4" s="69">
        <f>COUNTIFS('APS Tubes IMPORT'!V$2:V783, AG4, 'APS Tubes IMPORT'!H$2:H783, "Inconclusive")
</f>
        <v>0</v>
      </c>
      <c r="AM4" s="69">
        <f>COUNTIFS('APS Tubes IMPORT'!V$2:V783, AG4, 'APS Tubes IMPORT'!H$2:H783, "Null")
</f>
        <v>0</v>
      </c>
      <c r="AN4" s="54"/>
      <c r="AO4" s="14">
        <f>'APS Tubes by Date IMPORT'!B3</f>
        <v>44184</v>
      </c>
      <c r="AP4" s="16">
        <f>'APS Tubes by Date IMPORT'!C3</f>
        <v>1</v>
      </c>
      <c r="AQ4" s="16">
        <f>'APS Tubes by Date IMPORT'!D3</f>
        <v>1</v>
      </c>
      <c r="AR4" s="16">
        <f>'APS Tubes by Date IMPORT'!E3</f>
        <v>0</v>
      </c>
      <c r="AS4" s="16">
        <f>'APS Tubes by Date IMPORT'!F3</f>
        <v>0</v>
      </c>
      <c r="AT4" s="16">
        <f>'APS Tubes by Date IMPORT'!G3</f>
        <v>0</v>
      </c>
      <c r="AU4" s="54"/>
    </row>
    <row r="5">
      <c r="A5" s="8" t="s">
        <v>35</v>
      </c>
      <c r="B5" s="58">
        <f>VLOOKUP(A5,'Run Reconcile'!A$2:B783,2,FALSE)</f>
        <v>44187</v>
      </c>
      <c r="C5" s="59">
        <f>COUNTIF('ALL Tube Results'!B4:B783, A5)
</f>
        <v>1</v>
      </c>
      <c r="D5" s="60">
        <f>COUNTIFS('ALL Tube Results'!$B4:$B783, $A5, 'ALL Tube Results'!$F4:$F783, "Negative")
</f>
        <v>1</v>
      </c>
      <c r="E5" s="60">
        <f>COUNTIFS('ALL Tube Results'!$B4:$B783, $A5, 'ALL Tube Results'!$F4:$F783, "Positive")
</f>
        <v>0</v>
      </c>
      <c r="F5" s="60">
        <f>COUNTIFS('ALL Tube Results'!$B4:$B783, $A5, 'ALL Tube Results'!$F4:$F783, "Inconclusive")
</f>
        <v>0</v>
      </c>
      <c r="G5" s="61">
        <f t="shared" si="7"/>
        <v>1</v>
      </c>
      <c r="H5" s="61" t="str">
        <f t="shared" si="8"/>
        <v/>
      </c>
      <c r="I5" s="62" t="str">
        <f t="shared" si="9"/>
        <v/>
      </c>
      <c r="J5" s="63" t="str">
        <f t="shared" si="10"/>
        <v/>
      </c>
      <c r="K5" s="63" t="str">
        <f t="shared" si="11"/>
        <v/>
      </c>
      <c r="L5" s="63">
        <f t="shared" si="12"/>
        <v>1</v>
      </c>
      <c r="M5" s="63" t="str">
        <f t="shared" si="13"/>
        <v/>
      </c>
      <c r="N5" s="63" t="str">
        <f t="shared" si="14"/>
        <v/>
      </c>
      <c r="O5" s="64">
        <f t="shared" si="15"/>
        <v>1</v>
      </c>
      <c r="P5" s="64" t="str">
        <f t="shared" si="16"/>
        <v/>
      </c>
      <c r="Q5" s="54"/>
      <c r="R5" s="8" t="s">
        <v>35</v>
      </c>
      <c r="S5" s="14">
        <v>44187.0</v>
      </c>
      <c r="T5" s="16">
        <f>VLOOKUP(R5,'Run Reconcile'!$A$2:$L783,12,FALSE)</f>
        <v>1</v>
      </c>
      <c r="U5" s="16" t="str">
        <f t="shared" si="17"/>
        <v/>
      </c>
      <c r="V5" s="16" t="str">
        <f t="shared" si="18"/>
        <v/>
      </c>
      <c r="W5" s="16"/>
      <c r="X5" s="54"/>
      <c r="Y5" s="8" t="str">
        <f>IFERROR(__xludf.DUMMYFUNCTION("""COMPUTED_VALUE"""),"RUN-FLMP_2021-11-12_RFR-003")</f>
        <v>RUN-FLMP_2021-11-12_RFR-003</v>
      </c>
      <c r="Z5" s="14">
        <f>IFERROR(__xludf.DUMMYFUNCTION("""COMPUTED_VALUE"""),44512.0)</f>
        <v>44512</v>
      </c>
      <c r="AA5" s="62">
        <f t="array" ref="AA5">INDEX('RFR Data - preExcl'!AK$2:AK783,$AE5,1)</f>
        <v>2</v>
      </c>
      <c r="AB5" s="16">
        <f t="shared" si="19"/>
        <v>2</v>
      </c>
      <c r="AC5" s="16">
        <f t="array" ref="AC5">INDEX('RFR Data - preExcl'!AI$2:AI783,$AE5,1)</f>
        <v>0</v>
      </c>
      <c r="AD5" s="16">
        <f t="array" ref="AD5">INDEX('RFR Data - preExcl'!AF$2:AF783,$AE5,1)</f>
        <v>0</v>
      </c>
      <c r="AE5" s="66">
        <f>IFNA(MATCH(Y5,'RFR Data - preExcl'!A$2:A783,0),"")</f>
        <v>3</v>
      </c>
      <c r="AF5" s="54"/>
      <c r="AG5" s="70" t="s">
        <v>35</v>
      </c>
      <c r="AH5" s="68">
        <f>VLOOKUP(AG5,'Run Reconcile'!A$2:B783,2,FALSE)</f>
        <v>44187</v>
      </c>
      <c r="AI5" s="69">
        <f>COUNTIF('APS Tubes IMPORT'!$V$2:$V783, AG5)
</f>
        <v>1</v>
      </c>
      <c r="AJ5" s="69">
        <f>COUNTIFS('APS Tubes IMPORT'!V$2:V783, AG5, 'APS Tubes IMPORT'!H$2:H783, "Negative")
</f>
        <v>1</v>
      </c>
      <c r="AK5" s="69">
        <f>COUNTIFS('APS Tubes IMPORT'!V$2:V783, AG5, 'APS Tubes IMPORT'!H$2:H783, "Positive")
</f>
        <v>0</v>
      </c>
      <c r="AL5" s="69">
        <f>COUNTIFS('APS Tubes IMPORT'!V$2:V783, AG5, 'APS Tubes IMPORT'!H$2:H783, "Inconclusive")
</f>
        <v>0</v>
      </c>
      <c r="AM5" s="69">
        <f>COUNTIFS('APS Tubes IMPORT'!V$2:V783, AG5, 'APS Tubes IMPORT'!H$2:H783, "Null")
</f>
        <v>0</v>
      </c>
      <c r="AN5" s="54"/>
      <c r="AO5" s="14">
        <f>'APS Tubes by Date IMPORT'!B4</f>
        <v>44187</v>
      </c>
      <c r="AP5" s="16">
        <f>'APS Tubes by Date IMPORT'!C4</f>
        <v>1</v>
      </c>
      <c r="AQ5" s="16">
        <f>'APS Tubes by Date IMPORT'!D4</f>
        <v>1</v>
      </c>
      <c r="AR5" s="16">
        <f>'APS Tubes by Date IMPORT'!E4</f>
        <v>0</v>
      </c>
      <c r="AS5" s="16">
        <f>'APS Tubes by Date IMPORT'!F4</f>
        <v>0</v>
      </c>
      <c r="AT5" s="16">
        <f>'APS Tubes by Date IMPORT'!G4</f>
        <v>0</v>
      </c>
      <c r="AU5" s="54"/>
    </row>
    <row r="6">
      <c r="A6" s="8" t="s">
        <v>36</v>
      </c>
      <c r="B6" s="58">
        <f>VLOOKUP(A6,'Run Reconcile'!A$2:B783,2,FALSE)</f>
        <v>44193</v>
      </c>
      <c r="C6" s="59">
        <f>COUNTIF('ALL Tube Results'!B5:B783, A6)
</f>
        <v>2</v>
      </c>
      <c r="D6" s="60">
        <f>COUNTIFS('ALL Tube Results'!$B5:$B783, $A6, 'ALL Tube Results'!$F5:$F783, "Negative")
</f>
        <v>2</v>
      </c>
      <c r="E6" s="60">
        <f>COUNTIFS('ALL Tube Results'!$B5:$B783, $A6, 'ALL Tube Results'!$F5:$F783, "Positive")
</f>
        <v>0</v>
      </c>
      <c r="F6" s="60">
        <f>COUNTIFS('ALL Tube Results'!$B5:$B783, $A6, 'ALL Tube Results'!$F5:$F783, "Inconclusive")
</f>
        <v>0</v>
      </c>
      <c r="G6" s="61">
        <f t="shared" si="7"/>
        <v>2</v>
      </c>
      <c r="H6" s="61" t="str">
        <f t="shared" si="8"/>
        <v/>
      </c>
      <c r="I6" s="62" t="str">
        <f t="shared" si="9"/>
        <v/>
      </c>
      <c r="J6" s="63" t="str">
        <f t="shared" si="10"/>
        <v/>
      </c>
      <c r="K6" s="63" t="str">
        <f t="shared" si="11"/>
        <v/>
      </c>
      <c r="L6" s="63">
        <f t="shared" si="12"/>
        <v>2</v>
      </c>
      <c r="M6" s="63" t="str">
        <f t="shared" si="13"/>
        <v/>
      </c>
      <c r="N6" s="63" t="str">
        <f t="shared" si="14"/>
        <v/>
      </c>
      <c r="O6" s="64">
        <f t="shared" si="15"/>
        <v>2</v>
      </c>
      <c r="P6" s="64" t="str">
        <f t="shared" si="16"/>
        <v/>
      </c>
      <c r="Q6" s="54"/>
      <c r="R6" s="8" t="s">
        <v>36</v>
      </c>
      <c r="S6" s="14">
        <v>44193.0</v>
      </c>
      <c r="T6" s="16">
        <f>VLOOKUP(R6,'Run Reconcile'!$A$2:$L783,12,FALSE)</f>
        <v>2</v>
      </c>
      <c r="U6" s="16" t="str">
        <f t="shared" si="17"/>
        <v/>
      </c>
      <c r="V6" s="16" t="str">
        <f t="shared" si="18"/>
        <v/>
      </c>
      <c r="W6" s="16"/>
      <c r="X6" s="54"/>
      <c r="Y6" s="8" t="str">
        <f>IFERROR(__xludf.DUMMYFUNCTION("""COMPUTED_VALUE"""),"RUN-FLMP_2021-11-26_RFR-004")</f>
        <v>RUN-FLMP_2021-11-26_RFR-004</v>
      </c>
      <c r="Z6" s="14">
        <f>IFERROR(__xludf.DUMMYFUNCTION("""COMPUTED_VALUE"""),44526.0)</f>
        <v>44526</v>
      </c>
      <c r="AA6" s="62">
        <f t="array" ref="AA6">INDEX('RFR Data - preExcl'!AK$2:AK783,$AE6,1)</f>
        <v>2</v>
      </c>
      <c r="AB6" s="16">
        <f t="shared" si="19"/>
        <v>2</v>
      </c>
      <c r="AC6" s="16">
        <f t="array" ref="AC6">INDEX('RFR Data - preExcl'!AI$2:AI783,$AE6,1)</f>
        <v>0</v>
      </c>
      <c r="AD6" s="16">
        <f t="array" ref="AD6">INDEX('RFR Data - preExcl'!AF$2:AF783,$AE6,1)</f>
        <v>0</v>
      </c>
      <c r="AE6" s="66">
        <f>IFNA(MATCH(Y6,'RFR Data - preExcl'!A$2:A783,0),"")</f>
        <v>4</v>
      </c>
      <c r="AF6" s="54"/>
      <c r="AG6" s="70" t="s">
        <v>36</v>
      </c>
      <c r="AH6" s="68">
        <f>VLOOKUP(AG6,'Run Reconcile'!A$2:B783,2,FALSE)</f>
        <v>44193</v>
      </c>
      <c r="AI6" s="69">
        <f>COUNTIF('APS Tubes IMPORT'!$V$2:$V783, AG6)
</f>
        <v>2</v>
      </c>
      <c r="AJ6" s="69">
        <f>COUNTIFS('APS Tubes IMPORT'!V$2:V783, AG6, 'APS Tubes IMPORT'!H$2:H783, "Negative")
</f>
        <v>2</v>
      </c>
      <c r="AK6" s="69">
        <f>COUNTIFS('APS Tubes IMPORT'!V$2:V783, AG6, 'APS Tubes IMPORT'!H$2:H783, "Positive")
</f>
        <v>0</v>
      </c>
      <c r="AL6" s="69">
        <f>COUNTIFS('APS Tubes IMPORT'!V$2:V783, AG6, 'APS Tubes IMPORT'!H$2:H783, "Inconclusive")
</f>
        <v>0</v>
      </c>
      <c r="AM6" s="69">
        <f>COUNTIFS('APS Tubes IMPORT'!V$2:V783, AG6, 'APS Tubes IMPORT'!H$2:H783, "Null")
</f>
        <v>0</v>
      </c>
      <c r="AN6" s="54"/>
      <c r="AO6" s="14">
        <f>'APS Tubes by Date IMPORT'!B5</f>
        <v>44193</v>
      </c>
      <c r="AP6" s="16">
        <f>'APS Tubes by Date IMPORT'!C5</f>
        <v>2</v>
      </c>
      <c r="AQ6" s="16">
        <f>'APS Tubes by Date IMPORT'!D5</f>
        <v>2</v>
      </c>
      <c r="AR6" s="16">
        <f>'APS Tubes by Date IMPORT'!E5</f>
        <v>0</v>
      </c>
      <c r="AS6" s="16">
        <f>'APS Tubes by Date IMPORT'!F5</f>
        <v>0</v>
      </c>
      <c r="AT6" s="16">
        <f>'APS Tubes by Date IMPORT'!G5</f>
        <v>0</v>
      </c>
      <c r="AU6" s="54"/>
    </row>
    <row r="7">
      <c r="A7" s="8" t="s">
        <v>37</v>
      </c>
      <c r="B7" s="58">
        <f>VLOOKUP(A7,'Run Reconcile'!A$2:B783,2,FALSE)</f>
        <v>44207</v>
      </c>
      <c r="C7" s="59">
        <f>COUNTIF('ALL Tube Results'!B6:B783, A7)
</f>
        <v>4</v>
      </c>
      <c r="D7" s="60">
        <f>COUNTIFS('ALL Tube Results'!$B6:$B783, $A7, 'ALL Tube Results'!$F6:$F783, "Negative")
</f>
        <v>4</v>
      </c>
      <c r="E7" s="60">
        <f>COUNTIFS('ALL Tube Results'!$B6:$B783, $A7, 'ALL Tube Results'!$F6:$F783, "Positive")
</f>
        <v>0</v>
      </c>
      <c r="F7" s="60">
        <f>COUNTIFS('ALL Tube Results'!$B6:$B783, $A7, 'ALL Tube Results'!$F6:$F783, "Inconclusive")
</f>
        <v>0</v>
      </c>
      <c r="G7" s="61">
        <f t="shared" si="7"/>
        <v>4</v>
      </c>
      <c r="H7" s="61" t="str">
        <f t="shared" si="8"/>
        <v/>
      </c>
      <c r="I7" s="62" t="str">
        <f t="shared" si="9"/>
        <v/>
      </c>
      <c r="J7" s="63" t="str">
        <f t="shared" si="10"/>
        <v/>
      </c>
      <c r="K7" s="63" t="str">
        <f t="shared" si="11"/>
        <v/>
      </c>
      <c r="L7" s="63">
        <f t="shared" si="12"/>
        <v>4</v>
      </c>
      <c r="M7" s="63" t="str">
        <f t="shared" si="13"/>
        <v/>
      </c>
      <c r="N7" s="63" t="str">
        <f t="shared" si="14"/>
        <v/>
      </c>
      <c r="O7" s="64">
        <f t="shared" si="15"/>
        <v>4</v>
      </c>
      <c r="P7" s="64" t="str">
        <f t="shared" si="16"/>
        <v/>
      </c>
      <c r="Q7" s="54"/>
      <c r="R7" s="8" t="s">
        <v>37</v>
      </c>
      <c r="S7" s="14">
        <v>44207.0</v>
      </c>
      <c r="T7" s="16">
        <f>VLOOKUP(R7,'Run Reconcile'!$A$2:$L783,12,FALSE)</f>
        <v>4</v>
      </c>
      <c r="U7" s="16" t="str">
        <f t="shared" si="17"/>
        <v/>
      </c>
      <c r="V7" s="16" t="str">
        <f t="shared" si="18"/>
        <v/>
      </c>
      <c r="W7" s="16"/>
      <c r="X7" s="54"/>
      <c r="Y7" s="8" t="str">
        <f>IFERROR(__xludf.DUMMYFUNCTION("""COMPUTED_VALUE"""),"RUN-FLMP_2021-11-28_RFR-006")</f>
        <v>RUN-FLMP_2021-11-28_RFR-006</v>
      </c>
      <c r="Z7" s="14">
        <f>IFERROR(__xludf.DUMMYFUNCTION("""COMPUTED_VALUE"""),44528.0)</f>
        <v>44528</v>
      </c>
      <c r="AA7" s="62">
        <f t="array" ref="AA7">INDEX('RFR Data - preExcl'!AK$2:AK783,$AE7,1)</f>
        <v>10</v>
      </c>
      <c r="AB7" s="16">
        <f t="shared" si="19"/>
        <v>10</v>
      </c>
      <c r="AC7" s="16">
        <f t="array" ref="AC7">INDEX('RFR Data - preExcl'!AI$2:AI783,$AE7,1)</f>
        <v>0</v>
      </c>
      <c r="AD7" s="16">
        <f t="array" ref="AD7">INDEX('RFR Data - preExcl'!AF$2:AF783,$AE7,1)</f>
        <v>0</v>
      </c>
      <c r="AE7" s="66">
        <f>IFNA(MATCH(Y7,'RFR Data - preExcl'!A$2:A783,0),"")</f>
        <v>5</v>
      </c>
      <c r="AF7" s="54"/>
      <c r="AG7" s="70" t="s">
        <v>37</v>
      </c>
      <c r="AH7" s="68">
        <f>VLOOKUP(AG7,'Run Reconcile'!A$2:B783,2,FALSE)</f>
        <v>44207</v>
      </c>
      <c r="AI7" s="69">
        <f>COUNTIF('APS Tubes IMPORT'!$V$2:$V783, AG7)
</f>
        <v>4</v>
      </c>
      <c r="AJ7" s="69">
        <f>COUNTIFS('APS Tubes IMPORT'!V$2:V783, AG7, 'APS Tubes IMPORT'!H$2:H783, "Negative")
</f>
        <v>4</v>
      </c>
      <c r="AK7" s="69">
        <f>COUNTIFS('APS Tubes IMPORT'!V$2:V783, AG7, 'APS Tubes IMPORT'!H$2:H783, "Positive")
</f>
        <v>0</v>
      </c>
      <c r="AL7" s="69">
        <f>COUNTIFS('APS Tubes IMPORT'!V$2:V783, AG7, 'APS Tubes IMPORT'!H$2:H783, "Inconclusive")
</f>
        <v>0</v>
      </c>
      <c r="AM7" s="69">
        <f>COUNTIFS('APS Tubes IMPORT'!V$2:V783, AG7, 'APS Tubes IMPORT'!H$2:H783, "Null")
</f>
        <v>0</v>
      </c>
      <c r="AN7" s="54"/>
      <c r="AO7" s="14">
        <f>'APS Tubes by Date IMPORT'!B6</f>
        <v>44207</v>
      </c>
      <c r="AP7" s="16">
        <f>'APS Tubes by Date IMPORT'!C6</f>
        <v>4</v>
      </c>
      <c r="AQ7" s="16">
        <f>'APS Tubes by Date IMPORT'!D6</f>
        <v>4</v>
      </c>
      <c r="AR7" s="16">
        <f>'APS Tubes by Date IMPORT'!E6</f>
        <v>0</v>
      </c>
      <c r="AS7" s="16">
        <f>'APS Tubes by Date IMPORT'!F6</f>
        <v>0</v>
      </c>
      <c r="AT7" s="16">
        <f>'APS Tubes by Date IMPORT'!G6</f>
        <v>0</v>
      </c>
      <c r="AU7" s="54"/>
    </row>
    <row r="8">
      <c r="A8" s="8" t="s">
        <v>38</v>
      </c>
      <c r="B8" s="58">
        <f>VLOOKUP(A8,'Run Reconcile'!A$2:B783,2,FALSE)</f>
        <v>44209</v>
      </c>
      <c r="C8" s="59">
        <f>COUNTIF('ALL Tube Results'!B7:B783, A8)
</f>
        <v>4</v>
      </c>
      <c r="D8" s="60">
        <f>COUNTIFS('ALL Tube Results'!$B7:$B783, $A8, 'ALL Tube Results'!$F7:$F783, "Negative")
</f>
        <v>4</v>
      </c>
      <c r="E8" s="60">
        <f>COUNTIFS('ALL Tube Results'!$B7:$B783, $A8, 'ALL Tube Results'!$F7:$F783, "Positive")
</f>
        <v>0</v>
      </c>
      <c r="F8" s="60">
        <f>COUNTIFS('ALL Tube Results'!$B7:$B783, $A8, 'ALL Tube Results'!$F7:$F783, "Inconclusive")
</f>
        <v>0</v>
      </c>
      <c r="G8" s="61">
        <f t="shared" si="7"/>
        <v>4</v>
      </c>
      <c r="H8" s="61" t="str">
        <f t="shared" si="8"/>
        <v/>
      </c>
      <c r="I8" s="62" t="str">
        <f t="shared" si="9"/>
        <v/>
      </c>
      <c r="J8" s="63" t="str">
        <f t="shared" si="10"/>
        <v/>
      </c>
      <c r="K8" s="63" t="str">
        <f t="shared" si="11"/>
        <v/>
      </c>
      <c r="L8" s="63">
        <f t="shared" si="12"/>
        <v>4</v>
      </c>
      <c r="M8" s="63" t="str">
        <f t="shared" si="13"/>
        <v/>
      </c>
      <c r="N8" s="63" t="str">
        <f t="shared" si="14"/>
        <v/>
      </c>
      <c r="O8" s="64">
        <f t="shared" si="15"/>
        <v>4</v>
      </c>
      <c r="P8" s="64" t="str">
        <f t="shared" si="16"/>
        <v/>
      </c>
      <c r="Q8" s="54"/>
      <c r="R8" s="8" t="s">
        <v>38</v>
      </c>
      <c r="S8" s="14">
        <v>44209.0</v>
      </c>
      <c r="T8" s="16">
        <f>VLOOKUP(R8,'Run Reconcile'!$A$2:$L783,12,FALSE)</f>
        <v>4</v>
      </c>
      <c r="U8" s="16" t="str">
        <f t="shared" si="17"/>
        <v/>
      </c>
      <c r="V8" s="16" t="str">
        <f t="shared" si="18"/>
        <v/>
      </c>
      <c r="W8" s="16"/>
      <c r="X8" s="54"/>
      <c r="Y8" s="8" t="str">
        <f>IFERROR(__xludf.DUMMYFUNCTION("""COMPUTED_VALUE"""),"RUN-FLMP_2021-11-29_RFR-007")</f>
        <v>RUN-FLMP_2021-11-29_RFR-007</v>
      </c>
      <c r="Z8" s="14">
        <f>IFERROR(__xludf.DUMMYFUNCTION("""COMPUTED_VALUE"""),44529.0)</f>
        <v>44529</v>
      </c>
      <c r="AA8" s="62">
        <f t="array" ref="AA8">INDEX('RFR Data - preExcl'!AK$2:AK783,$AE8,1)</f>
        <v>3</v>
      </c>
      <c r="AB8" s="16">
        <f t="shared" si="19"/>
        <v>3</v>
      </c>
      <c r="AC8" s="16">
        <f t="array" ref="AC8">INDEX('RFR Data - preExcl'!AI$2:AI783,$AE8,1)</f>
        <v>0</v>
      </c>
      <c r="AD8" s="16">
        <f t="array" ref="AD8">INDEX('RFR Data - preExcl'!AF$2:AF783,$AE8,1)</f>
        <v>0</v>
      </c>
      <c r="AE8" s="66">
        <f>IFNA(MATCH(Y8,'RFR Data - preExcl'!A$2:A783,0),"")</f>
        <v>6</v>
      </c>
      <c r="AF8" s="54"/>
      <c r="AG8" s="70" t="s">
        <v>38</v>
      </c>
      <c r="AH8" s="68">
        <f>VLOOKUP(AG8,'Run Reconcile'!A$2:B783,2,FALSE)</f>
        <v>44209</v>
      </c>
      <c r="AI8" s="69">
        <f>COUNTIF('APS Tubes IMPORT'!$V$2:$V783, AG8)
</f>
        <v>4</v>
      </c>
      <c r="AJ8" s="69">
        <f>COUNTIFS('APS Tubes IMPORT'!V$2:V783, AG8, 'APS Tubes IMPORT'!H$2:H783, "Negative")
</f>
        <v>4</v>
      </c>
      <c r="AK8" s="69">
        <f>COUNTIFS('APS Tubes IMPORT'!V$2:V783, AG8, 'APS Tubes IMPORT'!H$2:H783, "Positive")
</f>
        <v>0</v>
      </c>
      <c r="AL8" s="69">
        <f>COUNTIFS('APS Tubes IMPORT'!V$2:V783, AG8, 'APS Tubes IMPORT'!H$2:H783, "Inconclusive")
</f>
        <v>0</v>
      </c>
      <c r="AM8" s="69">
        <f>COUNTIFS('APS Tubes IMPORT'!V$2:V783, AG8, 'APS Tubes IMPORT'!H$2:H783, "Null")
</f>
        <v>0</v>
      </c>
      <c r="AN8" s="54"/>
      <c r="AO8" s="14">
        <f>'APS Tubes by Date IMPORT'!B7</f>
        <v>44209</v>
      </c>
      <c r="AP8" s="16">
        <f>'APS Tubes by Date IMPORT'!C7</f>
        <v>4</v>
      </c>
      <c r="AQ8" s="16">
        <f>'APS Tubes by Date IMPORT'!D7</f>
        <v>4</v>
      </c>
      <c r="AR8" s="16">
        <f>'APS Tubes by Date IMPORT'!E7</f>
        <v>0</v>
      </c>
      <c r="AS8" s="16">
        <f>'APS Tubes by Date IMPORT'!F7</f>
        <v>0</v>
      </c>
      <c r="AT8" s="16">
        <f>'APS Tubes by Date IMPORT'!G7</f>
        <v>0</v>
      </c>
      <c r="AU8" s="54"/>
    </row>
    <row r="9">
      <c r="A9" s="8" t="s">
        <v>39</v>
      </c>
      <c r="B9" s="58">
        <f>VLOOKUP(A9,'Run Reconcile'!A$2:B783,2,FALSE)</f>
        <v>44211</v>
      </c>
      <c r="C9" s="59">
        <f>COUNTIF('ALL Tube Results'!B8:B783, A9)
</f>
        <v>7</v>
      </c>
      <c r="D9" s="60">
        <f>COUNTIFS('ALL Tube Results'!$B8:$B783, $A9, 'ALL Tube Results'!$F8:$F783, "Negative")
</f>
        <v>4</v>
      </c>
      <c r="E9" s="60">
        <f>COUNTIFS('ALL Tube Results'!$B8:$B783, $A9, 'ALL Tube Results'!$F8:$F783, "Positive")
</f>
        <v>3</v>
      </c>
      <c r="F9" s="60">
        <f>COUNTIFS('ALL Tube Results'!$B8:$B783, $A9, 'ALL Tube Results'!$F8:$F783, "Inconclusive")
</f>
        <v>0</v>
      </c>
      <c r="G9" s="61">
        <f t="shared" si="7"/>
        <v>7</v>
      </c>
      <c r="H9" s="61" t="str">
        <f t="shared" si="8"/>
        <v/>
      </c>
      <c r="I9" s="62" t="str">
        <f t="shared" si="9"/>
        <v/>
      </c>
      <c r="J9" s="63" t="str">
        <f t="shared" si="10"/>
        <v/>
      </c>
      <c r="K9" s="63" t="str">
        <f t="shared" si="11"/>
        <v/>
      </c>
      <c r="L9" s="63">
        <f t="shared" si="12"/>
        <v>7</v>
      </c>
      <c r="M9" s="71">
        <f t="shared" si="13"/>
        <v>3</v>
      </c>
      <c r="N9" s="63" t="str">
        <f t="shared" si="14"/>
        <v/>
      </c>
      <c r="O9" s="64">
        <f t="shared" si="15"/>
        <v>7</v>
      </c>
      <c r="P9" s="64" t="str">
        <f t="shared" si="16"/>
        <v/>
      </c>
      <c r="Q9" s="54"/>
      <c r="R9" s="8" t="s">
        <v>39</v>
      </c>
      <c r="S9" s="14">
        <v>44211.0</v>
      </c>
      <c r="T9" s="16">
        <f>VLOOKUP(R9,'Run Reconcile'!$A$2:$L783,12,FALSE)</f>
        <v>7</v>
      </c>
      <c r="U9" s="16" t="str">
        <f t="shared" si="17"/>
        <v/>
      </c>
      <c r="V9" s="16" t="str">
        <f t="shared" si="18"/>
        <v/>
      </c>
      <c r="W9" s="16"/>
      <c r="X9" s="54"/>
      <c r="Y9" s="8" t="str">
        <f>IFERROR(__xludf.DUMMYFUNCTION("""COMPUTED_VALUE"""),"RUN-FLMP_2021-12-06_RFR-009")</f>
        <v>RUN-FLMP_2021-12-06_RFR-009</v>
      </c>
      <c r="Z9" s="14">
        <f>IFERROR(__xludf.DUMMYFUNCTION("""COMPUTED_VALUE"""),44536.0)</f>
        <v>44536</v>
      </c>
      <c r="AA9" s="62">
        <f t="array" ref="AA9">INDEX('RFR Data - preExcl'!AK$2:AK783,$AE9,1)</f>
        <v>4</v>
      </c>
      <c r="AB9" s="16">
        <f t="shared" si="19"/>
        <v>4</v>
      </c>
      <c r="AC9" s="16">
        <f t="array" ref="AC9">INDEX('RFR Data - preExcl'!AI$2:AI783,$AE9,1)</f>
        <v>0</v>
      </c>
      <c r="AD9" s="16">
        <f t="array" ref="AD9">INDEX('RFR Data - preExcl'!AF$2:AF783,$AE9,1)</f>
        <v>0</v>
      </c>
      <c r="AE9" s="66">
        <f>IFNA(MATCH(Y9,'RFR Data - preExcl'!A$2:A783,0),"")</f>
        <v>8</v>
      </c>
      <c r="AF9" s="54"/>
      <c r="AG9" s="70" t="s">
        <v>39</v>
      </c>
      <c r="AH9" s="68">
        <f>VLOOKUP(AG9,'Run Reconcile'!A$2:B783,2,FALSE)</f>
        <v>44211</v>
      </c>
      <c r="AI9" s="69">
        <f>COUNTIF('APS Tubes IMPORT'!$V$2:$V783, AG9)
</f>
        <v>7</v>
      </c>
      <c r="AJ9" s="69">
        <f>COUNTIFS('APS Tubes IMPORT'!V$2:V783, AG9, 'APS Tubes IMPORT'!H$2:H783, "Negative")
</f>
        <v>4</v>
      </c>
      <c r="AK9" s="69">
        <f>COUNTIFS('APS Tubes IMPORT'!V$2:V783, AG9, 'APS Tubes IMPORT'!H$2:H783, "Positive")
</f>
        <v>3</v>
      </c>
      <c r="AL9" s="69">
        <f>COUNTIFS('APS Tubes IMPORT'!V$2:V783, AG9, 'APS Tubes IMPORT'!H$2:H783, "Inconclusive")
</f>
        <v>0</v>
      </c>
      <c r="AM9" s="69">
        <f>COUNTIFS('APS Tubes IMPORT'!V$2:V783, AG9, 'APS Tubes IMPORT'!H$2:H783, "Null")
</f>
        <v>0</v>
      </c>
      <c r="AN9" s="54"/>
      <c r="AO9" s="14">
        <f>'APS Tubes by Date IMPORT'!B8</f>
        <v>44211</v>
      </c>
      <c r="AP9" s="16">
        <f>'APS Tubes by Date IMPORT'!C8</f>
        <v>7</v>
      </c>
      <c r="AQ9" s="16">
        <f>'APS Tubes by Date IMPORT'!D8</f>
        <v>4</v>
      </c>
      <c r="AR9" s="16">
        <f>'APS Tubes by Date IMPORT'!E8</f>
        <v>3</v>
      </c>
      <c r="AS9" s="16">
        <f>'APS Tubes by Date IMPORT'!F8</f>
        <v>0</v>
      </c>
      <c r="AT9" s="16">
        <f>'APS Tubes by Date IMPORT'!G8</f>
        <v>0</v>
      </c>
      <c r="AU9" s="54"/>
    </row>
    <row r="10">
      <c r="A10" s="8" t="s">
        <v>40</v>
      </c>
      <c r="B10" s="58">
        <f>VLOOKUP(A10,'Run Reconcile'!A$2:B783,2,FALSE)</f>
        <v>44214</v>
      </c>
      <c r="C10" s="59">
        <f>COUNTIF('ALL Tube Results'!B9:B783, A10)
</f>
        <v>7</v>
      </c>
      <c r="D10" s="60">
        <f>COUNTIFS('ALL Tube Results'!$B9:$B783, $A10, 'ALL Tube Results'!$F9:$F783, "Negative")
</f>
        <v>5</v>
      </c>
      <c r="E10" s="60">
        <f>COUNTIFS('ALL Tube Results'!$B9:$B783, $A10, 'ALL Tube Results'!$F9:$F783, "Positive")
</f>
        <v>0</v>
      </c>
      <c r="F10" s="60">
        <f>COUNTIFS('ALL Tube Results'!$B9:$B783, $A10, 'ALL Tube Results'!$F9:$F783, "Inconclusive")
</f>
        <v>0</v>
      </c>
      <c r="G10" s="61">
        <f t="shared" si="7"/>
        <v>7</v>
      </c>
      <c r="H10" s="61" t="str">
        <f t="shared" si="8"/>
        <v/>
      </c>
      <c r="I10" s="62" t="str">
        <f t="shared" si="9"/>
        <v/>
      </c>
      <c r="J10" s="63" t="str">
        <f t="shared" si="10"/>
        <v/>
      </c>
      <c r="K10" s="63" t="str">
        <f t="shared" si="11"/>
        <v/>
      </c>
      <c r="L10" s="63">
        <f t="shared" si="12"/>
        <v>7</v>
      </c>
      <c r="M10" s="63" t="str">
        <f t="shared" si="13"/>
        <v/>
      </c>
      <c r="N10" s="63" t="str">
        <f t="shared" si="14"/>
        <v/>
      </c>
      <c r="O10" s="64">
        <f t="shared" si="15"/>
        <v>7</v>
      </c>
      <c r="P10" s="64" t="str">
        <f t="shared" si="16"/>
        <v/>
      </c>
      <c r="Q10" s="54"/>
      <c r="R10" s="8" t="s">
        <v>40</v>
      </c>
      <c r="S10" s="14">
        <v>44214.0</v>
      </c>
      <c r="T10" s="16">
        <f>VLOOKUP(R10,'Run Reconcile'!$A$2:$L783,12,FALSE)</f>
        <v>7</v>
      </c>
      <c r="U10" s="16" t="str">
        <f t="shared" si="17"/>
        <v/>
      </c>
      <c r="V10" s="16" t="str">
        <f t="shared" si="18"/>
        <v/>
      </c>
      <c r="W10" s="16"/>
      <c r="X10" s="54"/>
      <c r="Y10" s="8" t="str">
        <f>IFERROR(__xludf.DUMMYFUNCTION("""COMPUTED_VALUE"""),"RUN-FLMP_2021-12-07_RFR-011")</f>
        <v>RUN-FLMP_2021-12-07_RFR-011</v>
      </c>
      <c r="Z10" s="14">
        <f>IFERROR(__xludf.DUMMYFUNCTION("""COMPUTED_VALUE"""),44537.0)</f>
        <v>44537</v>
      </c>
      <c r="AA10" s="62">
        <f t="array" ref="AA10">INDEX('RFR Data - preExcl'!AK$2:AK783,$AE10,1)</f>
        <v>1</v>
      </c>
      <c r="AB10" s="16">
        <f t="shared" si="19"/>
        <v>1</v>
      </c>
      <c r="AC10" s="16">
        <f t="array" ref="AC10">INDEX('RFR Data - preExcl'!AI$2:AI783,$AE10,1)</f>
        <v>0</v>
      </c>
      <c r="AD10" s="16">
        <f t="array" ref="AD10">INDEX('RFR Data - preExcl'!AF$2:AF783,$AE10,1)</f>
        <v>0</v>
      </c>
      <c r="AE10" s="66">
        <f>IFNA(MATCH(Y10,'RFR Data - preExcl'!A$2:A783,0),"")</f>
        <v>10</v>
      </c>
      <c r="AF10" s="54"/>
      <c r="AG10" s="70" t="s">
        <v>40</v>
      </c>
      <c r="AH10" s="68">
        <f>VLOOKUP(AG10,'Run Reconcile'!A$2:B783,2,FALSE)</f>
        <v>44214</v>
      </c>
      <c r="AI10" s="69">
        <f>COUNTIF('APS Tubes IMPORT'!$V$2:$V783, AG10)
</f>
        <v>7</v>
      </c>
      <c r="AJ10" s="69">
        <f>COUNTIFS('APS Tubes IMPORT'!V$2:V783, AG10, 'APS Tubes IMPORT'!H$2:H783, "Negative")
</f>
        <v>5</v>
      </c>
      <c r="AK10" s="69">
        <f>COUNTIFS('APS Tubes IMPORT'!V$2:V783, AG10, 'APS Tubes IMPORT'!H$2:H783, "Positive")
</f>
        <v>0</v>
      </c>
      <c r="AL10" s="69">
        <f>COUNTIFS('APS Tubes IMPORT'!V$2:V783, AG10, 'APS Tubes IMPORT'!H$2:H783, "Inconclusive")
</f>
        <v>0</v>
      </c>
      <c r="AM10" s="69">
        <f>COUNTIFS('APS Tubes IMPORT'!V$2:V783, AG10, 'APS Tubes IMPORT'!H$2:H783, "Null")
</f>
        <v>2</v>
      </c>
      <c r="AN10" s="54"/>
      <c r="AO10" s="14">
        <f>'APS Tubes by Date IMPORT'!B9</f>
        <v>44214</v>
      </c>
      <c r="AP10" s="16">
        <f>'APS Tubes by Date IMPORT'!C9</f>
        <v>7</v>
      </c>
      <c r="AQ10" s="16">
        <f>'APS Tubes by Date IMPORT'!D9</f>
        <v>5</v>
      </c>
      <c r="AR10" s="16">
        <f>'APS Tubes by Date IMPORT'!E9</f>
        <v>0</v>
      </c>
      <c r="AS10" s="16">
        <f>'APS Tubes by Date IMPORT'!F9</f>
        <v>0</v>
      </c>
      <c r="AT10" s="16">
        <f>'APS Tubes by Date IMPORT'!G9</f>
        <v>2</v>
      </c>
      <c r="AU10" s="54"/>
    </row>
    <row r="11">
      <c r="A11" s="8" t="s">
        <v>41</v>
      </c>
      <c r="B11" s="58">
        <f>VLOOKUP(A11,'Run Reconcile'!A$2:B783,2,FALSE)</f>
        <v>44216</v>
      </c>
      <c r="C11" s="59">
        <f>COUNTIF('ALL Tube Results'!B10:B783, A11)
</f>
        <v>7</v>
      </c>
      <c r="D11" s="60">
        <f>COUNTIFS('ALL Tube Results'!$B10:$B783, $A11, 'ALL Tube Results'!$F10:$F783, "Negative")
</f>
        <v>7</v>
      </c>
      <c r="E11" s="60">
        <f>COUNTIFS('ALL Tube Results'!$B10:$B783, $A11, 'ALL Tube Results'!$F10:$F783, "Positive")
</f>
        <v>0</v>
      </c>
      <c r="F11" s="60">
        <f>COUNTIFS('ALL Tube Results'!$B10:$B783, $A11, 'ALL Tube Results'!$F10:$F783, "Inconclusive")
</f>
        <v>0</v>
      </c>
      <c r="G11" s="61">
        <f t="shared" si="7"/>
        <v>7</v>
      </c>
      <c r="H11" s="61" t="str">
        <f t="shared" si="8"/>
        <v/>
      </c>
      <c r="I11" s="62" t="str">
        <f t="shared" si="9"/>
        <v/>
      </c>
      <c r="J11" s="63" t="str">
        <f t="shared" si="10"/>
        <v/>
      </c>
      <c r="K11" s="63" t="str">
        <f t="shared" si="11"/>
        <v/>
      </c>
      <c r="L11" s="63">
        <f t="shared" si="12"/>
        <v>7</v>
      </c>
      <c r="M11" s="63" t="str">
        <f t="shared" si="13"/>
        <v/>
      </c>
      <c r="N11" s="63" t="str">
        <f t="shared" si="14"/>
        <v/>
      </c>
      <c r="O11" s="64">
        <f t="shared" si="15"/>
        <v>7</v>
      </c>
      <c r="P11" s="64" t="str">
        <f t="shared" si="16"/>
        <v/>
      </c>
      <c r="Q11" s="54"/>
      <c r="R11" s="8" t="s">
        <v>41</v>
      </c>
      <c r="S11" s="14">
        <v>44216.0</v>
      </c>
      <c r="T11" s="16">
        <f>VLOOKUP(R11,'Run Reconcile'!$A$2:$L783,12,FALSE)</f>
        <v>7</v>
      </c>
      <c r="U11" s="16" t="str">
        <f t="shared" si="17"/>
        <v/>
      </c>
      <c r="V11" s="16" t="str">
        <f t="shared" si="18"/>
        <v/>
      </c>
      <c r="W11" s="16"/>
      <c r="X11" s="54"/>
      <c r="Y11" s="8" t="str">
        <f>IFERROR(__xludf.DUMMYFUNCTION("""COMPUTED_VALUE"""),"RUN-FLMP_2021-12-09_RFR-012")</f>
        <v>RUN-FLMP_2021-12-09_RFR-012</v>
      </c>
      <c r="Z11" s="14">
        <f>IFERROR(__xludf.DUMMYFUNCTION("""COMPUTED_VALUE"""),44539.0)</f>
        <v>44539</v>
      </c>
      <c r="AA11" s="62">
        <f t="array" ref="AA11">INDEX('RFR Data - preExcl'!AK$2:AK783,$AE11,1)</f>
        <v>2</v>
      </c>
      <c r="AB11" s="16">
        <f t="shared" si="19"/>
        <v>2</v>
      </c>
      <c r="AC11" s="16">
        <f t="array" ref="AC11">INDEX('RFR Data - preExcl'!AI$2:AI783,$AE11,1)</f>
        <v>0</v>
      </c>
      <c r="AD11" s="16">
        <f t="array" ref="AD11">INDEX('RFR Data - preExcl'!AF$2:AF783,$AE11,1)</f>
        <v>0</v>
      </c>
      <c r="AE11" s="66">
        <f>IFNA(MATCH(Y11,'RFR Data - preExcl'!A$2:A783,0),"")</f>
        <v>11</v>
      </c>
      <c r="AF11" s="54"/>
      <c r="AG11" s="70" t="s">
        <v>41</v>
      </c>
      <c r="AH11" s="68">
        <f>VLOOKUP(AG11,'Run Reconcile'!A$2:B783,2,FALSE)</f>
        <v>44216</v>
      </c>
      <c r="AI11" s="69">
        <f>COUNTIF('APS Tubes IMPORT'!$V$2:$V783, AG11)
</f>
        <v>7</v>
      </c>
      <c r="AJ11" s="69">
        <f>COUNTIFS('APS Tubes IMPORT'!V$2:V783, AG11, 'APS Tubes IMPORT'!H$2:H783, "Negative")
</f>
        <v>7</v>
      </c>
      <c r="AK11" s="69">
        <f>COUNTIFS('APS Tubes IMPORT'!V$2:V783, AG11, 'APS Tubes IMPORT'!H$2:H783, "Positive")
</f>
        <v>0</v>
      </c>
      <c r="AL11" s="69">
        <f>COUNTIFS('APS Tubes IMPORT'!V$2:V783, AG11, 'APS Tubes IMPORT'!H$2:H783, "Inconclusive")
</f>
        <v>0</v>
      </c>
      <c r="AM11" s="69">
        <f>COUNTIFS('APS Tubes IMPORT'!V$2:V783, AG11, 'APS Tubes IMPORT'!H$2:H783, "Null")
</f>
        <v>0</v>
      </c>
      <c r="AN11" s="54"/>
      <c r="AO11" s="14">
        <f>'APS Tubes by Date IMPORT'!B10</f>
        <v>44216</v>
      </c>
      <c r="AP11" s="16">
        <f>'APS Tubes by Date IMPORT'!C10</f>
        <v>7</v>
      </c>
      <c r="AQ11" s="16">
        <f>'APS Tubes by Date IMPORT'!D10</f>
        <v>7</v>
      </c>
      <c r="AR11" s="16">
        <f>'APS Tubes by Date IMPORT'!E10</f>
        <v>0</v>
      </c>
      <c r="AS11" s="16">
        <f>'APS Tubes by Date IMPORT'!F10</f>
        <v>0</v>
      </c>
      <c r="AT11" s="16">
        <f>'APS Tubes by Date IMPORT'!G10</f>
        <v>0</v>
      </c>
      <c r="AU11" s="54"/>
    </row>
    <row r="12">
      <c r="A12" s="8" t="s">
        <v>42</v>
      </c>
      <c r="B12" s="58">
        <f>VLOOKUP(A12,'Run Reconcile'!A$2:B783,2,FALSE)</f>
        <v>44217</v>
      </c>
      <c r="C12" s="59">
        <f>COUNTIF('ALL Tube Results'!B11:B783, A12)
</f>
        <v>4</v>
      </c>
      <c r="D12" s="60">
        <f>COUNTIFS('ALL Tube Results'!$B11:$B783, $A12, 'ALL Tube Results'!$F11:$F783, "Negative")
</f>
        <v>4</v>
      </c>
      <c r="E12" s="60">
        <f>COUNTIFS('ALL Tube Results'!$B11:$B783, $A12, 'ALL Tube Results'!$F11:$F783, "Positive")
</f>
        <v>0</v>
      </c>
      <c r="F12" s="60">
        <f>COUNTIFS('ALL Tube Results'!$B11:$B783, $A12, 'ALL Tube Results'!$F11:$F783, "Inconclusive")
</f>
        <v>0</v>
      </c>
      <c r="G12" s="61">
        <f t="shared" si="7"/>
        <v>4</v>
      </c>
      <c r="H12" s="61" t="str">
        <f t="shared" si="8"/>
        <v/>
      </c>
      <c r="I12" s="62" t="str">
        <f t="shared" si="9"/>
        <v/>
      </c>
      <c r="J12" s="63" t="str">
        <f t="shared" si="10"/>
        <v/>
      </c>
      <c r="K12" s="63" t="str">
        <f t="shared" si="11"/>
        <v/>
      </c>
      <c r="L12" s="63">
        <f t="shared" si="12"/>
        <v>4</v>
      </c>
      <c r="M12" s="63" t="str">
        <f t="shared" si="13"/>
        <v/>
      </c>
      <c r="N12" s="63" t="str">
        <f t="shared" si="14"/>
        <v/>
      </c>
      <c r="O12" s="64">
        <f t="shared" si="15"/>
        <v>4</v>
      </c>
      <c r="P12" s="64" t="str">
        <f t="shared" si="16"/>
        <v/>
      </c>
      <c r="Q12" s="54"/>
      <c r="R12" s="14" t="s">
        <v>42</v>
      </c>
      <c r="S12" s="14">
        <v>44217.0</v>
      </c>
      <c r="T12" s="16">
        <f>VLOOKUP(R12,'Run Reconcile'!$A$2:$L783,12,FALSE)</f>
        <v>4</v>
      </c>
      <c r="U12" s="16" t="str">
        <f t="shared" si="17"/>
        <v/>
      </c>
      <c r="V12" s="16" t="str">
        <f t="shared" si="18"/>
        <v/>
      </c>
      <c r="W12" s="16"/>
      <c r="X12" s="54"/>
      <c r="Y12" s="8" t="str">
        <f>IFERROR(__xludf.DUMMYFUNCTION("""COMPUTED_VALUE"""),"RUN-FLMP_2021-12-10_RFR-013")</f>
        <v>RUN-FLMP_2021-12-10_RFR-013</v>
      </c>
      <c r="Z12" s="14">
        <f>IFERROR(__xludf.DUMMYFUNCTION("""COMPUTED_VALUE"""),44540.0)</f>
        <v>44540</v>
      </c>
      <c r="AA12" s="62">
        <f t="array" ref="AA12">INDEX('RFR Data - preExcl'!AK$2:AK783,$AE12,1)</f>
        <v>6</v>
      </c>
      <c r="AB12" s="16">
        <f t="shared" si="19"/>
        <v>6</v>
      </c>
      <c r="AC12" s="16">
        <f t="array" ref="AC12">INDEX('RFR Data - preExcl'!AI$2:AI783,$AE12,1)</f>
        <v>0</v>
      </c>
      <c r="AD12" s="16">
        <f t="array" ref="AD12">INDEX('RFR Data - preExcl'!AF$2:AF783,$AE12,1)</f>
        <v>0</v>
      </c>
      <c r="AE12" s="66">
        <f>IFNA(MATCH(Y12,'RFR Data - preExcl'!A$2:A783,0),"")</f>
        <v>12</v>
      </c>
      <c r="AF12" s="54"/>
      <c r="AG12" s="70" t="s">
        <v>42</v>
      </c>
      <c r="AH12" s="68">
        <f>VLOOKUP(AG12,'Run Reconcile'!A$2:B783,2,FALSE)</f>
        <v>44217</v>
      </c>
      <c r="AI12" s="69">
        <f>COUNTIF('APS Tubes IMPORT'!$V$2:$V783, AG12)
</f>
        <v>4</v>
      </c>
      <c r="AJ12" s="69">
        <f>COUNTIFS('APS Tubes IMPORT'!V$2:V783, AG12, 'APS Tubes IMPORT'!H$2:H783, "Negative")
</f>
        <v>4</v>
      </c>
      <c r="AK12" s="69">
        <f>COUNTIFS('APS Tubes IMPORT'!V$2:V783, AG12, 'APS Tubes IMPORT'!H$2:H783, "Positive")
</f>
        <v>0</v>
      </c>
      <c r="AL12" s="69">
        <f>COUNTIFS('APS Tubes IMPORT'!V$2:V783, AG12, 'APS Tubes IMPORT'!H$2:H783, "Inconclusive")
</f>
        <v>0</v>
      </c>
      <c r="AM12" s="69">
        <f>COUNTIFS('APS Tubes IMPORT'!V$2:V783, AG12, 'APS Tubes IMPORT'!H$2:H783, "Null")
</f>
        <v>0</v>
      </c>
      <c r="AN12" s="54"/>
      <c r="AO12" s="14">
        <f>'APS Tubes by Date IMPORT'!B11</f>
        <v>44217</v>
      </c>
      <c r="AP12" s="16">
        <f>'APS Tubes by Date IMPORT'!C11</f>
        <v>4</v>
      </c>
      <c r="AQ12" s="16">
        <f>'APS Tubes by Date IMPORT'!D11</f>
        <v>4</v>
      </c>
      <c r="AR12" s="16">
        <f>'APS Tubes by Date IMPORT'!E11</f>
        <v>0</v>
      </c>
      <c r="AS12" s="16">
        <f>'APS Tubes by Date IMPORT'!F11</f>
        <v>0</v>
      </c>
      <c r="AT12" s="16">
        <f>'APS Tubes by Date IMPORT'!G11</f>
        <v>0</v>
      </c>
      <c r="AU12" s="54"/>
    </row>
    <row r="13">
      <c r="A13" s="8" t="s">
        <v>43</v>
      </c>
      <c r="B13" s="58">
        <f>VLOOKUP(A13,'Run Reconcile'!A$2:B783,2,FALSE)</f>
        <v>44218</v>
      </c>
      <c r="C13" s="59">
        <f>COUNTIF('ALL Tube Results'!B12:B783, A13)
</f>
        <v>4</v>
      </c>
      <c r="D13" s="60">
        <f>COUNTIFS('ALL Tube Results'!$B12:$B783, $A13, 'ALL Tube Results'!$F12:$F783, "Negative")
</f>
        <v>4</v>
      </c>
      <c r="E13" s="60">
        <f>COUNTIFS('ALL Tube Results'!$B12:$B783, $A13, 'ALL Tube Results'!$F12:$F783, "Positive")
</f>
        <v>0</v>
      </c>
      <c r="F13" s="60">
        <f>COUNTIFS('ALL Tube Results'!$B12:$B783, $A13, 'ALL Tube Results'!$F12:$F783, "Inconclusive")
</f>
        <v>0</v>
      </c>
      <c r="G13" s="61">
        <f t="shared" si="7"/>
        <v>4</v>
      </c>
      <c r="H13" s="61" t="str">
        <f t="shared" si="8"/>
        <v/>
      </c>
      <c r="I13" s="62" t="str">
        <f t="shared" si="9"/>
        <v/>
      </c>
      <c r="J13" s="63" t="str">
        <f t="shared" si="10"/>
        <v/>
      </c>
      <c r="K13" s="63" t="str">
        <f t="shared" si="11"/>
        <v/>
      </c>
      <c r="L13" s="63">
        <f t="shared" si="12"/>
        <v>4</v>
      </c>
      <c r="M13" s="63" t="str">
        <f t="shared" si="13"/>
        <v/>
      </c>
      <c r="N13" s="63" t="str">
        <f t="shared" si="14"/>
        <v/>
      </c>
      <c r="O13" s="64">
        <f t="shared" si="15"/>
        <v>4</v>
      </c>
      <c r="P13" s="64" t="str">
        <f t="shared" si="16"/>
        <v/>
      </c>
      <c r="Q13" s="54"/>
      <c r="R13" s="8" t="s">
        <v>43</v>
      </c>
      <c r="S13" s="14">
        <v>44218.0</v>
      </c>
      <c r="T13" s="16">
        <f>VLOOKUP(R13,'Run Reconcile'!$A$2:$L783,12,FALSE)</f>
        <v>4</v>
      </c>
      <c r="U13" s="16" t="str">
        <f t="shared" si="17"/>
        <v/>
      </c>
      <c r="V13" s="16" t="str">
        <f t="shared" si="18"/>
        <v/>
      </c>
      <c r="W13" s="16"/>
      <c r="X13" s="54"/>
      <c r="Y13" s="8" t="str">
        <f>IFERROR(__xludf.DUMMYFUNCTION("""COMPUTED_VALUE"""),"RUN-FLMP_2021-12-11_RFR-015")</f>
        <v>RUN-FLMP_2021-12-11_RFR-015</v>
      </c>
      <c r="Z13" s="14">
        <f>IFERROR(__xludf.DUMMYFUNCTION("""COMPUTED_VALUE"""),44541.0)</f>
        <v>44541</v>
      </c>
      <c r="AA13" s="62">
        <f t="array" ref="AA13">INDEX('RFR Data - preExcl'!AK$2:AK783,$AE13,1)</f>
        <v>2</v>
      </c>
      <c r="AB13" s="16">
        <f t="shared" si="19"/>
        <v>2</v>
      </c>
      <c r="AC13" s="16">
        <f t="array" ref="AC13">INDEX('RFR Data - preExcl'!AI$2:AI783,$AE13,1)</f>
        <v>0</v>
      </c>
      <c r="AD13" s="16">
        <f t="array" ref="AD13">INDEX('RFR Data - preExcl'!AF$2:AF783,$AE13,1)</f>
        <v>0</v>
      </c>
      <c r="AE13" s="66">
        <f>IFNA(MATCH(Y13,'RFR Data - preExcl'!A$2:A783,0),"")</f>
        <v>14</v>
      </c>
      <c r="AF13" s="54"/>
      <c r="AG13" s="70" t="s">
        <v>43</v>
      </c>
      <c r="AH13" s="68">
        <f>VLOOKUP(AG13,'Run Reconcile'!A$2:B783,2,FALSE)</f>
        <v>44218</v>
      </c>
      <c r="AI13" s="69">
        <f>COUNTIF('APS Tubes IMPORT'!$V$2:$V783, AG13)
</f>
        <v>4</v>
      </c>
      <c r="AJ13" s="69">
        <f>COUNTIFS('APS Tubes IMPORT'!V$2:V783, AG13, 'APS Tubes IMPORT'!H$2:H783, "Negative")
</f>
        <v>4</v>
      </c>
      <c r="AK13" s="69">
        <f>COUNTIFS('APS Tubes IMPORT'!V$2:V783, AG13, 'APS Tubes IMPORT'!H$2:H783, "Positive")
</f>
        <v>0</v>
      </c>
      <c r="AL13" s="69">
        <f>COUNTIFS('APS Tubes IMPORT'!V$2:V783, AG13, 'APS Tubes IMPORT'!H$2:H783, "Inconclusive")
</f>
        <v>0</v>
      </c>
      <c r="AM13" s="69">
        <f>COUNTIFS('APS Tubes IMPORT'!V$2:V783, AG13, 'APS Tubes IMPORT'!H$2:H783, "Null")
</f>
        <v>0</v>
      </c>
      <c r="AN13" s="54"/>
      <c r="AO13" s="14">
        <f>'APS Tubes by Date IMPORT'!B12</f>
        <v>44218</v>
      </c>
      <c r="AP13" s="16">
        <f>'APS Tubes by Date IMPORT'!C12</f>
        <v>4</v>
      </c>
      <c r="AQ13" s="16">
        <f>'APS Tubes by Date IMPORT'!D12</f>
        <v>4</v>
      </c>
      <c r="AR13" s="16">
        <f>'APS Tubes by Date IMPORT'!E12</f>
        <v>0</v>
      </c>
      <c r="AS13" s="16">
        <f>'APS Tubes by Date IMPORT'!F12</f>
        <v>0</v>
      </c>
      <c r="AT13" s="16">
        <f>'APS Tubes by Date IMPORT'!G12</f>
        <v>0</v>
      </c>
      <c r="AU13" s="54"/>
    </row>
    <row r="14">
      <c r="A14" s="8" t="s">
        <v>44</v>
      </c>
      <c r="B14" s="58">
        <f>VLOOKUP(A14,'Run Reconcile'!A$2:B783,2,FALSE)</f>
        <v>44220</v>
      </c>
      <c r="C14" s="59">
        <f>COUNTIF('ALL Tube Results'!B13:B783, A14)
</f>
        <v>2</v>
      </c>
      <c r="D14" s="60">
        <f>COUNTIFS('ALL Tube Results'!$B13:$B783, $A14, 'ALL Tube Results'!$F13:$F783, "Negative")
</f>
        <v>2</v>
      </c>
      <c r="E14" s="60">
        <f>COUNTIFS('ALL Tube Results'!$B13:$B783, $A14, 'ALL Tube Results'!$F13:$F783, "Positive")
</f>
        <v>0</v>
      </c>
      <c r="F14" s="60">
        <f>COUNTIFS('ALL Tube Results'!$B13:$B783, $A14, 'ALL Tube Results'!$F13:$F783, "Inconclusive")
</f>
        <v>0</v>
      </c>
      <c r="G14" s="61">
        <f t="shared" si="7"/>
        <v>2</v>
      </c>
      <c r="H14" s="61" t="str">
        <f t="shared" si="8"/>
        <v/>
      </c>
      <c r="I14" s="62" t="str">
        <f t="shared" si="9"/>
        <v/>
      </c>
      <c r="J14" s="63" t="str">
        <f t="shared" si="10"/>
        <v/>
      </c>
      <c r="K14" s="63" t="str">
        <f t="shared" si="11"/>
        <v/>
      </c>
      <c r="L14" s="63">
        <f t="shared" si="12"/>
        <v>2</v>
      </c>
      <c r="M14" s="63" t="str">
        <f t="shared" si="13"/>
        <v/>
      </c>
      <c r="N14" s="63" t="str">
        <f t="shared" si="14"/>
        <v/>
      </c>
      <c r="O14" s="64">
        <f t="shared" si="15"/>
        <v>2</v>
      </c>
      <c r="P14" s="64" t="str">
        <f t="shared" si="16"/>
        <v/>
      </c>
      <c r="Q14" s="54"/>
      <c r="R14" s="8" t="s">
        <v>44</v>
      </c>
      <c r="S14" s="14">
        <v>44220.0</v>
      </c>
      <c r="T14" s="16">
        <f>VLOOKUP(R14,'Run Reconcile'!$A$2:$L783,12,FALSE)</f>
        <v>2</v>
      </c>
      <c r="U14" s="16" t="str">
        <f t="shared" si="17"/>
        <v/>
      </c>
      <c r="V14" s="16" t="str">
        <f t="shared" si="18"/>
        <v/>
      </c>
      <c r="W14" s="16"/>
      <c r="X14" s="54"/>
      <c r="Y14" s="8" t="str">
        <f>IFERROR(__xludf.DUMMYFUNCTION("""COMPUTED_VALUE"""),"RUN-FLMP_2021-12-13_RFR-016")</f>
        <v>RUN-FLMP_2021-12-13_RFR-016</v>
      </c>
      <c r="Z14" s="14">
        <f>IFERROR(__xludf.DUMMYFUNCTION("""COMPUTED_VALUE"""),44543.0)</f>
        <v>44543</v>
      </c>
      <c r="AA14" s="62">
        <f t="array" ref="AA14">INDEX('RFR Data - preExcl'!AK$2:AK783,$AE14,1)</f>
        <v>3</v>
      </c>
      <c r="AB14" s="16">
        <f t="shared" si="19"/>
        <v>3</v>
      </c>
      <c r="AC14" s="16">
        <f t="array" ref="AC14">INDEX('RFR Data - preExcl'!AI$2:AI783,$AE14,1)</f>
        <v>0</v>
      </c>
      <c r="AD14" s="16">
        <f t="array" ref="AD14">INDEX('RFR Data - preExcl'!AF$2:AF783,$AE14,1)</f>
        <v>0</v>
      </c>
      <c r="AE14" s="66">
        <f>IFNA(MATCH(Y14,'RFR Data - preExcl'!A$2:A783,0),"")</f>
        <v>15</v>
      </c>
      <c r="AF14" s="54"/>
      <c r="AG14" s="70" t="s">
        <v>44</v>
      </c>
      <c r="AH14" s="68">
        <f>VLOOKUP(AG14,'Run Reconcile'!A$2:B783,2,FALSE)</f>
        <v>44220</v>
      </c>
      <c r="AI14" s="69">
        <f>COUNTIF('APS Tubes IMPORT'!$V$2:$V783, AG14)
</f>
        <v>2</v>
      </c>
      <c r="AJ14" s="69">
        <f>COUNTIFS('APS Tubes IMPORT'!V$2:V783, AG14, 'APS Tubes IMPORT'!H$2:H783, "Negative")
</f>
        <v>2</v>
      </c>
      <c r="AK14" s="69">
        <f>COUNTIFS('APS Tubes IMPORT'!V$2:V783, AG14, 'APS Tubes IMPORT'!H$2:H783, "Positive")
</f>
        <v>0</v>
      </c>
      <c r="AL14" s="69">
        <f>COUNTIFS('APS Tubes IMPORT'!V$2:V783, AG14, 'APS Tubes IMPORT'!H$2:H783, "Inconclusive")
</f>
        <v>0</v>
      </c>
      <c r="AM14" s="69">
        <f>COUNTIFS('APS Tubes IMPORT'!V$2:V783, AG14, 'APS Tubes IMPORT'!H$2:H783, "Null")
</f>
        <v>0</v>
      </c>
      <c r="AN14" s="54"/>
      <c r="AO14" s="14">
        <f>'APS Tubes by Date IMPORT'!B13</f>
        <v>44220</v>
      </c>
      <c r="AP14" s="16">
        <f>'APS Tubes by Date IMPORT'!C13</f>
        <v>2</v>
      </c>
      <c r="AQ14" s="16">
        <f>'APS Tubes by Date IMPORT'!D13</f>
        <v>2</v>
      </c>
      <c r="AR14" s="16">
        <f>'APS Tubes by Date IMPORT'!E13</f>
        <v>0</v>
      </c>
      <c r="AS14" s="16">
        <f>'APS Tubes by Date IMPORT'!F13</f>
        <v>0</v>
      </c>
      <c r="AT14" s="16">
        <f>'APS Tubes by Date IMPORT'!G13</f>
        <v>0</v>
      </c>
      <c r="AU14" s="54"/>
    </row>
    <row r="15">
      <c r="A15" s="8" t="s">
        <v>45</v>
      </c>
      <c r="B15" s="58">
        <f>VLOOKUP(A15,'Run Reconcile'!A$2:B783,2,FALSE)</f>
        <v>44221</v>
      </c>
      <c r="C15" s="59">
        <f>COUNTIF('ALL Tube Results'!B14:B783, A15)
</f>
        <v>4</v>
      </c>
      <c r="D15" s="60">
        <f>COUNTIFS('ALL Tube Results'!$B14:$B783, $A15, 'ALL Tube Results'!$F14:$F783, "Negative")
</f>
        <v>4</v>
      </c>
      <c r="E15" s="60">
        <f>COUNTIFS('ALL Tube Results'!$B14:$B783, $A15, 'ALL Tube Results'!$F14:$F783, "Positive")
</f>
        <v>0</v>
      </c>
      <c r="F15" s="60">
        <f>COUNTIFS('ALL Tube Results'!$B14:$B783, $A15, 'ALL Tube Results'!$F14:$F783, "Inconclusive")
</f>
        <v>0</v>
      </c>
      <c r="G15" s="61">
        <f t="shared" si="7"/>
        <v>4</v>
      </c>
      <c r="H15" s="61" t="str">
        <f t="shared" si="8"/>
        <v/>
      </c>
      <c r="I15" s="62" t="str">
        <f t="shared" si="9"/>
        <v/>
      </c>
      <c r="J15" s="63" t="str">
        <f t="shared" si="10"/>
        <v/>
      </c>
      <c r="K15" s="63" t="str">
        <f t="shared" si="11"/>
        <v/>
      </c>
      <c r="L15" s="63">
        <f t="shared" si="12"/>
        <v>4</v>
      </c>
      <c r="M15" s="63" t="str">
        <f t="shared" si="13"/>
        <v/>
      </c>
      <c r="N15" s="63" t="str">
        <f t="shared" si="14"/>
        <v/>
      </c>
      <c r="O15" s="64">
        <f t="shared" si="15"/>
        <v>4</v>
      </c>
      <c r="P15" s="64" t="str">
        <f t="shared" si="16"/>
        <v/>
      </c>
      <c r="Q15" s="54"/>
      <c r="R15" s="8" t="s">
        <v>45</v>
      </c>
      <c r="S15" s="14">
        <v>44221.0</v>
      </c>
      <c r="T15" s="16">
        <f>VLOOKUP(R15,'Run Reconcile'!$A$2:$L783,12,FALSE)</f>
        <v>4</v>
      </c>
      <c r="U15" s="16" t="str">
        <f t="shared" si="17"/>
        <v/>
      </c>
      <c r="V15" s="16" t="str">
        <f t="shared" si="18"/>
        <v/>
      </c>
      <c r="W15" s="16"/>
      <c r="X15" s="54"/>
      <c r="Y15" s="8" t="str">
        <f>IFERROR(__xludf.DUMMYFUNCTION("""COMPUTED_VALUE"""),"RUN-FLMP_2021-12-14_RFR-017")</f>
        <v>RUN-FLMP_2021-12-14_RFR-017</v>
      </c>
      <c r="Z15" s="14">
        <f>IFERROR(__xludf.DUMMYFUNCTION("""COMPUTED_VALUE"""),44544.0)</f>
        <v>44544</v>
      </c>
      <c r="AA15" s="62">
        <f t="array" ref="AA15">INDEX('RFR Data - preExcl'!AK$2:AK783,$AE15,1)</f>
        <v>4</v>
      </c>
      <c r="AB15" s="16">
        <f t="shared" si="19"/>
        <v>4</v>
      </c>
      <c r="AC15" s="16">
        <f t="array" ref="AC15">INDEX('RFR Data - preExcl'!AI$2:AI783,$AE15,1)</f>
        <v>0</v>
      </c>
      <c r="AD15" s="16">
        <f t="array" ref="AD15">INDEX('RFR Data - preExcl'!AF$2:AF783,$AE15,1)</f>
        <v>0</v>
      </c>
      <c r="AE15" s="66">
        <f>IFNA(MATCH(Y15,'RFR Data - preExcl'!A$2:A783,0),"")</f>
        <v>16</v>
      </c>
      <c r="AF15" s="54"/>
      <c r="AG15" s="70" t="s">
        <v>45</v>
      </c>
      <c r="AH15" s="68">
        <f>VLOOKUP(AG15,'Run Reconcile'!A$2:B783,2,FALSE)</f>
        <v>44221</v>
      </c>
      <c r="AI15" s="69">
        <f>COUNTIF('APS Tubes IMPORT'!$V$2:$V783, AG15)
</f>
        <v>4</v>
      </c>
      <c r="AJ15" s="69">
        <f>COUNTIFS('APS Tubes IMPORT'!V$2:V783, AG15, 'APS Tubes IMPORT'!H$2:H783, "Negative")
</f>
        <v>4</v>
      </c>
      <c r="AK15" s="69">
        <f>COUNTIFS('APS Tubes IMPORT'!V$2:V783, AG15, 'APS Tubes IMPORT'!H$2:H783, "Positive")
</f>
        <v>0</v>
      </c>
      <c r="AL15" s="69">
        <f>COUNTIFS('APS Tubes IMPORT'!V$2:V783, AG15, 'APS Tubes IMPORT'!H$2:H783, "Inconclusive")
</f>
        <v>0</v>
      </c>
      <c r="AM15" s="69">
        <f>COUNTIFS('APS Tubes IMPORT'!V$2:V783, AG15, 'APS Tubes IMPORT'!H$2:H783, "Null")
</f>
        <v>0</v>
      </c>
      <c r="AN15" s="54"/>
      <c r="AO15" s="14">
        <f>'APS Tubes by Date IMPORT'!B14</f>
        <v>44221</v>
      </c>
      <c r="AP15" s="16">
        <f>'APS Tubes by Date IMPORT'!C14</f>
        <v>4</v>
      </c>
      <c r="AQ15" s="16">
        <f>'APS Tubes by Date IMPORT'!D14</f>
        <v>4</v>
      </c>
      <c r="AR15" s="16">
        <f>'APS Tubes by Date IMPORT'!E14</f>
        <v>0</v>
      </c>
      <c r="AS15" s="16">
        <f>'APS Tubes by Date IMPORT'!F14</f>
        <v>0</v>
      </c>
      <c r="AT15" s="16">
        <f>'APS Tubes by Date IMPORT'!G14</f>
        <v>0</v>
      </c>
      <c r="AU15" s="54"/>
    </row>
    <row r="16">
      <c r="A16" s="8" t="s">
        <v>46</v>
      </c>
      <c r="B16" s="58">
        <f>VLOOKUP(A16,'Run Reconcile'!A$2:B783,2,FALSE)</f>
        <v>44222</v>
      </c>
      <c r="C16" s="59">
        <f>COUNTIF('ALL Tube Results'!B15:B783, A16)
</f>
        <v>3</v>
      </c>
      <c r="D16" s="60">
        <f>COUNTIFS('ALL Tube Results'!$B15:$B783, $A16, 'ALL Tube Results'!$F15:$F783, "Negative")
</f>
        <v>3</v>
      </c>
      <c r="E16" s="60">
        <f>COUNTIFS('ALL Tube Results'!$B15:$B783, $A16, 'ALL Tube Results'!$F15:$F783, "Positive")
</f>
        <v>0</v>
      </c>
      <c r="F16" s="60">
        <f>COUNTIFS('ALL Tube Results'!$B15:$B783, $A16, 'ALL Tube Results'!$F15:$F783, "Inconclusive")
</f>
        <v>0</v>
      </c>
      <c r="G16" s="61">
        <f t="shared" si="7"/>
        <v>3</v>
      </c>
      <c r="H16" s="61" t="str">
        <f t="shared" si="8"/>
        <v/>
      </c>
      <c r="I16" s="62" t="str">
        <f t="shared" si="9"/>
        <v/>
      </c>
      <c r="J16" s="63" t="str">
        <f t="shared" si="10"/>
        <v/>
      </c>
      <c r="K16" s="63" t="str">
        <f t="shared" si="11"/>
        <v/>
      </c>
      <c r="L16" s="63">
        <f t="shared" si="12"/>
        <v>3</v>
      </c>
      <c r="M16" s="63" t="str">
        <f t="shared" si="13"/>
        <v/>
      </c>
      <c r="N16" s="63" t="str">
        <f t="shared" si="14"/>
        <v/>
      </c>
      <c r="O16" s="64">
        <f t="shared" si="15"/>
        <v>3</v>
      </c>
      <c r="P16" s="64" t="str">
        <f t="shared" si="16"/>
        <v/>
      </c>
      <c r="Q16" s="54"/>
      <c r="R16" s="8" t="s">
        <v>46</v>
      </c>
      <c r="S16" s="14">
        <v>44222.0</v>
      </c>
      <c r="T16" s="16">
        <f>VLOOKUP(R16,'Run Reconcile'!$A$2:$L783,12,FALSE)</f>
        <v>3</v>
      </c>
      <c r="U16" s="16" t="str">
        <f t="shared" si="17"/>
        <v/>
      </c>
      <c r="V16" s="16" t="str">
        <f t="shared" si="18"/>
        <v/>
      </c>
      <c r="W16" s="16"/>
      <c r="X16" s="54"/>
      <c r="Y16" s="8" t="str">
        <f>IFERROR(__xludf.DUMMYFUNCTION("""COMPUTED_VALUE"""),"RUN-FLMP_2021-12-16_RFR-018")</f>
        <v>RUN-FLMP_2021-12-16_RFR-018</v>
      </c>
      <c r="Z16" s="14">
        <f>IFERROR(__xludf.DUMMYFUNCTION("""COMPUTED_VALUE"""),44546.0)</f>
        <v>44546</v>
      </c>
      <c r="AA16" s="62">
        <f t="array" ref="AA16">INDEX('RFR Data - preExcl'!AK$2:AK783,$AE16,1)</f>
        <v>2</v>
      </c>
      <c r="AB16" s="16">
        <f t="shared" si="19"/>
        <v>2</v>
      </c>
      <c r="AC16" s="16">
        <f t="array" ref="AC16">INDEX('RFR Data - preExcl'!AI$2:AI783,$AE16,1)</f>
        <v>0</v>
      </c>
      <c r="AD16" s="16">
        <f t="array" ref="AD16">INDEX('RFR Data - preExcl'!AF$2:AF783,$AE16,1)</f>
        <v>0</v>
      </c>
      <c r="AE16" s="66">
        <f>IFNA(MATCH(Y16,'RFR Data - preExcl'!A$2:A783,0),"")</f>
        <v>17</v>
      </c>
      <c r="AF16" s="54"/>
      <c r="AG16" s="70" t="s">
        <v>46</v>
      </c>
      <c r="AH16" s="68">
        <f>VLOOKUP(AG16,'Run Reconcile'!A$2:B783,2,FALSE)</f>
        <v>44222</v>
      </c>
      <c r="AI16" s="69">
        <f>COUNTIF('APS Tubes IMPORT'!$V$2:$V783, AG16)
</f>
        <v>3</v>
      </c>
      <c r="AJ16" s="69">
        <f>COUNTIFS('APS Tubes IMPORT'!V$2:V783, AG16, 'APS Tubes IMPORT'!H$2:H783, "Negative")
</f>
        <v>3</v>
      </c>
      <c r="AK16" s="69">
        <f>COUNTIFS('APS Tubes IMPORT'!V$2:V783, AG16, 'APS Tubes IMPORT'!H$2:H783, "Positive")
</f>
        <v>0</v>
      </c>
      <c r="AL16" s="69">
        <f>COUNTIFS('APS Tubes IMPORT'!V$2:V783, AG16, 'APS Tubes IMPORT'!H$2:H783, "Inconclusive")
</f>
        <v>0</v>
      </c>
      <c r="AM16" s="69">
        <f>COUNTIFS('APS Tubes IMPORT'!V$2:V783, AG16, 'APS Tubes IMPORT'!H$2:H783, "Null")
</f>
        <v>0</v>
      </c>
      <c r="AN16" s="54"/>
      <c r="AO16" s="14">
        <f>'APS Tubes by Date IMPORT'!B15</f>
        <v>44222</v>
      </c>
      <c r="AP16" s="16">
        <f>'APS Tubes by Date IMPORT'!C15</f>
        <v>3</v>
      </c>
      <c r="AQ16" s="16">
        <f>'APS Tubes by Date IMPORT'!D15</f>
        <v>3</v>
      </c>
      <c r="AR16" s="16">
        <f>'APS Tubes by Date IMPORT'!E15</f>
        <v>0</v>
      </c>
      <c r="AS16" s="16">
        <f>'APS Tubes by Date IMPORT'!F15</f>
        <v>0</v>
      </c>
      <c r="AT16" s="16">
        <f>'APS Tubes by Date IMPORT'!G15</f>
        <v>0</v>
      </c>
      <c r="AU16" s="54"/>
    </row>
    <row r="17">
      <c r="A17" s="8" t="s">
        <v>47</v>
      </c>
      <c r="B17" s="58">
        <f>VLOOKUP(A17,'Run Reconcile'!A$2:B783,2,FALSE)</f>
        <v>44223</v>
      </c>
      <c r="C17" s="59">
        <f>COUNTIF('ALL Tube Results'!B16:B783, A17)
</f>
        <v>3</v>
      </c>
      <c r="D17" s="60">
        <f>COUNTIFS('ALL Tube Results'!$B16:$B783, $A17, 'ALL Tube Results'!$F16:$F783, "Negative")
</f>
        <v>3</v>
      </c>
      <c r="E17" s="60">
        <f>COUNTIFS('ALL Tube Results'!$B16:$B783, $A17, 'ALL Tube Results'!$F16:$F783, "Positive")
</f>
        <v>0</v>
      </c>
      <c r="F17" s="60">
        <f>COUNTIFS('ALL Tube Results'!$B16:$B783, $A17, 'ALL Tube Results'!$F16:$F783, "Inconclusive")
</f>
        <v>0</v>
      </c>
      <c r="G17" s="61">
        <f t="shared" si="7"/>
        <v>3</v>
      </c>
      <c r="H17" s="61" t="str">
        <f t="shared" si="8"/>
        <v/>
      </c>
      <c r="I17" s="62" t="str">
        <f t="shared" si="9"/>
        <v/>
      </c>
      <c r="J17" s="63" t="str">
        <f t="shared" si="10"/>
        <v/>
      </c>
      <c r="K17" s="63" t="str">
        <f t="shared" si="11"/>
        <v/>
      </c>
      <c r="L17" s="63">
        <f t="shared" si="12"/>
        <v>3</v>
      </c>
      <c r="M17" s="63" t="str">
        <f t="shared" si="13"/>
        <v/>
      </c>
      <c r="N17" s="63" t="str">
        <f t="shared" si="14"/>
        <v/>
      </c>
      <c r="O17" s="64">
        <f t="shared" si="15"/>
        <v>3</v>
      </c>
      <c r="P17" s="64" t="str">
        <f t="shared" si="16"/>
        <v/>
      </c>
      <c r="Q17" s="54"/>
      <c r="R17" s="8" t="s">
        <v>47</v>
      </c>
      <c r="S17" s="14">
        <v>44223.0</v>
      </c>
      <c r="T17" s="16">
        <f>VLOOKUP(R17,'Run Reconcile'!$A$2:$L783,12,FALSE)</f>
        <v>3</v>
      </c>
      <c r="U17" s="16" t="str">
        <f t="shared" si="17"/>
        <v/>
      </c>
      <c r="V17" s="16" t="str">
        <f t="shared" si="18"/>
        <v/>
      </c>
      <c r="W17" s="16"/>
      <c r="X17" s="54"/>
      <c r="Y17" s="8" t="str">
        <f>IFERROR(__xludf.DUMMYFUNCTION("""COMPUTED_VALUE"""),"RUN-FLMP_2021-12-18_RFR-019")</f>
        <v>RUN-FLMP_2021-12-18_RFR-019</v>
      </c>
      <c r="Z17" s="14">
        <f>IFERROR(__xludf.DUMMYFUNCTION("""COMPUTED_VALUE"""),44548.0)</f>
        <v>44548</v>
      </c>
      <c r="AA17" s="62">
        <f t="array" ref="AA17">INDEX('RFR Data - preExcl'!AK$2:AK783,$AE17,1)</f>
        <v>2</v>
      </c>
      <c r="AB17" s="16">
        <f t="shared" si="19"/>
        <v>1</v>
      </c>
      <c r="AC17" s="16">
        <f t="array" ref="AC17">INDEX('RFR Data - preExcl'!AI$2:AI783,$AE17,1)</f>
        <v>1</v>
      </c>
      <c r="AD17" s="16">
        <f t="array" ref="AD17">INDEX('RFR Data - preExcl'!AF$2:AF783,$AE17,1)</f>
        <v>0</v>
      </c>
      <c r="AE17" s="66">
        <f>IFNA(MATCH(Y17,'RFR Data - preExcl'!A$2:A783,0),"")</f>
        <v>18</v>
      </c>
      <c r="AF17" s="54"/>
      <c r="AG17" s="70" t="s">
        <v>47</v>
      </c>
      <c r="AH17" s="68">
        <f>VLOOKUP(AG17,'Run Reconcile'!A$2:B783,2,FALSE)</f>
        <v>44223</v>
      </c>
      <c r="AI17" s="69">
        <f>COUNTIF('APS Tubes IMPORT'!$V$2:$V783, AG17)
</f>
        <v>3</v>
      </c>
      <c r="AJ17" s="69">
        <f>COUNTIFS('APS Tubes IMPORT'!V$2:V783, AG17, 'APS Tubes IMPORT'!H$2:H783, "Negative")
</f>
        <v>3</v>
      </c>
      <c r="AK17" s="69">
        <f>COUNTIFS('APS Tubes IMPORT'!V$2:V783, AG17, 'APS Tubes IMPORT'!H$2:H783, "Positive")
</f>
        <v>0</v>
      </c>
      <c r="AL17" s="69">
        <f>COUNTIFS('APS Tubes IMPORT'!V$2:V783, AG17, 'APS Tubes IMPORT'!H$2:H783, "Inconclusive")
</f>
        <v>0</v>
      </c>
      <c r="AM17" s="69">
        <f>COUNTIFS('APS Tubes IMPORT'!V$2:V783, AG17, 'APS Tubes IMPORT'!H$2:H783, "Null")
</f>
        <v>0</v>
      </c>
      <c r="AN17" s="54"/>
      <c r="AO17" s="14">
        <f>'APS Tubes by Date IMPORT'!B16</f>
        <v>44223</v>
      </c>
      <c r="AP17" s="16">
        <f>'APS Tubes by Date IMPORT'!C16</f>
        <v>3</v>
      </c>
      <c r="AQ17" s="16">
        <f>'APS Tubes by Date IMPORT'!D16</f>
        <v>3</v>
      </c>
      <c r="AR17" s="16">
        <f>'APS Tubes by Date IMPORT'!E16</f>
        <v>0</v>
      </c>
      <c r="AS17" s="16">
        <f>'APS Tubes by Date IMPORT'!F16</f>
        <v>0</v>
      </c>
      <c r="AT17" s="16">
        <f>'APS Tubes by Date IMPORT'!G16</f>
        <v>0</v>
      </c>
      <c r="AU17" s="54"/>
    </row>
    <row r="18">
      <c r="A18" s="8" t="s">
        <v>48</v>
      </c>
      <c r="B18" s="58">
        <f>VLOOKUP(A18,'Run Reconcile'!A$2:B783,2,FALSE)</f>
        <v>44224</v>
      </c>
      <c r="C18" s="59">
        <f>COUNTIF('ALL Tube Results'!B17:B783, A18)
</f>
        <v>2</v>
      </c>
      <c r="D18" s="60">
        <f>COUNTIFS('ALL Tube Results'!$B17:$B783, $A18, 'ALL Tube Results'!$F17:$F783, "Negative")
</f>
        <v>2</v>
      </c>
      <c r="E18" s="60">
        <f>COUNTIFS('ALL Tube Results'!$B17:$B783, $A18, 'ALL Tube Results'!$F17:$F783, "Positive")
</f>
        <v>0</v>
      </c>
      <c r="F18" s="60">
        <f>COUNTIFS('ALL Tube Results'!$B17:$B783, $A18, 'ALL Tube Results'!$F17:$F783, "Inconclusive")
</f>
        <v>0</v>
      </c>
      <c r="G18" s="61">
        <f t="shared" si="7"/>
        <v>2</v>
      </c>
      <c r="H18" s="61" t="str">
        <f t="shared" si="8"/>
        <v/>
      </c>
      <c r="I18" s="62" t="str">
        <f t="shared" si="9"/>
        <v/>
      </c>
      <c r="J18" s="63" t="str">
        <f t="shared" si="10"/>
        <v/>
      </c>
      <c r="K18" s="63" t="str">
        <f t="shared" si="11"/>
        <v/>
      </c>
      <c r="L18" s="63">
        <f t="shared" si="12"/>
        <v>2</v>
      </c>
      <c r="M18" s="63" t="str">
        <f t="shared" si="13"/>
        <v/>
      </c>
      <c r="N18" s="63" t="str">
        <f t="shared" si="14"/>
        <v/>
      </c>
      <c r="O18" s="64">
        <f t="shared" si="15"/>
        <v>2</v>
      </c>
      <c r="P18" s="64" t="str">
        <f t="shared" si="16"/>
        <v/>
      </c>
      <c r="Q18" s="54"/>
      <c r="R18" s="8" t="s">
        <v>48</v>
      </c>
      <c r="S18" s="14">
        <v>44224.0</v>
      </c>
      <c r="T18" s="16">
        <f>VLOOKUP(R18,'Run Reconcile'!$A$2:$L783,12,FALSE)</f>
        <v>2</v>
      </c>
      <c r="U18" s="16" t="str">
        <f t="shared" si="17"/>
        <v/>
      </c>
      <c r="V18" s="16" t="str">
        <f t="shared" si="18"/>
        <v/>
      </c>
      <c r="W18" s="16"/>
      <c r="X18" s="54"/>
      <c r="Y18" s="8" t="str">
        <f>IFERROR(__xludf.DUMMYFUNCTION("""COMPUTED_VALUE"""),"RUN-FLMP_2021-12-18_RFR-020")</f>
        <v>RUN-FLMP_2021-12-18_RFR-020</v>
      </c>
      <c r="Z18" s="14">
        <f>IFERROR(__xludf.DUMMYFUNCTION("""COMPUTED_VALUE"""),44548.0)</f>
        <v>44548</v>
      </c>
      <c r="AA18" s="62">
        <f t="array" ref="AA18">INDEX('RFR Data - preExcl'!AK$2:AK783,$AE18,1)</f>
        <v>2</v>
      </c>
      <c r="AB18" s="16">
        <f t="shared" si="19"/>
        <v>1</v>
      </c>
      <c r="AC18" s="16">
        <f t="array" ref="AC18">INDEX('RFR Data - preExcl'!AI$2:AI783,$AE18,1)</f>
        <v>1</v>
      </c>
      <c r="AD18" s="16">
        <f t="array" ref="AD18">INDEX('RFR Data - preExcl'!AF$2:AF783,$AE18,1)</f>
        <v>0</v>
      </c>
      <c r="AE18" s="66">
        <f>IFNA(MATCH(Y18,'RFR Data - preExcl'!A$2:A783,0),"")</f>
        <v>19</v>
      </c>
      <c r="AF18" s="54"/>
      <c r="AG18" s="70" t="s">
        <v>48</v>
      </c>
      <c r="AH18" s="68">
        <f>VLOOKUP(AG18,'Run Reconcile'!A$2:B783,2,FALSE)</f>
        <v>44224</v>
      </c>
      <c r="AI18" s="69">
        <f>COUNTIF('APS Tubes IMPORT'!$V$2:$V783, AG18)
</f>
        <v>2</v>
      </c>
      <c r="AJ18" s="69">
        <f>COUNTIFS('APS Tubes IMPORT'!V$2:V783, AG18, 'APS Tubes IMPORT'!H$2:H783, "Negative")
</f>
        <v>2</v>
      </c>
      <c r="AK18" s="69">
        <f>COUNTIFS('APS Tubes IMPORT'!V$2:V783, AG18, 'APS Tubes IMPORT'!H$2:H783, "Positive")
</f>
        <v>0</v>
      </c>
      <c r="AL18" s="69">
        <f>COUNTIFS('APS Tubes IMPORT'!V$2:V783, AG18, 'APS Tubes IMPORT'!H$2:H783, "Inconclusive")
</f>
        <v>0</v>
      </c>
      <c r="AM18" s="69">
        <f>COUNTIFS('APS Tubes IMPORT'!V$2:V783, AG18, 'APS Tubes IMPORT'!H$2:H783, "Null")
</f>
        <v>0</v>
      </c>
      <c r="AN18" s="54"/>
      <c r="AO18" s="14">
        <f>'APS Tubes by Date IMPORT'!B17</f>
        <v>44224</v>
      </c>
      <c r="AP18" s="16">
        <f>'APS Tubes by Date IMPORT'!C17</f>
        <v>2</v>
      </c>
      <c r="AQ18" s="16">
        <f>'APS Tubes by Date IMPORT'!D17</f>
        <v>2</v>
      </c>
      <c r="AR18" s="16">
        <f>'APS Tubes by Date IMPORT'!E17</f>
        <v>0</v>
      </c>
      <c r="AS18" s="16">
        <f>'APS Tubes by Date IMPORT'!F17</f>
        <v>0</v>
      </c>
      <c r="AT18" s="16">
        <f>'APS Tubes by Date IMPORT'!G17</f>
        <v>0</v>
      </c>
      <c r="AU18" s="54"/>
    </row>
    <row r="19">
      <c r="A19" s="8" t="s">
        <v>49</v>
      </c>
      <c r="B19" s="58">
        <f>VLOOKUP(A19,'Run Reconcile'!A$2:B783,2,FALSE)</f>
        <v>44225</v>
      </c>
      <c r="C19" s="59">
        <f>COUNTIF('ALL Tube Results'!B18:B783, A19)
</f>
        <v>4</v>
      </c>
      <c r="D19" s="60">
        <f>COUNTIFS('ALL Tube Results'!$B18:$B783, $A19, 'ALL Tube Results'!$F18:$F783, "Negative")
</f>
        <v>4</v>
      </c>
      <c r="E19" s="60">
        <f>COUNTIFS('ALL Tube Results'!$B18:$B783, $A19, 'ALL Tube Results'!$F18:$F783, "Positive")
</f>
        <v>0</v>
      </c>
      <c r="F19" s="60">
        <f>COUNTIFS('ALL Tube Results'!$B18:$B783, $A19, 'ALL Tube Results'!$F18:$F783, "Inconclusive")
</f>
        <v>0</v>
      </c>
      <c r="G19" s="61">
        <f t="shared" si="7"/>
        <v>4</v>
      </c>
      <c r="H19" s="61" t="str">
        <f t="shared" si="8"/>
        <v/>
      </c>
      <c r="I19" s="62" t="str">
        <f t="shared" si="9"/>
        <v/>
      </c>
      <c r="J19" s="63" t="str">
        <f t="shared" si="10"/>
        <v/>
      </c>
      <c r="K19" s="63" t="str">
        <f t="shared" si="11"/>
        <v/>
      </c>
      <c r="L19" s="63">
        <f t="shared" si="12"/>
        <v>4</v>
      </c>
      <c r="M19" s="63" t="str">
        <f t="shared" si="13"/>
        <v/>
      </c>
      <c r="N19" s="63" t="str">
        <f t="shared" si="14"/>
        <v/>
      </c>
      <c r="O19" s="64">
        <f t="shared" si="15"/>
        <v>4</v>
      </c>
      <c r="P19" s="64" t="str">
        <f t="shared" si="16"/>
        <v/>
      </c>
      <c r="Q19" s="54"/>
      <c r="R19" s="8" t="s">
        <v>49</v>
      </c>
      <c r="S19" s="14">
        <v>44225.0</v>
      </c>
      <c r="T19" s="16">
        <f>VLOOKUP(R19,'Run Reconcile'!$A$2:$L783,12,FALSE)</f>
        <v>4</v>
      </c>
      <c r="U19" s="16" t="str">
        <f t="shared" si="17"/>
        <v/>
      </c>
      <c r="V19" s="16" t="str">
        <f t="shared" si="18"/>
        <v/>
      </c>
      <c r="W19" s="16"/>
      <c r="X19" s="54"/>
      <c r="Y19" s="8" t="str">
        <f>IFERROR(__xludf.DUMMYFUNCTION("""COMPUTED_VALUE"""),"RUN-FLMP_2021-12-18_RFR-021")</f>
        <v>RUN-FLMP_2021-12-18_RFR-021</v>
      </c>
      <c r="Z19" s="14">
        <f>IFERROR(__xludf.DUMMYFUNCTION("""COMPUTED_VALUE"""),44548.0)</f>
        <v>44548</v>
      </c>
      <c r="AA19" s="62">
        <f t="array" ref="AA19">INDEX('RFR Data - preExcl'!AK$2:AK783,$AE19,1)</f>
        <v>2</v>
      </c>
      <c r="AB19" s="16">
        <f t="shared" si="19"/>
        <v>2</v>
      </c>
      <c r="AC19" s="16">
        <f t="array" ref="AC19">INDEX('RFR Data - preExcl'!AI$2:AI783,$AE19,1)</f>
        <v>0</v>
      </c>
      <c r="AD19" s="16">
        <f t="array" ref="AD19">INDEX('RFR Data - preExcl'!AF$2:AF783,$AE19,1)</f>
        <v>0</v>
      </c>
      <c r="AE19" s="66">
        <f>IFNA(MATCH(Y19,'RFR Data - preExcl'!A$2:A783,0),"")</f>
        <v>20</v>
      </c>
      <c r="AF19" s="54"/>
      <c r="AG19" s="70" t="s">
        <v>49</v>
      </c>
      <c r="AH19" s="68">
        <f>VLOOKUP(AG19,'Run Reconcile'!A$2:B783,2,FALSE)</f>
        <v>44225</v>
      </c>
      <c r="AI19" s="69">
        <f>COUNTIF('APS Tubes IMPORT'!$V$2:$V783, AG19)
</f>
        <v>4</v>
      </c>
      <c r="AJ19" s="69">
        <f>COUNTIFS('APS Tubes IMPORT'!V$2:V783, AG19, 'APS Tubes IMPORT'!H$2:H783, "Negative")
</f>
        <v>4</v>
      </c>
      <c r="AK19" s="69">
        <f>COUNTIFS('APS Tubes IMPORT'!V$2:V783, AG19, 'APS Tubes IMPORT'!H$2:H783, "Positive")
</f>
        <v>0</v>
      </c>
      <c r="AL19" s="69">
        <f>COUNTIFS('APS Tubes IMPORT'!V$2:V783, AG19, 'APS Tubes IMPORT'!H$2:H783, "Inconclusive")
</f>
        <v>0</v>
      </c>
      <c r="AM19" s="69">
        <f>COUNTIFS('APS Tubes IMPORT'!V$2:V783, AG19, 'APS Tubes IMPORT'!H$2:H783, "Null")
</f>
        <v>0</v>
      </c>
      <c r="AN19" s="54"/>
      <c r="AO19" s="14">
        <f>'APS Tubes by Date IMPORT'!B18</f>
        <v>44225</v>
      </c>
      <c r="AP19" s="16">
        <f>'APS Tubes by Date IMPORT'!C18</f>
        <v>4</v>
      </c>
      <c r="AQ19" s="16">
        <f>'APS Tubes by Date IMPORT'!D18</f>
        <v>4</v>
      </c>
      <c r="AR19" s="16">
        <f>'APS Tubes by Date IMPORT'!E18</f>
        <v>0</v>
      </c>
      <c r="AS19" s="16">
        <f>'APS Tubes by Date IMPORT'!F18</f>
        <v>0</v>
      </c>
      <c r="AT19" s="16">
        <f>'APS Tubes by Date IMPORT'!G18</f>
        <v>0</v>
      </c>
      <c r="AU19" s="54"/>
    </row>
    <row r="20">
      <c r="A20" s="8" t="s">
        <v>50</v>
      </c>
      <c r="B20" s="58">
        <f>VLOOKUP(A20,'Run Reconcile'!A$2:B783,2,FALSE)</f>
        <v>44227</v>
      </c>
      <c r="C20" s="59">
        <f>COUNTIF('ALL Tube Results'!B19:B783, A20)
</f>
        <v>3</v>
      </c>
      <c r="D20" s="60">
        <f>COUNTIFS('ALL Tube Results'!$B19:$B783, $A20, 'ALL Tube Results'!$F19:$F783, "Negative")
</f>
        <v>3</v>
      </c>
      <c r="E20" s="60">
        <f>COUNTIFS('ALL Tube Results'!$B19:$B783, $A20, 'ALL Tube Results'!$F19:$F783, "Positive")
</f>
        <v>0</v>
      </c>
      <c r="F20" s="60">
        <f>COUNTIFS('ALL Tube Results'!$B19:$B783, $A20, 'ALL Tube Results'!$F19:$F783, "Inconclusive")
</f>
        <v>0</v>
      </c>
      <c r="G20" s="61">
        <f t="shared" si="7"/>
        <v>3</v>
      </c>
      <c r="H20" s="61" t="str">
        <f t="shared" si="8"/>
        <v/>
      </c>
      <c r="I20" s="62" t="str">
        <f t="shared" si="9"/>
        <v/>
      </c>
      <c r="J20" s="63" t="str">
        <f t="shared" si="10"/>
        <v/>
      </c>
      <c r="K20" s="63" t="str">
        <f t="shared" si="11"/>
        <v/>
      </c>
      <c r="L20" s="63">
        <f t="shared" si="12"/>
        <v>3</v>
      </c>
      <c r="M20" s="63" t="str">
        <f t="shared" si="13"/>
        <v/>
      </c>
      <c r="N20" s="63" t="str">
        <f t="shared" si="14"/>
        <v/>
      </c>
      <c r="O20" s="64">
        <f t="shared" si="15"/>
        <v>3</v>
      </c>
      <c r="P20" s="64" t="str">
        <f t="shared" si="16"/>
        <v/>
      </c>
      <c r="Q20" s="54"/>
      <c r="R20" s="8" t="s">
        <v>50</v>
      </c>
      <c r="S20" s="14">
        <v>44227.0</v>
      </c>
      <c r="T20" s="16">
        <f>VLOOKUP(R20,'Run Reconcile'!$A$2:$L783,12,FALSE)</f>
        <v>3</v>
      </c>
      <c r="U20" s="16" t="str">
        <f t="shared" si="17"/>
        <v/>
      </c>
      <c r="V20" s="16" t="str">
        <f t="shared" si="18"/>
        <v/>
      </c>
      <c r="W20" s="16"/>
      <c r="X20" s="54"/>
      <c r="Y20" s="8" t="str">
        <f>IFERROR(__xludf.DUMMYFUNCTION("""COMPUTED_VALUE"""),"RUN-FLMP_2021-12-19_RFR-022")</f>
        <v>RUN-FLMP_2021-12-19_RFR-022</v>
      </c>
      <c r="Z20" s="14">
        <f>IFERROR(__xludf.DUMMYFUNCTION("""COMPUTED_VALUE"""),44549.0)</f>
        <v>44549</v>
      </c>
      <c r="AA20" s="62">
        <f t="array" ref="AA20">INDEX('RFR Data - preExcl'!AK$2:AK783,$AE20,1)</f>
        <v>3</v>
      </c>
      <c r="AB20" s="16">
        <f t="shared" si="19"/>
        <v>3</v>
      </c>
      <c r="AC20" s="16">
        <f t="array" ref="AC20">INDEX('RFR Data - preExcl'!AI$2:AI783,$AE20,1)</f>
        <v>0</v>
      </c>
      <c r="AD20" s="16">
        <f t="array" ref="AD20">INDEX('RFR Data - preExcl'!AF$2:AF783,$AE20,1)</f>
        <v>0</v>
      </c>
      <c r="AE20" s="66">
        <f>IFNA(MATCH(Y20,'RFR Data - preExcl'!A$2:A783,0),"")</f>
        <v>21</v>
      </c>
      <c r="AF20" s="54"/>
      <c r="AG20" s="70" t="s">
        <v>50</v>
      </c>
      <c r="AH20" s="68">
        <f>VLOOKUP(AG20,'Run Reconcile'!A$2:B783,2,FALSE)</f>
        <v>44227</v>
      </c>
      <c r="AI20" s="69">
        <f>COUNTIF('APS Tubes IMPORT'!$V$2:$V783, AG20)
</f>
        <v>3</v>
      </c>
      <c r="AJ20" s="69">
        <f>COUNTIFS('APS Tubes IMPORT'!V$2:V783, AG20, 'APS Tubes IMPORT'!H$2:H783, "Negative")
</f>
        <v>3</v>
      </c>
      <c r="AK20" s="69">
        <f>COUNTIFS('APS Tubes IMPORT'!V$2:V783, AG20, 'APS Tubes IMPORT'!H$2:H783, "Positive")
</f>
        <v>0</v>
      </c>
      <c r="AL20" s="69">
        <f>COUNTIFS('APS Tubes IMPORT'!V$2:V783, AG20, 'APS Tubes IMPORT'!H$2:H783, "Inconclusive")
</f>
        <v>0</v>
      </c>
      <c r="AM20" s="69">
        <f>COUNTIFS('APS Tubes IMPORT'!V$2:V783, AG20, 'APS Tubes IMPORT'!H$2:H783, "Null")
</f>
        <v>0</v>
      </c>
      <c r="AN20" s="54"/>
      <c r="AO20" s="14">
        <f>'APS Tubes by Date IMPORT'!B19</f>
        <v>44227</v>
      </c>
      <c r="AP20" s="16">
        <f>'APS Tubes by Date IMPORT'!C19</f>
        <v>3</v>
      </c>
      <c r="AQ20" s="16">
        <f>'APS Tubes by Date IMPORT'!D19</f>
        <v>3</v>
      </c>
      <c r="AR20" s="16">
        <f>'APS Tubes by Date IMPORT'!E19</f>
        <v>0</v>
      </c>
      <c r="AS20" s="16">
        <f>'APS Tubes by Date IMPORT'!F19</f>
        <v>0</v>
      </c>
      <c r="AT20" s="16">
        <f>'APS Tubes by Date IMPORT'!G19</f>
        <v>0</v>
      </c>
      <c r="AU20" s="54"/>
    </row>
    <row r="21">
      <c r="A21" s="8" t="s">
        <v>51</v>
      </c>
      <c r="B21" s="58">
        <f>VLOOKUP(A21,'Run Reconcile'!A$2:B783,2,FALSE)</f>
        <v>44228</v>
      </c>
      <c r="C21" s="59">
        <f>COUNTIF('ALL Tube Results'!B20:B783, A21)
</f>
        <v>4</v>
      </c>
      <c r="D21" s="60">
        <f>COUNTIFS('ALL Tube Results'!$B20:$B783, $A21, 'ALL Tube Results'!$F20:$F783, "Negative")
</f>
        <v>4</v>
      </c>
      <c r="E21" s="60">
        <f>COUNTIFS('ALL Tube Results'!$B20:$B783, $A21, 'ALL Tube Results'!$F20:$F783, "Positive")
</f>
        <v>0</v>
      </c>
      <c r="F21" s="60">
        <f>COUNTIFS('ALL Tube Results'!$B20:$B783, $A21, 'ALL Tube Results'!$F20:$F783, "Inconclusive")
</f>
        <v>0</v>
      </c>
      <c r="G21" s="61">
        <f t="shared" si="7"/>
        <v>4</v>
      </c>
      <c r="H21" s="61" t="str">
        <f t="shared" si="8"/>
        <v/>
      </c>
      <c r="I21" s="62" t="str">
        <f t="shared" si="9"/>
        <v/>
      </c>
      <c r="J21" s="63" t="str">
        <f t="shared" si="10"/>
        <v/>
      </c>
      <c r="K21" s="63" t="str">
        <f t="shared" si="11"/>
        <v/>
      </c>
      <c r="L21" s="63">
        <f t="shared" si="12"/>
        <v>4</v>
      </c>
      <c r="M21" s="63" t="str">
        <f t="shared" si="13"/>
        <v/>
      </c>
      <c r="N21" s="63" t="str">
        <f t="shared" si="14"/>
        <v/>
      </c>
      <c r="O21" s="64">
        <f t="shared" si="15"/>
        <v>4</v>
      </c>
      <c r="P21" s="64" t="str">
        <f t="shared" si="16"/>
        <v/>
      </c>
      <c r="Q21" s="54"/>
      <c r="R21" s="8" t="s">
        <v>51</v>
      </c>
      <c r="S21" s="14">
        <v>44228.0</v>
      </c>
      <c r="T21" s="16">
        <f>VLOOKUP(R21,'Run Reconcile'!$A$2:$L783,12,FALSE)</f>
        <v>4</v>
      </c>
      <c r="U21" s="16" t="str">
        <f t="shared" si="17"/>
        <v/>
      </c>
      <c r="V21" s="16" t="str">
        <f t="shared" si="18"/>
        <v/>
      </c>
      <c r="W21" s="16"/>
      <c r="X21" s="54"/>
      <c r="Y21" s="8" t="str">
        <f>IFERROR(__xludf.DUMMYFUNCTION("""COMPUTED_VALUE"""),"RUN-FLMP_2021-12-19_RFR-023")</f>
        <v>RUN-FLMP_2021-12-19_RFR-023</v>
      </c>
      <c r="Z21" s="14">
        <f>IFERROR(__xludf.DUMMYFUNCTION("""COMPUTED_VALUE"""),44549.0)</f>
        <v>44549</v>
      </c>
      <c r="AA21" s="62">
        <f t="array" ref="AA21">INDEX('RFR Data - preExcl'!AK$2:AK783,$AE21,1)</f>
        <v>1</v>
      </c>
      <c r="AB21" s="16">
        <f t="shared" si="19"/>
        <v>1</v>
      </c>
      <c r="AC21" s="16">
        <f t="array" ref="AC21">INDEX('RFR Data - preExcl'!AI$2:AI783,$AE21,1)</f>
        <v>0</v>
      </c>
      <c r="AD21" s="16">
        <f t="array" ref="AD21">INDEX('RFR Data - preExcl'!AF$2:AF783,$AE21,1)</f>
        <v>0</v>
      </c>
      <c r="AE21" s="66">
        <f>IFNA(MATCH(Y21,'RFR Data - preExcl'!A$2:A783,0),"")</f>
        <v>22</v>
      </c>
      <c r="AF21" s="54"/>
      <c r="AG21" s="70" t="s">
        <v>51</v>
      </c>
      <c r="AH21" s="68">
        <f>VLOOKUP(AG21,'Run Reconcile'!A$2:B783,2,FALSE)</f>
        <v>44228</v>
      </c>
      <c r="AI21" s="69">
        <f>COUNTIF('APS Tubes IMPORT'!$V$2:$V783, AG21)
</f>
        <v>4</v>
      </c>
      <c r="AJ21" s="69">
        <f>COUNTIFS('APS Tubes IMPORT'!V$2:V783, AG21, 'APS Tubes IMPORT'!H$2:H783, "Negative")
</f>
        <v>4</v>
      </c>
      <c r="AK21" s="69">
        <f>COUNTIFS('APS Tubes IMPORT'!V$2:V783, AG21, 'APS Tubes IMPORT'!H$2:H783, "Positive")
</f>
        <v>0</v>
      </c>
      <c r="AL21" s="69">
        <f>COUNTIFS('APS Tubes IMPORT'!V$2:V783, AG21, 'APS Tubes IMPORT'!H$2:H783, "Inconclusive")
</f>
        <v>0</v>
      </c>
      <c r="AM21" s="69">
        <f>COUNTIFS('APS Tubes IMPORT'!V$2:V783, AG21, 'APS Tubes IMPORT'!H$2:H783, "Null")
</f>
        <v>0</v>
      </c>
      <c r="AN21" s="54"/>
      <c r="AO21" s="14">
        <f>'APS Tubes by Date IMPORT'!B20</f>
        <v>44228</v>
      </c>
      <c r="AP21" s="16">
        <f>'APS Tubes by Date IMPORT'!C20</f>
        <v>4</v>
      </c>
      <c r="AQ21" s="16">
        <f>'APS Tubes by Date IMPORT'!D20</f>
        <v>4</v>
      </c>
      <c r="AR21" s="16">
        <f>'APS Tubes by Date IMPORT'!E20</f>
        <v>0</v>
      </c>
      <c r="AS21" s="16">
        <f>'APS Tubes by Date IMPORT'!F20</f>
        <v>0</v>
      </c>
      <c r="AT21" s="16">
        <f>'APS Tubes by Date IMPORT'!G20</f>
        <v>0</v>
      </c>
      <c r="AU21" s="54"/>
    </row>
    <row r="22">
      <c r="A22" s="8" t="s">
        <v>52</v>
      </c>
      <c r="B22" s="58">
        <f>VLOOKUP(A22,'Run Reconcile'!A$2:B783,2,FALSE)</f>
        <v>44231</v>
      </c>
      <c r="C22" s="59">
        <f>COUNTIF('ALL Tube Results'!B21:B783, A22)
</f>
        <v>3</v>
      </c>
      <c r="D22" s="60">
        <f>COUNTIFS('ALL Tube Results'!$B21:$B783, $A22, 'ALL Tube Results'!$F21:$F783, "Negative")
</f>
        <v>3</v>
      </c>
      <c r="E22" s="60">
        <f>COUNTIFS('ALL Tube Results'!$B21:$B783, $A22, 'ALL Tube Results'!$F21:$F783, "Positive")
</f>
        <v>0</v>
      </c>
      <c r="F22" s="60">
        <f>COUNTIFS('ALL Tube Results'!$B21:$B783, $A22, 'ALL Tube Results'!$F21:$F783, "Inconclusive")
</f>
        <v>0</v>
      </c>
      <c r="G22" s="61">
        <f t="shared" si="7"/>
        <v>3</v>
      </c>
      <c r="H22" s="61" t="str">
        <f t="shared" si="8"/>
        <v/>
      </c>
      <c r="I22" s="62" t="str">
        <f t="shared" si="9"/>
        <v/>
      </c>
      <c r="J22" s="63" t="str">
        <f t="shared" si="10"/>
        <v/>
      </c>
      <c r="K22" s="63" t="str">
        <f t="shared" si="11"/>
        <v/>
      </c>
      <c r="L22" s="63">
        <f t="shared" si="12"/>
        <v>3</v>
      </c>
      <c r="M22" s="63" t="str">
        <f t="shared" si="13"/>
        <v/>
      </c>
      <c r="N22" s="63" t="str">
        <f t="shared" si="14"/>
        <v/>
      </c>
      <c r="O22" s="64">
        <f t="shared" si="15"/>
        <v>3</v>
      </c>
      <c r="P22" s="64" t="str">
        <f t="shared" si="16"/>
        <v/>
      </c>
      <c r="Q22" s="54"/>
      <c r="R22" s="8" t="s">
        <v>52</v>
      </c>
      <c r="S22" s="14">
        <v>44231.0</v>
      </c>
      <c r="T22" s="16">
        <f>VLOOKUP(R22,'Run Reconcile'!$A$2:$L783,12,FALSE)</f>
        <v>3</v>
      </c>
      <c r="U22" s="16" t="str">
        <f t="shared" si="17"/>
        <v/>
      </c>
      <c r="V22" s="16" t="str">
        <f t="shared" si="18"/>
        <v/>
      </c>
      <c r="W22" s="16"/>
      <c r="X22" s="54"/>
      <c r="Y22" s="8" t="str">
        <f>IFERROR(__xludf.DUMMYFUNCTION("""COMPUTED_VALUE"""),"RUN-FLMP_2021-12-20_RFR-024")</f>
        <v>RUN-FLMP_2021-12-20_RFR-024</v>
      </c>
      <c r="Z22" s="14">
        <f>IFERROR(__xludf.DUMMYFUNCTION("""COMPUTED_VALUE"""),44550.0)</f>
        <v>44550</v>
      </c>
      <c r="AA22" s="62">
        <f t="array" ref="AA22">INDEX('RFR Data - preExcl'!AK$2:AK783,$AE22,1)</f>
        <v>3</v>
      </c>
      <c r="AB22" s="16">
        <f t="shared" si="19"/>
        <v>3</v>
      </c>
      <c r="AC22" s="16">
        <f t="array" ref="AC22">INDEX('RFR Data - preExcl'!AI$2:AI783,$AE22,1)</f>
        <v>0</v>
      </c>
      <c r="AD22" s="16">
        <f t="array" ref="AD22">INDEX('RFR Data - preExcl'!AF$2:AF783,$AE22,1)</f>
        <v>0</v>
      </c>
      <c r="AE22" s="66">
        <f>IFNA(MATCH(Y22,'RFR Data - preExcl'!A$2:A783,0),"")</f>
        <v>23</v>
      </c>
      <c r="AF22" s="54"/>
      <c r="AG22" s="70" t="s">
        <v>52</v>
      </c>
      <c r="AH22" s="68">
        <f>VLOOKUP(AG22,'Run Reconcile'!A$2:B783,2,FALSE)</f>
        <v>44231</v>
      </c>
      <c r="AI22" s="69">
        <f>COUNTIF('APS Tubes IMPORT'!$V$2:$V783, AG22)
</f>
        <v>3</v>
      </c>
      <c r="AJ22" s="69">
        <f>COUNTIFS('APS Tubes IMPORT'!V$2:V783, AG22, 'APS Tubes IMPORT'!H$2:H783, "Negative")
</f>
        <v>3</v>
      </c>
      <c r="AK22" s="69">
        <f>COUNTIFS('APS Tubes IMPORT'!V$2:V783, AG22, 'APS Tubes IMPORT'!H$2:H783, "Positive")
</f>
        <v>0</v>
      </c>
      <c r="AL22" s="69">
        <f>COUNTIFS('APS Tubes IMPORT'!V$2:V783, AG22, 'APS Tubes IMPORT'!H$2:H783, "Inconclusive")
</f>
        <v>0</v>
      </c>
      <c r="AM22" s="69">
        <f>COUNTIFS('APS Tubes IMPORT'!V$2:V783, AG22, 'APS Tubes IMPORT'!H$2:H783, "Null")
</f>
        <v>0</v>
      </c>
      <c r="AN22" s="54"/>
      <c r="AO22" s="14">
        <f>'APS Tubes by Date IMPORT'!B21</f>
        <v>44231</v>
      </c>
      <c r="AP22" s="16">
        <f>'APS Tubes by Date IMPORT'!C21</f>
        <v>3</v>
      </c>
      <c r="AQ22" s="16">
        <f>'APS Tubes by Date IMPORT'!D21</f>
        <v>3</v>
      </c>
      <c r="AR22" s="16">
        <f>'APS Tubes by Date IMPORT'!E21</f>
        <v>0</v>
      </c>
      <c r="AS22" s="16">
        <f>'APS Tubes by Date IMPORT'!F21</f>
        <v>0</v>
      </c>
      <c r="AT22" s="16">
        <f>'APS Tubes by Date IMPORT'!G21</f>
        <v>0</v>
      </c>
      <c r="AU22" s="54"/>
    </row>
    <row r="23">
      <c r="A23" s="8" t="s">
        <v>53</v>
      </c>
      <c r="B23" s="58">
        <f>VLOOKUP(A23,'Run Reconcile'!A$2:B783,2,FALSE)</f>
        <v>44232</v>
      </c>
      <c r="C23" s="59">
        <f>COUNTIF('ALL Tube Results'!B22:B783, A23)
</f>
        <v>3</v>
      </c>
      <c r="D23" s="60">
        <f>COUNTIFS('ALL Tube Results'!$B22:$B783, $A23, 'ALL Tube Results'!$F22:$F783, "Negative")
</f>
        <v>3</v>
      </c>
      <c r="E23" s="60">
        <f>COUNTIFS('ALL Tube Results'!$B22:$B783, $A23, 'ALL Tube Results'!$F22:$F783, "Positive")
</f>
        <v>0</v>
      </c>
      <c r="F23" s="60">
        <f>COUNTIFS('ALL Tube Results'!$B22:$B783, $A23, 'ALL Tube Results'!$F22:$F783, "Inconclusive")
</f>
        <v>0</v>
      </c>
      <c r="G23" s="61">
        <f t="shared" si="7"/>
        <v>3</v>
      </c>
      <c r="H23" s="61" t="str">
        <f t="shared" si="8"/>
        <v/>
      </c>
      <c r="I23" s="62" t="str">
        <f t="shared" si="9"/>
        <v/>
      </c>
      <c r="J23" s="63" t="str">
        <f t="shared" si="10"/>
        <v/>
      </c>
      <c r="K23" s="63" t="str">
        <f t="shared" si="11"/>
        <v/>
      </c>
      <c r="L23" s="63">
        <f t="shared" si="12"/>
        <v>3</v>
      </c>
      <c r="M23" s="63" t="str">
        <f t="shared" si="13"/>
        <v/>
      </c>
      <c r="N23" s="63" t="str">
        <f t="shared" si="14"/>
        <v/>
      </c>
      <c r="O23" s="64">
        <f t="shared" si="15"/>
        <v>3</v>
      </c>
      <c r="P23" s="64" t="str">
        <f t="shared" si="16"/>
        <v/>
      </c>
      <c r="Q23" s="54"/>
      <c r="R23" s="8" t="s">
        <v>53</v>
      </c>
      <c r="S23" s="14">
        <v>44232.0</v>
      </c>
      <c r="T23" s="16">
        <f>VLOOKUP(R23,'Run Reconcile'!$A$2:$L783,12,FALSE)</f>
        <v>3</v>
      </c>
      <c r="U23" s="16" t="str">
        <f t="shared" si="17"/>
        <v/>
      </c>
      <c r="V23" s="16" t="str">
        <f t="shared" si="18"/>
        <v/>
      </c>
      <c r="W23" s="16"/>
      <c r="X23" s="54"/>
      <c r="Y23" s="8" t="str">
        <f>IFERROR(__xludf.DUMMYFUNCTION("""COMPUTED_VALUE"""),"RUN-FLMP_2021-12-20_RFR-026")</f>
        <v>RUN-FLMP_2021-12-20_RFR-026</v>
      </c>
      <c r="Z23" s="14">
        <f>IFERROR(__xludf.DUMMYFUNCTION("""COMPUTED_VALUE"""),44550.0)</f>
        <v>44550</v>
      </c>
      <c r="AA23" s="62">
        <f t="array" ref="AA23">INDEX('RFR Data - preExcl'!AK$2:AK783,$AE23,1)</f>
        <v>2</v>
      </c>
      <c r="AB23" s="16">
        <f t="shared" si="19"/>
        <v>2</v>
      </c>
      <c r="AC23" s="16">
        <f t="array" ref="AC23">INDEX('RFR Data - preExcl'!AI$2:AI783,$AE23,1)</f>
        <v>0</v>
      </c>
      <c r="AD23" s="16">
        <f t="array" ref="AD23">INDEX('RFR Data - preExcl'!AF$2:AF783,$AE23,1)</f>
        <v>0</v>
      </c>
      <c r="AE23" s="66">
        <f>IFNA(MATCH(Y23,'RFR Data - preExcl'!A$2:A783,0),"")</f>
        <v>24</v>
      </c>
      <c r="AF23" s="54"/>
      <c r="AG23" s="70" t="s">
        <v>53</v>
      </c>
      <c r="AH23" s="68">
        <f>VLOOKUP(AG23,'Run Reconcile'!A$2:B783,2,FALSE)</f>
        <v>44232</v>
      </c>
      <c r="AI23" s="69">
        <f>COUNTIF('APS Tubes IMPORT'!$V$2:$V783, AG23)
</f>
        <v>3</v>
      </c>
      <c r="AJ23" s="69">
        <f>COUNTIFS('APS Tubes IMPORT'!V$2:V783, AG23, 'APS Tubes IMPORT'!H$2:H783, "Negative")
</f>
        <v>3</v>
      </c>
      <c r="AK23" s="69">
        <f>COUNTIFS('APS Tubes IMPORT'!V$2:V783, AG23, 'APS Tubes IMPORT'!H$2:H783, "Positive")
</f>
        <v>0</v>
      </c>
      <c r="AL23" s="69">
        <f>COUNTIFS('APS Tubes IMPORT'!V$2:V783, AG23, 'APS Tubes IMPORT'!H$2:H783, "Inconclusive")
</f>
        <v>0</v>
      </c>
      <c r="AM23" s="69">
        <f>COUNTIFS('APS Tubes IMPORT'!V$2:V783, AG23, 'APS Tubes IMPORT'!H$2:H783, "Null")
</f>
        <v>0</v>
      </c>
      <c r="AN23" s="54"/>
      <c r="AO23" s="14">
        <f>'APS Tubes by Date IMPORT'!B22</f>
        <v>44232</v>
      </c>
      <c r="AP23" s="16">
        <f>'APS Tubes by Date IMPORT'!C22</f>
        <v>3</v>
      </c>
      <c r="AQ23" s="16">
        <f>'APS Tubes by Date IMPORT'!D22</f>
        <v>3</v>
      </c>
      <c r="AR23" s="16">
        <f>'APS Tubes by Date IMPORT'!E22</f>
        <v>0</v>
      </c>
      <c r="AS23" s="16">
        <f>'APS Tubes by Date IMPORT'!F22</f>
        <v>0</v>
      </c>
      <c r="AT23" s="16">
        <f>'APS Tubes by Date IMPORT'!G22</f>
        <v>0</v>
      </c>
      <c r="AU23" s="54"/>
    </row>
    <row r="24">
      <c r="A24" s="8" t="s">
        <v>54</v>
      </c>
      <c r="B24" s="58">
        <f>VLOOKUP(A24,'Run Reconcile'!A$2:B783,2,FALSE)</f>
        <v>44234</v>
      </c>
      <c r="C24" s="59">
        <f>COUNTIF('ALL Tube Results'!B23:B783, A24)
</f>
        <v>1</v>
      </c>
      <c r="D24" s="60">
        <f>COUNTIFS('ALL Tube Results'!$B23:$B783, $A24, 'ALL Tube Results'!$F23:$F783, "Negative")
</f>
        <v>1</v>
      </c>
      <c r="E24" s="60">
        <f>COUNTIFS('ALL Tube Results'!$B23:$B783, $A24, 'ALL Tube Results'!$F23:$F783, "Positive")
</f>
        <v>0</v>
      </c>
      <c r="F24" s="60">
        <f>COUNTIFS('ALL Tube Results'!$B23:$B783, $A24, 'ALL Tube Results'!$F23:$F783, "Inconclusive")
</f>
        <v>0</v>
      </c>
      <c r="G24" s="61">
        <f t="shared" si="7"/>
        <v>1</v>
      </c>
      <c r="H24" s="61" t="str">
        <f t="shared" si="8"/>
        <v/>
      </c>
      <c r="I24" s="62" t="str">
        <f t="shared" si="9"/>
        <v/>
      </c>
      <c r="J24" s="63" t="str">
        <f t="shared" si="10"/>
        <v/>
      </c>
      <c r="K24" s="63" t="str">
        <f t="shared" si="11"/>
        <v/>
      </c>
      <c r="L24" s="63">
        <f t="shared" si="12"/>
        <v>1</v>
      </c>
      <c r="M24" s="63" t="str">
        <f t="shared" si="13"/>
        <v/>
      </c>
      <c r="N24" s="63" t="str">
        <f t="shared" si="14"/>
        <v/>
      </c>
      <c r="O24" s="64">
        <f t="shared" si="15"/>
        <v>1</v>
      </c>
      <c r="P24" s="64" t="str">
        <f t="shared" si="16"/>
        <v/>
      </c>
      <c r="Q24" s="54"/>
      <c r="R24" s="8" t="s">
        <v>54</v>
      </c>
      <c r="S24" s="14">
        <v>44234.0</v>
      </c>
      <c r="T24" s="16">
        <f>VLOOKUP(R24,'Run Reconcile'!$A$2:$L783,12,FALSE)</f>
        <v>1</v>
      </c>
      <c r="U24" s="16" t="str">
        <f t="shared" si="17"/>
        <v/>
      </c>
      <c r="V24" s="16" t="str">
        <f t="shared" si="18"/>
        <v/>
      </c>
      <c r="W24" s="16"/>
      <c r="X24" s="54"/>
      <c r="Y24" s="8" t="str">
        <f>IFERROR(__xludf.DUMMYFUNCTION("""COMPUTED_VALUE"""),"RUN-FLMP_2021-12-21_RFR-028")</f>
        <v>RUN-FLMP_2021-12-21_RFR-028</v>
      </c>
      <c r="Z24" s="14">
        <f>IFERROR(__xludf.DUMMYFUNCTION("""COMPUTED_VALUE"""),44551.0)</f>
        <v>44551</v>
      </c>
      <c r="AA24" s="62">
        <f t="array" ref="AA24">INDEX('RFR Data - preExcl'!AK$2:AK783,$AE24,1)</f>
        <v>4</v>
      </c>
      <c r="AB24" s="16">
        <f t="shared" si="19"/>
        <v>4</v>
      </c>
      <c r="AC24" s="16">
        <f t="array" ref="AC24">INDEX('RFR Data - preExcl'!AI$2:AI783,$AE24,1)</f>
        <v>0</v>
      </c>
      <c r="AD24" s="16">
        <f t="array" ref="AD24">INDEX('RFR Data - preExcl'!AF$2:AF783,$AE24,1)</f>
        <v>0</v>
      </c>
      <c r="AE24" s="66">
        <f>IFNA(MATCH(Y24,'RFR Data - preExcl'!A$2:A783,0),"")</f>
        <v>26</v>
      </c>
      <c r="AF24" s="54"/>
      <c r="AG24" s="70" t="s">
        <v>54</v>
      </c>
      <c r="AH24" s="68">
        <f>VLOOKUP(AG24,'Run Reconcile'!A$2:B783,2,FALSE)</f>
        <v>44234</v>
      </c>
      <c r="AI24" s="69">
        <f>COUNTIF('APS Tubes IMPORT'!$V$2:$V783, AG24)
</f>
        <v>1</v>
      </c>
      <c r="AJ24" s="69">
        <f>COUNTIFS('APS Tubes IMPORT'!V$2:V783, AG24, 'APS Tubes IMPORT'!H$2:H783, "Negative")
</f>
        <v>1</v>
      </c>
      <c r="AK24" s="69">
        <f>COUNTIFS('APS Tubes IMPORT'!V$2:V783, AG24, 'APS Tubes IMPORT'!H$2:H783, "Positive")
</f>
        <v>0</v>
      </c>
      <c r="AL24" s="69">
        <f>COUNTIFS('APS Tubes IMPORT'!V$2:V783, AG24, 'APS Tubes IMPORT'!H$2:H783, "Inconclusive")
</f>
        <v>0</v>
      </c>
      <c r="AM24" s="69">
        <f>COUNTIFS('APS Tubes IMPORT'!V$2:V783, AG24, 'APS Tubes IMPORT'!H$2:H783, "Null")
</f>
        <v>0</v>
      </c>
      <c r="AN24" s="54"/>
      <c r="AO24" s="14">
        <f>'APS Tubes by Date IMPORT'!B23</f>
        <v>44234</v>
      </c>
      <c r="AP24" s="16">
        <f>'APS Tubes by Date IMPORT'!C23</f>
        <v>1</v>
      </c>
      <c r="AQ24" s="16">
        <f>'APS Tubes by Date IMPORT'!D23</f>
        <v>1</v>
      </c>
      <c r="AR24" s="16">
        <f>'APS Tubes by Date IMPORT'!E23</f>
        <v>0</v>
      </c>
      <c r="AS24" s="16">
        <f>'APS Tubes by Date IMPORT'!F23</f>
        <v>0</v>
      </c>
      <c r="AT24" s="16">
        <f>'APS Tubes by Date IMPORT'!G23</f>
        <v>0</v>
      </c>
      <c r="AU24" s="54"/>
    </row>
    <row r="25">
      <c r="A25" s="8" t="s">
        <v>55</v>
      </c>
      <c r="B25" s="58">
        <f>VLOOKUP(A25,'Run Reconcile'!A$2:B783,2,FALSE)</f>
        <v>44235</v>
      </c>
      <c r="C25" s="59">
        <f>COUNTIF('ALL Tube Results'!B24:B783, A25)
</f>
        <v>4</v>
      </c>
      <c r="D25" s="60">
        <f>COUNTIFS('ALL Tube Results'!$B24:$B783, $A25, 'ALL Tube Results'!$F24:$F783, "Negative")
</f>
        <v>4</v>
      </c>
      <c r="E25" s="60">
        <f>COUNTIFS('ALL Tube Results'!$B24:$B783, $A25, 'ALL Tube Results'!$F24:$F783, "Positive")
</f>
        <v>0</v>
      </c>
      <c r="F25" s="60">
        <f>COUNTIFS('ALL Tube Results'!$B24:$B783, $A25, 'ALL Tube Results'!$F24:$F783, "Inconclusive")
</f>
        <v>0</v>
      </c>
      <c r="G25" s="61">
        <f t="shared" si="7"/>
        <v>4</v>
      </c>
      <c r="H25" s="61" t="str">
        <f t="shared" si="8"/>
        <v/>
      </c>
      <c r="I25" s="62" t="str">
        <f t="shared" si="9"/>
        <v/>
      </c>
      <c r="J25" s="63" t="str">
        <f t="shared" si="10"/>
        <v/>
      </c>
      <c r="K25" s="63" t="str">
        <f t="shared" si="11"/>
        <v/>
      </c>
      <c r="L25" s="63">
        <f t="shared" si="12"/>
        <v>4</v>
      </c>
      <c r="M25" s="63" t="str">
        <f t="shared" si="13"/>
        <v/>
      </c>
      <c r="N25" s="63" t="str">
        <f t="shared" si="14"/>
        <v/>
      </c>
      <c r="O25" s="64">
        <f t="shared" si="15"/>
        <v>4</v>
      </c>
      <c r="P25" s="64" t="str">
        <f t="shared" si="16"/>
        <v/>
      </c>
      <c r="Q25" s="54"/>
      <c r="R25" s="8" t="s">
        <v>55</v>
      </c>
      <c r="S25" s="14">
        <v>44235.0</v>
      </c>
      <c r="T25" s="16">
        <f>VLOOKUP(R25,'Run Reconcile'!$A$2:$L783,12,FALSE)</f>
        <v>4</v>
      </c>
      <c r="U25" s="16" t="str">
        <f t="shared" si="17"/>
        <v/>
      </c>
      <c r="V25" s="16" t="str">
        <f t="shared" si="18"/>
        <v/>
      </c>
      <c r="W25" s="16"/>
      <c r="X25" s="54"/>
      <c r="Y25" s="8" t="str">
        <f>IFERROR(__xludf.DUMMYFUNCTION("""COMPUTED_VALUE"""),"RUN-FLMP_2021-12-21_RFR-029")</f>
        <v>RUN-FLMP_2021-12-21_RFR-029</v>
      </c>
      <c r="Z25" s="14">
        <f>IFERROR(__xludf.DUMMYFUNCTION("""COMPUTED_VALUE"""),44551.0)</f>
        <v>44551</v>
      </c>
      <c r="AA25" s="62">
        <f t="array" ref="AA25">INDEX('RFR Data - preExcl'!AK$2:AK783,$AE25,1)</f>
        <v>2</v>
      </c>
      <c r="AB25" s="16">
        <f t="shared" si="19"/>
        <v>2</v>
      </c>
      <c r="AC25" s="16">
        <f t="array" ref="AC25">INDEX('RFR Data - preExcl'!AI$2:AI783,$AE25,1)</f>
        <v>0</v>
      </c>
      <c r="AD25" s="16">
        <f t="array" ref="AD25">INDEX('RFR Data - preExcl'!AF$2:AF783,$AE25,1)</f>
        <v>0</v>
      </c>
      <c r="AE25" s="66">
        <f>IFNA(MATCH(Y25,'RFR Data - preExcl'!A$2:A783,0),"")</f>
        <v>27</v>
      </c>
      <c r="AF25" s="54"/>
      <c r="AG25" s="70" t="s">
        <v>55</v>
      </c>
      <c r="AH25" s="68">
        <f>VLOOKUP(AG25,'Run Reconcile'!A$2:B783,2,FALSE)</f>
        <v>44235</v>
      </c>
      <c r="AI25" s="69">
        <f>COUNTIF('APS Tubes IMPORT'!$V$2:$V783, AG25)
</f>
        <v>4</v>
      </c>
      <c r="AJ25" s="69">
        <f>COUNTIFS('APS Tubes IMPORT'!V$2:V783, AG25, 'APS Tubes IMPORT'!H$2:H783, "Negative")
</f>
        <v>4</v>
      </c>
      <c r="AK25" s="69">
        <f>COUNTIFS('APS Tubes IMPORT'!V$2:V783, AG25, 'APS Tubes IMPORT'!H$2:H783, "Positive")
</f>
        <v>0</v>
      </c>
      <c r="AL25" s="69">
        <f>COUNTIFS('APS Tubes IMPORT'!V$2:V783, AG25, 'APS Tubes IMPORT'!H$2:H783, "Inconclusive")
</f>
        <v>0</v>
      </c>
      <c r="AM25" s="69">
        <f>COUNTIFS('APS Tubes IMPORT'!V$2:V783, AG25, 'APS Tubes IMPORT'!H$2:H783, "Null")
</f>
        <v>0</v>
      </c>
      <c r="AN25" s="54"/>
      <c r="AO25" s="14">
        <f>'APS Tubes by Date IMPORT'!B24</f>
        <v>44235</v>
      </c>
      <c r="AP25" s="16">
        <f>'APS Tubes by Date IMPORT'!C24</f>
        <v>4</v>
      </c>
      <c r="AQ25" s="16">
        <f>'APS Tubes by Date IMPORT'!D24</f>
        <v>4</v>
      </c>
      <c r="AR25" s="16">
        <f>'APS Tubes by Date IMPORT'!E24</f>
        <v>0</v>
      </c>
      <c r="AS25" s="16">
        <f>'APS Tubes by Date IMPORT'!F24</f>
        <v>0</v>
      </c>
      <c r="AT25" s="16">
        <f>'APS Tubes by Date IMPORT'!G24</f>
        <v>0</v>
      </c>
      <c r="AU25" s="54"/>
    </row>
    <row r="26">
      <c r="A26" s="8" t="s">
        <v>56</v>
      </c>
      <c r="B26" s="58">
        <f>VLOOKUP(A26,'Run Reconcile'!A$2:B783,2,FALSE)</f>
        <v>44236</v>
      </c>
      <c r="C26" s="59">
        <f>COUNTIF('ALL Tube Results'!B25:B783, A26)
</f>
        <v>2</v>
      </c>
      <c r="D26" s="60">
        <f>COUNTIFS('ALL Tube Results'!$B25:$B783, $A26, 'ALL Tube Results'!$F25:$F783, "Negative")
</f>
        <v>2</v>
      </c>
      <c r="E26" s="60">
        <f>COUNTIFS('ALL Tube Results'!$B25:$B783, $A26, 'ALL Tube Results'!$F25:$F783, "Positive")
</f>
        <v>0</v>
      </c>
      <c r="F26" s="60">
        <f>COUNTIFS('ALL Tube Results'!$B25:$B783, $A26, 'ALL Tube Results'!$F25:$F783, "Inconclusive")
</f>
        <v>0</v>
      </c>
      <c r="G26" s="61">
        <f t="shared" si="7"/>
        <v>2</v>
      </c>
      <c r="H26" s="61" t="str">
        <f t="shared" si="8"/>
        <v/>
      </c>
      <c r="I26" s="62" t="str">
        <f t="shared" si="9"/>
        <v/>
      </c>
      <c r="J26" s="63" t="str">
        <f t="shared" si="10"/>
        <v/>
      </c>
      <c r="K26" s="63" t="str">
        <f t="shared" si="11"/>
        <v/>
      </c>
      <c r="L26" s="63">
        <f t="shared" si="12"/>
        <v>2</v>
      </c>
      <c r="M26" s="63" t="str">
        <f t="shared" si="13"/>
        <v/>
      </c>
      <c r="N26" s="63" t="str">
        <f t="shared" si="14"/>
        <v/>
      </c>
      <c r="O26" s="64">
        <f t="shared" si="15"/>
        <v>2</v>
      </c>
      <c r="P26" s="64" t="str">
        <f t="shared" si="16"/>
        <v/>
      </c>
      <c r="Q26" s="54"/>
      <c r="R26" s="8" t="s">
        <v>56</v>
      </c>
      <c r="S26" s="14">
        <v>44236.0</v>
      </c>
      <c r="T26" s="16">
        <f>VLOOKUP(R26,'Run Reconcile'!$A$2:$L783,12,FALSE)</f>
        <v>2</v>
      </c>
      <c r="U26" s="16" t="str">
        <f t="shared" si="17"/>
        <v/>
      </c>
      <c r="V26" s="16" t="str">
        <f t="shared" si="18"/>
        <v/>
      </c>
      <c r="W26" s="16"/>
      <c r="X26" s="54"/>
      <c r="Y26" s="8" t="str">
        <f>IFERROR(__xludf.DUMMYFUNCTION("""COMPUTED_VALUE"""),"RUN-FLMP_2021-12-22_RFR-030")</f>
        <v>RUN-FLMP_2021-12-22_RFR-030</v>
      </c>
      <c r="Z26" s="14">
        <f>IFERROR(__xludf.DUMMYFUNCTION("""COMPUTED_VALUE"""),44552.0)</f>
        <v>44552</v>
      </c>
      <c r="AA26" s="62">
        <f t="array" ref="AA26">INDEX('RFR Data - preExcl'!AK$2:AK783,$AE26,1)</f>
        <v>5</v>
      </c>
      <c r="AB26" s="16">
        <f t="shared" si="19"/>
        <v>5</v>
      </c>
      <c r="AC26" s="16">
        <f t="array" ref="AC26">INDEX('RFR Data - preExcl'!AI$2:AI783,$AE26,1)</f>
        <v>0</v>
      </c>
      <c r="AD26" s="16">
        <f t="array" ref="AD26">INDEX('RFR Data - preExcl'!AF$2:AF783,$AE26,1)</f>
        <v>0</v>
      </c>
      <c r="AE26" s="66">
        <f>IFNA(MATCH(Y26,'RFR Data - preExcl'!A$2:A783,0),"")</f>
        <v>28</v>
      </c>
      <c r="AF26" s="54"/>
      <c r="AG26" s="70" t="s">
        <v>56</v>
      </c>
      <c r="AH26" s="68">
        <f>VLOOKUP(AG26,'Run Reconcile'!A$2:B783,2,FALSE)</f>
        <v>44236</v>
      </c>
      <c r="AI26" s="69">
        <f>COUNTIF('APS Tubes IMPORT'!$V$2:$V783, AG26)
</f>
        <v>2</v>
      </c>
      <c r="AJ26" s="69">
        <f>COUNTIFS('APS Tubes IMPORT'!V$2:V783, AG26, 'APS Tubes IMPORT'!H$2:H783, "Negative")
</f>
        <v>2</v>
      </c>
      <c r="AK26" s="69">
        <f>COUNTIFS('APS Tubes IMPORT'!V$2:V783, AG26, 'APS Tubes IMPORT'!H$2:H783, "Positive")
</f>
        <v>0</v>
      </c>
      <c r="AL26" s="69">
        <f>COUNTIFS('APS Tubes IMPORT'!V$2:V783, AG26, 'APS Tubes IMPORT'!H$2:H783, "Inconclusive")
</f>
        <v>0</v>
      </c>
      <c r="AM26" s="69">
        <f>COUNTIFS('APS Tubes IMPORT'!V$2:V783, AG26, 'APS Tubes IMPORT'!H$2:H783, "Null")
</f>
        <v>0</v>
      </c>
      <c r="AN26" s="54"/>
      <c r="AO26" s="14">
        <f>'APS Tubes by Date IMPORT'!B25</f>
        <v>44236</v>
      </c>
      <c r="AP26" s="16">
        <f>'APS Tubes by Date IMPORT'!C25</f>
        <v>2</v>
      </c>
      <c r="AQ26" s="16">
        <f>'APS Tubes by Date IMPORT'!D25</f>
        <v>2</v>
      </c>
      <c r="AR26" s="16">
        <f>'APS Tubes by Date IMPORT'!E25</f>
        <v>0</v>
      </c>
      <c r="AS26" s="16">
        <f>'APS Tubes by Date IMPORT'!F25</f>
        <v>0</v>
      </c>
      <c r="AT26" s="16">
        <f>'APS Tubes by Date IMPORT'!G25</f>
        <v>0</v>
      </c>
      <c r="AU26" s="54"/>
    </row>
    <row r="27">
      <c r="A27" s="8" t="s">
        <v>57</v>
      </c>
      <c r="B27" s="58">
        <f>VLOOKUP(A27,'Run Reconcile'!A$2:B783,2,FALSE)</f>
        <v>44237</v>
      </c>
      <c r="C27" s="59">
        <f>COUNTIF('ALL Tube Results'!B26:B783, A27)
</f>
        <v>2</v>
      </c>
      <c r="D27" s="60">
        <f>COUNTIFS('ALL Tube Results'!$B26:$B783, $A27, 'ALL Tube Results'!$F26:$F783, "Negative")
</f>
        <v>2</v>
      </c>
      <c r="E27" s="60">
        <f>COUNTIFS('ALL Tube Results'!$B26:$B783, $A27, 'ALL Tube Results'!$F26:$F783, "Positive")
</f>
        <v>0</v>
      </c>
      <c r="F27" s="60">
        <f>COUNTIFS('ALL Tube Results'!$B26:$B783, $A27, 'ALL Tube Results'!$F26:$F783, "Inconclusive")
</f>
        <v>0</v>
      </c>
      <c r="G27" s="61">
        <f t="shared" si="7"/>
        <v>2</v>
      </c>
      <c r="H27" s="61" t="str">
        <f t="shared" si="8"/>
        <v/>
      </c>
      <c r="I27" s="62" t="str">
        <f t="shared" si="9"/>
        <v/>
      </c>
      <c r="J27" s="63" t="str">
        <f t="shared" si="10"/>
        <v/>
      </c>
      <c r="K27" s="63" t="str">
        <f t="shared" si="11"/>
        <v/>
      </c>
      <c r="L27" s="63">
        <f t="shared" si="12"/>
        <v>2</v>
      </c>
      <c r="M27" s="63" t="str">
        <f t="shared" si="13"/>
        <v/>
      </c>
      <c r="N27" s="63" t="str">
        <f t="shared" si="14"/>
        <v/>
      </c>
      <c r="O27" s="64">
        <f t="shared" si="15"/>
        <v>2</v>
      </c>
      <c r="P27" s="64" t="str">
        <f t="shared" si="16"/>
        <v/>
      </c>
      <c r="Q27" s="54"/>
      <c r="R27" s="8" t="s">
        <v>57</v>
      </c>
      <c r="S27" s="14">
        <v>44237.0</v>
      </c>
      <c r="T27" s="16">
        <f>VLOOKUP(R27,'Run Reconcile'!$A$2:$L783,12,FALSE)</f>
        <v>2</v>
      </c>
      <c r="U27" s="16" t="str">
        <f t="shared" si="17"/>
        <v/>
      </c>
      <c r="V27" s="16" t="str">
        <f t="shared" si="18"/>
        <v/>
      </c>
      <c r="W27" s="16"/>
      <c r="X27" s="54"/>
      <c r="Y27" s="8" t="str">
        <f>IFERROR(__xludf.DUMMYFUNCTION("""COMPUTED_VALUE"""),"RUN-FLMP_2021-12-22_RFR-031")</f>
        <v>RUN-FLMP_2021-12-22_RFR-031</v>
      </c>
      <c r="Z27" s="14">
        <f>IFERROR(__xludf.DUMMYFUNCTION("""COMPUTED_VALUE"""),44552.0)</f>
        <v>44552</v>
      </c>
      <c r="AA27" s="62">
        <f t="array" ref="AA27">INDEX('RFR Data - preExcl'!AK$2:AK783,$AE27,1)</f>
        <v>2</v>
      </c>
      <c r="AB27" s="16">
        <f t="shared" si="19"/>
        <v>1</v>
      </c>
      <c r="AC27" s="16">
        <f t="array" ref="AC27">INDEX('RFR Data - preExcl'!AI$2:AI783,$AE27,1)</f>
        <v>1</v>
      </c>
      <c r="AD27" s="16">
        <f t="array" ref="AD27">INDEX('RFR Data - preExcl'!AF$2:AF783,$AE27,1)</f>
        <v>0</v>
      </c>
      <c r="AE27" s="66">
        <f>IFNA(MATCH(Y27,'RFR Data - preExcl'!A$2:A783,0),"")</f>
        <v>29</v>
      </c>
      <c r="AF27" s="54"/>
      <c r="AG27" s="70" t="s">
        <v>57</v>
      </c>
      <c r="AH27" s="68">
        <f>VLOOKUP(AG27,'Run Reconcile'!A$2:B783,2,FALSE)</f>
        <v>44237</v>
      </c>
      <c r="AI27" s="69">
        <f>COUNTIF('APS Tubes IMPORT'!$V$2:$V783, AG27)
</f>
        <v>2</v>
      </c>
      <c r="AJ27" s="69">
        <f>COUNTIFS('APS Tubes IMPORT'!V$2:V783, AG27, 'APS Tubes IMPORT'!H$2:H783, "Negative")
</f>
        <v>2</v>
      </c>
      <c r="AK27" s="69">
        <f>COUNTIFS('APS Tubes IMPORT'!V$2:V783, AG27, 'APS Tubes IMPORT'!H$2:H783, "Positive")
</f>
        <v>0</v>
      </c>
      <c r="AL27" s="69">
        <f>COUNTIFS('APS Tubes IMPORT'!V$2:V783, AG27, 'APS Tubes IMPORT'!H$2:H783, "Inconclusive")
</f>
        <v>0</v>
      </c>
      <c r="AM27" s="69">
        <f>COUNTIFS('APS Tubes IMPORT'!V$2:V783, AG27, 'APS Tubes IMPORT'!H$2:H783, "Null")
</f>
        <v>0</v>
      </c>
      <c r="AN27" s="54"/>
      <c r="AO27" s="14">
        <f>'APS Tubes by Date IMPORT'!B26</f>
        <v>44237</v>
      </c>
      <c r="AP27" s="16">
        <f>'APS Tubes by Date IMPORT'!C26</f>
        <v>2</v>
      </c>
      <c r="AQ27" s="16">
        <f>'APS Tubes by Date IMPORT'!D26</f>
        <v>2</v>
      </c>
      <c r="AR27" s="16">
        <f>'APS Tubes by Date IMPORT'!E26</f>
        <v>0</v>
      </c>
      <c r="AS27" s="16">
        <f>'APS Tubes by Date IMPORT'!F26</f>
        <v>0</v>
      </c>
      <c r="AT27" s="16">
        <f>'APS Tubes by Date IMPORT'!G26</f>
        <v>0</v>
      </c>
      <c r="AU27" s="54"/>
    </row>
    <row r="28">
      <c r="A28" s="8" t="s">
        <v>58</v>
      </c>
      <c r="B28" s="58">
        <f>VLOOKUP(A28,'Run Reconcile'!A$2:B783,2,FALSE)</f>
        <v>44238</v>
      </c>
      <c r="C28" s="59">
        <f>COUNTIF('ALL Tube Results'!B27:B783, A28)
</f>
        <v>2</v>
      </c>
      <c r="D28" s="60">
        <f>COUNTIFS('ALL Tube Results'!$B27:$B783, $A28, 'ALL Tube Results'!$F27:$F783, "Negative")
</f>
        <v>2</v>
      </c>
      <c r="E28" s="60">
        <f>COUNTIFS('ALL Tube Results'!$B27:$B783, $A28, 'ALL Tube Results'!$F27:$F783, "Positive")
</f>
        <v>0</v>
      </c>
      <c r="F28" s="60">
        <f>COUNTIFS('ALL Tube Results'!$B27:$B783, $A28, 'ALL Tube Results'!$F27:$F783, "Inconclusive")
</f>
        <v>0</v>
      </c>
      <c r="G28" s="61">
        <f t="shared" si="7"/>
        <v>2</v>
      </c>
      <c r="H28" s="61" t="str">
        <f t="shared" si="8"/>
        <v/>
      </c>
      <c r="I28" s="62" t="str">
        <f t="shared" si="9"/>
        <v/>
      </c>
      <c r="J28" s="63" t="str">
        <f t="shared" si="10"/>
        <v/>
      </c>
      <c r="K28" s="63" t="str">
        <f t="shared" si="11"/>
        <v/>
      </c>
      <c r="L28" s="63">
        <f t="shared" si="12"/>
        <v>2</v>
      </c>
      <c r="M28" s="63" t="str">
        <f t="shared" si="13"/>
        <v/>
      </c>
      <c r="N28" s="63" t="str">
        <f t="shared" si="14"/>
        <v/>
      </c>
      <c r="O28" s="64">
        <f t="shared" si="15"/>
        <v>2</v>
      </c>
      <c r="P28" s="64" t="str">
        <f t="shared" si="16"/>
        <v/>
      </c>
      <c r="Q28" s="54"/>
      <c r="R28" s="8" t="s">
        <v>58</v>
      </c>
      <c r="S28" s="14">
        <v>44238.0</v>
      </c>
      <c r="T28" s="16">
        <f>VLOOKUP(R28,'Run Reconcile'!$A$2:$L783,12,FALSE)</f>
        <v>2</v>
      </c>
      <c r="U28" s="16" t="str">
        <f t="shared" si="17"/>
        <v/>
      </c>
      <c r="V28" s="16" t="str">
        <f t="shared" si="18"/>
        <v/>
      </c>
      <c r="W28" s="16"/>
      <c r="X28" s="54"/>
      <c r="Y28" s="8" t="str">
        <f>IFERROR(__xludf.DUMMYFUNCTION("""COMPUTED_VALUE"""),"RUN-FLMP_2021-12-23_RFR-032")</f>
        <v>RUN-FLMP_2021-12-23_RFR-032</v>
      </c>
      <c r="Z28" s="14">
        <f>IFERROR(__xludf.DUMMYFUNCTION("""COMPUTED_VALUE"""),44553.0)</f>
        <v>44553</v>
      </c>
      <c r="AA28" s="62">
        <f t="array" ref="AA28">INDEX('RFR Data - preExcl'!AK$2:AK783,$AE28,1)</f>
        <v>4</v>
      </c>
      <c r="AB28" s="16">
        <f t="shared" si="19"/>
        <v>3</v>
      </c>
      <c r="AC28" s="16">
        <f t="array" ref="AC28">INDEX('RFR Data - preExcl'!AI$2:AI783,$AE28,1)</f>
        <v>1</v>
      </c>
      <c r="AD28" s="16">
        <f t="array" ref="AD28">INDEX('RFR Data - preExcl'!AF$2:AF783,$AE28,1)</f>
        <v>0</v>
      </c>
      <c r="AE28" s="66">
        <f>IFNA(MATCH(Y28,'RFR Data - preExcl'!A$2:A783,0),"")</f>
        <v>30</v>
      </c>
      <c r="AF28" s="54"/>
      <c r="AG28" s="70" t="s">
        <v>58</v>
      </c>
      <c r="AH28" s="68">
        <f>VLOOKUP(AG28,'Run Reconcile'!A$2:B783,2,FALSE)</f>
        <v>44238</v>
      </c>
      <c r="AI28" s="69">
        <f>COUNTIF('APS Tubes IMPORT'!$V$2:$V783, AG28)
</f>
        <v>2</v>
      </c>
      <c r="AJ28" s="69">
        <f>COUNTIFS('APS Tubes IMPORT'!V$2:V783, AG28, 'APS Tubes IMPORT'!H$2:H783, "Negative")
</f>
        <v>2</v>
      </c>
      <c r="AK28" s="69">
        <f>COUNTIFS('APS Tubes IMPORT'!V$2:V783, AG28, 'APS Tubes IMPORT'!H$2:H783, "Positive")
</f>
        <v>0</v>
      </c>
      <c r="AL28" s="69">
        <f>COUNTIFS('APS Tubes IMPORT'!V$2:V783, AG28, 'APS Tubes IMPORT'!H$2:H783, "Inconclusive")
</f>
        <v>0</v>
      </c>
      <c r="AM28" s="69">
        <f>COUNTIFS('APS Tubes IMPORT'!V$2:V783, AG28, 'APS Tubes IMPORT'!H$2:H783, "Null")
</f>
        <v>0</v>
      </c>
      <c r="AN28" s="54"/>
      <c r="AO28" s="14">
        <f>'APS Tubes by Date IMPORT'!B27</f>
        <v>44238</v>
      </c>
      <c r="AP28" s="16">
        <f>'APS Tubes by Date IMPORT'!C27</f>
        <v>2</v>
      </c>
      <c r="AQ28" s="16">
        <f>'APS Tubes by Date IMPORT'!D27</f>
        <v>2</v>
      </c>
      <c r="AR28" s="16">
        <f>'APS Tubes by Date IMPORT'!E27</f>
        <v>0</v>
      </c>
      <c r="AS28" s="16">
        <f>'APS Tubes by Date IMPORT'!F27</f>
        <v>0</v>
      </c>
      <c r="AT28" s="16">
        <f>'APS Tubes by Date IMPORT'!G27</f>
        <v>0</v>
      </c>
      <c r="AU28" s="54"/>
    </row>
    <row r="29">
      <c r="A29" s="8" t="s">
        <v>59</v>
      </c>
      <c r="B29" s="58">
        <f>VLOOKUP(A29,'Run Reconcile'!A$2:B783,2,FALSE)</f>
        <v>44239</v>
      </c>
      <c r="C29" s="59">
        <f>COUNTIF('ALL Tube Results'!B28:B783, A29)
</f>
        <v>3</v>
      </c>
      <c r="D29" s="60">
        <f>COUNTIFS('ALL Tube Results'!$B28:$B783, $A29, 'ALL Tube Results'!$F28:$F783, "Negative")
</f>
        <v>3</v>
      </c>
      <c r="E29" s="60">
        <f>COUNTIFS('ALL Tube Results'!$B28:$B783, $A29, 'ALL Tube Results'!$F28:$F783, "Positive")
</f>
        <v>0</v>
      </c>
      <c r="F29" s="60">
        <f>COUNTIFS('ALL Tube Results'!$B28:$B783, $A29, 'ALL Tube Results'!$F28:$F783, "Inconclusive")
</f>
        <v>0</v>
      </c>
      <c r="G29" s="61">
        <f t="shared" si="7"/>
        <v>3</v>
      </c>
      <c r="H29" s="61" t="str">
        <f t="shared" si="8"/>
        <v/>
      </c>
      <c r="I29" s="62" t="str">
        <f t="shared" si="9"/>
        <v/>
      </c>
      <c r="J29" s="63" t="str">
        <f t="shared" si="10"/>
        <v/>
      </c>
      <c r="K29" s="63" t="str">
        <f t="shared" si="11"/>
        <v/>
      </c>
      <c r="L29" s="63">
        <f t="shared" si="12"/>
        <v>3</v>
      </c>
      <c r="M29" s="63" t="str">
        <f t="shared" si="13"/>
        <v/>
      </c>
      <c r="N29" s="63" t="str">
        <f t="shared" si="14"/>
        <v/>
      </c>
      <c r="O29" s="64">
        <f t="shared" si="15"/>
        <v>3</v>
      </c>
      <c r="P29" s="64" t="str">
        <f t="shared" si="16"/>
        <v/>
      </c>
      <c r="Q29" s="54"/>
      <c r="R29" s="8" t="s">
        <v>59</v>
      </c>
      <c r="S29" s="14">
        <v>44239.0</v>
      </c>
      <c r="T29" s="16">
        <f>VLOOKUP(R29,'Run Reconcile'!$A$2:$L783,12,FALSE)</f>
        <v>3</v>
      </c>
      <c r="U29" s="16" t="str">
        <f t="shared" si="17"/>
        <v/>
      </c>
      <c r="V29" s="16" t="str">
        <f t="shared" si="18"/>
        <v/>
      </c>
      <c r="W29" s="16"/>
      <c r="X29" s="54"/>
      <c r="Y29" s="8" t="str">
        <f>IFERROR(__xludf.DUMMYFUNCTION("""COMPUTED_VALUE"""),"RUN-FLMP_2021-12-24_RFR-033")</f>
        <v>RUN-FLMP_2021-12-24_RFR-033</v>
      </c>
      <c r="Z29" s="14">
        <f>IFERROR(__xludf.DUMMYFUNCTION("""COMPUTED_VALUE"""),44554.0)</f>
        <v>44554</v>
      </c>
      <c r="AA29" s="62">
        <f t="array" ref="AA29">INDEX('RFR Data - preExcl'!AK$2:AK783,$AE29,1)</f>
        <v>3</v>
      </c>
      <c r="AB29" s="16">
        <f t="shared" si="19"/>
        <v>2</v>
      </c>
      <c r="AC29" s="16">
        <f t="array" ref="AC29">INDEX('RFR Data - preExcl'!AI$2:AI783,$AE29,1)</f>
        <v>1</v>
      </c>
      <c r="AD29" s="16">
        <f t="array" ref="AD29">INDEX('RFR Data - preExcl'!AF$2:AF783,$AE29,1)</f>
        <v>0</v>
      </c>
      <c r="AE29" s="66">
        <f>IFNA(MATCH(Y29,'RFR Data - preExcl'!A$2:A783,0),"")</f>
        <v>31</v>
      </c>
      <c r="AF29" s="54"/>
      <c r="AG29" s="70" t="s">
        <v>59</v>
      </c>
      <c r="AH29" s="68">
        <f>VLOOKUP(AG29,'Run Reconcile'!A$2:B783,2,FALSE)</f>
        <v>44239</v>
      </c>
      <c r="AI29" s="69">
        <f>COUNTIF('APS Tubes IMPORT'!$V$2:$V783, AG29)
</f>
        <v>3</v>
      </c>
      <c r="AJ29" s="69">
        <f>COUNTIFS('APS Tubes IMPORT'!V$2:V783, AG29, 'APS Tubes IMPORT'!H$2:H783, "Negative")
</f>
        <v>3</v>
      </c>
      <c r="AK29" s="69">
        <f>COUNTIFS('APS Tubes IMPORT'!V$2:V783, AG29, 'APS Tubes IMPORT'!H$2:H783, "Positive")
</f>
        <v>0</v>
      </c>
      <c r="AL29" s="69">
        <f>COUNTIFS('APS Tubes IMPORT'!V$2:V783, AG29, 'APS Tubes IMPORT'!H$2:H783, "Inconclusive")
</f>
        <v>0</v>
      </c>
      <c r="AM29" s="69">
        <f>COUNTIFS('APS Tubes IMPORT'!V$2:V783, AG29, 'APS Tubes IMPORT'!H$2:H783, "Null")
</f>
        <v>0</v>
      </c>
      <c r="AN29" s="54"/>
      <c r="AO29" s="14">
        <f>'APS Tubes by Date IMPORT'!B28</f>
        <v>44239</v>
      </c>
      <c r="AP29" s="16">
        <f>'APS Tubes by Date IMPORT'!C28</f>
        <v>3</v>
      </c>
      <c r="AQ29" s="16">
        <f>'APS Tubes by Date IMPORT'!D28</f>
        <v>3</v>
      </c>
      <c r="AR29" s="16">
        <f>'APS Tubes by Date IMPORT'!E28</f>
        <v>0</v>
      </c>
      <c r="AS29" s="16">
        <f>'APS Tubes by Date IMPORT'!F28</f>
        <v>0</v>
      </c>
      <c r="AT29" s="16">
        <f>'APS Tubes by Date IMPORT'!G28</f>
        <v>0</v>
      </c>
      <c r="AU29" s="54"/>
    </row>
    <row r="30">
      <c r="A30" s="8" t="s">
        <v>60</v>
      </c>
      <c r="B30" s="58">
        <f>VLOOKUP(A30,'Run Reconcile'!A$2:B783,2,FALSE)</f>
        <v>44243</v>
      </c>
      <c r="C30" s="59">
        <f>COUNTIF('ALL Tube Results'!B29:B783, A30)
</f>
        <v>2</v>
      </c>
      <c r="D30" s="60">
        <f>COUNTIFS('ALL Tube Results'!$B29:$B783, $A30, 'ALL Tube Results'!$F29:$F783, "Negative")
</f>
        <v>2</v>
      </c>
      <c r="E30" s="60">
        <f>COUNTIFS('ALL Tube Results'!$B29:$B783, $A30, 'ALL Tube Results'!$F29:$F783, "Positive")
</f>
        <v>0</v>
      </c>
      <c r="F30" s="60">
        <f>COUNTIFS('ALL Tube Results'!$B29:$B783, $A30, 'ALL Tube Results'!$F29:$F783, "Inconclusive")
</f>
        <v>0</v>
      </c>
      <c r="G30" s="61">
        <f t="shared" si="7"/>
        <v>2</v>
      </c>
      <c r="H30" s="61" t="str">
        <f t="shared" si="8"/>
        <v/>
      </c>
      <c r="I30" s="62" t="str">
        <f t="shared" si="9"/>
        <v/>
      </c>
      <c r="J30" s="63" t="str">
        <f t="shared" si="10"/>
        <v/>
      </c>
      <c r="K30" s="63" t="str">
        <f t="shared" si="11"/>
        <v/>
      </c>
      <c r="L30" s="63">
        <f t="shared" si="12"/>
        <v>2</v>
      </c>
      <c r="M30" s="63" t="str">
        <f t="shared" si="13"/>
        <v/>
      </c>
      <c r="N30" s="63" t="str">
        <f t="shared" si="14"/>
        <v/>
      </c>
      <c r="O30" s="64">
        <f t="shared" si="15"/>
        <v>2</v>
      </c>
      <c r="P30" s="64" t="str">
        <f t="shared" si="16"/>
        <v/>
      </c>
      <c r="Q30" s="54"/>
      <c r="R30" s="8" t="s">
        <v>60</v>
      </c>
      <c r="S30" s="14">
        <v>44243.0</v>
      </c>
      <c r="T30" s="16">
        <f>VLOOKUP(R30,'Run Reconcile'!$A$2:$L783,12,FALSE)</f>
        <v>2</v>
      </c>
      <c r="U30" s="16" t="str">
        <f t="shared" si="17"/>
        <v/>
      </c>
      <c r="V30" s="16" t="str">
        <f t="shared" si="18"/>
        <v/>
      </c>
      <c r="W30" s="16"/>
      <c r="X30" s="54"/>
      <c r="Y30" s="8" t="str">
        <f>IFERROR(__xludf.DUMMYFUNCTION("""COMPUTED_VALUE"""),"RUN-FLMP_2021-12-25_RFR-034")</f>
        <v>RUN-FLMP_2021-12-25_RFR-034</v>
      </c>
      <c r="Z30" s="14">
        <f>IFERROR(__xludf.DUMMYFUNCTION("""COMPUTED_VALUE"""),44555.0)</f>
        <v>44555</v>
      </c>
      <c r="AA30" s="62">
        <f t="array" ref="AA30">INDEX('RFR Data - preExcl'!AK$2:AK783,$AE30,1)</f>
        <v>2</v>
      </c>
      <c r="AB30" s="16">
        <f t="shared" si="19"/>
        <v>0</v>
      </c>
      <c r="AC30" s="16">
        <f t="array" ref="AC30">INDEX('RFR Data - preExcl'!AI$2:AI783,$AE30,1)</f>
        <v>2</v>
      </c>
      <c r="AD30" s="16">
        <f t="array" ref="AD30">INDEX('RFR Data - preExcl'!AF$2:AF783,$AE30,1)</f>
        <v>0</v>
      </c>
      <c r="AE30" s="66">
        <f>IFNA(MATCH(Y30,'RFR Data - preExcl'!A$2:A783,0),"")</f>
        <v>32</v>
      </c>
      <c r="AF30" s="54"/>
      <c r="AG30" s="70" t="s">
        <v>60</v>
      </c>
      <c r="AH30" s="68">
        <f>VLOOKUP(AG30,'Run Reconcile'!A$2:B783,2,FALSE)</f>
        <v>44243</v>
      </c>
      <c r="AI30" s="69">
        <f>COUNTIF('APS Tubes IMPORT'!$V$2:$V783, AG30)
</f>
        <v>2</v>
      </c>
      <c r="AJ30" s="69">
        <f>COUNTIFS('APS Tubes IMPORT'!V$2:V783, AG30, 'APS Tubes IMPORT'!H$2:H783, "Negative")
</f>
        <v>2</v>
      </c>
      <c r="AK30" s="69">
        <f>COUNTIFS('APS Tubes IMPORT'!V$2:V783, AG30, 'APS Tubes IMPORT'!H$2:H783, "Positive")
</f>
        <v>0</v>
      </c>
      <c r="AL30" s="69">
        <f>COUNTIFS('APS Tubes IMPORT'!V$2:V783, AG30, 'APS Tubes IMPORT'!H$2:H783, "Inconclusive")
</f>
        <v>0</v>
      </c>
      <c r="AM30" s="69">
        <f>COUNTIFS('APS Tubes IMPORT'!V$2:V783, AG30, 'APS Tubes IMPORT'!H$2:H783, "Null")
</f>
        <v>0</v>
      </c>
      <c r="AN30" s="54"/>
      <c r="AO30" s="14">
        <f>'APS Tubes by Date IMPORT'!B29</f>
        <v>44243</v>
      </c>
      <c r="AP30" s="16">
        <f>'APS Tubes by Date IMPORT'!C29</f>
        <v>2</v>
      </c>
      <c r="AQ30" s="16">
        <f>'APS Tubes by Date IMPORT'!D29</f>
        <v>2</v>
      </c>
      <c r="AR30" s="16">
        <f>'APS Tubes by Date IMPORT'!E29</f>
        <v>0</v>
      </c>
      <c r="AS30" s="16">
        <f>'APS Tubes by Date IMPORT'!F29</f>
        <v>0</v>
      </c>
      <c r="AT30" s="16">
        <f>'APS Tubes by Date IMPORT'!G29</f>
        <v>0</v>
      </c>
      <c r="AU30" s="54"/>
    </row>
    <row r="31">
      <c r="A31" s="8" t="s">
        <v>61</v>
      </c>
      <c r="B31" s="58">
        <f>VLOOKUP(A31,'Run Reconcile'!A$2:B783,2,FALSE)</f>
        <v>44248</v>
      </c>
      <c r="C31" s="59">
        <f>COUNTIF('ALL Tube Results'!B30:B783, A31)
</f>
        <v>2</v>
      </c>
      <c r="D31" s="60">
        <f>COUNTIFS('ALL Tube Results'!$B30:$B783, $A31, 'ALL Tube Results'!$F30:$F783, "Negative")
</f>
        <v>2</v>
      </c>
      <c r="E31" s="60">
        <f>COUNTIFS('ALL Tube Results'!$B30:$B783, $A31, 'ALL Tube Results'!$F30:$F783, "Positive")
</f>
        <v>0</v>
      </c>
      <c r="F31" s="60">
        <f>COUNTIFS('ALL Tube Results'!$B30:$B783, $A31, 'ALL Tube Results'!$F30:$F783, "Inconclusive")
</f>
        <v>0</v>
      </c>
      <c r="G31" s="61">
        <f t="shared" si="7"/>
        <v>2</v>
      </c>
      <c r="H31" s="61" t="str">
        <f t="shared" si="8"/>
        <v/>
      </c>
      <c r="I31" s="62" t="str">
        <f t="shared" si="9"/>
        <v/>
      </c>
      <c r="J31" s="63" t="str">
        <f t="shared" si="10"/>
        <v/>
      </c>
      <c r="K31" s="63" t="str">
        <f t="shared" si="11"/>
        <v/>
      </c>
      <c r="L31" s="63">
        <f t="shared" si="12"/>
        <v>2</v>
      </c>
      <c r="M31" s="63" t="str">
        <f t="shared" si="13"/>
        <v/>
      </c>
      <c r="N31" s="63" t="str">
        <f t="shared" si="14"/>
        <v/>
      </c>
      <c r="O31" s="64">
        <f t="shared" si="15"/>
        <v>2</v>
      </c>
      <c r="P31" s="64" t="str">
        <f t="shared" si="16"/>
        <v/>
      </c>
      <c r="Q31" s="54"/>
      <c r="R31" s="8" t="s">
        <v>61</v>
      </c>
      <c r="S31" s="14">
        <v>44248.0</v>
      </c>
      <c r="T31" s="16">
        <f>VLOOKUP(R31,'Run Reconcile'!$A$2:$L783,12,FALSE)</f>
        <v>2</v>
      </c>
      <c r="U31" s="16" t="str">
        <f t="shared" si="17"/>
        <v/>
      </c>
      <c r="V31" s="16" t="str">
        <f t="shared" si="18"/>
        <v/>
      </c>
      <c r="W31" s="16"/>
      <c r="X31" s="54"/>
      <c r="Y31" s="8" t="str">
        <f>IFERROR(__xludf.DUMMYFUNCTION("""COMPUTED_VALUE"""),"RUN-FLMP_2021-12-26_RFR-035")</f>
        <v>RUN-FLMP_2021-12-26_RFR-035</v>
      </c>
      <c r="Z31" s="14">
        <f>IFERROR(__xludf.DUMMYFUNCTION("""COMPUTED_VALUE"""),44556.0)</f>
        <v>44556</v>
      </c>
      <c r="AA31" s="62">
        <f t="array" ref="AA31">INDEX('RFR Data - preExcl'!AK$2:AK783,$AE31,1)</f>
        <v>1</v>
      </c>
      <c r="AB31" s="16">
        <f t="shared" si="19"/>
        <v>0</v>
      </c>
      <c r="AC31" s="16">
        <f t="array" ref="AC31">INDEX('RFR Data - preExcl'!AI$2:AI783,$AE31,1)</f>
        <v>1</v>
      </c>
      <c r="AD31" s="16">
        <f t="array" ref="AD31">INDEX('RFR Data - preExcl'!AF$2:AF783,$AE31,1)</f>
        <v>0</v>
      </c>
      <c r="AE31" s="66">
        <f>IFNA(MATCH(Y31,'RFR Data - preExcl'!A$2:A783,0),"")</f>
        <v>33</v>
      </c>
      <c r="AF31" s="54"/>
      <c r="AG31" s="70" t="s">
        <v>61</v>
      </c>
      <c r="AH31" s="68">
        <f>VLOOKUP(AG31,'Run Reconcile'!A$2:B783,2,FALSE)</f>
        <v>44248</v>
      </c>
      <c r="AI31" s="69">
        <f>COUNTIF('APS Tubes IMPORT'!$V$2:$V783, AG31)
</f>
        <v>2</v>
      </c>
      <c r="AJ31" s="69">
        <f>COUNTIFS('APS Tubes IMPORT'!V$2:V783, AG31, 'APS Tubes IMPORT'!H$2:H783, "Negative")
</f>
        <v>2</v>
      </c>
      <c r="AK31" s="69">
        <f>COUNTIFS('APS Tubes IMPORT'!V$2:V783, AG31, 'APS Tubes IMPORT'!H$2:H783, "Positive")
</f>
        <v>0</v>
      </c>
      <c r="AL31" s="69">
        <f>COUNTIFS('APS Tubes IMPORT'!V$2:V783, AG31, 'APS Tubes IMPORT'!H$2:H783, "Inconclusive")
</f>
        <v>0</v>
      </c>
      <c r="AM31" s="69">
        <f>COUNTIFS('APS Tubes IMPORT'!V$2:V783, AG31, 'APS Tubes IMPORT'!H$2:H783, "Null")
</f>
        <v>0</v>
      </c>
      <c r="AN31" s="54"/>
      <c r="AO31" s="14">
        <f>'APS Tubes by Date IMPORT'!B30</f>
        <v>44248</v>
      </c>
      <c r="AP31" s="16">
        <f>'APS Tubes by Date IMPORT'!C30</f>
        <v>2</v>
      </c>
      <c r="AQ31" s="16">
        <f>'APS Tubes by Date IMPORT'!D30</f>
        <v>2</v>
      </c>
      <c r="AR31" s="16">
        <f>'APS Tubes by Date IMPORT'!E30</f>
        <v>0</v>
      </c>
      <c r="AS31" s="16">
        <f>'APS Tubes by Date IMPORT'!F30</f>
        <v>0</v>
      </c>
      <c r="AT31" s="16">
        <f>'APS Tubes by Date IMPORT'!G30</f>
        <v>0</v>
      </c>
      <c r="AU31" s="54"/>
    </row>
    <row r="32">
      <c r="A32" s="8" t="s">
        <v>62</v>
      </c>
      <c r="B32" s="58">
        <f>VLOOKUP(A32,'Run Reconcile'!A$2:B783,2,FALSE)</f>
        <v>44249</v>
      </c>
      <c r="C32" s="59">
        <f>COUNTIF('ALL Tube Results'!B31:B783, A32)
</f>
        <v>3</v>
      </c>
      <c r="D32" s="60">
        <f>COUNTIFS('ALL Tube Results'!$B31:$B783, $A32, 'ALL Tube Results'!$F31:$F783, "Negative")
</f>
        <v>3</v>
      </c>
      <c r="E32" s="60">
        <f>COUNTIFS('ALL Tube Results'!$B31:$B783, $A32, 'ALL Tube Results'!$F31:$F783, "Positive")
</f>
        <v>0</v>
      </c>
      <c r="F32" s="60">
        <f>COUNTIFS('ALL Tube Results'!$B31:$B783, $A32, 'ALL Tube Results'!$F31:$F783, "Inconclusive")
</f>
        <v>0</v>
      </c>
      <c r="G32" s="61">
        <f t="shared" si="7"/>
        <v>3</v>
      </c>
      <c r="H32" s="61" t="str">
        <f t="shared" si="8"/>
        <v/>
      </c>
      <c r="I32" s="62" t="str">
        <f t="shared" si="9"/>
        <v/>
      </c>
      <c r="J32" s="63" t="str">
        <f t="shared" si="10"/>
        <v/>
      </c>
      <c r="K32" s="63" t="str">
        <f t="shared" si="11"/>
        <v/>
      </c>
      <c r="L32" s="63">
        <f t="shared" si="12"/>
        <v>3</v>
      </c>
      <c r="M32" s="63" t="str">
        <f t="shared" si="13"/>
        <v/>
      </c>
      <c r="N32" s="63" t="str">
        <f t="shared" si="14"/>
        <v/>
      </c>
      <c r="O32" s="64">
        <f t="shared" si="15"/>
        <v>3</v>
      </c>
      <c r="P32" s="64" t="str">
        <f t="shared" si="16"/>
        <v/>
      </c>
      <c r="Q32" s="54"/>
      <c r="R32" s="8" t="s">
        <v>62</v>
      </c>
      <c r="S32" s="14">
        <v>44249.0</v>
      </c>
      <c r="T32" s="16">
        <f>VLOOKUP(R32,'Run Reconcile'!$A$2:$L783,12,FALSE)</f>
        <v>3</v>
      </c>
      <c r="U32" s="16" t="str">
        <f t="shared" si="17"/>
        <v/>
      </c>
      <c r="V32" s="16" t="str">
        <f t="shared" si="18"/>
        <v/>
      </c>
      <c r="W32" s="16"/>
      <c r="X32" s="54"/>
      <c r="Y32" s="8" t="str">
        <f>IFERROR(__xludf.DUMMYFUNCTION("""COMPUTED_VALUE"""),"RUN-FLMP_2021-12-27_RFR-036")</f>
        <v>RUN-FLMP_2021-12-27_RFR-036</v>
      </c>
      <c r="Z32" s="14">
        <f>IFERROR(__xludf.DUMMYFUNCTION("""COMPUTED_VALUE"""),44557.0)</f>
        <v>44557</v>
      </c>
      <c r="AA32" s="62">
        <f t="array" ref="AA32">INDEX('RFR Data - preExcl'!AK$2:AK783,$AE32,1)</f>
        <v>3</v>
      </c>
      <c r="AB32" s="16">
        <f t="shared" si="19"/>
        <v>3</v>
      </c>
      <c r="AC32" s="16">
        <f t="array" ref="AC32">INDEX('RFR Data - preExcl'!AI$2:AI783,$AE32,1)</f>
        <v>0</v>
      </c>
      <c r="AD32" s="16">
        <f t="array" ref="AD32">INDEX('RFR Data - preExcl'!AF$2:AF783,$AE32,1)</f>
        <v>0</v>
      </c>
      <c r="AE32" s="66">
        <f>IFNA(MATCH(Y32,'RFR Data - preExcl'!A$2:A783,0),"")</f>
        <v>34</v>
      </c>
      <c r="AF32" s="54"/>
      <c r="AG32" s="70" t="s">
        <v>62</v>
      </c>
      <c r="AH32" s="68">
        <f>VLOOKUP(AG32,'Run Reconcile'!A$2:B783,2,FALSE)</f>
        <v>44249</v>
      </c>
      <c r="AI32" s="69">
        <f>COUNTIF('APS Tubes IMPORT'!$V$2:$V783, AG32)
</f>
        <v>3</v>
      </c>
      <c r="AJ32" s="69">
        <f>COUNTIFS('APS Tubes IMPORT'!V$2:V783, AG32, 'APS Tubes IMPORT'!H$2:H783, "Negative")
</f>
        <v>3</v>
      </c>
      <c r="AK32" s="69">
        <f>COUNTIFS('APS Tubes IMPORT'!V$2:V783, AG32, 'APS Tubes IMPORT'!H$2:H783, "Positive")
</f>
        <v>0</v>
      </c>
      <c r="AL32" s="69">
        <f>COUNTIFS('APS Tubes IMPORT'!V$2:V783, AG32, 'APS Tubes IMPORT'!H$2:H783, "Inconclusive")
</f>
        <v>0</v>
      </c>
      <c r="AM32" s="69">
        <f>COUNTIFS('APS Tubes IMPORT'!V$2:V783, AG32, 'APS Tubes IMPORT'!H$2:H783, "Null")
</f>
        <v>0</v>
      </c>
      <c r="AN32" s="54"/>
      <c r="AO32" s="14">
        <f>'APS Tubes by Date IMPORT'!B31</f>
        <v>44249</v>
      </c>
      <c r="AP32" s="16">
        <f>'APS Tubes by Date IMPORT'!C31</f>
        <v>3</v>
      </c>
      <c r="AQ32" s="16">
        <f>'APS Tubes by Date IMPORT'!D31</f>
        <v>3</v>
      </c>
      <c r="AR32" s="16">
        <f>'APS Tubes by Date IMPORT'!E31</f>
        <v>0</v>
      </c>
      <c r="AS32" s="16">
        <f>'APS Tubes by Date IMPORT'!F31</f>
        <v>0</v>
      </c>
      <c r="AT32" s="16">
        <f>'APS Tubes by Date IMPORT'!G31</f>
        <v>0</v>
      </c>
      <c r="AU32" s="54"/>
    </row>
    <row r="33">
      <c r="A33" s="8" t="s">
        <v>63</v>
      </c>
      <c r="B33" s="58">
        <f>VLOOKUP(A33,'Run Reconcile'!A$2:B783,2,FALSE)</f>
        <v>44250</v>
      </c>
      <c r="C33" s="59">
        <f>COUNTIF('ALL Tube Results'!B32:B783, A33)
</f>
        <v>2</v>
      </c>
      <c r="D33" s="60">
        <f>COUNTIFS('ALL Tube Results'!$B32:$B783, $A33, 'ALL Tube Results'!$F32:$F783, "Negative")
</f>
        <v>2</v>
      </c>
      <c r="E33" s="60">
        <f>COUNTIFS('ALL Tube Results'!$B32:$B783, $A33, 'ALL Tube Results'!$F32:$F783, "Positive")
</f>
        <v>0</v>
      </c>
      <c r="F33" s="60">
        <f>COUNTIFS('ALL Tube Results'!$B32:$B783, $A33, 'ALL Tube Results'!$F32:$F783, "Inconclusive")
</f>
        <v>0</v>
      </c>
      <c r="G33" s="61">
        <f t="shared" si="7"/>
        <v>2</v>
      </c>
      <c r="H33" s="61" t="str">
        <f t="shared" si="8"/>
        <v/>
      </c>
      <c r="I33" s="62" t="str">
        <f t="shared" si="9"/>
        <v/>
      </c>
      <c r="J33" s="63" t="str">
        <f t="shared" si="10"/>
        <v/>
      </c>
      <c r="K33" s="63" t="str">
        <f t="shared" si="11"/>
        <v/>
      </c>
      <c r="L33" s="63">
        <f t="shared" si="12"/>
        <v>2</v>
      </c>
      <c r="M33" s="63" t="str">
        <f t="shared" si="13"/>
        <v/>
      </c>
      <c r="N33" s="63" t="str">
        <f t="shared" si="14"/>
        <v/>
      </c>
      <c r="O33" s="64">
        <f t="shared" si="15"/>
        <v>2</v>
      </c>
      <c r="P33" s="64" t="str">
        <f t="shared" si="16"/>
        <v/>
      </c>
      <c r="Q33" s="54"/>
      <c r="R33" s="8" t="s">
        <v>63</v>
      </c>
      <c r="S33" s="14">
        <v>44250.0</v>
      </c>
      <c r="T33" s="16">
        <f>VLOOKUP(R33,'Run Reconcile'!$A$2:$L783,12,FALSE)</f>
        <v>2</v>
      </c>
      <c r="U33" s="16" t="str">
        <f t="shared" si="17"/>
        <v/>
      </c>
      <c r="V33" s="16" t="str">
        <f t="shared" si="18"/>
        <v/>
      </c>
      <c r="W33" s="16"/>
      <c r="X33" s="54"/>
      <c r="Y33" s="8" t="str">
        <f>IFERROR(__xludf.DUMMYFUNCTION("""COMPUTED_VALUE"""),"RUN-FLMP_2021-12-27_RFR-037")</f>
        <v>RUN-FLMP_2021-12-27_RFR-037</v>
      </c>
      <c r="Z33" s="14">
        <f>IFERROR(__xludf.DUMMYFUNCTION("""COMPUTED_VALUE"""),44557.0)</f>
        <v>44557</v>
      </c>
      <c r="AA33" s="62">
        <f t="array" ref="AA33">INDEX('RFR Data - preExcl'!AK$2:AK783,$AE33,1)</f>
        <v>2</v>
      </c>
      <c r="AB33" s="16">
        <f t="shared" si="19"/>
        <v>2</v>
      </c>
      <c r="AC33" s="16">
        <f t="array" ref="AC33">INDEX('RFR Data - preExcl'!AI$2:AI783,$AE33,1)</f>
        <v>0</v>
      </c>
      <c r="AD33" s="16">
        <f t="array" ref="AD33">INDEX('RFR Data - preExcl'!AF$2:AF783,$AE33,1)</f>
        <v>0</v>
      </c>
      <c r="AE33" s="66">
        <f>IFNA(MATCH(Y33,'RFR Data - preExcl'!A$2:A783,0),"")</f>
        <v>35</v>
      </c>
      <c r="AF33" s="54"/>
      <c r="AG33" s="70" t="s">
        <v>63</v>
      </c>
      <c r="AH33" s="68">
        <f>VLOOKUP(AG33,'Run Reconcile'!A$2:B783,2,FALSE)</f>
        <v>44250</v>
      </c>
      <c r="AI33" s="69">
        <f>COUNTIF('APS Tubes IMPORT'!$V$2:$V783, AG33)
</f>
        <v>2</v>
      </c>
      <c r="AJ33" s="69">
        <f>COUNTIFS('APS Tubes IMPORT'!V$2:V783, AG33, 'APS Tubes IMPORT'!H$2:H783, "Negative")
</f>
        <v>2</v>
      </c>
      <c r="AK33" s="69">
        <f>COUNTIFS('APS Tubes IMPORT'!V$2:V783, AG33, 'APS Tubes IMPORT'!H$2:H783, "Positive")
</f>
        <v>0</v>
      </c>
      <c r="AL33" s="69">
        <f>COUNTIFS('APS Tubes IMPORT'!V$2:V783, AG33, 'APS Tubes IMPORT'!H$2:H783, "Inconclusive")
</f>
        <v>0</v>
      </c>
      <c r="AM33" s="69">
        <f>COUNTIFS('APS Tubes IMPORT'!V$2:V783, AG33, 'APS Tubes IMPORT'!H$2:H783, "Null")
</f>
        <v>0</v>
      </c>
      <c r="AN33" s="54"/>
      <c r="AO33" s="14">
        <f>'APS Tubes by Date IMPORT'!B32</f>
        <v>44250</v>
      </c>
      <c r="AP33" s="16">
        <f>'APS Tubes by Date IMPORT'!C32</f>
        <v>2</v>
      </c>
      <c r="AQ33" s="16">
        <f>'APS Tubes by Date IMPORT'!D32</f>
        <v>2</v>
      </c>
      <c r="AR33" s="16">
        <f>'APS Tubes by Date IMPORT'!E32</f>
        <v>0</v>
      </c>
      <c r="AS33" s="16">
        <f>'APS Tubes by Date IMPORT'!F32</f>
        <v>0</v>
      </c>
      <c r="AT33" s="16">
        <f>'APS Tubes by Date IMPORT'!G32</f>
        <v>0</v>
      </c>
      <c r="AU33" s="54"/>
    </row>
    <row r="34">
      <c r="A34" s="8" t="s">
        <v>64</v>
      </c>
      <c r="B34" s="58">
        <f>VLOOKUP(A34,'Run Reconcile'!A$2:B783,2,FALSE)</f>
        <v>44251</v>
      </c>
      <c r="C34" s="59">
        <f>COUNTIF('ALL Tube Results'!B33:B783, A34)
</f>
        <v>4</v>
      </c>
      <c r="D34" s="60">
        <f>COUNTIFS('ALL Tube Results'!$B33:$B783, $A34, 'ALL Tube Results'!$F33:$F783, "Negative")
</f>
        <v>4</v>
      </c>
      <c r="E34" s="60">
        <f>COUNTIFS('ALL Tube Results'!$B33:$B783, $A34, 'ALL Tube Results'!$F33:$F783, "Positive")
</f>
        <v>0</v>
      </c>
      <c r="F34" s="60">
        <f>COUNTIFS('ALL Tube Results'!$B33:$B783, $A34, 'ALL Tube Results'!$F33:$F783, "Inconclusive")
</f>
        <v>0</v>
      </c>
      <c r="G34" s="61">
        <f t="shared" si="7"/>
        <v>4</v>
      </c>
      <c r="H34" s="61" t="str">
        <f t="shared" si="8"/>
        <v/>
      </c>
      <c r="I34" s="62" t="str">
        <f t="shared" si="9"/>
        <v/>
      </c>
      <c r="J34" s="63" t="str">
        <f t="shared" si="10"/>
        <v/>
      </c>
      <c r="K34" s="63" t="str">
        <f t="shared" si="11"/>
        <v/>
      </c>
      <c r="L34" s="63">
        <f t="shared" si="12"/>
        <v>4</v>
      </c>
      <c r="M34" s="63" t="str">
        <f t="shared" si="13"/>
        <v/>
      </c>
      <c r="N34" s="63" t="str">
        <f t="shared" si="14"/>
        <v/>
      </c>
      <c r="O34" s="64">
        <f t="shared" si="15"/>
        <v>4</v>
      </c>
      <c r="P34" s="64" t="str">
        <f t="shared" si="16"/>
        <v/>
      </c>
      <c r="Q34" s="54"/>
      <c r="R34" s="8" t="s">
        <v>64</v>
      </c>
      <c r="S34" s="14">
        <v>44251.0</v>
      </c>
      <c r="T34" s="16">
        <f>VLOOKUP(R34,'Run Reconcile'!$A$2:$L783,12,FALSE)</f>
        <v>4</v>
      </c>
      <c r="U34" s="16" t="str">
        <f t="shared" si="17"/>
        <v/>
      </c>
      <c r="V34" s="16" t="str">
        <f t="shared" si="18"/>
        <v/>
      </c>
      <c r="W34" s="16"/>
      <c r="X34" s="54"/>
      <c r="Y34" s="8" t="str">
        <f>IFERROR(__xludf.DUMMYFUNCTION("""COMPUTED_VALUE"""),"RUN-FLMP_2021-12-28_RFR-038")</f>
        <v>RUN-FLMP_2021-12-28_RFR-038</v>
      </c>
      <c r="Z34" s="14">
        <f>IFERROR(__xludf.DUMMYFUNCTION("""COMPUTED_VALUE"""),44558.0)</f>
        <v>44558</v>
      </c>
      <c r="AA34" s="62">
        <f t="array" ref="AA34">INDEX('RFR Data - preExcl'!AK$2:AK783,$AE34,1)</f>
        <v>1</v>
      </c>
      <c r="AB34" s="16">
        <f t="shared" si="19"/>
        <v>1</v>
      </c>
      <c r="AC34" s="16">
        <f t="array" ref="AC34">INDEX('RFR Data - preExcl'!AI$2:AI783,$AE34,1)</f>
        <v>0</v>
      </c>
      <c r="AD34" s="16">
        <f t="array" ref="AD34">INDEX('RFR Data - preExcl'!AF$2:AF783,$AE34,1)</f>
        <v>0</v>
      </c>
      <c r="AE34" s="66">
        <f>IFNA(MATCH(Y34,'RFR Data - preExcl'!A$2:A783,0),"")</f>
        <v>36</v>
      </c>
      <c r="AF34" s="54"/>
      <c r="AG34" s="70" t="s">
        <v>64</v>
      </c>
      <c r="AH34" s="68">
        <f>VLOOKUP(AG34,'Run Reconcile'!A$2:B783,2,FALSE)</f>
        <v>44251</v>
      </c>
      <c r="AI34" s="69">
        <f>COUNTIF('APS Tubes IMPORT'!$V$2:$V783, AG34)
</f>
        <v>4</v>
      </c>
      <c r="AJ34" s="69">
        <f>COUNTIFS('APS Tubes IMPORT'!V$2:V783, AG34, 'APS Tubes IMPORT'!H$2:H783, "Negative")
</f>
        <v>4</v>
      </c>
      <c r="AK34" s="69">
        <f>COUNTIFS('APS Tubes IMPORT'!V$2:V783, AG34, 'APS Tubes IMPORT'!H$2:H783, "Positive")
</f>
        <v>0</v>
      </c>
      <c r="AL34" s="69">
        <f>COUNTIFS('APS Tubes IMPORT'!V$2:V783, AG34, 'APS Tubes IMPORT'!H$2:H783, "Inconclusive")
</f>
        <v>0</v>
      </c>
      <c r="AM34" s="69">
        <f>COUNTIFS('APS Tubes IMPORT'!V$2:V783, AG34, 'APS Tubes IMPORT'!H$2:H783, "Null")
</f>
        <v>0</v>
      </c>
      <c r="AN34" s="54"/>
      <c r="AO34" s="14">
        <f>'APS Tubes by Date IMPORT'!B33</f>
        <v>44251</v>
      </c>
      <c r="AP34" s="16">
        <f>'APS Tubes by Date IMPORT'!C33</f>
        <v>4</v>
      </c>
      <c r="AQ34" s="16">
        <f>'APS Tubes by Date IMPORT'!D33</f>
        <v>4</v>
      </c>
      <c r="AR34" s="16">
        <f>'APS Tubes by Date IMPORT'!E33</f>
        <v>0</v>
      </c>
      <c r="AS34" s="16">
        <f>'APS Tubes by Date IMPORT'!F33</f>
        <v>0</v>
      </c>
      <c r="AT34" s="16">
        <f>'APS Tubes by Date IMPORT'!G33</f>
        <v>0</v>
      </c>
      <c r="AU34" s="54"/>
    </row>
    <row r="35">
      <c r="A35" s="8" t="s">
        <v>65</v>
      </c>
      <c r="B35" s="58">
        <f>VLOOKUP(A35,'Run Reconcile'!A$2:B783,2,FALSE)</f>
        <v>44257</v>
      </c>
      <c r="C35" s="59">
        <f>COUNTIF('ALL Tube Results'!B34:B783, A35)
</f>
        <v>2</v>
      </c>
      <c r="D35" s="60">
        <f>COUNTIFS('ALL Tube Results'!$B34:$B783, $A35, 'ALL Tube Results'!$F34:$F783, "Negative")
</f>
        <v>2</v>
      </c>
      <c r="E35" s="60">
        <f>COUNTIFS('ALL Tube Results'!$B34:$B783, $A35, 'ALL Tube Results'!$F34:$F783, "Positive")
</f>
        <v>0</v>
      </c>
      <c r="F35" s="60">
        <f>COUNTIFS('ALL Tube Results'!$B34:$B783, $A35, 'ALL Tube Results'!$F34:$F783, "Inconclusive")
</f>
        <v>0</v>
      </c>
      <c r="G35" s="61">
        <f t="shared" si="7"/>
        <v>2</v>
      </c>
      <c r="H35" s="61" t="str">
        <f t="shared" si="8"/>
        <v/>
      </c>
      <c r="I35" s="62" t="str">
        <f t="shared" si="9"/>
        <v/>
      </c>
      <c r="J35" s="63" t="str">
        <f t="shared" si="10"/>
        <v/>
      </c>
      <c r="K35" s="63" t="str">
        <f t="shared" si="11"/>
        <v/>
      </c>
      <c r="L35" s="63">
        <f t="shared" si="12"/>
        <v>2</v>
      </c>
      <c r="M35" s="63" t="str">
        <f t="shared" si="13"/>
        <v/>
      </c>
      <c r="N35" s="63" t="str">
        <f t="shared" si="14"/>
        <v/>
      </c>
      <c r="O35" s="64">
        <f t="shared" si="15"/>
        <v>2</v>
      </c>
      <c r="P35" s="64" t="str">
        <f t="shared" si="16"/>
        <v/>
      </c>
      <c r="Q35" s="54"/>
      <c r="R35" s="8" t="s">
        <v>65</v>
      </c>
      <c r="S35" s="14">
        <v>44257.0</v>
      </c>
      <c r="T35" s="16">
        <f>VLOOKUP(R35,'Run Reconcile'!$A$2:$L783,12,FALSE)</f>
        <v>2</v>
      </c>
      <c r="U35" s="16" t="str">
        <f t="shared" si="17"/>
        <v/>
      </c>
      <c r="V35" s="16" t="str">
        <f t="shared" si="18"/>
        <v/>
      </c>
      <c r="W35" s="16"/>
      <c r="X35" s="54"/>
      <c r="Y35" s="8" t="str">
        <f>IFERROR(__xludf.DUMMYFUNCTION("""COMPUTED_VALUE"""),"RUN-FLMP_2021-12-29_RFR-039")</f>
        <v>RUN-FLMP_2021-12-29_RFR-039</v>
      </c>
      <c r="Z35" s="14">
        <f>IFERROR(__xludf.DUMMYFUNCTION("""COMPUTED_VALUE"""),44559.0)</f>
        <v>44559</v>
      </c>
      <c r="AA35" s="62">
        <f t="array" ref="AA35">INDEX('RFR Data - preExcl'!AK$2:AK783,$AE35,1)</f>
        <v>4</v>
      </c>
      <c r="AB35" s="16">
        <f t="shared" si="19"/>
        <v>4</v>
      </c>
      <c r="AC35" s="16">
        <f t="array" ref="AC35">INDEX('RFR Data - preExcl'!AI$2:AI783,$AE35,1)</f>
        <v>0</v>
      </c>
      <c r="AD35" s="16">
        <f t="array" ref="AD35">INDEX('RFR Data - preExcl'!AF$2:AF783,$AE35,1)</f>
        <v>0</v>
      </c>
      <c r="AE35" s="66">
        <f>IFNA(MATCH(Y35,'RFR Data - preExcl'!A$2:A783,0),"")</f>
        <v>37</v>
      </c>
      <c r="AF35" s="54"/>
      <c r="AG35" s="70" t="s">
        <v>65</v>
      </c>
      <c r="AH35" s="68">
        <f>VLOOKUP(AG35,'Run Reconcile'!A$2:B783,2,FALSE)</f>
        <v>44257</v>
      </c>
      <c r="AI35" s="69">
        <f>COUNTIF('APS Tubes IMPORT'!$V$2:$V783, AG35)
</f>
        <v>2</v>
      </c>
      <c r="AJ35" s="69">
        <f>COUNTIFS('APS Tubes IMPORT'!V$2:V783, AG35, 'APS Tubes IMPORT'!H$2:H783, "Negative")
</f>
        <v>2</v>
      </c>
      <c r="AK35" s="69">
        <f>COUNTIFS('APS Tubes IMPORT'!V$2:V783, AG35, 'APS Tubes IMPORT'!H$2:H783, "Positive")
</f>
        <v>0</v>
      </c>
      <c r="AL35" s="69">
        <f>COUNTIFS('APS Tubes IMPORT'!V$2:V783, AG35, 'APS Tubes IMPORT'!H$2:H783, "Inconclusive")
</f>
        <v>0</v>
      </c>
      <c r="AM35" s="69">
        <f>COUNTIFS('APS Tubes IMPORT'!V$2:V783, AG35, 'APS Tubes IMPORT'!H$2:H783, "Null")
</f>
        <v>0</v>
      </c>
      <c r="AN35" s="54"/>
      <c r="AO35" s="14">
        <f>'APS Tubes by Date IMPORT'!B34</f>
        <v>44257</v>
      </c>
      <c r="AP35" s="16">
        <f>'APS Tubes by Date IMPORT'!C34</f>
        <v>2</v>
      </c>
      <c r="AQ35" s="16">
        <f>'APS Tubes by Date IMPORT'!D34</f>
        <v>2</v>
      </c>
      <c r="AR35" s="16">
        <f>'APS Tubes by Date IMPORT'!E34</f>
        <v>0</v>
      </c>
      <c r="AS35" s="16">
        <f>'APS Tubes by Date IMPORT'!F34</f>
        <v>0</v>
      </c>
      <c r="AT35" s="16">
        <f>'APS Tubes by Date IMPORT'!G34</f>
        <v>0</v>
      </c>
      <c r="AU35" s="54"/>
    </row>
    <row r="36">
      <c r="A36" s="8" t="s">
        <v>66</v>
      </c>
      <c r="B36" s="58">
        <f>VLOOKUP(A36,'Run Reconcile'!A$2:B783,2,FALSE)</f>
        <v>44258</v>
      </c>
      <c r="C36" s="59">
        <f>COUNTIF('ALL Tube Results'!B35:B783, A36)
</f>
        <v>4</v>
      </c>
      <c r="D36" s="60">
        <f>COUNTIFS('ALL Tube Results'!$B35:$B783, $A36, 'ALL Tube Results'!$F35:$F783, "Negative")
</f>
        <v>4</v>
      </c>
      <c r="E36" s="60">
        <f>COUNTIFS('ALL Tube Results'!$B35:$B783, $A36, 'ALL Tube Results'!$F35:$F783, "Positive")
</f>
        <v>0</v>
      </c>
      <c r="F36" s="60">
        <f>COUNTIFS('ALL Tube Results'!$B35:$B783, $A36, 'ALL Tube Results'!$F35:$F783, "Inconclusive")
</f>
        <v>0</v>
      </c>
      <c r="G36" s="61">
        <f t="shared" si="7"/>
        <v>4</v>
      </c>
      <c r="H36" s="61" t="str">
        <f t="shared" si="8"/>
        <v/>
      </c>
      <c r="I36" s="62" t="str">
        <f t="shared" si="9"/>
        <v/>
      </c>
      <c r="J36" s="63" t="str">
        <f t="shared" si="10"/>
        <v/>
      </c>
      <c r="K36" s="63" t="str">
        <f t="shared" si="11"/>
        <v/>
      </c>
      <c r="L36" s="63">
        <f t="shared" si="12"/>
        <v>4</v>
      </c>
      <c r="M36" s="63" t="str">
        <f t="shared" si="13"/>
        <v/>
      </c>
      <c r="N36" s="63" t="str">
        <f t="shared" si="14"/>
        <v/>
      </c>
      <c r="O36" s="64">
        <f t="shared" si="15"/>
        <v>4</v>
      </c>
      <c r="P36" s="64" t="str">
        <f t="shared" si="16"/>
        <v/>
      </c>
      <c r="Q36" s="54"/>
      <c r="R36" s="8" t="s">
        <v>66</v>
      </c>
      <c r="S36" s="14">
        <v>44258.0</v>
      </c>
      <c r="T36" s="16">
        <f>VLOOKUP(R36,'Run Reconcile'!$A$2:$L783,12,FALSE)</f>
        <v>4</v>
      </c>
      <c r="U36" s="16" t="str">
        <f t="shared" si="17"/>
        <v/>
      </c>
      <c r="V36" s="16" t="str">
        <f t="shared" si="18"/>
        <v/>
      </c>
      <c r="W36" s="16"/>
      <c r="X36" s="54"/>
      <c r="Y36" s="8" t="str">
        <f>IFERROR(__xludf.DUMMYFUNCTION("""COMPUTED_VALUE"""),"RUN-FLMP_2021-12-30_RFR-040")</f>
        <v>RUN-FLMP_2021-12-30_RFR-040</v>
      </c>
      <c r="Z36" s="14">
        <f>IFERROR(__xludf.DUMMYFUNCTION("""COMPUTED_VALUE"""),44560.0)</f>
        <v>44560</v>
      </c>
      <c r="AA36" s="62">
        <f t="array" ref="AA36">INDEX('RFR Data - preExcl'!AK$2:AK783,$AE36,1)</f>
        <v>4</v>
      </c>
      <c r="AB36" s="16">
        <f t="shared" si="19"/>
        <v>4</v>
      </c>
      <c r="AC36" s="16">
        <f t="array" ref="AC36">INDEX('RFR Data - preExcl'!AI$2:AI783,$AE36,1)</f>
        <v>0</v>
      </c>
      <c r="AD36" s="16">
        <f t="array" ref="AD36">INDEX('RFR Data - preExcl'!AF$2:AF783,$AE36,1)</f>
        <v>0</v>
      </c>
      <c r="AE36" s="66">
        <f>IFNA(MATCH(Y36,'RFR Data - preExcl'!A$2:A783,0),"")</f>
        <v>38</v>
      </c>
      <c r="AF36" s="54"/>
      <c r="AG36" s="70" t="s">
        <v>66</v>
      </c>
      <c r="AH36" s="68">
        <f>VLOOKUP(AG36,'Run Reconcile'!A$2:B783,2,FALSE)</f>
        <v>44258</v>
      </c>
      <c r="AI36" s="69">
        <f>COUNTIF('APS Tubes IMPORT'!$V$2:$V783, AG36)
</f>
        <v>4</v>
      </c>
      <c r="AJ36" s="69">
        <f>COUNTIFS('APS Tubes IMPORT'!V$2:V783, AG36, 'APS Tubes IMPORT'!H$2:H783, "Negative")
</f>
        <v>4</v>
      </c>
      <c r="AK36" s="69">
        <f>COUNTIFS('APS Tubes IMPORT'!V$2:V783, AG36, 'APS Tubes IMPORT'!H$2:H783, "Positive")
</f>
        <v>0</v>
      </c>
      <c r="AL36" s="69">
        <f>COUNTIFS('APS Tubes IMPORT'!V$2:V783, AG36, 'APS Tubes IMPORT'!H$2:H783, "Inconclusive")
</f>
        <v>0</v>
      </c>
      <c r="AM36" s="69">
        <f>COUNTIFS('APS Tubes IMPORT'!V$2:V783, AG36, 'APS Tubes IMPORT'!H$2:H783, "Null")
</f>
        <v>0</v>
      </c>
      <c r="AN36" s="54"/>
      <c r="AO36" s="14">
        <f>'APS Tubes by Date IMPORT'!B35</f>
        <v>44258</v>
      </c>
      <c r="AP36" s="16">
        <f>'APS Tubes by Date IMPORT'!C35</f>
        <v>4</v>
      </c>
      <c r="AQ36" s="16">
        <f>'APS Tubes by Date IMPORT'!D35</f>
        <v>4</v>
      </c>
      <c r="AR36" s="16">
        <f>'APS Tubes by Date IMPORT'!E35</f>
        <v>0</v>
      </c>
      <c r="AS36" s="16">
        <f>'APS Tubes by Date IMPORT'!F35</f>
        <v>0</v>
      </c>
      <c r="AT36" s="16">
        <f>'APS Tubes by Date IMPORT'!G35</f>
        <v>0</v>
      </c>
      <c r="AU36" s="54"/>
    </row>
    <row r="37">
      <c r="A37" s="8" t="s">
        <v>67</v>
      </c>
      <c r="B37" s="58">
        <f>VLOOKUP(A37,'Run Reconcile'!A$2:B783,2,FALSE)</f>
        <v>44259</v>
      </c>
      <c r="C37" s="59">
        <f>COUNTIF('ALL Tube Results'!B36:B783, A37)
</f>
        <v>1</v>
      </c>
      <c r="D37" s="60">
        <f>COUNTIFS('ALL Tube Results'!$B36:$B783, $A37, 'ALL Tube Results'!$F36:$F783, "Negative")
</f>
        <v>1</v>
      </c>
      <c r="E37" s="60">
        <f>COUNTIFS('ALL Tube Results'!$B36:$B783, $A37, 'ALL Tube Results'!$F36:$F783, "Positive")
</f>
        <v>0</v>
      </c>
      <c r="F37" s="60">
        <f>COUNTIFS('ALL Tube Results'!$B36:$B783, $A37, 'ALL Tube Results'!$F36:$F783, "Inconclusive")
</f>
        <v>0</v>
      </c>
      <c r="G37" s="61">
        <f t="shared" si="7"/>
        <v>1</v>
      </c>
      <c r="H37" s="61" t="str">
        <f t="shared" si="8"/>
        <v/>
      </c>
      <c r="I37" s="62" t="str">
        <f t="shared" si="9"/>
        <v/>
      </c>
      <c r="J37" s="63" t="str">
        <f t="shared" si="10"/>
        <v/>
      </c>
      <c r="K37" s="63" t="str">
        <f t="shared" si="11"/>
        <v/>
      </c>
      <c r="L37" s="63">
        <f t="shared" si="12"/>
        <v>1</v>
      </c>
      <c r="M37" s="63" t="str">
        <f t="shared" si="13"/>
        <v/>
      </c>
      <c r="N37" s="63" t="str">
        <f t="shared" si="14"/>
        <v/>
      </c>
      <c r="O37" s="64">
        <f t="shared" si="15"/>
        <v>1</v>
      </c>
      <c r="P37" s="64" t="str">
        <f t="shared" si="16"/>
        <v/>
      </c>
      <c r="Q37" s="54"/>
      <c r="R37" s="8" t="s">
        <v>67</v>
      </c>
      <c r="S37" s="14">
        <v>44259.0</v>
      </c>
      <c r="T37" s="16">
        <f>VLOOKUP(R37,'Run Reconcile'!$A$2:$L783,12,FALSE)</f>
        <v>1</v>
      </c>
      <c r="U37" s="16" t="str">
        <f t="shared" si="17"/>
        <v/>
      </c>
      <c r="V37" s="16" t="str">
        <f t="shared" si="18"/>
        <v/>
      </c>
      <c r="W37" s="16"/>
      <c r="X37" s="54"/>
      <c r="Y37" s="8" t="str">
        <f>IFERROR(__xludf.DUMMYFUNCTION("""COMPUTED_VALUE"""),"RUN-FLMP_2021-12-31_RFR-042")</f>
        <v>RUN-FLMP_2021-12-31_RFR-042</v>
      </c>
      <c r="Z37" s="14">
        <f>IFERROR(__xludf.DUMMYFUNCTION("""COMPUTED_VALUE"""),44561.0)</f>
        <v>44561</v>
      </c>
      <c r="AA37" s="62">
        <f t="array" ref="AA37">INDEX('RFR Data - preExcl'!AK$2:AK783,$AE37,1)</f>
        <v>7</v>
      </c>
      <c r="AB37" s="16">
        <f t="shared" si="19"/>
        <v>6</v>
      </c>
      <c r="AC37" s="16">
        <f t="array" ref="AC37">INDEX('RFR Data - preExcl'!AI$2:AI783,$AE37,1)</f>
        <v>1</v>
      </c>
      <c r="AD37" s="16">
        <f t="array" ref="AD37">INDEX('RFR Data - preExcl'!AF$2:AF783,$AE37,1)</f>
        <v>0</v>
      </c>
      <c r="AE37" s="66">
        <f>IFNA(MATCH(Y37,'RFR Data - preExcl'!A$2:A783,0),"")</f>
        <v>39</v>
      </c>
      <c r="AF37" s="54"/>
      <c r="AG37" s="70" t="s">
        <v>67</v>
      </c>
      <c r="AH37" s="68">
        <f>VLOOKUP(AG37,'Run Reconcile'!A$2:B783,2,FALSE)</f>
        <v>44259</v>
      </c>
      <c r="AI37" s="69">
        <f>COUNTIF('APS Tubes IMPORT'!$V$2:$V783, AG37)
</f>
        <v>1</v>
      </c>
      <c r="AJ37" s="69">
        <f>COUNTIFS('APS Tubes IMPORT'!V$2:V783, AG37, 'APS Tubes IMPORT'!H$2:H783, "Negative")
</f>
        <v>1</v>
      </c>
      <c r="AK37" s="69">
        <f>COUNTIFS('APS Tubes IMPORT'!V$2:V783, AG37, 'APS Tubes IMPORT'!H$2:H783, "Positive")
</f>
        <v>0</v>
      </c>
      <c r="AL37" s="69">
        <f>COUNTIFS('APS Tubes IMPORT'!V$2:V783, AG37, 'APS Tubes IMPORT'!H$2:H783, "Inconclusive")
</f>
        <v>0</v>
      </c>
      <c r="AM37" s="69">
        <f>COUNTIFS('APS Tubes IMPORT'!V$2:V783, AG37, 'APS Tubes IMPORT'!H$2:H783, "Null")
</f>
        <v>0</v>
      </c>
      <c r="AN37" s="54"/>
      <c r="AO37" s="14">
        <f>'APS Tubes by Date IMPORT'!B36</f>
        <v>44259</v>
      </c>
      <c r="AP37" s="16">
        <f>'APS Tubes by Date IMPORT'!C36</f>
        <v>1</v>
      </c>
      <c r="AQ37" s="16">
        <f>'APS Tubes by Date IMPORT'!D36</f>
        <v>1</v>
      </c>
      <c r="AR37" s="16">
        <f>'APS Tubes by Date IMPORT'!E36</f>
        <v>0</v>
      </c>
      <c r="AS37" s="16">
        <f>'APS Tubes by Date IMPORT'!F36</f>
        <v>0</v>
      </c>
      <c r="AT37" s="16">
        <f>'APS Tubes by Date IMPORT'!G36</f>
        <v>0</v>
      </c>
      <c r="AU37" s="54"/>
    </row>
    <row r="38">
      <c r="A38" s="8" t="s">
        <v>68</v>
      </c>
      <c r="B38" s="58">
        <f>VLOOKUP(A38,'Run Reconcile'!A$2:B783,2,FALSE)</f>
        <v>44260</v>
      </c>
      <c r="C38" s="59">
        <f>COUNTIF('ALL Tube Results'!B37:B783, A38)
</f>
        <v>4</v>
      </c>
      <c r="D38" s="60">
        <f>COUNTIFS('ALL Tube Results'!$B37:$B783, $A38, 'ALL Tube Results'!$F37:$F783, "Negative")
</f>
        <v>4</v>
      </c>
      <c r="E38" s="60">
        <f>COUNTIFS('ALL Tube Results'!$B37:$B783, $A38, 'ALL Tube Results'!$F37:$F783, "Positive")
</f>
        <v>0</v>
      </c>
      <c r="F38" s="60">
        <f>COUNTIFS('ALL Tube Results'!$B37:$B783, $A38, 'ALL Tube Results'!$F37:$F783, "Inconclusive")
</f>
        <v>0</v>
      </c>
      <c r="G38" s="61">
        <f t="shared" si="7"/>
        <v>4</v>
      </c>
      <c r="H38" s="61" t="str">
        <f t="shared" si="8"/>
        <v/>
      </c>
      <c r="I38" s="62" t="str">
        <f t="shared" si="9"/>
        <v/>
      </c>
      <c r="J38" s="63" t="str">
        <f t="shared" si="10"/>
        <v/>
      </c>
      <c r="K38" s="63" t="str">
        <f t="shared" si="11"/>
        <v/>
      </c>
      <c r="L38" s="63">
        <f t="shared" si="12"/>
        <v>4</v>
      </c>
      <c r="M38" s="63" t="str">
        <f t="shared" si="13"/>
        <v/>
      </c>
      <c r="N38" s="63" t="str">
        <f t="shared" si="14"/>
        <v/>
      </c>
      <c r="O38" s="64">
        <f t="shared" si="15"/>
        <v>4</v>
      </c>
      <c r="P38" s="64" t="str">
        <f t="shared" si="16"/>
        <v/>
      </c>
      <c r="Q38" s="54"/>
      <c r="R38" s="8" t="s">
        <v>68</v>
      </c>
      <c r="S38" s="14">
        <v>44260.0</v>
      </c>
      <c r="T38" s="16">
        <f>VLOOKUP(R38,'Run Reconcile'!$A$2:$L783,12,FALSE)</f>
        <v>4</v>
      </c>
      <c r="U38" s="16" t="str">
        <f t="shared" si="17"/>
        <v/>
      </c>
      <c r="V38" s="16" t="str">
        <f t="shared" si="18"/>
        <v/>
      </c>
      <c r="W38" s="16"/>
      <c r="X38" s="54"/>
      <c r="Y38" s="8" t="str">
        <f>IFERROR(__xludf.DUMMYFUNCTION("""COMPUTED_VALUE"""),"RUN-FLMP_2021-12-31_RFR-043")</f>
        <v>RUN-FLMP_2021-12-31_RFR-043</v>
      </c>
      <c r="Z38" s="14">
        <f>IFERROR(__xludf.DUMMYFUNCTION("""COMPUTED_VALUE"""),44561.0)</f>
        <v>44561</v>
      </c>
      <c r="AA38" s="62">
        <f t="array" ref="AA38">INDEX('RFR Data - preExcl'!AK$2:AK783,$AE38,1)</f>
        <v>2</v>
      </c>
      <c r="AB38" s="16">
        <f t="shared" si="19"/>
        <v>1</v>
      </c>
      <c r="AC38" s="16">
        <f t="array" ref="AC38">INDEX('RFR Data - preExcl'!AI$2:AI783,$AE38,1)</f>
        <v>1</v>
      </c>
      <c r="AD38" s="16">
        <f t="array" ref="AD38">INDEX('RFR Data - preExcl'!AF$2:AF783,$AE38,1)</f>
        <v>0</v>
      </c>
      <c r="AE38" s="66">
        <f>IFNA(MATCH(Y38,'RFR Data - preExcl'!A$2:A783,0),"")</f>
        <v>40</v>
      </c>
      <c r="AF38" s="54"/>
      <c r="AG38" s="70" t="s">
        <v>68</v>
      </c>
      <c r="AH38" s="68">
        <f>VLOOKUP(AG38,'Run Reconcile'!A$2:B783,2,FALSE)</f>
        <v>44260</v>
      </c>
      <c r="AI38" s="69">
        <f>COUNTIF('APS Tubes IMPORT'!$V$2:$V783, AG38)
</f>
        <v>4</v>
      </c>
      <c r="AJ38" s="69">
        <f>COUNTIFS('APS Tubes IMPORT'!V$2:V783, AG38, 'APS Tubes IMPORT'!H$2:H783, "Negative")
</f>
        <v>4</v>
      </c>
      <c r="AK38" s="69">
        <f>COUNTIFS('APS Tubes IMPORT'!V$2:V783, AG38, 'APS Tubes IMPORT'!H$2:H783, "Positive")
</f>
        <v>0</v>
      </c>
      <c r="AL38" s="69">
        <f>COUNTIFS('APS Tubes IMPORT'!V$2:V783, AG38, 'APS Tubes IMPORT'!H$2:H783, "Inconclusive")
</f>
        <v>0</v>
      </c>
      <c r="AM38" s="69">
        <f>COUNTIFS('APS Tubes IMPORT'!V$2:V783, AG38, 'APS Tubes IMPORT'!H$2:H783, "Null")
</f>
        <v>0</v>
      </c>
      <c r="AN38" s="54"/>
      <c r="AO38" s="14">
        <f>'APS Tubes by Date IMPORT'!B37</f>
        <v>44260</v>
      </c>
      <c r="AP38" s="16">
        <f>'APS Tubes by Date IMPORT'!C37</f>
        <v>4</v>
      </c>
      <c r="AQ38" s="16">
        <f>'APS Tubes by Date IMPORT'!D37</f>
        <v>4</v>
      </c>
      <c r="AR38" s="16">
        <f>'APS Tubes by Date IMPORT'!E37</f>
        <v>0</v>
      </c>
      <c r="AS38" s="16">
        <f>'APS Tubes by Date IMPORT'!F37</f>
        <v>0</v>
      </c>
      <c r="AT38" s="16">
        <f>'APS Tubes by Date IMPORT'!G37</f>
        <v>0</v>
      </c>
      <c r="AU38" s="54"/>
    </row>
    <row r="39">
      <c r="A39" s="8" t="s">
        <v>69</v>
      </c>
      <c r="B39" s="58">
        <f>VLOOKUP(A39,'Run Reconcile'!A$2:B783,2,FALSE)</f>
        <v>44263</v>
      </c>
      <c r="C39" s="59">
        <f>COUNTIF('ALL Tube Results'!B38:B783, A39)
</f>
        <v>4</v>
      </c>
      <c r="D39" s="60">
        <f>COUNTIFS('ALL Tube Results'!$B38:$B783, $A39, 'ALL Tube Results'!$F38:$F783, "Negative")
</f>
        <v>4</v>
      </c>
      <c r="E39" s="60">
        <f>COUNTIFS('ALL Tube Results'!$B38:$B783, $A39, 'ALL Tube Results'!$F38:$F783, "Positive")
</f>
        <v>0</v>
      </c>
      <c r="F39" s="60">
        <f>COUNTIFS('ALL Tube Results'!$B38:$B783, $A39, 'ALL Tube Results'!$F38:$F783, "Inconclusive")
</f>
        <v>0</v>
      </c>
      <c r="G39" s="61">
        <f t="shared" si="7"/>
        <v>4</v>
      </c>
      <c r="H39" s="61" t="str">
        <f t="shared" si="8"/>
        <v/>
      </c>
      <c r="I39" s="62" t="str">
        <f t="shared" si="9"/>
        <v/>
      </c>
      <c r="J39" s="63" t="str">
        <f t="shared" si="10"/>
        <v/>
      </c>
      <c r="K39" s="63" t="str">
        <f t="shared" si="11"/>
        <v/>
      </c>
      <c r="L39" s="63">
        <f t="shared" si="12"/>
        <v>4</v>
      </c>
      <c r="M39" s="63" t="str">
        <f t="shared" si="13"/>
        <v/>
      </c>
      <c r="N39" s="63" t="str">
        <f t="shared" si="14"/>
        <v/>
      </c>
      <c r="O39" s="64">
        <f t="shared" si="15"/>
        <v>4</v>
      </c>
      <c r="P39" s="64" t="str">
        <f t="shared" si="16"/>
        <v/>
      </c>
      <c r="Q39" s="54"/>
      <c r="R39" s="8" t="s">
        <v>69</v>
      </c>
      <c r="S39" s="14">
        <v>44263.0</v>
      </c>
      <c r="T39" s="16">
        <f>VLOOKUP(R39,'Run Reconcile'!$A$2:$L783,12,FALSE)</f>
        <v>4</v>
      </c>
      <c r="U39" s="16" t="str">
        <f t="shared" si="17"/>
        <v/>
      </c>
      <c r="V39" s="16" t="str">
        <f t="shared" si="18"/>
        <v/>
      </c>
      <c r="W39" s="16"/>
      <c r="X39" s="54"/>
      <c r="Y39" s="8" t="str">
        <f>IFERROR(__xludf.DUMMYFUNCTION("""COMPUTED_VALUE"""),"RUN-FLMP_2022-01-01_RFR-044")</f>
        <v>RUN-FLMP_2022-01-01_RFR-044</v>
      </c>
      <c r="Z39" s="14">
        <f>IFERROR(__xludf.DUMMYFUNCTION("""COMPUTED_VALUE"""),44562.0)</f>
        <v>44562</v>
      </c>
      <c r="AA39" s="62">
        <f t="array" ref="AA39">INDEX('RFR Data - preExcl'!AK$2:AK783,$AE39,1)</f>
        <v>10</v>
      </c>
      <c r="AB39" s="16">
        <f t="shared" si="19"/>
        <v>6</v>
      </c>
      <c r="AC39" s="16">
        <f t="array" ref="AC39">INDEX('RFR Data - preExcl'!AI$2:AI783,$AE39,1)</f>
        <v>4</v>
      </c>
      <c r="AD39" s="16">
        <f t="array" ref="AD39">INDEX('RFR Data - preExcl'!AF$2:AF783,$AE39,1)</f>
        <v>0</v>
      </c>
      <c r="AE39" s="66">
        <f>IFNA(MATCH(Y39,'RFR Data - preExcl'!A$2:A783,0),"")</f>
        <v>41</v>
      </c>
      <c r="AF39" s="54"/>
      <c r="AG39" s="70" t="s">
        <v>69</v>
      </c>
      <c r="AH39" s="68">
        <f>VLOOKUP(AG39,'Run Reconcile'!A$2:B783,2,FALSE)</f>
        <v>44263</v>
      </c>
      <c r="AI39" s="69">
        <f>COUNTIF('APS Tubes IMPORT'!$V$2:$V783, AG39)
</f>
        <v>4</v>
      </c>
      <c r="AJ39" s="69">
        <f>COUNTIFS('APS Tubes IMPORT'!V$2:V783, AG39, 'APS Tubes IMPORT'!H$2:H783, "Negative")
</f>
        <v>4</v>
      </c>
      <c r="AK39" s="69">
        <f>COUNTIFS('APS Tubes IMPORT'!V$2:V783, AG39, 'APS Tubes IMPORT'!H$2:H783, "Positive")
</f>
        <v>0</v>
      </c>
      <c r="AL39" s="69">
        <f>COUNTIFS('APS Tubes IMPORT'!V$2:V783, AG39, 'APS Tubes IMPORT'!H$2:H783, "Inconclusive")
</f>
        <v>0</v>
      </c>
      <c r="AM39" s="69">
        <f>COUNTIFS('APS Tubes IMPORT'!V$2:V783, AG39, 'APS Tubes IMPORT'!H$2:H783, "Null")
</f>
        <v>0</v>
      </c>
      <c r="AN39" s="54"/>
      <c r="AO39" s="14">
        <f>'APS Tubes by Date IMPORT'!B38</f>
        <v>44263</v>
      </c>
      <c r="AP39" s="16">
        <f>'APS Tubes by Date IMPORT'!C38</f>
        <v>4</v>
      </c>
      <c r="AQ39" s="16">
        <f>'APS Tubes by Date IMPORT'!D38</f>
        <v>4</v>
      </c>
      <c r="AR39" s="16">
        <f>'APS Tubes by Date IMPORT'!E38</f>
        <v>0</v>
      </c>
      <c r="AS39" s="16">
        <f>'APS Tubes by Date IMPORT'!F38</f>
        <v>0</v>
      </c>
      <c r="AT39" s="16">
        <f>'APS Tubes by Date IMPORT'!G38</f>
        <v>0</v>
      </c>
      <c r="AU39" s="54"/>
    </row>
    <row r="40">
      <c r="A40" s="8" t="s">
        <v>70</v>
      </c>
      <c r="B40" s="58">
        <f>VLOOKUP(A40,'Run Reconcile'!A$2:B783,2,FALSE)</f>
        <v>44265</v>
      </c>
      <c r="C40" s="59">
        <f>COUNTIF('ALL Tube Results'!B39:B783, A40)
</f>
        <v>2</v>
      </c>
      <c r="D40" s="60">
        <f>COUNTIFS('ALL Tube Results'!$B39:$B783, $A40, 'ALL Tube Results'!$F39:$F783, "Negative")
</f>
        <v>2</v>
      </c>
      <c r="E40" s="60">
        <f>COUNTIFS('ALL Tube Results'!$B39:$B783, $A40, 'ALL Tube Results'!$F39:$F783, "Positive")
</f>
        <v>0</v>
      </c>
      <c r="F40" s="60">
        <f>COUNTIFS('ALL Tube Results'!$B39:$B783, $A40, 'ALL Tube Results'!$F39:$F783, "Inconclusive")
</f>
        <v>0</v>
      </c>
      <c r="G40" s="61">
        <f t="shared" si="7"/>
        <v>2</v>
      </c>
      <c r="H40" s="61" t="str">
        <f t="shared" si="8"/>
        <v/>
      </c>
      <c r="I40" s="62" t="str">
        <f t="shared" si="9"/>
        <v/>
      </c>
      <c r="J40" s="63" t="str">
        <f t="shared" si="10"/>
        <v/>
      </c>
      <c r="K40" s="63" t="str">
        <f t="shared" si="11"/>
        <v/>
      </c>
      <c r="L40" s="63">
        <f t="shared" si="12"/>
        <v>2</v>
      </c>
      <c r="M40" s="63" t="str">
        <f t="shared" si="13"/>
        <v/>
      </c>
      <c r="N40" s="63" t="str">
        <f t="shared" si="14"/>
        <v/>
      </c>
      <c r="O40" s="64">
        <f t="shared" si="15"/>
        <v>2</v>
      </c>
      <c r="P40" s="64" t="str">
        <f t="shared" si="16"/>
        <v/>
      </c>
      <c r="Q40" s="54"/>
      <c r="R40" s="8" t="s">
        <v>70</v>
      </c>
      <c r="S40" s="14">
        <v>44265.0</v>
      </c>
      <c r="T40" s="16">
        <f>VLOOKUP(R40,'Run Reconcile'!$A$2:$L783,12,FALSE)</f>
        <v>2</v>
      </c>
      <c r="U40" s="16" t="str">
        <f t="shared" si="17"/>
        <v/>
      </c>
      <c r="V40" s="16" t="str">
        <f t="shared" si="18"/>
        <v/>
      </c>
      <c r="W40" s="16"/>
      <c r="X40" s="54"/>
      <c r="Y40" s="8" t="str">
        <f>IFERROR(__xludf.DUMMYFUNCTION("""COMPUTED_VALUE"""),"RUN-FLMP_2022-01-02_RFR-046")</f>
        <v>RUN-FLMP_2022-01-02_RFR-046</v>
      </c>
      <c r="Z40" s="14">
        <f>IFERROR(__xludf.DUMMYFUNCTION("""COMPUTED_VALUE"""),44563.0)</f>
        <v>44563</v>
      </c>
      <c r="AA40" s="62">
        <f t="array" ref="AA40">INDEX('RFR Data - preExcl'!AK$2:AK783,$AE40,1)</f>
        <v>12</v>
      </c>
      <c r="AB40" s="16">
        <f t="shared" si="19"/>
        <v>10</v>
      </c>
      <c r="AC40" s="16">
        <f t="array" ref="AC40">INDEX('RFR Data - preExcl'!AI$2:AI783,$AE40,1)</f>
        <v>2</v>
      </c>
      <c r="AD40" s="16">
        <f t="array" ref="AD40">INDEX('RFR Data - preExcl'!AF$2:AF783,$AE40,1)</f>
        <v>0</v>
      </c>
      <c r="AE40" s="66">
        <f>IFNA(MATCH(Y40,'RFR Data - preExcl'!A$2:A783,0),"")</f>
        <v>42</v>
      </c>
      <c r="AF40" s="54"/>
      <c r="AG40" s="70" t="s">
        <v>70</v>
      </c>
      <c r="AH40" s="68">
        <f>VLOOKUP(AG40,'Run Reconcile'!A$2:B783,2,FALSE)</f>
        <v>44265</v>
      </c>
      <c r="AI40" s="69">
        <f>COUNTIF('APS Tubes IMPORT'!$V$2:$V783, AG40)
</f>
        <v>2</v>
      </c>
      <c r="AJ40" s="69">
        <f>COUNTIFS('APS Tubes IMPORT'!V$2:V783, AG40, 'APS Tubes IMPORT'!H$2:H783, "Negative")
</f>
        <v>2</v>
      </c>
      <c r="AK40" s="69">
        <f>COUNTIFS('APS Tubes IMPORT'!V$2:V783, AG40, 'APS Tubes IMPORT'!H$2:H783, "Positive")
</f>
        <v>0</v>
      </c>
      <c r="AL40" s="69">
        <f>COUNTIFS('APS Tubes IMPORT'!V$2:V783, AG40, 'APS Tubes IMPORT'!H$2:H783, "Inconclusive")
</f>
        <v>0</v>
      </c>
      <c r="AM40" s="69">
        <f>COUNTIFS('APS Tubes IMPORT'!V$2:V783, AG40, 'APS Tubes IMPORT'!H$2:H783, "Null")
</f>
        <v>0</v>
      </c>
      <c r="AN40" s="54"/>
      <c r="AO40" s="14">
        <f>'APS Tubes by Date IMPORT'!B39</f>
        <v>44265</v>
      </c>
      <c r="AP40" s="16">
        <f>'APS Tubes by Date IMPORT'!C39</f>
        <v>2</v>
      </c>
      <c r="AQ40" s="16">
        <f>'APS Tubes by Date IMPORT'!D39</f>
        <v>2</v>
      </c>
      <c r="AR40" s="16">
        <f>'APS Tubes by Date IMPORT'!E39</f>
        <v>0</v>
      </c>
      <c r="AS40" s="16">
        <f>'APS Tubes by Date IMPORT'!F39</f>
        <v>0</v>
      </c>
      <c r="AT40" s="16">
        <f>'APS Tubes by Date IMPORT'!G39</f>
        <v>0</v>
      </c>
      <c r="AU40" s="54"/>
    </row>
    <row r="41">
      <c r="A41" s="8" t="s">
        <v>71</v>
      </c>
      <c r="B41" s="58">
        <f>VLOOKUP(A41,'Run Reconcile'!A$2:B783,2,FALSE)</f>
        <v>44267</v>
      </c>
      <c r="C41" s="59">
        <f>COUNTIF('ALL Tube Results'!B40:B783, A41)
</f>
        <v>3</v>
      </c>
      <c r="D41" s="60">
        <f>COUNTIFS('ALL Tube Results'!$B40:$B783, $A41, 'ALL Tube Results'!$F40:$F783, "Negative")
</f>
        <v>3</v>
      </c>
      <c r="E41" s="60">
        <f>COUNTIFS('ALL Tube Results'!$B40:$B783, $A41, 'ALL Tube Results'!$F40:$F783, "Positive")
</f>
        <v>0</v>
      </c>
      <c r="F41" s="60">
        <f>COUNTIFS('ALL Tube Results'!$B40:$B783, $A41, 'ALL Tube Results'!$F40:$F783, "Inconclusive")
</f>
        <v>0</v>
      </c>
      <c r="G41" s="61">
        <f t="shared" si="7"/>
        <v>3</v>
      </c>
      <c r="H41" s="61" t="str">
        <f t="shared" si="8"/>
        <v/>
      </c>
      <c r="I41" s="62" t="str">
        <f t="shared" si="9"/>
        <v/>
      </c>
      <c r="J41" s="63" t="str">
        <f t="shared" si="10"/>
        <v/>
      </c>
      <c r="K41" s="63" t="str">
        <f t="shared" si="11"/>
        <v/>
      </c>
      <c r="L41" s="63">
        <f t="shared" si="12"/>
        <v>3</v>
      </c>
      <c r="M41" s="63" t="str">
        <f t="shared" si="13"/>
        <v/>
      </c>
      <c r="N41" s="63" t="str">
        <f t="shared" si="14"/>
        <v/>
      </c>
      <c r="O41" s="64">
        <f t="shared" si="15"/>
        <v>3</v>
      </c>
      <c r="P41" s="64" t="str">
        <f t="shared" si="16"/>
        <v/>
      </c>
      <c r="Q41" s="54"/>
      <c r="R41" s="8" t="s">
        <v>71</v>
      </c>
      <c r="S41" s="14">
        <v>44267.0</v>
      </c>
      <c r="T41" s="16">
        <f>VLOOKUP(R41,'Run Reconcile'!$A$2:$L783,12,FALSE)</f>
        <v>3</v>
      </c>
      <c r="U41" s="16" t="str">
        <f t="shared" si="17"/>
        <v/>
      </c>
      <c r="V41" s="16" t="str">
        <f t="shared" si="18"/>
        <v/>
      </c>
      <c r="W41" s="16"/>
      <c r="X41" s="54"/>
      <c r="Y41" s="8" t="str">
        <f>IFERROR(__xludf.DUMMYFUNCTION("""COMPUTED_VALUE"""),"RUN-FLMP_2022-01-03_RFR-047")</f>
        <v>RUN-FLMP_2022-01-03_RFR-047</v>
      </c>
      <c r="Z41" s="14">
        <f>IFERROR(__xludf.DUMMYFUNCTION("""COMPUTED_VALUE"""),44564.0)</f>
        <v>44564</v>
      </c>
      <c r="AA41" s="62">
        <f t="array" ref="AA41">INDEX('RFR Data - preExcl'!AK$2:AK783,$AE41,1)</f>
        <v>8</v>
      </c>
      <c r="AB41" s="16">
        <f t="shared" si="19"/>
        <v>6</v>
      </c>
      <c r="AC41" s="16">
        <f t="array" ref="AC41">INDEX('RFR Data - preExcl'!AI$2:AI783,$AE41,1)</f>
        <v>2</v>
      </c>
      <c r="AD41" s="16">
        <f t="array" ref="AD41">INDEX('RFR Data - preExcl'!AF$2:AF783,$AE41,1)</f>
        <v>0</v>
      </c>
      <c r="AE41" s="66">
        <f>IFNA(MATCH(Y41,'RFR Data - preExcl'!A$2:A783,0),"")</f>
        <v>43</v>
      </c>
      <c r="AF41" s="54"/>
      <c r="AG41" s="70" t="s">
        <v>71</v>
      </c>
      <c r="AH41" s="68">
        <f>VLOOKUP(AG41,'Run Reconcile'!A$2:B783,2,FALSE)</f>
        <v>44267</v>
      </c>
      <c r="AI41" s="69">
        <f>COUNTIF('APS Tubes IMPORT'!$V$2:$V783, AG41)
</f>
        <v>3</v>
      </c>
      <c r="AJ41" s="69">
        <f>COUNTIFS('APS Tubes IMPORT'!V$2:V783, AG41, 'APS Tubes IMPORT'!H$2:H783, "Negative")
</f>
        <v>3</v>
      </c>
      <c r="AK41" s="69">
        <f>COUNTIFS('APS Tubes IMPORT'!V$2:V783, AG41, 'APS Tubes IMPORT'!H$2:H783, "Positive")
</f>
        <v>0</v>
      </c>
      <c r="AL41" s="69">
        <f>COUNTIFS('APS Tubes IMPORT'!V$2:V783, AG41, 'APS Tubes IMPORT'!H$2:H783, "Inconclusive")
</f>
        <v>0</v>
      </c>
      <c r="AM41" s="69">
        <f>COUNTIFS('APS Tubes IMPORT'!V$2:V783, AG41, 'APS Tubes IMPORT'!H$2:H783, "Null")
</f>
        <v>0</v>
      </c>
      <c r="AN41" s="54"/>
      <c r="AO41" s="14">
        <f>'APS Tubes by Date IMPORT'!B40</f>
        <v>44267</v>
      </c>
      <c r="AP41" s="16">
        <f>'APS Tubes by Date IMPORT'!C40</f>
        <v>3</v>
      </c>
      <c r="AQ41" s="16">
        <f>'APS Tubes by Date IMPORT'!D40</f>
        <v>3</v>
      </c>
      <c r="AR41" s="16">
        <f>'APS Tubes by Date IMPORT'!E40</f>
        <v>0</v>
      </c>
      <c r="AS41" s="16">
        <f>'APS Tubes by Date IMPORT'!F40</f>
        <v>0</v>
      </c>
      <c r="AT41" s="16">
        <f>'APS Tubes by Date IMPORT'!G40</f>
        <v>0</v>
      </c>
      <c r="AU41" s="54"/>
    </row>
    <row r="42">
      <c r="A42" s="8" t="s">
        <v>72</v>
      </c>
      <c r="B42" s="58">
        <f>VLOOKUP(A42,'Run Reconcile'!A$2:B783,2,FALSE)</f>
        <v>44270</v>
      </c>
      <c r="C42" s="59">
        <f>COUNTIF('ALL Tube Results'!B41:B783, A42)
</f>
        <v>2</v>
      </c>
      <c r="D42" s="60">
        <f>COUNTIFS('ALL Tube Results'!$B41:$B783, $A42, 'ALL Tube Results'!$F41:$F783, "Negative")
</f>
        <v>2</v>
      </c>
      <c r="E42" s="60">
        <f>COUNTIFS('ALL Tube Results'!$B41:$B783, $A42, 'ALL Tube Results'!$F41:$F783, "Positive")
</f>
        <v>0</v>
      </c>
      <c r="F42" s="60">
        <f>COUNTIFS('ALL Tube Results'!$B41:$B783, $A42, 'ALL Tube Results'!$F41:$F783, "Inconclusive")
</f>
        <v>0</v>
      </c>
      <c r="G42" s="61">
        <f t="shared" si="7"/>
        <v>2</v>
      </c>
      <c r="H42" s="61" t="str">
        <f t="shared" si="8"/>
        <v/>
      </c>
      <c r="I42" s="62" t="str">
        <f t="shared" si="9"/>
        <v/>
      </c>
      <c r="J42" s="63" t="str">
        <f t="shared" si="10"/>
        <v/>
      </c>
      <c r="K42" s="63" t="str">
        <f t="shared" si="11"/>
        <v/>
      </c>
      <c r="L42" s="63">
        <f t="shared" si="12"/>
        <v>2</v>
      </c>
      <c r="M42" s="63" t="str">
        <f t="shared" si="13"/>
        <v/>
      </c>
      <c r="N42" s="63" t="str">
        <f t="shared" si="14"/>
        <v/>
      </c>
      <c r="O42" s="64">
        <f t="shared" si="15"/>
        <v>2</v>
      </c>
      <c r="P42" s="64" t="str">
        <f t="shared" si="16"/>
        <v/>
      </c>
      <c r="Q42" s="54"/>
      <c r="R42" s="8" t="s">
        <v>72</v>
      </c>
      <c r="S42" s="14">
        <v>44270.0</v>
      </c>
      <c r="T42" s="16">
        <f>VLOOKUP(R42,'Run Reconcile'!$A$2:$L783,12,FALSE)</f>
        <v>2</v>
      </c>
      <c r="U42" s="16" t="str">
        <f t="shared" si="17"/>
        <v/>
      </c>
      <c r="V42" s="16" t="str">
        <f t="shared" si="18"/>
        <v/>
      </c>
      <c r="W42" s="16"/>
      <c r="X42" s="54"/>
      <c r="Y42" s="8" t="str">
        <f>IFERROR(__xludf.DUMMYFUNCTION("""COMPUTED_VALUE"""),"RUN-FLMP_2022-01-04_RFR-049")</f>
        <v>RUN-FLMP_2022-01-04_RFR-049</v>
      </c>
      <c r="Z42" s="14">
        <f>IFERROR(__xludf.DUMMYFUNCTION("""COMPUTED_VALUE"""),44565.0)</f>
        <v>44565</v>
      </c>
      <c r="AA42" s="62">
        <f t="array" ref="AA42">INDEX('RFR Data - preExcl'!AK$2:AK783,$AE42,1)</f>
        <v>10</v>
      </c>
      <c r="AB42" s="16">
        <f t="shared" si="19"/>
        <v>10</v>
      </c>
      <c r="AC42" s="16">
        <f t="array" ref="AC42">INDEX('RFR Data - preExcl'!AI$2:AI783,$AE42,1)</f>
        <v>0</v>
      </c>
      <c r="AD42" s="16">
        <f t="array" ref="AD42">INDEX('RFR Data - preExcl'!AF$2:AF783,$AE42,1)</f>
        <v>0</v>
      </c>
      <c r="AE42" s="66">
        <f>IFNA(MATCH(Y42,'RFR Data - preExcl'!A$2:A783,0),"")</f>
        <v>45</v>
      </c>
      <c r="AF42" s="54"/>
      <c r="AG42" s="70" t="s">
        <v>72</v>
      </c>
      <c r="AH42" s="68">
        <f>VLOOKUP(AG42,'Run Reconcile'!A$2:B783,2,FALSE)</f>
        <v>44270</v>
      </c>
      <c r="AI42" s="69">
        <f>COUNTIF('APS Tubes IMPORT'!$V$2:$V783, AG42)
</f>
        <v>2</v>
      </c>
      <c r="AJ42" s="69">
        <f>COUNTIFS('APS Tubes IMPORT'!V$2:V783, AG42, 'APS Tubes IMPORT'!H$2:H783, "Negative")
</f>
        <v>2</v>
      </c>
      <c r="AK42" s="69">
        <f>COUNTIFS('APS Tubes IMPORT'!V$2:V783, AG42, 'APS Tubes IMPORT'!H$2:H783, "Positive")
</f>
        <v>0</v>
      </c>
      <c r="AL42" s="69">
        <f>COUNTIFS('APS Tubes IMPORT'!V$2:V783, AG42, 'APS Tubes IMPORT'!H$2:H783, "Inconclusive")
</f>
        <v>0</v>
      </c>
      <c r="AM42" s="69">
        <f>COUNTIFS('APS Tubes IMPORT'!V$2:V783, AG42, 'APS Tubes IMPORT'!H$2:H783, "Null")
</f>
        <v>0</v>
      </c>
      <c r="AN42" s="54"/>
      <c r="AO42" s="14">
        <f>'APS Tubes by Date IMPORT'!B41</f>
        <v>44270</v>
      </c>
      <c r="AP42" s="16">
        <f>'APS Tubes by Date IMPORT'!C41</f>
        <v>2</v>
      </c>
      <c r="AQ42" s="16">
        <f>'APS Tubes by Date IMPORT'!D41</f>
        <v>2</v>
      </c>
      <c r="AR42" s="16">
        <f>'APS Tubes by Date IMPORT'!E41</f>
        <v>0</v>
      </c>
      <c r="AS42" s="16">
        <f>'APS Tubes by Date IMPORT'!F41</f>
        <v>0</v>
      </c>
      <c r="AT42" s="16">
        <f>'APS Tubes by Date IMPORT'!G41</f>
        <v>0</v>
      </c>
      <c r="AU42" s="54"/>
    </row>
    <row r="43">
      <c r="A43" s="8" t="s">
        <v>73</v>
      </c>
      <c r="B43" s="58">
        <f>VLOOKUP(A43,'Run Reconcile'!A$2:B783,2,FALSE)</f>
        <v>44272</v>
      </c>
      <c r="C43" s="59">
        <f>COUNTIF('ALL Tube Results'!B42:B783, A43)
</f>
        <v>4</v>
      </c>
      <c r="D43" s="60">
        <f>COUNTIFS('ALL Tube Results'!$B42:$B783, $A43, 'ALL Tube Results'!$F42:$F783, "Negative")
</f>
        <v>4</v>
      </c>
      <c r="E43" s="60">
        <f>COUNTIFS('ALL Tube Results'!$B42:$B783, $A43, 'ALL Tube Results'!$F42:$F783, "Positive")
</f>
        <v>0</v>
      </c>
      <c r="F43" s="60">
        <f>COUNTIFS('ALL Tube Results'!$B42:$B783, $A43, 'ALL Tube Results'!$F42:$F783, "Inconclusive")
</f>
        <v>0</v>
      </c>
      <c r="G43" s="61">
        <f t="shared" si="7"/>
        <v>4</v>
      </c>
      <c r="H43" s="61" t="str">
        <f t="shared" si="8"/>
        <v/>
      </c>
      <c r="I43" s="62" t="str">
        <f t="shared" si="9"/>
        <v/>
      </c>
      <c r="J43" s="63" t="str">
        <f t="shared" si="10"/>
        <v/>
      </c>
      <c r="K43" s="63" t="str">
        <f t="shared" si="11"/>
        <v/>
      </c>
      <c r="L43" s="63">
        <f t="shared" si="12"/>
        <v>4</v>
      </c>
      <c r="M43" s="63" t="str">
        <f t="shared" si="13"/>
        <v/>
      </c>
      <c r="N43" s="63" t="str">
        <f t="shared" si="14"/>
        <v/>
      </c>
      <c r="O43" s="64">
        <f t="shared" si="15"/>
        <v>4</v>
      </c>
      <c r="P43" s="64" t="str">
        <f t="shared" si="16"/>
        <v/>
      </c>
      <c r="Q43" s="54"/>
      <c r="R43" s="8" t="s">
        <v>73</v>
      </c>
      <c r="S43" s="14">
        <v>44272.0</v>
      </c>
      <c r="T43" s="16">
        <f>VLOOKUP(R43,'Run Reconcile'!$A$2:$L783,12,FALSE)</f>
        <v>4</v>
      </c>
      <c r="U43" s="16" t="str">
        <f t="shared" si="17"/>
        <v/>
      </c>
      <c r="V43" s="16" t="str">
        <f t="shared" si="18"/>
        <v/>
      </c>
      <c r="W43" s="16"/>
      <c r="X43" s="54"/>
      <c r="Y43" s="8" t="str">
        <f>IFERROR(__xludf.DUMMYFUNCTION("""COMPUTED_VALUE"""),"RUN-FLMP_2022-01-06_RFR-050")</f>
        <v>RUN-FLMP_2022-01-06_RFR-050</v>
      </c>
      <c r="Z43" s="14">
        <f>IFERROR(__xludf.DUMMYFUNCTION("""COMPUTED_VALUE"""),44567.0)</f>
        <v>44567</v>
      </c>
      <c r="AA43" s="62">
        <f t="array" ref="AA43">INDEX('RFR Data - preExcl'!AK$2:AK783,$AE43,1)</f>
        <v>22</v>
      </c>
      <c r="AB43" s="16">
        <f t="shared" si="19"/>
        <v>18</v>
      </c>
      <c r="AC43" s="16">
        <f t="array" ref="AC43">INDEX('RFR Data - preExcl'!AI$2:AI783,$AE43,1)</f>
        <v>4</v>
      </c>
      <c r="AD43" s="16">
        <f t="array" ref="AD43">INDEX('RFR Data - preExcl'!AF$2:AF783,$AE43,1)</f>
        <v>0</v>
      </c>
      <c r="AE43" s="66">
        <f>IFNA(MATCH(Y43,'RFR Data - preExcl'!A$2:A783,0),"")</f>
        <v>46</v>
      </c>
      <c r="AF43" s="54"/>
      <c r="AG43" s="70" t="s">
        <v>73</v>
      </c>
      <c r="AH43" s="68">
        <f>VLOOKUP(AG43,'Run Reconcile'!A$2:B783,2,FALSE)</f>
        <v>44272</v>
      </c>
      <c r="AI43" s="69">
        <f>COUNTIF('APS Tubes IMPORT'!$V$2:$V783, AG43)
</f>
        <v>4</v>
      </c>
      <c r="AJ43" s="69">
        <f>COUNTIFS('APS Tubes IMPORT'!V$2:V783, AG43, 'APS Tubes IMPORT'!H$2:H783, "Negative")
</f>
        <v>4</v>
      </c>
      <c r="AK43" s="69">
        <f>COUNTIFS('APS Tubes IMPORT'!V$2:V783, AG43, 'APS Tubes IMPORT'!H$2:H783, "Positive")
</f>
        <v>0</v>
      </c>
      <c r="AL43" s="69">
        <f>COUNTIFS('APS Tubes IMPORT'!V$2:V783, AG43, 'APS Tubes IMPORT'!H$2:H783, "Inconclusive")
</f>
        <v>0</v>
      </c>
      <c r="AM43" s="69">
        <f>COUNTIFS('APS Tubes IMPORT'!V$2:V783, AG43, 'APS Tubes IMPORT'!H$2:H783, "Null")
</f>
        <v>0</v>
      </c>
      <c r="AN43" s="54"/>
      <c r="AO43" s="14">
        <f>'APS Tubes by Date IMPORT'!B42</f>
        <v>44272</v>
      </c>
      <c r="AP43" s="16">
        <f>'APS Tubes by Date IMPORT'!C42</f>
        <v>4</v>
      </c>
      <c r="AQ43" s="16">
        <f>'APS Tubes by Date IMPORT'!D42</f>
        <v>4</v>
      </c>
      <c r="AR43" s="16">
        <f>'APS Tubes by Date IMPORT'!E42</f>
        <v>0</v>
      </c>
      <c r="AS43" s="16">
        <f>'APS Tubes by Date IMPORT'!F42</f>
        <v>0</v>
      </c>
      <c r="AT43" s="16">
        <f>'APS Tubes by Date IMPORT'!G42</f>
        <v>0</v>
      </c>
      <c r="AU43" s="54"/>
    </row>
    <row r="44">
      <c r="A44" s="8" t="s">
        <v>74</v>
      </c>
      <c r="B44" s="58">
        <f>VLOOKUP(A44,'Run Reconcile'!A$2:B783,2,FALSE)</f>
        <v>44281</v>
      </c>
      <c r="C44" s="59">
        <f>COUNTIF('ALL Tube Results'!B43:B783, A44)
</f>
        <v>2</v>
      </c>
      <c r="D44" s="60">
        <f>COUNTIFS('ALL Tube Results'!$B43:$B783, $A44, 'ALL Tube Results'!$F43:$F783, "Negative")
</f>
        <v>2</v>
      </c>
      <c r="E44" s="60">
        <f>COUNTIFS('ALL Tube Results'!$B43:$B783, $A44, 'ALL Tube Results'!$F43:$F783, "Positive")
</f>
        <v>0</v>
      </c>
      <c r="F44" s="60">
        <f>COUNTIFS('ALL Tube Results'!$B43:$B783, $A44, 'ALL Tube Results'!$F43:$F783, "Inconclusive")
</f>
        <v>0</v>
      </c>
      <c r="G44" s="61">
        <f t="shared" si="7"/>
        <v>2</v>
      </c>
      <c r="H44" s="61" t="str">
        <f t="shared" si="8"/>
        <v/>
      </c>
      <c r="I44" s="62" t="str">
        <f t="shared" si="9"/>
        <v/>
      </c>
      <c r="J44" s="63" t="str">
        <f t="shared" si="10"/>
        <v/>
      </c>
      <c r="K44" s="63" t="str">
        <f t="shared" si="11"/>
        <v/>
      </c>
      <c r="L44" s="63">
        <f t="shared" si="12"/>
        <v>2</v>
      </c>
      <c r="M44" s="63" t="str">
        <f t="shared" si="13"/>
        <v/>
      </c>
      <c r="N44" s="63" t="str">
        <f t="shared" si="14"/>
        <v/>
      </c>
      <c r="O44" s="64">
        <f t="shared" si="15"/>
        <v>2</v>
      </c>
      <c r="P44" s="64" t="str">
        <f t="shared" si="16"/>
        <v/>
      </c>
      <c r="Q44" s="54"/>
      <c r="R44" s="8" t="s">
        <v>74</v>
      </c>
      <c r="S44" s="14">
        <v>44281.0</v>
      </c>
      <c r="T44" s="16">
        <f>VLOOKUP(R44,'Run Reconcile'!$A$2:$L783,12,FALSE)</f>
        <v>2</v>
      </c>
      <c r="U44" s="16" t="str">
        <f t="shared" si="17"/>
        <v/>
      </c>
      <c r="V44" s="16" t="str">
        <f t="shared" si="18"/>
        <v/>
      </c>
      <c r="W44" s="16"/>
      <c r="X44" s="54"/>
      <c r="Y44" s="8" t="str">
        <f>IFERROR(__xludf.DUMMYFUNCTION("""COMPUTED_VALUE"""),"RUN-FLMP_2022-01-08_RFR-052")</f>
        <v>RUN-FLMP_2022-01-08_RFR-052</v>
      </c>
      <c r="Z44" s="14">
        <f>IFERROR(__xludf.DUMMYFUNCTION("""COMPUTED_VALUE"""),44569.0)</f>
        <v>44569</v>
      </c>
      <c r="AA44" s="62">
        <f t="array" ref="AA44">INDEX('RFR Data - preExcl'!AK$2:AK783,$AE44,1)</f>
        <v>8</v>
      </c>
      <c r="AB44" s="16">
        <f t="shared" si="19"/>
        <v>7</v>
      </c>
      <c r="AC44" s="16">
        <f t="array" ref="AC44">INDEX('RFR Data - preExcl'!AI$2:AI783,$AE44,1)</f>
        <v>1</v>
      </c>
      <c r="AD44" s="16">
        <f t="array" ref="AD44">INDEX('RFR Data - preExcl'!AF$2:AF783,$AE44,1)</f>
        <v>0</v>
      </c>
      <c r="AE44" s="66">
        <f>IFNA(MATCH(Y44,'RFR Data - preExcl'!A$2:A783,0),"")</f>
        <v>48</v>
      </c>
      <c r="AF44" s="54"/>
      <c r="AG44" s="70" t="s">
        <v>74</v>
      </c>
      <c r="AH44" s="68">
        <f>VLOOKUP(AG44,'Run Reconcile'!A$2:B783,2,FALSE)</f>
        <v>44281</v>
      </c>
      <c r="AI44" s="69">
        <f>COUNTIF('APS Tubes IMPORT'!$V$2:$V783, AG44)
</f>
        <v>2</v>
      </c>
      <c r="AJ44" s="69">
        <f>COUNTIFS('APS Tubes IMPORT'!V$2:V783, AG44, 'APS Tubes IMPORT'!H$2:H783, "Negative")
</f>
        <v>2</v>
      </c>
      <c r="AK44" s="69">
        <f>COUNTIFS('APS Tubes IMPORT'!V$2:V783, AG44, 'APS Tubes IMPORT'!H$2:H783, "Positive")
</f>
        <v>0</v>
      </c>
      <c r="AL44" s="69">
        <f>COUNTIFS('APS Tubes IMPORT'!V$2:V783, AG44, 'APS Tubes IMPORT'!H$2:H783, "Inconclusive")
</f>
        <v>0</v>
      </c>
      <c r="AM44" s="69">
        <f>COUNTIFS('APS Tubes IMPORT'!V$2:V783, AG44, 'APS Tubes IMPORT'!H$2:H783, "Null")
</f>
        <v>0</v>
      </c>
      <c r="AN44" s="54"/>
      <c r="AO44" s="14">
        <f>'APS Tubes by Date IMPORT'!B43</f>
        <v>44281</v>
      </c>
      <c r="AP44" s="16">
        <f>'APS Tubes by Date IMPORT'!C43</f>
        <v>2</v>
      </c>
      <c r="AQ44" s="16">
        <f>'APS Tubes by Date IMPORT'!D43</f>
        <v>2</v>
      </c>
      <c r="AR44" s="16">
        <f>'APS Tubes by Date IMPORT'!E43</f>
        <v>0</v>
      </c>
      <c r="AS44" s="16">
        <f>'APS Tubes by Date IMPORT'!F43</f>
        <v>0</v>
      </c>
      <c r="AT44" s="16">
        <f>'APS Tubes by Date IMPORT'!G43</f>
        <v>0</v>
      </c>
      <c r="AU44" s="54"/>
    </row>
    <row r="45">
      <c r="A45" s="8" t="s">
        <v>75</v>
      </c>
      <c r="B45" s="58">
        <f>VLOOKUP(A45,'Run Reconcile'!A$2:B783,2,FALSE)</f>
        <v>44284</v>
      </c>
      <c r="C45" s="59">
        <f>COUNTIF('ALL Tube Results'!B44:B783, A45)
</f>
        <v>2</v>
      </c>
      <c r="D45" s="60">
        <f>COUNTIFS('ALL Tube Results'!$B44:$B783, $A45, 'ALL Tube Results'!$F44:$F783, "Negative")
</f>
        <v>2</v>
      </c>
      <c r="E45" s="60">
        <f>COUNTIFS('ALL Tube Results'!$B44:$B783, $A45, 'ALL Tube Results'!$F44:$F783, "Positive")
</f>
        <v>0</v>
      </c>
      <c r="F45" s="60">
        <f>COUNTIFS('ALL Tube Results'!$B44:$B783, $A45, 'ALL Tube Results'!$F44:$F783, "Inconclusive")
</f>
        <v>0</v>
      </c>
      <c r="G45" s="61">
        <f t="shared" si="7"/>
        <v>2</v>
      </c>
      <c r="H45" s="61" t="str">
        <f t="shared" si="8"/>
        <v/>
      </c>
      <c r="I45" s="62" t="str">
        <f t="shared" si="9"/>
        <v/>
      </c>
      <c r="J45" s="63" t="str">
        <f t="shared" si="10"/>
        <v/>
      </c>
      <c r="K45" s="63" t="str">
        <f t="shared" si="11"/>
        <v/>
      </c>
      <c r="L45" s="63">
        <f t="shared" si="12"/>
        <v>2</v>
      </c>
      <c r="M45" s="63" t="str">
        <f t="shared" si="13"/>
        <v/>
      </c>
      <c r="N45" s="63" t="str">
        <f t="shared" si="14"/>
        <v/>
      </c>
      <c r="O45" s="64">
        <f t="shared" si="15"/>
        <v>2</v>
      </c>
      <c r="P45" s="64" t="str">
        <f t="shared" si="16"/>
        <v/>
      </c>
      <c r="Q45" s="54"/>
      <c r="R45" s="8" t="s">
        <v>75</v>
      </c>
      <c r="S45" s="14">
        <v>44284.0</v>
      </c>
      <c r="T45" s="16">
        <f>VLOOKUP(R45,'Run Reconcile'!$A$2:$L783,12,FALSE)</f>
        <v>2</v>
      </c>
      <c r="U45" s="16" t="str">
        <f t="shared" si="17"/>
        <v/>
      </c>
      <c r="V45" s="16" t="str">
        <f t="shared" si="18"/>
        <v/>
      </c>
      <c r="W45" s="16"/>
      <c r="X45" s="54"/>
      <c r="Y45" s="8" t="str">
        <f>IFERROR(__xludf.DUMMYFUNCTION("""COMPUTED_VALUE"""),"RUN-FLMP_2022-01-10_RFR-053")</f>
        <v>RUN-FLMP_2022-01-10_RFR-053</v>
      </c>
      <c r="Z45" s="14">
        <f>IFERROR(__xludf.DUMMYFUNCTION("""COMPUTED_VALUE"""),44571.0)</f>
        <v>44571</v>
      </c>
      <c r="AA45" s="62">
        <f t="array" ref="AA45">INDEX('RFR Data - preExcl'!AK$2:AK783,$AE45,1)</f>
        <v>46</v>
      </c>
      <c r="AB45" s="16">
        <f t="shared" si="19"/>
        <v>32</v>
      </c>
      <c r="AC45" s="16">
        <f t="array" ref="AC45">INDEX('RFR Data - preExcl'!AI$2:AI783,$AE45,1)</f>
        <v>13</v>
      </c>
      <c r="AD45" s="16">
        <f t="array" ref="AD45">INDEX('RFR Data - preExcl'!AF$2:AF783,$AE45,1)</f>
        <v>1</v>
      </c>
      <c r="AE45" s="66">
        <f>IFNA(MATCH(Y45,'RFR Data - preExcl'!A$2:A783,0),"")</f>
        <v>49</v>
      </c>
      <c r="AF45" s="54"/>
      <c r="AG45" s="70" t="s">
        <v>75</v>
      </c>
      <c r="AH45" s="68">
        <f>VLOOKUP(AG45,'Run Reconcile'!A$2:B783,2,FALSE)</f>
        <v>44284</v>
      </c>
      <c r="AI45" s="69">
        <f>COUNTIF('APS Tubes IMPORT'!$V$2:$V783, AG45)
</f>
        <v>2</v>
      </c>
      <c r="AJ45" s="69">
        <f>COUNTIFS('APS Tubes IMPORT'!V$2:V783, AG45, 'APS Tubes IMPORT'!H$2:H783, "Negative")
</f>
        <v>2</v>
      </c>
      <c r="AK45" s="69">
        <f>COUNTIFS('APS Tubes IMPORT'!V$2:V783, AG45, 'APS Tubes IMPORT'!H$2:H783, "Positive")
</f>
        <v>0</v>
      </c>
      <c r="AL45" s="69">
        <f>COUNTIFS('APS Tubes IMPORT'!V$2:V783, AG45, 'APS Tubes IMPORT'!H$2:H783, "Inconclusive")
</f>
        <v>0</v>
      </c>
      <c r="AM45" s="69">
        <f>COUNTIFS('APS Tubes IMPORT'!V$2:V783, AG45, 'APS Tubes IMPORT'!H$2:H783, "Null")
</f>
        <v>0</v>
      </c>
      <c r="AN45" s="54"/>
      <c r="AO45" s="14">
        <f>'APS Tubes by Date IMPORT'!B44</f>
        <v>44284</v>
      </c>
      <c r="AP45" s="16">
        <f>'APS Tubes by Date IMPORT'!C44</f>
        <v>2</v>
      </c>
      <c r="AQ45" s="16">
        <f>'APS Tubes by Date IMPORT'!D44</f>
        <v>2</v>
      </c>
      <c r="AR45" s="16">
        <f>'APS Tubes by Date IMPORT'!E44</f>
        <v>0</v>
      </c>
      <c r="AS45" s="16">
        <f>'APS Tubes by Date IMPORT'!F44</f>
        <v>0</v>
      </c>
      <c r="AT45" s="16">
        <f>'APS Tubes by Date IMPORT'!G44</f>
        <v>0</v>
      </c>
      <c r="AU45" s="54"/>
    </row>
    <row r="46">
      <c r="A46" s="8" t="s">
        <v>76</v>
      </c>
      <c r="B46" s="58">
        <f>VLOOKUP(A46,'Run Reconcile'!A$2:B783,2,FALSE)</f>
        <v>44302</v>
      </c>
      <c r="C46" s="59">
        <f>COUNTIF('ALL Tube Results'!B45:B783, A46)
</f>
        <v>3</v>
      </c>
      <c r="D46" s="60">
        <f>COUNTIFS('ALL Tube Results'!$B45:$B783, $A46, 'ALL Tube Results'!$F45:$F783, "Negative")
</f>
        <v>3</v>
      </c>
      <c r="E46" s="60">
        <f>COUNTIFS('ALL Tube Results'!$B45:$B783, $A46, 'ALL Tube Results'!$F45:$F783, "Positive")
</f>
        <v>0</v>
      </c>
      <c r="F46" s="60">
        <f>COUNTIFS('ALL Tube Results'!$B45:$B783, $A46, 'ALL Tube Results'!$F45:$F783, "Inconclusive")
</f>
        <v>0</v>
      </c>
      <c r="G46" s="61">
        <f t="shared" si="7"/>
        <v>3</v>
      </c>
      <c r="H46" s="61" t="str">
        <f t="shared" si="8"/>
        <v/>
      </c>
      <c r="I46" s="62" t="str">
        <f t="shared" si="9"/>
        <v/>
      </c>
      <c r="J46" s="63" t="str">
        <f t="shared" si="10"/>
        <v/>
      </c>
      <c r="K46" s="63" t="str">
        <f t="shared" si="11"/>
        <v/>
      </c>
      <c r="L46" s="63">
        <f t="shared" si="12"/>
        <v>3</v>
      </c>
      <c r="M46" s="63" t="str">
        <f t="shared" si="13"/>
        <v/>
      </c>
      <c r="N46" s="63" t="str">
        <f t="shared" si="14"/>
        <v/>
      </c>
      <c r="O46" s="64">
        <f t="shared" si="15"/>
        <v>3</v>
      </c>
      <c r="P46" s="64" t="str">
        <f t="shared" si="16"/>
        <v/>
      </c>
      <c r="Q46" s="54"/>
      <c r="R46" s="8" t="s">
        <v>76</v>
      </c>
      <c r="S46" s="14">
        <v>44302.0</v>
      </c>
      <c r="T46" s="16">
        <f>VLOOKUP(R46,'Run Reconcile'!$A$2:$L783,12,FALSE)</f>
        <v>3</v>
      </c>
      <c r="U46" s="16" t="str">
        <f t="shared" si="17"/>
        <v/>
      </c>
      <c r="V46" s="16" t="str">
        <f t="shared" si="18"/>
        <v/>
      </c>
      <c r="W46" s="16"/>
      <c r="X46" s="54"/>
      <c r="Y46" s="8" t="str">
        <f>IFERROR(__xludf.DUMMYFUNCTION("""COMPUTED_VALUE"""),"RUN-FLMP_2022-01-10_RFR-055")</f>
        <v>RUN-FLMP_2022-01-10_RFR-055</v>
      </c>
      <c r="Z46" s="14">
        <f>IFERROR(__xludf.DUMMYFUNCTION("""COMPUTED_VALUE"""),44571.0)</f>
        <v>44571</v>
      </c>
      <c r="AA46" s="62">
        <f t="array" ref="AA46">INDEX('RFR Data - preExcl'!AK$2:AK783,$AE46,1)</f>
        <v>3</v>
      </c>
      <c r="AB46" s="16">
        <f t="shared" si="19"/>
        <v>2</v>
      </c>
      <c r="AC46" s="16">
        <f t="array" ref="AC46">INDEX('RFR Data - preExcl'!AI$2:AI783,$AE46,1)</f>
        <v>1</v>
      </c>
      <c r="AD46" s="16">
        <f t="array" ref="AD46">INDEX('RFR Data - preExcl'!AF$2:AF783,$AE46,1)</f>
        <v>0</v>
      </c>
      <c r="AE46" s="66">
        <f>IFNA(MATCH(Y46,'RFR Data - preExcl'!A$2:A783,0),"")</f>
        <v>51</v>
      </c>
      <c r="AF46" s="54"/>
      <c r="AG46" s="70" t="s">
        <v>76</v>
      </c>
      <c r="AH46" s="68">
        <f>VLOOKUP(AG46,'Run Reconcile'!A$2:B783,2,FALSE)</f>
        <v>44302</v>
      </c>
      <c r="AI46" s="69">
        <f>COUNTIF('APS Tubes IMPORT'!$V$2:$V783, AG46)
</f>
        <v>3</v>
      </c>
      <c r="AJ46" s="69">
        <f>COUNTIFS('APS Tubes IMPORT'!V$2:V783, AG46, 'APS Tubes IMPORT'!H$2:H783, "Negative")
</f>
        <v>3</v>
      </c>
      <c r="AK46" s="69">
        <f>COUNTIFS('APS Tubes IMPORT'!V$2:V783, AG46, 'APS Tubes IMPORT'!H$2:H783, "Positive")
</f>
        <v>0</v>
      </c>
      <c r="AL46" s="69">
        <f>COUNTIFS('APS Tubes IMPORT'!V$2:V783, AG46, 'APS Tubes IMPORT'!H$2:H783, "Inconclusive")
</f>
        <v>0</v>
      </c>
      <c r="AM46" s="69">
        <f>COUNTIFS('APS Tubes IMPORT'!V$2:V783, AG46, 'APS Tubes IMPORT'!H$2:H783, "Null")
</f>
        <v>0</v>
      </c>
      <c r="AN46" s="54"/>
      <c r="AO46" s="14">
        <f>'APS Tubes by Date IMPORT'!B45</f>
        <v>44302</v>
      </c>
      <c r="AP46" s="16">
        <f>'APS Tubes by Date IMPORT'!C45</f>
        <v>3</v>
      </c>
      <c r="AQ46" s="16">
        <f>'APS Tubes by Date IMPORT'!D45</f>
        <v>3</v>
      </c>
      <c r="AR46" s="16">
        <f>'APS Tubes by Date IMPORT'!E45</f>
        <v>0</v>
      </c>
      <c r="AS46" s="16">
        <f>'APS Tubes by Date IMPORT'!F45</f>
        <v>0</v>
      </c>
      <c r="AT46" s="16">
        <f>'APS Tubes by Date IMPORT'!G45</f>
        <v>0</v>
      </c>
      <c r="AU46" s="54"/>
    </row>
    <row r="47">
      <c r="A47" s="8" t="s">
        <v>77</v>
      </c>
      <c r="B47" s="58">
        <f>VLOOKUP(A47,'Run Reconcile'!A$2:B783,2,FALSE)</f>
        <v>44325</v>
      </c>
      <c r="C47" s="59">
        <f>COUNTIF('ALL Tube Results'!B46:B783, A47)
</f>
        <v>1</v>
      </c>
      <c r="D47" s="60">
        <f>COUNTIFS('ALL Tube Results'!$B46:$B783, $A47, 'ALL Tube Results'!$F46:$F783, "Negative")
</f>
        <v>1</v>
      </c>
      <c r="E47" s="60">
        <f>COUNTIFS('ALL Tube Results'!$B46:$B783, $A47, 'ALL Tube Results'!$F46:$F783, "Positive")
</f>
        <v>0</v>
      </c>
      <c r="F47" s="60">
        <f>COUNTIFS('ALL Tube Results'!$B46:$B783, $A47, 'ALL Tube Results'!$F46:$F783, "Inconclusive")
</f>
        <v>0</v>
      </c>
      <c r="G47" s="61">
        <f t="shared" si="7"/>
        <v>1</v>
      </c>
      <c r="H47" s="61" t="str">
        <f t="shared" si="8"/>
        <v/>
      </c>
      <c r="I47" s="62" t="str">
        <f t="shared" si="9"/>
        <v/>
      </c>
      <c r="J47" s="63" t="str">
        <f t="shared" si="10"/>
        <v/>
      </c>
      <c r="K47" s="63" t="str">
        <f t="shared" si="11"/>
        <v/>
      </c>
      <c r="L47" s="63">
        <f t="shared" si="12"/>
        <v>1</v>
      </c>
      <c r="M47" s="63" t="str">
        <f t="shared" si="13"/>
        <v/>
      </c>
      <c r="N47" s="63" t="str">
        <f t="shared" si="14"/>
        <v/>
      </c>
      <c r="O47" s="64">
        <f t="shared" si="15"/>
        <v>1</v>
      </c>
      <c r="P47" s="64" t="str">
        <f t="shared" si="16"/>
        <v/>
      </c>
      <c r="Q47" s="54"/>
      <c r="R47" s="8" t="s">
        <v>77</v>
      </c>
      <c r="S47" s="14">
        <v>44325.0</v>
      </c>
      <c r="T47" s="16">
        <f>VLOOKUP(R47,'Run Reconcile'!$A$2:$L783,12,FALSE)</f>
        <v>1</v>
      </c>
      <c r="U47" s="16" t="str">
        <f t="shared" si="17"/>
        <v/>
      </c>
      <c r="V47" s="16" t="str">
        <f t="shared" si="18"/>
        <v/>
      </c>
      <c r="W47" s="16"/>
      <c r="X47" s="54"/>
      <c r="Y47" s="8" t="str">
        <f>IFERROR(__xludf.DUMMYFUNCTION("""COMPUTED_VALUE"""),"RUN-FLMP_2022-01-11_RFR-059")</f>
        <v>RUN-FLMP_2022-01-11_RFR-059</v>
      </c>
      <c r="Z47" s="14">
        <f>IFERROR(__xludf.DUMMYFUNCTION("""COMPUTED_VALUE"""),44572.0)</f>
        <v>44572</v>
      </c>
      <c r="AA47" s="62">
        <f t="array" ref="AA47">INDEX('RFR Data - preExcl'!AK$2:AK783,$AE47,1)</f>
        <v>1</v>
      </c>
      <c r="AB47" s="16">
        <f t="shared" si="19"/>
        <v>0</v>
      </c>
      <c r="AC47" s="16">
        <f t="array" ref="AC47">INDEX('RFR Data - preExcl'!AI$2:AI783,$AE47,1)</f>
        <v>1</v>
      </c>
      <c r="AD47" s="16">
        <f t="array" ref="AD47">INDEX('RFR Data - preExcl'!AF$2:AF783,$AE47,1)</f>
        <v>0</v>
      </c>
      <c r="AE47" s="66">
        <f>IFNA(MATCH(Y47,'RFR Data - preExcl'!A$2:A783,0),"")</f>
        <v>55</v>
      </c>
      <c r="AF47" s="54"/>
      <c r="AG47" s="70" t="s">
        <v>77</v>
      </c>
      <c r="AH47" s="68">
        <f>VLOOKUP(AG47,'Run Reconcile'!A$2:B783,2,FALSE)</f>
        <v>44325</v>
      </c>
      <c r="AI47" s="69">
        <f>COUNTIF('APS Tubes IMPORT'!$V$2:$V783, AG47)
</f>
        <v>1</v>
      </c>
      <c r="AJ47" s="69">
        <f>COUNTIFS('APS Tubes IMPORT'!V$2:V783, AG47, 'APS Tubes IMPORT'!H$2:H783, "Negative")
</f>
        <v>1</v>
      </c>
      <c r="AK47" s="69">
        <f>COUNTIFS('APS Tubes IMPORT'!V$2:V783, AG47, 'APS Tubes IMPORT'!H$2:H783, "Positive")
</f>
        <v>0</v>
      </c>
      <c r="AL47" s="69">
        <f>COUNTIFS('APS Tubes IMPORT'!V$2:V783, AG47, 'APS Tubes IMPORT'!H$2:H783, "Inconclusive")
</f>
        <v>0</v>
      </c>
      <c r="AM47" s="69">
        <f>COUNTIFS('APS Tubes IMPORT'!V$2:V783, AG47, 'APS Tubes IMPORT'!H$2:H783, "Null")
</f>
        <v>0</v>
      </c>
      <c r="AN47" s="54"/>
      <c r="AO47" s="14">
        <f>'APS Tubes by Date IMPORT'!B46</f>
        <v>44325</v>
      </c>
      <c r="AP47" s="16">
        <f>'APS Tubes by Date IMPORT'!C46</f>
        <v>1</v>
      </c>
      <c r="AQ47" s="16">
        <f>'APS Tubes by Date IMPORT'!D46</f>
        <v>1</v>
      </c>
      <c r="AR47" s="16">
        <f>'APS Tubes by Date IMPORT'!E46</f>
        <v>0</v>
      </c>
      <c r="AS47" s="16">
        <f>'APS Tubes by Date IMPORT'!F46</f>
        <v>0</v>
      </c>
      <c r="AT47" s="16">
        <f>'APS Tubes by Date IMPORT'!G46</f>
        <v>0</v>
      </c>
      <c r="AU47" s="54"/>
    </row>
    <row r="48">
      <c r="A48" s="8" t="s">
        <v>78</v>
      </c>
      <c r="B48" s="58">
        <f>VLOOKUP(A48,'Run Reconcile'!A$2:B783,2,FALSE)</f>
        <v>44326</v>
      </c>
      <c r="C48" s="59">
        <f>COUNTIF('ALL Tube Results'!B47:B783, A48)
</f>
        <v>2</v>
      </c>
      <c r="D48" s="60">
        <f>COUNTIFS('ALL Tube Results'!$B47:$B783, $A48, 'ALL Tube Results'!$F47:$F783, "Negative")
</f>
        <v>2</v>
      </c>
      <c r="E48" s="60">
        <f>COUNTIFS('ALL Tube Results'!$B47:$B783, $A48, 'ALL Tube Results'!$F47:$F783, "Positive")
</f>
        <v>0</v>
      </c>
      <c r="F48" s="60">
        <f>COUNTIFS('ALL Tube Results'!$B47:$B783, $A48, 'ALL Tube Results'!$F47:$F783, "Inconclusive")
</f>
        <v>0</v>
      </c>
      <c r="G48" s="61">
        <f t="shared" si="7"/>
        <v>2</v>
      </c>
      <c r="H48" s="61" t="str">
        <f t="shared" si="8"/>
        <v/>
      </c>
      <c r="I48" s="62" t="str">
        <f t="shared" si="9"/>
        <v/>
      </c>
      <c r="J48" s="63" t="str">
        <f t="shared" si="10"/>
        <v/>
      </c>
      <c r="K48" s="63" t="str">
        <f t="shared" si="11"/>
        <v/>
      </c>
      <c r="L48" s="63">
        <f t="shared" si="12"/>
        <v>2</v>
      </c>
      <c r="M48" s="63" t="str">
        <f t="shared" si="13"/>
        <v/>
      </c>
      <c r="N48" s="63" t="str">
        <f t="shared" si="14"/>
        <v/>
      </c>
      <c r="O48" s="64">
        <f t="shared" si="15"/>
        <v>2</v>
      </c>
      <c r="P48" s="64" t="str">
        <f t="shared" si="16"/>
        <v/>
      </c>
      <c r="Q48" s="54"/>
      <c r="R48" s="8" t="s">
        <v>78</v>
      </c>
      <c r="S48" s="14">
        <v>44326.0</v>
      </c>
      <c r="T48" s="16">
        <f>VLOOKUP(R48,'Run Reconcile'!$A$2:$L783,12,FALSE)</f>
        <v>2</v>
      </c>
      <c r="U48" s="16" t="str">
        <f t="shared" si="17"/>
        <v/>
      </c>
      <c r="V48" s="16" t="str">
        <f t="shared" si="18"/>
        <v/>
      </c>
      <c r="W48" s="16"/>
      <c r="X48" s="54"/>
      <c r="Y48" s="8" t="str">
        <f>IFERROR(__xludf.DUMMYFUNCTION("""COMPUTED_VALUE"""),"RUN-FLMP_2022-01-13_RFR-056")</f>
        <v>RUN-FLMP_2022-01-13_RFR-056</v>
      </c>
      <c r="Z48" s="14">
        <f>IFERROR(__xludf.DUMMYFUNCTION("""COMPUTED_VALUE"""),44574.0)</f>
        <v>44574</v>
      </c>
      <c r="AA48" s="62">
        <f t="array" ref="AA48">INDEX('RFR Data - preExcl'!AK$2:AK783,$AE48,1)</f>
        <v>3</v>
      </c>
      <c r="AB48" s="16">
        <f t="shared" si="19"/>
        <v>3</v>
      </c>
      <c r="AC48" s="16">
        <f t="array" ref="AC48">INDEX('RFR Data - preExcl'!AI$2:AI783,$AE48,1)</f>
        <v>0</v>
      </c>
      <c r="AD48" s="16">
        <f t="array" ref="AD48">INDEX('RFR Data - preExcl'!AF$2:AF783,$AE48,1)</f>
        <v>0</v>
      </c>
      <c r="AE48" s="66">
        <f>IFNA(MATCH(Y48,'RFR Data - preExcl'!A$2:A783,0),"")</f>
        <v>52</v>
      </c>
      <c r="AF48" s="54"/>
      <c r="AG48" s="70" t="s">
        <v>78</v>
      </c>
      <c r="AH48" s="68">
        <f>VLOOKUP(AG48,'Run Reconcile'!A$2:B783,2,FALSE)</f>
        <v>44326</v>
      </c>
      <c r="AI48" s="69">
        <f>COUNTIF('APS Tubes IMPORT'!$V$2:$V783, AG48)
</f>
        <v>2</v>
      </c>
      <c r="AJ48" s="69">
        <f>COUNTIFS('APS Tubes IMPORT'!V$2:V783, AG48, 'APS Tubes IMPORT'!H$2:H783, "Negative")
</f>
        <v>2</v>
      </c>
      <c r="AK48" s="69">
        <f>COUNTIFS('APS Tubes IMPORT'!V$2:V783, AG48, 'APS Tubes IMPORT'!H$2:H783, "Positive")
</f>
        <v>0</v>
      </c>
      <c r="AL48" s="69">
        <f>COUNTIFS('APS Tubes IMPORT'!V$2:V783, AG48, 'APS Tubes IMPORT'!H$2:H783, "Inconclusive")
</f>
        <v>0</v>
      </c>
      <c r="AM48" s="69">
        <f>COUNTIFS('APS Tubes IMPORT'!V$2:V783, AG48, 'APS Tubes IMPORT'!H$2:H783, "Null")
</f>
        <v>0</v>
      </c>
      <c r="AN48" s="54"/>
      <c r="AO48" s="14">
        <f>'APS Tubes by Date IMPORT'!B47</f>
        <v>44326</v>
      </c>
      <c r="AP48" s="16">
        <f>'APS Tubes by Date IMPORT'!C47</f>
        <v>2</v>
      </c>
      <c r="AQ48" s="16">
        <f>'APS Tubes by Date IMPORT'!D47</f>
        <v>2</v>
      </c>
      <c r="AR48" s="16">
        <f>'APS Tubes by Date IMPORT'!E47</f>
        <v>0</v>
      </c>
      <c r="AS48" s="16">
        <f>'APS Tubes by Date IMPORT'!F47</f>
        <v>0</v>
      </c>
      <c r="AT48" s="16">
        <f>'APS Tubes by Date IMPORT'!G47</f>
        <v>0</v>
      </c>
      <c r="AU48" s="54"/>
    </row>
    <row r="49">
      <c r="A49" s="8" t="s">
        <v>79</v>
      </c>
      <c r="B49" s="58">
        <f>VLOOKUP(A49,'Run Reconcile'!A$2:B783,2,FALSE)</f>
        <v>44334</v>
      </c>
      <c r="C49" s="59">
        <f>COUNTIF('ALL Tube Results'!B48:B783, A49)
</f>
        <v>6</v>
      </c>
      <c r="D49" s="60">
        <f>COUNTIFS('ALL Tube Results'!$B48:$B783, $A49, 'ALL Tube Results'!$F48:$F783, "Negative")
</f>
        <v>6</v>
      </c>
      <c r="E49" s="60">
        <f>COUNTIFS('ALL Tube Results'!$B48:$B783, $A49, 'ALL Tube Results'!$F48:$F783, "Positive")
</f>
        <v>0</v>
      </c>
      <c r="F49" s="60">
        <f>COUNTIFS('ALL Tube Results'!$B48:$B783, $A49, 'ALL Tube Results'!$F48:$F783, "Inconclusive")
</f>
        <v>0</v>
      </c>
      <c r="G49" s="61">
        <f t="shared" si="7"/>
        <v>6</v>
      </c>
      <c r="H49" s="61" t="str">
        <f t="shared" si="8"/>
        <v/>
      </c>
      <c r="I49" s="62" t="str">
        <f t="shared" si="9"/>
        <v/>
      </c>
      <c r="J49" s="63" t="str">
        <f t="shared" si="10"/>
        <v/>
      </c>
      <c r="K49" s="63" t="str">
        <f t="shared" si="11"/>
        <v/>
      </c>
      <c r="L49" s="63">
        <f t="shared" si="12"/>
        <v>6</v>
      </c>
      <c r="M49" s="63" t="str">
        <f t="shared" si="13"/>
        <v/>
      </c>
      <c r="N49" s="63" t="str">
        <f t="shared" si="14"/>
        <v/>
      </c>
      <c r="O49" s="64">
        <f t="shared" si="15"/>
        <v>6</v>
      </c>
      <c r="P49" s="64" t="str">
        <f t="shared" si="16"/>
        <v/>
      </c>
      <c r="Q49" s="54"/>
      <c r="R49" s="8" t="s">
        <v>79</v>
      </c>
      <c r="S49" s="14">
        <v>44334.0</v>
      </c>
      <c r="T49" s="16">
        <f>VLOOKUP(R49,'Run Reconcile'!$A$2:$L783,12,FALSE)</f>
        <v>6</v>
      </c>
      <c r="U49" s="16" t="str">
        <f t="shared" si="17"/>
        <v/>
      </c>
      <c r="V49" s="16" t="str">
        <f t="shared" si="18"/>
        <v/>
      </c>
      <c r="W49" s="16"/>
      <c r="X49" s="54"/>
      <c r="Y49" s="8" t="str">
        <f>IFERROR(__xludf.DUMMYFUNCTION("""COMPUTED_VALUE"""),"RUN-FLMP_2022-01-13_RFR-057")</f>
        <v>RUN-FLMP_2022-01-13_RFR-057</v>
      </c>
      <c r="Z49" s="14">
        <f>IFERROR(__xludf.DUMMYFUNCTION("""COMPUTED_VALUE"""),44574.0)</f>
        <v>44574</v>
      </c>
      <c r="AA49" s="62">
        <f t="array" ref="AA49">INDEX('RFR Data - preExcl'!AK$2:AK783,$AE49,1)</f>
        <v>30</v>
      </c>
      <c r="AB49" s="16">
        <f t="shared" si="19"/>
        <v>30</v>
      </c>
      <c r="AC49" s="16">
        <f t="array" ref="AC49">INDEX('RFR Data - preExcl'!AI$2:AI783,$AE49,1)</f>
        <v>0</v>
      </c>
      <c r="AD49" s="16">
        <f t="array" ref="AD49">INDEX('RFR Data - preExcl'!AF$2:AF783,$AE49,1)</f>
        <v>0</v>
      </c>
      <c r="AE49" s="66">
        <f>IFNA(MATCH(Y49,'RFR Data - preExcl'!A$2:A783,0),"")</f>
        <v>53</v>
      </c>
      <c r="AF49" s="54"/>
      <c r="AG49" s="70" t="s">
        <v>79</v>
      </c>
      <c r="AH49" s="68">
        <f>VLOOKUP(AG49,'Run Reconcile'!A$2:B783,2,FALSE)</f>
        <v>44334</v>
      </c>
      <c r="AI49" s="69">
        <f>COUNTIF('APS Tubes IMPORT'!$V$2:$V783, AG49)
</f>
        <v>6</v>
      </c>
      <c r="AJ49" s="69">
        <f>COUNTIFS('APS Tubes IMPORT'!V$2:V783, AG49, 'APS Tubes IMPORT'!H$2:H783, "Negative")
</f>
        <v>6</v>
      </c>
      <c r="AK49" s="69">
        <f>COUNTIFS('APS Tubes IMPORT'!V$2:V783, AG49, 'APS Tubes IMPORT'!H$2:H783, "Positive")
</f>
        <v>0</v>
      </c>
      <c r="AL49" s="69">
        <f>COUNTIFS('APS Tubes IMPORT'!V$2:V783, AG49, 'APS Tubes IMPORT'!H$2:H783, "Inconclusive")
</f>
        <v>0</v>
      </c>
      <c r="AM49" s="69">
        <f>COUNTIFS('APS Tubes IMPORT'!V$2:V783, AG49, 'APS Tubes IMPORT'!H$2:H783, "Null")
</f>
        <v>0</v>
      </c>
      <c r="AN49" s="54"/>
      <c r="AO49" s="14">
        <f>'APS Tubes by Date IMPORT'!B48</f>
        <v>44334</v>
      </c>
      <c r="AP49" s="16">
        <f>'APS Tubes by Date IMPORT'!C48</f>
        <v>6</v>
      </c>
      <c r="AQ49" s="16">
        <f>'APS Tubes by Date IMPORT'!D48</f>
        <v>6</v>
      </c>
      <c r="AR49" s="16">
        <f>'APS Tubes by Date IMPORT'!E48</f>
        <v>0</v>
      </c>
      <c r="AS49" s="16">
        <f>'APS Tubes by Date IMPORT'!F48</f>
        <v>0</v>
      </c>
      <c r="AT49" s="16">
        <f>'APS Tubes by Date IMPORT'!G48</f>
        <v>0</v>
      </c>
      <c r="AU49" s="54"/>
    </row>
    <row r="50">
      <c r="A50" s="8" t="s">
        <v>80</v>
      </c>
      <c r="B50" s="58">
        <f>VLOOKUP(A50,'Run Reconcile'!A$2:B783,2,FALSE)</f>
        <v>44364</v>
      </c>
      <c r="C50" s="59">
        <f>COUNTIF('ALL Tube Results'!B49:B783, A50)
</f>
        <v>2</v>
      </c>
      <c r="D50" s="60">
        <f>COUNTIFS('ALL Tube Results'!$B49:$B783, $A50, 'ALL Tube Results'!$F49:$F783, "Negative")
</f>
        <v>2</v>
      </c>
      <c r="E50" s="60">
        <f>COUNTIFS('ALL Tube Results'!$B49:$B783, $A50, 'ALL Tube Results'!$F49:$F783, "Positive")
</f>
        <v>0</v>
      </c>
      <c r="F50" s="60">
        <f>COUNTIFS('ALL Tube Results'!$B49:$B783, $A50, 'ALL Tube Results'!$F49:$F783, "Inconclusive")
</f>
        <v>0</v>
      </c>
      <c r="G50" s="61">
        <f t="shared" si="7"/>
        <v>2</v>
      </c>
      <c r="H50" s="61" t="str">
        <f t="shared" si="8"/>
        <v/>
      </c>
      <c r="I50" s="62" t="str">
        <f t="shared" si="9"/>
        <v/>
      </c>
      <c r="J50" s="63" t="str">
        <f t="shared" si="10"/>
        <v/>
      </c>
      <c r="K50" s="63" t="str">
        <f t="shared" si="11"/>
        <v/>
      </c>
      <c r="L50" s="63">
        <f t="shared" si="12"/>
        <v>2</v>
      </c>
      <c r="M50" s="63" t="str">
        <f t="shared" si="13"/>
        <v/>
      </c>
      <c r="N50" s="63" t="str">
        <f t="shared" si="14"/>
        <v/>
      </c>
      <c r="O50" s="64">
        <f t="shared" si="15"/>
        <v>2</v>
      </c>
      <c r="P50" s="64" t="str">
        <f t="shared" si="16"/>
        <v/>
      </c>
      <c r="Q50" s="54"/>
      <c r="R50" s="8" t="s">
        <v>80</v>
      </c>
      <c r="S50" s="14">
        <v>44364.0</v>
      </c>
      <c r="T50" s="16">
        <f>VLOOKUP(R50,'Run Reconcile'!$A$2:$L783,12,FALSE)</f>
        <v>2</v>
      </c>
      <c r="U50" s="16" t="str">
        <f t="shared" si="17"/>
        <v/>
      </c>
      <c r="V50" s="16" t="str">
        <f t="shared" si="18"/>
        <v/>
      </c>
      <c r="W50" s="16"/>
      <c r="X50" s="54"/>
      <c r="Y50" s="8" t="str">
        <f>IFERROR(__xludf.DUMMYFUNCTION("""COMPUTED_VALUE"""),"RUN-FLMP_2022-01-15_RFR-060")</f>
        <v>RUN-FLMP_2022-01-15_RFR-060</v>
      </c>
      <c r="Z50" s="14">
        <f>IFERROR(__xludf.DUMMYFUNCTION("""COMPUTED_VALUE"""),44576.0)</f>
        <v>44576</v>
      </c>
      <c r="AA50" s="62">
        <f t="array" ref="AA50">INDEX('RFR Data - preExcl'!AK$2:AK783,$AE50,1)</f>
        <v>4</v>
      </c>
      <c r="AB50" s="16">
        <f t="shared" si="19"/>
        <v>4</v>
      </c>
      <c r="AC50" s="16">
        <f t="array" ref="AC50">INDEX('RFR Data - preExcl'!AI$2:AI783,$AE50,1)</f>
        <v>0</v>
      </c>
      <c r="AD50" s="16">
        <f t="array" ref="AD50">INDEX('RFR Data - preExcl'!AF$2:AF783,$AE50,1)</f>
        <v>0</v>
      </c>
      <c r="AE50" s="66">
        <f>IFNA(MATCH(Y50,'RFR Data - preExcl'!A$2:A783,0),"")</f>
        <v>56</v>
      </c>
      <c r="AF50" s="54"/>
      <c r="AG50" s="70" t="s">
        <v>80</v>
      </c>
      <c r="AH50" s="68">
        <f>VLOOKUP(AG50,'Run Reconcile'!A$2:B783,2,FALSE)</f>
        <v>44364</v>
      </c>
      <c r="AI50" s="69">
        <f>COUNTIF('APS Tubes IMPORT'!$V$2:$V783, AG50)
</f>
        <v>2</v>
      </c>
      <c r="AJ50" s="69">
        <f>COUNTIFS('APS Tubes IMPORT'!V$2:V783, AG50, 'APS Tubes IMPORT'!H$2:H783, "Negative")
</f>
        <v>2</v>
      </c>
      <c r="AK50" s="69">
        <f>COUNTIFS('APS Tubes IMPORT'!V$2:V783, AG50, 'APS Tubes IMPORT'!H$2:H783, "Positive")
</f>
        <v>0</v>
      </c>
      <c r="AL50" s="69">
        <f>COUNTIFS('APS Tubes IMPORT'!V$2:V783, AG50, 'APS Tubes IMPORT'!H$2:H783, "Inconclusive")
</f>
        <v>0</v>
      </c>
      <c r="AM50" s="69">
        <f>COUNTIFS('APS Tubes IMPORT'!V$2:V783, AG50, 'APS Tubes IMPORT'!H$2:H783, "Null")
</f>
        <v>0</v>
      </c>
      <c r="AN50" s="54"/>
      <c r="AO50" s="14">
        <f>'APS Tubes by Date IMPORT'!B49</f>
        <v>44364</v>
      </c>
      <c r="AP50" s="16">
        <f>'APS Tubes by Date IMPORT'!C49</f>
        <v>2</v>
      </c>
      <c r="AQ50" s="16">
        <f>'APS Tubes by Date IMPORT'!D49</f>
        <v>2</v>
      </c>
      <c r="AR50" s="16">
        <f>'APS Tubes by Date IMPORT'!E49</f>
        <v>0</v>
      </c>
      <c r="AS50" s="16">
        <f>'APS Tubes by Date IMPORT'!F49</f>
        <v>0</v>
      </c>
      <c r="AT50" s="16">
        <f>'APS Tubes by Date IMPORT'!G49</f>
        <v>0</v>
      </c>
      <c r="AU50" s="54"/>
    </row>
    <row r="51">
      <c r="A51" s="8" t="s">
        <v>81</v>
      </c>
      <c r="B51" s="58">
        <f>VLOOKUP(A51,'Run Reconcile'!A$2:B783,2,FALSE)</f>
        <v>44442</v>
      </c>
      <c r="C51" s="59">
        <f>COUNTIF('ALL Tube Results'!B50:B783, A51)
</f>
        <v>4</v>
      </c>
      <c r="D51" s="60">
        <f>COUNTIFS('ALL Tube Results'!$B50:$B783, $A51, 'ALL Tube Results'!$F50:$F783, "Negative")
</f>
        <v>4</v>
      </c>
      <c r="E51" s="60">
        <f>COUNTIFS('ALL Tube Results'!$B50:$B783, $A51, 'ALL Tube Results'!$F50:$F783, "Positive")
</f>
        <v>0</v>
      </c>
      <c r="F51" s="60">
        <f>COUNTIFS('ALL Tube Results'!$B50:$B783, $A51, 'ALL Tube Results'!$F50:$F783, "Inconclusive")
</f>
        <v>0</v>
      </c>
      <c r="G51" s="61">
        <f t="shared" si="7"/>
        <v>4</v>
      </c>
      <c r="H51" s="61" t="str">
        <f t="shared" si="8"/>
        <v/>
      </c>
      <c r="I51" s="62" t="str">
        <f t="shared" si="9"/>
        <v/>
      </c>
      <c r="J51" s="63" t="str">
        <f t="shared" si="10"/>
        <v/>
      </c>
      <c r="K51" s="63" t="str">
        <f t="shared" si="11"/>
        <v/>
      </c>
      <c r="L51" s="63">
        <f t="shared" si="12"/>
        <v>4</v>
      </c>
      <c r="M51" s="63" t="str">
        <f t="shared" si="13"/>
        <v/>
      </c>
      <c r="N51" s="63" t="str">
        <f t="shared" si="14"/>
        <v/>
      </c>
      <c r="O51" s="64">
        <f t="shared" si="15"/>
        <v>4</v>
      </c>
      <c r="P51" s="64" t="str">
        <f t="shared" si="16"/>
        <v/>
      </c>
      <c r="Q51" s="54"/>
      <c r="R51" s="8" t="s">
        <v>81</v>
      </c>
      <c r="S51" s="14">
        <v>44442.0</v>
      </c>
      <c r="T51" s="16">
        <f>VLOOKUP(R51,'Run Reconcile'!$A$2:$L783,12,FALSE)</f>
        <v>4</v>
      </c>
      <c r="U51" s="16" t="str">
        <f t="shared" si="17"/>
        <v/>
      </c>
      <c r="V51" s="16" t="str">
        <f t="shared" si="18"/>
        <v/>
      </c>
      <c r="W51" s="16"/>
      <c r="X51" s="54"/>
      <c r="Y51" s="8" t="str">
        <f>IFERROR(__xludf.DUMMYFUNCTION("""COMPUTED_VALUE"""),"RUN-FLMP_2022-01-17_RFR-061")</f>
        <v>RUN-FLMP_2022-01-17_RFR-061</v>
      </c>
      <c r="Z51" s="14">
        <f>IFERROR(__xludf.DUMMYFUNCTION("""COMPUTED_VALUE"""),44578.0)</f>
        <v>44578</v>
      </c>
      <c r="AA51" s="62">
        <f t="array" ref="AA51">INDEX('RFR Data - preExcl'!AK$2:AK783,$AE51,1)</f>
        <v>5</v>
      </c>
      <c r="AB51" s="16">
        <f t="shared" si="19"/>
        <v>5</v>
      </c>
      <c r="AC51" s="16">
        <f t="array" ref="AC51">INDEX('RFR Data - preExcl'!AI$2:AI783,$AE51,1)</f>
        <v>0</v>
      </c>
      <c r="AD51" s="16">
        <f t="array" ref="AD51">INDEX('RFR Data - preExcl'!AF$2:AF783,$AE51,1)</f>
        <v>0</v>
      </c>
      <c r="AE51" s="66">
        <f>IFNA(MATCH(Y51,'RFR Data - preExcl'!A$2:A783,0),"")</f>
        <v>57</v>
      </c>
      <c r="AF51" s="54"/>
      <c r="AG51" s="70" t="s">
        <v>81</v>
      </c>
      <c r="AH51" s="68">
        <f>VLOOKUP(AG51,'Run Reconcile'!A$2:B783,2,FALSE)</f>
        <v>44442</v>
      </c>
      <c r="AI51" s="69">
        <f>COUNTIF('APS Tubes IMPORT'!$V$2:$V783, AG51)
</f>
        <v>4</v>
      </c>
      <c r="AJ51" s="69">
        <f>COUNTIFS('APS Tubes IMPORT'!V$2:V783, AG51, 'APS Tubes IMPORT'!H$2:H783, "Negative")
</f>
        <v>4</v>
      </c>
      <c r="AK51" s="69">
        <f>COUNTIFS('APS Tubes IMPORT'!V$2:V783, AG51, 'APS Tubes IMPORT'!H$2:H783, "Positive")
</f>
        <v>0</v>
      </c>
      <c r="AL51" s="69">
        <f>COUNTIFS('APS Tubes IMPORT'!V$2:V783, AG51, 'APS Tubes IMPORT'!H$2:H783, "Inconclusive")
</f>
        <v>0</v>
      </c>
      <c r="AM51" s="69">
        <f>COUNTIFS('APS Tubes IMPORT'!V$2:V783, AG51, 'APS Tubes IMPORT'!H$2:H783, "Null")
</f>
        <v>0</v>
      </c>
      <c r="AN51" s="54"/>
      <c r="AO51" s="14">
        <f>'APS Tubes by Date IMPORT'!B50</f>
        <v>44442</v>
      </c>
      <c r="AP51" s="16">
        <f>'APS Tubes by Date IMPORT'!C50</f>
        <v>4</v>
      </c>
      <c r="AQ51" s="16">
        <f>'APS Tubes by Date IMPORT'!D50</f>
        <v>4</v>
      </c>
      <c r="AR51" s="16">
        <f>'APS Tubes by Date IMPORT'!E50</f>
        <v>0</v>
      </c>
      <c r="AS51" s="16">
        <f>'APS Tubes by Date IMPORT'!F50</f>
        <v>0</v>
      </c>
      <c r="AT51" s="16">
        <f>'APS Tubes by Date IMPORT'!G50</f>
        <v>0</v>
      </c>
      <c r="AU51" s="54"/>
    </row>
    <row r="52">
      <c r="A52" s="8" t="s">
        <v>82</v>
      </c>
      <c r="B52" s="58">
        <f>VLOOKUP(A52,'Run Reconcile'!A$2:B783,2,FALSE)</f>
        <v>44449</v>
      </c>
      <c r="C52" s="59">
        <f>COUNTIF('ALL Tube Results'!B51:B783, A52)
</f>
        <v>2</v>
      </c>
      <c r="D52" s="60">
        <f>COUNTIFS('ALL Tube Results'!$B51:$B783, $A52, 'ALL Tube Results'!$F51:$F783, "Negative")
</f>
        <v>2</v>
      </c>
      <c r="E52" s="60">
        <f>COUNTIFS('ALL Tube Results'!$B51:$B783, $A52, 'ALL Tube Results'!$F51:$F783, "Positive")
</f>
        <v>0</v>
      </c>
      <c r="F52" s="60">
        <f>COUNTIFS('ALL Tube Results'!$B51:$B783, $A52, 'ALL Tube Results'!$F51:$F783, "Inconclusive")
</f>
        <v>0</v>
      </c>
      <c r="G52" s="61">
        <f t="shared" si="7"/>
        <v>2</v>
      </c>
      <c r="H52" s="61" t="str">
        <f t="shared" si="8"/>
        <v/>
      </c>
      <c r="I52" s="62" t="str">
        <f t="shared" si="9"/>
        <v/>
      </c>
      <c r="J52" s="63" t="str">
        <f t="shared" si="10"/>
        <v/>
      </c>
      <c r="K52" s="63" t="str">
        <f t="shared" si="11"/>
        <v/>
      </c>
      <c r="L52" s="63">
        <f t="shared" si="12"/>
        <v>2</v>
      </c>
      <c r="M52" s="63" t="str">
        <f t="shared" si="13"/>
        <v/>
      </c>
      <c r="N52" s="63" t="str">
        <f t="shared" si="14"/>
        <v/>
      </c>
      <c r="O52" s="64">
        <f t="shared" si="15"/>
        <v>2</v>
      </c>
      <c r="P52" s="64" t="str">
        <f t="shared" si="16"/>
        <v/>
      </c>
      <c r="Q52" s="54"/>
      <c r="R52" s="8" t="s">
        <v>82</v>
      </c>
      <c r="S52" s="14">
        <v>44449.0</v>
      </c>
      <c r="T52" s="16">
        <f>VLOOKUP(R52,'Run Reconcile'!$A$2:$L783,12,FALSE)</f>
        <v>2</v>
      </c>
      <c r="U52" s="16" t="str">
        <f t="shared" si="17"/>
        <v/>
      </c>
      <c r="V52" s="16" t="str">
        <f t="shared" si="18"/>
        <v/>
      </c>
      <c r="W52" s="16"/>
      <c r="X52" s="54"/>
      <c r="Y52" s="8" t="str">
        <f>IFERROR(__xludf.DUMMYFUNCTION("""COMPUTED_VALUE"""),"RUN-FLMP_2022-01-17_RFR-063")</f>
        <v>RUN-FLMP_2022-01-17_RFR-063</v>
      </c>
      <c r="Z52" s="14">
        <f>IFERROR(__xludf.DUMMYFUNCTION("""COMPUTED_VALUE"""),44578.0)</f>
        <v>44578</v>
      </c>
      <c r="AA52" s="62">
        <f t="array" ref="AA52">INDEX('RFR Data - preExcl'!AK$2:AK783,$AE52,1)</f>
        <v>38</v>
      </c>
      <c r="AB52" s="16">
        <f t="shared" si="19"/>
        <v>33</v>
      </c>
      <c r="AC52" s="16">
        <f t="array" ref="AC52">INDEX('RFR Data - preExcl'!AI$2:AI783,$AE52,1)</f>
        <v>5</v>
      </c>
      <c r="AD52" s="16">
        <f t="array" ref="AD52">INDEX('RFR Data - preExcl'!AF$2:AF783,$AE52,1)</f>
        <v>0</v>
      </c>
      <c r="AE52" s="66">
        <f>IFNA(MATCH(Y52,'RFR Data - preExcl'!A$2:A783,0),"")</f>
        <v>58</v>
      </c>
      <c r="AF52" s="54"/>
      <c r="AG52" s="70" t="s">
        <v>82</v>
      </c>
      <c r="AH52" s="68">
        <f>VLOOKUP(AG52,'Run Reconcile'!A$2:B783,2,FALSE)</f>
        <v>44449</v>
      </c>
      <c r="AI52" s="69">
        <f>COUNTIF('APS Tubes IMPORT'!$V$2:$V783, AG52)
</f>
        <v>2</v>
      </c>
      <c r="AJ52" s="69">
        <f>COUNTIFS('APS Tubes IMPORT'!V$2:V783, AG52, 'APS Tubes IMPORT'!H$2:H783, "Negative")
</f>
        <v>2</v>
      </c>
      <c r="AK52" s="69">
        <f>COUNTIFS('APS Tubes IMPORT'!V$2:V783, AG52, 'APS Tubes IMPORT'!H$2:H783, "Positive")
</f>
        <v>0</v>
      </c>
      <c r="AL52" s="69">
        <f>COUNTIFS('APS Tubes IMPORT'!V$2:V783, AG52, 'APS Tubes IMPORT'!H$2:H783, "Inconclusive")
</f>
        <v>0</v>
      </c>
      <c r="AM52" s="69">
        <f>COUNTIFS('APS Tubes IMPORT'!V$2:V783, AG52, 'APS Tubes IMPORT'!H$2:H783, "Null")
</f>
        <v>0</v>
      </c>
      <c r="AN52" s="54"/>
      <c r="AO52" s="14">
        <f>'APS Tubes by Date IMPORT'!B51</f>
        <v>44449</v>
      </c>
      <c r="AP52" s="16">
        <f>'APS Tubes by Date IMPORT'!C51</f>
        <v>2</v>
      </c>
      <c r="AQ52" s="16">
        <f>'APS Tubes by Date IMPORT'!D51</f>
        <v>2</v>
      </c>
      <c r="AR52" s="16">
        <f>'APS Tubes by Date IMPORT'!E51</f>
        <v>0</v>
      </c>
      <c r="AS52" s="16">
        <f>'APS Tubes by Date IMPORT'!F51</f>
        <v>0</v>
      </c>
      <c r="AT52" s="16">
        <f>'APS Tubes by Date IMPORT'!G51</f>
        <v>0</v>
      </c>
      <c r="AU52" s="54"/>
    </row>
    <row r="53">
      <c r="A53" s="8" t="s">
        <v>83</v>
      </c>
      <c r="B53" s="58">
        <f>VLOOKUP(A53,'Run Reconcile'!A$2:B783,2,FALSE)</f>
        <v>44452</v>
      </c>
      <c r="C53" s="59">
        <f>COUNTIF('ALL Tube Results'!B52:B783, A53)
</f>
        <v>3</v>
      </c>
      <c r="D53" s="60">
        <f>COUNTIFS('ALL Tube Results'!$B52:$B783, $A53, 'ALL Tube Results'!$F52:$F783, "Negative")
</f>
        <v>3</v>
      </c>
      <c r="E53" s="60">
        <f>COUNTIFS('ALL Tube Results'!$B52:$B783, $A53, 'ALL Tube Results'!$F52:$F783, "Positive")
</f>
        <v>0</v>
      </c>
      <c r="F53" s="60">
        <f>COUNTIFS('ALL Tube Results'!$B52:$B783, $A53, 'ALL Tube Results'!$F52:$F783, "Inconclusive")
</f>
        <v>0</v>
      </c>
      <c r="G53" s="61">
        <f t="shared" si="7"/>
        <v>3</v>
      </c>
      <c r="H53" s="61" t="str">
        <f t="shared" si="8"/>
        <v/>
      </c>
      <c r="I53" s="62" t="str">
        <f t="shared" si="9"/>
        <v/>
      </c>
      <c r="J53" s="63" t="str">
        <f t="shared" si="10"/>
        <v/>
      </c>
      <c r="K53" s="63" t="str">
        <f t="shared" si="11"/>
        <v/>
      </c>
      <c r="L53" s="63">
        <f t="shared" si="12"/>
        <v>3</v>
      </c>
      <c r="M53" s="63" t="str">
        <f t="shared" si="13"/>
        <v/>
      </c>
      <c r="N53" s="63" t="str">
        <f t="shared" si="14"/>
        <v/>
      </c>
      <c r="O53" s="64">
        <f t="shared" si="15"/>
        <v>3</v>
      </c>
      <c r="P53" s="64" t="str">
        <f t="shared" si="16"/>
        <v/>
      </c>
      <c r="Q53" s="54"/>
      <c r="R53" s="8" t="s">
        <v>83</v>
      </c>
      <c r="S53" s="14">
        <v>44452.0</v>
      </c>
      <c r="T53" s="16">
        <f>VLOOKUP(R53,'Run Reconcile'!$A$2:$L783,12,FALSE)</f>
        <v>3</v>
      </c>
      <c r="U53" s="16" t="str">
        <f t="shared" si="17"/>
        <v/>
      </c>
      <c r="V53" s="16" t="str">
        <f t="shared" si="18"/>
        <v/>
      </c>
      <c r="W53" s="16"/>
      <c r="X53" s="54"/>
      <c r="Y53" s="8" t="str">
        <f>IFERROR(__xludf.DUMMYFUNCTION("""COMPUTED_VALUE"""),"RUN-FLMP_2022-01-18_RFR-065")</f>
        <v>RUN-FLMP_2022-01-18_RFR-065</v>
      </c>
      <c r="Z53" s="14">
        <f>IFERROR(__xludf.DUMMYFUNCTION("""COMPUTED_VALUE"""),44579.0)</f>
        <v>44579</v>
      </c>
      <c r="AA53" s="62">
        <f t="array" ref="AA53">INDEX('RFR Data - preExcl'!AK$2:AK783,$AE53,1)</f>
        <v>5</v>
      </c>
      <c r="AB53" s="16">
        <f t="shared" si="19"/>
        <v>1</v>
      </c>
      <c r="AC53" s="16">
        <f t="array" ref="AC53">INDEX('RFR Data - preExcl'!AI$2:AI783,$AE53,1)</f>
        <v>4</v>
      </c>
      <c r="AD53" s="16">
        <f t="array" ref="AD53">INDEX('RFR Data - preExcl'!AF$2:AF783,$AE53,1)</f>
        <v>0</v>
      </c>
      <c r="AE53" s="66">
        <f>IFNA(MATCH(Y53,'RFR Data - preExcl'!A$2:A783,0),"")</f>
        <v>60</v>
      </c>
      <c r="AF53" s="54"/>
      <c r="AG53" s="70" t="s">
        <v>83</v>
      </c>
      <c r="AH53" s="68">
        <f>VLOOKUP(AG53,'Run Reconcile'!A$2:B783,2,FALSE)</f>
        <v>44452</v>
      </c>
      <c r="AI53" s="69">
        <f>COUNTIF('APS Tubes IMPORT'!$V$2:$V783, AG53)
</f>
        <v>3</v>
      </c>
      <c r="AJ53" s="69">
        <f>COUNTIFS('APS Tubes IMPORT'!V$2:V783, AG53, 'APS Tubes IMPORT'!H$2:H783, "Negative")
</f>
        <v>3</v>
      </c>
      <c r="AK53" s="69">
        <f>COUNTIFS('APS Tubes IMPORT'!V$2:V783, AG53, 'APS Tubes IMPORT'!H$2:H783, "Positive")
</f>
        <v>0</v>
      </c>
      <c r="AL53" s="69">
        <f>COUNTIFS('APS Tubes IMPORT'!V$2:V783, AG53, 'APS Tubes IMPORT'!H$2:H783, "Inconclusive")
</f>
        <v>0</v>
      </c>
      <c r="AM53" s="69">
        <f>COUNTIFS('APS Tubes IMPORT'!V$2:V783, AG53, 'APS Tubes IMPORT'!H$2:H783, "Null")
</f>
        <v>0</v>
      </c>
      <c r="AN53" s="54"/>
      <c r="AO53" s="14">
        <f>'APS Tubes by Date IMPORT'!B52</f>
        <v>44452</v>
      </c>
      <c r="AP53" s="16">
        <f>'APS Tubes by Date IMPORT'!C52</f>
        <v>3</v>
      </c>
      <c r="AQ53" s="16">
        <f>'APS Tubes by Date IMPORT'!D52</f>
        <v>3</v>
      </c>
      <c r="AR53" s="16">
        <f>'APS Tubes by Date IMPORT'!E52</f>
        <v>0</v>
      </c>
      <c r="AS53" s="16">
        <f>'APS Tubes by Date IMPORT'!F52</f>
        <v>0</v>
      </c>
      <c r="AT53" s="16">
        <f>'APS Tubes by Date IMPORT'!G52</f>
        <v>0</v>
      </c>
      <c r="AU53" s="54"/>
    </row>
    <row r="54">
      <c r="A54" s="8" t="s">
        <v>84</v>
      </c>
      <c r="B54" s="58">
        <f>VLOOKUP(A54,'Run Reconcile'!A$2:B783,2,FALSE)</f>
        <v>44454</v>
      </c>
      <c r="C54" s="59">
        <f>COUNTIF('ALL Tube Results'!B53:B783, A54)
</f>
        <v>3</v>
      </c>
      <c r="D54" s="60">
        <f>COUNTIFS('ALL Tube Results'!$B53:$B783, $A54, 'ALL Tube Results'!$F53:$F783, "Negative")
</f>
        <v>3</v>
      </c>
      <c r="E54" s="60">
        <f>COUNTIFS('ALL Tube Results'!$B53:$B783, $A54, 'ALL Tube Results'!$F53:$F783, "Positive")
</f>
        <v>0</v>
      </c>
      <c r="F54" s="60">
        <f>COUNTIFS('ALL Tube Results'!$B53:$B783, $A54, 'ALL Tube Results'!$F53:$F783, "Inconclusive")
</f>
        <v>0</v>
      </c>
      <c r="G54" s="61">
        <f t="shared" si="7"/>
        <v>3</v>
      </c>
      <c r="H54" s="61" t="str">
        <f t="shared" si="8"/>
        <v/>
      </c>
      <c r="I54" s="62" t="str">
        <f t="shared" si="9"/>
        <v/>
      </c>
      <c r="J54" s="63" t="str">
        <f t="shared" si="10"/>
        <v/>
      </c>
      <c r="K54" s="63" t="str">
        <f t="shared" si="11"/>
        <v/>
      </c>
      <c r="L54" s="63">
        <f t="shared" si="12"/>
        <v>3</v>
      </c>
      <c r="M54" s="63" t="str">
        <f t="shared" si="13"/>
        <v/>
      </c>
      <c r="N54" s="63" t="str">
        <f t="shared" si="14"/>
        <v/>
      </c>
      <c r="O54" s="64">
        <f t="shared" si="15"/>
        <v>3</v>
      </c>
      <c r="P54" s="64" t="str">
        <f t="shared" si="16"/>
        <v/>
      </c>
      <c r="Q54" s="54"/>
      <c r="R54" s="8" t="s">
        <v>84</v>
      </c>
      <c r="S54" s="14">
        <v>44454.0</v>
      </c>
      <c r="T54" s="16">
        <f>VLOOKUP(R54,'Run Reconcile'!$A$2:$L783,12,FALSE)</f>
        <v>3</v>
      </c>
      <c r="U54" s="16" t="str">
        <f t="shared" si="17"/>
        <v/>
      </c>
      <c r="V54" s="16" t="str">
        <f t="shared" si="18"/>
        <v/>
      </c>
      <c r="W54" s="16"/>
      <c r="X54" s="54"/>
      <c r="Y54" s="8" t="str">
        <f>IFERROR(__xludf.DUMMYFUNCTION("""COMPUTED_VALUE"""),"RUN-FLMP_2022-01-18_RFR-066")</f>
        <v>RUN-FLMP_2022-01-18_RFR-066</v>
      </c>
      <c r="Z54" s="14">
        <f>IFERROR(__xludf.DUMMYFUNCTION("""COMPUTED_VALUE"""),44579.0)</f>
        <v>44579</v>
      </c>
      <c r="AA54" s="62">
        <f t="array" ref="AA54">INDEX('RFR Data - preExcl'!AK$2:AK783,$AE54,1)</f>
        <v>1</v>
      </c>
      <c r="AB54" s="16">
        <f t="shared" si="19"/>
        <v>1</v>
      </c>
      <c r="AC54" s="16">
        <f t="array" ref="AC54">INDEX('RFR Data - preExcl'!AI$2:AI783,$AE54,1)</f>
        <v>0</v>
      </c>
      <c r="AD54" s="16">
        <f t="array" ref="AD54">INDEX('RFR Data - preExcl'!AF$2:AF783,$AE54,1)</f>
        <v>0</v>
      </c>
      <c r="AE54" s="66">
        <f>IFNA(MATCH(Y54,'RFR Data - preExcl'!A$2:A783,0),"")</f>
        <v>61</v>
      </c>
      <c r="AF54" s="54"/>
      <c r="AG54" s="70" t="s">
        <v>84</v>
      </c>
      <c r="AH54" s="68">
        <f>VLOOKUP(AG54,'Run Reconcile'!A$2:B783,2,FALSE)</f>
        <v>44454</v>
      </c>
      <c r="AI54" s="69">
        <f>COUNTIF('APS Tubes IMPORT'!$V$2:$V783, AG54)
</f>
        <v>3</v>
      </c>
      <c r="AJ54" s="69">
        <f>COUNTIFS('APS Tubes IMPORT'!V$2:V783, AG54, 'APS Tubes IMPORT'!H$2:H783, "Negative")
</f>
        <v>3</v>
      </c>
      <c r="AK54" s="69">
        <f>COUNTIFS('APS Tubes IMPORT'!V$2:V783, AG54, 'APS Tubes IMPORT'!H$2:H783, "Positive")
</f>
        <v>0</v>
      </c>
      <c r="AL54" s="69">
        <f>COUNTIFS('APS Tubes IMPORT'!V$2:V783, AG54, 'APS Tubes IMPORT'!H$2:H783, "Inconclusive")
</f>
        <v>0</v>
      </c>
      <c r="AM54" s="69">
        <f>COUNTIFS('APS Tubes IMPORT'!V$2:V783, AG54, 'APS Tubes IMPORT'!H$2:H783, "Null")
</f>
        <v>0</v>
      </c>
      <c r="AN54" s="54"/>
      <c r="AO54" s="14">
        <f>'APS Tubes by Date IMPORT'!B53</f>
        <v>44454</v>
      </c>
      <c r="AP54" s="16">
        <f>'APS Tubes by Date IMPORT'!C53</f>
        <v>3</v>
      </c>
      <c r="AQ54" s="16">
        <f>'APS Tubes by Date IMPORT'!D53</f>
        <v>3</v>
      </c>
      <c r="AR54" s="16">
        <f>'APS Tubes by Date IMPORT'!E53</f>
        <v>0</v>
      </c>
      <c r="AS54" s="16">
        <f>'APS Tubes by Date IMPORT'!F53</f>
        <v>0</v>
      </c>
      <c r="AT54" s="16">
        <f>'APS Tubes by Date IMPORT'!G53</f>
        <v>0</v>
      </c>
      <c r="AU54" s="54"/>
    </row>
    <row r="55">
      <c r="A55" s="8" t="s">
        <v>85</v>
      </c>
      <c r="B55" s="58">
        <f>VLOOKUP(A55,'Run Reconcile'!A$2:B783,2,FALSE)</f>
        <v>44460</v>
      </c>
      <c r="C55" s="59">
        <f>COUNTIF('ALL Tube Results'!B54:B783, A55)
</f>
        <v>2</v>
      </c>
      <c r="D55" s="60">
        <f>COUNTIFS('ALL Tube Results'!$B54:$B783, $A55, 'ALL Tube Results'!$F54:$F783, "Negative")
</f>
        <v>2</v>
      </c>
      <c r="E55" s="60">
        <f>COUNTIFS('ALL Tube Results'!$B54:$B783, $A55, 'ALL Tube Results'!$F54:$F783, "Positive")
</f>
        <v>0</v>
      </c>
      <c r="F55" s="60">
        <f>COUNTIFS('ALL Tube Results'!$B54:$B783, $A55, 'ALL Tube Results'!$F54:$F783, "Inconclusive")
</f>
        <v>0</v>
      </c>
      <c r="G55" s="61">
        <f t="shared" si="7"/>
        <v>2</v>
      </c>
      <c r="H55" s="61" t="str">
        <f t="shared" si="8"/>
        <v/>
      </c>
      <c r="I55" s="62" t="str">
        <f t="shared" si="9"/>
        <v/>
      </c>
      <c r="J55" s="63" t="str">
        <f t="shared" si="10"/>
        <v/>
      </c>
      <c r="K55" s="63" t="str">
        <f t="shared" si="11"/>
        <v/>
      </c>
      <c r="L55" s="63">
        <f t="shared" si="12"/>
        <v>2</v>
      </c>
      <c r="M55" s="63" t="str">
        <f t="shared" si="13"/>
        <v/>
      </c>
      <c r="N55" s="63" t="str">
        <f t="shared" si="14"/>
        <v/>
      </c>
      <c r="O55" s="64">
        <f t="shared" si="15"/>
        <v>2</v>
      </c>
      <c r="P55" s="64" t="str">
        <f t="shared" si="16"/>
        <v/>
      </c>
      <c r="Q55" s="54"/>
      <c r="R55" s="8" t="s">
        <v>85</v>
      </c>
      <c r="S55" s="14">
        <v>44460.0</v>
      </c>
      <c r="T55" s="16">
        <f>VLOOKUP(R55,'Run Reconcile'!$A$2:$L783,12,FALSE)</f>
        <v>2</v>
      </c>
      <c r="U55" s="16" t="str">
        <f t="shared" si="17"/>
        <v/>
      </c>
      <c r="V55" s="16" t="str">
        <f t="shared" si="18"/>
        <v/>
      </c>
      <c r="W55" s="16"/>
      <c r="X55" s="54"/>
      <c r="Y55" s="8" t="str">
        <f>IFERROR(__xludf.DUMMYFUNCTION("""COMPUTED_VALUE"""),"RUN-FLMP_2022-01-20_RFR-067")</f>
        <v>RUN-FLMP_2022-01-20_RFR-067</v>
      </c>
      <c r="Z55" s="14">
        <f>IFERROR(__xludf.DUMMYFUNCTION("""COMPUTED_VALUE"""),44581.0)</f>
        <v>44581</v>
      </c>
      <c r="AA55" s="62">
        <f t="array" ref="AA55">INDEX('RFR Data - preExcl'!AK$2:AK783,$AE55,1)</f>
        <v>31</v>
      </c>
      <c r="AB55" s="16">
        <f t="shared" si="19"/>
        <v>31</v>
      </c>
      <c r="AC55" s="16">
        <f t="array" ref="AC55">INDEX('RFR Data - preExcl'!AI$2:AI783,$AE55,1)</f>
        <v>0</v>
      </c>
      <c r="AD55" s="16">
        <f t="array" ref="AD55">INDEX('RFR Data - preExcl'!AF$2:AF783,$AE55,1)</f>
        <v>0</v>
      </c>
      <c r="AE55" s="66">
        <f>IFNA(MATCH(Y55,'RFR Data - preExcl'!A$2:A783,0),"")</f>
        <v>62</v>
      </c>
      <c r="AF55" s="54"/>
      <c r="AG55" s="70" t="s">
        <v>85</v>
      </c>
      <c r="AH55" s="68">
        <f>VLOOKUP(AG55,'Run Reconcile'!A$2:B783,2,FALSE)</f>
        <v>44460</v>
      </c>
      <c r="AI55" s="69">
        <f>COUNTIF('APS Tubes IMPORT'!$V$2:$V783, AG55)
</f>
        <v>2</v>
      </c>
      <c r="AJ55" s="69">
        <f>COUNTIFS('APS Tubes IMPORT'!V$2:V783, AG55, 'APS Tubes IMPORT'!H$2:H783, "Negative")
</f>
        <v>2</v>
      </c>
      <c r="AK55" s="69">
        <f>COUNTIFS('APS Tubes IMPORT'!V$2:V783, AG55, 'APS Tubes IMPORT'!H$2:H783, "Positive")
</f>
        <v>0</v>
      </c>
      <c r="AL55" s="69">
        <f>COUNTIFS('APS Tubes IMPORT'!V$2:V783, AG55, 'APS Tubes IMPORT'!H$2:H783, "Inconclusive")
</f>
        <v>0</v>
      </c>
      <c r="AM55" s="69">
        <f>COUNTIFS('APS Tubes IMPORT'!V$2:V783, AG55, 'APS Tubes IMPORT'!H$2:H783, "Null")
</f>
        <v>0</v>
      </c>
      <c r="AN55" s="54"/>
      <c r="AO55" s="14">
        <f>'APS Tubes by Date IMPORT'!B54</f>
        <v>44460</v>
      </c>
      <c r="AP55" s="16">
        <f>'APS Tubes by Date IMPORT'!D54</f>
        <v>2</v>
      </c>
      <c r="AQ55" s="16">
        <f>'APS Tubes by Date IMPORT'!D54</f>
        <v>2</v>
      </c>
      <c r="AR55" s="16">
        <f>'APS Tubes by Date IMPORT'!E54</f>
        <v>0</v>
      </c>
      <c r="AS55" s="16">
        <f>'APS Tubes by Date IMPORT'!F54</f>
        <v>0</v>
      </c>
      <c r="AT55" s="16">
        <f>'APS Tubes by Date IMPORT'!G54</f>
        <v>0</v>
      </c>
      <c r="AU55" s="54"/>
    </row>
    <row r="56">
      <c r="A56" s="8" t="s">
        <v>86</v>
      </c>
      <c r="B56" s="58">
        <f>VLOOKUP(A56,'Run Reconcile'!A$2:B783,2,FALSE)</f>
        <v>44463</v>
      </c>
      <c r="C56" s="59">
        <f>COUNTIF('ALL Tube Results'!B55:B783, A56)
</f>
        <v>2</v>
      </c>
      <c r="D56" s="60">
        <f>COUNTIFS('ALL Tube Results'!$B55:$B783, $A56, 'ALL Tube Results'!$F55:$F783, "Negative")
</f>
        <v>2</v>
      </c>
      <c r="E56" s="60">
        <f>COUNTIFS('ALL Tube Results'!$B55:$B783, $A56, 'ALL Tube Results'!$F55:$F783, "Positive")
</f>
        <v>0</v>
      </c>
      <c r="F56" s="60">
        <f>COUNTIFS('ALL Tube Results'!$B55:$B783, $A56, 'ALL Tube Results'!$F55:$F783, "Inconclusive")
</f>
        <v>0</v>
      </c>
      <c r="G56" s="61">
        <f t="shared" si="7"/>
        <v>2</v>
      </c>
      <c r="H56" s="61" t="str">
        <f t="shared" si="8"/>
        <v/>
      </c>
      <c r="I56" s="62" t="str">
        <f t="shared" si="9"/>
        <v/>
      </c>
      <c r="J56" s="63" t="str">
        <f t="shared" si="10"/>
        <v/>
      </c>
      <c r="K56" s="63" t="str">
        <f t="shared" si="11"/>
        <v/>
      </c>
      <c r="L56" s="63">
        <f t="shared" si="12"/>
        <v>2</v>
      </c>
      <c r="M56" s="63" t="str">
        <f t="shared" si="13"/>
        <v/>
      </c>
      <c r="N56" s="63" t="str">
        <f t="shared" si="14"/>
        <v/>
      </c>
      <c r="O56" s="64">
        <f t="shared" si="15"/>
        <v>2</v>
      </c>
      <c r="P56" s="64" t="str">
        <f t="shared" si="16"/>
        <v/>
      </c>
      <c r="Q56" s="54"/>
      <c r="R56" s="8" t="s">
        <v>86</v>
      </c>
      <c r="S56" s="14">
        <v>44463.0</v>
      </c>
      <c r="T56" s="16">
        <f>VLOOKUP(R56,'Run Reconcile'!$A$2:$L783,12,FALSE)</f>
        <v>2</v>
      </c>
      <c r="U56" s="16" t="str">
        <f t="shared" si="17"/>
        <v/>
      </c>
      <c r="V56" s="16" t="str">
        <f t="shared" si="18"/>
        <v/>
      </c>
      <c r="W56" s="16"/>
      <c r="X56" s="54"/>
      <c r="Y56" s="8" t="str">
        <f>IFERROR(__xludf.DUMMYFUNCTION("""COMPUTED_VALUE"""),"RUN-FLMP_2022-01-20_RFR-070")</f>
        <v>RUN-FLMP_2022-01-20_RFR-070</v>
      </c>
      <c r="Z56" s="14">
        <f>IFERROR(__xludf.DUMMYFUNCTION("""COMPUTED_VALUE"""),44581.0)</f>
        <v>44581</v>
      </c>
      <c r="AA56" s="62">
        <f t="array" ref="AA56">INDEX('RFR Data - preExcl'!AK$2:AK783,$AE56,1)</f>
        <v>3</v>
      </c>
      <c r="AB56" s="16">
        <f t="shared" si="19"/>
        <v>3</v>
      </c>
      <c r="AC56" s="16">
        <f t="array" ref="AC56">INDEX('RFR Data - preExcl'!AI$2:AI783,$AE56,1)</f>
        <v>0</v>
      </c>
      <c r="AD56" s="16">
        <f t="array" ref="AD56">INDEX('RFR Data - preExcl'!AF$2:AF783,$AE56,1)</f>
        <v>0</v>
      </c>
      <c r="AE56" s="66">
        <f>IFNA(MATCH(Y56,'RFR Data - preExcl'!A$2:A783,0),"")</f>
        <v>64</v>
      </c>
      <c r="AF56" s="54"/>
      <c r="AG56" s="70" t="s">
        <v>86</v>
      </c>
      <c r="AH56" s="68">
        <f>VLOOKUP(AG56,'Run Reconcile'!A$2:B783,2,FALSE)</f>
        <v>44463</v>
      </c>
      <c r="AI56" s="69">
        <f>COUNTIF('APS Tubes IMPORT'!$V$2:$V783, AG56)
</f>
        <v>2</v>
      </c>
      <c r="AJ56" s="69">
        <f>COUNTIFS('APS Tubes IMPORT'!V$2:V783, AG56, 'APS Tubes IMPORT'!H$2:H783, "Negative")
</f>
        <v>2</v>
      </c>
      <c r="AK56" s="69">
        <f>COUNTIFS('APS Tubes IMPORT'!V$2:V783, AG56, 'APS Tubes IMPORT'!H$2:H783, "Positive")
</f>
        <v>0</v>
      </c>
      <c r="AL56" s="69">
        <f>COUNTIFS('APS Tubes IMPORT'!V$2:V783, AG56, 'APS Tubes IMPORT'!H$2:H783, "Inconclusive")
</f>
        <v>0</v>
      </c>
      <c r="AM56" s="69">
        <f>COUNTIFS('APS Tubes IMPORT'!V$2:V783, AG56, 'APS Tubes IMPORT'!H$2:H783, "Null")
</f>
        <v>0</v>
      </c>
      <c r="AN56" s="54"/>
      <c r="AO56" s="14">
        <f>'APS Tubes by Date IMPORT'!B55</f>
        <v>44463</v>
      </c>
      <c r="AP56" s="16">
        <f>'APS Tubes by Date IMPORT'!D55</f>
        <v>2</v>
      </c>
      <c r="AQ56" s="16">
        <f>'APS Tubes by Date IMPORT'!D55</f>
        <v>2</v>
      </c>
      <c r="AR56" s="16">
        <f>'APS Tubes by Date IMPORT'!E55</f>
        <v>0</v>
      </c>
      <c r="AS56" s="16">
        <f>'APS Tubes by Date IMPORT'!F55</f>
        <v>0</v>
      </c>
      <c r="AT56" s="16">
        <f>'APS Tubes by Date IMPORT'!G55</f>
        <v>0</v>
      </c>
      <c r="AU56" s="54"/>
    </row>
    <row r="57">
      <c r="A57" s="8" t="s">
        <v>87</v>
      </c>
      <c r="B57" s="58">
        <f>VLOOKUP(A57,'Run Reconcile'!A$2:B783,2,FALSE)</f>
        <v>44473</v>
      </c>
      <c r="C57" s="59">
        <f>COUNTIF('ALL Tube Results'!B56:B783, A57)
</f>
        <v>2</v>
      </c>
      <c r="D57" s="60">
        <f>COUNTIFS('ALL Tube Results'!$B56:$B783, $A57, 'ALL Tube Results'!$F56:$F783, "Negative")
</f>
        <v>2</v>
      </c>
      <c r="E57" s="60">
        <f>COUNTIFS('ALL Tube Results'!$B56:$B783, $A57, 'ALL Tube Results'!$F56:$F783, "Positive")
</f>
        <v>0</v>
      </c>
      <c r="F57" s="60">
        <f>COUNTIFS('ALL Tube Results'!$B56:$B783, $A57, 'ALL Tube Results'!$F56:$F783, "Inconclusive")
</f>
        <v>0</v>
      </c>
      <c r="G57" s="61">
        <f t="shared" si="7"/>
        <v>2</v>
      </c>
      <c r="H57" s="61" t="str">
        <f t="shared" si="8"/>
        <v/>
      </c>
      <c r="I57" s="62" t="str">
        <f t="shared" si="9"/>
        <v/>
      </c>
      <c r="J57" s="63" t="str">
        <f t="shared" si="10"/>
        <v/>
      </c>
      <c r="K57" s="63" t="str">
        <f t="shared" si="11"/>
        <v/>
      </c>
      <c r="L57" s="63">
        <f t="shared" si="12"/>
        <v>2</v>
      </c>
      <c r="M57" s="63" t="str">
        <f t="shared" si="13"/>
        <v/>
      </c>
      <c r="N57" s="63" t="str">
        <f t="shared" si="14"/>
        <v/>
      </c>
      <c r="O57" s="64">
        <f t="shared" si="15"/>
        <v>2</v>
      </c>
      <c r="P57" s="64" t="str">
        <f t="shared" si="16"/>
        <v/>
      </c>
      <c r="Q57" s="54"/>
      <c r="R57" s="8" t="s">
        <v>87</v>
      </c>
      <c r="S57" s="14">
        <v>44473.0</v>
      </c>
      <c r="T57" s="16">
        <f>VLOOKUP(R57,'Run Reconcile'!$A$2:$L783,12,FALSE)</f>
        <v>2</v>
      </c>
      <c r="U57" s="16" t="str">
        <f t="shared" si="17"/>
        <v/>
      </c>
      <c r="V57" s="16" t="str">
        <f t="shared" si="18"/>
        <v/>
      </c>
      <c r="W57" s="16"/>
      <c r="X57" s="54"/>
      <c r="Y57" s="8" t="str">
        <f>IFERROR(__xludf.DUMMYFUNCTION("""COMPUTED_VALUE"""),"RUN-FLMP_2022-01-22_RFR-071")</f>
        <v>RUN-FLMP_2022-01-22_RFR-071</v>
      </c>
      <c r="Z57" s="14">
        <f>IFERROR(__xludf.DUMMYFUNCTION("""COMPUTED_VALUE"""),44583.0)</f>
        <v>44583</v>
      </c>
      <c r="AA57" s="62">
        <f t="array" ref="AA57">INDEX('RFR Data - preExcl'!AK$2:AK783,$AE57,1)</f>
        <v>3</v>
      </c>
      <c r="AB57" s="16">
        <f t="shared" si="19"/>
        <v>3</v>
      </c>
      <c r="AC57" s="16">
        <f t="array" ref="AC57">INDEX('RFR Data - preExcl'!AI$2:AI783,$AE57,1)</f>
        <v>0</v>
      </c>
      <c r="AD57" s="16">
        <f t="array" ref="AD57">INDEX('RFR Data - preExcl'!AF$2:AF783,$AE57,1)</f>
        <v>0</v>
      </c>
      <c r="AE57" s="66">
        <f>IFNA(MATCH(Y57,'RFR Data - preExcl'!A$2:A783,0),"")</f>
        <v>65</v>
      </c>
      <c r="AF57" s="54"/>
      <c r="AG57" s="70" t="s">
        <v>87</v>
      </c>
      <c r="AH57" s="68">
        <f>VLOOKUP(AG57,'Run Reconcile'!A$2:B783,2,FALSE)</f>
        <v>44473</v>
      </c>
      <c r="AI57" s="69">
        <f>COUNTIF('APS Tubes IMPORT'!$V$2:$V783, AG57)
</f>
        <v>2</v>
      </c>
      <c r="AJ57" s="69">
        <f>COUNTIFS('APS Tubes IMPORT'!V$2:V783, AG57, 'APS Tubes IMPORT'!H$2:H783, "Negative")
</f>
        <v>2</v>
      </c>
      <c r="AK57" s="69">
        <f>COUNTIFS('APS Tubes IMPORT'!V$2:V783, AG57, 'APS Tubes IMPORT'!H$2:H783, "Positive")
</f>
        <v>0</v>
      </c>
      <c r="AL57" s="69">
        <f>COUNTIFS('APS Tubes IMPORT'!V$2:V783, AG57, 'APS Tubes IMPORT'!H$2:H783, "Inconclusive")
</f>
        <v>0</v>
      </c>
      <c r="AM57" s="69">
        <f>COUNTIFS('APS Tubes IMPORT'!V$2:V783, AG57, 'APS Tubes IMPORT'!H$2:H783, "Null")
</f>
        <v>0</v>
      </c>
      <c r="AN57" s="54"/>
      <c r="AO57" s="14">
        <f>'APS Tubes by Date IMPORT'!B56</f>
        <v>44473</v>
      </c>
      <c r="AP57" s="16">
        <f>'APS Tubes by Date IMPORT'!D56</f>
        <v>2</v>
      </c>
      <c r="AQ57" s="16">
        <f>'APS Tubes by Date IMPORT'!D56</f>
        <v>2</v>
      </c>
      <c r="AR57" s="16">
        <f>'APS Tubes by Date IMPORT'!E56</f>
        <v>0</v>
      </c>
      <c r="AS57" s="16">
        <f>'APS Tubes by Date IMPORT'!F56</f>
        <v>0</v>
      </c>
      <c r="AT57" s="16">
        <f>'APS Tubes by Date IMPORT'!G56</f>
        <v>0</v>
      </c>
      <c r="AU57" s="54"/>
    </row>
    <row r="58">
      <c r="A58" s="8" t="s">
        <v>88</v>
      </c>
      <c r="B58" s="58">
        <f>VLOOKUP(A58,'Run Reconcile'!A$2:B783,2,FALSE)</f>
        <v>44474</v>
      </c>
      <c r="C58" s="59">
        <f>COUNTIF('ALL Tube Results'!B57:B783, A58)
</f>
        <v>2</v>
      </c>
      <c r="D58" s="60">
        <f>COUNTIFS('ALL Tube Results'!$B57:$B783, $A58, 'ALL Tube Results'!$F57:$F783, "Negative")
</f>
        <v>2</v>
      </c>
      <c r="E58" s="60">
        <f>COUNTIFS('ALL Tube Results'!$B57:$B783, $A58, 'ALL Tube Results'!$F57:$F783, "Positive")
</f>
        <v>0</v>
      </c>
      <c r="F58" s="60">
        <f>COUNTIFS('ALL Tube Results'!$B57:$B783, $A58, 'ALL Tube Results'!$F57:$F783, "Inconclusive")
</f>
        <v>0</v>
      </c>
      <c r="G58" s="61">
        <f t="shared" si="7"/>
        <v>2</v>
      </c>
      <c r="H58" s="61" t="str">
        <f t="shared" si="8"/>
        <v/>
      </c>
      <c r="I58" s="62" t="str">
        <f t="shared" si="9"/>
        <v/>
      </c>
      <c r="J58" s="63" t="str">
        <f t="shared" si="10"/>
        <v/>
      </c>
      <c r="K58" s="63" t="str">
        <f t="shared" si="11"/>
        <v/>
      </c>
      <c r="L58" s="63">
        <f t="shared" si="12"/>
        <v>2</v>
      </c>
      <c r="M58" s="63" t="str">
        <f t="shared" si="13"/>
        <v/>
      </c>
      <c r="N58" s="63" t="str">
        <f t="shared" si="14"/>
        <v/>
      </c>
      <c r="O58" s="64">
        <f t="shared" si="15"/>
        <v>2</v>
      </c>
      <c r="P58" s="64" t="str">
        <f t="shared" si="16"/>
        <v/>
      </c>
      <c r="Q58" s="54"/>
      <c r="R58" s="8" t="s">
        <v>88</v>
      </c>
      <c r="S58" s="14">
        <v>44474.0</v>
      </c>
      <c r="T58" s="16">
        <f>VLOOKUP(R58,'Run Reconcile'!$A$2:$L783,12,FALSE)</f>
        <v>2</v>
      </c>
      <c r="U58" s="16" t="str">
        <f t="shared" si="17"/>
        <v/>
      </c>
      <c r="V58" s="16" t="str">
        <f t="shared" si="18"/>
        <v/>
      </c>
      <c r="W58" s="16"/>
      <c r="X58" s="54"/>
      <c r="Y58" s="8" t="str">
        <f>IFERROR(__xludf.DUMMYFUNCTION("""COMPUTED_VALUE"""),"RUN-FLMP_2022-01-24_RFR-072")</f>
        <v>RUN-FLMP_2022-01-24_RFR-072</v>
      </c>
      <c r="Z58" s="14">
        <f>IFERROR(__xludf.DUMMYFUNCTION("""COMPUTED_VALUE"""),44585.0)</f>
        <v>44585</v>
      </c>
      <c r="AA58" s="62">
        <f t="array" ref="AA58">INDEX('RFR Data - preExcl'!AK$2:AK783,$AE58,1)</f>
        <v>25</v>
      </c>
      <c r="AB58" s="16">
        <f t="shared" si="19"/>
        <v>25</v>
      </c>
      <c r="AC58" s="16">
        <f t="array" ref="AC58">INDEX('RFR Data - preExcl'!AI$2:AI783,$AE58,1)</f>
        <v>0</v>
      </c>
      <c r="AD58" s="16">
        <f t="array" ref="AD58">INDEX('RFR Data - preExcl'!AF$2:AF783,$AE58,1)</f>
        <v>0</v>
      </c>
      <c r="AE58" s="66">
        <f>IFNA(MATCH(Y58,'RFR Data - preExcl'!A$2:A783,0),"")</f>
        <v>66</v>
      </c>
      <c r="AF58" s="54"/>
      <c r="AG58" s="70" t="s">
        <v>88</v>
      </c>
      <c r="AH58" s="68">
        <f>VLOOKUP(AG58,'Run Reconcile'!A$2:B783,2,FALSE)</f>
        <v>44474</v>
      </c>
      <c r="AI58" s="69">
        <f>COUNTIF('APS Tubes IMPORT'!$V$2:$V783, AG58)
</f>
        <v>2</v>
      </c>
      <c r="AJ58" s="69">
        <f>COUNTIFS('APS Tubes IMPORT'!V$2:V783, AG58, 'APS Tubes IMPORT'!H$2:H783, "Negative")
</f>
        <v>2</v>
      </c>
      <c r="AK58" s="69">
        <f>COUNTIFS('APS Tubes IMPORT'!V$2:V783, AG58, 'APS Tubes IMPORT'!H$2:H783, "Positive")
</f>
        <v>0</v>
      </c>
      <c r="AL58" s="69">
        <f>COUNTIFS('APS Tubes IMPORT'!V$2:V783, AG58, 'APS Tubes IMPORT'!H$2:H783, "Inconclusive")
</f>
        <v>0</v>
      </c>
      <c r="AM58" s="69">
        <f>COUNTIFS('APS Tubes IMPORT'!V$2:V783, AG58, 'APS Tubes IMPORT'!H$2:H783, "Null")
</f>
        <v>0</v>
      </c>
      <c r="AN58" s="54"/>
      <c r="AO58" s="14">
        <f>'APS Tubes by Date IMPORT'!B57</f>
        <v>44474</v>
      </c>
      <c r="AP58" s="16">
        <f>'APS Tubes by Date IMPORT'!D57</f>
        <v>2</v>
      </c>
      <c r="AQ58" s="16">
        <f>'APS Tubes by Date IMPORT'!D57</f>
        <v>2</v>
      </c>
      <c r="AR58" s="16">
        <f>'APS Tubes by Date IMPORT'!E57</f>
        <v>0</v>
      </c>
      <c r="AS58" s="16">
        <f>'APS Tubes by Date IMPORT'!F57</f>
        <v>0</v>
      </c>
      <c r="AT58" s="16">
        <f>'APS Tubes by Date IMPORT'!G57</f>
        <v>0</v>
      </c>
      <c r="AU58" s="54"/>
    </row>
    <row r="59">
      <c r="A59" s="8" t="s">
        <v>89</v>
      </c>
      <c r="B59" s="58">
        <f>VLOOKUP(A59,'Run Reconcile'!A$2:B783,2,FALSE)</f>
        <v>44479</v>
      </c>
      <c r="C59" s="59">
        <f>COUNTIF('ALL Tube Results'!B58:B783, A59)
</f>
        <v>3</v>
      </c>
      <c r="D59" s="60">
        <f>COUNTIFS('ALL Tube Results'!$B58:$B783, $A59, 'ALL Tube Results'!$F58:$F783, "Negative")
</f>
        <v>3</v>
      </c>
      <c r="E59" s="60">
        <f>COUNTIFS('ALL Tube Results'!$B58:$B783, $A59, 'ALL Tube Results'!$F58:$F783, "Positive")
</f>
        <v>0</v>
      </c>
      <c r="F59" s="60">
        <f>COUNTIFS('ALL Tube Results'!$B58:$B783, $A59, 'ALL Tube Results'!$F58:$F783, "Inconclusive")
</f>
        <v>0</v>
      </c>
      <c r="G59" s="61">
        <f t="shared" si="7"/>
        <v>3</v>
      </c>
      <c r="H59" s="61" t="str">
        <f t="shared" si="8"/>
        <v/>
      </c>
      <c r="I59" s="62" t="str">
        <f t="shared" si="9"/>
        <v/>
      </c>
      <c r="J59" s="63" t="str">
        <f t="shared" si="10"/>
        <v/>
      </c>
      <c r="K59" s="63" t="str">
        <f t="shared" si="11"/>
        <v/>
      </c>
      <c r="L59" s="63">
        <f t="shared" si="12"/>
        <v>3</v>
      </c>
      <c r="M59" s="63" t="str">
        <f t="shared" si="13"/>
        <v/>
      </c>
      <c r="N59" s="63" t="str">
        <f t="shared" si="14"/>
        <v/>
      </c>
      <c r="O59" s="64">
        <f t="shared" si="15"/>
        <v>3</v>
      </c>
      <c r="P59" s="64" t="str">
        <f t="shared" si="16"/>
        <v/>
      </c>
      <c r="Q59" s="54"/>
      <c r="R59" s="8" t="s">
        <v>89</v>
      </c>
      <c r="S59" s="14">
        <v>44479.0</v>
      </c>
      <c r="T59" s="16">
        <f>VLOOKUP(R59,'Run Reconcile'!$A$2:$L783,12,FALSE)</f>
        <v>3</v>
      </c>
      <c r="U59" s="16" t="str">
        <f t="shared" si="17"/>
        <v/>
      </c>
      <c r="V59" s="16" t="str">
        <f t="shared" si="18"/>
        <v/>
      </c>
      <c r="W59" s="16"/>
      <c r="X59" s="54"/>
      <c r="Y59" s="8" t="str">
        <f>IFERROR(__xludf.DUMMYFUNCTION("""COMPUTED_VALUE"""),"RUN-FLMP_2022-01-25_RFR-074")</f>
        <v>RUN-FLMP_2022-01-25_RFR-074</v>
      </c>
      <c r="Z59" s="14">
        <f>IFERROR(__xludf.DUMMYFUNCTION("""COMPUTED_VALUE"""),44586.0)</f>
        <v>44586</v>
      </c>
      <c r="AA59" s="62">
        <f t="array" ref="AA59">INDEX('RFR Data - preExcl'!AK$2:AK783,$AE59,1)</f>
        <v>4</v>
      </c>
      <c r="AB59" s="16">
        <f t="shared" si="19"/>
        <v>4</v>
      </c>
      <c r="AC59" s="16">
        <f t="array" ref="AC59">INDEX('RFR Data - preExcl'!AI$2:AI783,$AE59,1)</f>
        <v>0</v>
      </c>
      <c r="AD59" s="16">
        <f t="array" ref="AD59">INDEX('RFR Data - preExcl'!AF$2:AF783,$AE59,1)</f>
        <v>0</v>
      </c>
      <c r="AE59" s="66">
        <f>IFNA(MATCH(Y59,'RFR Data - preExcl'!A$2:A783,0),"")</f>
        <v>68</v>
      </c>
      <c r="AF59" s="54"/>
      <c r="AG59" s="70" t="s">
        <v>89</v>
      </c>
      <c r="AH59" s="68">
        <f>VLOOKUP(AG59,'Run Reconcile'!A$2:B783,2,FALSE)</f>
        <v>44479</v>
      </c>
      <c r="AI59" s="69">
        <f>COUNTIF('APS Tubes IMPORT'!$V$2:$V783, AG59)
</f>
        <v>3</v>
      </c>
      <c r="AJ59" s="69">
        <f>COUNTIFS('APS Tubes IMPORT'!V$2:V783, AG59, 'APS Tubes IMPORT'!H$2:H783, "Negative")
</f>
        <v>3</v>
      </c>
      <c r="AK59" s="69">
        <f>COUNTIFS('APS Tubes IMPORT'!V$2:V783, AG59, 'APS Tubes IMPORT'!H$2:H783, "Positive")
</f>
        <v>0</v>
      </c>
      <c r="AL59" s="69">
        <f>COUNTIFS('APS Tubes IMPORT'!V$2:V783, AG59, 'APS Tubes IMPORT'!H$2:H783, "Inconclusive")
</f>
        <v>0</v>
      </c>
      <c r="AM59" s="69">
        <f>COUNTIFS('APS Tubes IMPORT'!V$2:V783, AG59, 'APS Tubes IMPORT'!H$2:H783, "Null")
</f>
        <v>0</v>
      </c>
      <c r="AN59" s="54"/>
      <c r="AO59" s="14">
        <f>'APS Tubes by Date IMPORT'!B58</f>
        <v>44479</v>
      </c>
      <c r="AP59" s="16">
        <f>'APS Tubes by Date IMPORT'!D58</f>
        <v>3</v>
      </c>
      <c r="AQ59" s="16">
        <f>'APS Tubes by Date IMPORT'!D58</f>
        <v>3</v>
      </c>
      <c r="AR59" s="16">
        <f>'APS Tubes by Date IMPORT'!E58</f>
        <v>0</v>
      </c>
      <c r="AS59" s="16">
        <f>'APS Tubes by Date IMPORT'!F58</f>
        <v>0</v>
      </c>
      <c r="AT59" s="16">
        <f>'APS Tubes by Date IMPORT'!G58</f>
        <v>0</v>
      </c>
      <c r="AU59" s="54"/>
    </row>
    <row r="60">
      <c r="A60" s="8" t="s">
        <v>90</v>
      </c>
      <c r="B60" s="58">
        <f>VLOOKUP(A60,'Run Reconcile'!A$2:B783,2,FALSE)</f>
        <v>44482</v>
      </c>
      <c r="C60" s="59">
        <f>COUNTIF('ALL Tube Results'!B59:B783, A60)
</f>
        <v>2</v>
      </c>
      <c r="D60" s="60">
        <f>COUNTIFS('ALL Tube Results'!$B59:$B783, $A60, 'ALL Tube Results'!$F59:$F783, "Negative")
</f>
        <v>2</v>
      </c>
      <c r="E60" s="60">
        <f>COUNTIFS('ALL Tube Results'!$B59:$B783, $A60, 'ALL Tube Results'!$F59:$F783, "Positive")
</f>
        <v>0</v>
      </c>
      <c r="F60" s="60">
        <f>COUNTIFS('ALL Tube Results'!$B59:$B783, $A60, 'ALL Tube Results'!$F59:$F783, "Inconclusive")
</f>
        <v>0</v>
      </c>
      <c r="G60" s="61">
        <f t="shared" si="7"/>
        <v>2</v>
      </c>
      <c r="H60" s="61" t="str">
        <f t="shared" si="8"/>
        <v/>
      </c>
      <c r="I60" s="62" t="str">
        <f t="shared" si="9"/>
        <v/>
      </c>
      <c r="J60" s="63" t="str">
        <f t="shared" si="10"/>
        <v/>
      </c>
      <c r="K60" s="63" t="str">
        <f t="shared" si="11"/>
        <v/>
      </c>
      <c r="L60" s="63">
        <f t="shared" si="12"/>
        <v>2</v>
      </c>
      <c r="M60" s="63" t="str">
        <f t="shared" si="13"/>
        <v/>
      </c>
      <c r="N60" s="63" t="str">
        <f t="shared" si="14"/>
        <v/>
      </c>
      <c r="O60" s="64">
        <f t="shared" si="15"/>
        <v>2</v>
      </c>
      <c r="P60" s="64" t="str">
        <f t="shared" si="16"/>
        <v/>
      </c>
      <c r="Q60" s="54"/>
      <c r="R60" s="8" t="s">
        <v>90</v>
      </c>
      <c r="S60" s="14">
        <v>44482.0</v>
      </c>
      <c r="T60" s="16">
        <f>VLOOKUP(R60,'Run Reconcile'!$A$2:$L783,12,FALSE)</f>
        <v>2</v>
      </c>
      <c r="U60" s="16" t="str">
        <f t="shared" si="17"/>
        <v/>
      </c>
      <c r="V60" s="16" t="str">
        <f t="shared" si="18"/>
        <v/>
      </c>
      <c r="W60" s="16"/>
      <c r="X60" s="54"/>
      <c r="Y60" s="8" t="str">
        <f>IFERROR(__xludf.DUMMYFUNCTION("""COMPUTED_VALUE"""),"RUN-FLMP_2022-01-26_RFR-075")</f>
        <v>RUN-FLMP_2022-01-26_RFR-075</v>
      </c>
      <c r="Z60" s="14">
        <f>IFERROR(__xludf.DUMMYFUNCTION("""COMPUTED_VALUE"""),44587.0)</f>
        <v>44587</v>
      </c>
      <c r="AA60" s="62">
        <f t="array" ref="AA60">INDEX('RFR Data - preExcl'!AK$2:AK783,$AE60,1)</f>
        <v>2</v>
      </c>
      <c r="AB60" s="16">
        <f t="shared" si="19"/>
        <v>2</v>
      </c>
      <c r="AC60" s="16">
        <f t="array" ref="AC60">INDEX('RFR Data - preExcl'!AI$2:AI783,$AE60,1)</f>
        <v>0</v>
      </c>
      <c r="AD60" s="16">
        <f t="array" ref="AD60">INDEX('RFR Data - preExcl'!AF$2:AF783,$AE60,1)</f>
        <v>0</v>
      </c>
      <c r="AE60" s="66">
        <f>IFNA(MATCH(Y60,'RFR Data - preExcl'!A$2:A783,0),"")</f>
        <v>69</v>
      </c>
      <c r="AF60" s="54"/>
      <c r="AG60" s="70" t="s">
        <v>90</v>
      </c>
      <c r="AH60" s="68">
        <f>VLOOKUP(AG60,'Run Reconcile'!A$2:B783,2,FALSE)</f>
        <v>44482</v>
      </c>
      <c r="AI60" s="69">
        <f>COUNTIF('APS Tubes IMPORT'!$V$2:$V783, AG60)
</f>
        <v>2</v>
      </c>
      <c r="AJ60" s="69">
        <f>COUNTIFS('APS Tubes IMPORT'!V$2:V783, AG60, 'APS Tubes IMPORT'!H$2:H783, "Negative")
</f>
        <v>2</v>
      </c>
      <c r="AK60" s="69">
        <f>COUNTIFS('APS Tubes IMPORT'!V$2:V783, AG60, 'APS Tubes IMPORT'!H$2:H783, "Positive")
</f>
        <v>0</v>
      </c>
      <c r="AL60" s="69">
        <f>COUNTIFS('APS Tubes IMPORT'!V$2:V783, AG60, 'APS Tubes IMPORT'!H$2:H783, "Inconclusive")
</f>
        <v>0</v>
      </c>
      <c r="AM60" s="69">
        <f>COUNTIFS('APS Tubes IMPORT'!V$2:V783, AG60, 'APS Tubes IMPORT'!H$2:H783, "Null")
</f>
        <v>0</v>
      </c>
      <c r="AN60" s="54"/>
      <c r="AO60" s="14">
        <f>'APS Tubes by Date IMPORT'!B59</f>
        <v>44482</v>
      </c>
      <c r="AP60" s="16">
        <f>'APS Tubes by Date IMPORT'!D59</f>
        <v>2</v>
      </c>
      <c r="AQ60" s="16">
        <f>'APS Tubes by Date IMPORT'!D59</f>
        <v>2</v>
      </c>
      <c r="AR60" s="16">
        <f>'APS Tubes by Date IMPORT'!E59</f>
        <v>0</v>
      </c>
      <c r="AS60" s="16">
        <f>'APS Tubes by Date IMPORT'!F59</f>
        <v>0</v>
      </c>
      <c r="AT60" s="16">
        <f>'APS Tubes by Date IMPORT'!G59</f>
        <v>0</v>
      </c>
      <c r="AU60" s="54"/>
    </row>
    <row r="61">
      <c r="A61" s="8" t="s">
        <v>91</v>
      </c>
      <c r="B61" s="58">
        <f>VLOOKUP(A61,'Run Reconcile'!A$2:B783,2,FALSE)</f>
        <v>44485</v>
      </c>
      <c r="C61" s="59">
        <f>COUNTIF('ALL Tube Results'!B60:B783, A61)
</f>
        <v>3</v>
      </c>
      <c r="D61" s="60">
        <f>COUNTIFS('ALL Tube Results'!$B60:$B783, $A61, 'ALL Tube Results'!$F60:$F783, "Negative")
</f>
        <v>3</v>
      </c>
      <c r="E61" s="60">
        <f>COUNTIFS('ALL Tube Results'!$B60:$B783, $A61, 'ALL Tube Results'!$F60:$F783, "Positive")
</f>
        <v>0</v>
      </c>
      <c r="F61" s="60">
        <f>COUNTIFS('ALL Tube Results'!$B60:$B783, $A61, 'ALL Tube Results'!$F60:$F783, "Inconclusive")
</f>
        <v>0</v>
      </c>
      <c r="G61" s="61">
        <f t="shared" si="7"/>
        <v>3</v>
      </c>
      <c r="H61" s="61" t="str">
        <f t="shared" si="8"/>
        <v/>
      </c>
      <c r="I61" s="62" t="str">
        <f t="shared" si="9"/>
        <v/>
      </c>
      <c r="J61" s="63" t="str">
        <f t="shared" si="10"/>
        <v/>
      </c>
      <c r="K61" s="63" t="str">
        <f t="shared" si="11"/>
        <v/>
      </c>
      <c r="L61" s="63">
        <f t="shared" si="12"/>
        <v>3</v>
      </c>
      <c r="M61" s="63" t="str">
        <f t="shared" si="13"/>
        <v/>
      </c>
      <c r="N61" s="63" t="str">
        <f t="shared" si="14"/>
        <v/>
      </c>
      <c r="O61" s="64">
        <f t="shared" si="15"/>
        <v>3</v>
      </c>
      <c r="P61" s="64" t="str">
        <f t="shared" si="16"/>
        <v/>
      </c>
      <c r="Q61" s="54"/>
      <c r="R61" s="8" t="s">
        <v>91</v>
      </c>
      <c r="S61" s="14">
        <v>44485.0</v>
      </c>
      <c r="T61" s="16">
        <f>VLOOKUP(R61,'Run Reconcile'!$A$2:$L783,12,FALSE)</f>
        <v>3</v>
      </c>
      <c r="U61" s="16" t="str">
        <f t="shared" si="17"/>
        <v/>
      </c>
      <c r="V61" s="16" t="str">
        <f t="shared" si="18"/>
        <v/>
      </c>
      <c r="W61" s="16"/>
      <c r="X61" s="54"/>
      <c r="Y61" s="8" t="str">
        <f>IFERROR(__xludf.DUMMYFUNCTION("""COMPUTED_VALUE"""),"RUN-FLMP_2022-01-31_RFR-076")</f>
        <v>RUN-FLMP_2022-01-31_RFR-076</v>
      </c>
      <c r="Z61" s="14">
        <f>IFERROR(__xludf.DUMMYFUNCTION("""COMPUTED_VALUE"""),44592.0)</f>
        <v>44592</v>
      </c>
      <c r="AA61" s="62">
        <f t="array" ref="AA61">INDEX('RFR Data - preExcl'!AK$2:AK783,$AE61,1)</f>
        <v>23</v>
      </c>
      <c r="AB61" s="16">
        <f t="shared" si="19"/>
        <v>23</v>
      </c>
      <c r="AC61" s="16">
        <f t="array" ref="AC61">INDEX('RFR Data - preExcl'!AI$2:AI783,$AE61,1)</f>
        <v>0</v>
      </c>
      <c r="AD61" s="16">
        <f t="array" ref="AD61">INDEX('RFR Data - preExcl'!AF$2:AF783,$AE61,1)</f>
        <v>0</v>
      </c>
      <c r="AE61" s="66">
        <f>IFNA(MATCH(Y61,'RFR Data - preExcl'!A$2:A783,0),"")</f>
        <v>70</v>
      </c>
      <c r="AF61" s="54"/>
      <c r="AG61" s="70" t="s">
        <v>91</v>
      </c>
      <c r="AH61" s="68">
        <f>VLOOKUP(AG61,'Run Reconcile'!A$2:B783,2,FALSE)</f>
        <v>44485</v>
      </c>
      <c r="AI61" s="69">
        <f>COUNTIF('APS Tubes IMPORT'!$V$2:$V783, AG61)
</f>
        <v>3</v>
      </c>
      <c r="AJ61" s="69">
        <f>COUNTIFS('APS Tubes IMPORT'!V$2:V783, AG61, 'APS Tubes IMPORT'!H$2:H783, "Negative")
</f>
        <v>3</v>
      </c>
      <c r="AK61" s="69">
        <f>COUNTIFS('APS Tubes IMPORT'!V$2:V783, AG61, 'APS Tubes IMPORT'!H$2:H783, "Positive")
</f>
        <v>0</v>
      </c>
      <c r="AL61" s="69">
        <f>COUNTIFS('APS Tubes IMPORT'!V$2:V783, AG61, 'APS Tubes IMPORT'!H$2:H783, "Inconclusive")
</f>
        <v>0</v>
      </c>
      <c r="AM61" s="69">
        <f>COUNTIFS('APS Tubes IMPORT'!V$2:V783, AG61, 'APS Tubes IMPORT'!H$2:H783, "Null")
</f>
        <v>0</v>
      </c>
      <c r="AN61" s="54"/>
      <c r="AO61" s="14">
        <f>'APS Tubes by Date IMPORT'!B60</f>
        <v>44485</v>
      </c>
      <c r="AP61" s="16">
        <f>'APS Tubes by Date IMPORT'!D60</f>
        <v>3</v>
      </c>
      <c r="AQ61" s="16">
        <f>'APS Tubes by Date IMPORT'!D60</f>
        <v>3</v>
      </c>
      <c r="AR61" s="16">
        <f>'APS Tubes by Date IMPORT'!E60</f>
        <v>0</v>
      </c>
      <c r="AS61" s="16">
        <f>'APS Tubes by Date IMPORT'!F60</f>
        <v>0</v>
      </c>
      <c r="AT61" s="16">
        <f>'APS Tubes by Date IMPORT'!G60</f>
        <v>0</v>
      </c>
      <c r="AU61" s="54"/>
    </row>
    <row r="62">
      <c r="A62" s="8" t="s">
        <v>92</v>
      </c>
      <c r="B62" s="58">
        <f>VLOOKUP(A62,'Run Reconcile'!A$2:B783,2,FALSE)</f>
        <v>44488</v>
      </c>
      <c r="C62" s="59">
        <f>COUNTIF('ALL Tube Results'!B61:B783, A62)
</f>
        <v>2</v>
      </c>
      <c r="D62" s="60">
        <f>COUNTIFS('ALL Tube Results'!$B61:$B783, $A62, 'ALL Tube Results'!$F61:$F783, "Negative")
</f>
        <v>2</v>
      </c>
      <c r="E62" s="60">
        <f>COUNTIFS('ALL Tube Results'!$B61:$B783, $A62, 'ALL Tube Results'!$F61:$F783, "Positive")
</f>
        <v>0</v>
      </c>
      <c r="F62" s="60">
        <f>COUNTIFS('ALL Tube Results'!$B61:$B783, $A62, 'ALL Tube Results'!$F61:$F783, "Inconclusive")
</f>
        <v>0</v>
      </c>
      <c r="G62" s="61">
        <f t="shared" si="7"/>
        <v>2</v>
      </c>
      <c r="H62" s="61" t="str">
        <f t="shared" si="8"/>
        <v/>
      </c>
      <c r="I62" s="62" t="str">
        <f t="shared" si="9"/>
        <v/>
      </c>
      <c r="J62" s="63" t="str">
        <f t="shared" si="10"/>
        <v/>
      </c>
      <c r="K62" s="63" t="str">
        <f t="shared" si="11"/>
        <v/>
      </c>
      <c r="L62" s="63">
        <f t="shared" si="12"/>
        <v>2</v>
      </c>
      <c r="M62" s="63" t="str">
        <f t="shared" si="13"/>
        <v/>
      </c>
      <c r="N62" s="63" t="str">
        <f t="shared" si="14"/>
        <v/>
      </c>
      <c r="O62" s="64">
        <f t="shared" si="15"/>
        <v>2</v>
      </c>
      <c r="P62" s="64" t="str">
        <f t="shared" si="16"/>
        <v/>
      </c>
      <c r="Q62" s="54"/>
      <c r="R62" s="8" t="s">
        <v>92</v>
      </c>
      <c r="S62" s="14">
        <v>44488.0</v>
      </c>
      <c r="T62" s="16">
        <f>VLOOKUP(R62,'Run Reconcile'!$A$2:$L783,12,FALSE)</f>
        <v>2</v>
      </c>
      <c r="U62" s="16" t="str">
        <f t="shared" si="17"/>
        <v/>
      </c>
      <c r="V62" s="16" t="str">
        <f t="shared" si="18"/>
        <v/>
      </c>
      <c r="W62" s="16"/>
      <c r="X62" s="54"/>
      <c r="Y62" s="8" t="str">
        <f>IFERROR(__xludf.DUMMYFUNCTION("""COMPUTED_VALUE"""),"RUN-FLMP_2022-02-02_RFR-078")</f>
        <v>RUN-FLMP_2022-02-02_RFR-078</v>
      </c>
      <c r="Z62" s="14">
        <f>IFERROR(__xludf.DUMMYFUNCTION("""COMPUTED_VALUE"""),44594.0)</f>
        <v>44594</v>
      </c>
      <c r="AA62" s="62">
        <f t="array" ref="AA62">INDEX('RFR Data - preExcl'!AK$2:AK783,$AE62,1)</f>
        <v>3</v>
      </c>
      <c r="AB62" s="16">
        <f t="shared" si="19"/>
        <v>3</v>
      </c>
      <c r="AC62" s="16">
        <f t="array" ref="AC62">INDEX('RFR Data - preExcl'!AI$2:AI783,$AE62,1)</f>
        <v>0</v>
      </c>
      <c r="AD62" s="16">
        <f t="array" ref="AD62">INDEX('RFR Data - preExcl'!AF$2:AF783,$AE62,1)</f>
        <v>0</v>
      </c>
      <c r="AE62" s="66">
        <f>IFNA(MATCH(Y62,'RFR Data - preExcl'!A$2:A783,0),"")</f>
        <v>72</v>
      </c>
      <c r="AF62" s="54"/>
      <c r="AG62" s="70" t="s">
        <v>92</v>
      </c>
      <c r="AH62" s="68">
        <f>VLOOKUP(AG62,'Run Reconcile'!A$2:B783,2,FALSE)</f>
        <v>44488</v>
      </c>
      <c r="AI62" s="69">
        <f>COUNTIF('APS Tubes IMPORT'!$V$2:$V783, AG62)
</f>
        <v>2</v>
      </c>
      <c r="AJ62" s="69">
        <f>COUNTIFS('APS Tubes IMPORT'!V$2:V783, AG62, 'APS Tubes IMPORT'!H$2:H783, "Negative")
</f>
        <v>2</v>
      </c>
      <c r="AK62" s="69">
        <f>COUNTIFS('APS Tubes IMPORT'!V$2:V783, AG62, 'APS Tubes IMPORT'!H$2:H783, "Positive")
</f>
        <v>0</v>
      </c>
      <c r="AL62" s="69">
        <f>COUNTIFS('APS Tubes IMPORT'!V$2:V783, AG62, 'APS Tubes IMPORT'!H$2:H783, "Inconclusive")
</f>
        <v>0</v>
      </c>
      <c r="AM62" s="69">
        <f>COUNTIFS('APS Tubes IMPORT'!V$2:V783, AG62, 'APS Tubes IMPORT'!H$2:H783, "Null")
</f>
        <v>0</v>
      </c>
      <c r="AN62" s="54"/>
      <c r="AO62" s="14">
        <f>'APS Tubes by Date IMPORT'!B61</f>
        <v>44488</v>
      </c>
      <c r="AP62" s="16">
        <f>'APS Tubes by Date IMPORT'!D61</f>
        <v>2</v>
      </c>
      <c r="AQ62" s="16">
        <f>'APS Tubes by Date IMPORT'!D61</f>
        <v>2</v>
      </c>
      <c r="AR62" s="16">
        <f>'APS Tubes by Date IMPORT'!E61</f>
        <v>0</v>
      </c>
      <c r="AS62" s="16">
        <f>'APS Tubes by Date IMPORT'!F61</f>
        <v>0</v>
      </c>
      <c r="AT62" s="16">
        <f>'APS Tubes by Date IMPORT'!G61</f>
        <v>0</v>
      </c>
      <c r="AU62" s="54"/>
    </row>
    <row r="63">
      <c r="A63" s="8" t="s">
        <v>93</v>
      </c>
      <c r="B63" s="58">
        <f>VLOOKUP(A63,'Run Reconcile'!A$2:B783,2,FALSE)</f>
        <v>44490</v>
      </c>
      <c r="C63" s="59">
        <f>COUNTIF('ALL Tube Results'!B62:B783, A63)
</f>
        <v>3</v>
      </c>
      <c r="D63" s="60">
        <f>COUNTIFS('ALL Tube Results'!$B62:$B783, $A63, 'ALL Tube Results'!$F62:$F783, "Negative")
</f>
        <v>3</v>
      </c>
      <c r="E63" s="60">
        <f>COUNTIFS('ALL Tube Results'!$B62:$B783, $A63, 'ALL Tube Results'!$F62:$F783, "Positive")
</f>
        <v>0</v>
      </c>
      <c r="F63" s="60">
        <f>COUNTIFS('ALL Tube Results'!$B62:$B783, $A63, 'ALL Tube Results'!$F62:$F783, "Inconclusive")
</f>
        <v>0</v>
      </c>
      <c r="G63" s="61">
        <f t="shared" si="7"/>
        <v>3</v>
      </c>
      <c r="H63" s="61" t="str">
        <f t="shared" si="8"/>
        <v/>
      </c>
      <c r="I63" s="62" t="str">
        <f t="shared" si="9"/>
        <v/>
      </c>
      <c r="J63" s="63" t="str">
        <f t="shared" si="10"/>
        <v/>
      </c>
      <c r="K63" s="63" t="str">
        <f t="shared" si="11"/>
        <v/>
      </c>
      <c r="L63" s="63">
        <f t="shared" si="12"/>
        <v>3</v>
      </c>
      <c r="M63" s="63" t="str">
        <f t="shared" si="13"/>
        <v/>
      </c>
      <c r="N63" s="63" t="str">
        <f t="shared" si="14"/>
        <v/>
      </c>
      <c r="O63" s="64">
        <f t="shared" si="15"/>
        <v>3</v>
      </c>
      <c r="P63" s="64" t="str">
        <f t="shared" si="16"/>
        <v/>
      </c>
      <c r="Q63" s="54"/>
      <c r="R63" s="8" t="s">
        <v>93</v>
      </c>
      <c r="S63" s="14">
        <v>44490.0</v>
      </c>
      <c r="T63" s="16">
        <f>VLOOKUP(R63,'Run Reconcile'!$A$2:$L783,12,FALSE)</f>
        <v>3</v>
      </c>
      <c r="U63" s="16" t="str">
        <f t="shared" si="17"/>
        <v/>
      </c>
      <c r="V63" s="16" t="str">
        <f t="shared" si="18"/>
        <v/>
      </c>
      <c r="W63" s="16"/>
      <c r="X63" s="54"/>
      <c r="Y63" s="8" t="str">
        <f>IFERROR(__xludf.DUMMYFUNCTION("""COMPUTED_VALUE"""),"RUN-FLMP_2022-02-03_RFR-079")</f>
        <v>RUN-FLMP_2022-02-03_RFR-079</v>
      </c>
      <c r="Z63" s="14">
        <f>IFERROR(__xludf.DUMMYFUNCTION("""COMPUTED_VALUE"""),44595.0)</f>
        <v>44595</v>
      </c>
      <c r="AA63" s="62">
        <f t="array" ref="AA63">INDEX('RFR Data - preExcl'!AK$2:AK783,$AE63,1)</f>
        <v>29</v>
      </c>
      <c r="AB63" s="16">
        <f t="shared" si="19"/>
        <v>29</v>
      </c>
      <c r="AC63" s="16">
        <f t="array" ref="AC63">INDEX('RFR Data - preExcl'!AI$2:AI783,$AE63,1)</f>
        <v>0</v>
      </c>
      <c r="AD63" s="16">
        <f t="array" ref="AD63">INDEX('RFR Data - preExcl'!AF$2:AF783,$AE63,1)</f>
        <v>0</v>
      </c>
      <c r="AE63" s="66">
        <f>IFNA(MATCH(Y63,'RFR Data - preExcl'!A$2:A783,0),"")</f>
        <v>73</v>
      </c>
      <c r="AF63" s="54"/>
      <c r="AG63" s="70" t="s">
        <v>93</v>
      </c>
      <c r="AH63" s="68">
        <f>VLOOKUP(AG63,'Run Reconcile'!A$2:B783,2,FALSE)</f>
        <v>44490</v>
      </c>
      <c r="AI63" s="69">
        <f>COUNTIF('APS Tubes IMPORT'!$V$2:$V783, AG63)
</f>
        <v>3</v>
      </c>
      <c r="AJ63" s="69">
        <f>COUNTIFS('APS Tubes IMPORT'!V$2:V783, AG63, 'APS Tubes IMPORT'!H$2:H783, "Negative")
</f>
        <v>3</v>
      </c>
      <c r="AK63" s="69">
        <f>COUNTIFS('APS Tubes IMPORT'!V$2:V783, AG63, 'APS Tubes IMPORT'!H$2:H783, "Positive")
</f>
        <v>0</v>
      </c>
      <c r="AL63" s="69">
        <f>COUNTIFS('APS Tubes IMPORT'!V$2:V783, AG63, 'APS Tubes IMPORT'!H$2:H783, "Inconclusive")
</f>
        <v>0</v>
      </c>
      <c r="AM63" s="69">
        <f>COUNTIFS('APS Tubes IMPORT'!V$2:V783, AG63, 'APS Tubes IMPORT'!H$2:H783, "Null")
</f>
        <v>0</v>
      </c>
      <c r="AN63" s="54"/>
      <c r="AO63" s="14">
        <f>'APS Tubes by Date IMPORT'!B62</f>
        <v>44490</v>
      </c>
      <c r="AP63" s="16">
        <f>'APS Tubes by Date IMPORT'!D62</f>
        <v>3</v>
      </c>
      <c r="AQ63" s="16">
        <f>'APS Tubes by Date IMPORT'!D62</f>
        <v>3</v>
      </c>
      <c r="AR63" s="16">
        <f>'APS Tubes by Date IMPORT'!E62</f>
        <v>0</v>
      </c>
      <c r="AS63" s="16">
        <f>'APS Tubes by Date IMPORT'!F62</f>
        <v>0</v>
      </c>
      <c r="AT63" s="16">
        <f>'APS Tubes by Date IMPORT'!G62</f>
        <v>0</v>
      </c>
      <c r="AU63" s="54"/>
    </row>
    <row r="64">
      <c r="A64" s="8" t="s">
        <v>94</v>
      </c>
      <c r="B64" s="58">
        <f>VLOOKUP(A64,'Run Reconcile'!A$2:B783,2,FALSE)</f>
        <v>44492</v>
      </c>
      <c r="C64" s="59">
        <f>COUNTIF('ALL Tube Results'!B63:B783, A64)
</f>
        <v>3</v>
      </c>
      <c r="D64" s="60">
        <f>COUNTIFS('ALL Tube Results'!$B63:$B783, $A64, 'ALL Tube Results'!$F63:$F783, "Negative")
</f>
        <v>3</v>
      </c>
      <c r="E64" s="60">
        <f>COUNTIFS('ALL Tube Results'!$B63:$B783, $A64, 'ALL Tube Results'!$F63:$F783, "Positive")
</f>
        <v>0</v>
      </c>
      <c r="F64" s="60">
        <f>COUNTIFS('ALL Tube Results'!$B63:$B783, $A64, 'ALL Tube Results'!$F63:$F783, "Inconclusive")
</f>
        <v>0</v>
      </c>
      <c r="G64" s="61">
        <f t="shared" si="7"/>
        <v>3</v>
      </c>
      <c r="H64" s="61" t="str">
        <f t="shared" si="8"/>
        <v/>
      </c>
      <c r="I64" s="62" t="str">
        <f t="shared" si="9"/>
        <v/>
      </c>
      <c r="J64" s="63" t="str">
        <f t="shared" si="10"/>
        <v/>
      </c>
      <c r="K64" s="63" t="str">
        <f t="shared" si="11"/>
        <v/>
      </c>
      <c r="L64" s="63">
        <f t="shared" si="12"/>
        <v>3</v>
      </c>
      <c r="M64" s="63" t="str">
        <f t="shared" si="13"/>
        <v/>
      </c>
      <c r="N64" s="63" t="str">
        <f t="shared" si="14"/>
        <v/>
      </c>
      <c r="O64" s="64">
        <f t="shared" si="15"/>
        <v>3</v>
      </c>
      <c r="P64" s="64" t="str">
        <f t="shared" si="16"/>
        <v/>
      </c>
      <c r="Q64" s="54"/>
      <c r="R64" s="8" t="s">
        <v>94</v>
      </c>
      <c r="S64" s="14">
        <v>44492.0</v>
      </c>
      <c r="T64" s="16">
        <f>VLOOKUP(R64,'Run Reconcile'!$A$2:$L783,12,FALSE)</f>
        <v>3</v>
      </c>
      <c r="U64" s="16" t="str">
        <f t="shared" si="17"/>
        <v/>
      </c>
      <c r="V64" s="16" t="str">
        <f t="shared" si="18"/>
        <v/>
      </c>
      <c r="W64" s="16"/>
      <c r="X64" s="54"/>
      <c r="Y64" s="8" t="str">
        <f>IFERROR(__xludf.DUMMYFUNCTION("""COMPUTED_VALUE"""),"RUN-FLMP_2022-02-07_RFR-083")</f>
        <v>RUN-FLMP_2022-02-07_RFR-083</v>
      </c>
      <c r="Z64" s="14">
        <f>IFERROR(__xludf.DUMMYFUNCTION("""COMPUTED_VALUE"""),44599.0)</f>
        <v>44599</v>
      </c>
      <c r="AA64" s="62">
        <f t="array" ref="AA64">INDEX('RFR Data - preExcl'!AK$2:AK783,$AE64,1)</f>
        <v>27</v>
      </c>
      <c r="AB64" s="16">
        <f t="shared" si="19"/>
        <v>27</v>
      </c>
      <c r="AC64" s="16">
        <f t="array" ref="AC64">INDEX('RFR Data - preExcl'!AI$2:AI783,$AE64,1)</f>
        <v>0</v>
      </c>
      <c r="AD64" s="16">
        <f t="array" ref="AD64">INDEX('RFR Data - preExcl'!AF$2:AF783,$AE64,1)</f>
        <v>0</v>
      </c>
      <c r="AE64" s="66">
        <f>IFNA(MATCH(Y64,'RFR Data - preExcl'!A$2:A783,0),"")</f>
        <v>74</v>
      </c>
      <c r="AF64" s="54"/>
      <c r="AG64" s="70" t="s">
        <v>94</v>
      </c>
      <c r="AH64" s="68">
        <f>VLOOKUP(AG64,'Run Reconcile'!A$2:B783,2,FALSE)</f>
        <v>44492</v>
      </c>
      <c r="AI64" s="69">
        <f>COUNTIF('APS Tubes IMPORT'!$V$2:$V783, AG64)
</f>
        <v>3</v>
      </c>
      <c r="AJ64" s="69">
        <f>COUNTIFS('APS Tubes IMPORT'!V$2:V783, AG64, 'APS Tubes IMPORT'!H$2:H783, "Negative")
</f>
        <v>3</v>
      </c>
      <c r="AK64" s="69">
        <f>COUNTIFS('APS Tubes IMPORT'!V$2:V783, AG64, 'APS Tubes IMPORT'!H$2:H783, "Positive")
</f>
        <v>0</v>
      </c>
      <c r="AL64" s="69">
        <f>COUNTIFS('APS Tubes IMPORT'!V$2:V783, AG64, 'APS Tubes IMPORT'!H$2:H783, "Inconclusive")
</f>
        <v>0</v>
      </c>
      <c r="AM64" s="69">
        <f>COUNTIFS('APS Tubes IMPORT'!V$2:V783, AG64, 'APS Tubes IMPORT'!H$2:H783, "Null")
</f>
        <v>0</v>
      </c>
      <c r="AN64" s="54"/>
      <c r="AO64" s="14">
        <f>'APS Tubes by Date IMPORT'!B63</f>
        <v>44492</v>
      </c>
      <c r="AP64" s="16">
        <f>'APS Tubes by Date IMPORT'!D63</f>
        <v>3</v>
      </c>
      <c r="AQ64" s="16">
        <f>'APS Tubes by Date IMPORT'!D63</f>
        <v>3</v>
      </c>
      <c r="AR64" s="16">
        <f>'APS Tubes by Date IMPORT'!E63</f>
        <v>0</v>
      </c>
      <c r="AS64" s="16">
        <f>'APS Tubes by Date IMPORT'!F63</f>
        <v>0</v>
      </c>
      <c r="AT64" s="16">
        <f>'APS Tubes by Date IMPORT'!G63</f>
        <v>0</v>
      </c>
      <c r="AU64" s="54"/>
    </row>
    <row r="65">
      <c r="A65" s="8" t="s">
        <v>95</v>
      </c>
      <c r="B65" s="58">
        <f>VLOOKUP(A65,'Run Reconcile'!A$2:B783,2,FALSE)</f>
        <v>44499</v>
      </c>
      <c r="C65" s="59">
        <f>COUNTIF('ALL Tube Results'!B64:B783, A65)
</f>
        <v>2</v>
      </c>
      <c r="D65" s="60">
        <f>COUNTIFS('ALL Tube Results'!$B64:$B783, $A65, 'ALL Tube Results'!$F64:$F783, "Negative")
</f>
        <v>2</v>
      </c>
      <c r="E65" s="60">
        <f>COUNTIFS('ALL Tube Results'!$B64:$B783, $A65, 'ALL Tube Results'!$F64:$F783, "Positive")
</f>
        <v>0</v>
      </c>
      <c r="F65" s="60">
        <f>COUNTIFS('ALL Tube Results'!$B64:$B783, $A65, 'ALL Tube Results'!$F64:$F783, "Inconclusive")
</f>
        <v>0</v>
      </c>
      <c r="G65" s="61">
        <f t="shared" si="7"/>
        <v>2</v>
      </c>
      <c r="H65" s="61" t="str">
        <f t="shared" si="8"/>
        <v/>
      </c>
      <c r="I65" s="62" t="str">
        <f t="shared" si="9"/>
        <v/>
      </c>
      <c r="J65" s="63" t="str">
        <f t="shared" si="10"/>
        <v/>
      </c>
      <c r="K65" s="63" t="str">
        <f t="shared" si="11"/>
        <v/>
      </c>
      <c r="L65" s="63">
        <f t="shared" si="12"/>
        <v>2</v>
      </c>
      <c r="M65" s="63" t="str">
        <f t="shared" si="13"/>
        <v/>
      </c>
      <c r="N65" s="63" t="str">
        <f t="shared" si="14"/>
        <v/>
      </c>
      <c r="O65" s="64">
        <f t="shared" si="15"/>
        <v>2</v>
      </c>
      <c r="P65" s="64" t="str">
        <f t="shared" si="16"/>
        <v/>
      </c>
      <c r="Q65" s="54"/>
      <c r="R65" s="8" t="s">
        <v>95</v>
      </c>
      <c r="S65" s="14">
        <v>44499.0</v>
      </c>
      <c r="T65" s="16">
        <f>VLOOKUP(R65,'Run Reconcile'!$A$2:$L783,12,FALSE)</f>
        <v>2</v>
      </c>
      <c r="U65" s="16" t="str">
        <f t="shared" si="17"/>
        <v/>
      </c>
      <c r="V65" s="16" t="str">
        <f t="shared" si="18"/>
        <v/>
      </c>
      <c r="W65" s="16"/>
      <c r="X65" s="54"/>
      <c r="Y65" s="8" t="str">
        <f>IFERROR(__xludf.DUMMYFUNCTION("""COMPUTED_VALUE"""),"RUN-FLMP_2022-02-10_RFR-085")</f>
        <v>RUN-FLMP_2022-02-10_RFR-085</v>
      </c>
      <c r="Z65" s="14">
        <f>IFERROR(__xludf.DUMMYFUNCTION("""COMPUTED_VALUE"""),44602.0)</f>
        <v>44602</v>
      </c>
      <c r="AA65" s="62">
        <f t="array" ref="AA65">INDEX('RFR Data - preExcl'!AK$2:AK783,$AE65,1)</f>
        <v>29</v>
      </c>
      <c r="AB65" s="16">
        <f t="shared" si="19"/>
        <v>29</v>
      </c>
      <c r="AC65" s="16">
        <f t="array" ref="AC65">INDEX('RFR Data - preExcl'!AI$2:AI783,$AE65,1)</f>
        <v>0</v>
      </c>
      <c r="AD65" s="16">
        <f t="array" ref="AD65">INDEX('RFR Data - preExcl'!AF$2:AF783,$AE65,1)</f>
        <v>0</v>
      </c>
      <c r="AE65" s="66">
        <f>IFNA(MATCH(Y65,'RFR Data - preExcl'!A$2:A783,0),"")</f>
        <v>76</v>
      </c>
      <c r="AF65" s="54"/>
      <c r="AG65" s="70" t="s">
        <v>95</v>
      </c>
      <c r="AH65" s="68">
        <f>VLOOKUP(AG65,'Run Reconcile'!A$2:B783,2,FALSE)</f>
        <v>44499</v>
      </c>
      <c r="AI65" s="69">
        <f>COUNTIF('APS Tubes IMPORT'!$V$2:$V783, AG65)
</f>
        <v>2</v>
      </c>
      <c r="AJ65" s="69">
        <f>COUNTIFS('APS Tubes IMPORT'!V$2:V783, AG65, 'APS Tubes IMPORT'!H$2:H783, "Negative")
</f>
        <v>2</v>
      </c>
      <c r="AK65" s="69">
        <f>COUNTIFS('APS Tubes IMPORT'!V$2:V783, AG65, 'APS Tubes IMPORT'!H$2:H783, "Positive")
</f>
        <v>0</v>
      </c>
      <c r="AL65" s="69">
        <f>COUNTIFS('APS Tubes IMPORT'!V$2:V783, AG65, 'APS Tubes IMPORT'!H$2:H783, "Inconclusive")
</f>
        <v>0</v>
      </c>
      <c r="AM65" s="69">
        <f>COUNTIFS('APS Tubes IMPORT'!V$2:V783, AG65, 'APS Tubes IMPORT'!H$2:H783, "Null")
</f>
        <v>0</v>
      </c>
      <c r="AN65" s="54"/>
      <c r="AO65" s="14">
        <f>'APS Tubes by Date IMPORT'!B64</f>
        <v>44499</v>
      </c>
      <c r="AP65" s="16">
        <f>'APS Tubes by Date IMPORT'!D64</f>
        <v>2</v>
      </c>
      <c r="AQ65" s="16">
        <f>'APS Tubes by Date IMPORT'!D64</f>
        <v>2</v>
      </c>
      <c r="AR65" s="16">
        <f>'APS Tubes by Date IMPORT'!E64</f>
        <v>0</v>
      </c>
      <c r="AS65" s="16">
        <f>'APS Tubes by Date IMPORT'!F64</f>
        <v>0</v>
      </c>
      <c r="AT65" s="16">
        <f>'APS Tubes by Date IMPORT'!G64</f>
        <v>0</v>
      </c>
      <c r="AU65" s="54"/>
    </row>
    <row r="66">
      <c r="A66" s="8" t="s">
        <v>96</v>
      </c>
      <c r="B66" s="58">
        <f>VLOOKUP(A66,'Run Reconcile'!A$2:B783,2,FALSE)</f>
        <v>44501</v>
      </c>
      <c r="C66" s="59">
        <f>COUNTIF('ALL Tube Results'!B65:B783, A66)
</f>
        <v>3</v>
      </c>
      <c r="D66" s="60">
        <f>COUNTIFS('ALL Tube Results'!$B65:$B783, $A66, 'ALL Tube Results'!$F65:$F783, "Negative")
</f>
        <v>3</v>
      </c>
      <c r="E66" s="60">
        <f>COUNTIFS('ALL Tube Results'!$B65:$B783, $A66, 'ALL Tube Results'!$F65:$F783, "Positive")
</f>
        <v>0</v>
      </c>
      <c r="F66" s="60">
        <f>COUNTIFS('ALL Tube Results'!$B65:$B783, $A66, 'ALL Tube Results'!$F65:$F783, "Inconclusive")
</f>
        <v>0</v>
      </c>
      <c r="G66" s="61">
        <f t="shared" si="7"/>
        <v>3</v>
      </c>
      <c r="H66" s="61" t="str">
        <f t="shared" si="8"/>
        <v/>
      </c>
      <c r="I66" s="62">
        <f t="shared" si="9"/>
        <v>3</v>
      </c>
      <c r="J66" s="63">
        <f t="shared" si="10"/>
        <v>0</v>
      </c>
      <c r="K66" s="63">
        <f t="shared" si="11"/>
        <v>0</v>
      </c>
      <c r="L66" s="63" t="str">
        <f t="shared" si="12"/>
        <v/>
      </c>
      <c r="M66" s="63" t="str">
        <f t="shared" si="13"/>
        <v/>
      </c>
      <c r="N66" s="63" t="str">
        <f t="shared" si="14"/>
        <v/>
      </c>
      <c r="O66" s="64">
        <f t="shared" si="15"/>
        <v>3</v>
      </c>
      <c r="P66" s="64" t="str">
        <f t="shared" si="16"/>
        <v/>
      </c>
      <c r="Q66" s="54"/>
      <c r="R66" s="8" t="s">
        <v>96</v>
      </c>
      <c r="S66" s="14">
        <v>44501.0</v>
      </c>
      <c r="T66" s="16">
        <f>VLOOKUP(R66,'Run Reconcile'!$A$2:$L783,12,FALSE)</f>
        <v>3</v>
      </c>
      <c r="U66" s="16" t="str">
        <f t="shared" si="17"/>
        <v/>
      </c>
      <c r="V66" s="16" t="str">
        <f t="shared" si="18"/>
        <v/>
      </c>
      <c r="W66" s="16"/>
      <c r="X66" s="54"/>
      <c r="Y66" s="8" t="str">
        <f>IFERROR(__xludf.DUMMYFUNCTION("""COMPUTED_VALUE"""),"RUN-FLMP_2022-02-12_RFR-087")</f>
        <v>RUN-FLMP_2022-02-12_RFR-087</v>
      </c>
      <c r="Z66" s="14">
        <f>IFERROR(__xludf.DUMMYFUNCTION("""COMPUTED_VALUE"""),44604.0)</f>
        <v>44604</v>
      </c>
      <c r="AA66" s="62">
        <f t="array" ref="AA66">INDEX('RFR Data - preExcl'!AK$2:AK783,$AE66,1)</f>
        <v>3</v>
      </c>
      <c r="AB66" s="16">
        <f t="shared" si="19"/>
        <v>3</v>
      </c>
      <c r="AC66" s="16">
        <f t="array" ref="AC66">INDEX('RFR Data - preExcl'!AI$2:AI783,$AE66,1)</f>
        <v>0</v>
      </c>
      <c r="AD66" s="16">
        <f t="array" ref="AD66">INDEX('RFR Data - preExcl'!AF$2:AF783,$AE66,1)</f>
        <v>0</v>
      </c>
      <c r="AE66" s="66">
        <f>IFNA(MATCH(Y66,'RFR Data - preExcl'!A$2:A783,0),"")</f>
        <v>78</v>
      </c>
      <c r="AF66" s="54"/>
      <c r="AG66" s="70" t="s">
        <v>96</v>
      </c>
      <c r="AH66" s="68">
        <f>VLOOKUP(AG66,'Run Reconcile'!A$2:B783,2,FALSE)</f>
        <v>44501</v>
      </c>
      <c r="AI66" s="69">
        <f>COUNTIF('APS Tubes IMPORT'!$V$2:$V783, AG66)
</f>
        <v>3</v>
      </c>
      <c r="AJ66" s="69">
        <f>COUNTIFS('APS Tubes IMPORT'!V$2:V783, AG66, 'APS Tubes IMPORT'!H$2:H783, "Negative")
</f>
        <v>3</v>
      </c>
      <c r="AK66" s="69">
        <f>COUNTIFS('APS Tubes IMPORT'!V$2:V783, AG66, 'APS Tubes IMPORT'!H$2:H783, "Positive")
</f>
        <v>0</v>
      </c>
      <c r="AL66" s="69">
        <f>COUNTIFS('APS Tubes IMPORT'!V$2:V783, AG66, 'APS Tubes IMPORT'!H$2:H783, "Inconclusive")
</f>
        <v>0</v>
      </c>
      <c r="AM66" s="69">
        <f>COUNTIFS('APS Tubes IMPORT'!V$2:V783, AG66, 'APS Tubes IMPORT'!H$2:H783, "Null")
</f>
        <v>0</v>
      </c>
      <c r="AN66" s="54"/>
      <c r="AO66" s="14">
        <f>'APS Tubes by Date IMPORT'!B65</f>
        <v>44501</v>
      </c>
      <c r="AP66" s="16">
        <f>'APS Tubes by Date IMPORT'!D65</f>
        <v>3</v>
      </c>
      <c r="AQ66" s="16">
        <f>'APS Tubes by Date IMPORT'!D65</f>
        <v>3</v>
      </c>
      <c r="AR66" s="16">
        <f>'APS Tubes by Date IMPORT'!E65</f>
        <v>0</v>
      </c>
      <c r="AS66" s="16">
        <f>'APS Tubes by Date IMPORT'!F65</f>
        <v>0</v>
      </c>
      <c r="AT66" s="16">
        <f>'APS Tubes by Date IMPORT'!G65</f>
        <v>0</v>
      </c>
      <c r="AU66" s="54"/>
    </row>
    <row r="67">
      <c r="A67" s="8" t="s">
        <v>97</v>
      </c>
      <c r="B67" s="58">
        <f>VLOOKUP(A67,'Run Reconcile'!A$2:B783,2,FALSE)</f>
        <v>44502</v>
      </c>
      <c r="C67" s="59">
        <f>COUNTIF('ALL Tube Results'!B66:B783, A67)
</f>
        <v>2</v>
      </c>
      <c r="D67" s="60">
        <f>COUNTIFS('ALL Tube Results'!$B66:$B783, $A67, 'ALL Tube Results'!$F66:$F783, "Negative")
</f>
        <v>2</v>
      </c>
      <c r="E67" s="60">
        <f>COUNTIFS('ALL Tube Results'!$B66:$B783, $A67, 'ALL Tube Results'!$F66:$F783, "Positive")
</f>
        <v>0</v>
      </c>
      <c r="F67" s="60">
        <f>COUNTIFS('ALL Tube Results'!$B66:$B783, $A67, 'ALL Tube Results'!$F66:$F783, "Inconclusive")
</f>
        <v>0</v>
      </c>
      <c r="G67" s="61">
        <f t="shared" si="7"/>
        <v>2</v>
      </c>
      <c r="H67" s="61" t="str">
        <f t="shared" si="8"/>
        <v/>
      </c>
      <c r="I67" s="62">
        <f t="shared" si="9"/>
        <v>2</v>
      </c>
      <c r="J67" s="63">
        <f t="shared" si="10"/>
        <v>0</v>
      </c>
      <c r="K67" s="63">
        <f t="shared" si="11"/>
        <v>0</v>
      </c>
      <c r="L67" s="63" t="str">
        <f t="shared" si="12"/>
        <v/>
      </c>
      <c r="M67" s="63" t="str">
        <f t="shared" si="13"/>
        <v/>
      </c>
      <c r="N67" s="63" t="str">
        <f t="shared" si="14"/>
        <v/>
      </c>
      <c r="O67" s="64">
        <f t="shared" si="15"/>
        <v>2</v>
      </c>
      <c r="P67" s="64" t="str">
        <f t="shared" si="16"/>
        <v/>
      </c>
      <c r="Q67" s="54"/>
      <c r="R67" s="8" t="s">
        <v>97</v>
      </c>
      <c r="S67" s="14">
        <v>44502.0</v>
      </c>
      <c r="T67" s="16">
        <f>VLOOKUP(R67,'Run Reconcile'!$A$2:$L783,12,FALSE)</f>
        <v>2</v>
      </c>
      <c r="U67" s="16" t="str">
        <f t="shared" si="17"/>
        <v/>
      </c>
      <c r="V67" s="16" t="str">
        <f t="shared" si="18"/>
        <v/>
      </c>
      <c r="W67" s="16"/>
      <c r="X67" s="54"/>
      <c r="Y67" s="8" t="str">
        <f>IFERROR(__xludf.DUMMYFUNCTION("""COMPUTED_VALUE"""),"RUN-FLMP_2022-02-14_RFR-088")</f>
        <v>RUN-FLMP_2022-02-14_RFR-088</v>
      </c>
      <c r="Z67" s="14">
        <f>IFERROR(__xludf.DUMMYFUNCTION("""COMPUTED_VALUE"""),44606.0)</f>
        <v>44606</v>
      </c>
      <c r="AA67" s="62">
        <f t="array" ref="AA67">INDEX('RFR Data - preExcl'!AK$2:AK783,$AE67,1)</f>
        <v>29</v>
      </c>
      <c r="AB67" s="16">
        <f t="shared" si="19"/>
        <v>28</v>
      </c>
      <c r="AC67" s="16">
        <f t="array" ref="AC67">INDEX('RFR Data - preExcl'!AI$2:AI783,$AE67,1)</f>
        <v>0</v>
      </c>
      <c r="AD67" s="16">
        <f t="array" ref="AD67">INDEX('RFR Data - preExcl'!AF$2:AF783,$AE67,1)</f>
        <v>1</v>
      </c>
      <c r="AE67" s="66">
        <f>IFNA(MATCH(Y67,'RFR Data - preExcl'!A$2:A783,0),"")</f>
        <v>79</v>
      </c>
      <c r="AF67" s="54"/>
      <c r="AG67" s="70" t="s">
        <v>97</v>
      </c>
      <c r="AH67" s="68">
        <f>VLOOKUP(AG67,'Run Reconcile'!A$2:B783,2,FALSE)</f>
        <v>44502</v>
      </c>
      <c r="AI67" s="69">
        <f>COUNTIF('APS Tubes IMPORT'!$V$2:$V783, AG67)
</f>
        <v>2</v>
      </c>
      <c r="AJ67" s="69">
        <f>COUNTIFS('APS Tubes IMPORT'!V$2:V783, AG67, 'APS Tubes IMPORT'!H$2:H783, "Negative")
</f>
        <v>2</v>
      </c>
      <c r="AK67" s="69">
        <f>COUNTIFS('APS Tubes IMPORT'!V$2:V783, AG67, 'APS Tubes IMPORT'!H$2:H783, "Positive")
</f>
        <v>0</v>
      </c>
      <c r="AL67" s="69">
        <f>COUNTIFS('APS Tubes IMPORT'!V$2:V783, AG67, 'APS Tubes IMPORT'!H$2:H783, "Inconclusive")
</f>
        <v>0</v>
      </c>
      <c r="AM67" s="69">
        <f>COUNTIFS('APS Tubes IMPORT'!V$2:V783, AG67, 'APS Tubes IMPORT'!H$2:H783, "Null")
</f>
        <v>0</v>
      </c>
      <c r="AN67" s="54"/>
      <c r="AO67" s="14">
        <f>'APS Tubes by Date IMPORT'!B66</f>
        <v>44502</v>
      </c>
      <c r="AP67" s="16">
        <f>'APS Tubes by Date IMPORT'!D66</f>
        <v>2</v>
      </c>
      <c r="AQ67" s="16">
        <f>'APS Tubes by Date IMPORT'!D66</f>
        <v>2</v>
      </c>
      <c r="AR67" s="16">
        <f>'APS Tubes by Date IMPORT'!E66</f>
        <v>0</v>
      </c>
      <c r="AS67" s="16">
        <f>'APS Tubes by Date IMPORT'!F66</f>
        <v>0</v>
      </c>
      <c r="AT67" s="16">
        <f>'APS Tubes by Date IMPORT'!G66</f>
        <v>0</v>
      </c>
      <c r="AU67" s="54"/>
    </row>
    <row r="68">
      <c r="A68" s="8" t="s">
        <v>98</v>
      </c>
      <c r="B68" s="58">
        <f>VLOOKUP(A68,'Run Reconcile'!A$2:B783,2,FALSE)</f>
        <v>44503</v>
      </c>
      <c r="C68" s="59">
        <f>COUNTIF('ALL Tube Results'!B67:B783, A68)
</f>
        <v>2</v>
      </c>
      <c r="D68" s="60">
        <f>COUNTIFS('ALL Tube Results'!$B67:$B783, $A68, 'ALL Tube Results'!$F67:$F783, "Negative")
</f>
        <v>2</v>
      </c>
      <c r="E68" s="60">
        <f>COUNTIFS('ALL Tube Results'!$B67:$B783, $A68, 'ALL Tube Results'!$F67:$F783, "Positive")
</f>
        <v>0</v>
      </c>
      <c r="F68" s="60">
        <f>COUNTIFS('ALL Tube Results'!$B67:$B783, $A68, 'ALL Tube Results'!$F67:$F783, "Inconclusive")
</f>
        <v>0</v>
      </c>
      <c r="G68" s="61">
        <f t="shared" si="7"/>
        <v>2</v>
      </c>
      <c r="H68" s="61" t="str">
        <f t="shared" si="8"/>
        <v/>
      </c>
      <c r="I68" s="62" t="str">
        <f t="shared" si="9"/>
        <v/>
      </c>
      <c r="J68" s="63" t="str">
        <f t="shared" si="10"/>
        <v/>
      </c>
      <c r="K68" s="63" t="str">
        <f t="shared" si="11"/>
        <v/>
      </c>
      <c r="L68" s="63">
        <f t="shared" si="12"/>
        <v>2</v>
      </c>
      <c r="M68" s="63" t="str">
        <f t="shared" si="13"/>
        <v/>
      </c>
      <c r="N68" s="63" t="str">
        <f t="shared" si="14"/>
        <v/>
      </c>
      <c r="O68" s="64">
        <f t="shared" si="15"/>
        <v>2</v>
      </c>
      <c r="P68" s="64" t="str">
        <f t="shared" si="16"/>
        <v/>
      </c>
      <c r="Q68" s="54"/>
      <c r="R68" s="8" t="s">
        <v>98</v>
      </c>
      <c r="S68" s="14">
        <v>44503.0</v>
      </c>
      <c r="T68" s="16">
        <f>VLOOKUP(R68,'Run Reconcile'!$A$2:$L783,12,FALSE)</f>
        <v>2</v>
      </c>
      <c r="U68" s="16" t="str">
        <f t="shared" si="17"/>
        <v/>
      </c>
      <c r="V68" s="16" t="str">
        <f t="shared" si="18"/>
        <v/>
      </c>
      <c r="W68" s="16"/>
      <c r="X68" s="54"/>
      <c r="Y68" s="8" t="str">
        <f>IFERROR(__xludf.DUMMYFUNCTION("""COMPUTED_VALUE"""),"RUN-FLMP_2022-02-17_RFR-089")</f>
        <v>RUN-FLMP_2022-02-17_RFR-089</v>
      </c>
      <c r="Z68" s="14">
        <f>IFERROR(__xludf.DUMMYFUNCTION("""COMPUTED_VALUE"""),44609.0)</f>
        <v>44609</v>
      </c>
      <c r="AA68" s="62">
        <f t="array" ref="AA68">INDEX('RFR Data - preExcl'!AK$2:AK783,$AE68,1)</f>
        <v>27</v>
      </c>
      <c r="AB68" s="16">
        <f t="shared" si="19"/>
        <v>27</v>
      </c>
      <c r="AC68" s="16">
        <f t="array" ref="AC68">INDEX('RFR Data - preExcl'!AI$2:AI783,$AE68,1)</f>
        <v>0</v>
      </c>
      <c r="AD68" s="16">
        <f t="array" ref="AD68">INDEX('RFR Data - preExcl'!AF$2:AF783,$AE68,1)</f>
        <v>0</v>
      </c>
      <c r="AE68" s="66">
        <f>IFNA(MATCH(Y68,'RFR Data - preExcl'!A$2:A783,0),"")</f>
        <v>80</v>
      </c>
      <c r="AF68" s="54"/>
      <c r="AG68" s="70" t="s">
        <v>98</v>
      </c>
      <c r="AH68" s="68">
        <f>VLOOKUP(AG68,'Run Reconcile'!A$2:B783,2,FALSE)</f>
        <v>44503</v>
      </c>
      <c r="AI68" s="69">
        <f>COUNTIF('APS Tubes IMPORT'!$V$2:$V783, AG68)
</f>
        <v>2</v>
      </c>
      <c r="AJ68" s="69">
        <f>COUNTIFS('APS Tubes IMPORT'!V$2:V783, AG68, 'APS Tubes IMPORT'!H$2:H783, "Negative")
</f>
        <v>2</v>
      </c>
      <c r="AK68" s="69">
        <f>COUNTIFS('APS Tubes IMPORT'!V$2:V783, AG68, 'APS Tubes IMPORT'!H$2:H783, "Positive")
</f>
        <v>0</v>
      </c>
      <c r="AL68" s="69">
        <f>COUNTIFS('APS Tubes IMPORT'!V$2:V783, AG68, 'APS Tubes IMPORT'!H$2:H783, "Inconclusive")
</f>
        <v>0</v>
      </c>
      <c r="AM68" s="69">
        <f>COUNTIFS('APS Tubes IMPORT'!V$2:V783, AG68, 'APS Tubes IMPORT'!H$2:H783, "Null")
</f>
        <v>0</v>
      </c>
      <c r="AN68" s="54"/>
      <c r="AO68" s="14">
        <f>'APS Tubes by Date IMPORT'!B67</f>
        <v>44503</v>
      </c>
      <c r="AP68" s="16">
        <f>'APS Tubes by Date IMPORT'!D67</f>
        <v>2</v>
      </c>
      <c r="AQ68" s="16">
        <f>'APS Tubes by Date IMPORT'!D67</f>
        <v>2</v>
      </c>
      <c r="AR68" s="16">
        <f>'APS Tubes by Date IMPORT'!E67</f>
        <v>0</v>
      </c>
      <c r="AS68" s="16">
        <f>'APS Tubes by Date IMPORT'!F67</f>
        <v>0</v>
      </c>
      <c r="AT68" s="16">
        <f>'APS Tubes by Date IMPORT'!G67</f>
        <v>0</v>
      </c>
      <c r="AU68" s="54"/>
    </row>
    <row r="69">
      <c r="A69" s="8" t="s">
        <v>99</v>
      </c>
      <c r="B69" s="58">
        <f>VLOOKUP(A69,'Run Reconcile'!A$2:B783,2,FALSE)</f>
        <v>44505</v>
      </c>
      <c r="C69" s="59">
        <f>COUNTIF('ALL Tube Results'!B68:B783, A69)
</f>
        <v>2</v>
      </c>
      <c r="D69" s="60">
        <f>COUNTIFS('ALL Tube Results'!$B68:$B783, $A69, 'ALL Tube Results'!$F68:$F783, "Negative")
</f>
        <v>2</v>
      </c>
      <c r="E69" s="60">
        <f>COUNTIFS('ALL Tube Results'!$B68:$B783, $A69, 'ALL Tube Results'!$F68:$F783, "Positive")
</f>
        <v>0</v>
      </c>
      <c r="F69" s="60">
        <f>COUNTIFS('ALL Tube Results'!$B68:$B783, $A69, 'ALL Tube Results'!$F68:$F783, "Inconclusive")
</f>
        <v>0</v>
      </c>
      <c r="G69" s="61">
        <f t="shared" si="7"/>
        <v>2</v>
      </c>
      <c r="H69" s="61" t="str">
        <f t="shared" si="8"/>
        <v/>
      </c>
      <c r="I69" s="62" t="str">
        <f t="shared" si="9"/>
        <v/>
      </c>
      <c r="J69" s="63" t="str">
        <f t="shared" si="10"/>
        <v/>
      </c>
      <c r="K69" s="63" t="str">
        <f t="shared" si="11"/>
        <v/>
      </c>
      <c r="L69" s="63">
        <f t="shared" si="12"/>
        <v>2</v>
      </c>
      <c r="M69" s="63" t="str">
        <f t="shared" si="13"/>
        <v/>
      </c>
      <c r="N69" s="63" t="str">
        <f t="shared" si="14"/>
        <v/>
      </c>
      <c r="O69" s="64">
        <f t="shared" si="15"/>
        <v>2</v>
      </c>
      <c r="P69" s="64" t="str">
        <f t="shared" si="16"/>
        <v/>
      </c>
      <c r="Q69" s="54"/>
      <c r="R69" s="8" t="s">
        <v>99</v>
      </c>
      <c r="S69" s="14">
        <v>44505.0</v>
      </c>
      <c r="T69" s="16">
        <f>VLOOKUP(R69,'Run Reconcile'!$A$2:$L783,12,FALSE)</f>
        <v>2</v>
      </c>
      <c r="U69" s="16" t="str">
        <f t="shared" si="17"/>
        <v/>
      </c>
      <c r="V69" s="16" t="str">
        <f t="shared" si="18"/>
        <v/>
      </c>
      <c r="W69" s="16"/>
      <c r="X69" s="54"/>
      <c r="Y69" s="8" t="str">
        <f>IFERROR(__xludf.DUMMYFUNCTION("""COMPUTED_VALUE"""),"RUN-FLMP_2022-02-27_RFR-091")</f>
        <v>RUN-FLMP_2022-02-27_RFR-091</v>
      </c>
      <c r="Z69" s="14">
        <f>IFERROR(__xludf.DUMMYFUNCTION("""COMPUTED_VALUE"""),44619.0)</f>
        <v>44619</v>
      </c>
      <c r="AA69" s="62">
        <f t="array" ref="AA69">INDEX('RFR Data - preExcl'!AK$2:AK783,$AE69,1)</f>
        <v>21</v>
      </c>
      <c r="AB69" s="16">
        <f t="shared" si="19"/>
        <v>21</v>
      </c>
      <c r="AC69" s="16">
        <f t="array" ref="AC69">INDEX('RFR Data - preExcl'!AI$2:AI783,$AE69,1)</f>
        <v>0</v>
      </c>
      <c r="AD69" s="16">
        <f t="array" ref="AD69">INDEX('RFR Data - preExcl'!AF$2:AF783,$AE69,1)</f>
        <v>0</v>
      </c>
      <c r="AE69" s="66">
        <f>IFNA(MATCH(Y69,'RFR Data - preExcl'!A$2:A783,0),"")</f>
        <v>81</v>
      </c>
      <c r="AF69" s="54"/>
      <c r="AG69" s="70" t="s">
        <v>99</v>
      </c>
      <c r="AH69" s="68">
        <f>VLOOKUP(AG69,'Run Reconcile'!A$2:B783,2,FALSE)</f>
        <v>44505</v>
      </c>
      <c r="AI69" s="69">
        <f>COUNTIF('APS Tubes IMPORT'!$V$2:$V783, AG69)
</f>
        <v>2</v>
      </c>
      <c r="AJ69" s="69">
        <f>COUNTIFS('APS Tubes IMPORT'!V$2:V783, AG69, 'APS Tubes IMPORT'!H$2:H783, "Negative")
</f>
        <v>2</v>
      </c>
      <c r="AK69" s="69">
        <f>COUNTIFS('APS Tubes IMPORT'!V$2:V783, AG69, 'APS Tubes IMPORT'!H$2:H783, "Positive")
</f>
        <v>0</v>
      </c>
      <c r="AL69" s="69">
        <f>COUNTIFS('APS Tubes IMPORT'!V$2:V783, AG69, 'APS Tubes IMPORT'!H$2:H783, "Inconclusive")
</f>
        <v>0</v>
      </c>
      <c r="AM69" s="69">
        <f>COUNTIFS('APS Tubes IMPORT'!V$2:V783, AG69, 'APS Tubes IMPORT'!H$2:H783, "Null")
</f>
        <v>0</v>
      </c>
      <c r="AN69" s="54"/>
      <c r="AO69" s="14">
        <f>'APS Tubes by Date IMPORT'!B68</f>
        <v>44505</v>
      </c>
      <c r="AP69" s="16">
        <f>'APS Tubes by Date IMPORT'!D68</f>
        <v>2</v>
      </c>
      <c r="AQ69" s="16">
        <f>'APS Tubes by Date IMPORT'!D68</f>
        <v>2</v>
      </c>
      <c r="AR69" s="16">
        <f>'APS Tubes by Date IMPORT'!E68</f>
        <v>0</v>
      </c>
      <c r="AS69" s="16">
        <f>'APS Tubes by Date IMPORT'!F68</f>
        <v>0</v>
      </c>
      <c r="AT69" s="16">
        <f>'APS Tubes by Date IMPORT'!G68</f>
        <v>0</v>
      </c>
      <c r="AU69" s="54"/>
    </row>
    <row r="70">
      <c r="A70" s="8" t="s">
        <v>100</v>
      </c>
      <c r="B70" s="58">
        <f>VLOOKUP(A70,'Run Reconcile'!A$2:B783,2,FALSE)</f>
        <v>44508</v>
      </c>
      <c r="C70" s="59">
        <f>COUNTIF('ALL Tube Results'!B69:B783, A70)
</f>
        <v>2</v>
      </c>
      <c r="D70" s="60">
        <f>COUNTIFS('ALL Tube Results'!$B69:$B783, $A70, 'ALL Tube Results'!$F69:$F783, "Negative")
</f>
        <v>2</v>
      </c>
      <c r="E70" s="60">
        <f>COUNTIFS('ALL Tube Results'!$B69:$B783, $A70, 'ALL Tube Results'!$F69:$F783, "Positive")
</f>
        <v>0</v>
      </c>
      <c r="F70" s="60">
        <f>COUNTIFS('ALL Tube Results'!$B69:$B783, $A70, 'ALL Tube Results'!$F69:$F783, "Inconclusive")
</f>
        <v>0</v>
      </c>
      <c r="G70" s="61">
        <f t="shared" si="7"/>
        <v>2</v>
      </c>
      <c r="H70" s="61" t="str">
        <f t="shared" si="8"/>
        <v/>
      </c>
      <c r="I70" s="62" t="str">
        <f t="shared" si="9"/>
        <v/>
      </c>
      <c r="J70" s="63" t="str">
        <f t="shared" si="10"/>
        <v/>
      </c>
      <c r="K70" s="63" t="str">
        <f t="shared" si="11"/>
        <v/>
      </c>
      <c r="L70" s="63">
        <f t="shared" si="12"/>
        <v>2</v>
      </c>
      <c r="M70" s="63" t="str">
        <f t="shared" si="13"/>
        <v/>
      </c>
      <c r="N70" s="63" t="str">
        <f t="shared" si="14"/>
        <v/>
      </c>
      <c r="O70" s="64">
        <f t="shared" si="15"/>
        <v>2</v>
      </c>
      <c r="P70" s="64" t="str">
        <f t="shared" si="16"/>
        <v/>
      </c>
      <c r="Q70" s="54"/>
      <c r="R70" s="8" t="s">
        <v>100</v>
      </c>
      <c r="S70" s="14">
        <v>44508.0</v>
      </c>
      <c r="T70" s="16">
        <f>VLOOKUP(R70,'Run Reconcile'!$A$2:$L783,12,FALSE)</f>
        <v>2</v>
      </c>
      <c r="U70" s="16" t="str">
        <f t="shared" si="17"/>
        <v/>
      </c>
      <c r="V70" s="16" t="str">
        <f t="shared" si="18"/>
        <v/>
      </c>
      <c r="W70" s="16"/>
      <c r="X70" s="54"/>
      <c r="Y70" s="8" t="str">
        <f>IFERROR(__xludf.DUMMYFUNCTION("""COMPUTED_VALUE"""),"RUN-FLMP_2022-03-03_RFR-093")</f>
        <v>RUN-FLMP_2022-03-03_RFR-093</v>
      </c>
      <c r="Z70" s="14">
        <f>IFERROR(__xludf.DUMMYFUNCTION("""COMPUTED_VALUE"""),44623.0)</f>
        <v>44623</v>
      </c>
      <c r="AA70" s="62">
        <f t="array" ref="AA70">INDEX('RFR Data - preExcl'!AK$2:AK783,$AE70,1)</f>
        <v>25</v>
      </c>
      <c r="AB70" s="16">
        <f t="shared" si="19"/>
        <v>25</v>
      </c>
      <c r="AC70" s="16">
        <f t="array" ref="AC70">INDEX('RFR Data - preExcl'!AI$2:AI783,$AE70,1)</f>
        <v>0</v>
      </c>
      <c r="AD70" s="16">
        <f t="array" ref="AD70">INDEX('RFR Data - preExcl'!AF$2:AF783,$AE70,1)</f>
        <v>0</v>
      </c>
      <c r="AE70" s="66">
        <f>IFNA(MATCH(Y70,'RFR Data - preExcl'!A$2:A783,0),"")</f>
        <v>83</v>
      </c>
      <c r="AF70" s="54"/>
      <c r="AG70" s="70" t="s">
        <v>100</v>
      </c>
      <c r="AH70" s="68">
        <f>VLOOKUP(AG70,'Run Reconcile'!A$2:B783,2,FALSE)</f>
        <v>44508</v>
      </c>
      <c r="AI70" s="69">
        <f>COUNTIF('APS Tubes IMPORT'!$V$2:$V783, AG70)
</f>
        <v>2</v>
      </c>
      <c r="AJ70" s="69">
        <f>COUNTIFS('APS Tubes IMPORT'!V$2:V783, AG70, 'APS Tubes IMPORT'!H$2:H783, "Negative")
</f>
        <v>2</v>
      </c>
      <c r="AK70" s="69">
        <f>COUNTIFS('APS Tubes IMPORT'!V$2:V783, AG70, 'APS Tubes IMPORT'!H$2:H783, "Positive")
</f>
        <v>0</v>
      </c>
      <c r="AL70" s="69">
        <f>COUNTIFS('APS Tubes IMPORT'!V$2:V783, AG70, 'APS Tubes IMPORT'!H$2:H783, "Inconclusive")
</f>
        <v>0</v>
      </c>
      <c r="AM70" s="69">
        <f>COUNTIFS('APS Tubes IMPORT'!V$2:V783, AG70, 'APS Tubes IMPORT'!H$2:H783, "Null")
</f>
        <v>0</v>
      </c>
      <c r="AN70" s="54"/>
      <c r="AO70" s="14">
        <f>'APS Tubes by Date IMPORT'!B69</f>
        <v>44508</v>
      </c>
      <c r="AP70" s="16">
        <f>'APS Tubes by Date IMPORT'!D69</f>
        <v>2</v>
      </c>
      <c r="AQ70" s="16">
        <f>'APS Tubes by Date IMPORT'!D69</f>
        <v>2</v>
      </c>
      <c r="AR70" s="16">
        <f>'APS Tubes by Date IMPORT'!E69</f>
        <v>0</v>
      </c>
      <c r="AS70" s="16">
        <f>'APS Tubes by Date IMPORT'!F69</f>
        <v>0</v>
      </c>
      <c r="AT70" s="16">
        <f>'APS Tubes by Date IMPORT'!G69</f>
        <v>0</v>
      </c>
      <c r="AU70" s="54"/>
    </row>
    <row r="71">
      <c r="A71" s="8" t="s">
        <v>101</v>
      </c>
      <c r="B71" s="58">
        <f>VLOOKUP(A71,'Run Reconcile'!A$2:B783,2,FALSE)</f>
        <v>44510</v>
      </c>
      <c r="C71" s="59">
        <f>COUNTIF('ALL Tube Results'!B70:B783, A71)
</f>
        <v>2</v>
      </c>
      <c r="D71" s="60">
        <f>COUNTIFS('ALL Tube Results'!$B70:$B783, $A71, 'ALL Tube Results'!$F70:$F783, "Negative")
</f>
        <v>2</v>
      </c>
      <c r="E71" s="60">
        <f>COUNTIFS('ALL Tube Results'!$B70:$B783, $A71, 'ALL Tube Results'!$F70:$F783, "Positive")
</f>
        <v>0</v>
      </c>
      <c r="F71" s="60">
        <f>COUNTIFS('ALL Tube Results'!$B70:$B783, $A71, 'ALL Tube Results'!$F70:$F783, "Inconclusive")
</f>
        <v>0</v>
      </c>
      <c r="G71" s="61">
        <f t="shared" si="7"/>
        <v>2</v>
      </c>
      <c r="H71" s="61" t="str">
        <f t="shared" si="8"/>
        <v/>
      </c>
      <c r="I71" s="62" t="str">
        <f t="shared" si="9"/>
        <v/>
      </c>
      <c r="J71" s="63" t="str">
        <f t="shared" si="10"/>
        <v/>
      </c>
      <c r="K71" s="63" t="str">
        <f t="shared" si="11"/>
        <v/>
      </c>
      <c r="L71" s="63">
        <f t="shared" si="12"/>
        <v>2</v>
      </c>
      <c r="M71" s="63" t="str">
        <f t="shared" si="13"/>
        <v/>
      </c>
      <c r="N71" s="63" t="str">
        <f t="shared" si="14"/>
        <v/>
      </c>
      <c r="O71" s="64">
        <f t="shared" si="15"/>
        <v>2</v>
      </c>
      <c r="P71" s="64" t="str">
        <f t="shared" si="16"/>
        <v/>
      </c>
      <c r="Q71" s="54"/>
      <c r="R71" s="8" t="s">
        <v>101</v>
      </c>
      <c r="S71" s="14">
        <v>44510.0</v>
      </c>
      <c r="T71" s="16">
        <f>VLOOKUP(R71,'Run Reconcile'!$A$2:$L783,12,FALSE)</f>
        <v>2</v>
      </c>
      <c r="U71" s="16" t="str">
        <f t="shared" si="17"/>
        <v/>
      </c>
      <c r="V71" s="16" t="str">
        <f t="shared" si="18"/>
        <v/>
      </c>
      <c r="W71" s="16"/>
      <c r="X71" s="54"/>
      <c r="Y71" s="8" t="str">
        <f>IFERROR(__xludf.DUMMYFUNCTION("""COMPUTED_VALUE"""),"RUN-FLMP_2022-03-07_RFR-096")</f>
        <v>RUN-FLMP_2022-03-07_RFR-096</v>
      </c>
      <c r="Z71" s="14">
        <f>IFERROR(__xludf.DUMMYFUNCTION("""COMPUTED_VALUE"""),44627.0)</f>
        <v>44627</v>
      </c>
      <c r="AA71" s="62">
        <f t="array" ref="AA71">INDEX('RFR Data - preExcl'!AK$2:AK783,$AE71,1)</f>
        <v>26</v>
      </c>
      <c r="AB71" s="16">
        <f t="shared" si="19"/>
        <v>26</v>
      </c>
      <c r="AC71" s="16">
        <f t="array" ref="AC71">INDEX('RFR Data - preExcl'!AI$2:AI783,$AE71,1)</f>
        <v>0</v>
      </c>
      <c r="AD71" s="16">
        <f t="array" ref="AD71">INDEX('RFR Data - preExcl'!AF$2:AF783,$AE71,1)</f>
        <v>0</v>
      </c>
      <c r="AE71" s="66">
        <f>IFNA(MATCH(Y71,'RFR Data - preExcl'!A$2:A783,0),"")</f>
        <v>85</v>
      </c>
      <c r="AF71" s="54"/>
      <c r="AG71" s="70" t="s">
        <v>101</v>
      </c>
      <c r="AH71" s="68">
        <f>VLOOKUP(AG71,'Run Reconcile'!A$2:B783,2,FALSE)</f>
        <v>44510</v>
      </c>
      <c r="AI71" s="69">
        <f>COUNTIF('APS Tubes IMPORT'!$V$2:$V783, AG71)
</f>
        <v>2</v>
      </c>
      <c r="AJ71" s="69">
        <f>COUNTIFS('APS Tubes IMPORT'!V$2:V783, AG71, 'APS Tubes IMPORT'!H$2:H783, "Negative")
</f>
        <v>2</v>
      </c>
      <c r="AK71" s="69">
        <f>COUNTIFS('APS Tubes IMPORT'!V$2:V783, AG71, 'APS Tubes IMPORT'!H$2:H783, "Positive")
</f>
        <v>0</v>
      </c>
      <c r="AL71" s="69">
        <f>COUNTIFS('APS Tubes IMPORT'!V$2:V783, AG71, 'APS Tubes IMPORT'!H$2:H783, "Inconclusive")
</f>
        <v>0</v>
      </c>
      <c r="AM71" s="69">
        <f>COUNTIFS('APS Tubes IMPORT'!V$2:V783, AG71, 'APS Tubes IMPORT'!H$2:H783, "Null")
</f>
        <v>0</v>
      </c>
      <c r="AN71" s="54"/>
      <c r="AO71" s="14">
        <f>'APS Tubes by Date IMPORT'!B70</f>
        <v>44510</v>
      </c>
      <c r="AP71" s="16">
        <f>'APS Tubes by Date IMPORT'!D70</f>
        <v>2</v>
      </c>
      <c r="AQ71" s="16">
        <f>'APS Tubes by Date IMPORT'!D70</f>
        <v>2</v>
      </c>
      <c r="AR71" s="16">
        <f>'APS Tubes by Date IMPORT'!E70</f>
        <v>0</v>
      </c>
      <c r="AS71" s="16">
        <f>'APS Tubes by Date IMPORT'!F70</f>
        <v>0</v>
      </c>
      <c r="AT71" s="16">
        <f>'APS Tubes by Date IMPORT'!G70</f>
        <v>0</v>
      </c>
      <c r="AU71" s="54"/>
    </row>
    <row r="72">
      <c r="A72" s="8" t="s">
        <v>102</v>
      </c>
      <c r="B72" s="58">
        <f>VLOOKUP(A72,'Run Reconcile'!A$2:B783,2,FALSE)</f>
        <v>44512</v>
      </c>
      <c r="C72" s="59">
        <f>COUNTIF('ALL Tube Results'!B71:B783, A72)
</f>
        <v>2</v>
      </c>
      <c r="D72" s="60">
        <f>COUNTIFS('ALL Tube Results'!$B71:$B783, $A72, 'ALL Tube Results'!$F71:$F783, "Negative")
</f>
        <v>2</v>
      </c>
      <c r="E72" s="60">
        <f>COUNTIFS('ALL Tube Results'!$B71:$B783, $A72, 'ALL Tube Results'!$F71:$F783, "Positive")
</f>
        <v>0</v>
      </c>
      <c r="F72" s="60">
        <f>COUNTIFS('ALL Tube Results'!$B71:$B783, $A72, 'ALL Tube Results'!$F71:$F783, "Inconclusive")
</f>
        <v>0</v>
      </c>
      <c r="G72" s="61">
        <f t="shared" si="7"/>
        <v>2</v>
      </c>
      <c r="H72" s="61" t="str">
        <f t="shared" si="8"/>
        <v/>
      </c>
      <c r="I72" s="62">
        <f t="shared" si="9"/>
        <v>2</v>
      </c>
      <c r="J72" s="63">
        <f t="shared" si="10"/>
        <v>0</v>
      </c>
      <c r="K72" s="63">
        <f t="shared" si="11"/>
        <v>0</v>
      </c>
      <c r="L72" s="63" t="str">
        <f t="shared" si="12"/>
        <v/>
      </c>
      <c r="M72" s="63" t="str">
        <f t="shared" si="13"/>
        <v/>
      </c>
      <c r="N72" s="63" t="str">
        <f t="shared" si="14"/>
        <v/>
      </c>
      <c r="O72" s="64">
        <f t="shared" si="15"/>
        <v>2</v>
      </c>
      <c r="P72" s="64" t="str">
        <f t="shared" si="16"/>
        <v/>
      </c>
      <c r="Q72" s="54"/>
      <c r="R72" s="8" t="s">
        <v>102</v>
      </c>
      <c r="S72" s="14">
        <v>44512.0</v>
      </c>
      <c r="T72" s="16">
        <f>VLOOKUP(R72,'Run Reconcile'!$A$2:$L783,12,FALSE)</f>
        <v>2</v>
      </c>
      <c r="U72" s="16" t="str">
        <f t="shared" si="17"/>
        <v/>
      </c>
      <c r="V72" s="16" t="str">
        <f t="shared" si="18"/>
        <v/>
      </c>
      <c r="W72" s="16"/>
      <c r="X72" s="54"/>
      <c r="Y72" s="8" t="str">
        <f>IFERROR(__xludf.DUMMYFUNCTION("""COMPUTED_VALUE"""),"RUN-FLMP_2022-03-10_RFR-098")</f>
        <v>RUN-FLMP_2022-03-10_RFR-098</v>
      </c>
      <c r="Z72" s="14">
        <f>IFERROR(__xludf.DUMMYFUNCTION("""COMPUTED_VALUE"""),44630.0)</f>
        <v>44630</v>
      </c>
      <c r="AA72" s="62">
        <f t="array" ref="AA72">INDEX('RFR Data - preExcl'!AK$2:AK783,$AE72,1)</f>
        <v>21</v>
      </c>
      <c r="AB72" s="16">
        <f t="shared" si="19"/>
        <v>21</v>
      </c>
      <c r="AC72" s="16">
        <f t="array" ref="AC72">INDEX('RFR Data - preExcl'!AI$2:AI783,$AE72,1)</f>
        <v>0</v>
      </c>
      <c r="AD72" s="16">
        <f t="array" ref="AD72">INDEX('RFR Data - preExcl'!AF$2:AF783,$AE72,1)</f>
        <v>0</v>
      </c>
      <c r="AE72" s="66">
        <f>IFNA(MATCH(Y72,'RFR Data - preExcl'!A$2:A783,0),"")</f>
        <v>87</v>
      </c>
      <c r="AF72" s="54"/>
      <c r="AG72" s="70" t="s">
        <v>102</v>
      </c>
      <c r="AH72" s="68">
        <f>VLOOKUP(AG72,'Run Reconcile'!A$2:B783,2,FALSE)</f>
        <v>44512</v>
      </c>
      <c r="AI72" s="69">
        <f>COUNTIF('APS Tubes IMPORT'!$V$2:$V783, AG72)
</f>
        <v>2</v>
      </c>
      <c r="AJ72" s="69">
        <f>COUNTIFS('APS Tubes IMPORT'!V$2:V783, AG72, 'APS Tubes IMPORT'!H$2:H783, "Negative")
</f>
        <v>2</v>
      </c>
      <c r="AK72" s="69">
        <f>COUNTIFS('APS Tubes IMPORT'!V$2:V783, AG72, 'APS Tubes IMPORT'!H$2:H783, "Positive")
</f>
        <v>0</v>
      </c>
      <c r="AL72" s="69">
        <f>COUNTIFS('APS Tubes IMPORT'!V$2:V783, AG72, 'APS Tubes IMPORT'!H$2:H783, "Inconclusive")
</f>
        <v>0</v>
      </c>
      <c r="AM72" s="69">
        <f>COUNTIFS('APS Tubes IMPORT'!V$2:V783, AG72, 'APS Tubes IMPORT'!H$2:H783, "Null")
</f>
        <v>0</v>
      </c>
      <c r="AN72" s="54"/>
      <c r="AO72" s="14">
        <f>'APS Tubes by Date IMPORT'!B71</f>
        <v>44512</v>
      </c>
      <c r="AP72" s="16">
        <f>'APS Tubes by Date IMPORT'!D71</f>
        <v>2</v>
      </c>
      <c r="AQ72" s="16">
        <f>'APS Tubes by Date IMPORT'!D71</f>
        <v>2</v>
      </c>
      <c r="AR72" s="16">
        <f>'APS Tubes by Date IMPORT'!E71</f>
        <v>0</v>
      </c>
      <c r="AS72" s="16">
        <f>'APS Tubes by Date IMPORT'!F71</f>
        <v>0</v>
      </c>
      <c r="AT72" s="16">
        <f>'APS Tubes by Date IMPORT'!G71</f>
        <v>0</v>
      </c>
      <c r="AU72" s="54"/>
    </row>
    <row r="73">
      <c r="A73" s="8" t="s">
        <v>103</v>
      </c>
      <c r="B73" s="58">
        <f>VLOOKUP(A73,'Run Reconcile'!A$2:B783,2,FALSE)</f>
        <v>44515</v>
      </c>
      <c r="C73" s="59">
        <f>COUNTIF('ALL Tube Results'!B72:B783, A73)
</f>
        <v>2</v>
      </c>
      <c r="D73" s="60">
        <f>COUNTIFS('ALL Tube Results'!$B72:$B783, $A73, 'ALL Tube Results'!$F72:$F783, "Negative")
</f>
        <v>2</v>
      </c>
      <c r="E73" s="60">
        <f>COUNTIFS('ALL Tube Results'!$B72:$B783, $A73, 'ALL Tube Results'!$F72:$F783, "Positive")
</f>
        <v>0</v>
      </c>
      <c r="F73" s="60">
        <f>COUNTIFS('ALL Tube Results'!$B72:$B783, $A73, 'ALL Tube Results'!$F72:$F783, "Inconclusive")
</f>
        <v>0</v>
      </c>
      <c r="G73" s="61">
        <f t="shared" si="7"/>
        <v>2</v>
      </c>
      <c r="H73" s="61" t="str">
        <f t="shared" si="8"/>
        <v/>
      </c>
      <c r="I73" s="62" t="str">
        <f t="shared" si="9"/>
        <v/>
      </c>
      <c r="J73" s="63" t="str">
        <f t="shared" si="10"/>
        <v/>
      </c>
      <c r="K73" s="63" t="str">
        <f t="shared" si="11"/>
        <v/>
      </c>
      <c r="L73" s="63">
        <f t="shared" si="12"/>
        <v>2</v>
      </c>
      <c r="M73" s="63" t="str">
        <f t="shared" si="13"/>
        <v/>
      </c>
      <c r="N73" s="63" t="str">
        <f t="shared" si="14"/>
        <v/>
      </c>
      <c r="O73" s="64">
        <f t="shared" si="15"/>
        <v>2</v>
      </c>
      <c r="P73" s="64" t="str">
        <f t="shared" si="16"/>
        <v/>
      </c>
      <c r="Q73" s="54"/>
      <c r="R73" s="8" t="s">
        <v>103</v>
      </c>
      <c r="S73" s="14">
        <v>44515.0</v>
      </c>
      <c r="T73" s="16">
        <f>VLOOKUP(R73,'Run Reconcile'!$A$2:$L783,12,FALSE)</f>
        <v>2</v>
      </c>
      <c r="U73" s="16" t="str">
        <f t="shared" si="17"/>
        <v/>
      </c>
      <c r="V73" s="16" t="str">
        <f t="shared" si="18"/>
        <v/>
      </c>
      <c r="W73" s="16"/>
      <c r="X73" s="54"/>
      <c r="Y73" s="8" t="str">
        <f>IFERROR(__xludf.DUMMYFUNCTION("""COMPUTED_VALUE"""),"RUN-FLMP_2022-03-12_RFR-099")</f>
        <v>RUN-FLMP_2022-03-12_RFR-099</v>
      </c>
      <c r="Z73" s="14">
        <f>IFERROR(__xludf.DUMMYFUNCTION("""COMPUTED_VALUE"""),44632.0)</f>
        <v>44632</v>
      </c>
      <c r="AA73" s="62">
        <f t="array" ref="AA73">INDEX('RFR Data - preExcl'!AK$2:AK783,$AE73,1)</f>
        <v>5</v>
      </c>
      <c r="AB73" s="16">
        <f t="shared" si="19"/>
        <v>5</v>
      </c>
      <c r="AC73" s="16">
        <f t="array" ref="AC73">INDEX('RFR Data - preExcl'!AI$2:AI783,$AE73,1)</f>
        <v>0</v>
      </c>
      <c r="AD73" s="16">
        <f t="array" ref="AD73">INDEX('RFR Data - preExcl'!AF$2:AF783,$AE73,1)</f>
        <v>0</v>
      </c>
      <c r="AE73" s="66">
        <f>IFNA(MATCH(Y73,'RFR Data - preExcl'!A$2:A783,0),"")</f>
        <v>88</v>
      </c>
      <c r="AF73" s="54"/>
      <c r="AG73" s="70" t="s">
        <v>103</v>
      </c>
      <c r="AH73" s="68">
        <f>VLOOKUP(AG73,'Run Reconcile'!A$2:B783,2,FALSE)</f>
        <v>44515</v>
      </c>
      <c r="AI73" s="69">
        <f>COUNTIF('APS Tubes IMPORT'!$V$2:$V783, AG73)
</f>
        <v>2</v>
      </c>
      <c r="AJ73" s="69">
        <f>COUNTIFS('APS Tubes IMPORT'!V$2:V783, AG73, 'APS Tubes IMPORT'!H$2:H783, "Negative")
</f>
        <v>2</v>
      </c>
      <c r="AK73" s="69">
        <f>COUNTIFS('APS Tubes IMPORT'!V$2:V783, AG73, 'APS Tubes IMPORT'!H$2:H783, "Positive")
</f>
        <v>0</v>
      </c>
      <c r="AL73" s="69">
        <f>COUNTIFS('APS Tubes IMPORT'!V$2:V783, AG73, 'APS Tubes IMPORT'!H$2:H783, "Inconclusive")
</f>
        <v>0</v>
      </c>
      <c r="AM73" s="69">
        <f>COUNTIFS('APS Tubes IMPORT'!V$2:V783, AG73, 'APS Tubes IMPORT'!H$2:H783, "Null")
</f>
        <v>0</v>
      </c>
      <c r="AN73" s="54"/>
      <c r="AO73" s="14">
        <f>'APS Tubes by Date IMPORT'!B72</f>
        <v>44515</v>
      </c>
      <c r="AP73" s="16">
        <f>'APS Tubes by Date IMPORT'!D72</f>
        <v>2</v>
      </c>
      <c r="AQ73" s="16">
        <f>'APS Tubes by Date IMPORT'!D72</f>
        <v>2</v>
      </c>
      <c r="AR73" s="16">
        <f>'APS Tubes by Date IMPORT'!E72</f>
        <v>0</v>
      </c>
      <c r="AS73" s="16">
        <f>'APS Tubes by Date IMPORT'!F72</f>
        <v>0</v>
      </c>
      <c r="AT73" s="16">
        <f>'APS Tubes by Date IMPORT'!G72</f>
        <v>0</v>
      </c>
      <c r="AU73" s="54"/>
    </row>
    <row r="74">
      <c r="A74" s="8" t="s">
        <v>104</v>
      </c>
      <c r="B74" s="58">
        <f>VLOOKUP(A74,'Run Reconcile'!A$2:B783,2,FALSE)</f>
        <v>44517</v>
      </c>
      <c r="C74" s="59">
        <f>COUNTIF('ALL Tube Results'!B73:B783, A74)
</f>
        <v>2</v>
      </c>
      <c r="D74" s="60">
        <f>COUNTIFS('ALL Tube Results'!$B73:$B783, $A74, 'ALL Tube Results'!$F73:$F783, "Negative")
</f>
        <v>2</v>
      </c>
      <c r="E74" s="60">
        <f>COUNTIFS('ALL Tube Results'!$B73:$B783, $A74, 'ALL Tube Results'!$F73:$F783, "Positive")
</f>
        <v>0</v>
      </c>
      <c r="F74" s="60">
        <f>COUNTIFS('ALL Tube Results'!$B73:$B783, $A74, 'ALL Tube Results'!$F73:$F783, "Inconclusive")
</f>
        <v>0</v>
      </c>
      <c r="G74" s="61">
        <f t="shared" si="7"/>
        <v>2</v>
      </c>
      <c r="H74" s="61" t="str">
        <f t="shared" si="8"/>
        <v/>
      </c>
      <c r="I74" s="62" t="str">
        <f t="shared" si="9"/>
        <v/>
      </c>
      <c r="J74" s="63" t="str">
        <f t="shared" si="10"/>
        <v/>
      </c>
      <c r="K74" s="63" t="str">
        <f t="shared" si="11"/>
        <v/>
      </c>
      <c r="L74" s="63">
        <f t="shared" si="12"/>
        <v>2</v>
      </c>
      <c r="M74" s="63" t="str">
        <f t="shared" si="13"/>
        <v/>
      </c>
      <c r="N74" s="63" t="str">
        <f t="shared" si="14"/>
        <v/>
      </c>
      <c r="O74" s="64">
        <f t="shared" si="15"/>
        <v>2</v>
      </c>
      <c r="P74" s="64" t="str">
        <f t="shared" si="16"/>
        <v/>
      </c>
      <c r="Q74" s="54"/>
      <c r="R74" s="8" t="s">
        <v>104</v>
      </c>
      <c r="S74" s="14">
        <v>44517.0</v>
      </c>
      <c r="T74" s="16">
        <f>VLOOKUP(R74,'Run Reconcile'!$A$2:$L783,12,FALSE)</f>
        <v>2</v>
      </c>
      <c r="U74" s="16" t="str">
        <f t="shared" si="17"/>
        <v/>
      </c>
      <c r="V74" s="16" t="str">
        <f t="shared" si="18"/>
        <v/>
      </c>
      <c r="W74" s="16"/>
      <c r="X74" s="54"/>
      <c r="Y74" s="8" t="str">
        <f>IFERROR(__xludf.DUMMYFUNCTION("""COMPUTED_VALUE"""),"RUN-FLMP_2022-03-14_RFR-100")</f>
        <v>RUN-FLMP_2022-03-14_RFR-100</v>
      </c>
      <c r="Z74" s="14">
        <f>IFERROR(__xludf.DUMMYFUNCTION("""COMPUTED_VALUE"""),44634.0)</f>
        <v>44634</v>
      </c>
      <c r="AA74" s="62">
        <f t="array" ref="AA74">INDEX('RFR Data - preExcl'!AK$2:AK783,$AE74,1)</f>
        <v>25</v>
      </c>
      <c r="AB74" s="16">
        <f t="shared" si="19"/>
        <v>25</v>
      </c>
      <c r="AC74" s="16">
        <f t="array" ref="AC74">INDEX('RFR Data - preExcl'!AI$2:AI783,$AE74,1)</f>
        <v>0</v>
      </c>
      <c r="AD74" s="16">
        <f t="array" ref="AD74">INDEX('RFR Data - preExcl'!AF$2:AF783,$AE74,1)</f>
        <v>0</v>
      </c>
      <c r="AE74" s="66">
        <f>IFNA(MATCH(Y74,'RFR Data - preExcl'!A$2:A783,0),"")</f>
        <v>89</v>
      </c>
      <c r="AF74" s="54"/>
      <c r="AG74" s="70" t="s">
        <v>104</v>
      </c>
      <c r="AH74" s="68">
        <f>VLOOKUP(AG74,'Run Reconcile'!A$2:B783,2,FALSE)</f>
        <v>44517</v>
      </c>
      <c r="AI74" s="69">
        <f>COUNTIF('APS Tubes IMPORT'!$V$2:$V783, AG74)
</f>
        <v>2</v>
      </c>
      <c r="AJ74" s="69">
        <f>COUNTIFS('APS Tubes IMPORT'!V$2:V783, AG74, 'APS Tubes IMPORT'!H$2:H783, "Negative")
</f>
        <v>2</v>
      </c>
      <c r="AK74" s="69">
        <f>COUNTIFS('APS Tubes IMPORT'!V$2:V783, AG74, 'APS Tubes IMPORT'!H$2:H783, "Positive")
</f>
        <v>0</v>
      </c>
      <c r="AL74" s="69">
        <f>COUNTIFS('APS Tubes IMPORT'!V$2:V783, AG74, 'APS Tubes IMPORT'!H$2:H783, "Inconclusive")
</f>
        <v>0</v>
      </c>
      <c r="AM74" s="69">
        <f>COUNTIFS('APS Tubes IMPORT'!V$2:V783, AG74, 'APS Tubes IMPORT'!H$2:H783, "Null")
</f>
        <v>0</v>
      </c>
      <c r="AN74" s="54"/>
      <c r="AO74" s="14">
        <f>'APS Tubes by Date IMPORT'!B73</f>
        <v>44517</v>
      </c>
      <c r="AP74" s="16">
        <f>'APS Tubes by Date IMPORT'!D73</f>
        <v>2</v>
      </c>
      <c r="AQ74" s="16">
        <f>'APS Tubes by Date IMPORT'!D73</f>
        <v>2</v>
      </c>
      <c r="AR74" s="16">
        <f>'APS Tubes by Date IMPORT'!E73</f>
        <v>0</v>
      </c>
      <c r="AS74" s="16">
        <f>'APS Tubes by Date IMPORT'!F73</f>
        <v>0</v>
      </c>
      <c r="AT74" s="16">
        <f>'APS Tubes by Date IMPORT'!G73</f>
        <v>0</v>
      </c>
      <c r="AU74" s="54"/>
    </row>
    <row r="75">
      <c r="A75" s="8" t="s">
        <v>105</v>
      </c>
      <c r="B75" s="58">
        <f>VLOOKUP(A75,'Run Reconcile'!A$2:B783,2,FALSE)</f>
        <v>44519</v>
      </c>
      <c r="C75" s="59">
        <f>COUNTIF('ALL Tube Results'!B74:B783, A75)
</f>
        <v>2</v>
      </c>
      <c r="D75" s="60">
        <f>COUNTIFS('ALL Tube Results'!$B74:$B783, $A75, 'ALL Tube Results'!$F74:$F783, "Negative")
</f>
        <v>2</v>
      </c>
      <c r="E75" s="60">
        <f>COUNTIFS('ALL Tube Results'!$B74:$B783, $A75, 'ALL Tube Results'!$F74:$F783, "Positive")
</f>
        <v>0</v>
      </c>
      <c r="F75" s="60">
        <f>COUNTIFS('ALL Tube Results'!$B74:$B783, $A75, 'ALL Tube Results'!$F74:$F783, "Inconclusive")
</f>
        <v>0</v>
      </c>
      <c r="G75" s="61">
        <f t="shared" si="7"/>
        <v>2</v>
      </c>
      <c r="H75" s="61" t="str">
        <f t="shared" si="8"/>
        <v/>
      </c>
      <c r="I75" s="62" t="str">
        <f t="shared" si="9"/>
        <v/>
      </c>
      <c r="J75" s="63" t="str">
        <f t="shared" si="10"/>
        <v/>
      </c>
      <c r="K75" s="63" t="str">
        <f t="shared" si="11"/>
        <v/>
      </c>
      <c r="L75" s="63">
        <f t="shared" si="12"/>
        <v>2</v>
      </c>
      <c r="M75" s="63" t="str">
        <f t="shared" si="13"/>
        <v/>
      </c>
      <c r="N75" s="63" t="str">
        <f t="shared" si="14"/>
        <v/>
      </c>
      <c r="O75" s="64">
        <f t="shared" si="15"/>
        <v>2</v>
      </c>
      <c r="P75" s="64" t="str">
        <f t="shared" si="16"/>
        <v/>
      </c>
      <c r="Q75" s="54"/>
      <c r="R75" s="8" t="s">
        <v>105</v>
      </c>
      <c r="S75" s="14">
        <v>44519.0</v>
      </c>
      <c r="T75" s="16">
        <f>VLOOKUP(R75,'Run Reconcile'!$A$2:$L783,12,FALSE)</f>
        <v>2</v>
      </c>
      <c r="U75" s="16" t="str">
        <f t="shared" si="17"/>
        <v/>
      </c>
      <c r="V75" s="16" t="str">
        <f t="shared" si="18"/>
        <v/>
      </c>
      <c r="W75" s="16"/>
      <c r="X75" s="54"/>
      <c r="Y75" s="8" t="str">
        <f>IFERROR(__xludf.DUMMYFUNCTION("""COMPUTED_VALUE"""),"RUN-FLMP_2022-03-17_RFR-102")</f>
        <v>RUN-FLMP_2022-03-17_RFR-102</v>
      </c>
      <c r="Z75" s="14">
        <f>IFERROR(__xludf.DUMMYFUNCTION("""COMPUTED_VALUE"""),44637.0)</f>
        <v>44637</v>
      </c>
      <c r="AA75" s="62">
        <f t="array" ref="AA75">INDEX('RFR Data - preExcl'!AK$2:AK783,$AE75,1)</f>
        <v>17</v>
      </c>
      <c r="AB75" s="16">
        <f t="shared" si="19"/>
        <v>17</v>
      </c>
      <c r="AC75" s="16">
        <f t="array" ref="AC75">INDEX('RFR Data - preExcl'!AI$2:AI783,$AE75,1)</f>
        <v>0</v>
      </c>
      <c r="AD75" s="16">
        <f t="array" ref="AD75">INDEX('RFR Data - preExcl'!AF$2:AF783,$AE75,1)</f>
        <v>0</v>
      </c>
      <c r="AE75" s="66">
        <f>IFNA(MATCH(Y75,'RFR Data - preExcl'!A$2:A783,0),"")</f>
        <v>91</v>
      </c>
      <c r="AF75" s="54"/>
      <c r="AG75" s="70" t="s">
        <v>105</v>
      </c>
      <c r="AH75" s="68">
        <f>VLOOKUP(AG75,'Run Reconcile'!A$2:B783,2,FALSE)</f>
        <v>44519</v>
      </c>
      <c r="AI75" s="69">
        <f>COUNTIF('APS Tubes IMPORT'!$V$2:$V783, AG75)
</f>
        <v>2</v>
      </c>
      <c r="AJ75" s="69">
        <f>COUNTIFS('APS Tubes IMPORT'!V$2:V783, AG75, 'APS Tubes IMPORT'!H$2:H783, "Negative")
</f>
        <v>2</v>
      </c>
      <c r="AK75" s="69">
        <f>COUNTIFS('APS Tubes IMPORT'!V$2:V783, AG75, 'APS Tubes IMPORT'!H$2:H783, "Positive")
</f>
        <v>0</v>
      </c>
      <c r="AL75" s="69">
        <f>COUNTIFS('APS Tubes IMPORT'!V$2:V783, AG75, 'APS Tubes IMPORT'!H$2:H783, "Inconclusive")
</f>
        <v>0</v>
      </c>
      <c r="AM75" s="69">
        <f>COUNTIFS('APS Tubes IMPORT'!V$2:V783, AG75, 'APS Tubes IMPORT'!H$2:H783, "Null")
</f>
        <v>0</v>
      </c>
      <c r="AN75" s="54"/>
      <c r="AO75" s="14">
        <f>'APS Tubes by Date IMPORT'!B74</f>
        <v>44519</v>
      </c>
      <c r="AP75" s="16">
        <f>'APS Tubes by Date IMPORT'!D74</f>
        <v>2</v>
      </c>
      <c r="AQ75" s="16">
        <f>'APS Tubes by Date IMPORT'!D74</f>
        <v>2</v>
      </c>
      <c r="AR75" s="16">
        <f>'APS Tubes by Date IMPORT'!E74</f>
        <v>0</v>
      </c>
      <c r="AS75" s="16">
        <f>'APS Tubes by Date IMPORT'!F74</f>
        <v>0</v>
      </c>
      <c r="AT75" s="16">
        <f>'APS Tubes by Date IMPORT'!G74</f>
        <v>0</v>
      </c>
      <c r="AU75" s="54"/>
    </row>
    <row r="76">
      <c r="A76" s="8" t="s">
        <v>106</v>
      </c>
      <c r="B76" s="58">
        <f>VLOOKUP(A76,'Run Reconcile'!A$2:B783,2,FALSE)</f>
        <v>44526</v>
      </c>
      <c r="C76" s="59">
        <f>COUNTIF('ALL Tube Results'!B75:B783, A76)
</f>
        <v>2</v>
      </c>
      <c r="D76" s="60">
        <f>COUNTIFS('ALL Tube Results'!$B75:$B783, $A76, 'ALL Tube Results'!$F75:$F783, "Negative")
</f>
        <v>2</v>
      </c>
      <c r="E76" s="60">
        <f>COUNTIFS('ALL Tube Results'!$B75:$B783, $A76, 'ALL Tube Results'!$F75:$F783, "Positive")
</f>
        <v>0</v>
      </c>
      <c r="F76" s="60">
        <f>COUNTIFS('ALL Tube Results'!$B75:$B783, $A76, 'ALL Tube Results'!$F75:$F783, "Inconclusive")
</f>
        <v>0</v>
      </c>
      <c r="G76" s="61">
        <f t="shared" si="7"/>
        <v>2</v>
      </c>
      <c r="H76" s="61" t="str">
        <f t="shared" si="8"/>
        <v/>
      </c>
      <c r="I76" s="62">
        <f t="shared" si="9"/>
        <v>2</v>
      </c>
      <c r="J76" s="63">
        <f t="shared" si="10"/>
        <v>0</v>
      </c>
      <c r="K76" s="63">
        <f t="shared" si="11"/>
        <v>0</v>
      </c>
      <c r="L76" s="63" t="str">
        <f t="shared" si="12"/>
        <v/>
      </c>
      <c r="M76" s="63" t="str">
        <f t="shared" si="13"/>
        <v/>
      </c>
      <c r="N76" s="63" t="str">
        <f t="shared" si="14"/>
        <v/>
      </c>
      <c r="O76" s="64">
        <f t="shared" si="15"/>
        <v>2</v>
      </c>
      <c r="P76" s="64" t="str">
        <f t="shared" si="16"/>
        <v/>
      </c>
      <c r="Q76" s="54"/>
      <c r="R76" s="8" t="s">
        <v>106</v>
      </c>
      <c r="S76" s="14">
        <v>44526.0</v>
      </c>
      <c r="T76" s="16">
        <f>VLOOKUP(R76,'Run Reconcile'!$A$2:$L783,12,FALSE)</f>
        <v>2</v>
      </c>
      <c r="U76" s="16" t="str">
        <f t="shared" si="17"/>
        <v/>
      </c>
      <c r="V76" s="16" t="str">
        <f t="shared" si="18"/>
        <v/>
      </c>
      <c r="W76" s="16"/>
      <c r="X76" s="54"/>
      <c r="Y76" s="8" t="str">
        <f>IFERROR(__xludf.DUMMYFUNCTION("""COMPUTED_VALUE"""),"RUN-FLMP_2022-03-22_RFR-103")</f>
        <v>RUN-FLMP_2022-03-22_RFR-103</v>
      </c>
      <c r="Z76" s="14">
        <f>IFERROR(__xludf.DUMMYFUNCTION("""COMPUTED_VALUE"""),44642.0)</f>
        <v>44642</v>
      </c>
      <c r="AA76" s="62">
        <f t="array" ref="AA76">INDEX('RFR Data - preExcl'!AK$2:AK783,$AE76,1)</f>
        <v>1</v>
      </c>
      <c r="AB76" s="16">
        <f t="shared" si="19"/>
        <v>1</v>
      </c>
      <c r="AC76" s="16">
        <f t="array" ref="AC76">INDEX('RFR Data - preExcl'!AI$2:AI783,$AE76,1)</f>
        <v>0</v>
      </c>
      <c r="AD76" s="16">
        <f t="array" ref="AD76">INDEX('RFR Data - preExcl'!AF$2:AF783,$AE76,1)</f>
        <v>0</v>
      </c>
      <c r="AE76" s="66">
        <f>IFNA(MATCH(Y76,'RFR Data - preExcl'!A$2:A783,0),"")</f>
        <v>92</v>
      </c>
      <c r="AF76" s="54"/>
      <c r="AG76" s="70" t="s">
        <v>106</v>
      </c>
      <c r="AH76" s="68">
        <f>VLOOKUP(AG76,'Run Reconcile'!A$2:B783,2,FALSE)</f>
        <v>44526</v>
      </c>
      <c r="AI76" s="69">
        <f>COUNTIF('APS Tubes IMPORT'!$V$2:$V783, AG76)
</f>
        <v>2</v>
      </c>
      <c r="AJ76" s="69">
        <f>COUNTIFS('APS Tubes IMPORT'!V$2:V783, AG76, 'APS Tubes IMPORT'!H$2:H783, "Negative")
</f>
        <v>2</v>
      </c>
      <c r="AK76" s="69">
        <f>COUNTIFS('APS Tubes IMPORT'!V$2:V783, AG76, 'APS Tubes IMPORT'!H$2:H783, "Positive")
</f>
        <v>0</v>
      </c>
      <c r="AL76" s="69">
        <f>COUNTIFS('APS Tubes IMPORT'!V$2:V783, AG76, 'APS Tubes IMPORT'!H$2:H783, "Inconclusive")
</f>
        <v>0</v>
      </c>
      <c r="AM76" s="69">
        <f>COUNTIFS('APS Tubes IMPORT'!V$2:V783, AG76, 'APS Tubes IMPORT'!H$2:H783, "Null")
</f>
        <v>0</v>
      </c>
      <c r="AN76" s="54"/>
      <c r="AO76" s="14">
        <f>'APS Tubes by Date IMPORT'!B75</f>
        <v>44526</v>
      </c>
      <c r="AP76" s="16">
        <f>'APS Tubes by Date IMPORT'!D75</f>
        <v>2</v>
      </c>
      <c r="AQ76" s="16">
        <f>'APS Tubes by Date IMPORT'!D75</f>
        <v>2</v>
      </c>
      <c r="AR76" s="16">
        <f>'APS Tubes by Date IMPORT'!E75</f>
        <v>0</v>
      </c>
      <c r="AS76" s="16">
        <f>'APS Tubes by Date IMPORT'!F75</f>
        <v>0</v>
      </c>
      <c r="AT76" s="16">
        <f>'APS Tubes by Date IMPORT'!G75</f>
        <v>0</v>
      </c>
      <c r="AU76" s="54"/>
    </row>
    <row r="77">
      <c r="A77" s="8" t="s">
        <v>107</v>
      </c>
      <c r="B77" s="58">
        <f>VLOOKUP(A77,'Run Reconcile'!A$2:B783,2,FALSE)</f>
        <v>44528</v>
      </c>
      <c r="C77" s="59">
        <f>COUNTIF('ALL Tube Results'!B76:B783, A77)
</f>
        <v>10</v>
      </c>
      <c r="D77" s="60">
        <f>COUNTIFS('ALL Tube Results'!$B76:$B783, $A77, 'ALL Tube Results'!$F76:$F783, "Negative")
</f>
        <v>10</v>
      </c>
      <c r="E77" s="60">
        <f>COUNTIFS('ALL Tube Results'!$B76:$B783, $A77, 'ALL Tube Results'!$F76:$F783, "Positive")
</f>
        <v>0</v>
      </c>
      <c r="F77" s="60">
        <f>COUNTIFS('ALL Tube Results'!$B76:$B783, $A77, 'ALL Tube Results'!$F76:$F783, "Inconclusive")
</f>
        <v>0</v>
      </c>
      <c r="G77" s="61">
        <f t="shared" si="7"/>
        <v>10</v>
      </c>
      <c r="H77" s="61" t="str">
        <f t="shared" si="8"/>
        <v/>
      </c>
      <c r="I77" s="62">
        <f t="shared" si="9"/>
        <v>10</v>
      </c>
      <c r="J77" s="63">
        <f t="shared" si="10"/>
        <v>0</v>
      </c>
      <c r="K77" s="63">
        <f t="shared" si="11"/>
        <v>0</v>
      </c>
      <c r="L77" s="63" t="str">
        <f t="shared" si="12"/>
        <v/>
      </c>
      <c r="M77" s="63" t="str">
        <f t="shared" si="13"/>
        <v/>
      </c>
      <c r="N77" s="63" t="str">
        <f t="shared" si="14"/>
        <v/>
      </c>
      <c r="O77" s="64">
        <f t="shared" si="15"/>
        <v>10</v>
      </c>
      <c r="P77" s="64" t="str">
        <f t="shared" si="16"/>
        <v/>
      </c>
      <c r="Q77" s="54"/>
      <c r="R77" s="8" t="s">
        <v>107</v>
      </c>
      <c r="S77" s="14">
        <v>44528.0</v>
      </c>
      <c r="T77" s="16">
        <f>VLOOKUP(R77,'Run Reconcile'!$A$2:$L783,12,FALSE)</f>
        <v>10</v>
      </c>
      <c r="U77" s="16" t="str">
        <f t="shared" si="17"/>
        <v/>
      </c>
      <c r="V77" s="16" t="str">
        <f t="shared" si="18"/>
        <v/>
      </c>
      <c r="W77" s="16"/>
      <c r="X77" s="54"/>
      <c r="Y77" s="8" t="str">
        <f>IFERROR(__xludf.DUMMYFUNCTION("""COMPUTED_VALUE"""),"RUN-FLMP_2022-04-02_RFR-104")</f>
        <v>RUN-FLMP_2022-04-02_RFR-104</v>
      </c>
      <c r="Z77" s="14">
        <f>IFERROR(__xludf.DUMMYFUNCTION("""COMPUTED_VALUE"""),44653.0)</f>
        <v>44653</v>
      </c>
      <c r="AA77" s="62">
        <f t="array" ref="AA77">INDEX('RFR Data - preExcl'!AK$2:AK783,$AE77,1)</f>
        <v>4</v>
      </c>
      <c r="AB77" s="16">
        <f t="shared" si="19"/>
        <v>4</v>
      </c>
      <c r="AC77" s="16">
        <f t="array" ref="AC77">INDEX('RFR Data - preExcl'!AI$2:AI783,$AE77,1)</f>
        <v>0</v>
      </c>
      <c r="AD77" s="16">
        <f t="array" ref="AD77">INDEX('RFR Data - preExcl'!AF$2:AF783,$AE77,1)</f>
        <v>0</v>
      </c>
      <c r="AE77" s="66">
        <f>IFNA(MATCH(Y77,'RFR Data - preExcl'!A$2:A783,0),"")</f>
        <v>93</v>
      </c>
      <c r="AF77" s="54"/>
      <c r="AG77" s="70" t="s">
        <v>107</v>
      </c>
      <c r="AH77" s="68">
        <f>VLOOKUP(AG77,'Run Reconcile'!A$2:B783,2,FALSE)</f>
        <v>44528</v>
      </c>
      <c r="AI77" s="69">
        <f>COUNTIF('APS Tubes IMPORT'!$V$2:$V783, AG77)
</f>
        <v>10</v>
      </c>
      <c r="AJ77" s="69">
        <f>COUNTIFS('APS Tubes IMPORT'!V$2:V783, AG77, 'APS Tubes IMPORT'!H$2:H783, "Negative")
</f>
        <v>10</v>
      </c>
      <c r="AK77" s="69">
        <f>COUNTIFS('APS Tubes IMPORT'!V$2:V783, AG77, 'APS Tubes IMPORT'!H$2:H783, "Positive")
</f>
        <v>0</v>
      </c>
      <c r="AL77" s="69">
        <f>COUNTIFS('APS Tubes IMPORT'!V$2:V783, AG77, 'APS Tubes IMPORT'!H$2:H783, "Inconclusive")
</f>
        <v>0</v>
      </c>
      <c r="AM77" s="69">
        <f>COUNTIFS('APS Tubes IMPORT'!V$2:V783, AG77, 'APS Tubes IMPORT'!H$2:H783, "Null")
</f>
        <v>0</v>
      </c>
      <c r="AN77" s="54"/>
      <c r="AO77" s="14">
        <f>'APS Tubes by Date IMPORT'!B76</f>
        <v>44528</v>
      </c>
      <c r="AP77" s="16">
        <f>'APS Tubes by Date IMPORT'!D76</f>
        <v>11</v>
      </c>
      <c r="AQ77" s="16">
        <f>'APS Tubes by Date IMPORT'!D76</f>
        <v>11</v>
      </c>
      <c r="AR77" s="16">
        <f>'APS Tubes by Date IMPORT'!E76</f>
        <v>0</v>
      </c>
      <c r="AS77" s="16">
        <f>'APS Tubes by Date IMPORT'!F76</f>
        <v>0</v>
      </c>
      <c r="AT77" s="16">
        <f>'APS Tubes by Date IMPORT'!G76</f>
        <v>0</v>
      </c>
      <c r="AU77" s="54"/>
    </row>
    <row r="78">
      <c r="A78" s="8" t="s">
        <v>108</v>
      </c>
      <c r="B78" s="58">
        <f>VLOOKUP(A78,'Run Reconcile'!A$2:B783,2,FALSE)</f>
        <v>44529</v>
      </c>
      <c r="C78" s="59">
        <f>COUNTIF('ALL Tube Results'!B77:B783, A78)
</f>
        <v>3</v>
      </c>
      <c r="D78" s="60">
        <f>COUNTIFS('ALL Tube Results'!$B77:$B783, $A78, 'ALL Tube Results'!$F77:$F783, "Negative")
</f>
        <v>3</v>
      </c>
      <c r="E78" s="60">
        <f>COUNTIFS('ALL Tube Results'!$B77:$B783, $A78, 'ALL Tube Results'!$F77:$F783, "Positive")
</f>
        <v>0</v>
      </c>
      <c r="F78" s="60">
        <f>COUNTIFS('ALL Tube Results'!$B77:$B783, $A78, 'ALL Tube Results'!$F77:$F783, "Inconclusive")
</f>
        <v>0</v>
      </c>
      <c r="G78" s="61">
        <f t="shared" si="7"/>
        <v>3</v>
      </c>
      <c r="H78" s="61" t="str">
        <f t="shared" si="8"/>
        <v/>
      </c>
      <c r="I78" s="62">
        <f t="shared" si="9"/>
        <v>3</v>
      </c>
      <c r="J78" s="63">
        <f t="shared" si="10"/>
        <v>0</v>
      </c>
      <c r="K78" s="63">
        <f t="shared" si="11"/>
        <v>0</v>
      </c>
      <c r="L78" s="63" t="str">
        <f t="shared" si="12"/>
        <v/>
      </c>
      <c r="M78" s="63" t="str">
        <f t="shared" si="13"/>
        <v/>
      </c>
      <c r="N78" s="63" t="str">
        <f t="shared" si="14"/>
        <v/>
      </c>
      <c r="O78" s="64">
        <f t="shared" si="15"/>
        <v>3</v>
      </c>
      <c r="P78" s="64" t="str">
        <f t="shared" si="16"/>
        <v/>
      </c>
      <c r="Q78" s="54"/>
      <c r="R78" s="8" t="s">
        <v>108</v>
      </c>
      <c r="S78" s="14">
        <v>44529.0</v>
      </c>
      <c r="T78" s="16">
        <f>VLOOKUP(R78,'Run Reconcile'!$A$2:$L783,12,FALSE)</f>
        <v>3</v>
      </c>
      <c r="U78" s="16" t="str">
        <f t="shared" si="17"/>
        <v/>
      </c>
      <c r="V78" s="16" t="str">
        <f t="shared" si="18"/>
        <v/>
      </c>
      <c r="W78" s="16"/>
      <c r="X78" s="54"/>
      <c r="Y78" s="8" t="str">
        <f>IFERROR(__xludf.DUMMYFUNCTION("""COMPUTED_VALUE"""),"RUN-FLMP_2022-04-04_RFR-105")</f>
        <v>RUN-FLMP_2022-04-04_RFR-105</v>
      </c>
      <c r="Z78" s="14">
        <f>IFERROR(__xludf.DUMMYFUNCTION("""COMPUTED_VALUE"""),44655.0)</f>
        <v>44655</v>
      </c>
      <c r="AA78" s="62">
        <f t="array" ref="AA78">INDEX('RFR Data - preExcl'!AK$2:AK783,$AE78,1)</f>
        <v>26</v>
      </c>
      <c r="AB78" s="16">
        <f t="shared" si="19"/>
        <v>26</v>
      </c>
      <c r="AC78" s="16">
        <f t="array" ref="AC78">INDEX('RFR Data - preExcl'!AI$2:AI783,$AE78,1)</f>
        <v>0</v>
      </c>
      <c r="AD78" s="16">
        <f t="array" ref="AD78">INDEX('RFR Data - preExcl'!AF$2:AF783,$AE78,1)</f>
        <v>0</v>
      </c>
      <c r="AE78" s="66">
        <f>IFNA(MATCH(Y78,'RFR Data - preExcl'!A$2:A783,0),"")</f>
        <v>94</v>
      </c>
      <c r="AF78" s="54"/>
      <c r="AG78" s="70" t="s">
        <v>108</v>
      </c>
      <c r="AH78" s="68">
        <f>VLOOKUP(AG78,'Run Reconcile'!A$2:B783,2,FALSE)</f>
        <v>44529</v>
      </c>
      <c r="AI78" s="69">
        <f>COUNTIF('APS Tubes IMPORT'!$V$2:$V783, AG78)
</f>
        <v>3</v>
      </c>
      <c r="AJ78" s="69">
        <f>COUNTIFS('APS Tubes IMPORT'!V$2:V783, AG78, 'APS Tubes IMPORT'!H$2:H783, "Negative")
</f>
        <v>3</v>
      </c>
      <c r="AK78" s="69">
        <f>COUNTIFS('APS Tubes IMPORT'!V$2:V783, AG78, 'APS Tubes IMPORT'!H$2:H783, "Positive")
</f>
        <v>0</v>
      </c>
      <c r="AL78" s="69">
        <f>COUNTIFS('APS Tubes IMPORT'!V$2:V783, AG78, 'APS Tubes IMPORT'!H$2:H783, "Inconclusive")
</f>
        <v>0</v>
      </c>
      <c r="AM78" s="69">
        <f>COUNTIFS('APS Tubes IMPORT'!V$2:V783, AG78, 'APS Tubes IMPORT'!H$2:H783, "Null")
</f>
        <v>0</v>
      </c>
      <c r="AN78" s="54"/>
      <c r="AO78" s="14">
        <f>'APS Tubes by Date IMPORT'!B77</f>
        <v>44529</v>
      </c>
      <c r="AP78" s="16">
        <f>'APS Tubes by Date IMPORT'!D77</f>
        <v>2</v>
      </c>
      <c r="AQ78" s="16">
        <f>'APS Tubes by Date IMPORT'!D77</f>
        <v>2</v>
      </c>
      <c r="AR78" s="16">
        <f>'APS Tubes by Date IMPORT'!E77</f>
        <v>0</v>
      </c>
      <c r="AS78" s="16">
        <f>'APS Tubes by Date IMPORT'!F77</f>
        <v>0</v>
      </c>
      <c r="AT78" s="16">
        <f>'APS Tubes by Date IMPORT'!G77</f>
        <v>0</v>
      </c>
      <c r="AU78" s="54"/>
    </row>
    <row r="79">
      <c r="A79" s="8" t="s">
        <v>109</v>
      </c>
      <c r="B79" s="58">
        <f>VLOOKUP(A79,'Run Reconcile'!A$2:B783,2,FALSE)</f>
        <v>44530</v>
      </c>
      <c r="C79" s="59">
        <f>COUNTIF('ALL Tube Results'!B78:B783, A79)
</f>
        <v>2</v>
      </c>
      <c r="D79" s="60">
        <f>COUNTIFS('ALL Tube Results'!$B78:$B783, $A79, 'ALL Tube Results'!$F78:$F783, "Negative")
</f>
        <v>2</v>
      </c>
      <c r="E79" s="60">
        <f>COUNTIFS('ALL Tube Results'!$B78:$B783, $A79, 'ALL Tube Results'!$F78:$F783, "Positive")
</f>
        <v>0</v>
      </c>
      <c r="F79" s="60">
        <f>COUNTIFS('ALL Tube Results'!$B78:$B783, $A79, 'ALL Tube Results'!$F78:$F783, "Inconclusive")
</f>
        <v>0</v>
      </c>
      <c r="G79" s="61">
        <f t="shared" si="7"/>
        <v>2</v>
      </c>
      <c r="H79" s="61" t="str">
        <f t="shared" si="8"/>
        <v/>
      </c>
      <c r="I79" s="62" t="str">
        <f t="shared" si="9"/>
        <v/>
      </c>
      <c r="J79" s="63" t="str">
        <f t="shared" si="10"/>
        <v/>
      </c>
      <c r="K79" s="63" t="str">
        <f t="shared" si="11"/>
        <v/>
      </c>
      <c r="L79" s="63">
        <f t="shared" si="12"/>
        <v>2</v>
      </c>
      <c r="M79" s="63" t="str">
        <f t="shared" si="13"/>
        <v/>
      </c>
      <c r="N79" s="63" t="str">
        <f t="shared" si="14"/>
        <v/>
      </c>
      <c r="O79" s="64">
        <f t="shared" si="15"/>
        <v>2</v>
      </c>
      <c r="P79" s="64" t="str">
        <f t="shared" si="16"/>
        <v/>
      </c>
      <c r="Q79" s="54"/>
      <c r="R79" s="8" t="s">
        <v>109</v>
      </c>
      <c r="S79" s="14">
        <v>44530.0</v>
      </c>
      <c r="T79" s="16">
        <f>VLOOKUP(R79,'Run Reconcile'!$A$2:$L783,12,FALSE)</f>
        <v>2</v>
      </c>
      <c r="U79" s="16" t="str">
        <f t="shared" si="17"/>
        <v/>
      </c>
      <c r="V79" s="16" t="str">
        <f t="shared" si="18"/>
        <v/>
      </c>
      <c r="W79" s="16"/>
      <c r="X79" s="54"/>
      <c r="Y79" s="8" t="str">
        <f>IFERROR(__xludf.DUMMYFUNCTION("""COMPUTED_VALUE"""),"RUN-FLMP_2022-04-07_RFR-107")</f>
        <v>RUN-FLMP_2022-04-07_RFR-107</v>
      </c>
      <c r="Z79" s="14">
        <f>IFERROR(__xludf.DUMMYFUNCTION("""COMPUTED_VALUE"""),44658.0)</f>
        <v>44658</v>
      </c>
      <c r="AA79" s="62">
        <f t="array" ref="AA79">INDEX('RFR Data - preExcl'!AK$2:AK783,$AE79,1)</f>
        <v>21</v>
      </c>
      <c r="AB79" s="16">
        <f t="shared" si="19"/>
        <v>21</v>
      </c>
      <c r="AC79" s="16">
        <f t="array" ref="AC79">INDEX('RFR Data - preExcl'!AI$2:AI783,$AE79,1)</f>
        <v>0</v>
      </c>
      <c r="AD79" s="16">
        <f t="array" ref="AD79">INDEX('RFR Data - preExcl'!AF$2:AF783,$AE79,1)</f>
        <v>0</v>
      </c>
      <c r="AE79" s="66">
        <f>IFNA(MATCH(Y79,'RFR Data - preExcl'!A$2:A783,0),"")</f>
        <v>96</v>
      </c>
      <c r="AF79" s="54"/>
      <c r="AG79" s="70" t="s">
        <v>109</v>
      </c>
      <c r="AH79" s="68">
        <f>VLOOKUP(AG79,'Run Reconcile'!A$2:B783,2,FALSE)</f>
        <v>44530</v>
      </c>
      <c r="AI79" s="69">
        <f>COUNTIF('APS Tubes IMPORT'!$V$2:$V783, AG79)
</f>
        <v>2</v>
      </c>
      <c r="AJ79" s="69">
        <f>COUNTIFS('APS Tubes IMPORT'!V$2:V783, AG79, 'APS Tubes IMPORT'!H$2:H783, "Negative")
</f>
        <v>2</v>
      </c>
      <c r="AK79" s="69">
        <f>COUNTIFS('APS Tubes IMPORT'!V$2:V783, AG79, 'APS Tubes IMPORT'!H$2:H783, "Positive")
</f>
        <v>0</v>
      </c>
      <c r="AL79" s="69">
        <f>COUNTIFS('APS Tubes IMPORT'!V$2:V783, AG79, 'APS Tubes IMPORT'!H$2:H783, "Inconclusive")
</f>
        <v>0</v>
      </c>
      <c r="AM79" s="69">
        <f>COUNTIFS('APS Tubes IMPORT'!V$2:V783, AG79, 'APS Tubes IMPORT'!H$2:H783, "Null")
</f>
        <v>0</v>
      </c>
      <c r="AN79" s="54"/>
      <c r="AO79" s="14">
        <f>'APS Tubes by Date IMPORT'!B78</f>
        <v>44530</v>
      </c>
      <c r="AP79" s="16">
        <f>'APS Tubes by Date IMPORT'!D78</f>
        <v>2</v>
      </c>
      <c r="AQ79" s="16">
        <f>'APS Tubes by Date IMPORT'!D78</f>
        <v>2</v>
      </c>
      <c r="AR79" s="16">
        <f>'APS Tubes by Date IMPORT'!E78</f>
        <v>0</v>
      </c>
      <c r="AS79" s="16">
        <f>'APS Tubes by Date IMPORT'!F78</f>
        <v>0</v>
      </c>
      <c r="AT79" s="16">
        <f>'APS Tubes by Date IMPORT'!G78</f>
        <v>0</v>
      </c>
      <c r="AU79" s="54"/>
    </row>
    <row r="80">
      <c r="A80" s="8" t="s">
        <v>110</v>
      </c>
      <c r="B80" s="58">
        <f>VLOOKUP(A80,'Run Reconcile'!A$2:B783,2,FALSE)</f>
        <v>44532</v>
      </c>
      <c r="C80" s="59">
        <f>COUNTIF('ALL Tube Results'!B79:B783, A80)
</f>
        <v>3</v>
      </c>
      <c r="D80" s="60">
        <f>COUNTIFS('ALL Tube Results'!$B79:$B783, $A80, 'ALL Tube Results'!$F79:$F783, "Negative")
</f>
        <v>3</v>
      </c>
      <c r="E80" s="60">
        <f>COUNTIFS('ALL Tube Results'!$B79:$B783, $A80, 'ALL Tube Results'!$F79:$F783, "Positive")
</f>
        <v>0</v>
      </c>
      <c r="F80" s="60">
        <f>COUNTIFS('ALL Tube Results'!$B79:$B783, $A80, 'ALL Tube Results'!$F79:$F783, "Inconclusive")
</f>
        <v>0</v>
      </c>
      <c r="G80" s="61">
        <f t="shared" si="7"/>
        <v>3</v>
      </c>
      <c r="H80" s="61" t="str">
        <f t="shared" si="8"/>
        <v/>
      </c>
      <c r="I80" s="62" t="str">
        <f t="shared" si="9"/>
        <v/>
      </c>
      <c r="J80" s="63" t="str">
        <f t="shared" si="10"/>
        <v/>
      </c>
      <c r="K80" s="63" t="str">
        <f t="shared" si="11"/>
        <v/>
      </c>
      <c r="L80" s="63">
        <f t="shared" si="12"/>
        <v>3</v>
      </c>
      <c r="M80" s="63" t="str">
        <f t="shared" si="13"/>
        <v/>
      </c>
      <c r="N80" s="63" t="str">
        <f t="shared" si="14"/>
        <v/>
      </c>
      <c r="O80" s="64">
        <f t="shared" si="15"/>
        <v>3</v>
      </c>
      <c r="P80" s="64" t="str">
        <f t="shared" si="16"/>
        <v/>
      </c>
      <c r="Q80" s="54"/>
      <c r="R80" s="8" t="s">
        <v>110</v>
      </c>
      <c r="S80" s="14">
        <v>44532.0</v>
      </c>
      <c r="T80" s="16">
        <f>VLOOKUP(R80,'Run Reconcile'!$A$2:$L783,12,FALSE)</f>
        <v>3</v>
      </c>
      <c r="U80" s="16" t="str">
        <f t="shared" si="17"/>
        <v/>
      </c>
      <c r="V80" s="16" t="str">
        <f t="shared" si="18"/>
        <v/>
      </c>
      <c r="W80" s="16"/>
      <c r="X80" s="54"/>
      <c r="Y80" s="8" t="str">
        <f>IFERROR(__xludf.DUMMYFUNCTION("""COMPUTED_VALUE"""),"RUN-FLMP_2022-04-11_RFR-109")</f>
        <v>RUN-FLMP_2022-04-11_RFR-109</v>
      </c>
      <c r="Z80" s="14">
        <f>IFERROR(__xludf.DUMMYFUNCTION("""COMPUTED_VALUE"""),44662.0)</f>
        <v>44662</v>
      </c>
      <c r="AA80" s="62">
        <f t="array" ref="AA80">INDEX('RFR Data - preExcl'!AK$2:AK783,$AE80,1)</f>
        <v>22</v>
      </c>
      <c r="AB80" s="16">
        <f t="shared" si="19"/>
        <v>22</v>
      </c>
      <c r="AC80" s="16">
        <f t="array" ref="AC80">INDEX('RFR Data - preExcl'!AI$2:AI783,$AE80,1)</f>
        <v>0</v>
      </c>
      <c r="AD80" s="16">
        <f t="array" ref="AD80">INDEX('RFR Data - preExcl'!AF$2:AF783,$AE80,1)</f>
        <v>0</v>
      </c>
      <c r="AE80" s="66">
        <f>IFNA(MATCH(Y80,'RFR Data - preExcl'!A$2:A783,0),"")</f>
        <v>98</v>
      </c>
      <c r="AF80" s="54"/>
      <c r="AG80" s="70" t="s">
        <v>110</v>
      </c>
      <c r="AH80" s="68">
        <f>VLOOKUP(AG80,'Run Reconcile'!A$2:B783,2,FALSE)</f>
        <v>44532</v>
      </c>
      <c r="AI80" s="69">
        <f>COUNTIF('APS Tubes IMPORT'!$V$2:$V783, AG80)
</f>
        <v>3</v>
      </c>
      <c r="AJ80" s="69">
        <f>COUNTIFS('APS Tubes IMPORT'!V$2:V783, AG80, 'APS Tubes IMPORT'!H$2:H783, "Negative")
</f>
        <v>3</v>
      </c>
      <c r="AK80" s="69">
        <f>COUNTIFS('APS Tubes IMPORT'!V$2:V783, AG80, 'APS Tubes IMPORT'!H$2:H783, "Positive")
</f>
        <v>0</v>
      </c>
      <c r="AL80" s="69">
        <f>COUNTIFS('APS Tubes IMPORT'!V$2:V783, AG80, 'APS Tubes IMPORT'!H$2:H783, "Inconclusive")
</f>
        <v>0</v>
      </c>
      <c r="AM80" s="69">
        <f>COUNTIFS('APS Tubes IMPORT'!V$2:V783, AG80, 'APS Tubes IMPORT'!H$2:H783, "Null")
</f>
        <v>0</v>
      </c>
      <c r="AN80" s="54"/>
      <c r="AO80" s="14">
        <f>'APS Tubes by Date IMPORT'!B79</f>
        <v>44532</v>
      </c>
      <c r="AP80" s="16">
        <f>'APS Tubes by Date IMPORT'!D79</f>
        <v>3</v>
      </c>
      <c r="AQ80" s="16">
        <f>'APS Tubes by Date IMPORT'!D79</f>
        <v>3</v>
      </c>
      <c r="AR80" s="16">
        <f>'APS Tubes by Date IMPORT'!E79</f>
        <v>0</v>
      </c>
      <c r="AS80" s="16">
        <f>'APS Tubes by Date IMPORT'!F79</f>
        <v>0</v>
      </c>
      <c r="AT80" s="16">
        <f>'APS Tubes by Date IMPORT'!G79</f>
        <v>0</v>
      </c>
      <c r="AU80" s="54"/>
    </row>
    <row r="81">
      <c r="A81" s="8" t="s">
        <v>111</v>
      </c>
      <c r="B81" s="58">
        <f>VLOOKUP(A81,'Run Reconcile'!A$2:B783,2,FALSE)</f>
        <v>44536</v>
      </c>
      <c r="C81" s="59">
        <f>COUNTIF('ALL Tube Results'!B80:B783, A81)
</f>
        <v>4</v>
      </c>
      <c r="D81" s="60">
        <f>COUNTIFS('ALL Tube Results'!$B80:$B783, $A81, 'ALL Tube Results'!$F80:$F783, "Negative")
</f>
        <v>4</v>
      </c>
      <c r="E81" s="60">
        <f>COUNTIFS('ALL Tube Results'!$B80:$B783, $A81, 'ALL Tube Results'!$F80:$F783, "Positive")
</f>
        <v>0</v>
      </c>
      <c r="F81" s="60">
        <f>COUNTIFS('ALL Tube Results'!$B80:$B783, $A81, 'ALL Tube Results'!$F80:$F783, "Inconclusive")
</f>
        <v>0</v>
      </c>
      <c r="G81" s="61">
        <f t="shared" si="7"/>
        <v>4</v>
      </c>
      <c r="H81" s="61" t="str">
        <f t="shared" si="8"/>
        <v/>
      </c>
      <c r="I81" s="62">
        <f t="shared" si="9"/>
        <v>4</v>
      </c>
      <c r="J81" s="63">
        <f t="shared" si="10"/>
        <v>0</v>
      </c>
      <c r="K81" s="63">
        <f t="shared" si="11"/>
        <v>0</v>
      </c>
      <c r="L81" s="63" t="str">
        <f t="shared" si="12"/>
        <v/>
      </c>
      <c r="M81" s="63" t="str">
        <f t="shared" si="13"/>
        <v/>
      </c>
      <c r="N81" s="63" t="str">
        <f t="shared" si="14"/>
        <v/>
      </c>
      <c r="O81" s="64">
        <f t="shared" si="15"/>
        <v>4</v>
      </c>
      <c r="P81" s="64" t="str">
        <f t="shared" si="16"/>
        <v/>
      </c>
      <c r="Q81" s="54"/>
      <c r="R81" s="8" t="s">
        <v>111</v>
      </c>
      <c r="S81" s="14">
        <v>44536.0</v>
      </c>
      <c r="T81" s="16">
        <f>VLOOKUP(R81,'Run Reconcile'!$A$2:$L783,12,FALSE)</f>
        <v>4</v>
      </c>
      <c r="U81" s="16" t="str">
        <f t="shared" si="17"/>
        <v/>
      </c>
      <c r="V81" s="16" t="str">
        <f t="shared" si="18"/>
        <v/>
      </c>
      <c r="W81" s="16"/>
      <c r="X81" s="54"/>
      <c r="Y81" s="8" t="str">
        <f>IFERROR(__xludf.DUMMYFUNCTION("""COMPUTED_VALUE"""),"RUN-FLMP_2022-04-14_RFR-111")</f>
        <v>RUN-FLMP_2022-04-14_RFR-111</v>
      </c>
      <c r="Z81" s="14">
        <f>IFERROR(__xludf.DUMMYFUNCTION("""COMPUTED_VALUE"""),44665.0)</f>
        <v>44665</v>
      </c>
      <c r="AA81" s="62">
        <f t="array" ref="AA81">INDEX('RFR Data - preExcl'!AK$2:AK783,$AE81,1)</f>
        <v>20</v>
      </c>
      <c r="AB81" s="16">
        <f t="shared" si="19"/>
        <v>20</v>
      </c>
      <c r="AC81" s="16">
        <f t="array" ref="AC81">INDEX('RFR Data - preExcl'!AI$2:AI783,$AE81,1)</f>
        <v>0</v>
      </c>
      <c r="AD81" s="16">
        <f t="array" ref="AD81">INDEX('RFR Data - preExcl'!AF$2:AF783,$AE81,1)</f>
        <v>0</v>
      </c>
      <c r="AE81" s="66">
        <f>IFNA(MATCH(Y81,'RFR Data - preExcl'!A$2:A783,0),"")</f>
        <v>100</v>
      </c>
      <c r="AF81" s="54"/>
      <c r="AG81" s="70" t="s">
        <v>111</v>
      </c>
      <c r="AH81" s="68">
        <f>VLOOKUP(AG81,'Run Reconcile'!A$2:B783,2,FALSE)</f>
        <v>44536</v>
      </c>
      <c r="AI81" s="69">
        <f>COUNTIF('APS Tubes IMPORT'!$V$2:$V783, AG81)
</f>
        <v>4</v>
      </c>
      <c r="AJ81" s="69">
        <f>COUNTIFS('APS Tubes IMPORT'!V$2:V783, AG81, 'APS Tubes IMPORT'!H$2:H783, "Negative")
</f>
        <v>4</v>
      </c>
      <c r="AK81" s="69">
        <f>COUNTIFS('APS Tubes IMPORT'!V$2:V783, AG81, 'APS Tubes IMPORT'!H$2:H783, "Positive")
</f>
        <v>0</v>
      </c>
      <c r="AL81" s="69">
        <f>COUNTIFS('APS Tubes IMPORT'!V$2:V783, AG81, 'APS Tubes IMPORT'!H$2:H783, "Inconclusive")
</f>
        <v>0</v>
      </c>
      <c r="AM81" s="69">
        <f>COUNTIFS('APS Tubes IMPORT'!V$2:V783, AG81, 'APS Tubes IMPORT'!H$2:H783, "Null")
</f>
        <v>0</v>
      </c>
      <c r="AN81" s="54"/>
      <c r="AO81" s="14">
        <f>'APS Tubes by Date IMPORT'!B80</f>
        <v>44536</v>
      </c>
      <c r="AP81" s="16">
        <f>'APS Tubes by Date IMPORT'!D80</f>
        <v>5</v>
      </c>
      <c r="AQ81" s="16">
        <f>'APS Tubes by Date IMPORT'!D80</f>
        <v>5</v>
      </c>
      <c r="AR81" s="16">
        <f>'APS Tubes by Date IMPORT'!E80</f>
        <v>0</v>
      </c>
      <c r="AS81" s="16">
        <f>'APS Tubes by Date IMPORT'!F80</f>
        <v>0</v>
      </c>
      <c r="AT81" s="16">
        <f>'APS Tubes by Date IMPORT'!G80</f>
        <v>0</v>
      </c>
      <c r="AU81" s="54"/>
    </row>
    <row r="82">
      <c r="A82" s="8" t="s">
        <v>112</v>
      </c>
      <c r="B82" s="58">
        <f>VLOOKUP(A82,'Run Reconcile'!A$2:B783,2,FALSE)</f>
        <v>44537</v>
      </c>
      <c r="C82" s="59">
        <f>COUNTIF('ALL Tube Results'!B81:B783, A82)
</f>
        <v>5</v>
      </c>
      <c r="D82" s="60">
        <f>COUNTIFS('ALL Tube Results'!$B81:$B783, $A82, 'ALL Tube Results'!$F81:$F783, "Negative")
</f>
        <v>5</v>
      </c>
      <c r="E82" s="60">
        <f>COUNTIFS('ALL Tube Results'!$B81:$B783, $A82, 'ALL Tube Results'!$F81:$F783, "Positive")
</f>
        <v>0</v>
      </c>
      <c r="F82" s="60">
        <f>COUNTIFS('ALL Tube Results'!$B81:$B783, $A82, 'ALL Tube Results'!$F81:$F783, "Inconclusive")
</f>
        <v>0</v>
      </c>
      <c r="G82" s="61">
        <f t="shared" si="7"/>
        <v>5</v>
      </c>
      <c r="H82" s="61" t="str">
        <f t="shared" si="8"/>
        <v/>
      </c>
      <c r="I82" s="62">
        <f t="shared" si="9"/>
        <v>1</v>
      </c>
      <c r="J82" s="63">
        <f t="shared" si="10"/>
        <v>0</v>
      </c>
      <c r="K82" s="63">
        <f t="shared" si="11"/>
        <v>0</v>
      </c>
      <c r="L82" s="63">
        <f t="shared" si="12"/>
        <v>4</v>
      </c>
      <c r="M82" s="63" t="str">
        <f t="shared" si="13"/>
        <v/>
      </c>
      <c r="N82" s="63" t="str">
        <f t="shared" si="14"/>
        <v/>
      </c>
      <c r="O82" s="64">
        <f t="shared" si="15"/>
        <v>5</v>
      </c>
      <c r="P82" s="64" t="str">
        <f t="shared" si="16"/>
        <v/>
      </c>
      <c r="Q82" s="54"/>
      <c r="R82" s="8" t="s">
        <v>112</v>
      </c>
      <c r="S82" s="14">
        <v>44537.0</v>
      </c>
      <c r="T82" s="16">
        <f>VLOOKUP(R82,'Run Reconcile'!$A$2:$L783,12,FALSE)</f>
        <v>5</v>
      </c>
      <c r="U82" s="16" t="str">
        <f t="shared" si="17"/>
        <v/>
      </c>
      <c r="V82" s="16" t="str">
        <f t="shared" si="18"/>
        <v/>
      </c>
      <c r="W82" s="16"/>
      <c r="X82" s="54"/>
      <c r="Y82" s="8" t="str">
        <f>IFERROR(__xludf.DUMMYFUNCTION("""COMPUTED_VALUE"""),"RUN-FLMP_2022-04-18_RFR-113")</f>
        <v>RUN-FLMP_2022-04-18_RFR-113</v>
      </c>
      <c r="Z82" s="14">
        <f>IFERROR(__xludf.DUMMYFUNCTION("""COMPUTED_VALUE"""),44669.0)</f>
        <v>44669</v>
      </c>
      <c r="AA82" s="62">
        <f t="array" ref="AA82">INDEX('RFR Data - preExcl'!AK$2:AK783,$AE82,1)</f>
        <v>24</v>
      </c>
      <c r="AB82" s="16">
        <f t="shared" si="19"/>
        <v>24</v>
      </c>
      <c r="AC82" s="16">
        <f t="array" ref="AC82">INDEX('RFR Data - preExcl'!AI$2:AI783,$AE82,1)</f>
        <v>0</v>
      </c>
      <c r="AD82" s="16">
        <f t="array" ref="AD82">INDEX('RFR Data - preExcl'!AF$2:AF783,$AE82,1)</f>
        <v>0</v>
      </c>
      <c r="AE82" s="66">
        <f>IFNA(MATCH(Y82,'RFR Data - preExcl'!A$2:A783,0),"")</f>
        <v>102</v>
      </c>
      <c r="AF82" s="54"/>
      <c r="AG82" s="70" t="s">
        <v>112</v>
      </c>
      <c r="AH82" s="68">
        <f>VLOOKUP(AG82,'Run Reconcile'!A$2:B783,2,FALSE)</f>
        <v>44537</v>
      </c>
      <c r="AI82" s="69">
        <f>COUNTIF('APS Tubes IMPORT'!$V$2:$V783, AG82)
</f>
        <v>5</v>
      </c>
      <c r="AJ82" s="69">
        <f>COUNTIFS('APS Tubes IMPORT'!V$2:V783, AG82, 'APS Tubes IMPORT'!H$2:H783, "Negative")
</f>
        <v>5</v>
      </c>
      <c r="AK82" s="69">
        <f>COUNTIFS('APS Tubes IMPORT'!V$2:V783, AG82, 'APS Tubes IMPORT'!H$2:H783, "Positive")
</f>
        <v>0</v>
      </c>
      <c r="AL82" s="69">
        <f>COUNTIFS('APS Tubes IMPORT'!V$2:V783, AG82, 'APS Tubes IMPORT'!H$2:H783, "Inconclusive")
</f>
        <v>0</v>
      </c>
      <c r="AM82" s="69">
        <f>COUNTIFS('APS Tubes IMPORT'!V$2:V783, AG82, 'APS Tubes IMPORT'!H$2:H783, "Null")
</f>
        <v>0</v>
      </c>
      <c r="AN82" s="54"/>
      <c r="AO82" s="14">
        <f>'APS Tubes by Date IMPORT'!B81</f>
        <v>44537</v>
      </c>
      <c r="AP82" s="16">
        <f>'APS Tubes by Date IMPORT'!D81</f>
        <v>4</v>
      </c>
      <c r="AQ82" s="16">
        <f>'APS Tubes by Date IMPORT'!D81</f>
        <v>4</v>
      </c>
      <c r="AR82" s="16">
        <f>'APS Tubes by Date IMPORT'!E81</f>
        <v>0</v>
      </c>
      <c r="AS82" s="16">
        <f>'APS Tubes by Date IMPORT'!F81</f>
        <v>0</v>
      </c>
      <c r="AT82" s="16">
        <f>'APS Tubes by Date IMPORT'!G81</f>
        <v>0</v>
      </c>
      <c r="AU82" s="54"/>
    </row>
    <row r="83">
      <c r="A83" s="8" t="s">
        <v>113</v>
      </c>
      <c r="B83" s="58">
        <f>VLOOKUP(A83,'Run Reconcile'!A$2:B783,2,FALSE)</f>
        <v>44539</v>
      </c>
      <c r="C83" s="59">
        <f>COUNTIF('ALL Tube Results'!B82:B783, A83)
</f>
        <v>2</v>
      </c>
      <c r="D83" s="60">
        <f>COUNTIFS('ALL Tube Results'!$B82:$B783, $A83, 'ALL Tube Results'!$F82:$F783, "Negative")
</f>
        <v>2</v>
      </c>
      <c r="E83" s="60">
        <f>COUNTIFS('ALL Tube Results'!$B82:$B783, $A83, 'ALL Tube Results'!$F82:$F783, "Positive")
</f>
        <v>0</v>
      </c>
      <c r="F83" s="60">
        <f>COUNTIFS('ALL Tube Results'!$B82:$B783, $A83, 'ALL Tube Results'!$F82:$F783, "Inconclusive")
</f>
        <v>0</v>
      </c>
      <c r="G83" s="61">
        <f t="shared" si="7"/>
        <v>2</v>
      </c>
      <c r="H83" s="61" t="str">
        <f t="shared" si="8"/>
        <v/>
      </c>
      <c r="I83" s="62">
        <f t="shared" si="9"/>
        <v>2</v>
      </c>
      <c r="J83" s="63">
        <f t="shared" si="10"/>
        <v>0</v>
      </c>
      <c r="K83" s="63">
        <f t="shared" si="11"/>
        <v>0</v>
      </c>
      <c r="L83" s="63" t="str">
        <f t="shared" si="12"/>
        <v/>
      </c>
      <c r="M83" s="63" t="str">
        <f t="shared" si="13"/>
        <v/>
      </c>
      <c r="N83" s="63" t="str">
        <f t="shared" si="14"/>
        <v/>
      </c>
      <c r="O83" s="64">
        <f t="shared" si="15"/>
        <v>2</v>
      </c>
      <c r="P83" s="64" t="str">
        <f t="shared" si="16"/>
        <v/>
      </c>
      <c r="Q83" s="54"/>
      <c r="R83" s="8" t="s">
        <v>113</v>
      </c>
      <c r="S83" s="14">
        <v>44539.0</v>
      </c>
      <c r="T83" s="16">
        <f>VLOOKUP(R83,'Run Reconcile'!$A$2:$L783,12,FALSE)</f>
        <v>2</v>
      </c>
      <c r="U83" s="16" t="str">
        <f t="shared" si="17"/>
        <v/>
      </c>
      <c r="V83" s="16" t="str">
        <f t="shared" si="18"/>
        <v/>
      </c>
      <c r="W83" s="16"/>
      <c r="X83" s="54"/>
      <c r="Y83" s="8" t="str">
        <f>IFERROR(__xludf.DUMMYFUNCTION("""COMPUTED_VALUE"""),"RUN-FLMP_2022-04-19_RFR-115")</f>
        <v>RUN-FLMP_2022-04-19_RFR-115</v>
      </c>
      <c r="Z83" s="14">
        <f>IFERROR(__xludf.DUMMYFUNCTION("""COMPUTED_VALUE"""),44670.0)</f>
        <v>44670</v>
      </c>
      <c r="AA83" s="62">
        <f t="array" ref="AA83">INDEX('RFR Data - preExcl'!AK$2:AK783,$AE83,1)</f>
        <v>5</v>
      </c>
      <c r="AB83" s="16">
        <f t="shared" si="19"/>
        <v>5</v>
      </c>
      <c r="AC83" s="16">
        <f t="array" ref="AC83">INDEX('RFR Data - preExcl'!AI$2:AI783,$AE83,1)</f>
        <v>0</v>
      </c>
      <c r="AD83" s="16">
        <f t="array" ref="AD83">INDEX('RFR Data - preExcl'!AF$2:AF783,$AE83,1)</f>
        <v>0</v>
      </c>
      <c r="AE83" s="66">
        <f>IFNA(MATCH(Y83,'RFR Data - preExcl'!A$2:A783,0),"")</f>
        <v>104</v>
      </c>
      <c r="AF83" s="54"/>
      <c r="AG83" s="70" t="s">
        <v>113</v>
      </c>
      <c r="AH83" s="68">
        <f>VLOOKUP(AG83,'Run Reconcile'!A$2:B783,2,FALSE)</f>
        <v>44539</v>
      </c>
      <c r="AI83" s="69">
        <f>COUNTIF('APS Tubes IMPORT'!$V$2:$V783, AG83)
</f>
        <v>2</v>
      </c>
      <c r="AJ83" s="69">
        <f>COUNTIFS('APS Tubes IMPORT'!V$2:V783, AG83, 'APS Tubes IMPORT'!H$2:H783, "Negative")
</f>
        <v>2</v>
      </c>
      <c r="AK83" s="69">
        <f>COUNTIFS('APS Tubes IMPORT'!V$2:V783, AG83, 'APS Tubes IMPORT'!H$2:H783, "Positive")
</f>
        <v>0</v>
      </c>
      <c r="AL83" s="69">
        <f>COUNTIFS('APS Tubes IMPORT'!V$2:V783, AG83, 'APS Tubes IMPORT'!H$2:H783, "Inconclusive")
</f>
        <v>0</v>
      </c>
      <c r="AM83" s="69">
        <f>COUNTIFS('APS Tubes IMPORT'!V$2:V783, AG83, 'APS Tubes IMPORT'!H$2:H783, "Null")
</f>
        <v>0</v>
      </c>
      <c r="AN83" s="54"/>
      <c r="AO83" s="14">
        <f>'APS Tubes by Date IMPORT'!B82</f>
        <v>44539</v>
      </c>
      <c r="AP83" s="16">
        <f>'APS Tubes by Date IMPORT'!D82</f>
        <v>2</v>
      </c>
      <c r="AQ83" s="16">
        <f>'APS Tubes by Date IMPORT'!D82</f>
        <v>2</v>
      </c>
      <c r="AR83" s="16">
        <f>'APS Tubes by Date IMPORT'!E82</f>
        <v>0</v>
      </c>
      <c r="AS83" s="16">
        <f>'APS Tubes by Date IMPORT'!F82</f>
        <v>0</v>
      </c>
      <c r="AT83" s="16">
        <f>'APS Tubes by Date IMPORT'!G82</f>
        <v>0</v>
      </c>
      <c r="AU83" s="54"/>
    </row>
    <row r="84">
      <c r="A84" s="8" t="s">
        <v>114</v>
      </c>
      <c r="B84" s="58">
        <f>VLOOKUP(A84,'Run Reconcile'!A$2:B783,2,FALSE)</f>
        <v>44540</v>
      </c>
      <c r="C84" s="59">
        <f>COUNTIF('ALL Tube Results'!B83:B783, A84)
</f>
        <v>6</v>
      </c>
      <c r="D84" s="60">
        <f>COUNTIFS('ALL Tube Results'!$B83:$B783, $A84, 'ALL Tube Results'!$F83:$F783, "Negative")
</f>
        <v>6</v>
      </c>
      <c r="E84" s="60">
        <f>COUNTIFS('ALL Tube Results'!$B83:$B783, $A84, 'ALL Tube Results'!$F83:$F783, "Positive")
</f>
        <v>0</v>
      </c>
      <c r="F84" s="60">
        <f>COUNTIFS('ALL Tube Results'!$B83:$B783, $A84, 'ALL Tube Results'!$F83:$F783, "Inconclusive")
</f>
        <v>0</v>
      </c>
      <c r="G84" s="61">
        <f t="shared" si="7"/>
        <v>6</v>
      </c>
      <c r="H84" s="61" t="str">
        <f t="shared" si="8"/>
        <v/>
      </c>
      <c r="I84" s="62">
        <f t="shared" si="9"/>
        <v>6</v>
      </c>
      <c r="J84" s="63">
        <f t="shared" si="10"/>
        <v>0</v>
      </c>
      <c r="K84" s="63">
        <f t="shared" si="11"/>
        <v>0</v>
      </c>
      <c r="L84" s="63" t="str">
        <f t="shared" si="12"/>
        <v/>
      </c>
      <c r="M84" s="63" t="str">
        <f t="shared" si="13"/>
        <v/>
      </c>
      <c r="N84" s="63" t="str">
        <f t="shared" si="14"/>
        <v/>
      </c>
      <c r="O84" s="64">
        <f t="shared" si="15"/>
        <v>3</v>
      </c>
      <c r="P84" s="64">
        <f t="shared" si="16"/>
        <v>3</v>
      </c>
      <c r="Q84" s="54"/>
      <c r="R84" s="8" t="s">
        <v>114</v>
      </c>
      <c r="S84" s="14">
        <v>44540.0</v>
      </c>
      <c r="T84" s="16">
        <f>VLOOKUP(R84,'Run Reconcile'!$A$2:$L783,12,FALSE)</f>
        <v>6</v>
      </c>
      <c r="U84" s="16" t="str">
        <f t="shared" si="17"/>
        <v/>
      </c>
      <c r="V84" s="16" t="str">
        <f t="shared" si="18"/>
        <v/>
      </c>
      <c r="W84" s="16"/>
      <c r="X84" s="54"/>
      <c r="Y84" s="8" t="str">
        <f>IFERROR(__xludf.DUMMYFUNCTION("""COMPUTED_VALUE"""),"RUN-FLMP_2022-04-21_RFR-116")</f>
        <v>RUN-FLMP_2022-04-21_RFR-116</v>
      </c>
      <c r="Z84" s="14">
        <f>IFERROR(__xludf.DUMMYFUNCTION("""COMPUTED_VALUE"""),44672.0)</f>
        <v>44672</v>
      </c>
      <c r="AA84" s="62">
        <f t="array" ref="AA84">INDEX('RFR Data - preExcl'!AK$2:AK783,$AE84,1)</f>
        <v>23</v>
      </c>
      <c r="AB84" s="16">
        <f t="shared" si="19"/>
        <v>23</v>
      </c>
      <c r="AC84" s="16">
        <f t="array" ref="AC84">INDEX('RFR Data - preExcl'!AI$2:AI783,$AE84,1)</f>
        <v>0</v>
      </c>
      <c r="AD84" s="16">
        <f t="array" ref="AD84">INDEX('RFR Data - preExcl'!AF$2:AF783,$AE84,1)</f>
        <v>0</v>
      </c>
      <c r="AE84" s="66">
        <f>IFNA(MATCH(Y84,'RFR Data - preExcl'!A$2:A783,0),"")</f>
        <v>105</v>
      </c>
      <c r="AF84" s="54"/>
      <c r="AG84" s="70" t="s">
        <v>114</v>
      </c>
      <c r="AH84" s="68">
        <f>VLOOKUP(AG84,'Run Reconcile'!A$2:B783,2,FALSE)</f>
        <v>44540</v>
      </c>
      <c r="AI84" s="69">
        <f>COUNTIF('APS Tubes IMPORT'!$V$2:$V783, AG84)
</f>
        <v>3</v>
      </c>
      <c r="AJ84" s="69">
        <f>COUNTIFS('APS Tubes IMPORT'!V$2:V783, AG84, 'APS Tubes IMPORT'!H$2:H783, "Negative")
</f>
        <v>3</v>
      </c>
      <c r="AK84" s="69">
        <f>COUNTIFS('APS Tubes IMPORT'!V$2:V783, AG84, 'APS Tubes IMPORT'!H$2:H783, "Positive")
</f>
        <v>0</v>
      </c>
      <c r="AL84" s="69">
        <f>COUNTIFS('APS Tubes IMPORT'!V$2:V783, AG84, 'APS Tubes IMPORT'!H$2:H783, "Inconclusive")
</f>
        <v>0</v>
      </c>
      <c r="AM84" s="69">
        <f>COUNTIFS('APS Tubes IMPORT'!V$2:V783, AG84, 'APS Tubes IMPORT'!H$2:H783, "Null")
</f>
        <v>0</v>
      </c>
      <c r="AN84" s="54"/>
      <c r="AO84" s="14">
        <f>'APS Tubes by Date IMPORT'!B83</f>
        <v>44540</v>
      </c>
      <c r="AP84" s="16">
        <f>'APS Tubes by Date IMPORT'!D83</f>
        <v>3</v>
      </c>
      <c r="AQ84" s="16">
        <f>'APS Tubes by Date IMPORT'!D83</f>
        <v>3</v>
      </c>
      <c r="AR84" s="16">
        <f>'APS Tubes by Date IMPORT'!E83</f>
        <v>0</v>
      </c>
      <c r="AS84" s="16">
        <f>'APS Tubes by Date IMPORT'!F83</f>
        <v>0</v>
      </c>
      <c r="AT84" s="16">
        <f>'APS Tubes by Date IMPORT'!G83</f>
        <v>0</v>
      </c>
      <c r="AU84" s="54"/>
    </row>
    <row r="85">
      <c r="A85" s="8" t="s">
        <v>115</v>
      </c>
      <c r="B85" s="58">
        <f>VLOOKUP(A85,'Run Reconcile'!A$2:B783,2,FALSE)</f>
        <v>44541</v>
      </c>
      <c r="C85" s="59">
        <f>COUNTIF('ALL Tube Results'!B84:B783, A85)
</f>
        <v>2</v>
      </c>
      <c r="D85" s="60">
        <f>COUNTIFS('ALL Tube Results'!$B84:$B783, $A85, 'ALL Tube Results'!$F84:$F783, "Negative")
</f>
        <v>2</v>
      </c>
      <c r="E85" s="60">
        <f>COUNTIFS('ALL Tube Results'!$B84:$B783, $A85, 'ALL Tube Results'!$F84:$F783, "Positive")
</f>
        <v>0</v>
      </c>
      <c r="F85" s="60">
        <f>COUNTIFS('ALL Tube Results'!$B84:$B783, $A85, 'ALL Tube Results'!$F84:$F783, "Inconclusive")
</f>
        <v>0</v>
      </c>
      <c r="G85" s="61">
        <f t="shared" si="7"/>
        <v>2</v>
      </c>
      <c r="H85" s="61" t="str">
        <f t="shared" si="8"/>
        <v/>
      </c>
      <c r="I85" s="62">
        <f t="shared" si="9"/>
        <v>2</v>
      </c>
      <c r="J85" s="63">
        <f t="shared" si="10"/>
        <v>0</v>
      </c>
      <c r="K85" s="63">
        <f t="shared" si="11"/>
        <v>0</v>
      </c>
      <c r="L85" s="63" t="str">
        <f t="shared" si="12"/>
        <v/>
      </c>
      <c r="M85" s="63" t="str">
        <f t="shared" si="13"/>
        <v/>
      </c>
      <c r="N85" s="63" t="str">
        <f t="shared" si="14"/>
        <v/>
      </c>
      <c r="O85" s="64">
        <f t="shared" si="15"/>
        <v>2</v>
      </c>
      <c r="P85" s="64" t="str">
        <f t="shared" si="16"/>
        <v/>
      </c>
      <c r="Q85" s="54"/>
      <c r="R85" s="8" t="s">
        <v>115</v>
      </c>
      <c r="S85" s="14">
        <v>44541.0</v>
      </c>
      <c r="T85" s="16">
        <f>VLOOKUP(R85,'Run Reconcile'!$A$2:$L783,12,FALSE)</f>
        <v>2</v>
      </c>
      <c r="U85" s="16" t="str">
        <f t="shared" si="17"/>
        <v/>
      </c>
      <c r="V85" s="16" t="str">
        <f t="shared" si="18"/>
        <v/>
      </c>
      <c r="W85" s="16"/>
      <c r="X85" s="54"/>
      <c r="Y85" s="8" t="str">
        <f>IFERROR(__xludf.DUMMYFUNCTION("""COMPUTED_VALUE"""),"RUN-FLMP_2022-04-21_RFR-117")</f>
        <v>RUN-FLMP_2022-04-21_RFR-117</v>
      </c>
      <c r="Z85" s="14">
        <f>IFERROR(__xludf.DUMMYFUNCTION("""COMPUTED_VALUE"""),44672.0)</f>
        <v>44672</v>
      </c>
      <c r="AA85" s="62">
        <f t="array" ref="AA85">INDEX('RFR Data - preExcl'!AK$2:AK783,$AE85,1)</f>
        <v>1</v>
      </c>
      <c r="AB85" s="16">
        <f t="shared" si="19"/>
        <v>1</v>
      </c>
      <c r="AC85" s="16">
        <f t="array" ref="AC85">INDEX('RFR Data - preExcl'!AI$2:AI783,$AE85,1)</f>
        <v>0</v>
      </c>
      <c r="AD85" s="16">
        <f t="array" ref="AD85">INDEX('RFR Data - preExcl'!AF$2:AF783,$AE85,1)</f>
        <v>0</v>
      </c>
      <c r="AE85" s="66">
        <f>IFNA(MATCH(Y85,'RFR Data - preExcl'!A$2:A783,0),"")</f>
        <v>106</v>
      </c>
      <c r="AF85" s="54"/>
      <c r="AG85" s="70" t="s">
        <v>115</v>
      </c>
      <c r="AH85" s="68">
        <f>VLOOKUP(AG85,'Run Reconcile'!A$2:B783,2,FALSE)</f>
        <v>44541</v>
      </c>
      <c r="AI85" s="69">
        <f>COUNTIF('APS Tubes IMPORT'!$V$2:$V783, AG85)
</f>
        <v>2</v>
      </c>
      <c r="AJ85" s="69">
        <f>COUNTIFS('APS Tubes IMPORT'!V$2:V783, AG85, 'APS Tubes IMPORT'!H$2:H783, "Negative")
</f>
        <v>2</v>
      </c>
      <c r="AK85" s="69">
        <f>COUNTIFS('APS Tubes IMPORT'!V$2:V783, AG85, 'APS Tubes IMPORT'!H$2:H783, "Positive")
</f>
        <v>0</v>
      </c>
      <c r="AL85" s="69">
        <f>COUNTIFS('APS Tubes IMPORT'!V$2:V783, AG85, 'APS Tubes IMPORT'!H$2:H783, "Inconclusive")
</f>
        <v>0</v>
      </c>
      <c r="AM85" s="69">
        <f>COUNTIFS('APS Tubes IMPORT'!V$2:V783, AG85, 'APS Tubes IMPORT'!H$2:H783, "Null")
</f>
        <v>0</v>
      </c>
      <c r="AN85" s="54"/>
      <c r="AO85" s="14">
        <f>'APS Tubes by Date IMPORT'!B84</f>
        <v>44541</v>
      </c>
      <c r="AP85" s="16">
        <f>'APS Tubes by Date IMPORT'!D84</f>
        <v>2</v>
      </c>
      <c r="AQ85" s="16">
        <f>'APS Tubes by Date IMPORT'!D84</f>
        <v>2</v>
      </c>
      <c r="AR85" s="16">
        <f>'APS Tubes by Date IMPORT'!E84</f>
        <v>0</v>
      </c>
      <c r="AS85" s="16">
        <f>'APS Tubes by Date IMPORT'!F84</f>
        <v>0</v>
      </c>
      <c r="AT85" s="16">
        <f>'APS Tubes by Date IMPORT'!G84</f>
        <v>0</v>
      </c>
      <c r="AU85" s="54"/>
    </row>
    <row r="86">
      <c r="A86" s="8" t="s">
        <v>116</v>
      </c>
      <c r="B86" s="58">
        <f>VLOOKUP(A86,'Run Reconcile'!A$2:B783,2,FALSE)</f>
        <v>44543</v>
      </c>
      <c r="C86" s="59">
        <f>COUNTIF('ALL Tube Results'!B85:B783, A86)
</f>
        <v>3</v>
      </c>
      <c r="D86" s="60">
        <f>COUNTIFS('ALL Tube Results'!$B85:$B783, $A86, 'ALL Tube Results'!$F85:$F783, "Negative")
</f>
        <v>3</v>
      </c>
      <c r="E86" s="60">
        <f>COUNTIFS('ALL Tube Results'!$B85:$B783, $A86, 'ALL Tube Results'!$F85:$F783, "Positive")
</f>
        <v>0</v>
      </c>
      <c r="F86" s="60">
        <f>COUNTIFS('ALL Tube Results'!$B85:$B783, $A86, 'ALL Tube Results'!$F85:$F783, "Inconclusive")
</f>
        <v>0</v>
      </c>
      <c r="G86" s="61">
        <f t="shared" si="7"/>
        <v>3</v>
      </c>
      <c r="H86" s="61" t="str">
        <f t="shared" si="8"/>
        <v/>
      </c>
      <c r="I86" s="62">
        <f t="shared" si="9"/>
        <v>3</v>
      </c>
      <c r="J86" s="63">
        <f t="shared" si="10"/>
        <v>0</v>
      </c>
      <c r="K86" s="63">
        <f t="shared" si="11"/>
        <v>0</v>
      </c>
      <c r="L86" s="63" t="str">
        <f t="shared" si="12"/>
        <v/>
      </c>
      <c r="M86" s="63" t="str">
        <f t="shared" si="13"/>
        <v/>
      </c>
      <c r="N86" s="63" t="str">
        <f t="shared" si="14"/>
        <v/>
      </c>
      <c r="O86" s="64">
        <f t="shared" si="15"/>
        <v>3</v>
      </c>
      <c r="P86" s="64" t="str">
        <f t="shared" si="16"/>
        <v/>
      </c>
      <c r="Q86" s="54"/>
      <c r="R86" s="8" t="s">
        <v>116</v>
      </c>
      <c r="S86" s="14">
        <v>44543.0</v>
      </c>
      <c r="T86" s="16">
        <f>VLOOKUP(R86,'Run Reconcile'!$A$2:$L783,12,FALSE)</f>
        <v>3</v>
      </c>
      <c r="U86" s="16" t="str">
        <f t="shared" si="17"/>
        <v/>
      </c>
      <c r="V86" s="16" t="str">
        <f t="shared" si="18"/>
        <v/>
      </c>
      <c r="W86" s="16"/>
      <c r="X86" s="54"/>
      <c r="Y86" s="8" t="str">
        <f>IFERROR(__xludf.DUMMYFUNCTION("""COMPUTED_VALUE"""),"RUN-FLMP_2022-04-25_RFR-118")</f>
        <v>RUN-FLMP_2022-04-25_RFR-118</v>
      </c>
      <c r="Z86" s="14">
        <f>IFERROR(__xludf.DUMMYFUNCTION("""COMPUTED_VALUE"""),44676.0)</f>
        <v>44676</v>
      </c>
      <c r="AA86" s="62">
        <f t="array" ref="AA86">INDEX('RFR Data - preExcl'!AK$2:AK783,$AE86,1)</f>
        <v>22</v>
      </c>
      <c r="AB86" s="16">
        <f t="shared" si="19"/>
        <v>22</v>
      </c>
      <c r="AC86" s="16">
        <f t="array" ref="AC86">INDEX('RFR Data - preExcl'!AI$2:AI783,$AE86,1)</f>
        <v>0</v>
      </c>
      <c r="AD86" s="16">
        <f t="array" ref="AD86">INDEX('RFR Data - preExcl'!AF$2:AF783,$AE86,1)</f>
        <v>0</v>
      </c>
      <c r="AE86" s="66">
        <f>IFNA(MATCH(Y86,'RFR Data - preExcl'!A$2:A783,0),"")</f>
        <v>107</v>
      </c>
      <c r="AF86" s="54"/>
      <c r="AG86" s="70" t="s">
        <v>116</v>
      </c>
      <c r="AH86" s="68">
        <f>VLOOKUP(AG86,'Run Reconcile'!A$2:B783,2,FALSE)</f>
        <v>44543</v>
      </c>
      <c r="AI86" s="69">
        <f>COUNTIF('APS Tubes IMPORT'!$V$2:$V783, AG86)
</f>
        <v>3</v>
      </c>
      <c r="AJ86" s="69">
        <f>COUNTIFS('APS Tubes IMPORT'!V$2:V783, AG86, 'APS Tubes IMPORT'!H$2:H783, "Negative")
</f>
        <v>3</v>
      </c>
      <c r="AK86" s="69">
        <f>COUNTIFS('APS Tubes IMPORT'!V$2:V783, AG86, 'APS Tubes IMPORT'!H$2:H783, "Positive")
</f>
        <v>0</v>
      </c>
      <c r="AL86" s="69">
        <f>COUNTIFS('APS Tubes IMPORT'!V$2:V783, AG86, 'APS Tubes IMPORT'!H$2:H783, "Inconclusive")
</f>
        <v>0</v>
      </c>
      <c r="AM86" s="69">
        <f>COUNTIFS('APS Tubes IMPORT'!V$2:V783, AG86, 'APS Tubes IMPORT'!H$2:H783, "Null")
</f>
        <v>0</v>
      </c>
      <c r="AN86" s="54"/>
      <c r="AO86" s="14">
        <f>'APS Tubes by Date IMPORT'!B85</f>
        <v>44543</v>
      </c>
      <c r="AP86" s="16">
        <f>'APS Tubes by Date IMPORT'!D85</f>
        <v>3</v>
      </c>
      <c r="AQ86" s="16">
        <f>'APS Tubes by Date IMPORT'!D85</f>
        <v>3</v>
      </c>
      <c r="AR86" s="16">
        <f>'APS Tubes by Date IMPORT'!E85</f>
        <v>0</v>
      </c>
      <c r="AS86" s="16">
        <f>'APS Tubes by Date IMPORT'!F85</f>
        <v>0</v>
      </c>
      <c r="AT86" s="16">
        <f>'APS Tubes by Date IMPORT'!G85</f>
        <v>0</v>
      </c>
      <c r="AU86" s="54"/>
    </row>
    <row r="87">
      <c r="A87" s="8" t="s">
        <v>117</v>
      </c>
      <c r="B87" s="58">
        <f>VLOOKUP(A87,'Run Reconcile'!A$2:B783,2,FALSE)</f>
        <v>44544</v>
      </c>
      <c r="C87" s="59">
        <f>COUNTIF('ALL Tube Results'!B86:B783, A87)
</f>
        <v>3</v>
      </c>
      <c r="D87" s="60">
        <f>COUNTIFS('ALL Tube Results'!$B86:$B783, $A87, 'ALL Tube Results'!$F86:$F783, "Negative")
</f>
        <v>3</v>
      </c>
      <c r="E87" s="60">
        <f>COUNTIFS('ALL Tube Results'!$B86:$B783, $A87, 'ALL Tube Results'!$F86:$F783, "Positive")
</f>
        <v>0</v>
      </c>
      <c r="F87" s="60">
        <f>COUNTIFS('ALL Tube Results'!$B86:$B783, $A87, 'ALL Tube Results'!$F86:$F783, "Inconclusive")
</f>
        <v>0</v>
      </c>
      <c r="G87" s="61">
        <f t="shared" si="7"/>
        <v>3</v>
      </c>
      <c r="H87" s="61" t="str">
        <f t="shared" si="8"/>
        <v/>
      </c>
      <c r="I87" s="62" t="str">
        <f t="shared" si="9"/>
        <v/>
      </c>
      <c r="J87" s="63" t="str">
        <f t="shared" si="10"/>
        <v/>
      </c>
      <c r="K87" s="63" t="str">
        <f t="shared" si="11"/>
        <v/>
      </c>
      <c r="L87" s="63">
        <f t="shared" si="12"/>
        <v>3</v>
      </c>
      <c r="M87" s="63" t="str">
        <f t="shared" si="13"/>
        <v/>
      </c>
      <c r="N87" s="63" t="str">
        <f t="shared" si="14"/>
        <v/>
      </c>
      <c r="O87" s="64">
        <f t="shared" si="15"/>
        <v>3</v>
      </c>
      <c r="P87" s="64" t="str">
        <f t="shared" si="16"/>
        <v/>
      </c>
      <c r="Q87" s="54"/>
      <c r="R87" s="8" t="s">
        <v>117</v>
      </c>
      <c r="S87" s="14">
        <v>44544.0</v>
      </c>
      <c r="T87" s="16">
        <f>VLOOKUP(R87,'Run Reconcile'!$A$2:$L783,12,FALSE)</f>
        <v>3</v>
      </c>
      <c r="U87" s="16" t="str">
        <f t="shared" si="17"/>
        <v/>
      </c>
      <c r="V87" s="16" t="str">
        <f t="shared" si="18"/>
        <v/>
      </c>
      <c r="W87" s="16"/>
      <c r="X87" s="54"/>
      <c r="Y87" s="8" t="str">
        <f>IFERROR(__xludf.DUMMYFUNCTION("""COMPUTED_VALUE"""),"RUN-FLMP_2022-04-28_RFR-120")</f>
        <v>RUN-FLMP_2022-04-28_RFR-120</v>
      </c>
      <c r="Z87" s="14">
        <f>IFERROR(__xludf.DUMMYFUNCTION("""COMPUTED_VALUE"""),44679.0)</f>
        <v>44679</v>
      </c>
      <c r="AA87" s="62">
        <f t="array" ref="AA87">INDEX('RFR Data - preExcl'!AK$2:AK783,$AE87,1)</f>
        <v>26</v>
      </c>
      <c r="AB87" s="16">
        <f t="shared" si="19"/>
        <v>26</v>
      </c>
      <c r="AC87" s="16">
        <f t="array" ref="AC87">INDEX('RFR Data - preExcl'!AI$2:AI783,$AE87,1)</f>
        <v>0</v>
      </c>
      <c r="AD87" s="16">
        <f t="array" ref="AD87">INDEX('RFR Data - preExcl'!AF$2:AF783,$AE87,1)</f>
        <v>0</v>
      </c>
      <c r="AE87" s="66">
        <f>IFNA(MATCH(Y87,'RFR Data - preExcl'!A$2:A783,0),"")</f>
        <v>108</v>
      </c>
      <c r="AF87" s="54"/>
      <c r="AG87" s="70" t="s">
        <v>117</v>
      </c>
      <c r="AH87" s="68">
        <f>VLOOKUP(AG87,'Run Reconcile'!A$2:B783,2,FALSE)</f>
        <v>44544</v>
      </c>
      <c r="AI87" s="69">
        <f>COUNTIF('APS Tubes IMPORT'!$V$2:$V783, AG87)
</f>
        <v>3</v>
      </c>
      <c r="AJ87" s="69">
        <f>COUNTIFS('APS Tubes IMPORT'!V$2:V783, AG87, 'APS Tubes IMPORT'!H$2:H783, "Negative")
</f>
        <v>3</v>
      </c>
      <c r="AK87" s="69">
        <f>COUNTIFS('APS Tubes IMPORT'!V$2:V783, AG87, 'APS Tubes IMPORT'!H$2:H783, "Positive")
</f>
        <v>0</v>
      </c>
      <c r="AL87" s="69">
        <f>COUNTIFS('APS Tubes IMPORT'!V$2:V783, AG87, 'APS Tubes IMPORT'!H$2:H783, "Inconclusive")
</f>
        <v>0</v>
      </c>
      <c r="AM87" s="69">
        <f>COUNTIFS('APS Tubes IMPORT'!V$2:V783, AG87, 'APS Tubes IMPORT'!H$2:H783, "Null")
</f>
        <v>0</v>
      </c>
      <c r="AN87" s="54"/>
      <c r="AO87" s="14">
        <f>'APS Tubes by Date IMPORT'!B86</f>
        <v>44544</v>
      </c>
      <c r="AP87" s="16">
        <f>'APS Tubes by Date IMPORT'!D86</f>
        <v>7</v>
      </c>
      <c r="AQ87" s="16">
        <f>'APS Tubes by Date IMPORT'!D86</f>
        <v>7</v>
      </c>
      <c r="AR87" s="16">
        <f>'APS Tubes by Date IMPORT'!E86</f>
        <v>0</v>
      </c>
      <c r="AS87" s="16">
        <f>'APS Tubes by Date IMPORT'!F86</f>
        <v>0</v>
      </c>
      <c r="AT87" s="16">
        <f>'APS Tubes by Date IMPORT'!G86</f>
        <v>0</v>
      </c>
      <c r="AU87" s="54"/>
    </row>
    <row r="88">
      <c r="A88" s="8" t="s">
        <v>118</v>
      </c>
      <c r="B88" s="58">
        <f>VLOOKUP(A88,'Run Reconcile'!A$2:B783,2,FALSE)</f>
        <v>44544</v>
      </c>
      <c r="C88" s="59">
        <f>COUNTIF('ALL Tube Results'!B87:B783, A88)
</f>
        <v>4</v>
      </c>
      <c r="D88" s="60">
        <f>COUNTIFS('ALL Tube Results'!$B87:$B783, $A88, 'ALL Tube Results'!$F87:$F783, "Negative")
</f>
        <v>4</v>
      </c>
      <c r="E88" s="60">
        <f>COUNTIFS('ALL Tube Results'!$B87:$B783, $A88, 'ALL Tube Results'!$F87:$F783, "Positive")
</f>
        <v>0</v>
      </c>
      <c r="F88" s="60">
        <f>COUNTIFS('ALL Tube Results'!$B87:$B783, $A88, 'ALL Tube Results'!$F87:$F783, "Inconclusive")
</f>
        <v>0</v>
      </c>
      <c r="G88" s="61">
        <f t="shared" si="7"/>
        <v>4</v>
      </c>
      <c r="H88" s="61" t="str">
        <f t="shared" si="8"/>
        <v/>
      </c>
      <c r="I88" s="62">
        <f t="shared" si="9"/>
        <v>4</v>
      </c>
      <c r="J88" s="63">
        <f t="shared" si="10"/>
        <v>0</v>
      </c>
      <c r="K88" s="63">
        <f t="shared" si="11"/>
        <v>0</v>
      </c>
      <c r="L88" s="63" t="str">
        <f t="shared" si="12"/>
        <v/>
      </c>
      <c r="M88" s="63" t="str">
        <f t="shared" si="13"/>
        <v/>
      </c>
      <c r="N88" s="63" t="str">
        <f t="shared" si="14"/>
        <v/>
      </c>
      <c r="O88" s="64">
        <f t="shared" si="15"/>
        <v>4</v>
      </c>
      <c r="P88" s="64" t="str">
        <f t="shared" si="16"/>
        <v/>
      </c>
      <c r="Q88" s="54"/>
      <c r="R88" s="8" t="s">
        <v>118</v>
      </c>
      <c r="S88" s="14">
        <v>44544.0</v>
      </c>
      <c r="T88" s="16">
        <f>VLOOKUP(R88,'Run Reconcile'!$A$2:$L783,12,FALSE)</f>
        <v>4</v>
      </c>
      <c r="U88" s="16" t="str">
        <f t="shared" si="17"/>
        <v/>
      </c>
      <c r="V88" s="16" t="str">
        <f t="shared" si="18"/>
        <v/>
      </c>
      <c r="W88" s="16"/>
      <c r="X88" s="54"/>
      <c r="Y88" s="8" t="str">
        <f>IFERROR(__xludf.DUMMYFUNCTION("""COMPUTED_VALUE"""),"RUN-FLMP_2022-05-02_RFR-122")</f>
        <v>RUN-FLMP_2022-05-02_RFR-122</v>
      </c>
      <c r="Z88" s="14">
        <f>IFERROR(__xludf.DUMMYFUNCTION("""COMPUTED_VALUE"""),44683.0)</f>
        <v>44683</v>
      </c>
      <c r="AA88" s="62">
        <f t="array" ref="AA88">INDEX('RFR Data - preExcl'!AK$2:AK783,$AE88,1)</f>
        <v>24</v>
      </c>
      <c r="AB88" s="16">
        <f t="shared" si="19"/>
        <v>23</v>
      </c>
      <c r="AC88" s="16">
        <f t="array" ref="AC88">INDEX('RFR Data - preExcl'!AI$2:AI783,$AE88,1)</f>
        <v>1</v>
      </c>
      <c r="AD88" s="16">
        <f t="array" ref="AD88">INDEX('RFR Data - preExcl'!AF$2:AF783,$AE88,1)</f>
        <v>0</v>
      </c>
      <c r="AE88" s="66">
        <f>IFNA(MATCH(Y88,'RFR Data - preExcl'!A$2:A783,0),"")</f>
        <v>110</v>
      </c>
      <c r="AF88" s="54"/>
      <c r="AG88" s="70" t="s">
        <v>118</v>
      </c>
      <c r="AH88" s="68">
        <f>VLOOKUP(AG88,'Run Reconcile'!A$2:B783,2,FALSE)</f>
        <v>44544</v>
      </c>
      <c r="AI88" s="69">
        <f>COUNTIF('APS Tubes IMPORT'!$V$2:$V783, AG88)
</f>
        <v>4</v>
      </c>
      <c r="AJ88" s="69">
        <f>COUNTIFS('APS Tubes IMPORT'!V$2:V783, AG88, 'APS Tubes IMPORT'!H$2:H783, "Negative")
</f>
        <v>4</v>
      </c>
      <c r="AK88" s="69">
        <f>COUNTIFS('APS Tubes IMPORT'!V$2:V783, AG88, 'APS Tubes IMPORT'!H$2:H783, "Positive")
</f>
        <v>0</v>
      </c>
      <c r="AL88" s="69">
        <f>COUNTIFS('APS Tubes IMPORT'!V$2:V783, AG88, 'APS Tubes IMPORT'!H$2:H783, "Inconclusive")
</f>
        <v>0</v>
      </c>
      <c r="AM88" s="69">
        <f>COUNTIFS('APS Tubes IMPORT'!V$2:V783, AG88, 'APS Tubes IMPORT'!H$2:H783, "Null")
</f>
        <v>0</v>
      </c>
      <c r="AN88" s="54"/>
      <c r="AO88" s="14">
        <f>'APS Tubes by Date IMPORT'!B87</f>
        <v>44546</v>
      </c>
      <c r="AP88" s="16">
        <f>'APS Tubes by Date IMPORT'!D87</f>
        <v>2</v>
      </c>
      <c r="AQ88" s="16">
        <f>'APS Tubes by Date IMPORT'!D87</f>
        <v>2</v>
      </c>
      <c r="AR88" s="16">
        <f>'APS Tubes by Date IMPORT'!E87</f>
        <v>0</v>
      </c>
      <c r="AS88" s="16">
        <f>'APS Tubes by Date IMPORT'!F87</f>
        <v>0</v>
      </c>
      <c r="AT88" s="16">
        <f>'APS Tubes by Date IMPORT'!G87</f>
        <v>0</v>
      </c>
      <c r="AU88" s="54"/>
    </row>
    <row r="89">
      <c r="A89" s="8" t="s">
        <v>119</v>
      </c>
      <c r="B89" s="58">
        <f>VLOOKUP(A89,'Run Reconcile'!A$2:B783,2,FALSE)</f>
        <v>44546</v>
      </c>
      <c r="C89" s="59">
        <f>COUNTIF('ALL Tube Results'!B88:B783, A89)
</f>
        <v>2</v>
      </c>
      <c r="D89" s="60">
        <f>COUNTIFS('ALL Tube Results'!$B88:$B783, $A89, 'ALL Tube Results'!$F88:$F783, "Negative")
</f>
        <v>2</v>
      </c>
      <c r="E89" s="60">
        <f>COUNTIFS('ALL Tube Results'!$B88:$B783, $A89, 'ALL Tube Results'!$F88:$F783, "Positive")
</f>
        <v>0</v>
      </c>
      <c r="F89" s="60">
        <f>COUNTIFS('ALL Tube Results'!$B88:$B783, $A89, 'ALL Tube Results'!$F88:$F783, "Inconclusive")
</f>
        <v>0</v>
      </c>
      <c r="G89" s="61">
        <f t="shared" si="7"/>
        <v>2</v>
      </c>
      <c r="H89" s="61" t="str">
        <f t="shared" si="8"/>
        <v/>
      </c>
      <c r="I89" s="62">
        <f t="shared" si="9"/>
        <v>2</v>
      </c>
      <c r="J89" s="63">
        <f t="shared" si="10"/>
        <v>0</v>
      </c>
      <c r="K89" s="63">
        <f t="shared" si="11"/>
        <v>0</v>
      </c>
      <c r="L89" s="63" t="str">
        <f t="shared" si="12"/>
        <v/>
      </c>
      <c r="M89" s="63" t="str">
        <f t="shared" si="13"/>
        <v/>
      </c>
      <c r="N89" s="63" t="str">
        <f t="shared" si="14"/>
        <v/>
      </c>
      <c r="O89" s="64">
        <f t="shared" si="15"/>
        <v>2</v>
      </c>
      <c r="P89" s="64" t="str">
        <f t="shared" si="16"/>
        <v/>
      </c>
      <c r="Q89" s="54"/>
      <c r="R89" s="8" t="s">
        <v>119</v>
      </c>
      <c r="S89" s="14">
        <v>44546.0</v>
      </c>
      <c r="T89" s="16">
        <f>VLOOKUP(R89,'Run Reconcile'!$A$2:$L783,12,FALSE)</f>
        <v>2</v>
      </c>
      <c r="U89" s="16" t="str">
        <f t="shared" si="17"/>
        <v/>
      </c>
      <c r="V89" s="16" t="str">
        <f t="shared" si="18"/>
        <v/>
      </c>
      <c r="W89" s="16"/>
      <c r="X89" s="54"/>
      <c r="Y89" s="8" t="str">
        <f>IFERROR(__xludf.DUMMYFUNCTION("""COMPUTED_VALUE"""),"RUN-FLMP_2022-05-02_RFR-124")</f>
        <v>RUN-FLMP_2022-05-02_RFR-124</v>
      </c>
      <c r="Z89" s="14">
        <f>IFERROR(__xludf.DUMMYFUNCTION("""COMPUTED_VALUE"""),44683.0)</f>
        <v>44683</v>
      </c>
      <c r="AA89" s="62">
        <f t="array" ref="AA89">INDEX('RFR Data - preExcl'!AK$2:AK783,$AE89,1)</f>
        <v>3</v>
      </c>
      <c r="AB89" s="16">
        <f t="shared" si="19"/>
        <v>2</v>
      </c>
      <c r="AC89" s="16">
        <f t="array" ref="AC89">INDEX('RFR Data - preExcl'!AI$2:AI783,$AE89,1)</f>
        <v>1</v>
      </c>
      <c r="AD89" s="16">
        <f t="array" ref="AD89">INDEX('RFR Data - preExcl'!AF$2:AF783,$AE89,1)</f>
        <v>0</v>
      </c>
      <c r="AE89" s="66">
        <f>IFNA(MATCH(Y89,'RFR Data - preExcl'!A$2:A783,0),"")</f>
        <v>112</v>
      </c>
      <c r="AF89" s="54"/>
      <c r="AG89" s="70" t="s">
        <v>119</v>
      </c>
      <c r="AH89" s="68">
        <f>VLOOKUP(AG89,'Run Reconcile'!A$2:B783,2,FALSE)</f>
        <v>44546</v>
      </c>
      <c r="AI89" s="69">
        <f>COUNTIF('APS Tubes IMPORT'!$V$2:$V783, AG89)
</f>
        <v>2</v>
      </c>
      <c r="AJ89" s="69">
        <f>COUNTIFS('APS Tubes IMPORT'!V$2:V783, AG89, 'APS Tubes IMPORT'!H$2:H783, "Negative")
</f>
        <v>2</v>
      </c>
      <c r="AK89" s="69">
        <f>COUNTIFS('APS Tubes IMPORT'!V$2:V783, AG89, 'APS Tubes IMPORT'!H$2:H783, "Positive")
</f>
        <v>0</v>
      </c>
      <c r="AL89" s="69">
        <f>COUNTIFS('APS Tubes IMPORT'!V$2:V783, AG89, 'APS Tubes IMPORT'!H$2:H783, "Inconclusive")
</f>
        <v>0</v>
      </c>
      <c r="AM89" s="69">
        <f>COUNTIFS('APS Tubes IMPORT'!V$2:V783, AG89, 'APS Tubes IMPORT'!H$2:H783, "Null")
</f>
        <v>0</v>
      </c>
      <c r="AN89" s="54"/>
      <c r="AO89" s="14">
        <f>'APS Tubes by Date IMPORT'!B88</f>
        <v>44548</v>
      </c>
      <c r="AP89" s="16">
        <f>'APS Tubes by Date IMPORT'!D88</f>
        <v>4</v>
      </c>
      <c r="AQ89" s="16">
        <f>'APS Tubes by Date IMPORT'!D88</f>
        <v>4</v>
      </c>
      <c r="AR89" s="16">
        <f>'APS Tubes by Date IMPORT'!E88</f>
        <v>2</v>
      </c>
      <c r="AS89" s="16">
        <f>'APS Tubes by Date IMPORT'!F88</f>
        <v>0</v>
      </c>
      <c r="AT89" s="16">
        <f>'APS Tubes by Date IMPORT'!G88</f>
        <v>0</v>
      </c>
      <c r="AU89" s="54"/>
    </row>
    <row r="90">
      <c r="A90" s="8" t="s">
        <v>120</v>
      </c>
      <c r="B90" s="58">
        <f>VLOOKUP(A90,'Run Reconcile'!A$2:B783,2,FALSE)</f>
        <v>44548</v>
      </c>
      <c r="C90" s="59">
        <f>COUNTIF('ALL Tube Results'!B89:B783, A90)
</f>
        <v>2</v>
      </c>
      <c r="D90" s="60">
        <f>COUNTIFS('ALL Tube Results'!$B89:$B783, $A90, 'ALL Tube Results'!$F89:$F783, "Negative")
</f>
        <v>1</v>
      </c>
      <c r="E90" s="60">
        <f>COUNTIFS('ALL Tube Results'!$B89:$B783, $A90, 'ALL Tube Results'!$F89:$F783, "Positive")
</f>
        <v>1</v>
      </c>
      <c r="F90" s="60">
        <f>COUNTIFS('ALL Tube Results'!$B89:$B783, $A90, 'ALL Tube Results'!$F89:$F783, "Inconclusive")
</f>
        <v>0</v>
      </c>
      <c r="G90" s="61">
        <f t="shared" si="7"/>
        <v>2</v>
      </c>
      <c r="H90" s="61" t="str">
        <f t="shared" si="8"/>
        <v/>
      </c>
      <c r="I90" s="62">
        <f t="shared" si="9"/>
        <v>2</v>
      </c>
      <c r="J90" s="63">
        <f t="shared" si="10"/>
        <v>1</v>
      </c>
      <c r="K90" s="63">
        <f t="shared" si="11"/>
        <v>0</v>
      </c>
      <c r="L90" s="63" t="str">
        <f t="shared" si="12"/>
        <v/>
      </c>
      <c r="M90" s="63" t="str">
        <f t="shared" si="13"/>
        <v/>
      </c>
      <c r="N90" s="63" t="str">
        <f t="shared" si="14"/>
        <v/>
      </c>
      <c r="O90" s="64">
        <f t="shared" si="15"/>
        <v>2</v>
      </c>
      <c r="P90" s="64" t="str">
        <f t="shared" si="16"/>
        <v/>
      </c>
      <c r="Q90" s="54"/>
      <c r="R90" s="8" t="s">
        <v>120</v>
      </c>
      <c r="S90" s="14">
        <v>44548.0</v>
      </c>
      <c r="T90" s="16">
        <f>VLOOKUP(R90,'Run Reconcile'!$A$2:$L783,12,FALSE)</f>
        <v>2</v>
      </c>
      <c r="U90" s="16" t="str">
        <f t="shared" si="17"/>
        <v/>
      </c>
      <c r="V90" s="16" t="str">
        <f t="shared" si="18"/>
        <v/>
      </c>
      <c r="W90" s="16"/>
      <c r="X90" s="54"/>
      <c r="Y90" s="8" t="str">
        <f>IFERROR(__xludf.DUMMYFUNCTION("""COMPUTED_VALUE"""),"RUN-FLMP_2022-05-02_RFR-125")</f>
        <v>RUN-FLMP_2022-05-02_RFR-125</v>
      </c>
      <c r="Z90" s="14">
        <f>IFERROR(__xludf.DUMMYFUNCTION("""COMPUTED_VALUE"""),44683.0)</f>
        <v>44683</v>
      </c>
      <c r="AA90" s="62">
        <f t="array" ref="AA90">INDEX('RFR Data - preExcl'!AK$2:AK783,$AE90,1)</f>
        <v>1</v>
      </c>
      <c r="AB90" s="16">
        <f t="shared" si="19"/>
        <v>1</v>
      </c>
      <c r="AC90" s="16">
        <f t="array" ref="AC90">INDEX('RFR Data - preExcl'!AI$2:AI783,$AE90,1)</f>
        <v>0</v>
      </c>
      <c r="AD90" s="16">
        <f t="array" ref="AD90">INDEX('RFR Data - preExcl'!AF$2:AF783,$AE90,1)</f>
        <v>0</v>
      </c>
      <c r="AE90" s="66">
        <f>IFNA(MATCH(Y90,'RFR Data - preExcl'!A$2:A783,0),"")</f>
        <v>113</v>
      </c>
      <c r="AF90" s="54"/>
      <c r="AG90" s="70" t="s">
        <v>120</v>
      </c>
      <c r="AH90" s="68">
        <f>VLOOKUP(AG90,'Run Reconcile'!A$2:B783,2,FALSE)</f>
        <v>44548</v>
      </c>
      <c r="AI90" s="69">
        <f>COUNTIF('APS Tubes IMPORT'!$V$2:$V783, AG90)
</f>
        <v>2</v>
      </c>
      <c r="AJ90" s="69">
        <f>COUNTIFS('APS Tubes IMPORT'!V$2:V783, AG90, 'APS Tubes IMPORT'!H$2:H783, "Negative")
</f>
        <v>1</v>
      </c>
      <c r="AK90" s="69">
        <f>COUNTIFS('APS Tubes IMPORT'!V$2:V783, AG90, 'APS Tubes IMPORT'!H$2:H783, "Positive")
</f>
        <v>1</v>
      </c>
      <c r="AL90" s="69">
        <f>COUNTIFS('APS Tubes IMPORT'!V$2:V783, AG90, 'APS Tubes IMPORT'!H$2:H783, "Inconclusive")
</f>
        <v>0</v>
      </c>
      <c r="AM90" s="69">
        <f>COUNTIFS('APS Tubes IMPORT'!V$2:V783, AG90, 'APS Tubes IMPORT'!H$2:H783, "Null")
</f>
        <v>0</v>
      </c>
      <c r="AN90" s="54"/>
      <c r="AO90" s="14">
        <f>'APS Tubes by Date IMPORT'!B89</f>
        <v>44549</v>
      </c>
      <c r="AP90" s="16">
        <f>'APS Tubes by Date IMPORT'!D89</f>
        <v>4</v>
      </c>
      <c r="AQ90" s="16">
        <f>'APS Tubes by Date IMPORT'!D89</f>
        <v>4</v>
      </c>
      <c r="AR90" s="16">
        <f>'APS Tubes by Date IMPORT'!E89</f>
        <v>0</v>
      </c>
      <c r="AS90" s="16">
        <f>'APS Tubes by Date IMPORT'!F89</f>
        <v>0</v>
      </c>
      <c r="AT90" s="16">
        <f>'APS Tubes by Date IMPORT'!G89</f>
        <v>0</v>
      </c>
      <c r="AU90" s="54"/>
    </row>
    <row r="91">
      <c r="A91" s="8" t="s">
        <v>121</v>
      </c>
      <c r="B91" s="58">
        <f>VLOOKUP(A91,'Run Reconcile'!A$2:B783,2,FALSE)</f>
        <v>44548</v>
      </c>
      <c r="C91" s="59">
        <f>COUNTIF('ALL Tube Results'!B90:B783, A91)
</f>
        <v>2</v>
      </c>
      <c r="D91" s="60">
        <f>COUNTIFS('ALL Tube Results'!$B90:$B783, $A91, 'ALL Tube Results'!$F90:$F783, "Negative")
</f>
        <v>1</v>
      </c>
      <c r="E91" s="60">
        <f>COUNTIFS('ALL Tube Results'!$B90:$B783, $A91, 'ALL Tube Results'!$F90:$F783, "Positive")
</f>
        <v>1</v>
      </c>
      <c r="F91" s="60">
        <f>COUNTIFS('ALL Tube Results'!$B90:$B783, $A91, 'ALL Tube Results'!$F90:$F783, "Inconclusive")
</f>
        <v>0</v>
      </c>
      <c r="G91" s="61">
        <f t="shared" si="7"/>
        <v>2</v>
      </c>
      <c r="H91" s="61" t="str">
        <f t="shared" si="8"/>
        <v/>
      </c>
      <c r="I91" s="62">
        <f t="shared" si="9"/>
        <v>2</v>
      </c>
      <c r="J91" s="63">
        <f t="shared" si="10"/>
        <v>1</v>
      </c>
      <c r="K91" s="63">
        <f t="shared" si="11"/>
        <v>0</v>
      </c>
      <c r="L91" s="63" t="str">
        <f t="shared" si="12"/>
        <v/>
      </c>
      <c r="M91" s="63" t="str">
        <f t="shared" si="13"/>
        <v/>
      </c>
      <c r="N91" s="63" t="str">
        <f t="shared" si="14"/>
        <v/>
      </c>
      <c r="O91" s="64">
        <f t="shared" si="15"/>
        <v>2</v>
      </c>
      <c r="P91" s="64" t="str">
        <f t="shared" si="16"/>
        <v/>
      </c>
      <c r="Q91" s="54"/>
      <c r="R91" s="8" t="s">
        <v>121</v>
      </c>
      <c r="S91" s="14">
        <v>44548.0</v>
      </c>
      <c r="T91" s="16">
        <f>VLOOKUP(R91,'Run Reconcile'!$A$2:$L783,12,FALSE)</f>
        <v>2</v>
      </c>
      <c r="U91" s="16" t="str">
        <f t="shared" si="17"/>
        <v/>
      </c>
      <c r="V91" s="16" t="str">
        <f t="shared" si="18"/>
        <v/>
      </c>
      <c r="W91" s="16"/>
      <c r="X91" s="54"/>
      <c r="Y91" s="8" t="str">
        <f>IFERROR(__xludf.DUMMYFUNCTION("""COMPUTED_VALUE"""),"RUN-FLMP_2022-05-05_RFR-126")</f>
        <v>RUN-FLMP_2022-05-05_RFR-126</v>
      </c>
      <c r="Z91" s="14">
        <f>IFERROR(__xludf.DUMMYFUNCTION("""COMPUTED_VALUE"""),44686.0)</f>
        <v>44686</v>
      </c>
      <c r="AA91" s="62">
        <f t="array" ref="AA91">INDEX('RFR Data - preExcl'!AK$2:AK783,$AE91,1)</f>
        <v>24</v>
      </c>
      <c r="AB91" s="16">
        <f t="shared" si="19"/>
        <v>24</v>
      </c>
      <c r="AC91" s="16">
        <f t="array" ref="AC91">INDEX('RFR Data - preExcl'!AI$2:AI783,$AE91,1)</f>
        <v>0</v>
      </c>
      <c r="AD91" s="16">
        <f t="array" ref="AD91">INDEX('RFR Data - preExcl'!AF$2:AF783,$AE91,1)</f>
        <v>0</v>
      </c>
      <c r="AE91" s="66">
        <f>IFNA(MATCH(Y91,'RFR Data - preExcl'!A$2:A783,0),"")</f>
        <v>114</v>
      </c>
      <c r="AF91" s="54"/>
      <c r="AG91" s="70" t="s">
        <v>121</v>
      </c>
      <c r="AH91" s="68">
        <f>VLOOKUP(AG91,'Run Reconcile'!A$2:B783,2,FALSE)</f>
        <v>44548</v>
      </c>
      <c r="AI91" s="69">
        <f>COUNTIF('APS Tubes IMPORT'!$V$2:$V783, AG91)
</f>
        <v>2</v>
      </c>
      <c r="AJ91" s="69">
        <f>COUNTIFS('APS Tubes IMPORT'!V$2:V783, AG91, 'APS Tubes IMPORT'!H$2:H783, "Negative")
</f>
        <v>1</v>
      </c>
      <c r="AK91" s="69">
        <f>COUNTIFS('APS Tubes IMPORT'!V$2:V783, AG91, 'APS Tubes IMPORT'!H$2:H783, "Positive")
</f>
        <v>1</v>
      </c>
      <c r="AL91" s="69">
        <f>COUNTIFS('APS Tubes IMPORT'!V$2:V783, AG91, 'APS Tubes IMPORT'!H$2:H783, "Inconclusive")
</f>
        <v>0</v>
      </c>
      <c r="AM91" s="69">
        <f>COUNTIFS('APS Tubes IMPORT'!V$2:V783, AG91, 'APS Tubes IMPORT'!H$2:H783, "Null")
</f>
        <v>0</v>
      </c>
      <c r="AN91" s="54"/>
      <c r="AO91" s="14">
        <f>'APS Tubes by Date IMPORT'!B90</f>
        <v>44550</v>
      </c>
      <c r="AP91" s="16">
        <f>'APS Tubes by Date IMPORT'!D90</f>
        <v>5</v>
      </c>
      <c r="AQ91" s="16">
        <f>'APS Tubes by Date IMPORT'!D90</f>
        <v>5</v>
      </c>
      <c r="AR91" s="16">
        <f>'APS Tubes by Date IMPORT'!E90</f>
        <v>0</v>
      </c>
      <c r="AS91" s="16">
        <f>'APS Tubes by Date IMPORT'!F90</f>
        <v>0</v>
      </c>
      <c r="AT91" s="16">
        <f>'APS Tubes by Date IMPORT'!G90</f>
        <v>0</v>
      </c>
      <c r="AU91" s="54"/>
    </row>
    <row r="92">
      <c r="A92" s="8" t="s">
        <v>122</v>
      </c>
      <c r="B92" s="58">
        <f>VLOOKUP(A92,'Run Reconcile'!A$2:B783,2,FALSE)</f>
        <v>44548</v>
      </c>
      <c r="C92" s="59">
        <f>COUNTIF('ALL Tube Results'!B91:B783, A92)
</f>
        <v>2</v>
      </c>
      <c r="D92" s="60">
        <f>COUNTIFS('ALL Tube Results'!$B91:$B783, $A92, 'ALL Tube Results'!$F91:$F783, "Negative")
</f>
        <v>2</v>
      </c>
      <c r="E92" s="60">
        <f>COUNTIFS('ALL Tube Results'!$B91:$B783, $A92, 'ALL Tube Results'!$F91:$F783, "Positive")
</f>
        <v>0</v>
      </c>
      <c r="F92" s="60">
        <f>COUNTIFS('ALL Tube Results'!$B91:$B783, $A92, 'ALL Tube Results'!$F91:$F783, "Inconclusive")
</f>
        <v>0</v>
      </c>
      <c r="G92" s="61">
        <f t="shared" si="7"/>
        <v>2</v>
      </c>
      <c r="H92" s="61" t="str">
        <f t="shared" si="8"/>
        <v/>
      </c>
      <c r="I92" s="62">
        <f t="shared" si="9"/>
        <v>2</v>
      </c>
      <c r="J92" s="63">
        <f t="shared" si="10"/>
        <v>0</v>
      </c>
      <c r="K92" s="63">
        <f t="shared" si="11"/>
        <v>0</v>
      </c>
      <c r="L92" s="63" t="str">
        <f t="shared" si="12"/>
        <v/>
      </c>
      <c r="M92" s="63" t="str">
        <f t="shared" si="13"/>
        <v/>
      </c>
      <c r="N92" s="63" t="str">
        <f t="shared" si="14"/>
        <v/>
      </c>
      <c r="O92" s="64">
        <f t="shared" si="15"/>
        <v>2</v>
      </c>
      <c r="P92" s="64" t="str">
        <f t="shared" si="16"/>
        <v/>
      </c>
      <c r="Q92" s="54"/>
      <c r="R92" s="8" t="s">
        <v>122</v>
      </c>
      <c r="S92" s="14">
        <v>44548.0</v>
      </c>
      <c r="T92" s="16">
        <f>VLOOKUP(R92,'Run Reconcile'!$A$2:$L783,12,FALSE)</f>
        <v>2</v>
      </c>
      <c r="U92" s="16" t="str">
        <f t="shared" si="17"/>
        <v/>
      </c>
      <c r="V92" s="16" t="str">
        <f t="shared" si="18"/>
        <v/>
      </c>
      <c r="W92" s="16"/>
      <c r="X92" s="54"/>
      <c r="Y92" s="8" t="str">
        <f>IFERROR(__xludf.DUMMYFUNCTION("""COMPUTED_VALUE"""),"RUN-FLMP_2022-05-09_RFR-128")</f>
        <v>RUN-FLMP_2022-05-09_RFR-128</v>
      </c>
      <c r="Z92" s="14">
        <f>IFERROR(__xludf.DUMMYFUNCTION("""COMPUTED_VALUE"""),44690.0)</f>
        <v>44690</v>
      </c>
      <c r="AA92" s="62">
        <f t="array" ref="AA92">INDEX('RFR Data - preExcl'!AK$2:AK783,$AE92,1)</f>
        <v>23</v>
      </c>
      <c r="AB92" s="16">
        <f t="shared" si="19"/>
        <v>20</v>
      </c>
      <c r="AC92" s="16">
        <f t="array" ref="AC92">INDEX('RFR Data - preExcl'!AI$2:AI783,$AE92,1)</f>
        <v>2</v>
      </c>
      <c r="AD92" s="16">
        <f t="array" ref="AD92">INDEX('RFR Data - preExcl'!AF$2:AF783,$AE92,1)</f>
        <v>1</v>
      </c>
      <c r="AE92" s="66">
        <f>IFNA(MATCH(Y92,'RFR Data - preExcl'!A$2:A783,0),"")</f>
        <v>116</v>
      </c>
      <c r="AF92" s="54"/>
      <c r="AG92" s="70" t="s">
        <v>122</v>
      </c>
      <c r="AH92" s="68">
        <f>VLOOKUP(AG92,'Run Reconcile'!A$2:B783,2,FALSE)</f>
        <v>44548</v>
      </c>
      <c r="AI92" s="69">
        <f>COUNTIF('APS Tubes IMPORT'!$V$2:$V783, AG92)
</f>
        <v>2</v>
      </c>
      <c r="AJ92" s="69">
        <f>COUNTIFS('APS Tubes IMPORT'!V$2:V783, AG92, 'APS Tubes IMPORT'!H$2:H783, "Negative")
</f>
        <v>2</v>
      </c>
      <c r="AK92" s="69">
        <f>COUNTIFS('APS Tubes IMPORT'!V$2:V783, AG92, 'APS Tubes IMPORT'!H$2:H783, "Positive")
</f>
        <v>0</v>
      </c>
      <c r="AL92" s="69">
        <f>COUNTIFS('APS Tubes IMPORT'!V$2:V783, AG92, 'APS Tubes IMPORT'!H$2:H783, "Inconclusive")
</f>
        <v>0</v>
      </c>
      <c r="AM92" s="69">
        <f>COUNTIFS('APS Tubes IMPORT'!V$2:V783, AG92, 'APS Tubes IMPORT'!H$2:H783, "Null")
</f>
        <v>0</v>
      </c>
      <c r="AN92" s="54"/>
      <c r="AO92" s="14">
        <f>'APS Tubes by Date IMPORT'!B91</f>
        <v>44551</v>
      </c>
      <c r="AP92" s="16">
        <f>'APS Tubes by Date IMPORT'!D91</f>
        <v>6</v>
      </c>
      <c r="AQ92" s="16">
        <f>'APS Tubes by Date IMPORT'!D91</f>
        <v>6</v>
      </c>
      <c r="AR92" s="16">
        <f>'APS Tubes by Date IMPORT'!E91</f>
        <v>0</v>
      </c>
      <c r="AS92" s="16">
        <f>'APS Tubes by Date IMPORT'!F91</f>
        <v>0</v>
      </c>
      <c r="AT92" s="16">
        <f>'APS Tubes by Date IMPORT'!G91</f>
        <v>0</v>
      </c>
      <c r="AU92" s="54"/>
    </row>
    <row r="93">
      <c r="A93" s="8" t="s">
        <v>123</v>
      </c>
      <c r="B93" s="58">
        <f>VLOOKUP(A93,'Run Reconcile'!A$2:B783,2,FALSE)</f>
        <v>44549</v>
      </c>
      <c r="C93" s="59">
        <f>COUNTIF('ALL Tube Results'!B92:B783, A93)
</f>
        <v>3</v>
      </c>
      <c r="D93" s="60">
        <f>COUNTIFS('ALL Tube Results'!$B92:$B783, $A93, 'ALL Tube Results'!$F92:$F783, "Negative")
</f>
        <v>3</v>
      </c>
      <c r="E93" s="60">
        <f>COUNTIFS('ALL Tube Results'!$B92:$B783, $A93, 'ALL Tube Results'!$F92:$F783, "Positive")
</f>
        <v>0</v>
      </c>
      <c r="F93" s="60">
        <f>COUNTIFS('ALL Tube Results'!$B92:$B783, $A93, 'ALL Tube Results'!$F92:$F783, "Inconclusive")
</f>
        <v>0</v>
      </c>
      <c r="G93" s="61">
        <f t="shared" si="7"/>
        <v>3</v>
      </c>
      <c r="H93" s="61" t="str">
        <f t="shared" si="8"/>
        <v/>
      </c>
      <c r="I93" s="62">
        <f t="shared" si="9"/>
        <v>3</v>
      </c>
      <c r="J93" s="63">
        <f t="shared" si="10"/>
        <v>0</v>
      </c>
      <c r="K93" s="63">
        <f t="shared" si="11"/>
        <v>0</v>
      </c>
      <c r="L93" s="63" t="str">
        <f t="shared" si="12"/>
        <v/>
      </c>
      <c r="M93" s="63" t="str">
        <f t="shared" si="13"/>
        <v/>
      </c>
      <c r="N93" s="63" t="str">
        <f t="shared" si="14"/>
        <v/>
      </c>
      <c r="O93" s="64">
        <f t="shared" si="15"/>
        <v>3</v>
      </c>
      <c r="P93" s="64" t="str">
        <f t="shared" si="16"/>
        <v/>
      </c>
      <c r="Q93" s="54"/>
      <c r="R93" s="8" t="s">
        <v>123</v>
      </c>
      <c r="S93" s="14">
        <v>44549.0</v>
      </c>
      <c r="T93" s="16">
        <f>VLOOKUP(R93,'Run Reconcile'!$A$2:$L783,12,FALSE)</f>
        <v>3</v>
      </c>
      <c r="U93" s="16" t="str">
        <f t="shared" si="17"/>
        <v/>
      </c>
      <c r="V93" s="16" t="str">
        <f t="shared" si="18"/>
        <v/>
      </c>
      <c r="W93" s="16"/>
      <c r="X93" s="54"/>
      <c r="Y93" s="8" t="str">
        <f>IFERROR(__xludf.DUMMYFUNCTION("""COMPUTED_VALUE"""),"RUN-FLMP_2022-05-09_RFR-131")</f>
        <v>RUN-FLMP_2022-05-09_RFR-131</v>
      </c>
      <c r="Z93" s="14">
        <f>IFERROR(__xludf.DUMMYFUNCTION("""COMPUTED_VALUE"""),44690.0)</f>
        <v>44690</v>
      </c>
      <c r="AA93" s="62">
        <f t="array" ref="AA93">INDEX('RFR Data - preExcl'!AK$2:AK783,$AE93,1)</f>
        <v>7</v>
      </c>
      <c r="AB93" s="16">
        <f t="shared" si="19"/>
        <v>5</v>
      </c>
      <c r="AC93" s="16">
        <f t="array" ref="AC93">INDEX('RFR Data - preExcl'!AI$2:AI783,$AE93,1)</f>
        <v>2</v>
      </c>
      <c r="AD93" s="16">
        <f t="array" ref="AD93">INDEX('RFR Data - preExcl'!AF$2:AF783,$AE93,1)</f>
        <v>0</v>
      </c>
      <c r="AE93" s="66">
        <f>IFNA(MATCH(Y93,'RFR Data - preExcl'!A$2:A783,0),"")</f>
        <v>119</v>
      </c>
      <c r="AF93" s="54"/>
      <c r="AG93" s="70" t="s">
        <v>123</v>
      </c>
      <c r="AH93" s="68">
        <f>VLOOKUP(AG93,'Run Reconcile'!A$2:B783,2,FALSE)</f>
        <v>44549</v>
      </c>
      <c r="AI93" s="69">
        <f>COUNTIF('APS Tubes IMPORT'!$V$2:$V783, AG93)
</f>
        <v>3</v>
      </c>
      <c r="AJ93" s="69">
        <f>COUNTIFS('APS Tubes IMPORT'!V$2:V783, AG93, 'APS Tubes IMPORT'!H$2:H783, "Negative")
</f>
        <v>3</v>
      </c>
      <c r="AK93" s="69">
        <f>COUNTIFS('APS Tubes IMPORT'!V$2:V783, AG93, 'APS Tubes IMPORT'!H$2:H783, "Positive")
</f>
        <v>0</v>
      </c>
      <c r="AL93" s="69">
        <f>COUNTIFS('APS Tubes IMPORT'!V$2:V783, AG93, 'APS Tubes IMPORT'!H$2:H783, "Inconclusive")
</f>
        <v>0</v>
      </c>
      <c r="AM93" s="69">
        <f>COUNTIFS('APS Tubes IMPORT'!V$2:V783, AG93, 'APS Tubes IMPORT'!H$2:H783, "Null")
</f>
        <v>0</v>
      </c>
      <c r="AN93" s="54"/>
      <c r="AO93" s="14">
        <f>'APS Tubes by Date IMPORT'!B92</f>
        <v>44552</v>
      </c>
      <c r="AP93" s="16">
        <f>'APS Tubes by Date IMPORT'!D92</f>
        <v>6</v>
      </c>
      <c r="AQ93" s="16">
        <f>'APS Tubes by Date IMPORT'!D92</f>
        <v>6</v>
      </c>
      <c r="AR93" s="16">
        <f>'APS Tubes by Date IMPORT'!E92</f>
        <v>1</v>
      </c>
      <c r="AS93" s="16">
        <f>'APS Tubes by Date IMPORT'!F92</f>
        <v>0</v>
      </c>
      <c r="AT93" s="16">
        <f>'APS Tubes by Date IMPORT'!G92</f>
        <v>0</v>
      </c>
      <c r="AU93" s="54"/>
    </row>
    <row r="94">
      <c r="A94" s="8" t="s">
        <v>124</v>
      </c>
      <c r="B94" s="58">
        <f>VLOOKUP(A94,'Run Reconcile'!A$2:B783,2,FALSE)</f>
        <v>44549</v>
      </c>
      <c r="C94" s="59">
        <f>COUNTIF('ALL Tube Results'!B93:B783, A94)
</f>
        <v>1</v>
      </c>
      <c r="D94" s="60">
        <f>COUNTIFS('ALL Tube Results'!$B93:$B783, $A94, 'ALL Tube Results'!$F93:$F783, "Negative")
</f>
        <v>1</v>
      </c>
      <c r="E94" s="60">
        <f>COUNTIFS('ALL Tube Results'!$B93:$B783, $A94, 'ALL Tube Results'!$F93:$F783, "Positive")
</f>
        <v>0</v>
      </c>
      <c r="F94" s="60">
        <f>COUNTIFS('ALL Tube Results'!$B93:$B783, $A94, 'ALL Tube Results'!$F93:$F783, "Inconclusive")
</f>
        <v>0</v>
      </c>
      <c r="G94" s="61">
        <f t="shared" si="7"/>
        <v>1</v>
      </c>
      <c r="H94" s="61" t="str">
        <f t="shared" si="8"/>
        <v/>
      </c>
      <c r="I94" s="62">
        <f t="shared" si="9"/>
        <v>1</v>
      </c>
      <c r="J94" s="63">
        <f t="shared" si="10"/>
        <v>0</v>
      </c>
      <c r="K94" s="63">
        <f t="shared" si="11"/>
        <v>0</v>
      </c>
      <c r="L94" s="63" t="str">
        <f t="shared" si="12"/>
        <v/>
      </c>
      <c r="M94" s="63" t="str">
        <f t="shared" si="13"/>
        <v/>
      </c>
      <c r="N94" s="63" t="str">
        <f t="shared" si="14"/>
        <v/>
      </c>
      <c r="O94" s="64">
        <f t="shared" si="15"/>
        <v>1</v>
      </c>
      <c r="P94" s="64" t="str">
        <f t="shared" si="16"/>
        <v/>
      </c>
      <c r="Q94" s="54"/>
      <c r="R94" s="8" t="s">
        <v>124</v>
      </c>
      <c r="S94" s="14">
        <v>44549.0</v>
      </c>
      <c r="T94" s="16">
        <f>VLOOKUP(R94,'Run Reconcile'!$A$2:$L783,12,FALSE)</f>
        <v>1</v>
      </c>
      <c r="U94" s="16" t="str">
        <f t="shared" si="17"/>
        <v/>
      </c>
      <c r="V94" s="16" t="str">
        <f t="shared" si="18"/>
        <v/>
      </c>
      <c r="W94" s="16"/>
      <c r="X94" s="54"/>
      <c r="Y94" s="8" t="str">
        <f>IFERROR(__xludf.DUMMYFUNCTION("""COMPUTED_VALUE"""),"RUN-FLMP_2022-05-11_RFR-132")</f>
        <v>RUN-FLMP_2022-05-11_RFR-132</v>
      </c>
      <c r="Z94" s="14">
        <f>IFERROR(__xludf.DUMMYFUNCTION("""COMPUTED_VALUE"""),44692.0)</f>
        <v>44692</v>
      </c>
      <c r="AA94" s="62">
        <f t="array" ref="AA94">INDEX('RFR Data - preExcl'!AK$2:AK783,$AE94,1)</f>
        <v>7</v>
      </c>
      <c r="AB94" s="16">
        <f t="shared" si="19"/>
        <v>6</v>
      </c>
      <c r="AC94" s="16">
        <f t="array" ref="AC94">INDEX('RFR Data - preExcl'!AI$2:AI783,$AE94,1)</f>
        <v>0</v>
      </c>
      <c r="AD94" s="16">
        <f t="array" ref="AD94">INDEX('RFR Data - preExcl'!AF$2:AF783,$AE94,1)</f>
        <v>1</v>
      </c>
      <c r="AE94" s="66">
        <f>IFNA(MATCH(Y94,'RFR Data - preExcl'!A$2:A783,0),"")</f>
        <v>120</v>
      </c>
      <c r="AF94" s="54"/>
      <c r="AG94" s="70" t="s">
        <v>124</v>
      </c>
      <c r="AH94" s="68">
        <f>VLOOKUP(AG94,'Run Reconcile'!A$2:B783,2,FALSE)</f>
        <v>44549</v>
      </c>
      <c r="AI94" s="69">
        <f>COUNTIF('APS Tubes IMPORT'!$V$2:$V783, AG94)
</f>
        <v>1</v>
      </c>
      <c r="AJ94" s="69">
        <f>COUNTIFS('APS Tubes IMPORT'!V$2:V783, AG94, 'APS Tubes IMPORT'!H$2:H783, "Negative")
</f>
        <v>1</v>
      </c>
      <c r="AK94" s="69">
        <f>COUNTIFS('APS Tubes IMPORT'!V$2:V783, AG94, 'APS Tubes IMPORT'!H$2:H783, "Positive")
</f>
        <v>0</v>
      </c>
      <c r="AL94" s="69">
        <f>COUNTIFS('APS Tubes IMPORT'!V$2:V783, AG94, 'APS Tubes IMPORT'!H$2:H783, "Inconclusive")
</f>
        <v>0</v>
      </c>
      <c r="AM94" s="69">
        <f>COUNTIFS('APS Tubes IMPORT'!V$2:V783, AG94, 'APS Tubes IMPORT'!H$2:H783, "Null")
</f>
        <v>0</v>
      </c>
      <c r="AN94" s="54"/>
      <c r="AO94" s="14">
        <f>'APS Tubes by Date IMPORT'!B93</f>
        <v>44553</v>
      </c>
      <c r="AP94" s="16">
        <f>'APS Tubes by Date IMPORT'!D93</f>
        <v>3</v>
      </c>
      <c r="AQ94" s="16">
        <f>'APS Tubes by Date IMPORT'!D93</f>
        <v>3</v>
      </c>
      <c r="AR94" s="16">
        <f>'APS Tubes by Date IMPORT'!E93</f>
        <v>1</v>
      </c>
      <c r="AS94" s="16">
        <f>'APS Tubes by Date IMPORT'!F93</f>
        <v>0</v>
      </c>
      <c r="AT94" s="16">
        <f>'APS Tubes by Date IMPORT'!G93</f>
        <v>0</v>
      </c>
      <c r="AU94" s="54"/>
    </row>
    <row r="95">
      <c r="A95" s="8" t="s">
        <v>125</v>
      </c>
      <c r="B95" s="58">
        <f>VLOOKUP(A95,'Run Reconcile'!A$2:B783,2,FALSE)</f>
        <v>44550</v>
      </c>
      <c r="C95" s="59">
        <f>COUNTIF('ALL Tube Results'!B94:B783, A95)
</f>
        <v>3</v>
      </c>
      <c r="D95" s="60">
        <f>COUNTIFS('ALL Tube Results'!$B94:$B783, $A95, 'ALL Tube Results'!$F94:$F783, "Negative")
</f>
        <v>3</v>
      </c>
      <c r="E95" s="60">
        <f>COUNTIFS('ALL Tube Results'!$B94:$B783, $A95, 'ALL Tube Results'!$F94:$F783, "Positive")
</f>
        <v>0</v>
      </c>
      <c r="F95" s="60">
        <f>COUNTIFS('ALL Tube Results'!$B94:$B783, $A95, 'ALL Tube Results'!$F94:$F783, "Inconclusive")
</f>
        <v>0</v>
      </c>
      <c r="G95" s="61">
        <f t="shared" si="7"/>
        <v>3</v>
      </c>
      <c r="H95" s="61" t="str">
        <f t="shared" si="8"/>
        <v/>
      </c>
      <c r="I95" s="62">
        <f t="shared" si="9"/>
        <v>3</v>
      </c>
      <c r="J95" s="63">
        <f t="shared" si="10"/>
        <v>0</v>
      </c>
      <c r="K95" s="63">
        <f t="shared" si="11"/>
        <v>0</v>
      </c>
      <c r="L95" s="63" t="str">
        <f t="shared" si="12"/>
        <v/>
      </c>
      <c r="M95" s="63" t="str">
        <f t="shared" si="13"/>
        <v/>
      </c>
      <c r="N95" s="63" t="str">
        <f t="shared" si="14"/>
        <v/>
      </c>
      <c r="O95" s="64">
        <f t="shared" si="15"/>
        <v>3</v>
      </c>
      <c r="P95" s="64" t="str">
        <f t="shared" si="16"/>
        <v/>
      </c>
      <c r="Q95" s="54"/>
      <c r="R95" s="8" t="s">
        <v>125</v>
      </c>
      <c r="S95" s="14">
        <v>44550.0</v>
      </c>
      <c r="T95" s="16">
        <f>VLOOKUP(R95,'Run Reconcile'!$A$2:$L783,12,FALSE)</f>
        <v>3</v>
      </c>
      <c r="U95" s="16" t="str">
        <f t="shared" si="17"/>
        <v/>
      </c>
      <c r="V95" s="16" t="str">
        <f t="shared" si="18"/>
        <v/>
      </c>
      <c r="W95" s="16"/>
      <c r="X95" s="54"/>
      <c r="Y95" s="8" t="str">
        <f>IFERROR(__xludf.DUMMYFUNCTION("""COMPUTED_VALUE"""),"RUN-FLMP_2022-05-12_RFR-135")</f>
        <v>RUN-FLMP_2022-05-12_RFR-135</v>
      </c>
      <c r="Z95" s="14">
        <f>IFERROR(__xludf.DUMMYFUNCTION("""COMPUTED_VALUE"""),44693.0)</f>
        <v>44693</v>
      </c>
      <c r="AA95" s="62">
        <f t="array" ref="AA95">INDEX('RFR Data - preExcl'!AK$2:AK783,$AE95,1)</f>
        <v>23</v>
      </c>
      <c r="AB95" s="16">
        <f t="shared" si="19"/>
        <v>23</v>
      </c>
      <c r="AC95" s="16">
        <f t="array" ref="AC95">INDEX('RFR Data - preExcl'!AI$2:AI783,$AE95,1)</f>
        <v>0</v>
      </c>
      <c r="AD95" s="16">
        <f t="array" ref="AD95">INDEX('RFR Data - preExcl'!AF$2:AF783,$AE95,1)</f>
        <v>0</v>
      </c>
      <c r="AE95" s="66">
        <f>IFNA(MATCH(Y95,'RFR Data - preExcl'!A$2:A783,0),"")</f>
        <v>123</v>
      </c>
      <c r="AF95" s="54"/>
      <c r="AG95" s="70" t="s">
        <v>125</v>
      </c>
      <c r="AH95" s="68">
        <f>VLOOKUP(AG95,'Run Reconcile'!A$2:B783,2,FALSE)</f>
        <v>44550</v>
      </c>
      <c r="AI95" s="69">
        <f>COUNTIF('APS Tubes IMPORT'!$V$2:$V783, AG95)
</f>
        <v>3</v>
      </c>
      <c r="AJ95" s="69">
        <f>COUNTIFS('APS Tubes IMPORT'!V$2:V783, AG95, 'APS Tubes IMPORT'!H$2:H783, "Negative")
</f>
        <v>3</v>
      </c>
      <c r="AK95" s="69">
        <f>COUNTIFS('APS Tubes IMPORT'!V$2:V783, AG95, 'APS Tubes IMPORT'!H$2:H783, "Positive")
</f>
        <v>0</v>
      </c>
      <c r="AL95" s="69">
        <f>COUNTIFS('APS Tubes IMPORT'!V$2:V783, AG95, 'APS Tubes IMPORT'!H$2:H783, "Inconclusive")
</f>
        <v>0</v>
      </c>
      <c r="AM95" s="69">
        <f>COUNTIFS('APS Tubes IMPORT'!V$2:V783, AG95, 'APS Tubes IMPORT'!H$2:H783, "Null")
</f>
        <v>0</v>
      </c>
      <c r="AN95" s="54"/>
      <c r="AO95" s="14">
        <f>'APS Tubes by Date IMPORT'!B94</f>
        <v>44554</v>
      </c>
      <c r="AP95" s="16">
        <f>'APS Tubes by Date IMPORT'!D94</f>
        <v>3</v>
      </c>
      <c r="AQ95" s="16">
        <f>'APS Tubes by Date IMPORT'!D94</f>
        <v>3</v>
      </c>
      <c r="AR95" s="16">
        <f>'APS Tubes by Date IMPORT'!E94</f>
        <v>1</v>
      </c>
      <c r="AS95" s="16">
        <f>'APS Tubes by Date IMPORT'!F94</f>
        <v>0</v>
      </c>
      <c r="AT95" s="16">
        <f>'APS Tubes by Date IMPORT'!G94</f>
        <v>0</v>
      </c>
      <c r="AU95" s="54"/>
    </row>
    <row r="96">
      <c r="A96" s="8" t="s">
        <v>126</v>
      </c>
      <c r="B96" s="58">
        <f>VLOOKUP(A96,'Run Reconcile'!A$2:B783,2,FALSE)</f>
        <v>44550</v>
      </c>
      <c r="C96" s="59">
        <f>COUNTIF('ALL Tube Results'!B95:B783, A96)
</f>
        <v>2</v>
      </c>
      <c r="D96" s="60">
        <f>COUNTIFS('ALL Tube Results'!$B95:$B783, $A96, 'ALL Tube Results'!$F95:$F783, "Negative")
</f>
        <v>2</v>
      </c>
      <c r="E96" s="60">
        <f>COUNTIFS('ALL Tube Results'!$B95:$B783, $A96, 'ALL Tube Results'!$F95:$F783, "Positive")
</f>
        <v>0</v>
      </c>
      <c r="F96" s="60">
        <f>COUNTIFS('ALL Tube Results'!$B95:$B783, $A96, 'ALL Tube Results'!$F95:$F783, "Inconclusive")
</f>
        <v>0</v>
      </c>
      <c r="G96" s="61">
        <f t="shared" si="7"/>
        <v>2</v>
      </c>
      <c r="H96" s="61" t="str">
        <f t="shared" si="8"/>
        <v/>
      </c>
      <c r="I96" s="62">
        <f t="shared" si="9"/>
        <v>2</v>
      </c>
      <c r="J96" s="63">
        <f t="shared" si="10"/>
        <v>0</v>
      </c>
      <c r="K96" s="63">
        <f t="shared" si="11"/>
        <v>0</v>
      </c>
      <c r="L96" s="63" t="str">
        <f t="shared" si="12"/>
        <v/>
      </c>
      <c r="M96" s="63" t="str">
        <f t="shared" si="13"/>
        <v/>
      </c>
      <c r="N96" s="63" t="str">
        <f t="shared" si="14"/>
        <v/>
      </c>
      <c r="O96" s="64">
        <f t="shared" si="15"/>
        <v>2</v>
      </c>
      <c r="P96" s="64" t="str">
        <f t="shared" si="16"/>
        <v/>
      </c>
      <c r="Q96" s="54"/>
      <c r="R96" s="8" t="s">
        <v>126</v>
      </c>
      <c r="S96" s="14">
        <v>44550.0</v>
      </c>
      <c r="T96" s="16">
        <f>VLOOKUP(R96,'Run Reconcile'!$A$2:$L783,12,FALSE)</f>
        <v>2</v>
      </c>
      <c r="U96" s="16" t="str">
        <f t="shared" si="17"/>
        <v/>
      </c>
      <c r="V96" s="16" t="str">
        <f t="shared" si="18"/>
        <v/>
      </c>
      <c r="W96" s="16"/>
      <c r="X96" s="54"/>
      <c r="Y96" s="8" t="str">
        <f>IFERROR(__xludf.DUMMYFUNCTION("""COMPUTED_VALUE"""),"RUN-FLMP_2022-05-14_RFR-137")</f>
        <v>RUN-FLMP_2022-05-14_RFR-137</v>
      </c>
      <c r="Z96" s="14">
        <f>IFERROR(__xludf.DUMMYFUNCTION("""COMPUTED_VALUE"""),44695.0)</f>
        <v>44695</v>
      </c>
      <c r="AA96" s="62">
        <f t="array" ref="AA96">INDEX('RFR Data - preExcl'!AK$2:AK783,$AE96,1)</f>
        <v>3</v>
      </c>
      <c r="AB96" s="16">
        <f t="shared" si="19"/>
        <v>3</v>
      </c>
      <c r="AC96" s="16">
        <f t="array" ref="AC96">INDEX('RFR Data - preExcl'!AI$2:AI783,$AE96,1)</f>
        <v>0</v>
      </c>
      <c r="AD96" s="16">
        <f t="array" ref="AD96">INDEX('RFR Data - preExcl'!AF$2:AF783,$AE96,1)</f>
        <v>0</v>
      </c>
      <c r="AE96" s="66">
        <f>IFNA(MATCH(Y96,'RFR Data - preExcl'!A$2:A783,0),"")</f>
        <v>125</v>
      </c>
      <c r="AF96" s="54"/>
      <c r="AG96" s="70" t="s">
        <v>126</v>
      </c>
      <c r="AH96" s="68">
        <f>VLOOKUP(AG96,'Run Reconcile'!A$2:B783,2,FALSE)</f>
        <v>44550</v>
      </c>
      <c r="AI96" s="69">
        <f>COUNTIF('APS Tubes IMPORT'!$V$2:$V783, AG96)
</f>
        <v>2</v>
      </c>
      <c r="AJ96" s="69">
        <f>COUNTIFS('APS Tubes IMPORT'!V$2:V783, AG96, 'APS Tubes IMPORT'!H$2:H783, "Negative")
</f>
        <v>2</v>
      </c>
      <c r="AK96" s="69">
        <f>COUNTIFS('APS Tubes IMPORT'!V$2:V783, AG96, 'APS Tubes IMPORT'!H$2:H783, "Positive")
</f>
        <v>0</v>
      </c>
      <c r="AL96" s="69">
        <f>COUNTIFS('APS Tubes IMPORT'!V$2:V783, AG96, 'APS Tubes IMPORT'!H$2:H783, "Inconclusive")
</f>
        <v>0</v>
      </c>
      <c r="AM96" s="69">
        <f>COUNTIFS('APS Tubes IMPORT'!V$2:V783, AG96, 'APS Tubes IMPORT'!H$2:H783, "Null")
</f>
        <v>0</v>
      </c>
      <c r="AN96" s="54"/>
      <c r="AO96" s="14">
        <f>'APS Tubes by Date IMPORT'!B95</f>
        <v>44555</v>
      </c>
      <c r="AP96" s="16">
        <f>'APS Tubes by Date IMPORT'!D95</f>
        <v>0</v>
      </c>
      <c r="AQ96" s="16">
        <f>'APS Tubes by Date IMPORT'!D95</f>
        <v>0</v>
      </c>
      <c r="AR96" s="16">
        <f>'APS Tubes by Date IMPORT'!E95</f>
        <v>2</v>
      </c>
      <c r="AS96" s="16">
        <f>'APS Tubes by Date IMPORT'!F95</f>
        <v>0</v>
      </c>
      <c r="AT96" s="16">
        <f>'APS Tubes by Date IMPORT'!G95</f>
        <v>0</v>
      </c>
      <c r="AU96" s="54"/>
    </row>
    <row r="97">
      <c r="A97" s="8" t="s">
        <v>127</v>
      </c>
      <c r="B97" s="58">
        <f>VLOOKUP(A97,'Run Reconcile'!A$2:B783,2,FALSE)</f>
        <v>44551</v>
      </c>
      <c r="C97" s="59">
        <f>COUNTIF('ALL Tube Results'!B96:B783, A97)
</f>
        <v>4</v>
      </c>
      <c r="D97" s="60">
        <f>COUNTIFS('ALL Tube Results'!$B96:$B783, $A97, 'ALL Tube Results'!$F96:$F783, "Negative")
</f>
        <v>4</v>
      </c>
      <c r="E97" s="60">
        <f>COUNTIFS('ALL Tube Results'!$B96:$B783, $A97, 'ALL Tube Results'!$F96:$F783, "Positive")
</f>
        <v>0</v>
      </c>
      <c r="F97" s="60">
        <f>COUNTIFS('ALL Tube Results'!$B96:$B783, $A97, 'ALL Tube Results'!$F96:$F783, "Inconclusive")
</f>
        <v>0</v>
      </c>
      <c r="G97" s="61">
        <f t="shared" si="7"/>
        <v>4</v>
      </c>
      <c r="H97" s="61" t="str">
        <f t="shared" si="8"/>
        <v/>
      </c>
      <c r="I97" s="62">
        <f t="shared" si="9"/>
        <v>4</v>
      </c>
      <c r="J97" s="63">
        <f t="shared" si="10"/>
        <v>0</v>
      </c>
      <c r="K97" s="63">
        <f t="shared" si="11"/>
        <v>0</v>
      </c>
      <c r="L97" s="63" t="str">
        <f t="shared" si="12"/>
        <v/>
      </c>
      <c r="M97" s="63" t="str">
        <f t="shared" si="13"/>
        <v/>
      </c>
      <c r="N97" s="63" t="str">
        <f t="shared" si="14"/>
        <v/>
      </c>
      <c r="O97" s="64">
        <f t="shared" si="15"/>
        <v>4</v>
      </c>
      <c r="P97" s="64" t="str">
        <f t="shared" si="16"/>
        <v/>
      </c>
      <c r="Q97" s="54"/>
      <c r="R97" s="8" t="s">
        <v>127</v>
      </c>
      <c r="S97" s="14">
        <v>44551.0</v>
      </c>
      <c r="T97" s="16">
        <f>VLOOKUP(R97,'Run Reconcile'!$A$2:$L783,12,FALSE)</f>
        <v>4</v>
      </c>
      <c r="U97" s="16" t="str">
        <f t="shared" si="17"/>
        <v/>
      </c>
      <c r="V97" s="16" t="str">
        <f t="shared" si="18"/>
        <v/>
      </c>
      <c r="W97" s="16"/>
      <c r="X97" s="54"/>
      <c r="Y97" s="8" t="str">
        <f>IFERROR(__xludf.DUMMYFUNCTION("""COMPUTED_VALUE"""),"RUN-FLMP_2022-05-16_RFR-138")</f>
        <v>RUN-FLMP_2022-05-16_RFR-138</v>
      </c>
      <c r="Z97" s="14">
        <f>IFERROR(__xludf.DUMMYFUNCTION("""COMPUTED_VALUE"""),44697.0)</f>
        <v>44697</v>
      </c>
      <c r="AA97" s="62">
        <f t="array" ref="AA97">INDEX('RFR Data - preExcl'!AK$2:AK783,$AE97,1)</f>
        <v>22</v>
      </c>
      <c r="AB97" s="16">
        <f t="shared" si="19"/>
        <v>22</v>
      </c>
      <c r="AC97" s="16">
        <f t="array" ref="AC97">INDEX('RFR Data - preExcl'!AI$2:AI783,$AE97,1)</f>
        <v>0</v>
      </c>
      <c r="AD97" s="16">
        <f t="array" ref="AD97">INDEX('RFR Data - preExcl'!AF$2:AF783,$AE97,1)</f>
        <v>0</v>
      </c>
      <c r="AE97" s="66">
        <f>IFNA(MATCH(Y97,'RFR Data - preExcl'!A$2:A783,0),"")</f>
        <v>126</v>
      </c>
      <c r="AF97" s="54"/>
      <c r="AG97" s="70" t="s">
        <v>127</v>
      </c>
      <c r="AH97" s="68">
        <f>VLOOKUP(AG97,'Run Reconcile'!A$2:B783,2,FALSE)</f>
        <v>44551</v>
      </c>
      <c r="AI97" s="69">
        <f>COUNTIF('APS Tubes IMPORT'!$V$2:$V783, AG97)
</f>
        <v>4</v>
      </c>
      <c r="AJ97" s="69">
        <f>COUNTIFS('APS Tubes IMPORT'!V$2:V783, AG97, 'APS Tubes IMPORT'!H$2:H783, "Negative")
</f>
        <v>4</v>
      </c>
      <c r="AK97" s="69">
        <f>COUNTIFS('APS Tubes IMPORT'!V$2:V783, AG97, 'APS Tubes IMPORT'!H$2:H783, "Positive")
</f>
        <v>0</v>
      </c>
      <c r="AL97" s="69">
        <f>COUNTIFS('APS Tubes IMPORT'!V$2:V783, AG97, 'APS Tubes IMPORT'!H$2:H783, "Inconclusive")
</f>
        <v>0</v>
      </c>
      <c r="AM97" s="69">
        <f>COUNTIFS('APS Tubes IMPORT'!V$2:V783, AG97, 'APS Tubes IMPORT'!H$2:H783, "Null")
</f>
        <v>0</v>
      </c>
      <c r="AN97" s="54"/>
      <c r="AO97" s="14">
        <f>'APS Tubes by Date IMPORT'!B96</f>
        <v>44556</v>
      </c>
      <c r="AP97" s="16">
        <f>'APS Tubes by Date IMPORT'!D96</f>
        <v>1</v>
      </c>
      <c r="AQ97" s="16">
        <f>'APS Tubes by Date IMPORT'!D96</f>
        <v>1</v>
      </c>
      <c r="AR97" s="16">
        <f>'APS Tubes by Date IMPORT'!E96</f>
        <v>1</v>
      </c>
      <c r="AS97" s="16">
        <f>'APS Tubes by Date IMPORT'!F96</f>
        <v>0</v>
      </c>
      <c r="AT97" s="16">
        <f>'APS Tubes by Date IMPORT'!G96</f>
        <v>0</v>
      </c>
      <c r="AU97" s="54"/>
    </row>
    <row r="98">
      <c r="A98" s="8" t="s">
        <v>128</v>
      </c>
      <c r="B98" s="58">
        <f>VLOOKUP(A98,'Run Reconcile'!A$2:B783,2,FALSE)</f>
        <v>44551</v>
      </c>
      <c r="C98" s="59">
        <f>COUNTIF('ALL Tube Results'!B97:B783, A98)
</f>
        <v>2</v>
      </c>
      <c r="D98" s="60">
        <f>COUNTIFS('ALL Tube Results'!$B97:$B783, $A98, 'ALL Tube Results'!$F97:$F783, "Negative")
</f>
        <v>2</v>
      </c>
      <c r="E98" s="60">
        <f>COUNTIFS('ALL Tube Results'!$B97:$B783, $A98, 'ALL Tube Results'!$F97:$F783, "Positive")
</f>
        <v>0</v>
      </c>
      <c r="F98" s="60">
        <f>COUNTIFS('ALL Tube Results'!$B97:$B783, $A98, 'ALL Tube Results'!$F97:$F783, "Inconclusive")
</f>
        <v>0</v>
      </c>
      <c r="G98" s="61">
        <f t="shared" si="7"/>
        <v>2</v>
      </c>
      <c r="H98" s="61" t="str">
        <f t="shared" si="8"/>
        <v/>
      </c>
      <c r="I98" s="62">
        <f t="shared" si="9"/>
        <v>2</v>
      </c>
      <c r="J98" s="63">
        <f t="shared" si="10"/>
        <v>0</v>
      </c>
      <c r="K98" s="63">
        <f t="shared" si="11"/>
        <v>0</v>
      </c>
      <c r="L98" s="63" t="str">
        <f t="shared" si="12"/>
        <v/>
      </c>
      <c r="M98" s="63" t="str">
        <f t="shared" si="13"/>
        <v/>
      </c>
      <c r="N98" s="63" t="str">
        <f t="shared" si="14"/>
        <v/>
      </c>
      <c r="O98" s="64">
        <f t="shared" si="15"/>
        <v>2</v>
      </c>
      <c r="P98" s="64" t="str">
        <f t="shared" si="16"/>
        <v/>
      </c>
      <c r="Q98" s="54"/>
      <c r="R98" s="8" t="s">
        <v>128</v>
      </c>
      <c r="S98" s="14">
        <v>44551.0</v>
      </c>
      <c r="T98" s="16">
        <f>VLOOKUP(R98,'Run Reconcile'!$A$2:$L783,12,FALSE)</f>
        <v>2</v>
      </c>
      <c r="U98" s="16" t="str">
        <f t="shared" si="17"/>
        <v/>
      </c>
      <c r="V98" s="16" t="str">
        <f t="shared" si="18"/>
        <v/>
      </c>
      <c r="W98" s="16"/>
      <c r="X98" s="54"/>
      <c r="Y98" s="8" t="str">
        <f>IFERROR(__xludf.DUMMYFUNCTION("""COMPUTED_VALUE"""),"RUN-FLMP_2022-05-17_RFR-140")</f>
        <v>RUN-FLMP_2022-05-17_RFR-140</v>
      </c>
      <c r="Z98" s="14">
        <f>IFERROR(__xludf.DUMMYFUNCTION("""COMPUTED_VALUE"""),44698.0)</f>
        <v>44698</v>
      </c>
      <c r="AA98" s="62">
        <f t="array" ref="AA98">INDEX('RFR Data - preExcl'!AK$2:AK783,$AE98,1)</f>
        <v>1</v>
      </c>
      <c r="AB98" s="16">
        <f t="shared" si="19"/>
        <v>1</v>
      </c>
      <c r="AC98" s="16">
        <f t="array" ref="AC98">INDEX('RFR Data - preExcl'!AI$2:AI783,$AE98,1)</f>
        <v>0</v>
      </c>
      <c r="AD98" s="16">
        <f t="array" ref="AD98">INDEX('RFR Data - preExcl'!AF$2:AF783,$AE98,1)</f>
        <v>0</v>
      </c>
      <c r="AE98" s="66">
        <f>IFNA(MATCH(Y98,'RFR Data - preExcl'!A$2:A783,0),"")</f>
        <v>128</v>
      </c>
      <c r="AF98" s="54"/>
      <c r="AG98" s="70" t="s">
        <v>128</v>
      </c>
      <c r="AH98" s="68">
        <f>VLOOKUP(AG98,'Run Reconcile'!A$2:B783,2,FALSE)</f>
        <v>44551</v>
      </c>
      <c r="AI98" s="69">
        <f>COUNTIF('APS Tubes IMPORT'!$V$2:$V783, AG98)
</f>
        <v>2</v>
      </c>
      <c r="AJ98" s="69">
        <f>COUNTIFS('APS Tubes IMPORT'!V$2:V783, AG98, 'APS Tubes IMPORT'!H$2:H783, "Negative")
</f>
        <v>2</v>
      </c>
      <c r="AK98" s="69">
        <f>COUNTIFS('APS Tubes IMPORT'!V$2:V783, AG98, 'APS Tubes IMPORT'!H$2:H783, "Positive")
</f>
        <v>0</v>
      </c>
      <c r="AL98" s="69">
        <f>COUNTIFS('APS Tubes IMPORT'!V$2:V783, AG98, 'APS Tubes IMPORT'!H$2:H783, "Inconclusive")
</f>
        <v>0</v>
      </c>
      <c r="AM98" s="69">
        <f>COUNTIFS('APS Tubes IMPORT'!V$2:V783, AG98, 'APS Tubes IMPORT'!H$2:H783, "Null")
</f>
        <v>0</v>
      </c>
      <c r="AN98" s="54"/>
      <c r="AO98" s="14">
        <f>'APS Tubes by Date IMPORT'!B97</f>
        <v>44557</v>
      </c>
      <c r="AP98" s="16">
        <f>'APS Tubes by Date IMPORT'!D97</f>
        <v>5</v>
      </c>
      <c r="AQ98" s="16">
        <f>'APS Tubes by Date IMPORT'!D97</f>
        <v>5</v>
      </c>
      <c r="AR98" s="16">
        <f>'APS Tubes by Date IMPORT'!E97</f>
        <v>0</v>
      </c>
      <c r="AS98" s="16">
        <f>'APS Tubes by Date IMPORT'!F97</f>
        <v>0</v>
      </c>
      <c r="AT98" s="16">
        <f>'APS Tubes by Date IMPORT'!G97</f>
        <v>0</v>
      </c>
      <c r="AU98" s="54"/>
    </row>
    <row r="99">
      <c r="A99" s="8" t="s">
        <v>129</v>
      </c>
      <c r="B99" s="58">
        <f>VLOOKUP(A99,'Run Reconcile'!A$2:B783,2,FALSE)</f>
        <v>44552</v>
      </c>
      <c r="C99" s="59">
        <f>COUNTIF('ALL Tube Results'!B98:B783, A99)
</f>
        <v>5</v>
      </c>
      <c r="D99" s="60">
        <f>COUNTIFS('ALL Tube Results'!$B98:$B783, $A99, 'ALL Tube Results'!$F98:$F783, "Negative")
</f>
        <v>5</v>
      </c>
      <c r="E99" s="60">
        <f>COUNTIFS('ALL Tube Results'!$B98:$B783, $A99, 'ALL Tube Results'!$F98:$F783, "Positive")
</f>
        <v>0</v>
      </c>
      <c r="F99" s="60">
        <f>COUNTIFS('ALL Tube Results'!$B98:$B783, $A99, 'ALL Tube Results'!$F98:$F783, "Inconclusive")
</f>
        <v>0</v>
      </c>
      <c r="G99" s="61">
        <f t="shared" si="7"/>
        <v>5</v>
      </c>
      <c r="H99" s="61" t="str">
        <f t="shared" si="8"/>
        <v/>
      </c>
      <c r="I99" s="62">
        <f t="shared" si="9"/>
        <v>5</v>
      </c>
      <c r="J99" s="63">
        <f t="shared" si="10"/>
        <v>0</v>
      </c>
      <c r="K99" s="63">
        <f t="shared" si="11"/>
        <v>0</v>
      </c>
      <c r="L99" s="63" t="str">
        <f t="shared" si="12"/>
        <v/>
      </c>
      <c r="M99" s="63" t="str">
        <f t="shared" si="13"/>
        <v/>
      </c>
      <c r="N99" s="63" t="str">
        <f t="shared" si="14"/>
        <v/>
      </c>
      <c r="O99" s="64">
        <f t="shared" si="15"/>
        <v>5</v>
      </c>
      <c r="P99" s="64" t="str">
        <f t="shared" si="16"/>
        <v/>
      </c>
      <c r="Q99" s="54"/>
      <c r="R99" s="8" t="s">
        <v>129</v>
      </c>
      <c r="S99" s="14">
        <v>44552.0</v>
      </c>
      <c r="T99" s="16">
        <f>VLOOKUP(R99,'Run Reconcile'!$A$2:$L783,12,FALSE)</f>
        <v>5</v>
      </c>
      <c r="U99" s="16" t="str">
        <f t="shared" si="17"/>
        <v/>
      </c>
      <c r="V99" s="16" t="str">
        <f t="shared" si="18"/>
        <v/>
      </c>
      <c r="W99" s="16"/>
      <c r="X99" s="54"/>
      <c r="Y99" s="8" t="str">
        <f>IFERROR(__xludf.DUMMYFUNCTION("""COMPUTED_VALUE"""),"RUN-FLMP_2022-05-17_RFR-141")</f>
        <v>RUN-FLMP_2022-05-17_RFR-141</v>
      </c>
      <c r="Z99" s="14">
        <f>IFERROR(__xludf.DUMMYFUNCTION("""COMPUTED_VALUE"""),44698.0)</f>
        <v>44698</v>
      </c>
      <c r="AA99" s="62">
        <f t="array" ref="AA99">INDEX('RFR Data - preExcl'!AK$2:AK783,$AE99,1)</f>
        <v>2</v>
      </c>
      <c r="AB99" s="16">
        <f t="shared" si="19"/>
        <v>2</v>
      </c>
      <c r="AC99" s="16">
        <f t="array" ref="AC99">INDEX('RFR Data - preExcl'!AI$2:AI783,$AE99,1)</f>
        <v>0</v>
      </c>
      <c r="AD99" s="16">
        <f t="array" ref="AD99">INDEX('RFR Data - preExcl'!AF$2:AF783,$AE99,1)</f>
        <v>0</v>
      </c>
      <c r="AE99" s="66">
        <f>IFNA(MATCH(Y99,'RFR Data - preExcl'!A$2:A783,0),"")</f>
        <v>129</v>
      </c>
      <c r="AF99" s="54"/>
      <c r="AG99" s="70" t="s">
        <v>129</v>
      </c>
      <c r="AH99" s="68">
        <f>VLOOKUP(AG99,'Run Reconcile'!A$2:B783,2,FALSE)</f>
        <v>44552</v>
      </c>
      <c r="AI99" s="69">
        <f>COUNTIF('APS Tubes IMPORT'!$V$2:$V783, AG99)
</f>
        <v>5</v>
      </c>
      <c r="AJ99" s="69">
        <f>COUNTIFS('APS Tubes IMPORT'!V$2:V783, AG99, 'APS Tubes IMPORT'!H$2:H783, "Negative")
</f>
        <v>5</v>
      </c>
      <c r="AK99" s="69">
        <f>COUNTIFS('APS Tubes IMPORT'!V$2:V783, AG99, 'APS Tubes IMPORT'!H$2:H783, "Positive")
</f>
        <v>0</v>
      </c>
      <c r="AL99" s="69">
        <f>COUNTIFS('APS Tubes IMPORT'!V$2:V783, AG99, 'APS Tubes IMPORT'!H$2:H783, "Inconclusive")
</f>
        <v>0</v>
      </c>
      <c r="AM99" s="69">
        <f>COUNTIFS('APS Tubes IMPORT'!V$2:V783, AG99, 'APS Tubes IMPORT'!H$2:H783, "Null")
</f>
        <v>0</v>
      </c>
      <c r="AN99" s="54"/>
      <c r="AO99" s="14">
        <f>'APS Tubes by Date IMPORT'!B98</f>
        <v>44558</v>
      </c>
      <c r="AP99" s="16">
        <f>'APS Tubes by Date IMPORT'!D98</f>
        <v>4</v>
      </c>
      <c r="AQ99" s="16">
        <f>'APS Tubes by Date IMPORT'!D98</f>
        <v>4</v>
      </c>
      <c r="AR99" s="16">
        <f>'APS Tubes by Date IMPORT'!E98</f>
        <v>0</v>
      </c>
      <c r="AS99" s="16">
        <f>'APS Tubes by Date IMPORT'!F98</f>
        <v>0</v>
      </c>
      <c r="AT99" s="16">
        <f>'APS Tubes by Date IMPORT'!G98</f>
        <v>0</v>
      </c>
      <c r="AU99" s="54"/>
    </row>
    <row r="100">
      <c r="A100" s="8" t="s">
        <v>130</v>
      </c>
      <c r="B100" s="58">
        <f>VLOOKUP(A100,'Run Reconcile'!A$2:B783,2,FALSE)</f>
        <v>44552</v>
      </c>
      <c r="C100" s="59">
        <f>COUNTIF('ALL Tube Results'!B99:B783, A100)
</f>
        <v>2</v>
      </c>
      <c r="D100" s="60">
        <f>COUNTIFS('ALL Tube Results'!$B99:$B783, $A100, 'ALL Tube Results'!$F99:$F783, "Negative")
</f>
        <v>1</v>
      </c>
      <c r="E100" s="60">
        <f>COUNTIFS('ALL Tube Results'!$B99:$B783, $A100, 'ALL Tube Results'!$F99:$F783, "Positive")
</f>
        <v>1</v>
      </c>
      <c r="F100" s="60">
        <f>COUNTIFS('ALL Tube Results'!$B99:$B783, $A100, 'ALL Tube Results'!$F99:$F783, "Inconclusive")
</f>
        <v>0</v>
      </c>
      <c r="G100" s="61">
        <f t="shared" si="7"/>
        <v>2</v>
      </c>
      <c r="H100" s="61" t="str">
        <f t="shared" si="8"/>
        <v/>
      </c>
      <c r="I100" s="62">
        <f t="shared" si="9"/>
        <v>2</v>
      </c>
      <c r="J100" s="63">
        <f t="shared" si="10"/>
        <v>1</v>
      </c>
      <c r="K100" s="63">
        <f t="shared" si="11"/>
        <v>0</v>
      </c>
      <c r="L100" s="63" t="str">
        <f t="shared" si="12"/>
        <v/>
      </c>
      <c r="M100" s="63" t="str">
        <f t="shared" si="13"/>
        <v/>
      </c>
      <c r="N100" s="63" t="str">
        <f t="shared" si="14"/>
        <v/>
      </c>
      <c r="O100" s="64">
        <f t="shared" si="15"/>
        <v>2</v>
      </c>
      <c r="P100" s="64" t="str">
        <f t="shared" si="16"/>
        <v/>
      </c>
      <c r="Q100" s="54"/>
      <c r="R100" s="8" t="s">
        <v>130</v>
      </c>
      <c r="S100" s="14">
        <v>44552.0</v>
      </c>
      <c r="T100" s="16">
        <f>VLOOKUP(R100,'Run Reconcile'!$A$2:$L783,12,FALSE)</f>
        <v>2</v>
      </c>
      <c r="U100" s="16" t="str">
        <f t="shared" si="17"/>
        <v/>
      </c>
      <c r="V100" s="16" t="str">
        <f t="shared" si="18"/>
        <v/>
      </c>
      <c r="W100" s="16"/>
      <c r="X100" s="54"/>
      <c r="Y100" s="8" t="str">
        <f>IFERROR(__xludf.DUMMYFUNCTION("""COMPUTED_VALUE"""),"RUN-FLMP_2022-05-18_RFR-142")</f>
        <v>RUN-FLMP_2022-05-18_RFR-142</v>
      </c>
      <c r="Z100" s="14">
        <f>IFERROR(__xludf.DUMMYFUNCTION("""COMPUTED_VALUE"""),44699.0)</f>
        <v>44699</v>
      </c>
      <c r="AA100" s="62">
        <f t="array" ref="AA100">INDEX('RFR Data - preExcl'!AK$2:AK783,$AE100,1)</f>
        <v>1</v>
      </c>
      <c r="AB100" s="16">
        <f t="shared" si="19"/>
        <v>1</v>
      </c>
      <c r="AC100" s="16">
        <f t="array" ref="AC100">INDEX('RFR Data - preExcl'!AI$2:AI783,$AE100,1)</f>
        <v>0</v>
      </c>
      <c r="AD100" s="16">
        <f t="array" ref="AD100">INDEX('RFR Data - preExcl'!AF$2:AF783,$AE100,1)</f>
        <v>0</v>
      </c>
      <c r="AE100" s="66">
        <f>IFNA(MATCH(Y100,'RFR Data - preExcl'!A$2:A783,0),"")</f>
        <v>130</v>
      </c>
      <c r="AF100" s="54"/>
      <c r="AG100" s="70" t="s">
        <v>130</v>
      </c>
      <c r="AH100" s="68">
        <f>VLOOKUP(AG100,'Run Reconcile'!A$2:B783,2,FALSE)</f>
        <v>44552</v>
      </c>
      <c r="AI100" s="69">
        <f>COUNTIF('APS Tubes IMPORT'!$V$2:$V783, AG100)
</f>
        <v>2</v>
      </c>
      <c r="AJ100" s="69">
        <f>COUNTIFS('APS Tubes IMPORT'!V$2:V783, AG100, 'APS Tubes IMPORT'!H$2:H783, "Negative")
</f>
        <v>1</v>
      </c>
      <c r="AK100" s="69">
        <f>COUNTIFS('APS Tubes IMPORT'!V$2:V783, AG100, 'APS Tubes IMPORT'!H$2:H783, "Positive")
</f>
        <v>1</v>
      </c>
      <c r="AL100" s="69">
        <f>COUNTIFS('APS Tubes IMPORT'!V$2:V783, AG100, 'APS Tubes IMPORT'!H$2:H783, "Inconclusive")
</f>
        <v>0</v>
      </c>
      <c r="AM100" s="69">
        <f>COUNTIFS('APS Tubes IMPORT'!V$2:V783, AG100, 'APS Tubes IMPORT'!H$2:H783, "Null")
</f>
        <v>0</v>
      </c>
      <c r="AN100" s="54"/>
      <c r="AO100" s="14">
        <f>'APS Tubes by Date IMPORT'!B99</f>
        <v>44559</v>
      </c>
      <c r="AP100" s="16">
        <f>'APS Tubes by Date IMPORT'!D99</f>
        <v>8</v>
      </c>
      <c r="AQ100" s="16">
        <f>'APS Tubes by Date IMPORT'!D99</f>
        <v>8</v>
      </c>
      <c r="AR100" s="16">
        <f>'APS Tubes by Date IMPORT'!E99</f>
        <v>0</v>
      </c>
      <c r="AS100" s="16">
        <f>'APS Tubes by Date IMPORT'!F99</f>
        <v>0</v>
      </c>
      <c r="AT100" s="16">
        <f>'APS Tubes by Date IMPORT'!G99</f>
        <v>0</v>
      </c>
      <c r="AU100" s="54"/>
    </row>
    <row r="101">
      <c r="A101" s="8" t="s">
        <v>131</v>
      </c>
      <c r="B101" s="58">
        <f>VLOOKUP(A101,'Run Reconcile'!A$2:B783,2,FALSE)</f>
        <v>44553</v>
      </c>
      <c r="C101" s="59">
        <f>COUNTIF('ALL Tube Results'!B100:B783, A101)
</f>
        <v>4</v>
      </c>
      <c r="D101" s="60">
        <f>COUNTIFS('ALL Tube Results'!$B100:$B783, $A101, 'ALL Tube Results'!$F100:$F783, "Negative")
</f>
        <v>3</v>
      </c>
      <c r="E101" s="60">
        <f>COUNTIFS('ALL Tube Results'!$B100:$B783, $A101, 'ALL Tube Results'!$F100:$F783, "Positive")
</f>
        <v>1</v>
      </c>
      <c r="F101" s="60">
        <f>COUNTIFS('ALL Tube Results'!$B100:$B783, $A101, 'ALL Tube Results'!$F100:$F783, "Inconclusive")
</f>
        <v>0</v>
      </c>
      <c r="G101" s="61">
        <f t="shared" si="7"/>
        <v>4</v>
      </c>
      <c r="H101" s="61" t="str">
        <f t="shared" si="8"/>
        <v/>
      </c>
      <c r="I101" s="62">
        <f t="shared" si="9"/>
        <v>4</v>
      </c>
      <c r="J101" s="63">
        <f t="shared" si="10"/>
        <v>1</v>
      </c>
      <c r="K101" s="63">
        <f t="shared" si="11"/>
        <v>0</v>
      </c>
      <c r="L101" s="63" t="str">
        <f t="shared" si="12"/>
        <v/>
      </c>
      <c r="M101" s="63" t="str">
        <f t="shared" si="13"/>
        <v/>
      </c>
      <c r="N101" s="63" t="str">
        <f t="shared" si="14"/>
        <v/>
      </c>
      <c r="O101" s="64">
        <f t="shared" si="15"/>
        <v>4</v>
      </c>
      <c r="P101" s="64" t="str">
        <f t="shared" si="16"/>
        <v/>
      </c>
      <c r="Q101" s="54"/>
      <c r="R101" s="8" t="s">
        <v>131</v>
      </c>
      <c r="S101" s="14">
        <v>44553.0</v>
      </c>
      <c r="T101" s="16">
        <f>VLOOKUP(R101,'Run Reconcile'!$A$2:$L783,12,FALSE)</f>
        <v>4</v>
      </c>
      <c r="U101" s="16" t="str">
        <f t="shared" si="17"/>
        <v/>
      </c>
      <c r="V101" s="16" t="str">
        <f t="shared" si="18"/>
        <v/>
      </c>
      <c r="W101" s="16"/>
      <c r="X101" s="54"/>
      <c r="Y101" s="8" t="str">
        <f>IFERROR(__xludf.DUMMYFUNCTION("""COMPUTED_VALUE"""),"RUN-FLMP_2022-05-19_RFR-144")</f>
        <v>RUN-FLMP_2022-05-19_RFR-144</v>
      </c>
      <c r="Z101" s="14">
        <f>IFERROR(__xludf.DUMMYFUNCTION("""COMPUTED_VALUE"""),44700.0)</f>
        <v>44700</v>
      </c>
      <c r="AA101" s="62">
        <f t="array" ref="AA101">INDEX('RFR Data - preExcl'!AK$2:AK783,$AE101,1)</f>
        <v>23</v>
      </c>
      <c r="AB101" s="16">
        <f t="shared" si="19"/>
        <v>22</v>
      </c>
      <c r="AC101" s="16">
        <f t="array" ref="AC101">INDEX('RFR Data - preExcl'!AI$2:AI783,$AE101,1)</f>
        <v>1</v>
      </c>
      <c r="AD101" s="16">
        <f t="array" ref="AD101">INDEX('RFR Data - preExcl'!AF$2:AF783,$AE101,1)</f>
        <v>0</v>
      </c>
      <c r="AE101" s="66">
        <f>IFNA(MATCH(Y101,'RFR Data - preExcl'!A$2:A783,0),"")</f>
        <v>132</v>
      </c>
      <c r="AF101" s="54"/>
      <c r="AG101" s="70" t="s">
        <v>131</v>
      </c>
      <c r="AH101" s="68">
        <f>VLOOKUP(AG101,'Run Reconcile'!A$2:B783,2,FALSE)</f>
        <v>44553</v>
      </c>
      <c r="AI101" s="69">
        <f>COUNTIF('APS Tubes IMPORT'!$V$2:$V783, AG101)
</f>
        <v>4</v>
      </c>
      <c r="AJ101" s="69">
        <f>COUNTIFS('APS Tubes IMPORT'!V$2:V783, AG101, 'APS Tubes IMPORT'!H$2:H783, "Negative")
</f>
        <v>3</v>
      </c>
      <c r="AK101" s="69">
        <f>COUNTIFS('APS Tubes IMPORT'!V$2:V783, AG101, 'APS Tubes IMPORT'!H$2:H783, "Positive")
</f>
        <v>1</v>
      </c>
      <c r="AL101" s="69">
        <f>COUNTIFS('APS Tubes IMPORT'!V$2:V783, AG101, 'APS Tubes IMPORT'!H$2:H783, "Inconclusive")
</f>
        <v>0</v>
      </c>
      <c r="AM101" s="69">
        <f>COUNTIFS('APS Tubes IMPORT'!V$2:V783, AG101, 'APS Tubes IMPORT'!H$2:H783, "Null")
</f>
        <v>0</v>
      </c>
      <c r="AN101" s="54"/>
      <c r="AO101" s="14">
        <f>'APS Tubes by Date IMPORT'!B100</f>
        <v>44560</v>
      </c>
      <c r="AP101" s="16">
        <f>'APS Tubes by Date IMPORT'!D100</f>
        <v>4</v>
      </c>
      <c r="AQ101" s="16">
        <f>'APS Tubes by Date IMPORT'!D100</f>
        <v>4</v>
      </c>
      <c r="AR101" s="16">
        <f>'APS Tubes by Date IMPORT'!E100</f>
        <v>0</v>
      </c>
      <c r="AS101" s="16">
        <f>'APS Tubes by Date IMPORT'!F100</f>
        <v>0</v>
      </c>
      <c r="AT101" s="16">
        <f>'APS Tubes by Date IMPORT'!G100</f>
        <v>0</v>
      </c>
      <c r="AU101" s="54"/>
    </row>
    <row r="102">
      <c r="A102" s="8" t="s">
        <v>132</v>
      </c>
      <c r="B102" s="58">
        <f>VLOOKUP(A102,'Run Reconcile'!A$2:B783,2,FALSE)</f>
        <v>44554</v>
      </c>
      <c r="C102" s="59">
        <f>COUNTIF('ALL Tube Results'!B101:B783, A102)
</f>
        <v>1</v>
      </c>
      <c r="D102" s="60">
        <f>COUNTIFS('ALL Tube Results'!$B101:$B783, $A102, 'ALL Tube Results'!$F101:$F783, "Negative")
</f>
        <v>1</v>
      </c>
      <c r="E102" s="60">
        <f>COUNTIFS('ALL Tube Results'!$B101:$B783, $A102, 'ALL Tube Results'!$F101:$F783, "Positive")
</f>
        <v>0</v>
      </c>
      <c r="F102" s="60">
        <f>COUNTIFS('ALL Tube Results'!$B101:$B783, $A102, 'ALL Tube Results'!$F101:$F783, "Inconclusive")
</f>
        <v>0</v>
      </c>
      <c r="G102" s="61">
        <f t="shared" si="7"/>
        <v>1</v>
      </c>
      <c r="H102" s="61" t="str">
        <f t="shared" si="8"/>
        <v/>
      </c>
      <c r="I102" s="62" t="str">
        <f t="shared" si="9"/>
        <v/>
      </c>
      <c r="J102" s="63" t="str">
        <f t="shared" si="10"/>
        <v/>
      </c>
      <c r="K102" s="63" t="str">
        <f t="shared" si="11"/>
        <v/>
      </c>
      <c r="L102" s="63">
        <f t="shared" si="12"/>
        <v>1</v>
      </c>
      <c r="M102" s="63" t="str">
        <f t="shared" si="13"/>
        <v/>
      </c>
      <c r="N102" s="63" t="str">
        <f t="shared" si="14"/>
        <v/>
      </c>
      <c r="O102" s="64">
        <f t="shared" si="15"/>
        <v>1</v>
      </c>
      <c r="P102" s="64" t="str">
        <f t="shared" si="16"/>
        <v/>
      </c>
      <c r="Q102" s="54"/>
      <c r="R102" s="8" t="s">
        <v>132</v>
      </c>
      <c r="S102" s="14">
        <v>44554.0</v>
      </c>
      <c r="T102" s="16">
        <f>VLOOKUP(R102,'Run Reconcile'!$A$2:$L783,12,FALSE)</f>
        <v>1</v>
      </c>
      <c r="U102" s="16" t="str">
        <f t="shared" si="17"/>
        <v/>
      </c>
      <c r="V102" s="16" t="str">
        <f t="shared" si="18"/>
        <v/>
      </c>
      <c r="W102" s="16"/>
      <c r="X102" s="54"/>
      <c r="Y102" s="8" t="str">
        <f>IFERROR(__xludf.DUMMYFUNCTION("""COMPUTED_VALUE"""),"RUN-FLMP_2022-05-23_RFR-146")</f>
        <v>RUN-FLMP_2022-05-23_RFR-146</v>
      </c>
      <c r="Z102" s="14">
        <f>IFERROR(__xludf.DUMMYFUNCTION("""COMPUTED_VALUE"""),44704.0)</f>
        <v>44704</v>
      </c>
      <c r="AA102" s="62">
        <f t="array" ref="AA102">INDEX('RFR Data - preExcl'!AK$2:AK783,$AE102,1)</f>
        <v>23</v>
      </c>
      <c r="AB102" s="16">
        <f t="shared" si="19"/>
        <v>22</v>
      </c>
      <c r="AC102" s="16">
        <f t="array" ref="AC102">INDEX('RFR Data - preExcl'!AI$2:AI783,$AE102,1)</f>
        <v>1</v>
      </c>
      <c r="AD102" s="16">
        <f t="array" ref="AD102">INDEX('RFR Data - preExcl'!AF$2:AF783,$AE102,1)</f>
        <v>0</v>
      </c>
      <c r="AE102" s="66">
        <f>IFNA(MATCH(Y102,'RFR Data - preExcl'!A$2:A783,0),"")</f>
        <v>134</v>
      </c>
      <c r="AF102" s="54"/>
      <c r="AG102" s="70" t="s">
        <v>132</v>
      </c>
      <c r="AH102" s="68">
        <f>VLOOKUP(AG102,'Run Reconcile'!A$2:B783,2,FALSE)</f>
        <v>44554</v>
      </c>
      <c r="AI102" s="69">
        <f>COUNTIF('APS Tubes IMPORT'!$V$2:$V783, AG102)
</f>
        <v>1</v>
      </c>
      <c r="AJ102" s="69">
        <f>COUNTIFS('APS Tubes IMPORT'!V$2:V783, AG102, 'APS Tubes IMPORT'!H$2:H783, "Negative")
</f>
        <v>1</v>
      </c>
      <c r="AK102" s="69">
        <f>COUNTIFS('APS Tubes IMPORT'!V$2:V783, AG102, 'APS Tubes IMPORT'!H$2:H783, "Positive")
</f>
        <v>0</v>
      </c>
      <c r="AL102" s="69">
        <f>COUNTIFS('APS Tubes IMPORT'!V$2:V783, AG102, 'APS Tubes IMPORT'!H$2:H783, "Inconclusive")
</f>
        <v>0</v>
      </c>
      <c r="AM102" s="69">
        <f>COUNTIFS('APS Tubes IMPORT'!V$2:V783, AG102, 'APS Tubes IMPORT'!H$2:H783, "Null")
</f>
        <v>0</v>
      </c>
      <c r="AN102" s="54"/>
      <c r="AO102" s="14">
        <f>'APS Tubes by Date IMPORT'!B101</f>
        <v>44561</v>
      </c>
      <c r="AP102" s="16">
        <f>'APS Tubes by Date IMPORT'!D101</f>
        <v>6</v>
      </c>
      <c r="AQ102" s="16">
        <f>'APS Tubes by Date IMPORT'!D101</f>
        <v>6</v>
      </c>
      <c r="AR102" s="16">
        <f>'APS Tubes by Date IMPORT'!E101</f>
        <v>2</v>
      </c>
      <c r="AS102" s="16">
        <f>'APS Tubes by Date IMPORT'!F101</f>
        <v>0</v>
      </c>
      <c r="AT102" s="16">
        <f>'APS Tubes by Date IMPORT'!G101</f>
        <v>0</v>
      </c>
      <c r="AU102" s="54"/>
    </row>
    <row r="103">
      <c r="A103" s="8" t="s">
        <v>133</v>
      </c>
      <c r="B103" s="58">
        <f>VLOOKUP(A103,'Run Reconcile'!A$2:B783,2,FALSE)</f>
        <v>44554</v>
      </c>
      <c r="C103" s="59">
        <f>COUNTIF('ALL Tube Results'!B102:B783, A103)
</f>
        <v>3</v>
      </c>
      <c r="D103" s="60">
        <f>COUNTIFS('ALL Tube Results'!$B102:$B783, $A103, 'ALL Tube Results'!$F102:$F783, "Negative")
</f>
        <v>2</v>
      </c>
      <c r="E103" s="60">
        <f>COUNTIFS('ALL Tube Results'!$B102:$B783, $A103, 'ALL Tube Results'!$F102:$F783, "Positive")
</f>
        <v>1</v>
      </c>
      <c r="F103" s="60">
        <f>COUNTIFS('ALL Tube Results'!$B102:$B783, $A103, 'ALL Tube Results'!$F102:$F783, "Inconclusive")
</f>
        <v>0</v>
      </c>
      <c r="G103" s="61">
        <f t="shared" si="7"/>
        <v>3</v>
      </c>
      <c r="H103" s="61" t="str">
        <f t="shared" si="8"/>
        <v/>
      </c>
      <c r="I103" s="62">
        <f t="shared" si="9"/>
        <v>3</v>
      </c>
      <c r="J103" s="63">
        <f t="shared" si="10"/>
        <v>1</v>
      </c>
      <c r="K103" s="63">
        <f t="shared" si="11"/>
        <v>0</v>
      </c>
      <c r="L103" s="63" t="str">
        <f t="shared" si="12"/>
        <v/>
      </c>
      <c r="M103" s="63" t="str">
        <f t="shared" si="13"/>
        <v/>
      </c>
      <c r="N103" s="63" t="str">
        <f t="shared" si="14"/>
        <v/>
      </c>
      <c r="O103" s="64">
        <f t="shared" si="15"/>
        <v>3</v>
      </c>
      <c r="P103" s="64" t="str">
        <f t="shared" si="16"/>
        <v/>
      </c>
      <c r="Q103" s="54"/>
      <c r="R103" s="8" t="s">
        <v>133</v>
      </c>
      <c r="S103" s="14">
        <v>44554.0</v>
      </c>
      <c r="T103" s="16">
        <f>VLOOKUP(R103,'Run Reconcile'!$A$2:$L783,12,FALSE)</f>
        <v>3</v>
      </c>
      <c r="U103" s="16" t="str">
        <f t="shared" si="17"/>
        <v/>
      </c>
      <c r="V103" s="16" t="str">
        <f t="shared" si="18"/>
        <v/>
      </c>
      <c r="W103" s="16"/>
      <c r="X103" s="54"/>
      <c r="Y103" s="8" t="str">
        <f>IFERROR(__xludf.DUMMYFUNCTION("""COMPUTED_VALUE"""),"RUN-FLMP_2022-05-26_RFR-148")</f>
        <v>RUN-FLMP_2022-05-26_RFR-148</v>
      </c>
      <c r="Z103" s="14">
        <f>IFERROR(__xludf.DUMMYFUNCTION("""COMPUTED_VALUE"""),44707.0)</f>
        <v>44707</v>
      </c>
      <c r="AA103" s="62">
        <f t="array" ref="AA103">INDEX('RFR Data - preExcl'!AK$2:AK783,$AE103,1)</f>
        <v>21</v>
      </c>
      <c r="AB103" s="16">
        <f t="shared" si="19"/>
        <v>21</v>
      </c>
      <c r="AC103" s="16">
        <f t="array" ref="AC103">INDEX('RFR Data - preExcl'!AI$2:AI783,$AE103,1)</f>
        <v>0</v>
      </c>
      <c r="AD103" s="16">
        <f t="array" ref="AD103">INDEX('RFR Data - preExcl'!AF$2:AF783,$AE103,1)</f>
        <v>0</v>
      </c>
      <c r="AE103" s="66">
        <f>IFNA(MATCH(Y103,'RFR Data - preExcl'!A$2:A783,0),"")</f>
        <v>136</v>
      </c>
      <c r="AF103" s="54"/>
      <c r="AG103" s="70" t="s">
        <v>133</v>
      </c>
      <c r="AH103" s="68">
        <f>VLOOKUP(AG103,'Run Reconcile'!A$2:B783,2,FALSE)</f>
        <v>44554</v>
      </c>
      <c r="AI103" s="69">
        <f>COUNTIF('APS Tubes IMPORT'!$V$2:$V783, AG103)
</f>
        <v>3</v>
      </c>
      <c r="AJ103" s="69">
        <f>COUNTIFS('APS Tubes IMPORT'!V$2:V783, AG103, 'APS Tubes IMPORT'!H$2:H783, "Negative")
</f>
        <v>2</v>
      </c>
      <c r="AK103" s="69">
        <f>COUNTIFS('APS Tubes IMPORT'!V$2:V783, AG103, 'APS Tubes IMPORT'!H$2:H783, "Positive")
</f>
        <v>1</v>
      </c>
      <c r="AL103" s="69">
        <f>COUNTIFS('APS Tubes IMPORT'!V$2:V783, AG103, 'APS Tubes IMPORT'!H$2:H783, "Inconclusive")
</f>
        <v>0</v>
      </c>
      <c r="AM103" s="69">
        <f>COUNTIFS('APS Tubes IMPORT'!V$2:V783, AG103, 'APS Tubes IMPORT'!H$2:H783, "Null")
</f>
        <v>0</v>
      </c>
      <c r="AN103" s="54"/>
      <c r="AO103" s="14">
        <f>'APS Tubes by Date IMPORT'!B102</f>
        <v>44562</v>
      </c>
      <c r="AP103" s="16">
        <f>'APS Tubes by Date IMPORT'!D102</f>
        <v>0</v>
      </c>
      <c r="AQ103" s="16">
        <f>'APS Tubes by Date IMPORT'!D102</f>
        <v>0</v>
      </c>
      <c r="AR103" s="16">
        <f>'APS Tubes by Date IMPORT'!E102</f>
        <v>2</v>
      </c>
      <c r="AS103" s="16">
        <f>'APS Tubes by Date IMPORT'!F102</f>
        <v>0</v>
      </c>
      <c r="AT103" s="16">
        <f>'APS Tubes by Date IMPORT'!G102</f>
        <v>0</v>
      </c>
      <c r="AU103" s="54"/>
    </row>
    <row r="104">
      <c r="A104" s="8" t="s">
        <v>134</v>
      </c>
      <c r="B104" s="58">
        <f>VLOOKUP(A104,'Run Reconcile'!A$2:B783,2,FALSE)</f>
        <v>44555</v>
      </c>
      <c r="C104" s="59">
        <f>COUNTIF('ALL Tube Results'!B103:B783, A104)
</f>
        <v>2</v>
      </c>
      <c r="D104" s="60">
        <f>COUNTIFS('ALL Tube Results'!$B103:$B783, $A104, 'ALL Tube Results'!$F103:$F783, "Negative")
</f>
        <v>0</v>
      </c>
      <c r="E104" s="60">
        <f>COUNTIFS('ALL Tube Results'!$B103:$B783, $A104, 'ALL Tube Results'!$F103:$F783, "Positive")
</f>
        <v>2</v>
      </c>
      <c r="F104" s="60">
        <f>COUNTIFS('ALL Tube Results'!$B103:$B783, $A104, 'ALL Tube Results'!$F103:$F783, "Inconclusive")
</f>
        <v>0</v>
      </c>
      <c r="G104" s="61">
        <f t="shared" si="7"/>
        <v>2</v>
      </c>
      <c r="H104" s="61" t="str">
        <f t="shared" si="8"/>
        <v/>
      </c>
      <c r="I104" s="62">
        <f t="shared" si="9"/>
        <v>2</v>
      </c>
      <c r="J104" s="63">
        <f t="shared" si="10"/>
        <v>2</v>
      </c>
      <c r="K104" s="63">
        <f t="shared" si="11"/>
        <v>0</v>
      </c>
      <c r="L104" s="63" t="str">
        <f t="shared" si="12"/>
        <v/>
      </c>
      <c r="M104" s="63" t="str">
        <f t="shared" si="13"/>
        <v/>
      </c>
      <c r="N104" s="63" t="str">
        <f t="shared" si="14"/>
        <v/>
      </c>
      <c r="O104" s="64">
        <f t="shared" si="15"/>
        <v>2</v>
      </c>
      <c r="P104" s="64" t="str">
        <f t="shared" si="16"/>
        <v/>
      </c>
      <c r="Q104" s="54"/>
      <c r="R104" s="8" t="s">
        <v>134</v>
      </c>
      <c r="S104" s="14">
        <v>44555.0</v>
      </c>
      <c r="T104" s="16">
        <f>VLOOKUP(R104,'Run Reconcile'!$A$2:$L783,12,FALSE)</f>
        <v>2</v>
      </c>
      <c r="U104" s="16" t="str">
        <f t="shared" si="17"/>
        <v/>
      </c>
      <c r="V104" s="16" t="str">
        <f t="shared" si="18"/>
        <v/>
      </c>
      <c r="W104" s="16"/>
      <c r="X104" s="54"/>
      <c r="Y104" s="8" t="str">
        <f>IFERROR(__xludf.DUMMYFUNCTION("""COMPUTED_VALUE"""),"RUN-FLMP_2022-05-31_RFR-150")</f>
        <v>RUN-FLMP_2022-05-31_RFR-150</v>
      </c>
      <c r="Z104" s="14">
        <f>IFERROR(__xludf.DUMMYFUNCTION("""COMPUTED_VALUE"""),44712.0)</f>
        <v>44712</v>
      </c>
      <c r="AA104" s="62">
        <f t="array" ref="AA104">INDEX('RFR Data - preExcl'!AK$2:AK783,$AE104,1)</f>
        <v>22</v>
      </c>
      <c r="AB104" s="16">
        <f t="shared" si="19"/>
        <v>22</v>
      </c>
      <c r="AC104" s="16">
        <f t="array" ref="AC104">INDEX('RFR Data - preExcl'!AI$2:AI783,$AE104,1)</f>
        <v>0</v>
      </c>
      <c r="AD104" s="16">
        <f t="array" ref="AD104">INDEX('RFR Data - preExcl'!AF$2:AF783,$AE104,1)</f>
        <v>0</v>
      </c>
      <c r="AE104" s="66">
        <f>IFNA(MATCH(Y104,'RFR Data - preExcl'!A$2:A783,0),"")</f>
        <v>138</v>
      </c>
      <c r="AF104" s="54"/>
      <c r="AG104" s="70" t="s">
        <v>134</v>
      </c>
      <c r="AH104" s="68">
        <f>VLOOKUP(AG104,'Run Reconcile'!A$2:B783,2,FALSE)</f>
        <v>44555</v>
      </c>
      <c r="AI104" s="69">
        <f>COUNTIF('APS Tubes IMPORT'!$V$2:$V783, AG104)
</f>
        <v>2</v>
      </c>
      <c r="AJ104" s="69">
        <f>COUNTIFS('APS Tubes IMPORT'!V$2:V783, AG104, 'APS Tubes IMPORT'!H$2:H783, "Negative")
</f>
        <v>0</v>
      </c>
      <c r="AK104" s="69">
        <f>COUNTIFS('APS Tubes IMPORT'!V$2:V783, AG104, 'APS Tubes IMPORT'!H$2:H783, "Positive")
</f>
        <v>2</v>
      </c>
      <c r="AL104" s="69">
        <f>COUNTIFS('APS Tubes IMPORT'!V$2:V783, AG104, 'APS Tubes IMPORT'!H$2:H783, "Inconclusive")
</f>
        <v>0</v>
      </c>
      <c r="AM104" s="69">
        <f>COUNTIFS('APS Tubes IMPORT'!V$2:V783, AG104, 'APS Tubes IMPORT'!H$2:H783, "Null")
</f>
        <v>0</v>
      </c>
      <c r="AN104" s="54"/>
      <c r="AO104" s="14">
        <f>'APS Tubes by Date IMPORT'!B103</f>
        <v>44563</v>
      </c>
      <c r="AP104" s="16">
        <f>'APS Tubes by Date IMPORT'!D103</f>
        <v>10</v>
      </c>
      <c r="AQ104" s="16">
        <f>'APS Tubes by Date IMPORT'!D103</f>
        <v>10</v>
      </c>
      <c r="AR104" s="16">
        <f>'APS Tubes by Date IMPORT'!E103</f>
        <v>2</v>
      </c>
      <c r="AS104" s="16">
        <f>'APS Tubes by Date IMPORT'!F103</f>
        <v>0</v>
      </c>
      <c r="AT104" s="16">
        <f>'APS Tubes by Date IMPORT'!G103</f>
        <v>0</v>
      </c>
      <c r="AU104" s="54"/>
    </row>
    <row r="105">
      <c r="A105" s="8" t="s">
        <v>135</v>
      </c>
      <c r="B105" s="58">
        <f>VLOOKUP(A105,'Run Reconcile'!A$2:B783,2,FALSE)</f>
        <v>44556</v>
      </c>
      <c r="C105" s="59">
        <f>COUNTIF('ALL Tube Results'!B104:B783, A105)
</f>
        <v>1</v>
      </c>
      <c r="D105" s="60">
        <f>COUNTIFS('ALL Tube Results'!$B104:$B783, $A105, 'ALL Tube Results'!$F104:$F783, "Negative")
</f>
        <v>1</v>
      </c>
      <c r="E105" s="60">
        <f>COUNTIFS('ALL Tube Results'!$B104:$B783, $A105, 'ALL Tube Results'!$F104:$F783, "Positive")
</f>
        <v>0</v>
      </c>
      <c r="F105" s="60">
        <f>COUNTIFS('ALL Tube Results'!$B104:$B783, $A105, 'ALL Tube Results'!$F104:$F783, "Inconclusive")
</f>
        <v>0</v>
      </c>
      <c r="G105" s="61">
        <f t="shared" si="7"/>
        <v>1</v>
      </c>
      <c r="H105" s="61" t="str">
        <f t="shared" si="8"/>
        <v/>
      </c>
      <c r="I105" s="62" t="str">
        <f t="shared" si="9"/>
        <v/>
      </c>
      <c r="J105" s="63" t="str">
        <f t="shared" si="10"/>
        <v/>
      </c>
      <c r="K105" s="63" t="str">
        <f t="shared" si="11"/>
        <v/>
      </c>
      <c r="L105" s="63">
        <f t="shared" si="12"/>
        <v>1</v>
      </c>
      <c r="M105" s="63" t="str">
        <f t="shared" si="13"/>
        <v/>
      </c>
      <c r="N105" s="63" t="str">
        <f t="shared" si="14"/>
        <v/>
      </c>
      <c r="O105" s="64">
        <f t="shared" si="15"/>
        <v>1</v>
      </c>
      <c r="P105" s="64" t="str">
        <f t="shared" si="16"/>
        <v/>
      </c>
      <c r="Q105" s="54"/>
      <c r="R105" s="8" t="s">
        <v>135</v>
      </c>
      <c r="S105" s="14">
        <v>44556.0</v>
      </c>
      <c r="T105" s="16">
        <f>VLOOKUP(R105,'Run Reconcile'!$A$2:$L783,12,FALSE)</f>
        <v>1</v>
      </c>
      <c r="U105" s="16" t="str">
        <f t="shared" si="17"/>
        <v/>
      </c>
      <c r="V105" s="16" t="str">
        <f t="shared" si="18"/>
        <v/>
      </c>
      <c r="W105" s="16"/>
      <c r="X105" s="54"/>
      <c r="Y105" s="8" t="str">
        <f>IFERROR(__xludf.DUMMYFUNCTION("""COMPUTED_VALUE"""),"RUN-FLMP_2022-06-06_RFR-152")</f>
        <v>RUN-FLMP_2022-06-06_RFR-152</v>
      </c>
      <c r="Z105" s="14">
        <f>IFERROR(__xludf.DUMMYFUNCTION("""COMPUTED_VALUE"""),44718.0)</f>
        <v>44718</v>
      </c>
      <c r="AA105" s="62">
        <f t="array" ref="AA105">INDEX('RFR Data - preExcl'!AK$2:AK783,$AE105,1)</f>
        <v>2</v>
      </c>
      <c r="AB105" s="16">
        <f t="shared" si="19"/>
        <v>2</v>
      </c>
      <c r="AC105" s="16">
        <f t="array" ref="AC105">INDEX('RFR Data - preExcl'!AI$2:AI783,$AE105,1)</f>
        <v>0</v>
      </c>
      <c r="AD105" s="16">
        <f t="array" ref="AD105">INDEX('RFR Data - preExcl'!AF$2:AF783,$AE105,1)</f>
        <v>0</v>
      </c>
      <c r="AE105" s="66">
        <f>IFNA(MATCH(Y105,'RFR Data - preExcl'!A$2:A783,0),"")</f>
        <v>140</v>
      </c>
      <c r="AF105" s="54"/>
      <c r="AG105" s="70" t="s">
        <v>135</v>
      </c>
      <c r="AH105" s="68">
        <f>VLOOKUP(AG105,'Run Reconcile'!A$2:B783,2,FALSE)</f>
        <v>44556</v>
      </c>
      <c r="AI105" s="69">
        <f>COUNTIF('APS Tubes IMPORT'!$V$2:$V783, AG105)
</f>
        <v>1</v>
      </c>
      <c r="AJ105" s="69">
        <f>COUNTIFS('APS Tubes IMPORT'!V$2:V783, AG105, 'APS Tubes IMPORT'!H$2:H783, "Negative")
</f>
        <v>1</v>
      </c>
      <c r="AK105" s="69">
        <f>COUNTIFS('APS Tubes IMPORT'!V$2:V783, AG105, 'APS Tubes IMPORT'!H$2:H783, "Positive")
</f>
        <v>0</v>
      </c>
      <c r="AL105" s="69">
        <f>COUNTIFS('APS Tubes IMPORT'!V$2:V783, AG105, 'APS Tubes IMPORT'!H$2:H783, "Inconclusive")
</f>
        <v>0</v>
      </c>
      <c r="AM105" s="69">
        <f>COUNTIFS('APS Tubes IMPORT'!V$2:V783, AG105, 'APS Tubes IMPORT'!H$2:H783, "Null")
</f>
        <v>0</v>
      </c>
      <c r="AN105" s="54"/>
      <c r="AO105" s="14">
        <f>'APS Tubes by Date IMPORT'!B104</f>
        <v>44564</v>
      </c>
      <c r="AP105" s="16">
        <f>'APS Tubes by Date IMPORT'!D104</f>
        <v>10</v>
      </c>
      <c r="AQ105" s="16">
        <f>'APS Tubes by Date IMPORT'!D104</f>
        <v>10</v>
      </c>
      <c r="AR105" s="16">
        <f>'APS Tubes by Date IMPORT'!E104</f>
        <v>2</v>
      </c>
      <c r="AS105" s="16">
        <f>'APS Tubes by Date IMPORT'!F104</f>
        <v>0</v>
      </c>
      <c r="AT105" s="16">
        <f>'APS Tubes by Date IMPORT'!G104</f>
        <v>0</v>
      </c>
      <c r="AU105" s="54"/>
    </row>
    <row r="106">
      <c r="A106" s="8" t="s">
        <v>136</v>
      </c>
      <c r="B106" s="58">
        <f>VLOOKUP(A106,'Run Reconcile'!A$2:B783,2,FALSE)</f>
        <v>44556</v>
      </c>
      <c r="C106" s="59">
        <f>COUNTIF('ALL Tube Results'!B105:B783, A106)
</f>
        <v>1</v>
      </c>
      <c r="D106" s="60">
        <f>COUNTIFS('ALL Tube Results'!$B105:$B783, $A106, 'ALL Tube Results'!$F105:$F783, "Negative")
</f>
        <v>0</v>
      </c>
      <c r="E106" s="60">
        <f>COUNTIFS('ALL Tube Results'!$B105:$B783, $A106, 'ALL Tube Results'!$F105:$F783, "Positive")
</f>
        <v>1</v>
      </c>
      <c r="F106" s="60">
        <f>COUNTIFS('ALL Tube Results'!$B105:$B783, $A106, 'ALL Tube Results'!$F105:$F783, "Inconclusive")
</f>
        <v>0</v>
      </c>
      <c r="G106" s="61">
        <f t="shared" si="7"/>
        <v>1</v>
      </c>
      <c r="H106" s="61" t="str">
        <f t="shared" si="8"/>
        <v/>
      </c>
      <c r="I106" s="62">
        <f t="shared" si="9"/>
        <v>1</v>
      </c>
      <c r="J106" s="63">
        <f t="shared" si="10"/>
        <v>1</v>
      </c>
      <c r="K106" s="63">
        <f t="shared" si="11"/>
        <v>0</v>
      </c>
      <c r="L106" s="63" t="str">
        <f t="shared" si="12"/>
        <v/>
      </c>
      <c r="M106" s="63" t="str">
        <f t="shared" si="13"/>
        <v/>
      </c>
      <c r="N106" s="63" t="str">
        <f t="shared" si="14"/>
        <v/>
      </c>
      <c r="O106" s="64">
        <f t="shared" si="15"/>
        <v>1</v>
      </c>
      <c r="P106" s="64" t="str">
        <f t="shared" si="16"/>
        <v/>
      </c>
      <c r="Q106" s="54"/>
      <c r="R106" s="8" t="s">
        <v>136</v>
      </c>
      <c r="S106" s="14">
        <v>44556.0</v>
      </c>
      <c r="T106" s="16">
        <f>VLOOKUP(R106,'Run Reconcile'!$A$2:$L783,12,FALSE)</f>
        <v>1</v>
      </c>
      <c r="U106" s="16" t="str">
        <f t="shared" si="17"/>
        <v/>
      </c>
      <c r="V106" s="16" t="str">
        <f t="shared" si="18"/>
        <v/>
      </c>
      <c r="W106" s="16"/>
      <c r="X106" s="54"/>
      <c r="Z106" s="14"/>
      <c r="AA106" s="16"/>
      <c r="AB106" s="16"/>
      <c r="AC106" s="16"/>
      <c r="AD106" s="16"/>
      <c r="AE106" s="66"/>
      <c r="AF106" s="54"/>
      <c r="AG106" s="70" t="s">
        <v>136</v>
      </c>
      <c r="AH106" s="68">
        <f>VLOOKUP(AG106,'Run Reconcile'!A$2:B783,2,FALSE)</f>
        <v>44556</v>
      </c>
      <c r="AI106" s="69">
        <f>COUNTIF('APS Tubes IMPORT'!$V$2:$V783, AG106)
</f>
        <v>1</v>
      </c>
      <c r="AJ106" s="69">
        <f>COUNTIFS('APS Tubes IMPORT'!V$2:V783, AG106, 'APS Tubes IMPORT'!H$2:H783, "Negative")
</f>
        <v>0</v>
      </c>
      <c r="AK106" s="69">
        <f>COUNTIFS('APS Tubes IMPORT'!V$2:V783, AG106, 'APS Tubes IMPORT'!H$2:H783, "Positive")
</f>
        <v>1</v>
      </c>
      <c r="AL106" s="69">
        <f>COUNTIFS('APS Tubes IMPORT'!V$2:V783, AG106, 'APS Tubes IMPORT'!H$2:H783, "Inconclusive")
</f>
        <v>0</v>
      </c>
      <c r="AM106" s="69">
        <f>COUNTIFS('APS Tubes IMPORT'!V$2:V783, AG106, 'APS Tubes IMPORT'!H$2:H783, "Null")
</f>
        <v>0</v>
      </c>
      <c r="AN106" s="54"/>
      <c r="AO106" s="14">
        <f>'APS Tubes by Date IMPORT'!B105</f>
        <v>44565</v>
      </c>
      <c r="AP106" s="16">
        <f>'APS Tubes by Date IMPORT'!D105</f>
        <v>6</v>
      </c>
      <c r="AQ106" s="16">
        <f>'APS Tubes by Date IMPORT'!D105</f>
        <v>6</v>
      </c>
      <c r="AR106" s="16">
        <f>'APS Tubes by Date IMPORT'!E105</f>
        <v>0</v>
      </c>
      <c r="AS106" s="16">
        <f>'APS Tubes by Date IMPORT'!F105</f>
        <v>0</v>
      </c>
      <c r="AT106" s="16">
        <f>'APS Tubes by Date IMPORT'!G105</f>
        <v>0</v>
      </c>
      <c r="AU106" s="54"/>
    </row>
    <row r="107">
      <c r="A107" s="8" t="s">
        <v>137</v>
      </c>
      <c r="B107" s="58">
        <f>VLOOKUP(A107,'Run Reconcile'!A$2:B783,2,FALSE)</f>
        <v>44557</v>
      </c>
      <c r="C107" s="59">
        <f>COUNTIF('ALL Tube Results'!B106:B783, A107)
</f>
        <v>3</v>
      </c>
      <c r="D107" s="60">
        <f>COUNTIFS('ALL Tube Results'!$B106:$B783, $A107, 'ALL Tube Results'!$F106:$F783, "Negative")
</f>
        <v>3</v>
      </c>
      <c r="E107" s="60">
        <f>COUNTIFS('ALL Tube Results'!$B106:$B783, $A107, 'ALL Tube Results'!$F106:$F783, "Positive")
</f>
        <v>0</v>
      </c>
      <c r="F107" s="60">
        <f>COUNTIFS('ALL Tube Results'!$B106:$B783, $A107, 'ALL Tube Results'!$F106:$F783, "Inconclusive")
</f>
        <v>0</v>
      </c>
      <c r="G107" s="61">
        <f t="shared" si="7"/>
        <v>3</v>
      </c>
      <c r="H107" s="61" t="str">
        <f t="shared" si="8"/>
        <v/>
      </c>
      <c r="I107" s="62">
        <f t="shared" si="9"/>
        <v>3</v>
      </c>
      <c r="J107" s="63">
        <f t="shared" si="10"/>
        <v>0</v>
      </c>
      <c r="K107" s="63">
        <f t="shared" si="11"/>
        <v>0</v>
      </c>
      <c r="L107" s="63" t="str">
        <f t="shared" si="12"/>
        <v/>
      </c>
      <c r="M107" s="63" t="str">
        <f t="shared" si="13"/>
        <v/>
      </c>
      <c r="N107" s="63" t="str">
        <f t="shared" si="14"/>
        <v/>
      </c>
      <c r="O107" s="64">
        <f t="shared" si="15"/>
        <v>3</v>
      </c>
      <c r="P107" s="64" t="str">
        <f t="shared" si="16"/>
        <v/>
      </c>
      <c r="Q107" s="54"/>
      <c r="R107" s="8" t="s">
        <v>137</v>
      </c>
      <c r="S107" s="14">
        <v>44557.0</v>
      </c>
      <c r="T107" s="16">
        <f>VLOOKUP(R107,'Run Reconcile'!$A$2:$L783,12,FALSE)</f>
        <v>3</v>
      </c>
      <c r="U107" s="16" t="str">
        <f t="shared" si="17"/>
        <v/>
      </c>
      <c r="V107" s="16" t="str">
        <f t="shared" si="18"/>
        <v/>
      </c>
      <c r="W107" s="16"/>
      <c r="X107" s="54"/>
      <c r="Z107" s="14"/>
      <c r="AA107" s="16"/>
      <c r="AB107" s="16"/>
      <c r="AC107" s="16"/>
      <c r="AD107" s="16"/>
      <c r="AE107" s="66"/>
      <c r="AF107" s="54"/>
      <c r="AG107" s="70" t="s">
        <v>137</v>
      </c>
      <c r="AH107" s="68">
        <f>VLOOKUP(AG107,'Run Reconcile'!A$2:B783,2,FALSE)</f>
        <v>44557</v>
      </c>
      <c r="AI107" s="69">
        <f>COUNTIF('APS Tubes IMPORT'!$V$2:$V783, AG107)
</f>
        <v>3</v>
      </c>
      <c r="AJ107" s="69">
        <f>COUNTIFS('APS Tubes IMPORT'!V$2:V783, AG107, 'APS Tubes IMPORT'!H$2:H783, "Negative")
</f>
        <v>3</v>
      </c>
      <c r="AK107" s="69">
        <f>COUNTIFS('APS Tubes IMPORT'!V$2:V783, AG107, 'APS Tubes IMPORT'!H$2:H783, "Positive")
</f>
        <v>0</v>
      </c>
      <c r="AL107" s="69">
        <f>COUNTIFS('APS Tubes IMPORT'!V$2:V783, AG107, 'APS Tubes IMPORT'!H$2:H783, "Inconclusive")
</f>
        <v>0</v>
      </c>
      <c r="AM107" s="69">
        <f>COUNTIFS('APS Tubes IMPORT'!V$2:V783, AG107, 'APS Tubes IMPORT'!H$2:H783, "Null")
</f>
        <v>0</v>
      </c>
      <c r="AN107" s="54"/>
      <c r="AO107" s="14">
        <f>'APS Tubes by Date IMPORT'!B106</f>
        <v>44566</v>
      </c>
      <c r="AP107" s="16">
        <f>'APS Tubes by Date IMPORT'!D106</f>
        <v>4</v>
      </c>
      <c r="AQ107" s="16">
        <f>'APS Tubes by Date IMPORT'!D106</f>
        <v>4</v>
      </c>
      <c r="AR107" s="16">
        <f>'APS Tubes by Date IMPORT'!E106</f>
        <v>1</v>
      </c>
      <c r="AS107" s="16">
        <f>'APS Tubes by Date IMPORT'!F106</f>
        <v>0</v>
      </c>
      <c r="AT107" s="16">
        <f>'APS Tubes by Date IMPORT'!G106</f>
        <v>0</v>
      </c>
      <c r="AU107" s="54"/>
    </row>
    <row r="108">
      <c r="A108" s="8" t="s">
        <v>138</v>
      </c>
      <c r="B108" s="58">
        <f>VLOOKUP(A108,'Run Reconcile'!A$2:B783,2,FALSE)</f>
        <v>44557</v>
      </c>
      <c r="C108" s="59">
        <f>COUNTIF('ALL Tube Results'!B107:B783, A108)
</f>
        <v>2</v>
      </c>
      <c r="D108" s="60">
        <f>COUNTIFS('ALL Tube Results'!$B107:$B783, $A108, 'ALL Tube Results'!$F107:$F783, "Negative")
</f>
        <v>2</v>
      </c>
      <c r="E108" s="60">
        <f>COUNTIFS('ALL Tube Results'!$B107:$B783, $A108, 'ALL Tube Results'!$F107:$F783, "Positive")
</f>
        <v>0</v>
      </c>
      <c r="F108" s="60">
        <f>COUNTIFS('ALL Tube Results'!$B107:$B783, $A108, 'ALL Tube Results'!$F107:$F783, "Inconclusive")
</f>
        <v>0</v>
      </c>
      <c r="G108" s="61">
        <f t="shared" si="7"/>
        <v>2</v>
      </c>
      <c r="H108" s="61" t="str">
        <f t="shared" si="8"/>
        <v/>
      </c>
      <c r="I108" s="62">
        <f t="shared" si="9"/>
        <v>2</v>
      </c>
      <c r="J108" s="63">
        <f t="shared" si="10"/>
        <v>0</v>
      </c>
      <c r="K108" s="63">
        <f t="shared" si="11"/>
        <v>0</v>
      </c>
      <c r="L108" s="63" t="str">
        <f t="shared" si="12"/>
        <v/>
      </c>
      <c r="M108" s="63" t="str">
        <f t="shared" si="13"/>
        <v/>
      </c>
      <c r="N108" s="63" t="str">
        <f t="shared" si="14"/>
        <v/>
      </c>
      <c r="O108" s="64">
        <f t="shared" si="15"/>
        <v>2</v>
      </c>
      <c r="P108" s="64" t="str">
        <f t="shared" si="16"/>
        <v/>
      </c>
      <c r="Q108" s="54"/>
      <c r="R108" s="8" t="s">
        <v>138</v>
      </c>
      <c r="S108" s="14">
        <v>44557.0</v>
      </c>
      <c r="T108" s="16">
        <f>VLOOKUP(R108,'Run Reconcile'!$A$2:$L783,12,FALSE)</f>
        <v>2</v>
      </c>
      <c r="U108" s="16" t="str">
        <f t="shared" si="17"/>
        <v/>
      </c>
      <c r="V108" s="16" t="str">
        <f t="shared" si="18"/>
        <v/>
      </c>
      <c r="W108" s="16"/>
      <c r="X108" s="54"/>
      <c r="Z108" s="14"/>
      <c r="AA108" s="16"/>
      <c r="AB108" s="16"/>
      <c r="AC108" s="16"/>
      <c r="AD108" s="16"/>
      <c r="AE108" s="66"/>
      <c r="AF108" s="54"/>
      <c r="AG108" s="70" t="s">
        <v>138</v>
      </c>
      <c r="AH108" s="68">
        <f>VLOOKUP(AG108,'Run Reconcile'!A$2:B783,2,FALSE)</f>
        <v>44557</v>
      </c>
      <c r="AI108" s="69">
        <f>COUNTIF('APS Tubes IMPORT'!$V$2:$V783, AG108)
</f>
        <v>2</v>
      </c>
      <c r="AJ108" s="69">
        <f>COUNTIFS('APS Tubes IMPORT'!V$2:V783, AG108, 'APS Tubes IMPORT'!H$2:H783, "Negative")
</f>
        <v>2</v>
      </c>
      <c r="AK108" s="69">
        <f>COUNTIFS('APS Tubes IMPORT'!V$2:V783, AG108, 'APS Tubes IMPORT'!H$2:H783, "Positive")
</f>
        <v>0</v>
      </c>
      <c r="AL108" s="69">
        <f>COUNTIFS('APS Tubes IMPORT'!V$2:V783, AG108, 'APS Tubes IMPORT'!H$2:H783, "Inconclusive")
</f>
        <v>0</v>
      </c>
      <c r="AM108" s="69">
        <f>COUNTIFS('APS Tubes IMPORT'!V$2:V783, AG108, 'APS Tubes IMPORT'!H$2:H783, "Null")
</f>
        <v>0</v>
      </c>
      <c r="AN108" s="54"/>
      <c r="AO108" s="14">
        <f>'APS Tubes by Date IMPORT'!B107</f>
        <v>44567</v>
      </c>
      <c r="AP108" s="16">
        <f>'APS Tubes by Date IMPORT'!D107</f>
        <v>10</v>
      </c>
      <c r="AQ108" s="16">
        <f>'APS Tubes by Date IMPORT'!D107</f>
        <v>10</v>
      </c>
      <c r="AR108" s="16">
        <f>'APS Tubes by Date IMPORT'!E107</f>
        <v>3</v>
      </c>
      <c r="AS108" s="16">
        <f>'APS Tubes by Date IMPORT'!F107</f>
        <v>0</v>
      </c>
      <c r="AT108" s="16">
        <f>'APS Tubes by Date IMPORT'!G107</f>
        <v>0</v>
      </c>
      <c r="AU108" s="54"/>
    </row>
    <row r="109">
      <c r="A109" s="8" t="s">
        <v>139</v>
      </c>
      <c r="B109" s="58">
        <f>VLOOKUP(A109,'Run Reconcile'!A$2:B783,2,FALSE)</f>
        <v>44558</v>
      </c>
      <c r="C109" s="59">
        <f>COUNTIF('ALL Tube Results'!B108:B783, A109)
</f>
        <v>3</v>
      </c>
      <c r="D109" s="60">
        <f>COUNTIFS('ALL Tube Results'!$B108:$B783, $A109, 'ALL Tube Results'!$F108:$F783, "Negative")
</f>
        <v>3</v>
      </c>
      <c r="E109" s="60">
        <f>COUNTIFS('ALL Tube Results'!$B108:$B783, $A109, 'ALL Tube Results'!$F108:$F783, "Positive")
</f>
        <v>0</v>
      </c>
      <c r="F109" s="60">
        <f>COUNTIFS('ALL Tube Results'!$B108:$B783, $A109, 'ALL Tube Results'!$F108:$F783, "Inconclusive")
</f>
        <v>0</v>
      </c>
      <c r="G109" s="61">
        <f t="shared" si="7"/>
        <v>3</v>
      </c>
      <c r="H109" s="61" t="str">
        <f t="shared" si="8"/>
        <v/>
      </c>
      <c r="I109" s="62" t="str">
        <f t="shared" si="9"/>
        <v/>
      </c>
      <c r="J109" s="63" t="str">
        <f t="shared" si="10"/>
        <v/>
      </c>
      <c r="K109" s="63" t="str">
        <f t="shared" si="11"/>
        <v/>
      </c>
      <c r="L109" s="63">
        <f t="shared" si="12"/>
        <v>3</v>
      </c>
      <c r="M109" s="63" t="str">
        <f t="shared" si="13"/>
        <v/>
      </c>
      <c r="N109" s="63" t="str">
        <f t="shared" si="14"/>
        <v/>
      </c>
      <c r="O109" s="64">
        <f t="shared" si="15"/>
        <v>3</v>
      </c>
      <c r="P109" s="64" t="str">
        <f t="shared" si="16"/>
        <v/>
      </c>
      <c r="Q109" s="54"/>
      <c r="R109" s="8" t="s">
        <v>139</v>
      </c>
      <c r="S109" s="14">
        <v>44558.0</v>
      </c>
      <c r="T109" s="16">
        <f>VLOOKUP(R109,'Run Reconcile'!$A$2:$L783,12,FALSE)</f>
        <v>3</v>
      </c>
      <c r="U109" s="16" t="str">
        <f t="shared" si="17"/>
        <v/>
      </c>
      <c r="V109" s="16" t="str">
        <f t="shared" si="18"/>
        <v/>
      </c>
      <c r="W109" s="16"/>
      <c r="X109" s="54"/>
      <c r="Z109" s="14"/>
      <c r="AA109" s="16"/>
      <c r="AB109" s="16"/>
      <c r="AC109" s="16"/>
      <c r="AD109" s="16"/>
      <c r="AE109" s="66"/>
      <c r="AF109" s="54"/>
      <c r="AG109" s="70" t="s">
        <v>139</v>
      </c>
      <c r="AH109" s="68">
        <f>VLOOKUP(AG109,'Run Reconcile'!A$2:B783,2,FALSE)</f>
        <v>44558</v>
      </c>
      <c r="AI109" s="69">
        <f>COUNTIF('APS Tubes IMPORT'!$V$2:$V783, AG109)
</f>
        <v>3</v>
      </c>
      <c r="AJ109" s="69">
        <f>COUNTIFS('APS Tubes IMPORT'!V$2:V783, AG109, 'APS Tubes IMPORT'!H$2:H783, "Negative")
</f>
        <v>3</v>
      </c>
      <c r="AK109" s="69">
        <f>COUNTIFS('APS Tubes IMPORT'!V$2:V783, AG109, 'APS Tubes IMPORT'!H$2:H783, "Positive")
</f>
        <v>0</v>
      </c>
      <c r="AL109" s="69">
        <f>COUNTIFS('APS Tubes IMPORT'!V$2:V783, AG109, 'APS Tubes IMPORT'!H$2:H783, "Inconclusive")
</f>
        <v>0</v>
      </c>
      <c r="AM109" s="69">
        <f>COUNTIFS('APS Tubes IMPORT'!V$2:V783, AG109, 'APS Tubes IMPORT'!H$2:H783, "Null")
</f>
        <v>0</v>
      </c>
      <c r="AN109" s="54"/>
      <c r="AO109" s="14">
        <f>'APS Tubes by Date IMPORT'!B108</f>
        <v>44569</v>
      </c>
      <c r="AP109" s="16">
        <f>'APS Tubes by Date IMPORT'!D108</f>
        <v>6</v>
      </c>
      <c r="AQ109" s="16">
        <f>'APS Tubes by Date IMPORT'!D108</f>
        <v>6</v>
      </c>
      <c r="AR109" s="16">
        <f>'APS Tubes by Date IMPORT'!E108</f>
        <v>1</v>
      </c>
      <c r="AS109" s="16">
        <f>'APS Tubes by Date IMPORT'!F108</f>
        <v>0</v>
      </c>
      <c r="AT109" s="16">
        <f>'APS Tubes by Date IMPORT'!G108</f>
        <v>0</v>
      </c>
      <c r="AU109" s="54"/>
    </row>
    <row r="110">
      <c r="A110" s="8" t="s">
        <v>140</v>
      </c>
      <c r="B110" s="58">
        <f>VLOOKUP(A110,'Run Reconcile'!A$2:B783,2,FALSE)</f>
        <v>44558</v>
      </c>
      <c r="C110" s="59">
        <f>COUNTIF('ALL Tube Results'!B109:B783, A110)
</f>
        <v>1</v>
      </c>
      <c r="D110" s="60">
        <f>COUNTIFS('ALL Tube Results'!$B109:$B783, $A110, 'ALL Tube Results'!$F109:$F783, "Negative")
</f>
        <v>1</v>
      </c>
      <c r="E110" s="60">
        <f>COUNTIFS('ALL Tube Results'!$B109:$B783, $A110, 'ALL Tube Results'!$F109:$F783, "Positive")
</f>
        <v>0</v>
      </c>
      <c r="F110" s="60">
        <f>COUNTIFS('ALL Tube Results'!$B109:$B783, $A110, 'ALL Tube Results'!$F109:$F783, "Inconclusive")
</f>
        <v>0</v>
      </c>
      <c r="G110" s="61">
        <f t="shared" si="7"/>
        <v>1</v>
      </c>
      <c r="H110" s="61" t="str">
        <f t="shared" si="8"/>
        <v/>
      </c>
      <c r="I110" s="62">
        <f t="shared" si="9"/>
        <v>1</v>
      </c>
      <c r="J110" s="63">
        <f t="shared" si="10"/>
        <v>0</v>
      </c>
      <c r="K110" s="63">
        <f t="shared" si="11"/>
        <v>0</v>
      </c>
      <c r="L110" s="63" t="str">
        <f t="shared" si="12"/>
        <v/>
      </c>
      <c r="M110" s="63" t="str">
        <f t="shared" si="13"/>
        <v/>
      </c>
      <c r="N110" s="63" t="str">
        <f t="shared" si="14"/>
        <v/>
      </c>
      <c r="O110" s="64">
        <f t="shared" si="15"/>
        <v>1</v>
      </c>
      <c r="P110" s="64" t="str">
        <f t="shared" si="16"/>
        <v/>
      </c>
      <c r="Q110" s="54"/>
      <c r="R110" s="8" t="s">
        <v>140</v>
      </c>
      <c r="S110" s="14">
        <v>44558.0</v>
      </c>
      <c r="T110" s="16">
        <f>VLOOKUP(R110,'Run Reconcile'!$A$2:$L783,12,FALSE)</f>
        <v>1</v>
      </c>
      <c r="U110" s="16" t="str">
        <f t="shared" si="17"/>
        <v/>
      </c>
      <c r="V110" s="16" t="str">
        <f t="shared" si="18"/>
        <v/>
      </c>
      <c r="W110" s="16"/>
      <c r="X110" s="54"/>
      <c r="Z110" s="14"/>
      <c r="AA110" s="16"/>
      <c r="AB110" s="16"/>
      <c r="AC110" s="16"/>
      <c r="AD110" s="16"/>
      <c r="AE110" s="66"/>
      <c r="AF110" s="54"/>
      <c r="AG110" s="70" t="s">
        <v>140</v>
      </c>
      <c r="AH110" s="68">
        <f>VLOOKUP(AG110,'Run Reconcile'!A$2:B783,2,FALSE)</f>
        <v>44558</v>
      </c>
      <c r="AI110" s="69">
        <f>COUNTIF('APS Tubes IMPORT'!$V$2:$V783, AG110)
</f>
        <v>1</v>
      </c>
      <c r="AJ110" s="69">
        <f>COUNTIFS('APS Tubes IMPORT'!V$2:V783, AG110, 'APS Tubes IMPORT'!H$2:H783, "Negative")
</f>
        <v>1</v>
      </c>
      <c r="AK110" s="69">
        <f>COUNTIFS('APS Tubes IMPORT'!V$2:V783, AG110, 'APS Tubes IMPORT'!H$2:H783, "Positive")
</f>
        <v>0</v>
      </c>
      <c r="AL110" s="69">
        <f>COUNTIFS('APS Tubes IMPORT'!V$2:V783, AG110, 'APS Tubes IMPORT'!H$2:H783, "Inconclusive")
</f>
        <v>0</v>
      </c>
      <c r="AM110" s="69">
        <f>COUNTIFS('APS Tubes IMPORT'!V$2:V783, AG110, 'APS Tubes IMPORT'!H$2:H783, "Null")
</f>
        <v>0</v>
      </c>
      <c r="AN110" s="54"/>
      <c r="AO110" s="14">
        <f>'APS Tubes by Date IMPORT'!B109</f>
        <v>44570</v>
      </c>
      <c r="AP110" s="16">
        <f>'APS Tubes by Date IMPORT'!D109</f>
        <v>11</v>
      </c>
      <c r="AQ110" s="16">
        <f>'APS Tubes by Date IMPORT'!D109</f>
        <v>11</v>
      </c>
      <c r="AR110" s="16">
        <f>'APS Tubes by Date IMPORT'!E109</f>
        <v>7</v>
      </c>
      <c r="AS110" s="16">
        <f>'APS Tubes by Date IMPORT'!F109</f>
        <v>0</v>
      </c>
      <c r="AT110" s="16">
        <f>'APS Tubes by Date IMPORT'!G109</f>
        <v>0</v>
      </c>
      <c r="AU110" s="54"/>
    </row>
    <row r="111">
      <c r="A111" s="8" t="s">
        <v>141</v>
      </c>
      <c r="B111" s="58">
        <f>VLOOKUP(A111,'Run Reconcile'!A$2:B783,2,FALSE)</f>
        <v>44559</v>
      </c>
      <c r="C111" s="59">
        <f>COUNTIF('ALL Tube Results'!B110:B783, A111)
</f>
        <v>4</v>
      </c>
      <c r="D111" s="60">
        <f>COUNTIFS('ALL Tube Results'!$B110:$B783, $A111, 'ALL Tube Results'!$F110:$F783, "Negative")
</f>
        <v>4</v>
      </c>
      <c r="E111" s="60">
        <f>COUNTIFS('ALL Tube Results'!$B110:$B783, $A111, 'ALL Tube Results'!$F110:$F783, "Positive")
</f>
        <v>0</v>
      </c>
      <c r="F111" s="60">
        <f>COUNTIFS('ALL Tube Results'!$B110:$B783, $A111, 'ALL Tube Results'!$F110:$F783, "Inconclusive")
</f>
        <v>0</v>
      </c>
      <c r="G111" s="61">
        <f t="shared" si="7"/>
        <v>4</v>
      </c>
      <c r="H111" s="61" t="str">
        <f t="shared" si="8"/>
        <v/>
      </c>
      <c r="I111" s="62" t="str">
        <f t="shared" si="9"/>
        <v/>
      </c>
      <c r="J111" s="63" t="str">
        <f t="shared" si="10"/>
        <v/>
      </c>
      <c r="K111" s="63" t="str">
        <f t="shared" si="11"/>
        <v/>
      </c>
      <c r="L111" s="63">
        <f t="shared" si="12"/>
        <v>4</v>
      </c>
      <c r="M111" s="63" t="str">
        <f t="shared" si="13"/>
        <v/>
      </c>
      <c r="N111" s="63" t="str">
        <f t="shared" si="14"/>
        <v/>
      </c>
      <c r="O111" s="64">
        <f t="shared" si="15"/>
        <v>4</v>
      </c>
      <c r="P111" s="64" t="str">
        <f t="shared" si="16"/>
        <v/>
      </c>
      <c r="Q111" s="54"/>
      <c r="R111" s="8" t="s">
        <v>141</v>
      </c>
      <c r="S111" s="14">
        <v>44559.0</v>
      </c>
      <c r="T111" s="16">
        <f>VLOOKUP(R111,'Run Reconcile'!$A$2:$L783,12,FALSE)</f>
        <v>4</v>
      </c>
      <c r="U111" s="16" t="str">
        <f t="shared" si="17"/>
        <v/>
      </c>
      <c r="V111" s="16" t="str">
        <f t="shared" si="18"/>
        <v/>
      </c>
      <c r="W111" s="16"/>
      <c r="X111" s="54"/>
      <c r="Z111" s="14"/>
      <c r="AA111" s="16"/>
      <c r="AB111" s="16"/>
      <c r="AC111" s="16"/>
      <c r="AD111" s="16"/>
      <c r="AE111" s="66"/>
      <c r="AF111" s="54"/>
      <c r="AG111" s="70" t="s">
        <v>141</v>
      </c>
      <c r="AH111" s="68">
        <f>VLOOKUP(AG111,'Run Reconcile'!A$2:B783,2,FALSE)</f>
        <v>44559</v>
      </c>
      <c r="AI111" s="69">
        <f>COUNTIF('APS Tubes IMPORT'!$V$2:$V783, AG111)
</f>
        <v>4</v>
      </c>
      <c r="AJ111" s="69">
        <f>COUNTIFS('APS Tubes IMPORT'!V$2:V783, AG111, 'APS Tubes IMPORT'!H$2:H783, "Negative")
</f>
        <v>4</v>
      </c>
      <c r="AK111" s="69">
        <f>COUNTIFS('APS Tubes IMPORT'!V$2:V783, AG111, 'APS Tubes IMPORT'!H$2:H783, "Positive")
</f>
        <v>0</v>
      </c>
      <c r="AL111" s="69">
        <f>COUNTIFS('APS Tubes IMPORT'!V$2:V783, AG111, 'APS Tubes IMPORT'!H$2:H783, "Inconclusive")
</f>
        <v>0</v>
      </c>
      <c r="AM111" s="69">
        <f>COUNTIFS('APS Tubes IMPORT'!V$2:V783, AG111, 'APS Tubes IMPORT'!H$2:H783, "Null")
</f>
        <v>0</v>
      </c>
      <c r="AN111" s="54"/>
      <c r="AO111" s="14">
        <f>'APS Tubes by Date IMPORT'!B110</f>
        <v>44571</v>
      </c>
      <c r="AP111" s="16">
        <f>'APS Tubes by Date IMPORT'!D110</f>
        <v>19</v>
      </c>
      <c r="AQ111" s="16">
        <f>'APS Tubes by Date IMPORT'!D110</f>
        <v>19</v>
      </c>
      <c r="AR111" s="16">
        <f>'APS Tubes by Date IMPORT'!E110</f>
        <v>7</v>
      </c>
      <c r="AS111" s="16">
        <f>'APS Tubes by Date IMPORT'!F110</f>
        <v>1</v>
      </c>
      <c r="AT111" s="16">
        <f>'APS Tubes by Date IMPORT'!G110</f>
        <v>0</v>
      </c>
      <c r="AU111" s="54"/>
    </row>
    <row r="112">
      <c r="A112" s="8" t="s">
        <v>142</v>
      </c>
      <c r="B112" s="58">
        <f>VLOOKUP(A112,'Run Reconcile'!A$2:B783,2,FALSE)</f>
        <v>44559</v>
      </c>
      <c r="C112" s="59">
        <f>COUNTIF('ALL Tube Results'!B111:B783, A112)
</f>
        <v>4</v>
      </c>
      <c r="D112" s="60">
        <f>COUNTIFS('ALL Tube Results'!$B111:$B783, $A112, 'ALL Tube Results'!$F111:$F783, "Negative")
</f>
        <v>4</v>
      </c>
      <c r="E112" s="60">
        <f>COUNTIFS('ALL Tube Results'!$B111:$B783, $A112, 'ALL Tube Results'!$F111:$F783, "Positive")
</f>
        <v>0</v>
      </c>
      <c r="F112" s="60">
        <f>COUNTIFS('ALL Tube Results'!$B111:$B783, $A112, 'ALL Tube Results'!$F111:$F783, "Inconclusive")
</f>
        <v>0</v>
      </c>
      <c r="G112" s="61">
        <f t="shared" si="7"/>
        <v>4</v>
      </c>
      <c r="H112" s="61" t="str">
        <f t="shared" si="8"/>
        <v/>
      </c>
      <c r="I112" s="62">
        <f t="shared" si="9"/>
        <v>4</v>
      </c>
      <c r="J112" s="63">
        <f t="shared" si="10"/>
        <v>0</v>
      </c>
      <c r="K112" s="63">
        <f t="shared" si="11"/>
        <v>0</v>
      </c>
      <c r="L112" s="63" t="str">
        <f t="shared" si="12"/>
        <v/>
      </c>
      <c r="M112" s="63" t="str">
        <f t="shared" si="13"/>
        <v/>
      </c>
      <c r="N112" s="63" t="str">
        <f t="shared" si="14"/>
        <v/>
      </c>
      <c r="O112" s="64">
        <f t="shared" si="15"/>
        <v>4</v>
      </c>
      <c r="P112" s="64" t="str">
        <f t="shared" si="16"/>
        <v/>
      </c>
      <c r="Q112" s="54"/>
      <c r="R112" s="8" t="s">
        <v>142</v>
      </c>
      <c r="S112" s="14">
        <v>44559.0</v>
      </c>
      <c r="T112" s="16">
        <f>VLOOKUP(R112,'Run Reconcile'!$A$2:$L783,12,FALSE)</f>
        <v>4</v>
      </c>
      <c r="U112" s="16" t="str">
        <f t="shared" si="17"/>
        <v/>
      </c>
      <c r="V112" s="16" t="str">
        <f t="shared" si="18"/>
        <v/>
      </c>
      <c r="W112" s="16"/>
      <c r="X112" s="54"/>
      <c r="Z112" s="14"/>
      <c r="AA112" s="16"/>
      <c r="AB112" s="16"/>
      <c r="AC112" s="16"/>
      <c r="AD112" s="16"/>
      <c r="AE112" s="66"/>
      <c r="AF112" s="54"/>
      <c r="AG112" s="70" t="s">
        <v>142</v>
      </c>
      <c r="AH112" s="68">
        <f>VLOOKUP(AG112,'Run Reconcile'!A$2:B783,2,FALSE)</f>
        <v>44559</v>
      </c>
      <c r="AI112" s="69">
        <f>COUNTIF('APS Tubes IMPORT'!$V$2:$V783, AG112)
</f>
        <v>4</v>
      </c>
      <c r="AJ112" s="69">
        <f>COUNTIFS('APS Tubes IMPORT'!V$2:V783, AG112, 'APS Tubes IMPORT'!H$2:H783, "Negative")
</f>
        <v>4</v>
      </c>
      <c r="AK112" s="69">
        <f>COUNTIFS('APS Tubes IMPORT'!V$2:V783, AG112, 'APS Tubes IMPORT'!H$2:H783, "Positive")
</f>
        <v>0</v>
      </c>
      <c r="AL112" s="69">
        <f>COUNTIFS('APS Tubes IMPORT'!V$2:V783, AG112, 'APS Tubes IMPORT'!H$2:H783, "Inconclusive")
</f>
        <v>0</v>
      </c>
      <c r="AM112" s="69">
        <f>COUNTIFS('APS Tubes IMPORT'!V$2:V783, AG112, 'APS Tubes IMPORT'!H$2:H783, "Null")
</f>
        <v>0</v>
      </c>
      <c r="AN112" s="54"/>
      <c r="AO112" s="14">
        <f>'APS Tubes by Date IMPORT'!B111</f>
        <v>44572</v>
      </c>
      <c r="AP112" s="16">
        <f>'APS Tubes by Date IMPORT'!D111</f>
        <v>2</v>
      </c>
      <c r="AQ112" s="16">
        <f>'APS Tubes by Date IMPORT'!D111</f>
        <v>2</v>
      </c>
      <c r="AR112" s="16">
        <f>'APS Tubes by Date IMPORT'!E111</f>
        <v>1</v>
      </c>
      <c r="AS112" s="16">
        <f>'APS Tubes by Date IMPORT'!F111</f>
        <v>0</v>
      </c>
      <c r="AT112" s="16">
        <f>'APS Tubes by Date IMPORT'!G111</f>
        <v>0</v>
      </c>
      <c r="AU112" s="54"/>
    </row>
    <row r="113">
      <c r="A113" s="8" t="s">
        <v>143</v>
      </c>
      <c r="B113" s="58">
        <f>VLOOKUP(A113,'Run Reconcile'!A$2:B783,2,FALSE)</f>
        <v>44560</v>
      </c>
      <c r="C113" s="59">
        <f>COUNTIF('ALL Tube Results'!B112:B783, A113)
</f>
        <v>4</v>
      </c>
      <c r="D113" s="60">
        <f>COUNTIFS('ALL Tube Results'!$B112:$B783, $A113, 'ALL Tube Results'!$F112:$F783, "Negative")
</f>
        <v>4</v>
      </c>
      <c r="E113" s="60">
        <f>COUNTIFS('ALL Tube Results'!$B112:$B783, $A113, 'ALL Tube Results'!$F112:$F783, "Positive")
</f>
        <v>0</v>
      </c>
      <c r="F113" s="60">
        <f>COUNTIFS('ALL Tube Results'!$B112:$B783, $A113, 'ALL Tube Results'!$F112:$F783, "Inconclusive")
</f>
        <v>0</v>
      </c>
      <c r="G113" s="61">
        <f t="shared" si="7"/>
        <v>4</v>
      </c>
      <c r="H113" s="61" t="str">
        <f t="shared" si="8"/>
        <v/>
      </c>
      <c r="I113" s="62">
        <f t="shared" si="9"/>
        <v>4</v>
      </c>
      <c r="J113" s="63">
        <f t="shared" si="10"/>
        <v>0</v>
      </c>
      <c r="K113" s="63">
        <f t="shared" si="11"/>
        <v>0</v>
      </c>
      <c r="L113" s="63" t="str">
        <f t="shared" si="12"/>
        <v/>
      </c>
      <c r="M113" s="63" t="str">
        <f t="shared" si="13"/>
        <v/>
      </c>
      <c r="N113" s="63" t="str">
        <f t="shared" si="14"/>
        <v/>
      </c>
      <c r="O113" s="64">
        <f t="shared" si="15"/>
        <v>4</v>
      </c>
      <c r="P113" s="64" t="str">
        <f t="shared" si="16"/>
        <v/>
      </c>
      <c r="Q113" s="54"/>
      <c r="R113" s="8" t="s">
        <v>143</v>
      </c>
      <c r="S113" s="14">
        <v>44560.0</v>
      </c>
      <c r="T113" s="16">
        <f>VLOOKUP(R113,'Run Reconcile'!$A$2:$L783,12,FALSE)</f>
        <v>4</v>
      </c>
      <c r="U113" s="16" t="str">
        <f t="shared" si="17"/>
        <v/>
      </c>
      <c r="V113" s="16" t="str">
        <f t="shared" si="18"/>
        <v/>
      </c>
      <c r="W113" s="16"/>
      <c r="X113" s="54"/>
      <c r="Z113" s="14"/>
      <c r="AA113" s="16"/>
      <c r="AB113" s="16"/>
      <c r="AC113" s="16"/>
      <c r="AD113" s="16"/>
      <c r="AE113" s="66"/>
      <c r="AF113" s="54"/>
      <c r="AG113" s="70" t="s">
        <v>143</v>
      </c>
      <c r="AH113" s="68">
        <f>VLOOKUP(AG113,'Run Reconcile'!A$2:B783,2,FALSE)</f>
        <v>44560</v>
      </c>
      <c r="AI113" s="69">
        <f>COUNTIF('APS Tubes IMPORT'!$V$2:$V783, AG113)
</f>
        <v>4</v>
      </c>
      <c r="AJ113" s="69">
        <f>COUNTIFS('APS Tubes IMPORT'!V$2:V783, AG113, 'APS Tubes IMPORT'!H$2:H783, "Negative")
</f>
        <v>4</v>
      </c>
      <c r="AK113" s="69">
        <f>COUNTIFS('APS Tubes IMPORT'!V$2:V783, AG113, 'APS Tubes IMPORT'!H$2:H783, "Positive")
</f>
        <v>0</v>
      </c>
      <c r="AL113" s="69">
        <f>COUNTIFS('APS Tubes IMPORT'!V$2:V783, AG113, 'APS Tubes IMPORT'!H$2:H783, "Inconclusive")
</f>
        <v>0</v>
      </c>
      <c r="AM113" s="69">
        <f>COUNTIFS('APS Tubes IMPORT'!V$2:V783, AG113, 'APS Tubes IMPORT'!H$2:H783, "Null")
</f>
        <v>0</v>
      </c>
      <c r="AN113" s="54"/>
      <c r="AO113" s="14">
        <f>'APS Tubes by Date IMPORT'!B112</f>
        <v>44573</v>
      </c>
      <c r="AP113" s="16">
        <f>'APS Tubes by Date IMPORT'!D112</f>
        <v>9</v>
      </c>
      <c r="AQ113" s="16">
        <f>'APS Tubes by Date IMPORT'!D112</f>
        <v>9</v>
      </c>
      <c r="AR113" s="16">
        <f>'APS Tubes by Date IMPORT'!E112</f>
        <v>0</v>
      </c>
      <c r="AS113" s="16">
        <f>'APS Tubes by Date IMPORT'!F112</f>
        <v>0</v>
      </c>
      <c r="AT113" s="16">
        <f>'APS Tubes by Date IMPORT'!G112</f>
        <v>0</v>
      </c>
      <c r="AU113" s="54"/>
    </row>
    <row r="114">
      <c r="A114" s="8" t="s">
        <v>144</v>
      </c>
      <c r="B114" s="58">
        <f>VLOOKUP(A114,'Run Reconcile'!A$2:B783,2,FALSE)</f>
        <v>44561</v>
      </c>
      <c r="C114" s="59">
        <f>COUNTIF('ALL Tube Results'!B113:B783, A114)
</f>
        <v>6</v>
      </c>
      <c r="D114" s="60">
        <f>COUNTIFS('ALL Tube Results'!$B113:$B783, $A114, 'ALL Tube Results'!$F113:$F783, "Negative")
</f>
        <v>5</v>
      </c>
      <c r="E114" s="60">
        <f>COUNTIFS('ALL Tube Results'!$B113:$B783, $A114, 'ALL Tube Results'!$F113:$F783, "Positive")
</f>
        <v>1</v>
      </c>
      <c r="F114" s="60">
        <f>COUNTIFS('ALL Tube Results'!$B113:$B783, $A114, 'ALL Tube Results'!$F113:$F783, "Inconclusive")
</f>
        <v>0</v>
      </c>
      <c r="G114" s="61">
        <f t="shared" si="7"/>
        <v>6</v>
      </c>
      <c r="H114" s="61" t="str">
        <f t="shared" si="8"/>
        <v/>
      </c>
      <c r="I114" s="62">
        <f t="shared" si="9"/>
        <v>7</v>
      </c>
      <c r="J114" s="63">
        <f t="shared" si="10"/>
        <v>1</v>
      </c>
      <c r="K114" s="63">
        <f t="shared" si="11"/>
        <v>0</v>
      </c>
      <c r="L114" s="63">
        <f t="shared" si="12"/>
        <v>-1</v>
      </c>
      <c r="M114" s="63" t="str">
        <f t="shared" si="13"/>
        <v/>
      </c>
      <c r="N114" s="63" t="str">
        <f t="shared" si="14"/>
        <v/>
      </c>
      <c r="O114" s="64">
        <f t="shared" si="15"/>
        <v>6</v>
      </c>
      <c r="P114" s="64" t="str">
        <f t="shared" si="16"/>
        <v/>
      </c>
      <c r="Q114" s="54"/>
      <c r="R114" s="8" t="s">
        <v>144</v>
      </c>
      <c r="S114" s="14">
        <v>44561.0</v>
      </c>
      <c r="T114" s="16">
        <f>VLOOKUP(R114,'Run Reconcile'!$A$2:$L783,12,FALSE)</f>
        <v>6</v>
      </c>
      <c r="U114" s="16" t="str">
        <f t="shared" si="17"/>
        <v/>
      </c>
      <c r="V114" s="16" t="str">
        <f t="shared" si="18"/>
        <v/>
      </c>
      <c r="W114" s="16"/>
      <c r="X114" s="54"/>
      <c r="Z114" s="14"/>
      <c r="AA114" s="16"/>
      <c r="AB114" s="16"/>
      <c r="AC114" s="16"/>
      <c r="AD114" s="16"/>
      <c r="AE114" s="66"/>
      <c r="AF114" s="54"/>
      <c r="AG114" s="70" t="s">
        <v>144</v>
      </c>
      <c r="AH114" s="68">
        <f>VLOOKUP(AG114,'Run Reconcile'!A$2:B783,2,FALSE)</f>
        <v>44561</v>
      </c>
      <c r="AI114" s="69">
        <f>COUNTIF('APS Tubes IMPORT'!$V$2:$V783, AG114)
</f>
        <v>6</v>
      </c>
      <c r="AJ114" s="69">
        <f>COUNTIFS('APS Tubes IMPORT'!V$2:V783, AG114, 'APS Tubes IMPORT'!H$2:H783, "Negative")
</f>
        <v>5</v>
      </c>
      <c r="AK114" s="69">
        <f>COUNTIFS('APS Tubes IMPORT'!V$2:V783, AG114, 'APS Tubes IMPORT'!H$2:H783, "Positive")
</f>
        <v>1</v>
      </c>
      <c r="AL114" s="69">
        <f>COUNTIFS('APS Tubes IMPORT'!V$2:V783, AG114, 'APS Tubes IMPORT'!H$2:H783, "Inconclusive")
</f>
        <v>0</v>
      </c>
      <c r="AM114" s="69">
        <f>COUNTIFS('APS Tubes IMPORT'!V$2:V783, AG114, 'APS Tubes IMPORT'!H$2:H783, "Null")
</f>
        <v>0</v>
      </c>
      <c r="AN114" s="54"/>
      <c r="AO114" s="14">
        <f>'APS Tubes by Date IMPORT'!B113</f>
        <v>44574</v>
      </c>
      <c r="AP114" s="16">
        <f>'APS Tubes by Date IMPORT'!D113</f>
        <v>23</v>
      </c>
      <c r="AQ114" s="16">
        <f>'APS Tubes by Date IMPORT'!D113</f>
        <v>23</v>
      </c>
      <c r="AR114" s="16">
        <f>'APS Tubes by Date IMPORT'!E113</f>
        <v>0</v>
      </c>
      <c r="AS114" s="16">
        <f>'APS Tubes by Date IMPORT'!F113</f>
        <v>0</v>
      </c>
      <c r="AT114" s="16">
        <f>'APS Tubes by Date IMPORT'!G113</f>
        <v>0</v>
      </c>
      <c r="AU114" s="54"/>
    </row>
    <row r="115">
      <c r="A115" s="8" t="s">
        <v>145</v>
      </c>
      <c r="B115" s="58">
        <f>VLOOKUP(A115,'Run Reconcile'!A$2:B783,2,FALSE)</f>
        <v>44561</v>
      </c>
      <c r="C115" s="59">
        <f>COUNTIF('ALL Tube Results'!B114:B783, A115)
</f>
        <v>2</v>
      </c>
      <c r="D115" s="60">
        <f>COUNTIFS('ALL Tube Results'!$B114:$B783, $A115, 'ALL Tube Results'!$F114:$F783, "Negative")
</f>
        <v>1</v>
      </c>
      <c r="E115" s="60">
        <f>COUNTIFS('ALL Tube Results'!$B114:$B783, $A115, 'ALL Tube Results'!$F114:$F783, "Positive")
</f>
        <v>1</v>
      </c>
      <c r="F115" s="60">
        <f>COUNTIFS('ALL Tube Results'!$B114:$B783, $A115, 'ALL Tube Results'!$F114:$F783, "Inconclusive")
</f>
        <v>0</v>
      </c>
      <c r="G115" s="61">
        <f t="shared" si="7"/>
        <v>2</v>
      </c>
      <c r="H115" s="61" t="str">
        <f t="shared" si="8"/>
        <v/>
      </c>
      <c r="I115" s="62">
        <f t="shared" si="9"/>
        <v>2</v>
      </c>
      <c r="J115" s="63">
        <f t="shared" si="10"/>
        <v>1</v>
      </c>
      <c r="K115" s="63">
        <f t="shared" si="11"/>
        <v>0</v>
      </c>
      <c r="L115" s="63" t="str">
        <f t="shared" si="12"/>
        <v/>
      </c>
      <c r="M115" s="63" t="str">
        <f t="shared" si="13"/>
        <v/>
      </c>
      <c r="N115" s="63" t="str">
        <f t="shared" si="14"/>
        <v/>
      </c>
      <c r="O115" s="64">
        <f t="shared" si="15"/>
        <v>2</v>
      </c>
      <c r="P115" s="64" t="str">
        <f t="shared" si="16"/>
        <v/>
      </c>
      <c r="Q115" s="54"/>
      <c r="R115" s="8" t="s">
        <v>145</v>
      </c>
      <c r="S115" s="14">
        <v>44561.0</v>
      </c>
      <c r="T115" s="16">
        <f>VLOOKUP(R115,'Run Reconcile'!$A$2:$L783,12,FALSE)</f>
        <v>2</v>
      </c>
      <c r="U115" s="16" t="str">
        <f t="shared" si="17"/>
        <v/>
      </c>
      <c r="V115" s="16" t="str">
        <f t="shared" si="18"/>
        <v/>
      </c>
      <c r="W115" s="16"/>
      <c r="X115" s="54"/>
      <c r="Z115" s="14"/>
      <c r="AA115" s="16"/>
      <c r="AB115" s="16"/>
      <c r="AC115" s="16"/>
      <c r="AD115" s="16"/>
      <c r="AE115" s="66"/>
      <c r="AF115" s="54"/>
      <c r="AG115" s="70" t="s">
        <v>145</v>
      </c>
      <c r="AH115" s="68">
        <f>VLOOKUP(AG115,'Run Reconcile'!A$2:B783,2,FALSE)</f>
        <v>44561</v>
      </c>
      <c r="AI115" s="69">
        <f>COUNTIF('APS Tubes IMPORT'!$V$2:$V783, AG115)
</f>
        <v>2</v>
      </c>
      <c r="AJ115" s="69">
        <f>COUNTIFS('APS Tubes IMPORT'!V$2:V783, AG115, 'APS Tubes IMPORT'!H$2:H783, "Negative")
</f>
        <v>1</v>
      </c>
      <c r="AK115" s="69">
        <f>COUNTIFS('APS Tubes IMPORT'!V$2:V783, AG115, 'APS Tubes IMPORT'!H$2:H783, "Positive")
</f>
        <v>1</v>
      </c>
      <c r="AL115" s="69">
        <f>COUNTIFS('APS Tubes IMPORT'!V$2:V783, AG115, 'APS Tubes IMPORT'!H$2:H783, "Inconclusive")
</f>
        <v>0</v>
      </c>
      <c r="AM115" s="69">
        <f>COUNTIFS('APS Tubes IMPORT'!V$2:V783, AG115, 'APS Tubes IMPORT'!H$2:H783, "Null")
</f>
        <v>0</v>
      </c>
      <c r="AN115" s="54"/>
      <c r="AO115" s="14">
        <f>'APS Tubes by Date IMPORT'!B114</f>
        <v>44576</v>
      </c>
      <c r="AP115" s="16">
        <f>'APS Tubes by Date IMPORT'!D114</f>
        <v>4</v>
      </c>
      <c r="AQ115" s="16">
        <f>'APS Tubes by Date IMPORT'!D114</f>
        <v>4</v>
      </c>
      <c r="AR115" s="16">
        <f>'APS Tubes by Date IMPORT'!E114</f>
        <v>0</v>
      </c>
      <c r="AS115" s="16">
        <f>'APS Tubes by Date IMPORT'!F114</f>
        <v>0</v>
      </c>
      <c r="AT115" s="16">
        <f>'APS Tubes by Date IMPORT'!G114</f>
        <v>0</v>
      </c>
      <c r="AU115" s="54"/>
    </row>
    <row r="116">
      <c r="A116" s="8" t="s">
        <v>146</v>
      </c>
      <c r="B116" s="58">
        <f>VLOOKUP(A116,'Run Reconcile'!A$2:B783,2,FALSE)</f>
        <v>44562</v>
      </c>
      <c r="C116" s="59">
        <f>COUNTIF('ALL Tube Results'!B115:B783, A116)
</f>
        <v>2</v>
      </c>
      <c r="D116" s="60">
        <f>COUNTIFS('ALL Tube Results'!$B115:$B783, $A116, 'ALL Tube Results'!$F115:$F783, "Negative")
</f>
        <v>0</v>
      </c>
      <c r="E116" s="60">
        <f>COUNTIFS('ALL Tube Results'!$B115:$B783, $A116, 'ALL Tube Results'!$F115:$F783, "Positive")
</f>
        <v>2</v>
      </c>
      <c r="F116" s="60">
        <f>COUNTIFS('ALL Tube Results'!$B115:$B783, $A116, 'ALL Tube Results'!$F115:$F783, "Inconclusive")
</f>
        <v>0</v>
      </c>
      <c r="G116" s="61">
        <f t="shared" si="7"/>
        <v>2</v>
      </c>
      <c r="H116" s="61" t="str">
        <f t="shared" si="8"/>
        <v/>
      </c>
      <c r="I116" s="62">
        <f t="shared" si="9"/>
        <v>10</v>
      </c>
      <c r="J116" s="63">
        <f t="shared" si="10"/>
        <v>4</v>
      </c>
      <c r="K116" s="63">
        <f t="shared" si="11"/>
        <v>0</v>
      </c>
      <c r="L116" s="63">
        <f t="shared" si="12"/>
        <v>-8</v>
      </c>
      <c r="M116" s="72">
        <f t="shared" si="13"/>
        <v>-2</v>
      </c>
      <c r="N116" s="63" t="str">
        <f t="shared" si="14"/>
        <v/>
      </c>
      <c r="O116" s="64">
        <f t="shared" si="15"/>
        <v>2</v>
      </c>
      <c r="P116" s="64" t="str">
        <f t="shared" si="16"/>
        <v/>
      </c>
      <c r="Q116" s="54"/>
      <c r="R116" s="8" t="s">
        <v>146</v>
      </c>
      <c r="S116" s="14">
        <v>44562.0</v>
      </c>
      <c r="T116" s="16">
        <f>VLOOKUP(R116,'Run Reconcile'!$A$2:$L783,12,FALSE)</f>
        <v>2</v>
      </c>
      <c r="U116" s="16" t="str">
        <f t="shared" si="17"/>
        <v/>
      </c>
      <c r="V116" s="16" t="str">
        <f t="shared" si="18"/>
        <v/>
      </c>
      <c r="W116" s="16"/>
      <c r="X116" s="54"/>
      <c r="Z116" s="14"/>
      <c r="AA116" s="16"/>
      <c r="AB116" s="16"/>
      <c r="AC116" s="16"/>
      <c r="AD116" s="16"/>
      <c r="AE116" s="66"/>
      <c r="AF116" s="54"/>
      <c r="AG116" s="70" t="s">
        <v>146</v>
      </c>
      <c r="AH116" s="68">
        <f>VLOOKUP(AG116,'Run Reconcile'!A$2:B783,2,FALSE)</f>
        <v>44562</v>
      </c>
      <c r="AI116" s="69">
        <f>COUNTIF('APS Tubes IMPORT'!$V$2:$V783, AG116)
</f>
        <v>2</v>
      </c>
      <c r="AJ116" s="69">
        <f>COUNTIFS('APS Tubes IMPORT'!V$2:V783, AG116, 'APS Tubes IMPORT'!H$2:H783, "Negative")
</f>
        <v>0</v>
      </c>
      <c r="AK116" s="69">
        <f>COUNTIFS('APS Tubes IMPORT'!V$2:V783, AG116, 'APS Tubes IMPORT'!H$2:H783, "Positive")
</f>
        <v>2</v>
      </c>
      <c r="AL116" s="69">
        <f>COUNTIFS('APS Tubes IMPORT'!V$2:V783, AG116, 'APS Tubes IMPORT'!H$2:H783, "Inconclusive")
</f>
        <v>0</v>
      </c>
      <c r="AM116" s="69">
        <f>COUNTIFS('APS Tubes IMPORT'!V$2:V783, AG116, 'APS Tubes IMPORT'!H$2:H783, "Null")
</f>
        <v>0</v>
      </c>
      <c r="AN116" s="54"/>
      <c r="AO116" s="14">
        <f>'APS Tubes by Date IMPORT'!B115</f>
        <v>44577</v>
      </c>
      <c r="AP116" s="16">
        <f>'APS Tubes by Date IMPORT'!D115</f>
        <v>5</v>
      </c>
      <c r="AQ116" s="16">
        <f>'APS Tubes by Date IMPORT'!D115</f>
        <v>5</v>
      </c>
      <c r="AR116" s="16">
        <f>'APS Tubes by Date IMPORT'!E115</f>
        <v>0</v>
      </c>
      <c r="AS116" s="16">
        <f>'APS Tubes by Date IMPORT'!F115</f>
        <v>0</v>
      </c>
      <c r="AT116" s="16">
        <f>'APS Tubes by Date IMPORT'!G115</f>
        <v>0</v>
      </c>
      <c r="AU116" s="54"/>
    </row>
    <row r="117">
      <c r="A117" s="8" t="s">
        <v>147</v>
      </c>
      <c r="B117" s="58">
        <f>VLOOKUP(A117,'Run Reconcile'!A$2:B783,2,FALSE)</f>
        <v>44563</v>
      </c>
      <c r="C117" s="59">
        <f>COUNTIF('ALL Tube Results'!B116:B783, A117)
</f>
        <v>12</v>
      </c>
      <c r="D117" s="60">
        <f>COUNTIFS('ALL Tube Results'!$B116:$B783, $A117, 'ALL Tube Results'!$F116:$F783, "Negative")
</f>
        <v>10</v>
      </c>
      <c r="E117" s="60">
        <f>COUNTIFS('ALL Tube Results'!$B116:$B783, $A117, 'ALL Tube Results'!$F116:$F783, "Positive")
</f>
        <v>2</v>
      </c>
      <c r="F117" s="60">
        <f>COUNTIFS('ALL Tube Results'!$B116:$B783, $A117, 'ALL Tube Results'!$F116:$F783, "Inconclusive")
</f>
        <v>0</v>
      </c>
      <c r="G117" s="61">
        <f t="shared" si="7"/>
        <v>12</v>
      </c>
      <c r="H117" s="61" t="str">
        <f t="shared" si="8"/>
        <v/>
      </c>
      <c r="I117" s="62">
        <f t="shared" si="9"/>
        <v>12</v>
      </c>
      <c r="J117" s="63">
        <f t="shared" si="10"/>
        <v>2</v>
      </c>
      <c r="K117" s="63">
        <f t="shared" si="11"/>
        <v>0</v>
      </c>
      <c r="L117" s="63" t="str">
        <f t="shared" si="12"/>
        <v/>
      </c>
      <c r="M117" s="63" t="str">
        <f t="shared" si="13"/>
        <v/>
      </c>
      <c r="N117" s="63" t="str">
        <f t="shared" si="14"/>
        <v/>
      </c>
      <c r="O117" s="64">
        <f t="shared" si="15"/>
        <v>12</v>
      </c>
      <c r="P117" s="64" t="str">
        <f t="shared" si="16"/>
        <v/>
      </c>
      <c r="Q117" s="54"/>
      <c r="R117" s="8" t="s">
        <v>147</v>
      </c>
      <c r="S117" s="14">
        <v>44563.0</v>
      </c>
      <c r="T117" s="16">
        <f>VLOOKUP(R117,'Run Reconcile'!$A$2:$L783,12,FALSE)</f>
        <v>12</v>
      </c>
      <c r="U117" s="16" t="str">
        <f t="shared" si="17"/>
        <v/>
      </c>
      <c r="V117" s="16" t="str">
        <f t="shared" si="18"/>
        <v/>
      </c>
      <c r="W117" s="16"/>
      <c r="X117" s="54"/>
      <c r="Z117" s="14"/>
      <c r="AA117" s="16"/>
      <c r="AB117" s="16"/>
      <c r="AC117" s="16"/>
      <c r="AD117" s="16"/>
      <c r="AE117" s="66"/>
      <c r="AF117" s="54"/>
      <c r="AG117" s="70" t="s">
        <v>147</v>
      </c>
      <c r="AH117" s="68">
        <f>VLOOKUP(AG117,'Run Reconcile'!A$2:B783,2,FALSE)</f>
        <v>44563</v>
      </c>
      <c r="AI117" s="69">
        <f>COUNTIF('APS Tubes IMPORT'!$V$2:$V783, AG117)
</f>
        <v>12</v>
      </c>
      <c r="AJ117" s="69">
        <f>COUNTIFS('APS Tubes IMPORT'!V$2:V783, AG117, 'APS Tubes IMPORT'!H$2:H783, "Negative")
</f>
        <v>10</v>
      </c>
      <c r="AK117" s="69">
        <f>COUNTIFS('APS Tubes IMPORT'!V$2:V783, AG117, 'APS Tubes IMPORT'!H$2:H783, "Positive")
</f>
        <v>2</v>
      </c>
      <c r="AL117" s="69">
        <f>COUNTIFS('APS Tubes IMPORT'!V$2:V783, AG117, 'APS Tubes IMPORT'!H$2:H783, "Inconclusive")
</f>
        <v>0</v>
      </c>
      <c r="AM117" s="69">
        <f>COUNTIFS('APS Tubes IMPORT'!V$2:V783, AG117, 'APS Tubes IMPORT'!H$2:H783, "Null")
</f>
        <v>0</v>
      </c>
      <c r="AN117" s="54"/>
      <c r="AO117" s="14">
        <f>'APS Tubes by Date IMPORT'!B116</f>
        <v>44578</v>
      </c>
      <c r="AP117" s="16">
        <f>'APS Tubes by Date IMPORT'!D116</f>
        <v>33</v>
      </c>
      <c r="AQ117" s="16">
        <f>'APS Tubes by Date IMPORT'!D116</f>
        <v>33</v>
      </c>
      <c r="AR117" s="16">
        <f>'APS Tubes by Date IMPORT'!E116</f>
        <v>9</v>
      </c>
      <c r="AS117" s="16">
        <f>'APS Tubes by Date IMPORT'!F116</f>
        <v>0</v>
      </c>
      <c r="AT117" s="16">
        <f>'APS Tubes by Date IMPORT'!G116</f>
        <v>0</v>
      </c>
      <c r="AU117" s="54"/>
    </row>
    <row r="118">
      <c r="A118" s="8" t="s">
        <v>148</v>
      </c>
      <c r="B118" s="58">
        <f>VLOOKUP(A118,'Run Reconcile'!A$2:B783,2,FALSE)</f>
        <v>44564</v>
      </c>
      <c r="C118" s="59">
        <f>COUNTIF('ALL Tube Results'!B117:B783, A118)
</f>
        <v>4</v>
      </c>
      <c r="D118" s="60">
        <f>COUNTIFS('ALL Tube Results'!$B117:$B783, $A118, 'ALL Tube Results'!$F117:$F783, "Negative")
</f>
        <v>4</v>
      </c>
      <c r="E118" s="60">
        <f>COUNTIFS('ALL Tube Results'!$B117:$B783, $A118, 'ALL Tube Results'!$F117:$F783, "Positive")
</f>
        <v>0</v>
      </c>
      <c r="F118" s="60">
        <f>COUNTIFS('ALL Tube Results'!$B117:$B783, $A118, 'ALL Tube Results'!$F117:$F783, "Inconclusive")
</f>
        <v>0</v>
      </c>
      <c r="G118" s="61">
        <f t="shared" si="7"/>
        <v>4</v>
      </c>
      <c r="H118" s="61" t="str">
        <f t="shared" si="8"/>
        <v/>
      </c>
      <c r="I118" s="62" t="str">
        <f t="shared" si="9"/>
        <v/>
      </c>
      <c r="J118" s="63" t="str">
        <f t="shared" si="10"/>
        <v/>
      </c>
      <c r="K118" s="63" t="str">
        <f t="shared" si="11"/>
        <v/>
      </c>
      <c r="L118" s="63">
        <f t="shared" si="12"/>
        <v>4</v>
      </c>
      <c r="M118" s="63" t="str">
        <f t="shared" si="13"/>
        <v/>
      </c>
      <c r="N118" s="63" t="str">
        <f t="shared" si="14"/>
        <v/>
      </c>
      <c r="O118" s="64">
        <f t="shared" si="15"/>
        <v>4</v>
      </c>
      <c r="P118" s="64" t="str">
        <f t="shared" si="16"/>
        <v/>
      </c>
      <c r="Q118" s="54"/>
      <c r="R118" s="8" t="s">
        <v>148</v>
      </c>
      <c r="S118" s="14">
        <v>44564.0</v>
      </c>
      <c r="T118" s="16">
        <f>VLOOKUP(R118,'Run Reconcile'!$A$2:$L783,12,FALSE)</f>
        <v>4</v>
      </c>
      <c r="U118" s="16" t="str">
        <f t="shared" si="17"/>
        <v/>
      </c>
      <c r="V118" s="16" t="str">
        <f t="shared" si="18"/>
        <v/>
      </c>
      <c r="W118" s="16"/>
      <c r="X118" s="54"/>
      <c r="Z118" s="14"/>
      <c r="AA118" s="16"/>
      <c r="AB118" s="16"/>
      <c r="AC118" s="16"/>
      <c r="AD118" s="16"/>
      <c r="AE118" s="66"/>
      <c r="AF118" s="54"/>
      <c r="AG118" s="70" t="s">
        <v>148</v>
      </c>
      <c r="AH118" s="68">
        <f>VLOOKUP(AG118,'Run Reconcile'!A$2:B783,2,FALSE)</f>
        <v>44564</v>
      </c>
      <c r="AI118" s="69">
        <f>COUNTIF('APS Tubes IMPORT'!$V$2:$V783, AG118)
</f>
        <v>4</v>
      </c>
      <c r="AJ118" s="69">
        <f>COUNTIFS('APS Tubes IMPORT'!V$2:V783, AG118, 'APS Tubes IMPORT'!H$2:H783, "Negative")
</f>
        <v>4</v>
      </c>
      <c r="AK118" s="69">
        <f>COUNTIFS('APS Tubes IMPORT'!V$2:V783, AG118, 'APS Tubes IMPORT'!H$2:H783, "Positive")
</f>
        <v>0</v>
      </c>
      <c r="AL118" s="69">
        <f>COUNTIFS('APS Tubes IMPORT'!V$2:V783, AG118, 'APS Tubes IMPORT'!H$2:H783, "Inconclusive")
</f>
        <v>0</v>
      </c>
      <c r="AM118" s="69">
        <f>COUNTIFS('APS Tubes IMPORT'!V$2:V783, AG118, 'APS Tubes IMPORT'!H$2:H783, "Null")
</f>
        <v>0</v>
      </c>
      <c r="AN118" s="54"/>
      <c r="AO118" s="14">
        <f>'APS Tubes by Date IMPORT'!B117</f>
        <v>44579</v>
      </c>
      <c r="AP118" s="16">
        <f>'APS Tubes by Date IMPORT'!D117</f>
        <v>1</v>
      </c>
      <c r="AQ118" s="16">
        <f>'APS Tubes by Date IMPORT'!D117</f>
        <v>1</v>
      </c>
      <c r="AR118" s="16">
        <f>'APS Tubes by Date IMPORT'!E117</f>
        <v>0</v>
      </c>
      <c r="AS118" s="16">
        <f>'APS Tubes by Date IMPORT'!F117</f>
        <v>0</v>
      </c>
      <c r="AT118" s="16">
        <f>'APS Tubes by Date IMPORT'!G117</f>
        <v>0</v>
      </c>
      <c r="AU118" s="54"/>
    </row>
    <row r="119">
      <c r="A119" s="8" t="s">
        <v>149</v>
      </c>
      <c r="B119" s="58">
        <f>VLOOKUP(A119,'Run Reconcile'!A$2:B783,2,FALSE)</f>
        <v>44564</v>
      </c>
      <c r="C119" s="59">
        <f>COUNTIF('ALL Tube Results'!B118:B783, A119)
</f>
        <v>6</v>
      </c>
      <c r="D119" s="60">
        <f>COUNTIFS('ALL Tube Results'!$B118:$B783, $A119, 'ALL Tube Results'!$F118:$F783, "Negative")
</f>
        <v>4</v>
      </c>
      <c r="E119" s="60">
        <f>COUNTIFS('ALL Tube Results'!$B118:$B783, $A119, 'ALL Tube Results'!$F118:$F783, "Positive")
</f>
        <v>2</v>
      </c>
      <c r="F119" s="60">
        <f>COUNTIFS('ALL Tube Results'!$B118:$B783, $A119, 'ALL Tube Results'!$F118:$F783, "Inconclusive")
</f>
        <v>0</v>
      </c>
      <c r="G119" s="61">
        <f t="shared" si="7"/>
        <v>6</v>
      </c>
      <c r="H119" s="61" t="str">
        <f t="shared" si="8"/>
        <v/>
      </c>
      <c r="I119" s="62">
        <f t="shared" si="9"/>
        <v>8</v>
      </c>
      <c r="J119" s="63">
        <f t="shared" si="10"/>
        <v>2</v>
      </c>
      <c r="K119" s="63">
        <f t="shared" si="11"/>
        <v>0</v>
      </c>
      <c r="L119" s="63">
        <f t="shared" si="12"/>
        <v>-2</v>
      </c>
      <c r="M119" s="63" t="str">
        <f t="shared" si="13"/>
        <v/>
      </c>
      <c r="N119" s="63" t="str">
        <f t="shared" si="14"/>
        <v/>
      </c>
      <c r="O119" s="64">
        <f t="shared" si="15"/>
        <v>6</v>
      </c>
      <c r="P119" s="64" t="str">
        <f t="shared" si="16"/>
        <v/>
      </c>
      <c r="Q119" s="54"/>
      <c r="R119" s="8" t="s">
        <v>149</v>
      </c>
      <c r="S119" s="14">
        <v>44564.0</v>
      </c>
      <c r="T119" s="16">
        <f>VLOOKUP(R119,'Run Reconcile'!$A$2:$L783,12,FALSE)</f>
        <v>6</v>
      </c>
      <c r="U119" s="16" t="str">
        <f t="shared" si="17"/>
        <v/>
      </c>
      <c r="V119" s="16" t="str">
        <f t="shared" si="18"/>
        <v/>
      </c>
      <c r="W119" s="16"/>
      <c r="X119" s="54"/>
      <c r="Z119" s="14"/>
      <c r="AA119" s="16"/>
      <c r="AB119" s="16"/>
      <c r="AC119" s="16"/>
      <c r="AD119" s="16"/>
      <c r="AE119" s="66"/>
      <c r="AF119" s="54"/>
      <c r="AG119" s="70" t="s">
        <v>149</v>
      </c>
      <c r="AH119" s="68">
        <f>VLOOKUP(AG119,'Run Reconcile'!A$2:B783,2,FALSE)</f>
        <v>44564</v>
      </c>
      <c r="AI119" s="69">
        <f>COUNTIF('APS Tubes IMPORT'!$V$2:$V783, AG119)
</f>
        <v>6</v>
      </c>
      <c r="AJ119" s="69">
        <f>COUNTIFS('APS Tubes IMPORT'!V$2:V783, AG119, 'APS Tubes IMPORT'!H$2:H783, "Negative")
</f>
        <v>4</v>
      </c>
      <c r="AK119" s="69">
        <f>COUNTIFS('APS Tubes IMPORT'!V$2:V783, AG119, 'APS Tubes IMPORT'!H$2:H783, "Positive")
</f>
        <v>2</v>
      </c>
      <c r="AL119" s="69">
        <f>COUNTIFS('APS Tubes IMPORT'!V$2:V783, AG119, 'APS Tubes IMPORT'!H$2:H783, "Inconclusive")
</f>
        <v>0</v>
      </c>
      <c r="AM119" s="69">
        <f>COUNTIFS('APS Tubes IMPORT'!V$2:V783, AG119, 'APS Tubes IMPORT'!H$2:H783, "Null")
</f>
        <v>0</v>
      </c>
      <c r="AN119" s="54"/>
      <c r="AO119" s="14">
        <f>'APS Tubes by Date IMPORT'!B118</f>
        <v>44580</v>
      </c>
      <c r="AP119" s="16">
        <f>'APS Tubes by Date IMPORT'!D118</f>
        <v>5</v>
      </c>
      <c r="AQ119" s="16">
        <f>'APS Tubes by Date IMPORT'!D118</f>
        <v>5</v>
      </c>
      <c r="AR119" s="16">
        <f>'APS Tubes by Date IMPORT'!E118</f>
        <v>0</v>
      </c>
      <c r="AS119" s="16">
        <f>'APS Tubes by Date IMPORT'!F118</f>
        <v>0</v>
      </c>
      <c r="AT119" s="16">
        <f>'APS Tubes by Date IMPORT'!G118</f>
        <v>0</v>
      </c>
      <c r="AU119" s="54"/>
    </row>
    <row r="120">
      <c r="A120" s="8" t="s">
        <v>150</v>
      </c>
      <c r="B120" s="58">
        <f>VLOOKUP(A120,'Run Reconcile'!A$2:B783,2,FALSE)</f>
        <v>44565</v>
      </c>
      <c r="C120" s="59">
        <f>COUNTIF('ALL Tube Results'!B119:B783, A120)
</f>
        <v>8</v>
      </c>
      <c r="D120" s="60">
        <f>COUNTIFS('ALL Tube Results'!$B119:$B783, $A120, 'ALL Tube Results'!$F119:$F783, "Negative")
</f>
        <v>8</v>
      </c>
      <c r="E120" s="60">
        <f>COUNTIFS('ALL Tube Results'!$B119:$B783, $A120, 'ALL Tube Results'!$F119:$F783, "Positive")
</f>
        <v>0</v>
      </c>
      <c r="F120" s="60">
        <f>COUNTIFS('ALL Tube Results'!$B119:$B783, $A120, 'ALL Tube Results'!$F119:$F783, "Inconclusive")
</f>
        <v>0</v>
      </c>
      <c r="G120" s="61">
        <f t="shared" si="7"/>
        <v>8</v>
      </c>
      <c r="H120" s="61" t="str">
        <f t="shared" si="8"/>
        <v/>
      </c>
      <c r="I120" s="62">
        <f t="shared" si="9"/>
        <v>10</v>
      </c>
      <c r="J120" s="63">
        <f t="shared" si="10"/>
        <v>0</v>
      </c>
      <c r="K120" s="63">
        <f t="shared" si="11"/>
        <v>0</v>
      </c>
      <c r="L120" s="63">
        <f t="shared" si="12"/>
        <v>-2</v>
      </c>
      <c r="M120" s="63" t="str">
        <f t="shared" si="13"/>
        <v/>
      </c>
      <c r="N120" s="63" t="str">
        <f t="shared" si="14"/>
        <v/>
      </c>
      <c r="O120" s="64">
        <f t="shared" si="15"/>
        <v>8</v>
      </c>
      <c r="P120" s="64" t="str">
        <f t="shared" si="16"/>
        <v/>
      </c>
      <c r="Q120" s="54"/>
      <c r="R120" s="8" t="s">
        <v>150</v>
      </c>
      <c r="S120" s="14">
        <v>44565.0</v>
      </c>
      <c r="T120" s="16">
        <f>VLOOKUP(R120,'Run Reconcile'!$A$2:$L783,12,FALSE)</f>
        <v>8</v>
      </c>
      <c r="U120" s="16" t="str">
        <f t="shared" si="17"/>
        <v/>
      </c>
      <c r="V120" s="16" t="str">
        <f t="shared" si="18"/>
        <v/>
      </c>
      <c r="W120" s="16"/>
      <c r="X120" s="54"/>
      <c r="Z120" s="14"/>
      <c r="AA120" s="16"/>
      <c r="AB120" s="16"/>
      <c r="AC120" s="16"/>
      <c r="AD120" s="16"/>
      <c r="AE120" s="66"/>
      <c r="AF120" s="54"/>
      <c r="AG120" s="70" t="s">
        <v>150</v>
      </c>
      <c r="AH120" s="68">
        <f>VLOOKUP(AG120,'Run Reconcile'!A$2:B783,2,FALSE)</f>
        <v>44565</v>
      </c>
      <c r="AI120" s="69">
        <f>COUNTIF('APS Tubes IMPORT'!$V$2:$V783, AG120)
</f>
        <v>8</v>
      </c>
      <c r="AJ120" s="69">
        <f>COUNTIFS('APS Tubes IMPORT'!V$2:V783, AG120, 'APS Tubes IMPORT'!H$2:H783, "Negative")
</f>
        <v>8</v>
      </c>
      <c r="AK120" s="69">
        <f>COUNTIFS('APS Tubes IMPORT'!V$2:V783, AG120, 'APS Tubes IMPORT'!H$2:H783, "Positive")
</f>
        <v>0</v>
      </c>
      <c r="AL120" s="69">
        <f>COUNTIFS('APS Tubes IMPORT'!V$2:V783, AG120, 'APS Tubes IMPORT'!H$2:H783, "Inconclusive")
</f>
        <v>0</v>
      </c>
      <c r="AM120" s="69">
        <f>COUNTIFS('APS Tubes IMPORT'!V$2:V783, AG120, 'APS Tubes IMPORT'!H$2:H783, "Null")
</f>
        <v>0</v>
      </c>
      <c r="AN120" s="54"/>
      <c r="AO120" s="14">
        <f>'APS Tubes by Date IMPORT'!B119</f>
        <v>44581</v>
      </c>
      <c r="AP120" s="16">
        <f>'APS Tubes by Date IMPORT'!D119</f>
        <v>29</v>
      </c>
      <c r="AQ120" s="16">
        <f>'APS Tubes by Date IMPORT'!D119</f>
        <v>29</v>
      </c>
      <c r="AR120" s="16">
        <f>'APS Tubes by Date IMPORT'!E119</f>
        <v>0</v>
      </c>
      <c r="AS120" s="16">
        <f>'APS Tubes by Date IMPORT'!F119</f>
        <v>0</v>
      </c>
      <c r="AT120" s="16">
        <f>'APS Tubes by Date IMPORT'!G119</f>
        <v>0</v>
      </c>
      <c r="AU120" s="54"/>
    </row>
    <row r="121">
      <c r="A121" s="8" t="s">
        <v>151</v>
      </c>
      <c r="B121" s="58">
        <f>VLOOKUP(A121,'Run Reconcile'!A$2:B783,2,FALSE)</f>
        <v>44567</v>
      </c>
      <c r="C121" s="59">
        <f>COUNTIF('ALL Tube Results'!B120:B783, A121)
</f>
        <v>18</v>
      </c>
      <c r="D121" s="60">
        <f>COUNTIFS('ALL Tube Results'!$B120:$B783, $A121, 'ALL Tube Results'!$F120:$F783, "Negative")
</f>
        <v>14</v>
      </c>
      <c r="E121" s="60">
        <f>COUNTIFS('ALL Tube Results'!$B120:$B783, $A121, 'ALL Tube Results'!$F120:$F783, "Positive")
</f>
        <v>4</v>
      </c>
      <c r="F121" s="60">
        <f>COUNTIFS('ALL Tube Results'!$B120:$B783, $A121, 'ALL Tube Results'!$F120:$F783, "Inconclusive")
</f>
        <v>0</v>
      </c>
      <c r="G121" s="61">
        <f t="shared" si="7"/>
        <v>18</v>
      </c>
      <c r="H121" s="61" t="str">
        <f t="shared" si="8"/>
        <v/>
      </c>
      <c r="I121" s="62">
        <f t="shared" si="9"/>
        <v>22</v>
      </c>
      <c r="J121" s="63">
        <f t="shared" si="10"/>
        <v>4</v>
      </c>
      <c r="K121" s="63">
        <f t="shared" si="11"/>
        <v>0</v>
      </c>
      <c r="L121" s="63">
        <f t="shared" si="12"/>
        <v>-4</v>
      </c>
      <c r="M121" s="63" t="str">
        <f t="shared" si="13"/>
        <v/>
      </c>
      <c r="N121" s="63" t="str">
        <f t="shared" si="14"/>
        <v/>
      </c>
      <c r="O121" s="64">
        <f t="shared" si="15"/>
        <v>18</v>
      </c>
      <c r="P121" s="64" t="str">
        <f t="shared" si="16"/>
        <v/>
      </c>
      <c r="Q121" s="54"/>
      <c r="R121" s="8" t="s">
        <v>151</v>
      </c>
      <c r="S121" s="14">
        <v>44567.0</v>
      </c>
      <c r="T121" s="16">
        <f>VLOOKUP(R121,'Run Reconcile'!$A$2:$L783,12,FALSE)</f>
        <v>18</v>
      </c>
      <c r="U121" s="16" t="str">
        <f t="shared" si="17"/>
        <v/>
      </c>
      <c r="V121" s="16" t="str">
        <f t="shared" si="18"/>
        <v/>
      </c>
      <c r="W121" s="16"/>
      <c r="X121" s="54"/>
      <c r="Z121" s="14"/>
      <c r="AA121" s="16"/>
      <c r="AB121" s="16"/>
      <c r="AC121" s="16"/>
      <c r="AD121" s="16"/>
      <c r="AE121" s="66"/>
      <c r="AF121" s="54"/>
      <c r="AG121" s="70" t="s">
        <v>151</v>
      </c>
      <c r="AH121" s="68">
        <f>VLOOKUP(AG121,'Run Reconcile'!A$2:B783,2,FALSE)</f>
        <v>44567</v>
      </c>
      <c r="AI121" s="69">
        <f>COUNTIF('APS Tubes IMPORT'!$V$2:$V783, AG121)
</f>
        <v>18</v>
      </c>
      <c r="AJ121" s="69">
        <f>COUNTIFS('APS Tubes IMPORT'!V$2:V783, AG121, 'APS Tubes IMPORT'!H$2:H783, "Negative")
</f>
        <v>14</v>
      </c>
      <c r="AK121" s="69">
        <f>COUNTIFS('APS Tubes IMPORT'!V$2:V783, AG121, 'APS Tubes IMPORT'!H$2:H783, "Positive")
</f>
        <v>4</v>
      </c>
      <c r="AL121" s="69">
        <f>COUNTIFS('APS Tubes IMPORT'!V$2:V783, AG121, 'APS Tubes IMPORT'!H$2:H783, "Inconclusive")
</f>
        <v>0</v>
      </c>
      <c r="AM121" s="69">
        <f>COUNTIFS('APS Tubes IMPORT'!V$2:V783, AG121, 'APS Tubes IMPORT'!H$2:H783, "Null")
</f>
        <v>0</v>
      </c>
      <c r="AN121" s="54"/>
      <c r="AO121" s="14">
        <f>'APS Tubes by Date IMPORT'!B120</f>
        <v>44583</v>
      </c>
      <c r="AP121" s="16">
        <f>'APS Tubes by Date IMPORT'!D120</f>
        <v>3</v>
      </c>
      <c r="AQ121" s="16">
        <f>'APS Tubes by Date IMPORT'!D120</f>
        <v>3</v>
      </c>
      <c r="AR121" s="16">
        <f>'APS Tubes by Date IMPORT'!E120</f>
        <v>0</v>
      </c>
      <c r="AS121" s="16">
        <f>'APS Tubes by Date IMPORT'!F120</f>
        <v>0</v>
      </c>
      <c r="AT121" s="16">
        <f>'APS Tubes by Date IMPORT'!G120</f>
        <v>0</v>
      </c>
      <c r="AU121" s="54"/>
    </row>
    <row r="122">
      <c r="A122" s="8" t="s">
        <v>152</v>
      </c>
      <c r="B122" s="58">
        <f>VLOOKUP(A122,'Run Reconcile'!A$2:B783,2,FALSE)</f>
        <v>44569</v>
      </c>
      <c r="C122" s="59">
        <f>COUNTIF('ALL Tube Results'!B121:B783, A122)
</f>
        <v>7</v>
      </c>
      <c r="D122" s="60">
        <f>COUNTIFS('ALL Tube Results'!$B121:$B783, $A122, 'ALL Tube Results'!$F121:$F783, "Negative")
</f>
        <v>6</v>
      </c>
      <c r="E122" s="60">
        <f>COUNTIFS('ALL Tube Results'!$B121:$B783, $A122, 'ALL Tube Results'!$F121:$F783, "Positive")
</f>
        <v>1</v>
      </c>
      <c r="F122" s="60">
        <f>COUNTIFS('ALL Tube Results'!$B121:$B783, $A122, 'ALL Tube Results'!$F121:$F783, "Inconclusive")
</f>
        <v>0</v>
      </c>
      <c r="G122" s="61">
        <f t="shared" si="7"/>
        <v>7</v>
      </c>
      <c r="H122" s="61" t="str">
        <f t="shared" si="8"/>
        <v/>
      </c>
      <c r="I122" s="62">
        <f t="shared" si="9"/>
        <v>8</v>
      </c>
      <c r="J122" s="63">
        <f t="shared" si="10"/>
        <v>1</v>
      </c>
      <c r="K122" s="63">
        <f t="shared" si="11"/>
        <v>0</v>
      </c>
      <c r="L122" s="63">
        <f t="shared" si="12"/>
        <v>-1</v>
      </c>
      <c r="M122" s="63" t="str">
        <f t="shared" si="13"/>
        <v/>
      </c>
      <c r="N122" s="63" t="str">
        <f t="shared" si="14"/>
        <v/>
      </c>
      <c r="O122" s="64">
        <f t="shared" si="15"/>
        <v>7</v>
      </c>
      <c r="P122" s="64" t="str">
        <f t="shared" si="16"/>
        <v/>
      </c>
      <c r="Q122" s="54"/>
      <c r="R122" s="8" t="s">
        <v>152</v>
      </c>
      <c r="S122" s="14">
        <v>44569.0</v>
      </c>
      <c r="T122" s="16">
        <f>VLOOKUP(R122,'Run Reconcile'!$A$2:$L783,12,FALSE)</f>
        <v>7</v>
      </c>
      <c r="U122" s="16" t="str">
        <f t="shared" si="17"/>
        <v/>
      </c>
      <c r="V122" s="16" t="str">
        <f t="shared" si="18"/>
        <v/>
      </c>
      <c r="W122" s="16"/>
      <c r="X122" s="54"/>
      <c r="Z122" s="14"/>
      <c r="AA122" s="16"/>
      <c r="AB122" s="16"/>
      <c r="AC122" s="16"/>
      <c r="AD122" s="16"/>
      <c r="AE122" s="66"/>
      <c r="AF122" s="54"/>
      <c r="AG122" s="70" t="s">
        <v>152</v>
      </c>
      <c r="AH122" s="68">
        <f>VLOOKUP(AG122,'Run Reconcile'!A$2:B783,2,FALSE)</f>
        <v>44569</v>
      </c>
      <c r="AI122" s="69">
        <f>COUNTIF('APS Tubes IMPORT'!$V$2:$V783, AG122)
</f>
        <v>7</v>
      </c>
      <c r="AJ122" s="69">
        <f>COUNTIFS('APS Tubes IMPORT'!V$2:V783, AG122, 'APS Tubes IMPORT'!H$2:H783, "Negative")
</f>
        <v>6</v>
      </c>
      <c r="AK122" s="69">
        <f>COUNTIFS('APS Tubes IMPORT'!V$2:V783, AG122, 'APS Tubes IMPORT'!H$2:H783, "Positive")
</f>
        <v>1</v>
      </c>
      <c r="AL122" s="69">
        <f>COUNTIFS('APS Tubes IMPORT'!V$2:V783, AG122, 'APS Tubes IMPORT'!H$2:H783, "Inconclusive")
</f>
        <v>0</v>
      </c>
      <c r="AM122" s="69">
        <f>COUNTIFS('APS Tubes IMPORT'!V$2:V783, AG122, 'APS Tubes IMPORT'!H$2:H783, "Null")
</f>
        <v>0</v>
      </c>
      <c r="AN122" s="54"/>
      <c r="AO122" s="14">
        <f>'APS Tubes by Date IMPORT'!B121</f>
        <v>44584</v>
      </c>
      <c r="AP122" s="16">
        <f>'APS Tubes by Date IMPORT'!D121</f>
        <v>6</v>
      </c>
      <c r="AQ122" s="16">
        <f>'APS Tubes by Date IMPORT'!D121</f>
        <v>6</v>
      </c>
      <c r="AR122" s="16">
        <f>'APS Tubes by Date IMPORT'!E121</f>
        <v>0</v>
      </c>
      <c r="AS122" s="16">
        <f>'APS Tubes by Date IMPORT'!F121</f>
        <v>0</v>
      </c>
      <c r="AT122" s="16">
        <f>'APS Tubes by Date IMPORT'!G121</f>
        <v>0</v>
      </c>
      <c r="AU122" s="54"/>
    </row>
    <row r="123">
      <c r="A123" s="8" t="s">
        <v>153</v>
      </c>
      <c r="B123" s="58">
        <f>VLOOKUP(A123,'Run Reconcile'!A$2:B783,2,FALSE)</f>
        <v>44571</v>
      </c>
      <c r="C123" s="59">
        <f>COUNTIF('ALL Tube Results'!B122:B783, A123)
</f>
        <v>46</v>
      </c>
      <c r="D123" s="60">
        <f>COUNTIFS('ALL Tube Results'!$B122:$B783, $A123, 'ALL Tube Results'!$F122:$F783, "Negative")
</f>
        <v>32</v>
      </c>
      <c r="E123" s="60">
        <f>COUNTIFS('ALL Tube Results'!$B122:$B783, $A123, 'ALL Tube Results'!$F122:$F783, "Positive")
</f>
        <v>13</v>
      </c>
      <c r="F123" s="60">
        <f>COUNTIFS('ALL Tube Results'!$B122:$B783, $A123, 'ALL Tube Results'!$F122:$F783, "Inconclusive")
</f>
        <v>1</v>
      </c>
      <c r="G123" s="61">
        <f t="shared" si="7"/>
        <v>46</v>
      </c>
      <c r="H123" s="61" t="str">
        <f t="shared" si="8"/>
        <v/>
      </c>
      <c r="I123" s="62">
        <f t="shared" si="9"/>
        <v>46</v>
      </c>
      <c r="J123" s="63">
        <f t="shared" si="10"/>
        <v>13</v>
      </c>
      <c r="K123" s="63">
        <f t="shared" si="11"/>
        <v>1</v>
      </c>
      <c r="L123" s="63" t="str">
        <f t="shared" si="12"/>
        <v/>
      </c>
      <c r="M123" s="63" t="str">
        <f t="shared" si="13"/>
        <v/>
      </c>
      <c r="N123" s="63" t="str">
        <f t="shared" si="14"/>
        <v/>
      </c>
      <c r="O123" s="64">
        <f t="shared" si="15"/>
        <v>42</v>
      </c>
      <c r="P123" s="64">
        <f t="shared" si="16"/>
        <v>4</v>
      </c>
      <c r="Q123" s="54"/>
      <c r="R123" s="8" t="s">
        <v>153</v>
      </c>
      <c r="S123" s="14">
        <v>44571.0</v>
      </c>
      <c r="T123" s="16">
        <f>VLOOKUP(R123,'Run Reconcile'!$A$2:$L783,12,FALSE)</f>
        <v>46</v>
      </c>
      <c r="U123" s="16" t="str">
        <f t="shared" si="17"/>
        <v/>
      </c>
      <c r="V123" s="16" t="str">
        <f t="shared" si="18"/>
        <v/>
      </c>
      <c r="W123" s="16"/>
      <c r="X123" s="54"/>
      <c r="Z123" s="14"/>
      <c r="AA123" s="16"/>
      <c r="AB123" s="16"/>
      <c r="AC123" s="16"/>
      <c r="AD123" s="16"/>
      <c r="AE123" s="66"/>
      <c r="AF123" s="54"/>
      <c r="AG123" s="70" t="s">
        <v>153</v>
      </c>
      <c r="AH123" s="68">
        <f>VLOOKUP(AG123,'Run Reconcile'!A$2:B783,2,FALSE)</f>
        <v>44571</v>
      </c>
      <c r="AI123" s="69">
        <f>COUNTIF('APS Tubes IMPORT'!$V$2:$V783, AG123)
</f>
        <v>42</v>
      </c>
      <c r="AJ123" s="69">
        <f>COUNTIFS('APS Tubes IMPORT'!V$2:V783, AG123, 'APS Tubes IMPORT'!H$2:H783, "Negative")
</f>
        <v>28</v>
      </c>
      <c r="AK123" s="69">
        <f>COUNTIFS('APS Tubes IMPORT'!V$2:V783, AG123, 'APS Tubes IMPORT'!H$2:H783, "Positive")
</f>
        <v>13</v>
      </c>
      <c r="AL123" s="69">
        <f>COUNTIFS('APS Tubes IMPORT'!V$2:V783, AG123, 'APS Tubes IMPORT'!H$2:H783, "Inconclusive")
</f>
        <v>1</v>
      </c>
      <c r="AM123" s="69">
        <f>COUNTIFS('APS Tubes IMPORT'!V$2:V783, AG123, 'APS Tubes IMPORT'!H$2:H783, "Null")
</f>
        <v>0</v>
      </c>
      <c r="AN123" s="54"/>
      <c r="AO123" s="14">
        <f>'APS Tubes by Date IMPORT'!B122</f>
        <v>44585</v>
      </c>
      <c r="AP123" s="16">
        <f>'APS Tubes by Date IMPORT'!D122</f>
        <v>19</v>
      </c>
      <c r="AQ123" s="16">
        <f>'APS Tubes by Date IMPORT'!D122</f>
        <v>19</v>
      </c>
      <c r="AR123" s="16">
        <f>'APS Tubes by Date IMPORT'!E122</f>
        <v>0</v>
      </c>
      <c r="AS123" s="16">
        <f>'APS Tubes by Date IMPORT'!F122</f>
        <v>0</v>
      </c>
      <c r="AT123" s="16">
        <f>'APS Tubes by Date IMPORT'!G122</f>
        <v>0</v>
      </c>
      <c r="AU123" s="54"/>
    </row>
    <row r="124">
      <c r="A124" s="8" t="s">
        <v>154</v>
      </c>
      <c r="B124" s="58">
        <f>VLOOKUP(A124,'Run Reconcile'!A$2:B783,2,FALSE)</f>
        <v>44571</v>
      </c>
      <c r="C124" s="59">
        <f>COUNTIF('ALL Tube Results'!B123:B783, A124)
</f>
        <v>3</v>
      </c>
      <c r="D124" s="60">
        <f>COUNTIFS('ALL Tube Results'!$B123:$B783, $A124, 'ALL Tube Results'!$F123:$F783, "Negative")
</f>
        <v>2</v>
      </c>
      <c r="E124" s="60">
        <f>COUNTIFS('ALL Tube Results'!$B123:$B783, $A124, 'ALL Tube Results'!$F123:$F783, "Positive")
</f>
        <v>1</v>
      </c>
      <c r="F124" s="60">
        <f>COUNTIFS('ALL Tube Results'!$B123:$B783, $A124, 'ALL Tube Results'!$F123:$F783, "Inconclusive")
</f>
        <v>0</v>
      </c>
      <c r="G124" s="61">
        <f t="shared" si="7"/>
        <v>3</v>
      </c>
      <c r="H124" s="61" t="str">
        <f t="shared" si="8"/>
        <v/>
      </c>
      <c r="I124" s="62">
        <f t="shared" si="9"/>
        <v>3</v>
      </c>
      <c r="J124" s="63">
        <f t="shared" si="10"/>
        <v>1</v>
      </c>
      <c r="K124" s="63">
        <f t="shared" si="11"/>
        <v>0</v>
      </c>
      <c r="L124" s="63" t="str">
        <f t="shared" si="12"/>
        <v/>
      </c>
      <c r="M124" s="63" t="str">
        <f t="shared" si="13"/>
        <v/>
      </c>
      <c r="N124" s="63" t="str">
        <f t="shared" si="14"/>
        <v/>
      </c>
      <c r="O124" s="64">
        <f t="shared" si="15"/>
        <v>3</v>
      </c>
      <c r="P124" s="64" t="str">
        <f t="shared" si="16"/>
        <v/>
      </c>
      <c r="Q124" s="54"/>
      <c r="R124" s="8" t="s">
        <v>154</v>
      </c>
      <c r="S124" s="14">
        <v>44571.0</v>
      </c>
      <c r="T124" s="16">
        <f>VLOOKUP(R124,'Run Reconcile'!$A$2:$L783,12,FALSE)</f>
        <v>3</v>
      </c>
      <c r="U124" s="16" t="str">
        <f t="shared" si="17"/>
        <v/>
      </c>
      <c r="V124" s="16" t="str">
        <f t="shared" si="18"/>
        <v/>
      </c>
      <c r="W124" s="16"/>
      <c r="X124" s="54"/>
      <c r="Z124" s="14"/>
      <c r="AA124" s="16"/>
      <c r="AB124" s="16"/>
      <c r="AC124" s="16"/>
      <c r="AD124" s="16"/>
      <c r="AE124" s="66"/>
      <c r="AF124" s="54"/>
      <c r="AG124" s="70" t="s">
        <v>154</v>
      </c>
      <c r="AH124" s="68">
        <f>VLOOKUP(AG124,'Run Reconcile'!A$2:B783,2,FALSE)</f>
        <v>44571</v>
      </c>
      <c r="AI124" s="69">
        <f>COUNTIF('APS Tubes IMPORT'!$V$2:$V783, AG124)
</f>
        <v>3</v>
      </c>
      <c r="AJ124" s="69">
        <f>COUNTIFS('APS Tubes IMPORT'!V$2:V783, AG124, 'APS Tubes IMPORT'!H$2:H783, "Negative")
</f>
        <v>2</v>
      </c>
      <c r="AK124" s="69">
        <f>COUNTIFS('APS Tubes IMPORT'!V$2:V783, AG124, 'APS Tubes IMPORT'!H$2:H783, "Positive")
</f>
        <v>1</v>
      </c>
      <c r="AL124" s="69">
        <f>COUNTIFS('APS Tubes IMPORT'!V$2:V783, AG124, 'APS Tubes IMPORT'!H$2:H783, "Inconclusive")
</f>
        <v>0</v>
      </c>
      <c r="AM124" s="69">
        <f>COUNTIFS('APS Tubes IMPORT'!V$2:V783, AG124, 'APS Tubes IMPORT'!H$2:H783, "Null")
</f>
        <v>0</v>
      </c>
      <c r="AN124" s="54"/>
      <c r="AO124" s="14">
        <f>'APS Tubes by Date IMPORT'!B123</f>
        <v>44586</v>
      </c>
      <c r="AP124" s="16">
        <f>'APS Tubes by Date IMPORT'!D123</f>
        <v>5</v>
      </c>
      <c r="AQ124" s="16">
        <f>'APS Tubes by Date IMPORT'!D123</f>
        <v>5</v>
      </c>
      <c r="AR124" s="16">
        <f>'APS Tubes by Date IMPORT'!E123</f>
        <v>0</v>
      </c>
      <c r="AS124" s="16">
        <f>'APS Tubes by Date IMPORT'!F123</f>
        <v>0</v>
      </c>
      <c r="AT124" s="16">
        <f>'APS Tubes by Date IMPORT'!G123</f>
        <v>0</v>
      </c>
      <c r="AU124" s="54"/>
    </row>
    <row r="125">
      <c r="A125" s="8" t="s">
        <v>155</v>
      </c>
      <c r="B125" s="58">
        <f>VLOOKUP(A125,'Run Reconcile'!A$2:B783,2,FALSE)</f>
        <v>44572</v>
      </c>
      <c r="C125" s="59">
        <f>COUNTIF('ALL Tube Results'!B124:B783, A125)
</f>
        <v>2</v>
      </c>
      <c r="D125" s="60">
        <f>COUNTIFS('ALL Tube Results'!$B124:$B783, $A125, 'ALL Tube Results'!$F124:$F783, "Negative")
</f>
        <v>2</v>
      </c>
      <c r="E125" s="60">
        <f>COUNTIFS('ALL Tube Results'!$B124:$B783, $A125, 'ALL Tube Results'!$F124:$F783, "Positive")
</f>
        <v>0</v>
      </c>
      <c r="F125" s="60">
        <f>COUNTIFS('ALL Tube Results'!$B124:$B783, $A125, 'ALL Tube Results'!$F124:$F783, "Inconclusive")
</f>
        <v>0</v>
      </c>
      <c r="G125" s="61">
        <f t="shared" si="7"/>
        <v>2</v>
      </c>
      <c r="H125" s="61" t="str">
        <f t="shared" si="8"/>
        <v/>
      </c>
      <c r="I125" s="62" t="str">
        <f t="shared" si="9"/>
        <v/>
      </c>
      <c r="J125" s="63" t="str">
        <f t="shared" si="10"/>
        <v/>
      </c>
      <c r="K125" s="63" t="str">
        <f t="shared" si="11"/>
        <v/>
      </c>
      <c r="L125" s="63">
        <f t="shared" si="12"/>
        <v>2</v>
      </c>
      <c r="M125" s="63" t="str">
        <f t="shared" si="13"/>
        <v/>
      </c>
      <c r="N125" s="63" t="str">
        <f t="shared" si="14"/>
        <v/>
      </c>
      <c r="O125" s="64">
        <f t="shared" si="15"/>
        <v>2</v>
      </c>
      <c r="P125" s="64" t="str">
        <f t="shared" si="16"/>
        <v/>
      </c>
      <c r="Q125" s="54"/>
      <c r="R125" s="8" t="s">
        <v>155</v>
      </c>
      <c r="S125" s="14">
        <v>44572.0</v>
      </c>
      <c r="T125" s="16">
        <f>VLOOKUP(R125,'Run Reconcile'!$A$2:$L783,12,FALSE)</f>
        <v>2</v>
      </c>
      <c r="U125" s="16" t="str">
        <f t="shared" si="17"/>
        <v/>
      </c>
      <c r="V125" s="16" t="str">
        <f t="shared" si="18"/>
        <v/>
      </c>
      <c r="W125" s="16"/>
      <c r="X125" s="54"/>
      <c r="Z125" s="14"/>
      <c r="AA125" s="16"/>
      <c r="AB125" s="16"/>
      <c r="AC125" s="16"/>
      <c r="AD125" s="16"/>
      <c r="AE125" s="66"/>
      <c r="AF125" s="54"/>
      <c r="AG125" s="70" t="s">
        <v>155</v>
      </c>
      <c r="AH125" s="68">
        <f>VLOOKUP(AG125,'Run Reconcile'!A$2:B783,2,FALSE)</f>
        <v>44572</v>
      </c>
      <c r="AI125" s="69">
        <f>COUNTIF('APS Tubes IMPORT'!$V$2:$V783, AG125)
</f>
        <v>2</v>
      </c>
      <c r="AJ125" s="69">
        <f>COUNTIFS('APS Tubes IMPORT'!V$2:V783, AG125, 'APS Tubes IMPORT'!H$2:H783, "Negative")
</f>
        <v>2</v>
      </c>
      <c r="AK125" s="69">
        <f>COUNTIFS('APS Tubes IMPORT'!V$2:V783, AG125, 'APS Tubes IMPORT'!H$2:H783, "Positive")
</f>
        <v>0</v>
      </c>
      <c r="AL125" s="69">
        <f>COUNTIFS('APS Tubes IMPORT'!V$2:V783, AG125, 'APS Tubes IMPORT'!H$2:H783, "Inconclusive")
</f>
        <v>0</v>
      </c>
      <c r="AM125" s="69">
        <f>COUNTIFS('APS Tubes IMPORT'!V$2:V783, AG125, 'APS Tubes IMPORT'!H$2:H783, "Null")
</f>
        <v>0</v>
      </c>
      <c r="AN125" s="54"/>
      <c r="AO125" s="14">
        <f>'APS Tubes by Date IMPORT'!B124</f>
        <v>44587</v>
      </c>
      <c r="AP125" s="16">
        <f>'APS Tubes by Date IMPORT'!D124</f>
        <v>4</v>
      </c>
      <c r="AQ125" s="16">
        <f>'APS Tubes by Date IMPORT'!D124</f>
        <v>4</v>
      </c>
      <c r="AR125" s="16">
        <f>'APS Tubes by Date IMPORT'!E124</f>
        <v>0</v>
      </c>
      <c r="AS125" s="16">
        <f>'APS Tubes by Date IMPORT'!F124</f>
        <v>0</v>
      </c>
      <c r="AT125" s="16">
        <f>'APS Tubes by Date IMPORT'!G124</f>
        <v>0</v>
      </c>
      <c r="AU125" s="54"/>
    </row>
    <row r="126">
      <c r="A126" s="8" t="s">
        <v>156</v>
      </c>
      <c r="B126" s="58">
        <f>VLOOKUP(A126,'Run Reconcile'!A$2:B783,2,FALSE)</f>
        <v>44572</v>
      </c>
      <c r="C126" s="59">
        <f>COUNTIF('ALL Tube Results'!B125:B783, A126)
</f>
        <v>1</v>
      </c>
      <c r="D126" s="60">
        <f>COUNTIFS('ALL Tube Results'!$B125:$B783, $A126, 'ALL Tube Results'!$F125:$F783, "Negative")
</f>
        <v>0</v>
      </c>
      <c r="E126" s="60">
        <f>COUNTIFS('ALL Tube Results'!$B125:$B783, $A126, 'ALL Tube Results'!$F125:$F783, "Positive")
</f>
        <v>1</v>
      </c>
      <c r="F126" s="60">
        <f>COUNTIFS('ALL Tube Results'!$B125:$B783, $A126, 'ALL Tube Results'!$F125:$F783, "Inconclusive")
</f>
        <v>0</v>
      </c>
      <c r="G126" s="61">
        <f t="shared" si="7"/>
        <v>1</v>
      </c>
      <c r="H126" s="61" t="str">
        <f t="shared" si="8"/>
        <v/>
      </c>
      <c r="I126" s="62">
        <f t="shared" si="9"/>
        <v>1</v>
      </c>
      <c r="J126" s="63">
        <f t="shared" si="10"/>
        <v>1</v>
      </c>
      <c r="K126" s="63">
        <f t="shared" si="11"/>
        <v>0</v>
      </c>
      <c r="L126" s="63" t="str">
        <f t="shared" si="12"/>
        <v/>
      </c>
      <c r="M126" s="63" t="str">
        <f t="shared" si="13"/>
        <v/>
      </c>
      <c r="N126" s="63" t="str">
        <f t="shared" si="14"/>
        <v/>
      </c>
      <c r="O126" s="64">
        <f t="shared" si="15"/>
        <v>1</v>
      </c>
      <c r="P126" s="64" t="str">
        <f t="shared" si="16"/>
        <v/>
      </c>
      <c r="Q126" s="54"/>
      <c r="R126" s="8" t="s">
        <v>156</v>
      </c>
      <c r="S126" s="14">
        <v>44572.0</v>
      </c>
      <c r="T126" s="16">
        <f>VLOOKUP(R126,'Run Reconcile'!$A$2:$L783,12,FALSE)</f>
        <v>1</v>
      </c>
      <c r="U126" s="16" t="str">
        <f t="shared" si="17"/>
        <v/>
      </c>
      <c r="V126" s="16" t="str">
        <f t="shared" si="18"/>
        <v/>
      </c>
      <c r="W126" s="16"/>
      <c r="X126" s="54"/>
      <c r="Z126" s="14"/>
      <c r="AA126" s="16"/>
      <c r="AB126" s="16"/>
      <c r="AC126" s="16"/>
      <c r="AD126" s="16"/>
      <c r="AE126" s="66"/>
      <c r="AF126" s="54"/>
      <c r="AG126" s="70" t="s">
        <v>156</v>
      </c>
      <c r="AH126" s="68">
        <f>VLOOKUP(AG126,'Run Reconcile'!A$2:B783,2,FALSE)</f>
        <v>44572</v>
      </c>
      <c r="AI126" s="69">
        <f>COUNTIF('APS Tubes IMPORT'!$V$2:$V783, AG126)
</f>
        <v>1</v>
      </c>
      <c r="AJ126" s="69">
        <f>COUNTIFS('APS Tubes IMPORT'!V$2:V783, AG126, 'APS Tubes IMPORT'!H$2:H783, "Negative")
</f>
        <v>0</v>
      </c>
      <c r="AK126" s="69">
        <f>COUNTIFS('APS Tubes IMPORT'!V$2:V783, AG126, 'APS Tubes IMPORT'!H$2:H783, "Positive")
</f>
        <v>1</v>
      </c>
      <c r="AL126" s="69">
        <f>COUNTIFS('APS Tubes IMPORT'!V$2:V783, AG126, 'APS Tubes IMPORT'!H$2:H783, "Inconclusive")
</f>
        <v>0</v>
      </c>
      <c r="AM126" s="69">
        <f>COUNTIFS('APS Tubes IMPORT'!V$2:V783, AG126, 'APS Tubes IMPORT'!H$2:H783, "Null")
</f>
        <v>0</v>
      </c>
      <c r="AN126" s="54"/>
      <c r="AO126" s="14">
        <f>'APS Tubes by Date IMPORT'!B125</f>
        <v>44588</v>
      </c>
      <c r="AP126" s="16">
        <f>'APS Tubes by Date IMPORT'!D125</f>
        <v>25</v>
      </c>
      <c r="AQ126" s="16">
        <f>'APS Tubes by Date IMPORT'!D125</f>
        <v>25</v>
      </c>
      <c r="AR126" s="16">
        <f>'APS Tubes by Date IMPORT'!E125</f>
        <v>0</v>
      </c>
      <c r="AS126" s="16">
        <f>'APS Tubes by Date IMPORT'!F125</f>
        <v>0</v>
      </c>
      <c r="AT126" s="16">
        <f>'APS Tubes by Date IMPORT'!G125</f>
        <v>0</v>
      </c>
      <c r="AU126" s="54"/>
    </row>
    <row r="127">
      <c r="A127" s="8" t="s">
        <v>157</v>
      </c>
      <c r="B127" s="58">
        <f>VLOOKUP(A127,'Run Reconcile'!A$2:B783,2,FALSE)</f>
        <v>44574</v>
      </c>
      <c r="C127" s="59">
        <f>COUNTIF('ALL Tube Results'!B126:B783, A127)
</f>
        <v>2</v>
      </c>
      <c r="D127" s="60">
        <f>COUNTIFS('ALL Tube Results'!$B126:$B783, $A127, 'ALL Tube Results'!$F126:$F783, "Negative")
</f>
        <v>2</v>
      </c>
      <c r="E127" s="60">
        <f>COUNTIFS('ALL Tube Results'!$B126:$B783, $A127, 'ALL Tube Results'!$F126:$F783, "Positive")
</f>
        <v>0</v>
      </c>
      <c r="F127" s="60">
        <f>COUNTIFS('ALL Tube Results'!$B126:$B783, $A127, 'ALL Tube Results'!$F126:$F783, "Inconclusive")
</f>
        <v>0</v>
      </c>
      <c r="G127" s="61">
        <f t="shared" si="7"/>
        <v>2</v>
      </c>
      <c r="H127" s="61" t="str">
        <f t="shared" si="8"/>
        <v/>
      </c>
      <c r="I127" s="62">
        <f t="shared" si="9"/>
        <v>3</v>
      </c>
      <c r="J127" s="63">
        <f t="shared" si="10"/>
        <v>0</v>
      </c>
      <c r="K127" s="63">
        <f t="shared" si="11"/>
        <v>0</v>
      </c>
      <c r="L127" s="63">
        <f t="shared" si="12"/>
        <v>-1</v>
      </c>
      <c r="M127" s="63" t="str">
        <f t="shared" si="13"/>
        <v/>
      </c>
      <c r="N127" s="63" t="str">
        <f t="shared" si="14"/>
        <v/>
      </c>
      <c r="O127" s="64">
        <f t="shared" si="15"/>
        <v>2</v>
      </c>
      <c r="P127" s="64" t="str">
        <f t="shared" si="16"/>
        <v/>
      </c>
      <c r="Q127" s="54"/>
      <c r="R127" s="8" t="s">
        <v>157</v>
      </c>
      <c r="S127" s="14">
        <v>44574.0</v>
      </c>
      <c r="T127" s="16">
        <f>VLOOKUP(R127,'Run Reconcile'!$A$2:$L783,12,FALSE)</f>
        <v>2</v>
      </c>
      <c r="U127" s="16" t="str">
        <f t="shared" si="17"/>
        <v/>
      </c>
      <c r="V127" s="16" t="str">
        <f t="shared" si="18"/>
        <v/>
      </c>
      <c r="W127" s="16"/>
      <c r="X127" s="54"/>
      <c r="Z127" s="14"/>
      <c r="AA127" s="16"/>
      <c r="AB127" s="16"/>
      <c r="AC127" s="16"/>
      <c r="AD127" s="16"/>
      <c r="AE127" s="66"/>
      <c r="AF127" s="54"/>
      <c r="AG127" s="70" t="s">
        <v>157</v>
      </c>
      <c r="AH127" s="68">
        <f>VLOOKUP(AG127,'Run Reconcile'!A$2:B783,2,FALSE)</f>
        <v>44574</v>
      </c>
      <c r="AI127" s="69">
        <f>COUNTIF('APS Tubes IMPORT'!$V$2:$V783, AG127)
</f>
        <v>2</v>
      </c>
      <c r="AJ127" s="69">
        <f>COUNTIFS('APS Tubes IMPORT'!V$2:V783, AG127, 'APS Tubes IMPORT'!H$2:H783, "Negative")
</f>
        <v>2</v>
      </c>
      <c r="AK127" s="69">
        <f>COUNTIFS('APS Tubes IMPORT'!V$2:V783, AG127, 'APS Tubes IMPORT'!H$2:H783, "Positive")
</f>
        <v>0</v>
      </c>
      <c r="AL127" s="69">
        <f>COUNTIFS('APS Tubes IMPORT'!V$2:V783, AG127, 'APS Tubes IMPORT'!H$2:H783, "Inconclusive")
</f>
        <v>0</v>
      </c>
      <c r="AM127" s="69">
        <f>COUNTIFS('APS Tubes IMPORT'!V$2:V783, AG127, 'APS Tubes IMPORT'!H$2:H783, "Null")
</f>
        <v>0</v>
      </c>
      <c r="AN127" s="54"/>
      <c r="AO127" s="14">
        <f>'APS Tubes by Date IMPORT'!B126</f>
        <v>44590</v>
      </c>
      <c r="AP127" s="16">
        <f>'APS Tubes by Date IMPORT'!D126</f>
        <v>6</v>
      </c>
      <c r="AQ127" s="16">
        <f>'APS Tubes by Date IMPORT'!D126</f>
        <v>6</v>
      </c>
      <c r="AR127" s="16">
        <f>'APS Tubes by Date IMPORT'!E126</f>
        <v>0</v>
      </c>
      <c r="AS127" s="16">
        <f>'APS Tubes by Date IMPORT'!F126</f>
        <v>0</v>
      </c>
      <c r="AT127" s="16">
        <f>'APS Tubes by Date IMPORT'!G126</f>
        <v>0</v>
      </c>
      <c r="AU127" s="54"/>
    </row>
    <row r="128">
      <c r="A128" s="8" t="s">
        <v>158</v>
      </c>
      <c r="B128" s="58">
        <f>VLOOKUP(A128,'Run Reconcile'!A$2:B783,2,FALSE)</f>
        <v>44574</v>
      </c>
      <c r="C128" s="59">
        <f>COUNTIF('ALL Tube Results'!B127:B783, A128)
</f>
        <v>30</v>
      </c>
      <c r="D128" s="60">
        <f>COUNTIFS('ALL Tube Results'!$B127:$B783, $A128, 'ALL Tube Results'!$F127:$F783, "Negative")
</f>
        <v>30</v>
      </c>
      <c r="E128" s="60">
        <f>COUNTIFS('ALL Tube Results'!$B127:$B783, $A128, 'ALL Tube Results'!$F127:$F783, "Positive")
</f>
        <v>0</v>
      </c>
      <c r="F128" s="60">
        <f>COUNTIFS('ALL Tube Results'!$B127:$B783, $A128, 'ALL Tube Results'!$F127:$F783, "Inconclusive")
</f>
        <v>0</v>
      </c>
      <c r="G128" s="61">
        <f t="shared" si="7"/>
        <v>30</v>
      </c>
      <c r="H128" s="61" t="str">
        <f t="shared" si="8"/>
        <v/>
      </c>
      <c r="I128" s="62">
        <f t="shared" si="9"/>
        <v>30</v>
      </c>
      <c r="J128" s="63">
        <f t="shared" si="10"/>
        <v>0</v>
      </c>
      <c r="K128" s="63">
        <f t="shared" si="11"/>
        <v>0</v>
      </c>
      <c r="L128" s="63" t="str">
        <f t="shared" si="12"/>
        <v/>
      </c>
      <c r="M128" s="63" t="str">
        <f t="shared" si="13"/>
        <v/>
      </c>
      <c r="N128" s="63" t="str">
        <f t="shared" si="14"/>
        <v/>
      </c>
      <c r="O128" s="64">
        <f t="shared" si="15"/>
        <v>30</v>
      </c>
      <c r="P128" s="64" t="str">
        <f t="shared" si="16"/>
        <v/>
      </c>
      <c r="Q128" s="54"/>
      <c r="R128" s="8" t="s">
        <v>158</v>
      </c>
      <c r="S128" s="14">
        <v>44574.0</v>
      </c>
      <c r="T128" s="16">
        <f>VLOOKUP(R128,'Run Reconcile'!$A$2:$L783,12,FALSE)</f>
        <v>30</v>
      </c>
      <c r="U128" s="16" t="str">
        <f t="shared" si="17"/>
        <v/>
      </c>
      <c r="V128" s="16" t="str">
        <f t="shared" si="18"/>
        <v/>
      </c>
      <c r="W128" s="16"/>
      <c r="X128" s="54"/>
      <c r="Z128" s="14"/>
      <c r="AA128" s="16"/>
      <c r="AB128" s="16"/>
      <c r="AC128" s="16"/>
      <c r="AD128" s="16"/>
      <c r="AE128" s="66"/>
      <c r="AF128" s="54"/>
      <c r="AG128" s="70" t="s">
        <v>158</v>
      </c>
      <c r="AH128" s="68">
        <f>VLOOKUP(AG128,'Run Reconcile'!A$2:B783,2,FALSE)</f>
        <v>44574</v>
      </c>
      <c r="AI128" s="69">
        <f>COUNTIF('APS Tubes IMPORT'!$V$2:$V783, AG128)
</f>
        <v>30</v>
      </c>
      <c r="AJ128" s="69">
        <f>COUNTIFS('APS Tubes IMPORT'!V$2:V783, AG128, 'APS Tubes IMPORT'!H$2:H783, "Negative")
</f>
        <v>30</v>
      </c>
      <c r="AK128" s="69">
        <f>COUNTIFS('APS Tubes IMPORT'!V$2:V783, AG128, 'APS Tubes IMPORT'!H$2:H783, "Positive")
</f>
        <v>0</v>
      </c>
      <c r="AL128" s="69">
        <f>COUNTIFS('APS Tubes IMPORT'!V$2:V783, AG128, 'APS Tubes IMPORT'!H$2:H783, "Inconclusive")
</f>
        <v>0</v>
      </c>
      <c r="AM128" s="69">
        <f>COUNTIFS('APS Tubes IMPORT'!V$2:V783, AG128, 'APS Tubes IMPORT'!H$2:H783, "Null")
</f>
        <v>0</v>
      </c>
      <c r="AN128" s="54"/>
      <c r="AO128" s="14">
        <f>'APS Tubes by Date IMPORT'!B127</f>
        <v>44591</v>
      </c>
      <c r="AP128" s="16">
        <f>'APS Tubes by Date IMPORT'!D127</f>
        <v>2</v>
      </c>
      <c r="AQ128" s="16">
        <f>'APS Tubes by Date IMPORT'!D127</f>
        <v>2</v>
      </c>
      <c r="AR128" s="16">
        <f>'APS Tubes by Date IMPORT'!E127</f>
        <v>0</v>
      </c>
      <c r="AS128" s="16">
        <f>'APS Tubes by Date IMPORT'!F127</f>
        <v>0</v>
      </c>
      <c r="AT128" s="16">
        <f>'APS Tubes by Date IMPORT'!G127</f>
        <v>0</v>
      </c>
      <c r="AU128" s="54"/>
    </row>
    <row r="129">
      <c r="A129" s="8" t="s">
        <v>159</v>
      </c>
      <c r="B129" s="58">
        <f>VLOOKUP(A129,'Run Reconcile'!A$2:B783,2,FALSE)</f>
        <v>44576</v>
      </c>
      <c r="C129" s="59">
        <f>COUNTIF('ALL Tube Results'!B128:B783, A129)
</f>
        <v>4</v>
      </c>
      <c r="D129" s="60">
        <f>COUNTIFS('ALL Tube Results'!$B128:$B783, $A129, 'ALL Tube Results'!$F128:$F783, "Negative")
</f>
        <v>4</v>
      </c>
      <c r="E129" s="60">
        <f>COUNTIFS('ALL Tube Results'!$B128:$B783, $A129, 'ALL Tube Results'!$F128:$F783, "Positive")
</f>
        <v>0</v>
      </c>
      <c r="F129" s="60">
        <f>COUNTIFS('ALL Tube Results'!$B128:$B783, $A129, 'ALL Tube Results'!$F128:$F783, "Inconclusive")
</f>
        <v>0</v>
      </c>
      <c r="G129" s="61">
        <f t="shared" si="7"/>
        <v>4</v>
      </c>
      <c r="H129" s="61" t="str">
        <f t="shared" si="8"/>
        <v/>
      </c>
      <c r="I129" s="62">
        <f t="shared" si="9"/>
        <v>4</v>
      </c>
      <c r="J129" s="63">
        <f t="shared" si="10"/>
        <v>0</v>
      </c>
      <c r="K129" s="63">
        <f t="shared" si="11"/>
        <v>0</v>
      </c>
      <c r="L129" s="63" t="str">
        <f t="shared" si="12"/>
        <v/>
      </c>
      <c r="M129" s="63" t="str">
        <f t="shared" si="13"/>
        <v/>
      </c>
      <c r="N129" s="63" t="str">
        <f t="shared" si="14"/>
        <v/>
      </c>
      <c r="O129" s="64">
        <f t="shared" si="15"/>
        <v>4</v>
      </c>
      <c r="P129" s="64" t="str">
        <f t="shared" si="16"/>
        <v/>
      </c>
      <c r="Q129" s="54"/>
      <c r="R129" s="8" t="s">
        <v>159</v>
      </c>
      <c r="S129" s="14">
        <v>44576.0</v>
      </c>
      <c r="T129" s="16">
        <f>VLOOKUP(R129,'Run Reconcile'!$A$2:$L783,12,FALSE)</f>
        <v>4</v>
      </c>
      <c r="U129" s="16" t="str">
        <f t="shared" si="17"/>
        <v/>
      </c>
      <c r="V129" s="16" t="str">
        <f t="shared" si="18"/>
        <v/>
      </c>
      <c r="W129" s="16"/>
      <c r="X129" s="54"/>
      <c r="Z129" s="14"/>
      <c r="AA129" s="16"/>
      <c r="AB129" s="16"/>
      <c r="AC129" s="16"/>
      <c r="AD129" s="16"/>
      <c r="AE129" s="66"/>
      <c r="AF129" s="54"/>
      <c r="AG129" s="70" t="s">
        <v>159</v>
      </c>
      <c r="AH129" s="68">
        <f>VLOOKUP(AG129,'Run Reconcile'!A$2:B783,2,FALSE)</f>
        <v>44576</v>
      </c>
      <c r="AI129" s="69">
        <f>COUNTIF('APS Tubes IMPORT'!$V$2:$V783, AG129)
</f>
        <v>4</v>
      </c>
      <c r="AJ129" s="69">
        <f>COUNTIFS('APS Tubes IMPORT'!V$2:V783, AG129, 'APS Tubes IMPORT'!H$2:H783, "Negative")
</f>
        <v>4</v>
      </c>
      <c r="AK129" s="69">
        <f>COUNTIFS('APS Tubes IMPORT'!V$2:V783, AG129, 'APS Tubes IMPORT'!H$2:H783, "Positive")
</f>
        <v>0</v>
      </c>
      <c r="AL129" s="69">
        <f>COUNTIFS('APS Tubes IMPORT'!V$2:V783, AG129, 'APS Tubes IMPORT'!H$2:H783, "Inconclusive")
</f>
        <v>0</v>
      </c>
      <c r="AM129" s="69">
        <f>COUNTIFS('APS Tubes IMPORT'!V$2:V783, AG129, 'APS Tubes IMPORT'!H$2:H783, "Null")
</f>
        <v>0</v>
      </c>
      <c r="AN129" s="54"/>
      <c r="AO129" s="14">
        <f>'APS Tubes by Date IMPORT'!B128</f>
        <v>44592</v>
      </c>
      <c r="AP129" s="16">
        <f>'APS Tubes by Date IMPORT'!D128</f>
        <v>21</v>
      </c>
      <c r="AQ129" s="16">
        <f>'APS Tubes by Date IMPORT'!D128</f>
        <v>21</v>
      </c>
      <c r="AR129" s="16">
        <f>'APS Tubes by Date IMPORT'!E128</f>
        <v>0</v>
      </c>
      <c r="AS129" s="16">
        <f>'APS Tubes by Date IMPORT'!F128</f>
        <v>0</v>
      </c>
      <c r="AT129" s="16">
        <f>'APS Tubes by Date IMPORT'!G128</f>
        <v>0</v>
      </c>
      <c r="AU129" s="54"/>
    </row>
    <row r="130">
      <c r="A130" s="8" t="s">
        <v>160</v>
      </c>
      <c r="B130" s="58">
        <f>VLOOKUP(A130,'Run Reconcile'!A$2:B783,2,FALSE)</f>
        <v>44577</v>
      </c>
      <c r="C130" s="59">
        <f>COUNTIF('ALL Tube Results'!B129:B783, A130)
</f>
        <v>5</v>
      </c>
      <c r="D130" s="60">
        <f>COUNTIFS('ALL Tube Results'!$B129:$B783, $A130, 'ALL Tube Results'!$F129:$F783, "Negative")
</f>
        <v>5</v>
      </c>
      <c r="E130" s="60">
        <f>COUNTIFS('ALL Tube Results'!$B129:$B783, $A130, 'ALL Tube Results'!$F129:$F783, "Positive")
</f>
        <v>0</v>
      </c>
      <c r="F130" s="60">
        <f>COUNTIFS('ALL Tube Results'!$B129:$B783, $A130, 'ALL Tube Results'!$F129:$F783, "Inconclusive")
</f>
        <v>0</v>
      </c>
      <c r="G130" s="61">
        <f t="shared" si="7"/>
        <v>5</v>
      </c>
      <c r="H130" s="61" t="str">
        <f t="shared" si="8"/>
        <v/>
      </c>
      <c r="I130" s="62" t="str">
        <f t="shared" si="9"/>
        <v/>
      </c>
      <c r="J130" s="63" t="str">
        <f t="shared" si="10"/>
        <v/>
      </c>
      <c r="K130" s="63" t="str">
        <f t="shared" si="11"/>
        <v/>
      </c>
      <c r="L130" s="63">
        <f t="shared" si="12"/>
        <v>5</v>
      </c>
      <c r="M130" s="63" t="str">
        <f t="shared" si="13"/>
        <v/>
      </c>
      <c r="N130" s="63" t="str">
        <f t="shared" si="14"/>
        <v/>
      </c>
      <c r="O130" s="64">
        <f t="shared" si="15"/>
        <v>5</v>
      </c>
      <c r="P130" s="64" t="str">
        <f t="shared" si="16"/>
        <v/>
      </c>
      <c r="Q130" s="54"/>
      <c r="R130" s="8" t="s">
        <v>160</v>
      </c>
      <c r="S130" s="14">
        <v>44577.0</v>
      </c>
      <c r="T130" s="16">
        <f>VLOOKUP(R130,'Run Reconcile'!$A$2:$L783,12,FALSE)</f>
        <v>5</v>
      </c>
      <c r="U130" s="16" t="str">
        <f t="shared" si="17"/>
        <v/>
      </c>
      <c r="V130" s="16" t="str">
        <f t="shared" si="18"/>
        <v/>
      </c>
      <c r="W130" s="16"/>
      <c r="X130" s="54"/>
      <c r="Z130" s="14"/>
      <c r="AA130" s="16"/>
      <c r="AB130" s="16"/>
      <c r="AC130" s="16"/>
      <c r="AD130" s="16"/>
      <c r="AE130" s="66"/>
      <c r="AF130" s="54"/>
      <c r="AG130" s="70" t="s">
        <v>160</v>
      </c>
      <c r="AH130" s="68">
        <f>VLOOKUP(AG130,'Run Reconcile'!A$2:B783,2,FALSE)</f>
        <v>44577</v>
      </c>
      <c r="AI130" s="69">
        <f>COUNTIF('APS Tubes IMPORT'!$V$2:$V783, AG130)
</f>
        <v>5</v>
      </c>
      <c r="AJ130" s="69">
        <f>COUNTIFS('APS Tubes IMPORT'!V$2:V783, AG130, 'APS Tubes IMPORT'!H$2:H783, "Negative")
</f>
        <v>5</v>
      </c>
      <c r="AK130" s="69">
        <f>COUNTIFS('APS Tubes IMPORT'!V$2:V783, AG130, 'APS Tubes IMPORT'!H$2:H783, "Positive")
</f>
        <v>0</v>
      </c>
      <c r="AL130" s="69">
        <f>COUNTIFS('APS Tubes IMPORT'!V$2:V783, AG130, 'APS Tubes IMPORT'!H$2:H783, "Inconclusive")
</f>
        <v>0</v>
      </c>
      <c r="AM130" s="69">
        <f>COUNTIFS('APS Tubes IMPORT'!V$2:V783, AG130, 'APS Tubes IMPORT'!H$2:H783, "Null")
</f>
        <v>0</v>
      </c>
      <c r="AN130" s="54"/>
      <c r="AO130" s="14">
        <f>'APS Tubes by Date IMPORT'!B129</f>
        <v>44594</v>
      </c>
      <c r="AP130" s="16">
        <f>'APS Tubes by Date IMPORT'!D129</f>
        <v>5</v>
      </c>
      <c r="AQ130" s="16">
        <f>'APS Tubes by Date IMPORT'!D129</f>
        <v>5</v>
      </c>
      <c r="AR130" s="16">
        <f>'APS Tubes by Date IMPORT'!E129</f>
        <v>0</v>
      </c>
      <c r="AS130" s="16">
        <f>'APS Tubes by Date IMPORT'!F129</f>
        <v>0</v>
      </c>
      <c r="AT130" s="16">
        <f>'APS Tubes by Date IMPORT'!G129</f>
        <v>0</v>
      </c>
      <c r="AU130" s="54"/>
    </row>
    <row r="131">
      <c r="A131" s="8" t="s">
        <v>161</v>
      </c>
      <c r="B131" s="58">
        <f>VLOOKUP(A131,'Run Reconcile'!A$2:B783,2,FALSE)</f>
        <v>44578</v>
      </c>
      <c r="C131" s="59">
        <f>COUNTIF('ALL Tube Results'!B130:B783, A131)
</f>
        <v>5</v>
      </c>
      <c r="D131" s="60">
        <f>COUNTIFS('ALL Tube Results'!$B130:$B783, $A131, 'ALL Tube Results'!$F130:$F783, "Negative")
</f>
        <v>5</v>
      </c>
      <c r="E131" s="60">
        <f>COUNTIFS('ALL Tube Results'!$B130:$B783, $A131, 'ALL Tube Results'!$F130:$F783, "Positive")
</f>
        <v>0</v>
      </c>
      <c r="F131" s="60">
        <f>COUNTIFS('ALL Tube Results'!$B130:$B783, $A131, 'ALL Tube Results'!$F130:$F783, "Inconclusive")
</f>
        <v>0</v>
      </c>
      <c r="G131" s="61">
        <f t="shared" si="7"/>
        <v>5</v>
      </c>
      <c r="H131" s="61" t="str">
        <f t="shared" si="8"/>
        <v/>
      </c>
      <c r="I131" s="62">
        <f t="shared" si="9"/>
        <v>5</v>
      </c>
      <c r="J131" s="63">
        <f t="shared" si="10"/>
        <v>0</v>
      </c>
      <c r="K131" s="63">
        <f t="shared" si="11"/>
        <v>0</v>
      </c>
      <c r="L131" s="63" t="str">
        <f t="shared" si="12"/>
        <v/>
      </c>
      <c r="M131" s="63" t="str">
        <f t="shared" si="13"/>
        <v/>
      </c>
      <c r="N131" s="63" t="str">
        <f t="shared" si="14"/>
        <v/>
      </c>
      <c r="O131" s="64">
        <f t="shared" si="15"/>
        <v>4</v>
      </c>
      <c r="P131" s="64">
        <f t="shared" si="16"/>
        <v>1</v>
      </c>
      <c r="Q131" s="54"/>
      <c r="R131" s="8" t="s">
        <v>161</v>
      </c>
      <c r="S131" s="14">
        <v>44578.0</v>
      </c>
      <c r="T131" s="16">
        <f>VLOOKUP(R131,'Run Reconcile'!$A$2:$L783,12,FALSE)</f>
        <v>5</v>
      </c>
      <c r="U131" s="16" t="str">
        <f t="shared" si="17"/>
        <v/>
      </c>
      <c r="V131" s="16" t="str">
        <f t="shared" si="18"/>
        <v/>
      </c>
      <c r="W131" s="16"/>
      <c r="X131" s="54"/>
      <c r="Z131" s="14"/>
      <c r="AA131" s="16"/>
      <c r="AB131" s="16"/>
      <c r="AC131" s="16"/>
      <c r="AD131" s="16"/>
      <c r="AE131" s="66"/>
      <c r="AF131" s="54"/>
      <c r="AG131" s="70" t="s">
        <v>161</v>
      </c>
      <c r="AH131" s="68">
        <f>VLOOKUP(AG131,'Run Reconcile'!A$2:B783,2,FALSE)</f>
        <v>44578</v>
      </c>
      <c r="AI131" s="69">
        <f>COUNTIF('APS Tubes IMPORT'!$V$2:$V783, AG131)
</f>
        <v>4</v>
      </c>
      <c r="AJ131" s="69">
        <f>COUNTIFS('APS Tubes IMPORT'!V$2:V783, AG131, 'APS Tubes IMPORT'!H$2:H783, "Negative")
</f>
        <v>4</v>
      </c>
      <c r="AK131" s="69">
        <f>COUNTIFS('APS Tubes IMPORT'!V$2:V783, AG131, 'APS Tubes IMPORT'!H$2:H783, "Positive")
</f>
        <v>0</v>
      </c>
      <c r="AL131" s="69">
        <f>COUNTIFS('APS Tubes IMPORT'!V$2:V783, AG131, 'APS Tubes IMPORT'!H$2:H783, "Inconclusive")
</f>
        <v>0</v>
      </c>
      <c r="AM131" s="69">
        <f>COUNTIFS('APS Tubes IMPORT'!V$2:V783, AG131, 'APS Tubes IMPORT'!H$2:H783, "Null")
</f>
        <v>0</v>
      </c>
      <c r="AN131" s="54"/>
      <c r="AO131" s="14">
        <f>'APS Tubes by Date IMPORT'!B130</f>
        <v>44595</v>
      </c>
      <c r="AP131" s="16">
        <f>'APS Tubes by Date IMPORT'!D130</f>
        <v>27</v>
      </c>
      <c r="AQ131" s="16">
        <f>'APS Tubes by Date IMPORT'!D130</f>
        <v>27</v>
      </c>
      <c r="AR131" s="16">
        <f>'APS Tubes by Date IMPORT'!E130</f>
        <v>0</v>
      </c>
      <c r="AS131" s="16">
        <f>'APS Tubes by Date IMPORT'!F130</f>
        <v>0</v>
      </c>
      <c r="AT131" s="16">
        <f>'APS Tubes by Date IMPORT'!G130</f>
        <v>0</v>
      </c>
      <c r="AU131" s="54"/>
    </row>
    <row r="132">
      <c r="A132" s="8" t="s">
        <v>162</v>
      </c>
      <c r="B132" s="58">
        <f>VLOOKUP(A132,'Run Reconcile'!A$2:B783,2,FALSE)</f>
        <v>44578</v>
      </c>
      <c r="C132" s="59">
        <f>COUNTIF('ALL Tube Results'!B131:B783, A132)
</f>
        <v>38</v>
      </c>
      <c r="D132" s="60">
        <f>COUNTIFS('ALL Tube Results'!$B131:$B783, $A132, 'ALL Tube Results'!$F131:$F783, "Negative")
</f>
        <v>33</v>
      </c>
      <c r="E132" s="60">
        <f>COUNTIFS('ALL Tube Results'!$B131:$B783, $A132, 'ALL Tube Results'!$F131:$F783, "Positive")
</f>
        <v>5</v>
      </c>
      <c r="F132" s="60">
        <f>COUNTIFS('ALL Tube Results'!$B131:$B783, $A132, 'ALL Tube Results'!$F131:$F783, "Inconclusive")
</f>
        <v>0</v>
      </c>
      <c r="G132" s="61">
        <f t="shared" si="7"/>
        <v>38</v>
      </c>
      <c r="H132" s="61" t="str">
        <f t="shared" si="8"/>
        <v/>
      </c>
      <c r="I132" s="62">
        <f t="shared" si="9"/>
        <v>38</v>
      </c>
      <c r="J132" s="63">
        <f t="shared" si="10"/>
        <v>5</v>
      </c>
      <c r="K132" s="63">
        <f t="shared" si="11"/>
        <v>0</v>
      </c>
      <c r="L132" s="63" t="str">
        <f t="shared" si="12"/>
        <v/>
      </c>
      <c r="M132" s="63" t="str">
        <f t="shared" si="13"/>
        <v/>
      </c>
      <c r="N132" s="63" t="str">
        <f t="shared" si="14"/>
        <v/>
      </c>
      <c r="O132" s="64">
        <f t="shared" si="15"/>
        <v>33</v>
      </c>
      <c r="P132" s="64">
        <f t="shared" si="16"/>
        <v>5</v>
      </c>
      <c r="Q132" s="54"/>
      <c r="R132" s="8" t="s">
        <v>162</v>
      </c>
      <c r="S132" s="14">
        <v>44578.0</v>
      </c>
      <c r="T132" s="16">
        <f>VLOOKUP(R132,'Run Reconcile'!$A$2:$L783,12,FALSE)</f>
        <v>38</v>
      </c>
      <c r="U132" s="16" t="str">
        <f t="shared" si="17"/>
        <v/>
      </c>
      <c r="V132" s="16" t="str">
        <f t="shared" si="18"/>
        <v/>
      </c>
      <c r="W132" s="16"/>
      <c r="X132" s="54"/>
      <c r="Z132" s="14"/>
      <c r="AA132" s="16"/>
      <c r="AB132" s="16"/>
      <c r="AC132" s="16"/>
      <c r="AD132" s="16"/>
      <c r="AE132" s="66"/>
      <c r="AF132" s="54"/>
      <c r="AG132" s="70" t="s">
        <v>162</v>
      </c>
      <c r="AH132" s="68">
        <f>VLOOKUP(AG132,'Run Reconcile'!A$2:B783,2,FALSE)</f>
        <v>44578</v>
      </c>
      <c r="AI132" s="69">
        <f>COUNTIF('APS Tubes IMPORT'!$V$2:$V783, AG132)
</f>
        <v>33</v>
      </c>
      <c r="AJ132" s="69">
        <f>COUNTIFS('APS Tubes IMPORT'!V$2:V783, AG132, 'APS Tubes IMPORT'!H$2:H783, "Negative")
</f>
        <v>28</v>
      </c>
      <c r="AK132" s="69">
        <f>COUNTIFS('APS Tubes IMPORT'!V$2:V783, AG132, 'APS Tubes IMPORT'!H$2:H783, "Positive")
</f>
        <v>5</v>
      </c>
      <c r="AL132" s="69">
        <f>COUNTIFS('APS Tubes IMPORT'!V$2:V783, AG132, 'APS Tubes IMPORT'!H$2:H783, "Inconclusive")
</f>
        <v>0</v>
      </c>
      <c r="AM132" s="69">
        <f>COUNTIFS('APS Tubes IMPORT'!V$2:V783, AG132, 'APS Tubes IMPORT'!H$2:H783, "Null")
</f>
        <v>0</v>
      </c>
      <c r="AN132" s="54"/>
      <c r="AO132" s="14">
        <f>'APS Tubes by Date IMPORT'!B131</f>
        <v>44597</v>
      </c>
      <c r="AP132" s="16">
        <f>'APS Tubes by Date IMPORT'!D131</f>
        <v>4</v>
      </c>
      <c r="AQ132" s="16">
        <f>'APS Tubes by Date IMPORT'!D131</f>
        <v>4</v>
      </c>
      <c r="AR132" s="16">
        <f>'APS Tubes by Date IMPORT'!E131</f>
        <v>0</v>
      </c>
      <c r="AS132" s="16">
        <f>'APS Tubes by Date IMPORT'!F131</f>
        <v>0</v>
      </c>
      <c r="AT132" s="16">
        <f>'APS Tubes by Date IMPORT'!G131</f>
        <v>0</v>
      </c>
      <c r="AU132" s="54"/>
    </row>
    <row r="133">
      <c r="A133" s="8" t="s">
        <v>163</v>
      </c>
      <c r="B133" s="58">
        <f>VLOOKUP(A133,'Run Reconcile'!A$2:B783,2,FALSE)</f>
        <v>44579</v>
      </c>
      <c r="C133" s="59">
        <f>COUNTIF('ALL Tube Results'!B132:B783, A133)
</f>
        <v>5</v>
      </c>
      <c r="D133" s="60">
        <f>COUNTIFS('ALL Tube Results'!$B132:$B783, $A133, 'ALL Tube Results'!$F132:$F783, "Negative")
</f>
        <v>1</v>
      </c>
      <c r="E133" s="60">
        <f>COUNTIFS('ALL Tube Results'!$B132:$B783, $A133, 'ALL Tube Results'!$F132:$F783, "Positive")
</f>
        <v>4</v>
      </c>
      <c r="F133" s="60">
        <f>COUNTIFS('ALL Tube Results'!$B132:$B783, $A133, 'ALL Tube Results'!$F132:$F783, "Inconclusive")
</f>
        <v>0</v>
      </c>
      <c r="G133" s="61">
        <f t="shared" si="7"/>
        <v>5</v>
      </c>
      <c r="H133" s="61" t="str">
        <f t="shared" si="8"/>
        <v/>
      </c>
      <c r="I133" s="62">
        <f t="shared" si="9"/>
        <v>5</v>
      </c>
      <c r="J133" s="63">
        <f t="shared" si="10"/>
        <v>4</v>
      </c>
      <c r="K133" s="63">
        <f t="shared" si="11"/>
        <v>0</v>
      </c>
      <c r="L133" s="63" t="str">
        <f t="shared" si="12"/>
        <v/>
      </c>
      <c r="M133" s="63" t="str">
        <f t="shared" si="13"/>
        <v/>
      </c>
      <c r="N133" s="63" t="str">
        <f t="shared" si="14"/>
        <v/>
      </c>
      <c r="O133" s="64">
        <f t="shared" si="15"/>
        <v>5</v>
      </c>
      <c r="P133" s="64" t="str">
        <f t="shared" si="16"/>
        <v/>
      </c>
      <c r="Q133" s="54"/>
      <c r="R133" s="8" t="s">
        <v>163</v>
      </c>
      <c r="S133" s="14">
        <v>44579.0</v>
      </c>
      <c r="T133" s="16">
        <f>VLOOKUP(R133,'Run Reconcile'!$A$2:$L783,12,FALSE)</f>
        <v>5</v>
      </c>
      <c r="U133" s="16" t="str">
        <f t="shared" si="17"/>
        <v/>
      </c>
      <c r="V133" s="16" t="str">
        <f t="shared" si="18"/>
        <v/>
      </c>
      <c r="W133" s="16"/>
      <c r="X133" s="54"/>
      <c r="Z133" s="14"/>
      <c r="AA133" s="16"/>
      <c r="AB133" s="16"/>
      <c r="AC133" s="16"/>
      <c r="AD133" s="16"/>
      <c r="AE133" s="66"/>
      <c r="AF133" s="54"/>
      <c r="AG133" s="70" t="s">
        <v>163</v>
      </c>
      <c r="AH133" s="68">
        <f>VLOOKUP(AG133,'Run Reconcile'!A$2:B783,2,FALSE)</f>
        <v>44579</v>
      </c>
      <c r="AI133" s="69">
        <f>COUNTIF('APS Tubes IMPORT'!$V$2:$V783, AG133)
</f>
        <v>5</v>
      </c>
      <c r="AJ133" s="69">
        <f>COUNTIFS('APS Tubes IMPORT'!V$2:V783, AG133, 'APS Tubes IMPORT'!H$2:H783, "Negative")
</f>
        <v>1</v>
      </c>
      <c r="AK133" s="69">
        <f>COUNTIFS('APS Tubes IMPORT'!V$2:V783, AG133, 'APS Tubes IMPORT'!H$2:H783, "Positive")
</f>
        <v>4</v>
      </c>
      <c r="AL133" s="69">
        <f>COUNTIFS('APS Tubes IMPORT'!V$2:V783, AG133, 'APS Tubes IMPORT'!H$2:H783, "Inconclusive")
</f>
        <v>0</v>
      </c>
      <c r="AM133" s="69">
        <f>COUNTIFS('APS Tubes IMPORT'!V$2:V783, AG133, 'APS Tubes IMPORT'!H$2:H783, "Null")
</f>
        <v>0</v>
      </c>
      <c r="AN133" s="54"/>
      <c r="AO133" s="14">
        <f>'APS Tubes by Date IMPORT'!B132</f>
        <v>44598</v>
      </c>
      <c r="AP133" s="16">
        <f>'APS Tubes by Date IMPORT'!D132</f>
        <v>2</v>
      </c>
      <c r="AQ133" s="16">
        <f>'APS Tubes by Date IMPORT'!D132</f>
        <v>2</v>
      </c>
      <c r="AR133" s="16">
        <f>'APS Tubes by Date IMPORT'!E132</f>
        <v>0</v>
      </c>
      <c r="AS133" s="16">
        <f>'APS Tubes by Date IMPORT'!F132</f>
        <v>0</v>
      </c>
      <c r="AT133" s="16">
        <f>'APS Tubes by Date IMPORT'!G132</f>
        <v>0</v>
      </c>
      <c r="AU133" s="54"/>
    </row>
    <row r="134">
      <c r="A134" s="8" t="s">
        <v>164</v>
      </c>
      <c r="B134" s="58">
        <f>VLOOKUP(A134,'Run Reconcile'!A$2:B783,2,FALSE)</f>
        <v>44579</v>
      </c>
      <c r="C134" s="59">
        <f>COUNTIF('ALL Tube Results'!B133:B783, A134)
</f>
        <v>1</v>
      </c>
      <c r="D134" s="60">
        <f>COUNTIFS('ALL Tube Results'!$B133:$B783, $A134, 'ALL Tube Results'!$F133:$F783, "Negative")
</f>
        <v>1</v>
      </c>
      <c r="E134" s="60">
        <f>COUNTIFS('ALL Tube Results'!$B133:$B783, $A134, 'ALL Tube Results'!$F133:$F783, "Positive")
</f>
        <v>0</v>
      </c>
      <c r="F134" s="60">
        <f>COUNTIFS('ALL Tube Results'!$B133:$B783, $A134, 'ALL Tube Results'!$F133:$F783, "Inconclusive")
</f>
        <v>0</v>
      </c>
      <c r="G134" s="61">
        <f t="shared" si="7"/>
        <v>1</v>
      </c>
      <c r="H134" s="61" t="str">
        <f t="shared" si="8"/>
        <v/>
      </c>
      <c r="I134" s="62">
        <f t="shared" si="9"/>
        <v>1</v>
      </c>
      <c r="J134" s="63">
        <f t="shared" si="10"/>
        <v>0</v>
      </c>
      <c r="K134" s="63">
        <f t="shared" si="11"/>
        <v>0</v>
      </c>
      <c r="L134" s="63" t="str">
        <f t="shared" si="12"/>
        <v/>
      </c>
      <c r="M134" s="63" t="str">
        <f t="shared" si="13"/>
        <v/>
      </c>
      <c r="N134" s="63" t="str">
        <f t="shared" si="14"/>
        <v/>
      </c>
      <c r="O134" s="64">
        <f t="shared" si="15"/>
        <v>1</v>
      </c>
      <c r="P134" s="64" t="str">
        <f t="shared" si="16"/>
        <v/>
      </c>
      <c r="Q134" s="54"/>
      <c r="R134" s="8" t="s">
        <v>164</v>
      </c>
      <c r="S134" s="14">
        <v>44579.0</v>
      </c>
      <c r="T134" s="16">
        <f>VLOOKUP(R134,'Run Reconcile'!$A$2:$L783,12,FALSE)</f>
        <v>1</v>
      </c>
      <c r="U134" s="16" t="str">
        <f t="shared" si="17"/>
        <v/>
      </c>
      <c r="V134" s="16" t="str">
        <f t="shared" si="18"/>
        <v/>
      </c>
      <c r="W134" s="16"/>
      <c r="X134" s="54"/>
      <c r="Z134" s="14"/>
      <c r="AA134" s="16"/>
      <c r="AB134" s="16"/>
      <c r="AC134" s="16"/>
      <c r="AD134" s="16"/>
      <c r="AE134" s="66"/>
      <c r="AF134" s="54"/>
      <c r="AG134" s="70" t="s">
        <v>164</v>
      </c>
      <c r="AH134" s="68">
        <f>VLOOKUP(AG134,'Run Reconcile'!A$2:B783,2,FALSE)</f>
        <v>44579</v>
      </c>
      <c r="AI134" s="69">
        <f>COUNTIF('APS Tubes IMPORT'!$V$2:$V783, AG134)
</f>
        <v>1</v>
      </c>
      <c r="AJ134" s="69">
        <f>COUNTIFS('APS Tubes IMPORT'!V$2:V783, AG134, 'APS Tubes IMPORT'!H$2:H783, "Negative")
</f>
        <v>1</v>
      </c>
      <c r="AK134" s="69">
        <f>COUNTIFS('APS Tubes IMPORT'!V$2:V783, AG134, 'APS Tubes IMPORT'!H$2:H783, "Positive")
</f>
        <v>0</v>
      </c>
      <c r="AL134" s="69">
        <f>COUNTIFS('APS Tubes IMPORT'!V$2:V783, AG134, 'APS Tubes IMPORT'!H$2:H783, "Inconclusive")
</f>
        <v>0</v>
      </c>
      <c r="AM134" s="69">
        <f>COUNTIFS('APS Tubes IMPORT'!V$2:V783, AG134, 'APS Tubes IMPORT'!H$2:H783, "Null")
</f>
        <v>0</v>
      </c>
      <c r="AN134" s="54"/>
      <c r="AO134" s="14">
        <f>'APS Tubes by Date IMPORT'!B133</f>
        <v>44599</v>
      </c>
      <c r="AP134" s="16">
        <f>'APS Tubes by Date IMPORT'!D133</f>
        <v>26</v>
      </c>
      <c r="AQ134" s="16">
        <f>'APS Tubes by Date IMPORT'!D133</f>
        <v>26</v>
      </c>
      <c r="AR134" s="16">
        <f>'APS Tubes by Date IMPORT'!E133</f>
        <v>0</v>
      </c>
      <c r="AS134" s="16">
        <f>'APS Tubes by Date IMPORT'!F133</f>
        <v>0</v>
      </c>
      <c r="AT134" s="16">
        <f>'APS Tubes by Date IMPORT'!G133</f>
        <v>0</v>
      </c>
      <c r="AU134" s="54"/>
    </row>
    <row r="135">
      <c r="A135" s="8" t="s">
        <v>165</v>
      </c>
      <c r="B135" s="58">
        <f>VLOOKUP(A135,'Run Reconcile'!A$2:B783,2,FALSE)</f>
        <v>44581</v>
      </c>
      <c r="C135" s="59">
        <f>COUNTIF('ALL Tube Results'!B134:B783, A135)
</f>
        <v>31</v>
      </c>
      <c r="D135" s="60">
        <f>COUNTIFS('ALL Tube Results'!$B134:$B783, $A135, 'ALL Tube Results'!$F134:$F783, "Negative")
</f>
        <v>31</v>
      </c>
      <c r="E135" s="60">
        <f>COUNTIFS('ALL Tube Results'!$B134:$B783, $A135, 'ALL Tube Results'!$F134:$F783, "Positive")
</f>
        <v>0</v>
      </c>
      <c r="F135" s="60">
        <f>COUNTIFS('ALL Tube Results'!$B134:$B783, $A135, 'ALL Tube Results'!$F134:$F783, "Inconclusive")
</f>
        <v>0</v>
      </c>
      <c r="G135" s="61">
        <f t="shared" si="7"/>
        <v>31</v>
      </c>
      <c r="H135" s="61" t="str">
        <f t="shared" si="8"/>
        <v/>
      </c>
      <c r="I135" s="62">
        <f t="shared" si="9"/>
        <v>31</v>
      </c>
      <c r="J135" s="63">
        <f t="shared" si="10"/>
        <v>0</v>
      </c>
      <c r="K135" s="63">
        <f t="shared" si="11"/>
        <v>0</v>
      </c>
      <c r="L135" s="63" t="str">
        <f t="shared" si="12"/>
        <v/>
      </c>
      <c r="M135" s="63" t="str">
        <f t="shared" si="13"/>
        <v/>
      </c>
      <c r="N135" s="63" t="str">
        <f t="shared" si="14"/>
        <v/>
      </c>
      <c r="O135" s="64">
        <f t="shared" si="15"/>
        <v>31</v>
      </c>
      <c r="P135" s="64" t="str">
        <f t="shared" si="16"/>
        <v/>
      </c>
      <c r="Q135" s="54"/>
      <c r="R135" s="8" t="s">
        <v>165</v>
      </c>
      <c r="S135" s="14">
        <v>44581.0</v>
      </c>
      <c r="T135" s="16">
        <f>VLOOKUP(R135,'Run Reconcile'!$A$2:$L783,12,FALSE)</f>
        <v>31</v>
      </c>
      <c r="U135" s="16" t="str">
        <f t="shared" si="17"/>
        <v/>
      </c>
      <c r="V135" s="16" t="str">
        <f t="shared" si="18"/>
        <v/>
      </c>
      <c r="W135" s="16"/>
      <c r="X135" s="54"/>
      <c r="Z135" s="14"/>
      <c r="AA135" s="16"/>
      <c r="AB135" s="16"/>
      <c r="AC135" s="16"/>
      <c r="AD135" s="16"/>
      <c r="AE135" s="66"/>
      <c r="AF135" s="54"/>
      <c r="AG135" s="70" t="s">
        <v>165</v>
      </c>
      <c r="AH135" s="68">
        <f>VLOOKUP(AG135,'Run Reconcile'!A$2:B783,2,FALSE)</f>
        <v>44581</v>
      </c>
      <c r="AI135" s="69">
        <f>COUNTIF('APS Tubes IMPORT'!$V$2:$V783, AG135)
</f>
        <v>31</v>
      </c>
      <c r="AJ135" s="69">
        <f>COUNTIFS('APS Tubes IMPORT'!V$2:V783, AG135, 'APS Tubes IMPORT'!H$2:H783, "Negative")
</f>
        <v>31</v>
      </c>
      <c r="AK135" s="69">
        <f>COUNTIFS('APS Tubes IMPORT'!V$2:V783, AG135, 'APS Tubes IMPORT'!H$2:H783, "Positive")
</f>
        <v>0</v>
      </c>
      <c r="AL135" s="69">
        <f>COUNTIFS('APS Tubes IMPORT'!V$2:V783, AG135, 'APS Tubes IMPORT'!H$2:H783, "Inconclusive")
</f>
        <v>0</v>
      </c>
      <c r="AM135" s="69">
        <f>COUNTIFS('APS Tubes IMPORT'!V$2:V783, AG135, 'APS Tubes IMPORT'!H$2:H783, "Null")
</f>
        <v>0</v>
      </c>
      <c r="AN135" s="54"/>
      <c r="AO135" s="14">
        <f>'APS Tubes by Date IMPORT'!B134</f>
        <v>44601</v>
      </c>
      <c r="AP135" s="16">
        <f>'APS Tubes by Date IMPORT'!D134</f>
        <v>1</v>
      </c>
      <c r="AQ135" s="16">
        <f>'APS Tubes by Date IMPORT'!D134</f>
        <v>1</v>
      </c>
      <c r="AR135" s="16">
        <f>'APS Tubes by Date IMPORT'!E134</f>
        <v>0</v>
      </c>
      <c r="AS135" s="16">
        <f>'APS Tubes by Date IMPORT'!F134</f>
        <v>0</v>
      </c>
      <c r="AT135" s="16">
        <f>'APS Tubes by Date IMPORT'!G134</f>
        <v>0</v>
      </c>
      <c r="AU135" s="54"/>
    </row>
    <row r="136">
      <c r="A136" s="8" t="s">
        <v>166</v>
      </c>
      <c r="B136" s="58">
        <f>VLOOKUP(A136,'Run Reconcile'!A$2:B783,2,FALSE)</f>
        <v>44581</v>
      </c>
      <c r="C136" s="59">
        <f>COUNTIF('ALL Tube Results'!B135:B783, A136)
</f>
        <v>3</v>
      </c>
      <c r="D136" s="60">
        <f>COUNTIFS('ALL Tube Results'!$B135:$B783, $A136, 'ALL Tube Results'!$F135:$F783, "Negative")
</f>
        <v>3</v>
      </c>
      <c r="E136" s="60">
        <f>COUNTIFS('ALL Tube Results'!$B135:$B783, $A136, 'ALL Tube Results'!$F135:$F783, "Positive")
</f>
        <v>0</v>
      </c>
      <c r="F136" s="60">
        <f>COUNTIFS('ALL Tube Results'!$B135:$B783, $A136, 'ALL Tube Results'!$F135:$F783, "Inconclusive")
</f>
        <v>0</v>
      </c>
      <c r="G136" s="61">
        <f t="shared" si="7"/>
        <v>3</v>
      </c>
      <c r="H136" s="61" t="str">
        <f t="shared" si="8"/>
        <v/>
      </c>
      <c r="I136" s="62">
        <f t="shared" si="9"/>
        <v>3</v>
      </c>
      <c r="J136" s="63">
        <f t="shared" si="10"/>
        <v>0</v>
      </c>
      <c r="K136" s="63">
        <f t="shared" si="11"/>
        <v>0</v>
      </c>
      <c r="L136" s="63" t="str">
        <f t="shared" si="12"/>
        <v/>
      </c>
      <c r="M136" s="63" t="str">
        <f t="shared" si="13"/>
        <v/>
      </c>
      <c r="N136" s="63" t="str">
        <f t="shared" si="14"/>
        <v/>
      </c>
      <c r="O136" s="64">
        <f t="shared" si="15"/>
        <v>3</v>
      </c>
      <c r="P136" s="64" t="str">
        <f t="shared" si="16"/>
        <v/>
      </c>
      <c r="Q136" s="54"/>
      <c r="R136" s="8" t="s">
        <v>166</v>
      </c>
      <c r="S136" s="14">
        <v>44581.0</v>
      </c>
      <c r="T136" s="16">
        <f>VLOOKUP(R136,'Run Reconcile'!$A$2:$L783,12,FALSE)</f>
        <v>3</v>
      </c>
      <c r="U136" s="16" t="str">
        <f t="shared" si="17"/>
        <v/>
      </c>
      <c r="V136" s="16" t="str">
        <f t="shared" si="18"/>
        <v/>
      </c>
      <c r="W136" s="16"/>
      <c r="X136" s="54"/>
      <c r="Z136" s="14"/>
      <c r="AA136" s="16"/>
      <c r="AB136" s="16"/>
      <c r="AC136" s="16"/>
      <c r="AD136" s="16"/>
      <c r="AE136" s="66"/>
      <c r="AF136" s="54"/>
      <c r="AG136" s="70" t="s">
        <v>166</v>
      </c>
      <c r="AH136" s="68">
        <f>VLOOKUP(AG136,'Run Reconcile'!A$2:B783,2,FALSE)</f>
        <v>44581</v>
      </c>
      <c r="AI136" s="69">
        <f>COUNTIF('APS Tubes IMPORT'!$V$2:$V783, AG136)
</f>
        <v>3</v>
      </c>
      <c r="AJ136" s="69">
        <f>COUNTIFS('APS Tubes IMPORT'!V$2:V783, AG136, 'APS Tubes IMPORT'!H$2:H783, "Negative")
</f>
        <v>3</v>
      </c>
      <c r="AK136" s="69">
        <f>COUNTIFS('APS Tubes IMPORT'!V$2:V783, AG136, 'APS Tubes IMPORT'!H$2:H783, "Positive")
</f>
        <v>0</v>
      </c>
      <c r="AL136" s="69">
        <f>COUNTIFS('APS Tubes IMPORT'!V$2:V783, AG136, 'APS Tubes IMPORT'!H$2:H783, "Inconclusive")
</f>
        <v>0</v>
      </c>
      <c r="AM136" s="69">
        <f>COUNTIFS('APS Tubes IMPORT'!V$2:V783, AG136, 'APS Tubes IMPORT'!H$2:H783, "Null")
</f>
        <v>0</v>
      </c>
      <c r="AN136" s="54"/>
      <c r="AO136" s="14">
        <f>'APS Tubes by Date IMPORT'!B135</f>
        <v>44602</v>
      </c>
      <c r="AP136" s="16">
        <f>'APS Tubes by Date IMPORT'!D135</f>
        <v>27</v>
      </c>
      <c r="AQ136" s="16">
        <f>'APS Tubes by Date IMPORT'!D135</f>
        <v>27</v>
      </c>
      <c r="AR136" s="16">
        <f>'APS Tubes by Date IMPORT'!E135</f>
        <v>0</v>
      </c>
      <c r="AS136" s="16">
        <f>'APS Tubes by Date IMPORT'!F135</f>
        <v>0</v>
      </c>
      <c r="AT136" s="16">
        <f>'APS Tubes by Date IMPORT'!G135</f>
        <v>0</v>
      </c>
      <c r="AU136" s="54"/>
    </row>
    <row r="137">
      <c r="A137" s="8" t="s">
        <v>167</v>
      </c>
      <c r="B137" s="58">
        <f>VLOOKUP(A137,'Run Reconcile'!A$2:B783,2,FALSE)</f>
        <v>44583</v>
      </c>
      <c r="C137" s="59">
        <f>COUNTIF('ALL Tube Results'!B136:B783, A137)
</f>
        <v>3</v>
      </c>
      <c r="D137" s="60">
        <f>COUNTIFS('ALL Tube Results'!$B136:$B783, $A137, 'ALL Tube Results'!$F136:$F783, "Negative")
</f>
        <v>3</v>
      </c>
      <c r="E137" s="60">
        <f>COUNTIFS('ALL Tube Results'!$B136:$B783, $A137, 'ALL Tube Results'!$F136:$F783, "Positive")
</f>
        <v>0</v>
      </c>
      <c r="F137" s="60">
        <f>COUNTIFS('ALL Tube Results'!$B136:$B783, $A137, 'ALL Tube Results'!$F136:$F783, "Inconclusive")
</f>
        <v>0</v>
      </c>
      <c r="G137" s="61">
        <f t="shared" si="7"/>
        <v>3</v>
      </c>
      <c r="H137" s="61" t="str">
        <f t="shared" si="8"/>
        <v/>
      </c>
      <c r="I137" s="62">
        <f t="shared" si="9"/>
        <v>3</v>
      </c>
      <c r="J137" s="63">
        <f t="shared" si="10"/>
        <v>0</v>
      </c>
      <c r="K137" s="63">
        <f t="shared" si="11"/>
        <v>0</v>
      </c>
      <c r="L137" s="63" t="str">
        <f t="shared" si="12"/>
        <v/>
      </c>
      <c r="M137" s="63" t="str">
        <f t="shared" si="13"/>
        <v/>
      </c>
      <c r="N137" s="63" t="str">
        <f t="shared" si="14"/>
        <v/>
      </c>
      <c r="O137" s="64">
        <f t="shared" si="15"/>
        <v>3</v>
      </c>
      <c r="P137" s="64" t="str">
        <f t="shared" si="16"/>
        <v/>
      </c>
      <c r="Q137" s="54"/>
      <c r="R137" s="8" t="s">
        <v>167</v>
      </c>
      <c r="S137" s="14">
        <v>44583.0</v>
      </c>
      <c r="T137" s="16">
        <f>VLOOKUP(R137,'Run Reconcile'!$A$2:$L783,12,FALSE)</f>
        <v>3</v>
      </c>
      <c r="U137" s="16" t="str">
        <f t="shared" si="17"/>
        <v/>
      </c>
      <c r="V137" s="16" t="str">
        <f t="shared" si="18"/>
        <v/>
      </c>
      <c r="W137" s="16"/>
      <c r="X137" s="54"/>
      <c r="Z137" s="14"/>
      <c r="AA137" s="16"/>
      <c r="AB137" s="16"/>
      <c r="AC137" s="16"/>
      <c r="AD137" s="16"/>
      <c r="AE137" s="66"/>
      <c r="AF137" s="54"/>
      <c r="AG137" s="70" t="s">
        <v>167</v>
      </c>
      <c r="AH137" s="68">
        <f>VLOOKUP(AG137,'Run Reconcile'!A$2:B783,2,FALSE)</f>
        <v>44583</v>
      </c>
      <c r="AI137" s="69">
        <f>COUNTIF('APS Tubes IMPORT'!$V$2:$V783, AG137)
</f>
        <v>3</v>
      </c>
      <c r="AJ137" s="69">
        <f>COUNTIFS('APS Tubes IMPORT'!V$2:V783, AG137, 'APS Tubes IMPORT'!H$2:H783, "Negative")
</f>
        <v>3</v>
      </c>
      <c r="AK137" s="69">
        <f>COUNTIFS('APS Tubes IMPORT'!V$2:V783, AG137, 'APS Tubes IMPORT'!H$2:H783, "Positive")
</f>
        <v>0</v>
      </c>
      <c r="AL137" s="69">
        <f>COUNTIFS('APS Tubes IMPORT'!V$2:V783, AG137, 'APS Tubes IMPORT'!H$2:H783, "Inconclusive")
</f>
        <v>0</v>
      </c>
      <c r="AM137" s="69">
        <f>COUNTIFS('APS Tubes IMPORT'!V$2:V783, AG137, 'APS Tubes IMPORT'!H$2:H783, "Null")
</f>
        <v>0</v>
      </c>
      <c r="AN137" s="54"/>
      <c r="AO137" s="14">
        <f>'APS Tubes by Date IMPORT'!B136</f>
        <v>44603</v>
      </c>
      <c r="AP137" s="16">
        <f>'APS Tubes by Date IMPORT'!D136</f>
        <v>1</v>
      </c>
      <c r="AQ137" s="16">
        <f>'APS Tubes by Date IMPORT'!D136</f>
        <v>1</v>
      </c>
      <c r="AR137" s="16">
        <f>'APS Tubes by Date IMPORT'!E136</f>
        <v>0</v>
      </c>
      <c r="AS137" s="16">
        <f>'APS Tubes by Date IMPORT'!F136</f>
        <v>0</v>
      </c>
      <c r="AT137" s="16">
        <f>'APS Tubes by Date IMPORT'!G136</f>
        <v>0</v>
      </c>
      <c r="AU137" s="54"/>
    </row>
    <row r="138">
      <c r="A138" s="8" t="s">
        <v>168</v>
      </c>
      <c r="B138" s="58">
        <f>VLOOKUP(A138,'Run Reconcile'!A$2:B783,2,FALSE)</f>
        <v>44585</v>
      </c>
      <c r="C138" s="59">
        <f>COUNTIF('ALL Tube Results'!B137:B783, A138)
</f>
        <v>25</v>
      </c>
      <c r="D138" s="60">
        <f>COUNTIFS('ALL Tube Results'!$B137:$B783, $A138, 'ALL Tube Results'!$F137:$F783, "Negative")
</f>
        <v>25</v>
      </c>
      <c r="E138" s="60">
        <f>COUNTIFS('ALL Tube Results'!$B137:$B783, $A138, 'ALL Tube Results'!$F137:$F783, "Positive")
</f>
        <v>0</v>
      </c>
      <c r="F138" s="60">
        <f>COUNTIFS('ALL Tube Results'!$B137:$B783, $A138, 'ALL Tube Results'!$F137:$F783, "Inconclusive")
</f>
        <v>0</v>
      </c>
      <c r="G138" s="61">
        <f t="shared" si="7"/>
        <v>25</v>
      </c>
      <c r="H138" s="61" t="str">
        <f t="shared" si="8"/>
        <v/>
      </c>
      <c r="I138" s="62">
        <f t="shared" si="9"/>
        <v>25</v>
      </c>
      <c r="J138" s="63">
        <f t="shared" si="10"/>
        <v>0</v>
      </c>
      <c r="K138" s="63">
        <f t="shared" si="11"/>
        <v>0</v>
      </c>
      <c r="L138" s="63" t="str">
        <f t="shared" si="12"/>
        <v/>
      </c>
      <c r="M138" s="63" t="str">
        <f t="shared" si="13"/>
        <v/>
      </c>
      <c r="N138" s="63" t="str">
        <f t="shared" si="14"/>
        <v/>
      </c>
      <c r="O138" s="64">
        <f t="shared" si="15"/>
        <v>25</v>
      </c>
      <c r="P138" s="64" t="str">
        <f t="shared" si="16"/>
        <v/>
      </c>
      <c r="Q138" s="54"/>
      <c r="R138" s="8" t="s">
        <v>168</v>
      </c>
      <c r="S138" s="14">
        <v>44585.0</v>
      </c>
      <c r="T138" s="16">
        <f>VLOOKUP(R138,'Run Reconcile'!$A$2:$L783,12,FALSE)</f>
        <v>25</v>
      </c>
      <c r="U138" s="16" t="str">
        <f t="shared" si="17"/>
        <v/>
      </c>
      <c r="V138" s="16" t="str">
        <f t="shared" si="18"/>
        <v/>
      </c>
      <c r="W138" s="16"/>
      <c r="X138" s="54"/>
      <c r="Z138" s="14"/>
      <c r="AA138" s="16"/>
      <c r="AB138" s="16"/>
      <c r="AC138" s="16"/>
      <c r="AD138" s="16"/>
      <c r="AE138" s="66"/>
      <c r="AF138" s="54"/>
      <c r="AG138" s="70" t="s">
        <v>168</v>
      </c>
      <c r="AH138" s="68">
        <f>VLOOKUP(AG138,'Run Reconcile'!A$2:B783,2,FALSE)</f>
        <v>44585</v>
      </c>
      <c r="AI138" s="69">
        <f>COUNTIF('APS Tubes IMPORT'!$V$2:$V783, AG138)
</f>
        <v>25</v>
      </c>
      <c r="AJ138" s="69">
        <f>COUNTIFS('APS Tubes IMPORT'!V$2:V783, AG138, 'APS Tubes IMPORT'!H$2:H783, "Negative")
</f>
        <v>25</v>
      </c>
      <c r="AK138" s="69">
        <f>COUNTIFS('APS Tubes IMPORT'!V$2:V783, AG138, 'APS Tubes IMPORT'!H$2:H783, "Positive")
</f>
        <v>0</v>
      </c>
      <c r="AL138" s="69">
        <f>COUNTIFS('APS Tubes IMPORT'!V$2:V783, AG138, 'APS Tubes IMPORT'!H$2:H783, "Inconclusive")
</f>
        <v>0</v>
      </c>
      <c r="AM138" s="69">
        <f>COUNTIFS('APS Tubes IMPORT'!V$2:V783, AG138, 'APS Tubes IMPORT'!H$2:H783, "Null")
</f>
        <v>0</v>
      </c>
      <c r="AN138" s="54"/>
      <c r="AO138" s="14">
        <f>'APS Tubes by Date IMPORT'!B137</f>
        <v>44604</v>
      </c>
      <c r="AP138" s="16">
        <f>'APS Tubes by Date IMPORT'!D137</f>
        <v>2</v>
      </c>
      <c r="AQ138" s="16">
        <f>'APS Tubes by Date IMPORT'!D137</f>
        <v>2</v>
      </c>
      <c r="AR138" s="16">
        <f>'APS Tubes by Date IMPORT'!E137</f>
        <v>0</v>
      </c>
      <c r="AS138" s="16">
        <f>'APS Tubes by Date IMPORT'!F137</f>
        <v>0</v>
      </c>
      <c r="AT138" s="16">
        <f>'APS Tubes by Date IMPORT'!G137</f>
        <v>0</v>
      </c>
      <c r="AU138" s="54"/>
    </row>
    <row r="139">
      <c r="A139" s="8" t="s">
        <v>169</v>
      </c>
      <c r="B139" s="58">
        <f>VLOOKUP(A139,'Run Reconcile'!A$2:B783,2,FALSE)</f>
        <v>44586</v>
      </c>
      <c r="C139" s="59">
        <f>COUNTIF('ALL Tube Results'!B138:B783, A139)
</f>
        <v>4</v>
      </c>
      <c r="D139" s="60">
        <f>COUNTIFS('ALL Tube Results'!$B138:$B783, $A139, 'ALL Tube Results'!$F138:$F783, "Negative")
</f>
        <v>4</v>
      </c>
      <c r="E139" s="60">
        <f>COUNTIFS('ALL Tube Results'!$B138:$B783, $A139, 'ALL Tube Results'!$F138:$F783, "Positive")
</f>
        <v>0</v>
      </c>
      <c r="F139" s="60">
        <f>COUNTIFS('ALL Tube Results'!$B138:$B783, $A139, 'ALL Tube Results'!$F138:$F783, "Inconclusive")
</f>
        <v>0</v>
      </c>
      <c r="G139" s="61">
        <f t="shared" si="7"/>
        <v>4</v>
      </c>
      <c r="H139" s="61" t="str">
        <f t="shared" si="8"/>
        <v/>
      </c>
      <c r="I139" s="62">
        <f t="shared" si="9"/>
        <v>4</v>
      </c>
      <c r="J139" s="63">
        <f t="shared" si="10"/>
        <v>0</v>
      </c>
      <c r="K139" s="63">
        <f t="shared" si="11"/>
        <v>0</v>
      </c>
      <c r="L139" s="63" t="str">
        <f t="shared" si="12"/>
        <v/>
      </c>
      <c r="M139" s="63" t="str">
        <f t="shared" si="13"/>
        <v/>
      </c>
      <c r="N139" s="63" t="str">
        <f t="shared" si="14"/>
        <v/>
      </c>
      <c r="O139" s="64">
        <f t="shared" si="15"/>
        <v>4</v>
      </c>
      <c r="P139" s="64" t="str">
        <f t="shared" si="16"/>
        <v/>
      </c>
      <c r="Q139" s="54"/>
      <c r="R139" s="8" t="s">
        <v>169</v>
      </c>
      <c r="S139" s="14">
        <v>44586.0</v>
      </c>
      <c r="T139" s="16">
        <f>VLOOKUP(R139,'Run Reconcile'!$A$2:$L783,12,FALSE)</f>
        <v>4</v>
      </c>
      <c r="U139" s="16" t="str">
        <f t="shared" si="17"/>
        <v/>
      </c>
      <c r="V139" s="16" t="str">
        <f t="shared" si="18"/>
        <v/>
      </c>
      <c r="W139" s="16"/>
      <c r="X139" s="54"/>
      <c r="Z139" s="14"/>
      <c r="AA139" s="16"/>
      <c r="AB139" s="16"/>
      <c r="AC139" s="16"/>
      <c r="AD139" s="16"/>
      <c r="AE139" s="66"/>
      <c r="AF139" s="54"/>
      <c r="AG139" s="70" t="s">
        <v>169</v>
      </c>
      <c r="AH139" s="68">
        <f>VLOOKUP(AG139,'Run Reconcile'!A$2:B783,2,FALSE)</f>
        <v>44586</v>
      </c>
      <c r="AI139" s="69">
        <f>COUNTIF('APS Tubes IMPORT'!$V$2:$V783, AG139)
</f>
        <v>4</v>
      </c>
      <c r="AJ139" s="69">
        <f>COUNTIFS('APS Tubes IMPORT'!V$2:V783, AG139, 'APS Tubes IMPORT'!H$2:H783, "Negative")
</f>
        <v>4</v>
      </c>
      <c r="AK139" s="69">
        <f>COUNTIFS('APS Tubes IMPORT'!V$2:V783, AG139, 'APS Tubes IMPORT'!H$2:H783, "Positive")
</f>
        <v>0</v>
      </c>
      <c r="AL139" s="69">
        <f>COUNTIFS('APS Tubes IMPORT'!V$2:V783, AG139, 'APS Tubes IMPORT'!H$2:H783, "Inconclusive")
</f>
        <v>0</v>
      </c>
      <c r="AM139" s="69">
        <f>COUNTIFS('APS Tubes IMPORT'!V$2:V783, AG139, 'APS Tubes IMPORT'!H$2:H783, "Null")
</f>
        <v>0</v>
      </c>
      <c r="AN139" s="54"/>
      <c r="AO139" s="14">
        <f>'APS Tubes by Date IMPORT'!B138</f>
        <v>44605</v>
      </c>
      <c r="AP139" s="16">
        <f>'APS Tubes by Date IMPORT'!D138</f>
        <v>4</v>
      </c>
      <c r="AQ139" s="16">
        <f>'APS Tubes by Date IMPORT'!D138</f>
        <v>4</v>
      </c>
      <c r="AR139" s="16">
        <f>'APS Tubes by Date IMPORT'!E138</f>
        <v>0</v>
      </c>
      <c r="AS139" s="16">
        <f>'APS Tubes by Date IMPORT'!F138</f>
        <v>0</v>
      </c>
      <c r="AT139" s="16">
        <f>'APS Tubes by Date IMPORT'!G138</f>
        <v>0</v>
      </c>
      <c r="AU139" s="54"/>
    </row>
    <row r="140">
      <c r="A140" s="8" t="s">
        <v>170</v>
      </c>
      <c r="B140" s="58">
        <f>VLOOKUP(A140,'Run Reconcile'!A$2:B783,2,FALSE)</f>
        <v>44587</v>
      </c>
      <c r="C140" s="59">
        <f>COUNTIF('ALL Tube Results'!B139:B783, A140)
</f>
        <v>2</v>
      </c>
      <c r="D140" s="60">
        <f>COUNTIFS('ALL Tube Results'!$B139:$B783, $A140, 'ALL Tube Results'!$F139:$F783, "Negative")
</f>
        <v>2</v>
      </c>
      <c r="E140" s="60">
        <f>COUNTIFS('ALL Tube Results'!$B139:$B783, $A140, 'ALL Tube Results'!$F139:$F783, "Positive")
</f>
        <v>0</v>
      </c>
      <c r="F140" s="60">
        <f>COUNTIFS('ALL Tube Results'!$B139:$B783, $A140, 'ALL Tube Results'!$F139:$F783, "Inconclusive")
</f>
        <v>0</v>
      </c>
      <c r="G140" s="61">
        <f t="shared" si="7"/>
        <v>2</v>
      </c>
      <c r="H140" s="61" t="str">
        <f t="shared" si="8"/>
        <v/>
      </c>
      <c r="I140" s="62">
        <f t="shared" si="9"/>
        <v>2</v>
      </c>
      <c r="J140" s="63">
        <f t="shared" si="10"/>
        <v>0</v>
      </c>
      <c r="K140" s="63">
        <f t="shared" si="11"/>
        <v>0</v>
      </c>
      <c r="L140" s="63" t="str">
        <f t="shared" si="12"/>
        <v/>
      </c>
      <c r="M140" s="63" t="str">
        <f t="shared" si="13"/>
        <v/>
      </c>
      <c r="N140" s="63" t="str">
        <f t="shared" si="14"/>
        <v/>
      </c>
      <c r="O140" s="64">
        <f t="shared" si="15"/>
        <v>2</v>
      </c>
      <c r="P140" s="64" t="str">
        <f t="shared" si="16"/>
        <v/>
      </c>
      <c r="Q140" s="54"/>
      <c r="R140" s="8" t="s">
        <v>170</v>
      </c>
      <c r="S140" s="14">
        <v>44587.0</v>
      </c>
      <c r="T140" s="16">
        <f>VLOOKUP(R140,'Run Reconcile'!$A$2:$L783,12,FALSE)</f>
        <v>2</v>
      </c>
      <c r="U140" s="16" t="str">
        <f t="shared" si="17"/>
        <v/>
      </c>
      <c r="V140" s="16" t="str">
        <f t="shared" si="18"/>
        <v/>
      </c>
      <c r="W140" s="16"/>
      <c r="X140" s="54"/>
      <c r="Z140" s="14"/>
      <c r="AA140" s="16"/>
      <c r="AB140" s="16"/>
      <c r="AC140" s="16"/>
      <c r="AD140" s="16"/>
      <c r="AE140" s="66"/>
      <c r="AF140" s="54"/>
      <c r="AG140" s="70" t="s">
        <v>170</v>
      </c>
      <c r="AH140" s="68">
        <f>VLOOKUP(AG140,'Run Reconcile'!A$2:B783,2,FALSE)</f>
        <v>44587</v>
      </c>
      <c r="AI140" s="69">
        <f>COUNTIF('APS Tubes IMPORT'!$V$2:$V783, AG140)
</f>
        <v>2</v>
      </c>
      <c r="AJ140" s="69">
        <f>COUNTIFS('APS Tubes IMPORT'!V$2:V783, AG140, 'APS Tubes IMPORT'!H$2:H783, "Negative")
</f>
        <v>2</v>
      </c>
      <c r="AK140" s="69">
        <f>COUNTIFS('APS Tubes IMPORT'!V$2:V783, AG140, 'APS Tubes IMPORT'!H$2:H783, "Positive")
</f>
        <v>0</v>
      </c>
      <c r="AL140" s="69">
        <f>COUNTIFS('APS Tubes IMPORT'!V$2:V783, AG140, 'APS Tubes IMPORT'!H$2:H783, "Inconclusive")
</f>
        <v>0</v>
      </c>
      <c r="AM140" s="69">
        <f>COUNTIFS('APS Tubes IMPORT'!V$2:V783, AG140, 'APS Tubes IMPORT'!H$2:H783, "Null")
</f>
        <v>0</v>
      </c>
      <c r="AN140" s="54"/>
      <c r="AO140" s="14">
        <f>'APS Tubes by Date IMPORT'!B139</f>
        <v>44606</v>
      </c>
      <c r="AP140" s="16">
        <f>'APS Tubes by Date IMPORT'!D139</f>
        <v>21</v>
      </c>
      <c r="AQ140" s="16">
        <f>'APS Tubes by Date IMPORT'!D139</f>
        <v>21</v>
      </c>
      <c r="AR140" s="16">
        <f>'APS Tubes by Date IMPORT'!E139</f>
        <v>0</v>
      </c>
      <c r="AS140" s="16">
        <f>'APS Tubes by Date IMPORT'!F139</f>
        <v>1</v>
      </c>
      <c r="AT140" s="16">
        <f>'APS Tubes by Date IMPORT'!G139</f>
        <v>0</v>
      </c>
      <c r="AU140" s="54"/>
    </row>
    <row r="141">
      <c r="A141" s="8" t="s">
        <v>171</v>
      </c>
      <c r="B141" s="58">
        <f>VLOOKUP(A141,'Run Reconcile'!A$2:B783,2,FALSE)</f>
        <v>44588</v>
      </c>
      <c r="C141" s="59">
        <f>COUNTIF('ALL Tube Results'!B140:B783, A141)
</f>
        <v>28</v>
      </c>
      <c r="D141" s="60">
        <f>COUNTIFS('ALL Tube Results'!$B140:$B783, $A141, 'ALL Tube Results'!$F140:$F783, "Negative")
</f>
        <v>28</v>
      </c>
      <c r="E141" s="60">
        <f>COUNTIFS('ALL Tube Results'!$B140:$B783, $A141, 'ALL Tube Results'!$F140:$F783, "Positive")
</f>
        <v>0</v>
      </c>
      <c r="F141" s="60">
        <f>COUNTIFS('ALL Tube Results'!$B140:$B783, $A141, 'ALL Tube Results'!$F140:$F783, "Inconclusive")
</f>
        <v>0</v>
      </c>
      <c r="G141" s="61">
        <f t="shared" si="7"/>
        <v>28</v>
      </c>
      <c r="H141" s="61" t="str">
        <f t="shared" si="8"/>
        <v/>
      </c>
      <c r="I141" s="62" t="str">
        <f t="shared" si="9"/>
        <v/>
      </c>
      <c r="J141" s="63" t="str">
        <f t="shared" si="10"/>
        <v/>
      </c>
      <c r="K141" s="63" t="str">
        <f t="shared" si="11"/>
        <v/>
      </c>
      <c r="L141" s="63">
        <f t="shared" si="12"/>
        <v>28</v>
      </c>
      <c r="M141" s="63" t="str">
        <f t="shared" si="13"/>
        <v/>
      </c>
      <c r="N141" s="63" t="str">
        <f t="shared" si="14"/>
        <v/>
      </c>
      <c r="O141" s="64">
        <f t="shared" si="15"/>
        <v>28</v>
      </c>
      <c r="P141" s="64" t="str">
        <f t="shared" si="16"/>
        <v/>
      </c>
      <c r="Q141" s="54"/>
      <c r="R141" s="8" t="s">
        <v>171</v>
      </c>
      <c r="S141" s="14">
        <v>44588.0</v>
      </c>
      <c r="T141" s="16">
        <f>VLOOKUP(R141,'Run Reconcile'!$A$2:$L783,12,FALSE)</f>
        <v>28</v>
      </c>
      <c r="U141" s="16" t="str">
        <f t="shared" si="17"/>
        <v/>
      </c>
      <c r="V141" s="16" t="str">
        <f t="shared" si="18"/>
        <v/>
      </c>
      <c r="W141" s="16"/>
      <c r="X141" s="54"/>
      <c r="Z141" s="14"/>
      <c r="AA141" s="16"/>
      <c r="AB141" s="16"/>
      <c r="AC141" s="16"/>
      <c r="AD141" s="16"/>
      <c r="AE141" s="66"/>
      <c r="AF141" s="54"/>
      <c r="AG141" s="70" t="s">
        <v>171</v>
      </c>
      <c r="AH141" s="68">
        <f>VLOOKUP(AG141,'Run Reconcile'!A$2:B783,2,FALSE)</f>
        <v>44588</v>
      </c>
      <c r="AI141" s="69">
        <f>COUNTIF('APS Tubes IMPORT'!$V$2:$V783, AG141)
</f>
        <v>28</v>
      </c>
      <c r="AJ141" s="69">
        <f>COUNTIFS('APS Tubes IMPORT'!V$2:V783, AG141, 'APS Tubes IMPORT'!H$2:H783, "Negative")
</f>
        <v>28</v>
      </c>
      <c r="AK141" s="69">
        <f>COUNTIFS('APS Tubes IMPORT'!V$2:V783, AG141, 'APS Tubes IMPORT'!H$2:H783, "Positive")
</f>
        <v>0</v>
      </c>
      <c r="AL141" s="69">
        <f>COUNTIFS('APS Tubes IMPORT'!V$2:V783, AG141, 'APS Tubes IMPORT'!H$2:H783, "Inconclusive")
</f>
        <v>0</v>
      </c>
      <c r="AM141" s="69">
        <f>COUNTIFS('APS Tubes IMPORT'!V$2:V783, AG141, 'APS Tubes IMPORT'!H$2:H783, "Null")
</f>
        <v>0</v>
      </c>
      <c r="AN141" s="54"/>
      <c r="AO141" s="14">
        <f>'APS Tubes by Date IMPORT'!B140</f>
        <v>44608</v>
      </c>
      <c r="AP141" s="16">
        <f>'APS Tubes by Date IMPORT'!D140</f>
        <v>3</v>
      </c>
      <c r="AQ141" s="16">
        <f>'APS Tubes by Date IMPORT'!D140</f>
        <v>3</v>
      </c>
      <c r="AR141" s="16">
        <f>'APS Tubes by Date IMPORT'!E140</f>
        <v>0</v>
      </c>
      <c r="AS141" s="16">
        <f>'APS Tubes by Date IMPORT'!F140</f>
        <v>0</v>
      </c>
      <c r="AT141" s="16">
        <f>'APS Tubes by Date IMPORT'!G140</f>
        <v>0</v>
      </c>
      <c r="AU141" s="54"/>
    </row>
    <row r="142">
      <c r="A142" s="8" t="s">
        <v>172</v>
      </c>
      <c r="B142" s="58">
        <f>VLOOKUP(A142,'Run Reconcile'!A$2:B783,2,FALSE)</f>
        <v>44590</v>
      </c>
      <c r="C142" s="59">
        <f>COUNTIF('ALL Tube Results'!B141:B783, A142)
</f>
        <v>6</v>
      </c>
      <c r="D142" s="60">
        <f>COUNTIFS('ALL Tube Results'!$B141:$B783, $A142, 'ALL Tube Results'!$F141:$F783, "Negative")
</f>
        <v>6</v>
      </c>
      <c r="E142" s="60">
        <f>COUNTIFS('ALL Tube Results'!$B141:$B783, $A142, 'ALL Tube Results'!$F141:$F783, "Positive")
</f>
        <v>0</v>
      </c>
      <c r="F142" s="60">
        <f>COUNTIFS('ALL Tube Results'!$B141:$B783, $A142, 'ALL Tube Results'!$F141:$F783, "Inconclusive")
</f>
        <v>0</v>
      </c>
      <c r="G142" s="61">
        <f t="shared" si="7"/>
        <v>6</v>
      </c>
      <c r="H142" s="61" t="str">
        <f t="shared" si="8"/>
        <v/>
      </c>
      <c r="I142" s="62" t="str">
        <f t="shared" si="9"/>
        <v/>
      </c>
      <c r="J142" s="63" t="str">
        <f t="shared" si="10"/>
        <v/>
      </c>
      <c r="K142" s="63" t="str">
        <f t="shared" si="11"/>
        <v/>
      </c>
      <c r="L142" s="63">
        <f t="shared" si="12"/>
        <v>6</v>
      </c>
      <c r="M142" s="63" t="str">
        <f t="shared" si="13"/>
        <v/>
      </c>
      <c r="N142" s="63" t="str">
        <f t="shared" si="14"/>
        <v/>
      </c>
      <c r="O142" s="64">
        <f t="shared" si="15"/>
        <v>6</v>
      </c>
      <c r="P142" s="64" t="str">
        <f t="shared" si="16"/>
        <v/>
      </c>
      <c r="Q142" s="54"/>
      <c r="R142" s="8" t="s">
        <v>172</v>
      </c>
      <c r="S142" s="14">
        <v>44590.0</v>
      </c>
      <c r="T142" s="16">
        <f>VLOOKUP(R142,'Run Reconcile'!$A$2:$L783,12,FALSE)</f>
        <v>6</v>
      </c>
      <c r="U142" s="16" t="str">
        <f t="shared" si="17"/>
        <v/>
      </c>
      <c r="V142" s="16" t="str">
        <f t="shared" si="18"/>
        <v/>
      </c>
      <c r="W142" s="16"/>
      <c r="X142" s="54"/>
      <c r="Z142" s="14"/>
      <c r="AA142" s="16"/>
      <c r="AB142" s="16"/>
      <c r="AC142" s="16"/>
      <c r="AD142" s="16"/>
      <c r="AE142" s="66"/>
      <c r="AF142" s="54"/>
      <c r="AG142" s="70" t="s">
        <v>172</v>
      </c>
      <c r="AH142" s="68">
        <f>VLOOKUP(AG142,'Run Reconcile'!A$2:B783,2,FALSE)</f>
        <v>44590</v>
      </c>
      <c r="AI142" s="69">
        <f>COUNTIF('APS Tubes IMPORT'!$V$2:$V783, AG142)
</f>
        <v>6</v>
      </c>
      <c r="AJ142" s="69">
        <f>COUNTIFS('APS Tubes IMPORT'!V$2:V783, AG142, 'APS Tubes IMPORT'!H$2:H783, "Negative")
</f>
        <v>6</v>
      </c>
      <c r="AK142" s="69">
        <f>COUNTIFS('APS Tubes IMPORT'!V$2:V783, AG142, 'APS Tubes IMPORT'!H$2:H783, "Positive")
</f>
        <v>0</v>
      </c>
      <c r="AL142" s="69">
        <f>COUNTIFS('APS Tubes IMPORT'!V$2:V783, AG142, 'APS Tubes IMPORT'!H$2:H783, "Inconclusive")
</f>
        <v>0</v>
      </c>
      <c r="AM142" s="69">
        <f>COUNTIFS('APS Tubes IMPORT'!V$2:V783, AG142, 'APS Tubes IMPORT'!H$2:H783, "Null")
</f>
        <v>0</v>
      </c>
      <c r="AN142" s="54"/>
      <c r="AO142" s="14">
        <f>'APS Tubes by Date IMPORT'!B141</f>
        <v>44609</v>
      </c>
      <c r="AP142" s="16">
        <f>'APS Tubes by Date IMPORT'!D141</f>
        <v>23</v>
      </c>
      <c r="AQ142" s="16">
        <f>'APS Tubes by Date IMPORT'!D141</f>
        <v>23</v>
      </c>
      <c r="AR142" s="16">
        <f>'APS Tubes by Date IMPORT'!E141</f>
        <v>0</v>
      </c>
      <c r="AS142" s="16">
        <f>'APS Tubes by Date IMPORT'!F141</f>
        <v>0</v>
      </c>
      <c r="AT142" s="16">
        <f>'APS Tubes by Date IMPORT'!G141</f>
        <v>0</v>
      </c>
      <c r="AU142" s="54"/>
    </row>
    <row r="143">
      <c r="A143" s="8" t="s">
        <v>173</v>
      </c>
      <c r="B143" s="58">
        <f>VLOOKUP(A143,'Run Reconcile'!A$2:B783,2,FALSE)</f>
        <v>44592</v>
      </c>
      <c r="C143" s="59">
        <f>COUNTIF('ALL Tube Results'!B142:B783, A143)
</f>
        <v>23</v>
      </c>
      <c r="D143" s="60">
        <f>COUNTIFS('ALL Tube Results'!$B142:$B783, $A143, 'ALL Tube Results'!$F142:$F783, "Negative")
</f>
        <v>23</v>
      </c>
      <c r="E143" s="60">
        <f>COUNTIFS('ALL Tube Results'!$B142:$B783, $A143, 'ALL Tube Results'!$F142:$F783, "Positive")
</f>
        <v>0</v>
      </c>
      <c r="F143" s="60">
        <f>COUNTIFS('ALL Tube Results'!$B142:$B783, $A143, 'ALL Tube Results'!$F142:$F783, "Inconclusive")
</f>
        <v>0</v>
      </c>
      <c r="G143" s="61">
        <f t="shared" si="7"/>
        <v>23</v>
      </c>
      <c r="H143" s="61" t="str">
        <f t="shared" si="8"/>
        <v/>
      </c>
      <c r="I143" s="62">
        <f t="shared" si="9"/>
        <v>23</v>
      </c>
      <c r="J143" s="63">
        <f t="shared" si="10"/>
        <v>0</v>
      </c>
      <c r="K143" s="63">
        <f t="shared" si="11"/>
        <v>0</v>
      </c>
      <c r="L143" s="63" t="str">
        <f t="shared" si="12"/>
        <v/>
      </c>
      <c r="M143" s="63" t="str">
        <f t="shared" si="13"/>
        <v/>
      </c>
      <c r="N143" s="63" t="str">
        <f t="shared" si="14"/>
        <v/>
      </c>
      <c r="O143" s="64">
        <f t="shared" si="15"/>
        <v>23</v>
      </c>
      <c r="P143" s="64" t="str">
        <f t="shared" si="16"/>
        <v/>
      </c>
      <c r="Q143" s="54"/>
      <c r="R143" s="8" t="s">
        <v>173</v>
      </c>
      <c r="S143" s="14">
        <v>44592.0</v>
      </c>
      <c r="T143" s="16">
        <f>VLOOKUP(R143,'Run Reconcile'!$A$2:$L783,12,FALSE)</f>
        <v>23</v>
      </c>
      <c r="U143" s="16" t="str">
        <f t="shared" si="17"/>
        <v/>
      </c>
      <c r="V143" s="16" t="str">
        <f t="shared" si="18"/>
        <v/>
      </c>
      <c r="W143" s="16"/>
      <c r="X143" s="54"/>
      <c r="Z143" s="14"/>
      <c r="AA143" s="16"/>
      <c r="AB143" s="16"/>
      <c r="AC143" s="16"/>
      <c r="AD143" s="16"/>
      <c r="AE143" s="66"/>
      <c r="AF143" s="54"/>
      <c r="AG143" s="70" t="s">
        <v>173</v>
      </c>
      <c r="AH143" s="68">
        <f>VLOOKUP(AG143,'Run Reconcile'!A$2:B783,2,FALSE)</f>
        <v>44592</v>
      </c>
      <c r="AI143" s="69">
        <f>COUNTIF('APS Tubes IMPORT'!$V$2:$V783, AG143)
</f>
        <v>23</v>
      </c>
      <c r="AJ143" s="69">
        <f>COUNTIFS('APS Tubes IMPORT'!V$2:V783, AG143, 'APS Tubes IMPORT'!H$2:H783, "Negative")
</f>
        <v>23</v>
      </c>
      <c r="AK143" s="69">
        <f>COUNTIFS('APS Tubes IMPORT'!V$2:V783, AG143, 'APS Tubes IMPORT'!H$2:H783, "Positive")
</f>
        <v>0</v>
      </c>
      <c r="AL143" s="69">
        <f>COUNTIFS('APS Tubes IMPORT'!V$2:V783, AG143, 'APS Tubes IMPORT'!H$2:H783, "Inconclusive")
</f>
        <v>0</v>
      </c>
      <c r="AM143" s="69">
        <f>COUNTIFS('APS Tubes IMPORT'!V$2:V783, AG143, 'APS Tubes IMPORT'!H$2:H783, "Null")
</f>
        <v>0</v>
      </c>
      <c r="AN143" s="54"/>
      <c r="AO143" s="14">
        <f>'APS Tubes by Date IMPORT'!B142</f>
        <v>44610</v>
      </c>
      <c r="AP143" s="16">
        <f>'APS Tubes by Date IMPORT'!D142</f>
        <v>1</v>
      </c>
      <c r="AQ143" s="16">
        <f>'APS Tubes by Date IMPORT'!D142</f>
        <v>1</v>
      </c>
      <c r="AR143" s="16">
        <f>'APS Tubes by Date IMPORT'!E142</f>
        <v>0</v>
      </c>
      <c r="AS143" s="16">
        <f>'APS Tubes by Date IMPORT'!F142</f>
        <v>0</v>
      </c>
      <c r="AT143" s="16">
        <f>'APS Tubes by Date IMPORT'!G142</f>
        <v>0</v>
      </c>
      <c r="AU143" s="54"/>
    </row>
    <row r="144">
      <c r="A144" s="8" t="s">
        <v>174</v>
      </c>
      <c r="B144" s="58">
        <f>VLOOKUP(A144,'Run Reconcile'!A$2:B783,2,FALSE)</f>
        <v>44594</v>
      </c>
      <c r="C144" s="59">
        <f>COUNTIF('ALL Tube Results'!B143:B783, A144)
</f>
        <v>3</v>
      </c>
      <c r="D144" s="60">
        <f>COUNTIFS('ALL Tube Results'!$B143:$B783, $A144, 'ALL Tube Results'!$F143:$F783, "Negative")
</f>
        <v>3</v>
      </c>
      <c r="E144" s="60">
        <f>COUNTIFS('ALL Tube Results'!$B143:$B783, $A144, 'ALL Tube Results'!$F143:$F783, "Positive")
</f>
        <v>0</v>
      </c>
      <c r="F144" s="60">
        <f>COUNTIFS('ALL Tube Results'!$B143:$B783, $A144, 'ALL Tube Results'!$F143:$F783, "Inconclusive")
</f>
        <v>0</v>
      </c>
      <c r="G144" s="61">
        <f t="shared" si="7"/>
        <v>3</v>
      </c>
      <c r="H144" s="61" t="str">
        <f t="shared" si="8"/>
        <v/>
      </c>
      <c r="I144" s="62">
        <f t="shared" si="9"/>
        <v>3</v>
      </c>
      <c r="J144" s="63">
        <f t="shared" si="10"/>
        <v>0</v>
      </c>
      <c r="K144" s="63">
        <f t="shared" si="11"/>
        <v>0</v>
      </c>
      <c r="L144" s="63" t="str">
        <f t="shared" si="12"/>
        <v/>
      </c>
      <c r="M144" s="63" t="str">
        <f t="shared" si="13"/>
        <v/>
      </c>
      <c r="N144" s="63" t="str">
        <f t="shared" si="14"/>
        <v/>
      </c>
      <c r="O144" s="64">
        <f t="shared" si="15"/>
        <v>3</v>
      </c>
      <c r="P144" s="64" t="str">
        <f t="shared" si="16"/>
        <v/>
      </c>
      <c r="Q144" s="54"/>
      <c r="R144" s="8" t="s">
        <v>174</v>
      </c>
      <c r="S144" s="14">
        <v>44594.0</v>
      </c>
      <c r="T144" s="16">
        <f>VLOOKUP(R144,'Run Reconcile'!$A$2:$L783,12,FALSE)</f>
        <v>3</v>
      </c>
      <c r="U144" s="16" t="str">
        <f t="shared" si="17"/>
        <v/>
      </c>
      <c r="V144" s="16" t="str">
        <f t="shared" si="18"/>
        <v/>
      </c>
      <c r="W144" s="16"/>
      <c r="X144" s="54"/>
      <c r="Z144" s="14"/>
      <c r="AA144" s="16"/>
      <c r="AB144" s="16"/>
      <c r="AC144" s="16"/>
      <c r="AD144" s="16"/>
      <c r="AE144" s="66"/>
      <c r="AF144" s="54"/>
      <c r="AG144" s="70" t="s">
        <v>174</v>
      </c>
      <c r="AH144" s="68">
        <f>VLOOKUP(AG144,'Run Reconcile'!A$2:B783,2,FALSE)</f>
        <v>44594</v>
      </c>
      <c r="AI144" s="69">
        <f>COUNTIF('APS Tubes IMPORT'!$V$2:$V783, AG144)
</f>
        <v>3</v>
      </c>
      <c r="AJ144" s="69">
        <f>COUNTIFS('APS Tubes IMPORT'!V$2:V783, AG144, 'APS Tubes IMPORT'!H$2:H783, "Negative")
</f>
        <v>3</v>
      </c>
      <c r="AK144" s="69">
        <f>COUNTIFS('APS Tubes IMPORT'!V$2:V783, AG144, 'APS Tubes IMPORT'!H$2:H783, "Positive")
</f>
        <v>0</v>
      </c>
      <c r="AL144" s="69">
        <f>COUNTIFS('APS Tubes IMPORT'!V$2:V783, AG144, 'APS Tubes IMPORT'!H$2:H783, "Inconclusive")
</f>
        <v>0</v>
      </c>
      <c r="AM144" s="69">
        <f>COUNTIFS('APS Tubes IMPORT'!V$2:V783, AG144, 'APS Tubes IMPORT'!H$2:H783, "Null")
</f>
        <v>0</v>
      </c>
      <c r="AN144" s="54"/>
      <c r="AO144" s="14">
        <f>'APS Tubes by Date IMPORT'!B143</f>
        <v>44616</v>
      </c>
      <c r="AP144" s="16">
        <f>'APS Tubes by Date IMPORT'!D143</f>
        <v>1</v>
      </c>
      <c r="AQ144" s="16">
        <f>'APS Tubes by Date IMPORT'!D143</f>
        <v>1</v>
      </c>
      <c r="AR144" s="16">
        <f>'APS Tubes by Date IMPORT'!E143</f>
        <v>0</v>
      </c>
      <c r="AS144" s="16">
        <f>'APS Tubes by Date IMPORT'!F143</f>
        <v>0</v>
      </c>
      <c r="AT144" s="16">
        <f>'APS Tubes by Date IMPORT'!G143</f>
        <v>0</v>
      </c>
      <c r="AU144" s="54"/>
    </row>
    <row r="145">
      <c r="A145" s="8" t="s">
        <v>175</v>
      </c>
      <c r="B145" s="58">
        <f>VLOOKUP(A145,'Run Reconcile'!A$2:B783,2,FALSE)</f>
        <v>44595</v>
      </c>
      <c r="C145" s="59">
        <f>COUNTIF('ALL Tube Results'!B144:B783, A145)
</f>
        <v>29</v>
      </c>
      <c r="D145" s="60">
        <f>COUNTIFS('ALL Tube Results'!$B144:$B783, $A145, 'ALL Tube Results'!$F144:$F783, "Negative")
</f>
        <v>29</v>
      </c>
      <c r="E145" s="60">
        <f>COUNTIFS('ALL Tube Results'!$B144:$B783, $A145, 'ALL Tube Results'!$F144:$F783, "Positive")
</f>
        <v>0</v>
      </c>
      <c r="F145" s="60">
        <f>COUNTIFS('ALL Tube Results'!$B144:$B783, $A145, 'ALL Tube Results'!$F144:$F783, "Inconclusive")
</f>
        <v>0</v>
      </c>
      <c r="G145" s="61">
        <f t="shared" si="7"/>
        <v>29</v>
      </c>
      <c r="H145" s="61" t="str">
        <f t="shared" si="8"/>
        <v/>
      </c>
      <c r="I145" s="62">
        <f t="shared" si="9"/>
        <v>29</v>
      </c>
      <c r="J145" s="63">
        <f t="shared" si="10"/>
        <v>0</v>
      </c>
      <c r="K145" s="63">
        <f t="shared" si="11"/>
        <v>0</v>
      </c>
      <c r="L145" s="63" t="str">
        <f t="shared" si="12"/>
        <v/>
      </c>
      <c r="M145" s="63" t="str">
        <f t="shared" si="13"/>
        <v/>
      </c>
      <c r="N145" s="63" t="str">
        <f t="shared" si="14"/>
        <v/>
      </c>
      <c r="O145" s="64">
        <f t="shared" si="15"/>
        <v>29</v>
      </c>
      <c r="P145" s="64" t="str">
        <f t="shared" si="16"/>
        <v/>
      </c>
      <c r="Q145" s="54"/>
      <c r="R145" s="8" t="s">
        <v>175</v>
      </c>
      <c r="S145" s="14">
        <v>44595.0</v>
      </c>
      <c r="T145" s="16">
        <f>VLOOKUP(R145,'Run Reconcile'!$A$2:$L783,12,FALSE)</f>
        <v>29</v>
      </c>
      <c r="U145" s="16" t="str">
        <f t="shared" si="17"/>
        <v/>
      </c>
      <c r="V145" s="16" t="str">
        <f t="shared" si="18"/>
        <v/>
      </c>
      <c r="W145" s="16"/>
      <c r="X145" s="54"/>
      <c r="Z145" s="14"/>
      <c r="AA145" s="16"/>
      <c r="AB145" s="16"/>
      <c r="AC145" s="16"/>
      <c r="AD145" s="16"/>
      <c r="AE145" s="66"/>
      <c r="AF145" s="54"/>
      <c r="AG145" s="70" t="s">
        <v>175</v>
      </c>
      <c r="AH145" s="68">
        <f>VLOOKUP(AG145,'Run Reconcile'!A$2:B783,2,FALSE)</f>
        <v>44595</v>
      </c>
      <c r="AI145" s="69">
        <f>COUNTIF('APS Tubes IMPORT'!$V$2:$V783, AG145)
</f>
        <v>29</v>
      </c>
      <c r="AJ145" s="69">
        <f>COUNTIFS('APS Tubes IMPORT'!V$2:V783, AG145, 'APS Tubes IMPORT'!H$2:H783, "Negative")
</f>
        <v>29</v>
      </c>
      <c r="AK145" s="69">
        <f>COUNTIFS('APS Tubes IMPORT'!V$2:V783, AG145, 'APS Tubes IMPORT'!H$2:H783, "Positive")
</f>
        <v>0</v>
      </c>
      <c r="AL145" s="69">
        <f>COUNTIFS('APS Tubes IMPORT'!V$2:V783, AG145, 'APS Tubes IMPORT'!H$2:H783, "Inconclusive")
</f>
        <v>0</v>
      </c>
      <c r="AM145" s="69">
        <f>COUNTIFS('APS Tubes IMPORT'!V$2:V783, AG145, 'APS Tubes IMPORT'!H$2:H783, "Null")
</f>
        <v>0</v>
      </c>
      <c r="AN145" s="54"/>
      <c r="AO145" s="14">
        <f>'APS Tubes by Date IMPORT'!B144</f>
        <v>44619</v>
      </c>
      <c r="AP145" s="16">
        <f>'APS Tubes by Date IMPORT'!D144</f>
        <v>20</v>
      </c>
      <c r="AQ145" s="16">
        <f>'APS Tubes by Date IMPORT'!D144</f>
        <v>20</v>
      </c>
      <c r="AR145" s="16">
        <f>'APS Tubes by Date IMPORT'!E144</f>
        <v>0</v>
      </c>
      <c r="AS145" s="16">
        <f>'APS Tubes by Date IMPORT'!F144</f>
        <v>0</v>
      </c>
      <c r="AT145" s="16">
        <f>'APS Tubes by Date IMPORT'!G144</f>
        <v>0</v>
      </c>
      <c r="AU145" s="54"/>
    </row>
    <row r="146">
      <c r="A146" s="8" t="s">
        <v>176</v>
      </c>
      <c r="B146" s="58">
        <f>VLOOKUP(A146,'Run Reconcile'!A$2:B783,2,FALSE)</f>
        <v>44597</v>
      </c>
      <c r="C146" s="59">
        <f>COUNTIF('ALL Tube Results'!B145:B783, A146)
</f>
        <v>4</v>
      </c>
      <c r="D146" s="60">
        <f>COUNTIFS('ALL Tube Results'!$B145:$B783, $A146, 'ALL Tube Results'!$F145:$F783, "Negative")
</f>
        <v>4</v>
      </c>
      <c r="E146" s="60">
        <f>COUNTIFS('ALL Tube Results'!$B145:$B783, $A146, 'ALL Tube Results'!$F145:$F783, "Positive")
</f>
        <v>0</v>
      </c>
      <c r="F146" s="60">
        <f>COUNTIFS('ALL Tube Results'!$B145:$B783, $A146, 'ALL Tube Results'!$F145:$F783, "Inconclusive")
</f>
        <v>0</v>
      </c>
      <c r="G146" s="61">
        <f t="shared" si="7"/>
        <v>4</v>
      </c>
      <c r="H146" s="61" t="str">
        <f t="shared" si="8"/>
        <v/>
      </c>
      <c r="I146" s="62" t="str">
        <f t="shared" si="9"/>
        <v/>
      </c>
      <c r="J146" s="63" t="str">
        <f t="shared" si="10"/>
        <v/>
      </c>
      <c r="K146" s="63" t="str">
        <f t="shared" si="11"/>
        <v/>
      </c>
      <c r="L146" s="63">
        <f t="shared" si="12"/>
        <v>4</v>
      </c>
      <c r="M146" s="63" t="str">
        <f t="shared" si="13"/>
        <v/>
      </c>
      <c r="N146" s="63" t="str">
        <f t="shared" si="14"/>
        <v/>
      </c>
      <c r="O146" s="64">
        <f t="shared" si="15"/>
        <v>4</v>
      </c>
      <c r="P146" s="64" t="str">
        <f t="shared" si="16"/>
        <v/>
      </c>
      <c r="Q146" s="54"/>
      <c r="R146" s="8" t="s">
        <v>176</v>
      </c>
      <c r="S146" s="14">
        <v>44597.0</v>
      </c>
      <c r="T146" s="16">
        <f>VLOOKUP(R146,'Run Reconcile'!$A$2:$L783,12,FALSE)</f>
        <v>4</v>
      </c>
      <c r="U146" s="16" t="str">
        <f t="shared" si="17"/>
        <v/>
      </c>
      <c r="V146" s="16" t="str">
        <f t="shared" si="18"/>
        <v/>
      </c>
      <c r="W146" s="16"/>
      <c r="X146" s="54"/>
      <c r="Z146" s="14"/>
      <c r="AA146" s="16"/>
      <c r="AB146" s="16"/>
      <c r="AC146" s="16"/>
      <c r="AD146" s="16"/>
      <c r="AE146" s="66"/>
      <c r="AF146" s="54"/>
      <c r="AG146" s="70" t="s">
        <v>176</v>
      </c>
      <c r="AH146" s="68">
        <f>VLOOKUP(AG146,'Run Reconcile'!A$2:B783,2,FALSE)</f>
        <v>44597</v>
      </c>
      <c r="AI146" s="69">
        <f>COUNTIF('APS Tubes IMPORT'!$V$2:$V783, AG146)
</f>
        <v>4</v>
      </c>
      <c r="AJ146" s="69">
        <f>COUNTIFS('APS Tubes IMPORT'!V$2:V783, AG146, 'APS Tubes IMPORT'!H$2:H783, "Negative")
</f>
        <v>4</v>
      </c>
      <c r="AK146" s="69">
        <f>COUNTIFS('APS Tubes IMPORT'!V$2:V783, AG146, 'APS Tubes IMPORT'!H$2:H783, "Positive")
</f>
        <v>0</v>
      </c>
      <c r="AL146" s="69">
        <f>COUNTIFS('APS Tubes IMPORT'!V$2:V783, AG146, 'APS Tubes IMPORT'!H$2:H783, "Inconclusive")
</f>
        <v>0</v>
      </c>
      <c r="AM146" s="69">
        <f>COUNTIFS('APS Tubes IMPORT'!V$2:V783, AG146, 'APS Tubes IMPORT'!H$2:H783, "Null")
</f>
        <v>0</v>
      </c>
      <c r="AN146" s="54"/>
      <c r="AO146" s="14">
        <f>'APS Tubes by Date IMPORT'!B145</f>
        <v>44623</v>
      </c>
      <c r="AP146" s="16">
        <f>'APS Tubes by Date IMPORT'!D145</f>
        <v>25</v>
      </c>
      <c r="AQ146" s="16">
        <f>'APS Tubes by Date IMPORT'!D145</f>
        <v>25</v>
      </c>
      <c r="AR146" s="16">
        <f>'APS Tubes by Date IMPORT'!E145</f>
        <v>0</v>
      </c>
      <c r="AS146" s="16">
        <f>'APS Tubes by Date IMPORT'!F145</f>
        <v>0</v>
      </c>
      <c r="AT146" s="16">
        <f>'APS Tubes by Date IMPORT'!G145</f>
        <v>0</v>
      </c>
      <c r="AU146" s="54"/>
    </row>
    <row r="147">
      <c r="A147" s="8" t="s">
        <v>177</v>
      </c>
      <c r="B147" s="58">
        <f>VLOOKUP(A147,'Run Reconcile'!A$2:B783,2,FALSE)</f>
        <v>44599</v>
      </c>
      <c r="C147" s="59">
        <f>COUNTIF('ALL Tube Results'!B146:B783, A147)
</f>
        <v>28</v>
      </c>
      <c r="D147" s="60">
        <f>COUNTIFS('ALL Tube Results'!$B146:$B783, $A147, 'ALL Tube Results'!$F146:$F783, "Negative")
</f>
        <v>28</v>
      </c>
      <c r="E147" s="60">
        <f>COUNTIFS('ALL Tube Results'!$B146:$B783, $A147, 'ALL Tube Results'!$F146:$F783, "Positive")
</f>
        <v>0</v>
      </c>
      <c r="F147" s="60">
        <f>COUNTIFS('ALL Tube Results'!$B146:$B783, $A147, 'ALL Tube Results'!$F146:$F783, "Inconclusive")
</f>
        <v>0</v>
      </c>
      <c r="G147" s="61">
        <f t="shared" si="7"/>
        <v>28</v>
      </c>
      <c r="H147" s="61" t="str">
        <f t="shared" si="8"/>
        <v/>
      </c>
      <c r="I147" s="62">
        <f t="shared" si="9"/>
        <v>27</v>
      </c>
      <c r="J147" s="63">
        <f t="shared" si="10"/>
        <v>0</v>
      </c>
      <c r="K147" s="63">
        <f t="shared" si="11"/>
        <v>0</v>
      </c>
      <c r="L147" s="63">
        <f t="shared" si="12"/>
        <v>1</v>
      </c>
      <c r="M147" s="63" t="str">
        <f t="shared" si="13"/>
        <v/>
      </c>
      <c r="N147" s="63" t="str">
        <f t="shared" si="14"/>
        <v/>
      </c>
      <c r="O147" s="64">
        <f t="shared" si="15"/>
        <v>28</v>
      </c>
      <c r="P147" s="64" t="str">
        <f t="shared" si="16"/>
        <v/>
      </c>
      <c r="Q147" s="54"/>
      <c r="R147" s="8" t="s">
        <v>177</v>
      </c>
      <c r="S147" s="14">
        <v>44599.0</v>
      </c>
      <c r="T147" s="16">
        <f>VLOOKUP(R147,'Run Reconcile'!$A$2:$L783,12,FALSE)</f>
        <v>28</v>
      </c>
      <c r="U147" s="16" t="str">
        <f t="shared" si="17"/>
        <v/>
      </c>
      <c r="V147" s="16" t="str">
        <f t="shared" si="18"/>
        <v/>
      </c>
      <c r="W147" s="16"/>
      <c r="X147" s="54"/>
      <c r="Z147" s="14"/>
      <c r="AA147" s="16"/>
      <c r="AB147" s="16"/>
      <c r="AC147" s="16"/>
      <c r="AD147" s="16"/>
      <c r="AE147" s="66"/>
      <c r="AF147" s="54"/>
      <c r="AG147" s="70" t="s">
        <v>177</v>
      </c>
      <c r="AH147" s="68">
        <f>VLOOKUP(AG147,'Run Reconcile'!A$2:B783,2,FALSE)</f>
        <v>44599</v>
      </c>
      <c r="AI147" s="69">
        <f>COUNTIF('APS Tubes IMPORT'!$V$2:$V783, AG147)
</f>
        <v>28</v>
      </c>
      <c r="AJ147" s="69">
        <f>COUNTIFS('APS Tubes IMPORT'!V$2:V783, AG147, 'APS Tubes IMPORT'!H$2:H783, "Negative")
</f>
        <v>28</v>
      </c>
      <c r="AK147" s="69">
        <f>COUNTIFS('APS Tubes IMPORT'!V$2:V783, AG147, 'APS Tubes IMPORT'!H$2:H783, "Positive")
</f>
        <v>0</v>
      </c>
      <c r="AL147" s="69">
        <f>COUNTIFS('APS Tubes IMPORT'!V$2:V783, AG147, 'APS Tubes IMPORT'!H$2:H783, "Inconclusive")
</f>
        <v>0</v>
      </c>
      <c r="AM147" s="69">
        <f>COUNTIFS('APS Tubes IMPORT'!V$2:V783, AG147, 'APS Tubes IMPORT'!H$2:H783, "Null")
</f>
        <v>0</v>
      </c>
      <c r="AN147" s="54"/>
      <c r="AO147" s="14">
        <f>'APS Tubes by Date IMPORT'!B146</f>
        <v>44626</v>
      </c>
      <c r="AP147" s="16">
        <f>'APS Tubes by Date IMPORT'!D146</f>
        <v>5</v>
      </c>
      <c r="AQ147" s="16">
        <f>'APS Tubes by Date IMPORT'!D146</f>
        <v>5</v>
      </c>
      <c r="AR147" s="16">
        <f>'APS Tubes by Date IMPORT'!E146</f>
        <v>0</v>
      </c>
      <c r="AS147" s="16">
        <f>'APS Tubes by Date IMPORT'!F146</f>
        <v>0</v>
      </c>
      <c r="AT147" s="16">
        <f>'APS Tubes by Date IMPORT'!G146</f>
        <v>0</v>
      </c>
      <c r="AU147" s="54"/>
    </row>
    <row r="148">
      <c r="A148" s="8" t="s">
        <v>178</v>
      </c>
      <c r="B148" s="58">
        <f>VLOOKUP(A148,'Run Reconcile'!A$2:B783,2,FALSE)</f>
        <v>44602</v>
      </c>
      <c r="C148" s="59">
        <f>COUNTIF('ALL Tube Results'!B147:B783, A148)
</f>
        <v>29</v>
      </c>
      <c r="D148" s="60">
        <f>COUNTIFS('ALL Tube Results'!$B147:$B783, $A148, 'ALL Tube Results'!$F147:$F783, "Negative")
</f>
        <v>29</v>
      </c>
      <c r="E148" s="60">
        <f>COUNTIFS('ALL Tube Results'!$B147:$B783, $A148, 'ALL Tube Results'!$F147:$F783, "Positive")
</f>
        <v>0</v>
      </c>
      <c r="F148" s="60">
        <f>COUNTIFS('ALL Tube Results'!$B147:$B783, $A148, 'ALL Tube Results'!$F147:$F783, "Inconclusive")
</f>
        <v>0</v>
      </c>
      <c r="G148" s="61">
        <f t="shared" si="7"/>
        <v>29</v>
      </c>
      <c r="H148" s="61" t="str">
        <f t="shared" si="8"/>
        <v/>
      </c>
      <c r="I148" s="62">
        <f t="shared" si="9"/>
        <v>29</v>
      </c>
      <c r="J148" s="63">
        <f t="shared" si="10"/>
        <v>0</v>
      </c>
      <c r="K148" s="63">
        <f t="shared" si="11"/>
        <v>0</v>
      </c>
      <c r="L148" s="63" t="str">
        <f t="shared" si="12"/>
        <v/>
      </c>
      <c r="M148" s="63" t="str">
        <f t="shared" si="13"/>
        <v/>
      </c>
      <c r="N148" s="63" t="str">
        <f t="shared" si="14"/>
        <v/>
      </c>
      <c r="O148" s="64">
        <f t="shared" si="15"/>
        <v>28</v>
      </c>
      <c r="P148" s="64">
        <f t="shared" si="16"/>
        <v>1</v>
      </c>
      <c r="Q148" s="54"/>
      <c r="R148" s="8" t="s">
        <v>178</v>
      </c>
      <c r="S148" s="14">
        <v>44602.0</v>
      </c>
      <c r="T148" s="16">
        <f>VLOOKUP(R148,'Run Reconcile'!$A$2:$L783,12,FALSE)</f>
        <v>29</v>
      </c>
      <c r="U148" s="16" t="str">
        <f t="shared" si="17"/>
        <v/>
      </c>
      <c r="V148" s="16" t="str">
        <f t="shared" si="18"/>
        <v/>
      </c>
      <c r="W148" s="16"/>
      <c r="X148" s="54"/>
      <c r="Z148" s="14"/>
      <c r="AA148" s="16"/>
      <c r="AB148" s="16"/>
      <c r="AC148" s="16"/>
      <c r="AD148" s="16"/>
      <c r="AE148" s="66"/>
      <c r="AF148" s="54"/>
      <c r="AG148" s="70" t="s">
        <v>178</v>
      </c>
      <c r="AH148" s="68">
        <f>VLOOKUP(AG148,'Run Reconcile'!A$2:B783,2,FALSE)</f>
        <v>44602</v>
      </c>
      <c r="AI148" s="69">
        <f>COUNTIF('APS Tubes IMPORT'!$V$2:$V783, AG148)
</f>
        <v>28</v>
      </c>
      <c r="AJ148" s="69">
        <f>COUNTIFS('APS Tubes IMPORT'!V$2:V783, AG148, 'APS Tubes IMPORT'!H$2:H783, "Negative")
</f>
        <v>28</v>
      </c>
      <c r="AK148" s="69">
        <f>COUNTIFS('APS Tubes IMPORT'!V$2:V783, AG148, 'APS Tubes IMPORT'!H$2:H783, "Positive")
</f>
        <v>0</v>
      </c>
      <c r="AL148" s="69">
        <f>COUNTIFS('APS Tubes IMPORT'!V$2:V783, AG148, 'APS Tubes IMPORT'!H$2:H783, "Inconclusive")
</f>
        <v>0</v>
      </c>
      <c r="AM148" s="69">
        <f>COUNTIFS('APS Tubes IMPORT'!V$2:V783, AG148, 'APS Tubes IMPORT'!H$2:H783, "Null")
</f>
        <v>0</v>
      </c>
      <c r="AN148" s="54"/>
      <c r="AO148" s="14">
        <f>'APS Tubes by Date IMPORT'!B147</f>
        <v>44627</v>
      </c>
      <c r="AP148" s="16">
        <f>'APS Tubes by Date IMPORT'!D147</f>
        <v>18</v>
      </c>
      <c r="AQ148" s="16">
        <f>'APS Tubes by Date IMPORT'!D147</f>
        <v>18</v>
      </c>
      <c r="AR148" s="16">
        <f>'APS Tubes by Date IMPORT'!E147</f>
        <v>0</v>
      </c>
      <c r="AS148" s="16">
        <f>'APS Tubes by Date IMPORT'!F147</f>
        <v>0</v>
      </c>
      <c r="AT148" s="16">
        <f>'APS Tubes by Date IMPORT'!G147</f>
        <v>0</v>
      </c>
      <c r="AU148" s="54"/>
    </row>
    <row r="149">
      <c r="A149" s="8" t="s">
        <v>179</v>
      </c>
      <c r="B149" s="58">
        <f>VLOOKUP(A149,'Run Reconcile'!A$2:B783,2,FALSE)</f>
        <v>44604</v>
      </c>
      <c r="C149" s="59">
        <f>COUNTIF('ALL Tube Results'!B148:B783, A149)
</f>
        <v>3</v>
      </c>
      <c r="D149" s="60">
        <f>COUNTIFS('ALL Tube Results'!$B148:$B783, $A149, 'ALL Tube Results'!$F148:$F783, "Negative")
</f>
        <v>3</v>
      </c>
      <c r="E149" s="60">
        <f>COUNTIFS('ALL Tube Results'!$B148:$B783, $A149, 'ALL Tube Results'!$F148:$F783, "Positive")
</f>
        <v>0</v>
      </c>
      <c r="F149" s="60">
        <f>COUNTIFS('ALL Tube Results'!$B148:$B783, $A149, 'ALL Tube Results'!$F148:$F783, "Inconclusive")
</f>
        <v>0</v>
      </c>
      <c r="G149" s="61">
        <f t="shared" si="7"/>
        <v>3</v>
      </c>
      <c r="H149" s="61" t="str">
        <f t="shared" si="8"/>
        <v/>
      </c>
      <c r="I149" s="62">
        <f t="shared" si="9"/>
        <v>3</v>
      </c>
      <c r="J149" s="63">
        <f t="shared" si="10"/>
        <v>0</v>
      </c>
      <c r="K149" s="63">
        <f t="shared" si="11"/>
        <v>0</v>
      </c>
      <c r="L149" s="63" t="str">
        <f t="shared" si="12"/>
        <v/>
      </c>
      <c r="M149" s="63" t="str">
        <f t="shared" si="13"/>
        <v/>
      </c>
      <c r="N149" s="63" t="str">
        <f t="shared" si="14"/>
        <v/>
      </c>
      <c r="O149" s="64">
        <f t="shared" si="15"/>
        <v>3</v>
      </c>
      <c r="P149" s="64" t="str">
        <f t="shared" si="16"/>
        <v/>
      </c>
      <c r="Q149" s="54"/>
      <c r="R149" s="8" t="s">
        <v>179</v>
      </c>
      <c r="S149" s="14">
        <v>44604.0</v>
      </c>
      <c r="T149" s="16">
        <f>VLOOKUP(R149,'Run Reconcile'!$A$2:$L783,12,FALSE)</f>
        <v>3</v>
      </c>
      <c r="U149" s="16" t="str">
        <f t="shared" si="17"/>
        <v/>
      </c>
      <c r="V149" s="16" t="str">
        <f t="shared" si="18"/>
        <v/>
      </c>
      <c r="W149" s="16"/>
      <c r="X149" s="54"/>
      <c r="Z149" s="14"/>
      <c r="AA149" s="16"/>
      <c r="AB149" s="16"/>
      <c r="AC149" s="16"/>
      <c r="AD149" s="16"/>
      <c r="AE149" s="66"/>
      <c r="AF149" s="54"/>
      <c r="AG149" s="70" t="s">
        <v>179</v>
      </c>
      <c r="AH149" s="68">
        <f>VLOOKUP(AG149,'Run Reconcile'!A$2:B783,2,FALSE)</f>
        <v>44604</v>
      </c>
      <c r="AI149" s="69">
        <f>COUNTIF('APS Tubes IMPORT'!$V$2:$V783, AG149)
</f>
        <v>3</v>
      </c>
      <c r="AJ149" s="69">
        <f>COUNTIFS('APS Tubes IMPORT'!V$2:V783, AG149, 'APS Tubes IMPORT'!H$2:H783, "Negative")
</f>
        <v>3</v>
      </c>
      <c r="AK149" s="69">
        <f>COUNTIFS('APS Tubes IMPORT'!V$2:V783, AG149, 'APS Tubes IMPORT'!H$2:H783, "Positive")
</f>
        <v>0</v>
      </c>
      <c r="AL149" s="69">
        <f>COUNTIFS('APS Tubes IMPORT'!V$2:V783, AG149, 'APS Tubes IMPORT'!H$2:H783, "Inconclusive")
</f>
        <v>0</v>
      </c>
      <c r="AM149" s="69">
        <f>COUNTIFS('APS Tubes IMPORT'!V$2:V783, AG149, 'APS Tubes IMPORT'!H$2:H783, "Null")
</f>
        <v>0</v>
      </c>
      <c r="AN149" s="54"/>
      <c r="AO149" s="14">
        <f>'APS Tubes by Date IMPORT'!B148</f>
        <v>44629</v>
      </c>
      <c r="AP149" s="16">
        <f>'APS Tubes by Date IMPORT'!D148</f>
        <v>2</v>
      </c>
      <c r="AQ149" s="16">
        <f>'APS Tubes by Date IMPORT'!D148</f>
        <v>2</v>
      </c>
      <c r="AR149" s="16">
        <f>'APS Tubes by Date IMPORT'!E148</f>
        <v>0</v>
      </c>
      <c r="AS149" s="16">
        <f>'APS Tubes by Date IMPORT'!F148</f>
        <v>0</v>
      </c>
      <c r="AT149" s="16">
        <f>'APS Tubes by Date IMPORT'!G148</f>
        <v>0</v>
      </c>
      <c r="AU149" s="54"/>
    </row>
    <row r="150">
      <c r="A150" s="8" t="s">
        <v>180</v>
      </c>
      <c r="B150" s="58">
        <f>VLOOKUP(A150,'Run Reconcile'!A$2:B783,2,FALSE)</f>
        <v>44606</v>
      </c>
      <c r="C150" s="59">
        <f>COUNTIF('ALL Tube Results'!B149:B783, A150)
</f>
        <v>26</v>
      </c>
      <c r="D150" s="60">
        <f>COUNTIFS('ALL Tube Results'!$B149:$B783, $A150, 'ALL Tube Results'!$F149:$F783, "Negative")
</f>
        <v>25</v>
      </c>
      <c r="E150" s="60">
        <f>COUNTIFS('ALL Tube Results'!$B149:$B783, $A150, 'ALL Tube Results'!$F149:$F783, "Positive")
</f>
        <v>0</v>
      </c>
      <c r="F150" s="60">
        <f>COUNTIFS('ALL Tube Results'!$B149:$B783, $A150, 'ALL Tube Results'!$F149:$F783, "Inconclusive")
</f>
        <v>1</v>
      </c>
      <c r="G150" s="61">
        <f t="shared" si="7"/>
        <v>26</v>
      </c>
      <c r="H150" s="61" t="str">
        <f t="shared" si="8"/>
        <v/>
      </c>
      <c r="I150" s="62">
        <f t="shared" si="9"/>
        <v>29</v>
      </c>
      <c r="J150" s="63">
        <f t="shared" si="10"/>
        <v>0</v>
      </c>
      <c r="K150" s="63">
        <f t="shared" si="11"/>
        <v>1</v>
      </c>
      <c r="L150" s="63">
        <f t="shared" si="12"/>
        <v>-3</v>
      </c>
      <c r="M150" s="63" t="str">
        <f t="shared" si="13"/>
        <v/>
      </c>
      <c r="N150" s="63" t="str">
        <f t="shared" si="14"/>
        <v/>
      </c>
      <c r="O150" s="64">
        <f t="shared" si="15"/>
        <v>26</v>
      </c>
      <c r="P150" s="64" t="str">
        <f t="shared" si="16"/>
        <v/>
      </c>
      <c r="Q150" s="54"/>
      <c r="R150" s="8" t="s">
        <v>180</v>
      </c>
      <c r="S150" s="14">
        <v>44606.0</v>
      </c>
      <c r="T150" s="16">
        <f>VLOOKUP(R150,'Run Reconcile'!$A$2:$L783,12,FALSE)</f>
        <v>26</v>
      </c>
      <c r="U150" s="16" t="str">
        <f t="shared" si="17"/>
        <v/>
      </c>
      <c r="V150" s="16" t="str">
        <f t="shared" si="18"/>
        <v/>
      </c>
      <c r="W150" s="16"/>
      <c r="X150" s="54"/>
      <c r="Z150" s="14"/>
      <c r="AA150" s="16"/>
      <c r="AB150" s="16"/>
      <c r="AC150" s="16"/>
      <c r="AD150" s="16"/>
      <c r="AE150" s="66"/>
      <c r="AF150" s="54"/>
      <c r="AG150" s="70" t="s">
        <v>180</v>
      </c>
      <c r="AH150" s="68">
        <f>VLOOKUP(AG150,'Run Reconcile'!A$2:B783,2,FALSE)</f>
        <v>44606</v>
      </c>
      <c r="AI150" s="69">
        <f>COUNTIF('APS Tubes IMPORT'!$V$2:$V783, AG150)
</f>
        <v>26</v>
      </c>
      <c r="AJ150" s="69">
        <f>COUNTIFS('APS Tubes IMPORT'!V$2:V783, AG150, 'APS Tubes IMPORT'!H$2:H783, "Negative")
</f>
        <v>25</v>
      </c>
      <c r="AK150" s="69">
        <f>COUNTIFS('APS Tubes IMPORT'!V$2:V783, AG150, 'APS Tubes IMPORT'!H$2:H783, "Positive")
</f>
        <v>0</v>
      </c>
      <c r="AL150" s="69">
        <f>COUNTIFS('APS Tubes IMPORT'!V$2:V783, AG150, 'APS Tubes IMPORT'!H$2:H783, "Inconclusive")
</f>
        <v>1</v>
      </c>
      <c r="AM150" s="69">
        <f>COUNTIFS('APS Tubes IMPORT'!V$2:V783, AG150, 'APS Tubes IMPORT'!H$2:H783, "Null")
</f>
        <v>0</v>
      </c>
      <c r="AN150" s="54"/>
      <c r="AO150" s="14">
        <f>'APS Tubes by Date IMPORT'!B149</f>
        <v>44630</v>
      </c>
      <c r="AP150" s="16">
        <f>'APS Tubes by Date IMPORT'!D149</f>
        <v>19</v>
      </c>
      <c r="AQ150" s="16">
        <f>'APS Tubes by Date IMPORT'!D149</f>
        <v>19</v>
      </c>
      <c r="AR150" s="16">
        <f>'APS Tubes by Date IMPORT'!E149</f>
        <v>0</v>
      </c>
      <c r="AS150" s="16">
        <f>'APS Tubes by Date IMPORT'!F149</f>
        <v>0</v>
      </c>
      <c r="AT150" s="16">
        <f>'APS Tubes by Date IMPORT'!G149</f>
        <v>0</v>
      </c>
      <c r="AU150" s="54"/>
    </row>
    <row r="151">
      <c r="A151" s="8" t="s">
        <v>181</v>
      </c>
      <c r="B151" s="58">
        <f>VLOOKUP(A151,'Run Reconcile'!A$2:B783,2,FALSE)</f>
        <v>44609</v>
      </c>
      <c r="C151" s="59">
        <f>COUNTIF('ALL Tube Results'!B150:B783, A151)
</f>
        <v>27</v>
      </c>
      <c r="D151" s="60">
        <f>COUNTIFS('ALL Tube Results'!$B150:$B783, $A151, 'ALL Tube Results'!$F150:$F783, "Negative")
</f>
        <v>27</v>
      </c>
      <c r="E151" s="60">
        <f>COUNTIFS('ALL Tube Results'!$B150:$B783, $A151, 'ALL Tube Results'!$F150:$F783, "Positive")
</f>
        <v>0</v>
      </c>
      <c r="F151" s="60">
        <f>COUNTIFS('ALL Tube Results'!$B150:$B783, $A151, 'ALL Tube Results'!$F150:$F783, "Inconclusive")
</f>
        <v>0</v>
      </c>
      <c r="G151" s="61">
        <f t="shared" si="7"/>
        <v>27</v>
      </c>
      <c r="H151" s="61" t="str">
        <f t="shared" si="8"/>
        <v/>
      </c>
      <c r="I151" s="62">
        <f t="shared" si="9"/>
        <v>27</v>
      </c>
      <c r="J151" s="63">
        <f t="shared" si="10"/>
        <v>0</v>
      </c>
      <c r="K151" s="63">
        <f t="shared" si="11"/>
        <v>0</v>
      </c>
      <c r="L151" s="63" t="str">
        <f t="shared" si="12"/>
        <v/>
      </c>
      <c r="M151" s="63" t="str">
        <f t="shared" si="13"/>
        <v/>
      </c>
      <c r="N151" s="63" t="str">
        <f t="shared" si="14"/>
        <v/>
      </c>
      <c r="O151" s="64">
        <f t="shared" si="15"/>
        <v>26</v>
      </c>
      <c r="P151" s="64">
        <f t="shared" si="16"/>
        <v>1</v>
      </c>
      <c r="Q151" s="54"/>
      <c r="R151" s="8" t="s">
        <v>181</v>
      </c>
      <c r="S151" s="14">
        <v>44609.0</v>
      </c>
      <c r="T151" s="16">
        <f>VLOOKUP(R151,'Run Reconcile'!$A$2:$L783,12,FALSE)</f>
        <v>27</v>
      </c>
      <c r="U151" s="16" t="str">
        <f t="shared" si="17"/>
        <v/>
      </c>
      <c r="V151" s="16" t="str">
        <f t="shared" si="18"/>
        <v/>
      </c>
      <c r="W151" s="16"/>
      <c r="X151" s="54"/>
      <c r="Z151" s="14"/>
      <c r="AA151" s="16"/>
      <c r="AB151" s="16"/>
      <c r="AC151" s="16"/>
      <c r="AD151" s="16"/>
      <c r="AE151" s="66"/>
      <c r="AF151" s="54"/>
      <c r="AG151" s="70" t="s">
        <v>181</v>
      </c>
      <c r="AH151" s="68">
        <f>VLOOKUP(AG151,'Run Reconcile'!A$2:B783,2,FALSE)</f>
        <v>44609</v>
      </c>
      <c r="AI151" s="69">
        <f>COUNTIF('APS Tubes IMPORT'!$V$2:$V783, AG151)
</f>
        <v>26</v>
      </c>
      <c r="AJ151" s="69">
        <f>COUNTIFS('APS Tubes IMPORT'!V$2:V783, AG151, 'APS Tubes IMPORT'!H$2:H783, "Negative")
</f>
        <v>26</v>
      </c>
      <c r="AK151" s="69">
        <f>COUNTIFS('APS Tubes IMPORT'!V$2:V783, AG151, 'APS Tubes IMPORT'!H$2:H783, "Positive")
</f>
        <v>0</v>
      </c>
      <c r="AL151" s="69">
        <f>COUNTIFS('APS Tubes IMPORT'!V$2:V783, AG151, 'APS Tubes IMPORT'!H$2:H783, "Inconclusive")
</f>
        <v>0</v>
      </c>
      <c r="AM151" s="69">
        <f>COUNTIFS('APS Tubes IMPORT'!V$2:V783, AG151, 'APS Tubes IMPORT'!H$2:H783, "Null")
</f>
        <v>0</v>
      </c>
      <c r="AN151" s="54"/>
      <c r="AO151" s="14">
        <f>'APS Tubes by Date IMPORT'!B150</f>
        <v>44632</v>
      </c>
      <c r="AP151" s="16">
        <f>'APS Tubes by Date IMPORT'!D150</f>
        <v>2</v>
      </c>
      <c r="AQ151" s="16">
        <f>'APS Tubes by Date IMPORT'!D150</f>
        <v>2</v>
      </c>
      <c r="AR151" s="16">
        <f>'APS Tubes by Date IMPORT'!E150</f>
        <v>0</v>
      </c>
      <c r="AS151" s="16">
        <f>'APS Tubes by Date IMPORT'!F150</f>
        <v>0</v>
      </c>
      <c r="AT151" s="16">
        <f>'APS Tubes by Date IMPORT'!G150</f>
        <v>0</v>
      </c>
      <c r="AU151" s="54"/>
    </row>
    <row r="152">
      <c r="A152" s="8" t="s">
        <v>182</v>
      </c>
      <c r="B152" s="58">
        <f>VLOOKUP(A152,'Run Reconcile'!A$2:B783,2,FALSE)</f>
        <v>44610</v>
      </c>
      <c r="C152" s="59">
        <f>COUNTIF('ALL Tube Results'!B151:B783, A152)
</f>
        <v>1</v>
      </c>
      <c r="D152" s="60">
        <f>COUNTIFS('ALL Tube Results'!$B151:$B783, $A152, 'ALL Tube Results'!$F151:$F783, "Negative")
</f>
        <v>1</v>
      </c>
      <c r="E152" s="60">
        <f>COUNTIFS('ALL Tube Results'!$B151:$B783, $A152, 'ALL Tube Results'!$F151:$F783, "Positive")
</f>
        <v>0</v>
      </c>
      <c r="F152" s="60">
        <f>COUNTIFS('ALL Tube Results'!$B151:$B783, $A152, 'ALL Tube Results'!$F151:$F783, "Inconclusive")
</f>
        <v>0</v>
      </c>
      <c r="G152" s="61">
        <f t="shared" si="7"/>
        <v>1</v>
      </c>
      <c r="H152" s="61" t="str">
        <f t="shared" si="8"/>
        <v/>
      </c>
      <c r="I152" s="62" t="str">
        <f t="shared" si="9"/>
        <v/>
      </c>
      <c r="J152" s="63" t="str">
        <f t="shared" si="10"/>
        <v/>
      </c>
      <c r="K152" s="63" t="str">
        <f t="shared" si="11"/>
        <v/>
      </c>
      <c r="L152" s="63">
        <f t="shared" si="12"/>
        <v>1</v>
      </c>
      <c r="M152" s="63" t="str">
        <f t="shared" si="13"/>
        <v/>
      </c>
      <c r="N152" s="63" t="str">
        <f t="shared" si="14"/>
        <v/>
      </c>
      <c r="O152" s="64">
        <f t="shared" si="15"/>
        <v>1</v>
      </c>
      <c r="P152" s="64" t="str">
        <f t="shared" si="16"/>
        <v/>
      </c>
      <c r="Q152" s="54"/>
      <c r="R152" s="8" t="s">
        <v>182</v>
      </c>
      <c r="S152" s="14">
        <v>44610.0</v>
      </c>
      <c r="T152" s="16">
        <f>VLOOKUP(R152,'Run Reconcile'!$A$2:$L783,12,FALSE)</f>
        <v>1</v>
      </c>
      <c r="U152" s="16" t="str">
        <f t="shared" si="17"/>
        <v/>
      </c>
      <c r="V152" s="16" t="str">
        <f t="shared" si="18"/>
        <v/>
      </c>
      <c r="W152" s="16"/>
      <c r="X152" s="54"/>
      <c r="Z152" s="14"/>
      <c r="AA152" s="16"/>
      <c r="AB152" s="16"/>
      <c r="AC152" s="16"/>
      <c r="AD152" s="16"/>
      <c r="AE152" s="66"/>
      <c r="AF152" s="54"/>
      <c r="AG152" s="70" t="s">
        <v>182</v>
      </c>
      <c r="AH152" s="68">
        <f>VLOOKUP(AG152,'Run Reconcile'!A$2:B783,2,FALSE)</f>
        <v>44610</v>
      </c>
      <c r="AI152" s="69">
        <f>COUNTIF('APS Tubes IMPORT'!$V$2:$V783, AG152)
</f>
        <v>1</v>
      </c>
      <c r="AJ152" s="69">
        <f>COUNTIFS('APS Tubes IMPORT'!V$2:V783, AG152, 'APS Tubes IMPORT'!H$2:H783, "Negative")
</f>
        <v>1</v>
      </c>
      <c r="AK152" s="69">
        <f>COUNTIFS('APS Tubes IMPORT'!V$2:V783, AG152, 'APS Tubes IMPORT'!H$2:H783, "Positive")
</f>
        <v>0</v>
      </c>
      <c r="AL152" s="69">
        <f>COUNTIFS('APS Tubes IMPORT'!V$2:V783, AG152, 'APS Tubes IMPORT'!H$2:H783, "Inconclusive")
</f>
        <v>0</v>
      </c>
      <c r="AM152" s="69">
        <f>COUNTIFS('APS Tubes IMPORT'!V$2:V783, AG152, 'APS Tubes IMPORT'!H$2:H783, "Null")
</f>
        <v>0</v>
      </c>
      <c r="AN152" s="54"/>
      <c r="AO152" s="14">
        <f>'APS Tubes by Date IMPORT'!B151</f>
        <v>44633</v>
      </c>
      <c r="AP152" s="16">
        <f>'APS Tubes by Date IMPORT'!D151</f>
        <v>3</v>
      </c>
      <c r="AQ152" s="16">
        <f>'APS Tubes by Date IMPORT'!D151</f>
        <v>3</v>
      </c>
      <c r="AR152" s="16">
        <f>'APS Tubes by Date IMPORT'!E151</f>
        <v>0</v>
      </c>
      <c r="AS152" s="16">
        <f>'APS Tubes by Date IMPORT'!F151</f>
        <v>0</v>
      </c>
      <c r="AT152" s="16">
        <f>'APS Tubes by Date IMPORT'!G151</f>
        <v>0</v>
      </c>
      <c r="AU152" s="54"/>
    </row>
    <row r="153">
      <c r="A153" s="8" t="s">
        <v>183</v>
      </c>
      <c r="B153" s="58">
        <f>VLOOKUP(A153,'Run Reconcile'!A$2:B783,2,FALSE)</f>
        <v>44619</v>
      </c>
      <c r="C153" s="59">
        <f>COUNTIF('ALL Tube Results'!B152:B783, A153)
</f>
        <v>21</v>
      </c>
      <c r="D153" s="60">
        <f>COUNTIFS('ALL Tube Results'!$B152:$B783, $A153, 'ALL Tube Results'!$F152:$F783, "Negative")
</f>
        <v>21</v>
      </c>
      <c r="E153" s="60">
        <f>COUNTIFS('ALL Tube Results'!$B152:$B783, $A153, 'ALL Tube Results'!$F152:$F783, "Positive")
</f>
        <v>0</v>
      </c>
      <c r="F153" s="60">
        <f>COUNTIFS('ALL Tube Results'!$B152:$B783, $A153, 'ALL Tube Results'!$F152:$F783, "Inconclusive")
</f>
        <v>0</v>
      </c>
      <c r="G153" s="61">
        <f t="shared" si="7"/>
        <v>21</v>
      </c>
      <c r="H153" s="61" t="str">
        <f t="shared" si="8"/>
        <v/>
      </c>
      <c r="I153" s="62">
        <f t="shared" si="9"/>
        <v>21</v>
      </c>
      <c r="J153" s="63">
        <f t="shared" si="10"/>
        <v>0</v>
      </c>
      <c r="K153" s="63">
        <f t="shared" si="11"/>
        <v>0</v>
      </c>
      <c r="L153" s="63" t="str">
        <f t="shared" si="12"/>
        <v/>
      </c>
      <c r="M153" s="63" t="str">
        <f t="shared" si="13"/>
        <v/>
      </c>
      <c r="N153" s="63" t="str">
        <f t="shared" si="14"/>
        <v/>
      </c>
      <c r="O153" s="64">
        <f t="shared" si="15"/>
        <v>21</v>
      </c>
      <c r="P153" s="64" t="str">
        <f t="shared" si="16"/>
        <v/>
      </c>
      <c r="Q153" s="54"/>
      <c r="R153" s="8" t="s">
        <v>183</v>
      </c>
      <c r="S153" s="14">
        <v>44619.0</v>
      </c>
      <c r="T153" s="16">
        <f>VLOOKUP(R153,'Run Reconcile'!$A$2:$L783,12,FALSE)</f>
        <v>21</v>
      </c>
      <c r="U153" s="16" t="str">
        <f t="shared" si="17"/>
        <v/>
      </c>
      <c r="V153" s="16" t="str">
        <f t="shared" si="18"/>
        <v/>
      </c>
      <c r="W153" s="16"/>
      <c r="X153" s="54"/>
      <c r="Z153" s="14"/>
      <c r="AA153" s="16"/>
      <c r="AB153" s="16"/>
      <c r="AC153" s="16"/>
      <c r="AD153" s="16"/>
      <c r="AE153" s="66"/>
      <c r="AF153" s="54"/>
      <c r="AG153" s="70" t="s">
        <v>183</v>
      </c>
      <c r="AH153" s="68">
        <f>VLOOKUP(AG153,'Run Reconcile'!A$2:B783,2,FALSE)</f>
        <v>44619</v>
      </c>
      <c r="AI153" s="69">
        <f>COUNTIF('APS Tubes IMPORT'!$V$2:$V783, AG153)
</f>
        <v>21</v>
      </c>
      <c r="AJ153" s="69">
        <f>COUNTIFS('APS Tubes IMPORT'!V$2:V783, AG153, 'APS Tubes IMPORT'!H$2:H783, "Negative")
</f>
        <v>21</v>
      </c>
      <c r="AK153" s="69">
        <f>COUNTIFS('APS Tubes IMPORT'!V$2:V783, AG153, 'APS Tubes IMPORT'!H$2:H783, "Positive")
</f>
        <v>0</v>
      </c>
      <c r="AL153" s="69">
        <f>COUNTIFS('APS Tubes IMPORT'!V$2:V783, AG153, 'APS Tubes IMPORT'!H$2:H783, "Inconclusive")
</f>
        <v>0</v>
      </c>
      <c r="AM153" s="69">
        <f>COUNTIFS('APS Tubes IMPORT'!V$2:V783, AG153, 'APS Tubes IMPORT'!H$2:H783, "Null")
</f>
        <v>0</v>
      </c>
      <c r="AN153" s="54"/>
      <c r="AO153" s="14">
        <f>'APS Tubes by Date IMPORT'!B152</f>
        <v>44634</v>
      </c>
      <c r="AP153" s="16">
        <f>'APS Tubes by Date IMPORT'!D152</f>
        <v>18</v>
      </c>
      <c r="AQ153" s="16">
        <f>'APS Tubes by Date IMPORT'!D152</f>
        <v>18</v>
      </c>
      <c r="AR153" s="16">
        <f>'APS Tubes by Date IMPORT'!E152</f>
        <v>0</v>
      </c>
      <c r="AS153" s="16">
        <f>'APS Tubes by Date IMPORT'!F152</f>
        <v>0</v>
      </c>
      <c r="AT153" s="16">
        <f>'APS Tubes by Date IMPORT'!G152</f>
        <v>0</v>
      </c>
      <c r="AU153" s="54"/>
    </row>
    <row r="154">
      <c r="A154" s="8" t="s">
        <v>184</v>
      </c>
      <c r="B154" s="58">
        <f>VLOOKUP(A154,'Run Reconcile'!A$2:B783,2,FALSE)</f>
        <v>44623</v>
      </c>
      <c r="C154" s="59">
        <f>COUNTIF('ALL Tube Results'!B153:B783, A154)
</f>
        <v>25</v>
      </c>
      <c r="D154" s="60">
        <f>COUNTIFS('ALL Tube Results'!$B153:$B783, $A154, 'ALL Tube Results'!$F153:$F783, "Negative")
</f>
        <v>25</v>
      </c>
      <c r="E154" s="60">
        <f>COUNTIFS('ALL Tube Results'!$B153:$B783, $A154, 'ALL Tube Results'!$F153:$F783, "Positive")
</f>
        <v>0</v>
      </c>
      <c r="F154" s="60">
        <f>COUNTIFS('ALL Tube Results'!$B153:$B783, $A154, 'ALL Tube Results'!$F153:$F783, "Inconclusive")
</f>
        <v>0</v>
      </c>
      <c r="G154" s="61">
        <f t="shared" si="7"/>
        <v>25</v>
      </c>
      <c r="H154" s="61" t="str">
        <f t="shared" si="8"/>
        <v/>
      </c>
      <c r="I154" s="62">
        <f t="shared" si="9"/>
        <v>25</v>
      </c>
      <c r="J154" s="63">
        <f t="shared" si="10"/>
        <v>0</v>
      </c>
      <c r="K154" s="63">
        <f t="shared" si="11"/>
        <v>0</v>
      </c>
      <c r="L154" s="63" t="str">
        <f t="shared" si="12"/>
        <v/>
      </c>
      <c r="M154" s="63" t="str">
        <f t="shared" si="13"/>
        <v/>
      </c>
      <c r="N154" s="63" t="str">
        <f t="shared" si="14"/>
        <v/>
      </c>
      <c r="O154" s="64">
        <f t="shared" si="15"/>
        <v>25</v>
      </c>
      <c r="P154" s="64" t="str">
        <f t="shared" si="16"/>
        <v/>
      </c>
      <c r="Q154" s="54"/>
      <c r="R154" s="8" t="s">
        <v>184</v>
      </c>
      <c r="S154" s="14">
        <v>44623.0</v>
      </c>
      <c r="T154" s="16">
        <f>VLOOKUP(R154,'Run Reconcile'!$A$2:$L783,12,FALSE)</f>
        <v>25</v>
      </c>
      <c r="U154" s="16" t="str">
        <f t="shared" si="17"/>
        <v/>
      </c>
      <c r="V154" s="16" t="str">
        <f t="shared" si="18"/>
        <v/>
      </c>
      <c r="W154" s="16"/>
      <c r="X154" s="54"/>
      <c r="Z154" s="14"/>
      <c r="AA154" s="16"/>
      <c r="AB154" s="16"/>
      <c r="AC154" s="16"/>
      <c r="AD154" s="16"/>
      <c r="AE154" s="66"/>
      <c r="AF154" s="54"/>
      <c r="AG154" s="70" t="s">
        <v>184</v>
      </c>
      <c r="AH154" s="68">
        <f>VLOOKUP(AG154,'Run Reconcile'!A$2:B783,2,FALSE)</f>
        <v>44623</v>
      </c>
      <c r="AI154" s="69">
        <f>COUNTIF('APS Tubes IMPORT'!$V$2:$V783, AG154)
</f>
        <v>25</v>
      </c>
      <c r="AJ154" s="69">
        <f>COUNTIFS('APS Tubes IMPORT'!V$2:V783, AG154, 'APS Tubes IMPORT'!H$2:H783, "Negative")
</f>
        <v>25</v>
      </c>
      <c r="AK154" s="69">
        <f>COUNTIFS('APS Tubes IMPORT'!V$2:V783, AG154, 'APS Tubes IMPORT'!H$2:H783, "Positive")
</f>
        <v>0</v>
      </c>
      <c r="AL154" s="69">
        <f>COUNTIFS('APS Tubes IMPORT'!V$2:V783, AG154, 'APS Tubes IMPORT'!H$2:H783, "Inconclusive")
</f>
        <v>0</v>
      </c>
      <c r="AM154" s="69">
        <f>COUNTIFS('APS Tubes IMPORT'!V$2:V783, AG154, 'APS Tubes IMPORT'!H$2:H783, "Null")
</f>
        <v>0</v>
      </c>
      <c r="AN154" s="54"/>
      <c r="AO154" s="14">
        <f>'APS Tubes by Date IMPORT'!B153</f>
        <v>44636</v>
      </c>
      <c r="AP154" s="16">
        <f>'APS Tubes by Date IMPORT'!D153</f>
        <v>1</v>
      </c>
      <c r="AQ154" s="16">
        <f>'APS Tubes by Date IMPORT'!D153</f>
        <v>1</v>
      </c>
      <c r="AR154" s="16">
        <f>'APS Tubes by Date IMPORT'!E153</f>
        <v>0</v>
      </c>
      <c r="AS154" s="16">
        <f>'APS Tubes by Date IMPORT'!F153</f>
        <v>0</v>
      </c>
      <c r="AT154" s="16">
        <f>'APS Tubes by Date IMPORT'!G153</f>
        <v>0</v>
      </c>
      <c r="AU154" s="54"/>
    </row>
    <row r="155">
      <c r="A155" s="8" t="s">
        <v>185</v>
      </c>
      <c r="B155" s="58">
        <f>VLOOKUP(A155,'Run Reconcile'!A$2:B783,2,FALSE)</f>
        <v>44627</v>
      </c>
      <c r="C155" s="59">
        <f>COUNTIF('ALL Tube Results'!B154:B783, A155)
</f>
        <v>26</v>
      </c>
      <c r="D155" s="60">
        <f>COUNTIFS('ALL Tube Results'!$B154:$B783, $A155, 'ALL Tube Results'!$F154:$F783, "Negative")
</f>
        <v>26</v>
      </c>
      <c r="E155" s="60">
        <f>COUNTIFS('ALL Tube Results'!$B154:$B783, $A155, 'ALL Tube Results'!$F154:$F783, "Positive")
</f>
        <v>0</v>
      </c>
      <c r="F155" s="60">
        <f>COUNTIFS('ALL Tube Results'!$B154:$B783, $A155, 'ALL Tube Results'!$F154:$F783, "Inconclusive")
</f>
        <v>0</v>
      </c>
      <c r="G155" s="61">
        <f t="shared" si="7"/>
        <v>26</v>
      </c>
      <c r="H155" s="61" t="str">
        <f t="shared" si="8"/>
        <v/>
      </c>
      <c r="I155" s="62">
        <f t="shared" si="9"/>
        <v>26</v>
      </c>
      <c r="J155" s="63">
        <f t="shared" si="10"/>
        <v>0</v>
      </c>
      <c r="K155" s="63">
        <f t="shared" si="11"/>
        <v>0</v>
      </c>
      <c r="L155" s="63" t="str">
        <f t="shared" si="12"/>
        <v/>
      </c>
      <c r="M155" s="63" t="str">
        <f t="shared" si="13"/>
        <v/>
      </c>
      <c r="N155" s="63" t="str">
        <f t="shared" si="14"/>
        <v/>
      </c>
      <c r="O155" s="64">
        <f t="shared" si="15"/>
        <v>23</v>
      </c>
      <c r="P155" s="64">
        <f t="shared" si="16"/>
        <v>3</v>
      </c>
      <c r="Q155" s="54"/>
      <c r="R155" s="8" t="s">
        <v>185</v>
      </c>
      <c r="S155" s="14">
        <v>44627.0</v>
      </c>
      <c r="T155" s="16">
        <f>VLOOKUP(R155,'Run Reconcile'!$A$2:$L783,12,FALSE)</f>
        <v>26</v>
      </c>
      <c r="U155" s="16" t="str">
        <f t="shared" si="17"/>
        <v/>
      </c>
      <c r="V155" s="16" t="str">
        <f t="shared" si="18"/>
        <v/>
      </c>
      <c r="W155" s="16"/>
      <c r="X155" s="54"/>
      <c r="Z155" s="14"/>
      <c r="AA155" s="16"/>
      <c r="AB155" s="16"/>
      <c r="AC155" s="16"/>
      <c r="AD155" s="16"/>
      <c r="AE155" s="66"/>
      <c r="AF155" s="54"/>
      <c r="AG155" s="70" t="s">
        <v>185</v>
      </c>
      <c r="AH155" s="68">
        <f>VLOOKUP(AG155,'Run Reconcile'!A$2:B783,2,FALSE)</f>
        <v>44627</v>
      </c>
      <c r="AI155" s="69">
        <f>COUNTIF('APS Tubes IMPORT'!$V$2:$V783, AG155)
</f>
        <v>23</v>
      </c>
      <c r="AJ155" s="69">
        <f>COUNTIFS('APS Tubes IMPORT'!V$2:V783, AG155, 'APS Tubes IMPORT'!H$2:H783, "Negative")
</f>
        <v>23</v>
      </c>
      <c r="AK155" s="69">
        <f>COUNTIFS('APS Tubes IMPORT'!V$2:V783, AG155, 'APS Tubes IMPORT'!H$2:H783, "Positive")
</f>
        <v>0</v>
      </c>
      <c r="AL155" s="69">
        <f>COUNTIFS('APS Tubes IMPORT'!V$2:V783, AG155, 'APS Tubes IMPORT'!H$2:H783, "Inconclusive")
</f>
        <v>0</v>
      </c>
      <c r="AM155" s="69">
        <f>COUNTIFS('APS Tubes IMPORT'!V$2:V783, AG155, 'APS Tubes IMPORT'!H$2:H783, "Null")
</f>
        <v>0</v>
      </c>
      <c r="AN155" s="54"/>
      <c r="AO155" s="14">
        <f>'APS Tubes by Date IMPORT'!B154</f>
        <v>44637</v>
      </c>
      <c r="AP155" s="16">
        <f>'APS Tubes by Date IMPORT'!D154</f>
        <v>14</v>
      </c>
      <c r="AQ155" s="16">
        <f>'APS Tubes by Date IMPORT'!D154</f>
        <v>14</v>
      </c>
      <c r="AR155" s="16">
        <f>'APS Tubes by Date IMPORT'!E154</f>
        <v>0</v>
      </c>
      <c r="AS155" s="16">
        <f>'APS Tubes by Date IMPORT'!F154</f>
        <v>0</v>
      </c>
      <c r="AT155" s="16">
        <f>'APS Tubes by Date IMPORT'!G154</f>
        <v>0</v>
      </c>
      <c r="AU155" s="54"/>
    </row>
    <row r="156">
      <c r="A156" s="8" t="s">
        <v>186</v>
      </c>
      <c r="B156" s="58">
        <f>VLOOKUP(A156,'Run Reconcile'!A$2:B783,2,FALSE)</f>
        <v>44630</v>
      </c>
      <c r="C156" s="59">
        <f>COUNTIF('ALL Tube Results'!B155:B783, A156)
</f>
        <v>21</v>
      </c>
      <c r="D156" s="60">
        <f>COUNTIFS('ALL Tube Results'!$B155:$B783, $A156, 'ALL Tube Results'!$F155:$F783, "Negative")
</f>
        <v>21</v>
      </c>
      <c r="E156" s="60">
        <f>COUNTIFS('ALL Tube Results'!$B155:$B783, $A156, 'ALL Tube Results'!$F155:$F783, "Positive")
</f>
        <v>0</v>
      </c>
      <c r="F156" s="60">
        <f>COUNTIFS('ALL Tube Results'!$B155:$B783, $A156, 'ALL Tube Results'!$F155:$F783, "Inconclusive")
</f>
        <v>0</v>
      </c>
      <c r="G156" s="61">
        <f t="shared" si="7"/>
        <v>21</v>
      </c>
      <c r="H156" s="61" t="str">
        <f t="shared" si="8"/>
        <v/>
      </c>
      <c r="I156" s="62">
        <f t="shared" si="9"/>
        <v>21</v>
      </c>
      <c r="J156" s="63">
        <f t="shared" si="10"/>
        <v>0</v>
      </c>
      <c r="K156" s="63">
        <f t="shared" si="11"/>
        <v>0</v>
      </c>
      <c r="L156" s="63" t="str">
        <f t="shared" si="12"/>
        <v/>
      </c>
      <c r="M156" s="63" t="str">
        <f t="shared" si="13"/>
        <v/>
      </c>
      <c r="N156" s="63" t="str">
        <f t="shared" si="14"/>
        <v/>
      </c>
      <c r="O156" s="64">
        <f t="shared" si="15"/>
        <v>21</v>
      </c>
      <c r="P156" s="64" t="str">
        <f t="shared" si="16"/>
        <v/>
      </c>
      <c r="Q156" s="54"/>
      <c r="R156" s="8" t="s">
        <v>186</v>
      </c>
      <c r="S156" s="14">
        <v>44630.0</v>
      </c>
      <c r="T156" s="16">
        <f>VLOOKUP(R156,'Run Reconcile'!$A$2:$L783,12,FALSE)</f>
        <v>21</v>
      </c>
      <c r="U156" s="16" t="str">
        <f t="shared" si="17"/>
        <v/>
      </c>
      <c r="V156" s="16" t="str">
        <f t="shared" si="18"/>
        <v/>
      </c>
      <c r="W156" s="16"/>
      <c r="X156" s="54"/>
      <c r="Z156" s="14"/>
      <c r="AA156" s="16"/>
      <c r="AB156" s="16"/>
      <c r="AC156" s="16"/>
      <c r="AD156" s="16"/>
      <c r="AE156" s="66"/>
      <c r="AF156" s="54"/>
      <c r="AG156" s="70" t="s">
        <v>186</v>
      </c>
      <c r="AH156" s="68">
        <f>VLOOKUP(AG156,'Run Reconcile'!A$2:B783,2,FALSE)</f>
        <v>44630</v>
      </c>
      <c r="AI156" s="69">
        <f>COUNTIF('APS Tubes IMPORT'!$V$2:$V783, AG156)
</f>
        <v>21</v>
      </c>
      <c r="AJ156" s="69">
        <f>COUNTIFS('APS Tubes IMPORT'!V$2:V783, AG156, 'APS Tubes IMPORT'!H$2:H783, "Negative")
</f>
        <v>21</v>
      </c>
      <c r="AK156" s="69">
        <f>COUNTIFS('APS Tubes IMPORT'!V$2:V783, AG156, 'APS Tubes IMPORT'!H$2:H783, "Positive")
</f>
        <v>0</v>
      </c>
      <c r="AL156" s="69">
        <f>COUNTIFS('APS Tubes IMPORT'!V$2:V783, AG156, 'APS Tubes IMPORT'!H$2:H783, "Inconclusive")
</f>
        <v>0</v>
      </c>
      <c r="AM156" s="69">
        <f>COUNTIFS('APS Tubes IMPORT'!V$2:V783, AG156, 'APS Tubes IMPORT'!H$2:H783, "Null")
</f>
        <v>0</v>
      </c>
      <c r="AN156" s="54"/>
      <c r="AO156" s="14">
        <f>'APS Tubes by Date IMPORT'!B155</f>
        <v>44640</v>
      </c>
      <c r="AP156" s="16">
        <f>'APS Tubes by Date IMPORT'!D155</f>
        <v>2</v>
      </c>
      <c r="AQ156" s="16">
        <f>'APS Tubes by Date IMPORT'!D155</f>
        <v>2</v>
      </c>
      <c r="AR156" s="16">
        <f>'APS Tubes by Date IMPORT'!E155</f>
        <v>0</v>
      </c>
      <c r="AS156" s="16">
        <f>'APS Tubes by Date IMPORT'!F155</f>
        <v>0</v>
      </c>
      <c r="AT156" s="16">
        <f>'APS Tubes by Date IMPORT'!G155</f>
        <v>0</v>
      </c>
      <c r="AU156" s="54"/>
    </row>
    <row r="157">
      <c r="A157" s="8" t="s">
        <v>187</v>
      </c>
      <c r="B157" s="58">
        <f>VLOOKUP(A157,'Run Reconcile'!A$2:B783,2,FALSE)</f>
        <v>44632</v>
      </c>
      <c r="C157" s="59">
        <f>COUNTIF('ALL Tube Results'!B156:B783, A157)
</f>
        <v>5</v>
      </c>
      <c r="D157" s="60">
        <f>COUNTIFS('ALL Tube Results'!$B156:$B783, $A157, 'ALL Tube Results'!$F156:$F783, "Negative")
</f>
        <v>5</v>
      </c>
      <c r="E157" s="60">
        <f>COUNTIFS('ALL Tube Results'!$B156:$B783, $A157, 'ALL Tube Results'!$F156:$F783, "Positive")
</f>
        <v>0</v>
      </c>
      <c r="F157" s="60">
        <f>COUNTIFS('ALL Tube Results'!$B156:$B783, $A157, 'ALL Tube Results'!$F156:$F783, "Inconclusive")
</f>
        <v>0</v>
      </c>
      <c r="G157" s="61">
        <f t="shared" si="7"/>
        <v>5</v>
      </c>
      <c r="H157" s="61" t="str">
        <f t="shared" si="8"/>
        <v/>
      </c>
      <c r="I157" s="62">
        <f t="shared" si="9"/>
        <v>5</v>
      </c>
      <c r="J157" s="63">
        <f t="shared" si="10"/>
        <v>0</v>
      </c>
      <c r="K157" s="63">
        <f t="shared" si="11"/>
        <v>0</v>
      </c>
      <c r="L157" s="63" t="str">
        <f t="shared" si="12"/>
        <v/>
      </c>
      <c r="M157" s="63" t="str">
        <f t="shared" si="13"/>
        <v/>
      </c>
      <c r="N157" s="63" t="str">
        <f t="shared" si="14"/>
        <v/>
      </c>
      <c r="O157" s="64">
        <f t="shared" si="15"/>
        <v>2</v>
      </c>
      <c r="P157" s="64">
        <f t="shared" si="16"/>
        <v>3</v>
      </c>
      <c r="Q157" s="54"/>
      <c r="R157" s="8" t="s">
        <v>187</v>
      </c>
      <c r="S157" s="14">
        <v>44632.0</v>
      </c>
      <c r="T157" s="16">
        <f>VLOOKUP(R157,'Run Reconcile'!$A$2:$L783,12,FALSE)</f>
        <v>5</v>
      </c>
      <c r="U157" s="16" t="str">
        <f t="shared" si="17"/>
        <v/>
      </c>
      <c r="V157" s="16" t="str">
        <f t="shared" si="18"/>
        <v/>
      </c>
      <c r="W157" s="16"/>
      <c r="X157" s="54"/>
      <c r="Z157" s="14"/>
      <c r="AA157" s="16"/>
      <c r="AB157" s="16"/>
      <c r="AC157" s="16"/>
      <c r="AD157" s="16"/>
      <c r="AE157" s="66"/>
      <c r="AF157" s="54"/>
      <c r="AG157" s="70" t="s">
        <v>187</v>
      </c>
      <c r="AH157" s="68">
        <f>VLOOKUP(AG157,'Run Reconcile'!A$2:B783,2,FALSE)</f>
        <v>44632</v>
      </c>
      <c r="AI157" s="69">
        <f>COUNTIF('APS Tubes IMPORT'!$V$2:$V783, AG157)
</f>
        <v>2</v>
      </c>
      <c r="AJ157" s="69">
        <f>COUNTIFS('APS Tubes IMPORT'!V$2:V783, AG157, 'APS Tubes IMPORT'!H$2:H783, "Negative")
</f>
        <v>2</v>
      </c>
      <c r="AK157" s="69">
        <f>COUNTIFS('APS Tubes IMPORT'!V$2:V783, AG157, 'APS Tubes IMPORT'!H$2:H783, "Positive")
</f>
        <v>0</v>
      </c>
      <c r="AL157" s="69">
        <f>COUNTIFS('APS Tubes IMPORT'!V$2:V783, AG157, 'APS Tubes IMPORT'!H$2:H783, "Inconclusive")
</f>
        <v>0</v>
      </c>
      <c r="AM157" s="69">
        <f>COUNTIFS('APS Tubes IMPORT'!V$2:V783, AG157, 'APS Tubes IMPORT'!H$2:H783, "Null")
</f>
        <v>0</v>
      </c>
      <c r="AN157" s="54"/>
      <c r="AO157" s="14">
        <f>'APS Tubes by Date IMPORT'!B156</f>
        <v>44641</v>
      </c>
      <c r="AP157" s="16">
        <f>'APS Tubes by Date IMPORT'!D156</f>
        <v>20</v>
      </c>
      <c r="AQ157" s="16">
        <f>'APS Tubes by Date IMPORT'!D156</f>
        <v>20</v>
      </c>
      <c r="AR157" s="16">
        <f>'APS Tubes by Date IMPORT'!E156</f>
        <v>0</v>
      </c>
      <c r="AS157" s="16">
        <f>'APS Tubes by Date IMPORT'!F156</f>
        <v>0</v>
      </c>
      <c r="AT157" s="16">
        <f>'APS Tubes by Date IMPORT'!G156</f>
        <v>0</v>
      </c>
      <c r="AU157" s="54"/>
    </row>
    <row r="158">
      <c r="A158" s="8" t="s">
        <v>188</v>
      </c>
      <c r="B158" s="58">
        <f>VLOOKUP(A158,'Run Reconcile'!A$2:B783,2,FALSE)</f>
        <v>44634</v>
      </c>
      <c r="C158" s="59">
        <f>COUNTIF('ALL Tube Results'!B157:B783, A158)
</f>
        <v>25</v>
      </c>
      <c r="D158" s="60">
        <f>COUNTIFS('ALL Tube Results'!$B157:$B783, $A158, 'ALL Tube Results'!$F157:$F783, "Negative")
</f>
        <v>25</v>
      </c>
      <c r="E158" s="60">
        <f>COUNTIFS('ALL Tube Results'!$B157:$B783, $A158, 'ALL Tube Results'!$F157:$F783, "Positive")
</f>
        <v>0</v>
      </c>
      <c r="F158" s="60">
        <f>COUNTIFS('ALL Tube Results'!$B157:$B783, $A158, 'ALL Tube Results'!$F157:$F783, "Inconclusive")
</f>
        <v>0</v>
      </c>
      <c r="G158" s="61">
        <f t="shared" si="7"/>
        <v>25</v>
      </c>
      <c r="H158" s="61" t="str">
        <f t="shared" si="8"/>
        <v/>
      </c>
      <c r="I158" s="62">
        <f t="shared" si="9"/>
        <v>25</v>
      </c>
      <c r="J158" s="63">
        <f t="shared" si="10"/>
        <v>0</v>
      </c>
      <c r="K158" s="63">
        <f t="shared" si="11"/>
        <v>0</v>
      </c>
      <c r="L158" s="63" t="str">
        <f t="shared" si="12"/>
        <v/>
      </c>
      <c r="M158" s="63" t="str">
        <f t="shared" si="13"/>
        <v/>
      </c>
      <c r="N158" s="63" t="str">
        <f t="shared" si="14"/>
        <v/>
      </c>
      <c r="O158" s="64">
        <f t="shared" si="15"/>
        <v>21</v>
      </c>
      <c r="P158" s="64">
        <f t="shared" si="16"/>
        <v>4</v>
      </c>
      <c r="Q158" s="54"/>
      <c r="R158" s="8" t="s">
        <v>188</v>
      </c>
      <c r="S158" s="14">
        <v>44634.0</v>
      </c>
      <c r="T158" s="16">
        <f>VLOOKUP(R158,'Run Reconcile'!$A$2:$L783,12,FALSE)</f>
        <v>25</v>
      </c>
      <c r="U158" s="16" t="str">
        <f t="shared" si="17"/>
        <v/>
      </c>
      <c r="V158" s="16" t="str">
        <f t="shared" si="18"/>
        <v/>
      </c>
      <c r="W158" s="16"/>
      <c r="X158" s="54"/>
      <c r="Z158" s="14"/>
      <c r="AA158" s="16"/>
      <c r="AB158" s="16"/>
      <c r="AC158" s="16"/>
      <c r="AD158" s="16"/>
      <c r="AE158" s="66"/>
      <c r="AF158" s="54"/>
      <c r="AG158" s="70" t="s">
        <v>188</v>
      </c>
      <c r="AH158" s="68">
        <f>VLOOKUP(AG158,'Run Reconcile'!A$2:B783,2,FALSE)</f>
        <v>44634</v>
      </c>
      <c r="AI158" s="69">
        <f>COUNTIF('APS Tubes IMPORT'!$V$2:$V783, AG158)
</f>
        <v>21</v>
      </c>
      <c r="AJ158" s="69">
        <f>COUNTIFS('APS Tubes IMPORT'!V$2:V783, AG158, 'APS Tubes IMPORT'!H$2:H783, "Negative")
</f>
        <v>21</v>
      </c>
      <c r="AK158" s="69">
        <f>COUNTIFS('APS Tubes IMPORT'!V$2:V783, AG158, 'APS Tubes IMPORT'!H$2:H783, "Positive")
</f>
        <v>0</v>
      </c>
      <c r="AL158" s="69">
        <f>COUNTIFS('APS Tubes IMPORT'!V$2:V783, AG158, 'APS Tubes IMPORT'!H$2:H783, "Inconclusive")
</f>
        <v>0</v>
      </c>
      <c r="AM158" s="69">
        <f>COUNTIFS('APS Tubes IMPORT'!V$2:V783, AG158, 'APS Tubes IMPORT'!H$2:H783, "Null")
</f>
        <v>0</v>
      </c>
      <c r="AN158" s="54"/>
      <c r="AO158" s="14">
        <f>'APS Tubes by Date IMPORT'!B157</f>
        <v>44642</v>
      </c>
      <c r="AP158" s="16">
        <f>'APS Tubes by Date IMPORT'!D157</f>
        <v>1</v>
      </c>
      <c r="AQ158" s="16">
        <f>'APS Tubes by Date IMPORT'!D157</f>
        <v>1</v>
      </c>
      <c r="AR158" s="16">
        <f>'APS Tubes by Date IMPORT'!E157</f>
        <v>0</v>
      </c>
      <c r="AS158" s="16">
        <f>'APS Tubes by Date IMPORT'!F157</f>
        <v>0</v>
      </c>
      <c r="AT158" s="16">
        <f>'APS Tubes by Date IMPORT'!G157</f>
        <v>0</v>
      </c>
      <c r="AU158" s="54"/>
    </row>
    <row r="159">
      <c r="A159" s="8" t="s">
        <v>189</v>
      </c>
      <c r="B159" s="58">
        <f>VLOOKUP(A159,'Run Reconcile'!A$2:B783,2,FALSE)</f>
        <v>44637</v>
      </c>
      <c r="C159" s="59">
        <f>COUNTIF('ALL Tube Results'!B158:B783, A159)
</f>
        <v>17</v>
      </c>
      <c r="D159" s="60">
        <f>COUNTIFS('ALL Tube Results'!$B158:$B783, $A159, 'ALL Tube Results'!$F158:$F783, "Negative")
</f>
        <v>17</v>
      </c>
      <c r="E159" s="60">
        <f>COUNTIFS('ALL Tube Results'!$B158:$B783, $A159, 'ALL Tube Results'!$F158:$F783, "Positive")
</f>
        <v>0</v>
      </c>
      <c r="F159" s="60">
        <f>COUNTIFS('ALL Tube Results'!$B158:$B783, $A159, 'ALL Tube Results'!$F158:$F783, "Inconclusive")
</f>
        <v>0</v>
      </c>
      <c r="G159" s="61">
        <f t="shared" si="7"/>
        <v>17</v>
      </c>
      <c r="H159" s="61" t="str">
        <f t="shared" si="8"/>
        <v/>
      </c>
      <c r="I159" s="62">
        <f t="shared" si="9"/>
        <v>17</v>
      </c>
      <c r="J159" s="63">
        <f t="shared" si="10"/>
        <v>0</v>
      </c>
      <c r="K159" s="63">
        <f t="shared" si="11"/>
        <v>0</v>
      </c>
      <c r="L159" s="63" t="str">
        <f t="shared" si="12"/>
        <v/>
      </c>
      <c r="M159" s="63" t="str">
        <f t="shared" si="13"/>
        <v/>
      </c>
      <c r="N159" s="63" t="str">
        <f t="shared" si="14"/>
        <v/>
      </c>
      <c r="O159" s="64">
        <f t="shared" si="15"/>
        <v>15</v>
      </c>
      <c r="P159" s="64">
        <f t="shared" si="16"/>
        <v>2</v>
      </c>
      <c r="Q159" s="54"/>
      <c r="R159" s="8" t="s">
        <v>189</v>
      </c>
      <c r="S159" s="14">
        <v>44637.0</v>
      </c>
      <c r="T159" s="16">
        <f>VLOOKUP(R159,'Run Reconcile'!$A$2:$L783,12,FALSE)</f>
        <v>17</v>
      </c>
      <c r="U159" s="16" t="str">
        <f t="shared" si="17"/>
        <v/>
      </c>
      <c r="V159" s="16" t="str">
        <f t="shared" si="18"/>
        <v/>
      </c>
      <c r="W159" s="16"/>
      <c r="X159" s="54"/>
      <c r="Z159" s="14"/>
      <c r="AA159" s="16"/>
      <c r="AB159" s="16"/>
      <c r="AC159" s="16"/>
      <c r="AD159" s="16"/>
      <c r="AE159" s="66"/>
      <c r="AF159" s="54"/>
      <c r="AG159" s="70" t="s">
        <v>189</v>
      </c>
      <c r="AH159" s="68">
        <f>VLOOKUP(AG159,'Run Reconcile'!A$2:B783,2,FALSE)</f>
        <v>44637</v>
      </c>
      <c r="AI159" s="69">
        <f>COUNTIF('APS Tubes IMPORT'!$V$2:$V783, AG159)
</f>
        <v>15</v>
      </c>
      <c r="AJ159" s="69">
        <f>COUNTIFS('APS Tubes IMPORT'!V$2:V783, AG159, 'APS Tubes IMPORT'!H$2:H783, "Negative")
</f>
        <v>15</v>
      </c>
      <c r="AK159" s="69">
        <f>COUNTIFS('APS Tubes IMPORT'!V$2:V783, AG159, 'APS Tubes IMPORT'!H$2:H783, "Positive")
</f>
        <v>0</v>
      </c>
      <c r="AL159" s="69">
        <f>COUNTIFS('APS Tubes IMPORT'!V$2:V783, AG159, 'APS Tubes IMPORT'!H$2:H783, "Inconclusive")
</f>
        <v>0</v>
      </c>
      <c r="AM159" s="69">
        <f>COUNTIFS('APS Tubes IMPORT'!V$2:V783, AG159, 'APS Tubes IMPORT'!H$2:H783, "Null")
</f>
        <v>0</v>
      </c>
      <c r="AN159" s="54"/>
      <c r="AO159" s="14">
        <f>'APS Tubes by Date IMPORT'!B158</f>
        <v>44644</v>
      </c>
      <c r="AP159" s="16">
        <f>'APS Tubes by Date IMPORT'!D158</f>
        <v>24</v>
      </c>
      <c r="AQ159" s="16">
        <f>'APS Tubes by Date IMPORT'!D158</f>
        <v>24</v>
      </c>
      <c r="AR159" s="16">
        <f>'APS Tubes by Date IMPORT'!E158</f>
        <v>0</v>
      </c>
      <c r="AS159" s="16">
        <f>'APS Tubes by Date IMPORT'!F158</f>
        <v>0</v>
      </c>
      <c r="AT159" s="16">
        <f>'APS Tubes by Date IMPORT'!G158</f>
        <v>0</v>
      </c>
      <c r="AU159" s="54"/>
    </row>
    <row r="160">
      <c r="A160" s="8" t="s">
        <v>190</v>
      </c>
      <c r="B160" s="58">
        <f>VLOOKUP(A160,'Run Reconcile'!A$2:B783,2,FALSE)</f>
        <v>44641</v>
      </c>
      <c r="C160" s="59">
        <f>COUNTIF('ALL Tube Results'!B159:B783, A160)
</f>
        <v>22</v>
      </c>
      <c r="D160" s="60">
        <f>COUNTIFS('ALL Tube Results'!$B159:$B783, $A160, 'ALL Tube Results'!$F159:$F783, "Negative")
</f>
        <v>22</v>
      </c>
      <c r="E160" s="60">
        <f>COUNTIFS('ALL Tube Results'!$B159:$B783, $A160, 'ALL Tube Results'!$F159:$F783, "Positive")
</f>
        <v>0</v>
      </c>
      <c r="F160" s="60">
        <f>COUNTIFS('ALL Tube Results'!$B159:$B783, $A160, 'ALL Tube Results'!$F159:$F783, "Inconclusive")
</f>
        <v>0</v>
      </c>
      <c r="G160" s="61">
        <f t="shared" si="7"/>
        <v>22</v>
      </c>
      <c r="H160" s="61" t="str">
        <f t="shared" si="8"/>
        <v/>
      </c>
      <c r="I160" s="62" t="str">
        <f t="shared" si="9"/>
        <v/>
      </c>
      <c r="J160" s="63" t="str">
        <f t="shared" si="10"/>
        <v/>
      </c>
      <c r="K160" s="63" t="str">
        <f t="shared" si="11"/>
        <v/>
      </c>
      <c r="L160" s="63">
        <f t="shared" si="12"/>
        <v>22</v>
      </c>
      <c r="M160" s="63" t="str">
        <f t="shared" si="13"/>
        <v/>
      </c>
      <c r="N160" s="63" t="str">
        <f t="shared" si="14"/>
        <v/>
      </c>
      <c r="O160" s="64">
        <f t="shared" si="15"/>
        <v>22</v>
      </c>
      <c r="P160" s="64" t="str">
        <f t="shared" si="16"/>
        <v/>
      </c>
      <c r="Q160" s="54"/>
      <c r="R160" s="8" t="s">
        <v>190</v>
      </c>
      <c r="S160" s="14">
        <v>44641.0</v>
      </c>
      <c r="T160" s="16">
        <f>VLOOKUP(R160,'Run Reconcile'!$A$2:$L783,12,FALSE)</f>
        <v>22</v>
      </c>
      <c r="U160" s="16" t="str">
        <f t="shared" si="17"/>
        <v/>
      </c>
      <c r="V160" s="16" t="str">
        <f t="shared" si="18"/>
        <v/>
      </c>
      <c r="W160" s="16"/>
      <c r="X160" s="54"/>
      <c r="Z160" s="14"/>
      <c r="AA160" s="16"/>
      <c r="AB160" s="16"/>
      <c r="AC160" s="16"/>
      <c r="AD160" s="16"/>
      <c r="AE160" s="66"/>
      <c r="AF160" s="54"/>
      <c r="AG160" s="70" t="s">
        <v>190</v>
      </c>
      <c r="AH160" s="68">
        <f>VLOOKUP(AG160,'Run Reconcile'!A$2:B783,2,FALSE)</f>
        <v>44641</v>
      </c>
      <c r="AI160" s="69">
        <f>COUNTIF('APS Tubes IMPORT'!$V$2:$V783, AG160)
</f>
        <v>22</v>
      </c>
      <c r="AJ160" s="69">
        <f>COUNTIFS('APS Tubes IMPORT'!V$2:V783, AG160, 'APS Tubes IMPORT'!H$2:H783, "Negative")
</f>
        <v>22</v>
      </c>
      <c r="AK160" s="69">
        <f>COUNTIFS('APS Tubes IMPORT'!V$2:V783, AG160, 'APS Tubes IMPORT'!H$2:H783, "Positive")
</f>
        <v>0</v>
      </c>
      <c r="AL160" s="69">
        <f>COUNTIFS('APS Tubes IMPORT'!V$2:V783, AG160, 'APS Tubes IMPORT'!H$2:H783, "Inconclusive")
</f>
        <v>0</v>
      </c>
      <c r="AM160" s="69">
        <f>COUNTIFS('APS Tubes IMPORT'!V$2:V783, AG160, 'APS Tubes IMPORT'!H$2:H783, "Null")
</f>
        <v>0</v>
      </c>
      <c r="AN160" s="54"/>
      <c r="AO160" s="14">
        <f>'APS Tubes by Date IMPORT'!B159</f>
        <v>44648</v>
      </c>
      <c r="AP160" s="16">
        <f>'APS Tubes by Date IMPORT'!D159</f>
        <v>5</v>
      </c>
      <c r="AQ160" s="16">
        <f>'APS Tubes by Date IMPORT'!D159</f>
        <v>5</v>
      </c>
      <c r="AR160" s="16">
        <f>'APS Tubes by Date IMPORT'!E159</f>
        <v>0</v>
      </c>
      <c r="AS160" s="16">
        <f>'APS Tubes by Date IMPORT'!F159</f>
        <v>0</v>
      </c>
      <c r="AT160" s="16">
        <f>'APS Tubes by Date IMPORT'!G159</f>
        <v>0</v>
      </c>
      <c r="AU160" s="54"/>
    </row>
    <row r="161">
      <c r="A161" s="8" t="s">
        <v>191</v>
      </c>
      <c r="B161" s="58">
        <f>VLOOKUP(A161,'Run Reconcile'!A$2:B783,2,FALSE)</f>
        <v>44642</v>
      </c>
      <c r="C161" s="59">
        <f>COUNTIF('ALL Tube Results'!B160:B783, A161)
</f>
        <v>1</v>
      </c>
      <c r="D161" s="60">
        <f>COUNTIFS('ALL Tube Results'!$B160:$B783, $A161, 'ALL Tube Results'!$F160:$F783, "Negative")
</f>
        <v>1</v>
      </c>
      <c r="E161" s="60">
        <f>COUNTIFS('ALL Tube Results'!$B160:$B783, $A161, 'ALL Tube Results'!$F160:$F783, "Positive")
</f>
        <v>0</v>
      </c>
      <c r="F161" s="60">
        <f>COUNTIFS('ALL Tube Results'!$B160:$B783, $A161, 'ALL Tube Results'!$F160:$F783, "Inconclusive")
</f>
        <v>0</v>
      </c>
      <c r="G161" s="61">
        <f t="shared" si="7"/>
        <v>1</v>
      </c>
      <c r="H161" s="61" t="str">
        <f t="shared" si="8"/>
        <v/>
      </c>
      <c r="I161" s="62">
        <f t="shared" si="9"/>
        <v>1</v>
      </c>
      <c r="J161" s="63">
        <f t="shared" si="10"/>
        <v>0</v>
      </c>
      <c r="K161" s="63">
        <f t="shared" si="11"/>
        <v>0</v>
      </c>
      <c r="L161" s="63" t="str">
        <f t="shared" si="12"/>
        <v/>
      </c>
      <c r="M161" s="63" t="str">
        <f t="shared" si="13"/>
        <v/>
      </c>
      <c r="N161" s="63" t="str">
        <f t="shared" si="14"/>
        <v/>
      </c>
      <c r="O161" s="64">
        <f t="shared" si="15"/>
        <v>1</v>
      </c>
      <c r="P161" s="64" t="str">
        <f t="shared" si="16"/>
        <v/>
      </c>
      <c r="Q161" s="54"/>
      <c r="R161" s="8" t="s">
        <v>191</v>
      </c>
      <c r="S161" s="14">
        <v>44642.0</v>
      </c>
      <c r="T161" s="16">
        <f>VLOOKUP(R161,'Run Reconcile'!$A$2:$L783,12,FALSE)</f>
        <v>1</v>
      </c>
      <c r="U161" s="16" t="str">
        <f t="shared" si="17"/>
        <v/>
      </c>
      <c r="V161" s="16" t="str">
        <f t="shared" si="18"/>
        <v/>
      </c>
      <c r="W161" s="16"/>
      <c r="X161" s="54"/>
      <c r="Z161" s="14"/>
      <c r="AA161" s="16"/>
      <c r="AB161" s="16"/>
      <c r="AC161" s="16"/>
      <c r="AD161" s="16"/>
      <c r="AE161" s="66"/>
      <c r="AF161" s="54"/>
      <c r="AG161" s="70" t="s">
        <v>191</v>
      </c>
      <c r="AH161" s="68">
        <f>VLOOKUP(AG161,'Run Reconcile'!A$2:B783,2,FALSE)</f>
        <v>44642</v>
      </c>
      <c r="AI161" s="69">
        <f>COUNTIF('APS Tubes IMPORT'!$V$2:$V783, AG161)
</f>
        <v>1</v>
      </c>
      <c r="AJ161" s="69">
        <f>COUNTIFS('APS Tubes IMPORT'!V$2:V783, AG161, 'APS Tubes IMPORT'!H$2:H783, "Negative")
</f>
        <v>1</v>
      </c>
      <c r="AK161" s="69">
        <f>COUNTIFS('APS Tubes IMPORT'!V$2:V783, AG161, 'APS Tubes IMPORT'!H$2:H783, "Positive")
</f>
        <v>0</v>
      </c>
      <c r="AL161" s="69">
        <f>COUNTIFS('APS Tubes IMPORT'!V$2:V783, AG161, 'APS Tubes IMPORT'!H$2:H783, "Inconclusive")
</f>
        <v>0</v>
      </c>
      <c r="AM161" s="69">
        <f>COUNTIFS('APS Tubes IMPORT'!V$2:V783, AG161, 'APS Tubes IMPORT'!H$2:H783, "Null")
</f>
        <v>0</v>
      </c>
      <c r="AN161" s="54"/>
      <c r="AO161" s="14">
        <f>'APS Tubes by Date IMPORT'!B160</f>
        <v>44652</v>
      </c>
      <c r="AP161" s="16">
        <f>'APS Tubes by Date IMPORT'!D160</f>
        <v>3</v>
      </c>
      <c r="AQ161" s="16">
        <f>'APS Tubes by Date IMPORT'!D160</f>
        <v>3</v>
      </c>
      <c r="AR161" s="16">
        <f>'APS Tubes by Date IMPORT'!E160</f>
        <v>0</v>
      </c>
      <c r="AS161" s="16">
        <f>'APS Tubes by Date IMPORT'!F160</f>
        <v>0</v>
      </c>
      <c r="AT161" s="16">
        <f>'APS Tubes by Date IMPORT'!G160</f>
        <v>0</v>
      </c>
      <c r="AU161" s="54"/>
    </row>
    <row r="162">
      <c r="A162" s="8" t="s">
        <v>192</v>
      </c>
      <c r="B162" s="58">
        <f>VLOOKUP(A162,'Run Reconcile'!A$2:B783,2,FALSE)</f>
        <v>44644</v>
      </c>
      <c r="C162" s="59">
        <f>COUNTIF('ALL Tube Results'!B161:B783, A162)
</f>
        <v>24</v>
      </c>
      <c r="D162" s="60">
        <f>COUNTIFS('ALL Tube Results'!$B161:$B783, $A162, 'ALL Tube Results'!$F161:$F783, "Negative")
</f>
        <v>24</v>
      </c>
      <c r="E162" s="60">
        <f>COUNTIFS('ALL Tube Results'!$B161:$B783, $A162, 'ALL Tube Results'!$F161:$F783, "Positive")
</f>
        <v>0</v>
      </c>
      <c r="F162" s="60">
        <f>COUNTIFS('ALL Tube Results'!$B161:$B783, $A162, 'ALL Tube Results'!$F161:$F783, "Inconclusive")
</f>
        <v>0</v>
      </c>
      <c r="G162" s="61">
        <f t="shared" si="7"/>
        <v>24</v>
      </c>
      <c r="H162" s="61" t="str">
        <f t="shared" si="8"/>
        <v/>
      </c>
      <c r="I162" s="62" t="str">
        <f t="shared" si="9"/>
        <v/>
      </c>
      <c r="J162" s="63" t="str">
        <f t="shared" si="10"/>
        <v/>
      </c>
      <c r="K162" s="63" t="str">
        <f t="shared" si="11"/>
        <v/>
      </c>
      <c r="L162" s="63">
        <f t="shared" si="12"/>
        <v>24</v>
      </c>
      <c r="M162" s="63" t="str">
        <f t="shared" si="13"/>
        <v/>
      </c>
      <c r="N162" s="63" t="str">
        <f t="shared" si="14"/>
        <v/>
      </c>
      <c r="O162" s="64">
        <f t="shared" si="15"/>
        <v>24</v>
      </c>
      <c r="P162" s="64" t="str">
        <f t="shared" si="16"/>
        <v/>
      </c>
      <c r="Q162" s="54"/>
      <c r="R162" s="8" t="s">
        <v>192</v>
      </c>
      <c r="S162" s="14">
        <v>44644.0</v>
      </c>
      <c r="T162" s="16">
        <f>VLOOKUP(R162,'Run Reconcile'!$A$2:$L783,12,FALSE)</f>
        <v>24</v>
      </c>
      <c r="U162" s="16" t="str">
        <f t="shared" si="17"/>
        <v/>
      </c>
      <c r="V162" s="16" t="str">
        <f t="shared" si="18"/>
        <v/>
      </c>
      <c r="W162" s="16"/>
      <c r="X162" s="54"/>
      <c r="Z162" s="14"/>
      <c r="AA162" s="16"/>
      <c r="AB162" s="16"/>
      <c r="AC162" s="16"/>
      <c r="AD162" s="16"/>
      <c r="AE162" s="66"/>
      <c r="AF162" s="54"/>
      <c r="AG162" s="70" t="s">
        <v>192</v>
      </c>
      <c r="AH162" s="68">
        <f>VLOOKUP(AG162,'Run Reconcile'!A$2:B783,2,FALSE)</f>
        <v>44644</v>
      </c>
      <c r="AI162" s="69">
        <f>COUNTIF('APS Tubes IMPORT'!$V$2:$V783, AG162)
</f>
        <v>24</v>
      </c>
      <c r="AJ162" s="69">
        <f>COUNTIFS('APS Tubes IMPORT'!V$2:V783, AG162, 'APS Tubes IMPORT'!H$2:H783, "Negative")
</f>
        <v>24</v>
      </c>
      <c r="AK162" s="69">
        <f>COUNTIFS('APS Tubes IMPORT'!V$2:V783, AG162, 'APS Tubes IMPORT'!H$2:H783, "Positive")
</f>
        <v>0</v>
      </c>
      <c r="AL162" s="69">
        <f>COUNTIFS('APS Tubes IMPORT'!V$2:V783, AG162, 'APS Tubes IMPORT'!H$2:H783, "Inconclusive")
</f>
        <v>0</v>
      </c>
      <c r="AM162" s="69">
        <f>COUNTIFS('APS Tubes IMPORT'!V$2:V783, AG162, 'APS Tubes IMPORT'!H$2:H783, "Null")
</f>
        <v>0</v>
      </c>
      <c r="AN162" s="54"/>
      <c r="AO162" s="14">
        <f>'APS Tubes by Date IMPORT'!B161</f>
        <v>44653</v>
      </c>
      <c r="AP162" s="16">
        <f>'APS Tubes by Date IMPORT'!D161</f>
        <v>4</v>
      </c>
      <c r="AQ162" s="16">
        <f>'APS Tubes by Date IMPORT'!D161</f>
        <v>4</v>
      </c>
      <c r="AR162" s="16">
        <f>'APS Tubes by Date IMPORT'!E161</f>
        <v>0</v>
      </c>
      <c r="AS162" s="16">
        <f>'APS Tubes by Date IMPORT'!F161</f>
        <v>0</v>
      </c>
      <c r="AT162" s="16">
        <f>'APS Tubes by Date IMPORT'!G161</f>
        <v>0</v>
      </c>
      <c r="AU162" s="54"/>
    </row>
    <row r="163">
      <c r="A163" s="8" t="s">
        <v>193</v>
      </c>
      <c r="B163" s="58">
        <f>VLOOKUP(A163,'Run Reconcile'!A$2:B783,2,FALSE)</f>
        <v>44648</v>
      </c>
      <c r="C163" s="59">
        <f>COUNTIF('ALL Tube Results'!B162:B783, A163)
</f>
        <v>5</v>
      </c>
      <c r="D163" s="60">
        <f>COUNTIFS('ALL Tube Results'!$B162:$B783, $A163, 'ALL Tube Results'!$F162:$F783, "Negative")
</f>
        <v>5</v>
      </c>
      <c r="E163" s="60">
        <f>COUNTIFS('ALL Tube Results'!$B162:$B783, $A163, 'ALL Tube Results'!$F162:$F783, "Positive")
</f>
        <v>0</v>
      </c>
      <c r="F163" s="60">
        <f>COUNTIFS('ALL Tube Results'!$B162:$B783, $A163, 'ALL Tube Results'!$F162:$F783, "Inconclusive")
</f>
        <v>0</v>
      </c>
      <c r="G163" s="61">
        <f t="shared" si="7"/>
        <v>5</v>
      </c>
      <c r="H163" s="61" t="str">
        <f t="shared" si="8"/>
        <v/>
      </c>
      <c r="I163" s="62" t="str">
        <f t="shared" si="9"/>
        <v/>
      </c>
      <c r="J163" s="63" t="str">
        <f t="shared" si="10"/>
        <v/>
      </c>
      <c r="K163" s="63" t="str">
        <f t="shared" si="11"/>
        <v/>
      </c>
      <c r="L163" s="63">
        <f t="shared" si="12"/>
        <v>5</v>
      </c>
      <c r="M163" s="63" t="str">
        <f t="shared" si="13"/>
        <v/>
      </c>
      <c r="N163" s="63" t="str">
        <f t="shared" si="14"/>
        <v/>
      </c>
      <c r="O163" s="64">
        <f t="shared" si="15"/>
        <v>5</v>
      </c>
      <c r="P163" s="64" t="str">
        <f t="shared" si="16"/>
        <v/>
      </c>
      <c r="Q163" s="54"/>
      <c r="R163" s="8" t="s">
        <v>193</v>
      </c>
      <c r="S163" s="14">
        <v>44648.0</v>
      </c>
      <c r="T163" s="16">
        <f>VLOOKUP(R163,'Run Reconcile'!$A$2:$L783,12,FALSE)</f>
        <v>5</v>
      </c>
      <c r="U163" s="16" t="str">
        <f t="shared" si="17"/>
        <v/>
      </c>
      <c r="V163" s="16" t="str">
        <f t="shared" si="18"/>
        <v/>
      </c>
      <c r="W163" s="16"/>
      <c r="X163" s="54"/>
      <c r="Z163" s="14"/>
      <c r="AA163" s="16"/>
      <c r="AB163" s="16"/>
      <c r="AC163" s="16"/>
      <c r="AD163" s="16"/>
      <c r="AE163" s="66"/>
      <c r="AF163" s="54"/>
      <c r="AG163" s="70" t="s">
        <v>193</v>
      </c>
      <c r="AH163" s="68">
        <f>VLOOKUP(AG163,'Run Reconcile'!A$2:B783,2,FALSE)</f>
        <v>44648</v>
      </c>
      <c r="AI163" s="69">
        <f>COUNTIF('APS Tubes IMPORT'!$V$2:$V783, AG163)
</f>
        <v>5</v>
      </c>
      <c r="AJ163" s="69">
        <f>COUNTIFS('APS Tubes IMPORT'!V$2:V783, AG163, 'APS Tubes IMPORT'!H$2:H783, "Negative")
</f>
        <v>5</v>
      </c>
      <c r="AK163" s="69">
        <f>COUNTIFS('APS Tubes IMPORT'!V$2:V783, AG163, 'APS Tubes IMPORT'!H$2:H783, "Positive")
</f>
        <v>0</v>
      </c>
      <c r="AL163" s="69">
        <f>COUNTIFS('APS Tubes IMPORT'!V$2:V783, AG163, 'APS Tubes IMPORT'!H$2:H783, "Inconclusive")
</f>
        <v>0</v>
      </c>
      <c r="AM163" s="69">
        <f>COUNTIFS('APS Tubes IMPORT'!V$2:V783, AG163, 'APS Tubes IMPORT'!H$2:H783, "Null")
</f>
        <v>0</v>
      </c>
      <c r="AN163" s="54"/>
      <c r="AO163" s="14">
        <f>'APS Tubes by Date IMPORT'!B162</f>
        <v>44654</v>
      </c>
      <c r="AP163" s="16">
        <f>'APS Tubes by Date IMPORT'!D162</f>
        <v>3</v>
      </c>
      <c r="AQ163" s="16">
        <f>'APS Tubes by Date IMPORT'!D162</f>
        <v>3</v>
      </c>
      <c r="AR163" s="16">
        <f>'APS Tubes by Date IMPORT'!E162</f>
        <v>0</v>
      </c>
      <c r="AS163" s="16">
        <f>'APS Tubes by Date IMPORT'!F162</f>
        <v>0</v>
      </c>
      <c r="AT163" s="16">
        <f>'APS Tubes by Date IMPORT'!G162</f>
        <v>0</v>
      </c>
      <c r="AU163" s="54"/>
    </row>
    <row r="164">
      <c r="A164" s="8" t="s">
        <v>194</v>
      </c>
      <c r="B164" s="58">
        <f>VLOOKUP(A164,'Run Reconcile'!A$2:B783,2,FALSE)</f>
        <v>44652</v>
      </c>
      <c r="C164" s="59">
        <f>COUNTIF('ALL Tube Results'!B163:B783, A164)
</f>
        <v>3</v>
      </c>
      <c r="D164" s="60">
        <f>COUNTIFS('ALL Tube Results'!$B163:$B783, $A164, 'ALL Tube Results'!$F163:$F783, "Negative")
</f>
        <v>3</v>
      </c>
      <c r="E164" s="60">
        <f>COUNTIFS('ALL Tube Results'!$B163:$B783, $A164, 'ALL Tube Results'!$F163:$F783, "Positive")
</f>
        <v>0</v>
      </c>
      <c r="F164" s="60">
        <f>COUNTIFS('ALL Tube Results'!$B163:$B783, $A164, 'ALL Tube Results'!$F163:$F783, "Inconclusive")
</f>
        <v>0</v>
      </c>
      <c r="G164" s="61">
        <f t="shared" si="7"/>
        <v>3</v>
      </c>
      <c r="H164" s="61" t="str">
        <f t="shared" si="8"/>
        <v/>
      </c>
      <c r="I164" s="62" t="str">
        <f t="shared" si="9"/>
        <v/>
      </c>
      <c r="J164" s="63" t="str">
        <f t="shared" si="10"/>
        <v/>
      </c>
      <c r="K164" s="63" t="str">
        <f t="shared" si="11"/>
        <v/>
      </c>
      <c r="L164" s="63">
        <f t="shared" si="12"/>
        <v>3</v>
      </c>
      <c r="M164" s="63" t="str">
        <f t="shared" si="13"/>
        <v/>
      </c>
      <c r="N164" s="63" t="str">
        <f t="shared" si="14"/>
        <v/>
      </c>
      <c r="O164" s="64">
        <f t="shared" si="15"/>
        <v>3</v>
      </c>
      <c r="P164" s="64" t="str">
        <f t="shared" si="16"/>
        <v/>
      </c>
      <c r="Q164" s="54"/>
      <c r="R164" s="8" t="s">
        <v>194</v>
      </c>
      <c r="S164" s="14">
        <v>44652.0</v>
      </c>
      <c r="T164" s="16">
        <f>VLOOKUP(R164,'Run Reconcile'!$A$2:$L783,12,FALSE)</f>
        <v>3</v>
      </c>
      <c r="U164" s="16" t="str">
        <f t="shared" si="17"/>
        <v/>
      </c>
      <c r="V164" s="16" t="str">
        <f t="shared" si="18"/>
        <v/>
      </c>
      <c r="W164" s="16"/>
      <c r="X164" s="54"/>
      <c r="Z164" s="14"/>
      <c r="AA164" s="16"/>
      <c r="AB164" s="16"/>
      <c r="AC164" s="16"/>
      <c r="AD164" s="16"/>
      <c r="AE164" s="66"/>
      <c r="AF164" s="54"/>
      <c r="AG164" s="70" t="s">
        <v>194</v>
      </c>
      <c r="AH164" s="68">
        <f>VLOOKUP(AG164,'Run Reconcile'!A$2:B783,2,FALSE)</f>
        <v>44652</v>
      </c>
      <c r="AI164" s="69">
        <f>COUNTIF('APS Tubes IMPORT'!$V$2:$V783, AG164)
</f>
        <v>3</v>
      </c>
      <c r="AJ164" s="69">
        <f>COUNTIFS('APS Tubes IMPORT'!V$2:V783, AG164, 'APS Tubes IMPORT'!H$2:H783, "Negative")
</f>
        <v>3</v>
      </c>
      <c r="AK164" s="69">
        <f>COUNTIFS('APS Tubes IMPORT'!V$2:V783, AG164, 'APS Tubes IMPORT'!H$2:H783, "Positive")
</f>
        <v>0</v>
      </c>
      <c r="AL164" s="69">
        <f>COUNTIFS('APS Tubes IMPORT'!V$2:V783, AG164, 'APS Tubes IMPORT'!H$2:H783, "Inconclusive")
</f>
        <v>0</v>
      </c>
      <c r="AM164" s="69">
        <f>COUNTIFS('APS Tubes IMPORT'!V$2:V783, AG164, 'APS Tubes IMPORT'!H$2:H783, "Null")
</f>
        <v>0</v>
      </c>
      <c r="AN164" s="54"/>
      <c r="AO164" s="14">
        <f>'APS Tubes by Date IMPORT'!B163</f>
        <v>44655</v>
      </c>
      <c r="AP164" s="16">
        <f>'APS Tubes by Date IMPORT'!D163</f>
        <v>22</v>
      </c>
      <c r="AQ164" s="16">
        <f>'APS Tubes by Date IMPORT'!D163</f>
        <v>22</v>
      </c>
      <c r="AR164" s="16">
        <f>'APS Tubes by Date IMPORT'!E163</f>
        <v>0</v>
      </c>
      <c r="AS164" s="16">
        <f>'APS Tubes by Date IMPORT'!F163</f>
        <v>0</v>
      </c>
      <c r="AT164" s="16">
        <f>'APS Tubes by Date IMPORT'!G163</f>
        <v>0</v>
      </c>
      <c r="AU164" s="54"/>
    </row>
    <row r="165">
      <c r="A165" s="8" t="s">
        <v>195</v>
      </c>
      <c r="B165" s="58">
        <f>VLOOKUP(A165,'Run Reconcile'!A$2:B783,2,FALSE)</f>
        <v>44653</v>
      </c>
      <c r="C165" s="59">
        <f>COUNTIF('ALL Tube Results'!B164:B783, A165)
</f>
        <v>4</v>
      </c>
      <c r="D165" s="60">
        <f>COUNTIFS('ALL Tube Results'!$B164:$B783, $A165, 'ALL Tube Results'!$F164:$F783, "Negative")
</f>
        <v>4</v>
      </c>
      <c r="E165" s="60">
        <f>COUNTIFS('ALL Tube Results'!$B164:$B783, $A165, 'ALL Tube Results'!$F164:$F783, "Positive")
</f>
        <v>0</v>
      </c>
      <c r="F165" s="60">
        <f>COUNTIFS('ALL Tube Results'!$B164:$B783, $A165, 'ALL Tube Results'!$F164:$F783, "Inconclusive")
</f>
        <v>0</v>
      </c>
      <c r="G165" s="61">
        <f t="shared" si="7"/>
        <v>4</v>
      </c>
      <c r="H165" s="61" t="str">
        <f t="shared" si="8"/>
        <v/>
      </c>
      <c r="I165" s="62">
        <f t="shared" si="9"/>
        <v>4</v>
      </c>
      <c r="J165" s="63">
        <f t="shared" si="10"/>
        <v>0</v>
      </c>
      <c r="K165" s="63">
        <f t="shared" si="11"/>
        <v>0</v>
      </c>
      <c r="L165" s="63" t="str">
        <f t="shared" si="12"/>
        <v/>
      </c>
      <c r="M165" s="63" t="str">
        <f t="shared" si="13"/>
        <v/>
      </c>
      <c r="N165" s="63" t="str">
        <f t="shared" si="14"/>
        <v/>
      </c>
      <c r="O165" s="64">
        <f t="shared" si="15"/>
        <v>4</v>
      </c>
      <c r="P165" s="64" t="str">
        <f t="shared" si="16"/>
        <v/>
      </c>
      <c r="Q165" s="54"/>
      <c r="R165" s="8" t="s">
        <v>195</v>
      </c>
      <c r="S165" s="14">
        <v>44653.0</v>
      </c>
      <c r="T165" s="16">
        <f>VLOOKUP(R165,'Run Reconcile'!$A$2:$L783,12,FALSE)</f>
        <v>4</v>
      </c>
      <c r="U165" s="16" t="str">
        <f t="shared" si="17"/>
        <v/>
      </c>
      <c r="V165" s="16" t="str">
        <f t="shared" si="18"/>
        <v/>
      </c>
      <c r="W165" s="16"/>
      <c r="X165" s="54"/>
      <c r="Z165" s="14"/>
      <c r="AA165" s="16"/>
      <c r="AB165" s="16"/>
      <c r="AC165" s="16"/>
      <c r="AD165" s="16"/>
      <c r="AE165" s="66"/>
      <c r="AF165" s="54"/>
      <c r="AG165" s="70" t="s">
        <v>195</v>
      </c>
      <c r="AH165" s="68">
        <f>VLOOKUP(AG165,'Run Reconcile'!A$2:B783,2,FALSE)</f>
        <v>44653</v>
      </c>
      <c r="AI165" s="69">
        <f>COUNTIF('APS Tubes IMPORT'!$V$2:$V783, AG165)
</f>
        <v>4</v>
      </c>
      <c r="AJ165" s="69">
        <f>COUNTIFS('APS Tubes IMPORT'!V$2:V783, AG165, 'APS Tubes IMPORT'!H$2:H783, "Negative")
</f>
        <v>4</v>
      </c>
      <c r="AK165" s="69">
        <f>COUNTIFS('APS Tubes IMPORT'!V$2:V783, AG165, 'APS Tubes IMPORT'!H$2:H783, "Positive")
</f>
        <v>0</v>
      </c>
      <c r="AL165" s="69">
        <f>COUNTIFS('APS Tubes IMPORT'!V$2:V783, AG165, 'APS Tubes IMPORT'!H$2:H783, "Inconclusive")
</f>
        <v>0</v>
      </c>
      <c r="AM165" s="69">
        <f>COUNTIFS('APS Tubes IMPORT'!V$2:V783, AG165, 'APS Tubes IMPORT'!H$2:H783, "Null")
</f>
        <v>0</v>
      </c>
      <c r="AN165" s="54"/>
      <c r="AO165" s="14">
        <f>'APS Tubes by Date IMPORT'!B164</f>
        <v>44657</v>
      </c>
      <c r="AP165" s="16">
        <f>'APS Tubes by Date IMPORT'!D164</f>
        <v>1</v>
      </c>
      <c r="AQ165" s="16">
        <f>'APS Tubes by Date IMPORT'!D164</f>
        <v>1</v>
      </c>
      <c r="AR165" s="16">
        <f>'APS Tubes by Date IMPORT'!E164</f>
        <v>0</v>
      </c>
      <c r="AS165" s="16">
        <f>'APS Tubes by Date IMPORT'!F164</f>
        <v>0</v>
      </c>
      <c r="AT165" s="16">
        <f>'APS Tubes by Date IMPORT'!G164</f>
        <v>0</v>
      </c>
      <c r="AU165" s="54"/>
    </row>
    <row r="166">
      <c r="A166" s="8" t="s">
        <v>196</v>
      </c>
      <c r="B166" s="58">
        <f>VLOOKUP(A166,'Run Reconcile'!A$2:B783,2,FALSE)</f>
        <v>44655</v>
      </c>
      <c r="C166" s="59">
        <f>COUNTIF('ALL Tube Results'!B165:B783, A166)
</f>
        <v>26</v>
      </c>
      <c r="D166" s="60">
        <f>COUNTIFS('ALL Tube Results'!$B165:$B783, $A166, 'ALL Tube Results'!$F165:$F783, "Negative")
</f>
        <v>26</v>
      </c>
      <c r="E166" s="60">
        <f>COUNTIFS('ALL Tube Results'!$B165:$B783, $A166, 'ALL Tube Results'!$F165:$F783, "Positive")
</f>
        <v>0</v>
      </c>
      <c r="F166" s="60">
        <f>COUNTIFS('ALL Tube Results'!$B165:$B783, $A166, 'ALL Tube Results'!$F165:$F783, "Inconclusive")
</f>
        <v>0</v>
      </c>
      <c r="G166" s="61">
        <f t="shared" si="7"/>
        <v>26</v>
      </c>
      <c r="H166" s="61" t="str">
        <f t="shared" si="8"/>
        <v/>
      </c>
      <c r="I166" s="62">
        <f t="shared" si="9"/>
        <v>26</v>
      </c>
      <c r="J166" s="63">
        <f t="shared" si="10"/>
        <v>0</v>
      </c>
      <c r="K166" s="63">
        <f t="shared" si="11"/>
        <v>0</v>
      </c>
      <c r="L166" s="63" t="str">
        <f t="shared" si="12"/>
        <v/>
      </c>
      <c r="M166" s="63" t="str">
        <f t="shared" si="13"/>
        <v/>
      </c>
      <c r="N166" s="63" t="str">
        <f t="shared" si="14"/>
        <v/>
      </c>
      <c r="O166" s="64">
        <f t="shared" si="15"/>
        <v>25</v>
      </c>
      <c r="P166" s="64">
        <f t="shared" si="16"/>
        <v>1</v>
      </c>
      <c r="Q166" s="54"/>
      <c r="R166" s="8" t="s">
        <v>196</v>
      </c>
      <c r="S166" s="14">
        <v>44655.0</v>
      </c>
      <c r="T166" s="16">
        <f>VLOOKUP(R166,'Run Reconcile'!$A$2:$L783,12,FALSE)</f>
        <v>26</v>
      </c>
      <c r="U166" s="16" t="str">
        <f t="shared" si="17"/>
        <v/>
      </c>
      <c r="V166" s="16" t="str">
        <f t="shared" si="18"/>
        <v/>
      </c>
      <c r="W166" s="16"/>
      <c r="X166" s="54"/>
      <c r="Z166" s="14"/>
      <c r="AA166" s="16"/>
      <c r="AB166" s="16"/>
      <c r="AC166" s="16"/>
      <c r="AD166" s="16"/>
      <c r="AE166" s="66"/>
      <c r="AF166" s="54"/>
      <c r="AG166" s="70" t="s">
        <v>196</v>
      </c>
      <c r="AH166" s="68">
        <f>VLOOKUP(AG166,'Run Reconcile'!A$2:B783,2,FALSE)</f>
        <v>44655</v>
      </c>
      <c r="AI166" s="69">
        <f>COUNTIF('APS Tubes IMPORT'!$V$2:$V783, AG166)
</f>
        <v>25</v>
      </c>
      <c r="AJ166" s="69">
        <f>COUNTIFS('APS Tubes IMPORT'!V$2:V783, AG166, 'APS Tubes IMPORT'!H$2:H783, "Negative")
</f>
        <v>25</v>
      </c>
      <c r="AK166" s="69">
        <f>COUNTIFS('APS Tubes IMPORT'!V$2:V783, AG166, 'APS Tubes IMPORT'!H$2:H783, "Positive")
</f>
        <v>0</v>
      </c>
      <c r="AL166" s="69">
        <f>COUNTIFS('APS Tubes IMPORT'!V$2:V783, AG166, 'APS Tubes IMPORT'!H$2:H783, "Inconclusive")
</f>
        <v>0</v>
      </c>
      <c r="AM166" s="69">
        <f>COUNTIFS('APS Tubes IMPORT'!V$2:V783, AG166, 'APS Tubes IMPORT'!H$2:H783, "Null")
</f>
        <v>0</v>
      </c>
      <c r="AN166" s="54"/>
      <c r="AO166" s="14">
        <f>'APS Tubes by Date IMPORT'!B165</f>
        <v>44658</v>
      </c>
      <c r="AP166" s="16">
        <f>'APS Tubes by Date IMPORT'!D165</f>
        <v>19</v>
      </c>
      <c r="AQ166" s="16">
        <f>'APS Tubes by Date IMPORT'!D165</f>
        <v>19</v>
      </c>
      <c r="AR166" s="16">
        <f>'APS Tubes by Date IMPORT'!E165</f>
        <v>0</v>
      </c>
      <c r="AS166" s="16">
        <f>'APS Tubes by Date IMPORT'!F165</f>
        <v>0</v>
      </c>
      <c r="AT166" s="16">
        <f>'APS Tubes by Date IMPORT'!G165</f>
        <v>0</v>
      </c>
      <c r="AU166" s="54"/>
    </row>
    <row r="167">
      <c r="A167" s="8" t="s">
        <v>197</v>
      </c>
      <c r="B167" s="58">
        <f>VLOOKUP(A167,'Run Reconcile'!A$2:B783,2,FALSE)</f>
        <v>44658</v>
      </c>
      <c r="C167" s="59">
        <f>COUNTIF('ALL Tube Results'!B166:B783, A167)
</f>
        <v>21</v>
      </c>
      <c r="D167" s="60">
        <f>COUNTIFS('ALL Tube Results'!$B166:$B783, $A167, 'ALL Tube Results'!$F166:$F783, "Negative")
</f>
        <v>21</v>
      </c>
      <c r="E167" s="60">
        <f>COUNTIFS('ALL Tube Results'!$B166:$B783, $A167, 'ALL Tube Results'!$F166:$F783, "Positive")
</f>
        <v>0</v>
      </c>
      <c r="F167" s="60">
        <f>COUNTIFS('ALL Tube Results'!$B166:$B783, $A167, 'ALL Tube Results'!$F166:$F783, "Inconclusive")
</f>
        <v>0</v>
      </c>
      <c r="G167" s="61">
        <f t="shared" si="7"/>
        <v>21</v>
      </c>
      <c r="H167" s="61" t="str">
        <f t="shared" si="8"/>
        <v/>
      </c>
      <c r="I167" s="62">
        <f t="shared" si="9"/>
        <v>21</v>
      </c>
      <c r="J167" s="63">
        <f t="shared" si="10"/>
        <v>0</v>
      </c>
      <c r="K167" s="63">
        <f t="shared" si="11"/>
        <v>0</v>
      </c>
      <c r="L167" s="63" t="str">
        <f t="shared" si="12"/>
        <v/>
      </c>
      <c r="M167" s="63" t="str">
        <f t="shared" si="13"/>
        <v/>
      </c>
      <c r="N167" s="63" t="str">
        <f t="shared" si="14"/>
        <v/>
      </c>
      <c r="O167" s="64">
        <f t="shared" si="15"/>
        <v>20</v>
      </c>
      <c r="P167" s="64">
        <f t="shared" si="16"/>
        <v>1</v>
      </c>
      <c r="Q167" s="54"/>
      <c r="R167" s="8" t="s">
        <v>197</v>
      </c>
      <c r="S167" s="14">
        <v>44658.0</v>
      </c>
      <c r="T167" s="16">
        <f>VLOOKUP(R167,'Run Reconcile'!$A$2:$L783,12,FALSE)</f>
        <v>21</v>
      </c>
      <c r="U167" s="16" t="str">
        <f t="shared" si="17"/>
        <v/>
      </c>
      <c r="V167" s="16" t="str">
        <f t="shared" si="18"/>
        <v/>
      </c>
      <c r="W167" s="16"/>
      <c r="X167" s="54"/>
      <c r="Z167" s="14"/>
      <c r="AA167" s="16"/>
      <c r="AB167" s="16"/>
      <c r="AC167" s="16"/>
      <c r="AD167" s="16"/>
      <c r="AE167" s="66"/>
      <c r="AF167" s="54"/>
      <c r="AG167" s="70" t="s">
        <v>197</v>
      </c>
      <c r="AH167" s="68">
        <f>VLOOKUP(AG167,'Run Reconcile'!A$2:B783,2,FALSE)</f>
        <v>44658</v>
      </c>
      <c r="AI167" s="69">
        <f>COUNTIF('APS Tubes IMPORT'!$V$2:$V783, AG167)
</f>
        <v>20</v>
      </c>
      <c r="AJ167" s="69">
        <f>COUNTIFS('APS Tubes IMPORT'!V$2:V783, AG167, 'APS Tubes IMPORT'!H$2:H783, "Negative")
</f>
        <v>20</v>
      </c>
      <c r="AK167" s="69">
        <f>COUNTIFS('APS Tubes IMPORT'!V$2:V783, AG167, 'APS Tubes IMPORT'!H$2:H783, "Positive")
</f>
        <v>0</v>
      </c>
      <c r="AL167" s="69">
        <f>COUNTIFS('APS Tubes IMPORT'!V$2:V783, AG167, 'APS Tubes IMPORT'!H$2:H783, "Inconclusive")
</f>
        <v>0</v>
      </c>
      <c r="AM167" s="69">
        <f>COUNTIFS('APS Tubes IMPORT'!V$2:V783, AG167, 'APS Tubes IMPORT'!H$2:H783, "Null")
</f>
        <v>0</v>
      </c>
      <c r="AN167" s="54"/>
      <c r="AO167" s="14">
        <f>'APS Tubes by Date IMPORT'!B166</f>
        <v>44661</v>
      </c>
      <c r="AP167" s="16">
        <f>'APS Tubes by Date IMPORT'!D166</f>
        <v>1</v>
      </c>
      <c r="AQ167" s="16">
        <f>'APS Tubes by Date IMPORT'!D166</f>
        <v>1</v>
      </c>
      <c r="AR167" s="16">
        <f>'APS Tubes by Date IMPORT'!E166</f>
        <v>0</v>
      </c>
      <c r="AS167" s="16">
        <f>'APS Tubes by Date IMPORT'!F166</f>
        <v>0</v>
      </c>
      <c r="AT167" s="16">
        <f>'APS Tubes by Date IMPORT'!G166</f>
        <v>0</v>
      </c>
      <c r="AU167" s="54"/>
    </row>
    <row r="168">
      <c r="A168" s="8" t="s">
        <v>198</v>
      </c>
      <c r="B168" s="58">
        <f>VLOOKUP(A168,'Run Reconcile'!A$2:B783,2,FALSE)</f>
        <v>44662</v>
      </c>
      <c r="C168" s="59">
        <f>COUNTIF('ALL Tube Results'!B167:B783, A168)
</f>
        <v>22</v>
      </c>
      <c r="D168" s="60">
        <f>COUNTIFS('ALL Tube Results'!$B167:$B783, $A168, 'ALL Tube Results'!$F167:$F783, "Negative")
</f>
        <v>22</v>
      </c>
      <c r="E168" s="60">
        <f>COUNTIFS('ALL Tube Results'!$B167:$B783, $A168, 'ALL Tube Results'!$F167:$F783, "Positive")
</f>
        <v>0</v>
      </c>
      <c r="F168" s="60">
        <f>COUNTIFS('ALL Tube Results'!$B167:$B783, $A168, 'ALL Tube Results'!$F167:$F783, "Inconclusive")
</f>
        <v>0</v>
      </c>
      <c r="G168" s="61">
        <f t="shared" si="7"/>
        <v>22</v>
      </c>
      <c r="H168" s="61" t="str">
        <f t="shared" si="8"/>
        <v/>
      </c>
      <c r="I168" s="62">
        <f t="shared" si="9"/>
        <v>22</v>
      </c>
      <c r="J168" s="63">
        <f t="shared" si="10"/>
        <v>0</v>
      </c>
      <c r="K168" s="63">
        <f t="shared" si="11"/>
        <v>0</v>
      </c>
      <c r="L168" s="63" t="str">
        <f t="shared" si="12"/>
        <v/>
      </c>
      <c r="M168" s="63" t="str">
        <f t="shared" si="13"/>
        <v/>
      </c>
      <c r="N168" s="63" t="str">
        <f t="shared" si="14"/>
        <v/>
      </c>
      <c r="O168" s="64">
        <f t="shared" si="15"/>
        <v>22</v>
      </c>
      <c r="P168" s="64" t="str">
        <f t="shared" si="16"/>
        <v/>
      </c>
      <c r="Q168" s="54"/>
      <c r="R168" s="8" t="s">
        <v>198</v>
      </c>
      <c r="S168" s="14">
        <v>44662.0</v>
      </c>
      <c r="T168" s="16">
        <f>VLOOKUP(R168,'Run Reconcile'!$A$2:$L783,12,FALSE)</f>
        <v>22</v>
      </c>
      <c r="U168" s="16" t="str">
        <f t="shared" si="17"/>
        <v/>
      </c>
      <c r="V168" s="16" t="str">
        <f t="shared" si="18"/>
        <v/>
      </c>
      <c r="W168" s="16"/>
      <c r="X168" s="54"/>
      <c r="Z168" s="14"/>
      <c r="AA168" s="16"/>
      <c r="AB168" s="16"/>
      <c r="AC168" s="16"/>
      <c r="AD168" s="16"/>
      <c r="AE168" s="66"/>
      <c r="AF168" s="54"/>
      <c r="AG168" s="70" t="s">
        <v>198</v>
      </c>
      <c r="AH168" s="68">
        <f>VLOOKUP(AG168,'Run Reconcile'!A$2:B783,2,FALSE)</f>
        <v>44662</v>
      </c>
      <c r="AI168" s="69">
        <f>COUNTIF('APS Tubes IMPORT'!$V$2:$V783, AG168)
</f>
        <v>22</v>
      </c>
      <c r="AJ168" s="69">
        <f>COUNTIFS('APS Tubes IMPORT'!V$2:V783, AG168, 'APS Tubes IMPORT'!H$2:H783, "Negative")
</f>
        <v>22</v>
      </c>
      <c r="AK168" s="69">
        <f>COUNTIFS('APS Tubes IMPORT'!V$2:V783, AG168, 'APS Tubes IMPORT'!H$2:H783, "Positive")
</f>
        <v>0</v>
      </c>
      <c r="AL168" s="69">
        <f>COUNTIFS('APS Tubes IMPORT'!V$2:V783, AG168, 'APS Tubes IMPORT'!H$2:H783, "Inconclusive")
</f>
        <v>0</v>
      </c>
      <c r="AM168" s="69">
        <f>COUNTIFS('APS Tubes IMPORT'!V$2:V783, AG168, 'APS Tubes IMPORT'!H$2:H783, "Null")
</f>
        <v>0</v>
      </c>
      <c r="AN168" s="54"/>
      <c r="AO168" s="14">
        <f>'APS Tubes by Date IMPORT'!B167</f>
        <v>44662</v>
      </c>
      <c r="AP168" s="16">
        <f>'APS Tubes by Date IMPORT'!D167</f>
        <v>21</v>
      </c>
      <c r="AQ168" s="16">
        <f>'APS Tubes by Date IMPORT'!D167</f>
        <v>21</v>
      </c>
      <c r="AR168" s="16">
        <f>'APS Tubes by Date IMPORT'!E167</f>
        <v>0</v>
      </c>
      <c r="AS168" s="16">
        <f>'APS Tubes by Date IMPORT'!F167</f>
        <v>0</v>
      </c>
      <c r="AT168" s="16">
        <f>'APS Tubes by Date IMPORT'!G167</f>
        <v>0</v>
      </c>
      <c r="AU168" s="54"/>
    </row>
    <row r="169">
      <c r="A169" s="8" t="s">
        <v>199</v>
      </c>
      <c r="B169" s="58">
        <f>VLOOKUP(A169,'Run Reconcile'!A$2:B783,2,FALSE)</f>
        <v>44665</v>
      </c>
      <c r="C169" s="59">
        <f>COUNTIF('ALL Tube Results'!B168:B783, A169)
</f>
        <v>20</v>
      </c>
      <c r="D169" s="60">
        <f>COUNTIFS('ALL Tube Results'!$B168:$B783, $A169, 'ALL Tube Results'!$F168:$F783, "Negative")
</f>
        <v>20</v>
      </c>
      <c r="E169" s="60">
        <f>COUNTIFS('ALL Tube Results'!$B168:$B783, $A169, 'ALL Tube Results'!$F168:$F783, "Positive")
</f>
        <v>0</v>
      </c>
      <c r="F169" s="60">
        <f>COUNTIFS('ALL Tube Results'!$B168:$B783, $A169, 'ALL Tube Results'!$F168:$F783, "Inconclusive")
</f>
        <v>0</v>
      </c>
      <c r="G169" s="61">
        <f t="shared" si="7"/>
        <v>20</v>
      </c>
      <c r="H169" s="61" t="str">
        <f t="shared" si="8"/>
        <v/>
      </c>
      <c r="I169" s="62">
        <f t="shared" si="9"/>
        <v>20</v>
      </c>
      <c r="J169" s="63">
        <f t="shared" si="10"/>
        <v>0</v>
      </c>
      <c r="K169" s="63">
        <f t="shared" si="11"/>
        <v>0</v>
      </c>
      <c r="L169" s="63" t="str">
        <f t="shared" si="12"/>
        <v/>
      </c>
      <c r="M169" s="63" t="str">
        <f t="shared" si="13"/>
        <v/>
      </c>
      <c r="N169" s="63" t="str">
        <f t="shared" si="14"/>
        <v/>
      </c>
      <c r="O169" s="64">
        <f t="shared" si="15"/>
        <v>19</v>
      </c>
      <c r="P169" s="64">
        <f t="shared" si="16"/>
        <v>1</v>
      </c>
      <c r="Q169" s="54"/>
      <c r="R169" s="8" t="s">
        <v>199</v>
      </c>
      <c r="S169" s="14">
        <v>44665.0</v>
      </c>
      <c r="T169" s="16">
        <f>VLOOKUP(R169,'Run Reconcile'!$A$2:$L783,12,FALSE)</f>
        <v>20</v>
      </c>
      <c r="U169" s="16" t="str">
        <f t="shared" si="17"/>
        <v/>
      </c>
      <c r="V169" s="16" t="str">
        <f t="shared" si="18"/>
        <v/>
      </c>
      <c r="W169" s="16"/>
      <c r="X169" s="54"/>
      <c r="Z169" s="14"/>
      <c r="AA169" s="16"/>
      <c r="AB169" s="16"/>
      <c r="AC169" s="16"/>
      <c r="AD169" s="16"/>
      <c r="AE169" s="66"/>
      <c r="AF169" s="54"/>
      <c r="AG169" s="70" t="s">
        <v>199</v>
      </c>
      <c r="AH169" s="68">
        <f>VLOOKUP(AG169,'Run Reconcile'!A$2:B783,2,FALSE)</f>
        <v>44665</v>
      </c>
      <c r="AI169" s="69">
        <f>COUNTIF('APS Tubes IMPORT'!$V$2:$V783, AG169)
</f>
        <v>19</v>
      </c>
      <c r="AJ169" s="69">
        <f>COUNTIFS('APS Tubes IMPORT'!V$2:V783, AG169, 'APS Tubes IMPORT'!H$2:H783, "Negative")
</f>
        <v>19</v>
      </c>
      <c r="AK169" s="69">
        <f>COUNTIFS('APS Tubes IMPORT'!V$2:V783, AG169, 'APS Tubes IMPORT'!H$2:H783, "Positive")
</f>
        <v>0</v>
      </c>
      <c r="AL169" s="69">
        <f>COUNTIFS('APS Tubes IMPORT'!V$2:V783, AG169, 'APS Tubes IMPORT'!H$2:H783, "Inconclusive")
</f>
        <v>0</v>
      </c>
      <c r="AM169" s="69">
        <f>COUNTIFS('APS Tubes IMPORT'!V$2:V783, AG169, 'APS Tubes IMPORT'!H$2:H783, "Null")
</f>
        <v>0</v>
      </c>
      <c r="AN169" s="54"/>
      <c r="AO169" s="14">
        <f>'APS Tubes by Date IMPORT'!B168</f>
        <v>44665</v>
      </c>
      <c r="AP169" s="16">
        <f>'APS Tubes by Date IMPORT'!D168</f>
        <v>19</v>
      </c>
      <c r="AQ169" s="16">
        <f>'APS Tubes by Date IMPORT'!D168</f>
        <v>19</v>
      </c>
      <c r="AR169" s="16">
        <f>'APS Tubes by Date IMPORT'!E168</f>
        <v>0</v>
      </c>
      <c r="AS169" s="16">
        <f>'APS Tubes by Date IMPORT'!F168</f>
        <v>0</v>
      </c>
      <c r="AT169" s="16">
        <f>'APS Tubes by Date IMPORT'!G168</f>
        <v>0</v>
      </c>
      <c r="AU169" s="54"/>
    </row>
    <row r="170">
      <c r="A170" s="8" t="s">
        <v>200</v>
      </c>
      <c r="B170" s="58">
        <f>VLOOKUP(A170,'Run Reconcile'!A$2:B783,2,FALSE)</f>
        <v>44667</v>
      </c>
      <c r="C170" s="59">
        <f>COUNTIF('ALL Tube Results'!B169:B783, A170)
</f>
        <v>1</v>
      </c>
      <c r="D170" s="60">
        <f>COUNTIFS('ALL Tube Results'!$B169:$B783, $A170, 'ALL Tube Results'!$F169:$F783, "Negative")
</f>
        <v>1</v>
      </c>
      <c r="E170" s="60">
        <f>COUNTIFS('ALL Tube Results'!$B169:$B783, $A170, 'ALL Tube Results'!$F169:$F783, "Positive")
</f>
        <v>0</v>
      </c>
      <c r="F170" s="60">
        <f>COUNTIFS('ALL Tube Results'!$B169:$B783, $A170, 'ALL Tube Results'!$F169:$F783, "Inconclusive")
</f>
        <v>0</v>
      </c>
      <c r="G170" s="61">
        <f t="shared" si="7"/>
        <v>1</v>
      </c>
      <c r="H170" s="61" t="str">
        <f t="shared" si="8"/>
        <v/>
      </c>
      <c r="I170" s="62" t="str">
        <f t="shared" si="9"/>
        <v/>
      </c>
      <c r="J170" s="63" t="str">
        <f t="shared" si="10"/>
        <v/>
      </c>
      <c r="K170" s="63" t="str">
        <f t="shared" si="11"/>
        <v/>
      </c>
      <c r="L170" s="63">
        <f t="shared" si="12"/>
        <v>1</v>
      </c>
      <c r="M170" s="63" t="str">
        <f t="shared" si="13"/>
        <v/>
      </c>
      <c r="N170" s="63" t="str">
        <f t="shared" si="14"/>
        <v/>
      </c>
      <c r="O170" s="64">
        <f t="shared" si="15"/>
        <v>1</v>
      </c>
      <c r="P170" s="64" t="str">
        <f t="shared" si="16"/>
        <v/>
      </c>
      <c r="Q170" s="54"/>
      <c r="R170" s="8" t="s">
        <v>200</v>
      </c>
      <c r="S170" s="14">
        <v>44667.0</v>
      </c>
      <c r="T170" s="16">
        <f>VLOOKUP(R170,'Run Reconcile'!$A$2:$L783,12,FALSE)</f>
        <v>1</v>
      </c>
      <c r="U170" s="16" t="str">
        <f t="shared" si="17"/>
        <v/>
      </c>
      <c r="V170" s="16" t="str">
        <f t="shared" si="18"/>
        <v/>
      </c>
      <c r="W170" s="16"/>
      <c r="X170" s="54"/>
      <c r="Z170" s="14"/>
      <c r="AA170" s="16"/>
      <c r="AB170" s="16"/>
      <c r="AC170" s="16"/>
      <c r="AD170" s="16"/>
      <c r="AE170" s="66"/>
      <c r="AF170" s="54"/>
      <c r="AG170" s="70" t="s">
        <v>200</v>
      </c>
      <c r="AH170" s="68">
        <f>VLOOKUP(AG170,'Run Reconcile'!A$2:B783,2,FALSE)</f>
        <v>44667</v>
      </c>
      <c r="AI170" s="69">
        <f>COUNTIF('APS Tubes IMPORT'!$V$2:$V783, AG170)
</f>
        <v>1</v>
      </c>
      <c r="AJ170" s="69">
        <f>COUNTIFS('APS Tubes IMPORT'!V$2:V783, AG170, 'APS Tubes IMPORT'!H$2:H783, "Negative")
</f>
        <v>1</v>
      </c>
      <c r="AK170" s="69">
        <f>COUNTIFS('APS Tubes IMPORT'!V$2:V783, AG170, 'APS Tubes IMPORT'!H$2:H783, "Positive")
</f>
        <v>0</v>
      </c>
      <c r="AL170" s="69">
        <f>COUNTIFS('APS Tubes IMPORT'!V$2:V783, AG170, 'APS Tubes IMPORT'!H$2:H783, "Inconclusive")
</f>
        <v>0</v>
      </c>
      <c r="AM170" s="69">
        <f>COUNTIFS('APS Tubes IMPORT'!V$2:V783, AG170, 'APS Tubes IMPORT'!H$2:H783, "Null")
</f>
        <v>0</v>
      </c>
      <c r="AN170" s="54"/>
      <c r="AO170" s="14">
        <f>'APS Tubes by Date IMPORT'!B169</f>
        <v>44667</v>
      </c>
      <c r="AP170" s="16">
        <f>'APS Tubes by Date IMPORT'!D169</f>
        <v>1</v>
      </c>
      <c r="AQ170" s="16">
        <f>'APS Tubes by Date IMPORT'!D169</f>
        <v>1</v>
      </c>
      <c r="AR170" s="16">
        <f>'APS Tubes by Date IMPORT'!E169</f>
        <v>0</v>
      </c>
      <c r="AS170" s="16">
        <f>'APS Tubes by Date IMPORT'!F169</f>
        <v>0</v>
      </c>
      <c r="AT170" s="16">
        <f>'APS Tubes by Date IMPORT'!G169</f>
        <v>0</v>
      </c>
      <c r="AU170" s="54"/>
    </row>
    <row r="171">
      <c r="A171" s="8" t="s">
        <v>201</v>
      </c>
      <c r="B171" s="58">
        <f>VLOOKUP(A171,'Run Reconcile'!A$2:B783,2,FALSE)</f>
        <v>44669</v>
      </c>
      <c r="C171" s="59">
        <f>COUNTIF('ALL Tube Results'!B170:B783, A171)
</f>
        <v>24</v>
      </c>
      <c r="D171" s="60">
        <f>COUNTIFS('ALL Tube Results'!$B170:$B783, $A171, 'ALL Tube Results'!$F170:$F783, "Negative")
</f>
        <v>24</v>
      </c>
      <c r="E171" s="60">
        <f>COUNTIFS('ALL Tube Results'!$B170:$B783, $A171, 'ALL Tube Results'!$F170:$F783, "Positive")
</f>
        <v>0</v>
      </c>
      <c r="F171" s="60">
        <f>COUNTIFS('ALL Tube Results'!$B170:$B783, $A171, 'ALL Tube Results'!$F170:$F783, "Inconclusive")
</f>
        <v>0</v>
      </c>
      <c r="G171" s="61">
        <f t="shared" si="7"/>
        <v>24</v>
      </c>
      <c r="H171" s="61" t="str">
        <f t="shared" si="8"/>
        <v/>
      </c>
      <c r="I171" s="62">
        <f t="shared" si="9"/>
        <v>24</v>
      </c>
      <c r="J171" s="63">
        <f t="shared" si="10"/>
        <v>0</v>
      </c>
      <c r="K171" s="63">
        <f t="shared" si="11"/>
        <v>0</v>
      </c>
      <c r="L171" s="63" t="str">
        <f t="shared" si="12"/>
        <v/>
      </c>
      <c r="M171" s="63" t="str">
        <f t="shared" si="13"/>
        <v/>
      </c>
      <c r="N171" s="63" t="str">
        <f t="shared" si="14"/>
        <v/>
      </c>
      <c r="O171" s="64">
        <f t="shared" si="15"/>
        <v>22</v>
      </c>
      <c r="P171" s="64">
        <f t="shared" si="16"/>
        <v>2</v>
      </c>
      <c r="Q171" s="54"/>
      <c r="R171" s="8" t="s">
        <v>201</v>
      </c>
      <c r="S171" s="14">
        <v>44669.0</v>
      </c>
      <c r="T171" s="16">
        <f>VLOOKUP(R171,'Run Reconcile'!$A$2:$L783,12,FALSE)</f>
        <v>24</v>
      </c>
      <c r="U171" s="16" t="str">
        <f t="shared" si="17"/>
        <v/>
      </c>
      <c r="V171" s="16" t="str">
        <f t="shared" si="18"/>
        <v/>
      </c>
      <c r="W171" s="16"/>
      <c r="X171" s="54"/>
      <c r="Z171" s="14"/>
      <c r="AA171" s="16"/>
      <c r="AB171" s="16"/>
      <c r="AC171" s="16"/>
      <c r="AD171" s="16"/>
      <c r="AE171" s="66"/>
      <c r="AF171" s="54"/>
      <c r="AG171" s="70" t="s">
        <v>201</v>
      </c>
      <c r="AH171" s="68">
        <f>VLOOKUP(AG171,'Run Reconcile'!A$2:B783,2,FALSE)</f>
        <v>44669</v>
      </c>
      <c r="AI171" s="69">
        <f>COUNTIF('APS Tubes IMPORT'!$V$2:$V783, AG171)
</f>
        <v>22</v>
      </c>
      <c r="AJ171" s="69">
        <f>COUNTIFS('APS Tubes IMPORT'!V$2:V783, AG171, 'APS Tubes IMPORT'!H$2:H783, "Negative")
</f>
        <v>22</v>
      </c>
      <c r="AK171" s="69">
        <f>COUNTIFS('APS Tubes IMPORT'!V$2:V783, AG171, 'APS Tubes IMPORT'!H$2:H783, "Positive")
</f>
        <v>0</v>
      </c>
      <c r="AL171" s="69">
        <f>COUNTIFS('APS Tubes IMPORT'!V$2:V783, AG171, 'APS Tubes IMPORT'!H$2:H783, "Inconclusive")
</f>
        <v>0</v>
      </c>
      <c r="AM171" s="69">
        <f>COUNTIFS('APS Tubes IMPORT'!V$2:V783, AG171, 'APS Tubes IMPORT'!H$2:H783, "Null")
</f>
        <v>0</v>
      </c>
      <c r="AN171" s="54"/>
      <c r="AO171" s="14">
        <f>'APS Tubes by Date IMPORT'!B170</f>
        <v>44668</v>
      </c>
      <c r="AP171" s="16">
        <f>'APS Tubes by Date IMPORT'!D170</f>
        <v>2</v>
      </c>
      <c r="AQ171" s="16">
        <f>'APS Tubes by Date IMPORT'!D170</f>
        <v>2</v>
      </c>
      <c r="AR171" s="16">
        <f>'APS Tubes by Date IMPORT'!E170</f>
        <v>0</v>
      </c>
      <c r="AS171" s="16">
        <f>'APS Tubes by Date IMPORT'!F170</f>
        <v>0</v>
      </c>
      <c r="AT171" s="16">
        <f>'APS Tubes by Date IMPORT'!G170</f>
        <v>0</v>
      </c>
      <c r="AU171" s="54"/>
    </row>
    <row r="172">
      <c r="A172" s="8" t="s">
        <v>202</v>
      </c>
      <c r="B172" s="58">
        <f>VLOOKUP(A172,'Run Reconcile'!A$2:B783,2,FALSE)</f>
        <v>44670</v>
      </c>
      <c r="C172" s="59">
        <f>COUNTIF('ALL Tube Results'!B171:B783, A172)
</f>
        <v>5</v>
      </c>
      <c r="D172" s="60">
        <f>COUNTIFS('ALL Tube Results'!$B171:$B783, $A172, 'ALL Tube Results'!$F171:$F783, "Negative")
</f>
        <v>5</v>
      </c>
      <c r="E172" s="60">
        <f>COUNTIFS('ALL Tube Results'!$B171:$B783, $A172, 'ALL Tube Results'!$F171:$F783, "Positive")
</f>
        <v>0</v>
      </c>
      <c r="F172" s="60">
        <f>COUNTIFS('ALL Tube Results'!$B171:$B783, $A172, 'ALL Tube Results'!$F171:$F783, "Inconclusive")
</f>
        <v>0</v>
      </c>
      <c r="G172" s="61">
        <f t="shared" si="7"/>
        <v>5</v>
      </c>
      <c r="H172" s="61" t="str">
        <f t="shared" si="8"/>
        <v/>
      </c>
      <c r="I172" s="62">
        <f t="shared" si="9"/>
        <v>5</v>
      </c>
      <c r="J172" s="63">
        <f t="shared" si="10"/>
        <v>0</v>
      </c>
      <c r="K172" s="63">
        <f t="shared" si="11"/>
        <v>0</v>
      </c>
      <c r="L172" s="63" t="str">
        <f t="shared" si="12"/>
        <v/>
      </c>
      <c r="M172" s="63" t="str">
        <f t="shared" si="13"/>
        <v/>
      </c>
      <c r="N172" s="63" t="str">
        <f t="shared" si="14"/>
        <v/>
      </c>
      <c r="O172" s="64">
        <f t="shared" si="15"/>
        <v>5</v>
      </c>
      <c r="P172" s="64" t="str">
        <f t="shared" si="16"/>
        <v/>
      </c>
      <c r="Q172" s="54"/>
      <c r="R172" s="8" t="s">
        <v>202</v>
      </c>
      <c r="S172" s="14">
        <v>44670.0</v>
      </c>
      <c r="T172" s="16">
        <f>VLOOKUP(R172,'Run Reconcile'!$A$2:$L783,12,FALSE)</f>
        <v>5</v>
      </c>
      <c r="U172" s="16" t="str">
        <f t="shared" si="17"/>
        <v/>
      </c>
      <c r="V172" s="16" t="str">
        <f t="shared" si="18"/>
        <v/>
      </c>
      <c r="W172" s="16"/>
      <c r="X172" s="54"/>
      <c r="Z172" s="14"/>
      <c r="AA172" s="16"/>
      <c r="AB172" s="16"/>
      <c r="AC172" s="16"/>
      <c r="AD172" s="16"/>
      <c r="AE172" s="66"/>
      <c r="AF172" s="54"/>
      <c r="AG172" s="70" t="s">
        <v>202</v>
      </c>
      <c r="AH172" s="68">
        <f>VLOOKUP(AG172,'Run Reconcile'!A$2:B783,2,FALSE)</f>
        <v>44670</v>
      </c>
      <c r="AI172" s="69">
        <f>COUNTIF('APS Tubes IMPORT'!$V$2:$V783, AG172)
</f>
        <v>5</v>
      </c>
      <c r="AJ172" s="69">
        <f>COUNTIFS('APS Tubes IMPORT'!V$2:V783, AG172, 'APS Tubes IMPORT'!H$2:H783, "Negative")
</f>
        <v>5</v>
      </c>
      <c r="AK172" s="69">
        <f>COUNTIFS('APS Tubes IMPORT'!V$2:V783, AG172, 'APS Tubes IMPORT'!H$2:H783, "Positive")
</f>
        <v>0</v>
      </c>
      <c r="AL172" s="69">
        <f>COUNTIFS('APS Tubes IMPORT'!V$2:V783, AG172, 'APS Tubes IMPORT'!H$2:H783, "Inconclusive")
</f>
        <v>0</v>
      </c>
      <c r="AM172" s="69">
        <f>COUNTIFS('APS Tubes IMPORT'!V$2:V783, AG172, 'APS Tubes IMPORT'!H$2:H783, "Null")
</f>
        <v>0</v>
      </c>
      <c r="AN172" s="54"/>
      <c r="AO172" s="14">
        <f>'APS Tubes by Date IMPORT'!B171</f>
        <v>44669</v>
      </c>
      <c r="AP172" s="16">
        <f>'APS Tubes by Date IMPORT'!D171</f>
        <v>20</v>
      </c>
      <c r="AQ172" s="16">
        <f>'APS Tubes by Date IMPORT'!D171</f>
        <v>20</v>
      </c>
      <c r="AR172" s="16">
        <f>'APS Tubes by Date IMPORT'!E171</f>
        <v>0</v>
      </c>
      <c r="AS172" s="16">
        <f>'APS Tubes by Date IMPORT'!F171</f>
        <v>0</v>
      </c>
      <c r="AT172" s="16">
        <f>'APS Tubes by Date IMPORT'!G171</f>
        <v>0</v>
      </c>
      <c r="AU172" s="54"/>
    </row>
    <row r="173">
      <c r="A173" s="8" t="s">
        <v>203</v>
      </c>
      <c r="B173" s="58">
        <f>VLOOKUP(A173,'Run Reconcile'!A$2:B783,2,FALSE)</f>
        <v>44672</v>
      </c>
      <c r="C173" s="59">
        <f>COUNTIF('ALL Tube Results'!B172:B783, A173)
</f>
        <v>23</v>
      </c>
      <c r="D173" s="60">
        <f>COUNTIFS('ALL Tube Results'!$B172:$B783, $A173, 'ALL Tube Results'!$F172:$F783, "Negative")
</f>
        <v>23</v>
      </c>
      <c r="E173" s="60">
        <f>COUNTIFS('ALL Tube Results'!$B172:$B783, $A173, 'ALL Tube Results'!$F172:$F783, "Positive")
</f>
        <v>0</v>
      </c>
      <c r="F173" s="60">
        <f>COUNTIFS('ALL Tube Results'!$B172:$B783, $A173, 'ALL Tube Results'!$F172:$F783, "Inconclusive")
</f>
        <v>0</v>
      </c>
      <c r="G173" s="61">
        <f t="shared" si="7"/>
        <v>23</v>
      </c>
      <c r="H173" s="61" t="str">
        <f t="shared" si="8"/>
        <v/>
      </c>
      <c r="I173" s="62">
        <f t="shared" si="9"/>
        <v>23</v>
      </c>
      <c r="J173" s="63">
        <f t="shared" si="10"/>
        <v>0</v>
      </c>
      <c r="K173" s="63">
        <f t="shared" si="11"/>
        <v>0</v>
      </c>
      <c r="L173" s="63" t="str">
        <f t="shared" si="12"/>
        <v/>
      </c>
      <c r="M173" s="63" t="str">
        <f t="shared" si="13"/>
        <v/>
      </c>
      <c r="N173" s="63" t="str">
        <f t="shared" si="14"/>
        <v/>
      </c>
      <c r="O173" s="64">
        <f t="shared" si="15"/>
        <v>23</v>
      </c>
      <c r="P173" s="64" t="str">
        <f t="shared" si="16"/>
        <v/>
      </c>
      <c r="Q173" s="54"/>
      <c r="R173" s="8" t="s">
        <v>203</v>
      </c>
      <c r="S173" s="14">
        <v>44672.0</v>
      </c>
      <c r="T173" s="16">
        <f>VLOOKUP(R173,'Run Reconcile'!$A$2:$L783,12,FALSE)</f>
        <v>23</v>
      </c>
      <c r="U173" s="16" t="str">
        <f t="shared" si="17"/>
        <v/>
      </c>
      <c r="V173" s="16" t="str">
        <f t="shared" si="18"/>
        <v/>
      </c>
      <c r="W173" s="16"/>
      <c r="X173" s="54"/>
      <c r="Z173" s="14"/>
      <c r="AA173" s="16"/>
      <c r="AB173" s="16"/>
      <c r="AC173" s="16"/>
      <c r="AD173" s="16"/>
      <c r="AE173" s="66"/>
      <c r="AF173" s="54"/>
      <c r="AG173" s="70" t="s">
        <v>203</v>
      </c>
      <c r="AH173" s="68">
        <f>VLOOKUP(AG173,'Run Reconcile'!A$2:B783,2,FALSE)</f>
        <v>44672</v>
      </c>
      <c r="AI173" s="69">
        <f>COUNTIF('APS Tubes IMPORT'!$V$2:$V783, AG173)
</f>
        <v>23</v>
      </c>
      <c r="AJ173" s="69">
        <f>COUNTIFS('APS Tubes IMPORT'!V$2:V783, AG173, 'APS Tubes IMPORT'!H$2:H783, "Negative")
</f>
        <v>23</v>
      </c>
      <c r="AK173" s="69">
        <f>COUNTIFS('APS Tubes IMPORT'!V$2:V783, AG173, 'APS Tubes IMPORT'!H$2:H783, "Positive")
</f>
        <v>0</v>
      </c>
      <c r="AL173" s="69">
        <f>COUNTIFS('APS Tubes IMPORT'!V$2:V783, AG173, 'APS Tubes IMPORT'!H$2:H783, "Inconclusive")
</f>
        <v>0</v>
      </c>
      <c r="AM173" s="69">
        <f>COUNTIFS('APS Tubes IMPORT'!V$2:V783, AG173, 'APS Tubes IMPORT'!H$2:H783, "Null")
</f>
        <v>0</v>
      </c>
      <c r="AN173" s="54"/>
      <c r="AO173" s="14">
        <f>'APS Tubes by Date IMPORT'!B172</f>
        <v>44670</v>
      </c>
      <c r="AP173" s="16">
        <f>'APS Tubes by Date IMPORT'!D172</f>
        <v>5</v>
      </c>
      <c r="AQ173" s="16">
        <f>'APS Tubes by Date IMPORT'!D172</f>
        <v>5</v>
      </c>
      <c r="AR173" s="16">
        <f>'APS Tubes by Date IMPORT'!E172</f>
        <v>0</v>
      </c>
      <c r="AS173" s="16">
        <f>'APS Tubes by Date IMPORT'!F172</f>
        <v>0</v>
      </c>
      <c r="AT173" s="16">
        <f>'APS Tubes by Date IMPORT'!G172</f>
        <v>0</v>
      </c>
      <c r="AU173" s="54"/>
    </row>
    <row r="174">
      <c r="A174" s="8" t="s">
        <v>204</v>
      </c>
      <c r="B174" s="58">
        <f>VLOOKUP(A174,'Run Reconcile'!A$2:B783,2,FALSE)</f>
        <v>44672</v>
      </c>
      <c r="C174" s="59">
        <f>COUNTIF('ALL Tube Results'!B173:B783, A174)
</f>
        <v>1</v>
      </c>
      <c r="D174" s="60">
        <f>COUNTIFS('ALL Tube Results'!$B173:$B783, $A174, 'ALL Tube Results'!$F173:$F783, "Negative")
</f>
        <v>1</v>
      </c>
      <c r="E174" s="60">
        <f>COUNTIFS('ALL Tube Results'!$B173:$B783, $A174, 'ALL Tube Results'!$F173:$F783, "Positive")
</f>
        <v>0</v>
      </c>
      <c r="F174" s="60">
        <f>COUNTIFS('ALL Tube Results'!$B173:$B783, $A174, 'ALL Tube Results'!$F173:$F783, "Inconclusive")
</f>
        <v>0</v>
      </c>
      <c r="G174" s="61">
        <f t="shared" si="7"/>
        <v>1</v>
      </c>
      <c r="H174" s="61" t="str">
        <f t="shared" si="8"/>
        <v/>
      </c>
      <c r="I174" s="62">
        <f t="shared" si="9"/>
        <v>1</v>
      </c>
      <c r="J174" s="63">
        <f t="shared" si="10"/>
        <v>0</v>
      </c>
      <c r="K174" s="63">
        <f t="shared" si="11"/>
        <v>0</v>
      </c>
      <c r="L174" s="63" t="str">
        <f t="shared" si="12"/>
        <v/>
      </c>
      <c r="M174" s="63" t="str">
        <f t="shared" si="13"/>
        <v/>
      </c>
      <c r="N174" s="63" t="str">
        <f t="shared" si="14"/>
        <v/>
      </c>
      <c r="O174" s="64">
        <f t="shared" si="15"/>
        <v>1</v>
      </c>
      <c r="P174" s="64" t="str">
        <f t="shared" si="16"/>
        <v/>
      </c>
      <c r="Q174" s="54"/>
      <c r="R174" s="8" t="s">
        <v>204</v>
      </c>
      <c r="S174" s="14">
        <v>44672.0</v>
      </c>
      <c r="T174" s="16">
        <f>VLOOKUP(R174,'Run Reconcile'!$A$2:$L783,12,FALSE)</f>
        <v>1</v>
      </c>
      <c r="U174" s="16" t="str">
        <f t="shared" si="17"/>
        <v/>
      </c>
      <c r="V174" s="16" t="str">
        <f t="shared" si="18"/>
        <v/>
      </c>
      <c r="W174" s="16"/>
      <c r="X174" s="54"/>
      <c r="Z174" s="14"/>
      <c r="AA174" s="16"/>
      <c r="AB174" s="16"/>
      <c r="AC174" s="16"/>
      <c r="AD174" s="16"/>
      <c r="AE174" s="66"/>
      <c r="AF174" s="54"/>
      <c r="AG174" s="70" t="s">
        <v>204</v>
      </c>
      <c r="AH174" s="68">
        <f>VLOOKUP(AG174,'Run Reconcile'!A$2:B783,2,FALSE)</f>
        <v>44672</v>
      </c>
      <c r="AI174" s="69">
        <f>COUNTIF('APS Tubes IMPORT'!$V$2:$V783, AG174)
</f>
        <v>1</v>
      </c>
      <c r="AJ174" s="69">
        <f>COUNTIFS('APS Tubes IMPORT'!V$2:V783, AG174, 'APS Tubes IMPORT'!H$2:H783, "Negative")
</f>
        <v>1</v>
      </c>
      <c r="AK174" s="69">
        <f>COUNTIFS('APS Tubes IMPORT'!V$2:V783, AG174, 'APS Tubes IMPORT'!H$2:H783, "Positive")
</f>
        <v>0</v>
      </c>
      <c r="AL174" s="69">
        <f>COUNTIFS('APS Tubes IMPORT'!V$2:V783, AG174, 'APS Tubes IMPORT'!H$2:H783, "Inconclusive")
</f>
        <v>0</v>
      </c>
      <c r="AM174" s="69">
        <f>COUNTIFS('APS Tubes IMPORT'!V$2:V783, AG174, 'APS Tubes IMPORT'!H$2:H783, "Null")
</f>
        <v>0</v>
      </c>
      <c r="AN174" s="54"/>
      <c r="AO174" s="14">
        <f>'APS Tubes by Date IMPORT'!B173</f>
        <v>44672</v>
      </c>
      <c r="AP174" s="16">
        <f>'APS Tubes by Date IMPORT'!D173</f>
        <v>24</v>
      </c>
      <c r="AQ174" s="16">
        <f>'APS Tubes by Date IMPORT'!D173</f>
        <v>24</v>
      </c>
      <c r="AR174" s="16">
        <f>'APS Tubes by Date IMPORT'!E173</f>
        <v>0</v>
      </c>
      <c r="AS174" s="16">
        <f>'APS Tubes by Date IMPORT'!F173</f>
        <v>0</v>
      </c>
      <c r="AT174" s="16">
        <f>'APS Tubes by Date IMPORT'!G173</f>
        <v>0</v>
      </c>
      <c r="AU174" s="54"/>
    </row>
    <row r="175">
      <c r="A175" s="8" t="s">
        <v>205</v>
      </c>
      <c r="B175" s="58">
        <f>VLOOKUP(A175,'Run Reconcile'!A$2:B783,2,FALSE)</f>
        <v>44676</v>
      </c>
      <c r="C175" s="59">
        <f>COUNTIF('ALL Tube Results'!B174:B783, A175)
</f>
        <v>22</v>
      </c>
      <c r="D175" s="60">
        <f>COUNTIFS('ALL Tube Results'!$B174:$B783, $A175, 'ALL Tube Results'!$F174:$F783, "Negative")
</f>
        <v>22</v>
      </c>
      <c r="E175" s="60">
        <f>COUNTIFS('ALL Tube Results'!$B174:$B783, $A175, 'ALL Tube Results'!$F174:$F783, "Positive")
</f>
        <v>0</v>
      </c>
      <c r="F175" s="60">
        <f>COUNTIFS('ALL Tube Results'!$B174:$B783, $A175, 'ALL Tube Results'!$F174:$F783, "Inconclusive")
</f>
        <v>0</v>
      </c>
      <c r="G175" s="61">
        <f t="shared" si="7"/>
        <v>22</v>
      </c>
      <c r="H175" s="61" t="str">
        <f t="shared" si="8"/>
        <v/>
      </c>
      <c r="I175" s="62">
        <f t="shared" si="9"/>
        <v>22</v>
      </c>
      <c r="J175" s="63">
        <f t="shared" si="10"/>
        <v>0</v>
      </c>
      <c r="K175" s="63">
        <f t="shared" si="11"/>
        <v>0</v>
      </c>
      <c r="L175" s="63" t="str">
        <f t="shared" si="12"/>
        <v/>
      </c>
      <c r="M175" s="63" t="str">
        <f t="shared" si="13"/>
        <v/>
      </c>
      <c r="N175" s="63" t="str">
        <f t="shared" si="14"/>
        <v/>
      </c>
      <c r="O175" s="64">
        <f t="shared" si="15"/>
        <v>21</v>
      </c>
      <c r="P175" s="64">
        <f t="shared" si="16"/>
        <v>1</v>
      </c>
      <c r="Q175" s="54"/>
      <c r="R175" s="8" t="s">
        <v>205</v>
      </c>
      <c r="S175" s="14">
        <v>44676.0</v>
      </c>
      <c r="T175" s="16">
        <f>VLOOKUP(R175,'Run Reconcile'!$A$2:$L783,12,FALSE)</f>
        <v>22</v>
      </c>
      <c r="U175" s="16" t="str">
        <f t="shared" si="17"/>
        <v/>
      </c>
      <c r="V175" s="16" t="str">
        <f t="shared" si="18"/>
        <v/>
      </c>
      <c r="W175" s="16"/>
      <c r="X175" s="54"/>
      <c r="Z175" s="14"/>
      <c r="AA175" s="16"/>
      <c r="AB175" s="16"/>
      <c r="AC175" s="16"/>
      <c r="AD175" s="16"/>
      <c r="AE175" s="66"/>
      <c r="AF175" s="54"/>
      <c r="AG175" s="70" t="s">
        <v>205</v>
      </c>
      <c r="AH175" s="68">
        <f>VLOOKUP(AG175,'Run Reconcile'!A$2:B783,2,FALSE)</f>
        <v>44676</v>
      </c>
      <c r="AI175" s="69">
        <f>COUNTIF('APS Tubes IMPORT'!$V$2:$V783, AG175)
</f>
        <v>21</v>
      </c>
      <c r="AJ175" s="69">
        <f>COUNTIFS('APS Tubes IMPORT'!V$2:V783, AG175, 'APS Tubes IMPORT'!H$2:H783, "Negative")
</f>
        <v>21</v>
      </c>
      <c r="AK175" s="69">
        <f>COUNTIFS('APS Tubes IMPORT'!V$2:V783, AG175, 'APS Tubes IMPORT'!H$2:H783, "Positive")
</f>
        <v>0</v>
      </c>
      <c r="AL175" s="69">
        <f>COUNTIFS('APS Tubes IMPORT'!V$2:V783, AG175, 'APS Tubes IMPORT'!H$2:H783, "Inconclusive")
</f>
        <v>0</v>
      </c>
      <c r="AM175" s="69">
        <f>COUNTIFS('APS Tubes IMPORT'!V$2:V783, AG175, 'APS Tubes IMPORT'!H$2:H783, "Null")
</f>
        <v>0</v>
      </c>
      <c r="AN175" s="54"/>
      <c r="AO175" s="14">
        <f>'APS Tubes by Date IMPORT'!B174</f>
        <v>44675</v>
      </c>
      <c r="AP175" s="16">
        <f>'APS Tubes by Date IMPORT'!D174</f>
        <v>3</v>
      </c>
      <c r="AQ175" s="16">
        <f>'APS Tubes by Date IMPORT'!D174</f>
        <v>3</v>
      </c>
      <c r="AR175" s="16">
        <f>'APS Tubes by Date IMPORT'!E174</f>
        <v>0</v>
      </c>
      <c r="AS175" s="16">
        <f>'APS Tubes by Date IMPORT'!F174</f>
        <v>0</v>
      </c>
      <c r="AT175" s="16">
        <f>'APS Tubes by Date IMPORT'!G174</f>
        <v>0</v>
      </c>
      <c r="AU175" s="54"/>
    </row>
    <row r="176">
      <c r="A176" s="8" t="s">
        <v>206</v>
      </c>
      <c r="B176" s="58">
        <f>VLOOKUP(A176,'Run Reconcile'!A$2:B783,2,FALSE)</f>
        <v>44679</v>
      </c>
      <c r="C176" s="59">
        <f>COUNTIF('ALL Tube Results'!B175:B783, A176)
</f>
        <v>26</v>
      </c>
      <c r="D176" s="60">
        <f>COUNTIFS('ALL Tube Results'!$B175:$B783, $A176, 'ALL Tube Results'!$F175:$F783, "Negative")
</f>
        <v>26</v>
      </c>
      <c r="E176" s="60">
        <f>COUNTIFS('ALL Tube Results'!$B175:$B783, $A176, 'ALL Tube Results'!$F175:$F783, "Positive")
</f>
        <v>0</v>
      </c>
      <c r="F176" s="60">
        <f>COUNTIFS('ALL Tube Results'!$B175:$B783, $A176, 'ALL Tube Results'!$F175:$F783, "Inconclusive")
</f>
        <v>0</v>
      </c>
      <c r="G176" s="61">
        <f t="shared" si="7"/>
        <v>26</v>
      </c>
      <c r="H176" s="61" t="str">
        <f t="shared" si="8"/>
        <v/>
      </c>
      <c r="I176" s="62">
        <f t="shared" si="9"/>
        <v>26</v>
      </c>
      <c r="J176" s="63">
        <f t="shared" si="10"/>
        <v>0</v>
      </c>
      <c r="K176" s="63">
        <f t="shared" si="11"/>
        <v>0</v>
      </c>
      <c r="L176" s="63" t="str">
        <f t="shared" si="12"/>
        <v/>
      </c>
      <c r="M176" s="63" t="str">
        <f t="shared" si="13"/>
        <v/>
      </c>
      <c r="N176" s="63" t="str">
        <f t="shared" si="14"/>
        <v/>
      </c>
      <c r="O176" s="64">
        <f t="shared" si="15"/>
        <v>26</v>
      </c>
      <c r="P176" s="64" t="str">
        <f t="shared" si="16"/>
        <v/>
      </c>
      <c r="Q176" s="54"/>
      <c r="R176" s="8" t="s">
        <v>206</v>
      </c>
      <c r="S176" s="14">
        <v>44679.0</v>
      </c>
      <c r="T176" s="16">
        <f>VLOOKUP(R176,'Run Reconcile'!$A$2:$L783,12,FALSE)</f>
        <v>26</v>
      </c>
      <c r="U176" s="16" t="str">
        <f t="shared" si="17"/>
        <v/>
      </c>
      <c r="V176" s="16" t="str">
        <f t="shared" si="18"/>
        <v/>
      </c>
      <c r="W176" s="16"/>
      <c r="X176" s="54"/>
      <c r="Z176" s="14"/>
      <c r="AA176" s="16"/>
      <c r="AB176" s="16"/>
      <c r="AC176" s="16"/>
      <c r="AD176" s="16"/>
      <c r="AE176" s="66"/>
      <c r="AF176" s="54"/>
      <c r="AG176" s="70" t="s">
        <v>206</v>
      </c>
      <c r="AH176" s="68">
        <f>VLOOKUP(AG176,'Run Reconcile'!A$2:B783,2,FALSE)</f>
        <v>44679</v>
      </c>
      <c r="AI176" s="69">
        <f>COUNTIF('APS Tubes IMPORT'!$V$2:$V783, AG176)
</f>
        <v>26</v>
      </c>
      <c r="AJ176" s="69">
        <f>COUNTIFS('APS Tubes IMPORT'!V$2:V783, AG176, 'APS Tubes IMPORT'!H$2:H783, "Negative")
</f>
        <v>26</v>
      </c>
      <c r="AK176" s="69">
        <f>COUNTIFS('APS Tubes IMPORT'!V$2:V783, AG176, 'APS Tubes IMPORT'!H$2:H783, "Positive")
</f>
        <v>0</v>
      </c>
      <c r="AL176" s="69">
        <f>COUNTIFS('APS Tubes IMPORT'!V$2:V783, AG176, 'APS Tubes IMPORT'!H$2:H783, "Inconclusive")
</f>
        <v>0</v>
      </c>
      <c r="AM176" s="69">
        <f>COUNTIFS('APS Tubes IMPORT'!V$2:V783, AG176, 'APS Tubes IMPORT'!H$2:H783, "Null")
</f>
        <v>0</v>
      </c>
      <c r="AN176" s="54"/>
      <c r="AO176" s="14">
        <f>'APS Tubes by Date IMPORT'!B175</f>
        <v>44676</v>
      </c>
      <c r="AP176" s="16">
        <f>'APS Tubes by Date IMPORT'!D175</f>
        <v>18</v>
      </c>
      <c r="AQ176" s="16">
        <f>'APS Tubes by Date IMPORT'!D175</f>
        <v>18</v>
      </c>
      <c r="AR176" s="16">
        <f>'APS Tubes by Date IMPORT'!E175</f>
        <v>0</v>
      </c>
      <c r="AS176" s="16">
        <f>'APS Tubes by Date IMPORT'!F175</f>
        <v>0</v>
      </c>
      <c r="AT176" s="16">
        <f>'APS Tubes by Date IMPORT'!G175</f>
        <v>0</v>
      </c>
      <c r="AU176" s="54"/>
    </row>
    <row r="177">
      <c r="A177" s="8" t="s">
        <v>207</v>
      </c>
      <c r="B177" s="58">
        <f>VLOOKUP(A177,'Run Reconcile'!A$2:B783,2,FALSE)</f>
        <v>44683</v>
      </c>
      <c r="C177" s="59">
        <f>COUNTIF('ALL Tube Results'!B176:B783, A177)
</f>
        <v>24</v>
      </c>
      <c r="D177" s="60">
        <f>COUNTIFS('ALL Tube Results'!$B176:$B783, $A177, 'ALL Tube Results'!$F176:$F783, "Negative")
</f>
        <v>23</v>
      </c>
      <c r="E177" s="60">
        <f>COUNTIFS('ALL Tube Results'!$B176:$B783, $A177, 'ALL Tube Results'!$F176:$F783, "Positive")
</f>
        <v>1</v>
      </c>
      <c r="F177" s="60">
        <f>COUNTIFS('ALL Tube Results'!$B176:$B783, $A177, 'ALL Tube Results'!$F176:$F783, "Inconclusive")
</f>
        <v>0</v>
      </c>
      <c r="G177" s="61">
        <f t="shared" si="7"/>
        <v>24</v>
      </c>
      <c r="H177" s="61" t="str">
        <f t="shared" si="8"/>
        <v/>
      </c>
      <c r="I177" s="62">
        <f t="shared" si="9"/>
        <v>24</v>
      </c>
      <c r="J177" s="63">
        <f t="shared" si="10"/>
        <v>1</v>
      </c>
      <c r="K177" s="63">
        <f t="shared" si="11"/>
        <v>0</v>
      </c>
      <c r="L177" s="63" t="str">
        <f t="shared" si="12"/>
        <v/>
      </c>
      <c r="M177" s="63" t="str">
        <f t="shared" si="13"/>
        <v/>
      </c>
      <c r="N177" s="63" t="str">
        <f t="shared" si="14"/>
        <v/>
      </c>
      <c r="O177" s="64">
        <f t="shared" si="15"/>
        <v>24</v>
      </c>
      <c r="P177" s="64" t="str">
        <f t="shared" si="16"/>
        <v/>
      </c>
      <c r="Q177" s="54"/>
      <c r="R177" s="8" t="s">
        <v>207</v>
      </c>
      <c r="S177" s="14">
        <v>44683.0</v>
      </c>
      <c r="T177" s="16">
        <f>VLOOKUP(R177,'Run Reconcile'!$A$2:$L783,12,FALSE)</f>
        <v>24</v>
      </c>
      <c r="U177" s="16" t="str">
        <f t="shared" si="17"/>
        <v/>
      </c>
      <c r="V177" s="16" t="str">
        <f t="shared" si="18"/>
        <v/>
      </c>
      <c r="W177" s="16"/>
      <c r="X177" s="54"/>
      <c r="Z177" s="14"/>
      <c r="AA177" s="16"/>
      <c r="AB177" s="16"/>
      <c r="AC177" s="16"/>
      <c r="AD177" s="16"/>
      <c r="AE177" s="66"/>
      <c r="AF177" s="54"/>
      <c r="AG177" s="70" t="s">
        <v>207</v>
      </c>
      <c r="AH177" s="68">
        <f>VLOOKUP(AG177,'Run Reconcile'!A$2:B783,2,FALSE)</f>
        <v>44683</v>
      </c>
      <c r="AI177" s="69">
        <f>COUNTIF('APS Tubes IMPORT'!$V$2:$V783, AG177)
</f>
        <v>24</v>
      </c>
      <c r="AJ177" s="69">
        <f>COUNTIFS('APS Tubes IMPORT'!V$2:V783, AG177, 'APS Tubes IMPORT'!H$2:H783, "Negative")
</f>
        <v>23</v>
      </c>
      <c r="AK177" s="69">
        <f>COUNTIFS('APS Tubes IMPORT'!V$2:V783, AG177, 'APS Tubes IMPORT'!H$2:H783, "Positive")
</f>
        <v>1</v>
      </c>
      <c r="AL177" s="69">
        <f>COUNTIFS('APS Tubes IMPORT'!V$2:V783, AG177, 'APS Tubes IMPORT'!H$2:H783, "Inconclusive")
</f>
        <v>0</v>
      </c>
      <c r="AM177" s="69">
        <f>COUNTIFS('APS Tubes IMPORT'!V$2:V783, AG177, 'APS Tubes IMPORT'!H$2:H783, "Null")
</f>
        <v>0</v>
      </c>
      <c r="AN177" s="54"/>
      <c r="AO177" s="14">
        <f>'APS Tubes by Date IMPORT'!B176</f>
        <v>44679</v>
      </c>
      <c r="AP177" s="16">
        <f>'APS Tubes by Date IMPORT'!D176</f>
        <v>26</v>
      </c>
      <c r="AQ177" s="16">
        <f>'APS Tubes by Date IMPORT'!D176</f>
        <v>26</v>
      </c>
      <c r="AR177" s="16">
        <f>'APS Tubes by Date IMPORT'!E176</f>
        <v>0</v>
      </c>
      <c r="AS177" s="16">
        <f>'APS Tubes by Date IMPORT'!F176</f>
        <v>0</v>
      </c>
      <c r="AT177" s="16">
        <f>'APS Tubes by Date IMPORT'!G176</f>
        <v>0</v>
      </c>
      <c r="AU177" s="54"/>
    </row>
    <row r="178">
      <c r="A178" s="8" t="s">
        <v>208</v>
      </c>
      <c r="B178" s="58">
        <f>VLOOKUP(A178,'Run Reconcile'!A$2:B783,2,FALSE)</f>
        <v>44683</v>
      </c>
      <c r="C178" s="59">
        <f>COUNTIF('ALL Tube Results'!B177:B783, A178)
</f>
        <v>3</v>
      </c>
      <c r="D178" s="60">
        <f>COUNTIFS('ALL Tube Results'!$B177:$B783, $A178, 'ALL Tube Results'!$F177:$F783, "Negative")
</f>
        <v>2</v>
      </c>
      <c r="E178" s="60">
        <f>COUNTIFS('ALL Tube Results'!$B177:$B783, $A178, 'ALL Tube Results'!$F177:$F783, "Positive")
</f>
        <v>1</v>
      </c>
      <c r="F178" s="60">
        <f>COUNTIFS('ALL Tube Results'!$B177:$B783, $A178, 'ALL Tube Results'!$F177:$F783, "Inconclusive")
</f>
        <v>0</v>
      </c>
      <c r="G178" s="61">
        <f t="shared" si="7"/>
        <v>3</v>
      </c>
      <c r="H178" s="61" t="str">
        <f t="shared" si="8"/>
        <v/>
      </c>
      <c r="I178" s="62">
        <f t="shared" si="9"/>
        <v>3</v>
      </c>
      <c r="J178" s="63">
        <f t="shared" si="10"/>
        <v>1</v>
      </c>
      <c r="K178" s="63">
        <f t="shared" si="11"/>
        <v>0</v>
      </c>
      <c r="L178" s="63" t="str">
        <f t="shared" si="12"/>
        <v/>
      </c>
      <c r="M178" s="63" t="str">
        <f t="shared" si="13"/>
        <v/>
      </c>
      <c r="N178" s="63" t="str">
        <f t="shared" si="14"/>
        <v/>
      </c>
      <c r="O178" s="64">
        <f t="shared" si="15"/>
        <v>3</v>
      </c>
      <c r="P178" s="64" t="str">
        <f t="shared" si="16"/>
        <v/>
      </c>
      <c r="Q178" s="54"/>
      <c r="R178" s="8" t="s">
        <v>208</v>
      </c>
      <c r="S178" s="14">
        <v>44683.0</v>
      </c>
      <c r="T178" s="16">
        <f>VLOOKUP(R178,'Run Reconcile'!$A$2:$L783,12,FALSE)</f>
        <v>3</v>
      </c>
      <c r="U178" s="16" t="str">
        <f t="shared" si="17"/>
        <v/>
      </c>
      <c r="V178" s="16" t="str">
        <f t="shared" si="18"/>
        <v/>
      </c>
      <c r="W178" s="16"/>
      <c r="X178" s="54"/>
      <c r="Z178" s="14"/>
      <c r="AA178" s="16"/>
      <c r="AB178" s="16"/>
      <c r="AC178" s="16"/>
      <c r="AD178" s="16"/>
      <c r="AE178" s="66"/>
      <c r="AF178" s="54"/>
      <c r="AG178" s="70" t="s">
        <v>208</v>
      </c>
      <c r="AH178" s="68">
        <f>VLOOKUP(AG178,'Run Reconcile'!A$2:B783,2,FALSE)</f>
        <v>44683</v>
      </c>
      <c r="AI178" s="69">
        <f>COUNTIF('APS Tubes IMPORT'!$V$2:$V783, AG178)
</f>
        <v>3</v>
      </c>
      <c r="AJ178" s="69">
        <f>COUNTIFS('APS Tubes IMPORT'!V$2:V783, AG178, 'APS Tubes IMPORT'!H$2:H783, "Negative")
</f>
        <v>2</v>
      </c>
      <c r="AK178" s="69">
        <f>COUNTIFS('APS Tubes IMPORT'!V$2:V783, AG178, 'APS Tubes IMPORT'!H$2:H783, "Positive")
</f>
        <v>1</v>
      </c>
      <c r="AL178" s="69">
        <f>COUNTIFS('APS Tubes IMPORT'!V$2:V783, AG178, 'APS Tubes IMPORT'!H$2:H783, "Inconclusive")
</f>
        <v>0</v>
      </c>
      <c r="AM178" s="69">
        <f>COUNTIFS('APS Tubes IMPORT'!V$2:V783, AG178, 'APS Tubes IMPORT'!H$2:H783, "Null")
</f>
        <v>0</v>
      </c>
      <c r="AN178" s="54"/>
      <c r="AO178" s="14">
        <f>'APS Tubes by Date IMPORT'!B177</f>
        <v>44682</v>
      </c>
      <c r="AP178" s="16">
        <f>'APS Tubes by Date IMPORT'!D177</f>
        <v>3</v>
      </c>
      <c r="AQ178" s="16">
        <f>'APS Tubes by Date IMPORT'!D177</f>
        <v>3</v>
      </c>
      <c r="AR178" s="16">
        <f>'APS Tubes by Date IMPORT'!E177</f>
        <v>0</v>
      </c>
      <c r="AS178" s="16">
        <f>'APS Tubes by Date IMPORT'!F177</f>
        <v>0</v>
      </c>
      <c r="AT178" s="16">
        <f>'APS Tubes by Date IMPORT'!G177</f>
        <v>0</v>
      </c>
      <c r="AU178" s="54"/>
    </row>
    <row r="179">
      <c r="A179" s="8" t="s">
        <v>209</v>
      </c>
      <c r="B179" s="58">
        <f>VLOOKUP(A179,'Run Reconcile'!A$2:B783,2,FALSE)</f>
        <v>44683</v>
      </c>
      <c r="C179" s="59">
        <f>COUNTIF('ALL Tube Results'!B178:B783, A179)
</f>
        <v>1</v>
      </c>
      <c r="D179" s="60">
        <f>COUNTIFS('ALL Tube Results'!$B178:$B783, $A179, 'ALL Tube Results'!$F178:$F783, "Negative")
</f>
        <v>1</v>
      </c>
      <c r="E179" s="60">
        <f>COUNTIFS('ALL Tube Results'!$B178:$B783, $A179, 'ALL Tube Results'!$F178:$F783, "Positive")
</f>
        <v>0</v>
      </c>
      <c r="F179" s="60">
        <f>COUNTIFS('ALL Tube Results'!$B178:$B783, $A179, 'ALL Tube Results'!$F178:$F783, "Inconclusive")
</f>
        <v>0</v>
      </c>
      <c r="G179" s="61">
        <f t="shared" si="7"/>
        <v>1</v>
      </c>
      <c r="H179" s="61" t="str">
        <f t="shared" si="8"/>
        <v/>
      </c>
      <c r="I179" s="62">
        <f t="shared" si="9"/>
        <v>1</v>
      </c>
      <c r="J179" s="63">
        <f t="shared" si="10"/>
        <v>0</v>
      </c>
      <c r="K179" s="63">
        <f t="shared" si="11"/>
        <v>0</v>
      </c>
      <c r="L179" s="63" t="str">
        <f t="shared" si="12"/>
        <v/>
      </c>
      <c r="M179" s="63" t="str">
        <f t="shared" si="13"/>
        <v/>
      </c>
      <c r="N179" s="63" t="str">
        <f t="shared" si="14"/>
        <v/>
      </c>
      <c r="O179" s="64">
        <f t="shared" si="15"/>
        <v>1</v>
      </c>
      <c r="P179" s="64" t="str">
        <f t="shared" si="16"/>
        <v/>
      </c>
      <c r="Q179" s="54"/>
      <c r="R179" s="8" t="s">
        <v>209</v>
      </c>
      <c r="S179" s="14">
        <v>44683.0</v>
      </c>
      <c r="T179" s="16">
        <f>VLOOKUP(R179,'Run Reconcile'!$A$2:$L783,12,FALSE)</f>
        <v>1</v>
      </c>
      <c r="U179" s="16" t="str">
        <f t="shared" si="17"/>
        <v/>
      </c>
      <c r="V179" s="16" t="str">
        <f t="shared" si="18"/>
        <v/>
      </c>
      <c r="W179" s="16"/>
      <c r="X179" s="54"/>
      <c r="Z179" s="14"/>
      <c r="AA179" s="16"/>
      <c r="AB179" s="16"/>
      <c r="AC179" s="16"/>
      <c r="AD179" s="16"/>
      <c r="AE179" s="66"/>
      <c r="AF179" s="54"/>
      <c r="AG179" s="70" t="s">
        <v>209</v>
      </c>
      <c r="AH179" s="68">
        <f>VLOOKUP(AG179,'Run Reconcile'!A$2:B783,2,FALSE)</f>
        <v>44683</v>
      </c>
      <c r="AI179" s="69">
        <f>COUNTIF('APS Tubes IMPORT'!$V$2:$V783, AG179)
</f>
        <v>1</v>
      </c>
      <c r="AJ179" s="69">
        <f>COUNTIFS('APS Tubes IMPORT'!V$2:V783, AG179, 'APS Tubes IMPORT'!H$2:H783, "Negative")
</f>
        <v>1</v>
      </c>
      <c r="AK179" s="69">
        <f>COUNTIFS('APS Tubes IMPORT'!V$2:V783, AG179, 'APS Tubes IMPORT'!H$2:H783, "Positive")
</f>
        <v>0</v>
      </c>
      <c r="AL179" s="69">
        <f>COUNTIFS('APS Tubes IMPORT'!V$2:V783, AG179, 'APS Tubes IMPORT'!H$2:H783, "Inconclusive")
</f>
        <v>0</v>
      </c>
      <c r="AM179" s="69">
        <f>COUNTIFS('APS Tubes IMPORT'!V$2:V783, AG179, 'APS Tubes IMPORT'!H$2:H783, "Null")
</f>
        <v>0</v>
      </c>
      <c r="AN179" s="54"/>
      <c r="AO179" s="14">
        <f>'APS Tubes by Date IMPORT'!B178</f>
        <v>44683</v>
      </c>
      <c r="AP179" s="16">
        <f>'APS Tubes by Date IMPORT'!D178</f>
        <v>23</v>
      </c>
      <c r="AQ179" s="16">
        <f>'APS Tubes by Date IMPORT'!D178</f>
        <v>23</v>
      </c>
      <c r="AR179" s="16">
        <f>'APS Tubes by Date IMPORT'!E178</f>
        <v>2</v>
      </c>
      <c r="AS179" s="16">
        <f>'APS Tubes by Date IMPORT'!F178</f>
        <v>0</v>
      </c>
      <c r="AT179" s="16">
        <f>'APS Tubes by Date IMPORT'!G178</f>
        <v>0</v>
      </c>
      <c r="AU179" s="54"/>
    </row>
    <row r="180">
      <c r="A180" s="8" t="s">
        <v>210</v>
      </c>
      <c r="B180" s="58">
        <f>VLOOKUP(A180,'Run Reconcile'!A$2:B783,2,FALSE)</f>
        <v>44686</v>
      </c>
      <c r="C180" s="59">
        <f>COUNTIF('ALL Tube Results'!B179:B783, A180)
</f>
        <v>25</v>
      </c>
      <c r="D180" s="60">
        <f>COUNTIFS('ALL Tube Results'!$B179:$B783, $A180, 'ALL Tube Results'!$F179:$F783, "Negative")
</f>
        <v>25</v>
      </c>
      <c r="E180" s="60">
        <f>COUNTIFS('ALL Tube Results'!$B179:$B783, $A180, 'ALL Tube Results'!$F179:$F783, "Positive")
</f>
        <v>0</v>
      </c>
      <c r="F180" s="60">
        <f>COUNTIFS('ALL Tube Results'!$B179:$B783, $A180, 'ALL Tube Results'!$F179:$F783, "Inconclusive")
</f>
        <v>0</v>
      </c>
      <c r="G180" s="61">
        <f t="shared" si="7"/>
        <v>25</v>
      </c>
      <c r="H180" s="61" t="str">
        <f t="shared" si="8"/>
        <v/>
      </c>
      <c r="I180" s="62">
        <f t="shared" si="9"/>
        <v>24</v>
      </c>
      <c r="J180" s="63">
        <f t="shared" si="10"/>
        <v>0</v>
      </c>
      <c r="K180" s="63">
        <f t="shared" si="11"/>
        <v>0</v>
      </c>
      <c r="L180" s="63">
        <f t="shared" si="12"/>
        <v>1</v>
      </c>
      <c r="M180" s="63" t="str">
        <f t="shared" si="13"/>
        <v/>
      </c>
      <c r="N180" s="63" t="str">
        <f t="shared" si="14"/>
        <v/>
      </c>
      <c r="O180" s="64">
        <f t="shared" si="15"/>
        <v>25</v>
      </c>
      <c r="P180" s="64" t="str">
        <f t="shared" si="16"/>
        <v/>
      </c>
      <c r="Q180" s="54"/>
      <c r="R180" s="8" t="s">
        <v>210</v>
      </c>
      <c r="S180" s="14">
        <v>44686.0</v>
      </c>
      <c r="T180" s="16">
        <f>VLOOKUP(R180,'Run Reconcile'!$A$2:$L783,12,FALSE)</f>
        <v>25</v>
      </c>
      <c r="U180" s="16" t="str">
        <f t="shared" si="17"/>
        <v/>
      </c>
      <c r="V180" s="16" t="str">
        <f t="shared" si="18"/>
        <v/>
      </c>
      <c r="W180" s="16"/>
      <c r="X180" s="54"/>
      <c r="Z180" s="14"/>
      <c r="AA180" s="16"/>
      <c r="AB180" s="16"/>
      <c r="AC180" s="16"/>
      <c r="AD180" s="16"/>
      <c r="AE180" s="66"/>
      <c r="AF180" s="54"/>
      <c r="AG180" s="70" t="s">
        <v>210</v>
      </c>
      <c r="AH180" s="68">
        <f>VLOOKUP(AG180,'Run Reconcile'!A$2:B783,2,FALSE)</f>
        <v>44686</v>
      </c>
      <c r="AI180" s="69">
        <f>COUNTIF('APS Tubes IMPORT'!$V$2:$V783, AG180)
</f>
        <v>25</v>
      </c>
      <c r="AJ180" s="69">
        <f>COUNTIFS('APS Tubes IMPORT'!V$2:V783, AG180, 'APS Tubes IMPORT'!H$2:H783, "Negative")
</f>
        <v>25</v>
      </c>
      <c r="AK180" s="69">
        <f>COUNTIFS('APS Tubes IMPORT'!V$2:V783, AG180, 'APS Tubes IMPORT'!H$2:H783, "Positive")
</f>
        <v>0</v>
      </c>
      <c r="AL180" s="69">
        <f>COUNTIFS('APS Tubes IMPORT'!V$2:V783, AG180, 'APS Tubes IMPORT'!H$2:H783, "Inconclusive")
</f>
        <v>0</v>
      </c>
      <c r="AM180" s="69">
        <f>COUNTIFS('APS Tubes IMPORT'!V$2:V783, AG180, 'APS Tubes IMPORT'!H$2:H783, "Null")
</f>
        <v>0</v>
      </c>
      <c r="AN180" s="54"/>
      <c r="AO180" s="14">
        <f>'APS Tubes by Date IMPORT'!B179</f>
        <v>44686</v>
      </c>
      <c r="AP180" s="16">
        <f>'APS Tubes by Date IMPORT'!D179</f>
        <v>25</v>
      </c>
      <c r="AQ180" s="16">
        <f>'APS Tubes by Date IMPORT'!D179</f>
        <v>25</v>
      </c>
      <c r="AR180" s="16">
        <f>'APS Tubes by Date IMPORT'!E179</f>
        <v>0</v>
      </c>
      <c r="AS180" s="16">
        <f>'APS Tubes by Date IMPORT'!F179</f>
        <v>0</v>
      </c>
      <c r="AT180" s="16">
        <f>'APS Tubes by Date IMPORT'!G179</f>
        <v>0</v>
      </c>
      <c r="AU180" s="54"/>
    </row>
    <row r="181">
      <c r="A181" s="8" t="s">
        <v>211</v>
      </c>
      <c r="B181" s="58">
        <f>VLOOKUP(A181,'Run Reconcile'!A$2:B783,2,FALSE)</f>
        <v>44690</v>
      </c>
      <c r="C181" s="59">
        <f>COUNTIF('ALL Tube Results'!B180:B783, A181)
</f>
        <v>4</v>
      </c>
      <c r="D181" s="60">
        <f>COUNTIFS('ALL Tube Results'!$B180:$B783, $A181, 'ALL Tube Results'!$F180:$F783, "Negative")
</f>
        <v>4</v>
      </c>
      <c r="E181" s="60">
        <f>COUNTIFS('ALL Tube Results'!$B180:$B783, $A181, 'ALL Tube Results'!$F180:$F783, "Positive")
</f>
        <v>0</v>
      </c>
      <c r="F181" s="60">
        <f>COUNTIFS('ALL Tube Results'!$B180:$B783, $A181, 'ALL Tube Results'!$F180:$F783, "Inconclusive")
</f>
        <v>0</v>
      </c>
      <c r="G181" s="61">
        <f t="shared" si="7"/>
        <v>4</v>
      </c>
      <c r="H181" s="61" t="str">
        <f t="shared" si="8"/>
        <v/>
      </c>
      <c r="I181" s="62" t="str">
        <f t="shared" si="9"/>
        <v/>
      </c>
      <c r="J181" s="63" t="str">
        <f t="shared" si="10"/>
        <v/>
      </c>
      <c r="K181" s="63" t="str">
        <f t="shared" si="11"/>
        <v/>
      </c>
      <c r="L181" s="63">
        <f t="shared" si="12"/>
        <v>4</v>
      </c>
      <c r="M181" s="63" t="str">
        <f t="shared" si="13"/>
        <v/>
      </c>
      <c r="N181" s="63" t="str">
        <f t="shared" si="14"/>
        <v/>
      </c>
      <c r="O181" s="64">
        <f t="shared" si="15"/>
        <v>4</v>
      </c>
      <c r="P181" s="64" t="str">
        <f t="shared" si="16"/>
        <v/>
      </c>
      <c r="Q181" s="54"/>
      <c r="R181" s="8" t="s">
        <v>211</v>
      </c>
      <c r="S181" s="14">
        <v>44690.0</v>
      </c>
      <c r="T181" s="16">
        <f>VLOOKUP(R181,'Run Reconcile'!$A$2:$L783,12,FALSE)</f>
        <v>4</v>
      </c>
      <c r="U181" s="16" t="str">
        <f t="shared" si="17"/>
        <v/>
      </c>
      <c r="V181" s="16" t="str">
        <f t="shared" si="18"/>
        <v/>
      </c>
      <c r="W181" s="16"/>
      <c r="X181" s="54"/>
      <c r="Z181" s="14"/>
      <c r="AA181" s="16"/>
      <c r="AB181" s="16"/>
      <c r="AC181" s="16"/>
      <c r="AD181" s="16"/>
      <c r="AE181" s="66"/>
      <c r="AF181" s="54"/>
      <c r="AG181" s="70" t="s">
        <v>211</v>
      </c>
      <c r="AH181" s="68">
        <f>VLOOKUP(AG181,'Run Reconcile'!A$2:B783,2,FALSE)</f>
        <v>44690</v>
      </c>
      <c r="AI181" s="69">
        <f>COUNTIF('APS Tubes IMPORT'!$V$2:$V783, AG181)
</f>
        <v>4</v>
      </c>
      <c r="AJ181" s="69">
        <f>COUNTIFS('APS Tubes IMPORT'!V$2:V783, AG181, 'APS Tubes IMPORT'!H$2:H783, "Negative")
</f>
        <v>4</v>
      </c>
      <c r="AK181" s="69">
        <f>COUNTIFS('APS Tubes IMPORT'!V$2:V783, AG181, 'APS Tubes IMPORT'!H$2:H783, "Positive")
</f>
        <v>0</v>
      </c>
      <c r="AL181" s="69">
        <f>COUNTIFS('APS Tubes IMPORT'!V$2:V783, AG181, 'APS Tubes IMPORT'!H$2:H783, "Inconclusive")
</f>
        <v>0</v>
      </c>
      <c r="AM181" s="69">
        <f>COUNTIFS('APS Tubes IMPORT'!V$2:V783, AG181, 'APS Tubes IMPORT'!H$2:H783, "Null")
</f>
        <v>0</v>
      </c>
      <c r="AN181" s="54"/>
      <c r="AO181" s="14">
        <f>'APS Tubes by Date IMPORT'!B180</f>
        <v>44689</v>
      </c>
      <c r="AP181" s="16">
        <f>'APS Tubes by Date IMPORT'!D180</f>
        <v>2</v>
      </c>
      <c r="AQ181" s="16">
        <f>'APS Tubes by Date IMPORT'!D180</f>
        <v>2</v>
      </c>
      <c r="AR181" s="16">
        <f>'APS Tubes by Date IMPORT'!E180</f>
        <v>0</v>
      </c>
      <c r="AS181" s="16">
        <f>'APS Tubes by Date IMPORT'!F180</f>
        <v>1</v>
      </c>
      <c r="AT181" s="16">
        <f>'APS Tubes by Date IMPORT'!G180</f>
        <v>0</v>
      </c>
      <c r="AU181" s="54"/>
    </row>
    <row r="182">
      <c r="A182" s="8" t="s">
        <v>212</v>
      </c>
      <c r="B182" s="58">
        <f>VLOOKUP(A182,'Run Reconcile'!A$2:B783,2,FALSE)</f>
        <v>44690</v>
      </c>
      <c r="C182" s="59">
        <f>COUNTIF('ALL Tube Results'!B181:B783, A182)
</f>
        <v>23</v>
      </c>
      <c r="D182" s="60">
        <f>COUNTIFS('ALL Tube Results'!$B181:$B783, $A182, 'ALL Tube Results'!$F181:$F783, "Negative")
</f>
        <v>20</v>
      </c>
      <c r="E182" s="60">
        <f>COUNTIFS('ALL Tube Results'!$B181:$B783, $A182, 'ALL Tube Results'!$F181:$F783, "Positive")
</f>
        <v>2</v>
      </c>
      <c r="F182" s="60">
        <f>COUNTIFS('ALL Tube Results'!$B181:$B783, $A182, 'ALL Tube Results'!$F181:$F783, "Inconclusive")
</f>
        <v>1</v>
      </c>
      <c r="G182" s="61">
        <f t="shared" si="7"/>
        <v>23</v>
      </c>
      <c r="H182" s="61" t="str">
        <f t="shared" si="8"/>
        <v/>
      </c>
      <c r="I182" s="62">
        <f t="shared" si="9"/>
        <v>23</v>
      </c>
      <c r="J182" s="63">
        <f t="shared" si="10"/>
        <v>2</v>
      </c>
      <c r="K182" s="63">
        <f t="shared" si="11"/>
        <v>1</v>
      </c>
      <c r="L182" s="63" t="str">
        <f t="shared" si="12"/>
        <v/>
      </c>
      <c r="M182" s="63" t="str">
        <f t="shared" si="13"/>
        <v/>
      </c>
      <c r="N182" s="63" t="str">
        <f t="shared" si="14"/>
        <v/>
      </c>
      <c r="O182" s="64">
        <f t="shared" si="15"/>
        <v>22</v>
      </c>
      <c r="P182" s="64">
        <f t="shared" si="16"/>
        <v>1</v>
      </c>
      <c r="Q182" s="54"/>
      <c r="R182" s="8" t="s">
        <v>212</v>
      </c>
      <c r="S182" s="14">
        <v>44690.0</v>
      </c>
      <c r="T182" s="16">
        <f>VLOOKUP(R182,'Run Reconcile'!$A$2:$L783,12,FALSE)</f>
        <v>23</v>
      </c>
      <c r="U182" s="16" t="str">
        <f t="shared" si="17"/>
        <v/>
      </c>
      <c r="V182" s="16" t="str">
        <f t="shared" si="18"/>
        <v/>
      </c>
      <c r="W182" s="16"/>
      <c r="X182" s="54"/>
      <c r="Z182" s="14"/>
      <c r="AA182" s="16"/>
      <c r="AB182" s="16"/>
      <c r="AC182" s="16"/>
      <c r="AD182" s="16"/>
      <c r="AE182" s="66"/>
      <c r="AF182" s="54"/>
      <c r="AG182" s="70" t="s">
        <v>212</v>
      </c>
      <c r="AH182" s="68">
        <f>VLOOKUP(AG182,'Run Reconcile'!A$2:B783,2,FALSE)</f>
        <v>44690</v>
      </c>
      <c r="AI182" s="69">
        <f>COUNTIF('APS Tubes IMPORT'!$V$2:$V783, AG182)
</f>
        <v>22</v>
      </c>
      <c r="AJ182" s="69">
        <f>COUNTIFS('APS Tubes IMPORT'!V$2:V783, AG182, 'APS Tubes IMPORT'!H$2:H783, "Negative")
</f>
        <v>19</v>
      </c>
      <c r="AK182" s="69">
        <f>COUNTIFS('APS Tubes IMPORT'!V$2:V783, AG182, 'APS Tubes IMPORT'!H$2:H783, "Positive")
</f>
        <v>2</v>
      </c>
      <c r="AL182" s="69">
        <f>COUNTIFS('APS Tubes IMPORT'!V$2:V783, AG182, 'APS Tubes IMPORT'!H$2:H783, "Inconclusive")
</f>
        <v>1</v>
      </c>
      <c r="AM182" s="69">
        <f>COUNTIFS('APS Tubes IMPORT'!V$2:V783, AG182, 'APS Tubes IMPORT'!H$2:H783, "Null")
</f>
        <v>0</v>
      </c>
      <c r="AN182" s="54"/>
      <c r="AO182" s="14">
        <f>'APS Tubes by Date IMPORT'!B181</f>
        <v>44690</v>
      </c>
      <c r="AP182" s="16">
        <f>'APS Tubes by Date IMPORT'!D181</f>
        <v>26</v>
      </c>
      <c r="AQ182" s="16">
        <f>'APS Tubes by Date IMPORT'!D181</f>
        <v>26</v>
      </c>
      <c r="AR182" s="16">
        <f>'APS Tubes by Date IMPORT'!E181</f>
        <v>4</v>
      </c>
      <c r="AS182" s="16">
        <f>'APS Tubes by Date IMPORT'!F181</f>
        <v>0</v>
      </c>
      <c r="AT182" s="16">
        <f>'APS Tubes by Date IMPORT'!G181</f>
        <v>0</v>
      </c>
      <c r="AU182" s="54"/>
    </row>
    <row r="183">
      <c r="A183" s="8" t="s">
        <v>213</v>
      </c>
      <c r="B183" s="58">
        <f>VLOOKUP(A183,'Run Reconcile'!A$2:B783,2,FALSE)</f>
        <v>44690</v>
      </c>
      <c r="C183" s="59">
        <f>COUNTIF('ALL Tube Results'!B182:B783, A183)
</f>
        <v>7</v>
      </c>
      <c r="D183" s="60">
        <f>COUNTIFS('ALL Tube Results'!$B182:$B783, $A183, 'ALL Tube Results'!$F182:$F783, "Negative")
</f>
        <v>5</v>
      </c>
      <c r="E183" s="60">
        <f>COUNTIFS('ALL Tube Results'!$B182:$B783, $A183, 'ALL Tube Results'!$F182:$F783, "Positive")
</f>
        <v>2</v>
      </c>
      <c r="F183" s="60">
        <f>COUNTIFS('ALL Tube Results'!$B182:$B783, $A183, 'ALL Tube Results'!$F182:$F783, "Inconclusive")
</f>
        <v>0</v>
      </c>
      <c r="G183" s="61">
        <f t="shared" si="7"/>
        <v>7</v>
      </c>
      <c r="H183" s="61" t="str">
        <f t="shared" si="8"/>
        <v/>
      </c>
      <c r="I183" s="62">
        <f t="shared" si="9"/>
        <v>7</v>
      </c>
      <c r="J183" s="63">
        <f t="shared" si="10"/>
        <v>2</v>
      </c>
      <c r="K183" s="63">
        <f t="shared" si="11"/>
        <v>0</v>
      </c>
      <c r="L183" s="63" t="str">
        <f t="shared" si="12"/>
        <v/>
      </c>
      <c r="M183" s="63" t="str">
        <f t="shared" si="13"/>
        <v/>
      </c>
      <c r="N183" s="63" t="str">
        <f t="shared" si="14"/>
        <v/>
      </c>
      <c r="O183" s="64">
        <f t="shared" si="15"/>
        <v>7</v>
      </c>
      <c r="P183" s="64" t="str">
        <f t="shared" si="16"/>
        <v/>
      </c>
      <c r="Q183" s="54"/>
      <c r="R183" s="8" t="s">
        <v>213</v>
      </c>
      <c r="S183" s="14">
        <v>44690.0</v>
      </c>
      <c r="T183" s="16">
        <f>VLOOKUP(R183,'Run Reconcile'!$A$2:$L783,12,FALSE)</f>
        <v>7</v>
      </c>
      <c r="U183" s="16" t="str">
        <f t="shared" si="17"/>
        <v/>
      </c>
      <c r="V183" s="16" t="str">
        <f t="shared" si="18"/>
        <v/>
      </c>
      <c r="W183" s="16"/>
      <c r="X183" s="54"/>
      <c r="Z183" s="14"/>
      <c r="AA183" s="16"/>
      <c r="AB183" s="16"/>
      <c r="AC183" s="16"/>
      <c r="AD183" s="16"/>
      <c r="AE183" s="66"/>
      <c r="AF183" s="54"/>
      <c r="AG183" s="70" t="s">
        <v>213</v>
      </c>
      <c r="AH183" s="68">
        <f>VLOOKUP(AG183,'Run Reconcile'!A$2:B783,2,FALSE)</f>
        <v>44690</v>
      </c>
      <c r="AI183" s="69">
        <f>COUNTIF('APS Tubes IMPORT'!$V$2:$V783, AG183)
</f>
        <v>7</v>
      </c>
      <c r="AJ183" s="69">
        <f>COUNTIFS('APS Tubes IMPORT'!V$2:V783, AG183, 'APS Tubes IMPORT'!H$2:H783, "Negative")
</f>
        <v>5</v>
      </c>
      <c r="AK183" s="69">
        <f>COUNTIFS('APS Tubes IMPORT'!V$2:V783, AG183, 'APS Tubes IMPORT'!H$2:H783, "Positive")
</f>
        <v>2</v>
      </c>
      <c r="AL183" s="69">
        <f>COUNTIFS('APS Tubes IMPORT'!V$2:V783, AG183, 'APS Tubes IMPORT'!H$2:H783, "Inconclusive")
</f>
        <v>0</v>
      </c>
      <c r="AM183" s="69">
        <f>COUNTIFS('APS Tubes IMPORT'!V$2:V783, AG183, 'APS Tubes IMPORT'!H$2:H783, "Null")
</f>
        <v>0</v>
      </c>
      <c r="AN183" s="54"/>
      <c r="AO183" s="14">
        <f>'APS Tubes by Date IMPORT'!B182</f>
        <v>44691</v>
      </c>
      <c r="AP183" s="16">
        <f>'APS Tubes by Date IMPORT'!D182</f>
        <v>1</v>
      </c>
      <c r="AQ183" s="16">
        <f>'APS Tubes by Date IMPORT'!D182</f>
        <v>1</v>
      </c>
      <c r="AR183" s="16">
        <f>'APS Tubes by Date IMPORT'!E182</f>
        <v>0</v>
      </c>
      <c r="AS183" s="16">
        <f>'APS Tubes by Date IMPORT'!F182</f>
        <v>0</v>
      </c>
      <c r="AT183" s="16">
        <f>'APS Tubes by Date IMPORT'!G182</f>
        <v>0</v>
      </c>
      <c r="AU183" s="54"/>
    </row>
    <row r="184">
      <c r="A184" s="8" t="s">
        <v>214</v>
      </c>
      <c r="B184" s="58">
        <f>VLOOKUP(A184,'Run Reconcile'!A$2:B783,2,FALSE)</f>
        <v>44692</v>
      </c>
      <c r="C184" s="59">
        <f>COUNTIF('ALL Tube Results'!B183:B783, A184)
</f>
        <v>7</v>
      </c>
      <c r="D184" s="60">
        <f>COUNTIFS('ALL Tube Results'!$B183:$B783, $A184, 'ALL Tube Results'!$F183:$F783, "Negative")
</f>
        <v>6</v>
      </c>
      <c r="E184" s="60">
        <f>COUNTIFS('ALL Tube Results'!$B183:$B783, $A184, 'ALL Tube Results'!$F183:$F783, "Positive")
</f>
        <v>0</v>
      </c>
      <c r="F184" s="60">
        <f>COUNTIFS('ALL Tube Results'!$B183:$B783, $A184, 'ALL Tube Results'!$F183:$F783, "Inconclusive")
</f>
        <v>1</v>
      </c>
      <c r="G184" s="61">
        <f t="shared" si="7"/>
        <v>7</v>
      </c>
      <c r="H184" s="61" t="str">
        <f t="shared" si="8"/>
        <v/>
      </c>
      <c r="I184" s="62">
        <f t="shared" si="9"/>
        <v>7</v>
      </c>
      <c r="J184" s="63">
        <f t="shared" si="10"/>
        <v>0</v>
      </c>
      <c r="K184" s="63">
        <f t="shared" si="11"/>
        <v>1</v>
      </c>
      <c r="L184" s="63" t="str">
        <f t="shared" si="12"/>
        <v/>
      </c>
      <c r="M184" s="63" t="str">
        <f t="shared" si="13"/>
        <v/>
      </c>
      <c r="N184" s="63" t="str">
        <f t="shared" si="14"/>
        <v/>
      </c>
      <c r="O184" s="64">
        <f t="shared" si="15"/>
        <v>6</v>
      </c>
      <c r="P184" s="64">
        <f t="shared" si="16"/>
        <v>1</v>
      </c>
      <c r="Q184" s="54"/>
      <c r="R184" s="8" t="s">
        <v>214</v>
      </c>
      <c r="S184" s="14">
        <v>44692.0</v>
      </c>
      <c r="T184" s="16">
        <f>VLOOKUP(R184,'Run Reconcile'!$A$2:$L783,12,FALSE)</f>
        <v>7</v>
      </c>
      <c r="U184" s="16" t="str">
        <f t="shared" si="17"/>
        <v/>
      </c>
      <c r="V184" s="16" t="str">
        <f t="shared" si="18"/>
        <v/>
      </c>
      <c r="W184" s="16"/>
      <c r="X184" s="54"/>
      <c r="Z184" s="14"/>
      <c r="AA184" s="16"/>
      <c r="AB184" s="16"/>
      <c r="AC184" s="16"/>
      <c r="AD184" s="16"/>
      <c r="AE184" s="66"/>
      <c r="AF184" s="54"/>
      <c r="AG184" s="70" t="s">
        <v>214</v>
      </c>
      <c r="AH184" s="68">
        <f>VLOOKUP(AG184,'Run Reconcile'!A$2:B783,2,FALSE)</f>
        <v>44692</v>
      </c>
      <c r="AI184" s="69">
        <f>COUNTIF('APS Tubes IMPORT'!$V$2:$V783, AG184)
</f>
        <v>6</v>
      </c>
      <c r="AJ184" s="69">
        <f>COUNTIFS('APS Tubes IMPORT'!V$2:V783, AG184, 'APS Tubes IMPORT'!H$2:H783, "Negative")
</f>
        <v>5</v>
      </c>
      <c r="AK184" s="69">
        <f>COUNTIFS('APS Tubes IMPORT'!V$2:V783, AG184, 'APS Tubes IMPORT'!H$2:H783, "Positive")
</f>
        <v>0</v>
      </c>
      <c r="AL184" s="69">
        <f>COUNTIFS('APS Tubes IMPORT'!V$2:V783, AG184, 'APS Tubes IMPORT'!H$2:H783, "Inconclusive")
</f>
        <v>1</v>
      </c>
      <c r="AM184" s="69">
        <f>COUNTIFS('APS Tubes IMPORT'!V$2:V783, AG184, 'APS Tubes IMPORT'!H$2:H783, "Null")
</f>
        <v>0</v>
      </c>
      <c r="AN184" s="54"/>
      <c r="AO184" s="14">
        <f>'APS Tubes by Date IMPORT'!B183</f>
        <v>44692</v>
      </c>
      <c r="AP184" s="16">
        <f>'APS Tubes by Date IMPORT'!D183</f>
        <v>4</v>
      </c>
      <c r="AQ184" s="16">
        <f>'APS Tubes by Date IMPORT'!D183</f>
        <v>4</v>
      </c>
      <c r="AR184" s="16">
        <f>'APS Tubes by Date IMPORT'!E183</f>
        <v>0</v>
      </c>
      <c r="AS184" s="16">
        <f>'APS Tubes by Date IMPORT'!F183</f>
        <v>1</v>
      </c>
      <c r="AT184" s="16">
        <f>'APS Tubes by Date IMPORT'!G183</f>
        <v>0</v>
      </c>
      <c r="AU184" s="54"/>
    </row>
    <row r="185">
      <c r="A185" s="8" t="s">
        <v>215</v>
      </c>
      <c r="B185" s="58">
        <f>VLOOKUP(A185,'Run Reconcile'!A$2:B783,2,FALSE)</f>
        <v>44693</v>
      </c>
      <c r="C185" s="59">
        <f>COUNTIF('ALL Tube Results'!B184:B783, A185)
</f>
        <v>23</v>
      </c>
      <c r="D185" s="60">
        <f>COUNTIFS('ALL Tube Results'!$B184:$B783, $A185, 'ALL Tube Results'!$F184:$F783, "Negative")
</f>
        <v>23</v>
      </c>
      <c r="E185" s="60">
        <f>COUNTIFS('ALL Tube Results'!$B184:$B783, $A185, 'ALL Tube Results'!$F184:$F783, "Positive")
</f>
        <v>0</v>
      </c>
      <c r="F185" s="60">
        <f>COUNTIFS('ALL Tube Results'!$B184:$B783, $A185, 'ALL Tube Results'!$F184:$F783, "Inconclusive")
</f>
        <v>0</v>
      </c>
      <c r="G185" s="61">
        <f t="shared" si="7"/>
        <v>23</v>
      </c>
      <c r="H185" s="61" t="str">
        <f t="shared" si="8"/>
        <v/>
      </c>
      <c r="I185" s="62">
        <f t="shared" si="9"/>
        <v>23</v>
      </c>
      <c r="J185" s="63">
        <f t="shared" si="10"/>
        <v>0</v>
      </c>
      <c r="K185" s="63">
        <f t="shared" si="11"/>
        <v>0</v>
      </c>
      <c r="L185" s="63" t="str">
        <f t="shared" si="12"/>
        <v/>
      </c>
      <c r="M185" s="63" t="str">
        <f t="shared" si="13"/>
        <v/>
      </c>
      <c r="N185" s="63" t="str">
        <f t="shared" si="14"/>
        <v/>
      </c>
      <c r="O185" s="64">
        <f t="shared" si="15"/>
        <v>21</v>
      </c>
      <c r="P185" s="64">
        <f t="shared" si="16"/>
        <v>2</v>
      </c>
      <c r="Q185" s="54"/>
      <c r="R185" s="8" t="s">
        <v>215</v>
      </c>
      <c r="S185" s="14">
        <v>44693.0</v>
      </c>
      <c r="T185" s="16">
        <f>VLOOKUP(R185,'Run Reconcile'!$A$2:$L783,12,FALSE)</f>
        <v>23</v>
      </c>
      <c r="U185" s="16" t="str">
        <f t="shared" si="17"/>
        <v/>
      </c>
      <c r="V185" s="16" t="str">
        <f t="shared" si="18"/>
        <v/>
      </c>
      <c r="W185" s="16"/>
      <c r="X185" s="54"/>
      <c r="Z185" s="14"/>
      <c r="AA185" s="16"/>
      <c r="AB185" s="16"/>
      <c r="AC185" s="16"/>
      <c r="AD185" s="16"/>
      <c r="AE185" s="66"/>
      <c r="AF185" s="54"/>
      <c r="AG185" s="70" t="s">
        <v>215</v>
      </c>
      <c r="AH185" s="68">
        <f>VLOOKUP(AG185,'Run Reconcile'!A$2:B783,2,FALSE)</f>
        <v>44693</v>
      </c>
      <c r="AI185" s="69">
        <f>COUNTIF('APS Tubes IMPORT'!$V$2:$V783, AG185)
</f>
        <v>21</v>
      </c>
      <c r="AJ185" s="69">
        <f>COUNTIFS('APS Tubes IMPORT'!V$2:V783, AG185, 'APS Tubes IMPORT'!H$2:H783, "Negative")
</f>
        <v>21</v>
      </c>
      <c r="AK185" s="69">
        <f>COUNTIFS('APS Tubes IMPORT'!V$2:V783, AG185, 'APS Tubes IMPORT'!H$2:H783, "Positive")
</f>
        <v>0</v>
      </c>
      <c r="AL185" s="69">
        <f>COUNTIFS('APS Tubes IMPORT'!V$2:V783, AG185, 'APS Tubes IMPORT'!H$2:H783, "Inconclusive")
</f>
        <v>0</v>
      </c>
      <c r="AM185" s="69">
        <f>COUNTIFS('APS Tubes IMPORT'!V$2:V783, AG185, 'APS Tubes IMPORT'!H$2:H783, "Null")
</f>
        <v>0</v>
      </c>
      <c r="AN185" s="54"/>
      <c r="AO185" s="14">
        <f>'APS Tubes by Date IMPORT'!B184</f>
        <v>44693</v>
      </c>
      <c r="AP185" s="16">
        <f>'APS Tubes by Date IMPORT'!D184</f>
        <v>21</v>
      </c>
      <c r="AQ185" s="16">
        <f>'APS Tubes by Date IMPORT'!D184</f>
        <v>21</v>
      </c>
      <c r="AR185" s="16">
        <f>'APS Tubes by Date IMPORT'!E184</f>
        <v>0</v>
      </c>
      <c r="AS185" s="16">
        <f>'APS Tubes by Date IMPORT'!F184</f>
        <v>0</v>
      </c>
      <c r="AT185" s="16">
        <f>'APS Tubes by Date IMPORT'!G184</f>
        <v>0</v>
      </c>
      <c r="AU185" s="54"/>
    </row>
    <row r="186">
      <c r="A186" s="8" t="s">
        <v>216</v>
      </c>
      <c r="B186" s="58">
        <f>VLOOKUP(A186,'Run Reconcile'!A$2:B783,2,FALSE)</f>
        <v>44695</v>
      </c>
      <c r="C186" s="59">
        <f>COUNTIF('ALL Tube Results'!B185:B783, A186)
</f>
        <v>3</v>
      </c>
      <c r="D186" s="60">
        <f>COUNTIFS('ALL Tube Results'!$B185:$B783, $A186, 'ALL Tube Results'!$F185:$F783, "Negative")
</f>
        <v>3</v>
      </c>
      <c r="E186" s="60">
        <f>COUNTIFS('ALL Tube Results'!$B185:$B783, $A186, 'ALL Tube Results'!$F185:$F783, "Positive")
</f>
        <v>0</v>
      </c>
      <c r="F186" s="60">
        <f>COUNTIFS('ALL Tube Results'!$B185:$B783, $A186, 'ALL Tube Results'!$F185:$F783, "Inconclusive")
</f>
        <v>0</v>
      </c>
      <c r="G186" s="61">
        <f t="shared" si="7"/>
        <v>3</v>
      </c>
      <c r="H186" s="61" t="str">
        <f t="shared" si="8"/>
        <v/>
      </c>
      <c r="I186" s="62">
        <f t="shared" si="9"/>
        <v>3</v>
      </c>
      <c r="J186" s="63">
        <f t="shared" si="10"/>
        <v>0</v>
      </c>
      <c r="K186" s="63">
        <f t="shared" si="11"/>
        <v>0</v>
      </c>
      <c r="L186" s="63" t="str">
        <f t="shared" si="12"/>
        <v/>
      </c>
      <c r="M186" s="63" t="str">
        <f t="shared" si="13"/>
        <v/>
      </c>
      <c r="N186" s="63" t="str">
        <f t="shared" si="14"/>
        <v/>
      </c>
      <c r="O186" s="64" t="str">
        <f t="shared" si="15"/>
        <v/>
      </c>
      <c r="P186" s="64">
        <f t="shared" si="16"/>
        <v>3</v>
      </c>
      <c r="Q186" s="54"/>
      <c r="R186" s="8" t="s">
        <v>216</v>
      </c>
      <c r="S186" s="14">
        <v>44695.0</v>
      </c>
      <c r="T186" s="16">
        <f>VLOOKUP(R186,'Run Reconcile'!$A$2:$L783,12,FALSE)</f>
        <v>3</v>
      </c>
      <c r="U186" s="16" t="str">
        <f t="shared" si="17"/>
        <v/>
      </c>
      <c r="V186" s="16" t="str">
        <f t="shared" si="18"/>
        <v/>
      </c>
      <c r="W186" s="16"/>
      <c r="X186" s="54"/>
      <c r="Z186" s="14"/>
      <c r="AA186" s="16"/>
      <c r="AB186" s="16"/>
      <c r="AC186" s="16"/>
      <c r="AD186" s="16"/>
      <c r="AE186" s="66"/>
      <c r="AF186" s="54"/>
      <c r="AG186" s="70" t="s">
        <v>217</v>
      </c>
      <c r="AH186" s="68">
        <f>VLOOKUP(AG186,'Run Reconcile'!A$2:B783,2,FALSE)</f>
        <v>44697</v>
      </c>
      <c r="AI186" s="69">
        <f>COUNTIF('APS Tubes IMPORT'!$V$2:$V783, AG186)
</f>
        <v>19</v>
      </c>
      <c r="AJ186" s="69">
        <f>COUNTIFS('APS Tubes IMPORT'!V$2:V783, AG186, 'APS Tubes IMPORT'!H$2:H783, "Negative")
</f>
        <v>19</v>
      </c>
      <c r="AK186" s="69">
        <f>COUNTIFS('APS Tubes IMPORT'!V$2:V783, AG186, 'APS Tubes IMPORT'!H$2:H783, "Positive")
</f>
        <v>0</v>
      </c>
      <c r="AL186" s="69">
        <f>COUNTIFS('APS Tubes IMPORT'!V$2:V783, AG186, 'APS Tubes IMPORT'!H$2:H783, "Inconclusive")
</f>
        <v>0</v>
      </c>
      <c r="AM186" s="69">
        <f>COUNTIFS('APS Tubes IMPORT'!V$2:V783, AG186, 'APS Tubes IMPORT'!H$2:H783, "Null")
</f>
        <v>0</v>
      </c>
      <c r="AN186" s="54"/>
      <c r="AO186" s="14">
        <f>'APS Tubes by Date IMPORT'!B185</f>
        <v>44696</v>
      </c>
      <c r="AP186" s="16">
        <f>'APS Tubes by Date IMPORT'!D185</f>
        <v>1</v>
      </c>
      <c r="AQ186" s="16">
        <f>'APS Tubes by Date IMPORT'!D185</f>
        <v>1</v>
      </c>
      <c r="AR186" s="16">
        <f>'APS Tubes by Date IMPORT'!E185</f>
        <v>0</v>
      </c>
      <c r="AS186" s="16">
        <f>'APS Tubes by Date IMPORT'!F185</f>
        <v>0</v>
      </c>
      <c r="AT186" s="16">
        <f>'APS Tubes by Date IMPORT'!G185</f>
        <v>0</v>
      </c>
      <c r="AU186" s="54"/>
    </row>
    <row r="187">
      <c r="A187" s="8" t="s">
        <v>217</v>
      </c>
      <c r="B187" s="58">
        <f>VLOOKUP(A187,'Run Reconcile'!A$2:B783,2,FALSE)</f>
        <v>44697</v>
      </c>
      <c r="C187" s="59">
        <f>COUNTIF('ALL Tube Results'!B186:B783, A187)
</f>
        <v>22</v>
      </c>
      <c r="D187" s="60">
        <f>COUNTIFS('ALL Tube Results'!$B186:$B783, $A187, 'ALL Tube Results'!$F186:$F783, "Negative")
</f>
        <v>22</v>
      </c>
      <c r="E187" s="60">
        <f>COUNTIFS('ALL Tube Results'!$B186:$B783, $A187, 'ALL Tube Results'!$F186:$F783, "Positive")
</f>
        <v>0</v>
      </c>
      <c r="F187" s="60">
        <f>COUNTIFS('ALL Tube Results'!$B186:$B783, $A187, 'ALL Tube Results'!$F186:$F783, "Inconclusive")
</f>
        <v>0</v>
      </c>
      <c r="G187" s="61">
        <f t="shared" si="7"/>
        <v>22</v>
      </c>
      <c r="H187" s="61" t="str">
        <f t="shared" si="8"/>
        <v/>
      </c>
      <c r="I187" s="62">
        <f t="shared" si="9"/>
        <v>22</v>
      </c>
      <c r="J187" s="63">
        <f t="shared" si="10"/>
        <v>0</v>
      </c>
      <c r="K187" s="63">
        <f t="shared" si="11"/>
        <v>0</v>
      </c>
      <c r="L187" s="63" t="str">
        <f t="shared" si="12"/>
        <v/>
      </c>
      <c r="M187" s="63" t="str">
        <f t="shared" si="13"/>
        <v/>
      </c>
      <c r="N187" s="63" t="str">
        <f t="shared" si="14"/>
        <v/>
      </c>
      <c r="O187" s="64">
        <f t="shared" si="15"/>
        <v>19</v>
      </c>
      <c r="P187" s="64">
        <f t="shared" si="16"/>
        <v>3</v>
      </c>
      <c r="Q187" s="54"/>
      <c r="R187" s="8" t="s">
        <v>217</v>
      </c>
      <c r="S187" s="14">
        <v>44697.0</v>
      </c>
      <c r="T187" s="16">
        <f>VLOOKUP(R187,'Run Reconcile'!$A$2:$L783,12,FALSE)</f>
        <v>22</v>
      </c>
      <c r="U187" s="16" t="str">
        <f t="shared" si="17"/>
        <v/>
      </c>
      <c r="V187" s="16" t="str">
        <f t="shared" si="18"/>
        <v/>
      </c>
      <c r="W187" s="16"/>
      <c r="X187" s="54"/>
      <c r="Z187" s="14"/>
      <c r="AA187" s="16"/>
      <c r="AB187" s="16"/>
      <c r="AC187" s="16"/>
      <c r="AD187" s="16"/>
      <c r="AE187" s="66"/>
      <c r="AF187" s="54"/>
      <c r="AG187" s="70" t="s">
        <v>218</v>
      </c>
      <c r="AH187" s="68">
        <f>VLOOKUP(AG187,'Run Reconcile'!A$2:B783,2,FALSE)</f>
        <v>44698</v>
      </c>
      <c r="AI187" s="69">
        <f>COUNTIF('APS Tubes IMPORT'!$V$2:$V783, AG187)
</f>
        <v>1</v>
      </c>
      <c r="AJ187" s="69">
        <f>COUNTIFS('APS Tubes IMPORT'!V$2:V783, AG187, 'APS Tubes IMPORT'!H$2:H783, "Negative")
</f>
        <v>1</v>
      </c>
      <c r="AK187" s="69">
        <f>COUNTIFS('APS Tubes IMPORT'!V$2:V783, AG187, 'APS Tubes IMPORT'!H$2:H783, "Positive")
</f>
        <v>0</v>
      </c>
      <c r="AL187" s="69">
        <f>COUNTIFS('APS Tubes IMPORT'!V$2:V783, AG187, 'APS Tubes IMPORT'!H$2:H783, "Inconclusive")
</f>
        <v>0</v>
      </c>
      <c r="AM187" s="69">
        <f>COUNTIFS('APS Tubes IMPORT'!V$2:V783, AG187, 'APS Tubes IMPORT'!H$2:H783, "Null")
</f>
        <v>0</v>
      </c>
      <c r="AN187" s="54"/>
      <c r="AO187" s="14">
        <f>'APS Tubes by Date IMPORT'!B186</f>
        <v>44697</v>
      </c>
      <c r="AP187" s="16">
        <f>'APS Tubes by Date IMPORT'!D186</f>
        <v>18</v>
      </c>
      <c r="AQ187" s="16">
        <f>'APS Tubes by Date IMPORT'!D186</f>
        <v>18</v>
      </c>
      <c r="AR187" s="16">
        <f>'APS Tubes by Date IMPORT'!E186</f>
        <v>0</v>
      </c>
      <c r="AS187" s="16">
        <f>'APS Tubes by Date IMPORT'!F186</f>
        <v>0</v>
      </c>
      <c r="AT187" s="16">
        <f>'APS Tubes by Date IMPORT'!G186</f>
        <v>0</v>
      </c>
      <c r="AU187" s="54"/>
    </row>
    <row r="188">
      <c r="A188" s="8" t="s">
        <v>218</v>
      </c>
      <c r="B188" s="58">
        <f>VLOOKUP(A188,'Run Reconcile'!A$2:B783,2,FALSE)</f>
        <v>44698</v>
      </c>
      <c r="C188" s="59">
        <f>COUNTIF('ALL Tube Results'!B187:B783, A188)
</f>
        <v>1</v>
      </c>
      <c r="D188" s="60">
        <f>COUNTIFS('ALL Tube Results'!$B187:$B783, $A188, 'ALL Tube Results'!$F187:$F783, "Negative")
</f>
        <v>1</v>
      </c>
      <c r="E188" s="60">
        <f>COUNTIFS('ALL Tube Results'!$B187:$B783, $A188, 'ALL Tube Results'!$F187:$F783, "Positive")
</f>
        <v>0</v>
      </c>
      <c r="F188" s="60">
        <f>COUNTIFS('ALL Tube Results'!$B187:$B783, $A188, 'ALL Tube Results'!$F187:$F783, "Inconclusive")
</f>
        <v>0</v>
      </c>
      <c r="G188" s="61">
        <f t="shared" si="7"/>
        <v>1</v>
      </c>
      <c r="H188" s="61" t="str">
        <f t="shared" si="8"/>
        <v/>
      </c>
      <c r="I188" s="62">
        <f t="shared" si="9"/>
        <v>1</v>
      </c>
      <c r="J188" s="63">
        <f t="shared" si="10"/>
        <v>0</v>
      </c>
      <c r="K188" s="63">
        <f t="shared" si="11"/>
        <v>0</v>
      </c>
      <c r="L188" s="63" t="str">
        <f t="shared" si="12"/>
        <v/>
      </c>
      <c r="M188" s="63" t="str">
        <f t="shared" si="13"/>
        <v/>
      </c>
      <c r="N188" s="63" t="str">
        <f t="shared" si="14"/>
        <v/>
      </c>
      <c r="O188" s="64">
        <f t="shared" si="15"/>
        <v>1</v>
      </c>
      <c r="P188" s="64" t="str">
        <f t="shared" si="16"/>
        <v/>
      </c>
      <c r="Q188" s="54"/>
      <c r="R188" s="8" t="s">
        <v>218</v>
      </c>
      <c r="S188" s="14">
        <v>44698.0</v>
      </c>
      <c r="T188" s="16">
        <f>VLOOKUP(R188,'Run Reconcile'!$A$2:$L783,12,FALSE)</f>
        <v>1</v>
      </c>
      <c r="U188" s="16" t="str">
        <f t="shared" si="17"/>
        <v/>
      </c>
      <c r="V188" s="16" t="str">
        <f t="shared" si="18"/>
        <v/>
      </c>
      <c r="W188" s="16"/>
      <c r="X188" s="54"/>
      <c r="Z188" s="14"/>
      <c r="AA188" s="16"/>
      <c r="AB188" s="16"/>
      <c r="AC188" s="16"/>
      <c r="AD188" s="16"/>
      <c r="AE188" s="66"/>
      <c r="AF188" s="54"/>
      <c r="AG188" s="70" t="s">
        <v>219</v>
      </c>
      <c r="AH188" s="68">
        <f>VLOOKUP(AG188,'Run Reconcile'!A$2:B783,2,FALSE)</f>
        <v>44698</v>
      </c>
      <c r="AI188" s="69">
        <f>COUNTIF('APS Tubes IMPORT'!$V$2:$V783, AG188)
</f>
        <v>2</v>
      </c>
      <c r="AJ188" s="69">
        <f>COUNTIFS('APS Tubes IMPORT'!V$2:V783, AG188, 'APS Tubes IMPORT'!H$2:H783, "Negative")
</f>
        <v>2</v>
      </c>
      <c r="AK188" s="69">
        <f>COUNTIFS('APS Tubes IMPORT'!V$2:V783, AG188, 'APS Tubes IMPORT'!H$2:H783, "Positive")
</f>
        <v>0</v>
      </c>
      <c r="AL188" s="69">
        <f>COUNTIFS('APS Tubes IMPORT'!V$2:V783, AG188, 'APS Tubes IMPORT'!H$2:H783, "Inconclusive")
</f>
        <v>0</v>
      </c>
      <c r="AM188" s="69">
        <f>COUNTIFS('APS Tubes IMPORT'!V$2:V783, AG188, 'APS Tubes IMPORT'!H$2:H783, "Null")
</f>
        <v>0</v>
      </c>
      <c r="AN188" s="54"/>
      <c r="AO188" s="14">
        <f>'APS Tubes by Date IMPORT'!B187</f>
        <v>44698</v>
      </c>
      <c r="AP188" s="16">
        <f>'APS Tubes by Date IMPORT'!D187</f>
        <v>3</v>
      </c>
      <c r="AQ188" s="16">
        <f>'APS Tubes by Date IMPORT'!D187</f>
        <v>3</v>
      </c>
      <c r="AR188" s="16">
        <f>'APS Tubes by Date IMPORT'!E187</f>
        <v>0</v>
      </c>
      <c r="AS188" s="16">
        <f>'APS Tubes by Date IMPORT'!F187</f>
        <v>0</v>
      </c>
      <c r="AT188" s="16">
        <f>'APS Tubes by Date IMPORT'!G187</f>
        <v>0</v>
      </c>
      <c r="AU188" s="54"/>
    </row>
    <row r="189">
      <c r="A189" s="8" t="s">
        <v>219</v>
      </c>
      <c r="B189" s="58">
        <f>VLOOKUP(A189,'Run Reconcile'!A$2:B783,2,FALSE)</f>
        <v>44698</v>
      </c>
      <c r="C189" s="59">
        <f>COUNTIF('ALL Tube Results'!B188:B783, A189)
</f>
        <v>2</v>
      </c>
      <c r="D189" s="60">
        <f>COUNTIFS('ALL Tube Results'!$B188:$B783, $A189, 'ALL Tube Results'!$F188:$F783, "Negative")
</f>
        <v>2</v>
      </c>
      <c r="E189" s="60">
        <f>COUNTIFS('ALL Tube Results'!$B188:$B783, $A189, 'ALL Tube Results'!$F188:$F783, "Positive")
</f>
        <v>0</v>
      </c>
      <c r="F189" s="60">
        <f>COUNTIFS('ALL Tube Results'!$B188:$B783, $A189, 'ALL Tube Results'!$F188:$F783, "Inconclusive")
</f>
        <v>0</v>
      </c>
      <c r="G189" s="61">
        <f t="shared" si="7"/>
        <v>2</v>
      </c>
      <c r="H189" s="61" t="str">
        <f t="shared" si="8"/>
        <v/>
      </c>
      <c r="I189" s="62">
        <f t="shared" si="9"/>
        <v>2</v>
      </c>
      <c r="J189" s="63">
        <f t="shared" si="10"/>
        <v>0</v>
      </c>
      <c r="K189" s="63">
        <f t="shared" si="11"/>
        <v>0</v>
      </c>
      <c r="L189" s="63" t="str">
        <f t="shared" si="12"/>
        <v/>
      </c>
      <c r="M189" s="63" t="str">
        <f t="shared" si="13"/>
        <v/>
      </c>
      <c r="N189" s="63" t="str">
        <f t="shared" si="14"/>
        <v/>
      </c>
      <c r="O189" s="64">
        <f t="shared" si="15"/>
        <v>2</v>
      </c>
      <c r="P189" s="64" t="str">
        <f t="shared" si="16"/>
        <v/>
      </c>
      <c r="Q189" s="54"/>
      <c r="R189" s="8" t="s">
        <v>219</v>
      </c>
      <c r="S189" s="14">
        <v>44698.0</v>
      </c>
      <c r="T189" s="16">
        <f>VLOOKUP(R189,'Run Reconcile'!$A$2:$L783,12,FALSE)</f>
        <v>2</v>
      </c>
      <c r="U189" s="16" t="str">
        <f t="shared" si="17"/>
        <v/>
      </c>
      <c r="V189" s="16" t="str">
        <f t="shared" si="18"/>
        <v/>
      </c>
      <c r="W189" s="16"/>
      <c r="X189" s="54"/>
      <c r="Z189" s="14"/>
      <c r="AA189" s="16"/>
      <c r="AB189" s="16"/>
      <c r="AC189" s="16"/>
      <c r="AD189" s="16"/>
      <c r="AE189" s="66"/>
      <c r="AF189" s="54"/>
      <c r="AG189" s="70" t="s">
        <v>220</v>
      </c>
      <c r="AH189" s="68">
        <f>VLOOKUP(AG189,'Run Reconcile'!A$2:B783,2,FALSE)</f>
        <v>44700</v>
      </c>
      <c r="AI189" s="69">
        <f>COUNTIF('APS Tubes IMPORT'!$V$2:$V783, AG189)
</f>
        <v>2</v>
      </c>
      <c r="AJ189" s="69">
        <f>COUNTIFS('APS Tubes IMPORT'!V$2:V783, AG189, 'APS Tubes IMPORT'!H$2:H783, "Negative")
</f>
        <v>2</v>
      </c>
      <c r="AK189" s="69">
        <f>COUNTIFS('APS Tubes IMPORT'!V$2:V783, AG189, 'APS Tubes IMPORT'!H$2:H783, "Positive")
</f>
        <v>0</v>
      </c>
      <c r="AL189" s="69">
        <f>COUNTIFS('APS Tubes IMPORT'!V$2:V783, AG189, 'APS Tubes IMPORT'!H$2:H783, "Inconclusive")
</f>
        <v>0</v>
      </c>
      <c r="AM189" s="69">
        <f>COUNTIFS('APS Tubes IMPORT'!V$2:V783, AG189, 'APS Tubes IMPORT'!H$2:H783, "Null")
</f>
        <v>0</v>
      </c>
      <c r="AN189" s="54"/>
      <c r="AO189" s="14">
        <f>'APS Tubes by Date IMPORT'!B188</f>
        <v>44700</v>
      </c>
      <c r="AP189" s="16">
        <f>'APS Tubes by Date IMPORT'!D188</f>
        <v>24</v>
      </c>
      <c r="AQ189" s="16">
        <f>'APS Tubes by Date IMPORT'!D188</f>
        <v>24</v>
      </c>
      <c r="AR189" s="16">
        <f>'APS Tubes by Date IMPORT'!E188</f>
        <v>1</v>
      </c>
      <c r="AS189" s="16">
        <f>'APS Tubes by Date IMPORT'!F188</f>
        <v>0</v>
      </c>
      <c r="AT189" s="16">
        <f>'APS Tubes by Date IMPORT'!G188</f>
        <v>0</v>
      </c>
      <c r="AU189" s="54"/>
    </row>
    <row r="190">
      <c r="A190" s="8" t="s">
        <v>221</v>
      </c>
      <c r="B190" s="58">
        <f>VLOOKUP(A190,'Run Reconcile'!A$2:B783,2,FALSE)</f>
        <v>44699</v>
      </c>
      <c r="C190" s="59">
        <f>COUNTIF('ALL Tube Results'!B189:B783, A190)
</f>
        <v>1</v>
      </c>
      <c r="D190" s="60">
        <f>COUNTIFS('ALL Tube Results'!$B189:$B783, $A190, 'ALL Tube Results'!$F189:$F783, "Negative")
</f>
        <v>1</v>
      </c>
      <c r="E190" s="60">
        <f>COUNTIFS('ALL Tube Results'!$B189:$B783, $A190, 'ALL Tube Results'!$F189:$F783, "Positive")
</f>
        <v>0</v>
      </c>
      <c r="F190" s="60">
        <f>COUNTIFS('ALL Tube Results'!$B189:$B783, $A190, 'ALL Tube Results'!$F189:$F783, "Inconclusive")
</f>
        <v>0</v>
      </c>
      <c r="G190" s="61">
        <f t="shared" si="7"/>
        <v>1</v>
      </c>
      <c r="H190" s="61" t="str">
        <f t="shared" si="8"/>
        <v/>
      </c>
      <c r="I190" s="62">
        <f t="shared" si="9"/>
        <v>1</v>
      </c>
      <c r="J190" s="63">
        <f t="shared" si="10"/>
        <v>0</v>
      </c>
      <c r="K190" s="63">
        <f t="shared" si="11"/>
        <v>0</v>
      </c>
      <c r="L190" s="63" t="str">
        <f t="shared" si="12"/>
        <v/>
      </c>
      <c r="M190" s="63" t="str">
        <f t="shared" si="13"/>
        <v/>
      </c>
      <c r="N190" s="63" t="str">
        <f t="shared" si="14"/>
        <v/>
      </c>
      <c r="O190" s="64" t="str">
        <f t="shared" si="15"/>
        <v/>
      </c>
      <c r="P190" s="64">
        <f t="shared" si="16"/>
        <v>1</v>
      </c>
      <c r="Q190" s="54"/>
      <c r="R190" s="8" t="s">
        <v>221</v>
      </c>
      <c r="S190" s="14">
        <v>44699.0</v>
      </c>
      <c r="T190" s="16">
        <f>VLOOKUP(R190,'Run Reconcile'!$A$2:$L783,12,FALSE)</f>
        <v>1</v>
      </c>
      <c r="U190" s="16" t="str">
        <f t="shared" si="17"/>
        <v/>
      </c>
      <c r="V190" s="16" t="str">
        <f t="shared" si="18"/>
        <v/>
      </c>
      <c r="W190" s="16"/>
      <c r="X190" s="54"/>
      <c r="Z190" s="14"/>
      <c r="AA190" s="16"/>
      <c r="AB190" s="16"/>
      <c r="AC190" s="16"/>
      <c r="AD190" s="16"/>
      <c r="AE190" s="66"/>
      <c r="AF190" s="54"/>
      <c r="AG190" s="70" t="s">
        <v>222</v>
      </c>
      <c r="AH190" s="68">
        <f>VLOOKUP(AG190,'Run Reconcile'!A$2:B783,2,FALSE)</f>
        <v>44700</v>
      </c>
      <c r="AI190" s="69">
        <f>COUNTIF('APS Tubes IMPORT'!$V$2:$V783, AG190)
</f>
        <v>23</v>
      </c>
      <c r="AJ190" s="69">
        <f>COUNTIFS('APS Tubes IMPORT'!V$2:V783, AG190, 'APS Tubes IMPORT'!H$2:H783, "Negative")
</f>
        <v>22</v>
      </c>
      <c r="AK190" s="69">
        <f>COUNTIFS('APS Tubes IMPORT'!V$2:V783, AG190, 'APS Tubes IMPORT'!H$2:H783, "Positive")
</f>
        <v>1</v>
      </c>
      <c r="AL190" s="69">
        <f>COUNTIFS('APS Tubes IMPORT'!V$2:V783, AG190, 'APS Tubes IMPORT'!H$2:H783, "Inconclusive")
</f>
        <v>0</v>
      </c>
      <c r="AM190" s="69">
        <f>COUNTIFS('APS Tubes IMPORT'!V$2:V783, AG190, 'APS Tubes IMPORT'!H$2:H783, "Null")
</f>
        <v>0</v>
      </c>
      <c r="AN190" s="54"/>
      <c r="AO190" s="14">
        <f>'APS Tubes by Date IMPORT'!B189</f>
        <v>44703</v>
      </c>
      <c r="AP190" s="16">
        <f>'APS Tubes by Date IMPORT'!D189</f>
        <v>3</v>
      </c>
      <c r="AQ190" s="16">
        <f>'APS Tubes by Date IMPORT'!D189</f>
        <v>3</v>
      </c>
      <c r="AR190" s="16">
        <f>'APS Tubes by Date IMPORT'!E189</f>
        <v>1</v>
      </c>
      <c r="AS190" s="16">
        <f>'APS Tubes by Date IMPORT'!F189</f>
        <v>0</v>
      </c>
      <c r="AT190" s="16">
        <f>'APS Tubes by Date IMPORT'!G189</f>
        <v>0</v>
      </c>
      <c r="AU190" s="54"/>
    </row>
    <row r="191">
      <c r="A191" s="8" t="s">
        <v>220</v>
      </c>
      <c r="B191" s="58">
        <f>VLOOKUP(A191,'Run Reconcile'!A$2:B783,2,FALSE)</f>
        <v>44700</v>
      </c>
      <c r="C191" s="59">
        <f>COUNTIF('ALL Tube Results'!B190:B783, A191)
</f>
        <v>2</v>
      </c>
      <c r="D191" s="60">
        <f>COUNTIFS('ALL Tube Results'!$B190:$B783, $A191, 'ALL Tube Results'!$F190:$F783, "Negative")
</f>
        <v>2</v>
      </c>
      <c r="E191" s="60">
        <f>COUNTIFS('ALL Tube Results'!$B190:$B783, $A191, 'ALL Tube Results'!$F190:$F783, "Positive")
</f>
        <v>0</v>
      </c>
      <c r="F191" s="60">
        <f>COUNTIFS('ALL Tube Results'!$B190:$B783, $A191, 'ALL Tube Results'!$F190:$F783, "Inconclusive")
</f>
        <v>0</v>
      </c>
      <c r="G191" s="61">
        <f t="shared" si="7"/>
        <v>2</v>
      </c>
      <c r="H191" s="61" t="str">
        <f t="shared" si="8"/>
        <v/>
      </c>
      <c r="I191" s="62" t="str">
        <f t="shared" si="9"/>
        <v/>
      </c>
      <c r="J191" s="63" t="str">
        <f t="shared" si="10"/>
        <v/>
      </c>
      <c r="K191" s="63" t="str">
        <f t="shared" si="11"/>
        <v/>
      </c>
      <c r="L191" s="63">
        <f t="shared" si="12"/>
        <v>2</v>
      </c>
      <c r="M191" s="63" t="str">
        <f t="shared" si="13"/>
        <v/>
      </c>
      <c r="N191" s="63" t="str">
        <f t="shared" si="14"/>
        <v/>
      </c>
      <c r="O191" s="64">
        <f t="shared" si="15"/>
        <v>2</v>
      </c>
      <c r="P191" s="64" t="str">
        <f t="shared" si="16"/>
        <v/>
      </c>
      <c r="Q191" s="54"/>
      <c r="R191" s="8" t="s">
        <v>220</v>
      </c>
      <c r="S191" s="14">
        <v>44700.0</v>
      </c>
      <c r="T191" s="16">
        <f>VLOOKUP(R191,'Run Reconcile'!$A$2:$L783,12,FALSE)</f>
        <v>2</v>
      </c>
      <c r="U191" s="16" t="str">
        <f t="shared" si="17"/>
        <v/>
      </c>
      <c r="V191" s="16" t="str">
        <f t="shared" si="18"/>
        <v/>
      </c>
      <c r="W191" s="16"/>
      <c r="X191" s="54"/>
      <c r="Z191" s="14"/>
      <c r="AA191" s="16"/>
      <c r="AB191" s="16"/>
      <c r="AC191" s="16"/>
      <c r="AD191" s="16"/>
      <c r="AE191" s="66"/>
      <c r="AF191" s="54"/>
      <c r="AG191" s="70" t="s">
        <v>223</v>
      </c>
      <c r="AH191" s="68">
        <f>VLOOKUP(AG191,'Run Reconcile'!A$2:B783,2,FALSE)</f>
        <v>44704</v>
      </c>
      <c r="AI191" s="69">
        <f>COUNTIF('APS Tubes IMPORT'!$V$2:$V783, AG191)
</f>
        <v>20</v>
      </c>
      <c r="AJ191" s="69">
        <f>COUNTIFS('APS Tubes IMPORT'!V$2:V783, AG191, 'APS Tubes IMPORT'!H$2:H783, "Negative")
</f>
        <v>19</v>
      </c>
      <c r="AK191" s="69">
        <f>COUNTIFS('APS Tubes IMPORT'!V$2:V783, AG191, 'APS Tubes IMPORT'!H$2:H783, "Positive")
</f>
        <v>1</v>
      </c>
      <c r="AL191" s="69">
        <f>COUNTIFS('APS Tubes IMPORT'!V$2:V783, AG191, 'APS Tubes IMPORT'!H$2:H783, "Inconclusive")
</f>
        <v>0</v>
      </c>
      <c r="AM191" s="69">
        <f>COUNTIFS('APS Tubes IMPORT'!V$2:V783, AG191, 'APS Tubes IMPORT'!H$2:H783, "Null")
</f>
        <v>0</v>
      </c>
      <c r="AN191" s="54"/>
      <c r="AO191" s="14">
        <f>'APS Tubes by Date IMPORT'!B190</f>
        <v>44704</v>
      </c>
      <c r="AP191" s="16">
        <f>'APS Tubes by Date IMPORT'!D190</f>
        <v>16</v>
      </c>
      <c r="AQ191" s="16">
        <f>'APS Tubes by Date IMPORT'!D190</f>
        <v>16</v>
      </c>
      <c r="AR191" s="16">
        <f>'APS Tubes by Date IMPORT'!E190</f>
        <v>0</v>
      </c>
      <c r="AS191" s="16">
        <f>'APS Tubes by Date IMPORT'!F190</f>
        <v>0</v>
      </c>
      <c r="AT191" s="16">
        <f>'APS Tubes by Date IMPORT'!G190</f>
        <v>0</v>
      </c>
      <c r="AU191" s="54"/>
    </row>
    <row r="192">
      <c r="A192" s="8" t="s">
        <v>222</v>
      </c>
      <c r="B192" s="58">
        <f>VLOOKUP(A192,'Run Reconcile'!A$2:B783,2,FALSE)</f>
        <v>44700</v>
      </c>
      <c r="C192" s="59">
        <f>COUNTIF('ALL Tube Results'!B191:B783, A192)
</f>
        <v>23</v>
      </c>
      <c r="D192" s="60">
        <f>COUNTIFS('ALL Tube Results'!$B191:$B783, $A192, 'ALL Tube Results'!$F191:$F783, "Negative")
</f>
        <v>22</v>
      </c>
      <c r="E192" s="60">
        <f>COUNTIFS('ALL Tube Results'!$B191:$B783, $A192, 'ALL Tube Results'!$F191:$F783, "Positive")
</f>
        <v>1</v>
      </c>
      <c r="F192" s="60">
        <f>COUNTIFS('ALL Tube Results'!$B191:$B783, $A192, 'ALL Tube Results'!$F191:$F783, "Inconclusive")
</f>
        <v>0</v>
      </c>
      <c r="G192" s="61">
        <f t="shared" si="7"/>
        <v>23</v>
      </c>
      <c r="H192" s="61" t="str">
        <f t="shared" si="8"/>
        <v/>
      </c>
      <c r="I192" s="62">
        <f t="shared" si="9"/>
        <v>23</v>
      </c>
      <c r="J192" s="63">
        <f t="shared" si="10"/>
        <v>1</v>
      </c>
      <c r="K192" s="63">
        <f t="shared" si="11"/>
        <v>0</v>
      </c>
      <c r="L192" s="63" t="str">
        <f t="shared" si="12"/>
        <v/>
      </c>
      <c r="M192" s="63" t="str">
        <f t="shared" si="13"/>
        <v/>
      </c>
      <c r="N192" s="63" t="str">
        <f t="shared" si="14"/>
        <v/>
      </c>
      <c r="O192" s="64">
        <f t="shared" si="15"/>
        <v>23</v>
      </c>
      <c r="P192" s="64" t="str">
        <f t="shared" si="16"/>
        <v/>
      </c>
      <c r="Q192" s="54"/>
      <c r="R192" s="8" t="s">
        <v>222</v>
      </c>
      <c r="S192" s="14">
        <v>44700.0</v>
      </c>
      <c r="T192" s="16">
        <f>VLOOKUP(R192,'Run Reconcile'!$A$2:$L783,12,FALSE)</f>
        <v>23</v>
      </c>
      <c r="U192" s="16" t="str">
        <f t="shared" si="17"/>
        <v/>
      </c>
      <c r="V192" s="16" t="str">
        <f t="shared" si="18"/>
        <v/>
      </c>
      <c r="W192" s="16"/>
      <c r="X192" s="54"/>
      <c r="Z192" s="14"/>
      <c r="AA192" s="16"/>
      <c r="AB192" s="16"/>
      <c r="AC192" s="16"/>
      <c r="AD192" s="16"/>
      <c r="AE192" s="66"/>
      <c r="AF192" s="54"/>
      <c r="AG192" s="70" t="s">
        <v>224</v>
      </c>
      <c r="AH192" s="68">
        <f>VLOOKUP(AG192,'Run Reconcile'!A$2:B783,2,FALSE)</f>
        <v>44707</v>
      </c>
      <c r="AI192" s="69">
        <f>COUNTIF('APS Tubes IMPORT'!$V$2:$V783, AG192)
</f>
        <v>21</v>
      </c>
      <c r="AJ192" s="69">
        <f>COUNTIFS('APS Tubes IMPORT'!V$2:V783, AG192, 'APS Tubes IMPORT'!H$2:H783, "Negative")
</f>
        <v>21</v>
      </c>
      <c r="AK192" s="69">
        <f>COUNTIFS('APS Tubes IMPORT'!V$2:V783, AG192, 'APS Tubes IMPORT'!H$2:H783, "Positive")
</f>
        <v>0</v>
      </c>
      <c r="AL192" s="69">
        <f>COUNTIFS('APS Tubes IMPORT'!V$2:V783, AG192, 'APS Tubes IMPORT'!H$2:H783, "Inconclusive")
</f>
        <v>0</v>
      </c>
      <c r="AM192" s="69">
        <f>COUNTIFS('APS Tubes IMPORT'!V$2:V783, AG192, 'APS Tubes IMPORT'!H$2:H783, "Null")
</f>
        <v>0</v>
      </c>
      <c r="AN192" s="54"/>
      <c r="AO192" s="14">
        <f>'APS Tubes by Date IMPORT'!B191</f>
        <v>44706</v>
      </c>
      <c r="AP192" s="16">
        <f>'APS Tubes by Date IMPORT'!D191</f>
        <v>1</v>
      </c>
      <c r="AQ192" s="16">
        <f>'APS Tubes by Date IMPORT'!D191</f>
        <v>1</v>
      </c>
      <c r="AR192" s="16">
        <f>'APS Tubes by Date IMPORT'!E191</f>
        <v>0</v>
      </c>
      <c r="AS192" s="16">
        <f>'APS Tubes by Date IMPORT'!F191</f>
        <v>0</v>
      </c>
      <c r="AT192" s="16">
        <f>'APS Tubes by Date IMPORT'!G191</f>
        <v>0</v>
      </c>
      <c r="AU192" s="54"/>
    </row>
    <row r="193">
      <c r="A193" s="8" t="s">
        <v>223</v>
      </c>
      <c r="B193" s="58">
        <f>VLOOKUP(A193,'Run Reconcile'!A$2:B783,2,FALSE)</f>
        <v>44704</v>
      </c>
      <c r="C193" s="59">
        <f>COUNTIF('ALL Tube Results'!B192:B783, A193)
</f>
        <v>23</v>
      </c>
      <c r="D193" s="60">
        <f>COUNTIFS('ALL Tube Results'!$B192:$B783, $A193, 'ALL Tube Results'!$F192:$F783, "Negative")
</f>
        <v>22</v>
      </c>
      <c r="E193" s="60">
        <f>COUNTIFS('ALL Tube Results'!$B192:$B783, $A193, 'ALL Tube Results'!$F192:$F783, "Positive")
</f>
        <v>1</v>
      </c>
      <c r="F193" s="60">
        <f>COUNTIFS('ALL Tube Results'!$B192:$B783, $A193, 'ALL Tube Results'!$F192:$F783, "Inconclusive")
</f>
        <v>0</v>
      </c>
      <c r="G193" s="61">
        <f t="shared" si="7"/>
        <v>23</v>
      </c>
      <c r="H193" s="61" t="str">
        <f t="shared" si="8"/>
        <v/>
      </c>
      <c r="I193" s="62">
        <f t="shared" si="9"/>
        <v>23</v>
      </c>
      <c r="J193" s="63">
        <f t="shared" si="10"/>
        <v>1</v>
      </c>
      <c r="K193" s="63">
        <f t="shared" si="11"/>
        <v>0</v>
      </c>
      <c r="L193" s="63" t="str">
        <f t="shared" si="12"/>
        <v/>
      </c>
      <c r="M193" s="63" t="str">
        <f t="shared" si="13"/>
        <v/>
      </c>
      <c r="N193" s="63" t="str">
        <f t="shared" si="14"/>
        <v/>
      </c>
      <c r="O193" s="64">
        <f t="shared" si="15"/>
        <v>20</v>
      </c>
      <c r="P193" s="64">
        <f t="shared" si="16"/>
        <v>3</v>
      </c>
      <c r="Q193" s="54"/>
      <c r="R193" s="8" t="s">
        <v>223</v>
      </c>
      <c r="S193" s="14">
        <v>44704.0</v>
      </c>
      <c r="T193" s="16">
        <f>VLOOKUP(R193,'Run Reconcile'!$A$2:$L783,12,FALSE)</f>
        <v>23</v>
      </c>
      <c r="U193" s="16" t="str">
        <f t="shared" si="17"/>
        <v/>
      </c>
      <c r="V193" s="16" t="str">
        <f t="shared" si="18"/>
        <v/>
      </c>
      <c r="W193" s="16"/>
      <c r="X193" s="54"/>
      <c r="Z193" s="14"/>
      <c r="AA193" s="16"/>
      <c r="AB193" s="16"/>
      <c r="AC193" s="16"/>
      <c r="AD193" s="16"/>
      <c r="AE193" s="66"/>
      <c r="AF193" s="54"/>
      <c r="AG193" s="70" t="s">
        <v>225</v>
      </c>
      <c r="AH193" s="68">
        <f>VLOOKUP(AG193,'Run Reconcile'!A$2:B783,2,FALSE)</f>
        <v>44712</v>
      </c>
      <c r="AI193" s="69">
        <f>COUNTIF('APS Tubes IMPORT'!$V$2:$V783, AG193)
</f>
        <v>21</v>
      </c>
      <c r="AJ193" s="69">
        <f>COUNTIFS('APS Tubes IMPORT'!V$2:V783, AG193, 'APS Tubes IMPORT'!H$2:H783, "Negative")
</f>
        <v>21</v>
      </c>
      <c r="AK193" s="69">
        <f>COUNTIFS('APS Tubes IMPORT'!V$2:V783, AG193, 'APS Tubes IMPORT'!H$2:H783, "Positive")
</f>
        <v>0</v>
      </c>
      <c r="AL193" s="69">
        <f>COUNTIFS('APS Tubes IMPORT'!V$2:V783, AG193, 'APS Tubes IMPORT'!H$2:H783, "Inconclusive")
</f>
        <v>0</v>
      </c>
      <c r="AM193" s="69">
        <f>COUNTIFS('APS Tubes IMPORT'!V$2:V783, AG193, 'APS Tubes IMPORT'!H$2:H783, "Null")
</f>
        <v>0</v>
      </c>
      <c r="AN193" s="54"/>
      <c r="AO193" s="14">
        <f>'APS Tubes by Date IMPORT'!B192</f>
        <v>44707</v>
      </c>
      <c r="AP193" s="16">
        <f>'APS Tubes by Date IMPORT'!D192</f>
        <v>20</v>
      </c>
      <c r="AQ193" s="16">
        <f>'APS Tubes by Date IMPORT'!D192</f>
        <v>20</v>
      </c>
      <c r="AR193" s="16">
        <f>'APS Tubes by Date IMPORT'!E192</f>
        <v>0</v>
      </c>
      <c r="AS193" s="16">
        <f>'APS Tubes by Date IMPORT'!F192</f>
        <v>0</v>
      </c>
      <c r="AT193" s="16">
        <f>'APS Tubes by Date IMPORT'!G192</f>
        <v>0</v>
      </c>
      <c r="AU193" s="54"/>
    </row>
    <row r="194">
      <c r="A194" s="8" t="s">
        <v>224</v>
      </c>
      <c r="B194" s="58">
        <f>VLOOKUP(A194,'Run Reconcile'!A$2:B783,2,FALSE)</f>
        <v>44707</v>
      </c>
      <c r="C194" s="59">
        <f>COUNTIF('ALL Tube Results'!B193:B783, A194)
</f>
        <v>21</v>
      </c>
      <c r="D194" s="60">
        <f>COUNTIFS('ALL Tube Results'!$B193:$B783, $A194, 'ALL Tube Results'!$F193:$F783, "Negative")
</f>
        <v>21</v>
      </c>
      <c r="E194" s="60">
        <f>COUNTIFS('ALL Tube Results'!$B193:$B783, $A194, 'ALL Tube Results'!$F193:$F783, "Positive")
</f>
        <v>0</v>
      </c>
      <c r="F194" s="60">
        <f>COUNTIFS('ALL Tube Results'!$B193:$B783, $A194, 'ALL Tube Results'!$F193:$F783, "Inconclusive")
</f>
        <v>0</v>
      </c>
      <c r="G194" s="61">
        <f t="shared" si="7"/>
        <v>21</v>
      </c>
      <c r="H194" s="61" t="str">
        <f t="shared" si="8"/>
        <v/>
      </c>
      <c r="I194" s="62">
        <f t="shared" si="9"/>
        <v>21</v>
      </c>
      <c r="J194" s="63">
        <f t="shared" si="10"/>
        <v>0</v>
      </c>
      <c r="K194" s="63">
        <f t="shared" si="11"/>
        <v>0</v>
      </c>
      <c r="L194" s="63" t="str">
        <f t="shared" si="12"/>
        <v/>
      </c>
      <c r="M194" s="63" t="str">
        <f t="shared" si="13"/>
        <v/>
      </c>
      <c r="N194" s="63" t="str">
        <f t="shared" si="14"/>
        <v/>
      </c>
      <c r="O194" s="64">
        <f t="shared" si="15"/>
        <v>21</v>
      </c>
      <c r="P194" s="64" t="str">
        <f t="shared" si="16"/>
        <v/>
      </c>
      <c r="Q194" s="54"/>
      <c r="R194" s="8" t="s">
        <v>224</v>
      </c>
      <c r="S194" s="14">
        <v>44707.0</v>
      </c>
      <c r="T194" s="16">
        <f>VLOOKUP(R194,'Run Reconcile'!$A$2:$L783,12,FALSE)</f>
        <v>21</v>
      </c>
      <c r="U194" s="16" t="str">
        <f t="shared" si="17"/>
        <v/>
      </c>
      <c r="V194" s="16" t="str">
        <f t="shared" si="18"/>
        <v/>
      </c>
      <c r="W194" s="16"/>
      <c r="X194" s="54"/>
      <c r="Z194" s="14"/>
      <c r="AA194" s="16"/>
      <c r="AB194" s="16"/>
      <c r="AC194" s="16"/>
      <c r="AD194" s="16"/>
      <c r="AE194" s="66"/>
      <c r="AF194" s="54"/>
      <c r="AG194" s="70" t="s">
        <v>226</v>
      </c>
      <c r="AH194" s="68">
        <f>VLOOKUP(AG194,'Run Reconcile'!A$2:B783,2,FALSE)</f>
        <v>44718</v>
      </c>
      <c r="AI194" s="69">
        <f>COUNTIF('APS Tubes IMPORT'!$V$2:$V783, AG194)
</f>
        <v>4</v>
      </c>
      <c r="AJ194" s="69">
        <f>COUNTIFS('APS Tubes IMPORT'!V$2:V783, AG194, 'APS Tubes IMPORT'!H$2:H783, "Negative")
</f>
        <v>4</v>
      </c>
      <c r="AK194" s="69">
        <f>COUNTIFS('APS Tubes IMPORT'!V$2:V783, AG194, 'APS Tubes IMPORT'!H$2:H783, "Positive")
</f>
        <v>0</v>
      </c>
      <c r="AL194" s="69">
        <f>COUNTIFS('APS Tubes IMPORT'!V$2:V783, AG194, 'APS Tubes IMPORT'!H$2:H783, "Inconclusive")
</f>
        <v>0</v>
      </c>
      <c r="AM194" s="69">
        <f>COUNTIFS('APS Tubes IMPORT'!V$2:V783, AG194, 'APS Tubes IMPORT'!H$2:H783, "Null")
</f>
        <v>0</v>
      </c>
      <c r="AN194" s="54"/>
      <c r="AO194" s="14">
        <f>'APS Tubes by Date IMPORT'!B193</f>
        <v>44708</v>
      </c>
      <c r="AP194" s="16">
        <f>'APS Tubes by Date IMPORT'!D193</f>
        <v>1</v>
      </c>
      <c r="AQ194" s="16">
        <f>'APS Tubes by Date IMPORT'!D193</f>
        <v>1</v>
      </c>
      <c r="AR194" s="16">
        <f>'APS Tubes by Date IMPORT'!E193</f>
        <v>0</v>
      </c>
      <c r="AS194" s="16">
        <f>'APS Tubes by Date IMPORT'!F193</f>
        <v>0</v>
      </c>
      <c r="AT194" s="16">
        <f>'APS Tubes by Date IMPORT'!G193</f>
        <v>0</v>
      </c>
      <c r="AU194" s="54"/>
    </row>
    <row r="195">
      <c r="A195" s="8" t="s">
        <v>225</v>
      </c>
      <c r="B195" s="58">
        <f>VLOOKUP(A195,'Run Reconcile'!A$2:B783,2,FALSE)</f>
        <v>44712</v>
      </c>
      <c r="C195" s="59">
        <f>COUNTIF('ALL Tube Results'!B194:B783, A195)
</f>
        <v>22</v>
      </c>
      <c r="D195" s="60">
        <f>COUNTIFS('ALL Tube Results'!$B194:$B783, $A195, 'ALL Tube Results'!$F194:$F783, "Negative")
</f>
        <v>22</v>
      </c>
      <c r="E195" s="60">
        <f>COUNTIFS('ALL Tube Results'!$B194:$B783, $A195, 'ALL Tube Results'!$F194:$F783, "Positive")
</f>
        <v>0</v>
      </c>
      <c r="F195" s="60">
        <f>COUNTIFS('ALL Tube Results'!$B194:$B783, $A195, 'ALL Tube Results'!$F194:$F783, "Inconclusive")
</f>
        <v>0</v>
      </c>
      <c r="G195" s="61">
        <f t="shared" si="7"/>
        <v>22</v>
      </c>
      <c r="H195" s="61" t="str">
        <f t="shared" si="8"/>
        <v/>
      </c>
      <c r="I195" s="62">
        <f t="shared" si="9"/>
        <v>22</v>
      </c>
      <c r="J195" s="63">
        <f t="shared" si="10"/>
        <v>0</v>
      </c>
      <c r="K195" s="63">
        <f t="shared" si="11"/>
        <v>0</v>
      </c>
      <c r="L195" s="63" t="str">
        <f t="shared" si="12"/>
        <v/>
      </c>
      <c r="M195" s="63" t="str">
        <f t="shared" si="13"/>
        <v/>
      </c>
      <c r="N195" s="63" t="str">
        <f t="shared" si="14"/>
        <v/>
      </c>
      <c r="O195" s="64">
        <f t="shared" si="15"/>
        <v>21</v>
      </c>
      <c r="P195" s="64">
        <f t="shared" si="16"/>
        <v>1</v>
      </c>
      <c r="Q195" s="54"/>
      <c r="R195" s="8" t="s">
        <v>225</v>
      </c>
      <c r="S195" s="14">
        <v>44712.0</v>
      </c>
      <c r="T195" s="16">
        <f>VLOOKUP(R195,'Run Reconcile'!$A$2:$L783,12,FALSE)</f>
        <v>22</v>
      </c>
      <c r="U195" s="16" t="str">
        <f t="shared" si="17"/>
        <v/>
      </c>
      <c r="V195" s="16" t="str">
        <f t="shared" si="18"/>
        <v/>
      </c>
      <c r="W195" s="16"/>
      <c r="X195" s="54"/>
      <c r="Z195" s="14"/>
      <c r="AA195" s="16"/>
      <c r="AB195" s="16"/>
      <c r="AC195" s="16"/>
      <c r="AD195" s="16"/>
      <c r="AE195" s="66"/>
      <c r="AF195" s="54"/>
      <c r="AG195" s="70" t="s">
        <v>227</v>
      </c>
      <c r="AH195" s="68">
        <f>VLOOKUP(AG195,'Run Reconcile'!A$2:B783,2,FALSE)</f>
        <v>44721</v>
      </c>
      <c r="AI195" s="69">
        <f>COUNTIF('APS Tubes IMPORT'!$V$2:$V783, AG195)
</f>
        <v>3</v>
      </c>
      <c r="AJ195" s="69">
        <f>COUNTIFS('APS Tubes IMPORT'!V$2:V783, AG195, 'APS Tubes IMPORT'!H$2:H783, "Negative")
</f>
        <v>3</v>
      </c>
      <c r="AK195" s="69">
        <f>COUNTIFS('APS Tubes IMPORT'!V$2:V783, AG195, 'APS Tubes IMPORT'!H$2:H783, "Positive")
</f>
        <v>0</v>
      </c>
      <c r="AL195" s="69">
        <f>COUNTIFS('APS Tubes IMPORT'!V$2:V783, AG195, 'APS Tubes IMPORT'!H$2:H783, "Inconclusive")
</f>
        <v>0</v>
      </c>
      <c r="AM195" s="69">
        <f>COUNTIFS('APS Tubes IMPORT'!V$2:V783, AG195, 'APS Tubes IMPORT'!H$2:H783, "Null")
</f>
        <v>0</v>
      </c>
      <c r="AN195" s="54"/>
      <c r="AO195" s="14">
        <f>'APS Tubes by Date IMPORT'!B194</f>
        <v>44711</v>
      </c>
      <c r="AP195" s="16">
        <f>'APS Tubes by Date IMPORT'!D194</f>
        <v>3</v>
      </c>
      <c r="AQ195" s="16">
        <f>'APS Tubes by Date IMPORT'!D194</f>
        <v>3</v>
      </c>
      <c r="AR195" s="16">
        <f>'APS Tubes by Date IMPORT'!E194</f>
        <v>0</v>
      </c>
      <c r="AS195" s="16">
        <f>'APS Tubes by Date IMPORT'!F194</f>
        <v>0</v>
      </c>
      <c r="AT195" s="16">
        <f>'APS Tubes by Date IMPORT'!G194</f>
        <v>0</v>
      </c>
      <c r="AU195" s="54"/>
    </row>
    <row r="196">
      <c r="A196" s="8" t="s">
        <v>226</v>
      </c>
      <c r="B196" s="58">
        <f>VLOOKUP(A196,'Run Reconcile'!A$2:B783,2,FALSE)</f>
        <v>44718</v>
      </c>
      <c r="C196" s="59">
        <f>COUNTIF('ALL Tube Results'!B195:B783, A196)
</f>
        <v>4</v>
      </c>
      <c r="D196" s="60">
        <f>COUNTIFS('ALL Tube Results'!$B195:$B783, $A196, 'ALL Tube Results'!$F195:$F783, "Negative")
</f>
        <v>4</v>
      </c>
      <c r="E196" s="60">
        <f>COUNTIFS('ALL Tube Results'!$B195:$B783, $A196, 'ALL Tube Results'!$F195:$F783, "Positive")
</f>
        <v>0</v>
      </c>
      <c r="F196" s="60">
        <f>COUNTIFS('ALL Tube Results'!$B195:$B783, $A196, 'ALL Tube Results'!$F195:$F783, "Inconclusive")
</f>
        <v>0</v>
      </c>
      <c r="G196" s="61">
        <f t="shared" si="7"/>
        <v>2</v>
      </c>
      <c r="H196" s="61">
        <f t="shared" si="8"/>
        <v>2</v>
      </c>
      <c r="I196" s="62">
        <f t="shared" si="9"/>
        <v>2</v>
      </c>
      <c r="J196" s="63">
        <f t="shared" si="10"/>
        <v>0</v>
      </c>
      <c r="K196" s="63">
        <f t="shared" si="11"/>
        <v>0</v>
      </c>
      <c r="L196" s="63">
        <f t="shared" si="12"/>
        <v>2</v>
      </c>
      <c r="M196" s="63" t="str">
        <f t="shared" si="13"/>
        <v/>
      </c>
      <c r="N196" s="63" t="str">
        <f t="shared" si="14"/>
        <v/>
      </c>
      <c r="O196" s="64">
        <f t="shared" si="15"/>
        <v>4</v>
      </c>
      <c r="P196" s="64" t="str">
        <f t="shared" si="16"/>
        <v/>
      </c>
      <c r="Q196" s="54"/>
      <c r="R196" s="8" t="s">
        <v>226</v>
      </c>
      <c r="S196" s="14">
        <v>44718.0</v>
      </c>
      <c r="T196" s="16">
        <f>VLOOKUP(R196,'Run Reconcile'!$A$2:$L783,12,FALSE)</f>
        <v>2</v>
      </c>
      <c r="U196" s="16" t="str">
        <f t="shared" si="17"/>
        <v/>
      </c>
      <c r="V196" s="16" t="str">
        <f t="shared" si="18"/>
        <v/>
      </c>
      <c r="W196" s="16"/>
      <c r="X196" s="54"/>
      <c r="Z196" s="14"/>
      <c r="AA196" s="16"/>
      <c r="AB196" s="16"/>
      <c r="AC196" s="16"/>
      <c r="AD196" s="16"/>
      <c r="AE196" s="66"/>
      <c r="AF196" s="54"/>
      <c r="AG196" s="70" t="s">
        <v>228</v>
      </c>
      <c r="AH196" s="68">
        <f>VLOOKUP(AG196,'Run Reconcile'!A$2:B783,2,FALSE)</f>
        <v>44725</v>
      </c>
      <c r="AI196" s="69">
        <f>COUNTIF('APS Tubes IMPORT'!$V$2:$V783, AG196)
</f>
        <v>2</v>
      </c>
      <c r="AJ196" s="69">
        <f>COUNTIFS('APS Tubes IMPORT'!V$2:V783, AG196, 'APS Tubes IMPORT'!H$2:H783, "Negative")
</f>
        <v>2</v>
      </c>
      <c r="AK196" s="69">
        <f>COUNTIFS('APS Tubes IMPORT'!V$2:V783, AG196, 'APS Tubes IMPORT'!H$2:H783, "Positive")
</f>
        <v>0</v>
      </c>
      <c r="AL196" s="69">
        <f>COUNTIFS('APS Tubes IMPORT'!V$2:V783, AG196, 'APS Tubes IMPORT'!H$2:H783, "Inconclusive")
</f>
        <v>0</v>
      </c>
      <c r="AM196" s="69">
        <f>COUNTIFS('APS Tubes IMPORT'!V$2:V783, AG196, 'APS Tubes IMPORT'!H$2:H783, "Null")
</f>
        <v>0</v>
      </c>
      <c r="AN196" s="54"/>
      <c r="AO196" s="14">
        <f>'APS Tubes by Date IMPORT'!B195</f>
        <v>44712</v>
      </c>
      <c r="AP196" s="16">
        <f>'APS Tubes by Date IMPORT'!D195</f>
        <v>17</v>
      </c>
      <c r="AQ196" s="16">
        <f>'APS Tubes by Date IMPORT'!D195</f>
        <v>17</v>
      </c>
      <c r="AR196" s="16">
        <f>'APS Tubes by Date IMPORT'!E195</f>
        <v>0</v>
      </c>
      <c r="AS196" s="16">
        <f>'APS Tubes by Date IMPORT'!F195</f>
        <v>0</v>
      </c>
      <c r="AT196" s="16">
        <f>'APS Tubes by Date IMPORT'!G195</f>
        <v>0</v>
      </c>
      <c r="AU196" s="54"/>
    </row>
    <row r="197">
      <c r="A197" s="8" t="s">
        <v>227</v>
      </c>
      <c r="B197" s="58">
        <f>VLOOKUP(A197,'Run Reconcile'!A$2:B783,2,FALSE)</f>
        <v>44721</v>
      </c>
      <c r="C197" s="59">
        <f>COUNTIF('ALL Tube Results'!B196:B783, A197)
</f>
        <v>3</v>
      </c>
      <c r="D197" s="60">
        <f>COUNTIFS('ALL Tube Results'!$B196:$B783, $A197, 'ALL Tube Results'!$F196:$F783, "Negative")
</f>
        <v>3</v>
      </c>
      <c r="E197" s="60">
        <f>COUNTIFS('ALL Tube Results'!$B196:$B783, $A197, 'ALL Tube Results'!$F196:$F783, "Positive")
</f>
        <v>0</v>
      </c>
      <c r="F197" s="60">
        <f>COUNTIFS('ALL Tube Results'!$B196:$B783, $A197, 'ALL Tube Results'!$F196:$F783, "Inconclusive")
</f>
        <v>0</v>
      </c>
      <c r="G197" s="61">
        <f t="shared" si="7"/>
        <v>3</v>
      </c>
      <c r="H197" s="61" t="str">
        <f t="shared" si="8"/>
        <v/>
      </c>
      <c r="I197" s="62" t="str">
        <f t="shared" si="9"/>
        <v/>
      </c>
      <c r="J197" s="63" t="str">
        <f t="shared" si="10"/>
        <v/>
      </c>
      <c r="K197" s="63" t="str">
        <f t="shared" si="11"/>
        <v/>
      </c>
      <c r="L197" s="63">
        <f t="shared" si="12"/>
        <v>3</v>
      </c>
      <c r="M197" s="63" t="str">
        <f t="shared" si="13"/>
        <v/>
      </c>
      <c r="N197" s="63" t="str">
        <f t="shared" si="14"/>
        <v/>
      </c>
      <c r="O197" s="64">
        <f t="shared" si="15"/>
        <v>3</v>
      </c>
      <c r="P197" s="64" t="str">
        <f t="shared" si="16"/>
        <v/>
      </c>
      <c r="Q197" s="54"/>
      <c r="R197" s="8" t="s">
        <v>227</v>
      </c>
      <c r="S197" s="14">
        <v>44721.0</v>
      </c>
      <c r="T197" s="16">
        <f>VLOOKUP(R197,'Run Reconcile'!$A$2:$L783,12,FALSE)</f>
        <v>3</v>
      </c>
      <c r="U197" s="16" t="str">
        <f t="shared" si="17"/>
        <v/>
      </c>
      <c r="V197" s="16" t="str">
        <f t="shared" si="18"/>
        <v/>
      </c>
      <c r="W197" s="16"/>
      <c r="X197" s="54"/>
      <c r="Z197" s="14"/>
      <c r="AA197" s="16"/>
      <c r="AB197" s="16"/>
      <c r="AC197" s="16"/>
      <c r="AD197" s="16"/>
      <c r="AE197" s="66"/>
      <c r="AF197" s="54"/>
      <c r="AG197" s="70" t="s">
        <v>229</v>
      </c>
      <c r="AH197" s="68">
        <f>VLOOKUP(AG197,'Run Reconcile'!A$2:B783,2,FALSE)</f>
        <v>44728</v>
      </c>
      <c r="AI197" s="69">
        <f>COUNTIF('APS Tubes IMPORT'!$V$2:$V783, AG197)
</f>
        <v>2</v>
      </c>
      <c r="AJ197" s="69">
        <f>COUNTIFS('APS Tubes IMPORT'!V$2:V783, AG197, 'APS Tubes IMPORT'!H$2:H783, "Negative")
</f>
        <v>2</v>
      </c>
      <c r="AK197" s="69">
        <f>COUNTIFS('APS Tubes IMPORT'!V$2:V783, AG197, 'APS Tubes IMPORT'!H$2:H783, "Positive")
</f>
        <v>0</v>
      </c>
      <c r="AL197" s="69">
        <f>COUNTIFS('APS Tubes IMPORT'!V$2:V783, AG197, 'APS Tubes IMPORT'!H$2:H783, "Inconclusive")
</f>
        <v>0</v>
      </c>
      <c r="AM197" s="69">
        <f>COUNTIFS('APS Tubes IMPORT'!V$2:V783, AG197, 'APS Tubes IMPORT'!H$2:H783, "Null")
</f>
        <v>0</v>
      </c>
      <c r="AN197" s="54"/>
      <c r="AO197" s="14">
        <f>'APS Tubes by Date IMPORT'!B196</f>
        <v>44718</v>
      </c>
      <c r="AP197" s="16">
        <f>'APS Tubes by Date IMPORT'!D196</f>
        <v>4</v>
      </c>
      <c r="AQ197" s="16">
        <f>'APS Tubes by Date IMPORT'!D196</f>
        <v>4</v>
      </c>
      <c r="AR197" s="16">
        <f>'APS Tubes by Date IMPORT'!E196</f>
        <v>0</v>
      </c>
      <c r="AS197" s="16">
        <f>'APS Tubes by Date IMPORT'!F196</f>
        <v>0</v>
      </c>
      <c r="AT197" s="16">
        <f>'APS Tubes by Date IMPORT'!G196</f>
        <v>0</v>
      </c>
      <c r="AU197" s="54"/>
    </row>
    <row r="198">
      <c r="A198" s="8" t="s">
        <v>228</v>
      </c>
      <c r="B198" s="58">
        <f>VLOOKUP(A198,'Run Reconcile'!A$2:B783,2,FALSE)</f>
        <v>44725</v>
      </c>
      <c r="C198" s="59">
        <f>COUNTIF('ALL Tube Results'!B197:B783, A198)
</f>
        <v>2</v>
      </c>
      <c r="D198" s="60">
        <f>COUNTIFS('ALL Tube Results'!$B197:$B783, $A198, 'ALL Tube Results'!$F197:$F783, "Negative")
</f>
        <v>2</v>
      </c>
      <c r="E198" s="60">
        <f>COUNTIFS('ALL Tube Results'!$B197:$B783, $A198, 'ALL Tube Results'!$F197:$F783, "Positive")
</f>
        <v>0</v>
      </c>
      <c r="F198" s="60">
        <f>COUNTIFS('ALL Tube Results'!$B197:$B783, $A198, 'ALL Tube Results'!$F197:$F783, "Inconclusive")
</f>
        <v>0</v>
      </c>
      <c r="G198" s="61">
        <f t="shared" si="7"/>
        <v>2</v>
      </c>
      <c r="H198" s="61" t="str">
        <f t="shared" si="8"/>
        <v/>
      </c>
      <c r="I198" s="62" t="str">
        <f t="shared" si="9"/>
        <v/>
      </c>
      <c r="J198" s="63" t="str">
        <f t="shared" si="10"/>
        <v/>
      </c>
      <c r="K198" s="63" t="str">
        <f t="shared" si="11"/>
        <v/>
      </c>
      <c r="L198" s="63">
        <f t="shared" si="12"/>
        <v>2</v>
      </c>
      <c r="M198" s="63" t="str">
        <f t="shared" si="13"/>
        <v/>
      </c>
      <c r="N198" s="63" t="str">
        <f t="shared" si="14"/>
        <v/>
      </c>
      <c r="O198" s="64">
        <f t="shared" si="15"/>
        <v>2</v>
      </c>
      <c r="P198" s="64" t="str">
        <f t="shared" si="16"/>
        <v/>
      </c>
      <c r="Q198" s="54"/>
      <c r="R198" s="8" t="s">
        <v>228</v>
      </c>
      <c r="S198" s="14">
        <v>44725.0</v>
      </c>
      <c r="T198" s="16">
        <f>VLOOKUP(R198,'Run Reconcile'!$A$2:$L783,12,FALSE)</f>
        <v>2</v>
      </c>
      <c r="U198" s="16" t="str">
        <f t="shared" si="17"/>
        <v/>
      </c>
      <c r="V198" s="16" t="str">
        <f t="shared" si="18"/>
        <v/>
      </c>
      <c r="W198" s="16"/>
      <c r="X198" s="54"/>
      <c r="Z198" s="14"/>
      <c r="AA198" s="16"/>
      <c r="AB198" s="16"/>
      <c r="AC198" s="16"/>
      <c r="AD198" s="16"/>
      <c r="AE198" s="66"/>
      <c r="AF198" s="54"/>
      <c r="AG198" s="70" t="s">
        <v>230</v>
      </c>
      <c r="AH198" s="68">
        <f>VLOOKUP(AG198,'Run Reconcile'!A$2:B783,2,FALSE)</f>
        <v>44729</v>
      </c>
      <c r="AI198" s="69">
        <f>COUNTIF('APS Tubes IMPORT'!$V$2:$V783, AG198)
</f>
        <v>1</v>
      </c>
      <c r="AJ198" s="69">
        <f>COUNTIFS('APS Tubes IMPORT'!V$2:V783, AG198, 'APS Tubes IMPORT'!H$2:H783, "Negative")
</f>
        <v>1</v>
      </c>
      <c r="AK198" s="69">
        <f>COUNTIFS('APS Tubes IMPORT'!V$2:V783, AG198, 'APS Tubes IMPORT'!H$2:H783, "Positive")
</f>
        <v>0</v>
      </c>
      <c r="AL198" s="69">
        <f>COUNTIFS('APS Tubes IMPORT'!V$2:V783, AG198, 'APS Tubes IMPORT'!H$2:H783, "Inconclusive")
</f>
        <v>0</v>
      </c>
      <c r="AM198" s="69">
        <f>COUNTIFS('APS Tubes IMPORT'!V$2:V783, AG198, 'APS Tubes IMPORT'!H$2:H783, "Null")
</f>
        <v>0</v>
      </c>
      <c r="AN198" s="54"/>
      <c r="AO198" s="14">
        <f>'APS Tubes by Date IMPORT'!B197</f>
        <v>44721</v>
      </c>
      <c r="AP198" s="16">
        <f>'APS Tubes by Date IMPORT'!D197</f>
        <v>3</v>
      </c>
      <c r="AQ198" s="16">
        <f>'APS Tubes by Date IMPORT'!D197</f>
        <v>3</v>
      </c>
      <c r="AR198" s="16">
        <f>'APS Tubes by Date IMPORT'!E197</f>
        <v>0</v>
      </c>
      <c r="AS198" s="16">
        <f>'APS Tubes by Date IMPORT'!F197</f>
        <v>0</v>
      </c>
      <c r="AT198" s="16">
        <f>'APS Tubes by Date IMPORT'!G197</f>
        <v>0</v>
      </c>
      <c r="AU198" s="54"/>
    </row>
    <row r="199">
      <c r="A199" s="8" t="s">
        <v>229</v>
      </c>
      <c r="B199" s="58">
        <f>VLOOKUP(A199,'Run Reconcile'!A$2:B783,2,FALSE)</f>
        <v>44728</v>
      </c>
      <c r="C199" s="59">
        <f>COUNTIF('ALL Tube Results'!B198:B783, A199)
</f>
        <v>2</v>
      </c>
      <c r="D199" s="60">
        <f>COUNTIFS('ALL Tube Results'!$B198:$B783, $A199, 'ALL Tube Results'!$F198:$F783, "Negative")
</f>
        <v>2</v>
      </c>
      <c r="E199" s="60">
        <f>COUNTIFS('ALL Tube Results'!$B198:$B783, $A199, 'ALL Tube Results'!$F198:$F783, "Positive")
</f>
        <v>0</v>
      </c>
      <c r="F199" s="60">
        <f>COUNTIFS('ALL Tube Results'!$B198:$B783, $A199, 'ALL Tube Results'!$F198:$F783, "Inconclusive")
</f>
        <v>0</v>
      </c>
      <c r="G199" s="61">
        <f t="shared" si="7"/>
        <v>2</v>
      </c>
      <c r="H199" s="61" t="str">
        <f t="shared" si="8"/>
        <v/>
      </c>
      <c r="I199" s="62" t="str">
        <f t="shared" si="9"/>
        <v/>
      </c>
      <c r="J199" s="63" t="str">
        <f t="shared" si="10"/>
        <v/>
      </c>
      <c r="K199" s="63" t="str">
        <f t="shared" si="11"/>
        <v/>
      </c>
      <c r="L199" s="63">
        <f t="shared" si="12"/>
        <v>2</v>
      </c>
      <c r="M199" s="63" t="str">
        <f t="shared" si="13"/>
        <v/>
      </c>
      <c r="N199" s="63" t="str">
        <f t="shared" si="14"/>
        <v/>
      </c>
      <c r="O199" s="64">
        <f t="shared" si="15"/>
        <v>2</v>
      </c>
      <c r="P199" s="64" t="str">
        <f t="shared" si="16"/>
        <v/>
      </c>
      <c r="Q199" s="54"/>
      <c r="R199" s="8" t="s">
        <v>229</v>
      </c>
      <c r="S199" s="14">
        <v>44728.0</v>
      </c>
      <c r="T199" s="16">
        <f>VLOOKUP(R199,'Run Reconcile'!$A$2:$L783,12,FALSE)</f>
        <v>2</v>
      </c>
      <c r="U199" s="16" t="str">
        <f t="shared" si="17"/>
        <v/>
      </c>
      <c r="V199" s="16" t="str">
        <f t="shared" si="18"/>
        <v/>
      </c>
      <c r="W199" s="16"/>
      <c r="X199" s="54"/>
      <c r="Z199" s="14"/>
      <c r="AA199" s="16"/>
      <c r="AB199" s="16"/>
      <c r="AC199" s="16"/>
      <c r="AD199" s="16"/>
      <c r="AE199" s="66"/>
      <c r="AF199" s="54"/>
      <c r="AG199" s="70" t="s">
        <v>231</v>
      </c>
      <c r="AH199" s="68">
        <f>VLOOKUP(AG199,'Run Reconcile'!A$2:B783,2,FALSE)</f>
        <v>44732</v>
      </c>
      <c r="AI199" s="69">
        <f>COUNTIF('APS Tubes IMPORT'!$V$2:$V783, AG199)
</f>
        <v>2</v>
      </c>
      <c r="AJ199" s="69">
        <f>COUNTIFS('APS Tubes IMPORT'!V$2:V783, AG199, 'APS Tubes IMPORT'!H$2:H783, "Negative")
</f>
        <v>2</v>
      </c>
      <c r="AK199" s="69">
        <f>COUNTIFS('APS Tubes IMPORT'!V$2:V783, AG199, 'APS Tubes IMPORT'!H$2:H783, "Positive")
</f>
        <v>0</v>
      </c>
      <c r="AL199" s="69">
        <f>COUNTIFS('APS Tubes IMPORT'!V$2:V783, AG199, 'APS Tubes IMPORT'!H$2:H783, "Inconclusive")
</f>
        <v>0</v>
      </c>
      <c r="AM199" s="69">
        <f>COUNTIFS('APS Tubes IMPORT'!V$2:V783, AG199, 'APS Tubes IMPORT'!H$2:H783, "Null")
</f>
        <v>0</v>
      </c>
      <c r="AN199" s="54"/>
      <c r="AO199" s="14">
        <f>'APS Tubes by Date IMPORT'!B198</f>
        <v>44725</v>
      </c>
      <c r="AP199" s="16">
        <f>'APS Tubes by Date IMPORT'!D198</f>
        <v>2</v>
      </c>
      <c r="AQ199" s="16">
        <f>'APS Tubes by Date IMPORT'!D198</f>
        <v>2</v>
      </c>
      <c r="AR199" s="16">
        <f>'APS Tubes by Date IMPORT'!E198</f>
        <v>0</v>
      </c>
      <c r="AS199" s="16">
        <f>'APS Tubes by Date IMPORT'!F198</f>
        <v>0</v>
      </c>
      <c r="AT199" s="16">
        <f>'APS Tubes by Date IMPORT'!G198</f>
        <v>0</v>
      </c>
      <c r="AU199" s="54"/>
    </row>
    <row r="200">
      <c r="A200" s="8" t="s">
        <v>230</v>
      </c>
      <c r="B200" s="58">
        <f>VLOOKUP(A200,'Run Reconcile'!A$2:B783,2,FALSE)</f>
        <v>44729</v>
      </c>
      <c r="C200" s="59">
        <f>COUNTIF('ALL Tube Results'!B199:B783, A200)
</f>
        <v>1</v>
      </c>
      <c r="D200" s="60">
        <f>COUNTIFS('ALL Tube Results'!$B199:$B783, $A200, 'ALL Tube Results'!$F199:$F783, "Negative")
</f>
        <v>1</v>
      </c>
      <c r="E200" s="60">
        <f>COUNTIFS('ALL Tube Results'!$B199:$B783, $A200, 'ALL Tube Results'!$F199:$F783, "Positive")
</f>
        <v>0</v>
      </c>
      <c r="F200" s="60">
        <f>COUNTIFS('ALL Tube Results'!$B199:$B783, $A200, 'ALL Tube Results'!$F199:$F783, "Inconclusive")
</f>
        <v>0</v>
      </c>
      <c r="G200" s="61">
        <f t="shared" si="7"/>
        <v>1</v>
      </c>
      <c r="H200" s="61" t="str">
        <f t="shared" si="8"/>
        <v/>
      </c>
      <c r="I200" s="62" t="str">
        <f t="shared" si="9"/>
        <v/>
      </c>
      <c r="J200" s="63" t="str">
        <f t="shared" si="10"/>
        <v/>
      </c>
      <c r="K200" s="63" t="str">
        <f t="shared" si="11"/>
        <v/>
      </c>
      <c r="L200" s="63">
        <f t="shared" si="12"/>
        <v>1</v>
      </c>
      <c r="M200" s="63" t="str">
        <f t="shared" si="13"/>
        <v/>
      </c>
      <c r="N200" s="63" t="str">
        <f t="shared" si="14"/>
        <v/>
      </c>
      <c r="O200" s="64">
        <f t="shared" si="15"/>
        <v>1</v>
      </c>
      <c r="P200" s="64" t="str">
        <f t="shared" si="16"/>
        <v/>
      </c>
      <c r="Q200" s="54"/>
      <c r="R200" s="8" t="s">
        <v>230</v>
      </c>
      <c r="S200" s="14">
        <v>44729.0</v>
      </c>
      <c r="T200" s="16">
        <f>VLOOKUP(R200,'Run Reconcile'!$A$2:$L783,12,FALSE)</f>
        <v>1</v>
      </c>
      <c r="U200" s="16" t="str">
        <f t="shared" si="17"/>
        <v/>
      </c>
      <c r="V200" s="16" t="str">
        <f t="shared" si="18"/>
        <v/>
      </c>
      <c r="W200" s="16"/>
      <c r="X200" s="54"/>
      <c r="Z200" s="14"/>
      <c r="AA200" s="16"/>
      <c r="AB200" s="16"/>
      <c r="AC200" s="16"/>
      <c r="AD200" s="16"/>
      <c r="AE200" s="66"/>
      <c r="AF200" s="54"/>
      <c r="AG200" s="70" t="s">
        <v>232</v>
      </c>
      <c r="AH200" s="68">
        <f>VLOOKUP(AG200,'Run Reconcile'!A$2:B783,2,FALSE)</f>
        <v>44735</v>
      </c>
      <c r="AI200" s="69">
        <f>COUNTIF('APS Tubes IMPORT'!$V$2:$V783, AG200)
</f>
        <v>1</v>
      </c>
      <c r="AJ200" s="69">
        <f>COUNTIFS('APS Tubes IMPORT'!V$2:V783, AG200, 'APS Tubes IMPORT'!H$2:H783, "Negative")
</f>
        <v>1</v>
      </c>
      <c r="AK200" s="69">
        <f>COUNTIFS('APS Tubes IMPORT'!V$2:V783, AG200, 'APS Tubes IMPORT'!H$2:H783, "Positive")
</f>
        <v>0</v>
      </c>
      <c r="AL200" s="69">
        <f>COUNTIFS('APS Tubes IMPORT'!V$2:V783, AG200, 'APS Tubes IMPORT'!H$2:H783, "Inconclusive")
</f>
        <v>0</v>
      </c>
      <c r="AM200" s="69">
        <f>COUNTIFS('APS Tubes IMPORT'!V$2:V783, AG200, 'APS Tubes IMPORT'!H$2:H783, "Null")
</f>
        <v>0</v>
      </c>
      <c r="AN200" s="54"/>
      <c r="AO200" s="14">
        <f>'APS Tubes by Date IMPORT'!B199</f>
        <v>44728</v>
      </c>
      <c r="AP200" s="16">
        <f>'APS Tubes by Date IMPORT'!D199</f>
        <v>2</v>
      </c>
      <c r="AQ200" s="16">
        <f>'APS Tubes by Date IMPORT'!D199</f>
        <v>2</v>
      </c>
      <c r="AR200" s="16">
        <f>'APS Tubes by Date IMPORT'!E199</f>
        <v>0</v>
      </c>
      <c r="AS200" s="16">
        <f>'APS Tubes by Date IMPORT'!F199</f>
        <v>0</v>
      </c>
      <c r="AT200" s="16">
        <f>'APS Tubes by Date IMPORT'!G199</f>
        <v>0</v>
      </c>
      <c r="AU200" s="54"/>
    </row>
    <row r="201">
      <c r="A201" s="8" t="s">
        <v>231</v>
      </c>
      <c r="B201" s="58">
        <f>VLOOKUP(A201,'Run Reconcile'!A$2:B783,2,FALSE)</f>
        <v>44732</v>
      </c>
      <c r="C201" s="59">
        <f>COUNTIF('ALL Tube Results'!B200:B783, A201)
</f>
        <v>2</v>
      </c>
      <c r="D201" s="60">
        <f>COUNTIFS('ALL Tube Results'!$B200:$B783, $A201, 'ALL Tube Results'!$F200:$F783, "Negative")
</f>
        <v>2</v>
      </c>
      <c r="E201" s="60">
        <f>COUNTIFS('ALL Tube Results'!$B200:$B783, $A201, 'ALL Tube Results'!$F200:$F783, "Positive")
</f>
        <v>0</v>
      </c>
      <c r="F201" s="60">
        <f>COUNTIFS('ALL Tube Results'!$B200:$B783, $A201, 'ALL Tube Results'!$F200:$F783, "Inconclusive")
</f>
        <v>0</v>
      </c>
      <c r="G201" s="61">
        <f t="shared" si="7"/>
        <v>2</v>
      </c>
      <c r="H201" s="61" t="str">
        <f t="shared" si="8"/>
        <v/>
      </c>
      <c r="I201" s="62" t="str">
        <f t="shared" si="9"/>
        <v/>
      </c>
      <c r="J201" s="63" t="str">
        <f t="shared" si="10"/>
        <v/>
      </c>
      <c r="K201" s="63" t="str">
        <f t="shared" si="11"/>
        <v/>
      </c>
      <c r="L201" s="63">
        <f t="shared" si="12"/>
        <v>2</v>
      </c>
      <c r="M201" s="63" t="str">
        <f t="shared" si="13"/>
        <v/>
      </c>
      <c r="N201" s="63" t="str">
        <f t="shared" si="14"/>
        <v/>
      </c>
      <c r="O201" s="64">
        <f t="shared" si="15"/>
        <v>2</v>
      </c>
      <c r="P201" s="64" t="str">
        <f t="shared" si="16"/>
        <v/>
      </c>
      <c r="Q201" s="54"/>
      <c r="R201" s="8" t="s">
        <v>231</v>
      </c>
      <c r="S201" s="14">
        <v>44732.0</v>
      </c>
      <c r="T201" s="16">
        <f>VLOOKUP(R201,'Run Reconcile'!$A$2:$L783,12,FALSE)</f>
        <v>2</v>
      </c>
      <c r="U201" s="16" t="str">
        <f t="shared" si="17"/>
        <v/>
      </c>
      <c r="V201" s="16" t="str">
        <f t="shared" si="18"/>
        <v/>
      </c>
      <c r="W201" s="16"/>
      <c r="X201" s="54"/>
      <c r="Z201" s="14"/>
      <c r="AA201" s="16"/>
      <c r="AB201" s="16"/>
      <c r="AC201" s="16"/>
      <c r="AD201" s="16"/>
      <c r="AE201" s="66"/>
      <c r="AF201" s="54"/>
      <c r="AG201" s="70" t="s">
        <v>233</v>
      </c>
      <c r="AH201" s="68">
        <f>VLOOKUP(AG201,'Run Reconcile'!A$2:B783,2,FALSE)</f>
        <v>44739</v>
      </c>
      <c r="AI201" s="69">
        <f>COUNTIF('APS Tubes IMPORT'!$V$2:$V783, AG201)
</f>
        <v>1</v>
      </c>
      <c r="AJ201" s="69">
        <f>COUNTIFS('APS Tubes IMPORT'!V$2:V783, AG201, 'APS Tubes IMPORT'!H$2:H783, "Negative")
</f>
        <v>1</v>
      </c>
      <c r="AK201" s="69">
        <f>COUNTIFS('APS Tubes IMPORT'!V$2:V783, AG201, 'APS Tubes IMPORT'!H$2:H783, "Positive")
</f>
        <v>0</v>
      </c>
      <c r="AL201" s="69">
        <f>COUNTIFS('APS Tubes IMPORT'!V$2:V783, AG201, 'APS Tubes IMPORT'!H$2:H783, "Inconclusive")
</f>
        <v>0</v>
      </c>
      <c r="AM201" s="69">
        <f>COUNTIFS('APS Tubes IMPORT'!V$2:V783, AG201, 'APS Tubes IMPORT'!H$2:H783, "Null")
</f>
        <v>0</v>
      </c>
      <c r="AN201" s="54"/>
      <c r="AO201" s="14">
        <f>'APS Tubes by Date IMPORT'!B200</f>
        <v>44729</v>
      </c>
      <c r="AP201" s="16">
        <f>'APS Tubes by Date IMPORT'!D200</f>
        <v>1</v>
      </c>
      <c r="AQ201" s="16">
        <f>'APS Tubes by Date IMPORT'!D200</f>
        <v>1</v>
      </c>
      <c r="AR201" s="16">
        <f>'APS Tubes by Date IMPORT'!E200</f>
        <v>0</v>
      </c>
      <c r="AS201" s="16">
        <f>'APS Tubes by Date IMPORT'!F200</f>
        <v>0</v>
      </c>
      <c r="AT201" s="16">
        <f>'APS Tubes by Date IMPORT'!G200</f>
        <v>0</v>
      </c>
      <c r="AU201" s="54"/>
    </row>
    <row r="202">
      <c r="A202" s="8" t="s">
        <v>232</v>
      </c>
      <c r="B202" s="58">
        <f>VLOOKUP(A202,'Run Reconcile'!A$2:B783,2,FALSE)</f>
        <v>44735</v>
      </c>
      <c r="C202" s="59">
        <f>COUNTIF('ALL Tube Results'!B201:B783, A202)
</f>
        <v>1</v>
      </c>
      <c r="D202" s="60">
        <f>COUNTIFS('ALL Tube Results'!$B201:$B783, $A202, 'ALL Tube Results'!$F201:$F783, "Negative")
</f>
        <v>1</v>
      </c>
      <c r="E202" s="60">
        <f>COUNTIFS('ALL Tube Results'!$B201:$B783, $A202, 'ALL Tube Results'!$F201:$F783, "Positive")
</f>
        <v>0</v>
      </c>
      <c r="F202" s="60">
        <f>COUNTIFS('ALL Tube Results'!$B201:$B783, $A202, 'ALL Tube Results'!$F201:$F783, "Inconclusive")
</f>
        <v>0</v>
      </c>
      <c r="G202" s="61">
        <f t="shared" si="7"/>
        <v>1</v>
      </c>
      <c r="H202" s="61" t="str">
        <f t="shared" si="8"/>
        <v/>
      </c>
      <c r="I202" s="62" t="str">
        <f t="shared" si="9"/>
        <v/>
      </c>
      <c r="J202" s="63" t="str">
        <f t="shared" si="10"/>
        <v/>
      </c>
      <c r="K202" s="63" t="str">
        <f t="shared" si="11"/>
        <v/>
      </c>
      <c r="L202" s="63">
        <f t="shared" si="12"/>
        <v>1</v>
      </c>
      <c r="M202" s="63" t="str">
        <f t="shared" si="13"/>
        <v/>
      </c>
      <c r="N202" s="63" t="str">
        <f t="shared" si="14"/>
        <v/>
      </c>
      <c r="O202" s="64">
        <f t="shared" si="15"/>
        <v>1</v>
      </c>
      <c r="P202" s="64" t="str">
        <f t="shared" si="16"/>
        <v/>
      </c>
      <c r="Q202" s="54"/>
      <c r="R202" s="8" t="s">
        <v>232</v>
      </c>
      <c r="S202" s="14">
        <v>44735.0</v>
      </c>
      <c r="T202" s="16">
        <f>VLOOKUP(R202,'Run Reconcile'!$A$2:$L783,12,FALSE)</f>
        <v>1</v>
      </c>
      <c r="U202" s="16" t="str">
        <f t="shared" si="17"/>
        <v/>
      </c>
      <c r="V202" s="16" t="str">
        <f t="shared" si="18"/>
        <v/>
      </c>
      <c r="W202" s="16"/>
      <c r="X202" s="54"/>
      <c r="Z202" s="14"/>
      <c r="AA202" s="16"/>
      <c r="AB202" s="16"/>
      <c r="AC202" s="16"/>
      <c r="AD202" s="16"/>
      <c r="AE202" s="66"/>
      <c r="AF202" s="54"/>
      <c r="AG202" s="70" t="s">
        <v>234</v>
      </c>
      <c r="AH202" s="68">
        <f>VLOOKUP(AG202,'Run Reconcile'!A$2:B783,2,FALSE)</f>
        <v>44741</v>
      </c>
      <c r="AI202" s="69">
        <f>COUNTIF('APS Tubes IMPORT'!$V$2:$V783, AG202)
</f>
        <v>1</v>
      </c>
      <c r="AJ202" s="69">
        <f>COUNTIFS('APS Tubes IMPORT'!V$2:V783, AG202, 'APS Tubes IMPORT'!H$2:H783, "Negative")
</f>
        <v>1</v>
      </c>
      <c r="AK202" s="69">
        <f>COUNTIFS('APS Tubes IMPORT'!V$2:V783, AG202, 'APS Tubes IMPORT'!H$2:H783, "Positive")
</f>
        <v>0</v>
      </c>
      <c r="AL202" s="69">
        <f>COUNTIFS('APS Tubes IMPORT'!V$2:V783, AG202, 'APS Tubes IMPORT'!H$2:H783, "Inconclusive")
</f>
        <v>0</v>
      </c>
      <c r="AM202" s="69">
        <f>COUNTIFS('APS Tubes IMPORT'!V$2:V783, AG202, 'APS Tubes IMPORT'!H$2:H783, "Null")
</f>
        <v>0</v>
      </c>
      <c r="AN202" s="54"/>
      <c r="AO202" s="14">
        <f>'APS Tubes by Date IMPORT'!B201</f>
        <v>44732</v>
      </c>
      <c r="AP202" s="16">
        <f>'APS Tubes by Date IMPORT'!D201</f>
        <v>2</v>
      </c>
      <c r="AQ202" s="16">
        <f>'APS Tubes by Date IMPORT'!D201</f>
        <v>2</v>
      </c>
      <c r="AR202" s="16">
        <f>'APS Tubes by Date IMPORT'!E201</f>
        <v>0</v>
      </c>
      <c r="AS202" s="16">
        <f>'APS Tubes by Date IMPORT'!F201</f>
        <v>0</v>
      </c>
      <c r="AT202" s="16">
        <f>'APS Tubes by Date IMPORT'!G201</f>
        <v>0</v>
      </c>
      <c r="AU202" s="54"/>
    </row>
    <row r="203">
      <c r="A203" s="8" t="s">
        <v>233</v>
      </c>
      <c r="B203" s="58">
        <f>VLOOKUP(A203,'Run Reconcile'!A$2:B783,2,FALSE)</f>
        <v>44739</v>
      </c>
      <c r="C203" s="59">
        <f>COUNTIF('ALL Tube Results'!B202:B783, A203)
</f>
        <v>1</v>
      </c>
      <c r="D203" s="60">
        <f>COUNTIFS('ALL Tube Results'!$B202:$B783, $A203, 'ALL Tube Results'!$F202:$F783, "Negative")
</f>
        <v>1</v>
      </c>
      <c r="E203" s="60">
        <f>COUNTIFS('ALL Tube Results'!$B202:$B783, $A203, 'ALL Tube Results'!$F202:$F783, "Positive")
</f>
        <v>0</v>
      </c>
      <c r="F203" s="60">
        <f>COUNTIFS('ALL Tube Results'!$B202:$B783, $A203, 'ALL Tube Results'!$F202:$F783, "Inconclusive")
</f>
        <v>0</v>
      </c>
      <c r="G203" s="61">
        <f t="shared" si="7"/>
        <v>1</v>
      </c>
      <c r="H203" s="61" t="str">
        <f t="shared" si="8"/>
        <v/>
      </c>
      <c r="I203" s="62" t="str">
        <f t="shared" si="9"/>
        <v/>
      </c>
      <c r="J203" s="63" t="str">
        <f t="shared" si="10"/>
        <v/>
      </c>
      <c r="K203" s="63" t="str">
        <f t="shared" si="11"/>
        <v/>
      </c>
      <c r="L203" s="63">
        <f t="shared" si="12"/>
        <v>1</v>
      </c>
      <c r="M203" s="63" t="str">
        <f t="shared" si="13"/>
        <v/>
      </c>
      <c r="N203" s="63" t="str">
        <f t="shared" si="14"/>
        <v/>
      </c>
      <c r="O203" s="64">
        <f t="shared" si="15"/>
        <v>1</v>
      </c>
      <c r="P203" s="64" t="str">
        <f t="shared" si="16"/>
        <v/>
      </c>
      <c r="Q203" s="54"/>
      <c r="R203" s="8" t="s">
        <v>233</v>
      </c>
      <c r="S203" s="14">
        <v>44739.0</v>
      </c>
      <c r="T203" s="16">
        <f>VLOOKUP(R203,'Run Reconcile'!$A$2:$L783,12,FALSE)</f>
        <v>1</v>
      </c>
      <c r="U203" s="16" t="str">
        <f t="shared" si="17"/>
        <v/>
      </c>
      <c r="V203" s="16" t="str">
        <f t="shared" si="18"/>
        <v/>
      </c>
      <c r="W203" s="16"/>
      <c r="X203" s="54"/>
      <c r="Z203" s="14"/>
      <c r="AA203" s="16"/>
      <c r="AB203" s="16"/>
      <c r="AC203" s="16"/>
      <c r="AD203" s="16"/>
      <c r="AE203" s="66"/>
      <c r="AF203" s="54"/>
      <c r="AG203" s="70" t="s">
        <v>235</v>
      </c>
      <c r="AH203" s="68">
        <f>VLOOKUP(AG203,'Run Reconcile'!A$2:B783,2,FALSE)</f>
        <v>44742</v>
      </c>
      <c r="AI203" s="69">
        <f>COUNTIF('APS Tubes IMPORT'!$V$2:$V783, AG203)
</f>
        <v>1</v>
      </c>
      <c r="AJ203" s="69">
        <f>COUNTIFS('APS Tubes IMPORT'!V$2:V783, AG203, 'APS Tubes IMPORT'!H$2:H783, "Negative")
</f>
        <v>1</v>
      </c>
      <c r="AK203" s="69">
        <f>COUNTIFS('APS Tubes IMPORT'!V$2:V783, AG203, 'APS Tubes IMPORT'!H$2:H783, "Positive")
</f>
        <v>0</v>
      </c>
      <c r="AL203" s="69">
        <f>COUNTIFS('APS Tubes IMPORT'!V$2:V783, AG203, 'APS Tubes IMPORT'!H$2:H783, "Inconclusive")
</f>
        <v>0</v>
      </c>
      <c r="AM203" s="69">
        <f>COUNTIFS('APS Tubes IMPORT'!V$2:V783, AG203, 'APS Tubes IMPORT'!H$2:H783, "Null")
</f>
        <v>0</v>
      </c>
      <c r="AN203" s="54"/>
      <c r="AO203" s="14">
        <f>'APS Tubes by Date IMPORT'!B202</f>
        <v>44735</v>
      </c>
      <c r="AP203" s="16">
        <f>'APS Tubes by Date IMPORT'!D202</f>
        <v>1</v>
      </c>
      <c r="AQ203" s="16">
        <f>'APS Tubes by Date IMPORT'!D202</f>
        <v>1</v>
      </c>
      <c r="AR203" s="16">
        <f>'APS Tubes by Date IMPORT'!E202</f>
        <v>0</v>
      </c>
      <c r="AS203" s="16">
        <f>'APS Tubes by Date IMPORT'!F202</f>
        <v>0</v>
      </c>
      <c r="AT203" s="16">
        <f>'APS Tubes by Date IMPORT'!G202</f>
        <v>0</v>
      </c>
      <c r="AU203" s="54"/>
    </row>
    <row r="204">
      <c r="A204" s="8" t="s">
        <v>234</v>
      </c>
      <c r="B204" s="58">
        <f>VLOOKUP(A204,'Run Reconcile'!A$2:B783,2,FALSE)</f>
        <v>44741</v>
      </c>
      <c r="C204" s="59">
        <f>COUNTIF('ALL Tube Results'!B203:B783, A204)
</f>
        <v>1</v>
      </c>
      <c r="D204" s="60">
        <f>COUNTIFS('ALL Tube Results'!$B203:$B783, $A204, 'ALL Tube Results'!$F203:$F783, "Negative")
</f>
        <v>1</v>
      </c>
      <c r="E204" s="60">
        <f>COUNTIFS('ALL Tube Results'!$B203:$B783, $A204, 'ALL Tube Results'!$F203:$F783, "Positive")
</f>
        <v>0</v>
      </c>
      <c r="F204" s="60">
        <f>COUNTIFS('ALL Tube Results'!$B203:$B783, $A204, 'ALL Tube Results'!$F203:$F783, "Inconclusive")
</f>
        <v>0</v>
      </c>
      <c r="G204" s="61">
        <f t="shared" si="7"/>
        <v>1</v>
      </c>
      <c r="H204" s="61" t="str">
        <f t="shared" si="8"/>
        <v/>
      </c>
      <c r="I204" s="62" t="str">
        <f t="shared" si="9"/>
        <v/>
      </c>
      <c r="J204" s="63" t="str">
        <f t="shared" si="10"/>
        <v/>
      </c>
      <c r="K204" s="63" t="str">
        <f t="shared" si="11"/>
        <v/>
      </c>
      <c r="L204" s="63">
        <f t="shared" si="12"/>
        <v>1</v>
      </c>
      <c r="M204" s="63" t="str">
        <f t="shared" si="13"/>
        <v/>
      </c>
      <c r="N204" s="63" t="str">
        <f t="shared" si="14"/>
        <v/>
      </c>
      <c r="O204" s="64">
        <f t="shared" si="15"/>
        <v>1</v>
      </c>
      <c r="P204" s="64" t="str">
        <f t="shared" si="16"/>
        <v/>
      </c>
      <c r="Q204" s="54"/>
      <c r="R204" s="8" t="s">
        <v>234</v>
      </c>
      <c r="S204" s="14">
        <v>44741.0</v>
      </c>
      <c r="T204" s="16">
        <f>VLOOKUP(R204,'Run Reconcile'!$A$2:$L783,12,FALSE)</f>
        <v>1</v>
      </c>
      <c r="U204" s="16" t="str">
        <f t="shared" si="17"/>
        <v/>
      </c>
      <c r="V204" s="16" t="str">
        <f t="shared" si="18"/>
        <v/>
      </c>
      <c r="W204" s="16"/>
      <c r="X204" s="54"/>
      <c r="Z204" s="14"/>
      <c r="AA204" s="16"/>
      <c r="AB204" s="16"/>
      <c r="AC204" s="16"/>
      <c r="AD204" s="16"/>
      <c r="AE204" s="66"/>
      <c r="AF204" s="54"/>
      <c r="AG204" s="70" t="s">
        <v>236</v>
      </c>
      <c r="AH204" s="68">
        <f>VLOOKUP(AG204,'Run Reconcile'!A$2:B783,2,FALSE)</f>
        <v>44760</v>
      </c>
      <c r="AI204" s="69">
        <f>COUNTIF('APS Tubes IMPORT'!$V$2:$V783, AG204)
</f>
        <v>2</v>
      </c>
      <c r="AJ204" s="69">
        <f>COUNTIFS('APS Tubes IMPORT'!V$2:V783, AG204, 'APS Tubes IMPORT'!H$2:H783, "Negative")
</f>
        <v>2</v>
      </c>
      <c r="AK204" s="69">
        <f>COUNTIFS('APS Tubes IMPORT'!V$2:V783, AG204, 'APS Tubes IMPORT'!H$2:H783, "Positive")
</f>
        <v>0</v>
      </c>
      <c r="AL204" s="69">
        <f>COUNTIFS('APS Tubes IMPORT'!V$2:V783, AG204, 'APS Tubes IMPORT'!H$2:H783, "Inconclusive")
</f>
        <v>0</v>
      </c>
      <c r="AM204" s="69">
        <f>COUNTIFS('APS Tubes IMPORT'!V$2:V783, AG204, 'APS Tubes IMPORT'!H$2:H783, "Null")
</f>
        <v>0</v>
      </c>
      <c r="AN204" s="54"/>
      <c r="AO204" s="14">
        <f>'APS Tubes by Date IMPORT'!B203</f>
        <v>44739</v>
      </c>
      <c r="AP204" s="16">
        <f>'APS Tubes by Date IMPORT'!D203</f>
        <v>1</v>
      </c>
      <c r="AQ204" s="16">
        <f>'APS Tubes by Date IMPORT'!D203</f>
        <v>1</v>
      </c>
      <c r="AR204" s="16">
        <f>'APS Tubes by Date IMPORT'!E203</f>
        <v>0</v>
      </c>
      <c r="AS204" s="16">
        <f>'APS Tubes by Date IMPORT'!F203</f>
        <v>0</v>
      </c>
      <c r="AT204" s="16">
        <f>'APS Tubes by Date IMPORT'!G203</f>
        <v>0</v>
      </c>
      <c r="AU204" s="54"/>
    </row>
    <row r="205">
      <c r="A205" s="8" t="s">
        <v>235</v>
      </c>
      <c r="B205" s="58">
        <f>VLOOKUP(A205,'Run Reconcile'!A$2:B783,2,FALSE)</f>
        <v>44742</v>
      </c>
      <c r="C205" s="59">
        <f>COUNTIF('ALL Tube Results'!B204:B783, A205)
</f>
        <v>1</v>
      </c>
      <c r="D205" s="60">
        <f>COUNTIFS('ALL Tube Results'!$B204:$B783, $A205, 'ALL Tube Results'!$F204:$F783, "Negative")
</f>
        <v>1</v>
      </c>
      <c r="E205" s="60">
        <f>COUNTIFS('ALL Tube Results'!$B204:$B783, $A205, 'ALL Tube Results'!$F204:$F783, "Positive")
</f>
        <v>0</v>
      </c>
      <c r="F205" s="60">
        <f>COUNTIFS('ALL Tube Results'!$B204:$B783, $A205, 'ALL Tube Results'!$F204:$F783, "Inconclusive")
</f>
        <v>0</v>
      </c>
      <c r="G205" s="61">
        <f t="shared" si="7"/>
        <v>1</v>
      </c>
      <c r="H205" s="61" t="str">
        <f t="shared" si="8"/>
        <v/>
      </c>
      <c r="I205" s="62" t="str">
        <f t="shared" si="9"/>
        <v/>
      </c>
      <c r="J205" s="63" t="str">
        <f t="shared" si="10"/>
        <v/>
      </c>
      <c r="K205" s="63" t="str">
        <f t="shared" si="11"/>
        <v/>
      </c>
      <c r="L205" s="63">
        <f t="shared" si="12"/>
        <v>1</v>
      </c>
      <c r="M205" s="63" t="str">
        <f t="shared" si="13"/>
        <v/>
      </c>
      <c r="N205" s="63" t="str">
        <f t="shared" si="14"/>
        <v/>
      </c>
      <c r="O205" s="64">
        <f t="shared" si="15"/>
        <v>1</v>
      </c>
      <c r="P205" s="64" t="str">
        <f t="shared" si="16"/>
        <v/>
      </c>
      <c r="Q205" s="54"/>
      <c r="R205" s="8" t="s">
        <v>235</v>
      </c>
      <c r="S205" s="14">
        <v>44742.0</v>
      </c>
      <c r="T205" s="16">
        <f>VLOOKUP(R205,'Run Reconcile'!$A$2:$L783,12,FALSE)</f>
        <v>1</v>
      </c>
      <c r="U205" s="16" t="str">
        <f t="shared" si="17"/>
        <v/>
      </c>
      <c r="V205" s="16" t="str">
        <f t="shared" si="18"/>
        <v/>
      </c>
      <c r="W205" s="16"/>
      <c r="X205" s="54"/>
      <c r="Z205" s="14"/>
      <c r="AA205" s="16"/>
      <c r="AB205" s="16"/>
      <c r="AC205" s="16"/>
      <c r="AD205" s="16"/>
      <c r="AE205" s="66"/>
      <c r="AF205" s="54"/>
      <c r="AG205" s="70" t="s">
        <v>237</v>
      </c>
      <c r="AH205" s="68">
        <f>VLOOKUP(AG205,'Run Reconcile'!A$2:B783,2,FALSE)</f>
        <v>44763</v>
      </c>
      <c r="AI205" s="69">
        <f>COUNTIF('APS Tubes IMPORT'!$V$2:$V783, AG205)
</f>
        <v>1</v>
      </c>
      <c r="AJ205" s="69">
        <f>COUNTIFS('APS Tubes IMPORT'!V$2:V783, AG205, 'APS Tubes IMPORT'!H$2:H783, "Negative")
</f>
        <v>1</v>
      </c>
      <c r="AK205" s="69">
        <f>COUNTIFS('APS Tubes IMPORT'!V$2:V783, AG205, 'APS Tubes IMPORT'!H$2:H783, "Positive")
</f>
        <v>0</v>
      </c>
      <c r="AL205" s="69">
        <f>COUNTIFS('APS Tubes IMPORT'!V$2:V783, AG205, 'APS Tubes IMPORT'!H$2:H783, "Inconclusive")
</f>
        <v>0</v>
      </c>
      <c r="AM205" s="69">
        <f>COUNTIFS('APS Tubes IMPORT'!V$2:V783, AG205, 'APS Tubes IMPORT'!H$2:H783, "Null")
</f>
        <v>0</v>
      </c>
      <c r="AN205" s="54"/>
      <c r="AO205" s="14">
        <f>'APS Tubes by Date IMPORT'!B204</f>
        <v>44741</v>
      </c>
      <c r="AP205" s="16">
        <f>'APS Tubes by Date IMPORT'!D204</f>
        <v>1</v>
      </c>
      <c r="AQ205" s="16">
        <f>'APS Tubes by Date IMPORT'!D204</f>
        <v>1</v>
      </c>
      <c r="AR205" s="16">
        <f>'APS Tubes by Date IMPORT'!E204</f>
        <v>0</v>
      </c>
      <c r="AS205" s="16">
        <f>'APS Tubes by Date IMPORT'!F204</f>
        <v>0</v>
      </c>
      <c r="AT205" s="16">
        <f>'APS Tubes by Date IMPORT'!G204</f>
        <v>0</v>
      </c>
      <c r="AU205" s="54"/>
    </row>
    <row r="206">
      <c r="A206" s="8" t="s">
        <v>236</v>
      </c>
      <c r="B206" s="58">
        <f>VLOOKUP(A206,'Run Reconcile'!A$2:B783,2,FALSE)</f>
        <v>44760</v>
      </c>
      <c r="C206" s="59">
        <f>COUNTIF('ALL Tube Results'!B205:B783, A206)
</f>
        <v>2</v>
      </c>
      <c r="D206" s="60">
        <f>COUNTIFS('ALL Tube Results'!$B205:$B783, $A206, 'ALL Tube Results'!$F205:$F783, "Negative")
</f>
        <v>2</v>
      </c>
      <c r="E206" s="60">
        <f>COUNTIFS('ALL Tube Results'!$B205:$B783, $A206, 'ALL Tube Results'!$F205:$F783, "Positive")
</f>
        <v>0</v>
      </c>
      <c r="F206" s="60">
        <f>COUNTIFS('ALL Tube Results'!$B205:$B783, $A206, 'ALL Tube Results'!$F205:$F783, "Inconclusive")
</f>
        <v>0</v>
      </c>
      <c r="G206" s="61">
        <f t="shared" si="7"/>
        <v>2</v>
      </c>
      <c r="H206" s="61" t="str">
        <f t="shared" si="8"/>
        <v/>
      </c>
      <c r="I206" s="62" t="str">
        <f t="shared" si="9"/>
        <v/>
      </c>
      <c r="J206" s="63" t="str">
        <f t="shared" si="10"/>
        <v/>
      </c>
      <c r="K206" s="63" t="str">
        <f t="shared" si="11"/>
        <v/>
      </c>
      <c r="L206" s="63">
        <f t="shared" si="12"/>
        <v>2</v>
      </c>
      <c r="M206" s="63" t="str">
        <f t="shared" si="13"/>
        <v/>
      </c>
      <c r="N206" s="63" t="str">
        <f t="shared" si="14"/>
        <v/>
      </c>
      <c r="O206" s="64">
        <f t="shared" si="15"/>
        <v>2</v>
      </c>
      <c r="P206" s="64" t="str">
        <f t="shared" si="16"/>
        <v/>
      </c>
      <c r="Q206" s="54"/>
      <c r="R206" s="8" t="s">
        <v>236</v>
      </c>
      <c r="S206" s="14">
        <v>44760.0</v>
      </c>
      <c r="T206" s="16">
        <f>VLOOKUP(R206,'Run Reconcile'!$A$2:$L783,12,FALSE)</f>
        <v>2</v>
      </c>
      <c r="U206" s="16" t="str">
        <f t="shared" si="17"/>
        <v/>
      </c>
      <c r="V206" s="16" t="str">
        <f t="shared" si="18"/>
        <v/>
      </c>
      <c r="W206" s="16"/>
      <c r="X206" s="54"/>
      <c r="Z206" s="14"/>
      <c r="AA206" s="16"/>
      <c r="AB206" s="16"/>
      <c r="AC206" s="16"/>
      <c r="AD206" s="16"/>
      <c r="AE206" s="66"/>
      <c r="AF206" s="54"/>
      <c r="AG206" s="70" t="s">
        <v>238</v>
      </c>
      <c r="AH206" s="68">
        <f>VLOOKUP(AG206,'Run Reconcile'!A$2:B783,2,FALSE)</f>
        <v>44767</v>
      </c>
      <c r="AI206" s="69">
        <f>COUNTIF('APS Tubes IMPORT'!$V$2:$V783, AG206)
</f>
        <v>3</v>
      </c>
      <c r="AJ206" s="69">
        <f>COUNTIFS('APS Tubes IMPORT'!V$2:V783, AG206, 'APS Tubes IMPORT'!H$2:H783, "Negative")
</f>
        <v>3</v>
      </c>
      <c r="AK206" s="69">
        <f>COUNTIFS('APS Tubes IMPORT'!V$2:V783, AG206, 'APS Tubes IMPORT'!H$2:H783, "Positive")
</f>
        <v>0</v>
      </c>
      <c r="AL206" s="69">
        <f>COUNTIFS('APS Tubes IMPORT'!V$2:V783, AG206, 'APS Tubes IMPORT'!H$2:H783, "Inconclusive")
</f>
        <v>0</v>
      </c>
      <c r="AM206" s="69">
        <f>COUNTIFS('APS Tubes IMPORT'!V$2:V783, AG206, 'APS Tubes IMPORT'!H$2:H783, "Null")
</f>
        <v>0</v>
      </c>
      <c r="AN206" s="54"/>
      <c r="AO206" s="14">
        <f>'APS Tubes by Date IMPORT'!B205</f>
        <v>44742</v>
      </c>
      <c r="AP206" s="16">
        <f>'APS Tubes by Date IMPORT'!D205</f>
        <v>1</v>
      </c>
      <c r="AQ206" s="16">
        <f>'APS Tubes by Date IMPORT'!D205</f>
        <v>1</v>
      </c>
      <c r="AR206" s="16">
        <f>'APS Tubes by Date IMPORT'!E205</f>
        <v>0</v>
      </c>
      <c r="AS206" s="16">
        <f>'APS Tubes by Date IMPORT'!F205</f>
        <v>0</v>
      </c>
      <c r="AT206" s="16">
        <f>'APS Tubes by Date IMPORT'!G205</f>
        <v>0</v>
      </c>
      <c r="AU206" s="54"/>
    </row>
    <row r="207">
      <c r="A207" s="8" t="s">
        <v>237</v>
      </c>
      <c r="B207" s="58">
        <f>VLOOKUP(A207,'Run Reconcile'!A$2:B783,2,FALSE)</f>
        <v>44763</v>
      </c>
      <c r="C207" s="59">
        <f>COUNTIF('ALL Tube Results'!B206:B783, A207)
</f>
        <v>1</v>
      </c>
      <c r="D207" s="60">
        <f>COUNTIFS('ALL Tube Results'!$B206:$B783, $A207, 'ALL Tube Results'!$F206:$F783, "Negative")
</f>
        <v>1</v>
      </c>
      <c r="E207" s="60">
        <f>COUNTIFS('ALL Tube Results'!$B206:$B783, $A207, 'ALL Tube Results'!$F206:$F783, "Positive")
</f>
        <v>0</v>
      </c>
      <c r="F207" s="60">
        <f>COUNTIFS('ALL Tube Results'!$B206:$B783, $A207, 'ALL Tube Results'!$F206:$F783, "Inconclusive")
</f>
        <v>0</v>
      </c>
      <c r="G207" s="61">
        <f t="shared" si="7"/>
        <v>1</v>
      </c>
      <c r="H207" s="61" t="str">
        <f t="shared" si="8"/>
        <v/>
      </c>
      <c r="I207" s="62" t="str">
        <f t="shared" si="9"/>
        <v/>
      </c>
      <c r="J207" s="63" t="str">
        <f t="shared" si="10"/>
        <v/>
      </c>
      <c r="K207" s="63" t="str">
        <f t="shared" si="11"/>
        <v/>
      </c>
      <c r="L207" s="63">
        <f t="shared" si="12"/>
        <v>1</v>
      </c>
      <c r="M207" s="63" t="str">
        <f t="shared" si="13"/>
        <v/>
      </c>
      <c r="N207" s="63" t="str">
        <f t="shared" si="14"/>
        <v/>
      </c>
      <c r="O207" s="64">
        <f t="shared" si="15"/>
        <v>1</v>
      </c>
      <c r="P207" s="64" t="str">
        <f t="shared" si="16"/>
        <v/>
      </c>
      <c r="Q207" s="54"/>
      <c r="R207" s="8" t="s">
        <v>237</v>
      </c>
      <c r="S207" s="14">
        <v>44763.0</v>
      </c>
      <c r="T207" s="16">
        <f>VLOOKUP(R207,'Run Reconcile'!$A$2:$L783,12,FALSE)</f>
        <v>1</v>
      </c>
      <c r="U207" s="16" t="str">
        <f t="shared" si="17"/>
        <v/>
      </c>
      <c r="V207" s="16" t="str">
        <f t="shared" si="18"/>
        <v/>
      </c>
      <c r="W207" s="16"/>
      <c r="X207" s="54"/>
      <c r="Z207" s="14"/>
      <c r="AA207" s="16"/>
      <c r="AB207" s="16"/>
      <c r="AC207" s="16"/>
      <c r="AD207" s="16"/>
      <c r="AE207" s="66"/>
      <c r="AF207" s="54"/>
      <c r="AG207" s="70" t="s">
        <v>239</v>
      </c>
      <c r="AH207" s="68">
        <f>VLOOKUP(AG207,'Run Reconcile'!A$2:B783,2,FALSE)</f>
        <v>44770</v>
      </c>
      <c r="AI207" s="69">
        <f>COUNTIF('APS Tubes IMPORT'!$V$2:$V783, AG207)
</f>
        <v>1</v>
      </c>
      <c r="AJ207" s="69">
        <f>COUNTIFS('APS Tubes IMPORT'!V$2:V783, AG207, 'APS Tubes IMPORT'!H$2:H783, "Negative")
</f>
        <v>1</v>
      </c>
      <c r="AK207" s="69">
        <f>COUNTIFS('APS Tubes IMPORT'!V$2:V783, AG207, 'APS Tubes IMPORT'!H$2:H783, "Positive")
</f>
        <v>0</v>
      </c>
      <c r="AL207" s="69">
        <f>COUNTIFS('APS Tubes IMPORT'!V$2:V783, AG207, 'APS Tubes IMPORT'!H$2:H783, "Inconclusive")
</f>
        <v>0</v>
      </c>
      <c r="AM207" s="69">
        <f>COUNTIFS('APS Tubes IMPORT'!V$2:V783, AG207, 'APS Tubes IMPORT'!H$2:H783, "Null")
</f>
        <v>0</v>
      </c>
      <c r="AN207" s="54"/>
      <c r="AO207" s="14">
        <f>'APS Tubes by Date IMPORT'!B206</f>
        <v>44760</v>
      </c>
      <c r="AP207" s="16">
        <f>'APS Tubes by Date IMPORT'!D206</f>
        <v>2</v>
      </c>
      <c r="AQ207" s="16">
        <f>'APS Tubes by Date IMPORT'!D206</f>
        <v>2</v>
      </c>
      <c r="AR207" s="16">
        <f>'APS Tubes by Date IMPORT'!E206</f>
        <v>0</v>
      </c>
      <c r="AS207" s="16">
        <f>'APS Tubes by Date IMPORT'!F206</f>
        <v>0</v>
      </c>
      <c r="AT207" s="16">
        <f>'APS Tubes by Date IMPORT'!G206</f>
        <v>0</v>
      </c>
      <c r="AU207" s="54"/>
    </row>
    <row r="208">
      <c r="A208" s="8" t="s">
        <v>238</v>
      </c>
      <c r="B208" s="58">
        <f>VLOOKUP(A208,'Run Reconcile'!A$2:B783,2,FALSE)</f>
        <v>44767</v>
      </c>
      <c r="C208" s="59">
        <f>COUNTIF('ALL Tube Results'!B207:B783, A208)
</f>
        <v>3</v>
      </c>
      <c r="D208" s="60">
        <f>COUNTIFS('ALL Tube Results'!$B207:$B783, $A208, 'ALL Tube Results'!$F207:$F783, "Negative")
</f>
        <v>3</v>
      </c>
      <c r="E208" s="60">
        <f>COUNTIFS('ALL Tube Results'!$B207:$B783, $A208, 'ALL Tube Results'!$F207:$F783, "Positive")
</f>
        <v>0</v>
      </c>
      <c r="F208" s="60">
        <f>COUNTIFS('ALL Tube Results'!$B207:$B783, $A208, 'ALL Tube Results'!$F207:$F783, "Inconclusive")
</f>
        <v>0</v>
      </c>
      <c r="G208" s="61">
        <f t="shared" si="7"/>
        <v>3</v>
      </c>
      <c r="H208" s="61" t="str">
        <f t="shared" si="8"/>
        <v/>
      </c>
      <c r="I208" s="62" t="str">
        <f t="shared" si="9"/>
        <v/>
      </c>
      <c r="J208" s="63" t="str">
        <f t="shared" si="10"/>
        <v/>
      </c>
      <c r="K208" s="63" t="str">
        <f t="shared" si="11"/>
        <v/>
      </c>
      <c r="L208" s="63">
        <f t="shared" si="12"/>
        <v>3</v>
      </c>
      <c r="M208" s="63" t="str">
        <f t="shared" si="13"/>
        <v/>
      </c>
      <c r="N208" s="63" t="str">
        <f t="shared" si="14"/>
        <v/>
      </c>
      <c r="O208" s="64">
        <f t="shared" si="15"/>
        <v>3</v>
      </c>
      <c r="P208" s="64" t="str">
        <f t="shared" si="16"/>
        <v/>
      </c>
      <c r="Q208" s="54"/>
      <c r="R208" s="8" t="s">
        <v>238</v>
      </c>
      <c r="S208" s="14">
        <v>44767.0</v>
      </c>
      <c r="T208" s="16">
        <f>VLOOKUP(R208,'Run Reconcile'!$A$2:$L783,12,FALSE)</f>
        <v>3</v>
      </c>
      <c r="U208" s="16" t="str">
        <f t="shared" si="17"/>
        <v/>
      </c>
      <c r="V208" s="16" t="str">
        <f t="shared" si="18"/>
        <v/>
      </c>
      <c r="W208" s="16"/>
      <c r="X208" s="54"/>
      <c r="Z208" s="14"/>
      <c r="AA208" s="16"/>
      <c r="AB208" s="16"/>
      <c r="AC208" s="16"/>
      <c r="AD208" s="16"/>
      <c r="AE208" s="66"/>
      <c r="AF208" s="54"/>
      <c r="AG208" s="70" t="s">
        <v>240</v>
      </c>
      <c r="AH208" s="68">
        <f>VLOOKUP(AG208,'Run Reconcile'!A$2:B783,2,FALSE)</f>
        <v>44774</v>
      </c>
      <c r="AI208" s="69">
        <f>COUNTIF('APS Tubes IMPORT'!$V$2:$V783, AG208)
</f>
        <v>1</v>
      </c>
      <c r="AJ208" s="69">
        <f>COUNTIFS('APS Tubes IMPORT'!V$2:V783, AG208, 'APS Tubes IMPORT'!H$2:H783, "Negative")
</f>
        <v>1</v>
      </c>
      <c r="AK208" s="69">
        <f>COUNTIFS('APS Tubes IMPORT'!V$2:V783, AG208, 'APS Tubes IMPORT'!H$2:H783, "Positive")
</f>
        <v>0</v>
      </c>
      <c r="AL208" s="69">
        <f>COUNTIFS('APS Tubes IMPORT'!V$2:V783, AG208, 'APS Tubes IMPORT'!H$2:H783, "Inconclusive")
</f>
        <v>0</v>
      </c>
      <c r="AM208" s="69">
        <f>COUNTIFS('APS Tubes IMPORT'!V$2:V783, AG208, 'APS Tubes IMPORT'!H$2:H783, "Null")
</f>
        <v>0</v>
      </c>
      <c r="AN208" s="54"/>
      <c r="AO208" s="14">
        <f>'APS Tubes by Date IMPORT'!B207</f>
        <v>44763</v>
      </c>
      <c r="AP208" s="16">
        <f>'APS Tubes by Date IMPORT'!D207</f>
        <v>1</v>
      </c>
      <c r="AQ208" s="16">
        <f>'APS Tubes by Date IMPORT'!D207</f>
        <v>1</v>
      </c>
      <c r="AR208" s="16">
        <f>'APS Tubes by Date IMPORT'!E207</f>
        <v>0</v>
      </c>
      <c r="AS208" s="16">
        <f>'APS Tubes by Date IMPORT'!F207</f>
        <v>0</v>
      </c>
      <c r="AT208" s="16">
        <f>'APS Tubes by Date IMPORT'!G207</f>
        <v>0</v>
      </c>
      <c r="AU208" s="54"/>
    </row>
    <row r="209">
      <c r="A209" s="8" t="s">
        <v>239</v>
      </c>
      <c r="B209" s="58">
        <f>VLOOKUP(A209,'Run Reconcile'!A$2:B783,2,FALSE)</f>
        <v>44770</v>
      </c>
      <c r="C209" s="59">
        <f>COUNTIF('ALL Tube Results'!B208:B783, A209)
</f>
        <v>1</v>
      </c>
      <c r="D209" s="60">
        <f>COUNTIFS('ALL Tube Results'!$B208:$B783, $A209, 'ALL Tube Results'!$F208:$F783, "Negative")
</f>
        <v>1</v>
      </c>
      <c r="E209" s="60">
        <f>COUNTIFS('ALL Tube Results'!$B208:$B783, $A209, 'ALL Tube Results'!$F208:$F783, "Positive")
</f>
        <v>0</v>
      </c>
      <c r="F209" s="60">
        <f>COUNTIFS('ALL Tube Results'!$B208:$B783, $A209, 'ALL Tube Results'!$F208:$F783, "Inconclusive")
</f>
        <v>0</v>
      </c>
      <c r="G209" s="61">
        <f t="shared" si="7"/>
        <v>1</v>
      </c>
      <c r="H209" s="61" t="str">
        <f t="shared" si="8"/>
        <v/>
      </c>
      <c r="I209" s="62" t="str">
        <f t="shared" si="9"/>
        <v/>
      </c>
      <c r="J209" s="63" t="str">
        <f t="shared" si="10"/>
        <v/>
      </c>
      <c r="K209" s="63" t="str">
        <f t="shared" si="11"/>
        <v/>
      </c>
      <c r="L209" s="63">
        <f t="shared" si="12"/>
        <v>1</v>
      </c>
      <c r="M209" s="63" t="str">
        <f t="shared" si="13"/>
        <v/>
      </c>
      <c r="N209" s="63" t="str">
        <f t="shared" si="14"/>
        <v/>
      </c>
      <c r="O209" s="64">
        <f t="shared" si="15"/>
        <v>1</v>
      </c>
      <c r="P209" s="64" t="str">
        <f t="shared" si="16"/>
        <v/>
      </c>
      <c r="Q209" s="54"/>
      <c r="R209" s="8" t="s">
        <v>239</v>
      </c>
      <c r="S209" s="14">
        <v>44770.0</v>
      </c>
      <c r="T209" s="16">
        <f>VLOOKUP(R209,'Run Reconcile'!$A$2:$L783,12,FALSE)</f>
        <v>1</v>
      </c>
      <c r="U209" s="16" t="str">
        <f t="shared" si="17"/>
        <v/>
      </c>
      <c r="V209" s="16" t="str">
        <f t="shared" si="18"/>
        <v/>
      </c>
      <c r="W209" s="16"/>
      <c r="X209" s="54"/>
      <c r="Z209" s="14"/>
      <c r="AA209" s="16"/>
      <c r="AB209" s="16"/>
      <c r="AC209" s="16"/>
      <c r="AD209" s="16"/>
      <c r="AE209" s="66"/>
      <c r="AF209" s="54"/>
      <c r="AG209" s="70" t="s">
        <v>241</v>
      </c>
      <c r="AH209" s="68">
        <f>VLOOKUP(AG209,'Run Reconcile'!A$2:B783,2,FALSE)</f>
        <v>44777</v>
      </c>
      <c r="AI209" s="69">
        <f>COUNTIF('APS Tubes IMPORT'!$V$2:$V783, AG209)
</f>
        <v>2</v>
      </c>
      <c r="AJ209" s="69">
        <f>COUNTIFS('APS Tubes IMPORT'!V$2:V783, AG209, 'APS Tubes IMPORT'!H$2:H783, "Negative")
</f>
        <v>2</v>
      </c>
      <c r="AK209" s="69">
        <f>COUNTIFS('APS Tubes IMPORT'!V$2:V783, AG209, 'APS Tubes IMPORT'!H$2:H783, "Positive")
</f>
        <v>0</v>
      </c>
      <c r="AL209" s="69">
        <f>COUNTIFS('APS Tubes IMPORT'!V$2:V783, AG209, 'APS Tubes IMPORT'!H$2:H783, "Inconclusive")
</f>
        <v>0</v>
      </c>
      <c r="AM209" s="69">
        <f>COUNTIFS('APS Tubes IMPORT'!V$2:V783, AG209, 'APS Tubes IMPORT'!H$2:H783, "Null")
</f>
        <v>0</v>
      </c>
      <c r="AN209" s="54"/>
      <c r="AO209" s="14">
        <f>'APS Tubes by Date IMPORT'!B208</f>
        <v>44767</v>
      </c>
      <c r="AP209" s="16">
        <f>'APS Tubes by Date IMPORT'!D208</f>
        <v>3</v>
      </c>
      <c r="AQ209" s="16">
        <f>'APS Tubes by Date IMPORT'!D208</f>
        <v>3</v>
      </c>
      <c r="AR209" s="16">
        <f>'APS Tubes by Date IMPORT'!E208</f>
        <v>0</v>
      </c>
      <c r="AS209" s="16">
        <f>'APS Tubes by Date IMPORT'!F208</f>
        <v>0</v>
      </c>
      <c r="AT209" s="16">
        <f>'APS Tubes by Date IMPORT'!G208</f>
        <v>0</v>
      </c>
      <c r="AU209" s="54"/>
    </row>
    <row r="210">
      <c r="A210" s="8" t="s">
        <v>240</v>
      </c>
      <c r="B210" s="58">
        <f>VLOOKUP(A210,'Run Reconcile'!A$2:B783,2,FALSE)</f>
        <v>44774</v>
      </c>
      <c r="C210" s="59">
        <f>COUNTIF('ALL Tube Results'!B209:B783, A210)
</f>
        <v>1</v>
      </c>
      <c r="D210" s="60">
        <f>COUNTIFS('ALL Tube Results'!$B209:$B783, $A210, 'ALL Tube Results'!$F209:$F783, "Negative")
</f>
        <v>1</v>
      </c>
      <c r="E210" s="60">
        <f>COUNTIFS('ALL Tube Results'!$B209:$B783, $A210, 'ALL Tube Results'!$F209:$F783, "Positive")
</f>
        <v>0</v>
      </c>
      <c r="F210" s="60">
        <f>COUNTIFS('ALL Tube Results'!$B209:$B783, $A210, 'ALL Tube Results'!$F209:$F783, "Inconclusive")
</f>
        <v>0</v>
      </c>
      <c r="G210" s="61">
        <f t="shared" si="7"/>
        <v>1</v>
      </c>
      <c r="H210" s="61" t="str">
        <f t="shared" si="8"/>
        <v/>
      </c>
      <c r="I210" s="62" t="str">
        <f t="shared" si="9"/>
        <v/>
      </c>
      <c r="J210" s="63" t="str">
        <f t="shared" si="10"/>
        <v/>
      </c>
      <c r="K210" s="63" t="str">
        <f t="shared" si="11"/>
        <v/>
      </c>
      <c r="L210" s="63">
        <f t="shared" si="12"/>
        <v>1</v>
      </c>
      <c r="M210" s="63" t="str">
        <f t="shared" si="13"/>
        <v/>
      </c>
      <c r="N210" s="63" t="str">
        <f t="shared" si="14"/>
        <v/>
      </c>
      <c r="O210" s="64">
        <f t="shared" si="15"/>
        <v>1</v>
      </c>
      <c r="P210" s="64" t="str">
        <f t="shared" si="16"/>
        <v/>
      </c>
      <c r="Q210" s="54"/>
      <c r="R210" s="8" t="s">
        <v>240</v>
      </c>
      <c r="S210" s="14">
        <v>44774.0</v>
      </c>
      <c r="T210" s="16">
        <f>VLOOKUP(R210,'Run Reconcile'!$A$2:$L783,12,FALSE)</f>
        <v>1</v>
      </c>
      <c r="U210" s="16" t="str">
        <f t="shared" si="17"/>
        <v/>
      </c>
      <c r="V210" s="16" t="str">
        <f t="shared" si="18"/>
        <v/>
      </c>
      <c r="W210" s="16"/>
      <c r="X210" s="54"/>
      <c r="Z210" s="14"/>
      <c r="AA210" s="16"/>
      <c r="AB210" s="16"/>
      <c r="AC210" s="16"/>
      <c r="AD210" s="16"/>
      <c r="AE210" s="66"/>
      <c r="AF210" s="54"/>
      <c r="AG210" s="70" t="s">
        <v>242</v>
      </c>
      <c r="AH210" s="68">
        <f>VLOOKUP(AG210,'Run Reconcile'!A$2:B783,2,FALSE)</f>
        <v>44795</v>
      </c>
      <c r="AI210" s="69">
        <f>COUNTIF('APS Tubes IMPORT'!$V$2:$V783, AG210)
</f>
        <v>1</v>
      </c>
      <c r="AJ210" s="69">
        <f>COUNTIFS('APS Tubes IMPORT'!V$2:V783, AG210, 'APS Tubes IMPORT'!H$2:H783, "Negative")
</f>
        <v>1</v>
      </c>
      <c r="AK210" s="69">
        <f>COUNTIFS('APS Tubes IMPORT'!V$2:V783, AG210, 'APS Tubes IMPORT'!H$2:H783, "Positive")
</f>
        <v>0</v>
      </c>
      <c r="AL210" s="69">
        <f>COUNTIFS('APS Tubes IMPORT'!V$2:V783, AG210, 'APS Tubes IMPORT'!H$2:H783, "Inconclusive")
</f>
        <v>0</v>
      </c>
      <c r="AM210" s="69">
        <f>COUNTIFS('APS Tubes IMPORT'!V$2:V783, AG210, 'APS Tubes IMPORT'!H$2:H783, "Null")
</f>
        <v>0</v>
      </c>
      <c r="AN210" s="54"/>
      <c r="AO210" s="14">
        <f>'APS Tubes by Date IMPORT'!B209</f>
        <v>44770</v>
      </c>
      <c r="AP210" s="16">
        <f>'APS Tubes by Date IMPORT'!D209</f>
        <v>1</v>
      </c>
      <c r="AQ210" s="16">
        <f>'APS Tubes by Date IMPORT'!D209</f>
        <v>1</v>
      </c>
      <c r="AR210" s="16">
        <f>'APS Tubes by Date IMPORT'!E209</f>
        <v>0</v>
      </c>
      <c r="AS210" s="16">
        <f>'APS Tubes by Date IMPORT'!F209</f>
        <v>0</v>
      </c>
      <c r="AT210" s="16">
        <f>'APS Tubes by Date IMPORT'!G209</f>
        <v>0</v>
      </c>
      <c r="AU210" s="54"/>
    </row>
    <row r="211">
      <c r="A211" s="8" t="s">
        <v>241</v>
      </c>
      <c r="B211" s="58">
        <f>VLOOKUP(A211,'Run Reconcile'!A$2:B783,2,FALSE)</f>
        <v>44777</v>
      </c>
      <c r="C211" s="59">
        <f>COUNTIF('ALL Tube Results'!B210:B783, A211)
</f>
        <v>2</v>
      </c>
      <c r="D211" s="60">
        <f>COUNTIFS('ALL Tube Results'!$B210:$B783, $A211, 'ALL Tube Results'!$F210:$F783, "Negative")
</f>
        <v>2</v>
      </c>
      <c r="E211" s="60">
        <f>COUNTIFS('ALL Tube Results'!$B210:$B783, $A211, 'ALL Tube Results'!$F210:$F783, "Positive")
</f>
        <v>0</v>
      </c>
      <c r="F211" s="60">
        <f>COUNTIFS('ALL Tube Results'!$B210:$B783, $A211, 'ALL Tube Results'!$F210:$F783, "Inconclusive")
</f>
        <v>0</v>
      </c>
      <c r="G211" s="61">
        <f t="shared" si="7"/>
        <v>2</v>
      </c>
      <c r="H211" s="61" t="str">
        <f t="shared" si="8"/>
        <v/>
      </c>
      <c r="I211" s="62" t="str">
        <f t="shared" si="9"/>
        <v/>
      </c>
      <c r="J211" s="63" t="str">
        <f t="shared" si="10"/>
        <v/>
      </c>
      <c r="K211" s="63" t="str">
        <f t="shared" si="11"/>
        <v/>
      </c>
      <c r="L211" s="63">
        <f t="shared" si="12"/>
        <v>2</v>
      </c>
      <c r="M211" s="63" t="str">
        <f t="shared" si="13"/>
        <v/>
      </c>
      <c r="N211" s="63" t="str">
        <f t="shared" si="14"/>
        <v/>
      </c>
      <c r="O211" s="64">
        <f t="shared" si="15"/>
        <v>2</v>
      </c>
      <c r="P211" s="64" t="str">
        <f t="shared" si="16"/>
        <v/>
      </c>
      <c r="Q211" s="54"/>
      <c r="R211" s="8" t="s">
        <v>241</v>
      </c>
      <c r="S211" s="14">
        <v>44777.0</v>
      </c>
      <c r="T211" s="16">
        <f>VLOOKUP(R211,'Run Reconcile'!$A$2:$L783,12,FALSE)</f>
        <v>2</v>
      </c>
      <c r="U211" s="16" t="str">
        <f t="shared" si="17"/>
        <v/>
      </c>
      <c r="V211" s="16" t="str">
        <f t="shared" si="18"/>
        <v/>
      </c>
      <c r="W211" s="16"/>
      <c r="X211" s="54"/>
      <c r="Z211" s="14"/>
      <c r="AA211" s="16"/>
      <c r="AB211" s="16"/>
      <c r="AC211" s="16"/>
      <c r="AD211" s="16"/>
      <c r="AE211" s="66"/>
      <c r="AF211" s="54"/>
      <c r="AG211" s="70" t="s">
        <v>243</v>
      </c>
      <c r="AH211" s="68">
        <f>VLOOKUP(AG211,'Run Reconcile'!A$2:B783,2,FALSE)</f>
        <v>44810</v>
      </c>
      <c r="AI211" s="69">
        <f>COUNTIF('APS Tubes IMPORT'!$V$2:$V783, AG211)
</f>
        <v>2</v>
      </c>
      <c r="AJ211" s="69">
        <f>COUNTIFS('APS Tubes IMPORT'!V$2:V783, AG211, 'APS Tubes IMPORT'!H$2:H783, "Negative")
</f>
        <v>2</v>
      </c>
      <c r="AK211" s="69">
        <f>COUNTIFS('APS Tubes IMPORT'!V$2:V783, AG211, 'APS Tubes IMPORT'!H$2:H783, "Positive")
</f>
        <v>0</v>
      </c>
      <c r="AL211" s="69">
        <f>COUNTIFS('APS Tubes IMPORT'!V$2:V783, AG211, 'APS Tubes IMPORT'!H$2:H783, "Inconclusive")
</f>
        <v>0</v>
      </c>
      <c r="AM211" s="69">
        <f>COUNTIFS('APS Tubes IMPORT'!V$2:V783, AG211, 'APS Tubes IMPORT'!H$2:H783, "Null")
</f>
        <v>0</v>
      </c>
      <c r="AN211" s="54"/>
      <c r="AO211" s="14">
        <f>'APS Tubes by Date IMPORT'!B210</f>
        <v>44774</v>
      </c>
      <c r="AP211" s="16">
        <f>'APS Tubes by Date IMPORT'!D210</f>
        <v>1</v>
      </c>
      <c r="AQ211" s="16">
        <f>'APS Tubes by Date IMPORT'!D210</f>
        <v>1</v>
      </c>
      <c r="AR211" s="16">
        <f>'APS Tubes by Date IMPORT'!E210</f>
        <v>0</v>
      </c>
      <c r="AS211" s="16">
        <f>'APS Tubes by Date IMPORT'!F210</f>
        <v>0</v>
      </c>
      <c r="AT211" s="16">
        <f>'APS Tubes by Date IMPORT'!G210</f>
        <v>0</v>
      </c>
      <c r="AU211" s="54"/>
    </row>
    <row r="212">
      <c r="A212" s="8" t="s">
        <v>242</v>
      </c>
      <c r="B212" s="58">
        <f>VLOOKUP(A212,'Run Reconcile'!A$2:B783,2,FALSE)</f>
        <v>44795</v>
      </c>
      <c r="C212" s="59">
        <f>COUNTIF('ALL Tube Results'!B211:B783, A212)
</f>
        <v>1</v>
      </c>
      <c r="D212" s="60">
        <f>COUNTIFS('ALL Tube Results'!$B211:$B783, $A212, 'ALL Tube Results'!$F211:$F783, "Negative")
</f>
        <v>1</v>
      </c>
      <c r="E212" s="60">
        <f>COUNTIFS('ALL Tube Results'!$B211:$B783, $A212, 'ALL Tube Results'!$F211:$F783, "Positive")
</f>
        <v>0</v>
      </c>
      <c r="F212" s="60">
        <f>COUNTIFS('ALL Tube Results'!$B211:$B783, $A212, 'ALL Tube Results'!$F211:$F783, "Inconclusive")
</f>
        <v>0</v>
      </c>
      <c r="G212" s="61">
        <f t="shared" si="7"/>
        <v>1</v>
      </c>
      <c r="H212" s="61" t="str">
        <f t="shared" si="8"/>
        <v/>
      </c>
      <c r="I212" s="62" t="str">
        <f t="shared" si="9"/>
        <v/>
      </c>
      <c r="J212" s="63" t="str">
        <f t="shared" si="10"/>
        <v/>
      </c>
      <c r="K212" s="63" t="str">
        <f t="shared" si="11"/>
        <v/>
      </c>
      <c r="L212" s="63">
        <f t="shared" si="12"/>
        <v>1</v>
      </c>
      <c r="M212" s="63" t="str">
        <f t="shared" si="13"/>
        <v/>
      </c>
      <c r="N212" s="63" t="str">
        <f t="shared" si="14"/>
        <v/>
      </c>
      <c r="O212" s="64">
        <f t="shared" si="15"/>
        <v>1</v>
      </c>
      <c r="P212" s="64" t="str">
        <f t="shared" si="16"/>
        <v/>
      </c>
      <c r="Q212" s="54"/>
      <c r="R212" s="8" t="s">
        <v>242</v>
      </c>
      <c r="S212" s="14">
        <v>44795.0</v>
      </c>
      <c r="T212" s="16">
        <f>VLOOKUP(R212,'Run Reconcile'!$A$2:$L783,12,FALSE)</f>
        <v>1</v>
      </c>
      <c r="U212" s="16" t="str">
        <f t="shared" si="17"/>
        <v/>
      </c>
      <c r="V212" s="16" t="str">
        <f t="shared" si="18"/>
        <v/>
      </c>
      <c r="W212" s="16"/>
      <c r="X212" s="54"/>
      <c r="Z212" s="14"/>
      <c r="AA212" s="16"/>
      <c r="AB212" s="16"/>
      <c r="AC212" s="16"/>
      <c r="AD212" s="16"/>
      <c r="AE212" s="66"/>
      <c r="AF212" s="54"/>
      <c r="AG212" s="70" t="s">
        <v>244</v>
      </c>
      <c r="AH212" s="68">
        <f>VLOOKUP(AG212,'Run Reconcile'!A$2:B783,2,FALSE)</f>
        <v>44812</v>
      </c>
      <c r="AI212" s="69">
        <f>COUNTIF('APS Tubes IMPORT'!$V$2:$V783, AG212)
</f>
        <v>1</v>
      </c>
      <c r="AJ212" s="69">
        <f>COUNTIFS('APS Tubes IMPORT'!V$2:V783, AG212, 'APS Tubes IMPORT'!H$2:H783, "Negative")
</f>
        <v>1</v>
      </c>
      <c r="AK212" s="69">
        <f>COUNTIFS('APS Tubes IMPORT'!V$2:V783, AG212, 'APS Tubes IMPORT'!H$2:H783, "Positive")
</f>
        <v>0</v>
      </c>
      <c r="AL212" s="69">
        <f>COUNTIFS('APS Tubes IMPORT'!V$2:V783, AG212, 'APS Tubes IMPORT'!H$2:H783, "Inconclusive")
</f>
        <v>0</v>
      </c>
      <c r="AM212" s="69">
        <f>COUNTIFS('APS Tubes IMPORT'!V$2:V783, AG212, 'APS Tubes IMPORT'!H$2:H783, "Null")
</f>
        <v>0</v>
      </c>
      <c r="AN212" s="54"/>
      <c r="AO212" s="14">
        <f>'APS Tubes by Date IMPORT'!B211</f>
        <v>44777</v>
      </c>
      <c r="AP212" s="16">
        <f>'APS Tubes by Date IMPORT'!D211</f>
        <v>2</v>
      </c>
      <c r="AQ212" s="16">
        <f>'APS Tubes by Date IMPORT'!D211</f>
        <v>2</v>
      </c>
      <c r="AR212" s="16">
        <f>'APS Tubes by Date IMPORT'!E211</f>
        <v>0</v>
      </c>
      <c r="AS212" s="16">
        <f>'APS Tubes by Date IMPORT'!F211</f>
        <v>0</v>
      </c>
      <c r="AT212" s="16">
        <f>'APS Tubes by Date IMPORT'!G211</f>
        <v>0</v>
      </c>
      <c r="AU212" s="54"/>
    </row>
    <row r="213">
      <c r="A213" s="8" t="s">
        <v>243</v>
      </c>
      <c r="B213" s="58">
        <f>VLOOKUP(A213,'Run Reconcile'!A$2:B783,2,FALSE)</f>
        <v>44810</v>
      </c>
      <c r="C213" s="59">
        <f>COUNTIF('ALL Tube Results'!B212:B783, A213)
</f>
        <v>2</v>
      </c>
      <c r="D213" s="60">
        <f>COUNTIFS('ALL Tube Results'!$B212:$B783, $A213, 'ALL Tube Results'!$F212:$F783, "Negative")
</f>
        <v>2</v>
      </c>
      <c r="E213" s="60">
        <f>COUNTIFS('ALL Tube Results'!$B212:$B783, $A213, 'ALL Tube Results'!$F212:$F783, "Positive")
</f>
        <v>0</v>
      </c>
      <c r="F213" s="60">
        <f>COUNTIFS('ALL Tube Results'!$B212:$B783, $A213, 'ALL Tube Results'!$F212:$F783, "Inconclusive")
</f>
        <v>0</v>
      </c>
      <c r="G213" s="61">
        <f t="shared" si="7"/>
        <v>2</v>
      </c>
      <c r="H213" s="61" t="str">
        <f t="shared" si="8"/>
        <v/>
      </c>
      <c r="I213" s="62" t="str">
        <f t="shared" si="9"/>
        <v/>
      </c>
      <c r="J213" s="63" t="str">
        <f t="shared" si="10"/>
        <v/>
      </c>
      <c r="K213" s="63" t="str">
        <f t="shared" si="11"/>
        <v/>
      </c>
      <c r="L213" s="63">
        <f t="shared" si="12"/>
        <v>2</v>
      </c>
      <c r="M213" s="63" t="str">
        <f t="shared" si="13"/>
        <v/>
      </c>
      <c r="N213" s="63" t="str">
        <f t="shared" si="14"/>
        <v/>
      </c>
      <c r="O213" s="64">
        <f t="shared" si="15"/>
        <v>2</v>
      </c>
      <c r="P213" s="64" t="str">
        <f t="shared" si="16"/>
        <v/>
      </c>
      <c r="Q213" s="54"/>
      <c r="R213" s="8" t="s">
        <v>243</v>
      </c>
      <c r="S213" s="14">
        <v>44810.0</v>
      </c>
      <c r="T213" s="16">
        <f>VLOOKUP(R213,'Run Reconcile'!$A$2:$L783,12,FALSE)</f>
        <v>2</v>
      </c>
      <c r="U213" s="16" t="str">
        <f t="shared" si="17"/>
        <v/>
      </c>
      <c r="V213" s="16" t="str">
        <f t="shared" si="18"/>
        <v/>
      </c>
      <c r="W213" s="16"/>
      <c r="X213" s="54"/>
      <c r="Z213" s="14"/>
      <c r="AA213" s="16"/>
      <c r="AB213" s="16"/>
      <c r="AC213" s="16"/>
      <c r="AD213" s="16"/>
      <c r="AE213" s="66"/>
      <c r="AF213" s="54"/>
      <c r="AG213" s="70" t="s">
        <v>245</v>
      </c>
      <c r="AH213" s="68">
        <f>VLOOKUP(AG213,'Run Reconcile'!A$2:B783,2,FALSE)</f>
        <v>44816</v>
      </c>
      <c r="AI213" s="69">
        <f>COUNTIF('APS Tubes IMPORT'!$V$2:$V783, AG213)
</f>
        <v>2</v>
      </c>
      <c r="AJ213" s="69">
        <f>COUNTIFS('APS Tubes IMPORT'!V$2:V783, AG213, 'APS Tubes IMPORT'!H$2:H783, "Negative")
</f>
        <v>2</v>
      </c>
      <c r="AK213" s="69">
        <f>COUNTIFS('APS Tubes IMPORT'!V$2:V783, AG213, 'APS Tubes IMPORT'!H$2:H783, "Positive")
</f>
        <v>0</v>
      </c>
      <c r="AL213" s="69">
        <f>COUNTIFS('APS Tubes IMPORT'!V$2:V783, AG213, 'APS Tubes IMPORT'!H$2:H783, "Inconclusive")
</f>
        <v>0</v>
      </c>
      <c r="AM213" s="69">
        <f>COUNTIFS('APS Tubes IMPORT'!V$2:V783, AG213, 'APS Tubes IMPORT'!H$2:H783, "Null")
</f>
        <v>0</v>
      </c>
      <c r="AN213" s="54"/>
      <c r="AO213" s="14">
        <f>'APS Tubes by Date IMPORT'!B212</f>
        <v>44795</v>
      </c>
      <c r="AP213" s="16">
        <f>'APS Tubes by Date IMPORT'!D212</f>
        <v>1</v>
      </c>
      <c r="AQ213" s="16">
        <f>'APS Tubes by Date IMPORT'!D212</f>
        <v>1</v>
      </c>
      <c r="AR213" s="16">
        <f>'APS Tubes by Date IMPORT'!E212</f>
        <v>0</v>
      </c>
      <c r="AS213" s="16">
        <f>'APS Tubes by Date IMPORT'!F212</f>
        <v>0</v>
      </c>
      <c r="AT213" s="16">
        <f>'APS Tubes by Date IMPORT'!G212</f>
        <v>0</v>
      </c>
      <c r="AU213" s="54"/>
    </row>
    <row r="214">
      <c r="A214" s="8" t="s">
        <v>244</v>
      </c>
      <c r="B214" s="58">
        <f>VLOOKUP(A214,'Run Reconcile'!A$2:B783,2,FALSE)</f>
        <v>44812</v>
      </c>
      <c r="C214" s="59">
        <f>COUNTIF('ALL Tube Results'!B213:B783, A214)
</f>
        <v>1</v>
      </c>
      <c r="D214" s="60">
        <f>COUNTIFS('ALL Tube Results'!$B213:$B783, $A214, 'ALL Tube Results'!$F213:$F783, "Negative")
</f>
        <v>1</v>
      </c>
      <c r="E214" s="60">
        <f>COUNTIFS('ALL Tube Results'!$B213:$B783, $A214, 'ALL Tube Results'!$F213:$F783, "Positive")
</f>
        <v>0</v>
      </c>
      <c r="F214" s="60">
        <f>COUNTIFS('ALL Tube Results'!$B213:$B783, $A214, 'ALL Tube Results'!$F213:$F783, "Inconclusive")
</f>
        <v>0</v>
      </c>
      <c r="G214" s="61">
        <f t="shared" si="7"/>
        <v>1</v>
      </c>
      <c r="H214" s="61" t="str">
        <f t="shared" si="8"/>
        <v/>
      </c>
      <c r="I214" s="62" t="str">
        <f t="shared" si="9"/>
        <v/>
      </c>
      <c r="J214" s="63" t="str">
        <f t="shared" si="10"/>
        <v/>
      </c>
      <c r="K214" s="63" t="str">
        <f t="shared" si="11"/>
        <v/>
      </c>
      <c r="L214" s="63">
        <f t="shared" si="12"/>
        <v>1</v>
      </c>
      <c r="M214" s="63" t="str">
        <f t="shared" si="13"/>
        <v/>
      </c>
      <c r="N214" s="63" t="str">
        <f t="shared" si="14"/>
        <v/>
      </c>
      <c r="O214" s="64">
        <f t="shared" si="15"/>
        <v>1</v>
      </c>
      <c r="P214" s="64" t="str">
        <f t="shared" si="16"/>
        <v/>
      </c>
      <c r="Q214" s="54"/>
      <c r="R214" s="8" t="s">
        <v>244</v>
      </c>
      <c r="S214" s="14">
        <v>44812.0</v>
      </c>
      <c r="T214" s="16">
        <f>VLOOKUP(R214,'Run Reconcile'!$A$2:$L783,12,FALSE)</f>
        <v>1</v>
      </c>
      <c r="U214" s="16" t="str">
        <f t="shared" si="17"/>
        <v/>
      </c>
      <c r="V214" s="16" t="str">
        <f t="shared" si="18"/>
        <v/>
      </c>
      <c r="W214" s="16"/>
      <c r="X214" s="54"/>
      <c r="Z214" s="14"/>
      <c r="AA214" s="16"/>
      <c r="AB214" s="16"/>
      <c r="AC214" s="16"/>
      <c r="AD214" s="16"/>
      <c r="AE214" s="66"/>
      <c r="AF214" s="54"/>
      <c r="AG214" s="70" t="s">
        <v>246</v>
      </c>
      <c r="AH214" s="68">
        <f>VLOOKUP(AG214,'Run Reconcile'!A$2:B783,2,FALSE)</f>
        <v>44819</v>
      </c>
      <c r="AI214" s="69">
        <f>COUNTIF('APS Tubes IMPORT'!$V$2:$V783, AG214)
</f>
        <v>2</v>
      </c>
      <c r="AJ214" s="69">
        <f>COUNTIFS('APS Tubes IMPORT'!V$2:V783, AG214, 'APS Tubes IMPORT'!H$2:H783, "Negative")
</f>
        <v>2</v>
      </c>
      <c r="AK214" s="69">
        <f>COUNTIFS('APS Tubes IMPORT'!V$2:V783, AG214, 'APS Tubes IMPORT'!H$2:H783, "Positive")
</f>
        <v>0</v>
      </c>
      <c r="AL214" s="69">
        <f>COUNTIFS('APS Tubes IMPORT'!V$2:V783, AG214, 'APS Tubes IMPORT'!H$2:H783, "Inconclusive")
</f>
        <v>0</v>
      </c>
      <c r="AM214" s="69">
        <f>COUNTIFS('APS Tubes IMPORT'!V$2:V783, AG214, 'APS Tubes IMPORT'!H$2:H783, "Null")
</f>
        <v>0</v>
      </c>
      <c r="AN214" s="54"/>
      <c r="AO214" s="14">
        <f>'APS Tubes by Date IMPORT'!B213</f>
        <v>44810</v>
      </c>
      <c r="AP214" s="16">
        <f>'APS Tubes by Date IMPORT'!D213</f>
        <v>2</v>
      </c>
      <c r="AQ214" s="16">
        <f>'APS Tubes by Date IMPORT'!D213</f>
        <v>2</v>
      </c>
      <c r="AR214" s="16">
        <f>'APS Tubes by Date IMPORT'!E213</f>
        <v>0</v>
      </c>
      <c r="AS214" s="16">
        <f>'APS Tubes by Date IMPORT'!F213</f>
        <v>0</v>
      </c>
      <c r="AT214" s="16">
        <f>'APS Tubes by Date IMPORT'!G213</f>
        <v>0</v>
      </c>
      <c r="AU214" s="54"/>
    </row>
    <row r="215">
      <c r="A215" s="8" t="s">
        <v>245</v>
      </c>
      <c r="B215" s="58">
        <f>VLOOKUP(A215,'Run Reconcile'!A$2:B783,2,FALSE)</f>
        <v>44816</v>
      </c>
      <c r="C215" s="59">
        <f>COUNTIF('ALL Tube Results'!B214:B783, A215)
</f>
        <v>2</v>
      </c>
      <c r="D215" s="60">
        <f>COUNTIFS('ALL Tube Results'!$B214:$B783, $A215, 'ALL Tube Results'!$F214:$F783, "Negative")
</f>
        <v>2</v>
      </c>
      <c r="E215" s="60">
        <f>COUNTIFS('ALL Tube Results'!$B214:$B783, $A215, 'ALL Tube Results'!$F214:$F783, "Positive")
</f>
        <v>0</v>
      </c>
      <c r="F215" s="60">
        <f>COUNTIFS('ALL Tube Results'!$B214:$B783, $A215, 'ALL Tube Results'!$F214:$F783, "Inconclusive")
</f>
        <v>0</v>
      </c>
      <c r="G215" s="61">
        <f t="shared" si="7"/>
        <v>2</v>
      </c>
      <c r="H215" s="61" t="str">
        <f t="shared" si="8"/>
        <v/>
      </c>
      <c r="I215" s="62" t="str">
        <f t="shared" si="9"/>
        <v/>
      </c>
      <c r="J215" s="63" t="str">
        <f t="shared" si="10"/>
        <v/>
      </c>
      <c r="K215" s="63" t="str">
        <f t="shared" si="11"/>
        <v/>
      </c>
      <c r="L215" s="63">
        <f t="shared" si="12"/>
        <v>2</v>
      </c>
      <c r="M215" s="63" t="str">
        <f t="shared" si="13"/>
        <v/>
      </c>
      <c r="N215" s="63" t="str">
        <f t="shared" si="14"/>
        <v/>
      </c>
      <c r="O215" s="64">
        <f t="shared" si="15"/>
        <v>2</v>
      </c>
      <c r="P215" s="64" t="str">
        <f t="shared" si="16"/>
        <v/>
      </c>
      <c r="Q215" s="54"/>
      <c r="R215" s="8" t="s">
        <v>245</v>
      </c>
      <c r="S215" s="14">
        <v>44816.0</v>
      </c>
      <c r="T215" s="16">
        <f>VLOOKUP(R215,'Run Reconcile'!$A$2:$L783,12,FALSE)</f>
        <v>2</v>
      </c>
      <c r="U215" s="16" t="str">
        <f t="shared" si="17"/>
        <v/>
      </c>
      <c r="V215" s="16" t="str">
        <f t="shared" si="18"/>
        <v/>
      </c>
      <c r="W215" s="16"/>
      <c r="X215" s="54"/>
      <c r="Z215" s="14"/>
      <c r="AA215" s="16"/>
      <c r="AB215" s="16"/>
      <c r="AC215" s="16"/>
      <c r="AD215" s="16"/>
      <c r="AE215" s="66"/>
      <c r="AF215" s="54"/>
      <c r="AG215" s="70" t="s">
        <v>247</v>
      </c>
      <c r="AH215" s="68">
        <f>VLOOKUP(AG215,'Run Reconcile'!A$2:B783,2,FALSE)</f>
        <v>44823</v>
      </c>
      <c r="AI215" s="69">
        <f>COUNTIF('APS Tubes IMPORT'!$V$2:$V783, AG215)
</f>
        <v>2</v>
      </c>
      <c r="AJ215" s="69">
        <f>COUNTIFS('APS Tubes IMPORT'!V$2:V783, AG215, 'APS Tubes IMPORT'!H$2:H783, "Negative")
</f>
        <v>2</v>
      </c>
      <c r="AK215" s="69">
        <f>COUNTIFS('APS Tubes IMPORT'!V$2:V783, AG215, 'APS Tubes IMPORT'!H$2:H783, "Positive")
</f>
        <v>0</v>
      </c>
      <c r="AL215" s="69">
        <f>COUNTIFS('APS Tubes IMPORT'!V$2:V783, AG215, 'APS Tubes IMPORT'!H$2:H783, "Inconclusive")
</f>
        <v>0</v>
      </c>
      <c r="AM215" s="69">
        <f>COUNTIFS('APS Tubes IMPORT'!V$2:V783, AG215, 'APS Tubes IMPORT'!H$2:H783, "Null")
</f>
        <v>0</v>
      </c>
      <c r="AN215" s="54"/>
      <c r="AO215" s="14">
        <f>'APS Tubes by Date IMPORT'!B214</f>
        <v>44812</v>
      </c>
      <c r="AP215" s="16">
        <f>'APS Tubes by Date IMPORT'!D214</f>
        <v>1</v>
      </c>
      <c r="AQ215" s="16">
        <f>'APS Tubes by Date IMPORT'!D214</f>
        <v>1</v>
      </c>
      <c r="AR215" s="16">
        <f>'APS Tubes by Date IMPORT'!E214</f>
        <v>0</v>
      </c>
      <c r="AS215" s="16">
        <f>'APS Tubes by Date IMPORT'!F214</f>
        <v>0</v>
      </c>
      <c r="AT215" s="16">
        <f>'APS Tubes by Date IMPORT'!G214</f>
        <v>0</v>
      </c>
      <c r="AU215" s="54"/>
    </row>
    <row r="216">
      <c r="A216" s="8" t="s">
        <v>246</v>
      </c>
      <c r="B216" s="58">
        <f>VLOOKUP(A216,'Run Reconcile'!A$2:B783,2,FALSE)</f>
        <v>44819</v>
      </c>
      <c r="C216" s="59">
        <f>COUNTIF('ALL Tube Results'!B215:B783, A216)
</f>
        <v>2</v>
      </c>
      <c r="D216" s="60">
        <f>COUNTIFS('ALL Tube Results'!$B215:$B783, $A216, 'ALL Tube Results'!$F215:$F783, "Negative")
</f>
        <v>2</v>
      </c>
      <c r="E216" s="60">
        <f>COUNTIFS('ALL Tube Results'!$B215:$B783, $A216, 'ALL Tube Results'!$F215:$F783, "Positive")
</f>
        <v>0</v>
      </c>
      <c r="F216" s="60">
        <f>COUNTIFS('ALL Tube Results'!$B215:$B783, $A216, 'ALL Tube Results'!$F215:$F783, "Inconclusive")
</f>
        <v>0</v>
      </c>
      <c r="G216" s="61">
        <f t="shared" si="7"/>
        <v>2</v>
      </c>
      <c r="H216" s="61" t="str">
        <f t="shared" si="8"/>
        <v/>
      </c>
      <c r="I216" s="62" t="str">
        <f t="shared" si="9"/>
        <v/>
      </c>
      <c r="J216" s="63" t="str">
        <f t="shared" si="10"/>
        <v/>
      </c>
      <c r="K216" s="63" t="str">
        <f t="shared" si="11"/>
        <v/>
      </c>
      <c r="L216" s="63">
        <f t="shared" si="12"/>
        <v>2</v>
      </c>
      <c r="M216" s="63" t="str">
        <f t="shared" si="13"/>
        <v/>
      </c>
      <c r="N216" s="63" t="str">
        <f t="shared" si="14"/>
        <v/>
      </c>
      <c r="O216" s="64">
        <f t="shared" si="15"/>
        <v>2</v>
      </c>
      <c r="P216" s="64" t="str">
        <f t="shared" si="16"/>
        <v/>
      </c>
      <c r="Q216" s="54"/>
      <c r="R216" s="8" t="s">
        <v>246</v>
      </c>
      <c r="S216" s="14">
        <v>44819.0</v>
      </c>
      <c r="T216" s="16">
        <f>VLOOKUP(R216,'Run Reconcile'!$A$2:$L783,12,FALSE)</f>
        <v>2</v>
      </c>
      <c r="U216" s="16" t="str">
        <f t="shared" si="17"/>
        <v/>
      </c>
      <c r="V216" s="16" t="str">
        <f t="shared" si="18"/>
        <v/>
      </c>
      <c r="W216" s="16"/>
      <c r="X216" s="54"/>
      <c r="Z216" s="14"/>
      <c r="AA216" s="16"/>
      <c r="AB216" s="16"/>
      <c r="AC216" s="16"/>
      <c r="AD216" s="16"/>
      <c r="AE216" s="66"/>
      <c r="AF216" s="54"/>
      <c r="AG216" s="70" t="s">
        <v>248</v>
      </c>
      <c r="AH216" s="68">
        <f>VLOOKUP(AG216,'Run Reconcile'!A$2:B783,2,FALSE)</f>
        <v>44826</v>
      </c>
      <c r="AI216" s="69">
        <f>COUNTIF('APS Tubes IMPORT'!$V$2:$V783, AG216)
</f>
        <v>2</v>
      </c>
      <c r="AJ216" s="69">
        <f>COUNTIFS('APS Tubes IMPORT'!V$2:V783, AG216, 'APS Tubes IMPORT'!H$2:H783, "Negative")
</f>
        <v>2</v>
      </c>
      <c r="AK216" s="69">
        <f>COUNTIFS('APS Tubes IMPORT'!V$2:V783, AG216, 'APS Tubes IMPORT'!H$2:H783, "Positive")
</f>
        <v>0</v>
      </c>
      <c r="AL216" s="69">
        <f>COUNTIFS('APS Tubes IMPORT'!V$2:V783, AG216, 'APS Tubes IMPORT'!H$2:H783, "Inconclusive")
</f>
        <v>0</v>
      </c>
      <c r="AM216" s="69">
        <f>COUNTIFS('APS Tubes IMPORT'!V$2:V783, AG216, 'APS Tubes IMPORT'!H$2:H783, "Null")
</f>
        <v>0</v>
      </c>
      <c r="AN216" s="54"/>
      <c r="AO216" s="14">
        <f>'APS Tubes by Date IMPORT'!B215</f>
        <v>44816</v>
      </c>
      <c r="AP216" s="16">
        <f>'APS Tubes by Date IMPORT'!D215</f>
        <v>2</v>
      </c>
      <c r="AQ216" s="16">
        <f>'APS Tubes by Date IMPORT'!D215</f>
        <v>2</v>
      </c>
      <c r="AR216" s="16">
        <f>'APS Tubes by Date IMPORT'!E215</f>
        <v>0</v>
      </c>
      <c r="AS216" s="16">
        <f>'APS Tubes by Date IMPORT'!F215</f>
        <v>0</v>
      </c>
      <c r="AT216" s="16">
        <f>'APS Tubes by Date IMPORT'!G215</f>
        <v>0</v>
      </c>
      <c r="AU216" s="54"/>
    </row>
    <row r="217">
      <c r="A217" s="8" t="s">
        <v>247</v>
      </c>
      <c r="B217" s="58">
        <f>VLOOKUP(A217,'Run Reconcile'!A$2:B783,2,FALSE)</f>
        <v>44823</v>
      </c>
      <c r="C217" s="59">
        <f>COUNTIF('ALL Tube Results'!B216:B783, A217)
</f>
        <v>2</v>
      </c>
      <c r="D217" s="60">
        <f>COUNTIFS('ALL Tube Results'!$B216:$B783, $A217, 'ALL Tube Results'!$F216:$F783, "Negative")
</f>
        <v>2</v>
      </c>
      <c r="E217" s="60">
        <f>COUNTIFS('ALL Tube Results'!$B216:$B783, $A217, 'ALL Tube Results'!$F216:$F783, "Positive")
</f>
        <v>0</v>
      </c>
      <c r="F217" s="60">
        <f>COUNTIFS('ALL Tube Results'!$B216:$B783, $A217, 'ALL Tube Results'!$F216:$F783, "Inconclusive")
</f>
        <v>0</v>
      </c>
      <c r="G217" s="61">
        <f t="shared" si="7"/>
        <v>2</v>
      </c>
      <c r="H217" s="61" t="str">
        <f t="shared" si="8"/>
        <v/>
      </c>
      <c r="I217" s="62" t="str">
        <f t="shared" si="9"/>
        <v/>
      </c>
      <c r="J217" s="63" t="str">
        <f t="shared" si="10"/>
        <v/>
      </c>
      <c r="K217" s="63" t="str">
        <f t="shared" si="11"/>
        <v/>
      </c>
      <c r="L217" s="63">
        <f t="shared" si="12"/>
        <v>2</v>
      </c>
      <c r="M217" s="63" t="str">
        <f t="shared" si="13"/>
        <v/>
      </c>
      <c r="N217" s="63" t="str">
        <f t="shared" si="14"/>
        <v/>
      </c>
      <c r="O217" s="64">
        <f t="shared" si="15"/>
        <v>2</v>
      </c>
      <c r="P217" s="64" t="str">
        <f t="shared" si="16"/>
        <v/>
      </c>
      <c r="Q217" s="54"/>
      <c r="R217" s="8" t="s">
        <v>247</v>
      </c>
      <c r="S217" s="14">
        <v>44823.0</v>
      </c>
      <c r="T217" s="16">
        <f>VLOOKUP(R217,'Run Reconcile'!$A$2:$L783,12,FALSE)</f>
        <v>2</v>
      </c>
      <c r="U217" s="16" t="str">
        <f t="shared" si="17"/>
        <v/>
      </c>
      <c r="V217" s="16" t="str">
        <f t="shared" si="18"/>
        <v/>
      </c>
      <c r="W217" s="16"/>
      <c r="X217" s="54"/>
      <c r="Z217" s="14"/>
      <c r="AA217" s="16"/>
      <c r="AB217" s="16"/>
      <c r="AC217" s="16"/>
      <c r="AD217" s="16"/>
      <c r="AE217" s="66"/>
      <c r="AF217" s="54"/>
      <c r="AG217" s="70" t="s">
        <v>249</v>
      </c>
      <c r="AH217" s="68">
        <f>VLOOKUP(AG217,'Run Reconcile'!A$2:B783,2,FALSE)</f>
        <v>44830</v>
      </c>
      <c r="AI217" s="69">
        <f>COUNTIF('APS Tubes IMPORT'!$V$2:$V783, AG217)
</f>
        <v>2</v>
      </c>
      <c r="AJ217" s="69">
        <f>COUNTIFS('APS Tubes IMPORT'!V$2:V783, AG217, 'APS Tubes IMPORT'!H$2:H783, "Negative")
</f>
        <v>2</v>
      </c>
      <c r="AK217" s="69">
        <f>COUNTIFS('APS Tubes IMPORT'!V$2:V783, AG217, 'APS Tubes IMPORT'!H$2:H783, "Positive")
</f>
        <v>0</v>
      </c>
      <c r="AL217" s="69">
        <f>COUNTIFS('APS Tubes IMPORT'!V$2:V783, AG217, 'APS Tubes IMPORT'!H$2:H783, "Inconclusive")
</f>
        <v>0</v>
      </c>
      <c r="AM217" s="69">
        <f>COUNTIFS('APS Tubes IMPORT'!V$2:V783, AG217, 'APS Tubes IMPORT'!H$2:H783, "Null")
</f>
        <v>0</v>
      </c>
      <c r="AN217" s="54"/>
      <c r="AO217" s="14">
        <f>'APS Tubes by Date IMPORT'!B216</f>
        <v>44819</v>
      </c>
      <c r="AP217" s="16">
        <f>'APS Tubes by Date IMPORT'!D216</f>
        <v>2</v>
      </c>
      <c r="AQ217" s="16">
        <f>'APS Tubes by Date IMPORT'!D216</f>
        <v>2</v>
      </c>
      <c r="AR217" s="16">
        <f>'APS Tubes by Date IMPORT'!E216</f>
        <v>0</v>
      </c>
      <c r="AS217" s="16">
        <f>'APS Tubes by Date IMPORT'!F216</f>
        <v>0</v>
      </c>
      <c r="AT217" s="16">
        <f>'APS Tubes by Date IMPORT'!G216</f>
        <v>0</v>
      </c>
      <c r="AU217" s="54"/>
    </row>
    <row r="218">
      <c r="A218" s="8" t="s">
        <v>248</v>
      </c>
      <c r="B218" s="58">
        <f>VLOOKUP(A218,'Run Reconcile'!A$2:B783,2,FALSE)</f>
        <v>44826</v>
      </c>
      <c r="C218" s="59">
        <f>COUNTIF('ALL Tube Results'!B217:B783, A218)
</f>
        <v>2</v>
      </c>
      <c r="D218" s="60">
        <f>COUNTIFS('ALL Tube Results'!$B217:$B783, $A218, 'ALL Tube Results'!$F217:$F783, "Negative")
</f>
        <v>2</v>
      </c>
      <c r="E218" s="60">
        <f>COUNTIFS('ALL Tube Results'!$B217:$B783, $A218, 'ALL Tube Results'!$F217:$F783, "Positive")
</f>
        <v>0</v>
      </c>
      <c r="F218" s="60">
        <f>COUNTIFS('ALL Tube Results'!$B217:$B783, $A218, 'ALL Tube Results'!$F217:$F783, "Inconclusive")
</f>
        <v>0</v>
      </c>
      <c r="G218" s="61">
        <f t="shared" si="7"/>
        <v>2</v>
      </c>
      <c r="H218" s="61" t="str">
        <f t="shared" si="8"/>
        <v/>
      </c>
      <c r="I218" s="62" t="str">
        <f t="shared" si="9"/>
        <v/>
      </c>
      <c r="J218" s="63" t="str">
        <f t="shared" si="10"/>
        <v/>
      </c>
      <c r="K218" s="63" t="str">
        <f t="shared" si="11"/>
        <v/>
      </c>
      <c r="L218" s="63">
        <f t="shared" si="12"/>
        <v>2</v>
      </c>
      <c r="M218" s="63" t="str">
        <f t="shared" si="13"/>
        <v/>
      </c>
      <c r="N218" s="63" t="str">
        <f t="shared" si="14"/>
        <v/>
      </c>
      <c r="O218" s="64">
        <f t="shared" si="15"/>
        <v>2</v>
      </c>
      <c r="P218" s="64" t="str">
        <f t="shared" si="16"/>
        <v/>
      </c>
      <c r="Q218" s="54"/>
      <c r="R218" s="8" t="s">
        <v>248</v>
      </c>
      <c r="S218" s="14">
        <v>44826.0</v>
      </c>
      <c r="T218" s="16">
        <f>VLOOKUP(R218,'Run Reconcile'!$A$2:$L783,12,FALSE)</f>
        <v>2</v>
      </c>
      <c r="U218" s="16" t="str">
        <f t="shared" si="17"/>
        <v/>
      </c>
      <c r="V218" s="16" t="str">
        <f t="shared" si="18"/>
        <v/>
      </c>
      <c r="W218" s="16"/>
      <c r="X218" s="54"/>
      <c r="Z218" s="14"/>
      <c r="AA218" s="16"/>
      <c r="AB218" s="16"/>
      <c r="AC218" s="16"/>
      <c r="AD218" s="16"/>
      <c r="AE218" s="66"/>
      <c r="AF218" s="54"/>
      <c r="AG218" s="70" t="s">
        <v>250</v>
      </c>
      <c r="AH218" s="68">
        <f>VLOOKUP(AG218,'Run Reconcile'!A$2:B783,2,FALSE)</f>
        <v>44833</v>
      </c>
      <c r="AI218" s="69">
        <f>COUNTIF('APS Tubes IMPORT'!$V$2:$V783, AG218)
</f>
        <v>2</v>
      </c>
      <c r="AJ218" s="69">
        <f>COUNTIFS('APS Tubes IMPORT'!V$2:V783, AG218, 'APS Tubes IMPORT'!H$2:H783, "Negative")
</f>
        <v>2</v>
      </c>
      <c r="AK218" s="69">
        <f>COUNTIFS('APS Tubes IMPORT'!V$2:V783, AG218, 'APS Tubes IMPORT'!H$2:H783, "Positive")
</f>
        <v>0</v>
      </c>
      <c r="AL218" s="69">
        <f>COUNTIFS('APS Tubes IMPORT'!V$2:V783, AG218, 'APS Tubes IMPORT'!H$2:H783, "Inconclusive")
</f>
        <v>0</v>
      </c>
      <c r="AM218" s="69">
        <f>COUNTIFS('APS Tubes IMPORT'!V$2:V783, AG218, 'APS Tubes IMPORT'!H$2:H783, "Null")
</f>
        <v>0</v>
      </c>
      <c r="AN218" s="54"/>
      <c r="AO218" s="14">
        <f>'APS Tubes by Date IMPORT'!B217</f>
        <v>44823</v>
      </c>
      <c r="AP218" s="16">
        <f>'APS Tubes by Date IMPORT'!D217</f>
        <v>2</v>
      </c>
      <c r="AQ218" s="16">
        <f>'APS Tubes by Date IMPORT'!D217</f>
        <v>2</v>
      </c>
      <c r="AR218" s="16">
        <f>'APS Tubes by Date IMPORT'!E217</f>
        <v>0</v>
      </c>
      <c r="AS218" s="16">
        <f>'APS Tubes by Date IMPORT'!F217</f>
        <v>0</v>
      </c>
      <c r="AT218" s="16">
        <f>'APS Tubes by Date IMPORT'!G217</f>
        <v>0</v>
      </c>
      <c r="AU218" s="54"/>
    </row>
    <row r="219">
      <c r="A219" s="8" t="s">
        <v>249</v>
      </c>
      <c r="B219" s="58">
        <f>VLOOKUP(A219,'Run Reconcile'!A$2:B783,2,FALSE)</f>
        <v>44830</v>
      </c>
      <c r="C219" s="59">
        <f>COUNTIF('ALL Tube Results'!B218:B783, A219)
</f>
        <v>2</v>
      </c>
      <c r="D219" s="60">
        <f>COUNTIFS('ALL Tube Results'!$B218:$B783, $A219, 'ALL Tube Results'!$F218:$F783, "Negative")
</f>
        <v>2</v>
      </c>
      <c r="E219" s="60">
        <f>COUNTIFS('ALL Tube Results'!$B218:$B783, $A219, 'ALL Tube Results'!$F218:$F783, "Positive")
</f>
        <v>0</v>
      </c>
      <c r="F219" s="60">
        <f>COUNTIFS('ALL Tube Results'!$B218:$B783, $A219, 'ALL Tube Results'!$F218:$F783, "Inconclusive")
</f>
        <v>0</v>
      </c>
      <c r="G219" s="61">
        <f t="shared" si="7"/>
        <v>2</v>
      </c>
      <c r="H219" s="61" t="str">
        <f t="shared" si="8"/>
        <v/>
      </c>
      <c r="I219" s="62" t="str">
        <f t="shared" si="9"/>
        <v/>
      </c>
      <c r="J219" s="63" t="str">
        <f t="shared" si="10"/>
        <v/>
      </c>
      <c r="K219" s="63" t="str">
        <f t="shared" si="11"/>
        <v/>
      </c>
      <c r="L219" s="63">
        <f t="shared" si="12"/>
        <v>2</v>
      </c>
      <c r="M219" s="63" t="str">
        <f t="shared" si="13"/>
        <v/>
      </c>
      <c r="N219" s="63" t="str">
        <f t="shared" si="14"/>
        <v/>
      </c>
      <c r="O219" s="64">
        <f t="shared" si="15"/>
        <v>2</v>
      </c>
      <c r="P219" s="64" t="str">
        <f t="shared" si="16"/>
        <v/>
      </c>
      <c r="Q219" s="54"/>
      <c r="R219" s="8" t="s">
        <v>249</v>
      </c>
      <c r="S219" s="14">
        <v>44830.0</v>
      </c>
      <c r="T219" s="16">
        <f>VLOOKUP(R219,'Run Reconcile'!$A$2:$L783,12,FALSE)</f>
        <v>2</v>
      </c>
      <c r="U219" s="16" t="str">
        <f t="shared" si="17"/>
        <v/>
      </c>
      <c r="V219" s="16" t="str">
        <f t="shared" si="18"/>
        <v/>
      </c>
      <c r="W219" s="16"/>
      <c r="X219" s="54"/>
      <c r="Z219" s="14"/>
      <c r="AA219" s="16"/>
      <c r="AB219" s="16"/>
      <c r="AC219" s="16"/>
      <c r="AD219" s="16"/>
      <c r="AE219" s="66"/>
      <c r="AF219" s="54"/>
      <c r="AG219" s="70" t="s">
        <v>251</v>
      </c>
      <c r="AH219" s="68">
        <f>VLOOKUP(AG219,'Run Reconcile'!A$2:B783,2,FALSE)</f>
        <v>44837</v>
      </c>
      <c r="AI219" s="69">
        <f>COUNTIF('APS Tubes IMPORT'!$V$2:$V783, AG219)
</f>
        <v>1</v>
      </c>
      <c r="AJ219" s="69">
        <f>COUNTIFS('APS Tubes IMPORT'!V$2:V783, AG219, 'APS Tubes IMPORT'!H$2:H783, "Negative")
</f>
        <v>1</v>
      </c>
      <c r="AK219" s="69">
        <f>COUNTIFS('APS Tubes IMPORT'!V$2:V783, AG219, 'APS Tubes IMPORT'!H$2:H783, "Positive")
</f>
        <v>0</v>
      </c>
      <c r="AL219" s="69">
        <f>COUNTIFS('APS Tubes IMPORT'!V$2:V783, AG219, 'APS Tubes IMPORT'!H$2:H783, "Inconclusive")
</f>
        <v>0</v>
      </c>
      <c r="AM219" s="69">
        <f>COUNTIFS('APS Tubes IMPORT'!V$2:V783, AG219, 'APS Tubes IMPORT'!H$2:H783, "Null")
</f>
        <v>0</v>
      </c>
      <c r="AN219" s="54"/>
      <c r="AO219" s="14">
        <f>'APS Tubes by Date IMPORT'!B218</f>
        <v>44826</v>
      </c>
      <c r="AP219" s="16">
        <f>'APS Tubes by Date IMPORT'!D218</f>
        <v>2</v>
      </c>
      <c r="AQ219" s="16">
        <f>'APS Tubes by Date IMPORT'!D218</f>
        <v>2</v>
      </c>
      <c r="AR219" s="16">
        <f>'APS Tubes by Date IMPORT'!E218</f>
        <v>0</v>
      </c>
      <c r="AS219" s="16">
        <f>'APS Tubes by Date IMPORT'!F218</f>
        <v>0</v>
      </c>
      <c r="AT219" s="16">
        <f>'APS Tubes by Date IMPORT'!G218</f>
        <v>0</v>
      </c>
      <c r="AU219" s="54"/>
    </row>
    <row r="220">
      <c r="A220" s="8" t="s">
        <v>250</v>
      </c>
      <c r="B220" s="58">
        <f>VLOOKUP(A220,'Run Reconcile'!A$2:B783,2,FALSE)</f>
        <v>44833</v>
      </c>
      <c r="C220" s="59">
        <f>COUNTIF('ALL Tube Results'!B219:B783, A220)
</f>
        <v>2</v>
      </c>
      <c r="D220" s="60">
        <f>COUNTIFS('ALL Tube Results'!$B219:$B783, $A220, 'ALL Tube Results'!$F219:$F783, "Negative")
</f>
        <v>2</v>
      </c>
      <c r="E220" s="60">
        <f>COUNTIFS('ALL Tube Results'!$B219:$B783, $A220, 'ALL Tube Results'!$F219:$F783, "Positive")
</f>
        <v>0</v>
      </c>
      <c r="F220" s="60">
        <f>COUNTIFS('ALL Tube Results'!$B219:$B783, $A220, 'ALL Tube Results'!$F219:$F783, "Inconclusive")
</f>
        <v>0</v>
      </c>
      <c r="G220" s="61">
        <f t="shared" si="7"/>
        <v>2</v>
      </c>
      <c r="H220" s="61" t="str">
        <f t="shared" si="8"/>
        <v/>
      </c>
      <c r="I220" s="62" t="str">
        <f t="shared" si="9"/>
        <v/>
      </c>
      <c r="J220" s="63" t="str">
        <f t="shared" si="10"/>
        <v/>
      </c>
      <c r="K220" s="63" t="str">
        <f t="shared" si="11"/>
        <v/>
      </c>
      <c r="L220" s="63">
        <f t="shared" si="12"/>
        <v>2</v>
      </c>
      <c r="M220" s="63" t="str">
        <f t="shared" si="13"/>
        <v/>
      </c>
      <c r="N220" s="63" t="str">
        <f t="shared" si="14"/>
        <v/>
      </c>
      <c r="O220" s="64">
        <f t="shared" si="15"/>
        <v>2</v>
      </c>
      <c r="P220" s="64" t="str">
        <f t="shared" si="16"/>
        <v/>
      </c>
      <c r="Q220" s="54"/>
      <c r="R220" s="8" t="s">
        <v>250</v>
      </c>
      <c r="S220" s="14">
        <v>44833.0</v>
      </c>
      <c r="T220" s="16">
        <f>VLOOKUP(R220,'Run Reconcile'!$A$2:$L783,12,FALSE)</f>
        <v>2</v>
      </c>
      <c r="U220" s="16" t="str">
        <f t="shared" si="17"/>
        <v/>
      </c>
      <c r="V220" s="16" t="str">
        <f t="shared" si="18"/>
        <v/>
      </c>
      <c r="W220" s="16"/>
      <c r="X220" s="54"/>
      <c r="Z220" s="14"/>
      <c r="AA220" s="16"/>
      <c r="AB220" s="16"/>
      <c r="AC220" s="16"/>
      <c r="AD220" s="16"/>
      <c r="AE220" s="66"/>
      <c r="AF220" s="54"/>
      <c r="AG220" s="70" t="s">
        <v>252</v>
      </c>
      <c r="AH220" s="68">
        <f>VLOOKUP(AG220,'Run Reconcile'!A$2:B783,2,FALSE)</f>
        <v>44840</v>
      </c>
      <c r="AI220" s="69">
        <f>COUNTIF('APS Tubes IMPORT'!$V$2:$V783, AG220)
</f>
        <v>4</v>
      </c>
      <c r="AJ220" s="69">
        <f>COUNTIFS('APS Tubes IMPORT'!V$2:V783, AG220, 'APS Tubes IMPORT'!H$2:H783, "Negative")
</f>
        <v>4</v>
      </c>
      <c r="AK220" s="69">
        <f>COUNTIFS('APS Tubes IMPORT'!V$2:V783, AG220, 'APS Tubes IMPORT'!H$2:H783, "Positive")
</f>
        <v>0</v>
      </c>
      <c r="AL220" s="69">
        <f>COUNTIFS('APS Tubes IMPORT'!V$2:V783, AG220, 'APS Tubes IMPORT'!H$2:H783, "Inconclusive")
</f>
        <v>0</v>
      </c>
      <c r="AM220" s="69">
        <f>COUNTIFS('APS Tubes IMPORT'!V$2:V783, AG220, 'APS Tubes IMPORT'!H$2:H783, "Null")
</f>
        <v>0</v>
      </c>
      <c r="AN220" s="54"/>
      <c r="AO220" s="14">
        <f>'APS Tubes by Date IMPORT'!B219</f>
        <v>44830</v>
      </c>
      <c r="AP220" s="16">
        <f>'APS Tubes by Date IMPORT'!D219</f>
        <v>2</v>
      </c>
      <c r="AQ220" s="16">
        <f>'APS Tubes by Date IMPORT'!D219</f>
        <v>2</v>
      </c>
      <c r="AR220" s="16">
        <f>'APS Tubes by Date IMPORT'!E219</f>
        <v>0</v>
      </c>
      <c r="AS220" s="16">
        <f>'APS Tubes by Date IMPORT'!F219</f>
        <v>0</v>
      </c>
      <c r="AT220" s="16">
        <f>'APS Tubes by Date IMPORT'!G219</f>
        <v>0</v>
      </c>
      <c r="AU220" s="54"/>
    </row>
    <row r="221">
      <c r="A221" s="8" t="s">
        <v>251</v>
      </c>
      <c r="B221" s="58">
        <f>VLOOKUP(A221,'Run Reconcile'!A$2:B783,2,FALSE)</f>
        <v>44837</v>
      </c>
      <c r="C221" s="59">
        <f>COUNTIF('ALL Tube Results'!B220:B783, A221)
</f>
        <v>1</v>
      </c>
      <c r="D221" s="60">
        <f>COUNTIFS('ALL Tube Results'!$B220:$B783, $A221, 'ALL Tube Results'!$F220:$F783, "Negative")
</f>
        <v>1</v>
      </c>
      <c r="E221" s="60">
        <f>COUNTIFS('ALL Tube Results'!$B220:$B783, $A221, 'ALL Tube Results'!$F220:$F783, "Positive")
</f>
        <v>0</v>
      </c>
      <c r="F221" s="60">
        <f>COUNTIFS('ALL Tube Results'!$B220:$B783, $A221, 'ALL Tube Results'!$F220:$F783, "Inconclusive")
</f>
        <v>0</v>
      </c>
      <c r="G221" s="61">
        <f t="shared" si="7"/>
        <v>1</v>
      </c>
      <c r="H221" s="61" t="str">
        <f t="shared" si="8"/>
        <v/>
      </c>
      <c r="I221" s="62" t="str">
        <f t="shared" si="9"/>
        <v/>
      </c>
      <c r="J221" s="63" t="str">
        <f t="shared" si="10"/>
        <v/>
      </c>
      <c r="K221" s="63" t="str">
        <f t="shared" si="11"/>
        <v/>
      </c>
      <c r="L221" s="63">
        <f t="shared" si="12"/>
        <v>1</v>
      </c>
      <c r="M221" s="63" t="str">
        <f t="shared" si="13"/>
        <v/>
      </c>
      <c r="N221" s="63" t="str">
        <f t="shared" si="14"/>
        <v/>
      </c>
      <c r="O221" s="64">
        <f t="shared" si="15"/>
        <v>1</v>
      </c>
      <c r="P221" s="64" t="str">
        <f t="shared" si="16"/>
        <v/>
      </c>
      <c r="Q221" s="54"/>
      <c r="R221" s="8" t="s">
        <v>251</v>
      </c>
      <c r="S221" s="14">
        <v>44837.0</v>
      </c>
      <c r="T221" s="16">
        <f>VLOOKUP(R221,'Run Reconcile'!$A$2:$L783,12,FALSE)</f>
        <v>1</v>
      </c>
      <c r="U221" s="16" t="str">
        <f t="shared" si="17"/>
        <v/>
      </c>
      <c r="V221" s="16" t="str">
        <f t="shared" si="18"/>
        <v/>
      </c>
      <c r="W221" s="16"/>
      <c r="X221" s="54"/>
      <c r="Z221" s="14"/>
      <c r="AA221" s="16"/>
      <c r="AB221" s="16"/>
      <c r="AC221" s="16"/>
      <c r="AD221" s="16"/>
      <c r="AE221" s="66"/>
      <c r="AF221" s="54"/>
      <c r="AG221" s="70" t="s">
        <v>253</v>
      </c>
      <c r="AH221" s="68">
        <f>VLOOKUP(AG221,'Run Reconcile'!A$2:B783,2,FALSE)</f>
        <v>44844</v>
      </c>
      <c r="AI221" s="69">
        <f>COUNTIF('APS Tubes IMPORT'!$V$2:$V783, AG221)
</f>
        <v>3</v>
      </c>
      <c r="AJ221" s="69">
        <f>COUNTIFS('APS Tubes IMPORT'!V$2:V783, AG221, 'APS Tubes IMPORT'!H$2:H783, "Negative")
</f>
        <v>3</v>
      </c>
      <c r="AK221" s="69">
        <f>COUNTIFS('APS Tubes IMPORT'!V$2:V783, AG221, 'APS Tubes IMPORT'!H$2:H783, "Positive")
</f>
        <v>0</v>
      </c>
      <c r="AL221" s="69">
        <f>COUNTIFS('APS Tubes IMPORT'!V$2:V783, AG221, 'APS Tubes IMPORT'!H$2:H783, "Inconclusive")
</f>
        <v>0</v>
      </c>
      <c r="AM221" s="69">
        <f>COUNTIFS('APS Tubes IMPORT'!V$2:V783, AG221, 'APS Tubes IMPORT'!H$2:H783, "Null")
</f>
        <v>0</v>
      </c>
      <c r="AN221" s="54"/>
      <c r="AO221" s="14">
        <f>'APS Tubes by Date IMPORT'!B220</f>
        <v>44833</v>
      </c>
      <c r="AP221" s="16">
        <f>'APS Tubes by Date IMPORT'!D220</f>
        <v>2</v>
      </c>
      <c r="AQ221" s="16">
        <f>'APS Tubes by Date IMPORT'!D220</f>
        <v>2</v>
      </c>
      <c r="AR221" s="16">
        <f>'APS Tubes by Date IMPORT'!E220</f>
        <v>0</v>
      </c>
      <c r="AS221" s="16">
        <f>'APS Tubes by Date IMPORT'!F220</f>
        <v>0</v>
      </c>
      <c r="AT221" s="16">
        <f>'APS Tubes by Date IMPORT'!G220</f>
        <v>0</v>
      </c>
      <c r="AU221" s="54"/>
    </row>
    <row r="222">
      <c r="A222" s="8" t="s">
        <v>252</v>
      </c>
      <c r="B222" s="58">
        <f>VLOOKUP(A222,'Run Reconcile'!A$2:B783,2,FALSE)</f>
        <v>44840</v>
      </c>
      <c r="C222" s="59">
        <f>COUNTIF('ALL Tube Results'!B221:B783, A222)
</f>
        <v>4</v>
      </c>
      <c r="D222" s="60">
        <f>COUNTIFS('ALL Tube Results'!$B221:$B783, $A222, 'ALL Tube Results'!$F221:$F783, "Negative")
</f>
        <v>4</v>
      </c>
      <c r="E222" s="60">
        <f>COUNTIFS('ALL Tube Results'!$B221:$B783, $A222, 'ALL Tube Results'!$F221:$F783, "Positive")
</f>
        <v>0</v>
      </c>
      <c r="F222" s="60">
        <f>COUNTIFS('ALL Tube Results'!$B221:$B783, $A222, 'ALL Tube Results'!$F221:$F783, "Inconclusive")
</f>
        <v>0</v>
      </c>
      <c r="G222" s="61">
        <f t="shared" si="7"/>
        <v>4</v>
      </c>
      <c r="H222" s="61" t="str">
        <f t="shared" si="8"/>
        <v/>
      </c>
      <c r="I222" s="62" t="str">
        <f t="shared" si="9"/>
        <v/>
      </c>
      <c r="J222" s="63" t="str">
        <f t="shared" si="10"/>
        <v/>
      </c>
      <c r="K222" s="63" t="str">
        <f t="shared" si="11"/>
        <v/>
      </c>
      <c r="L222" s="63">
        <f t="shared" si="12"/>
        <v>4</v>
      </c>
      <c r="M222" s="63" t="str">
        <f t="shared" si="13"/>
        <v/>
      </c>
      <c r="N222" s="63" t="str">
        <f t="shared" si="14"/>
        <v/>
      </c>
      <c r="O222" s="64">
        <f t="shared" si="15"/>
        <v>4</v>
      </c>
      <c r="P222" s="64" t="str">
        <f t="shared" si="16"/>
        <v/>
      </c>
      <c r="Q222" s="54"/>
      <c r="R222" s="8" t="s">
        <v>252</v>
      </c>
      <c r="S222" s="14">
        <v>44840.0</v>
      </c>
      <c r="T222" s="16">
        <f>VLOOKUP(R222,'Run Reconcile'!$A$2:$L783,12,FALSE)</f>
        <v>4</v>
      </c>
      <c r="U222" s="16" t="str">
        <f t="shared" si="17"/>
        <v/>
      </c>
      <c r="V222" s="16" t="str">
        <f t="shared" si="18"/>
        <v/>
      </c>
      <c r="W222" s="16"/>
      <c r="X222" s="54"/>
      <c r="Z222" s="14"/>
      <c r="AA222" s="16"/>
      <c r="AB222" s="16"/>
      <c r="AC222" s="16"/>
      <c r="AD222" s="16"/>
      <c r="AE222" s="66"/>
      <c r="AF222" s="54"/>
      <c r="AG222" s="70" t="s">
        <v>254</v>
      </c>
      <c r="AH222" s="68">
        <f>VLOOKUP(AG222,'Run Reconcile'!A$2:B783,2,FALSE)</f>
        <v>44847</v>
      </c>
      <c r="AI222" s="69">
        <f>COUNTIF('APS Tubes IMPORT'!$V$2:$V783, AG222)
</f>
        <v>2</v>
      </c>
      <c r="AJ222" s="69">
        <f>COUNTIFS('APS Tubes IMPORT'!V$2:V783, AG222, 'APS Tubes IMPORT'!H$2:H783, "Negative")
</f>
        <v>2</v>
      </c>
      <c r="AK222" s="69">
        <f>COUNTIFS('APS Tubes IMPORT'!V$2:V783, AG222, 'APS Tubes IMPORT'!H$2:H783, "Positive")
</f>
        <v>0</v>
      </c>
      <c r="AL222" s="69">
        <f>COUNTIFS('APS Tubes IMPORT'!V$2:V783, AG222, 'APS Tubes IMPORT'!H$2:H783, "Inconclusive")
</f>
        <v>0</v>
      </c>
      <c r="AM222" s="69">
        <f>COUNTIFS('APS Tubes IMPORT'!V$2:V783, AG222, 'APS Tubes IMPORT'!H$2:H783, "Null")
</f>
        <v>0</v>
      </c>
      <c r="AN222" s="54"/>
      <c r="AO222" s="14">
        <f>'APS Tubes by Date IMPORT'!B221</f>
        <v>44837</v>
      </c>
      <c r="AP222" s="16">
        <f>'APS Tubes by Date IMPORT'!D221</f>
        <v>1</v>
      </c>
      <c r="AQ222" s="16">
        <f>'APS Tubes by Date IMPORT'!D221</f>
        <v>1</v>
      </c>
      <c r="AR222" s="16">
        <f>'APS Tubes by Date IMPORT'!E221</f>
        <v>0</v>
      </c>
      <c r="AS222" s="16">
        <f>'APS Tubes by Date IMPORT'!F221</f>
        <v>0</v>
      </c>
      <c r="AT222" s="16">
        <f>'APS Tubes by Date IMPORT'!G221</f>
        <v>0</v>
      </c>
      <c r="AU222" s="54"/>
    </row>
    <row r="223">
      <c r="A223" s="8" t="s">
        <v>253</v>
      </c>
      <c r="B223" s="58">
        <f>VLOOKUP(A223,'Run Reconcile'!A$2:B783,2,FALSE)</f>
        <v>44844</v>
      </c>
      <c r="C223" s="59">
        <f>COUNTIF('ALL Tube Results'!B222:B783, A223)
</f>
        <v>3</v>
      </c>
      <c r="D223" s="60">
        <f>COUNTIFS('ALL Tube Results'!$B222:$B783, $A223, 'ALL Tube Results'!$F222:$F783, "Negative")
</f>
        <v>3</v>
      </c>
      <c r="E223" s="60">
        <f>COUNTIFS('ALL Tube Results'!$B222:$B783, $A223, 'ALL Tube Results'!$F222:$F783, "Positive")
</f>
        <v>0</v>
      </c>
      <c r="F223" s="60">
        <f>COUNTIFS('ALL Tube Results'!$B222:$B783, $A223, 'ALL Tube Results'!$F222:$F783, "Inconclusive")
</f>
        <v>0</v>
      </c>
      <c r="G223" s="61">
        <f t="shared" si="7"/>
        <v>3</v>
      </c>
      <c r="H223" s="61" t="str">
        <f t="shared" si="8"/>
        <v/>
      </c>
      <c r="I223" s="62" t="str">
        <f t="shared" si="9"/>
        <v/>
      </c>
      <c r="J223" s="63" t="str">
        <f t="shared" si="10"/>
        <v/>
      </c>
      <c r="K223" s="63" t="str">
        <f t="shared" si="11"/>
        <v/>
      </c>
      <c r="L223" s="63">
        <f t="shared" si="12"/>
        <v>3</v>
      </c>
      <c r="M223" s="63" t="str">
        <f t="shared" si="13"/>
        <v/>
      </c>
      <c r="N223" s="63" t="str">
        <f t="shared" si="14"/>
        <v/>
      </c>
      <c r="O223" s="64">
        <f t="shared" si="15"/>
        <v>3</v>
      </c>
      <c r="P223" s="64" t="str">
        <f t="shared" si="16"/>
        <v/>
      </c>
      <c r="Q223" s="54"/>
      <c r="R223" s="8" t="s">
        <v>253</v>
      </c>
      <c r="S223" s="14">
        <v>44844.0</v>
      </c>
      <c r="T223" s="16">
        <f>VLOOKUP(R223,'Run Reconcile'!$A$2:$L783,12,FALSE)</f>
        <v>3</v>
      </c>
      <c r="U223" s="16" t="str">
        <f t="shared" si="17"/>
        <v/>
      </c>
      <c r="V223" s="16" t="str">
        <f t="shared" si="18"/>
        <v/>
      </c>
      <c r="W223" s="16"/>
      <c r="X223" s="54"/>
      <c r="Z223" s="14"/>
      <c r="AA223" s="16"/>
      <c r="AB223" s="16"/>
      <c r="AC223" s="16"/>
      <c r="AD223" s="16"/>
      <c r="AE223" s="66"/>
      <c r="AF223" s="54"/>
      <c r="AG223" s="70" t="s">
        <v>255</v>
      </c>
      <c r="AH223" s="68">
        <f>VLOOKUP(AG223,'Run Reconcile'!A$2:B783,2,FALSE)</f>
        <v>44851</v>
      </c>
      <c r="AI223" s="69">
        <f>COUNTIF('APS Tubes IMPORT'!$V$2:$V783, AG223)
</f>
        <v>2</v>
      </c>
      <c r="AJ223" s="69">
        <f>COUNTIFS('APS Tubes IMPORT'!V$2:V783, AG223, 'APS Tubes IMPORT'!H$2:H783, "Negative")
</f>
        <v>2</v>
      </c>
      <c r="AK223" s="69">
        <f>COUNTIFS('APS Tubes IMPORT'!V$2:V783, AG223, 'APS Tubes IMPORT'!H$2:H783, "Positive")
</f>
        <v>0</v>
      </c>
      <c r="AL223" s="69">
        <f>COUNTIFS('APS Tubes IMPORT'!V$2:V783, AG223, 'APS Tubes IMPORT'!H$2:H783, "Inconclusive")
</f>
        <v>0</v>
      </c>
      <c r="AM223" s="69">
        <f>COUNTIFS('APS Tubes IMPORT'!V$2:V783, AG223, 'APS Tubes IMPORT'!H$2:H783, "Null")
</f>
        <v>0</v>
      </c>
      <c r="AN223" s="54"/>
      <c r="AO223" s="14">
        <f>'APS Tubes by Date IMPORT'!B222</f>
        <v>44840</v>
      </c>
      <c r="AP223" s="16">
        <f>'APS Tubes by Date IMPORT'!D222</f>
        <v>4</v>
      </c>
      <c r="AQ223" s="16">
        <f>'APS Tubes by Date IMPORT'!D222</f>
        <v>4</v>
      </c>
      <c r="AR223" s="16">
        <f>'APS Tubes by Date IMPORT'!E222</f>
        <v>0</v>
      </c>
      <c r="AS223" s="16">
        <f>'APS Tubes by Date IMPORT'!F222</f>
        <v>0</v>
      </c>
      <c r="AT223" s="16">
        <f>'APS Tubes by Date IMPORT'!G222</f>
        <v>0</v>
      </c>
      <c r="AU223" s="54"/>
    </row>
    <row r="224">
      <c r="A224" s="8" t="s">
        <v>254</v>
      </c>
      <c r="B224" s="58">
        <f>VLOOKUP(A224,'Run Reconcile'!A$2:B783,2,FALSE)</f>
        <v>44847</v>
      </c>
      <c r="C224" s="59">
        <f>COUNTIF('ALL Tube Results'!B223:B783, A224)
</f>
        <v>2</v>
      </c>
      <c r="D224" s="60">
        <f>COUNTIFS('ALL Tube Results'!$B223:$B783, $A224, 'ALL Tube Results'!$F223:$F783, "Negative")
</f>
        <v>2</v>
      </c>
      <c r="E224" s="60">
        <f>COUNTIFS('ALL Tube Results'!$B223:$B783, $A224, 'ALL Tube Results'!$F223:$F783, "Positive")
</f>
        <v>0</v>
      </c>
      <c r="F224" s="60">
        <f>COUNTIFS('ALL Tube Results'!$B223:$B783, $A224, 'ALL Tube Results'!$F223:$F783, "Inconclusive")
</f>
        <v>0</v>
      </c>
      <c r="G224" s="61">
        <f t="shared" si="7"/>
        <v>2</v>
      </c>
      <c r="H224" s="61" t="str">
        <f t="shared" si="8"/>
        <v/>
      </c>
      <c r="I224" s="62" t="str">
        <f t="shared" si="9"/>
        <v/>
      </c>
      <c r="J224" s="63" t="str">
        <f t="shared" si="10"/>
        <v/>
      </c>
      <c r="K224" s="63" t="str">
        <f t="shared" si="11"/>
        <v/>
      </c>
      <c r="L224" s="63">
        <f t="shared" si="12"/>
        <v>2</v>
      </c>
      <c r="M224" s="63" t="str">
        <f t="shared" si="13"/>
        <v/>
      </c>
      <c r="N224" s="63" t="str">
        <f t="shared" si="14"/>
        <v/>
      </c>
      <c r="O224" s="64">
        <f t="shared" si="15"/>
        <v>2</v>
      </c>
      <c r="P224" s="64" t="str">
        <f t="shared" si="16"/>
        <v/>
      </c>
      <c r="Q224" s="54"/>
      <c r="R224" s="8" t="s">
        <v>254</v>
      </c>
      <c r="S224" s="14">
        <v>44847.0</v>
      </c>
      <c r="T224" s="16">
        <f>VLOOKUP(R224,'Run Reconcile'!$A$2:$L783,12,FALSE)</f>
        <v>2</v>
      </c>
      <c r="U224" s="16" t="str">
        <f t="shared" si="17"/>
        <v/>
      </c>
      <c r="V224" s="16" t="str">
        <f t="shared" si="18"/>
        <v/>
      </c>
      <c r="W224" s="16"/>
      <c r="X224" s="54"/>
      <c r="Z224" s="14"/>
      <c r="AA224" s="16"/>
      <c r="AB224" s="16"/>
      <c r="AC224" s="16"/>
      <c r="AD224" s="16"/>
      <c r="AE224" s="66"/>
      <c r="AF224" s="54"/>
      <c r="AG224" s="70" t="s">
        <v>256</v>
      </c>
      <c r="AH224" s="68">
        <f>VLOOKUP(AG224,'Run Reconcile'!A$2:B783,2,FALSE)</f>
        <v>44854</v>
      </c>
      <c r="AI224" s="69">
        <f>COUNTIF('APS Tubes IMPORT'!$V$2:$V783, AG224)
</f>
        <v>2</v>
      </c>
      <c r="AJ224" s="69">
        <f>COUNTIFS('APS Tubes IMPORT'!V$2:V783, AG224, 'APS Tubes IMPORT'!H$2:H783, "Negative")
</f>
        <v>2</v>
      </c>
      <c r="AK224" s="69">
        <f>COUNTIFS('APS Tubes IMPORT'!V$2:V783, AG224, 'APS Tubes IMPORT'!H$2:H783, "Positive")
</f>
        <v>0</v>
      </c>
      <c r="AL224" s="69">
        <f>COUNTIFS('APS Tubes IMPORT'!V$2:V783, AG224, 'APS Tubes IMPORT'!H$2:H783, "Inconclusive")
</f>
        <v>0</v>
      </c>
      <c r="AM224" s="69">
        <f>COUNTIFS('APS Tubes IMPORT'!V$2:V783, AG224, 'APS Tubes IMPORT'!H$2:H783, "Null")
</f>
        <v>0</v>
      </c>
      <c r="AN224" s="54"/>
      <c r="AO224" s="14">
        <f>'APS Tubes by Date IMPORT'!B223</f>
        <v>44844</v>
      </c>
      <c r="AP224" s="16">
        <f>'APS Tubes by Date IMPORT'!D223</f>
        <v>3</v>
      </c>
      <c r="AQ224" s="16">
        <f>'APS Tubes by Date IMPORT'!D223</f>
        <v>3</v>
      </c>
      <c r="AR224" s="16">
        <f>'APS Tubes by Date IMPORT'!E223</f>
        <v>0</v>
      </c>
      <c r="AS224" s="16">
        <f>'APS Tubes by Date IMPORT'!F223</f>
        <v>0</v>
      </c>
      <c r="AT224" s="16">
        <f>'APS Tubes by Date IMPORT'!G223</f>
        <v>0</v>
      </c>
      <c r="AU224" s="54"/>
    </row>
    <row r="225">
      <c r="A225" s="8" t="s">
        <v>255</v>
      </c>
      <c r="B225" s="58">
        <f>VLOOKUP(A225,'Run Reconcile'!A$2:B783,2,FALSE)</f>
        <v>44851</v>
      </c>
      <c r="C225" s="59">
        <f>COUNTIF('ALL Tube Results'!B224:B783, A225)
</f>
        <v>2</v>
      </c>
      <c r="D225" s="60">
        <f>COUNTIFS('ALL Tube Results'!$B224:$B783, $A225, 'ALL Tube Results'!$F224:$F783, "Negative")
</f>
        <v>2</v>
      </c>
      <c r="E225" s="60">
        <f>COUNTIFS('ALL Tube Results'!$B224:$B783, $A225, 'ALL Tube Results'!$F224:$F783, "Positive")
</f>
        <v>0</v>
      </c>
      <c r="F225" s="60">
        <f>COUNTIFS('ALL Tube Results'!$B224:$B783, $A225, 'ALL Tube Results'!$F224:$F783, "Inconclusive")
</f>
        <v>0</v>
      </c>
      <c r="G225" s="61">
        <f t="shared" si="7"/>
        <v>2</v>
      </c>
      <c r="H225" s="61" t="str">
        <f t="shared" si="8"/>
        <v/>
      </c>
      <c r="I225" s="62" t="str">
        <f t="shared" si="9"/>
        <v/>
      </c>
      <c r="J225" s="63" t="str">
        <f t="shared" si="10"/>
        <v/>
      </c>
      <c r="K225" s="63" t="str">
        <f t="shared" si="11"/>
        <v/>
      </c>
      <c r="L225" s="63">
        <f t="shared" si="12"/>
        <v>2</v>
      </c>
      <c r="M225" s="63" t="str">
        <f t="shared" si="13"/>
        <v/>
      </c>
      <c r="N225" s="63" t="str">
        <f t="shared" si="14"/>
        <v/>
      </c>
      <c r="O225" s="64">
        <f t="shared" si="15"/>
        <v>2</v>
      </c>
      <c r="P225" s="64" t="str">
        <f t="shared" si="16"/>
        <v/>
      </c>
      <c r="Q225" s="54"/>
      <c r="R225" s="8" t="s">
        <v>255</v>
      </c>
      <c r="S225" s="14">
        <v>44851.0</v>
      </c>
      <c r="T225" s="16">
        <f>VLOOKUP(R225,'Run Reconcile'!$A$2:$L783,12,FALSE)</f>
        <v>2</v>
      </c>
      <c r="U225" s="16" t="str">
        <f t="shared" si="17"/>
        <v/>
      </c>
      <c r="V225" s="16" t="str">
        <f t="shared" si="18"/>
        <v/>
      </c>
      <c r="W225" s="16"/>
      <c r="X225" s="54"/>
      <c r="Z225" s="14"/>
      <c r="AA225" s="16"/>
      <c r="AB225" s="16"/>
      <c r="AC225" s="16"/>
      <c r="AD225" s="16"/>
      <c r="AE225" s="66"/>
      <c r="AF225" s="54"/>
      <c r="AG225" s="70" t="s">
        <v>257</v>
      </c>
      <c r="AH225" s="68">
        <f>VLOOKUP(AG225,'Run Reconcile'!A$2:B783,2,FALSE)</f>
        <v>44858</v>
      </c>
      <c r="AI225" s="69">
        <f>COUNTIF('APS Tubes IMPORT'!$V$2:$V783, AG225)
</f>
        <v>3</v>
      </c>
      <c r="AJ225" s="69">
        <f>COUNTIFS('APS Tubes IMPORT'!V$2:V783, AG225, 'APS Tubes IMPORT'!H$2:H783, "Negative")
</f>
        <v>3</v>
      </c>
      <c r="AK225" s="69">
        <f>COUNTIFS('APS Tubes IMPORT'!V$2:V783, AG225, 'APS Tubes IMPORT'!H$2:H783, "Positive")
</f>
        <v>0</v>
      </c>
      <c r="AL225" s="69">
        <f>COUNTIFS('APS Tubes IMPORT'!V$2:V783, AG225, 'APS Tubes IMPORT'!H$2:H783, "Inconclusive")
</f>
        <v>0</v>
      </c>
      <c r="AM225" s="69">
        <f>COUNTIFS('APS Tubes IMPORT'!V$2:V783, AG225, 'APS Tubes IMPORT'!H$2:H783, "Null")
</f>
        <v>0</v>
      </c>
      <c r="AN225" s="54"/>
      <c r="AO225" s="14">
        <f>'APS Tubes by Date IMPORT'!B224</f>
        <v>44847</v>
      </c>
      <c r="AP225" s="16">
        <f>'APS Tubes by Date IMPORT'!D224</f>
        <v>2</v>
      </c>
      <c r="AQ225" s="16">
        <f>'APS Tubes by Date IMPORT'!D224</f>
        <v>2</v>
      </c>
      <c r="AR225" s="16">
        <f>'APS Tubes by Date IMPORT'!E224</f>
        <v>0</v>
      </c>
      <c r="AS225" s="16">
        <f>'APS Tubes by Date IMPORT'!F224</f>
        <v>0</v>
      </c>
      <c r="AT225" s="16">
        <f>'APS Tubes by Date IMPORT'!G224</f>
        <v>0</v>
      </c>
      <c r="AU225" s="54"/>
    </row>
    <row r="226">
      <c r="A226" s="8" t="s">
        <v>256</v>
      </c>
      <c r="B226" s="58">
        <f>VLOOKUP(A226,'Run Reconcile'!A$2:B783,2,FALSE)</f>
        <v>44854</v>
      </c>
      <c r="C226" s="59">
        <f>COUNTIF('ALL Tube Results'!B225:B783, A226)
</f>
        <v>2</v>
      </c>
      <c r="D226" s="60">
        <f>COUNTIFS('ALL Tube Results'!$B225:$B783, $A226, 'ALL Tube Results'!$F225:$F783, "Negative")
</f>
        <v>2</v>
      </c>
      <c r="E226" s="60">
        <f>COUNTIFS('ALL Tube Results'!$B225:$B783, $A226, 'ALL Tube Results'!$F225:$F783, "Positive")
</f>
        <v>0</v>
      </c>
      <c r="F226" s="60">
        <f>COUNTIFS('ALL Tube Results'!$B225:$B783, $A226, 'ALL Tube Results'!$F225:$F783, "Inconclusive")
</f>
        <v>0</v>
      </c>
      <c r="G226" s="61">
        <f t="shared" si="7"/>
        <v>2</v>
      </c>
      <c r="H226" s="61" t="str">
        <f t="shared" si="8"/>
        <v/>
      </c>
      <c r="I226" s="62" t="str">
        <f t="shared" si="9"/>
        <v/>
      </c>
      <c r="J226" s="63" t="str">
        <f t="shared" si="10"/>
        <v/>
      </c>
      <c r="K226" s="63" t="str">
        <f t="shared" si="11"/>
        <v/>
      </c>
      <c r="L226" s="63">
        <f t="shared" si="12"/>
        <v>2</v>
      </c>
      <c r="M226" s="63" t="str">
        <f t="shared" si="13"/>
        <v/>
      </c>
      <c r="N226" s="63" t="str">
        <f t="shared" si="14"/>
        <v/>
      </c>
      <c r="O226" s="64">
        <f t="shared" si="15"/>
        <v>2</v>
      </c>
      <c r="P226" s="64" t="str">
        <f t="shared" si="16"/>
        <v/>
      </c>
      <c r="Q226" s="54"/>
      <c r="R226" s="8" t="s">
        <v>256</v>
      </c>
      <c r="S226" s="14">
        <v>44854.0</v>
      </c>
      <c r="T226" s="16">
        <f>VLOOKUP(R226,'Run Reconcile'!$A$2:$L783,12,FALSE)</f>
        <v>2</v>
      </c>
      <c r="U226" s="16" t="str">
        <f t="shared" si="17"/>
        <v/>
      </c>
      <c r="V226" s="16" t="str">
        <f t="shared" si="18"/>
        <v/>
      </c>
      <c r="W226" s="16"/>
      <c r="X226" s="54"/>
      <c r="Z226" s="14"/>
      <c r="AA226" s="16"/>
      <c r="AB226" s="16"/>
      <c r="AC226" s="16"/>
      <c r="AD226" s="16"/>
      <c r="AE226" s="66"/>
      <c r="AF226" s="54"/>
      <c r="AG226" s="70" t="s">
        <v>258</v>
      </c>
      <c r="AH226" s="68">
        <f>VLOOKUP(AG226,'Run Reconcile'!A$2:B783,2,FALSE)</f>
        <v>44859</v>
      </c>
      <c r="AI226" s="69">
        <f>COUNTIF('APS Tubes IMPORT'!$V$2:$V783, AG226)
</f>
        <v>1</v>
      </c>
      <c r="AJ226" s="69">
        <f>COUNTIFS('APS Tubes IMPORT'!V$2:V783, AG226, 'APS Tubes IMPORT'!H$2:H783, "Negative")
</f>
        <v>1</v>
      </c>
      <c r="AK226" s="69">
        <f>COUNTIFS('APS Tubes IMPORT'!V$2:V783, AG226, 'APS Tubes IMPORT'!H$2:H783, "Positive")
</f>
        <v>0</v>
      </c>
      <c r="AL226" s="69">
        <f>COUNTIFS('APS Tubes IMPORT'!V$2:V783, AG226, 'APS Tubes IMPORT'!H$2:H783, "Inconclusive")
</f>
        <v>0</v>
      </c>
      <c r="AM226" s="69">
        <f>COUNTIFS('APS Tubes IMPORT'!V$2:V783, AG226, 'APS Tubes IMPORT'!H$2:H783, "Null")
</f>
        <v>0</v>
      </c>
      <c r="AN226" s="54"/>
      <c r="AO226" s="14">
        <f>'APS Tubes by Date IMPORT'!B225</f>
        <v>44851</v>
      </c>
      <c r="AP226" s="16">
        <f>'APS Tubes by Date IMPORT'!D225</f>
        <v>2</v>
      </c>
      <c r="AQ226" s="16">
        <f>'APS Tubes by Date IMPORT'!D225</f>
        <v>2</v>
      </c>
      <c r="AR226" s="16">
        <f>'APS Tubes by Date IMPORT'!E225</f>
        <v>0</v>
      </c>
      <c r="AS226" s="16">
        <f>'APS Tubes by Date IMPORT'!F225</f>
        <v>0</v>
      </c>
      <c r="AT226" s="16">
        <f>'APS Tubes by Date IMPORT'!G225</f>
        <v>0</v>
      </c>
      <c r="AU226" s="54"/>
    </row>
    <row r="227">
      <c r="A227" s="8" t="s">
        <v>257</v>
      </c>
      <c r="B227" s="58">
        <f>VLOOKUP(A227,'Run Reconcile'!A$2:B783,2,FALSE)</f>
        <v>44858</v>
      </c>
      <c r="C227" s="59">
        <f>COUNTIF('ALL Tube Results'!B226:B783, A227)
</f>
        <v>3</v>
      </c>
      <c r="D227" s="60">
        <f>COUNTIFS('ALL Tube Results'!$B226:$B783, $A227, 'ALL Tube Results'!$F226:$F783, "Negative")
</f>
        <v>3</v>
      </c>
      <c r="E227" s="60">
        <f>COUNTIFS('ALL Tube Results'!$B226:$B783, $A227, 'ALL Tube Results'!$F226:$F783, "Positive")
</f>
        <v>0</v>
      </c>
      <c r="F227" s="60">
        <f>COUNTIFS('ALL Tube Results'!$B226:$B783, $A227, 'ALL Tube Results'!$F226:$F783, "Inconclusive")
</f>
        <v>0</v>
      </c>
      <c r="G227" s="61">
        <f t="shared" si="7"/>
        <v>3</v>
      </c>
      <c r="H227" s="61" t="str">
        <f t="shared" si="8"/>
        <v/>
      </c>
      <c r="I227" s="62" t="str">
        <f t="shared" si="9"/>
        <v/>
      </c>
      <c r="J227" s="63" t="str">
        <f t="shared" si="10"/>
        <v/>
      </c>
      <c r="K227" s="63" t="str">
        <f t="shared" si="11"/>
        <v/>
      </c>
      <c r="L227" s="63">
        <f t="shared" si="12"/>
        <v>3</v>
      </c>
      <c r="M227" s="63" t="str">
        <f t="shared" si="13"/>
        <v/>
      </c>
      <c r="N227" s="63" t="str">
        <f t="shared" si="14"/>
        <v/>
      </c>
      <c r="O227" s="64">
        <f t="shared" si="15"/>
        <v>3</v>
      </c>
      <c r="P227" s="64" t="str">
        <f t="shared" si="16"/>
        <v/>
      </c>
      <c r="Q227" s="54"/>
      <c r="R227" s="8" t="s">
        <v>257</v>
      </c>
      <c r="S227" s="14">
        <v>44858.0</v>
      </c>
      <c r="T227" s="16">
        <f>VLOOKUP(R227,'Run Reconcile'!$A$2:$L783,12,FALSE)</f>
        <v>3</v>
      </c>
      <c r="U227" s="16" t="str">
        <f t="shared" si="17"/>
        <v/>
      </c>
      <c r="V227" s="16" t="str">
        <f t="shared" si="18"/>
        <v/>
      </c>
      <c r="W227" s="16"/>
      <c r="X227" s="54"/>
      <c r="Z227" s="14"/>
      <c r="AA227" s="16"/>
      <c r="AB227" s="16"/>
      <c r="AC227" s="16"/>
      <c r="AD227" s="16"/>
      <c r="AE227" s="66"/>
      <c r="AF227" s="54"/>
      <c r="AG227" s="70" t="s">
        <v>259</v>
      </c>
      <c r="AH227" s="68">
        <f>VLOOKUP(AG227,'Run Reconcile'!A$2:B783,2,FALSE)</f>
        <v>44861</v>
      </c>
      <c r="AI227" s="69">
        <f>COUNTIF('APS Tubes IMPORT'!$V$2:$V783, AG227)
</f>
        <v>4</v>
      </c>
      <c r="AJ227" s="69">
        <f>COUNTIFS('APS Tubes IMPORT'!V$2:V783, AG227, 'APS Tubes IMPORT'!H$2:H783, "Negative")
</f>
        <v>4</v>
      </c>
      <c r="AK227" s="69">
        <f>COUNTIFS('APS Tubes IMPORT'!V$2:V783, AG227, 'APS Tubes IMPORT'!H$2:H783, "Positive")
</f>
        <v>0</v>
      </c>
      <c r="AL227" s="69">
        <f>COUNTIFS('APS Tubes IMPORT'!V$2:V783, AG227, 'APS Tubes IMPORT'!H$2:H783, "Inconclusive")
</f>
        <v>0</v>
      </c>
      <c r="AM227" s="69">
        <f>COUNTIFS('APS Tubes IMPORT'!V$2:V783, AG227, 'APS Tubes IMPORT'!H$2:H783, "Null")
</f>
        <v>0</v>
      </c>
      <c r="AN227" s="54"/>
      <c r="AO227" s="14">
        <f>'APS Tubes by Date IMPORT'!B226</f>
        <v>44854</v>
      </c>
      <c r="AP227" s="16">
        <f>'APS Tubes by Date IMPORT'!D226</f>
        <v>2</v>
      </c>
      <c r="AQ227" s="16">
        <f>'APS Tubes by Date IMPORT'!D226</f>
        <v>2</v>
      </c>
      <c r="AR227" s="16">
        <f>'APS Tubes by Date IMPORT'!E226</f>
        <v>0</v>
      </c>
      <c r="AS227" s="16">
        <f>'APS Tubes by Date IMPORT'!F226</f>
        <v>0</v>
      </c>
      <c r="AT227" s="16">
        <f>'APS Tubes by Date IMPORT'!G226</f>
        <v>0</v>
      </c>
      <c r="AU227" s="54"/>
    </row>
    <row r="228">
      <c r="A228" s="8" t="s">
        <v>258</v>
      </c>
      <c r="B228" s="58">
        <f>VLOOKUP(A228,'Run Reconcile'!A$2:B783,2,FALSE)</f>
        <v>44859</v>
      </c>
      <c r="C228" s="59">
        <f>COUNTIF('ALL Tube Results'!B227:B783, A228)
</f>
        <v>1</v>
      </c>
      <c r="D228" s="60">
        <f>COUNTIFS('ALL Tube Results'!$B227:$B783, $A228, 'ALL Tube Results'!$F227:$F783, "Negative")
</f>
        <v>1</v>
      </c>
      <c r="E228" s="60">
        <f>COUNTIFS('ALL Tube Results'!$B227:$B783, $A228, 'ALL Tube Results'!$F227:$F783, "Positive")
</f>
        <v>0</v>
      </c>
      <c r="F228" s="60">
        <f>COUNTIFS('ALL Tube Results'!$B227:$B783, $A228, 'ALL Tube Results'!$F227:$F783, "Inconclusive")
</f>
        <v>0</v>
      </c>
      <c r="G228" s="61">
        <f t="shared" si="7"/>
        <v>1</v>
      </c>
      <c r="H228" s="61" t="str">
        <f t="shared" si="8"/>
        <v/>
      </c>
      <c r="I228" s="62" t="str">
        <f t="shared" si="9"/>
        <v/>
      </c>
      <c r="J228" s="63" t="str">
        <f t="shared" si="10"/>
        <v/>
      </c>
      <c r="K228" s="63" t="str">
        <f t="shared" si="11"/>
        <v/>
      </c>
      <c r="L228" s="63">
        <f t="shared" si="12"/>
        <v>1</v>
      </c>
      <c r="M228" s="63" t="str">
        <f t="shared" si="13"/>
        <v/>
      </c>
      <c r="N228" s="63" t="str">
        <f t="shared" si="14"/>
        <v/>
      </c>
      <c r="O228" s="64">
        <f t="shared" si="15"/>
        <v>1</v>
      </c>
      <c r="P228" s="64" t="str">
        <f t="shared" si="16"/>
        <v/>
      </c>
      <c r="Q228" s="54"/>
      <c r="R228" s="8" t="s">
        <v>258</v>
      </c>
      <c r="S228" s="14">
        <v>44859.0</v>
      </c>
      <c r="T228" s="16">
        <f>VLOOKUP(R228,'Run Reconcile'!$A$2:$L783,12,FALSE)</f>
        <v>1</v>
      </c>
      <c r="U228" s="16" t="str">
        <f t="shared" si="17"/>
        <v/>
      </c>
      <c r="V228" s="16" t="str">
        <f t="shared" si="18"/>
        <v/>
      </c>
      <c r="W228" s="16"/>
      <c r="X228" s="54"/>
      <c r="Z228" s="14"/>
      <c r="AA228" s="16"/>
      <c r="AB228" s="16"/>
      <c r="AC228" s="16"/>
      <c r="AD228" s="16"/>
      <c r="AE228" s="66"/>
      <c r="AF228" s="54"/>
      <c r="AG228" s="70" t="s">
        <v>260</v>
      </c>
      <c r="AH228" s="68">
        <f>VLOOKUP(AG228,'Run Reconcile'!A$2:B783,2,FALSE)</f>
        <v>44865</v>
      </c>
      <c r="AI228" s="69">
        <f>COUNTIF('APS Tubes IMPORT'!$V$2:$V783, AG228)
</f>
        <v>2</v>
      </c>
      <c r="AJ228" s="69">
        <f>COUNTIFS('APS Tubes IMPORT'!V$2:V783, AG228, 'APS Tubes IMPORT'!H$2:H783, "Negative")
</f>
        <v>2</v>
      </c>
      <c r="AK228" s="69">
        <f>COUNTIFS('APS Tubes IMPORT'!V$2:V783, AG228, 'APS Tubes IMPORT'!H$2:H783, "Positive")
</f>
        <v>0</v>
      </c>
      <c r="AL228" s="69">
        <f>COUNTIFS('APS Tubes IMPORT'!V$2:V783, AG228, 'APS Tubes IMPORT'!H$2:H783, "Inconclusive")
</f>
        <v>0</v>
      </c>
      <c r="AM228" s="69">
        <f>COUNTIFS('APS Tubes IMPORT'!V$2:V783, AG228, 'APS Tubes IMPORT'!H$2:H783, "Null")
</f>
        <v>0</v>
      </c>
      <c r="AN228" s="54"/>
      <c r="AO228" s="14">
        <f>'APS Tubes by Date IMPORT'!B227</f>
        <v>44858</v>
      </c>
      <c r="AP228" s="16">
        <f>'APS Tubes by Date IMPORT'!D227</f>
        <v>3</v>
      </c>
      <c r="AQ228" s="16">
        <f>'APS Tubes by Date IMPORT'!D227</f>
        <v>3</v>
      </c>
      <c r="AR228" s="16">
        <f>'APS Tubes by Date IMPORT'!E227</f>
        <v>0</v>
      </c>
      <c r="AS228" s="16">
        <f>'APS Tubes by Date IMPORT'!F227</f>
        <v>0</v>
      </c>
      <c r="AT228" s="16">
        <f>'APS Tubes by Date IMPORT'!G227</f>
        <v>0</v>
      </c>
      <c r="AU228" s="54"/>
    </row>
    <row r="229">
      <c r="A229" s="8" t="s">
        <v>259</v>
      </c>
      <c r="B229" s="58">
        <f>VLOOKUP(A229,'Run Reconcile'!A$2:B783,2,FALSE)</f>
        <v>44861</v>
      </c>
      <c r="C229" s="59">
        <f>COUNTIF('ALL Tube Results'!B228:B783, A229)
</f>
        <v>4</v>
      </c>
      <c r="D229" s="60">
        <f>COUNTIFS('ALL Tube Results'!$B228:$B783, $A229, 'ALL Tube Results'!$F228:$F783, "Negative")
</f>
        <v>4</v>
      </c>
      <c r="E229" s="60">
        <f>COUNTIFS('ALL Tube Results'!$B228:$B783, $A229, 'ALL Tube Results'!$F228:$F783, "Positive")
</f>
        <v>0</v>
      </c>
      <c r="F229" s="60">
        <f>COUNTIFS('ALL Tube Results'!$B228:$B783, $A229, 'ALL Tube Results'!$F228:$F783, "Inconclusive")
</f>
        <v>0</v>
      </c>
      <c r="G229" s="61">
        <f t="shared" si="7"/>
        <v>4</v>
      </c>
      <c r="H229" s="61" t="str">
        <f t="shared" si="8"/>
        <v/>
      </c>
      <c r="I229" s="62" t="str">
        <f t="shared" si="9"/>
        <v/>
      </c>
      <c r="J229" s="63" t="str">
        <f t="shared" si="10"/>
        <v/>
      </c>
      <c r="K229" s="63" t="str">
        <f t="shared" si="11"/>
        <v/>
      </c>
      <c r="L229" s="63">
        <f t="shared" si="12"/>
        <v>4</v>
      </c>
      <c r="M229" s="63" t="str">
        <f t="shared" si="13"/>
        <v/>
      </c>
      <c r="N229" s="63" t="str">
        <f t="shared" si="14"/>
        <v/>
      </c>
      <c r="O229" s="64">
        <f t="shared" si="15"/>
        <v>4</v>
      </c>
      <c r="P229" s="64" t="str">
        <f t="shared" si="16"/>
        <v/>
      </c>
      <c r="Q229" s="54"/>
      <c r="R229" s="8" t="s">
        <v>259</v>
      </c>
      <c r="S229" s="14">
        <v>44861.0</v>
      </c>
      <c r="T229" s="16">
        <f>VLOOKUP(R229,'Run Reconcile'!$A$2:$L783,12,FALSE)</f>
        <v>4</v>
      </c>
      <c r="U229" s="16" t="str">
        <f t="shared" si="17"/>
        <v/>
      </c>
      <c r="V229" s="16" t="str">
        <f t="shared" si="18"/>
        <v/>
      </c>
      <c r="W229" s="16"/>
      <c r="X229" s="54"/>
      <c r="Z229" s="14"/>
      <c r="AA229" s="16"/>
      <c r="AB229" s="16"/>
      <c r="AC229" s="16"/>
      <c r="AD229" s="16"/>
      <c r="AE229" s="66"/>
      <c r="AF229" s="54"/>
      <c r="AG229" s="70" t="s">
        <v>261</v>
      </c>
      <c r="AH229" s="68">
        <f>VLOOKUP(AG229,'Run Reconcile'!A$2:B783,2,FALSE)</f>
        <v>44868</v>
      </c>
      <c r="AI229" s="69">
        <f>COUNTIF('APS Tubes IMPORT'!$V$2:$V783, AG229)
</f>
        <v>3</v>
      </c>
      <c r="AJ229" s="69">
        <f>COUNTIFS('APS Tubes IMPORT'!V$2:V783, AG229, 'APS Tubes IMPORT'!H$2:H783, "Negative")
</f>
        <v>3</v>
      </c>
      <c r="AK229" s="69">
        <f>COUNTIFS('APS Tubes IMPORT'!V$2:V783, AG229, 'APS Tubes IMPORT'!H$2:H783, "Positive")
</f>
        <v>0</v>
      </c>
      <c r="AL229" s="69">
        <f>COUNTIFS('APS Tubes IMPORT'!V$2:V783, AG229, 'APS Tubes IMPORT'!H$2:H783, "Inconclusive")
</f>
        <v>0</v>
      </c>
      <c r="AM229" s="69">
        <f>COUNTIFS('APS Tubes IMPORT'!V$2:V783, AG229, 'APS Tubes IMPORT'!H$2:H783, "Null")
</f>
        <v>0</v>
      </c>
      <c r="AN229" s="54"/>
      <c r="AO229" s="14">
        <f>'APS Tubes by Date IMPORT'!B228</f>
        <v>44859</v>
      </c>
      <c r="AP229" s="16">
        <f>'APS Tubes by Date IMPORT'!D228</f>
        <v>1</v>
      </c>
      <c r="AQ229" s="16">
        <f>'APS Tubes by Date IMPORT'!D228</f>
        <v>1</v>
      </c>
      <c r="AR229" s="16">
        <f>'APS Tubes by Date IMPORT'!E228</f>
        <v>0</v>
      </c>
      <c r="AS229" s="16">
        <f>'APS Tubes by Date IMPORT'!F228</f>
        <v>0</v>
      </c>
      <c r="AT229" s="16">
        <f>'APS Tubes by Date IMPORT'!G228</f>
        <v>0</v>
      </c>
      <c r="AU229" s="54"/>
    </row>
    <row r="230">
      <c r="A230" s="8" t="s">
        <v>260</v>
      </c>
      <c r="B230" s="58">
        <f>VLOOKUP(A230,'Run Reconcile'!A$2:B783,2,FALSE)</f>
        <v>44865</v>
      </c>
      <c r="C230" s="59">
        <f>COUNTIF('ALL Tube Results'!B229:B783, A230)
</f>
        <v>2</v>
      </c>
      <c r="D230" s="60">
        <f>COUNTIFS('ALL Tube Results'!$B229:$B783, $A230, 'ALL Tube Results'!$F229:$F783, "Negative")
</f>
        <v>2</v>
      </c>
      <c r="E230" s="60">
        <f>COUNTIFS('ALL Tube Results'!$B229:$B783, $A230, 'ALL Tube Results'!$F229:$F783, "Positive")
</f>
        <v>0</v>
      </c>
      <c r="F230" s="60">
        <f>COUNTIFS('ALL Tube Results'!$B229:$B783, $A230, 'ALL Tube Results'!$F229:$F783, "Inconclusive")
</f>
        <v>0</v>
      </c>
      <c r="G230" s="61">
        <f t="shared" si="7"/>
        <v>2</v>
      </c>
      <c r="H230" s="61" t="str">
        <f t="shared" si="8"/>
        <v/>
      </c>
      <c r="I230" s="62" t="str">
        <f t="shared" si="9"/>
        <v/>
      </c>
      <c r="J230" s="63" t="str">
        <f t="shared" si="10"/>
        <v/>
      </c>
      <c r="K230" s="63" t="str">
        <f t="shared" si="11"/>
        <v/>
      </c>
      <c r="L230" s="63">
        <f t="shared" si="12"/>
        <v>2</v>
      </c>
      <c r="M230" s="63" t="str">
        <f t="shared" si="13"/>
        <v/>
      </c>
      <c r="N230" s="63" t="str">
        <f t="shared" si="14"/>
        <v/>
      </c>
      <c r="O230" s="64">
        <f t="shared" si="15"/>
        <v>2</v>
      </c>
      <c r="P230" s="64" t="str">
        <f t="shared" si="16"/>
        <v/>
      </c>
      <c r="Q230" s="54"/>
      <c r="R230" s="8" t="s">
        <v>260</v>
      </c>
      <c r="S230" s="14">
        <v>44865.0</v>
      </c>
      <c r="T230" s="16">
        <f>VLOOKUP(R230,'Run Reconcile'!$A$2:$L783,12,FALSE)</f>
        <v>2</v>
      </c>
      <c r="U230" s="16" t="str">
        <f t="shared" si="17"/>
        <v/>
      </c>
      <c r="V230" s="16" t="str">
        <f t="shared" si="18"/>
        <v/>
      </c>
      <c r="W230" s="16"/>
      <c r="X230" s="54"/>
      <c r="Z230" s="14"/>
      <c r="AA230" s="16"/>
      <c r="AB230" s="16"/>
      <c r="AC230" s="16"/>
      <c r="AD230" s="16"/>
      <c r="AE230" s="66"/>
      <c r="AF230" s="54"/>
      <c r="AG230" s="70" t="s">
        <v>262</v>
      </c>
      <c r="AH230" s="68">
        <f>VLOOKUP(AG230,'Run Reconcile'!A$2:B783,2,FALSE)</f>
        <v>44872</v>
      </c>
      <c r="AI230" s="69">
        <f>COUNTIF('APS Tubes IMPORT'!$V$2:$V783, AG230)
</f>
        <v>3</v>
      </c>
      <c r="AJ230" s="69">
        <f>COUNTIFS('APS Tubes IMPORT'!V$2:V783, AG230, 'APS Tubes IMPORT'!H$2:H783, "Negative")
</f>
        <v>3</v>
      </c>
      <c r="AK230" s="69">
        <f>COUNTIFS('APS Tubes IMPORT'!V$2:V783, AG230, 'APS Tubes IMPORT'!H$2:H783, "Positive")
</f>
        <v>0</v>
      </c>
      <c r="AL230" s="69">
        <f>COUNTIFS('APS Tubes IMPORT'!V$2:V783, AG230, 'APS Tubes IMPORT'!H$2:H783, "Inconclusive")
</f>
        <v>0</v>
      </c>
      <c r="AM230" s="69">
        <f>COUNTIFS('APS Tubes IMPORT'!V$2:V783, AG230, 'APS Tubes IMPORT'!H$2:H783, "Null")
</f>
        <v>0</v>
      </c>
      <c r="AN230" s="54"/>
      <c r="AO230" s="14">
        <f>'APS Tubes by Date IMPORT'!B229</f>
        <v>44861</v>
      </c>
      <c r="AP230" s="16">
        <f>'APS Tubes by Date IMPORT'!D229</f>
        <v>4</v>
      </c>
      <c r="AQ230" s="16">
        <f>'APS Tubes by Date IMPORT'!D229</f>
        <v>4</v>
      </c>
      <c r="AR230" s="16">
        <f>'APS Tubes by Date IMPORT'!E229</f>
        <v>0</v>
      </c>
      <c r="AS230" s="16">
        <f>'APS Tubes by Date IMPORT'!F229</f>
        <v>0</v>
      </c>
      <c r="AT230" s="16">
        <f>'APS Tubes by Date IMPORT'!G229</f>
        <v>0</v>
      </c>
      <c r="AU230" s="54"/>
    </row>
    <row r="231">
      <c r="A231" s="8" t="s">
        <v>261</v>
      </c>
      <c r="B231" s="58">
        <f>VLOOKUP(A231,'Run Reconcile'!A$2:B783,2,FALSE)</f>
        <v>44868</v>
      </c>
      <c r="C231" s="59">
        <f>COUNTIF('ALL Tube Results'!B230:B783, A231)
</f>
        <v>3</v>
      </c>
      <c r="D231" s="60">
        <f>COUNTIFS('ALL Tube Results'!$B230:$B783, $A231, 'ALL Tube Results'!$F230:$F783, "Negative")
</f>
        <v>3</v>
      </c>
      <c r="E231" s="60">
        <f>COUNTIFS('ALL Tube Results'!$B230:$B783, $A231, 'ALL Tube Results'!$F230:$F783, "Positive")
</f>
        <v>0</v>
      </c>
      <c r="F231" s="60">
        <f>COUNTIFS('ALL Tube Results'!$B230:$B783, $A231, 'ALL Tube Results'!$F230:$F783, "Inconclusive")
</f>
        <v>0</v>
      </c>
      <c r="G231" s="61">
        <f t="shared" si="7"/>
        <v>3</v>
      </c>
      <c r="H231" s="61" t="str">
        <f t="shared" si="8"/>
        <v/>
      </c>
      <c r="I231" s="62" t="str">
        <f t="shared" si="9"/>
        <v/>
      </c>
      <c r="J231" s="63" t="str">
        <f t="shared" si="10"/>
        <v/>
      </c>
      <c r="K231" s="63" t="str">
        <f t="shared" si="11"/>
        <v/>
      </c>
      <c r="L231" s="63">
        <f t="shared" si="12"/>
        <v>3</v>
      </c>
      <c r="M231" s="63" t="str">
        <f t="shared" si="13"/>
        <v/>
      </c>
      <c r="N231" s="63" t="str">
        <f t="shared" si="14"/>
        <v/>
      </c>
      <c r="O231" s="64">
        <f t="shared" si="15"/>
        <v>3</v>
      </c>
      <c r="P231" s="64" t="str">
        <f t="shared" si="16"/>
        <v/>
      </c>
      <c r="Q231" s="54"/>
      <c r="R231" s="8" t="s">
        <v>261</v>
      </c>
      <c r="S231" s="14">
        <v>44868.0</v>
      </c>
      <c r="T231" s="16">
        <f>VLOOKUP(R231,'Run Reconcile'!$A$2:$L783,12,FALSE)</f>
        <v>3</v>
      </c>
      <c r="U231" s="16" t="str">
        <f t="shared" si="17"/>
        <v/>
      </c>
      <c r="V231" s="16" t="str">
        <f t="shared" si="18"/>
        <v/>
      </c>
      <c r="W231" s="16"/>
      <c r="X231" s="54"/>
      <c r="Z231" s="14"/>
      <c r="AA231" s="16"/>
      <c r="AB231" s="16"/>
      <c r="AC231" s="16"/>
      <c r="AD231" s="16"/>
      <c r="AE231" s="66"/>
      <c r="AF231" s="54"/>
      <c r="AG231" s="70" t="s">
        <v>263</v>
      </c>
      <c r="AH231" s="68">
        <f>VLOOKUP(AG231,'Run Reconcile'!A$2:B783,2,FALSE)</f>
        <v>44875</v>
      </c>
      <c r="AI231" s="69">
        <f>COUNTIF('APS Tubes IMPORT'!$V$2:$V783, AG231)
</f>
        <v>2</v>
      </c>
      <c r="AJ231" s="69">
        <f>COUNTIFS('APS Tubes IMPORT'!V$2:V783, AG231, 'APS Tubes IMPORT'!H$2:H783, "Negative")
</f>
        <v>2</v>
      </c>
      <c r="AK231" s="69">
        <f>COUNTIFS('APS Tubes IMPORT'!V$2:V783, AG231, 'APS Tubes IMPORT'!H$2:H783, "Positive")
</f>
        <v>0</v>
      </c>
      <c r="AL231" s="69">
        <f>COUNTIFS('APS Tubes IMPORT'!V$2:V783, AG231, 'APS Tubes IMPORT'!H$2:H783, "Inconclusive")
</f>
        <v>0</v>
      </c>
      <c r="AM231" s="69">
        <f>COUNTIFS('APS Tubes IMPORT'!V$2:V783, AG231, 'APS Tubes IMPORT'!H$2:H783, "Null")
</f>
        <v>0</v>
      </c>
      <c r="AN231" s="54"/>
      <c r="AO231" s="14">
        <f>'APS Tubes by Date IMPORT'!B230</f>
        <v>44865</v>
      </c>
      <c r="AP231" s="16">
        <f>'APS Tubes by Date IMPORT'!D230</f>
        <v>2</v>
      </c>
      <c r="AQ231" s="16">
        <f>'APS Tubes by Date IMPORT'!D230</f>
        <v>2</v>
      </c>
      <c r="AR231" s="16">
        <f>'APS Tubes by Date IMPORT'!E230</f>
        <v>0</v>
      </c>
      <c r="AS231" s="16">
        <f>'APS Tubes by Date IMPORT'!F230</f>
        <v>0</v>
      </c>
      <c r="AT231" s="16">
        <f>'APS Tubes by Date IMPORT'!G230</f>
        <v>0</v>
      </c>
      <c r="AU231" s="54"/>
    </row>
    <row r="232">
      <c r="A232" s="8" t="s">
        <v>262</v>
      </c>
      <c r="B232" s="58">
        <f>VLOOKUP(A232,'Run Reconcile'!A$2:B783,2,FALSE)</f>
        <v>44872</v>
      </c>
      <c r="C232" s="59">
        <f>COUNTIF('ALL Tube Results'!B231:B783, A232)
</f>
        <v>3</v>
      </c>
      <c r="D232" s="60">
        <f>COUNTIFS('ALL Tube Results'!$B231:$B783, $A232, 'ALL Tube Results'!$F231:$F783, "Negative")
</f>
        <v>3</v>
      </c>
      <c r="E232" s="60">
        <f>COUNTIFS('ALL Tube Results'!$B231:$B783, $A232, 'ALL Tube Results'!$F231:$F783, "Positive")
</f>
        <v>0</v>
      </c>
      <c r="F232" s="60">
        <f>COUNTIFS('ALL Tube Results'!$B231:$B783, $A232, 'ALL Tube Results'!$F231:$F783, "Inconclusive")
</f>
        <v>0</v>
      </c>
      <c r="G232" s="61">
        <f t="shared" si="7"/>
        <v>3</v>
      </c>
      <c r="H232" s="61" t="str">
        <f t="shared" si="8"/>
        <v/>
      </c>
      <c r="I232" s="62" t="str">
        <f t="shared" si="9"/>
        <v/>
      </c>
      <c r="J232" s="63" t="str">
        <f t="shared" si="10"/>
        <v/>
      </c>
      <c r="K232" s="63" t="str">
        <f t="shared" si="11"/>
        <v/>
      </c>
      <c r="L232" s="63">
        <f t="shared" si="12"/>
        <v>3</v>
      </c>
      <c r="M232" s="63" t="str">
        <f t="shared" si="13"/>
        <v/>
      </c>
      <c r="N232" s="63" t="str">
        <f t="shared" si="14"/>
        <v/>
      </c>
      <c r="O232" s="64">
        <f t="shared" si="15"/>
        <v>3</v>
      </c>
      <c r="P232" s="64" t="str">
        <f t="shared" si="16"/>
        <v/>
      </c>
      <c r="Q232" s="54"/>
      <c r="R232" s="8" t="s">
        <v>262</v>
      </c>
      <c r="S232" s="14">
        <v>44872.0</v>
      </c>
      <c r="T232" s="16">
        <f>VLOOKUP(R232,'Run Reconcile'!$A$2:$L783,12,FALSE)</f>
        <v>3</v>
      </c>
      <c r="U232" s="16" t="str">
        <f t="shared" si="17"/>
        <v/>
      </c>
      <c r="V232" s="16" t="str">
        <f t="shared" si="18"/>
        <v/>
      </c>
      <c r="W232" s="16"/>
      <c r="X232" s="54"/>
      <c r="Z232" s="14"/>
      <c r="AA232" s="16"/>
      <c r="AB232" s="16"/>
      <c r="AC232" s="16"/>
      <c r="AD232" s="16"/>
      <c r="AE232" s="66"/>
      <c r="AF232" s="54"/>
      <c r="AG232" s="70" t="s">
        <v>264</v>
      </c>
      <c r="AH232" s="68">
        <f>VLOOKUP(AG232,'Run Reconcile'!A$2:B783,2,FALSE)</f>
        <v>44879</v>
      </c>
      <c r="AI232" s="69">
        <f>COUNTIF('APS Tubes IMPORT'!$V$2:$V783, AG232)
</f>
        <v>5</v>
      </c>
      <c r="AJ232" s="69">
        <f>COUNTIFS('APS Tubes IMPORT'!V$2:V783, AG232, 'APS Tubes IMPORT'!H$2:H783, "Negative")
</f>
        <v>5</v>
      </c>
      <c r="AK232" s="69">
        <f>COUNTIFS('APS Tubes IMPORT'!V$2:V783, AG232, 'APS Tubes IMPORT'!H$2:H783, "Positive")
</f>
        <v>0</v>
      </c>
      <c r="AL232" s="69">
        <f>COUNTIFS('APS Tubes IMPORT'!V$2:V783, AG232, 'APS Tubes IMPORT'!H$2:H783, "Inconclusive")
</f>
        <v>0</v>
      </c>
      <c r="AM232" s="69">
        <f>COUNTIFS('APS Tubes IMPORT'!V$2:V783, AG232, 'APS Tubes IMPORT'!H$2:H783, "Null")
</f>
        <v>0</v>
      </c>
      <c r="AN232" s="54"/>
      <c r="AO232" s="14">
        <f>'APS Tubes by Date IMPORT'!B231</f>
        <v>44868</v>
      </c>
      <c r="AP232" s="16">
        <f>'APS Tubes by Date IMPORT'!D231</f>
        <v>3</v>
      </c>
      <c r="AQ232" s="16">
        <f>'APS Tubes by Date IMPORT'!D231</f>
        <v>3</v>
      </c>
      <c r="AR232" s="16">
        <f>'APS Tubes by Date IMPORT'!E231</f>
        <v>0</v>
      </c>
      <c r="AS232" s="16">
        <f>'APS Tubes by Date IMPORT'!F231</f>
        <v>0</v>
      </c>
      <c r="AT232" s="16">
        <f>'APS Tubes by Date IMPORT'!G231</f>
        <v>0</v>
      </c>
      <c r="AU232" s="54"/>
    </row>
    <row r="233">
      <c r="A233" s="8" t="s">
        <v>263</v>
      </c>
      <c r="B233" s="58">
        <f>VLOOKUP(A233,'Run Reconcile'!A$2:B783,2,FALSE)</f>
        <v>44875</v>
      </c>
      <c r="C233" s="59">
        <f>COUNTIF('ALL Tube Results'!B232:B783, A233)
</f>
        <v>2</v>
      </c>
      <c r="D233" s="60">
        <f>COUNTIFS('ALL Tube Results'!$B232:$B783, $A233, 'ALL Tube Results'!$F232:$F783, "Negative")
</f>
        <v>2</v>
      </c>
      <c r="E233" s="60">
        <f>COUNTIFS('ALL Tube Results'!$B232:$B783, $A233, 'ALL Tube Results'!$F232:$F783, "Positive")
</f>
        <v>0</v>
      </c>
      <c r="F233" s="60">
        <f>COUNTIFS('ALL Tube Results'!$B232:$B783, $A233, 'ALL Tube Results'!$F232:$F783, "Inconclusive")
</f>
        <v>0</v>
      </c>
      <c r="G233" s="61">
        <f t="shared" si="7"/>
        <v>2</v>
      </c>
      <c r="H233" s="61" t="str">
        <f t="shared" si="8"/>
        <v/>
      </c>
      <c r="I233" s="62" t="str">
        <f t="shared" si="9"/>
        <v/>
      </c>
      <c r="J233" s="63" t="str">
        <f t="shared" si="10"/>
        <v/>
      </c>
      <c r="K233" s="63" t="str">
        <f t="shared" si="11"/>
        <v/>
      </c>
      <c r="L233" s="63">
        <f t="shared" si="12"/>
        <v>2</v>
      </c>
      <c r="M233" s="63" t="str">
        <f t="shared" si="13"/>
        <v/>
      </c>
      <c r="N233" s="63" t="str">
        <f t="shared" si="14"/>
        <v/>
      </c>
      <c r="O233" s="64">
        <f t="shared" si="15"/>
        <v>2</v>
      </c>
      <c r="P233" s="64" t="str">
        <f t="shared" si="16"/>
        <v/>
      </c>
      <c r="Q233" s="54"/>
      <c r="R233" s="8" t="s">
        <v>263</v>
      </c>
      <c r="S233" s="14">
        <v>44875.0</v>
      </c>
      <c r="T233" s="16">
        <f>VLOOKUP(R233,'Run Reconcile'!$A$2:$L783,12,FALSE)</f>
        <v>2</v>
      </c>
      <c r="U233" s="16" t="str">
        <f t="shared" si="17"/>
        <v/>
      </c>
      <c r="V233" s="16" t="str">
        <f t="shared" si="18"/>
        <v/>
      </c>
      <c r="W233" s="16"/>
      <c r="X233" s="54"/>
      <c r="Z233" s="14"/>
      <c r="AA233" s="16"/>
      <c r="AB233" s="16"/>
      <c r="AC233" s="16"/>
      <c r="AD233" s="16"/>
      <c r="AE233" s="66"/>
      <c r="AF233" s="54"/>
      <c r="AG233" s="70" t="s">
        <v>265</v>
      </c>
      <c r="AH233" s="68">
        <f>VLOOKUP(AG233,'Run Reconcile'!A$2:B783,2,FALSE)</f>
        <v>44886</v>
      </c>
      <c r="AI233" s="69">
        <f>COUNTIF('APS Tubes IMPORT'!$V$2:$V783, AG233)
</f>
        <v>3</v>
      </c>
      <c r="AJ233" s="69">
        <f>COUNTIFS('APS Tubes IMPORT'!V$2:V783, AG233, 'APS Tubes IMPORT'!H$2:H783, "Negative")
</f>
        <v>3</v>
      </c>
      <c r="AK233" s="69">
        <f>COUNTIFS('APS Tubes IMPORT'!V$2:V783, AG233, 'APS Tubes IMPORT'!H$2:H783, "Positive")
</f>
        <v>0</v>
      </c>
      <c r="AL233" s="69">
        <f>COUNTIFS('APS Tubes IMPORT'!V$2:V783, AG233, 'APS Tubes IMPORT'!H$2:H783, "Inconclusive")
</f>
        <v>0</v>
      </c>
      <c r="AM233" s="69">
        <f>COUNTIFS('APS Tubes IMPORT'!V$2:V783, AG233, 'APS Tubes IMPORT'!H$2:H783, "Null")
</f>
        <v>0</v>
      </c>
      <c r="AN233" s="54"/>
      <c r="AO233" s="14">
        <f>'APS Tubes by Date IMPORT'!B232</f>
        <v>44872</v>
      </c>
      <c r="AP233" s="16">
        <f>'APS Tubes by Date IMPORT'!D232</f>
        <v>3</v>
      </c>
      <c r="AQ233" s="16">
        <f>'APS Tubes by Date IMPORT'!D232</f>
        <v>3</v>
      </c>
      <c r="AR233" s="16">
        <f>'APS Tubes by Date IMPORT'!E232</f>
        <v>0</v>
      </c>
      <c r="AS233" s="16">
        <f>'APS Tubes by Date IMPORT'!F232</f>
        <v>0</v>
      </c>
      <c r="AT233" s="16">
        <f>'APS Tubes by Date IMPORT'!G232</f>
        <v>0</v>
      </c>
      <c r="AU233" s="54"/>
    </row>
    <row r="234">
      <c r="A234" s="8" t="s">
        <v>264</v>
      </c>
      <c r="B234" s="58">
        <f>VLOOKUP(A234,'Run Reconcile'!A$2:B783,2,FALSE)</f>
        <v>44879</v>
      </c>
      <c r="C234" s="59">
        <f>COUNTIF('ALL Tube Results'!B233:B783, A234)
</f>
        <v>5</v>
      </c>
      <c r="D234" s="60">
        <f>COUNTIFS('ALL Tube Results'!$B233:$B783, $A234, 'ALL Tube Results'!$F233:$F783, "Negative")
</f>
        <v>5</v>
      </c>
      <c r="E234" s="60">
        <f>COUNTIFS('ALL Tube Results'!$B233:$B783, $A234, 'ALL Tube Results'!$F233:$F783, "Positive")
</f>
        <v>0</v>
      </c>
      <c r="F234" s="60">
        <f>COUNTIFS('ALL Tube Results'!$B233:$B783, $A234, 'ALL Tube Results'!$F233:$F783, "Inconclusive")
</f>
        <v>0</v>
      </c>
      <c r="G234" s="61">
        <f t="shared" si="7"/>
        <v>5</v>
      </c>
      <c r="H234" s="61" t="str">
        <f t="shared" si="8"/>
        <v/>
      </c>
      <c r="I234" s="62" t="str">
        <f t="shared" si="9"/>
        <v/>
      </c>
      <c r="J234" s="63" t="str">
        <f t="shared" si="10"/>
        <v/>
      </c>
      <c r="K234" s="63" t="str">
        <f t="shared" si="11"/>
        <v/>
      </c>
      <c r="L234" s="63">
        <f t="shared" si="12"/>
        <v>5</v>
      </c>
      <c r="M234" s="63" t="str">
        <f t="shared" si="13"/>
        <v/>
      </c>
      <c r="N234" s="63" t="str">
        <f t="shared" si="14"/>
        <v/>
      </c>
      <c r="O234" s="64">
        <f t="shared" si="15"/>
        <v>5</v>
      </c>
      <c r="P234" s="64" t="str">
        <f t="shared" si="16"/>
        <v/>
      </c>
      <c r="Q234" s="54"/>
      <c r="R234" s="8" t="s">
        <v>264</v>
      </c>
      <c r="S234" s="14">
        <v>44879.0</v>
      </c>
      <c r="T234" s="16">
        <f>VLOOKUP(R234,'Run Reconcile'!$A$2:$L783,12,FALSE)</f>
        <v>5</v>
      </c>
      <c r="U234" s="16" t="str">
        <f t="shared" si="17"/>
        <v/>
      </c>
      <c r="V234" s="16" t="str">
        <f t="shared" si="18"/>
        <v/>
      </c>
      <c r="W234" s="16"/>
      <c r="X234" s="54"/>
      <c r="Z234" s="14"/>
      <c r="AA234" s="16"/>
      <c r="AB234" s="16"/>
      <c r="AC234" s="16"/>
      <c r="AD234" s="16"/>
      <c r="AE234" s="66"/>
      <c r="AF234" s="54"/>
      <c r="AG234" s="70" t="s">
        <v>266</v>
      </c>
      <c r="AH234" s="68">
        <f>VLOOKUP(AG234,'Run Reconcile'!A$2:B783,2,FALSE)</f>
        <v>44894</v>
      </c>
      <c r="AI234" s="69">
        <f>COUNTIF('APS Tubes IMPORT'!$V$2:$V783, AG234)
</f>
        <v>2</v>
      </c>
      <c r="AJ234" s="69">
        <f>COUNTIFS('APS Tubes IMPORT'!V$2:V783, AG234, 'APS Tubes IMPORT'!H$2:H783, "Negative")
</f>
        <v>2</v>
      </c>
      <c r="AK234" s="69">
        <f>COUNTIFS('APS Tubes IMPORT'!V$2:V783, AG234, 'APS Tubes IMPORT'!H$2:H783, "Positive")
</f>
        <v>0</v>
      </c>
      <c r="AL234" s="69">
        <f>COUNTIFS('APS Tubes IMPORT'!V$2:V783, AG234, 'APS Tubes IMPORT'!H$2:H783, "Inconclusive")
</f>
        <v>0</v>
      </c>
      <c r="AM234" s="69">
        <f>COUNTIFS('APS Tubes IMPORT'!V$2:V783, AG234, 'APS Tubes IMPORT'!H$2:H783, "Null")
</f>
        <v>0</v>
      </c>
      <c r="AN234" s="54"/>
      <c r="AO234" s="14">
        <f>'APS Tubes by Date IMPORT'!B233</f>
        <v>44875</v>
      </c>
      <c r="AP234" s="16">
        <f>'APS Tubes by Date IMPORT'!D233</f>
        <v>2</v>
      </c>
      <c r="AQ234" s="16">
        <f>'APS Tubes by Date IMPORT'!D233</f>
        <v>2</v>
      </c>
      <c r="AR234" s="16">
        <f>'APS Tubes by Date IMPORT'!E233</f>
        <v>0</v>
      </c>
      <c r="AS234" s="16">
        <f>'APS Tubes by Date IMPORT'!F233</f>
        <v>0</v>
      </c>
      <c r="AT234" s="16">
        <f>'APS Tubes by Date IMPORT'!G233</f>
        <v>0</v>
      </c>
      <c r="AU234" s="54"/>
    </row>
    <row r="235">
      <c r="A235" s="8" t="s">
        <v>265</v>
      </c>
      <c r="B235" s="58">
        <f>VLOOKUP(A235,'Run Reconcile'!A$2:B783,2,FALSE)</f>
        <v>44886</v>
      </c>
      <c r="C235" s="59">
        <f>COUNTIF('ALL Tube Results'!B234:B783, A235)
</f>
        <v>3</v>
      </c>
      <c r="D235" s="60">
        <f>COUNTIFS('ALL Tube Results'!$B234:$B783, $A235, 'ALL Tube Results'!$F234:$F783, "Negative")
</f>
        <v>3</v>
      </c>
      <c r="E235" s="60">
        <f>COUNTIFS('ALL Tube Results'!$B234:$B783, $A235, 'ALL Tube Results'!$F234:$F783, "Positive")
</f>
        <v>0</v>
      </c>
      <c r="F235" s="60">
        <f>COUNTIFS('ALL Tube Results'!$B234:$B783, $A235, 'ALL Tube Results'!$F234:$F783, "Inconclusive")
</f>
        <v>0</v>
      </c>
      <c r="G235" s="61">
        <f t="shared" si="7"/>
        <v>3</v>
      </c>
      <c r="H235" s="61" t="str">
        <f t="shared" si="8"/>
        <v/>
      </c>
      <c r="I235" s="62" t="str">
        <f t="shared" si="9"/>
        <v/>
      </c>
      <c r="J235" s="63" t="str">
        <f t="shared" si="10"/>
        <v/>
      </c>
      <c r="K235" s="63" t="str">
        <f t="shared" si="11"/>
        <v/>
      </c>
      <c r="L235" s="63">
        <f t="shared" si="12"/>
        <v>3</v>
      </c>
      <c r="M235" s="63" t="str">
        <f t="shared" si="13"/>
        <v/>
      </c>
      <c r="N235" s="63" t="str">
        <f t="shared" si="14"/>
        <v/>
      </c>
      <c r="O235" s="64">
        <f t="shared" si="15"/>
        <v>3</v>
      </c>
      <c r="P235" s="64" t="str">
        <f t="shared" si="16"/>
        <v/>
      </c>
      <c r="Q235" s="54"/>
      <c r="R235" s="8" t="s">
        <v>265</v>
      </c>
      <c r="S235" s="14">
        <v>44886.0</v>
      </c>
      <c r="T235" s="16">
        <f>VLOOKUP(R235,'Run Reconcile'!$A$2:$L783,12,FALSE)</f>
        <v>3</v>
      </c>
      <c r="U235" s="16" t="str">
        <f t="shared" si="17"/>
        <v/>
      </c>
      <c r="V235" s="16" t="str">
        <f t="shared" si="18"/>
        <v/>
      </c>
      <c r="W235" s="16"/>
      <c r="X235" s="54"/>
      <c r="Z235" s="14"/>
      <c r="AA235" s="16"/>
      <c r="AB235" s="16"/>
      <c r="AC235" s="16"/>
      <c r="AD235" s="16"/>
      <c r="AE235" s="66"/>
      <c r="AF235" s="54"/>
      <c r="AG235" s="70" t="s">
        <v>267</v>
      </c>
      <c r="AH235" s="68">
        <f>VLOOKUP(AG235,'Run Reconcile'!A$2:B783,2,FALSE)</f>
        <v>44896</v>
      </c>
      <c r="AI235" s="69">
        <f>COUNTIF('APS Tubes IMPORT'!$V$2:$V783, AG235)
</f>
        <v>3</v>
      </c>
      <c r="AJ235" s="69">
        <f>COUNTIFS('APS Tubes IMPORT'!V$2:V783, AG235, 'APS Tubes IMPORT'!H$2:H783, "Negative")
</f>
        <v>3</v>
      </c>
      <c r="AK235" s="69">
        <f>COUNTIFS('APS Tubes IMPORT'!V$2:V783, AG235, 'APS Tubes IMPORT'!H$2:H783, "Positive")
</f>
        <v>0</v>
      </c>
      <c r="AL235" s="69">
        <f>COUNTIFS('APS Tubes IMPORT'!V$2:V783, AG235, 'APS Tubes IMPORT'!H$2:H783, "Inconclusive")
</f>
        <v>0</v>
      </c>
      <c r="AM235" s="69">
        <f>COUNTIFS('APS Tubes IMPORT'!V$2:V783, AG235, 'APS Tubes IMPORT'!H$2:H783, "Null")
</f>
        <v>0</v>
      </c>
      <c r="AN235" s="54"/>
      <c r="AO235" s="14">
        <f>'APS Tubes by Date IMPORT'!B234</f>
        <v>44879</v>
      </c>
      <c r="AP235" s="16">
        <f>'APS Tubes by Date IMPORT'!D234</f>
        <v>5</v>
      </c>
      <c r="AQ235" s="16">
        <f>'APS Tubes by Date IMPORT'!D234</f>
        <v>5</v>
      </c>
      <c r="AR235" s="16">
        <f>'APS Tubes by Date IMPORT'!E234</f>
        <v>0</v>
      </c>
      <c r="AS235" s="16">
        <f>'APS Tubes by Date IMPORT'!F234</f>
        <v>0</v>
      </c>
      <c r="AT235" s="16">
        <f>'APS Tubes by Date IMPORT'!G234</f>
        <v>0</v>
      </c>
      <c r="AU235" s="54"/>
    </row>
    <row r="236">
      <c r="A236" s="8" t="s">
        <v>266</v>
      </c>
      <c r="B236" s="58">
        <f>VLOOKUP(A236,'Run Reconcile'!A$2:B783,2,FALSE)</f>
        <v>44894</v>
      </c>
      <c r="C236" s="59">
        <f>COUNTIF('ALL Tube Results'!B235:B783, A236)
</f>
        <v>2</v>
      </c>
      <c r="D236" s="60">
        <f>COUNTIFS('ALL Tube Results'!$B235:$B783, $A236, 'ALL Tube Results'!$F235:$F783, "Negative")
</f>
        <v>2</v>
      </c>
      <c r="E236" s="60">
        <f>COUNTIFS('ALL Tube Results'!$B235:$B783, $A236, 'ALL Tube Results'!$F235:$F783, "Positive")
</f>
        <v>0</v>
      </c>
      <c r="F236" s="60">
        <f>COUNTIFS('ALL Tube Results'!$B235:$B783, $A236, 'ALL Tube Results'!$F235:$F783, "Inconclusive")
</f>
        <v>0</v>
      </c>
      <c r="G236" s="61">
        <f t="shared" si="7"/>
        <v>2</v>
      </c>
      <c r="H236" s="61" t="str">
        <f t="shared" si="8"/>
        <v/>
      </c>
      <c r="I236" s="62" t="str">
        <f t="shared" si="9"/>
        <v/>
      </c>
      <c r="J236" s="63" t="str">
        <f t="shared" si="10"/>
        <v/>
      </c>
      <c r="K236" s="63" t="str">
        <f t="shared" si="11"/>
        <v/>
      </c>
      <c r="L236" s="63">
        <f t="shared" si="12"/>
        <v>2</v>
      </c>
      <c r="M236" s="63" t="str">
        <f t="shared" si="13"/>
        <v/>
      </c>
      <c r="N236" s="63" t="str">
        <f t="shared" si="14"/>
        <v/>
      </c>
      <c r="O236" s="64">
        <f t="shared" si="15"/>
        <v>2</v>
      </c>
      <c r="P236" s="64" t="str">
        <f t="shared" si="16"/>
        <v/>
      </c>
      <c r="Q236" s="54"/>
      <c r="R236" s="8" t="s">
        <v>266</v>
      </c>
      <c r="S236" s="14">
        <v>44894.0</v>
      </c>
      <c r="T236" s="16">
        <f>VLOOKUP(R236,'Run Reconcile'!$A$2:$L783,12,FALSE)</f>
        <v>2</v>
      </c>
      <c r="U236" s="16" t="str">
        <f t="shared" si="17"/>
        <v/>
      </c>
      <c r="V236" s="16" t="str">
        <f t="shared" si="18"/>
        <v/>
      </c>
      <c r="W236" s="16"/>
      <c r="X236" s="54"/>
      <c r="Z236" s="14"/>
      <c r="AA236" s="16"/>
      <c r="AB236" s="16"/>
      <c r="AC236" s="16"/>
      <c r="AD236" s="16"/>
      <c r="AE236" s="66"/>
      <c r="AF236" s="54"/>
      <c r="AG236" s="70" t="s">
        <v>268</v>
      </c>
      <c r="AH236" s="68">
        <f>VLOOKUP(AG236,'Run Reconcile'!A$2:B783,2,FALSE)</f>
        <v>44903</v>
      </c>
      <c r="AI236" s="69">
        <f>COUNTIF('APS Tubes IMPORT'!$V$2:$V783, AG236)
</f>
        <v>2</v>
      </c>
      <c r="AJ236" s="69">
        <f>COUNTIFS('APS Tubes IMPORT'!V$2:V783, AG236, 'APS Tubes IMPORT'!H$2:H783, "Negative")
</f>
        <v>2</v>
      </c>
      <c r="AK236" s="69">
        <f>COUNTIFS('APS Tubes IMPORT'!V$2:V783, AG236, 'APS Tubes IMPORT'!H$2:H783, "Positive")
</f>
        <v>0</v>
      </c>
      <c r="AL236" s="69">
        <f>COUNTIFS('APS Tubes IMPORT'!V$2:V783, AG236, 'APS Tubes IMPORT'!H$2:H783, "Inconclusive")
</f>
        <v>0</v>
      </c>
      <c r="AM236" s="69">
        <f>COUNTIFS('APS Tubes IMPORT'!V$2:V783, AG236, 'APS Tubes IMPORT'!H$2:H783, "Null")
</f>
        <v>0</v>
      </c>
      <c r="AN236" s="54"/>
      <c r="AO236" s="14">
        <f>'APS Tubes by Date IMPORT'!B235</f>
        <v>44886</v>
      </c>
      <c r="AP236" s="16">
        <f>'APS Tubes by Date IMPORT'!D235</f>
        <v>3</v>
      </c>
      <c r="AQ236" s="16">
        <f>'APS Tubes by Date IMPORT'!D235</f>
        <v>3</v>
      </c>
      <c r="AR236" s="16">
        <f>'APS Tubes by Date IMPORT'!E235</f>
        <v>0</v>
      </c>
      <c r="AS236" s="16">
        <f>'APS Tubes by Date IMPORT'!F235</f>
        <v>0</v>
      </c>
      <c r="AT236" s="16">
        <f>'APS Tubes by Date IMPORT'!G235</f>
        <v>0</v>
      </c>
      <c r="AU236" s="54"/>
    </row>
    <row r="237">
      <c r="A237" s="8" t="s">
        <v>267</v>
      </c>
      <c r="B237" s="58">
        <f>VLOOKUP(A237,'Run Reconcile'!A$2:B783,2,FALSE)</f>
        <v>44896</v>
      </c>
      <c r="C237" s="59">
        <f>COUNTIF('ALL Tube Results'!B236:B783, A237)
</f>
        <v>3</v>
      </c>
      <c r="D237" s="60">
        <f>COUNTIFS('ALL Tube Results'!$B236:$B783, $A237, 'ALL Tube Results'!$F236:$F783, "Negative")
</f>
        <v>3</v>
      </c>
      <c r="E237" s="60">
        <f>COUNTIFS('ALL Tube Results'!$B236:$B783, $A237, 'ALL Tube Results'!$F236:$F783, "Positive")
</f>
        <v>0</v>
      </c>
      <c r="F237" s="60">
        <f>COUNTIFS('ALL Tube Results'!$B236:$B783, $A237, 'ALL Tube Results'!$F236:$F783, "Inconclusive")
</f>
        <v>0</v>
      </c>
      <c r="G237" s="61">
        <f t="shared" si="7"/>
        <v>3</v>
      </c>
      <c r="H237" s="61" t="str">
        <f t="shared" si="8"/>
        <v/>
      </c>
      <c r="I237" s="62" t="str">
        <f t="shared" si="9"/>
        <v/>
      </c>
      <c r="J237" s="63" t="str">
        <f t="shared" si="10"/>
        <v/>
      </c>
      <c r="K237" s="63" t="str">
        <f t="shared" si="11"/>
        <v/>
      </c>
      <c r="L237" s="63">
        <f t="shared" si="12"/>
        <v>3</v>
      </c>
      <c r="M237" s="63" t="str">
        <f t="shared" si="13"/>
        <v/>
      </c>
      <c r="N237" s="63" t="str">
        <f t="shared" si="14"/>
        <v/>
      </c>
      <c r="O237" s="64">
        <f t="shared" si="15"/>
        <v>3</v>
      </c>
      <c r="P237" s="64" t="str">
        <f t="shared" si="16"/>
        <v/>
      </c>
      <c r="Q237" s="54"/>
      <c r="R237" s="8" t="s">
        <v>267</v>
      </c>
      <c r="S237" s="14">
        <v>44896.0</v>
      </c>
      <c r="T237" s="16">
        <f>VLOOKUP(R237,'Run Reconcile'!$A$2:$L783,12,FALSE)</f>
        <v>3</v>
      </c>
      <c r="U237" s="16" t="str">
        <f t="shared" si="17"/>
        <v/>
      </c>
      <c r="V237" s="16" t="str">
        <f t="shared" si="18"/>
        <v/>
      </c>
      <c r="W237" s="16"/>
      <c r="X237" s="54"/>
      <c r="Z237" s="14"/>
      <c r="AA237" s="16"/>
      <c r="AB237" s="16"/>
      <c r="AC237" s="16"/>
      <c r="AD237" s="16"/>
      <c r="AE237" s="66"/>
      <c r="AF237" s="54"/>
      <c r="AG237" s="70" t="s">
        <v>269</v>
      </c>
      <c r="AH237" s="68">
        <f>VLOOKUP(AG237,'Run Reconcile'!A$2:B783,2,FALSE)</f>
        <v>44904</v>
      </c>
      <c r="AI237" s="69">
        <f>COUNTIF('APS Tubes IMPORT'!$V$2:$V783, AG237)
</f>
        <v>1</v>
      </c>
      <c r="AJ237" s="69">
        <f>COUNTIFS('APS Tubes IMPORT'!V$2:V783, AG237, 'APS Tubes IMPORT'!H$2:H783, "Negative")
</f>
        <v>1</v>
      </c>
      <c r="AK237" s="69">
        <f>COUNTIFS('APS Tubes IMPORT'!V$2:V783, AG237, 'APS Tubes IMPORT'!H$2:H783, "Positive")
</f>
        <v>0</v>
      </c>
      <c r="AL237" s="69">
        <f>COUNTIFS('APS Tubes IMPORT'!V$2:V783, AG237, 'APS Tubes IMPORT'!H$2:H783, "Inconclusive")
</f>
        <v>0</v>
      </c>
      <c r="AM237" s="69">
        <f>COUNTIFS('APS Tubes IMPORT'!V$2:V783, AG237, 'APS Tubes IMPORT'!H$2:H783, "Null")
</f>
        <v>0</v>
      </c>
      <c r="AN237" s="54"/>
      <c r="AO237" s="14">
        <f>'APS Tubes by Date IMPORT'!B236</f>
        <v>44894</v>
      </c>
      <c r="AP237" s="16">
        <f>'APS Tubes by Date IMPORT'!D236</f>
        <v>2</v>
      </c>
      <c r="AQ237" s="16">
        <f>'APS Tubes by Date IMPORT'!D236</f>
        <v>2</v>
      </c>
      <c r="AR237" s="16">
        <f>'APS Tubes by Date IMPORT'!E236</f>
        <v>0</v>
      </c>
      <c r="AS237" s="16">
        <f>'APS Tubes by Date IMPORT'!F236</f>
        <v>0</v>
      </c>
      <c r="AT237" s="16">
        <f>'APS Tubes by Date IMPORT'!G236</f>
        <v>0</v>
      </c>
      <c r="AU237" s="54"/>
    </row>
    <row r="238">
      <c r="A238" s="8" t="s">
        <v>268</v>
      </c>
      <c r="B238" s="58">
        <f>VLOOKUP(A238,'Run Reconcile'!A$2:B783,2,FALSE)</f>
        <v>44903</v>
      </c>
      <c r="C238" s="59">
        <f>COUNTIF('ALL Tube Results'!B237:B783, A238)
</f>
        <v>2</v>
      </c>
      <c r="D238" s="60">
        <f>COUNTIFS('ALL Tube Results'!$B237:$B783, $A238, 'ALL Tube Results'!$F237:$F783, "Negative")
</f>
        <v>2</v>
      </c>
      <c r="E238" s="60">
        <f>COUNTIFS('ALL Tube Results'!$B237:$B783, $A238, 'ALL Tube Results'!$F237:$F783, "Positive")
</f>
        <v>0</v>
      </c>
      <c r="F238" s="60">
        <f>COUNTIFS('ALL Tube Results'!$B237:$B783, $A238, 'ALL Tube Results'!$F237:$F783, "Inconclusive")
</f>
        <v>0</v>
      </c>
      <c r="G238" s="61">
        <f t="shared" si="7"/>
        <v>2</v>
      </c>
      <c r="H238" s="61" t="str">
        <f t="shared" si="8"/>
        <v/>
      </c>
      <c r="I238" s="62" t="str">
        <f t="shared" si="9"/>
        <v/>
      </c>
      <c r="J238" s="63" t="str">
        <f t="shared" si="10"/>
        <v/>
      </c>
      <c r="K238" s="63" t="str">
        <f t="shared" si="11"/>
        <v/>
      </c>
      <c r="L238" s="63">
        <f t="shared" si="12"/>
        <v>2</v>
      </c>
      <c r="M238" s="63" t="str">
        <f t="shared" si="13"/>
        <v/>
      </c>
      <c r="N238" s="63" t="str">
        <f t="shared" si="14"/>
        <v/>
      </c>
      <c r="O238" s="64">
        <f t="shared" si="15"/>
        <v>2</v>
      </c>
      <c r="P238" s="64" t="str">
        <f t="shared" si="16"/>
        <v/>
      </c>
      <c r="Q238" s="54"/>
      <c r="R238" s="8" t="s">
        <v>268</v>
      </c>
      <c r="S238" s="14">
        <v>44903.0</v>
      </c>
      <c r="T238" s="16">
        <f>VLOOKUP(R238,'Run Reconcile'!$A$2:$L783,12,FALSE)</f>
        <v>2</v>
      </c>
      <c r="U238" s="16" t="str">
        <f t="shared" si="17"/>
        <v/>
      </c>
      <c r="V238" s="16" t="str">
        <f t="shared" si="18"/>
        <v/>
      </c>
      <c r="W238" s="16"/>
      <c r="X238" s="54"/>
      <c r="Z238" s="14"/>
      <c r="AA238" s="16"/>
      <c r="AB238" s="16"/>
      <c r="AC238" s="16"/>
      <c r="AD238" s="16"/>
      <c r="AE238" s="66"/>
      <c r="AF238" s="54"/>
      <c r="AG238" s="70" t="s">
        <v>270</v>
      </c>
      <c r="AH238" s="68">
        <f>VLOOKUP(AG238,'Run Reconcile'!A$2:B783,2,FALSE)</f>
        <v>44907</v>
      </c>
      <c r="AI238" s="69">
        <f>COUNTIF('APS Tubes IMPORT'!$V$2:$V783, AG238)
</f>
        <v>1</v>
      </c>
      <c r="AJ238" s="69">
        <f>COUNTIFS('APS Tubes IMPORT'!V$2:V783, AG238, 'APS Tubes IMPORT'!H$2:H783, "Negative")
</f>
        <v>1</v>
      </c>
      <c r="AK238" s="69">
        <f>COUNTIFS('APS Tubes IMPORT'!V$2:V783, AG238, 'APS Tubes IMPORT'!H$2:H783, "Positive")
</f>
        <v>0</v>
      </c>
      <c r="AL238" s="69">
        <f>COUNTIFS('APS Tubes IMPORT'!V$2:V783, AG238, 'APS Tubes IMPORT'!H$2:H783, "Inconclusive")
</f>
        <v>0</v>
      </c>
      <c r="AM238" s="69">
        <f>COUNTIFS('APS Tubes IMPORT'!V$2:V783, AG238, 'APS Tubes IMPORT'!H$2:H783, "Null")
</f>
        <v>0</v>
      </c>
      <c r="AN238" s="54"/>
      <c r="AO238" s="14">
        <f>'APS Tubes by Date IMPORT'!B237</f>
        <v>44896</v>
      </c>
      <c r="AP238" s="16">
        <f>'APS Tubes by Date IMPORT'!D237</f>
        <v>3</v>
      </c>
      <c r="AQ238" s="16">
        <f>'APS Tubes by Date IMPORT'!D237</f>
        <v>3</v>
      </c>
      <c r="AR238" s="16">
        <f>'APS Tubes by Date IMPORT'!E237</f>
        <v>0</v>
      </c>
      <c r="AS238" s="16">
        <f>'APS Tubes by Date IMPORT'!F237</f>
        <v>0</v>
      </c>
      <c r="AT238" s="16">
        <f>'APS Tubes by Date IMPORT'!G237</f>
        <v>0</v>
      </c>
      <c r="AU238" s="54"/>
    </row>
    <row r="239">
      <c r="A239" s="8" t="s">
        <v>269</v>
      </c>
      <c r="B239" s="58">
        <f>VLOOKUP(A239,'Run Reconcile'!A$2:B783,2,FALSE)</f>
        <v>44904</v>
      </c>
      <c r="C239" s="59">
        <f>COUNTIF('ALL Tube Results'!B238:B783, A239)
</f>
        <v>1</v>
      </c>
      <c r="D239" s="60">
        <f>COUNTIFS('ALL Tube Results'!$B238:$B783, $A239, 'ALL Tube Results'!$F238:$F783, "Negative")
</f>
        <v>1</v>
      </c>
      <c r="E239" s="60">
        <f>COUNTIFS('ALL Tube Results'!$B238:$B783, $A239, 'ALL Tube Results'!$F238:$F783, "Positive")
</f>
        <v>0</v>
      </c>
      <c r="F239" s="60">
        <f>COUNTIFS('ALL Tube Results'!$B238:$B783, $A239, 'ALL Tube Results'!$F238:$F783, "Inconclusive")
</f>
        <v>0</v>
      </c>
      <c r="G239" s="61">
        <f t="shared" si="7"/>
        <v>1</v>
      </c>
      <c r="H239" s="61" t="str">
        <f t="shared" si="8"/>
        <v/>
      </c>
      <c r="I239" s="62" t="str">
        <f t="shared" si="9"/>
        <v/>
      </c>
      <c r="J239" s="63" t="str">
        <f t="shared" si="10"/>
        <v/>
      </c>
      <c r="K239" s="63" t="str">
        <f t="shared" si="11"/>
        <v/>
      </c>
      <c r="L239" s="63">
        <f t="shared" si="12"/>
        <v>1</v>
      </c>
      <c r="M239" s="63" t="str">
        <f t="shared" si="13"/>
        <v/>
      </c>
      <c r="N239" s="63" t="str">
        <f t="shared" si="14"/>
        <v/>
      </c>
      <c r="O239" s="64">
        <f t="shared" si="15"/>
        <v>1</v>
      </c>
      <c r="P239" s="64" t="str">
        <f t="shared" si="16"/>
        <v/>
      </c>
      <c r="Q239" s="54"/>
      <c r="R239" s="8" t="s">
        <v>269</v>
      </c>
      <c r="S239" s="14">
        <v>44904.0</v>
      </c>
      <c r="T239" s="16">
        <f>VLOOKUP(R239,'Run Reconcile'!$A$2:$L783,12,FALSE)</f>
        <v>1</v>
      </c>
      <c r="U239" s="16" t="str">
        <f t="shared" si="17"/>
        <v/>
      </c>
      <c r="V239" s="16" t="str">
        <f t="shared" si="18"/>
        <v/>
      </c>
      <c r="W239" s="16"/>
      <c r="X239" s="54"/>
      <c r="Z239" s="14"/>
      <c r="AA239" s="16"/>
      <c r="AB239" s="16"/>
      <c r="AC239" s="16"/>
      <c r="AD239" s="16"/>
      <c r="AE239" s="66"/>
      <c r="AF239" s="54"/>
      <c r="AG239" s="70" t="s">
        <v>271</v>
      </c>
      <c r="AH239" s="68">
        <f>VLOOKUP(AG239,'Run Reconcile'!A$2:B783,2,FALSE)</f>
        <v>44910</v>
      </c>
      <c r="AI239" s="69">
        <f>COUNTIF('APS Tubes IMPORT'!$V$2:$V783, AG239)
</f>
        <v>10</v>
      </c>
      <c r="AJ239" s="69">
        <f>COUNTIFS('APS Tubes IMPORT'!V$2:V783, AG239, 'APS Tubes IMPORT'!H$2:H783, "Negative")
</f>
        <v>9</v>
      </c>
      <c r="AK239" s="69">
        <f>COUNTIFS('APS Tubes IMPORT'!V$2:V783, AG239, 'APS Tubes IMPORT'!H$2:H783, "Positive")
</f>
        <v>1</v>
      </c>
      <c r="AL239" s="69">
        <f>COUNTIFS('APS Tubes IMPORT'!V$2:V783, AG239, 'APS Tubes IMPORT'!H$2:H783, "Inconclusive")
</f>
        <v>0</v>
      </c>
      <c r="AM239" s="69">
        <f>COUNTIFS('APS Tubes IMPORT'!V$2:V783, AG239, 'APS Tubes IMPORT'!H$2:H783, "Null")
</f>
        <v>0</v>
      </c>
      <c r="AN239" s="54"/>
      <c r="AO239" s="14">
        <f>'APS Tubes by Date IMPORT'!B238</f>
        <v>44903</v>
      </c>
      <c r="AP239" s="16">
        <f>'APS Tubes by Date IMPORT'!D238</f>
        <v>2</v>
      </c>
      <c r="AQ239" s="16">
        <f>'APS Tubes by Date IMPORT'!D238</f>
        <v>2</v>
      </c>
      <c r="AR239" s="16">
        <f>'APS Tubes by Date IMPORT'!E238</f>
        <v>0</v>
      </c>
      <c r="AS239" s="16">
        <f>'APS Tubes by Date IMPORT'!F238</f>
        <v>0</v>
      </c>
      <c r="AT239" s="16">
        <f>'APS Tubes by Date IMPORT'!G238</f>
        <v>0</v>
      </c>
      <c r="AU239" s="54"/>
    </row>
    <row r="240">
      <c r="A240" s="8" t="s">
        <v>270</v>
      </c>
      <c r="B240" s="58">
        <f>VLOOKUP(A240,'Run Reconcile'!A$2:B783,2,FALSE)</f>
        <v>44907</v>
      </c>
      <c r="C240" s="59">
        <f>COUNTIF('ALL Tube Results'!B239:B783, A240)
</f>
        <v>1</v>
      </c>
      <c r="D240" s="60">
        <f>COUNTIFS('ALL Tube Results'!$B239:$B783, $A240, 'ALL Tube Results'!$F239:$F783, "Negative")
</f>
        <v>1</v>
      </c>
      <c r="E240" s="60">
        <f>COUNTIFS('ALL Tube Results'!$B239:$B783, $A240, 'ALL Tube Results'!$F239:$F783, "Positive")
</f>
        <v>0</v>
      </c>
      <c r="F240" s="60">
        <f>COUNTIFS('ALL Tube Results'!$B239:$B783, $A240, 'ALL Tube Results'!$F239:$F783, "Inconclusive")
</f>
        <v>0</v>
      </c>
      <c r="G240" s="61">
        <f t="shared" si="7"/>
        <v>1</v>
      </c>
      <c r="H240" s="61" t="str">
        <f t="shared" si="8"/>
        <v/>
      </c>
      <c r="I240" s="62" t="str">
        <f t="shared" si="9"/>
        <v/>
      </c>
      <c r="J240" s="63" t="str">
        <f t="shared" si="10"/>
        <v/>
      </c>
      <c r="K240" s="63" t="str">
        <f t="shared" si="11"/>
        <v/>
      </c>
      <c r="L240" s="63">
        <f t="shared" si="12"/>
        <v>1</v>
      </c>
      <c r="M240" s="63" t="str">
        <f t="shared" si="13"/>
        <v/>
      </c>
      <c r="N240" s="63" t="str">
        <f t="shared" si="14"/>
        <v/>
      </c>
      <c r="O240" s="64">
        <f t="shared" si="15"/>
        <v>1</v>
      </c>
      <c r="P240" s="64" t="str">
        <f t="shared" si="16"/>
        <v/>
      </c>
      <c r="Q240" s="54"/>
      <c r="R240" s="8" t="s">
        <v>270</v>
      </c>
      <c r="S240" s="14">
        <v>44907.0</v>
      </c>
      <c r="T240" s="16">
        <f>VLOOKUP(R240,'Run Reconcile'!$A$2:$L783,12,FALSE)</f>
        <v>1</v>
      </c>
      <c r="U240" s="16" t="str">
        <f t="shared" si="17"/>
        <v/>
      </c>
      <c r="V240" s="16" t="str">
        <f t="shared" si="18"/>
        <v/>
      </c>
      <c r="W240" s="16"/>
      <c r="X240" s="54"/>
      <c r="Z240" s="14"/>
      <c r="AA240" s="16"/>
      <c r="AB240" s="16"/>
      <c r="AC240" s="16"/>
      <c r="AD240" s="16"/>
      <c r="AE240" s="66"/>
      <c r="AF240" s="54"/>
      <c r="AG240" s="70" t="s">
        <v>272</v>
      </c>
      <c r="AH240" s="68">
        <f>VLOOKUP(AG240,'Run Reconcile'!A$2:B783,2,FALSE)</f>
        <v>44914</v>
      </c>
      <c r="AI240" s="69">
        <f>COUNTIF('APS Tubes IMPORT'!$V$2:$V783, AG240)
</f>
        <v>5</v>
      </c>
      <c r="AJ240" s="69">
        <f>COUNTIFS('APS Tubes IMPORT'!V$2:V783, AG240, 'APS Tubes IMPORT'!H$2:H783, "Negative")
</f>
        <v>5</v>
      </c>
      <c r="AK240" s="69">
        <f>COUNTIFS('APS Tubes IMPORT'!V$2:V783, AG240, 'APS Tubes IMPORT'!H$2:H783, "Positive")
</f>
        <v>0</v>
      </c>
      <c r="AL240" s="69">
        <f>COUNTIFS('APS Tubes IMPORT'!V$2:V783, AG240, 'APS Tubes IMPORT'!H$2:H783, "Inconclusive")
</f>
        <v>0</v>
      </c>
      <c r="AM240" s="69">
        <f>COUNTIFS('APS Tubes IMPORT'!V$2:V783, AG240, 'APS Tubes IMPORT'!H$2:H783, "Null")
</f>
        <v>0</v>
      </c>
      <c r="AN240" s="54"/>
      <c r="AO240" s="14">
        <f>'APS Tubes by Date IMPORT'!B239</f>
        <v>44904</v>
      </c>
      <c r="AP240" s="16">
        <f>'APS Tubes by Date IMPORT'!D239</f>
        <v>1</v>
      </c>
      <c r="AQ240" s="16">
        <f>'APS Tubes by Date IMPORT'!D239</f>
        <v>1</v>
      </c>
      <c r="AR240" s="16">
        <f>'APS Tubes by Date IMPORT'!E239</f>
        <v>0</v>
      </c>
      <c r="AS240" s="16">
        <f>'APS Tubes by Date IMPORT'!F239</f>
        <v>0</v>
      </c>
      <c r="AT240" s="16">
        <f>'APS Tubes by Date IMPORT'!G239</f>
        <v>0</v>
      </c>
      <c r="AU240" s="54"/>
    </row>
    <row r="241">
      <c r="A241" s="8" t="s">
        <v>271</v>
      </c>
      <c r="B241" s="58">
        <f>VLOOKUP(A241,'Run Reconcile'!A$2:B783,2,FALSE)</f>
        <v>44910</v>
      </c>
      <c r="C241" s="59">
        <f>COUNTIF('ALL Tube Results'!B240:B783, A241)
</f>
        <v>10</v>
      </c>
      <c r="D241" s="60">
        <f>COUNTIFS('ALL Tube Results'!$B240:$B783, $A241, 'ALL Tube Results'!$F240:$F783, "Negative")
</f>
        <v>9</v>
      </c>
      <c r="E241" s="60">
        <f>COUNTIFS('ALL Tube Results'!$B240:$B783, $A241, 'ALL Tube Results'!$F240:$F783, "Positive")
</f>
        <v>1</v>
      </c>
      <c r="F241" s="60">
        <f>COUNTIFS('ALL Tube Results'!$B240:$B783, $A241, 'ALL Tube Results'!$F240:$F783, "Inconclusive")
</f>
        <v>0</v>
      </c>
      <c r="G241" s="61">
        <f t="shared" si="7"/>
        <v>10</v>
      </c>
      <c r="H241" s="61" t="str">
        <f t="shared" si="8"/>
        <v/>
      </c>
      <c r="I241" s="62" t="str">
        <f t="shared" si="9"/>
        <v/>
      </c>
      <c r="J241" s="63" t="str">
        <f t="shared" si="10"/>
        <v/>
      </c>
      <c r="K241" s="63" t="str">
        <f t="shared" si="11"/>
        <v/>
      </c>
      <c r="L241" s="63">
        <f t="shared" si="12"/>
        <v>10</v>
      </c>
      <c r="M241" s="71">
        <f t="shared" si="13"/>
        <v>1</v>
      </c>
      <c r="N241" s="63" t="str">
        <f t="shared" si="14"/>
        <v/>
      </c>
      <c r="O241" s="64">
        <f t="shared" si="15"/>
        <v>10</v>
      </c>
      <c r="P241" s="64" t="str">
        <f t="shared" si="16"/>
        <v/>
      </c>
      <c r="Q241" s="54"/>
      <c r="R241" s="8" t="s">
        <v>271</v>
      </c>
      <c r="S241" s="14">
        <v>44910.0</v>
      </c>
      <c r="T241" s="16">
        <f>VLOOKUP(R241,'Run Reconcile'!$A$2:$L783,12,FALSE)</f>
        <v>10</v>
      </c>
      <c r="U241" s="16" t="str">
        <f t="shared" si="17"/>
        <v/>
      </c>
      <c r="V241" s="16" t="str">
        <f t="shared" si="18"/>
        <v/>
      </c>
      <c r="W241" s="16"/>
      <c r="X241" s="54"/>
      <c r="Z241" s="14"/>
      <c r="AA241" s="16"/>
      <c r="AB241" s="16"/>
      <c r="AC241" s="16"/>
      <c r="AD241" s="16"/>
      <c r="AE241" s="66"/>
      <c r="AF241" s="54"/>
      <c r="AG241" s="70" t="s">
        <v>273</v>
      </c>
      <c r="AH241" s="68">
        <f>VLOOKUP(AG241,'Run Reconcile'!A$2:B783,2,FALSE)</f>
        <v>44915</v>
      </c>
      <c r="AI241" s="69">
        <f>COUNTIF('APS Tubes IMPORT'!$V$2:$V783, AG241)
</f>
        <v>1</v>
      </c>
      <c r="AJ241" s="69">
        <f>COUNTIFS('APS Tubes IMPORT'!V$2:V783, AG241, 'APS Tubes IMPORT'!H$2:H783, "Negative")
</f>
        <v>1</v>
      </c>
      <c r="AK241" s="69">
        <f>COUNTIFS('APS Tubes IMPORT'!V$2:V783, AG241, 'APS Tubes IMPORT'!H$2:H783, "Positive")
</f>
        <v>0</v>
      </c>
      <c r="AL241" s="69">
        <f>COUNTIFS('APS Tubes IMPORT'!V$2:V783, AG241, 'APS Tubes IMPORT'!H$2:H783, "Inconclusive")
</f>
        <v>0</v>
      </c>
      <c r="AM241" s="69">
        <f>COUNTIFS('APS Tubes IMPORT'!V$2:V783, AG241, 'APS Tubes IMPORT'!H$2:H783, "Null")
</f>
        <v>0</v>
      </c>
      <c r="AN241" s="54"/>
      <c r="AO241" s="14">
        <f>'APS Tubes by Date IMPORT'!B240</f>
        <v>44907</v>
      </c>
      <c r="AP241" s="16">
        <f>'APS Tubes by Date IMPORT'!D240</f>
        <v>1</v>
      </c>
      <c r="AQ241" s="16">
        <f>'APS Tubes by Date IMPORT'!D240</f>
        <v>1</v>
      </c>
      <c r="AR241" s="16">
        <f>'APS Tubes by Date IMPORT'!E240</f>
        <v>0</v>
      </c>
      <c r="AS241" s="16">
        <f>'APS Tubes by Date IMPORT'!F240</f>
        <v>0</v>
      </c>
      <c r="AT241" s="16">
        <f>'APS Tubes by Date IMPORT'!G240</f>
        <v>0</v>
      </c>
      <c r="AU241" s="54"/>
    </row>
    <row r="242">
      <c r="A242" s="8" t="s">
        <v>272</v>
      </c>
      <c r="B242" s="58">
        <f>VLOOKUP(A242,'Run Reconcile'!A$2:B783,2,FALSE)</f>
        <v>44914</v>
      </c>
      <c r="C242" s="59">
        <f>COUNTIF('ALL Tube Results'!B241:B783, A242)
</f>
        <v>5</v>
      </c>
      <c r="D242" s="60">
        <f>COUNTIFS('ALL Tube Results'!$B241:$B783, $A242, 'ALL Tube Results'!$F241:$F783, "Negative")
</f>
        <v>5</v>
      </c>
      <c r="E242" s="60">
        <f>COUNTIFS('ALL Tube Results'!$B241:$B783, $A242, 'ALL Tube Results'!$F241:$F783, "Positive")
</f>
        <v>0</v>
      </c>
      <c r="F242" s="60">
        <f>COUNTIFS('ALL Tube Results'!$B241:$B783, $A242, 'ALL Tube Results'!$F241:$F783, "Inconclusive")
</f>
        <v>0</v>
      </c>
      <c r="G242" s="61">
        <f t="shared" si="7"/>
        <v>5</v>
      </c>
      <c r="H242" s="61" t="str">
        <f t="shared" si="8"/>
        <v/>
      </c>
      <c r="I242" s="62" t="str">
        <f t="shared" si="9"/>
        <v/>
      </c>
      <c r="J242" s="63" t="str">
        <f t="shared" si="10"/>
        <v/>
      </c>
      <c r="K242" s="63" t="str">
        <f t="shared" si="11"/>
        <v/>
      </c>
      <c r="L242" s="63">
        <f t="shared" si="12"/>
        <v>5</v>
      </c>
      <c r="M242" s="63" t="str">
        <f t="shared" si="13"/>
        <v/>
      </c>
      <c r="N242" s="63" t="str">
        <f t="shared" si="14"/>
        <v/>
      </c>
      <c r="O242" s="64">
        <f t="shared" si="15"/>
        <v>5</v>
      </c>
      <c r="P242" s="64" t="str">
        <f t="shared" si="16"/>
        <v/>
      </c>
      <c r="Q242" s="54"/>
      <c r="R242" s="8" t="s">
        <v>272</v>
      </c>
      <c r="S242" s="14">
        <v>44914.0</v>
      </c>
      <c r="T242" s="16">
        <f>VLOOKUP(R242,'Run Reconcile'!$A$2:$L783,12,FALSE)</f>
        <v>5</v>
      </c>
      <c r="U242" s="16" t="str">
        <f t="shared" si="17"/>
        <v/>
      </c>
      <c r="V242" s="16" t="str">
        <f t="shared" si="18"/>
        <v/>
      </c>
      <c r="W242" s="16"/>
      <c r="X242" s="54"/>
      <c r="Z242" s="14"/>
      <c r="AA242" s="16"/>
      <c r="AB242" s="16"/>
      <c r="AC242" s="16"/>
      <c r="AD242" s="16"/>
      <c r="AE242" s="66"/>
      <c r="AF242" s="54"/>
      <c r="AG242" s="70" t="s">
        <v>274</v>
      </c>
      <c r="AH242" s="68">
        <f>VLOOKUP(AG242,'Run Reconcile'!A$2:B783,2,FALSE)</f>
        <v>44921</v>
      </c>
      <c r="AI242" s="69">
        <f>COUNTIF('APS Tubes IMPORT'!$V$2:$V783, AG242)
</f>
        <v>3</v>
      </c>
      <c r="AJ242" s="69">
        <f>COUNTIFS('APS Tubes IMPORT'!V$2:V783, AG242, 'APS Tubes IMPORT'!H$2:H783, "Negative")
</f>
        <v>3</v>
      </c>
      <c r="AK242" s="69">
        <f>COUNTIFS('APS Tubes IMPORT'!V$2:V783, AG242, 'APS Tubes IMPORT'!H$2:H783, "Positive")
</f>
        <v>0</v>
      </c>
      <c r="AL242" s="69">
        <f>COUNTIFS('APS Tubes IMPORT'!V$2:V783, AG242, 'APS Tubes IMPORT'!H$2:H783, "Inconclusive")
</f>
        <v>0</v>
      </c>
      <c r="AM242" s="69">
        <f>COUNTIFS('APS Tubes IMPORT'!V$2:V783, AG242, 'APS Tubes IMPORT'!H$2:H783, "Null")
</f>
        <v>0</v>
      </c>
      <c r="AN242" s="54"/>
      <c r="AO242" s="14">
        <f>'APS Tubes by Date IMPORT'!B241</f>
        <v>44910</v>
      </c>
      <c r="AP242" s="16">
        <f>'APS Tubes by Date IMPORT'!D241</f>
        <v>9</v>
      </c>
      <c r="AQ242" s="16">
        <f>'APS Tubes by Date IMPORT'!D241</f>
        <v>9</v>
      </c>
      <c r="AR242" s="16">
        <f>'APS Tubes by Date IMPORT'!E241</f>
        <v>1</v>
      </c>
      <c r="AS242" s="16">
        <f>'APS Tubes by Date IMPORT'!F241</f>
        <v>0</v>
      </c>
      <c r="AT242" s="16">
        <f>'APS Tubes by Date IMPORT'!G241</f>
        <v>0</v>
      </c>
      <c r="AU242" s="54"/>
    </row>
    <row r="243">
      <c r="A243" s="8" t="s">
        <v>273</v>
      </c>
      <c r="B243" s="58">
        <f>VLOOKUP(A243,'Run Reconcile'!A$2:B783,2,FALSE)</f>
        <v>44915</v>
      </c>
      <c r="C243" s="59">
        <f>COUNTIF('ALL Tube Results'!B242:B783, A243)
</f>
        <v>1</v>
      </c>
      <c r="D243" s="60">
        <f>COUNTIFS('ALL Tube Results'!$B242:$B783, $A243, 'ALL Tube Results'!$F242:$F783, "Negative")
</f>
        <v>1</v>
      </c>
      <c r="E243" s="60">
        <f>COUNTIFS('ALL Tube Results'!$B242:$B783, $A243, 'ALL Tube Results'!$F242:$F783, "Positive")
</f>
        <v>0</v>
      </c>
      <c r="F243" s="60">
        <f>COUNTIFS('ALL Tube Results'!$B242:$B783, $A243, 'ALL Tube Results'!$F242:$F783, "Inconclusive")
</f>
        <v>0</v>
      </c>
      <c r="G243" s="61">
        <f t="shared" si="7"/>
        <v>1</v>
      </c>
      <c r="H243" s="61" t="str">
        <f t="shared" si="8"/>
        <v/>
      </c>
      <c r="I243" s="62" t="str">
        <f t="shared" si="9"/>
        <v/>
      </c>
      <c r="J243" s="63" t="str">
        <f t="shared" si="10"/>
        <v/>
      </c>
      <c r="K243" s="63" t="str">
        <f t="shared" si="11"/>
        <v/>
      </c>
      <c r="L243" s="63">
        <f t="shared" si="12"/>
        <v>1</v>
      </c>
      <c r="M243" s="63" t="str">
        <f t="shared" si="13"/>
        <v/>
      </c>
      <c r="N243" s="63" t="str">
        <f t="shared" si="14"/>
        <v/>
      </c>
      <c r="O243" s="64">
        <f t="shared" si="15"/>
        <v>1</v>
      </c>
      <c r="P243" s="64" t="str">
        <f t="shared" si="16"/>
        <v/>
      </c>
      <c r="Q243" s="54"/>
      <c r="R243" s="8" t="s">
        <v>273</v>
      </c>
      <c r="S243" s="14">
        <v>44915.0</v>
      </c>
      <c r="T243" s="16">
        <f>VLOOKUP(R243,'Run Reconcile'!$A$2:$L783,12,FALSE)</f>
        <v>1</v>
      </c>
      <c r="U243" s="16" t="str">
        <f t="shared" si="17"/>
        <v/>
      </c>
      <c r="V243" s="16" t="str">
        <f t="shared" si="18"/>
        <v/>
      </c>
      <c r="W243" s="16"/>
      <c r="X243" s="54"/>
      <c r="Z243" s="14"/>
      <c r="AA243" s="16"/>
      <c r="AB243" s="16"/>
      <c r="AC243" s="16"/>
      <c r="AD243" s="16"/>
      <c r="AE243" s="66"/>
      <c r="AF243" s="54"/>
      <c r="AG243" s="70" t="s">
        <v>275</v>
      </c>
      <c r="AH243" s="68">
        <f>VLOOKUP(AG243,'Run Reconcile'!A$2:B783,2,FALSE)</f>
        <v>44928</v>
      </c>
      <c r="AI243" s="69">
        <f>COUNTIF('APS Tubes IMPORT'!$V$2:$V783, AG243)
</f>
        <v>3</v>
      </c>
      <c r="AJ243" s="69">
        <f>COUNTIFS('APS Tubes IMPORT'!V$2:V783, AG243, 'APS Tubes IMPORT'!H$2:H783, "Negative")
</f>
        <v>3</v>
      </c>
      <c r="AK243" s="69">
        <f>COUNTIFS('APS Tubes IMPORT'!V$2:V783, AG243, 'APS Tubes IMPORT'!H$2:H783, "Positive")
</f>
        <v>0</v>
      </c>
      <c r="AL243" s="69">
        <f>COUNTIFS('APS Tubes IMPORT'!V$2:V783, AG243, 'APS Tubes IMPORT'!H$2:H783, "Inconclusive")
</f>
        <v>0</v>
      </c>
      <c r="AM243" s="69">
        <f>COUNTIFS('APS Tubes IMPORT'!V$2:V783, AG243, 'APS Tubes IMPORT'!H$2:H783, "Null")
</f>
        <v>0</v>
      </c>
      <c r="AN243" s="54"/>
      <c r="AO243" s="14">
        <f>'APS Tubes by Date IMPORT'!B242</f>
        <v>44914</v>
      </c>
      <c r="AP243" s="16">
        <f>'APS Tubes by Date IMPORT'!D242</f>
        <v>5</v>
      </c>
      <c r="AQ243" s="16">
        <f>'APS Tubes by Date IMPORT'!D242</f>
        <v>5</v>
      </c>
      <c r="AR243" s="16">
        <f>'APS Tubes by Date IMPORT'!E242</f>
        <v>0</v>
      </c>
      <c r="AS243" s="16">
        <f>'APS Tubes by Date IMPORT'!F242</f>
        <v>0</v>
      </c>
      <c r="AT243" s="16">
        <f>'APS Tubes by Date IMPORT'!G242</f>
        <v>0</v>
      </c>
      <c r="AU243" s="54"/>
    </row>
    <row r="244">
      <c r="A244" s="8" t="s">
        <v>274</v>
      </c>
      <c r="B244" s="58">
        <f>VLOOKUP(A244,'Run Reconcile'!A$2:B783,2,FALSE)</f>
        <v>44921</v>
      </c>
      <c r="C244" s="59">
        <f>COUNTIF('ALL Tube Results'!B243:B783, A244)
</f>
        <v>3</v>
      </c>
      <c r="D244" s="60">
        <f>COUNTIFS('ALL Tube Results'!$B243:$B783, $A244, 'ALL Tube Results'!$F243:$F783, "Negative")
</f>
        <v>3</v>
      </c>
      <c r="E244" s="60">
        <f>COUNTIFS('ALL Tube Results'!$B243:$B783, $A244, 'ALL Tube Results'!$F243:$F783, "Positive")
</f>
        <v>0</v>
      </c>
      <c r="F244" s="60">
        <f>COUNTIFS('ALL Tube Results'!$B243:$B783, $A244, 'ALL Tube Results'!$F243:$F783, "Inconclusive")
</f>
        <v>0</v>
      </c>
      <c r="G244" s="61">
        <f t="shared" si="7"/>
        <v>3</v>
      </c>
      <c r="H244" s="61" t="str">
        <f t="shared" si="8"/>
        <v/>
      </c>
      <c r="I244" s="62" t="str">
        <f t="shared" si="9"/>
        <v/>
      </c>
      <c r="J244" s="63" t="str">
        <f t="shared" si="10"/>
        <v/>
      </c>
      <c r="K244" s="63" t="str">
        <f t="shared" si="11"/>
        <v/>
      </c>
      <c r="L244" s="63">
        <f t="shared" si="12"/>
        <v>3</v>
      </c>
      <c r="M244" s="63" t="str">
        <f t="shared" si="13"/>
        <v/>
      </c>
      <c r="N244" s="63" t="str">
        <f t="shared" si="14"/>
        <v/>
      </c>
      <c r="O244" s="64">
        <f t="shared" si="15"/>
        <v>3</v>
      </c>
      <c r="P244" s="64" t="str">
        <f t="shared" si="16"/>
        <v/>
      </c>
      <c r="Q244" s="54"/>
      <c r="R244" s="8" t="s">
        <v>274</v>
      </c>
      <c r="S244" s="14">
        <v>44921.0</v>
      </c>
      <c r="T244" s="16">
        <f>VLOOKUP(R244,'Run Reconcile'!$A$2:$L783,12,FALSE)</f>
        <v>3</v>
      </c>
      <c r="U244" s="16" t="str">
        <f t="shared" si="17"/>
        <v/>
      </c>
      <c r="V244" s="16" t="str">
        <f t="shared" si="18"/>
        <v/>
      </c>
      <c r="W244" s="16"/>
      <c r="X244" s="54"/>
      <c r="Z244" s="14"/>
      <c r="AA244" s="16"/>
      <c r="AB244" s="16"/>
      <c r="AC244" s="16"/>
      <c r="AD244" s="16"/>
      <c r="AE244" s="66"/>
      <c r="AF244" s="54"/>
      <c r="AG244" s="70"/>
      <c r="AN244" s="54"/>
      <c r="AO244" s="14">
        <f>'APS Tubes by Date IMPORT'!B243</f>
        <v>44915</v>
      </c>
      <c r="AP244" s="16">
        <f>'APS Tubes by Date IMPORT'!D243</f>
        <v>1</v>
      </c>
      <c r="AQ244" s="16">
        <f>'APS Tubes by Date IMPORT'!D243</f>
        <v>1</v>
      </c>
      <c r="AR244" s="16">
        <f>'APS Tubes by Date IMPORT'!E243</f>
        <v>0</v>
      </c>
      <c r="AS244" s="16">
        <f>'APS Tubes by Date IMPORT'!F243</f>
        <v>0</v>
      </c>
      <c r="AT244" s="16">
        <f>'APS Tubes by Date IMPORT'!G243</f>
        <v>0</v>
      </c>
      <c r="AU244" s="54"/>
    </row>
    <row r="245">
      <c r="A245" s="8" t="s">
        <v>275</v>
      </c>
      <c r="B245" s="58">
        <f>VLOOKUP(A245,'Run Reconcile'!A$2:B783,2,FALSE)</f>
        <v>44928</v>
      </c>
      <c r="C245" s="59">
        <f>COUNTIF('ALL Tube Results'!B244:B783, A245)
</f>
        <v>3</v>
      </c>
      <c r="D245" s="60">
        <f>COUNTIFS('ALL Tube Results'!$B244:$B783, $A245, 'ALL Tube Results'!$F244:$F783, "Negative")
</f>
        <v>3</v>
      </c>
      <c r="E245" s="60">
        <f>COUNTIFS('ALL Tube Results'!$B244:$B783, $A245, 'ALL Tube Results'!$F244:$F783, "Positive")
</f>
        <v>0</v>
      </c>
      <c r="F245" s="60">
        <f>COUNTIFS('ALL Tube Results'!$B244:$B783, $A245, 'ALL Tube Results'!$F244:$F783, "Inconclusive")
</f>
        <v>0</v>
      </c>
      <c r="G245" s="61">
        <f t="shared" si="7"/>
        <v>3</v>
      </c>
      <c r="H245" s="61" t="str">
        <f t="shared" si="8"/>
        <v/>
      </c>
      <c r="I245" s="62" t="str">
        <f t="shared" si="9"/>
        <v/>
      </c>
      <c r="J245" s="63" t="str">
        <f t="shared" si="10"/>
        <v/>
      </c>
      <c r="K245" s="63" t="str">
        <f t="shared" si="11"/>
        <v/>
      </c>
      <c r="L245" s="63">
        <f t="shared" si="12"/>
        <v>3</v>
      </c>
      <c r="M245" s="63" t="str">
        <f t="shared" si="13"/>
        <v/>
      </c>
      <c r="N245" s="63" t="str">
        <f t="shared" si="14"/>
        <v/>
      </c>
      <c r="O245" s="64">
        <f t="shared" si="15"/>
        <v>3</v>
      </c>
      <c r="P245" s="64" t="str">
        <f t="shared" si="16"/>
        <v/>
      </c>
      <c r="Q245" s="54"/>
      <c r="R245" s="8" t="s">
        <v>275</v>
      </c>
      <c r="S245" s="14">
        <v>44928.0</v>
      </c>
      <c r="T245" s="16">
        <f>VLOOKUP(R245,'Run Reconcile'!$A$2:$L783,12,FALSE)</f>
        <v>3</v>
      </c>
      <c r="U245" s="16" t="str">
        <f t="shared" si="17"/>
        <v/>
      </c>
      <c r="V245" s="16" t="str">
        <f t="shared" si="18"/>
        <v/>
      </c>
      <c r="W245" s="16"/>
      <c r="X245" s="54"/>
      <c r="Z245" s="14"/>
      <c r="AA245" s="16"/>
      <c r="AB245" s="16"/>
      <c r="AC245" s="16"/>
      <c r="AD245" s="16"/>
      <c r="AE245" s="66"/>
      <c r="AF245" s="54"/>
      <c r="AN245" s="54"/>
      <c r="AO245" s="14">
        <f>'APS Tubes by Date IMPORT'!B244</f>
        <v>44921</v>
      </c>
      <c r="AP245" s="16">
        <f>'APS Tubes by Date IMPORT'!D244</f>
        <v>3</v>
      </c>
      <c r="AQ245" s="16">
        <f>'APS Tubes by Date IMPORT'!D244</f>
        <v>3</v>
      </c>
      <c r="AR245" s="16">
        <f>'APS Tubes by Date IMPORT'!E244</f>
        <v>0</v>
      </c>
      <c r="AS245" s="16">
        <f>'APS Tubes by Date IMPORT'!F244</f>
        <v>0</v>
      </c>
      <c r="AT245" s="16">
        <f>'APS Tubes by Date IMPORT'!G244</f>
        <v>0</v>
      </c>
      <c r="AU245" s="54"/>
    </row>
    <row r="246">
      <c r="A246" s="8"/>
      <c r="B246" s="16"/>
      <c r="C246" s="16"/>
      <c r="D246" s="16"/>
      <c r="E246" s="16"/>
      <c r="F246" s="16"/>
      <c r="G246" s="16"/>
      <c r="Q246" s="54"/>
      <c r="R246" s="8"/>
      <c r="S246" s="73">
        <v>44566.0</v>
      </c>
      <c r="T246" s="16"/>
      <c r="U246" s="16"/>
      <c r="V246" s="16" t="str">
        <f t="shared" si="18"/>
        <v/>
      </c>
      <c r="W246" s="16"/>
      <c r="X246" s="54"/>
      <c r="Z246" s="14"/>
      <c r="AA246" s="16"/>
      <c r="AB246" s="16"/>
      <c r="AC246" s="16"/>
      <c r="AD246" s="16"/>
      <c r="AE246" s="66"/>
      <c r="AF246" s="54"/>
      <c r="AN246" s="54"/>
      <c r="AO246" s="14">
        <f>'APS Tubes by Date IMPORT'!B245</f>
        <v>44928</v>
      </c>
      <c r="AP246" s="16">
        <f>'APS Tubes by Date IMPORT'!D245</f>
        <v>3</v>
      </c>
      <c r="AQ246" s="16">
        <f>'APS Tubes by Date IMPORT'!D245</f>
        <v>3</v>
      </c>
      <c r="AR246" s="16">
        <f>'APS Tubes by Date IMPORT'!E245</f>
        <v>0</v>
      </c>
      <c r="AS246" s="16">
        <f>'APS Tubes by Date IMPORT'!F245</f>
        <v>0</v>
      </c>
      <c r="AT246" s="16">
        <f>'APS Tubes by Date IMPORT'!G245</f>
        <v>0</v>
      </c>
      <c r="AU246" s="54"/>
    </row>
    <row r="247">
      <c r="B247" s="16"/>
      <c r="C247" s="16"/>
      <c r="D247" s="16"/>
      <c r="E247" s="16"/>
      <c r="F247" s="16"/>
      <c r="G247" s="16"/>
      <c r="Q247" s="54"/>
      <c r="R247" s="8"/>
      <c r="S247" s="73">
        <v>44570.0</v>
      </c>
      <c r="T247" s="16"/>
      <c r="U247" s="16" t="str">
        <f t="shared" ref="U247:U279" si="20">IF(EXACT(A246,R246),IFERROR(0/0,""),FALSE)</f>
        <v/>
      </c>
      <c r="V247" s="16" t="str">
        <f t="shared" si="18"/>
        <v/>
      </c>
      <c r="W247" s="16"/>
      <c r="X247" s="54"/>
      <c r="Z247" s="14"/>
      <c r="AA247" s="16"/>
      <c r="AB247" s="16"/>
      <c r="AC247" s="16"/>
      <c r="AD247" s="16"/>
      <c r="AE247" s="66"/>
      <c r="AF247" s="54"/>
      <c r="AN247" s="54"/>
      <c r="AO247" s="8" t="str">
        <f>'APS Tubes by Date IMPORT'!B246</f>
        <v/>
      </c>
      <c r="AP247" s="16" t="str">
        <f>'APS Tubes by Date IMPORT'!D246</f>
        <v/>
      </c>
      <c r="AQ247" s="16" t="str">
        <f>'APS Tubes by Date IMPORT'!E246</f>
        <v/>
      </c>
      <c r="AR247" s="16" t="str">
        <f>'APS Tubes by Date IMPORT'!F246</f>
        <v/>
      </c>
      <c r="AS247" s="16" t="str">
        <f>'APS Tubes by Date IMPORT'!G246</f>
        <v/>
      </c>
      <c r="AT247" s="16" t="str">
        <f>'APS Tubes by Date IMPORT'!G246</f>
        <v/>
      </c>
      <c r="AU247" s="54"/>
    </row>
    <row r="248">
      <c r="B248" s="16"/>
      <c r="C248" s="16"/>
      <c r="D248" s="16"/>
      <c r="E248" s="16"/>
      <c r="F248" s="16"/>
      <c r="G248" s="16"/>
      <c r="Q248" s="54"/>
      <c r="R248" s="8"/>
      <c r="S248" s="73">
        <v>44573.0</v>
      </c>
      <c r="T248" s="16"/>
      <c r="U248" s="16" t="str">
        <f t="shared" si="20"/>
        <v/>
      </c>
      <c r="V248" s="16" t="str">
        <f t="shared" si="18"/>
        <v/>
      </c>
      <c r="W248" s="16"/>
      <c r="X248" s="54"/>
      <c r="Z248" s="14"/>
      <c r="AA248" s="16"/>
      <c r="AB248" s="16"/>
      <c r="AC248" s="16"/>
      <c r="AD248" s="16"/>
      <c r="AE248" s="66"/>
      <c r="AF248" s="54"/>
      <c r="AN248" s="54"/>
      <c r="AO248" s="8" t="str">
        <f>'APS Tubes by Date IMPORT'!B247</f>
        <v/>
      </c>
      <c r="AP248" s="16" t="str">
        <f>'APS Tubes by Date IMPORT'!D247</f>
        <v/>
      </c>
      <c r="AQ248" s="16" t="str">
        <f>'APS Tubes by Date IMPORT'!E247</f>
        <v/>
      </c>
      <c r="AR248" s="16" t="str">
        <f>'APS Tubes by Date IMPORT'!F247</f>
        <v/>
      </c>
      <c r="AS248" s="16" t="str">
        <f>'APS Tubes by Date IMPORT'!G247</f>
        <v/>
      </c>
      <c r="AT248" s="16" t="str">
        <f>'APS Tubes by Date IMPORT'!G247</f>
        <v/>
      </c>
      <c r="AU248" s="54"/>
    </row>
    <row r="249">
      <c r="B249" s="16"/>
      <c r="C249" s="16"/>
      <c r="D249" s="16"/>
      <c r="E249" s="16"/>
      <c r="F249" s="16"/>
      <c r="G249" s="16"/>
      <c r="Q249" s="54"/>
      <c r="R249" s="8"/>
      <c r="S249" s="73">
        <v>44580.0</v>
      </c>
      <c r="T249" s="16"/>
      <c r="U249" s="16" t="str">
        <f t="shared" si="20"/>
        <v/>
      </c>
      <c r="V249" s="16" t="str">
        <f t="shared" si="18"/>
        <v/>
      </c>
      <c r="W249" s="16"/>
      <c r="X249" s="54"/>
      <c r="Z249" s="14"/>
      <c r="AA249" s="16"/>
      <c r="AB249" s="16"/>
      <c r="AC249" s="16"/>
      <c r="AD249" s="16"/>
      <c r="AE249" s="66"/>
      <c r="AF249" s="54"/>
      <c r="AN249" s="54"/>
      <c r="AO249" s="8" t="str">
        <f>'APS Tubes by Date IMPORT'!B248</f>
        <v/>
      </c>
      <c r="AP249" s="16" t="str">
        <f>'APS Tubes by Date IMPORT'!D248</f>
        <v/>
      </c>
      <c r="AQ249" s="16" t="str">
        <f>'APS Tubes by Date IMPORT'!E248</f>
        <v/>
      </c>
      <c r="AR249" s="16" t="str">
        <f>'APS Tubes by Date IMPORT'!F248</f>
        <v/>
      </c>
      <c r="AS249" s="16" t="str">
        <f>'APS Tubes by Date IMPORT'!G248</f>
        <v/>
      </c>
      <c r="AT249" s="16" t="str">
        <f>'APS Tubes by Date IMPORT'!G248</f>
        <v/>
      </c>
      <c r="AU249" s="54"/>
    </row>
    <row r="250">
      <c r="B250" s="16"/>
      <c r="C250" s="16"/>
      <c r="D250" s="16"/>
      <c r="E250" s="16"/>
      <c r="F250" s="16"/>
      <c r="G250" s="16"/>
      <c r="Q250" s="54"/>
      <c r="R250" s="8"/>
      <c r="S250" s="73">
        <v>44584.0</v>
      </c>
      <c r="T250" s="16"/>
      <c r="U250" s="16" t="str">
        <f t="shared" si="20"/>
        <v/>
      </c>
      <c r="V250" s="16" t="str">
        <f t="shared" si="18"/>
        <v/>
      </c>
      <c r="W250" s="16"/>
      <c r="X250" s="54"/>
      <c r="Z250" s="14"/>
      <c r="AA250" s="16"/>
      <c r="AB250" s="16"/>
      <c r="AC250" s="16"/>
      <c r="AD250" s="16"/>
      <c r="AE250" s="66"/>
      <c r="AF250" s="54"/>
      <c r="AN250" s="54"/>
      <c r="AO250" s="8" t="str">
        <f>'APS Tubes by Date IMPORT'!B249</f>
        <v/>
      </c>
      <c r="AP250" s="16" t="str">
        <f>'APS Tubes by Date IMPORT'!D249</f>
        <v/>
      </c>
      <c r="AQ250" s="16" t="str">
        <f>'APS Tubes by Date IMPORT'!E249</f>
        <v/>
      </c>
      <c r="AR250" s="16" t="str">
        <f>'APS Tubes by Date IMPORT'!F249</f>
        <v/>
      </c>
      <c r="AS250" s="16" t="str">
        <f>'APS Tubes by Date IMPORT'!G249</f>
        <v/>
      </c>
      <c r="AT250" s="16" t="str">
        <f>'APS Tubes by Date IMPORT'!G249</f>
        <v/>
      </c>
      <c r="AU250" s="54"/>
    </row>
    <row r="251">
      <c r="B251" s="16"/>
      <c r="C251" s="16"/>
      <c r="D251" s="16"/>
      <c r="E251" s="16"/>
      <c r="F251" s="16"/>
      <c r="G251" s="16"/>
      <c r="Q251" s="54"/>
      <c r="R251" s="8"/>
      <c r="S251" s="73">
        <v>44591.0</v>
      </c>
      <c r="T251" s="16"/>
      <c r="U251" s="16" t="str">
        <f t="shared" si="20"/>
        <v/>
      </c>
      <c r="V251" s="16" t="str">
        <f t="shared" si="18"/>
        <v/>
      </c>
      <c r="W251" s="16"/>
      <c r="X251" s="54"/>
      <c r="Z251" s="14"/>
      <c r="AA251" s="16"/>
      <c r="AB251" s="16"/>
      <c r="AC251" s="16"/>
      <c r="AD251" s="16"/>
      <c r="AE251" s="66"/>
      <c r="AF251" s="54"/>
      <c r="AN251" s="54"/>
      <c r="AO251" s="8" t="str">
        <f>'APS Tubes by Date IMPORT'!B250</f>
        <v/>
      </c>
      <c r="AP251" s="16" t="str">
        <f>'APS Tubes by Date IMPORT'!D250</f>
        <v/>
      </c>
      <c r="AQ251" s="16" t="str">
        <f>'APS Tubes by Date IMPORT'!E250</f>
        <v/>
      </c>
      <c r="AR251" s="16" t="str">
        <f>'APS Tubes by Date IMPORT'!F250</f>
        <v/>
      </c>
      <c r="AS251" s="16" t="str">
        <f>'APS Tubes by Date IMPORT'!G250</f>
        <v/>
      </c>
      <c r="AT251" s="16" t="str">
        <f>'APS Tubes by Date IMPORT'!G250</f>
        <v/>
      </c>
      <c r="AU251" s="54"/>
    </row>
    <row r="252">
      <c r="B252" s="16"/>
      <c r="C252" s="16"/>
      <c r="D252" s="16"/>
      <c r="E252" s="16"/>
      <c r="F252" s="16"/>
      <c r="G252" s="16"/>
      <c r="Q252" s="54"/>
      <c r="R252" s="8"/>
      <c r="S252" s="73">
        <v>44598.0</v>
      </c>
      <c r="T252" s="16"/>
      <c r="U252" s="16" t="str">
        <f t="shared" si="20"/>
        <v/>
      </c>
      <c r="V252" s="16" t="str">
        <f t="shared" si="18"/>
        <v/>
      </c>
      <c r="W252" s="16"/>
      <c r="X252" s="54"/>
      <c r="Z252" s="14"/>
      <c r="AA252" s="16"/>
      <c r="AB252" s="16"/>
      <c r="AC252" s="16"/>
      <c r="AD252" s="16"/>
      <c r="AE252" s="66"/>
      <c r="AF252" s="54"/>
      <c r="AN252" s="54"/>
      <c r="AO252" s="8" t="str">
        <f>'APS Tubes by Date IMPORT'!B251</f>
        <v/>
      </c>
      <c r="AP252" s="16" t="str">
        <f>'APS Tubes by Date IMPORT'!D251</f>
        <v/>
      </c>
      <c r="AQ252" s="16" t="str">
        <f>'APS Tubes by Date IMPORT'!E251</f>
        <v/>
      </c>
      <c r="AR252" s="16" t="str">
        <f>'APS Tubes by Date IMPORT'!F251</f>
        <v/>
      </c>
      <c r="AS252" s="16" t="str">
        <f>'APS Tubes by Date IMPORT'!G251</f>
        <v/>
      </c>
      <c r="AT252" s="16" t="str">
        <f>'APS Tubes by Date IMPORT'!G251</f>
        <v/>
      </c>
      <c r="AU252" s="54"/>
    </row>
    <row r="253">
      <c r="B253" s="16"/>
      <c r="C253" s="16"/>
      <c r="D253" s="16"/>
      <c r="E253" s="16"/>
      <c r="F253" s="16"/>
      <c r="G253" s="16"/>
      <c r="Q253" s="54"/>
      <c r="R253" s="8"/>
      <c r="S253" s="73">
        <v>44601.0</v>
      </c>
      <c r="T253" s="16"/>
      <c r="U253" s="16" t="str">
        <f t="shared" si="20"/>
        <v/>
      </c>
      <c r="V253" s="16" t="str">
        <f t="shared" si="18"/>
        <v/>
      </c>
      <c r="W253" s="16"/>
      <c r="X253" s="54"/>
      <c r="Z253" s="14"/>
      <c r="AA253" s="16"/>
      <c r="AB253" s="16"/>
      <c r="AC253" s="16"/>
      <c r="AD253" s="16"/>
      <c r="AE253" s="66"/>
      <c r="AF253" s="54"/>
      <c r="AN253" s="54"/>
      <c r="AO253" s="8" t="str">
        <f>'APS Tubes by Date IMPORT'!B252</f>
        <v/>
      </c>
      <c r="AP253" s="16" t="str">
        <f>'APS Tubes by Date IMPORT'!D252</f>
        <v/>
      </c>
      <c r="AQ253" s="16" t="str">
        <f>'APS Tubes by Date IMPORT'!E252</f>
        <v/>
      </c>
      <c r="AR253" s="16" t="str">
        <f>'APS Tubes by Date IMPORT'!F252</f>
        <v/>
      </c>
      <c r="AS253" s="16" t="str">
        <f>'APS Tubes by Date IMPORT'!G252</f>
        <v/>
      </c>
      <c r="AT253" s="16" t="str">
        <f>'APS Tubes by Date IMPORT'!G252</f>
        <v/>
      </c>
      <c r="AU253" s="54"/>
    </row>
    <row r="254">
      <c r="B254" s="16"/>
      <c r="C254" s="16"/>
      <c r="D254" s="16"/>
      <c r="E254" s="16"/>
      <c r="F254" s="16"/>
      <c r="G254" s="16"/>
      <c r="Q254" s="54"/>
      <c r="R254" s="8"/>
      <c r="S254" s="73">
        <v>44603.0</v>
      </c>
      <c r="T254" s="16"/>
      <c r="U254" s="16" t="str">
        <f t="shared" si="20"/>
        <v/>
      </c>
      <c r="V254" s="16" t="str">
        <f t="shared" si="18"/>
        <v/>
      </c>
      <c r="W254" s="16"/>
      <c r="X254" s="54"/>
      <c r="Z254" s="14"/>
      <c r="AA254" s="16"/>
      <c r="AB254" s="16"/>
      <c r="AC254" s="16"/>
      <c r="AD254" s="16"/>
      <c r="AE254" s="66"/>
      <c r="AF254" s="54"/>
      <c r="AN254" s="54"/>
      <c r="AO254" s="8" t="str">
        <f>'APS Tubes by Date IMPORT'!B253</f>
        <v/>
      </c>
      <c r="AP254" s="16" t="str">
        <f>'APS Tubes by Date IMPORT'!D253</f>
        <v/>
      </c>
      <c r="AQ254" s="16" t="str">
        <f>'APS Tubes by Date IMPORT'!E253</f>
        <v/>
      </c>
      <c r="AR254" s="16" t="str">
        <f>'APS Tubes by Date IMPORT'!F253</f>
        <v/>
      </c>
      <c r="AS254" s="16" t="str">
        <f>'APS Tubes by Date IMPORT'!G253</f>
        <v/>
      </c>
      <c r="AT254" s="16" t="str">
        <f>'APS Tubes by Date IMPORT'!G253</f>
        <v/>
      </c>
      <c r="AU254" s="54"/>
    </row>
    <row r="255">
      <c r="B255" s="16"/>
      <c r="C255" s="16"/>
      <c r="D255" s="16"/>
      <c r="E255" s="16"/>
      <c r="F255" s="16"/>
      <c r="G255" s="16"/>
      <c r="Q255" s="54"/>
      <c r="R255" s="8"/>
      <c r="S255" s="73">
        <v>44605.0</v>
      </c>
      <c r="T255" s="16"/>
      <c r="U255" s="16" t="str">
        <f t="shared" si="20"/>
        <v/>
      </c>
      <c r="V255" s="16" t="str">
        <f t="shared" si="18"/>
        <v/>
      </c>
      <c r="W255" s="16"/>
      <c r="X255" s="54"/>
      <c r="Z255" s="14"/>
      <c r="AA255" s="16"/>
      <c r="AB255" s="16"/>
      <c r="AC255" s="16"/>
      <c r="AD255" s="16"/>
      <c r="AE255" s="66"/>
      <c r="AF255" s="54"/>
      <c r="AN255" s="54"/>
      <c r="AO255" s="8" t="str">
        <f>'APS Tubes by Date IMPORT'!B254</f>
        <v/>
      </c>
      <c r="AP255" s="16" t="str">
        <f>'APS Tubes by Date IMPORT'!D254</f>
        <v/>
      </c>
      <c r="AQ255" s="16" t="str">
        <f>'APS Tubes by Date IMPORT'!E254</f>
        <v/>
      </c>
      <c r="AR255" s="16" t="str">
        <f>'APS Tubes by Date IMPORT'!F254</f>
        <v/>
      </c>
      <c r="AS255" s="16" t="str">
        <f>'APS Tubes by Date IMPORT'!G254</f>
        <v/>
      </c>
      <c r="AT255" s="16" t="str">
        <f>'APS Tubes by Date IMPORT'!G254</f>
        <v/>
      </c>
      <c r="AU255" s="54"/>
    </row>
    <row r="256">
      <c r="B256" s="16"/>
      <c r="C256" s="16"/>
      <c r="D256" s="16"/>
      <c r="E256" s="16"/>
      <c r="F256" s="16"/>
      <c r="G256" s="16"/>
      <c r="Q256" s="54"/>
      <c r="R256" s="8"/>
      <c r="S256" s="73">
        <v>44608.0</v>
      </c>
      <c r="T256" s="16"/>
      <c r="U256" s="16" t="str">
        <f t="shared" si="20"/>
        <v/>
      </c>
      <c r="V256" s="16" t="str">
        <f t="shared" si="18"/>
        <v/>
      </c>
      <c r="W256" s="16"/>
      <c r="X256" s="54"/>
      <c r="Z256" s="14"/>
      <c r="AA256" s="16"/>
      <c r="AB256" s="16"/>
      <c r="AC256" s="16"/>
      <c r="AD256" s="16"/>
      <c r="AE256" s="66"/>
      <c r="AF256" s="54"/>
      <c r="AN256" s="54"/>
      <c r="AO256" s="8" t="str">
        <f>'APS Tubes by Date IMPORT'!B255</f>
        <v/>
      </c>
      <c r="AP256" s="16" t="str">
        <f>'APS Tubes by Date IMPORT'!D255</f>
        <v/>
      </c>
      <c r="AQ256" s="16" t="str">
        <f>'APS Tubes by Date IMPORT'!E255</f>
        <v/>
      </c>
      <c r="AR256" s="16" t="str">
        <f>'APS Tubes by Date IMPORT'!F255</f>
        <v/>
      </c>
      <c r="AS256" s="16" t="str">
        <f>'APS Tubes by Date IMPORT'!G255</f>
        <v/>
      </c>
      <c r="AT256" s="16" t="str">
        <f>'APS Tubes by Date IMPORT'!G255</f>
        <v/>
      </c>
      <c r="AU256" s="54"/>
    </row>
    <row r="257">
      <c r="B257" s="16"/>
      <c r="C257" s="16"/>
      <c r="D257" s="16"/>
      <c r="E257" s="16"/>
      <c r="F257" s="16"/>
      <c r="G257" s="16"/>
      <c r="Q257" s="54"/>
      <c r="R257" s="8"/>
      <c r="S257" s="73">
        <v>44616.0</v>
      </c>
      <c r="T257" s="16"/>
      <c r="U257" s="16" t="str">
        <f t="shared" si="20"/>
        <v/>
      </c>
      <c r="V257" s="16" t="str">
        <f t="shared" si="18"/>
        <v/>
      </c>
      <c r="W257" s="16"/>
      <c r="X257" s="54"/>
      <c r="Z257" s="14"/>
      <c r="AA257" s="16"/>
      <c r="AB257" s="16"/>
      <c r="AC257" s="16"/>
      <c r="AD257" s="16"/>
      <c r="AE257" s="66"/>
      <c r="AF257" s="54"/>
      <c r="AN257" s="54"/>
      <c r="AO257" s="8" t="str">
        <f>'APS Tubes by Date IMPORT'!B256</f>
        <v/>
      </c>
      <c r="AP257" s="16" t="str">
        <f>'APS Tubes by Date IMPORT'!D256</f>
        <v/>
      </c>
      <c r="AQ257" s="16" t="str">
        <f>'APS Tubes by Date IMPORT'!E256</f>
        <v/>
      </c>
      <c r="AR257" s="16" t="str">
        <f>'APS Tubes by Date IMPORT'!F256</f>
        <v/>
      </c>
      <c r="AS257" s="16" t="str">
        <f>'APS Tubes by Date IMPORT'!G256</f>
        <v/>
      </c>
      <c r="AT257" s="16" t="str">
        <f>'APS Tubes by Date IMPORT'!G256</f>
        <v/>
      </c>
      <c r="AU257" s="54"/>
    </row>
    <row r="258">
      <c r="B258" s="16"/>
      <c r="C258" s="16"/>
      <c r="D258" s="16"/>
      <c r="E258" s="16"/>
      <c r="F258" s="16"/>
      <c r="G258" s="16"/>
      <c r="Q258" s="54"/>
      <c r="R258" s="8"/>
      <c r="S258" s="73">
        <v>44626.0</v>
      </c>
      <c r="T258" s="16"/>
      <c r="U258" s="16" t="str">
        <f t="shared" si="20"/>
        <v/>
      </c>
      <c r="V258" s="16" t="str">
        <f t="shared" si="18"/>
        <v/>
      </c>
      <c r="W258" s="16"/>
      <c r="X258" s="54"/>
      <c r="Z258" s="14"/>
      <c r="AA258" s="16"/>
      <c r="AB258" s="16"/>
      <c r="AC258" s="16"/>
      <c r="AD258" s="16"/>
      <c r="AE258" s="66"/>
      <c r="AF258" s="54"/>
      <c r="AN258" s="54"/>
      <c r="AO258" s="8" t="str">
        <f>'APS Tubes by Date IMPORT'!B257</f>
        <v/>
      </c>
      <c r="AP258" s="16" t="str">
        <f>'APS Tubes by Date IMPORT'!D257</f>
        <v/>
      </c>
      <c r="AQ258" s="16" t="str">
        <f>'APS Tubes by Date IMPORT'!E257</f>
        <v/>
      </c>
      <c r="AR258" s="16" t="str">
        <f>'APS Tubes by Date IMPORT'!F257</f>
        <v/>
      </c>
      <c r="AS258" s="16" t="str">
        <f>'APS Tubes by Date IMPORT'!G257</f>
        <v/>
      </c>
      <c r="AT258" s="16" t="str">
        <f>'APS Tubes by Date IMPORT'!G257</f>
        <v/>
      </c>
      <c r="AU258" s="54"/>
    </row>
    <row r="259">
      <c r="B259" s="16"/>
      <c r="C259" s="16"/>
      <c r="D259" s="16"/>
      <c r="E259" s="16"/>
      <c r="F259" s="16"/>
      <c r="G259" s="16"/>
      <c r="Q259" s="54"/>
      <c r="R259" s="8"/>
      <c r="S259" s="73">
        <v>44629.0</v>
      </c>
      <c r="T259" s="16"/>
      <c r="U259" s="16" t="str">
        <f t="shared" si="20"/>
        <v/>
      </c>
      <c r="V259" s="16" t="str">
        <f t="shared" si="18"/>
        <v/>
      </c>
      <c r="W259" s="16"/>
      <c r="X259" s="54"/>
      <c r="Z259" s="14"/>
      <c r="AA259" s="16"/>
      <c r="AB259" s="16"/>
      <c r="AC259" s="16"/>
      <c r="AD259" s="16"/>
      <c r="AE259" s="66"/>
      <c r="AF259" s="54"/>
      <c r="AN259" s="54"/>
      <c r="AO259" s="8" t="str">
        <f>'APS Tubes by Date IMPORT'!B258</f>
        <v/>
      </c>
      <c r="AP259" s="16" t="str">
        <f>'APS Tubes by Date IMPORT'!D258</f>
        <v/>
      </c>
      <c r="AQ259" s="16" t="str">
        <f>'APS Tubes by Date IMPORT'!E258</f>
        <v/>
      </c>
      <c r="AR259" s="16" t="str">
        <f>'APS Tubes by Date IMPORT'!F258</f>
        <v/>
      </c>
      <c r="AS259" s="16" t="str">
        <f>'APS Tubes by Date IMPORT'!G258</f>
        <v/>
      </c>
      <c r="AT259" s="16" t="str">
        <f>'APS Tubes by Date IMPORT'!G258</f>
        <v/>
      </c>
      <c r="AU259" s="54"/>
    </row>
    <row r="260">
      <c r="B260" s="16"/>
      <c r="C260" s="16"/>
      <c r="D260" s="16"/>
      <c r="E260" s="16"/>
      <c r="F260" s="16"/>
      <c r="G260" s="16"/>
      <c r="Q260" s="54"/>
      <c r="R260" s="8"/>
      <c r="S260" s="73">
        <v>44633.0</v>
      </c>
      <c r="T260" s="16"/>
      <c r="U260" s="16" t="str">
        <f t="shared" si="20"/>
        <v/>
      </c>
      <c r="V260" s="16" t="str">
        <f t="shared" si="18"/>
        <v/>
      </c>
      <c r="W260" s="16"/>
      <c r="X260" s="54"/>
      <c r="Z260" s="14"/>
      <c r="AA260" s="16"/>
      <c r="AB260" s="16"/>
      <c r="AC260" s="16"/>
      <c r="AD260" s="16"/>
      <c r="AE260" s="66"/>
      <c r="AF260" s="54"/>
      <c r="AN260" s="54"/>
      <c r="AO260" s="8" t="str">
        <f>'APS Tubes by Date IMPORT'!B259</f>
        <v/>
      </c>
      <c r="AP260" s="16" t="str">
        <f>'APS Tubes by Date IMPORT'!D259</f>
        <v/>
      </c>
      <c r="AQ260" s="16" t="str">
        <f>'APS Tubes by Date IMPORT'!E259</f>
        <v/>
      </c>
      <c r="AR260" s="16" t="str">
        <f>'APS Tubes by Date IMPORT'!F259</f>
        <v/>
      </c>
      <c r="AS260" s="16" t="str">
        <f>'APS Tubes by Date IMPORT'!G259</f>
        <v/>
      </c>
      <c r="AT260" s="16" t="str">
        <f>'APS Tubes by Date IMPORT'!G259</f>
        <v/>
      </c>
      <c r="AU260" s="54"/>
    </row>
    <row r="261">
      <c r="B261" s="16"/>
      <c r="C261" s="16"/>
      <c r="D261" s="16"/>
      <c r="E261" s="16"/>
      <c r="F261" s="16"/>
      <c r="G261" s="16"/>
      <c r="Q261" s="54"/>
      <c r="R261" s="8"/>
      <c r="S261" s="73">
        <v>44636.0</v>
      </c>
      <c r="T261" s="16"/>
      <c r="U261" s="16" t="str">
        <f t="shared" si="20"/>
        <v/>
      </c>
      <c r="V261" s="16" t="str">
        <f t="shared" si="18"/>
        <v/>
      </c>
      <c r="W261" s="16"/>
      <c r="X261" s="54"/>
      <c r="Z261" s="14"/>
      <c r="AA261" s="16"/>
      <c r="AB261" s="16"/>
      <c r="AC261" s="16"/>
      <c r="AD261" s="16"/>
      <c r="AE261" s="66"/>
      <c r="AF261" s="54"/>
      <c r="AN261" s="54"/>
      <c r="AO261" s="8" t="str">
        <f>'APS Tubes by Date IMPORT'!B260</f>
        <v/>
      </c>
      <c r="AP261" s="16" t="str">
        <f>'APS Tubes by Date IMPORT'!D260</f>
        <v/>
      </c>
      <c r="AQ261" s="16" t="str">
        <f>'APS Tubes by Date IMPORT'!E260</f>
        <v/>
      </c>
      <c r="AR261" s="16" t="str">
        <f>'APS Tubes by Date IMPORT'!F260</f>
        <v/>
      </c>
      <c r="AS261" s="16" t="str">
        <f>'APS Tubes by Date IMPORT'!G260</f>
        <v/>
      </c>
      <c r="AT261" s="16" t="str">
        <f>'APS Tubes by Date IMPORT'!G260</f>
        <v/>
      </c>
      <c r="AU261" s="54"/>
    </row>
    <row r="262">
      <c r="B262" s="16"/>
      <c r="C262" s="16"/>
      <c r="D262" s="16"/>
      <c r="E262" s="16"/>
      <c r="F262" s="16"/>
      <c r="G262" s="16"/>
      <c r="Q262" s="54"/>
      <c r="R262" s="8"/>
      <c r="S262" s="73">
        <v>44640.0</v>
      </c>
      <c r="T262" s="16"/>
      <c r="U262" s="16" t="str">
        <f t="shared" si="20"/>
        <v/>
      </c>
      <c r="V262" s="16" t="str">
        <f t="shared" si="18"/>
        <v/>
      </c>
      <c r="W262" s="16"/>
      <c r="X262" s="54"/>
      <c r="Z262" s="14"/>
      <c r="AA262" s="16"/>
      <c r="AB262" s="16"/>
      <c r="AC262" s="16"/>
      <c r="AD262" s="16"/>
      <c r="AE262" s="66"/>
      <c r="AF262" s="54"/>
      <c r="AN262" s="54"/>
      <c r="AO262" s="8" t="str">
        <f>'APS Tubes by Date IMPORT'!B261</f>
        <v/>
      </c>
      <c r="AP262" s="16" t="str">
        <f>'APS Tubes by Date IMPORT'!D261</f>
        <v/>
      </c>
      <c r="AQ262" s="16" t="str">
        <f>'APS Tubes by Date IMPORT'!E261</f>
        <v/>
      </c>
      <c r="AR262" s="16" t="str">
        <f>'APS Tubes by Date IMPORT'!F261</f>
        <v/>
      </c>
      <c r="AS262" s="16" t="str">
        <f>'APS Tubes by Date IMPORT'!G261</f>
        <v/>
      </c>
      <c r="AT262" s="16" t="str">
        <f>'APS Tubes by Date IMPORT'!G261</f>
        <v/>
      </c>
      <c r="AU262" s="54"/>
    </row>
    <row r="263">
      <c r="B263" s="16"/>
      <c r="C263" s="16"/>
      <c r="D263" s="16"/>
      <c r="E263" s="16"/>
      <c r="F263" s="16"/>
      <c r="G263" s="16"/>
      <c r="Q263" s="54"/>
      <c r="R263" s="8"/>
      <c r="S263" s="73">
        <v>44654.0</v>
      </c>
      <c r="T263" s="16"/>
      <c r="U263" s="16" t="str">
        <f t="shared" si="20"/>
        <v/>
      </c>
      <c r="V263" s="16" t="str">
        <f t="shared" si="18"/>
        <v/>
      </c>
      <c r="W263" s="16"/>
      <c r="X263" s="54"/>
      <c r="Z263" s="14"/>
      <c r="AA263" s="16"/>
      <c r="AB263" s="16"/>
      <c r="AC263" s="16"/>
      <c r="AD263" s="16"/>
      <c r="AE263" s="66"/>
      <c r="AF263" s="54"/>
      <c r="AN263" s="54"/>
      <c r="AO263" s="8" t="str">
        <f>'APS Tubes by Date IMPORT'!B262</f>
        <v/>
      </c>
      <c r="AP263" s="16" t="str">
        <f>'APS Tubes by Date IMPORT'!D262</f>
        <v/>
      </c>
      <c r="AQ263" s="16" t="str">
        <f>'APS Tubes by Date IMPORT'!E262</f>
        <v/>
      </c>
      <c r="AR263" s="16" t="str">
        <f>'APS Tubes by Date IMPORT'!F262</f>
        <v/>
      </c>
      <c r="AS263" s="16" t="str">
        <f>'APS Tubes by Date IMPORT'!G262</f>
        <v/>
      </c>
      <c r="AT263" s="16" t="str">
        <f>'APS Tubes by Date IMPORT'!G262</f>
        <v/>
      </c>
      <c r="AU263" s="54"/>
    </row>
    <row r="264">
      <c r="B264" s="16"/>
      <c r="C264" s="16"/>
      <c r="D264" s="16"/>
      <c r="E264" s="16"/>
      <c r="F264" s="16"/>
      <c r="G264" s="16"/>
      <c r="Q264" s="54"/>
      <c r="R264" s="8"/>
      <c r="S264" s="73">
        <v>44657.0</v>
      </c>
      <c r="T264" s="16"/>
      <c r="U264" s="16" t="str">
        <f t="shared" si="20"/>
        <v/>
      </c>
      <c r="V264" s="16" t="str">
        <f t="shared" si="18"/>
        <v/>
      </c>
      <c r="W264" s="16"/>
      <c r="X264" s="54"/>
      <c r="Z264" s="14"/>
      <c r="AA264" s="16"/>
      <c r="AB264" s="16"/>
      <c r="AC264" s="16"/>
      <c r="AD264" s="16"/>
      <c r="AE264" s="66"/>
      <c r="AF264" s="54"/>
      <c r="AN264" s="54"/>
      <c r="AO264" s="8" t="str">
        <f>'APS Tubes by Date IMPORT'!B263</f>
        <v/>
      </c>
      <c r="AP264" s="16" t="str">
        <f>'APS Tubes by Date IMPORT'!D263</f>
        <v/>
      </c>
      <c r="AQ264" s="16" t="str">
        <f>'APS Tubes by Date IMPORT'!E263</f>
        <v/>
      </c>
      <c r="AR264" s="16" t="str">
        <f>'APS Tubes by Date IMPORT'!F263</f>
        <v/>
      </c>
      <c r="AS264" s="16" t="str">
        <f>'APS Tubes by Date IMPORT'!G263</f>
        <v/>
      </c>
      <c r="AT264" s="16" t="str">
        <f>'APS Tubes by Date IMPORT'!G263</f>
        <v/>
      </c>
      <c r="AU264" s="54"/>
    </row>
    <row r="265">
      <c r="B265" s="16"/>
      <c r="C265" s="16"/>
      <c r="D265" s="16"/>
      <c r="E265" s="16"/>
      <c r="F265" s="16"/>
      <c r="G265" s="16"/>
      <c r="Q265" s="54"/>
      <c r="R265" s="8"/>
      <c r="S265" s="73">
        <v>44661.0</v>
      </c>
      <c r="T265" s="16"/>
      <c r="U265" s="16" t="str">
        <f t="shared" si="20"/>
        <v/>
      </c>
      <c r="V265" s="16" t="str">
        <f t="shared" si="18"/>
        <v/>
      </c>
      <c r="W265" s="16"/>
      <c r="X265" s="54"/>
      <c r="Z265" s="14"/>
      <c r="AA265" s="16"/>
      <c r="AB265" s="16"/>
      <c r="AC265" s="16"/>
      <c r="AD265" s="16"/>
      <c r="AE265" s="66"/>
      <c r="AF265" s="54"/>
      <c r="AN265" s="54"/>
      <c r="AO265" s="8" t="str">
        <f>'APS Tubes by Date IMPORT'!B264</f>
        <v/>
      </c>
      <c r="AP265" s="16" t="str">
        <f>'APS Tubes by Date IMPORT'!D264</f>
        <v/>
      </c>
      <c r="AQ265" s="16" t="str">
        <f>'APS Tubes by Date IMPORT'!E264</f>
        <v/>
      </c>
      <c r="AR265" s="16" t="str">
        <f>'APS Tubes by Date IMPORT'!F264</f>
        <v/>
      </c>
      <c r="AS265" s="16" t="str">
        <f>'APS Tubes by Date IMPORT'!G264</f>
        <v/>
      </c>
      <c r="AT265" s="16" t="str">
        <f>'APS Tubes by Date IMPORT'!G264</f>
        <v/>
      </c>
      <c r="AU265" s="54"/>
    </row>
    <row r="266">
      <c r="B266" s="16"/>
      <c r="C266" s="16"/>
      <c r="D266" s="16"/>
      <c r="E266" s="16"/>
      <c r="F266" s="16"/>
      <c r="G266" s="16"/>
      <c r="Q266" s="54"/>
      <c r="R266" s="8"/>
      <c r="S266" s="73">
        <v>44668.0</v>
      </c>
      <c r="T266" s="16"/>
      <c r="U266" s="16" t="str">
        <f t="shared" si="20"/>
        <v/>
      </c>
      <c r="V266" s="16" t="str">
        <f t="shared" si="18"/>
        <v/>
      </c>
      <c r="W266" s="16"/>
      <c r="X266" s="54"/>
      <c r="Z266" s="14"/>
      <c r="AA266" s="16"/>
      <c r="AB266" s="16"/>
      <c r="AC266" s="16"/>
      <c r="AD266" s="16"/>
      <c r="AE266" s="66"/>
      <c r="AF266" s="54"/>
      <c r="AN266" s="54"/>
      <c r="AO266" s="8" t="str">
        <f>'APS Tubes by Date IMPORT'!B265</f>
        <v/>
      </c>
      <c r="AP266" s="16" t="str">
        <f>'APS Tubes by Date IMPORT'!D265</f>
        <v/>
      </c>
      <c r="AQ266" s="16" t="str">
        <f>'APS Tubes by Date IMPORT'!E265</f>
        <v/>
      </c>
      <c r="AR266" s="16" t="str">
        <f>'APS Tubes by Date IMPORT'!F265</f>
        <v/>
      </c>
      <c r="AS266" s="16" t="str">
        <f>'APS Tubes by Date IMPORT'!G265</f>
        <v/>
      </c>
      <c r="AT266" s="16" t="str">
        <f>'APS Tubes by Date IMPORT'!G265</f>
        <v/>
      </c>
      <c r="AU266" s="54"/>
    </row>
    <row r="267">
      <c r="B267" s="16"/>
      <c r="C267" s="16"/>
      <c r="D267" s="16"/>
      <c r="E267" s="16"/>
      <c r="F267" s="16"/>
      <c r="G267" s="16"/>
      <c r="Q267" s="54"/>
      <c r="R267" s="8"/>
      <c r="S267" s="73">
        <v>44675.0</v>
      </c>
      <c r="T267" s="16"/>
      <c r="U267" s="16" t="str">
        <f t="shared" si="20"/>
        <v/>
      </c>
      <c r="V267" s="16" t="str">
        <f t="shared" si="18"/>
        <v/>
      </c>
      <c r="W267" s="16"/>
      <c r="X267" s="54"/>
      <c r="Z267" s="14"/>
      <c r="AA267" s="16"/>
      <c r="AB267" s="16"/>
      <c r="AC267" s="16"/>
      <c r="AD267" s="16"/>
      <c r="AE267" s="66"/>
      <c r="AF267" s="54"/>
      <c r="AN267" s="54"/>
      <c r="AO267" s="8" t="str">
        <f>'APS Tubes by Date IMPORT'!B266</f>
        <v/>
      </c>
      <c r="AP267" s="16" t="str">
        <f>'APS Tubes by Date IMPORT'!D266</f>
        <v/>
      </c>
      <c r="AQ267" s="16" t="str">
        <f>'APS Tubes by Date IMPORT'!E266</f>
        <v/>
      </c>
      <c r="AR267" s="16" t="str">
        <f>'APS Tubes by Date IMPORT'!F266</f>
        <v/>
      </c>
      <c r="AS267" s="16" t="str">
        <f>'APS Tubes by Date IMPORT'!G266</f>
        <v/>
      </c>
      <c r="AT267" s="16" t="str">
        <f>'APS Tubes by Date IMPORT'!G266</f>
        <v/>
      </c>
      <c r="AU267" s="54"/>
    </row>
    <row r="268">
      <c r="B268" s="16"/>
      <c r="C268" s="16"/>
      <c r="D268" s="16"/>
      <c r="E268" s="16"/>
      <c r="F268" s="16"/>
      <c r="G268" s="16"/>
      <c r="Q268" s="54"/>
      <c r="R268" s="8"/>
      <c r="S268" s="73">
        <v>44682.0</v>
      </c>
      <c r="T268" s="16"/>
      <c r="U268" s="16" t="str">
        <f t="shared" si="20"/>
        <v/>
      </c>
      <c r="V268" s="16" t="str">
        <f t="shared" si="18"/>
        <v/>
      </c>
      <c r="W268" s="16"/>
      <c r="X268" s="54"/>
      <c r="Z268" s="14"/>
      <c r="AA268" s="16"/>
      <c r="AB268" s="16"/>
      <c r="AC268" s="16"/>
      <c r="AD268" s="16"/>
      <c r="AE268" s="66"/>
      <c r="AF268" s="54"/>
      <c r="AN268" s="54"/>
      <c r="AO268" s="8" t="str">
        <f>'APS Tubes by Date IMPORT'!B267</f>
        <v/>
      </c>
      <c r="AP268" s="16" t="str">
        <f>'APS Tubes by Date IMPORT'!D267</f>
        <v/>
      </c>
      <c r="AQ268" s="16" t="str">
        <f>'APS Tubes by Date IMPORT'!E267</f>
        <v/>
      </c>
      <c r="AR268" s="16" t="str">
        <f>'APS Tubes by Date IMPORT'!F267</f>
        <v/>
      </c>
      <c r="AS268" s="16" t="str">
        <f>'APS Tubes by Date IMPORT'!G267</f>
        <v/>
      </c>
      <c r="AT268" s="16" t="str">
        <f>'APS Tubes by Date IMPORT'!G267</f>
        <v/>
      </c>
      <c r="AU268" s="54"/>
    </row>
    <row r="269">
      <c r="B269" s="16"/>
      <c r="C269" s="16"/>
      <c r="D269" s="16"/>
      <c r="E269" s="16"/>
      <c r="F269" s="16"/>
      <c r="G269" s="16"/>
      <c r="Q269" s="54"/>
      <c r="R269" s="8"/>
      <c r="S269" s="73">
        <v>44689.0</v>
      </c>
      <c r="T269" s="16"/>
      <c r="U269" s="16" t="str">
        <f t="shared" si="20"/>
        <v/>
      </c>
      <c r="V269" s="16" t="str">
        <f t="shared" si="18"/>
        <v/>
      </c>
      <c r="W269" s="16"/>
      <c r="X269" s="54"/>
      <c r="Z269" s="14"/>
      <c r="AA269" s="16"/>
      <c r="AB269" s="16"/>
      <c r="AC269" s="16"/>
      <c r="AD269" s="16"/>
      <c r="AE269" s="66"/>
      <c r="AF269" s="54"/>
      <c r="AN269" s="54"/>
      <c r="AO269" s="8" t="str">
        <f>'APS Tubes by Date IMPORT'!B268</f>
        <v/>
      </c>
      <c r="AP269" s="16" t="str">
        <f>'APS Tubes by Date IMPORT'!D268</f>
        <v/>
      </c>
      <c r="AQ269" s="16" t="str">
        <f>'APS Tubes by Date IMPORT'!E268</f>
        <v/>
      </c>
      <c r="AR269" s="16" t="str">
        <f>'APS Tubes by Date IMPORT'!F268</f>
        <v/>
      </c>
      <c r="AS269" s="16" t="str">
        <f>'APS Tubes by Date IMPORT'!G268</f>
        <v/>
      </c>
      <c r="AT269" s="16" t="str">
        <f>'APS Tubes by Date IMPORT'!G268</f>
        <v/>
      </c>
      <c r="AU269" s="54"/>
    </row>
    <row r="270">
      <c r="B270" s="16"/>
      <c r="C270" s="16"/>
      <c r="D270" s="16"/>
      <c r="E270" s="16"/>
      <c r="F270" s="16"/>
      <c r="G270" s="16"/>
      <c r="Q270" s="54"/>
      <c r="R270" s="8"/>
      <c r="S270" s="73">
        <v>44691.0</v>
      </c>
      <c r="T270" s="16"/>
      <c r="U270" s="16" t="str">
        <f t="shared" si="20"/>
        <v/>
      </c>
      <c r="V270" s="16" t="str">
        <f t="shared" si="18"/>
        <v/>
      </c>
      <c r="W270" s="16"/>
      <c r="X270" s="54"/>
      <c r="Z270" s="14"/>
      <c r="AA270" s="16"/>
      <c r="AB270" s="16"/>
      <c r="AC270" s="16"/>
      <c r="AD270" s="16"/>
      <c r="AE270" s="66"/>
      <c r="AF270" s="54"/>
      <c r="AN270" s="54"/>
      <c r="AO270" s="8" t="str">
        <f>'APS Tubes by Date IMPORT'!B269</f>
        <v/>
      </c>
      <c r="AP270" s="16" t="str">
        <f>'APS Tubes by Date IMPORT'!D269</f>
        <v/>
      </c>
      <c r="AQ270" s="16" t="str">
        <f>'APS Tubes by Date IMPORT'!E269</f>
        <v/>
      </c>
      <c r="AR270" s="16" t="str">
        <f>'APS Tubes by Date IMPORT'!F269</f>
        <v/>
      </c>
      <c r="AS270" s="16" t="str">
        <f>'APS Tubes by Date IMPORT'!G269</f>
        <v/>
      </c>
      <c r="AT270" s="16" t="str">
        <f>'APS Tubes by Date IMPORT'!G269</f>
        <v/>
      </c>
      <c r="AU270" s="54"/>
    </row>
    <row r="271">
      <c r="B271" s="16"/>
      <c r="C271" s="16"/>
      <c r="D271" s="16"/>
      <c r="E271" s="16"/>
      <c r="F271" s="16"/>
      <c r="G271" s="16"/>
      <c r="Q271" s="54"/>
      <c r="R271" s="8"/>
      <c r="S271" s="73">
        <v>44696.0</v>
      </c>
      <c r="T271" s="16"/>
      <c r="U271" s="16" t="str">
        <f t="shared" si="20"/>
        <v/>
      </c>
      <c r="V271" s="16" t="str">
        <f t="shared" si="18"/>
        <v/>
      </c>
      <c r="W271" s="16"/>
      <c r="X271" s="54"/>
      <c r="Z271" s="14"/>
      <c r="AA271" s="16"/>
      <c r="AB271" s="16"/>
      <c r="AC271" s="16"/>
      <c r="AD271" s="16"/>
      <c r="AE271" s="66"/>
      <c r="AF271" s="54"/>
      <c r="AN271" s="54"/>
      <c r="AO271" s="8" t="str">
        <f>'APS Tubes by Date IMPORT'!B270</f>
        <v/>
      </c>
      <c r="AP271" s="16" t="str">
        <f>'APS Tubes by Date IMPORT'!D270</f>
        <v/>
      </c>
      <c r="AQ271" s="16" t="str">
        <f>'APS Tubes by Date IMPORT'!E270</f>
        <v/>
      </c>
      <c r="AR271" s="16" t="str">
        <f>'APS Tubes by Date IMPORT'!F270</f>
        <v/>
      </c>
      <c r="AS271" s="16" t="str">
        <f>'APS Tubes by Date IMPORT'!G270</f>
        <v/>
      </c>
      <c r="AT271" s="16" t="str">
        <f>'APS Tubes by Date IMPORT'!G270</f>
        <v/>
      </c>
      <c r="AU271" s="54"/>
    </row>
    <row r="272">
      <c r="B272" s="16"/>
      <c r="C272" s="16"/>
      <c r="D272" s="16"/>
      <c r="E272" s="16"/>
      <c r="F272" s="16"/>
      <c r="G272" s="16"/>
      <c r="Q272" s="54"/>
      <c r="R272" s="8"/>
      <c r="S272" s="73">
        <v>44703.0</v>
      </c>
      <c r="T272" s="16"/>
      <c r="U272" s="16" t="str">
        <f t="shared" si="20"/>
        <v/>
      </c>
      <c r="V272" s="16" t="str">
        <f t="shared" si="18"/>
        <v/>
      </c>
      <c r="W272" s="16"/>
      <c r="X272" s="54"/>
      <c r="Z272" s="14"/>
      <c r="AA272" s="16"/>
      <c r="AB272" s="16"/>
      <c r="AC272" s="16"/>
      <c r="AD272" s="16"/>
      <c r="AE272" s="66"/>
      <c r="AF272" s="54"/>
      <c r="AN272" s="54"/>
      <c r="AO272" s="8" t="str">
        <f>'APS Tubes by Date IMPORT'!B271</f>
        <v/>
      </c>
      <c r="AP272" s="16" t="str">
        <f>'APS Tubes by Date IMPORT'!D271</f>
        <v/>
      </c>
      <c r="AQ272" s="16" t="str">
        <f>'APS Tubes by Date IMPORT'!E271</f>
        <v/>
      </c>
      <c r="AR272" s="16" t="str">
        <f>'APS Tubes by Date IMPORT'!F271</f>
        <v/>
      </c>
      <c r="AS272" s="16" t="str">
        <f>'APS Tubes by Date IMPORT'!G271</f>
        <v/>
      </c>
      <c r="AT272" s="16" t="str">
        <f>'APS Tubes by Date IMPORT'!G271</f>
        <v/>
      </c>
      <c r="AU272" s="54"/>
    </row>
    <row r="273">
      <c r="B273" s="16"/>
      <c r="C273" s="16"/>
      <c r="D273" s="16"/>
      <c r="E273" s="16"/>
      <c r="F273" s="16"/>
      <c r="G273" s="16"/>
      <c r="Q273" s="54"/>
      <c r="R273" s="8"/>
      <c r="S273" s="73">
        <v>44706.0</v>
      </c>
      <c r="T273" s="16"/>
      <c r="U273" s="16" t="str">
        <f t="shared" si="20"/>
        <v/>
      </c>
      <c r="V273" s="16" t="str">
        <f t="shared" si="18"/>
        <v/>
      </c>
      <c r="W273" s="16"/>
      <c r="X273" s="54"/>
      <c r="Z273" s="14"/>
      <c r="AA273" s="16"/>
      <c r="AB273" s="16"/>
      <c r="AC273" s="16"/>
      <c r="AD273" s="16"/>
      <c r="AE273" s="66"/>
      <c r="AF273" s="54"/>
      <c r="AN273" s="54"/>
      <c r="AO273" s="8" t="str">
        <f>'APS Tubes by Date IMPORT'!B272</f>
        <v/>
      </c>
      <c r="AP273" s="16" t="str">
        <f>'APS Tubes by Date IMPORT'!D272</f>
        <v/>
      </c>
      <c r="AQ273" s="16" t="str">
        <f>'APS Tubes by Date IMPORT'!E272</f>
        <v/>
      </c>
      <c r="AR273" s="16" t="str">
        <f>'APS Tubes by Date IMPORT'!F272</f>
        <v/>
      </c>
      <c r="AS273" s="16" t="str">
        <f>'APS Tubes by Date IMPORT'!G272</f>
        <v/>
      </c>
      <c r="AT273" s="16" t="str">
        <f>'APS Tubes by Date IMPORT'!G272</f>
        <v/>
      </c>
      <c r="AU273" s="54"/>
    </row>
    <row r="274">
      <c r="B274" s="16"/>
      <c r="C274" s="16"/>
      <c r="D274" s="16"/>
      <c r="E274" s="16"/>
      <c r="F274" s="16"/>
      <c r="G274" s="16"/>
      <c r="Q274" s="54"/>
      <c r="R274" s="8"/>
      <c r="S274" s="73">
        <v>44708.0</v>
      </c>
      <c r="T274" s="16"/>
      <c r="U274" s="16" t="str">
        <f t="shared" si="20"/>
        <v/>
      </c>
      <c r="V274" s="16" t="str">
        <f t="shared" si="18"/>
        <v/>
      </c>
      <c r="W274" s="16"/>
      <c r="X274" s="54"/>
      <c r="Z274" s="14"/>
      <c r="AA274" s="16"/>
      <c r="AB274" s="16"/>
      <c r="AC274" s="16"/>
      <c r="AD274" s="16"/>
      <c r="AE274" s="66"/>
      <c r="AF274" s="54"/>
      <c r="AN274" s="54"/>
      <c r="AO274" s="8" t="str">
        <f>'APS Tubes by Date IMPORT'!B273</f>
        <v/>
      </c>
      <c r="AP274" s="16" t="str">
        <f>'APS Tubes by Date IMPORT'!D273</f>
        <v/>
      </c>
      <c r="AQ274" s="16" t="str">
        <f>'APS Tubes by Date IMPORT'!E273</f>
        <v/>
      </c>
      <c r="AR274" s="16" t="str">
        <f>'APS Tubes by Date IMPORT'!F273</f>
        <v/>
      </c>
      <c r="AS274" s="16" t="str">
        <f>'APS Tubes by Date IMPORT'!G273</f>
        <v/>
      </c>
      <c r="AT274" s="16" t="str">
        <f>'APS Tubes by Date IMPORT'!G273</f>
        <v/>
      </c>
      <c r="AU274" s="54"/>
    </row>
    <row r="275">
      <c r="B275" s="16"/>
      <c r="C275" s="16"/>
      <c r="D275" s="16"/>
      <c r="E275" s="16"/>
      <c r="F275" s="16"/>
      <c r="G275" s="16"/>
      <c r="Q275" s="54"/>
      <c r="R275" s="8"/>
      <c r="S275" s="73">
        <v>44711.0</v>
      </c>
      <c r="T275" s="16"/>
      <c r="U275" s="16" t="str">
        <f t="shared" si="20"/>
        <v/>
      </c>
      <c r="V275" s="16" t="str">
        <f t="shared" si="18"/>
        <v/>
      </c>
      <c r="W275" s="16"/>
      <c r="X275" s="54"/>
      <c r="Z275" s="14"/>
      <c r="AA275" s="16"/>
      <c r="AB275" s="16"/>
      <c r="AC275" s="16"/>
      <c r="AD275" s="16"/>
      <c r="AE275" s="66"/>
      <c r="AF275" s="54"/>
      <c r="AN275" s="54"/>
      <c r="AO275" s="8" t="str">
        <f>'APS Tubes by Date IMPORT'!B274</f>
        <v/>
      </c>
      <c r="AP275" s="16" t="str">
        <f>'APS Tubes by Date IMPORT'!D274</f>
        <v/>
      </c>
      <c r="AQ275" s="16" t="str">
        <f>'APS Tubes by Date IMPORT'!E274</f>
        <v/>
      </c>
      <c r="AR275" s="16" t="str">
        <f>'APS Tubes by Date IMPORT'!F274</f>
        <v/>
      </c>
      <c r="AS275" s="16" t="str">
        <f>'APS Tubes by Date IMPORT'!G274</f>
        <v/>
      </c>
      <c r="AT275" s="16" t="str">
        <f>'APS Tubes by Date IMPORT'!G274</f>
        <v/>
      </c>
      <c r="AU275" s="54"/>
    </row>
    <row r="276">
      <c r="B276" s="16"/>
      <c r="C276" s="16"/>
      <c r="D276" s="16"/>
      <c r="E276" s="16"/>
      <c r="F276" s="16"/>
      <c r="G276" s="16"/>
      <c r="Q276" s="54"/>
      <c r="R276" s="8"/>
      <c r="S276" s="14"/>
      <c r="T276" s="16"/>
      <c r="U276" s="16" t="str">
        <f t="shared" si="20"/>
        <v/>
      </c>
      <c r="V276" s="16" t="str">
        <f t="shared" si="18"/>
        <v/>
      </c>
      <c r="W276" s="16"/>
      <c r="X276" s="54"/>
      <c r="Z276" s="14"/>
      <c r="AA276" s="16"/>
      <c r="AB276" s="16"/>
      <c r="AC276" s="16"/>
      <c r="AD276" s="16"/>
      <c r="AE276" s="66"/>
      <c r="AF276" s="54"/>
      <c r="AN276" s="54"/>
      <c r="AO276" s="8" t="str">
        <f>'APS Tubes by Date IMPORT'!B275</f>
        <v/>
      </c>
      <c r="AP276" s="16" t="str">
        <f>'APS Tubes by Date IMPORT'!D275</f>
        <v/>
      </c>
      <c r="AQ276" s="16" t="str">
        <f>'APS Tubes by Date IMPORT'!E275</f>
        <v/>
      </c>
      <c r="AR276" s="16" t="str">
        <f>'APS Tubes by Date IMPORT'!F275</f>
        <v/>
      </c>
      <c r="AS276" s="16" t="str">
        <f>'APS Tubes by Date IMPORT'!G275</f>
        <v/>
      </c>
      <c r="AT276" s="16" t="str">
        <f>'APS Tubes by Date IMPORT'!G275</f>
        <v/>
      </c>
      <c r="AU276" s="54"/>
    </row>
    <row r="277">
      <c r="B277" s="16"/>
      <c r="C277" s="16"/>
      <c r="D277" s="16"/>
      <c r="E277" s="16"/>
      <c r="F277" s="16"/>
      <c r="G277" s="16"/>
      <c r="Q277" s="54"/>
      <c r="R277" s="8"/>
      <c r="S277" s="14"/>
      <c r="T277" s="16"/>
      <c r="U277" s="16" t="str">
        <f t="shared" si="20"/>
        <v/>
      </c>
      <c r="V277" s="16" t="str">
        <f t="shared" si="18"/>
        <v/>
      </c>
      <c r="W277" s="16"/>
      <c r="X277" s="54"/>
      <c r="Z277" s="14"/>
      <c r="AA277" s="16"/>
      <c r="AB277" s="16"/>
      <c r="AC277" s="16"/>
      <c r="AD277" s="16"/>
      <c r="AE277" s="66"/>
      <c r="AF277" s="54"/>
      <c r="AN277" s="54"/>
      <c r="AO277" s="8" t="str">
        <f>'APS Tubes by Date IMPORT'!B276</f>
        <v/>
      </c>
      <c r="AP277" s="16" t="str">
        <f>'APS Tubes by Date IMPORT'!D276</f>
        <v/>
      </c>
      <c r="AQ277" s="16" t="str">
        <f>'APS Tubes by Date IMPORT'!E276</f>
        <v/>
      </c>
      <c r="AR277" s="16" t="str">
        <f>'APS Tubes by Date IMPORT'!F276</f>
        <v/>
      </c>
      <c r="AS277" s="16" t="str">
        <f>'APS Tubes by Date IMPORT'!G276</f>
        <v/>
      </c>
      <c r="AT277" s="16" t="str">
        <f>'APS Tubes by Date IMPORT'!G276</f>
        <v/>
      </c>
      <c r="AU277" s="54"/>
    </row>
    <row r="278">
      <c r="B278" s="16"/>
      <c r="C278" s="16"/>
      <c r="D278" s="16"/>
      <c r="E278" s="16"/>
      <c r="F278" s="16"/>
      <c r="G278" s="16"/>
      <c r="Q278" s="54"/>
      <c r="R278" s="8"/>
      <c r="S278" s="14"/>
      <c r="T278" s="16"/>
      <c r="U278" s="16" t="str">
        <f t="shared" si="20"/>
        <v/>
      </c>
      <c r="V278" s="16" t="str">
        <f t="shared" si="18"/>
        <v/>
      </c>
      <c r="W278" s="16"/>
      <c r="X278" s="54"/>
      <c r="Z278" s="14"/>
      <c r="AA278" s="16"/>
      <c r="AB278" s="16"/>
      <c r="AC278" s="16"/>
      <c r="AD278" s="16"/>
      <c r="AE278" s="66"/>
      <c r="AF278" s="54"/>
      <c r="AN278" s="54"/>
      <c r="AP278" s="16"/>
      <c r="AQ278" s="16"/>
      <c r="AR278" s="16"/>
      <c r="AS278" s="16"/>
      <c r="AU278" s="54"/>
    </row>
    <row r="279">
      <c r="B279" s="16"/>
      <c r="C279" s="16"/>
      <c r="D279" s="16"/>
      <c r="E279" s="16"/>
      <c r="F279" s="16"/>
      <c r="G279" s="16"/>
      <c r="Q279" s="54"/>
      <c r="R279" s="8"/>
      <c r="S279" s="14"/>
      <c r="T279" s="16"/>
      <c r="U279" s="16" t="str">
        <f t="shared" si="20"/>
        <v/>
      </c>
      <c r="V279" s="16" t="str">
        <f t="shared" si="18"/>
        <v/>
      </c>
      <c r="W279" s="16"/>
      <c r="X279" s="54"/>
      <c r="Z279" s="14"/>
      <c r="AA279" s="16"/>
      <c r="AB279" s="16"/>
      <c r="AC279" s="16"/>
      <c r="AD279" s="16"/>
      <c r="AE279" s="66"/>
      <c r="AF279" s="54"/>
      <c r="AN279" s="54"/>
      <c r="AP279" s="16"/>
      <c r="AQ279" s="16"/>
      <c r="AR279" s="16"/>
      <c r="AS279" s="16"/>
      <c r="AU279" s="54"/>
    </row>
    <row r="280">
      <c r="B280" s="16"/>
      <c r="C280" s="16"/>
      <c r="D280" s="16"/>
      <c r="E280" s="16"/>
      <c r="F280" s="16"/>
      <c r="G280" s="16"/>
      <c r="Q280" s="54"/>
      <c r="R280" s="8"/>
      <c r="S280" s="14"/>
      <c r="T280" s="16"/>
      <c r="U280" s="16"/>
      <c r="V280" s="16"/>
      <c r="W280" s="16"/>
      <c r="X280" s="54"/>
      <c r="Z280" s="14"/>
      <c r="AA280" s="16"/>
      <c r="AB280" s="16"/>
      <c r="AC280" s="16"/>
      <c r="AD280" s="16"/>
      <c r="AE280" s="66"/>
      <c r="AF280" s="54"/>
      <c r="AN280" s="54"/>
      <c r="AP280" s="16"/>
      <c r="AQ280" s="16"/>
      <c r="AR280" s="16"/>
      <c r="AS280" s="16"/>
      <c r="AU280" s="54"/>
    </row>
    <row r="281">
      <c r="B281" s="16"/>
      <c r="C281" s="16"/>
      <c r="D281" s="16"/>
      <c r="E281" s="16"/>
      <c r="F281" s="16"/>
      <c r="G281" s="16"/>
      <c r="Q281" s="54"/>
      <c r="R281" s="8"/>
      <c r="S281" s="14"/>
      <c r="T281" s="16"/>
      <c r="U281" s="16"/>
      <c r="V281" s="16"/>
      <c r="W281" s="16"/>
      <c r="X281" s="54"/>
      <c r="Z281" s="14"/>
      <c r="AA281" s="16"/>
      <c r="AB281" s="16"/>
      <c r="AC281" s="16"/>
      <c r="AD281" s="16"/>
      <c r="AE281" s="66"/>
      <c r="AF281" s="54"/>
      <c r="AN281" s="54"/>
      <c r="AP281" s="16"/>
      <c r="AQ281" s="16"/>
      <c r="AR281" s="16"/>
      <c r="AS281" s="16"/>
      <c r="AU281" s="54"/>
    </row>
    <row r="282">
      <c r="B282" s="16"/>
      <c r="C282" s="16"/>
      <c r="D282" s="16"/>
      <c r="E282" s="16"/>
      <c r="F282" s="16"/>
      <c r="G282" s="16"/>
      <c r="Q282" s="54"/>
      <c r="R282" s="8"/>
      <c r="S282" s="14"/>
      <c r="T282" s="16"/>
      <c r="U282" s="16"/>
      <c r="V282" s="16"/>
      <c r="W282" s="16"/>
      <c r="X282" s="54"/>
      <c r="Z282" s="14"/>
      <c r="AA282" s="16"/>
      <c r="AB282" s="16"/>
      <c r="AC282" s="16"/>
      <c r="AD282" s="16"/>
      <c r="AE282" s="66"/>
      <c r="AF282" s="54"/>
      <c r="AN282" s="54"/>
      <c r="AP282" s="16"/>
      <c r="AQ282" s="16"/>
      <c r="AR282" s="16"/>
      <c r="AS282" s="16"/>
      <c r="AU282" s="54"/>
    </row>
    <row r="283">
      <c r="B283" s="16"/>
      <c r="C283" s="16"/>
      <c r="D283" s="16"/>
      <c r="E283" s="16"/>
      <c r="F283" s="16"/>
      <c r="G283" s="16"/>
      <c r="Q283" s="54"/>
      <c r="R283" s="8"/>
      <c r="S283" s="14"/>
      <c r="T283" s="16"/>
      <c r="U283" s="16"/>
      <c r="V283" s="16"/>
      <c r="W283" s="16"/>
      <c r="X283" s="54"/>
      <c r="Z283" s="14"/>
      <c r="AA283" s="16"/>
      <c r="AB283" s="16"/>
      <c r="AC283" s="16"/>
      <c r="AD283" s="16"/>
      <c r="AE283" s="66"/>
      <c r="AF283" s="54"/>
      <c r="AN283" s="54"/>
      <c r="AP283" s="16"/>
      <c r="AQ283" s="16"/>
      <c r="AR283" s="16"/>
      <c r="AS283" s="16"/>
      <c r="AU283" s="54"/>
    </row>
    <row r="284">
      <c r="B284" s="16"/>
      <c r="C284" s="16"/>
      <c r="D284" s="16"/>
      <c r="E284" s="16"/>
      <c r="F284" s="16"/>
      <c r="G284" s="16"/>
      <c r="Q284" s="54"/>
      <c r="R284" s="8"/>
      <c r="S284" s="14"/>
      <c r="T284" s="16"/>
      <c r="U284" s="16"/>
      <c r="V284" s="16"/>
      <c r="W284" s="16"/>
      <c r="X284" s="54"/>
      <c r="Z284" s="14"/>
      <c r="AA284" s="16"/>
      <c r="AB284" s="16"/>
      <c r="AC284" s="16"/>
      <c r="AD284" s="16"/>
      <c r="AE284" s="66"/>
      <c r="AF284" s="54"/>
      <c r="AN284" s="54"/>
      <c r="AP284" s="16"/>
      <c r="AQ284" s="16"/>
      <c r="AR284" s="16"/>
      <c r="AS284" s="16"/>
      <c r="AU284" s="54"/>
    </row>
    <row r="285">
      <c r="B285" s="16"/>
      <c r="C285" s="16"/>
      <c r="D285" s="16"/>
      <c r="E285" s="16"/>
      <c r="F285" s="16"/>
      <c r="G285" s="16"/>
      <c r="Q285" s="54"/>
      <c r="R285" s="8"/>
      <c r="S285" s="14"/>
      <c r="T285" s="16"/>
      <c r="U285" s="16"/>
      <c r="V285" s="16"/>
      <c r="W285" s="16"/>
      <c r="X285" s="54"/>
      <c r="Z285" s="14"/>
      <c r="AA285" s="16"/>
      <c r="AB285" s="16"/>
      <c r="AC285" s="16"/>
      <c r="AD285" s="16"/>
      <c r="AE285" s="66"/>
      <c r="AF285" s="54"/>
      <c r="AN285" s="54"/>
      <c r="AP285" s="16"/>
      <c r="AQ285" s="16"/>
      <c r="AR285" s="16"/>
      <c r="AS285" s="16"/>
      <c r="AU285" s="54"/>
    </row>
    <row r="286">
      <c r="B286" s="16"/>
      <c r="C286" s="16"/>
      <c r="D286" s="16"/>
      <c r="E286" s="16"/>
      <c r="F286" s="16"/>
      <c r="G286" s="16"/>
      <c r="Q286" s="54"/>
      <c r="R286" s="8"/>
      <c r="S286" s="14"/>
      <c r="T286" s="16"/>
      <c r="U286" s="16"/>
      <c r="V286" s="16"/>
      <c r="W286" s="16"/>
      <c r="X286" s="54"/>
      <c r="Z286" s="14"/>
      <c r="AA286" s="16"/>
      <c r="AB286" s="16"/>
      <c r="AC286" s="16"/>
      <c r="AD286" s="16"/>
      <c r="AE286" s="66"/>
      <c r="AF286" s="54"/>
      <c r="AN286" s="54"/>
      <c r="AP286" s="16"/>
      <c r="AQ286" s="16"/>
      <c r="AR286" s="16"/>
      <c r="AS286" s="16"/>
      <c r="AU286" s="54"/>
    </row>
    <row r="287">
      <c r="B287" s="16"/>
      <c r="C287" s="16"/>
      <c r="D287" s="16"/>
      <c r="E287" s="16"/>
      <c r="F287" s="16"/>
      <c r="G287" s="16"/>
      <c r="Q287" s="54"/>
      <c r="R287" s="8"/>
      <c r="S287" s="14"/>
      <c r="T287" s="16"/>
      <c r="U287" s="16"/>
      <c r="V287" s="16"/>
      <c r="W287" s="16"/>
      <c r="X287" s="54"/>
      <c r="Z287" s="14"/>
      <c r="AA287" s="16"/>
      <c r="AB287" s="16"/>
      <c r="AC287" s="16"/>
      <c r="AD287" s="16"/>
      <c r="AE287" s="66"/>
      <c r="AF287" s="54"/>
      <c r="AN287" s="54"/>
      <c r="AP287" s="16"/>
      <c r="AQ287" s="16"/>
      <c r="AR287" s="16"/>
      <c r="AS287" s="16"/>
      <c r="AU287" s="54"/>
    </row>
    <row r="288">
      <c r="B288" s="16"/>
      <c r="C288" s="16"/>
      <c r="D288" s="16"/>
      <c r="E288" s="16"/>
      <c r="F288" s="16"/>
      <c r="G288" s="16"/>
      <c r="Q288" s="54"/>
      <c r="R288" s="8"/>
      <c r="S288" s="14"/>
      <c r="T288" s="16"/>
      <c r="U288" s="16"/>
      <c r="V288" s="16"/>
      <c r="W288" s="16"/>
      <c r="X288" s="54"/>
      <c r="Z288" s="14"/>
      <c r="AA288" s="16"/>
      <c r="AB288" s="16"/>
      <c r="AC288" s="16"/>
      <c r="AD288" s="16"/>
      <c r="AE288" s="66"/>
      <c r="AF288" s="54"/>
      <c r="AN288" s="54"/>
      <c r="AP288" s="16"/>
      <c r="AQ288" s="16"/>
      <c r="AR288" s="16"/>
      <c r="AS288" s="16"/>
      <c r="AU288" s="54"/>
    </row>
    <row r="289">
      <c r="B289" s="16"/>
      <c r="C289" s="16"/>
      <c r="D289" s="16"/>
      <c r="E289" s="16"/>
      <c r="F289" s="16"/>
      <c r="G289" s="16"/>
      <c r="Q289" s="54"/>
      <c r="R289" s="8"/>
      <c r="S289" s="14"/>
      <c r="T289" s="16"/>
      <c r="U289" s="16"/>
      <c r="V289" s="16"/>
      <c r="W289" s="16"/>
      <c r="X289" s="54"/>
      <c r="Z289" s="14"/>
      <c r="AA289" s="16"/>
      <c r="AB289" s="16"/>
      <c r="AC289" s="16"/>
      <c r="AD289" s="16"/>
      <c r="AE289" s="66"/>
      <c r="AF289" s="54"/>
      <c r="AN289" s="54"/>
      <c r="AP289" s="16"/>
      <c r="AQ289" s="16"/>
      <c r="AR289" s="16"/>
      <c r="AS289" s="16"/>
      <c r="AU289" s="54"/>
    </row>
    <row r="290">
      <c r="B290" s="16"/>
      <c r="C290" s="16"/>
      <c r="D290" s="16"/>
      <c r="E290" s="16"/>
      <c r="F290" s="16"/>
      <c r="G290" s="16"/>
      <c r="Q290" s="54"/>
      <c r="R290" s="8"/>
      <c r="S290" s="14"/>
      <c r="T290" s="16"/>
      <c r="U290" s="16"/>
      <c r="V290" s="16"/>
      <c r="W290" s="16"/>
      <c r="X290" s="54"/>
      <c r="Z290" s="14"/>
      <c r="AA290" s="16"/>
      <c r="AB290" s="16"/>
      <c r="AC290" s="16"/>
      <c r="AD290" s="16"/>
      <c r="AE290" s="66"/>
      <c r="AF290" s="54"/>
      <c r="AN290" s="54"/>
      <c r="AP290" s="16"/>
      <c r="AQ290" s="16"/>
      <c r="AR290" s="16"/>
      <c r="AS290" s="16"/>
      <c r="AU290" s="54"/>
    </row>
    <row r="291">
      <c r="B291" s="16"/>
      <c r="C291" s="16"/>
      <c r="D291" s="16"/>
      <c r="E291" s="16"/>
      <c r="F291" s="16"/>
      <c r="G291" s="16"/>
      <c r="Q291" s="54"/>
      <c r="R291" s="8"/>
      <c r="S291" s="14"/>
      <c r="T291" s="16"/>
      <c r="U291" s="16"/>
      <c r="V291" s="16"/>
      <c r="W291" s="16"/>
      <c r="X291" s="54"/>
      <c r="Z291" s="14"/>
      <c r="AA291" s="16"/>
      <c r="AB291" s="16"/>
      <c r="AC291" s="16"/>
      <c r="AD291" s="16"/>
      <c r="AE291" s="66"/>
      <c r="AF291" s="54"/>
      <c r="AN291" s="54"/>
      <c r="AP291" s="16"/>
      <c r="AQ291" s="16"/>
      <c r="AR291" s="16"/>
      <c r="AS291" s="16"/>
      <c r="AU291" s="54"/>
    </row>
    <row r="292">
      <c r="B292" s="16"/>
      <c r="C292" s="16"/>
      <c r="D292" s="16"/>
      <c r="E292" s="16"/>
      <c r="F292" s="16"/>
      <c r="G292" s="16"/>
      <c r="Q292" s="54"/>
      <c r="R292" s="8"/>
      <c r="S292" s="14"/>
      <c r="T292" s="16"/>
      <c r="U292" s="16"/>
      <c r="V292" s="16"/>
      <c r="W292" s="16"/>
      <c r="X292" s="54"/>
      <c r="Z292" s="14"/>
      <c r="AA292" s="16"/>
      <c r="AB292" s="16"/>
      <c r="AC292" s="16"/>
      <c r="AD292" s="16"/>
      <c r="AE292" s="66"/>
      <c r="AF292" s="54"/>
      <c r="AN292" s="54"/>
      <c r="AP292" s="16"/>
      <c r="AQ292" s="16"/>
      <c r="AR292" s="16"/>
      <c r="AS292" s="16"/>
      <c r="AU292" s="54"/>
    </row>
    <row r="293">
      <c r="B293" s="16"/>
      <c r="C293" s="16"/>
      <c r="D293" s="16"/>
      <c r="E293" s="16"/>
      <c r="F293" s="16"/>
      <c r="G293" s="16"/>
      <c r="Q293" s="54"/>
      <c r="R293" s="8"/>
      <c r="S293" s="14"/>
      <c r="T293" s="16"/>
      <c r="U293" s="16"/>
      <c r="V293" s="16"/>
      <c r="W293" s="16"/>
      <c r="X293" s="54"/>
      <c r="Z293" s="14"/>
      <c r="AA293" s="16"/>
      <c r="AB293" s="16"/>
      <c r="AC293" s="16"/>
      <c r="AD293" s="16"/>
      <c r="AE293" s="66"/>
      <c r="AF293" s="54"/>
      <c r="AN293" s="54"/>
      <c r="AP293" s="16"/>
      <c r="AQ293" s="16"/>
      <c r="AR293" s="16"/>
      <c r="AS293" s="16"/>
      <c r="AU293" s="54"/>
    </row>
    <row r="294">
      <c r="B294" s="16"/>
      <c r="C294" s="16"/>
      <c r="D294" s="16"/>
      <c r="E294" s="16"/>
      <c r="F294" s="16"/>
      <c r="G294" s="16"/>
      <c r="Q294" s="54"/>
      <c r="R294" s="8"/>
      <c r="S294" s="14"/>
      <c r="T294" s="16"/>
      <c r="U294" s="16"/>
      <c r="V294" s="16"/>
      <c r="W294" s="16"/>
      <c r="X294" s="54"/>
      <c r="Z294" s="14"/>
      <c r="AA294" s="16"/>
      <c r="AB294" s="16"/>
      <c r="AC294" s="16"/>
      <c r="AD294" s="16"/>
      <c r="AE294" s="66"/>
      <c r="AF294" s="54"/>
      <c r="AN294" s="54"/>
      <c r="AP294" s="16"/>
      <c r="AQ294" s="16"/>
      <c r="AR294" s="16"/>
      <c r="AS294" s="16"/>
      <c r="AU294" s="54"/>
    </row>
    <row r="295">
      <c r="B295" s="16"/>
      <c r="C295" s="16"/>
      <c r="D295" s="16"/>
      <c r="E295" s="16"/>
      <c r="F295" s="16"/>
      <c r="G295" s="16"/>
      <c r="Q295" s="54"/>
      <c r="R295" s="8"/>
      <c r="S295" s="14"/>
      <c r="T295" s="16"/>
      <c r="U295" s="16"/>
      <c r="V295" s="16"/>
      <c r="W295" s="16"/>
      <c r="X295" s="54"/>
      <c r="Z295" s="14"/>
      <c r="AA295" s="16"/>
      <c r="AB295" s="16"/>
      <c r="AC295" s="16"/>
      <c r="AD295" s="16"/>
      <c r="AE295" s="66"/>
      <c r="AF295" s="54"/>
      <c r="AN295" s="54"/>
      <c r="AP295" s="16"/>
      <c r="AQ295" s="16"/>
      <c r="AR295" s="16"/>
      <c r="AS295" s="16"/>
      <c r="AU295" s="54"/>
    </row>
    <row r="296">
      <c r="B296" s="16"/>
      <c r="C296" s="16"/>
      <c r="D296" s="16"/>
      <c r="E296" s="16"/>
      <c r="F296" s="16"/>
      <c r="G296" s="16"/>
      <c r="Q296" s="54"/>
      <c r="R296" s="8"/>
      <c r="S296" s="14"/>
      <c r="T296" s="16"/>
      <c r="U296" s="16"/>
      <c r="V296" s="16"/>
      <c r="W296" s="16"/>
      <c r="X296" s="54"/>
      <c r="Z296" s="14"/>
      <c r="AA296" s="16"/>
      <c r="AB296" s="16"/>
      <c r="AC296" s="16"/>
      <c r="AD296" s="16"/>
      <c r="AE296" s="66"/>
      <c r="AF296" s="54"/>
      <c r="AN296" s="54"/>
      <c r="AP296" s="16"/>
      <c r="AQ296" s="16"/>
      <c r="AR296" s="16"/>
      <c r="AS296" s="16"/>
      <c r="AU296" s="54"/>
    </row>
    <row r="297">
      <c r="B297" s="16"/>
      <c r="C297" s="16"/>
      <c r="D297" s="16"/>
      <c r="E297" s="16"/>
      <c r="F297" s="16"/>
      <c r="G297" s="16"/>
      <c r="Q297" s="54"/>
      <c r="R297" s="8"/>
      <c r="S297" s="14"/>
      <c r="T297" s="16"/>
      <c r="U297" s="16"/>
      <c r="V297" s="16"/>
      <c r="W297" s="16"/>
      <c r="X297" s="54"/>
      <c r="Z297" s="14"/>
      <c r="AA297" s="16"/>
      <c r="AB297" s="16"/>
      <c r="AC297" s="16"/>
      <c r="AD297" s="16"/>
      <c r="AE297" s="66"/>
      <c r="AF297" s="54"/>
      <c r="AN297" s="54"/>
      <c r="AP297" s="16"/>
      <c r="AQ297" s="16"/>
      <c r="AR297" s="16"/>
      <c r="AS297" s="16"/>
      <c r="AU297" s="54"/>
    </row>
    <row r="298">
      <c r="B298" s="16"/>
      <c r="C298" s="16"/>
      <c r="D298" s="16"/>
      <c r="E298" s="16"/>
      <c r="F298" s="16"/>
      <c r="G298" s="16"/>
      <c r="Q298" s="54"/>
      <c r="R298" s="8"/>
      <c r="S298" s="14"/>
      <c r="T298" s="16"/>
      <c r="U298" s="16"/>
      <c r="V298" s="16"/>
      <c r="W298" s="16"/>
      <c r="X298" s="54"/>
      <c r="Z298" s="14"/>
      <c r="AA298" s="16"/>
      <c r="AB298" s="16"/>
      <c r="AC298" s="16"/>
      <c r="AD298" s="16"/>
      <c r="AE298" s="66"/>
      <c r="AF298" s="54"/>
      <c r="AN298" s="54"/>
      <c r="AP298" s="16"/>
      <c r="AQ298" s="16"/>
      <c r="AR298" s="16"/>
      <c r="AS298" s="16"/>
      <c r="AU298" s="54"/>
    </row>
    <row r="299">
      <c r="B299" s="16"/>
      <c r="C299" s="16"/>
      <c r="D299" s="16"/>
      <c r="E299" s="16"/>
      <c r="F299" s="16"/>
      <c r="G299" s="16"/>
      <c r="Q299" s="54"/>
      <c r="R299" s="8"/>
      <c r="S299" s="14"/>
      <c r="T299" s="16"/>
      <c r="U299" s="16"/>
      <c r="V299" s="16"/>
      <c r="W299" s="16"/>
      <c r="X299" s="54"/>
      <c r="Z299" s="14"/>
      <c r="AA299" s="16"/>
      <c r="AB299" s="16"/>
      <c r="AC299" s="16"/>
      <c r="AD299" s="16"/>
      <c r="AE299" s="66"/>
      <c r="AF299" s="54"/>
      <c r="AN299" s="54"/>
      <c r="AP299" s="16"/>
      <c r="AQ299" s="16"/>
      <c r="AR299" s="16"/>
      <c r="AS299" s="16"/>
      <c r="AU299" s="54"/>
    </row>
    <row r="300">
      <c r="B300" s="16"/>
      <c r="C300" s="16"/>
      <c r="D300" s="16"/>
      <c r="E300" s="16"/>
      <c r="F300" s="16"/>
      <c r="G300" s="16"/>
      <c r="Q300" s="54"/>
      <c r="R300" s="8"/>
      <c r="S300" s="14"/>
      <c r="T300" s="16"/>
      <c r="U300" s="16"/>
      <c r="V300" s="16"/>
      <c r="W300" s="16"/>
      <c r="X300" s="54"/>
      <c r="Z300" s="14"/>
      <c r="AA300" s="16"/>
      <c r="AB300" s="16"/>
      <c r="AC300" s="16"/>
      <c r="AD300" s="16"/>
      <c r="AE300" s="66"/>
      <c r="AF300" s="54"/>
      <c r="AN300" s="54"/>
      <c r="AP300" s="16"/>
      <c r="AQ300" s="16"/>
      <c r="AR300" s="16"/>
      <c r="AS300" s="16"/>
      <c r="AU300" s="54"/>
    </row>
    <row r="301">
      <c r="B301" s="16"/>
      <c r="C301" s="16"/>
      <c r="D301" s="16"/>
      <c r="E301" s="16"/>
      <c r="F301" s="16"/>
      <c r="G301" s="16"/>
      <c r="Q301" s="54"/>
      <c r="R301" s="8"/>
      <c r="S301" s="14"/>
      <c r="T301" s="16"/>
      <c r="U301" s="16"/>
      <c r="V301" s="16"/>
      <c r="W301" s="16"/>
      <c r="X301" s="54"/>
      <c r="Z301" s="14"/>
      <c r="AA301" s="16"/>
      <c r="AB301" s="16"/>
      <c r="AC301" s="16"/>
      <c r="AD301" s="16"/>
      <c r="AE301" s="66"/>
      <c r="AF301" s="54"/>
      <c r="AN301" s="54"/>
      <c r="AP301" s="16"/>
      <c r="AQ301" s="16"/>
      <c r="AR301" s="16"/>
      <c r="AS301" s="16"/>
      <c r="AU301" s="54"/>
    </row>
    <row r="302">
      <c r="B302" s="16"/>
      <c r="C302" s="16"/>
      <c r="D302" s="16"/>
      <c r="E302" s="16"/>
      <c r="F302" s="16"/>
      <c r="G302" s="16"/>
      <c r="Q302" s="54"/>
      <c r="R302" s="8"/>
      <c r="S302" s="14"/>
      <c r="T302" s="16"/>
      <c r="U302" s="16"/>
      <c r="V302" s="16"/>
      <c r="W302" s="16"/>
      <c r="X302" s="54"/>
      <c r="Z302" s="14"/>
      <c r="AA302" s="16"/>
      <c r="AB302" s="16"/>
      <c r="AC302" s="16"/>
      <c r="AD302" s="16"/>
      <c r="AE302" s="66"/>
      <c r="AF302" s="54"/>
      <c r="AN302" s="54"/>
      <c r="AP302" s="16"/>
      <c r="AQ302" s="16"/>
      <c r="AR302" s="16"/>
      <c r="AS302" s="16"/>
      <c r="AU302" s="54"/>
    </row>
    <row r="303">
      <c r="B303" s="16"/>
      <c r="C303" s="16"/>
      <c r="D303" s="16"/>
      <c r="E303" s="16"/>
      <c r="F303" s="16"/>
      <c r="G303" s="16"/>
      <c r="Q303" s="54"/>
      <c r="R303" s="8"/>
      <c r="S303" s="14"/>
      <c r="T303" s="16"/>
      <c r="U303" s="16"/>
      <c r="V303" s="16"/>
      <c r="W303" s="16"/>
      <c r="X303" s="54"/>
      <c r="Z303" s="14"/>
      <c r="AA303" s="16"/>
      <c r="AB303" s="16"/>
      <c r="AC303" s="16"/>
      <c r="AD303" s="16"/>
      <c r="AE303" s="66"/>
      <c r="AF303" s="54"/>
      <c r="AN303" s="54"/>
      <c r="AP303" s="16"/>
      <c r="AQ303" s="16"/>
      <c r="AR303" s="16"/>
      <c r="AS303" s="16"/>
      <c r="AU303" s="54"/>
    </row>
    <row r="304">
      <c r="B304" s="16"/>
      <c r="C304" s="16"/>
      <c r="D304" s="16"/>
      <c r="E304" s="16"/>
      <c r="F304" s="16"/>
      <c r="G304" s="16"/>
      <c r="Q304" s="54"/>
      <c r="R304" s="8"/>
      <c r="S304" s="14"/>
      <c r="T304" s="16"/>
      <c r="U304" s="16"/>
      <c r="V304" s="16"/>
      <c r="W304" s="16"/>
      <c r="X304" s="54"/>
      <c r="Z304" s="14"/>
      <c r="AA304" s="16"/>
      <c r="AB304" s="16"/>
      <c r="AC304" s="16"/>
      <c r="AD304" s="16"/>
      <c r="AE304" s="66"/>
      <c r="AF304" s="54"/>
      <c r="AN304" s="54"/>
      <c r="AP304" s="16"/>
      <c r="AQ304" s="16"/>
      <c r="AR304" s="16"/>
      <c r="AS304" s="16"/>
      <c r="AU304" s="54"/>
    </row>
    <row r="305">
      <c r="B305" s="16"/>
      <c r="C305" s="16"/>
      <c r="D305" s="16"/>
      <c r="E305" s="16"/>
      <c r="F305" s="16"/>
      <c r="G305" s="16"/>
      <c r="Q305" s="54"/>
      <c r="R305" s="8"/>
      <c r="S305" s="14"/>
      <c r="T305" s="16"/>
      <c r="U305" s="16"/>
      <c r="V305" s="16"/>
      <c r="W305" s="16"/>
      <c r="X305" s="54"/>
      <c r="Z305" s="14"/>
      <c r="AA305" s="16"/>
      <c r="AB305" s="16"/>
      <c r="AC305" s="16"/>
      <c r="AD305" s="16"/>
      <c r="AE305" s="66"/>
      <c r="AF305" s="54"/>
      <c r="AN305" s="54"/>
      <c r="AP305" s="16"/>
      <c r="AQ305" s="16"/>
      <c r="AR305" s="16"/>
      <c r="AS305" s="16"/>
      <c r="AU305" s="54"/>
    </row>
    <row r="306">
      <c r="B306" s="16"/>
      <c r="C306" s="16"/>
      <c r="D306" s="16"/>
      <c r="E306" s="16"/>
      <c r="F306" s="16"/>
      <c r="G306" s="16"/>
      <c r="Q306" s="54"/>
      <c r="R306" s="8"/>
      <c r="S306" s="14"/>
      <c r="T306" s="16"/>
      <c r="U306" s="16"/>
      <c r="V306" s="16"/>
      <c r="W306" s="16"/>
      <c r="X306" s="54"/>
      <c r="Z306" s="14"/>
      <c r="AA306" s="16"/>
      <c r="AB306" s="16"/>
      <c r="AC306" s="16"/>
      <c r="AD306" s="16"/>
      <c r="AE306" s="66"/>
      <c r="AF306" s="54"/>
      <c r="AN306" s="54"/>
      <c r="AP306" s="16"/>
      <c r="AQ306" s="16"/>
      <c r="AR306" s="16"/>
      <c r="AS306" s="16"/>
      <c r="AU306" s="54"/>
    </row>
    <row r="307">
      <c r="B307" s="16"/>
      <c r="C307" s="16"/>
      <c r="D307" s="16"/>
      <c r="E307" s="16"/>
      <c r="F307" s="16"/>
      <c r="G307" s="16"/>
      <c r="Q307" s="54"/>
      <c r="R307" s="8"/>
      <c r="S307" s="14"/>
      <c r="T307" s="16"/>
      <c r="U307" s="16"/>
      <c r="V307" s="16"/>
      <c r="W307" s="16"/>
      <c r="X307" s="54"/>
      <c r="Z307" s="14"/>
      <c r="AA307" s="16"/>
      <c r="AB307" s="16"/>
      <c r="AC307" s="16"/>
      <c r="AD307" s="16"/>
      <c r="AE307" s="66"/>
      <c r="AF307" s="54"/>
      <c r="AN307" s="54"/>
      <c r="AP307" s="16"/>
      <c r="AQ307" s="16"/>
      <c r="AR307" s="16"/>
      <c r="AS307" s="16"/>
      <c r="AU307" s="54"/>
    </row>
    <row r="308">
      <c r="B308" s="16"/>
      <c r="C308" s="16"/>
      <c r="D308" s="16"/>
      <c r="E308" s="16"/>
      <c r="F308" s="16"/>
      <c r="G308" s="16"/>
      <c r="Q308" s="54"/>
      <c r="R308" s="8"/>
      <c r="S308" s="14"/>
      <c r="T308" s="16"/>
      <c r="U308" s="16"/>
      <c r="V308" s="16"/>
      <c r="W308" s="16"/>
      <c r="X308" s="54"/>
      <c r="Z308" s="14"/>
      <c r="AA308" s="16"/>
      <c r="AB308" s="16"/>
      <c r="AC308" s="16"/>
      <c r="AD308" s="16"/>
      <c r="AE308" s="66"/>
      <c r="AF308" s="54"/>
      <c r="AN308" s="54"/>
      <c r="AP308" s="16"/>
      <c r="AQ308" s="16"/>
      <c r="AR308" s="16"/>
      <c r="AS308" s="16"/>
      <c r="AU308" s="54"/>
    </row>
    <row r="309">
      <c r="B309" s="16"/>
      <c r="C309" s="16"/>
      <c r="D309" s="16"/>
      <c r="E309" s="16"/>
      <c r="F309" s="16"/>
      <c r="G309" s="16"/>
      <c r="Q309" s="54"/>
      <c r="R309" s="8"/>
      <c r="S309" s="14"/>
      <c r="T309" s="16"/>
      <c r="U309" s="16"/>
      <c r="V309" s="16"/>
      <c r="W309" s="16"/>
      <c r="X309" s="54"/>
      <c r="Z309" s="14"/>
      <c r="AA309" s="16"/>
      <c r="AB309" s="16"/>
      <c r="AC309" s="16"/>
      <c r="AD309" s="16"/>
      <c r="AE309" s="66"/>
      <c r="AF309" s="54"/>
      <c r="AN309" s="54"/>
      <c r="AP309" s="16"/>
      <c r="AQ309" s="16"/>
      <c r="AR309" s="16"/>
      <c r="AS309" s="16"/>
      <c r="AU309" s="54"/>
    </row>
    <row r="310">
      <c r="B310" s="16"/>
      <c r="C310" s="16"/>
      <c r="D310" s="16"/>
      <c r="E310" s="16"/>
      <c r="F310" s="16"/>
      <c r="G310" s="16"/>
      <c r="Q310" s="54"/>
      <c r="R310" s="8"/>
      <c r="S310" s="14"/>
      <c r="T310" s="16"/>
      <c r="U310" s="16"/>
      <c r="V310" s="16"/>
      <c r="W310" s="16"/>
      <c r="X310" s="54"/>
      <c r="Z310" s="14"/>
      <c r="AA310" s="16"/>
      <c r="AB310" s="16"/>
      <c r="AC310" s="16"/>
      <c r="AD310" s="16"/>
      <c r="AE310" s="66"/>
      <c r="AF310" s="54"/>
      <c r="AN310" s="54"/>
      <c r="AP310" s="16"/>
      <c r="AQ310" s="16"/>
      <c r="AR310" s="16"/>
      <c r="AS310" s="16"/>
      <c r="AU310" s="54"/>
    </row>
    <row r="311">
      <c r="B311" s="16"/>
      <c r="C311" s="16"/>
      <c r="D311" s="16"/>
      <c r="E311" s="16"/>
      <c r="F311" s="16"/>
      <c r="G311" s="16"/>
      <c r="Q311" s="54"/>
      <c r="R311" s="8"/>
      <c r="S311" s="14"/>
      <c r="T311" s="16"/>
      <c r="U311" s="16"/>
      <c r="V311" s="16"/>
      <c r="W311" s="16"/>
      <c r="X311" s="54"/>
      <c r="Z311" s="14"/>
      <c r="AA311" s="16"/>
      <c r="AB311" s="16"/>
      <c r="AC311" s="16"/>
      <c r="AD311" s="16"/>
      <c r="AE311" s="66"/>
      <c r="AF311" s="54"/>
      <c r="AN311" s="54"/>
      <c r="AP311" s="16"/>
      <c r="AQ311" s="16"/>
      <c r="AR311" s="16"/>
      <c r="AS311" s="16"/>
      <c r="AU311" s="54"/>
    </row>
    <row r="312">
      <c r="B312" s="16"/>
      <c r="C312" s="16"/>
      <c r="D312" s="16"/>
      <c r="E312" s="16"/>
      <c r="F312" s="16"/>
      <c r="G312" s="16"/>
      <c r="Q312" s="54"/>
      <c r="R312" s="8"/>
      <c r="S312" s="14"/>
      <c r="T312" s="16"/>
      <c r="U312" s="16"/>
      <c r="V312" s="16"/>
      <c r="W312" s="16"/>
      <c r="X312" s="54"/>
      <c r="Z312" s="14"/>
      <c r="AA312" s="16"/>
      <c r="AB312" s="16"/>
      <c r="AC312" s="16"/>
      <c r="AD312" s="16"/>
      <c r="AE312" s="66"/>
      <c r="AF312" s="54"/>
      <c r="AN312" s="54"/>
      <c r="AP312" s="16"/>
      <c r="AQ312" s="16"/>
      <c r="AR312" s="16"/>
      <c r="AS312" s="16"/>
      <c r="AU312" s="54"/>
    </row>
    <row r="313">
      <c r="B313" s="16"/>
      <c r="C313" s="16"/>
      <c r="D313" s="16"/>
      <c r="E313" s="16"/>
      <c r="F313" s="16"/>
      <c r="G313" s="16"/>
      <c r="Q313" s="54"/>
      <c r="R313" s="8"/>
      <c r="S313" s="14"/>
      <c r="T313" s="16"/>
      <c r="U313" s="16"/>
      <c r="V313" s="16"/>
      <c r="W313" s="16"/>
      <c r="X313" s="54"/>
      <c r="Z313" s="14"/>
      <c r="AA313" s="16"/>
      <c r="AB313" s="16"/>
      <c r="AC313" s="16"/>
      <c r="AD313" s="16"/>
      <c r="AE313" s="66"/>
      <c r="AF313" s="54"/>
      <c r="AN313" s="54"/>
      <c r="AP313" s="16"/>
      <c r="AQ313" s="16"/>
      <c r="AR313" s="16"/>
      <c r="AS313" s="16"/>
      <c r="AU313" s="54"/>
    </row>
    <row r="314">
      <c r="B314" s="16"/>
      <c r="C314" s="16"/>
      <c r="D314" s="16"/>
      <c r="E314" s="16"/>
      <c r="F314" s="16"/>
      <c r="G314" s="16"/>
      <c r="Q314" s="54"/>
      <c r="R314" s="8"/>
      <c r="S314" s="14"/>
      <c r="T314" s="16"/>
      <c r="U314" s="16"/>
      <c r="V314" s="16"/>
      <c r="W314" s="16"/>
      <c r="X314" s="54"/>
      <c r="Z314" s="14"/>
      <c r="AA314" s="16"/>
      <c r="AB314" s="16"/>
      <c r="AC314" s="16"/>
      <c r="AD314" s="16"/>
      <c r="AE314" s="66"/>
      <c r="AF314" s="54"/>
      <c r="AN314" s="54"/>
      <c r="AP314" s="16"/>
      <c r="AQ314" s="16"/>
      <c r="AR314" s="16"/>
      <c r="AS314" s="16"/>
      <c r="AU314" s="54"/>
    </row>
    <row r="315">
      <c r="B315" s="16"/>
      <c r="C315" s="16"/>
      <c r="D315" s="16"/>
      <c r="E315" s="16"/>
      <c r="F315" s="16"/>
      <c r="G315" s="16"/>
      <c r="Q315" s="54"/>
      <c r="R315" s="8"/>
      <c r="S315" s="14"/>
      <c r="T315" s="16"/>
      <c r="U315" s="16"/>
      <c r="V315" s="16"/>
      <c r="W315" s="16"/>
      <c r="X315" s="54"/>
      <c r="Z315" s="14"/>
      <c r="AA315" s="16"/>
      <c r="AB315" s="16"/>
      <c r="AC315" s="16"/>
      <c r="AD315" s="16"/>
      <c r="AE315" s="66"/>
      <c r="AF315" s="54"/>
      <c r="AN315" s="54"/>
      <c r="AP315" s="16"/>
      <c r="AQ315" s="16"/>
      <c r="AR315" s="16"/>
      <c r="AS315" s="16"/>
      <c r="AU315" s="54"/>
    </row>
    <row r="316">
      <c r="B316" s="16"/>
      <c r="C316" s="16"/>
      <c r="D316" s="16"/>
      <c r="E316" s="16"/>
      <c r="F316" s="16"/>
      <c r="G316" s="16"/>
      <c r="Q316" s="54"/>
      <c r="R316" s="8"/>
      <c r="S316" s="14"/>
      <c r="T316" s="16"/>
      <c r="U316" s="16"/>
      <c r="V316" s="16"/>
      <c r="W316" s="16"/>
      <c r="X316" s="54"/>
      <c r="Z316" s="14"/>
      <c r="AA316" s="16"/>
      <c r="AB316" s="16"/>
      <c r="AC316" s="16"/>
      <c r="AD316" s="16"/>
      <c r="AE316" s="66"/>
      <c r="AF316" s="54"/>
      <c r="AN316" s="54"/>
      <c r="AP316" s="16"/>
      <c r="AQ316" s="16"/>
      <c r="AR316" s="16"/>
      <c r="AS316" s="16"/>
      <c r="AU316" s="54"/>
    </row>
    <row r="317">
      <c r="B317" s="16"/>
      <c r="C317" s="16"/>
      <c r="D317" s="16"/>
      <c r="E317" s="16"/>
      <c r="F317" s="16"/>
      <c r="G317" s="16"/>
      <c r="Q317" s="54"/>
      <c r="R317" s="8"/>
      <c r="S317" s="14"/>
      <c r="T317" s="16"/>
      <c r="U317" s="16"/>
      <c r="V317" s="16"/>
      <c r="W317" s="16"/>
      <c r="X317" s="54"/>
      <c r="Z317" s="14"/>
      <c r="AA317" s="16"/>
      <c r="AB317" s="16"/>
      <c r="AC317" s="16"/>
      <c r="AD317" s="16"/>
      <c r="AE317" s="66"/>
      <c r="AF317" s="54"/>
      <c r="AN317" s="54"/>
      <c r="AP317" s="16"/>
      <c r="AQ317" s="16"/>
      <c r="AR317" s="16"/>
      <c r="AS317" s="16"/>
      <c r="AU317" s="54"/>
    </row>
    <row r="318">
      <c r="B318" s="16"/>
      <c r="C318" s="16"/>
      <c r="D318" s="16"/>
      <c r="E318" s="16"/>
      <c r="F318" s="16"/>
      <c r="G318" s="16"/>
      <c r="Q318" s="54"/>
      <c r="R318" s="8"/>
      <c r="S318" s="14"/>
      <c r="T318" s="16"/>
      <c r="U318" s="16"/>
      <c r="V318" s="16"/>
      <c r="W318" s="16"/>
      <c r="X318" s="54"/>
      <c r="Z318" s="14"/>
      <c r="AA318" s="16"/>
      <c r="AB318" s="16"/>
      <c r="AC318" s="16"/>
      <c r="AD318" s="16"/>
      <c r="AE318" s="66"/>
      <c r="AF318" s="54"/>
      <c r="AN318" s="54"/>
      <c r="AP318" s="16"/>
      <c r="AQ318" s="16"/>
      <c r="AR318" s="16"/>
      <c r="AS318" s="16"/>
      <c r="AU318" s="54"/>
    </row>
    <row r="319">
      <c r="B319" s="16"/>
      <c r="C319" s="16"/>
      <c r="D319" s="16"/>
      <c r="E319" s="16"/>
      <c r="F319" s="16"/>
      <c r="G319" s="16"/>
      <c r="Q319" s="54"/>
      <c r="R319" s="8"/>
      <c r="S319" s="14"/>
      <c r="T319" s="16"/>
      <c r="U319" s="16"/>
      <c r="V319" s="16"/>
      <c r="W319" s="16"/>
      <c r="X319" s="54"/>
      <c r="Z319" s="14"/>
      <c r="AA319" s="16"/>
      <c r="AB319" s="16"/>
      <c r="AC319" s="16"/>
      <c r="AD319" s="16"/>
      <c r="AE319" s="66"/>
      <c r="AF319" s="54"/>
      <c r="AN319" s="54"/>
      <c r="AP319" s="16"/>
      <c r="AQ319" s="16"/>
      <c r="AR319" s="16"/>
      <c r="AS319" s="16"/>
      <c r="AU319" s="54"/>
    </row>
    <row r="320">
      <c r="B320" s="16"/>
      <c r="C320" s="16"/>
      <c r="D320" s="16"/>
      <c r="E320" s="16"/>
      <c r="F320" s="16"/>
      <c r="G320" s="16"/>
      <c r="Q320" s="54"/>
      <c r="R320" s="8"/>
      <c r="S320" s="14"/>
      <c r="T320" s="16"/>
      <c r="U320" s="16"/>
      <c r="V320" s="16"/>
      <c r="W320" s="16"/>
      <c r="X320" s="54"/>
      <c r="Z320" s="14"/>
      <c r="AA320" s="16"/>
      <c r="AB320" s="16"/>
      <c r="AC320" s="16"/>
      <c r="AD320" s="16"/>
      <c r="AE320" s="66"/>
      <c r="AF320" s="54"/>
      <c r="AN320" s="54"/>
      <c r="AP320" s="16"/>
      <c r="AQ320" s="16"/>
      <c r="AR320" s="16"/>
      <c r="AS320" s="16"/>
      <c r="AU320" s="54"/>
    </row>
    <row r="321">
      <c r="B321" s="16"/>
      <c r="C321" s="16"/>
      <c r="D321" s="16"/>
      <c r="E321" s="16"/>
      <c r="F321" s="16"/>
      <c r="G321" s="16"/>
      <c r="Q321" s="54"/>
      <c r="R321" s="8"/>
      <c r="S321" s="14"/>
      <c r="T321" s="16"/>
      <c r="U321" s="16"/>
      <c r="V321" s="16"/>
      <c r="W321" s="16"/>
      <c r="X321" s="54"/>
      <c r="Z321" s="14"/>
      <c r="AA321" s="16"/>
      <c r="AB321" s="16"/>
      <c r="AC321" s="16"/>
      <c r="AD321" s="16"/>
      <c r="AE321" s="66"/>
      <c r="AF321" s="54"/>
      <c r="AN321" s="54"/>
      <c r="AP321" s="16"/>
      <c r="AQ321" s="16"/>
      <c r="AR321" s="16"/>
      <c r="AS321" s="16"/>
      <c r="AU321" s="54"/>
    </row>
    <row r="322">
      <c r="B322" s="16"/>
      <c r="C322" s="16"/>
      <c r="D322" s="16"/>
      <c r="E322" s="16"/>
      <c r="F322" s="16"/>
      <c r="G322" s="16"/>
      <c r="Q322" s="54"/>
      <c r="R322" s="8"/>
      <c r="S322" s="14"/>
      <c r="T322" s="16"/>
      <c r="U322" s="16"/>
      <c r="V322" s="16"/>
      <c r="W322" s="16"/>
      <c r="X322" s="54"/>
      <c r="Z322" s="14"/>
      <c r="AA322" s="16"/>
      <c r="AB322" s="16"/>
      <c r="AC322" s="16"/>
      <c r="AD322" s="16"/>
      <c r="AE322" s="66"/>
      <c r="AF322" s="54"/>
      <c r="AN322" s="54"/>
      <c r="AP322" s="16"/>
      <c r="AQ322" s="16"/>
      <c r="AR322" s="16"/>
      <c r="AS322" s="16"/>
      <c r="AU322" s="54"/>
    </row>
    <row r="323">
      <c r="B323" s="16"/>
      <c r="C323" s="16"/>
      <c r="D323" s="16"/>
      <c r="E323" s="16"/>
      <c r="F323" s="16"/>
      <c r="G323" s="16"/>
      <c r="Q323" s="54"/>
      <c r="R323" s="8"/>
      <c r="S323" s="14"/>
      <c r="T323" s="16"/>
      <c r="U323" s="16"/>
      <c r="V323" s="16"/>
      <c r="W323" s="16"/>
      <c r="X323" s="54"/>
      <c r="Z323" s="14"/>
      <c r="AA323" s="16"/>
      <c r="AB323" s="16"/>
      <c r="AC323" s="16"/>
      <c r="AD323" s="16"/>
      <c r="AE323" s="66"/>
      <c r="AF323" s="54"/>
      <c r="AN323" s="54"/>
      <c r="AP323" s="16"/>
      <c r="AQ323" s="16"/>
      <c r="AR323" s="16"/>
      <c r="AS323" s="16"/>
      <c r="AU323" s="54"/>
    </row>
    <row r="324">
      <c r="B324" s="16"/>
      <c r="C324" s="16"/>
      <c r="D324" s="16"/>
      <c r="E324" s="16"/>
      <c r="F324" s="16"/>
      <c r="G324" s="16"/>
      <c r="Q324" s="54"/>
      <c r="R324" s="8"/>
      <c r="S324" s="14"/>
      <c r="T324" s="16"/>
      <c r="U324" s="16"/>
      <c r="V324" s="16"/>
      <c r="W324" s="16"/>
      <c r="X324" s="54"/>
      <c r="Z324" s="14"/>
      <c r="AA324" s="16"/>
      <c r="AB324" s="16"/>
      <c r="AC324" s="16"/>
      <c r="AD324" s="16"/>
      <c r="AE324" s="66"/>
      <c r="AF324" s="54"/>
      <c r="AN324" s="54"/>
      <c r="AP324" s="16"/>
      <c r="AQ324" s="16"/>
      <c r="AR324" s="16"/>
      <c r="AS324" s="16"/>
      <c r="AU324" s="54"/>
    </row>
    <row r="325">
      <c r="B325" s="16"/>
      <c r="C325" s="16"/>
      <c r="D325" s="16"/>
      <c r="E325" s="16"/>
      <c r="F325" s="16"/>
      <c r="G325" s="16"/>
      <c r="Q325" s="54"/>
      <c r="R325" s="8"/>
      <c r="S325" s="14"/>
      <c r="T325" s="16"/>
      <c r="U325" s="16"/>
      <c r="V325" s="16"/>
      <c r="W325" s="16"/>
      <c r="X325" s="54"/>
      <c r="Z325" s="14"/>
      <c r="AA325" s="16"/>
      <c r="AB325" s="16"/>
      <c r="AC325" s="16"/>
      <c r="AD325" s="16"/>
      <c r="AE325" s="66"/>
      <c r="AF325" s="54"/>
      <c r="AN325" s="54"/>
      <c r="AP325" s="16"/>
      <c r="AQ325" s="16"/>
      <c r="AR325" s="16"/>
      <c r="AS325" s="16"/>
      <c r="AU325" s="54"/>
    </row>
    <row r="326">
      <c r="B326" s="16"/>
      <c r="C326" s="16"/>
      <c r="D326" s="16"/>
      <c r="E326" s="16"/>
      <c r="F326" s="16"/>
      <c r="G326" s="16"/>
      <c r="Q326" s="54"/>
      <c r="R326" s="8"/>
      <c r="S326" s="14"/>
      <c r="T326" s="16"/>
      <c r="U326" s="16"/>
      <c r="V326" s="16"/>
      <c r="W326" s="16"/>
      <c r="X326" s="54"/>
      <c r="Z326" s="14"/>
      <c r="AA326" s="16"/>
      <c r="AB326" s="16"/>
      <c r="AC326" s="16"/>
      <c r="AD326" s="16"/>
      <c r="AE326" s="66"/>
      <c r="AF326" s="54"/>
      <c r="AN326" s="54"/>
      <c r="AP326" s="16"/>
      <c r="AQ326" s="16"/>
      <c r="AR326" s="16"/>
      <c r="AS326" s="16"/>
      <c r="AU326" s="54"/>
    </row>
    <row r="327">
      <c r="B327" s="16"/>
      <c r="C327" s="16"/>
      <c r="D327" s="16"/>
      <c r="E327" s="16"/>
      <c r="F327" s="16"/>
      <c r="G327" s="16"/>
      <c r="Q327" s="54"/>
      <c r="R327" s="8"/>
      <c r="S327" s="14"/>
      <c r="T327" s="16"/>
      <c r="U327" s="16"/>
      <c r="V327" s="16"/>
      <c r="W327" s="16"/>
      <c r="X327" s="54"/>
      <c r="Z327" s="14"/>
      <c r="AA327" s="16"/>
      <c r="AB327" s="16"/>
      <c r="AC327" s="16"/>
      <c r="AD327" s="16"/>
      <c r="AE327" s="66"/>
      <c r="AF327" s="54"/>
      <c r="AN327" s="54"/>
      <c r="AP327" s="16"/>
      <c r="AQ327" s="16"/>
      <c r="AR327" s="16"/>
      <c r="AS327" s="16"/>
      <c r="AU327" s="54"/>
    </row>
    <row r="328">
      <c r="B328" s="16"/>
      <c r="C328" s="16"/>
      <c r="D328" s="16"/>
      <c r="E328" s="16"/>
      <c r="F328" s="16"/>
      <c r="G328" s="16"/>
      <c r="Q328" s="54"/>
      <c r="R328" s="8"/>
      <c r="S328" s="14"/>
      <c r="T328" s="16"/>
      <c r="U328" s="16"/>
      <c r="V328" s="16"/>
      <c r="W328" s="16"/>
      <c r="X328" s="54"/>
      <c r="Z328" s="14"/>
      <c r="AA328" s="16"/>
      <c r="AB328" s="16"/>
      <c r="AC328" s="16"/>
      <c r="AD328" s="16"/>
      <c r="AE328" s="66"/>
      <c r="AF328" s="54"/>
      <c r="AN328" s="54"/>
      <c r="AP328" s="16"/>
      <c r="AQ328" s="16"/>
      <c r="AR328" s="16"/>
      <c r="AS328" s="16"/>
      <c r="AU328" s="54"/>
    </row>
    <row r="329">
      <c r="B329" s="16"/>
      <c r="C329" s="16"/>
      <c r="D329" s="16"/>
      <c r="E329" s="16"/>
      <c r="F329" s="16"/>
      <c r="G329" s="16"/>
      <c r="Q329" s="54"/>
      <c r="R329" s="8"/>
      <c r="S329" s="14"/>
      <c r="T329" s="16"/>
      <c r="U329" s="16"/>
      <c r="V329" s="16"/>
      <c r="W329" s="16"/>
      <c r="X329" s="54"/>
      <c r="Z329" s="14"/>
      <c r="AA329" s="16"/>
      <c r="AB329" s="16"/>
      <c r="AC329" s="16"/>
      <c r="AD329" s="16"/>
      <c r="AE329" s="66"/>
      <c r="AF329" s="54"/>
      <c r="AN329" s="54"/>
      <c r="AP329" s="16"/>
      <c r="AQ329" s="16"/>
      <c r="AR329" s="16"/>
      <c r="AS329" s="16"/>
      <c r="AU329" s="54"/>
    </row>
    <row r="330">
      <c r="B330" s="16"/>
      <c r="C330" s="16"/>
      <c r="D330" s="16"/>
      <c r="E330" s="16"/>
      <c r="F330" s="16"/>
      <c r="G330" s="16"/>
      <c r="Q330" s="54"/>
      <c r="R330" s="8"/>
      <c r="S330" s="14"/>
      <c r="T330" s="16"/>
      <c r="U330" s="16"/>
      <c r="V330" s="16"/>
      <c r="W330" s="16"/>
      <c r="X330" s="54"/>
      <c r="Z330" s="14"/>
      <c r="AA330" s="16"/>
      <c r="AB330" s="16"/>
      <c r="AC330" s="16"/>
      <c r="AD330" s="16"/>
      <c r="AE330" s="66"/>
      <c r="AF330" s="54"/>
      <c r="AN330" s="54"/>
      <c r="AP330" s="16"/>
      <c r="AQ330" s="16"/>
      <c r="AR330" s="16"/>
      <c r="AS330" s="16"/>
      <c r="AU330" s="54"/>
    </row>
    <row r="331">
      <c r="B331" s="16"/>
      <c r="C331" s="16"/>
      <c r="D331" s="16"/>
      <c r="E331" s="16"/>
      <c r="F331" s="16"/>
      <c r="G331" s="16"/>
      <c r="Q331" s="54"/>
      <c r="R331" s="8"/>
      <c r="S331" s="14"/>
      <c r="T331" s="16"/>
      <c r="U331" s="16"/>
      <c r="V331" s="16"/>
      <c r="W331" s="16"/>
      <c r="X331" s="54"/>
      <c r="Z331" s="14"/>
      <c r="AA331" s="16"/>
      <c r="AB331" s="16"/>
      <c r="AC331" s="16"/>
      <c r="AD331" s="16"/>
      <c r="AE331" s="66"/>
      <c r="AF331" s="54"/>
      <c r="AN331" s="54"/>
      <c r="AP331" s="16"/>
      <c r="AQ331" s="16"/>
      <c r="AR331" s="16"/>
      <c r="AS331" s="16"/>
      <c r="AU331" s="54"/>
    </row>
    <row r="332">
      <c r="B332" s="16"/>
      <c r="C332" s="16"/>
      <c r="D332" s="16"/>
      <c r="E332" s="16"/>
      <c r="F332" s="16"/>
      <c r="G332" s="16"/>
      <c r="Q332" s="54"/>
      <c r="R332" s="8"/>
      <c r="S332" s="14"/>
      <c r="T332" s="16"/>
      <c r="U332" s="16"/>
      <c r="V332" s="16"/>
      <c r="W332" s="16"/>
      <c r="X332" s="54"/>
      <c r="Z332" s="14"/>
      <c r="AA332" s="16"/>
      <c r="AB332" s="16"/>
      <c r="AC332" s="16"/>
      <c r="AD332" s="16"/>
      <c r="AE332" s="66"/>
      <c r="AF332" s="54"/>
      <c r="AN332" s="54"/>
      <c r="AP332" s="16"/>
      <c r="AQ332" s="16"/>
      <c r="AR332" s="16"/>
      <c r="AS332" s="16"/>
      <c r="AU332" s="54"/>
    </row>
    <row r="333">
      <c r="B333" s="16"/>
      <c r="C333" s="16"/>
      <c r="D333" s="16"/>
      <c r="E333" s="16"/>
      <c r="F333" s="16"/>
      <c r="G333" s="16"/>
      <c r="Q333" s="54"/>
      <c r="R333" s="8"/>
      <c r="S333" s="14"/>
      <c r="T333" s="16"/>
      <c r="U333" s="16"/>
      <c r="V333" s="16"/>
      <c r="W333" s="16"/>
      <c r="X333" s="54"/>
      <c r="Z333" s="14"/>
      <c r="AA333" s="16"/>
      <c r="AB333" s="16"/>
      <c r="AC333" s="16"/>
      <c r="AD333" s="16"/>
      <c r="AE333" s="66"/>
      <c r="AF333" s="54"/>
      <c r="AN333" s="54"/>
      <c r="AP333" s="16"/>
      <c r="AQ333" s="16"/>
      <c r="AR333" s="16"/>
      <c r="AS333" s="16"/>
      <c r="AU333" s="54"/>
    </row>
    <row r="334">
      <c r="B334" s="16"/>
      <c r="C334" s="16"/>
      <c r="D334" s="16"/>
      <c r="E334" s="16"/>
      <c r="F334" s="16"/>
      <c r="G334" s="16"/>
      <c r="Q334" s="54"/>
      <c r="R334" s="8"/>
      <c r="S334" s="14"/>
      <c r="T334" s="16"/>
      <c r="U334" s="16"/>
      <c r="V334" s="16"/>
      <c r="W334" s="16"/>
      <c r="X334" s="54"/>
      <c r="Z334" s="14"/>
      <c r="AA334" s="16"/>
      <c r="AB334" s="16"/>
      <c r="AC334" s="16"/>
      <c r="AD334" s="16"/>
      <c r="AE334" s="66"/>
      <c r="AF334" s="54"/>
      <c r="AN334" s="54"/>
      <c r="AP334" s="16"/>
      <c r="AQ334" s="16"/>
      <c r="AR334" s="16"/>
      <c r="AS334" s="16"/>
      <c r="AU334" s="54"/>
    </row>
    <row r="335">
      <c r="B335" s="16"/>
      <c r="C335" s="16"/>
      <c r="D335" s="16"/>
      <c r="E335" s="16"/>
      <c r="F335" s="16"/>
      <c r="G335" s="16"/>
      <c r="Q335" s="54"/>
      <c r="R335" s="8"/>
      <c r="S335" s="14"/>
      <c r="T335" s="16"/>
      <c r="U335" s="16"/>
      <c r="V335" s="16"/>
      <c r="W335" s="16"/>
      <c r="X335" s="54"/>
      <c r="Z335" s="14"/>
      <c r="AA335" s="16"/>
      <c r="AB335" s="16"/>
      <c r="AC335" s="16"/>
      <c r="AD335" s="16"/>
      <c r="AE335" s="66"/>
      <c r="AF335" s="54"/>
      <c r="AN335" s="54"/>
      <c r="AP335" s="16"/>
      <c r="AQ335" s="16"/>
      <c r="AR335" s="16"/>
      <c r="AS335" s="16"/>
      <c r="AU335" s="54"/>
    </row>
    <row r="336">
      <c r="B336" s="16"/>
      <c r="C336" s="16"/>
      <c r="D336" s="16"/>
      <c r="E336" s="16"/>
      <c r="F336" s="16"/>
      <c r="G336" s="16"/>
      <c r="Q336" s="54"/>
      <c r="R336" s="8"/>
      <c r="S336" s="14"/>
      <c r="T336" s="16"/>
      <c r="U336" s="16"/>
      <c r="V336" s="16"/>
      <c r="W336" s="16"/>
      <c r="X336" s="54"/>
      <c r="Z336" s="14"/>
      <c r="AA336" s="16"/>
      <c r="AB336" s="16"/>
      <c r="AC336" s="16"/>
      <c r="AD336" s="16"/>
      <c r="AE336" s="66"/>
      <c r="AF336" s="54"/>
      <c r="AN336" s="54"/>
      <c r="AP336" s="16"/>
      <c r="AQ336" s="16"/>
      <c r="AR336" s="16"/>
      <c r="AS336" s="16"/>
      <c r="AU336" s="54"/>
    </row>
    <row r="337">
      <c r="B337" s="16"/>
      <c r="C337" s="16"/>
      <c r="D337" s="16"/>
      <c r="E337" s="16"/>
      <c r="F337" s="16"/>
      <c r="G337" s="16"/>
      <c r="Q337" s="54"/>
      <c r="R337" s="8"/>
      <c r="S337" s="14"/>
      <c r="T337" s="16"/>
      <c r="U337" s="16"/>
      <c r="V337" s="16"/>
      <c r="W337" s="16"/>
      <c r="X337" s="54"/>
      <c r="Z337" s="14"/>
      <c r="AA337" s="16"/>
      <c r="AB337" s="16"/>
      <c r="AC337" s="16"/>
      <c r="AD337" s="16"/>
      <c r="AE337" s="66"/>
      <c r="AF337" s="54"/>
      <c r="AN337" s="54"/>
      <c r="AP337" s="16"/>
      <c r="AQ337" s="16"/>
      <c r="AR337" s="16"/>
      <c r="AS337" s="16"/>
      <c r="AU337" s="54"/>
    </row>
    <row r="338">
      <c r="B338" s="16"/>
      <c r="C338" s="16"/>
      <c r="D338" s="16"/>
      <c r="E338" s="16"/>
      <c r="F338" s="16"/>
      <c r="G338" s="16"/>
      <c r="Q338" s="54"/>
      <c r="R338" s="8"/>
      <c r="S338" s="14"/>
      <c r="T338" s="16"/>
      <c r="U338" s="16"/>
      <c r="V338" s="16"/>
      <c r="W338" s="16"/>
      <c r="X338" s="54"/>
      <c r="Z338" s="14"/>
      <c r="AA338" s="16"/>
      <c r="AB338" s="16"/>
      <c r="AC338" s="16"/>
      <c r="AD338" s="16"/>
      <c r="AE338" s="66"/>
      <c r="AF338" s="54"/>
      <c r="AN338" s="54"/>
      <c r="AP338" s="16"/>
      <c r="AQ338" s="16"/>
      <c r="AR338" s="16"/>
      <c r="AS338" s="16"/>
      <c r="AU338" s="54"/>
    </row>
    <row r="339">
      <c r="B339" s="16"/>
      <c r="C339" s="16"/>
      <c r="D339" s="16"/>
      <c r="E339" s="16"/>
      <c r="F339" s="16"/>
      <c r="G339" s="16"/>
      <c r="Q339" s="54"/>
      <c r="R339" s="8"/>
      <c r="S339" s="14"/>
      <c r="T339" s="16"/>
      <c r="U339" s="16"/>
      <c r="V339" s="16"/>
      <c r="W339" s="16"/>
      <c r="X339" s="54"/>
      <c r="Z339" s="14"/>
      <c r="AA339" s="16"/>
      <c r="AB339" s="16"/>
      <c r="AC339" s="16"/>
      <c r="AD339" s="16"/>
      <c r="AE339" s="66"/>
      <c r="AF339" s="54"/>
      <c r="AN339" s="54"/>
      <c r="AP339" s="16"/>
      <c r="AQ339" s="16"/>
      <c r="AR339" s="16"/>
      <c r="AS339" s="16"/>
      <c r="AU339" s="54"/>
    </row>
    <row r="340">
      <c r="B340" s="16"/>
      <c r="C340" s="16"/>
      <c r="D340" s="16"/>
      <c r="E340" s="16"/>
      <c r="F340" s="16"/>
      <c r="G340" s="16"/>
      <c r="Q340" s="54"/>
      <c r="R340" s="8"/>
      <c r="S340" s="14"/>
      <c r="T340" s="16"/>
      <c r="U340" s="16"/>
      <c r="V340" s="16"/>
      <c r="W340" s="16"/>
      <c r="X340" s="54"/>
      <c r="Z340" s="14"/>
      <c r="AA340" s="16"/>
      <c r="AB340" s="16"/>
      <c r="AC340" s="16"/>
      <c r="AD340" s="16"/>
      <c r="AE340" s="66"/>
      <c r="AF340" s="54"/>
      <c r="AN340" s="54"/>
      <c r="AP340" s="16"/>
      <c r="AQ340" s="16"/>
      <c r="AR340" s="16"/>
      <c r="AS340" s="16"/>
      <c r="AU340" s="54"/>
    </row>
    <row r="341">
      <c r="B341" s="16"/>
      <c r="C341" s="16"/>
      <c r="D341" s="16"/>
      <c r="E341" s="16"/>
      <c r="F341" s="16"/>
      <c r="G341" s="16"/>
      <c r="Q341" s="54"/>
      <c r="R341" s="8"/>
      <c r="S341" s="14"/>
      <c r="T341" s="16"/>
      <c r="U341" s="16"/>
      <c r="V341" s="16"/>
      <c r="W341" s="16"/>
      <c r="X341" s="54"/>
      <c r="Z341" s="14"/>
      <c r="AA341" s="16"/>
      <c r="AB341" s="16"/>
      <c r="AC341" s="16"/>
      <c r="AD341" s="16"/>
      <c r="AE341" s="66"/>
      <c r="AF341" s="54"/>
      <c r="AN341" s="54"/>
      <c r="AP341" s="16"/>
      <c r="AQ341" s="16"/>
      <c r="AR341" s="16"/>
      <c r="AS341" s="16"/>
      <c r="AU341" s="54"/>
    </row>
    <row r="342">
      <c r="B342" s="16"/>
      <c r="C342" s="16"/>
      <c r="D342" s="16"/>
      <c r="E342" s="16"/>
      <c r="F342" s="16"/>
      <c r="G342" s="16"/>
      <c r="Q342" s="54"/>
      <c r="R342" s="8"/>
      <c r="S342" s="14"/>
      <c r="T342" s="16"/>
      <c r="U342" s="16"/>
      <c r="V342" s="16"/>
      <c r="W342" s="16"/>
      <c r="X342" s="54"/>
      <c r="Z342" s="14"/>
      <c r="AA342" s="16"/>
      <c r="AB342" s="16"/>
      <c r="AC342" s="16"/>
      <c r="AD342" s="16"/>
      <c r="AE342" s="66"/>
      <c r="AF342" s="54"/>
      <c r="AN342" s="54"/>
      <c r="AP342" s="16"/>
      <c r="AQ342" s="16"/>
      <c r="AR342" s="16"/>
      <c r="AS342" s="16"/>
      <c r="AU342" s="54"/>
    </row>
    <row r="343">
      <c r="B343" s="16"/>
      <c r="C343" s="16"/>
      <c r="D343" s="16"/>
      <c r="E343" s="16"/>
      <c r="F343" s="16"/>
      <c r="G343" s="16"/>
      <c r="Q343" s="54"/>
      <c r="R343" s="8"/>
      <c r="S343" s="14"/>
      <c r="T343" s="16"/>
      <c r="U343" s="16"/>
      <c r="V343" s="16"/>
      <c r="W343" s="16"/>
      <c r="X343" s="54"/>
      <c r="Z343" s="14"/>
      <c r="AA343" s="16"/>
      <c r="AB343" s="16"/>
      <c r="AC343" s="16"/>
      <c r="AD343" s="16"/>
      <c r="AE343" s="66"/>
      <c r="AF343" s="54"/>
      <c r="AN343" s="54"/>
      <c r="AP343" s="16"/>
      <c r="AQ343" s="16"/>
      <c r="AR343" s="16"/>
      <c r="AS343" s="16"/>
      <c r="AU343" s="54"/>
    </row>
    <row r="344">
      <c r="B344" s="16"/>
      <c r="C344" s="16"/>
      <c r="D344" s="16"/>
      <c r="E344" s="16"/>
      <c r="F344" s="16"/>
      <c r="G344" s="16"/>
      <c r="Q344" s="54"/>
      <c r="R344" s="8"/>
      <c r="S344" s="14"/>
      <c r="T344" s="16"/>
      <c r="U344" s="16"/>
      <c r="V344" s="16"/>
      <c r="W344" s="16"/>
      <c r="X344" s="54"/>
      <c r="Z344" s="14"/>
      <c r="AA344" s="16"/>
      <c r="AB344" s="16"/>
      <c r="AC344" s="16"/>
      <c r="AD344" s="16"/>
      <c r="AE344" s="66"/>
      <c r="AF344" s="54"/>
      <c r="AN344" s="54"/>
      <c r="AP344" s="16"/>
      <c r="AQ344" s="16"/>
      <c r="AR344" s="16"/>
      <c r="AS344" s="16"/>
      <c r="AU344" s="54"/>
    </row>
    <row r="345">
      <c r="B345" s="16"/>
      <c r="C345" s="16"/>
      <c r="D345" s="16"/>
      <c r="E345" s="16"/>
      <c r="F345" s="16"/>
      <c r="G345" s="16"/>
      <c r="Q345" s="54"/>
      <c r="R345" s="8"/>
      <c r="S345" s="14"/>
      <c r="T345" s="16"/>
      <c r="U345" s="16"/>
      <c r="V345" s="16"/>
      <c r="W345" s="16"/>
      <c r="X345" s="54"/>
      <c r="Z345" s="14"/>
      <c r="AA345" s="16"/>
      <c r="AB345" s="16"/>
      <c r="AC345" s="16"/>
      <c r="AD345" s="16"/>
      <c r="AE345" s="66"/>
      <c r="AF345" s="54"/>
      <c r="AN345" s="54"/>
      <c r="AP345" s="16"/>
      <c r="AQ345" s="16"/>
      <c r="AR345" s="16"/>
      <c r="AS345" s="16"/>
      <c r="AU345" s="54"/>
    </row>
    <row r="346">
      <c r="B346" s="16"/>
      <c r="C346" s="16"/>
      <c r="D346" s="16"/>
      <c r="E346" s="16"/>
      <c r="F346" s="16"/>
      <c r="G346" s="16"/>
      <c r="Q346" s="54"/>
      <c r="R346" s="8"/>
      <c r="S346" s="14"/>
      <c r="T346" s="16"/>
      <c r="U346" s="16"/>
      <c r="V346" s="16"/>
      <c r="W346" s="16"/>
      <c r="X346" s="54"/>
      <c r="Z346" s="14"/>
      <c r="AA346" s="16"/>
      <c r="AB346" s="16"/>
      <c r="AC346" s="16"/>
      <c r="AD346" s="16"/>
      <c r="AE346" s="66"/>
      <c r="AF346" s="54"/>
      <c r="AN346" s="54"/>
      <c r="AP346" s="16"/>
      <c r="AQ346" s="16"/>
      <c r="AR346" s="16"/>
      <c r="AS346" s="16"/>
      <c r="AU346" s="54"/>
    </row>
    <row r="347">
      <c r="B347" s="16"/>
      <c r="C347" s="16"/>
      <c r="D347" s="16"/>
      <c r="E347" s="16"/>
      <c r="F347" s="16"/>
      <c r="G347" s="16"/>
      <c r="Q347" s="54"/>
      <c r="R347" s="8"/>
      <c r="S347" s="14"/>
      <c r="T347" s="16"/>
      <c r="U347" s="16"/>
      <c r="V347" s="16"/>
      <c r="W347" s="16"/>
      <c r="X347" s="54"/>
      <c r="Z347" s="14"/>
      <c r="AA347" s="16"/>
      <c r="AB347" s="16"/>
      <c r="AC347" s="16"/>
      <c r="AD347" s="16"/>
      <c r="AE347" s="66"/>
      <c r="AF347" s="54"/>
      <c r="AN347" s="54"/>
      <c r="AP347" s="16"/>
      <c r="AQ347" s="16"/>
      <c r="AR347" s="16"/>
      <c r="AS347" s="16"/>
      <c r="AU347" s="54"/>
    </row>
    <row r="348">
      <c r="B348" s="16"/>
      <c r="C348" s="16"/>
      <c r="D348" s="16"/>
      <c r="E348" s="16"/>
      <c r="F348" s="16"/>
      <c r="G348" s="16"/>
      <c r="Q348" s="54"/>
      <c r="R348" s="8"/>
      <c r="S348" s="14"/>
      <c r="T348" s="16"/>
      <c r="U348" s="16"/>
      <c r="V348" s="16"/>
      <c r="W348" s="16"/>
      <c r="X348" s="54"/>
      <c r="Z348" s="14"/>
      <c r="AA348" s="16"/>
      <c r="AB348" s="16"/>
      <c r="AC348" s="16"/>
      <c r="AD348" s="16"/>
      <c r="AE348" s="66"/>
      <c r="AF348" s="54"/>
      <c r="AN348" s="54"/>
      <c r="AP348" s="16"/>
      <c r="AQ348" s="16"/>
      <c r="AR348" s="16"/>
      <c r="AS348" s="16"/>
      <c r="AU348" s="54"/>
    </row>
    <row r="349">
      <c r="B349" s="16"/>
      <c r="C349" s="16"/>
      <c r="D349" s="16"/>
      <c r="E349" s="16"/>
      <c r="F349" s="16"/>
      <c r="G349" s="16"/>
      <c r="Q349" s="54"/>
      <c r="R349" s="8"/>
      <c r="S349" s="14"/>
      <c r="T349" s="16"/>
      <c r="U349" s="16"/>
      <c r="V349" s="16"/>
      <c r="W349" s="16"/>
      <c r="X349" s="54"/>
      <c r="Z349" s="14"/>
      <c r="AA349" s="16"/>
      <c r="AB349" s="16"/>
      <c r="AC349" s="16"/>
      <c r="AD349" s="16"/>
      <c r="AE349" s="66"/>
      <c r="AF349" s="54"/>
      <c r="AN349" s="54"/>
      <c r="AP349" s="16"/>
      <c r="AQ349" s="16"/>
      <c r="AR349" s="16"/>
      <c r="AS349" s="16"/>
      <c r="AU349" s="54"/>
    </row>
    <row r="350">
      <c r="B350" s="16"/>
      <c r="C350" s="16"/>
      <c r="D350" s="16"/>
      <c r="E350" s="16"/>
      <c r="F350" s="16"/>
      <c r="G350" s="16"/>
      <c r="Q350" s="54"/>
      <c r="R350" s="8"/>
      <c r="S350" s="14"/>
      <c r="T350" s="16"/>
      <c r="U350" s="16"/>
      <c r="V350" s="16"/>
      <c r="W350" s="16"/>
      <c r="X350" s="54"/>
      <c r="Z350" s="14"/>
      <c r="AA350" s="16"/>
      <c r="AB350" s="16"/>
      <c r="AC350" s="16"/>
      <c r="AD350" s="16"/>
      <c r="AE350" s="66"/>
      <c r="AF350" s="54"/>
      <c r="AN350" s="54"/>
      <c r="AP350" s="16"/>
      <c r="AQ350" s="16"/>
      <c r="AR350" s="16"/>
      <c r="AS350" s="16"/>
      <c r="AU350" s="54"/>
    </row>
    <row r="351">
      <c r="B351" s="16"/>
      <c r="C351" s="16"/>
      <c r="D351" s="16"/>
      <c r="E351" s="16"/>
      <c r="F351" s="16"/>
      <c r="G351" s="16"/>
      <c r="Q351" s="54"/>
      <c r="R351" s="8"/>
      <c r="S351" s="14"/>
      <c r="T351" s="16"/>
      <c r="U351" s="16"/>
      <c r="V351" s="16"/>
      <c r="W351" s="16"/>
      <c r="X351" s="54"/>
      <c r="Z351" s="14"/>
      <c r="AA351" s="16"/>
      <c r="AB351" s="16"/>
      <c r="AC351" s="16"/>
      <c r="AD351" s="16"/>
      <c r="AE351" s="66"/>
      <c r="AF351" s="54"/>
      <c r="AN351" s="54"/>
      <c r="AP351" s="16"/>
      <c r="AQ351" s="16"/>
      <c r="AR351" s="16"/>
      <c r="AS351" s="16"/>
      <c r="AU351" s="54"/>
    </row>
    <row r="352">
      <c r="B352" s="16"/>
      <c r="C352" s="16"/>
      <c r="D352" s="16"/>
      <c r="E352" s="16"/>
      <c r="F352" s="16"/>
      <c r="G352" s="16"/>
      <c r="Q352" s="54"/>
      <c r="R352" s="8"/>
      <c r="S352" s="14"/>
      <c r="T352" s="16"/>
      <c r="U352" s="16"/>
      <c r="V352" s="16"/>
      <c r="W352" s="16"/>
      <c r="X352" s="54"/>
      <c r="Z352" s="14"/>
      <c r="AA352" s="16"/>
      <c r="AB352" s="16"/>
      <c r="AC352" s="16"/>
      <c r="AD352" s="16"/>
      <c r="AE352" s="66"/>
      <c r="AF352" s="54"/>
      <c r="AN352" s="54"/>
      <c r="AP352" s="16"/>
      <c r="AQ352" s="16"/>
      <c r="AR352" s="16"/>
      <c r="AS352" s="16"/>
      <c r="AU352" s="54"/>
    </row>
    <row r="353">
      <c r="B353" s="16"/>
      <c r="C353" s="16"/>
      <c r="D353" s="16"/>
      <c r="E353" s="16"/>
      <c r="F353" s="16"/>
      <c r="G353" s="16"/>
      <c r="Q353" s="54"/>
      <c r="R353" s="8"/>
      <c r="S353" s="14"/>
      <c r="T353" s="16"/>
      <c r="U353" s="16"/>
      <c r="V353" s="16"/>
      <c r="W353" s="16"/>
      <c r="X353" s="54"/>
      <c r="Z353" s="14"/>
      <c r="AA353" s="16"/>
      <c r="AB353" s="16"/>
      <c r="AC353" s="16"/>
      <c r="AD353" s="16"/>
      <c r="AE353" s="66"/>
      <c r="AF353" s="54"/>
      <c r="AN353" s="54"/>
      <c r="AP353" s="16"/>
      <c r="AQ353" s="16"/>
      <c r="AR353" s="16"/>
      <c r="AS353" s="16"/>
      <c r="AU353" s="54"/>
    </row>
    <row r="354">
      <c r="B354" s="16"/>
      <c r="C354" s="16"/>
      <c r="D354" s="16"/>
      <c r="E354" s="16"/>
      <c r="F354" s="16"/>
      <c r="G354" s="16"/>
      <c r="Q354" s="54"/>
      <c r="R354" s="8"/>
      <c r="S354" s="14"/>
      <c r="T354" s="16"/>
      <c r="U354" s="16"/>
      <c r="V354" s="16"/>
      <c r="W354" s="16"/>
      <c r="X354" s="54"/>
      <c r="Z354" s="14"/>
      <c r="AA354" s="16"/>
      <c r="AB354" s="16"/>
      <c r="AC354" s="16"/>
      <c r="AD354" s="16"/>
      <c r="AE354" s="66"/>
      <c r="AF354" s="54"/>
      <c r="AN354" s="54"/>
      <c r="AP354" s="16"/>
      <c r="AQ354" s="16"/>
      <c r="AR354" s="16"/>
      <c r="AS354" s="16"/>
      <c r="AU354" s="54"/>
    </row>
    <row r="355">
      <c r="B355" s="16"/>
      <c r="C355" s="16"/>
      <c r="D355" s="16"/>
      <c r="E355" s="16"/>
      <c r="F355" s="16"/>
      <c r="G355" s="16"/>
      <c r="Q355" s="54"/>
      <c r="R355" s="8"/>
      <c r="S355" s="14"/>
      <c r="T355" s="16"/>
      <c r="U355" s="16"/>
      <c r="V355" s="16"/>
      <c r="W355" s="16"/>
      <c r="X355" s="54"/>
      <c r="Z355" s="14"/>
      <c r="AA355" s="16"/>
      <c r="AB355" s="16"/>
      <c r="AC355" s="16"/>
      <c r="AD355" s="16"/>
      <c r="AE355" s="66"/>
      <c r="AF355" s="54"/>
      <c r="AN355" s="54"/>
      <c r="AP355" s="16"/>
      <c r="AQ355" s="16"/>
      <c r="AR355" s="16"/>
      <c r="AS355" s="16"/>
      <c r="AU355" s="54"/>
    </row>
    <row r="356">
      <c r="B356" s="16"/>
      <c r="C356" s="16"/>
      <c r="D356" s="16"/>
      <c r="E356" s="16"/>
      <c r="F356" s="16"/>
      <c r="G356" s="16"/>
      <c r="Q356" s="54"/>
      <c r="R356" s="8"/>
      <c r="S356" s="14"/>
      <c r="T356" s="16"/>
      <c r="U356" s="16"/>
      <c r="V356" s="16"/>
      <c r="W356" s="16"/>
      <c r="X356" s="54"/>
      <c r="Z356" s="14"/>
      <c r="AA356" s="16"/>
      <c r="AB356" s="16"/>
      <c r="AC356" s="16"/>
      <c r="AD356" s="16"/>
      <c r="AE356" s="66"/>
      <c r="AF356" s="54"/>
      <c r="AN356" s="54"/>
      <c r="AP356" s="16"/>
      <c r="AQ356" s="16"/>
      <c r="AR356" s="16"/>
      <c r="AS356" s="16"/>
      <c r="AU356" s="54"/>
    </row>
    <row r="357">
      <c r="B357" s="16"/>
      <c r="C357" s="16"/>
      <c r="D357" s="16"/>
      <c r="E357" s="16"/>
      <c r="F357" s="16"/>
      <c r="G357" s="16"/>
      <c r="Q357" s="54"/>
      <c r="R357" s="8"/>
      <c r="S357" s="14"/>
      <c r="T357" s="16"/>
      <c r="U357" s="16"/>
      <c r="V357" s="16"/>
      <c r="W357" s="16"/>
      <c r="X357" s="54"/>
      <c r="Z357" s="14"/>
      <c r="AA357" s="16"/>
      <c r="AB357" s="16"/>
      <c r="AC357" s="16"/>
      <c r="AD357" s="16"/>
      <c r="AE357" s="66"/>
      <c r="AF357" s="54"/>
      <c r="AN357" s="54"/>
      <c r="AP357" s="16"/>
      <c r="AQ357" s="16"/>
      <c r="AR357" s="16"/>
      <c r="AS357" s="16"/>
      <c r="AU357" s="54"/>
    </row>
    <row r="358">
      <c r="B358" s="16"/>
      <c r="C358" s="16"/>
      <c r="D358" s="16"/>
      <c r="E358" s="16"/>
      <c r="F358" s="16"/>
      <c r="G358" s="16"/>
      <c r="Q358" s="54"/>
      <c r="R358" s="8"/>
      <c r="S358" s="14"/>
      <c r="T358" s="16"/>
      <c r="U358" s="16"/>
      <c r="V358" s="16"/>
      <c r="W358" s="16"/>
      <c r="X358" s="54"/>
      <c r="Z358" s="14"/>
      <c r="AA358" s="16"/>
      <c r="AB358" s="16"/>
      <c r="AC358" s="16"/>
      <c r="AD358" s="16"/>
      <c r="AE358" s="66"/>
      <c r="AF358" s="54"/>
      <c r="AN358" s="54"/>
      <c r="AP358" s="16"/>
      <c r="AQ358" s="16"/>
      <c r="AR358" s="16"/>
      <c r="AS358" s="16"/>
      <c r="AU358" s="54"/>
    </row>
    <row r="359">
      <c r="B359" s="16"/>
      <c r="C359" s="16"/>
      <c r="D359" s="16"/>
      <c r="E359" s="16"/>
      <c r="F359" s="16"/>
      <c r="G359" s="16"/>
      <c r="Q359" s="54"/>
      <c r="R359" s="8"/>
      <c r="S359" s="14"/>
      <c r="T359" s="16"/>
      <c r="U359" s="16"/>
      <c r="V359" s="16"/>
      <c r="W359" s="16"/>
      <c r="X359" s="54"/>
      <c r="Z359" s="14"/>
      <c r="AA359" s="16"/>
      <c r="AB359" s="16"/>
      <c r="AC359" s="16"/>
      <c r="AD359" s="16"/>
      <c r="AE359" s="66"/>
      <c r="AF359" s="54"/>
      <c r="AN359" s="54"/>
      <c r="AP359" s="16"/>
      <c r="AQ359" s="16"/>
      <c r="AR359" s="16"/>
      <c r="AS359" s="16"/>
      <c r="AU359" s="54"/>
    </row>
    <row r="360">
      <c r="B360" s="16"/>
      <c r="C360" s="16"/>
      <c r="D360" s="16"/>
      <c r="E360" s="16"/>
      <c r="F360" s="16"/>
      <c r="G360" s="16"/>
      <c r="Q360" s="54"/>
      <c r="R360" s="8"/>
      <c r="S360" s="14"/>
      <c r="T360" s="16"/>
      <c r="U360" s="16"/>
      <c r="V360" s="16"/>
      <c r="W360" s="16"/>
      <c r="X360" s="54"/>
      <c r="Z360" s="14"/>
      <c r="AA360" s="16"/>
      <c r="AB360" s="16"/>
      <c r="AC360" s="16"/>
      <c r="AD360" s="16"/>
      <c r="AE360" s="66"/>
      <c r="AF360" s="54"/>
      <c r="AN360" s="54"/>
      <c r="AP360" s="16"/>
      <c r="AQ360" s="16"/>
      <c r="AR360" s="16"/>
      <c r="AS360" s="16"/>
      <c r="AU360" s="54"/>
    </row>
    <row r="361">
      <c r="B361" s="16"/>
      <c r="C361" s="16"/>
      <c r="D361" s="16"/>
      <c r="E361" s="16"/>
      <c r="F361" s="16"/>
      <c r="G361" s="16"/>
      <c r="Q361" s="54"/>
      <c r="R361" s="8"/>
      <c r="S361" s="14"/>
      <c r="T361" s="16"/>
      <c r="U361" s="16"/>
      <c r="V361" s="16"/>
      <c r="W361" s="16"/>
      <c r="X361" s="54"/>
      <c r="Z361" s="14"/>
      <c r="AA361" s="16"/>
      <c r="AB361" s="16"/>
      <c r="AC361" s="16"/>
      <c r="AD361" s="16"/>
      <c r="AE361" s="66"/>
      <c r="AF361" s="54"/>
      <c r="AN361" s="54"/>
      <c r="AP361" s="16"/>
      <c r="AQ361" s="16"/>
      <c r="AR361" s="16"/>
      <c r="AS361" s="16"/>
      <c r="AU361" s="54"/>
    </row>
    <row r="362">
      <c r="B362" s="16"/>
      <c r="C362" s="16"/>
      <c r="D362" s="16"/>
      <c r="E362" s="16"/>
      <c r="F362" s="16"/>
      <c r="G362" s="16"/>
      <c r="Q362" s="54"/>
      <c r="R362" s="8"/>
      <c r="S362" s="14"/>
      <c r="T362" s="16"/>
      <c r="U362" s="16"/>
      <c r="V362" s="16"/>
      <c r="W362" s="16"/>
      <c r="X362" s="54"/>
      <c r="Z362" s="14"/>
      <c r="AA362" s="16"/>
      <c r="AB362" s="16"/>
      <c r="AC362" s="16"/>
      <c r="AD362" s="16"/>
      <c r="AE362" s="66"/>
      <c r="AF362" s="54"/>
      <c r="AN362" s="54"/>
      <c r="AP362" s="16"/>
      <c r="AQ362" s="16"/>
      <c r="AR362" s="16"/>
      <c r="AS362" s="16"/>
      <c r="AU362" s="54"/>
    </row>
    <row r="363">
      <c r="B363" s="16"/>
      <c r="C363" s="16"/>
      <c r="D363" s="16"/>
      <c r="E363" s="16"/>
      <c r="F363" s="16"/>
      <c r="G363" s="16"/>
      <c r="Q363" s="54"/>
      <c r="R363" s="8"/>
      <c r="S363" s="14"/>
      <c r="T363" s="16"/>
      <c r="U363" s="16"/>
      <c r="V363" s="16"/>
      <c r="W363" s="16"/>
      <c r="X363" s="54"/>
      <c r="Z363" s="14"/>
      <c r="AA363" s="16"/>
      <c r="AB363" s="16"/>
      <c r="AC363" s="16"/>
      <c r="AD363" s="16"/>
      <c r="AE363" s="66"/>
      <c r="AF363" s="54"/>
      <c r="AN363" s="54"/>
      <c r="AP363" s="16"/>
      <c r="AQ363" s="16"/>
      <c r="AR363" s="16"/>
      <c r="AS363" s="16"/>
      <c r="AU363" s="54"/>
    </row>
    <row r="364">
      <c r="B364" s="16"/>
      <c r="C364" s="16"/>
      <c r="D364" s="16"/>
      <c r="E364" s="16"/>
      <c r="F364" s="16"/>
      <c r="G364" s="16"/>
      <c r="Q364" s="54"/>
      <c r="R364" s="8"/>
      <c r="S364" s="14"/>
      <c r="T364" s="16"/>
      <c r="U364" s="16"/>
      <c r="V364" s="16"/>
      <c r="W364" s="16"/>
      <c r="X364" s="54"/>
      <c r="Z364" s="14"/>
      <c r="AA364" s="16"/>
      <c r="AB364" s="16"/>
      <c r="AC364" s="16"/>
      <c r="AD364" s="16"/>
      <c r="AE364" s="66"/>
      <c r="AF364" s="54"/>
      <c r="AN364" s="54"/>
      <c r="AP364" s="16"/>
      <c r="AQ364" s="16"/>
      <c r="AR364" s="16"/>
      <c r="AS364" s="16"/>
      <c r="AU364" s="54"/>
    </row>
    <row r="365">
      <c r="B365" s="16"/>
      <c r="C365" s="16"/>
      <c r="D365" s="16"/>
      <c r="E365" s="16"/>
      <c r="F365" s="16"/>
      <c r="G365" s="16"/>
      <c r="Q365" s="54"/>
      <c r="R365" s="8"/>
      <c r="S365" s="14"/>
      <c r="T365" s="16"/>
      <c r="U365" s="16"/>
      <c r="V365" s="16"/>
      <c r="W365" s="16"/>
      <c r="X365" s="54"/>
      <c r="Z365" s="14"/>
      <c r="AA365" s="16"/>
      <c r="AB365" s="16"/>
      <c r="AC365" s="16"/>
      <c r="AD365" s="16"/>
      <c r="AE365" s="66"/>
      <c r="AF365" s="54"/>
      <c r="AN365" s="54"/>
      <c r="AP365" s="16"/>
      <c r="AQ365" s="16"/>
      <c r="AR365" s="16"/>
      <c r="AS365" s="16"/>
      <c r="AU365" s="54"/>
    </row>
    <row r="366">
      <c r="B366" s="16"/>
      <c r="C366" s="16"/>
      <c r="D366" s="16"/>
      <c r="E366" s="16"/>
      <c r="F366" s="16"/>
      <c r="G366" s="16"/>
      <c r="Q366" s="54"/>
      <c r="R366" s="8"/>
      <c r="S366" s="14"/>
      <c r="T366" s="16"/>
      <c r="U366" s="16"/>
      <c r="V366" s="16"/>
      <c r="W366" s="16"/>
      <c r="X366" s="54"/>
      <c r="Z366" s="14"/>
      <c r="AA366" s="16"/>
      <c r="AB366" s="16"/>
      <c r="AC366" s="16"/>
      <c r="AD366" s="16"/>
      <c r="AE366" s="66"/>
      <c r="AF366" s="54"/>
      <c r="AN366" s="54"/>
      <c r="AP366" s="16"/>
      <c r="AQ366" s="16"/>
      <c r="AR366" s="16"/>
      <c r="AS366" s="16"/>
      <c r="AU366" s="54"/>
    </row>
    <row r="367">
      <c r="B367" s="16"/>
      <c r="C367" s="16"/>
      <c r="D367" s="16"/>
      <c r="E367" s="16"/>
      <c r="F367" s="16"/>
      <c r="G367" s="16"/>
      <c r="Q367" s="54"/>
      <c r="R367" s="8"/>
      <c r="S367" s="14"/>
      <c r="T367" s="16"/>
      <c r="U367" s="16"/>
      <c r="V367" s="16"/>
      <c r="W367" s="16"/>
      <c r="X367" s="54"/>
      <c r="Z367" s="14"/>
      <c r="AA367" s="16"/>
      <c r="AB367" s="16"/>
      <c r="AC367" s="16"/>
      <c r="AD367" s="16"/>
      <c r="AE367" s="66"/>
      <c r="AF367" s="54"/>
      <c r="AN367" s="54"/>
      <c r="AP367" s="16"/>
      <c r="AQ367" s="16"/>
      <c r="AR367" s="16"/>
      <c r="AS367" s="16"/>
      <c r="AU367" s="54"/>
    </row>
    <row r="368">
      <c r="B368" s="16"/>
      <c r="C368" s="16"/>
      <c r="D368" s="16"/>
      <c r="E368" s="16"/>
      <c r="F368" s="16"/>
      <c r="G368" s="16"/>
      <c r="Q368" s="54"/>
      <c r="R368" s="8"/>
      <c r="S368" s="14"/>
      <c r="T368" s="16"/>
      <c r="U368" s="16"/>
      <c r="V368" s="16"/>
      <c r="W368" s="16"/>
      <c r="X368" s="54"/>
      <c r="Z368" s="14"/>
      <c r="AA368" s="16"/>
      <c r="AB368" s="16"/>
      <c r="AC368" s="16"/>
      <c r="AD368" s="16"/>
      <c r="AE368" s="66"/>
      <c r="AF368" s="54"/>
      <c r="AN368" s="54"/>
      <c r="AP368" s="16"/>
      <c r="AQ368" s="16"/>
      <c r="AR368" s="16"/>
      <c r="AS368" s="16"/>
      <c r="AU368" s="54"/>
    </row>
    <row r="369">
      <c r="B369" s="16"/>
      <c r="C369" s="16"/>
      <c r="D369" s="16"/>
      <c r="E369" s="16"/>
      <c r="F369" s="16"/>
      <c r="G369" s="16"/>
      <c r="Q369" s="54"/>
      <c r="R369" s="8"/>
      <c r="S369" s="14"/>
      <c r="T369" s="16"/>
      <c r="U369" s="16"/>
      <c r="V369" s="16"/>
      <c r="W369" s="16"/>
      <c r="X369" s="54"/>
      <c r="Z369" s="14"/>
      <c r="AA369" s="16"/>
      <c r="AB369" s="16"/>
      <c r="AC369" s="16"/>
      <c r="AD369" s="16"/>
      <c r="AE369" s="66"/>
      <c r="AF369" s="54"/>
      <c r="AN369" s="54"/>
      <c r="AP369" s="16"/>
      <c r="AQ369" s="16"/>
      <c r="AR369" s="16"/>
      <c r="AS369" s="16"/>
      <c r="AU369" s="54"/>
    </row>
    <row r="370">
      <c r="B370" s="16"/>
      <c r="C370" s="16"/>
      <c r="D370" s="16"/>
      <c r="E370" s="16"/>
      <c r="F370" s="16"/>
      <c r="G370" s="16"/>
      <c r="Q370" s="54"/>
      <c r="R370" s="8"/>
      <c r="S370" s="14"/>
      <c r="T370" s="16"/>
      <c r="U370" s="16"/>
      <c r="V370" s="16"/>
      <c r="W370" s="16"/>
      <c r="X370" s="54"/>
      <c r="Z370" s="14"/>
      <c r="AA370" s="16"/>
      <c r="AB370" s="16"/>
      <c r="AC370" s="16"/>
      <c r="AD370" s="16"/>
      <c r="AE370" s="66"/>
      <c r="AF370" s="54"/>
      <c r="AN370" s="54"/>
      <c r="AP370" s="16"/>
      <c r="AQ370" s="16"/>
      <c r="AR370" s="16"/>
      <c r="AS370" s="16"/>
      <c r="AU370" s="54"/>
    </row>
    <row r="371">
      <c r="B371" s="16"/>
      <c r="C371" s="16"/>
      <c r="D371" s="16"/>
      <c r="E371" s="16"/>
      <c r="F371" s="16"/>
      <c r="G371" s="16"/>
      <c r="Q371" s="54"/>
      <c r="R371" s="8"/>
      <c r="S371" s="14"/>
      <c r="T371" s="16"/>
      <c r="U371" s="16"/>
      <c r="V371" s="16"/>
      <c r="W371" s="16"/>
      <c r="X371" s="54"/>
      <c r="Z371" s="14"/>
      <c r="AA371" s="16"/>
      <c r="AB371" s="16"/>
      <c r="AC371" s="16"/>
      <c r="AD371" s="16"/>
      <c r="AE371" s="66"/>
      <c r="AF371" s="54"/>
      <c r="AN371" s="54"/>
      <c r="AP371" s="16"/>
      <c r="AQ371" s="16"/>
      <c r="AR371" s="16"/>
      <c r="AS371" s="16"/>
      <c r="AU371" s="54"/>
    </row>
    <row r="372">
      <c r="B372" s="16"/>
      <c r="C372" s="16"/>
      <c r="D372" s="16"/>
      <c r="E372" s="16"/>
      <c r="F372" s="16"/>
      <c r="G372" s="16"/>
      <c r="Q372" s="54"/>
      <c r="R372" s="8"/>
      <c r="S372" s="14"/>
      <c r="T372" s="16"/>
      <c r="U372" s="16"/>
      <c r="V372" s="16"/>
      <c r="W372" s="16"/>
      <c r="X372" s="54"/>
      <c r="Z372" s="14"/>
      <c r="AA372" s="16"/>
      <c r="AB372" s="16"/>
      <c r="AC372" s="16"/>
      <c r="AD372" s="16"/>
      <c r="AE372" s="66"/>
      <c r="AF372" s="54"/>
      <c r="AN372" s="54"/>
      <c r="AP372" s="16"/>
      <c r="AQ372" s="16"/>
      <c r="AR372" s="16"/>
      <c r="AS372" s="16"/>
      <c r="AU372" s="54"/>
    </row>
    <row r="373">
      <c r="B373" s="16"/>
      <c r="C373" s="16"/>
      <c r="D373" s="16"/>
      <c r="E373" s="16"/>
      <c r="F373" s="16"/>
      <c r="G373" s="16"/>
      <c r="Q373" s="54"/>
      <c r="R373" s="8"/>
      <c r="S373" s="14"/>
      <c r="T373" s="16"/>
      <c r="U373" s="16"/>
      <c r="V373" s="16"/>
      <c r="W373" s="16"/>
      <c r="X373" s="54"/>
      <c r="Z373" s="14"/>
      <c r="AA373" s="16"/>
      <c r="AB373" s="16"/>
      <c r="AC373" s="16"/>
      <c r="AD373" s="16"/>
      <c r="AE373" s="66"/>
      <c r="AF373" s="54"/>
      <c r="AN373" s="54"/>
      <c r="AP373" s="16"/>
      <c r="AQ373" s="16"/>
      <c r="AR373" s="16"/>
      <c r="AS373" s="16"/>
      <c r="AU373" s="54"/>
    </row>
    <row r="374">
      <c r="B374" s="16"/>
      <c r="C374" s="16"/>
      <c r="D374" s="16"/>
      <c r="E374" s="16"/>
      <c r="F374" s="16"/>
      <c r="G374" s="16"/>
      <c r="Q374" s="54"/>
      <c r="R374" s="8"/>
      <c r="S374" s="14"/>
      <c r="T374" s="16"/>
      <c r="U374" s="16"/>
      <c r="V374" s="16"/>
      <c r="W374" s="16"/>
      <c r="X374" s="54"/>
      <c r="Z374" s="14"/>
      <c r="AA374" s="16"/>
      <c r="AB374" s="16"/>
      <c r="AC374" s="16"/>
      <c r="AD374" s="16"/>
      <c r="AE374" s="66"/>
      <c r="AF374" s="54"/>
      <c r="AN374" s="54"/>
      <c r="AP374" s="16"/>
      <c r="AQ374" s="16"/>
      <c r="AR374" s="16"/>
      <c r="AS374" s="16"/>
      <c r="AU374" s="54"/>
    </row>
    <row r="375">
      <c r="B375" s="16"/>
      <c r="C375" s="16"/>
      <c r="D375" s="16"/>
      <c r="E375" s="16"/>
      <c r="F375" s="16"/>
      <c r="G375" s="16"/>
      <c r="Q375" s="54"/>
      <c r="R375" s="8"/>
      <c r="S375" s="14"/>
      <c r="T375" s="16"/>
      <c r="U375" s="16"/>
      <c r="V375" s="16"/>
      <c r="W375" s="16"/>
      <c r="X375" s="54"/>
      <c r="Z375" s="14"/>
      <c r="AA375" s="16"/>
      <c r="AB375" s="16"/>
      <c r="AC375" s="16"/>
      <c r="AD375" s="16"/>
      <c r="AE375" s="66"/>
      <c r="AF375" s="54"/>
      <c r="AN375" s="54"/>
      <c r="AP375" s="16"/>
      <c r="AQ375" s="16"/>
      <c r="AR375" s="16"/>
      <c r="AS375" s="16"/>
      <c r="AU375" s="54"/>
    </row>
    <row r="376">
      <c r="B376" s="16"/>
      <c r="C376" s="16"/>
      <c r="D376" s="16"/>
      <c r="E376" s="16"/>
      <c r="F376" s="16"/>
      <c r="G376" s="16"/>
      <c r="Q376" s="54"/>
      <c r="R376" s="8"/>
      <c r="S376" s="14"/>
      <c r="T376" s="16"/>
      <c r="U376" s="16"/>
      <c r="V376" s="16"/>
      <c r="W376" s="16"/>
      <c r="X376" s="54"/>
      <c r="Z376" s="14"/>
      <c r="AA376" s="16"/>
      <c r="AB376" s="16"/>
      <c r="AC376" s="16"/>
      <c r="AD376" s="16"/>
      <c r="AE376" s="66"/>
      <c r="AF376" s="54"/>
      <c r="AN376" s="54"/>
      <c r="AP376" s="16"/>
      <c r="AQ376" s="16"/>
      <c r="AR376" s="16"/>
      <c r="AS376" s="16"/>
      <c r="AU376" s="54"/>
    </row>
    <row r="377">
      <c r="B377" s="16"/>
      <c r="C377" s="16"/>
      <c r="D377" s="16"/>
      <c r="E377" s="16"/>
      <c r="F377" s="16"/>
      <c r="G377" s="16"/>
      <c r="Q377" s="54"/>
      <c r="R377" s="8"/>
      <c r="S377" s="14"/>
      <c r="T377" s="16"/>
      <c r="U377" s="16"/>
      <c r="V377" s="16"/>
      <c r="W377" s="16"/>
      <c r="X377" s="54"/>
      <c r="Z377" s="14"/>
      <c r="AA377" s="16"/>
      <c r="AB377" s="16"/>
      <c r="AC377" s="16"/>
      <c r="AD377" s="16"/>
      <c r="AE377" s="66"/>
      <c r="AF377" s="54"/>
      <c r="AN377" s="54"/>
      <c r="AP377" s="16"/>
      <c r="AQ377" s="16"/>
      <c r="AR377" s="16"/>
      <c r="AS377" s="16"/>
      <c r="AU377" s="54"/>
    </row>
    <row r="378">
      <c r="B378" s="16"/>
      <c r="C378" s="16"/>
      <c r="D378" s="16"/>
      <c r="E378" s="16"/>
      <c r="F378" s="16"/>
      <c r="G378" s="16"/>
      <c r="Q378" s="54"/>
      <c r="R378" s="8"/>
      <c r="S378" s="14"/>
      <c r="T378" s="16"/>
      <c r="U378" s="16"/>
      <c r="V378" s="16"/>
      <c r="W378" s="16"/>
      <c r="X378" s="54"/>
      <c r="Z378" s="14"/>
      <c r="AA378" s="16"/>
      <c r="AB378" s="16"/>
      <c r="AC378" s="16"/>
      <c r="AD378" s="16"/>
      <c r="AE378" s="66"/>
      <c r="AF378" s="54"/>
      <c r="AN378" s="54"/>
      <c r="AP378" s="16"/>
      <c r="AQ378" s="16"/>
      <c r="AR378" s="16"/>
      <c r="AS378" s="16"/>
      <c r="AU378" s="54"/>
    </row>
    <row r="379">
      <c r="B379" s="16"/>
      <c r="C379" s="16"/>
      <c r="D379" s="16"/>
      <c r="E379" s="16"/>
      <c r="F379" s="16"/>
      <c r="G379" s="16"/>
      <c r="Q379" s="54"/>
      <c r="R379" s="8"/>
      <c r="S379" s="14"/>
      <c r="T379" s="16"/>
      <c r="U379" s="16"/>
      <c r="V379" s="16"/>
      <c r="W379" s="16"/>
      <c r="X379" s="54"/>
      <c r="Z379" s="14"/>
      <c r="AA379" s="16"/>
      <c r="AB379" s="16"/>
      <c r="AC379" s="16"/>
      <c r="AD379" s="16"/>
      <c r="AE379" s="66"/>
      <c r="AF379" s="54"/>
      <c r="AN379" s="54"/>
      <c r="AP379" s="16"/>
      <c r="AQ379" s="16"/>
      <c r="AR379" s="16"/>
      <c r="AS379" s="16"/>
      <c r="AU379" s="54"/>
    </row>
    <row r="380">
      <c r="B380" s="16"/>
      <c r="C380" s="16"/>
      <c r="D380" s="16"/>
      <c r="E380" s="16"/>
      <c r="F380" s="16"/>
      <c r="G380" s="16"/>
      <c r="Q380" s="54"/>
      <c r="R380" s="8"/>
      <c r="S380" s="14"/>
      <c r="T380" s="16"/>
      <c r="U380" s="16"/>
      <c r="V380" s="16"/>
      <c r="W380" s="16"/>
      <c r="X380" s="54"/>
      <c r="Z380" s="14"/>
      <c r="AA380" s="16"/>
      <c r="AB380" s="16"/>
      <c r="AC380" s="16"/>
      <c r="AD380" s="16"/>
      <c r="AE380" s="66"/>
      <c r="AF380" s="54"/>
      <c r="AN380" s="54"/>
      <c r="AP380" s="16"/>
      <c r="AQ380" s="16"/>
      <c r="AR380" s="16"/>
      <c r="AS380" s="16"/>
      <c r="AU380" s="54"/>
    </row>
    <row r="381">
      <c r="B381" s="16"/>
      <c r="C381" s="16"/>
      <c r="D381" s="16"/>
      <c r="E381" s="16"/>
      <c r="F381" s="16"/>
      <c r="G381" s="16"/>
      <c r="Q381" s="54"/>
      <c r="R381" s="8"/>
      <c r="S381" s="14"/>
      <c r="T381" s="16"/>
      <c r="U381" s="16"/>
      <c r="V381" s="16"/>
      <c r="W381" s="16"/>
      <c r="X381" s="54"/>
      <c r="Z381" s="14"/>
      <c r="AA381" s="16"/>
      <c r="AB381" s="16"/>
      <c r="AC381" s="16"/>
      <c r="AD381" s="16"/>
      <c r="AE381" s="66"/>
      <c r="AF381" s="54"/>
      <c r="AN381" s="54"/>
      <c r="AP381" s="16"/>
      <c r="AQ381" s="16"/>
      <c r="AR381" s="16"/>
      <c r="AS381" s="16"/>
      <c r="AU381" s="54"/>
    </row>
    <row r="382">
      <c r="B382" s="16"/>
      <c r="C382" s="16"/>
      <c r="D382" s="16"/>
      <c r="E382" s="16"/>
      <c r="F382" s="16"/>
      <c r="G382" s="16"/>
      <c r="Q382" s="54"/>
      <c r="R382" s="8"/>
      <c r="S382" s="14"/>
      <c r="T382" s="16"/>
      <c r="U382" s="16"/>
      <c r="V382" s="16"/>
      <c r="W382" s="16"/>
      <c r="X382" s="54"/>
      <c r="Z382" s="14"/>
      <c r="AA382" s="16"/>
      <c r="AB382" s="16"/>
      <c r="AC382" s="16"/>
      <c r="AD382" s="16"/>
      <c r="AE382" s="66"/>
      <c r="AF382" s="54"/>
      <c r="AN382" s="54"/>
      <c r="AP382" s="16"/>
      <c r="AQ382" s="16"/>
      <c r="AR382" s="16"/>
      <c r="AS382" s="16"/>
      <c r="AU382" s="54"/>
    </row>
    <row r="383">
      <c r="B383" s="16"/>
      <c r="C383" s="16"/>
      <c r="D383" s="16"/>
      <c r="E383" s="16"/>
      <c r="F383" s="16"/>
      <c r="G383" s="16"/>
      <c r="Q383" s="54"/>
      <c r="R383" s="8"/>
      <c r="S383" s="14"/>
      <c r="T383" s="16"/>
      <c r="U383" s="16"/>
      <c r="V383" s="16"/>
      <c r="W383" s="16"/>
      <c r="X383" s="54"/>
      <c r="Z383" s="14"/>
      <c r="AA383" s="16"/>
      <c r="AB383" s="16"/>
      <c r="AC383" s="16"/>
      <c r="AD383" s="16"/>
      <c r="AE383" s="66"/>
      <c r="AF383" s="54"/>
      <c r="AN383" s="54"/>
      <c r="AP383" s="16"/>
      <c r="AQ383" s="16"/>
      <c r="AR383" s="16"/>
      <c r="AS383" s="16"/>
      <c r="AU383" s="54"/>
    </row>
    <row r="384">
      <c r="B384" s="16"/>
      <c r="C384" s="16"/>
      <c r="D384" s="16"/>
      <c r="E384" s="16"/>
      <c r="F384" s="16"/>
      <c r="G384" s="16"/>
      <c r="Q384" s="54"/>
      <c r="R384" s="8"/>
      <c r="S384" s="14"/>
      <c r="T384" s="16"/>
      <c r="U384" s="16"/>
      <c r="V384" s="16"/>
      <c r="W384" s="16"/>
      <c r="X384" s="54"/>
      <c r="Z384" s="14"/>
      <c r="AA384" s="16"/>
      <c r="AB384" s="16"/>
      <c r="AC384" s="16"/>
      <c r="AD384" s="16"/>
      <c r="AE384" s="66"/>
      <c r="AF384" s="54"/>
      <c r="AN384" s="54"/>
      <c r="AP384" s="16"/>
      <c r="AQ384" s="16"/>
      <c r="AR384" s="16"/>
      <c r="AS384" s="16"/>
      <c r="AU384" s="54"/>
    </row>
    <row r="385">
      <c r="B385" s="16"/>
      <c r="C385" s="16"/>
      <c r="D385" s="16"/>
      <c r="E385" s="16"/>
      <c r="F385" s="16"/>
      <c r="G385" s="16"/>
      <c r="Q385" s="54"/>
      <c r="R385" s="8"/>
      <c r="S385" s="14"/>
      <c r="T385" s="16"/>
      <c r="U385" s="16"/>
      <c r="V385" s="16"/>
      <c r="W385" s="16"/>
      <c r="X385" s="54"/>
      <c r="Z385" s="14"/>
      <c r="AA385" s="16"/>
      <c r="AB385" s="16"/>
      <c r="AC385" s="16"/>
      <c r="AD385" s="16"/>
      <c r="AE385" s="66"/>
      <c r="AF385" s="54"/>
      <c r="AN385" s="54"/>
      <c r="AP385" s="16"/>
      <c r="AQ385" s="16"/>
      <c r="AR385" s="16"/>
      <c r="AS385" s="16"/>
      <c r="AU385" s="54"/>
    </row>
    <row r="386">
      <c r="B386" s="16"/>
      <c r="C386" s="16"/>
      <c r="D386" s="16"/>
      <c r="E386" s="16"/>
      <c r="F386" s="16"/>
      <c r="G386" s="16"/>
      <c r="Q386" s="54"/>
      <c r="R386" s="8"/>
      <c r="S386" s="14"/>
      <c r="T386" s="16"/>
      <c r="U386" s="16"/>
      <c r="V386" s="16"/>
      <c r="W386" s="16"/>
      <c r="X386" s="54"/>
      <c r="Z386" s="14"/>
      <c r="AA386" s="16"/>
      <c r="AB386" s="16"/>
      <c r="AC386" s="16"/>
      <c r="AD386" s="16"/>
      <c r="AE386" s="66"/>
      <c r="AF386" s="54"/>
      <c r="AN386" s="54"/>
      <c r="AP386" s="16"/>
      <c r="AQ386" s="16"/>
      <c r="AR386" s="16"/>
      <c r="AS386" s="16"/>
      <c r="AU386" s="54"/>
    </row>
    <row r="387">
      <c r="B387" s="16"/>
      <c r="C387" s="16"/>
      <c r="D387" s="16"/>
      <c r="E387" s="16"/>
      <c r="F387" s="16"/>
      <c r="G387" s="16"/>
      <c r="Q387" s="54"/>
      <c r="R387" s="8"/>
      <c r="S387" s="14"/>
      <c r="T387" s="16"/>
      <c r="U387" s="16"/>
      <c r="V387" s="16"/>
      <c r="W387" s="16"/>
      <c r="X387" s="54"/>
      <c r="Z387" s="14"/>
      <c r="AA387" s="16"/>
      <c r="AB387" s="16"/>
      <c r="AC387" s="16"/>
      <c r="AD387" s="16"/>
      <c r="AE387" s="66"/>
      <c r="AF387" s="54"/>
      <c r="AN387" s="54"/>
      <c r="AP387" s="16"/>
      <c r="AQ387" s="16"/>
      <c r="AR387" s="16"/>
      <c r="AS387" s="16"/>
      <c r="AU387" s="54"/>
    </row>
    <row r="388">
      <c r="B388" s="16"/>
      <c r="C388" s="16"/>
      <c r="D388" s="16"/>
      <c r="E388" s="16"/>
      <c r="F388" s="16"/>
      <c r="G388" s="16"/>
      <c r="Q388" s="54"/>
      <c r="R388" s="8"/>
      <c r="S388" s="14"/>
      <c r="T388" s="16"/>
      <c r="U388" s="16"/>
      <c r="V388" s="16"/>
      <c r="W388" s="16"/>
      <c r="X388" s="54"/>
      <c r="Z388" s="14"/>
      <c r="AA388" s="16"/>
      <c r="AB388" s="16"/>
      <c r="AC388" s="16"/>
      <c r="AD388" s="16"/>
      <c r="AE388" s="66"/>
      <c r="AF388" s="54"/>
      <c r="AN388" s="54"/>
      <c r="AP388" s="16"/>
      <c r="AQ388" s="16"/>
      <c r="AR388" s="16"/>
      <c r="AS388" s="16"/>
      <c r="AU388" s="54"/>
    </row>
    <row r="389">
      <c r="B389" s="16"/>
      <c r="C389" s="16"/>
      <c r="D389" s="16"/>
      <c r="E389" s="16"/>
      <c r="F389" s="16"/>
      <c r="G389" s="16"/>
      <c r="Q389" s="54"/>
      <c r="R389" s="8"/>
      <c r="S389" s="14"/>
      <c r="T389" s="16"/>
      <c r="U389" s="16"/>
      <c r="V389" s="16"/>
      <c r="W389" s="16"/>
      <c r="X389" s="54"/>
      <c r="Z389" s="14"/>
      <c r="AA389" s="16"/>
      <c r="AB389" s="16"/>
      <c r="AC389" s="16"/>
      <c r="AD389" s="16"/>
      <c r="AE389" s="66"/>
      <c r="AF389" s="54"/>
      <c r="AN389" s="54"/>
      <c r="AP389" s="16"/>
      <c r="AQ389" s="16"/>
      <c r="AR389" s="16"/>
      <c r="AS389" s="16"/>
      <c r="AU389" s="54"/>
    </row>
    <row r="390">
      <c r="B390" s="16"/>
      <c r="C390" s="16"/>
      <c r="D390" s="16"/>
      <c r="E390" s="16"/>
      <c r="F390" s="16"/>
      <c r="G390" s="16"/>
      <c r="Q390" s="54"/>
      <c r="R390" s="8"/>
      <c r="S390" s="14"/>
      <c r="T390" s="16"/>
      <c r="U390" s="16"/>
      <c r="V390" s="16"/>
      <c r="W390" s="16"/>
      <c r="X390" s="54"/>
      <c r="Z390" s="14"/>
      <c r="AA390" s="16"/>
      <c r="AB390" s="16"/>
      <c r="AC390" s="16"/>
      <c r="AD390" s="16"/>
      <c r="AE390" s="66"/>
      <c r="AF390" s="54"/>
      <c r="AN390" s="54"/>
      <c r="AP390" s="16"/>
      <c r="AQ390" s="16"/>
      <c r="AR390" s="16"/>
      <c r="AS390" s="16"/>
      <c r="AU390" s="54"/>
    </row>
    <row r="391">
      <c r="B391" s="16"/>
      <c r="C391" s="16"/>
      <c r="D391" s="16"/>
      <c r="E391" s="16"/>
      <c r="F391" s="16"/>
      <c r="G391" s="16"/>
      <c r="Q391" s="54"/>
      <c r="R391" s="8"/>
      <c r="S391" s="14"/>
      <c r="T391" s="16"/>
      <c r="U391" s="16"/>
      <c r="V391" s="16"/>
      <c r="W391" s="16"/>
      <c r="X391" s="54"/>
      <c r="Z391" s="14"/>
      <c r="AA391" s="16"/>
      <c r="AB391" s="16"/>
      <c r="AC391" s="16"/>
      <c r="AD391" s="16"/>
      <c r="AE391" s="66"/>
      <c r="AF391" s="54"/>
      <c r="AN391" s="54"/>
      <c r="AP391" s="16"/>
      <c r="AQ391" s="16"/>
      <c r="AR391" s="16"/>
      <c r="AS391" s="16"/>
      <c r="AU391" s="54"/>
    </row>
    <row r="392">
      <c r="B392" s="16"/>
      <c r="C392" s="16"/>
      <c r="D392" s="16"/>
      <c r="E392" s="16"/>
      <c r="F392" s="16"/>
      <c r="G392" s="16"/>
      <c r="Q392" s="54"/>
      <c r="R392" s="8"/>
      <c r="S392" s="14"/>
      <c r="T392" s="16"/>
      <c r="U392" s="16"/>
      <c r="V392" s="16"/>
      <c r="W392" s="16"/>
      <c r="X392" s="54"/>
      <c r="Z392" s="14"/>
      <c r="AA392" s="16"/>
      <c r="AB392" s="16"/>
      <c r="AC392" s="16"/>
      <c r="AD392" s="16"/>
      <c r="AE392" s="66"/>
      <c r="AF392" s="54"/>
      <c r="AN392" s="54"/>
      <c r="AP392" s="16"/>
      <c r="AQ392" s="16"/>
      <c r="AR392" s="16"/>
      <c r="AS392" s="16"/>
      <c r="AU392" s="54"/>
    </row>
    <row r="393">
      <c r="B393" s="16"/>
      <c r="C393" s="16"/>
      <c r="D393" s="16"/>
      <c r="E393" s="16"/>
      <c r="F393" s="16"/>
      <c r="G393" s="16"/>
      <c r="Q393" s="54"/>
      <c r="R393" s="8"/>
      <c r="S393" s="14"/>
      <c r="T393" s="16"/>
      <c r="U393" s="16"/>
      <c r="V393" s="16"/>
      <c r="W393" s="16"/>
      <c r="X393" s="54"/>
      <c r="Z393" s="14"/>
      <c r="AA393" s="16"/>
      <c r="AB393" s="16"/>
      <c r="AC393" s="16"/>
      <c r="AD393" s="16"/>
      <c r="AE393" s="66"/>
      <c r="AF393" s="54"/>
      <c r="AN393" s="54"/>
      <c r="AP393" s="16"/>
      <c r="AQ393" s="16"/>
      <c r="AR393" s="16"/>
      <c r="AS393" s="16"/>
      <c r="AU393" s="54"/>
    </row>
    <row r="394">
      <c r="B394" s="16"/>
      <c r="C394" s="16"/>
      <c r="D394" s="16"/>
      <c r="E394" s="16"/>
      <c r="F394" s="16"/>
      <c r="G394" s="16"/>
      <c r="Q394" s="54"/>
      <c r="R394" s="8"/>
      <c r="S394" s="14"/>
      <c r="T394" s="16"/>
      <c r="U394" s="16"/>
      <c r="V394" s="16"/>
      <c r="W394" s="16"/>
      <c r="X394" s="54"/>
      <c r="Z394" s="14"/>
      <c r="AA394" s="16"/>
      <c r="AB394" s="16"/>
      <c r="AC394" s="16"/>
      <c r="AD394" s="16"/>
      <c r="AE394" s="66"/>
      <c r="AF394" s="54"/>
      <c r="AN394" s="54"/>
      <c r="AP394" s="16"/>
      <c r="AQ394" s="16"/>
      <c r="AR394" s="16"/>
      <c r="AS394" s="16"/>
      <c r="AU394" s="54"/>
    </row>
    <row r="395">
      <c r="B395" s="16"/>
      <c r="C395" s="16"/>
      <c r="D395" s="16"/>
      <c r="E395" s="16"/>
      <c r="F395" s="16"/>
      <c r="G395" s="16"/>
      <c r="Q395" s="54"/>
      <c r="R395" s="8"/>
      <c r="S395" s="14"/>
      <c r="T395" s="16"/>
      <c r="U395" s="16"/>
      <c r="V395" s="16"/>
      <c r="W395" s="16"/>
      <c r="X395" s="54"/>
      <c r="Z395" s="14"/>
      <c r="AA395" s="16"/>
      <c r="AB395" s="16"/>
      <c r="AC395" s="16"/>
      <c r="AD395" s="16"/>
      <c r="AE395" s="66"/>
      <c r="AF395" s="54"/>
      <c r="AN395" s="54"/>
      <c r="AP395" s="16"/>
      <c r="AQ395" s="16"/>
      <c r="AR395" s="16"/>
      <c r="AS395" s="16"/>
      <c r="AU395" s="54"/>
    </row>
    <row r="396">
      <c r="B396" s="16"/>
      <c r="C396" s="16"/>
      <c r="D396" s="16"/>
      <c r="E396" s="16"/>
      <c r="F396" s="16"/>
      <c r="G396" s="16"/>
      <c r="Q396" s="54"/>
      <c r="R396" s="8"/>
      <c r="S396" s="14"/>
      <c r="T396" s="16"/>
      <c r="U396" s="16"/>
      <c r="V396" s="16"/>
      <c r="W396" s="16"/>
      <c r="X396" s="54"/>
      <c r="Z396" s="14"/>
      <c r="AA396" s="16"/>
      <c r="AB396" s="16"/>
      <c r="AC396" s="16"/>
      <c r="AD396" s="16"/>
      <c r="AE396" s="66"/>
      <c r="AF396" s="54"/>
      <c r="AN396" s="54"/>
      <c r="AP396" s="16"/>
      <c r="AQ396" s="16"/>
      <c r="AR396" s="16"/>
      <c r="AS396" s="16"/>
      <c r="AU396" s="54"/>
    </row>
    <row r="397">
      <c r="B397" s="16"/>
      <c r="C397" s="16"/>
      <c r="D397" s="16"/>
      <c r="E397" s="16"/>
      <c r="F397" s="16"/>
      <c r="G397" s="16"/>
      <c r="Q397" s="54"/>
      <c r="R397" s="8"/>
      <c r="S397" s="14"/>
      <c r="T397" s="16"/>
      <c r="U397" s="16"/>
      <c r="V397" s="16"/>
      <c r="W397" s="16"/>
      <c r="X397" s="54"/>
      <c r="Z397" s="14"/>
      <c r="AA397" s="16"/>
      <c r="AB397" s="16"/>
      <c r="AC397" s="16"/>
      <c r="AD397" s="16"/>
      <c r="AE397" s="66"/>
      <c r="AF397" s="54"/>
      <c r="AN397" s="54"/>
      <c r="AP397" s="16"/>
      <c r="AQ397" s="16"/>
      <c r="AR397" s="16"/>
      <c r="AS397" s="16"/>
      <c r="AU397" s="54"/>
    </row>
    <row r="398">
      <c r="B398" s="16"/>
      <c r="C398" s="16"/>
      <c r="D398" s="16"/>
      <c r="E398" s="16"/>
      <c r="F398" s="16"/>
      <c r="G398" s="16"/>
      <c r="Q398" s="54"/>
      <c r="R398" s="8"/>
      <c r="S398" s="14"/>
      <c r="T398" s="16"/>
      <c r="U398" s="16"/>
      <c r="V398" s="16"/>
      <c r="W398" s="16"/>
      <c r="X398" s="54"/>
      <c r="Z398" s="14"/>
      <c r="AA398" s="16"/>
      <c r="AB398" s="16"/>
      <c r="AC398" s="16"/>
      <c r="AD398" s="16"/>
      <c r="AE398" s="66"/>
      <c r="AF398" s="54"/>
      <c r="AN398" s="54"/>
      <c r="AP398" s="16"/>
      <c r="AQ398" s="16"/>
      <c r="AR398" s="16"/>
      <c r="AS398" s="16"/>
      <c r="AU398" s="54"/>
    </row>
    <row r="399">
      <c r="B399" s="16"/>
      <c r="C399" s="16"/>
      <c r="D399" s="16"/>
      <c r="E399" s="16"/>
      <c r="F399" s="16"/>
      <c r="G399" s="16"/>
      <c r="Q399" s="54"/>
      <c r="R399" s="8"/>
      <c r="S399" s="14"/>
      <c r="T399" s="16"/>
      <c r="U399" s="16"/>
      <c r="V399" s="16"/>
      <c r="W399" s="16"/>
      <c r="X399" s="54"/>
      <c r="Z399" s="14"/>
      <c r="AA399" s="16"/>
      <c r="AB399" s="16"/>
      <c r="AC399" s="16"/>
      <c r="AD399" s="16"/>
      <c r="AE399" s="66"/>
      <c r="AF399" s="54"/>
      <c r="AN399" s="54"/>
      <c r="AP399" s="16"/>
      <c r="AQ399" s="16"/>
      <c r="AR399" s="16"/>
      <c r="AS399" s="16"/>
      <c r="AU399" s="54"/>
    </row>
    <row r="400">
      <c r="B400" s="16"/>
      <c r="C400" s="16"/>
      <c r="D400" s="16"/>
      <c r="E400" s="16"/>
      <c r="F400" s="16"/>
      <c r="G400" s="16"/>
      <c r="Q400" s="54"/>
      <c r="R400" s="8"/>
      <c r="S400" s="14"/>
      <c r="T400" s="16"/>
      <c r="U400" s="16"/>
      <c r="V400" s="16"/>
      <c r="W400" s="16"/>
      <c r="X400" s="54"/>
      <c r="Z400" s="14"/>
      <c r="AA400" s="16"/>
      <c r="AB400" s="16"/>
      <c r="AC400" s="16"/>
      <c r="AD400" s="16"/>
      <c r="AE400" s="66"/>
      <c r="AF400" s="54"/>
      <c r="AN400" s="54"/>
      <c r="AP400" s="16"/>
      <c r="AQ400" s="16"/>
      <c r="AR400" s="16"/>
      <c r="AS400" s="16"/>
      <c r="AU400" s="54"/>
    </row>
    <row r="401">
      <c r="B401" s="16"/>
      <c r="C401" s="16"/>
      <c r="D401" s="16"/>
      <c r="E401" s="16"/>
      <c r="F401" s="16"/>
      <c r="G401" s="16"/>
      <c r="Q401" s="54"/>
      <c r="R401" s="8"/>
      <c r="S401" s="14"/>
      <c r="T401" s="16"/>
      <c r="U401" s="16"/>
      <c r="V401" s="16"/>
      <c r="W401" s="16"/>
      <c r="X401" s="54"/>
      <c r="Z401" s="14"/>
      <c r="AA401" s="16"/>
      <c r="AB401" s="16"/>
      <c r="AC401" s="16"/>
      <c r="AD401" s="16"/>
      <c r="AE401" s="66"/>
      <c r="AF401" s="54"/>
      <c r="AN401" s="54"/>
      <c r="AP401" s="16"/>
      <c r="AQ401" s="16"/>
      <c r="AR401" s="16"/>
      <c r="AS401" s="16"/>
      <c r="AU401" s="54"/>
    </row>
    <row r="402">
      <c r="B402" s="16"/>
      <c r="C402" s="16"/>
      <c r="D402" s="16"/>
      <c r="E402" s="16"/>
      <c r="F402" s="16"/>
      <c r="G402" s="16"/>
      <c r="Q402" s="54"/>
      <c r="R402" s="8"/>
      <c r="S402" s="14"/>
      <c r="T402" s="16"/>
      <c r="U402" s="16"/>
      <c r="V402" s="16"/>
      <c r="W402" s="16"/>
      <c r="X402" s="54"/>
      <c r="Z402" s="14"/>
      <c r="AA402" s="16"/>
      <c r="AB402" s="16"/>
      <c r="AC402" s="16"/>
      <c r="AD402" s="16"/>
      <c r="AE402" s="66"/>
      <c r="AF402" s="54"/>
      <c r="AN402" s="54"/>
      <c r="AP402" s="16"/>
      <c r="AQ402" s="16"/>
      <c r="AR402" s="16"/>
      <c r="AS402" s="16"/>
      <c r="AU402" s="54"/>
    </row>
    <row r="403">
      <c r="B403" s="16"/>
      <c r="C403" s="16"/>
      <c r="D403" s="16"/>
      <c r="E403" s="16"/>
      <c r="F403" s="16"/>
      <c r="G403" s="16"/>
      <c r="Q403" s="54"/>
      <c r="R403" s="8"/>
      <c r="S403" s="14"/>
      <c r="T403" s="16"/>
      <c r="U403" s="16"/>
      <c r="V403" s="16"/>
      <c r="W403" s="16"/>
      <c r="X403" s="54"/>
      <c r="Z403" s="14"/>
      <c r="AA403" s="16"/>
      <c r="AB403" s="16"/>
      <c r="AC403" s="16"/>
      <c r="AD403" s="16"/>
      <c r="AE403" s="66"/>
      <c r="AF403" s="54"/>
      <c r="AN403" s="54"/>
      <c r="AP403" s="16"/>
      <c r="AQ403" s="16"/>
      <c r="AR403" s="16"/>
      <c r="AS403" s="16"/>
      <c r="AU403" s="54"/>
    </row>
    <row r="404">
      <c r="B404" s="16"/>
      <c r="C404" s="16"/>
      <c r="D404" s="16"/>
      <c r="E404" s="16"/>
      <c r="F404" s="16"/>
      <c r="G404" s="16"/>
      <c r="Q404" s="54"/>
      <c r="R404" s="8"/>
      <c r="S404" s="14"/>
      <c r="T404" s="16"/>
      <c r="U404" s="16"/>
      <c r="V404" s="16"/>
      <c r="W404" s="16"/>
      <c r="X404" s="54"/>
      <c r="Z404" s="14"/>
      <c r="AA404" s="16"/>
      <c r="AB404" s="16"/>
      <c r="AC404" s="16"/>
      <c r="AD404" s="16"/>
      <c r="AE404" s="66"/>
      <c r="AF404" s="54"/>
      <c r="AN404" s="54"/>
      <c r="AP404" s="16"/>
      <c r="AQ404" s="16"/>
      <c r="AR404" s="16"/>
      <c r="AS404" s="16"/>
      <c r="AU404" s="54"/>
    </row>
    <row r="405">
      <c r="B405" s="16"/>
      <c r="C405" s="16"/>
      <c r="D405" s="16"/>
      <c r="E405" s="16"/>
      <c r="F405" s="16"/>
      <c r="G405" s="16"/>
      <c r="Q405" s="54"/>
      <c r="R405" s="8"/>
      <c r="S405" s="14"/>
      <c r="T405" s="16"/>
      <c r="U405" s="16"/>
      <c r="V405" s="16"/>
      <c r="W405" s="16"/>
      <c r="X405" s="54"/>
      <c r="Z405" s="14"/>
      <c r="AA405" s="16"/>
      <c r="AB405" s="16"/>
      <c r="AC405" s="16"/>
      <c r="AD405" s="16"/>
      <c r="AE405" s="66"/>
      <c r="AF405" s="54"/>
      <c r="AN405" s="54"/>
      <c r="AP405" s="16"/>
      <c r="AQ405" s="16"/>
      <c r="AR405" s="16"/>
      <c r="AS405" s="16"/>
      <c r="AU405" s="54"/>
    </row>
    <row r="406">
      <c r="B406" s="16"/>
      <c r="C406" s="16"/>
      <c r="D406" s="16"/>
      <c r="E406" s="16"/>
      <c r="F406" s="16"/>
      <c r="G406" s="16"/>
      <c r="Q406" s="54"/>
      <c r="R406" s="8"/>
      <c r="S406" s="14"/>
      <c r="T406" s="16"/>
      <c r="U406" s="16"/>
      <c r="V406" s="16"/>
      <c r="W406" s="16"/>
      <c r="X406" s="54"/>
      <c r="Z406" s="14"/>
      <c r="AA406" s="16"/>
      <c r="AB406" s="16"/>
      <c r="AC406" s="16"/>
      <c r="AD406" s="16"/>
      <c r="AE406" s="66"/>
      <c r="AF406" s="54"/>
      <c r="AN406" s="54"/>
      <c r="AP406" s="16"/>
      <c r="AQ406" s="16"/>
      <c r="AR406" s="16"/>
      <c r="AS406" s="16"/>
      <c r="AU406" s="54"/>
    </row>
    <row r="407">
      <c r="B407" s="16"/>
      <c r="C407" s="16"/>
      <c r="D407" s="16"/>
      <c r="E407" s="16"/>
      <c r="F407" s="16"/>
      <c r="G407" s="16"/>
      <c r="Q407" s="54"/>
      <c r="R407" s="8"/>
      <c r="S407" s="14"/>
      <c r="T407" s="16"/>
      <c r="U407" s="16"/>
      <c r="V407" s="16"/>
      <c r="W407" s="16"/>
      <c r="X407" s="54"/>
      <c r="Z407" s="14"/>
      <c r="AA407" s="16"/>
      <c r="AB407" s="16"/>
      <c r="AC407" s="16"/>
      <c r="AD407" s="16"/>
      <c r="AE407" s="66"/>
      <c r="AF407" s="54"/>
      <c r="AN407" s="54"/>
      <c r="AP407" s="16"/>
      <c r="AQ407" s="16"/>
      <c r="AR407" s="16"/>
      <c r="AS407" s="16"/>
      <c r="AU407" s="54"/>
    </row>
    <row r="408">
      <c r="B408" s="16"/>
      <c r="C408" s="16"/>
      <c r="D408" s="16"/>
      <c r="E408" s="16"/>
      <c r="F408" s="16"/>
      <c r="G408" s="16"/>
      <c r="Q408" s="54"/>
      <c r="R408" s="8"/>
      <c r="S408" s="14"/>
      <c r="T408" s="16"/>
      <c r="U408" s="16"/>
      <c r="V408" s="16"/>
      <c r="W408" s="16"/>
      <c r="X408" s="54"/>
      <c r="Z408" s="14"/>
      <c r="AA408" s="16"/>
      <c r="AB408" s="16"/>
      <c r="AC408" s="16"/>
      <c r="AD408" s="16"/>
      <c r="AE408" s="66"/>
      <c r="AF408" s="54"/>
      <c r="AN408" s="54"/>
      <c r="AP408" s="16"/>
      <c r="AQ408" s="16"/>
      <c r="AR408" s="16"/>
      <c r="AS408" s="16"/>
      <c r="AU408" s="54"/>
    </row>
    <row r="409">
      <c r="B409" s="16"/>
      <c r="C409" s="16"/>
      <c r="D409" s="16"/>
      <c r="E409" s="16"/>
      <c r="F409" s="16"/>
      <c r="G409" s="16"/>
      <c r="Q409" s="54"/>
      <c r="R409" s="8"/>
      <c r="S409" s="14"/>
      <c r="T409" s="16"/>
      <c r="U409" s="16"/>
      <c r="V409" s="16"/>
      <c r="W409" s="16"/>
      <c r="X409" s="54"/>
      <c r="Z409" s="14"/>
      <c r="AA409" s="16"/>
      <c r="AB409" s="16"/>
      <c r="AC409" s="16"/>
      <c r="AD409" s="16"/>
      <c r="AE409" s="66"/>
      <c r="AF409" s="54"/>
      <c r="AN409" s="54"/>
      <c r="AP409" s="16"/>
      <c r="AQ409" s="16"/>
      <c r="AR409" s="16"/>
      <c r="AS409" s="16"/>
      <c r="AU409" s="54"/>
    </row>
    <row r="410">
      <c r="B410" s="16"/>
      <c r="C410" s="16"/>
      <c r="D410" s="16"/>
      <c r="E410" s="16"/>
      <c r="F410" s="16"/>
      <c r="G410" s="16"/>
      <c r="Q410" s="54"/>
      <c r="R410" s="8"/>
      <c r="S410" s="14"/>
      <c r="T410" s="16"/>
      <c r="U410" s="16"/>
      <c r="V410" s="16"/>
      <c r="W410" s="16"/>
      <c r="X410" s="54"/>
      <c r="Z410" s="14"/>
      <c r="AA410" s="16"/>
      <c r="AB410" s="16"/>
      <c r="AC410" s="16"/>
      <c r="AD410" s="16"/>
      <c r="AE410" s="66"/>
      <c r="AF410" s="54"/>
      <c r="AN410" s="54"/>
      <c r="AP410" s="16"/>
      <c r="AQ410" s="16"/>
      <c r="AR410" s="16"/>
      <c r="AS410" s="16"/>
      <c r="AU410" s="54"/>
    </row>
    <row r="411">
      <c r="B411" s="16"/>
      <c r="C411" s="16"/>
      <c r="D411" s="16"/>
      <c r="E411" s="16"/>
      <c r="F411" s="16"/>
      <c r="G411" s="16"/>
      <c r="Q411" s="54"/>
      <c r="R411" s="8"/>
      <c r="S411" s="14"/>
      <c r="T411" s="16"/>
      <c r="U411" s="16"/>
      <c r="V411" s="16"/>
      <c r="W411" s="16"/>
      <c r="X411" s="54"/>
      <c r="Z411" s="14"/>
      <c r="AA411" s="16"/>
      <c r="AB411" s="16"/>
      <c r="AC411" s="16"/>
      <c r="AD411" s="16"/>
      <c r="AE411" s="66"/>
      <c r="AF411" s="54"/>
      <c r="AN411" s="54"/>
      <c r="AP411" s="16"/>
      <c r="AQ411" s="16"/>
      <c r="AR411" s="16"/>
      <c r="AS411" s="16"/>
      <c r="AU411" s="54"/>
    </row>
    <row r="412">
      <c r="B412" s="16"/>
      <c r="C412" s="16"/>
      <c r="D412" s="16"/>
      <c r="E412" s="16"/>
      <c r="F412" s="16"/>
      <c r="G412" s="16"/>
      <c r="Q412" s="54"/>
      <c r="R412" s="8"/>
      <c r="S412" s="14"/>
      <c r="T412" s="16"/>
      <c r="U412" s="16"/>
      <c r="V412" s="16"/>
      <c r="W412" s="16"/>
      <c r="X412" s="54"/>
      <c r="Z412" s="14"/>
      <c r="AA412" s="16"/>
      <c r="AB412" s="16"/>
      <c r="AC412" s="16"/>
      <c r="AD412" s="16"/>
      <c r="AE412" s="66"/>
      <c r="AF412" s="54"/>
      <c r="AN412" s="54"/>
      <c r="AP412" s="16"/>
      <c r="AQ412" s="16"/>
      <c r="AR412" s="16"/>
      <c r="AS412" s="16"/>
      <c r="AU412" s="54"/>
    </row>
    <row r="413">
      <c r="B413" s="16"/>
      <c r="C413" s="16"/>
      <c r="D413" s="16"/>
      <c r="E413" s="16"/>
      <c r="F413" s="16"/>
      <c r="G413" s="16"/>
      <c r="Q413" s="54"/>
      <c r="R413" s="8"/>
      <c r="S413" s="14"/>
      <c r="T413" s="16"/>
      <c r="U413" s="16"/>
      <c r="V413" s="16"/>
      <c r="W413" s="16"/>
      <c r="X413" s="54"/>
      <c r="Z413" s="14"/>
      <c r="AA413" s="16"/>
      <c r="AB413" s="16"/>
      <c r="AC413" s="16"/>
      <c r="AD413" s="16"/>
      <c r="AE413" s="66"/>
      <c r="AF413" s="54"/>
      <c r="AN413" s="54"/>
      <c r="AP413" s="16"/>
      <c r="AQ413" s="16"/>
      <c r="AR413" s="16"/>
      <c r="AS413" s="16"/>
      <c r="AU413" s="54"/>
    </row>
    <row r="414">
      <c r="B414" s="16"/>
      <c r="C414" s="16"/>
      <c r="D414" s="16"/>
      <c r="E414" s="16"/>
      <c r="F414" s="16"/>
      <c r="G414" s="16"/>
      <c r="Q414" s="54"/>
      <c r="R414" s="8"/>
      <c r="S414" s="14"/>
      <c r="T414" s="16"/>
      <c r="U414" s="16"/>
      <c r="V414" s="16"/>
      <c r="W414" s="16"/>
      <c r="X414" s="54"/>
      <c r="Z414" s="14"/>
      <c r="AA414" s="16"/>
      <c r="AB414" s="16"/>
      <c r="AC414" s="16"/>
      <c r="AD414" s="16"/>
      <c r="AE414" s="66"/>
      <c r="AF414" s="54"/>
      <c r="AN414" s="54"/>
      <c r="AP414" s="16"/>
      <c r="AQ414" s="16"/>
      <c r="AR414" s="16"/>
      <c r="AS414" s="16"/>
      <c r="AU414" s="54"/>
    </row>
    <row r="415">
      <c r="B415" s="16"/>
      <c r="C415" s="16"/>
      <c r="D415" s="16"/>
      <c r="E415" s="16"/>
      <c r="F415" s="16"/>
      <c r="G415" s="16"/>
      <c r="Q415" s="54"/>
      <c r="R415" s="8"/>
      <c r="S415" s="14"/>
      <c r="T415" s="16"/>
      <c r="U415" s="16"/>
      <c r="V415" s="16"/>
      <c r="W415" s="16"/>
      <c r="X415" s="54"/>
      <c r="Z415" s="14"/>
      <c r="AA415" s="16"/>
      <c r="AB415" s="16"/>
      <c r="AC415" s="16"/>
      <c r="AD415" s="16"/>
      <c r="AE415" s="66"/>
      <c r="AF415" s="54"/>
      <c r="AN415" s="54"/>
      <c r="AP415" s="16"/>
      <c r="AQ415" s="16"/>
      <c r="AR415" s="16"/>
      <c r="AS415" s="16"/>
      <c r="AU415" s="54"/>
    </row>
    <row r="416">
      <c r="B416" s="16"/>
      <c r="C416" s="16"/>
      <c r="D416" s="16"/>
      <c r="E416" s="16"/>
      <c r="F416" s="16"/>
      <c r="G416" s="16"/>
      <c r="Q416" s="54"/>
      <c r="R416" s="8"/>
      <c r="S416" s="14"/>
      <c r="T416" s="16"/>
      <c r="U416" s="16"/>
      <c r="V416" s="16"/>
      <c r="W416" s="16"/>
      <c r="X416" s="54"/>
      <c r="Z416" s="14"/>
      <c r="AA416" s="16"/>
      <c r="AB416" s="16"/>
      <c r="AC416" s="16"/>
      <c r="AD416" s="16"/>
      <c r="AE416" s="66"/>
      <c r="AF416" s="54"/>
      <c r="AN416" s="54"/>
      <c r="AP416" s="16"/>
      <c r="AQ416" s="16"/>
      <c r="AR416" s="16"/>
      <c r="AS416" s="16"/>
      <c r="AU416" s="54"/>
    </row>
    <row r="417">
      <c r="B417" s="16"/>
      <c r="C417" s="16"/>
      <c r="D417" s="16"/>
      <c r="E417" s="16"/>
      <c r="F417" s="16"/>
      <c r="G417" s="16"/>
      <c r="Q417" s="54"/>
      <c r="R417" s="8"/>
      <c r="S417" s="14"/>
      <c r="T417" s="16"/>
      <c r="U417" s="16"/>
      <c r="V417" s="16"/>
      <c r="W417" s="16"/>
      <c r="X417" s="54"/>
      <c r="Z417" s="14"/>
      <c r="AA417" s="16"/>
      <c r="AB417" s="16"/>
      <c r="AC417" s="16"/>
      <c r="AD417" s="16"/>
      <c r="AE417" s="66"/>
      <c r="AF417" s="54"/>
      <c r="AN417" s="54"/>
      <c r="AP417" s="16"/>
      <c r="AQ417" s="16"/>
      <c r="AR417" s="16"/>
      <c r="AS417" s="16"/>
      <c r="AU417" s="54"/>
    </row>
    <row r="418">
      <c r="B418" s="16"/>
      <c r="C418" s="16"/>
      <c r="D418" s="16"/>
      <c r="E418" s="16"/>
      <c r="F418" s="16"/>
      <c r="G418" s="16"/>
      <c r="Q418" s="54"/>
      <c r="R418" s="8"/>
      <c r="S418" s="14"/>
      <c r="T418" s="16"/>
      <c r="U418" s="16"/>
      <c r="V418" s="16"/>
      <c r="W418" s="16"/>
      <c r="X418" s="54"/>
      <c r="Z418" s="14"/>
      <c r="AA418" s="16"/>
      <c r="AB418" s="16"/>
      <c r="AC418" s="16"/>
      <c r="AD418" s="16"/>
      <c r="AE418" s="66"/>
      <c r="AF418" s="54"/>
      <c r="AN418" s="54"/>
      <c r="AP418" s="16"/>
      <c r="AQ418" s="16"/>
      <c r="AR418" s="16"/>
      <c r="AS418" s="16"/>
      <c r="AU418" s="54"/>
    </row>
    <row r="419">
      <c r="B419" s="16"/>
      <c r="C419" s="16"/>
      <c r="D419" s="16"/>
      <c r="E419" s="16"/>
      <c r="F419" s="16"/>
      <c r="G419" s="16"/>
      <c r="Q419" s="54"/>
      <c r="R419" s="8"/>
      <c r="S419" s="14"/>
      <c r="T419" s="16"/>
      <c r="U419" s="16"/>
      <c r="V419" s="16"/>
      <c r="W419" s="16"/>
      <c r="X419" s="54"/>
      <c r="Z419" s="14"/>
      <c r="AA419" s="16"/>
      <c r="AB419" s="16"/>
      <c r="AC419" s="16"/>
      <c r="AD419" s="16"/>
      <c r="AE419" s="66"/>
      <c r="AF419" s="54"/>
      <c r="AN419" s="54"/>
      <c r="AP419" s="16"/>
      <c r="AQ419" s="16"/>
      <c r="AR419" s="16"/>
      <c r="AS419" s="16"/>
      <c r="AU419" s="54"/>
    </row>
    <row r="420">
      <c r="B420" s="16"/>
      <c r="C420" s="16"/>
      <c r="D420" s="16"/>
      <c r="E420" s="16"/>
      <c r="F420" s="16"/>
      <c r="G420" s="16"/>
      <c r="Q420" s="54"/>
      <c r="R420" s="8"/>
      <c r="S420" s="14"/>
      <c r="T420" s="16"/>
      <c r="U420" s="16"/>
      <c r="V420" s="16"/>
      <c r="W420" s="16"/>
      <c r="X420" s="54"/>
      <c r="Z420" s="14"/>
      <c r="AA420" s="16"/>
      <c r="AB420" s="16"/>
      <c r="AC420" s="16"/>
      <c r="AD420" s="16"/>
      <c r="AE420" s="66"/>
      <c r="AF420" s="54"/>
      <c r="AN420" s="54"/>
      <c r="AP420" s="16"/>
      <c r="AQ420" s="16"/>
      <c r="AR420" s="16"/>
      <c r="AS420" s="16"/>
      <c r="AU420" s="54"/>
    </row>
    <row r="421">
      <c r="B421" s="16"/>
      <c r="C421" s="16"/>
      <c r="D421" s="16"/>
      <c r="E421" s="16"/>
      <c r="F421" s="16"/>
      <c r="G421" s="16"/>
      <c r="Q421" s="54"/>
      <c r="R421" s="8"/>
      <c r="S421" s="14"/>
      <c r="T421" s="16"/>
      <c r="U421" s="16"/>
      <c r="V421" s="16"/>
      <c r="W421" s="16"/>
      <c r="X421" s="54"/>
      <c r="Z421" s="14"/>
      <c r="AA421" s="16"/>
      <c r="AB421" s="16"/>
      <c r="AC421" s="16"/>
      <c r="AD421" s="16"/>
      <c r="AE421" s="66"/>
      <c r="AF421" s="54"/>
      <c r="AN421" s="54"/>
      <c r="AP421" s="16"/>
      <c r="AQ421" s="16"/>
      <c r="AR421" s="16"/>
      <c r="AS421" s="16"/>
      <c r="AU421" s="54"/>
    </row>
    <row r="422">
      <c r="B422" s="16"/>
      <c r="C422" s="16"/>
      <c r="D422" s="16"/>
      <c r="E422" s="16"/>
      <c r="F422" s="16"/>
      <c r="G422" s="16"/>
      <c r="Q422" s="54"/>
      <c r="R422" s="8"/>
      <c r="S422" s="14"/>
      <c r="T422" s="16"/>
      <c r="U422" s="16"/>
      <c r="V422" s="16"/>
      <c r="W422" s="16"/>
      <c r="X422" s="54"/>
      <c r="Z422" s="14"/>
      <c r="AA422" s="16"/>
      <c r="AB422" s="16"/>
      <c r="AC422" s="16"/>
      <c r="AD422" s="16"/>
      <c r="AE422" s="66"/>
      <c r="AF422" s="54"/>
      <c r="AN422" s="54"/>
      <c r="AP422" s="16"/>
      <c r="AQ422" s="16"/>
      <c r="AR422" s="16"/>
      <c r="AS422" s="16"/>
      <c r="AU422" s="54"/>
    </row>
    <row r="423">
      <c r="B423" s="16"/>
      <c r="C423" s="16"/>
      <c r="D423" s="16"/>
      <c r="E423" s="16"/>
      <c r="F423" s="16"/>
      <c r="G423" s="16"/>
      <c r="Q423" s="54"/>
      <c r="R423" s="8"/>
      <c r="S423" s="14"/>
      <c r="T423" s="16"/>
      <c r="U423" s="16"/>
      <c r="V423" s="16"/>
      <c r="W423" s="16"/>
      <c r="X423" s="54"/>
      <c r="Z423" s="14"/>
      <c r="AA423" s="16"/>
      <c r="AB423" s="16"/>
      <c r="AC423" s="16"/>
      <c r="AD423" s="16"/>
      <c r="AE423" s="66"/>
      <c r="AF423" s="54"/>
      <c r="AN423" s="54"/>
      <c r="AP423" s="16"/>
      <c r="AQ423" s="16"/>
      <c r="AR423" s="16"/>
      <c r="AS423" s="16"/>
      <c r="AU423" s="54"/>
    </row>
    <row r="424">
      <c r="B424" s="16"/>
      <c r="C424" s="16"/>
      <c r="D424" s="16"/>
      <c r="E424" s="16"/>
      <c r="F424" s="16"/>
      <c r="G424" s="16"/>
      <c r="Q424" s="54"/>
      <c r="R424" s="8"/>
      <c r="S424" s="14"/>
      <c r="T424" s="16"/>
      <c r="U424" s="16"/>
      <c r="V424" s="16"/>
      <c r="W424" s="16"/>
      <c r="X424" s="54"/>
      <c r="Z424" s="14"/>
      <c r="AA424" s="16"/>
      <c r="AB424" s="16"/>
      <c r="AC424" s="16"/>
      <c r="AD424" s="16"/>
      <c r="AE424" s="66"/>
      <c r="AF424" s="54"/>
      <c r="AN424" s="54"/>
      <c r="AP424" s="16"/>
      <c r="AQ424" s="16"/>
      <c r="AR424" s="16"/>
      <c r="AS424" s="16"/>
      <c r="AU424" s="54"/>
    </row>
    <row r="425">
      <c r="B425" s="16"/>
      <c r="C425" s="16"/>
      <c r="D425" s="16"/>
      <c r="E425" s="16"/>
      <c r="F425" s="16"/>
      <c r="G425" s="16"/>
      <c r="Q425" s="54"/>
      <c r="R425" s="8"/>
      <c r="S425" s="14"/>
      <c r="T425" s="16"/>
      <c r="U425" s="16"/>
      <c r="V425" s="16"/>
      <c r="W425" s="16"/>
      <c r="X425" s="54"/>
      <c r="Z425" s="14"/>
      <c r="AA425" s="16"/>
      <c r="AB425" s="16"/>
      <c r="AC425" s="16"/>
      <c r="AD425" s="16"/>
      <c r="AE425" s="66"/>
      <c r="AF425" s="54"/>
      <c r="AN425" s="54"/>
      <c r="AP425" s="16"/>
      <c r="AQ425" s="16"/>
      <c r="AR425" s="16"/>
      <c r="AS425" s="16"/>
      <c r="AU425" s="54"/>
    </row>
    <row r="426">
      <c r="B426" s="16"/>
      <c r="C426" s="16"/>
      <c r="D426" s="16"/>
      <c r="E426" s="16"/>
      <c r="F426" s="16"/>
      <c r="G426" s="16"/>
      <c r="Q426" s="54"/>
      <c r="R426" s="8"/>
      <c r="S426" s="14"/>
      <c r="T426" s="16"/>
      <c r="U426" s="16"/>
      <c r="V426" s="16"/>
      <c r="W426" s="16"/>
      <c r="X426" s="54"/>
      <c r="Z426" s="14"/>
      <c r="AA426" s="16"/>
      <c r="AB426" s="16"/>
      <c r="AC426" s="16"/>
      <c r="AD426" s="16"/>
      <c r="AE426" s="66"/>
      <c r="AF426" s="54"/>
      <c r="AN426" s="54"/>
      <c r="AP426" s="16"/>
      <c r="AQ426" s="16"/>
      <c r="AR426" s="16"/>
      <c r="AS426" s="16"/>
      <c r="AU426" s="54"/>
    </row>
    <row r="427">
      <c r="B427" s="16"/>
      <c r="C427" s="16"/>
      <c r="D427" s="16"/>
      <c r="E427" s="16"/>
      <c r="F427" s="16"/>
      <c r="G427" s="16"/>
      <c r="Q427" s="54"/>
      <c r="R427" s="8"/>
      <c r="S427" s="14"/>
      <c r="T427" s="16"/>
      <c r="U427" s="16"/>
      <c r="V427" s="16"/>
      <c r="W427" s="16"/>
      <c r="X427" s="54"/>
      <c r="Z427" s="14"/>
      <c r="AA427" s="16"/>
      <c r="AB427" s="16"/>
      <c r="AC427" s="16"/>
      <c r="AD427" s="16"/>
      <c r="AE427" s="66"/>
      <c r="AF427" s="54"/>
      <c r="AN427" s="54"/>
      <c r="AP427" s="16"/>
      <c r="AQ427" s="16"/>
      <c r="AR427" s="16"/>
      <c r="AS427" s="16"/>
      <c r="AU427" s="54"/>
    </row>
    <row r="428">
      <c r="B428" s="16"/>
      <c r="C428" s="16"/>
      <c r="D428" s="16"/>
      <c r="E428" s="16"/>
      <c r="F428" s="16"/>
      <c r="G428" s="16"/>
      <c r="Q428" s="54"/>
      <c r="R428" s="8"/>
      <c r="S428" s="14"/>
      <c r="T428" s="16"/>
      <c r="U428" s="16"/>
      <c r="V428" s="16"/>
      <c r="W428" s="16"/>
      <c r="X428" s="54"/>
      <c r="Z428" s="14"/>
      <c r="AA428" s="16"/>
      <c r="AB428" s="16"/>
      <c r="AC428" s="16"/>
      <c r="AD428" s="16"/>
      <c r="AE428" s="66"/>
      <c r="AF428" s="54"/>
      <c r="AN428" s="54"/>
      <c r="AP428" s="16"/>
      <c r="AQ428" s="16"/>
      <c r="AR428" s="16"/>
      <c r="AS428" s="16"/>
      <c r="AU428" s="54"/>
    </row>
    <row r="429">
      <c r="B429" s="16"/>
      <c r="C429" s="16"/>
      <c r="D429" s="16"/>
      <c r="E429" s="16"/>
      <c r="F429" s="16"/>
      <c r="G429" s="16"/>
      <c r="Q429" s="54"/>
      <c r="R429" s="8"/>
      <c r="S429" s="14"/>
      <c r="T429" s="16"/>
      <c r="U429" s="16"/>
      <c r="V429" s="16"/>
      <c r="W429" s="16"/>
      <c r="X429" s="54"/>
      <c r="Z429" s="14"/>
      <c r="AA429" s="16"/>
      <c r="AB429" s="16"/>
      <c r="AC429" s="16"/>
      <c r="AD429" s="16"/>
      <c r="AE429" s="66"/>
      <c r="AF429" s="54"/>
      <c r="AN429" s="54"/>
      <c r="AP429" s="16"/>
      <c r="AQ429" s="16"/>
      <c r="AR429" s="16"/>
      <c r="AS429" s="16"/>
      <c r="AU429" s="54"/>
    </row>
    <row r="430">
      <c r="B430" s="16"/>
      <c r="C430" s="16"/>
      <c r="D430" s="16"/>
      <c r="E430" s="16"/>
      <c r="F430" s="16"/>
      <c r="G430" s="16"/>
      <c r="Q430" s="54"/>
      <c r="R430" s="8"/>
      <c r="S430" s="14"/>
      <c r="T430" s="16"/>
      <c r="U430" s="16"/>
      <c r="V430" s="16"/>
      <c r="W430" s="16"/>
      <c r="X430" s="54"/>
      <c r="Z430" s="14"/>
      <c r="AA430" s="16"/>
      <c r="AB430" s="16"/>
      <c r="AC430" s="16"/>
      <c r="AD430" s="16"/>
      <c r="AE430" s="66"/>
      <c r="AF430" s="54"/>
      <c r="AN430" s="54"/>
      <c r="AP430" s="16"/>
      <c r="AQ430" s="16"/>
      <c r="AR430" s="16"/>
      <c r="AS430" s="16"/>
      <c r="AU430" s="54"/>
    </row>
    <row r="431">
      <c r="B431" s="16"/>
      <c r="C431" s="16"/>
      <c r="D431" s="16"/>
      <c r="E431" s="16"/>
      <c r="F431" s="16"/>
      <c r="G431" s="16"/>
      <c r="Q431" s="54"/>
      <c r="R431" s="8"/>
      <c r="S431" s="14"/>
      <c r="T431" s="16"/>
      <c r="U431" s="16"/>
      <c r="V431" s="16"/>
      <c r="W431" s="16"/>
      <c r="X431" s="54"/>
      <c r="Z431" s="14"/>
      <c r="AA431" s="16"/>
      <c r="AB431" s="16"/>
      <c r="AC431" s="16"/>
      <c r="AD431" s="16"/>
      <c r="AE431" s="66"/>
      <c r="AF431" s="54"/>
      <c r="AN431" s="54"/>
      <c r="AP431" s="16"/>
      <c r="AQ431" s="16"/>
      <c r="AR431" s="16"/>
      <c r="AS431" s="16"/>
      <c r="AU431" s="54"/>
    </row>
    <row r="432">
      <c r="B432" s="16"/>
      <c r="C432" s="16"/>
      <c r="D432" s="16"/>
      <c r="E432" s="16"/>
      <c r="F432" s="16"/>
      <c r="G432" s="16"/>
      <c r="Q432" s="54"/>
      <c r="R432" s="8"/>
      <c r="S432" s="14"/>
      <c r="T432" s="16"/>
      <c r="U432" s="16"/>
      <c r="V432" s="16"/>
      <c r="W432" s="16"/>
      <c r="X432" s="54"/>
      <c r="Z432" s="14"/>
      <c r="AA432" s="16"/>
      <c r="AB432" s="16"/>
      <c r="AC432" s="16"/>
      <c r="AD432" s="16"/>
      <c r="AE432" s="66"/>
      <c r="AF432" s="54"/>
      <c r="AN432" s="54"/>
      <c r="AP432" s="16"/>
      <c r="AQ432" s="16"/>
      <c r="AR432" s="16"/>
      <c r="AS432" s="16"/>
      <c r="AU432" s="54"/>
    </row>
    <row r="433">
      <c r="B433" s="16"/>
      <c r="C433" s="16"/>
      <c r="D433" s="16"/>
      <c r="E433" s="16"/>
      <c r="F433" s="16"/>
      <c r="G433" s="16"/>
      <c r="Q433" s="54"/>
      <c r="R433" s="8"/>
      <c r="S433" s="14"/>
      <c r="T433" s="16"/>
      <c r="U433" s="16"/>
      <c r="V433" s="16"/>
      <c r="W433" s="16"/>
      <c r="X433" s="54"/>
      <c r="Z433" s="14"/>
      <c r="AA433" s="16"/>
      <c r="AB433" s="16"/>
      <c r="AC433" s="16"/>
      <c r="AD433" s="16"/>
      <c r="AE433" s="66"/>
      <c r="AF433" s="54"/>
      <c r="AN433" s="54"/>
      <c r="AP433" s="16"/>
      <c r="AQ433" s="16"/>
      <c r="AR433" s="16"/>
      <c r="AS433" s="16"/>
      <c r="AU433" s="54"/>
    </row>
    <row r="434">
      <c r="B434" s="16"/>
      <c r="C434" s="16"/>
      <c r="D434" s="16"/>
      <c r="E434" s="16"/>
      <c r="F434" s="16"/>
      <c r="G434" s="16"/>
      <c r="Q434" s="54"/>
      <c r="R434" s="8"/>
      <c r="S434" s="14"/>
      <c r="T434" s="16"/>
      <c r="U434" s="16"/>
      <c r="V434" s="16"/>
      <c r="W434" s="16"/>
      <c r="X434" s="54"/>
      <c r="Z434" s="14"/>
      <c r="AA434" s="16"/>
      <c r="AB434" s="16"/>
      <c r="AC434" s="16"/>
      <c r="AD434" s="16"/>
      <c r="AE434" s="66"/>
      <c r="AF434" s="54"/>
      <c r="AN434" s="54"/>
      <c r="AP434" s="16"/>
      <c r="AQ434" s="16"/>
      <c r="AR434" s="16"/>
      <c r="AS434" s="16"/>
      <c r="AU434" s="54"/>
    </row>
    <row r="435">
      <c r="B435" s="16"/>
      <c r="C435" s="16"/>
      <c r="D435" s="16"/>
      <c r="E435" s="16"/>
      <c r="F435" s="16"/>
      <c r="G435" s="16"/>
      <c r="Q435" s="54"/>
      <c r="R435" s="8"/>
      <c r="S435" s="14"/>
      <c r="T435" s="16"/>
      <c r="U435" s="16"/>
      <c r="V435" s="16"/>
      <c r="W435" s="16"/>
      <c r="X435" s="54"/>
      <c r="Z435" s="14"/>
      <c r="AA435" s="16"/>
      <c r="AB435" s="16"/>
      <c r="AC435" s="16"/>
      <c r="AD435" s="16"/>
      <c r="AE435" s="66"/>
      <c r="AF435" s="54"/>
      <c r="AN435" s="54"/>
      <c r="AP435" s="16"/>
      <c r="AQ435" s="16"/>
      <c r="AR435" s="16"/>
      <c r="AS435" s="16"/>
      <c r="AU435" s="54"/>
    </row>
    <row r="436">
      <c r="B436" s="16"/>
      <c r="C436" s="16"/>
      <c r="D436" s="16"/>
      <c r="E436" s="16"/>
      <c r="F436" s="16"/>
      <c r="G436" s="16"/>
      <c r="Q436" s="54"/>
      <c r="R436" s="8"/>
      <c r="S436" s="14"/>
      <c r="T436" s="16"/>
      <c r="U436" s="16"/>
      <c r="V436" s="16"/>
      <c r="W436" s="16"/>
      <c r="X436" s="54"/>
      <c r="Z436" s="14"/>
      <c r="AA436" s="16"/>
      <c r="AB436" s="16"/>
      <c r="AC436" s="16"/>
      <c r="AD436" s="16"/>
      <c r="AE436" s="66"/>
      <c r="AF436" s="54"/>
      <c r="AN436" s="54"/>
      <c r="AP436" s="16"/>
      <c r="AQ436" s="16"/>
      <c r="AR436" s="16"/>
      <c r="AS436" s="16"/>
      <c r="AU436" s="54"/>
    </row>
    <row r="437">
      <c r="B437" s="16"/>
      <c r="C437" s="16"/>
      <c r="D437" s="16"/>
      <c r="E437" s="16"/>
      <c r="F437" s="16"/>
      <c r="G437" s="16"/>
      <c r="Q437" s="54"/>
      <c r="R437" s="8"/>
      <c r="S437" s="14"/>
      <c r="T437" s="16"/>
      <c r="U437" s="16"/>
      <c r="V437" s="16"/>
      <c r="W437" s="16"/>
      <c r="X437" s="54"/>
      <c r="Z437" s="14"/>
      <c r="AA437" s="16"/>
      <c r="AB437" s="16"/>
      <c r="AC437" s="16"/>
      <c r="AD437" s="16"/>
      <c r="AE437" s="66"/>
      <c r="AF437" s="54"/>
      <c r="AN437" s="54"/>
      <c r="AP437" s="16"/>
      <c r="AQ437" s="16"/>
      <c r="AR437" s="16"/>
      <c r="AS437" s="16"/>
      <c r="AU437" s="54"/>
    </row>
    <row r="438">
      <c r="B438" s="16"/>
      <c r="C438" s="16"/>
      <c r="D438" s="16"/>
      <c r="E438" s="16"/>
      <c r="F438" s="16"/>
      <c r="G438" s="16"/>
      <c r="Q438" s="54"/>
      <c r="R438" s="8"/>
      <c r="S438" s="14"/>
      <c r="T438" s="16"/>
      <c r="U438" s="16"/>
      <c r="V438" s="16"/>
      <c r="W438" s="16"/>
      <c r="X438" s="54"/>
      <c r="Z438" s="14"/>
      <c r="AA438" s="16"/>
      <c r="AB438" s="16"/>
      <c r="AC438" s="16"/>
      <c r="AD438" s="16"/>
      <c r="AE438" s="66"/>
      <c r="AF438" s="54"/>
      <c r="AN438" s="54"/>
      <c r="AP438" s="16"/>
      <c r="AQ438" s="16"/>
      <c r="AR438" s="16"/>
      <c r="AS438" s="16"/>
      <c r="AU438" s="54"/>
    </row>
    <row r="439">
      <c r="B439" s="16"/>
      <c r="C439" s="16"/>
      <c r="D439" s="16"/>
      <c r="E439" s="16"/>
      <c r="F439" s="16"/>
      <c r="G439" s="16"/>
      <c r="Q439" s="54"/>
      <c r="R439" s="8"/>
      <c r="S439" s="14"/>
      <c r="T439" s="16"/>
      <c r="U439" s="16"/>
      <c r="V439" s="16"/>
      <c r="W439" s="16"/>
      <c r="X439" s="54"/>
      <c r="Z439" s="14"/>
      <c r="AA439" s="16"/>
      <c r="AB439" s="16"/>
      <c r="AC439" s="16"/>
      <c r="AD439" s="16"/>
      <c r="AE439" s="66"/>
      <c r="AF439" s="54"/>
      <c r="AN439" s="54"/>
      <c r="AP439" s="16"/>
      <c r="AQ439" s="16"/>
      <c r="AR439" s="16"/>
      <c r="AS439" s="16"/>
      <c r="AU439" s="54"/>
    </row>
    <row r="440">
      <c r="B440" s="16"/>
      <c r="C440" s="16"/>
      <c r="D440" s="16"/>
      <c r="E440" s="16"/>
      <c r="F440" s="16"/>
      <c r="G440" s="16"/>
      <c r="Q440" s="54"/>
      <c r="R440" s="8"/>
      <c r="S440" s="14"/>
      <c r="T440" s="16"/>
      <c r="U440" s="16"/>
      <c r="V440" s="16"/>
      <c r="W440" s="16"/>
      <c r="X440" s="54"/>
      <c r="Z440" s="14"/>
      <c r="AA440" s="16"/>
      <c r="AB440" s="16"/>
      <c r="AC440" s="16"/>
      <c r="AD440" s="16"/>
      <c r="AE440" s="66"/>
      <c r="AF440" s="54"/>
      <c r="AN440" s="54"/>
      <c r="AP440" s="16"/>
      <c r="AQ440" s="16"/>
      <c r="AR440" s="16"/>
      <c r="AS440" s="16"/>
      <c r="AU440" s="54"/>
    </row>
    <row r="441">
      <c r="B441" s="16"/>
      <c r="C441" s="16"/>
      <c r="D441" s="16"/>
      <c r="E441" s="16"/>
      <c r="F441" s="16"/>
      <c r="G441" s="16"/>
      <c r="Q441" s="54"/>
      <c r="R441" s="8"/>
      <c r="S441" s="14"/>
      <c r="T441" s="16"/>
      <c r="U441" s="16"/>
      <c r="V441" s="16"/>
      <c r="W441" s="16"/>
      <c r="X441" s="54"/>
      <c r="Z441" s="14"/>
      <c r="AA441" s="16"/>
      <c r="AB441" s="16"/>
      <c r="AC441" s="16"/>
      <c r="AD441" s="16"/>
      <c r="AE441" s="66"/>
      <c r="AF441" s="54"/>
      <c r="AN441" s="54"/>
      <c r="AP441" s="16"/>
      <c r="AQ441" s="16"/>
      <c r="AR441" s="16"/>
      <c r="AS441" s="16"/>
      <c r="AU441" s="54"/>
    </row>
    <row r="442">
      <c r="B442" s="16"/>
      <c r="C442" s="16"/>
      <c r="D442" s="16"/>
      <c r="E442" s="16"/>
      <c r="F442" s="16"/>
      <c r="G442" s="16"/>
      <c r="Q442" s="54"/>
      <c r="R442" s="8"/>
      <c r="S442" s="14"/>
      <c r="T442" s="16"/>
      <c r="U442" s="16"/>
      <c r="V442" s="16"/>
      <c r="W442" s="16"/>
      <c r="X442" s="54"/>
      <c r="Z442" s="14"/>
      <c r="AA442" s="16"/>
      <c r="AB442" s="16"/>
      <c r="AC442" s="16"/>
      <c r="AD442" s="16"/>
      <c r="AE442" s="66"/>
      <c r="AF442" s="54"/>
      <c r="AN442" s="54"/>
      <c r="AP442" s="16"/>
      <c r="AQ442" s="16"/>
      <c r="AR442" s="16"/>
      <c r="AS442" s="16"/>
      <c r="AU442" s="54"/>
    </row>
    <row r="443">
      <c r="B443" s="16"/>
      <c r="C443" s="16"/>
      <c r="D443" s="16"/>
      <c r="E443" s="16"/>
      <c r="F443" s="16"/>
      <c r="G443" s="16"/>
      <c r="Q443" s="54"/>
      <c r="R443" s="8"/>
      <c r="S443" s="14"/>
      <c r="T443" s="16"/>
      <c r="U443" s="16"/>
      <c r="V443" s="16"/>
      <c r="W443" s="16"/>
      <c r="X443" s="54"/>
      <c r="Z443" s="14"/>
      <c r="AA443" s="16"/>
      <c r="AB443" s="16"/>
      <c r="AC443" s="16"/>
      <c r="AD443" s="16"/>
      <c r="AE443" s="66"/>
      <c r="AF443" s="54"/>
      <c r="AN443" s="54"/>
      <c r="AP443" s="16"/>
      <c r="AQ443" s="16"/>
      <c r="AR443" s="16"/>
      <c r="AS443" s="16"/>
      <c r="AU443" s="54"/>
    </row>
    <row r="444">
      <c r="B444" s="16"/>
      <c r="C444" s="16"/>
      <c r="D444" s="16"/>
      <c r="E444" s="16"/>
      <c r="F444" s="16"/>
      <c r="G444" s="16"/>
      <c r="Q444" s="54"/>
      <c r="R444" s="8"/>
      <c r="S444" s="14"/>
      <c r="T444" s="16"/>
      <c r="U444" s="16"/>
      <c r="V444" s="16"/>
      <c r="W444" s="16"/>
      <c r="X444" s="54"/>
      <c r="Z444" s="14"/>
      <c r="AA444" s="16"/>
      <c r="AB444" s="16"/>
      <c r="AC444" s="16"/>
      <c r="AD444" s="16"/>
      <c r="AE444" s="66"/>
      <c r="AF444" s="54"/>
      <c r="AN444" s="54"/>
      <c r="AP444" s="16"/>
      <c r="AQ444" s="16"/>
      <c r="AR444" s="16"/>
      <c r="AS444" s="16"/>
      <c r="AU444" s="54"/>
    </row>
    <row r="445">
      <c r="B445" s="16"/>
      <c r="C445" s="16"/>
      <c r="D445" s="16"/>
      <c r="E445" s="16"/>
      <c r="F445" s="16"/>
      <c r="G445" s="16"/>
      <c r="Q445" s="54"/>
      <c r="R445" s="8"/>
      <c r="S445" s="14"/>
      <c r="T445" s="16"/>
      <c r="U445" s="16"/>
      <c r="V445" s="16"/>
      <c r="W445" s="16"/>
      <c r="X445" s="54"/>
      <c r="Z445" s="14"/>
      <c r="AA445" s="16"/>
      <c r="AB445" s="16"/>
      <c r="AC445" s="16"/>
      <c r="AD445" s="16"/>
      <c r="AE445" s="66"/>
      <c r="AF445" s="54"/>
      <c r="AN445" s="54"/>
      <c r="AP445" s="16"/>
      <c r="AQ445" s="16"/>
      <c r="AR445" s="16"/>
      <c r="AS445" s="16"/>
      <c r="AU445" s="54"/>
    </row>
    <row r="446">
      <c r="B446" s="16"/>
      <c r="C446" s="16"/>
      <c r="D446" s="16"/>
      <c r="E446" s="16"/>
      <c r="F446" s="16"/>
      <c r="G446" s="16"/>
      <c r="Q446" s="54"/>
      <c r="R446" s="8"/>
      <c r="S446" s="14"/>
      <c r="T446" s="16"/>
      <c r="U446" s="16"/>
      <c r="V446" s="16"/>
      <c r="W446" s="16"/>
      <c r="X446" s="54"/>
      <c r="Z446" s="14"/>
      <c r="AA446" s="16"/>
      <c r="AB446" s="16"/>
      <c r="AC446" s="16"/>
      <c r="AD446" s="16"/>
      <c r="AE446" s="66"/>
      <c r="AF446" s="54"/>
      <c r="AN446" s="54"/>
      <c r="AP446" s="16"/>
      <c r="AQ446" s="16"/>
      <c r="AR446" s="16"/>
      <c r="AS446" s="16"/>
      <c r="AU446" s="54"/>
    </row>
    <row r="447">
      <c r="B447" s="16"/>
      <c r="C447" s="16"/>
      <c r="D447" s="16"/>
      <c r="E447" s="16"/>
      <c r="F447" s="16"/>
      <c r="G447" s="16"/>
      <c r="Q447" s="54"/>
      <c r="R447" s="8"/>
      <c r="S447" s="14"/>
      <c r="T447" s="16"/>
      <c r="U447" s="16"/>
      <c r="V447" s="16"/>
      <c r="W447" s="16"/>
      <c r="X447" s="54"/>
      <c r="Z447" s="14"/>
      <c r="AA447" s="16"/>
      <c r="AB447" s="16"/>
      <c r="AC447" s="16"/>
      <c r="AD447" s="16"/>
      <c r="AE447" s="66"/>
      <c r="AF447" s="54"/>
      <c r="AN447" s="54"/>
      <c r="AP447" s="16"/>
      <c r="AQ447" s="16"/>
      <c r="AR447" s="16"/>
      <c r="AS447" s="16"/>
      <c r="AU447" s="54"/>
    </row>
    <row r="448">
      <c r="B448" s="16"/>
      <c r="C448" s="16"/>
      <c r="D448" s="16"/>
      <c r="E448" s="16"/>
      <c r="F448" s="16"/>
      <c r="G448" s="16"/>
      <c r="Q448" s="54"/>
      <c r="R448" s="8"/>
      <c r="S448" s="14"/>
      <c r="T448" s="16"/>
      <c r="U448" s="16"/>
      <c r="V448" s="16"/>
      <c r="W448" s="16"/>
      <c r="X448" s="54"/>
      <c r="Z448" s="14"/>
      <c r="AA448" s="16"/>
      <c r="AB448" s="16"/>
      <c r="AC448" s="16"/>
      <c r="AD448" s="16"/>
      <c r="AE448" s="66"/>
      <c r="AF448" s="54"/>
      <c r="AN448" s="54"/>
      <c r="AP448" s="16"/>
      <c r="AQ448" s="16"/>
      <c r="AR448" s="16"/>
      <c r="AS448" s="16"/>
      <c r="AU448" s="54"/>
    </row>
    <row r="449">
      <c r="B449" s="16"/>
      <c r="C449" s="16"/>
      <c r="D449" s="16"/>
      <c r="E449" s="16"/>
      <c r="F449" s="16"/>
      <c r="G449" s="16"/>
      <c r="Q449" s="54"/>
      <c r="R449" s="8"/>
      <c r="S449" s="14"/>
      <c r="T449" s="16"/>
      <c r="U449" s="16"/>
      <c r="V449" s="16"/>
      <c r="W449" s="16"/>
      <c r="X449" s="54"/>
      <c r="Z449" s="14"/>
      <c r="AA449" s="16"/>
      <c r="AB449" s="16"/>
      <c r="AC449" s="16"/>
      <c r="AD449" s="16"/>
      <c r="AE449" s="66"/>
      <c r="AF449" s="54"/>
      <c r="AN449" s="54"/>
      <c r="AP449" s="16"/>
      <c r="AQ449" s="16"/>
      <c r="AR449" s="16"/>
      <c r="AS449" s="16"/>
      <c r="AU449" s="54"/>
    </row>
    <row r="450">
      <c r="B450" s="16"/>
      <c r="C450" s="16"/>
      <c r="D450" s="16"/>
      <c r="E450" s="16"/>
      <c r="F450" s="16"/>
      <c r="G450" s="16"/>
      <c r="Q450" s="54"/>
      <c r="R450" s="8"/>
      <c r="S450" s="14"/>
      <c r="T450" s="16"/>
      <c r="U450" s="16"/>
      <c r="V450" s="16"/>
      <c r="W450" s="16"/>
      <c r="X450" s="54"/>
      <c r="Z450" s="14"/>
      <c r="AA450" s="16"/>
      <c r="AB450" s="16"/>
      <c r="AC450" s="16"/>
      <c r="AD450" s="16"/>
      <c r="AE450" s="66"/>
      <c r="AF450" s="54"/>
      <c r="AN450" s="54"/>
      <c r="AP450" s="16"/>
      <c r="AQ450" s="16"/>
      <c r="AR450" s="16"/>
      <c r="AS450" s="16"/>
      <c r="AU450" s="54"/>
    </row>
    <row r="451">
      <c r="B451" s="16"/>
      <c r="C451" s="16"/>
      <c r="D451" s="16"/>
      <c r="E451" s="16"/>
      <c r="F451" s="16"/>
      <c r="G451" s="16"/>
      <c r="Q451" s="54"/>
      <c r="R451" s="8"/>
      <c r="S451" s="14"/>
      <c r="T451" s="16"/>
      <c r="U451" s="16"/>
      <c r="V451" s="16"/>
      <c r="W451" s="16"/>
      <c r="X451" s="54"/>
      <c r="Z451" s="14"/>
      <c r="AA451" s="16"/>
      <c r="AB451" s="16"/>
      <c r="AC451" s="16"/>
      <c r="AD451" s="16"/>
      <c r="AE451" s="66"/>
      <c r="AF451" s="54"/>
      <c r="AN451" s="54"/>
      <c r="AP451" s="16"/>
      <c r="AQ451" s="16"/>
      <c r="AR451" s="16"/>
      <c r="AS451" s="16"/>
      <c r="AU451" s="54"/>
    </row>
    <row r="452">
      <c r="B452" s="16"/>
      <c r="C452" s="16"/>
      <c r="D452" s="16"/>
      <c r="E452" s="16"/>
      <c r="F452" s="16"/>
      <c r="G452" s="16"/>
      <c r="Q452" s="54"/>
      <c r="R452" s="8"/>
      <c r="S452" s="14"/>
      <c r="T452" s="16"/>
      <c r="U452" s="16"/>
      <c r="V452" s="16"/>
      <c r="W452" s="16"/>
      <c r="X452" s="54"/>
      <c r="Z452" s="14"/>
      <c r="AA452" s="16"/>
      <c r="AB452" s="16"/>
      <c r="AC452" s="16"/>
      <c r="AD452" s="16"/>
      <c r="AE452" s="66"/>
      <c r="AF452" s="54"/>
      <c r="AN452" s="54"/>
      <c r="AP452" s="16"/>
      <c r="AQ452" s="16"/>
      <c r="AR452" s="16"/>
      <c r="AS452" s="16"/>
      <c r="AU452" s="54"/>
    </row>
    <row r="453">
      <c r="B453" s="16"/>
      <c r="C453" s="16"/>
      <c r="D453" s="16"/>
      <c r="E453" s="16"/>
      <c r="F453" s="16"/>
      <c r="G453" s="16"/>
      <c r="Q453" s="54"/>
      <c r="R453" s="8"/>
      <c r="S453" s="14"/>
      <c r="T453" s="16"/>
      <c r="U453" s="16"/>
      <c r="V453" s="16"/>
      <c r="W453" s="16"/>
      <c r="X453" s="54"/>
      <c r="Z453" s="14"/>
      <c r="AA453" s="16"/>
      <c r="AB453" s="16"/>
      <c r="AC453" s="16"/>
      <c r="AD453" s="16"/>
      <c r="AE453" s="66"/>
      <c r="AF453" s="54"/>
      <c r="AN453" s="54"/>
      <c r="AP453" s="16"/>
      <c r="AQ453" s="16"/>
      <c r="AR453" s="16"/>
      <c r="AS453" s="16"/>
      <c r="AU453" s="54"/>
    </row>
    <row r="454">
      <c r="B454" s="16"/>
      <c r="C454" s="16"/>
      <c r="D454" s="16"/>
      <c r="E454" s="16"/>
      <c r="F454" s="16"/>
      <c r="G454" s="16"/>
      <c r="Q454" s="54"/>
      <c r="R454" s="8"/>
      <c r="S454" s="14"/>
      <c r="T454" s="16"/>
      <c r="U454" s="16"/>
      <c r="V454" s="16"/>
      <c r="W454" s="16"/>
      <c r="X454" s="54"/>
      <c r="Z454" s="14"/>
      <c r="AA454" s="16"/>
      <c r="AB454" s="16"/>
      <c r="AC454" s="16"/>
      <c r="AD454" s="16"/>
      <c r="AE454" s="66"/>
      <c r="AF454" s="54"/>
      <c r="AN454" s="54"/>
      <c r="AP454" s="16"/>
      <c r="AQ454" s="16"/>
      <c r="AR454" s="16"/>
      <c r="AS454" s="16"/>
      <c r="AU454" s="54"/>
    </row>
    <row r="455">
      <c r="B455" s="16"/>
      <c r="C455" s="16"/>
      <c r="D455" s="16"/>
      <c r="E455" s="16"/>
      <c r="F455" s="16"/>
      <c r="G455" s="16"/>
      <c r="Q455" s="54"/>
      <c r="R455" s="8"/>
      <c r="S455" s="14"/>
      <c r="T455" s="16"/>
      <c r="U455" s="16"/>
      <c r="V455" s="16"/>
      <c r="W455" s="16"/>
      <c r="X455" s="54"/>
      <c r="Z455" s="14"/>
      <c r="AA455" s="16"/>
      <c r="AB455" s="16"/>
      <c r="AC455" s="16"/>
      <c r="AD455" s="16"/>
      <c r="AE455" s="66"/>
      <c r="AF455" s="54"/>
      <c r="AN455" s="54"/>
      <c r="AP455" s="16"/>
      <c r="AQ455" s="16"/>
      <c r="AR455" s="16"/>
      <c r="AS455" s="16"/>
      <c r="AU455" s="54"/>
    </row>
    <row r="456">
      <c r="B456" s="16"/>
      <c r="C456" s="16"/>
      <c r="D456" s="16"/>
      <c r="E456" s="16"/>
      <c r="F456" s="16"/>
      <c r="G456" s="16"/>
      <c r="Q456" s="54"/>
      <c r="R456" s="8"/>
      <c r="S456" s="14"/>
      <c r="T456" s="16"/>
      <c r="U456" s="16"/>
      <c r="V456" s="16"/>
      <c r="W456" s="16"/>
      <c r="X456" s="54"/>
      <c r="Z456" s="14"/>
      <c r="AA456" s="16"/>
      <c r="AB456" s="16"/>
      <c r="AC456" s="16"/>
      <c r="AD456" s="16"/>
      <c r="AE456" s="66"/>
      <c r="AF456" s="54"/>
      <c r="AN456" s="54"/>
      <c r="AP456" s="16"/>
      <c r="AQ456" s="16"/>
      <c r="AR456" s="16"/>
      <c r="AS456" s="16"/>
      <c r="AU456" s="54"/>
    </row>
    <row r="457">
      <c r="B457" s="16"/>
      <c r="C457" s="16"/>
      <c r="D457" s="16"/>
      <c r="E457" s="16"/>
      <c r="F457" s="16"/>
      <c r="G457" s="16"/>
      <c r="Q457" s="54"/>
      <c r="R457" s="8"/>
      <c r="S457" s="14"/>
      <c r="T457" s="16"/>
      <c r="U457" s="16"/>
      <c r="V457" s="16"/>
      <c r="W457" s="16"/>
      <c r="X457" s="54"/>
      <c r="Z457" s="14"/>
      <c r="AA457" s="16"/>
      <c r="AB457" s="16"/>
      <c r="AC457" s="16"/>
      <c r="AD457" s="16"/>
      <c r="AE457" s="66"/>
      <c r="AF457" s="54"/>
      <c r="AN457" s="54"/>
      <c r="AP457" s="16"/>
      <c r="AQ457" s="16"/>
      <c r="AR457" s="16"/>
      <c r="AS457" s="16"/>
      <c r="AU457" s="54"/>
    </row>
    <row r="458">
      <c r="B458" s="16"/>
      <c r="C458" s="16"/>
      <c r="D458" s="16"/>
      <c r="E458" s="16"/>
      <c r="F458" s="16"/>
      <c r="G458" s="16"/>
      <c r="Q458" s="54"/>
      <c r="R458" s="8"/>
      <c r="S458" s="14"/>
      <c r="T458" s="16"/>
      <c r="U458" s="16"/>
      <c r="V458" s="16"/>
      <c r="W458" s="16"/>
      <c r="X458" s="54"/>
      <c r="Z458" s="14"/>
      <c r="AA458" s="16"/>
      <c r="AB458" s="16"/>
      <c r="AC458" s="16"/>
      <c r="AD458" s="16"/>
      <c r="AE458" s="66"/>
      <c r="AF458" s="54"/>
      <c r="AN458" s="54"/>
      <c r="AP458" s="16"/>
      <c r="AQ458" s="16"/>
      <c r="AR458" s="16"/>
      <c r="AS458" s="16"/>
      <c r="AU458" s="54"/>
    </row>
    <row r="459">
      <c r="B459" s="16"/>
      <c r="C459" s="16"/>
      <c r="D459" s="16"/>
      <c r="E459" s="16"/>
      <c r="F459" s="16"/>
      <c r="G459" s="16"/>
      <c r="Q459" s="54"/>
      <c r="R459" s="8"/>
      <c r="S459" s="14"/>
      <c r="T459" s="16"/>
      <c r="U459" s="16"/>
      <c r="V459" s="16"/>
      <c r="W459" s="16"/>
      <c r="X459" s="54"/>
      <c r="Z459" s="14"/>
      <c r="AA459" s="16"/>
      <c r="AB459" s="16"/>
      <c r="AC459" s="16"/>
      <c r="AD459" s="16"/>
      <c r="AE459" s="66"/>
      <c r="AF459" s="54"/>
      <c r="AN459" s="54"/>
      <c r="AP459" s="16"/>
      <c r="AQ459" s="16"/>
      <c r="AR459" s="16"/>
      <c r="AS459" s="16"/>
      <c r="AU459" s="54"/>
    </row>
    <row r="460">
      <c r="B460" s="16"/>
      <c r="C460" s="16"/>
      <c r="D460" s="16"/>
      <c r="E460" s="16"/>
      <c r="F460" s="16"/>
      <c r="G460" s="16"/>
      <c r="Q460" s="54"/>
      <c r="R460" s="8"/>
      <c r="S460" s="14"/>
      <c r="T460" s="16"/>
      <c r="U460" s="16"/>
      <c r="V460" s="16"/>
      <c r="W460" s="16"/>
      <c r="X460" s="54"/>
      <c r="Z460" s="14"/>
      <c r="AA460" s="16"/>
      <c r="AB460" s="16"/>
      <c r="AC460" s="16"/>
      <c r="AD460" s="16"/>
      <c r="AE460" s="66"/>
      <c r="AF460" s="54"/>
      <c r="AN460" s="54"/>
      <c r="AP460" s="16"/>
      <c r="AQ460" s="16"/>
      <c r="AR460" s="16"/>
      <c r="AS460" s="16"/>
      <c r="AU460" s="54"/>
    </row>
    <row r="461">
      <c r="B461" s="16"/>
      <c r="C461" s="16"/>
      <c r="D461" s="16"/>
      <c r="E461" s="16"/>
      <c r="F461" s="16"/>
      <c r="G461" s="16"/>
      <c r="Q461" s="54"/>
      <c r="R461" s="8"/>
      <c r="S461" s="14"/>
      <c r="T461" s="16"/>
      <c r="U461" s="16"/>
      <c r="V461" s="16"/>
      <c r="W461" s="16"/>
      <c r="X461" s="54"/>
      <c r="Z461" s="14"/>
      <c r="AA461" s="16"/>
      <c r="AB461" s="16"/>
      <c r="AC461" s="16"/>
      <c r="AD461" s="16"/>
      <c r="AE461" s="66"/>
      <c r="AF461" s="54"/>
      <c r="AN461" s="54"/>
      <c r="AP461" s="16"/>
      <c r="AQ461" s="16"/>
      <c r="AR461" s="16"/>
      <c r="AS461" s="16"/>
      <c r="AU461" s="54"/>
    </row>
    <row r="462">
      <c r="B462" s="16"/>
      <c r="C462" s="16"/>
      <c r="D462" s="16"/>
      <c r="E462" s="16"/>
      <c r="F462" s="16"/>
      <c r="G462" s="16"/>
      <c r="Q462" s="54"/>
      <c r="R462" s="8"/>
      <c r="S462" s="14"/>
      <c r="T462" s="16"/>
      <c r="U462" s="16"/>
      <c r="V462" s="16"/>
      <c r="W462" s="16"/>
      <c r="X462" s="54"/>
      <c r="Z462" s="14"/>
      <c r="AA462" s="16"/>
      <c r="AB462" s="16"/>
      <c r="AC462" s="16"/>
      <c r="AD462" s="16"/>
      <c r="AE462" s="66"/>
      <c r="AF462" s="54"/>
      <c r="AN462" s="54"/>
      <c r="AP462" s="16"/>
      <c r="AQ462" s="16"/>
      <c r="AR462" s="16"/>
      <c r="AS462" s="16"/>
      <c r="AU462" s="54"/>
    </row>
    <row r="463">
      <c r="B463" s="16"/>
      <c r="C463" s="16"/>
      <c r="D463" s="16"/>
      <c r="E463" s="16"/>
      <c r="F463" s="16"/>
      <c r="G463" s="16"/>
      <c r="Q463" s="54"/>
      <c r="R463" s="8"/>
      <c r="S463" s="14"/>
      <c r="T463" s="16"/>
      <c r="U463" s="16"/>
      <c r="V463" s="16"/>
      <c r="W463" s="16"/>
      <c r="X463" s="54"/>
      <c r="Z463" s="14"/>
      <c r="AA463" s="16"/>
      <c r="AB463" s="16"/>
      <c r="AC463" s="16"/>
      <c r="AD463" s="16"/>
      <c r="AE463" s="66"/>
      <c r="AF463" s="54"/>
      <c r="AN463" s="54"/>
      <c r="AP463" s="16"/>
      <c r="AQ463" s="16"/>
      <c r="AR463" s="16"/>
      <c r="AS463" s="16"/>
      <c r="AU463" s="54"/>
    </row>
    <row r="464">
      <c r="B464" s="16"/>
      <c r="C464" s="16"/>
      <c r="D464" s="16"/>
      <c r="E464" s="16"/>
      <c r="F464" s="16"/>
      <c r="G464" s="16"/>
      <c r="Q464" s="54"/>
      <c r="R464" s="8"/>
      <c r="S464" s="14"/>
      <c r="T464" s="16"/>
      <c r="U464" s="16"/>
      <c r="V464" s="16"/>
      <c r="W464" s="16"/>
      <c r="X464" s="54"/>
      <c r="Z464" s="14"/>
      <c r="AA464" s="16"/>
      <c r="AB464" s="16"/>
      <c r="AC464" s="16"/>
      <c r="AD464" s="16"/>
      <c r="AE464" s="66"/>
      <c r="AF464" s="54"/>
      <c r="AN464" s="54"/>
      <c r="AP464" s="16"/>
      <c r="AQ464" s="16"/>
      <c r="AR464" s="16"/>
      <c r="AS464" s="16"/>
      <c r="AU464" s="54"/>
    </row>
    <row r="465">
      <c r="B465" s="16"/>
      <c r="C465" s="16"/>
      <c r="D465" s="16"/>
      <c r="E465" s="16"/>
      <c r="F465" s="16"/>
      <c r="G465" s="16"/>
      <c r="Q465" s="54"/>
      <c r="R465" s="8"/>
      <c r="S465" s="14"/>
      <c r="T465" s="16"/>
      <c r="U465" s="16"/>
      <c r="V465" s="16"/>
      <c r="W465" s="16"/>
      <c r="X465" s="54"/>
      <c r="Z465" s="14"/>
      <c r="AA465" s="16"/>
      <c r="AB465" s="16"/>
      <c r="AC465" s="16"/>
      <c r="AD465" s="16"/>
      <c r="AE465" s="66"/>
      <c r="AF465" s="54"/>
      <c r="AN465" s="54"/>
      <c r="AP465" s="16"/>
      <c r="AQ465" s="16"/>
      <c r="AR465" s="16"/>
      <c r="AS465" s="16"/>
      <c r="AU465" s="54"/>
    </row>
    <row r="466">
      <c r="B466" s="16"/>
      <c r="C466" s="16"/>
      <c r="D466" s="16"/>
      <c r="E466" s="16"/>
      <c r="F466" s="16"/>
      <c r="G466" s="16"/>
      <c r="Q466" s="54"/>
      <c r="R466" s="8"/>
      <c r="S466" s="14"/>
      <c r="T466" s="16"/>
      <c r="U466" s="16"/>
      <c r="V466" s="16"/>
      <c r="W466" s="16"/>
      <c r="X466" s="54"/>
      <c r="Z466" s="14"/>
      <c r="AA466" s="16"/>
      <c r="AB466" s="16"/>
      <c r="AC466" s="16"/>
      <c r="AD466" s="16"/>
      <c r="AE466" s="66"/>
      <c r="AF466" s="54"/>
      <c r="AN466" s="54"/>
      <c r="AP466" s="16"/>
      <c r="AQ466" s="16"/>
      <c r="AR466" s="16"/>
      <c r="AS466" s="16"/>
      <c r="AU466" s="54"/>
    </row>
    <row r="467">
      <c r="B467" s="16"/>
      <c r="C467" s="16"/>
      <c r="D467" s="16"/>
      <c r="E467" s="16"/>
      <c r="F467" s="16"/>
      <c r="G467" s="16"/>
      <c r="Q467" s="54"/>
      <c r="R467" s="8"/>
      <c r="S467" s="14"/>
      <c r="T467" s="16"/>
      <c r="U467" s="16"/>
      <c r="V467" s="16"/>
      <c r="W467" s="16"/>
      <c r="X467" s="54"/>
      <c r="Z467" s="14"/>
      <c r="AA467" s="16"/>
      <c r="AB467" s="16"/>
      <c r="AC467" s="16"/>
      <c r="AD467" s="16"/>
      <c r="AE467" s="66"/>
      <c r="AF467" s="54"/>
      <c r="AN467" s="54"/>
      <c r="AP467" s="16"/>
      <c r="AQ467" s="16"/>
      <c r="AR467" s="16"/>
      <c r="AS467" s="16"/>
      <c r="AU467" s="54"/>
    </row>
    <row r="468">
      <c r="B468" s="16"/>
      <c r="C468" s="16"/>
      <c r="D468" s="16"/>
      <c r="E468" s="16"/>
      <c r="F468" s="16"/>
      <c r="G468" s="16"/>
      <c r="Q468" s="54"/>
      <c r="R468" s="8"/>
      <c r="S468" s="14"/>
      <c r="T468" s="16"/>
      <c r="U468" s="16"/>
      <c r="V468" s="16"/>
      <c r="W468" s="16"/>
      <c r="X468" s="54"/>
      <c r="Z468" s="14"/>
      <c r="AA468" s="16"/>
      <c r="AB468" s="16"/>
      <c r="AC468" s="16"/>
      <c r="AD468" s="16"/>
      <c r="AE468" s="66"/>
      <c r="AF468" s="54"/>
      <c r="AN468" s="54"/>
      <c r="AP468" s="16"/>
      <c r="AQ468" s="16"/>
      <c r="AR468" s="16"/>
      <c r="AS468" s="16"/>
      <c r="AU468" s="54"/>
    </row>
    <row r="469">
      <c r="B469" s="16"/>
      <c r="C469" s="16"/>
      <c r="D469" s="16"/>
      <c r="E469" s="16"/>
      <c r="F469" s="16"/>
      <c r="G469" s="16"/>
      <c r="Q469" s="54"/>
      <c r="R469" s="8"/>
      <c r="S469" s="14"/>
      <c r="T469" s="16"/>
      <c r="U469" s="16"/>
      <c r="V469" s="16"/>
      <c r="W469" s="16"/>
      <c r="X469" s="54"/>
      <c r="Z469" s="14"/>
      <c r="AA469" s="16"/>
      <c r="AB469" s="16"/>
      <c r="AC469" s="16"/>
      <c r="AD469" s="16"/>
      <c r="AE469" s="66"/>
      <c r="AF469" s="54"/>
      <c r="AN469" s="54"/>
      <c r="AP469" s="16"/>
      <c r="AQ469" s="16"/>
      <c r="AR469" s="16"/>
      <c r="AS469" s="16"/>
      <c r="AU469" s="54"/>
    </row>
    <row r="470">
      <c r="B470" s="16"/>
      <c r="C470" s="16"/>
      <c r="D470" s="16"/>
      <c r="E470" s="16"/>
      <c r="F470" s="16"/>
      <c r="G470" s="16"/>
      <c r="Q470" s="54"/>
      <c r="R470" s="8"/>
      <c r="S470" s="14"/>
      <c r="T470" s="16"/>
      <c r="U470" s="16"/>
      <c r="V470" s="16"/>
      <c r="W470" s="16"/>
      <c r="X470" s="54"/>
      <c r="Z470" s="14"/>
      <c r="AA470" s="16"/>
      <c r="AB470" s="16"/>
      <c r="AC470" s="16"/>
      <c r="AD470" s="16"/>
      <c r="AE470" s="66"/>
      <c r="AF470" s="54"/>
      <c r="AN470" s="54"/>
      <c r="AP470" s="16"/>
      <c r="AQ470" s="16"/>
      <c r="AR470" s="16"/>
      <c r="AS470" s="16"/>
      <c r="AU470" s="54"/>
    </row>
    <row r="471">
      <c r="B471" s="16"/>
      <c r="C471" s="16"/>
      <c r="D471" s="16"/>
      <c r="E471" s="16"/>
      <c r="F471" s="16"/>
      <c r="G471" s="16"/>
      <c r="Q471" s="54"/>
      <c r="R471" s="8"/>
      <c r="S471" s="14"/>
      <c r="T471" s="16"/>
      <c r="U471" s="16"/>
      <c r="V471" s="16"/>
      <c r="W471" s="16"/>
      <c r="X471" s="54"/>
      <c r="Z471" s="14"/>
      <c r="AA471" s="16"/>
      <c r="AB471" s="16"/>
      <c r="AC471" s="16"/>
      <c r="AD471" s="16"/>
      <c r="AE471" s="66"/>
      <c r="AF471" s="54"/>
      <c r="AN471" s="54"/>
      <c r="AP471" s="16"/>
      <c r="AQ471" s="16"/>
      <c r="AR471" s="16"/>
      <c r="AS471" s="16"/>
      <c r="AU471" s="54"/>
    </row>
    <row r="472">
      <c r="B472" s="16"/>
      <c r="C472" s="16"/>
      <c r="D472" s="16"/>
      <c r="E472" s="16"/>
      <c r="F472" s="16"/>
      <c r="G472" s="16"/>
      <c r="Q472" s="54"/>
      <c r="R472" s="8"/>
      <c r="S472" s="14"/>
      <c r="T472" s="16"/>
      <c r="U472" s="16"/>
      <c r="V472" s="16"/>
      <c r="W472" s="16"/>
      <c r="X472" s="54"/>
      <c r="Z472" s="14"/>
      <c r="AA472" s="16"/>
      <c r="AB472" s="16"/>
      <c r="AC472" s="16"/>
      <c r="AD472" s="16"/>
      <c r="AE472" s="66"/>
      <c r="AF472" s="54"/>
      <c r="AN472" s="54"/>
      <c r="AP472" s="16"/>
      <c r="AQ472" s="16"/>
      <c r="AR472" s="16"/>
      <c r="AS472" s="16"/>
      <c r="AU472" s="54"/>
    </row>
    <row r="473">
      <c r="B473" s="16"/>
      <c r="C473" s="16"/>
      <c r="D473" s="16"/>
      <c r="E473" s="16"/>
      <c r="F473" s="16"/>
      <c r="G473" s="16"/>
      <c r="Q473" s="54"/>
      <c r="R473" s="8"/>
      <c r="S473" s="14"/>
      <c r="T473" s="16"/>
      <c r="U473" s="16"/>
      <c r="V473" s="16"/>
      <c r="W473" s="16"/>
      <c r="X473" s="54"/>
      <c r="Z473" s="14"/>
      <c r="AA473" s="16"/>
      <c r="AB473" s="16"/>
      <c r="AC473" s="16"/>
      <c r="AD473" s="16"/>
      <c r="AE473" s="66"/>
      <c r="AF473" s="54"/>
      <c r="AN473" s="54"/>
      <c r="AP473" s="16"/>
      <c r="AQ473" s="16"/>
      <c r="AR473" s="16"/>
      <c r="AS473" s="16"/>
      <c r="AU473" s="54"/>
    </row>
    <row r="474">
      <c r="B474" s="16"/>
      <c r="C474" s="16"/>
      <c r="D474" s="16"/>
      <c r="E474" s="16"/>
      <c r="F474" s="16"/>
      <c r="G474" s="16"/>
      <c r="Q474" s="54"/>
      <c r="R474" s="8"/>
      <c r="S474" s="14"/>
      <c r="T474" s="16"/>
      <c r="U474" s="16"/>
      <c r="V474" s="16"/>
      <c r="W474" s="16"/>
      <c r="X474" s="54"/>
      <c r="Z474" s="14"/>
      <c r="AA474" s="16"/>
      <c r="AB474" s="16"/>
      <c r="AC474" s="16"/>
      <c r="AD474" s="16"/>
      <c r="AE474" s="66"/>
      <c r="AF474" s="54"/>
      <c r="AN474" s="54"/>
      <c r="AP474" s="16"/>
      <c r="AQ474" s="16"/>
      <c r="AR474" s="16"/>
      <c r="AS474" s="16"/>
      <c r="AU474" s="54"/>
    </row>
    <row r="475">
      <c r="B475" s="16"/>
      <c r="C475" s="16"/>
      <c r="D475" s="16"/>
      <c r="E475" s="16"/>
      <c r="F475" s="16"/>
      <c r="G475" s="16"/>
      <c r="Q475" s="54"/>
      <c r="R475" s="8"/>
      <c r="S475" s="14"/>
      <c r="T475" s="16"/>
      <c r="U475" s="16"/>
      <c r="V475" s="16"/>
      <c r="W475" s="16"/>
      <c r="X475" s="54"/>
      <c r="Z475" s="14"/>
      <c r="AA475" s="16"/>
      <c r="AB475" s="16"/>
      <c r="AC475" s="16"/>
      <c r="AD475" s="16"/>
      <c r="AE475" s="66"/>
      <c r="AF475" s="54"/>
      <c r="AN475" s="54"/>
      <c r="AP475" s="16"/>
      <c r="AQ475" s="16"/>
      <c r="AR475" s="16"/>
      <c r="AS475" s="16"/>
      <c r="AU475" s="54"/>
    </row>
    <row r="476">
      <c r="B476" s="16"/>
      <c r="C476" s="16"/>
      <c r="D476" s="16"/>
      <c r="E476" s="16"/>
      <c r="F476" s="16"/>
      <c r="G476" s="16"/>
      <c r="Q476" s="54"/>
      <c r="R476" s="8"/>
      <c r="S476" s="14"/>
      <c r="T476" s="16"/>
      <c r="U476" s="16"/>
      <c r="V476" s="16"/>
      <c r="W476" s="16"/>
      <c r="X476" s="54"/>
      <c r="Z476" s="14"/>
      <c r="AA476" s="16"/>
      <c r="AB476" s="16"/>
      <c r="AC476" s="16"/>
      <c r="AD476" s="16"/>
      <c r="AE476" s="66"/>
      <c r="AF476" s="54"/>
      <c r="AN476" s="54"/>
      <c r="AP476" s="16"/>
      <c r="AQ476" s="16"/>
      <c r="AR476" s="16"/>
      <c r="AS476" s="16"/>
      <c r="AU476" s="54"/>
    </row>
    <row r="477">
      <c r="B477" s="16"/>
      <c r="C477" s="16"/>
      <c r="D477" s="16"/>
      <c r="E477" s="16"/>
      <c r="F477" s="16"/>
      <c r="G477" s="16"/>
      <c r="Q477" s="54"/>
      <c r="R477" s="8"/>
      <c r="S477" s="14"/>
      <c r="T477" s="16"/>
      <c r="U477" s="16"/>
      <c r="V477" s="16"/>
      <c r="W477" s="16"/>
      <c r="X477" s="54"/>
      <c r="Z477" s="14"/>
      <c r="AA477" s="16"/>
      <c r="AB477" s="16"/>
      <c r="AC477" s="16"/>
      <c r="AD477" s="16"/>
      <c r="AE477" s="66"/>
      <c r="AF477" s="54"/>
      <c r="AN477" s="54"/>
      <c r="AP477" s="16"/>
      <c r="AQ477" s="16"/>
      <c r="AR477" s="16"/>
      <c r="AS477" s="16"/>
      <c r="AU477" s="54"/>
    </row>
    <row r="478">
      <c r="B478" s="16"/>
      <c r="C478" s="16"/>
      <c r="D478" s="16"/>
      <c r="E478" s="16"/>
      <c r="F478" s="16"/>
      <c r="G478" s="16"/>
      <c r="Q478" s="54"/>
      <c r="R478" s="8"/>
      <c r="S478" s="14"/>
      <c r="T478" s="16"/>
      <c r="U478" s="16"/>
      <c r="V478" s="16"/>
      <c r="W478" s="16"/>
      <c r="X478" s="54"/>
      <c r="Z478" s="14"/>
      <c r="AA478" s="16"/>
      <c r="AB478" s="16"/>
      <c r="AC478" s="16"/>
      <c r="AD478" s="16"/>
      <c r="AE478" s="66"/>
      <c r="AF478" s="54"/>
      <c r="AN478" s="54"/>
      <c r="AP478" s="16"/>
      <c r="AQ478" s="16"/>
      <c r="AR478" s="16"/>
      <c r="AS478" s="16"/>
      <c r="AU478" s="54"/>
    </row>
    <row r="479">
      <c r="B479" s="16"/>
      <c r="C479" s="16"/>
      <c r="D479" s="16"/>
      <c r="E479" s="16"/>
      <c r="F479" s="16"/>
      <c r="G479" s="16"/>
      <c r="Q479" s="54"/>
      <c r="R479" s="8"/>
      <c r="S479" s="14"/>
      <c r="T479" s="16"/>
      <c r="U479" s="16"/>
      <c r="V479" s="16"/>
      <c r="W479" s="16"/>
      <c r="X479" s="54"/>
      <c r="Z479" s="14"/>
      <c r="AA479" s="16"/>
      <c r="AB479" s="16"/>
      <c r="AC479" s="16"/>
      <c r="AD479" s="16"/>
      <c r="AE479" s="66"/>
      <c r="AF479" s="54"/>
      <c r="AN479" s="54"/>
      <c r="AP479" s="16"/>
      <c r="AQ479" s="16"/>
      <c r="AR479" s="16"/>
      <c r="AS479" s="16"/>
      <c r="AU479" s="54"/>
    </row>
    <row r="480">
      <c r="B480" s="16"/>
      <c r="C480" s="16"/>
      <c r="D480" s="16"/>
      <c r="E480" s="16"/>
      <c r="F480" s="16"/>
      <c r="G480" s="16"/>
      <c r="Q480" s="54"/>
      <c r="R480" s="8"/>
      <c r="S480" s="14"/>
      <c r="T480" s="16"/>
      <c r="U480" s="16"/>
      <c r="V480" s="16"/>
      <c r="W480" s="16"/>
      <c r="X480" s="54"/>
      <c r="Z480" s="14"/>
      <c r="AA480" s="16"/>
      <c r="AB480" s="16"/>
      <c r="AC480" s="16"/>
      <c r="AD480" s="16"/>
      <c r="AE480" s="66"/>
      <c r="AF480" s="54"/>
      <c r="AN480" s="54"/>
      <c r="AP480" s="16"/>
      <c r="AQ480" s="16"/>
      <c r="AR480" s="16"/>
      <c r="AS480" s="16"/>
      <c r="AU480" s="54"/>
    </row>
    <row r="481">
      <c r="B481" s="16"/>
      <c r="C481" s="16"/>
      <c r="D481" s="16"/>
      <c r="E481" s="16"/>
      <c r="F481" s="16"/>
      <c r="G481" s="16"/>
      <c r="Q481" s="54"/>
      <c r="R481" s="8"/>
      <c r="S481" s="14"/>
      <c r="T481" s="16"/>
      <c r="U481" s="16"/>
      <c r="V481" s="16"/>
      <c r="W481" s="16"/>
      <c r="X481" s="54"/>
      <c r="Z481" s="14"/>
      <c r="AA481" s="16"/>
      <c r="AB481" s="16"/>
      <c r="AC481" s="16"/>
      <c r="AD481" s="16"/>
      <c r="AE481" s="66"/>
      <c r="AF481" s="54"/>
      <c r="AN481" s="54"/>
      <c r="AP481" s="16"/>
      <c r="AQ481" s="16"/>
      <c r="AR481" s="16"/>
      <c r="AS481" s="16"/>
      <c r="AU481" s="54"/>
    </row>
    <row r="482">
      <c r="B482" s="16"/>
      <c r="C482" s="16"/>
      <c r="D482" s="16"/>
      <c r="E482" s="16"/>
      <c r="F482" s="16"/>
      <c r="G482" s="16"/>
      <c r="Q482" s="54"/>
      <c r="R482" s="8"/>
      <c r="S482" s="14"/>
      <c r="T482" s="16"/>
      <c r="U482" s="16"/>
      <c r="V482" s="16"/>
      <c r="W482" s="16"/>
      <c r="X482" s="54"/>
      <c r="Z482" s="14"/>
      <c r="AA482" s="16"/>
      <c r="AB482" s="16"/>
      <c r="AC482" s="16"/>
      <c r="AD482" s="16"/>
      <c r="AE482" s="66"/>
      <c r="AF482" s="54"/>
      <c r="AN482" s="54"/>
      <c r="AP482" s="16"/>
      <c r="AQ482" s="16"/>
      <c r="AR482" s="16"/>
      <c r="AS482" s="16"/>
      <c r="AU482" s="54"/>
    </row>
    <row r="483">
      <c r="B483" s="16"/>
      <c r="C483" s="16"/>
      <c r="D483" s="16"/>
      <c r="E483" s="16"/>
      <c r="F483" s="16"/>
      <c r="G483" s="16"/>
      <c r="Q483" s="54"/>
      <c r="R483" s="8"/>
      <c r="S483" s="14"/>
      <c r="T483" s="16"/>
      <c r="U483" s="16"/>
      <c r="V483" s="16"/>
      <c r="W483" s="16"/>
      <c r="X483" s="54"/>
      <c r="Z483" s="14"/>
      <c r="AA483" s="16"/>
      <c r="AB483" s="16"/>
      <c r="AC483" s="16"/>
      <c r="AD483" s="16"/>
      <c r="AE483" s="66"/>
      <c r="AF483" s="54"/>
      <c r="AN483" s="54"/>
      <c r="AP483" s="16"/>
      <c r="AQ483" s="16"/>
      <c r="AR483" s="16"/>
      <c r="AS483" s="16"/>
      <c r="AU483" s="54"/>
    </row>
    <row r="484">
      <c r="B484" s="16"/>
      <c r="C484" s="16"/>
      <c r="D484" s="16"/>
      <c r="E484" s="16"/>
      <c r="F484" s="16"/>
      <c r="G484" s="16"/>
      <c r="Q484" s="54"/>
      <c r="R484" s="8"/>
      <c r="S484" s="14"/>
      <c r="T484" s="16"/>
      <c r="U484" s="16"/>
      <c r="V484" s="16"/>
      <c r="W484" s="16"/>
      <c r="X484" s="54"/>
      <c r="Z484" s="14"/>
      <c r="AA484" s="16"/>
      <c r="AB484" s="16"/>
      <c r="AC484" s="16"/>
      <c r="AD484" s="16"/>
      <c r="AE484" s="66"/>
      <c r="AF484" s="54"/>
      <c r="AN484" s="54"/>
      <c r="AP484" s="16"/>
      <c r="AQ484" s="16"/>
      <c r="AR484" s="16"/>
      <c r="AS484" s="16"/>
      <c r="AU484" s="54"/>
    </row>
    <row r="485">
      <c r="B485" s="16"/>
      <c r="C485" s="16"/>
      <c r="D485" s="16"/>
      <c r="E485" s="16"/>
      <c r="F485" s="16"/>
      <c r="G485" s="16"/>
      <c r="Q485" s="54"/>
      <c r="R485" s="8"/>
      <c r="S485" s="14"/>
      <c r="T485" s="16"/>
      <c r="U485" s="16"/>
      <c r="V485" s="16"/>
      <c r="W485" s="16"/>
      <c r="X485" s="54"/>
      <c r="Z485" s="14"/>
      <c r="AA485" s="16"/>
      <c r="AB485" s="16"/>
      <c r="AC485" s="16"/>
      <c r="AD485" s="16"/>
      <c r="AE485" s="66"/>
      <c r="AF485" s="54"/>
      <c r="AN485" s="54"/>
      <c r="AP485" s="16"/>
      <c r="AQ485" s="16"/>
      <c r="AR485" s="16"/>
      <c r="AS485" s="16"/>
      <c r="AU485" s="54"/>
    </row>
    <row r="486">
      <c r="B486" s="16"/>
      <c r="C486" s="16"/>
      <c r="D486" s="16"/>
      <c r="E486" s="16"/>
      <c r="F486" s="16"/>
      <c r="G486" s="16"/>
      <c r="Q486" s="54"/>
      <c r="R486" s="8"/>
      <c r="S486" s="14"/>
      <c r="T486" s="16"/>
      <c r="U486" s="16"/>
      <c r="V486" s="16"/>
      <c r="W486" s="16"/>
      <c r="X486" s="54"/>
      <c r="Z486" s="14"/>
      <c r="AA486" s="16"/>
      <c r="AB486" s="16"/>
      <c r="AC486" s="16"/>
      <c r="AD486" s="16"/>
      <c r="AE486" s="66"/>
      <c r="AF486" s="54"/>
      <c r="AN486" s="54"/>
      <c r="AP486" s="16"/>
      <c r="AQ486" s="16"/>
      <c r="AR486" s="16"/>
      <c r="AS486" s="16"/>
      <c r="AU486" s="54"/>
    </row>
    <row r="487">
      <c r="B487" s="16"/>
      <c r="C487" s="16"/>
      <c r="D487" s="16"/>
      <c r="E487" s="16"/>
      <c r="F487" s="16"/>
      <c r="G487" s="16"/>
      <c r="Q487" s="54"/>
      <c r="R487" s="8"/>
      <c r="S487" s="14"/>
      <c r="T487" s="16"/>
      <c r="U487" s="16"/>
      <c r="V487" s="16"/>
      <c r="W487" s="16"/>
      <c r="X487" s="54"/>
      <c r="Z487" s="14"/>
      <c r="AA487" s="16"/>
      <c r="AB487" s="16"/>
      <c r="AC487" s="16"/>
      <c r="AD487" s="16"/>
      <c r="AE487" s="66"/>
      <c r="AF487" s="54"/>
      <c r="AN487" s="54"/>
      <c r="AP487" s="16"/>
      <c r="AQ487" s="16"/>
      <c r="AR487" s="16"/>
      <c r="AS487" s="16"/>
      <c r="AU487" s="54"/>
    </row>
    <row r="488">
      <c r="B488" s="16"/>
      <c r="C488" s="16"/>
      <c r="D488" s="16"/>
      <c r="E488" s="16"/>
      <c r="F488" s="16"/>
      <c r="G488" s="16"/>
      <c r="Q488" s="54"/>
      <c r="R488" s="8"/>
      <c r="S488" s="14"/>
      <c r="T488" s="16"/>
      <c r="U488" s="16"/>
      <c r="V488" s="16"/>
      <c r="W488" s="16"/>
      <c r="X488" s="54"/>
      <c r="Z488" s="14"/>
      <c r="AA488" s="16"/>
      <c r="AB488" s="16"/>
      <c r="AC488" s="16"/>
      <c r="AD488" s="16"/>
      <c r="AE488" s="66"/>
      <c r="AF488" s="54"/>
      <c r="AN488" s="54"/>
      <c r="AP488" s="16"/>
      <c r="AQ488" s="16"/>
      <c r="AR488" s="16"/>
      <c r="AS488" s="16"/>
      <c r="AU488" s="54"/>
    </row>
    <row r="489">
      <c r="B489" s="16"/>
      <c r="C489" s="16"/>
      <c r="D489" s="16"/>
      <c r="E489" s="16"/>
      <c r="F489" s="16"/>
      <c r="G489" s="16"/>
      <c r="Q489" s="54"/>
      <c r="R489" s="8"/>
      <c r="S489" s="14"/>
      <c r="T489" s="16"/>
      <c r="U489" s="16"/>
      <c r="V489" s="16"/>
      <c r="W489" s="16"/>
      <c r="X489" s="54"/>
      <c r="Z489" s="14"/>
      <c r="AA489" s="16"/>
      <c r="AB489" s="16"/>
      <c r="AC489" s="16"/>
      <c r="AD489" s="16"/>
      <c r="AE489" s="66"/>
      <c r="AF489" s="54"/>
      <c r="AN489" s="54"/>
      <c r="AP489" s="16"/>
      <c r="AQ489" s="16"/>
      <c r="AR489" s="16"/>
      <c r="AS489" s="16"/>
      <c r="AU489" s="54"/>
    </row>
    <row r="490">
      <c r="B490" s="16"/>
      <c r="C490" s="16"/>
      <c r="D490" s="16"/>
      <c r="E490" s="16"/>
      <c r="F490" s="16"/>
      <c r="G490" s="16"/>
      <c r="Q490" s="54"/>
      <c r="R490" s="8"/>
      <c r="S490" s="14"/>
      <c r="T490" s="16"/>
      <c r="U490" s="16"/>
      <c r="V490" s="16"/>
      <c r="W490" s="16"/>
      <c r="X490" s="54"/>
      <c r="Z490" s="14"/>
      <c r="AA490" s="16"/>
      <c r="AB490" s="16"/>
      <c r="AC490" s="16"/>
      <c r="AD490" s="16"/>
      <c r="AE490" s="66"/>
      <c r="AF490" s="54"/>
      <c r="AN490" s="54"/>
      <c r="AP490" s="16"/>
      <c r="AQ490" s="16"/>
      <c r="AR490" s="16"/>
      <c r="AS490" s="16"/>
      <c r="AU490" s="54"/>
    </row>
    <row r="491">
      <c r="B491" s="16"/>
      <c r="C491" s="16"/>
      <c r="D491" s="16"/>
      <c r="E491" s="16"/>
      <c r="F491" s="16"/>
      <c r="G491" s="16"/>
      <c r="Q491" s="54"/>
      <c r="R491" s="8"/>
      <c r="S491" s="14"/>
      <c r="T491" s="16"/>
      <c r="U491" s="16"/>
      <c r="V491" s="16"/>
      <c r="W491" s="16"/>
      <c r="X491" s="54"/>
      <c r="Z491" s="14"/>
      <c r="AA491" s="16"/>
      <c r="AB491" s="16"/>
      <c r="AC491" s="16"/>
      <c r="AD491" s="16"/>
      <c r="AE491" s="66"/>
      <c r="AF491" s="54"/>
      <c r="AN491" s="54"/>
      <c r="AP491" s="16"/>
      <c r="AQ491" s="16"/>
      <c r="AR491" s="16"/>
      <c r="AS491" s="16"/>
      <c r="AU491" s="54"/>
    </row>
    <row r="492">
      <c r="B492" s="16"/>
      <c r="C492" s="16"/>
      <c r="D492" s="16"/>
      <c r="E492" s="16"/>
      <c r="F492" s="16"/>
      <c r="G492" s="16"/>
      <c r="Q492" s="54"/>
      <c r="R492" s="8"/>
      <c r="S492" s="14"/>
      <c r="T492" s="16"/>
      <c r="U492" s="16"/>
      <c r="V492" s="16"/>
      <c r="W492" s="16"/>
      <c r="X492" s="54"/>
      <c r="Z492" s="14"/>
      <c r="AA492" s="16"/>
      <c r="AB492" s="16"/>
      <c r="AC492" s="16"/>
      <c r="AD492" s="16"/>
      <c r="AE492" s="66"/>
      <c r="AF492" s="54"/>
      <c r="AN492" s="54"/>
      <c r="AP492" s="16"/>
      <c r="AQ492" s="16"/>
      <c r="AR492" s="16"/>
      <c r="AS492" s="16"/>
      <c r="AU492" s="54"/>
    </row>
    <row r="493">
      <c r="B493" s="16"/>
      <c r="C493" s="16"/>
      <c r="D493" s="16"/>
      <c r="E493" s="16"/>
      <c r="F493" s="16"/>
      <c r="G493" s="16"/>
      <c r="Q493" s="54"/>
      <c r="R493" s="8"/>
      <c r="S493" s="14"/>
      <c r="T493" s="16"/>
      <c r="U493" s="16"/>
      <c r="V493" s="16"/>
      <c r="W493" s="16"/>
      <c r="X493" s="54"/>
      <c r="Z493" s="14"/>
      <c r="AA493" s="16"/>
      <c r="AB493" s="16"/>
      <c r="AC493" s="16"/>
      <c r="AD493" s="16"/>
      <c r="AE493" s="66"/>
      <c r="AF493" s="54"/>
      <c r="AN493" s="54"/>
      <c r="AP493" s="16"/>
      <c r="AQ493" s="16"/>
      <c r="AR493" s="16"/>
      <c r="AS493" s="16"/>
      <c r="AU493" s="54"/>
    </row>
    <row r="494">
      <c r="B494" s="16"/>
      <c r="C494" s="16"/>
      <c r="D494" s="16"/>
      <c r="E494" s="16"/>
      <c r="F494" s="16"/>
      <c r="G494" s="16"/>
      <c r="Q494" s="54"/>
      <c r="R494" s="8"/>
      <c r="S494" s="14"/>
      <c r="T494" s="16"/>
      <c r="U494" s="16"/>
      <c r="V494" s="16"/>
      <c r="W494" s="16"/>
      <c r="X494" s="54"/>
      <c r="Z494" s="14"/>
      <c r="AA494" s="16"/>
      <c r="AB494" s="16"/>
      <c r="AC494" s="16"/>
      <c r="AD494" s="16"/>
      <c r="AE494" s="66"/>
      <c r="AF494" s="54"/>
      <c r="AN494" s="54"/>
      <c r="AP494" s="16"/>
      <c r="AQ494" s="16"/>
      <c r="AR494" s="16"/>
      <c r="AS494" s="16"/>
      <c r="AU494" s="54"/>
    </row>
    <row r="495">
      <c r="B495" s="16"/>
      <c r="C495" s="16"/>
      <c r="D495" s="16"/>
      <c r="E495" s="16"/>
      <c r="F495" s="16"/>
      <c r="G495" s="16"/>
      <c r="Q495" s="54"/>
      <c r="R495" s="8"/>
      <c r="S495" s="14"/>
      <c r="T495" s="16"/>
      <c r="U495" s="16"/>
      <c r="V495" s="16"/>
      <c r="W495" s="16"/>
      <c r="X495" s="54"/>
      <c r="Z495" s="14"/>
      <c r="AA495" s="16"/>
      <c r="AB495" s="16"/>
      <c r="AC495" s="16"/>
      <c r="AD495" s="16"/>
      <c r="AE495" s="66"/>
      <c r="AF495" s="54"/>
      <c r="AN495" s="54"/>
      <c r="AP495" s="16"/>
      <c r="AQ495" s="16"/>
      <c r="AR495" s="16"/>
      <c r="AS495" s="16"/>
      <c r="AU495" s="54"/>
    </row>
    <row r="496">
      <c r="B496" s="16"/>
      <c r="C496" s="16"/>
      <c r="D496" s="16"/>
      <c r="E496" s="16"/>
      <c r="F496" s="16"/>
      <c r="G496" s="16"/>
      <c r="Q496" s="54"/>
      <c r="R496" s="8"/>
      <c r="S496" s="14"/>
      <c r="T496" s="16"/>
      <c r="U496" s="16"/>
      <c r="V496" s="16"/>
      <c r="W496" s="16"/>
      <c r="X496" s="54"/>
      <c r="Z496" s="14"/>
      <c r="AA496" s="16"/>
      <c r="AB496" s="16"/>
      <c r="AC496" s="16"/>
      <c r="AD496" s="16"/>
      <c r="AE496" s="66"/>
      <c r="AF496" s="54"/>
      <c r="AN496" s="54"/>
      <c r="AP496" s="16"/>
      <c r="AQ496" s="16"/>
      <c r="AR496" s="16"/>
      <c r="AS496" s="16"/>
      <c r="AU496" s="54"/>
    </row>
    <row r="497">
      <c r="B497" s="16"/>
      <c r="C497" s="16"/>
      <c r="D497" s="16"/>
      <c r="E497" s="16"/>
      <c r="F497" s="16"/>
      <c r="G497" s="16"/>
      <c r="Q497" s="54"/>
      <c r="R497" s="8"/>
      <c r="S497" s="14"/>
      <c r="T497" s="16"/>
      <c r="U497" s="16"/>
      <c r="V497" s="16"/>
      <c r="W497" s="16"/>
      <c r="X497" s="54"/>
      <c r="Z497" s="14"/>
      <c r="AA497" s="16"/>
      <c r="AB497" s="16"/>
      <c r="AC497" s="16"/>
      <c r="AD497" s="16"/>
      <c r="AE497" s="66"/>
      <c r="AF497" s="54"/>
      <c r="AN497" s="54"/>
      <c r="AP497" s="16"/>
      <c r="AQ497" s="16"/>
      <c r="AR497" s="16"/>
      <c r="AS497" s="16"/>
      <c r="AU497" s="54"/>
    </row>
    <row r="498">
      <c r="B498" s="16"/>
      <c r="C498" s="16"/>
      <c r="D498" s="16"/>
      <c r="E498" s="16"/>
      <c r="F498" s="16"/>
      <c r="G498" s="16"/>
      <c r="Q498" s="54"/>
      <c r="R498" s="8"/>
      <c r="S498" s="14"/>
      <c r="T498" s="16"/>
      <c r="U498" s="16"/>
      <c r="V498" s="16"/>
      <c r="W498" s="16"/>
      <c r="X498" s="54"/>
      <c r="Z498" s="14"/>
      <c r="AA498" s="16"/>
      <c r="AB498" s="16"/>
      <c r="AC498" s="16"/>
      <c r="AD498" s="16"/>
      <c r="AE498" s="66"/>
      <c r="AF498" s="54"/>
      <c r="AN498" s="54"/>
      <c r="AP498" s="16"/>
      <c r="AQ498" s="16"/>
      <c r="AR498" s="16"/>
      <c r="AS498" s="16"/>
      <c r="AU498" s="54"/>
    </row>
    <row r="499">
      <c r="B499" s="16"/>
      <c r="C499" s="16"/>
      <c r="D499" s="16"/>
      <c r="E499" s="16"/>
      <c r="F499" s="16"/>
      <c r="G499" s="16"/>
      <c r="Q499" s="54"/>
      <c r="R499" s="8"/>
      <c r="S499" s="14"/>
      <c r="T499" s="16"/>
      <c r="U499" s="16"/>
      <c r="V499" s="16"/>
      <c r="W499" s="16"/>
      <c r="X499" s="54"/>
      <c r="Z499" s="14"/>
      <c r="AA499" s="16"/>
      <c r="AB499" s="16"/>
      <c r="AC499" s="16"/>
      <c r="AD499" s="16"/>
      <c r="AE499" s="66"/>
      <c r="AF499" s="54"/>
      <c r="AN499" s="54"/>
      <c r="AP499" s="16"/>
      <c r="AQ499" s="16"/>
      <c r="AR499" s="16"/>
      <c r="AS499" s="16"/>
      <c r="AU499" s="54"/>
    </row>
    <row r="500">
      <c r="B500" s="16"/>
      <c r="C500" s="16"/>
      <c r="D500" s="16"/>
      <c r="E500" s="16"/>
      <c r="F500" s="16"/>
      <c r="G500" s="16"/>
      <c r="Q500" s="54"/>
      <c r="R500" s="8"/>
      <c r="S500" s="14"/>
      <c r="T500" s="16"/>
      <c r="U500" s="16"/>
      <c r="V500" s="16"/>
      <c r="W500" s="16"/>
      <c r="X500" s="54"/>
      <c r="Z500" s="14"/>
      <c r="AA500" s="16"/>
      <c r="AB500" s="16"/>
      <c r="AC500" s="16"/>
      <c r="AD500" s="16"/>
      <c r="AE500" s="66"/>
      <c r="AF500" s="54"/>
      <c r="AN500" s="54"/>
      <c r="AP500" s="16"/>
      <c r="AQ500" s="16"/>
      <c r="AR500" s="16"/>
      <c r="AS500" s="16"/>
      <c r="AU500" s="54"/>
    </row>
    <row r="501">
      <c r="B501" s="16"/>
      <c r="C501" s="16"/>
      <c r="D501" s="16"/>
      <c r="E501" s="16"/>
      <c r="F501" s="16"/>
      <c r="G501" s="16"/>
      <c r="Q501" s="54"/>
      <c r="R501" s="8"/>
      <c r="S501" s="14"/>
      <c r="T501" s="16"/>
      <c r="U501" s="16"/>
      <c r="V501" s="16"/>
      <c r="W501" s="16"/>
      <c r="X501" s="54"/>
      <c r="Z501" s="14"/>
      <c r="AA501" s="16"/>
      <c r="AB501" s="16"/>
      <c r="AC501" s="16"/>
      <c r="AD501" s="16"/>
      <c r="AE501" s="66"/>
      <c r="AF501" s="54"/>
      <c r="AN501" s="54"/>
      <c r="AP501" s="16"/>
      <c r="AQ501" s="16"/>
      <c r="AR501" s="16"/>
      <c r="AS501" s="16"/>
      <c r="AU501" s="54"/>
    </row>
    <row r="502">
      <c r="B502" s="16"/>
      <c r="C502" s="16"/>
      <c r="D502" s="16"/>
      <c r="E502" s="16"/>
      <c r="F502" s="16"/>
      <c r="G502" s="16"/>
      <c r="Q502" s="54"/>
      <c r="R502" s="8"/>
      <c r="S502" s="14"/>
      <c r="T502" s="16"/>
      <c r="U502" s="16"/>
      <c r="V502" s="16"/>
      <c r="W502" s="16"/>
      <c r="X502" s="54"/>
      <c r="Z502" s="14"/>
      <c r="AA502" s="16"/>
      <c r="AB502" s="16"/>
      <c r="AC502" s="16"/>
      <c r="AD502" s="16"/>
      <c r="AE502" s="66"/>
      <c r="AF502" s="54"/>
      <c r="AN502" s="54"/>
      <c r="AP502" s="16"/>
      <c r="AQ502" s="16"/>
      <c r="AR502" s="16"/>
      <c r="AS502" s="16"/>
      <c r="AU502" s="54"/>
    </row>
    <row r="503">
      <c r="B503" s="16"/>
      <c r="C503" s="16"/>
      <c r="D503" s="16"/>
      <c r="E503" s="16"/>
      <c r="F503" s="16"/>
      <c r="G503" s="16"/>
      <c r="Q503" s="54"/>
      <c r="R503" s="8"/>
      <c r="S503" s="14"/>
      <c r="T503" s="16"/>
      <c r="U503" s="16"/>
      <c r="V503" s="16"/>
      <c r="W503" s="16"/>
      <c r="X503" s="54"/>
      <c r="Z503" s="14"/>
      <c r="AA503" s="16"/>
      <c r="AB503" s="16"/>
      <c r="AC503" s="16"/>
      <c r="AD503" s="16"/>
      <c r="AE503" s="66"/>
      <c r="AF503" s="54"/>
      <c r="AN503" s="54"/>
      <c r="AP503" s="16"/>
      <c r="AQ503" s="16"/>
      <c r="AR503" s="16"/>
      <c r="AS503" s="16"/>
      <c r="AU503" s="54"/>
    </row>
    <row r="504">
      <c r="B504" s="16"/>
      <c r="C504" s="16"/>
      <c r="D504" s="16"/>
      <c r="E504" s="16"/>
      <c r="F504" s="16"/>
      <c r="G504" s="16"/>
      <c r="Q504" s="54"/>
      <c r="R504" s="8"/>
      <c r="S504" s="14"/>
      <c r="T504" s="16"/>
      <c r="U504" s="16"/>
      <c r="V504" s="16"/>
      <c r="W504" s="16"/>
      <c r="X504" s="54"/>
      <c r="Z504" s="14"/>
      <c r="AA504" s="16"/>
      <c r="AB504" s="16"/>
      <c r="AC504" s="16"/>
      <c r="AD504" s="16"/>
      <c r="AE504" s="66"/>
      <c r="AF504" s="54"/>
      <c r="AN504" s="54"/>
      <c r="AP504" s="16"/>
      <c r="AQ504" s="16"/>
      <c r="AR504" s="16"/>
      <c r="AS504" s="16"/>
      <c r="AU504" s="54"/>
    </row>
    <row r="505">
      <c r="B505" s="16"/>
      <c r="C505" s="16"/>
      <c r="D505" s="16"/>
      <c r="E505" s="16"/>
      <c r="F505" s="16"/>
      <c r="G505" s="16"/>
      <c r="Q505" s="54"/>
      <c r="R505" s="8"/>
      <c r="S505" s="14"/>
      <c r="T505" s="16"/>
      <c r="U505" s="16"/>
      <c r="V505" s="16"/>
      <c r="W505" s="16"/>
      <c r="X505" s="54"/>
      <c r="Z505" s="14"/>
      <c r="AA505" s="16"/>
      <c r="AB505" s="16"/>
      <c r="AC505" s="16"/>
      <c r="AD505" s="16"/>
      <c r="AE505" s="66"/>
      <c r="AF505" s="54"/>
      <c r="AN505" s="54"/>
      <c r="AP505" s="16"/>
      <c r="AQ505" s="16"/>
      <c r="AR505" s="16"/>
      <c r="AS505" s="16"/>
      <c r="AU505" s="54"/>
    </row>
    <row r="506">
      <c r="B506" s="16"/>
      <c r="C506" s="16"/>
      <c r="D506" s="16"/>
      <c r="E506" s="16"/>
      <c r="F506" s="16"/>
      <c r="G506" s="16"/>
      <c r="Q506" s="54"/>
      <c r="R506" s="8"/>
      <c r="S506" s="14"/>
      <c r="T506" s="16"/>
      <c r="U506" s="16"/>
      <c r="V506" s="16"/>
      <c r="W506" s="16"/>
      <c r="X506" s="54"/>
      <c r="Z506" s="14"/>
      <c r="AA506" s="16"/>
      <c r="AB506" s="16"/>
      <c r="AC506" s="16"/>
      <c r="AD506" s="16"/>
      <c r="AE506" s="66"/>
      <c r="AF506" s="54"/>
      <c r="AN506" s="54"/>
      <c r="AP506" s="16"/>
      <c r="AQ506" s="16"/>
      <c r="AR506" s="16"/>
      <c r="AS506" s="16"/>
      <c r="AU506" s="54"/>
    </row>
    <row r="507">
      <c r="B507" s="16"/>
      <c r="C507" s="16"/>
      <c r="D507" s="16"/>
      <c r="E507" s="16"/>
      <c r="F507" s="16"/>
      <c r="G507" s="16"/>
      <c r="Q507" s="54"/>
      <c r="R507" s="8"/>
      <c r="S507" s="14"/>
      <c r="T507" s="16"/>
      <c r="U507" s="16"/>
      <c r="V507" s="16"/>
      <c r="W507" s="16"/>
      <c r="X507" s="54"/>
      <c r="Z507" s="14"/>
      <c r="AA507" s="16"/>
      <c r="AB507" s="16"/>
      <c r="AC507" s="16"/>
      <c r="AD507" s="16"/>
      <c r="AE507" s="66"/>
      <c r="AF507" s="54"/>
      <c r="AN507" s="54"/>
      <c r="AP507" s="16"/>
      <c r="AQ507" s="16"/>
      <c r="AR507" s="16"/>
      <c r="AS507" s="16"/>
      <c r="AU507" s="54"/>
    </row>
    <row r="508">
      <c r="B508" s="16"/>
      <c r="C508" s="16"/>
      <c r="D508" s="16"/>
      <c r="E508" s="16"/>
      <c r="F508" s="16"/>
      <c r="G508" s="16"/>
      <c r="Q508" s="54"/>
      <c r="R508" s="8"/>
      <c r="S508" s="14"/>
      <c r="T508" s="16"/>
      <c r="U508" s="16"/>
      <c r="V508" s="16"/>
      <c r="W508" s="16"/>
      <c r="X508" s="54"/>
      <c r="Z508" s="14"/>
      <c r="AA508" s="16"/>
      <c r="AB508" s="16"/>
      <c r="AC508" s="16"/>
      <c r="AD508" s="16"/>
      <c r="AE508" s="66"/>
      <c r="AF508" s="54"/>
      <c r="AN508" s="54"/>
      <c r="AP508" s="16"/>
      <c r="AQ508" s="16"/>
      <c r="AR508" s="16"/>
      <c r="AS508" s="16"/>
      <c r="AU508" s="54"/>
    </row>
    <row r="509">
      <c r="B509" s="16"/>
      <c r="C509" s="16"/>
      <c r="D509" s="16"/>
      <c r="E509" s="16"/>
      <c r="F509" s="16"/>
      <c r="G509" s="16"/>
      <c r="Q509" s="54"/>
      <c r="R509" s="8"/>
      <c r="S509" s="14"/>
      <c r="T509" s="16"/>
      <c r="U509" s="16"/>
      <c r="V509" s="16"/>
      <c r="W509" s="16"/>
      <c r="X509" s="54"/>
      <c r="Z509" s="14"/>
      <c r="AA509" s="16"/>
      <c r="AB509" s="16"/>
      <c r="AC509" s="16"/>
      <c r="AD509" s="16"/>
      <c r="AE509" s="66"/>
      <c r="AF509" s="54"/>
      <c r="AN509" s="54"/>
      <c r="AP509" s="16"/>
      <c r="AQ509" s="16"/>
      <c r="AR509" s="16"/>
      <c r="AS509" s="16"/>
      <c r="AU509" s="54"/>
    </row>
    <row r="510">
      <c r="B510" s="16"/>
      <c r="C510" s="16"/>
      <c r="D510" s="16"/>
      <c r="E510" s="16"/>
      <c r="F510" s="16"/>
      <c r="G510" s="16"/>
      <c r="Q510" s="54"/>
      <c r="R510" s="8"/>
      <c r="S510" s="14"/>
      <c r="T510" s="16"/>
      <c r="U510" s="16"/>
      <c r="V510" s="16"/>
      <c r="W510" s="16"/>
      <c r="X510" s="54"/>
      <c r="Z510" s="14"/>
      <c r="AA510" s="16"/>
      <c r="AB510" s="16"/>
      <c r="AC510" s="16"/>
      <c r="AD510" s="16"/>
      <c r="AE510" s="66"/>
      <c r="AF510" s="54"/>
      <c r="AN510" s="54"/>
      <c r="AP510" s="16"/>
      <c r="AQ510" s="16"/>
      <c r="AR510" s="16"/>
      <c r="AS510" s="16"/>
      <c r="AU510" s="54"/>
    </row>
    <row r="511">
      <c r="B511" s="16"/>
      <c r="C511" s="16"/>
      <c r="D511" s="16"/>
      <c r="E511" s="16"/>
      <c r="F511" s="16"/>
      <c r="G511" s="16"/>
      <c r="Q511" s="54"/>
      <c r="R511" s="8"/>
      <c r="S511" s="14"/>
      <c r="T511" s="16"/>
      <c r="U511" s="16"/>
      <c r="V511" s="16"/>
      <c r="W511" s="16"/>
      <c r="X511" s="54"/>
      <c r="Z511" s="14"/>
      <c r="AA511" s="16"/>
      <c r="AB511" s="16"/>
      <c r="AC511" s="16"/>
      <c r="AD511" s="16"/>
      <c r="AE511" s="66"/>
      <c r="AF511" s="54"/>
      <c r="AN511" s="54"/>
      <c r="AP511" s="16"/>
      <c r="AQ511" s="16"/>
      <c r="AR511" s="16"/>
      <c r="AS511" s="16"/>
      <c r="AU511" s="54"/>
    </row>
    <row r="512">
      <c r="B512" s="16"/>
      <c r="C512" s="16"/>
      <c r="D512" s="16"/>
      <c r="E512" s="16"/>
      <c r="F512" s="16"/>
      <c r="G512" s="16"/>
      <c r="Q512" s="54"/>
      <c r="R512" s="8"/>
      <c r="S512" s="14"/>
      <c r="T512" s="16"/>
      <c r="U512" s="16"/>
      <c r="V512" s="16"/>
      <c r="W512" s="16"/>
      <c r="X512" s="54"/>
      <c r="Z512" s="14"/>
      <c r="AA512" s="16"/>
      <c r="AB512" s="16"/>
      <c r="AC512" s="16"/>
      <c r="AD512" s="16"/>
      <c r="AE512" s="66"/>
      <c r="AF512" s="54"/>
      <c r="AN512" s="54"/>
      <c r="AP512" s="16"/>
      <c r="AQ512" s="16"/>
      <c r="AR512" s="16"/>
      <c r="AS512" s="16"/>
      <c r="AU512" s="54"/>
    </row>
    <row r="513">
      <c r="B513" s="16"/>
      <c r="C513" s="16"/>
      <c r="D513" s="16"/>
      <c r="E513" s="16"/>
      <c r="F513" s="16"/>
      <c r="G513" s="16"/>
      <c r="Q513" s="54"/>
      <c r="R513" s="8"/>
      <c r="S513" s="14"/>
      <c r="T513" s="16"/>
      <c r="U513" s="16"/>
      <c r="V513" s="16"/>
      <c r="W513" s="16"/>
      <c r="X513" s="54"/>
      <c r="Z513" s="14"/>
      <c r="AA513" s="16"/>
      <c r="AB513" s="16"/>
      <c r="AC513" s="16"/>
      <c r="AD513" s="16"/>
      <c r="AE513" s="66"/>
      <c r="AF513" s="54"/>
      <c r="AN513" s="54"/>
      <c r="AP513" s="16"/>
      <c r="AQ513" s="16"/>
      <c r="AR513" s="16"/>
      <c r="AS513" s="16"/>
      <c r="AU513" s="54"/>
    </row>
    <row r="514">
      <c r="B514" s="16"/>
      <c r="C514" s="16"/>
      <c r="D514" s="16"/>
      <c r="E514" s="16"/>
      <c r="F514" s="16"/>
      <c r="G514" s="16"/>
      <c r="Q514" s="54"/>
      <c r="R514" s="8"/>
      <c r="S514" s="14"/>
      <c r="T514" s="16"/>
      <c r="U514" s="16"/>
      <c r="V514" s="16"/>
      <c r="W514" s="16"/>
      <c r="X514" s="54"/>
      <c r="Z514" s="14"/>
      <c r="AA514" s="16"/>
      <c r="AB514" s="16"/>
      <c r="AC514" s="16"/>
      <c r="AD514" s="16"/>
      <c r="AE514" s="66"/>
      <c r="AF514" s="54"/>
      <c r="AN514" s="54"/>
      <c r="AP514" s="16"/>
      <c r="AQ514" s="16"/>
      <c r="AR514" s="16"/>
      <c r="AS514" s="16"/>
      <c r="AU514" s="54"/>
    </row>
    <row r="515">
      <c r="B515" s="16"/>
      <c r="C515" s="16"/>
      <c r="D515" s="16"/>
      <c r="E515" s="16"/>
      <c r="F515" s="16"/>
      <c r="G515" s="16"/>
      <c r="Q515" s="54"/>
      <c r="R515" s="8"/>
      <c r="S515" s="14"/>
      <c r="T515" s="16"/>
      <c r="U515" s="16"/>
      <c r="V515" s="16"/>
      <c r="W515" s="16"/>
      <c r="X515" s="54"/>
      <c r="Z515" s="14"/>
      <c r="AA515" s="16"/>
      <c r="AB515" s="16"/>
      <c r="AC515" s="16"/>
      <c r="AD515" s="16"/>
      <c r="AE515" s="66"/>
      <c r="AF515" s="54"/>
      <c r="AN515" s="54"/>
      <c r="AP515" s="16"/>
      <c r="AQ515" s="16"/>
      <c r="AR515" s="16"/>
      <c r="AS515" s="16"/>
      <c r="AU515" s="54"/>
    </row>
    <row r="516">
      <c r="B516" s="16"/>
      <c r="C516" s="16"/>
      <c r="D516" s="16"/>
      <c r="E516" s="16"/>
      <c r="F516" s="16"/>
      <c r="G516" s="16"/>
      <c r="Q516" s="54"/>
      <c r="R516" s="8"/>
      <c r="S516" s="14"/>
      <c r="T516" s="16"/>
      <c r="U516" s="16"/>
      <c r="V516" s="16"/>
      <c r="W516" s="16"/>
      <c r="X516" s="54"/>
      <c r="Z516" s="14"/>
      <c r="AA516" s="16"/>
      <c r="AB516" s="16"/>
      <c r="AC516" s="16"/>
      <c r="AD516" s="16"/>
      <c r="AE516" s="66"/>
      <c r="AF516" s="54"/>
      <c r="AN516" s="54"/>
      <c r="AP516" s="16"/>
      <c r="AQ516" s="16"/>
      <c r="AR516" s="16"/>
      <c r="AS516" s="16"/>
      <c r="AU516" s="54"/>
    </row>
    <row r="517">
      <c r="B517" s="16"/>
      <c r="C517" s="16"/>
      <c r="D517" s="16"/>
      <c r="E517" s="16"/>
      <c r="F517" s="16"/>
      <c r="G517" s="16"/>
      <c r="Q517" s="54"/>
      <c r="R517" s="8"/>
      <c r="S517" s="14"/>
      <c r="T517" s="16"/>
      <c r="U517" s="16"/>
      <c r="V517" s="16"/>
      <c r="W517" s="16"/>
      <c r="X517" s="54"/>
      <c r="Z517" s="14"/>
      <c r="AA517" s="16"/>
      <c r="AB517" s="16"/>
      <c r="AC517" s="16"/>
      <c r="AD517" s="16"/>
      <c r="AE517" s="66"/>
      <c r="AF517" s="54"/>
      <c r="AN517" s="54"/>
      <c r="AP517" s="16"/>
      <c r="AQ517" s="16"/>
      <c r="AR517" s="16"/>
      <c r="AS517" s="16"/>
      <c r="AU517" s="54"/>
    </row>
    <row r="518">
      <c r="B518" s="16"/>
      <c r="C518" s="16"/>
      <c r="D518" s="16"/>
      <c r="E518" s="16"/>
      <c r="F518" s="16"/>
      <c r="G518" s="16"/>
      <c r="Q518" s="54"/>
      <c r="R518" s="8"/>
      <c r="S518" s="14"/>
      <c r="T518" s="16"/>
      <c r="U518" s="16"/>
      <c r="V518" s="16"/>
      <c r="W518" s="16"/>
      <c r="X518" s="54"/>
      <c r="Z518" s="14"/>
      <c r="AA518" s="16"/>
      <c r="AB518" s="16"/>
      <c r="AC518" s="16"/>
      <c r="AD518" s="16"/>
      <c r="AE518" s="66"/>
      <c r="AF518" s="54"/>
      <c r="AN518" s="54"/>
      <c r="AP518" s="16"/>
      <c r="AQ518" s="16"/>
      <c r="AR518" s="16"/>
      <c r="AS518" s="16"/>
      <c r="AU518" s="54"/>
    </row>
    <row r="519">
      <c r="B519" s="16"/>
      <c r="C519" s="16"/>
      <c r="D519" s="16"/>
      <c r="E519" s="16"/>
      <c r="F519" s="16"/>
      <c r="G519" s="16"/>
      <c r="Q519" s="54"/>
      <c r="R519" s="8"/>
      <c r="S519" s="14"/>
      <c r="T519" s="16"/>
      <c r="U519" s="16"/>
      <c r="V519" s="16"/>
      <c r="W519" s="16"/>
      <c r="X519" s="54"/>
      <c r="Z519" s="14"/>
      <c r="AA519" s="16"/>
      <c r="AB519" s="16"/>
      <c r="AC519" s="16"/>
      <c r="AD519" s="16"/>
      <c r="AE519" s="66"/>
      <c r="AF519" s="54"/>
      <c r="AN519" s="54"/>
      <c r="AP519" s="16"/>
      <c r="AQ519" s="16"/>
      <c r="AR519" s="16"/>
      <c r="AS519" s="16"/>
      <c r="AU519" s="54"/>
    </row>
    <row r="520">
      <c r="B520" s="16"/>
      <c r="C520" s="16"/>
      <c r="D520" s="16"/>
      <c r="E520" s="16"/>
      <c r="F520" s="16"/>
      <c r="G520" s="16"/>
      <c r="Q520" s="54"/>
      <c r="R520" s="8"/>
      <c r="S520" s="14"/>
      <c r="T520" s="16"/>
      <c r="U520" s="16"/>
      <c r="V520" s="16"/>
      <c r="W520" s="16"/>
      <c r="X520" s="54"/>
      <c r="Z520" s="14"/>
      <c r="AA520" s="16"/>
      <c r="AB520" s="16"/>
      <c r="AC520" s="16"/>
      <c r="AD520" s="16"/>
      <c r="AE520" s="66"/>
      <c r="AF520" s="54"/>
      <c r="AN520" s="54"/>
      <c r="AP520" s="16"/>
      <c r="AQ520" s="16"/>
      <c r="AR520" s="16"/>
      <c r="AS520" s="16"/>
      <c r="AU520" s="54"/>
    </row>
    <row r="521">
      <c r="B521" s="16"/>
      <c r="C521" s="16"/>
      <c r="D521" s="16"/>
      <c r="E521" s="16"/>
      <c r="F521" s="16"/>
      <c r="G521" s="16"/>
      <c r="Q521" s="54"/>
      <c r="R521" s="8"/>
      <c r="S521" s="14"/>
      <c r="T521" s="16"/>
      <c r="U521" s="16"/>
      <c r="V521" s="16"/>
      <c r="W521" s="16"/>
      <c r="X521" s="54"/>
      <c r="Z521" s="14"/>
      <c r="AA521" s="16"/>
      <c r="AB521" s="16"/>
      <c r="AC521" s="16"/>
      <c r="AD521" s="16"/>
      <c r="AE521" s="66"/>
      <c r="AF521" s="54"/>
      <c r="AN521" s="54"/>
      <c r="AP521" s="16"/>
      <c r="AQ521" s="16"/>
      <c r="AR521" s="16"/>
      <c r="AS521" s="16"/>
      <c r="AU521" s="54"/>
    </row>
    <row r="522">
      <c r="B522" s="16"/>
      <c r="C522" s="16"/>
      <c r="D522" s="16"/>
      <c r="E522" s="16"/>
      <c r="F522" s="16"/>
      <c r="G522" s="16"/>
      <c r="Q522" s="54"/>
      <c r="R522" s="8"/>
      <c r="S522" s="14"/>
      <c r="T522" s="16"/>
      <c r="U522" s="16"/>
      <c r="V522" s="16"/>
      <c r="W522" s="16"/>
      <c r="X522" s="54"/>
      <c r="Z522" s="14"/>
      <c r="AA522" s="16"/>
      <c r="AB522" s="16"/>
      <c r="AC522" s="16"/>
      <c r="AD522" s="16"/>
      <c r="AE522" s="66"/>
      <c r="AF522" s="54"/>
      <c r="AN522" s="54"/>
      <c r="AP522" s="16"/>
      <c r="AQ522" s="16"/>
      <c r="AR522" s="16"/>
      <c r="AS522" s="16"/>
      <c r="AU522" s="54"/>
    </row>
    <row r="523">
      <c r="B523" s="16"/>
      <c r="C523" s="16"/>
      <c r="D523" s="16"/>
      <c r="E523" s="16"/>
      <c r="F523" s="16"/>
      <c r="G523" s="16"/>
      <c r="Q523" s="54"/>
      <c r="R523" s="8"/>
      <c r="S523" s="14"/>
      <c r="T523" s="16"/>
      <c r="U523" s="16"/>
      <c r="V523" s="16"/>
      <c r="W523" s="16"/>
      <c r="X523" s="54"/>
      <c r="Z523" s="14"/>
      <c r="AA523" s="16"/>
      <c r="AB523" s="16"/>
      <c r="AC523" s="16"/>
      <c r="AD523" s="16"/>
      <c r="AE523" s="66"/>
      <c r="AF523" s="54"/>
      <c r="AN523" s="54"/>
      <c r="AP523" s="16"/>
      <c r="AQ523" s="16"/>
      <c r="AR523" s="16"/>
      <c r="AS523" s="16"/>
      <c r="AU523" s="54"/>
    </row>
    <row r="524">
      <c r="B524" s="16"/>
      <c r="C524" s="16"/>
      <c r="D524" s="16"/>
      <c r="E524" s="16"/>
      <c r="F524" s="16"/>
      <c r="G524" s="16"/>
      <c r="Q524" s="54"/>
      <c r="R524" s="8"/>
      <c r="S524" s="14"/>
      <c r="T524" s="16"/>
      <c r="U524" s="16"/>
      <c r="V524" s="16"/>
      <c r="W524" s="16"/>
      <c r="X524" s="54"/>
      <c r="Z524" s="14"/>
      <c r="AA524" s="16"/>
      <c r="AB524" s="16"/>
      <c r="AC524" s="16"/>
      <c r="AD524" s="16"/>
      <c r="AE524" s="66"/>
      <c r="AF524" s="54"/>
      <c r="AN524" s="54"/>
      <c r="AP524" s="16"/>
      <c r="AQ524" s="16"/>
      <c r="AR524" s="16"/>
      <c r="AS524" s="16"/>
      <c r="AU524" s="54"/>
    </row>
    <row r="525">
      <c r="B525" s="16"/>
      <c r="C525" s="16"/>
      <c r="D525" s="16"/>
      <c r="E525" s="16"/>
      <c r="F525" s="16"/>
      <c r="G525" s="16"/>
      <c r="Q525" s="54"/>
      <c r="R525" s="8"/>
      <c r="S525" s="14"/>
      <c r="T525" s="16"/>
      <c r="U525" s="16"/>
      <c r="V525" s="16"/>
      <c r="W525" s="16"/>
      <c r="X525" s="54"/>
      <c r="Z525" s="14"/>
      <c r="AA525" s="16"/>
      <c r="AB525" s="16"/>
      <c r="AC525" s="16"/>
      <c r="AD525" s="16"/>
      <c r="AE525" s="66"/>
      <c r="AF525" s="54"/>
      <c r="AN525" s="54"/>
      <c r="AP525" s="16"/>
      <c r="AQ525" s="16"/>
      <c r="AR525" s="16"/>
      <c r="AS525" s="16"/>
      <c r="AU525" s="54"/>
    </row>
    <row r="526">
      <c r="B526" s="16"/>
      <c r="C526" s="16"/>
      <c r="D526" s="16"/>
      <c r="E526" s="16"/>
      <c r="F526" s="16"/>
      <c r="G526" s="16"/>
      <c r="Q526" s="54"/>
      <c r="R526" s="8"/>
      <c r="S526" s="14"/>
      <c r="T526" s="16"/>
      <c r="U526" s="16"/>
      <c r="V526" s="16"/>
      <c r="W526" s="16"/>
      <c r="X526" s="54"/>
      <c r="Z526" s="14"/>
      <c r="AA526" s="16"/>
      <c r="AB526" s="16"/>
      <c r="AC526" s="16"/>
      <c r="AD526" s="16"/>
      <c r="AE526" s="66"/>
      <c r="AF526" s="54"/>
      <c r="AN526" s="54"/>
      <c r="AP526" s="16"/>
      <c r="AQ526" s="16"/>
      <c r="AR526" s="16"/>
      <c r="AS526" s="16"/>
      <c r="AU526" s="54"/>
    </row>
    <row r="527">
      <c r="B527" s="16"/>
      <c r="C527" s="16"/>
      <c r="D527" s="16"/>
      <c r="E527" s="16"/>
      <c r="F527" s="16"/>
      <c r="G527" s="16"/>
      <c r="Q527" s="54"/>
      <c r="R527" s="8"/>
      <c r="S527" s="14"/>
      <c r="T527" s="16"/>
      <c r="U527" s="16"/>
      <c r="V527" s="16"/>
      <c r="W527" s="16"/>
      <c r="X527" s="54"/>
      <c r="Z527" s="14"/>
      <c r="AA527" s="16"/>
      <c r="AB527" s="16"/>
      <c r="AC527" s="16"/>
      <c r="AD527" s="16"/>
      <c r="AE527" s="66"/>
      <c r="AF527" s="54"/>
      <c r="AN527" s="54"/>
      <c r="AP527" s="16"/>
      <c r="AQ527" s="16"/>
      <c r="AR527" s="16"/>
      <c r="AS527" s="16"/>
      <c r="AU527" s="54"/>
    </row>
    <row r="528">
      <c r="B528" s="16"/>
      <c r="C528" s="16"/>
      <c r="D528" s="16"/>
      <c r="E528" s="16"/>
      <c r="F528" s="16"/>
      <c r="G528" s="16"/>
      <c r="Q528" s="54"/>
      <c r="R528" s="8"/>
      <c r="S528" s="14"/>
      <c r="T528" s="16"/>
      <c r="U528" s="16"/>
      <c r="V528" s="16"/>
      <c r="W528" s="16"/>
      <c r="X528" s="54"/>
      <c r="Z528" s="14"/>
      <c r="AA528" s="16"/>
      <c r="AB528" s="16"/>
      <c r="AC528" s="16"/>
      <c r="AD528" s="16"/>
      <c r="AE528" s="66"/>
      <c r="AF528" s="54"/>
      <c r="AN528" s="54"/>
      <c r="AP528" s="16"/>
      <c r="AQ528" s="16"/>
      <c r="AR528" s="16"/>
      <c r="AS528" s="16"/>
      <c r="AU528" s="54"/>
    </row>
    <row r="529">
      <c r="B529" s="16"/>
      <c r="C529" s="16"/>
      <c r="D529" s="16"/>
      <c r="E529" s="16"/>
      <c r="F529" s="16"/>
      <c r="G529" s="16"/>
      <c r="Q529" s="54"/>
      <c r="R529" s="8"/>
      <c r="S529" s="14"/>
      <c r="T529" s="16"/>
      <c r="U529" s="16"/>
      <c r="V529" s="16"/>
      <c r="W529" s="16"/>
      <c r="X529" s="54"/>
      <c r="Z529" s="14"/>
      <c r="AA529" s="16"/>
      <c r="AB529" s="16"/>
      <c r="AC529" s="16"/>
      <c r="AD529" s="16"/>
      <c r="AE529" s="66"/>
      <c r="AF529" s="54"/>
      <c r="AN529" s="54"/>
      <c r="AP529" s="16"/>
      <c r="AQ529" s="16"/>
      <c r="AR529" s="16"/>
      <c r="AS529" s="16"/>
      <c r="AU529" s="54"/>
    </row>
    <row r="530">
      <c r="B530" s="16"/>
      <c r="C530" s="16"/>
      <c r="D530" s="16"/>
      <c r="E530" s="16"/>
      <c r="F530" s="16"/>
      <c r="G530" s="16"/>
      <c r="Q530" s="54"/>
      <c r="R530" s="8"/>
      <c r="S530" s="14"/>
      <c r="T530" s="16"/>
      <c r="U530" s="16"/>
      <c r="V530" s="16"/>
      <c r="W530" s="16"/>
      <c r="X530" s="54"/>
      <c r="Z530" s="14"/>
      <c r="AA530" s="16"/>
      <c r="AB530" s="16"/>
      <c r="AC530" s="16"/>
      <c r="AD530" s="16"/>
      <c r="AE530" s="66"/>
      <c r="AF530" s="54"/>
      <c r="AN530" s="54"/>
      <c r="AP530" s="16"/>
      <c r="AQ530" s="16"/>
      <c r="AR530" s="16"/>
      <c r="AS530" s="16"/>
      <c r="AU530" s="54"/>
    </row>
    <row r="531">
      <c r="B531" s="16"/>
      <c r="C531" s="16"/>
      <c r="D531" s="16"/>
      <c r="E531" s="16"/>
      <c r="F531" s="16"/>
      <c r="G531" s="16"/>
      <c r="Q531" s="54"/>
      <c r="R531" s="8"/>
      <c r="S531" s="14"/>
      <c r="T531" s="16"/>
      <c r="U531" s="16"/>
      <c r="V531" s="16"/>
      <c r="W531" s="16"/>
      <c r="X531" s="54"/>
      <c r="Z531" s="14"/>
      <c r="AA531" s="16"/>
      <c r="AB531" s="16"/>
      <c r="AC531" s="16"/>
      <c r="AD531" s="16"/>
      <c r="AE531" s="66"/>
      <c r="AF531" s="54"/>
      <c r="AN531" s="54"/>
      <c r="AP531" s="16"/>
      <c r="AQ531" s="16"/>
      <c r="AR531" s="16"/>
      <c r="AS531" s="16"/>
      <c r="AU531" s="54"/>
    </row>
    <row r="532">
      <c r="B532" s="16"/>
      <c r="C532" s="16"/>
      <c r="D532" s="16"/>
      <c r="E532" s="16"/>
      <c r="F532" s="16"/>
      <c r="G532" s="16"/>
      <c r="Q532" s="54"/>
      <c r="R532" s="8"/>
      <c r="S532" s="14"/>
      <c r="T532" s="16"/>
      <c r="U532" s="16"/>
      <c r="V532" s="16"/>
      <c r="W532" s="16"/>
      <c r="X532" s="54"/>
      <c r="Z532" s="14"/>
      <c r="AA532" s="16"/>
      <c r="AB532" s="16"/>
      <c r="AC532" s="16"/>
      <c r="AD532" s="16"/>
      <c r="AE532" s="66"/>
      <c r="AF532" s="54"/>
      <c r="AN532" s="54"/>
      <c r="AP532" s="16"/>
      <c r="AQ532" s="16"/>
      <c r="AR532" s="16"/>
      <c r="AS532" s="16"/>
      <c r="AU532" s="54"/>
    </row>
    <row r="533">
      <c r="B533" s="16"/>
      <c r="C533" s="16"/>
      <c r="D533" s="16"/>
      <c r="E533" s="16"/>
      <c r="F533" s="16"/>
      <c r="G533" s="16"/>
      <c r="Q533" s="54"/>
      <c r="R533" s="8"/>
      <c r="S533" s="14"/>
      <c r="T533" s="16"/>
      <c r="U533" s="16"/>
      <c r="V533" s="16"/>
      <c r="W533" s="16"/>
      <c r="X533" s="54"/>
      <c r="Z533" s="14"/>
      <c r="AA533" s="16"/>
      <c r="AB533" s="16"/>
      <c r="AC533" s="16"/>
      <c r="AD533" s="16"/>
      <c r="AE533" s="66"/>
      <c r="AF533" s="54"/>
      <c r="AN533" s="54"/>
      <c r="AP533" s="16"/>
      <c r="AQ533" s="16"/>
      <c r="AR533" s="16"/>
      <c r="AS533" s="16"/>
      <c r="AU533" s="54"/>
    </row>
    <row r="534">
      <c r="B534" s="16"/>
      <c r="C534" s="16"/>
      <c r="D534" s="16"/>
      <c r="E534" s="16"/>
      <c r="F534" s="16"/>
      <c r="G534" s="16"/>
      <c r="Q534" s="54"/>
      <c r="R534" s="8"/>
      <c r="S534" s="14"/>
      <c r="T534" s="16"/>
      <c r="U534" s="16"/>
      <c r="V534" s="16"/>
      <c r="W534" s="16"/>
      <c r="X534" s="54"/>
      <c r="Z534" s="14"/>
      <c r="AA534" s="16"/>
      <c r="AB534" s="16"/>
      <c r="AC534" s="16"/>
      <c r="AD534" s="16"/>
      <c r="AE534" s="66"/>
      <c r="AF534" s="54"/>
      <c r="AN534" s="54"/>
      <c r="AP534" s="16"/>
      <c r="AQ534" s="16"/>
      <c r="AR534" s="16"/>
      <c r="AS534" s="16"/>
      <c r="AU534" s="54"/>
    </row>
    <row r="535">
      <c r="B535" s="16"/>
      <c r="C535" s="16"/>
      <c r="D535" s="16"/>
      <c r="E535" s="16"/>
      <c r="F535" s="16"/>
      <c r="G535" s="16"/>
      <c r="Q535" s="54"/>
      <c r="R535" s="8"/>
      <c r="S535" s="14"/>
      <c r="T535" s="16"/>
      <c r="U535" s="16"/>
      <c r="V535" s="16"/>
      <c r="W535" s="16"/>
      <c r="X535" s="54"/>
      <c r="Z535" s="14"/>
      <c r="AA535" s="16"/>
      <c r="AB535" s="16"/>
      <c r="AC535" s="16"/>
      <c r="AD535" s="16"/>
      <c r="AE535" s="66"/>
      <c r="AF535" s="54"/>
      <c r="AN535" s="54"/>
      <c r="AP535" s="16"/>
      <c r="AQ535" s="16"/>
      <c r="AR535" s="16"/>
      <c r="AS535" s="16"/>
      <c r="AU535" s="54"/>
    </row>
    <row r="536">
      <c r="B536" s="16"/>
      <c r="C536" s="16"/>
      <c r="D536" s="16"/>
      <c r="E536" s="16"/>
      <c r="F536" s="16"/>
      <c r="G536" s="16"/>
      <c r="Q536" s="54"/>
      <c r="R536" s="8"/>
      <c r="S536" s="14"/>
      <c r="T536" s="16"/>
      <c r="U536" s="16"/>
      <c r="V536" s="16"/>
      <c r="W536" s="16"/>
      <c r="X536" s="54"/>
      <c r="Z536" s="14"/>
      <c r="AA536" s="16"/>
      <c r="AB536" s="16"/>
      <c r="AC536" s="16"/>
      <c r="AD536" s="16"/>
      <c r="AE536" s="66"/>
      <c r="AF536" s="54"/>
      <c r="AN536" s="54"/>
      <c r="AP536" s="16"/>
      <c r="AQ536" s="16"/>
      <c r="AR536" s="16"/>
      <c r="AS536" s="16"/>
      <c r="AU536" s="54"/>
    </row>
    <row r="537">
      <c r="B537" s="16"/>
      <c r="C537" s="16"/>
      <c r="D537" s="16"/>
      <c r="E537" s="16"/>
      <c r="F537" s="16"/>
      <c r="G537" s="16"/>
      <c r="Q537" s="54"/>
      <c r="R537" s="8"/>
      <c r="S537" s="14"/>
      <c r="T537" s="16"/>
      <c r="U537" s="16"/>
      <c r="V537" s="16"/>
      <c r="W537" s="16"/>
      <c r="X537" s="54"/>
      <c r="Z537" s="14"/>
      <c r="AA537" s="16"/>
      <c r="AB537" s="16"/>
      <c r="AC537" s="16"/>
      <c r="AD537" s="16"/>
      <c r="AE537" s="66"/>
      <c r="AF537" s="54"/>
      <c r="AN537" s="54"/>
      <c r="AP537" s="16"/>
      <c r="AQ537" s="16"/>
      <c r="AR537" s="16"/>
      <c r="AS537" s="16"/>
      <c r="AU537" s="54"/>
    </row>
    <row r="538">
      <c r="B538" s="16"/>
      <c r="C538" s="16"/>
      <c r="D538" s="16"/>
      <c r="E538" s="16"/>
      <c r="F538" s="16"/>
      <c r="G538" s="16"/>
      <c r="Q538" s="54"/>
      <c r="R538" s="8"/>
      <c r="S538" s="14"/>
      <c r="T538" s="16"/>
      <c r="U538" s="16"/>
      <c r="V538" s="16"/>
      <c r="W538" s="16"/>
      <c r="X538" s="54"/>
      <c r="Z538" s="14"/>
      <c r="AA538" s="16"/>
      <c r="AB538" s="16"/>
      <c r="AC538" s="16"/>
      <c r="AD538" s="16"/>
      <c r="AE538" s="66"/>
      <c r="AF538" s="54"/>
      <c r="AN538" s="54"/>
      <c r="AP538" s="16"/>
      <c r="AQ538" s="16"/>
      <c r="AR538" s="16"/>
      <c r="AS538" s="16"/>
      <c r="AU538" s="54"/>
    </row>
    <row r="539">
      <c r="B539" s="16"/>
      <c r="C539" s="16"/>
      <c r="D539" s="16"/>
      <c r="E539" s="16"/>
      <c r="F539" s="16"/>
      <c r="G539" s="16"/>
      <c r="Q539" s="54"/>
      <c r="R539" s="8"/>
      <c r="S539" s="14"/>
      <c r="T539" s="16"/>
      <c r="U539" s="16"/>
      <c r="V539" s="16"/>
      <c r="W539" s="16"/>
      <c r="X539" s="54"/>
      <c r="Z539" s="14"/>
      <c r="AA539" s="16"/>
      <c r="AB539" s="16"/>
      <c r="AC539" s="16"/>
      <c r="AD539" s="16"/>
      <c r="AE539" s="66"/>
      <c r="AF539" s="54"/>
      <c r="AN539" s="54"/>
      <c r="AP539" s="16"/>
      <c r="AQ539" s="16"/>
      <c r="AR539" s="16"/>
      <c r="AS539" s="16"/>
      <c r="AU539" s="54"/>
    </row>
    <row r="540">
      <c r="B540" s="16"/>
      <c r="C540" s="16"/>
      <c r="D540" s="16"/>
      <c r="E540" s="16"/>
      <c r="F540" s="16"/>
      <c r="G540" s="16"/>
      <c r="Q540" s="54"/>
      <c r="R540" s="8"/>
      <c r="S540" s="14"/>
      <c r="T540" s="16"/>
      <c r="U540" s="16"/>
      <c r="V540" s="16"/>
      <c r="W540" s="16"/>
      <c r="X540" s="54"/>
      <c r="Z540" s="14"/>
      <c r="AA540" s="16"/>
      <c r="AB540" s="16"/>
      <c r="AC540" s="16"/>
      <c r="AD540" s="16"/>
      <c r="AE540" s="66"/>
      <c r="AF540" s="54"/>
      <c r="AN540" s="54"/>
      <c r="AP540" s="16"/>
      <c r="AQ540" s="16"/>
      <c r="AR540" s="16"/>
      <c r="AS540" s="16"/>
      <c r="AU540" s="54"/>
    </row>
    <row r="541">
      <c r="B541" s="16"/>
      <c r="C541" s="16"/>
      <c r="D541" s="16"/>
      <c r="E541" s="16"/>
      <c r="F541" s="16"/>
      <c r="G541" s="16"/>
      <c r="Q541" s="54"/>
      <c r="R541" s="8"/>
      <c r="S541" s="14"/>
      <c r="T541" s="16"/>
      <c r="U541" s="16"/>
      <c r="V541" s="16"/>
      <c r="W541" s="16"/>
      <c r="X541" s="54"/>
      <c r="Z541" s="14"/>
      <c r="AA541" s="16"/>
      <c r="AB541" s="16"/>
      <c r="AC541" s="16"/>
      <c r="AD541" s="16"/>
      <c r="AE541" s="66"/>
      <c r="AF541" s="54"/>
      <c r="AN541" s="54"/>
      <c r="AP541" s="16"/>
      <c r="AQ541" s="16"/>
      <c r="AR541" s="16"/>
      <c r="AS541" s="16"/>
      <c r="AU541" s="54"/>
    </row>
    <row r="542">
      <c r="B542" s="16"/>
      <c r="C542" s="16"/>
      <c r="D542" s="16"/>
      <c r="E542" s="16"/>
      <c r="F542" s="16"/>
      <c r="G542" s="16"/>
      <c r="Q542" s="54"/>
      <c r="R542" s="8"/>
      <c r="S542" s="14"/>
      <c r="T542" s="16"/>
      <c r="U542" s="16"/>
      <c r="V542" s="16"/>
      <c r="W542" s="16"/>
      <c r="X542" s="54"/>
      <c r="Z542" s="14"/>
      <c r="AA542" s="16"/>
      <c r="AB542" s="16"/>
      <c r="AC542" s="16"/>
      <c r="AD542" s="16"/>
      <c r="AE542" s="66"/>
      <c r="AF542" s="54"/>
      <c r="AN542" s="54"/>
      <c r="AP542" s="16"/>
      <c r="AQ542" s="16"/>
      <c r="AR542" s="16"/>
      <c r="AS542" s="16"/>
      <c r="AU542" s="54"/>
    </row>
    <row r="543">
      <c r="B543" s="16"/>
      <c r="C543" s="16"/>
      <c r="D543" s="16"/>
      <c r="E543" s="16"/>
      <c r="F543" s="16"/>
      <c r="G543" s="16"/>
      <c r="Q543" s="54"/>
      <c r="R543" s="8"/>
      <c r="S543" s="14"/>
      <c r="T543" s="16"/>
      <c r="U543" s="16"/>
      <c r="V543" s="16"/>
      <c r="W543" s="16"/>
      <c r="X543" s="54"/>
      <c r="Z543" s="14"/>
      <c r="AA543" s="16"/>
      <c r="AB543" s="16"/>
      <c r="AC543" s="16"/>
      <c r="AD543" s="16"/>
      <c r="AE543" s="66"/>
      <c r="AF543" s="54"/>
      <c r="AN543" s="54"/>
      <c r="AP543" s="16"/>
      <c r="AQ543" s="16"/>
      <c r="AR543" s="16"/>
      <c r="AS543" s="16"/>
      <c r="AU543" s="54"/>
    </row>
    <row r="544">
      <c r="B544" s="16"/>
      <c r="C544" s="16"/>
      <c r="D544" s="16"/>
      <c r="E544" s="16"/>
      <c r="F544" s="16"/>
      <c r="G544" s="16"/>
      <c r="Q544" s="54"/>
      <c r="R544" s="8"/>
      <c r="S544" s="14"/>
      <c r="T544" s="16"/>
      <c r="U544" s="16"/>
      <c r="V544" s="16"/>
      <c r="W544" s="16"/>
      <c r="X544" s="54"/>
      <c r="Z544" s="14"/>
      <c r="AA544" s="16"/>
      <c r="AB544" s="16"/>
      <c r="AC544" s="16"/>
      <c r="AD544" s="16"/>
      <c r="AE544" s="66"/>
      <c r="AF544" s="54"/>
      <c r="AN544" s="54"/>
      <c r="AP544" s="16"/>
      <c r="AQ544" s="16"/>
      <c r="AR544" s="16"/>
      <c r="AS544" s="16"/>
      <c r="AU544" s="54"/>
    </row>
    <row r="545">
      <c r="B545" s="16"/>
      <c r="C545" s="16"/>
      <c r="D545" s="16"/>
      <c r="E545" s="16"/>
      <c r="F545" s="16"/>
      <c r="G545" s="16"/>
      <c r="Q545" s="54"/>
      <c r="R545" s="8"/>
      <c r="S545" s="14"/>
      <c r="T545" s="16"/>
      <c r="U545" s="16"/>
      <c r="V545" s="16"/>
      <c r="W545" s="16"/>
      <c r="X545" s="54"/>
      <c r="Z545" s="14"/>
      <c r="AA545" s="16"/>
      <c r="AB545" s="16"/>
      <c r="AC545" s="16"/>
      <c r="AD545" s="16"/>
      <c r="AE545" s="66"/>
      <c r="AF545" s="54"/>
      <c r="AN545" s="54"/>
      <c r="AP545" s="16"/>
      <c r="AQ545" s="16"/>
      <c r="AR545" s="16"/>
      <c r="AS545" s="16"/>
      <c r="AU545" s="54"/>
    </row>
    <row r="546">
      <c r="B546" s="16"/>
      <c r="C546" s="16"/>
      <c r="D546" s="16"/>
      <c r="E546" s="16"/>
      <c r="F546" s="16"/>
      <c r="G546" s="16"/>
      <c r="Q546" s="54"/>
      <c r="R546" s="8"/>
      <c r="S546" s="14"/>
      <c r="T546" s="16"/>
      <c r="U546" s="16"/>
      <c r="V546" s="16"/>
      <c r="W546" s="16"/>
      <c r="X546" s="54"/>
      <c r="Z546" s="14"/>
      <c r="AA546" s="16"/>
      <c r="AB546" s="16"/>
      <c r="AC546" s="16"/>
      <c r="AD546" s="16"/>
      <c r="AE546" s="66"/>
      <c r="AF546" s="54"/>
      <c r="AN546" s="54"/>
      <c r="AP546" s="16"/>
      <c r="AQ546" s="16"/>
      <c r="AR546" s="16"/>
      <c r="AS546" s="16"/>
      <c r="AU546" s="54"/>
    </row>
    <row r="547">
      <c r="B547" s="16"/>
      <c r="C547" s="16"/>
      <c r="D547" s="16"/>
      <c r="E547" s="16"/>
      <c r="F547" s="16"/>
      <c r="G547" s="16"/>
      <c r="Q547" s="54"/>
      <c r="R547" s="8"/>
      <c r="S547" s="14"/>
      <c r="T547" s="16"/>
      <c r="U547" s="16"/>
      <c r="V547" s="16"/>
      <c r="W547" s="16"/>
      <c r="X547" s="54"/>
      <c r="Z547" s="14"/>
      <c r="AA547" s="16"/>
      <c r="AB547" s="16"/>
      <c r="AC547" s="16"/>
      <c r="AD547" s="16"/>
      <c r="AE547" s="66"/>
      <c r="AF547" s="54"/>
      <c r="AN547" s="54"/>
      <c r="AP547" s="16"/>
      <c r="AQ547" s="16"/>
      <c r="AR547" s="16"/>
      <c r="AS547" s="16"/>
      <c r="AU547" s="54"/>
    </row>
    <row r="548">
      <c r="B548" s="16"/>
      <c r="C548" s="16"/>
      <c r="D548" s="16"/>
      <c r="E548" s="16"/>
      <c r="F548" s="16"/>
      <c r="G548" s="16"/>
      <c r="Q548" s="54"/>
      <c r="R548" s="8"/>
      <c r="S548" s="14"/>
      <c r="T548" s="16"/>
      <c r="U548" s="16"/>
      <c r="V548" s="16"/>
      <c r="W548" s="16"/>
      <c r="X548" s="54"/>
      <c r="Z548" s="14"/>
      <c r="AA548" s="16"/>
      <c r="AB548" s="16"/>
      <c r="AC548" s="16"/>
      <c r="AD548" s="16"/>
      <c r="AE548" s="66"/>
      <c r="AF548" s="54"/>
      <c r="AN548" s="54"/>
      <c r="AP548" s="16"/>
      <c r="AQ548" s="16"/>
      <c r="AR548" s="16"/>
      <c r="AS548" s="16"/>
      <c r="AU548" s="54"/>
    </row>
    <row r="549">
      <c r="B549" s="16"/>
      <c r="C549" s="16"/>
      <c r="D549" s="16"/>
      <c r="E549" s="16"/>
      <c r="F549" s="16"/>
      <c r="G549" s="16"/>
      <c r="Q549" s="54"/>
      <c r="R549" s="8"/>
      <c r="S549" s="14"/>
      <c r="T549" s="16"/>
      <c r="U549" s="16"/>
      <c r="V549" s="16"/>
      <c r="W549" s="16"/>
      <c r="X549" s="54"/>
      <c r="Z549" s="14"/>
      <c r="AA549" s="16"/>
      <c r="AB549" s="16"/>
      <c r="AC549" s="16"/>
      <c r="AD549" s="16"/>
      <c r="AE549" s="66"/>
      <c r="AF549" s="54"/>
      <c r="AN549" s="54"/>
      <c r="AP549" s="16"/>
      <c r="AQ549" s="16"/>
      <c r="AR549" s="16"/>
      <c r="AS549" s="16"/>
      <c r="AU549" s="54"/>
    </row>
    <row r="550">
      <c r="B550" s="16"/>
      <c r="C550" s="16"/>
      <c r="D550" s="16"/>
      <c r="E550" s="16"/>
      <c r="F550" s="16"/>
      <c r="G550" s="16"/>
      <c r="Q550" s="54"/>
      <c r="R550" s="8"/>
      <c r="S550" s="14"/>
      <c r="T550" s="16"/>
      <c r="U550" s="16"/>
      <c r="V550" s="16"/>
      <c r="W550" s="16"/>
      <c r="X550" s="54"/>
      <c r="Z550" s="14"/>
      <c r="AA550" s="16"/>
      <c r="AB550" s="16"/>
      <c r="AC550" s="16"/>
      <c r="AD550" s="16"/>
      <c r="AE550" s="66"/>
      <c r="AF550" s="54"/>
      <c r="AN550" s="54"/>
      <c r="AP550" s="16"/>
      <c r="AQ550" s="16"/>
      <c r="AR550" s="16"/>
      <c r="AS550" s="16"/>
      <c r="AU550" s="54"/>
    </row>
    <row r="551">
      <c r="B551" s="16"/>
      <c r="C551" s="16"/>
      <c r="D551" s="16"/>
      <c r="E551" s="16"/>
      <c r="F551" s="16"/>
      <c r="G551" s="16"/>
      <c r="Q551" s="54"/>
      <c r="R551" s="8"/>
      <c r="S551" s="14"/>
      <c r="T551" s="16"/>
      <c r="U551" s="16"/>
      <c r="V551" s="16"/>
      <c r="W551" s="16"/>
      <c r="X551" s="54"/>
      <c r="Z551" s="14"/>
      <c r="AA551" s="16"/>
      <c r="AB551" s="16"/>
      <c r="AC551" s="16"/>
      <c r="AD551" s="16"/>
      <c r="AE551" s="66"/>
      <c r="AF551" s="54"/>
      <c r="AN551" s="54"/>
      <c r="AP551" s="16"/>
      <c r="AQ551" s="16"/>
      <c r="AR551" s="16"/>
      <c r="AS551" s="16"/>
      <c r="AU551" s="54"/>
    </row>
    <row r="552">
      <c r="B552" s="16"/>
      <c r="C552" s="16"/>
      <c r="D552" s="16"/>
      <c r="E552" s="16"/>
      <c r="F552" s="16"/>
      <c r="G552" s="16"/>
      <c r="Q552" s="54"/>
      <c r="R552" s="8"/>
      <c r="S552" s="14"/>
      <c r="T552" s="16"/>
      <c r="U552" s="16"/>
      <c r="V552" s="16"/>
      <c r="W552" s="16"/>
      <c r="X552" s="54"/>
      <c r="Z552" s="14"/>
      <c r="AA552" s="16"/>
      <c r="AB552" s="16"/>
      <c r="AC552" s="16"/>
      <c r="AD552" s="16"/>
      <c r="AE552" s="66"/>
      <c r="AF552" s="54"/>
      <c r="AN552" s="54"/>
      <c r="AP552" s="16"/>
      <c r="AQ552" s="16"/>
      <c r="AR552" s="16"/>
      <c r="AS552" s="16"/>
      <c r="AU552" s="54"/>
    </row>
    <row r="553">
      <c r="B553" s="16"/>
      <c r="C553" s="16"/>
      <c r="D553" s="16"/>
      <c r="E553" s="16"/>
      <c r="F553" s="16"/>
      <c r="G553" s="16"/>
      <c r="Q553" s="54"/>
      <c r="R553" s="8"/>
      <c r="S553" s="14"/>
      <c r="T553" s="16"/>
      <c r="U553" s="16"/>
      <c r="V553" s="16"/>
      <c r="W553" s="16"/>
      <c r="X553" s="54"/>
      <c r="Z553" s="14"/>
      <c r="AA553" s="16"/>
      <c r="AB553" s="16"/>
      <c r="AC553" s="16"/>
      <c r="AD553" s="16"/>
      <c r="AE553" s="66"/>
      <c r="AF553" s="54"/>
      <c r="AN553" s="54"/>
      <c r="AP553" s="16"/>
      <c r="AQ553" s="16"/>
      <c r="AR553" s="16"/>
      <c r="AS553" s="16"/>
      <c r="AU553" s="54"/>
    </row>
    <row r="554">
      <c r="B554" s="16"/>
      <c r="C554" s="16"/>
      <c r="D554" s="16"/>
      <c r="E554" s="16"/>
      <c r="F554" s="16"/>
      <c r="G554" s="16"/>
      <c r="Q554" s="54"/>
      <c r="R554" s="8"/>
      <c r="S554" s="14"/>
      <c r="T554" s="16"/>
      <c r="U554" s="16"/>
      <c r="V554" s="16"/>
      <c r="W554" s="16"/>
      <c r="X554" s="54"/>
      <c r="Z554" s="14"/>
      <c r="AA554" s="16"/>
      <c r="AB554" s="16"/>
      <c r="AC554" s="16"/>
      <c r="AD554" s="16"/>
      <c r="AE554" s="66"/>
      <c r="AF554" s="54"/>
      <c r="AN554" s="54"/>
      <c r="AP554" s="16"/>
      <c r="AQ554" s="16"/>
      <c r="AR554" s="16"/>
      <c r="AS554" s="16"/>
      <c r="AU554" s="54"/>
    </row>
    <row r="555">
      <c r="B555" s="16"/>
      <c r="C555" s="16"/>
      <c r="D555" s="16"/>
      <c r="E555" s="16"/>
      <c r="F555" s="16"/>
      <c r="G555" s="16"/>
      <c r="Q555" s="54"/>
      <c r="R555" s="8"/>
      <c r="S555" s="14"/>
      <c r="T555" s="16"/>
      <c r="U555" s="16"/>
      <c r="V555" s="16"/>
      <c r="W555" s="16"/>
      <c r="X555" s="54"/>
      <c r="Z555" s="14"/>
      <c r="AA555" s="16"/>
      <c r="AB555" s="16"/>
      <c r="AC555" s="16"/>
      <c r="AD555" s="16"/>
      <c r="AE555" s="66"/>
      <c r="AF555" s="54"/>
      <c r="AN555" s="54"/>
      <c r="AP555" s="16"/>
      <c r="AQ555" s="16"/>
      <c r="AR555" s="16"/>
      <c r="AS555" s="16"/>
      <c r="AU555" s="54"/>
    </row>
    <row r="556">
      <c r="B556" s="16"/>
      <c r="C556" s="16"/>
      <c r="D556" s="16"/>
      <c r="E556" s="16"/>
      <c r="F556" s="16"/>
      <c r="G556" s="16"/>
      <c r="Q556" s="54"/>
      <c r="R556" s="8"/>
      <c r="S556" s="14"/>
      <c r="T556" s="16"/>
      <c r="U556" s="16"/>
      <c r="V556" s="16"/>
      <c r="W556" s="16"/>
      <c r="X556" s="54"/>
      <c r="Z556" s="14"/>
      <c r="AA556" s="16"/>
      <c r="AB556" s="16"/>
      <c r="AC556" s="16"/>
      <c r="AD556" s="16"/>
      <c r="AE556" s="66"/>
      <c r="AF556" s="54"/>
      <c r="AN556" s="54"/>
      <c r="AP556" s="16"/>
      <c r="AQ556" s="16"/>
      <c r="AR556" s="16"/>
      <c r="AS556" s="16"/>
      <c r="AU556" s="54"/>
    </row>
    <row r="557">
      <c r="B557" s="16"/>
      <c r="C557" s="16"/>
      <c r="D557" s="16"/>
      <c r="E557" s="16"/>
      <c r="F557" s="16"/>
      <c r="G557" s="16"/>
      <c r="Q557" s="54"/>
      <c r="R557" s="8"/>
      <c r="S557" s="14"/>
      <c r="T557" s="16"/>
      <c r="U557" s="16"/>
      <c r="V557" s="16"/>
      <c r="W557" s="16"/>
      <c r="X557" s="54"/>
      <c r="Z557" s="14"/>
      <c r="AA557" s="16"/>
      <c r="AB557" s="16"/>
      <c r="AC557" s="16"/>
      <c r="AD557" s="16"/>
      <c r="AE557" s="66"/>
      <c r="AF557" s="54"/>
      <c r="AN557" s="54"/>
      <c r="AP557" s="16"/>
      <c r="AQ557" s="16"/>
      <c r="AR557" s="16"/>
      <c r="AS557" s="16"/>
      <c r="AU557" s="54"/>
    </row>
    <row r="558">
      <c r="B558" s="16"/>
      <c r="C558" s="16"/>
      <c r="D558" s="16"/>
      <c r="E558" s="16"/>
      <c r="F558" s="16"/>
      <c r="G558" s="16"/>
      <c r="Q558" s="54"/>
      <c r="R558" s="8"/>
      <c r="S558" s="14"/>
      <c r="T558" s="16"/>
      <c r="U558" s="16"/>
      <c r="V558" s="16"/>
      <c r="W558" s="16"/>
      <c r="X558" s="54"/>
      <c r="Z558" s="14"/>
      <c r="AA558" s="16"/>
      <c r="AB558" s="16"/>
      <c r="AC558" s="16"/>
      <c r="AD558" s="16"/>
      <c r="AE558" s="66"/>
      <c r="AF558" s="54"/>
      <c r="AN558" s="54"/>
      <c r="AP558" s="16"/>
      <c r="AQ558" s="16"/>
      <c r="AR558" s="16"/>
      <c r="AS558" s="16"/>
      <c r="AU558" s="54"/>
    </row>
    <row r="559">
      <c r="B559" s="16"/>
      <c r="C559" s="16"/>
      <c r="D559" s="16"/>
      <c r="E559" s="16"/>
      <c r="F559" s="16"/>
      <c r="G559" s="16"/>
      <c r="Q559" s="54"/>
      <c r="R559" s="8"/>
      <c r="S559" s="14"/>
      <c r="T559" s="16"/>
      <c r="U559" s="16"/>
      <c r="V559" s="16"/>
      <c r="W559" s="16"/>
      <c r="X559" s="54"/>
      <c r="Z559" s="14"/>
      <c r="AA559" s="16"/>
      <c r="AB559" s="16"/>
      <c r="AC559" s="16"/>
      <c r="AD559" s="16"/>
      <c r="AE559" s="66"/>
      <c r="AF559" s="54"/>
      <c r="AN559" s="54"/>
      <c r="AP559" s="16"/>
      <c r="AQ559" s="16"/>
      <c r="AR559" s="16"/>
      <c r="AS559" s="16"/>
      <c r="AU559" s="54"/>
    </row>
    <row r="560">
      <c r="B560" s="16"/>
      <c r="C560" s="16"/>
      <c r="D560" s="16"/>
      <c r="E560" s="16"/>
      <c r="F560" s="16"/>
      <c r="G560" s="16"/>
      <c r="Q560" s="54"/>
      <c r="R560" s="8"/>
      <c r="S560" s="14"/>
      <c r="T560" s="16"/>
      <c r="U560" s="16"/>
      <c r="V560" s="16"/>
      <c r="W560" s="16"/>
      <c r="X560" s="54"/>
      <c r="Z560" s="14"/>
      <c r="AA560" s="16"/>
      <c r="AB560" s="16"/>
      <c r="AC560" s="16"/>
      <c r="AD560" s="16"/>
      <c r="AE560" s="66"/>
      <c r="AF560" s="54"/>
      <c r="AN560" s="54"/>
      <c r="AP560" s="16"/>
      <c r="AQ560" s="16"/>
      <c r="AR560" s="16"/>
      <c r="AS560" s="16"/>
      <c r="AU560" s="54"/>
    </row>
    <row r="561">
      <c r="B561" s="16"/>
      <c r="C561" s="16"/>
      <c r="D561" s="16"/>
      <c r="E561" s="16"/>
      <c r="F561" s="16"/>
      <c r="G561" s="16"/>
      <c r="Q561" s="54"/>
      <c r="R561" s="8"/>
      <c r="S561" s="14"/>
      <c r="T561" s="16"/>
      <c r="U561" s="16"/>
      <c r="V561" s="16"/>
      <c r="W561" s="16"/>
      <c r="X561" s="54"/>
      <c r="Z561" s="14"/>
      <c r="AA561" s="16"/>
      <c r="AB561" s="16"/>
      <c r="AC561" s="16"/>
      <c r="AD561" s="16"/>
      <c r="AE561" s="66"/>
      <c r="AF561" s="54"/>
      <c r="AN561" s="54"/>
      <c r="AP561" s="16"/>
      <c r="AQ561" s="16"/>
      <c r="AR561" s="16"/>
      <c r="AS561" s="16"/>
      <c r="AU561" s="54"/>
    </row>
    <row r="562">
      <c r="B562" s="16"/>
      <c r="C562" s="16"/>
      <c r="D562" s="16"/>
      <c r="E562" s="16"/>
      <c r="F562" s="16"/>
      <c r="G562" s="16"/>
      <c r="Q562" s="54"/>
      <c r="R562" s="8"/>
      <c r="S562" s="14"/>
      <c r="T562" s="16"/>
      <c r="U562" s="16"/>
      <c r="V562" s="16"/>
      <c r="W562" s="16"/>
      <c r="X562" s="54"/>
      <c r="Z562" s="14"/>
      <c r="AA562" s="16"/>
      <c r="AB562" s="16"/>
      <c r="AC562" s="16"/>
      <c r="AD562" s="16"/>
      <c r="AE562" s="66"/>
      <c r="AF562" s="54"/>
      <c r="AN562" s="54"/>
      <c r="AP562" s="16"/>
      <c r="AQ562" s="16"/>
      <c r="AR562" s="16"/>
      <c r="AS562" s="16"/>
      <c r="AU562" s="54"/>
    </row>
    <row r="563">
      <c r="B563" s="16"/>
      <c r="C563" s="16"/>
      <c r="D563" s="16"/>
      <c r="E563" s="16"/>
      <c r="F563" s="16"/>
      <c r="G563" s="16"/>
      <c r="Q563" s="54"/>
      <c r="R563" s="8"/>
      <c r="S563" s="14"/>
      <c r="T563" s="16"/>
      <c r="U563" s="16"/>
      <c r="V563" s="16"/>
      <c r="W563" s="16"/>
      <c r="X563" s="54"/>
      <c r="Z563" s="14"/>
      <c r="AA563" s="16"/>
      <c r="AB563" s="16"/>
      <c r="AC563" s="16"/>
      <c r="AD563" s="16"/>
      <c r="AE563" s="66"/>
      <c r="AF563" s="54"/>
      <c r="AN563" s="54"/>
      <c r="AP563" s="16"/>
      <c r="AQ563" s="16"/>
      <c r="AR563" s="16"/>
      <c r="AS563" s="16"/>
      <c r="AU563" s="54"/>
    </row>
    <row r="564">
      <c r="B564" s="16"/>
      <c r="C564" s="16"/>
      <c r="D564" s="16"/>
      <c r="E564" s="16"/>
      <c r="F564" s="16"/>
      <c r="G564" s="16"/>
      <c r="Q564" s="54"/>
      <c r="R564" s="8"/>
      <c r="S564" s="14"/>
      <c r="T564" s="16"/>
      <c r="U564" s="16"/>
      <c r="V564" s="16"/>
      <c r="W564" s="16"/>
      <c r="X564" s="54"/>
      <c r="Z564" s="14"/>
      <c r="AA564" s="16"/>
      <c r="AB564" s="16"/>
      <c r="AC564" s="16"/>
      <c r="AD564" s="16"/>
      <c r="AE564" s="66"/>
      <c r="AF564" s="54"/>
      <c r="AN564" s="54"/>
      <c r="AP564" s="16"/>
      <c r="AQ564" s="16"/>
      <c r="AR564" s="16"/>
      <c r="AS564" s="16"/>
      <c r="AU564" s="54"/>
    </row>
    <row r="565">
      <c r="B565" s="16"/>
      <c r="C565" s="16"/>
      <c r="D565" s="16"/>
      <c r="E565" s="16"/>
      <c r="F565" s="16"/>
      <c r="G565" s="16"/>
      <c r="Q565" s="54"/>
      <c r="R565" s="8"/>
      <c r="S565" s="14"/>
      <c r="T565" s="16"/>
      <c r="U565" s="16"/>
      <c r="V565" s="16"/>
      <c r="W565" s="16"/>
      <c r="X565" s="54"/>
      <c r="Z565" s="14"/>
      <c r="AA565" s="16"/>
      <c r="AB565" s="16"/>
      <c r="AC565" s="16"/>
      <c r="AD565" s="16"/>
      <c r="AE565" s="66"/>
      <c r="AF565" s="54"/>
      <c r="AN565" s="54"/>
      <c r="AP565" s="16"/>
      <c r="AQ565" s="16"/>
      <c r="AR565" s="16"/>
      <c r="AS565" s="16"/>
      <c r="AU565" s="54"/>
    </row>
    <row r="566">
      <c r="B566" s="16"/>
      <c r="C566" s="16"/>
      <c r="D566" s="16"/>
      <c r="E566" s="16"/>
      <c r="F566" s="16"/>
      <c r="G566" s="16"/>
      <c r="Q566" s="54"/>
      <c r="R566" s="8"/>
      <c r="S566" s="14"/>
      <c r="T566" s="16"/>
      <c r="U566" s="16"/>
      <c r="V566" s="16"/>
      <c r="W566" s="16"/>
      <c r="X566" s="54"/>
      <c r="Z566" s="14"/>
      <c r="AA566" s="16"/>
      <c r="AB566" s="16"/>
      <c r="AC566" s="16"/>
      <c r="AD566" s="16"/>
      <c r="AE566" s="66"/>
      <c r="AF566" s="54"/>
      <c r="AN566" s="54"/>
      <c r="AP566" s="16"/>
      <c r="AQ566" s="16"/>
      <c r="AR566" s="16"/>
      <c r="AS566" s="16"/>
      <c r="AU566" s="54"/>
    </row>
    <row r="567">
      <c r="B567" s="16"/>
      <c r="C567" s="16"/>
      <c r="D567" s="16"/>
      <c r="E567" s="16"/>
      <c r="F567" s="16"/>
      <c r="G567" s="16"/>
      <c r="Q567" s="54"/>
      <c r="R567" s="8"/>
      <c r="S567" s="14"/>
      <c r="T567" s="16"/>
      <c r="U567" s="16"/>
      <c r="V567" s="16"/>
      <c r="W567" s="16"/>
      <c r="X567" s="54"/>
      <c r="Z567" s="14"/>
      <c r="AA567" s="16"/>
      <c r="AB567" s="16"/>
      <c r="AC567" s="16"/>
      <c r="AD567" s="16"/>
      <c r="AE567" s="66"/>
      <c r="AF567" s="54"/>
      <c r="AN567" s="54"/>
      <c r="AP567" s="16"/>
      <c r="AQ567" s="16"/>
      <c r="AR567" s="16"/>
      <c r="AS567" s="16"/>
      <c r="AU567" s="54"/>
    </row>
    <row r="568">
      <c r="B568" s="16"/>
      <c r="C568" s="16"/>
      <c r="D568" s="16"/>
      <c r="E568" s="16"/>
      <c r="F568" s="16"/>
      <c r="G568" s="16"/>
      <c r="Q568" s="54"/>
      <c r="R568" s="8"/>
      <c r="S568" s="14"/>
      <c r="T568" s="16"/>
      <c r="U568" s="16"/>
      <c r="V568" s="16"/>
      <c r="W568" s="16"/>
      <c r="X568" s="54"/>
      <c r="Z568" s="14"/>
      <c r="AA568" s="16"/>
      <c r="AB568" s="16"/>
      <c r="AC568" s="16"/>
      <c r="AD568" s="16"/>
      <c r="AE568" s="66"/>
      <c r="AF568" s="54"/>
      <c r="AN568" s="54"/>
      <c r="AP568" s="16"/>
      <c r="AQ568" s="16"/>
      <c r="AR568" s="16"/>
      <c r="AS568" s="16"/>
      <c r="AU568" s="54"/>
    </row>
    <row r="569">
      <c r="B569" s="16"/>
      <c r="C569" s="16"/>
      <c r="D569" s="16"/>
      <c r="E569" s="16"/>
      <c r="F569" s="16"/>
      <c r="G569" s="16"/>
      <c r="Q569" s="54"/>
      <c r="R569" s="8"/>
      <c r="S569" s="14"/>
      <c r="T569" s="16"/>
      <c r="U569" s="16"/>
      <c r="V569" s="16"/>
      <c r="W569" s="16"/>
      <c r="X569" s="54"/>
      <c r="Z569" s="14"/>
      <c r="AA569" s="16"/>
      <c r="AB569" s="16"/>
      <c r="AC569" s="16"/>
      <c r="AD569" s="16"/>
      <c r="AE569" s="66"/>
      <c r="AF569" s="54"/>
      <c r="AN569" s="54"/>
      <c r="AP569" s="16"/>
      <c r="AQ569" s="16"/>
      <c r="AR569" s="16"/>
      <c r="AS569" s="16"/>
      <c r="AU569" s="54"/>
    </row>
    <row r="570">
      <c r="B570" s="16"/>
      <c r="C570" s="16"/>
      <c r="D570" s="16"/>
      <c r="E570" s="16"/>
      <c r="F570" s="16"/>
      <c r="G570" s="16"/>
      <c r="Q570" s="54"/>
      <c r="R570" s="8"/>
      <c r="S570" s="14"/>
      <c r="T570" s="16"/>
      <c r="U570" s="16"/>
      <c r="V570" s="16"/>
      <c r="W570" s="16"/>
      <c r="X570" s="54"/>
      <c r="Z570" s="14"/>
      <c r="AA570" s="16"/>
      <c r="AB570" s="16"/>
      <c r="AC570" s="16"/>
      <c r="AD570" s="16"/>
      <c r="AE570" s="66"/>
      <c r="AF570" s="54"/>
      <c r="AN570" s="54"/>
      <c r="AP570" s="16"/>
      <c r="AQ570" s="16"/>
      <c r="AR570" s="16"/>
      <c r="AS570" s="16"/>
      <c r="AU570" s="54"/>
    </row>
    <row r="571">
      <c r="B571" s="16"/>
      <c r="C571" s="16"/>
      <c r="D571" s="16"/>
      <c r="E571" s="16"/>
      <c r="F571" s="16"/>
      <c r="G571" s="16"/>
      <c r="Q571" s="54"/>
      <c r="R571" s="8"/>
      <c r="S571" s="14"/>
      <c r="T571" s="16"/>
      <c r="U571" s="16"/>
      <c r="V571" s="16"/>
      <c r="W571" s="16"/>
      <c r="X571" s="54"/>
      <c r="Z571" s="14"/>
      <c r="AA571" s="16"/>
      <c r="AB571" s="16"/>
      <c r="AC571" s="16"/>
      <c r="AD571" s="16"/>
      <c r="AE571" s="66"/>
      <c r="AF571" s="54"/>
      <c r="AN571" s="54"/>
      <c r="AP571" s="16"/>
      <c r="AQ571" s="16"/>
      <c r="AR571" s="16"/>
      <c r="AS571" s="16"/>
      <c r="AU571" s="54"/>
    </row>
    <row r="572">
      <c r="B572" s="16"/>
      <c r="C572" s="16"/>
      <c r="D572" s="16"/>
      <c r="E572" s="16"/>
      <c r="F572" s="16"/>
      <c r="G572" s="16"/>
      <c r="Q572" s="54"/>
      <c r="R572" s="8"/>
      <c r="S572" s="14"/>
      <c r="T572" s="16"/>
      <c r="U572" s="16"/>
      <c r="V572" s="16"/>
      <c r="W572" s="16"/>
      <c r="X572" s="54"/>
      <c r="Z572" s="14"/>
      <c r="AA572" s="16"/>
      <c r="AB572" s="16"/>
      <c r="AC572" s="16"/>
      <c r="AD572" s="16"/>
      <c r="AE572" s="66"/>
      <c r="AF572" s="54"/>
      <c r="AN572" s="54"/>
      <c r="AP572" s="16"/>
      <c r="AQ572" s="16"/>
      <c r="AR572" s="16"/>
      <c r="AS572" s="16"/>
      <c r="AU572" s="54"/>
    </row>
    <row r="573">
      <c r="B573" s="16"/>
      <c r="C573" s="16"/>
      <c r="D573" s="16"/>
      <c r="E573" s="16"/>
      <c r="F573" s="16"/>
      <c r="G573" s="16"/>
      <c r="Q573" s="54"/>
      <c r="R573" s="8"/>
      <c r="S573" s="14"/>
      <c r="T573" s="16"/>
      <c r="U573" s="16"/>
      <c r="V573" s="16"/>
      <c r="W573" s="16"/>
      <c r="X573" s="54"/>
      <c r="Z573" s="14"/>
      <c r="AA573" s="16"/>
      <c r="AB573" s="16"/>
      <c r="AC573" s="16"/>
      <c r="AD573" s="16"/>
      <c r="AE573" s="66"/>
      <c r="AF573" s="54"/>
      <c r="AN573" s="54"/>
      <c r="AP573" s="16"/>
      <c r="AQ573" s="16"/>
      <c r="AR573" s="16"/>
      <c r="AS573" s="16"/>
      <c r="AU573" s="54"/>
    </row>
    <row r="574">
      <c r="B574" s="16"/>
      <c r="C574" s="16"/>
      <c r="D574" s="16"/>
      <c r="E574" s="16"/>
      <c r="F574" s="16"/>
      <c r="G574" s="16"/>
      <c r="Q574" s="54"/>
      <c r="R574" s="8"/>
      <c r="S574" s="14"/>
      <c r="T574" s="16"/>
      <c r="U574" s="16"/>
      <c r="V574" s="16"/>
      <c r="W574" s="16"/>
      <c r="X574" s="54"/>
      <c r="Z574" s="14"/>
      <c r="AA574" s="16"/>
      <c r="AB574" s="16"/>
      <c r="AC574" s="16"/>
      <c r="AD574" s="16"/>
      <c r="AE574" s="66"/>
      <c r="AF574" s="54"/>
      <c r="AN574" s="54"/>
      <c r="AP574" s="16"/>
      <c r="AQ574" s="16"/>
      <c r="AR574" s="16"/>
      <c r="AS574" s="16"/>
      <c r="AU574" s="54"/>
    </row>
    <row r="575">
      <c r="B575" s="16"/>
      <c r="C575" s="16"/>
      <c r="D575" s="16"/>
      <c r="E575" s="16"/>
      <c r="F575" s="16"/>
      <c r="G575" s="16"/>
      <c r="Q575" s="54"/>
      <c r="R575" s="8"/>
      <c r="S575" s="14"/>
      <c r="T575" s="16"/>
      <c r="U575" s="16"/>
      <c r="V575" s="16"/>
      <c r="W575" s="16"/>
      <c r="X575" s="54"/>
      <c r="Z575" s="14"/>
      <c r="AA575" s="16"/>
      <c r="AB575" s="16"/>
      <c r="AC575" s="16"/>
      <c r="AD575" s="16"/>
      <c r="AE575" s="66"/>
      <c r="AF575" s="54"/>
      <c r="AN575" s="54"/>
      <c r="AP575" s="16"/>
      <c r="AQ575" s="16"/>
      <c r="AR575" s="16"/>
      <c r="AS575" s="16"/>
      <c r="AU575" s="54"/>
    </row>
    <row r="576">
      <c r="B576" s="16"/>
      <c r="C576" s="16"/>
      <c r="D576" s="16"/>
      <c r="E576" s="16"/>
      <c r="F576" s="16"/>
      <c r="G576" s="16"/>
      <c r="Q576" s="54"/>
      <c r="R576" s="8"/>
      <c r="S576" s="14"/>
      <c r="T576" s="16"/>
      <c r="U576" s="16"/>
      <c r="V576" s="16"/>
      <c r="W576" s="16"/>
      <c r="X576" s="54"/>
      <c r="Z576" s="14"/>
      <c r="AA576" s="16"/>
      <c r="AB576" s="16"/>
      <c r="AC576" s="16"/>
      <c r="AD576" s="16"/>
      <c r="AE576" s="66"/>
      <c r="AF576" s="54"/>
      <c r="AN576" s="54"/>
      <c r="AP576" s="16"/>
      <c r="AQ576" s="16"/>
      <c r="AR576" s="16"/>
      <c r="AS576" s="16"/>
      <c r="AU576" s="54"/>
    </row>
    <row r="577">
      <c r="B577" s="16"/>
      <c r="C577" s="16"/>
      <c r="D577" s="16"/>
      <c r="E577" s="16"/>
      <c r="F577" s="16"/>
      <c r="G577" s="16"/>
      <c r="Q577" s="54"/>
      <c r="R577" s="8"/>
      <c r="S577" s="14"/>
      <c r="T577" s="16"/>
      <c r="U577" s="16"/>
      <c r="V577" s="16"/>
      <c r="W577" s="16"/>
      <c r="X577" s="54"/>
      <c r="Z577" s="14"/>
      <c r="AA577" s="16"/>
      <c r="AB577" s="16"/>
      <c r="AC577" s="16"/>
      <c r="AD577" s="16"/>
      <c r="AE577" s="66"/>
      <c r="AF577" s="54"/>
      <c r="AN577" s="54"/>
      <c r="AP577" s="16"/>
      <c r="AQ577" s="16"/>
      <c r="AR577" s="16"/>
      <c r="AS577" s="16"/>
      <c r="AU577" s="54"/>
    </row>
    <row r="578">
      <c r="B578" s="16"/>
      <c r="C578" s="16"/>
      <c r="D578" s="16"/>
      <c r="E578" s="16"/>
      <c r="F578" s="16"/>
      <c r="G578" s="16"/>
      <c r="Q578" s="54"/>
      <c r="R578" s="8"/>
      <c r="S578" s="14"/>
      <c r="T578" s="16"/>
      <c r="U578" s="16"/>
      <c r="V578" s="16"/>
      <c r="W578" s="16"/>
      <c r="X578" s="54"/>
      <c r="Z578" s="14"/>
      <c r="AA578" s="16"/>
      <c r="AB578" s="16"/>
      <c r="AC578" s="16"/>
      <c r="AD578" s="16"/>
      <c r="AE578" s="66"/>
      <c r="AF578" s="54"/>
      <c r="AN578" s="54"/>
      <c r="AP578" s="16"/>
      <c r="AQ578" s="16"/>
      <c r="AR578" s="16"/>
      <c r="AS578" s="16"/>
      <c r="AU578" s="54"/>
    </row>
    <row r="579">
      <c r="B579" s="16"/>
      <c r="C579" s="16"/>
      <c r="D579" s="16"/>
      <c r="E579" s="16"/>
      <c r="F579" s="16"/>
      <c r="G579" s="16"/>
      <c r="Q579" s="54"/>
      <c r="R579" s="8"/>
      <c r="S579" s="14"/>
      <c r="T579" s="16"/>
      <c r="U579" s="16"/>
      <c r="V579" s="16"/>
      <c r="W579" s="16"/>
      <c r="X579" s="54"/>
      <c r="Z579" s="14"/>
      <c r="AA579" s="16"/>
      <c r="AB579" s="16"/>
      <c r="AC579" s="16"/>
      <c r="AD579" s="16"/>
      <c r="AE579" s="66"/>
      <c r="AF579" s="54"/>
      <c r="AN579" s="54"/>
      <c r="AP579" s="16"/>
      <c r="AQ579" s="16"/>
      <c r="AR579" s="16"/>
      <c r="AS579" s="16"/>
      <c r="AU579" s="54"/>
    </row>
    <row r="580">
      <c r="B580" s="16"/>
      <c r="C580" s="16"/>
      <c r="D580" s="16"/>
      <c r="E580" s="16"/>
      <c r="F580" s="16"/>
      <c r="G580" s="16"/>
      <c r="Q580" s="54"/>
      <c r="R580" s="8"/>
      <c r="S580" s="14"/>
      <c r="T580" s="16"/>
      <c r="U580" s="16"/>
      <c r="V580" s="16"/>
      <c r="W580" s="16"/>
      <c r="X580" s="54"/>
      <c r="Z580" s="14"/>
      <c r="AA580" s="16"/>
      <c r="AB580" s="16"/>
      <c r="AC580" s="16"/>
      <c r="AD580" s="16"/>
      <c r="AE580" s="66"/>
      <c r="AF580" s="54"/>
      <c r="AN580" s="54"/>
      <c r="AP580" s="16"/>
      <c r="AQ580" s="16"/>
      <c r="AR580" s="16"/>
      <c r="AS580" s="16"/>
      <c r="AU580" s="54"/>
    </row>
    <row r="581">
      <c r="B581" s="16"/>
      <c r="C581" s="16"/>
      <c r="D581" s="16"/>
      <c r="E581" s="16"/>
      <c r="F581" s="16"/>
      <c r="G581" s="16"/>
      <c r="Q581" s="54"/>
      <c r="R581" s="8"/>
      <c r="S581" s="14"/>
      <c r="T581" s="16"/>
      <c r="U581" s="16"/>
      <c r="V581" s="16"/>
      <c r="W581" s="16"/>
      <c r="X581" s="54"/>
      <c r="Z581" s="14"/>
      <c r="AA581" s="16"/>
      <c r="AB581" s="16"/>
      <c r="AC581" s="16"/>
      <c r="AD581" s="16"/>
      <c r="AE581" s="66"/>
      <c r="AF581" s="54"/>
      <c r="AN581" s="54"/>
      <c r="AP581" s="16"/>
      <c r="AQ581" s="16"/>
      <c r="AR581" s="16"/>
      <c r="AS581" s="16"/>
      <c r="AU581" s="54"/>
    </row>
    <row r="582">
      <c r="B582" s="16"/>
      <c r="C582" s="16"/>
      <c r="D582" s="16"/>
      <c r="E582" s="16"/>
      <c r="F582" s="16"/>
      <c r="G582" s="16"/>
      <c r="Q582" s="54"/>
      <c r="R582" s="8"/>
      <c r="S582" s="14"/>
      <c r="T582" s="16"/>
      <c r="U582" s="16"/>
      <c r="V582" s="16"/>
      <c r="W582" s="16"/>
      <c r="X582" s="54"/>
      <c r="Z582" s="14"/>
      <c r="AA582" s="16"/>
      <c r="AB582" s="16"/>
      <c r="AC582" s="16"/>
      <c r="AD582" s="16"/>
      <c r="AE582" s="66"/>
      <c r="AF582" s="54"/>
      <c r="AN582" s="54"/>
      <c r="AP582" s="16"/>
      <c r="AQ582" s="16"/>
      <c r="AR582" s="16"/>
      <c r="AS582" s="16"/>
      <c r="AU582" s="54"/>
    </row>
    <row r="583">
      <c r="B583" s="16"/>
      <c r="C583" s="16"/>
      <c r="D583" s="16"/>
      <c r="E583" s="16"/>
      <c r="F583" s="16"/>
      <c r="G583" s="16"/>
      <c r="Q583" s="54"/>
      <c r="R583" s="8"/>
      <c r="S583" s="14"/>
      <c r="T583" s="16"/>
      <c r="U583" s="16"/>
      <c r="V583" s="16"/>
      <c r="W583" s="16"/>
      <c r="X583" s="54"/>
      <c r="Z583" s="14"/>
      <c r="AA583" s="16"/>
      <c r="AB583" s="16"/>
      <c r="AC583" s="16"/>
      <c r="AD583" s="16"/>
      <c r="AE583" s="66"/>
      <c r="AF583" s="54"/>
      <c r="AN583" s="54"/>
      <c r="AP583" s="16"/>
      <c r="AQ583" s="16"/>
      <c r="AR583" s="16"/>
      <c r="AS583" s="16"/>
      <c r="AU583" s="54"/>
    </row>
    <row r="584">
      <c r="B584" s="16"/>
      <c r="C584" s="16"/>
      <c r="D584" s="16"/>
      <c r="E584" s="16"/>
      <c r="F584" s="16"/>
      <c r="G584" s="16"/>
      <c r="Q584" s="54"/>
      <c r="R584" s="8"/>
      <c r="S584" s="14"/>
      <c r="T584" s="16"/>
      <c r="U584" s="16"/>
      <c r="V584" s="16"/>
      <c r="W584" s="16"/>
      <c r="X584" s="54"/>
      <c r="Z584" s="14"/>
      <c r="AA584" s="16"/>
      <c r="AB584" s="16"/>
      <c r="AC584" s="16"/>
      <c r="AD584" s="16"/>
      <c r="AE584" s="66"/>
      <c r="AF584" s="54"/>
      <c r="AN584" s="54"/>
      <c r="AP584" s="16"/>
      <c r="AQ584" s="16"/>
      <c r="AR584" s="16"/>
      <c r="AS584" s="16"/>
      <c r="AU584" s="54"/>
    </row>
    <row r="585">
      <c r="B585" s="16"/>
      <c r="C585" s="16"/>
      <c r="D585" s="16"/>
      <c r="E585" s="16"/>
      <c r="F585" s="16"/>
      <c r="G585" s="16"/>
      <c r="Q585" s="54"/>
      <c r="R585" s="8"/>
      <c r="S585" s="14"/>
      <c r="T585" s="16"/>
      <c r="U585" s="16"/>
      <c r="V585" s="16"/>
      <c r="W585" s="16"/>
      <c r="X585" s="54"/>
      <c r="Z585" s="14"/>
      <c r="AA585" s="16"/>
      <c r="AB585" s="16"/>
      <c r="AC585" s="16"/>
      <c r="AD585" s="16"/>
      <c r="AE585" s="66"/>
      <c r="AF585" s="54"/>
      <c r="AN585" s="54"/>
      <c r="AP585" s="16"/>
      <c r="AQ585" s="16"/>
      <c r="AR585" s="16"/>
      <c r="AS585" s="16"/>
      <c r="AU585" s="54"/>
    </row>
    <row r="586">
      <c r="B586" s="16"/>
      <c r="C586" s="16"/>
      <c r="D586" s="16"/>
      <c r="E586" s="16"/>
      <c r="F586" s="16"/>
      <c r="G586" s="16"/>
      <c r="Q586" s="54"/>
      <c r="R586" s="8"/>
      <c r="S586" s="14"/>
      <c r="T586" s="16"/>
      <c r="U586" s="16"/>
      <c r="V586" s="16"/>
      <c r="W586" s="16"/>
      <c r="X586" s="54"/>
      <c r="Z586" s="14"/>
      <c r="AA586" s="16"/>
      <c r="AB586" s="16"/>
      <c r="AC586" s="16"/>
      <c r="AD586" s="16"/>
      <c r="AE586" s="66"/>
      <c r="AF586" s="54"/>
      <c r="AN586" s="54"/>
      <c r="AP586" s="16"/>
      <c r="AQ586" s="16"/>
      <c r="AR586" s="16"/>
      <c r="AS586" s="16"/>
      <c r="AU586" s="54"/>
    </row>
    <row r="587">
      <c r="B587" s="16"/>
      <c r="C587" s="16"/>
      <c r="D587" s="16"/>
      <c r="E587" s="16"/>
      <c r="F587" s="16"/>
      <c r="G587" s="16"/>
      <c r="Q587" s="54"/>
      <c r="R587" s="8"/>
      <c r="S587" s="14"/>
      <c r="T587" s="16"/>
      <c r="U587" s="16"/>
      <c r="V587" s="16"/>
      <c r="W587" s="16"/>
      <c r="X587" s="54"/>
      <c r="Z587" s="14"/>
      <c r="AA587" s="16"/>
      <c r="AB587" s="16"/>
      <c r="AC587" s="16"/>
      <c r="AD587" s="16"/>
      <c r="AE587" s="66"/>
      <c r="AF587" s="54"/>
      <c r="AN587" s="54"/>
      <c r="AP587" s="16"/>
      <c r="AQ587" s="16"/>
      <c r="AR587" s="16"/>
      <c r="AS587" s="16"/>
      <c r="AU587" s="54"/>
    </row>
    <row r="588">
      <c r="B588" s="16"/>
      <c r="C588" s="16"/>
      <c r="D588" s="16"/>
      <c r="E588" s="16"/>
      <c r="F588" s="16"/>
      <c r="G588" s="16"/>
      <c r="Q588" s="54"/>
      <c r="R588" s="8"/>
      <c r="S588" s="14"/>
      <c r="T588" s="16"/>
      <c r="U588" s="16"/>
      <c r="V588" s="16"/>
      <c r="W588" s="16"/>
      <c r="X588" s="54"/>
      <c r="Z588" s="14"/>
      <c r="AA588" s="16"/>
      <c r="AB588" s="16"/>
      <c r="AC588" s="16"/>
      <c r="AD588" s="16"/>
      <c r="AE588" s="66"/>
      <c r="AF588" s="54"/>
      <c r="AN588" s="54"/>
      <c r="AP588" s="16"/>
      <c r="AQ588" s="16"/>
      <c r="AR588" s="16"/>
      <c r="AS588" s="16"/>
      <c r="AU588" s="54"/>
    </row>
    <row r="589">
      <c r="B589" s="16"/>
      <c r="C589" s="16"/>
      <c r="D589" s="16"/>
      <c r="E589" s="16"/>
      <c r="F589" s="16"/>
      <c r="G589" s="16"/>
      <c r="Q589" s="54"/>
      <c r="R589" s="8"/>
      <c r="S589" s="14"/>
      <c r="T589" s="16"/>
      <c r="U589" s="16"/>
      <c r="V589" s="16"/>
      <c r="W589" s="16"/>
      <c r="X589" s="54"/>
      <c r="Z589" s="14"/>
      <c r="AA589" s="16"/>
      <c r="AB589" s="16"/>
      <c r="AC589" s="16"/>
      <c r="AD589" s="16"/>
      <c r="AE589" s="66"/>
      <c r="AF589" s="54"/>
      <c r="AN589" s="54"/>
      <c r="AP589" s="16"/>
      <c r="AQ589" s="16"/>
      <c r="AR589" s="16"/>
      <c r="AS589" s="16"/>
      <c r="AU589" s="54"/>
    </row>
    <row r="590">
      <c r="B590" s="16"/>
      <c r="C590" s="16"/>
      <c r="D590" s="16"/>
      <c r="E590" s="16"/>
      <c r="F590" s="16"/>
      <c r="G590" s="16"/>
      <c r="Q590" s="54"/>
      <c r="R590" s="8"/>
      <c r="S590" s="14"/>
      <c r="T590" s="16"/>
      <c r="U590" s="16"/>
      <c r="V590" s="16"/>
      <c r="W590" s="16"/>
      <c r="X590" s="54"/>
      <c r="Z590" s="14"/>
      <c r="AA590" s="16"/>
      <c r="AB590" s="16"/>
      <c r="AC590" s="16"/>
      <c r="AD590" s="16"/>
      <c r="AE590" s="66"/>
      <c r="AF590" s="54"/>
      <c r="AN590" s="54"/>
      <c r="AP590" s="16"/>
      <c r="AQ590" s="16"/>
      <c r="AR590" s="16"/>
      <c r="AS590" s="16"/>
      <c r="AU590" s="54"/>
    </row>
    <row r="591">
      <c r="B591" s="16"/>
      <c r="C591" s="16"/>
      <c r="D591" s="16"/>
      <c r="E591" s="16"/>
      <c r="F591" s="16"/>
      <c r="G591" s="16"/>
      <c r="Q591" s="54"/>
      <c r="R591" s="8"/>
      <c r="S591" s="14"/>
      <c r="T591" s="16"/>
      <c r="U591" s="16"/>
      <c r="V591" s="16"/>
      <c r="W591" s="16"/>
      <c r="X591" s="54"/>
      <c r="Z591" s="14"/>
      <c r="AA591" s="16"/>
      <c r="AB591" s="16"/>
      <c r="AC591" s="16"/>
      <c r="AD591" s="16"/>
      <c r="AE591" s="66"/>
      <c r="AF591" s="54"/>
      <c r="AN591" s="54"/>
      <c r="AP591" s="16"/>
      <c r="AQ591" s="16"/>
      <c r="AR591" s="16"/>
      <c r="AS591" s="16"/>
      <c r="AU591" s="54"/>
    </row>
    <row r="592">
      <c r="B592" s="16"/>
      <c r="C592" s="16"/>
      <c r="D592" s="16"/>
      <c r="E592" s="16"/>
      <c r="F592" s="16"/>
      <c r="G592" s="16"/>
      <c r="Q592" s="54"/>
      <c r="R592" s="8"/>
      <c r="S592" s="14"/>
      <c r="T592" s="16"/>
      <c r="U592" s="16"/>
      <c r="V592" s="16"/>
      <c r="W592" s="16"/>
      <c r="X592" s="54"/>
      <c r="Z592" s="14"/>
      <c r="AA592" s="16"/>
      <c r="AB592" s="16"/>
      <c r="AC592" s="16"/>
      <c r="AD592" s="16"/>
      <c r="AE592" s="66"/>
      <c r="AF592" s="54"/>
      <c r="AN592" s="54"/>
      <c r="AP592" s="16"/>
      <c r="AQ592" s="16"/>
      <c r="AR592" s="16"/>
      <c r="AS592" s="16"/>
      <c r="AU592" s="54"/>
    </row>
    <row r="593">
      <c r="B593" s="16"/>
      <c r="C593" s="16"/>
      <c r="D593" s="16"/>
      <c r="E593" s="16"/>
      <c r="F593" s="16"/>
      <c r="G593" s="16"/>
      <c r="Q593" s="54"/>
      <c r="R593" s="8"/>
      <c r="S593" s="14"/>
      <c r="T593" s="16"/>
      <c r="U593" s="16"/>
      <c r="V593" s="16"/>
      <c r="W593" s="16"/>
      <c r="X593" s="54"/>
      <c r="Z593" s="14"/>
      <c r="AA593" s="16"/>
      <c r="AB593" s="16"/>
      <c r="AC593" s="16"/>
      <c r="AD593" s="16"/>
      <c r="AE593" s="66"/>
      <c r="AF593" s="54"/>
      <c r="AN593" s="54"/>
      <c r="AP593" s="16"/>
      <c r="AQ593" s="16"/>
      <c r="AR593" s="16"/>
      <c r="AS593" s="16"/>
      <c r="AU593" s="54"/>
    </row>
    <row r="594">
      <c r="B594" s="16"/>
      <c r="C594" s="16"/>
      <c r="D594" s="16"/>
      <c r="E594" s="16"/>
      <c r="F594" s="16"/>
      <c r="G594" s="16"/>
      <c r="Q594" s="54"/>
      <c r="R594" s="8"/>
      <c r="S594" s="14"/>
      <c r="T594" s="16"/>
      <c r="U594" s="16"/>
      <c r="V594" s="16"/>
      <c r="W594" s="16"/>
      <c r="X594" s="54"/>
      <c r="Z594" s="14"/>
      <c r="AA594" s="16"/>
      <c r="AB594" s="16"/>
      <c r="AC594" s="16"/>
      <c r="AD594" s="16"/>
      <c r="AE594" s="66"/>
      <c r="AF594" s="54"/>
      <c r="AN594" s="54"/>
      <c r="AP594" s="16"/>
      <c r="AQ594" s="16"/>
      <c r="AR594" s="16"/>
      <c r="AS594" s="16"/>
      <c r="AU594" s="54"/>
    </row>
    <row r="595">
      <c r="B595" s="16"/>
      <c r="C595" s="16"/>
      <c r="D595" s="16"/>
      <c r="E595" s="16"/>
      <c r="F595" s="16"/>
      <c r="G595" s="16"/>
      <c r="Q595" s="54"/>
      <c r="R595" s="8"/>
      <c r="S595" s="14"/>
      <c r="T595" s="16"/>
      <c r="U595" s="16"/>
      <c r="V595" s="16"/>
      <c r="W595" s="16"/>
      <c r="X595" s="54"/>
      <c r="Z595" s="14"/>
      <c r="AA595" s="16"/>
      <c r="AB595" s="16"/>
      <c r="AC595" s="16"/>
      <c r="AD595" s="16"/>
      <c r="AE595" s="66"/>
      <c r="AF595" s="54"/>
      <c r="AN595" s="54"/>
      <c r="AP595" s="16"/>
      <c r="AQ595" s="16"/>
      <c r="AR595" s="16"/>
      <c r="AS595" s="16"/>
      <c r="AU595" s="54"/>
    </row>
    <row r="596">
      <c r="B596" s="16"/>
      <c r="C596" s="16"/>
      <c r="D596" s="16"/>
      <c r="E596" s="16"/>
      <c r="F596" s="16"/>
      <c r="G596" s="16"/>
      <c r="Q596" s="54"/>
      <c r="R596" s="8"/>
      <c r="S596" s="14"/>
      <c r="T596" s="16"/>
      <c r="U596" s="16"/>
      <c r="V596" s="16"/>
      <c r="W596" s="16"/>
      <c r="X596" s="54"/>
      <c r="Z596" s="14"/>
      <c r="AA596" s="16"/>
      <c r="AB596" s="16"/>
      <c r="AC596" s="16"/>
      <c r="AD596" s="16"/>
      <c r="AE596" s="66"/>
      <c r="AF596" s="54"/>
      <c r="AN596" s="54"/>
      <c r="AP596" s="16"/>
      <c r="AQ596" s="16"/>
      <c r="AR596" s="16"/>
      <c r="AS596" s="16"/>
      <c r="AU596" s="54"/>
    </row>
    <row r="597">
      <c r="B597" s="16"/>
      <c r="C597" s="16"/>
      <c r="D597" s="16"/>
      <c r="E597" s="16"/>
      <c r="F597" s="16"/>
      <c r="G597" s="16"/>
      <c r="Q597" s="54"/>
      <c r="R597" s="8"/>
      <c r="S597" s="14"/>
      <c r="T597" s="16"/>
      <c r="U597" s="16"/>
      <c r="V597" s="16"/>
      <c r="W597" s="16"/>
      <c r="X597" s="54"/>
      <c r="Z597" s="14"/>
      <c r="AA597" s="16"/>
      <c r="AB597" s="16"/>
      <c r="AC597" s="16"/>
      <c r="AD597" s="16"/>
      <c r="AE597" s="66"/>
      <c r="AF597" s="54"/>
      <c r="AN597" s="54"/>
      <c r="AP597" s="16"/>
      <c r="AQ597" s="16"/>
      <c r="AR597" s="16"/>
      <c r="AS597" s="16"/>
      <c r="AU597" s="54"/>
    </row>
    <row r="598">
      <c r="B598" s="16"/>
      <c r="C598" s="16"/>
      <c r="D598" s="16"/>
      <c r="E598" s="16"/>
      <c r="F598" s="16"/>
      <c r="G598" s="16"/>
      <c r="Q598" s="54"/>
      <c r="R598" s="8"/>
      <c r="S598" s="14"/>
      <c r="T598" s="16"/>
      <c r="U598" s="16"/>
      <c r="V598" s="16"/>
      <c r="W598" s="16"/>
      <c r="X598" s="54"/>
      <c r="Z598" s="14"/>
      <c r="AA598" s="16"/>
      <c r="AB598" s="16"/>
      <c r="AC598" s="16"/>
      <c r="AD598" s="16"/>
      <c r="AE598" s="66"/>
      <c r="AF598" s="54"/>
      <c r="AN598" s="54"/>
      <c r="AP598" s="16"/>
      <c r="AQ598" s="16"/>
      <c r="AR598" s="16"/>
      <c r="AS598" s="16"/>
      <c r="AU598" s="54"/>
    </row>
    <row r="599">
      <c r="B599" s="16"/>
      <c r="C599" s="16"/>
      <c r="D599" s="16"/>
      <c r="E599" s="16"/>
      <c r="F599" s="16"/>
      <c r="G599" s="16"/>
      <c r="Q599" s="54"/>
      <c r="R599" s="8"/>
      <c r="S599" s="14"/>
      <c r="T599" s="16"/>
      <c r="U599" s="16"/>
      <c r="V599" s="16"/>
      <c r="W599" s="16"/>
      <c r="X599" s="54"/>
      <c r="Z599" s="14"/>
      <c r="AA599" s="16"/>
      <c r="AB599" s="16"/>
      <c r="AC599" s="16"/>
      <c r="AD599" s="16"/>
      <c r="AE599" s="66"/>
      <c r="AF599" s="54"/>
      <c r="AN599" s="54"/>
      <c r="AP599" s="16"/>
      <c r="AQ599" s="16"/>
      <c r="AR599" s="16"/>
      <c r="AS599" s="16"/>
      <c r="AU599" s="54"/>
    </row>
    <row r="600">
      <c r="B600" s="16"/>
      <c r="C600" s="16"/>
      <c r="D600" s="16"/>
      <c r="E600" s="16"/>
      <c r="F600" s="16"/>
      <c r="G600" s="16"/>
      <c r="Q600" s="54"/>
      <c r="R600" s="8"/>
      <c r="S600" s="14"/>
      <c r="T600" s="16"/>
      <c r="U600" s="16"/>
      <c r="V600" s="16"/>
      <c r="W600" s="16"/>
      <c r="X600" s="54"/>
      <c r="Z600" s="14"/>
      <c r="AA600" s="16"/>
      <c r="AB600" s="16"/>
      <c r="AC600" s="16"/>
      <c r="AD600" s="16"/>
      <c r="AE600" s="66"/>
      <c r="AF600" s="54"/>
      <c r="AN600" s="54"/>
      <c r="AP600" s="16"/>
      <c r="AQ600" s="16"/>
      <c r="AR600" s="16"/>
      <c r="AS600" s="16"/>
      <c r="AU600" s="54"/>
    </row>
    <row r="601">
      <c r="B601" s="16"/>
      <c r="C601" s="16"/>
      <c r="D601" s="16"/>
      <c r="E601" s="16"/>
      <c r="F601" s="16"/>
      <c r="G601" s="16"/>
      <c r="Q601" s="54"/>
      <c r="R601" s="8"/>
      <c r="S601" s="14"/>
      <c r="T601" s="16"/>
      <c r="U601" s="16"/>
      <c r="V601" s="16"/>
      <c r="W601" s="16"/>
      <c r="X601" s="54"/>
      <c r="Z601" s="14"/>
      <c r="AA601" s="16"/>
      <c r="AB601" s="16"/>
      <c r="AC601" s="16"/>
      <c r="AD601" s="16"/>
      <c r="AE601" s="66"/>
      <c r="AF601" s="54"/>
      <c r="AN601" s="54"/>
      <c r="AP601" s="16"/>
      <c r="AQ601" s="16"/>
      <c r="AR601" s="16"/>
      <c r="AS601" s="16"/>
      <c r="AU601" s="54"/>
    </row>
    <row r="602">
      <c r="B602" s="16"/>
      <c r="C602" s="16"/>
      <c r="D602" s="16"/>
      <c r="E602" s="16"/>
      <c r="F602" s="16"/>
      <c r="G602" s="16"/>
      <c r="Q602" s="54"/>
      <c r="R602" s="8"/>
      <c r="S602" s="14"/>
      <c r="T602" s="16"/>
      <c r="U602" s="16"/>
      <c r="V602" s="16"/>
      <c r="W602" s="16"/>
      <c r="X602" s="54"/>
      <c r="Z602" s="14"/>
      <c r="AA602" s="16"/>
      <c r="AB602" s="16"/>
      <c r="AC602" s="16"/>
      <c r="AD602" s="16"/>
      <c r="AE602" s="66"/>
      <c r="AF602" s="54"/>
      <c r="AN602" s="54"/>
      <c r="AP602" s="16"/>
      <c r="AQ602" s="16"/>
      <c r="AR602" s="16"/>
      <c r="AS602" s="16"/>
      <c r="AU602" s="54"/>
    </row>
    <row r="603">
      <c r="B603" s="16"/>
      <c r="C603" s="16"/>
      <c r="D603" s="16"/>
      <c r="E603" s="16"/>
      <c r="F603" s="16"/>
      <c r="G603" s="16"/>
      <c r="Q603" s="54"/>
      <c r="R603" s="8"/>
      <c r="S603" s="14"/>
      <c r="T603" s="16"/>
      <c r="U603" s="16"/>
      <c r="V603" s="16"/>
      <c r="W603" s="16"/>
      <c r="X603" s="54"/>
      <c r="Z603" s="14"/>
      <c r="AA603" s="16"/>
      <c r="AB603" s="16"/>
      <c r="AC603" s="16"/>
      <c r="AD603" s="16"/>
      <c r="AE603" s="66"/>
      <c r="AF603" s="54"/>
      <c r="AN603" s="54"/>
      <c r="AP603" s="16"/>
      <c r="AQ603" s="16"/>
      <c r="AR603" s="16"/>
      <c r="AS603" s="16"/>
      <c r="AU603" s="54"/>
    </row>
    <row r="604">
      <c r="B604" s="16"/>
      <c r="C604" s="16"/>
      <c r="D604" s="16"/>
      <c r="E604" s="16"/>
      <c r="F604" s="16"/>
      <c r="G604" s="16"/>
      <c r="Q604" s="54"/>
      <c r="R604" s="8"/>
      <c r="S604" s="14"/>
      <c r="T604" s="16"/>
      <c r="U604" s="16"/>
      <c r="V604" s="16"/>
      <c r="W604" s="16"/>
      <c r="X604" s="54"/>
      <c r="Z604" s="14"/>
      <c r="AA604" s="16"/>
      <c r="AB604" s="16"/>
      <c r="AC604" s="16"/>
      <c r="AD604" s="16"/>
      <c r="AE604" s="66"/>
      <c r="AF604" s="54"/>
      <c r="AN604" s="54"/>
      <c r="AP604" s="16"/>
      <c r="AQ604" s="16"/>
      <c r="AR604" s="16"/>
      <c r="AS604" s="16"/>
      <c r="AU604" s="54"/>
    </row>
    <row r="605">
      <c r="B605" s="16"/>
      <c r="C605" s="16"/>
      <c r="D605" s="16"/>
      <c r="E605" s="16"/>
      <c r="F605" s="16"/>
      <c r="G605" s="16"/>
      <c r="Q605" s="54"/>
      <c r="R605" s="8"/>
      <c r="S605" s="14"/>
      <c r="T605" s="16"/>
      <c r="U605" s="16"/>
      <c r="V605" s="16"/>
      <c r="W605" s="16"/>
      <c r="X605" s="54"/>
      <c r="Z605" s="14"/>
      <c r="AA605" s="16"/>
      <c r="AB605" s="16"/>
      <c r="AC605" s="16"/>
      <c r="AD605" s="16"/>
      <c r="AE605" s="66"/>
      <c r="AF605" s="54"/>
      <c r="AN605" s="54"/>
      <c r="AP605" s="16"/>
      <c r="AQ605" s="16"/>
      <c r="AR605" s="16"/>
      <c r="AS605" s="16"/>
      <c r="AU605" s="54"/>
    </row>
    <row r="606">
      <c r="B606" s="16"/>
      <c r="C606" s="16"/>
      <c r="D606" s="16"/>
      <c r="E606" s="16"/>
      <c r="F606" s="16"/>
      <c r="G606" s="16"/>
      <c r="Q606" s="54"/>
      <c r="R606" s="8"/>
      <c r="S606" s="14"/>
      <c r="T606" s="16"/>
      <c r="U606" s="16"/>
      <c r="V606" s="16"/>
      <c r="W606" s="16"/>
      <c r="X606" s="54"/>
      <c r="Z606" s="14"/>
      <c r="AA606" s="16"/>
      <c r="AB606" s="16"/>
      <c r="AC606" s="16"/>
      <c r="AD606" s="16"/>
      <c r="AE606" s="66"/>
      <c r="AF606" s="54"/>
      <c r="AN606" s="54"/>
      <c r="AP606" s="16"/>
      <c r="AQ606" s="16"/>
      <c r="AR606" s="16"/>
      <c r="AS606" s="16"/>
      <c r="AU606" s="54"/>
    </row>
    <row r="607">
      <c r="B607" s="16"/>
      <c r="C607" s="16"/>
      <c r="D607" s="16"/>
      <c r="E607" s="16"/>
      <c r="F607" s="16"/>
      <c r="G607" s="16"/>
      <c r="Q607" s="54"/>
      <c r="R607" s="8"/>
      <c r="S607" s="14"/>
      <c r="T607" s="16"/>
      <c r="U607" s="16"/>
      <c r="V607" s="16"/>
      <c r="W607" s="16"/>
      <c r="X607" s="54"/>
      <c r="Z607" s="14"/>
      <c r="AA607" s="16"/>
      <c r="AB607" s="16"/>
      <c r="AC607" s="16"/>
      <c r="AD607" s="16"/>
      <c r="AE607" s="66"/>
      <c r="AF607" s="54"/>
      <c r="AN607" s="54"/>
      <c r="AP607" s="16"/>
      <c r="AQ607" s="16"/>
      <c r="AR607" s="16"/>
      <c r="AS607" s="16"/>
      <c r="AU607" s="54"/>
    </row>
    <row r="608">
      <c r="B608" s="16"/>
      <c r="C608" s="16"/>
      <c r="D608" s="16"/>
      <c r="E608" s="16"/>
      <c r="F608" s="16"/>
      <c r="G608" s="16"/>
      <c r="Q608" s="54"/>
      <c r="R608" s="8"/>
      <c r="S608" s="14"/>
      <c r="T608" s="16"/>
      <c r="U608" s="16"/>
      <c r="V608" s="16"/>
      <c r="W608" s="16"/>
      <c r="X608" s="54"/>
      <c r="Z608" s="14"/>
      <c r="AA608" s="16"/>
      <c r="AB608" s="16"/>
      <c r="AC608" s="16"/>
      <c r="AD608" s="16"/>
      <c r="AE608" s="66"/>
      <c r="AF608" s="54"/>
      <c r="AN608" s="54"/>
      <c r="AP608" s="16"/>
      <c r="AQ608" s="16"/>
      <c r="AR608" s="16"/>
      <c r="AS608" s="16"/>
      <c r="AU608" s="54"/>
    </row>
    <row r="609">
      <c r="B609" s="16"/>
      <c r="C609" s="16"/>
      <c r="D609" s="16"/>
      <c r="E609" s="16"/>
      <c r="F609" s="16"/>
      <c r="G609" s="16"/>
      <c r="Q609" s="54"/>
      <c r="R609" s="8"/>
      <c r="S609" s="14"/>
      <c r="T609" s="16"/>
      <c r="U609" s="16"/>
      <c r="V609" s="16"/>
      <c r="W609" s="16"/>
      <c r="X609" s="54"/>
      <c r="Z609" s="14"/>
      <c r="AA609" s="16"/>
      <c r="AB609" s="16"/>
      <c r="AC609" s="16"/>
      <c r="AD609" s="16"/>
      <c r="AE609" s="66"/>
      <c r="AF609" s="54"/>
      <c r="AN609" s="54"/>
      <c r="AP609" s="16"/>
      <c r="AQ609" s="16"/>
      <c r="AR609" s="16"/>
      <c r="AS609" s="16"/>
      <c r="AU609" s="54"/>
    </row>
    <row r="610">
      <c r="B610" s="16"/>
      <c r="C610" s="16"/>
      <c r="D610" s="16"/>
      <c r="E610" s="16"/>
      <c r="F610" s="16"/>
      <c r="G610" s="16"/>
      <c r="Q610" s="54"/>
      <c r="R610" s="8"/>
      <c r="S610" s="14"/>
      <c r="T610" s="16"/>
      <c r="U610" s="16"/>
      <c r="V610" s="16"/>
      <c r="W610" s="16"/>
      <c r="X610" s="54"/>
      <c r="Z610" s="14"/>
      <c r="AA610" s="16"/>
      <c r="AB610" s="16"/>
      <c r="AC610" s="16"/>
      <c r="AD610" s="16"/>
      <c r="AE610" s="66"/>
      <c r="AF610" s="54"/>
      <c r="AN610" s="54"/>
      <c r="AP610" s="16"/>
      <c r="AQ610" s="16"/>
      <c r="AR610" s="16"/>
      <c r="AS610" s="16"/>
      <c r="AU610" s="54"/>
    </row>
    <row r="611">
      <c r="B611" s="16"/>
      <c r="C611" s="16"/>
      <c r="D611" s="16"/>
      <c r="E611" s="16"/>
      <c r="F611" s="16"/>
      <c r="G611" s="16"/>
      <c r="Q611" s="54"/>
      <c r="R611" s="8"/>
      <c r="S611" s="14"/>
      <c r="T611" s="16"/>
      <c r="U611" s="16"/>
      <c r="V611" s="16"/>
      <c r="W611" s="16"/>
      <c r="X611" s="54"/>
      <c r="Z611" s="14"/>
      <c r="AA611" s="16"/>
      <c r="AB611" s="16"/>
      <c r="AC611" s="16"/>
      <c r="AD611" s="16"/>
      <c r="AE611" s="66"/>
      <c r="AF611" s="54"/>
      <c r="AN611" s="54"/>
      <c r="AP611" s="16"/>
      <c r="AQ611" s="16"/>
      <c r="AR611" s="16"/>
      <c r="AS611" s="16"/>
      <c r="AU611" s="54"/>
    </row>
    <row r="612">
      <c r="B612" s="16"/>
      <c r="C612" s="16"/>
      <c r="D612" s="16"/>
      <c r="E612" s="16"/>
      <c r="F612" s="16"/>
      <c r="G612" s="16"/>
      <c r="Q612" s="54"/>
      <c r="R612" s="8"/>
      <c r="S612" s="14"/>
      <c r="T612" s="16"/>
      <c r="U612" s="16"/>
      <c r="V612" s="16"/>
      <c r="W612" s="16"/>
      <c r="X612" s="54"/>
      <c r="Z612" s="14"/>
      <c r="AA612" s="16"/>
      <c r="AB612" s="16"/>
      <c r="AC612" s="16"/>
      <c r="AD612" s="16"/>
      <c r="AE612" s="66"/>
      <c r="AF612" s="54"/>
      <c r="AN612" s="54"/>
      <c r="AP612" s="16"/>
      <c r="AQ612" s="16"/>
      <c r="AR612" s="16"/>
      <c r="AS612" s="16"/>
      <c r="AU612" s="54"/>
    </row>
    <row r="613">
      <c r="B613" s="16"/>
      <c r="C613" s="16"/>
      <c r="D613" s="16"/>
      <c r="E613" s="16"/>
      <c r="F613" s="16"/>
      <c r="G613" s="16"/>
      <c r="Q613" s="54"/>
      <c r="R613" s="8"/>
      <c r="S613" s="14"/>
      <c r="T613" s="16"/>
      <c r="U613" s="16"/>
      <c r="V613" s="16"/>
      <c r="W613" s="16"/>
      <c r="X613" s="54"/>
      <c r="Z613" s="14"/>
      <c r="AA613" s="16"/>
      <c r="AB613" s="16"/>
      <c r="AC613" s="16"/>
      <c r="AD613" s="16"/>
      <c r="AE613" s="66"/>
      <c r="AF613" s="54"/>
      <c r="AN613" s="54"/>
      <c r="AP613" s="16"/>
      <c r="AQ613" s="16"/>
      <c r="AR613" s="16"/>
      <c r="AS613" s="16"/>
      <c r="AU613" s="54"/>
    </row>
    <row r="614">
      <c r="B614" s="16"/>
      <c r="C614" s="16"/>
      <c r="D614" s="16"/>
      <c r="E614" s="16"/>
      <c r="F614" s="16"/>
      <c r="G614" s="16"/>
      <c r="Q614" s="54"/>
      <c r="R614" s="8"/>
      <c r="S614" s="14"/>
      <c r="T614" s="16"/>
      <c r="U614" s="16"/>
      <c r="V614" s="16"/>
      <c r="W614" s="16"/>
      <c r="X614" s="54"/>
      <c r="Z614" s="14"/>
      <c r="AA614" s="16"/>
      <c r="AB614" s="16"/>
      <c r="AC614" s="16"/>
      <c r="AD614" s="16"/>
      <c r="AE614" s="66"/>
      <c r="AF614" s="54"/>
      <c r="AN614" s="54"/>
      <c r="AP614" s="16"/>
      <c r="AQ614" s="16"/>
      <c r="AR614" s="16"/>
      <c r="AS614" s="16"/>
      <c r="AU614" s="54"/>
    </row>
    <row r="615">
      <c r="B615" s="16"/>
      <c r="C615" s="16"/>
      <c r="D615" s="16"/>
      <c r="E615" s="16"/>
      <c r="F615" s="16"/>
      <c r="G615" s="16"/>
      <c r="Q615" s="54"/>
      <c r="R615" s="8"/>
      <c r="S615" s="14"/>
      <c r="T615" s="16"/>
      <c r="U615" s="16"/>
      <c r="V615" s="16"/>
      <c r="W615" s="16"/>
      <c r="X615" s="54"/>
      <c r="Z615" s="14"/>
      <c r="AA615" s="16"/>
      <c r="AB615" s="16"/>
      <c r="AC615" s="16"/>
      <c r="AD615" s="16"/>
      <c r="AE615" s="66"/>
      <c r="AF615" s="54"/>
      <c r="AN615" s="54"/>
      <c r="AP615" s="16"/>
      <c r="AQ615" s="16"/>
      <c r="AR615" s="16"/>
      <c r="AS615" s="16"/>
      <c r="AU615" s="54"/>
    </row>
    <row r="616">
      <c r="B616" s="16"/>
      <c r="C616" s="16"/>
      <c r="D616" s="16"/>
      <c r="E616" s="16"/>
      <c r="F616" s="16"/>
      <c r="G616" s="16"/>
      <c r="Q616" s="54"/>
      <c r="R616" s="8"/>
      <c r="S616" s="14"/>
      <c r="T616" s="16"/>
      <c r="U616" s="16"/>
      <c r="V616" s="16"/>
      <c r="W616" s="16"/>
      <c r="X616" s="54"/>
      <c r="Z616" s="14"/>
      <c r="AA616" s="16"/>
      <c r="AB616" s="16"/>
      <c r="AC616" s="16"/>
      <c r="AD616" s="16"/>
      <c r="AE616" s="66"/>
      <c r="AF616" s="54"/>
      <c r="AN616" s="54"/>
      <c r="AP616" s="16"/>
      <c r="AQ616" s="16"/>
      <c r="AR616" s="16"/>
      <c r="AS616" s="16"/>
      <c r="AU616" s="54"/>
    </row>
    <row r="617">
      <c r="B617" s="16"/>
      <c r="C617" s="16"/>
      <c r="D617" s="16"/>
      <c r="E617" s="16"/>
      <c r="F617" s="16"/>
      <c r="G617" s="16"/>
      <c r="Q617" s="54"/>
      <c r="R617" s="8"/>
      <c r="S617" s="14"/>
      <c r="T617" s="16"/>
      <c r="U617" s="16"/>
      <c r="V617" s="16"/>
      <c r="W617" s="16"/>
      <c r="X617" s="54"/>
      <c r="Z617" s="14"/>
      <c r="AA617" s="16"/>
      <c r="AB617" s="16"/>
      <c r="AC617" s="16"/>
      <c r="AD617" s="16"/>
      <c r="AE617" s="66"/>
      <c r="AF617" s="54"/>
      <c r="AN617" s="54"/>
      <c r="AP617" s="16"/>
      <c r="AQ617" s="16"/>
      <c r="AR617" s="16"/>
      <c r="AS617" s="16"/>
      <c r="AU617" s="54"/>
    </row>
    <row r="618">
      <c r="B618" s="16"/>
      <c r="C618" s="16"/>
      <c r="D618" s="16"/>
      <c r="E618" s="16"/>
      <c r="F618" s="16"/>
      <c r="G618" s="16"/>
      <c r="Q618" s="54"/>
      <c r="R618" s="8"/>
      <c r="S618" s="14"/>
      <c r="T618" s="16"/>
      <c r="U618" s="16"/>
      <c r="V618" s="16"/>
      <c r="W618" s="16"/>
      <c r="X618" s="54"/>
      <c r="Z618" s="14"/>
      <c r="AA618" s="16"/>
      <c r="AB618" s="16"/>
      <c r="AC618" s="16"/>
      <c r="AD618" s="16"/>
      <c r="AE618" s="66"/>
      <c r="AF618" s="54"/>
      <c r="AN618" s="54"/>
      <c r="AP618" s="16"/>
      <c r="AQ618" s="16"/>
      <c r="AR618" s="16"/>
      <c r="AS618" s="16"/>
      <c r="AU618" s="54"/>
    </row>
    <row r="619">
      <c r="B619" s="16"/>
      <c r="C619" s="16"/>
      <c r="D619" s="16"/>
      <c r="E619" s="16"/>
      <c r="F619" s="16"/>
      <c r="G619" s="16"/>
      <c r="Q619" s="54"/>
      <c r="R619" s="8"/>
      <c r="S619" s="14"/>
      <c r="T619" s="16"/>
      <c r="U619" s="16"/>
      <c r="V619" s="16"/>
      <c r="W619" s="16"/>
      <c r="X619" s="54"/>
      <c r="Z619" s="14"/>
      <c r="AA619" s="16"/>
      <c r="AB619" s="16"/>
      <c r="AC619" s="16"/>
      <c r="AD619" s="16"/>
      <c r="AE619" s="66"/>
      <c r="AF619" s="54"/>
      <c r="AN619" s="54"/>
      <c r="AP619" s="16"/>
      <c r="AQ619" s="16"/>
      <c r="AR619" s="16"/>
      <c r="AS619" s="16"/>
      <c r="AU619" s="54"/>
    </row>
    <row r="620">
      <c r="B620" s="16"/>
      <c r="C620" s="16"/>
      <c r="D620" s="16"/>
      <c r="E620" s="16"/>
      <c r="F620" s="16"/>
      <c r="G620" s="16"/>
      <c r="Q620" s="54"/>
      <c r="R620" s="8"/>
      <c r="S620" s="14"/>
      <c r="T620" s="16"/>
      <c r="U620" s="16"/>
      <c r="V620" s="16"/>
      <c r="W620" s="16"/>
      <c r="X620" s="54"/>
      <c r="Z620" s="14"/>
      <c r="AA620" s="16"/>
      <c r="AB620" s="16"/>
      <c r="AC620" s="16"/>
      <c r="AD620" s="16"/>
      <c r="AE620" s="66"/>
      <c r="AF620" s="54"/>
      <c r="AN620" s="54"/>
      <c r="AP620" s="16"/>
      <c r="AQ620" s="16"/>
      <c r="AR620" s="16"/>
      <c r="AS620" s="16"/>
      <c r="AU620" s="54"/>
    </row>
    <row r="621">
      <c r="B621" s="16"/>
      <c r="C621" s="16"/>
      <c r="D621" s="16"/>
      <c r="E621" s="16"/>
      <c r="F621" s="16"/>
      <c r="G621" s="16"/>
      <c r="Q621" s="54"/>
      <c r="R621" s="8"/>
      <c r="S621" s="14"/>
      <c r="T621" s="16"/>
      <c r="U621" s="16"/>
      <c r="V621" s="16"/>
      <c r="W621" s="16"/>
      <c r="X621" s="54"/>
      <c r="Z621" s="14"/>
      <c r="AA621" s="16"/>
      <c r="AB621" s="16"/>
      <c r="AC621" s="16"/>
      <c r="AD621" s="16"/>
      <c r="AE621" s="66"/>
      <c r="AF621" s="54"/>
      <c r="AN621" s="54"/>
      <c r="AP621" s="16"/>
      <c r="AQ621" s="16"/>
      <c r="AR621" s="16"/>
      <c r="AS621" s="16"/>
      <c r="AU621" s="54"/>
    </row>
    <row r="622">
      <c r="B622" s="16"/>
      <c r="C622" s="16"/>
      <c r="D622" s="16"/>
      <c r="E622" s="16"/>
      <c r="F622" s="16"/>
      <c r="G622" s="16"/>
      <c r="Q622" s="54"/>
      <c r="R622" s="8"/>
      <c r="S622" s="14"/>
      <c r="T622" s="16"/>
      <c r="U622" s="16"/>
      <c r="V622" s="16"/>
      <c r="W622" s="16"/>
      <c r="X622" s="54"/>
      <c r="Z622" s="14"/>
      <c r="AA622" s="16"/>
      <c r="AB622" s="16"/>
      <c r="AC622" s="16"/>
      <c r="AD622" s="16"/>
      <c r="AE622" s="66"/>
      <c r="AF622" s="54"/>
      <c r="AN622" s="54"/>
      <c r="AP622" s="16"/>
      <c r="AQ622" s="16"/>
      <c r="AR622" s="16"/>
      <c r="AS622" s="16"/>
      <c r="AU622" s="54"/>
    </row>
    <row r="623">
      <c r="B623" s="16"/>
      <c r="C623" s="16"/>
      <c r="D623" s="16"/>
      <c r="E623" s="16"/>
      <c r="F623" s="16"/>
      <c r="G623" s="16"/>
      <c r="Q623" s="54"/>
      <c r="R623" s="8"/>
      <c r="S623" s="14"/>
      <c r="T623" s="16"/>
      <c r="U623" s="16"/>
      <c r="V623" s="16"/>
      <c r="W623" s="16"/>
      <c r="X623" s="54"/>
      <c r="Z623" s="14"/>
      <c r="AA623" s="16"/>
      <c r="AB623" s="16"/>
      <c r="AC623" s="16"/>
      <c r="AD623" s="16"/>
      <c r="AE623" s="66"/>
      <c r="AF623" s="54"/>
      <c r="AN623" s="54"/>
      <c r="AP623" s="16"/>
      <c r="AQ623" s="16"/>
      <c r="AR623" s="16"/>
      <c r="AS623" s="16"/>
      <c r="AU623" s="54"/>
    </row>
    <row r="624">
      <c r="B624" s="16"/>
      <c r="C624" s="16"/>
      <c r="D624" s="16"/>
      <c r="E624" s="16"/>
      <c r="F624" s="16"/>
      <c r="G624" s="16"/>
      <c r="Q624" s="54"/>
      <c r="R624" s="8"/>
      <c r="S624" s="14"/>
      <c r="T624" s="16"/>
      <c r="U624" s="16"/>
      <c r="V624" s="16"/>
      <c r="W624" s="16"/>
      <c r="X624" s="54"/>
      <c r="Z624" s="14"/>
      <c r="AA624" s="16"/>
      <c r="AB624" s="16"/>
      <c r="AC624" s="16"/>
      <c r="AD624" s="16"/>
      <c r="AE624" s="66"/>
      <c r="AF624" s="54"/>
      <c r="AN624" s="54"/>
      <c r="AP624" s="16"/>
      <c r="AQ624" s="16"/>
      <c r="AR624" s="16"/>
      <c r="AS624" s="16"/>
      <c r="AU624" s="54"/>
    </row>
    <row r="625">
      <c r="B625" s="16"/>
      <c r="C625" s="16"/>
      <c r="D625" s="16"/>
      <c r="E625" s="16"/>
      <c r="F625" s="16"/>
      <c r="G625" s="16"/>
      <c r="Q625" s="54"/>
      <c r="R625" s="8"/>
      <c r="S625" s="14"/>
      <c r="T625" s="16"/>
      <c r="U625" s="16"/>
      <c r="V625" s="16"/>
      <c r="W625" s="16"/>
      <c r="X625" s="54"/>
      <c r="Z625" s="14"/>
      <c r="AA625" s="16"/>
      <c r="AB625" s="16"/>
      <c r="AC625" s="16"/>
      <c r="AD625" s="16"/>
      <c r="AE625" s="66"/>
      <c r="AF625" s="54"/>
      <c r="AN625" s="54"/>
      <c r="AP625" s="16"/>
      <c r="AQ625" s="16"/>
      <c r="AR625" s="16"/>
      <c r="AS625" s="16"/>
      <c r="AU625" s="54"/>
    </row>
    <row r="626">
      <c r="B626" s="16"/>
      <c r="C626" s="16"/>
      <c r="D626" s="16"/>
      <c r="E626" s="16"/>
      <c r="F626" s="16"/>
      <c r="G626" s="16"/>
      <c r="Q626" s="54"/>
      <c r="R626" s="8"/>
      <c r="S626" s="14"/>
      <c r="T626" s="16"/>
      <c r="U626" s="16"/>
      <c r="V626" s="16"/>
      <c r="W626" s="16"/>
      <c r="X626" s="54"/>
      <c r="Z626" s="14"/>
      <c r="AA626" s="16"/>
      <c r="AB626" s="16"/>
      <c r="AC626" s="16"/>
      <c r="AD626" s="16"/>
      <c r="AE626" s="66"/>
      <c r="AF626" s="54"/>
      <c r="AN626" s="54"/>
      <c r="AP626" s="16"/>
      <c r="AQ626" s="16"/>
      <c r="AR626" s="16"/>
      <c r="AS626" s="16"/>
      <c r="AU626" s="54"/>
    </row>
    <row r="627">
      <c r="B627" s="16"/>
      <c r="C627" s="16"/>
      <c r="D627" s="16"/>
      <c r="E627" s="16"/>
      <c r="F627" s="16"/>
      <c r="G627" s="16"/>
      <c r="Q627" s="54"/>
      <c r="R627" s="8"/>
      <c r="S627" s="14"/>
      <c r="T627" s="16"/>
      <c r="U627" s="16"/>
      <c r="V627" s="16"/>
      <c r="W627" s="16"/>
      <c r="X627" s="54"/>
      <c r="Z627" s="14"/>
      <c r="AA627" s="16"/>
      <c r="AB627" s="16"/>
      <c r="AC627" s="16"/>
      <c r="AD627" s="16"/>
      <c r="AE627" s="66"/>
      <c r="AF627" s="54"/>
      <c r="AN627" s="54"/>
      <c r="AP627" s="16"/>
      <c r="AQ627" s="16"/>
      <c r="AR627" s="16"/>
      <c r="AS627" s="16"/>
      <c r="AU627" s="54"/>
    </row>
    <row r="628">
      <c r="B628" s="16"/>
      <c r="C628" s="16"/>
      <c r="D628" s="16"/>
      <c r="E628" s="16"/>
      <c r="F628" s="16"/>
      <c r="G628" s="16"/>
      <c r="Q628" s="54"/>
      <c r="R628" s="8"/>
      <c r="S628" s="14"/>
      <c r="T628" s="16"/>
      <c r="U628" s="16"/>
      <c r="V628" s="16"/>
      <c r="W628" s="16"/>
      <c r="X628" s="54"/>
      <c r="Z628" s="14"/>
      <c r="AA628" s="16"/>
      <c r="AB628" s="16"/>
      <c r="AC628" s="16"/>
      <c r="AD628" s="16"/>
      <c r="AE628" s="66"/>
      <c r="AF628" s="54"/>
      <c r="AN628" s="54"/>
      <c r="AP628" s="16"/>
      <c r="AQ628" s="16"/>
      <c r="AR628" s="16"/>
      <c r="AS628" s="16"/>
      <c r="AU628" s="54"/>
    </row>
    <row r="629">
      <c r="B629" s="16"/>
      <c r="C629" s="16"/>
      <c r="D629" s="16"/>
      <c r="E629" s="16"/>
      <c r="F629" s="16"/>
      <c r="G629" s="16"/>
      <c r="Q629" s="54"/>
      <c r="R629" s="8"/>
      <c r="S629" s="14"/>
      <c r="T629" s="16"/>
      <c r="U629" s="16"/>
      <c r="V629" s="16"/>
      <c r="W629" s="16"/>
      <c r="X629" s="54"/>
      <c r="Z629" s="14"/>
      <c r="AA629" s="16"/>
      <c r="AB629" s="16"/>
      <c r="AC629" s="16"/>
      <c r="AD629" s="16"/>
      <c r="AE629" s="66"/>
      <c r="AF629" s="54"/>
      <c r="AN629" s="54"/>
      <c r="AP629" s="16"/>
      <c r="AQ629" s="16"/>
      <c r="AR629" s="16"/>
      <c r="AS629" s="16"/>
      <c r="AU629" s="54"/>
    </row>
    <row r="630">
      <c r="B630" s="16"/>
      <c r="C630" s="16"/>
      <c r="D630" s="16"/>
      <c r="E630" s="16"/>
      <c r="F630" s="16"/>
      <c r="G630" s="16"/>
      <c r="Q630" s="54"/>
      <c r="R630" s="8"/>
      <c r="S630" s="14"/>
      <c r="T630" s="16"/>
      <c r="U630" s="16"/>
      <c r="V630" s="16"/>
      <c r="W630" s="16"/>
      <c r="X630" s="54"/>
      <c r="Z630" s="14"/>
      <c r="AA630" s="16"/>
      <c r="AB630" s="16"/>
      <c r="AC630" s="16"/>
      <c r="AD630" s="16"/>
      <c r="AE630" s="66"/>
      <c r="AF630" s="54"/>
      <c r="AN630" s="54"/>
      <c r="AP630" s="16"/>
      <c r="AQ630" s="16"/>
      <c r="AR630" s="16"/>
      <c r="AS630" s="16"/>
      <c r="AU630" s="54"/>
    </row>
    <row r="631">
      <c r="B631" s="16"/>
      <c r="C631" s="16"/>
      <c r="D631" s="16"/>
      <c r="E631" s="16"/>
      <c r="F631" s="16"/>
      <c r="G631" s="16"/>
      <c r="Q631" s="54"/>
      <c r="R631" s="8"/>
      <c r="S631" s="14"/>
      <c r="T631" s="16"/>
      <c r="U631" s="16"/>
      <c r="V631" s="16"/>
      <c r="W631" s="16"/>
      <c r="X631" s="54"/>
      <c r="Z631" s="14"/>
      <c r="AA631" s="16"/>
      <c r="AB631" s="16"/>
      <c r="AC631" s="16"/>
      <c r="AD631" s="16"/>
      <c r="AE631" s="66"/>
      <c r="AF631" s="54"/>
      <c r="AN631" s="54"/>
      <c r="AP631" s="16"/>
      <c r="AQ631" s="16"/>
      <c r="AR631" s="16"/>
      <c r="AS631" s="16"/>
      <c r="AU631" s="54"/>
    </row>
    <row r="632">
      <c r="B632" s="16"/>
      <c r="C632" s="16"/>
      <c r="D632" s="16"/>
      <c r="E632" s="16"/>
      <c r="F632" s="16"/>
      <c r="G632" s="16"/>
      <c r="Q632" s="54"/>
      <c r="R632" s="8"/>
      <c r="S632" s="14"/>
      <c r="T632" s="16"/>
      <c r="U632" s="16"/>
      <c r="V632" s="16"/>
      <c r="W632" s="16"/>
      <c r="X632" s="54"/>
      <c r="Z632" s="14"/>
      <c r="AA632" s="16"/>
      <c r="AB632" s="16"/>
      <c r="AC632" s="16"/>
      <c r="AD632" s="16"/>
      <c r="AE632" s="66"/>
      <c r="AF632" s="54"/>
      <c r="AN632" s="54"/>
      <c r="AP632" s="16"/>
      <c r="AQ632" s="16"/>
      <c r="AR632" s="16"/>
      <c r="AS632" s="16"/>
      <c r="AU632" s="54"/>
    </row>
    <row r="633">
      <c r="B633" s="16"/>
      <c r="C633" s="16"/>
      <c r="D633" s="16"/>
      <c r="E633" s="16"/>
      <c r="F633" s="16"/>
      <c r="G633" s="16"/>
      <c r="Q633" s="54"/>
      <c r="R633" s="8"/>
      <c r="S633" s="14"/>
      <c r="T633" s="16"/>
      <c r="U633" s="16"/>
      <c r="V633" s="16"/>
      <c r="W633" s="16"/>
      <c r="X633" s="54"/>
      <c r="Z633" s="14"/>
      <c r="AA633" s="16"/>
      <c r="AB633" s="16"/>
      <c r="AC633" s="16"/>
      <c r="AD633" s="16"/>
      <c r="AE633" s="66"/>
      <c r="AF633" s="54"/>
      <c r="AN633" s="54"/>
      <c r="AP633" s="16"/>
      <c r="AQ633" s="16"/>
      <c r="AR633" s="16"/>
      <c r="AS633" s="16"/>
      <c r="AU633" s="54"/>
    </row>
    <row r="634">
      <c r="B634" s="16"/>
      <c r="C634" s="16"/>
      <c r="D634" s="16"/>
      <c r="E634" s="16"/>
      <c r="F634" s="16"/>
      <c r="G634" s="16"/>
      <c r="Q634" s="54"/>
      <c r="R634" s="8"/>
      <c r="S634" s="14"/>
      <c r="T634" s="16"/>
      <c r="U634" s="16"/>
      <c r="V634" s="16"/>
      <c r="W634" s="16"/>
      <c r="X634" s="54"/>
      <c r="Z634" s="14"/>
      <c r="AA634" s="16"/>
      <c r="AB634" s="16"/>
      <c r="AC634" s="16"/>
      <c r="AD634" s="16"/>
      <c r="AE634" s="66"/>
      <c r="AF634" s="54"/>
      <c r="AN634" s="54"/>
      <c r="AP634" s="16"/>
      <c r="AQ634" s="16"/>
      <c r="AR634" s="16"/>
      <c r="AS634" s="16"/>
      <c r="AU634" s="54"/>
    </row>
    <row r="635">
      <c r="B635" s="16"/>
      <c r="C635" s="16"/>
      <c r="D635" s="16"/>
      <c r="E635" s="16"/>
      <c r="F635" s="16"/>
      <c r="G635" s="16"/>
      <c r="Q635" s="54"/>
      <c r="R635" s="8"/>
      <c r="S635" s="14"/>
      <c r="T635" s="16"/>
      <c r="U635" s="16"/>
      <c r="V635" s="16"/>
      <c r="W635" s="16"/>
      <c r="X635" s="54"/>
      <c r="Z635" s="14"/>
      <c r="AA635" s="16"/>
      <c r="AB635" s="16"/>
      <c r="AC635" s="16"/>
      <c r="AD635" s="16"/>
      <c r="AE635" s="66"/>
      <c r="AF635" s="54"/>
      <c r="AN635" s="54"/>
      <c r="AP635" s="16"/>
      <c r="AQ635" s="16"/>
      <c r="AR635" s="16"/>
      <c r="AS635" s="16"/>
      <c r="AU635" s="54"/>
    </row>
    <row r="636">
      <c r="B636" s="16"/>
      <c r="C636" s="16"/>
      <c r="D636" s="16"/>
      <c r="E636" s="16"/>
      <c r="F636" s="16"/>
      <c r="G636" s="16"/>
      <c r="Q636" s="54"/>
      <c r="R636" s="8"/>
      <c r="S636" s="14"/>
      <c r="T636" s="16"/>
      <c r="U636" s="16"/>
      <c r="V636" s="16"/>
      <c r="W636" s="16"/>
      <c r="X636" s="54"/>
      <c r="Z636" s="14"/>
      <c r="AA636" s="16"/>
      <c r="AB636" s="16"/>
      <c r="AC636" s="16"/>
      <c r="AD636" s="16"/>
      <c r="AE636" s="66"/>
      <c r="AF636" s="54"/>
      <c r="AN636" s="54"/>
      <c r="AP636" s="16"/>
      <c r="AQ636" s="16"/>
      <c r="AR636" s="16"/>
      <c r="AS636" s="16"/>
      <c r="AU636" s="54"/>
    </row>
    <row r="637">
      <c r="B637" s="16"/>
      <c r="C637" s="16"/>
      <c r="D637" s="16"/>
      <c r="E637" s="16"/>
      <c r="F637" s="16"/>
      <c r="G637" s="16"/>
      <c r="Q637" s="54"/>
      <c r="R637" s="8"/>
      <c r="S637" s="14"/>
      <c r="T637" s="16"/>
      <c r="U637" s="16"/>
      <c r="V637" s="16"/>
      <c r="W637" s="16"/>
      <c r="X637" s="54"/>
      <c r="Z637" s="14"/>
      <c r="AA637" s="16"/>
      <c r="AB637" s="16"/>
      <c r="AC637" s="16"/>
      <c r="AD637" s="16"/>
      <c r="AE637" s="66"/>
      <c r="AF637" s="54"/>
      <c r="AN637" s="54"/>
      <c r="AP637" s="16"/>
      <c r="AQ637" s="16"/>
      <c r="AR637" s="16"/>
      <c r="AS637" s="16"/>
      <c r="AU637" s="54"/>
    </row>
    <row r="638">
      <c r="B638" s="16"/>
      <c r="C638" s="16"/>
      <c r="D638" s="16"/>
      <c r="E638" s="16"/>
      <c r="F638" s="16"/>
      <c r="G638" s="16"/>
      <c r="Q638" s="54"/>
      <c r="R638" s="8"/>
      <c r="S638" s="14"/>
      <c r="T638" s="16"/>
      <c r="U638" s="16"/>
      <c r="V638" s="16"/>
      <c r="W638" s="16"/>
      <c r="X638" s="54"/>
      <c r="Z638" s="14"/>
      <c r="AA638" s="16"/>
      <c r="AB638" s="16"/>
      <c r="AC638" s="16"/>
      <c r="AD638" s="16"/>
      <c r="AE638" s="66"/>
      <c r="AF638" s="54"/>
      <c r="AN638" s="54"/>
      <c r="AP638" s="16"/>
      <c r="AQ638" s="16"/>
      <c r="AR638" s="16"/>
      <c r="AS638" s="16"/>
      <c r="AU638" s="54"/>
    </row>
    <row r="639">
      <c r="B639" s="16"/>
      <c r="C639" s="16"/>
      <c r="D639" s="16"/>
      <c r="E639" s="16"/>
      <c r="F639" s="16"/>
      <c r="G639" s="16"/>
      <c r="Q639" s="54"/>
      <c r="R639" s="8"/>
      <c r="S639" s="14"/>
      <c r="T639" s="16"/>
      <c r="U639" s="16"/>
      <c r="V639" s="16"/>
      <c r="W639" s="16"/>
      <c r="X639" s="54"/>
      <c r="Z639" s="14"/>
      <c r="AA639" s="16"/>
      <c r="AB639" s="16"/>
      <c r="AC639" s="16"/>
      <c r="AD639" s="16"/>
      <c r="AE639" s="66"/>
      <c r="AF639" s="54"/>
      <c r="AN639" s="54"/>
      <c r="AP639" s="16"/>
      <c r="AQ639" s="16"/>
      <c r="AR639" s="16"/>
      <c r="AS639" s="16"/>
      <c r="AU639" s="54"/>
    </row>
    <row r="640">
      <c r="B640" s="16"/>
      <c r="C640" s="16"/>
      <c r="D640" s="16"/>
      <c r="E640" s="16"/>
      <c r="F640" s="16"/>
      <c r="G640" s="16"/>
      <c r="Q640" s="54"/>
      <c r="R640" s="8"/>
      <c r="S640" s="14"/>
      <c r="T640" s="16"/>
      <c r="U640" s="16"/>
      <c r="V640" s="16"/>
      <c r="W640" s="16"/>
      <c r="X640" s="54"/>
      <c r="Z640" s="14"/>
      <c r="AA640" s="16"/>
      <c r="AB640" s="16"/>
      <c r="AC640" s="16"/>
      <c r="AD640" s="16"/>
      <c r="AE640" s="66"/>
      <c r="AF640" s="54"/>
      <c r="AN640" s="54"/>
      <c r="AP640" s="16"/>
      <c r="AQ640" s="16"/>
      <c r="AR640" s="16"/>
      <c r="AS640" s="16"/>
      <c r="AU640" s="54"/>
    </row>
    <row r="641">
      <c r="B641" s="16"/>
      <c r="C641" s="16"/>
      <c r="D641" s="16"/>
      <c r="E641" s="16"/>
      <c r="F641" s="16"/>
      <c r="G641" s="16"/>
      <c r="Q641" s="54"/>
      <c r="R641" s="8"/>
      <c r="S641" s="14"/>
      <c r="T641" s="16"/>
      <c r="U641" s="16"/>
      <c r="V641" s="16"/>
      <c r="W641" s="16"/>
      <c r="X641" s="54"/>
      <c r="Z641" s="14"/>
      <c r="AA641" s="16"/>
      <c r="AB641" s="16"/>
      <c r="AC641" s="16"/>
      <c r="AD641" s="16"/>
      <c r="AE641" s="66"/>
      <c r="AF641" s="54"/>
      <c r="AN641" s="54"/>
      <c r="AP641" s="16"/>
      <c r="AQ641" s="16"/>
      <c r="AR641" s="16"/>
      <c r="AS641" s="16"/>
      <c r="AU641" s="54"/>
    </row>
    <row r="642">
      <c r="B642" s="16"/>
      <c r="C642" s="16"/>
      <c r="D642" s="16"/>
      <c r="E642" s="16"/>
      <c r="F642" s="16"/>
      <c r="G642" s="16"/>
      <c r="Q642" s="54"/>
      <c r="R642" s="8"/>
      <c r="S642" s="14"/>
      <c r="T642" s="16"/>
      <c r="U642" s="16"/>
      <c r="V642" s="16"/>
      <c r="W642" s="16"/>
      <c r="X642" s="54"/>
      <c r="Z642" s="14"/>
      <c r="AA642" s="16"/>
      <c r="AB642" s="16"/>
      <c r="AC642" s="16"/>
      <c r="AD642" s="16"/>
      <c r="AE642" s="66"/>
      <c r="AF642" s="54"/>
      <c r="AN642" s="54"/>
      <c r="AP642" s="16"/>
      <c r="AQ642" s="16"/>
      <c r="AR642" s="16"/>
      <c r="AS642" s="16"/>
      <c r="AU642" s="54"/>
    </row>
    <row r="643">
      <c r="B643" s="16"/>
      <c r="C643" s="16"/>
      <c r="D643" s="16"/>
      <c r="E643" s="16"/>
      <c r="F643" s="16"/>
      <c r="G643" s="16"/>
      <c r="Q643" s="54"/>
      <c r="R643" s="8"/>
      <c r="S643" s="14"/>
      <c r="T643" s="16"/>
      <c r="U643" s="16"/>
      <c r="V643" s="16"/>
      <c r="W643" s="16"/>
      <c r="X643" s="54"/>
      <c r="Z643" s="14"/>
      <c r="AA643" s="16"/>
      <c r="AB643" s="16"/>
      <c r="AC643" s="16"/>
      <c r="AD643" s="16"/>
      <c r="AE643" s="66"/>
      <c r="AF643" s="54"/>
      <c r="AN643" s="54"/>
      <c r="AP643" s="16"/>
      <c r="AQ643" s="16"/>
      <c r="AR643" s="16"/>
      <c r="AS643" s="16"/>
      <c r="AU643" s="54"/>
    </row>
    <row r="644">
      <c r="B644" s="16"/>
      <c r="C644" s="16"/>
      <c r="D644" s="16"/>
      <c r="E644" s="16"/>
      <c r="F644" s="16"/>
      <c r="G644" s="16"/>
      <c r="Q644" s="54"/>
      <c r="R644" s="8"/>
      <c r="S644" s="14"/>
      <c r="T644" s="16"/>
      <c r="U644" s="16"/>
      <c r="V644" s="16"/>
      <c r="W644" s="16"/>
      <c r="X644" s="54"/>
      <c r="Z644" s="14"/>
      <c r="AA644" s="16"/>
      <c r="AB644" s="16"/>
      <c r="AC644" s="16"/>
      <c r="AD644" s="16"/>
      <c r="AE644" s="66"/>
      <c r="AF644" s="54"/>
      <c r="AN644" s="54"/>
      <c r="AP644" s="16"/>
      <c r="AQ644" s="16"/>
      <c r="AR644" s="16"/>
      <c r="AS644" s="16"/>
      <c r="AU644" s="54"/>
    </row>
    <row r="645">
      <c r="B645" s="16"/>
      <c r="C645" s="16"/>
      <c r="D645" s="16"/>
      <c r="E645" s="16"/>
      <c r="F645" s="16"/>
      <c r="G645" s="16"/>
      <c r="Q645" s="54"/>
      <c r="R645" s="8"/>
      <c r="S645" s="14"/>
      <c r="T645" s="16"/>
      <c r="U645" s="16"/>
      <c r="V645" s="16"/>
      <c r="W645" s="16"/>
      <c r="X645" s="54"/>
      <c r="Z645" s="14"/>
      <c r="AA645" s="16"/>
      <c r="AB645" s="16"/>
      <c r="AC645" s="16"/>
      <c r="AD645" s="16"/>
      <c r="AE645" s="66"/>
      <c r="AF645" s="54"/>
      <c r="AN645" s="54"/>
      <c r="AP645" s="16"/>
      <c r="AQ645" s="16"/>
      <c r="AR645" s="16"/>
      <c r="AS645" s="16"/>
      <c r="AU645" s="54"/>
    </row>
    <row r="646">
      <c r="B646" s="16"/>
      <c r="C646" s="16"/>
      <c r="D646" s="16"/>
      <c r="E646" s="16"/>
      <c r="F646" s="16"/>
      <c r="G646" s="16"/>
      <c r="Q646" s="54"/>
      <c r="R646" s="8"/>
      <c r="S646" s="14"/>
      <c r="T646" s="16"/>
      <c r="U646" s="16"/>
      <c r="V646" s="16"/>
      <c r="W646" s="16"/>
      <c r="X646" s="54"/>
      <c r="Z646" s="14"/>
      <c r="AA646" s="16"/>
      <c r="AB646" s="16"/>
      <c r="AC646" s="16"/>
      <c r="AD646" s="16"/>
      <c r="AE646" s="66"/>
      <c r="AF646" s="54"/>
      <c r="AN646" s="54"/>
      <c r="AP646" s="16"/>
      <c r="AQ646" s="16"/>
      <c r="AR646" s="16"/>
      <c r="AS646" s="16"/>
      <c r="AU646" s="54"/>
    </row>
    <row r="647">
      <c r="B647" s="16"/>
      <c r="C647" s="16"/>
      <c r="D647" s="16"/>
      <c r="E647" s="16"/>
      <c r="F647" s="16"/>
      <c r="G647" s="16"/>
      <c r="Q647" s="54"/>
      <c r="R647" s="8"/>
      <c r="S647" s="14"/>
      <c r="T647" s="16"/>
      <c r="U647" s="16"/>
      <c r="V647" s="16"/>
      <c r="W647" s="16"/>
      <c r="X647" s="54"/>
      <c r="Z647" s="14"/>
      <c r="AA647" s="16"/>
      <c r="AB647" s="16"/>
      <c r="AC647" s="16"/>
      <c r="AD647" s="16"/>
      <c r="AE647" s="66"/>
      <c r="AF647" s="54"/>
      <c r="AN647" s="54"/>
      <c r="AP647" s="16"/>
      <c r="AQ647" s="16"/>
      <c r="AR647" s="16"/>
      <c r="AS647" s="16"/>
      <c r="AU647" s="54"/>
    </row>
    <row r="648">
      <c r="B648" s="16"/>
      <c r="C648" s="16"/>
      <c r="D648" s="16"/>
      <c r="E648" s="16"/>
      <c r="F648" s="16"/>
      <c r="G648" s="16"/>
      <c r="Q648" s="54"/>
      <c r="R648" s="8"/>
      <c r="S648" s="14"/>
      <c r="T648" s="16"/>
      <c r="U648" s="16"/>
      <c r="V648" s="16"/>
      <c r="W648" s="16"/>
      <c r="X648" s="54"/>
      <c r="Z648" s="14"/>
      <c r="AA648" s="16"/>
      <c r="AB648" s="16"/>
      <c r="AC648" s="16"/>
      <c r="AD648" s="16"/>
      <c r="AE648" s="66"/>
      <c r="AF648" s="54"/>
      <c r="AN648" s="54"/>
      <c r="AP648" s="16"/>
      <c r="AQ648" s="16"/>
      <c r="AR648" s="16"/>
      <c r="AS648" s="16"/>
      <c r="AU648" s="54"/>
    </row>
    <row r="649">
      <c r="B649" s="16"/>
      <c r="C649" s="16"/>
      <c r="D649" s="16"/>
      <c r="E649" s="16"/>
      <c r="F649" s="16"/>
      <c r="G649" s="16"/>
      <c r="Q649" s="54"/>
      <c r="R649" s="8"/>
      <c r="S649" s="14"/>
      <c r="T649" s="16"/>
      <c r="U649" s="16"/>
      <c r="V649" s="16"/>
      <c r="W649" s="16"/>
      <c r="X649" s="54"/>
      <c r="Z649" s="14"/>
      <c r="AA649" s="16"/>
      <c r="AB649" s="16"/>
      <c r="AC649" s="16"/>
      <c r="AD649" s="16"/>
      <c r="AE649" s="66"/>
      <c r="AF649" s="54"/>
      <c r="AN649" s="54"/>
      <c r="AP649" s="16"/>
      <c r="AQ649" s="16"/>
      <c r="AR649" s="16"/>
      <c r="AS649" s="16"/>
      <c r="AU649" s="54"/>
    </row>
    <row r="650">
      <c r="B650" s="16"/>
      <c r="C650" s="16"/>
      <c r="D650" s="16"/>
      <c r="E650" s="16"/>
      <c r="F650" s="16"/>
      <c r="G650" s="16"/>
      <c r="Q650" s="54"/>
      <c r="R650" s="8"/>
      <c r="S650" s="14"/>
      <c r="T650" s="16"/>
      <c r="U650" s="16"/>
      <c r="V650" s="16"/>
      <c r="W650" s="16"/>
      <c r="X650" s="54"/>
      <c r="Z650" s="14"/>
      <c r="AA650" s="16"/>
      <c r="AB650" s="16"/>
      <c r="AC650" s="16"/>
      <c r="AD650" s="16"/>
      <c r="AE650" s="66"/>
      <c r="AF650" s="54"/>
      <c r="AN650" s="54"/>
      <c r="AP650" s="16"/>
      <c r="AQ650" s="16"/>
      <c r="AR650" s="16"/>
      <c r="AS650" s="16"/>
      <c r="AU650" s="54"/>
    </row>
    <row r="651">
      <c r="B651" s="16"/>
      <c r="C651" s="16"/>
      <c r="D651" s="16"/>
      <c r="E651" s="16"/>
      <c r="F651" s="16"/>
      <c r="G651" s="16"/>
      <c r="Q651" s="54"/>
      <c r="R651" s="8"/>
      <c r="S651" s="14"/>
      <c r="T651" s="16"/>
      <c r="U651" s="16"/>
      <c r="V651" s="16"/>
      <c r="W651" s="16"/>
      <c r="X651" s="54"/>
      <c r="Z651" s="14"/>
      <c r="AA651" s="16"/>
      <c r="AB651" s="16"/>
      <c r="AC651" s="16"/>
      <c r="AD651" s="16"/>
      <c r="AE651" s="66"/>
      <c r="AF651" s="54"/>
      <c r="AN651" s="54"/>
      <c r="AP651" s="16"/>
      <c r="AQ651" s="16"/>
      <c r="AR651" s="16"/>
      <c r="AS651" s="16"/>
      <c r="AU651" s="54"/>
    </row>
    <row r="652">
      <c r="B652" s="16"/>
      <c r="C652" s="16"/>
      <c r="D652" s="16"/>
      <c r="E652" s="16"/>
      <c r="F652" s="16"/>
      <c r="G652" s="16"/>
      <c r="Q652" s="54"/>
      <c r="R652" s="8"/>
      <c r="S652" s="14"/>
      <c r="T652" s="16"/>
      <c r="U652" s="16"/>
      <c r="V652" s="16"/>
      <c r="W652" s="16"/>
      <c r="X652" s="54"/>
      <c r="Z652" s="14"/>
      <c r="AA652" s="16"/>
      <c r="AB652" s="16"/>
      <c r="AC652" s="16"/>
      <c r="AD652" s="16"/>
      <c r="AE652" s="66"/>
      <c r="AF652" s="54"/>
      <c r="AN652" s="54"/>
      <c r="AP652" s="16"/>
      <c r="AQ652" s="16"/>
      <c r="AR652" s="16"/>
      <c r="AS652" s="16"/>
      <c r="AU652" s="54"/>
    </row>
    <row r="653">
      <c r="B653" s="16"/>
      <c r="C653" s="16"/>
      <c r="D653" s="16"/>
      <c r="E653" s="16"/>
      <c r="F653" s="16"/>
      <c r="G653" s="16"/>
      <c r="Q653" s="54"/>
      <c r="R653" s="8"/>
      <c r="S653" s="14"/>
      <c r="T653" s="16"/>
      <c r="U653" s="16"/>
      <c r="V653" s="16"/>
      <c r="W653" s="16"/>
      <c r="X653" s="54"/>
      <c r="Z653" s="14"/>
      <c r="AA653" s="16"/>
      <c r="AB653" s="16"/>
      <c r="AC653" s="16"/>
      <c r="AD653" s="16"/>
      <c r="AE653" s="66"/>
      <c r="AF653" s="54"/>
      <c r="AN653" s="54"/>
      <c r="AP653" s="16"/>
      <c r="AQ653" s="16"/>
      <c r="AR653" s="16"/>
      <c r="AS653" s="16"/>
      <c r="AU653" s="54"/>
    </row>
    <row r="654">
      <c r="B654" s="16"/>
      <c r="C654" s="16"/>
      <c r="D654" s="16"/>
      <c r="E654" s="16"/>
      <c r="F654" s="16"/>
      <c r="G654" s="16"/>
      <c r="Q654" s="54"/>
      <c r="R654" s="8"/>
      <c r="S654" s="14"/>
      <c r="T654" s="16"/>
      <c r="U654" s="16"/>
      <c r="V654" s="16"/>
      <c r="W654" s="16"/>
      <c r="X654" s="54"/>
      <c r="Z654" s="14"/>
      <c r="AA654" s="16"/>
      <c r="AB654" s="16"/>
      <c r="AC654" s="16"/>
      <c r="AD654" s="16"/>
      <c r="AE654" s="66"/>
      <c r="AF654" s="54"/>
      <c r="AN654" s="54"/>
      <c r="AP654" s="16"/>
      <c r="AQ654" s="16"/>
      <c r="AR654" s="16"/>
      <c r="AS654" s="16"/>
      <c r="AU654" s="54"/>
    </row>
    <row r="655">
      <c r="B655" s="16"/>
      <c r="C655" s="16"/>
      <c r="D655" s="16"/>
      <c r="E655" s="16"/>
      <c r="F655" s="16"/>
      <c r="G655" s="16"/>
      <c r="Q655" s="54"/>
      <c r="R655" s="8"/>
      <c r="S655" s="14"/>
      <c r="T655" s="16"/>
      <c r="U655" s="16"/>
      <c r="V655" s="16"/>
      <c r="W655" s="16"/>
      <c r="X655" s="54"/>
      <c r="Z655" s="14"/>
      <c r="AA655" s="16"/>
      <c r="AB655" s="16"/>
      <c r="AC655" s="16"/>
      <c r="AD655" s="16"/>
      <c r="AE655" s="66"/>
      <c r="AF655" s="54"/>
      <c r="AN655" s="54"/>
      <c r="AP655" s="16"/>
      <c r="AQ655" s="16"/>
      <c r="AR655" s="16"/>
      <c r="AS655" s="16"/>
      <c r="AU655" s="54"/>
    </row>
    <row r="656">
      <c r="B656" s="16"/>
      <c r="C656" s="16"/>
      <c r="D656" s="16"/>
      <c r="E656" s="16"/>
      <c r="F656" s="16"/>
      <c r="G656" s="16"/>
      <c r="Q656" s="54"/>
      <c r="R656" s="8"/>
      <c r="S656" s="14"/>
      <c r="T656" s="16"/>
      <c r="U656" s="16"/>
      <c r="V656" s="16"/>
      <c r="W656" s="16"/>
      <c r="X656" s="54"/>
      <c r="Z656" s="14"/>
      <c r="AA656" s="16"/>
      <c r="AB656" s="16"/>
      <c r="AC656" s="16"/>
      <c r="AD656" s="16"/>
      <c r="AE656" s="66"/>
      <c r="AF656" s="54"/>
      <c r="AN656" s="54"/>
      <c r="AP656" s="16"/>
      <c r="AQ656" s="16"/>
      <c r="AR656" s="16"/>
      <c r="AS656" s="16"/>
      <c r="AU656" s="54"/>
    </row>
    <row r="657">
      <c r="B657" s="16"/>
      <c r="C657" s="16"/>
      <c r="D657" s="16"/>
      <c r="E657" s="16"/>
      <c r="F657" s="16"/>
      <c r="G657" s="16"/>
      <c r="Q657" s="54"/>
      <c r="R657" s="8"/>
      <c r="S657" s="14"/>
      <c r="T657" s="16"/>
      <c r="U657" s="16"/>
      <c r="V657" s="16"/>
      <c r="W657" s="16"/>
      <c r="X657" s="54"/>
      <c r="Z657" s="14"/>
      <c r="AA657" s="16"/>
      <c r="AB657" s="16"/>
      <c r="AC657" s="16"/>
      <c r="AD657" s="16"/>
      <c r="AE657" s="66"/>
      <c r="AF657" s="54"/>
      <c r="AN657" s="54"/>
      <c r="AP657" s="16"/>
      <c r="AQ657" s="16"/>
      <c r="AR657" s="16"/>
      <c r="AS657" s="16"/>
      <c r="AU657" s="54"/>
    </row>
    <row r="658">
      <c r="B658" s="16"/>
      <c r="C658" s="16"/>
      <c r="D658" s="16"/>
      <c r="E658" s="16"/>
      <c r="F658" s="16"/>
      <c r="G658" s="16"/>
      <c r="Q658" s="54"/>
      <c r="R658" s="8"/>
      <c r="S658" s="14"/>
      <c r="T658" s="16"/>
      <c r="U658" s="16"/>
      <c r="V658" s="16"/>
      <c r="W658" s="16"/>
      <c r="X658" s="54"/>
      <c r="Z658" s="14"/>
      <c r="AA658" s="16"/>
      <c r="AB658" s="16"/>
      <c r="AC658" s="16"/>
      <c r="AD658" s="16"/>
      <c r="AE658" s="66"/>
      <c r="AF658" s="54"/>
      <c r="AN658" s="54"/>
      <c r="AP658" s="16"/>
      <c r="AQ658" s="16"/>
      <c r="AR658" s="16"/>
      <c r="AS658" s="16"/>
      <c r="AU658" s="54"/>
    </row>
    <row r="659">
      <c r="B659" s="16"/>
      <c r="C659" s="16"/>
      <c r="D659" s="16"/>
      <c r="E659" s="16"/>
      <c r="F659" s="16"/>
      <c r="G659" s="16"/>
      <c r="Q659" s="54"/>
      <c r="R659" s="8"/>
      <c r="S659" s="14"/>
      <c r="T659" s="16"/>
      <c r="U659" s="16"/>
      <c r="V659" s="16"/>
      <c r="W659" s="16"/>
      <c r="X659" s="54"/>
      <c r="Z659" s="14"/>
      <c r="AA659" s="16"/>
      <c r="AB659" s="16"/>
      <c r="AC659" s="16"/>
      <c r="AD659" s="16"/>
      <c r="AE659" s="66"/>
      <c r="AF659" s="54"/>
      <c r="AN659" s="54"/>
      <c r="AP659" s="16"/>
      <c r="AQ659" s="16"/>
      <c r="AR659" s="16"/>
      <c r="AS659" s="16"/>
      <c r="AU659" s="54"/>
    </row>
    <row r="660">
      <c r="B660" s="16"/>
      <c r="C660" s="16"/>
      <c r="D660" s="16"/>
      <c r="E660" s="16"/>
      <c r="F660" s="16"/>
      <c r="G660" s="16"/>
      <c r="Q660" s="54"/>
      <c r="R660" s="8"/>
      <c r="S660" s="14"/>
      <c r="T660" s="16"/>
      <c r="U660" s="16"/>
      <c r="V660" s="16"/>
      <c r="W660" s="16"/>
      <c r="X660" s="54"/>
      <c r="Z660" s="14"/>
      <c r="AA660" s="16"/>
      <c r="AB660" s="16"/>
      <c r="AC660" s="16"/>
      <c r="AD660" s="16"/>
      <c r="AE660" s="66"/>
      <c r="AF660" s="54"/>
      <c r="AN660" s="54"/>
      <c r="AP660" s="16"/>
      <c r="AQ660" s="16"/>
      <c r="AR660" s="16"/>
      <c r="AS660" s="16"/>
      <c r="AU660" s="54"/>
    </row>
    <row r="661">
      <c r="B661" s="16"/>
      <c r="C661" s="16"/>
      <c r="D661" s="16"/>
      <c r="E661" s="16"/>
      <c r="F661" s="16"/>
      <c r="G661" s="16"/>
      <c r="Q661" s="54"/>
      <c r="R661" s="8"/>
      <c r="S661" s="14"/>
      <c r="T661" s="16"/>
      <c r="U661" s="16"/>
      <c r="V661" s="16"/>
      <c r="W661" s="16"/>
      <c r="X661" s="54"/>
      <c r="Z661" s="14"/>
      <c r="AA661" s="16"/>
      <c r="AB661" s="16"/>
      <c r="AC661" s="16"/>
      <c r="AD661" s="16"/>
      <c r="AE661" s="66"/>
      <c r="AF661" s="54"/>
      <c r="AN661" s="54"/>
      <c r="AP661" s="16"/>
      <c r="AQ661" s="16"/>
      <c r="AR661" s="16"/>
      <c r="AS661" s="16"/>
      <c r="AU661" s="54"/>
    </row>
    <row r="662">
      <c r="B662" s="16"/>
      <c r="C662" s="16"/>
      <c r="D662" s="16"/>
      <c r="E662" s="16"/>
      <c r="F662" s="16"/>
      <c r="G662" s="16"/>
      <c r="Q662" s="54"/>
      <c r="R662" s="8"/>
      <c r="S662" s="14"/>
      <c r="T662" s="16"/>
      <c r="U662" s="16"/>
      <c r="V662" s="16"/>
      <c r="W662" s="16"/>
      <c r="X662" s="54"/>
      <c r="Z662" s="14"/>
      <c r="AA662" s="16"/>
      <c r="AB662" s="16"/>
      <c r="AC662" s="16"/>
      <c r="AD662" s="16"/>
      <c r="AE662" s="66"/>
      <c r="AF662" s="54"/>
      <c r="AN662" s="54"/>
      <c r="AP662" s="16"/>
      <c r="AQ662" s="16"/>
      <c r="AR662" s="16"/>
      <c r="AS662" s="16"/>
      <c r="AU662" s="54"/>
    </row>
    <row r="663">
      <c r="B663" s="16"/>
      <c r="C663" s="16"/>
      <c r="D663" s="16"/>
      <c r="E663" s="16"/>
      <c r="F663" s="16"/>
      <c r="G663" s="16"/>
      <c r="Q663" s="54"/>
      <c r="R663" s="8"/>
      <c r="S663" s="14"/>
      <c r="T663" s="16"/>
      <c r="U663" s="16"/>
      <c r="V663" s="16"/>
      <c r="W663" s="16"/>
      <c r="X663" s="54"/>
      <c r="Z663" s="14"/>
      <c r="AA663" s="16"/>
      <c r="AB663" s="16"/>
      <c r="AC663" s="16"/>
      <c r="AD663" s="16"/>
      <c r="AE663" s="66"/>
      <c r="AF663" s="54"/>
      <c r="AN663" s="54"/>
      <c r="AP663" s="16"/>
      <c r="AQ663" s="16"/>
      <c r="AR663" s="16"/>
      <c r="AS663" s="16"/>
      <c r="AU663" s="54"/>
    </row>
    <row r="664">
      <c r="B664" s="16"/>
      <c r="C664" s="16"/>
      <c r="D664" s="16"/>
      <c r="E664" s="16"/>
      <c r="F664" s="16"/>
      <c r="G664" s="16"/>
      <c r="Q664" s="54"/>
      <c r="R664" s="8"/>
      <c r="S664" s="14"/>
      <c r="T664" s="16"/>
      <c r="U664" s="16"/>
      <c r="V664" s="16"/>
      <c r="W664" s="16"/>
      <c r="X664" s="54"/>
      <c r="Z664" s="14"/>
      <c r="AA664" s="16"/>
      <c r="AB664" s="16"/>
      <c r="AC664" s="16"/>
      <c r="AD664" s="16"/>
      <c r="AE664" s="66"/>
      <c r="AF664" s="54"/>
      <c r="AN664" s="54"/>
      <c r="AP664" s="16"/>
      <c r="AQ664" s="16"/>
      <c r="AR664" s="16"/>
      <c r="AS664" s="16"/>
      <c r="AU664" s="54"/>
    </row>
    <row r="665">
      <c r="B665" s="16"/>
      <c r="C665" s="16"/>
      <c r="D665" s="16"/>
      <c r="E665" s="16"/>
      <c r="F665" s="16"/>
      <c r="G665" s="16"/>
      <c r="Q665" s="54"/>
      <c r="R665" s="8"/>
      <c r="S665" s="14"/>
      <c r="T665" s="16"/>
      <c r="U665" s="16"/>
      <c r="V665" s="16"/>
      <c r="W665" s="16"/>
      <c r="X665" s="54"/>
      <c r="Z665" s="14"/>
      <c r="AA665" s="16"/>
      <c r="AB665" s="16"/>
      <c r="AC665" s="16"/>
      <c r="AD665" s="16"/>
      <c r="AE665" s="66"/>
      <c r="AF665" s="54"/>
      <c r="AN665" s="54"/>
      <c r="AP665" s="16"/>
      <c r="AQ665" s="16"/>
      <c r="AR665" s="16"/>
      <c r="AS665" s="16"/>
      <c r="AU665" s="54"/>
    </row>
    <row r="666">
      <c r="B666" s="16"/>
      <c r="C666" s="16"/>
      <c r="D666" s="16"/>
      <c r="E666" s="16"/>
      <c r="F666" s="16"/>
      <c r="G666" s="16"/>
      <c r="Q666" s="54"/>
      <c r="R666" s="8"/>
      <c r="S666" s="14"/>
      <c r="T666" s="16"/>
      <c r="U666" s="16"/>
      <c r="V666" s="16"/>
      <c r="W666" s="16"/>
      <c r="X666" s="54"/>
      <c r="Z666" s="14"/>
      <c r="AA666" s="16"/>
      <c r="AB666" s="16"/>
      <c r="AC666" s="16"/>
      <c r="AD666" s="16"/>
      <c r="AE666" s="66"/>
      <c r="AF666" s="54"/>
      <c r="AN666" s="54"/>
      <c r="AP666" s="16"/>
      <c r="AQ666" s="16"/>
      <c r="AR666" s="16"/>
      <c r="AS666" s="16"/>
      <c r="AU666" s="54"/>
    </row>
    <row r="667">
      <c r="B667" s="16"/>
      <c r="C667" s="16"/>
      <c r="D667" s="16"/>
      <c r="E667" s="16"/>
      <c r="F667" s="16"/>
      <c r="G667" s="16"/>
      <c r="Q667" s="54"/>
      <c r="R667" s="8"/>
      <c r="S667" s="14"/>
      <c r="T667" s="16"/>
      <c r="U667" s="16"/>
      <c r="V667" s="16"/>
      <c r="W667" s="16"/>
      <c r="X667" s="54"/>
      <c r="Z667" s="14"/>
      <c r="AA667" s="16"/>
      <c r="AB667" s="16"/>
      <c r="AC667" s="16"/>
      <c r="AD667" s="16"/>
      <c r="AE667" s="66"/>
      <c r="AF667" s="54"/>
      <c r="AN667" s="54"/>
      <c r="AP667" s="16"/>
      <c r="AQ667" s="16"/>
      <c r="AR667" s="16"/>
      <c r="AS667" s="16"/>
      <c r="AU667" s="54"/>
    </row>
    <row r="668">
      <c r="B668" s="16"/>
      <c r="C668" s="16"/>
      <c r="D668" s="16"/>
      <c r="E668" s="16"/>
      <c r="F668" s="16"/>
      <c r="G668" s="16"/>
      <c r="Q668" s="54"/>
      <c r="R668" s="8"/>
      <c r="S668" s="14"/>
      <c r="T668" s="16"/>
      <c r="U668" s="16"/>
      <c r="V668" s="16"/>
      <c r="W668" s="16"/>
      <c r="X668" s="54"/>
      <c r="Z668" s="14"/>
      <c r="AA668" s="16"/>
      <c r="AB668" s="16"/>
      <c r="AC668" s="16"/>
      <c r="AD668" s="16"/>
      <c r="AE668" s="66"/>
      <c r="AF668" s="54"/>
      <c r="AN668" s="54"/>
      <c r="AP668" s="16"/>
      <c r="AQ668" s="16"/>
      <c r="AR668" s="16"/>
      <c r="AS668" s="16"/>
      <c r="AU668" s="54"/>
    </row>
    <row r="669">
      <c r="B669" s="16"/>
      <c r="C669" s="16"/>
      <c r="D669" s="16"/>
      <c r="E669" s="16"/>
      <c r="F669" s="16"/>
      <c r="G669" s="16"/>
      <c r="Q669" s="54"/>
      <c r="R669" s="8"/>
      <c r="S669" s="14"/>
      <c r="T669" s="16"/>
      <c r="U669" s="16"/>
      <c r="V669" s="16"/>
      <c r="W669" s="16"/>
      <c r="X669" s="54"/>
      <c r="Z669" s="14"/>
      <c r="AA669" s="16"/>
      <c r="AB669" s="16"/>
      <c r="AC669" s="16"/>
      <c r="AD669" s="16"/>
      <c r="AE669" s="66"/>
      <c r="AF669" s="54"/>
      <c r="AN669" s="54"/>
      <c r="AP669" s="16"/>
      <c r="AQ669" s="16"/>
      <c r="AR669" s="16"/>
      <c r="AS669" s="16"/>
      <c r="AU669" s="54"/>
    </row>
    <row r="670">
      <c r="B670" s="16"/>
      <c r="C670" s="16"/>
      <c r="D670" s="16"/>
      <c r="E670" s="16"/>
      <c r="F670" s="16"/>
      <c r="G670" s="16"/>
      <c r="Q670" s="54"/>
      <c r="R670" s="8"/>
      <c r="S670" s="14"/>
      <c r="T670" s="16"/>
      <c r="U670" s="16"/>
      <c r="V670" s="16"/>
      <c r="W670" s="16"/>
      <c r="X670" s="54"/>
      <c r="Z670" s="14"/>
      <c r="AA670" s="16"/>
      <c r="AB670" s="16"/>
      <c r="AC670" s="16"/>
      <c r="AD670" s="16"/>
      <c r="AE670" s="66"/>
      <c r="AF670" s="54"/>
      <c r="AN670" s="54"/>
      <c r="AP670" s="16"/>
      <c r="AQ670" s="16"/>
      <c r="AR670" s="16"/>
      <c r="AS670" s="16"/>
      <c r="AU670" s="54"/>
    </row>
    <row r="671">
      <c r="B671" s="16"/>
      <c r="C671" s="16"/>
      <c r="D671" s="16"/>
      <c r="E671" s="16"/>
      <c r="F671" s="16"/>
      <c r="G671" s="16"/>
      <c r="Q671" s="54"/>
      <c r="R671" s="8"/>
      <c r="S671" s="14"/>
      <c r="T671" s="16"/>
      <c r="U671" s="16"/>
      <c r="V671" s="16"/>
      <c r="W671" s="16"/>
      <c r="X671" s="54"/>
      <c r="Z671" s="14"/>
      <c r="AA671" s="16"/>
      <c r="AB671" s="16"/>
      <c r="AC671" s="16"/>
      <c r="AD671" s="16"/>
      <c r="AE671" s="66"/>
      <c r="AF671" s="54"/>
      <c r="AN671" s="54"/>
      <c r="AP671" s="16"/>
      <c r="AQ671" s="16"/>
      <c r="AR671" s="16"/>
      <c r="AS671" s="16"/>
      <c r="AU671" s="54"/>
    </row>
    <row r="672">
      <c r="B672" s="16"/>
      <c r="C672" s="16"/>
      <c r="D672" s="16"/>
      <c r="E672" s="16"/>
      <c r="F672" s="16"/>
      <c r="G672" s="16"/>
      <c r="Q672" s="54"/>
      <c r="R672" s="8"/>
      <c r="S672" s="14"/>
      <c r="T672" s="16"/>
      <c r="U672" s="16"/>
      <c r="V672" s="16"/>
      <c r="W672" s="16"/>
      <c r="X672" s="54"/>
      <c r="Z672" s="14"/>
      <c r="AA672" s="16"/>
      <c r="AB672" s="16"/>
      <c r="AC672" s="16"/>
      <c r="AD672" s="16"/>
      <c r="AE672" s="66"/>
      <c r="AF672" s="54"/>
      <c r="AN672" s="54"/>
      <c r="AP672" s="16"/>
      <c r="AQ672" s="16"/>
      <c r="AR672" s="16"/>
      <c r="AS672" s="16"/>
      <c r="AU672" s="54"/>
    </row>
    <row r="673">
      <c r="B673" s="16"/>
      <c r="C673" s="16"/>
      <c r="D673" s="16"/>
      <c r="E673" s="16"/>
      <c r="F673" s="16"/>
      <c r="G673" s="16"/>
      <c r="Q673" s="54"/>
      <c r="R673" s="8"/>
      <c r="S673" s="14"/>
      <c r="T673" s="16"/>
      <c r="U673" s="16"/>
      <c r="V673" s="16"/>
      <c r="W673" s="16"/>
      <c r="X673" s="54"/>
      <c r="Z673" s="14"/>
      <c r="AA673" s="16"/>
      <c r="AB673" s="16"/>
      <c r="AC673" s="16"/>
      <c r="AD673" s="16"/>
      <c r="AE673" s="66"/>
      <c r="AF673" s="54"/>
      <c r="AN673" s="54"/>
      <c r="AP673" s="16"/>
      <c r="AQ673" s="16"/>
      <c r="AR673" s="16"/>
      <c r="AS673" s="16"/>
      <c r="AU673" s="54"/>
    </row>
    <row r="674">
      <c r="B674" s="16"/>
      <c r="C674" s="16"/>
      <c r="D674" s="16"/>
      <c r="E674" s="16"/>
      <c r="F674" s="16"/>
      <c r="G674" s="16"/>
      <c r="Q674" s="54"/>
      <c r="R674" s="8"/>
      <c r="S674" s="14"/>
      <c r="T674" s="16"/>
      <c r="U674" s="16"/>
      <c r="V674" s="16"/>
      <c r="W674" s="16"/>
      <c r="X674" s="54"/>
      <c r="Z674" s="14"/>
      <c r="AA674" s="16"/>
      <c r="AB674" s="16"/>
      <c r="AC674" s="16"/>
      <c r="AD674" s="16"/>
      <c r="AE674" s="66"/>
      <c r="AF674" s="54"/>
      <c r="AN674" s="54"/>
      <c r="AP674" s="16"/>
      <c r="AQ674" s="16"/>
      <c r="AR674" s="16"/>
      <c r="AS674" s="16"/>
      <c r="AU674" s="54"/>
    </row>
    <row r="675">
      <c r="B675" s="16"/>
      <c r="C675" s="16"/>
      <c r="D675" s="16"/>
      <c r="E675" s="16"/>
      <c r="F675" s="16"/>
      <c r="G675" s="16"/>
      <c r="Q675" s="54"/>
      <c r="R675" s="8"/>
      <c r="S675" s="14"/>
      <c r="T675" s="16"/>
      <c r="U675" s="16"/>
      <c r="V675" s="16"/>
      <c r="W675" s="16"/>
      <c r="X675" s="54"/>
      <c r="Z675" s="14"/>
      <c r="AA675" s="16"/>
      <c r="AB675" s="16"/>
      <c r="AC675" s="16"/>
      <c r="AD675" s="16"/>
      <c r="AE675" s="66"/>
      <c r="AF675" s="54"/>
      <c r="AN675" s="54"/>
      <c r="AP675" s="16"/>
      <c r="AQ675" s="16"/>
      <c r="AR675" s="16"/>
      <c r="AS675" s="16"/>
      <c r="AU675" s="54"/>
    </row>
    <row r="676">
      <c r="B676" s="16"/>
      <c r="C676" s="16"/>
      <c r="D676" s="16"/>
      <c r="E676" s="16"/>
      <c r="F676" s="16"/>
      <c r="G676" s="16"/>
      <c r="Q676" s="54"/>
      <c r="R676" s="8"/>
      <c r="S676" s="14"/>
      <c r="T676" s="16"/>
      <c r="U676" s="16"/>
      <c r="V676" s="16"/>
      <c r="W676" s="16"/>
      <c r="X676" s="54"/>
      <c r="Z676" s="14"/>
      <c r="AA676" s="16"/>
      <c r="AB676" s="16"/>
      <c r="AC676" s="16"/>
      <c r="AD676" s="16"/>
      <c r="AE676" s="66"/>
      <c r="AF676" s="54"/>
      <c r="AN676" s="54"/>
      <c r="AP676" s="16"/>
      <c r="AQ676" s="16"/>
      <c r="AR676" s="16"/>
      <c r="AS676" s="16"/>
      <c r="AU676" s="54"/>
    </row>
    <row r="677">
      <c r="B677" s="16"/>
      <c r="C677" s="16"/>
      <c r="D677" s="16"/>
      <c r="E677" s="16"/>
      <c r="F677" s="16"/>
      <c r="G677" s="16"/>
      <c r="Q677" s="54"/>
      <c r="R677" s="8"/>
      <c r="S677" s="14"/>
      <c r="T677" s="16"/>
      <c r="U677" s="16"/>
      <c r="V677" s="16"/>
      <c r="W677" s="16"/>
      <c r="X677" s="54"/>
      <c r="Z677" s="14"/>
      <c r="AA677" s="16"/>
      <c r="AB677" s="16"/>
      <c r="AC677" s="16"/>
      <c r="AD677" s="16"/>
      <c r="AE677" s="66"/>
      <c r="AF677" s="54"/>
      <c r="AN677" s="54"/>
      <c r="AP677" s="16"/>
      <c r="AQ677" s="16"/>
      <c r="AR677" s="16"/>
      <c r="AS677" s="16"/>
      <c r="AU677" s="54"/>
    </row>
    <row r="678">
      <c r="B678" s="16"/>
      <c r="C678" s="16"/>
      <c r="D678" s="16"/>
      <c r="E678" s="16"/>
      <c r="F678" s="16"/>
      <c r="G678" s="16"/>
      <c r="Q678" s="54"/>
      <c r="R678" s="8"/>
      <c r="S678" s="14"/>
      <c r="T678" s="16"/>
      <c r="U678" s="16"/>
      <c r="V678" s="16"/>
      <c r="W678" s="16"/>
      <c r="X678" s="54"/>
      <c r="Z678" s="14"/>
      <c r="AA678" s="16"/>
      <c r="AB678" s="16"/>
      <c r="AC678" s="16"/>
      <c r="AD678" s="16"/>
      <c r="AE678" s="66"/>
      <c r="AF678" s="54"/>
      <c r="AN678" s="54"/>
      <c r="AP678" s="16"/>
      <c r="AQ678" s="16"/>
      <c r="AR678" s="16"/>
      <c r="AS678" s="16"/>
      <c r="AU678" s="54"/>
    </row>
    <row r="679">
      <c r="B679" s="16"/>
      <c r="C679" s="16"/>
      <c r="D679" s="16"/>
      <c r="E679" s="16"/>
      <c r="F679" s="16"/>
      <c r="G679" s="16"/>
      <c r="Q679" s="54"/>
      <c r="R679" s="8"/>
      <c r="S679" s="14"/>
      <c r="T679" s="16"/>
      <c r="U679" s="16"/>
      <c r="V679" s="16"/>
      <c r="W679" s="16"/>
      <c r="X679" s="54"/>
      <c r="Z679" s="14"/>
      <c r="AA679" s="16"/>
      <c r="AB679" s="16"/>
      <c r="AC679" s="16"/>
      <c r="AD679" s="16"/>
      <c r="AE679" s="66"/>
      <c r="AF679" s="54"/>
      <c r="AN679" s="54"/>
      <c r="AP679" s="16"/>
      <c r="AQ679" s="16"/>
      <c r="AR679" s="16"/>
      <c r="AS679" s="16"/>
      <c r="AU679" s="54"/>
    </row>
    <row r="680">
      <c r="B680" s="16"/>
      <c r="C680" s="16"/>
      <c r="D680" s="16"/>
      <c r="E680" s="16"/>
      <c r="F680" s="16"/>
      <c r="G680" s="16"/>
      <c r="Q680" s="54"/>
      <c r="R680" s="8"/>
      <c r="S680" s="14"/>
      <c r="T680" s="16"/>
      <c r="U680" s="16"/>
      <c r="V680" s="16"/>
      <c r="W680" s="16"/>
      <c r="X680" s="54"/>
      <c r="Z680" s="14"/>
      <c r="AA680" s="16"/>
      <c r="AB680" s="16"/>
      <c r="AC680" s="16"/>
      <c r="AD680" s="16"/>
      <c r="AE680" s="66"/>
      <c r="AF680" s="54"/>
      <c r="AN680" s="54"/>
      <c r="AP680" s="16"/>
      <c r="AQ680" s="16"/>
      <c r="AR680" s="16"/>
      <c r="AS680" s="16"/>
      <c r="AU680" s="54"/>
    </row>
    <row r="681">
      <c r="B681" s="16"/>
      <c r="C681" s="16"/>
      <c r="D681" s="16"/>
      <c r="E681" s="16"/>
      <c r="F681" s="16"/>
      <c r="G681" s="16"/>
      <c r="Q681" s="54"/>
      <c r="R681" s="8"/>
      <c r="S681" s="14"/>
      <c r="T681" s="16"/>
      <c r="U681" s="16"/>
      <c r="V681" s="16"/>
      <c r="W681" s="16"/>
      <c r="X681" s="54"/>
      <c r="Z681" s="14"/>
      <c r="AA681" s="16"/>
      <c r="AB681" s="16"/>
      <c r="AC681" s="16"/>
      <c r="AD681" s="16"/>
      <c r="AE681" s="66"/>
      <c r="AF681" s="54"/>
      <c r="AN681" s="54"/>
      <c r="AP681" s="16"/>
      <c r="AQ681" s="16"/>
      <c r="AR681" s="16"/>
      <c r="AS681" s="16"/>
      <c r="AU681" s="54"/>
    </row>
    <row r="682">
      <c r="B682" s="16"/>
      <c r="C682" s="16"/>
      <c r="D682" s="16"/>
      <c r="E682" s="16"/>
      <c r="F682" s="16"/>
      <c r="G682" s="16"/>
      <c r="Q682" s="54"/>
      <c r="R682" s="8"/>
      <c r="S682" s="14"/>
      <c r="T682" s="16"/>
      <c r="U682" s="16"/>
      <c r="V682" s="16"/>
      <c r="W682" s="16"/>
      <c r="X682" s="54"/>
      <c r="Z682" s="14"/>
      <c r="AA682" s="16"/>
      <c r="AB682" s="16"/>
      <c r="AC682" s="16"/>
      <c r="AD682" s="16"/>
      <c r="AE682" s="66"/>
      <c r="AF682" s="54"/>
      <c r="AN682" s="54"/>
      <c r="AP682" s="16"/>
      <c r="AQ682" s="16"/>
      <c r="AR682" s="16"/>
      <c r="AS682" s="16"/>
      <c r="AU682" s="54"/>
    </row>
    <row r="683">
      <c r="B683" s="16"/>
      <c r="C683" s="16"/>
      <c r="D683" s="16"/>
      <c r="E683" s="16"/>
      <c r="F683" s="16"/>
      <c r="G683" s="16"/>
      <c r="Q683" s="54"/>
      <c r="R683" s="8"/>
      <c r="S683" s="14"/>
      <c r="T683" s="16"/>
      <c r="U683" s="16"/>
      <c r="V683" s="16"/>
      <c r="W683" s="16"/>
      <c r="X683" s="54"/>
      <c r="Z683" s="14"/>
      <c r="AA683" s="16"/>
      <c r="AB683" s="16"/>
      <c r="AC683" s="16"/>
      <c r="AD683" s="16"/>
      <c r="AE683" s="66"/>
      <c r="AF683" s="54"/>
      <c r="AN683" s="54"/>
      <c r="AP683" s="16"/>
      <c r="AQ683" s="16"/>
      <c r="AR683" s="16"/>
      <c r="AS683" s="16"/>
      <c r="AU683" s="54"/>
    </row>
    <row r="684">
      <c r="B684" s="16"/>
      <c r="C684" s="16"/>
      <c r="D684" s="16"/>
      <c r="E684" s="16"/>
      <c r="F684" s="16"/>
      <c r="G684" s="16"/>
      <c r="Q684" s="54"/>
      <c r="R684" s="8"/>
      <c r="S684" s="14"/>
      <c r="T684" s="16"/>
      <c r="U684" s="16"/>
      <c r="V684" s="16"/>
      <c r="W684" s="16"/>
      <c r="X684" s="54"/>
      <c r="Z684" s="14"/>
      <c r="AA684" s="16"/>
      <c r="AB684" s="16"/>
      <c r="AC684" s="16"/>
      <c r="AD684" s="16"/>
      <c r="AE684" s="66"/>
      <c r="AF684" s="54"/>
      <c r="AN684" s="54"/>
      <c r="AP684" s="16"/>
      <c r="AQ684" s="16"/>
      <c r="AR684" s="16"/>
      <c r="AS684" s="16"/>
      <c r="AU684" s="54"/>
    </row>
    <row r="685">
      <c r="B685" s="16"/>
      <c r="C685" s="16"/>
      <c r="D685" s="16"/>
      <c r="E685" s="16"/>
      <c r="F685" s="16"/>
      <c r="G685" s="16"/>
      <c r="Q685" s="54"/>
      <c r="R685" s="8"/>
      <c r="S685" s="14"/>
      <c r="T685" s="16"/>
      <c r="U685" s="16"/>
      <c r="V685" s="16"/>
      <c r="W685" s="16"/>
      <c r="X685" s="54"/>
      <c r="Z685" s="14"/>
      <c r="AA685" s="16"/>
      <c r="AB685" s="16"/>
      <c r="AC685" s="16"/>
      <c r="AD685" s="16"/>
      <c r="AE685" s="66"/>
      <c r="AF685" s="54"/>
      <c r="AN685" s="54"/>
      <c r="AP685" s="16"/>
      <c r="AQ685" s="16"/>
      <c r="AR685" s="16"/>
      <c r="AS685" s="16"/>
      <c r="AU685" s="54"/>
    </row>
    <row r="686">
      <c r="B686" s="16"/>
      <c r="C686" s="16"/>
      <c r="D686" s="16"/>
      <c r="E686" s="16"/>
      <c r="F686" s="16"/>
      <c r="G686" s="16"/>
      <c r="Q686" s="54"/>
      <c r="R686" s="8"/>
      <c r="S686" s="14"/>
      <c r="T686" s="16"/>
      <c r="U686" s="16"/>
      <c r="V686" s="16"/>
      <c r="W686" s="16"/>
      <c r="X686" s="54"/>
      <c r="Z686" s="14"/>
      <c r="AA686" s="16"/>
      <c r="AB686" s="16"/>
      <c r="AC686" s="16"/>
      <c r="AD686" s="16"/>
      <c r="AE686" s="66"/>
      <c r="AF686" s="54"/>
      <c r="AN686" s="54"/>
      <c r="AP686" s="16"/>
      <c r="AQ686" s="16"/>
      <c r="AR686" s="16"/>
      <c r="AS686" s="16"/>
      <c r="AU686" s="54"/>
    </row>
    <row r="687">
      <c r="B687" s="16"/>
      <c r="C687" s="16"/>
      <c r="D687" s="16"/>
      <c r="E687" s="16"/>
      <c r="F687" s="16"/>
      <c r="G687" s="16"/>
      <c r="Q687" s="54"/>
      <c r="R687" s="8"/>
      <c r="S687" s="14"/>
      <c r="T687" s="16"/>
      <c r="U687" s="16"/>
      <c r="V687" s="16"/>
      <c r="W687" s="16"/>
      <c r="X687" s="54"/>
      <c r="Z687" s="14"/>
      <c r="AA687" s="16"/>
      <c r="AB687" s="16"/>
      <c r="AC687" s="16"/>
      <c r="AD687" s="16"/>
      <c r="AE687" s="66"/>
      <c r="AF687" s="54"/>
      <c r="AN687" s="54"/>
      <c r="AP687" s="16"/>
      <c r="AQ687" s="16"/>
      <c r="AR687" s="16"/>
      <c r="AS687" s="16"/>
      <c r="AU687" s="54"/>
    </row>
    <row r="688">
      <c r="B688" s="16"/>
      <c r="C688" s="16"/>
      <c r="D688" s="16"/>
      <c r="E688" s="16"/>
      <c r="F688" s="16"/>
      <c r="G688" s="16"/>
      <c r="Q688" s="54"/>
      <c r="R688" s="8"/>
      <c r="S688" s="14"/>
      <c r="T688" s="16"/>
      <c r="U688" s="16"/>
      <c r="V688" s="16"/>
      <c r="W688" s="16"/>
      <c r="X688" s="54"/>
      <c r="Z688" s="14"/>
      <c r="AA688" s="16"/>
      <c r="AB688" s="16"/>
      <c r="AC688" s="16"/>
      <c r="AD688" s="16"/>
      <c r="AE688" s="66"/>
      <c r="AF688" s="54"/>
      <c r="AN688" s="54"/>
      <c r="AP688" s="16"/>
      <c r="AQ688" s="16"/>
      <c r="AR688" s="16"/>
      <c r="AS688" s="16"/>
      <c r="AU688" s="54"/>
    </row>
    <row r="689">
      <c r="B689" s="16"/>
      <c r="C689" s="16"/>
      <c r="D689" s="16"/>
      <c r="E689" s="16"/>
      <c r="F689" s="16"/>
      <c r="G689" s="16"/>
      <c r="Q689" s="54"/>
      <c r="R689" s="8"/>
      <c r="S689" s="14"/>
      <c r="T689" s="16"/>
      <c r="U689" s="16"/>
      <c r="V689" s="16"/>
      <c r="W689" s="16"/>
      <c r="X689" s="54"/>
      <c r="Z689" s="14"/>
      <c r="AA689" s="16"/>
      <c r="AB689" s="16"/>
      <c r="AC689" s="16"/>
      <c r="AD689" s="16"/>
      <c r="AE689" s="66"/>
      <c r="AF689" s="54"/>
      <c r="AN689" s="54"/>
      <c r="AP689" s="16"/>
      <c r="AQ689" s="16"/>
      <c r="AR689" s="16"/>
      <c r="AS689" s="16"/>
      <c r="AU689" s="54"/>
    </row>
    <row r="690">
      <c r="B690" s="16"/>
      <c r="C690" s="16"/>
      <c r="D690" s="16"/>
      <c r="E690" s="16"/>
      <c r="F690" s="16"/>
      <c r="G690" s="16"/>
      <c r="Q690" s="54"/>
      <c r="R690" s="8"/>
      <c r="S690" s="14"/>
      <c r="T690" s="16"/>
      <c r="U690" s="16"/>
      <c r="V690" s="16"/>
      <c r="W690" s="16"/>
      <c r="X690" s="54"/>
      <c r="Z690" s="14"/>
      <c r="AA690" s="16"/>
      <c r="AB690" s="16"/>
      <c r="AC690" s="16"/>
      <c r="AD690" s="16"/>
      <c r="AE690" s="66"/>
      <c r="AF690" s="54"/>
      <c r="AN690" s="54"/>
      <c r="AP690" s="16"/>
      <c r="AQ690" s="16"/>
      <c r="AR690" s="16"/>
      <c r="AS690" s="16"/>
      <c r="AU690" s="54"/>
    </row>
    <row r="691">
      <c r="B691" s="16"/>
      <c r="C691" s="16"/>
      <c r="D691" s="16"/>
      <c r="E691" s="16"/>
      <c r="F691" s="16"/>
      <c r="G691" s="16"/>
      <c r="Q691" s="54"/>
      <c r="R691" s="8"/>
      <c r="S691" s="14"/>
      <c r="T691" s="16"/>
      <c r="U691" s="16"/>
      <c r="V691" s="16"/>
      <c r="W691" s="16"/>
      <c r="X691" s="54"/>
      <c r="Z691" s="14"/>
      <c r="AA691" s="16"/>
      <c r="AB691" s="16"/>
      <c r="AC691" s="16"/>
      <c r="AD691" s="16"/>
      <c r="AE691" s="66"/>
      <c r="AF691" s="54"/>
      <c r="AN691" s="54"/>
      <c r="AP691" s="16"/>
      <c r="AQ691" s="16"/>
      <c r="AR691" s="16"/>
      <c r="AS691" s="16"/>
      <c r="AU691" s="54"/>
    </row>
    <row r="692">
      <c r="B692" s="16"/>
      <c r="C692" s="16"/>
      <c r="D692" s="16"/>
      <c r="E692" s="16"/>
      <c r="F692" s="16"/>
      <c r="G692" s="16"/>
      <c r="Q692" s="54"/>
      <c r="R692" s="8"/>
      <c r="S692" s="14"/>
      <c r="T692" s="16"/>
      <c r="U692" s="16"/>
      <c r="V692" s="16"/>
      <c r="W692" s="16"/>
      <c r="X692" s="54"/>
      <c r="Z692" s="14"/>
      <c r="AA692" s="16"/>
      <c r="AB692" s="16"/>
      <c r="AC692" s="16"/>
      <c r="AD692" s="16"/>
      <c r="AE692" s="66"/>
      <c r="AF692" s="54"/>
      <c r="AN692" s="54"/>
      <c r="AP692" s="16"/>
      <c r="AQ692" s="16"/>
      <c r="AR692" s="16"/>
      <c r="AS692" s="16"/>
      <c r="AU692" s="54"/>
    </row>
    <row r="693">
      <c r="B693" s="16"/>
      <c r="C693" s="16"/>
      <c r="D693" s="16"/>
      <c r="E693" s="16"/>
      <c r="F693" s="16"/>
      <c r="G693" s="16"/>
      <c r="Q693" s="54"/>
      <c r="R693" s="8"/>
      <c r="S693" s="14"/>
      <c r="T693" s="16"/>
      <c r="U693" s="16"/>
      <c r="V693" s="16"/>
      <c r="W693" s="16"/>
      <c r="X693" s="54"/>
      <c r="Z693" s="14"/>
      <c r="AA693" s="16"/>
      <c r="AB693" s="16"/>
      <c r="AC693" s="16"/>
      <c r="AD693" s="16"/>
      <c r="AE693" s="66"/>
      <c r="AF693" s="54"/>
      <c r="AN693" s="54"/>
      <c r="AP693" s="16"/>
      <c r="AQ693" s="16"/>
      <c r="AR693" s="16"/>
      <c r="AS693" s="16"/>
      <c r="AU693" s="54"/>
    </row>
    <row r="694">
      <c r="B694" s="16"/>
      <c r="C694" s="16"/>
      <c r="D694" s="16"/>
      <c r="E694" s="16"/>
      <c r="F694" s="16"/>
      <c r="G694" s="16"/>
      <c r="Q694" s="54"/>
      <c r="R694" s="8"/>
      <c r="S694" s="14"/>
      <c r="T694" s="16"/>
      <c r="U694" s="16"/>
      <c r="V694" s="16"/>
      <c r="W694" s="16"/>
      <c r="X694" s="54"/>
      <c r="Z694" s="14"/>
      <c r="AA694" s="16"/>
      <c r="AB694" s="16"/>
      <c r="AC694" s="16"/>
      <c r="AD694" s="16"/>
      <c r="AE694" s="66"/>
      <c r="AF694" s="54"/>
      <c r="AN694" s="54"/>
      <c r="AP694" s="16"/>
      <c r="AQ694" s="16"/>
      <c r="AR694" s="16"/>
      <c r="AS694" s="16"/>
      <c r="AU694" s="54"/>
    </row>
    <row r="695">
      <c r="B695" s="16"/>
      <c r="C695" s="16"/>
      <c r="D695" s="16"/>
      <c r="E695" s="16"/>
      <c r="F695" s="16"/>
      <c r="G695" s="16"/>
      <c r="Q695" s="54"/>
      <c r="R695" s="8"/>
      <c r="S695" s="14"/>
      <c r="T695" s="16"/>
      <c r="U695" s="16"/>
      <c r="V695" s="16"/>
      <c r="W695" s="16"/>
      <c r="X695" s="54"/>
      <c r="Z695" s="14"/>
      <c r="AA695" s="16"/>
      <c r="AB695" s="16"/>
      <c r="AC695" s="16"/>
      <c r="AD695" s="16"/>
      <c r="AE695" s="66"/>
      <c r="AF695" s="54"/>
      <c r="AN695" s="54"/>
      <c r="AP695" s="16"/>
      <c r="AQ695" s="16"/>
      <c r="AR695" s="16"/>
      <c r="AS695" s="16"/>
      <c r="AU695" s="54"/>
    </row>
    <row r="696">
      <c r="B696" s="16"/>
      <c r="C696" s="16"/>
      <c r="D696" s="16"/>
      <c r="E696" s="16"/>
      <c r="F696" s="16"/>
      <c r="G696" s="16"/>
      <c r="Q696" s="54"/>
      <c r="R696" s="8"/>
      <c r="S696" s="14"/>
      <c r="T696" s="16"/>
      <c r="U696" s="16"/>
      <c r="V696" s="16"/>
      <c r="W696" s="16"/>
      <c r="X696" s="54"/>
      <c r="Z696" s="14"/>
      <c r="AA696" s="16"/>
      <c r="AB696" s="16"/>
      <c r="AC696" s="16"/>
      <c r="AD696" s="16"/>
      <c r="AE696" s="66"/>
      <c r="AF696" s="54"/>
      <c r="AN696" s="54"/>
      <c r="AP696" s="16"/>
      <c r="AQ696" s="16"/>
      <c r="AR696" s="16"/>
      <c r="AS696" s="16"/>
      <c r="AU696" s="54"/>
    </row>
    <row r="697">
      <c r="B697" s="16"/>
      <c r="C697" s="16"/>
      <c r="D697" s="16"/>
      <c r="E697" s="16"/>
      <c r="F697" s="16"/>
      <c r="G697" s="16"/>
      <c r="Q697" s="54"/>
      <c r="R697" s="8"/>
      <c r="S697" s="14"/>
      <c r="T697" s="16"/>
      <c r="U697" s="16"/>
      <c r="V697" s="16"/>
      <c r="W697" s="16"/>
      <c r="X697" s="54"/>
      <c r="Z697" s="14"/>
      <c r="AA697" s="16"/>
      <c r="AB697" s="16"/>
      <c r="AC697" s="16"/>
      <c r="AD697" s="16"/>
      <c r="AE697" s="66"/>
      <c r="AF697" s="54"/>
      <c r="AN697" s="54"/>
      <c r="AP697" s="16"/>
      <c r="AQ697" s="16"/>
      <c r="AR697" s="16"/>
      <c r="AS697" s="16"/>
      <c r="AU697" s="54"/>
    </row>
    <row r="698">
      <c r="B698" s="16"/>
      <c r="C698" s="16"/>
      <c r="D698" s="16"/>
      <c r="E698" s="16"/>
      <c r="F698" s="16"/>
      <c r="G698" s="16"/>
      <c r="Q698" s="54"/>
      <c r="R698" s="8"/>
      <c r="S698" s="14"/>
      <c r="T698" s="16"/>
      <c r="U698" s="16"/>
      <c r="V698" s="16"/>
      <c r="W698" s="16"/>
      <c r="X698" s="54"/>
      <c r="Z698" s="14"/>
      <c r="AA698" s="16"/>
      <c r="AB698" s="16"/>
      <c r="AC698" s="16"/>
      <c r="AD698" s="16"/>
      <c r="AE698" s="66"/>
      <c r="AF698" s="54"/>
      <c r="AN698" s="54"/>
      <c r="AP698" s="16"/>
      <c r="AQ698" s="16"/>
      <c r="AR698" s="16"/>
      <c r="AS698" s="16"/>
      <c r="AU698" s="54"/>
    </row>
    <row r="699">
      <c r="B699" s="16"/>
      <c r="C699" s="16"/>
      <c r="D699" s="16"/>
      <c r="E699" s="16"/>
      <c r="F699" s="16"/>
      <c r="G699" s="16"/>
      <c r="Q699" s="54"/>
      <c r="R699" s="8"/>
      <c r="S699" s="14"/>
      <c r="T699" s="16"/>
      <c r="U699" s="16"/>
      <c r="V699" s="16"/>
      <c r="W699" s="16"/>
      <c r="X699" s="54"/>
      <c r="Z699" s="14"/>
      <c r="AA699" s="16"/>
      <c r="AB699" s="16"/>
      <c r="AC699" s="16"/>
      <c r="AD699" s="16"/>
      <c r="AE699" s="66"/>
      <c r="AF699" s="54"/>
      <c r="AN699" s="54"/>
      <c r="AP699" s="16"/>
      <c r="AQ699" s="16"/>
      <c r="AR699" s="16"/>
      <c r="AS699" s="16"/>
      <c r="AU699" s="54"/>
    </row>
    <row r="700">
      <c r="B700" s="16"/>
      <c r="C700" s="16"/>
      <c r="D700" s="16"/>
      <c r="E700" s="16"/>
      <c r="F700" s="16"/>
      <c r="G700" s="16"/>
      <c r="Q700" s="54"/>
      <c r="R700" s="8"/>
      <c r="S700" s="14"/>
      <c r="T700" s="16"/>
      <c r="U700" s="16"/>
      <c r="V700" s="16"/>
      <c r="W700" s="16"/>
      <c r="X700" s="54"/>
      <c r="Z700" s="14"/>
      <c r="AA700" s="16"/>
      <c r="AB700" s="16"/>
      <c r="AC700" s="16"/>
      <c r="AD700" s="16"/>
      <c r="AE700" s="66"/>
      <c r="AF700" s="54"/>
      <c r="AN700" s="54"/>
      <c r="AP700" s="16"/>
      <c r="AQ700" s="16"/>
      <c r="AR700" s="16"/>
      <c r="AS700" s="16"/>
      <c r="AU700" s="54"/>
    </row>
    <row r="701">
      <c r="B701" s="16"/>
      <c r="C701" s="16"/>
      <c r="D701" s="16"/>
      <c r="E701" s="16"/>
      <c r="F701" s="16"/>
      <c r="G701" s="16"/>
      <c r="Q701" s="54"/>
      <c r="R701" s="8"/>
      <c r="S701" s="14"/>
      <c r="T701" s="16"/>
      <c r="U701" s="16"/>
      <c r="V701" s="16"/>
      <c r="W701" s="16"/>
      <c r="X701" s="54"/>
      <c r="Z701" s="14"/>
      <c r="AA701" s="16"/>
      <c r="AB701" s="16"/>
      <c r="AC701" s="16"/>
      <c r="AD701" s="16"/>
      <c r="AE701" s="66"/>
      <c r="AF701" s="54"/>
      <c r="AN701" s="54"/>
      <c r="AP701" s="16"/>
      <c r="AQ701" s="16"/>
      <c r="AR701" s="16"/>
      <c r="AS701" s="16"/>
      <c r="AU701" s="54"/>
    </row>
    <row r="702">
      <c r="B702" s="16"/>
      <c r="C702" s="16"/>
      <c r="D702" s="16"/>
      <c r="E702" s="16"/>
      <c r="F702" s="16"/>
      <c r="G702" s="16"/>
      <c r="Q702" s="54"/>
      <c r="R702" s="8"/>
      <c r="S702" s="14"/>
      <c r="T702" s="16"/>
      <c r="U702" s="16"/>
      <c r="V702" s="16"/>
      <c r="W702" s="16"/>
      <c r="X702" s="54"/>
      <c r="Z702" s="14"/>
      <c r="AA702" s="16"/>
      <c r="AB702" s="16"/>
      <c r="AC702" s="16"/>
      <c r="AD702" s="16"/>
      <c r="AE702" s="66"/>
      <c r="AF702" s="54"/>
      <c r="AN702" s="54"/>
      <c r="AP702" s="16"/>
      <c r="AQ702" s="16"/>
      <c r="AR702" s="16"/>
      <c r="AS702" s="16"/>
      <c r="AU702" s="54"/>
    </row>
    <row r="703">
      <c r="B703" s="16"/>
      <c r="C703" s="16"/>
      <c r="D703" s="16"/>
      <c r="E703" s="16"/>
      <c r="F703" s="16"/>
      <c r="G703" s="16"/>
      <c r="Q703" s="54"/>
      <c r="R703" s="8"/>
      <c r="S703" s="14"/>
      <c r="T703" s="16"/>
      <c r="U703" s="16"/>
      <c r="V703" s="16"/>
      <c r="W703" s="16"/>
      <c r="X703" s="54"/>
      <c r="Z703" s="14"/>
      <c r="AA703" s="16"/>
      <c r="AB703" s="16"/>
      <c r="AC703" s="16"/>
      <c r="AD703" s="16"/>
      <c r="AE703" s="66"/>
      <c r="AF703" s="54"/>
      <c r="AN703" s="54"/>
      <c r="AP703" s="16"/>
      <c r="AQ703" s="16"/>
      <c r="AR703" s="16"/>
      <c r="AS703" s="16"/>
      <c r="AU703" s="54"/>
    </row>
    <row r="704">
      <c r="B704" s="16"/>
      <c r="C704" s="16"/>
      <c r="D704" s="16"/>
      <c r="E704" s="16"/>
      <c r="F704" s="16"/>
      <c r="G704" s="16"/>
      <c r="Q704" s="54"/>
      <c r="R704" s="8"/>
      <c r="S704" s="14"/>
      <c r="T704" s="16"/>
      <c r="U704" s="16"/>
      <c r="V704" s="16"/>
      <c r="W704" s="16"/>
      <c r="X704" s="54"/>
      <c r="Z704" s="14"/>
      <c r="AA704" s="16"/>
      <c r="AB704" s="16"/>
      <c r="AC704" s="16"/>
      <c r="AD704" s="16"/>
      <c r="AE704" s="66"/>
      <c r="AF704" s="54"/>
      <c r="AN704" s="54"/>
      <c r="AP704" s="16"/>
      <c r="AQ704" s="16"/>
      <c r="AR704" s="16"/>
      <c r="AS704" s="16"/>
      <c r="AU704" s="54"/>
    </row>
    <row r="705">
      <c r="B705" s="16"/>
      <c r="C705" s="16"/>
      <c r="D705" s="16"/>
      <c r="E705" s="16"/>
      <c r="F705" s="16"/>
      <c r="G705" s="16"/>
      <c r="Q705" s="54"/>
      <c r="R705" s="8"/>
      <c r="S705" s="14"/>
      <c r="T705" s="16"/>
      <c r="U705" s="16"/>
      <c r="V705" s="16"/>
      <c r="W705" s="16"/>
      <c r="X705" s="54"/>
      <c r="Z705" s="14"/>
      <c r="AA705" s="16"/>
      <c r="AB705" s="16"/>
      <c r="AC705" s="16"/>
      <c r="AD705" s="16"/>
      <c r="AE705" s="66"/>
      <c r="AF705" s="54"/>
      <c r="AN705" s="54"/>
      <c r="AP705" s="16"/>
      <c r="AQ705" s="16"/>
      <c r="AR705" s="16"/>
      <c r="AS705" s="16"/>
      <c r="AU705" s="54"/>
    </row>
    <row r="706">
      <c r="B706" s="16"/>
      <c r="C706" s="16"/>
      <c r="D706" s="16"/>
      <c r="E706" s="16"/>
      <c r="F706" s="16"/>
      <c r="G706" s="16"/>
      <c r="Q706" s="54"/>
      <c r="R706" s="8"/>
      <c r="S706" s="14"/>
      <c r="T706" s="16"/>
      <c r="U706" s="16"/>
      <c r="V706" s="16"/>
      <c r="W706" s="16"/>
      <c r="X706" s="54"/>
      <c r="Z706" s="14"/>
      <c r="AA706" s="16"/>
      <c r="AB706" s="16"/>
      <c r="AC706" s="16"/>
      <c r="AD706" s="16"/>
      <c r="AE706" s="66"/>
      <c r="AF706" s="54"/>
      <c r="AN706" s="54"/>
      <c r="AP706" s="16"/>
      <c r="AQ706" s="16"/>
      <c r="AR706" s="16"/>
      <c r="AS706" s="16"/>
      <c r="AU706" s="54"/>
    </row>
    <row r="707">
      <c r="B707" s="16"/>
      <c r="C707" s="16"/>
      <c r="D707" s="16"/>
      <c r="E707" s="16"/>
      <c r="F707" s="16"/>
      <c r="G707" s="16"/>
      <c r="Q707" s="54"/>
      <c r="R707" s="8"/>
      <c r="S707" s="14"/>
      <c r="T707" s="16"/>
      <c r="U707" s="16"/>
      <c r="V707" s="16"/>
      <c r="W707" s="16"/>
      <c r="X707" s="54"/>
      <c r="Z707" s="14"/>
      <c r="AA707" s="16"/>
      <c r="AB707" s="16"/>
      <c r="AC707" s="16"/>
      <c r="AD707" s="16"/>
      <c r="AE707" s="66"/>
      <c r="AF707" s="54"/>
      <c r="AN707" s="54"/>
      <c r="AP707" s="16"/>
      <c r="AQ707" s="16"/>
      <c r="AR707" s="16"/>
      <c r="AS707" s="16"/>
      <c r="AU707" s="54"/>
    </row>
    <row r="708">
      <c r="B708" s="16"/>
      <c r="C708" s="16"/>
      <c r="D708" s="16"/>
      <c r="E708" s="16"/>
      <c r="F708" s="16"/>
      <c r="G708" s="16"/>
      <c r="Q708" s="54"/>
      <c r="R708" s="8"/>
      <c r="S708" s="14"/>
      <c r="T708" s="16"/>
      <c r="U708" s="16"/>
      <c r="V708" s="16"/>
      <c r="W708" s="16"/>
      <c r="X708" s="54"/>
      <c r="Z708" s="14"/>
      <c r="AA708" s="16"/>
      <c r="AB708" s="16"/>
      <c r="AC708" s="16"/>
      <c r="AD708" s="16"/>
      <c r="AE708" s="66"/>
      <c r="AF708" s="54"/>
      <c r="AN708" s="54"/>
      <c r="AP708" s="16"/>
      <c r="AQ708" s="16"/>
      <c r="AR708" s="16"/>
      <c r="AS708" s="16"/>
      <c r="AU708" s="54"/>
    </row>
    <row r="709">
      <c r="B709" s="16"/>
      <c r="C709" s="16"/>
      <c r="D709" s="16"/>
      <c r="E709" s="16"/>
      <c r="F709" s="16"/>
      <c r="G709" s="16"/>
      <c r="Q709" s="54"/>
      <c r="R709" s="8"/>
      <c r="S709" s="14"/>
      <c r="T709" s="16"/>
      <c r="U709" s="16"/>
      <c r="V709" s="16"/>
      <c r="W709" s="16"/>
      <c r="X709" s="54"/>
      <c r="Z709" s="14"/>
      <c r="AA709" s="16"/>
      <c r="AB709" s="16"/>
      <c r="AC709" s="16"/>
      <c r="AD709" s="16"/>
      <c r="AE709" s="66"/>
      <c r="AF709" s="54"/>
      <c r="AN709" s="54"/>
      <c r="AP709" s="16"/>
      <c r="AQ709" s="16"/>
      <c r="AR709" s="16"/>
      <c r="AS709" s="16"/>
      <c r="AU709" s="54"/>
    </row>
    <row r="710">
      <c r="B710" s="16"/>
      <c r="C710" s="16"/>
      <c r="D710" s="16"/>
      <c r="E710" s="16"/>
      <c r="F710" s="16"/>
      <c r="G710" s="16"/>
      <c r="Q710" s="54"/>
      <c r="R710" s="8"/>
      <c r="S710" s="14"/>
      <c r="T710" s="16"/>
      <c r="U710" s="16"/>
      <c r="V710" s="16"/>
      <c r="W710" s="16"/>
      <c r="X710" s="54"/>
      <c r="Z710" s="14"/>
      <c r="AA710" s="16"/>
      <c r="AB710" s="16"/>
      <c r="AC710" s="16"/>
      <c r="AD710" s="16"/>
      <c r="AE710" s="66"/>
      <c r="AF710" s="54"/>
      <c r="AN710" s="54"/>
      <c r="AP710" s="16"/>
      <c r="AQ710" s="16"/>
      <c r="AR710" s="16"/>
      <c r="AS710" s="16"/>
      <c r="AU710" s="54"/>
    </row>
    <row r="711">
      <c r="B711" s="16"/>
      <c r="C711" s="16"/>
      <c r="D711" s="16"/>
      <c r="E711" s="16"/>
      <c r="F711" s="16"/>
      <c r="G711" s="16"/>
      <c r="Q711" s="54"/>
      <c r="R711" s="8"/>
      <c r="S711" s="14"/>
      <c r="T711" s="16"/>
      <c r="U711" s="16"/>
      <c r="V711" s="16"/>
      <c r="W711" s="16"/>
      <c r="X711" s="54"/>
      <c r="Z711" s="14"/>
      <c r="AA711" s="16"/>
      <c r="AB711" s="16"/>
      <c r="AC711" s="16"/>
      <c r="AD711" s="16"/>
      <c r="AE711" s="66"/>
      <c r="AF711" s="54"/>
      <c r="AN711" s="54"/>
      <c r="AP711" s="16"/>
      <c r="AQ711" s="16"/>
      <c r="AR711" s="16"/>
      <c r="AS711" s="16"/>
      <c r="AU711" s="54"/>
    </row>
    <row r="712">
      <c r="B712" s="16"/>
      <c r="C712" s="16"/>
      <c r="D712" s="16"/>
      <c r="E712" s="16"/>
      <c r="F712" s="16"/>
      <c r="G712" s="16"/>
      <c r="Q712" s="54"/>
      <c r="R712" s="8"/>
      <c r="S712" s="14"/>
      <c r="T712" s="16"/>
      <c r="U712" s="16"/>
      <c r="V712" s="16"/>
      <c r="W712" s="16"/>
      <c r="X712" s="54"/>
      <c r="Z712" s="14"/>
      <c r="AA712" s="16"/>
      <c r="AB712" s="16"/>
      <c r="AC712" s="16"/>
      <c r="AD712" s="16"/>
      <c r="AE712" s="66"/>
      <c r="AF712" s="54"/>
      <c r="AN712" s="54"/>
      <c r="AP712" s="16"/>
      <c r="AQ712" s="16"/>
      <c r="AR712" s="16"/>
      <c r="AS712" s="16"/>
      <c r="AU712" s="54"/>
    </row>
    <row r="713">
      <c r="B713" s="16"/>
      <c r="C713" s="16"/>
      <c r="D713" s="16"/>
      <c r="E713" s="16"/>
      <c r="F713" s="16"/>
      <c r="G713" s="16"/>
      <c r="Q713" s="54"/>
      <c r="R713" s="8"/>
      <c r="S713" s="14"/>
      <c r="T713" s="16"/>
      <c r="U713" s="16"/>
      <c r="V713" s="16"/>
      <c r="W713" s="16"/>
      <c r="X713" s="54"/>
      <c r="Z713" s="14"/>
      <c r="AA713" s="16"/>
      <c r="AB713" s="16"/>
      <c r="AC713" s="16"/>
      <c r="AD713" s="16"/>
      <c r="AE713" s="66"/>
      <c r="AF713" s="54"/>
      <c r="AN713" s="54"/>
      <c r="AP713" s="16"/>
      <c r="AQ713" s="16"/>
      <c r="AR713" s="16"/>
      <c r="AS713" s="16"/>
      <c r="AU713" s="54"/>
    </row>
    <row r="714">
      <c r="B714" s="16"/>
      <c r="C714" s="16"/>
      <c r="D714" s="16"/>
      <c r="E714" s="16"/>
      <c r="F714" s="16"/>
      <c r="G714" s="16"/>
      <c r="Q714" s="54"/>
      <c r="R714" s="8"/>
      <c r="S714" s="14"/>
      <c r="T714" s="16"/>
      <c r="U714" s="16"/>
      <c r="V714" s="16"/>
      <c r="W714" s="16"/>
      <c r="X714" s="54"/>
      <c r="Z714" s="14"/>
      <c r="AA714" s="16"/>
      <c r="AB714" s="16"/>
      <c r="AC714" s="16"/>
      <c r="AD714" s="16"/>
      <c r="AE714" s="66"/>
      <c r="AF714" s="54"/>
      <c r="AN714" s="54"/>
      <c r="AP714" s="16"/>
      <c r="AQ714" s="16"/>
      <c r="AR714" s="16"/>
      <c r="AS714" s="16"/>
      <c r="AU714" s="54"/>
    </row>
    <row r="715">
      <c r="B715" s="16"/>
      <c r="C715" s="16"/>
      <c r="D715" s="16"/>
      <c r="E715" s="16"/>
      <c r="F715" s="16"/>
      <c r="G715" s="16"/>
      <c r="Q715" s="54"/>
      <c r="R715" s="8"/>
      <c r="S715" s="14"/>
      <c r="T715" s="16"/>
      <c r="U715" s="16"/>
      <c r="V715" s="16"/>
      <c r="W715" s="16"/>
      <c r="X715" s="54"/>
      <c r="Z715" s="14"/>
      <c r="AA715" s="16"/>
      <c r="AB715" s="16"/>
      <c r="AC715" s="16"/>
      <c r="AD715" s="16"/>
      <c r="AE715" s="66"/>
      <c r="AF715" s="54"/>
      <c r="AN715" s="54"/>
      <c r="AP715" s="16"/>
      <c r="AQ715" s="16"/>
      <c r="AR715" s="16"/>
      <c r="AS715" s="16"/>
      <c r="AU715" s="54"/>
    </row>
    <row r="716">
      <c r="B716" s="16"/>
      <c r="C716" s="16"/>
      <c r="D716" s="16"/>
      <c r="E716" s="16"/>
      <c r="F716" s="16"/>
      <c r="G716" s="16"/>
      <c r="Q716" s="54"/>
      <c r="R716" s="8"/>
      <c r="S716" s="14"/>
      <c r="T716" s="16"/>
      <c r="U716" s="16"/>
      <c r="V716" s="16"/>
      <c r="W716" s="16"/>
      <c r="X716" s="54"/>
      <c r="Z716" s="14"/>
      <c r="AA716" s="16"/>
      <c r="AB716" s="16"/>
      <c r="AC716" s="16"/>
      <c r="AD716" s="16"/>
      <c r="AE716" s="66"/>
      <c r="AF716" s="54"/>
      <c r="AN716" s="54"/>
      <c r="AP716" s="16"/>
      <c r="AQ716" s="16"/>
      <c r="AR716" s="16"/>
      <c r="AS716" s="16"/>
      <c r="AU716" s="54"/>
    </row>
    <row r="717">
      <c r="B717" s="16"/>
      <c r="C717" s="16"/>
      <c r="D717" s="16"/>
      <c r="E717" s="16"/>
      <c r="F717" s="16"/>
      <c r="G717" s="16"/>
      <c r="Q717" s="54"/>
      <c r="R717" s="8"/>
      <c r="S717" s="14"/>
      <c r="T717" s="16"/>
      <c r="U717" s="16"/>
      <c r="V717" s="16"/>
      <c r="W717" s="16"/>
      <c r="X717" s="54"/>
      <c r="Z717" s="14"/>
      <c r="AA717" s="16"/>
      <c r="AB717" s="16"/>
      <c r="AC717" s="16"/>
      <c r="AD717" s="16"/>
      <c r="AE717" s="66"/>
      <c r="AF717" s="54"/>
      <c r="AN717" s="54"/>
      <c r="AP717" s="16"/>
      <c r="AQ717" s="16"/>
      <c r="AR717" s="16"/>
      <c r="AS717" s="16"/>
      <c r="AU717" s="54"/>
    </row>
    <row r="718">
      <c r="B718" s="16"/>
      <c r="C718" s="16"/>
      <c r="D718" s="16"/>
      <c r="E718" s="16"/>
      <c r="F718" s="16"/>
      <c r="G718" s="16"/>
      <c r="Q718" s="54"/>
      <c r="R718" s="8"/>
      <c r="S718" s="14"/>
      <c r="T718" s="16"/>
      <c r="U718" s="16"/>
      <c r="V718" s="16"/>
      <c r="W718" s="16"/>
      <c r="X718" s="54"/>
      <c r="Z718" s="14"/>
      <c r="AA718" s="16"/>
      <c r="AB718" s="16"/>
      <c r="AC718" s="16"/>
      <c r="AD718" s="16"/>
      <c r="AE718" s="66"/>
      <c r="AF718" s="54"/>
      <c r="AN718" s="54"/>
      <c r="AP718" s="16"/>
      <c r="AQ718" s="16"/>
      <c r="AR718" s="16"/>
      <c r="AS718" s="16"/>
      <c r="AU718" s="54"/>
    </row>
    <row r="719">
      <c r="B719" s="16"/>
      <c r="C719" s="16"/>
      <c r="D719" s="16"/>
      <c r="E719" s="16"/>
      <c r="F719" s="16"/>
      <c r="G719" s="16"/>
      <c r="Q719" s="54"/>
      <c r="R719" s="8"/>
      <c r="S719" s="14"/>
      <c r="T719" s="16"/>
      <c r="U719" s="16"/>
      <c r="V719" s="16"/>
      <c r="W719" s="16"/>
      <c r="X719" s="54"/>
      <c r="Z719" s="14"/>
      <c r="AA719" s="16"/>
      <c r="AB719" s="16"/>
      <c r="AC719" s="16"/>
      <c r="AD719" s="16"/>
      <c r="AE719" s="66"/>
      <c r="AF719" s="54"/>
      <c r="AN719" s="54"/>
      <c r="AP719" s="16"/>
      <c r="AQ719" s="16"/>
      <c r="AR719" s="16"/>
      <c r="AS719" s="16"/>
      <c r="AU719" s="54"/>
    </row>
    <row r="720">
      <c r="B720" s="16"/>
      <c r="C720" s="16"/>
      <c r="D720" s="16"/>
      <c r="E720" s="16"/>
      <c r="F720" s="16"/>
      <c r="G720" s="16"/>
      <c r="Q720" s="54"/>
      <c r="R720" s="8"/>
      <c r="S720" s="14"/>
      <c r="T720" s="16"/>
      <c r="U720" s="16"/>
      <c r="V720" s="16"/>
      <c r="W720" s="16"/>
      <c r="X720" s="54"/>
      <c r="Z720" s="14"/>
      <c r="AA720" s="16"/>
      <c r="AB720" s="16"/>
      <c r="AC720" s="16"/>
      <c r="AD720" s="16"/>
      <c r="AE720" s="66"/>
      <c r="AF720" s="54"/>
      <c r="AN720" s="54"/>
      <c r="AP720" s="16"/>
      <c r="AQ720" s="16"/>
      <c r="AR720" s="16"/>
      <c r="AS720" s="16"/>
      <c r="AU720" s="54"/>
    </row>
    <row r="721">
      <c r="B721" s="16"/>
      <c r="C721" s="16"/>
      <c r="D721" s="16"/>
      <c r="E721" s="16"/>
      <c r="F721" s="16"/>
      <c r="G721" s="16"/>
      <c r="Q721" s="54"/>
      <c r="R721" s="8"/>
      <c r="S721" s="14"/>
      <c r="T721" s="16"/>
      <c r="U721" s="16"/>
      <c r="V721" s="16"/>
      <c r="W721" s="16"/>
      <c r="X721" s="54"/>
      <c r="Z721" s="14"/>
      <c r="AA721" s="16"/>
      <c r="AB721" s="16"/>
      <c r="AC721" s="16"/>
      <c r="AD721" s="16"/>
      <c r="AE721" s="66"/>
      <c r="AF721" s="54"/>
      <c r="AN721" s="54"/>
      <c r="AP721" s="16"/>
      <c r="AQ721" s="16"/>
      <c r="AR721" s="16"/>
      <c r="AS721" s="16"/>
      <c r="AU721" s="54"/>
    </row>
    <row r="722">
      <c r="B722" s="16"/>
      <c r="C722" s="16"/>
      <c r="D722" s="16"/>
      <c r="E722" s="16"/>
      <c r="F722" s="16"/>
      <c r="G722" s="16"/>
      <c r="Q722" s="54"/>
      <c r="R722" s="8"/>
      <c r="S722" s="14"/>
      <c r="T722" s="16"/>
      <c r="U722" s="16"/>
      <c r="V722" s="16"/>
      <c r="W722" s="16"/>
      <c r="X722" s="54"/>
      <c r="Z722" s="14"/>
      <c r="AA722" s="16"/>
      <c r="AB722" s="16"/>
      <c r="AC722" s="16"/>
      <c r="AD722" s="16"/>
      <c r="AE722" s="66"/>
      <c r="AF722" s="54"/>
      <c r="AN722" s="54"/>
      <c r="AP722" s="16"/>
      <c r="AQ722" s="16"/>
      <c r="AR722" s="16"/>
      <c r="AS722" s="16"/>
      <c r="AU722" s="54"/>
    </row>
    <row r="723">
      <c r="B723" s="16"/>
      <c r="C723" s="16"/>
      <c r="D723" s="16"/>
      <c r="E723" s="16"/>
      <c r="F723" s="16"/>
      <c r="G723" s="16"/>
      <c r="Q723" s="54"/>
      <c r="R723" s="8"/>
      <c r="S723" s="14"/>
      <c r="T723" s="16"/>
      <c r="U723" s="16"/>
      <c r="V723" s="16"/>
      <c r="W723" s="16"/>
      <c r="X723" s="54"/>
      <c r="Z723" s="14"/>
      <c r="AA723" s="16"/>
      <c r="AB723" s="16"/>
      <c r="AC723" s="16"/>
      <c r="AD723" s="16"/>
      <c r="AE723" s="66"/>
      <c r="AF723" s="54"/>
      <c r="AN723" s="54"/>
      <c r="AP723" s="16"/>
      <c r="AQ723" s="16"/>
      <c r="AR723" s="16"/>
      <c r="AS723" s="16"/>
      <c r="AU723" s="54"/>
    </row>
    <row r="724">
      <c r="B724" s="16"/>
      <c r="C724" s="16"/>
      <c r="D724" s="16"/>
      <c r="E724" s="16"/>
      <c r="F724" s="16"/>
      <c r="G724" s="16"/>
      <c r="Q724" s="54"/>
      <c r="R724" s="8"/>
      <c r="S724" s="14"/>
      <c r="T724" s="16"/>
      <c r="U724" s="16"/>
      <c r="V724" s="16"/>
      <c r="W724" s="16"/>
      <c r="X724" s="54"/>
      <c r="Z724" s="14"/>
      <c r="AA724" s="16"/>
      <c r="AB724" s="16"/>
      <c r="AC724" s="16"/>
      <c r="AD724" s="16"/>
      <c r="AE724" s="66"/>
      <c r="AF724" s="54"/>
      <c r="AN724" s="54"/>
      <c r="AP724" s="16"/>
      <c r="AQ724" s="16"/>
      <c r="AR724" s="16"/>
      <c r="AS724" s="16"/>
      <c r="AU724" s="54"/>
    </row>
    <row r="725">
      <c r="B725" s="16"/>
      <c r="C725" s="16"/>
      <c r="D725" s="16"/>
      <c r="E725" s="16"/>
      <c r="F725" s="16"/>
      <c r="G725" s="16"/>
      <c r="Q725" s="54"/>
      <c r="R725" s="8"/>
      <c r="S725" s="14"/>
      <c r="T725" s="16"/>
      <c r="U725" s="16"/>
      <c r="V725" s="16"/>
      <c r="W725" s="16"/>
      <c r="X725" s="54"/>
      <c r="Z725" s="14"/>
      <c r="AA725" s="16"/>
      <c r="AB725" s="16"/>
      <c r="AC725" s="16"/>
      <c r="AD725" s="16"/>
      <c r="AE725" s="66"/>
      <c r="AF725" s="54"/>
      <c r="AN725" s="54"/>
      <c r="AP725" s="16"/>
      <c r="AQ725" s="16"/>
      <c r="AR725" s="16"/>
      <c r="AS725" s="16"/>
      <c r="AU725" s="54"/>
    </row>
    <row r="726">
      <c r="B726" s="16"/>
      <c r="C726" s="16"/>
      <c r="D726" s="16"/>
      <c r="E726" s="16"/>
      <c r="F726" s="16"/>
      <c r="G726" s="16"/>
      <c r="Q726" s="54"/>
      <c r="R726" s="8"/>
      <c r="S726" s="14"/>
      <c r="T726" s="16"/>
      <c r="U726" s="16"/>
      <c r="V726" s="16"/>
      <c r="W726" s="16"/>
      <c r="X726" s="54"/>
      <c r="Z726" s="14"/>
      <c r="AA726" s="16"/>
      <c r="AB726" s="16"/>
      <c r="AC726" s="16"/>
      <c r="AD726" s="16"/>
      <c r="AE726" s="66"/>
      <c r="AF726" s="54"/>
      <c r="AN726" s="54"/>
      <c r="AP726" s="16"/>
      <c r="AQ726" s="16"/>
      <c r="AR726" s="16"/>
      <c r="AS726" s="16"/>
      <c r="AU726" s="54"/>
    </row>
    <row r="727">
      <c r="B727" s="16"/>
      <c r="C727" s="16"/>
      <c r="D727" s="16"/>
      <c r="E727" s="16"/>
      <c r="F727" s="16"/>
      <c r="G727" s="16"/>
      <c r="Q727" s="54"/>
      <c r="R727" s="8"/>
      <c r="S727" s="14"/>
      <c r="T727" s="16"/>
      <c r="U727" s="16"/>
      <c r="V727" s="16"/>
      <c r="W727" s="16"/>
      <c r="X727" s="54"/>
      <c r="Z727" s="14"/>
      <c r="AA727" s="16"/>
      <c r="AB727" s="16"/>
      <c r="AC727" s="16"/>
      <c r="AD727" s="16"/>
      <c r="AE727" s="66"/>
      <c r="AF727" s="54"/>
      <c r="AN727" s="54"/>
      <c r="AP727" s="16"/>
      <c r="AQ727" s="16"/>
      <c r="AR727" s="16"/>
      <c r="AS727" s="16"/>
      <c r="AU727" s="54"/>
    </row>
    <row r="728">
      <c r="B728" s="16"/>
      <c r="C728" s="16"/>
      <c r="D728" s="16"/>
      <c r="E728" s="16"/>
      <c r="F728" s="16"/>
      <c r="G728" s="16"/>
      <c r="Q728" s="54"/>
      <c r="R728" s="8"/>
      <c r="S728" s="14"/>
      <c r="T728" s="16"/>
      <c r="U728" s="16"/>
      <c r="V728" s="16"/>
      <c r="W728" s="16"/>
      <c r="X728" s="54"/>
      <c r="Z728" s="14"/>
      <c r="AA728" s="16"/>
      <c r="AB728" s="16"/>
      <c r="AC728" s="16"/>
      <c r="AD728" s="16"/>
      <c r="AE728" s="66"/>
      <c r="AF728" s="54"/>
      <c r="AN728" s="54"/>
      <c r="AP728" s="16"/>
      <c r="AQ728" s="16"/>
      <c r="AR728" s="16"/>
      <c r="AS728" s="16"/>
      <c r="AU728" s="54"/>
    </row>
    <row r="729">
      <c r="B729" s="16"/>
      <c r="C729" s="16"/>
      <c r="D729" s="16"/>
      <c r="E729" s="16"/>
      <c r="F729" s="16"/>
      <c r="G729" s="16"/>
      <c r="Q729" s="54"/>
      <c r="R729" s="8"/>
      <c r="S729" s="14"/>
      <c r="T729" s="16"/>
      <c r="U729" s="16"/>
      <c r="V729" s="16"/>
      <c r="W729" s="16"/>
      <c r="X729" s="54"/>
      <c r="Z729" s="14"/>
      <c r="AA729" s="16"/>
      <c r="AB729" s="16"/>
      <c r="AC729" s="16"/>
      <c r="AD729" s="16"/>
      <c r="AE729" s="66"/>
      <c r="AF729" s="54"/>
      <c r="AN729" s="54"/>
      <c r="AP729" s="16"/>
      <c r="AQ729" s="16"/>
      <c r="AR729" s="16"/>
      <c r="AS729" s="16"/>
      <c r="AU729" s="54"/>
    </row>
    <row r="730">
      <c r="B730" s="16"/>
      <c r="C730" s="16"/>
      <c r="D730" s="16"/>
      <c r="E730" s="16"/>
      <c r="F730" s="16"/>
      <c r="G730" s="16"/>
      <c r="Q730" s="54"/>
      <c r="R730" s="8"/>
      <c r="S730" s="14"/>
      <c r="T730" s="16"/>
      <c r="U730" s="16"/>
      <c r="V730" s="16"/>
      <c r="W730" s="16"/>
      <c r="X730" s="54"/>
      <c r="Z730" s="14"/>
      <c r="AA730" s="16"/>
      <c r="AB730" s="16"/>
      <c r="AC730" s="16"/>
      <c r="AD730" s="16"/>
      <c r="AE730" s="66"/>
      <c r="AF730" s="54"/>
      <c r="AN730" s="54"/>
      <c r="AP730" s="16"/>
      <c r="AQ730" s="16"/>
      <c r="AR730" s="16"/>
      <c r="AS730" s="16"/>
      <c r="AU730" s="54"/>
    </row>
    <row r="731">
      <c r="B731" s="16"/>
      <c r="C731" s="16"/>
      <c r="D731" s="16"/>
      <c r="E731" s="16"/>
      <c r="F731" s="16"/>
      <c r="G731" s="16"/>
      <c r="Q731" s="54"/>
      <c r="R731" s="8"/>
      <c r="S731" s="14"/>
      <c r="T731" s="16"/>
      <c r="U731" s="16"/>
      <c r="V731" s="16"/>
      <c r="W731" s="16"/>
      <c r="X731" s="54"/>
      <c r="Z731" s="14"/>
      <c r="AA731" s="16"/>
      <c r="AB731" s="16"/>
      <c r="AC731" s="16"/>
      <c r="AD731" s="16"/>
      <c r="AE731" s="66"/>
      <c r="AF731" s="54"/>
      <c r="AN731" s="54"/>
      <c r="AP731" s="16"/>
      <c r="AQ731" s="16"/>
      <c r="AR731" s="16"/>
      <c r="AS731" s="16"/>
      <c r="AU731" s="54"/>
    </row>
    <row r="732">
      <c r="B732" s="16"/>
      <c r="C732" s="16"/>
      <c r="D732" s="16"/>
      <c r="E732" s="16"/>
      <c r="F732" s="16"/>
      <c r="G732" s="16"/>
      <c r="Q732" s="54"/>
      <c r="R732" s="8"/>
      <c r="S732" s="14"/>
      <c r="T732" s="16"/>
      <c r="U732" s="16"/>
      <c r="V732" s="16"/>
      <c r="W732" s="16"/>
      <c r="X732" s="54"/>
      <c r="Z732" s="14"/>
      <c r="AA732" s="16"/>
      <c r="AB732" s="16"/>
      <c r="AC732" s="16"/>
      <c r="AD732" s="16"/>
      <c r="AE732" s="66"/>
      <c r="AF732" s="54"/>
      <c r="AN732" s="54"/>
      <c r="AP732" s="16"/>
      <c r="AQ732" s="16"/>
      <c r="AR732" s="16"/>
      <c r="AS732" s="16"/>
      <c r="AU732" s="54"/>
    </row>
    <row r="733">
      <c r="B733" s="16"/>
      <c r="C733" s="16"/>
      <c r="D733" s="16"/>
      <c r="E733" s="16"/>
      <c r="F733" s="16"/>
      <c r="G733" s="16"/>
      <c r="Q733" s="54"/>
      <c r="R733" s="8"/>
      <c r="S733" s="14"/>
      <c r="T733" s="16"/>
      <c r="U733" s="16"/>
      <c r="V733" s="16"/>
      <c r="W733" s="16"/>
      <c r="X733" s="54"/>
      <c r="Z733" s="14"/>
      <c r="AA733" s="16"/>
      <c r="AB733" s="16"/>
      <c r="AC733" s="16"/>
      <c r="AD733" s="16"/>
      <c r="AE733" s="66"/>
      <c r="AF733" s="54"/>
      <c r="AN733" s="54"/>
      <c r="AP733" s="16"/>
      <c r="AQ733" s="16"/>
      <c r="AR733" s="16"/>
      <c r="AS733" s="16"/>
      <c r="AU733" s="54"/>
    </row>
    <row r="734">
      <c r="B734" s="16"/>
      <c r="C734" s="16"/>
      <c r="D734" s="16"/>
      <c r="E734" s="16"/>
      <c r="F734" s="16"/>
      <c r="G734" s="16"/>
      <c r="Q734" s="54"/>
      <c r="R734" s="8"/>
      <c r="S734" s="14"/>
      <c r="T734" s="16"/>
      <c r="U734" s="16"/>
      <c r="V734" s="16"/>
      <c r="W734" s="16"/>
      <c r="X734" s="54"/>
      <c r="Z734" s="14"/>
      <c r="AA734" s="16"/>
      <c r="AB734" s="16"/>
      <c r="AC734" s="16"/>
      <c r="AD734" s="16"/>
      <c r="AE734" s="66"/>
      <c r="AF734" s="54"/>
      <c r="AN734" s="54"/>
      <c r="AP734" s="16"/>
      <c r="AQ734" s="16"/>
      <c r="AR734" s="16"/>
      <c r="AS734" s="16"/>
      <c r="AU734" s="54"/>
    </row>
    <row r="735">
      <c r="B735" s="16"/>
      <c r="C735" s="16"/>
      <c r="D735" s="16"/>
      <c r="E735" s="16"/>
      <c r="F735" s="16"/>
      <c r="G735" s="16"/>
      <c r="Q735" s="54"/>
      <c r="R735" s="8"/>
      <c r="S735" s="14"/>
      <c r="T735" s="16"/>
      <c r="U735" s="16"/>
      <c r="V735" s="16"/>
      <c r="W735" s="16"/>
      <c r="X735" s="54"/>
      <c r="Z735" s="14"/>
      <c r="AA735" s="16"/>
      <c r="AB735" s="16"/>
      <c r="AC735" s="16"/>
      <c r="AD735" s="16"/>
      <c r="AE735" s="66"/>
      <c r="AF735" s="54"/>
      <c r="AN735" s="54"/>
      <c r="AP735" s="16"/>
      <c r="AQ735" s="16"/>
      <c r="AR735" s="16"/>
      <c r="AS735" s="16"/>
      <c r="AU735" s="54"/>
    </row>
    <row r="736">
      <c r="B736" s="16"/>
      <c r="C736" s="16"/>
      <c r="D736" s="16"/>
      <c r="E736" s="16"/>
      <c r="F736" s="16"/>
      <c r="G736" s="16"/>
      <c r="Q736" s="54"/>
      <c r="R736" s="8"/>
      <c r="S736" s="14"/>
      <c r="T736" s="16"/>
      <c r="U736" s="16"/>
      <c r="V736" s="16"/>
      <c r="W736" s="16"/>
      <c r="X736" s="54"/>
      <c r="Z736" s="14"/>
      <c r="AA736" s="16"/>
      <c r="AB736" s="16"/>
      <c r="AC736" s="16"/>
      <c r="AD736" s="16"/>
      <c r="AE736" s="66"/>
      <c r="AF736" s="54"/>
      <c r="AN736" s="54"/>
      <c r="AP736" s="16"/>
      <c r="AQ736" s="16"/>
      <c r="AR736" s="16"/>
      <c r="AS736" s="16"/>
      <c r="AU736" s="54"/>
    </row>
    <row r="737">
      <c r="B737" s="16"/>
      <c r="C737" s="16"/>
      <c r="D737" s="16"/>
      <c r="E737" s="16"/>
      <c r="F737" s="16"/>
      <c r="G737" s="16"/>
      <c r="Q737" s="54"/>
      <c r="R737" s="8"/>
      <c r="S737" s="14"/>
      <c r="T737" s="16"/>
      <c r="U737" s="16"/>
      <c r="V737" s="16"/>
      <c r="W737" s="16"/>
      <c r="X737" s="54"/>
      <c r="Z737" s="14"/>
      <c r="AA737" s="16"/>
      <c r="AB737" s="16"/>
      <c r="AC737" s="16"/>
      <c r="AD737" s="16"/>
      <c r="AE737" s="66"/>
      <c r="AF737" s="54"/>
      <c r="AN737" s="54"/>
      <c r="AP737" s="16"/>
      <c r="AQ737" s="16"/>
      <c r="AR737" s="16"/>
      <c r="AS737" s="16"/>
      <c r="AU737" s="54"/>
    </row>
    <row r="738">
      <c r="B738" s="16"/>
      <c r="C738" s="16"/>
      <c r="D738" s="16"/>
      <c r="E738" s="16"/>
      <c r="F738" s="16"/>
      <c r="G738" s="16"/>
      <c r="Q738" s="54"/>
      <c r="R738" s="8"/>
      <c r="S738" s="14"/>
      <c r="T738" s="16"/>
      <c r="U738" s="16"/>
      <c r="V738" s="16"/>
      <c r="W738" s="16"/>
      <c r="X738" s="54"/>
      <c r="Z738" s="14"/>
      <c r="AA738" s="16"/>
      <c r="AB738" s="16"/>
      <c r="AC738" s="16"/>
      <c r="AD738" s="16"/>
      <c r="AE738" s="66"/>
      <c r="AF738" s="54"/>
      <c r="AN738" s="54"/>
      <c r="AP738" s="16"/>
      <c r="AQ738" s="16"/>
      <c r="AR738" s="16"/>
      <c r="AS738" s="16"/>
      <c r="AU738" s="54"/>
    </row>
    <row r="739">
      <c r="B739" s="16"/>
      <c r="C739" s="16"/>
      <c r="D739" s="16"/>
      <c r="E739" s="16"/>
      <c r="F739" s="16"/>
      <c r="G739" s="16"/>
      <c r="Q739" s="54"/>
      <c r="R739" s="8"/>
      <c r="S739" s="14"/>
      <c r="T739" s="16"/>
      <c r="U739" s="16"/>
      <c r="V739" s="16"/>
      <c r="W739" s="16"/>
      <c r="X739" s="54"/>
      <c r="Z739" s="14"/>
      <c r="AA739" s="16"/>
      <c r="AB739" s="16"/>
      <c r="AC739" s="16"/>
      <c r="AD739" s="16"/>
      <c r="AE739" s="66"/>
      <c r="AF739" s="54"/>
      <c r="AN739" s="54"/>
      <c r="AP739" s="16"/>
      <c r="AQ739" s="16"/>
      <c r="AR739" s="16"/>
      <c r="AS739" s="16"/>
      <c r="AU739" s="54"/>
    </row>
    <row r="740">
      <c r="B740" s="16"/>
      <c r="C740" s="16"/>
      <c r="D740" s="16"/>
      <c r="E740" s="16"/>
      <c r="F740" s="16"/>
      <c r="G740" s="16"/>
      <c r="Q740" s="54"/>
      <c r="R740" s="8"/>
      <c r="S740" s="14"/>
      <c r="T740" s="16"/>
      <c r="U740" s="16"/>
      <c r="V740" s="16"/>
      <c r="W740" s="16"/>
      <c r="X740" s="54"/>
      <c r="Z740" s="14"/>
      <c r="AA740" s="16"/>
      <c r="AB740" s="16"/>
      <c r="AC740" s="16"/>
      <c r="AD740" s="16"/>
      <c r="AE740" s="66"/>
      <c r="AF740" s="54"/>
      <c r="AN740" s="54"/>
      <c r="AP740" s="16"/>
      <c r="AQ740" s="16"/>
      <c r="AR740" s="16"/>
      <c r="AS740" s="16"/>
      <c r="AU740" s="54"/>
    </row>
    <row r="741">
      <c r="B741" s="16"/>
      <c r="C741" s="16"/>
      <c r="D741" s="16"/>
      <c r="E741" s="16"/>
      <c r="F741" s="16"/>
      <c r="G741" s="16"/>
      <c r="Q741" s="54"/>
      <c r="R741" s="8"/>
      <c r="S741" s="14"/>
      <c r="T741" s="16"/>
      <c r="U741" s="16"/>
      <c r="V741" s="16"/>
      <c r="W741" s="16"/>
      <c r="X741" s="54"/>
      <c r="Z741" s="14"/>
      <c r="AA741" s="16"/>
      <c r="AB741" s="16"/>
      <c r="AC741" s="16"/>
      <c r="AD741" s="16"/>
      <c r="AE741" s="66"/>
      <c r="AF741" s="54"/>
      <c r="AN741" s="54"/>
      <c r="AP741" s="16"/>
      <c r="AQ741" s="16"/>
      <c r="AR741" s="16"/>
      <c r="AS741" s="16"/>
      <c r="AU741" s="54"/>
    </row>
    <row r="742">
      <c r="B742" s="16"/>
      <c r="C742" s="16"/>
      <c r="D742" s="16"/>
      <c r="E742" s="16"/>
      <c r="F742" s="16"/>
      <c r="G742" s="16"/>
      <c r="Q742" s="54"/>
      <c r="R742" s="8"/>
      <c r="S742" s="14"/>
      <c r="T742" s="16"/>
      <c r="U742" s="16"/>
      <c r="V742" s="16"/>
      <c r="W742" s="16"/>
      <c r="X742" s="54"/>
      <c r="Z742" s="14"/>
      <c r="AA742" s="16"/>
      <c r="AB742" s="16"/>
      <c r="AC742" s="16"/>
      <c r="AD742" s="16"/>
      <c r="AE742" s="66"/>
      <c r="AF742" s="54"/>
      <c r="AN742" s="54"/>
      <c r="AP742" s="16"/>
      <c r="AQ742" s="16"/>
      <c r="AR742" s="16"/>
      <c r="AS742" s="16"/>
      <c r="AU742" s="54"/>
    </row>
    <row r="743">
      <c r="B743" s="16"/>
      <c r="C743" s="16"/>
      <c r="D743" s="16"/>
      <c r="E743" s="16"/>
      <c r="F743" s="16"/>
      <c r="G743" s="16"/>
      <c r="Q743" s="54"/>
      <c r="R743" s="8"/>
      <c r="S743" s="14"/>
      <c r="T743" s="16"/>
      <c r="U743" s="16"/>
      <c r="V743" s="16"/>
      <c r="W743" s="16"/>
      <c r="X743" s="54"/>
      <c r="Z743" s="14"/>
      <c r="AA743" s="16"/>
      <c r="AB743" s="16"/>
      <c r="AC743" s="16"/>
      <c r="AD743" s="16"/>
      <c r="AE743" s="66"/>
      <c r="AF743" s="54"/>
      <c r="AN743" s="54"/>
      <c r="AP743" s="16"/>
      <c r="AQ743" s="16"/>
      <c r="AR743" s="16"/>
      <c r="AS743" s="16"/>
      <c r="AU743" s="54"/>
    </row>
    <row r="744">
      <c r="B744" s="16"/>
      <c r="C744" s="16"/>
      <c r="D744" s="16"/>
      <c r="E744" s="16"/>
      <c r="F744" s="16"/>
      <c r="G744" s="16"/>
      <c r="Q744" s="54"/>
      <c r="R744" s="8"/>
      <c r="S744" s="14"/>
      <c r="T744" s="16"/>
      <c r="U744" s="16"/>
      <c r="V744" s="16"/>
      <c r="W744" s="16"/>
      <c r="X744" s="54"/>
      <c r="Z744" s="14"/>
      <c r="AA744" s="16"/>
      <c r="AB744" s="16"/>
      <c r="AC744" s="16"/>
      <c r="AD744" s="16"/>
      <c r="AE744" s="66"/>
      <c r="AF744" s="54"/>
      <c r="AN744" s="54"/>
      <c r="AP744" s="16"/>
      <c r="AQ744" s="16"/>
      <c r="AR744" s="16"/>
      <c r="AS744" s="16"/>
      <c r="AU744" s="54"/>
    </row>
    <row r="745">
      <c r="B745" s="16"/>
      <c r="C745" s="16"/>
      <c r="D745" s="16"/>
      <c r="E745" s="16"/>
      <c r="F745" s="16"/>
      <c r="G745" s="16"/>
      <c r="Q745" s="54"/>
      <c r="R745" s="8"/>
      <c r="S745" s="14"/>
      <c r="T745" s="16"/>
      <c r="U745" s="16"/>
      <c r="V745" s="16"/>
      <c r="W745" s="16"/>
      <c r="X745" s="54"/>
      <c r="Z745" s="14"/>
      <c r="AA745" s="16"/>
      <c r="AB745" s="16"/>
      <c r="AC745" s="16"/>
      <c r="AD745" s="16"/>
      <c r="AE745" s="66"/>
      <c r="AF745" s="54"/>
      <c r="AN745" s="54"/>
      <c r="AP745" s="16"/>
      <c r="AQ745" s="16"/>
      <c r="AR745" s="16"/>
      <c r="AS745" s="16"/>
      <c r="AU745" s="54"/>
    </row>
    <row r="746">
      <c r="B746" s="16"/>
      <c r="C746" s="16"/>
      <c r="D746" s="16"/>
      <c r="E746" s="16"/>
      <c r="F746" s="16"/>
      <c r="G746" s="16"/>
      <c r="Q746" s="54"/>
      <c r="R746" s="8"/>
      <c r="S746" s="14"/>
      <c r="T746" s="16"/>
      <c r="U746" s="16"/>
      <c r="V746" s="16"/>
      <c r="W746" s="16"/>
      <c r="X746" s="54"/>
      <c r="Z746" s="14"/>
      <c r="AA746" s="16"/>
      <c r="AB746" s="16"/>
      <c r="AC746" s="16"/>
      <c r="AD746" s="16"/>
      <c r="AE746" s="66"/>
      <c r="AF746" s="54"/>
      <c r="AN746" s="54"/>
      <c r="AP746" s="16"/>
      <c r="AQ746" s="16"/>
      <c r="AR746" s="16"/>
      <c r="AS746" s="16"/>
      <c r="AU746" s="54"/>
    </row>
    <row r="747">
      <c r="B747" s="16"/>
      <c r="C747" s="16"/>
      <c r="D747" s="16"/>
      <c r="E747" s="16"/>
      <c r="F747" s="16"/>
      <c r="G747" s="16"/>
      <c r="Q747" s="54"/>
      <c r="R747" s="8"/>
      <c r="S747" s="14"/>
      <c r="T747" s="16"/>
      <c r="U747" s="16"/>
      <c r="V747" s="16"/>
      <c r="W747" s="16"/>
      <c r="X747" s="54"/>
      <c r="Z747" s="14"/>
      <c r="AA747" s="16"/>
      <c r="AB747" s="16"/>
      <c r="AC747" s="16"/>
      <c r="AD747" s="16"/>
      <c r="AE747" s="66"/>
      <c r="AF747" s="54"/>
      <c r="AN747" s="54"/>
      <c r="AP747" s="16"/>
      <c r="AQ747" s="16"/>
      <c r="AR747" s="16"/>
      <c r="AS747" s="16"/>
      <c r="AU747" s="54"/>
    </row>
    <row r="748">
      <c r="B748" s="16"/>
      <c r="C748" s="16"/>
      <c r="D748" s="16"/>
      <c r="E748" s="16"/>
      <c r="F748" s="16"/>
      <c r="G748" s="16"/>
      <c r="Q748" s="54"/>
      <c r="R748" s="8"/>
      <c r="S748" s="14"/>
      <c r="T748" s="16"/>
      <c r="U748" s="16"/>
      <c r="V748" s="16"/>
      <c r="W748" s="16"/>
      <c r="X748" s="54"/>
      <c r="Z748" s="14"/>
      <c r="AA748" s="16"/>
      <c r="AB748" s="16"/>
      <c r="AC748" s="16"/>
      <c r="AD748" s="16"/>
      <c r="AE748" s="66"/>
      <c r="AF748" s="54"/>
      <c r="AN748" s="54"/>
      <c r="AP748" s="16"/>
      <c r="AQ748" s="16"/>
      <c r="AR748" s="16"/>
      <c r="AS748" s="16"/>
      <c r="AU748" s="54"/>
    </row>
    <row r="749">
      <c r="B749" s="16"/>
      <c r="C749" s="16"/>
      <c r="D749" s="16"/>
      <c r="E749" s="16"/>
      <c r="F749" s="16"/>
      <c r="G749" s="16"/>
      <c r="Q749" s="54"/>
      <c r="R749" s="8"/>
      <c r="S749" s="14"/>
      <c r="T749" s="16"/>
      <c r="U749" s="16"/>
      <c r="V749" s="16"/>
      <c r="W749" s="16"/>
      <c r="X749" s="54"/>
      <c r="Z749" s="14"/>
      <c r="AA749" s="16"/>
      <c r="AB749" s="16"/>
      <c r="AC749" s="16"/>
      <c r="AD749" s="16"/>
      <c r="AE749" s="66"/>
      <c r="AF749" s="54"/>
      <c r="AN749" s="54"/>
      <c r="AP749" s="16"/>
      <c r="AQ749" s="16"/>
      <c r="AR749" s="16"/>
      <c r="AS749" s="16"/>
      <c r="AU749" s="54"/>
    </row>
    <row r="750">
      <c r="B750" s="16"/>
      <c r="C750" s="16"/>
      <c r="D750" s="16"/>
      <c r="E750" s="16"/>
      <c r="F750" s="16"/>
      <c r="G750" s="16"/>
      <c r="Q750" s="54"/>
      <c r="R750" s="8"/>
      <c r="S750" s="14"/>
      <c r="T750" s="16"/>
      <c r="U750" s="16"/>
      <c r="V750" s="16"/>
      <c r="W750" s="16"/>
      <c r="X750" s="54"/>
      <c r="Z750" s="14"/>
      <c r="AA750" s="16"/>
      <c r="AB750" s="16"/>
      <c r="AC750" s="16"/>
      <c r="AD750" s="16"/>
      <c r="AE750" s="66"/>
      <c r="AF750" s="54"/>
      <c r="AN750" s="54"/>
      <c r="AP750" s="16"/>
      <c r="AQ750" s="16"/>
      <c r="AR750" s="16"/>
      <c r="AS750" s="16"/>
      <c r="AU750" s="54"/>
    </row>
    <row r="751">
      <c r="B751" s="16"/>
      <c r="C751" s="16"/>
      <c r="D751" s="16"/>
      <c r="E751" s="16"/>
      <c r="F751" s="16"/>
      <c r="G751" s="16"/>
      <c r="Q751" s="54"/>
      <c r="R751" s="8"/>
      <c r="S751" s="14"/>
      <c r="T751" s="16"/>
      <c r="U751" s="16"/>
      <c r="V751" s="16"/>
      <c r="W751" s="16"/>
      <c r="X751" s="54"/>
      <c r="Z751" s="14"/>
      <c r="AA751" s="16"/>
      <c r="AB751" s="16"/>
      <c r="AC751" s="16"/>
      <c r="AD751" s="16"/>
      <c r="AE751" s="66"/>
      <c r="AF751" s="54"/>
      <c r="AN751" s="54"/>
      <c r="AP751" s="16"/>
      <c r="AQ751" s="16"/>
      <c r="AR751" s="16"/>
      <c r="AS751" s="16"/>
      <c r="AU751" s="54"/>
    </row>
    <row r="752">
      <c r="B752" s="16"/>
      <c r="C752" s="16"/>
      <c r="D752" s="16"/>
      <c r="E752" s="16"/>
      <c r="F752" s="16"/>
      <c r="G752" s="16"/>
      <c r="Q752" s="54"/>
      <c r="R752" s="8"/>
      <c r="S752" s="14"/>
      <c r="T752" s="16"/>
      <c r="U752" s="16"/>
      <c r="V752" s="16"/>
      <c r="W752" s="16"/>
      <c r="X752" s="54"/>
      <c r="Z752" s="14"/>
      <c r="AA752" s="16"/>
      <c r="AB752" s="16"/>
      <c r="AC752" s="16"/>
      <c r="AD752" s="16"/>
      <c r="AE752" s="66"/>
      <c r="AF752" s="54"/>
      <c r="AN752" s="54"/>
      <c r="AP752" s="16"/>
      <c r="AQ752" s="16"/>
      <c r="AR752" s="16"/>
      <c r="AS752" s="16"/>
      <c r="AU752" s="54"/>
    </row>
    <row r="753">
      <c r="B753" s="16"/>
      <c r="C753" s="16"/>
      <c r="D753" s="16"/>
      <c r="E753" s="16"/>
      <c r="F753" s="16"/>
      <c r="G753" s="16"/>
      <c r="Q753" s="54"/>
      <c r="R753" s="8"/>
      <c r="S753" s="14"/>
      <c r="T753" s="16"/>
      <c r="U753" s="16"/>
      <c r="V753" s="16"/>
      <c r="W753" s="16"/>
      <c r="X753" s="54"/>
      <c r="Z753" s="14"/>
      <c r="AA753" s="16"/>
      <c r="AB753" s="16"/>
      <c r="AC753" s="16"/>
      <c r="AD753" s="16"/>
      <c r="AE753" s="66"/>
      <c r="AF753" s="54"/>
      <c r="AN753" s="54"/>
      <c r="AP753" s="16"/>
      <c r="AQ753" s="16"/>
      <c r="AR753" s="16"/>
      <c r="AS753" s="16"/>
      <c r="AU753" s="54"/>
    </row>
    <row r="754">
      <c r="B754" s="16"/>
      <c r="C754" s="16"/>
      <c r="D754" s="16"/>
      <c r="E754" s="16"/>
      <c r="F754" s="16"/>
      <c r="G754" s="16"/>
      <c r="Q754" s="54"/>
      <c r="R754" s="8"/>
      <c r="S754" s="14"/>
      <c r="T754" s="16"/>
      <c r="U754" s="16"/>
      <c r="V754" s="16"/>
      <c r="W754" s="16"/>
      <c r="X754" s="54"/>
      <c r="Z754" s="14"/>
      <c r="AA754" s="16"/>
      <c r="AB754" s="16"/>
      <c r="AC754" s="16"/>
      <c r="AD754" s="16"/>
      <c r="AE754" s="66"/>
      <c r="AF754" s="54"/>
      <c r="AN754" s="54"/>
      <c r="AP754" s="16"/>
      <c r="AQ754" s="16"/>
      <c r="AR754" s="16"/>
      <c r="AS754" s="16"/>
      <c r="AU754" s="54"/>
    </row>
    <row r="755">
      <c r="B755" s="16"/>
      <c r="C755" s="16"/>
      <c r="D755" s="16"/>
      <c r="E755" s="16"/>
      <c r="F755" s="16"/>
      <c r="G755" s="16"/>
      <c r="Q755" s="54"/>
      <c r="R755" s="8"/>
      <c r="S755" s="14"/>
      <c r="T755" s="16"/>
      <c r="U755" s="16"/>
      <c r="V755" s="16"/>
      <c r="W755" s="16"/>
      <c r="X755" s="54"/>
      <c r="Z755" s="14"/>
      <c r="AA755" s="16"/>
      <c r="AB755" s="16"/>
      <c r="AC755" s="16"/>
      <c r="AD755" s="16"/>
      <c r="AE755" s="66"/>
      <c r="AF755" s="54"/>
      <c r="AN755" s="54"/>
      <c r="AP755" s="16"/>
      <c r="AQ755" s="16"/>
      <c r="AR755" s="16"/>
      <c r="AS755" s="16"/>
      <c r="AU755" s="54"/>
    </row>
    <row r="756">
      <c r="B756" s="16"/>
      <c r="C756" s="16"/>
      <c r="D756" s="16"/>
      <c r="E756" s="16"/>
      <c r="F756" s="16"/>
      <c r="G756" s="16"/>
      <c r="Q756" s="54"/>
      <c r="R756" s="8"/>
      <c r="S756" s="14"/>
      <c r="T756" s="16"/>
      <c r="U756" s="16"/>
      <c r="V756" s="16"/>
      <c r="W756" s="16"/>
      <c r="X756" s="54"/>
      <c r="Z756" s="14"/>
      <c r="AA756" s="16"/>
      <c r="AB756" s="16"/>
      <c r="AC756" s="16"/>
      <c r="AD756" s="16"/>
      <c r="AE756" s="66"/>
      <c r="AF756" s="54"/>
      <c r="AN756" s="54"/>
      <c r="AP756" s="16"/>
      <c r="AQ756" s="16"/>
      <c r="AR756" s="16"/>
      <c r="AS756" s="16"/>
      <c r="AU756" s="54"/>
    </row>
    <row r="757">
      <c r="B757" s="16"/>
      <c r="C757" s="16"/>
      <c r="D757" s="16"/>
      <c r="E757" s="16"/>
      <c r="F757" s="16"/>
      <c r="G757" s="16"/>
      <c r="Q757" s="54"/>
      <c r="R757" s="8"/>
      <c r="S757" s="14"/>
      <c r="T757" s="16"/>
      <c r="U757" s="16"/>
      <c r="V757" s="16"/>
      <c r="W757" s="16"/>
      <c r="X757" s="54"/>
      <c r="Z757" s="14"/>
      <c r="AA757" s="16"/>
      <c r="AB757" s="16"/>
      <c r="AC757" s="16"/>
      <c r="AD757" s="16"/>
      <c r="AE757" s="66"/>
      <c r="AF757" s="54"/>
      <c r="AN757" s="54"/>
      <c r="AP757" s="16"/>
      <c r="AQ757" s="16"/>
      <c r="AR757" s="16"/>
      <c r="AS757" s="16"/>
      <c r="AU757" s="54"/>
    </row>
    <row r="758">
      <c r="B758" s="16"/>
      <c r="C758" s="16"/>
      <c r="D758" s="16"/>
      <c r="E758" s="16"/>
      <c r="F758" s="16"/>
      <c r="G758" s="16"/>
      <c r="Q758" s="54"/>
      <c r="R758" s="8"/>
      <c r="S758" s="14"/>
      <c r="T758" s="16"/>
      <c r="U758" s="16"/>
      <c r="V758" s="16"/>
      <c r="W758" s="16"/>
      <c r="X758" s="54"/>
      <c r="Z758" s="14"/>
      <c r="AA758" s="16"/>
      <c r="AB758" s="16"/>
      <c r="AC758" s="16"/>
      <c r="AD758" s="16"/>
      <c r="AE758" s="66"/>
      <c r="AF758" s="54"/>
      <c r="AN758" s="54"/>
      <c r="AP758" s="16"/>
      <c r="AQ758" s="16"/>
      <c r="AR758" s="16"/>
      <c r="AS758" s="16"/>
      <c r="AU758" s="54"/>
    </row>
    <row r="759">
      <c r="B759" s="16"/>
      <c r="C759" s="16"/>
      <c r="D759" s="16"/>
      <c r="E759" s="16"/>
      <c r="F759" s="16"/>
      <c r="G759" s="16"/>
      <c r="Q759" s="54"/>
      <c r="R759" s="8"/>
      <c r="S759" s="14"/>
      <c r="T759" s="16"/>
      <c r="U759" s="16"/>
      <c r="V759" s="16"/>
      <c r="W759" s="16"/>
      <c r="X759" s="54"/>
      <c r="Z759" s="14"/>
      <c r="AA759" s="16"/>
      <c r="AB759" s="16"/>
      <c r="AC759" s="16"/>
      <c r="AD759" s="16"/>
      <c r="AE759" s="66"/>
      <c r="AF759" s="54"/>
      <c r="AN759" s="54"/>
      <c r="AP759" s="16"/>
      <c r="AQ759" s="16"/>
      <c r="AR759" s="16"/>
      <c r="AS759" s="16"/>
      <c r="AU759" s="54"/>
    </row>
    <row r="760">
      <c r="B760" s="16"/>
      <c r="C760" s="16"/>
      <c r="D760" s="16"/>
      <c r="E760" s="16"/>
      <c r="F760" s="16"/>
      <c r="G760" s="16"/>
      <c r="Q760" s="54"/>
      <c r="R760" s="8"/>
      <c r="S760" s="14"/>
      <c r="T760" s="16"/>
      <c r="U760" s="16"/>
      <c r="V760" s="16"/>
      <c r="W760" s="16"/>
      <c r="X760" s="54"/>
      <c r="Z760" s="14"/>
      <c r="AA760" s="16"/>
      <c r="AB760" s="16"/>
      <c r="AC760" s="16"/>
      <c r="AD760" s="16"/>
      <c r="AE760" s="66"/>
      <c r="AF760" s="54"/>
      <c r="AN760" s="54"/>
      <c r="AP760" s="16"/>
      <c r="AQ760" s="16"/>
      <c r="AR760" s="16"/>
      <c r="AS760" s="16"/>
      <c r="AU760" s="54"/>
    </row>
    <row r="761">
      <c r="B761" s="16"/>
      <c r="C761" s="16"/>
      <c r="D761" s="16"/>
      <c r="E761" s="16"/>
      <c r="F761" s="16"/>
      <c r="G761" s="16"/>
      <c r="Q761" s="54"/>
      <c r="R761" s="8"/>
      <c r="S761" s="14"/>
      <c r="T761" s="16"/>
      <c r="U761" s="16"/>
      <c r="V761" s="16"/>
      <c r="W761" s="16"/>
      <c r="X761" s="54"/>
      <c r="Z761" s="14"/>
      <c r="AA761" s="16"/>
      <c r="AB761" s="16"/>
      <c r="AC761" s="16"/>
      <c r="AD761" s="16"/>
      <c r="AE761" s="66"/>
      <c r="AF761" s="54"/>
      <c r="AN761" s="54"/>
      <c r="AP761" s="16"/>
      <c r="AQ761" s="16"/>
      <c r="AR761" s="16"/>
      <c r="AS761" s="16"/>
      <c r="AU761" s="54"/>
    </row>
    <row r="762">
      <c r="B762" s="16"/>
      <c r="C762" s="16"/>
      <c r="D762" s="16"/>
      <c r="E762" s="16"/>
      <c r="F762" s="16"/>
      <c r="G762" s="16"/>
      <c r="Q762" s="54"/>
      <c r="R762" s="8"/>
      <c r="S762" s="14"/>
      <c r="T762" s="16"/>
      <c r="U762" s="16"/>
      <c r="V762" s="16"/>
      <c r="W762" s="16"/>
      <c r="X762" s="54"/>
      <c r="Z762" s="14"/>
      <c r="AA762" s="16"/>
      <c r="AB762" s="16"/>
      <c r="AC762" s="16"/>
      <c r="AD762" s="16"/>
      <c r="AE762" s="66"/>
      <c r="AF762" s="54"/>
      <c r="AN762" s="54"/>
      <c r="AP762" s="16"/>
      <c r="AQ762" s="16"/>
      <c r="AR762" s="16"/>
      <c r="AS762" s="16"/>
      <c r="AU762" s="54"/>
    </row>
    <row r="763">
      <c r="B763" s="16"/>
      <c r="C763" s="16"/>
      <c r="D763" s="16"/>
      <c r="E763" s="16"/>
      <c r="F763" s="16"/>
      <c r="G763" s="16"/>
      <c r="Q763" s="54"/>
      <c r="R763" s="8"/>
      <c r="S763" s="14"/>
      <c r="T763" s="16"/>
      <c r="U763" s="16"/>
      <c r="V763" s="16"/>
      <c r="W763" s="16"/>
      <c r="X763" s="54"/>
      <c r="Z763" s="14"/>
      <c r="AA763" s="16"/>
      <c r="AB763" s="16"/>
      <c r="AC763" s="16"/>
      <c r="AD763" s="16"/>
      <c r="AE763" s="66"/>
      <c r="AF763" s="54"/>
      <c r="AN763" s="54"/>
      <c r="AP763" s="16"/>
      <c r="AQ763" s="16"/>
      <c r="AR763" s="16"/>
      <c r="AS763" s="16"/>
      <c r="AU763" s="54"/>
    </row>
    <row r="764">
      <c r="B764" s="16"/>
      <c r="C764" s="16"/>
      <c r="D764" s="16"/>
      <c r="E764" s="16"/>
      <c r="F764" s="16"/>
      <c r="G764" s="16"/>
      <c r="Q764" s="54"/>
      <c r="R764" s="8"/>
      <c r="S764" s="14"/>
      <c r="T764" s="16"/>
      <c r="U764" s="16"/>
      <c r="V764" s="16"/>
      <c r="W764" s="16"/>
      <c r="X764" s="54"/>
      <c r="Z764" s="14"/>
      <c r="AA764" s="16"/>
      <c r="AB764" s="16"/>
      <c r="AC764" s="16"/>
      <c r="AD764" s="16"/>
      <c r="AE764" s="66"/>
      <c r="AF764" s="54"/>
      <c r="AN764" s="54"/>
      <c r="AP764" s="16"/>
      <c r="AQ764" s="16"/>
      <c r="AR764" s="16"/>
      <c r="AS764" s="16"/>
      <c r="AU764" s="54"/>
    </row>
    <row r="765">
      <c r="B765" s="16"/>
      <c r="C765" s="16"/>
      <c r="D765" s="16"/>
      <c r="E765" s="16"/>
      <c r="F765" s="16"/>
      <c r="G765" s="16"/>
      <c r="Q765" s="54"/>
      <c r="R765" s="8"/>
      <c r="S765" s="14"/>
      <c r="T765" s="16"/>
      <c r="U765" s="16"/>
      <c r="V765" s="16"/>
      <c r="W765" s="16"/>
      <c r="X765" s="54"/>
      <c r="Z765" s="14"/>
      <c r="AA765" s="16"/>
      <c r="AB765" s="16"/>
      <c r="AC765" s="16"/>
      <c r="AD765" s="16"/>
      <c r="AE765" s="66"/>
      <c r="AF765" s="54"/>
      <c r="AN765" s="54"/>
      <c r="AP765" s="16"/>
      <c r="AQ765" s="16"/>
      <c r="AR765" s="16"/>
      <c r="AS765" s="16"/>
      <c r="AU765" s="54"/>
    </row>
    <row r="766">
      <c r="B766" s="16"/>
      <c r="C766" s="16"/>
      <c r="D766" s="16"/>
      <c r="E766" s="16"/>
      <c r="F766" s="16"/>
      <c r="G766" s="16"/>
      <c r="Q766" s="54"/>
      <c r="R766" s="8"/>
      <c r="S766" s="14"/>
      <c r="T766" s="16"/>
      <c r="U766" s="16"/>
      <c r="V766" s="16"/>
      <c r="W766" s="16"/>
      <c r="X766" s="54"/>
      <c r="Z766" s="14"/>
      <c r="AA766" s="16"/>
      <c r="AB766" s="16"/>
      <c r="AC766" s="16"/>
      <c r="AD766" s="16"/>
      <c r="AE766" s="66"/>
      <c r="AF766" s="54"/>
      <c r="AN766" s="54"/>
      <c r="AP766" s="16"/>
      <c r="AQ766" s="16"/>
      <c r="AR766" s="16"/>
      <c r="AS766" s="16"/>
      <c r="AU766" s="54"/>
    </row>
    <row r="767">
      <c r="B767" s="16"/>
      <c r="C767" s="16"/>
      <c r="D767" s="16"/>
      <c r="E767" s="16"/>
      <c r="F767" s="16"/>
      <c r="G767" s="16"/>
      <c r="Q767" s="54"/>
      <c r="R767" s="8"/>
      <c r="S767" s="14"/>
      <c r="T767" s="16"/>
      <c r="U767" s="16"/>
      <c r="V767" s="16"/>
      <c r="W767" s="16"/>
      <c r="X767" s="54"/>
      <c r="Z767" s="14"/>
      <c r="AA767" s="16"/>
      <c r="AB767" s="16"/>
      <c r="AC767" s="16"/>
      <c r="AD767" s="16"/>
      <c r="AE767" s="66"/>
      <c r="AF767" s="54"/>
      <c r="AN767" s="54"/>
      <c r="AP767" s="16"/>
      <c r="AQ767" s="16"/>
      <c r="AR767" s="16"/>
      <c r="AS767" s="16"/>
      <c r="AU767" s="54"/>
    </row>
    <row r="768">
      <c r="B768" s="16"/>
      <c r="C768" s="16"/>
      <c r="D768" s="16"/>
      <c r="E768" s="16"/>
      <c r="F768" s="16"/>
      <c r="G768" s="16"/>
      <c r="Q768" s="54"/>
      <c r="R768" s="8"/>
      <c r="S768" s="14"/>
      <c r="T768" s="16"/>
      <c r="U768" s="16"/>
      <c r="V768" s="16"/>
      <c r="W768" s="16"/>
      <c r="X768" s="54"/>
      <c r="Z768" s="14"/>
      <c r="AA768" s="16"/>
      <c r="AB768" s="16"/>
      <c r="AC768" s="16"/>
      <c r="AD768" s="16"/>
      <c r="AE768" s="66"/>
      <c r="AF768" s="54"/>
      <c r="AN768" s="54"/>
      <c r="AP768" s="16"/>
      <c r="AQ768" s="16"/>
      <c r="AR768" s="16"/>
      <c r="AS768" s="16"/>
      <c r="AU768" s="54"/>
    </row>
    <row r="769">
      <c r="B769" s="16"/>
      <c r="C769" s="16"/>
      <c r="D769" s="16"/>
      <c r="E769" s="16"/>
      <c r="F769" s="16"/>
      <c r="G769" s="16"/>
      <c r="Q769" s="54"/>
      <c r="R769" s="8"/>
      <c r="S769" s="14"/>
      <c r="T769" s="16"/>
      <c r="U769" s="16"/>
      <c r="V769" s="16"/>
      <c r="W769" s="16"/>
      <c r="X769" s="54"/>
      <c r="Z769" s="14"/>
      <c r="AA769" s="16"/>
      <c r="AB769" s="16"/>
      <c r="AC769" s="16"/>
      <c r="AD769" s="16"/>
      <c r="AE769" s="66"/>
      <c r="AF769" s="54"/>
      <c r="AN769" s="54"/>
      <c r="AP769" s="16"/>
      <c r="AQ769" s="16"/>
      <c r="AR769" s="16"/>
      <c r="AS769" s="16"/>
      <c r="AU769" s="54"/>
    </row>
    <row r="770">
      <c r="B770" s="16"/>
      <c r="C770" s="16"/>
      <c r="D770" s="16"/>
      <c r="E770" s="16"/>
      <c r="F770" s="16"/>
      <c r="G770" s="16"/>
      <c r="Q770" s="54"/>
      <c r="R770" s="8"/>
      <c r="S770" s="14"/>
      <c r="T770" s="16"/>
      <c r="U770" s="16"/>
      <c r="V770" s="16"/>
      <c r="W770" s="16"/>
      <c r="X770" s="54"/>
      <c r="Z770" s="14"/>
      <c r="AA770" s="16"/>
      <c r="AB770" s="16"/>
      <c r="AC770" s="16"/>
      <c r="AD770" s="16"/>
      <c r="AE770" s="66"/>
      <c r="AF770" s="54"/>
      <c r="AN770" s="54"/>
      <c r="AP770" s="16"/>
      <c r="AQ770" s="16"/>
      <c r="AR770" s="16"/>
      <c r="AS770" s="16"/>
      <c r="AU770" s="54"/>
    </row>
    <row r="771">
      <c r="B771" s="16"/>
      <c r="C771" s="16"/>
      <c r="D771" s="16"/>
      <c r="E771" s="16"/>
      <c r="F771" s="16"/>
      <c r="G771" s="16"/>
      <c r="Q771" s="54"/>
      <c r="R771" s="8"/>
      <c r="S771" s="14"/>
      <c r="T771" s="16"/>
      <c r="U771" s="16"/>
      <c r="V771" s="16"/>
      <c r="W771" s="16"/>
      <c r="X771" s="54"/>
      <c r="Z771" s="14"/>
      <c r="AA771" s="16"/>
      <c r="AB771" s="16"/>
      <c r="AC771" s="16"/>
      <c r="AD771" s="16"/>
      <c r="AE771" s="66"/>
      <c r="AF771" s="54"/>
      <c r="AN771" s="54"/>
      <c r="AP771" s="16"/>
      <c r="AQ771" s="16"/>
      <c r="AR771" s="16"/>
      <c r="AS771" s="16"/>
      <c r="AU771" s="54"/>
    </row>
    <row r="772">
      <c r="B772" s="16"/>
      <c r="C772" s="16"/>
      <c r="D772" s="16"/>
      <c r="E772" s="16"/>
      <c r="F772" s="16"/>
      <c r="G772" s="16"/>
      <c r="Q772" s="54"/>
      <c r="R772" s="8"/>
      <c r="S772" s="14"/>
      <c r="T772" s="16"/>
      <c r="U772" s="16"/>
      <c r="V772" s="16"/>
      <c r="W772" s="16"/>
      <c r="X772" s="54"/>
      <c r="Z772" s="14"/>
      <c r="AA772" s="16"/>
      <c r="AB772" s="16"/>
      <c r="AC772" s="16"/>
      <c r="AD772" s="16"/>
      <c r="AE772" s="66"/>
      <c r="AF772" s="54"/>
      <c r="AN772" s="54"/>
      <c r="AP772" s="16"/>
      <c r="AQ772" s="16"/>
      <c r="AR772" s="16"/>
      <c r="AS772" s="16"/>
      <c r="AU772" s="54"/>
    </row>
    <row r="773">
      <c r="B773" s="16"/>
      <c r="C773" s="16"/>
      <c r="D773" s="16"/>
      <c r="E773" s="16"/>
      <c r="F773" s="16"/>
      <c r="G773" s="16"/>
      <c r="Q773" s="54"/>
      <c r="R773" s="8"/>
      <c r="S773" s="14"/>
      <c r="T773" s="16"/>
      <c r="U773" s="16"/>
      <c r="V773" s="16"/>
      <c r="W773" s="16"/>
      <c r="X773" s="54"/>
      <c r="Z773" s="14"/>
      <c r="AA773" s="16"/>
      <c r="AB773" s="16"/>
      <c r="AC773" s="16"/>
      <c r="AD773" s="16"/>
      <c r="AE773" s="66"/>
      <c r="AF773" s="54"/>
      <c r="AN773" s="54"/>
      <c r="AP773" s="16"/>
      <c r="AQ773" s="16"/>
      <c r="AR773" s="16"/>
      <c r="AS773" s="16"/>
      <c r="AU773" s="54"/>
    </row>
    <row r="774">
      <c r="B774" s="16"/>
      <c r="C774" s="16"/>
      <c r="D774" s="16"/>
      <c r="E774" s="16"/>
      <c r="F774" s="16"/>
      <c r="G774" s="16"/>
      <c r="Q774" s="54"/>
      <c r="R774" s="8"/>
      <c r="S774" s="14"/>
      <c r="T774" s="16"/>
      <c r="U774" s="16"/>
      <c r="V774" s="16"/>
      <c r="W774" s="16"/>
      <c r="X774" s="54"/>
      <c r="Z774" s="14"/>
      <c r="AA774" s="16"/>
      <c r="AB774" s="16"/>
      <c r="AC774" s="16"/>
      <c r="AD774" s="16"/>
      <c r="AE774" s="66"/>
      <c r="AF774" s="54"/>
      <c r="AN774" s="54"/>
      <c r="AP774" s="16"/>
      <c r="AQ774" s="16"/>
      <c r="AR774" s="16"/>
      <c r="AS774" s="16"/>
      <c r="AU774" s="54"/>
    </row>
    <row r="775">
      <c r="B775" s="16"/>
      <c r="C775" s="16"/>
      <c r="D775" s="16"/>
      <c r="E775" s="16"/>
      <c r="F775" s="16"/>
      <c r="G775" s="16"/>
      <c r="Q775" s="54"/>
      <c r="R775" s="8"/>
      <c r="S775" s="14"/>
      <c r="T775" s="16"/>
      <c r="U775" s="16"/>
      <c r="V775" s="16"/>
      <c r="W775" s="16"/>
      <c r="X775" s="54"/>
      <c r="Z775" s="14"/>
      <c r="AA775" s="16"/>
      <c r="AB775" s="16"/>
      <c r="AC775" s="16"/>
      <c r="AD775" s="16"/>
      <c r="AE775" s="66"/>
      <c r="AF775" s="54"/>
      <c r="AN775" s="54"/>
      <c r="AP775" s="16"/>
      <c r="AQ775" s="16"/>
      <c r="AR775" s="16"/>
      <c r="AS775" s="16"/>
      <c r="AU775" s="54"/>
    </row>
    <row r="776">
      <c r="B776" s="16"/>
      <c r="C776" s="16"/>
      <c r="D776" s="16"/>
      <c r="E776" s="16"/>
      <c r="F776" s="16"/>
      <c r="G776" s="16"/>
      <c r="Q776" s="54"/>
      <c r="R776" s="8"/>
      <c r="S776" s="14"/>
      <c r="T776" s="16"/>
      <c r="U776" s="16"/>
      <c r="V776" s="16"/>
      <c r="W776" s="16"/>
      <c r="X776" s="54"/>
      <c r="Z776" s="14"/>
      <c r="AA776" s="16"/>
      <c r="AB776" s="16"/>
      <c r="AC776" s="16"/>
      <c r="AD776" s="16"/>
      <c r="AE776" s="66"/>
      <c r="AF776" s="54"/>
      <c r="AN776" s="54"/>
      <c r="AP776" s="16"/>
      <c r="AQ776" s="16"/>
      <c r="AR776" s="16"/>
      <c r="AS776" s="16"/>
      <c r="AU776" s="54"/>
    </row>
    <row r="777">
      <c r="B777" s="16"/>
      <c r="C777" s="16"/>
      <c r="D777" s="16"/>
      <c r="E777" s="16"/>
      <c r="F777" s="16"/>
      <c r="G777" s="16"/>
      <c r="Q777" s="54"/>
      <c r="R777" s="8"/>
      <c r="S777" s="14"/>
      <c r="T777" s="16"/>
      <c r="U777" s="16"/>
      <c r="V777" s="16"/>
      <c r="W777" s="16"/>
      <c r="X777" s="54"/>
      <c r="Z777" s="14"/>
      <c r="AA777" s="16"/>
      <c r="AB777" s="16"/>
      <c r="AC777" s="16"/>
      <c r="AD777" s="16"/>
      <c r="AE777" s="66"/>
      <c r="AF777" s="54"/>
      <c r="AN777" s="54"/>
      <c r="AP777" s="16"/>
      <c r="AQ777" s="16"/>
      <c r="AR777" s="16"/>
      <c r="AS777" s="16"/>
      <c r="AU777" s="54"/>
    </row>
    <row r="778">
      <c r="B778" s="16"/>
      <c r="C778" s="16"/>
      <c r="D778" s="16"/>
      <c r="E778" s="16"/>
      <c r="F778" s="16"/>
      <c r="G778" s="16"/>
      <c r="Q778" s="54"/>
      <c r="R778" s="8"/>
      <c r="S778" s="14"/>
      <c r="T778" s="16"/>
      <c r="U778" s="16"/>
      <c r="V778" s="16"/>
      <c r="W778" s="16"/>
      <c r="X778" s="54"/>
      <c r="Z778" s="14"/>
      <c r="AA778" s="16"/>
      <c r="AB778" s="16"/>
      <c r="AC778" s="16"/>
      <c r="AD778" s="16"/>
      <c r="AE778" s="66"/>
      <c r="AF778" s="54"/>
      <c r="AN778" s="54"/>
      <c r="AP778" s="16"/>
      <c r="AQ778" s="16"/>
      <c r="AR778" s="16"/>
      <c r="AS778" s="16"/>
      <c r="AU778" s="54"/>
    </row>
    <row r="779">
      <c r="B779" s="16"/>
      <c r="C779" s="16"/>
      <c r="D779" s="16"/>
      <c r="E779" s="16"/>
      <c r="F779" s="16"/>
      <c r="G779" s="16"/>
      <c r="Q779" s="54"/>
      <c r="R779" s="8"/>
      <c r="S779" s="14"/>
      <c r="T779" s="16"/>
      <c r="U779" s="16"/>
      <c r="V779" s="16"/>
      <c r="W779" s="16"/>
      <c r="X779" s="54"/>
      <c r="Z779" s="14"/>
      <c r="AA779" s="16"/>
      <c r="AB779" s="16"/>
      <c r="AC779" s="16"/>
      <c r="AD779" s="16"/>
      <c r="AE779" s="66"/>
      <c r="AF779" s="54"/>
      <c r="AN779" s="54"/>
      <c r="AP779" s="16"/>
      <c r="AQ779" s="16"/>
      <c r="AR779" s="16"/>
      <c r="AS779" s="16"/>
      <c r="AU779" s="54"/>
    </row>
    <row r="780">
      <c r="B780" s="16"/>
      <c r="C780" s="16"/>
      <c r="D780" s="16"/>
      <c r="E780" s="16"/>
      <c r="F780" s="16"/>
      <c r="G780" s="16"/>
      <c r="Q780" s="54"/>
      <c r="R780" s="8"/>
      <c r="S780" s="14"/>
      <c r="T780" s="16"/>
      <c r="U780" s="16"/>
      <c r="V780" s="16"/>
      <c r="W780" s="16"/>
      <c r="X780" s="54"/>
      <c r="Z780" s="14"/>
      <c r="AA780" s="16"/>
      <c r="AB780" s="16"/>
      <c r="AC780" s="16"/>
      <c r="AD780" s="16"/>
      <c r="AE780" s="66"/>
      <c r="AF780" s="54"/>
      <c r="AN780" s="54"/>
      <c r="AP780" s="16"/>
      <c r="AQ780" s="16"/>
      <c r="AR780" s="16"/>
      <c r="AS780" s="16"/>
      <c r="AU780" s="54"/>
    </row>
    <row r="781">
      <c r="B781" s="16"/>
      <c r="C781" s="16"/>
      <c r="D781" s="16"/>
      <c r="E781" s="16"/>
      <c r="F781" s="16"/>
      <c r="G781" s="16"/>
      <c r="Q781" s="54"/>
      <c r="R781" s="8"/>
      <c r="S781" s="14"/>
      <c r="T781" s="16"/>
      <c r="U781" s="16"/>
      <c r="V781" s="16"/>
      <c r="W781" s="16"/>
      <c r="X781" s="54"/>
      <c r="Z781" s="14"/>
      <c r="AA781" s="16"/>
      <c r="AB781" s="16"/>
      <c r="AC781" s="16"/>
      <c r="AD781" s="16"/>
      <c r="AE781" s="66"/>
      <c r="AF781" s="54"/>
      <c r="AN781" s="54"/>
      <c r="AP781" s="16"/>
      <c r="AQ781" s="16"/>
      <c r="AR781" s="16"/>
      <c r="AS781" s="16"/>
      <c r="AU781" s="54"/>
    </row>
    <row r="782">
      <c r="B782" s="16"/>
      <c r="C782" s="16"/>
      <c r="D782" s="16"/>
      <c r="E782" s="16"/>
      <c r="F782" s="16"/>
      <c r="G782" s="16"/>
      <c r="Q782" s="54"/>
      <c r="R782" s="8"/>
      <c r="S782" s="14"/>
      <c r="T782" s="16"/>
      <c r="U782" s="16"/>
      <c r="V782" s="16"/>
      <c r="W782" s="16"/>
      <c r="X782" s="54"/>
      <c r="Z782" s="14"/>
      <c r="AA782" s="16"/>
      <c r="AB782" s="16"/>
      <c r="AC782" s="16"/>
      <c r="AD782" s="16"/>
      <c r="AE782" s="66"/>
      <c r="AF782" s="54"/>
      <c r="AN782" s="54"/>
      <c r="AP782" s="16"/>
      <c r="AQ782" s="16"/>
      <c r="AR782" s="16"/>
      <c r="AS782" s="16"/>
      <c r="AU782" s="54"/>
    </row>
    <row r="783">
      <c r="B783" s="16"/>
      <c r="C783" s="16"/>
      <c r="D783" s="16"/>
      <c r="E783" s="16"/>
      <c r="F783" s="16"/>
      <c r="G783" s="16"/>
      <c r="Q783" s="54"/>
      <c r="R783" s="8"/>
      <c r="S783" s="14"/>
      <c r="T783" s="16"/>
      <c r="U783" s="16"/>
      <c r="V783" s="16"/>
      <c r="W783" s="16"/>
      <c r="X783" s="54"/>
      <c r="Z783" s="14"/>
      <c r="AA783" s="16"/>
      <c r="AB783" s="16"/>
      <c r="AC783" s="16"/>
      <c r="AD783" s="16"/>
      <c r="AE783" s="66"/>
      <c r="AF783" s="54"/>
      <c r="AN783" s="54"/>
      <c r="AP783" s="16"/>
      <c r="AQ783" s="16"/>
      <c r="AR783" s="16"/>
      <c r="AS783" s="16"/>
      <c r="AU783" s="54"/>
    </row>
  </sheetData>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32.0"/>
    <col customWidth="1" min="3" max="3" width="11.25"/>
    <col customWidth="1" min="7" max="7" width="10.63"/>
    <col customWidth="1" min="9" max="9" width="11.0"/>
    <col customWidth="1" min="10" max="10" width="12.13"/>
    <col customWidth="1" min="13" max="14" width="11.63"/>
    <col customWidth="1" min="16" max="16" width="43.0"/>
    <col customWidth="1" min="17" max="17" width="35.13"/>
    <col customWidth="1" min="18" max="18" width="7.13"/>
    <col customWidth="1" min="19" max="19" width="3.13"/>
    <col customWidth="1" min="20" max="20" width="26.75"/>
    <col customWidth="1" min="21" max="21" width="13.88"/>
    <col customWidth="1" min="22" max="22" width="14.75"/>
    <col customWidth="1" min="24" max="24" width="2.5"/>
    <col customWidth="1" min="25" max="25" width="32.75"/>
    <col customWidth="1" min="26" max="26" width="16.63"/>
    <col customWidth="1" min="27" max="27" width="12.13"/>
    <col customWidth="1" min="29" max="29" width="11.5"/>
    <col customWidth="1" min="31" max="32" width="11.88"/>
    <col customWidth="1" min="33" max="33" width="3.38"/>
    <col customWidth="1" min="34" max="34" width="26.63"/>
    <col customWidth="1" min="36" max="36" width="3.5"/>
  </cols>
  <sheetData>
    <row r="1">
      <c r="A1" s="74" t="s">
        <v>276</v>
      </c>
      <c r="B1" s="74" t="s">
        <v>277</v>
      </c>
      <c r="C1" s="5" t="s">
        <v>278</v>
      </c>
      <c r="D1" s="5" t="str">
        <f>'RFR Data - preExcl'!E1</f>
        <v>RAW Num of Samples (Gform)</v>
      </c>
      <c r="E1" s="5" t="str">
        <f>'RFR Data - preExcl'!Z1</f>
        <v>Num Rxn Including Controls (from paper form)</v>
      </c>
      <c r="F1" s="75" t="s">
        <v>279</v>
      </c>
      <c r="G1" s="5" t="str">
        <f>'RFR Data - preExcl'!AK1</f>
        <v>RFR Audit
Num
Run Tubes</v>
      </c>
      <c r="H1" s="5" t="s">
        <v>280</v>
      </c>
      <c r="I1" s="5" t="s">
        <v>281</v>
      </c>
      <c r="J1" s="5" t="str">
        <f>'APS Tubes by Date IMPORT'!J1</f>
        <v>All Non-Null Tubes Resulted Same Day?</v>
      </c>
      <c r="K1" s="76" t="str">
        <f>IF(SUM(K3:K103)&gt;0,"Num NULL &gt; 0 NEEDS CHANGE", "Num NULL = 0 OK")</f>
        <v>Num NULL &gt; 0 NEEDS CHANGE</v>
      </c>
      <c r="L1" s="77" t="str">
        <f>CONCATENATE("Reconciled Tube Run Count ",SUM(L2:L923))</f>
        <v>Reconciled Tube Run Count 1538</v>
      </c>
      <c r="M1" s="76" t="s">
        <v>282</v>
      </c>
      <c r="N1" s="76" t="s">
        <v>283</v>
      </c>
      <c r="O1" s="74" t="s">
        <v>284</v>
      </c>
      <c r="P1" s="78" t="s">
        <v>285</v>
      </c>
      <c r="Q1" s="77" t="s">
        <v>286</v>
      </c>
      <c r="R1" s="79" t="s">
        <v>31</v>
      </c>
      <c r="S1" s="43"/>
      <c r="T1" s="74" t="s">
        <v>287</v>
      </c>
      <c r="U1" s="74" t="s">
        <v>288</v>
      </c>
      <c r="V1" s="80" t="s">
        <v>289</v>
      </c>
      <c r="W1" s="81" t="s">
        <v>290</v>
      </c>
      <c r="X1" s="82"/>
      <c r="Y1" s="83" t="s">
        <v>291</v>
      </c>
      <c r="Z1" s="84">
        <f>COUNTA(Z2:Z923)</f>
        <v>37</v>
      </c>
      <c r="AA1" s="26" t="s">
        <v>292</v>
      </c>
      <c r="AB1" s="85" t="s">
        <v>293</v>
      </c>
      <c r="AC1" s="50" t="s">
        <v>294</v>
      </c>
      <c r="AD1" s="50" t="s">
        <v>295</v>
      </c>
      <c r="AE1" s="50" t="s">
        <v>296</v>
      </c>
      <c r="AF1" s="50" t="s">
        <v>297</v>
      </c>
      <c r="AG1" s="86"/>
      <c r="AH1" s="85" t="s">
        <v>298</v>
      </c>
      <c r="AI1" s="87">
        <f>SUM(AI2:AI923)</f>
        <v>436</v>
      </c>
      <c r="AJ1" s="86"/>
    </row>
    <row r="2">
      <c r="A2" s="65" t="str">
        <f t="array" ref="A2:B275">SORT(UNIQUE(T2:U923),2,TRUE)</f>
        <v>RUN-FLMP_2020-12-11_APS-001</v>
      </c>
      <c r="B2" s="14">
        <v>44176.0</v>
      </c>
      <c r="C2" s="88" t="b">
        <f t="shared" ref="C2:C369" si="2">IF(ISNUMBER(FIND("APS", $A2)),TRUE,IFERROR(0/0,""))</f>
        <v>1</v>
      </c>
      <c r="D2" s="16" t="str">
        <f t="array" ref="D2">IF(OR(ISBLANK($A2),$C2),IFERROR(0/0,""),INDEX('RFR Data - preExcl'!E$2:E923,$R2,1))</f>
        <v/>
      </c>
      <c r="E2" s="16" t="str">
        <f t="array" ref="E2">IF(OR(ISBLANK($A2),$C2),IFERROR(0/0,""),INDEX('RFR Data - preExcl'!Z$2:Z923,$R2,1))</f>
        <v/>
      </c>
      <c r="F2" s="16" t="str">
        <f t="array" ref="F2">IF(OR(ISBLANK(A2),C2),IFERROR(0/0,""),INDEX('RFR Data - preExcl'!AC$2:AC923,$R2,1))</f>
        <v/>
      </c>
      <c r="G2" s="16" t="str">
        <f t="array" ref="G2">IF(OR(ISBLANK(A2),C2),IFERROR(0/0,""),INDEX('RFR Data - preExcl'!AK$2:AK923,$R2,1))</f>
        <v/>
      </c>
      <c r="H2" s="16" t="str">
        <f t="array" ref="H2">IF(OR(ISBLANK(A2),C2),IFERROR(0/0,""),INDEX('RFR Data - preExcl'!AL$2:AL923,$R2,1))</f>
        <v/>
      </c>
      <c r="I2" s="16">
        <f>IFERROR(VLOOKUP($B2,'APS Tubes by Date IMPORT'!$B$2:$J923,2,FALSE),"")</f>
        <v>2</v>
      </c>
      <c r="J2" s="16" t="str">
        <f>IFERROR(VLOOKUP($B2,'APS Tubes by Date IMPORT'!$B$2:$J923,9,FALSE),"")</f>
        <v/>
      </c>
      <c r="K2" s="16">
        <f>IFNA(VLOOKUP($B2,'APS Tubes by Date IMPORT'!$B$2:$J923,6,FALSE),"")</f>
        <v>0</v>
      </c>
      <c r="L2" s="89">
        <f t="shared" ref="L2:L80" si="3">IF(ISBLANK(G2),I2,G2)</f>
        <v>2</v>
      </c>
      <c r="M2" s="16">
        <f t="shared" ref="M2:M75" si="4">L2-I2</f>
        <v>0</v>
      </c>
      <c r="N2" s="90">
        <v>3.4</v>
      </c>
      <c r="O2" s="30" t="b">
        <f t="shared" ref="O2:O75" si="5">IF(ISBLANK(L2),IFERROR(0/0,""),IF($N2&lt;5,TRUE,IFERROR(0/0,"")))</f>
        <v>1</v>
      </c>
      <c r="P2" s="91" t="str">
        <f>IF(ISBLANK(N2),IFERROR(0/0,""),IFERROR(VLOOKUP(N2, 'Process Ref'!$A$76:$D$122, 2, FALSE), IFERROR(0/0,"")))</f>
        <v>Add Run from APS with no RFR (assume run on same day as Collect, ignore Result day)</v>
      </c>
      <c r="R2" s="92" t="str">
        <f>IFNA(MATCH(A2,'RFR Data - preExcl'!A$2:A923,0),"")</f>
        <v/>
      </c>
      <c r="S2" s="54"/>
      <c r="T2" s="30" t="str">
        <f>IF(EXACT('RFR Data - preExcl'!W2,"Initial"),'RFR Data - preExcl'!A2,IFERROR(0/0,""))</f>
        <v>RUN-FLMP_2021-11-01_RFR-001</v>
      </c>
      <c r="U2" s="93">
        <f>IF(EXACT('RFR Data - preExcl'!W2,"Initial"),'RFR Data - preExcl'!U2,IFERROR(0/0,""))</f>
        <v>44501</v>
      </c>
      <c r="X2" s="86"/>
      <c r="Y2" s="94" t="str">
        <f>IFERROR(__xludf.DUMMYFUNCTION("SORT(FILTER('RFR Data - preExcl'!A2:B923,'RFR Data - preExcl'!$W2:$W923=""Re-run""))
"),"RUN-FLMP_2021-11-29_RFR-008_Re-run")</f>
        <v>RUN-FLMP_2021-11-29_RFR-008_Re-run</v>
      </c>
      <c r="Z2" s="95">
        <f>IFERROR(__xludf.DUMMYFUNCTION("""COMPUTED_VALUE"""),44529.47542534722)</f>
        <v>44529.47543</v>
      </c>
      <c r="AA2" s="96">
        <f>VLOOKUP($Y2,'RFR Data - preExcl'!$A$2:$AK923,29,FALSE)</f>
        <v>3</v>
      </c>
      <c r="AB2" s="96">
        <f>VLOOKUP($Y2,'RFR Data - preExcl'!$A$2:$AK923,37,FALSE)</f>
        <v>1</v>
      </c>
      <c r="AC2" s="69"/>
      <c r="AD2" s="69"/>
      <c r="AE2" s="96">
        <f t="shared" ref="AE2:AF2" si="1">AA2</f>
        <v>3</v>
      </c>
      <c r="AF2" s="96">
        <f t="shared" si="1"/>
        <v>1</v>
      </c>
      <c r="AG2" s="86"/>
      <c r="AH2" s="94" t="str">
        <f>IFERROR(__xludf.DUMMYFUNCTION("SORT(FILTER(A2:A923,ISNUMBER(SEARCH(""APS"",A2:A923))))
"),"RUN-FLMP_2020-12-11_APS-001")</f>
        <v>RUN-FLMP_2020-12-11_APS-001</v>
      </c>
      <c r="AI2" s="96">
        <f t="shared" ref="AI2:AI141" si="7">VLOOKUP(AH2,A2:L923,12,FALSE)</f>
        <v>2</v>
      </c>
      <c r="AJ2" s="86"/>
    </row>
    <row r="3">
      <c r="A3" s="8" t="s">
        <v>34</v>
      </c>
      <c r="B3" s="14">
        <v>44184.0</v>
      </c>
      <c r="C3" s="88" t="b">
        <f t="shared" si="2"/>
        <v>1</v>
      </c>
      <c r="D3" s="16" t="str">
        <f t="array" ref="D3">IF(OR(ISBLANK($A3),$C3),IFERROR(0/0,""),INDEX('RFR Data - preExcl'!E$2:E923,$R3,1))</f>
        <v/>
      </c>
      <c r="E3" s="16" t="str">
        <f t="array" ref="E3">IF(OR(ISBLANK($A3),$C3),IFERROR(0/0,""),INDEX('RFR Data - preExcl'!Z$2:Z923,$R3,1))</f>
        <v/>
      </c>
      <c r="F3" s="16" t="str">
        <f t="array" ref="F3">IF(OR(ISBLANK(A3),C3),IFERROR(0/0,""),INDEX('RFR Data - preExcl'!AC$2:AC923,$R3,1))</f>
        <v/>
      </c>
      <c r="G3" s="16" t="str">
        <f t="array" ref="G3">IF(OR(ISBLANK(A3),C3),IFERROR(0/0,""),INDEX('RFR Data - preExcl'!AK$2:AK923,$R3,1))</f>
        <v/>
      </c>
      <c r="H3" s="16" t="str">
        <f t="array" ref="H3">IF(OR(ISBLANK(A3),C3),IFERROR(0/0,""),INDEX('RFR Data - preExcl'!AL$2:AL923,$R3,1))</f>
        <v/>
      </c>
      <c r="I3" s="16">
        <f>IFERROR(VLOOKUP($B3,'APS Tubes by Date IMPORT'!$B$2:$J923,2,FALSE),"")</f>
        <v>1</v>
      </c>
      <c r="J3" s="16" t="str">
        <f>IFERROR(VLOOKUP($B3,'APS Tubes by Date IMPORT'!$B$2:$J923,9,FALSE),"")</f>
        <v/>
      </c>
      <c r="K3" s="16">
        <f>IFNA(VLOOKUP($B3,'APS Tubes by Date IMPORT'!$B$2:$J923,6,FALSE),"")</f>
        <v>0</v>
      </c>
      <c r="L3" s="89">
        <f t="shared" si="3"/>
        <v>1</v>
      </c>
      <c r="M3" s="16">
        <f t="shared" si="4"/>
        <v>0</v>
      </c>
      <c r="N3" s="90">
        <v>3.4</v>
      </c>
      <c r="O3" s="30" t="b">
        <f t="shared" si="5"/>
        <v>1</v>
      </c>
      <c r="P3" s="91" t="str">
        <f>IF(ISBLANK(N3),IFERROR(0/0,""),IFERROR(VLOOKUP(N3, 'Process Ref'!$A$76:$D$122, 2, FALSE), IFERROR(0/0,"")))</f>
        <v>Add Run from APS with no RFR (assume run on same day as Collect, ignore Result day)</v>
      </c>
      <c r="R3" s="92" t="str">
        <f>IFNA(MATCH(A3,'RFR Data - preExcl'!A$2:A923,0),"")</f>
        <v/>
      </c>
      <c r="S3" s="54"/>
      <c r="T3" s="30" t="str">
        <f>IF(EXACT('RFR Data - preExcl'!W3,"Initial"),'RFR Data - preExcl'!A3,IFERROR(0/0,""))</f>
        <v>RUN-FLMP_2021-11-02_RFR-002</v>
      </c>
      <c r="U3" s="93">
        <f>IF(EXACT('RFR Data - preExcl'!W3,"Initial"),'RFR Data - preExcl'!U3,IFERROR(0/0,""))</f>
        <v>44502</v>
      </c>
      <c r="X3" s="86"/>
      <c r="Y3" s="97" t="str">
        <f>IFERROR(__xludf.DUMMYFUNCTION("""COMPUTED_VALUE"""),"RUN-FLMP_2021-12-06_RFR-010_Re-run")</f>
        <v>RUN-FLMP_2021-12-06_RFR-010_Re-run</v>
      </c>
      <c r="Z3" s="95">
        <f>IFERROR(__xludf.DUMMYFUNCTION("""COMPUTED_VALUE"""),44536.820147175924)</f>
        <v>44536.82015</v>
      </c>
      <c r="AA3" s="96">
        <f>VLOOKUP($Y3,'RFR Data - preExcl'!$A$2:$AK923,29,FALSE)</f>
        <v>6</v>
      </c>
      <c r="AB3" s="96">
        <f>VLOOKUP($Y3,'RFR Data - preExcl'!$A$2:$AK923,37,FALSE)</f>
        <v>1</v>
      </c>
      <c r="AC3" s="69"/>
      <c r="AD3" s="69"/>
      <c r="AE3" s="96">
        <f t="shared" ref="AE3:AF3" si="6">AA3</f>
        <v>6</v>
      </c>
      <c r="AF3" s="96">
        <f t="shared" si="6"/>
        <v>1</v>
      </c>
      <c r="AG3" s="86"/>
      <c r="AH3" s="97" t="str">
        <f>IFERROR(__xludf.DUMMYFUNCTION("""COMPUTED_VALUE"""),"RUN-FLMP_2020-12-19_APS-002")</f>
        <v>RUN-FLMP_2020-12-19_APS-002</v>
      </c>
      <c r="AI3" s="96">
        <f t="shared" si="7"/>
        <v>1</v>
      </c>
      <c r="AJ3" s="86"/>
    </row>
    <row r="4">
      <c r="A4" s="8" t="s">
        <v>35</v>
      </c>
      <c r="B4" s="14">
        <v>44187.0</v>
      </c>
      <c r="C4" s="88" t="b">
        <f t="shared" si="2"/>
        <v>1</v>
      </c>
      <c r="D4" s="16" t="str">
        <f t="array" ref="D4">IF(OR(ISBLANK($A4),$C4),IFERROR(0/0,""),INDEX('RFR Data - preExcl'!E$2:E923,$R4,1))</f>
        <v/>
      </c>
      <c r="E4" s="16" t="str">
        <f t="array" ref="E4">IF(OR(ISBLANK($A4),$C4),IFERROR(0/0,""),INDEX('RFR Data - preExcl'!Z$2:Z923,$R4,1))</f>
        <v/>
      </c>
      <c r="F4" s="16" t="str">
        <f t="array" ref="F4">IF(OR(ISBLANK(A4),C4),IFERROR(0/0,""),INDEX('RFR Data - preExcl'!AC$2:AC923,$R4,1))</f>
        <v/>
      </c>
      <c r="G4" s="16" t="str">
        <f t="array" ref="G4">IF(OR(ISBLANK(A4),C4),IFERROR(0/0,""),INDEX('RFR Data - preExcl'!AK$2:AK923,$R4,1))</f>
        <v/>
      </c>
      <c r="H4" s="16" t="str">
        <f t="array" ref="H4">IF(OR(ISBLANK(A4),C4),IFERROR(0/0,""),INDEX('RFR Data - preExcl'!AL$2:AL923,$R4,1))</f>
        <v/>
      </c>
      <c r="I4" s="16">
        <f>IFERROR(VLOOKUP($B4,'APS Tubes by Date IMPORT'!$B$2:$J923,2,FALSE),"")</f>
        <v>1</v>
      </c>
      <c r="J4" s="16" t="str">
        <f>IFERROR(VLOOKUP($B4,'APS Tubes by Date IMPORT'!$B$2:$J923,9,FALSE),"")</f>
        <v/>
      </c>
      <c r="K4" s="16">
        <f>IFNA(VLOOKUP($B4,'APS Tubes by Date IMPORT'!$B$2:$J923,6,FALSE),"")</f>
        <v>0</v>
      </c>
      <c r="L4" s="89">
        <f t="shared" si="3"/>
        <v>1</v>
      </c>
      <c r="M4" s="16">
        <f t="shared" si="4"/>
        <v>0</v>
      </c>
      <c r="N4" s="90">
        <v>3.4</v>
      </c>
      <c r="O4" s="30" t="b">
        <f t="shared" si="5"/>
        <v>1</v>
      </c>
      <c r="P4" s="91" t="str">
        <f>IF(ISBLANK(N4),IFERROR(0/0,""),IFERROR(VLOOKUP(N4, 'Process Ref'!$A$76:$D$122, 2, FALSE), IFERROR(0/0,"")))</f>
        <v>Add Run from APS with no RFR (assume run on same day as Collect, ignore Result day)</v>
      </c>
      <c r="R4" s="92" t="str">
        <f>IFNA(MATCH(A4,'RFR Data - preExcl'!A$2:A923,0),"")</f>
        <v/>
      </c>
      <c r="S4" s="54"/>
      <c r="T4" s="30" t="str">
        <f>IF(EXACT('RFR Data - preExcl'!W4,"Initial"),'RFR Data - preExcl'!A4,IFERROR(0/0,""))</f>
        <v>RUN-FLMP_2021-11-12_RFR-003</v>
      </c>
      <c r="U4" s="93">
        <f>IF(EXACT('RFR Data - preExcl'!W4,"Initial"),'RFR Data - preExcl'!U4,IFERROR(0/0,""))</f>
        <v>44512</v>
      </c>
      <c r="X4" s="86"/>
      <c r="Y4" s="97" t="str">
        <f>IFERROR(__xludf.DUMMYFUNCTION("""COMPUTED_VALUE"""),"RUN-FLMP_2021-12-10_RFR-014_Re-run")</f>
        <v>RUN-FLMP_2021-12-10_RFR-014_Re-run</v>
      </c>
      <c r="Z4" s="95">
        <f>IFERROR(__xludf.DUMMYFUNCTION("""COMPUTED_VALUE"""),44540.487346678245)</f>
        <v>44540.48735</v>
      </c>
      <c r="AA4" s="96">
        <f>VLOOKUP($Y4,'RFR Data - preExcl'!$A$2:$AK923,29,FALSE)</f>
        <v>3</v>
      </c>
      <c r="AB4" s="96">
        <f>VLOOKUP($Y4,'RFR Data - preExcl'!$A$2:$AK923,37,FALSE)</f>
        <v>1</v>
      </c>
      <c r="AC4" s="69"/>
      <c r="AD4" s="69"/>
      <c r="AE4" s="96">
        <f t="shared" ref="AE4:AF4" si="8">AA4</f>
        <v>3</v>
      </c>
      <c r="AF4" s="96">
        <f t="shared" si="8"/>
        <v>1</v>
      </c>
      <c r="AG4" s="86"/>
      <c r="AH4" s="97" t="str">
        <f>IFERROR(__xludf.DUMMYFUNCTION("""COMPUTED_VALUE"""),"RUN-FLMP_2020-12-22_APS-003")</f>
        <v>RUN-FLMP_2020-12-22_APS-003</v>
      </c>
      <c r="AI4" s="96">
        <f t="shared" si="7"/>
        <v>1</v>
      </c>
      <c r="AJ4" s="86"/>
    </row>
    <row r="5">
      <c r="A5" s="8" t="s">
        <v>36</v>
      </c>
      <c r="B5" s="14">
        <v>44193.0</v>
      </c>
      <c r="C5" s="88" t="b">
        <f t="shared" si="2"/>
        <v>1</v>
      </c>
      <c r="D5" s="16" t="str">
        <f t="array" ref="D5">IF(OR(ISBLANK($A5),$C5),IFERROR(0/0,""),INDEX('RFR Data - preExcl'!E$2:E923,$R5,1))</f>
        <v/>
      </c>
      <c r="E5" s="16" t="str">
        <f t="array" ref="E5">IF(OR(ISBLANK($A5),$C5),IFERROR(0/0,""),INDEX('RFR Data - preExcl'!Z$2:Z923,$R5,1))</f>
        <v/>
      </c>
      <c r="F5" s="16" t="str">
        <f t="array" ref="F5">IF(OR(ISBLANK(A5),C5),IFERROR(0/0,""),INDEX('RFR Data - preExcl'!AC$2:AC923,$R5,1))</f>
        <v/>
      </c>
      <c r="G5" s="16" t="str">
        <f t="array" ref="G5">IF(OR(ISBLANK(A5),C5),IFERROR(0/0,""),INDEX('RFR Data - preExcl'!AK$2:AK923,$R5,1))</f>
        <v/>
      </c>
      <c r="H5" s="16" t="str">
        <f t="array" ref="H5">IF(OR(ISBLANK(A5),C5),IFERROR(0/0,""),INDEX('RFR Data - preExcl'!AL$2:AL923,$R5,1))</f>
        <v/>
      </c>
      <c r="I5" s="16">
        <f>IFERROR(VLOOKUP($B5,'APS Tubes by Date IMPORT'!$B$2:$J923,2,FALSE),"")</f>
        <v>2</v>
      </c>
      <c r="J5" s="16" t="str">
        <f>IFERROR(VLOOKUP($B5,'APS Tubes by Date IMPORT'!$B$2:$J923,9,FALSE),"")</f>
        <v/>
      </c>
      <c r="K5" s="16">
        <f>IFNA(VLOOKUP($B5,'APS Tubes by Date IMPORT'!$B$2:$J923,6,FALSE),"")</f>
        <v>0</v>
      </c>
      <c r="L5" s="89">
        <f t="shared" si="3"/>
        <v>2</v>
      </c>
      <c r="M5" s="16">
        <f t="shared" si="4"/>
        <v>0</v>
      </c>
      <c r="N5" s="90">
        <v>3.4</v>
      </c>
      <c r="O5" s="30" t="b">
        <f t="shared" si="5"/>
        <v>1</v>
      </c>
      <c r="P5" s="91" t="str">
        <f>IF(ISBLANK(N5),IFERROR(0/0,""),IFERROR(VLOOKUP(N5, 'Process Ref'!$A$76:$D$122, 2, FALSE), IFERROR(0/0,"")))</f>
        <v>Add Run from APS with no RFR (assume run on same day as Collect, ignore Result day)</v>
      </c>
      <c r="R5" s="92" t="str">
        <f>IFNA(MATCH(A5,'RFR Data - preExcl'!A$2:A923,0),"")</f>
        <v/>
      </c>
      <c r="S5" s="54"/>
      <c r="T5" s="30" t="str">
        <f>IF(EXACT('RFR Data - preExcl'!W5,"Initial"),'RFR Data - preExcl'!A5,IFERROR(0/0,""))</f>
        <v>RUN-FLMP_2021-11-26_RFR-004</v>
      </c>
      <c r="U5" s="93">
        <f>IF(EXACT('RFR Data - preExcl'!W5,"Initial"),'RFR Data - preExcl'!U5,IFERROR(0/0,""))</f>
        <v>44526</v>
      </c>
      <c r="X5" s="86"/>
      <c r="Y5" s="97" t="str">
        <f>IFERROR(__xludf.DUMMYFUNCTION("""COMPUTED_VALUE"""),"RUN-FLMP_2021-12-20_RFR-027_Re-run")</f>
        <v>RUN-FLMP_2021-12-20_RFR-027_Re-run</v>
      </c>
      <c r="Z5" s="95">
        <f>IFERROR(__xludf.DUMMYFUNCTION("""COMPUTED_VALUE"""),44550.557513402775)</f>
        <v>44550.55751</v>
      </c>
      <c r="AA5" s="96">
        <f>VLOOKUP($Y5,'RFR Data - preExcl'!$A$2:$AK923,29,FALSE)</f>
        <v>3</v>
      </c>
      <c r="AB5" s="96">
        <f>VLOOKUP($Y5,'RFR Data - preExcl'!$A$2:$AK923,37,FALSE)</f>
        <v>1</v>
      </c>
      <c r="AC5" s="69"/>
      <c r="AD5" s="69"/>
      <c r="AE5" s="96">
        <f t="shared" ref="AE5:AF5" si="9">AA5</f>
        <v>3</v>
      </c>
      <c r="AF5" s="96">
        <f t="shared" si="9"/>
        <v>1</v>
      </c>
      <c r="AG5" s="86"/>
      <c r="AH5" s="97" t="str">
        <f>IFERROR(__xludf.DUMMYFUNCTION("""COMPUTED_VALUE"""),"RUN-FLMP_2020-12-28_APS-004")</f>
        <v>RUN-FLMP_2020-12-28_APS-004</v>
      </c>
      <c r="AI5" s="96">
        <f t="shared" si="7"/>
        <v>2</v>
      </c>
      <c r="AJ5" s="86"/>
    </row>
    <row r="6">
      <c r="A6" s="8" t="s">
        <v>37</v>
      </c>
      <c r="B6" s="14">
        <v>44207.0</v>
      </c>
      <c r="C6" s="88" t="b">
        <f t="shared" si="2"/>
        <v>1</v>
      </c>
      <c r="D6" s="16" t="str">
        <f t="array" ref="D6">IF(OR(ISBLANK($A6),$C6),IFERROR(0/0,""),INDEX('RFR Data - preExcl'!E$2:E923,$R6,1))</f>
        <v/>
      </c>
      <c r="E6" s="16" t="str">
        <f t="array" ref="E6">IF(OR(ISBLANK($A6),$C6),IFERROR(0/0,""),INDEX('RFR Data - preExcl'!Z$2:Z923,$R6,1))</f>
        <v/>
      </c>
      <c r="F6" s="16" t="str">
        <f t="array" ref="F6">IF(OR(ISBLANK(A6),C6),IFERROR(0/0,""),INDEX('RFR Data - preExcl'!AC$2:AC923,$R6,1))</f>
        <v/>
      </c>
      <c r="G6" s="16" t="str">
        <f t="array" ref="G6">IF(OR(ISBLANK(A6),C6),IFERROR(0/0,""),INDEX('RFR Data - preExcl'!AK$2:AK923,$R6,1))</f>
        <v/>
      </c>
      <c r="H6" s="16" t="str">
        <f t="array" ref="H6">IF(OR(ISBLANK(A6),C6),IFERROR(0/0,""),INDEX('RFR Data - preExcl'!AL$2:AL923,$R6,1))</f>
        <v/>
      </c>
      <c r="I6" s="16">
        <f>IFERROR(VLOOKUP($B6,'APS Tubes by Date IMPORT'!$B$2:$J923,2,FALSE),"")</f>
        <v>4</v>
      </c>
      <c r="J6" s="16" t="str">
        <f>IFERROR(VLOOKUP($B6,'APS Tubes by Date IMPORT'!$B$2:$J923,9,FALSE),"")</f>
        <v/>
      </c>
      <c r="K6" s="16">
        <f>IFNA(VLOOKUP($B6,'APS Tubes by Date IMPORT'!$B$2:$J923,6,FALSE),"")</f>
        <v>0</v>
      </c>
      <c r="L6" s="89">
        <f t="shared" si="3"/>
        <v>4</v>
      </c>
      <c r="M6" s="16">
        <f t="shared" si="4"/>
        <v>0</v>
      </c>
      <c r="N6" s="90">
        <v>3.4</v>
      </c>
      <c r="O6" s="30" t="b">
        <f t="shared" si="5"/>
        <v>1</v>
      </c>
      <c r="P6" s="91" t="str">
        <f>IF(ISBLANK(N6),IFERROR(0/0,""),IFERROR(VLOOKUP(N6, 'Process Ref'!$A$76:$D$122, 2, FALSE), IFERROR(0/0,"")))</f>
        <v>Add Run from APS with no RFR (assume run on same day as Collect, ignore Result day)</v>
      </c>
      <c r="R6" s="92" t="str">
        <f>IFNA(MATCH(A6,'RFR Data - preExcl'!A$2:A923,0),"")</f>
        <v/>
      </c>
      <c r="S6" s="54"/>
      <c r="T6" s="30" t="str">
        <f>IF(EXACT('RFR Data - preExcl'!W6,"Initial"),'RFR Data - preExcl'!A6,IFERROR(0/0,""))</f>
        <v>RUN-FLMP_2021-11-28_RFR-006</v>
      </c>
      <c r="U6" s="93">
        <f>IF(EXACT('RFR Data - preExcl'!W6,"Initial"),'RFR Data - preExcl'!U6,IFERROR(0/0,""))</f>
        <v>44528</v>
      </c>
      <c r="X6" s="86"/>
      <c r="Y6" s="97" t="str">
        <f>IFERROR(__xludf.DUMMYFUNCTION("""COMPUTED_VALUE"""),"RUN-FLMP_2022-01-03_RFR-048_Re-run")</f>
        <v>RUN-FLMP_2022-01-03_RFR-048_Re-run</v>
      </c>
      <c r="Z6" s="95">
        <f>IFERROR(__xludf.DUMMYFUNCTION("""COMPUTED_VALUE"""),44564.44449006944)</f>
        <v>44564.44449</v>
      </c>
      <c r="AA6" s="88">
        <f>VLOOKUP($Y6,'RFR Data - preExcl'!$A$2:$AK923,29,FALSE)</f>
        <v>4</v>
      </c>
      <c r="AB6" s="96">
        <f>VLOOKUP($Y6,'RFR Data - preExcl'!$A$2:$AK923,37,FALSE)</f>
        <v>4</v>
      </c>
      <c r="AC6" s="96">
        <f t="shared" ref="AC6:AD6" si="10">AA6-AE6</f>
        <v>3</v>
      </c>
      <c r="AD6" s="96">
        <f t="shared" si="10"/>
        <v>3</v>
      </c>
      <c r="AE6" s="98">
        <v>1.0</v>
      </c>
      <c r="AF6" s="98">
        <v>1.0</v>
      </c>
      <c r="AG6" s="86"/>
      <c r="AH6" s="97" t="str">
        <f>IFERROR(__xludf.DUMMYFUNCTION("""COMPUTED_VALUE"""),"RUN-FLMP_2021-01-11_APS-005")</f>
        <v>RUN-FLMP_2021-01-11_APS-005</v>
      </c>
      <c r="AI6" s="96">
        <f t="shared" si="7"/>
        <v>4</v>
      </c>
      <c r="AJ6" s="86"/>
    </row>
    <row r="7">
      <c r="A7" s="8" t="s">
        <v>38</v>
      </c>
      <c r="B7" s="14">
        <v>44209.0</v>
      </c>
      <c r="C7" s="88" t="b">
        <f t="shared" si="2"/>
        <v>1</v>
      </c>
      <c r="D7" s="16" t="str">
        <f t="array" ref="D7">IF(OR(ISBLANK($A7),$C7),IFERROR(0/0,""),INDEX('RFR Data - preExcl'!E$2:E923,$R7,1))</f>
        <v/>
      </c>
      <c r="E7" s="16" t="str">
        <f t="array" ref="E7">IF(OR(ISBLANK($A7),$C7),IFERROR(0/0,""),INDEX('RFR Data - preExcl'!Z$2:Z923,$R7,1))</f>
        <v/>
      </c>
      <c r="F7" s="16" t="str">
        <f t="array" ref="F7">IF(OR(ISBLANK(A7),C7),IFERROR(0/0,""),INDEX('RFR Data - preExcl'!AC$2:AC923,$R7,1))</f>
        <v/>
      </c>
      <c r="G7" s="16" t="str">
        <f t="array" ref="G7">IF(OR(ISBLANK(A7),C7),IFERROR(0/0,""),INDEX('RFR Data - preExcl'!AK$2:AK923,$R7,1))</f>
        <v/>
      </c>
      <c r="H7" s="16" t="str">
        <f t="array" ref="H7">IF(OR(ISBLANK(A7),C7),IFERROR(0/0,""),INDEX('RFR Data - preExcl'!AL$2:AL923,$R7,1))</f>
        <v/>
      </c>
      <c r="I7" s="16">
        <f>IFERROR(VLOOKUP($B7,'APS Tubes by Date IMPORT'!$B$2:$J923,2,FALSE),"")</f>
        <v>4</v>
      </c>
      <c r="J7" s="16" t="str">
        <f>IFERROR(VLOOKUP($B7,'APS Tubes by Date IMPORT'!$B$2:$J923,9,FALSE),"")</f>
        <v/>
      </c>
      <c r="K7" s="16">
        <f>IFNA(VLOOKUP($B7,'APS Tubes by Date IMPORT'!$B$2:$J923,6,FALSE),"")</f>
        <v>0</v>
      </c>
      <c r="L7" s="89">
        <f t="shared" si="3"/>
        <v>4</v>
      </c>
      <c r="M7" s="16">
        <f t="shared" si="4"/>
        <v>0</v>
      </c>
      <c r="N7" s="90">
        <v>3.4</v>
      </c>
      <c r="O7" s="30" t="b">
        <f t="shared" si="5"/>
        <v>1</v>
      </c>
      <c r="P7" s="91" t="str">
        <f>IF(ISBLANK(N7),IFERROR(0/0,""),IFERROR(VLOOKUP(N7, 'Process Ref'!$A$76:$D$122, 2, FALSE), IFERROR(0/0,"")))</f>
        <v>Add Run from APS with no RFR (assume run on same day as Collect, ignore Result day)</v>
      </c>
      <c r="Q7" s="8" t="str">
        <f>IFS(OR(N7=0.1,N7=1.1,N7=2.1),"NULL &gt; NEG",N7=3, "Delete NULL",TRUE,IFERROR(0/0,""))</f>
        <v/>
      </c>
      <c r="R7" s="92" t="str">
        <f>IFNA(MATCH(A7,'RFR Data - preExcl'!A$2:A923,0),"")</f>
        <v/>
      </c>
      <c r="S7" s="54"/>
      <c r="T7" s="30" t="str">
        <f>IF(EXACT('RFR Data - preExcl'!W7,"Initial"),'RFR Data - preExcl'!A7,IFERROR(0/0,""))</f>
        <v>RUN-FLMP_2021-11-29_RFR-007</v>
      </c>
      <c r="U7" s="93">
        <f>IF(EXACT('RFR Data - preExcl'!W7,"Initial"),'RFR Data - preExcl'!U7,IFERROR(0/0,""))</f>
        <v>44529</v>
      </c>
      <c r="X7" s="86"/>
      <c r="Y7" s="97" t="str">
        <f>IFERROR(__xludf.DUMMYFUNCTION("""COMPUTED_VALUE"""),"RUN-FLMP_2022-01-06_RFR-051_Re-run")</f>
        <v>RUN-FLMP_2022-01-06_RFR-051_Re-run</v>
      </c>
      <c r="Z7" s="95">
        <f>IFERROR(__xludf.DUMMYFUNCTION("""COMPUTED_VALUE"""),44567.47462702546)</f>
        <v>44567.47463</v>
      </c>
      <c r="AA7" s="88">
        <f>VLOOKUP($Y7,'RFR Data - preExcl'!$A$2:$AK923,29,FALSE)</f>
        <v>4</v>
      </c>
      <c r="AB7" s="96">
        <f>VLOOKUP($Y7,'RFR Data - preExcl'!$A$2:$AK923,37,FALSE)</f>
        <v>1</v>
      </c>
      <c r="AC7" s="96">
        <f t="shared" ref="AC7:AD7" si="11">AA7-AE7</f>
        <v>4</v>
      </c>
      <c r="AD7" s="96">
        <f t="shared" si="11"/>
        <v>1</v>
      </c>
      <c r="AE7" s="69"/>
      <c r="AF7" s="69"/>
      <c r="AG7" s="86"/>
      <c r="AH7" s="97" t="str">
        <f>IFERROR(__xludf.DUMMYFUNCTION("""COMPUTED_VALUE"""),"RUN-FLMP_2021-01-13_APS-006")</f>
        <v>RUN-FLMP_2021-01-13_APS-006</v>
      </c>
      <c r="AI7" s="96">
        <f t="shared" si="7"/>
        <v>4</v>
      </c>
      <c r="AJ7" s="86"/>
    </row>
    <row r="8">
      <c r="A8" s="8" t="s">
        <v>39</v>
      </c>
      <c r="B8" s="14">
        <v>44211.0</v>
      </c>
      <c r="C8" s="88" t="b">
        <f t="shared" si="2"/>
        <v>1</v>
      </c>
      <c r="D8" s="16" t="str">
        <f t="array" ref="D8">IF(OR(ISBLANK($A8),$C8),IFERROR(0/0,""),INDEX('RFR Data - preExcl'!E$2:E923,$R8,1))</f>
        <v/>
      </c>
      <c r="E8" s="16" t="str">
        <f t="array" ref="E8">IF(OR(ISBLANK($A8),$C8),IFERROR(0/0,""),INDEX('RFR Data - preExcl'!Z$2:Z923,$R8,1))</f>
        <v/>
      </c>
      <c r="F8" s="16" t="str">
        <f t="array" ref="F8">IF(OR(ISBLANK(A8),C8),IFERROR(0/0,""),INDEX('RFR Data - preExcl'!AC$2:AC923,$R8,1))</f>
        <v/>
      </c>
      <c r="G8" s="16" t="str">
        <f t="array" ref="G8">IF(OR(ISBLANK(A8),C8),IFERROR(0/0,""),INDEX('RFR Data - preExcl'!AK$2:AK923,$R8,1))</f>
        <v/>
      </c>
      <c r="H8" s="16" t="str">
        <f t="array" ref="H8">IF(OR(ISBLANK(A8),C8),IFERROR(0/0,""),INDEX('RFR Data - preExcl'!AL$2:AL923,$R8,1))</f>
        <v/>
      </c>
      <c r="I8" s="16">
        <f>IFERROR(VLOOKUP($B8,'APS Tubes by Date IMPORT'!$B$2:$J923,2,FALSE),"")</f>
        <v>7</v>
      </c>
      <c r="J8" s="16" t="b">
        <f>IFERROR(VLOOKUP($B8,'APS Tubes by Date IMPORT'!$B$2:$J923,9,FALSE),"")</f>
        <v>1</v>
      </c>
      <c r="K8" s="16">
        <f>IFNA(VLOOKUP($B8,'APS Tubes by Date IMPORT'!$B$2:$J923,6,FALSE),"")</f>
        <v>0</v>
      </c>
      <c r="L8" s="89">
        <f t="shared" si="3"/>
        <v>7</v>
      </c>
      <c r="M8" s="16">
        <f t="shared" si="4"/>
        <v>0</v>
      </c>
      <c r="N8" s="90">
        <v>3.4</v>
      </c>
      <c r="O8" s="30" t="b">
        <f t="shared" si="5"/>
        <v>1</v>
      </c>
      <c r="P8" s="91" t="str">
        <f>IF(ISBLANK(N8),IFERROR(0/0,""),IFERROR(VLOOKUP(N8, 'Process Ref'!$A$76:$D$122, 2, FALSE), IFERROR(0/0,"")))</f>
        <v>Add Run from APS with no RFR (assume run on same day as Collect, ignore Result day)</v>
      </c>
      <c r="Q8" s="18" t="s">
        <v>299</v>
      </c>
      <c r="R8" s="92" t="str">
        <f>IFNA(MATCH(A8,'RFR Data - preExcl'!A$2:A923,0),"")</f>
        <v/>
      </c>
      <c r="S8" s="54"/>
      <c r="T8" s="30" t="str">
        <f>IF(EXACT('RFR Data - preExcl'!W8,"Initial"),'RFR Data - preExcl'!A8,IFERROR(0/0,""))</f>
        <v/>
      </c>
      <c r="U8" s="30" t="str">
        <f>IF(EXACT('RFR Data - preExcl'!W8,"Initial"),'RFR Data - preExcl'!U8,IFERROR(0/0,""))</f>
        <v/>
      </c>
      <c r="X8" s="86"/>
      <c r="Y8" s="97" t="str">
        <f>IFERROR(__xludf.DUMMYFUNCTION("""COMPUTED_VALUE"""),"RUN-FLMP_2022-01-10_RFR-054_Re-run")</f>
        <v>RUN-FLMP_2022-01-10_RFR-054_Re-run</v>
      </c>
      <c r="Z8" s="95">
        <f>IFERROR(__xludf.DUMMYFUNCTION("""COMPUTED_VALUE"""),44571.510082673616)</f>
        <v>44571.51008</v>
      </c>
      <c r="AA8" s="96">
        <f>VLOOKUP($Y8,'RFR Data - preExcl'!$A$2:$AK923,29,FALSE)</f>
        <v>6</v>
      </c>
      <c r="AB8" s="96">
        <f>VLOOKUP($Y8,'RFR Data - preExcl'!$A$2:$AK923,37,FALSE)</f>
        <v>2</v>
      </c>
      <c r="AC8" s="96">
        <f t="shared" ref="AC8:AD8" si="12">AA8-AE8</f>
        <v>6</v>
      </c>
      <c r="AD8" s="96">
        <f t="shared" si="12"/>
        <v>2</v>
      </c>
      <c r="AE8" s="69"/>
      <c r="AF8" s="69"/>
      <c r="AG8" s="86"/>
      <c r="AH8" s="97" t="str">
        <f>IFERROR(__xludf.DUMMYFUNCTION("""COMPUTED_VALUE"""),"RUN-FLMP_2021-01-15_APS-007")</f>
        <v>RUN-FLMP_2021-01-15_APS-007</v>
      </c>
      <c r="AI8" s="96">
        <f t="shared" si="7"/>
        <v>7</v>
      </c>
      <c r="AJ8" s="86"/>
    </row>
    <row r="9">
      <c r="A9" s="8" t="s">
        <v>40</v>
      </c>
      <c r="B9" s="14">
        <v>44214.0</v>
      </c>
      <c r="C9" s="88" t="b">
        <f t="shared" si="2"/>
        <v>1</v>
      </c>
      <c r="D9" s="16" t="str">
        <f t="array" ref="D9">IF(OR(ISBLANK($A9),$C9),IFERROR(0/0,""),INDEX('RFR Data - preExcl'!E$2:E923,$R9,1))</f>
        <v/>
      </c>
      <c r="E9" s="16" t="str">
        <f t="array" ref="E9">IF(OR(ISBLANK($A9),$C9),IFERROR(0/0,""),INDEX('RFR Data - preExcl'!Z$2:Z923,$R9,1))</f>
        <v/>
      </c>
      <c r="F9" s="16" t="str">
        <f t="array" ref="F9">IF(OR(ISBLANK(A9),C9),IFERROR(0/0,""),INDEX('RFR Data - preExcl'!AC$2:AC923,$R9,1))</f>
        <v/>
      </c>
      <c r="G9" s="16" t="str">
        <f t="array" ref="G9">IF(OR(ISBLANK(A9),C9),IFERROR(0/0,""),INDEX('RFR Data - preExcl'!AK$2:AK923,$R9,1))</f>
        <v/>
      </c>
      <c r="H9" s="16" t="str">
        <f t="array" ref="H9">IF(OR(ISBLANK(A9),C9),IFERROR(0/0,""),INDEX('RFR Data - preExcl'!AL$2:AL923,$R9,1))</f>
        <v/>
      </c>
      <c r="I9" s="16">
        <f>IFERROR(VLOOKUP($B9,'APS Tubes by Date IMPORT'!$B$2:$J923,2,FALSE),"")</f>
        <v>7</v>
      </c>
      <c r="J9" s="16" t="str">
        <f>IFERROR(VLOOKUP($B9,'APS Tubes by Date IMPORT'!$B$2:$J923,9,FALSE),"")</f>
        <v/>
      </c>
      <c r="K9" s="16">
        <f>IFNA(VLOOKUP($B9,'APS Tubes by Date IMPORT'!$B$2:$J923,6,FALSE),"")</f>
        <v>2</v>
      </c>
      <c r="L9" s="89">
        <f t="shared" si="3"/>
        <v>7</v>
      </c>
      <c r="M9" s="16">
        <f t="shared" si="4"/>
        <v>0</v>
      </c>
      <c r="N9" s="90">
        <v>3.4</v>
      </c>
      <c r="O9" s="30" t="b">
        <f t="shared" si="5"/>
        <v>1</v>
      </c>
      <c r="P9" s="91" t="str">
        <f>IF(ISBLANK(N9),IFERROR(0/0,""),IFERROR(VLOOKUP(N9, 'Process Ref'!$A$76:$D$122, 2, FALSE), IFERROR(0/0,"")))</f>
        <v>Add Run from APS with no RFR (assume run on same day as Collect, ignore Result day)</v>
      </c>
      <c r="Q9" s="18" t="s">
        <v>300</v>
      </c>
      <c r="R9" s="92" t="str">
        <f>IFNA(MATCH(A9,'RFR Data - preExcl'!A$2:A923,0),"")</f>
        <v/>
      </c>
      <c r="S9" s="54"/>
      <c r="T9" s="30" t="str">
        <f>IF(EXACT('RFR Data - preExcl'!W9,"Initial"),'RFR Data - preExcl'!A9,IFERROR(0/0,""))</f>
        <v>RUN-FLMP_2021-12-06_RFR-009</v>
      </c>
      <c r="U9" s="93">
        <f>IF(EXACT('RFR Data - preExcl'!W9,"Initial"),'RFR Data - preExcl'!U9,IFERROR(0/0,""))</f>
        <v>44536</v>
      </c>
      <c r="X9" s="86"/>
      <c r="Y9" s="97" t="str">
        <f>IFERROR(__xludf.DUMMYFUNCTION("""COMPUTED_VALUE"""),"RUN-FLMP_2022-01-13_RFR-058_Re-run")</f>
        <v>RUN-FLMP_2022-01-13_RFR-058_Re-run</v>
      </c>
      <c r="Z9" s="95">
        <f>IFERROR(__xludf.DUMMYFUNCTION("""COMPUTED_VALUE"""),44575.252931678246)</f>
        <v>44575.25293</v>
      </c>
      <c r="AA9" s="96">
        <f>VLOOKUP($Y9,'RFR Data - preExcl'!$A$2:$AK923,29,FALSE)</f>
        <v>4</v>
      </c>
      <c r="AB9" s="96">
        <f>VLOOKUP($Y9,'RFR Data - preExcl'!$A$2:$AK923,37,FALSE)</f>
        <v>1</v>
      </c>
      <c r="AC9" s="96">
        <f t="shared" ref="AC9:AD9" si="13">AA9-AE9</f>
        <v>4</v>
      </c>
      <c r="AD9" s="96">
        <f t="shared" si="13"/>
        <v>1</v>
      </c>
      <c r="AE9" s="69"/>
      <c r="AF9" s="69"/>
      <c r="AG9" s="86"/>
      <c r="AH9" s="97" t="str">
        <f>IFERROR(__xludf.DUMMYFUNCTION("""COMPUTED_VALUE"""),"RUN-FLMP_2021-01-18_APS-008")</f>
        <v>RUN-FLMP_2021-01-18_APS-008</v>
      </c>
      <c r="AI9" s="96">
        <f t="shared" si="7"/>
        <v>7</v>
      </c>
      <c r="AJ9" s="86"/>
    </row>
    <row r="10">
      <c r="A10" s="8" t="s">
        <v>41</v>
      </c>
      <c r="B10" s="14">
        <v>44216.0</v>
      </c>
      <c r="C10" s="88" t="b">
        <f t="shared" si="2"/>
        <v>1</v>
      </c>
      <c r="D10" s="16" t="str">
        <f t="array" ref="D10">IF(OR(ISBLANK($A10),$C10),IFERROR(0/0,""),INDEX('RFR Data - preExcl'!E$2:E923,$R10,1))</f>
        <v/>
      </c>
      <c r="E10" s="16" t="str">
        <f t="array" ref="E10">IF(OR(ISBLANK($A10),$C10),IFERROR(0/0,""),INDEX('RFR Data - preExcl'!Z$2:Z923,$R10,1))</f>
        <v/>
      </c>
      <c r="F10" s="16" t="str">
        <f t="array" ref="F10">IF(OR(ISBLANK(A10),C10),IFERROR(0/0,""),INDEX('RFR Data - preExcl'!AC$2:AC923,$R10,1))</f>
        <v/>
      </c>
      <c r="G10" s="16" t="str">
        <f t="array" ref="G10">IF(OR(ISBLANK(A10),C10),IFERROR(0/0,""),INDEX('RFR Data - preExcl'!AK$2:AK923,$R10,1))</f>
        <v/>
      </c>
      <c r="H10" s="16" t="str">
        <f t="array" ref="H10">IF(OR(ISBLANK(A10),C10),IFERROR(0/0,""),INDEX('RFR Data - preExcl'!AL$2:AL923,$R10,1))</f>
        <v/>
      </c>
      <c r="I10" s="16">
        <f>IFERROR(VLOOKUP($B10,'APS Tubes by Date IMPORT'!$B$2:$J923,2,FALSE),"")</f>
        <v>7</v>
      </c>
      <c r="J10" s="16" t="b">
        <f>IFERROR(VLOOKUP($B10,'APS Tubes by Date IMPORT'!$B$2:$J923,9,FALSE),"")</f>
        <v>1</v>
      </c>
      <c r="K10" s="16">
        <f>IFNA(VLOOKUP($B10,'APS Tubes by Date IMPORT'!$B$2:$J923,6,FALSE),"")</f>
        <v>0</v>
      </c>
      <c r="L10" s="89">
        <f t="shared" si="3"/>
        <v>7</v>
      </c>
      <c r="M10" s="16">
        <f t="shared" si="4"/>
        <v>0</v>
      </c>
      <c r="N10" s="90">
        <v>3.4</v>
      </c>
      <c r="O10" s="30" t="b">
        <f t="shared" si="5"/>
        <v>1</v>
      </c>
      <c r="P10" s="91" t="str">
        <f>IF(ISBLANK(N10),IFERROR(0/0,""),IFERROR(VLOOKUP(N10, 'Process Ref'!$A$76:$D$122, 2, FALSE), IFERROR(0/0,"")))</f>
        <v>Add Run from APS with no RFR (assume run on same day as Collect, ignore Result day)</v>
      </c>
      <c r="Q10" s="18" t="s">
        <v>301</v>
      </c>
      <c r="R10" s="92" t="str">
        <f>IFNA(MATCH(A10,'RFR Data - preExcl'!A$2:A923,0),"")</f>
        <v/>
      </c>
      <c r="S10" s="54"/>
      <c r="T10" s="30" t="str">
        <f>IF(EXACT('RFR Data - preExcl'!W10,"Initial"),'RFR Data - preExcl'!A10,IFERROR(0/0,""))</f>
        <v/>
      </c>
      <c r="U10" s="30" t="str">
        <f>IF(EXACT('RFR Data - preExcl'!W10,"Initial"),'RFR Data - preExcl'!U10,IFERROR(0/0,""))</f>
        <v/>
      </c>
      <c r="X10" s="86"/>
      <c r="Y10" s="97" t="str">
        <f>IFERROR(__xludf.DUMMYFUNCTION("""COMPUTED_VALUE"""),"RUN-FLMP_2022-01-17_RFR-064_Re-run")</f>
        <v>RUN-FLMP_2022-01-17_RFR-064_Re-run</v>
      </c>
      <c r="Z10" s="95">
        <f>IFERROR(__xludf.DUMMYFUNCTION("""COMPUTED_VALUE"""),44579.258892962964)</f>
        <v>44579.25889</v>
      </c>
      <c r="AA10" s="96">
        <f>VLOOKUP($Y10,'RFR Data - preExcl'!$A$2:$AK923,29,FALSE)</f>
        <v>3</v>
      </c>
      <c r="AB10" s="96">
        <f>VLOOKUP($Y10,'RFR Data - preExcl'!$A$2:$AK923,37,FALSE)</f>
        <v>1</v>
      </c>
      <c r="AC10" s="96">
        <f t="shared" ref="AC10:AD10" si="14">AA10-AE10</f>
        <v>3</v>
      </c>
      <c r="AD10" s="96">
        <f t="shared" si="14"/>
        <v>1</v>
      </c>
      <c r="AE10" s="69"/>
      <c r="AF10" s="69"/>
      <c r="AG10" s="86"/>
      <c r="AH10" s="97" t="str">
        <f>IFERROR(__xludf.DUMMYFUNCTION("""COMPUTED_VALUE"""),"RUN-FLMP_2021-01-20_APS-009")</f>
        <v>RUN-FLMP_2021-01-20_APS-009</v>
      </c>
      <c r="AI10" s="96">
        <f t="shared" si="7"/>
        <v>7</v>
      </c>
      <c r="AJ10" s="86"/>
    </row>
    <row r="11">
      <c r="A11" s="14" t="s">
        <v>42</v>
      </c>
      <c r="B11" s="14">
        <v>44217.0</v>
      </c>
      <c r="C11" s="88" t="b">
        <f t="shared" si="2"/>
        <v>1</v>
      </c>
      <c r="D11" s="16" t="str">
        <f t="array" ref="D11">IF(OR(ISBLANK($A11),$C11),IFERROR(0/0,""),INDEX('RFR Data - preExcl'!E$2:E923,$R11,1))</f>
        <v/>
      </c>
      <c r="E11" s="16" t="str">
        <f t="array" ref="E11">IF(OR(ISBLANK($A11),$C11),IFERROR(0/0,""),INDEX('RFR Data - preExcl'!Z$2:Z923,$R11,1))</f>
        <v/>
      </c>
      <c r="F11" s="16" t="str">
        <f t="array" ref="F11">IF(OR(ISBLANK(A11),C11),IFERROR(0/0,""),INDEX('RFR Data - preExcl'!AC$2:AC923,$R11,1))</f>
        <v/>
      </c>
      <c r="G11" s="16" t="str">
        <f t="array" ref="G11">IF(OR(ISBLANK(A11),C11),IFERROR(0/0,""),INDEX('RFR Data - preExcl'!AK$2:AK923,$R11,1))</f>
        <v/>
      </c>
      <c r="H11" s="16" t="str">
        <f t="array" ref="H11">IF(OR(ISBLANK(A11),C11),IFERROR(0/0,""),INDEX('RFR Data - preExcl'!AL$2:AL923,$R11,1))</f>
        <v/>
      </c>
      <c r="I11" s="16">
        <f>IFERROR(VLOOKUP($B11,'APS Tubes by Date IMPORT'!$B$2:$J923,2,FALSE),"")</f>
        <v>4</v>
      </c>
      <c r="J11" s="16" t="str">
        <f>IFERROR(VLOOKUP($B11,'APS Tubes by Date IMPORT'!$B$2:$J923,9,FALSE),"")</f>
        <v/>
      </c>
      <c r="K11" s="16">
        <f>IFNA(VLOOKUP($B11,'APS Tubes by Date IMPORT'!$B$2:$J923,6,FALSE),"")</f>
        <v>0</v>
      </c>
      <c r="L11" s="89">
        <f t="shared" si="3"/>
        <v>4</v>
      </c>
      <c r="M11" s="16">
        <f t="shared" si="4"/>
        <v>0</v>
      </c>
      <c r="N11" s="90">
        <v>3.4</v>
      </c>
      <c r="O11" s="30" t="b">
        <f t="shared" si="5"/>
        <v>1</v>
      </c>
      <c r="P11" s="91" t="str">
        <f>IF(ISBLANK(N11),IFERROR(0/0,""),IFERROR(VLOOKUP(N11, 'Process Ref'!$A$76:$D$122, 2, FALSE), IFERROR(0/0,"")))</f>
        <v>Add Run from APS with no RFR (assume run on same day as Collect, ignore Result day)</v>
      </c>
      <c r="Q11" s="18" t="s">
        <v>301</v>
      </c>
      <c r="R11" s="92" t="str">
        <f>IFNA(MATCH(A11,'RFR Data - preExcl'!A$2:A923,0),"")</f>
        <v/>
      </c>
      <c r="S11" s="54"/>
      <c r="T11" s="30" t="str">
        <f>IF(EXACT('RFR Data - preExcl'!W11,"Initial"),'RFR Data - preExcl'!A11,IFERROR(0/0,""))</f>
        <v>RUN-FLMP_2021-12-07_RFR-011</v>
      </c>
      <c r="U11" s="93">
        <f>IF(EXACT('RFR Data - preExcl'!W11,"Initial"),'RFR Data - preExcl'!U11,IFERROR(0/0,""))</f>
        <v>44537</v>
      </c>
      <c r="X11" s="86"/>
      <c r="Y11" s="97" t="str">
        <f>IFERROR(__xludf.DUMMYFUNCTION("""COMPUTED_VALUE"""),"RUN-FLMP_2022-01-20_RFR-068_Re-run")</f>
        <v>RUN-FLMP_2022-01-20_RFR-068_Re-run</v>
      </c>
      <c r="Z11" s="95">
        <f>IFERROR(__xludf.DUMMYFUNCTION("""COMPUTED_VALUE"""),44581.47011877315)</f>
        <v>44581.47012</v>
      </c>
      <c r="AA11" s="96">
        <f>VLOOKUP($Y11,'RFR Data - preExcl'!$A$2:$AK923,29,FALSE)</f>
        <v>6</v>
      </c>
      <c r="AB11" s="96">
        <f>VLOOKUP($Y11,'RFR Data - preExcl'!$A$2:$AK923,37,FALSE)</f>
        <v>2</v>
      </c>
      <c r="AC11" s="96">
        <f t="shared" ref="AC11:AD11" si="15">AA11-AE11</f>
        <v>6</v>
      </c>
      <c r="AD11" s="96">
        <f t="shared" si="15"/>
        <v>2</v>
      </c>
      <c r="AE11" s="69"/>
      <c r="AF11" s="69"/>
      <c r="AG11" s="86"/>
      <c r="AH11" s="99" t="str">
        <f>IFERROR(__xludf.DUMMYFUNCTION("""COMPUTED_VALUE"""),"RUN-FLMP_2021-01-21_APS-010")</f>
        <v>RUN-FLMP_2021-01-21_APS-010</v>
      </c>
      <c r="AI11" s="96">
        <f t="shared" si="7"/>
        <v>4</v>
      </c>
      <c r="AJ11" s="86"/>
    </row>
    <row r="12">
      <c r="A12" s="8" t="s">
        <v>43</v>
      </c>
      <c r="B12" s="14">
        <v>44218.0</v>
      </c>
      <c r="C12" s="88" t="b">
        <f t="shared" si="2"/>
        <v>1</v>
      </c>
      <c r="D12" s="16" t="str">
        <f t="array" ref="D12">IF(OR(ISBLANK($A12),$C12),IFERROR(0/0,""),INDEX('RFR Data - preExcl'!E$2:E923,$R12,1))</f>
        <v/>
      </c>
      <c r="E12" s="16" t="str">
        <f t="array" ref="E12">IF(OR(ISBLANK($A12),$C12),IFERROR(0/0,""),INDEX('RFR Data - preExcl'!Z$2:Z923,$R12,1))</f>
        <v/>
      </c>
      <c r="F12" s="16" t="str">
        <f t="array" ref="F12">IF(OR(ISBLANK(A12),C12),IFERROR(0/0,""),INDEX('RFR Data - preExcl'!AC$2:AC923,$R12,1))</f>
        <v/>
      </c>
      <c r="G12" s="16" t="str">
        <f t="array" ref="G12">IF(OR(ISBLANK(A12),C12),IFERROR(0/0,""),INDEX('RFR Data - preExcl'!AK$2:AK923,$R12,1))</f>
        <v/>
      </c>
      <c r="H12" s="16" t="str">
        <f t="array" ref="H12">IF(OR(ISBLANK(A12),C12),IFERROR(0/0,""),INDEX('RFR Data - preExcl'!AL$2:AL923,$R12,1))</f>
        <v/>
      </c>
      <c r="I12" s="16">
        <f>IFERROR(VLOOKUP($B12,'APS Tubes by Date IMPORT'!$B$2:$J923,2,FALSE),"")</f>
        <v>4</v>
      </c>
      <c r="J12" s="16" t="str">
        <f>IFERROR(VLOOKUP($B12,'APS Tubes by Date IMPORT'!$B$2:$J923,9,FALSE),"")</f>
        <v/>
      </c>
      <c r="K12" s="16">
        <f>IFNA(VLOOKUP($B12,'APS Tubes by Date IMPORT'!$B$2:$J923,6,FALSE),"")</f>
        <v>0</v>
      </c>
      <c r="L12" s="89">
        <f t="shared" si="3"/>
        <v>4</v>
      </c>
      <c r="M12" s="16">
        <f t="shared" si="4"/>
        <v>0</v>
      </c>
      <c r="N12" s="90">
        <v>3.4</v>
      </c>
      <c r="O12" s="30" t="b">
        <f t="shared" si="5"/>
        <v>1</v>
      </c>
      <c r="P12" s="91" t="str">
        <f>IF(ISBLANK(N12),IFERROR(0/0,""),IFERROR(VLOOKUP(N12, 'Process Ref'!$A$76:$D$122, 2, FALSE), IFERROR(0/0,"")))</f>
        <v>Add Run from APS with no RFR (assume run on same day as Collect, ignore Result day)</v>
      </c>
      <c r="R12" s="92" t="str">
        <f>IFNA(MATCH(A12,'RFR Data - preExcl'!A$2:A923,0),"")</f>
        <v/>
      </c>
      <c r="S12" s="54"/>
      <c r="T12" s="30" t="str">
        <f>IF(EXACT('RFR Data - preExcl'!W12,"Initial"),'RFR Data - preExcl'!A12,IFERROR(0/0,""))</f>
        <v>RUN-FLMP_2021-12-09_RFR-012</v>
      </c>
      <c r="U12" s="93">
        <f>IF(EXACT('RFR Data - preExcl'!W12,"Initial"),'RFR Data - preExcl'!U12,IFERROR(0/0,""))</f>
        <v>44539</v>
      </c>
      <c r="X12" s="86"/>
      <c r="Y12" s="100" t="str">
        <f>IFERROR(__xludf.DUMMYFUNCTION("""COMPUTED_VALUE"""),"RUN-FLMP_2022-01-24_RFR-073_Re-run")</f>
        <v>RUN-FLMP_2022-01-24_RFR-073_Re-run</v>
      </c>
      <c r="Z12" s="95">
        <f>IFERROR(__xludf.DUMMYFUNCTION("""COMPUTED_VALUE"""),44586.36553055556)</f>
        <v>44586.36553</v>
      </c>
      <c r="AA12" s="96">
        <f>VLOOKUP($Y12,'RFR Data - preExcl'!$A$2:$AK923,29,FALSE)</f>
        <v>18</v>
      </c>
      <c r="AB12" s="96">
        <f>VLOOKUP($Y12,'RFR Data - preExcl'!$A$2:$AK923,37,FALSE)</f>
        <v>6</v>
      </c>
      <c r="AC12" s="96">
        <f t="shared" ref="AC12:AD12" si="16">AA12-AE12</f>
        <v>18</v>
      </c>
      <c r="AD12" s="96">
        <f t="shared" si="16"/>
        <v>6</v>
      </c>
      <c r="AE12" s="69"/>
      <c r="AF12" s="69"/>
      <c r="AG12" s="86"/>
      <c r="AH12" s="101" t="str">
        <f>IFERROR(__xludf.DUMMYFUNCTION("""COMPUTED_VALUE"""),"RUN-FLMP_2021-01-22_APS-011")</f>
        <v>RUN-FLMP_2021-01-22_APS-011</v>
      </c>
      <c r="AI12" s="96">
        <f t="shared" si="7"/>
        <v>4</v>
      </c>
      <c r="AJ12" s="86"/>
    </row>
    <row r="13">
      <c r="A13" s="8" t="s">
        <v>44</v>
      </c>
      <c r="B13" s="14">
        <v>44220.0</v>
      </c>
      <c r="C13" s="88" t="b">
        <f t="shared" si="2"/>
        <v>1</v>
      </c>
      <c r="D13" s="16" t="str">
        <f t="array" ref="D13">IF(OR(ISBLANK($A13),$C13),IFERROR(0/0,""),INDEX('RFR Data - preExcl'!E$2:E923,$R13,1))</f>
        <v/>
      </c>
      <c r="E13" s="16" t="str">
        <f t="array" ref="E13">IF(OR(ISBLANK($A13),$C13),IFERROR(0/0,""),INDEX('RFR Data - preExcl'!Z$2:Z923,$R13,1))</f>
        <v/>
      </c>
      <c r="F13" s="16" t="str">
        <f t="array" ref="F13">IF(OR(ISBLANK(A13),C13),IFERROR(0/0,""),INDEX('RFR Data - preExcl'!AC$2:AC923,$R13,1))</f>
        <v/>
      </c>
      <c r="G13" s="16" t="str">
        <f t="array" ref="G13">IF(OR(ISBLANK(A13),C13),IFERROR(0/0,""),INDEX('RFR Data - preExcl'!AK$2:AK923,$R13,1))</f>
        <v/>
      </c>
      <c r="H13" s="16" t="str">
        <f t="array" ref="H13">IF(OR(ISBLANK(A13),C13),IFERROR(0/0,""),INDEX('RFR Data - preExcl'!AL$2:AL923,$R13,1))</f>
        <v/>
      </c>
      <c r="I13" s="16">
        <f>IFERROR(VLOOKUP($B13,'APS Tubes by Date IMPORT'!$B$2:$J923,2,FALSE),"")</f>
        <v>2</v>
      </c>
      <c r="J13" s="16" t="str">
        <f>IFERROR(VLOOKUP($B13,'APS Tubes by Date IMPORT'!$B$2:$J923,9,FALSE),"")</f>
        <v/>
      </c>
      <c r="K13" s="16">
        <f>IFNA(VLOOKUP($B13,'APS Tubes by Date IMPORT'!$B$2:$J923,6,FALSE),"")</f>
        <v>0</v>
      </c>
      <c r="L13" s="89">
        <f t="shared" si="3"/>
        <v>2</v>
      </c>
      <c r="M13" s="16">
        <f t="shared" si="4"/>
        <v>0</v>
      </c>
      <c r="N13" s="90">
        <v>3.4</v>
      </c>
      <c r="O13" s="30" t="b">
        <f t="shared" si="5"/>
        <v>1</v>
      </c>
      <c r="P13" s="91" t="str">
        <f>IF(ISBLANK(N13),IFERROR(0/0,""),IFERROR(VLOOKUP(N13, 'Process Ref'!$A$76:$D$122, 2, FALSE), IFERROR(0/0,"")))</f>
        <v>Add Run from APS with no RFR (assume run on same day as Collect, ignore Result day)</v>
      </c>
      <c r="Q13" s="18" t="s">
        <v>301</v>
      </c>
      <c r="R13" s="92" t="str">
        <f>IFNA(MATCH(A13,'RFR Data - preExcl'!A$2:A923,0),"")</f>
        <v/>
      </c>
      <c r="S13" s="54"/>
      <c r="T13" s="30" t="str">
        <f>IF(EXACT('RFR Data - preExcl'!W13,"Initial"),'RFR Data - preExcl'!A13,IFERROR(0/0,""))</f>
        <v>RUN-FLMP_2021-12-10_RFR-013</v>
      </c>
      <c r="U13" s="93">
        <f>IF(EXACT('RFR Data - preExcl'!W13,"Initial"),'RFR Data - preExcl'!U13,IFERROR(0/0,""))</f>
        <v>44540</v>
      </c>
      <c r="X13" s="86"/>
      <c r="Y13" s="100" t="str">
        <f>IFERROR(__xludf.DUMMYFUNCTION("""COMPUTED_VALUE"""),"RUN-FLMP_2022-01-31_RFR-077_Re-run")</f>
        <v>RUN-FLMP_2022-01-31_RFR-077_Re-run</v>
      </c>
      <c r="Z13" s="95">
        <f>IFERROR(__xludf.DUMMYFUNCTION("""COMPUTED_VALUE"""),44592.47555920139)</f>
        <v>44592.47556</v>
      </c>
      <c r="AA13" s="96">
        <f>VLOOKUP($Y13,'RFR Data - preExcl'!$A$2:$AK923,29,FALSE)</f>
        <v>9</v>
      </c>
      <c r="AB13" s="96">
        <f>VLOOKUP($Y13,'RFR Data - preExcl'!$A$2:$AK923,37,FALSE)</f>
        <v>3</v>
      </c>
      <c r="AC13" s="96">
        <f t="shared" ref="AC13:AD13" si="17">AA13-AE13</f>
        <v>9</v>
      </c>
      <c r="AD13" s="96">
        <f t="shared" si="17"/>
        <v>3</v>
      </c>
      <c r="AE13" s="69"/>
      <c r="AF13" s="69"/>
      <c r="AG13" s="86"/>
      <c r="AH13" s="101" t="str">
        <f>IFERROR(__xludf.DUMMYFUNCTION("""COMPUTED_VALUE"""),"RUN-FLMP_2021-01-24_APS-012")</f>
        <v>RUN-FLMP_2021-01-24_APS-012</v>
      </c>
      <c r="AI13" s="96">
        <f t="shared" si="7"/>
        <v>2</v>
      </c>
      <c r="AJ13" s="86"/>
    </row>
    <row r="14">
      <c r="A14" s="8" t="s">
        <v>45</v>
      </c>
      <c r="B14" s="14">
        <v>44221.0</v>
      </c>
      <c r="C14" s="88" t="b">
        <f t="shared" si="2"/>
        <v>1</v>
      </c>
      <c r="D14" s="16" t="str">
        <f t="array" ref="D14">IF(OR(ISBLANK($A14),$C14),IFERROR(0/0,""),INDEX('RFR Data - preExcl'!E$2:E923,$R14,1))</f>
        <v/>
      </c>
      <c r="E14" s="16" t="str">
        <f t="array" ref="E14">IF(OR(ISBLANK($A14),$C14),IFERROR(0/0,""),INDEX('RFR Data - preExcl'!Z$2:Z923,$R14,1))</f>
        <v/>
      </c>
      <c r="F14" s="16" t="str">
        <f t="array" ref="F14">IF(OR(ISBLANK(A14),C14),IFERROR(0/0,""),INDEX('RFR Data - preExcl'!AC$2:AC923,$R14,1))</f>
        <v/>
      </c>
      <c r="G14" s="16" t="str">
        <f t="array" ref="G14">IF(OR(ISBLANK(A14),C14),IFERROR(0/0,""),INDEX('RFR Data - preExcl'!AK$2:AK923,$R14,1))</f>
        <v/>
      </c>
      <c r="H14" s="16" t="str">
        <f t="array" ref="H14">IF(OR(ISBLANK(A14),C14),IFERROR(0/0,""),INDEX('RFR Data - preExcl'!AL$2:AL923,$R14,1))</f>
        <v/>
      </c>
      <c r="I14" s="16">
        <f>IFERROR(VLOOKUP($B14,'APS Tubes by Date IMPORT'!$B$2:$J923,2,FALSE),"")</f>
        <v>4</v>
      </c>
      <c r="J14" s="16" t="str">
        <f>IFERROR(VLOOKUP($B14,'APS Tubes by Date IMPORT'!$B$2:$J923,9,FALSE),"")</f>
        <v/>
      </c>
      <c r="K14" s="16">
        <f>IFNA(VLOOKUP($B14,'APS Tubes by Date IMPORT'!$B$2:$J923,6,FALSE),"")</f>
        <v>0</v>
      </c>
      <c r="L14" s="89">
        <f t="shared" si="3"/>
        <v>4</v>
      </c>
      <c r="M14" s="16">
        <f t="shared" si="4"/>
        <v>0</v>
      </c>
      <c r="N14" s="90">
        <v>3.4</v>
      </c>
      <c r="O14" s="30" t="b">
        <f t="shared" si="5"/>
        <v>1</v>
      </c>
      <c r="P14" s="91" t="str">
        <f>IF(ISBLANK(N14),IFERROR(0/0,""),IFERROR(VLOOKUP(N14, 'Process Ref'!$A$76:$D$122, 2, FALSE), IFERROR(0/0,"")))</f>
        <v>Add Run from APS with no RFR (assume run on same day as Collect, ignore Result day)</v>
      </c>
      <c r="R14" s="92" t="str">
        <f>IFNA(MATCH(A14,'RFR Data - preExcl'!A$2:A923,0),"")</f>
        <v/>
      </c>
      <c r="S14" s="54"/>
      <c r="T14" s="30" t="str">
        <f>IF(EXACT('RFR Data - preExcl'!W14,"Initial"),'RFR Data - preExcl'!A14,IFERROR(0/0,""))</f>
        <v/>
      </c>
      <c r="U14" s="30" t="str">
        <f>IF(EXACT('RFR Data - preExcl'!W14,"Initial"),'RFR Data - preExcl'!U14,IFERROR(0/0,""))</f>
        <v/>
      </c>
      <c r="X14" s="86"/>
      <c r="Y14" s="100" t="str">
        <f>IFERROR(__xludf.DUMMYFUNCTION("""COMPUTED_VALUE"""),"RUN-FLMP_2022-02-07_RFR-084_Re-run")</f>
        <v>RUN-FLMP_2022-02-07_RFR-084_Re-run</v>
      </c>
      <c r="Z14" s="95">
        <f>IFERROR(__xludf.DUMMYFUNCTION("""COMPUTED_VALUE"""),44599.46427560185)</f>
        <v>44599.46428</v>
      </c>
      <c r="AA14" s="96">
        <f>VLOOKUP($Y14,'RFR Data - preExcl'!$A$2:$AK923,29,FALSE)</f>
        <v>3</v>
      </c>
      <c r="AB14" s="96">
        <f>VLOOKUP($Y14,'RFR Data - preExcl'!$A$2:$AK923,37,FALSE)</f>
        <v>1</v>
      </c>
      <c r="AC14" s="96">
        <f t="shared" ref="AC14:AD14" si="18">AA14-AE14</f>
        <v>3</v>
      </c>
      <c r="AD14" s="96">
        <f t="shared" si="18"/>
        <v>1</v>
      </c>
      <c r="AE14" s="69"/>
      <c r="AF14" s="69"/>
      <c r="AG14" s="86"/>
      <c r="AH14" s="101" t="str">
        <f>IFERROR(__xludf.DUMMYFUNCTION("""COMPUTED_VALUE"""),"RUN-FLMP_2021-01-25_APS-013")</f>
        <v>RUN-FLMP_2021-01-25_APS-013</v>
      </c>
      <c r="AI14" s="96">
        <f t="shared" si="7"/>
        <v>4</v>
      </c>
      <c r="AJ14" s="86"/>
    </row>
    <row r="15">
      <c r="A15" s="8" t="s">
        <v>46</v>
      </c>
      <c r="B15" s="14">
        <v>44222.0</v>
      </c>
      <c r="C15" s="88" t="b">
        <f t="shared" si="2"/>
        <v>1</v>
      </c>
      <c r="D15" s="16" t="str">
        <f t="array" ref="D15">IF(OR(ISBLANK($A15),$C15),IFERROR(0/0,""),INDEX('RFR Data - preExcl'!E$2:E923,$R15,1))</f>
        <v/>
      </c>
      <c r="E15" s="16" t="str">
        <f t="array" ref="E15">IF(OR(ISBLANK($A15),$C15),IFERROR(0/0,""),INDEX('RFR Data - preExcl'!Z$2:Z923,$R15,1))</f>
        <v/>
      </c>
      <c r="F15" s="16" t="str">
        <f t="array" ref="F15">IF(OR(ISBLANK(A15),C15),IFERROR(0/0,""),INDEX('RFR Data - preExcl'!AC$2:AC923,$R15,1))</f>
        <v/>
      </c>
      <c r="G15" s="16" t="str">
        <f t="array" ref="G15">IF(OR(ISBLANK(A15),C15),IFERROR(0/0,""),INDEX('RFR Data - preExcl'!AK$2:AK923,$R15,1))</f>
        <v/>
      </c>
      <c r="H15" s="16" t="str">
        <f t="array" ref="H15">IF(OR(ISBLANK(A15),C15),IFERROR(0/0,""),INDEX('RFR Data - preExcl'!AL$2:AL923,$R15,1))</f>
        <v/>
      </c>
      <c r="I15" s="16">
        <f>IFERROR(VLOOKUP($B15,'APS Tubes by Date IMPORT'!$B$2:$J923,2,FALSE),"")</f>
        <v>3</v>
      </c>
      <c r="J15" s="16" t="str">
        <f>IFERROR(VLOOKUP($B15,'APS Tubes by Date IMPORT'!$B$2:$J923,9,FALSE),"")</f>
        <v/>
      </c>
      <c r="K15" s="16">
        <f>IFNA(VLOOKUP($B15,'APS Tubes by Date IMPORT'!$B$2:$J923,6,FALSE),"")</f>
        <v>0</v>
      </c>
      <c r="L15" s="89">
        <f t="shared" si="3"/>
        <v>3</v>
      </c>
      <c r="M15" s="16">
        <f t="shared" si="4"/>
        <v>0</v>
      </c>
      <c r="N15" s="90">
        <v>3.4</v>
      </c>
      <c r="O15" s="30" t="b">
        <f t="shared" si="5"/>
        <v>1</v>
      </c>
      <c r="P15" s="91" t="str">
        <f>IF(ISBLANK(N15),IFERROR(0/0,""),IFERROR(VLOOKUP(N15, 'Process Ref'!$A$76:$D$122, 2, FALSE), IFERROR(0/0,"")))</f>
        <v>Add Run from APS with no RFR (assume run on same day as Collect, ignore Result day)</v>
      </c>
      <c r="R15" s="92" t="str">
        <f>IFNA(MATCH(A15,'RFR Data - preExcl'!A$2:A923,0),"")</f>
        <v/>
      </c>
      <c r="S15" s="54"/>
      <c r="T15" s="30" t="str">
        <f>IF(EXACT('RFR Data - preExcl'!W15,"Initial"),'RFR Data - preExcl'!A15,IFERROR(0/0,""))</f>
        <v>RUN-FLMP_2021-12-11_RFR-015</v>
      </c>
      <c r="U15" s="93">
        <f>IF(EXACT('RFR Data - preExcl'!W15,"Initial"),'RFR Data - preExcl'!U15,IFERROR(0/0,""))</f>
        <v>44541</v>
      </c>
      <c r="X15" s="86"/>
      <c r="Y15" s="100" t="str">
        <f>IFERROR(__xludf.DUMMYFUNCTION("""COMPUTED_VALUE"""),"RUN-FLMP_2022-02-10_RFR-086_Re-run")</f>
        <v>RUN-FLMP_2022-02-10_RFR-086_Re-run</v>
      </c>
      <c r="Z15" s="95">
        <f>IFERROR(__xludf.DUMMYFUNCTION("""COMPUTED_VALUE"""),44602.470775208334)</f>
        <v>44602.47078</v>
      </c>
      <c r="AA15" s="96">
        <f>VLOOKUP($Y15,'RFR Data - preExcl'!$A$2:$AK923,29,FALSE)</f>
        <v>3</v>
      </c>
      <c r="AB15" s="96">
        <f>VLOOKUP($Y15,'RFR Data - preExcl'!$A$2:$AK923,37,FALSE)</f>
        <v>1</v>
      </c>
      <c r="AC15" s="96">
        <f t="shared" ref="AC15:AD15" si="19">AA15-AE15</f>
        <v>3</v>
      </c>
      <c r="AD15" s="96">
        <f t="shared" si="19"/>
        <v>1</v>
      </c>
      <c r="AE15" s="69"/>
      <c r="AF15" s="69"/>
      <c r="AG15" s="86"/>
      <c r="AH15" s="101" t="str">
        <f>IFERROR(__xludf.DUMMYFUNCTION("""COMPUTED_VALUE"""),"RUN-FLMP_2021-01-26_APS-014")</f>
        <v>RUN-FLMP_2021-01-26_APS-014</v>
      </c>
      <c r="AI15" s="96">
        <f t="shared" si="7"/>
        <v>3</v>
      </c>
      <c r="AJ15" s="86"/>
    </row>
    <row r="16">
      <c r="A16" s="8" t="s">
        <v>47</v>
      </c>
      <c r="B16" s="14">
        <v>44223.0</v>
      </c>
      <c r="C16" s="88" t="b">
        <f t="shared" si="2"/>
        <v>1</v>
      </c>
      <c r="D16" s="16" t="str">
        <f t="array" ref="D16">IF(OR(ISBLANK($A16),$C16),IFERROR(0/0,""),INDEX('RFR Data - preExcl'!E$2:E923,$R16,1))</f>
        <v/>
      </c>
      <c r="E16" s="16" t="str">
        <f t="array" ref="E16">IF(OR(ISBLANK($A16),$C16),IFERROR(0/0,""),INDEX('RFR Data - preExcl'!Z$2:Z923,$R16,1))</f>
        <v/>
      </c>
      <c r="F16" s="16" t="str">
        <f t="array" ref="F16">IF(OR(ISBLANK(A16),C16),IFERROR(0/0,""),INDEX('RFR Data - preExcl'!AC$2:AC923,$R16,1))</f>
        <v/>
      </c>
      <c r="G16" s="16" t="str">
        <f t="array" ref="G16">IF(OR(ISBLANK(A16),C16),IFERROR(0/0,""),INDEX('RFR Data - preExcl'!AK$2:AK923,$R16,1))</f>
        <v/>
      </c>
      <c r="H16" s="16" t="str">
        <f t="array" ref="H16">IF(OR(ISBLANK(A16),C16),IFERROR(0/0,""),INDEX('RFR Data - preExcl'!AL$2:AL923,$R16,1))</f>
        <v/>
      </c>
      <c r="I16" s="16">
        <f>IFERROR(VLOOKUP($B16,'APS Tubes by Date IMPORT'!$B$2:$J923,2,FALSE),"")</f>
        <v>3</v>
      </c>
      <c r="J16" s="16" t="str">
        <f>IFERROR(VLOOKUP($B16,'APS Tubes by Date IMPORT'!$B$2:$J923,9,FALSE),"")</f>
        <v/>
      </c>
      <c r="K16" s="16">
        <f>IFNA(VLOOKUP($B16,'APS Tubes by Date IMPORT'!$B$2:$J923,6,FALSE),"")</f>
        <v>0</v>
      </c>
      <c r="L16" s="89">
        <f t="shared" si="3"/>
        <v>3</v>
      </c>
      <c r="M16" s="16">
        <f t="shared" si="4"/>
        <v>0</v>
      </c>
      <c r="N16" s="90">
        <v>3.4</v>
      </c>
      <c r="O16" s="30" t="b">
        <f t="shared" si="5"/>
        <v>1</v>
      </c>
      <c r="P16" s="91" t="str">
        <f>IF(ISBLANK(N16),IFERROR(0/0,""),IFERROR(VLOOKUP(N16, 'Process Ref'!$A$76:$D$122, 2, FALSE), IFERROR(0/0,"")))</f>
        <v>Add Run from APS with no RFR (assume run on same day as Collect, ignore Result day)</v>
      </c>
      <c r="R16" s="92" t="str">
        <f>IFNA(MATCH(A16,'RFR Data - preExcl'!A$2:A923,0),"")</f>
        <v/>
      </c>
      <c r="S16" s="54"/>
      <c r="T16" s="30" t="str">
        <f>IF(EXACT('RFR Data - preExcl'!W16,"Initial"),'RFR Data - preExcl'!A16,IFERROR(0/0,""))</f>
        <v>RUN-FLMP_2021-12-13_RFR-016</v>
      </c>
      <c r="U16" s="93">
        <f>IF(EXACT('RFR Data - preExcl'!W16,"Initial"),'RFR Data - preExcl'!U16,IFERROR(0/0,""))</f>
        <v>44543</v>
      </c>
      <c r="X16" s="86"/>
      <c r="Y16" s="100" t="str">
        <f>IFERROR(__xludf.DUMMYFUNCTION("""COMPUTED_VALUE"""),"RUN-FLMP_2022-02-27_RFR-092_Re-run")</f>
        <v>RUN-FLMP_2022-02-27_RFR-092_Re-run</v>
      </c>
      <c r="Z16" s="95">
        <f>IFERROR(__xludf.DUMMYFUNCTION("""COMPUTED_VALUE"""),44619.76936636574)</f>
        <v>44619.76937</v>
      </c>
      <c r="AA16" s="96">
        <f>VLOOKUP($Y16,'RFR Data - preExcl'!$A$2:$AK923,29,FALSE)</f>
        <v>12</v>
      </c>
      <c r="AB16" s="96">
        <f>VLOOKUP($Y16,'RFR Data - preExcl'!$A$2:$AK923,37,FALSE)</f>
        <v>4</v>
      </c>
      <c r="AC16" s="96">
        <f t="shared" ref="AC16:AD16" si="20">AA16-AE16</f>
        <v>12</v>
      </c>
      <c r="AD16" s="96">
        <f t="shared" si="20"/>
        <v>4</v>
      </c>
      <c r="AE16" s="69"/>
      <c r="AF16" s="69"/>
      <c r="AG16" s="86"/>
      <c r="AH16" s="101" t="str">
        <f>IFERROR(__xludf.DUMMYFUNCTION("""COMPUTED_VALUE"""),"RUN-FLMP_2021-01-27_APS-015")</f>
        <v>RUN-FLMP_2021-01-27_APS-015</v>
      </c>
      <c r="AI16" s="96">
        <f t="shared" si="7"/>
        <v>3</v>
      </c>
      <c r="AJ16" s="86"/>
    </row>
    <row r="17">
      <c r="A17" s="8" t="s">
        <v>48</v>
      </c>
      <c r="B17" s="14">
        <v>44224.0</v>
      </c>
      <c r="C17" s="88" t="b">
        <f t="shared" si="2"/>
        <v>1</v>
      </c>
      <c r="D17" s="16" t="str">
        <f t="array" ref="D17">IF(OR(ISBLANK($A17),$C17),IFERROR(0/0,""),INDEX('RFR Data - preExcl'!E$2:E923,$R17,1))</f>
        <v/>
      </c>
      <c r="E17" s="16" t="str">
        <f t="array" ref="E17">IF(OR(ISBLANK($A17),$C17),IFERROR(0/0,""),INDEX('RFR Data - preExcl'!Z$2:Z923,$R17,1))</f>
        <v/>
      </c>
      <c r="F17" s="16" t="str">
        <f t="array" ref="F17">IF(OR(ISBLANK(A17),C17),IFERROR(0/0,""),INDEX('RFR Data - preExcl'!AC$2:AC923,$R17,1))</f>
        <v/>
      </c>
      <c r="G17" s="16" t="str">
        <f t="array" ref="G17">IF(OR(ISBLANK(A17),C17),IFERROR(0/0,""),INDEX('RFR Data - preExcl'!AK$2:AK923,$R17,1))</f>
        <v/>
      </c>
      <c r="H17" s="16" t="str">
        <f t="array" ref="H17">IF(OR(ISBLANK(A17),C17),IFERROR(0/0,""),INDEX('RFR Data - preExcl'!AL$2:AL923,$R17,1))</f>
        <v/>
      </c>
      <c r="I17" s="16">
        <f>IFERROR(VLOOKUP($B17,'APS Tubes by Date IMPORT'!$B$2:$J923,2,FALSE),"")</f>
        <v>2</v>
      </c>
      <c r="J17" s="16" t="str">
        <f>IFERROR(VLOOKUP($B17,'APS Tubes by Date IMPORT'!$B$2:$J923,9,FALSE),"")</f>
        <v/>
      </c>
      <c r="K17" s="16">
        <f>IFNA(VLOOKUP($B17,'APS Tubes by Date IMPORT'!$B$2:$J923,6,FALSE),"")</f>
        <v>0</v>
      </c>
      <c r="L17" s="89">
        <f t="shared" si="3"/>
        <v>2</v>
      </c>
      <c r="M17" s="16">
        <f t="shared" si="4"/>
        <v>0</v>
      </c>
      <c r="N17" s="90">
        <v>3.4</v>
      </c>
      <c r="O17" s="30" t="b">
        <f t="shared" si="5"/>
        <v>1</v>
      </c>
      <c r="P17" s="91" t="str">
        <f>IF(ISBLANK(N17),IFERROR(0/0,""),IFERROR(VLOOKUP(N17, 'Process Ref'!$A$76:$D$122, 2, FALSE), IFERROR(0/0,"")))</f>
        <v>Add Run from APS with no RFR (assume run on same day as Collect, ignore Result day)</v>
      </c>
      <c r="R17" s="92" t="str">
        <f>IFNA(MATCH(A17,'RFR Data - preExcl'!A$2:A923,0),"")</f>
        <v/>
      </c>
      <c r="S17" s="54"/>
      <c r="T17" s="30" t="str">
        <f>IF(EXACT('RFR Data - preExcl'!W17,"Initial"),'RFR Data - preExcl'!A17,IFERROR(0/0,""))</f>
        <v>RUN-FLMP_2021-12-14_RFR-017</v>
      </c>
      <c r="U17" s="93">
        <f>IF(EXACT('RFR Data - preExcl'!W17,"Initial"),'RFR Data - preExcl'!U17,IFERROR(0/0,""))</f>
        <v>44544</v>
      </c>
      <c r="X17" s="86"/>
      <c r="Y17" s="100" t="str">
        <f>IFERROR(__xludf.DUMMYFUNCTION("""COMPUTED_VALUE"""),"RUN-FLMP_2022-03-03_RFR-094_Re-run")</f>
        <v>RUN-FLMP_2022-03-03_RFR-094_Re-run</v>
      </c>
      <c r="Z17" s="95">
        <f>IFERROR(__xludf.DUMMYFUNCTION("""COMPUTED_VALUE"""),44623.46093976852)</f>
        <v>44623.46094</v>
      </c>
      <c r="AA17" s="96">
        <f>VLOOKUP($Y17,'RFR Data - preExcl'!$A$2:$AK923,29,FALSE)</f>
        <v>3</v>
      </c>
      <c r="AB17" s="96">
        <f>VLOOKUP($Y17,'RFR Data - preExcl'!$A$2:$AK923,37,FALSE)</f>
        <v>1</v>
      </c>
      <c r="AC17" s="96">
        <f t="shared" ref="AC17:AD17" si="21">AA17-AE17</f>
        <v>3</v>
      </c>
      <c r="AD17" s="96">
        <f t="shared" si="21"/>
        <v>1</v>
      </c>
      <c r="AE17" s="69"/>
      <c r="AF17" s="69"/>
      <c r="AG17" s="86"/>
      <c r="AH17" s="101" t="str">
        <f>IFERROR(__xludf.DUMMYFUNCTION("""COMPUTED_VALUE"""),"RUN-FLMP_2021-01-28_APS-016")</f>
        <v>RUN-FLMP_2021-01-28_APS-016</v>
      </c>
      <c r="AI17" s="96">
        <f t="shared" si="7"/>
        <v>2</v>
      </c>
      <c r="AJ17" s="86"/>
    </row>
    <row r="18">
      <c r="A18" s="8" t="s">
        <v>49</v>
      </c>
      <c r="B18" s="14">
        <v>44225.0</v>
      </c>
      <c r="C18" s="88" t="b">
        <f t="shared" si="2"/>
        <v>1</v>
      </c>
      <c r="D18" s="16" t="str">
        <f t="array" ref="D18">IF(OR(ISBLANK($A18),$C18),IFERROR(0/0,""),INDEX('RFR Data - preExcl'!E$2:E923,$R18,1))</f>
        <v/>
      </c>
      <c r="E18" s="16" t="str">
        <f t="array" ref="E18">IF(OR(ISBLANK($A18),$C18),IFERROR(0/0,""),INDEX('RFR Data - preExcl'!Z$2:Z923,$R18,1))</f>
        <v/>
      </c>
      <c r="F18" s="16" t="str">
        <f t="array" ref="F18">IF(OR(ISBLANK(A18),C18),IFERROR(0/0,""),INDEX('RFR Data - preExcl'!AC$2:AC923,$R18,1))</f>
        <v/>
      </c>
      <c r="G18" s="16" t="str">
        <f t="array" ref="G18">IF(OR(ISBLANK(A18),C18),IFERROR(0/0,""),INDEX('RFR Data - preExcl'!AK$2:AK923,$R18,1))</f>
        <v/>
      </c>
      <c r="H18" s="16" t="str">
        <f t="array" ref="H18">IF(OR(ISBLANK(A18),C18),IFERROR(0/0,""),INDEX('RFR Data - preExcl'!AL$2:AL923,$R18,1))</f>
        <v/>
      </c>
      <c r="I18" s="16">
        <f>IFERROR(VLOOKUP($B18,'APS Tubes by Date IMPORT'!$B$2:$J923,2,FALSE),"")</f>
        <v>4</v>
      </c>
      <c r="J18" s="16" t="str">
        <f>IFERROR(VLOOKUP($B18,'APS Tubes by Date IMPORT'!$B$2:$J923,9,FALSE),"")</f>
        <v/>
      </c>
      <c r="K18" s="16">
        <f>IFNA(VLOOKUP($B18,'APS Tubes by Date IMPORT'!$B$2:$J923,6,FALSE),"")</f>
        <v>0</v>
      </c>
      <c r="L18" s="89">
        <f t="shared" si="3"/>
        <v>4</v>
      </c>
      <c r="M18" s="16">
        <f t="shared" si="4"/>
        <v>0</v>
      </c>
      <c r="N18" s="90">
        <v>3.4</v>
      </c>
      <c r="O18" s="30" t="b">
        <f t="shared" si="5"/>
        <v>1</v>
      </c>
      <c r="P18" s="91" t="str">
        <f>IF(ISBLANK(N18),IFERROR(0/0,""),IFERROR(VLOOKUP(N18, 'Process Ref'!$A$76:$D$122, 2, FALSE), IFERROR(0/0,"")))</f>
        <v>Add Run from APS with no RFR (assume run on same day as Collect, ignore Result day)</v>
      </c>
      <c r="Q18" s="18" t="s">
        <v>301</v>
      </c>
      <c r="R18" s="92" t="str">
        <f>IFNA(MATCH(A18,'RFR Data - preExcl'!A$2:A923,0),"")</f>
        <v/>
      </c>
      <c r="S18" s="54"/>
      <c r="T18" s="30" t="str">
        <f>IF(EXACT('RFR Data - preExcl'!W18,"Initial"),'RFR Data - preExcl'!A18,IFERROR(0/0,""))</f>
        <v>RUN-FLMP_2021-12-16_RFR-018</v>
      </c>
      <c r="U18" s="93">
        <f>IF(EXACT('RFR Data - preExcl'!W18,"Initial"),'RFR Data - preExcl'!U18,IFERROR(0/0,""))</f>
        <v>44546</v>
      </c>
      <c r="X18" s="86"/>
      <c r="Y18" s="100" t="str">
        <f>IFERROR(__xludf.DUMMYFUNCTION("""COMPUTED_VALUE"""),"RUN-FLMP_2022-03-07_RFR-097_Re-run")</f>
        <v>RUN-FLMP_2022-03-07_RFR-097_Re-run</v>
      </c>
      <c r="Z18" s="95">
        <f>IFERROR(__xludf.DUMMYFUNCTION("""COMPUTED_VALUE"""),44627.45795674769)</f>
        <v>44627.45796</v>
      </c>
      <c r="AA18" s="96">
        <f>VLOOKUP($Y18,'RFR Data - preExcl'!$A$2:$AK923,29,FALSE)</f>
        <v>6</v>
      </c>
      <c r="AB18" s="96">
        <f>VLOOKUP($Y18,'RFR Data - preExcl'!$A$2:$AK923,37,FALSE)</f>
        <v>2</v>
      </c>
      <c r="AC18" s="96">
        <f t="shared" ref="AC18:AD18" si="22">AA18-AE18</f>
        <v>6</v>
      </c>
      <c r="AD18" s="96">
        <f t="shared" si="22"/>
        <v>2</v>
      </c>
      <c r="AE18" s="69"/>
      <c r="AF18" s="69"/>
      <c r="AG18" s="86"/>
      <c r="AH18" s="101" t="str">
        <f>IFERROR(__xludf.DUMMYFUNCTION("""COMPUTED_VALUE"""),"RUN-FLMP_2021-01-29_APS-017")</f>
        <v>RUN-FLMP_2021-01-29_APS-017</v>
      </c>
      <c r="AI18" s="96">
        <f t="shared" si="7"/>
        <v>4</v>
      </c>
      <c r="AJ18" s="86"/>
    </row>
    <row r="19">
      <c r="A19" s="8" t="s">
        <v>50</v>
      </c>
      <c r="B19" s="14">
        <v>44227.0</v>
      </c>
      <c r="C19" s="88" t="b">
        <f t="shared" si="2"/>
        <v>1</v>
      </c>
      <c r="D19" s="16" t="str">
        <f t="array" ref="D19">IF(OR(ISBLANK($A19),$C19),IFERROR(0/0,""),INDEX('RFR Data - preExcl'!E$2:E923,$R19,1))</f>
        <v/>
      </c>
      <c r="E19" s="16" t="str">
        <f t="array" ref="E19">IF(OR(ISBLANK($A19),$C19),IFERROR(0/0,""),INDEX('RFR Data - preExcl'!Z$2:Z923,$R19,1))</f>
        <v/>
      </c>
      <c r="F19" s="16" t="str">
        <f t="array" ref="F19">IF(OR(ISBLANK(A19),C19),IFERROR(0/0,""),INDEX('RFR Data - preExcl'!AC$2:AC923,$R19,1))</f>
        <v/>
      </c>
      <c r="G19" s="16" t="str">
        <f t="array" ref="G19">IF(OR(ISBLANK(A19),C19),IFERROR(0/0,""),INDEX('RFR Data - preExcl'!AK$2:AK923,$R19,1))</f>
        <v/>
      </c>
      <c r="H19" s="16" t="str">
        <f t="array" ref="H19">IF(OR(ISBLANK(A19),C19),IFERROR(0/0,""),INDEX('RFR Data - preExcl'!AL$2:AL923,$R19,1))</f>
        <v/>
      </c>
      <c r="I19" s="16">
        <f>IFERROR(VLOOKUP($B19,'APS Tubes by Date IMPORT'!$B$2:$J923,2,FALSE),"")</f>
        <v>3</v>
      </c>
      <c r="J19" s="16" t="str">
        <f>IFERROR(VLOOKUP($B19,'APS Tubes by Date IMPORT'!$B$2:$J923,9,FALSE),"")</f>
        <v/>
      </c>
      <c r="K19" s="16">
        <f>IFNA(VLOOKUP($B19,'APS Tubes by Date IMPORT'!$B$2:$J923,6,FALSE),"")</f>
        <v>0</v>
      </c>
      <c r="L19" s="89">
        <f t="shared" si="3"/>
        <v>3</v>
      </c>
      <c r="M19" s="16">
        <f t="shared" si="4"/>
        <v>0</v>
      </c>
      <c r="N19" s="90">
        <v>3.4</v>
      </c>
      <c r="O19" s="30" t="b">
        <f t="shared" si="5"/>
        <v>1</v>
      </c>
      <c r="P19" s="91" t="str">
        <f>IF(ISBLANK(N19),IFERROR(0/0,""),IFERROR(VLOOKUP(N19, 'Process Ref'!$A$76:$D$122, 2, FALSE), IFERROR(0/0,"")))</f>
        <v>Add Run from APS with no RFR (assume run on same day as Collect, ignore Result day)</v>
      </c>
      <c r="R19" s="92" t="str">
        <f>IFNA(MATCH(A19,'RFR Data - preExcl'!A$2:A923,0),"")</f>
        <v/>
      </c>
      <c r="S19" s="54"/>
      <c r="T19" s="30" t="str">
        <f>IF(EXACT('RFR Data - preExcl'!W19,"Initial"),'RFR Data - preExcl'!A19,IFERROR(0/0,""))</f>
        <v>RUN-FLMP_2021-12-18_RFR-019</v>
      </c>
      <c r="U19" s="93">
        <f>IF(EXACT('RFR Data - preExcl'!W19,"Initial"),'RFR Data - preExcl'!U19,IFERROR(0/0,""))</f>
        <v>44548</v>
      </c>
      <c r="X19" s="86"/>
      <c r="Y19" s="100" t="str">
        <f>IFERROR(__xludf.DUMMYFUNCTION("""COMPUTED_VALUE"""),"RUN-FLMP_2022-03-14_RFR-101_Re-run")</f>
        <v>RUN-FLMP_2022-03-14_RFR-101_Re-run</v>
      </c>
      <c r="Z19" s="95">
        <f>IFERROR(__xludf.DUMMYFUNCTION("""COMPUTED_VALUE"""),44634.457407546295)</f>
        <v>44634.45741</v>
      </c>
      <c r="AA19" s="96">
        <f>VLOOKUP($Y19,'RFR Data - preExcl'!$A$2:$AK923,29,FALSE)</f>
        <v>3</v>
      </c>
      <c r="AB19" s="96">
        <f>VLOOKUP($Y19,'RFR Data - preExcl'!$A$2:$AK923,37,FALSE)</f>
        <v>1</v>
      </c>
      <c r="AC19" s="96">
        <f t="shared" ref="AC19:AD19" si="23">AA19-AE19</f>
        <v>3</v>
      </c>
      <c r="AD19" s="96">
        <f t="shared" si="23"/>
        <v>1</v>
      </c>
      <c r="AE19" s="69"/>
      <c r="AF19" s="69"/>
      <c r="AG19" s="86"/>
      <c r="AH19" s="101" t="str">
        <f>IFERROR(__xludf.DUMMYFUNCTION("""COMPUTED_VALUE"""),"RUN-FLMP_2021-01-31_APS-018")</f>
        <v>RUN-FLMP_2021-01-31_APS-018</v>
      </c>
      <c r="AI19" s="96">
        <f t="shared" si="7"/>
        <v>3</v>
      </c>
      <c r="AJ19" s="86"/>
    </row>
    <row r="20">
      <c r="A20" s="8" t="s">
        <v>51</v>
      </c>
      <c r="B20" s="14">
        <v>44228.0</v>
      </c>
      <c r="C20" s="88" t="b">
        <f t="shared" si="2"/>
        <v>1</v>
      </c>
      <c r="D20" s="16" t="str">
        <f t="array" ref="D20">IF(OR(ISBLANK($A20),$C20),IFERROR(0/0,""),INDEX('RFR Data - preExcl'!E$2:E923,$R20,1))</f>
        <v/>
      </c>
      <c r="E20" s="16" t="str">
        <f t="array" ref="E20">IF(OR(ISBLANK($A20),$C20),IFERROR(0/0,""),INDEX('RFR Data - preExcl'!Z$2:Z923,$R20,1))</f>
        <v/>
      </c>
      <c r="F20" s="16" t="str">
        <f t="array" ref="F20">IF(OR(ISBLANK(A20),C20),IFERROR(0/0,""),INDEX('RFR Data - preExcl'!AC$2:AC923,$R20,1))</f>
        <v/>
      </c>
      <c r="G20" s="16" t="str">
        <f t="array" ref="G20">IF(OR(ISBLANK(A20),C20),IFERROR(0/0,""),INDEX('RFR Data - preExcl'!AK$2:AK923,$R20,1))</f>
        <v/>
      </c>
      <c r="H20" s="16" t="str">
        <f t="array" ref="H20">IF(OR(ISBLANK(A20),C20),IFERROR(0/0,""),INDEX('RFR Data - preExcl'!AL$2:AL923,$R20,1))</f>
        <v/>
      </c>
      <c r="I20" s="16">
        <f>IFERROR(VLOOKUP($B20,'APS Tubes by Date IMPORT'!$B$2:$J923,2,FALSE),"")</f>
        <v>4</v>
      </c>
      <c r="J20" s="16" t="str">
        <f>IFERROR(VLOOKUP($B20,'APS Tubes by Date IMPORT'!$B$2:$J923,9,FALSE),"")</f>
        <v/>
      </c>
      <c r="K20" s="16">
        <f>IFNA(VLOOKUP($B20,'APS Tubes by Date IMPORT'!$B$2:$J923,6,FALSE),"")</f>
        <v>0</v>
      </c>
      <c r="L20" s="89">
        <f t="shared" si="3"/>
        <v>4</v>
      </c>
      <c r="M20" s="16">
        <f t="shared" si="4"/>
        <v>0</v>
      </c>
      <c r="N20" s="90">
        <v>3.4</v>
      </c>
      <c r="O20" s="30" t="b">
        <f t="shared" si="5"/>
        <v>1</v>
      </c>
      <c r="P20" s="91" t="str">
        <f>IF(ISBLANK(N20),IFERROR(0/0,""),IFERROR(VLOOKUP(N20, 'Process Ref'!$A$76:$D$122, 2, FALSE), IFERROR(0/0,"")))</f>
        <v>Add Run from APS with no RFR (assume run on same day as Collect, ignore Result day)</v>
      </c>
      <c r="R20" s="92" t="str">
        <f>IFNA(MATCH(A20,'RFR Data - preExcl'!A$2:A923,0),"")</f>
        <v/>
      </c>
      <c r="S20" s="54"/>
      <c r="T20" s="30" t="str">
        <f>IF(EXACT('RFR Data - preExcl'!W20,"Initial"),'RFR Data - preExcl'!A20,IFERROR(0/0,""))</f>
        <v>RUN-FLMP_2021-12-18_RFR-020</v>
      </c>
      <c r="U20" s="93">
        <f>IF(EXACT('RFR Data - preExcl'!W20,"Initial"),'RFR Data - preExcl'!U20,IFERROR(0/0,""))</f>
        <v>44548</v>
      </c>
      <c r="X20" s="86"/>
      <c r="Y20" s="100" t="str">
        <f>IFERROR(__xludf.DUMMYFUNCTION("""COMPUTED_VALUE"""),"RUN-FLMP_2022-04-04_RFR-106_Re-run")</f>
        <v>RUN-FLMP_2022-04-04_RFR-106_Re-run</v>
      </c>
      <c r="Z20" s="95">
        <f>IFERROR(__xludf.DUMMYFUNCTION("""COMPUTED_VALUE"""),44655.461757743054)</f>
        <v>44655.46176</v>
      </c>
      <c r="AA20" s="96">
        <f>VLOOKUP($Y20,'RFR Data - preExcl'!$A$2:$AK923,29,FALSE)</f>
        <v>6</v>
      </c>
      <c r="AB20" s="96">
        <f>VLOOKUP($Y20,'RFR Data - preExcl'!$A$2:$AK923,37,FALSE)</f>
        <v>2</v>
      </c>
      <c r="AC20" s="96">
        <f t="shared" ref="AC20:AD20" si="24">AA20-AE20</f>
        <v>6</v>
      </c>
      <c r="AD20" s="96">
        <f t="shared" si="24"/>
        <v>2</v>
      </c>
      <c r="AE20" s="69"/>
      <c r="AF20" s="69"/>
      <c r="AG20" s="86"/>
      <c r="AH20" s="101" t="str">
        <f>IFERROR(__xludf.DUMMYFUNCTION("""COMPUTED_VALUE"""),"RUN-FLMP_2021-02-01_APS-019")</f>
        <v>RUN-FLMP_2021-02-01_APS-019</v>
      </c>
      <c r="AI20" s="96">
        <f t="shared" si="7"/>
        <v>4</v>
      </c>
      <c r="AJ20" s="86"/>
    </row>
    <row r="21">
      <c r="A21" s="8" t="s">
        <v>52</v>
      </c>
      <c r="B21" s="14">
        <v>44231.0</v>
      </c>
      <c r="C21" s="88" t="b">
        <f t="shared" si="2"/>
        <v>1</v>
      </c>
      <c r="D21" s="16" t="str">
        <f t="array" ref="D21">IF(OR(ISBLANK($A21),$C21),IFERROR(0/0,""),INDEX('RFR Data - preExcl'!E$2:E923,$R21,1))</f>
        <v/>
      </c>
      <c r="E21" s="16" t="str">
        <f t="array" ref="E21">IF(OR(ISBLANK($A21),$C21),IFERROR(0/0,""),INDEX('RFR Data - preExcl'!Z$2:Z923,$R21,1))</f>
        <v/>
      </c>
      <c r="F21" s="16" t="str">
        <f t="array" ref="F21">IF(OR(ISBLANK(A21),C21),IFERROR(0/0,""),INDEX('RFR Data - preExcl'!AC$2:AC923,$R21,1))</f>
        <v/>
      </c>
      <c r="G21" s="16" t="str">
        <f t="array" ref="G21">IF(OR(ISBLANK(A21),C21),IFERROR(0/0,""),INDEX('RFR Data - preExcl'!AK$2:AK923,$R21,1))</f>
        <v/>
      </c>
      <c r="H21" s="16" t="str">
        <f t="array" ref="H21">IF(OR(ISBLANK(A21),C21),IFERROR(0/0,""),INDEX('RFR Data - preExcl'!AL$2:AL923,$R21,1))</f>
        <v/>
      </c>
      <c r="I21" s="16">
        <f>IFERROR(VLOOKUP($B21,'APS Tubes by Date IMPORT'!$B$2:$J923,2,FALSE),"")</f>
        <v>3</v>
      </c>
      <c r="J21" s="16" t="str">
        <f>IFERROR(VLOOKUP($B21,'APS Tubes by Date IMPORT'!$B$2:$J923,9,FALSE),"")</f>
        <v/>
      </c>
      <c r="K21" s="16">
        <f>IFNA(VLOOKUP($B21,'APS Tubes by Date IMPORT'!$B$2:$J923,6,FALSE),"")</f>
        <v>0</v>
      </c>
      <c r="L21" s="89">
        <f t="shared" si="3"/>
        <v>3</v>
      </c>
      <c r="M21" s="16">
        <f t="shared" si="4"/>
        <v>0</v>
      </c>
      <c r="N21" s="90">
        <v>3.4</v>
      </c>
      <c r="O21" s="30" t="b">
        <f t="shared" si="5"/>
        <v>1</v>
      </c>
      <c r="P21" s="91" t="str">
        <f>IF(ISBLANK(N21),IFERROR(0/0,""),IFERROR(VLOOKUP(N21, 'Process Ref'!$A$76:$D$122, 2, FALSE), IFERROR(0/0,"")))</f>
        <v>Add Run from APS with no RFR (assume run on same day as Collect, ignore Result day)</v>
      </c>
      <c r="R21" s="92" t="str">
        <f>IFNA(MATCH(A21,'RFR Data - preExcl'!A$2:A923,0),"")</f>
        <v/>
      </c>
      <c r="S21" s="54"/>
      <c r="T21" s="30" t="str">
        <f>IF(EXACT('RFR Data - preExcl'!W21,"Initial"),'RFR Data - preExcl'!A21,IFERROR(0/0,""))</f>
        <v>RUN-FLMP_2021-12-18_RFR-021</v>
      </c>
      <c r="U21" s="93">
        <f>IF(EXACT('RFR Data - preExcl'!W21,"Initial"),'RFR Data - preExcl'!U21,IFERROR(0/0,""))</f>
        <v>44548</v>
      </c>
      <c r="X21" s="86"/>
      <c r="Y21" s="100" t="str">
        <f>IFERROR(__xludf.DUMMYFUNCTION("""COMPUTED_VALUE"""),"RUN-FLMP_2022-04-07_RFR-108_Re-run")</f>
        <v>RUN-FLMP_2022-04-07_RFR-108_Re-run</v>
      </c>
      <c r="Z21" s="95">
        <f>IFERROR(__xludf.DUMMYFUNCTION("""COMPUTED_VALUE"""),44658.4650062963)</f>
        <v>44658.46501</v>
      </c>
      <c r="AA21" s="96">
        <f>VLOOKUP($Y21,'RFR Data - preExcl'!$A$2:$AK923,29,FALSE)</f>
        <v>3</v>
      </c>
      <c r="AB21" s="96">
        <f>VLOOKUP($Y21,'RFR Data - preExcl'!$A$2:$AK923,37,FALSE)</f>
        <v>1</v>
      </c>
      <c r="AC21" s="96">
        <f t="shared" ref="AC21:AD21" si="25">AA21-AE21</f>
        <v>3</v>
      </c>
      <c r="AD21" s="96">
        <f t="shared" si="25"/>
        <v>1</v>
      </c>
      <c r="AE21" s="69"/>
      <c r="AF21" s="69"/>
      <c r="AG21" s="86"/>
      <c r="AH21" s="101" t="str">
        <f>IFERROR(__xludf.DUMMYFUNCTION("""COMPUTED_VALUE"""),"RUN-FLMP_2021-02-04_APS-020")</f>
        <v>RUN-FLMP_2021-02-04_APS-020</v>
      </c>
      <c r="AI21" s="96">
        <f t="shared" si="7"/>
        <v>3</v>
      </c>
      <c r="AJ21" s="86"/>
    </row>
    <row r="22">
      <c r="A22" s="8" t="s">
        <v>53</v>
      </c>
      <c r="B22" s="14">
        <v>44232.0</v>
      </c>
      <c r="C22" s="88" t="b">
        <f t="shared" si="2"/>
        <v>1</v>
      </c>
      <c r="D22" s="16" t="str">
        <f t="array" ref="D22">IF(OR(ISBLANK($A22),$C22),IFERROR(0/0,""),INDEX('RFR Data - preExcl'!E$2:E923,$R22,1))</f>
        <v/>
      </c>
      <c r="E22" s="16" t="str">
        <f t="array" ref="E22">IF(OR(ISBLANK($A22),$C22),IFERROR(0/0,""),INDEX('RFR Data - preExcl'!Z$2:Z923,$R22,1))</f>
        <v/>
      </c>
      <c r="F22" s="16" t="str">
        <f t="array" ref="F22">IF(OR(ISBLANK(A22),C22),IFERROR(0/0,""),INDEX('RFR Data - preExcl'!AC$2:AC923,$R22,1))</f>
        <v/>
      </c>
      <c r="G22" s="16" t="str">
        <f t="array" ref="G22">IF(OR(ISBLANK(A22),C22),IFERROR(0/0,""),INDEX('RFR Data - preExcl'!AK$2:AK923,$R22,1))</f>
        <v/>
      </c>
      <c r="H22" s="16" t="str">
        <f t="array" ref="H22">IF(OR(ISBLANK(A22),C22),IFERROR(0/0,""),INDEX('RFR Data - preExcl'!AL$2:AL923,$R22,1))</f>
        <v/>
      </c>
      <c r="I22" s="16">
        <f>IFERROR(VLOOKUP($B22,'APS Tubes by Date IMPORT'!$B$2:$J923,2,FALSE),"")</f>
        <v>3</v>
      </c>
      <c r="J22" s="16" t="str">
        <f>IFERROR(VLOOKUP($B22,'APS Tubes by Date IMPORT'!$B$2:$J923,9,FALSE),"")</f>
        <v/>
      </c>
      <c r="K22" s="16">
        <f>IFNA(VLOOKUP($B22,'APS Tubes by Date IMPORT'!$B$2:$J923,6,FALSE),"")</f>
        <v>0</v>
      </c>
      <c r="L22" s="89">
        <f t="shared" si="3"/>
        <v>3</v>
      </c>
      <c r="M22" s="16">
        <f t="shared" si="4"/>
        <v>0</v>
      </c>
      <c r="N22" s="90">
        <v>3.4</v>
      </c>
      <c r="O22" s="30" t="b">
        <f t="shared" si="5"/>
        <v>1</v>
      </c>
      <c r="P22" s="91" t="str">
        <f>IF(ISBLANK(N22),IFERROR(0/0,""),IFERROR(VLOOKUP(N22, 'Process Ref'!$A$76:$D$122, 2, FALSE), IFERROR(0/0,"")))</f>
        <v>Add Run from APS with no RFR (assume run on same day as Collect, ignore Result day)</v>
      </c>
      <c r="R22" s="92" t="str">
        <f>IFNA(MATCH(A22,'RFR Data - preExcl'!A$2:A923,0),"")</f>
        <v/>
      </c>
      <c r="S22" s="54"/>
      <c r="T22" s="30" t="str">
        <f>IF(EXACT('RFR Data - preExcl'!W22,"Initial"),'RFR Data - preExcl'!A22,IFERROR(0/0,""))</f>
        <v>RUN-FLMP_2021-12-19_RFR-022</v>
      </c>
      <c r="U22" s="93">
        <f>IF(EXACT('RFR Data - preExcl'!W22,"Initial"),'RFR Data - preExcl'!U22,IFERROR(0/0,""))</f>
        <v>44549</v>
      </c>
      <c r="X22" s="86"/>
      <c r="Y22" s="100" t="str">
        <f>IFERROR(__xludf.DUMMYFUNCTION("""COMPUTED_VALUE"""),"RUN-FLMP_2022-04-11_RFR-110_Re-run")</f>
        <v>RUN-FLMP_2022-04-11_RFR-110_Re-run</v>
      </c>
      <c r="Z22" s="95">
        <f>IFERROR(__xludf.DUMMYFUNCTION("""COMPUTED_VALUE"""),44662.460333020834)</f>
        <v>44662.46033</v>
      </c>
      <c r="AA22" s="96">
        <f>VLOOKUP($Y22,'RFR Data - preExcl'!$A$2:$AK923,29,FALSE)</f>
        <v>6</v>
      </c>
      <c r="AB22" s="96">
        <f>VLOOKUP($Y22,'RFR Data - preExcl'!$A$2:$AK923,37,FALSE)</f>
        <v>2</v>
      </c>
      <c r="AC22" s="96">
        <f t="shared" ref="AC22:AD22" si="26">AA22-AE22</f>
        <v>6</v>
      </c>
      <c r="AD22" s="96">
        <f t="shared" si="26"/>
        <v>2</v>
      </c>
      <c r="AE22" s="69"/>
      <c r="AF22" s="69"/>
      <c r="AG22" s="86"/>
      <c r="AH22" s="101" t="str">
        <f>IFERROR(__xludf.DUMMYFUNCTION("""COMPUTED_VALUE"""),"RUN-FLMP_2021-02-05_APS-021")</f>
        <v>RUN-FLMP_2021-02-05_APS-021</v>
      </c>
      <c r="AI22" s="96">
        <f t="shared" si="7"/>
        <v>3</v>
      </c>
      <c r="AJ22" s="86"/>
    </row>
    <row r="23">
      <c r="A23" s="8" t="s">
        <v>54</v>
      </c>
      <c r="B23" s="14">
        <v>44234.0</v>
      </c>
      <c r="C23" s="88" t="b">
        <f t="shared" si="2"/>
        <v>1</v>
      </c>
      <c r="D23" s="16" t="str">
        <f t="array" ref="D23">IF(OR(ISBLANK($A23),$C23),IFERROR(0/0,""),INDEX('RFR Data - preExcl'!E$2:E923,$R23,1))</f>
        <v/>
      </c>
      <c r="E23" s="16" t="str">
        <f t="array" ref="E23">IF(OR(ISBLANK($A23),$C23),IFERROR(0/0,""),INDEX('RFR Data - preExcl'!Z$2:Z923,$R23,1))</f>
        <v/>
      </c>
      <c r="F23" s="16" t="str">
        <f t="array" ref="F23">IF(OR(ISBLANK(A23),C23),IFERROR(0/0,""),INDEX('RFR Data - preExcl'!AC$2:AC923,$R23,1))</f>
        <v/>
      </c>
      <c r="G23" s="16" t="str">
        <f t="array" ref="G23">IF(OR(ISBLANK(A23),C23),IFERROR(0/0,""),INDEX('RFR Data - preExcl'!AK$2:AK923,$R23,1))</f>
        <v/>
      </c>
      <c r="H23" s="16" t="str">
        <f t="array" ref="H23">IF(OR(ISBLANK(A23),C23),IFERROR(0/0,""),INDEX('RFR Data - preExcl'!AL$2:AL923,$R23,1))</f>
        <v/>
      </c>
      <c r="I23" s="16">
        <f>IFERROR(VLOOKUP($B23,'APS Tubes by Date IMPORT'!$B$2:$J923,2,FALSE),"")</f>
        <v>1</v>
      </c>
      <c r="J23" s="16" t="str">
        <f>IFERROR(VLOOKUP($B23,'APS Tubes by Date IMPORT'!$B$2:$J923,9,FALSE),"")</f>
        <v/>
      </c>
      <c r="K23" s="16">
        <f>IFNA(VLOOKUP($B23,'APS Tubes by Date IMPORT'!$B$2:$J923,6,FALSE),"")</f>
        <v>0</v>
      </c>
      <c r="L23" s="89">
        <f t="shared" si="3"/>
        <v>1</v>
      </c>
      <c r="M23" s="16">
        <f t="shared" si="4"/>
        <v>0</v>
      </c>
      <c r="N23" s="90">
        <v>3.4</v>
      </c>
      <c r="O23" s="30" t="b">
        <f t="shared" si="5"/>
        <v>1</v>
      </c>
      <c r="P23" s="91" t="str">
        <f>IF(ISBLANK(N23),IFERROR(0/0,""),IFERROR(VLOOKUP(N23, 'Process Ref'!$A$76:$D$122, 2, FALSE), IFERROR(0/0,"")))</f>
        <v>Add Run from APS with no RFR (assume run on same day as Collect, ignore Result day)</v>
      </c>
      <c r="R23" s="92" t="str">
        <f>IFNA(MATCH(A23,'RFR Data - preExcl'!A$2:A923,0),"")</f>
        <v/>
      </c>
      <c r="S23" s="54"/>
      <c r="T23" s="30" t="str">
        <f>IF(EXACT('RFR Data - preExcl'!W23,"Initial"),'RFR Data - preExcl'!A23,IFERROR(0/0,""))</f>
        <v>RUN-FLMP_2021-12-19_RFR-023</v>
      </c>
      <c r="U23" s="93">
        <f>IF(EXACT('RFR Data - preExcl'!W23,"Initial"),'RFR Data - preExcl'!U23,IFERROR(0/0,""))</f>
        <v>44549</v>
      </c>
      <c r="X23" s="86"/>
      <c r="Y23" s="100" t="str">
        <f>IFERROR(__xludf.DUMMYFUNCTION("""COMPUTED_VALUE"""),"RUN-FLMP_2022-04-14_RFR-112_Re-run")</f>
        <v>RUN-FLMP_2022-04-14_RFR-112_Re-run</v>
      </c>
      <c r="Z23" s="95">
        <f>IFERROR(__xludf.DUMMYFUNCTION("""COMPUTED_VALUE"""),44665.45673961806)</f>
        <v>44665.45674</v>
      </c>
      <c r="AA23" s="96">
        <f>VLOOKUP($Y23,'RFR Data - preExcl'!$A$2:$AK923,29,FALSE)</f>
        <v>6</v>
      </c>
      <c r="AB23" s="96">
        <f>VLOOKUP($Y23,'RFR Data - preExcl'!$A$2:$AK923,37,FALSE)</f>
        <v>2</v>
      </c>
      <c r="AC23" s="96">
        <f t="shared" ref="AC23:AD23" si="27">AA23-AE23</f>
        <v>6</v>
      </c>
      <c r="AD23" s="96">
        <f t="shared" si="27"/>
        <v>2</v>
      </c>
      <c r="AE23" s="69"/>
      <c r="AF23" s="69"/>
      <c r="AG23" s="86"/>
      <c r="AH23" s="101" t="str">
        <f>IFERROR(__xludf.DUMMYFUNCTION("""COMPUTED_VALUE"""),"RUN-FLMP_2021-02-07_APS-022")</f>
        <v>RUN-FLMP_2021-02-07_APS-022</v>
      </c>
      <c r="AI23" s="96">
        <f t="shared" si="7"/>
        <v>1</v>
      </c>
      <c r="AJ23" s="86"/>
    </row>
    <row r="24">
      <c r="A24" s="8" t="s">
        <v>55</v>
      </c>
      <c r="B24" s="14">
        <v>44235.0</v>
      </c>
      <c r="C24" s="88" t="b">
        <f t="shared" si="2"/>
        <v>1</v>
      </c>
      <c r="D24" s="16" t="str">
        <f t="array" ref="D24">IF(OR(ISBLANK($A24),$C24),IFERROR(0/0,""),INDEX('RFR Data - preExcl'!E$2:E923,$R24,1))</f>
        <v/>
      </c>
      <c r="E24" s="16" t="str">
        <f t="array" ref="E24">IF(OR(ISBLANK($A24),$C24),IFERROR(0/0,""),INDEX('RFR Data - preExcl'!Z$2:Z923,$R24,1))</f>
        <v/>
      </c>
      <c r="F24" s="16" t="str">
        <f t="array" ref="F24">IF(OR(ISBLANK(A24),C24),IFERROR(0/0,""),INDEX('RFR Data - preExcl'!AC$2:AC923,$R24,1))</f>
        <v/>
      </c>
      <c r="G24" s="16" t="str">
        <f t="array" ref="G24">IF(OR(ISBLANK(A24),C24),IFERROR(0/0,""),INDEX('RFR Data - preExcl'!AK$2:AK923,$R24,1))</f>
        <v/>
      </c>
      <c r="H24" s="16" t="str">
        <f t="array" ref="H24">IF(OR(ISBLANK(A24),C24),IFERROR(0/0,""),INDEX('RFR Data - preExcl'!AL$2:AL923,$R24,1))</f>
        <v/>
      </c>
      <c r="I24" s="16">
        <f>IFERROR(VLOOKUP($B24,'APS Tubes by Date IMPORT'!$B$2:$J923,2,FALSE),"")</f>
        <v>4</v>
      </c>
      <c r="J24" s="16" t="str">
        <f>IFERROR(VLOOKUP($B24,'APS Tubes by Date IMPORT'!$B$2:$J923,9,FALSE),"")</f>
        <v/>
      </c>
      <c r="K24" s="16">
        <f>IFNA(VLOOKUP($B24,'APS Tubes by Date IMPORT'!$B$2:$J923,6,FALSE),"")</f>
        <v>0</v>
      </c>
      <c r="L24" s="89">
        <f t="shared" si="3"/>
        <v>4</v>
      </c>
      <c r="M24" s="16">
        <f t="shared" si="4"/>
        <v>0</v>
      </c>
      <c r="N24" s="90">
        <v>3.4</v>
      </c>
      <c r="O24" s="30" t="b">
        <f t="shared" si="5"/>
        <v>1</v>
      </c>
      <c r="P24" s="91" t="str">
        <f>IF(ISBLANK(N24),IFERROR(0/0,""),IFERROR(VLOOKUP(N24, 'Process Ref'!$A$76:$D$122, 2, FALSE), IFERROR(0/0,"")))</f>
        <v>Add Run from APS with no RFR (assume run on same day as Collect, ignore Result day)</v>
      </c>
      <c r="R24" s="92" t="str">
        <f>IFNA(MATCH(A24,'RFR Data - preExcl'!A$2:A923,0),"")</f>
        <v/>
      </c>
      <c r="S24" s="54"/>
      <c r="T24" s="30" t="str">
        <f>IF(EXACT('RFR Data - preExcl'!W24,"Initial"),'RFR Data - preExcl'!A24,IFERROR(0/0,""))</f>
        <v>RUN-FLMP_2021-12-20_RFR-024</v>
      </c>
      <c r="U24" s="93">
        <f>IF(EXACT('RFR Data - preExcl'!W24,"Initial"),'RFR Data - preExcl'!U24,IFERROR(0/0,""))</f>
        <v>44550</v>
      </c>
      <c r="X24" s="86"/>
      <c r="Y24" s="100" t="str">
        <f>IFERROR(__xludf.DUMMYFUNCTION("""COMPUTED_VALUE"""),"RUN-FLMP_2022-04-18_RFR-114_Re-run")</f>
        <v>RUN-FLMP_2022-04-18_RFR-114_Re-run</v>
      </c>
      <c r="Z24" s="95">
        <f>IFERROR(__xludf.DUMMYFUNCTION("""COMPUTED_VALUE"""),44669.45845173611)</f>
        <v>44669.45845</v>
      </c>
      <c r="AA24" s="96">
        <f>VLOOKUP($Y24,'RFR Data - preExcl'!$A$2:$AK923,29,FALSE)</f>
        <v>4</v>
      </c>
      <c r="AB24" s="96">
        <f>VLOOKUP($Y24,'RFR Data - preExcl'!$A$2:$AK923,37,FALSE)</f>
        <v>2</v>
      </c>
      <c r="AC24" s="96">
        <f t="shared" ref="AC24:AD24" si="28">AA24-AE24</f>
        <v>4</v>
      </c>
      <c r="AD24" s="96">
        <f t="shared" si="28"/>
        <v>2</v>
      </c>
      <c r="AE24" s="69"/>
      <c r="AF24" s="69"/>
      <c r="AG24" s="86"/>
      <c r="AH24" s="101" t="str">
        <f>IFERROR(__xludf.DUMMYFUNCTION("""COMPUTED_VALUE"""),"RUN-FLMP_2021-02-08_APS-023")</f>
        <v>RUN-FLMP_2021-02-08_APS-023</v>
      </c>
      <c r="AI24" s="96">
        <f t="shared" si="7"/>
        <v>4</v>
      </c>
      <c r="AJ24" s="86"/>
    </row>
    <row r="25">
      <c r="A25" s="8" t="s">
        <v>56</v>
      </c>
      <c r="B25" s="14">
        <v>44236.0</v>
      </c>
      <c r="C25" s="88" t="b">
        <f t="shared" si="2"/>
        <v>1</v>
      </c>
      <c r="D25" s="16" t="str">
        <f t="array" ref="D25">IF(OR(ISBLANK($A25),$C25),IFERROR(0/0,""),INDEX('RFR Data - preExcl'!E$2:E923,$R25,1))</f>
        <v/>
      </c>
      <c r="E25" s="16" t="str">
        <f t="array" ref="E25">IF(OR(ISBLANK($A25),$C25),IFERROR(0/0,""),INDEX('RFR Data - preExcl'!Z$2:Z923,$R25,1))</f>
        <v/>
      </c>
      <c r="F25" s="16" t="str">
        <f t="array" ref="F25">IF(OR(ISBLANK(A25),C25),IFERROR(0/0,""),INDEX('RFR Data - preExcl'!AC$2:AC923,$R25,1))</f>
        <v/>
      </c>
      <c r="G25" s="16" t="str">
        <f t="array" ref="G25">IF(OR(ISBLANK(A25),C25),IFERROR(0/0,""),INDEX('RFR Data - preExcl'!AK$2:AK923,$R25,1))</f>
        <v/>
      </c>
      <c r="H25" s="16" t="str">
        <f t="array" ref="H25">IF(OR(ISBLANK(A25),C25),IFERROR(0/0,""),INDEX('RFR Data - preExcl'!AL$2:AL923,$R25,1))</f>
        <v/>
      </c>
      <c r="I25" s="16">
        <f>IFERROR(VLOOKUP($B25,'APS Tubes by Date IMPORT'!$B$2:$J923,2,FALSE),"")</f>
        <v>2</v>
      </c>
      <c r="J25" s="16" t="str">
        <f>IFERROR(VLOOKUP($B25,'APS Tubes by Date IMPORT'!$B$2:$J923,9,FALSE),"")</f>
        <v/>
      </c>
      <c r="K25" s="16">
        <f>IFNA(VLOOKUP($B25,'APS Tubes by Date IMPORT'!$B$2:$J923,6,FALSE),"")</f>
        <v>0</v>
      </c>
      <c r="L25" s="89">
        <f t="shared" si="3"/>
        <v>2</v>
      </c>
      <c r="M25" s="16">
        <f t="shared" si="4"/>
        <v>0</v>
      </c>
      <c r="N25" s="90">
        <v>3.4</v>
      </c>
      <c r="O25" s="30" t="b">
        <f t="shared" si="5"/>
        <v>1</v>
      </c>
      <c r="P25" s="91" t="str">
        <f>IF(ISBLANK(N25),IFERROR(0/0,""),IFERROR(VLOOKUP(N25, 'Process Ref'!$A$76:$D$122, 2, FALSE), IFERROR(0/0,"")))</f>
        <v>Add Run from APS with no RFR (assume run on same day as Collect, ignore Result day)</v>
      </c>
      <c r="R25" s="92" t="str">
        <f>IFNA(MATCH(A25,'RFR Data - preExcl'!A$2:A923,0),"")</f>
        <v/>
      </c>
      <c r="S25" s="54"/>
      <c r="T25" s="30" t="str">
        <f>IF(EXACT('RFR Data - preExcl'!W25,"Initial"),'RFR Data - preExcl'!A25,IFERROR(0/0,""))</f>
        <v>RUN-FLMP_2021-12-20_RFR-026</v>
      </c>
      <c r="U25" s="93">
        <f>IF(EXACT('RFR Data - preExcl'!W25,"Initial"),'RFR Data - preExcl'!U25,IFERROR(0/0,""))</f>
        <v>44550</v>
      </c>
      <c r="X25" s="86"/>
      <c r="Y25" s="100" t="str">
        <f>IFERROR(__xludf.DUMMYFUNCTION("""COMPUTED_VALUE"""),"RUN-FLMP_2022-04-28_RFR-121_Re-run")</f>
        <v>RUN-FLMP_2022-04-28_RFR-121_Re-run</v>
      </c>
      <c r="Z25" s="95">
        <f>IFERROR(__xludf.DUMMYFUNCTION("""COMPUTED_VALUE"""),44679.52964927083)</f>
        <v>44679.52965</v>
      </c>
      <c r="AA25" s="96">
        <f>VLOOKUP($Y25,'RFR Data - preExcl'!$A$2:$AK923,29,FALSE)</f>
        <v>6</v>
      </c>
      <c r="AB25" s="96">
        <f>VLOOKUP($Y25,'RFR Data - preExcl'!$A$2:$AK923,37,FALSE)</f>
        <v>3</v>
      </c>
      <c r="AC25" s="96">
        <f t="shared" ref="AC25:AD25" si="29">AA25-AE25</f>
        <v>6</v>
      </c>
      <c r="AD25" s="96">
        <f t="shared" si="29"/>
        <v>3</v>
      </c>
      <c r="AE25" s="69"/>
      <c r="AF25" s="69"/>
      <c r="AG25" s="86"/>
      <c r="AH25" s="101" t="str">
        <f>IFERROR(__xludf.DUMMYFUNCTION("""COMPUTED_VALUE"""),"RUN-FLMP_2021-02-09_APS-024")</f>
        <v>RUN-FLMP_2021-02-09_APS-024</v>
      </c>
      <c r="AI25" s="96">
        <f t="shared" si="7"/>
        <v>2</v>
      </c>
      <c r="AJ25" s="86"/>
    </row>
    <row r="26">
      <c r="A26" s="8" t="s">
        <v>57</v>
      </c>
      <c r="B26" s="14">
        <v>44237.0</v>
      </c>
      <c r="C26" s="88" t="b">
        <f t="shared" si="2"/>
        <v>1</v>
      </c>
      <c r="D26" s="16" t="str">
        <f t="array" ref="D26">IF(OR(ISBLANK($A26),$C26),IFERROR(0/0,""),INDEX('RFR Data - preExcl'!E$2:E923,$R26,1))</f>
        <v/>
      </c>
      <c r="E26" s="16" t="str">
        <f t="array" ref="E26">IF(OR(ISBLANK($A26),$C26),IFERROR(0/0,""),INDEX('RFR Data - preExcl'!Z$2:Z923,$R26,1))</f>
        <v/>
      </c>
      <c r="F26" s="16" t="str">
        <f t="array" ref="F26">IF(OR(ISBLANK(A26),C26),IFERROR(0/0,""),INDEX('RFR Data - preExcl'!AC$2:AC923,$R26,1))</f>
        <v/>
      </c>
      <c r="G26" s="16" t="str">
        <f t="array" ref="G26">IF(OR(ISBLANK(A26),C26),IFERROR(0/0,""),INDEX('RFR Data - preExcl'!AK$2:AK923,$R26,1))</f>
        <v/>
      </c>
      <c r="H26" s="16" t="str">
        <f t="array" ref="H26">IF(OR(ISBLANK(A26),C26),IFERROR(0/0,""),INDEX('RFR Data - preExcl'!AL$2:AL923,$R26,1))</f>
        <v/>
      </c>
      <c r="I26" s="16">
        <f>IFERROR(VLOOKUP($B26,'APS Tubes by Date IMPORT'!$B$2:$J923,2,FALSE),"")</f>
        <v>2</v>
      </c>
      <c r="J26" s="16" t="str">
        <f>IFERROR(VLOOKUP($B26,'APS Tubes by Date IMPORT'!$B$2:$J923,9,FALSE),"")</f>
        <v/>
      </c>
      <c r="K26" s="16">
        <f>IFNA(VLOOKUP($B26,'APS Tubes by Date IMPORT'!$B$2:$J923,6,FALSE),"")</f>
        <v>0</v>
      </c>
      <c r="L26" s="89">
        <f t="shared" si="3"/>
        <v>2</v>
      </c>
      <c r="M26" s="16">
        <f t="shared" si="4"/>
        <v>0</v>
      </c>
      <c r="N26" s="90">
        <v>3.4</v>
      </c>
      <c r="O26" s="30" t="b">
        <f t="shared" si="5"/>
        <v>1</v>
      </c>
      <c r="P26" s="91" t="str">
        <f>IF(ISBLANK(N26),IFERROR(0/0,""),IFERROR(VLOOKUP(N26, 'Process Ref'!$A$76:$D$122, 2, FALSE), IFERROR(0/0,"")))</f>
        <v>Add Run from APS with no RFR (assume run on same day as Collect, ignore Result day)</v>
      </c>
      <c r="R26" s="92" t="str">
        <f>IFNA(MATCH(A26,'RFR Data - preExcl'!A$2:A923,0),"")</f>
        <v/>
      </c>
      <c r="S26" s="54"/>
      <c r="T26" s="30" t="str">
        <f>IF(EXACT('RFR Data - preExcl'!W26,"Initial"),'RFR Data - preExcl'!A26,IFERROR(0/0,""))</f>
        <v/>
      </c>
      <c r="U26" s="30" t="str">
        <f>IF(EXACT('RFR Data - preExcl'!W26,"Initial"),'RFR Data - preExcl'!U26,IFERROR(0/0,""))</f>
        <v/>
      </c>
      <c r="X26" s="86"/>
      <c r="Y26" s="100" t="str">
        <f>IFERROR(__xludf.DUMMYFUNCTION("""COMPUTED_VALUE"""),"RUN-FLMP_2022-05-02_RFR-123_Re-run")</f>
        <v>RUN-FLMP_2022-05-02_RFR-123_Re-run</v>
      </c>
      <c r="Z26" s="95">
        <f>IFERROR(__xludf.DUMMYFUNCTION("""COMPUTED_VALUE"""),44683.46796275463)</f>
        <v>44683.46796</v>
      </c>
      <c r="AA26" s="96">
        <f>VLOOKUP($Y26,'RFR Data - preExcl'!$A$2:$AK923,29,FALSE)</f>
        <v>12</v>
      </c>
      <c r="AB26" s="96">
        <f>VLOOKUP($Y26,'RFR Data - preExcl'!$A$2:$AK923,37,FALSE)</f>
        <v>4</v>
      </c>
      <c r="AC26" s="96">
        <f t="shared" ref="AC26:AD26" si="30">AA26-AE26</f>
        <v>12</v>
      </c>
      <c r="AD26" s="96">
        <f t="shared" si="30"/>
        <v>4</v>
      </c>
      <c r="AE26" s="69"/>
      <c r="AF26" s="69"/>
      <c r="AG26" s="86"/>
      <c r="AH26" s="101" t="str">
        <f>IFERROR(__xludf.DUMMYFUNCTION("""COMPUTED_VALUE"""),"RUN-FLMP_2021-02-10_APS-025")</f>
        <v>RUN-FLMP_2021-02-10_APS-025</v>
      </c>
      <c r="AI26" s="96">
        <f t="shared" si="7"/>
        <v>2</v>
      </c>
      <c r="AJ26" s="86"/>
    </row>
    <row r="27">
      <c r="A27" s="8" t="s">
        <v>58</v>
      </c>
      <c r="B27" s="14">
        <v>44238.0</v>
      </c>
      <c r="C27" s="88" t="b">
        <f t="shared" si="2"/>
        <v>1</v>
      </c>
      <c r="D27" s="16" t="str">
        <f t="array" ref="D27">IF(OR(ISBLANK($A27),$C27),IFERROR(0/0,""),INDEX('RFR Data - preExcl'!E$2:E923,$R27,1))</f>
        <v/>
      </c>
      <c r="E27" s="16" t="str">
        <f t="array" ref="E27">IF(OR(ISBLANK($A27),$C27),IFERROR(0/0,""),INDEX('RFR Data - preExcl'!Z$2:Z923,$R27,1))</f>
        <v/>
      </c>
      <c r="F27" s="16" t="str">
        <f t="array" ref="F27">IF(OR(ISBLANK(A27),C27),IFERROR(0/0,""),INDEX('RFR Data - preExcl'!AC$2:AC923,$R27,1))</f>
        <v/>
      </c>
      <c r="G27" s="16" t="str">
        <f t="array" ref="G27">IF(OR(ISBLANK(A27),C27),IFERROR(0/0,""),INDEX('RFR Data - preExcl'!AK$2:AK923,$R27,1))</f>
        <v/>
      </c>
      <c r="H27" s="16" t="str">
        <f t="array" ref="H27">IF(OR(ISBLANK(A27),C27),IFERROR(0/0,""),INDEX('RFR Data - preExcl'!AL$2:AL923,$R27,1))</f>
        <v/>
      </c>
      <c r="I27" s="16">
        <f>IFERROR(VLOOKUP($B27,'APS Tubes by Date IMPORT'!$B$2:$J923,2,FALSE),"")</f>
        <v>2</v>
      </c>
      <c r="J27" s="16" t="str">
        <f>IFERROR(VLOOKUP($B27,'APS Tubes by Date IMPORT'!$B$2:$J923,9,FALSE),"")</f>
        <v/>
      </c>
      <c r="K27" s="16">
        <f>IFNA(VLOOKUP($B27,'APS Tubes by Date IMPORT'!$B$2:$J923,6,FALSE),"")</f>
        <v>0</v>
      </c>
      <c r="L27" s="89">
        <f t="shared" si="3"/>
        <v>2</v>
      </c>
      <c r="M27" s="16">
        <f t="shared" si="4"/>
        <v>0</v>
      </c>
      <c r="N27" s="90">
        <v>3.4</v>
      </c>
      <c r="O27" s="30" t="b">
        <f t="shared" si="5"/>
        <v>1</v>
      </c>
      <c r="P27" s="91" t="str">
        <f>IF(ISBLANK(N27),IFERROR(0/0,""),IFERROR(VLOOKUP(N27, 'Process Ref'!$A$76:$D$122, 2, FALSE), IFERROR(0/0,"")))</f>
        <v>Add Run from APS with no RFR (assume run on same day as Collect, ignore Result day)</v>
      </c>
      <c r="Q27" s="18" t="s">
        <v>301</v>
      </c>
      <c r="R27" s="92" t="str">
        <f>IFNA(MATCH(A27,'RFR Data - preExcl'!A$2:A923,0),"")</f>
        <v/>
      </c>
      <c r="S27" s="54"/>
      <c r="T27" s="30" t="str">
        <f>IF(EXACT('RFR Data - preExcl'!W27,"Initial"),'RFR Data - preExcl'!A27,IFERROR(0/0,""))</f>
        <v>RUN-FLMP_2021-12-21_RFR-028</v>
      </c>
      <c r="U27" s="93">
        <f>IF(EXACT('RFR Data - preExcl'!W27,"Initial"),'RFR Data - preExcl'!U27,IFERROR(0/0,""))</f>
        <v>44551</v>
      </c>
      <c r="X27" s="86"/>
      <c r="Y27" s="100" t="str">
        <f>IFERROR(__xludf.DUMMYFUNCTION("""COMPUTED_VALUE"""),"RUN-FLMP_2022-05-05_RFR-127_Re-run")</f>
        <v>RUN-FLMP_2022-05-05_RFR-127_Re-run</v>
      </c>
      <c r="Z27" s="95">
        <f>IFERROR(__xludf.DUMMYFUNCTION("""COMPUTED_VALUE"""),44686.46053805556)</f>
        <v>44686.46054</v>
      </c>
      <c r="AA27" s="96">
        <f>VLOOKUP($Y27,'RFR Data - preExcl'!$A$2:$AK923,29,FALSE)</f>
        <v>3</v>
      </c>
      <c r="AB27" s="96">
        <f>VLOOKUP($Y27,'RFR Data - preExcl'!$A$2:$AK923,37,FALSE)</f>
        <v>1</v>
      </c>
      <c r="AC27" s="96">
        <f t="shared" ref="AC27:AD27" si="31">AA27-AE27</f>
        <v>3</v>
      </c>
      <c r="AD27" s="96">
        <f t="shared" si="31"/>
        <v>1</v>
      </c>
      <c r="AE27" s="69"/>
      <c r="AF27" s="69"/>
      <c r="AG27" s="86"/>
      <c r="AH27" s="101" t="str">
        <f>IFERROR(__xludf.DUMMYFUNCTION("""COMPUTED_VALUE"""),"RUN-FLMP_2021-02-11_APS-026")</f>
        <v>RUN-FLMP_2021-02-11_APS-026</v>
      </c>
      <c r="AI27" s="96">
        <f t="shared" si="7"/>
        <v>2</v>
      </c>
      <c r="AJ27" s="86"/>
    </row>
    <row r="28">
      <c r="A28" s="8" t="s">
        <v>59</v>
      </c>
      <c r="B28" s="14">
        <v>44239.0</v>
      </c>
      <c r="C28" s="88" t="b">
        <f t="shared" si="2"/>
        <v>1</v>
      </c>
      <c r="D28" s="16" t="str">
        <f t="array" ref="D28">IF(OR(ISBLANK($A28),$C28),IFERROR(0/0,""),INDEX('RFR Data - preExcl'!E$2:E923,$R28,1))</f>
        <v/>
      </c>
      <c r="E28" s="16" t="str">
        <f t="array" ref="E28">IF(OR(ISBLANK($A28),$C28),IFERROR(0/0,""),INDEX('RFR Data - preExcl'!Z$2:Z923,$R28,1))</f>
        <v/>
      </c>
      <c r="F28" s="16" t="str">
        <f t="array" ref="F28">IF(OR(ISBLANK(A28),C28),IFERROR(0/0,""),INDEX('RFR Data - preExcl'!AC$2:AC923,$R28,1))</f>
        <v/>
      </c>
      <c r="G28" s="16" t="str">
        <f t="array" ref="G28">IF(OR(ISBLANK(A28),C28),IFERROR(0/0,""),INDEX('RFR Data - preExcl'!AK$2:AK923,$R28,1))</f>
        <v/>
      </c>
      <c r="H28" s="16" t="str">
        <f t="array" ref="H28">IF(OR(ISBLANK(A28),C28),IFERROR(0/0,""),INDEX('RFR Data - preExcl'!AL$2:AL923,$R28,1))</f>
        <v/>
      </c>
      <c r="I28" s="16">
        <f>IFERROR(VLOOKUP($B28,'APS Tubes by Date IMPORT'!$B$2:$J923,2,FALSE),"")</f>
        <v>3</v>
      </c>
      <c r="J28" s="16" t="str">
        <f>IFERROR(VLOOKUP($B28,'APS Tubes by Date IMPORT'!$B$2:$J923,9,FALSE),"")</f>
        <v/>
      </c>
      <c r="K28" s="16">
        <f>IFNA(VLOOKUP($B28,'APS Tubes by Date IMPORT'!$B$2:$J923,6,FALSE),"")</f>
        <v>0</v>
      </c>
      <c r="L28" s="89">
        <f t="shared" si="3"/>
        <v>3</v>
      </c>
      <c r="M28" s="16">
        <f t="shared" si="4"/>
        <v>0</v>
      </c>
      <c r="N28" s="90">
        <v>3.4</v>
      </c>
      <c r="O28" s="30" t="b">
        <f t="shared" si="5"/>
        <v>1</v>
      </c>
      <c r="P28" s="91" t="str">
        <f>IF(ISBLANK(N28),IFERROR(0/0,""),IFERROR(VLOOKUP(N28, 'Process Ref'!$A$76:$D$122, 2, FALSE), IFERROR(0/0,"")))</f>
        <v>Add Run from APS with no RFR (assume run on same day as Collect, ignore Result day)</v>
      </c>
      <c r="R28" s="92" t="str">
        <f>IFNA(MATCH(A28,'RFR Data - preExcl'!A$2:A923,0),"")</f>
        <v/>
      </c>
      <c r="S28" s="54"/>
      <c r="T28" s="30" t="str">
        <f>IF(EXACT('RFR Data - preExcl'!W28,"Initial"),'RFR Data - preExcl'!A28,IFERROR(0/0,""))</f>
        <v>RUN-FLMP_2021-12-21_RFR-029</v>
      </c>
      <c r="U28" s="93">
        <f>IF(EXACT('RFR Data - preExcl'!W28,"Initial"),'RFR Data - preExcl'!U28,IFERROR(0/0,""))</f>
        <v>44551</v>
      </c>
      <c r="X28" s="86"/>
      <c r="Y28" s="100" t="str">
        <f>IFERROR(__xludf.DUMMYFUNCTION("""COMPUTED_VALUE"""),"RUN-FLMP_2022-05-09_RFR-129_Re-run")</f>
        <v>RUN-FLMP_2022-05-09_RFR-129_Re-run</v>
      </c>
      <c r="Z28" s="95">
        <f>IFERROR(__xludf.DUMMYFUNCTION("""COMPUTED_VALUE"""),44690.50622733796)</f>
        <v>44690.50623</v>
      </c>
      <c r="AA28" s="96">
        <f>VLOOKUP($Y28,'RFR Data - preExcl'!$A$2:$AK923,29,FALSE)</f>
        <v>9</v>
      </c>
      <c r="AB28" s="96">
        <f>VLOOKUP($Y28,'RFR Data - preExcl'!$A$2:$AK923,37,FALSE)</f>
        <v>3</v>
      </c>
      <c r="AC28" s="96">
        <f t="shared" ref="AC28:AD28" si="32">AA28-AE28</f>
        <v>9</v>
      </c>
      <c r="AD28" s="96">
        <f t="shared" si="32"/>
        <v>3</v>
      </c>
      <c r="AE28" s="69"/>
      <c r="AF28" s="69"/>
      <c r="AG28" s="86"/>
      <c r="AH28" s="101" t="str">
        <f>IFERROR(__xludf.DUMMYFUNCTION("""COMPUTED_VALUE"""),"RUN-FLMP_2021-02-12_APS-027")</f>
        <v>RUN-FLMP_2021-02-12_APS-027</v>
      </c>
      <c r="AI28" s="96">
        <f t="shared" si="7"/>
        <v>3</v>
      </c>
      <c r="AJ28" s="86"/>
    </row>
    <row r="29">
      <c r="A29" s="8" t="s">
        <v>60</v>
      </c>
      <c r="B29" s="14">
        <v>44243.0</v>
      </c>
      <c r="C29" s="88" t="b">
        <f t="shared" si="2"/>
        <v>1</v>
      </c>
      <c r="D29" s="16" t="str">
        <f t="array" ref="D29">IF(OR(ISBLANK($A29),$C29),IFERROR(0/0,""),INDEX('RFR Data - preExcl'!E$2:E923,$R29,1))</f>
        <v/>
      </c>
      <c r="E29" s="16" t="str">
        <f t="array" ref="E29">IF(OR(ISBLANK($A29),$C29),IFERROR(0/0,""),INDEX('RFR Data - preExcl'!Z$2:Z923,$R29,1))</f>
        <v/>
      </c>
      <c r="F29" s="16" t="str">
        <f t="array" ref="F29">IF(OR(ISBLANK(A29),C29),IFERROR(0/0,""),INDEX('RFR Data - preExcl'!AC$2:AC923,$R29,1))</f>
        <v/>
      </c>
      <c r="G29" s="16" t="str">
        <f t="array" ref="G29">IF(OR(ISBLANK(A29),C29),IFERROR(0/0,""),INDEX('RFR Data - preExcl'!AK$2:AK923,$R29,1))</f>
        <v/>
      </c>
      <c r="H29" s="16" t="str">
        <f t="array" ref="H29">IF(OR(ISBLANK(A29),C29),IFERROR(0/0,""),INDEX('RFR Data - preExcl'!AL$2:AL923,$R29,1))</f>
        <v/>
      </c>
      <c r="I29" s="16">
        <f>IFERROR(VLOOKUP($B29,'APS Tubes by Date IMPORT'!$B$2:$J923,2,FALSE),"")</f>
        <v>2</v>
      </c>
      <c r="J29" s="16" t="str">
        <f>IFERROR(VLOOKUP($B29,'APS Tubes by Date IMPORT'!$B$2:$J923,9,FALSE),"")</f>
        <v/>
      </c>
      <c r="K29" s="16">
        <f>IFNA(VLOOKUP($B29,'APS Tubes by Date IMPORT'!$B$2:$J923,6,FALSE),"")</f>
        <v>0</v>
      </c>
      <c r="L29" s="89">
        <f t="shared" si="3"/>
        <v>2</v>
      </c>
      <c r="M29" s="16">
        <f t="shared" si="4"/>
        <v>0</v>
      </c>
      <c r="N29" s="90">
        <v>3.4</v>
      </c>
      <c r="O29" s="30" t="b">
        <f t="shared" si="5"/>
        <v>1</v>
      </c>
      <c r="P29" s="91" t="str">
        <f>IF(ISBLANK(N29),IFERROR(0/0,""),IFERROR(VLOOKUP(N29, 'Process Ref'!$A$76:$D$122, 2, FALSE), IFERROR(0/0,"")))</f>
        <v>Add Run from APS with no RFR (assume run on same day as Collect, ignore Result day)</v>
      </c>
      <c r="R29" s="92" t="str">
        <f>IFNA(MATCH(A29,'RFR Data - preExcl'!A$2:A923,0),"")</f>
        <v/>
      </c>
      <c r="S29" s="54"/>
      <c r="T29" s="30" t="str">
        <f>IF(EXACT('RFR Data - preExcl'!W29,"Initial"),'RFR Data - preExcl'!A29,IFERROR(0/0,""))</f>
        <v>RUN-FLMP_2021-12-22_RFR-030</v>
      </c>
      <c r="U29" s="93">
        <f>IF(EXACT('RFR Data - preExcl'!W29,"Initial"),'RFR Data - preExcl'!U29,IFERROR(0/0,""))</f>
        <v>44552</v>
      </c>
      <c r="X29" s="86"/>
      <c r="Y29" s="100" t="str">
        <f>IFERROR(__xludf.DUMMYFUNCTION("""COMPUTED_VALUE"""),"RUN-FLMP_2022-05-09_RFR-130_Re-run")</f>
        <v>RUN-FLMP_2022-05-09_RFR-130_Re-run</v>
      </c>
      <c r="Z29" s="95">
        <f>IFERROR(__xludf.DUMMYFUNCTION("""COMPUTED_VALUE"""),44690.5071875)</f>
        <v>44690.50719</v>
      </c>
      <c r="AA29" s="96">
        <f>VLOOKUP($Y29,'RFR Data - preExcl'!$A$2:$AK923,29,FALSE)</f>
        <v>18</v>
      </c>
      <c r="AB29" s="96">
        <f>VLOOKUP($Y29,'RFR Data - preExcl'!$A$2:$AK923,37,FALSE)</f>
        <v>6</v>
      </c>
      <c r="AC29" s="96">
        <f t="shared" ref="AC29:AD29" si="33">AA29-AE29</f>
        <v>18</v>
      </c>
      <c r="AD29" s="96">
        <f t="shared" si="33"/>
        <v>6</v>
      </c>
      <c r="AE29" s="69"/>
      <c r="AF29" s="69"/>
      <c r="AG29" s="86"/>
      <c r="AH29" s="101" t="str">
        <f>IFERROR(__xludf.DUMMYFUNCTION("""COMPUTED_VALUE"""),"RUN-FLMP_2021-02-16_APS-028")</f>
        <v>RUN-FLMP_2021-02-16_APS-028</v>
      </c>
      <c r="AI29" s="96">
        <f t="shared" si="7"/>
        <v>2</v>
      </c>
      <c r="AJ29" s="86"/>
    </row>
    <row r="30">
      <c r="A30" s="8" t="s">
        <v>61</v>
      </c>
      <c r="B30" s="14">
        <v>44248.0</v>
      </c>
      <c r="C30" s="88" t="b">
        <f t="shared" si="2"/>
        <v>1</v>
      </c>
      <c r="D30" s="16" t="str">
        <f t="array" ref="D30">IF(OR(ISBLANK($A30),$C30),IFERROR(0/0,""),INDEX('RFR Data - preExcl'!E$2:E923,$R30,1))</f>
        <v/>
      </c>
      <c r="E30" s="16" t="str">
        <f t="array" ref="E30">IF(OR(ISBLANK($A30),$C30),IFERROR(0/0,""),INDEX('RFR Data - preExcl'!Z$2:Z923,$R30,1))</f>
        <v/>
      </c>
      <c r="F30" s="16" t="str">
        <f t="array" ref="F30">IF(OR(ISBLANK(A30),C30),IFERROR(0/0,""),INDEX('RFR Data - preExcl'!AC$2:AC923,$R30,1))</f>
        <v/>
      </c>
      <c r="G30" s="16" t="str">
        <f t="array" ref="G30">IF(OR(ISBLANK(A30),C30),IFERROR(0/0,""),INDEX('RFR Data - preExcl'!AK$2:AK923,$R30,1))</f>
        <v/>
      </c>
      <c r="H30" s="16" t="str">
        <f t="array" ref="H30">IF(OR(ISBLANK(A30),C30),IFERROR(0/0,""),INDEX('RFR Data - preExcl'!AL$2:AL923,$R30,1))</f>
        <v/>
      </c>
      <c r="I30" s="16">
        <f>IFERROR(VLOOKUP($B30,'APS Tubes by Date IMPORT'!$B$2:$J923,2,FALSE),"")</f>
        <v>2</v>
      </c>
      <c r="J30" s="16" t="str">
        <f>IFERROR(VLOOKUP($B30,'APS Tubes by Date IMPORT'!$B$2:$J923,9,FALSE),"")</f>
        <v/>
      </c>
      <c r="K30" s="16">
        <f>IFNA(VLOOKUP($B30,'APS Tubes by Date IMPORT'!$B$2:$J923,6,FALSE),"")</f>
        <v>0</v>
      </c>
      <c r="L30" s="89">
        <f t="shared" si="3"/>
        <v>2</v>
      </c>
      <c r="M30" s="16">
        <f t="shared" si="4"/>
        <v>0</v>
      </c>
      <c r="N30" s="90">
        <v>3.4</v>
      </c>
      <c r="O30" s="30" t="b">
        <f t="shared" si="5"/>
        <v>1</v>
      </c>
      <c r="P30" s="91" t="str">
        <f>IF(ISBLANK(N30),IFERROR(0/0,""),IFERROR(VLOOKUP(N30, 'Process Ref'!$A$76:$D$122, 2, FALSE), IFERROR(0/0,"")))</f>
        <v>Add Run from APS with no RFR (assume run on same day as Collect, ignore Result day)</v>
      </c>
      <c r="R30" s="92" t="str">
        <f>IFNA(MATCH(A30,'RFR Data - preExcl'!A$2:A923,0),"")</f>
        <v/>
      </c>
      <c r="S30" s="54"/>
      <c r="T30" s="30" t="str">
        <f>IF(EXACT('RFR Data - preExcl'!W30,"Initial"),'RFR Data - preExcl'!A30,IFERROR(0/0,""))</f>
        <v>RUN-FLMP_2021-12-22_RFR-031</v>
      </c>
      <c r="U30" s="93">
        <f>IF(EXACT('RFR Data - preExcl'!W30,"Initial"),'RFR Data - preExcl'!U30,IFERROR(0/0,""))</f>
        <v>44552</v>
      </c>
      <c r="X30" s="86"/>
      <c r="Y30" s="100" t="str">
        <f>IFERROR(__xludf.DUMMYFUNCTION("""COMPUTED_VALUE"""),"RUN-FLMP_2022-05-11_RFR-133_Re-run")</f>
        <v>RUN-FLMP_2022-05-11_RFR-133_Re-run</v>
      </c>
      <c r="Z30" s="95">
        <f>IFERROR(__xludf.DUMMYFUNCTION("""COMPUTED_VALUE"""),44692.45308892361)</f>
        <v>44692.45309</v>
      </c>
      <c r="AA30" s="96">
        <f>VLOOKUP($Y30,'RFR Data - preExcl'!$A$2:$AK923,29,FALSE)</f>
        <v>6</v>
      </c>
      <c r="AB30" s="96">
        <f>VLOOKUP($Y30,'RFR Data - preExcl'!$A$2:$AK923,37,FALSE)</f>
        <v>2</v>
      </c>
      <c r="AC30" s="96">
        <f t="shared" ref="AC30:AD30" si="34">AA30-AE30</f>
        <v>3</v>
      </c>
      <c r="AD30" s="96">
        <f t="shared" si="34"/>
        <v>1</v>
      </c>
      <c r="AE30" s="98">
        <v>3.0</v>
      </c>
      <c r="AF30" s="98">
        <v>1.0</v>
      </c>
      <c r="AG30" s="86"/>
      <c r="AH30" s="101" t="str">
        <f>IFERROR(__xludf.DUMMYFUNCTION("""COMPUTED_VALUE"""),"RUN-FLMP_2021-02-21_APS-029")</f>
        <v>RUN-FLMP_2021-02-21_APS-029</v>
      </c>
      <c r="AI30" s="96">
        <f t="shared" si="7"/>
        <v>2</v>
      </c>
      <c r="AJ30" s="86"/>
    </row>
    <row r="31">
      <c r="A31" s="8" t="s">
        <v>62</v>
      </c>
      <c r="B31" s="14">
        <v>44249.0</v>
      </c>
      <c r="C31" s="88" t="b">
        <f t="shared" si="2"/>
        <v>1</v>
      </c>
      <c r="D31" s="16" t="str">
        <f t="array" ref="D31">IF(OR(ISBLANK($A31),$C31),IFERROR(0/0,""),INDEX('RFR Data - preExcl'!E$2:E923,$R31,1))</f>
        <v/>
      </c>
      <c r="E31" s="16" t="str">
        <f t="array" ref="E31">IF(OR(ISBLANK($A31),$C31),IFERROR(0/0,""),INDEX('RFR Data - preExcl'!Z$2:Z923,$R31,1))</f>
        <v/>
      </c>
      <c r="F31" s="16" t="str">
        <f t="array" ref="F31">IF(OR(ISBLANK(A31),C31),IFERROR(0/0,""),INDEX('RFR Data - preExcl'!AC$2:AC923,$R31,1))</f>
        <v/>
      </c>
      <c r="G31" s="16" t="str">
        <f t="array" ref="G31">IF(OR(ISBLANK(A31),C31),IFERROR(0/0,""),INDEX('RFR Data - preExcl'!AK$2:AK923,$R31,1))</f>
        <v/>
      </c>
      <c r="H31" s="16" t="str">
        <f t="array" ref="H31">IF(OR(ISBLANK(A31),C31),IFERROR(0/0,""),INDEX('RFR Data - preExcl'!AL$2:AL923,$R31,1))</f>
        <v/>
      </c>
      <c r="I31" s="16">
        <f>IFERROR(VLOOKUP($B31,'APS Tubes by Date IMPORT'!$B$2:$J923,2,FALSE),"")</f>
        <v>3</v>
      </c>
      <c r="J31" s="16" t="str">
        <f>IFERROR(VLOOKUP($B31,'APS Tubes by Date IMPORT'!$B$2:$J923,9,FALSE),"")</f>
        <v/>
      </c>
      <c r="K31" s="16">
        <f>IFNA(VLOOKUP($B31,'APS Tubes by Date IMPORT'!$B$2:$J923,6,FALSE),"")</f>
        <v>0</v>
      </c>
      <c r="L31" s="89">
        <f t="shared" si="3"/>
        <v>3</v>
      </c>
      <c r="M31" s="16">
        <f t="shared" si="4"/>
        <v>0</v>
      </c>
      <c r="N31" s="90">
        <v>3.4</v>
      </c>
      <c r="O31" s="30" t="b">
        <f t="shared" si="5"/>
        <v>1</v>
      </c>
      <c r="P31" s="91" t="str">
        <f>IF(ISBLANK(N31),IFERROR(0/0,""),IFERROR(VLOOKUP(N31, 'Process Ref'!$A$76:$D$122, 2, FALSE), IFERROR(0/0,"")))</f>
        <v>Add Run from APS with no RFR (assume run on same day as Collect, ignore Result day)</v>
      </c>
      <c r="R31" s="92" t="str">
        <f>IFNA(MATCH(A31,'RFR Data - preExcl'!A$2:A923,0),"")</f>
        <v/>
      </c>
      <c r="S31" s="54"/>
      <c r="T31" s="30" t="str">
        <f>IF(EXACT('RFR Data - preExcl'!W31,"Initial"),'RFR Data - preExcl'!A31,IFERROR(0/0,""))</f>
        <v>RUN-FLMP_2021-12-23_RFR-032</v>
      </c>
      <c r="U31" s="93">
        <f>IF(EXACT('RFR Data - preExcl'!W31,"Initial"),'RFR Data - preExcl'!U31,IFERROR(0/0,""))</f>
        <v>44553</v>
      </c>
      <c r="X31" s="86"/>
      <c r="Y31" s="100" t="str">
        <f>IFERROR(__xludf.DUMMYFUNCTION("""COMPUTED_VALUE"""),"RUN-FLMP_2022-05-11_RFR-134_Re-run")</f>
        <v>RUN-FLMP_2022-05-11_RFR-134_Re-run</v>
      </c>
      <c r="Z31" s="95">
        <f>IFERROR(__xludf.DUMMYFUNCTION("""COMPUTED_VALUE"""),44692.48877318287)</f>
        <v>44692.48877</v>
      </c>
      <c r="AA31" s="96">
        <f>VLOOKUP($Y31,'RFR Data - preExcl'!$A$2:$AK923,29,FALSE)</f>
        <v>3</v>
      </c>
      <c r="AB31" s="96">
        <f>VLOOKUP($Y31,'RFR Data - preExcl'!$A$2:$AK923,37,FALSE)</f>
        <v>1</v>
      </c>
      <c r="AC31" s="69"/>
      <c r="AD31" s="69"/>
      <c r="AE31" s="98">
        <v>3.0</v>
      </c>
      <c r="AF31" s="98">
        <v>1.0</v>
      </c>
      <c r="AG31" s="86"/>
      <c r="AH31" s="101" t="str">
        <f>IFERROR(__xludf.DUMMYFUNCTION("""COMPUTED_VALUE"""),"RUN-FLMP_2021-02-22_APS-030")</f>
        <v>RUN-FLMP_2021-02-22_APS-030</v>
      </c>
      <c r="AI31" s="96">
        <f t="shared" si="7"/>
        <v>3</v>
      </c>
      <c r="AJ31" s="86"/>
    </row>
    <row r="32">
      <c r="A32" s="8" t="s">
        <v>63</v>
      </c>
      <c r="B32" s="14">
        <v>44250.0</v>
      </c>
      <c r="C32" s="88" t="b">
        <f t="shared" si="2"/>
        <v>1</v>
      </c>
      <c r="D32" s="16" t="str">
        <f t="array" ref="D32">IF(OR(ISBLANK($A32),$C32),IFERROR(0/0,""),INDEX('RFR Data - preExcl'!E$2:E923,$R32,1))</f>
        <v/>
      </c>
      <c r="E32" s="16" t="str">
        <f t="array" ref="E32">IF(OR(ISBLANK($A32),$C32),IFERROR(0/0,""),INDEX('RFR Data - preExcl'!Z$2:Z923,$R32,1))</f>
        <v/>
      </c>
      <c r="F32" s="16" t="str">
        <f t="array" ref="F32">IF(OR(ISBLANK(A32),C32),IFERROR(0/0,""),INDEX('RFR Data - preExcl'!AC$2:AC923,$R32,1))</f>
        <v/>
      </c>
      <c r="G32" s="16" t="str">
        <f t="array" ref="G32">IF(OR(ISBLANK(A32),C32),IFERROR(0/0,""),INDEX('RFR Data - preExcl'!AK$2:AK923,$R32,1))</f>
        <v/>
      </c>
      <c r="H32" s="16" t="str">
        <f t="array" ref="H32">IF(OR(ISBLANK(A32),C32),IFERROR(0/0,""),INDEX('RFR Data - preExcl'!AL$2:AL923,$R32,1))</f>
        <v/>
      </c>
      <c r="I32" s="16">
        <f>IFERROR(VLOOKUP($B32,'APS Tubes by Date IMPORT'!$B$2:$J923,2,FALSE),"")</f>
        <v>2</v>
      </c>
      <c r="J32" s="16" t="str">
        <f>IFERROR(VLOOKUP($B32,'APS Tubes by Date IMPORT'!$B$2:$J923,9,FALSE),"")</f>
        <v/>
      </c>
      <c r="K32" s="16">
        <f>IFNA(VLOOKUP($B32,'APS Tubes by Date IMPORT'!$B$2:$J923,6,FALSE),"")</f>
        <v>0</v>
      </c>
      <c r="L32" s="89">
        <f t="shared" si="3"/>
        <v>2</v>
      </c>
      <c r="M32" s="16">
        <f t="shared" si="4"/>
        <v>0</v>
      </c>
      <c r="N32" s="90">
        <v>3.4</v>
      </c>
      <c r="O32" s="30" t="b">
        <f t="shared" si="5"/>
        <v>1</v>
      </c>
      <c r="P32" s="91" t="str">
        <f>IF(ISBLANK(N32),IFERROR(0/0,""),IFERROR(VLOOKUP(N32, 'Process Ref'!$A$76:$D$122, 2, FALSE), IFERROR(0/0,"")))</f>
        <v>Add Run from APS with no RFR (assume run on same day as Collect, ignore Result day)</v>
      </c>
      <c r="R32" s="92" t="str">
        <f>IFNA(MATCH(A32,'RFR Data - preExcl'!A$2:A923,0),"")</f>
        <v/>
      </c>
      <c r="S32" s="54"/>
      <c r="T32" s="30" t="str">
        <f>IF(EXACT('RFR Data - preExcl'!W32,"Initial"),'RFR Data - preExcl'!A32,IFERROR(0/0,""))</f>
        <v>RUN-FLMP_2021-12-24_RFR-033</v>
      </c>
      <c r="U32" s="93">
        <f>IF(EXACT('RFR Data - preExcl'!W32,"Initial"),'RFR Data - preExcl'!U32,IFERROR(0/0,""))</f>
        <v>44554</v>
      </c>
      <c r="X32" s="86"/>
      <c r="Y32" s="100" t="str">
        <f>IFERROR(__xludf.DUMMYFUNCTION("""COMPUTED_VALUE"""),"RUN-FLMP_2022-05-12_RFR-136_Re-run")</f>
        <v>RUN-FLMP_2022-05-12_RFR-136_Re-run</v>
      </c>
      <c r="Z32" s="95">
        <f>IFERROR(__xludf.DUMMYFUNCTION("""COMPUTED_VALUE"""),44693.482221620376)</f>
        <v>44693.48222</v>
      </c>
      <c r="AA32" s="96">
        <f>VLOOKUP($Y32,'RFR Data - preExcl'!$A$2:$AK923,29,FALSE)</f>
        <v>3</v>
      </c>
      <c r="AB32" s="96">
        <f>VLOOKUP($Y32,'RFR Data - preExcl'!$A$2:$AK923,37,FALSE)</f>
        <v>1</v>
      </c>
      <c r="AC32" s="96">
        <f t="shared" ref="AC32:AD32" si="35">AA32</f>
        <v>3</v>
      </c>
      <c r="AD32" s="96">
        <f t="shared" si="35"/>
        <v>1</v>
      </c>
      <c r="AE32" s="69"/>
      <c r="AF32" s="69"/>
      <c r="AG32" s="86"/>
      <c r="AH32" s="101" t="str">
        <f>IFERROR(__xludf.DUMMYFUNCTION("""COMPUTED_VALUE"""),"RUN-FLMP_2021-02-23_APS-031")</f>
        <v>RUN-FLMP_2021-02-23_APS-031</v>
      </c>
      <c r="AI32" s="96">
        <f t="shared" si="7"/>
        <v>2</v>
      </c>
      <c r="AJ32" s="86"/>
    </row>
    <row r="33">
      <c r="A33" s="8" t="s">
        <v>64</v>
      </c>
      <c r="B33" s="14">
        <v>44251.0</v>
      </c>
      <c r="C33" s="88" t="b">
        <f t="shared" si="2"/>
        <v>1</v>
      </c>
      <c r="D33" s="16" t="str">
        <f t="array" ref="D33">IF(OR(ISBLANK($A33),$C33),IFERROR(0/0,""),INDEX('RFR Data - preExcl'!E$2:E923,$R33,1))</f>
        <v/>
      </c>
      <c r="E33" s="16" t="str">
        <f t="array" ref="E33">IF(OR(ISBLANK($A33),$C33),IFERROR(0/0,""),INDEX('RFR Data - preExcl'!Z$2:Z923,$R33,1))</f>
        <v/>
      </c>
      <c r="F33" s="16" t="str">
        <f t="array" ref="F33">IF(OR(ISBLANK(A33),C33),IFERROR(0/0,""),INDEX('RFR Data - preExcl'!AC$2:AC923,$R33,1))</f>
        <v/>
      </c>
      <c r="G33" s="16" t="str">
        <f t="array" ref="G33">IF(OR(ISBLANK(A33),C33),IFERROR(0/0,""),INDEX('RFR Data - preExcl'!AK$2:AK923,$R33,1))</f>
        <v/>
      </c>
      <c r="H33" s="16" t="str">
        <f t="array" ref="H33">IF(OR(ISBLANK(A33),C33),IFERROR(0/0,""),INDEX('RFR Data - preExcl'!AL$2:AL923,$R33,1))</f>
        <v/>
      </c>
      <c r="I33" s="16">
        <f>IFERROR(VLOOKUP($B33,'APS Tubes by Date IMPORT'!$B$2:$J923,2,FALSE),"")</f>
        <v>4</v>
      </c>
      <c r="J33" s="16" t="b">
        <f>IFERROR(VLOOKUP($B33,'APS Tubes by Date IMPORT'!$B$2:$J923,9,FALSE),"")</f>
        <v>1</v>
      </c>
      <c r="K33" s="16">
        <f>IFNA(VLOOKUP($B33,'APS Tubes by Date IMPORT'!$B$2:$J923,6,FALSE),"")</f>
        <v>0</v>
      </c>
      <c r="L33" s="89">
        <f t="shared" si="3"/>
        <v>4</v>
      </c>
      <c r="M33" s="16">
        <f t="shared" si="4"/>
        <v>0</v>
      </c>
      <c r="N33" s="90">
        <v>3.4</v>
      </c>
      <c r="O33" s="30" t="b">
        <f t="shared" si="5"/>
        <v>1</v>
      </c>
      <c r="P33" s="91" t="str">
        <f>IF(ISBLANK(N33),IFERROR(0/0,""),IFERROR(VLOOKUP(N33, 'Process Ref'!$A$76:$D$122, 2, FALSE), IFERROR(0/0,"")))</f>
        <v>Add Run from APS with no RFR (assume run on same day as Collect, ignore Result day)</v>
      </c>
      <c r="R33" s="92" t="str">
        <f>IFNA(MATCH(A33,'RFR Data - preExcl'!A$2:A923,0),"")</f>
        <v/>
      </c>
      <c r="S33" s="54"/>
      <c r="T33" s="30" t="str">
        <f>IF(EXACT('RFR Data - preExcl'!W33,"Initial"),'RFR Data - preExcl'!A33,IFERROR(0/0,""))</f>
        <v>RUN-FLMP_2021-12-25_RFR-034</v>
      </c>
      <c r="U33" s="93">
        <f>IF(EXACT('RFR Data - preExcl'!W33,"Initial"),'RFR Data - preExcl'!U33,IFERROR(0/0,""))</f>
        <v>44555</v>
      </c>
      <c r="X33" s="86"/>
      <c r="Y33" s="100" t="str">
        <f>IFERROR(__xludf.DUMMYFUNCTION("""COMPUTED_VALUE"""),"RUN-FLMP_2022-05-16_RFR-139_Re-run")</f>
        <v>RUN-FLMP_2022-05-16_RFR-139_Re-run</v>
      </c>
      <c r="Z33" s="95">
        <f>IFERROR(__xludf.DUMMYFUNCTION("""COMPUTED_VALUE"""),44697.46311380787)</f>
        <v>44697.46311</v>
      </c>
      <c r="AA33" s="96">
        <f>VLOOKUP($Y33,'RFR Data - preExcl'!$A$2:$AK923,29,FALSE)</f>
        <v>12</v>
      </c>
      <c r="AB33" s="96">
        <f>VLOOKUP($Y33,'RFR Data - preExcl'!$A$2:$AK923,37,FALSE)</f>
        <v>4</v>
      </c>
      <c r="AC33" s="96">
        <f t="shared" ref="AC33:AD33" si="36">AA33</f>
        <v>12</v>
      </c>
      <c r="AD33" s="96">
        <f t="shared" si="36"/>
        <v>4</v>
      </c>
      <c r="AE33" s="98"/>
      <c r="AF33" s="98"/>
      <c r="AG33" s="86"/>
      <c r="AH33" s="101" t="str">
        <f>IFERROR(__xludf.DUMMYFUNCTION("""COMPUTED_VALUE"""),"RUN-FLMP_2021-02-24_APS-032")</f>
        <v>RUN-FLMP_2021-02-24_APS-032</v>
      </c>
      <c r="AI33" s="96">
        <f t="shared" si="7"/>
        <v>4</v>
      </c>
      <c r="AJ33" s="86"/>
    </row>
    <row r="34">
      <c r="A34" s="8" t="s">
        <v>65</v>
      </c>
      <c r="B34" s="14">
        <v>44257.0</v>
      </c>
      <c r="C34" s="88" t="b">
        <f t="shared" si="2"/>
        <v>1</v>
      </c>
      <c r="D34" s="16" t="str">
        <f t="array" ref="D34">IF(OR(ISBLANK($A34),$C34),IFERROR(0/0,""),INDEX('RFR Data - preExcl'!E$2:E923,$R34,1))</f>
        <v/>
      </c>
      <c r="E34" s="16" t="str">
        <f t="array" ref="E34">IF(OR(ISBLANK($A34),$C34),IFERROR(0/0,""),INDEX('RFR Data - preExcl'!Z$2:Z923,$R34,1))</f>
        <v/>
      </c>
      <c r="F34" s="16" t="str">
        <f t="array" ref="F34">IF(OR(ISBLANK(A34),C34),IFERROR(0/0,""),INDEX('RFR Data - preExcl'!AC$2:AC923,$R34,1))</f>
        <v/>
      </c>
      <c r="G34" s="16" t="str">
        <f t="array" ref="G34">IF(OR(ISBLANK(A34),C34),IFERROR(0/0,""),INDEX('RFR Data - preExcl'!AK$2:AK923,$R34,1))</f>
        <v/>
      </c>
      <c r="H34" s="16" t="str">
        <f t="array" ref="H34">IF(OR(ISBLANK(A34),C34),IFERROR(0/0,""),INDEX('RFR Data - preExcl'!AL$2:AL923,$R34,1))</f>
        <v/>
      </c>
      <c r="I34" s="16">
        <f>IFERROR(VLOOKUP($B34,'APS Tubes by Date IMPORT'!$B$2:$J923,2,FALSE),"")</f>
        <v>2</v>
      </c>
      <c r="J34" s="16" t="str">
        <f>IFERROR(VLOOKUP($B34,'APS Tubes by Date IMPORT'!$B$2:$J923,9,FALSE),"")</f>
        <v/>
      </c>
      <c r="K34" s="16">
        <f>IFNA(VLOOKUP($B34,'APS Tubes by Date IMPORT'!$B$2:$J923,6,FALSE),"")</f>
        <v>0</v>
      </c>
      <c r="L34" s="89">
        <f t="shared" si="3"/>
        <v>2</v>
      </c>
      <c r="M34" s="16">
        <f t="shared" si="4"/>
        <v>0</v>
      </c>
      <c r="N34" s="90">
        <v>3.4</v>
      </c>
      <c r="O34" s="30" t="b">
        <f t="shared" si="5"/>
        <v>1</v>
      </c>
      <c r="P34" s="91" t="str">
        <f>IF(ISBLANK(N34),IFERROR(0/0,""),IFERROR(VLOOKUP(N34, 'Process Ref'!$A$76:$D$122, 2, FALSE), IFERROR(0/0,"")))</f>
        <v>Add Run from APS with no RFR (assume run on same day as Collect, ignore Result day)</v>
      </c>
      <c r="R34" s="92" t="str">
        <f>IFNA(MATCH(A34,'RFR Data - preExcl'!A$2:A923,0),"")</f>
        <v/>
      </c>
      <c r="S34" s="54"/>
      <c r="T34" s="30" t="str">
        <f>IF(EXACT('RFR Data - preExcl'!W34,"Initial"),'RFR Data - preExcl'!A34,IFERROR(0/0,""))</f>
        <v>RUN-FLMP_2021-12-26_RFR-035</v>
      </c>
      <c r="U34" s="93">
        <f>IF(EXACT('RFR Data - preExcl'!W34,"Initial"),'RFR Data - preExcl'!U34,IFERROR(0/0,""))</f>
        <v>44556</v>
      </c>
      <c r="X34" s="86"/>
      <c r="Y34" s="100" t="str">
        <f>IFERROR(__xludf.DUMMYFUNCTION("""COMPUTED_VALUE"""),"RUN-FLMP_2022-05-18_RFR-143_Re-run")</f>
        <v>RUN-FLMP_2022-05-18_RFR-143_Re-run</v>
      </c>
      <c r="Z34" s="95">
        <f>IFERROR(__xludf.DUMMYFUNCTION("""COMPUTED_VALUE"""),44699.420047141204)</f>
        <v>44699.42005</v>
      </c>
      <c r="AA34" s="96">
        <f>VLOOKUP($Y34,'RFR Data - preExcl'!$A$2:$AK923,29,FALSE)</f>
        <v>3</v>
      </c>
      <c r="AB34" s="96">
        <f>VLOOKUP($Y34,'RFR Data - preExcl'!$A$2:$AK923,37,FALSE)</f>
        <v>1</v>
      </c>
      <c r="AC34" s="69"/>
      <c r="AD34" s="69"/>
      <c r="AE34" s="96">
        <f t="shared" ref="AE34:AF34" si="37">AA34</f>
        <v>3</v>
      </c>
      <c r="AF34" s="96">
        <f t="shared" si="37"/>
        <v>1</v>
      </c>
      <c r="AG34" s="86"/>
      <c r="AH34" s="101" t="str">
        <f>IFERROR(__xludf.DUMMYFUNCTION("""COMPUTED_VALUE"""),"RUN-FLMP_2021-03-02_APS-033")</f>
        <v>RUN-FLMP_2021-03-02_APS-033</v>
      </c>
      <c r="AI34" s="96">
        <f t="shared" si="7"/>
        <v>2</v>
      </c>
      <c r="AJ34" s="86"/>
    </row>
    <row r="35">
      <c r="A35" s="8" t="s">
        <v>66</v>
      </c>
      <c r="B35" s="14">
        <v>44258.0</v>
      </c>
      <c r="C35" s="88" t="b">
        <f t="shared" si="2"/>
        <v>1</v>
      </c>
      <c r="D35" s="16" t="str">
        <f t="array" ref="D35">IF(OR(ISBLANK($A35),$C35),IFERROR(0/0,""),INDEX('RFR Data - preExcl'!E$2:E923,$R35,1))</f>
        <v/>
      </c>
      <c r="E35" s="16" t="str">
        <f t="array" ref="E35">IF(OR(ISBLANK($A35),$C35),IFERROR(0/0,""),INDEX('RFR Data - preExcl'!Z$2:Z923,$R35,1))</f>
        <v/>
      </c>
      <c r="F35" s="16" t="str">
        <f t="array" ref="F35">IF(OR(ISBLANK(A35),C35),IFERROR(0/0,""),INDEX('RFR Data - preExcl'!AC$2:AC923,$R35,1))</f>
        <v/>
      </c>
      <c r="G35" s="16" t="str">
        <f t="array" ref="G35">IF(OR(ISBLANK(A35),C35),IFERROR(0/0,""),INDEX('RFR Data - preExcl'!AK$2:AK923,$R35,1))</f>
        <v/>
      </c>
      <c r="H35" s="16" t="str">
        <f t="array" ref="H35">IF(OR(ISBLANK(A35),C35),IFERROR(0/0,""),INDEX('RFR Data - preExcl'!AL$2:AL923,$R35,1))</f>
        <v/>
      </c>
      <c r="I35" s="16">
        <f>IFERROR(VLOOKUP($B35,'APS Tubes by Date IMPORT'!$B$2:$J923,2,FALSE),"")</f>
        <v>4</v>
      </c>
      <c r="J35" s="16" t="b">
        <f>IFERROR(VLOOKUP($B35,'APS Tubes by Date IMPORT'!$B$2:$J923,9,FALSE),"")</f>
        <v>1</v>
      </c>
      <c r="K35" s="16">
        <f>IFNA(VLOOKUP($B35,'APS Tubes by Date IMPORT'!$B$2:$J923,6,FALSE),"")</f>
        <v>0</v>
      </c>
      <c r="L35" s="89">
        <f t="shared" si="3"/>
        <v>4</v>
      </c>
      <c r="M35" s="16">
        <f t="shared" si="4"/>
        <v>0</v>
      </c>
      <c r="N35" s="90">
        <v>3.4</v>
      </c>
      <c r="O35" s="30" t="b">
        <f t="shared" si="5"/>
        <v>1</v>
      </c>
      <c r="P35" s="91" t="str">
        <f>IF(ISBLANK(N35),IFERROR(0/0,""),IFERROR(VLOOKUP(N35, 'Process Ref'!$A$76:$D$122, 2, FALSE), IFERROR(0/0,"")))</f>
        <v>Add Run from APS with no RFR (assume run on same day as Collect, ignore Result day)</v>
      </c>
      <c r="R35" s="92" t="str">
        <f>IFNA(MATCH(A35,'RFR Data - preExcl'!A$2:A923,0),"")</f>
        <v/>
      </c>
      <c r="S35" s="54"/>
      <c r="T35" s="30" t="str">
        <f>IF(EXACT('RFR Data - preExcl'!W35,"Initial"),'RFR Data - preExcl'!A35,IFERROR(0/0,""))</f>
        <v>RUN-FLMP_2021-12-27_RFR-036</v>
      </c>
      <c r="U35" s="93">
        <f>IF(EXACT('RFR Data - preExcl'!W35,"Initial"),'RFR Data - preExcl'!U35,IFERROR(0/0,""))</f>
        <v>44557</v>
      </c>
      <c r="X35" s="86"/>
      <c r="Y35" s="100" t="str">
        <f>IFERROR(__xludf.DUMMYFUNCTION("""COMPUTED_VALUE"""),"RUN-FLMP_2022-05-19_RFR-145_Re-run")</f>
        <v>RUN-FLMP_2022-05-19_RFR-145_Re-run</v>
      </c>
      <c r="Z35" s="95">
        <f>IFERROR(__xludf.DUMMYFUNCTION("""COMPUTED_VALUE"""),44700.48836751157)</f>
        <v>44700.48837</v>
      </c>
      <c r="AA35" s="96">
        <f>VLOOKUP($Y35,'RFR Data - preExcl'!$A$2:$AK923,29,FALSE)</f>
        <v>12</v>
      </c>
      <c r="AB35" s="96">
        <f>VLOOKUP($Y35,'RFR Data - preExcl'!$A$2:$AK923,37,FALSE)</f>
        <v>4</v>
      </c>
      <c r="AC35" s="96">
        <f t="shared" ref="AC35:AD35" si="38">AA35</f>
        <v>12</v>
      </c>
      <c r="AD35" s="96">
        <f t="shared" si="38"/>
        <v>4</v>
      </c>
      <c r="AE35" s="69"/>
      <c r="AF35" s="69"/>
      <c r="AG35" s="86"/>
      <c r="AH35" s="101" t="str">
        <f>IFERROR(__xludf.DUMMYFUNCTION("""COMPUTED_VALUE"""),"RUN-FLMP_2021-03-03_APS-034")</f>
        <v>RUN-FLMP_2021-03-03_APS-034</v>
      </c>
      <c r="AI35" s="96">
        <f t="shared" si="7"/>
        <v>4</v>
      </c>
      <c r="AJ35" s="86"/>
    </row>
    <row r="36">
      <c r="A36" s="8" t="s">
        <v>67</v>
      </c>
      <c r="B36" s="14">
        <v>44259.0</v>
      </c>
      <c r="C36" s="88" t="b">
        <f t="shared" si="2"/>
        <v>1</v>
      </c>
      <c r="D36" s="16" t="str">
        <f t="array" ref="D36">IF(OR(ISBLANK($A36),$C36),IFERROR(0/0,""),INDEX('RFR Data - preExcl'!E$2:E923,$R36,1))</f>
        <v/>
      </c>
      <c r="E36" s="16" t="str">
        <f t="array" ref="E36">IF(OR(ISBLANK($A36),$C36),IFERROR(0/0,""),INDEX('RFR Data - preExcl'!Z$2:Z923,$R36,1))</f>
        <v/>
      </c>
      <c r="F36" s="16" t="str">
        <f t="array" ref="F36">IF(OR(ISBLANK(A36),C36),IFERROR(0/0,""),INDEX('RFR Data - preExcl'!AC$2:AC923,$R36,1))</f>
        <v/>
      </c>
      <c r="G36" s="16" t="str">
        <f t="array" ref="G36">IF(OR(ISBLANK(A36),C36),IFERROR(0/0,""),INDEX('RFR Data - preExcl'!AK$2:AK923,$R36,1))</f>
        <v/>
      </c>
      <c r="H36" s="16" t="str">
        <f t="array" ref="H36">IF(OR(ISBLANK(A36),C36),IFERROR(0/0,""),INDEX('RFR Data - preExcl'!AL$2:AL923,$R36,1))</f>
        <v/>
      </c>
      <c r="I36" s="16">
        <f>IFERROR(VLOOKUP($B36,'APS Tubes by Date IMPORT'!$B$2:$J923,2,FALSE),"")</f>
        <v>1</v>
      </c>
      <c r="J36" s="16" t="str">
        <f>IFERROR(VLOOKUP($B36,'APS Tubes by Date IMPORT'!$B$2:$J923,9,FALSE),"")</f>
        <v/>
      </c>
      <c r="K36" s="16">
        <f>IFNA(VLOOKUP($B36,'APS Tubes by Date IMPORT'!$B$2:$J923,6,FALSE),"")</f>
        <v>0</v>
      </c>
      <c r="L36" s="89">
        <f t="shared" si="3"/>
        <v>1</v>
      </c>
      <c r="M36" s="16">
        <f t="shared" si="4"/>
        <v>0</v>
      </c>
      <c r="N36" s="90">
        <v>3.4</v>
      </c>
      <c r="O36" s="30" t="b">
        <f t="shared" si="5"/>
        <v>1</v>
      </c>
      <c r="P36" s="91" t="str">
        <f>IF(ISBLANK(N36),IFERROR(0/0,""),IFERROR(VLOOKUP(N36, 'Process Ref'!$A$76:$D$122, 2, FALSE), IFERROR(0/0,"")))</f>
        <v>Add Run from APS with no RFR (assume run on same day as Collect, ignore Result day)</v>
      </c>
      <c r="R36" s="92" t="str">
        <f>IFNA(MATCH(A36,'RFR Data - preExcl'!A$2:A923,0),"")</f>
        <v/>
      </c>
      <c r="S36" s="54"/>
      <c r="T36" s="30" t="str">
        <f>IF(EXACT('RFR Data - preExcl'!W36,"Initial"),'RFR Data - preExcl'!A36,IFERROR(0/0,""))</f>
        <v>RUN-FLMP_2021-12-27_RFR-037</v>
      </c>
      <c r="U36" s="93">
        <f>IF(EXACT('RFR Data - preExcl'!W36,"Initial"),'RFR Data - preExcl'!U36,IFERROR(0/0,""))</f>
        <v>44557</v>
      </c>
      <c r="X36" s="86"/>
      <c r="Y36" s="100" t="str">
        <f>IFERROR(__xludf.DUMMYFUNCTION("""COMPUTED_VALUE"""),"RUN-FLMP_2022-05-23_RFR-147_Re-run")</f>
        <v>RUN-FLMP_2022-05-23_RFR-147_Re-run</v>
      </c>
      <c r="Z36" s="95">
        <f>IFERROR(__xludf.DUMMYFUNCTION("""COMPUTED_VALUE"""),44704.49135378472)</f>
        <v>44704.49135</v>
      </c>
      <c r="AA36" s="96">
        <f>VLOOKUP($Y36,'RFR Data - preExcl'!$A$2:$AK923,29,FALSE)</f>
        <v>7</v>
      </c>
      <c r="AB36" s="96">
        <f>VLOOKUP($Y36,'RFR Data - preExcl'!$A$2:$AK923,37,FALSE)</f>
        <v>1</v>
      </c>
      <c r="AC36" s="96">
        <f t="shared" ref="AC36:AD36" si="39">AA36</f>
        <v>7</v>
      </c>
      <c r="AD36" s="96">
        <f t="shared" si="39"/>
        <v>1</v>
      </c>
      <c r="AE36" s="69"/>
      <c r="AF36" s="69"/>
      <c r="AG36" s="86"/>
      <c r="AH36" s="101" t="str">
        <f>IFERROR(__xludf.DUMMYFUNCTION("""COMPUTED_VALUE"""),"RUN-FLMP_2021-03-04_APS-035")</f>
        <v>RUN-FLMP_2021-03-04_APS-035</v>
      </c>
      <c r="AI36" s="96">
        <f t="shared" si="7"/>
        <v>1</v>
      </c>
      <c r="AJ36" s="86"/>
    </row>
    <row r="37">
      <c r="A37" s="8" t="s">
        <v>68</v>
      </c>
      <c r="B37" s="14">
        <v>44260.0</v>
      </c>
      <c r="C37" s="88" t="b">
        <f t="shared" si="2"/>
        <v>1</v>
      </c>
      <c r="D37" s="16" t="str">
        <f t="array" ref="D37">IF(OR(ISBLANK($A37),$C37),IFERROR(0/0,""),INDEX('RFR Data - preExcl'!E$2:E923,$R37,1))</f>
        <v/>
      </c>
      <c r="E37" s="16" t="str">
        <f t="array" ref="E37">IF(OR(ISBLANK($A37),$C37),IFERROR(0/0,""),INDEX('RFR Data - preExcl'!Z$2:Z923,$R37,1))</f>
        <v/>
      </c>
      <c r="F37" s="16" t="str">
        <f t="array" ref="F37">IF(OR(ISBLANK(A37),C37),IFERROR(0/0,""),INDEX('RFR Data - preExcl'!AC$2:AC923,$R37,1))</f>
        <v/>
      </c>
      <c r="G37" s="16" t="str">
        <f t="array" ref="G37">IF(OR(ISBLANK(A37),C37),IFERROR(0/0,""),INDEX('RFR Data - preExcl'!AK$2:AK923,$R37,1))</f>
        <v/>
      </c>
      <c r="H37" s="16" t="str">
        <f t="array" ref="H37">IF(OR(ISBLANK(A37),C37),IFERROR(0/0,""),INDEX('RFR Data - preExcl'!AL$2:AL923,$R37,1))</f>
        <v/>
      </c>
      <c r="I37" s="16">
        <f>IFERROR(VLOOKUP($B37,'APS Tubes by Date IMPORT'!$B$2:$J923,2,FALSE),"")</f>
        <v>4</v>
      </c>
      <c r="J37" s="16" t="b">
        <f>IFERROR(VLOOKUP($B37,'APS Tubes by Date IMPORT'!$B$2:$J923,9,FALSE),"")</f>
        <v>1</v>
      </c>
      <c r="K37" s="16">
        <f>IFNA(VLOOKUP($B37,'APS Tubes by Date IMPORT'!$B$2:$J923,6,FALSE),"")</f>
        <v>0</v>
      </c>
      <c r="L37" s="89">
        <f t="shared" si="3"/>
        <v>4</v>
      </c>
      <c r="M37" s="16">
        <f t="shared" si="4"/>
        <v>0</v>
      </c>
      <c r="N37" s="90">
        <v>3.4</v>
      </c>
      <c r="O37" s="30" t="b">
        <f t="shared" si="5"/>
        <v>1</v>
      </c>
      <c r="P37" s="91" t="str">
        <f>IF(ISBLANK(N37),IFERROR(0/0,""),IFERROR(VLOOKUP(N37, 'Process Ref'!$A$76:$D$122, 2, FALSE), IFERROR(0/0,"")))</f>
        <v>Add Run from APS with no RFR (assume run on same day as Collect, ignore Result day)</v>
      </c>
      <c r="R37" s="92" t="str">
        <f>IFNA(MATCH(A37,'RFR Data - preExcl'!A$2:A923,0),"")</f>
        <v/>
      </c>
      <c r="S37" s="54"/>
      <c r="T37" s="30" t="str">
        <f>IF(EXACT('RFR Data - preExcl'!W37,"Initial"),'RFR Data - preExcl'!A37,IFERROR(0/0,""))</f>
        <v>RUN-FLMP_2021-12-28_RFR-038</v>
      </c>
      <c r="U37" s="93">
        <f>IF(EXACT('RFR Data - preExcl'!W37,"Initial"),'RFR Data - preExcl'!U37,IFERROR(0/0,""))</f>
        <v>44558</v>
      </c>
      <c r="X37" s="86"/>
      <c r="Y37" s="100" t="str">
        <f>IFERROR(__xludf.DUMMYFUNCTION("""COMPUTED_VALUE"""),"RUN-FLMP_2022-05-26_RFR-149_Re-run")</f>
        <v>RUN-FLMP_2022-05-26_RFR-149_Re-run</v>
      </c>
      <c r="Z37" s="95">
        <f>IFERROR(__xludf.DUMMYFUNCTION("""COMPUTED_VALUE"""),44707.50034650463)</f>
        <v>44707.50035</v>
      </c>
      <c r="AA37" s="96">
        <f>VLOOKUP($Y37,'RFR Data - preExcl'!$A$2:$AK923,29,FALSE)</f>
        <v>6</v>
      </c>
      <c r="AB37" s="96">
        <f>VLOOKUP($Y37,'RFR Data - preExcl'!$A$2:$AK923,37,FALSE)</f>
        <v>2</v>
      </c>
      <c r="AC37" s="96">
        <f t="shared" ref="AC37:AD37" si="40">AA37</f>
        <v>6</v>
      </c>
      <c r="AD37" s="96">
        <f t="shared" si="40"/>
        <v>2</v>
      </c>
      <c r="AE37" s="69"/>
      <c r="AF37" s="69"/>
      <c r="AG37" s="86"/>
      <c r="AH37" s="101" t="str">
        <f>IFERROR(__xludf.DUMMYFUNCTION("""COMPUTED_VALUE"""),"RUN-FLMP_2021-03-05_APS-036")</f>
        <v>RUN-FLMP_2021-03-05_APS-036</v>
      </c>
      <c r="AI37" s="96">
        <f t="shared" si="7"/>
        <v>4</v>
      </c>
      <c r="AJ37" s="86"/>
    </row>
    <row r="38">
      <c r="A38" s="8" t="s">
        <v>69</v>
      </c>
      <c r="B38" s="14">
        <v>44263.0</v>
      </c>
      <c r="C38" s="88" t="b">
        <f t="shared" si="2"/>
        <v>1</v>
      </c>
      <c r="D38" s="16" t="str">
        <f t="array" ref="D38">IF(OR(ISBLANK($A38),$C38),IFERROR(0/0,""),INDEX('RFR Data - preExcl'!E$2:E923,$R38,1))</f>
        <v/>
      </c>
      <c r="E38" s="16" t="str">
        <f t="array" ref="E38">IF(OR(ISBLANK($A38),$C38),IFERROR(0/0,""),INDEX('RFR Data - preExcl'!Z$2:Z923,$R38,1))</f>
        <v/>
      </c>
      <c r="F38" s="16" t="str">
        <f t="array" ref="F38">IF(OR(ISBLANK(A38),C38),IFERROR(0/0,""),INDEX('RFR Data - preExcl'!AC$2:AC923,$R38,1))</f>
        <v/>
      </c>
      <c r="G38" s="16" t="str">
        <f t="array" ref="G38">IF(OR(ISBLANK(A38),C38),IFERROR(0/0,""),INDEX('RFR Data - preExcl'!AK$2:AK923,$R38,1))</f>
        <v/>
      </c>
      <c r="H38" s="16" t="str">
        <f t="array" ref="H38">IF(OR(ISBLANK(A38),C38),IFERROR(0/0,""),INDEX('RFR Data - preExcl'!AL$2:AL923,$R38,1))</f>
        <v/>
      </c>
      <c r="I38" s="16">
        <f>IFERROR(VLOOKUP($B38,'APS Tubes by Date IMPORT'!$B$2:$J923,2,FALSE),"")</f>
        <v>4</v>
      </c>
      <c r="J38" s="16" t="b">
        <f>IFERROR(VLOOKUP($B38,'APS Tubes by Date IMPORT'!$B$2:$J923,9,FALSE),"")</f>
        <v>1</v>
      </c>
      <c r="K38" s="16">
        <f>IFNA(VLOOKUP($B38,'APS Tubes by Date IMPORT'!$B$2:$J923,6,FALSE),"")</f>
        <v>0</v>
      </c>
      <c r="L38" s="89">
        <f t="shared" si="3"/>
        <v>4</v>
      </c>
      <c r="M38" s="16">
        <f t="shared" si="4"/>
        <v>0</v>
      </c>
      <c r="N38" s="90">
        <v>3.4</v>
      </c>
      <c r="O38" s="30" t="b">
        <f t="shared" si="5"/>
        <v>1</v>
      </c>
      <c r="P38" s="91" t="str">
        <f>IF(ISBLANK(N38),IFERROR(0/0,""),IFERROR(VLOOKUP(N38, 'Process Ref'!$A$76:$D$122, 2, FALSE), IFERROR(0/0,"")))</f>
        <v>Add Run from APS with no RFR (assume run on same day as Collect, ignore Result day)</v>
      </c>
      <c r="R38" s="92" t="str">
        <f>IFNA(MATCH(A38,'RFR Data - preExcl'!A$2:A923,0),"")</f>
        <v/>
      </c>
      <c r="S38" s="54"/>
      <c r="T38" s="30" t="str">
        <f>IF(EXACT('RFR Data - preExcl'!W38,"Initial"),'RFR Data - preExcl'!A38,IFERROR(0/0,""))</f>
        <v>RUN-FLMP_2021-12-29_RFR-039</v>
      </c>
      <c r="U38" s="93">
        <f>IF(EXACT('RFR Data - preExcl'!W38,"Initial"),'RFR Data - preExcl'!U38,IFERROR(0/0,""))</f>
        <v>44559</v>
      </c>
      <c r="X38" s="86"/>
      <c r="Y38" s="100" t="str">
        <f>IFERROR(__xludf.DUMMYFUNCTION("""COMPUTED_VALUE"""),"RUN-FLMP_2022-05-31_RFR-151_Re-run")</f>
        <v>RUN-FLMP_2022-05-31_RFR-151_Re-run</v>
      </c>
      <c r="Z38" s="95">
        <f>IFERROR(__xludf.DUMMYFUNCTION("""COMPUTED_VALUE"""),44712.49761575232)</f>
        <v>44712.49762</v>
      </c>
      <c r="AA38" s="96">
        <f>VLOOKUP($Y38,'RFR Data - preExcl'!$A$2:$AK923,29,FALSE)</f>
        <v>6</v>
      </c>
      <c r="AB38" s="96">
        <f>VLOOKUP($Y38,'RFR Data - preExcl'!$A$2:$AK923,37,FALSE)</f>
        <v>2</v>
      </c>
      <c r="AC38" s="96">
        <f t="shared" ref="AC38:AD38" si="41">AA38</f>
        <v>6</v>
      </c>
      <c r="AD38" s="96">
        <f t="shared" si="41"/>
        <v>2</v>
      </c>
      <c r="AE38" s="69"/>
      <c r="AF38" s="69"/>
      <c r="AG38" s="86"/>
      <c r="AH38" s="101" t="str">
        <f>IFERROR(__xludf.DUMMYFUNCTION("""COMPUTED_VALUE"""),"RUN-FLMP_2021-03-08_APS-037")</f>
        <v>RUN-FLMP_2021-03-08_APS-037</v>
      </c>
      <c r="AI38" s="96">
        <f t="shared" si="7"/>
        <v>4</v>
      </c>
      <c r="AJ38" s="86"/>
    </row>
    <row r="39">
      <c r="A39" s="8" t="s">
        <v>70</v>
      </c>
      <c r="B39" s="14">
        <v>44265.0</v>
      </c>
      <c r="C39" s="88" t="b">
        <f t="shared" si="2"/>
        <v>1</v>
      </c>
      <c r="D39" s="16" t="str">
        <f t="array" ref="D39">IF(OR(ISBLANK($A39),$C39),IFERROR(0/0,""),INDEX('RFR Data - preExcl'!E$2:E923,$R39,1))</f>
        <v/>
      </c>
      <c r="E39" s="16" t="str">
        <f t="array" ref="E39">IF(OR(ISBLANK($A39),$C39),IFERROR(0/0,""),INDEX('RFR Data - preExcl'!Z$2:Z923,$R39,1))</f>
        <v/>
      </c>
      <c r="F39" s="16" t="str">
        <f t="array" ref="F39">IF(OR(ISBLANK(A39),C39),IFERROR(0/0,""),INDEX('RFR Data - preExcl'!AC$2:AC923,$R39,1))</f>
        <v/>
      </c>
      <c r="G39" s="16" t="str">
        <f t="array" ref="G39">IF(OR(ISBLANK(A39),C39),IFERROR(0/0,""),INDEX('RFR Data - preExcl'!AK$2:AK923,$R39,1))</f>
        <v/>
      </c>
      <c r="H39" s="16" t="str">
        <f t="array" ref="H39">IF(OR(ISBLANK(A39),C39),IFERROR(0/0,""),INDEX('RFR Data - preExcl'!AL$2:AL923,$R39,1))</f>
        <v/>
      </c>
      <c r="I39" s="16">
        <f>IFERROR(VLOOKUP($B39,'APS Tubes by Date IMPORT'!$B$2:$J923,2,FALSE),"")</f>
        <v>2</v>
      </c>
      <c r="J39" s="16" t="b">
        <f>IFERROR(VLOOKUP($B39,'APS Tubes by Date IMPORT'!$B$2:$J923,9,FALSE),"")</f>
        <v>1</v>
      </c>
      <c r="K39" s="16">
        <f>IFNA(VLOOKUP($B39,'APS Tubes by Date IMPORT'!$B$2:$J923,6,FALSE),"")</f>
        <v>0</v>
      </c>
      <c r="L39" s="89">
        <f t="shared" si="3"/>
        <v>2</v>
      </c>
      <c r="M39" s="16">
        <f t="shared" si="4"/>
        <v>0</v>
      </c>
      <c r="N39" s="90">
        <v>3.4</v>
      </c>
      <c r="O39" s="30" t="b">
        <f t="shared" si="5"/>
        <v>1</v>
      </c>
      <c r="P39" s="91" t="str">
        <f>IF(ISBLANK(N39),IFERROR(0/0,""),IFERROR(VLOOKUP(N39, 'Process Ref'!$A$76:$D$122, 2, FALSE), IFERROR(0/0,"")))</f>
        <v>Add Run from APS with no RFR (assume run on same day as Collect, ignore Result day)</v>
      </c>
      <c r="R39" s="92" t="str">
        <f>IFNA(MATCH(A39,'RFR Data - preExcl'!A$2:A923,0),"")</f>
        <v/>
      </c>
      <c r="S39" s="54"/>
      <c r="T39" s="30" t="str">
        <f>IF(EXACT('RFR Data - preExcl'!W39,"Initial"),'RFR Data - preExcl'!A39,IFERROR(0/0,""))</f>
        <v>RUN-FLMP_2021-12-30_RFR-040</v>
      </c>
      <c r="U39" s="93">
        <f>IF(EXACT('RFR Data - preExcl'!W39,"Initial"),'RFR Data - preExcl'!U39,IFERROR(0/0,""))</f>
        <v>44560</v>
      </c>
      <c r="X39" s="86"/>
      <c r="Y39" s="102"/>
      <c r="Z39" s="103"/>
      <c r="AG39" s="86"/>
      <c r="AH39" s="101" t="str">
        <f>IFERROR(__xludf.DUMMYFUNCTION("""COMPUTED_VALUE"""),"RUN-FLMP_2021-03-10_APS-038")</f>
        <v>RUN-FLMP_2021-03-10_APS-038</v>
      </c>
      <c r="AI39" s="96">
        <f t="shared" si="7"/>
        <v>2</v>
      </c>
      <c r="AJ39" s="86"/>
    </row>
    <row r="40">
      <c r="A40" s="8" t="s">
        <v>71</v>
      </c>
      <c r="B40" s="14">
        <v>44267.0</v>
      </c>
      <c r="C40" s="88" t="b">
        <f t="shared" si="2"/>
        <v>1</v>
      </c>
      <c r="D40" s="16" t="str">
        <f t="array" ref="D40">IF(OR(ISBLANK($A40),$C40),IFERROR(0/0,""),INDEX('RFR Data - preExcl'!E$2:E923,$R40,1))</f>
        <v/>
      </c>
      <c r="E40" s="16" t="str">
        <f t="array" ref="E40">IF(OR(ISBLANK($A40),$C40),IFERROR(0/0,""),INDEX('RFR Data - preExcl'!Z$2:Z923,$R40,1))</f>
        <v/>
      </c>
      <c r="F40" s="16" t="str">
        <f t="array" ref="F40">IF(OR(ISBLANK(A40),C40),IFERROR(0/0,""),INDEX('RFR Data - preExcl'!AC$2:AC923,$R40,1))</f>
        <v/>
      </c>
      <c r="G40" s="16" t="str">
        <f t="array" ref="G40">IF(OR(ISBLANK(A40),C40),IFERROR(0/0,""),INDEX('RFR Data - preExcl'!AK$2:AK923,$R40,1))</f>
        <v/>
      </c>
      <c r="H40" s="16" t="str">
        <f t="array" ref="H40">IF(OR(ISBLANK(A40),C40),IFERROR(0/0,""),INDEX('RFR Data - preExcl'!AL$2:AL923,$R40,1))</f>
        <v/>
      </c>
      <c r="I40" s="16">
        <f>IFERROR(VLOOKUP($B40,'APS Tubes by Date IMPORT'!$B$2:$J923,2,FALSE),"")</f>
        <v>3</v>
      </c>
      <c r="J40" s="16" t="b">
        <f>IFERROR(VLOOKUP($B40,'APS Tubes by Date IMPORT'!$B$2:$J923,9,FALSE),"")</f>
        <v>1</v>
      </c>
      <c r="K40" s="16">
        <f>IFNA(VLOOKUP($B40,'APS Tubes by Date IMPORT'!$B$2:$J923,6,FALSE),"")</f>
        <v>0</v>
      </c>
      <c r="L40" s="89">
        <f t="shared" si="3"/>
        <v>3</v>
      </c>
      <c r="M40" s="16">
        <f t="shared" si="4"/>
        <v>0</v>
      </c>
      <c r="N40" s="90">
        <v>3.4</v>
      </c>
      <c r="O40" s="30" t="b">
        <f t="shared" si="5"/>
        <v>1</v>
      </c>
      <c r="P40" s="91" t="str">
        <f>IF(ISBLANK(N40),IFERROR(0/0,""),IFERROR(VLOOKUP(N40, 'Process Ref'!$A$76:$D$122, 2, FALSE), IFERROR(0/0,"")))</f>
        <v>Add Run from APS with no RFR (assume run on same day as Collect, ignore Result day)</v>
      </c>
      <c r="R40" s="92" t="str">
        <f>IFNA(MATCH(A40,'RFR Data - preExcl'!A$2:A923,0),"")</f>
        <v/>
      </c>
      <c r="S40" s="54"/>
      <c r="T40" s="30" t="str">
        <f>IF(EXACT('RFR Data - preExcl'!W40,"Initial"),'RFR Data - preExcl'!A40,IFERROR(0/0,""))</f>
        <v>RUN-FLMP_2021-12-31_RFR-042</v>
      </c>
      <c r="U40" s="93">
        <f>IF(EXACT('RFR Data - preExcl'!W40,"Initial"),'RFR Data - preExcl'!U40,IFERROR(0/0,""))</f>
        <v>44561</v>
      </c>
      <c r="X40" s="86"/>
      <c r="Y40" s="102"/>
      <c r="Z40" s="103"/>
      <c r="AG40" s="86"/>
      <c r="AH40" s="101" t="str">
        <f>IFERROR(__xludf.DUMMYFUNCTION("""COMPUTED_VALUE"""),"RUN-FLMP_2021-03-12_APS-039")</f>
        <v>RUN-FLMP_2021-03-12_APS-039</v>
      </c>
      <c r="AI40" s="96">
        <f t="shared" si="7"/>
        <v>3</v>
      </c>
      <c r="AJ40" s="86"/>
    </row>
    <row r="41">
      <c r="A41" s="8" t="s">
        <v>72</v>
      </c>
      <c r="B41" s="14">
        <v>44270.0</v>
      </c>
      <c r="C41" s="88" t="b">
        <f t="shared" si="2"/>
        <v>1</v>
      </c>
      <c r="D41" s="16" t="str">
        <f t="array" ref="D41">IF(OR(ISBLANK($A41),$C41),IFERROR(0/0,""),INDEX('RFR Data - preExcl'!E$2:E923,$R41,1))</f>
        <v/>
      </c>
      <c r="E41" s="16" t="str">
        <f t="array" ref="E41">IF(OR(ISBLANK($A41),$C41),IFERROR(0/0,""),INDEX('RFR Data - preExcl'!Z$2:Z923,$R41,1))</f>
        <v/>
      </c>
      <c r="F41" s="16" t="str">
        <f t="array" ref="F41">IF(OR(ISBLANK(A41),C41),IFERROR(0/0,""),INDEX('RFR Data - preExcl'!AC$2:AC923,$R41,1))</f>
        <v/>
      </c>
      <c r="G41" s="16" t="str">
        <f t="array" ref="G41">IF(OR(ISBLANK(A41),C41),IFERROR(0/0,""),INDEX('RFR Data - preExcl'!AK$2:AK923,$R41,1))</f>
        <v/>
      </c>
      <c r="H41" s="16" t="str">
        <f t="array" ref="H41">IF(OR(ISBLANK(A41),C41),IFERROR(0/0,""),INDEX('RFR Data - preExcl'!AL$2:AL923,$R41,1))</f>
        <v/>
      </c>
      <c r="I41" s="16">
        <f>IFERROR(VLOOKUP($B41,'APS Tubes by Date IMPORT'!$B$2:$J923,2,FALSE),"")</f>
        <v>2</v>
      </c>
      <c r="J41" s="16" t="b">
        <f>IFERROR(VLOOKUP($B41,'APS Tubes by Date IMPORT'!$B$2:$J923,9,FALSE),"")</f>
        <v>1</v>
      </c>
      <c r="K41" s="16">
        <f>IFNA(VLOOKUP($B41,'APS Tubes by Date IMPORT'!$B$2:$J923,6,FALSE),"")</f>
        <v>0</v>
      </c>
      <c r="L41" s="89">
        <f t="shared" si="3"/>
        <v>2</v>
      </c>
      <c r="M41" s="16">
        <f t="shared" si="4"/>
        <v>0</v>
      </c>
      <c r="N41" s="90">
        <v>3.4</v>
      </c>
      <c r="O41" s="30" t="b">
        <f t="shared" si="5"/>
        <v>1</v>
      </c>
      <c r="P41" s="91" t="str">
        <f>IF(ISBLANK(N41),IFERROR(0/0,""),IFERROR(VLOOKUP(N41, 'Process Ref'!$A$76:$D$122, 2, FALSE), IFERROR(0/0,"")))</f>
        <v>Add Run from APS with no RFR (assume run on same day as Collect, ignore Result day)</v>
      </c>
      <c r="R41" s="92" t="str">
        <f>IFNA(MATCH(A41,'RFR Data - preExcl'!A$2:A923,0),"")</f>
        <v/>
      </c>
      <c r="S41" s="54"/>
      <c r="T41" s="30" t="str">
        <f>IF(EXACT('RFR Data - preExcl'!W41,"Initial"),'RFR Data - preExcl'!A41,IFERROR(0/0,""))</f>
        <v>RUN-FLMP_2021-12-31_RFR-043</v>
      </c>
      <c r="U41" s="93">
        <f>IF(EXACT('RFR Data - preExcl'!W41,"Initial"),'RFR Data - preExcl'!U41,IFERROR(0/0,""))</f>
        <v>44561</v>
      </c>
      <c r="X41" s="86"/>
      <c r="Y41" s="102"/>
      <c r="Z41" s="103"/>
      <c r="AG41" s="86"/>
      <c r="AH41" s="101" t="str">
        <f>IFERROR(__xludf.DUMMYFUNCTION("""COMPUTED_VALUE"""),"RUN-FLMP_2021-03-15_APS-040")</f>
        <v>RUN-FLMP_2021-03-15_APS-040</v>
      </c>
      <c r="AI41" s="96">
        <f t="shared" si="7"/>
        <v>2</v>
      </c>
      <c r="AJ41" s="86"/>
    </row>
    <row r="42">
      <c r="A42" s="8" t="s">
        <v>73</v>
      </c>
      <c r="B42" s="14">
        <v>44272.0</v>
      </c>
      <c r="C42" s="88" t="b">
        <f t="shared" si="2"/>
        <v>1</v>
      </c>
      <c r="D42" s="16" t="str">
        <f t="array" ref="D42">IF(OR(ISBLANK($A42),$C42),IFERROR(0/0,""),INDEX('RFR Data - preExcl'!E$2:E923,$R42,1))</f>
        <v/>
      </c>
      <c r="E42" s="16" t="str">
        <f t="array" ref="E42">IF(OR(ISBLANK($A42),$C42),IFERROR(0/0,""),INDEX('RFR Data - preExcl'!Z$2:Z923,$R42,1))</f>
        <v/>
      </c>
      <c r="F42" s="16" t="str">
        <f t="array" ref="F42">IF(OR(ISBLANK(A42),C42),IFERROR(0/0,""),INDEX('RFR Data - preExcl'!AC$2:AC923,$R42,1))</f>
        <v/>
      </c>
      <c r="G42" s="16" t="str">
        <f t="array" ref="G42">IF(OR(ISBLANK(A42),C42),IFERROR(0/0,""),INDEX('RFR Data - preExcl'!AK$2:AK923,$R42,1))</f>
        <v/>
      </c>
      <c r="H42" s="16" t="str">
        <f t="array" ref="H42">IF(OR(ISBLANK(A42),C42),IFERROR(0/0,""),INDEX('RFR Data - preExcl'!AL$2:AL923,$R42,1))</f>
        <v/>
      </c>
      <c r="I42" s="16">
        <f>IFERROR(VLOOKUP($B42,'APS Tubes by Date IMPORT'!$B$2:$J923,2,FALSE),"")</f>
        <v>4</v>
      </c>
      <c r="J42" s="16" t="b">
        <f>IFERROR(VLOOKUP($B42,'APS Tubes by Date IMPORT'!$B$2:$J923,9,FALSE),"")</f>
        <v>1</v>
      </c>
      <c r="K42" s="16">
        <f>IFNA(VLOOKUP($B42,'APS Tubes by Date IMPORT'!$B$2:$J923,6,FALSE),"")</f>
        <v>0</v>
      </c>
      <c r="L42" s="89">
        <f t="shared" si="3"/>
        <v>4</v>
      </c>
      <c r="M42" s="16">
        <f t="shared" si="4"/>
        <v>0</v>
      </c>
      <c r="N42" s="90">
        <v>3.4</v>
      </c>
      <c r="O42" s="30" t="b">
        <f t="shared" si="5"/>
        <v>1</v>
      </c>
      <c r="P42" s="91" t="str">
        <f>IF(ISBLANK(N42),IFERROR(0/0,""),IFERROR(VLOOKUP(N42, 'Process Ref'!$A$76:$D$122, 2, FALSE), IFERROR(0/0,"")))</f>
        <v>Add Run from APS with no RFR (assume run on same day as Collect, ignore Result day)</v>
      </c>
      <c r="R42" s="92" t="str">
        <f>IFNA(MATCH(A42,'RFR Data - preExcl'!A$2:A923,0),"")</f>
        <v/>
      </c>
      <c r="S42" s="54"/>
      <c r="T42" s="30" t="str">
        <f>IF(EXACT('RFR Data - preExcl'!W42,"Initial"),'RFR Data - preExcl'!A42,IFERROR(0/0,""))</f>
        <v>RUN-FLMP_2022-01-01_RFR-044</v>
      </c>
      <c r="U42" s="93">
        <f>IF(EXACT('RFR Data - preExcl'!W42,"Initial"),'RFR Data - preExcl'!U42,IFERROR(0/0,""))</f>
        <v>44562</v>
      </c>
      <c r="X42" s="86"/>
      <c r="Y42" s="102"/>
      <c r="Z42" s="103"/>
      <c r="AG42" s="86"/>
      <c r="AH42" s="101" t="str">
        <f>IFERROR(__xludf.DUMMYFUNCTION("""COMPUTED_VALUE"""),"RUN-FLMP_2021-03-17_APS-041")</f>
        <v>RUN-FLMP_2021-03-17_APS-041</v>
      </c>
      <c r="AI42" s="96">
        <f t="shared" si="7"/>
        <v>4</v>
      </c>
      <c r="AJ42" s="86"/>
    </row>
    <row r="43">
      <c r="A43" s="8" t="s">
        <v>74</v>
      </c>
      <c r="B43" s="14">
        <v>44281.0</v>
      </c>
      <c r="C43" s="88" t="b">
        <f t="shared" si="2"/>
        <v>1</v>
      </c>
      <c r="D43" s="16" t="str">
        <f t="array" ref="D43">IF(OR(ISBLANK($A43),$C43),IFERROR(0/0,""),INDEX('RFR Data - preExcl'!E$2:E923,$R43,1))</f>
        <v/>
      </c>
      <c r="E43" s="16" t="str">
        <f t="array" ref="E43">IF(OR(ISBLANK($A43),$C43),IFERROR(0/0,""),INDEX('RFR Data - preExcl'!Z$2:Z923,$R43,1))</f>
        <v/>
      </c>
      <c r="F43" s="16" t="str">
        <f t="array" ref="F43">IF(OR(ISBLANK(A43),C43),IFERROR(0/0,""),INDEX('RFR Data - preExcl'!AC$2:AC923,$R43,1))</f>
        <v/>
      </c>
      <c r="G43" s="16" t="str">
        <f t="array" ref="G43">IF(OR(ISBLANK(A43),C43),IFERROR(0/0,""),INDEX('RFR Data - preExcl'!AK$2:AK923,$R43,1))</f>
        <v/>
      </c>
      <c r="H43" s="16" t="str">
        <f t="array" ref="H43">IF(OR(ISBLANK(A43),C43),IFERROR(0/0,""),INDEX('RFR Data - preExcl'!AL$2:AL923,$R43,1))</f>
        <v/>
      </c>
      <c r="I43" s="16">
        <f>IFERROR(VLOOKUP($B43,'APS Tubes by Date IMPORT'!$B$2:$J923,2,FALSE),"")</f>
        <v>2</v>
      </c>
      <c r="J43" s="16" t="b">
        <f>IFERROR(VLOOKUP($B43,'APS Tubes by Date IMPORT'!$B$2:$J923,9,FALSE),"")</f>
        <v>1</v>
      </c>
      <c r="K43" s="16">
        <f>IFNA(VLOOKUP($B43,'APS Tubes by Date IMPORT'!$B$2:$J923,6,FALSE),"")</f>
        <v>0</v>
      </c>
      <c r="L43" s="89">
        <f t="shared" si="3"/>
        <v>2</v>
      </c>
      <c r="M43" s="16">
        <f t="shared" si="4"/>
        <v>0</v>
      </c>
      <c r="N43" s="90">
        <v>3.4</v>
      </c>
      <c r="O43" s="30" t="b">
        <f t="shared" si="5"/>
        <v>1</v>
      </c>
      <c r="P43" s="91" t="str">
        <f>IF(ISBLANK(N43),IFERROR(0/0,""),IFERROR(VLOOKUP(N43, 'Process Ref'!$A$76:$D$122, 2, FALSE), IFERROR(0/0,"")))</f>
        <v>Add Run from APS with no RFR (assume run on same day as Collect, ignore Result day)</v>
      </c>
      <c r="R43" s="92" t="str">
        <f>IFNA(MATCH(A43,'RFR Data - preExcl'!A$2:A923,0),"")</f>
        <v/>
      </c>
      <c r="S43" s="54"/>
      <c r="T43" s="30" t="str">
        <f>IF(EXACT('RFR Data - preExcl'!W43,"Initial"),'RFR Data - preExcl'!A43,IFERROR(0/0,""))</f>
        <v>RUN-FLMP_2022-01-02_RFR-046</v>
      </c>
      <c r="U43" s="93">
        <f>IF(EXACT('RFR Data - preExcl'!W43,"Initial"),'RFR Data - preExcl'!U43,IFERROR(0/0,""))</f>
        <v>44563</v>
      </c>
      <c r="X43" s="86"/>
      <c r="Y43" s="102"/>
      <c r="Z43" s="103"/>
      <c r="AG43" s="86"/>
      <c r="AH43" s="101" t="str">
        <f>IFERROR(__xludf.DUMMYFUNCTION("""COMPUTED_VALUE"""),"RUN-FLMP_2021-03-26_APS-042")</f>
        <v>RUN-FLMP_2021-03-26_APS-042</v>
      </c>
      <c r="AI43" s="96">
        <f t="shared" si="7"/>
        <v>2</v>
      </c>
      <c r="AJ43" s="86"/>
    </row>
    <row r="44">
      <c r="A44" s="8" t="s">
        <v>75</v>
      </c>
      <c r="B44" s="14">
        <v>44284.0</v>
      </c>
      <c r="C44" s="88" t="b">
        <f t="shared" si="2"/>
        <v>1</v>
      </c>
      <c r="D44" s="16" t="str">
        <f t="array" ref="D44">IF(OR(ISBLANK($A44),$C44),IFERROR(0/0,""),INDEX('RFR Data - preExcl'!E$2:E923,$R44,1))</f>
        <v/>
      </c>
      <c r="E44" s="16" t="str">
        <f t="array" ref="E44">IF(OR(ISBLANK($A44),$C44),IFERROR(0/0,""),INDEX('RFR Data - preExcl'!Z$2:Z923,$R44,1))</f>
        <v/>
      </c>
      <c r="F44" s="16" t="str">
        <f t="array" ref="F44">IF(OR(ISBLANK(A44),C44),IFERROR(0/0,""),INDEX('RFR Data - preExcl'!AC$2:AC923,$R44,1))</f>
        <v/>
      </c>
      <c r="G44" s="16" t="str">
        <f t="array" ref="G44">IF(OR(ISBLANK(A44),C44),IFERROR(0/0,""),INDEX('RFR Data - preExcl'!AK$2:AK923,$R44,1))</f>
        <v/>
      </c>
      <c r="H44" s="16" t="str">
        <f t="array" ref="H44">IF(OR(ISBLANK(A44),C44),IFERROR(0/0,""),INDEX('RFR Data - preExcl'!AL$2:AL923,$R44,1))</f>
        <v/>
      </c>
      <c r="I44" s="16">
        <f>IFERROR(VLOOKUP($B44,'APS Tubes by Date IMPORT'!$B$2:$J923,2,FALSE),"")</f>
        <v>2</v>
      </c>
      <c r="J44" s="16" t="b">
        <f>IFERROR(VLOOKUP($B44,'APS Tubes by Date IMPORT'!$B$2:$J923,9,FALSE),"")</f>
        <v>1</v>
      </c>
      <c r="K44" s="16">
        <f>IFNA(VLOOKUP($B44,'APS Tubes by Date IMPORT'!$B$2:$J923,6,FALSE),"")</f>
        <v>0</v>
      </c>
      <c r="L44" s="89">
        <f t="shared" si="3"/>
        <v>2</v>
      </c>
      <c r="M44" s="16">
        <f t="shared" si="4"/>
        <v>0</v>
      </c>
      <c r="N44" s="90">
        <v>3.4</v>
      </c>
      <c r="O44" s="30" t="b">
        <f t="shared" si="5"/>
        <v>1</v>
      </c>
      <c r="P44" s="91" t="str">
        <f>IF(ISBLANK(N44),IFERROR(0/0,""),IFERROR(VLOOKUP(N44, 'Process Ref'!$A$76:$D$122, 2, FALSE), IFERROR(0/0,"")))</f>
        <v>Add Run from APS with no RFR (assume run on same day as Collect, ignore Result day)</v>
      </c>
      <c r="R44" s="92" t="str">
        <f>IFNA(MATCH(A44,'RFR Data - preExcl'!A$2:A923,0),"")</f>
        <v/>
      </c>
      <c r="S44" s="54"/>
      <c r="T44" s="30" t="str">
        <f>IF(EXACT('RFR Data - preExcl'!W44,"Initial"),'RFR Data - preExcl'!A44,IFERROR(0/0,""))</f>
        <v>RUN-FLMP_2022-01-03_RFR-047</v>
      </c>
      <c r="U44" s="93">
        <f>IF(EXACT('RFR Data - preExcl'!W44,"Initial"),'RFR Data - preExcl'!U44,IFERROR(0/0,""))</f>
        <v>44564</v>
      </c>
      <c r="X44" s="86"/>
      <c r="Y44" s="102"/>
      <c r="Z44" s="103"/>
      <c r="AG44" s="86"/>
      <c r="AH44" s="101" t="str">
        <f>IFERROR(__xludf.DUMMYFUNCTION("""COMPUTED_VALUE"""),"RUN-FLMP_2021-03-29_APS-043")</f>
        <v>RUN-FLMP_2021-03-29_APS-043</v>
      </c>
      <c r="AI44" s="96">
        <f t="shared" si="7"/>
        <v>2</v>
      </c>
      <c r="AJ44" s="86"/>
    </row>
    <row r="45">
      <c r="A45" s="8" t="s">
        <v>76</v>
      </c>
      <c r="B45" s="14">
        <v>44302.0</v>
      </c>
      <c r="C45" s="88" t="b">
        <f t="shared" si="2"/>
        <v>1</v>
      </c>
      <c r="D45" s="16" t="str">
        <f t="array" ref="D45">IF(OR(ISBLANK($A45),$C45),IFERROR(0/0,""),INDEX('RFR Data - preExcl'!E$2:E923,$R45,1))</f>
        <v/>
      </c>
      <c r="E45" s="16" t="str">
        <f t="array" ref="E45">IF(OR(ISBLANK($A45),$C45),IFERROR(0/0,""),INDEX('RFR Data - preExcl'!Z$2:Z923,$R45,1))</f>
        <v/>
      </c>
      <c r="F45" s="16" t="str">
        <f t="array" ref="F45">IF(OR(ISBLANK(A45),C45),IFERROR(0/0,""),INDEX('RFR Data - preExcl'!AC$2:AC923,$R45,1))</f>
        <v/>
      </c>
      <c r="G45" s="16" t="str">
        <f t="array" ref="G45">IF(OR(ISBLANK(A45),C45),IFERROR(0/0,""),INDEX('RFR Data - preExcl'!AK$2:AK923,$R45,1))</f>
        <v/>
      </c>
      <c r="H45" s="16" t="str">
        <f t="array" ref="H45">IF(OR(ISBLANK(A45),C45),IFERROR(0/0,""),INDEX('RFR Data - preExcl'!AL$2:AL923,$R45,1))</f>
        <v/>
      </c>
      <c r="I45" s="16">
        <f>IFERROR(VLOOKUP($B45,'APS Tubes by Date IMPORT'!$B$2:$J923,2,FALSE),"")</f>
        <v>3</v>
      </c>
      <c r="J45" s="16" t="b">
        <f>IFERROR(VLOOKUP($B45,'APS Tubes by Date IMPORT'!$B$2:$J923,9,FALSE),"")</f>
        <v>1</v>
      </c>
      <c r="K45" s="16">
        <f>IFNA(VLOOKUP($B45,'APS Tubes by Date IMPORT'!$B$2:$J923,6,FALSE),"")</f>
        <v>0</v>
      </c>
      <c r="L45" s="89">
        <f t="shared" si="3"/>
        <v>3</v>
      </c>
      <c r="M45" s="16">
        <f t="shared" si="4"/>
        <v>0</v>
      </c>
      <c r="N45" s="90">
        <v>3.4</v>
      </c>
      <c r="O45" s="30" t="b">
        <f t="shared" si="5"/>
        <v>1</v>
      </c>
      <c r="P45" s="91" t="str">
        <f>IF(ISBLANK(N45),IFERROR(0/0,""),IFERROR(VLOOKUP(N45, 'Process Ref'!$A$76:$D$122, 2, FALSE), IFERROR(0/0,"")))</f>
        <v>Add Run from APS with no RFR (assume run on same day as Collect, ignore Result day)</v>
      </c>
      <c r="R45" s="92" t="str">
        <f>IFNA(MATCH(A45,'RFR Data - preExcl'!A$2:A923,0),"")</f>
        <v/>
      </c>
      <c r="S45" s="54"/>
      <c r="T45" s="30" t="str">
        <f>IF(EXACT('RFR Data - preExcl'!W45,"Initial"),'RFR Data - preExcl'!A45,IFERROR(0/0,""))</f>
        <v/>
      </c>
      <c r="U45" s="30" t="str">
        <f>IF(EXACT('RFR Data - preExcl'!W45,"Initial"),'RFR Data - preExcl'!U45,IFERROR(0/0,""))</f>
        <v/>
      </c>
      <c r="X45" s="86"/>
      <c r="Y45" s="102"/>
      <c r="Z45" s="103"/>
      <c r="AG45" s="86"/>
      <c r="AH45" s="101" t="str">
        <f>IFERROR(__xludf.DUMMYFUNCTION("""COMPUTED_VALUE"""),"RUN-FLMP_2021-04-16_APS-044")</f>
        <v>RUN-FLMP_2021-04-16_APS-044</v>
      </c>
      <c r="AI45" s="96">
        <f t="shared" si="7"/>
        <v>3</v>
      </c>
      <c r="AJ45" s="86"/>
    </row>
    <row r="46">
      <c r="A46" s="8" t="s">
        <v>77</v>
      </c>
      <c r="B46" s="14">
        <v>44325.0</v>
      </c>
      <c r="C46" s="88" t="b">
        <f t="shared" si="2"/>
        <v>1</v>
      </c>
      <c r="D46" s="16" t="str">
        <f t="array" ref="D46">IF(OR(ISBLANK($A46),$C46),IFERROR(0/0,""),INDEX('RFR Data - preExcl'!E$2:E923,$R46,1))</f>
        <v/>
      </c>
      <c r="E46" s="16" t="str">
        <f t="array" ref="E46">IF(OR(ISBLANK($A46),$C46),IFERROR(0/0,""),INDEX('RFR Data - preExcl'!Z$2:Z923,$R46,1))</f>
        <v/>
      </c>
      <c r="F46" s="16" t="str">
        <f t="array" ref="F46">IF(OR(ISBLANK(A46),C46),IFERROR(0/0,""),INDEX('RFR Data - preExcl'!AC$2:AC923,$R46,1))</f>
        <v/>
      </c>
      <c r="G46" s="16" t="str">
        <f t="array" ref="G46">IF(OR(ISBLANK(A46),C46),IFERROR(0/0,""),INDEX('RFR Data - preExcl'!AK$2:AK923,$R46,1))</f>
        <v/>
      </c>
      <c r="H46" s="16" t="str">
        <f t="array" ref="H46">IF(OR(ISBLANK(A46),C46),IFERROR(0/0,""),INDEX('RFR Data - preExcl'!AL$2:AL923,$R46,1))</f>
        <v/>
      </c>
      <c r="I46" s="16">
        <f>IFERROR(VLOOKUP($B46,'APS Tubes by Date IMPORT'!$B$2:$J923,2,FALSE),"")</f>
        <v>1</v>
      </c>
      <c r="J46" s="16" t="str">
        <f>IFERROR(VLOOKUP($B46,'APS Tubes by Date IMPORT'!$B$2:$J923,9,FALSE),"")</f>
        <v/>
      </c>
      <c r="K46" s="16">
        <f>IFNA(VLOOKUP($B46,'APS Tubes by Date IMPORT'!$B$2:$J923,6,FALSE),"")</f>
        <v>0</v>
      </c>
      <c r="L46" s="89">
        <f t="shared" si="3"/>
        <v>1</v>
      </c>
      <c r="M46" s="16">
        <f t="shared" si="4"/>
        <v>0</v>
      </c>
      <c r="N46" s="90">
        <v>3.4</v>
      </c>
      <c r="O46" s="30" t="b">
        <f t="shared" si="5"/>
        <v>1</v>
      </c>
      <c r="P46" s="91" t="str">
        <f>IF(ISBLANK(N46),IFERROR(0/0,""),IFERROR(VLOOKUP(N46, 'Process Ref'!$A$76:$D$122, 2, FALSE), IFERROR(0/0,"")))</f>
        <v>Add Run from APS with no RFR (assume run on same day as Collect, ignore Result day)</v>
      </c>
      <c r="R46" s="92" t="str">
        <f>IFNA(MATCH(A46,'RFR Data - preExcl'!A$2:A923,0),"")</f>
        <v/>
      </c>
      <c r="S46" s="54"/>
      <c r="T46" s="30" t="str">
        <f>IF(EXACT('RFR Data - preExcl'!W46,"Initial"),'RFR Data - preExcl'!A46,IFERROR(0/0,""))</f>
        <v>RUN-FLMP_2022-01-04_RFR-049</v>
      </c>
      <c r="U46" s="93">
        <f>IF(EXACT('RFR Data - preExcl'!W46,"Initial"),'RFR Data - preExcl'!U46,IFERROR(0/0,""))</f>
        <v>44565</v>
      </c>
      <c r="X46" s="86"/>
      <c r="Y46" s="102"/>
      <c r="Z46" s="103"/>
      <c r="AG46" s="86"/>
      <c r="AH46" s="101" t="str">
        <f>IFERROR(__xludf.DUMMYFUNCTION("""COMPUTED_VALUE"""),"RUN-FLMP_2021-05-09_APS-045")</f>
        <v>RUN-FLMP_2021-05-09_APS-045</v>
      </c>
      <c r="AI46" s="96">
        <f t="shared" si="7"/>
        <v>1</v>
      </c>
      <c r="AJ46" s="86"/>
    </row>
    <row r="47">
      <c r="A47" s="8" t="s">
        <v>78</v>
      </c>
      <c r="B47" s="14">
        <v>44326.0</v>
      </c>
      <c r="C47" s="88" t="b">
        <f t="shared" si="2"/>
        <v>1</v>
      </c>
      <c r="D47" s="16" t="str">
        <f t="array" ref="D47">IF(OR(ISBLANK($A47),$C47),IFERROR(0/0,""),INDEX('RFR Data - preExcl'!E$2:E923,$R47,1))</f>
        <v/>
      </c>
      <c r="E47" s="16" t="str">
        <f t="array" ref="E47">IF(OR(ISBLANK($A47),$C47),IFERROR(0/0,""),INDEX('RFR Data - preExcl'!Z$2:Z923,$R47,1))</f>
        <v/>
      </c>
      <c r="F47" s="16" t="str">
        <f t="array" ref="F47">IF(OR(ISBLANK(A47),C47),IFERROR(0/0,""),INDEX('RFR Data - preExcl'!AC$2:AC923,$R47,1))</f>
        <v/>
      </c>
      <c r="G47" s="16" t="str">
        <f t="array" ref="G47">IF(OR(ISBLANK(A47),C47),IFERROR(0/0,""),INDEX('RFR Data - preExcl'!AK$2:AK923,$R47,1))</f>
        <v/>
      </c>
      <c r="H47" s="16" t="str">
        <f t="array" ref="H47">IF(OR(ISBLANK(A47),C47),IFERROR(0/0,""),INDEX('RFR Data - preExcl'!AL$2:AL923,$R47,1))</f>
        <v/>
      </c>
      <c r="I47" s="16">
        <f>IFERROR(VLOOKUP($B47,'APS Tubes by Date IMPORT'!$B$2:$J923,2,FALSE),"")</f>
        <v>2</v>
      </c>
      <c r="J47" s="16" t="b">
        <f>IFERROR(VLOOKUP($B47,'APS Tubes by Date IMPORT'!$B$2:$J923,9,FALSE),"")</f>
        <v>1</v>
      </c>
      <c r="K47" s="16">
        <f>IFNA(VLOOKUP($B47,'APS Tubes by Date IMPORT'!$B$2:$J923,6,FALSE),"")</f>
        <v>0</v>
      </c>
      <c r="L47" s="89">
        <f t="shared" si="3"/>
        <v>2</v>
      </c>
      <c r="M47" s="16">
        <f t="shared" si="4"/>
        <v>0</v>
      </c>
      <c r="N47" s="90">
        <v>3.4</v>
      </c>
      <c r="O47" s="30" t="b">
        <f t="shared" si="5"/>
        <v>1</v>
      </c>
      <c r="P47" s="91" t="str">
        <f>IF(ISBLANK(N47),IFERROR(0/0,""),IFERROR(VLOOKUP(N47, 'Process Ref'!$A$76:$D$122, 2, FALSE), IFERROR(0/0,"")))</f>
        <v>Add Run from APS with no RFR (assume run on same day as Collect, ignore Result day)</v>
      </c>
      <c r="R47" s="92" t="str">
        <f>IFNA(MATCH(A47,'RFR Data - preExcl'!A$2:A923,0),"")</f>
        <v/>
      </c>
      <c r="S47" s="54"/>
      <c r="T47" s="30" t="str">
        <f>IF(EXACT('RFR Data - preExcl'!W47,"Initial"),'RFR Data - preExcl'!A47,IFERROR(0/0,""))</f>
        <v>RUN-FLMP_2022-01-06_RFR-050</v>
      </c>
      <c r="U47" s="93">
        <f>IF(EXACT('RFR Data - preExcl'!W47,"Initial"),'RFR Data - preExcl'!U47,IFERROR(0/0,""))</f>
        <v>44567</v>
      </c>
      <c r="X47" s="86"/>
      <c r="Y47" s="102"/>
      <c r="Z47" s="103"/>
      <c r="AG47" s="86"/>
      <c r="AH47" s="101" t="str">
        <f>IFERROR(__xludf.DUMMYFUNCTION("""COMPUTED_VALUE"""),"RUN-FLMP_2021-05-10_APS-046")</f>
        <v>RUN-FLMP_2021-05-10_APS-046</v>
      </c>
      <c r="AI47" s="96">
        <f t="shared" si="7"/>
        <v>2</v>
      </c>
      <c r="AJ47" s="86"/>
    </row>
    <row r="48">
      <c r="A48" s="8" t="s">
        <v>79</v>
      </c>
      <c r="B48" s="14">
        <v>44334.0</v>
      </c>
      <c r="C48" s="88" t="b">
        <f t="shared" si="2"/>
        <v>1</v>
      </c>
      <c r="D48" s="16" t="str">
        <f t="array" ref="D48">IF(OR(ISBLANK($A48),$C48),IFERROR(0/0,""),INDEX('RFR Data - preExcl'!E$2:E923,$R48,1))</f>
        <v/>
      </c>
      <c r="E48" s="16" t="str">
        <f t="array" ref="E48">IF(OR(ISBLANK($A48),$C48),IFERROR(0/0,""),INDEX('RFR Data - preExcl'!Z$2:Z923,$R48,1))</f>
        <v/>
      </c>
      <c r="F48" s="16" t="str">
        <f t="array" ref="F48">IF(OR(ISBLANK(A48),C48),IFERROR(0/0,""),INDEX('RFR Data - preExcl'!AC$2:AC923,$R48,1))</f>
        <v/>
      </c>
      <c r="G48" s="16" t="str">
        <f t="array" ref="G48">IF(OR(ISBLANK(A48),C48),IFERROR(0/0,""),INDEX('RFR Data - preExcl'!AK$2:AK923,$R48,1))</f>
        <v/>
      </c>
      <c r="H48" s="16" t="str">
        <f t="array" ref="H48">IF(OR(ISBLANK(A48),C48),IFERROR(0/0,""),INDEX('RFR Data - preExcl'!AL$2:AL923,$R48,1))</f>
        <v/>
      </c>
      <c r="I48" s="16">
        <f>IFERROR(VLOOKUP($B48,'APS Tubes by Date IMPORT'!$B$2:$J923,2,FALSE),"")</f>
        <v>6</v>
      </c>
      <c r="J48" s="16" t="b">
        <f>IFERROR(VLOOKUP($B48,'APS Tubes by Date IMPORT'!$B$2:$J923,9,FALSE),"")</f>
        <v>1</v>
      </c>
      <c r="K48" s="16">
        <f>IFNA(VLOOKUP($B48,'APS Tubes by Date IMPORT'!$B$2:$J923,6,FALSE),"")</f>
        <v>0</v>
      </c>
      <c r="L48" s="89">
        <f t="shared" si="3"/>
        <v>6</v>
      </c>
      <c r="M48" s="16">
        <f t="shared" si="4"/>
        <v>0</v>
      </c>
      <c r="N48" s="90">
        <v>3.4</v>
      </c>
      <c r="O48" s="30" t="b">
        <f t="shared" si="5"/>
        <v>1</v>
      </c>
      <c r="P48" s="91" t="str">
        <f>IF(ISBLANK(N48),IFERROR(0/0,""),IFERROR(VLOOKUP(N48, 'Process Ref'!$A$76:$D$122, 2, FALSE), IFERROR(0/0,"")))</f>
        <v>Add Run from APS with no RFR (assume run on same day as Collect, ignore Result day)</v>
      </c>
      <c r="R48" s="92" t="str">
        <f>IFNA(MATCH(A48,'RFR Data - preExcl'!A$2:A923,0),"")</f>
        <v/>
      </c>
      <c r="S48" s="54"/>
      <c r="T48" s="30" t="str">
        <f>IF(EXACT('RFR Data - preExcl'!W48,"Initial"),'RFR Data - preExcl'!A48,IFERROR(0/0,""))</f>
        <v/>
      </c>
      <c r="U48" s="30" t="str">
        <f>IF(EXACT('RFR Data - preExcl'!W48,"Initial"),'RFR Data - preExcl'!U48,IFERROR(0/0,""))</f>
        <v/>
      </c>
      <c r="X48" s="86"/>
      <c r="Y48" s="102"/>
      <c r="Z48" s="103"/>
      <c r="AG48" s="86"/>
      <c r="AH48" s="101" t="str">
        <f>IFERROR(__xludf.DUMMYFUNCTION("""COMPUTED_VALUE"""),"RUN-FLMP_2021-05-18_APS-047")</f>
        <v>RUN-FLMP_2021-05-18_APS-047</v>
      </c>
      <c r="AI48" s="96">
        <f t="shared" si="7"/>
        <v>6</v>
      </c>
      <c r="AJ48" s="86"/>
    </row>
    <row r="49">
      <c r="A49" s="8" t="s">
        <v>80</v>
      </c>
      <c r="B49" s="14">
        <v>44364.0</v>
      </c>
      <c r="C49" s="88" t="b">
        <f t="shared" si="2"/>
        <v>1</v>
      </c>
      <c r="D49" s="16" t="str">
        <f t="array" ref="D49">IF(OR(ISBLANK($A49),$C49),IFERROR(0/0,""),INDEX('RFR Data - preExcl'!E$2:E923,$R49,1))</f>
        <v/>
      </c>
      <c r="E49" s="16" t="str">
        <f t="array" ref="E49">IF(OR(ISBLANK($A49),$C49),IFERROR(0/0,""),INDEX('RFR Data - preExcl'!Z$2:Z923,$R49,1))</f>
        <v/>
      </c>
      <c r="F49" s="16" t="str">
        <f t="array" ref="F49">IF(OR(ISBLANK(A49),C49),IFERROR(0/0,""),INDEX('RFR Data - preExcl'!AC$2:AC923,$R49,1))</f>
        <v/>
      </c>
      <c r="G49" s="16" t="str">
        <f t="array" ref="G49">IF(OR(ISBLANK(A49),C49),IFERROR(0/0,""),INDEX('RFR Data - preExcl'!AK$2:AK923,$R49,1))</f>
        <v/>
      </c>
      <c r="H49" s="16" t="str">
        <f t="array" ref="H49">IF(OR(ISBLANK(A49),C49),IFERROR(0/0,""),INDEX('RFR Data - preExcl'!AL$2:AL923,$R49,1))</f>
        <v/>
      </c>
      <c r="I49" s="16">
        <f>IFERROR(VLOOKUP($B49,'APS Tubes by Date IMPORT'!$B$2:$J923,2,FALSE),"")</f>
        <v>2</v>
      </c>
      <c r="J49" s="16" t="b">
        <f>IFERROR(VLOOKUP($B49,'APS Tubes by Date IMPORT'!$B$2:$J923,9,FALSE),"")</f>
        <v>1</v>
      </c>
      <c r="K49" s="16">
        <f>IFNA(VLOOKUP($B49,'APS Tubes by Date IMPORT'!$B$2:$J923,6,FALSE),"")</f>
        <v>0</v>
      </c>
      <c r="L49" s="89">
        <f t="shared" si="3"/>
        <v>2</v>
      </c>
      <c r="M49" s="16">
        <f t="shared" si="4"/>
        <v>0</v>
      </c>
      <c r="N49" s="90">
        <v>3.4</v>
      </c>
      <c r="O49" s="30" t="b">
        <f t="shared" si="5"/>
        <v>1</v>
      </c>
      <c r="P49" s="91" t="str">
        <f>IF(ISBLANK(N49),IFERROR(0/0,""),IFERROR(VLOOKUP(N49, 'Process Ref'!$A$76:$D$122, 2, FALSE), IFERROR(0/0,"")))</f>
        <v>Add Run from APS with no RFR (assume run on same day as Collect, ignore Result day)</v>
      </c>
      <c r="R49" s="92" t="str">
        <f>IFNA(MATCH(A49,'RFR Data - preExcl'!A$2:A923,0),"")</f>
        <v/>
      </c>
      <c r="S49" s="54"/>
      <c r="T49" s="30" t="str">
        <f>IF(EXACT('RFR Data - preExcl'!W49,"Initial"),'RFR Data - preExcl'!A49,IFERROR(0/0,""))</f>
        <v>RUN-FLMP_2022-01-08_RFR-052</v>
      </c>
      <c r="U49" s="93">
        <f>IF(EXACT('RFR Data - preExcl'!W49,"Initial"),'RFR Data - preExcl'!U49,IFERROR(0/0,""))</f>
        <v>44569</v>
      </c>
      <c r="X49" s="86"/>
      <c r="Y49" s="102"/>
      <c r="Z49" s="103"/>
      <c r="AG49" s="86"/>
      <c r="AH49" s="101" t="str">
        <f>IFERROR(__xludf.DUMMYFUNCTION("""COMPUTED_VALUE"""),"RUN-FLMP_2021-06-17_APS-048")</f>
        <v>RUN-FLMP_2021-06-17_APS-048</v>
      </c>
      <c r="AI49" s="96">
        <f t="shared" si="7"/>
        <v>2</v>
      </c>
      <c r="AJ49" s="86"/>
    </row>
    <row r="50">
      <c r="A50" s="8" t="s">
        <v>81</v>
      </c>
      <c r="B50" s="14">
        <v>44442.0</v>
      </c>
      <c r="C50" s="88" t="b">
        <f t="shared" si="2"/>
        <v>1</v>
      </c>
      <c r="D50" s="16" t="str">
        <f t="array" ref="D50">IF(OR(ISBLANK($A50),$C50),IFERROR(0/0,""),INDEX('RFR Data - preExcl'!E$2:E923,$R50,1))</f>
        <v/>
      </c>
      <c r="E50" s="16" t="str">
        <f t="array" ref="E50">IF(OR(ISBLANK($A50),$C50),IFERROR(0/0,""),INDEX('RFR Data - preExcl'!Z$2:Z923,$R50,1))</f>
        <v/>
      </c>
      <c r="F50" s="16" t="str">
        <f t="array" ref="F50">IF(OR(ISBLANK(A50),C50),IFERROR(0/0,""),INDEX('RFR Data - preExcl'!AC$2:AC923,$R50,1))</f>
        <v/>
      </c>
      <c r="G50" s="16" t="str">
        <f t="array" ref="G50">IF(OR(ISBLANK(A50),C50),IFERROR(0/0,""),INDEX('RFR Data - preExcl'!AK$2:AK923,$R50,1))</f>
        <v/>
      </c>
      <c r="H50" s="16" t="str">
        <f t="array" ref="H50">IF(OR(ISBLANK(A50),C50),IFERROR(0/0,""),INDEX('RFR Data - preExcl'!AL$2:AL923,$R50,1))</f>
        <v/>
      </c>
      <c r="I50" s="16">
        <f>IFERROR(VLOOKUP($B50,'APS Tubes by Date IMPORT'!$B$2:$J923,2,FALSE),"")</f>
        <v>4</v>
      </c>
      <c r="J50" s="16" t="str">
        <f>IFERROR(VLOOKUP($B50,'APS Tubes by Date IMPORT'!$B$2:$J923,9,FALSE),"")</f>
        <v/>
      </c>
      <c r="K50" s="16">
        <f>IFNA(VLOOKUP($B50,'APS Tubes by Date IMPORT'!$B$2:$J923,6,FALSE),"")</f>
        <v>0</v>
      </c>
      <c r="L50" s="89">
        <f t="shared" si="3"/>
        <v>4</v>
      </c>
      <c r="M50" s="16">
        <f t="shared" si="4"/>
        <v>0</v>
      </c>
      <c r="N50" s="90">
        <v>3.4</v>
      </c>
      <c r="O50" s="30" t="b">
        <f t="shared" si="5"/>
        <v>1</v>
      </c>
      <c r="P50" s="91" t="str">
        <f>IF(ISBLANK(N50),IFERROR(0/0,""),IFERROR(VLOOKUP(N50, 'Process Ref'!$A$76:$D$122, 2, FALSE), IFERROR(0/0,"")))</f>
        <v>Add Run from APS with no RFR (assume run on same day as Collect, ignore Result day)</v>
      </c>
      <c r="R50" s="92" t="str">
        <f>IFNA(MATCH(A50,'RFR Data - preExcl'!A$2:A923,0),"")</f>
        <v/>
      </c>
      <c r="S50" s="54"/>
      <c r="T50" s="30" t="str">
        <f>IF(EXACT('RFR Data - preExcl'!W50,"Initial"),'RFR Data - preExcl'!A50,IFERROR(0/0,""))</f>
        <v>RUN-FLMP_2022-01-10_RFR-053</v>
      </c>
      <c r="U50" s="93">
        <f>IF(EXACT('RFR Data - preExcl'!W50,"Initial"),'RFR Data - preExcl'!U50,IFERROR(0/0,""))</f>
        <v>44571</v>
      </c>
      <c r="X50" s="86"/>
      <c r="Y50" s="102"/>
      <c r="Z50" s="103"/>
      <c r="AG50" s="86"/>
      <c r="AH50" s="101" t="str">
        <f>IFERROR(__xludf.DUMMYFUNCTION("""COMPUTED_VALUE"""),"RUN-FLMP_2021-09-03_APS-049")</f>
        <v>RUN-FLMP_2021-09-03_APS-049</v>
      </c>
      <c r="AI50" s="96">
        <f t="shared" si="7"/>
        <v>4</v>
      </c>
      <c r="AJ50" s="86"/>
    </row>
    <row r="51">
      <c r="A51" s="8" t="s">
        <v>82</v>
      </c>
      <c r="B51" s="14">
        <v>44449.0</v>
      </c>
      <c r="C51" s="88" t="b">
        <f t="shared" si="2"/>
        <v>1</v>
      </c>
      <c r="D51" s="16" t="str">
        <f t="array" ref="D51">IF(OR(ISBLANK($A51),$C51),IFERROR(0/0,""),INDEX('RFR Data - preExcl'!E$2:E923,$R51,1))</f>
        <v/>
      </c>
      <c r="E51" s="16" t="str">
        <f t="array" ref="E51">IF(OR(ISBLANK($A51),$C51),IFERROR(0/0,""),INDEX('RFR Data - preExcl'!Z$2:Z923,$R51,1))</f>
        <v/>
      </c>
      <c r="F51" s="16" t="str">
        <f t="array" ref="F51">IF(OR(ISBLANK(A51),C51),IFERROR(0/0,""),INDEX('RFR Data - preExcl'!AC$2:AC923,$R51,1))</f>
        <v/>
      </c>
      <c r="G51" s="16" t="str">
        <f t="array" ref="G51">IF(OR(ISBLANK(A51),C51),IFERROR(0/0,""),INDEX('RFR Data - preExcl'!AK$2:AK923,$R51,1))</f>
        <v/>
      </c>
      <c r="H51" s="16" t="str">
        <f t="array" ref="H51">IF(OR(ISBLANK(A51),C51),IFERROR(0/0,""),INDEX('RFR Data - preExcl'!AL$2:AL923,$R51,1))</f>
        <v/>
      </c>
      <c r="I51" s="16">
        <f>IFERROR(VLOOKUP($B51,'APS Tubes by Date IMPORT'!$B$2:$J923,2,FALSE),"")</f>
        <v>2</v>
      </c>
      <c r="J51" s="16" t="str">
        <f>IFERROR(VLOOKUP($B51,'APS Tubes by Date IMPORT'!$B$2:$J923,9,FALSE),"")</f>
        <v/>
      </c>
      <c r="K51" s="16">
        <f>IFNA(VLOOKUP($B51,'APS Tubes by Date IMPORT'!$B$2:$J923,6,FALSE),"")</f>
        <v>0</v>
      </c>
      <c r="L51" s="89">
        <f t="shared" si="3"/>
        <v>2</v>
      </c>
      <c r="M51" s="16">
        <f t="shared" si="4"/>
        <v>0</v>
      </c>
      <c r="N51" s="90">
        <v>3.4</v>
      </c>
      <c r="O51" s="30" t="b">
        <f t="shared" si="5"/>
        <v>1</v>
      </c>
      <c r="P51" s="91" t="str">
        <f>IF(ISBLANK(N51),IFERROR(0/0,""),IFERROR(VLOOKUP(N51, 'Process Ref'!$A$76:$D$122, 2, FALSE), IFERROR(0/0,"")))</f>
        <v>Add Run from APS with no RFR (assume run on same day as Collect, ignore Result day)</v>
      </c>
      <c r="R51" s="92" t="str">
        <f>IFNA(MATCH(A51,'RFR Data - preExcl'!A$2:A923,0),"")</f>
        <v/>
      </c>
      <c r="S51" s="54"/>
      <c r="T51" s="30" t="str">
        <f>IF(EXACT('RFR Data - preExcl'!W51,"Initial"),'RFR Data - preExcl'!A51,IFERROR(0/0,""))</f>
        <v/>
      </c>
      <c r="U51" s="30" t="str">
        <f>IF(EXACT('RFR Data - preExcl'!W51,"Initial"),'RFR Data - preExcl'!U51,IFERROR(0/0,""))</f>
        <v/>
      </c>
      <c r="X51" s="86"/>
      <c r="Y51" s="102"/>
      <c r="Z51" s="103"/>
      <c r="AG51" s="86"/>
      <c r="AH51" s="101" t="str">
        <f>IFERROR(__xludf.DUMMYFUNCTION("""COMPUTED_VALUE"""),"RUN-FLMP_2021-09-10_APS-050")</f>
        <v>RUN-FLMP_2021-09-10_APS-050</v>
      </c>
      <c r="AI51" s="96">
        <f t="shared" si="7"/>
        <v>2</v>
      </c>
      <c r="AJ51" s="86"/>
    </row>
    <row r="52">
      <c r="A52" s="8" t="s">
        <v>83</v>
      </c>
      <c r="B52" s="14">
        <v>44452.0</v>
      </c>
      <c r="C52" s="88" t="b">
        <f t="shared" si="2"/>
        <v>1</v>
      </c>
      <c r="D52" s="16" t="str">
        <f t="array" ref="D52">IF(OR(ISBLANK($A52),$C52),IFERROR(0/0,""),INDEX('RFR Data - preExcl'!E$2:E923,$R52,1))</f>
        <v/>
      </c>
      <c r="E52" s="16" t="str">
        <f t="array" ref="E52">IF(OR(ISBLANK($A52),$C52),IFERROR(0/0,""),INDEX('RFR Data - preExcl'!Z$2:Z923,$R52,1))</f>
        <v/>
      </c>
      <c r="F52" s="16" t="str">
        <f t="array" ref="F52">IF(OR(ISBLANK(A52),C52),IFERROR(0/0,""),INDEX('RFR Data - preExcl'!AC$2:AC923,$R52,1))</f>
        <v/>
      </c>
      <c r="G52" s="16" t="str">
        <f t="array" ref="G52">IF(OR(ISBLANK(A52),C52),IFERROR(0/0,""),INDEX('RFR Data - preExcl'!AK$2:AK923,$R52,1))</f>
        <v/>
      </c>
      <c r="H52" s="16" t="str">
        <f t="array" ref="H52">IF(OR(ISBLANK(A52),C52),IFERROR(0/0,""),INDEX('RFR Data - preExcl'!AL$2:AL923,$R52,1))</f>
        <v/>
      </c>
      <c r="I52" s="16">
        <f>IFERROR(VLOOKUP($B52,'APS Tubes by Date IMPORT'!$B$2:$J923,2,FALSE),"")</f>
        <v>3</v>
      </c>
      <c r="J52" s="16" t="b">
        <f>IFERROR(VLOOKUP($B52,'APS Tubes by Date IMPORT'!$B$2:$J923,9,FALSE),"")</f>
        <v>1</v>
      </c>
      <c r="K52" s="16">
        <f>IFNA(VLOOKUP($B52,'APS Tubes by Date IMPORT'!$B$2:$J923,6,FALSE),"")</f>
        <v>0</v>
      </c>
      <c r="L52" s="89">
        <f t="shared" si="3"/>
        <v>3</v>
      </c>
      <c r="M52" s="16">
        <f t="shared" si="4"/>
        <v>0</v>
      </c>
      <c r="N52" s="90">
        <v>3.4</v>
      </c>
      <c r="O52" s="30" t="b">
        <f t="shared" si="5"/>
        <v>1</v>
      </c>
      <c r="P52" s="91" t="str">
        <f>IF(ISBLANK(N52),IFERROR(0/0,""),IFERROR(VLOOKUP(N52, 'Process Ref'!$A$76:$D$122, 2, FALSE), IFERROR(0/0,"")))</f>
        <v>Add Run from APS with no RFR (assume run on same day as Collect, ignore Result day)</v>
      </c>
      <c r="Q52" s="18" t="s">
        <v>301</v>
      </c>
      <c r="R52" s="92" t="str">
        <f>IFNA(MATCH(A52,'RFR Data - preExcl'!A$2:A923,0),"")</f>
        <v/>
      </c>
      <c r="S52" s="54"/>
      <c r="T52" s="30" t="str">
        <f>IF(EXACT('RFR Data - preExcl'!W52,"Initial"),'RFR Data - preExcl'!A52,IFERROR(0/0,""))</f>
        <v>RUN-FLMP_2022-01-10_RFR-055</v>
      </c>
      <c r="U52" s="93">
        <f>IF(EXACT('RFR Data - preExcl'!W52,"Initial"),'RFR Data - preExcl'!U52,IFERROR(0/0,""))</f>
        <v>44571</v>
      </c>
      <c r="X52" s="86"/>
      <c r="Y52" s="102"/>
      <c r="Z52" s="103"/>
      <c r="AG52" s="86"/>
      <c r="AH52" s="101" t="str">
        <f>IFERROR(__xludf.DUMMYFUNCTION("""COMPUTED_VALUE"""),"RUN-FLMP_2021-09-13_APS-051")</f>
        <v>RUN-FLMP_2021-09-13_APS-051</v>
      </c>
      <c r="AI52" s="96">
        <f t="shared" si="7"/>
        <v>3</v>
      </c>
      <c r="AJ52" s="86"/>
    </row>
    <row r="53">
      <c r="A53" s="8" t="s">
        <v>84</v>
      </c>
      <c r="B53" s="14">
        <v>44454.0</v>
      </c>
      <c r="C53" s="88" t="b">
        <f t="shared" si="2"/>
        <v>1</v>
      </c>
      <c r="D53" s="16" t="str">
        <f t="array" ref="D53">IF(OR(ISBLANK($A53),$C53),IFERROR(0/0,""),INDEX('RFR Data - preExcl'!E$2:E923,$R53,1))</f>
        <v/>
      </c>
      <c r="E53" s="16" t="str">
        <f t="array" ref="E53">IF(OR(ISBLANK($A53),$C53),IFERROR(0/0,""),INDEX('RFR Data - preExcl'!Z$2:Z923,$R53,1))</f>
        <v/>
      </c>
      <c r="F53" s="16" t="str">
        <f t="array" ref="F53">IF(OR(ISBLANK(A53),C53),IFERROR(0/0,""),INDEX('RFR Data - preExcl'!AC$2:AC923,$R53,1))</f>
        <v/>
      </c>
      <c r="G53" s="16" t="str">
        <f t="array" ref="G53">IF(OR(ISBLANK(A53),C53),IFERROR(0/0,""),INDEX('RFR Data - preExcl'!AK$2:AK923,$R53,1))</f>
        <v/>
      </c>
      <c r="H53" s="16" t="str">
        <f t="array" ref="H53">IF(OR(ISBLANK(A53),C53),IFERROR(0/0,""),INDEX('RFR Data - preExcl'!AL$2:AL923,$R53,1))</f>
        <v/>
      </c>
      <c r="I53" s="16">
        <f>IFERROR(VLOOKUP($B53,'APS Tubes by Date IMPORT'!$B$2:$J923,2,FALSE),"")</f>
        <v>3</v>
      </c>
      <c r="J53" s="16" t="str">
        <f>IFERROR(VLOOKUP($B53,'APS Tubes by Date IMPORT'!$B$2:$J923,9,FALSE),"")</f>
        <v/>
      </c>
      <c r="K53" s="16">
        <f>IFNA(VLOOKUP($B53,'APS Tubes by Date IMPORT'!$B$2:$J923,6,FALSE),"")</f>
        <v>0</v>
      </c>
      <c r="L53" s="89">
        <f t="shared" si="3"/>
        <v>3</v>
      </c>
      <c r="M53" s="16">
        <f t="shared" si="4"/>
        <v>0</v>
      </c>
      <c r="N53" s="90">
        <v>3.4</v>
      </c>
      <c r="O53" s="30" t="b">
        <f t="shared" si="5"/>
        <v>1</v>
      </c>
      <c r="P53" s="91" t="str">
        <f>IF(ISBLANK(N53),IFERROR(0/0,""),IFERROR(VLOOKUP(N53, 'Process Ref'!$A$76:$D$122, 2, FALSE), IFERROR(0/0,"")))</f>
        <v>Add Run from APS with no RFR (assume run on same day as Collect, ignore Result day)</v>
      </c>
      <c r="R53" s="92" t="str">
        <f>IFNA(MATCH(A53,'RFR Data - preExcl'!A$2:A923,0),"")</f>
        <v/>
      </c>
      <c r="S53" s="54"/>
      <c r="T53" s="30" t="str">
        <f>IF(EXACT('RFR Data - preExcl'!W53,"Initial"),'RFR Data - preExcl'!A53,IFERROR(0/0,""))</f>
        <v>RUN-FLMP_2022-01-13_RFR-056</v>
      </c>
      <c r="U53" s="93">
        <f>IF(EXACT('RFR Data - preExcl'!W53,"Initial"),'RFR Data - preExcl'!U53,IFERROR(0/0,""))</f>
        <v>44574</v>
      </c>
      <c r="X53" s="86"/>
      <c r="Y53" s="102"/>
      <c r="Z53" s="103"/>
      <c r="AG53" s="86"/>
      <c r="AH53" s="101" t="str">
        <f>IFERROR(__xludf.DUMMYFUNCTION("""COMPUTED_VALUE"""),"RUN-FLMP_2021-09-15_APS-052")</f>
        <v>RUN-FLMP_2021-09-15_APS-052</v>
      </c>
      <c r="AI53" s="96">
        <f t="shared" si="7"/>
        <v>3</v>
      </c>
      <c r="AJ53" s="86"/>
    </row>
    <row r="54">
      <c r="A54" s="8" t="s">
        <v>85</v>
      </c>
      <c r="B54" s="14">
        <v>44460.0</v>
      </c>
      <c r="C54" s="88" t="b">
        <f t="shared" si="2"/>
        <v>1</v>
      </c>
      <c r="D54" s="16" t="str">
        <f t="array" ref="D54">IF(OR(ISBLANK($A54),$C54),IFERROR(0/0,""),INDEX('RFR Data - preExcl'!E$2:E923,$R54,1))</f>
        <v/>
      </c>
      <c r="E54" s="16" t="str">
        <f t="array" ref="E54">IF(OR(ISBLANK($A54),$C54),IFERROR(0/0,""),INDEX('RFR Data - preExcl'!Z$2:Z923,$R54,1))</f>
        <v/>
      </c>
      <c r="F54" s="16" t="str">
        <f t="array" ref="F54">IF(OR(ISBLANK(A54),C54),IFERROR(0/0,""),INDEX('RFR Data - preExcl'!AC$2:AC923,$R54,1))</f>
        <v/>
      </c>
      <c r="G54" s="16" t="str">
        <f t="array" ref="G54">IF(OR(ISBLANK(A54),C54),IFERROR(0/0,""),INDEX('RFR Data - preExcl'!AK$2:AK923,$R54,1))</f>
        <v/>
      </c>
      <c r="H54" s="16" t="str">
        <f t="array" ref="H54">IF(OR(ISBLANK(A54),C54),IFERROR(0/0,""),INDEX('RFR Data - preExcl'!AL$2:AL923,$R54,1))</f>
        <v/>
      </c>
      <c r="I54" s="16">
        <f>IFERROR(VLOOKUP($B54,'APS Tubes by Date IMPORT'!$B$2:$J923,2,FALSE),"")</f>
        <v>2</v>
      </c>
      <c r="J54" s="16" t="b">
        <f>IFERROR(VLOOKUP($B54,'APS Tubes by Date IMPORT'!$B$2:$J923,9,FALSE),"")</f>
        <v>1</v>
      </c>
      <c r="K54" s="16">
        <f>IFNA(VLOOKUP($B54,'APS Tubes by Date IMPORT'!$B$2:$J923,6,FALSE),"")</f>
        <v>0</v>
      </c>
      <c r="L54" s="89">
        <f t="shared" si="3"/>
        <v>2</v>
      </c>
      <c r="M54" s="16">
        <f t="shared" si="4"/>
        <v>0</v>
      </c>
      <c r="N54" s="90">
        <v>3.4</v>
      </c>
      <c r="O54" s="30" t="b">
        <f t="shared" si="5"/>
        <v>1</v>
      </c>
      <c r="P54" s="91" t="str">
        <f>IF(ISBLANK(N54),IFERROR(0/0,""),IFERROR(VLOOKUP(N54, 'Process Ref'!$A$76:$D$122, 2, FALSE), IFERROR(0/0,"")))</f>
        <v>Add Run from APS with no RFR (assume run on same day as Collect, ignore Result day)</v>
      </c>
      <c r="Q54" s="18" t="s">
        <v>301</v>
      </c>
      <c r="R54" s="92" t="str">
        <f>IFNA(MATCH(A54,'RFR Data - preExcl'!A$2:A923,0),"")</f>
        <v/>
      </c>
      <c r="S54" s="54"/>
      <c r="T54" s="30" t="str">
        <f>IF(EXACT('RFR Data - preExcl'!W54,"Initial"),'RFR Data - preExcl'!A54,IFERROR(0/0,""))</f>
        <v>RUN-FLMP_2022-01-13_RFR-057</v>
      </c>
      <c r="U54" s="93">
        <f>IF(EXACT('RFR Data - preExcl'!W54,"Initial"),'RFR Data - preExcl'!U54,IFERROR(0/0,""))</f>
        <v>44574</v>
      </c>
      <c r="W54" s="102"/>
      <c r="X54" s="86"/>
      <c r="Y54" s="102"/>
      <c r="Z54" s="103"/>
      <c r="AG54" s="86"/>
      <c r="AH54" s="101" t="str">
        <f>IFERROR(__xludf.DUMMYFUNCTION("""COMPUTED_VALUE"""),"RUN-FLMP_2021-09-21_APS-053")</f>
        <v>RUN-FLMP_2021-09-21_APS-053</v>
      </c>
      <c r="AI54" s="96">
        <f t="shared" si="7"/>
        <v>2</v>
      </c>
      <c r="AJ54" s="86"/>
    </row>
    <row r="55">
      <c r="A55" s="8" t="s">
        <v>86</v>
      </c>
      <c r="B55" s="14">
        <v>44463.0</v>
      </c>
      <c r="C55" s="88" t="b">
        <f t="shared" si="2"/>
        <v>1</v>
      </c>
      <c r="D55" s="16" t="str">
        <f t="array" ref="D55">IF(OR(ISBLANK($A55),$C55),IFERROR(0/0,""),INDEX('RFR Data - preExcl'!E$2:E923,$R55,1))</f>
        <v/>
      </c>
      <c r="E55" s="16" t="str">
        <f t="array" ref="E55">IF(OR(ISBLANK($A55),$C55),IFERROR(0/0,""),INDEX('RFR Data - preExcl'!Z$2:Z923,$R55,1))</f>
        <v/>
      </c>
      <c r="F55" s="16" t="str">
        <f t="array" ref="F55">IF(OR(ISBLANK(A55),C55),IFERROR(0/0,""),INDEX('RFR Data - preExcl'!AC$2:AC923,$R55,1))</f>
        <v/>
      </c>
      <c r="G55" s="16" t="str">
        <f t="array" ref="G55">IF(OR(ISBLANK(A55),C55),IFERROR(0/0,""),INDEX('RFR Data - preExcl'!AK$2:AK923,$R55,1))</f>
        <v/>
      </c>
      <c r="H55" s="16" t="str">
        <f t="array" ref="H55">IF(OR(ISBLANK(A55),C55),IFERROR(0/0,""),INDEX('RFR Data - preExcl'!AL$2:AL923,$R55,1))</f>
        <v/>
      </c>
      <c r="I55" s="16">
        <f>IFERROR(VLOOKUP($B55,'APS Tubes by Date IMPORT'!$B$2:$J923,2,FALSE),"")</f>
        <v>2</v>
      </c>
      <c r="J55" s="16" t="str">
        <f>IFERROR(VLOOKUP($B55,'APS Tubes by Date IMPORT'!$B$2:$J923,9,FALSE),"")</f>
        <v/>
      </c>
      <c r="K55" s="16">
        <f>IFNA(VLOOKUP($B55,'APS Tubes by Date IMPORT'!$B$2:$J923,6,FALSE),"")</f>
        <v>0</v>
      </c>
      <c r="L55" s="89">
        <f t="shared" si="3"/>
        <v>2</v>
      </c>
      <c r="M55" s="16">
        <f t="shared" si="4"/>
        <v>0</v>
      </c>
      <c r="N55" s="90">
        <v>3.4</v>
      </c>
      <c r="O55" s="30" t="b">
        <f t="shared" si="5"/>
        <v>1</v>
      </c>
      <c r="P55" s="91" t="str">
        <f>IF(ISBLANK(N55),IFERROR(0/0,""),IFERROR(VLOOKUP(N55, 'Process Ref'!$A$76:$D$122, 2, FALSE), IFERROR(0/0,"")))</f>
        <v>Add Run from APS with no RFR (assume run on same day as Collect, ignore Result day)</v>
      </c>
      <c r="Q55" s="18" t="s">
        <v>301</v>
      </c>
      <c r="R55" s="92" t="str">
        <f>IFNA(MATCH(A55,'RFR Data - preExcl'!A$2:A923,0),"")</f>
        <v/>
      </c>
      <c r="S55" s="54"/>
      <c r="T55" s="30" t="str">
        <f>IF(EXACT('RFR Data - preExcl'!W55,"Initial"),'RFR Data - preExcl'!A55,IFERROR(0/0,""))</f>
        <v/>
      </c>
      <c r="U55" s="30" t="str">
        <f>IF(EXACT('RFR Data - preExcl'!W55,"Initial"),'RFR Data - preExcl'!U55,IFERROR(0/0,""))</f>
        <v/>
      </c>
      <c r="W55" s="104"/>
      <c r="X55" s="86"/>
      <c r="Y55" s="102"/>
      <c r="Z55" s="103"/>
      <c r="AG55" s="86"/>
      <c r="AH55" s="101" t="str">
        <f>IFERROR(__xludf.DUMMYFUNCTION("""COMPUTED_VALUE"""),"RUN-FLMP_2021-09-24_APS-054")</f>
        <v>RUN-FLMP_2021-09-24_APS-054</v>
      </c>
      <c r="AI55" s="96">
        <f t="shared" si="7"/>
        <v>2</v>
      </c>
      <c r="AJ55" s="86"/>
    </row>
    <row r="56">
      <c r="A56" s="8" t="s">
        <v>87</v>
      </c>
      <c r="B56" s="14">
        <v>44473.0</v>
      </c>
      <c r="C56" s="88" t="b">
        <f t="shared" si="2"/>
        <v>1</v>
      </c>
      <c r="D56" s="16" t="str">
        <f t="array" ref="D56">IF(OR(ISBLANK($A56),$C56),IFERROR(0/0,""),INDEX('RFR Data - preExcl'!E$2:E923,$R56,1))</f>
        <v/>
      </c>
      <c r="E56" s="16" t="str">
        <f t="array" ref="E56">IF(OR(ISBLANK($A56),$C56),IFERROR(0/0,""),INDEX('RFR Data - preExcl'!Z$2:Z923,$R56,1))</f>
        <v/>
      </c>
      <c r="F56" s="16" t="str">
        <f t="array" ref="F56">IF(OR(ISBLANK(A56),C56),IFERROR(0/0,""),INDEX('RFR Data - preExcl'!AC$2:AC923,$R56,1))</f>
        <v/>
      </c>
      <c r="G56" s="16" t="str">
        <f t="array" ref="G56">IF(OR(ISBLANK(A56),C56),IFERROR(0/0,""),INDEX('RFR Data - preExcl'!AK$2:AK923,$R56,1))</f>
        <v/>
      </c>
      <c r="H56" s="16" t="str">
        <f t="array" ref="H56">IF(OR(ISBLANK(A56),C56),IFERROR(0/0,""),INDEX('RFR Data - preExcl'!AL$2:AL923,$R56,1))</f>
        <v/>
      </c>
      <c r="I56" s="16">
        <f>IFERROR(VLOOKUP($B56,'APS Tubes by Date IMPORT'!$B$2:$J923,2,FALSE),"")</f>
        <v>2</v>
      </c>
      <c r="J56" s="16" t="b">
        <f>IFERROR(VLOOKUP($B56,'APS Tubes by Date IMPORT'!$B$2:$J923,9,FALSE),"")</f>
        <v>1</v>
      </c>
      <c r="K56" s="16">
        <f>IFNA(VLOOKUP($B56,'APS Tubes by Date IMPORT'!$B$2:$J923,6,FALSE),"")</f>
        <v>0</v>
      </c>
      <c r="L56" s="89">
        <f t="shared" si="3"/>
        <v>2</v>
      </c>
      <c r="M56" s="16">
        <f t="shared" si="4"/>
        <v>0</v>
      </c>
      <c r="N56" s="90">
        <v>3.4</v>
      </c>
      <c r="O56" s="30" t="b">
        <f t="shared" si="5"/>
        <v>1</v>
      </c>
      <c r="P56" s="91" t="str">
        <f>IF(ISBLANK(N56),IFERROR(0/0,""),IFERROR(VLOOKUP(N56, 'Process Ref'!$A$76:$D$122, 2, FALSE), IFERROR(0/0,"")))</f>
        <v>Add Run from APS with no RFR (assume run on same day as Collect, ignore Result day)</v>
      </c>
      <c r="R56" s="92" t="str">
        <f>IFNA(MATCH(A56,'RFR Data - preExcl'!A$2:A923,0),"")</f>
        <v/>
      </c>
      <c r="S56" s="54"/>
      <c r="T56" s="30" t="str">
        <f>IF(EXACT('RFR Data - preExcl'!W56,"Initial"),'RFR Data - preExcl'!A56,IFERROR(0/0,""))</f>
        <v>RUN-FLMP_2022-01-11_RFR-059</v>
      </c>
      <c r="U56" s="93">
        <f>IF(EXACT('RFR Data - preExcl'!W56,"Initial"),'RFR Data - preExcl'!U56,IFERROR(0/0,""))</f>
        <v>44572</v>
      </c>
      <c r="W56" s="104"/>
      <c r="X56" s="86"/>
      <c r="Y56" s="102"/>
      <c r="Z56" s="103"/>
      <c r="AG56" s="86"/>
      <c r="AH56" s="101" t="str">
        <f>IFERROR(__xludf.DUMMYFUNCTION("""COMPUTED_VALUE"""),"RUN-FLMP_2021-10-04_APS-055")</f>
        <v>RUN-FLMP_2021-10-04_APS-055</v>
      </c>
      <c r="AI56" s="96">
        <f t="shared" si="7"/>
        <v>2</v>
      </c>
      <c r="AJ56" s="86"/>
    </row>
    <row r="57">
      <c r="A57" s="8" t="s">
        <v>88</v>
      </c>
      <c r="B57" s="14">
        <v>44474.0</v>
      </c>
      <c r="C57" s="88" t="b">
        <f t="shared" si="2"/>
        <v>1</v>
      </c>
      <c r="D57" s="16" t="str">
        <f t="array" ref="D57">IF(OR(ISBLANK($A57),$C57),IFERROR(0/0,""),INDEX('RFR Data - preExcl'!E$2:E923,$R57,1))</f>
        <v/>
      </c>
      <c r="E57" s="16" t="str">
        <f t="array" ref="E57">IF(OR(ISBLANK($A57),$C57),IFERROR(0/0,""),INDEX('RFR Data - preExcl'!Z$2:Z923,$R57,1))</f>
        <v/>
      </c>
      <c r="F57" s="16" t="str">
        <f t="array" ref="F57">IF(OR(ISBLANK(A57),C57),IFERROR(0/0,""),INDEX('RFR Data - preExcl'!AC$2:AC923,$R57,1))</f>
        <v/>
      </c>
      <c r="G57" s="16" t="str">
        <f t="array" ref="G57">IF(OR(ISBLANK(A57),C57),IFERROR(0/0,""),INDEX('RFR Data - preExcl'!AK$2:AK923,$R57,1))</f>
        <v/>
      </c>
      <c r="H57" s="16" t="str">
        <f t="array" ref="H57">IF(OR(ISBLANK(A57),C57),IFERROR(0/0,""),INDEX('RFR Data - preExcl'!AL$2:AL923,$R57,1))</f>
        <v/>
      </c>
      <c r="I57" s="16">
        <f>IFERROR(VLOOKUP($B57,'APS Tubes by Date IMPORT'!$B$2:$J923,2,FALSE),"")</f>
        <v>2</v>
      </c>
      <c r="J57" s="16" t="b">
        <f>IFERROR(VLOOKUP($B57,'APS Tubes by Date IMPORT'!$B$2:$J923,9,FALSE),"")</f>
        <v>1</v>
      </c>
      <c r="K57" s="16">
        <f>IFNA(VLOOKUP($B57,'APS Tubes by Date IMPORT'!$B$2:$J923,6,FALSE),"")</f>
        <v>0</v>
      </c>
      <c r="L57" s="89">
        <f t="shared" si="3"/>
        <v>2</v>
      </c>
      <c r="M57" s="16">
        <f t="shared" si="4"/>
        <v>0</v>
      </c>
      <c r="N57" s="90">
        <v>3.4</v>
      </c>
      <c r="O57" s="30" t="b">
        <f t="shared" si="5"/>
        <v>1</v>
      </c>
      <c r="P57" s="91" t="str">
        <f>IF(ISBLANK(N57),IFERROR(0/0,""),IFERROR(VLOOKUP(N57, 'Process Ref'!$A$76:$D$122, 2, FALSE), IFERROR(0/0,"")))</f>
        <v>Add Run from APS with no RFR (assume run on same day as Collect, ignore Result day)</v>
      </c>
      <c r="R57" s="92" t="str">
        <f>IFNA(MATCH(A57,'RFR Data - preExcl'!A$2:A923,0),"")</f>
        <v/>
      </c>
      <c r="S57" s="54"/>
      <c r="T57" s="30" t="str">
        <f>IF(EXACT('RFR Data - preExcl'!W57,"Initial"),'RFR Data - preExcl'!A57,IFERROR(0/0,""))</f>
        <v>RUN-FLMP_2022-01-15_RFR-060</v>
      </c>
      <c r="U57" s="93">
        <f>IF(EXACT('RFR Data - preExcl'!W57,"Initial"),'RFR Data - preExcl'!U57,IFERROR(0/0,""))</f>
        <v>44576</v>
      </c>
      <c r="W57" s="104"/>
      <c r="X57" s="86"/>
      <c r="Y57" s="102"/>
      <c r="Z57" s="103"/>
      <c r="AG57" s="86"/>
      <c r="AH57" s="101" t="str">
        <f>IFERROR(__xludf.DUMMYFUNCTION("""COMPUTED_VALUE"""),"RUN-FLMP_2021-10-05_APS-056")</f>
        <v>RUN-FLMP_2021-10-05_APS-056</v>
      </c>
      <c r="AI57" s="96">
        <f t="shared" si="7"/>
        <v>2</v>
      </c>
      <c r="AJ57" s="86"/>
    </row>
    <row r="58">
      <c r="A58" s="8" t="s">
        <v>89</v>
      </c>
      <c r="B58" s="14">
        <v>44479.0</v>
      </c>
      <c r="C58" s="88" t="b">
        <f t="shared" si="2"/>
        <v>1</v>
      </c>
      <c r="D58" s="16" t="str">
        <f t="array" ref="D58">IF(OR(ISBLANK($A58),$C58),IFERROR(0/0,""),INDEX('RFR Data - preExcl'!E$2:E923,$R58,1))</f>
        <v/>
      </c>
      <c r="E58" s="16" t="str">
        <f t="array" ref="E58">IF(OR(ISBLANK($A58),$C58),IFERROR(0/0,""),INDEX('RFR Data - preExcl'!Z$2:Z923,$R58,1))</f>
        <v/>
      </c>
      <c r="F58" s="16" t="str">
        <f t="array" ref="F58">IF(OR(ISBLANK(A58),C58),IFERROR(0/0,""),INDEX('RFR Data - preExcl'!AC$2:AC923,$R58,1))</f>
        <v/>
      </c>
      <c r="G58" s="16" t="str">
        <f t="array" ref="G58">IF(OR(ISBLANK(A58),C58),IFERROR(0/0,""),INDEX('RFR Data - preExcl'!AK$2:AK923,$R58,1))</f>
        <v/>
      </c>
      <c r="H58" s="16" t="str">
        <f t="array" ref="H58">IF(OR(ISBLANK(A58),C58),IFERROR(0/0,""),INDEX('RFR Data - preExcl'!AL$2:AL923,$R58,1))</f>
        <v/>
      </c>
      <c r="I58" s="16">
        <f>IFERROR(VLOOKUP($B58,'APS Tubes by Date IMPORT'!$B$2:$J923,2,FALSE),"")</f>
        <v>3</v>
      </c>
      <c r="J58" s="16" t="b">
        <f>IFERROR(VLOOKUP($B58,'APS Tubes by Date IMPORT'!$B$2:$J923,9,FALSE),"")</f>
        <v>1</v>
      </c>
      <c r="K58" s="16">
        <f>IFNA(VLOOKUP($B58,'APS Tubes by Date IMPORT'!$B$2:$J923,6,FALSE),"")</f>
        <v>0</v>
      </c>
      <c r="L58" s="89">
        <f t="shared" si="3"/>
        <v>3</v>
      </c>
      <c r="M58" s="16">
        <f t="shared" si="4"/>
        <v>0</v>
      </c>
      <c r="N58" s="90">
        <v>3.4</v>
      </c>
      <c r="O58" s="30" t="b">
        <f t="shared" si="5"/>
        <v>1</v>
      </c>
      <c r="P58" s="91" t="str">
        <f>IF(ISBLANK(N58),IFERROR(0/0,""),IFERROR(VLOOKUP(N58, 'Process Ref'!$A$76:$D$122, 2, FALSE), IFERROR(0/0,"")))</f>
        <v>Add Run from APS with no RFR (assume run on same day as Collect, ignore Result day)</v>
      </c>
      <c r="R58" s="92" t="str">
        <f>IFNA(MATCH(A58,'RFR Data - preExcl'!A$2:A923,0),"")</f>
        <v/>
      </c>
      <c r="S58" s="54"/>
      <c r="T58" s="30" t="str">
        <f>IF(EXACT('RFR Data - preExcl'!W58,"Initial"),'RFR Data - preExcl'!A58,IFERROR(0/0,""))</f>
        <v>RUN-FLMP_2022-01-17_RFR-061</v>
      </c>
      <c r="U58" s="93">
        <f>IF(EXACT('RFR Data - preExcl'!W58,"Initial"),'RFR Data - preExcl'!U58,IFERROR(0/0,""))</f>
        <v>44578</v>
      </c>
      <c r="W58" s="104"/>
      <c r="X58" s="86"/>
      <c r="Y58" s="102"/>
      <c r="Z58" s="103"/>
      <c r="AG58" s="86"/>
      <c r="AH58" s="101" t="str">
        <f>IFERROR(__xludf.DUMMYFUNCTION("""COMPUTED_VALUE"""),"RUN-FLMP_2021-10-10_APS-057")</f>
        <v>RUN-FLMP_2021-10-10_APS-057</v>
      </c>
      <c r="AI58" s="96">
        <f t="shared" si="7"/>
        <v>3</v>
      </c>
      <c r="AJ58" s="86"/>
    </row>
    <row r="59">
      <c r="A59" s="8" t="s">
        <v>90</v>
      </c>
      <c r="B59" s="14">
        <v>44482.0</v>
      </c>
      <c r="C59" s="88" t="b">
        <f t="shared" si="2"/>
        <v>1</v>
      </c>
      <c r="D59" s="16" t="str">
        <f t="array" ref="D59">IF(OR(ISBLANK($A59),$C59),IFERROR(0/0,""),INDEX('RFR Data - preExcl'!E$2:E923,$R59,1))</f>
        <v/>
      </c>
      <c r="E59" s="16" t="str">
        <f t="array" ref="E59">IF(OR(ISBLANK($A59),$C59),IFERROR(0/0,""),INDEX('RFR Data - preExcl'!Z$2:Z923,$R59,1))</f>
        <v/>
      </c>
      <c r="F59" s="16" t="str">
        <f t="array" ref="F59">IF(OR(ISBLANK(A59),C59),IFERROR(0/0,""),INDEX('RFR Data - preExcl'!AC$2:AC923,$R59,1))</f>
        <v/>
      </c>
      <c r="G59" s="16" t="str">
        <f t="array" ref="G59">IF(OR(ISBLANK(A59),C59),IFERROR(0/0,""),INDEX('RFR Data - preExcl'!AK$2:AK923,$R59,1))</f>
        <v/>
      </c>
      <c r="H59" s="16" t="str">
        <f t="array" ref="H59">IF(OR(ISBLANK(A59),C59),IFERROR(0/0,""),INDEX('RFR Data - preExcl'!AL$2:AL923,$R59,1))</f>
        <v/>
      </c>
      <c r="I59" s="16">
        <f>IFERROR(VLOOKUP($B59,'APS Tubes by Date IMPORT'!$B$2:$J923,2,FALSE),"")</f>
        <v>2</v>
      </c>
      <c r="J59" s="16" t="str">
        <f>IFERROR(VLOOKUP($B59,'APS Tubes by Date IMPORT'!$B$2:$J923,9,FALSE),"")</f>
        <v/>
      </c>
      <c r="K59" s="16">
        <f>IFNA(VLOOKUP($B59,'APS Tubes by Date IMPORT'!$B$2:$J923,6,FALSE),"")</f>
        <v>0</v>
      </c>
      <c r="L59" s="89">
        <f t="shared" si="3"/>
        <v>2</v>
      </c>
      <c r="M59" s="16">
        <f t="shared" si="4"/>
        <v>0</v>
      </c>
      <c r="N59" s="90">
        <v>3.4</v>
      </c>
      <c r="O59" s="30" t="b">
        <f t="shared" si="5"/>
        <v>1</v>
      </c>
      <c r="P59" s="91" t="str">
        <f>IF(ISBLANK(N59),IFERROR(0/0,""),IFERROR(VLOOKUP(N59, 'Process Ref'!$A$76:$D$122, 2, FALSE), IFERROR(0/0,"")))</f>
        <v>Add Run from APS with no RFR (assume run on same day as Collect, ignore Result day)</v>
      </c>
      <c r="R59" s="92" t="str">
        <f>IFNA(MATCH(A59,'RFR Data - preExcl'!A$2:A923,0),"")</f>
        <v/>
      </c>
      <c r="S59" s="54"/>
      <c r="T59" s="30" t="str">
        <f>IF(EXACT('RFR Data - preExcl'!W59,"Initial"),'RFR Data - preExcl'!A59,IFERROR(0/0,""))</f>
        <v>RUN-FLMP_2022-01-17_RFR-063</v>
      </c>
      <c r="U59" s="93">
        <f>IF(EXACT('RFR Data - preExcl'!W59,"Initial"),'RFR Data - preExcl'!U59,IFERROR(0/0,""))</f>
        <v>44578</v>
      </c>
      <c r="W59" s="104"/>
      <c r="X59" s="86"/>
      <c r="Y59" s="102"/>
      <c r="Z59" s="103"/>
      <c r="AG59" s="86"/>
      <c r="AH59" s="101" t="str">
        <f>IFERROR(__xludf.DUMMYFUNCTION("""COMPUTED_VALUE"""),"RUN-FLMP_2021-10-13_APS-058")</f>
        <v>RUN-FLMP_2021-10-13_APS-058</v>
      </c>
      <c r="AI59" s="96">
        <f t="shared" si="7"/>
        <v>2</v>
      </c>
      <c r="AJ59" s="86"/>
    </row>
    <row r="60">
      <c r="A60" s="8" t="s">
        <v>91</v>
      </c>
      <c r="B60" s="14">
        <v>44485.0</v>
      </c>
      <c r="C60" s="88" t="b">
        <f t="shared" si="2"/>
        <v>1</v>
      </c>
      <c r="D60" s="16" t="str">
        <f t="array" ref="D60">IF(OR(ISBLANK($A60),$C60),IFERROR(0/0,""),INDEX('RFR Data - preExcl'!E$2:E923,$R60,1))</f>
        <v/>
      </c>
      <c r="E60" s="16" t="str">
        <f t="array" ref="E60">IF(OR(ISBLANK($A60),$C60),IFERROR(0/0,""),INDEX('RFR Data - preExcl'!Z$2:Z923,$R60,1))</f>
        <v/>
      </c>
      <c r="F60" s="16" t="str">
        <f t="array" ref="F60">IF(OR(ISBLANK(A60),C60),IFERROR(0/0,""),INDEX('RFR Data - preExcl'!AC$2:AC923,$R60,1))</f>
        <v/>
      </c>
      <c r="G60" s="16" t="str">
        <f t="array" ref="G60">IF(OR(ISBLANK(A60),C60),IFERROR(0/0,""),INDEX('RFR Data - preExcl'!AK$2:AK923,$R60,1))</f>
        <v/>
      </c>
      <c r="H60" s="16" t="str">
        <f t="array" ref="H60">IF(OR(ISBLANK(A60),C60),IFERROR(0/0,""),INDEX('RFR Data - preExcl'!AL$2:AL923,$R60,1))</f>
        <v/>
      </c>
      <c r="I60" s="16">
        <f>IFERROR(VLOOKUP($B60,'APS Tubes by Date IMPORT'!$B$2:$J923,2,FALSE),"")</f>
        <v>3</v>
      </c>
      <c r="J60" s="16" t="b">
        <f>IFERROR(VLOOKUP($B60,'APS Tubes by Date IMPORT'!$B$2:$J923,9,FALSE),"")</f>
        <v>1</v>
      </c>
      <c r="K60" s="16">
        <f>IFNA(VLOOKUP($B60,'APS Tubes by Date IMPORT'!$B$2:$J923,6,FALSE),"")</f>
        <v>0</v>
      </c>
      <c r="L60" s="89">
        <f t="shared" si="3"/>
        <v>3</v>
      </c>
      <c r="M60" s="16">
        <f t="shared" si="4"/>
        <v>0</v>
      </c>
      <c r="N60" s="90">
        <v>3.4</v>
      </c>
      <c r="O60" s="30" t="b">
        <f t="shared" si="5"/>
        <v>1</v>
      </c>
      <c r="P60" s="91" t="str">
        <f>IF(ISBLANK(N60),IFERROR(0/0,""),IFERROR(VLOOKUP(N60, 'Process Ref'!$A$76:$D$122, 2, FALSE), IFERROR(0/0,"")))</f>
        <v>Add Run from APS with no RFR (assume run on same day as Collect, ignore Result day)</v>
      </c>
      <c r="R60" s="92" t="str">
        <f>IFNA(MATCH(A60,'RFR Data - preExcl'!A$2:A923,0),"")</f>
        <v/>
      </c>
      <c r="S60" s="54"/>
      <c r="T60" s="30" t="str">
        <f>IF(EXACT('RFR Data - preExcl'!W60,"Initial"),'RFR Data - preExcl'!A60,IFERROR(0/0,""))</f>
        <v/>
      </c>
      <c r="U60" s="30" t="str">
        <f>IF(EXACT('RFR Data - preExcl'!W60,"Initial"),'RFR Data - preExcl'!U60,IFERROR(0/0,""))</f>
        <v/>
      </c>
      <c r="W60" s="102"/>
      <c r="X60" s="86"/>
      <c r="Y60" s="102"/>
      <c r="Z60" s="103"/>
      <c r="AG60" s="86"/>
      <c r="AH60" s="101" t="str">
        <f>IFERROR(__xludf.DUMMYFUNCTION("""COMPUTED_VALUE"""),"RUN-FLMP_2021-10-16_APS-059")</f>
        <v>RUN-FLMP_2021-10-16_APS-059</v>
      </c>
      <c r="AI60" s="96">
        <f t="shared" si="7"/>
        <v>3</v>
      </c>
      <c r="AJ60" s="86"/>
    </row>
    <row r="61">
      <c r="A61" s="8" t="s">
        <v>92</v>
      </c>
      <c r="B61" s="14">
        <v>44488.0</v>
      </c>
      <c r="C61" s="88" t="b">
        <f t="shared" si="2"/>
        <v>1</v>
      </c>
      <c r="D61" s="16" t="str">
        <f t="array" ref="D61">IF(OR(ISBLANK($A61),$C61),IFERROR(0/0,""),INDEX('RFR Data - preExcl'!E$2:E923,$R61,1))</f>
        <v/>
      </c>
      <c r="E61" s="16" t="str">
        <f t="array" ref="E61">IF(OR(ISBLANK($A61),$C61),IFERROR(0/0,""),INDEX('RFR Data - preExcl'!Z$2:Z923,$R61,1))</f>
        <v/>
      </c>
      <c r="F61" s="16" t="str">
        <f t="array" ref="F61">IF(OR(ISBLANK(A61),C61),IFERROR(0/0,""),INDEX('RFR Data - preExcl'!AC$2:AC923,$R61,1))</f>
        <v/>
      </c>
      <c r="G61" s="16" t="str">
        <f t="array" ref="G61">IF(OR(ISBLANK(A61),C61),IFERROR(0/0,""),INDEX('RFR Data - preExcl'!AK$2:AK923,$R61,1))</f>
        <v/>
      </c>
      <c r="H61" s="16" t="str">
        <f t="array" ref="H61">IF(OR(ISBLANK(A61),C61),IFERROR(0/0,""),INDEX('RFR Data - preExcl'!AL$2:AL923,$R61,1))</f>
        <v/>
      </c>
      <c r="I61" s="16">
        <f>IFERROR(VLOOKUP($B61,'APS Tubes by Date IMPORT'!$B$2:$J923,2,FALSE),"")</f>
        <v>2</v>
      </c>
      <c r="J61" s="16" t="str">
        <f>IFERROR(VLOOKUP($B61,'APS Tubes by Date IMPORT'!$B$2:$J923,9,FALSE),"")</f>
        <v/>
      </c>
      <c r="K61" s="16">
        <f>IFNA(VLOOKUP($B61,'APS Tubes by Date IMPORT'!$B$2:$J923,6,FALSE),"")</f>
        <v>0</v>
      </c>
      <c r="L61" s="89">
        <f t="shared" si="3"/>
        <v>2</v>
      </c>
      <c r="M61" s="16">
        <f t="shared" si="4"/>
        <v>0</v>
      </c>
      <c r="N61" s="90">
        <v>3.4</v>
      </c>
      <c r="O61" s="30" t="b">
        <f t="shared" si="5"/>
        <v>1</v>
      </c>
      <c r="P61" s="91" t="str">
        <f>IF(ISBLANK(N61),IFERROR(0/0,""),IFERROR(VLOOKUP(N61, 'Process Ref'!$A$76:$D$122, 2, FALSE), IFERROR(0/0,"")))</f>
        <v>Add Run from APS with no RFR (assume run on same day as Collect, ignore Result day)</v>
      </c>
      <c r="R61" s="92" t="str">
        <f>IFNA(MATCH(A61,'RFR Data - preExcl'!A$2:A923,0),"")</f>
        <v/>
      </c>
      <c r="S61" s="54"/>
      <c r="T61" s="30" t="str">
        <f>IF(EXACT('RFR Data - preExcl'!W61,"Initial"),'RFR Data - preExcl'!A61,IFERROR(0/0,""))</f>
        <v>RUN-FLMP_2022-01-18_RFR-065</v>
      </c>
      <c r="U61" s="93">
        <f>IF(EXACT('RFR Data - preExcl'!W61,"Initial"),'RFR Data - preExcl'!U61,IFERROR(0/0,""))</f>
        <v>44579</v>
      </c>
      <c r="W61" s="102"/>
      <c r="X61" s="86"/>
      <c r="Y61" s="102"/>
      <c r="Z61" s="103"/>
      <c r="AG61" s="86"/>
      <c r="AH61" s="101" t="str">
        <f>IFERROR(__xludf.DUMMYFUNCTION("""COMPUTED_VALUE"""),"RUN-FLMP_2021-10-19_APS-060")</f>
        <v>RUN-FLMP_2021-10-19_APS-060</v>
      </c>
      <c r="AI61" s="96">
        <f t="shared" si="7"/>
        <v>2</v>
      </c>
      <c r="AJ61" s="86"/>
    </row>
    <row r="62">
      <c r="A62" s="8" t="s">
        <v>93</v>
      </c>
      <c r="B62" s="14">
        <v>44490.0</v>
      </c>
      <c r="C62" s="88" t="b">
        <f t="shared" si="2"/>
        <v>1</v>
      </c>
      <c r="D62" s="16" t="str">
        <f t="array" ref="D62">IF(OR(ISBLANK($A62),$C62),IFERROR(0/0,""),INDEX('RFR Data - preExcl'!E$2:E923,$R62,1))</f>
        <v/>
      </c>
      <c r="E62" s="16" t="str">
        <f t="array" ref="E62">IF(OR(ISBLANK($A62),$C62),IFERROR(0/0,""),INDEX('RFR Data - preExcl'!Z$2:Z923,$R62,1))</f>
        <v/>
      </c>
      <c r="F62" s="16" t="str">
        <f t="array" ref="F62">IF(OR(ISBLANK(A62),C62),IFERROR(0/0,""),INDEX('RFR Data - preExcl'!AC$2:AC923,$R62,1))</f>
        <v/>
      </c>
      <c r="G62" s="16" t="str">
        <f t="array" ref="G62">IF(OR(ISBLANK(A62),C62),IFERROR(0/0,""),INDEX('RFR Data - preExcl'!AK$2:AK923,$R62,1))</f>
        <v/>
      </c>
      <c r="H62" s="16" t="str">
        <f t="array" ref="H62">IF(OR(ISBLANK(A62),C62),IFERROR(0/0,""),INDEX('RFR Data - preExcl'!AL$2:AL923,$R62,1))</f>
        <v/>
      </c>
      <c r="I62" s="16">
        <f>IFERROR(VLOOKUP($B62,'APS Tubes by Date IMPORT'!$B$2:$J923,2,FALSE),"")</f>
        <v>3</v>
      </c>
      <c r="J62" s="16" t="str">
        <f>IFERROR(VLOOKUP($B62,'APS Tubes by Date IMPORT'!$B$2:$J923,9,FALSE),"")</f>
        <v/>
      </c>
      <c r="K62" s="16">
        <f>IFNA(VLOOKUP($B62,'APS Tubes by Date IMPORT'!$B$2:$J923,6,FALSE),"")</f>
        <v>0</v>
      </c>
      <c r="L62" s="89">
        <f t="shared" si="3"/>
        <v>3</v>
      </c>
      <c r="M62" s="16">
        <f t="shared" si="4"/>
        <v>0</v>
      </c>
      <c r="N62" s="90">
        <v>3.4</v>
      </c>
      <c r="O62" s="30" t="b">
        <f t="shared" si="5"/>
        <v>1</v>
      </c>
      <c r="P62" s="91" t="str">
        <f>IF(ISBLANK(N62),IFERROR(0/0,""),IFERROR(VLOOKUP(N62, 'Process Ref'!$A$76:$D$122, 2, FALSE), IFERROR(0/0,"")))</f>
        <v>Add Run from APS with no RFR (assume run on same day as Collect, ignore Result day)</v>
      </c>
      <c r="R62" s="92" t="str">
        <f>IFNA(MATCH(A62,'RFR Data - preExcl'!A$2:A923,0),"")</f>
        <v/>
      </c>
      <c r="S62" s="54"/>
      <c r="T62" s="30" t="str">
        <f>IF(EXACT('RFR Data - preExcl'!W62,"Initial"),'RFR Data - preExcl'!A62,IFERROR(0/0,""))</f>
        <v>RUN-FLMP_2022-01-18_RFR-066</v>
      </c>
      <c r="U62" s="93">
        <f>IF(EXACT('RFR Data - preExcl'!W62,"Initial"),'RFR Data - preExcl'!U62,IFERROR(0/0,""))</f>
        <v>44579</v>
      </c>
      <c r="W62" s="102"/>
      <c r="X62" s="86"/>
      <c r="Y62" s="102"/>
      <c r="Z62" s="103"/>
      <c r="AG62" s="86"/>
      <c r="AH62" s="101" t="str">
        <f>IFERROR(__xludf.DUMMYFUNCTION("""COMPUTED_VALUE"""),"RUN-FLMP_2021-10-21_APS-061")</f>
        <v>RUN-FLMP_2021-10-21_APS-061</v>
      </c>
      <c r="AI62" s="96">
        <f t="shared" si="7"/>
        <v>3</v>
      </c>
      <c r="AJ62" s="86"/>
    </row>
    <row r="63">
      <c r="A63" s="8" t="s">
        <v>94</v>
      </c>
      <c r="B63" s="14">
        <v>44492.0</v>
      </c>
      <c r="C63" s="88" t="b">
        <f t="shared" si="2"/>
        <v>1</v>
      </c>
      <c r="D63" s="16" t="str">
        <f t="array" ref="D63">IF(OR(ISBLANK($A63),$C63),IFERROR(0/0,""),INDEX('RFR Data - preExcl'!E$2:E923,$R63,1))</f>
        <v/>
      </c>
      <c r="E63" s="16" t="str">
        <f t="array" ref="E63">IF(OR(ISBLANK($A63),$C63),IFERROR(0/0,""),INDEX('RFR Data - preExcl'!Z$2:Z923,$R63,1))</f>
        <v/>
      </c>
      <c r="F63" s="16" t="str">
        <f t="array" ref="F63">IF(OR(ISBLANK(A63),C63),IFERROR(0/0,""),INDEX('RFR Data - preExcl'!AC$2:AC923,$R63,1))</f>
        <v/>
      </c>
      <c r="G63" s="16" t="str">
        <f t="array" ref="G63">IF(OR(ISBLANK(A63),C63),IFERROR(0/0,""),INDEX('RFR Data - preExcl'!AK$2:AK923,$R63,1))</f>
        <v/>
      </c>
      <c r="H63" s="16" t="str">
        <f t="array" ref="H63">IF(OR(ISBLANK(A63),C63),IFERROR(0/0,""),INDEX('RFR Data - preExcl'!AL$2:AL923,$R63,1))</f>
        <v/>
      </c>
      <c r="I63" s="16">
        <f>IFERROR(VLOOKUP($B63,'APS Tubes by Date IMPORT'!$B$2:$J923,2,FALSE),"")</f>
        <v>3</v>
      </c>
      <c r="J63" s="16" t="str">
        <f>IFERROR(VLOOKUP($B63,'APS Tubes by Date IMPORT'!$B$2:$J923,9,FALSE),"")</f>
        <v/>
      </c>
      <c r="K63" s="16">
        <f>IFNA(VLOOKUP($B63,'APS Tubes by Date IMPORT'!$B$2:$J923,6,FALSE),"")</f>
        <v>0</v>
      </c>
      <c r="L63" s="89">
        <f t="shared" si="3"/>
        <v>3</v>
      </c>
      <c r="M63" s="16">
        <f t="shared" si="4"/>
        <v>0</v>
      </c>
      <c r="N63" s="90">
        <v>3.4</v>
      </c>
      <c r="O63" s="30" t="b">
        <f t="shared" si="5"/>
        <v>1</v>
      </c>
      <c r="P63" s="91" t="str">
        <f>IF(ISBLANK(N63),IFERROR(0/0,""),IFERROR(VLOOKUP(N63, 'Process Ref'!$A$76:$D$122, 2, FALSE), IFERROR(0/0,"")))</f>
        <v>Add Run from APS with no RFR (assume run on same day as Collect, ignore Result day)</v>
      </c>
      <c r="R63" s="92" t="str">
        <f>IFNA(MATCH(A63,'RFR Data - preExcl'!A$2:A923,0),"")</f>
        <v/>
      </c>
      <c r="S63" s="54"/>
      <c r="T63" s="30" t="str">
        <f>IF(EXACT('RFR Data - preExcl'!W63,"Initial"),'RFR Data - preExcl'!A63,IFERROR(0/0,""))</f>
        <v>RUN-FLMP_2022-01-20_RFR-067</v>
      </c>
      <c r="U63" s="93">
        <f>IF(EXACT('RFR Data - preExcl'!W63,"Initial"),'RFR Data - preExcl'!U63,IFERROR(0/0,""))</f>
        <v>44581</v>
      </c>
      <c r="W63" s="102"/>
      <c r="X63" s="86"/>
      <c r="Y63" s="102"/>
      <c r="Z63" s="103"/>
      <c r="AG63" s="86"/>
      <c r="AH63" s="101" t="str">
        <f>IFERROR(__xludf.DUMMYFUNCTION("""COMPUTED_VALUE"""),"RUN-FLMP_2021-10-23_APS-062")</f>
        <v>RUN-FLMP_2021-10-23_APS-062</v>
      </c>
      <c r="AI63" s="96">
        <f t="shared" si="7"/>
        <v>3</v>
      </c>
      <c r="AJ63" s="86"/>
    </row>
    <row r="64">
      <c r="A64" s="8" t="s">
        <v>95</v>
      </c>
      <c r="B64" s="14">
        <v>44499.0</v>
      </c>
      <c r="C64" s="88" t="b">
        <f t="shared" si="2"/>
        <v>1</v>
      </c>
      <c r="D64" s="16" t="str">
        <f t="array" ref="D64">IF(OR(ISBLANK($A64),$C64),IFERROR(0/0,""),INDEX('RFR Data - preExcl'!E$2:E923,$R64,1))</f>
        <v/>
      </c>
      <c r="E64" s="16" t="str">
        <f t="array" ref="E64">IF(OR(ISBLANK($A64),$C64),IFERROR(0/0,""),INDEX('RFR Data - preExcl'!Z$2:Z923,$R64,1))</f>
        <v/>
      </c>
      <c r="F64" s="16" t="str">
        <f t="array" ref="F64">IF(OR(ISBLANK(A64),C64),IFERROR(0/0,""),INDEX('RFR Data - preExcl'!AC$2:AC923,$R64,1))</f>
        <v/>
      </c>
      <c r="G64" s="16" t="str">
        <f t="array" ref="G64">IF(OR(ISBLANK(A64),C64),IFERROR(0/0,""),INDEX('RFR Data - preExcl'!AK$2:AK923,$R64,1))</f>
        <v/>
      </c>
      <c r="H64" s="16" t="str">
        <f t="array" ref="H64">IF(OR(ISBLANK(A64),C64),IFERROR(0/0,""),INDEX('RFR Data - preExcl'!AL$2:AL923,$R64,1))</f>
        <v/>
      </c>
      <c r="I64" s="16">
        <f>IFERROR(VLOOKUP($B64,'APS Tubes by Date IMPORT'!$B$2:$J923,2,FALSE),"")</f>
        <v>2</v>
      </c>
      <c r="J64" s="16" t="b">
        <f>IFERROR(VLOOKUP($B64,'APS Tubes by Date IMPORT'!$B$2:$J923,9,FALSE),"")</f>
        <v>1</v>
      </c>
      <c r="K64" s="16">
        <f>IFNA(VLOOKUP($B64,'APS Tubes by Date IMPORT'!$B$2:$J923,6,FALSE),"")</f>
        <v>0</v>
      </c>
      <c r="L64" s="89">
        <f t="shared" si="3"/>
        <v>2</v>
      </c>
      <c r="M64" s="16">
        <f t="shared" si="4"/>
        <v>0</v>
      </c>
      <c r="N64" s="90">
        <v>3.4</v>
      </c>
      <c r="O64" s="30" t="b">
        <f t="shared" si="5"/>
        <v>1</v>
      </c>
      <c r="P64" s="91" t="str">
        <f>IF(ISBLANK(N64),IFERROR(0/0,""),IFERROR(VLOOKUP(N64, 'Process Ref'!$A$76:$D$122, 2, FALSE), IFERROR(0/0,"")))</f>
        <v>Add Run from APS with no RFR (assume run on same day as Collect, ignore Result day)</v>
      </c>
      <c r="R64" s="92" t="str">
        <f>IFNA(MATCH(A64,'RFR Data - preExcl'!A$2:A923,0),"")</f>
        <v/>
      </c>
      <c r="S64" s="54"/>
      <c r="T64" s="30" t="str">
        <f>IF(EXACT('RFR Data - preExcl'!W64,"Initial"),'RFR Data - preExcl'!A64,IFERROR(0/0,""))</f>
        <v/>
      </c>
      <c r="U64" s="30" t="str">
        <f>IF(EXACT('RFR Data - preExcl'!W64,"Initial"),'RFR Data - preExcl'!U64,IFERROR(0/0,""))</f>
        <v/>
      </c>
      <c r="W64" s="102"/>
      <c r="X64" s="86"/>
      <c r="Z64" s="103"/>
      <c r="AG64" s="86"/>
      <c r="AH64" s="101" t="str">
        <f>IFERROR(__xludf.DUMMYFUNCTION("""COMPUTED_VALUE"""),"RUN-FLMP_2021-10-30_APS-063")</f>
        <v>RUN-FLMP_2021-10-30_APS-063</v>
      </c>
      <c r="AI64" s="96">
        <f t="shared" si="7"/>
        <v>2</v>
      </c>
      <c r="AJ64" s="86"/>
    </row>
    <row r="65">
      <c r="A65" s="8" t="s">
        <v>96</v>
      </c>
      <c r="B65" s="14">
        <v>44501.0</v>
      </c>
      <c r="C65" s="88" t="str">
        <f t="shared" si="2"/>
        <v/>
      </c>
      <c r="D65" s="16">
        <f t="array" ref="D65">IF(OR(ISBLANK($A65),$C65),IFERROR(0/0,""),INDEX('RFR Data - preExcl'!E$2:E923,$R65,1))</f>
        <v>3</v>
      </c>
      <c r="E65" s="16">
        <f t="array" ref="E65">IF(OR(ISBLANK($A65),$C65),IFERROR(0/0,""),INDEX('RFR Data - preExcl'!Z$2:Z923,$R65,1))</f>
        <v>4</v>
      </c>
      <c r="F65" s="16">
        <f t="array" ref="F65">IF(OR(ISBLANK(A65),C65),IFERROR(0/0,""),INDEX('RFR Data - preExcl'!AC$2:AC923,$R65,1))</f>
        <v>3</v>
      </c>
      <c r="G65" s="16">
        <f t="array" ref="G65">IF(OR(ISBLANK(A65),C65),IFERROR(0/0,""),INDEX('RFR Data - preExcl'!AK$2:AK923,$R65,1))</f>
        <v>3</v>
      </c>
      <c r="H65" s="16">
        <f t="array" ref="H65">IF(OR(ISBLANK(A65),C65),IFERROR(0/0,""),INDEX('RFR Data - preExcl'!AL$2:AL923,$R65,1))</f>
        <v>0</v>
      </c>
      <c r="I65" s="16">
        <f>IFERROR(VLOOKUP($B65,'APS Tubes by Date IMPORT'!$B$2:$J923,2,FALSE),"")</f>
        <v>3</v>
      </c>
      <c r="J65" s="16" t="b">
        <f>IFERROR(VLOOKUP($B65,'APS Tubes by Date IMPORT'!$B$2:$J923,9,FALSE),"")</f>
        <v>1</v>
      </c>
      <c r="K65" s="16">
        <f>IFNA(VLOOKUP($B65,'APS Tubes by Date IMPORT'!$B$2:$J923,6,FALSE),"")</f>
        <v>0</v>
      </c>
      <c r="L65" s="89">
        <f t="shared" si="3"/>
        <v>3</v>
      </c>
      <c r="M65" s="16">
        <f t="shared" si="4"/>
        <v>0</v>
      </c>
      <c r="N65" s="90">
        <v>3.4</v>
      </c>
      <c r="O65" s="30" t="b">
        <f t="shared" si="5"/>
        <v>1</v>
      </c>
      <c r="P65" s="91" t="str">
        <f>IF(ISBLANK(N65),IFERROR(0/0,""),IFERROR(VLOOKUP(N65, 'Process Ref'!$A$76:$D$122, 2, FALSE), IFERROR(0/0,"")))</f>
        <v>Add Run from APS with no RFR (assume run on same day as Collect, ignore Result day)</v>
      </c>
      <c r="R65" s="92">
        <f>IFNA(MATCH(A65,'RFR Data - preExcl'!A$2:A923,0),"")</f>
        <v>1</v>
      </c>
      <c r="S65" s="54"/>
      <c r="T65" s="30" t="str">
        <f>IF(EXACT('RFR Data - preExcl'!W65,"Initial"),'RFR Data - preExcl'!A65,IFERROR(0/0,""))</f>
        <v>RUN-FLMP_2022-01-20_RFR-070</v>
      </c>
      <c r="U65" s="93">
        <f>IF(EXACT('RFR Data - preExcl'!W65,"Initial"),'RFR Data - preExcl'!U65,IFERROR(0/0,""))</f>
        <v>44581</v>
      </c>
      <c r="W65" s="102"/>
      <c r="X65" s="86"/>
      <c r="Z65" s="103"/>
      <c r="AG65" s="86"/>
      <c r="AH65" s="101" t="str">
        <f>IFERROR(__xludf.DUMMYFUNCTION("""COMPUTED_VALUE"""),"RUN-FLMP_2021-11-03_APS-064")</f>
        <v>RUN-FLMP_2021-11-03_APS-064</v>
      </c>
      <c r="AI65" s="96">
        <f t="shared" si="7"/>
        <v>2</v>
      </c>
      <c r="AJ65" s="86"/>
    </row>
    <row r="66">
      <c r="A66" s="8" t="s">
        <v>97</v>
      </c>
      <c r="B66" s="14">
        <v>44502.0</v>
      </c>
      <c r="C66" s="88" t="str">
        <f t="shared" si="2"/>
        <v/>
      </c>
      <c r="D66" s="16">
        <f t="array" ref="D66">IF(OR(ISBLANK($A66),$C66),IFERROR(0/0,""),INDEX('RFR Data - preExcl'!E$2:E923,$R66,1))</f>
        <v>2</v>
      </c>
      <c r="E66" s="16">
        <f t="array" ref="E66">IF(OR(ISBLANK($A66),$C66),IFERROR(0/0,""),INDEX('RFR Data - preExcl'!Z$2:Z923,$R66,1))</f>
        <v>4</v>
      </c>
      <c r="F66" s="16">
        <f t="array" ref="F66">IF(OR(ISBLANK(A66),C66),IFERROR(0/0,""),INDEX('RFR Data - preExcl'!AC$2:AC923,$R66,1))</f>
        <v>2</v>
      </c>
      <c r="G66" s="16">
        <f t="array" ref="G66">IF(OR(ISBLANK(A66),C66),IFERROR(0/0,""),INDEX('RFR Data - preExcl'!AK$2:AK923,$R66,1))</f>
        <v>2</v>
      </c>
      <c r="H66" s="16">
        <f t="array" ref="H66">IF(OR(ISBLANK(A66),C66),IFERROR(0/0,""),INDEX('RFR Data - preExcl'!AL$2:AL923,$R66,1))</f>
        <v>0</v>
      </c>
      <c r="I66" s="16">
        <f>IFERROR(VLOOKUP($B66,'APS Tubes by Date IMPORT'!$B$2:$J923,2,FALSE),"")</f>
        <v>2</v>
      </c>
      <c r="J66" s="16" t="b">
        <f>IFERROR(VLOOKUP($B66,'APS Tubes by Date IMPORT'!$B$2:$J923,9,FALSE),"")</f>
        <v>1</v>
      </c>
      <c r="K66" s="16">
        <f>IFNA(VLOOKUP($B66,'APS Tubes by Date IMPORT'!$B$2:$J923,6,FALSE),"")</f>
        <v>0</v>
      </c>
      <c r="L66" s="89">
        <f t="shared" si="3"/>
        <v>2</v>
      </c>
      <c r="M66" s="16">
        <f t="shared" si="4"/>
        <v>0</v>
      </c>
      <c r="N66" s="90">
        <v>3.4</v>
      </c>
      <c r="O66" s="30" t="b">
        <f t="shared" si="5"/>
        <v>1</v>
      </c>
      <c r="P66" s="91" t="str">
        <f>IF(ISBLANK(N66),IFERROR(0/0,""),IFERROR(VLOOKUP(N66, 'Process Ref'!$A$76:$D$122, 2, FALSE), IFERROR(0/0,"")))</f>
        <v>Add Run from APS with no RFR (assume run on same day as Collect, ignore Result day)</v>
      </c>
      <c r="R66" s="92">
        <f>IFNA(MATCH(A66,'RFR Data - preExcl'!A$2:A923,0),"")</f>
        <v>2</v>
      </c>
      <c r="S66" s="54"/>
      <c r="T66" s="30" t="str">
        <f>IF(EXACT('RFR Data - preExcl'!W66,"Initial"),'RFR Data - preExcl'!A66,IFERROR(0/0,""))</f>
        <v>RUN-FLMP_2022-01-22_RFR-071</v>
      </c>
      <c r="U66" s="93">
        <f>IF(EXACT('RFR Data - preExcl'!W66,"Initial"),'RFR Data - preExcl'!U66,IFERROR(0/0,""))</f>
        <v>44583</v>
      </c>
      <c r="W66" s="102"/>
      <c r="X66" s="86"/>
      <c r="Z66" s="103"/>
      <c r="AG66" s="86"/>
      <c r="AH66" s="101" t="str">
        <f>IFERROR(__xludf.DUMMYFUNCTION("""COMPUTED_VALUE"""),"RUN-FLMP_2021-11-05_APS-065")</f>
        <v>RUN-FLMP_2021-11-05_APS-065</v>
      </c>
      <c r="AI66" s="96">
        <f t="shared" si="7"/>
        <v>2</v>
      </c>
      <c r="AJ66" s="86"/>
    </row>
    <row r="67">
      <c r="A67" s="8" t="s">
        <v>98</v>
      </c>
      <c r="B67" s="14">
        <v>44503.0</v>
      </c>
      <c r="C67" s="88" t="b">
        <f t="shared" si="2"/>
        <v>1</v>
      </c>
      <c r="D67" s="16" t="str">
        <f t="array" ref="D67">IF(OR(ISBLANK($A67),$C67),IFERROR(0/0,""),INDEX('RFR Data - preExcl'!E$2:E923,$R67,1))</f>
        <v/>
      </c>
      <c r="E67" s="16" t="str">
        <f t="array" ref="E67">IF(OR(ISBLANK($A67),$C67),IFERROR(0/0,""),INDEX('RFR Data - preExcl'!Z$2:Z923,$R67,1))</f>
        <v/>
      </c>
      <c r="F67" s="16" t="str">
        <f t="array" ref="F67">IF(OR(ISBLANK(A67),C67),IFERROR(0/0,""),INDEX('RFR Data - preExcl'!AC$2:AC923,$R67,1))</f>
        <v/>
      </c>
      <c r="G67" s="16" t="str">
        <f t="array" ref="G67">IF(OR(ISBLANK(A67),C67),IFERROR(0/0,""),INDEX('RFR Data - preExcl'!AK$2:AK923,$R67,1))</f>
        <v/>
      </c>
      <c r="H67" s="16" t="str">
        <f t="array" ref="H67">IF(OR(ISBLANK(A67),C67),IFERROR(0/0,""),INDEX('RFR Data - preExcl'!AL$2:AL923,$R67,1))</f>
        <v/>
      </c>
      <c r="I67" s="16">
        <f>IFERROR(VLOOKUP($B67,'APS Tubes by Date IMPORT'!$B$2:$J923,2,FALSE),"")</f>
        <v>2</v>
      </c>
      <c r="J67" s="16" t="b">
        <f>IFERROR(VLOOKUP($B67,'APS Tubes by Date IMPORT'!$B$2:$J923,9,FALSE),"")</f>
        <v>1</v>
      </c>
      <c r="K67" s="16">
        <f>IFNA(VLOOKUP($B67,'APS Tubes by Date IMPORT'!$B$2:$J923,6,FALSE),"")</f>
        <v>0</v>
      </c>
      <c r="L67" s="89">
        <f t="shared" si="3"/>
        <v>2</v>
      </c>
      <c r="M67" s="16">
        <f t="shared" si="4"/>
        <v>0</v>
      </c>
      <c r="N67" s="90">
        <v>3.4</v>
      </c>
      <c r="O67" s="30" t="b">
        <f t="shared" si="5"/>
        <v>1</v>
      </c>
      <c r="P67" s="91" t="str">
        <f>IF(ISBLANK(N67),IFERROR(0/0,""),IFERROR(VLOOKUP(N67, 'Process Ref'!$A$76:$D$122, 2, FALSE), IFERROR(0/0,"")))</f>
        <v>Add Run from APS with no RFR (assume run on same day as Collect, ignore Result day)</v>
      </c>
      <c r="Q67" s="18" t="s">
        <v>301</v>
      </c>
      <c r="R67" s="92" t="str">
        <f>IFNA(MATCH(A67,'RFR Data - preExcl'!A$2:A923,0),"")</f>
        <v/>
      </c>
      <c r="S67" s="54"/>
      <c r="T67" s="30" t="str">
        <f>IF(EXACT('RFR Data - preExcl'!W67,"Initial"),'RFR Data - preExcl'!A67,IFERROR(0/0,""))</f>
        <v>RUN-FLMP_2022-01-24_RFR-072</v>
      </c>
      <c r="U67" s="93">
        <f>IF(EXACT('RFR Data - preExcl'!W67,"Initial"),'RFR Data - preExcl'!U67,IFERROR(0/0,""))</f>
        <v>44585</v>
      </c>
      <c r="W67" s="102"/>
      <c r="X67" s="86"/>
      <c r="Z67" s="103"/>
      <c r="AG67" s="86"/>
      <c r="AH67" s="101" t="str">
        <f>IFERROR(__xludf.DUMMYFUNCTION("""COMPUTED_VALUE"""),"RUN-FLMP_2021-11-08_APS-066")</f>
        <v>RUN-FLMP_2021-11-08_APS-066</v>
      </c>
      <c r="AI67" s="96">
        <f t="shared" si="7"/>
        <v>2</v>
      </c>
      <c r="AJ67" s="86"/>
    </row>
    <row r="68">
      <c r="A68" s="8" t="s">
        <v>99</v>
      </c>
      <c r="B68" s="14">
        <v>44505.0</v>
      </c>
      <c r="C68" s="88" t="b">
        <f t="shared" si="2"/>
        <v>1</v>
      </c>
      <c r="D68" s="16" t="str">
        <f t="array" ref="D68">IF(OR(ISBLANK($A68),$C68),IFERROR(0/0,""),INDEX('RFR Data - preExcl'!E$2:E923,$R68,1))</f>
        <v/>
      </c>
      <c r="E68" s="16" t="str">
        <f t="array" ref="E68">IF(OR(ISBLANK($A68),$C68),IFERROR(0/0,""),INDEX('RFR Data - preExcl'!Z$2:Z923,$R68,1))</f>
        <v/>
      </c>
      <c r="F68" s="16" t="str">
        <f t="array" ref="F68">IF(OR(ISBLANK(A68),C68),IFERROR(0/0,""),INDEX('RFR Data - preExcl'!AC$2:AC923,$R68,1))</f>
        <v/>
      </c>
      <c r="G68" s="16" t="str">
        <f t="array" ref="G68">IF(OR(ISBLANK(A68),C68),IFERROR(0/0,""),INDEX('RFR Data - preExcl'!AK$2:AK923,$R68,1))</f>
        <v/>
      </c>
      <c r="H68" s="16" t="str">
        <f t="array" ref="H68">IF(OR(ISBLANK(A68),C68),IFERROR(0/0,""),INDEX('RFR Data - preExcl'!AL$2:AL923,$R68,1))</f>
        <v/>
      </c>
      <c r="I68" s="16">
        <f>IFERROR(VLOOKUP($B68,'APS Tubes by Date IMPORT'!$B$2:$J923,2,FALSE),"")</f>
        <v>2</v>
      </c>
      <c r="J68" s="16" t="str">
        <f>IFERROR(VLOOKUP($B68,'APS Tubes by Date IMPORT'!$B$2:$J923,9,FALSE),"")</f>
        <v/>
      </c>
      <c r="K68" s="16">
        <f>IFNA(VLOOKUP($B68,'APS Tubes by Date IMPORT'!$B$2:$J923,6,FALSE),"")</f>
        <v>0</v>
      </c>
      <c r="L68" s="89">
        <f t="shared" si="3"/>
        <v>2</v>
      </c>
      <c r="M68" s="16">
        <f t="shared" si="4"/>
        <v>0</v>
      </c>
      <c r="N68" s="90">
        <v>3.4</v>
      </c>
      <c r="O68" s="30" t="b">
        <f t="shared" si="5"/>
        <v>1</v>
      </c>
      <c r="P68" s="91" t="str">
        <f>IF(ISBLANK(N68),IFERROR(0/0,""),IFERROR(VLOOKUP(N68, 'Process Ref'!$A$76:$D$122, 2, FALSE), IFERROR(0/0,"")))</f>
        <v>Add Run from APS with no RFR (assume run on same day as Collect, ignore Result day)</v>
      </c>
      <c r="R68" s="92" t="str">
        <f>IFNA(MATCH(A68,'RFR Data - preExcl'!A$2:A923,0),"")</f>
        <v/>
      </c>
      <c r="S68" s="54"/>
      <c r="T68" s="30" t="str">
        <f>IF(EXACT('RFR Data - preExcl'!W68,"Initial"),'RFR Data - preExcl'!A68,IFERROR(0/0,""))</f>
        <v/>
      </c>
      <c r="U68" s="30" t="str">
        <f>IF(EXACT('RFR Data - preExcl'!W68,"Initial"),'RFR Data - preExcl'!U68,IFERROR(0/0,""))</f>
        <v/>
      </c>
      <c r="W68" s="102"/>
      <c r="X68" s="86"/>
      <c r="Z68" s="103"/>
      <c r="AG68" s="86"/>
      <c r="AH68" s="101" t="str">
        <f>IFERROR(__xludf.DUMMYFUNCTION("""COMPUTED_VALUE"""),"RUN-FLMP_2021-11-10_APS-067")</f>
        <v>RUN-FLMP_2021-11-10_APS-067</v>
      </c>
      <c r="AI68" s="96">
        <f t="shared" si="7"/>
        <v>2</v>
      </c>
      <c r="AJ68" s="86"/>
    </row>
    <row r="69">
      <c r="A69" s="8" t="s">
        <v>100</v>
      </c>
      <c r="B69" s="14">
        <v>44508.0</v>
      </c>
      <c r="C69" s="88" t="b">
        <f t="shared" si="2"/>
        <v>1</v>
      </c>
      <c r="D69" s="16" t="str">
        <f t="array" ref="D69">IF(OR(ISBLANK($A69),$C69),IFERROR(0/0,""),INDEX('RFR Data - preExcl'!E$2:E923,$R69,1))</f>
        <v/>
      </c>
      <c r="E69" s="16" t="str">
        <f t="array" ref="E69">IF(OR(ISBLANK($A69),$C69),IFERROR(0/0,""),INDEX('RFR Data - preExcl'!Z$2:Z923,$R69,1))</f>
        <v/>
      </c>
      <c r="F69" s="16" t="str">
        <f t="array" ref="F69">IF(OR(ISBLANK(A69),C69),IFERROR(0/0,""),INDEX('RFR Data - preExcl'!AC$2:AC923,$R69,1))</f>
        <v/>
      </c>
      <c r="G69" s="16" t="str">
        <f t="array" ref="G69">IF(OR(ISBLANK(A69),C69),IFERROR(0/0,""),INDEX('RFR Data - preExcl'!AK$2:AK923,$R69,1))</f>
        <v/>
      </c>
      <c r="H69" s="16" t="str">
        <f t="array" ref="H69">IF(OR(ISBLANK(A69),C69),IFERROR(0/0,""),INDEX('RFR Data - preExcl'!AL$2:AL923,$R69,1))</f>
        <v/>
      </c>
      <c r="I69" s="16">
        <f>IFERROR(VLOOKUP($B69,'APS Tubes by Date IMPORT'!$B$2:$J923,2,FALSE),"")</f>
        <v>2</v>
      </c>
      <c r="J69" s="16" t="b">
        <f>IFERROR(VLOOKUP($B69,'APS Tubes by Date IMPORT'!$B$2:$J923,9,FALSE),"")</f>
        <v>1</v>
      </c>
      <c r="K69" s="16">
        <f>IFNA(VLOOKUP($B69,'APS Tubes by Date IMPORT'!$B$2:$J923,6,FALSE),"")</f>
        <v>0</v>
      </c>
      <c r="L69" s="89">
        <f t="shared" si="3"/>
        <v>2</v>
      </c>
      <c r="M69" s="16">
        <f t="shared" si="4"/>
        <v>0</v>
      </c>
      <c r="N69" s="90">
        <v>3.4</v>
      </c>
      <c r="O69" s="30" t="b">
        <f t="shared" si="5"/>
        <v>1</v>
      </c>
      <c r="P69" s="91" t="str">
        <f>IF(ISBLANK(N69),IFERROR(0/0,""),IFERROR(VLOOKUP(N69, 'Process Ref'!$A$76:$D$122, 2, FALSE), IFERROR(0/0,"")))</f>
        <v>Add Run from APS with no RFR (assume run on same day as Collect, ignore Result day)</v>
      </c>
      <c r="R69" s="92" t="str">
        <f>IFNA(MATCH(A69,'RFR Data - preExcl'!A$2:A923,0),"")</f>
        <v/>
      </c>
      <c r="S69" s="54"/>
      <c r="T69" s="30" t="str">
        <f>IF(EXACT('RFR Data - preExcl'!W69,"Initial"),'RFR Data - preExcl'!A69,IFERROR(0/0,""))</f>
        <v>RUN-FLMP_2022-01-25_RFR-074</v>
      </c>
      <c r="U69" s="93">
        <f>IF(EXACT('RFR Data - preExcl'!W69,"Initial"),'RFR Data - preExcl'!U69,IFERROR(0/0,""))</f>
        <v>44586</v>
      </c>
      <c r="W69" s="102"/>
      <c r="X69" s="86"/>
      <c r="Z69" s="103"/>
      <c r="AG69" s="86"/>
      <c r="AH69" s="101" t="str">
        <f>IFERROR(__xludf.DUMMYFUNCTION("""COMPUTED_VALUE"""),"RUN-FLMP_2021-11-15_APS-068")</f>
        <v>RUN-FLMP_2021-11-15_APS-068</v>
      </c>
      <c r="AI69" s="96">
        <f t="shared" si="7"/>
        <v>2</v>
      </c>
      <c r="AJ69" s="86"/>
    </row>
    <row r="70">
      <c r="A70" s="8" t="s">
        <v>101</v>
      </c>
      <c r="B70" s="14">
        <v>44510.0</v>
      </c>
      <c r="C70" s="88" t="b">
        <f t="shared" si="2"/>
        <v>1</v>
      </c>
      <c r="D70" s="16" t="str">
        <f t="array" ref="D70">IF(OR(ISBLANK($A70),$C70),IFERROR(0/0,""),INDEX('RFR Data - preExcl'!E$2:E923,$R70,1))</f>
        <v/>
      </c>
      <c r="E70" s="16" t="str">
        <f t="array" ref="E70">IF(OR(ISBLANK($A70),$C70),IFERROR(0/0,""),INDEX('RFR Data - preExcl'!Z$2:Z923,$R70,1))</f>
        <v/>
      </c>
      <c r="F70" s="16" t="str">
        <f t="array" ref="F70">IF(OR(ISBLANK(A70),C70),IFERROR(0/0,""),INDEX('RFR Data - preExcl'!AC$2:AC923,$R70,1))</f>
        <v/>
      </c>
      <c r="G70" s="16" t="str">
        <f t="array" ref="G70">IF(OR(ISBLANK(A70),C70),IFERROR(0/0,""),INDEX('RFR Data - preExcl'!AK$2:AK923,$R70,1))</f>
        <v/>
      </c>
      <c r="H70" s="16" t="str">
        <f t="array" ref="H70">IF(OR(ISBLANK(A70),C70),IFERROR(0/0,""),INDEX('RFR Data - preExcl'!AL$2:AL923,$R70,1))</f>
        <v/>
      </c>
      <c r="I70" s="16">
        <f>IFERROR(VLOOKUP($B70,'APS Tubes by Date IMPORT'!$B$2:$J923,2,FALSE),"")</f>
        <v>2</v>
      </c>
      <c r="J70" s="16" t="b">
        <f>IFERROR(VLOOKUP($B70,'APS Tubes by Date IMPORT'!$B$2:$J923,9,FALSE),"")</f>
        <v>1</v>
      </c>
      <c r="K70" s="16">
        <f>IFNA(VLOOKUP($B70,'APS Tubes by Date IMPORT'!$B$2:$J923,6,FALSE),"")</f>
        <v>0</v>
      </c>
      <c r="L70" s="89">
        <f t="shared" si="3"/>
        <v>2</v>
      </c>
      <c r="M70" s="16">
        <f t="shared" si="4"/>
        <v>0</v>
      </c>
      <c r="N70" s="90">
        <v>3.4</v>
      </c>
      <c r="O70" s="30" t="b">
        <f t="shared" si="5"/>
        <v>1</v>
      </c>
      <c r="P70" s="91" t="str">
        <f>IF(ISBLANK(N70),IFERROR(0/0,""),IFERROR(VLOOKUP(N70, 'Process Ref'!$A$76:$D$122, 2, FALSE), IFERROR(0/0,"")))</f>
        <v>Add Run from APS with no RFR (assume run on same day as Collect, ignore Result day)</v>
      </c>
      <c r="R70" s="92" t="str">
        <f>IFNA(MATCH(A70,'RFR Data - preExcl'!A$2:A923,0),"")</f>
        <v/>
      </c>
      <c r="S70" s="54"/>
      <c r="T70" s="30" t="str">
        <f>IF(EXACT('RFR Data - preExcl'!W70,"Initial"),'RFR Data - preExcl'!A70,IFERROR(0/0,""))</f>
        <v>RUN-FLMP_2022-01-26_RFR-075</v>
      </c>
      <c r="U70" s="93">
        <f>IF(EXACT('RFR Data - preExcl'!W70,"Initial"),'RFR Data - preExcl'!U70,IFERROR(0/0,""))</f>
        <v>44587</v>
      </c>
      <c r="W70" s="102"/>
      <c r="X70" s="86"/>
      <c r="Z70" s="103"/>
      <c r="AG70" s="86"/>
      <c r="AH70" s="101" t="str">
        <f>IFERROR(__xludf.DUMMYFUNCTION("""COMPUTED_VALUE"""),"RUN-FLMP_2021-11-17_APS-069")</f>
        <v>RUN-FLMP_2021-11-17_APS-069</v>
      </c>
      <c r="AI70" s="96">
        <f t="shared" si="7"/>
        <v>2</v>
      </c>
      <c r="AJ70" s="86"/>
    </row>
    <row r="71">
      <c r="A71" s="8" t="s">
        <v>102</v>
      </c>
      <c r="B71" s="14">
        <v>44512.0</v>
      </c>
      <c r="C71" s="88" t="str">
        <f t="shared" si="2"/>
        <v/>
      </c>
      <c r="D71" s="16">
        <f t="array" ref="D71">IF(OR(ISBLANK($A71),$C71),IFERROR(0/0,""),INDEX('RFR Data - preExcl'!E$2:E923,$R71,1))</f>
        <v>6</v>
      </c>
      <c r="E71" s="16">
        <f t="array" ref="E71">IF(OR(ISBLANK($A71),$C71),IFERROR(0/0,""),INDEX('RFR Data - preExcl'!Z$2:Z923,$R71,1))</f>
        <v>8</v>
      </c>
      <c r="F71" s="16">
        <f t="array" ref="F71">IF(OR(ISBLANK(A71),C71),IFERROR(0/0,""),INDEX('RFR Data - preExcl'!AC$2:AC923,$R71,1))</f>
        <v>6</v>
      </c>
      <c r="G71" s="16">
        <f t="array" ref="G71">IF(OR(ISBLANK(A71),C71),IFERROR(0/0,""),INDEX('RFR Data - preExcl'!AK$2:AK923,$R71,1))</f>
        <v>2</v>
      </c>
      <c r="H71" s="16">
        <f t="array" ref="H71">IF(OR(ISBLANK(A71),C71),IFERROR(0/0,""),INDEX('RFR Data - preExcl'!AL$2:AL923,$R71,1))</f>
        <v>0</v>
      </c>
      <c r="I71" s="16">
        <f>IFERROR(VLOOKUP($B71,'APS Tubes by Date IMPORT'!$B$2:$J923,2,FALSE),"")</f>
        <v>2</v>
      </c>
      <c r="J71" s="16" t="str">
        <f>IFERROR(VLOOKUP($B71,'APS Tubes by Date IMPORT'!$B$2:$J923,9,FALSE),"")</f>
        <v/>
      </c>
      <c r="K71" s="16">
        <f>IFNA(VLOOKUP($B71,'APS Tubes by Date IMPORT'!$B$2:$J923,6,FALSE),"")</f>
        <v>0</v>
      </c>
      <c r="L71" s="89">
        <f t="shared" si="3"/>
        <v>2</v>
      </c>
      <c r="M71" s="16">
        <f t="shared" si="4"/>
        <v>0</v>
      </c>
      <c r="N71" s="90">
        <v>3.4</v>
      </c>
      <c r="O71" s="30" t="b">
        <f t="shared" si="5"/>
        <v>1</v>
      </c>
      <c r="P71" s="91" t="str">
        <f>IF(ISBLANK(N71),IFERROR(0/0,""),IFERROR(VLOOKUP(N71, 'Process Ref'!$A$76:$D$122, 2, FALSE), IFERROR(0/0,"")))</f>
        <v>Add Run from APS with no RFR (assume run on same day as Collect, ignore Result day)</v>
      </c>
      <c r="R71" s="92">
        <f>IFNA(MATCH(A71,'RFR Data - preExcl'!A$2:A923,0),"")</f>
        <v>3</v>
      </c>
      <c r="S71" s="54"/>
      <c r="T71" s="30" t="str">
        <f>IF(EXACT('RFR Data - preExcl'!W71,"Initial"),'RFR Data - preExcl'!A71,IFERROR(0/0,""))</f>
        <v>RUN-FLMP_2022-01-31_RFR-076</v>
      </c>
      <c r="U71" s="93">
        <f>IF(EXACT('RFR Data - preExcl'!W71,"Initial"),'RFR Data - preExcl'!U71,IFERROR(0/0,""))</f>
        <v>44592</v>
      </c>
      <c r="W71" s="102"/>
      <c r="X71" s="86"/>
      <c r="Z71" s="103"/>
      <c r="AG71" s="86"/>
      <c r="AH71" s="101" t="str">
        <f>IFERROR(__xludf.DUMMYFUNCTION("""COMPUTED_VALUE"""),"RUN-FLMP_2021-11-19_APS-070")</f>
        <v>RUN-FLMP_2021-11-19_APS-070</v>
      </c>
      <c r="AI71" s="96">
        <f t="shared" si="7"/>
        <v>2</v>
      </c>
      <c r="AJ71" s="86"/>
    </row>
    <row r="72">
      <c r="A72" s="8" t="s">
        <v>103</v>
      </c>
      <c r="B72" s="14">
        <v>44515.0</v>
      </c>
      <c r="C72" s="88" t="b">
        <f t="shared" si="2"/>
        <v>1</v>
      </c>
      <c r="D72" s="16" t="str">
        <f t="array" ref="D72">IF(OR(ISBLANK($A72),$C72),IFERROR(0/0,""),INDEX('RFR Data - preExcl'!E$2:E923,$R72,1))</f>
        <v/>
      </c>
      <c r="E72" s="16" t="str">
        <f t="array" ref="E72">IF(OR(ISBLANK($A72),$C72),IFERROR(0/0,""),INDEX('RFR Data - preExcl'!Z$2:Z923,$R72,1))</f>
        <v/>
      </c>
      <c r="F72" s="16" t="str">
        <f t="array" ref="F72">IF(OR(ISBLANK(A72),C72),IFERROR(0/0,""),INDEX('RFR Data - preExcl'!AC$2:AC923,$R72,1))</f>
        <v/>
      </c>
      <c r="G72" s="16" t="str">
        <f t="array" ref="G72">IF(OR(ISBLANK(A72),C72),IFERROR(0/0,""),INDEX('RFR Data - preExcl'!AK$2:AK923,$R72,1))</f>
        <v/>
      </c>
      <c r="H72" s="16" t="str">
        <f t="array" ref="H72">IF(OR(ISBLANK(A72),C72),IFERROR(0/0,""),INDEX('RFR Data - preExcl'!AL$2:AL923,$R72,1))</f>
        <v/>
      </c>
      <c r="I72" s="16">
        <f>IFERROR(VLOOKUP($B72,'APS Tubes by Date IMPORT'!$B$2:$J923,2,FALSE),"")</f>
        <v>2</v>
      </c>
      <c r="J72" s="16" t="str">
        <f>IFERROR(VLOOKUP($B72,'APS Tubes by Date IMPORT'!$B$2:$J923,9,FALSE),"")</f>
        <v/>
      </c>
      <c r="K72" s="16">
        <f>IFNA(VLOOKUP($B72,'APS Tubes by Date IMPORT'!$B$2:$J923,6,FALSE),"")</f>
        <v>0</v>
      </c>
      <c r="L72" s="89">
        <f t="shared" si="3"/>
        <v>2</v>
      </c>
      <c r="M72" s="16">
        <f t="shared" si="4"/>
        <v>0</v>
      </c>
      <c r="N72" s="90">
        <v>3.4</v>
      </c>
      <c r="O72" s="30" t="b">
        <f t="shared" si="5"/>
        <v>1</v>
      </c>
      <c r="P72" s="91" t="str">
        <f>IF(ISBLANK(N72),IFERROR(0/0,""),IFERROR(VLOOKUP(N72, 'Process Ref'!$A$76:$D$122, 2, FALSE), IFERROR(0/0,"")))</f>
        <v>Add Run from APS with no RFR (assume run on same day as Collect, ignore Result day)</v>
      </c>
      <c r="R72" s="92" t="str">
        <f>IFNA(MATCH(A72,'RFR Data - preExcl'!A$2:A923,0),"")</f>
        <v/>
      </c>
      <c r="S72" s="54"/>
      <c r="T72" s="30" t="str">
        <f>IF(EXACT('RFR Data - preExcl'!W72,"Initial"),'RFR Data - preExcl'!A72,IFERROR(0/0,""))</f>
        <v/>
      </c>
      <c r="U72" s="30" t="str">
        <f>IF(EXACT('RFR Data - preExcl'!W72,"Initial"),'RFR Data - preExcl'!U72,IFERROR(0/0,""))</f>
        <v/>
      </c>
      <c r="W72" s="102"/>
      <c r="X72" s="86"/>
      <c r="Z72" s="103"/>
      <c r="AG72" s="86"/>
      <c r="AH72" s="101" t="str">
        <f>IFERROR(__xludf.DUMMYFUNCTION("""COMPUTED_VALUE"""),"RUN-FLMP_2021-11-30_APS-071")</f>
        <v>RUN-FLMP_2021-11-30_APS-071</v>
      </c>
      <c r="AI72" s="96">
        <f t="shared" si="7"/>
        <v>2</v>
      </c>
      <c r="AJ72" s="86"/>
    </row>
    <row r="73">
      <c r="A73" s="8" t="s">
        <v>104</v>
      </c>
      <c r="B73" s="14">
        <v>44517.0</v>
      </c>
      <c r="C73" s="88" t="b">
        <f t="shared" si="2"/>
        <v>1</v>
      </c>
      <c r="D73" s="16" t="str">
        <f t="array" ref="D73">IF(OR(ISBLANK($A73),$C73),IFERROR(0/0,""),INDEX('RFR Data - preExcl'!E$2:E923,$R73,1))</f>
        <v/>
      </c>
      <c r="E73" s="16" t="str">
        <f t="array" ref="E73">IF(OR(ISBLANK($A73),$C73),IFERROR(0/0,""),INDEX('RFR Data - preExcl'!Z$2:Z923,$R73,1))</f>
        <v/>
      </c>
      <c r="F73" s="16" t="str">
        <f t="array" ref="F73">IF(OR(ISBLANK(A73),C73),IFERROR(0/0,""),INDEX('RFR Data - preExcl'!AC$2:AC923,$R73,1))</f>
        <v/>
      </c>
      <c r="G73" s="16" t="str">
        <f t="array" ref="G73">IF(OR(ISBLANK(A73),C73),IFERROR(0/0,""),INDEX('RFR Data - preExcl'!AK$2:AK923,$R73,1))</f>
        <v/>
      </c>
      <c r="H73" s="16" t="str">
        <f t="array" ref="H73">IF(OR(ISBLANK(A73),C73),IFERROR(0/0,""),INDEX('RFR Data - preExcl'!AL$2:AL923,$R73,1))</f>
        <v/>
      </c>
      <c r="I73" s="16">
        <f>IFERROR(VLOOKUP($B73,'APS Tubes by Date IMPORT'!$B$2:$J923,2,FALSE),"")</f>
        <v>2</v>
      </c>
      <c r="J73" s="16" t="str">
        <f>IFERROR(VLOOKUP($B73,'APS Tubes by Date IMPORT'!$B$2:$J923,9,FALSE),"")</f>
        <v/>
      </c>
      <c r="K73" s="16">
        <f>IFNA(VLOOKUP($B73,'APS Tubes by Date IMPORT'!$B$2:$J923,6,FALSE),"")</f>
        <v>0</v>
      </c>
      <c r="L73" s="89">
        <f t="shared" si="3"/>
        <v>2</v>
      </c>
      <c r="M73" s="16">
        <f t="shared" si="4"/>
        <v>0</v>
      </c>
      <c r="N73" s="90">
        <v>3.4</v>
      </c>
      <c r="O73" s="30" t="b">
        <f t="shared" si="5"/>
        <v>1</v>
      </c>
      <c r="P73" s="91" t="str">
        <f>IF(ISBLANK(N73),IFERROR(0/0,""),IFERROR(VLOOKUP(N73, 'Process Ref'!$A$76:$D$122, 2, FALSE), IFERROR(0/0,"")))</f>
        <v>Add Run from APS with no RFR (assume run on same day as Collect, ignore Result day)</v>
      </c>
      <c r="R73" s="92" t="str">
        <f>IFNA(MATCH(A73,'RFR Data - preExcl'!A$2:A923,0),"")</f>
        <v/>
      </c>
      <c r="S73" s="54"/>
      <c r="T73" s="30" t="str">
        <f>IF(EXACT('RFR Data - preExcl'!W73,"Initial"),'RFR Data - preExcl'!A73,IFERROR(0/0,""))</f>
        <v>RUN-FLMP_2022-02-02_RFR-078</v>
      </c>
      <c r="U73" s="93">
        <f>IF(EXACT('RFR Data - preExcl'!W73,"Initial"),'RFR Data - preExcl'!U73,IFERROR(0/0,""))</f>
        <v>44594</v>
      </c>
      <c r="X73" s="86"/>
      <c r="Z73" s="103"/>
      <c r="AG73" s="86"/>
      <c r="AH73" s="101" t="str">
        <f>IFERROR(__xludf.DUMMYFUNCTION("""COMPUTED_VALUE"""),"RUN-FLMP_2021-12-02_APS-072")</f>
        <v>RUN-FLMP_2021-12-02_APS-072</v>
      </c>
      <c r="AI73" s="96">
        <f t="shared" si="7"/>
        <v>3</v>
      </c>
      <c r="AJ73" s="86"/>
    </row>
    <row r="74">
      <c r="A74" s="8" t="s">
        <v>105</v>
      </c>
      <c r="B74" s="14">
        <v>44519.0</v>
      </c>
      <c r="C74" s="88" t="b">
        <f t="shared" si="2"/>
        <v>1</v>
      </c>
      <c r="D74" s="16" t="str">
        <f t="array" ref="D74">IF(OR(ISBLANK($A74),$C74),IFERROR(0/0,""),INDEX('RFR Data - preExcl'!E$2:E923,$R74,1))</f>
        <v/>
      </c>
      <c r="E74" s="16" t="str">
        <f t="array" ref="E74">IF(OR(ISBLANK($A74),$C74),IFERROR(0/0,""),INDEX('RFR Data - preExcl'!Z$2:Z923,$R74,1))</f>
        <v/>
      </c>
      <c r="F74" s="16" t="str">
        <f t="array" ref="F74">IF(OR(ISBLANK(A74),C74),IFERROR(0/0,""),INDEX('RFR Data - preExcl'!AC$2:AC923,$R74,1))</f>
        <v/>
      </c>
      <c r="G74" s="16" t="str">
        <f t="array" ref="G74">IF(OR(ISBLANK(A74),C74),IFERROR(0/0,""),INDEX('RFR Data - preExcl'!AK$2:AK923,$R74,1))</f>
        <v/>
      </c>
      <c r="H74" s="16" t="str">
        <f t="array" ref="H74">IF(OR(ISBLANK(A74),C74),IFERROR(0/0,""),INDEX('RFR Data - preExcl'!AL$2:AL923,$R74,1))</f>
        <v/>
      </c>
      <c r="I74" s="16">
        <f>IFERROR(VLOOKUP($B74,'APS Tubes by Date IMPORT'!$B$2:$J923,2,FALSE),"")</f>
        <v>2</v>
      </c>
      <c r="J74" s="16" t="b">
        <f>IFERROR(VLOOKUP($B74,'APS Tubes by Date IMPORT'!$B$2:$J923,9,FALSE),"")</f>
        <v>1</v>
      </c>
      <c r="K74" s="16">
        <f>IFNA(VLOOKUP($B74,'APS Tubes by Date IMPORT'!$B$2:$J923,6,FALSE),"")</f>
        <v>0</v>
      </c>
      <c r="L74" s="89">
        <f t="shared" si="3"/>
        <v>2</v>
      </c>
      <c r="M74" s="16">
        <f t="shared" si="4"/>
        <v>0</v>
      </c>
      <c r="N74" s="90">
        <v>3.4</v>
      </c>
      <c r="O74" s="30" t="b">
        <f t="shared" si="5"/>
        <v>1</v>
      </c>
      <c r="P74" s="91" t="str">
        <f>IF(ISBLANK(N74),IFERROR(0/0,""),IFERROR(VLOOKUP(N74, 'Process Ref'!$A$76:$D$122, 2, FALSE), IFERROR(0/0,"")))</f>
        <v>Add Run from APS with no RFR (assume run on same day as Collect, ignore Result day)</v>
      </c>
      <c r="R74" s="92" t="str">
        <f>IFNA(MATCH(A74,'RFR Data - preExcl'!A$2:A923,0),"")</f>
        <v/>
      </c>
      <c r="S74" s="54"/>
      <c r="T74" s="30" t="str">
        <f>IF(EXACT('RFR Data - preExcl'!W74,"Initial"),'RFR Data - preExcl'!A74,IFERROR(0/0,""))</f>
        <v>RUN-FLMP_2022-02-03_RFR-079</v>
      </c>
      <c r="U74" s="93">
        <f>IF(EXACT('RFR Data - preExcl'!W74,"Initial"),'RFR Data - preExcl'!U74,IFERROR(0/0,""))</f>
        <v>44595</v>
      </c>
      <c r="X74" s="86"/>
      <c r="Z74" s="103"/>
      <c r="AG74" s="86"/>
      <c r="AH74" s="101" t="str">
        <f>IFERROR(__xludf.DUMMYFUNCTION("""COMPUTED_VALUE"""),"RUN-FLMP_2021-12-14_APS-073")</f>
        <v>RUN-FLMP_2021-12-14_APS-073</v>
      </c>
      <c r="AI74" s="96">
        <f t="shared" si="7"/>
        <v>3</v>
      </c>
      <c r="AJ74" s="86"/>
    </row>
    <row r="75">
      <c r="A75" s="8" t="s">
        <v>106</v>
      </c>
      <c r="B75" s="14">
        <v>44526.0</v>
      </c>
      <c r="C75" s="88" t="str">
        <f t="shared" si="2"/>
        <v/>
      </c>
      <c r="D75" s="16">
        <f t="array" ref="D75">IF(OR(ISBLANK($A75),$C75),IFERROR(0/0,""),INDEX('RFR Data - preExcl'!E$2:E923,$R75,1))</f>
        <v>2</v>
      </c>
      <c r="E75" s="16">
        <f t="array" ref="E75">IF(OR(ISBLANK($A75),$C75),IFERROR(0/0,""),INDEX('RFR Data - preExcl'!Z$2:Z923,$R75,1))</f>
        <v>4</v>
      </c>
      <c r="F75" s="16">
        <f t="array" ref="F75">IF(OR(ISBLANK(A75),C75),IFERROR(0/0,""),INDEX('RFR Data - preExcl'!AC$2:AC923,$R75,1))</f>
        <v>2</v>
      </c>
      <c r="G75" s="16">
        <f t="array" ref="G75">IF(OR(ISBLANK(A75),C75),IFERROR(0/0,""),INDEX('RFR Data - preExcl'!AK$2:AK923,$R75,1))</f>
        <v>2</v>
      </c>
      <c r="H75" s="16">
        <f t="array" ref="H75">IF(OR(ISBLANK(A75),C75),IFERROR(0/0,""),INDEX('RFR Data - preExcl'!AL$2:AL923,$R75,1))</f>
        <v>0</v>
      </c>
      <c r="I75" s="16">
        <f>IFERROR(VLOOKUP($B75,'APS Tubes by Date IMPORT'!$B$2:$J923,2,FALSE),"")</f>
        <v>2</v>
      </c>
      <c r="J75" s="16" t="str">
        <f>IFERROR(VLOOKUP($B75,'APS Tubes by Date IMPORT'!$B$2:$J923,9,FALSE),"")</f>
        <v/>
      </c>
      <c r="K75" s="16">
        <f>IFNA(VLOOKUP($B75,'APS Tubes by Date IMPORT'!$B$2:$J923,6,FALSE),"")</f>
        <v>0</v>
      </c>
      <c r="L75" s="89">
        <f t="shared" si="3"/>
        <v>2</v>
      </c>
      <c r="M75" s="16">
        <f t="shared" si="4"/>
        <v>0</v>
      </c>
      <c r="N75" s="105">
        <v>3.0</v>
      </c>
      <c r="O75" s="30" t="b">
        <f t="shared" si="5"/>
        <v>1</v>
      </c>
      <c r="P75" s="91" t="str">
        <f>IF(ISBLANK(N75),IFERROR(0/0,""),IFERROR(VLOOKUP(N75, 'Process Ref'!$A$76:$D$122, 2, FALSE), IFERROR(0/0,"")))</f>
        <v>ALL 3 COUNTS SAME after Null deleted</v>
      </c>
      <c r="R75" s="92">
        <f>IFNA(MATCH(A75,'RFR Data - preExcl'!A$2:A923,0),"")</f>
        <v>4</v>
      </c>
      <c r="S75" s="54"/>
      <c r="T75" s="30" t="str">
        <f>IF(EXACT('RFR Data - preExcl'!W75,"Initial"),'RFR Data - preExcl'!A75,IFERROR(0/0,""))</f>
        <v>RUN-FLMP_2022-02-07_RFR-083</v>
      </c>
      <c r="U75" s="93">
        <f>IF(EXACT('RFR Data - preExcl'!W75,"Initial"),'RFR Data - preExcl'!U75,IFERROR(0/0,""))</f>
        <v>44599</v>
      </c>
      <c r="X75" s="86"/>
      <c r="Z75" s="103"/>
      <c r="AG75" s="86"/>
      <c r="AH75" s="101" t="str">
        <f>IFERROR(__xludf.DUMMYFUNCTION("""COMPUTED_VALUE"""),"RUN-FLMP_2021-12-24_APS-074")</f>
        <v>RUN-FLMP_2021-12-24_APS-074</v>
      </c>
      <c r="AI75" s="96">
        <f t="shared" si="7"/>
        <v>1</v>
      </c>
      <c r="AJ75" s="86"/>
    </row>
    <row r="76">
      <c r="A76" s="8" t="s">
        <v>107</v>
      </c>
      <c r="B76" s="14">
        <v>44528.0</v>
      </c>
      <c r="C76" s="88" t="str">
        <f t="shared" si="2"/>
        <v/>
      </c>
      <c r="D76" s="16">
        <f t="array" ref="D76">IF(OR(ISBLANK($A76),$C76),IFERROR(0/0,""),INDEX('RFR Data - preExcl'!E$2:E923,$R76,1))</f>
        <v>10</v>
      </c>
      <c r="E76" s="16">
        <f t="array" ref="E76">IF(OR(ISBLANK($A76),$C76),IFERROR(0/0,""),INDEX('RFR Data - preExcl'!Z$2:Z923,$R76,1))</f>
        <v>12</v>
      </c>
      <c r="F76" s="16">
        <f t="array" ref="F76">IF(OR(ISBLANK(A76),C76),IFERROR(0/0,""),INDEX('RFR Data - preExcl'!AC$2:AC923,$R76,1))</f>
        <v>10</v>
      </c>
      <c r="G76" s="16">
        <f t="array" ref="G76">IF(OR(ISBLANK(A76),C76),IFERROR(0/0,""),INDEX('RFR Data - preExcl'!AK$2:AK923,$R76,1))</f>
        <v>10</v>
      </c>
      <c r="H76" s="16">
        <f t="array" ref="H76">IF(OR(ISBLANK(A76),C76),IFERROR(0/0,""),INDEX('RFR Data - preExcl'!AL$2:AL923,$R76,1))</f>
        <v>0</v>
      </c>
      <c r="I76" s="106">
        <f>IFERROR(VLOOKUP($B76,'APS Tubes by Date IMPORT'!$B$2:$J923,2,FALSE),"")</f>
        <v>11</v>
      </c>
      <c r="J76" s="16" t="str">
        <f>IFERROR(VLOOKUP($B76,'APS Tubes by Date IMPORT'!$B$2:$J923,9,FALSE),"")</f>
        <v/>
      </c>
      <c r="K76" s="16">
        <f>IFNA(VLOOKUP($B76,'APS Tubes by Date IMPORT'!$B$2:$J923,6,FALSE),"")</f>
        <v>0</v>
      </c>
      <c r="L76" s="106">
        <f t="shared" si="3"/>
        <v>10</v>
      </c>
      <c r="M76" s="16">
        <f>L76+L77-I76-I77</f>
        <v>0</v>
      </c>
      <c r="N76" s="107">
        <v>6.0</v>
      </c>
      <c r="O76" s="30"/>
      <c r="P76" s="91" t="str">
        <f>IF(ISBLANK(N76),IFERROR(0/0,""),IFERROR(VLOOKUP(N76, 'Process Ref'!$A$76:$D$122, 2, FALSE), IFERROR(0/0,"")))</f>
        <v>Use Audit RFR - nets out with next or prev day</v>
      </c>
      <c r="R76" s="92">
        <f>IFNA(MATCH(A76,'RFR Data - preExcl'!A$2:A923,0),"")</f>
        <v>5</v>
      </c>
      <c r="S76" s="54"/>
      <c r="T76" s="30" t="str">
        <f>IF(EXACT('RFR Data - preExcl'!W76,"Initial"),'RFR Data - preExcl'!A76,IFERROR(0/0,""))</f>
        <v/>
      </c>
      <c r="U76" s="30" t="str">
        <f>IF(EXACT('RFR Data - preExcl'!W76,"Initial"),'RFR Data - preExcl'!U76,IFERROR(0/0,""))</f>
        <v/>
      </c>
      <c r="X76" s="86"/>
      <c r="Z76" s="103"/>
      <c r="AG76" s="86"/>
      <c r="AH76" s="101" t="str">
        <f>IFERROR(__xludf.DUMMYFUNCTION("""COMPUTED_VALUE"""),"RUN-FLMP_2021-12-26_APS-075")</f>
        <v>RUN-FLMP_2021-12-26_APS-075</v>
      </c>
      <c r="AI76" s="96">
        <f t="shared" si="7"/>
        <v>1</v>
      </c>
      <c r="AJ76" s="86"/>
    </row>
    <row r="77">
      <c r="A77" s="8" t="s">
        <v>108</v>
      </c>
      <c r="B77" s="14">
        <v>44529.0</v>
      </c>
      <c r="C77" s="88" t="str">
        <f t="shared" si="2"/>
        <v/>
      </c>
      <c r="D77" s="16">
        <f t="array" ref="D77">IF(OR(ISBLANK($A77),$C77),IFERROR(0/0,""),INDEX('RFR Data - preExcl'!E$2:E923,$R77,1))</f>
        <v>3</v>
      </c>
      <c r="E77" s="16">
        <f t="array" ref="E77">IF(OR(ISBLANK($A77),$C77),IFERROR(0/0,""),INDEX('RFR Data - preExcl'!Z$2:Z923,$R77,1))</f>
        <v>5</v>
      </c>
      <c r="F77" s="16">
        <f t="array" ref="F77">IF(OR(ISBLANK(A77),C77),IFERROR(0/0,""),INDEX('RFR Data - preExcl'!AC$2:AC923,$R77,1))</f>
        <v>3</v>
      </c>
      <c r="G77" s="16">
        <f t="array" ref="G77">IF(OR(ISBLANK(A77),C77),IFERROR(0/0,""),INDEX('RFR Data - preExcl'!AK$2:AK923,$R77,1))</f>
        <v>3</v>
      </c>
      <c r="H77" s="16">
        <f t="array" ref="H77">IF(OR(ISBLANK(A77),C77),IFERROR(0/0,""),INDEX('RFR Data - preExcl'!AL$2:AL923,$R77,1))</f>
        <v>1</v>
      </c>
      <c r="I77" s="108">
        <f>IFERROR(VLOOKUP($B77,'APS Tubes by Date IMPORT'!$B$2:$J923,2,FALSE),"")</f>
        <v>2</v>
      </c>
      <c r="J77" s="16" t="b">
        <f>IFERROR(VLOOKUP($B77,'APS Tubes by Date IMPORT'!$B$2:$J923,9,FALSE),"")</f>
        <v>1</v>
      </c>
      <c r="K77" s="16">
        <f>IFNA(VLOOKUP($B77,'APS Tubes by Date IMPORT'!$B$2:$J923,6,FALSE),"")</f>
        <v>0</v>
      </c>
      <c r="L77" s="108">
        <f t="shared" si="3"/>
        <v>3</v>
      </c>
      <c r="M77" s="16">
        <f>L76+L77-I76-I77</f>
        <v>0</v>
      </c>
      <c r="N77" s="107">
        <v>6.0</v>
      </c>
      <c r="O77" s="30" t="str">
        <f t="shared" ref="O77:O79" si="42">IF(ISBLANK(L77),IFERROR(0/0,""),IF($N77&lt;5,TRUE,IFERROR(0/0,"")))</f>
        <v/>
      </c>
      <c r="P77" s="91" t="str">
        <f>IF(ISBLANK(N77),IFERROR(0/0,""),IFERROR(VLOOKUP(N77, 'Process Ref'!$A$76:$D$122, 2, FALSE), IFERROR(0/0,"")))</f>
        <v>Use Audit RFR - nets out with next or prev day</v>
      </c>
      <c r="R77" s="92">
        <f>IFNA(MATCH(A77,'RFR Data - preExcl'!A$2:A923,0),"")</f>
        <v>6</v>
      </c>
      <c r="S77" s="54"/>
      <c r="T77" s="30" t="str">
        <f>IF(EXACT('RFR Data - preExcl'!W77,"Initial"),'RFR Data - preExcl'!A77,IFERROR(0/0,""))</f>
        <v>RUN-FLMP_2022-02-10_RFR-085</v>
      </c>
      <c r="U77" s="93">
        <f>IF(EXACT('RFR Data - preExcl'!W77,"Initial"),'RFR Data - preExcl'!U77,IFERROR(0/0,""))</f>
        <v>44602</v>
      </c>
      <c r="X77" s="86"/>
      <c r="Z77" s="103"/>
      <c r="AG77" s="86"/>
      <c r="AH77" s="101" t="str">
        <f>IFERROR(__xludf.DUMMYFUNCTION("""COMPUTED_VALUE"""),"RUN-FLMP_2021-12-28_APS-076")</f>
        <v>RUN-FLMP_2021-12-28_APS-076</v>
      </c>
      <c r="AI77" s="96">
        <f t="shared" si="7"/>
        <v>3</v>
      </c>
      <c r="AJ77" s="86"/>
    </row>
    <row r="78">
      <c r="A78" s="8" t="s">
        <v>109</v>
      </c>
      <c r="B78" s="14">
        <v>44530.0</v>
      </c>
      <c r="C78" s="88" t="b">
        <f t="shared" si="2"/>
        <v>1</v>
      </c>
      <c r="D78" s="16" t="str">
        <f t="array" ref="D78">IF(OR(ISBLANK($A78),$C78),IFERROR(0/0,""),INDEX('RFR Data - preExcl'!E$2:E923,$R78,1))</f>
        <v/>
      </c>
      <c r="E78" s="16" t="str">
        <f t="array" ref="E78">IF(OR(ISBLANK($A78),$C78),IFERROR(0/0,""),INDEX('RFR Data - preExcl'!Z$2:Z923,$R78,1))</f>
        <v/>
      </c>
      <c r="F78" s="16" t="str">
        <f t="array" ref="F78">IF(OR(ISBLANK(A78),C78),IFERROR(0/0,""),INDEX('RFR Data - preExcl'!AC$2:AC923,$R78,1))</f>
        <v/>
      </c>
      <c r="G78" s="16" t="str">
        <f t="array" ref="G78">IF(OR(ISBLANK(A78),C78),IFERROR(0/0,""),INDEX('RFR Data - preExcl'!AK$2:AK923,$R78,1))</f>
        <v/>
      </c>
      <c r="H78" s="16" t="str">
        <f t="array" ref="H78">IF(OR(ISBLANK(A78),C78),IFERROR(0/0,""),INDEX('RFR Data - preExcl'!AL$2:AL923,$R78,1))</f>
        <v/>
      </c>
      <c r="I78" s="109">
        <f>IFERROR(VLOOKUP($B78,'APS Tubes by Date IMPORT'!$B$2:$J923,2,FALSE),"")</f>
        <v>2</v>
      </c>
      <c r="J78" s="16" t="b">
        <f>IFERROR(VLOOKUP($B78,'APS Tubes by Date IMPORT'!$B$2:$J923,9,FALSE),"")</f>
        <v>1</v>
      </c>
      <c r="K78" s="16">
        <f>IFNA(VLOOKUP($B78,'APS Tubes by Date IMPORT'!$B$2:$J923,6,FALSE),"")</f>
        <v>0</v>
      </c>
      <c r="L78" s="109">
        <f t="shared" si="3"/>
        <v>2</v>
      </c>
      <c r="M78" s="16">
        <f t="shared" ref="M78:M79" si="43">L78-I78</f>
        <v>0</v>
      </c>
      <c r="N78" s="90">
        <v>3.4</v>
      </c>
      <c r="O78" s="30" t="b">
        <f t="shared" si="42"/>
        <v>1</v>
      </c>
      <c r="P78" s="91" t="str">
        <f>IF(ISBLANK(N78),IFERROR(0/0,""),IFERROR(VLOOKUP(N78, 'Process Ref'!$A$76:$D$122, 2, FALSE), IFERROR(0/0,"")))</f>
        <v>Add Run from APS with no RFR (assume run on same day as Collect, ignore Result day)</v>
      </c>
      <c r="R78" s="92" t="str">
        <f>IFNA(MATCH(A78,'RFR Data - preExcl'!A$2:A923,0),"")</f>
        <v/>
      </c>
      <c r="S78" s="54"/>
      <c r="T78" s="30" t="str">
        <f>IF(EXACT('RFR Data - preExcl'!W78,"Initial"),'RFR Data - preExcl'!A78,IFERROR(0/0,""))</f>
        <v/>
      </c>
      <c r="U78" s="30" t="str">
        <f>IF(EXACT('RFR Data - preExcl'!W78,"Initial"),'RFR Data - preExcl'!U78,IFERROR(0/0,""))</f>
        <v/>
      </c>
      <c r="X78" s="86"/>
      <c r="Z78" s="103"/>
      <c r="AG78" s="86"/>
      <c r="AH78" s="101" t="str">
        <f>IFERROR(__xludf.DUMMYFUNCTION("""COMPUTED_VALUE"""),"RUN-FLMP_2021-12-29_APS-077")</f>
        <v>RUN-FLMP_2021-12-29_APS-077</v>
      </c>
      <c r="AI78" s="96">
        <f t="shared" si="7"/>
        <v>4</v>
      </c>
      <c r="AJ78" s="86"/>
    </row>
    <row r="79">
      <c r="A79" s="8" t="s">
        <v>110</v>
      </c>
      <c r="B79" s="14">
        <v>44532.0</v>
      </c>
      <c r="C79" s="88" t="b">
        <f t="shared" si="2"/>
        <v>1</v>
      </c>
      <c r="D79" s="16" t="str">
        <f t="array" ref="D79">IF(OR(ISBLANK($A79),$C79),IFERROR(0/0,""),INDEX('RFR Data - preExcl'!E$2:E923,$R79,1))</f>
        <v/>
      </c>
      <c r="E79" s="16" t="str">
        <f t="array" ref="E79">IF(OR(ISBLANK($A79),$C79),IFERROR(0/0,""),INDEX('RFR Data - preExcl'!Z$2:Z923,$R79,1))</f>
        <v/>
      </c>
      <c r="F79" s="16" t="str">
        <f t="array" ref="F79">IF(OR(ISBLANK(A79),C79),IFERROR(0/0,""),INDEX('RFR Data - preExcl'!AC$2:AC923,$R79,1))</f>
        <v/>
      </c>
      <c r="G79" s="16" t="str">
        <f t="array" ref="G79">IF(OR(ISBLANK(A79),C79),IFERROR(0/0,""),INDEX('RFR Data - preExcl'!AK$2:AK923,$R79,1))</f>
        <v/>
      </c>
      <c r="H79" s="16" t="str">
        <f t="array" ref="H79">IF(OR(ISBLANK(A79),C79),IFERROR(0/0,""),INDEX('RFR Data - preExcl'!AL$2:AL923,$R79,1))</f>
        <v/>
      </c>
      <c r="I79" s="109">
        <f>IFERROR(VLOOKUP($B79,'APS Tubes by Date IMPORT'!$B$2:$J923,2,FALSE),"")</f>
        <v>3</v>
      </c>
      <c r="J79" s="16" t="b">
        <f>IFERROR(VLOOKUP($B79,'APS Tubes by Date IMPORT'!$B$2:$J923,9,FALSE),"")</f>
        <v>1</v>
      </c>
      <c r="K79" s="16">
        <f>IFNA(VLOOKUP($B79,'APS Tubes by Date IMPORT'!$B$2:$J923,6,FALSE),"")</f>
        <v>0</v>
      </c>
      <c r="L79" s="109">
        <f t="shared" si="3"/>
        <v>3</v>
      </c>
      <c r="M79" s="16">
        <f t="shared" si="43"/>
        <v>0</v>
      </c>
      <c r="N79" s="90">
        <v>3.4</v>
      </c>
      <c r="O79" s="30" t="b">
        <f t="shared" si="42"/>
        <v>1</v>
      </c>
      <c r="P79" s="91" t="str">
        <f>IF(ISBLANK(N79),IFERROR(0/0,""),IFERROR(VLOOKUP(N79, 'Process Ref'!$A$76:$D$122, 2, FALSE), IFERROR(0/0,"")))</f>
        <v>Add Run from APS with no RFR (assume run on same day as Collect, ignore Result day)</v>
      </c>
      <c r="R79" s="92" t="str">
        <f>IFNA(MATCH(A79,'RFR Data - preExcl'!A$2:A923,0),"")</f>
        <v/>
      </c>
      <c r="S79" s="54"/>
      <c r="T79" s="30" t="str">
        <f>IF(EXACT('RFR Data - preExcl'!W79,"Initial"),'RFR Data - preExcl'!A79,IFERROR(0/0,""))</f>
        <v>RUN-FLMP_2022-02-12_RFR-087</v>
      </c>
      <c r="U79" s="93">
        <f>IF(EXACT('RFR Data - preExcl'!W79,"Initial"),'RFR Data - preExcl'!U79,IFERROR(0/0,""))</f>
        <v>44604</v>
      </c>
      <c r="X79" s="86"/>
      <c r="Z79" s="103"/>
      <c r="AG79" s="86"/>
      <c r="AH79" s="101" t="str">
        <f>IFERROR(__xludf.DUMMYFUNCTION("""COMPUTED_VALUE"""),"RUN-FLMP_2022-01-03_APS-078")</f>
        <v>RUN-FLMP_2022-01-03_APS-078</v>
      </c>
      <c r="AI79" s="96">
        <f t="shared" si="7"/>
        <v>4</v>
      </c>
      <c r="AJ79" s="86"/>
    </row>
    <row r="80">
      <c r="A80" s="110" t="s">
        <v>111</v>
      </c>
      <c r="B80" s="111">
        <v>44536.0</v>
      </c>
      <c r="C80" s="88" t="str">
        <f t="shared" si="2"/>
        <v/>
      </c>
      <c r="D80" s="16">
        <f t="array" ref="D80">IF(OR(ISBLANK($A80),$C80),IFERROR(0/0,""),INDEX('RFR Data - preExcl'!E$2:E923,$R80,1))</f>
        <v>4</v>
      </c>
      <c r="E80" s="16"/>
      <c r="F80" s="16">
        <f t="array" ref="F80">IF(OR(ISBLANK(A80),C80),IFERROR(0/0,""),INDEX('RFR Data - preExcl'!AC$2:AC923,$R80,1))</f>
        <v>4</v>
      </c>
      <c r="G80" s="16">
        <f t="array" ref="G80">IF(OR(ISBLANK(A80),C80),IFERROR(0/0,""),INDEX('RFR Data - preExcl'!AK$2:AK923,$R80,1))</f>
        <v>4</v>
      </c>
      <c r="H80" s="16">
        <f t="array" ref="H80">IF(OR(ISBLANK(A80),C80),IFERROR(0/0,""),INDEX('RFR Data - preExcl'!AL$2:AL923,$R80,1))</f>
        <v>1.1</v>
      </c>
      <c r="I80" s="112">
        <f>IFERROR(VLOOKUP($B80,'APS Tubes by Date IMPORT'!$B$2:$J923,2,FALSE),"")</f>
        <v>5</v>
      </c>
      <c r="J80" s="16" t="str">
        <f>IFERROR(VLOOKUP($B80,'APS Tubes by Date IMPORT'!$B$2:$J923,9,FALSE),"")</f>
        <v/>
      </c>
      <c r="K80" s="16">
        <f>IFNA(VLOOKUP($B80,'APS Tubes by Date IMPORT'!$B$2:$J923,6,FALSE),"")</f>
        <v>0</v>
      </c>
      <c r="L80" s="112">
        <f t="shared" si="3"/>
        <v>4</v>
      </c>
      <c r="M80" s="16">
        <f>L80+L81-I80-I81</f>
        <v>0</v>
      </c>
      <c r="N80" s="107">
        <v>6.0</v>
      </c>
      <c r="O80" s="30"/>
      <c r="P80" s="91" t="str">
        <f>IF(ISBLANK(N80),IFERROR(0/0,""),IFERROR(VLOOKUP(N80, 'Process Ref'!$A$76:$D$122, 2, FALSE), IFERROR(0/0,"")))</f>
        <v>Use Audit RFR - nets out with next or prev day</v>
      </c>
      <c r="Q80" s="18" t="s">
        <v>302</v>
      </c>
      <c r="R80" s="92">
        <f>IFNA(MATCH(A80,'RFR Data - preExcl'!A$2:A923,0),"")</f>
        <v>8</v>
      </c>
      <c r="S80" s="54"/>
      <c r="T80" s="30" t="str">
        <f>IF(EXACT('RFR Data - preExcl'!W80,"Initial"),'RFR Data - preExcl'!A80,IFERROR(0/0,""))</f>
        <v>RUN-FLMP_2022-02-14_RFR-088</v>
      </c>
      <c r="U80" s="93">
        <f>IF(EXACT('RFR Data - preExcl'!W80,"Initial"),'RFR Data - preExcl'!U80,IFERROR(0/0,""))</f>
        <v>44606</v>
      </c>
      <c r="X80" s="86"/>
      <c r="Z80" s="103"/>
      <c r="AG80" s="86"/>
      <c r="AH80" s="101" t="str">
        <f>IFERROR(__xludf.DUMMYFUNCTION("""COMPUTED_VALUE"""),"RUN-FLMP_2022-01-11_APS-079")</f>
        <v>RUN-FLMP_2022-01-11_APS-079</v>
      </c>
      <c r="AI80" s="96">
        <f t="shared" si="7"/>
        <v>2</v>
      </c>
      <c r="AJ80" s="86"/>
    </row>
    <row r="81">
      <c r="A81" s="8" t="s">
        <v>112</v>
      </c>
      <c r="B81" s="14">
        <v>44537.0</v>
      </c>
      <c r="C81" s="88" t="str">
        <f t="shared" si="2"/>
        <v/>
      </c>
      <c r="D81" s="16">
        <f t="array" ref="D81">IF(OR(ISBLANK($A81),$C81),IFERROR(0/0,""),INDEX('RFR Data - preExcl'!E$2:E923,$R81,1))</f>
        <v>1</v>
      </c>
      <c r="E81" s="16">
        <f t="array" ref="E81">IF(OR(ISBLANK($A81),$C81),IFERROR(0/0,""),INDEX('RFR Data - preExcl'!Z$2:Z923,$R81,1))</f>
        <v>2</v>
      </c>
      <c r="F81" s="16">
        <f t="array" ref="F81">IF(OR(ISBLANK(A81),C81),IFERROR(0/0,""),INDEX('RFR Data - preExcl'!AC$2:AC923,$R81,1))</f>
        <v>1</v>
      </c>
      <c r="G81" s="16">
        <f t="array" ref="G81">IF(OR(ISBLANK(A81),C81),IFERROR(0/0,""),INDEX('RFR Data - preExcl'!AK$2:AK923,$R81,1))</f>
        <v>1</v>
      </c>
      <c r="H81" s="16">
        <f t="array" ref="H81">IF(OR(ISBLANK(A81),C81),IFERROR(0/0,""),INDEX('RFR Data - preExcl'!AL$2:AL923,$R81,1))</f>
        <v>0</v>
      </c>
      <c r="I81" s="113">
        <f>IFERROR(VLOOKUP($B81,'APS Tubes by Date IMPORT'!$B$2:$J923,2,FALSE),"")</f>
        <v>4</v>
      </c>
      <c r="J81" s="16" t="b">
        <f>IFERROR(VLOOKUP($B81,'APS Tubes by Date IMPORT'!$B$2:$J923,9,FALSE),"")</f>
        <v>1</v>
      </c>
      <c r="K81" s="16">
        <f>IFNA(VLOOKUP($B81,'APS Tubes by Date IMPORT'!$B$2:$J923,6,FALSE),"")</f>
        <v>0</v>
      </c>
      <c r="L81" s="114">
        <v>5.0</v>
      </c>
      <c r="M81" s="16">
        <f>L80+L81-I80-I81</f>
        <v>0</v>
      </c>
      <c r="N81" s="115">
        <v>10.0</v>
      </c>
      <c r="O81" s="30"/>
      <c r="P81" s="91" t="str">
        <f>IF(ISBLANK(N81),IFERROR(0/0,""),IFERROR(VLOOKUP(N81, 'Process Ref'!$A$76:$D$122, 2, FALSE), IFERROR(0/0,"")))</f>
        <v>see Notes for reason</v>
      </c>
      <c r="Q81" s="24" t="s">
        <v>303</v>
      </c>
      <c r="R81" s="92">
        <f>IFNA(MATCH(A81,'RFR Data - preExcl'!A$2:A923,0),"")</f>
        <v>10</v>
      </c>
      <c r="S81" s="54"/>
      <c r="T81" s="30" t="str">
        <f>IF(EXACT('RFR Data - preExcl'!W81,"Initial"),'RFR Data - preExcl'!A81,IFERROR(0/0,""))</f>
        <v>RUN-FLMP_2022-02-17_RFR-089</v>
      </c>
      <c r="U81" s="93">
        <f>IF(EXACT('RFR Data - preExcl'!W81,"Initial"),'RFR Data - preExcl'!U81,IFERROR(0/0,""))</f>
        <v>44609</v>
      </c>
      <c r="X81" s="86"/>
      <c r="Z81" s="103"/>
      <c r="AG81" s="86"/>
      <c r="AH81" s="101" t="str">
        <f>IFERROR(__xludf.DUMMYFUNCTION("""COMPUTED_VALUE"""),"RUN-FLMP_2022-01-16_APS-080")</f>
        <v>RUN-FLMP_2022-01-16_APS-080</v>
      </c>
      <c r="AI81" s="96">
        <f t="shared" si="7"/>
        <v>5</v>
      </c>
      <c r="AJ81" s="86"/>
    </row>
    <row r="82">
      <c r="A82" s="8" t="s">
        <v>113</v>
      </c>
      <c r="B82" s="14">
        <v>44539.0</v>
      </c>
      <c r="C82" s="88" t="str">
        <f t="shared" si="2"/>
        <v/>
      </c>
      <c r="D82" s="16">
        <f t="array" ref="D82">IF(OR(ISBLANK($A82),$C82),IFERROR(0/0,""),INDEX('RFR Data - preExcl'!E$2:E923,$R82,1))</f>
        <v>2</v>
      </c>
      <c r="E82" s="16">
        <f t="array" ref="E82">IF(OR(ISBLANK($A82),$C82),IFERROR(0/0,""),INDEX('RFR Data - preExcl'!Z$2:Z923,$R82,1))</f>
        <v>4</v>
      </c>
      <c r="F82" s="16">
        <f t="array" ref="F82">IF(OR(ISBLANK(A82),C82),IFERROR(0/0,""),INDEX('RFR Data - preExcl'!AC$2:AC923,$R82,1))</f>
        <v>2</v>
      </c>
      <c r="G82" s="59">
        <f t="array" ref="G82">IF(OR(ISBLANK(A82),C82),IFERROR(0/0,""),INDEX('RFR Data - preExcl'!AK$2:AK923,$R82,1))</f>
        <v>2</v>
      </c>
      <c r="H82" s="16">
        <f t="array" ref="H82">IF(OR(ISBLANK(A82),C82),IFERROR(0/0,""),INDEX('RFR Data - preExcl'!AL$2:AL923,$R82,1))</f>
        <v>0</v>
      </c>
      <c r="I82" s="59">
        <f>IFERROR(VLOOKUP($B82,'APS Tubes by Date IMPORT'!$B$2:$J923,2,FALSE),"")</f>
        <v>2</v>
      </c>
      <c r="J82" s="16"/>
      <c r="K82" s="16">
        <f>IFNA(VLOOKUP($B82,'APS Tubes by Date IMPORT'!$B$2:$J923,6,FALSE),"")</f>
        <v>0</v>
      </c>
      <c r="L82" s="59">
        <f t="shared" ref="L82:L86" si="44">IF(ISBLANK(G82),I82,G82)</f>
        <v>2</v>
      </c>
      <c r="M82" s="16">
        <f t="shared" ref="M82:M85" si="45">L82-I82</f>
        <v>0</v>
      </c>
      <c r="N82" s="105">
        <v>1.0</v>
      </c>
      <c r="O82" s="30"/>
      <c r="P82" s="91" t="str">
        <f>IF(ISBLANK(N82),IFERROR(0/0,""),IFERROR(VLOOKUP(N82, 'Process Ref'!$A$76:$D$122, 2, FALSE), IFERROR(0/0,"")))</f>
        <v>Use APS Collect = RFR (diff APS Result count but nets out)</v>
      </c>
      <c r="Q82" s="18" t="s">
        <v>304</v>
      </c>
      <c r="R82" s="92">
        <f>IFNA(MATCH(A82,'RFR Data - preExcl'!A$2:A923,0),"")</f>
        <v>11</v>
      </c>
      <c r="S82" s="54"/>
      <c r="T82" s="30" t="str">
        <f>IF(EXACT('RFR Data - preExcl'!W82,"Initial"),'RFR Data - preExcl'!A82,IFERROR(0/0,""))</f>
        <v>RUN-FLMP_2022-02-27_RFR-091</v>
      </c>
      <c r="U82" s="93">
        <f>IF(EXACT('RFR Data - preExcl'!W82,"Initial"),'RFR Data - preExcl'!U82,IFERROR(0/0,""))</f>
        <v>44619</v>
      </c>
      <c r="X82" s="86"/>
      <c r="Z82" s="103"/>
      <c r="AG82" s="86"/>
      <c r="AH82" s="101" t="str">
        <f>IFERROR(__xludf.DUMMYFUNCTION("""COMPUTED_VALUE"""),"RUN-FLMP_2022-01-27_APS-081")</f>
        <v>RUN-FLMP_2022-01-27_APS-081</v>
      </c>
      <c r="AI82" s="96">
        <f t="shared" si="7"/>
        <v>28</v>
      </c>
      <c r="AJ82" s="86"/>
    </row>
    <row r="83">
      <c r="A83" s="8" t="s">
        <v>114</v>
      </c>
      <c r="B83" s="14">
        <v>44540.0</v>
      </c>
      <c r="C83" s="88" t="str">
        <f t="shared" si="2"/>
        <v/>
      </c>
      <c r="D83" s="16">
        <f t="array" ref="D83">IF(OR(ISBLANK($A83),$C83),IFERROR(0/0,""),INDEX('RFR Data - preExcl'!E$2:E923,$R83,1))</f>
        <v>6</v>
      </c>
      <c r="E83" s="16" t="str">
        <f t="array" ref="E83">IF(OR(ISBLANK($A83),$C83),IFERROR(0/0,""),INDEX('RFR Data - preExcl'!Z$2:Z923,$R83,1))</f>
        <v/>
      </c>
      <c r="F83" s="16">
        <f t="array" ref="F83">IF(OR(ISBLANK(A83),C83),IFERROR(0/0,""),INDEX('RFR Data - preExcl'!AC$2:AC923,$R83,1))</f>
        <v>6</v>
      </c>
      <c r="G83" s="16">
        <f t="array" ref="G83">IF(OR(ISBLANK(A83),C83),IFERROR(0/0,""),INDEX('RFR Data - preExcl'!AK$2:AK923,$R83,1))</f>
        <v>6</v>
      </c>
      <c r="H83" s="16">
        <f t="array" ref="H83">IF(OR(ISBLANK(A83),C83),IFERROR(0/0,""),INDEX('RFR Data - preExcl'!AL$2:AL923,$R83,1))</f>
        <v>1</v>
      </c>
      <c r="I83" s="16">
        <f>IFERROR(VLOOKUP($B83,'APS Tubes by Date IMPORT'!$B$2:$J923,2,FALSE),"")</f>
        <v>3</v>
      </c>
      <c r="J83" s="16" t="str">
        <f>IFERROR(VLOOKUP($B83,'APS Tubes by Date IMPORT'!$B$2:$J923,9,FALSE),"")</f>
        <v/>
      </c>
      <c r="K83" s="16">
        <f>IFNA(VLOOKUP($B83,'APS Tubes by Date IMPORT'!$B$2:$J923,6,FALSE),"")</f>
        <v>0</v>
      </c>
      <c r="L83" s="89">
        <f t="shared" si="44"/>
        <v>6</v>
      </c>
      <c r="M83" s="16">
        <f t="shared" si="45"/>
        <v>3</v>
      </c>
      <c r="N83" s="116">
        <v>2.0</v>
      </c>
      <c r="O83" s="30" t="b">
        <f t="shared" ref="O83:O89" si="46">IF(ISBLANK(L83),IFERROR(0/0,""),IF($N83&lt;5,TRUE,IFERROR(0/0,"")))</f>
        <v>1</v>
      </c>
      <c r="P83" s="91" t="str">
        <f>IF(ISBLANK(N83),IFERROR(0/0,""),IFERROR(VLOOKUP(N83, 'Process Ref'!$A$76:$D$122, 2, FALSE), IFERROR(0/0,"")))</f>
        <v>Use Audit RFR count (extra tubes in RFR not in Appivo)</v>
      </c>
      <c r="Q83" s="30" t="str">
        <f t="array" ref="Q83">IF(ISBLANK(A83),IFERROR(0/0,""),INDEX('RFR Data - preExcl'!AS$2:AS923,$R83,1))</f>
        <v>Conclude the FLT16 in triplicate was unlogged rerun, LUM on run form (3 tubes not in Appivo FLT130 FLT141 FLT1401)</v>
      </c>
      <c r="R83" s="92">
        <f>IFNA(MATCH(A83,'RFR Data - preExcl'!A$2:A923,0),"")</f>
        <v>12</v>
      </c>
      <c r="S83" s="54"/>
      <c r="T83" s="30" t="str">
        <f>IF(EXACT('RFR Data - preExcl'!W83,"Initial"),'RFR Data - preExcl'!A83,IFERROR(0/0,""))</f>
        <v/>
      </c>
      <c r="U83" s="30" t="str">
        <f>IF(EXACT('RFR Data - preExcl'!W83,"Initial"),'RFR Data - preExcl'!U83,IFERROR(0/0,""))</f>
        <v/>
      </c>
      <c r="X83" s="86"/>
      <c r="Z83" s="103"/>
      <c r="AG83" s="86"/>
      <c r="AH83" s="101" t="str">
        <f>IFERROR(__xludf.DUMMYFUNCTION("""COMPUTED_VALUE"""),"RUN-FLMP_2022-01-29_APS-082")</f>
        <v>RUN-FLMP_2022-01-29_APS-082</v>
      </c>
      <c r="AI83" s="96">
        <f t="shared" si="7"/>
        <v>6</v>
      </c>
      <c r="AJ83" s="86"/>
    </row>
    <row r="84">
      <c r="A84" s="8" t="s">
        <v>115</v>
      </c>
      <c r="B84" s="14">
        <v>44541.0</v>
      </c>
      <c r="C84" s="88" t="str">
        <f t="shared" si="2"/>
        <v/>
      </c>
      <c r="D84" s="16">
        <f t="array" ref="D84">IF(OR(ISBLANK($A84),$C84),IFERROR(0/0,""),INDEX('RFR Data - preExcl'!E$2:E923,$R84,1))</f>
        <v>2</v>
      </c>
      <c r="E84" s="16">
        <f t="array" ref="E84">IF(OR(ISBLANK($A84),$C84),IFERROR(0/0,""),INDEX('RFR Data - preExcl'!Z$2:Z923,$R84,1))</f>
        <v>4</v>
      </c>
      <c r="F84" s="16">
        <f t="array" ref="F84">IF(OR(ISBLANK(A84),C84),IFERROR(0/0,""),INDEX('RFR Data - preExcl'!AC$2:AC923,$R84,1))</f>
        <v>2</v>
      </c>
      <c r="G84" s="59">
        <f t="array" ref="G84">IF(OR(ISBLANK(A84),C84),IFERROR(0/0,""),INDEX('RFR Data - preExcl'!AK$2:AK923,$R84,1))</f>
        <v>2</v>
      </c>
      <c r="H84" s="16">
        <f t="array" ref="H84">IF(OR(ISBLANK(A84),C84),IFERROR(0/0,""),INDEX('RFR Data - preExcl'!AL$2:AL923,$R84,1))</f>
        <v>0</v>
      </c>
      <c r="I84" s="59">
        <f>IFERROR(VLOOKUP($B84,'APS Tubes by Date IMPORT'!$B$2:$J923,2,FALSE),"")</f>
        <v>2</v>
      </c>
      <c r="J84" s="16" t="str">
        <f>IFERROR(VLOOKUP($B84,'APS Tubes by Date IMPORT'!$B$2:$J923,9,FALSE),"")</f>
        <v/>
      </c>
      <c r="K84" s="16">
        <f>IFNA(VLOOKUP($B84,'APS Tubes by Date IMPORT'!$B$2:$J923,6,FALSE),"")</f>
        <v>0</v>
      </c>
      <c r="L84" s="59">
        <f t="shared" si="44"/>
        <v>2</v>
      </c>
      <c r="M84" s="16">
        <f t="shared" si="45"/>
        <v>0</v>
      </c>
      <c r="N84" s="105">
        <v>1.0</v>
      </c>
      <c r="O84" s="30" t="b">
        <f t="shared" si="46"/>
        <v>1</v>
      </c>
      <c r="P84" s="91" t="str">
        <f>IF(ISBLANK(N84),IFERROR(0/0,""),IFERROR(VLOOKUP(N84, 'Process Ref'!$A$76:$D$122, 2, FALSE), IFERROR(0/0,"")))</f>
        <v>Use APS Collect = RFR (diff APS Result count but nets out)</v>
      </c>
      <c r="Q84" s="18" t="s">
        <v>305</v>
      </c>
      <c r="R84" s="92">
        <f>IFNA(MATCH(A84,'RFR Data - preExcl'!A$2:A923,0),"")</f>
        <v>14</v>
      </c>
      <c r="S84" s="54"/>
      <c r="T84" s="30" t="str">
        <f>IF(EXACT('RFR Data - preExcl'!W84,"Initial"),'RFR Data - preExcl'!A84,IFERROR(0/0,""))</f>
        <v>RUN-FLMP_2022-03-03_RFR-093</v>
      </c>
      <c r="U84" s="93">
        <f>IF(EXACT('RFR Data - preExcl'!W84,"Initial"),'RFR Data - preExcl'!U84,IFERROR(0/0,""))</f>
        <v>44623</v>
      </c>
      <c r="X84" s="86"/>
      <c r="Z84" s="103"/>
      <c r="AG84" s="86"/>
      <c r="AH84" s="101" t="str">
        <f>IFERROR(__xludf.DUMMYFUNCTION("""COMPUTED_VALUE"""),"RUN-FLMP_2022-02-05_APS-083")</f>
        <v>RUN-FLMP_2022-02-05_APS-083</v>
      </c>
      <c r="AI84" s="96">
        <f t="shared" si="7"/>
        <v>4</v>
      </c>
      <c r="AJ84" s="86"/>
    </row>
    <row r="85">
      <c r="A85" s="8" t="s">
        <v>116</v>
      </c>
      <c r="B85" s="14">
        <v>44543.0</v>
      </c>
      <c r="C85" s="88" t="str">
        <f t="shared" si="2"/>
        <v/>
      </c>
      <c r="D85" s="16">
        <f t="array" ref="D85">IF(OR(ISBLANK($A85),$C85),IFERROR(0/0,""),INDEX('RFR Data - preExcl'!E$2:E923,$R85,1))</f>
        <v>3</v>
      </c>
      <c r="E85" s="16">
        <f t="array" ref="E85">IF(OR(ISBLANK($A85),$C85),IFERROR(0/0,""),INDEX('RFR Data - preExcl'!Z$2:Z923,$R85,1))</f>
        <v>5</v>
      </c>
      <c r="F85" s="16">
        <f t="array" ref="F85">IF(OR(ISBLANK(A85),C85),IFERROR(0/0,""),INDEX('RFR Data - preExcl'!AC$2:AC923,$R85,1))</f>
        <v>3</v>
      </c>
      <c r="G85" s="59">
        <f t="array" ref="G85">IF(OR(ISBLANK(A85),C85),IFERROR(0/0,""),INDEX('RFR Data - preExcl'!AK$2:AK923,$R85,1))</f>
        <v>3</v>
      </c>
      <c r="H85" s="16">
        <f t="array" ref="H85">IF(OR(ISBLANK(A85),C85),IFERROR(0/0,""),INDEX('RFR Data - preExcl'!AL$2:AL923,$R85,1))</f>
        <v>0</v>
      </c>
      <c r="I85" s="59">
        <f>IFERROR(VLOOKUP($B85,'APS Tubes by Date IMPORT'!$B$2:$J923,2,FALSE),"")</f>
        <v>3</v>
      </c>
      <c r="J85" s="16" t="b">
        <f>IFERROR(VLOOKUP($B85,'APS Tubes by Date IMPORT'!$B$2:$J923,9,FALSE),"")</f>
        <v>1</v>
      </c>
      <c r="K85" s="16">
        <f>IFNA(VLOOKUP($B85,'APS Tubes by Date IMPORT'!$B$2:$J923,6,FALSE),"")</f>
        <v>0</v>
      </c>
      <c r="L85" s="59">
        <f t="shared" si="44"/>
        <v>3</v>
      </c>
      <c r="M85" s="16">
        <f t="shared" si="45"/>
        <v>0</v>
      </c>
      <c r="N85" s="105">
        <v>0.0</v>
      </c>
      <c r="O85" s="30" t="b">
        <f t="shared" si="46"/>
        <v>1</v>
      </c>
      <c r="P85" s="91" t="str">
        <f>IF(ISBLANK(N85),IFERROR(0/0,""),IFERROR(VLOOKUP(N85, 'Process Ref'!$A$76:$D$122, 2, FALSE), IFERROR(0/0,"")))</f>
        <v>ALL 3 COUNTS SAME meaning APS Collect = APS Result = RFR</v>
      </c>
      <c r="R85" s="92">
        <f>IFNA(MATCH(A85,'RFR Data - preExcl'!A$2:A923,0),"")</f>
        <v>15</v>
      </c>
      <c r="S85" s="54"/>
      <c r="T85" s="30" t="str">
        <f>IF(EXACT('RFR Data - preExcl'!W85,"Initial"),'RFR Data - preExcl'!A85,IFERROR(0/0,""))</f>
        <v/>
      </c>
      <c r="U85" s="30" t="str">
        <f>IF(EXACT('RFR Data - preExcl'!W85,"Initial"),'RFR Data - preExcl'!U85,IFERROR(0/0,""))</f>
        <v/>
      </c>
      <c r="X85" s="86"/>
      <c r="Z85" s="103"/>
      <c r="AG85" s="86"/>
      <c r="AH85" s="101" t="str">
        <f>IFERROR(__xludf.DUMMYFUNCTION("""COMPUTED_VALUE"""),"RUN-FLMP_2022-02-18_APS-084")</f>
        <v>RUN-FLMP_2022-02-18_APS-084</v>
      </c>
      <c r="AI85" s="96">
        <f t="shared" si="7"/>
        <v>1</v>
      </c>
      <c r="AJ85" s="86"/>
    </row>
    <row r="86">
      <c r="A86" s="8" t="s">
        <v>118</v>
      </c>
      <c r="B86" s="14">
        <v>44544.0</v>
      </c>
      <c r="C86" s="88" t="str">
        <f t="shared" si="2"/>
        <v/>
      </c>
      <c r="D86" s="16">
        <f t="array" ref="D86">IF(OR(ISBLANK($A86),$C86),IFERROR(0/0,""),INDEX('RFR Data - preExcl'!E$2:E923,$R86,1))</f>
        <v>4</v>
      </c>
      <c r="E86" s="16">
        <f t="array" ref="E86">IF(OR(ISBLANK($A86),$C86),IFERROR(0/0,""),INDEX('RFR Data - preExcl'!Z$2:Z923,$R86,1))</f>
        <v>6</v>
      </c>
      <c r="F86" s="16">
        <f t="array" ref="F86">IF(OR(ISBLANK(A86),C86),IFERROR(0/0,""),INDEX('RFR Data - preExcl'!AC$2:AC923,$R86,1))</f>
        <v>4</v>
      </c>
      <c r="G86" s="117">
        <f t="array" ref="G86">IF(OR(ISBLANK(A86),C86),IFERROR(0/0,""),INDEX('RFR Data - preExcl'!AK$2:AK923,$R86,1))</f>
        <v>4</v>
      </c>
      <c r="H86" s="16">
        <f t="array" ref="H86">IF(OR(ISBLANK(A86),C86),IFERROR(0/0,""),INDEX('RFR Data - preExcl'!AL$2:AL923,$R86,1))</f>
        <v>0</v>
      </c>
      <c r="I86" s="118">
        <f>IFERROR(VLOOKUP($B86,'APS Tubes by Date IMPORT'!$B$2:$J923,2,FALSE),"")</f>
        <v>7</v>
      </c>
      <c r="J86" s="16" t="str">
        <f>IFERROR(VLOOKUP($B86,'APS Tubes by Date IMPORT'!$B$2:$J923,9,FALSE),"")</f>
        <v/>
      </c>
      <c r="K86" s="16">
        <f>IFNA(VLOOKUP($B86,'APS Tubes by Date IMPORT'!$B$2:$J923,6,FALSE),"")</f>
        <v>0</v>
      </c>
      <c r="L86" s="119">
        <f t="shared" si="44"/>
        <v>4</v>
      </c>
      <c r="M86" s="16">
        <f>L86+L87-I86</f>
        <v>0</v>
      </c>
      <c r="N86" s="120">
        <v>5.0</v>
      </c>
      <c r="O86" s="30" t="str">
        <f t="shared" si="46"/>
        <v/>
      </c>
      <c r="P86" s="91" t="str">
        <f>IF(ISBLANK(N86),IFERROR(0/0,""),IFERROR(VLOOKUP(N86, 'Process Ref'!$A$76:$D$122, 2, FALSE), IFERROR(0/0,"")))</f>
        <v>Multiple Initial runs on same day - final count is sum of RFR Audit = APS Collect</v>
      </c>
      <c r="Q86" s="18" t="s">
        <v>306</v>
      </c>
      <c r="R86" s="92">
        <f>IFNA(MATCH(A86,'RFR Data - preExcl'!A$2:A923,0),"")</f>
        <v>16</v>
      </c>
      <c r="S86" s="54"/>
      <c r="T86" s="30" t="str">
        <f>IF(EXACT('RFR Data - preExcl'!W86,"Initial"),'RFR Data - preExcl'!A86,IFERROR(0/0,""))</f>
        <v>RUN-FLMP_2022-03-07_RFR-096</v>
      </c>
      <c r="U86" s="93">
        <f>IF(EXACT('RFR Data - preExcl'!W86,"Initial"),'RFR Data - preExcl'!U86,IFERROR(0/0,""))</f>
        <v>44627</v>
      </c>
      <c r="X86" s="86"/>
      <c r="Z86" s="103"/>
      <c r="AG86" s="86"/>
      <c r="AH86" s="101" t="str">
        <f>IFERROR(__xludf.DUMMYFUNCTION("""COMPUTED_VALUE"""),"RUN-FLMP_2022-03-21_APS-085")</f>
        <v>RUN-FLMP_2022-03-21_APS-085</v>
      </c>
      <c r="AI86" s="96">
        <f t="shared" si="7"/>
        <v>22</v>
      </c>
      <c r="AJ86" s="86"/>
    </row>
    <row r="87">
      <c r="A87" s="8" t="s">
        <v>117</v>
      </c>
      <c r="B87" s="14">
        <v>44544.0</v>
      </c>
      <c r="C87" s="88" t="b">
        <f t="shared" si="2"/>
        <v>1</v>
      </c>
      <c r="D87" s="16" t="str">
        <f t="array" ref="D87">IF(OR(ISBLANK($A87),$C87),IFERROR(0/0,""),INDEX('RFR Data - preExcl'!E$2:E923,$R87,1))</f>
        <v/>
      </c>
      <c r="E87" s="16" t="str">
        <f t="array" ref="E87">IF(OR(ISBLANK($A87),$C87),IFERROR(0/0,""),INDEX('RFR Data - preExcl'!Z$2:Z923,$R87,1))</f>
        <v/>
      </c>
      <c r="F87" s="16" t="str">
        <f t="array" ref="F87">IF(OR(ISBLANK(A87),C87),IFERROR(0/0,""),INDEX('RFR Data - preExcl'!AC$2:AC923,$R87,1))</f>
        <v/>
      </c>
      <c r="G87" s="16" t="str">
        <f t="array" ref="G87">IF(OR(ISBLANK(A87),C87),IFERROR(0/0,""),INDEX('RFR Data - preExcl'!AK$2:AK923,$R87,1))</f>
        <v/>
      </c>
      <c r="H87" s="16" t="str">
        <f t="array" ref="H87">IF(OR(ISBLANK(A87),C87),IFERROR(0/0,""),INDEX('RFR Data - preExcl'!AL$2:AL923,$R87,1))</f>
        <v/>
      </c>
      <c r="I87" s="16"/>
      <c r="J87" s="16" t="str">
        <f>IFERROR(VLOOKUP($B87,'APS Tubes by Date IMPORT'!$B$2:$J923,9,FALSE),"")</f>
        <v/>
      </c>
      <c r="K87" s="16">
        <f>IFNA(VLOOKUP($B87,'APS Tubes by Date IMPORT'!$B$2:$J923,6,FALSE),"")</f>
        <v>0</v>
      </c>
      <c r="L87" s="121">
        <f>I86-L86</f>
        <v>3</v>
      </c>
      <c r="M87" s="16">
        <f>L86+L87-I86</f>
        <v>0</v>
      </c>
      <c r="N87" s="90">
        <v>3.4</v>
      </c>
      <c r="O87" s="30" t="b">
        <f t="shared" si="46"/>
        <v>1</v>
      </c>
      <c r="P87" s="91" t="str">
        <f>IF(ISBLANK(N87),IFERROR(0/0,""),IFERROR(VLOOKUP(N87, 'Process Ref'!$A$76:$D$122, 2, FALSE), IFERROR(0/0,"")))</f>
        <v>Add Run from APS with no RFR (assume run on same day as Collect, ignore Result day)</v>
      </c>
      <c r="Q87" s="18" t="s">
        <v>306</v>
      </c>
      <c r="R87" s="92" t="str">
        <f>IFNA(MATCH(A87,'RFR Data - preExcl'!A$2:A923,0),"")</f>
        <v/>
      </c>
      <c r="S87" s="54"/>
      <c r="T87" s="30" t="str">
        <f>IF(EXACT('RFR Data - preExcl'!W87,"Initial"),'RFR Data - preExcl'!A87,IFERROR(0/0,""))</f>
        <v/>
      </c>
      <c r="U87" s="30" t="str">
        <f>IF(EXACT('RFR Data - preExcl'!W87,"Initial"),'RFR Data - preExcl'!U87,IFERROR(0/0,""))</f>
        <v/>
      </c>
      <c r="X87" s="86"/>
      <c r="Z87" s="103"/>
      <c r="AG87" s="86"/>
      <c r="AH87" s="101" t="str">
        <f>IFERROR(__xludf.DUMMYFUNCTION("""COMPUTED_VALUE"""),"RUN-FLMP_2022-03-24_APS-086")</f>
        <v>RUN-FLMP_2022-03-24_APS-086</v>
      </c>
      <c r="AI87" s="96">
        <f t="shared" si="7"/>
        <v>24</v>
      </c>
      <c r="AJ87" s="86"/>
    </row>
    <row r="88">
      <c r="A88" s="8" t="s">
        <v>119</v>
      </c>
      <c r="B88" s="14">
        <v>44546.0</v>
      </c>
      <c r="C88" s="88" t="str">
        <f t="shared" si="2"/>
        <v/>
      </c>
      <c r="D88" s="16">
        <f t="array" ref="D88">IF(OR(ISBLANK($A88),$C88),IFERROR(0/0,""),INDEX('RFR Data - preExcl'!E$2:E923,$R88,1))</f>
        <v>2</v>
      </c>
      <c r="E88" s="16">
        <f t="array" ref="E88">IF(OR(ISBLANK($A88),$C88),IFERROR(0/0,""),INDEX('RFR Data - preExcl'!Z$2:Z923,$R88,1))</f>
        <v>4</v>
      </c>
      <c r="F88" s="16">
        <f t="array" ref="F88">IF(OR(ISBLANK(A88),C88),IFERROR(0/0,""),INDEX('RFR Data - preExcl'!AC$2:AC923,$R88,1))</f>
        <v>2</v>
      </c>
      <c r="G88" s="59">
        <f t="array" ref="G88">IF(OR(ISBLANK(A88),C88),IFERROR(0/0,""),INDEX('RFR Data - preExcl'!AK$2:AK923,$R88,1))</f>
        <v>2</v>
      </c>
      <c r="H88" s="16">
        <f t="array" ref="H88">IF(OR(ISBLANK(A88),C88),IFERROR(0/0,""),INDEX('RFR Data - preExcl'!AL$2:AL923,$R88,1))</f>
        <v>0</v>
      </c>
      <c r="I88" s="59">
        <f>IFERROR(VLOOKUP($B88,'APS Tubes by Date IMPORT'!$B$2:$J923,2,FALSE),"")</f>
        <v>2</v>
      </c>
      <c r="J88" s="16"/>
      <c r="K88" s="16">
        <f>IFNA(VLOOKUP($B88,'APS Tubes by Date IMPORT'!$B$2:$J923,6,FALSE),"")</f>
        <v>0</v>
      </c>
      <c r="L88" s="59">
        <f t="shared" ref="L88:L100" si="47">IF(ISBLANK(G88),I88,G88)</f>
        <v>2</v>
      </c>
      <c r="M88" s="16">
        <f>L88-I88</f>
        <v>0</v>
      </c>
      <c r="N88" s="105">
        <v>1.0</v>
      </c>
      <c r="O88" s="30" t="b">
        <f t="shared" si="46"/>
        <v>1</v>
      </c>
      <c r="P88" s="91" t="str">
        <f>IF(ISBLANK(N88),IFERROR(0/0,""),IFERROR(VLOOKUP(N88, 'Process Ref'!$A$76:$D$122, 2, FALSE), IFERROR(0/0,"")))</f>
        <v>Use APS Collect = RFR (diff APS Result count but nets out)</v>
      </c>
      <c r="Q88" s="18" t="s">
        <v>307</v>
      </c>
      <c r="R88" s="92">
        <f>IFNA(MATCH(A88,'RFR Data - preExcl'!A$2:A923,0),"")</f>
        <v>17</v>
      </c>
      <c r="S88" s="54"/>
      <c r="T88" s="30" t="str">
        <f>IF(EXACT('RFR Data - preExcl'!W88,"Initial"),'RFR Data - preExcl'!A88,IFERROR(0/0,""))</f>
        <v>RUN-FLMP_2022-03-10_RFR-098</v>
      </c>
      <c r="U88" s="93">
        <f>IF(EXACT('RFR Data - preExcl'!W88,"Initial"),'RFR Data - preExcl'!U88,IFERROR(0/0,""))</f>
        <v>44630</v>
      </c>
      <c r="X88" s="86"/>
      <c r="Z88" s="103"/>
      <c r="AG88" s="86"/>
      <c r="AH88" s="101" t="str">
        <f>IFERROR(__xludf.DUMMYFUNCTION("""COMPUTED_VALUE"""),"RUN-FLMP_2022-03-28_APS-087")</f>
        <v>RUN-FLMP_2022-03-28_APS-087</v>
      </c>
      <c r="AI88" s="96">
        <f t="shared" si="7"/>
        <v>5</v>
      </c>
      <c r="AJ88" s="86"/>
    </row>
    <row r="89">
      <c r="A89" s="8" t="s">
        <v>120</v>
      </c>
      <c r="B89" s="14">
        <v>44548.0</v>
      </c>
      <c r="C89" s="88" t="str">
        <f t="shared" si="2"/>
        <v/>
      </c>
      <c r="D89" s="16">
        <f t="array" ref="D89">IF(OR(ISBLANK($A89),$C89),IFERROR(0/0,""),INDEX('RFR Data - preExcl'!E$2:E923,$R89,1))</f>
        <v>2</v>
      </c>
      <c r="E89" s="16">
        <f t="array" ref="E89">IF(OR(ISBLANK($A89),$C89),IFERROR(0/0,""),INDEX('RFR Data - preExcl'!Z$2:Z923,$R89,1))</f>
        <v>4</v>
      </c>
      <c r="F89" s="16">
        <f t="array" ref="F89">IF(OR(ISBLANK(A89),C89),IFERROR(0/0,""),INDEX('RFR Data - preExcl'!AC$2:AC923,$R89,1))</f>
        <v>2</v>
      </c>
      <c r="G89" s="119">
        <f t="array" ref="G89">IF(OR(ISBLANK(A89),C89),IFERROR(0/0,""),INDEX('RFR Data - preExcl'!AK$2:AK923,$R89,1))</f>
        <v>2</v>
      </c>
      <c r="H89" s="16">
        <f t="array" ref="H89">IF(OR(ISBLANK(A89),C89),IFERROR(0/0,""),INDEX('RFR Data - preExcl'!AL$2:AL923,$R89,1))</f>
        <v>4</v>
      </c>
      <c r="I89" s="122">
        <f>IFERROR(VLOOKUP($B89,'APS Tubes by Date IMPORT'!$B$2:$J923,2,FALSE),"")</f>
        <v>6</v>
      </c>
      <c r="J89" s="16" t="str">
        <f>IFERROR(VLOOKUP($B89,'APS Tubes by Date IMPORT'!$B$2:$J923,9,FALSE),"")</f>
        <v/>
      </c>
      <c r="K89" s="16">
        <f>IFNA(VLOOKUP($B89,'APS Tubes by Date IMPORT'!$B$2:$J923,6,FALSE),"")</f>
        <v>0</v>
      </c>
      <c r="L89" s="119">
        <f t="shared" si="47"/>
        <v>2</v>
      </c>
      <c r="M89" s="21">
        <v>0.0</v>
      </c>
      <c r="N89" s="120">
        <v>5.0</v>
      </c>
      <c r="O89" s="30" t="str">
        <f t="shared" si="46"/>
        <v/>
      </c>
      <c r="P89" s="91" t="str">
        <f>IF(ISBLANK(N89),IFERROR(0/0,""),IFERROR(VLOOKUP(N89, 'Process Ref'!$A$76:$D$122, 2, FALSE), IFERROR(0/0,"")))</f>
        <v>Multiple Initial runs on same day - final count is sum of RFR Audit = APS Collect</v>
      </c>
      <c r="R89" s="92">
        <f>IFNA(MATCH(A89,'RFR Data - preExcl'!A$2:A923,0),"")</f>
        <v>18</v>
      </c>
      <c r="S89" s="54"/>
      <c r="T89" s="30" t="str">
        <f>IF(EXACT('RFR Data - preExcl'!W89,"Initial"),'RFR Data - preExcl'!A89,IFERROR(0/0,""))</f>
        <v>RUN-FLMP_2022-03-12_RFR-099</v>
      </c>
      <c r="U89" s="93">
        <f>IF(EXACT('RFR Data - preExcl'!W89,"Initial"),'RFR Data - preExcl'!U89,IFERROR(0/0,""))</f>
        <v>44632</v>
      </c>
      <c r="X89" s="86"/>
      <c r="Z89" s="103"/>
      <c r="AG89" s="86"/>
      <c r="AH89" s="101" t="str">
        <f>IFERROR(__xludf.DUMMYFUNCTION("""COMPUTED_VALUE"""),"RUN-FLMP_2022-04-01_APS-088")</f>
        <v>RUN-FLMP_2022-04-01_APS-088</v>
      </c>
      <c r="AI89" s="96">
        <f t="shared" si="7"/>
        <v>3</v>
      </c>
      <c r="AJ89" s="86"/>
    </row>
    <row r="90">
      <c r="A90" s="8" t="s">
        <v>121</v>
      </c>
      <c r="B90" s="14">
        <v>44548.0</v>
      </c>
      <c r="C90" s="88" t="str">
        <f t="shared" si="2"/>
        <v/>
      </c>
      <c r="D90" s="16">
        <f t="array" ref="D90">IF(OR(ISBLANK($A90),$C90),IFERROR(0/0,""),INDEX('RFR Data - preExcl'!E$2:E923,$R90,1))</f>
        <v>2</v>
      </c>
      <c r="E90" s="16">
        <f t="array" ref="E90">IF(OR(ISBLANK($A90),$C90),IFERROR(0/0,""),INDEX('RFR Data - preExcl'!Z$2:Z923,$R90,1))</f>
        <v>8</v>
      </c>
      <c r="F90" s="16">
        <f t="array" ref="F90">IF(OR(ISBLANK(A90),C90),IFERROR(0/0,""),INDEX('RFR Data - preExcl'!AC$2:AC923,$R90,1))</f>
        <v>6</v>
      </c>
      <c r="G90" s="123">
        <f t="array" ref="G90">IF(OR(ISBLANK(A90),C90),IFERROR(0/0,""),INDEX('RFR Data - preExcl'!AK$2:AK923,$R90,1))</f>
        <v>2</v>
      </c>
      <c r="H90" s="16">
        <f t="array" ref="H90">IF(OR(ISBLANK(A90),C90),IFERROR(0/0,""),INDEX('RFR Data - preExcl'!AL$2:AL923,$R90,1))</f>
        <v>4</v>
      </c>
      <c r="I90" s="16"/>
      <c r="J90" s="16" t="str">
        <f>IFERROR(VLOOKUP($B90,'APS Tubes by Date IMPORT'!$B$2:$J923,9,FALSE),"")</f>
        <v/>
      </c>
      <c r="K90" s="16">
        <f>IFNA(VLOOKUP($B90,'APS Tubes by Date IMPORT'!$B$2:$J923,6,FALSE),"")</f>
        <v>0</v>
      </c>
      <c r="L90" s="123">
        <f t="shared" si="47"/>
        <v>2</v>
      </c>
      <c r="M90" s="21">
        <v>0.0</v>
      </c>
      <c r="N90" s="120">
        <v>5.0</v>
      </c>
      <c r="O90" s="30"/>
      <c r="P90" s="91" t="str">
        <f>IF(ISBLANK(N90),IFERROR(0/0,""),IFERROR(VLOOKUP(N90, 'Process Ref'!$A$76:$D$122, 2, FALSE), IFERROR(0/0,"")))</f>
        <v>Multiple Initial runs on same day - final count is sum of RFR Audit = APS Collect</v>
      </c>
      <c r="Q90" s="18" t="s">
        <v>308</v>
      </c>
      <c r="R90" s="92">
        <f>IFNA(MATCH(A90,'RFR Data - preExcl'!A$2:A923,0),"")</f>
        <v>19</v>
      </c>
      <c r="S90" s="54"/>
      <c r="T90" s="30" t="str">
        <f>IF(EXACT('RFR Data - preExcl'!W90,"Initial"),'RFR Data - preExcl'!A90,IFERROR(0/0,""))</f>
        <v>RUN-FLMP_2022-03-14_RFR-100</v>
      </c>
      <c r="U90" s="93">
        <f>IF(EXACT('RFR Data - preExcl'!W90,"Initial"),'RFR Data - preExcl'!U90,IFERROR(0/0,""))</f>
        <v>44634</v>
      </c>
      <c r="X90" s="86"/>
      <c r="Z90" s="103"/>
      <c r="AG90" s="86"/>
      <c r="AH90" s="101" t="str">
        <f>IFERROR(__xludf.DUMMYFUNCTION("""COMPUTED_VALUE"""),"RUN-FLMP_2022-04-16_APS-089")</f>
        <v>RUN-FLMP_2022-04-16_APS-089</v>
      </c>
      <c r="AI90" s="96">
        <f t="shared" si="7"/>
        <v>1</v>
      </c>
      <c r="AJ90" s="86"/>
    </row>
    <row r="91">
      <c r="A91" s="8" t="s">
        <v>122</v>
      </c>
      <c r="B91" s="14">
        <v>44548.0</v>
      </c>
      <c r="C91" s="88" t="str">
        <f t="shared" si="2"/>
        <v/>
      </c>
      <c r="D91" s="16">
        <f t="array" ref="D91">IF(OR(ISBLANK($A91),$C91),IFERROR(0/0,""),INDEX('RFR Data - preExcl'!E$2:E923,$R91,1))</f>
        <v>2</v>
      </c>
      <c r="E91" s="16">
        <f t="array" ref="E91">IF(OR(ISBLANK($A91),$C91),IFERROR(0/0,""),INDEX('RFR Data - preExcl'!Z$2:Z923,$R91,1))</f>
        <v>7</v>
      </c>
      <c r="F91" s="16">
        <f t="array" ref="F91">IF(OR(ISBLANK(A91),C91),IFERROR(0/0,""),INDEX('RFR Data - preExcl'!AC$2:AC923,$R91,1))</f>
        <v>5</v>
      </c>
      <c r="G91" s="121">
        <f t="array" ref="G91">IF(OR(ISBLANK(A91),C91),IFERROR(0/0,""),INDEX('RFR Data - preExcl'!AK$2:AK923,$R91,1))</f>
        <v>2</v>
      </c>
      <c r="H91" s="16">
        <f t="array" ref="H91">IF(OR(ISBLANK(A91),C91),IFERROR(0/0,""),INDEX('RFR Data - preExcl'!AL$2:AL923,$R91,1))</f>
        <v>0</v>
      </c>
      <c r="I91" s="16"/>
      <c r="J91" s="16" t="str">
        <f>IFERROR(VLOOKUP($B91,'APS Tubes by Date IMPORT'!$B$2:$J923,9,FALSE),"")</f>
        <v/>
      </c>
      <c r="K91" s="16">
        <f>IFNA(VLOOKUP($B91,'APS Tubes by Date IMPORT'!$B$2:$J923,6,FALSE),"")</f>
        <v>0</v>
      </c>
      <c r="L91" s="121">
        <f t="shared" si="47"/>
        <v>2</v>
      </c>
      <c r="M91" s="21">
        <v>0.0</v>
      </c>
      <c r="N91" s="120">
        <v>5.0</v>
      </c>
      <c r="O91" s="30"/>
      <c r="P91" s="91" t="str">
        <f>IF(ISBLANK(N91),IFERROR(0/0,""),IFERROR(VLOOKUP(N91, 'Process Ref'!$A$76:$D$122, 2, FALSE), IFERROR(0/0,"")))</f>
        <v>Multiple Initial runs on same day - final count is sum of RFR Audit = APS Collect</v>
      </c>
      <c r="Q91" s="18" t="s">
        <v>309</v>
      </c>
      <c r="R91" s="92">
        <f>IFNA(MATCH(A91,'RFR Data - preExcl'!A$2:A923,0),"")</f>
        <v>20</v>
      </c>
      <c r="S91" s="54"/>
      <c r="T91" s="30" t="str">
        <f>IF(EXACT('RFR Data - preExcl'!W91,"Initial"),'RFR Data - preExcl'!A91,IFERROR(0/0,""))</f>
        <v/>
      </c>
      <c r="U91" s="30" t="str">
        <f>IF(EXACT('RFR Data - preExcl'!W91,"Initial"),'RFR Data - preExcl'!U91,IFERROR(0/0,""))</f>
        <v/>
      </c>
      <c r="X91" s="86"/>
      <c r="Z91" s="103"/>
      <c r="AG91" s="86"/>
      <c r="AH91" s="101" t="str">
        <f>IFERROR(__xludf.DUMMYFUNCTION("""COMPUTED_VALUE"""),"RUN-FLMP_2022-05-09_APS-090")</f>
        <v>RUN-FLMP_2022-05-09_APS-090</v>
      </c>
      <c r="AI91" s="96">
        <f t="shared" si="7"/>
        <v>4</v>
      </c>
      <c r="AJ91" s="86"/>
    </row>
    <row r="92">
      <c r="A92" s="8" t="s">
        <v>123</v>
      </c>
      <c r="B92" s="14">
        <v>44549.0</v>
      </c>
      <c r="C92" s="88" t="str">
        <f t="shared" si="2"/>
        <v/>
      </c>
      <c r="D92" s="16">
        <f t="array" ref="D92">IF(OR(ISBLANK($A92),$C92),IFERROR(0/0,""),INDEX('RFR Data - preExcl'!E$2:E923,$R92,1))</f>
        <v>1</v>
      </c>
      <c r="E92" s="16">
        <f t="array" ref="E92">IF(OR(ISBLANK($A92),$C92),IFERROR(0/0,""),INDEX('RFR Data - preExcl'!Z$2:Z923,$R92,1))</f>
        <v>8</v>
      </c>
      <c r="F92" s="16">
        <f t="array" ref="F92">IF(OR(ISBLANK(A92),C92),IFERROR(0/0,""),INDEX('RFR Data - preExcl'!AC$2:AC923,$R92,1))</f>
        <v>6</v>
      </c>
      <c r="G92" s="16">
        <f t="array" ref="G92">IF(OR(ISBLANK(A92),C92),IFERROR(0/0,""),INDEX('RFR Data - preExcl'!AK$2:AK923,$R92,1))</f>
        <v>3</v>
      </c>
      <c r="H92" s="16">
        <f t="array" ref="H92">IF(OR(ISBLANK(A92),C92),IFERROR(0/0,""),INDEX('RFR Data - preExcl'!AL$2:AL923,$R92,1))</f>
        <v>0</v>
      </c>
      <c r="I92" s="124">
        <f>IFERROR(VLOOKUP($B92,'APS Tubes by Date IMPORT'!$B$2:$J923,2,FALSE),"")</f>
        <v>4</v>
      </c>
      <c r="J92" s="16" t="b">
        <f>IFERROR(VLOOKUP($B92,'APS Tubes by Date IMPORT'!$B$2:$J923,9,FALSE),"")</f>
        <v>1</v>
      </c>
      <c r="K92" s="16">
        <f>IFNA(VLOOKUP($B92,'APS Tubes by Date IMPORT'!$B$2:$J923,6,FALSE),"")</f>
        <v>0</v>
      </c>
      <c r="L92" s="125">
        <f t="shared" si="47"/>
        <v>3</v>
      </c>
      <c r="M92" s="21">
        <v>0.0</v>
      </c>
      <c r="N92" s="120">
        <v>5.0</v>
      </c>
      <c r="O92" s="30"/>
      <c r="P92" s="91" t="str">
        <f>IF(ISBLANK(N92),IFERROR(0/0,""),IFERROR(VLOOKUP(N92, 'Process Ref'!$A$76:$D$122, 2, FALSE), IFERROR(0/0,"")))</f>
        <v>Multiple Initial runs on same day - final count is sum of RFR Audit = APS Collect</v>
      </c>
      <c r="Q92" s="18" t="s">
        <v>310</v>
      </c>
      <c r="R92" s="92">
        <f>IFNA(MATCH(A92,'RFR Data - preExcl'!A$2:A923,0),"")</f>
        <v>21</v>
      </c>
      <c r="S92" s="54"/>
      <c r="T92" s="30" t="str">
        <f>IF(EXACT('RFR Data - preExcl'!W92,"Initial"),'RFR Data - preExcl'!A92,IFERROR(0/0,""))</f>
        <v>RUN-FLMP_2022-03-17_RFR-102</v>
      </c>
      <c r="U92" s="93">
        <f>IF(EXACT('RFR Data - preExcl'!W92,"Initial"),'RFR Data - preExcl'!U92,IFERROR(0/0,""))</f>
        <v>44637</v>
      </c>
      <c r="X92" s="86"/>
      <c r="Z92" s="103"/>
      <c r="AG92" s="86"/>
      <c r="AH92" s="101" t="str">
        <f>IFERROR(__xludf.DUMMYFUNCTION("""COMPUTED_VALUE"""),"RUN-FLMP_2022-05-19_APS-091")</f>
        <v>RUN-FLMP_2022-05-19_APS-091</v>
      </c>
      <c r="AI92" s="96">
        <f t="shared" si="7"/>
        <v>2</v>
      </c>
      <c r="AJ92" s="86"/>
    </row>
    <row r="93">
      <c r="A93" s="8" t="s">
        <v>124</v>
      </c>
      <c r="B93" s="14">
        <v>44549.0</v>
      </c>
      <c r="C93" s="88" t="str">
        <f t="shared" si="2"/>
        <v/>
      </c>
      <c r="D93" s="16">
        <f t="array" ref="D93">IF(OR(ISBLANK($A93),$C93),IFERROR(0/0,""),INDEX('RFR Data - preExcl'!E$2:E923,$R93,1))</f>
        <v>1</v>
      </c>
      <c r="E93" s="16">
        <f t="array" ref="E93">IF(OR(ISBLANK($A93),$C93),IFERROR(0/0,""),INDEX('RFR Data - preExcl'!Z$2:Z923,$R93,1))</f>
        <v>2</v>
      </c>
      <c r="F93" s="16">
        <f t="array" ref="F93">IF(OR(ISBLANK(A93),C93),IFERROR(0/0,""),INDEX('RFR Data - preExcl'!AC$2:AC923,$R93,1))</f>
        <v>1</v>
      </c>
      <c r="G93" s="16">
        <f t="array" ref="G93">IF(OR(ISBLANK(A93),C93),IFERROR(0/0,""),INDEX('RFR Data - preExcl'!AK$2:AK923,$R93,1))</f>
        <v>1</v>
      </c>
      <c r="H93" s="16">
        <f t="array" ref="H93">IF(OR(ISBLANK(A93),C93),IFERROR(0/0,""),INDEX('RFR Data - preExcl'!AL$2:AL923,$R93,1))</f>
        <v>0</v>
      </c>
      <c r="I93" s="16"/>
      <c r="J93" s="16" t="b">
        <f>IFERROR(VLOOKUP($B93,'APS Tubes by Date IMPORT'!$B$2:$J923,9,FALSE),"")</f>
        <v>1</v>
      </c>
      <c r="K93" s="16">
        <f>IFNA(VLOOKUP($B93,'APS Tubes by Date IMPORT'!$B$2:$J923,6,FALSE),"")</f>
        <v>0</v>
      </c>
      <c r="L93" s="126">
        <f t="shared" si="47"/>
        <v>1</v>
      </c>
      <c r="M93" s="21">
        <v>0.0</v>
      </c>
      <c r="N93" s="120">
        <v>5.0</v>
      </c>
      <c r="O93" s="30" t="str">
        <f t="shared" ref="O93:O101" si="48">IF(ISBLANK(L93),IFERROR(0/0,""),IF($N93&lt;5,TRUE,IFERROR(0/0,"")))</f>
        <v/>
      </c>
      <c r="P93" s="91" t="str">
        <f>IF(ISBLANK(N93),IFERROR(0/0,""),IFERROR(VLOOKUP(N93, 'Process Ref'!$A$76:$D$122, 2, FALSE), IFERROR(0/0,"")))</f>
        <v>Multiple Initial runs on same day - final count is sum of RFR Audit = APS Collect</v>
      </c>
      <c r="R93" s="92">
        <f>IFNA(MATCH(A93,'RFR Data - preExcl'!A$2:A923,0),"")</f>
        <v>22</v>
      </c>
      <c r="S93" s="54"/>
      <c r="T93" s="30" t="str">
        <f>IF(EXACT('RFR Data - preExcl'!W93,"Initial"),'RFR Data - preExcl'!A93,IFERROR(0/0,""))</f>
        <v>RUN-FLMP_2022-03-22_RFR-103</v>
      </c>
      <c r="U93" s="93">
        <f>IF(EXACT('RFR Data - preExcl'!W93,"Initial"),'RFR Data - preExcl'!U93,IFERROR(0/0,""))</f>
        <v>44642</v>
      </c>
      <c r="X93" s="86"/>
      <c r="Z93" s="103"/>
      <c r="AG93" s="86"/>
      <c r="AH93" s="101" t="str">
        <f>IFERROR(__xludf.DUMMYFUNCTION("""COMPUTED_VALUE"""),"RUN-FLMP_2022-06-09_APS-092")</f>
        <v>RUN-FLMP_2022-06-09_APS-092</v>
      </c>
      <c r="AI93" s="96">
        <f t="shared" si="7"/>
        <v>3</v>
      </c>
      <c r="AJ93" s="86"/>
    </row>
    <row r="94">
      <c r="A94" s="8" t="s">
        <v>125</v>
      </c>
      <c r="B94" s="14">
        <v>44550.0</v>
      </c>
      <c r="C94" s="88" t="str">
        <f t="shared" si="2"/>
        <v/>
      </c>
      <c r="D94" s="16">
        <f t="array" ref="D94">IF(OR(ISBLANK($A94),$C94),IFERROR(0/0,""),INDEX('RFR Data - preExcl'!E$2:E923,$R94,1))</f>
        <v>6</v>
      </c>
      <c r="E94" s="16">
        <f t="array" ref="E94">IF(OR(ISBLANK($A94),$C94),IFERROR(0/0,""),INDEX('RFR Data - preExcl'!Z$2:Z923,$R94,1))</f>
        <v>6</v>
      </c>
      <c r="F94" s="16">
        <f t="array" ref="F94">IF(OR(ISBLANK(A94),C94),IFERROR(0/0,""),INDEX('RFR Data - preExcl'!AC$2:AC923,$R94,1))</f>
        <v>4</v>
      </c>
      <c r="G94" s="16">
        <f t="array" ref="G94">IF(OR(ISBLANK(A94),C94),IFERROR(0/0,""),INDEX('RFR Data - preExcl'!AK$2:AK923,$R94,1))</f>
        <v>3</v>
      </c>
      <c r="H94" s="16">
        <f t="array" ref="H94">IF(OR(ISBLANK(A94),C94),IFERROR(0/0,""),INDEX('RFR Data - preExcl'!AL$2:AL923,$R94,1))</f>
        <v>0</v>
      </c>
      <c r="I94" s="124">
        <f>IFERROR(VLOOKUP($B94,'APS Tubes by Date IMPORT'!$B$2:$J923,2,FALSE),"")</f>
        <v>5</v>
      </c>
      <c r="J94" s="16" t="b">
        <f>IFERROR(VLOOKUP($B94,'APS Tubes by Date IMPORT'!$B$2:$J923,9,FALSE),"")</f>
        <v>1</v>
      </c>
      <c r="K94" s="16">
        <f>IFNA(VLOOKUP($B94,'APS Tubes by Date IMPORT'!$B$2:$J923,6,FALSE),"")</f>
        <v>0</v>
      </c>
      <c r="L94" s="127">
        <f t="shared" si="47"/>
        <v>3</v>
      </c>
      <c r="M94" s="21">
        <v>0.0</v>
      </c>
      <c r="N94" s="120">
        <v>5.0</v>
      </c>
      <c r="O94" s="30" t="str">
        <f t="shared" si="48"/>
        <v/>
      </c>
      <c r="P94" s="91" t="str">
        <f>IF(ISBLANK(N94),IFERROR(0/0,""),IFERROR(VLOOKUP(N94, 'Process Ref'!$A$76:$D$122, 2, FALSE), IFERROR(0/0,"")))</f>
        <v>Multiple Initial runs on same day - final count is sum of RFR Audit = APS Collect</v>
      </c>
      <c r="R94" s="92">
        <f>IFNA(MATCH(A94,'RFR Data - preExcl'!A$2:A923,0),"")</f>
        <v>23</v>
      </c>
      <c r="S94" s="54"/>
      <c r="T94" s="30" t="str">
        <f>IF(EXACT('RFR Data - preExcl'!W94,"Initial"),'RFR Data - preExcl'!A94,IFERROR(0/0,""))</f>
        <v>RUN-FLMP_2022-04-02_RFR-104</v>
      </c>
      <c r="U94" s="93">
        <f>IF(EXACT('RFR Data - preExcl'!W94,"Initial"),'RFR Data - preExcl'!U94,IFERROR(0/0,""))</f>
        <v>44653</v>
      </c>
      <c r="X94" s="86"/>
      <c r="Z94" s="103"/>
      <c r="AG94" s="86"/>
      <c r="AH94" s="101" t="str">
        <f>IFERROR(__xludf.DUMMYFUNCTION("""COMPUTED_VALUE"""),"RUN-FLMP_2022-06-13_APS-093")</f>
        <v>RUN-FLMP_2022-06-13_APS-093</v>
      </c>
      <c r="AI94" s="96">
        <f t="shared" si="7"/>
        <v>2</v>
      </c>
      <c r="AJ94" s="86"/>
    </row>
    <row r="95">
      <c r="A95" s="8" t="s">
        <v>126</v>
      </c>
      <c r="B95" s="14">
        <v>44550.0</v>
      </c>
      <c r="C95" s="88" t="str">
        <f t="shared" si="2"/>
        <v/>
      </c>
      <c r="D95" s="16">
        <f t="array" ref="D95">IF(OR(ISBLANK($A95),$C95),IFERROR(0/0,""),INDEX('RFR Data - preExcl'!E$2:E923,$R95,1))</f>
        <v>2</v>
      </c>
      <c r="E95" s="16">
        <f t="array" ref="E95">IF(OR(ISBLANK($A95),$C95),IFERROR(0/0,""),INDEX('RFR Data - preExcl'!Z$2:Z923,$R95,1))</f>
        <v>4</v>
      </c>
      <c r="F95" s="16">
        <f t="array" ref="F95">IF(OR(ISBLANK(A95),C95),IFERROR(0/0,""),INDEX('RFR Data - preExcl'!AC$2:AC923,$R95,1))</f>
        <v>2</v>
      </c>
      <c r="G95" s="16">
        <f t="array" ref="G95">IF(OR(ISBLANK(A95),C95),IFERROR(0/0,""),INDEX('RFR Data - preExcl'!AK$2:AK923,$R95,1))</f>
        <v>2</v>
      </c>
      <c r="H95" s="16">
        <f t="array" ref="H95">IF(OR(ISBLANK(A95),C95),IFERROR(0/0,""),INDEX('RFR Data - preExcl'!AL$2:AL923,$R95,1))</f>
        <v>0</v>
      </c>
      <c r="I95" s="16"/>
      <c r="J95" s="16" t="b">
        <f>IFERROR(VLOOKUP($B95,'APS Tubes by Date IMPORT'!$B$2:$J923,9,FALSE),"")</f>
        <v>1</v>
      </c>
      <c r="K95" s="16">
        <f>IFNA(VLOOKUP($B95,'APS Tubes by Date IMPORT'!$B$2:$J923,6,FALSE),"")</f>
        <v>0</v>
      </c>
      <c r="L95" s="128">
        <f t="shared" si="47"/>
        <v>2</v>
      </c>
      <c r="M95" s="21">
        <v>0.0</v>
      </c>
      <c r="N95" s="120">
        <v>5.0</v>
      </c>
      <c r="O95" s="30" t="str">
        <f t="shared" si="48"/>
        <v/>
      </c>
      <c r="P95" s="91" t="str">
        <f>IF(ISBLANK(N95),IFERROR(0/0,""),IFERROR(VLOOKUP(N95, 'Process Ref'!$A$76:$D$122, 2, FALSE), IFERROR(0/0,"")))</f>
        <v>Multiple Initial runs on same day - final count is sum of RFR Audit = APS Collect</v>
      </c>
      <c r="R95" s="92">
        <f>IFNA(MATCH(A95,'RFR Data - preExcl'!A$2:A923,0),"")</f>
        <v>24</v>
      </c>
      <c r="S95" s="54"/>
      <c r="T95" s="30" t="str">
        <f>IF(EXACT('RFR Data - preExcl'!W95,"Initial"),'RFR Data - preExcl'!A95,IFERROR(0/0,""))</f>
        <v>RUN-FLMP_2022-04-04_RFR-105</v>
      </c>
      <c r="U95" s="93">
        <f>IF(EXACT('RFR Data - preExcl'!W95,"Initial"),'RFR Data - preExcl'!U95,IFERROR(0/0,""))</f>
        <v>44655</v>
      </c>
      <c r="X95" s="86"/>
      <c r="Z95" s="103"/>
      <c r="AG95" s="86"/>
      <c r="AH95" s="101" t="str">
        <f>IFERROR(__xludf.DUMMYFUNCTION("""COMPUTED_VALUE"""),"RUN-FLMP_2022-06-16_APS-094")</f>
        <v>RUN-FLMP_2022-06-16_APS-094</v>
      </c>
      <c r="AI95" s="96">
        <f t="shared" si="7"/>
        <v>2</v>
      </c>
      <c r="AJ95" s="86"/>
    </row>
    <row r="96">
      <c r="A96" s="8" t="s">
        <v>127</v>
      </c>
      <c r="B96" s="14">
        <v>44551.0</v>
      </c>
      <c r="C96" s="88" t="str">
        <f t="shared" si="2"/>
        <v/>
      </c>
      <c r="D96" s="16">
        <f t="array" ref="D96">IF(OR(ISBLANK($A96),$C96),IFERROR(0/0,""),INDEX('RFR Data - preExcl'!E$2:E923,$R96,1))</f>
        <v>4</v>
      </c>
      <c r="E96" s="16">
        <f t="array" ref="E96">IF(OR(ISBLANK($A96),$C96),IFERROR(0/0,""),INDEX('RFR Data - preExcl'!Z$2:Z923,$R96,1))</f>
        <v>6</v>
      </c>
      <c r="F96" s="16">
        <f t="array" ref="F96">IF(OR(ISBLANK(A96),C96),IFERROR(0/0,""),INDEX('RFR Data - preExcl'!AC$2:AC923,$R96,1))</f>
        <v>4</v>
      </c>
      <c r="G96" s="16">
        <f t="array" ref="G96">IF(OR(ISBLANK(A96),C96),IFERROR(0/0,""),INDEX('RFR Data - preExcl'!AK$2:AK923,$R96,1))</f>
        <v>4</v>
      </c>
      <c r="H96" s="16">
        <f t="array" ref="H96">IF(OR(ISBLANK(A96),C96),IFERROR(0/0,""),INDEX('RFR Data - preExcl'!AL$2:AL923,$R96,1))</f>
        <v>0</v>
      </c>
      <c r="I96" s="124">
        <f>IFERROR(VLOOKUP($B96,'APS Tubes by Date IMPORT'!$B$2:$J923,2,FALSE),"")</f>
        <v>6</v>
      </c>
      <c r="J96" s="16" t="b">
        <f>IFERROR(VLOOKUP($B96,'APS Tubes by Date IMPORT'!$B$2:$J923,9,FALSE),"")</f>
        <v>1</v>
      </c>
      <c r="K96" s="16">
        <f>IFNA(VLOOKUP($B96,'APS Tubes by Date IMPORT'!$B$2:$J923,6,FALSE),"")</f>
        <v>0</v>
      </c>
      <c r="L96" s="127">
        <f t="shared" si="47"/>
        <v>4</v>
      </c>
      <c r="M96" s="16">
        <f>L96+L95-I96</f>
        <v>0</v>
      </c>
      <c r="N96" s="120">
        <v>5.0</v>
      </c>
      <c r="O96" s="30" t="str">
        <f t="shared" si="48"/>
        <v/>
      </c>
      <c r="P96" s="91" t="str">
        <f>IF(ISBLANK(N96),IFERROR(0/0,""),IFERROR(VLOOKUP(N96, 'Process Ref'!$A$76:$D$122, 2, FALSE), IFERROR(0/0,"")))</f>
        <v>Multiple Initial runs on same day - final count is sum of RFR Audit = APS Collect</v>
      </c>
      <c r="R96" s="92">
        <f>IFNA(MATCH(A96,'RFR Data - preExcl'!A$2:A923,0),"")</f>
        <v>26</v>
      </c>
      <c r="S96" s="54"/>
      <c r="T96" s="30" t="str">
        <f>IF(EXACT('RFR Data - preExcl'!W96,"Initial"),'RFR Data - preExcl'!A96,IFERROR(0/0,""))</f>
        <v/>
      </c>
      <c r="U96" s="30" t="str">
        <f>IF(EXACT('RFR Data - preExcl'!W96,"Initial"),'RFR Data - preExcl'!U96,IFERROR(0/0,""))</f>
        <v/>
      </c>
      <c r="X96" s="86"/>
      <c r="Z96" s="103"/>
      <c r="AG96" s="86"/>
      <c r="AH96" s="101" t="str">
        <f>IFERROR(__xludf.DUMMYFUNCTION("""COMPUTED_VALUE"""),"RUN-FLMP_2022-06-17_APS-095")</f>
        <v>RUN-FLMP_2022-06-17_APS-095</v>
      </c>
      <c r="AI96" s="96">
        <f t="shared" si="7"/>
        <v>1</v>
      </c>
      <c r="AJ96" s="86"/>
    </row>
    <row r="97">
      <c r="A97" s="8" t="s">
        <v>128</v>
      </c>
      <c r="B97" s="14">
        <v>44551.0</v>
      </c>
      <c r="C97" s="88" t="str">
        <f t="shared" si="2"/>
        <v/>
      </c>
      <c r="D97" s="16">
        <f t="array" ref="D97">IF(OR(ISBLANK($A97),$C97),IFERROR(0/0,""),INDEX('RFR Data - preExcl'!E$2:E923,$R97,1))</f>
        <v>2</v>
      </c>
      <c r="E97" s="16">
        <f t="array" ref="E97">IF(OR(ISBLANK($A97),$C97),IFERROR(0/0,""),INDEX('RFR Data - preExcl'!Z$2:Z923,$R97,1))</f>
        <v>4</v>
      </c>
      <c r="F97" s="16">
        <f t="array" ref="F97">IF(OR(ISBLANK(A97),C97),IFERROR(0/0,""),INDEX('RFR Data - preExcl'!AC$2:AC923,$R97,1))</f>
        <v>2</v>
      </c>
      <c r="G97" s="16">
        <f t="array" ref="G97">IF(OR(ISBLANK(A97),C97),IFERROR(0/0,""),INDEX('RFR Data - preExcl'!AK$2:AK923,$R97,1))</f>
        <v>2</v>
      </c>
      <c r="H97" s="16">
        <f t="array" ref="H97">IF(OR(ISBLANK(A97),C97),IFERROR(0/0,""),INDEX('RFR Data - preExcl'!AL$2:AL923,$R97,1))</f>
        <v>0</v>
      </c>
      <c r="I97" s="16"/>
      <c r="J97" s="16" t="b">
        <f>IFERROR(VLOOKUP($B97,'APS Tubes by Date IMPORT'!$B$2:$J923,9,FALSE),"")</f>
        <v>1</v>
      </c>
      <c r="K97" s="16">
        <f>IFNA(VLOOKUP($B97,'APS Tubes by Date IMPORT'!$B$2:$J923,6,FALSE),"")</f>
        <v>0</v>
      </c>
      <c r="L97" s="128">
        <f t="shared" si="47"/>
        <v>2</v>
      </c>
      <c r="M97" s="21">
        <v>0.0</v>
      </c>
      <c r="N97" s="120">
        <v>5.0</v>
      </c>
      <c r="O97" s="30" t="str">
        <f t="shared" si="48"/>
        <v/>
      </c>
      <c r="P97" s="91" t="str">
        <f>IF(ISBLANK(N97),IFERROR(0/0,""),IFERROR(VLOOKUP(N97, 'Process Ref'!$A$76:$D$122, 2, FALSE), IFERROR(0/0,"")))</f>
        <v>Multiple Initial runs on same day - final count is sum of RFR Audit = APS Collect</v>
      </c>
      <c r="R97" s="92">
        <f>IFNA(MATCH(A97,'RFR Data - preExcl'!A$2:A923,0),"")</f>
        <v>27</v>
      </c>
      <c r="S97" s="54"/>
      <c r="T97" s="30" t="str">
        <f>IF(EXACT('RFR Data - preExcl'!W97,"Initial"),'RFR Data - preExcl'!A97,IFERROR(0/0,""))</f>
        <v>RUN-FLMP_2022-04-07_RFR-107</v>
      </c>
      <c r="U97" s="93">
        <f>IF(EXACT('RFR Data - preExcl'!W97,"Initial"),'RFR Data - preExcl'!U97,IFERROR(0/0,""))</f>
        <v>44658</v>
      </c>
      <c r="X97" s="86"/>
      <c r="Z97" s="103"/>
      <c r="AG97" s="86"/>
      <c r="AH97" s="101" t="str">
        <f>IFERROR(__xludf.DUMMYFUNCTION("""COMPUTED_VALUE"""),"RUN-FLMP_2022-06-20_APS-096")</f>
        <v>RUN-FLMP_2022-06-20_APS-096</v>
      </c>
      <c r="AI97" s="96">
        <f t="shared" si="7"/>
        <v>2</v>
      </c>
      <c r="AJ97" s="86"/>
    </row>
    <row r="98">
      <c r="A98" s="8" t="s">
        <v>129</v>
      </c>
      <c r="B98" s="14">
        <v>44552.0</v>
      </c>
      <c r="C98" s="88" t="str">
        <f t="shared" si="2"/>
        <v/>
      </c>
      <c r="D98" s="16">
        <f t="array" ref="D98">IF(OR(ISBLANK($A98),$C98),IFERROR(0/0,""),INDEX('RFR Data - preExcl'!E$2:E923,$R98,1))</f>
        <v>5</v>
      </c>
      <c r="E98" s="16">
        <f t="array" ref="E98">IF(OR(ISBLANK($A98),$C98),IFERROR(0/0,""),INDEX('RFR Data - preExcl'!Z$2:Z923,$R98,1))</f>
        <v>7</v>
      </c>
      <c r="F98" s="16">
        <f t="array" ref="F98">IF(OR(ISBLANK(A98),C98),IFERROR(0/0,""),INDEX('RFR Data - preExcl'!AC$2:AC923,$R98,1))</f>
        <v>5</v>
      </c>
      <c r="G98" s="16">
        <f t="array" ref="G98">IF(OR(ISBLANK(A98),C98),IFERROR(0/0,""),INDEX('RFR Data - preExcl'!AK$2:AK923,$R98,1))</f>
        <v>5</v>
      </c>
      <c r="H98" s="16">
        <f t="array" ref="H98">IF(OR(ISBLANK(A98),C98),IFERROR(0/0,""),INDEX('RFR Data - preExcl'!AL$2:AL923,$R98,1))</f>
        <v>0</v>
      </c>
      <c r="I98" s="124">
        <f>IFERROR(VLOOKUP($B98,'APS Tubes by Date IMPORT'!$B$2:$J923,2,FALSE),"")</f>
        <v>7</v>
      </c>
      <c r="J98" s="16" t="b">
        <f>IFERROR(VLOOKUP($B98,'APS Tubes by Date IMPORT'!$B$2:$J923,9,FALSE),"")</f>
        <v>1</v>
      </c>
      <c r="K98" s="16">
        <f>IFNA(VLOOKUP($B98,'APS Tubes by Date IMPORT'!$B$2:$J923,6,FALSE),"")</f>
        <v>0</v>
      </c>
      <c r="L98" s="127">
        <f t="shared" si="47"/>
        <v>5</v>
      </c>
      <c r="M98" s="16">
        <f>L98+L97-I98</f>
        <v>0</v>
      </c>
      <c r="N98" s="120">
        <v>5.0</v>
      </c>
      <c r="O98" s="30" t="str">
        <f t="shared" si="48"/>
        <v/>
      </c>
      <c r="P98" s="91" t="str">
        <f>IF(ISBLANK(N98),IFERROR(0/0,""),IFERROR(VLOOKUP(N98, 'Process Ref'!$A$76:$D$122, 2, FALSE), IFERROR(0/0,"")))</f>
        <v>Multiple Initial runs on same day - final count is sum of RFR Audit = APS Collect</v>
      </c>
      <c r="R98" s="92">
        <f>IFNA(MATCH(A98,'RFR Data - preExcl'!A$2:A923,0),"")</f>
        <v>28</v>
      </c>
      <c r="S98" s="54"/>
      <c r="T98" s="30" t="str">
        <f>IF(EXACT('RFR Data - preExcl'!W98,"Initial"),'RFR Data - preExcl'!A98,IFERROR(0/0,""))</f>
        <v/>
      </c>
      <c r="U98" s="30" t="str">
        <f>IF(EXACT('RFR Data - preExcl'!W98,"Initial"),'RFR Data - preExcl'!U98,IFERROR(0/0,""))</f>
        <v/>
      </c>
      <c r="X98" s="86"/>
      <c r="Z98" s="103"/>
      <c r="AG98" s="86"/>
      <c r="AH98" s="101" t="str">
        <f>IFERROR(__xludf.DUMMYFUNCTION("""COMPUTED_VALUE"""),"RUN-FLMP_2022-06-23_APS-097")</f>
        <v>RUN-FLMP_2022-06-23_APS-097</v>
      </c>
      <c r="AI98" s="96">
        <f t="shared" si="7"/>
        <v>1</v>
      </c>
      <c r="AJ98" s="86"/>
    </row>
    <row r="99">
      <c r="A99" s="8" t="s">
        <v>130</v>
      </c>
      <c r="B99" s="14">
        <v>44552.0</v>
      </c>
      <c r="C99" s="88" t="str">
        <f t="shared" si="2"/>
        <v/>
      </c>
      <c r="D99" s="16">
        <f t="array" ref="D99">IF(OR(ISBLANK($A99),$C99),IFERROR(0/0,""),INDEX('RFR Data - preExcl'!E$2:E923,$R99,1))</f>
        <v>8</v>
      </c>
      <c r="E99" s="16">
        <f t="array" ref="E99">IF(OR(ISBLANK($A99),$C99),IFERROR(0/0,""),INDEX('RFR Data - preExcl'!Z$2:Z923,$R99,1))</f>
        <v>8</v>
      </c>
      <c r="F99" s="16">
        <f t="array" ref="F99">IF(OR(ISBLANK(A99),C99),IFERROR(0/0,""),INDEX('RFR Data - preExcl'!AC$2:AC923,$R99,1))</f>
        <v>6</v>
      </c>
      <c r="G99" s="16">
        <f t="array" ref="G99">IF(OR(ISBLANK(A99),C99),IFERROR(0/0,""),INDEX('RFR Data - preExcl'!AK$2:AK923,$R99,1))</f>
        <v>2</v>
      </c>
      <c r="H99" s="16">
        <f t="array" ref="H99">IF(OR(ISBLANK(A99),C99),IFERROR(0/0,""),INDEX('RFR Data - preExcl'!AL$2:AL923,$R99,1))</f>
        <v>4</v>
      </c>
      <c r="I99" s="16"/>
      <c r="J99" s="16" t="b">
        <f>IFERROR(VLOOKUP($B99,'APS Tubes by Date IMPORT'!$B$2:$J923,9,FALSE),"")</f>
        <v>1</v>
      </c>
      <c r="K99" s="16">
        <f>IFNA(VLOOKUP($B99,'APS Tubes by Date IMPORT'!$B$2:$J923,6,FALSE),"")</f>
        <v>0</v>
      </c>
      <c r="L99" s="128">
        <f t="shared" si="47"/>
        <v>2</v>
      </c>
      <c r="M99" s="21">
        <v>0.0</v>
      </c>
      <c r="N99" s="120">
        <v>5.0</v>
      </c>
      <c r="O99" s="30" t="str">
        <f t="shared" si="48"/>
        <v/>
      </c>
      <c r="P99" s="91" t="str">
        <f>IF(ISBLANK(N99),IFERROR(0/0,""),IFERROR(VLOOKUP(N99, 'Process Ref'!$A$76:$D$122, 2, FALSE), IFERROR(0/0,"")))</f>
        <v>Multiple Initial runs on same day - final count is sum of RFR Audit = APS Collect</v>
      </c>
      <c r="R99" s="92">
        <f>IFNA(MATCH(A99,'RFR Data - preExcl'!A$2:A923,0),"")</f>
        <v>29</v>
      </c>
      <c r="S99" s="54"/>
      <c r="T99" s="30" t="str">
        <f>IF(EXACT('RFR Data - preExcl'!W99,"Initial"),'RFR Data - preExcl'!A99,IFERROR(0/0,""))</f>
        <v>RUN-FLMP_2022-04-11_RFR-109</v>
      </c>
      <c r="U99" s="93">
        <f>IF(EXACT('RFR Data - preExcl'!W99,"Initial"),'RFR Data - preExcl'!U99,IFERROR(0/0,""))</f>
        <v>44662</v>
      </c>
      <c r="X99" s="86"/>
      <c r="Z99" s="103"/>
      <c r="AG99" s="86"/>
      <c r="AH99" s="101" t="str">
        <f>IFERROR(__xludf.DUMMYFUNCTION("""COMPUTED_VALUE"""),"RUN-FLMP_2022-06-27_APS-098")</f>
        <v>RUN-FLMP_2022-06-27_APS-098</v>
      </c>
      <c r="AI99" s="96">
        <f t="shared" si="7"/>
        <v>1</v>
      </c>
      <c r="AJ99" s="86"/>
    </row>
    <row r="100">
      <c r="A100" s="8" t="s">
        <v>131</v>
      </c>
      <c r="B100" s="14">
        <v>44553.0</v>
      </c>
      <c r="C100" s="88" t="str">
        <f t="shared" si="2"/>
        <v/>
      </c>
      <c r="D100" s="16">
        <f t="array" ref="D100">IF(OR(ISBLANK($A100),$C100),IFERROR(0/0,""),INDEX('RFR Data - preExcl'!E$2:E923,$R100,1))</f>
        <v>4</v>
      </c>
      <c r="E100" s="16">
        <f t="array" ref="E100">IF(OR(ISBLANK($A100),$C100),IFERROR(0/0,""),INDEX('RFR Data - preExcl'!Z$2:Z923,$R100,1))</f>
        <v>8</v>
      </c>
      <c r="F100" s="16">
        <f t="array" ref="F100">IF(OR(ISBLANK(A100),C100),IFERROR(0/0,""),INDEX('RFR Data - preExcl'!AC$2:AC923,$R100,1))</f>
        <v>6</v>
      </c>
      <c r="G100" s="59">
        <f t="array" ref="G100">IF(OR(ISBLANK(A100),C100),IFERROR(0/0,""),INDEX('RFR Data - preExcl'!AK$2:AK923,$R100,1))</f>
        <v>4</v>
      </c>
      <c r="H100" s="16">
        <f t="array" ref="H100">IF(OR(ISBLANK(A100),C100),IFERROR(0/0,""),INDEX('RFR Data - preExcl'!AL$2:AL923,$R100,1))</f>
        <v>4</v>
      </c>
      <c r="I100" s="59">
        <f>IFERROR(VLOOKUP($B100,'APS Tubes by Date IMPORT'!$B$2:$J923,2,FALSE),"")</f>
        <v>4</v>
      </c>
      <c r="J100" s="16" t="b">
        <f>IFERROR(VLOOKUP($B100,'APS Tubes by Date IMPORT'!$B$2:$J923,9,FALSE),"")</f>
        <v>1</v>
      </c>
      <c r="K100" s="16">
        <f>IFNA(VLOOKUP($B100,'APS Tubes by Date IMPORT'!$B$2:$J923,6,FALSE),"")</f>
        <v>0</v>
      </c>
      <c r="L100" s="59">
        <f t="shared" si="47"/>
        <v>4</v>
      </c>
      <c r="M100" s="16">
        <f>L100-I100</f>
        <v>0</v>
      </c>
      <c r="N100" s="105">
        <v>0.0</v>
      </c>
      <c r="O100" s="30" t="b">
        <f t="shared" si="48"/>
        <v>1</v>
      </c>
      <c r="P100" s="91" t="str">
        <f>IF(ISBLANK(N100),IFERROR(0/0,""),IFERROR(VLOOKUP(N100, 'Process Ref'!$A$76:$D$122, 2, FALSE), IFERROR(0/0,"")))</f>
        <v>ALL 3 COUNTS SAME meaning APS Collect = APS Result = RFR</v>
      </c>
      <c r="R100" s="92">
        <f>IFNA(MATCH(A100,'RFR Data - preExcl'!A$2:A923,0),"")</f>
        <v>30</v>
      </c>
      <c r="S100" s="54"/>
      <c r="T100" s="30" t="str">
        <f>IF(EXACT('RFR Data - preExcl'!W100,"Initial"),'RFR Data - preExcl'!A100,IFERROR(0/0,""))</f>
        <v/>
      </c>
      <c r="U100" s="30" t="str">
        <f>IF(EXACT('RFR Data - preExcl'!W100,"Initial"),'RFR Data - preExcl'!U100,IFERROR(0/0,""))</f>
        <v/>
      </c>
      <c r="X100" s="86"/>
      <c r="Z100" s="103"/>
      <c r="AG100" s="86"/>
      <c r="AH100" s="101" t="str">
        <f>IFERROR(__xludf.DUMMYFUNCTION("""COMPUTED_VALUE"""),"RUN-FLMP_2022-06-29_APS-099")</f>
        <v>RUN-FLMP_2022-06-29_APS-099</v>
      </c>
      <c r="AI100" s="96">
        <f t="shared" si="7"/>
        <v>1</v>
      </c>
      <c r="AJ100" s="86"/>
    </row>
    <row r="101">
      <c r="A101" s="8" t="s">
        <v>133</v>
      </c>
      <c r="B101" s="14">
        <v>44554.0</v>
      </c>
      <c r="C101" s="88" t="str">
        <f t="shared" si="2"/>
        <v/>
      </c>
      <c r="D101" s="16">
        <f t="array" ref="D101">IF(OR(ISBLANK($A101),$C101),IFERROR(0/0,""),INDEX('RFR Data - preExcl'!E$2:E923,$R101,1))</f>
        <v>4</v>
      </c>
      <c r="E101" s="16">
        <f t="array" ref="E101">IF(OR(ISBLANK($A101),$C101),IFERROR(0/0,""),INDEX('RFR Data - preExcl'!Z$2:Z923,$R101,1))</f>
        <v>6</v>
      </c>
      <c r="F101" s="16">
        <f t="array" ref="F101">IF(OR(ISBLANK(A101),C101),IFERROR(0/0,""),INDEX('RFR Data - preExcl'!AC$2:AC923,$R101,1))</f>
        <v>4</v>
      </c>
      <c r="G101" s="118">
        <f t="array" ref="G101">IF(OR(ISBLANK(A101),C101),IFERROR(0/0,""),INDEX('RFR Data - preExcl'!AK$2:AK923,$R101,1))</f>
        <v>3</v>
      </c>
      <c r="H101" s="16">
        <f t="array" ref="H101">IF(OR(ISBLANK(A101),C101),IFERROR(0/0,""),INDEX('RFR Data - preExcl'!AL$2:AL923,$R101,1))</f>
        <v>4</v>
      </c>
      <c r="I101" s="124">
        <f>IFERROR(VLOOKUP($B101,'APS Tubes by Date IMPORT'!$B$2:$J923,2,FALSE),"")</f>
        <v>4</v>
      </c>
      <c r="J101" s="16" t="b">
        <f>IFERROR(VLOOKUP($B101,'APS Tubes by Date IMPORT'!$B$2:$J923,9,FALSE),"")</f>
        <v>1</v>
      </c>
      <c r="K101" s="16">
        <f>IFNA(VLOOKUP($B101,'APS Tubes by Date IMPORT'!$B$2:$J923,6,FALSE),"")</f>
        <v>0</v>
      </c>
      <c r="L101" s="118">
        <f>G101</f>
        <v>3</v>
      </c>
      <c r="M101" s="21">
        <v>0.0</v>
      </c>
      <c r="N101" s="120">
        <v>5.0</v>
      </c>
      <c r="O101" s="30" t="str">
        <f t="shared" si="48"/>
        <v/>
      </c>
      <c r="P101" s="91" t="str">
        <f>IF(ISBLANK(N101),IFERROR(0/0,""),IFERROR(VLOOKUP(N101, 'Process Ref'!$A$76:$D$122, 2, FALSE), IFERROR(0/0,"")))</f>
        <v>Multiple Initial runs on same day - final count is sum of RFR Audit = APS Collect</v>
      </c>
      <c r="R101" s="92">
        <f>IFNA(MATCH(A101,'RFR Data - preExcl'!A$2:A923,0),"")</f>
        <v>31</v>
      </c>
      <c r="S101" s="54"/>
      <c r="T101" s="30" t="str">
        <f>IF(EXACT('RFR Data - preExcl'!W101,"Initial"),'RFR Data - preExcl'!A101,IFERROR(0/0,""))</f>
        <v>RUN-FLMP_2022-04-14_RFR-111</v>
      </c>
      <c r="U101" s="93">
        <f>IF(EXACT('RFR Data - preExcl'!W101,"Initial"),'RFR Data - preExcl'!U101,IFERROR(0/0,""))</f>
        <v>44665</v>
      </c>
      <c r="X101" s="86"/>
      <c r="Z101" s="103"/>
      <c r="AG101" s="86"/>
      <c r="AH101" s="101" t="str">
        <f>IFERROR(__xludf.DUMMYFUNCTION("""COMPUTED_VALUE"""),"RUN-FLMP_2022-06-30_APS-100")</f>
        <v>RUN-FLMP_2022-06-30_APS-100</v>
      </c>
      <c r="AI101" s="96">
        <f t="shared" si="7"/>
        <v>1</v>
      </c>
      <c r="AJ101" s="86"/>
    </row>
    <row r="102">
      <c r="A102" s="8" t="s">
        <v>132</v>
      </c>
      <c r="B102" s="14">
        <v>44554.0</v>
      </c>
      <c r="C102" s="88" t="b">
        <f t="shared" si="2"/>
        <v>1</v>
      </c>
      <c r="D102" s="16" t="str">
        <f t="array" ref="D102">IF(OR(ISBLANK($A102),$C102),IFERROR(0/0,""),INDEX('RFR Data - preExcl'!E$2:E923,$R102,1))</f>
        <v/>
      </c>
      <c r="E102" s="16" t="str">
        <f t="array" ref="E102">IF(OR(ISBLANK($A102),$C102),IFERROR(0/0,""),INDEX('RFR Data - preExcl'!Z$2:Z923,$R102,1))</f>
        <v/>
      </c>
      <c r="F102" s="16" t="str">
        <f>IF(ISBLANK(G102),I102,G102)</f>
        <v/>
      </c>
      <c r="G102" s="16" t="str">
        <f t="array" ref="G102">IF(OR(ISBLANK(A102),C102),IFERROR(0/0,""),INDEX('RFR Data - preExcl'!AK$2:AK923,$R102,1))</f>
        <v/>
      </c>
      <c r="H102" s="16" t="str">
        <f t="array" ref="H102">IF(OR(ISBLANK(A102),C102),IFERROR(0/0,""),INDEX('RFR Data - preExcl'!AL$2:AL923,$R102,1))</f>
        <v/>
      </c>
      <c r="I102" s="16"/>
      <c r="J102" s="16" t="b">
        <f>IFERROR(VLOOKUP($B102,'APS Tubes by Date IMPORT'!$B$2:$J923,9,FALSE),"")</f>
        <v>1</v>
      </c>
      <c r="K102" s="16">
        <f>IFNA(VLOOKUP($B102,'APS Tubes by Date IMPORT'!$B$2:$J923,6,FALSE),"")</f>
        <v>0</v>
      </c>
      <c r="L102" s="109">
        <f>I101-G101</f>
        <v>1</v>
      </c>
      <c r="M102" s="21">
        <v>0.0</v>
      </c>
      <c r="N102" s="90">
        <v>3.4</v>
      </c>
      <c r="O102" s="30" t="str">
        <f>IF(ISBLANK(F102),IFERROR(0/0,""),IF($N102&lt;5,TRUE,IFERROR(0/0,"")))</f>
        <v/>
      </c>
      <c r="P102" s="91" t="str">
        <f>IF(ISBLANK(N102),IFERROR(0/0,""),IFERROR(VLOOKUP(N102, 'Process Ref'!$A$76:$D$122, 2, FALSE), IFERROR(0/0,"")))</f>
        <v>Add Run from APS with no RFR (assume run on same day as Collect, ignore Result day)</v>
      </c>
      <c r="Q102" s="18" t="s">
        <v>311</v>
      </c>
      <c r="R102" s="92" t="str">
        <f>IFNA(MATCH(A102,'RFR Data - preExcl'!A$2:A923,0),"")</f>
        <v/>
      </c>
      <c r="S102" s="54"/>
      <c r="T102" s="30" t="str">
        <f>IF(EXACT('RFR Data - preExcl'!W102,"Initial"),'RFR Data - preExcl'!A102,IFERROR(0/0,""))</f>
        <v/>
      </c>
      <c r="U102" s="30" t="str">
        <f>IF(EXACT('RFR Data - preExcl'!W102,"Initial"),'RFR Data - preExcl'!U102,IFERROR(0/0,""))</f>
        <v/>
      </c>
      <c r="X102" s="86"/>
      <c r="Z102" s="103"/>
      <c r="AG102" s="86"/>
      <c r="AH102" s="101" t="str">
        <f>IFERROR(__xludf.DUMMYFUNCTION("""COMPUTED_VALUE"""),"RUN-FLMP_2022-07-18_APS-101")</f>
        <v>RUN-FLMP_2022-07-18_APS-101</v>
      </c>
      <c r="AI102" s="96">
        <f t="shared" si="7"/>
        <v>2</v>
      </c>
      <c r="AJ102" s="86"/>
    </row>
    <row r="103">
      <c r="A103" s="8" t="s">
        <v>134</v>
      </c>
      <c r="B103" s="14">
        <v>44555.0</v>
      </c>
      <c r="C103" s="88" t="str">
        <f t="shared" si="2"/>
        <v/>
      </c>
      <c r="D103" s="16">
        <f t="array" ref="D103">IF(OR(ISBLANK($A103),$C103),IFERROR(0/0,""),INDEX('RFR Data - preExcl'!E$2:E923,$R103,1))</f>
        <v>8</v>
      </c>
      <c r="E103" s="16">
        <f t="array" ref="E103">IF(OR(ISBLANK($A103),$C103),IFERROR(0/0,""),INDEX('RFR Data - preExcl'!Z$2:Z923,$R103,1))</f>
        <v>8</v>
      </c>
      <c r="F103" s="16">
        <f t="array" ref="F103">IF(OR(ISBLANK(A103),C103),IFERROR(0/0,""),INDEX('RFR Data - preExcl'!AC$2:AC923,$R103,1))</f>
        <v>6</v>
      </c>
      <c r="G103" s="59">
        <f t="array" ref="G103">IF(OR(ISBLANK(A103),C103),IFERROR(0/0,""),INDEX('RFR Data - preExcl'!AK$2:AK923,$R103,1))</f>
        <v>2</v>
      </c>
      <c r="H103" s="16">
        <f t="array" ref="H103">IF(OR(ISBLANK(A103),C103),IFERROR(0/0,""),INDEX('RFR Data - preExcl'!AL$2:AL923,$R103,1))</f>
        <v>4</v>
      </c>
      <c r="I103" s="59">
        <f>IFERROR(VLOOKUP($B103,'APS Tubes by Date IMPORT'!$B$2:$J923,2,FALSE),"")</f>
        <v>2</v>
      </c>
      <c r="J103" s="16"/>
      <c r="K103" s="16">
        <f>IFNA(VLOOKUP($B103,'APS Tubes by Date IMPORT'!$B$2:$J923,6,FALSE),"")</f>
        <v>0</v>
      </c>
      <c r="L103" s="59">
        <f t="shared" ref="L103:L104" si="49">IF(ISBLANK(G103),I103,G103)</f>
        <v>2</v>
      </c>
      <c r="M103" s="16">
        <f>L103-I103</f>
        <v>0</v>
      </c>
      <c r="N103" s="105">
        <v>0.4</v>
      </c>
      <c r="O103" s="30" t="b">
        <f t="shared" ref="O103:O132" si="50">IF(ISBLANK(L103),IFERROR(0/0,""),IF($N103&lt;5,TRUE,IFERROR(0/0,"")))</f>
        <v>1</v>
      </c>
      <c r="P103" s="91" t="str">
        <f>IF(ISBLANK(N103),IFERROR(0/0,""),IFERROR(VLOOKUP(N103, 'Process Ref'!$A$76:$D$122, 2, FALSE), IFERROR(0/0,"")))</f>
        <v>ALL 3 COUNTS SAME but GFORM Num of Samples is different</v>
      </c>
      <c r="R103" s="92">
        <f>IFNA(MATCH(A103,'RFR Data - preExcl'!A$2:A923,0),"")</f>
        <v>32</v>
      </c>
      <c r="S103" s="54"/>
      <c r="T103" s="30" t="str">
        <f>IF(EXACT('RFR Data - preExcl'!W103,"Initial"),'RFR Data - preExcl'!A103,IFERROR(0/0,""))</f>
        <v>RUN-FLMP_2022-04-18_RFR-113</v>
      </c>
      <c r="U103" s="93">
        <f>IF(EXACT('RFR Data - preExcl'!W103,"Initial"),'RFR Data - preExcl'!U103,IFERROR(0/0,""))</f>
        <v>44669</v>
      </c>
      <c r="X103" s="86"/>
      <c r="Z103" s="103"/>
      <c r="AG103" s="86"/>
      <c r="AH103" s="101" t="str">
        <f>IFERROR(__xludf.DUMMYFUNCTION("""COMPUTED_VALUE"""),"RUN-FLMP_2022-07-21_APS-102")</f>
        <v>RUN-FLMP_2022-07-21_APS-102</v>
      </c>
      <c r="AI103" s="96">
        <f t="shared" si="7"/>
        <v>1</v>
      </c>
      <c r="AJ103" s="86"/>
    </row>
    <row r="104">
      <c r="A104" s="8" t="s">
        <v>136</v>
      </c>
      <c r="B104" s="14">
        <v>44556.0</v>
      </c>
      <c r="C104" s="88" t="str">
        <f t="shared" si="2"/>
        <v/>
      </c>
      <c r="D104" s="16">
        <f t="array" ref="D104">IF(OR(ISBLANK($A104),$C104),IFERROR(0/0,""),INDEX('RFR Data - preExcl'!E$2:E923,$R104,1))</f>
        <v>4</v>
      </c>
      <c r="E104" s="16">
        <f t="array" ref="E104">IF(OR(ISBLANK($A104),$C104),IFERROR(0/0,""),INDEX('RFR Data - preExcl'!Z$2:Z923,$R104,1))</f>
        <v>4</v>
      </c>
      <c r="F104" s="16">
        <f t="array" ref="F104">IF(OR(ISBLANK(A104),C104),IFERROR(0/0,""),INDEX('RFR Data - preExcl'!AC$2:AC923,$R104,1))</f>
        <v>2</v>
      </c>
      <c r="G104" s="16">
        <f t="array" ref="G104">IF(OR(ISBLANK(A104),C104),IFERROR(0/0,""),INDEX('RFR Data - preExcl'!AK$2:AK923,$R104,1))</f>
        <v>1</v>
      </c>
      <c r="H104" s="16">
        <f t="array" ref="H104">IF(OR(ISBLANK(A104),C104),IFERROR(0/0,""),INDEX('RFR Data - preExcl'!AL$2:AL923,$R104,1))</f>
        <v>4</v>
      </c>
      <c r="I104" s="124">
        <f>IFERROR(VLOOKUP($B104,'APS Tubes by Date IMPORT'!$B$2:$J923,2,FALSE),"")</f>
        <v>2</v>
      </c>
      <c r="J104" s="16" t="b">
        <f>IFERROR(VLOOKUP($B104,'APS Tubes by Date IMPORT'!$B$2:$J923,9,FALSE),"")</f>
        <v>1</v>
      </c>
      <c r="K104" s="16">
        <f>IFNA(VLOOKUP($B104,'APS Tubes by Date IMPORT'!$B$2:$J923,6,FALSE),"")</f>
        <v>0</v>
      </c>
      <c r="L104" s="127">
        <f t="shared" si="49"/>
        <v>1</v>
      </c>
      <c r="M104" s="21">
        <v>0.0</v>
      </c>
      <c r="N104" s="120">
        <v>5.0</v>
      </c>
      <c r="O104" s="30" t="str">
        <f t="shared" si="50"/>
        <v/>
      </c>
      <c r="P104" s="91" t="str">
        <f>IF(ISBLANK(N104),IFERROR(0/0,""),IFERROR(VLOOKUP(N104, 'Process Ref'!$A$76:$D$122, 2, FALSE), IFERROR(0/0,"")))</f>
        <v>Multiple Initial runs on same day - final count is sum of RFR Audit = APS Collect</v>
      </c>
      <c r="R104" s="92">
        <f>IFNA(MATCH(A104,'RFR Data - preExcl'!A$2:A923,0),"")</f>
        <v>33</v>
      </c>
      <c r="S104" s="54"/>
      <c r="T104" s="30" t="str">
        <f>IF(EXACT('RFR Data - preExcl'!W104,"Initial"),'RFR Data - preExcl'!A104,IFERROR(0/0,""))</f>
        <v/>
      </c>
      <c r="U104" s="30" t="str">
        <f>IF(EXACT('RFR Data - preExcl'!W104,"Initial"),'RFR Data - preExcl'!U104,IFERROR(0/0,""))</f>
        <v/>
      </c>
      <c r="X104" s="86"/>
      <c r="Z104" s="103"/>
      <c r="AG104" s="86"/>
      <c r="AH104" s="101" t="str">
        <f>IFERROR(__xludf.DUMMYFUNCTION("""COMPUTED_VALUE"""),"RUN-FLMP_2022-07-25_APS-103")</f>
        <v>RUN-FLMP_2022-07-25_APS-103</v>
      </c>
      <c r="AI104" s="96">
        <f t="shared" si="7"/>
        <v>3</v>
      </c>
      <c r="AJ104" s="86"/>
    </row>
    <row r="105">
      <c r="A105" s="8" t="s">
        <v>135</v>
      </c>
      <c r="B105" s="14">
        <v>44556.0</v>
      </c>
      <c r="C105" s="88" t="b">
        <f t="shared" si="2"/>
        <v>1</v>
      </c>
      <c r="D105" s="16" t="str">
        <f t="array" ref="D105">IF(OR(ISBLANK($A105),$C105),IFERROR(0/0,""),INDEX('RFR Data - preExcl'!E$2:E923,$R105,1))</f>
        <v/>
      </c>
      <c r="E105" s="16" t="str">
        <f t="array" ref="E105">IF(OR(ISBLANK($A105),$C105),IFERROR(0/0,""),INDEX('RFR Data - preExcl'!Z$2:Z923,$R105,1))</f>
        <v/>
      </c>
      <c r="F105" s="16" t="str">
        <f t="array" ref="F105">IF(OR(ISBLANK(A105),C105),IFERROR(0/0,""),INDEX('RFR Data - preExcl'!AC$2:AC923,$R105,1))</f>
        <v/>
      </c>
      <c r="G105" s="16" t="str">
        <f t="array" ref="G105">IF(OR(ISBLANK(A105),C105),IFERROR(0/0,""),INDEX('RFR Data - preExcl'!AK$2:AK923,$R105,1))</f>
        <v/>
      </c>
      <c r="H105" s="16" t="str">
        <f t="array" ref="H105">IF(OR(ISBLANK(A105),C105),IFERROR(0/0,""),INDEX('RFR Data - preExcl'!AL$2:AL923,$R105,1))</f>
        <v/>
      </c>
      <c r="I105" s="16"/>
      <c r="J105" s="16" t="b">
        <f>IFERROR(VLOOKUP($B105,'APS Tubes by Date IMPORT'!$B$2:$J923,9,FALSE),"")</f>
        <v>1</v>
      </c>
      <c r="K105" s="16">
        <f>IFNA(VLOOKUP($B105,'APS Tubes by Date IMPORT'!$B$2:$J923,6,FALSE),"")</f>
        <v>0</v>
      </c>
      <c r="L105" s="128">
        <f>I104-G104</f>
        <v>1</v>
      </c>
      <c r="M105" s="21">
        <v>0.0</v>
      </c>
      <c r="N105" s="90">
        <v>3.4</v>
      </c>
      <c r="O105" s="30" t="b">
        <f t="shared" si="50"/>
        <v>1</v>
      </c>
      <c r="P105" s="91" t="str">
        <f>IF(ISBLANK(N105),IFERROR(0/0,""),IFERROR(VLOOKUP(N105, 'Process Ref'!$A$76:$D$122, 2, FALSE), IFERROR(0/0,"")))</f>
        <v>Add Run from APS with no RFR (assume run on same day as Collect, ignore Result day)</v>
      </c>
      <c r="Q105" s="18" t="s">
        <v>312</v>
      </c>
      <c r="R105" s="92" t="str">
        <f>IFNA(MATCH(A105,'RFR Data - preExcl'!A$2:A923,0),"")</f>
        <v/>
      </c>
      <c r="S105" s="54"/>
      <c r="T105" s="30" t="str">
        <f>IF(EXACT('RFR Data - preExcl'!W105,"Initial"),'RFR Data - preExcl'!A105,IFERROR(0/0,""))</f>
        <v>RUN-FLMP_2022-04-19_RFR-115</v>
      </c>
      <c r="U105" s="93">
        <f>IF(EXACT('RFR Data - preExcl'!W105,"Initial"),'RFR Data - preExcl'!U105,IFERROR(0/0,""))</f>
        <v>44670</v>
      </c>
      <c r="X105" s="86"/>
      <c r="Z105" s="103"/>
      <c r="AG105" s="86"/>
      <c r="AH105" s="101" t="str">
        <f>IFERROR(__xludf.DUMMYFUNCTION("""COMPUTED_VALUE"""),"RUN-FLMP_2022-07-28_APS-104")</f>
        <v>RUN-FLMP_2022-07-28_APS-104</v>
      </c>
      <c r="AI105" s="96">
        <f t="shared" si="7"/>
        <v>1</v>
      </c>
      <c r="AJ105" s="86"/>
    </row>
    <row r="106">
      <c r="A106" s="8" t="s">
        <v>137</v>
      </c>
      <c r="B106" s="14">
        <v>44557.0</v>
      </c>
      <c r="C106" s="88" t="str">
        <f t="shared" si="2"/>
        <v/>
      </c>
      <c r="D106" s="16">
        <f t="array" ref="D106">IF(OR(ISBLANK($A106),$C106),IFERROR(0/0,""),INDEX('RFR Data - preExcl'!E$2:E923,$R106,1))</f>
        <v>3</v>
      </c>
      <c r="E106" s="16">
        <f t="array" ref="E106">IF(OR(ISBLANK($A106),$C106),IFERROR(0/0,""),INDEX('RFR Data - preExcl'!Z$2:Z923,$R106,1))</f>
        <v>5</v>
      </c>
      <c r="F106" s="16">
        <f t="array" ref="F106">IF(OR(ISBLANK(A106),C106),IFERROR(0/0,""),INDEX('RFR Data - preExcl'!AC$2:AC923,$R106,1))</f>
        <v>3</v>
      </c>
      <c r="G106" s="117">
        <f t="array" ref="G106">IF(OR(ISBLANK(A106),C106),IFERROR(0/0,""),INDEX('RFR Data - preExcl'!AK$2:AK923,$R106,1))</f>
        <v>3</v>
      </c>
      <c r="H106" s="16">
        <f t="array" ref="H106">IF(OR(ISBLANK(A106),C106),IFERROR(0/0,""),INDEX('RFR Data - preExcl'!AL$2:AL923,$R106,1))</f>
        <v>0</v>
      </c>
      <c r="I106" s="119">
        <v>3.0</v>
      </c>
      <c r="J106" s="16"/>
      <c r="K106" s="16">
        <f>IFNA(VLOOKUP($B106,'APS Tubes by Date IMPORT'!$B$2:$J923,6,FALSE),"")</f>
        <v>0</v>
      </c>
      <c r="L106" s="119">
        <f t="shared" ref="L106:L110" si="51">IF(ISBLANK(G106),I106,G106)</f>
        <v>3</v>
      </c>
      <c r="M106" s="21">
        <v>0.0</v>
      </c>
      <c r="N106" s="120">
        <v>5.0</v>
      </c>
      <c r="O106" s="30" t="str">
        <f t="shared" si="50"/>
        <v/>
      </c>
      <c r="P106" s="91" t="str">
        <f>IF(ISBLANK(N106),IFERROR(0/0,""),IFERROR(VLOOKUP(N106, 'Process Ref'!$A$76:$D$122, 2, FALSE), IFERROR(0/0,"")))</f>
        <v>Multiple Initial runs on same day - final count is sum of RFR Audit = APS Collect</v>
      </c>
      <c r="R106" s="92">
        <f>IFNA(MATCH(A106,'RFR Data - preExcl'!A$2:A923,0),"")</f>
        <v>34</v>
      </c>
      <c r="S106" s="54"/>
      <c r="T106" s="30" t="str">
        <f>IF(EXACT('RFR Data - preExcl'!W106,"Initial"),'RFR Data - preExcl'!A106,IFERROR(0/0,""))</f>
        <v>RUN-FLMP_2022-04-21_RFR-116</v>
      </c>
      <c r="U106" s="93">
        <f>IF(EXACT('RFR Data - preExcl'!W106,"Initial"),'RFR Data - preExcl'!U106,IFERROR(0/0,""))</f>
        <v>44672</v>
      </c>
      <c r="X106" s="86"/>
      <c r="Z106" s="103"/>
      <c r="AG106" s="86"/>
      <c r="AH106" s="101" t="str">
        <f>IFERROR(__xludf.DUMMYFUNCTION("""COMPUTED_VALUE"""),"RUN-FLMP_2022-08-01_APS-105")</f>
        <v>RUN-FLMP_2022-08-01_APS-105</v>
      </c>
      <c r="AI106" s="96">
        <f t="shared" si="7"/>
        <v>1</v>
      </c>
      <c r="AJ106" s="86"/>
    </row>
    <row r="107">
      <c r="A107" s="8" t="s">
        <v>138</v>
      </c>
      <c r="B107" s="14">
        <v>44557.0</v>
      </c>
      <c r="C107" s="88" t="str">
        <f t="shared" si="2"/>
        <v/>
      </c>
      <c r="D107" s="16">
        <f t="array" ref="D107">IF(OR(ISBLANK($A107),$C107),IFERROR(0/0,""),INDEX('RFR Data - preExcl'!E$2:E923,$R107,1))</f>
        <v>3</v>
      </c>
      <c r="E107" s="16" t="str">
        <f t="array" ref="E107">IF(OR(ISBLANK($A107),$C107),IFERROR(0/0,""),INDEX('RFR Data - preExcl'!Z$2:Z923,$R107,1))</f>
        <v/>
      </c>
      <c r="F107" s="16">
        <f t="array" ref="F107">IF(OR(ISBLANK(A107),C107),IFERROR(0/0,""),INDEX('RFR Data - preExcl'!AC$2:AC923,$R107,1))</f>
        <v>2</v>
      </c>
      <c r="G107" s="16">
        <f t="array" ref="G107">IF(OR(ISBLANK(A107),C107),IFERROR(0/0,""),INDEX('RFR Data - preExcl'!AK$2:AK923,$R107,1))</f>
        <v>2</v>
      </c>
      <c r="H107" s="16">
        <f t="array" ref="H107">IF(OR(ISBLANK(A107),C107),IFERROR(0/0,""),INDEX('RFR Data - preExcl'!AL$2:AL923,$R107,1))</f>
        <v>0</v>
      </c>
      <c r="I107" s="129">
        <v>2.0</v>
      </c>
      <c r="J107" s="16" t="str">
        <f>IFERROR(VLOOKUP($B107,'APS Tubes by Date IMPORT'!$B$2:$J923,9,FALSE),"")</f>
        <v/>
      </c>
      <c r="K107" s="16">
        <f>IFNA(VLOOKUP($B107,'APS Tubes by Date IMPORT'!$B$2:$J923,6,FALSE),"")</f>
        <v>0</v>
      </c>
      <c r="L107" s="129">
        <f t="shared" si="51"/>
        <v>2</v>
      </c>
      <c r="M107" s="21">
        <v>0.0</v>
      </c>
      <c r="N107" s="120">
        <v>5.0</v>
      </c>
      <c r="O107" s="30" t="str">
        <f t="shared" si="50"/>
        <v/>
      </c>
      <c r="P107" s="91" t="str">
        <f>IF(ISBLANK(N107),IFERROR(0/0,""),IFERROR(VLOOKUP(N107, 'Process Ref'!$A$76:$D$122, 2, FALSE), IFERROR(0/0,"")))</f>
        <v>Multiple Initial runs on same day - final count is sum of RFR Audit = APS Collect</v>
      </c>
      <c r="R107" s="92">
        <f>IFNA(MATCH(A107,'RFR Data - preExcl'!A$2:A923,0),"")</f>
        <v>35</v>
      </c>
      <c r="S107" s="54"/>
      <c r="T107" s="30" t="str">
        <f>IF(EXACT('RFR Data - preExcl'!W107,"Initial"),'RFR Data - preExcl'!A107,IFERROR(0/0,""))</f>
        <v>RUN-FLMP_2022-04-21_RFR-117</v>
      </c>
      <c r="U107" s="93">
        <f>IF(EXACT('RFR Data - preExcl'!W107,"Initial"),'RFR Data - preExcl'!U107,IFERROR(0/0,""))</f>
        <v>44672</v>
      </c>
      <c r="X107" s="86"/>
      <c r="Z107" s="103"/>
      <c r="AG107" s="86"/>
      <c r="AH107" s="101" t="str">
        <f>IFERROR(__xludf.DUMMYFUNCTION("""COMPUTED_VALUE"""),"RUN-FLMP_2022-08-04_APS-106")</f>
        <v>RUN-FLMP_2022-08-04_APS-106</v>
      </c>
      <c r="AI107" s="96">
        <f t="shared" si="7"/>
        <v>2</v>
      </c>
      <c r="AJ107" s="86"/>
    </row>
    <row r="108">
      <c r="A108" s="8" t="s">
        <v>140</v>
      </c>
      <c r="B108" s="14">
        <v>44558.0</v>
      </c>
      <c r="C108" s="88" t="str">
        <f t="shared" si="2"/>
        <v/>
      </c>
      <c r="D108" s="16">
        <f t="array" ref="D108">IF(OR(ISBLANK($A108),$C108),IFERROR(0/0,""),INDEX('RFR Data - preExcl'!E$2:E923,$R108,1))</f>
        <v>3</v>
      </c>
      <c r="E108" s="16" t="str">
        <f t="array" ref="E108">IF(OR(ISBLANK($A108),$C108),IFERROR(0/0,""),INDEX('RFR Data - preExcl'!Z$2:Z923,$R108,1))</f>
        <v/>
      </c>
      <c r="F108" s="16">
        <f t="array" ref="F108">IF(OR(ISBLANK(A108),C108),IFERROR(0/0,""),INDEX('RFR Data - preExcl'!AC$2:AC923,$R108,1))</f>
        <v>1</v>
      </c>
      <c r="G108" s="16">
        <f t="array" ref="G108">IF(OR(ISBLANK(A108),C108),IFERROR(0/0,""),INDEX('RFR Data - preExcl'!AK$2:AK923,$R108,1))</f>
        <v>1</v>
      </c>
      <c r="H108" s="16">
        <f t="array" ref="H108">IF(OR(ISBLANK(A108),C108),IFERROR(0/0,""),INDEX('RFR Data - preExcl'!AL$2:AL923,$R108,1))</f>
        <v>0</v>
      </c>
      <c r="I108" s="119">
        <v>1.0</v>
      </c>
      <c r="J108" s="16" t="str">
        <f>IFERROR(VLOOKUP($B108,'APS Tubes by Date IMPORT'!$B$2:$J923,9,FALSE),"")</f>
        <v/>
      </c>
      <c r="K108" s="16">
        <f>IFNA(VLOOKUP($B108,'APS Tubes by Date IMPORT'!$B$2:$J923,6,FALSE),"")</f>
        <v>0</v>
      </c>
      <c r="L108" s="119">
        <f t="shared" si="51"/>
        <v>1</v>
      </c>
      <c r="M108" s="21">
        <v>0.0</v>
      </c>
      <c r="N108" s="120">
        <v>5.0</v>
      </c>
      <c r="O108" s="30" t="str">
        <f t="shared" si="50"/>
        <v/>
      </c>
      <c r="P108" s="91" t="str">
        <f>IF(ISBLANK(N108),IFERROR(0/0,""),IFERROR(VLOOKUP(N108, 'Process Ref'!$A$76:$D$122, 2, FALSE), IFERROR(0/0,"")))</f>
        <v>Multiple Initial runs on same day - final count is sum of RFR Audit = APS Collect</v>
      </c>
      <c r="R108" s="92">
        <f>IFNA(MATCH(A108,'RFR Data - preExcl'!A$2:A923,0),"")</f>
        <v>36</v>
      </c>
      <c r="S108" s="54"/>
      <c r="T108" s="30" t="str">
        <f>IF(EXACT('RFR Data - preExcl'!W108,"Initial"),'RFR Data - preExcl'!A108,IFERROR(0/0,""))</f>
        <v>RUN-FLMP_2022-04-25_RFR-118</v>
      </c>
      <c r="U108" s="93">
        <f>IF(EXACT('RFR Data - preExcl'!W108,"Initial"),'RFR Data - preExcl'!U108,IFERROR(0/0,""))</f>
        <v>44676</v>
      </c>
      <c r="X108" s="86"/>
      <c r="Z108" s="103"/>
      <c r="AG108" s="86"/>
      <c r="AH108" s="101" t="str">
        <f>IFERROR(__xludf.DUMMYFUNCTION("""COMPUTED_VALUE"""),"RUN-FLMP_2022-08-22_APS-107")</f>
        <v>RUN-FLMP_2022-08-22_APS-107</v>
      </c>
      <c r="AI108" s="96">
        <f t="shared" si="7"/>
        <v>1</v>
      </c>
      <c r="AJ108" s="86"/>
    </row>
    <row r="109">
      <c r="A109" s="8" t="s">
        <v>139</v>
      </c>
      <c r="B109" s="14">
        <v>44558.0</v>
      </c>
      <c r="C109" s="88" t="b">
        <f t="shared" si="2"/>
        <v>1</v>
      </c>
      <c r="D109" s="16" t="str">
        <f t="array" ref="D109">IF(OR(ISBLANK($A109),$C109),IFERROR(0/0,""),INDEX('RFR Data - preExcl'!E$2:E923,$R109,1))</f>
        <v/>
      </c>
      <c r="E109" s="16" t="str">
        <f t="array" ref="E109">IF(OR(ISBLANK($A109),$C109),IFERROR(0/0,""),INDEX('RFR Data - preExcl'!Z$2:Z923,$R109,1))</f>
        <v/>
      </c>
      <c r="F109" s="16" t="str">
        <f t="array" ref="F109">IF(OR(ISBLANK(A109),C109),IFERROR(0/0,""),INDEX('RFR Data - preExcl'!AC$2:AC923,$R109,1))</f>
        <v/>
      </c>
      <c r="G109" s="16" t="str">
        <f t="array" ref="G109">IF(OR(ISBLANK(A109),C109),IFERROR(0/0,""),INDEX('RFR Data - preExcl'!AK$2:AK923,$R109,1))</f>
        <v/>
      </c>
      <c r="H109" s="16" t="str">
        <f t="array" ref="H109">IF(OR(ISBLANK(A109),C109),IFERROR(0/0,""),INDEX('RFR Data - preExcl'!AL$2:AL923,$R109,1))</f>
        <v/>
      </c>
      <c r="I109" s="129">
        <v>3.0</v>
      </c>
      <c r="J109" s="16" t="str">
        <f>IFERROR(VLOOKUP($B109,'APS Tubes by Date IMPORT'!$B$2:$J923,9,FALSE),"")</f>
        <v/>
      </c>
      <c r="K109" s="16">
        <f>IFNA(VLOOKUP($B109,'APS Tubes by Date IMPORT'!$B$2:$J923,6,FALSE),"")</f>
        <v>0</v>
      </c>
      <c r="L109" s="130">
        <f t="shared" si="51"/>
        <v>3</v>
      </c>
      <c r="M109" s="21">
        <v>0.0</v>
      </c>
      <c r="N109" s="90">
        <v>3.4</v>
      </c>
      <c r="O109" s="30" t="b">
        <f t="shared" si="50"/>
        <v>1</v>
      </c>
      <c r="P109" s="91" t="str">
        <f>IF(ISBLANK(N109),IFERROR(0/0,""),IFERROR(VLOOKUP(N109, 'Process Ref'!$A$76:$D$122, 2, FALSE), IFERROR(0/0,"")))</f>
        <v>Add Run from APS with no RFR (assume run on same day as Collect, ignore Result day)</v>
      </c>
      <c r="Q109" s="18" t="s">
        <v>313</v>
      </c>
      <c r="R109" s="92" t="str">
        <f>IFNA(MATCH(A109,'RFR Data - preExcl'!A$2:A923,0),"")</f>
        <v/>
      </c>
      <c r="S109" s="54"/>
      <c r="T109" s="30" t="str">
        <f>IF(EXACT('RFR Data - preExcl'!W109,"Initial"),'RFR Data - preExcl'!A109,IFERROR(0/0,""))</f>
        <v>RUN-FLMP_2022-04-28_RFR-120</v>
      </c>
      <c r="U109" s="93">
        <f>IF(EXACT('RFR Data - preExcl'!W109,"Initial"),'RFR Data - preExcl'!U109,IFERROR(0/0,""))</f>
        <v>44679</v>
      </c>
      <c r="X109" s="86"/>
      <c r="Z109" s="103"/>
      <c r="AG109" s="86"/>
      <c r="AH109" s="101" t="str">
        <f>IFERROR(__xludf.DUMMYFUNCTION("""COMPUTED_VALUE"""),"RUN-FLMP_2022-09-06_APS-108")</f>
        <v>RUN-FLMP_2022-09-06_APS-108</v>
      </c>
      <c r="AI109" s="96">
        <f t="shared" si="7"/>
        <v>2</v>
      </c>
      <c r="AJ109" s="86"/>
    </row>
    <row r="110">
      <c r="A110" s="8" t="s">
        <v>142</v>
      </c>
      <c r="B110" s="14">
        <v>44559.0</v>
      </c>
      <c r="C110" s="88" t="str">
        <f t="shared" si="2"/>
        <v/>
      </c>
      <c r="D110" s="16">
        <f t="array" ref="D110">IF(OR(ISBLANK($A110),$C110),IFERROR(0/0,""),INDEX('RFR Data - preExcl'!E$2:E923,$R110,1))</f>
        <v>4</v>
      </c>
      <c r="E110" s="16">
        <f t="array" ref="E110">IF(OR(ISBLANK($A110),$C110),IFERROR(0/0,""),INDEX('RFR Data - preExcl'!Z$2:Z923,$R110,1))</f>
        <v>6</v>
      </c>
      <c r="F110" s="16">
        <f t="array" ref="F110">IF(OR(ISBLANK(A110),C110),IFERROR(0/0,""),INDEX('RFR Data - preExcl'!AC$2:AC923,$R110,1))</f>
        <v>4</v>
      </c>
      <c r="G110" s="16">
        <f t="array" ref="G110">IF(OR(ISBLANK(A110),C110),IFERROR(0/0,""),INDEX('RFR Data - preExcl'!AK$2:AK923,$R110,1))</f>
        <v>4</v>
      </c>
      <c r="H110" s="16">
        <f t="array" ref="H110">IF(OR(ISBLANK(A110),C110),IFERROR(0/0,""),INDEX('RFR Data - preExcl'!AL$2:AL923,$R110,1))</f>
        <v>0</v>
      </c>
      <c r="I110" s="122">
        <f>IFERROR(VLOOKUP($B110,'APS Tubes by Date IMPORT'!$B$2:$J923,2,FALSE),"")</f>
        <v>8</v>
      </c>
      <c r="J110" s="16"/>
      <c r="K110" s="16">
        <f>IFNA(VLOOKUP($B110,'APS Tubes by Date IMPORT'!$B$2:$J923,6,FALSE),"")</f>
        <v>0</v>
      </c>
      <c r="L110" s="119">
        <f t="shared" si="51"/>
        <v>4</v>
      </c>
      <c r="M110" s="21">
        <v>0.0</v>
      </c>
      <c r="N110" s="120">
        <v>5.0</v>
      </c>
      <c r="O110" s="30" t="str">
        <f t="shared" si="50"/>
        <v/>
      </c>
      <c r="P110" s="91" t="str">
        <f>IF(ISBLANK(N110),IFERROR(0/0,""),IFERROR(VLOOKUP(N110, 'Process Ref'!$A$76:$D$122, 2, FALSE), IFERROR(0/0,"")))</f>
        <v>Multiple Initial runs on same day - final count is sum of RFR Audit = APS Collect</v>
      </c>
      <c r="Q110" s="18" t="s">
        <v>314</v>
      </c>
      <c r="R110" s="92">
        <f>IFNA(MATCH(A110,'RFR Data - preExcl'!A$2:A923,0),"")</f>
        <v>37</v>
      </c>
      <c r="S110" s="54"/>
      <c r="T110" s="30" t="str">
        <f>IF(EXACT('RFR Data - preExcl'!W110,"Initial"),'RFR Data - preExcl'!A110,IFERROR(0/0,""))</f>
        <v/>
      </c>
      <c r="U110" s="30" t="str">
        <f>IF(EXACT('RFR Data - preExcl'!W110,"Initial"),'RFR Data - preExcl'!U110,IFERROR(0/0,""))</f>
        <v/>
      </c>
      <c r="X110" s="86"/>
      <c r="Z110" s="131"/>
      <c r="AA110" s="14"/>
      <c r="AG110" s="86"/>
      <c r="AH110" s="101" t="str">
        <f>IFERROR(__xludf.DUMMYFUNCTION("""COMPUTED_VALUE"""),"RUN-FLMP_2022-09-08_APS-109")</f>
        <v>RUN-FLMP_2022-09-08_APS-109</v>
      </c>
      <c r="AI110" s="96">
        <f t="shared" si="7"/>
        <v>1</v>
      </c>
      <c r="AJ110" s="86"/>
    </row>
    <row r="111">
      <c r="A111" s="8" t="s">
        <v>141</v>
      </c>
      <c r="B111" s="14">
        <v>44559.0</v>
      </c>
      <c r="C111" s="88" t="b">
        <f t="shared" si="2"/>
        <v>1</v>
      </c>
      <c r="D111" s="16" t="str">
        <f t="array" ref="D111">IF(OR(ISBLANK($A111),$C111),IFERROR(0/0,""),INDEX('RFR Data - preExcl'!E$2:E923,$R111,1))</f>
        <v/>
      </c>
      <c r="E111" s="16" t="str">
        <f t="array" ref="E111">IF(OR(ISBLANK($A111),$C111),IFERROR(0/0,""),INDEX('RFR Data - preExcl'!Z$2:Z923,$R111,1))</f>
        <v/>
      </c>
      <c r="F111" s="16" t="str">
        <f t="array" ref="F111">IF(OR(ISBLANK(A111),C111),IFERROR(0/0,""),INDEX('RFR Data - preExcl'!AC$2:AC923,$R111,1))</f>
        <v/>
      </c>
      <c r="G111" s="16" t="str">
        <f t="array" ref="G111">IF(OR(ISBLANK(A111),C111),IFERROR(0/0,""),INDEX('RFR Data - preExcl'!AK$2:AK923,$R111,1))</f>
        <v/>
      </c>
      <c r="H111" s="16" t="str">
        <f t="array" ref="H111">IF(OR(ISBLANK(A111),C111),IFERROR(0/0,""),INDEX('RFR Data - preExcl'!AL$2:AL923,$R111,1))</f>
        <v/>
      </c>
      <c r="I111" s="16"/>
      <c r="J111" s="16" t="str">
        <f>IFERROR(VLOOKUP($B111,'APS Tubes by Date IMPORT'!$B$2:$J923,9,FALSE),"")</f>
        <v/>
      </c>
      <c r="K111" s="16">
        <f>IFNA(VLOOKUP($B111,'APS Tubes by Date IMPORT'!$B$2:$J923,6,FALSE),"")</f>
        <v>0</v>
      </c>
      <c r="L111" s="121">
        <f>I110-L110</f>
        <v>4</v>
      </c>
      <c r="M111" s="21">
        <v>0.0</v>
      </c>
      <c r="N111" s="90">
        <v>3.4</v>
      </c>
      <c r="O111" s="30" t="b">
        <f t="shared" si="50"/>
        <v>1</v>
      </c>
      <c r="P111" s="91" t="str">
        <f>IF(ISBLANK(N111),IFERROR(0/0,""),IFERROR(VLOOKUP(N111, 'Process Ref'!$A$76:$D$122, 2, FALSE), IFERROR(0/0,"")))</f>
        <v>Add Run from APS with no RFR (assume run on same day as Collect, ignore Result day)</v>
      </c>
      <c r="Q111" s="18" t="s">
        <v>315</v>
      </c>
      <c r="R111" s="92" t="str">
        <f>IFNA(MATCH(A111,'RFR Data - preExcl'!A$2:A923,0),"")</f>
        <v/>
      </c>
      <c r="S111" s="54"/>
      <c r="T111" s="30" t="str">
        <f>IF(EXACT('RFR Data - preExcl'!W111,"Initial"),'RFR Data - preExcl'!A111,IFERROR(0/0,""))</f>
        <v>RUN-FLMP_2022-05-02_RFR-122</v>
      </c>
      <c r="U111" s="93">
        <f>IF(EXACT('RFR Data - preExcl'!W111,"Initial"),'RFR Data - preExcl'!U111,IFERROR(0/0,""))</f>
        <v>44683</v>
      </c>
      <c r="X111" s="86"/>
      <c r="Z111" s="131"/>
      <c r="AA111" s="14"/>
      <c r="AG111" s="86"/>
      <c r="AH111" s="101" t="str">
        <f>IFERROR(__xludf.DUMMYFUNCTION("""COMPUTED_VALUE"""),"RUN-FLMP_2022-09-12_APS-110")</f>
        <v>RUN-FLMP_2022-09-12_APS-110</v>
      </c>
      <c r="AI111" s="96">
        <f t="shared" si="7"/>
        <v>2</v>
      </c>
      <c r="AJ111" s="86"/>
    </row>
    <row r="112">
      <c r="A112" s="8" t="s">
        <v>143</v>
      </c>
      <c r="B112" s="14">
        <v>44560.0</v>
      </c>
      <c r="C112" s="88" t="str">
        <f t="shared" si="2"/>
        <v/>
      </c>
      <c r="D112" s="16">
        <f t="array" ref="D112">IF(OR(ISBLANK($A112),$C112),IFERROR(0/0,""),INDEX('RFR Data - preExcl'!E$2:E923,$R112,1))</f>
        <v>4</v>
      </c>
      <c r="E112" s="16">
        <f t="array" ref="E112">IF(OR(ISBLANK($A112),$C112),IFERROR(0/0,""),INDEX('RFR Data - preExcl'!Z$2:Z923,$R112,1))</f>
        <v>6</v>
      </c>
      <c r="F112" s="16">
        <f t="array" ref="F112">IF(OR(ISBLANK(A112),C112),IFERROR(0/0,""),INDEX('RFR Data - preExcl'!AC$2:AC923,$R112,1))</f>
        <v>4</v>
      </c>
      <c r="G112" s="59">
        <f t="array" ref="G112">IF(OR(ISBLANK(A112),C112),IFERROR(0/0,""),INDEX('RFR Data - preExcl'!AK$2:AK923,$R112,1))</f>
        <v>4</v>
      </c>
      <c r="H112" s="16">
        <f t="array" ref="H112">IF(OR(ISBLANK(A112),C112),IFERROR(0/0,""),INDEX('RFR Data - preExcl'!AL$2:AL923,$R112,1))</f>
        <v>0</v>
      </c>
      <c r="I112" s="59">
        <f>IFERROR(VLOOKUP($B112,'APS Tubes by Date IMPORT'!$B$2:$J923,2,FALSE),"")</f>
        <v>4</v>
      </c>
      <c r="J112" s="16"/>
      <c r="K112" s="16">
        <f>IFNA(VLOOKUP($B112,'APS Tubes by Date IMPORT'!$B$2:$J923,6,FALSE),"")</f>
        <v>0</v>
      </c>
      <c r="L112" s="59">
        <f>I112</f>
        <v>4</v>
      </c>
      <c r="M112" s="21">
        <v>0.0</v>
      </c>
      <c r="N112" s="105">
        <v>0.0</v>
      </c>
      <c r="O112" s="30" t="b">
        <f t="shared" si="50"/>
        <v>1</v>
      </c>
      <c r="P112" s="91" t="str">
        <f>IF(ISBLANK(N112),IFERROR(0/0,""),IFERROR(VLOOKUP(N112, 'Process Ref'!$A$76:$D$122, 2, FALSE), IFERROR(0/0,"")))</f>
        <v>ALL 3 COUNTS SAME meaning APS Collect = APS Result = RFR</v>
      </c>
      <c r="R112" s="92">
        <f>IFNA(MATCH(A112,'RFR Data - preExcl'!A$2:A923,0),"")</f>
        <v>38</v>
      </c>
      <c r="S112" s="54"/>
      <c r="T112" s="30" t="str">
        <f>IF(EXACT('RFR Data - preExcl'!W112,"Initial"),'RFR Data - preExcl'!A112,IFERROR(0/0,""))</f>
        <v/>
      </c>
      <c r="U112" s="30" t="str">
        <f>IF(EXACT('RFR Data - preExcl'!W112,"Initial"),'RFR Data - preExcl'!U112,IFERROR(0/0,""))</f>
        <v/>
      </c>
      <c r="X112" s="86"/>
      <c r="Z112" s="131"/>
      <c r="AA112" s="14"/>
      <c r="AG112" s="86"/>
      <c r="AH112" s="101" t="str">
        <f>IFERROR(__xludf.DUMMYFUNCTION("""COMPUTED_VALUE"""),"RUN-FLMP_2022-09-15_APS-111")</f>
        <v>RUN-FLMP_2022-09-15_APS-111</v>
      </c>
      <c r="AI112" s="96">
        <f t="shared" si="7"/>
        <v>2</v>
      </c>
      <c r="AJ112" s="86"/>
    </row>
    <row r="113">
      <c r="A113" s="8" t="s">
        <v>144</v>
      </c>
      <c r="B113" s="14">
        <v>44561.0</v>
      </c>
      <c r="C113" s="88" t="str">
        <f t="shared" si="2"/>
        <v/>
      </c>
      <c r="D113" s="16">
        <f t="array" ref="D113">IF(OR(ISBLANK($A113),$C113),IFERROR(0/0,""),INDEX('RFR Data - preExcl'!E$2:E923,$R113,1))</f>
        <v>7</v>
      </c>
      <c r="E113" s="16">
        <f t="array" ref="E113">IF(OR(ISBLANK($A113),$C113),IFERROR(0/0,""),INDEX('RFR Data - preExcl'!Z$2:Z923,$R113,1))</f>
        <v>10</v>
      </c>
      <c r="F113" s="16">
        <f t="array" ref="F113">IF(OR(ISBLANK(A113),C113),IFERROR(0/0,""),INDEX('RFR Data - preExcl'!AC$2:AC923,$R113,1))</f>
        <v>14</v>
      </c>
      <c r="G113" s="16">
        <f t="array" ref="G113">IF(OR(ISBLANK(A113),C113),IFERROR(0/0,""),INDEX('RFR Data - preExcl'!AK$2:AK923,$R113,1))</f>
        <v>7</v>
      </c>
      <c r="H113" s="16">
        <f t="array" ref="H113">IF(OR(ISBLANK(A113),C113),IFERROR(0/0,""),INDEX('RFR Data - preExcl'!AL$2:AL923,$R113,1))</f>
        <v>4</v>
      </c>
      <c r="I113" s="127">
        <f>IFERROR(VLOOKUP($B113,'APS Tubes by Date IMPORT'!$B$2:$J923,2,FALSE),"")</f>
        <v>8</v>
      </c>
      <c r="J113" s="16" t="b">
        <f>IFERROR(VLOOKUP($B113,'APS Tubes by Date IMPORT'!$B$2:$J923,9,FALSE),"")</f>
        <v>1</v>
      </c>
      <c r="K113" s="16">
        <f>IFNA(VLOOKUP($B113,'APS Tubes by Date IMPORT'!$B$2:$J923,6,FALSE),"")</f>
        <v>0</v>
      </c>
      <c r="L113" s="132">
        <v>6.0</v>
      </c>
      <c r="M113" s="21">
        <v>0.0</v>
      </c>
      <c r="N113" s="120">
        <v>5.0</v>
      </c>
      <c r="O113" s="30" t="str">
        <f t="shared" si="50"/>
        <v/>
      </c>
      <c r="P113" s="91" t="str">
        <f>IF(ISBLANK(N113),IFERROR(0/0,""),IFERROR(VLOOKUP(N113, 'Process Ref'!$A$76:$D$122, 2, FALSE), IFERROR(0/0,"")))</f>
        <v>Multiple Initial runs on same day - final count is sum of RFR Audit = APS Collect</v>
      </c>
      <c r="Q113" s="30" t="str">
        <f t="array" ref="Q113">IF(ISBLANK(A113),IFERROR(0/0,""),INDEX('RFR Data - preExcl'!AS$2:AS923,$R113,1))</f>
        <v>One tube 420 missing in APS from LUM</v>
      </c>
      <c r="R113" s="92">
        <f>IFNA(MATCH(A113,'RFR Data - preExcl'!A$2:A923,0),"")</f>
        <v>39</v>
      </c>
      <c r="S113" s="54"/>
      <c r="T113" s="30" t="str">
        <f>IF(EXACT('RFR Data - preExcl'!W113,"Initial"),'RFR Data - preExcl'!A113,IFERROR(0/0,""))</f>
        <v>RUN-FLMP_2022-05-02_RFR-124</v>
      </c>
      <c r="U113" s="93">
        <f>IF(EXACT('RFR Data - preExcl'!W113,"Initial"),'RFR Data - preExcl'!U113,IFERROR(0/0,""))</f>
        <v>44683</v>
      </c>
      <c r="X113" s="86"/>
      <c r="Z113" s="131"/>
      <c r="AA113" s="14"/>
      <c r="AG113" s="86"/>
      <c r="AH113" s="101" t="str">
        <f>IFERROR(__xludf.DUMMYFUNCTION("""COMPUTED_VALUE"""),"RUN-FLMP_2022-09-19_APS-112")</f>
        <v>RUN-FLMP_2022-09-19_APS-112</v>
      </c>
      <c r="AI113" s="96">
        <f t="shared" si="7"/>
        <v>2</v>
      </c>
      <c r="AJ113" s="86"/>
    </row>
    <row r="114">
      <c r="A114" s="8" t="s">
        <v>145</v>
      </c>
      <c r="B114" s="14">
        <v>44561.0</v>
      </c>
      <c r="C114" s="88" t="str">
        <f t="shared" si="2"/>
        <v/>
      </c>
      <c r="D114" s="16">
        <f t="array" ref="D114">IF(OR(ISBLANK($A114),$C114),IFERROR(0/0,""),INDEX('RFR Data - preExcl'!E$2:E923,$R114,1))</f>
        <v>2</v>
      </c>
      <c r="E114" s="16">
        <f t="array" ref="E114">IF(OR(ISBLANK($A114),$C114),IFERROR(0/0,""),INDEX('RFR Data - preExcl'!Z$2:Z923,$R114,1))</f>
        <v>8</v>
      </c>
      <c r="F114" s="16">
        <f t="array" ref="F114">IF(OR(ISBLANK(A114),C114),IFERROR(0/0,""),INDEX('RFR Data - preExcl'!AC$2:AC923,$R114,1))</f>
        <v>6</v>
      </c>
      <c r="G114" s="16">
        <f t="array" ref="G114">IF(OR(ISBLANK(A114),C114),IFERROR(0/0,""),INDEX('RFR Data - preExcl'!AK$2:AK923,$R114,1))</f>
        <v>2</v>
      </c>
      <c r="H114" s="16">
        <f t="array" ref="H114">IF(OR(ISBLANK(A114),C114),IFERROR(0/0,""),INDEX('RFR Data - preExcl'!AL$2:AL923,$R114,1))</f>
        <v>4</v>
      </c>
      <c r="I114" s="133"/>
      <c r="J114" s="16" t="b">
        <f>IFERROR(VLOOKUP($B114,'APS Tubes by Date IMPORT'!$B$2:$J923,9,FALSE),"")</f>
        <v>1</v>
      </c>
      <c r="K114" s="16">
        <f>IFNA(VLOOKUP($B114,'APS Tubes by Date IMPORT'!$B$2:$J923,6,FALSE),"")</f>
        <v>0</v>
      </c>
      <c r="L114" s="134">
        <v>2.0</v>
      </c>
      <c r="M114" s="21">
        <v>0.0</v>
      </c>
      <c r="N114" s="120">
        <v>5.0</v>
      </c>
      <c r="O114" s="30" t="str">
        <f t="shared" si="50"/>
        <v/>
      </c>
      <c r="P114" s="91" t="str">
        <f>IF(ISBLANK(N114),IFERROR(0/0,""),IFERROR(VLOOKUP(N114, 'Process Ref'!$A$76:$D$122, 2, FALSE), IFERROR(0/0,"")))</f>
        <v>Multiple Initial runs on same day - final count is sum of RFR Audit = APS Collect</v>
      </c>
      <c r="R114" s="92">
        <f>IFNA(MATCH(A114,'RFR Data - preExcl'!A$2:A923,0),"")</f>
        <v>40</v>
      </c>
      <c r="S114" s="54"/>
      <c r="T114" s="30" t="str">
        <f>IF(EXACT('RFR Data - preExcl'!W114,"Initial"),'RFR Data - preExcl'!A114,IFERROR(0/0,""))</f>
        <v>RUN-FLMP_2022-05-02_RFR-125</v>
      </c>
      <c r="U114" s="93">
        <f>IF(EXACT('RFR Data - preExcl'!W114,"Initial"),'RFR Data - preExcl'!U114,IFERROR(0/0,""))</f>
        <v>44683</v>
      </c>
      <c r="X114" s="86"/>
      <c r="Z114" s="131"/>
      <c r="AA114" s="14"/>
      <c r="AG114" s="86"/>
      <c r="AH114" s="101" t="str">
        <f>IFERROR(__xludf.DUMMYFUNCTION("""COMPUTED_VALUE"""),"RUN-FLMP_2022-09-22_APS-113")</f>
        <v>RUN-FLMP_2022-09-22_APS-113</v>
      </c>
      <c r="AI114" s="96">
        <f t="shared" si="7"/>
        <v>2</v>
      </c>
      <c r="AJ114" s="86"/>
    </row>
    <row r="115">
      <c r="A115" s="8" t="s">
        <v>146</v>
      </c>
      <c r="B115" s="14">
        <v>44562.0</v>
      </c>
      <c r="C115" s="88" t="str">
        <f t="shared" si="2"/>
        <v/>
      </c>
      <c r="D115" s="16">
        <f t="array" ref="D115">IF(OR(ISBLANK($A115),$C115),IFERROR(0/0,""),INDEX('RFR Data - preExcl'!E$2:E923,$R115,1))</f>
        <v>9</v>
      </c>
      <c r="E115" s="16">
        <f t="array" ref="E115">IF(OR(ISBLANK($A115),$C115),IFERROR(0/0,""),INDEX('RFR Data - preExcl'!Z$2:Z923,$R115,1))</f>
        <v>20</v>
      </c>
      <c r="F115" s="16">
        <f t="array" ref="F115">IF(OR(ISBLANK(A115),C115),IFERROR(0/0,""),INDEX('RFR Data - preExcl'!AC$2:AC923,$R115,1))</f>
        <v>23</v>
      </c>
      <c r="G115" s="16">
        <f t="array" ref="G115">IF(OR(ISBLANK(A115),C115),IFERROR(0/0,""),INDEX('RFR Data - preExcl'!AK$2:AK923,$R115,1))</f>
        <v>10</v>
      </c>
      <c r="H115" s="16">
        <f t="array" ref="H115">IF(OR(ISBLANK(A115),C115),IFERROR(0/0,""),INDEX('RFR Data - preExcl'!AL$2:AL923,$R115,1))</f>
        <v>4</v>
      </c>
      <c r="I115" s="117">
        <f>IFERROR(VLOOKUP($B115,'APS Tubes by Date IMPORT'!$B$2:$J923,2,FALSE),"")</f>
        <v>2</v>
      </c>
      <c r="J115" s="16" t="str">
        <f>IFERROR(VLOOKUP($B115,'APS Tubes by Date IMPORT'!$B$2:$J923,9,FALSE),"")</f>
        <v/>
      </c>
      <c r="K115" s="16">
        <f>IFNA(VLOOKUP($B115,'APS Tubes by Date IMPORT'!$B$2:$J923,6,FALSE),"")</f>
        <v>0</v>
      </c>
      <c r="L115" s="135">
        <v>2.0</v>
      </c>
      <c r="M115" s="21">
        <v>0.0</v>
      </c>
      <c r="N115" s="136">
        <v>10.0</v>
      </c>
      <c r="O115" s="30" t="str">
        <f t="shared" si="50"/>
        <v/>
      </c>
      <c r="P115" s="91" t="str">
        <f>IF(ISBLANK(N115),IFERROR(0/0,""),IFERROR(VLOOKUP(N115, 'Process Ref'!$A$76:$D$122, 2, FALSE), IFERROR(0/0,"")))</f>
        <v>see Notes for reason</v>
      </c>
      <c r="Q115" s="137" t="s">
        <v>316</v>
      </c>
      <c r="R115" s="92">
        <f>IFNA(MATCH(A115,'RFR Data - preExcl'!A$2:A923,0),"")</f>
        <v>41</v>
      </c>
      <c r="S115" s="54"/>
      <c r="T115" s="30" t="str">
        <f>IF(EXACT('RFR Data - preExcl'!W115,"Initial"),'RFR Data - preExcl'!A115,IFERROR(0/0,""))</f>
        <v>RUN-FLMP_2022-05-05_RFR-126</v>
      </c>
      <c r="U115" s="93">
        <f>IF(EXACT('RFR Data - preExcl'!W115,"Initial"),'RFR Data - preExcl'!U115,IFERROR(0/0,""))</f>
        <v>44686</v>
      </c>
      <c r="X115" s="86"/>
      <c r="Z115" s="131"/>
      <c r="AA115" s="14"/>
      <c r="AG115" s="86"/>
      <c r="AH115" s="101" t="str">
        <f>IFERROR(__xludf.DUMMYFUNCTION("""COMPUTED_VALUE"""),"RUN-FLMP_2022-09-26_APS-114")</f>
        <v>RUN-FLMP_2022-09-26_APS-114</v>
      </c>
      <c r="AI115" s="96">
        <f t="shared" si="7"/>
        <v>2</v>
      </c>
      <c r="AJ115" s="86"/>
    </row>
    <row r="116">
      <c r="A116" s="8" t="s">
        <v>147</v>
      </c>
      <c r="B116" s="14">
        <v>44563.0</v>
      </c>
      <c r="C116" s="88" t="str">
        <f t="shared" si="2"/>
        <v/>
      </c>
      <c r="D116" s="16">
        <f t="array" ref="D116">IF(OR(ISBLANK($A116),$C116),IFERROR(0/0,""),INDEX('RFR Data - preExcl'!E$2:E923,$R116,1))</f>
        <v>12</v>
      </c>
      <c r="E116" s="16">
        <f t="array" ref="E116">IF(OR(ISBLANK($A116),$C116),IFERROR(0/0,""),INDEX('RFR Data - preExcl'!Z$2:Z923,$R116,1))</f>
        <v>16</v>
      </c>
      <c r="F116" s="16">
        <f t="array" ref="F116">IF(OR(ISBLANK(A116),C116),IFERROR(0/0,""),INDEX('RFR Data - preExcl'!AC$2:AC923,$R116,1))</f>
        <v>14</v>
      </c>
      <c r="G116" s="59">
        <f t="array" ref="G116">IF(OR(ISBLANK(A116),C116),IFERROR(0/0,""),INDEX('RFR Data - preExcl'!AK$2:AK923,$R116,1))</f>
        <v>12</v>
      </c>
      <c r="H116" s="16">
        <f t="array" ref="H116">IF(OR(ISBLANK(A116),C116),IFERROR(0/0,""),INDEX('RFR Data - preExcl'!AL$2:AL923,$R116,1))</f>
        <v>4</v>
      </c>
      <c r="I116" s="59">
        <f>IFERROR(VLOOKUP($B116,'APS Tubes by Date IMPORT'!$B$2:$J923,2,FALSE),"")</f>
        <v>12</v>
      </c>
      <c r="J116" s="16" t="b">
        <f>IFERROR(VLOOKUP($B116,'APS Tubes by Date IMPORT'!$B$2:$J923,9,FALSE),"")</f>
        <v>1</v>
      </c>
      <c r="K116" s="16">
        <f>IFNA(VLOOKUP($B116,'APS Tubes by Date IMPORT'!$B$2:$J923,6,FALSE),"")</f>
        <v>0</v>
      </c>
      <c r="L116" s="126">
        <f>G116</f>
        <v>12</v>
      </c>
      <c r="M116" s="21">
        <v>0.0</v>
      </c>
      <c r="N116" s="105">
        <v>0.0</v>
      </c>
      <c r="O116" s="30" t="b">
        <f t="shared" si="50"/>
        <v>1</v>
      </c>
      <c r="P116" s="91" t="str">
        <f>IF(ISBLANK(N116),IFERROR(0/0,""),IFERROR(VLOOKUP(N116, 'Process Ref'!$A$76:$D$122, 2, FALSE), IFERROR(0/0,"")))</f>
        <v>ALL 3 COUNTS SAME meaning APS Collect = APS Result = RFR</v>
      </c>
      <c r="Q116" s="138" t="s">
        <v>317</v>
      </c>
      <c r="R116" s="92">
        <f>IFNA(MATCH(A116,'RFR Data - preExcl'!A$2:A923,0),"")</f>
        <v>42</v>
      </c>
      <c r="S116" s="54"/>
      <c r="T116" s="30" t="str">
        <f>IF(EXACT('RFR Data - preExcl'!W116,"Initial"),'RFR Data - preExcl'!A116,IFERROR(0/0,""))</f>
        <v/>
      </c>
      <c r="U116" s="30" t="str">
        <f>IF(EXACT('RFR Data - preExcl'!W116,"Initial"),'RFR Data - preExcl'!U116,IFERROR(0/0,""))</f>
        <v/>
      </c>
      <c r="X116" s="86"/>
      <c r="Z116" s="131"/>
      <c r="AA116" s="14"/>
      <c r="AG116" s="86"/>
      <c r="AH116" s="101" t="str">
        <f>IFERROR(__xludf.DUMMYFUNCTION("""COMPUTED_VALUE"""),"RUN-FLMP_2022-09-29_APS-115")</f>
        <v>RUN-FLMP_2022-09-29_APS-115</v>
      </c>
      <c r="AI116" s="96">
        <f t="shared" si="7"/>
        <v>2</v>
      </c>
      <c r="AJ116" s="86"/>
    </row>
    <row r="117">
      <c r="A117" s="8" t="s">
        <v>149</v>
      </c>
      <c r="B117" s="14">
        <v>44564.0</v>
      </c>
      <c r="C117" s="88" t="str">
        <f t="shared" si="2"/>
        <v/>
      </c>
      <c r="D117" s="16">
        <f t="array" ref="D117">IF(OR(ISBLANK($A117),$C117),IFERROR(0/0,""),INDEX('RFR Data - preExcl'!E$2:E923,$R117,1))</f>
        <v>10</v>
      </c>
      <c r="E117" s="16">
        <f t="array" ref="E117">IF(OR(ISBLANK($A117),$C117),IFERROR(0/0,""),INDEX('RFR Data - preExcl'!Z$2:Z923,$R117,1))</f>
        <v>10</v>
      </c>
      <c r="F117" s="16">
        <f t="array" ref="F117">IF(OR(ISBLANK(A117),C117),IFERROR(0/0,""),INDEX('RFR Data - preExcl'!AC$2:AC923,$R117,1))</f>
        <v>8</v>
      </c>
      <c r="G117" s="16">
        <f t="array" ref="G117">IF(OR(ISBLANK(A117),C117),IFERROR(0/0,""),INDEX('RFR Data - preExcl'!AK$2:AK923,$R117,1))</f>
        <v>8</v>
      </c>
      <c r="H117" s="16">
        <f t="array" ref="H117">IF(OR(ISBLANK(A117),C117),IFERROR(0/0,""),INDEX('RFR Data - preExcl'!AL$2:AL923,$R117,1))</f>
        <v>4</v>
      </c>
      <c r="I117" s="119">
        <f>IFERROR(VLOOKUP($B117,'APS Tubes by Date IMPORT'!$B$2:$J923,2,FALSE),"")</f>
        <v>12</v>
      </c>
      <c r="J117" s="16" t="str">
        <f>IFERROR(VLOOKUP($B117,'APS Tubes by Date IMPORT'!$B$2:$J923,9,FALSE),"")</f>
        <v/>
      </c>
      <c r="K117" s="16">
        <f>IFNA(VLOOKUP($B117,'APS Tubes by Date IMPORT'!$B$2:$J923,6,FALSE),"")</f>
        <v>0</v>
      </c>
      <c r="L117" s="139">
        <v>6.0</v>
      </c>
      <c r="M117" s="21">
        <v>0.0</v>
      </c>
      <c r="N117" s="120">
        <v>5.0</v>
      </c>
      <c r="O117" s="30" t="str">
        <f t="shared" si="50"/>
        <v/>
      </c>
      <c r="P117" s="91" t="str">
        <f>IF(ISBLANK(N117),IFERROR(0/0,""),IFERROR(VLOOKUP(N117, 'Process Ref'!$A$76:$D$122, 2, FALSE), IFERROR(0/0,"")))</f>
        <v>Multiple Initial runs on same day - final count is sum of RFR Audit = APS Collect</v>
      </c>
      <c r="Q117" s="140" t="s">
        <v>318</v>
      </c>
      <c r="R117" s="92">
        <f>IFNA(MATCH(A117,'RFR Data - preExcl'!A$2:A923,0),"")</f>
        <v>43</v>
      </c>
      <c r="S117" s="54"/>
      <c r="T117" s="30" t="str">
        <f>IF(EXACT('RFR Data - preExcl'!W117,"Initial"),'RFR Data - preExcl'!A117,IFERROR(0/0,""))</f>
        <v>RUN-FLMP_2022-05-09_RFR-128</v>
      </c>
      <c r="U117" s="93">
        <f>IF(EXACT('RFR Data - preExcl'!W117,"Initial"),'RFR Data - preExcl'!U117,IFERROR(0/0,""))</f>
        <v>44690</v>
      </c>
      <c r="X117" s="86"/>
      <c r="Z117" s="131"/>
      <c r="AA117" s="14"/>
      <c r="AG117" s="86"/>
      <c r="AH117" s="101" t="str">
        <f>IFERROR(__xludf.DUMMYFUNCTION("""COMPUTED_VALUE"""),"RUN-FLMP_2022-10-03_APS-116")</f>
        <v>RUN-FLMP_2022-10-03_APS-116</v>
      </c>
      <c r="AI117" s="96">
        <f t="shared" si="7"/>
        <v>1</v>
      </c>
      <c r="AJ117" s="86"/>
    </row>
    <row r="118">
      <c r="A118" s="8" t="s">
        <v>148</v>
      </c>
      <c r="B118" s="14">
        <v>44564.0</v>
      </c>
      <c r="C118" s="88" t="b">
        <f t="shared" si="2"/>
        <v>1</v>
      </c>
      <c r="D118" s="16" t="str">
        <f t="array" ref="D118">IF(OR(ISBLANK($A118),$C118),IFERROR(0/0,""),INDEX('RFR Data - preExcl'!E$2:E923,$R118,1))</f>
        <v/>
      </c>
      <c r="E118" s="16" t="str">
        <f t="array" ref="E118">IF(OR(ISBLANK($A118),$C118),IFERROR(0/0,""),INDEX('RFR Data - preExcl'!Z$2:Z923,$R118,1))</f>
        <v/>
      </c>
      <c r="F118" s="16" t="str">
        <f t="array" ref="F118">IF(OR(ISBLANK(A118),C118),IFERROR(0/0,""),INDEX('RFR Data - preExcl'!AC$2:AC923,$R118,1))</f>
        <v/>
      </c>
      <c r="G118" s="16" t="str">
        <f t="array" ref="G118">IF(OR(ISBLANK(A118),C118),IFERROR(0/0,""),INDEX('RFR Data - preExcl'!AK$2:AK923,$R118,1))</f>
        <v/>
      </c>
      <c r="H118" s="16" t="str">
        <f t="array" ref="H118">IF(OR(ISBLANK(A118),C118),IFERROR(0/0,""),INDEX('RFR Data - preExcl'!AL$2:AL923,$R118,1))</f>
        <v/>
      </c>
      <c r="I118" s="141"/>
      <c r="J118" s="16" t="str">
        <f>IFERROR(VLOOKUP($B118,'APS Tubes by Date IMPORT'!$B$2:$J923,9,FALSE),"")</f>
        <v/>
      </c>
      <c r="K118" s="16">
        <f>IFNA(VLOOKUP($B118,'APS Tubes by Date IMPORT'!$B$2:$J923,6,FALSE),"")</f>
        <v>0</v>
      </c>
      <c r="L118" s="121">
        <f>I117+I119-L117-L119</f>
        <v>4</v>
      </c>
      <c r="M118" s="21">
        <v>0.0</v>
      </c>
      <c r="N118" s="90">
        <v>3.4</v>
      </c>
      <c r="O118" s="30" t="b">
        <f t="shared" si="50"/>
        <v>1</v>
      </c>
      <c r="P118" s="91" t="str">
        <f>IF(ISBLANK(N118),IFERROR(0/0,""),IFERROR(VLOOKUP(N118, 'Process Ref'!$A$76:$D$122, 2, FALSE), IFERROR(0/0,"")))</f>
        <v>Add Run from APS with no RFR (assume run on same day as Collect, ignore Result day)</v>
      </c>
      <c r="Q118" s="142" t="s">
        <v>319</v>
      </c>
      <c r="R118" s="92" t="str">
        <f>IFNA(MATCH(A118,'RFR Data - preExcl'!A$2:A923,0),"")</f>
        <v/>
      </c>
      <c r="S118" s="54"/>
      <c r="T118" s="30" t="str">
        <f>IF(EXACT('RFR Data - preExcl'!W118,"Initial"),'RFR Data - preExcl'!A118,IFERROR(0/0,""))</f>
        <v/>
      </c>
      <c r="U118" s="30" t="str">
        <f>IF(EXACT('RFR Data - preExcl'!W118,"Initial"),'RFR Data - preExcl'!U118,IFERROR(0/0,""))</f>
        <v/>
      </c>
      <c r="X118" s="86"/>
      <c r="Z118" s="131"/>
      <c r="AA118" s="14"/>
      <c r="AG118" s="86"/>
      <c r="AH118" s="101" t="str">
        <f>IFERROR(__xludf.DUMMYFUNCTION("""COMPUTED_VALUE"""),"RUN-FLMP_2022-10-06_APS-117")</f>
        <v>RUN-FLMP_2022-10-06_APS-117</v>
      </c>
      <c r="AI118" s="96">
        <f t="shared" si="7"/>
        <v>4</v>
      </c>
      <c r="AJ118" s="86"/>
    </row>
    <row r="119">
      <c r="A119" s="8" t="s">
        <v>150</v>
      </c>
      <c r="B119" s="14">
        <v>44565.0</v>
      </c>
      <c r="C119" s="88" t="str">
        <f t="shared" si="2"/>
        <v/>
      </c>
      <c r="D119" s="16">
        <f t="array" ref="D119">IF(OR(ISBLANK($A119),$C119),IFERROR(0/0,""),INDEX('RFR Data - preExcl'!E$2:E923,$R119,1))</f>
        <v>10</v>
      </c>
      <c r="E119" s="16"/>
      <c r="F119" s="16">
        <f t="array" ref="F119">IF(OR(ISBLANK(A119),C119),IFERROR(0/0,""),INDEX('RFR Data - preExcl'!AC$2:AC923,$R119,1))</f>
        <v>10</v>
      </c>
      <c r="G119" s="16">
        <f t="array" ref="G119">IF(OR(ISBLANK(A119),C119),IFERROR(0/0,""),INDEX('RFR Data - preExcl'!AK$2:AK923,$R119,1))</f>
        <v>10</v>
      </c>
      <c r="H119" s="16">
        <f t="array" ref="H119">IF(OR(ISBLANK(A119),C119),IFERROR(0/0,""),INDEX('RFR Data - preExcl'!AL$2:AL923,$R119,1))</f>
        <v>0</v>
      </c>
      <c r="I119" s="121">
        <f>IFERROR(VLOOKUP($B119,'APS Tubes by Date IMPORT'!$B$2:$J923,2,FALSE),"")</f>
        <v>6</v>
      </c>
      <c r="J119" s="16"/>
      <c r="K119" s="16">
        <f>IFNA(VLOOKUP($B119,'APS Tubes by Date IMPORT'!$B$2:$J923,6,FALSE),"")</f>
        <v>0</v>
      </c>
      <c r="L119" s="115">
        <v>8.0</v>
      </c>
      <c r="M119" s="21">
        <v>0.0</v>
      </c>
      <c r="N119" s="136">
        <v>10.0</v>
      </c>
      <c r="O119" s="30" t="str">
        <f t="shared" si="50"/>
        <v/>
      </c>
      <c r="P119" s="91" t="str">
        <f>IF(ISBLANK(N119),IFERROR(0/0,""),IFERROR(VLOOKUP(N119, 'Process Ref'!$A$76:$D$122, 2, FALSE), IFERROR(0/0,"")))</f>
        <v>see Notes for reason</v>
      </c>
      <c r="Q119" s="24" t="s">
        <v>320</v>
      </c>
      <c r="R119" s="92">
        <f>IFNA(MATCH(A119,'RFR Data - preExcl'!A$2:A923,0),"")</f>
        <v>45</v>
      </c>
      <c r="S119" s="54"/>
      <c r="T119" s="30" t="str">
        <f>IF(EXACT('RFR Data - preExcl'!W119,"Initial"),'RFR Data - preExcl'!A119,IFERROR(0/0,""))</f>
        <v/>
      </c>
      <c r="U119" s="30" t="str">
        <f>IF(EXACT('RFR Data - preExcl'!W119,"Initial"),'RFR Data - preExcl'!U119,IFERROR(0/0,""))</f>
        <v/>
      </c>
      <c r="X119" s="86"/>
      <c r="Z119" s="131"/>
      <c r="AA119" s="14"/>
      <c r="AG119" s="86"/>
      <c r="AH119" s="101" t="str">
        <f>IFERROR(__xludf.DUMMYFUNCTION("""COMPUTED_VALUE"""),"RUN-FLMP_2022-10-10_APS-118")</f>
        <v>RUN-FLMP_2022-10-10_APS-118</v>
      </c>
      <c r="AI119" s="96">
        <f t="shared" si="7"/>
        <v>3</v>
      </c>
      <c r="AJ119" s="86"/>
    </row>
    <row r="120">
      <c r="A120" s="143"/>
      <c r="B120" s="73">
        <v>44566.0</v>
      </c>
      <c r="C120" s="144" t="str">
        <f t="shared" si="2"/>
        <v/>
      </c>
      <c r="D120" s="145" t="str">
        <f t="array" ref="D120">IF(OR(ISBLANK($A120),$C120),IFERROR(0/0,""),INDEX('RFR Data - preExcl'!E$2:E923,$R120,1))</f>
        <v/>
      </c>
      <c r="E120" s="145" t="str">
        <f t="array" ref="E120">IF(OR(ISBLANK($A120),$C120),IFERROR(0/0,""),INDEX('RFR Data - preExcl'!Z$2:Z923,$R120,1))</f>
        <v/>
      </c>
      <c r="F120" s="145" t="str">
        <f t="array" ref="F120">IF(OR(ISBLANK(A120),C120),IFERROR(0/0,""),INDEX('RFR Data - preExcl'!AC$2:AC923,$R120,1))</f>
        <v/>
      </c>
      <c r="G120" s="145" t="str">
        <f t="array" ref="G120">IF(OR(ISBLANK(A120),C120),IFERROR(0/0,""),INDEX('RFR Data - preExcl'!AK$2:AK923,$R120,1))</f>
        <v/>
      </c>
      <c r="H120" s="145" t="str">
        <f t="array" ref="H120">IF(OR(ISBLANK(A120),C120),IFERROR(0/0,""),INDEX('RFR Data - preExcl'!AL$2:AL923,$R120,1))</f>
        <v/>
      </c>
      <c r="I120" s="146">
        <f>IFERROR(VLOOKUP($B120,'APS Tubes by Date IMPORT'!$B$2:$J923,2,FALSE),"")</f>
        <v>5</v>
      </c>
      <c r="J120" s="145" t="str">
        <f>IFERROR(VLOOKUP($B120,'APS Tubes by Date IMPORT'!$B$2:$J923,9,FALSE),"")</f>
        <v/>
      </c>
      <c r="K120" s="145">
        <f>IFNA(VLOOKUP($B120,'APS Tubes by Date IMPORT'!$B$2:$J923,6,FALSE),"")</f>
        <v>0</v>
      </c>
      <c r="L120" s="147"/>
      <c r="M120" s="145"/>
      <c r="N120" s="147">
        <v>6.1</v>
      </c>
      <c r="O120" s="143" t="str">
        <f t="shared" si="50"/>
        <v/>
      </c>
      <c r="P120" s="148" t="str">
        <f>IF(ISBLANK(N120),IFERROR(0/0,""),IFERROR(VLOOKUP(N120, 'Process Ref'!$A$76:$D$122, 2, FALSE), IFERROR(0/0,"")))</f>
        <v>No Run - APS Collect run next day</v>
      </c>
      <c r="Q120" s="149" t="s">
        <v>321</v>
      </c>
      <c r="R120" s="92" t="str">
        <f>IFNA(MATCH(A120,'RFR Data - preExcl'!A$2:A923,0),"")</f>
        <v/>
      </c>
      <c r="S120" s="54"/>
      <c r="T120" s="30" t="str">
        <f>IF(EXACT('RFR Data - preExcl'!W120,"Initial"),'RFR Data - preExcl'!A120,IFERROR(0/0,""))</f>
        <v>RUN-FLMP_2022-05-09_RFR-131</v>
      </c>
      <c r="U120" s="93">
        <f>IF(EXACT('RFR Data - preExcl'!W120,"Initial"),'RFR Data - preExcl'!U120,IFERROR(0/0,""))</f>
        <v>44690</v>
      </c>
      <c r="X120" s="86"/>
      <c r="Z120" s="131"/>
      <c r="AA120" s="14"/>
      <c r="AG120" s="86"/>
      <c r="AH120" s="101" t="str">
        <f>IFERROR(__xludf.DUMMYFUNCTION("""COMPUTED_VALUE"""),"RUN-FLMP_2022-10-13_APS-119")</f>
        <v>RUN-FLMP_2022-10-13_APS-119</v>
      </c>
      <c r="AI120" s="96">
        <f t="shared" si="7"/>
        <v>2</v>
      </c>
      <c r="AJ120" s="86"/>
    </row>
    <row r="121">
      <c r="A121" s="8" t="s">
        <v>151</v>
      </c>
      <c r="B121" s="14">
        <v>44567.0</v>
      </c>
      <c r="C121" s="88" t="str">
        <f t="shared" si="2"/>
        <v/>
      </c>
      <c r="D121" s="16">
        <f t="array" ref="D121">IF(OR(ISBLANK($A121),$C121),IFERROR(0/0,""),INDEX('RFR Data - preExcl'!E$2:E923,$R121,1))</f>
        <v>21</v>
      </c>
      <c r="E121" s="16" t="str">
        <f t="array" ref="E121">IF(OR(ISBLANK($A121),$C121),IFERROR(0/0,""),INDEX('RFR Data - preExcl'!Z$2:Z923,$R121,1))</f>
        <v/>
      </c>
      <c r="F121" s="16">
        <f t="array" ref="F121">IF(OR(ISBLANK(A121),C121),IFERROR(0/0,""),INDEX('RFR Data - preExcl'!AC$2:AC923,$R121,1))</f>
        <v>22</v>
      </c>
      <c r="G121" s="16">
        <f t="array" ref="G121">IF(OR(ISBLANK(A121),C121),IFERROR(0/0,""),INDEX('RFR Data - preExcl'!AK$2:AK923,$R121,1))</f>
        <v>22</v>
      </c>
      <c r="H121" s="16">
        <f t="array" ref="H121">IF(OR(ISBLANK(A121),C121),IFERROR(0/0,""),INDEX('RFR Data - preExcl'!AL$2:AL923,$R121,1))</f>
        <v>4</v>
      </c>
      <c r="I121" s="128">
        <f>IFERROR(VLOOKUP($B121,'APS Tubes by Date IMPORT'!$B$2:$J923,2,FALSE),"")</f>
        <v>13</v>
      </c>
      <c r="J121" s="16" t="b">
        <f>IFERROR(VLOOKUP($B121,'APS Tubes by Date IMPORT'!$B$2:$J923,9,FALSE),"")</f>
        <v>1</v>
      </c>
      <c r="K121" s="16">
        <f>IFNA(VLOOKUP($B121,'APS Tubes by Date IMPORT'!$B$2:$J923,6,FALSE),"")</f>
        <v>0</v>
      </c>
      <c r="L121" s="150">
        <v>18.0</v>
      </c>
      <c r="M121" s="16">
        <f>L121-I121-I120</f>
        <v>0</v>
      </c>
      <c r="N121" s="136">
        <v>10.0</v>
      </c>
      <c r="O121" s="30" t="str">
        <f t="shared" si="50"/>
        <v/>
      </c>
      <c r="P121" s="91" t="str">
        <f>IF(ISBLANK(N121),IFERROR(0/0,""),IFERROR(VLOOKUP(N121, 'Process Ref'!$A$76:$D$122, 2, FALSE), IFERROR(0/0,"")))</f>
        <v>see Notes for reason</v>
      </c>
      <c r="Q121" s="24" t="s">
        <v>322</v>
      </c>
      <c r="R121" s="92">
        <f>IFNA(MATCH(A121,'RFR Data - preExcl'!A$2:A923,0),"")</f>
        <v>46</v>
      </c>
      <c r="S121" s="54"/>
      <c r="T121" s="30" t="str">
        <f>IF(EXACT('RFR Data - preExcl'!W121,"Initial"),'RFR Data - preExcl'!A121,IFERROR(0/0,""))</f>
        <v>RUN-FLMP_2022-05-11_RFR-132</v>
      </c>
      <c r="U121" s="93">
        <f>IF(EXACT('RFR Data - preExcl'!W121,"Initial"),'RFR Data - preExcl'!U121,IFERROR(0/0,""))</f>
        <v>44692</v>
      </c>
      <c r="X121" s="86"/>
      <c r="Z121" s="131"/>
      <c r="AA121" s="14"/>
      <c r="AG121" s="86"/>
      <c r="AH121" s="101" t="str">
        <f>IFERROR(__xludf.DUMMYFUNCTION("""COMPUTED_VALUE"""),"RUN-FLMP_2022-10-17_APS-120")</f>
        <v>RUN-FLMP_2022-10-17_APS-120</v>
      </c>
      <c r="AI121" s="96">
        <f t="shared" si="7"/>
        <v>2</v>
      </c>
      <c r="AJ121" s="86"/>
    </row>
    <row r="122">
      <c r="A122" s="8" t="s">
        <v>152</v>
      </c>
      <c r="B122" s="14">
        <v>44569.0</v>
      </c>
      <c r="C122" s="88" t="str">
        <f t="shared" si="2"/>
        <v/>
      </c>
      <c r="D122" s="16">
        <f t="array" ref="D122">IF(OR(ISBLANK($A122),$C122),IFERROR(0/0,""),INDEX('RFR Data - preExcl'!E$2:E923,$R122,1))</f>
        <v>10</v>
      </c>
      <c r="E122" s="16">
        <f t="array" ref="E122">IF(OR(ISBLANK($A122),$C122),IFERROR(0/0,""),INDEX('RFR Data - preExcl'!Z$2:Z923,$R122,1))</f>
        <v>10</v>
      </c>
      <c r="F122" s="16">
        <f t="array" ref="F122">IF(OR(ISBLANK(A122),C122),IFERROR(0/0,""),INDEX('RFR Data - preExcl'!AC$2:AC923,$R122,1))</f>
        <v>8</v>
      </c>
      <c r="G122" s="16">
        <f t="array" ref="G122">IF(OR(ISBLANK(A122),C122),IFERROR(0/0,""),INDEX('RFR Data - preExcl'!AK$2:AK923,$R122,1))</f>
        <v>8</v>
      </c>
      <c r="H122" s="16">
        <f t="array" ref="H122">IF(OR(ISBLANK(A122),C122),IFERROR(0/0,""),INDEX('RFR Data - preExcl'!AL$2:AL923,$R122,1))</f>
        <v>5</v>
      </c>
      <c r="I122" s="16">
        <f>IFERROR(VLOOKUP($B122,'APS Tubes by Date IMPORT'!$B$2:$J923,2,FALSE),"")</f>
        <v>7</v>
      </c>
      <c r="J122" s="16" t="b">
        <f>IFERROR(VLOOKUP($B122,'APS Tubes by Date IMPORT'!$B$2:$J923,9,FALSE),"")</f>
        <v>1</v>
      </c>
      <c r="K122" s="16">
        <f>IFNA(VLOOKUP($B122,'APS Tubes by Date IMPORT'!$B$2:$J923,6,FALSE),"")</f>
        <v>0</v>
      </c>
      <c r="L122" s="21">
        <v>7.0</v>
      </c>
      <c r="M122" s="16">
        <f>L122-I122</f>
        <v>0</v>
      </c>
      <c r="N122" s="115">
        <v>10.0</v>
      </c>
      <c r="O122" s="30" t="str">
        <f t="shared" si="50"/>
        <v/>
      </c>
      <c r="P122" s="91" t="str">
        <f>IF(ISBLANK(N122),IFERROR(0/0,""),IFERROR(VLOOKUP(N122, 'Process Ref'!$A$76:$D$122, 2, FALSE), IFERROR(0/0,"")))</f>
        <v>see Notes for reason</v>
      </c>
      <c r="Q122" s="24" t="s">
        <v>323</v>
      </c>
      <c r="R122" s="92">
        <f>IFNA(MATCH(A122,'RFR Data - preExcl'!A$2:A923,0),"")</f>
        <v>48</v>
      </c>
      <c r="S122" s="54"/>
      <c r="T122" s="30" t="str">
        <f>IF(EXACT('RFR Data - preExcl'!W122,"Initial"),'RFR Data - preExcl'!A122,IFERROR(0/0,""))</f>
        <v/>
      </c>
      <c r="U122" s="30" t="str">
        <f>IF(EXACT('RFR Data - preExcl'!W122,"Initial"),'RFR Data - preExcl'!U122,IFERROR(0/0,""))</f>
        <v/>
      </c>
      <c r="X122" s="86"/>
      <c r="Z122" s="131"/>
      <c r="AA122" s="14"/>
      <c r="AG122" s="86"/>
      <c r="AH122" s="101" t="str">
        <f>IFERROR(__xludf.DUMMYFUNCTION("""COMPUTED_VALUE"""),"RUN-FLMP_2022-10-20_APS-121")</f>
        <v>RUN-FLMP_2022-10-20_APS-121</v>
      </c>
      <c r="AI122" s="96">
        <f t="shared" si="7"/>
        <v>2</v>
      </c>
      <c r="AJ122" s="86"/>
    </row>
    <row r="123">
      <c r="A123" s="143"/>
      <c r="B123" s="73">
        <v>44570.0</v>
      </c>
      <c r="C123" s="144" t="str">
        <f t="shared" si="2"/>
        <v/>
      </c>
      <c r="D123" s="145" t="str">
        <f t="array" ref="D123">IF(OR(ISBLANK($A123),$C123),IFERROR(0/0,""),INDEX('RFR Data - preExcl'!E$2:E923,$R123,1))</f>
        <v/>
      </c>
      <c r="E123" s="145" t="str">
        <f t="array" ref="E123">IF(OR(ISBLANK($A123),$C123),IFERROR(0/0,""),INDEX('RFR Data - preExcl'!Z$2:Z923,$R123,1))</f>
        <v/>
      </c>
      <c r="F123" s="145" t="str">
        <f t="array" ref="F123">IF(OR(ISBLANK(A123),C123),IFERROR(0/0,""),INDEX('RFR Data - preExcl'!AC$2:AC923,$R123,1))</f>
        <v/>
      </c>
      <c r="G123" s="145" t="str">
        <f t="array" ref="G123">IF(OR(ISBLANK(A123),C123),IFERROR(0/0,""),INDEX('RFR Data - preExcl'!AK$2:AK923,$R123,1))</f>
        <v/>
      </c>
      <c r="H123" s="145" t="str">
        <f t="array" ref="H123">IF(OR(ISBLANK(A123),C123),IFERROR(0/0,""),INDEX('RFR Data - preExcl'!AL$2:AL923,$R123,1))</f>
        <v/>
      </c>
      <c r="I123" s="145">
        <f>IFERROR(VLOOKUP($B123,'APS Tubes by Date IMPORT'!$B$2:$J923,2,FALSE),"")</f>
        <v>18</v>
      </c>
      <c r="J123" s="145" t="str">
        <f>IFERROR(VLOOKUP($B123,'APS Tubes by Date IMPORT'!$B$2:$J923,9,FALSE),"")</f>
        <v/>
      </c>
      <c r="K123" s="145">
        <f>IFNA(VLOOKUP($B123,'APS Tubes by Date IMPORT'!$B$2:$J923,6,FALSE),"")</f>
        <v>0</v>
      </c>
      <c r="L123" s="147"/>
      <c r="M123" s="145"/>
      <c r="N123" s="147">
        <v>6.1</v>
      </c>
      <c r="O123" s="143" t="str">
        <f t="shared" si="50"/>
        <v/>
      </c>
      <c r="P123" s="148" t="str">
        <f>IF(ISBLANK(N123),IFERROR(0/0,""),IFERROR(VLOOKUP(N123, 'Process Ref'!$A$76:$D$122, 2, FALSE), IFERROR(0/0,"")))</f>
        <v>No Run - APS Collect run next day</v>
      </c>
      <c r="Q123" s="149" t="s">
        <v>321</v>
      </c>
      <c r="R123" s="92" t="str">
        <f>IFNA(MATCH(A123,'RFR Data - preExcl'!A$2:A923,0),"")</f>
        <v/>
      </c>
      <c r="S123" s="54"/>
      <c r="T123" s="30" t="str">
        <f>IF(EXACT('RFR Data - preExcl'!W123,"Initial"),'RFR Data - preExcl'!A123,IFERROR(0/0,""))</f>
        <v/>
      </c>
      <c r="U123" s="30" t="str">
        <f>IF(EXACT('RFR Data - preExcl'!W123,"Initial"),'RFR Data - preExcl'!U123,IFERROR(0/0,""))</f>
        <v/>
      </c>
      <c r="X123" s="86"/>
      <c r="Z123" s="131"/>
      <c r="AA123" s="14"/>
      <c r="AG123" s="86"/>
      <c r="AH123" s="101" t="str">
        <f>IFERROR(__xludf.DUMMYFUNCTION("""COMPUTED_VALUE"""),"RUN-FLMP_2022-10-24_APS-122")</f>
        <v>RUN-FLMP_2022-10-24_APS-122</v>
      </c>
      <c r="AI123" s="96">
        <f t="shared" si="7"/>
        <v>3</v>
      </c>
      <c r="AJ123" s="86"/>
    </row>
    <row r="124">
      <c r="A124" s="8" t="s">
        <v>153</v>
      </c>
      <c r="B124" s="14">
        <v>44571.0</v>
      </c>
      <c r="C124" s="88" t="str">
        <f t="shared" si="2"/>
        <v/>
      </c>
      <c r="D124" s="16">
        <f t="array" ref="D124">IF(OR(ISBLANK($A124),$C124),IFERROR(0/0,""),INDEX('RFR Data - preExcl'!E$2:E923,$R124,1))</f>
        <v>46</v>
      </c>
      <c r="E124" s="16">
        <f t="array" ref="E124">IF(OR(ISBLANK($A124),$C124),IFERROR(0/0,""),INDEX('RFR Data - preExcl'!Z$2:Z923,$R124,1))</f>
        <v>46</v>
      </c>
      <c r="F124" s="16">
        <f t="array" ref="F124">IF(OR(ISBLANK(A124),C124),IFERROR(0/0,""),INDEX('RFR Data - preExcl'!AC$2:AC923,$R124,1))</f>
        <v>46</v>
      </c>
      <c r="G124" s="16">
        <f t="array" ref="G124">IF(OR(ISBLANK(A124),C124),IFERROR(0/0,""),INDEX('RFR Data - preExcl'!AK$2:AK923,$R124,1))</f>
        <v>46</v>
      </c>
      <c r="H124" s="16">
        <f t="array" ref="H124">IF(OR(ISBLANK(A124),C124),IFERROR(0/0,""),INDEX('RFR Data - preExcl'!AL$2:AL923,$R124,1))</f>
        <v>4</v>
      </c>
      <c r="I124" s="21">
        <v>24.0</v>
      </c>
      <c r="J124" s="16" t="b">
        <f>IFERROR(VLOOKUP($B124,'APS Tubes by Date IMPORT'!$B$2:$J923,9,FALSE),"")</f>
        <v>1</v>
      </c>
      <c r="K124" s="16">
        <f>IFNA(VLOOKUP($B124,'APS Tubes by Date IMPORT'!$B$2:$J923,6,FALSE),"")</f>
        <v>0</v>
      </c>
      <c r="L124" s="89">
        <f t="shared" ref="L124:L126" si="52">G124</f>
        <v>46</v>
      </c>
      <c r="M124" s="16">
        <f>L124-I124-I123</f>
        <v>4</v>
      </c>
      <c r="N124" s="116">
        <v>2.0</v>
      </c>
      <c r="O124" s="30" t="b">
        <f t="shared" si="50"/>
        <v>1</v>
      </c>
      <c r="P124" s="91" t="str">
        <f>IF(ISBLANK(N124),IFERROR(0/0,""),IFERROR(VLOOKUP(N124, 'Process Ref'!$A$76:$D$122, 2, FALSE), IFERROR(0/0,"")))</f>
        <v>Use Audit RFR count (extra tubes in RFR not in Appivo)</v>
      </c>
      <c r="Q124" s="18" t="s">
        <v>324</v>
      </c>
      <c r="R124" s="92">
        <f>IFNA(MATCH(A124,'RFR Data - preExcl'!A$2:A923,0),"")</f>
        <v>49</v>
      </c>
      <c r="S124" s="54"/>
      <c r="T124" s="30" t="str">
        <f>IF(EXACT('RFR Data - preExcl'!W124,"Initial"),'RFR Data - preExcl'!A124,IFERROR(0/0,""))</f>
        <v>RUN-FLMP_2022-05-12_RFR-135</v>
      </c>
      <c r="U124" s="93">
        <f>IF(EXACT('RFR Data - preExcl'!W124,"Initial"),'RFR Data - preExcl'!U124,IFERROR(0/0,""))</f>
        <v>44693</v>
      </c>
      <c r="X124" s="86"/>
      <c r="Z124" s="131"/>
      <c r="AA124" s="14"/>
      <c r="AG124" s="86"/>
      <c r="AH124" s="101" t="str">
        <f>IFERROR(__xludf.DUMMYFUNCTION("""COMPUTED_VALUE"""),"RUN-FLMP_2022-10-25_APS-123")</f>
        <v>RUN-FLMP_2022-10-25_APS-123</v>
      </c>
      <c r="AI124" s="96">
        <f t="shared" si="7"/>
        <v>1</v>
      </c>
      <c r="AJ124" s="86"/>
    </row>
    <row r="125">
      <c r="A125" s="8" t="s">
        <v>154</v>
      </c>
      <c r="B125" s="14">
        <v>44571.0</v>
      </c>
      <c r="C125" s="88" t="str">
        <f t="shared" si="2"/>
        <v/>
      </c>
      <c r="D125" s="16">
        <f t="array" ref="D125">IF(OR(ISBLANK($A125),$C125),IFERROR(0/0,""),INDEX('RFR Data - preExcl'!E$2:E923,$R125,1))</f>
        <v>3</v>
      </c>
      <c r="E125" s="16">
        <f t="array" ref="E125">IF(OR(ISBLANK($A125),$C125),IFERROR(0/0,""),INDEX('RFR Data - preExcl'!Z$2:Z923,$R125,1))</f>
        <v>8</v>
      </c>
      <c r="F125" s="16">
        <f t="array" ref="F125">IF(OR(ISBLANK(A125),C125),IFERROR(0/0,""),INDEX('RFR Data - preExcl'!AC$2:AC923,$R125,1))</f>
        <v>6</v>
      </c>
      <c r="G125" s="16">
        <f t="array" ref="G125">IF(OR(ISBLANK(A125),C125),IFERROR(0/0,""),INDEX('RFR Data - preExcl'!AK$2:AK923,$R125,1))</f>
        <v>3</v>
      </c>
      <c r="H125" s="16">
        <f t="array" ref="H125">IF(OR(ISBLANK(A125),C125),IFERROR(0/0,""),INDEX('RFR Data - preExcl'!AL$2:AL923,$R125,1))</f>
        <v>4</v>
      </c>
      <c r="I125" s="21">
        <v>3.0</v>
      </c>
      <c r="J125" s="16" t="b">
        <f>IFERROR(VLOOKUP($B125,'APS Tubes by Date IMPORT'!$B$2:$J923,9,FALSE),"")</f>
        <v>1</v>
      </c>
      <c r="K125" s="16">
        <f>IFNA(VLOOKUP($B125,'APS Tubes by Date IMPORT'!$B$2:$J923,6,FALSE),"")</f>
        <v>0</v>
      </c>
      <c r="L125" s="89">
        <f t="shared" si="52"/>
        <v>3</v>
      </c>
      <c r="M125" s="21">
        <v>0.0</v>
      </c>
      <c r="N125" s="21"/>
      <c r="O125" s="30" t="b">
        <f t="shared" si="50"/>
        <v>1</v>
      </c>
      <c r="P125" s="91" t="str">
        <f>IF(ISBLANK(N125),IFERROR(0/0,""),IFERROR(VLOOKUP(N125, 'Process Ref'!$A$76:$D$122, 2, FALSE), IFERROR(0/0,"")))</f>
        <v/>
      </c>
      <c r="Q125" s="142" t="s">
        <v>325</v>
      </c>
      <c r="R125" s="92">
        <f>IFNA(MATCH(A125,'RFR Data - preExcl'!A$2:A923,0),"")</f>
        <v>51</v>
      </c>
      <c r="S125" s="54"/>
      <c r="T125" s="30" t="str">
        <f>IF(EXACT('RFR Data - preExcl'!W125,"Initial"),'RFR Data - preExcl'!A125,IFERROR(0/0,""))</f>
        <v/>
      </c>
      <c r="U125" s="30" t="str">
        <f>IF(EXACT('RFR Data - preExcl'!W125,"Initial"),'RFR Data - preExcl'!U125,IFERROR(0/0,""))</f>
        <v/>
      </c>
      <c r="X125" s="86"/>
      <c r="Z125" s="131"/>
      <c r="AA125" s="14"/>
      <c r="AG125" s="86"/>
      <c r="AH125" s="101" t="str">
        <f>IFERROR(__xludf.DUMMYFUNCTION("""COMPUTED_VALUE"""),"RUN-FLMP_2022-10-27_APS-124")</f>
        <v>RUN-FLMP_2022-10-27_APS-124</v>
      </c>
      <c r="AI125" s="96">
        <f t="shared" si="7"/>
        <v>4</v>
      </c>
      <c r="AJ125" s="86"/>
    </row>
    <row r="126">
      <c r="A126" s="151" t="s">
        <v>156</v>
      </c>
      <c r="B126" s="14">
        <v>44572.0</v>
      </c>
      <c r="C126" s="88" t="str">
        <f t="shared" si="2"/>
        <v/>
      </c>
      <c r="D126" s="16">
        <f t="array" ref="D126">IF(OR(ISBLANK($A126),$C126),IFERROR(0/0,""),INDEX('RFR Data - preExcl'!E$2:E923,$R126,1))</f>
        <v>1</v>
      </c>
      <c r="E126" s="16">
        <f t="array" ref="E126">IF(OR(ISBLANK($A126),$C126),IFERROR(0/0,""),INDEX('RFR Data - preExcl'!Z$2:Z923,$R126,1))</f>
        <v>8</v>
      </c>
      <c r="F126" s="16">
        <f t="array" ref="F126">IF(OR(ISBLANK(A126),C126),IFERROR(0/0,""),INDEX('RFR Data - preExcl'!AC$2:AC923,$R126,1))</f>
        <v>2</v>
      </c>
      <c r="G126" s="16">
        <f t="array" ref="G126">IF(OR(ISBLANK(A126),C126),IFERROR(0/0,""),INDEX('RFR Data - preExcl'!AK$2:AK923,$R126,1))</f>
        <v>1</v>
      </c>
      <c r="H126" s="16">
        <f t="array" ref="H126">IF(OR(ISBLANK(A126),C126),IFERROR(0/0,""),INDEX('RFR Data - preExcl'!AL$2:AL923,$R126,1))</f>
        <v>4</v>
      </c>
      <c r="I126" s="21">
        <v>1.0</v>
      </c>
      <c r="J126" s="16" t="str">
        <f>IFERROR(VLOOKUP($B126,'APS Tubes by Date IMPORT'!$B$2:$J923,9,FALSE),"")</f>
        <v/>
      </c>
      <c r="K126" s="16">
        <f>IFNA(VLOOKUP($B126,'APS Tubes by Date IMPORT'!$B$2:$J923,6,FALSE),"")</f>
        <v>0</v>
      </c>
      <c r="L126" s="89">
        <f t="shared" si="52"/>
        <v>1</v>
      </c>
      <c r="M126" s="16">
        <f t="shared" ref="M126:M127" si="53">L126-I126</f>
        <v>0</v>
      </c>
      <c r="N126" s="120">
        <v>5.0</v>
      </c>
      <c r="O126" s="30" t="str">
        <f t="shared" si="50"/>
        <v/>
      </c>
      <c r="P126" s="91" t="str">
        <f>IF(ISBLANK(N126),IFERROR(0/0,""),IFERROR(VLOOKUP(N126, 'Process Ref'!$A$76:$D$122, 2, FALSE), IFERROR(0/0,"")))</f>
        <v>Multiple Initial runs on same day - final count is sum of RFR Audit = APS Collect</v>
      </c>
      <c r="Q126" s="18" t="s">
        <v>326</v>
      </c>
      <c r="R126" s="92">
        <f>IFNA(MATCH(A126,'RFR Data - preExcl'!A$2:A923,0),"")</f>
        <v>55</v>
      </c>
      <c r="S126" s="54"/>
      <c r="T126" s="30" t="str">
        <f>IF(EXACT('RFR Data - preExcl'!W126,"Initial"),'RFR Data - preExcl'!A126,IFERROR(0/0,""))</f>
        <v>RUN-FLMP_2022-05-14_RFR-137</v>
      </c>
      <c r="U126" s="93">
        <f>IF(EXACT('RFR Data - preExcl'!W126,"Initial"),'RFR Data - preExcl'!U126,IFERROR(0/0,""))</f>
        <v>44695</v>
      </c>
      <c r="X126" s="86"/>
      <c r="Z126" s="131"/>
      <c r="AA126" s="14"/>
      <c r="AG126" s="86"/>
      <c r="AH126" s="101" t="str">
        <f>IFERROR(__xludf.DUMMYFUNCTION("""COMPUTED_VALUE"""),"RUN-FLMP_2022-10-31_APS-125")</f>
        <v>RUN-FLMP_2022-10-31_APS-125</v>
      </c>
      <c r="AI126" s="96">
        <f t="shared" si="7"/>
        <v>2</v>
      </c>
      <c r="AJ126" s="86"/>
    </row>
    <row r="127">
      <c r="A127" s="8" t="s">
        <v>155</v>
      </c>
      <c r="B127" s="14">
        <v>44572.0</v>
      </c>
      <c r="C127" s="88" t="b">
        <f t="shared" si="2"/>
        <v>1</v>
      </c>
      <c r="D127" s="16" t="str">
        <f t="array" ref="D127">IF(OR(ISBLANK($A127),$C127),IFERROR(0/0,""),INDEX('RFR Data - preExcl'!E$2:E923,$R127,1))</f>
        <v/>
      </c>
      <c r="E127" s="16" t="str">
        <f t="array" ref="E127">IF(OR(ISBLANK($A127),$C127),IFERROR(0/0,""),INDEX('RFR Data - preExcl'!Z$2:Z923,$R127,1))</f>
        <v/>
      </c>
      <c r="F127" s="16" t="str">
        <f t="array" ref="F127">IF(OR(ISBLANK(A127),C127),IFERROR(0/0,""),INDEX('RFR Data - preExcl'!AC$2:AC923,$R127,1))</f>
        <v/>
      </c>
      <c r="G127" s="16" t="str">
        <f t="array" ref="G127">IF(OR(ISBLANK(A127),C127),IFERROR(0/0,""),INDEX('RFR Data - preExcl'!AK$2:AK923,$R127,1))</f>
        <v/>
      </c>
      <c r="H127" s="16" t="str">
        <f t="array" ref="H127">IF(OR(ISBLANK(A127),C127),IFERROR(0/0,""),INDEX('RFR Data - preExcl'!AL$2:AL923,$R127,1))</f>
        <v/>
      </c>
      <c r="I127" s="21">
        <v>2.0</v>
      </c>
      <c r="J127" s="16" t="str">
        <f>IFERROR(VLOOKUP($B127,'APS Tubes by Date IMPORT'!$B$2:$J923,9,FALSE),"")</f>
        <v/>
      </c>
      <c r="K127" s="16">
        <f>IFNA(VLOOKUP($B127,'APS Tubes by Date IMPORT'!$B$2:$J923,6,FALSE),"")</f>
        <v>0</v>
      </c>
      <c r="L127" s="109">
        <f>I127</f>
        <v>2</v>
      </c>
      <c r="M127" s="16">
        <f t="shared" si="53"/>
        <v>0</v>
      </c>
      <c r="N127" s="90">
        <v>3.4</v>
      </c>
      <c r="O127" s="30" t="b">
        <f t="shared" si="50"/>
        <v>1</v>
      </c>
      <c r="P127" s="91" t="str">
        <f>IF(ISBLANK(N127),IFERROR(0/0,""),IFERROR(VLOOKUP(N127, 'Process Ref'!$A$76:$D$122, 2, FALSE), IFERROR(0/0,"")))</f>
        <v>Add Run from APS with no RFR (assume run on same day as Collect, ignore Result day)</v>
      </c>
      <c r="Q127" s="142"/>
      <c r="R127" s="92" t="str">
        <f>IFNA(MATCH(A127,'RFR Data - preExcl'!A$2:A923,0),"")</f>
        <v/>
      </c>
      <c r="S127" s="54"/>
      <c r="T127" s="30" t="str">
        <f>IF(EXACT('RFR Data - preExcl'!W127,"Initial"),'RFR Data - preExcl'!A127,IFERROR(0/0,""))</f>
        <v>RUN-FLMP_2022-05-16_RFR-138</v>
      </c>
      <c r="U127" s="93">
        <f>IF(EXACT('RFR Data - preExcl'!W127,"Initial"),'RFR Data - preExcl'!U127,IFERROR(0/0,""))</f>
        <v>44697</v>
      </c>
      <c r="X127" s="86"/>
      <c r="Z127" s="131"/>
      <c r="AA127" s="14"/>
      <c r="AG127" s="86"/>
      <c r="AH127" s="101" t="str">
        <f>IFERROR(__xludf.DUMMYFUNCTION("""COMPUTED_VALUE"""),"RUN-FLMP_2022-11-03_APS-126")</f>
        <v>RUN-FLMP_2022-11-03_APS-126</v>
      </c>
      <c r="AI127" s="96">
        <f t="shared" si="7"/>
        <v>3</v>
      </c>
      <c r="AJ127" s="86"/>
    </row>
    <row r="128">
      <c r="A128" s="143"/>
      <c r="B128" s="73">
        <v>44573.0</v>
      </c>
      <c r="C128" s="144" t="str">
        <f t="shared" si="2"/>
        <v/>
      </c>
      <c r="D128" s="145" t="str">
        <f t="array" ref="D128">IF(OR(ISBLANK($A128),$C128),IFERROR(0/0,""),INDEX('RFR Data - preExcl'!E$2:E923,$R128,1))</f>
        <v/>
      </c>
      <c r="E128" s="145"/>
      <c r="F128" s="145" t="str">
        <f t="array" ref="F128">IF(OR(ISBLANK(A128),C128),IFERROR(0/0,""),INDEX('RFR Data - preExcl'!AC$2:AC923,$R128,1))</f>
        <v/>
      </c>
      <c r="G128" s="145" t="str">
        <f t="array" ref="G128">IF(OR(ISBLANK(A128),C128),IFERROR(0/0,""),INDEX('RFR Data - preExcl'!AK$2:AK923,$R128,1))</f>
        <v/>
      </c>
      <c r="H128" s="145" t="str">
        <f t="array" ref="H128">IF(OR(ISBLANK(A128),C128),IFERROR(0/0,""),INDEX('RFR Data - preExcl'!AL$2:AL923,$R128,1))</f>
        <v/>
      </c>
      <c r="I128" s="146">
        <f>IFERROR(VLOOKUP($B128,'APS Tubes by Date IMPORT'!$B$2:$J923,2,FALSE),"")</f>
        <v>9</v>
      </c>
      <c r="J128" s="145" t="str">
        <f>IFERROR(VLOOKUP($B128,'APS Tubes by Date IMPORT'!$B$2:$J923,9,FALSE),"")</f>
        <v/>
      </c>
      <c r="K128" s="145">
        <f>IFNA(VLOOKUP($B128,'APS Tubes by Date IMPORT'!$B$2:$J923,6,FALSE),"")</f>
        <v>0</v>
      </c>
      <c r="L128" s="147"/>
      <c r="M128" s="145"/>
      <c r="N128" s="147">
        <v>6.1</v>
      </c>
      <c r="O128" s="143" t="str">
        <f t="shared" si="50"/>
        <v/>
      </c>
      <c r="P128" s="148" t="str">
        <f>IF(ISBLANK(N128),IFERROR(0/0,""),IFERROR(VLOOKUP(N128, 'Process Ref'!$A$76:$D$122, 2, FALSE), IFERROR(0/0,"")))</f>
        <v>No Run - APS Collect run next day</v>
      </c>
      <c r="Q128" s="149"/>
      <c r="R128" s="92" t="str">
        <f>IFNA(MATCH(A128,'RFR Data - preExcl'!A$2:A923,0),"")</f>
        <v/>
      </c>
      <c r="S128" s="54"/>
      <c r="T128" s="30" t="str">
        <f>IF(EXACT('RFR Data - preExcl'!W128,"Initial"),'RFR Data - preExcl'!A128,IFERROR(0/0,""))</f>
        <v/>
      </c>
      <c r="U128" s="30" t="str">
        <f>IF(EXACT('RFR Data - preExcl'!W128,"Initial"),'RFR Data - preExcl'!U128,IFERROR(0/0,""))</f>
        <v/>
      </c>
      <c r="X128" s="86"/>
      <c r="Z128" s="131"/>
      <c r="AA128" s="14"/>
      <c r="AG128" s="86"/>
      <c r="AH128" s="101" t="str">
        <f>IFERROR(__xludf.DUMMYFUNCTION("""COMPUTED_VALUE"""),"RUN-FLMP_2022-11-07_APS-127")</f>
        <v>RUN-FLMP_2022-11-07_APS-127</v>
      </c>
      <c r="AI128" s="96">
        <f t="shared" si="7"/>
        <v>3</v>
      </c>
      <c r="AJ128" s="86"/>
    </row>
    <row r="129">
      <c r="A129" s="8" t="s">
        <v>157</v>
      </c>
      <c r="B129" s="14">
        <v>44574.0</v>
      </c>
      <c r="C129" s="88" t="str">
        <f t="shared" si="2"/>
        <v/>
      </c>
      <c r="D129" s="16">
        <f t="array" ref="D129">IF(OR(ISBLANK($A129),$C129),IFERROR(0/0,""),INDEX('RFR Data - preExcl'!E$2:E923,$R129,1))</f>
        <v>29</v>
      </c>
      <c r="E129" s="16">
        <f t="array" ref="E129">IF(OR(ISBLANK($A129),$C129),IFERROR(0/0,""),INDEX('RFR Data - preExcl'!Z$2:Z923,$R129,1))</f>
        <v>8</v>
      </c>
      <c r="F129" s="16">
        <f t="array" ref="F129">IF(OR(ISBLANK(A129),C129),IFERROR(0/0,""),INDEX('RFR Data - preExcl'!AC$2:AC923,$R129,1))</f>
        <v>8</v>
      </c>
      <c r="G129" s="16">
        <f t="array" ref="G129">IF(OR(ISBLANK(A129),C129),IFERROR(0/0,""),INDEX('RFR Data - preExcl'!AK$2:AK923,$R129,1))</f>
        <v>3</v>
      </c>
      <c r="H129" s="16">
        <f t="array" ref="H129">IF(OR(ISBLANK(A129),C129),IFERROR(0/0,""),INDEX('RFR Data - preExcl'!AL$2:AL923,$R129,1))</f>
        <v>0</v>
      </c>
      <c r="I129" s="128">
        <f>IFERROR(VLOOKUP($B129,'APS Tubes by Date IMPORT'!$B$2:$J923,2,FALSE),"")</f>
        <v>23</v>
      </c>
      <c r="J129" s="16" t="str">
        <f>IFERROR(VLOOKUP($B129,'APS Tubes by Date IMPORT'!$B$2:$J923,9,FALSE),"")</f>
        <v/>
      </c>
      <c r="K129" s="16">
        <f>IFNA(VLOOKUP($B129,'APS Tubes by Date IMPORT'!$B$2:$J923,6,FALSE),"")</f>
        <v>0</v>
      </c>
      <c r="L129" s="152">
        <f>G129-1</f>
        <v>2</v>
      </c>
      <c r="M129" s="21">
        <v>0.0</v>
      </c>
      <c r="N129" s="120">
        <v>5.0</v>
      </c>
      <c r="O129" s="30" t="str">
        <f t="shared" si="50"/>
        <v/>
      </c>
      <c r="P129" s="91" t="str">
        <f>IF(ISBLANK(N129),IFERROR(0/0,""),IFERROR(VLOOKUP(N129, 'Process Ref'!$A$76:$D$122, 2, FALSE), IFERROR(0/0,"")))</f>
        <v>Multiple Initial runs on same day - final count is sum of RFR Audit = APS Collect</v>
      </c>
      <c r="Q129" s="18" t="s">
        <v>327</v>
      </c>
      <c r="R129" s="92">
        <f>IFNA(MATCH(A129,'RFR Data - preExcl'!A$2:A923,0),"")</f>
        <v>52</v>
      </c>
      <c r="S129" s="54"/>
      <c r="T129" s="30" t="str">
        <f>IF(EXACT('RFR Data - preExcl'!W129,"Initial"),'RFR Data - preExcl'!A129,IFERROR(0/0,""))</f>
        <v>RUN-FLMP_2022-05-17_RFR-140</v>
      </c>
      <c r="U129" s="93">
        <f>IF(EXACT('RFR Data - preExcl'!W129,"Initial"),'RFR Data - preExcl'!U129,IFERROR(0/0,""))</f>
        <v>44698</v>
      </c>
      <c r="X129" s="86"/>
      <c r="Z129" s="131"/>
      <c r="AA129" s="14"/>
      <c r="AG129" s="86"/>
      <c r="AH129" s="101" t="str">
        <f>IFERROR(__xludf.DUMMYFUNCTION("""COMPUTED_VALUE"""),"RUN-FLMP_2022-11-10_APS-128")</f>
        <v>RUN-FLMP_2022-11-10_APS-128</v>
      </c>
      <c r="AI129" s="96">
        <f t="shared" si="7"/>
        <v>2</v>
      </c>
      <c r="AJ129" s="86"/>
    </row>
    <row r="130">
      <c r="A130" s="8" t="s">
        <v>158</v>
      </c>
      <c r="B130" s="14">
        <v>44574.0</v>
      </c>
      <c r="C130" s="88" t="str">
        <f t="shared" si="2"/>
        <v/>
      </c>
      <c r="D130" s="16">
        <f t="array" ref="D130">IF(OR(ISBLANK($A130),$C130),IFERROR(0/0,""),INDEX('RFR Data - preExcl'!E$2:E923,$R130,1))</f>
        <v>31</v>
      </c>
      <c r="E130" s="16">
        <f t="array" ref="E130">IF(OR(ISBLANK($A130),$C130),IFERROR(0/0,""),INDEX('RFR Data - preExcl'!Z$2:Z923,$R130,1))</f>
        <v>31</v>
      </c>
      <c r="F130" s="16">
        <f t="array" ref="F130">IF(OR(ISBLANK(A130),C130),IFERROR(0/0,""),INDEX('RFR Data - preExcl'!AC$2:AC923,$R130,1))</f>
        <v>30</v>
      </c>
      <c r="G130" s="16">
        <f t="array" ref="G130">IF(OR(ISBLANK(A130),C130),IFERROR(0/0,""),INDEX('RFR Data - preExcl'!AK$2:AK923,$R130,1))</f>
        <v>30</v>
      </c>
      <c r="H130" s="16">
        <f t="array" ref="H130">IF(OR(ISBLANK(A130),C130),IFERROR(0/0,""),INDEX('RFR Data - preExcl'!AL$2:AL923,$R130,1))</f>
        <v>0</v>
      </c>
      <c r="I130" s="16"/>
      <c r="J130" s="16" t="str">
        <f>IFERROR(VLOOKUP($B130,'APS Tubes by Date IMPORT'!$B$2:$J923,9,FALSE),"")</f>
        <v/>
      </c>
      <c r="K130" s="16">
        <f>IFNA(VLOOKUP($B130,'APS Tubes by Date IMPORT'!$B$2:$J923,6,FALSE),"")</f>
        <v>0</v>
      </c>
      <c r="L130" s="134">
        <f t="shared" ref="L130:L131" si="54">G130</f>
        <v>30</v>
      </c>
      <c r="M130" s="21">
        <v>0.0</v>
      </c>
      <c r="N130" s="120">
        <v>5.0</v>
      </c>
      <c r="O130" s="30" t="str">
        <f t="shared" si="50"/>
        <v/>
      </c>
      <c r="P130" s="91" t="str">
        <f>IF(ISBLANK(N130),IFERROR(0/0,""),IFERROR(VLOOKUP(N130, 'Process Ref'!$A$76:$D$122, 2, FALSE), IFERROR(0/0,"")))</f>
        <v>Multiple Initial runs on same day - final count is sum of RFR Audit = APS Collect</v>
      </c>
      <c r="Q130" s="18" t="s">
        <v>328</v>
      </c>
      <c r="R130" s="92">
        <f>IFNA(MATCH(A130,'RFR Data - preExcl'!A$2:A923,0),"")</f>
        <v>53</v>
      </c>
      <c r="S130" s="54"/>
      <c r="T130" s="30" t="str">
        <f>IF(EXACT('RFR Data - preExcl'!W130,"Initial"),'RFR Data - preExcl'!A130,IFERROR(0/0,""))</f>
        <v>RUN-FLMP_2022-05-17_RFR-141</v>
      </c>
      <c r="U130" s="93">
        <f>IF(EXACT('RFR Data - preExcl'!W130,"Initial"),'RFR Data - preExcl'!U130,IFERROR(0/0,""))</f>
        <v>44698</v>
      </c>
      <c r="X130" s="86"/>
      <c r="Z130" s="131"/>
      <c r="AA130" s="14"/>
      <c r="AG130" s="86"/>
      <c r="AH130" s="101" t="str">
        <f>IFERROR(__xludf.DUMMYFUNCTION("""COMPUTED_VALUE"""),"RUN-FLMP_2022-11-14_APS-129")</f>
        <v>RUN-FLMP_2022-11-14_APS-129</v>
      </c>
      <c r="AI130" s="96">
        <f t="shared" si="7"/>
        <v>5</v>
      </c>
      <c r="AJ130" s="86"/>
    </row>
    <row r="131">
      <c r="A131" s="8" t="s">
        <v>159</v>
      </c>
      <c r="B131" s="14">
        <v>44576.0</v>
      </c>
      <c r="C131" s="88" t="str">
        <f t="shared" si="2"/>
        <v/>
      </c>
      <c r="D131" s="16">
        <f t="array" ref="D131">IF(OR(ISBLANK($A131),$C131),IFERROR(0/0,""),INDEX('RFR Data - preExcl'!E$2:E923,$R131,1))</f>
        <v>13</v>
      </c>
      <c r="E131" s="16">
        <f t="array" ref="E131">IF(OR(ISBLANK($A131),$C131),IFERROR(0/0,""),INDEX('RFR Data - preExcl'!Z$2:Z923,$R131,1))</f>
        <v>13</v>
      </c>
      <c r="F131" s="16">
        <f t="array" ref="F131">IF(OR(ISBLANK(A131),C131),IFERROR(0/0,""),INDEX('RFR Data - preExcl'!AC$2:AC923,$R131,1))</f>
        <v>6</v>
      </c>
      <c r="G131" s="59">
        <f t="array" ref="G131">IF(OR(ISBLANK(A131),C131),IFERROR(0/0,""),INDEX('RFR Data - preExcl'!AK$2:AK923,$R131,1))</f>
        <v>4</v>
      </c>
      <c r="H131" s="16">
        <f t="array" ref="H131">IF(OR(ISBLANK(A131),C131),IFERROR(0/0,""),INDEX('RFR Data - preExcl'!AL$2:AL923,$R131,1))</f>
        <v>0</v>
      </c>
      <c r="I131" s="59">
        <f>IFERROR(VLOOKUP($B131,'APS Tubes by Date IMPORT'!$B$2:$J923,2,FALSE),"")</f>
        <v>4</v>
      </c>
      <c r="J131" s="16" t="b">
        <f>IFERROR(VLOOKUP($B131,'APS Tubes by Date IMPORT'!$B$2:$J923,9,FALSE),"")</f>
        <v>1</v>
      </c>
      <c r="K131" s="16">
        <f>IFNA(VLOOKUP($B131,'APS Tubes by Date IMPORT'!$B$2:$J923,6,FALSE),"")</f>
        <v>0</v>
      </c>
      <c r="L131" s="89">
        <f t="shared" si="54"/>
        <v>4</v>
      </c>
      <c r="M131" s="16">
        <f t="shared" ref="M131:M132" si="55">L131-I131</f>
        <v>0</v>
      </c>
      <c r="N131" s="153">
        <v>0.0</v>
      </c>
      <c r="O131" s="30" t="b">
        <f t="shared" si="50"/>
        <v>1</v>
      </c>
      <c r="P131" s="91" t="str">
        <f>IF(ISBLANK(N131),IFERROR(0/0,""),IFERROR(VLOOKUP(N131, 'Process Ref'!$A$76:$D$122, 2, FALSE), IFERROR(0/0,"")))</f>
        <v>ALL 3 COUNTS SAME meaning APS Collect = APS Result = RFR</v>
      </c>
      <c r="Q131" s="18" t="s">
        <v>329</v>
      </c>
      <c r="R131" s="92">
        <f>IFNA(MATCH(A131,'RFR Data - preExcl'!A$2:A923,0),"")</f>
        <v>56</v>
      </c>
      <c r="S131" s="54"/>
      <c r="T131" s="30" t="str">
        <f>IF(EXACT('RFR Data - preExcl'!W131,"Initial"),'RFR Data - preExcl'!A131,IFERROR(0/0,""))</f>
        <v>RUN-FLMP_2022-05-18_RFR-142</v>
      </c>
      <c r="U131" s="93">
        <f>IF(EXACT('RFR Data - preExcl'!W131,"Initial"),'RFR Data - preExcl'!U131,IFERROR(0/0,""))</f>
        <v>44699</v>
      </c>
      <c r="X131" s="86"/>
      <c r="Z131" s="131"/>
      <c r="AA131" s="14"/>
      <c r="AG131" s="86"/>
      <c r="AH131" s="101" t="str">
        <f>IFERROR(__xludf.DUMMYFUNCTION("""COMPUTED_VALUE"""),"RUN-FLMP_2022-11-21_APS-130")</f>
        <v>RUN-FLMP_2022-11-21_APS-130</v>
      </c>
      <c r="AI131" s="96">
        <f t="shared" si="7"/>
        <v>3</v>
      </c>
      <c r="AJ131" s="86"/>
    </row>
    <row r="132">
      <c r="A132" s="8" t="s">
        <v>160</v>
      </c>
      <c r="B132" s="14">
        <v>44577.0</v>
      </c>
      <c r="C132" s="88" t="b">
        <f t="shared" si="2"/>
        <v>1</v>
      </c>
      <c r="D132" s="16" t="str">
        <f t="array" ref="D132">IF(OR(ISBLANK($A132),$C132),IFERROR(0/0,""),INDEX('RFR Data - preExcl'!E$2:E923,$R132,1))</f>
        <v/>
      </c>
      <c r="E132" s="16" t="str">
        <f t="array" ref="E132">IF(OR(ISBLANK($A132),$C132),IFERROR(0/0,""),INDEX('RFR Data - preExcl'!Z$2:Z923,$R132,1))</f>
        <v/>
      </c>
      <c r="F132" s="16" t="str">
        <f t="array" ref="F132">IF(OR(ISBLANK(A132),C132),IFERROR(0/0,""),INDEX('RFR Data - preExcl'!AC$2:AC923,$R132,1))</f>
        <v/>
      </c>
      <c r="G132" s="16" t="str">
        <f t="array" ref="G132">IF(OR(ISBLANK(A132),C132),IFERROR(0/0,""),INDEX('RFR Data - preExcl'!AK$2:AK923,$R132,1))</f>
        <v/>
      </c>
      <c r="H132" s="16" t="str">
        <f t="array" ref="H132">IF(OR(ISBLANK(A132),C132),IFERROR(0/0,""),INDEX('RFR Data - preExcl'!AL$2:AL923,$R132,1))</f>
        <v/>
      </c>
      <c r="I132" s="16">
        <f>IFERROR(VLOOKUP($B132,'APS Tubes by Date IMPORT'!$B$2:$J923,2,FALSE),"")</f>
        <v>5</v>
      </c>
      <c r="J132" s="16" t="str">
        <f>IFERROR(VLOOKUP($B132,'APS Tubes by Date IMPORT'!$B$2:$J923,9,FALSE),"")</f>
        <v/>
      </c>
      <c r="K132" s="16">
        <f>IFNA(VLOOKUP($B132,'APS Tubes by Date IMPORT'!$B$2:$J923,6,FALSE),"")</f>
        <v>0</v>
      </c>
      <c r="L132" s="109">
        <f>I132</f>
        <v>5</v>
      </c>
      <c r="M132" s="16">
        <f t="shared" si="55"/>
        <v>0</v>
      </c>
      <c r="N132" s="90">
        <v>3.4</v>
      </c>
      <c r="O132" s="30" t="b">
        <f t="shared" si="50"/>
        <v>1</v>
      </c>
      <c r="P132" s="91" t="str">
        <f>IF(ISBLANK(N132),IFERROR(0/0,""),IFERROR(VLOOKUP(N132, 'Process Ref'!$A$76:$D$122, 2, FALSE), IFERROR(0/0,"")))</f>
        <v>Add Run from APS with no RFR (assume run on same day as Collect, ignore Result day)</v>
      </c>
      <c r="Q132" s="142" t="s">
        <v>330</v>
      </c>
      <c r="R132" s="92" t="str">
        <f>IFNA(MATCH(A132,'RFR Data - preExcl'!A$2:A923,0),"")</f>
        <v/>
      </c>
      <c r="S132" s="54"/>
      <c r="T132" s="30" t="str">
        <f>IF(EXACT('RFR Data - preExcl'!W132,"Initial"),'RFR Data - preExcl'!A132,IFERROR(0/0,""))</f>
        <v/>
      </c>
      <c r="U132" s="30" t="str">
        <f>IF(EXACT('RFR Data - preExcl'!W132,"Initial"),'RFR Data - preExcl'!U132,IFERROR(0/0,""))</f>
        <v/>
      </c>
      <c r="X132" s="86"/>
      <c r="Z132" s="131"/>
      <c r="AA132" s="14"/>
      <c r="AG132" s="86"/>
      <c r="AH132" s="101" t="str">
        <f>IFERROR(__xludf.DUMMYFUNCTION("""COMPUTED_VALUE"""),"RUN-FLMP_2022-11-29_APS-131")</f>
        <v>RUN-FLMP_2022-11-29_APS-131</v>
      </c>
      <c r="AI132" s="96">
        <f t="shared" si="7"/>
        <v>2</v>
      </c>
      <c r="AJ132" s="86"/>
    </row>
    <row r="133">
      <c r="A133" s="19" t="s">
        <v>161</v>
      </c>
      <c r="B133" s="154">
        <v>44578.0</v>
      </c>
      <c r="C133" s="155" t="str">
        <f t="shared" si="2"/>
        <v/>
      </c>
      <c r="D133" s="156">
        <f t="array" ref="D133">IF(OR(ISBLANK($A133),$C133),IFERROR(0/0,""),INDEX('RFR Data - preExcl'!E$2:E923,$R133,1))</f>
        <v>5</v>
      </c>
      <c r="E133" s="156"/>
      <c r="F133" s="156">
        <f t="array" ref="F133">IF(OR(ISBLANK(A133),C133),IFERROR(0/0,""),INDEX('RFR Data - preExcl'!AC$2:AC923,$R133,1))</f>
        <v>6</v>
      </c>
      <c r="G133" s="127">
        <f t="array" ref="G133">IF(OR(ISBLANK(A133),C133),IFERROR(0/0,""),INDEX('RFR Data - preExcl'!AK$2:AK923,$R133,1))</f>
        <v>5</v>
      </c>
      <c r="H133" s="156">
        <f t="array" ref="H133">IF(OR(ISBLANK(A133),C133),IFERROR(0/0,""),INDEX('RFR Data - preExcl'!AL$2:AL923,$R133,1))</f>
        <v>0</v>
      </c>
      <c r="I133" s="152">
        <v>4.0</v>
      </c>
      <c r="J133" s="156" t="str">
        <f>IFERROR(VLOOKUP($B133,'APS Tubes by Date IMPORT'!$B$2:$J923,9,FALSE),"")</f>
        <v/>
      </c>
      <c r="K133" s="156">
        <f>IFNA(VLOOKUP($B133,'APS Tubes by Date IMPORT'!$B$2:$J923,6,FALSE),"")</f>
        <v>0</v>
      </c>
      <c r="L133" s="157">
        <v>5.0</v>
      </c>
      <c r="M133" s="98">
        <f>L133+L134-I133-I134</f>
        <v>1</v>
      </c>
      <c r="N133" s="116">
        <v>2.0</v>
      </c>
      <c r="O133" s="158"/>
      <c r="P133" s="159" t="str">
        <f>IF(ISBLANK(N133),IFERROR(0/0,""),IFERROR(VLOOKUP(N133, 'Process Ref'!$A$76:$D$122, 2, FALSE), IFERROR(0/0,"")))</f>
        <v>Use Audit RFR count (extra tubes in RFR not in Appivo)</v>
      </c>
      <c r="Q133" s="160" t="s">
        <v>331</v>
      </c>
      <c r="R133" s="161">
        <f>IFNA(MATCH(A133,'RFR Data - preExcl'!A$2:A923,0),"")</f>
        <v>57</v>
      </c>
      <c r="S133" s="54"/>
      <c r="T133" s="30" t="str">
        <f>IF(EXACT('RFR Data - preExcl'!W133,"Initial"),'RFR Data - preExcl'!A133,IFERROR(0/0,""))</f>
        <v>RUN-FLMP_2022-05-19_RFR-144</v>
      </c>
      <c r="U133" s="93">
        <f>IF(EXACT('RFR Data - preExcl'!W133,"Initial"),'RFR Data - preExcl'!U133,IFERROR(0/0,""))</f>
        <v>44700</v>
      </c>
      <c r="X133" s="86"/>
      <c r="Z133" s="131"/>
      <c r="AA133" s="14"/>
      <c r="AG133" s="86"/>
      <c r="AH133" s="101" t="str">
        <f>IFERROR(__xludf.DUMMYFUNCTION("""COMPUTED_VALUE"""),"RUN-FLMP_2022-12-01_APS-132")</f>
        <v>RUN-FLMP_2022-12-01_APS-132</v>
      </c>
      <c r="AI133" s="96">
        <f t="shared" si="7"/>
        <v>3</v>
      </c>
      <c r="AJ133" s="86"/>
    </row>
    <row r="134">
      <c r="A134" s="8" t="s">
        <v>162</v>
      </c>
      <c r="B134" s="14">
        <v>44578.0</v>
      </c>
      <c r="C134" s="88" t="str">
        <f t="shared" si="2"/>
        <v/>
      </c>
      <c r="D134" s="16">
        <f t="array" ref="D134">IF(OR(ISBLANK($A134),$C134),IFERROR(0/0,""),INDEX('RFR Data - preExcl'!E$2:E923,$R134,1))</f>
        <v>37</v>
      </c>
      <c r="E134" s="16">
        <f t="array" ref="E134">IF(OR(ISBLANK($A134),$C134),IFERROR(0/0,""),INDEX('RFR Data - preExcl'!Z$2:Z923,$R134,1))</f>
        <v>37</v>
      </c>
      <c r="F134" s="16">
        <f t="array" ref="F134">IF(OR(ISBLANK(A134),C134),IFERROR(0/0,""),INDEX('RFR Data - preExcl'!AC$2:AC923,$R134,1))</f>
        <v>38</v>
      </c>
      <c r="G134" s="162">
        <f t="array" ref="G134">IF(OR(ISBLANK(A134),C134),IFERROR(0/0,""),INDEX('RFR Data - preExcl'!AK$2:AK923,$R134,1))</f>
        <v>38</v>
      </c>
      <c r="H134" s="16">
        <f t="array" ref="H134">IF(OR(ISBLANK(A134),C134),IFERROR(0/0,""),INDEX('RFR Data - preExcl'!AL$2:AL923,$R134,1))</f>
        <v>4</v>
      </c>
      <c r="I134" s="163">
        <v>38.0</v>
      </c>
      <c r="J134" s="16" t="str">
        <f>IFERROR(VLOOKUP($B134,'APS Tubes by Date IMPORT'!$B$2:$J923,9,FALSE),"")</f>
        <v/>
      </c>
      <c r="K134" s="16">
        <f>IFNA(VLOOKUP($B134,'APS Tubes by Date IMPORT'!$B$2:$J923,6,FALSE),"")</f>
        <v>0</v>
      </c>
      <c r="L134" s="164">
        <f t="shared" ref="L134:L135" si="56">G134</f>
        <v>38</v>
      </c>
      <c r="M134" s="98">
        <f>L135+L136-I136</f>
        <v>5</v>
      </c>
      <c r="N134" s="136">
        <v>10.0</v>
      </c>
      <c r="O134" s="30"/>
      <c r="P134" s="91" t="str">
        <f>IF(ISBLANK(N134),IFERROR(0/0,""),IFERROR(VLOOKUP(N134, 'Process Ref'!$A$76:$D$122, 2, FALSE), IFERROR(0/0,"")))</f>
        <v>see Notes for reason</v>
      </c>
      <c r="Q134" s="24" t="s">
        <v>332</v>
      </c>
      <c r="R134" s="92">
        <f>IFNA(MATCH(A134,'RFR Data - preExcl'!A$2:A923,0),"")</f>
        <v>58</v>
      </c>
      <c r="S134" s="54"/>
      <c r="T134" s="30" t="str">
        <f>IF(EXACT('RFR Data - preExcl'!W134,"Initial"),'RFR Data - preExcl'!A134,IFERROR(0/0,""))</f>
        <v/>
      </c>
      <c r="U134" s="30" t="str">
        <f>IF(EXACT('RFR Data - preExcl'!W134,"Initial"),'RFR Data - preExcl'!U134,IFERROR(0/0,""))</f>
        <v/>
      </c>
      <c r="X134" s="86"/>
      <c r="Z134" s="131"/>
      <c r="AA134" s="14"/>
      <c r="AG134" s="86"/>
      <c r="AH134" s="101" t="str">
        <f>IFERROR(__xludf.DUMMYFUNCTION("""COMPUTED_VALUE"""),"RUN-FLMP_2022-12-08_APS-133")</f>
        <v>RUN-FLMP_2022-12-08_APS-133</v>
      </c>
      <c r="AI134" s="96">
        <f t="shared" si="7"/>
        <v>2</v>
      </c>
      <c r="AJ134" s="86"/>
    </row>
    <row r="135">
      <c r="A135" s="110" t="s">
        <v>163</v>
      </c>
      <c r="B135" s="111">
        <v>44579.0</v>
      </c>
      <c r="C135" s="88" t="str">
        <f t="shared" si="2"/>
        <v/>
      </c>
      <c r="D135" s="16">
        <f t="array" ref="D135">IF(OR(ISBLANK($A135),$C135),IFERROR(0/0,""),INDEX('RFR Data - preExcl'!E$2:E923,$R135,1))</f>
        <v>7</v>
      </c>
      <c r="E135" s="16">
        <f t="array" ref="E135">IF(OR(ISBLANK($A135),$C135),IFERROR(0/0,""),INDEX('RFR Data - preExcl'!Z$2:Z923,$R135,1))</f>
        <v>7</v>
      </c>
      <c r="F135" s="16">
        <f t="array" ref="F135">IF(OR(ISBLANK(A135),C135),IFERROR(0/0,""),INDEX('RFR Data - preExcl'!AC$2:AC923,$R135,1))</f>
        <v>6</v>
      </c>
      <c r="G135" s="123">
        <f t="array" ref="G135">IF(OR(ISBLANK(A135),C135),IFERROR(0/0,""),INDEX('RFR Data - preExcl'!AK$2:AK923,$R135,1))</f>
        <v>5</v>
      </c>
      <c r="H135" s="16">
        <f t="array" ref="H135">IF(OR(ISBLANK(A135),C135),IFERROR(0/0,""),INDEX('RFR Data - preExcl'!AL$2:AL923,$R135,1))</f>
        <v>4</v>
      </c>
      <c r="I135" s="141"/>
      <c r="J135" s="16" t="b">
        <f>IFERROR(VLOOKUP($B135,'APS Tubes by Date IMPORT'!$B$2:$J923,9,FALSE),"")</f>
        <v>1</v>
      </c>
      <c r="K135" s="16">
        <f>IFNA(VLOOKUP($B135,'APS Tubes by Date IMPORT'!$B$2:$J923,6,FALSE),"")</f>
        <v>0</v>
      </c>
      <c r="L135" s="165">
        <f t="shared" si="56"/>
        <v>5</v>
      </c>
      <c r="N135" s="120">
        <v>5.0</v>
      </c>
      <c r="O135" s="30" t="str">
        <f>IF(ISBLANK(L135),IFERROR(0/0,""),IF($N135&lt;5,TRUE,IFERROR(0/0,"")))</f>
        <v/>
      </c>
      <c r="P135" s="91" t="str">
        <f>IF(ISBLANK(N135),IFERROR(0/0,""),IFERROR(VLOOKUP(N135, 'Process Ref'!$A$76:$D$122, 2, FALSE), IFERROR(0/0,"")))</f>
        <v>Multiple Initial runs on same day - final count is sum of RFR Audit = APS Collect</v>
      </c>
      <c r="Q135" s="18" t="s">
        <v>333</v>
      </c>
      <c r="R135" s="92">
        <f>IFNA(MATCH(A135,'RFR Data - preExcl'!A$2:A923,0),"")</f>
        <v>60</v>
      </c>
      <c r="S135" s="54"/>
      <c r="T135" s="30" t="str">
        <f>IF(EXACT('RFR Data - preExcl'!W135,"Initial"),'RFR Data - preExcl'!A135,IFERROR(0/0,""))</f>
        <v>RUN-FLMP_2022-05-23_RFR-146</v>
      </c>
      <c r="U135" s="93">
        <f>IF(EXACT('RFR Data - preExcl'!W135,"Initial"),'RFR Data - preExcl'!U135,IFERROR(0/0,""))</f>
        <v>44704</v>
      </c>
      <c r="X135" s="86"/>
      <c r="Z135" s="131"/>
      <c r="AA135" s="14"/>
      <c r="AG135" s="86"/>
      <c r="AH135" s="101" t="str">
        <f>IFERROR(__xludf.DUMMYFUNCTION("""COMPUTED_VALUE"""),"RUN-FLMP_2022-12-09_APS-134")</f>
        <v>RUN-FLMP_2022-12-09_APS-134</v>
      </c>
      <c r="AI135" s="96">
        <f t="shared" si="7"/>
        <v>1</v>
      </c>
      <c r="AJ135" s="86"/>
    </row>
    <row r="136">
      <c r="A136" s="8" t="s">
        <v>164</v>
      </c>
      <c r="B136" s="14">
        <v>44579.0</v>
      </c>
      <c r="C136" s="88" t="str">
        <f t="shared" si="2"/>
        <v/>
      </c>
      <c r="D136" s="16">
        <f t="array" ref="D136">IF(OR(ISBLANK($A136),$C136),IFERROR(0/0,""),INDEX('RFR Data - preExcl'!E$2:E923,$R136,1))</f>
        <v>1</v>
      </c>
      <c r="E136" s="16">
        <f t="array" ref="E136">IF(OR(ISBLANK($A136),$C136),IFERROR(0/0,""),INDEX('RFR Data - preExcl'!Z$2:Z923,$R136,1))</f>
        <v>3</v>
      </c>
      <c r="F136" s="16">
        <f t="array" ref="F136">IF(OR(ISBLANK(A136),C136),IFERROR(0/0,""),INDEX('RFR Data - preExcl'!AC$2:AC923,$R136,1))</f>
        <v>1</v>
      </c>
      <c r="G136" s="128">
        <f t="array" ref="G136">IF(OR(ISBLANK(A136),C136),IFERROR(0/0,""),INDEX('RFR Data - preExcl'!AK$2:AK923,$R136,1))</f>
        <v>1</v>
      </c>
      <c r="H136" s="16">
        <f t="array" ref="H136">IF(OR(ISBLANK(A136),C136),IFERROR(0/0,""),INDEX('RFR Data - preExcl'!AL$2:AL923,$R136,1))</f>
        <v>0</v>
      </c>
      <c r="I136" s="128">
        <f>IFERROR(VLOOKUP($B136,'APS Tubes by Date IMPORT'!$B$2:$J923,2,FALSE),"")</f>
        <v>1</v>
      </c>
      <c r="J136" s="16" t="b">
        <f>IFERROR(VLOOKUP($B136,'APS Tubes by Date IMPORT'!$B$2:$J923,9,FALSE),"")</f>
        <v>1</v>
      </c>
      <c r="K136" s="16">
        <f>IFNA(VLOOKUP($B136,'APS Tubes by Date IMPORT'!$B$2:$J923,6,FALSE),"")</f>
        <v>0</v>
      </c>
      <c r="L136" s="166">
        <v>1.0</v>
      </c>
      <c r="M136" s="69"/>
      <c r="N136" s="120">
        <v>5.0</v>
      </c>
      <c r="O136" s="30"/>
      <c r="P136" s="91" t="str">
        <f>IF(ISBLANK(N136),IFERROR(0/0,""),IFERROR(VLOOKUP(N136, 'Process Ref'!$A$76:$D$122, 2, FALSE), IFERROR(0/0,"")))</f>
        <v>Multiple Initial runs on same day - final count is sum of RFR Audit = APS Collect</v>
      </c>
      <c r="Q136" s="18" t="s">
        <v>334</v>
      </c>
      <c r="R136" s="92">
        <f>IFNA(MATCH(A136,'RFR Data - preExcl'!A$2:A923,0),"")</f>
        <v>61</v>
      </c>
      <c r="S136" s="54"/>
      <c r="T136" s="30" t="str">
        <f>IF(EXACT('RFR Data - preExcl'!W136,"Initial"),'RFR Data - preExcl'!A136,IFERROR(0/0,""))</f>
        <v/>
      </c>
      <c r="U136" s="30" t="str">
        <f>IF(EXACT('RFR Data - preExcl'!W136,"Initial"),'RFR Data - preExcl'!U136,IFERROR(0/0,""))</f>
        <v/>
      </c>
      <c r="X136" s="86"/>
      <c r="Z136" s="131"/>
      <c r="AA136" s="14"/>
      <c r="AG136" s="86"/>
      <c r="AH136" s="101" t="str">
        <f>IFERROR(__xludf.DUMMYFUNCTION("""COMPUTED_VALUE"""),"RUN-FLMP_2022-12-12_APS-135")</f>
        <v>RUN-FLMP_2022-12-12_APS-135</v>
      </c>
      <c r="AI136" s="96">
        <f t="shared" si="7"/>
        <v>1</v>
      </c>
      <c r="AJ136" s="86"/>
    </row>
    <row r="137">
      <c r="A137" s="167"/>
      <c r="B137" s="168">
        <v>44580.0</v>
      </c>
      <c r="C137" s="169" t="str">
        <f t="shared" si="2"/>
        <v/>
      </c>
      <c r="D137" s="170" t="str">
        <f t="array" ref="D137">IF(OR(ISBLANK($A137),$C137),IFERROR(0/0,""),INDEX('RFR Data - preExcl'!E$2:E923,$R137,1))</f>
        <v/>
      </c>
      <c r="E137" s="170" t="str">
        <f t="array" ref="E137">IF(OR(ISBLANK($A137),$C137),IFERROR(0/0,""),INDEX('RFR Data - preExcl'!Z$2:Z923,$R137,1))</f>
        <v/>
      </c>
      <c r="F137" s="170" t="str">
        <f t="array" ref="F137">IF(OR(ISBLANK(A137),C137),IFERROR(0/0,""),INDEX('RFR Data - preExcl'!AC$2:AC923,$R137,1))</f>
        <v/>
      </c>
      <c r="G137" s="145" t="str">
        <f t="array" ref="G137">IF(OR(ISBLANK(A137),C137),IFERROR(0/0,""),INDEX('RFR Data - preExcl'!AK$2:AK923,$R137,1))</f>
        <v/>
      </c>
      <c r="H137" s="170" t="str">
        <f t="array" ref="H137">IF(OR(ISBLANK(A137),C137),IFERROR(0/0,""),INDEX('RFR Data - preExcl'!AL$2:AL923,$R137,1))</f>
        <v/>
      </c>
      <c r="I137" s="146">
        <f>IFERROR(VLOOKUP($B137,'APS Tubes by Date IMPORT'!$B$2:$J923,2,FALSE),"")</f>
        <v>5</v>
      </c>
      <c r="J137" s="170" t="str">
        <f>IFERROR(VLOOKUP($B137,'APS Tubes by Date IMPORT'!$B$2:$J923,9,FALSE),"")</f>
        <v/>
      </c>
      <c r="K137" s="170">
        <f>IFNA(VLOOKUP($B137,'APS Tubes by Date IMPORT'!$B$2:$J923,6,FALSE),"")</f>
        <v>0</v>
      </c>
      <c r="L137" s="145"/>
      <c r="M137" s="170"/>
      <c r="N137" s="171">
        <v>6.1</v>
      </c>
      <c r="O137" s="167" t="str">
        <f t="shared" ref="O137:O192" si="57">IF(ISBLANK(L137),IFERROR(0/0,""),IF($N137&lt;5,TRUE,IFERROR(0/0,"")))</f>
        <v/>
      </c>
      <c r="P137" s="172" t="str">
        <f>IF(ISBLANK(N137),IFERROR(0/0,""),IFERROR(VLOOKUP(N137, 'Process Ref'!$A$76:$D$122, 2, FALSE), IFERROR(0/0,"")))</f>
        <v>No Run - APS Collect run next day</v>
      </c>
      <c r="Q137" s="167"/>
      <c r="R137" s="161" t="str">
        <f>IFNA(MATCH(A137,'RFR Data - preExcl'!A$2:A923,0),"")</f>
        <v/>
      </c>
      <c r="S137" s="173"/>
      <c r="T137" s="30" t="str">
        <f>IF(EXACT('RFR Data - preExcl'!W137,"Initial"),'RFR Data - preExcl'!A137,IFERROR(0/0,""))</f>
        <v>RUN-FLMP_2022-05-26_RFR-148</v>
      </c>
      <c r="U137" s="93">
        <f>IF(EXACT('RFR Data - preExcl'!W137,"Initial"),'RFR Data - preExcl'!U137,IFERROR(0/0,""))</f>
        <v>44707</v>
      </c>
      <c r="X137" s="86"/>
      <c r="Z137" s="131"/>
      <c r="AA137" s="14"/>
      <c r="AG137" s="86"/>
      <c r="AH137" s="101" t="str">
        <f>IFERROR(__xludf.DUMMYFUNCTION("""COMPUTED_VALUE"""),"RUN-FLMP_2022-12-15_APS-136")</f>
        <v>RUN-FLMP_2022-12-15_APS-136</v>
      </c>
      <c r="AI137" s="96">
        <f t="shared" si="7"/>
        <v>10</v>
      </c>
      <c r="AJ137" s="86"/>
    </row>
    <row r="138">
      <c r="A138" s="8" t="s">
        <v>165</v>
      </c>
      <c r="B138" s="14">
        <v>44581.0</v>
      </c>
      <c r="C138" s="88" t="str">
        <f t="shared" si="2"/>
        <v/>
      </c>
      <c r="D138" s="16">
        <f t="array" ref="D138">IF(OR(ISBLANK($A138),$C138),IFERROR(0/0,""),INDEX('RFR Data - preExcl'!E$2:E923,$R138,1))</f>
        <v>33</v>
      </c>
      <c r="E138" s="16">
        <f t="array" ref="E138">IF(OR(ISBLANK($A138),$C138),IFERROR(0/0,""),INDEX('RFR Data - preExcl'!Z$2:Z923,$R138,1))</f>
        <v>33</v>
      </c>
      <c r="F138" s="16">
        <f t="array" ref="F138">IF(OR(ISBLANK(A138),C138),IFERROR(0/0,""),INDEX('RFR Data - preExcl'!AC$2:AC923,$R138,1))</f>
        <v>31</v>
      </c>
      <c r="G138" s="16">
        <f t="array" ref="G138">IF(OR(ISBLANK(A138),C138),IFERROR(0/0,""),INDEX('RFR Data - preExcl'!AK$2:AK923,$R138,1))</f>
        <v>31</v>
      </c>
      <c r="H138" s="16">
        <f t="array" ref="H138">IF(OR(ISBLANK(A138),C138),IFERROR(0/0,""),INDEX('RFR Data - preExcl'!AL$2:AL923,$R138,1))</f>
        <v>0</v>
      </c>
      <c r="I138" s="128">
        <f>IFERROR(VLOOKUP($B138,'APS Tubes by Date IMPORT'!$B$2:$J923,2,FALSE),"")</f>
        <v>29</v>
      </c>
      <c r="J138" s="16" t="b">
        <f>IFERROR(VLOOKUP($B138,'APS Tubes by Date IMPORT'!$B$2:$J923,9,FALSE),"")</f>
        <v>1</v>
      </c>
      <c r="K138" s="16">
        <f>IFNA(VLOOKUP($B138,'APS Tubes by Date IMPORT'!$B$2:$J923,6,FALSE),"")</f>
        <v>0</v>
      </c>
      <c r="L138" s="174">
        <f t="shared" ref="L138:L140" si="58">G138</f>
        <v>31</v>
      </c>
      <c r="M138" s="21">
        <v>0.0</v>
      </c>
      <c r="N138" s="120">
        <v>5.0</v>
      </c>
      <c r="O138" s="30" t="str">
        <f t="shared" si="57"/>
        <v/>
      </c>
      <c r="P138" s="91" t="str">
        <f>IF(ISBLANK(N138),IFERROR(0/0,""),IFERROR(VLOOKUP(N138, 'Process Ref'!$A$76:$D$122, 2, FALSE), IFERROR(0/0,"")))</f>
        <v>Multiple Initial runs on same day - final count is sum of RFR Audit = APS Collect</v>
      </c>
      <c r="Q138" s="18" t="s">
        <v>335</v>
      </c>
      <c r="R138" s="92">
        <f>IFNA(MATCH(A138,'RFR Data - preExcl'!A$2:A923,0),"")</f>
        <v>62</v>
      </c>
      <c r="S138" s="54"/>
      <c r="T138" s="30" t="str">
        <f>IF(EXACT('RFR Data - preExcl'!W138,"Initial"),'RFR Data - preExcl'!A138,IFERROR(0/0,""))</f>
        <v/>
      </c>
      <c r="U138" s="30" t="str">
        <f>IF(EXACT('RFR Data - preExcl'!W138,"Initial"),'RFR Data - preExcl'!U138,IFERROR(0/0,""))</f>
        <v/>
      </c>
      <c r="X138" s="86"/>
      <c r="Z138" s="131"/>
      <c r="AA138" s="14"/>
      <c r="AG138" s="86"/>
      <c r="AH138" s="101" t="str">
        <f>IFERROR(__xludf.DUMMYFUNCTION("""COMPUTED_VALUE"""),"RUN-FLMP_2022-12-19_APS-137")</f>
        <v>RUN-FLMP_2022-12-19_APS-137</v>
      </c>
      <c r="AI138" s="96">
        <f t="shared" si="7"/>
        <v>5</v>
      </c>
      <c r="AJ138" s="86"/>
    </row>
    <row r="139">
      <c r="A139" s="8" t="s">
        <v>166</v>
      </c>
      <c r="B139" s="14">
        <v>44581.0</v>
      </c>
      <c r="C139" s="88" t="str">
        <f t="shared" si="2"/>
        <v/>
      </c>
      <c r="D139" s="117">
        <f t="array" ref="D139">IF(OR(ISBLANK($A139),$C139),IFERROR(0/0,""),INDEX('RFR Data - preExcl'!E$2:E923,$R139,1))</f>
        <v>3</v>
      </c>
      <c r="E139" s="16">
        <f t="array" ref="E139">IF(OR(ISBLANK($A139),$C139),IFERROR(0/0,""),INDEX('RFR Data - preExcl'!Z$2:Z923,$R139,1))</f>
        <v>8</v>
      </c>
      <c r="F139" s="16">
        <f t="array" ref="F139">IF(OR(ISBLANK(A139),C139),IFERROR(0/0,""),INDEX('RFR Data - preExcl'!AC$2:AC923,$R139,1))</f>
        <v>6</v>
      </c>
      <c r="G139" s="117">
        <f t="array" ref="G139">IF(OR(ISBLANK(A139),C139),IFERROR(0/0,""),INDEX('RFR Data - preExcl'!AK$2:AK923,$R139,1))</f>
        <v>3</v>
      </c>
      <c r="H139" s="16" t="str">
        <f t="array" ref="H139">IF(OR(ISBLANK(A139),C139),IFERROR(0/0,""),INDEX('RFR Data - preExcl'!AL$2:AL923,$R139,1))</f>
        <v/>
      </c>
      <c r="I139" s="16"/>
      <c r="J139" s="16" t="b">
        <f>IFERROR(VLOOKUP($B139,'APS Tubes by Date IMPORT'!$B$2:$J923,9,FALSE),"")</f>
        <v>1</v>
      </c>
      <c r="K139" s="16">
        <f>IFNA(VLOOKUP($B139,'APS Tubes by Date IMPORT'!$B$2:$J923,6,FALSE),"")</f>
        <v>0</v>
      </c>
      <c r="L139" s="175">
        <f t="shared" si="58"/>
        <v>3</v>
      </c>
      <c r="M139" s="21">
        <v>0.0</v>
      </c>
      <c r="N139" s="120">
        <v>5.0</v>
      </c>
      <c r="O139" s="30" t="str">
        <f t="shared" si="57"/>
        <v/>
      </c>
      <c r="P139" s="91" t="str">
        <f>IF(ISBLANK(N139),IFERROR(0/0,""),IFERROR(VLOOKUP(N139, 'Process Ref'!$A$76:$D$122, 2, FALSE), IFERROR(0/0,"")))</f>
        <v>Multiple Initial runs on same day - final count is sum of RFR Audit = APS Collect</v>
      </c>
      <c r="Q139" s="18" t="s">
        <v>336</v>
      </c>
      <c r="R139" s="92">
        <f>IFNA(MATCH(A139,'RFR Data - preExcl'!A$2:A923,0),"")</f>
        <v>64</v>
      </c>
      <c r="S139" s="54"/>
      <c r="T139" s="30" t="str">
        <f>IF(EXACT('RFR Data - preExcl'!W139,"Initial"),'RFR Data - preExcl'!A139,IFERROR(0/0,""))</f>
        <v>RUN-FLMP_2022-05-31_RFR-150</v>
      </c>
      <c r="U139" s="93">
        <f>IF(EXACT('RFR Data - preExcl'!W139,"Initial"),'RFR Data - preExcl'!U139,IFERROR(0/0,""))</f>
        <v>44712</v>
      </c>
      <c r="X139" s="86"/>
      <c r="Z139" s="131"/>
      <c r="AA139" s="14"/>
      <c r="AG139" s="86"/>
      <c r="AH139" s="101" t="str">
        <f>IFERROR(__xludf.DUMMYFUNCTION("""COMPUTED_VALUE"""),"RUN-FLMP_2022-12-20_APS-138")</f>
        <v>RUN-FLMP_2022-12-20_APS-138</v>
      </c>
      <c r="AI139" s="96">
        <f t="shared" si="7"/>
        <v>1</v>
      </c>
      <c r="AJ139" s="86"/>
    </row>
    <row r="140">
      <c r="A140" s="19" t="s">
        <v>167</v>
      </c>
      <c r="B140" s="154">
        <v>44583.0</v>
      </c>
      <c r="C140" s="155" t="str">
        <f t="shared" si="2"/>
        <v/>
      </c>
      <c r="D140" s="156">
        <f t="array" ref="D140">IF(OR(ISBLANK($A140),$C140),IFERROR(0/0,""),INDEX('RFR Data - preExcl'!E$2:E923,$R140,1))</f>
        <v>3</v>
      </c>
      <c r="E140" s="156">
        <f t="array" ref="E140">IF(OR(ISBLANK($A140),$C140),IFERROR(0/0,""),INDEX('RFR Data - preExcl'!Z$2:Z923,$R140,1))</f>
        <v>8</v>
      </c>
      <c r="F140" s="156">
        <f t="array" ref="F140">IF(OR(ISBLANK(A140),C140),IFERROR(0/0,""),INDEX('RFR Data - preExcl'!AC$2:AC923,$R140,1))</f>
        <v>6</v>
      </c>
      <c r="G140" s="156">
        <f t="array" ref="G140">IF(OR(ISBLANK(A140),C140),IFERROR(0/0,""),INDEX('RFR Data - preExcl'!AK$2:AK923,$R140,1))</f>
        <v>3</v>
      </c>
      <c r="H140" s="156">
        <f t="array" ref="H140">IF(OR(ISBLANK(A140),C140),IFERROR(0/0,""),INDEX('RFR Data - preExcl'!AL$2:AL923,$R140,1))</f>
        <v>0</v>
      </c>
      <c r="I140" s="156">
        <f>IFERROR(VLOOKUP($B140,'APS Tubes by Date IMPORT'!$B$2:$J923,2,FALSE),"")</f>
        <v>3</v>
      </c>
      <c r="J140" s="156" t="b">
        <f>IFERROR(VLOOKUP($B140,'APS Tubes by Date IMPORT'!$B$2:$J923,9,FALSE),"")</f>
        <v>1</v>
      </c>
      <c r="K140" s="156">
        <f>IFNA(VLOOKUP($B140,'APS Tubes by Date IMPORT'!$B$2:$J923,6,FALSE),"")</f>
        <v>0</v>
      </c>
      <c r="L140" s="89">
        <f t="shared" si="58"/>
        <v>3</v>
      </c>
      <c r="M140" s="156">
        <f>L140-I140</f>
        <v>0</v>
      </c>
      <c r="N140" s="176">
        <v>0.0</v>
      </c>
      <c r="O140" s="158" t="b">
        <f t="shared" si="57"/>
        <v>1</v>
      </c>
      <c r="P140" s="159" t="str">
        <f>IF(ISBLANK(N140),IFERROR(0/0,""),IFERROR(VLOOKUP(N140, 'Process Ref'!$A$76:$D$122, 2, FALSE), IFERROR(0/0,"")))</f>
        <v>ALL 3 COUNTS SAME meaning APS Collect = APS Result = RFR</v>
      </c>
      <c r="Q140" s="19"/>
      <c r="R140" s="161">
        <f>IFNA(MATCH(A140,'RFR Data - preExcl'!A$2:A923,0),"")</f>
        <v>65</v>
      </c>
      <c r="S140" s="173"/>
      <c r="T140" s="30" t="str">
        <f>IF(EXACT('RFR Data - preExcl'!W140,"Initial"),'RFR Data - preExcl'!A140,IFERROR(0/0,""))</f>
        <v/>
      </c>
      <c r="U140" s="30" t="str">
        <f>IF(EXACT('RFR Data - preExcl'!W140,"Initial"),'RFR Data - preExcl'!U140,IFERROR(0/0,""))</f>
        <v/>
      </c>
      <c r="X140" s="86"/>
      <c r="Z140" s="131"/>
      <c r="AA140" s="14"/>
      <c r="AG140" s="86"/>
      <c r="AH140" s="101" t="str">
        <f>IFERROR(__xludf.DUMMYFUNCTION("""COMPUTED_VALUE"""),"RUN-FLMP_2022-12-26_APS-139")</f>
        <v>RUN-FLMP_2022-12-26_APS-139</v>
      </c>
      <c r="AI140" s="96">
        <f t="shared" si="7"/>
        <v>3</v>
      </c>
      <c r="AJ140" s="86"/>
    </row>
    <row r="141">
      <c r="A141" s="167"/>
      <c r="B141" s="168">
        <v>44584.0</v>
      </c>
      <c r="C141" s="169" t="str">
        <f t="shared" si="2"/>
        <v/>
      </c>
      <c r="D141" s="170" t="str">
        <f t="array" ref="D141">IF(OR(ISBLANK($A141),$C141),IFERROR(0/0,""),INDEX('RFR Data - preExcl'!E$2:E923,$R141,1))</f>
        <v/>
      </c>
      <c r="E141" s="170" t="str">
        <f t="array" ref="E141">IF(OR(ISBLANK($A141),$C141),IFERROR(0/0,""),INDEX('RFR Data - preExcl'!Z$2:Z923,$R141,1))</f>
        <v/>
      </c>
      <c r="F141" s="170" t="str">
        <f t="array" ref="F141">IF(OR(ISBLANK(A141),C141),IFERROR(0/0,""),INDEX('RFR Data - preExcl'!AC$2:AC923,$R141,1))</f>
        <v/>
      </c>
      <c r="G141" s="170" t="str">
        <f t="array" ref="G141">IF(OR(ISBLANK(A141),C141),IFERROR(0/0,""),INDEX('RFR Data - preExcl'!AK$2:AK923,$R141,1))</f>
        <v/>
      </c>
      <c r="H141" s="170" t="str">
        <f t="array" ref="H141">IF(OR(ISBLANK(A141),C141),IFERROR(0/0,""),INDEX('RFR Data - preExcl'!AL$2:AL923,$R141,1))</f>
        <v/>
      </c>
      <c r="I141" s="146">
        <f>IFERROR(VLOOKUP($B141,'APS Tubes by Date IMPORT'!$B$2:$J923,2,FALSE),"")</f>
        <v>6</v>
      </c>
      <c r="J141" s="170" t="str">
        <f>IFERROR(VLOOKUP($B141,'APS Tubes by Date IMPORT'!$B$2:$J923,9,FALSE),"")</f>
        <v/>
      </c>
      <c r="K141" s="170">
        <f>IFNA(VLOOKUP($B141,'APS Tubes by Date IMPORT'!$B$2:$J923,6,FALSE),"")</f>
        <v>0</v>
      </c>
      <c r="L141" s="170"/>
      <c r="M141" s="170"/>
      <c r="N141" s="171">
        <v>6.1</v>
      </c>
      <c r="O141" s="167" t="str">
        <f t="shared" si="57"/>
        <v/>
      </c>
      <c r="P141" s="172" t="str">
        <f>IF(ISBLANK(N141),IFERROR(0/0,""),IFERROR(VLOOKUP(N141, 'Process Ref'!$A$76:$D$122, 2, FALSE), IFERROR(0/0,"")))</f>
        <v>No Run - APS Collect run next day</v>
      </c>
      <c r="Q141" s="167"/>
      <c r="R141" s="161" t="str">
        <f>IFNA(MATCH(A141,'RFR Data - preExcl'!A$2:A923,0),"")</f>
        <v/>
      </c>
      <c r="S141" s="54"/>
      <c r="T141" s="30" t="str">
        <f>IF(EXACT('RFR Data - preExcl'!W141,"Initial"),'RFR Data - preExcl'!A141,IFERROR(0/0,""))</f>
        <v>RUN-FLMP_2022-06-06_RFR-152</v>
      </c>
      <c r="U141" s="93">
        <f>IF(EXACT('RFR Data - preExcl'!W141,"Initial"),'RFR Data - preExcl'!U141,IFERROR(0/0,""))</f>
        <v>44718</v>
      </c>
      <c r="X141" s="86"/>
      <c r="Z141" s="131"/>
      <c r="AA141" s="14"/>
      <c r="AG141" s="86"/>
      <c r="AH141" s="101" t="str">
        <f>IFERROR(__xludf.DUMMYFUNCTION("""COMPUTED_VALUE"""),"RUN-FLMP_2023-01-02_APS-140")</f>
        <v>RUN-FLMP_2023-01-02_APS-140</v>
      </c>
      <c r="AI141" s="96">
        <f t="shared" si="7"/>
        <v>3</v>
      </c>
      <c r="AJ141" s="86"/>
    </row>
    <row r="142">
      <c r="A142" s="8" t="s">
        <v>168</v>
      </c>
      <c r="B142" s="14">
        <v>44585.0</v>
      </c>
      <c r="C142" s="88" t="str">
        <f t="shared" si="2"/>
        <v/>
      </c>
      <c r="D142" s="16">
        <f t="array" ref="D142">IF(OR(ISBLANK($A142),$C142),IFERROR(0/0,""),INDEX('RFR Data - preExcl'!E$2:E923,$R142,1))</f>
        <v>27</v>
      </c>
      <c r="E142" s="16">
        <f t="array" ref="E142">IF(OR(ISBLANK($A142),$C142),IFERROR(0/0,""),INDEX('RFR Data - preExcl'!Z$2:Z923,$R142,1))</f>
        <v>27</v>
      </c>
      <c r="F142" s="16">
        <f t="array" ref="F142">IF(OR(ISBLANK(A142),C142),IFERROR(0/0,""),INDEX('RFR Data - preExcl'!AC$2:AC923,$R142,1))</f>
        <v>25</v>
      </c>
      <c r="G142" s="16">
        <f t="array" ref="G142">IF(OR(ISBLANK(A142),C142),IFERROR(0/0,""),INDEX('RFR Data - preExcl'!AK$2:AK923,$R142,1))</f>
        <v>25</v>
      </c>
      <c r="H142" s="16">
        <f t="array" ref="H142">IF(OR(ISBLANK(A142),C142),IFERROR(0/0,""),INDEX('RFR Data - preExcl'!AL$2:AL923,$R142,1))</f>
        <v>1.1</v>
      </c>
      <c r="I142" s="128">
        <f>IFERROR(VLOOKUP($B142,'APS Tubes by Date IMPORT'!$B$2:$J923,2,FALSE),"")</f>
        <v>19</v>
      </c>
      <c r="J142" s="16" t="b">
        <f>IFERROR(VLOOKUP($B142,'APS Tubes by Date IMPORT'!$B$2:$J923,9,FALSE),"")</f>
        <v>1</v>
      </c>
      <c r="K142" s="16">
        <f>IFNA(VLOOKUP($B142,'APS Tubes by Date IMPORT'!$B$2:$J923,6,FALSE),"")</f>
        <v>0</v>
      </c>
      <c r="L142" s="177">
        <f t="shared" ref="L142:L144" si="59">G142</f>
        <v>25</v>
      </c>
      <c r="M142" s="178">
        <v>0.0</v>
      </c>
      <c r="N142" s="107">
        <v>6.0</v>
      </c>
      <c r="O142" s="30" t="str">
        <f t="shared" si="57"/>
        <v/>
      </c>
      <c r="P142" s="91" t="str">
        <f>IF(ISBLANK(N142),IFERROR(0/0,""),IFERROR(VLOOKUP(N142, 'Process Ref'!$A$76:$D$122, 2, FALSE), IFERROR(0/0,"")))</f>
        <v>Use Audit RFR - nets out with next or prev day</v>
      </c>
      <c r="Q142" s="18" t="s">
        <v>337</v>
      </c>
      <c r="R142" s="92">
        <f>IFNA(MATCH(A142,'RFR Data - preExcl'!A$2:A923,0),"")</f>
        <v>66</v>
      </c>
      <c r="S142" s="54"/>
      <c r="T142" s="30" t="str">
        <f>IF(EXACT('RFR Data - preExcl'!W142,"Initial"),'RFR Data - preExcl'!A142,IFERROR(0/0,""))</f>
        <v/>
      </c>
      <c r="U142" s="30" t="str">
        <f>IF(EXACT('RFR Data - preExcl'!W142,"Initial"),'RFR Data - preExcl'!U142,IFERROR(0/0,""))</f>
        <v/>
      </c>
      <c r="X142" s="86"/>
      <c r="Z142" s="131"/>
      <c r="AA142" s="14"/>
      <c r="AG142" s="86"/>
      <c r="AJ142" s="86"/>
    </row>
    <row r="143">
      <c r="A143" s="19" t="s">
        <v>169</v>
      </c>
      <c r="B143" s="154">
        <v>44586.0</v>
      </c>
      <c r="C143" s="155" t="str">
        <f t="shared" si="2"/>
        <v/>
      </c>
      <c r="D143" s="156">
        <f t="array" ref="D143">IF(OR(ISBLANK($A143),$C143),IFERROR(0/0,""),INDEX('RFR Data - preExcl'!E$2:E923,$R143,1))</f>
        <v>6</v>
      </c>
      <c r="E143" s="156">
        <f t="array" ref="E143">IF(OR(ISBLANK($A143),$C143),IFERROR(0/0,""),INDEX('RFR Data - preExcl'!Z$2:Z923,$R143,1))</f>
        <v>6</v>
      </c>
      <c r="F143" s="156">
        <f t="array" ref="F143">IF(OR(ISBLANK(A143),C143),IFERROR(0/0,""),INDEX('RFR Data - preExcl'!AC$2:AC923,$R143,1))</f>
        <v>5</v>
      </c>
      <c r="G143" s="179">
        <f t="array" ref="G143">IF(OR(ISBLANK(A143),C143),IFERROR(0/0,""),INDEX('RFR Data - preExcl'!AK$2:AK923,$R143,1))</f>
        <v>4</v>
      </c>
      <c r="H143" s="156">
        <f t="array" ref="H143">IF(OR(ISBLANK(A143),C143),IFERROR(0/0,""),INDEX('RFR Data - preExcl'!AL$2:AL923,$R143,1))</f>
        <v>0</v>
      </c>
      <c r="I143" s="127">
        <f>IFERROR(VLOOKUP($B143,'APS Tubes by Date IMPORT'!$B$2:$J923,2,FALSE),"")</f>
        <v>5</v>
      </c>
      <c r="J143" s="156" t="str">
        <f>IFERROR(VLOOKUP($B143,'APS Tubes by Date IMPORT'!$B$2:$J923,9,FALSE),"")</f>
        <v/>
      </c>
      <c r="K143" s="156">
        <f>IFNA(VLOOKUP($B143,'APS Tubes by Date IMPORT'!$B$2:$J923,6,FALSE),"")</f>
        <v>0</v>
      </c>
      <c r="L143" s="174">
        <f t="shared" si="59"/>
        <v>4</v>
      </c>
      <c r="M143" s="180">
        <f t="shared" ref="M143:M144" si="60">L143-G143</f>
        <v>0</v>
      </c>
      <c r="N143" s="181">
        <v>6.0</v>
      </c>
      <c r="O143" s="158" t="str">
        <f t="shared" si="57"/>
        <v/>
      </c>
      <c r="P143" s="159" t="str">
        <f>IF(ISBLANK(N143),IFERROR(0/0,""),IFERROR(VLOOKUP(N143, 'Process Ref'!$A$76:$D$122, 2, FALSE), IFERROR(0/0,"")))</f>
        <v>Use Audit RFR - nets out with next or prev day</v>
      </c>
      <c r="Q143" s="160" t="s">
        <v>338</v>
      </c>
      <c r="R143" s="161">
        <f>IFNA(MATCH(A143,'RFR Data - preExcl'!A$2:A923,0),"")</f>
        <v>68</v>
      </c>
      <c r="S143" s="54"/>
      <c r="T143" s="30" t="str">
        <f>IF(EXACT('RFR Data - preExcl'!W143,"Initial"),'RFR Data - preExcl'!A143,IFERROR(0/0,""))</f>
        <v/>
      </c>
      <c r="U143" s="30" t="str">
        <f>IF(EXACT('RFR Data - preExcl'!W143,"Initial"),'RFR Data - preExcl'!U143,IFERROR(0/0,""))</f>
        <v/>
      </c>
      <c r="W143" s="138" t="s">
        <v>339</v>
      </c>
      <c r="X143" s="86"/>
      <c r="Z143" s="131"/>
      <c r="AA143" s="14"/>
      <c r="AG143" s="86"/>
      <c r="AJ143" s="86"/>
    </row>
    <row r="144">
      <c r="A144" s="8" t="s">
        <v>170</v>
      </c>
      <c r="B144" s="14">
        <v>44587.0</v>
      </c>
      <c r="C144" s="88" t="str">
        <f t="shared" si="2"/>
        <v/>
      </c>
      <c r="D144" s="16">
        <f t="array" ref="D144">IF(OR(ISBLANK($A144),$C144),IFERROR(0/0,""),INDEX('RFR Data - preExcl'!E$2:E923,$R144,1))</f>
        <v>2</v>
      </c>
      <c r="E144" s="16" t="str">
        <f t="array" ref="E144">IF(OR(ISBLANK($A144),$C144),IFERROR(0/0,""),INDEX('RFR Data - preExcl'!Z$2:Z923,$R144,1))</f>
        <v/>
      </c>
      <c r="F144" s="16">
        <f t="array" ref="F144">IF(OR(ISBLANK(A144),C144),IFERROR(0/0,""),INDEX('RFR Data - preExcl'!AC$2:AC923,$R144,1))</f>
        <v>3</v>
      </c>
      <c r="G144" s="16">
        <f t="array" ref="G144">IF(OR(ISBLANK(A144),C144),IFERROR(0/0,""),INDEX('RFR Data - preExcl'!AK$2:AK923,$R144,1))</f>
        <v>2</v>
      </c>
      <c r="H144" s="16">
        <f t="array" ref="H144">IF(OR(ISBLANK(A144),C144),IFERROR(0/0,""),INDEX('RFR Data - preExcl'!AL$2:AL923,$R144,1))</f>
        <v>0</v>
      </c>
      <c r="I144" s="141">
        <f>IFERROR(VLOOKUP($B144,'APS Tubes by Date IMPORT'!$B$2:$J923,2,FALSE),"")</f>
        <v>4</v>
      </c>
      <c r="J144" s="16" t="str">
        <f>IFERROR(VLOOKUP($B144,'APS Tubes by Date IMPORT'!$B$2:$J923,9,FALSE),"")</f>
        <v/>
      </c>
      <c r="K144" s="16">
        <f>IFNA(VLOOKUP($B144,'APS Tubes by Date IMPORT'!$B$2:$J923,6,FALSE),"")</f>
        <v>0</v>
      </c>
      <c r="L144" s="165">
        <f t="shared" si="59"/>
        <v>2</v>
      </c>
      <c r="M144" s="98">
        <f t="shared" si="60"/>
        <v>0</v>
      </c>
      <c r="N144" s="107">
        <v>6.0</v>
      </c>
      <c r="O144" s="30" t="str">
        <f t="shared" si="57"/>
        <v/>
      </c>
      <c r="P144" s="91" t="str">
        <f>IF(ISBLANK(N144),IFERROR(0/0,""),IFERROR(VLOOKUP(N144, 'Process Ref'!$A$76:$D$122, 2, FALSE), IFERROR(0/0,"")))</f>
        <v>Use Audit RFR - nets out with next or prev day</v>
      </c>
      <c r="R144" s="92">
        <f>IFNA(MATCH(A144,'RFR Data - preExcl'!A$2:A923,0),"")</f>
        <v>69</v>
      </c>
      <c r="S144" s="54"/>
      <c r="T144" s="30" t="str">
        <f>IF(EXACT('RFR Data - preExcl'!W144,"Initial"),'RFR Data - preExcl'!A144,IFERROR(0/0,""))</f>
        <v/>
      </c>
      <c r="U144" s="30" t="str">
        <f>IF(EXACT('RFR Data - preExcl'!W144,"Initial"),'RFR Data - preExcl'!U144,IFERROR(0/0,""))</f>
        <v/>
      </c>
      <c r="W144" s="182">
        <v>0.0</v>
      </c>
      <c r="X144" s="86"/>
      <c r="Z144" s="131"/>
      <c r="AA144" s="14"/>
      <c r="AG144" s="86"/>
      <c r="AJ144" s="86"/>
    </row>
    <row r="145">
      <c r="A145" s="8" t="s">
        <v>171</v>
      </c>
      <c r="B145" s="14">
        <v>44588.0</v>
      </c>
      <c r="C145" s="88" t="b">
        <f t="shared" si="2"/>
        <v>1</v>
      </c>
      <c r="D145" s="16" t="str">
        <f t="array" ref="D145">IF(OR(ISBLANK($A145),$C145),IFERROR(0/0,""),INDEX('RFR Data - preExcl'!E$2:E923,$R145,1))</f>
        <v/>
      </c>
      <c r="E145" s="16" t="str">
        <f t="array" ref="E145">IF(OR(ISBLANK($A145),$C145),IFERROR(0/0,""),INDEX('RFR Data - preExcl'!Z$2:Z923,$R145,1))</f>
        <v/>
      </c>
      <c r="F145" s="16" t="str">
        <f t="array" ref="F145">IF(OR(ISBLANK(A145),C145),IFERROR(0/0,""),INDEX('RFR Data - preExcl'!AC$2:AC923,$R145,1))</f>
        <v/>
      </c>
      <c r="G145" s="16" t="str">
        <f t="array" ref="G145">IF(OR(ISBLANK(A145),C145),IFERROR(0/0,""),INDEX('RFR Data - preExcl'!AK$2:AK923,$R145,1))</f>
        <v/>
      </c>
      <c r="H145" s="16" t="str">
        <f t="array" ref="H145">IF(OR(ISBLANK(A145),C145),IFERROR(0/0,""),INDEX('RFR Data - preExcl'!AL$2:AL923,$R145,1))</f>
        <v/>
      </c>
      <c r="I145" s="128">
        <f>IFERROR(VLOOKUP($B145,'APS Tubes by Date IMPORT'!$B$2:$J923,2,FALSE),"")</f>
        <v>25</v>
      </c>
      <c r="J145" s="16" t="str">
        <f>IFERROR(VLOOKUP($B145,'APS Tubes by Date IMPORT'!$B$2:$J923,9,FALSE),"")</f>
        <v/>
      </c>
      <c r="K145" s="16">
        <f>IFNA(VLOOKUP($B145,'APS Tubes by Date IMPORT'!$B$2:$J923,6,FALSE),"")</f>
        <v>0</v>
      </c>
      <c r="L145" s="128">
        <f>SUM(I143:I145)-SUM(L143:L144)</f>
        <v>28</v>
      </c>
      <c r="M145" s="178">
        <v>0.0</v>
      </c>
      <c r="N145" s="90">
        <v>3.4</v>
      </c>
      <c r="O145" s="30" t="b">
        <f t="shared" si="57"/>
        <v>1</v>
      </c>
      <c r="P145" s="91" t="str">
        <f>IF(ISBLANK(N145),IFERROR(0/0,""),IFERROR(VLOOKUP(N145, 'Process Ref'!$A$76:$D$122, 2, FALSE), IFERROR(0/0,"")))</f>
        <v>Add Run from APS with no RFR (assume run on same day as Collect, ignore Result day)</v>
      </c>
      <c r="Q145" s="142" t="s">
        <v>340</v>
      </c>
      <c r="R145" s="92" t="str">
        <f>IFNA(MATCH(A145,'RFR Data - preExcl'!A$2:A923,0),"")</f>
        <v/>
      </c>
      <c r="S145" s="54"/>
      <c r="T145" s="183" t="str">
        <f>IF(AND(NOT(ISBLANK(U145)),NOT(ISBLANK(V145)),NOT(ISBLANK(W145))),CONCATENATE("RUN-",'Process Ref'!$A$1,"_",TEXT(V145,"YYYY-MM-DD"),"_APS-",TEXT(W145,"000")),IFERROR(0/0,""))</f>
        <v>RUN-FLMP_2020-12-11_APS-001</v>
      </c>
      <c r="U145" s="184">
        <f t="shared" ref="U145:U228" si="61">IF(COUNTIF(U$2:U$144,V145)=0,V145,IFERROR(0/0,""))</f>
        <v>44176</v>
      </c>
      <c r="V145" s="185">
        <f t="array" ref="V145:V412">SORT('APS Tubes by Date IMPORT'!$B$2:$B923,1,TRUE)</f>
        <v>44176</v>
      </c>
      <c r="W145" s="186">
        <f>IF(NOT(ISBLANK(U145)),MAX(W$1:W109)+1,IFERROR(0/0,""))</f>
        <v>1</v>
      </c>
      <c r="X145" s="86"/>
      <c r="Z145" s="131"/>
      <c r="AA145" s="14"/>
      <c r="AG145" s="86"/>
      <c r="AJ145" s="86"/>
    </row>
    <row r="146">
      <c r="A146" s="19" t="s">
        <v>172</v>
      </c>
      <c r="B146" s="154">
        <v>44590.0</v>
      </c>
      <c r="C146" s="155" t="b">
        <f t="shared" si="2"/>
        <v>1</v>
      </c>
      <c r="D146" s="156" t="str">
        <f t="array" ref="D146">IF(OR(ISBLANK($A146),$C146),IFERROR(0/0,""),INDEX('RFR Data - preExcl'!E$2:E923,$R146,1))</f>
        <v/>
      </c>
      <c r="E146" s="156"/>
      <c r="F146" s="156" t="str">
        <f t="array" ref="F146">IF(OR(ISBLANK(A146),C146),IFERROR(0/0,""),INDEX('RFR Data - preExcl'!AC$2:AC923,$R146,1))</f>
        <v/>
      </c>
      <c r="G146" s="156" t="str">
        <f t="array" ref="G146">IF(OR(ISBLANK(A146),C146),IFERROR(0/0,""),INDEX('RFR Data - preExcl'!AK$2:AK923,$R146,1))</f>
        <v/>
      </c>
      <c r="H146" s="156" t="str">
        <f t="array" ref="H146">IF(OR(ISBLANK(A146),C146),IFERROR(0/0,""),INDEX('RFR Data - preExcl'!AL$2:AL923,$R146,1))</f>
        <v/>
      </c>
      <c r="I146" s="16">
        <f>IFERROR(VLOOKUP($B146,'APS Tubes by Date IMPORT'!$B$2:$J923,2,FALSE),"")</f>
        <v>6</v>
      </c>
      <c r="J146" s="156" t="str">
        <f>IFERROR(VLOOKUP($B146,'APS Tubes by Date IMPORT'!$B$2:$J923,9,FALSE),"")</f>
        <v/>
      </c>
      <c r="K146" s="156">
        <f>IFNA(VLOOKUP($B146,'APS Tubes by Date IMPORT'!$B$2:$J923,6,FALSE),"")</f>
        <v>0</v>
      </c>
      <c r="L146" s="187">
        <f>I146</f>
        <v>6</v>
      </c>
      <c r="M146" s="156">
        <f>L146-I146</f>
        <v>0</v>
      </c>
      <c r="N146" s="188">
        <v>3.4</v>
      </c>
      <c r="O146" s="158" t="b">
        <f t="shared" si="57"/>
        <v>1</v>
      </c>
      <c r="P146" s="159" t="str">
        <f>IF(ISBLANK(N146),IFERROR(0/0,""),IFERROR(VLOOKUP(N146, 'Process Ref'!$A$76:$D$122, 2, FALSE), IFERROR(0/0,"")))</f>
        <v>Add Run from APS with no RFR (assume run on same day as Collect, ignore Result day)</v>
      </c>
      <c r="Q146" s="189" t="s">
        <v>341</v>
      </c>
      <c r="R146" s="161" t="str">
        <f>IFNA(MATCH(A146,'RFR Data - preExcl'!A$2:A923,0),"")</f>
        <v/>
      </c>
      <c r="S146" s="173"/>
      <c r="T146" s="8" t="str">
        <f>IF(AND(NOT(ISBLANK(U146)),NOT(ISBLANK(V146)),NOT(ISBLANK(W146))),CONCATENATE("RUN-",'Process Ref'!$A$1,"_",TEXT(V146,"YYYY-MM-DD"),"_APS-",TEXT(W146,"000")),IFERROR(0/0,""))</f>
        <v>RUN-FLMP_2020-12-19_APS-002</v>
      </c>
      <c r="U146" s="14">
        <f t="shared" si="61"/>
        <v>44184</v>
      </c>
      <c r="V146" s="190">
        <v>44184.0</v>
      </c>
      <c r="W146" s="191">
        <f t="shared" ref="W146:W248" si="62">IF(NOT(ISBLANK(U146)),MAX(W$1:W145)+1,IFERROR(0/0,""))</f>
        <v>2</v>
      </c>
      <c r="X146" s="86"/>
      <c r="Z146" s="131"/>
      <c r="AA146" s="14"/>
      <c r="AG146" s="86"/>
      <c r="AJ146" s="86"/>
    </row>
    <row r="147">
      <c r="A147" s="143"/>
      <c r="B147" s="73">
        <v>44591.0</v>
      </c>
      <c r="C147" s="144" t="str">
        <f t="shared" si="2"/>
        <v/>
      </c>
      <c r="D147" s="145" t="str">
        <f t="array" ref="D147">IF(OR(ISBLANK($A147),$C147),IFERROR(0/0,""),INDEX('RFR Data - preExcl'!E$2:E923,$R147,1))</f>
        <v/>
      </c>
      <c r="E147" s="145"/>
      <c r="F147" s="145" t="str">
        <f t="array" ref="F147">IF(OR(ISBLANK(A147),C147),IFERROR(0/0,""),INDEX('RFR Data - preExcl'!AC$2:AC923,$R147,1))</f>
        <v/>
      </c>
      <c r="G147" s="145" t="str">
        <f t="array" ref="G147">IF(OR(ISBLANK(A147),C147),IFERROR(0/0,""),INDEX('RFR Data - preExcl'!AK$2:AK923,$R147,1))</f>
        <v/>
      </c>
      <c r="H147" s="145" t="str">
        <f t="array" ref="H147">IF(OR(ISBLANK(A147),C147),IFERROR(0/0,""),INDEX('RFR Data - preExcl'!AL$2:AL923,$R147,1))</f>
        <v/>
      </c>
      <c r="I147" s="145">
        <f>IFERROR(VLOOKUP($B147,'APS Tubes by Date IMPORT'!$B$2:$J923,2,FALSE),"")</f>
        <v>2</v>
      </c>
      <c r="J147" s="145" t="str">
        <f>IFERROR(VLOOKUP($B147,'APS Tubes by Date IMPORT'!$B$2:$J923,9,FALSE),"")</f>
        <v/>
      </c>
      <c r="K147" s="145">
        <f>IFNA(VLOOKUP($B147,'APS Tubes by Date IMPORT'!$B$2:$J923,6,FALSE),"")</f>
        <v>0</v>
      </c>
      <c r="L147" s="145"/>
      <c r="M147" s="145"/>
      <c r="N147" s="147">
        <v>6.1</v>
      </c>
      <c r="O147" s="143" t="str">
        <f t="shared" si="57"/>
        <v/>
      </c>
      <c r="P147" s="148" t="str">
        <f>IF(ISBLANK(N147),IFERROR(0/0,""),IFERROR(VLOOKUP(N147, 'Process Ref'!$A$76:$D$122, 2, FALSE), IFERROR(0/0,"")))</f>
        <v>No Run - APS Collect run next day</v>
      </c>
      <c r="Q147" s="143"/>
      <c r="R147" s="92" t="str">
        <f>IFNA(MATCH(A147,'RFR Data - preExcl'!A$2:A923,0),"")</f>
        <v/>
      </c>
      <c r="S147" s="54"/>
      <c r="T147" s="8" t="str">
        <f>IF(AND(NOT(ISBLANK(U147)),NOT(ISBLANK(V147)),NOT(ISBLANK(W147))),CONCATENATE("RUN-",'Process Ref'!$A$1,"_",TEXT(V147,"YYYY-MM-DD"),"_APS-",TEXT(W147,"000")),IFERROR(0/0,""))</f>
        <v>RUN-FLMP_2020-12-22_APS-003</v>
      </c>
      <c r="U147" s="14">
        <f t="shared" si="61"/>
        <v>44187</v>
      </c>
      <c r="V147" s="190">
        <v>44187.0</v>
      </c>
      <c r="W147" s="191">
        <f t="shared" si="62"/>
        <v>3</v>
      </c>
      <c r="X147" s="86"/>
      <c r="Z147" s="131"/>
      <c r="AA147" s="14"/>
      <c r="AG147" s="86"/>
      <c r="AJ147" s="86"/>
    </row>
    <row r="148">
      <c r="A148" s="8" t="s">
        <v>173</v>
      </c>
      <c r="B148" s="14">
        <v>44592.0</v>
      </c>
      <c r="C148" s="88" t="str">
        <f t="shared" si="2"/>
        <v/>
      </c>
      <c r="D148" s="16">
        <f t="array" ref="D148">IF(OR(ISBLANK($A148),$C148),IFERROR(0/0,""),INDEX('RFR Data - preExcl'!E$2:E923,$R148,1))</f>
        <v>23</v>
      </c>
      <c r="E148" s="16">
        <f t="array" ref="E148">IF(OR(ISBLANK($A148),$C148),IFERROR(0/0,""),INDEX('RFR Data - preExcl'!Z$2:Z923,$R148,1))</f>
        <v>25</v>
      </c>
      <c r="F148" s="16">
        <f t="array" ref="F148">IF(OR(ISBLANK(A148),C148),IFERROR(0/0,""),INDEX('RFR Data - preExcl'!AC$2:AC923,$R148,1))</f>
        <v>23</v>
      </c>
      <c r="G148" s="16">
        <f t="array" ref="G148">IF(OR(ISBLANK(A148),C148),IFERROR(0/0,""),INDEX('RFR Data - preExcl'!AK$2:AK923,$R148,1))</f>
        <v>23</v>
      </c>
      <c r="H148" s="16">
        <f t="array" ref="H148">IF(OR(ISBLANK(A148),C148),IFERROR(0/0,""),INDEX('RFR Data - preExcl'!AL$2:AL923,$R148,1))</f>
        <v>1.1</v>
      </c>
      <c r="I148" s="16">
        <f>IFERROR(VLOOKUP($B148,'APS Tubes by Date IMPORT'!$B$2:$J923,2,FALSE),"")</f>
        <v>21</v>
      </c>
      <c r="J148" s="16" t="b">
        <f>IFERROR(VLOOKUP($B148,'APS Tubes by Date IMPORT'!$B$2:$J923,9,FALSE),"")</f>
        <v>1</v>
      </c>
      <c r="K148" s="16">
        <f>IFNA(VLOOKUP($B148,'APS Tubes by Date IMPORT'!$B$2:$J923,6,FALSE),"")</f>
        <v>0</v>
      </c>
      <c r="L148" s="89">
        <f t="shared" ref="L148:L150" si="63">G148</f>
        <v>23</v>
      </c>
      <c r="M148" s="16">
        <f>L148-I148-I147</f>
        <v>0</v>
      </c>
      <c r="N148" s="107">
        <v>6.0</v>
      </c>
      <c r="O148" s="30" t="str">
        <f t="shared" si="57"/>
        <v/>
      </c>
      <c r="P148" s="91" t="str">
        <f>IF(ISBLANK(N148),IFERROR(0/0,""),IFERROR(VLOOKUP(N148, 'Process Ref'!$A$76:$D$122, 2, FALSE), IFERROR(0/0,"")))</f>
        <v>Use Audit RFR - nets out with next or prev day</v>
      </c>
      <c r="Q148" s="18" t="s">
        <v>342</v>
      </c>
      <c r="R148" s="92">
        <f>IFNA(MATCH(A148,'RFR Data - preExcl'!A$2:A923,0),"")</f>
        <v>70</v>
      </c>
      <c r="S148" s="54"/>
      <c r="T148" s="8" t="str">
        <f>IF(AND(NOT(ISBLANK(U148)),NOT(ISBLANK(V148)),NOT(ISBLANK(W148))),CONCATENATE("RUN-",'Process Ref'!$A$1,"_",TEXT(V148,"YYYY-MM-DD"),"_APS-",TEXT(W148,"000")),IFERROR(0/0,""))</f>
        <v>RUN-FLMP_2020-12-28_APS-004</v>
      </c>
      <c r="U148" s="14">
        <f t="shared" si="61"/>
        <v>44193</v>
      </c>
      <c r="V148" s="14">
        <v>44193.0</v>
      </c>
      <c r="W148" s="191">
        <f t="shared" si="62"/>
        <v>4</v>
      </c>
      <c r="X148" s="86"/>
      <c r="Z148" s="131"/>
      <c r="AA148" s="14"/>
      <c r="AG148" s="86"/>
      <c r="AJ148" s="86"/>
    </row>
    <row r="149">
      <c r="A149" s="19" t="s">
        <v>174</v>
      </c>
      <c r="B149" s="154">
        <v>44594.0</v>
      </c>
      <c r="C149" s="155" t="str">
        <f t="shared" si="2"/>
        <v/>
      </c>
      <c r="D149" s="156">
        <f t="array" ref="D149">IF(OR(ISBLANK($A149),$C149),IFERROR(0/0,""),INDEX('RFR Data - preExcl'!E$2:E923,$R149,1))</f>
        <v>3</v>
      </c>
      <c r="E149" s="156">
        <f t="array" ref="E149">IF(OR(ISBLANK($A149),$C149),IFERROR(0/0,""),INDEX('RFR Data - preExcl'!Z$2:Z923,$R149,1))</f>
        <v>5</v>
      </c>
      <c r="F149" s="156">
        <f t="array" ref="F149">IF(OR(ISBLANK(A149),C149),IFERROR(0/0,""),INDEX('RFR Data - preExcl'!AC$2:AC923,$R149,1))</f>
        <v>6</v>
      </c>
      <c r="G149" s="156">
        <f t="array" ref="G149">IF(OR(ISBLANK(A149),C149),IFERROR(0/0,""),INDEX('RFR Data - preExcl'!AK$2:AK923,$R149,1))</f>
        <v>3</v>
      </c>
      <c r="H149" s="156">
        <f t="array" ref="H149">IF(OR(ISBLANK(A149),C149),IFERROR(0/0,""),INDEX('RFR Data - preExcl'!AL$2:AL923,$R149,1))</f>
        <v>0</v>
      </c>
      <c r="I149" s="156">
        <f>IFERROR(VLOOKUP($B149,'APS Tubes by Date IMPORT'!$B$2:$J923,2,FALSE),"")</f>
        <v>5</v>
      </c>
      <c r="J149" s="156" t="str">
        <f>IFERROR(VLOOKUP($B149,'APS Tubes by Date IMPORT'!$B$2:$J923,9,FALSE),"")</f>
        <v/>
      </c>
      <c r="K149" s="156">
        <f>IFNA(VLOOKUP($B149,'APS Tubes by Date IMPORT'!$B$2:$J923,6,FALSE),"")</f>
        <v>0</v>
      </c>
      <c r="L149" s="89">
        <f t="shared" si="63"/>
        <v>3</v>
      </c>
      <c r="M149" s="21">
        <v>0.0</v>
      </c>
      <c r="N149" s="107">
        <v>6.0</v>
      </c>
      <c r="O149" s="158" t="str">
        <f t="shared" si="57"/>
        <v/>
      </c>
      <c r="P149" s="159" t="str">
        <f>IF(ISBLANK(N149),IFERROR(0/0,""),IFERROR(VLOOKUP(N149, 'Process Ref'!$A$76:$D$122, 2, FALSE), IFERROR(0/0,"")))</f>
        <v>Use Audit RFR - nets out with next or prev day</v>
      </c>
      <c r="Q149" s="19"/>
      <c r="R149" s="161">
        <f>IFNA(MATCH(A149,'RFR Data - preExcl'!A$2:A923,0),"")</f>
        <v>72</v>
      </c>
      <c r="S149" s="54"/>
      <c r="T149" s="8" t="str">
        <f>IF(AND(NOT(ISBLANK(U149)),NOT(ISBLANK(V149)),NOT(ISBLANK(W149))),CONCATENATE("RUN-",'Process Ref'!$A$1,"_",TEXT(V149,"YYYY-MM-DD"),"_APS-",TEXT(W149,"000")),IFERROR(0/0,""))</f>
        <v>RUN-FLMP_2021-01-11_APS-005</v>
      </c>
      <c r="U149" s="14">
        <f t="shared" si="61"/>
        <v>44207</v>
      </c>
      <c r="V149" s="190">
        <v>44207.0</v>
      </c>
      <c r="W149" s="191">
        <f t="shared" si="62"/>
        <v>5</v>
      </c>
      <c r="X149" s="86"/>
      <c r="Z149" s="131"/>
      <c r="AA149" s="14"/>
      <c r="AG149" s="86"/>
      <c r="AJ149" s="86"/>
    </row>
    <row r="150">
      <c r="A150" s="8" t="s">
        <v>175</v>
      </c>
      <c r="B150" s="14">
        <v>44595.0</v>
      </c>
      <c r="C150" s="88" t="str">
        <f t="shared" si="2"/>
        <v/>
      </c>
      <c r="D150" s="16">
        <f t="array" ref="D150">IF(OR(ISBLANK($A150),$C150),IFERROR(0/0,""),INDEX('RFR Data - preExcl'!E$2:E923,$R150,1))</f>
        <v>39</v>
      </c>
      <c r="E150" s="16">
        <f t="array" ref="E150">IF(OR(ISBLANK($A150),$C150),IFERROR(0/0,""),INDEX('RFR Data - preExcl'!Z$2:Z923,$R150,1))</f>
        <v>31</v>
      </c>
      <c r="F150" s="16">
        <f t="array" ref="F150">IF(OR(ISBLANK(A150),C150),IFERROR(0/0,""),INDEX('RFR Data - preExcl'!AC$2:AC923,$R150,1))</f>
        <v>30</v>
      </c>
      <c r="G150" s="16">
        <f t="array" ref="G150">IF(OR(ISBLANK(A150),C150),IFERROR(0/0,""),INDEX('RFR Data - preExcl'!AK$2:AK923,$R150,1))</f>
        <v>29</v>
      </c>
      <c r="H150" s="16">
        <f t="array" ref="H150">IF(OR(ISBLANK(A150),C150),IFERROR(0/0,""),INDEX('RFR Data - preExcl'!AL$2:AL923,$R150,1))</f>
        <v>0</v>
      </c>
      <c r="I150" s="16">
        <f>IFERROR(VLOOKUP($B150,'APS Tubes by Date IMPORT'!$B$2:$J923,2,FALSE),"")</f>
        <v>27</v>
      </c>
      <c r="J150" s="16" t="b">
        <f>IFERROR(VLOOKUP($B150,'APS Tubes by Date IMPORT'!$B$2:$J923,9,FALSE),"")</f>
        <v>1</v>
      </c>
      <c r="K150" s="16">
        <f>IFNA(VLOOKUP($B150,'APS Tubes by Date IMPORT'!$B$2:$J923,6,FALSE),"")</f>
        <v>0</v>
      </c>
      <c r="L150" s="89">
        <f t="shared" si="63"/>
        <v>29</v>
      </c>
      <c r="M150" s="21">
        <v>0.0</v>
      </c>
      <c r="N150" s="107">
        <v>6.0</v>
      </c>
      <c r="O150" s="30" t="str">
        <f t="shared" si="57"/>
        <v/>
      </c>
      <c r="P150" s="91" t="str">
        <f>IF(ISBLANK(N150),IFERROR(0/0,""),IFERROR(VLOOKUP(N150, 'Process Ref'!$A$76:$D$122, 2, FALSE), IFERROR(0/0,"")))</f>
        <v>Use Audit RFR - nets out with next or prev day</v>
      </c>
      <c r="Q150" s="18" t="s">
        <v>343</v>
      </c>
      <c r="R150" s="92">
        <f>IFNA(MATCH(A150,'RFR Data - preExcl'!A$2:A923,0),"")</f>
        <v>73</v>
      </c>
      <c r="S150" s="54"/>
      <c r="T150" s="8" t="str">
        <f>IF(AND(NOT(ISBLANK(U150)),NOT(ISBLANK(V150)),NOT(ISBLANK(W150))),CONCATENATE("RUN-",'Process Ref'!$A$1,"_",TEXT(V150,"YYYY-MM-DD"),"_APS-",TEXT(W150,"000")),IFERROR(0/0,""))</f>
        <v>RUN-FLMP_2021-01-13_APS-006</v>
      </c>
      <c r="U150" s="14">
        <f t="shared" si="61"/>
        <v>44209</v>
      </c>
      <c r="V150" s="190">
        <v>44209.0</v>
      </c>
      <c r="W150" s="191">
        <f t="shared" si="62"/>
        <v>6</v>
      </c>
      <c r="X150" s="86"/>
      <c r="Z150" s="131"/>
      <c r="AA150" s="14"/>
      <c r="AG150" s="86"/>
      <c r="AJ150" s="86"/>
    </row>
    <row r="151">
      <c r="A151" s="19" t="s">
        <v>176</v>
      </c>
      <c r="B151" s="154">
        <v>44597.0</v>
      </c>
      <c r="C151" s="155" t="b">
        <f t="shared" si="2"/>
        <v>1</v>
      </c>
      <c r="D151" s="156" t="str">
        <f t="array" ref="D151">IF(OR(ISBLANK($A151),$C151),IFERROR(0/0,""),INDEX('RFR Data - preExcl'!E$2:E923,$R151,1))</f>
        <v/>
      </c>
      <c r="E151" s="156" t="str">
        <f t="array" ref="E151">IF(OR(ISBLANK($A151),$C151),IFERROR(0/0,""),INDEX('RFR Data - preExcl'!Z$2:Z923,$R151,1))</f>
        <v/>
      </c>
      <c r="F151" s="156" t="str">
        <f t="array" ref="F151">IF(OR(ISBLANK(A151),C151),IFERROR(0/0,""),INDEX('RFR Data - preExcl'!AC$2:AC923,$R151,1))</f>
        <v/>
      </c>
      <c r="G151" s="156" t="str">
        <f t="array" ref="G151">IF(OR(ISBLANK(A151),C151),IFERROR(0/0,""),INDEX('RFR Data - preExcl'!AK$2:AK923,$R151,1))</f>
        <v/>
      </c>
      <c r="H151" s="156" t="str">
        <f t="array" ref="H151">IF(OR(ISBLANK(A151),C151),IFERROR(0/0,""),INDEX('RFR Data - preExcl'!AL$2:AL923,$R151,1))</f>
        <v/>
      </c>
      <c r="I151" s="156">
        <f>IFERROR(VLOOKUP($B151,'APS Tubes by Date IMPORT'!$B$2:$J923,2,FALSE),"")</f>
        <v>4</v>
      </c>
      <c r="J151" s="156" t="b">
        <f>IFERROR(VLOOKUP($B151,'APS Tubes by Date IMPORT'!$B$2:$J923,9,FALSE),"")</f>
        <v>1</v>
      </c>
      <c r="K151" s="156">
        <f>IFNA(VLOOKUP($B151,'APS Tubes by Date IMPORT'!$B$2:$J923,6,FALSE),"")</f>
        <v>0</v>
      </c>
      <c r="L151" s="187">
        <f>I151</f>
        <v>4</v>
      </c>
      <c r="M151" s="156">
        <f>L151-I151</f>
        <v>0</v>
      </c>
      <c r="N151" s="188">
        <v>3.4</v>
      </c>
      <c r="O151" s="158" t="b">
        <f t="shared" si="57"/>
        <v>1</v>
      </c>
      <c r="P151" s="159" t="str">
        <f>IF(ISBLANK(N151),IFERROR(0/0,""),IFERROR(VLOOKUP(N151, 'Process Ref'!$A$76:$D$122, 2, FALSE), IFERROR(0/0,"")))</f>
        <v>Add Run from APS with no RFR (assume run on same day as Collect, ignore Result day)</v>
      </c>
      <c r="Q151" s="192" t="s">
        <v>341</v>
      </c>
      <c r="R151" s="161" t="str">
        <f>IFNA(MATCH(A151,'RFR Data - preExcl'!A$2:A923,0),"")</f>
        <v/>
      </c>
      <c r="S151" s="54"/>
      <c r="T151" s="8" t="str">
        <f>IF(AND(NOT(ISBLANK(U151)),NOT(ISBLANK(V151)),NOT(ISBLANK(W151))),CONCATENATE("RUN-",'Process Ref'!$A$1,"_",TEXT(V151,"YYYY-MM-DD"),"_APS-",TEXT(W151,"000")),IFERROR(0/0,""))</f>
        <v>RUN-FLMP_2021-01-15_APS-007</v>
      </c>
      <c r="U151" s="14">
        <f t="shared" si="61"/>
        <v>44211</v>
      </c>
      <c r="V151" s="190">
        <v>44211.0</v>
      </c>
      <c r="W151" s="191">
        <f t="shared" si="62"/>
        <v>7</v>
      </c>
      <c r="X151" s="86"/>
      <c r="Z151" s="131"/>
      <c r="AA151" s="14"/>
      <c r="AG151" s="86"/>
      <c r="AJ151" s="86"/>
    </row>
    <row r="152">
      <c r="A152" s="143"/>
      <c r="B152" s="73">
        <v>44598.0</v>
      </c>
      <c r="C152" s="144" t="str">
        <f t="shared" si="2"/>
        <v/>
      </c>
      <c r="D152" s="145" t="str">
        <f t="array" ref="D152">IF(OR(ISBLANK($A152),$C152),IFERROR(0/0,""),INDEX('RFR Data - preExcl'!E$2:E923,$R152,1))</f>
        <v/>
      </c>
      <c r="E152" s="145"/>
      <c r="F152" s="145" t="str">
        <f t="array" ref="F152">IF(OR(ISBLANK(A152),C152),IFERROR(0/0,""),INDEX('RFR Data - preExcl'!AC$2:AC923,$R152,1))</f>
        <v/>
      </c>
      <c r="G152" s="145" t="str">
        <f t="array" ref="G152">IF(OR(ISBLANK(A152),C152),IFERROR(0/0,""),INDEX('RFR Data - preExcl'!AK$2:AK923,$R152,1))</f>
        <v/>
      </c>
      <c r="H152" s="145" t="str">
        <f t="array" ref="H152">IF(OR(ISBLANK(A152),C152),IFERROR(0/0,""),INDEX('RFR Data - preExcl'!AL$2:AL923,$R152,1))</f>
        <v/>
      </c>
      <c r="I152" s="146">
        <f>IFERROR(VLOOKUP($B152,'APS Tubes by Date IMPORT'!$B$2:$J923,2,FALSE),"")</f>
        <v>2</v>
      </c>
      <c r="J152" s="145" t="str">
        <f>IFERROR(VLOOKUP($B152,'APS Tubes by Date IMPORT'!$B$2:$J923,9,FALSE),"")</f>
        <v/>
      </c>
      <c r="K152" s="145">
        <f>IFNA(VLOOKUP($B152,'APS Tubes by Date IMPORT'!$B$2:$J923,6,FALSE),"")</f>
        <v>0</v>
      </c>
      <c r="L152" s="145"/>
      <c r="M152" s="145"/>
      <c r="N152" s="147">
        <v>6.1</v>
      </c>
      <c r="O152" s="143" t="str">
        <f t="shared" si="57"/>
        <v/>
      </c>
      <c r="P152" s="148" t="str">
        <f>IF(ISBLANK(N152),IFERROR(0/0,""),IFERROR(VLOOKUP(N152, 'Process Ref'!$A$76:$D$122, 2, FALSE), IFERROR(0/0,"")))</f>
        <v>No Run - APS Collect run next day</v>
      </c>
      <c r="Q152" s="143"/>
      <c r="R152" s="92" t="str">
        <f>IFNA(MATCH(A152,'RFR Data - preExcl'!A$2:A923,0),"")</f>
        <v/>
      </c>
      <c r="S152" s="54"/>
      <c r="T152" s="8" t="str">
        <f>IF(AND(NOT(ISBLANK(U152)),NOT(ISBLANK(V152)),NOT(ISBLANK(W152))),CONCATENATE("RUN-",'Process Ref'!$A$1,"_",TEXT(V152,"YYYY-MM-DD"),"_APS-",TEXT(W152,"000")),IFERROR(0/0,""))</f>
        <v>RUN-FLMP_2021-01-18_APS-008</v>
      </c>
      <c r="U152" s="14">
        <f t="shared" si="61"/>
        <v>44214</v>
      </c>
      <c r="V152" s="190">
        <v>44214.0</v>
      </c>
      <c r="W152" s="191">
        <f t="shared" si="62"/>
        <v>8</v>
      </c>
      <c r="X152" s="86"/>
      <c r="Z152" s="131"/>
      <c r="AA152" s="14"/>
      <c r="AG152" s="86"/>
      <c r="AJ152" s="86"/>
    </row>
    <row r="153">
      <c r="A153" s="8" t="s">
        <v>177</v>
      </c>
      <c r="B153" s="14">
        <v>44599.0</v>
      </c>
      <c r="C153" s="88" t="str">
        <f t="shared" si="2"/>
        <v/>
      </c>
      <c r="D153" s="16">
        <f t="array" ref="D153">IF(OR(ISBLANK($A153),$C153),IFERROR(0/0,""),INDEX('RFR Data - preExcl'!E$2:E923,$R153,1))</f>
        <v>29</v>
      </c>
      <c r="E153" s="16">
        <f t="array" ref="E153">IF(OR(ISBLANK($A153),$C153),IFERROR(0/0,""),INDEX('RFR Data - preExcl'!Z$2:Z923,$R153,1))</f>
        <v>29</v>
      </c>
      <c r="F153" s="16">
        <f t="array" ref="F153">IF(OR(ISBLANK(A153),C153),IFERROR(0/0,""),INDEX('RFR Data - preExcl'!AC$2:AC923,$R153,1))</f>
        <v>30</v>
      </c>
      <c r="G153" s="16">
        <f t="array" ref="G153">IF(OR(ISBLANK(A153),C153),IFERROR(0/0,""),INDEX('RFR Data - preExcl'!AK$2:AK923,$R153,1))</f>
        <v>27</v>
      </c>
      <c r="H153" s="16">
        <f t="array" ref="H153">IF(OR(ISBLANK(A153),C153),IFERROR(0/0,""),INDEX('RFR Data - preExcl'!AL$2:AL923,$R153,1))</f>
        <v>0</v>
      </c>
      <c r="I153" s="128">
        <f>IFERROR(VLOOKUP($B153,'APS Tubes by Date IMPORT'!$B$2:$J923,2,FALSE),"")</f>
        <v>26</v>
      </c>
      <c r="J153" s="16" t="str">
        <f>IFERROR(VLOOKUP($B153,'APS Tubes by Date IMPORT'!$B$2:$J923,9,FALSE),"")</f>
        <v/>
      </c>
      <c r="K153" s="16">
        <f>IFNA(VLOOKUP($B153,'APS Tubes by Date IMPORT'!$B$2:$J923,6,FALSE),"")</f>
        <v>0</v>
      </c>
      <c r="L153" s="193">
        <v>28.0</v>
      </c>
      <c r="M153" s="21">
        <f>L153-I153-I152</f>
        <v>0</v>
      </c>
      <c r="N153" s="136">
        <v>10.0</v>
      </c>
      <c r="O153" s="30" t="str">
        <f t="shared" si="57"/>
        <v/>
      </c>
      <c r="P153" s="91" t="str">
        <f>IF(ISBLANK(N153),IFERROR(0/0,""),IFERROR(VLOOKUP(N153, 'Process Ref'!$A$76:$D$122, 2, FALSE), IFERROR(0/0,"")))</f>
        <v>see Notes for reason</v>
      </c>
      <c r="Q153" s="24" t="s">
        <v>344</v>
      </c>
      <c r="R153" s="92">
        <f>IFNA(MATCH(A153,'RFR Data - preExcl'!A$2:A923,0),"")</f>
        <v>74</v>
      </c>
      <c r="S153" s="54"/>
      <c r="T153" s="8" t="str">
        <f>IF(AND(NOT(ISBLANK(U153)),NOT(ISBLANK(V153)),NOT(ISBLANK(W153))),CONCATENATE("RUN-",'Process Ref'!$A$1,"_",TEXT(V153,"YYYY-MM-DD"),"_APS-",TEXT(W153,"000")),IFERROR(0/0,""))</f>
        <v>RUN-FLMP_2021-01-20_APS-009</v>
      </c>
      <c r="U153" s="14">
        <f t="shared" si="61"/>
        <v>44216</v>
      </c>
      <c r="V153" s="190">
        <v>44216.0</v>
      </c>
      <c r="W153" s="191">
        <f t="shared" si="62"/>
        <v>9</v>
      </c>
      <c r="X153" s="86"/>
      <c r="Z153" s="131"/>
      <c r="AA153" s="14"/>
      <c r="AG153" s="86"/>
      <c r="AJ153" s="86"/>
    </row>
    <row r="154">
      <c r="A154" s="143"/>
      <c r="B154" s="73">
        <v>44601.0</v>
      </c>
      <c r="C154" s="144" t="str">
        <f t="shared" si="2"/>
        <v/>
      </c>
      <c r="D154" s="145" t="str">
        <f t="array" ref="D154">IF(OR(ISBLANK($A154),$C154),IFERROR(0/0,""),INDEX('RFR Data - preExcl'!E$2:E923,$R154,1))</f>
        <v/>
      </c>
      <c r="E154" s="145" t="str">
        <f t="array" ref="E154">IF(OR(ISBLANK($A154),$C154),IFERROR(0/0,""),INDEX('RFR Data - preExcl'!Z$2:Z923,$R154,1))</f>
        <v/>
      </c>
      <c r="F154" s="145" t="str">
        <f t="array" ref="F154">IF(OR(ISBLANK(A154),C154),IFERROR(0/0,""),INDEX('RFR Data - preExcl'!AC$2:AC923,$R154,1))</f>
        <v/>
      </c>
      <c r="G154" s="145" t="str">
        <f t="array" ref="G154">IF(OR(ISBLANK(A154),C154),IFERROR(0/0,""),INDEX('RFR Data - preExcl'!AK$2:AK923,$R154,1))</f>
        <v/>
      </c>
      <c r="H154" s="145" t="str">
        <f t="array" ref="H154">IF(OR(ISBLANK(A154),C154),IFERROR(0/0,""),INDEX('RFR Data - preExcl'!AL$2:AL923,$R154,1))</f>
        <v/>
      </c>
      <c r="I154" s="146">
        <f>IFERROR(VLOOKUP($B154,'APS Tubes by Date IMPORT'!$B$2:$J923,2,FALSE),"")</f>
        <v>1</v>
      </c>
      <c r="J154" s="145" t="str">
        <f>IFERROR(VLOOKUP($B154,'APS Tubes by Date IMPORT'!$B$2:$J923,9,FALSE),"")</f>
        <v/>
      </c>
      <c r="K154" s="145">
        <f>IFNA(VLOOKUP($B154,'APS Tubes by Date IMPORT'!$B$2:$J923,6,FALSE),"")</f>
        <v>0</v>
      </c>
      <c r="L154" s="147"/>
      <c r="M154" s="145"/>
      <c r="N154" s="147">
        <v>6.1</v>
      </c>
      <c r="O154" s="143" t="str">
        <f t="shared" si="57"/>
        <v/>
      </c>
      <c r="P154" s="148" t="str">
        <f>IF(ISBLANK(N154),IFERROR(0/0,""),IFERROR(VLOOKUP(N154, 'Process Ref'!$A$76:$D$122, 2, FALSE), IFERROR(0/0,"")))</f>
        <v>No Run - APS Collect run next day</v>
      </c>
      <c r="Q154" s="143"/>
      <c r="R154" s="92" t="str">
        <f>IFNA(MATCH(A154,'RFR Data - preExcl'!A$2:A923,0),"")</f>
        <v/>
      </c>
      <c r="S154" s="54"/>
      <c r="T154" s="8" t="str">
        <f>IF(AND(NOT(ISBLANK(U154)),NOT(ISBLANK(V154)),NOT(ISBLANK(W154))),CONCATENATE("RUN-",'Process Ref'!$A$1,"_",TEXT(V154,"YYYY-MM-DD"),"_APS-",TEXT(W154,"000")),IFERROR(0/0,""))</f>
        <v>RUN-FLMP_2021-01-21_APS-010</v>
      </c>
      <c r="U154" s="14">
        <f t="shared" si="61"/>
        <v>44217</v>
      </c>
      <c r="V154" s="190">
        <v>44217.0</v>
      </c>
      <c r="W154" s="191">
        <f t="shared" si="62"/>
        <v>10</v>
      </c>
      <c r="X154" s="86"/>
      <c r="Z154" s="131"/>
      <c r="AA154" s="14"/>
      <c r="AG154" s="86"/>
      <c r="AJ154" s="86"/>
    </row>
    <row r="155">
      <c r="A155" s="8" t="s">
        <v>178</v>
      </c>
      <c r="B155" s="14">
        <v>44602.0</v>
      </c>
      <c r="C155" s="88" t="str">
        <f t="shared" si="2"/>
        <v/>
      </c>
      <c r="D155" s="117">
        <f t="array" ref="D155">IF(OR(ISBLANK($A155),$C155),IFERROR(0/0,""),INDEX('RFR Data - preExcl'!E$2:E923,$R155,1))</f>
        <v>29</v>
      </c>
      <c r="E155" s="16">
        <f t="array" ref="E155">IF(OR(ISBLANK($A155),$C155),IFERROR(0/0,""),INDEX('RFR Data - preExcl'!Z$2:Z923,$R155,1))</f>
        <v>31</v>
      </c>
      <c r="F155" s="16">
        <f t="array" ref="F155">IF(OR(ISBLANK(A155),C155),IFERROR(0/0,""),INDEX('RFR Data - preExcl'!AC$2:AC923,$R155,1))</f>
        <v>30</v>
      </c>
      <c r="G155" s="117">
        <f t="array" ref="G155">IF(OR(ISBLANK(A155),C155),IFERROR(0/0,""),INDEX('RFR Data - preExcl'!AK$2:AK923,$R155,1))</f>
        <v>29</v>
      </c>
      <c r="H155" s="16">
        <f t="array" ref="H155">IF(OR(ISBLANK(A155),C155),IFERROR(0/0,""),INDEX('RFR Data - preExcl'!AL$2:AL923,$R155,1))</f>
        <v>1.1</v>
      </c>
      <c r="I155" s="128">
        <f>IFERROR(VLOOKUP($B155,'APS Tubes by Date IMPORT'!$B$2:$J923,2,FALSE),"")</f>
        <v>27</v>
      </c>
      <c r="J155" s="16" t="b">
        <f>IFERROR(VLOOKUP($B155,'APS Tubes by Date IMPORT'!$B$2:$J923,9,FALSE),"")</f>
        <v>1</v>
      </c>
      <c r="K155" s="16">
        <f>IFNA(VLOOKUP($B155,'APS Tubes by Date IMPORT'!$B$2:$J923,6,FALSE),"")</f>
        <v>0</v>
      </c>
      <c r="L155" s="177">
        <f>G155</f>
        <v>29</v>
      </c>
      <c r="M155" s="21">
        <f>L155-I155-I154</f>
        <v>1</v>
      </c>
      <c r="N155" s="115">
        <v>9.0</v>
      </c>
      <c r="O155" s="30" t="str">
        <f t="shared" si="57"/>
        <v/>
      </c>
      <c r="P155" s="91" t="str">
        <f>IF(ISBLANK(N155),IFERROR(0/0,""),IFERROR(VLOOKUP(N155, 'Process Ref'!$A$76:$D$122, 2, FALSE), IFERROR(0/0,"")))</f>
        <v>Entire run in RFR not in Appivo</v>
      </c>
      <c r="Q155" s="18" t="s">
        <v>345</v>
      </c>
      <c r="R155" s="92">
        <f>IFNA(MATCH(A155,'RFR Data - preExcl'!A$2:A923,0),"")</f>
        <v>76</v>
      </c>
      <c r="S155" s="54"/>
      <c r="T155" s="8" t="str">
        <f>IF(AND(NOT(ISBLANK(U155)),NOT(ISBLANK(V155)),NOT(ISBLANK(W155))),CONCATENATE("RUN-",'Process Ref'!$A$1,"_",TEXT(V155,"YYYY-MM-DD"),"_APS-",TEXT(W155,"000")),IFERROR(0/0,""))</f>
        <v>RUN-FLMP_2021-01-22_APS-011</v>
      </c>
      <c r="U155" s="14">
        <f t="shared" si="61"/>
        <v>44218</v>
      </c>
      <c r="V155" s="190">
        <v>44218.0</v>
      </c>
      <c r="W155" s="191">
        <f t="shared" si="62"/>
        <v>11</v>
      </c>
      <c r="X155" s="86"/>
      <c r="Z155" s="131"/>
      <c r="AA155" s="14"/>
      <c r="AG155" s="86"/>
      <c r="AJ155" s="86"/>
    </row>
    <row r="156">
      <c r="A156" s="143"/>
      <c r="B156" s="73">
        <v>44603.0</v>
      </c>
      <c r="C156" s="144" t="str">
        <f t="shared" si="2"/>
        <v/>
      </c>
      <c r="D156" s="145" t="str">
        <f t="array" ref="D156">IF(OR(ISBLANK($A156),$C156),IFERROR(0/0,""),INDEX('RFR Data - preExcl'!E$2:E923,$R156,1))</f>
        <v/>
      </c>
      <c r="E156" s="145" t="str">
        <f t="array" ref="E156">IF(OR(ISBLANK($A156),$C156),IFERROR(0/0,""),INDEX('RFR Data - preExcl'!Z$2:Z923,$R156,1))</f>
        <v/>
      </c>
      <c r="F156" s="145" t="str">
        <f t="array" ref="F156">IF(OR(ISBLANK(A156),C156),IFERROR(0/0,""),INDEX('RFR Data - preExcl'!AC$2:AC923,$R156,1))</f>
        <v/>
      </c>
      <c r="G156" s="145" t="str">
        <f t="array" ref="G156">IF(OR(ISBLANK(A156),C156),IFERROR(0/0,""),INDEX('RFR Data - preExcl'!AK$2:AK923,$R156,1))</f>
        <v/>
      </c>
      <c r="H156" s="145" t="str">
        <f t="array" ref="H156">IF(OR(ISBLANK(A156),C156),IFERROR(0/0,""),INDEX('RFR Data - preExcl'!AL$2:AL923,$R156,1))</f>
        <v/>
      </c>
      <c r="I156" s="146">
        <f>IFERROR(VLOOKUP($B156,'APS Tubes by Date IMPORT'!$B$2:$J923,2,FALSE),"")</f>
        <v>1</v>
      </c>
      <c r="J156" s="145" t="str">
        <f>IFERROR(VLOOKUP($B156,'APS Tubes by Date IMPORT'!$B$2:$J923,9,FALSE),"")</f>
        <v/>
      </c>
      <c r="K156" s="145">
        <f>IFNA(VLOOKUP($B156,'APS Tubes by Date IMPORT'!$B$2:$J923,6,FALSE),"")</f>
        <v>0</v>
      </c>
      <c r="L156" s="145"/>
      <c r="M156" s="145"/>
      <c r="N156" s="147">
        <v>6.1</v>
      </c>
      <c r="O156" s="143" t="str">
        <f t="shared" si="57"/>
        <v/>
      </c>
      <c r="P156" s="148" t="str">
        <f>IF(ISBLANK(N156),IFERROR(0/0,""),IFERROR(VLOOKUP(N156, 'Process Ref'!$A$76:$D$122, 2, FALSE), IFERROR(0/0,"")))</f>
        <v>No Run - APS Collect run next day</v>
      </c>
      <c r="Q156" s="143"/>
      <c r="R156" s="92" t="str">
        <f>IFNA(MATCH(A156,'RFR Data - preExcl'!A$2:A923,0),"")</f>
        <v/>
      </c>
      <c r="S156" s="54"/>
      <c r="T156" s="8" t="str">
        <f>IF(AND(NOT(ISBLANK(U156)),NOT(ISBLANK(V156)),NOT(ISBLANK(W156))),CONCATENATE("RUN-",'Process Ref'!$A$1,"_",TEXT(V156,"YYYY-MM-DD"),"_APS-",TEXT(W156,"000")),IFERROR(0/0,""))</f>
        <v>RUN-FLMP_2021-01-24_APS-012</v>
      </c>
      <c r="U156" s="14">
        <f t="shared" si="61"/>
        <v>44220</v>
      </c>
      <c r="V156" s="190">
        <v>44220.0</v>
      </c>
      <c r="W156" s="191">
        <f t="shared" si="62"/>
        <v>12</v>
      </c>
      <c r="X156" s="86"/>
      <c r="Z156" s="131"/>
      <c r="AA156" s="14"/>
      <c r="AG156" s="86"/>
      <c r="AJ156" s="86"/>
    </row>
    <row r="157">
      <c r="A157" s="8" t="s">
        <v>179</v>
      </c>
      <c r="B157" s="14">
        <v>44604.0</v>
      </c>
      <c r="C157" s="88" t="str">
        <f t="shared" si="2"/>
        <v/>
      </c>
      <c r="D157" s="16">
        <f t="array" ref="D157">IF(OR(ISBLANK($A157),$C157),IFERROR(0/0,""),INDEX('RFR Data - preExcl'!E$2:E923,$R157,1))</f>
        <v>6</v>
      </c>
      <c r="E157" s="16">
        <f t="array" ref="E157">IF(OR(ISBLANK($A157),$C157),IFERROR(0/0,""),INDEX('RFR Data - preExcl'!Z$2:Z923,$R157,1))</f>
        <v>8</v>
      </c>
      <c r="F157" s="16">
        <f t="array" ref="F157">IF(OR(ISBLANK(A157),C157),IFERROR(0/0,""),INDEX('RFR Data - preExcl'!AC$2:AC923,$R157,1))</f>
        <v>6</v>
      </c>
      <c r="G157" s="16">
        <f t="array" ref="G157">IF(OR(ISBLANK(A157),C157),IFERROR(0/0,""),INDEX('RFR Data - preExcl'!AK$2:AK923,$R157,1))</f>
        <v>3</v>
      </c>
      <c r="H157" s="16">
        <f t="array" ref="H157">IF(OR(ISBLANK(A157),C157),IFERROR(0/0,""),INDEX('RFR Data - preExcl'!AL$2:AL923,$R157,1))</f>
        <v>0</v>
      </c>
      <c r="I157" s="128">
        <f>IFERROR(VLOOKUP($B157,'APS Tubes by Date IMPORT'!$B$2:$J923,2,FALSE),"")</f>
        <v>2</v>
      </c>
      <c r="J157" s="16" t="b">
        <f>IFERROR(VLOOKUP($B157,'APS Tubes by Date IMPORT'!$B$2:$J923,9,FALSE),"")</f>
        <v>1</v>
      </c>
      <c r="K157" s="16">
        <f>IFNA(VLOOKUP($B157,'APS Tubes by Date IMPORT'!$B$2:$J923,6,FALSE),"")</f>
        <v>0</v>
      </c>
      <c r="L157" s="177">
        <f>G157</f>
        <v>3</v>
      </c>
      <c r="M157" s="21">
        <f>L157-I157-I156</f>
        <v>0</v>
      </c>
      <c r="N157" s="107">
        <v>6.0</v>
      </c>
      <c r="O157" s="30" t="str">
        <f t="shared" si="57"/>
        <v/>
      </c>
      <c r="P157" s="91" t="str">
        <f>IF(ISBLANK(N157),IFERROR(0/0,""),IFERROR(VLOOKUP(N157, 'Process Ref'!$A$76:$D$122, 2, FALSE), IFERROR(0/0,"")))</f>
        <v>Use Audit RFR - nets out with next or prev day</v>
      </c>
      <c r="Q157" s="194" t="s">
        <v>346</v>
      </c>
      <c r="R157" s="92">
        <f>IFNA(MATCH(A157,'RFR Data - preExcl'!A$2:A923,0),"")</f>
        <v>78</v>
      </c>
      <c r="S157" s="54"/>
      <c r="T157" s="8" t="str">
        <f>IF(AND(NOT(ISBLANK(U157)),NOT(ISBLANK(V157)),NOT(ISBLANK(W157))),CONCATENATE("RUN-",'Process Ref'!$A$1,"_",TEXT(V157,"YYYY-MM-DD"),"_APS-",TEXT(W157,"000")),IFERROR(0/0,""))</f>
        <v>RUN-FLMP_2021-01-25_APS-013</v>
      </c>
      <c r="U157" s="14">
        <f t="shared" si="61"/>
        <v>44221</v>
      </c>
      <c r="V157" s="190">
        <v>44221.0</v>
      </c>
      <c r="W157" s="191">
        <f t="shared" si="62"/>
        <v>13</v>
      </c>
      <c r="X157" s="86"/>
      <c r="Z157" s="131"/>
      <c r="AA157" s="14"/>
      <c r="AG157" s="86"/>
      <c r="AJ157" s="86"/>
    </row>
    <row r="158">
      <c r="A158" s="143"/>
      <c r="B158" s="73">
        <v>44605.0</v>
      </c>
      <c r="C158" s="144" t="str">
        <f t="shared" si="2"/>
        <v/>
      </c>
      <c r="D158" s="145" t="str">
        <f t="array" ref="D158">IF(OR(ISBLANK($A158),$C158),IFERROR(0/0,""),INDEX('RFR Data - preExcl'!E$2:E923,$R158,1))</f>
        <v/>
      </c>
      <c r="E158" s="145" t="str">
        <f t="array" ref="E158">IF(OR(ISBLANK($A158),$C158),IFERROR(0/0,""),INDEX('RFR Data - preExcl'!Z$2:Z923,$R158,1))</f>
        <v/>
      </c>
      <c r="F158" s="145" t="str">
        <f t="array" ref="F158">IF(OR(ISBLANK(A158),C158),IFERROR(0/0,""),INDEX('RFR Data - preExcl'!AC$2:AC923,$R158,1))</f>
        <v/>
      </c>
      <c r="G158" s="145" t="str">
        <f t="array" ref="G158">IF(OR(ISBLANK(A158),C158),IFERROR(0/0,""),INDEX('RFR Data - preExcl'!AK$2:AK923,$R158,1))</f>
        <v/>
      </c>
      <c r="H158" s="145" t="str">
        <f t="array" ref="H158">IF(OR(ISBLANK(A158),C158),IFERROR(0/0,""),INDEX('RFR Data - preExcl'!AL$2:AL923,$R158,1))</f>
        <v/>
      </c>
      <c r="I158" s="146">
        <f>IFERROR(VLOOKUP($B158,'APS Tubes by Date IMPORT'!$B$2:$J923,2,FALSE),"")</f>
        <v>4</v>
      </c>
      <c r="J158" s="145" t="str">
        <f>IFERROR(VLOOKUP($B158,'APS Tubes by Date IMPORT'!$B$2:$J923,9,FALSE),"")</f>
        <v/>
      </c>
      <c r="K158" s="145">
        <f>IFNA(VLOOKUP($B158,'APS Tubes by Date IMPORT'!$B$2:$J923,6,FALSE),"")</f>
        <v>0</v>
      </c>
      <c r="L158" s="145"/>
      <c r="M158" s="145"/>
      <c r="N158" s="147">
        <v>6.1</v>
      </c>
      <c r="O158" s="143" t="str">
        <f t="shared" si="57"/>
        <v/>
      </c>
      <c r="P158" s="148" t="str">
        <f>IF(ISBLANK(N158),IFERROR(0/0,""),IFERROR(VLOOKUP(N158, 'Process Ref'!$A$76:$D$122, 2, FALSE), IFERROR(0/0,"")))</f>
        <v>No Run - APS Collect run next day</v>
      </c>
      <c r="Q158" s="143"/>
      <c r="R158" s="92" t="str">
        <f>IFNA(MATCH(A158,'RFR Data - preExcl'!A$2:A923,0),"")</f>
        <v/>
      </c>
      <c r="S158" s="54"/>
      <c r="T158" s="8" t="str">
        <f>IF(AND(NOT(ISBLANK(U158)),NOT(ISBLANK(V158)),NOT(ISBLANK(W158))),CONCATENATE("RUN-",'Process Ref'!$A$1,"_",TEXT(V158,"YYYY-MM-DD"),"_APS-",TEXT(W158,"000")),IFERROR(0/0,""))</f>
        <v>RUN-FLMP_2021-01-26_APS-014</v>
      </c>
      <c r="U158" s="14">
        <f t="shared" si="61"/>
        <v>44222</v>
      </c>
      <c r="V158" s="190">
        <v>44222.0</v>
      </c>
      <c r="W158" s="191">
        <f t="shared" si="62"/>
        <v>14</v>
      </c>
      <c r="X158" s="86"/>
      <c r="Z158" s="131"/>
      <c r="AA158" s="14"/>
      <c r="AG158" s="86"/>
      <c r="AJ158" s="86"/>
    </row>
    <row r="159">
      <c r="A159" s="8" t="s">
        <v>180</v>
      </c>
      <c r="B159" s="14">
        <v>44606.0</v>
      </c>
      <c r="C159" s="88" t="str">
        <f t="shared" si="2"/>
        <v/>
      </c>
      <c r="D159" s="16">
        <f t="array" ref="D159">IF(OR(ISBLANK($A159),$C159),IFERROR(0/0,""),INDEX('RFR Data - preExcl'!E$2:E923,$R159,1))</f>
        <v>29</v>
      </c>
      <c r="E159" s="16">
        <f t="array" ref="E159">IF(OR(ISBLANK($A159),$C159),IFERROR(0/0,""),INDEX('RFR Data - preExcl'!Z$2:Z923,$R159,1))</f>
        <v>31</v>
      </c>
      <c r="F159" s="16">
        <f t="array" ref="F159">IF(OR(ISBLANK(A159),C159),IFERROR(0/0,""),INDEX('RFR Data - preExcl'!AC$2:AC923,$R159,1))</f>
        <v>29</v>
      </c>
      <c r="G159" s="16">
        <f t="array" ref="G159">IF(OR(ISBLANK(A159),C159),IFERROR(0/0,""),INDEX('RFR Data - preExcl'!AK$2:AK923,$R159,1))</f>
        <v>29</v>
      </c>
      <c r="H159" s="16">
        <f t="array" ref="H159">IF(OR(ISBLANK(A159),C159),IFERROR(0/0,""),INDEX('RFR Data - preExcl'!AL$2:AL923,$R159,1))</f>
        <v>2</v>
      </c>
      <c r="I159" s="128">
        <f>IFERROR(VLOOKUP($B159,'APS Tubes by Date IMPORT'!$B$2:$J923,2,FALSE),"")</f>
        <v>22</v>
      </c>
      <c r="J159" s="16"/>
      <c r="K159" s="16">
        <f>IFNA(VLOOKUP($B159,'APS Tubes by Date IMPORT'!$B$2:$J923,6,FALSE),"")</f>
        <v>0</v>
      </c>
      <c r="L159" s="193">
        <v>26.0</v>
      </c>
      <c r="M159" s="21">
        <f>L159-I159-I158</f>
        <v>0</v>
      </c>
      <c r="N159" s="136">
        <v>10.0</v>
      </c>
      <c r="O159" s="30" t="str">
        <f t="shared" si="57"/>
        <v/>
      </c>
      <c r="P159" s="91" t="str">
        <f>IF(ISBLANK(N159),IFERROR(0/0,""),IFERROR(VLOOKUP(N159, 'Process Ref'!$A$76:$D$122, 2, FALSE), IFERROR(0/0,"")))</f>
        <v>see Notes for reason</v>
      </c>
      <c r="Q159" s="18" t="s">
        <v>347</v>
      </c>
      <c r="R159" s="92">
        <f>IFNA(MATCH(A159,'RFR Data - preExcl'!A$2:A923,0),"")</f>
        <v>79</v>
      </c>
      <c r="S159" s="54"/>
      <c r="T159" s="8" t="str">
        <f>IF(AND(NOT(ISBLANK(U159)),NOT(ISBLANK(V159)),NOT(ISBLANK(W159))),CONCATENATE("RUN-",'Process Ref'!$A$1,"_",TEXT(V159,"YYYY-MM-DD"),"_APS-",TEXT(W159,"000")),IFERROR(0/0,""))</f>
        <v>RUN-FLMP_2021-01-27_APS-015</v>
      </c>
      <c r="U159" s="14">
        <f t="shared" si="61"/>
        <v>44223</v>
      </c>
      <c r="V159" s="190">
        <v>44223.0</v>
      </c>
      <c r="W159" s="191">
        <f t="shared" si="62"/>
        <v>15</v>
      </c>
      <c r="X159" s="86"/>
      <c r="Z159" s="131"/>
      <c r="AA159" s="14"/>
      <c r="AG159" s="86"/>
      <c r="AJ159" s="86"/>
    </row>
    <row r="160">
      <c r="A160" s="143"/>
      <c r="B160" s="73">
        <v>44608.0</v>
      </c>
      <c r="C160" s="144" t="str">
        <f t="shared" si="2"/>
        <v/>
      </c>
      <c r="D160" s="145" t="str">
        <f t="array" ref="D160">IF(OR(ISBLANK($A160),$C160),IFERROR(0/0,""),INDEX('RFR Data - preExcl'!E$2:E923,$R160,1))</f>
        <v/>
      </c>
      <c r="E160" s="145" t="str">
        <f t="array" ref="E160">IF(OR(ISBLANK($A160),$C160),IFERROR(0/0,""),INDEX('RFR Data - preExcl'!Z$2:Z923,$R160,1))</f>
        <v/>
      </c>
      <c r="F160" s="145" t="str">
        <f t="array" ref="F160">IF(OR(ISBLANK(A160),C160),IFERROR(0/0,""),INDEX('RFR Data - preExcl'!AC$2:AC923,$R160,1))</f>
        <v/>
      </c>
      <c r="G160" s="145" t="str">
        <f t="array" ref="G160">IF(OR(ISBLANK(A160),C160),IFERROR(0/0,""),INDEX('RFR Data - preExcl'!AK$2:AK923,$R160,1))</f>
        <v/>
      </c>
      <c r="H160" s="145" t="str">
        <f t="array" ref="H160">IF(OR(ISBLANK(A160),C160),IFERROR(0/0,""),INDEX('RFR Data - preExcl'!AL$2:AL923,$R160,1))</f>
        <v/>
      </c>
      <c r="I160" s="146">
        <f>IFERROR(VLOOKUP($B160,'APS Tubes by Date IMPORT'!$B$2:$J923,2,FALSE),"")</f>
        <v>3</v>
      </c>
      <c r="J160" s="145" t="str">
        <f>IFERROR(VLOOKUP($B160,'APS Tubes by Date IMPORT'!$B$2:$J923,9,FALSE),"")</f>
        <v/>
      </c>
      <c r="K160" s="145">
        <f>IFNA(VLOOKUP($B160,'APS Tubes by Date IMPORT'!$B$2:$J923,6,FALSE),"")</f>
        <v>0</v>
      </c>
      <c r="L160" s="147"/>
      <c r="M160" s="145"/>
      <c r="N160" s="147">
        <v>6.1</v>
      </c>
      <c r="O160" s="143" t="str">
        <f t="shared" si="57"/>
        <v/>
      </c>
      <c r="P160" s="148" t="str">
        <f>IF(ISBLANK(N160),IFERROR(0/0,""),IFERROR(VLOOKUP(N160, 'Process Ref'!$A$76:$D$122, 2, FALSE), IFERROR(0/0,"")))</f>
        <v>No Run - APS Collect run next day</v>
      </c>
      <c r="Q160" s="143"/>
      <c r="R160" s="92" t="str">
        <f>IFNA(MATCH(A160,'RFR Data - preExcl'!A$2:A923,0),"")</f>
        <v/>
      </c>
      <c r="S160" s="54"/>
      <c r="T160" s="8" t="str">
        <f>IF(AND(NOT(ISBLANK(U160)),NOT(ISBLANK(V160)),NOT(ISBLANK(W160))),CONCATENATE("RUN-",'Process Ref'!$A$1,"_",TEXT(V160,"YYYY-MM-DD"),"_APS-",TEXT(W160,"000")),IFERROR(0/0,""))</f>
        <v>RUN-FLMP_2021-01-28_APS-016</v>
      </c>
      <c r="U160" s="14">
        <f t="shared" si="61"/>
        <v>44224</v>
      </c>
      <c r="V160" s="190">
        <v>44224.0</v>
      </c>
      <c r="W160" s="191">
        <f t="shared" si="62"/>
        <v>16</v>
      </c>
      <c r="X160" s="86"/>
      <c r="Z160" s="131"/>
      <c r="AA160" s="14"/>
      <c r="AG160" s="86"/>
      <c r="AJ160" s="86"/>
    </row>
    <row r="161">
      <c r="A161" s="8" t="s">
        <v>181</v>
      </c>
      <c r="B161" s="14">
        <v>44609.0</v>
      </c>
      <c r="C161" s="88" t="str">
        <f t="shared" si="2"/>
        <v/>
      </c>
      <c r="D161" s="16">
        <f t="array" ref="D161">IF(OR(ISBLANK($A161),$C161),IFERROR(0/0,""),INDEX('RFR Data - preExcl'!E$2:E923,$R161,1))</f>
        <v>27</v>
      </c>
      <c r="E161" s="16" t="str">
        <f t="array" ref="E161">IF(OR(ISBLANK($A161),$C161),IFERROR(0/0,""),INDEX('RFR Data - preExcl'!Z$2:Z923,$R161,1))</f>
        <v/>
      </c>
      <c r="F161" s="16">
        <f t="array" ref="F161">IF(OR(ISBLANK(A161),C161),IFERROR(0/0,""),INDEX('RFR Data - preExcl'!AC$2:AC923,$R161,1))</f>
        <v>30</v>
      </c>
      <c r="G161" s="16">
        <f t="array" ref="G161">IF(OR(ISBLANK(A161),C161),IFERROR(0/0,""),INDEX('RFR Data - preExcl'!AK$2:AK923,$R161,1))</f>
        <v>27</v>
      </c>
      <c r="H161" s="16">
        <f t="array" ref="H161">IF(OR(ISBLANK(A161),C161),IFERROR(0/0,""),INDEX('RFR Data - preExcl'!AL$2:AL923,$R161,1))</f>
        <v>0</v>
      </c>
      <c r="I161" s="128">
        <f>IFERROR(VLOOKUP($B161,'APS Tubes by Date IMPORT'!$B$2:$J923,2,FALSE),"")</f>
        <v>23</v>
      </c>
      <c r="J161" s="16" t="b">
        <f>IFERROR(VLOOKUP($B161,'APS Tubes by Date IMPORT'!$B$2:$J923,9,FALSE),"")</f>
        <v>1</v>
      </c>
      <c r="K161" s="16">
        <f>IFNA(VLOOKUP($B161,'APS Tubes by Date IMPORT'!$B$2:$J923,6,FALSE),"")</f>
        <v>0</v>
      </c>
      <c r="L161" s="177">
        <f>G161</f>
        <v>27</v>
      </c>
      <c r="M161" s="21">
        <f>L161-I161-I160</f>
        <v>1</v>
      </c>
      <c r="N161" s="115">
        <v>9.0</v>
      </c>
      <c r="O161" s="30" t="str">
        <f t="shared" si="57"/>
        <v/>
      </c>
      <c r="P161" s="91" t="str">
        <f>IF(ISBLANK(N161),IFERROR(0/0,""),IFERROR(VLOOKUP(N161, 'Process Ref'!$A$76:$D$122, 2, FALSE), IFERROR(0/0,"")))</f>
        <v>Entire run in RFR not in Appivo</v>
      </c>
      <c r="Q161" s="18" t="s">
        <v>348</v>
      </c>
      <c r="R161" s="92">
        <f>IFNA(MATCH(A161,'RFR Data - preExcl'!A$2:A923,0),"")</f>
        <v>80</v>
      </c>
      <c r="S161" s="54"/>
      <c r="T161" s="8" t="str">
        <f>IF(AND(NOT(ISBLANK(U161)),NOT(ISBLANK(V161)),NOT(ISBLANK(W161))),CONCATENATE("RUN-",'Process Ref'!$A$1,"_",TEXT(V161,"YYYY-MM-DD"),"_APS-",TEXT(W161,"000")),IFERROR(0/0,""))</f>
        <v>RUN-FLMP_2021-01-29_APS-017</v>
      </c>
      <c r="U161" s="14">
        <f t="shared" si="61"/>
        <v>44225</v>
      </c>
      <c r="V161" s="190">
        <v>44225.0</v>
      </c>
      <c r="W161" s="191">
        <f t="shared" si="62"/>
        <v>17</v>
      </c>
      <c r="X161" s="86"/>
      <c r="Z161" s="131"/>
      <c r="AA161" s="14"/>
      <c r="AG161" s="86"/>
      <c r="AJ161" s="86"/>
    </row>
    <row r="162">
      <c r="A162" s="8" t="s">
        <v>182</v>
      </c>
      <c r="B162" s="14">
        <v>44610.0</v>
      </c>
      <c r="C162" s="88" t="b">
        <f t="shared" si="2"/>
        <v>1</v>
      </c>
      <c r="D162" s="16" t="str">
        <f t="array" ref="D162">IF(OR(ISBLANK($A162),$C162),IFERROR(0/0,""),INDEX('RFR Data - preExcl'!E$2:E923,$R162,1))</f>
        <v/>
      </c>
      <c r="E162" s="16" t="str">
        <f t="array" ref="E162">IF(OR(ISBLANK($A162),$C162),IFERROR(0/0,""),INDEX('RFR Data - preExcl'!Z$2:Z923,$R162,1))</f>
        <v/>
      </c>
      <c r="F162" s="16" t="str">
        <f t="array" ref="F162">IF(OR(ISBLANK(A162),C162),IFERROR(0/0,""),INDEX('RFR Data - preExcl'!AC$2:AC923,$R162,1))</f>
        <v/>
      </c>
      <c r="G162" s="16" t="str">
        <f t="array" ref="G162">IF(OR(ISBLANK(A162),C162),IFERROR(0/0,""),INDEX('RFR Data - preExcl'!AK$2:AK923,$R162,1))</f>
        <v/>
      </c>
      <c r="H162" s="16" t="str">
        <f t="array" ref="H162">IF(OR(ISBLANK(A162),C162),IFERROR(0/0,""),INDEX('RFR Data - preExcl'!AL$2:AL923,$R162,1))</f>
        <v/>
      </c>
      <c r="I162" s="16">
        <f>IFERROR(VLOOKUP($B162,'APS Tubes by Date IMPORT'!$B$2:$J923,2,FALSE),"")</f>
        <v>1</v>
      </c>
      <c r="J162" s="16" t="b">
        <f>IFERROR(VLOOKUP($B162,'APS Tubes by Date IMPORT'!$B$2:$J923,9,FALSE),"")</f>
        <v>1</v>
      </c>
      <c r="K162" s="16">
        <f>IFNA(VLOOKUP($B162,'APS Tubes by Date IMPORT'!$B$2:$J923,6,FALSE),"")</f>
        <v>0</v>
      </c>
      <c r="L162" s="187">
        <f>I162</f>
        <v>1</v>
      </c>
      <c r="M162" s="156">
        <f>L162-I162</f>
        <v>0</v>
      </c>
      <c r="N162" s="188">
        <v>3.4</v>
      </c>
      <c r="O162" s="30" t="b">
        <f t="shared" si="57"/>
        <v>1</v>
      </c>
      <c r="P162" s="91" t="str">
        <f>IF(ISBLANK(N162),IFERROR(0/0,""),IFERROR(VLOOKUP(N162, 'Process Ref'!$A$76:$D$122, 2, FALSE), IFERROR(0/0,"")))</f>
        <v>Add Run from APS with no RFR (assume run on same day as Collect, ignore Result day)</v>
      </c>
      <c r="Q162" s="18" t="s">
        <v>341</v>
      </c>
      <c r="R162" s="92" t="str">
        <f>IFNA(MATCH(A162,'RFR Data - preExcl'!A$2:A923,0),"")</f>
        <v/>
      </c>
      <c r="S162" s="54"/>
      <c r="T162" s="8" t="str">
        <f>IF(AND(NOT(ISBLANK(U162)),NOT(ISBLANK(V162)),NOT(ISBLANK(W162))),CONCATENATE("RUN-",'Process Ref'!$A$1,"_",TEXT(V162,"YYYY-MM-DD"),"_APS-",TEXT(W162,"000")),IFERROR(0/0,""))</f>
        <v>RUN-FLMP_2021-01-31_APS-018</v>
      </c>
      <c r="U162" s="14">
        <f t="shared" si="61"/>
        <v>44227</v>
      </c>
      <c r="V162" s="190">
        <v>44227.0</v>
      </c>
      <c r="W162" s="191">
        <f t="shared" si="62"/>
        <v>18</v>
      </c>
      <c r="X162" s="86"/>
      <c r="Z162" s="131"/>
      <c r="AA162" s="14"/>
      <c r="AG162" s="86"/>
      <c r="AJ162" s="86"/>
    </row>
    <row r="163">
      <c r="A163" s="143"/>
      <c r="B163" s="73">
        <v>44616.0</v>
      </c>
      <c r="C163" s="144" t="str">
        <f t="shared" si="2"/>
        <v/>
      </c>
      <c r="D163" s="145" t="str">
        <f t="array" ref="D163">IF(OR(ISBLANK($A163),$C163),IFERROR(0/0,""),INDEX('RFR Data - preExcl'!E$2:E923,$R163,1))</f>
        <v/>
      </c>
      <c r="E163" s="145"/>
      <c r="F163" s="145" t="str">
        <f t="array" ref="F163">IF(OR(ISBLANK(A163),C163),IFERROR(0/0,""),INDEX('RFR Data - preExcl'!AC$2:AC923,$R163,1))</f>
        <v/>
      </c>
      <c r="G163" s="145" t="str">
        <f t="array" ref="G163">IF(OR(ISBLANK(A163),C163),IFERROR(0/0,""),INDEX('RFR Data - preExcl'!AK$2:AK923,$R163,1))</f>
        <v/>
      </c>
      <c r="H163" s="145" t="str">
        <f t="array" ref="H163">IF(OR(ISBLANK(A163),C163),IFERROR(0/0,""),INDEX('RFR Data - preExcl'!AL$2:AL923,$R163,1))</f>
        <v/>
      </c>
      <c r="I163" s="146">
        <f>IFERROR(VLOOKUP($B163,'APS Tubes by Date IMPORT'!$B$2:$J923,2,FALSE),"")</f>
        <v>1</v>
      </c>
      <c r="J163" s="145" t="str">
        <f>IFERROR(VLOOKUP($B163,'APS Tubes by Date IMPORT'!$B$2:$J923,9,FALSE),"")</f>
        <v/>
      </c>
      <c r="K163" s="145">
        <f>IFNA(VLOOKUP($B163,'APS Tubes by Date IMPORT'!$B$2:$J923,6,FALSE),"")</f>
        <v>0</v>
      </c>
      <c r="L163" s="145"/>
      <c r="M163" s="145"/>
      <c r="N163" s="147">
        <v>6.2</v>
      </c>
      <c r="O163" s="143" t="str">
        <f t="shared" si="57"/>
        <v/>
      </c>
      <c r="P163" s="148" t="str">
        <f>IF(ISBLANK(N163),IFERROR(0/0,""),IFERROR(VLOOKUP(N163, 'Process Ref'!$A$76:$D$122, 2, FALSE), IFERROR(0/0,"")))</f>
        <v>No Run - APS Collect run 2 or more days later</v>
      </c>
      <c r="Q163" s="149" t="s">
        <v>349</v>
      </c>
      <c r="R163" s="92" t="str">
        <f>IFNA(MATCH(A163,'RFR Data - preExcl'!A$2:A923,0),"")</f>
        <v/>
      </c>
      <c r="S163" s="54"/>
      <c r="T163" s="8" t="str">
        <f>IF(AND(NOT(ISBLANK(U163)),NOT(ISBLANK(V163)),NOT(ISBLANK(W163))),CONCATENATE("RUN-",'Process Ref'!$A$1,"_",TEXT(V163,"YYYY-MM-DD"),"_APS-",TEXT(W163,"000")),IFERROR(0/0,""))</f>
        <v>RUN-FLMP_2021-02-01_APS-019</v>
      </c>
      <c r="U163" s="14">
        <f t="shared" si="61"/>
        <v>44228</v>
      </c>
      <c r="V163" s="190">
        <v>44228.0</v>
      </c>
      <c r="W163" s="191">
        <f t="shared" si="62"/>
        <v>19</v>
      </c>
      <c r="X163" s="86"/>
      <c r="Z163" s="131"/>
      <c r="AA163" s="14"/>
      <c r="AG163" s="86"/>
      <c r="AJ163" s="86"/>
    </row>
    <row r="164">
      <c r="A164" s="8" t="s">
        <v>183</v>
      </c>
      <c r="B164" s="14">
        <v>44619.0</v>
      </c>
      <c r="C164" s="88" t="str">
        <f t="shared" si="2"/>
        <v/>
      </c>
      <c r="D164" s="117">
        <f t="array" ref="D164">IF(OR(ISBLANK($A164),$C164),IFERROR(0/0,""),INDEX('RFR Data - preExcl'!E$2:E923,$R164,1))</f>
        <v>21</v>
      </c>
      <c r="E164" s="16">
        <f t="array" ref="E164">IF(OR(ISBLANK($A164),$C164),IFERROR(0/0,""),INDEX('RFR Data - preExcl'!Z$2:Z923,$R164,1))</f>
        <v>23</v>
      </c>
      <c r="F164" s="16">
        <f t="array" ref="F164">IF(OR(ISBLANK(A164),C164),IFERROR(0/0,""),INDEX('RFR Data - preExcl'!AC$2:AC923,$R164,1))</f>
        <v>22</v>
      </c>
      <c r="G164" s="117">
        <f t="array" ref="G164">IF(OR(ISBLANK(A164),C164),IFERROR(0/0,""),INDEX('RFR Data - preExcl'!AK$2:AK923,$R164,1))</f>
        <v>21</v>
      </c>
      <c r="H164" s="16">
        <f t="array" ref="H164">IF(OR(ISBLANK(A164),C164),IFERROR(0/0,""),INDEX('RFR Data - preExcl'!AL$2:AL923,$R164,1))</f>
        <v>1.2</v>
      </c>
      <c r="I164" s="128">
        <f>IFERROR(VLOOKUP($B164,'APS Tubes by Date IMPORT'!$B$2:$J923,2,FALSE),"")</f>
        <v>20</v>
      </c>
      <c r="J164" s="16" t="b">
        <f>IFERROR(VLOOKUP($B164,'APS Tubes by Date IMPORT'!$B$2:$J923,9,FALSE),"")</f>
        <v>1</v>
      </c>
      <c r="K164" s="16">
        <f>IFNA(VLOOKUP($B164,'APS Tubes by Date IMPORT'!$B$2:$J923,6,FALSE),"")</f>
        <v>0</v>
      </c>
      <c r="L164" s="115">
        <v>21.0</v>
      </c>
      <c r="M164" s="21">
        <f>L164-I164-I163</f>
        <v>0</v>
      </c>
      <c r="N164" s="107">
        <v>6.0</v>
      </c>
      <c r="O164" s="30" t="str">
        <f t="shared" si="57"/>
        <v/>
      </c>
      <c r="P164" s="91" t="str">
        <f>IF(ISBLANK(N164),IFERROR(0/0,""),IFERROR(VLOOKUP(N164, 'Process Ref'!$A$76:$D$122, 2, FALSE), IFERROR(0/0,"")))</f>
        <v>Use Audit RFR - nets out with next or prev day</v>
      </c>
      <c r="Q164" s="18" t="s">
        <v>350</v>
      </c>
      <c r="R164" s="92">
        <f>IFNA(MATCH(A164,'RFR Data - preExcl'!A$2:A923,0),"")</f>
        <v>81</v>
      </c>
      <c r="S164" s="54"/>
      <c r="T164" s="8" t="str">
        <f>IF(AND(NOT(ISBLANK(U164)),NOT(ISBLANK(V164)),NOT(ISBLANK(W164))),CONCATENATE("RUN-",'Process Ref'!$A$1,"_",TEXT(V164,"YYYY-MM-DD"),"_APS-",TEXT(W164,"000")),IFERROR(0/0,""))</f>
        <v>RUN-FLMP_2021-02-04_APS-020</v>
      </c>
      <c r="U164" s="14">
        <f t="shared" si="61"/>
        <v>44231</v>
      </c>
      <c r="V164" s="190">
        <v>44231.0</v>
      </c>
      <c r="W164" s="191">
        <f t="shared" si="62"/>
        <v>20</v>
      </c>
      <c r="X164" s="86"/>
      <c r="Z164" s="131"/>
      <c r="AA164" s="14"/>
      <c r="AG164" s="86"/>
      <c r="AJ164" s="86"/>
    </row>
    <row r="165">
      <c r="A165" s="19" t="s">
        <v>184</v>
      </c>
      <c r="B165" s="154">
        <v>44623.0</v>
      </c>
      <c r="C165" s="155" t="str">
        <f t="shared" si="2"/>
        <v/>
      </c>
      <c r="D165" s="156">
        <f t="array" ref="D165">IF(OR(ISBLANK($A165),$C165),IFERROR(0/0,""),INDEX('RFR Data - preExcl'!E$2:E923,$R165,1))</f>
        <v>25</v>
      </c>
      <c r="E165" s="156">
        <f t="array" ref="E165">IF(OR(ISBLANK($A165),$C165),IFERROR(0/0,""),INDEX('RFR Data - preExcl'!Z$2:Z923,$R165,1))</f>
        <v>27</v>
      </c>
      <c r="F165" s="156">
        <f t="array" ref="F165">IF(OR(ISBLANK(A165),C165),IFERROR(0/0,""),INDEX('RFR Data - preExcl'!AC$2:AC923,$R165,1))</f>
        <v>25</v>
      </c>
      <c r="G165" s="156">
        <f t="array" ref="G165">IF(OR(ISBLANK(A165),C165),IFERROR(0/0,""),INDEX('RFR Data - preExcl'!AK$2:AK923,$R165,1))</f>
        <v>25</v>
      </c>
      <c r="H165" s="156">
        <f t="array" ref="H165">IF(OR(ISBLANK(A165),C165),IFERROR(0/0,""),INDEX('RFR Data - preExcl'!AL$2:AL923,$R165,1))</f>
        <v>1.1</v>
      </c>
      <c r="I165" s="16">
        <f>IFERROR(VLOOKUP($B165,'APS Tubes by Date IMPORT'!$B$2:$J923,2,FALSE),"")</f>
        <v>25</v>
      </c>
      <c r="J165" s="156" t="str">
        <f>IFERROR(VLOOKUP($B165,'APS Tubes by Date IMPORT'!$B$2:$J923,9,FALSE),"")</f>
        <v/>
      </c>
      <c r="K165" s="156">
        <f>IFNA(VLOOKUP($B165,'APS Tubes by Date IMPORT'!$B$2:$J923,6,FALSE),"")</f>
        <v>0</v>
      </c>
      <c r="L165" s="195">
        <f>G165</f>
        <v>25</v>
      </c>
      <c r="M165" s="196">
        <f>L165-I165</f>
        <v>0</v>
      </c>
      <c r="N165" s="197">
        <v>1.0</v>
      </c>
      <c r="O165" s="158" t="b">
        <f t="shared" si="57"/>
        <v>1</v>
      </c>
      <c r="P165" s="159" t="str">
        <f>IF(ISBLANK(N165),IFERROR(0/0,""),IFERROR(VLOOKUP(N165, 'Process Ref'!$A$76:$D$122, 2, FALSE), IFERROR(0/0,"")))</f>
        <v>Use APS Collect = RFR (diff APS Result count but nets out)</v>
      </c>
      <c r="Q165" s="160" t="s">
        <v>351</v>
      </c>
      <c r="R165" s="161">
        <f>IFNA(MATCH(A165,'RFR Data - preExcl'!A$2:A923,0),"")</f>
        <v>83</v>
      </c>
      <c r="S165" s="173"/>
      <c r="T165" s="8" t="str">
        <f>IF(AND(NOT(ISBLANK(U165)),NOT(ISBLANK(V165)),NOT(ISBLANK(W165))),CONCATENATE("RUN-",'Process Ref'!$A$1,"_",TEXT(V165,"YYYY-MM-DD"),"_APS-",TEXT(W165,"000")),IFERROR(0/0,""))</f>
        <v>RUN-FLMP_2021-02-05_APS-021</v>
      </c>
      <c r="U165" s="14">
        <f t="shared" si="61"/>
        <v>44232</v>
      </c>
      <c r="V165" s="190">
        <v>44232.0</v>
      </c>
      <c r="W165" s="191">
        <f t="shared" si="62"/>
        <v>21</v>
      </c>
      <c r="X165" s="86"/>
      <c r="Z165" s="131"/>
      <c r="AA165" s="14"/>
      <c r="AG165" s="86"/>
      <c r="AJ165" s="86"/>
    </row>
    <row r="166">
      <c r="A166" s="143"/>
      <c r="B166" s="73">
        <v>44626.0</v>
      </c>
      <c r="C166" s="144" t="str">
        <f t="shared" si="2"/>
        <v/>
      </c>
      <c r="D166" s="145" t="str">
        <f t="array" ref="D166">IF(OR(ISBLANK($A166),$C166),IFERROR(0/0,""),INDEX('RFR Data - preExcl'!E$2:E923,$R166,1))</f>
        <v/>
      </c>
      <c r="E166" s="145" t="str">
        <f t="array" ref="E166">IF(OR(ISBLANK($A166),$C166),IFERROR(0/0,""),INDEX('RFR Data - preExcl'!Z$2:Z923,$R166,1))</f>
        <v/>
      </c>
      <c r="F166" s="145" t="str">
        <f t="array" ref="F166">IF(OR(ISBLANK(A166),C166),IFERROR(0/0,""),INDEX('RFR Data - preExcl'!AC$2:AC923,$R166,1))</f>
        <v/>
      </c>
      <c r="G166" s="145" t="str">
        <f t="array" ref="G166">IF(OR(ISBLANK(A166),C166),IFERROR(0/0,""),INDEX('RFR Data - preExcl'!AK$2:AK923,$R166,1))</f>
        <v/>
      </c>
      <c r="H166" s="145" t="str">
        <f t="array" ref="H166">IF(OR(ISBLANK(A166),C166),IFERROR(0/0,""),INDEX('RFR Data - preExcl'!AL$2:AL923,$R166,1))</f>
        <v/>
      </c>
      <c r="I166" s="146">
        <f>IFERROR(VLOOKUP($B166,'APS Tubes by Date IMPORT'!$B$2:$J923,2,FALSE),"")</f>
        <v>5</v>
      </c>
      <c r="J166" s="145" t="str">
        <f>IFERROR(VLOOKUP($B166,'APS Tubes by Date IMPORT'!$B$2:$J923,9,FALSE),"")</f>
        <v/>
      </c>
      <c r="K166" s="145">
        <f>IFNA(VLOOKUP($B166,'APS Tubes by Date IMPORT'!$B$2:$J923,6,FALSE),"")</f>
        <v>0</v>
      </c>
      <c r="L166" s="145"/>
      <c r="M166" s="145"/>
      <c r="N166" s="147">
        <v>6.1</v>
      </c>
      <c r="O166" s="143" t="str">
        <f t="shared" si="57"/>
        <v/>
      </c>
      <c r="P166" s="148" t="str">
        <f>IF(ISBLANK(N166),IFERROR(0/0,""),IFERROR(VLOOKUP(N166, 'Process Ref'!$A$76:$D$122, 2, FALSE), IFERROR(0/0,"")))</f>
        <v>No Run - APS Collect run next day</v>
      </c>
      <c r="Q166" s="143"/>
      <c r="R166" s="92" t="str">
        <f>IFNA(MATCH(A166,'RFR Data - preExcl'!A$2:A923,0),"")</f>
        <v/>
      </c>
      <c r="S166" s="54"/>
      <c r="T166" s="8" t="str">
        <f>IF(AND(NOT(ISBLANK(U166)),NOT(ISBLANK(V166)),NOT(ISBLANK(W166))),CONCATENATE("RUN-",'Process Ref'!$A$1,"_",TEXT(V166,"YYYY-MM-DD"),"_APS-",TEXT(W166,"000")),IFERROR(0/0,""))</f>
        <v>RUN-FLMP_2021-02-07_APS-022</v>
      </c>
      <c r="U166" s="14">
        <f t="shared" si="61"/>
        <v>44234</v>
      </c>
      <c r="V166" s="190">
        <v>44234.0</v>
      </c>
      <c r="W166" s="191">
        <f t="shared" si="62"/>
        <v>22</v>
      </c>
      <c r="X166" s="86"/>
      <c r="Z166" s="131"/>
      <c r="AA166" s="14"/>
      <c r="AG166" s="86"/>
      <c r="AJ166" s="86"/>
    </row>
    <row r="167">
      <c r="A167" s="8" t="s">
        <v>185</v>
      </c>
      <c r="B167" s="14">
        <v>44627.0</v>
      </c>
      <c r="C167" s="88" t="str">
        <f t="shared" si="2"/>
        <v/>
      </c>
      <c r="D167" s="16">
        <f t="array" ref="D167">IF(OR(ISBLANK($A167),$C167),IFERROR(0/0,""),INDEX('RFR Data - preExcl'!E$2:E923,$R167,1))</f>
        <v>26</v>
      </c>
      <c r="E167" s="16">
        <f t="array" ref="E167">IF(OR(ISBLANK($A167),$C167),IFERROR(0/0,""),INDEX('RFR Data - preExcl'!Z$2:Z923,$R167,1))</f>
        <v>28</v>
      </c>
      <c r="F167" s="16">
        <f t="array" ref="F167">IF(OR(ISBLANK(A167),C167),IFERROR(0/0,""),INDEX('RFR Data - preExcl'!AC$2:AC923,$R167,1))</f>
        <v>26</v>
      </c>
      <c r="G167" s="16">
        <f t="array" ref="G167">IF(OR(ISBLANK(A167),C167),IFERROR(0/0,""),INDEX('RFR Data - preExcl'!AK$2:AK923,$R167,1))</f>
        <v>26</v>
      </c>
      <c r="H167" s="16">
        <f t="array" ref="H167">IF(OR(ISBLANK(A167),C167),IFERROR(0/0,""),INDEX('RFR Data - preExcl'!AL$2:AL923,$R167,1))</f>
        <v>1.1</v>
      </c>
      <c r="I167" s="128">
        <f>IFERROR(VLOOKUP($B167,'APS Tubes by Date IMPORT'!$B$2:$J923,2,FALSE),"")</f>
        <v>18</v>
      </c>
      <c r="J167" s="16" t="b">
        <f>IFERROR(VLOOKUP($B167,'APS Tubes by Date IMPORT'!$B$2:$J923,9,FALSE),"")</f>
        <v>1</v>
      </c>
      <c r="K167" s="16">
        <f>IFNA(VLOOKUP($B167,'APS Tubes by Date IMPORT'!$B$2:$J923,6,FALSE),"")</f>
        <v>0</v>
      </c>
      <c r="L167" s="177">
        <f>G167</f>
        <v>26</v>
      </c>
      <c r="M167" s="21">
        <f>L167-I167-I166</f>
        <v>3</v>
      </c>
      <c r="N167" s="116">
        <v>2.0</v>
      </c>
      <c r="O167" s="30" t="b">
        <f t="shared" si="57"/>
        <v>1</v>
      </c>
      <c r="P167" s="91" t="str">
        <f>IF(ISBLANK(N167),IFERROR(0/0,""),IFERROR(VLOOKUP(N167, 'Process Ref'!$A$76:$D$122, 2, FALSE), IFERROR(0/0,"")))</f>
        <v>Use Audit RFR count (extra tubes in RFR not in Appivo)</v>
      </c>
      <c r="Q167" s="18" t="s">
        <v>352</v>
      </c>
      <c r="R167" s="92">
        <f>IFNA(MATCH(A167,'RFR Data - preExcl'!A$2:A923,0),"")</f>
        <v>85</v>
      </c>
      <c r="S167" s="54"/>
      <c r="T167" s="8" t="str">
        <f>IF(AND(NOT(ISBLANK(U167)),NOT(ISBLANK(V167)),NOT(ISBLANK(W167))),CONCATENATE("RUN-",'Process Ref'!$A$1,"_",TEXT(V167,"YYYY-MM-DD"),"_APS-",TEXT(W167,"000")),IFERROR(0/0,""))</f>
        <v>RUN-FLMP_2021-02-08_APS-023</v>
      </c>
      <c r="U167" s="14">
        <f t="shared" si="61"/>
        <v>44235</v>
      </c>
      <c r="V167" s="190">
        <v>44235.0</v>
      </c>
      <c r="W167" s="191">
        <f t="shared" si="62"/>
        <v>23</v>
      </c>
      <c r="X167" s="86"/>
      <c r="Z167" s="131"/>
      <c r="AA167" s="14"/>
      <c r="AG167" s="86"/>
      <c r="AJ167" s="86"/>
    </row>
    <row r="168">
      <c r="A168" s="143"/>
      <c r="B168" s="73">
        <v>44629.0</v>
      </c>
      <c r="C168" s="144" t="str">
        <f t="shared" si="2"/>
        <v/>
      </c>
      <c r="D168" s="145" t="str">
        <f t="array" ref="D168">IF(OR(ISBLANK($A168),$C168),IFERROR(0/0,""),INDEX('RFR Data - preExcl'!E$2:E923,$R168,1))</f>
        <v/>
      </c>
      <c r="E168" s="145" t="str">
        <f t="array" ref="E168">IF(OR(ISBLANK($A168),$C168),IFERROR(0/0,""),INDEX('RFR Data - preExcl'!Z$2:Z923,$R168,1))</f>
        <v/>
      </c>
      <c r="F168" s="145" t="str">
        <f t="array" ref="F168">IF(OR(ISBLANK(A168),C168),IFERROR(0/0,""),INDEX('RFR Data - preExcl'!AC$2:AC923,$R168,1))</f>
        <v/>
      </c>
      <c r="G168" s="145" t="str">
        <f t="array" ref="G168">IF(OR(ISBLANK(A168),C168),IFERROR(0/0,""),INDEX('RFR Data - preExcl'!AK$2:AK923,$R168,1))</f>
        <v/>
      </c>
      <c r="H168" s="145" t="str">
        <f t="array" ref="H168">IF(OR(ISBLANK(A168),C168),IFERROR(0/0,""),INDEX('RFR Data - preExcl'!AL$2:AL923,$R168,1))</f>
        <v/>
      </c>
      <c r="I168" s="146">
        <f>IFERROR(VLOOKUP($B168,'APS Tubes by Date IMPORT'!$B$2:$J923,2,FALSE),"")</f>
        <v>2</v>
      </c>
      <c r="J168" s="145" t="str">
        <f>IFERROR(VLOOKUP($B168,'APS Tubes by Date IMPORT'!$B$2:$J923,9,FALSE),"")</f>
        <v/>
      </c>
      <c r="K168" s="145">
        <f>IFNA(VLOOKUP($B168,'APS Tubes by Date IMPORT'!$B$2:$J923,6,FALSE),"")</f>
        <v>0</v>
      </c>
      <c r="L168" s="145"/>
      <c r="M168" s="145"/>
      <c r="N168" s="147">
        <v>6.1</v>
      </c>
      <c r="O168" s="143" t="str">
        <f t="shared" si="57"/>
        <v/>
      </c>
      <c r="P168" s="148" t="str">
        <f>IF(ISBLANK(N168),IFERROR(0/0,""),IFERROR(VLOOKUP(N168, 'Process Ref'!$A$76:$D$122, 2, FALSE), IFERROR(0/0,"")))</f>
        <v>No Run - APS Collect run next day</v>
      </c>
      <c r="Q168" s="143"/>
      <c r="R168" s="92" t="str">
        <f>IFNA(MATCH(A168,'RFR Data - preExcl'!A$2:A923,0),"")</f>
        <v/>
      </c>
      <c r="S168" s="54"/>
      <c r="T168" s="8" t="str">
        <f>IF(AND(NOT(ISBLANK(U168)),NOT(ISBLANK(V168)),NOT(ISBLANK(W168))),CONCATENATE("RUN-",'Process Ref'!$A$1,"_",TEXT(V168,"YYYY-MM-DD"),"_APS-",TEXT(W168,"000")),IFERROR(0/0,""))</f>
        <v>RUN-FLMP_2021-02-09_APS-024</v>
      </c>
      <c r="U168" s="14">
        <f t="shared" si="61"/>
        <v>44236</v>
      </c>
      <c r="V168" s="190">
        <v>44236.0</v>
      </c>
      <c r="W168" s="191">
        <f t="shared" si="62"/>
        <v>24</v>
      </c>
      <c r="X168" s="86"/>
      <c r="Z168" s="131"/>
      <c r="AA168" s="14"/>
      <c r="AG168" s="86"/>
      <c r="AJ168" s="86"/>
    </row>
    <row r="169">
      <c r="A169" s="8" t="s">
        <v>186</v>
      </c>
      <c r="B169" s="14">
        <v>44630.0</v>
      </c>
      <c r="C169" s="88" t="str">
        <f t="shared" si="2"/>
        <v/>
      </c>
      <c r="D169" s="16">
        <f t="array" ref="D169">IF(OR(ISBLANK($A169),$C169),IFERROR(0/0,""),INDEX('RFR Data - preExcl'!E$2:E923,$R169,1))</f>
        <v>21</v>
      </c>
      <c r="E169" s="16" t="str">
        <f t="array" ref="E169">IF(OR(ISBLANK($A169),$C169),IFERROR(0/0,""),INDEX('RFR Data - preExcl'!Z$2:Z923,$R169,1))</f>
        <v/>
      </c>
      <c r="F169" s="16">
        <f t="array" ref="F169">IF(OR(ISBLANK(A169),C169),IFERROR(0/0,""),INDEX('RFR Data - preExcl'!AC$2:AC923,$R169,1))</f>
        <v>21</v>
      </c>
      <c r="G169" s="16">
        <f t="array" ref="G169">IF(OR(ISBLANK(A169),C169),IFERROR(0/0,""),INDEX('RFR Data - preExcl'!AK$2:AK923,$R169,1))</f>
        <v>21</v>
      </c>
      <c r="H169" s="16">
        <f t="array" ref="H169">IF(OR(ISBLANK(A169),C169),IFERROR(0/0,""),INDEX('RFR Data - preExcl'!AL$2:AL923,$R169,1))</f>
        <v>0</v>
      </c>
      <c r="I169" s="128">
        <f>IFERROR(VLOOKUP($B169,'APS Tubes by Date IMPORT'!$B$2:$J923,2,FALSE),"")</f>
        <v>19</v>
      </c>
      <c r="J169" s="16" t="b">
        <f>IFERROR(VLOOKUP($B169,'APS Tubes by Date IMPORT'!$B$2:$J923,9,FALSE),"")</f>
        <v>1</v>
      </c>
      <c r="K169" s="16">
        <f>IFNA(VLOOKUP($B169,'APS Tubes by Date IMPORT'!$B$2:$J923,6,FALSE),"")</f>
        <v>0</v>
      </c>
      <c r="L169" s="177">
        <f t="shared" ref="L169:L170" si="64">G169</f>
        <v>21</v>
      </c>
      <c r="M169" s="21">
        <f>L169-I169-I168</f>
        <v>0</v>
      </c>
      <c r="N169" s="107">
        <v>6.0</v>
      </c>
      <c r="O169" s="30" t="str">
        <f t="shared" si="57"/>
        <v/>
      </c>
      <c r="P169" s="91" t="str">
        <f>IF(ISBLANK(N169),IFERROR(0/0,""),IFERROR(VLOOKUP(N169, 'Process Ref'!$A$76:$D$122, 2, FALSE), IFERROR(0/0,"")))</f>
        <v>Use Audit RFR - nets out with next or prev day</v>
      </c>
      <c r="Q169" s="18" t="s">
        <v>353</v>
      </c>
      <c r="R169" s="92">
        <f>IFNA(MATCH(A169,'RFR Data - preExcl'!A$2:A923,0),"")</f>
        <v>87</v>
      </c>
      <c r="S169" s="54"/>
      <c r="T169" s="8" t="str">
        <f>IF(AND(NOT(ISBLANK(U169)),NOT(ISBLANK(V169)),NOT(ISBLANK(W169))),CONCATENATE("RUN-",'Process Ref'!$A$1,"_",TEXT(V169,"YYYY-MM-DD"),"_APS-",TEXT(W169,"000")),IFERROR(0/0,""))</f>
        <v>RUN-FLMP_2021-02-10_APS-025</v>
      </c>
      <c r="U169" s="14">
        <f t="shared" si="61"/>
        <v>44237</v>
      </c>
      <c r="V169" s="190">
        <v>44237.0</v>
      </c>
      <c r="W169" s="191">
        <f t="shared" si="62"/>
        <v>25</v>
      </c>
      <c r="X169" s="86"/>
      <c r="Z169" s="131"/>
      <c r="AA169" s="14"/>
      <c r="AG169" s="86"/>
      <c r="AJ169" s="86"/>
    </row>
    <row r="170">
      <c r="A170" s="8" t="s">
        <v>187</v>
      </c>
      <c r="B170" s="14">
        <v>44632.0</v>
      </c>
      <c r="C170" s="88" t="str">
        <f t="shared" si="2"/>
        <v/>
      </c>
      <c r="D170" s="16">
        <f t="array" ref="D170">IF(OR(ISBLANK($A170),$C170),IFERROR(0/0,""),INDEX('RFR Data - preExcl'!E$2:E923,$R170,1))</f>
        <v>5</v>
      </c>
      <c r="E170" s="16">
        <f t="array" ref="E170">IF(OR(ISBLANK($A170),$C170),IFERROR(0/0,""),INDEX('RFR Data - preExcl'!Z$2:Z923,$R170,1))</f>
        <v>7</v>
      </c>
      <c r="F170" s="16">
        <f t="array" ref="F170">IF(OR(ISBLANK(A170),C170),IFERROR(0/0,""),INDEX('RFR Data - preExcl'!AC$2:AC923,$R170,1))</f>
        <v>5</v>
      </c>
      <c r="G170" s="16">
        <f t="array" ref="G170">IF(OR(ISBLANK(A170),C170),IFERROR(0/0,""),INDEX('RFR Data - preExcl'!AK$2:AK923,$R170,1))</f>
        <v>5</v>
      </c>
      <c r="H170" s="16" t="str">
        <f t="array" ref="H170">IF(OR(ISBLANK(A170),C170),IFERROR(0/0,""),INDEX('RFR Data - preExcl'!AL$2:AL923,$R170,1))</f>
        <v/>
      </c>
      <c r="I170" s="16">
        <f>IFERROR(VLOOKUP($B170,'APS Tubes by Date IMPORT'!$B$2:$J923,2,FALSE),"")</f>
        <v>2</v>
      </c>
      <c r="J170" s="16" t="b">
        <f>IFERROR(VLOOKUP($B170,'APS Tubes by Date IMPORT'!$B$2:$J923,9,FALSE),"")</f>
        <v>1</v>
      </c>
      <c r="K170" s="16">
        <f>IFNA(VLOOKUP($B170,'APS Tubes by Date IMPORT'!$B$2:$J923,6,FALSE),"")</f>
        <v>0</v>
      </c>
      <c r="L170" s="89">
        <f t="shared" si="64"/>
        <v>5</v>
      </c>
      <c r="M170" s="21">
        <f>L170-I170</f>
        <v>3</v>
      </c>
      <c r="N170" s="116">
        <v>2.0</v>
      </c>
      <c r="O170" s="30" t="b">
        <f t="shared" si="57"/>
        <v>1</v>
      </c>
      <c r="P170" s="91" t="str">
        <f>IF(ISBLANK(N170),IFERROR(0/0,""),IFERROR(VLOOKUP(N170, 'Process Ref'!$A$76:$D$122, 2, FALSE), IFERROR(0/0,"")))</f>
        <v>Use Audit RFR count (extra tubes in RFR not in Appivo)</v>
      </c>
      <c r="Q170" s="18" t="s">
        <v>354</v>
      </c>
      <c r="R170" s="92">
        <f>IFNA(MATCH(A170,'RFR Data - preExcl'!A$2:A923,0),"")</f>
        <v>88</v>
      </c>
      <c r="S170" s="54"/>
      <c r="T170" s="8" t="str">
        <f>IF(AND(NOT(ISBLANK(U170)),NOT(ISBLANK(V170)),NOT(ISBLANK(W170))),CONCATENATE("RUN-",'Process Ref'!$A$1,"_",TEXT(V170,"YYYY-MM-DD"),"_APS-",TEXT(W170,"000")),IFERROR(0/0,""))</f>
        <v>RUN-FLMP_2021-02-11_APS-026</v>
      </c>
      <c r="U170" s="14">
        <f t="shared" si="61"/>
        <v>44238</v>
      </c>
      <c r="V170" s="190">
        <v>44238.0</v>
      </c>
      <c r="W170" s="191">
        <f t="shared" si="62"/>
        <v>26</v>
      </c>
      <c r="X170" s="86"/>
      <c r="Z170" s="131"/>
      <c r="AA170" s="14"/>
      <c r="AG170" s="86"/>
      <c r="AJ170" s="86"/>
    </row>
    <row r="171">
      <c r="A171" s="143"/>
      <c r="B171" s="73">
        <v>44633.0</v>
      </c>
      <c r="C171" s="144" t="str">
        <f t="shared" si="2"/>
        <v/>
      </c>
      <c r="D171" s="145" t="str">
        <f t="array" ref="D171">IF(OR(ISBLANK($A171),$C171),IFERROR(0/0,""),INDEX('RFR Data - preExcl'!E$2:E923,$R171,1))</f>
        <v/>
      </c>
      <c r="E171" s="145" t="str">
        <f t="array" ref="E171">IF(OR(ISBLANK($A171),$C171),IFERROR(0/0,""),INDEX('RFR Data - preExcl'!Z$2:Z923,$R171,1))</f>
        <v/>
      </c>
      <c r="F171" s="145" t="str">
        <f t="array" ref="F171">IF(OR(ISBLANK(A171),C171),IFERROR(0/0,""),INDEX('RFR Data - preExcl'!AC$2:AC923,$R171,1))</f>
        <v/>
      </c>
      <c r="G171" s="145" t="str">
        <f t="array" ref="G171">IF(OR(ISBLANK(A171),C171),IFERROR(0/0,""),INDEX('RFR Data - preExcl'!AK$2:AK923,$R171,1))</f>
        <v/>
      </c>
      <c r="H171" s="145" t="str">
        <f t="array" ref="H171">IF(OR(ISBLANK(A171),C171),IFERROR(0/0,""),INDEX('RFR Data - preExcl'!AL$2:AL923,$R171,1))</f>
        <v/>
      </c>
      <c r="I171" s="146">
        <f>IFERROR(VLOOKUP($B171,'APS Tubes by Date IMPORT'!$B$2:$J923,2,FALSE),"")</f>
        <v>3</v>
      </c>
      <c r="J171" s="145" t="str">
        <f>IFERROR(VLOOKUP($B171,'APS Tubes by Date IMPORT'!$B$2:$J923,9,FALSE),"")</f>
        <v/>
      </c>
      <c r="K171" s="145">
        <f>IFNA(VLOOKUP($B171,'APS Tubes by Date IMPORT'!$B$2:$J923,6,FALSE),"")</f>
        <v>0</v>
      </c>
      <c r="L171" s="147"/>
      <c r="M171" s="145"/>
      <c r="N171" s="147">
        <v>6.1</v>
      </c>
      <c r="O171" s="143" t="str">
        <f t="shared" si="57"/>
        <v/>
      </c>
      <c r="P171" s="148" t="str">
        <f>IF(ISBLANK(N171),IFERROR(0/0,""),IFERROR(VLOOKUP(N171, 'Process Ref'!$A$76:$D$122, 2, FALSE), IFERROR(0/0,"")))</f>
        <v>No Run - APS Collect run next day</v>
      </c>
      <c r="Q171" s="143"/>
      <c r="R171" s="92" t="str">
        <f>IFNA(MATCH(A171,'RFR Data - preExcl'!A$2:A923,0),"")</f>
        <v/>
      </c>
      <c r="S171" s="54"/>
      <c r="T171" s="8" t="str">
        <f>IF(AND(NOT(ISBLANK(U171)),NOT(ISBLANK(V171)),NOT(ISBLANK(W171))),CONCATENATE("RUN-",'Process Ref'!$A$1,"_",TEXT(V171,"YYYY-MM-DD"),"_APS-",TEXT(W171,"000")),IFERROR(0/0,""))</f>
        <v>RUN-FLMP_2021-02-12_APS-027</v>
      </c>
      <c r="U171" s="14">
        <f t="shared" si="61"/>
        <v>44239</v>
      </c>
      <c r="V171" s="190">
        <v>44239.0</v>
      </c>
      <c r="W171" s="191">
        <f t="shared" si="62"/>
        <v>27</v>
      </c>
      <c r="X171" s="86"/>
      <c r="Z171" s="131"/>
      <c r="AA171" s="14"/>
      <c r="AG171" s="86"/>
      <c r="AJ171" s="86"/>
    </row>
    <row r="172">
      <c r="A172" s="8" t="s">
        <v>188</v>
      </c>
      <c r="B172" s="14">
        <v>44634.0</v>
      </c>
      <c r="C172" s="88" t="str">
        <f t="shared" si="2"/>
        <v/>
      </c>
      <c r="D172" s="16">
        <f t="array" ref="D172">IF(OR(ISBLANK($A172),$C172),IFERROR(0/0,""),INDEX('RFR Data - preExcl'!E$2:E923,$R172,1))</f>
        <v>25</v>
      </c>
      <c r="E172" s="16">
        <f t="array" ref="E172">IF(OR(ISBLANK($A172),$C172),IFERROR(0/0,""),INDEX('RFR Data - preExcl'!Z$2:Z923,$R172,1))</f>
        <v>27</v>
      </c>
      <c r="F172" s="16">
        <f t="array" ref="F172">IF(OR(ISBLANK(A172),C172),IFERROR(0/0,""),INDEX('RFR Data - preExcl'!AC$2:AC923,$R172,1))</f>
        <v>25</v>
      </c>
      <c r="G172" s="16">
        <f t="array" ref="G172">IF(OR(ISBLANK(A172),C172),IFERROR(0/0,""),INDEX('RFR Data - preExcl'!AK$2:AK923,$R172,1))</f>
        <v>25</v>
      </c>
      <c r="H172" s="16">
        <f t="array" ref="H172">IF(OR(ISBLANK(A172),C172),IFERROR(0/0,""),INDEX('RFR Data - preExcl'!AL$2:AL923,$R172,1))</f>
        <v>1.1</v>
      </c>
      <c r="I172" s="128">
        <f>IFERROR(VLOOKUP($B172,'APS Tubes by Date IMPORT'!$B$2:$J923,2,FALSE),"")</f>
        <v>18</v>
      </c>
      <c r="J172" s="16" t="b">
        <f>IFERROR(VLOOKUP($B172,'APS Tubes by Date IMPORT'!$B$2:$J923,9,FALSE),"")</f>
        <v>1</v>
      </c>
      <c r="K172" s="16">
        <f>IFNA(VLOOKUP($B172,'APS Tubes by Date IMPORT'!$B$2:$J923,6,FALSE),"")</f>
        <v>0</v>
      </c>
      <c r="L172" s="177">
        <f>G172</f>
        <v>25</v>
      </c>
      <c r="M172" s="21">
        <f>L172-I172-I171</f>
        <v>4</v>
      </c>
      <c r="N172" s="116">
        <v>2.0</v>
      </c>
      <c r="O172" s="30" t="b">
        <f t="shared" si="57"/>
        <v>1</v>
      </c>
      <c r="P172" s="91" t="str">
        <f>IF(ISBLANK(N172),IFERROR(0/0,""),IFERROR(VLOOKUP(N172, 'Process Ref'!$A$76:$D$122, 2, FALSE), IFERROR(0/0,"")))</f>
        <v>Use Audit RFR count (extra tubes in RFR not in Appivo)</v>
      </c>
      <c r="Q172" s="18" t="s">
        <v>355</v>
      </c>
      <c r="R172" s="92">
        <f>IFNA(MATCH(A172,'RFR Data - preExcl'!A$2:A923,0),"")</f>
        <v>89</v>
      </c>
      <c r="S172" s="54"/>
      <c r="T172" s="8" t="str">
        <f>IF(AND(NOT(ISBLANK(U172)),NOT(ISBLANK(V172)),NOT(ISBLANK(W172))),CONCATENATE("RUN-",'Process Ref'!$A$1,"_",TEXT(V172,"YYYY-MM-DD"),"_APS-",TEXT(W172,"000")),IFERROR(0/0,""))</f>
        <v>RUN-FLMP_2021-02-16_APS-028</v>
      </c>
      <c r="U172" s="14">
        <f t="shared" si="61"/>
        <v>44243</v>
      </c>
      <c r="V172" s="190">
        <v>44243.0</v>
      </c>
      <c r="W172" s="191">
        <f t="shared" si="62"/>
        <v>28</v>
      </c>
      <c r="X172" s="86"/>
      <c r="Z172" s="131"/>
      <c r="AA172" s="14"/>
      <c r="AG172" s="86"/>
      <c r="AJ172" s="86"/>
    </row>
    <row r="173">
      <c r="A173" s="143"/>
      <c r="B173" s="73">
        <v>44636.0</v>
      </c>
      <c r="C173" s="144" t="str">
        <f t="shared" si="2"/>
        <v/>
      </c>
      <c r="D173" s="145" t="str">
        <f t="array" ref="D173">IF(OR(ISBLANK($A173),$C173),IFERROR(0/0,""),INDEX('RFR Data - preExcl'!E$2:E923,$R173,1))</f>
        <v/>
      </c>
      <c r="E173" s="145" t="str">
        <f t="array" ref="E173">IF(OR(ISBLANK($A173),$C173),IFERROR(0/0,""),INDEX('RFR Data - preExcl'!Z$2:Z923,$R173,1))</f>
        <v/>
      </c>
      <c r="F173" s="145" t="str">
        <f t="array" ref="F173">IF(OR(ISBLANK(A173),C173),IFERROR(0/0,""),INDEX('RFR Data - preExcl'!AC$2:AC923,$R173,1))</f>
        <v/>
      </c>
      <c r="G173" s="145" t="str">
        <f t="array" ref="G173">IF(OR(ISBLANK(A173),C173),IFERROR(0/0,""),INDEX('RFR Data - preExcl'!AK$2:AK923,$R173,1))</f>
        <v/>
      </c>
      <c r="H173" s="145" t="str">
        <f t="array" ref="H173">IF(OR(ISBLANK(A173),C173),IFERROR(0/0,""),INDEX('RFR Data - preExcl'!AL$2:AL923,$R173,1))</f>
        <v/>
      </c>
      <c r="I173" s="146">
        <f>IFERROR(VLOOKUP($B173,'APS Tubes by Date IMPORT'!$B$2:$J923,2,FALSE),"")</f>
        <v>1</v>
      </c>
      <c r="J173" s="145" t="str">
        <f>IFERROR(VLOOKUP($B173,'APS Tubes by Date IMPORT'!$B$2:$J923,9,FALSE),"")</f>
        <v/>
      </c>
      <c r="K173" s="145">
        <f>IFNA(VLOOKUP($B173,'APS Tubes by Date IMPORT'!$B$2:$J923,6,FALSE),"")</f>
        <v>0</v>
      </c>
      <c r="L173" s="145"/>
      <c r="M173" s="145"/>
      <c r="N173" s="147">
        <v>6.1</v>
      </c>
      <c r="O173" s="143" t="str">
        <f t="shared" si="57"/>
        <v/>
      </c>
      <c r="P173" s="148" t="str">
        <f>IF(ISBLANK(N173),IFERROR(0/0,""),IFERROR(VLOOKUP(N173, 'Process Ref'!$A$76:$D$122, 2, FALSE), IFERROR(0/0,"")))</f>
        <v>No Run - APS Collect run next day</v>
      </c>
      <c r="Q173" s="143"/>
      <c r="R173" s="92" t="str">
        <f>IFNA(MATCH(A173,'RFR Data - preExcl'!A$2:A923,0),"")</f>
        <v/>
      </c>
      <c r="S173" s="54"/>
      <c r="T173" s="8" t="str">
        <f>IF(AND(NOT(ISBLANK(U173)),NOT(ISBLANK(V173)),NOT(ISBLANK(W173))),CONCATENATE("RUN-",'Process Ref'!$A$1,"_",TEXT(V173,"YYYY-MM-DD"),"_APS-",TEXT(W173,"000")),IFERROR(0/0,""))</f>
        <v>RUN-FLMP_2021-02-21_APS-029</v>
      </c>
      <c r="U173" s="14">
        <f t="shared" si="61"/>
        <v>44248</v>
      </c>
      <c r="V173" s="190">
        <v>44248.0</v>
      </c>
      <c r="W173" s="191">
        <f t="shared" si="62"/>
        <v>29</v>
      </c>
      <c r="X173" s="86"/>
      <c r="Z173" s="103"/>
      <c r="AG173" s="86"/>
      <c r="AJ173" s="86"/>
    </row>
    <row r="174">
      <c r="A174" s="8" t="s">
        <v>189</v>
      </c>
      <c r="B174" s="14">
        <v>44637.0</v>
      </c>
      <c r="C174" s="88" t="str">
        <f t="shared" si="2"/>
        <v/>
      </c>
      <c r="D174" s="16">
        <f t="array" ref="D174">IF(OR(ISBLANK($A174),$C174),IFERROR(0/0,""),INDEX('RFR Data - preExcl'!E$2:E923,$R174,1))</f>
        <v>19</v>
      </c>
      <c r="E174" s="16">
        <f t="array" ref="E174">IF(OR(ISBLANK($A174),$C174),IFERROR(0/0,""),INDEX('RFR Data - preExcl'!Z$2:Z923,$R174,1))</f>
        <v>19</v>
      </c>
      <c r="F174" s="16">
        <f t="array" ref="F174">IF(OR(ISBLANK(A174),C174),IFERROR(0/0,""),INDEX('RFR Data - preExcl'!AC$2:AC923,$R174,1))</f>
        <v>17</v>
      </c>
      <c r="G174" s="16">
        <f t="array" ref="G174">IF(OR(ISBLANK(A174),C174),IFERROR(0/0,""),INDEX('RFR Data - preExcl'!AK$2:AK923,$R174,1))</f>
        <v>17</v>
      </c>
      <c r="H174" s="16">
        <f t="array" ref="H174">IF(OR(ISBLANK(A174),C174),IFERROR(0/0,""),INDEX('RFR Data - preExcl'!AL$2:AL923,$R174,1))</f>
        <v>0</v>
      </c>
      <c r="I174" s="128">
        <f>IFERROR(VLOOKUP($B174,'APS Tubes by Date IMPORT'!$B$2:$J923,2,FALSE),"")</f>
        <v>14</v>
      </c>
      <c r="J174" s="16" t="b">
        <f>IFERROR(VLOOKUP($B174,'APS Tubes by Date IMPORT'!$B$2:$J923,9,FALSE),"")</f>
        <v>1</v>
      </c>
      <c r="K174" s="16">
        <f>IFNA(VLOOKUP($B174,'APS Tubes by Date IMPORT'!$B$2:$J923,6,FALSE),"")</f>
        <v>0</v>
      </c>
      <c r="L174" s="177">
        <f>G174</f>
        <v>17</v>
      </c>
      <c r="M174" s="21">
        <f>L174-I174-I173</f>
        <v>2</v>
      </c>
      <c r="N174" s="116">
        <v>2.0</v>
      </c>
      <c r="O174" s="30" t="b">
        <f t="shared" si="57"/>
        <v>1</v>
      </c>
      <c r="P174" s="91" t="str">
        <f>IF(ISBLANK(N174),IFERROR(0/0,""),IFERROR(VLOOKUP(N174, 'Process Ref'!$A$76:$D$122, 2, FALSE), IFERROR(0/0,"")))</f>
        <v>Use Audit RFR count (extra tubes in RFR not in Appivo)</v>
      </c>
      <c r="Q174" s="18" t="s">
        <v>356</v>
      </c>
      <c r="R174" s="92">
        <f>IFNA(MATCH(A174,'RFR Data - preExcl'!A$2:A923,0),"")</f>
        <v>91</v>
      </c>
      <c r="S174" s="54"/>
      <c r="T174" s="8" t="str">
        <f>IF(AND(NOT(ISBLANK(U174)),NOT(ISBLANK(V174)),NOT(ISBLANK(W174))),CONCATENATE("RUN-",'Process Ref'!$A$1,"_",TEXT(V174,"YYYY-MM-DD"),"_APS-",TEXT(W174,"000")),IFERROR(0/0,""))</f>
        <v>RUN-FLMP_2021-02-22_APS-030</v>
      </c>
      <c r="U174" s="14">
        <f t="shared" si="61"/>
        <v>44249</v>
      </c>
      <c r="V174" s="190">
        <v>44249.0</v>
      </c>
      <c r="W174" s="191">
        <f t="shared" si="62"/>
        <v>30</v>
      </c>
      <c r="X174" s="86"/>
      <c r="Z174" s="103"/>
      <c r="AG174" s="86"/>
      <c r="AJ174" s="86"/>
    </row>
    <row r="175">
      <c r="A175" s="143"/>
      <c r="B175" s="73">
        <v>44640.0</v>
      </c>
      <c r="C175" s="144" t="str">
        <f t="shared" si="2"/>
        <v/>
      </c>
      <c r="D175" s="145" t="str">
        <f t="array" ref="D175">IF(OR(ISBLANK($A175),$C175),IFERROR(0/0,""),INDEX('RFR Data - preExcl'!E$2:E923,$R175,1))</f>
        <v/>
      </c>
      <c r="E175" s="145" t="str">
        <f t="array" ref="E175">IF(OR(ISBLANK($A175),$C175),IFERROR(0/0,""),INDEX('RFR Data - preExcl'!Z$2:Z923,$R175,1))</f>
        <v/>
      </c>
      <c r="F175" s="145" t="str">
        <f t="array" ref="F175">IF(OR(ISBLANK(A175),C175),IFERROR(0/0,""),INDEX('RFR Data - preExcl'!AC$2:AC923,$R175,1))</f>
        <v/>
      </c>
      <c r="G175" s="145" t="str">
        <f t="array" ref="G175">IF(OR(ISBLANK(A175),C175),IFERROR(0/0,""),INDEX('RFR Data - preExcl'!AK$2:AK923,$R175,1))</f>
        <v/>
      </c>
      <c r="H175" s="145" t="str">
        <f t="array" ref="H175">IF(OR(ISBLANK(A175),C175),IFERROR(0/0,""),INDEX('RFR Data - preExcl'!AL$2:AL923,$R175,1))</f>
        <v/>
      </c>
      <c r="I175" s="146">
        <f>IFERROR(VLOOKUP($B175,'APS Tubes by Date IMPORT'!$B$2:$J923,2,FALSE),"")</f>
        <v>2</v>
      </c>
      <c r="J175" s="145" t="str">
        <f>IFERROR(VLOOKUP($B175,'APS Tubes by Date IMPORT'!$B$2:$J923,9,FALSE),"")</f>
        <v/>
      </c>
      <c r="K175" s="145">
        <f>IFNA(VLOOKUP($B175,'APS Tubes by Date IMPORT'!$B$2:$J923,6,FALSE),"")</f>
        <v>0</v>
      </c>
      <c r="L175" s="145"/>
      <c r="M175" s="145"/>
      <c r="N175" s="147">
        <v>6.1</v>
      </c>
      <c r="O175" s="143" t="str">
        <f t="shared" si="57"/>
        <v/>
      </c>
      <c r="P175" s="148" t="str">
        <f>IF(ISBLANK(N175),IFERROR(0/0,""),IFERROR(VLOOKUP(N175, 'Process Ref'!$A$76:$D$122, 2, FALSE), IFERROR(0/0,"")))</f>
        <v>No Run - APS Collect run next day</v>
      </c>
      <c r="Q175" s="143"/>
      <c r="R175" s="92" t="str">
        <f>IFNA(MATCH(A175,'RFR Data - preExcl'!A$2:A923,0),"")</f>
        <v/>
      </c>
      <c r="S175" s="54"/>
      <c r="T175" s="8" t="str">
        <f>IF(AND(NOT(ISBLANK(U175)),NOT(ISBLANK(V175)),NOT(ISBLANK(W175))),CONCATENATE("RUN-",'Process Ref'!$A$1,"_",TEXT(V175,"YYYY-MM-DD"),"_APS-",TEXT(W175,"000")),IFERROR(0/0,""))</f>
        <v>RUN-FLMP_2021-02-23_APS-031</v>
      </c>
      <c r="U175" s="14">
        <f t="shared" si="61"/>
        <v>44250</v>
      </c>
      <c r="V175" s="190">
        <v>44250.0</v>
      </c>
      <c r="W175" s="191">
        <f t="shared" si="62"/>
        <v>31</v>
      </c>
      <c r="X175" s="86"/>
      <c r="Z175" s="131"/>
      <c r="AA175" s="14"/>
      <c r="AG175" s="86"/>
      <c r="AJ175" s="86"/>
    </row>
    <row r="176">
      <c r="A176" s="8" t="s">
        <v>190</v>
      </c>
      <c r="B176" s="14">
        <v>44641.0</v>
      </c>
      <c r="C176" s="88" t="b">
        <f t="shared" si="2"/>
        <v>1</v>
      </c>
      <c r="D176" s="16" t="str">
        <f t="array" ref="D176">IF(OR(ISBLANK($A176),$C176),IFERROR(0/0,""),INDEX('RFR Data - preExcl'!E$2:E923,$R176,1))</f>
        <v/>
      </c>
      <c r="E176" s="16" t="str">
        <f t="array" ref="E176">IF(OR(ISBLANK($A176),$C176),IFERROR(0/0,""),INDEX('RFR Data - preExcl'!Z$2:Z923,$R176,1))</f>
        <v/>
      </c>
      <c r="F176" s="16" t="str">
        <f t="array" ref="F176">IF(OR(ISBLANK(A176),C176),IFERROR(0/0,""),INDEX('RFR Data - preExcl'!AC$2:AC923,$R176,1))</f>
        <v/>
      </c>
      <c r="G176" s="16" t="str">
        <f t="array" ref="G176">IF(OR(ISBLANK(A176),C176),IFERROR(0/0,""),INDEX('RFR Data - preExcl'!AK$2:AK923,$R176,1))</f>
        <v/>
      </c>
      <c r="H176" s="16" t="str">
        <f t="array" ref="H176">IF(OR(ISBLANK(A176),C176),IFERROR(0/0,""),INDEX('RFR Data - preExcl'!AL$2:AL923,$R176,1))</f>
        <v/>
      </c>
      <c r="I176" s="128">
        <f>IFERROR(VLOOKUP($B176,'APS Tubes by Date IMPORT'!$B$2:$J923,2,FALSE),"")</f>
        <v>20</v>
      </c>
      <c r="J176" s="16" t="b">
        <f>IFERROR(VLOOKUP($B176,'APS Tubes by Date IMPORT'!$B$2:$J923,9,FALSE),"")</f>
        <v>1</v>
      </c>
      <c r="K176" s="16">
        <f>IFNA(VLOOKUP($B176,'APS Tubes by Date IMPORT'!$B$2:$J923,6,FALSE),"")</f>
        <v>0</v>
      </c>
      <c r="L176" s="109">
        <f>I176+I175</f>
        <v>22</v>
      </c>
      <c r="M176" s="16">
        <f>L176-I176-I175</f>
        <v>0</v>
      </c>
      <c r="N176" s="90">
        <v>3.4</v>
      </c>
      <c r="O176" s="30" t="b">
        <f t="shared" si="57"/>
        <v>1</v>
      </c>
      <c r="P176" s="91" t="str">
        <f>IF(ISBLANK(N176),IFERROR(0/0,""),IFERROR(VLOOKUP(N176, 'Process Ref'!$A$76:$D$122, 2, FALSE), IFERROR(0/0,"")))</f>
        <v>Add Run from APS with no RFR (assume run on same day as Collect, ignore Result day)</v>
      </c>
      <c r="Q176" s="194" t="s">
        <v>357</v>
      </c>
      <c r="R176" s="92" t="str">
        <f>IFNA(MATCH(A176,'RFR Data - preExcl'!A$2:A923,0),"")</f>
        <v/>
      </c>
      <c r="S176" s="54"/>
      <c r="T176" s="8" t="str">
        <f>IF(AND(NOT(ISBLANK(U176)),NOT(ISBLANK(V176)),NOT(ISBLANK(W176))),CONCATENATE("RUN-",'Process Ref'!$A$1,"_",TEXT(V176,"YYYY-MM-DD"),"_APS-",TEXT(W176,"000")),IFERROR(0/0,""))</f>
        <v>RUN-FLMP_2021-02-24_APS-032</v>
      </c>
      <c r="U176" s="14">
        <f t="shared" si="61"/>
        <v>44251</v>
      </c>
      <c r="V176" s="190">
        <v>44251.0</v>
      </c>
      <c r="W176" s="191">
        <f t="shared" si="62"/>
        <v>32</v>
      </c>
      <c r="X176" s="86"/>
      <c r="Z176" s="131"/>
      <c r="AA176" s="14"/>
      <c r="AG176" s="86"/>
      <c r="AJ176" s="86"/>
    </row>
    <row r="177">
      <c r="A177" s="198" t="s">
        <v>191</v>
      </c>
      <c r="B177" s="199">
        <v>44642.0</v>
      </c>
      <c r="C177" s="200" t="str">
        <f t="shared" si="2"/>
        <v/>
      </c>
      <c r="D177" s="201">
        <f t="array" ref="D177">IF(OR(ISBLANK($A177),$C177),IFERROR(0/0,""),INDEX('RFR Data - preExcl'!E$2:E923,$R177,1))</f>
        <v>1</v>
      </c>
      <c r="E177" s="201"/>
      <c r="F177" s="201">
        <f t="array" ref="F177">IF(OR(ISBLANK(A177),C177),IFERROR(0/0,""),INDEX('RFR Data - preExcl'!AC$2:AC923,$R177,1))</f>
        <v>3</v>
      </c>
      <c r="G177" s="201">
        <f t="array" ref="G177">IF(OR(ISBLANK(A177),C177),IFERROR(0/0,""),INDEX('RFR Data - preExcl'!AK$2:AK923,$R177,1))</f>
        <v>1</v>
      </c>
      <c r="H177" s="201">
        <f t="array" ref="H177">IF(OR(ISBLANK(A177),C177),IFERROR(0/0,""),INDEX('RFR Data - preExcl'!AL$2:AL923,$R177,1))</f>
        <v>1.4</v>
      </c>
      <c r="I177" s="201">
        <f>IFERROR(VLOOKUP($B177,'APS Tubes by Date IMPORT'!$B$2:$J923,2,FALSE),"")</f>
        <v>1</v>
      </c>
      <c r="J177" s="201" t="b">
        <f>IFERROR(VLOOKUP($B177,'APS Tubes by Date IMPORT'!$B$2:$J923,9,FALSE),"")</f>
        <v>1</v>
      </c>
      <c r="K177" s="201">
        <f>IFNA(VLOOKUP($B177,'APS Tubes by Date IMPORT'!$B$2:$J923,6,FALSE),"")</f>
        <v>0</v>
      </c>
      <c r="L177" s="202">
        <f>G177</f>
        <v>1</v>
      </c>
      <c r="M177" s="203">
        <f t="shared" ref="M177:M181" si="65">L177-I177</f>
        <v>0</v>
      </c>
      <c r="N177" s="204">
        <v>0.0</v>
      </c>
      <c r="O177" s="205" t="b">
        <f t="shared" si="57"/>
        <v>1</v>
      </c>
      <c r="P177" s="206" t="str">
        <f>IF(ISBLANK(N177),IFERROR(0/0,""),IFERROR(VLOOKUP(N177, 'Process Ref'!$A$76:$D$122, 2, FALSE), IFERROR(0/0,"")))</f>
        <v>ALL 3 COUNTS SAME meaning APS Collect = APS Result = RFR</v>
      </c>
      <c r="Q177" s="198"/>
      <c r="R177" s="207">
        <f>IFNA(MATCH(A177,'RFR Data - preExcl'!A$2:A923,0),"")</f>
        <v>92</v>
      </c>
      <c r="S177" s="54"/>
      <c r="T177" s="8" t="str">
        <f>IF(AND(NOT(ISBLANK(U177)),NOT(ISBLANK(V177)),NOT(ISBLANK(W177))),CONCATENATE("RUN-",'Process Ref'!$A$1,"_",TEXT(V177,"YYYY-MM-DD"),"_APS-",TEXT(W177,"000")),IFERROR(0/0,""))</f>
        <v>RUN-FLMP_2021-03-02_APS-033</v>
      </c>
      <c r="U177" s="14">
        <f t="shared" si="61"/>
        <v>44257</v>
      </c>
      <c r="V177" s="190">
        <v>44257.0</v>
      </c>
      <c r="W177" s="191">
        <f t="shared" si="62"/>
        <v>33</v>
      </c>
      <c r="X177" s="86"/>
      <c r="Z177" s="131"/>
      <c r="AA177" s="14"/>
      <c r="AG177" s="86"/>
      <c r="AJ177" s="86"/>
    </row>
    <row r="178">
      <c r="A178" s="8" t="s">
        <v>192</v>
      </c>
      <c r="B178" s="14">
        <v>44644.0</v>
      </c>
      <c r="C178" s="88" t="b">
        <f t="shared" si="2"/>
        <v>1</v>
      </c>
      <c r="D178" s="16" t="str">
        <f t="array" ref="D178">IF(OR(ISBLANK($A178),$C178),IFERROR(0/0,""),INDEX('RFR Data - preExcl'!E$2:E923,$R178,1))</f>
        <v/>
      </c>
      <c r="E178" s="16" t="str">
        <f t="array" ref="E178">IF(OR(ISBLANK($A178),$C178),IFERROR(0/0,""),INDEX('RFR Data - preExcl'!Z$2:Z923,$R178,1))</f>
        <v/>
      </c>
      <c r="F178" s="16" t="str">
        <f t="array" ref="F178">IF(OR(ISBLANK(A178),C178),IFERROR(0/0,""),INDEX('RFR Data - preExcl'!AC$2:AC923,$R178,1))</f>
        <v/>
      </c>
      <c r="G178" s="16" t="str">
        <f t="array" ref="G178">IF(OR(ISBLANK(A178),C178),IFERROR(0/0,""),INDEX('RFR Data - preExcl'!AK$2:AK923,$R178,1))</f>
        <v/>
      </c>
      <c r="H178" s="16" t="str">
        <f t="array" ref="H178">IF(OR(ISBLANK(A178),C178),IFERROR(0/0,""),INDEX('RFR Data - preExcl'!AL$2:AL923,$R178,1))</f>
        <v/>
      </c>
      <c r="I178" s="16">
        <f>IFERROR(VLOOKUP($B178,'APS Tubes by Date IMPORT'!$B$2:$J923,2,FALSE),"")</f>
        <v>24</v>
      </c>
      <c r="J178" s="16" t="str">
        <f>IFERROR(VLOOKUP($B178,'APS Tubes by Date IMPORT'!$B$2:$J923,9,FALSE),"")</f>
        <v/>
      </c>
      <c r="K178" s="16">
        <f>IFNA(VLOOKUP($B178,'APS Tubes by Date IMPORT'!$B$2:$J923,6,FALSE),"")</f>
        <v>0</v>
      </c>
      <c r="L178" s="109">
        <f t="shared" ref="L178:L180" si="66">I178</f>
        <v>24</v>
      </c>
      <c r="M178" s="16">
        <f t="shared" si="65"/>
        <v>0</v>
      </c>
      <c r="N178" s="90">
        <v>3.4</v>
      </c>
      <c r="O178" s="30" t="b">
        <f t="shared" si="57"/>
        <v>1</v>
      </c>
      <c r="P178" s="91" t="str">
        <f>IF(ISBLANK(N178),IFERROR(0/0,""),IFERROR(VLOOKUP(N178, 'Process Ref'!$A$76:$D$122, 2, FALSE), IFERROR(0/0,"")))</f>
        <v>Add Run from APS with no RFR (assume run on same day as Collect, ignore Result day)</v>
      </c>
      <c r="Q178" s="18" t="s">
        <v>358</v>
      </c>
      <c r="R178" s="92" t="str">
        <f>IFNA(MATCH(A178,'RFR Data - preExcl'!A$2:A923,0),"")</f>
        <v/>
      </c>
      <c r="S178" s="54"/>
      <c r="T178" s="8" t="str">
        <f>IF(AND(NOT(ISBLANK(U178)),NOT(ISBLANK(V178)),NOT(ISBLANK(W178))),CONCATENATE("RUN-",'Process Ref'!$A$1,"_",TEXT(V178,"YYYY-MM-DD"),"_APS-",TEXT(W178,"000")),IFERROR(0/0,""))</f>
        <v>RUN-FLMP_2021-03-03_APS-034</v>
      </c>
      <c r="U178" s="14">
        <f t="shared" si="61"/>
        <v>44258</v>
      </c>
      <c r="V178" s="190">
        <v>44258.0</v>
      </c>
      <c r="W178" s="191">
        <f t="shared" si="62"/>
        <v>34</v>
      </c>
      <c r="X178" s="86"/>
      <c r="Z178" s="131"/>
      <c r="AA178" s="14"/>
      <c r="AG178" s="86"/>
      <c r="AJ178" s="86"/>
    </row>
    <row r="179">
      <c r="A179" s="8" t="s">
        <v>193</v>
      </c>
      <c r="B179" s="14">
        <v>44648.0</v>
      </c>
      <c r="C179" s="88" t="b">
        <f t="shared" si="2"/>
        <v>1</v>
      </c>
      <c r="D179" s="16" t="str">
        <f t="array" ref="D179">IF(OR(ISBLANK($A179),$C179),IFERROR(0/0,""),INDEX('RFR Data - preExcl'!E$2:E923,$R179,1))</f>
        <v/>
      </c>
      <c r="E179" s="16"/>
      <c r="F179" s="16" t="str">
        <f t="array" ref="F179">IF(OR(ISBLANK(A179),C179),IFERROR(0/0,""),INDEX('RFR Data - preExcl'!AC$2:AC923,$R179,1))</f>
        <v/>
      </c>
      <c r="G179" s="16" t="str">
        <f t="array" ref="G179">IF(OR(ISBLANK(A179),C179),IFERROR(0/0,""),INDEX('RFR Data - preExcl'!AK$2:AK923,$R179,1))</f>
        <v/>
      </c>
      <c r="H179" s="16" t="str">
        <f t="array" ref="H179">IF(OR(ISBLANK(A179),C179),IFERROR(0/0,""),INDEX('RFR Data - preExcl'!AL$2:AL923,$R179,1))</f>
        <v/>
      </c>
      <c r="I179" s="16">
        <f>IFERROR(VLOOKUP($B179,'APS Tubes by Date IMPORT'!$B$2:$J923,2,FALSE),"")</f>
        <v>5</v>
      </c>
      <c r="J179" s="16" t="b">
        <f>IFERROR(VLOOKUP($B179,'APS Tubes by Date IMPORT'!$B$2:$J923,9,FALSE),"")</f>
        <v>1</v>
      </c>
      <c r="K179" s="16">
        <f>IFNA(VLOOKUP($B179,'APS Tubes by Date IMPORT'!$B$2:$J923,6,FALSE),"")</f>
        <v>0</v>
      </c>
      <c r="L179" s="109">
        <f t="shared" si="66"/>
        <v>5</v>
      </c>
      <c r="M179" s="16">
        <f t="shared" si="65"/>
        <v>0</v>
      </c>
      <c r="N179" s="90">
        <v>3.4</v>
      </c>
      <c r="O179" s="30" t="b">
        <f t="shared" si="57"/>
        <v>1</v>
      </c>
      <c r="P179" s="91" t="str">
        <f>IF(ISBLANK(N179),IFERROR(0/0,""),IFERROR(VLOOKUP(N179, 'Process Ref'!$A$76:$D$122, 2, FALSE), IFERROR(0/0,"")))</f>
        <v>Add Run from APS with no RFR (assume run on same day as Collect, ignore Result day)</v>
      </c>
      <c r="Q179" s="18" t="s">
        <v>359</v>
      </c>
      <c r="R179" s="92" t="str">
        <f>IFNA(MATCH(A179,'RFR Data - preExcl'!A$2:A923,0),"")</f>
        <v/>
      </c>
      <c r="S179" s="54"/>
      <c r="T179" s="8" t="str">
        <f>IF(AND(NOT(ISBLANK(U179)),NOT(ISBLANK(V179)),NOT(ISBLANK(W179))),CONCATENATE("RUN-",'Process Ref'!$A$1,"_",TEXT(V179,"YYYY-MM-DD"),"_APS-",TEXT(W179,"000")),IFERROR(0/0,""))</f>
        <v>RUN-FLMP_2021-03-04_APS-035</v>
      </c>
      <c r="U179" s="14">
        <f t="shared" si="61"/>
        <v>44259</v>
      </c>
      <c r="V179" s="190">
        <v>44259.0</v>
      </c>
      <c r="W179" s="191">
        <f t="shared" si="62"/>
        <v>35</v>
      </c>
      <c r="X179" s="86"/>
      <c r="Z179" s="103"/>
      <c r="AG179" s="86"/>
      <c r="AJ179" s="86"/>
    </row>
    <row r="180">
      <c r="A180" s="8" t="s">
        <v>194</v>
      </c>
      <c r="B180" s="14">
        <v>44652.0</v>
      </c>
      <c r="C180" s="88" t="b">
        <f t="shared" si="2"/>
        <v>1</v>
      </c>
      <c r="D180" s="16" t="str">
        <f t="array" ref="D180">IF(OR(ISBLANK($A180),$C180),IFERROR(0/0,""),INDEX('RFR Data - preExcl'!E$2:E923,$R180,1))</f>
        <v/>
      </c>
      <c r="E180" s="16"/>
      <c r="F180" s="16" t="str">
        <f t="array" ref="F180">IF(OR(ISBLANK(A180),C180),IFERROR(0/0,""),INDEX('RFR Data - preExcl'!AC$2:AC923,$R180,1))</f>
        <v/>
      </c>
      <c r="G180" s="16" t="str">
        <f t="array" ref="G180">IF(OR(ISBLANK(A180),C180),IFERROR(0/0,""),INDEX('RFR Data - preExcl'!AK$2:AK923,$R180,1))</f>
        <v/>
      </c>
      <c r="H180" s="16" t="str">
        <f t="array" ref="H180">IF(OR(ISBLANK(A180),C180),IFERROR(0/0,""),INDEX('RFR Data - preExcl'!AL$2:AL923,$R180,1))</f>
        <v/>
      </c>
      <c r="I180" s="16">
        <f>IFERROR(VLOOKUP($B180,'APS Tubes by Date IMPORT'!$B$2:$J923,2,FALSE),"")</f>
        <v>3</v>
      </c>
      <c r="J180" s="16" t="b">
        <f>IFERROR(VLOOKUP($B180,'APS Tubes by Date IMPORT'!$B$2:$J923,9,FALSE),"")</f>
        <v>1</v>
      </c>
      <c r="K180" s="16">
        <f>IFNA(VLOOKUP($B180,'APS Tubes by Date IMPORT'!$B$2:$J923,6,FALSE),"")</f>
        <v>0</v>
      </c>
      <c r="L180" s="109">
        <f t="shared" si="66"/>
        <v>3</v>
      </c>
      <c r="M180" s="16">
        <f t="shared" si="65"/>
        <v>0</v>
      </c>
      <c r="N180" s="90">
        <v>3.4</v>
      </c>
      <c r="O180" s="30" t="b">
        <f t="shared" si="57"/>
        <v>1</v>
      </c>
      <c r="P180" s="91" t="str">
        <f>IF(ISBLANK(N180),IFERROR(0/0,""),IFERROR(VLOOKUP(N180, 'Process Ref'!$A$76:$D$122, 2, FALSE), IFERROR(0/0,"")))</f>
        <v>Add Run from APS with no RFR (assume run on same day as Collect, ignore Result day)</v>
      </c>
      <c r="Q180" s="18" t="s">
        <v>360</v>
      </c>
      <c r="R180" s="92" t="str">
        <f>IFNA(MATCH(A180,'RFR Data - preExcl'!A$2:A923,0),"")</f>
        <v/>
      </c>
      <c r="S180" s="54"/>
      <c r="T180" s="8" t="str">
        <f>IF(AND(NOT(ISBLANK(U180)),NOT(ISBLANK(V180)),NOT(ISBLANK(W180))),CONCATENATE("RUN-",'Process Ref'!$A$1,"_",TEXT(V180,"YYYY-MM-DD"),"_APS-",TEXT(W180,"000")),IFERROR(0/0,""))</f>
        <v>RUN-FLMP_2021-03-05_APS-036</v>
      </c>
      <c r="U180" s="14">
        <f t="shared" si="61"/>
        <v>44260</v>
      </c>
      <c r="V180" s="190">
        <v>44260.0</v>
      </c>
      <c r="W180" s="191">
        <f t="shared" si="62"/>
        <v>36</v>
      </c>
      <c r="X180" s="86"/>
      <c r="Z180" s="131"/>
      <c r="AA180" s="14"/>
      <c r="AG180" s="86"/>
      <c r="AJ180" s="86"/>
    </row>
    <row r="181">
      <c r="A181" s="8" t="s">
        <v>195</v>
      </c>
      <c r="B181" s="14">
        <v>44653.0</v>
      </c>
      <c r="C181" s="88" t="str">
        <f t="shared" si="2"/>
        <v/>
      </c>
      <c r="D181" s="16">
        <f t="array" ref="D181">IF(OR(ISBLANK($A181),$C181),IFERROR(0/0,""),INDEX('RFR Data - preExcl'!E$2:E923,$R181,1))</f>
        <v>4</v>
      </c>
      <c r="E181" s="16"/>
      <c r="F181" s="16">
        <f t="array" ref="F181">IF(OR(ISBLANK(A181),C181),IFERROR(0/0,""),INDEX('RFR Data - preExcl'!AC$2:AC923,$R181,1))</f>
        <v>4</v>
      </c>
      <c r="G181" s="16">
        <f t="array" ref="G181">IF(OR(ISBLANK(A181),C181),IFERROR(0/0,""),INDEX('RFR Data - preExcl'!AK$2:AK923,$R181,1))</f>
        <v>4</v>
      </c>
      <c r="H181" s="16">
        <f t="array" ref="H181">IF(OR(ISBLANK(A181),C181),IFERROR(0/0,""),INDEX('RFR Data - preExcl'!AL$2:AL923,$R181,1))</f>
        <v>0</v>
      </c>
      <c r="I181" s="16">
        <f>IFERROR(VLOOKUP($B181,'APS Tubes by Date IMPORT'!$B$2:$J923,2,FALSE),"")</f>
        <v>4</v>
      </c>
      <c r="J181" s="16" t="b">
        <f>IFERROR(VLOOKUP($B181,'APS Tubes by Date IMPORT'!$B$2:$J923,9,FALSE),"")</f>
        <v>1</v>
      </c>
      <c r="K181" s="16">
        <f>IFNA(VLOOKUP($B181,'APS Tubes by Date IMPORT'!$B$2:$J923,6,FALSE),"")</f>
        <v>0</v>
      </c>
      <c r="L181" s="89">
        <f>G181</f>
        <v>4</v>
      </c>
      <c r="M181" s="21">
        <f t="shared" si="65"/>
        <v>0</v>
      </c>
      <c r="N181" s="105">
        <v>0.0</v>
      </c>
      <c r="O181" s="30" t="b">
        <f t="shared" si="57"/>
        <v>1</v>
      </c>
      <c r="P181" s="91" t="str">
        <f>IF(ISBLANK(N181),IFERROR(0/0,""),IFERROR(VLOOKUP(N181, 'Process Ref'!$A$76:$D$122, 2, FALSE), IFERROR(0/0,"")))</f>
        <v>ALL 3 COUNTS SAME meaning APS Collect = APS Result = RFR</v>
      </c>
      <c r="R181" s="92">
        <f>IFNA(MATCH(A181,'RFR Data - preExcl'!A$2:A923,0),"")</f>
        <v>93</v>
      </c>
      <c r="S181" s="54"/>
      <c r="T181" s="8" t="str">
        <f>IF(AND(NOT(ISBLANK(U181)),NOT(ISBLANK(V181)),NOT(ISBLANK(W181))),CONCATENATE("RUN-",'Process Ref'!$A$1,"_",TEXT(V181,"YYYY-MM-DD"),"_APS-",TEXT(W181,"000")),IFERROR(0/0,""))</f>
        <v>RUN-FLMP_2021-03-08_APS-037</v>
      </c>
      <c r="U181" s="14">
        <f t="shared" si="61"/>
        <v>44263</v>
      </c>
      <c r="V181" s="190">
        <v>44263.0</v>
      </c>
      <c r="W181" s="191">
        <f t="shared" si="62"/>
        <v>37</v>
      </c>
      <c r="X181" s="86"/>
      <c r="Z181" s="131"/>
      <c r="AA181" s="14"/>
      <c r="AG181" s="86"/>
      <c r="AJ181" s="86"/>
    </row>
    <row r="182">
      <c r="A182" s="143"/>
      <c r="B182" s="73">
        <v>44654.0</v>
      </c>
      <c r="C182" s="144" t="str">
        <f t="shared" si="2"/>
        <v/>
      </c>
      <c r="D182" s="145" t="str">
        <f t="array" ref="D182">IF(OR(ISBLANK($A182),$C182),IFERROR(0/0,""),INDEX('RFR Data - preExcl'!E$2:E923,$R182,1))</f>
        <v/>
      </c>
      <c r="E182" s="145" t="str">
        <f t="array" ref="E182">IF(OR(ISBLANK($A182),$C182),IFERROR(0/0,""),INDEX('RFR Data - preExcl'!Z$2:Z923,$R182,1))</f>
        <v/>
      </c>
      <c r="F182" s="145" t="str">
        <f t="array" ref="F182">IF(OR(ISBLANK(A182),C182),IFERROR(0/0,""),INDEX('RFR Data - preExcl'!AC$2:AC923,$R182,1))</f>
        <v/>
      </c>
      <c r="G182" s="145" t="str">
        <f t="array" ref="G182">IF(OR(ISBLANK(A182),C182),IFERROR(0/0,""),INDEX('RFR Data - preExcl'!AK$2:AK923,$R182,1))</f>
        <v/>
      </c>
      <c r="H182" s="145" t="str">
        <f t="array" ref="H182">IF(OR(ISBLANK(A182),C182),IFERROR(0/0,""),INDEX('RFR Data - preExcl'!AL$2:AL923,$R182,1))</f>
        <v/>
      </c>
      <c r="I182" s="146">
        <f>IFERROR(VLOOKUP($B182,'APS Tubes by Date IMPORT'!$B$2:$J923,2,FALSE),"")</f>
        <v>3</v>
      </c>
      <c r="J182" s="145" t="str">
        <f>IFERROR(VLOOKUP($B182,'APS Tubes by Date IMPORT'!$B$2:$J923,9,FALSE),"")</f>
        <v/>
      </c>
      <c r="K182" s="145">
        <f>IFNA(VLOOKUP($B182,'APS Tubes by Date IMPORT'!$B$2:$J923,6,FALSE),"")</f>
        <v>0</v>
      </c>
      <c r="L182" s="145"/>
      <c r="M182" s="145"/>
      <c r="N182" s="147">
        <v>6.1</v>
      </c>
      <c r="O182" s="143" t="str">
        <f t="shared" si="57"/>
        <v/>
      </c>
      <c r="P182" s="148" t="str">
        <f>IF(ISBLANK(N182),IFERROR(0/0,""),IFERROR(VLOOKUP(N182, 'Process Ref'!$A$76:$D$122, 2, FALSE), IFERROR(0/0,"")))</f>
        <v>No Run - APS Collect run next day</v>
      </c>
      <c r="Q182" s="143"/>
      <c r="R182" s="92" t="str">
        <f>IFNA(MATCH(A182,'RFR Data - preExcl'!A$2:A923,0),"")</f>
        <v/>
      </c>
      <c r="S182" s="54"/>
      <c r="T182" s="8" t="str">
        <f>IF(AND(NOT(ISBLANK(U182)),NOT(ISBLANK(V182)),NOT(ISBLANK(W182))),CONCATENATE("RUN-",'Process Ref'!$A$1,"_",TEXT(V182,"YYYY-MM-DD"),"_APS-",TEXT(W182,"000")),IFERROR(0/0,""))</f>
        <v>RUN-FLMP_2021-03-10_APS-038</v>
      </c>
      <c r="U182" s="14">
        <f t="shared" si="61"/>
        <v>44265</v>
      </c>
      <c r="V182" s="190">
        <v>44265.0</v>
      </c>
      <c r="W182" s="191">
        <f t="shared" si="62"/>
        <v>38</v>
      </c>
      <c r="X182" s="86"/>
      <c r="Z182" s="131"/>
      <c r="AA182" s="14"/>
      <c r="AG182" s="86"/>
      <c r="AJ182" s="86"/>
    </row>
    <row r="183">
      <c r="A183" s="8" t="s">
        <v>196</v>
      </c>
      <c r="B183" s="14">
        <v>44655.0</v>
      </c>
      <c r="C183" s="88" t="str">
        <f t="shared" si="2"/>
        <v/>
      </c>
      <c r="D183" s="16">
        <f t="array" ref="D183">IF(OR(ISBLANK($A183),$C183),IFERROR(0/0,""),INDEX('RFR Data - preExcl'!E$2:E923,$R183,1))</f>
        <v>26</v>
      </c>
      <c r="E183" s="16">
        <f t="array" ref="E183">IF(OR(ISBLANK($A183),$C183),IFERROR(0/0,""),INDEX('RFR Data - preExcl'!Z$2:Z923,$R183,1))</f>
        <v>28</v>
      </c>
      <c r="F183" s="16">
        <f t="array" ref="F183">IF(OR(ISBLANK(A183),C183),IFERROR(0/0,""),INDEX('RFR Data - preExcl'!AC$2:AC923,$R183,1))</f>
        <v>30</v>
      </c>
      <c r="G183" s="16">
        <f t="array" ref="G183">IF(OR(ISBLANK(A183),C183),IFERROR(0/0,""),INDEX('RFR Data - preExcl'!AK$2:AK923,$R183,1))</f>
        <v>26</v>
      </c>
      <c r="H183" s="16">
        <f t="array" ref="H183">IF(OR(ISBLANK(A183),C183),IFERROR(0/0,""),INDEX('RFR Data - preExcl'!AL$2:AL923,$R183,1))</f>
        <v>1.1</v>
      </c>
      <c r="I183" s="128">
        <f>IFERROR(VLOOKUP($B183,'APS Tubes by Date IMPORT'!$B$2:$J923,2,FALSE),"")</f>
        <v>22</v>
      </c>
      <c r="J183" s="16" t="b">
        <f>IFERROR(VLOOKUP($B183,'APS Tubes by Date IMPORT'!$B$2:$J923,9,FALSE),"")</f>
        <v>1</v>
      </c>
      <c r="K183" s="16">
        <f>IFNA(VLOOKUP($B183,'APS Tubes by Date IMPORT'!$B$2:$J923,6,FALSE),"")</f>
        <v>0</v>
      </c>
      <c r="L183" s="177">
        <f>G183</f>
        <v>26</v>
      </c>
      <c r="M183" s="21">
        <f>L183-I183-I182</f>
        <v>1</v>
      </c>
      <c r="N183" s="116">
        <v>2.0</v>
      </c>
      <c r="O183" s="30" t="b">
        <f t="shared" si="57"/>
        <v>1</v>
      </c>
      <c r="P183" s="91" t="str">
        <f>IF(ISBLANK(N183),IFERROR(0/0,""),IFERROR(VLOOKUP(N183, 'Process Ref'!$A$76:$D$122, 2, FALSE), IFERROR(0/0,"")))</f>
        <v>Use Audit RFR count (extra tubes in RFR not in Appivo)</v>
      </c>
      <c r="Q183" s="18" t="s">
        <v>361</v>
      </c>
      <c r="R183" s="92">
        <f>IFNA(MATCH(A183,'RFR Data - preExcl'!A$2:A923,0),"")</f>
        <v>94</v>
      </c>
      <c r="S183" s="54"/>
      <c r="T183" s="8" t="str">
        <f>IF(AND(NOT(ISBLANK(U183)),NOT(ISBLANK(V183)),NOT(ISBLANK(W183))),CONCATENATE("RUN-",'Process Ref'!$A$1,"_",TEXT(V183,"YYYY-MM-DD"),"_APS-",TEXT(W183,"000")),IFERROR(0/0,""))</f>
        <v>RUN-FLMP_2021-03-12_APS-039</v>
      </c>
      <c r="U183" s="14">
        <f t="shared" si="61"/>
        <v>44267</v>
      </c>
      <c r="V183" s="190">
        <v>44267.0</v>
      </c>
      <c r="W183" s="191">
        <f t="shared" si="62"/>
        <v>39</v>
      </c>
      <c r="X183" s="86"/>
      <c r="Z183" s="103"/>
      <c r="AG183" s="86"/>
      <c r="AJ183" s="86"/>
    </row>
    <row r="184">
      <c r="A184" s="143"/>
      <c r="B184" s="73">
        <v>44657.0</v>
      </c>
      <c r="C184" s="144" t="str">
        <f t="shared" si="2"/>
        <v/>
      </c>
      <c r="D184" s="145" t="str">
        <f t="array" ref="D184">IF(OR(ISBLANK($A184),$C184),IFERROR(0/0,""),INDEX('RFR Data - preExcl'!E$2:E923,$R184,1))</f>
        <v/>
      </c>
      <c r="E184" s="145" t="str">
        <f t="array" ref="E184">IF(OR(ISBLANK($A184),$C184),IFERROR(0/0,""),INDEX('RFR Data - preExcl'!Z$2:Z923,$R184,1))</f>
        <v/>
      </c>
      <c r="F184" s="145" t="str">
        <f t="array" ref="F184">IF(OR(ISBLANK(A184),C184),IFERROR(0/0,""),INDEX('RFR Data - preExcl'!AC$2:AC923,$R184,1))</f>
        <v/>
      </c>
      <c r="G184" s="145" t="str">
        <f t="array" ref="G184">IF(OR(ISBLANK(A184),C184),IFERROR(0/0,""),INDEX('RFR Data - preExcl'!AK$2:AK923,$R184,1))</f>
        <v/>
      </c>
      <c r="H184" s="145" t="str">
        <f t="array" ref="H184">IF(OR(ISBLANK(A184),C184),IFERROR(0/0,""),INDEX('RFR Data - preExcl'!AL$2:AL923,$R184,1))</f>
        <v/>
      </c>
      <c r="I184" s="146">
        <f>IFERROR(VLOOKUP($B184,'APS Tubes by Date IMPORT'!$B$2:$J923,2,FALSE),"")</f>
        <v>1</v>
      </c>
      <c r="J184" s="145" t="str">
        <f>IFERROR(VLOOKUP($B184,'APS Tubes by Date IMPORT'!$B$2:$J923,9,FALSE),"")</f>
        <v/>
      </c>
      <c r="K184" s="145">
        <f>IFNA(VLOOKUP($B184,'APS Tubes by Date IMPORT'!$B$2:$J923,6,FALSE),"")</f>
        <v>0</v>
      </c>
      <c r="L184" s="145"/>
      <c r="M184" s="145"/>
      <c r="N184" s="147">
        <v>6.1</v>
      </c>
      <c r="O184" s="143" t="str">
        <f t="shared" si="57"/>
        <v/>
      </c>
      <c r="P184" s="148" t="str">
        <f>IF(ISBLANK(N184),IFERROR(0/0,""),IFERROR(VLOOKUP(N184, 'Process Ref'!$A$76:$D$122, 2, FALSE), IFERROR(0/0,"")))</f>
        <v>No Run - APS Collect run next day</v>
      </c>
      <c r="Q184" s="143"/>
      <c r="R184" s="92" t="str">
        <f>IFNA(MATCH(A184,'RFR Data - preExcl'!A$2:A923,0),"")</f>
        <v/>
      </c>
      <c r="S184" s="54"/>
      <c r="T184" s="8" t="str">
        <f>IF(AND(NOT(ISBLANK(U184)),NOT(ISBLANK(V184)),NOT(ISBLANK(W184))),CONCATENATE("RUN-",'Process Ref'!$A$1,"_",TEXT(V184,"YYYY-MM-DD"),"_APS-",TEXT(W184,"000")),IFERROR(0/0,""))</f>
        <v>RUN-FLMP_2021-03-15_APS-040</v>
      </c>
      <c r="U184" s="14">
        <f t="shared" si="61"/>
        <v>44270</v>
      </c>
      <c r="V184" s="190">
        <v>44270.0</v>
      </c>
      <c r="W184" s="191">
        <f t="shared" si="62"/>
        <v>40</v>
      </c>
      <c r="X184" s="86"/>
      <c r="Z184" s="103"/>
      <c r="AG184" s="86"/>
      <c r="AJ184" s="86"/>
    </row>
    <row r="185">
      <c r="A185" s="8" t="s">
        <v>197</v>
      </c>
      <c r="B185" s="14">
        <v>44658.0</v>
      </c>
      <c r="C185" s="88" t="str">
        <f t="shared" si="2"/>
        <v/>
      </c>
      <c r="D185" s="16">
        <f t="array" ref="D185">IF(OR(ISBLANK($A185),$C185),IFERROR(0/0,""),INDEX('RFR Data - preExcl'!E$2:E923,$R185,1))</f>
        <v>21</v>
      </c>
      <c r="E185" s="16" t="str">
        <f t="array" ref="E185">IF(OR(ISBLANK($A185),$C185),IFERROR(0/0,""),INDEX('RFR Data - preExcl'!Z$2:Z923,$R185,1))</f>
        <v/>
      </c>
      <c r="F185" s="16">
        <f t="array" ref="F185">IF(OR(ISBLANK(A185),C185),IFERROR(0/0,""),INDEX('RFR Data - preExcl'!AC$2:AC923,$R185,1))</f>
        <v>22</v>
      </c>
      <c r="G185" s="16">
        <f t="array" ref="G185">IF(OR(ISBLANK(A185),C185),IFERROR(0/0,""),INDEX('RFR Data - preExcl'!AK$2:AK923,$R185,1))</f>
        <v>21</v>
      </c>
      <c r="H185" s="16">
        <f t="array" ref="H185">IF(OR(ISBLANK(A185),C185),IFERROR(0/0,""),INDEX('RFR Data - preExcl'!AL$2:AL923,$R185,1))</f>
        <v>4</v>
      </c>
      <c r="I185" s="128">
        <f>IFERROR(VLOOKUP($B185,'APS Tubes by Date IMPORT'!$B$2:$J923,2,FALSE),"")</f>
        <v>19</v>
      </c>
      <c r="J185" s="16" t="b">
        <f>IFERROR(VLOOKUP($B185,'APS Tubes by Date IMPORT'!$B$2:$J923,9,FALSE),"")</f>
        <v>1</v>
      </c>
      <c r="K185" s="16">
        <f>IFNA(VLOOKUP($B185,'APS Tubes by Date IMPORT'!$B$2:$J923,6,FALSE),"")</f>
        <v>0</v>
      </c>
      <c r="L185" s="177">
        <f>G185</f>
        <v>21</v>
      </c>
      <c r="M185" s="21">
        <f>L185-I185-I184</f>
        <v>1</v>
      </c>
      <c r="N185" s="116">
        <v>2.0</v>
      </c>
      <c r="O185" s="30" t="b">
        <f t="shared" si="57"/>
        <v>1</v>
      </c>
      <c r="P185" s="91" t="str">
        <f>IF(ISBLANK(N185),IFERROR(0/0,""),IFERROR(VLOOKUP(N185, 'Process Ref'!$A$76:$D$122, 2, FALSE), IFERROR(0/0,"")))</f>
        <v>Use Audit RFR count (extra tubes in RFR not in Appivo)</v>
      </c>
      <c r="Q185" s="18" t="s">
        <v>362</v>
      </c>
      <c r="R185" s="92">
        <f>IFNA(MATCH(A185,'RFR Data - preExcl'!A$2:A923,0),"")</f>
        <v>96</v>
      </c>
      <c r="S185" s="54"/>
      <c r="T185" s="8" t="str">
        <f>IF(AND(NOT(ISBLANK(U185)),NOT(ISBLANK(V185)),NOT(ISBLANK(W185))),CONCATENATE("RUN-",'Process Ref'!$A$1,"_",TEXT(V185,"YYYY-MM-DD"),"_APS-",TEXT(W185,"000")),IFERROR(0/0,""))</f>
        <v>RUN-FLMP_2021-03-17_APS-041</v>
      </c>
      <c r="U185" s="14">
        <f t="shared" si="61"/>
        <v>44272</v>
      </c>
      <c r="V185" s="190">
        <v>44272.0</v>
      </c>
      <c r="W185" s="191">
        <f t="shared" si="62"/>
        <v>41</v>
      </c>
      <c r="X185" s="86"/>
      <c r="Z185" s="103"/>
      <c r="AG185" s="86"/>
      <c r="AJ185" s="86"/>
    </row>
    <row r="186">
      <c r="A186" s="143"/>
      <c r="B186" s="73">
        <v>44661.0</v>
      </c>
      <c r="C186" s="144" t="str">
        <f t="shared" si="2"/>
        <v/>
      </c>
      <c r="D186" s="145" t="str">
        <f t="array" ref="D186">IF(OR(ISBLANK($A186),$C186),IFERROR(0/0,""),INDEX('RFR Data - preExcl'!E$2:E923,$R186,1))</f>
        <v/>
      </c>
      <c r="E186" s="145" t="str">
        <f t="array" ref="E186">IF(OR(ISBLANK($A186),$C186),IFERROR(0/0,""),INDEX('RFR Data - preExcl'!Z$2:Z923,$R186,1))</f>
        <v/>
      </c>
      <c r="F186" s="145" t="str">
        <f t="array" ref="F186">IF(OR(ISBLANK(A186),C186),IFERROR(0/0,""),INDEX('RFR Data - preExcl'!AC$2:AC923,$R186,1))</f>
        <v/>
      </c>
      <c r="G186" s="145" t="str">
        <f t="array" ref="G186">IF(OR(ISBLANK(A186),C186),IFERROR(0/0,""),INDEX('RFR Data - preExcl'!AK$2:AK923,$R186,1))</f>
        <v/>
      </c>
      <c r="H186" s="145" t="str">
        <f t="array" ref="H186">IF(OR(ISBLANK(A186),C186),IFERROR(0/0,""),INDEX('RFR Data - preExcl'!AL$2:AL923,$R186,1))</f>
        <v/>
      </c>
      <c r="I186" s="146">
        <f>IFERROR(VLOOKUP($B186,'APS Tubes by Date IMPORT'!$B$2:$J923,2,FALSE),"")</f>
        <v>1</v>
      </c>
      <c r="J186" s="145" t="str">
        <f>IFERROR(VLOOKUP($B186,'APS Tubes by Date IMPORT'!$B$2:$J923,9,FALSE),"")</f>
        <v/>
      </c>
      <c r="K186" s="145">
        <f>IFNA(VLOOKUP($B186,'APS Tubes by Date IMPORT'!$B$2:$J923,6,FALSE),"")</f>
        <v>0</v>
      </c>
      <c r="L186" s="145"/>
      <c r="M186" s="145"/>
      <c r="N186" s="147">
        <v>6.1</v>
      </c>
      <c r="O186" s="143" t="str">
        <f t="shared" si="57"/>
        <v/>
      </c>
      <c r="P186" s="148" t="str">
        <f>IF(ISBLANK(N186),IFERROR(0/0,""),IFERROR(VLOOKUP(N186, 'Process Ref'!$A$76:$D$122, 2, FALSE), IFERROR(0/0,"")))</f>
        <v>No Run - APS Collect run next day</v>
      </c>
      <c r="Q186" s="143"/>
      <c r="R186" s="92" t="str">
        <f>IFNA(MATCH(A186,'RFR Data - preExcl'!A$2:A923,0),"")</f>
        <v/>
      </c>
      <c r="S186" s="54"/>
      <c r="T186" s="8" t="str">
        <f>IF(AND(NOT(ISBLANK(U186)),NOT(ISBLANK(V186)),NOT(ISBLANK(W186))),CONCATENATE("RUN-",'Process Ref'!$A$1,"_",TEXT(V186,"YYYY-MM-DD"),"_APS-",TEXT(W186,"000")),IFERROR(0/0,""))</f>
        <v>RUN-FLMP_2021-03-26_APS-042</v>
      </c>
      <c r="U186" s="14">
        <f t="shared" si="61"/>
        <v>44281</v>
      </c>
      <c r="V186" s="190">
        <v>44281.0</v>
      </c>
      <c r="W186" s="191">
        <f t="shared" si="62"/>
        <v>42</v>
      </c>
      <c r="X186" s="86"/>
      <c r="Z186" s="131"/>
      <c r="AA186" s="14"/>
      <c r="AG186" s="86"/>
      <c r="AJ186" s="86"/>
    </row>
    <row r="187">
      <c r="A187" s="8" t="s">
        <v>198</v>
      </c>
      <c r="B187" s="14">
        <v>44662.0</v>
      </c>
      <c r="C187" s="88" t="str">
        <f t="shared" si="2"/>
        <v/>
      </c>
      <c r="D187" s="16">
        <f t="array" ref="D187">IF(OR(ISBLANK($A187),$C187),IFERROR(0/0,""),INDEX('RFR Data - preExcl'!E$2:E923,$R187,1))</f>
        <v>22</v>
      </c>
      <c r="E187" s="16">
        <f t="array" ref="E187">IF(OR(ISBLANK($A187),$C187),IFERROR(0/0,""),INDEX('RFR Data - preExcl'!Z$2:Z923,$R187,1))</f>
        <v>24</v>
      </c>
      <c r="F187" s="16">
        <f t="array" ref="F187">IF(OR(ISBLANK(A187),C187),IFERROR(0/0,""),INDEX('RFR Data - preExcl'!AC$2:AC923,$R187,1))</f>
        <v>22</v>
      </c>
      <c r="G187" s="16">
        <f t="array" ref="G187">IF(OR(ISBLANK(A187),C187),IFERROR(0/0,""),INDEX('RFR Data - preExcl'!AK$2:AK923,$R187,1))</f>
        <v>22</v>
      </c>
      <c r="H187" s="16">
        <f t="array" ref="H187">IF(OR(ISBLANK(A187),C187),IFERROR(0/0,""),INDEX('RFR Data - preExcl'!AL$2:AL923,$R187,1))</f>
        <v>2</v>
      </c>
      <c r="I187" s="128">
        <f>IFERROR(VLOOKUP($B187,'APS Tubes by Date IMPORT'!$B$2:$J923,2,FALSE),"")</f>
        <v>21</v>
      </c>
      <c r="J187" s="16" t="b">
        <f>IFERROR(VLOOKUP($B187,'APS Tubes by Date IMPORT'!$B$2:$J923,9,FALSE),"")</f>
        <v>1</v>
      </c>
      <c r="K187" s="16">
        <f>IFNA(VLOOKUP($B187,'APS Tubes by Date IMPORT'!$B$2:$J923,6,FALSE),"")</f>
        <v>0</v>
      </c>
      <c r="L187" s="177">
        <f t="shared" ref="L187:L188" si="67">G187</f>
        <v>22</v>
      </c>
      <c r="M187" s="21">
        <f>L187-I187-I186</f>
        <v>0</v>
      </c>
      <c r="N187" s="107">
        <v>6.0</v>
      </c>
      <c r="O187" s="30" t="str">
        <f t="shared" si="57"/>
        <v/>
      </c>
      <c r="P187" s="91" t="str">
        <f>IF(ISBLANK(N187),IFERROR(0/0,""),IFERROR(VLOOKUP(N187, 'Process Ref'!$A$76:$D$122, 2, FALSE), IFERROR(0/0,"")))</f>
        <v>Use Audit RFR - nets out with next or prev day</v>
      </c>
      <c r="Q187" s="18" t="s">
        <v>363</v>
      </c>
      <c r="R187" s="92">
        <f>IFNA(MATCH(A187,'RFR Data - preExcl'!A$2:A923,0),"")</f>
        <v>98</v>
      </c>
      <c r="S187" s="54"/>
      <c r="T187" s="8" t="str">
        <f>IF(AND(NOT(ISBLANK(U187)),NOT(ISBLANK(V187)),NOT(ISBLANK(W187))),CONCATENATE("RUN-",'Process Ref'!$A$1,"_",TEXT(V187,"YYYY-MM-DD"),"_APS-",TEXT(W187,"000")),IFERROR(0/0,""))</f>
        <v>RUN-FLMP_2021-03-29_APS-043</v>
      </c>
      <c r="U187" s="14">
        <f t="shared" si="61"/>
        <v>44284</v>
      </c>
      <c r="V187" s="190">
        <v>44284.0</v>
      </c>
      <c r="W187" s="191">
        <f t="shared" si="62"/>
        <v>43</v>
      </c>
      <c r="X187" s="86"/>
      <c r="Z187" s="131"/>
      <c r="AA187" s="14"/>
      <c r="AG187" s="86"/>
      <c r="AJ187" s="86"/>
    </row>
    <row r="188">
      <c r="A188" s="8" t="s">
        <v>199</v>
      </c>
      <c r="B188" s="14">
        <v>44665.0</v>
      </c>
      <c r="C188" s="88" t="str">
        <f t="shared" si="2"/>
        <v/>
      </c>
      <c r="D188" s="16">
        <f t="array" ref="D188">IF(OR(ISBLANK($A188),$C188),IFERROR(0/0,""),INDEX('RFR Data - preExcl'!E$2:E923,$R188,1))</f>
        <v>20</v>
      </c>
      <c r="E188" s="16">
        <f t="array" ref="E188">IF(OR(ISBLANK($A188),$C188),IFERROR(0/0,""),INDEX('RFR Data - preExcl'!Z$2:Z923,$R188,1))</f>
        <v>24</v>
      </c>
      <c r="F188" s="16">
        <f t="array" ref="F188">IF(OR(ISBLANK(A188),C188),IFERROR(0/0,""),INDEX('RFR Data - preExcl'!AC$2:AC923,$R188,1))</f>
        <v>22</v>
      </c>
      <c r="G188" s="16">
        <f t="array" ref="G188">IF(OR(ISBLANK(A188),C188),IFERROR(0/0,""),INDEX('RFR Data - preExcl'!AK$2:AK923,$R188,1))</f>
        <v>20</v>
      </c>
      <c r="H188" s="16">
        <f t="array" ref="H188">IF(OR(ISBLANK(A188),C188),IFERROR(0/0,""),INDEX('RFR Data - preExcl'!AL$2:AL923,$R188,1))</f>
        <v>1.1</v>
      </c>
      <c r="I188" s="16">
        <f>IFERROR(VLOOKUP($B188,'APS Tubes by Date IMPORT'!$B$2:$J923,2,FALSE),"")</f>
        <v>19</v>
      </c>
      <c r="J188" s="16" t="b">
        <f>IFERROR(VLOOKUP($B188,'APS Tubes by Date IMPORT'!$B$2:$J923,9,FALSE),"")</f>
        <v>1</v>
      </c>
      <c r="K188" s="16">
        <f>IFNA(VLOOKUP($B188,'APS Tubes by Date IMPORT'!$B$2:$J923,6,FALSE),"")</f>
        <v>0</v>
      </c>
      <c r="L188" s="89">
        <f t="shared" si="67"/>
        <v>20</v>
      </c>
      <c r="M188" s="21">
        <f t="shared" ref="M188:M189" si="68">L188-I188</f>
        <v>1</v>
      </c>
      <c r="N188" s="116">
        <v>2.0</v>
      </c>
      <c r="O188" s="30" t="b">
        <f t="shared" si="57"/>
        <v>1</v>
      </c>
      <c r="P188" s="91" t="str">
        <f>IF(ISBLANK(N188),IFERROR(0/0,""),IFERROR(VLOOKUP(N188, 'Process Ref'!$A$76:$D$122, 2, FALSE), IFERROR(0/0,"")))</f>
        <v>Use Audit RFR count (extra tubes in RFR not in Appivo)</v>
      </c>
      <c r="Q188" s="18" t="s">
        <v>364</v>
      </c>
      <c r="R188" s="92">
        <f>IFNA(MATCH(A188,'RFR Data - preExcl'!A$2:A923,0),"")</f>
        <v>100</v>
      </c>
      <c r="S188" s="54"/>
      <c r="T188" s="8" t="str">
        <f>IF(AND(NOT(ISBLANK(U188)),NOT(ISBLANK(V188)),NOT(ISBLANK(W188))),CONCATENATE("RUN-",'Process Ref'!$A$1,"_",TEXT(V188,"YYYY-MM-DD"),"_APS-",TEXT(W188,"000")),IFERROR(0/0,""))</f>
        <v>RUN-FLMP_2021-04-16_APS-044</v>
      </c>
      <c r="U188" s="14">
        <f t="shared" si="61"/>
        <v>44302</v>
      </c>
      <c r="V188" s="190">
        <v>44302.0</v>
      </c>
      <c r="W188" s="191">
        <f t="shared" si="62"/>
        <v>44</v>
      </c>
      <c r="X188" s="86"/>
      <c r="Z188" s="103"/>
      <c r="AG188" s="86"/>
      <c r="AJ188" s="86"/>
    </row>
    <row r="189">
      <c r="A189" s="8" t="s">
        <v>200</v>
      </c>
      <c r="B189" s="14">
        <v>44667.0</v>
      </c>
      <c r="C189" s="88" t="b">
        <f t="shared" si="2"/>
        <v>1</v>
      </c>
      <c r="D189" s="16" t="str">
        <f t="array" ref="D189">IF(OR(ISBLANK($A189),$C189),IFERROR(0/0,""),INDEX('RFR Data - preExcl'!E$2:E923,$R189,1))</f>
        <v/>
      </c>
      <c r="E189" s="16" t="str">
        <f t="array" ref="E189">IF(OR(ISBLANK($A189),$C189),IFERROR(0/0,""),INDEX('RFR Data - preExcl'!Z$2:Z923,$R189,1))</f>
        <v/>
      </c>
      <c r="F189" s="16" t="str">
        <f t="array" ref="F189">IF(OR(ISBLANK(A189),C189),IFERROR(0/0,""),INDEX('RFR Data - preExcl'!AC$2:AC923,$R189,1))</f>
        <v/>
      </c>
      <c r="G189" s="16" t="str">
        <f t="array" ref="G189">IF(OR(ISBLANK(A189),C189),IFERROR(0/0,""),INDEX('RFR Data - preExcl'!AK$2:AK923,$R189,1))</f>
        <v/>
      </c>
      <c r="H189" s="16" t="str">
        <f t="array" ref="H189">IF(OR(ISBLANK(A189),C189),IFERROR(0/0,""),INDEX('RFR Data - preExcl'!AL$2:AL923,$R189,1))</f>
        <v/>
      </c>
      <c r="I189" s="16">
        <f>IFERROR(VLOOKUP($B189,'APS Tubes by Date IMPORT'!$B$2:$J923,2,FALSE),"")</f>
        <v>1</v>
      </c>
      <c r="J189" s="16" t="b">
        <f>IFERROR(VLOOKUP($B189,'APS Tubes by Date IMPORT'!$B$2:$J923,9,FALSE),"")</f>
        <v>1</v>
      </c>
      <c r="K189" s="16">
        <f>IFNA(VLOOKUP($B189,'APS Tubes by Date IMPORT'!$B$2:$J923,6,FALSE),"")</f>
        <v>0</v>
      </c>
      <c r="L189" s="109">
        <f>I189</f>
        <v>1</v>
      </c>
      <c r="M189" s="16">
        <f t="shared" si="68"/>
        <v>0</v>
      </c>
      <c r="N189" s="90">
        <v>3.4</v>
      </c>
      <c r="O189" s="30" t="b">
        <f t="shared" si="57"/>
        <v>1</v>
      </c>
      <c r="P189" s="91" t="str">
        <f>IF(ISBLANK(N189),IFERROR(0/0,""),IFERROR(VLOOKUP(N189, 'Process Ref'!$A$76:$D$122, 2, FALSE), IFERROR(0/0,"")))</f>
        <v>Add Run from APS with no RFR (assume run on same day as Collect, ignore Result day)</v>
      </c>
      <c r="Q189" s="18" t="s">
        <v>365</v>
      </c>
      <c r="R189" s="92" t="str">
        <f>IFNA(MATCH(A189,'RFR Data - preExcl'!A$2:A923,0),"")</f>
        <v/>
      </c>
      <c r="S189" s="54"/>
      <c r="T189" s="8" t="str">
        <f>IF(AND(NOT(ISBLANK(U189)),NOT(ISBLANK(V189)),NOT(ISBLANK(W189))),CONCATENATE("RUN-",'Process Ref'!$A$1,"_",TEXT(V189,"YYYY-MM-DD"),"_APS-",TEXT(W189,"000")),IFERROR(0/0,""))</f>
        <v>RUN-FLMP_2021-05-09_APS-045</v>
      </c>
      <c r="U189" s="14">
        <f t="shared" si="61"/>
        <v>44325</v>
      </c>
      <c r="V189" s="190">
        <v>44325.0</v>
      </c>
      <c r="W189" s="191">
        <f t="shared" si="62"/>
        <v>45</v>
      </c>
      <c r="X189" s="86"/>
      <c r="Y189" s="18"/>
      <c r="Z189" s="131"/>
      <c r="AA189" s="14"/>
      <c r="AG189" s="86"/>
      <c r="AJ189" s="86"/>
    </row>
    <row r="190">
      <c r="A190" s="143"/>
      <c r="B190" s="73">
        <v>44668.0</v>
      </c>
      <c r="C190" s="144" t="str">
        <f t="shared" si="2"/>
        <v/>
      </c>
      <c r="D190" s="145" t="str">
        <f t="array" ref="D190">IF(OR(ISBLANK($A190),$C190),IFERROR(0/0,""),INDEX('RFR Data - preExcl'!E$2:E923,$R190,1))</f>
        <v/>
      </c>
      <c r="E190" s="145"/>
      <c r="F190" s="145" t="str">
        <f t="array" ref="F190">IF(OR(ISBLANK(A190),C190),IFERROR(0/0,""),INDEX('RFR Data - preExcl'!AC$2:AC923,$R190,1))</f>
        <v/>
      </c>
      <c r="G190" s="145" t="str">
        <f t="array" ref="G190">IF(OR(ISBLANK(A190),C190),IFERROR(0/0,""),INDEX('RFR Data - preExcl'!AK$2:AK923,$R190,1))</f>
        <v/>
      </c>
      <c r="H190" s="145" t="str">
        <f t="array" ref="H190">IF(OR(ISBLANK(A190),C190),IFERROR(0/0,""),INDEX('RFR Data - preExcl'!AL$2:AL923,$R190,1))</f>
        <v/>
      </c>
      <c r="I190" s="146">
        <f>IFERROR(VLOOKUP($B190,'APS Tubes by Date IMPORT'!$B$2:$J923,2,FALSE),"")</f>
        <v>2</v>
      </c>
      <c r="J190" s="145" t="str">
        <f>IFERROR(VLOOKUP($B190,'APS Tubes by Date IMPORT'!$B$2:$J923,9,FALSE),"")</f>
        <v/>
      </c>
      <c r="K190" s="145">
        <f>IFNA(VLOOKUP($B190,'APS Tubes by Date IMPORT'!$B$2:$J923,6,FALSE),"")</f>
        <v>0</v>
      </c>
      <c r="L190" s="145"/>
      <c r="M190" s="145"/>
      <c r="N190" s="147">
        <v>6.1</v>
      </c>
      <c r="O190" s="143" t="str">
        <f t="shared" si="57"/>
        <v/>
      </c>
      <c r="P190" s="148" t="str">
        <f>IF(ISBLANK(N190),IFERROR(0/0,""),IFERROR(VLOOKUP(N190, 'Process Ref'!$A$76:$D$122, 2, FALSE), IFERROR(0/0,"")))</f>
        <v>No Run - APS Collect run next day</v>
      </c>
      <c r="Q190" s="143"/>
      <c r="R190" s="92" t="str">
        <f>IFNA(MATCH(A190,'RFR Data - preExcl'!A$2:A923,0),"")</f>
        <v/>
      </c>
      <c r="S190" s="54"/>
      <c r="T190" s="8" t="str">
        <f>IF(AND(NOT(ISBLANK(U190)),NOT(ISBLANK(V190)),NOT(ISBLANK(W190))),CONCATENATE("RUN-",'Process Ref'!$A$1,"_",TEXT(V190,"YYYY-MM-DD"),"_APS-",TEXT(W190,"000")),IFERROR(0/0,""))</f>
        <v>RUN-FLMP_2021-05-10_APS-046</v>
      </c>
      <c r="U190" s="14">
        <f t="shared" si="61"/>
        <v>44326</v>
      </c>
      <c r="V190" s="190">
        <v>44326.0</v>
      </c>
      <c r="W190" s="191">
        <f t="shared" si="62"/>
        <v>46</v>
      </c>
      <c r="X190" s="86"/>
      <c r="Z190" s="103"/>
      <c r="AG190" s="86"/>
      <c r="AJ190" s="86"/>
    </row>
    <row r="191">
      <c r="A191" s="8" t="s">
        <v>201</v>
      </c>
      <c r="B191" s="14">
        <v>44669.0</v>
      </c>
      <c r="C191" s="88" t="str">
        <f t="shared" si="2"/>
        <v/>
      </c>
      <c r="D191" s="16">
        <f t="array" ref="D191">IF(OR(ISBLANK($A191),$C191),IFERROR(0/0,""),INDEX('RFR Data - preExcl'!E$2:E923,$R191,1))</f>
        <v>24</v>
      </c>
      <c r="E191" s="16">
        <f t="array" ref="E191">IF(OR(ISBLANK($A191),$C191),IFERROR(0/0,""),INDEX('RFR Data - preExcl'!Z$2:Z923,$R191,1))</f>
        <v>26</v>
      </c>
      <c r="F191" s="16">
        <f t="array" ref="F191">IF(OR(ISBLANK(A191),C191),IFERROR(0/0,""),INDEX('RFR Data - preExcl'!AC$2:AC923,$R191,1))</f>
        <v>24</v>
      </c>
      <c r="G191" s="16">
        <f t="array" ref="G191">IF(OR(ISBLANK(A191),C191),IFERROR(0/0,""),INDEX('RFR Data - preExcl'!AK$2:AK923,$R191,1))</f>
        <v>24</v>
      </c>
      <c r="H191" s="16">
        <f t="array" ref="H191">IF(OR(ISBLANK(A191),C191),IFERROR(0/0,""),INDEX('RFR Data - preExcl'!AL$2:AL923,$R191,1))</f>
        <v>1.1</v>
      </c>
      <c r="I191" s="128">
        <f>IFERROR(VLOOKUP($B191,'APS Tubes by Date IMPORT'!$B$2:$J923,2,FALSE),"")</f>
        <v>20</v>
      </c>
      <c r="J191" s="16" t="b">
        <f>IFERROR(VLOOKUP($B191,'APS Tubes by Date IMPORT'!$B$2:$J923,9,FALSE),"")</f>
        <v>1</v>
      </c>
      <c r="K191" s="16">
        <f>IFNA(VLOOKUP($B191,'APS Tubes by Date IMPORT'!$B$2:$J923,6,FALSE),"")</f>
        <v>0</v>
      </c>
      <c r="L191" s="89">
        <f t="shared" ref="L191:L194" si="69">G191</f>
        <v>24</v>
      </c>
      <c r="M191" s="21">
        <f>L191-I191-I190</f>
        <v>2</v>
      </c>
      <c r="N191" s="116">
        <v>2.0</v>
      </c>
      <c r="O191" s="30" t="b">
        <f t="shared" si="57"/>
        <v>1</v>
      </c>
      <c r="P191" s="91" t="str">
        <f>IF(ISBLANK(N191),IFERROR(0/0,""),IFERROR(VLOOKUP(N191, 'Process Ref'!$A$76:$D$122, 2, FALSE), IFERROR(0/0,"")))</f>
        <v>Use Audit RFR count (extra tubes in RFR not in Appivo)</v>
      </c>
      <c r="Q191" s="18" t="s">
        <v>363</v>
      </c>
      <c r="R191" s="92">
        <f>IFNA(MATCH(A191,'RFR Data - preExcl'!A$2:A923,0),"")</f>
        <v>102</v>
      </c>
      <c r="S191" s="54"/>
      <c r="T191" s="8" t="str">
        <f>IF(AND(NOT(ISBLANK(U191)),NOT(ISBLANK(V191)),NOT(ISBLANK(W191))),CONCATENATE("RUN-",'Process Ref'!$A$1,"_",TEXT(V191,"YYYY-MM-DD"),"_APS-",TEXT(W191,"000")),IFERROR(0/0,""))</f>
        <v>RUN-FLMP_2021-05-18_APS-047</v>
      </c>
      <c r="U191" s="14">
        <f t="shared" si="61"/>
        <v>44334</v>
      </c>
      <c r="V191" s="190">
        <v>44334.0</v>
      </c>
      <c r="W191" s="191">
        <f t="shared" si="62"/>
        <v>47</v>
      </c>
      <c r="X191" s="86"/>
      <c r="Z191" s="103"/>
      <c r="AG191" s="86"/>
      <c r="AJ191" s="86"/>
    </row>
    <row r="192">
      <c r="A192" s="8" t="s">
        <v>202</v>
      </c>
      <c r="B192" s="14">
        <v>44670.0</v>
      </c>
      <c r="C192" s="88" t="str">
        <f t="shared" si="2"/>
        <v/>
      </c>
      <c r="D192" s="16">
        <f t="array" ref="D192">IF(OR(ISBLANK($A192),$C192),IFERROR(0/0,""),INDEX('RFR Data - preExcl'!E$2:E923,$R192,1))</f>
        <v>5</v>
      </c>
      <c r="E192" s="16">
        <f t="array" ref="E192">IF(OR(ISBLANK($A192),$C192),IFERROR(0/0,""),INDEX('RFR Data - preExcl'!Z$2:Z923,$R192,1))</f>
        <v>8</v>
      </c>
      <c r="F192" s="16">
        <f t="array" ref="F192">IF(OR(ISBLANK(A192),C192),IFERROR(0/0,""),INDEX('RFR Data - preExcl'!AC$2:AC923,$R192,1))</f>
        <v>6</v>
      </c>
      <c r="G192" s="16">
        <f t="array" ref="G192">IF(OR(ISBLANK(A192),C192),IFERROR(0/0,""),INDEX('RFR Data - preExcl'!AK$2:AK923,$R192,1))</f>
        <v>5</v>
      </c>
      <c r="H192" s="16">
        <f t="array" ref="H192">IF(OR(ISBLANK(A192),C192),IFERROR(0/0,""),INDEX('RFR Data - preExcl'!AL$2:AL923,$R192,1))</f>
        <v>0</v>
      </c>
      <c r="I192" s="16">
        <f>IFERROR(VLOOKUP($B192,'APS Tubes by Date IMPORT'!$B$2:$J923,2,FALSE),"")</f>
        <v>5</v>
      </c>
      <c r="J192" s="16" t="b">
        <f>IFERROR(VLOOKUP($B192,'APS Tubes by Date IMPORT'!$B$2:$J923,9,FALSE),"")</f>
        <v>1</v>
      </c>
      <c r="K192" s="16">
        <f>IFNA(VLOOKUP($B192,'APS Tubes by Date IMPORT'!$B$2:$J923,6,FALSE),"")</f>
        <v>0</v>
      </c>
      <c r="L192" s="89">
        <f t="shared" si="69"/>
        <v>5</v>
      </c>
      <c r="M192" s="21">
        <f>L192-I192</f>
        <v>0</v>
      </c>
      <c r="N192" s="105">
        <v>0.0</v>
      </c>
      <c r="O192" s="30" t="b">
        <f t="shared" si="57"/>
        <v>1</v>
      </c>
      <c r="P192" s="91" t="str">
        <f>IF(ISBLANK(N192),IFERROR(0/0,""),IFERROR(VLOOKUP(N192, 'Process Ref'!$A$76:$D$122, 2, FALSE), IFERROR(0/0,"")))</f>
        <v>ALL 3 COUNTS SAME meaning APS Collect = APS Result = RFR</v>
      </c>
      <c r="Q192" s="18" t="s">
        <v>366</v>
      </c>
      <c r="R192" s="92">
        <f>IFNA(MATCH(A192,'RFR Data - preExcl'!A$2:A923,0),"")</f>
        <v>104</v>
      </c>
      <c r="S192" s="54"/>
      <c r="T192" s="8" t="str">
        <f>IF(AND(NOT(ISBLANK(U192)),NOT(ISBLANK(V192)),NOT(ISBLANK(W192))),CONCATENATE("RUN-",'Process Ref'!$A$1,"_",TEXT(V192,"YYYY-MM-DD"),"_APS-",TEXT(W192,"000")),IFERROR(0/0,""))</f>
        <v>RUN-FLMP_2021-06-17_APS-048</v>
      </c>
      <c r="U192" s="14">
        <f t="shared" si="61"/>
        <v>44364</v>
      </c>
      <c r="V192" s="190">
        <v>44364.0</v>
      </c>
      <c r="W192" s="191">
        <f t="shared" si="62"/>
        <v>48</v>
      </c>
      <c r="X192" s="86"/>
      <c r="Z192" s="103"/>
      <c r="AG192" s="86"/>
      <c r="AJ192" s="86"/>
    </row>
    <row r="193">
      <c r="A193" s="8" t="s">
        <v>203</v>
      </c>
      <c r="B193" s="14">
        <v>44672.0</v>
      </c>
      <c r="C193" s="88" t="str">
        <f t="shared" si="2"/>
        <v/>
      </c>
      <c r="D193" s="16">
        <f t="array" ref="D193">IF(OR(ISBLANK($A193),$C193),IFERROR(0/0,""),INDEX('RFR Data - preExcl'!E$2:E923,$R193,1))</f>
        <v>23</v>
      </c>
      <c r="E193" s="16">
        <f t="array" ref="E193">IF(OR(ISBLANK($A193),$C193),IFERROR(0/0,""),INDEX('RFR Data - preExcl'!Z$2:Z923,$R193,1))</f>
        <v>25</v>
      </c>
      <c r="F193" s="16">
        <f t="array" ref="F193">IF(OR(ISBLANK(A193),C193),IFERROR(0/0,""),INDEX('RFR Data - preExcl'!AC$2:AC923,$R193,1))</f>
        <v>23</v>
      </c>
      <c r="G193" s="16">
        <f t="array" ref="G193">IF(OR(ISBLANK(A193),C193),IFERROR(0/0,""),INDEX('RFR Data - preExcl'!AK$2:AK923,$R193,1))</f>
        <v>23</v>
      </c>
      <c r="H193" s="16">
        <f t="array" ref="H193">IF(OR(ISBLANK(A193),C193),IFERROR(0/0,""),INDEX('RFR Data - preExcl'!AL$2:AL923,$R193,1))</f>
        <v>0</v>
      </c>
      <c r="I193" s="124">
        <f>IFERROR(VLOOKUP($B193,'APS Tubes by Date IMPORT'!$B$2:$J923,2,FALSE),"")</f>
        <v>24</v>
      </c>
      <c r="J193" s="16" t="b">
        <f>IFERROR(VLOOKUP($B193,'APS Tubes by Date IMPORT'!$B$2:$J923,9,FALSE),"")</f>
        <v>1</v>
      </c>
      <c r="K193" s="16">
        <f>IFNA(VLOOKUP($B193,'APS Tubes by Date IMPORT'!$B$2:$J923,6,FALSE),"")</f>
        <v>0</v>
      </c>
      <c r="L193" s="174">
        <f t="shared" si="69"/>
        <v>23</v>
      </c>
      <c r="M193" s="21">
        <f>L193+L194-I193</f>
        <v>0</v>
      </c>
      <c r="N193" s="208">
        <v>8.0</v>
      </c>
      <c r="P193" s="91" t="str">
        <f>IF(ISBLANK(N193),IFERROR(0/0,""),IFERROR(VLOOKUP(N193, 'Process Ref'!$A$76:$D$122, 2, FALSE), IFERROR(0/0,"")))</f>
        <v>Use Audit RFR count (tube in Appivo not in RFR)</v>
      </c>
      <c r="Q193" s="18" t="s">
        <v>367</v>
      </c>
      <c r="R193" s="92">
        <f>IFNA(MATCH(A193,'RFR Data - preExcl'!A$2:A923,0),"")</f>
        <v>105</v>
      </c>
      <c r="S193" s="54"/>
      <c r="T193" s="8" t="str">
        <f>IF(AND(NOT(ISBLANK(U193)),NOT(ISBLANK(V193)),NOT(ISBLANK(W193))),CONCATENATE("RUN-",'Process Ref'!$A$1,"_",TEXT(V193,"YYYY-MM-DD"),"_APS-",TEXT(W193,"000")),IFERROR(0/0,""))</f>
        <v>RUN-FLMP_2021-09-03_APS-049</v>
      </c>
      <c r="U193" s="14">
        <f t="shared" si="61"/>
        <v>44442</v>
      </c>
      <c r="V193" s="190">
        <v>44442.0</v>
      </c>
      <c r="W193" s="191">
        <f t="shared" si="62"/>
        <v>49</v>
      </c>
      <c r="X193" s="86"/>
      <c r="Z193" s="103"/>
      <c r="AG193" s="86"/>
      <c r="AJ193" s="86"/>
    </row>
    <row r="194">
      <c r="A194" s="8" t="s">
        <v>204</v>
      </c>
      <c r="B194" s="14">
        <v>44672.0</v>
      </c>
      <c r="C194" s="88" t="str">
        <f t="shared" si="2"/>
        <v/>
      </c>
      <c r="D194" s="16">
        <f t="array" ref="D194">IF(OR(ISBLANK($A194),$C194),IFERROR(0/0,""),INDEX('RFR Data - preExcl'!E$2:E923,$R194,1))</f>
        <v>1</v>
      </c>
      <c r="E194" s="16">
        <f t="array" ref="E194">IF(OR(ISBLANK($A194),$C194),IFERROR(0/0,""),INDEX('RFR Data - preExcl'!Z$2:Z923,$R194,1))</f>
        <v>5</v>
      </c>
      <c r="F194" s="16">
        <f t="array" ref="F194">IF(OR(ISBLANK(A194),C194),IFERROR(0/0,""),INDEX('RFR Data - preExcl'!AC$2:AC923,$R194,1))</f>
        <v>3</v>
      </c>
      <c r="G194" s="16">
        <f t="array" ref="G194">IF(OR(ISBLANK(A194),C194),IFERROR(0/0,""),INDEX('RFR Data - preExcl'!AK$2:AK923,$R194,1))</f>
        <v>1</v>
      </c>
      <c r="H194" s="16">
        <f t="array" ref="H194">IF(OR(ISBLANK(A194),C194),IFERROR(0/0,""),INDEX('RFR Data - preExcl'!AL$2:AL923,$R194,1))</f>
        <v>0</v>
      </c>
      <c r="I194" s="16"/>
      <c r="J194" s="16" t="b">
        <f>IFERROR(VLOOKUP($B194,'APS Tubes by Date IMPORT'!$B$2:$J923,9,FALSE),"")</f>
        <v>1</v>
      </c>
      <c r="K194" s="16">
        <f>IFNA(VLOOKUP($B194,'APS Tubes by Date IMPORT'!$B$2:$J923,6,FALSE),"")</f>
        <v>0</v>
      </c>
      <c r="L194" s="175">
        <f t="shared" si="69"/>
        <v>1</v>
      </c>
      <c r="M194" s="21">
        <v>0.0</v>
      </c>
      <c r="N194" s="120">
        <v>5.0</v>
      </c>
      <c r="P194" s="91" t="str">
        <f>IF(ISBLANK(N194),IFERROR(0/0,""),IFERROR(VLOOKUP(N194, 'Process Ref'!$A$76:$D$122, 2, FALSE), IFERROR(0/0,"")))</f>
        <v>Multiple Initial runs on same day - final count is sum of RFR Audit = APS Collect</v>
      </c>
      <c r="R194" s="92">
        <f>IFNA(MATCH(A194,'RFR Data - preExcl'!A$2:A923,0),"")</f>
        <v>106</v>
      </c>
      <c r="S194" s="54"/>
      <c r="T194" s="8" t="str">
        <f>IF(AND(NOT(ISBLANK(U194)),NOT(ISBLANK(V194)),NOT(ISBLANK(W194))),CONCATENATE("RUN-",'Process Ref'!$A$1,"_",TEXT(V194,"YYYY-MM-DD"),"_APS-",TEXT(W194,"000")),IFERROR(0/0,""))</f>
        <v>RUN-FLMP_2021-09-10_APS-050</v>
      </c>
      <c r="U194" s="14">
        <f t="shared" si="61"/>
        <v>44449</v>
      </c>
      <c r="V194" s="190">
        <v>44449.0</v>
      </c>
      <c r="W194" s="191">
        <f t="shared" si="62"/>
        <v>50</v>
      </c>
      <c r="X194" s="86"/>
      <c r="Z194" s="131"/>
      <c r="AA194" s="14"/>
      <c r="AG194" s="86"/>
      <c r="AJ194" s="86"/>
    </row>
    <row r="195">
      <c r="A195" s="143"/>
      <c r="B195" s="73">
        <v>44675.0</v>
      </c>
      <c r="C195" s="144" t="str">
        <f t="shared" si="2"/>
        <v/>
      </c>
      <c r="D195" s="145" t="str">
        <f t="array" ref="D195">IF(OR(ISBLANK($A195),$C195),IFERROR(0/0,""),INDEX('RFR Data - preExcl'!E$2:E923,$R195,1))</f>
        <v/>
      </c>
      <c r="E195" s="145" t="str">
        <f t="array" ref="E195">IF(OR(ISBLANK($A195),$C195),IFERROR(0/0,""),INDEX('RFR Data - preExcl'!Z$2:Z923,$R195,1))</f>
        <v/>
      </c>
      <c r="F195" s="145" t="str">
        <f t="array" ref="F195">IF(OR(ISBLANK(A195),C195),IFERROR(0/0,""),INDEX('RFR Data - preExcl'!AC$2:AC923,$R195,1))</f>
        <v/>
      </c>
      <c r="G195" s="145" t="str">
        <f t="array" ref="G195">IF(OR(ISBLANK(A195),C195),IFERROR(0/0,""),INDEX('RFR Data - preExcl'!AK$2:AK923,$R195,1))</f>
        <v/>
      </c>
      <c r="H195" s="145" t="str">
        <f t="array" ref="H195">IF(OR(ISBLANK(A195),C195),IFERROR(0/0,""),INDEX('RFR Data - preExcl'!AL$2:AL923,$R195,1))</f>
        <v/>
      </c>
      <c r="I195" s="146">
        <f>IFERROR(VLOOKUP($B195,'APS Tubes by Date IMPORT'!$B$2:$J923,2,FALSE),"")</f>
        <v>3</v>
      </c>
      <c r="J195" s="145" t="str">
        <f>IFERROR(VLOOKUP($B195,'APS Tubes by Date IMPORT'!$B$2:$J923,9,FALSE),"")</f>
        <v/>
      </c>
      <c r="K195" s="145">
        <f>IFNA(VLOOKUP($B195,'APS Tubes by Date IMPORT'!$B$2:$J923,6,FALSE),"")</f>
        <v>0</v>
      </c>
      <c r="L195" s="145"/>
      <c r="M195" s="145"/>
      <c r="N195" s="147">
        <v>6.1</v>
      </c>
      <c r="O195" s="143" t="str">
        <f t="shared" ref="O195:O203" si="70">IF(ISBLANK(L195),IFERROR(0/0,""),IF($N195&lt;5,TRUE,IFERROR(0/0,"")))</f>
        <v/>
      </c>
      <c r="P195" s="148" t="str">
        <f>IF(ISBLANK(N195),IFERROR(0/0,""),IFERROR(VLOOKUP(N195, 'Process Ref'!$A$76:$D$122, 2, FALSE), IFERROR(0/0,"")))</f>
        <v>No Run - APS Collect run next day</v>
      </c>
      <c r="Q195" s="209"/>
      <c r="R195" s="92" t="str">
        <f>IFNA(MATCH(A195,'RFR Data - preExcl'!A$2:A923,0),"")</f>
        <v/>
      </c>
      <c r="S195" s="54"/>
      <c r="T195" s="8" t="str">
        <f>IF(AND(NOT(ISBLANK(U195)),NOT(ISBLANK(V195)),NOT(ISBLANK(W195))),CONCATENATE("RUN-",'Process Ref'!$A$1,"_",TEXT(V195,"YYYY-MM-DD"),"_APS-",TEXT(W195,"000")),IFERROR(0/0,""))</f>
        <v>RUN-FLMP_2021-09-13_APS-051</v>
      </c>
      <c r="U195" s="14">
        <f t="shared" si="61"/>
        <v>44452</v>
      </c>
      <c r="V195" s="190">
        <v>44452.0</v>
      </c>
      <c r="W195" s="191">
        <f t="shared" si="62"/>
        <v>51</v>
      </c>
      <c r="X195" s="86"/>
      <c r="Z195" s="103"/>
      <c r="AG195" s="86"/>
      <c r="AJ195" s="86"/>
    </row>
    <row r="196">
      <c r="A196" s="8" t="s">
        <v>205</v>
      </c>
      <c r="B196" s="14">
        <v>44676.0</v>
      </c>
      <c r="C196" s="88" t="str">
        <f t="shared" si="2"/>
        <v/>
      </c>
      <c r="D196" s="16">
        <f t="array" ref="D196">IF(OR(ISBLANK($A196),$C196),IFERROR(0/0,""),INDEX('RFR Data - preExcl'!E$2:E923,$R196,1))</f>
        <v>22</v>
      </c>
      <c r="E196" s="16">
        <f t="array" ref="E196">IF(OR(ISBLANK($A196),$C196),IFERROR(0/0,""),INDEX('RFR Data - preExcl'!Z$2:Z923,$R196,1))</f>
        <v>24</v>
      </c>
      <c r="F196" s="16">
        <f t="array" ref="F196">IF(OR(ISBLANK(A196),C196),IFERROR(0/0,""),INDEX('RFR Data - preExcl'!AC$2:AC923,$R196,1))</f>
        <v>22</v>
      </c>
      <c r="G196" s="16">
        <f t="array" ref="G196">IF(OR(ISBLANK(A196),C196),IFERROR(0/0,""),INDEX('RFR Data - preExcl'!AK$2:AK923,$R196,1))</f>
        <v>22</v>
      </c>
      <c r="H196" s="16">
        <f t="array" ref="H196">IF(OR(ISBLANK(A196),C196),IFERROR(0/0,""),INDEX('RFR Data - preExcl'!AL$2:AL923,$R196,1))</f>
        <v>0</v>
      </c>
      <c r="I196" s="128">
        <f>IFERROR(VLOOKUP($B196,'APS Tubes by Date IMPORT'!$B$2:$J923,2,FALSE),"")</f>
        <v>18</v>
      </c>
      <c r="J196" s="16" t="str">
        <f>IFERROR(VLOOKUP($B196,'APS Tubes by Date IMPORT'!$B$2:$J923,9,FALSE),"")</f>
        <v/>
      </c>
      <c r="K196" s="16">
        <f>IFNA(VLOOKUP($B196,'APS Tubes by Date IMPORT'!$B$2:$J923,6,FALSE),"")</f>
        <v>0</v>
      </c>
      <c r="L196" s="177">
        <f t="shared" ref="L196:L197" si="71">G196</f>
        <v>22</v>
      </c>
      <c r="M196" s="21">
        <f>L196-I196-I195</f>
        <v>1</v>
      </c>
      <c r="N196" s="116">
        <v>2.0</v>
      </c>
      <c r="O196" s="30" t="b">
        <f t="shared" si="70"/>
        <v>1</v>
      </c>
      <c r="P196" s="91" t="str">
        <f>IF(ISBLANK(N196),IFERROR(0/0,""),IFERROR(VLOOKUP(N196, 'Process Ref'!$A$76:$D$122, 2, FALSE), IFERROR(0/0,"")))</f>
        <v>Use Audit RFR count (extra tubes in RFR not in Appivo)</v>
      </c>
      <c r="Q196" s="18" t="s">
        <v>368</v>
      </c>
      <c r="R196" s="92">
        <f>IFNA(MATCH(A196,'RFR Data - preExcl'!A$2:A923,0),"")</f>
        <v>107</v>
      </c>
      <c r="S196" s="54"/>
      <c r="T196" s="8" t="str">
        <f>IF(AND(NOT(ISBLANK(U196)),NOT(ISBLANK(V196)),NOT(ISBLANK(W196))),CONCATENATE("RUN-",'Process Ref'!$A$1,"_",TEXT(V196,"YYYY-MM-DD"),"_APS-",TEXT(W196,"000")),IFERROR(0/0,""))</f>
        <v>RUN-FLMP_2021-09-15_APS-052</v>
      </c>
      <c r="U196" s="14">
        <f t="shared" si="61"/>
        <v>44454</v>
      </c>
      <c r="V196" s="190">
        <v>44454.0</v>
      </c>
      <c r="W196" s="191">
        <f t="shared" si="62"/>
        <v>52</v>
      </c>
      <c r="X196" s="86"/>
      <c r="Z196" s="103"/>
      <c r="AG196" s="86"/>
      <c r="AJ196" s="86"/>
    </row>
    <row r="197">
      <c r="A197" s="8" t="s">
        <v>206</v>
      </c>
      <c r="B197" s="14">
        <v>44679.0</v>
      </c>
      <c r="C197" s="88" t="str">
        <f t="shared" si="2"/>
        <v/>
      </c>
      <c r="D197" s="16">
        <f t="array" ref="D197">IF(OR(ISBLANK($A197),$C197),IFERROR(0/0,""),INDEX('RFR Data - preExcl'!E$2:E923,$R197,1))</f>
        <v>26</v>
      </c>
      <c r="E197" s="16">
        <f t="array" ref="E197">IF(OR(ISBLANK($A197),$C197),IFERROR(0/0,""),INDEX('RFR Data - preExcl'!Z$2:Z923,$R197,1))</f>
        <v>26</v>
      </c>
      <c r="F197" s="16">
        <f t="array" ref="F197">IF(OR(ISBLANK(A197),C197),IFERROR(0/0,""),INDEX('RFR Data - preExcl'!AC$2:AC923,$R197,1))</f>
        <v>30</v>
      </c>
      <c r="G197" s="16">
        <f t="array" ref="G197">IF(OR(ISBLANK(A197),C197),IFERROR(0/0,""),INDEX('RFR Data - preExcl'!AK$2:AK923,$R197,1))</f>
        <v>26</v>
      </c>
      <c r="H197" s="16">
        <f t="array" ref="H197">IF(OR(ISBLANK(A197),C197),IFERROR(0/0,""),INDEX('RFR Data - preExcl'!AL$2:AL923,$R197,1))</f>
        <v>4</v>
      </c>
      <c r="I197" s="16">
        <f>IFERROR(VLOOKUP($B197,'APS Tubes by Date IMPORT'!$B$2:$J923,2,FALSE),"")</f>
        <v>26</v>
      </c>
      <c r="J197" s="16" t="b">
        <f>IFERROR(VLOOKUP($B197,'APS Tubes by Date IMPORT'!$B$2:$J923,9,FALSE),"")</f>
        <v>1</v>
      </c>
      <c r="K197" s="16">
        <f>IFNA(VLOOKUP($B197,'APS Tubes by Date IMPORT'!$B$2:$J923,6,FALSE),"")</f>
        <v>0</v>
      </c>
      <c r="L197" s="89">
        <f t="shared" si="71"/>
        <v>26</v>
      </c>
      <c r="M197" s="21">
        <f>L197-I197</f>
        <v>0</v>
      </c>
      <c r="N197" s="105">
        <v>3.0</v>
      </c>
      <c r="O197" s="30" t="b">
        <f t="shared" si="70"/>
        <v>1</v>
      </c>
      <c r="P197" s="91" t="str">
        <f>IF(ISBLANK(N197),IFERROR(0/0,""),IFERROR(VLOOKUP(N197, 'Process Ref'!$A$76:$D$122, 2, FALSE), IFERROR(0/0,"")))</f>
        <v>ALL 3 COUNTS SAME after Null deleted</v>
      </c>
      <c r="Q197" s="18" t="s">
        <v>369</v>
      </c>
      <c r="R197" s="92">
        <f>IFNA(MATCH(A197,'RFR Data - preExcl'!A$2:A923,0),"")</f>
        <v>108</v>
      </c>
      <c r="S197" s="54"/>
      <c r="T197" s="8" t="str">
        <f>IF(AND(NOT(ISBLANK(U197)),NOT(ISBLANK(V197)),NOT(ISBLANK(W197))),CONCATENATE("RUN-",'Process Ref'!$A$1,"_",TEXT(V197,"YYYY-MM-DD"),"_APS-",TEXT(W197,"000")),IFERROR(0/0,""))</f>
        <v>RUN-FLMP_2021-09-21_APS-053</v>
      </c>
      <c r="U197" s="14">
        <f t="shared" si="61"/>
        <v>44460</v>
      </c>
      <c r="V197" s="190">
        <v>44460.0</v>
      </c>
      <c r="W197" s="191">
        <f t="shared" si="62"/>
        <v>53</v>
      </c>
      <c r="X197" s="86"/>
      <c r="Z197" s="103"/>
      <c r="AG197" s="86"/>
      <c r="AJ197" s="86"/>
    </row>
    <row r="198">
      <c r="A198" s="143"/>
      <c r="B198" s="73">
        <v>44682.0</v>
      </c>
      <c r="C198" s="144" t="str">
        <f t="shared" si="2"/>
        <v/>
      </c>
      <c r="D198" s="145" t="str">
        <f t="array" ref="D198">IF(OR(ISBLANK($A198),$C198),IFERROR(0/0,""),INDEX('RFR Data - preExcl'!E$2:E923,$R198,1))</f>
        <v/>
      </c>
      <c r="E198" s="145" t="str">
        <f t="array" ref="E198">IF(OR(ISBLANK($A198),$C198),IFERROR(0/0,""),INDEX('RFR Data - preExcl'!Z$2:Z923,$R198,1))</f>
        <v/>
      </c>
      <c r="F198" s="145" t="str">
        <f t="array" ref="F198">IF(OR(ISBLANK(A198),C198),IFERROR(0/0,""),INDEX('RFR Data - preExcl'!AC$2:AC923,$R198,1))</f>
        <v/>
      </c>
      <c r="G198" s="145" t="str">
        <f t="array" ref="G198">IF(OR(ISBLANK(A198),C198),IFERROR(0/0,""),INDEX('RFR Data - preExcl'!AK$2:AK923,$R198,1))</f>
        <v/>
      </c>
      <c r="H198" s="145" t="str">
        <f t="array" ref="H198">IF(OR(ISBLANK(A198),C198),IFERROR(0/0,""),INDEX('RFR Data - preExcl'!AL$2:AL923,$R198,1))</f>
        <v/>
      </c>
      <c r="I198" s="146">
        <f>IFERROR(VLOOKUP($B198,'APS Tubes by Date IMPORT'!$B$2:$J923,2,FALSE),"")</f>
        <v>3</v>
      </c>
      <c r="J198" s="145" t="str">
        <f>IFERROR(VLOOKUP($B198,'APS Tubes by Date IMPORT'!$B$2:$J923,9,FALSE),"")</f>
        <v/>
      </c>
      <c r="K198" s="145">
        <f>IFNA(VLOOKUP($B198,'APS Tubes by Date IMPORT'!$B$2:$J923,6,FALSE),"")</f>
        <v>0</v>
      </c>
      <c r="L198" s="145"/>
      <c r="M198" s="145"/>
      <c r="N198" s="147">
        <v>6.1</v>
      </c>
      <c r="O198" s="143" t="str">
        <f t="shared" si="70"/>
        <v/>
      </c>
      <c r="P198" s="148" t="str">
        <f>IF(ISBLANK(N198),IFERROR(0/0,""),IFERROR(VLOOKUP(N198, 'Process Ref'!$A$76:$D$122, 2, FALSE), IFERROR(0/0,"")))</f>
        <v>No Run - APS Collect run next day</v>
      </c>
      <c r="Q198" s="143"/>
      <c r="R198" s="92" t="str">
        <f>IFNA(MATCH(A198,'RFR Data - preExcl'!A$2:A923,0),"")</f>
        <v/>
      </c>
      <c r="S198" s="54"/>
      <c r="T198" s="8" t="str">
        <f>IF(AND(NOT(ISBLANK(U198)),NOT(ISBLANK(V198)),NOT(ISBLANK(W198))),CONCATENATE("RUN-",'Process Ref'!$A$1,"_",TEXT(V198,"YYYY-MM-DD"),"_APS-",TEXT(W198,"000")),IFERROR(0/0,""))</f>
        <v>RUN-FLMP_2021-09-24_APS-054</v>
      </c>
      <c r="U198" s="14">
        <f t="shared" si="61"/>
        <v>44463</v>
      </c>
      <c r="V198" s="190">
        <v>44463.0</v>
      </c>
      <c r="W198" s="191">
        <f t="shared" si="62"/>
        <v>54</v>
      </c>
      <c r="X198" s="86"/>
      <c r="Z198" s="103"/>
      <c r="AG198" s="86"/>
      <c r="AJ198" s="86"/>
    </row>
    <row r="199">
      <c r="A199" s="8" t="s">
        <v>207</v>
      </c>
      <c r="B199" s="14">
        <v>44683.0</v>
      </c>
      <c r="C199" s="88" t="str">
        <f t="shared" si="2"/>
        <v/>
      </c>
      <c r="D199" s="16">
        <f t="array" ref="D199">IF(OR(ISBLANK($A199),$C199),IFERROR(0/0,""),INDEX('RFR Data - preExcl'!E$2:E923,$R199,1))</f>
        <v>24</v>
      </c>
      <c r="E199" s="16" t="str">
        <f t="array" ref="E199">IF(OR(ISBLANK($A199),$C199),IFERROR(0/0,""),INDEX('RFR Data - preExcl'!Z$2:Z923,$R199,1))</f>
        <v/>
      </c>
      <c r="F199" s="16">
        <f t="array" ref="F199">IF(OR(ISBLANK(A199),C199),IFERROR(0/0,""),INDEX('RFR Data - preExcl'!AC$2:AC923,$R199,1))</f>
        <v>24</v>
      </c>
      <c r="G199" s="16">
        <f t="array" ref="G199">IF(OR(ISBLANK(A199),C199),IFERROR(0/0,""),INDEX('RFR Data - preExcl'!AK$2:AK923,$R199,1))</f>
        <v>24</v>
      </c>
      <c r="H199" s="16">
        <f t="array" ref="H199">IF(OR(ISBLANK(A199),C199),IFERROR(0/0,""),INDEX('RFR Data - preExcl'!AL$2:AL923,$R199,1))</f>
        <v>4</v>
      </c>
      <c r="I199" s="128">
        <f>IFERROR(VLOOKUP($B199,'APS Tubes by Date IMPORT'!$B$2:$J923,2,FALSE),"")</f>
        <v>25</v>
      </c>
      <c r="J199" s="16" t="b">
        <f>IFERROR(VLOOKUP($B199,'APS Tubes by Date IMPORT'!$B$2:$J923,9,FALSE),"")</f>
        <v>1</v>
      </c>
      <c r="K199" s="16">
        <f>IFNA(VLOOKUP($B199,'APS Tubes by Date IMPORT'!$B$2:$J923,6,FALSE),"")</f>
        <v>0</v>
      </c>
      <c r="L199" s="174">
        <f t="shared" ref="L199:L201" si="72">G199</f>
        <v>24</v>
      </c>
      <c r="M199" s="21">
        <v>0.0</v>
      </c>
      <c r="N199" s="120">
        <v>5.0</v>
      </c>
      <c r="O199" s="30" t="str">
        <f t="shared" si="70"/>
        <v/>
      </c>
      <c r="P199" s="91" t="str">
        <f>IF(ISBLANK(N199),IFERROR(0/0,""),IFERROR(VLOOKUP(N199, 'Process Ref'!$A$76:$D$122, 2, FALSE), IFERROR(0/0,"")))</f>
        <v>Multiple Initial runs on same day - final count is sum of RFR Audit = APS Collect</v>
      </c>
      <c r="Q199" s="18" t="s">
        <v>370</v>
      </c>
      <c r="R199" s="92">
        <f>IFNA(MATCH(A199,'RFR Data - preExcl'!A$2:A923,0),"")</f>
        <v>110</v>
      </c>
      <c r="S199" s="54"/>
      <c r="T199" s="8" t="str">
        <f>IF(AND(NOT(ISBLANK(U199)),NOT(ISBLANK(V199)),NOT(ISBLANK(W199))),CONCATENATE("RUN-",'Process Ref'!$A$1,"_",TEXT(V199,"YYYY-MM-DD"),"_APS-",TEXT(W199,"000")),IFERROR(0/0,""))</f>
        <v>RUN-FLMP_2021-10-04_APS-055</v>
      </c>
      <c r="U199" s="14">
        <f t="shared" si="61"/>
        <v>44473</v>
      </c>
      <c r="V199" s="190">
        <v>44473.0</v>
      </c>
      <c r="W199" s="191">
        <f t="shared" si="62"/>
        <v>55</v>
      </c>
      <c r="X199" s="86"/>
      <c r="Z199" s="103"/>
      <c r="AG199" s="86"/>
      <c r="AJ199" s="86"/>
    </row>
    <row r="200">
      <c r="A200" s="8" t="s">
        <v>208</v>
      </c>
      <c r="B200" s="14">
        <v>44683.0</v>
      </c>
      <c r="C200" s="88" t="str">
        <f t="shared" si="2"/>
        <v/>
      </c>
      <c r="D200" s="16">
        <f t="array" ref="D200">IF(OR(ISBLANK($A200),$C200),IFERROR(0/0,""),INDEX('RFR Data - preExcl'!E$2:E923,$R200,1))</f>
        <v>3</v>
      </c>
      <c r="E200" s="16">
        <f t="array" ref="E200">IF(OR(ISBLANK($A200),$C200),IFERROR(0/0,""),INDEX('RFR Data - preExcl'!Z$2:Z923,$R200,1))</f>
        <v>8</v>
      </c>
      <c r="F200" s="16">
        <f t="array" ref="F200">IF(OR(ISBLANK(A200),C200),IFERROR(0/0,""),INDEX('RFR Data - preExcl'!AC$2:AC923,$R200,1))</f>
        <v>6</v>
      </c>
      <c r="G200" s="16">
        <f t="array" ref="G200">IF(OR(ISBLANK(A200),C200),IFERROR(0/0,""),INDEX('RFR Data - preExcl'!AK$2:AK923,$R200,1))</f>
        <v>3</v>
      </c>
      <c r="H200" s="16">
        <f t="array" ref="H200">IF(OR(ISBLANK(A200),C200),IFERROR(0/0,""),INDEX('RFR Data - preExcl'!AL$2:AL923,$R200,1))</f>
        <v>4</v>
      </c>
      <c r="I200" s="16"/>
      <c r="J200" s="16" t="b">
        <f>IFERROR(VLOOKUP($B200,'APS Tubes by Date IMPORT'!$B$2:$J923,9,FALSE),"")</f>
        <v>1</v>
      </c>
      <c r="K200" s="16">
        <f>IFNA(VLOOKUP($B200,'APS Tubes by Date IMPORT'!$B$2:$J923,6,FALSE),"")</f>
        <v>0</v>
      </c>
      <c r="L200" s="165">
        <f t="shared" si="72"/>
        <v>3</v>
      </c>
      <c r="M200" s="21">
        <v>0.0</v>
      </c>
      <c r="N200" s="116">
        <v>2.0</v>
      </c>
      <c r="O200" s="30" t="b">
        <f t="shared" si="70"/>
        <v>1</v>
      </c>
      <c r="P200" s="91" t="str">
        <f>IF(ISBLANK(N200),IFERROR(0/0,""),IFERROR(VLOOKUP(N200, 'Process Ref'!$A$76:$D$122, 2, FALSE), IFERROR(0/0,"")))</f>
        <v>Use Audit RFR count (extra tubes in RFR not in Appivo)</v>
      </c>
      <c r="Q200" s="18" t="s">
        <v>371</v>
      </c>
      <c r="R200" s="92">
        <f>IFNA(MATCH(A200,'RFR Data - preExcl'!A$2:A923,0),"")</f>
        <v>112</v>
      </c>
      <c r="S200" s="54"/>
      <c r="T200" s="8" t="str">
        <f>IF(AND(NOT(ISBLANK(U200)),NOT(ISBLANK(V200)),NOT(ISBLANK(W200))),CONCATENATE("RUN-",'Process Ref'!$A$1,"_",TEXT(V200,"YYYY-MM-DD"),"_APS-",TEXT(W200,"000")),IFERROR(0/0,""))</f>
        <v>RUN-FLMP_2021-10-05_APS-056</v>
      </c>
      <c r="U200" s="14">
        <f t="shared" si="61"/>
        <v>44474</v>
      </c>
      <c r="V200" s="190">
        <v>44474.0</v>
      </c>
      <c r="W200" s="191">
        <f t="shared" si="62"/>
        <v>56</v>
      </c>
      <c r="X200" s="86"/>
      <c r="Z200" s="103"/>
      <c r="AG200" s="86"/>
      <c r="AJ200" s="86"/>
    </row>
    <row r="201">
      <c r="A201" s="8" t="s">
        <v>209</v>
      </c>
      <c r="B201" s="14">
        <v>44683.0</v>
      </c>
      <c r="C201" s="88" t="str">
        <f t="shared" si="2"/>
        <v/>
      </c>
      <c r="D201" s="16">
        <f t="array" ref="D201">IF(OR(ISBLANK($A201),$C201),IFERROR(0/0,""),INDEX('RFR Data - preExcl'!E$2:E923,$R201,1))</f>
        <v>1</v>
      </c>
      <c r="E201" s="16" t="str">
        <f t="array" ref="E201">IF(OR(ISBLANK($A201),$C201),IFERROR(0/0,""),INDEX('RFR Data - preExcl'!Z$2:Z923,$R201,1))</f>
        <v/>
      </c>
      <c r="F201" s="16">
        <f t="array" ref="F201">IF(OR(ISBLANK(A201),C201),IFERROR(0/0,""),INDEX('RFR Data - preExcl'!AC$2:AC923,$R201,1))</f>
        <v>2</v>
      </c>
      <c r="G201" s="16">
        <f t="array" ref="G201">IF(OR(ISBLANK(A201),C201),IFERROR(0/0,""),INDEX('RFR Data - preExcl'!AK$2:AK923,$R201,1))</f>
        <v>1</v>
      </c>
      <c r="H201" s="16">
        <f t="array" ref="H201">IF(OR(ISBLANK(A201),C201),IFERROR(0/0,""),INDEX('RFR Data - preExcl'!AL$2:AL923,$R201,1))</f>
        <v>0</v>
      </c>
      <c r="I201" s="16"/>
      <c r="J201" s="16" t="b">
        <f>IFERROR(VLOOKUP($B201,'APS Tubes by Date IMPORT'!$B$2:$J923,9,FALSE),"")</f>
        <v>1</v>
      </c>
      <c r="K201" s="16">
        <f>IFNA(VLOOKUP($B201,'APS Tubes by Date IMPORT'!$B$2:$J923,6,FALSE),"")</f>
        <v>0</v>
      </c>
      <c r="L201" s="175">
        <f t="shared" si="72"/>
        <v>1</v>
      </c>
      <c r="M201" s="21">
        <v>0.0</v>
      </c>
      <c r="N201" s="116">
        <v>2.0</v>
      </c>
      <c r="O201" s="30" t="b">
        <f t="shared" si="70"/>
        <v>1</v>
      </c>
      <c r="P201" s="91" t="str">
        <f>IF(ISBLANK(N201),IFERROR(0/0,""),IFERROR(VLOOKUP(N201, 'Process Ref'!$A$76:$D$122, 2, FALSE), IFERROR(0/0,"")))</f>
        <v>Use Audit RFR count (extra tubes in RFR not in Appivo)</v>
      </c>
      <c r="Q201" s="18" t="s">
        <v>372</v>
      </c>
      <c r="R201" s="92">
        <f>IFNA(MATCH(A201,'RFR Data - preExcl'!A$2:A923,0),"")</f>
        <v>113</v>
      </c>
      <c r="S201" s="54"/>
      <c r="T201" s="8" t="str">
        <f>IF(AND(NOT(ISBLANK(U201)),NOT(ISBLANK(V201)),NOT(ISBLANK(W201))),CONCATENATE("RUN-",'Process Ref'!$A$1,"_",TEXT(V201,"YYYY-MM-DD"),"_APS-",TEXT(W201,"000")),IFERROR(0/0,""))</f>
        <v>RUN-FLMP_2021-10-10_APS-057</v>
      </c>
      <c r="U201" s="14">
        <f t="shared" si="61"/>
        <v>44479</v>
      </c>
      <c r="V201" s="190">
        <v>44479.0</v>
      </c>
      <c r="W201" s="191">
        <f t="shared" si="62"/>
        <v>57</v>
      </c>
      <c r="X201" s="86"/>
      <c r="Z201" s="103"/>
      <c r="AG201" s="86"/>
      <c r="AJ201" s="86"/>
    </row>
    <row r="202">
      <c r="A202" s="8" t="s">
        <v>210</v>
      </c>
      <c r="B202" s="14">
        <v>44686.0</v>
      </c>
      <c r="C202" s="88" t="str">
        <f t="shared" si="2"/>
        <v/>
      </c>
      <c r="D202" s="16">
        <f t="array" ref="D202">IF(OR(ISBLANK($A202),$C202),IFERROR(0/0,""),INDEX('RFR Data - preExcl'!E$2:E923,$R202,1))</f>
        <v>24</v>
      </c>
      <c r="E202" s="16">
        <f t="array" ref="E202">IF(OR(ISBLANK($A202),$C202),IFERROR(0/0,""),INDEX('RFR Data - preExcl'!Z$2:Z923,$R202,1))</f>
        <v>26</v>
      </c>
      <c r="F202" s="16">
        <f t="array" ref="F202">IF(OR(ISBLANK(A202),C202),IFERROR(0/0,""),INDEX('RFR Data - preExcl'!AC$2:AC923,$R202,1))</f>
        <v>24</v>
      </c>
      <c r="G202" s="16">
        <f t="array" ref="G202">IF(OR(ISBLANK(A202),C202),IFERROR(0/0,""),INDEX('RFR Data - preExcl'!AK$2:AK923,$R202,1))</f>
        <v>24</v>
      </c>
      <c r="H202" s="16">
        <f t="array" ref="H202">IF(OR(ISBLANK(A202),C202),IFERROR(0/0,""),INDEX('RFR Data - preExcl'!AL$2:AL923,$R202,1))</f>
        <v>1.2</v>
      </c>
      <c r="I202" s="16">
        <f>IFERROR(VLOOKUP($B202,'APS Tubes by Date IMPORT'!$B$2:$J923,2,FALSE),"")</f>
        <v>25</v>
      </c>
      <c r="J202" s="16" t="str">
        <f>IFERROR(VLOOKUP($B202,'APS Tubes by Date IMPORT'!$B$2:$J923,9,FALSE),"")</f>
        <v/>
      </c>
      <c r="K202" s="16">
        <f>IFNA(VLOOKUP($B202,'APS Tubes by Date IMPORT'!$B$2:$J923,6,FALSE),"")</f>
        <v>0</v>
      </c>
      <c r="L202" s="16">
        <f>I202</f>
        <v>25</v>
      </c>
      <c r="M202" s="16">
        <f>L202-I202</f>
        <v>0</v>
      </c>
      <c r="N202" s="136">
        <v>10.0</v>
      </c>
      <c r="O202" s="30" t="str">
        <f t="shared" si="70"/>
        <v/>
      </c>
      <c r="P202" s="91" t="str">
        <f>IF(ISBLANK(N202),IFERROR(0/0,""),IFERROR(VLOOKUP(N202, 'Process Ref'!$A$76:$D$122, 2, FALSE), IFERROR(0/0,"")))</f>
        <v>see Notes for reason</v>
      </c>
      <c r="Q202" s="24" t="s">
        <v>373</v>
      </c>
      <c r="R202" s="92">
        <f>IFNA(MATCH(A202,'RFR Data - preExcl'!A$2:A923,0),"")</f>
        <v>114</v>
      </c>
      <c r="S202" s="54"/>
      <c r="T202" s="8" t="str">
        <f>IF(AND(NOT(ISBLANK(U202)),NOT(ISBLANK(V202)),NOT(ISBLANK(W202))),CONCATENATE("RUN-",'Process Ref'!$A$1,"_",TEXT(V202,"YYYY-MM-DD"),"_APS-",TEXT(W202,"000")),IFERROR(0/0,""))</f>
        <v>RUN-FLMP_2021-10-13_APS-058</v>
      </c>
      <c r="U202" s="14">
        <f t="shared" si="61"/>
        <v>44482</v>
      </c>
      <c r="V202" s="190">
        <v>44482.0</v>
      </c>
      <c r="W202" s="191">
        <f t="shared" si="62"/>
        <v>58</v>
      </c>
      <c r="X202" s="86"/>
      <c r="Z202" s="131"/>
      <c r="AA202" s="14"/>
      <c r="AG202" s="86"/>
      <c r="AJ202" s="86"/>
    </row>
    <row r="203">
      <c r="A203" s="143"/>
      <c r="B203" s="73">
        <v>44689.0</v>
      </c>
      <c r="C203" s="144" t="str">
        <f t="shared" si="2"/>
        <v/>
      </c>
      <c r="D203" s="145" t="str">
        <f t="array" ref="D203">IF(OR(ISBLANK($A203),$C203),IFERROR(0/0,""),INDEX('RFR Data - preExcl'!E$2:E923,$R203,1))</f>
        <v/>
      </c>
      <c r="E203" s="145" t="str">
        <f t="array" ref="E203">IF(OR(ISBLANK($A203),$C203),IFERROR(0/0,""),INDEX('RFR Data - preExcl'!Z$2:Z923,$R203,1))</f>
        <v/>
      </c>
      <c r="F203" s="145" t="str">
        <f t="array" ref="F203">IF(OR(ISBLANK(A203),C203),IFERROR(0/0,""),INDEX('RFR Data - preExcl'!AC$2:AC923,$R203,1))</f>
        <v/>
      </c>
      <c r="G203" s="145" t="str">
        <f t="array" ref="G203">IF(OR(ISBLANK(A203),C203),IFERROR(0/0,""),INDEX('RFR Data - preExcl'!AK$2:AK923,$R203,1))</f>
        <v/>
      </c>
      <c r="H203" s="145" t="str">
        <f t="array" ref="H203">IF(OR(ISBLANK(A203),C203),IFERROR(0/0,""),INDEX('RFR Data - preExcl'!AL$2:AL923,$R203,1))</f>
        <v/>
      </c>
      <c r="I203" s="146">
        <f>IFERROR(VLOOKUP($B203,'APS Tubes by Date IMPORT'!$B$2:$J923,2,FALSE),"")</f>
        <v>3</v>
      </c>
      <c r="J203" s="145" t="str">
        <f>IFERROR(VLOOKUP($B203,'APS Tubes by Date IMPORT'!$B$2:$J923,9,FALSE),"")</f>
        <v/>
      </c>
      <c r="K203" s="145">
        <f>IFNA(VLOOKUP($B203,'APS Tubes by Date IMPORT'!$B$2:$J923,6,FALSE),"")</f>
        <v>0</v>
      </c>
      <c r="L203" s="145"/>
      <c r="M203" s="145"/>
      <c r="N203" s="147">
        <v>6.1</v>
      </c>
      <c r="O203" s="143" t="str">
        <f t="shared" si="70"/>
        <v/>
      </c>
      <c r="P203" s="148" t="str">
        <f>IF(ISBLANK(N203),IFERROR(0/0,""),IFERROR(VLOOKUP(N203, 'Process Ref'!$A$76:$D$122, 2, FALSE), IFERROR(0/0,"")))</f>
        <v>No Run - APS Collect run next day</v>
      </c>
      <c r="Q203" s="143"/>
      <c r="R203" s="92" t="str">
        <f>IFNA(MATCH(A203,'RFR Data - preExcl'!A$2:A923,0),"")</f>
        <v/>
      </c>
      <c r="S203" s="54"/>
      <c r="T203" s="8" t="str">
        <f>IF(AND(NOT(ISBLANK(U203)),NOT(ISBLANK(V203)),NOT(ISBLANK(W203))),CONCATENATE("RUN-",'Process Ref'!$A$1,"_",TEXT(V203,"YYYY-MM-DD"),"_APS-",TEXT(W203,"000")),IFERROR(0/0,""))</f>
        <v>RUN-FLMP_2021-10-16_APS-059</v>
      </c>
      <c r="U203" s="14">
        <f t="shared" si="61"/>
        <v>44485</v>
      </c>
      <c r="V203" s="190">
        <v>44485.0</v>
      </c>
      <c r="W203" s="191">
        <f t="shared" si="62"/>
        <v>59</v>
      </c>
      <c r="X203" s="86"/>
      <c r="Z203" s="103"/>
      <c r="AG203" s="86"/>
      <c r="AJ203" s="86"/>
    </row>
    <row r="204">
      <c r="A204" s="8" t="s">
        <v>212</v>
      </c>
      <c r="B204" s="14">
        <v>44690.0</v>
      </c>
      <c r="C204" s="88" t="str">
        <f t="shared" si="2"/>
        <v/>
      </c>
      <c r="D204" s="16">
        <f t="array" ref="D204">IF(OR(ISBLANK($A204),$C204),IFERROR(0/0,""),INDEX('RFR Data - preExcl'!E$2:E923,$R204,1))</f>
        <v>23</v>
      </c>
      <c r="E204" s="16">
        <f t="array" ref="E204">IF(OR(ISBLANK($A204),$C204),IFERROR(0/0,""),INDEX('RFR Data - preExcl'!Z$2:Z923,$R204,1))</f>
        <v>25</v>
      </c>
      <c r="F204" s="16">
        <f t="array" ref="F204">IF(OR(ISBLANK(A204),C204),IFERROR(0/0,""),INDEX('RFR Data - preExcl'!AC$2:AC923,$R204,1))</f>
        <v>23</v>
      </c>
      <c r="G204" s="16">
        <f t="array" ref="G204">IF(OR(ISBLANK(A204),C204),IFERROR(0/0,""),INDEX('RFR Data - preExcl'!AK$2:AK923,$R204,1))</f>
        <v>23</v>
      </c>
      <c r="H204" s="16">
        <f t="array" ref="H204">IF(OR(ISBLANK(A204),C204),IFERROR(0/0,""),INDEX('RFR Data - preExcl'!AL$2:AL923,$R204,1))</f>
        <v>4</v>
      </c>
      <c r="I204" s="128">
        <f>IFERROR(VLOOKUP($B204,'APS Tubes by Date IMPORT'!$B$2:$J923,2,FALSE),"")</f>
        <v>30</v>
      </c>
      <c r="J204" s="16" t="b">
        <f>IFERROR(VLOOKUP($B204,'APS Tubes by Date IMPORT'!$B$2:$J923,9,FALSE),"")</f>
        <v>1</v>
      </c>
      <c r="K204" s="16">
        <f>IFNA(VLOOKUP($B204,'APS Tubes by Date IMPORT'!$B$2:$J923,6,FALSE),"")</f>
        <v>0</v>
      </c>
      <c r="L204" s="89">
        <f t="shared" ref="L204:L205" si="73">G204</f>
        <v>23</v>
      </c>
      <c r="M204" s="21">
        <v>1.0</v>
      </c>
      <c r="N204" s="116">
        <v>2.0</v>
      </c>
      <c r="P204" s="91" t="str">
        <f>IF(ISBLANK(N204),IFERROR(0/0,""),IFERROR(VLOOKUP(N204, 'Process Ref'!$A$76:$D$122, 2, FALSE), IFERROR(0/0,"")))</f>
        <v>Use Audit RFR count (extra tubes in RFR not in Appivo)</v>
      </c>
      <c r="Q204" s="140" t="s">
        <v>374</v>
      </c>
      <c r="R204" s="92">
        <f>IFNA(MATCH(A204,'RFR Data - preExcl'!A$2:A923,0),"")</f>
        <v>116</v>
      </c>
      <c r="S204" s="54"/>
      <c r="T204" s="8" t="str">
        <f>IF(AND(NOT(ISBLANK(U204)),NOT(ISBLANK(V204)),NOT(ISBLANK(W204))),CONCATENATE("RUN-",'Process Ref'!$A$1,"_",TEXT(V204,"YYYY-MM-DD"),"_APS-",TEXT(W204,"000")),IFERROR(0/0,""))</f>
        <v>RUN-FLMP_2021-10-19_APS-060</v>
      </c>
      <c r="U204" s="14">
        <f t="shared" si="61"/>
        <v>44488</v>
      </c>
      <c r="V204" s="190">
        <v>44488.0</v>
      </c>
      <c r="W204" s="191">
        <f t="shared" si="62"/>
        <v>60</v>
      </c>
      <c r="X204" s="86"/>
      <c r="Z204" s="131"/>
      <c r="AA204" s="14"/>
      <c r="AG204" s="86"/>
      <c r="AJ204" s="86"/>
    </row>
    <row r="205">
      <c r="A205" s="8" t="s">
        <v>213</v>
      </c>
      <c r="B205" s="14">
        <v>44690.0</v>
      </c>
      <c r="C205" s="88" t="str">
        <f t="shared" si="2"/>
        <v/>
      </c>
      <c r="D205" s="16">
        <f t="array" ref="D205">IF(OR(ISBLANK($A205),$C205),IFERROR(0/0,""),INDEX('RFR Data - preExcl'!E$2:E923,$R205,1))</f>
        <v>7</v>
      </c>
      <c r="E205" s="16">
        <f t="array" ref="E205">IF(OR(ISBLANK($A205),$C205),IFERROR(0/0,""),INDEX('RFR Data - preExcl'!Z$2:Z923,$R205,1))</f>
        <v>16</v>
      </c>
      <c r="F205" s="16">
        <f t="array" ref="F205">IF(OR(ISBLANK(A205),C205),IFERROR(0/0,""),INDEX('RFR Data - preExcl'!AC$2:AC923,$R205,1))</f>
        <v>14</v>
      </c>
      <c r="G205" s="16">
        <f t="array" ref="G205">IF(OR(ISBLANK(A205),C205),IFERROR(0/0,""),INDEX('RFR Data - preExcl'!AK$2:AK923,$R205,1))</f>
        <v>7</v>
      </c>
      <c r="H205" s="16">
        <f t="array" ref="H205">IF(OR(ISBLANK(A205),C205),IFERROR(0/0,""),INDEX('RFR Data - preExcl'!AL$2:AL923,$R205,1))</f>
        <v>4</v>
      </c>
      <c r="I205" s="16"/>
      <c r="J205" s="16" t="b">
        <f>IFERROR(VLOOKUP($B205,'APS Tubes by Date IMPORT'!$B$2:$J923,9,FALSE),"")</f>
        <v>1</v>
      </c>
      <c r="K205" s="16">
        <f>IFNA(VLOOKUP($B205,'APS Tubes by Date IMPORT'!$B$2:$J923,6,FALSE),"")</f>
        <v>0</v>
      </c>
      <c r="L205" s="89">
        <f t="shared" si="73"/>
        <v>7</v>
      </c>
      <c r="M205" s="21">
        <v>0.0</v>
      </c>
      <c r="N205" s="120">
        <v>5.0</v>
      </c>
      <c r="O205" s="30" t="str">
        <f t="shared" ref="O205:O369" si="74">IF(ISBLANK(L205),IFERROR(0/0,""),IF($N205&lt;5,TRUE,IFERROR(0/0,"")))</f>
        <v/>
      </c>
      <c r="P205" s="91" t="str">
        <f>IF(ISBLANK(N205),IFERROR(0/0,""),IFERROR(VLOOKUP(N205, 'Process Ref'!$A$76:$D$122, 2, FALSE), IFERROR(0/0,"")))</f>
        <v>Multiple Initial runs on same day - final count is sum of RFR Audit = APS Collect</v>
      </c>
      <c r="Q205" s="138" t="s">
        <v>375</v>
      </c>
      <c r="R205" s="92">
        <f>IFNA(MATCH(A205,'RFR Data - preExcl'!A$2:A923,0),"")</f>
        <v>119</v>
      </c>
      <c r="S205" s="54"/>
      <c r="T205" s="8" t="str">
        <f>IF(AND(NOT(ISBLANK(U205)),NOT(ISBLANK(V205)),NOT(ISBLANK(W205))),CONCATENATE("RUN-",'Process Ref'!$A$1,"_",TEXT(V205,"YYYY-MM-DD"),"_APS-",TEXT(W205,"000")),IFERROR(0/0,""))</f>
        <v>RUN-FLMP_2021-10-21_APS-061</v>
      </c>
      <c r="U205" s="14">
        <f t="shared" si="61"/>
        <v>44490</v>
      </c>
      <c r="V205" s="190">
        <v>44490.0</v>
      </c>
      <c r="W205" s="191">
        <f t="shared" si="62"/>
        <v>61</v>
      </c>
      <c r="X205" s="86"/>
      <c r="Z205" s="103"/>
      <c r="AG205" s="86"/>
      <c r="AJ205" s="86"/>
    </row>
    <row r="206">
      <c r="A206" s="8" t="s">
        <v>211</v>
      </c>
      <c r="B206" s="14">
        <v>44690.0</v>
      </c>
      <c r="C206" s="88" t="b">
        <f t="shared" si="2"/>
        <v>1</v>
      </c>
      <c r="D206" s="16" t="str">
        <f t="array" ref="D206">IF(OR(ISBLANK($A206),$C206),IFERROR(0/0,""),INDEX('RFR Data - preExcl'!E$2:E923,$R206,1))</f>
        <v/>
      </c>
      <c r="E206" s="16" t="str">
        <f t="array" ref="E206">IF(OR(ISBLANK($A206),$C206),IFERROR(0/0,""),INDEX('RFR Data - preExcl'!Z$2:Z923,$R206,1))</f>
        <v/>
      </c>
      <c r="F206" s="16" t="str">
        <f t="array" ref="F206">IF(OR(ISBLANK(A206),C206),IFERROR(0/0,""),INDEX('RFR Data - preExcl'!AC$2:AC923,$R206,1))</f>
        <v/>
      </c>
      <c r="G206" s="16" t="str">
        <f t="array" ref="G206">IF(OR(ISBLANK(A206),C206),IFERROR(0/0,""),INDEX('RFR Data - preExcl'!AK$2:AK923,$R206,1))</f>
        <v/>
      </c>
      <c r="H206" s="16" t="str">
        <f t="array" ref="H206">IF(OR(ISBLANK(A206),C206),IFERROR(0/0,""),INDEX('RFR Data - preExcl'!AL$2:AL923,$R206,1))</f>
        <v/>
      </c>
      <c r="I206" s="16"/>
      <c r="J206" s="16" t="b">
        <f>IFERROR(VLOOKUP($B206,'APS Tubes by Date IMPORT'!$B$2:$J923,9,FALSE),"")</f>
        <v>1</v>
      </c>
      <c r="K206" s="16">
        <f>IFNA(VLOOKUP($B206,'APS Tubes by Date IMPORT'!$B$2:$J923,6,FALSE),"")</f>
        <v>0</v>
      </c>
      <c r="L206" s="210">
        <v>4.0</v>
      </c>
      <c r="M206" s="21">
        <v>0.0</v>
      </c>
      <c r="N206" s="90">
        <v>3.4</v>
      </c>
      <c r="O206" s="30" t="b">
        <f t="shared" si="74"/>
        <v>1</v>
      </c>
      <c r="P206" s="91" t="str">
        <f>IF(ISBLANK(N206),IFERROR(0/0,""),IFERROR(VLOOKUP(N206, 'Process Ref'!$A$76:$D$122, 2, FALSE), IFERROR(0/0,"")))</f>
        <v>Add Run from APS with no RFR (assume run on same day as Collect, ignore Result day)</v>
      </c>
      <c r="Q206" s="142" t="s">
        <v>376</v>
      </c>
      <c r="R206" s="92" t="str">
        <f>IFNA(MATCH(A206,'RFR Data - preExcl'!A$2:A923,0),"")</f>
        <v/>
      </c>
      <c r="S206" s="54"/>
      <c r="T206" s="8" t="str">
        <f>IF(AND(NOT(ISBLANK(U206)),NOT(ISBLANK(V206)),NOT(ISBLANK(W206))),CONCATENATE("RUN-",'Process Ref'!$A$1,"_",TEXT(V206,"YYYY-MM-DD"),"_APS-",TEXT(W206,"000")),IFERROR(0/0,""))</f>
        <v>RUN-FLMP_2021-10-23_APS-062</v>
      </c>
      <c r="U206" s="14">
        <f t="shared" si="61"/>
        <v>44492</v>
      </c>
      <c r="V206" s="190">
        <v>44492.0</v>
      </c>
      <c r="W206" s="191">
        <f t="shared" si="62"/>
        <v>62</v>
      </c>
      <c r="X206" s="86"/>
      <c r="Z206" s="131"/>
      <c r="AA206" s="14"/>
      <c r="AG206" s="86"/>
      <c r="AJ206" s="86"/>
    </row>
    <row r="207">
      <c r="A207" s="143"/>
      <c r="B207" s="73">
        <v>44691.0</v>
      </c>
      <c r="C207" s="144" t="str">
        <f t="shared" si="2"/>
        <v/>
      </c>
      <c r="D207" s="145" t="str">
        <f t="array" ref="D207">IF(OR(ISBLANK($A207),$C207),IFERROR(0/0,""),INDEX('RFR Data - preExcl'!E$2:E923,$R207,1))</f>
        <v/>
      </c>
      <c r="E207" s="145"/>
      <c r="F207" s="145" t="str">
        <f t="array" ref="F207">IF(OR(ISBLANK(A207),C207),IFERROR(0/0,""),INDEX('RFR Data - preExcl'!AC$2:AC923,$R207,1))</f>
        <v/>
      </c>
      <c r="G207" s="145" t="str">
        <f t="array" ref="G207">IF(OR(ISBLANK(A207),C207),IFERROR(0/0,""),INDEX('RFR Data - preExcl'!AK$2:AK923,$R207,1))</f>
        <v/>
      </c>
      <c r="H207" s="145" t="str">
        <f t="array" ref="H207">IF(OR(ISBLANK(A207),C207),IFERROR(0/0,""),INDEX('RFR Data - preExcl'!AL$2:AL923,$R207,1))</f>
        <v/>
      </c>
      <c r="I207" s="146">
        <f>IFERROR(VLOOKUP($B207,'APS Tubes by Date IMPORT'!$B$2:$J923,2,FALSE),"")</f>
        <v>1</v>
      </c>
      <c r="J207" s="145" t="str">
        <f>IFERROR(VLOOKUP($B207,'APS Tubes by Date IMPORT'!$B$2:$J923,9,FALSE),"")</f>
        <v/>
      </c>
      <c r="K207" s="145">
        <f>IFNA(VLOOKUP($B207,'APS Tubes by Date IMPORT'!$B$2:$J923,6,FALSE),"")</f>
        <v>0</v>
      </c>
      <c r="L207" s="147"/>
      <c r="M207" s="145"/>
      <c r="N207" s="147">
        <v>6.1</v>
      </c>
      <c r="O207" s="143" t="str">
        <f t="shared" si="74"/>
        <v/>
      </c>
      <c r="P207" s="148" t="str">
        <f>IF(ISBLANK(N207),IFERROR(0/0,""),IFERROR(VLOOKUP(N207, 'Process Ref'!$A$76:$D$122, 2, FALSE), IFERROR(0/0,"")))</f>
        <v>No Run - APS Collect run next day</v>
      </c>
      <c r="Q207" s="143"/>
      <c r="R207" s="92" t="str">
        <f>IFNA(MATCH(A207,'RFR Data - preExcl'!A$2:A923,0),"")</f>
        <v/>
      </c>
      <c r="S207" s="54"/>
      <c r="T207" s="8" t="str">
        <f>IF(AND(NOT(ISBLANK(U207)),NOT(ISBLANK(V207)),NOT(ISBLANK(W207))),CONCATENATE("RUN-",'Process Ref'!$A$1,"_",TEXT(V207,"YYYY-MM-DD"),"_APS-",TEXT(W207,"000")),IFERROR(0/0,""))</f>
        <v>RUN-FLMP_2021-10-30_APS-063</v>
      </c>
      <c r="U207" s="14">
        <f t="shared" si="61"/>
        <v>44499</v>
      </c>
      <c r="V207" s="190">
        <v>44499.0</v>
      </c>
      <c r="W207" s="191">
        <f t="shared" si="62"/>
        <v>63</v>
      </c>
      <c r="X207" s="86"/>
      <c r="Z207" s="131"/>
      <c r="AA207" s="14"/>
      <c r="AG207" s="86"/>
      <c r="AJ207" s="86"/>
    </row>
    <row r="208">
      <c r="A208" s="8" t="s">
        <v>214</v>
      </c>
      <c r="B208" s="14">
        <v>44692.0</v>
      </c>
      <c r="C208" s="88" t="str">
        <f t="shared" si="2"/>
        <v/>
      </c>
      <c r="D208" s="16">
        <f t="array" ref="D208">IF(OR(ISBLANK($A208),$C208),IFERROR(0/0,""),INDEX('RFR Data - preExcl'!E$2:E923,$R208,1))</f>
        <v>7</v>
      </c>
      <c r="E208" s="16">
        <f t="array" ref="E208">IF(OR(ISBLANK($A208),$C208),IFERROR(0/0,""),INDEX('RFR Data - preExcl'!Z$2:Z923,$R208,1))</f>
        <v>9</v>
      </c>
      <c r="F208" s="16">
        <f t="array" ref="F208">IF(OR(ISBLANK(A208),C208),IFERROR(0/0,""),INDEX('RFR Data - preExcl'!AC$2:AC923,$R208,1))</f>
        <v>7</v>
      </c>
      <c r="G208" s="16">
        <f t="array" ref="G208">IF(OR(ISBLANK(A208),C208),IFERROR(0/0,""),INDEX('RFR Data - preExcl'!AK$2:AK923,$R208,1))</f>
        <v>7</v>
      </c>
      <c r="H208" s="16">
        <f t="array" ref="H208">IF(OR(ISBLANK(A208),C208),IFERROR(0/0,""),INDEX('RFR Data - preExcl'!AL$2:AL923,$R208,1))</f>
        <v>2</v>
      </c>
      <c r="I208" s="128">
        <f>IFERROR(VLOOKUP($B208,'APS Tubes by Date IMPORT'!$B$2:$J923,2,FALSE),"")</f>
        <v>5</v>
      </c>
      <c r="J208" s="16" t="b">
        <f>IFERROR(VLOOKUP($B208,'APS Tubes by Date IMPORT'!$B$2:$J923,9,FALSE),"")</f>
        <v>1</v>
      </c>
      <c r="K208" s="16">
        <f>IFNA(VLOOKUP($B208,'APS Tubes by Date IMPORT'!$B$2:$J923,6,FALSE),"")</f>
        <v>0</v>
      </c>
      <c r="L208" s="177">
        <f t="shared" ref="L208:L210" si="75">G208</f>
        <v>7</v>
      </c>
      <c r="M208" s="21">
        <f>L208-I208-I207</f>
        <v>1</v>
      </c>
      <c r="N208" s="116">
        <v>2.0</v>
      </c>
      <c r="O208" s="30" t="b">
        <f t="shared" si="74"/>
        <v>1</v>
      </c>
      <c r="P208" s="91" t="str">
        <f>IF(ISBLANK(N208),IFERROR(0/0,""),IFERROR(VLOOKUP(N208, 'Process Ref'!$A$76:$D$122, 2, FALSE), IFERROR(0/0,"")))</f>
        <v>Use Audit RFR count (extra tubes in RFR not in Appivo)</v>
      </c>
      <c r="Q208" s="138" t="s">
        <v>377</v>
      </c>
      <c r="R208" s="92">
        <f>IFNA(MATCH(A208,'RFR Data - preExcl'!A$2:A923,0),"")</f>
        <v>120</v>
      </c>
      <c r="S208" s="54"/>
      <c r="T208" s="8" t="str">
        <f>IF(AND(NOT(ISBLANK(U208)),NOT(ISBLANK(V208)),NOT(ISBLANK(W208))),CONCATENATE("RUN-",'Process Ref'!$A$1,"_",TEXT(V208,"YYYY-MM-DD"),"_APS-",TEXT(W208,"000")),IFERROR(0/0,""))</f>
        <v/>
      </c>
      <c r="U208" s="8" t="str">
        <f t="shared" si="61"/>
        <v/>
      </c>
      <c r="V208" s="190">
        <v>44501.0</v>
      </c>
      <c r="W208" s="191" t="str">
        <f t="shared" si="62"/>
        <v/>
      </c>
      <c r="X208" s="86"/>
      <c r="Z208" s="103"/>
      <c r="AG208" s="86"/>
      <c r="AJ208" s="86"/>
    </row>
    <row r="209">
      <c r="A209" s="8" t="s">
        <v>215</v>
      </c>
      <c r="B209" s="14">
        <v>44693.0</v>
      </c>
      <c r="C209" s="88" t="str">
        <f t="shared" si="2"/>
        <v/>
      </c>
      <c r="D209" s="16">
        <f t="array" ref="D209">IF(OR(ISBLANK($A209),$C209),IFERROR(0/0,""),INDEX('RFR Data - preExcl'!E$2:E923,$R209,1))</f>
        <v>23</v>
      </c>
      <c r="E209" s="16">
        <f t="array" ref="E209">IF(OR(ISBLANK($A209),$C209),IFERROR(0/0,""),INDEX('RFR Data - preExcl'!Z$2:Z923,$R209,1))</f>
        <v>25</v>
      </c>
      <c r="F209" s="16">
        <f t="array" ref="F209">IF(OR(ISBLANK(A209),C209),IFERROR(0/0,""),INDEX('RFR Data - preExcl'!AC$2:AC923,$R209,1))</f>
        <v>23</v>
      </c>
      <c r="G209" s="16">
        <f t="array" ref="G209">IF(OR(ISBLANK(A209),C209),IFERROR(0/0,""),INDEX('RFR Data - preExcl'!AK$2:AK923,$R209,1))</f>
        <v>23</v>
      </c>
      <c r="H209" s="16">
        <f t="array" ref="H209">IF(OR(ISBLANK(A209),C209),IFERROR(0/0,""),INDEX('RFR Data - preExcl'!AL$2:AL923,$R209,1))</f>
        <v>1.1</v>
      </c>
      <c r="I209" s="16">
        <f>IFERROR(VLOOKUP($B209,'APS Tubes by Date IMPORT'!$B$2:$J923,2,FALSE),"")</f>
        <v>21</v>
      </c>
      <c r="J209" s="16" t="b">
        <f>IFERROR(VLOOKUP($B209,'APS Tubes by Date IMPORT'!$B$2:$J923,9,FALSE),"")</f>
        <v>1</v>
      </c>
      <c r="K209" s="16">
        <f>IFNA(VLOOKUP($B209,'APS Tubes by Date IMPORT'!$B$2:$J923,6,FALSE),"")</f>
        <v>0</v>
      </c>
      <c r="L209" s="177">
        <f t="shared" si="75"/>
        <v>23</v>
      </c>
      <c r="M209" s="21">
        <f t="shared" ref="M209:M210" si="76">L209-I209</f>
        <v>2</v>
      </c>
      <c r="N209" s="211">
        <v>2.1</v>
      </c>
      <c r="O209" s="30" t="b">
        <f t="shared" si="74"/>
        <v>1</v>
      </c>
      <c r="P209" s="91" t="str">
        <f>IF(ISBLANK(N209),IFERROR(0/0,""),IFERROR(VLOOKUP(N209, 'Process Ref'!$A$76:$D$122, 2, FALSE), IFERROR(0/0,"")))</f>
        <v>Use Audit RFR count (extra tubes in RFR not in Appivo) after Null called Neg</v>
      </c>
      <c r="Q209" s="138" t="s">
        <v>378</v>
      </c>
      <c r="R209" s="92">
        <f>IFNA(MATCH(A209,'RFR Data - preExcl'!A$2:A923,0),"")</f>
        <v>123</v>
      </c>
      <c r="S209" s="54"/>
      <c r="T209" s="8" t="str">
        <f>IF(AND(NOT(ISBLANK(U209)),NOT(ISBLANK(V209)),NOT(ISBLANK(W209))),CONCATENATE("RUN-",'Process Ref'!$A$1,"_",TEXT(V209,"YYYY-MM-DD"),"_APS-",TEXT(W209,"000")),IFERROR(0/0,""))</f>
        <v/>
      </c>
      <c r="U209" s="8" t="str">
        <f t="shared" si="61"/>
        <v/>
      </c>
      <c r="V209" s="190">
        <v>44502.0</v>
      </c>
      <c r="W209" s="191" t="str">
        <f t="shared" si="62"/>
        <v/>
      </c>
      <c r="X209" s="86"/>
      <c r="Z209" s="103"/>
      <c r="AG209" s="86"/>
      <c r="AJ209" s="86"/>
    </row>
    <row r="210">
      <c r="A210" s="8" t="s">
        <v>216</v>
      </c>
      <c r="B210" s="14">
        <v>44695.0</v>
      </c>
      <c r="C210" s="88" t="str">
        <f t="shared" si="2"/>
        <v/>
      </c>
      <c r="D210" s="16">
        <f t="array" ref="D210">IF(OR(ISBLANK($A210),$C210),IFERROR(0/0,""),INDEX('RFR Data - preExcl'!E$2:E923,$R210,1))</f>
        <v>8</v>
      </c>
      <c r="E210" s="16">
        <f t="array" ref="E210">IF(OR(ISBLANK($A210),$C210),IFERROR(0/0,""),INDEX('RFR Data - preExcl'!Z$2:Z923,$R210,1))</f>
        <v>8</v>
      </c>
      <c r="F210" s="16">
        <f t="array" ref="F210">IF(OR(ISBLANK(A210),C210),IFERROR(0/0,""),INDEX('RFR Data - preExcl'!AC$2:AC923,$R210,1))</f>
        <v>6</v>
      </c>
      <c r="G210" s="16">
        <f t="array" ref="G210">IF(OR(ISBLANK(A210),C210),IFERROR(0/0,""),INDEX('RFR Data - preExcl'!AK$2:AK923,$R210,1))</f>
        <v>3</v>
      </c>
      <c r="H210" s="16">
        <f t="array" ref="H210">IF(OR(ISBLANK(A210),C210),IFERROR(0/0,""),INDEX('RFR Data - preExcl'!AL$2:AL923,$R210,1))</f>
        <v>0</v>
      </c>
      <c r="I210" s="16" t="str">
        <f>IFERROR(VLOOKUP($B210,'APS Tubes by Date IMPORT'!$B$2:$J923,2,FALSE),"")</f>
        <v/>
      </c>
      <c r="J210" s="16" t="str">
        <f>IFERROR(VLOOKUP($B210,'APS Tubes by Date IMPORT'!$B$2:$J923,9,FALSE),"")</f>
        <v/>
      </c>
      <c r="K210" s="16" t="str">
        <f>IFNA(VLOOKUP($B210,'APS Tubes by Date IMPORT'!$B$2:$J923,6,FALSE),"")</f>
        <v/>
      </c>
      <c r="L210" s="89">
        <f t="shared" si="75"/>
        <v>3</v>
      </c>
      <c r="M210" s="21">
        <f t="shared" si="76"/>
        <v>3</v>
      </c>
      <c r="N210" s="116">
        <v>2.0</v>
      </c>
      <c r="O210" s="30" t="b">
        <f t="shared" si="74"/>
        <v>1</v>
      </c>
      <c r="P210" s="91" t="str">
        <f>IF(ISBLANK(N210),IFERROR(0/0,""),IFERROR(VLOOKUP(N210, 'Process Ref'!$A$76:$D$122, 2, FALSE), IFERROR(0/0,"")))</f>
        <v>Use Audit RFR count (extra tubes in RFR not in Appivo)</v>
      </c>
      <c r="Q210" s="138" t="s">
        <v>379</v>
      </c>
      <c r="R210" s="92">
        <f>IFNA(MATCH(A210,'RFR Data - preExcl'!A$2:A923,0),"")</f>
        <v>125</v>
      </c>
      <c r="S210" s="54"/>
      <c r="T210" s="8" t="str">
        <f>IF(AND(NOT(ISBLANK(U210)),NOT(ISBLANK(V210)),NOT(ISBLANK(W210))),CONCATENATE("RUN-",'Process Ref'!$A$1,"_",TEXT(V210,"YYYY-MM-DD"),"_APS-",TEXT(W210,"000")),IFERROR(0/0,""))</f>
        <v>RUN-FLMP_2021-11-03_APS-064</v>
      </c>
      <c r="U210" s="14">
        <f t="shared" si="61"/>
        <v>44503</v>
      </c>
      <c r="V210" s="190">
        <v>44503.0</v>
      </c>
      <c r="W210" s="191">
        <f t="shared" si="62"/>
        <v>64</v>
      </c>
      <c r="X210" s="86"/>
      <c r="Z210" s="103"/>
      <c r="AG210" s="86"/>
      <c r="AJ210" s="86"/>
    </row>
    <row r="211">
      <c r="A211" s="143"/>
      <c r="B211" s="73">
        <v>44696.0</v>
      </c>
      <c r="C211" s="144" t="str">
        <f t="shared" si="2"/>
        <v/>
      </c>
      <c r="D211" s="145" t="str">
        <f t="array" ref="D211">IF(OR(ISBLANK($A211),$C211),IFERROR(0/0,""),INDEX('RFR Data - preExcl'!E$2:E923,$R211,1))</f>
        <v/>
      </c>
      <c r="E211" s="145" t="str">
        <f t="array" ref="E211">IF(OR(ISBLANK($A211),$C211),IFERROR(0/0,""),INDEX('RFR Data - preExcl'!Z$2:Z923,$R211,1))</f>
        <v/>
      </c>
      <c r="F211" s="145" t="str">
        <f t="array" ref="F211">IF(OR(ISBLANK(A211),C211),IFERROR(0/0,""),INDEX('RFR Data - preExcl'!AC$2:AC923,$R211,1))</f>
        <v/>
      </c>
      <c r="G211" s="145" t="str">
        <f t="array" ref="G211">IF(OR(ISBLANK(A211),C211),IFERROR(0/0,""),INDEX('RFR Data - preExcl'!AK$2:AK923,$R211,1))</f>
        <v/>
      </c>
      <c r="H211" s="145" t="str">
        <f t="array" ref="H211">IF(OR(ISBLANK(A211),C211),IFERROR(0/0,""),INDEX('RFR Data - preExcl'!AL$2:AL923,$R211,1))</f>
        <v/>
      </c>
      <c r="I211" s="146">
        <f>IFERROR(VLOOKUP($B211,'APS Tubes by Date IMPORT'!$B$2:$J923,2,FALSE),"")</f>
        <v>1</v>
      </c>
      <c r="J211" s="145" t="str">
        <f>IFERROR(VLOOKUP($B211,'APS Tubes by Date IMPORT'!$B$2:$J923,9,FALSE),"")</f>
        <v/>
      </c>
      <c r="K211" s="145">
        <f>IFNA(VLOOKUP($B211,'APS Tubes by Date IMPORT'!$B$2:$J923,6,FALSE),"")</f>
        <v>0</v>
      </c>
      <c r="L211" s="145"/>
      <c r="M211" s="145"/>
      <c r="N211" s="147">
        <v>6.1</v>
      </c>
      <c r="O211" s="143" t="str">
        <f t="shared" si="74"/>
        <v/>
      </c>
      <c r="P211" s="148" t="str">
        <f>IF(ISBLANK(N211),IFERROR(0/0,""),IFERROR(VLOOKUP(N211, 'Process Ref'!$A$76:$D$122, 2, FALSE), IFERROR(0/0,"")))</f>
        <v>No Run - APS Collect run next day</v>
      </c>
      <c r="Q211" s="212"/>
      <c r="R211" s="92" t="str">
        <f>IFNA(MATCH(A211,'RFR Data - preExcl'!A$2:A923,0),"")</f>
        <v/>
      </c>
      <c r="S211" s="54"/>
      <c r="T211" s="8" t="str">
        <f>IF(AND(NOT(ISBLANK(U211)),NOT(ISBLANK(V211)),NOT(ISBLANK(W211))),CONCATENATE("RUN-",'Process Ref'!$A$1,"_",TEXT(V211,"YYYY-MM-DD"),"_APS-",TEXT(W211,"000")),IFERROR(0/0,""))</f>
        <v>RUN-FLMP_2021-11-05_APS-065</v>
      </c>
      <c r="U211" s="14">
        <f t="shared" si="61"/>
        <v>44505</v>
      </c>
      <c r="V211" s="190">
        <v>44505.0</v>
      </c>
      <c r="W211" s="191">
        <f t="shared" si="62"/>
        <v>65</v>
      </c>
      <c r="X211" s="86"/>
      <c r="Z211" s="103"/>
      <c r="AG211" s="86"/>
      <c r="AJ211" s="86"/>
    </row>
    <row r="212">
      <c r="A212" s="8" t="s">
        <v>217</v>
      </c>
      <c r="B212" s="14">
        <v>44697.0</v>
      </c>
      <c r="C212" s="88" t="str">
        <f t="shared" si="2"/>
        <v/>
      </c>
      <c r="D212" s="16">
        <f t="array" ref="D212">IF(OR(ISBLANK($A212),$C212),IFERROR(0/0,""),INDEX('RFR Data - preExcl'!E$2:E923,$R212,1))</f>
        <v>22</v>
      </c>
      <c r="E212" s="16">
        <f t="array" ref="E212">IF(OR(ISBLANK($A212),$C212),IFERROR(0/0,""),INDEX('RFR Data - preExcl'!Z$2:Z923,$R212,1))</f>
        <v>24</v>
      </c>
      <c r="F212" s="16">
        <f t="array" ref="F212">IF(OR(ISBLANK(A212),C212),IFERROR(0/0,""),INDEX('RFR Data - preExcl'!AC$2:AC923,$R212,1))</f>
        <v>22</v>
      </c>
      <c r="G212" s="16">
        <f t="array" ref="G212">IF(OR(ISBLANK(A212),C212),IFERROR(0/0,""),INDEX('RFR Data - preExcl'!AK$2:AK923,$R212,1))</f>
        <v>22</v>
      </c>
      <c r="H212" s="16">
        <f t="array" ref="H212">IF(OR(ISBLANK(A212),C212),IFERROR(0/0,""),INDEX('RFR Data - preExcl'!AL$2:AL923,$R212,1))</f>
        <v>1.2</v>
      </c>
      <c r="I212" s="128">
        <f>IFERROR(VLOOKUP($B212,'APS Tubes by Date IMPORT'!$B$2:$J923,2,FALSE),"")</f>
        <v>18</v>
      </c>
      <c r="J212" s="16" t="b">
        <f>IFERROR(VLOOKUP($B212,'APS Tubes by Date IMPORT'!$B$2:$J923,9,FALSE),"")</f>
        <v>1</v>
      </c>
      <c r="K212" s="16">
        <f>IFNA(VLOOKUP($B212,'APS Tubes by Date IMPORT'!$B$2:$J923,6,FALSE),"")</f>
        <v>0</v>
      </c>
      <c r="L212" s="89">
        <f t="shared" ref="L212:L216" si="77">G212</f>
        <v>22</v>
      </c>
      <c r="M212" s="21">
        <f>L212-I212-I211</f>
        <v>3</v>
      </c>
      <c r="N212" s="116">
        <v>2.0</v>
      </c>
      <c r="O212" s="30" t="b">
        <f t="shared" si="74"/>
        <v>1</v>
      </c>
      <c r="P212" s="91" t="str">
        <f>IF(ISBLANK(N212),IFERROR(0/0,""),IFERROR(VLOOKUP(N212, 'Process Ref'!$A$76:$D$122, 2, FALSE), IFERROR(0/0,"")))</f>
        <v>Use Audit RFR count (extra tubes in RFR not in Appivo)</v>
      </c>
      <c r="Q212" s="138" t="s">
        <v>380</v>
      </c>
      <c r="R212" s="92">
        <f>IFNA(MATCH(A212,'RFR Data - preExcl'!A$2:A923,0),"")</f>
        <v>126</v>
      </c>
      <c r="S212" s="54"/>
      <c r="T212" s="8" t="str">
        <f>IF(AND(NOT(ISBLANK(U212)),NOT(ISBLANK(V212)),NOT(ISBLANK(W212))),CONCATENATE("RUN-",'Process Ref'!$A$1,"_",TEXT(V212,"YYYY-MM-DD"),"_APS-",TEXT(W212,"000")),IFERROR(0/0,""))</f>
        <v>RUN-FLMP_2021-11-08_APS-066</v>
      </c>
      <c r="U212" s="14">
        <f t="shared" si="61"/>
        <v>44508</v>
      </c>
      <c r="V212" s="190">
        <v>44508.0</v>
      </c>
      <c r="W212" s="191">
        <f t="shared" si="62"/>
        <v>66</v>
      </c>
      <c r="X212" s="86"/>
      <c r="Z212" s="131"/>
      <c r="AA212" s="14"/>
      <c r="AG212" s="86"/>
      <c r="AJ212" s="86"/>
    </row>
    <row r="213">
      <c r="A213" s="8" t="s">
        <v>218</v>
      </c>
      <c r="B213" s="14">
        <v>44698.0</v>
      </c>
      <c r="C213" s="88" t="str">
        <f t="shared" si="2"/>
        <v/>
      </c>
      <c r="D213" s="16">
        <f t="array" ref="D213">IF(OR(ISBLANK($A213),$C213),IFERROR(0/0,""),INDEX('RFR Data - preExcl'!E$2:E923,$R213,1))</f>
        <v>1</v>
      </c>
      <c r="E213" s="16">
        <f t="array" ref="E213">IF(OR(ISBLANK($A213),$C213),IFERROR(0/0,""),INDEX('RFR Data - preExcl'!Z$2:Z923,$R213,1))</f>
        <v>5</v>
      </c>
      <c r="F213" s="16">
        <f t="array" ref="F213">IF(OR(ISBLANK(A213),C213),IFERROR(0/0,""),INDEX('RFR Data - preExcl'!AC$2:AC923,$R213,1))</f>
        <v>3</v>
      </c>
      <c r="G213" s="16">
        <f t="array" ref="G213">IF(OR(ISBLANK(A213),C213),IFERROR(0/0,""),INDEX('RFR Data - preExcl'!AK$2:AK923,$R213,1))</f>
        <v>1</v>
      </c>
      <c r="H213" s="16">
        <f t="array" ref="H213">IF(OR(ISBLANK(A213),C213),IFERROR(0/0,""),INDEX('RFR Data - preExcl'!AL$2:AL923,$R213,1))</f>
        <v>0</v>
      </c>
      <c r="I213" s="16">
        <f>IFERROR(VLOOKUP($B213,'APS Tubes by Date IMPORT'!$B$2:$J923,2,FALSE),"")</f>
        <v>3</v>
      </c>
      <c r="J213" s="16" t="b">
        <f>IFERROR(VLOOKUP($B213,'APS Tubes by Date IMPORT'!$B$2:$J923,9,FALSE),"")</f>
        <v>1</v>
      </c>
      <c r="K213" s="16">
        <f>IFNA(VLOOKUP($B213,'APS Tubes by Date IMPORT'!$B$2:$J923,6,FALSE),"")</f>
        <v>0</v>
      </c>
      <c r="L213" s="89">
        <f t="shared" si="77"/>
        <v>1</v>
      </c>
      <c r="M213" s="21">
        <v>0.0</v>
      </c>
      <c r="N213" s="120">
        <v>5.0</v>
      </c>
      <c r="O213" s="30" t="str">
        <f t="shared" si="74"/>
        <v/>
      </c>
      <c r="P213" s="91" t="str">
        <f>IF(ISBLANK(N213),IFERROR(0/0,""),IFERROR(VLOOKUP(N213, 'Process Ref'!$A$76:$D$122, 2, FALSE), IFERROR(0/0,"")))</f>
        <v>Multiple Initial runs on same day - final count is sum of RFR Audit = APS Collect</v>
      </c>
      <c r="Q213" s="138"/>
      <c r="R213" s="92">
        <f>IFNA(MATCH(A213,'RFR Data - preExcl'!A$2:A923,0),"")</f>
        <v>128</v>
      </c>
      <c r="S213" s="54"/>
      <c r="T213" s="8" t="str">
        <f>IF(AND(NOT(ISBLANK(U213)),NOT(ISBLANK(V213)),NOT(ISBLANK(W213))),CONCATENATE("RUN-",'Process Ref'!$A$1,"_",TEXT(V213,"YYYY-MM-DD"),"_APS-",TEXT(W213,"000")),IFERROR(0/0,""))</f>
        <v>RUN-FLMP_2021-11-10_APS-067</v>
      </c>
      <c r="U213" s="14">
        <f t="shared" si="61"/>
        <v>44510</v>
      </c>
      <c r="V213" s="190">
        <v>44510.0</v>
      </c>
      <c r="W213" s="191">
        <f t="shared" si="62"/>
        <v>67</v>
      </c>
      <c r="X213" s="86"/>
      <c r="Z213" s="103"/>
      <c r="AG213" s="86"/>
      <c r="AJ213" s="86"/>
    </row>
    <row r="214">
      <c r="A214" s="8" t="s">
        <v>219</v>
      </c>
      <c r="B214" s="14">
        <v>44698.0</v>
      </c>
      <c r="C214" s="88" t="str">
        <f t="shared" si="2"/>
        <v/>
      </c>
      <c r="D214" s="16">
        <f t="array" ref="D214">IF(OR(ISBLANK($A214),$C214),IFERROR(0/0,""),INDEX('RFR Data - preExcl'!E$2:E923,$R214,1))</f>
        <v>2</v>
      </c>
      <c r="E214" s="16">
        <f t="array" ref="E214">IF(OR(ISBLANK($A214),$C214),IFERROR(0/0,""),INDEX('RFR Data - preExcl'!Z$2:Z923,$R214,1))</f>
        <v>4</v>
      </c>
      <c r="F214" s="16">
        <f t="array" ref="F214">IF(OR(ISBLANK(A214),C214),IFERROR(0/0,""),INDEX('RFR Data - preExcl'!AC$2:AC923,$R214,1))</f>
        <v>2</v>
      </c>
      <c r="G214" s="16">
        <f t="array" ref="G214">IF(OR(ISBLANK(A214),C214),IFERROR(0/0,""),INDEX('RFR Data - preExcl'!AK$2:AK923,$R214,1))</f>
        <v>2</v>
      </c>
      <c r="H214" s="16">
        <f t="array" ref="H214">IF(OR(ISBLANK(A214),C214),IFERROR(0/0,""),INDEX('RFR Data - preExcl'!AL$2:AL923,$R214,1))</f>
        <v>0</v>
      </c>
      <c r="I214" s="16"/>
      <c r="J214" s="16" t="b">
        <f>IFERROR(VLOOKUP($B214,'APS Tubes by Date IMPORT'!$B$2:$J923,9,FALSE),"")</f>
        <v>1</v>
      </c>
      <c r="K214" s="16">
        <f>IFNA(VLOOKUP($B214,'APS Tubes by Date IMPORT'!$B$2:$J923,6,FALSE),"")</f>
        <v>0</v>
      </c>
      <c r="L214" s="89">
        <f t="shared" si="77"/>
        <v>2</v>
      </c>
      <c r="M214" s="21">
        <v>0.0</v>
      </c>
      <c r="N214" s="120">
        <v>5.0</v>
      </c>
      <c r="O214" s="30" t="str">
        <f t="shared" si="74"/>
        <v/>
      </c>
      <c r="P214" s="91" t="str">
        <f>IF(ISBLANK(N214),IFERROR(0/0,""),IFERROR(VLOOKUP(N214, 'Process Ref'!$A$76:$D$122, 2, FALSE), IFERROR(0/0,"")))</f>
        <v>Multiple Initial runs on same day - final count is sum of RFR Audit = APS Collect</v>
      </c>
      <c r="Q214" s="138"/>
      <c r="R214" s="92">
        <f>IFNA(MATCH(A214,'RFR Data - preExcl'!A$2:A923,0),"")</f>
        <v>129</v>
      </c>
      <c r="S214" s="54"/>
      <c r="T214" s="8" t="str">
        <f>IF(AND(NOT(ISBLANK(U214)),NOT(ISBLANK(V214)),NOT(ISBLANK(W214))),CONCATENATE("RUN-",'Process Ref'!$A$1,"_",TEXT(V214,"YYYY-MM-DD"),"_APS-",TEXT(W214,"000")),IFERROR(0/0,""))</f>
        <v/>
      </c>
      <c r="U214" s="8" t="str">
        <f t="shared" si="61"/>
        <v/>
      </c>
      <c r="V214" s="190">
        <v>44512.0</v>
      </c>
      <c r="W214" s="191" t="str">
        <f t="shared" si="62"/>
        <v/>
      </c>
      <c r="X214" s="86"/>
      <c r="Z214" s="131"/>
      <c r="AA214" s="14"/>
      <c r="AG214" s="86"/>
      <c r="AJ214" s="86"/>
    </row>
    <row r="215">
      <c r="A215" s="8" t="s">
        <v>221</v>
      </c>
      <c r="B215" s="14">
        <v>44699.0</v>
      </c>
      <c r="C215" s="88" t="str">
        <f t="shared" si="2"/>
        <v/>
      </c>
      <c r="D215" s="16">
        <f t="array" ref="D215">IF(OR(ISBLANK($A215),$C215),IFERROR(0/0,""),INDEX('RFR Data - preExcl'!E$2:E923,$R215,1))</f>
        <v>1</v>
      </c>
      <c r="E215" s="16">
        <f t="array" ref="E215">IF(OR(ISBLANK($A215),$C215),IFERROR(0/0,""),INDEX('RFR Data - preExcl'!Z$2:Z923,$R215,1))</f>
        <v>8</v>
      </c>
      <c r="F215" s="16">
        <f t="array" ref="F215">IF(OR(ISBLANK(A215),C215),IFERROR(0/0,""),INDEX('RFR Data - preExcl'!AC$2:AC923,$R215,1))</f>
        <v>6</v>
      </c>
      <c r="G215" s="16">
        <f t="array" ref="G215">IF(OR(ISBLANK(A215),C215),IFERROR(0/0,""),INDEX('RFR Data - preExcl'!AK$2:AK923,$R215,1))</f>
        <v>1</v>
      </c>
      <c r="H215" s="16">
        <f t="array" ref="H215">IF(OR(ISBLANK(A215),C215),IFERROR(0/0,""),INDEX('RFR Data - preExcl'!AL$2:AL923,$R215,1))</f>
        <v>4</v>
      </c>
      <c r="I215" s="16" t="str">
        <f>IFERROR(VLOOKUP($B215,'APS Tubes by Date IMPORT'!$B$2:$J923,2,FALSE),"")</f>
        <v/>
      </c>
      <c r="J215" s="16" t="str">
        <f>IFERROR(VLOOKUP($B215,'APS Tubes by Date IMPORT'!$B$2:$J923,9,FALSE),"")</f>
        <v/>
      </c>
      <c r="K215" s="16" t="str">
        <f>IFNA(VLOOKUP($B215,'APS Tubes by Date IMPORT'!$B$2:$J923,6,FALSE),"")</f>
        <v/>
      </c>
      <c r="L215" s="89">
        <f t="shared" si="77"/>
        <v>1</v>
      </c>
      <c r="M215" s="21">
        <f>L215-I215-I214</f>
        <v>1</v>
      </c>
      <c r="N215" s="116">
        <v>2.0</v>
      </c>
      <c r="O215" s="30" t="b">
        <f t="shared" si="74"/>
        <v>1</v>
      </c>
      <c r="P215" s="91" t="str">
        <f>IF(ISBLANK(N215),IFERROR(0/0,""),IFERROR(VLOOKUP(N215, 'Process Ref'!$A$76:$D$122, 2, FALSE), IFERROR(0/0,"")))</f>
        <v>Use Audit RFR count (extra tubes in RFR not in Appivo)</v>
      </c>
      <c r="Q215" s="138" t="s">
        <v>381</v>
      </c>
      <c r="R215" s="92">
        <f>IFNA(MATCH(A215,'RFR Data - preExcl'!A$2:A923,0),"")</f>
        <v>130</v>
      </c>
      <c r="S215" s="54"/>
      <c r="T215" s="8" t="str">
        <f>IF(AND(NOT(ISBLANK(U215)),NOT(ISBLANK(V215)),NOT(ISBLANK(W215))),CONCATENATE("RUN-",'Process Ref'!$A$1,"_",TEXT(V215,"YYYY-MM-DD"),"_APS-",TEXT(W215,"000")),IFERROR(0/0,""))</f>
        <v>RUN-FLMP_2021-11-15_APS-068</v>
      </c>
      <c r="U215" s="14">
        <f t="shared" si="61"/>
        <v>44515</v>
      </c>
      <c r="V215" s="190">
        <v>44515.0</v>
      </c>
      <c r="W215" s="191">
        <f t="shared" si="62"/>
        <v>68</v>
      </c>
      <c r="X215" s="86"/>
      <c r="Z215" s="103"/>
      <c r="AG215" s="86"/>
      <c r="AJ215" s="86"/>
    </row>
    <row r="216">
      <c r="A216" s="8" t="s">
        <v>222</v>
      </c>
      <c r="B216" s="14">
        <v>44700.0</v>
      </c>
      <c r="C216" s="88" t="str">
        <f t="shared" si="2"/>
        <v/>
      </c>
      <c r="D216" s="16">
        <f t="array" ref="D216">IF(OR(ISBLANK($A216),$C216),IFERROR(0/0,""),INDEX('RFR Data - preExcl'!E$2:E923,$R216,1))</f>
        <v>23</v>
      </c>
      <c r="E216" s="16">
        <f t="array" ref="E216">IF(OR(ISBLANK($A216),$C216),IFERROR(0/0,""),INDEX('RFR Data - preExcl'!Z$2:Z923,$R216,1))</f>
        <v>25</v>
      </c>
      <c r="F216" s="16">
        <f t="array" ref="F216">IF(OR(ISBLANK(A216),C216),IFERROR(0/0,""),INDEX('RFR Data - preExcl'!AC$2:AC923,$R216,1))</f>
        <v>23</v>
      </c>
      <c r="G216" s="16">
        <f t="array" ref="G216">IF(OR(ISBLANK(A216),C216),IFERROR(0/0,""),INDEX('RFR Data - preExcl'!AK$2:AK923,$R216,1))</f>
        <v>23</v>
      </c>
      <c r="H216" s="16">
        <f t="array" ref="H216">IF(OR(ISBLANK(A216),C216),IFERROR(0/0,""),INDEX('RFR Data - preExcl'!AL$2:AL923,$R216,1))</f>
        <v>4</v>
      </c>
      <c r="I216" s="124">
        <f>IFERROR(VLOOKUP($B216,'APS Tubes by Date IMPORT'!$B$2:$J923,2,FALSE),"")</f>
        <v>25</v>
      </c>
      <c r="J216" s="16" t="str">
        <f>IFERROR(VLOOKUP($B216,'APS Tubes by Date IMPORT'!$B$2:$J923,9,FALSE),"")</f>
        <v/>
      </c>
      <c r="K216" s="16">
        <f>IFNA(VLOOKUP($B216,'APS Tubes by Date IMPORT'!$B$2:$J923,6,FALSE),"")</f>
        <v>0</v>
      </c>
      <c r="L216" s="174">
        <f t="shared" si="77"/>
        <v>23</v>
      </c>
      <c r="M216" s="21">
        <v>0.0</v>
      </c>
      <c r="N216" s="120">
        <v>5.0</v>
      </c>
      <c r="O216" s="30" t="str">
        <f t="shared" si="74"/>
        <v/>
      </c>
      <c r="P216" s="91" t="str">
        <f>IF(ISBLANK(N216),IFERROR(0/0,""),IFERROR(VLOOKUP(N216, 'Process Ref'!$A$76:$D$122, 2, FALSE), IFERROR(0/0,"")))</f>
        <v>Multiple Initial runs on same day - final count is sum of RFR Audit = APS Collect</v>
      </c>
      <c r="Q216" s="138" t="s">
        <v>382</v>
      </c>
      <c r="R216" s="92">
        <f>IFNA(MATCH(A216,'RFR Data - preExcl'!A$2:A923,0),"")</f>
        <v>132</v>
      </c>
      <c r="S216" s="54"/>
      <c r="T216" s="8" t="str">
        <f>IF(AND(NOT(ISBLANK(U216)),NOT(ISBLANK(V216)),NOT(ISBLANK(W216))),CONCATENATE("RUN-",'Process Ref'!$A$1,"_",TEXT(V216,"YYYY-MM-DD"),"_APS-",TEXT(W216,"000")),IFERROR(0/0,""))</f>
        <v>RUN-FLMP_2021-11-17_APS-069</v>
      </c>
      <c r="U216" s="14">
        <f t="shared" si="61"/>
        <v>44517</v>
      </c>
      <c r="V216" s="190">
        <v>44517.0</v>
      </c>
      <c r="W216" s="191">
        <f t="shared" si="62"/>
        <v>69</v>
      </c>
      <c r="X216" s="86"/>
      <c r="Z216" s="103"/>
      <c r="AG216" s="86"/>
      <c r="AJ216" s="86"/>
    </row>
    <row r="217">
      <c r="A217" s="8" t="s">
        <v>220</v>
      </c>
      <c r="B217" s="14">
        <v>44700.0</v>
      </c>
      <c r="C217" s="88" t="b">
        <f t="shared" si="2"/>
        <v>1</v>
      </c>
      <c r="D217" s="16" t="str">
        <f t="array" ref="D217">IF(OR(ISBLANK($A217),$C217),IFERROR(0/0,""),INDEX('RFR Data - preExcl'!E$2:E923,$R217,1))</f>
        <v/>
      </c>
      <c r="E217" s="16" t="str">
        <f t="array" ref="E217">IF(OR(ISBLANK($A217),$C217),IFERROR(0/0,""),INDEX('RFR Data - preExcl'!Z$2:Z923,$R217,1))</f>
        <v/>
      </c>
      <c r="F217" s="16" t="str">
        <f t="array" ref="F217">IF(OR(ISBLANK(A217),C217),IFERROR(0/0,""),INDEX('RFR Data - preExcl'!AC$2:AC923,$R217,1))</f>
        <v/>
      </c>
      <c r="G217" s="16" t="str">
        <f t="array" ref="G217">IF(OR(ISBLANK(A217),C217),IFERROR(0/0,""),INDEX('RFR Data - preExcl'!AK$2:AK923,$R217,1))</f>
        <v/>
      </c>
      <c r="H217" s="16" t="str">
        <f t="array" ref="H217">IF(OR(ISBLANK(A217),C217),IFERROR(0/0,""),INDEX('RFR Data - preExcl'!AL$2:AL923,$R217,1))</f>
        <v/>
      </c>
      <c r="I217" s="16"/>
      <c r="J217" s="16" t="str">
        <f>IFERROR(VLOOKUP($B217,'APS Tubes by Date IMPORT'!$B$2:$J923,9,FALSE),"")</f>
        <v/>
      </c>
      <c r="K217" s="16">
        <f>IFNA(VLOOKUP($B217,'APS Tubes by Date IMPORT'!$B$2:$J923,6,FALSE),"")</f>
        <v>0</v>
      </c>
      <c r="L217" s="213">
        <f>I216-L216</f>
        <v>2</v>
      </c>
      <c r="M217" s="21">
        <v>0.0</v>
      </c>
      <c r="N217" s="90">
        <v>3.4</v>
      </c>
      <c r="O217" s="30" t="b">
        <f t="shared" si="74"/>
        <v>1</v>
      </c>
      <c r="P217" s="91" t="str">
        <f>IF(ISBLANK(N217),IFERROR(0/0,""),IFERROR(VLOOKUP(N217, 'Process Ref'!$A$76:$D$122, 2, FALSE), IFERROR(0/0,"")))</f>
        <v>Add Run from APS with no RFR (assume run on same day as Collect, ignore Result day)</v>
      </c>
      <c r="Q217" s="214"/>
      <c r="R217" s="92" t="str">
        <f>IFNA(MATCH(A217,'RFR Data - preExcl'!A$2:A923,0),"")</f>
        <v/>
      </c>
      <c r="S217" s="54"/>
      <c r="T217" s="8" t="str">
        <f>IF(AND(NOT(ISBLANK(U217)),NOT(ISBLANK(V217)),NOT(ISBLANK(W217))),CONCATENATE("RUN-",'Process Ref'!$A$1,"_",TEXT(V217,"YYYY-MM-DD"),"_APS-",TEXT(W217,"000")),IFERROR(0/0,""))</f>
        <v>RUN-FLMP_2021-11-19_APS-070</v>
      </c>
      <c r="U217" s="14">
        <f t="shared" si="61"/>
        <v>44519</v>
      </c>
      <c r="V217" s="190">
        <v>44519.0</v>
      </c>
      <c r="W217" s="191">
        <f t="shared" si="62"/>
        <v>70</v>
      </c>
      <c r="X217" s="86"/>
      <c r="Z217" s="131"/>
      <c r="AA217" s="14"/>
      <c r="AG217" s="86"/>
      <c r="AJ217" s="86"/>
    </row>
    <row r="218">
      <c r="A218" s="143"/>
      <c r="B218" s="73">
        <v>44703.0</v>
      </c>
      <c r="C218" s="144" t="str">
        <f t="shared" si="2"/>
        <v/>
      </c>
      <c r="D218" s="145" t="str">
        <f t="array" ref="D218">IF(OR(ISBLANK($A218),$C218),IFERROR(0/0,""),INDEX('RFR Data - preExcl'!E$2:E923,$R218,1))</f>
        <v/>
      </c>
      <c r="E218" s="145"/>
      <c r="F218" s="145" t="str">
        <f t="array" ref="F218">IF(OR(ISBLANK(A218),C218),IFERROR(0/0,""),INDEX('RFR Data - preExcl'!AC$2:AC923,$R218,1))</f>
        <v/>
      </c>
      <c r="G218" s="145" t="str">
        <f t="array" ref="G218">IF(OR(ISBLANK(A218),C218),IFERROR(0/0,""),INDEX('RFR Data - preExcl'!AK$2:AK923,$R218,1))</f>
        <v/>
      </c>
      <c r="H218" s="145" t="str">
        <f t="array" ref="H218">IF(OR(ISBLANK(A218),C218),IFERROR(0/0,""),INDEX('RFR Data - preExcl'!AL$2:AL923,$R218,1))</f>
        <v/>
      </c>
      <c r="I218" s="146">
        <f>IFERROR(VLOOKUP($B218,'APS Tubes by Date IMPORT'!$B$2:$J923,2,FALSE),"")</f>
        <v>4</v>
      </c>
      <c r="J218" s="145" t="str">
        <f>IFERROR(VLOOKUP($B218,'APS Tubes by Date IMPORT'!$B$2:$J923,9,FALSE),"")</f>
        <v/>
      </c>
      <c r="K218" s="145">
        <f>IFNA(VLOOKUP($B218,'APS Tubes by Date IMPORT'!$B$2:$J923,6,FALSE),"")</f>
        <v>0</v>
      </c>
      <c r="L218" s="147"/>
      <c r="M218" s="145"/>
      <c r="N218" s="147">
        <v>6.1</v>
      </c>
      <c r="O218" s="143" t="str">
        <f t="shared" si="74"/>
        <v/>
      </c>
      <c r="P218" s="148" t="str">
        <f>IF(ISBLANK(N218),IFERROR(0/0,""),IFERROR(VLOOKUP(N218, 'Process Ref'!$A$76:$D$122, 2, FALSE), IFERROR(0/0,"")))</f>
        <v>No Run - APS Collect run next day</v>
      </c>
      <c r="Q218" s="212"/>
      <c r="R218" s="92" t="str">
        <f>IFNA(MATCH(A218,'RFR Data - preExcl'!A$2:A923,0),"")</f>
        <v/>
      </c>
      <c r="S218" s="54"/>
      <c r="T218" s="8" t="str">
        <f>IF(AND(NOT(ISBLANK(U218)),NOT(ISBLANK(V218)),NOT(ISBLANK(W218))),CONCATENATE("RUN-",'Process Ref'!$A$1,"_",TEXT(V218,"YYYY-MM-DD"),"_APS-",TEXT(W218,"000")),IFERROR(0/0,""))</f>
        <v/>
      </c>
      <c r="U218" s="8" t="str">
        <f t="shared" si="61"/>
        <v/>
      </c>
      <c r="V218" s="190">
        <v>44526.0</v>
      </c>
      <c r="W218" s="191" t="str">
        <f t="shared" si="62"/>
        <v/>
      </c>
      <c r="X218" s="86"/>
      <c r="Z218" s="103"/>
      <c r="AG218" s="86"/>
      <c r="AJ218" s="86"/>
    </row>
    <row r="219">
      <c r="A219" s="8" t="s">
        <v>223</v>
      </c>
      <c r="B219" s="14">
        <v>44704.0</v>
      </c>
      <c r="C219" s="88" t="str">
        <f t="shared" si="2"/>
        <v/>
      </c>
      <c r="D219" s="16">
        <f t="array" ref="D219">IF(OR(ISBLANK($A219),$C219),IFERROR(0/0,""),INDEX('RFR Data - preExcl'!E$2:E923,$R219,1))</f>
        <v>23</v>
      </c>
      <c r="E219" s="16">
        <f t="array" ref="E219">IF(OR(ISBLANK($A219),$C219),IFERROR(0/0,""),INDEX('RFR Data - preExcl'!Z$2:Z923,$R219,1))</f>
        <v>25</v>
      </c>
      <c r="F219" s="16">
        <f t="array" ref="F219">IF(OR(ISBLANK(A219),C219),IFERROR(0/0,""),INDEX('RFR Data - preExcl'!AC$2:AC923,$R219,1))</f>
        <v>23</v>
      </c>
      <c r="G219" s="16">
        <f t="array" ref="G219">IF(OR(ISBLANK(A219),C219),IFERROR(0/0,""),INDEX('RFR Data - preExcl'!AK$2:AK923,$R219,1))</f>
        <v>23</v>
      </c>
      <c r="H219" s="16">
        <f t="array" ref="H219">IF(OR(ISBLANK(A219),C219),IFERROR(0/0,""),INDEX('RFR Data - preExcl'!AL$2:AL923,$R219,1))</f>
        <v>4</v>
      </c>
      <c r="I219" s="128">
        <f>IFERROR(VLOOKUP($B219,'APS Tubes by Date IMPORT'!$B$2:$J923,2,FALSE),"")</f>
        <v>16</v>
      </c>
      <c r="J219" s="16" t="b">
        <f>IFERROR(VLOOKUP($B219,'APS Tubes by Date IMPORT'!$B$2:$J923,9,FALSE),"")</f>
        <v>1</v>
      </c>
      <c r="K219" s="16"/>
      <c r="L219" s="89">
        <f>G219</f>
        <v>23</v>
      </c>
      <c r="M219" s="21">
        <f>L219-I219-I218</f>
        <v>3</v>
      </c>
      <c r="N219" s="116">
        <v>2.0</v>
      </c>
      <c r="O219" s="30" t="b">
        <f t="shared" si="74"/>
        <v>1</v>
      </c>
      <c r="P219" s="91" t="str">
        <f>IF(ISBLANK(N219),IFERROR(0/0,""),IFERROR(VLOOKUP(N219, 'Process Ref'!$A$76:$D$122, 2, FALSE), IFERROR(0/0,"")))</f>
        <v>Use Audit RFR count (extra tubes in RFR not in Appivo)</v>
      </c>
      <c r="Q219" s="138" t="s">
        <v>383</v>
      </c>
      <c r="R219" s="92">
        <f>IFNA(MATCH(A219,'RFR Data - preExcl'!A$2:A923,0),"")</f>
        <v>134</v>
      </c>
      <c r="S219" s="54"/>
      <c r="T219" s="8" t="str">
        <f>IF(AND(NOT(ISBLANK(U219)),NOT(ISBLANK(V219)),NOT(ISBLANK(W219))),CONCATENATE("RUN-",'Process Ref'!$A$1,"_",TEXT(V219,"YYYY-MM-DD"),"_APS-",TEXT(W219,"000")),IFERROR(0/0,""))</f>
        <v/>
      </c>
      <c r="U219" s="8" t="str">
        <f t="shared" si="61"/>
        <v/>
      </c>
      <c r="V219" s="190">
        <v>44528.0</v>
      </c>
      <c r="W219" s="191" t="str">
        <f t="shared" si="62"/>
        <v/>
      </c>
      <c r="X219" s="86"/>
      <c r="Z219" s="131"/>
      <c r="AA219" s="14"/>
      <c r="AG219" s="86"/>
      <c r="AJ219" s="86"/>
    </row>
    <row r="220">
      <c r="A220" s="143"/>
      <c r="B220" s="73">
        <v>44706.0</v>
      </c>
      <c r="C220" s="144" t="str">
        <f t="shared" si="2"/>
        <v/>
      </c>
      <c r="D220" s="145" t="str">
        <f t="array" ref="D220">IF(OR(ISBLANK($A220),$C220),IFERROR(0/0,""),INDEX('RFR Data - preExcl'!E$2:E923,$R220,1))</f>
        <v/>
      </c>
      <c r="E220" s="145" t="str">
        <f t="array" ref="E220">IF(OR(ISBLANK($A220),$C220),IFERROR(0/0,""),INDEX('RFR Data - preExcl'!Z$2:Z923,$R220,1))</f>
        <v/>
      </c>
      <c r="F220" s="145" t="str">
        <f t="array" ref="F220">IF(OR(ISBLANK(A220),C220),IFERROR(0/0,""),INDEX('RFR Data - preExcl'!AC$2:AC923,$R220,1))</f>
        <v/>
      </c>
      <c r="G220" s="145" t="str">
        <f t="array" ref="G220">IF(OR(ISBLANK(A220),C220),IFERROR(0/0,""),INDEX('RFR Data - preExcl'!AK$2:AK923,$R220,1))</f>
        <v/>
      </c>
      <c r="H220" s="145" t="str">
        <f t="array" ref="H220">IF(OR(ISBLANK(A220),C220),IFERROR(0/0,""),INDEX('RFR Data - preExcl'!AL$2:AL923,$R220,1))</f>
        <v/>
      </c>
      <c r="I220" s="146">
        <f>IFERROR(VLOOKUP($B220,'APS Tubes by Date IMPORT'!$B$2:$J923,2,FALSE),"")</f>
        <v>1</v>
      </c>
      <c r="J220" s="145" t="str">
        <f>IFERROR(VLOOKUP($B220,'APS Tubes by Date IMPORT'!$B$2:$J923,9,FALSE),"")</f>
        <v/>
      </c>
      <c r="K220" s="145">
        <f>IFNA(VLOOKUP($B220,'APS Tubes by Date IMPORT'!$B$2:$J923,6,FALSE),"")</f>
        <v>0</v>
      </c>
      <c r="L220" s="145"/>
      <c r="M220" s="145"/>
      <c r="N220" s="147">
        <v>6.1</v>
      </c>
      <c r="O220" s="143" t="str">
        <f t="shared" si="74"/>
        <v/>
      </c>
      <c r="P220" s="148" t="str">
        <f>IF(ISBLANK(N220),IFERROR(0/0,""),IFERROR(VLOOKUP(N220, 'Process Ref'!$A$76:$D$122, 2, FALSE), IFERROR(0/0,"")))</f>
        <v>No Run - APS Collect run next day</v>
      </c>
      <c r="Q220" s="212"/>
      <c r="R220" s="92" t="str">
        <f>IFNA(MATCH(A220,'RFR Data - preExcl'!A$2:A923,0),"")</f>
        <v/>
      </c>
      <c r="S220" s="54"/>
      <c r="T220" s="8" t="str">
        <f>IF(AND(NOT(ISBLANK(U220)),NOT(ISBLANK(V220)),NOT(ISBLANK(W220))),CONCATENATE("RUN-",'Process Ref'!$A$1,"_",TEXT(V220,"YYYY-MM-DD"),"_APS-",TEXT(W220,"000")),IFERROR(0/0,""))</f>
        <v/>
      </c>
      <c r="U220" s="8" t="str">
        <f t="shared" si="61"/>
        <v/>
      </c>
      <c r="V220" s="190">
        <v>44529.0</v>
      </c>
      <c r="W220" s="191" t="str">
        <f t="shared" si="62"/>
        <v/>
      </c>
      <c r="X220" s="86"/>
      <c r="Z220" s="131"/>
      <c r="AA220" s="14"/>
      <c r="AG220" s="86"/>
      <c r="AJ220" s="86"/>
    </row>
    <row r="221">
      <c r="A221" s="8" t="s">
        <v>224</v>
      </c>
      <c r="B221" s="14">
        <v>44707.0</v>
      </c>
      <c r="C221" s="88" t="str">
        <f t="shared" si="2"/>
        <v/>
      </c>
      <c r="D221" s="16">
        <f t="array" ref="D221">IF(OR(ISBLANK($A221),$C221),IFERROR(0/0,""),INDEX('RFR Data - preExcl'!E$2:E923,$R221,1))</f>
        <v>23</v>
      </c>
      <c r="E221" s="16">
        <f t="array" ref="E221">IF(OR(ISBLANK($A221),$C221),IFERROR(0/0,""),INDEX('RFR Data - preExcl'!Z$2:Z923,$R221,1))</f>
        <v>23</v>
      </c>
      <c r="F221" s="16">
        <f t="array" ref="F221">IF(OR(ISBLANK(A221),C221),IFERROR(0/0,""),INDEX('RFR Data - preExcl'!AC$2:AC923,$R221,1))</f>
        <v>22</v>
      </c>
      <c r="G221" s="16">
        <f t="array" ref="G221">IF(OR(ISBLANK(A221),C221),IFERROR(0/0,""),INDEX('RFR Data - preExcl'!AK$2:AK923,$R221,1))</f>
        <v>21</v>
      </c>
      <c r="H221" s="16">
        <f t="array" ref="H221">IF(OR(ISBLANK(A221),C221),IFERROR(0/0,""),INDEX('RFR Data - preExcl'!AL$2:AL923,$R221,1))</f>
        <v>0</v>
      </c>
      <c r="I221" s="128">
        <f>IFERROR(VLOOKUP($B221,'APS Tubes by Date IMPORT'!$B$2:$J923,2,FALSE),"")</f>
        <v>20</v>
      </c>
      <c r="J221" s="16" t="b">
        <f>IFERROR(VLOOKUP($B221,'APS Tubes by Date IMPORT'!$B$2:$J923,9,FALSE),"")</f>
        <v>1</v>
      </c>
      <c r="K221" s="16"/>
      <c r="L221" s="89">
        <f>G221</f>
        <v>21</v>
      </c>
      <c r="M221" s="21">
        <v>0.0</v>
      </c>
      <c r="N221" s="107">
        <v>6.0</v>
      </c>
      <c r="O221" s="30" t="str">
        <f t="shared" si="74"/>
        <v/>
      </c>
      <c r="P221" s="91" t="str">
        <f>IF(ISBLANK(N221),IFERROR(0/0,""),IFERROR(VLOOKUP(N221, 'Process Ref'!$A$76:$D$122, 2, FALSE), IFERROR(0/0,"")))</f>
        <v>Use Audit RFR - nets out with next or prev day</v>
      </c>
      <c r="Q221" s="138" t="s">
        <v>384</v>
      </c>
      <c r="R221" s="92">
        <f>IFNA(MATCH(A221,'RFR Data - preExcl'!A$2:A923,0),"")</f>
        <v>136</v>
      </c>
      <c r="S221" s="54"/>
      <c r="T221" s="8" t="str">
        <f>IF(AND(NOT(ISBLANK(U221)),NOT(ISBLANK(V221)),NOT(ISBLANK(W221))),CONCATENATE("RUN-",'Process Ref'!$A$1,"_",TEXT(V221,"YYYY-MM-DD"),"_APS-",TEXT(W221,"000")),IFERROR(0/0,""))</f>
        <v>RUN-FLMP_2021-11-30_APS-071</v>
      </c>
      <c r="U221" s="14">
        <f t="shared" si="61"/>
        <v>44530</v>
      </c>
      <c r="V221" s="190">
        <v>44530.0</v>
      </c>
      <c r="W221" s="191">
        <f t="shared" si="62"/>
        <v>71</v>
      </c>
      <c r="X221" s="86"/>
      <c r="Z221" s="103"/>
      <c r="AG221" s="86"/>
      <c r="AJ221" s="86"/>
    </row>
    <row r="222">
      <c r="A222" s="143"/>
      <c r="B222" s="73">
        <v>44708.0</v>
      </c>
      <c r="C222" s="144" t="str">
        <f t="shared" si="2"/>
        <v/>
      </c>
      <c r="D222" s="145" t="str">
        <f t="array" ref="D222">IF(OR(ISBLANK($A222),$C222),IFERROR(0/0,""),INDEX('RFR Data - preExcl'!E$2:E923,$R222,1))</f>
        <v/>
      </c>
      <c r="E222" s="145" t="str">
        <f t="array" ref="E222">IF(OR(ISBLANK($A222),$C222),IFERROR(0/0,""),INDEX('RFR Data - preExcl'!Z$2:Z923,$R222,1))</f>
        <v/>
      </c>
      <c r="F222" s="145" t="str">
        <f t="array" ref="F222">IF(OR(ISBLANK(A222),C222),IFERROR(0/0,""),INDEX('RFR Data - preExcl'!AC$2:AC923,$R222,1))</f>
        <v/>
      </c>
      <c r="G222" s="145" t="str">
        <f t="array" ref="G222">IF(OR(ISBLANK(A222),C222),IFERROR(0/0,""),INDEX('RFR Data - preExcl'!AK$2:AK923,$R222,1))</f>
        <v/>
      </c>
      <c r="H222" s="145" t="str">
        <f t="array" ref="H222">IF(OR(ISBLANK(A222),C222),IFERROR(0/0,""),INDEX('RFR Data - preExcl'!AL$2:AL923,$R222,1))</f>
        <v/>
      </c>
      <c r="I222" s="146">
        <f>IFERROR(VLOOKUP($B222,'APS Tubes by Date IMPORT'!$B$2:$J923,2,FALSE),"")</f>
        <v>1</v>
      </c>
      <c r="J222" s="145" t="str">
        <f>IFERROR(VLOOKUP($B222,'APS Tubes by Date IMPORT'!$B$2:$J923,9,FALSE),"")</f>
        <v/>
      </c>
      <c r="K222" s="145">
        <f>IFNA(VLOOKUP($B222,'APS Tubes by Date IMPORT'!$B$2:$J923,6,FALSE),"")</f>
        <v>0</v>
      </c>
      <c r="L222" s="145"/>
      <c r="M222" s="145"/>
      <c r="N222" s="147">
        <v>6.1</v>
      </c>
      <c r="O222" s="143" t="str">
        <f t="shared" si="74"/>
        <v/>
      </c>
      <c r="P222" s="148" t="str">
        <f>IF(ISBLANK(N222),IFERROR(0/0,""),IFERROR(VLOOKUP(N222, 'Process Ref'!$A$76:$D$122, 2, FALSE), IFERROR(0/0,"")))</f>
        <v>No Run - APS Collect run next day</v>
      </c>
      <c r="Q222" s="212"/>
      <c r="R222" s="92" t="str">
        <f>IFNA(MATCH(A222,'RFR Data - preExcl'!A$2:A923,0),"")</f>
        <v/>
      </c>
      <c r="S222" s="54"/>
      <c r="T222" s="8" t="str">
        <f>IF(AND(NOT(ISBLANK(U222)),NOT(ISBLANK(V222)),NOT(ISBLANK(W222))),CONCATENATE("RUN-",'Process Ref'!$A$1,"_",TEXT(V222,"YYYY-MM-DD"),"_APS-",TEXT(W222,"000")),IFERROR(0/0,""))</f>
        <v>RUN-FLMP_2021-12-02_APS-072</v>
      </c>
      <c r="U222" s="14">
        <f t="shared" si="61"/>
        <v>44532</v>
      </c>
      <c r="V222" s="190">
        <v>44532.0</v>
      </c>
      <c r="W222" s="191">
        <f t="shared" si="62"/>
        <v>72</v>
      </c>
      <c r="X222" s="86"/>
      <c r="Z222" s="103"/>
      <c r="AG222" s="86"/>
      <c r="AJ222" s="86"/>
    </row>
    <row r="223">
      <c r="A223" s="143"/>
      <c r="B223" s="73">
        <v>44711.0</v>
      </c>
      <c r="C223" s="144" t="str">
        <f t="shared" si="2"/>
        <v/>
      </c>
      <c r="D223" s="145" t="str">
        <f t="array" ref="D223">IF(OR(ISBLANK($A223),$C223),IFERROR(0/0,""),INDEX('RFR Data - preExcl'!E$2:E923,$R223,1))</f>
        <v/>
      </c>
      <c r="E223" s="145" t="str">
        <f t="array" ref="E223">IF(OR(ISBLANK($A223),$C223),IFERROR(0/0,""),INDEX('RFR Data - preExcl'!Z$2:Z923,$R223,1))</f>
        <v/>
      </c>
      <c r="F223" s="145" t="str">
        <f t="array" ref="F223">IF(OR(ISBLANK(A223),C223),IFERROR(0/0,""),INDEX('RFR Data - preExcl'!AC$2:AC923,$R223,1))</f>
        <v/>
      </c>
      <c r="G223" s="145" t="str">
        <f t="array" ref="G223">IF(OR(ISBLANK(A223),C223),IFERROR(0/0,""),INDEX('RFR Data - preExcl'!AK$2:AK923,$R223,1))</f>
        <v/>
      </c>
      <c r="H223" s="145" t="str">
        <f t="array" ref="H223">IF(OR(ISBLANK(A223),C223),IFERROR(0/0,""),INDEX('RFR Data - preExcl'!AL$2:AL923,$R223,1))</f>
        <v/>
      </c>
      <c r="I223" s="215">
        <f>IFERROR(VLOOKUP($B223,'APS Tubes by Date IMPORT'!$B$2:$J923,2,FALSE),"")</f>
        <v>3</v>
      </c>
      <c r="J223" s="145" t="str">
        <f>IFERROR(VLOOKUP($B223,'APS Tubes by Date IMPORT'!$B$2:$J923,9,FALSE),"")</f>
        <v/>
      </c>
      <c r="K223" s="145"/>
      <c r="L223" s="145"/>
      <c r="M223" s="145"/>
      <c r="N223" s="147">
        <v>6.1</v>
      </c>
      <c r="O223" s="143" t="str">
        <f t="shared" si="74"/>
        <v/>
      </c>
      <c r="P223" s="148" t="str">
        <f>IF(ISBLANK(N223),IFERROR(0/0,""),IFERROR(VLOOKUP(N223, 'Process Ref'!$A$76:$D$122, 2, FALSE), IFERROR(0/0,"")))</f>
        <v>No Run - APS Collect run next day</v>
      </c>
      <c r="Q223" s="212"/>
      <c r="R223" s="92" t="str">
        <f>IFNA(MATCH(A223,'RFR Data - preExcl'!A$2:A923,0),"")</f>
        <v/>
      </c>
      <c r="S223" s="54"/>
      <c r="T223" s="8" t="str">
        <f>IF(AND(NOT(ISBLANK(U223)),NOT(ISBLANK(V223)),NOT(ISBLANK(W223))),CONCATENATE("RUN-",'Process Ref'!$A$1,"_",TEXT(V223,"YYYY-MM-DD"),"_APS-",TEXT(W223,"000")),IFERROR(0/0,""))</f>
        <v/>
      </c>
      <c r="U223" s="8" t="str">
        <f t="shared" si="61"/>
        <v/>
      </c>
      <c r="V223" s="190">
        <v>44536.0</v>
      </c>
      <c r="W223" s="191" t="str">
        <f t="shared" si="62"/>
        <v/>
      </c>
      <c r="X223" s="86"/>
      <c r="Z223" s="131"/>
      <c r="AA223" s="14"/>
      <c r="AG223" s="86"/>
      <c r="AJ223" s="86"/>
    </row>
    <row r="224">
      <c r="A224" s="8" t="s">
        <v>225</v>
      </c>
      <c r="B224" s="14">
        <v>44712.0</v>
      </c>
      <c r="C224" s="88" t="str">
        <f t="shared" si="2"/>
        <v/>
      </c>
      <c r="D224" s="16">
        <f t="array" ref="D224">IF(OR(ISBLANK($A224),$C224),IFERROR(0/0,""),INDEX('RFR Data - preExcl'!E$2:E923,$R224,1))</f>
        <v>22</v>
      </c>
      <c r="E224" s="16">
        <f t="array" ref="E224">IF(OR(ISBLANK($A224),$C224),IFERROR(0/0,""),INDEX('RFR Data - preExcl'!Z$2:Z923,$R224,1))</f>
        <v>24</v>
      </c>
      <c r="F224" s="16">
        <f t="array" ref="F224">IF(OR(ISBLANK(A224),C224),IFERROR(0/0,""),INDEX('RFR Data - preExcl'!AC$2:AC923,$R224,1))</f>
        <v>22</v>
      </c>
      <c r="G224" s="16">
        <f t="array" ref="G224">IF(OR(ISBLANK(A224),C224),IFERROR(0/0,""),INDEX('RFR Data - preExcl'!AK$2:AK923,$R224,1))</f>
        <v>22</v>
      </c>
      <c r="H224" s="16">
        <f t="array" ref="H224">IF(OR(ISBLANK(A224),C224),IFERROR(0/0,""),INDEX('RFR Data - preExcl'!AL$2:AL923,$R224,1))</f>
        <v>4</v>
      </c>
      <c r="I224" s="128">
        <f>IFERROR(VLOOKUP($B224,'APS Tubes by Date IMPORT'!$B$2:$J923,2,FALSE),"")</f>
        <v>17</v>
      </c>
      <c r="J224" s="16" t="str">
        <f>IFERROR(VLOOKUP($B224,'APS Tubes by Date IMPORT'!$B$2:$J923,9,FALSE),"")</f>
        <v/>
      </c>
      <c r="K224" s="16"/>
      <c r="L224" s="89">
        <f t="shared" ref="L224:L225" si="78">G224</f>
        <v>22</v>
      </c>
      <c r="M224" s="21">
        <f>L224-I224-I223-I222</f>
        <v>1</v>
      </c>
      <c r="N224" s="116">
        <v>2.0</v>
      </c>
      <c r="O224" s="30" t="b">
        <f t="shared" si="74"/>
        <v>1</v>
      </c>
      <c r="P224" s="91" t="str">
        <f>IF(ISBLANK(N224),IFERROR(0/0,""),IFERROR(VLOOKUP(N224, 'Process Ref'!$A$76:$D$122, 2, FALSE), IFERROR(0/0,"")))</f>
        <v>Use Audit RFR count (extra tubes in RFR not in Appivo)</v>
      </c>
      <c r="Q224" s="140" t="s">
        <v>385</v>
      </c>
      <c r="R224" s="92">
        <f>IFNA(MATCH(A224,'RFR Data - preExcl'!A$2:A923,0),"")</f>
        <v>138</v>
      </c>
      <c r="S224" s="54"/>
      <c r="T224" s="24" t="str">
        <f>IF(AND(NOT(ISBLANK(U224)),NOT(ISBLANK(V224)),NOT(ISBLANK(W224))),CONCATENATE("RUN-",'Process Ref'!$A$1,"_",TEXT(V224,"YYYY-MM-DD"),"_APS-",TEXT(W224,"000")),IFERROR(0/0,""))</f>
        <v/>
      </c>
      <c r="U224" s="216" t="str">
        <f t="shared" si="61"/>
        <v/>
      </c>
      <c r="V224" s="216">
        <v>44537.0</v>
      </c>
      <c r="W224" s="191" t="str">
        <f t="shared" si="62"/>
        <v/>
      </c>
      <c r="X224" s="86"/>
      <c r="Z224" s="103"/>
      <c r="AG224" s="86"/>
      <c r="AJ224" s="86"/>
    </row>
    <row r="225" ht="17.25" customHeight="1">
      <c r="A225" s="8" t="s">
        <v>226</v>
      </c>
      <c r="B225" s="14">
        <v>44718.0</v>
      </c>
      <c r="C225" s="88" t="str">
        <f t="shared" si="2"/>
        <v/>
      </c>
      <c r="D225" s="16">
        <f t="array" ref="D225">IF(OR(ISBLANK($A225),$C225),IFERROR(0/0,""),INDEX('RFR Data - preExcl'!E$2:E923,$R225,1))</f>
        <v>4</v>
      </c>
      <c r="E225" s="16">
        <f t="array" ref="E225">IF(OR(ISBLANK($A225),$C225),IFERROR(0/0,""),INDEX('RFR Data - preExcl'!Z$2:Z923,$R225,1))</f>
        <v>8</v>
      </c>
      <c r="F225" s="16">
        <f t="array" ref="F225">IF(OR(ISBLANK(A225),C225),IFERROR(0/0,""),INDEX('RFR Data - preExcl'!AC$2:AC923,$R225,1))</f>
        <v>6</v>
      </c>
      <c r="G225" s="16">
        <f t="array" ref="G225">IF(OR(ISBLANK(A225),C225),IFERROR(0/0,""),INDEX('RFR Data - preExcl'!AK$2:AK923,$R225,1))</f>
        <v>2</v>
      </c>
      <c r="H225" s="16">
        <f t="array" ref="H225">IF(OR(ISBLANK(A225),C225),IFERROR(0/0,""),INDEX('RFR Data - preExcl'!AL$2:AL923,$R225,1))</f>
        <v>0</v>
      </c>
      <c r="I225" s="16">
        <f>IFERROR(VLOOKUP($B225,'APS Tubes by Date IMPORT'!$B$2:$J923,2,FALSE),"")</f>
        <v>4</v>
      </c>
      <c r="J225" s="16" t="b">
        <f>IFERROR(VLOOKUP($B225,'APS Tubes by Date IMPORT'!$B$2:$J923,9,FALSE),"")</f>
        <v>1</v>
      </c>
      <c r="K225" s="16">
        <f>IFNA(VLOOKUP($B225,'APS Tubes by Date IMPORT'!$B$2:$J923,6,FALSE),"")</f>
        <v>0</v>
      </c>
      <c r="L225" s="89">
        <f t="shared" si="78"/>
        <v>2</v>
      </c>
      <c r="M225" s="21">
        <v>0.0</v>
      </c>
      <c r="N225" s="105">
        <v>0.0</v>
      </c>
      <c r="O225" s="30" t="b">
        <f t="shared" si="74"/>
        <v>1</v>
      </c>
      <c r="P225" s="91" t="str">
        <f>IF(ISBLANK(N225),IFERROR(0/0,""),IFERROR(VLOOKUP(N225, 'Process Ref'!$A$76:$D$122, 2, FALSE), IFERROR(0/0,"")))</f>
        <v>ALL 3 COUNTS SAME meaning APS Collect = APS Result = RFR</v>
      </c>
      <c r="R225" s="92">
        <f>IFNA(MATCH(A225,'RFR Data - preExcl'!A$2:A923,0),"")</f>
        <v>140</v>
      </c>
      <c r="S225" s="54"/>
      <c r="T225" s="8" t="str">
        <f>IF(AND(NOT(ISBLANK(U225)),NOT(ISBLANK(V225)),NOT(ISBLANK(W225))),CONCATENATE("RUN-",'Process Ref'!$A$1,"_",TEXT(V225,"YYYY-MM-DD"),"_APS-",TEXT(W225,"000")),IFERROR(0/0,""))</f>
        <v/>
      </c>
      <c r="U225" s="8" t="str">
        <f t="shared" si="61"/>
        <v/>
      </c>
      <c r="V225" s="190">
        <v>44539.0</v>
      </c>
      <c r="W225" s="191" t="str">
        <f t="shared" si="62"/>
        <v/>
      </c>
      <c r="X225" s="86"/>
      <c r="Z225" s="103"/>
      <c r="AG225" s="86"/>
      <c r="AJ225" s="86"/>
    </row>
    <row r="226">
      <c r="A226" s="198" t="s">
        <v>227</v>
      </c>
      <c r="B226" s="199">
        <v>44721.0</v>
      </c>
      <c r="C226" s="200" t="b">
        <f t="shared" si="2"/>
        <v>1</v>
      </c>
      <c r="D226" s="201" t="str">
        <f t="array" ref="D226">IF(OR(ISBLANK($A226),$C226),IFERROR(0/0,""),INDEX('RFR Data - preExcl'!E$2:E923,$R226,1))</f>
        <v/>
      </c>
      <c r="E226" s="201" t="str">
        <f t="array" ref="E226">IF(OR(ISBLANK($A226),$C226),IFERROR(0/0,""),INDEX('RFR Data - preExcl'!Z$2:Z923,$R226,1))</f>
        <v/>
      </c>
      <c r="F226" s="201" t="str">
        <f t="array" ref="F226">IF(OR(ISBLANK(A226),C226),IFERROR(0/0,""),INDEX('RFR Data - preExcl'!AC$2:AC923,$R226,1))</f>
        <v/>
      </c>
      <c r="G226" s="201" t="str">
        <f t="array" ref="G226">IF(OR(ISBLANK(A226),C226),IFERROR(0/0,""),INDEX('RFR Data - preExcl'!AK$2:AK923,$R226,1))</f>
        <v/>
      </c>
      <c r="H226" s="201" t="str">
        <f t="array" ref="H226">IF(OR(ISBLANK(A226),C226),IFERROR(0/0,""),INDEX('RFR Data - preExcl'!AL$2:AL923,$R226,1))</f>
        <v/>
      </c>
      <c r="I226" s="201">
        <f>IFERROR(VLOOKUP($B226,'APS Tubes by Date IMPORT'!$B$2:$J923,2,FALSE),"")</f>
        <v>3</v>
      </c>
      <c r="J226" s="201" t="b">
        <f>IFERROR(VLOOKUP($B226,'APS Tubes by Date IMPORT'!$B$2:$J923,9,FALSE),"")</f>
        <v>1</v>
      </c>
      <c r="K226" s="201">
        <f>IFNA(VLOOKUP($B226,'APS Tubes by Date IMPORT'!$B$2:$J923,6,FALSE),"")</f>
        <v>0</v>
      </c>
      <c r="L226" s="202">
        <f t="shared" ref="L226:L274" si="79">I226</f>
        <v>3</v>
      </c>
      <c r="M226" s="201"/>
      <c r="N226" s="217">
        <v>3.4</v>
      </c>
      <c r="O226" s="205" t="b">
        <f t="shared" si="74"/>
        <v>1</v>
      </c>
      <c r="P226" s="206" t="str">
        <f>IF(ISBLANK(N226),IFERROR(0/0,""),IFERROR(VLOOKUP(N226, 'Process Ref'!$A$76:$D$122, 2, FALSE), IFERROR(0/0,"")))</f>
        <v>Add Run from APS with no RFR (assume run on same day as Collect, ignore Result day)</v>
      </c>
      <c r="Q226" s="198" t="s">
        <v>386</v>
      </c>
      <c r="R226" s="207" t="str">
        <f>IFNA(MATCH(A226,'RFR Data - preExcl'!A$2:A923,0),"")</f>
        <v/>
      </c>
      <c r="S226" s="54"/>
      <c r="T226" s="8" t="str">
        <f>IF(AND(NOT(ISBLANK(U226)),NOT(ISBLANK(V226)),NOT(ISBLANK(W226))),CONCATENATE("RUN-",'Process Ref'!$A$1,"_",TEXT(V226,"YYYY-MM-DD"),"_APS-",TEXT(W226,"000")),IFERROR(0/0,""))</f>
        <v/>
      </c>
      <c r="U226" s="8" t="str">
        <f t="shared" si="61"/>
        <v/>
      </c>
      <c r="V226" s="190">
        <v>44540.0</v>
      </c>
      <c r="W226" s="191" t="str">
        <f t="shared" si="62"/>
        <v/>
      </c>
      <c r="X226" s="86"/>
      <c r="Z226" s="131"/>
      <c r="AA226" s="14"/>
      <c r="AG226" s="86"/>
      <c r="AJ226" s="86"/>
    </row>
    <row r="227">
      <c r="A227" s="8" t="s">
        <v>228</v>
      </c>
      <c r="B227" s="14">
        <v>44725.0</v>
      </c>
      <c r="C227" s="88" t="b">
        <f t="shared" si="2"/>
        <v>1</v>
      </c>
      <c r="D227" s="16" t="str">
        <f t="array" ref="D227">IF(OR(ISBLANK($A227),$C227),IFERROR(0/0,""),INDEX('RFR Data - preExcl'!E$2:E923,$R227,1))</f>
        <v/>
      </c>
      <c r="E227" s="16" t="str">
        <f t="array" ref="E227">IF(OR(ISBLANK($A227),$C227),IFERROR(0/0,""),INDEX('RFR Data - preExcl'!Z$2:Z923,$R227,1))</f>
        <v/>
      </c>
      <c r="F227" s="16" t="str">
        <f t="array" ref="F227">IF(OR(ISBLANK(A227),C227),IFERROR(0/0,""),INDEX('RFR Data - preExcl'!AC$2:AC923,$R227,1))</f>
        <v/>
      </c>
      <c r="G227" s="16" t="str">
        <f t="array" ref="G227">IF(OR(ISBLANK(A227),C227),IFERROR(0/0,""),INDEX('RFR Data - preExcl'!AK$2:AK923,$R227,1))</f>
        <v/>
      </c>
      <c r="H227" s="16" t="str">
        <f t="array" ref="H227">IF(OR(ISBLANK(A227),C227),IFERROR(0/0,""),INDEX('RFR Data - preExcl'!AL$2:AL923,$R227,1))</f>
        <v/>
      </c>
      <c r="I227" s="16">
        <f>IFERROR(VLOOKUP($B227,'APS Tubes by Date IMPORT'!$B$2:$J923,2,FALSE),"")</f>
        <v>2</v>
      </c>
      <c r="J227" s="16" t="b">
        <f>IFERROR(VLOOKUP($B227,'APS Tubes by Date IMPORT'!$B$2:$J923,9,FALSE),"")</f>
        <v>1</v>
      </c>
      <c r="K227" s="16">
        <f>IFNA(VLOOKUP($B227,'APS Tubes by Date IMPORT'!$B$2:$J923,6,FALSE),"")</f>
        <v>0</v>
      </c>
      <c r="L227" s="89">
        <f t="shared" si="79"/>
        <v>2</v>
      </c>
      <c r="M227" s="16"/>
      <c r="N227" s="90">
        <v>3.4</v>
      </c>
      <c r="O227" s="30" t="b">
        <f t="shared" si="74"/>
        <v>1</v>
      </c>
      <c r="P227" s="91" t="str">
        <f>IF(ISBLANK(N227),IFERROR(0/0,""),IFERROR(VLOOKUP(N227, 'Process Ref'!$A$76:$D$122, 2, FALSE), IFERROR(0/0,"")))</f>
        <v>Add Run from APS with no RFR (assume run on same day as Collect, ignore Result day)</v>
      </c>
      <c r="Q227" s="8" t="s">
        <v>386</v>
      </c>
      <c r="R227" s="92" t="str">
        <f>IFNA(MATCH(A227,'RFR Data - preExcl'!A$2:A923,0),"")</f>
        <v/>
      </c>
      <c r="S227" s="54"/>
      <c r="T227" s="8" t="str">
        <f>IF(AND(NOT(ISBLANK(U227)),NOT(ISBLANK(V227)),NOT(ISBLANK(W227))),CONCATENATE("RUN-",'Process Ref'!$A$1,"_",TEXT(V227,"YYYY-MM-DD"),"_APS-",TEXT(W227,"000")),IFERROR(0/0,""))</f>
        <v/>
      </c>
      <c r="U227" s="8" t="str">
        <f t="shared" si="61"/>
        <v/>
      </c>
      <c r="V227" s="190">
        <v>44541.0</v>
      </c>
      <c r="W227" s="191" t="str">
        <f t="shared" si="62"/>
        <v/>
      </c>
      <c r="X227" s="86"/>
      <c r="Z227" s="103"/>
      <c r="AG227" s="86"/>
      <c r="AJ227" s="86"/>
    </row>
    <row r="228">
      <c r="A228" s="8" t="s">
        <v>229</v>
      </c>
      <c r="B228" s="14">
        <v>44728.0</v>
      </c>
      <c r="C228" s="88" t="b">
        <f t="shared" si="2"/>
        <v>1</v>
      </c>
      <c r="D228" s="16" t="str">
        <f t="array" ref="D228">IF(OR(ISBLANK($A228),$C228),IFERROR(0/0,""),INDEX('RFR Data - preExcl'!E$2:E923,$R228,1))</f>
        <v/>
      </c>
      <c r="E228" s="16" t="str">
        <f t="array" ref="E228">IF(OR(ISBLANK($A228),$C228),IFERROR(0/0,""),INDEX('RFR Data - preExcl'!Z$2:Z923,$R228,1))</f>
        <v/>
      </c>
      <c r="F228" s="16" t="str">
        <f t="array" ref="F228">IF(OR(ISBLANK(A228),C228),IFERROR(0/0,""),INDEX('RFR Data - preExcl'!AC$2:AC923,$R228,1))</f>
        <v/>
      </c>
      <c r="G228" s="16" t="str">
        <f t="array" ref="G228">IF(OR(ISBLANK(A228),C228),IFERROR(0/0,""),INDEX('RFR Data - preExcl'!AK$2:AK923,$R228,1))</f>
        <v/>
      </c>
      <c r="H228" s="16" t="str">
        <f t="array" ref="H228">IF(OR(ISBLANK(A228),C228),IFERROR(0/0,""),INDEX('RFR Data - preExcl'!AL$2:AL923,$R228,1))</f>
        <v/>
      </c>
      <c r="I228" s="16">
        <f>IFERROR(VLOOKUP($B228,'APS Tubes by Date IMPORT'!$B$2:$J923,2,FALSE),"")</f>
        <v>2</v>
      </c>
      <c r="J228" s="16" t="b">
        <f>IFERROR(VLOOKUP($B228,'APS Tubes by Date IMPORT'!$B$2:$J923,9,FALSE),"")</f>
        <v>1</v>
      </c>
      <c r="K228" s="16">
        <f>IFNA(VLOOKUP($B228,'APS Tubes by Date IMPORT'!$B$2:$J923,6,FALSE),"")</f>
        <v>0</v>
      </c>
      <c r="L228" s="89">
        <f t="shared" si="79"/>
        <v>2</v>
      </c>
      <c r="M228" s="16"/>
      <c r="N228" s="90">
        <v>3.4</v>
      </c>
      <c r="O228" s="30" t="b">
        <f t="shared" si="74"/>
        <v>1</v>
      </c>
      <c r="P228" s="91" t="str">
        <f>IF(ISBLANK(N228),IFERROR(0/0,""),IFERROR(VLOOKUP(N228, 'Process Ref'!$A$76:$D$122, 2, FALSE), IFERROR(0/0,"")))</f>
        <v>Add Run from APS with no RFR (assume run on same day as Collect, ignore Result day)</v>
      </c>
      <c r="Q228" s="8" t="s">
        <v>386</v>
      </c>
      <c r="R228" s="92" t="str">
        <f>IFNA(MATCH(A228,'RFR Data - preExcl'!A$2:A923,0),"")</f>
        <v/>
      </c>
      <c r="S228" s="54"/>
      <c r="T228" s="8" t="str">
        <f>IF(AND(NOT(ISBLANK(U228)),NOT(ISBLANK(V228)),NOT(ISBLANK(W228))),CONCATENATE("RUN-",'Process Ref'!$A$1,"_",TEXT(V228,"YYYY-MM-DD"),"_APS-",TEXT(W228,"000")),IFERROR(0/0,""))</f>
        <v/>
      </c>
      <c r="U228" s="8" t="str">
        <f t="shared" si="61"/>
        <v/>
      </c>
      <c r="V228" s="190">
        <v>44543.0</v>
      </c>
      <c r="W228" s="191" t="str">
        <f t="shared" si="62"/>
        <v/>
      </c>
      <c r="X228" s="86"/>
      <c r="Z228" s="103"/>
      <c r="AG228" s="86"/>
      <c r="AJ228" s="86"/>
    </row>
    <row r="229">
      <c r="A229" s="8" t="s">
        <v>230</v>
      </c>
      <c r="B229" s="14">
        <v>44729.0</v>
      </c>
      <c r="C229" s="88" t="b">
        <f t="shared" si="2"/>
        <v>1</v>
      </c>
      <c r="D229" s="16" t="str">
        <f t="array" ref="D229">IF(OR(ISBLANK($A229),$C229),IFERROR(0/0,""),INDEX('RFR Data - preExcl'!E$2:E923,$R229,1))</f>
        <v/>
      </c>
      <c r="E229" s="16" t="str">
        <f t="array" ref="E229">IF(OR(ISBLANK($A229),$C229),IFERROR(0/0,""),INDEX('RFR Data - preExcl'!Z$2:Z923,$R229,1))</f>
        <v/>
      </c>
      <c r="F229" s="16" t="str">
        <f t="array" ref="F229">IF(OR(ISBLANK(A229),C229),IFERROR(0/0,""),INDEX('RFR Data - preExcl'!AC$2:AC923,$R229,1))</f>
        <v/>
      </c>
      <c r="G229" s="16" t="str">
        <f t="array" ref="G229">IF(OR(ISBLANK(A229),C229),IFERROR(0/0,""),INDEX('RFR Data - preExcl'!AK$2:AK923,$R229,1))</f>
        <v/>
      </c>
      <c r="H229" s="16" t="str">
        <f t="array" ref="H229">IF(OR(ISBLANK(A229),C229),IFERROR(0/0,""),INDEX('RFR Data - preExcl'!AL$2:AL923,$R229,1))</f>
        <v/>
      </c>
      <c r="I229" s="16">
        <f>IFERROR(VLOOKUP($B229,'APS Tubes by Date IMPORT'!$B$2:$J923,2,FALSE),"")</f>
        <v>1</v>
      </c>
      <c r="J229" s="16" t="b">
        <f>IFERROR(VLOOKUP($B229,'APS Tubes by Date IMPORT'!$B$2:$J923,9,FALSE),"")</f>
        <v>1</v>
      </c>
      <c r="K229" s="16">
        <f>IFNA(VLOOKUP($B229,'APS Tubes by Date IMPORT'!$B$2:$J923,6,FALSE),"")</f>
        <v>0</v>
      </c>
      <c r="L229" s="89">
        <f t="shared" si="79"/>
        <v>1</v>
      </c>
      <c r="M229" s="16"/>
      <c r="N229" s="90">
        <v>3.4</v>
      </c>
      <c r="O229" s="30" t="b">
        <f t="shared" si="74"/>
        <v>1</v>
      </c>
      <c r="P229" s="91" t="str">
        <f>IF(ISBLANK(N229),IFERROR(0/0,""),IFERROR(VLOOKUP(N229, 'Process Ref'!$A$76:$D$122, 2, FALSE), IFERROR(0/0,"")))</f>
        <v>Add Run from APS with no RFR (assume run on same day as Collect, ignore Result day)</v>
      </c>
      <c r="Q229" s="8" t="s">
        <v>386</v>
      </c>
      <c r="R229" s="92" t="str">
        <f>IFNA(MATCH(A229,'RFR Data - preExcl'!A$2:A923,0),"")</f>
        <v/>
      </c>
      <c r="S229" s="54"/>
      <c r="T229" s="142" t="str">
        <f>IF(AND(NOT(ISBLANK(U229)),NOT(ISBLANK(V229)),NOT(ISBLANK(W229))),CONCATENATE("RUN-",'Process Ref'!$A$1,"_",TEXT(V229,"YYYY-MM-DD"),"_APS-",TEXT(W229,"000")),IFERROR(0/0,""))</f>
        <v>RUN-FLMP_2021-12-14_APS-073</v>
      </c>
      <c r="U229" s="218">
        <v>44544.0</v>
      </c>
      <c r="V229" s="216">
        <v>44544.0</v>
      </c>
      <c r="W229" s="191">
        <f t="shared" si="62"/>
        <v>73</v>
      </c>
      <c r="X229" s="86"/>
      <c r="Z229" s="131"/>
      <c r="AA229" s="14"/>
      <c r="AG229" s="86"/>
      <c r="AJ229" s="86"/>
    </row>
    <row r="230">
      <c r="A230" s="8" t="s">
        <v>231</v>
      </c>
      <c r="B230" s="14">
        <v>44732.0</v>
      </c>
      <c r="C230" s="88" t="b">
        <f t="shared" si="2"/>
        <v>1</v>
      </c>
      <c r="D230" s="16" t="str">
        <f t="array" ref="D230">IF(OR(ISBLANK($A230),$C230),IFERROR(0/0,""),INDEX('RFR Data - preExcl'!E$2:E923,$R230,1))</f>
        <v/>
      </c>
      <c r="E230" s="16" t="str">
        <f t="array" ref="E230">IF(OR(ISBLANK($A230),$C230),IFERROR(0/0,""),INDEX('RFR Data - preExcl'!Z$2:Z923,$R230,1))</f>
        <v/>
      </c>
      <c r="F230" s="16" t="str">
        <f t="array" ref="F230">IF(OR(ISBLANK(A230),C230),IFERROR(0/0,""),INDEX('RFR Data - preExcl'!AC$2:AC923,$R230,1))</f>
        <v/>
      </c>
      <c r="G230" s="16" t="str">
        <f t="array" ref="G230">IF(OR(ISBLANK(A230),C230),IFERROR(0/0,""),INDEX('RFR Data - preExcl'!AK$2:AK923,$R230,1))</f>
        <v/>
      </c>
      <c r="H230" s="16" t="str">
        <f t="array" ref="H230">IF(OR(ISBLANK(A230),C230),IFERROR(0/0,""),INDEX('RFR Data - preExcl'!AL$2:AL923,$R230,1))</f>
        <v/>
      </c>
      <c r="I230" s="16">
        <f>IFERROR(VLOOKUP($B230,'APS Tubes by Date IMPORT'!$B$2:$J923,2,FALSE),"")</f>
        <v>2</v>
      </c>
      <c r="J230" s="16" t="b">
        <f>IFERROR(VLOOKUP($B230,'APS Tubes by Date IMPORT'!$B$2:$J923,9,FALSE),"")</f>
        <v>1</v>
      </c>
      <c r="K230" s="16">
        <f>IFNA(VLOOKUP($B230,'APS Tubes by Date IMPORT'!$B$2:$J923,6,FALSE),"")</f>
        <v>0</v>
      </c>
      <c r="L230" s="89">
        <f t="shared" si="79"/>
        <v>2</v>
      </c>
      <c r="M230" s="16"/>
      <c r="N230" s="90">
        <v>3.4</v>
      </c>
      <c r="O230" s="30" t="b">
        <f t="shared" si="74"/>
        <v>1</v>
      </c>
      <c r="P230" s="91" t="str">
        <f>IF(ISBLANK(N230),IFERROR(0/0,""),IFERROR(VLOOKUP(N230, 'Process Ref'!$A$76:$D$122, 2, FALSE), IFERROR(0/0,"")))</f>
        <v>Add Run from APS with no RFR (assume run on same day as Collect, ignore Result day)</v>
      </c>
      <c r="Q230" s="8" t="s">
        <v>386</v>
      </c>
      <c r="R230" s="92" t="str">
        <f>IFNA(MATCH(A230,'RFR Data - preExcl'!A$2:A923,0),"")</f>
        <v/>
      </c>
      <c r="S230" s="54"/>
      <c r="T230" s="8" t="str">
        <f>IF(AND(NOT(ISBLANK(U230)),NOT(ISBLANK(V230)),NOT(ISBLANK(W230))),CONCATENATE("RUN-",'Process Ref'!$A$1,"_",TEXT(V230,"YYYY-MM-DD"),"_APS-",TEXT(W230,"000")),IFERROR(0/0,""))</f>
        <v/>
      </c>
      <c r="U230" s="8" t="str">
        <f t="shared" ref="U230:U236" si="80">IF(COUNTIF(U$2:U$144,V230)=0,V230,IFERROR(0/0,""))</f>
        <v/>
      </c>
      <c r="V230" s="190">
        <v>44546.0</v>
      </c>
      <c r="W230" s="191" t="str">
        <f t="shared" si="62"/>
        <v/>
      </c>
      <c r="X230" s="86"/>
      <c r="Z230" s="103"/>
      <c r="AG230" s="86"/>
      <c r="AJ230" s="86"/>
    </row>
    <row r="231">
      <c r="A231" s="8" t="s">
        <v>232</v>
      </c>
      <c r="B231" s="14">
        <v>44735.0</v>
      </c>
      <c r="C231" s="88" t="b">
        <f t="shared" si="2"/>
        <v>1</v>
      </c>
      <c r="D231" s="16" t="str">
        <f t="array" ref="D231">IF(OR(ISBLANK($A231),$C231),IFERROR(0/0,""),INDEX('RFR Data - preExcl'!E$2:E923,$R231,1))</f>
        <v/>
      </c>
      <c r="E231" s="16" t="str">
        <f t="array" ref="E231">IF(OR(ISBLANK($A231),$C231),IFERROR(0/0,""),INDEX('RFR Data - preExcl'!Z$2:Z923,$R231,1))</f>
        <v/>
      </c>
      <c r="F231" s="16" t="str">
        <f t="array" ref="F231">IF(OR(ISBLANK(A231),C231),IFERROR(0/0,""),INDEX('RFR Data - preExcl'!AC$2:AC923,$R231,1))</f>
        <v/>
      </c>
      <c r="G231" s="16" t="str">
        <f t="array" ref="G231">IF(OR(ISBLANK(A231),C231),IFERROR(0/0,""),INDEX('RFR Data - preExcl'!AK$2:AK923,$R231,1))</f>
        <v/>
      </c>
      <c r="H231" s="16" t="str">
        <f t="array" ref="H231">IF(OR(ISBLANK(A231),C231),IFERROR(0/0,""),INDEX('RFR Data - preExcl'!AL$2:AL923,$R231,1))</f>
        <v/>
      </c>
      <c r="I231" s="16">
        <f>IFERROR(VLOOKUP($B231,'APS Tubes by Date IMPORT'!$B$2:$J923,2,FALSE),"")</f>
        <v>1</v>
      </c>
      <c r="J231" s="16" t="b">
        <f>IFERROR(VLOOKUP($B231,'APS Tubes by Date IMPORT'!$B$2:$J923,9,FALSE),"")</f>
        <v>1</v>
      </c>
      <c r="K231" s="16">
        <f>IFNA(VLOOKUP($B231,'APS Tubes by Date IMPORT'!$B$2:$J923,6,FALSE),"")</f>
        <v>0</v>
      </c>
      <c r="L231" s="89">
        <f t="shared" si="79"/>
        <v>1</v>
      </c>
      <c r="M231" s="16"/>
      <c r="N231" s="90">
        <v>3.4</v>
      </c>
      <c r="O231" s="30" t="b">
        <f t="shared" si="74"/>
        <v>1</v>
      </c>
      <c r="P231" s="91" t="str">
        <f>IF(ISBLANK(N231),IFERROR(0/0,""),IFERROR(VLOOKUP(N231, 'Process Ref'!$A$76:$D$122, 2, FALSE), IFERROR(0/0,"")))</f>
        <v>Add Run from APS with no RFR (assume run on same day as Collect, ignore Result day)</v>
      </c>
      <c r="Q231" s="8" t="s">
        <v>386</v>
      </c>
      <c r="R231" s="92" t="str">
        <f>IFNA(MATCH(A231,'RFR Data - preExcl'!A$2:A923,0),"")</f>
        <v/>
      </c>
      <c r="S231" s="54"/>
      <c r="T231" s="18" t="str">
        <f>IF(AND(NOT(ISBLANK(U231)),NOT(ISBLANK(V231)),NOT(ISBLANK(W231))),CONCATENATE("RUN-",'Process Ref'!$A$1,"_",TEXT(V231,"YYYY-MM-DD"),"_APS-",TEXT(W231,"000")),IFERROR(0/0,""))</f>
        <v/>
      </c>
      <c r="U231" s="8" t="str">
        <f t="shared" si="80"/>
        <v/>
      </c>
      <c r="V231" s="190">
        <v>44548.0</v>
      </c>
      <c r="W231" s="191" t="str">
        <f t="shared" si="62"/>
        <v/>
      </c>
      <c r="X231" s="86"/>
      <c r="Z231" s="103"/>
      <c r="AG231" s="86"/>
      <c r="AJ231" s="86"/>
    </row>
    <row r="232">
      <c r="A232" s="8" t="s">
        <v>233</v>
      </c>
      <c r="B232" s="14">
        <v>44739.0</v>
      </c>
      <c r="C232" s="88" t="b">
        <f t="shared" si="2"/>
        <v>1</v>
      </c>
      <c r="D232" s="16" t="str">
        <f t="array" ref="D232">IF(OR(ISBLANK($A232),$C232),IFERROR(0/0,""),INDEX('RFR Data - preExcl'!E$2:E923,$R232,1))</f>
        <v/>
      </c>
      <c r="E232" s="16" t="str">
        <f t="array" ref="E232">IF(OR(ISBLANK($A232),$C232),IFERROR(0/0,""),INDEX('RFR Data - preExcl'!Z$2:Z923,$R232,1))</f>
        <v/>
      </c>
      <c r="F232" s="16" t="str">
        <f t="array" ref="F232">IF(OR(ISBLANK(A232),C232),IFERROR(0/0,""),INDEX('RFR Data - preExcl'!AC$2:AC923,$R232,1))</f>
        <v/>
      </c>
      <c r="G232" s="16" t="str">
        <f t="array" ref="G232">IF(OR(ISBLANK(A232),C232),IFERROR(0/0,""),INDEX('RFR Data - preExcl'!AK$2:AK923,$R232,1))</f>
        <v/>
      </c>
      <c r="H232" s="16" t="str">
        <f t="array" ref="H232">IF(OR(ISBLANK(A232),C232),IFERROR(0/0,""),INDEX('RFR Data - preExcl'!AL$2:AL923,$R232,1))</f>
        <v/>
      </c>
      <c r="I232" s="16">
        <f>IFERROR(VLOOKUP($B232,'APS Tubes by Date IMPORT'!$B$2:$J923,2,FALSE),"")</f>
        <v>1</v>
      </c>
      <c r="J232" s="16" t="b">
        <f>IFERROR(VLOOKUP($B232,'APS Tubes by Date IMPORT'!$B$2:$J923,9,FALSE),"")</f>
        <v>1</v>
      </c>
      <c r="K232" s="16">
        <f>IFNA(VLOOKUP($B232,'APS Tubes by Date IMPORT'!$B$2:$J923,6,FALSE),"")</f>
        <v>0</v>
      </c>
      <c r="L232" s="89">
        <f t="shared" si="79"/>
        <v>1</v>
      </c>
      <c r="M232" s="16"/>
      <c r="N232" s="90">
        <v>3.4</v>
      </c>
      <c r="O232" s="30" t="b">
        <f t="shared" si="74"/>
        <v>1</v>
      </c>
      <c r="P232" s="91" t="str">
        <f>IF(ISBLANK(N232),IFERROR(0/0,""),IFERROR(VLOOKUP(N232, 'Process Ref'!$A$76:$D$122, 2, FALSE), IFERROR(0/0,"")))</f>
        <v>Add Run from APS with no RFR (assume run on same day as Collect, ignore Result day)</v>
      </c>
      <c r="Q232" s="8" t="s">
        <v>386</v>
      </c>
      <c r="R232" s="92" t="str">
        <f>IFNA(MATCH(A232,'RFR Data - preExcl'!A$2:A923,0),"")</f>
        <v/>
      </c>
      <c r="S232" s="54"/>
      <c r="T232" s="8" t="str">
        <f>IF(AND(NOT(ISBLANK(U232)),NOT(ISBLANK(V232)),NOT(ISBLANK(W232))),CONCATENATE("RUN-",'Process Ref'!$A$1,"_",TEXT(V232,"YYYY-MM-DD"),"_APS-",TEXT(W232,"000")),IFERROR(0/0,""))</f>
        <v/>
      </c>
      <c r="U232" s="8" t="str">
        <f t="shared" si="80"/>
        <v/>
      </c>
      <c r="V232" s="190">
        <v>44549.0</v>
      </c>
      <c r="W232" s="191" t="str">
        <f t="shared" si="62"/>
        <v/>
      </c>
      <c r="X232" s="86"/>
      <c r="Z232" s="103"/>
      <c r="AG232" s="86"/>
      <c r="AJ232" s="86"/>
    </row>
    <row r="233">
      <c r="A233" s="8" t="s">
        <v>234</v>
      </c>
      <c r="B233" s="14">
        <v>44741.0</v>
      </c>
      <c r="C233" s="88" t="b">
        <f t="shared" si="2"/>
        <v>1</v>
      </c>
      <c r="D233" s="16" t="str">
        <f t="array" ref="D233">IF(OR(ISBLANK($A233),$C233),IFERROR(0/0,""),INDEX('RFR Data - preExcl'!E$2:E923,$R233,1))</f>
        <v/>
      </c>
      <c r="E233" s="16" t="str">
        <f t="array" ref="E233">IF(OR(ISBLANK($A233),$C233),IFERROR(0/0,""),INDEX('RFR Data - preExcl'!Z$2:Z923,$R233,1))</f>
        <v/>
      </c>
      <c r="F233" s="16" t="str">
        <f t="array" ref="F233">IF(OR(ISBLANK(A233),C233),IFERROR(0/0,""),INDEX('RFR Data - preExcl'!AC$2:AC923,$R233,1))</f>
        <v/>
      </c>
      <c r="G233" s="16" t="str">
        <f t="array" ref="G233">IF(OR(ISBLANK(A233),C233),IFERROR(0/0,""),INDEX('RFR Data - preExcl'!AK$2:AK923,$R233,1))</f>
        <v/>
      </c>
      <c r="H233" s="16" t="str">
        <f t="array" ref="H233">IF(OR(ISBLANK(A233),C233),IFERROR(0/0,""),INDEX('RFR Data - preExcl'!AL$2:AL923,$R233,1))</f>
        <v/>
      </c>
      <c r="I233" s="16">
        <f>IFERROR(VLOOKUP($B233,'APS Tubes by Date IMPORT'!$B$2:$J923,2,FALSE),"")</f>
        <v>1</v>
      </c>
      <c r="J233" s="16" t="str">
        <f>IFERROR(VLOOKUP($B233,'APS Tubes by Date IMPORT'!$B$2:$J923,9,FALSE),"")</f>
        <v/>
      </c>
      <c r="K233" s="16">
        <f>IFNA(VLOOKUP($B233,'APS Tubes by Date IMPORT'!$B$2:$J923,6,FALSE),"")</f>
        <v>0</v>
      </c>
      <c r="L233" s="89">
        <f t="shared" si="79"/>
        <v>1</v>
      </c>
      <c r="M233" s="16"/>
      <c r="N233" s="90">
        <v>3.4</v>
      </c>
      <c r="O233" s="30" t="b">
        <f t="shared" si="74"/>
        <v>1</v>
      </c>
      <c r="P233" s="91" t="str">
        <f>IF(ISBLANK(N233),IFERROR(0/0,""),IFERROR(VLOOKUP(N233, 'Process Ref'!$A$76:$D$122, 2, FALSE), IFERROR(0/0,"")))</f>
        <v>Add Run from APS with no RFR (assume run on same day as Collect, ignore Result day)</v>
      </c>
      <c r="R233" s="92" t="str">
        <f>IFNA(MATCH(A233,'RFR Data - preExcl'!A$2:A923,0),"")</f>
        <v/>
      </c>
      <c r="S233" s="54"/>
      <c r="T233" s="8" t="str">
        <f>IF(AND(NOT(ISBLANK(U233)),NOT(ISBLANK(V233)),NOT(ISBLANK(W233))),CONCATENATE("RUN-",'Process Ref'!$A$1,"_",TEXT(V233,"YYYY-MM-DD"),"_APS-",TEXT(W233,"000")),IFERROR(0/0,""))</f>
        <v/>
      </c>
      <c r="U233" s="8" t="str">
        <f t="shared" si="80"/>
        <v/>
      </c>
      <c r="V233" s="190">
        <v>44550.0</v>
      </c>
      <c r="W233" s="191" t="str">
        <f t="shared" si="62"/>
        <v/>
      </c>
      <c r="X233" s="86"/>
      <c r="Z233" s="131"/>
      <c r="AA233" s="14"/>
      <c r="AG233" s="86"/>
      <c r="AJ233" s="86"/>
    </row>
    <row r="234">
      <c r="A234" s="8" t="s">
        <v>235</v>
      </c>
      <c r="B234" s="14">
        <v>44742.0</v>
      </c>
      <c r="C234" s="88" t="b">
        <f t="shared" si="2"/>
        <v>1</v>
      </c>
      <c r="D234" s="16" t="str">
        <f t="array" ref="D234">IF(OR(ISBLANK($A234),$C234),IFERROR(0/0,""),INDEX('RFR Data - preExcl'!E$2:E923,$R234,1))</f>
        <v/>
      </c>
      <c r="E234" s="16" t="str">
        <f t="array" ref="E234">IF(OR(ISBLANK($A234),$C234),IFERROR(0/0,""),INDEX('RFR Data - preExcl'!Z$2:Z923,$R234,1))</f>
        <v/>
      </c>
      <c r="F234" s="16" t="str">
        <f t="array" ref="F234">IF(OR(ISBLANK(A234),C234),IFERROR(0/0,""),INDEX('RFR Data - preExcl'!AC$2:AC923,$R234,1))</f>
        <v/>
      </c>
      <c r="G234" s="16" t="str">
        <f t="array" ref="G234">IF(OR(ISBLANK(A234),C234),IFERROR(0/0,""),INDEX('RFR Data - preExcl'!AK$2:AK923,$R234,1))</f>
        <v/>
      </c>
      <c r="H234" s="16" t="str">
        <f t="array" ref="H234">IF(OR(ISBLANK(A234),C234),IFERROR(0/0,""),INDEX('RFR Data - preExcl'!AL$2:AL923,$R234,1))</f>
        <v/>
      </c>
      <c r="I234" s="16">
        <f>IFERROR(VLOOKUP($B234,'APS Tubes by Date IMPORT'!$B$2:$J923,2,FALSE),"")</f>
        <v>1</v>
      </c>
      <c r="J234" s="16" t="b">
        <f>IFERROR(VLOOKUP($B234,'APS Tubes by Date IMPORT'!$B$2:$J923,9,FALSE),"")</f>
        <v>1</v>
      </c>
      <c r="K234" s="16">
        <f>IFNA(VLOOKUP($B234,'APS Tubes by Date IMPORT'!$B$2:$J923,6,FALSE),"")</f>
        <v>0</v>
      </c>
      <c r="L234" s="89">
        <f t="shared" si="79"/>
        <v>1</v>
      </c>
      <c r="M234" s="16"/>
      <c r="N234" s="90">
        <v>3.4</v>
      </c>
      <c r="O234" s="30" t="b">
        <f t="shared" si="74"/>
        <v>1</v>
      </c>
      <c r="P234" s="91" t="str">
        <f>IF(ISBLANK(N234),IFERROR(0/0,""),IFERROR(VLOOKUP(N234, 'Process Ref'!$A$76:$D$122, 2, FALSE), IFERROR(0/0,"")))</f>
        <v>Add Run from APS with no RFR (assume run on same day as Collect, ignore Result day)</v>
      </c>
      <c r="Q234" s="8" t="s">
        <v>386</v>
      </c>
      <c r="R234" s="92" t="str">
        <f>IFNA(MATCH(A234,'RFR Data - preExcl'!A$2:A923,0),"")</f>
        <v/>
      </c>
      <c r="S234" s="54"/>
      <c r="T234" s="8" t="str">
        <f>IF(AND(NOT(ISBLANK(U234)),NOT(ISBLANK(V234)),NOT(ISBLANK(W234))),CONCATENATE("RUN-",'Process Ref'!$A$1,"_",TEXT(V234,"YYYY-MM-DD"),"_APS-",TEXT(W234,"000")),IFERROR(0/0,""))</f>
        <v/>
      </c>
      <c r="U234" s="8" t="str">
        <f t="shared" si="80"/>
        <v/>
      </c>
      <c r="V234" s="190">
        <v>44551.0</v>
      </c>
      <c r="W234" s="191" t="str">
        <f t="shared" si="62"/>
        <v/>
      </c>
      <c r="X234" s="86"/>
      <c r="Z234" s="131"/>
      <c r="AA234" s="14"/>
      <c r="AG234" s="86"/>
      <c r="AJ234" s="86"/>
    </row>
    <row r="235">
      <c r="A235" s="8" t="s">
        <v>236</v>
      </c>
      <c r="B235" s="14">
        <v>44760.0</v>
      </c>
      <c r="C235" s="88" t="b">
        <f t="shared" si="2"/>
        <v>1</v>
      </c>
      <c r="D235" s="16" t="str">
        <f t="array" ref="D235">IF(OR(ISBLANK($A235),$C235),IFERROR(0/0,""),INDEX('RFR Data - preExcl'!E$2:E923,$R235,1))</f>
        <v/>
      </c>
      <c r="E235" s="16" t="str">
        <f t="array" ref="E235">IF(OR(ISBLANK($A235),$C235),IFERROR(0/0,""),INDEX('RFR Data - preExcl'!Z$2:Z923,$R235,1))</f>
        <v/>
      </c>
      <c r="F235" s="16" t="str">
        <f t="array" ref="F235">IF(OR(ISBLANK(A235),C235),IFERROR(0/0,""),INDEX('RFR Data - preExcl'!AC$2:AC923,$R235,1))</f>
        <v/>
      </c>
      <c r="G235" s="16" t="str">
        <f t="array" ref="G235">IF(OR(ISBLANK(A235),C235),IFERROR(0/0,""),INDEX('RFR Data - preExcl'!AK$2:AK923,$R235,1))</f>
        <v/>
      </c>
      <c r="H235" s="16" t="str">
        <f t="array" ref="H235">IF(OR(ISBLANK(A235),C235),IFERROR(0/0,""),INDEX('RFR Data - preExcl'!AL$2:AL923,$R235,1))</f>
        <v/>
      </c>
      <c r="I235" s="16">
        <f>IFERROR(VLOOKUP($B235,'APS Tubes by Date IMPORT'!$B$2:$J923,2,FALSE),"")</f>
        <v>2</v>
      </c>
      <c r="J235" s="16" t="b">
        <f>IFERROR(VLOOKUP($B235,'APS Tubes by Date IMPORT'!$B$2:$J923,9,FALSE),"")</f>
        <v>1</v>
      </c>
      <c r="K235" s="16">
        <f>IFNA(VLOOKUP($B235,'APS Tubes by Date IMPORT'!$B$2:$J923,6,FALSE),"")</f>
        <v>0</v>
      </c>
      <c r="L235" s="89">
        <f t="shared" si="79"/>
        <v>2</v>
      </c>
      <c r="M235" s="16"/>
      <c r="N235" s="90">
        <v>3.4</v>
      </c>
      <c r="O235" s="30" t="b">
        <f t="shared" si="74"/>
        <v>1</v>
      </c>
      <c r="P235" s="91" t="str">
        <f>IF(ISBLANK(N235),IFERROR(0/0,""),IFERROR(VLOOKUP(N235, 'Process Ref'!$A$76:$D$122, 2, FALSE), IFERROR(0/0,"")))</f>
        <v>Add Run from APS with no RFR (assume run on same day as Collect, ignore Result day)</v>
      </c>
      <c r="Q235" s="8" t="s">
        <v>386</v>
      </c>
      <c r="R235" s="92" t="str">
        <f>IFNA(MATCH(A235,'RFR Data - preExcl'!A$2:A923,0),"")</f>
        <v/>
      </c>
      <c r="S235" s="54"/>
      <c r="T235" s="8" t="str">
        <f>IF(AND(NOT(ISBLANK(U235)),NOT(ISBLANK(V235)),NOT(ISBLANK(W235))),CONCATENATE("RUN-",'Process Ref'!$A$1,"_",TEXT(V235,"YYYY-MM-DD"),"_APS-",TEXT(W235,"000")),IFERROR(0/0,""))</f>
        <v/>
      </c>
      <c r="U235" s="8" t="str">
        <f t="shared" si="80"/>
        <v/>
      </c>
      <c r="V235" s="190">
        <v>44552.0</v>
      </c>
      <c r="W235" s="191" t="str">
        <f t="shared" si="62"/>
        <v/>
      </c>
      <c r="X235" s="86"/>
      <c r="Z235" s="131"/>
      <c r="AA235" s="14"/>
      <c r="AG235" s="86"/>
      <c r="AJ235" s="86"/>
    </row>
    <row r="236">
      <c r="A236" s="8" t="s">
        <v>237</v>
      </c>
      <c r="B236" s="14">
        <v>44763.0</v>
      </c>
      <c r="C236" s="88" t="b">
        <f t="shared" si="2"/>
        <v>1</v>
      </c>
      <c r="D236" s="16" t="str">
        <f t="array" ref="D236">IF(OR(ISBLANK($A236),$C236),IFERROR(0/0,""),INDEX('RFR Data - preExcl'!E$2:E923,$R236,1))</f>
        <v/>
      </c>
      <c r="E236" s="16" t="str">
        <f t="array" ref="E236">IF(OR(ISBLANK($A236),$C236),IFERROR(0/0,""),INDEX('RFR Data - preExcl'!Z$2:Z923,$R236,1))</f>
        <v/>
      </c>
      <c r="F236" s="16" t="str">
        <f t="array" ref="F236">IF(OR(ISBLANK(A236),C236),IFERROR(0/0,""),INDEX('RFR Data - preExcl'!AC$2:AC923,$R236,1))</f>
        <v/>
      </c>
      <c r="G236" s="16" t="str">
        <f t="array" ref="G236">IF(OR(ISBLANK(A236),C236),IFERROR(0/0,""),INDEX('RFR Data - preExcl'!AK$2:AK923,$R236,1))</f>
        <v/>
      </c>
      <c r="H236" s="16" t="str">
        <f t="array" ref="H236">IF(OR(ISBLANK(A236),C236),IFERROR(0/0,""),INDEX('RFR Data - preExcl'!AL$2:AL923,$R236,1))</f>
        <v/>
      </c>
      <c r="I236" s="16">
        <f>IFERROR(VLOOKUP($B236,'APS Tubes by Date IMPORT'!$B$2:$J923,2,FALSE),"")</f>
        <v>1</v>
      </c>
      <c r="J236" s="16" t="b">
        <f>IFERROR(VLOOKUP($B236,'APS Tubes by Date IMPORT'!$B$2:$J923,9,FALSE),"")</f>
        <v>1</v>
      </c>
      <c r="K236" s="16">
        <f>IFNA(VLOOKUP($B236,'APS Tubes by Date IMPORT'!$B$2:$J923,6,FALSE),"")</f>
        <v>0</v>
      </c>
      <c r="L236" s="89">
        <f t="shared" si="79"/>
        <v>1</v>
      </c>
      <c r="M236" s="16"/>
      <c r="N236" s="90">
        <v>3.4</v>
      </c>
      <c r="O236" s="30" t="b">
        <f t="shared" si="74"/>
        <v>1</v>
      </c>
      <c r="P236" s="91" t="str">
        <f>IF(ISBLANK(N236),IFERROR(0/0,""),IFERROR(VLOOKUP(N236, 'Process Ref'!$A$76:$D$122, 2, FALSE), IFERROR(0/0,"")))</f>
        <v>Add Run from APS with no RFR (assume run on same day as Collect, ignore Result day)</v>
      </c>
      <c r="Q236" s="8" t="s">
        <v>386</v>
      </c>
      <c r="R236" s="92" t="str">
        <f>IFNA(MATCH(A236,'RFR Data - preExcl'!A$2:A923,0),"")</f>
        <v/>
      </c>
      <c r="S236" s="54"/>
      <c r="T236" s="8" t="str">
        <f>IF(AND(NOT(ISBLANK(U236)),NOT(ISBLANK(V236)),NOT(ISBLANK(W236))),CONCATENATE("RUN-",'Process Ref'!$A$1,"_",TEXT(V236,"YYYY-MM-DD"),"_APS-",TEXT(W236,"000")),IFERROR(0/0,""))</f>
        <v/>
      </c>
      <c r="U236" s="8" t="str">
        <f t="shared" si="80"/>
        <v/>
      </c>
      <c r="V236" s="190">
        <v>44553.0</v>
      </c>
      <c r="W236" s="191" t="str">
        <f t="shared" si="62"/>
        <v/>
      </c>
      <c r="X236" s="86"/>
      <c r="Z236" s="103"/>
      <c r="AG236" s="86"/>
      <c r="AJ236" s="86"/>
    </row>
    <row r="237">
      <c r="A237" s="8" t="s">
        <v>238</v>
      </c>
      <c r="B237" s="14">
        <v>44767.0</v>
      </c>
      <c r="C237" s="88" t="b">
        <f t="shared" si="2"/>
        <v>1</v>
      </c>
      <c r="D237" s="16" t="str">
        <f t="array" ref="D237">IF(OR(ISBLANK($A237),$C237),IFERROR(0/0,""),INDEX('RFR Data - preExcl'!E$2:E923,$R237,1))</f>
        <v/>
      </c>
      <c r="E237" s="16" t="str">
        <f t="array" ref="E237">IF(OR(ISBLANK($A237),$C237),IFERROR(0/0,""),INDEX('RFR Data - preExcl'!Z$2:Z923,$R237,1))</f>
        <v/>
      </c>
      <c r="F237" s="16" t="str">
        <f t="array" ref="F237">IF(OR(ISBLANK(A237),C237),IFERROR(0/0,""),INDEX('RFR Data - preExcl'!AC$2:AC923,$R237,1))</f>
        <v/>
      </c>
      <c r="G237" s="16" t="str">
        <f t="array" ref="G237">IF(OR(ISBLANK(A237),C237),IFERROR(0/0,""),INDEX('RFR Data - preExcl'!AK$2:AK923,$R237,1))</f>
        <v/>
      </c>
      <c r="H237" s="16" t="str">
        <f t="array" ref="H237">IF(OR(ISBLANK(A237),C237),IFERROR(0/0,""),INDEX('RFR Data - preExcl'!AL$2:AL923,$R237,1))</f>
        <v/>
      </c>
      <c r="I237" s="16">
        <f>IFERROR(VLOOKUP($B237,'APS Tubes by Date IMPORT'!$B$2:$J923,2,FALSE),"")</f>
        <v>3</v>
      </c>
      <c r="J237" s="16" t="b">
        <f>IFERROR(VLOOKUP($B237,'APS Tubes by Date IMPORT'!$B$2:$J923,9,FALSE),"")</f>
        <v>1</v>
      </c>
      <c r="K237" s="16">
        <f>IFNA(VLOOKUP($B237,'APS Tubes by Date IMPORT'!$B$2:$J923,6,FALSE),"")</f>
        <v>0</v>
      </c>
      <c r="L237" s="89">
        <f t="shared" si="79"/>
        <v>3</v>
      </c>
      <c r="M237" s="16"/>
      <c r="N237" s="90">
        <v>3.4</v>
      </c>
      <c r="O237" s="30" t="b">
        <f t="shared" si="74"/>
        <v>1</v>
      </c>
      <c r="P237" s="91" t="str">
        <f>IF(ISBLANK(N237),IFERROR(0/0,""),IFERROR(VLOOKUP(N237, 'Process Ref'!$A$76:$D$122, 2, FALSE), IFERROR(0/0,"")))</f>
        <v>Add Run from APS with no RFR (assume run on same day as Collect, ignore Result day)</v>
      </c>
      <c r="Q237" s="8" t="s">
        <v>386</v>
      </c>
      <c r="R237" s="92" t="str">
        <f>IFNA(MATCH(A237,'RFR Data - preExcl'!A$2:A923,0),"")</f>
        <v/>
      </c>
      <c r="S237" s="54"/>
      <c r="T237" s="142" t="str">
        <f>IF(AND(NOT(ISBLANK(U237)),NOT(ISBLANK(V237)),NOT(ISBLANK(W237))),CONCATENATE("RUN-",'Process Ref'!$A$1,"_",TEXT(V237,"YYYY-MM-DD"),"_APS-",TEXT(W237,"000")),IFERROR(0/0,""))</f>
        <v>RUN-FLMP_2021-12-24_APS-074</v>
      </c>
      <c r="U237" s="218">
        <v>44554.0</v>
      </c>
      <c r="V237" s="216">
        <v>44554.0</v>
      </c>
      <c r="W237" s="191">
        <f t="shared" si="62"/>
        <v>74</v>
      </c>
      <c r="X237" s="86"/>
      <c r="Z237" s="103"/>
      <c r="AG237" s="86"/>
      <c r="AJ237" s="86"/>
    </row>
    <row r="238">
      <c r="A238" s="8" t="s">
        <v>239</v>
      </c>
      <c r="B238" s="14">
        <v>44770.0</v>
      </c>
      <c r="C238" s="88" t="b">
        <f t="shared" si="2"/>
        <v>1</v>
      </c>
      <c r="D238" s="16" t="str">
        <f t="array" ref="D238">IF(OR(ISBLANK($A238),$C238),IFERROR(0/0,""),INDEX('RFR Data - preExcl'!E$2:E923,$R238,1))</f>
        <v/>
      </c>
      <c r="E238" s="16" t="str">
        <f t="array" ref="E238">IF(OR(ISBLANK($A238),$C238),IFERROR(0/0,""),INDEX('RFR Data - preExcl'!Z$2:Z923,$R238,1))</f>
        <v/>
      </c>
      <c r="F238" s="16" t="str">
        <f t="array" ref="F238">IF(OR(ISBLANK(A238),C238),IFERROR(0/0,""),INDEX('RFR Data - preExcl'!AC$2:AC923,$R238,1))</f>
        <v/>
      </c>
      <c r="G238" s="16" t="str">
        <f t="array" ref="G238">IF(OR(ISBLANK(A238),C238),IFERROR(0/0,""),INDEX('RFR Data - preExcl'!AK$2:AK923,$R238,1))</f>
        <v/>
      </c>
      <c r="H238" s="16" t="str">
        <f t="array" ref="H238">IF(OR(ISBLANK(A238),C238),IFERROR(0/0,""),INDEX('RFR Data - preExcl'!AL$2:AL923,$R238,1))</f>
        <v/>
      </c>
      <c r="I238" s="16">
        <f>IFERROR(VLOOKUP($B238,'APS Tubes by Date IMPORT'!$B$2:$J923,2,FALSE),"")</f>
        <v>1</v>
      </c>
      <c r="J238" s="16" t="b">
        <f>IFERROR(VLOOKUP($B238,'APS Tubes by Date IMPORT'!$B$2:$J923,9,FALSE),"")</f>
        <v>1</v>
      </c>
      <c r="K238" s="16">
        <f>IFNA(VLOOKUP($B238,'APS Tubes by Date IMPORT'!$B$2:$J923,6,FALSE),"")</f>
        <v>0</v>
      </c>
      <c r="L238" s="89">
        <f t="shared" si="79"/>
        <v>1</v>
      </c>
      <c r="M238" s="16"/>
      <c r="N238" s="90">
        <v>3.4</v>
      </c>
      <c r="O238" s="30" t="b">
        <f t="shared" si="74"/>
        <v>1</v>
      </c>
      <c r="P238" s="91" t="str">
        <f>IF(ISBLANK(N238),IFERROR(0/0,""),IFERROR(VLOOKUP(N238, 'Process Ref'!$A$76:$D$122, 2, FALSE), IFERROR(0/0,"")))</f>
        <v>Add Run from APS with no RFR (assume run on same day as Collect, ignore Result day)</v>
      </c>
      <c r="Q238" s="8" t="s">
        <v>386</v>
      </c>
      <c r="R238" s="92" t="str">
        <f>IFNA(MATCH(A238,'RFR Data - preExcl'!A$2:A923,0),"")</f>
        <v/>
      </c>
      <c r="S238" s="54"/>
      <c r="T238" s="8" t="str">
        <f>IF(AND(NOT(ISBLANK(U238)),NOT(ISBLANK(V238)),NOT(ISBLANK(W238))),CONCATENATE("RUN-",'Process Ref'!$A$1,"_",TEXT(V238,"YYYY-MM-DD"),"_APS-",TEXT(W238,"000")),IFERROR(0/0,""))</f>
        <v/>
      </c>
      <c r="U238" s="8" t="str">
        <f>IF(COUNTIF(U$2:U$144,V238)=0,V238,IFERROR(0/0,""))</f>
        <v/>
      </c>
      <c r="V238" s="190">
        <v>44555.0</v>
      </c>
      <c r="W238" s="191" t="str">
        <f t="shared" si="62"/>
        <v/>
      </c>
      <c r="X238" s="86"/>
      <c r="Z238" s="103"/>
      <c r="AG238" s="86"/>
      <c r="AJ238" s="86"/>
    </row>
    <row r="239">
      <c r="A239" s="8" t="s">
        <v>240</v>
      </c>
      <c r="B239" s="14">
        <v>44774.0</v>
      </c>
      <c r="C239" s="88" t="b">
        <f t="shared" si="2"/>
        <v>1</v>
      </c>
      <c r="D239" s="16" t="str">
        <f t="array" ref="D239">IF(OR(ISBLANK($A239),$C239),IFERROR(0/0,""),INDEX('RFR Data - preExcl'!E$2:E923,$R239,1))</f>
        <v/>
      </c>
      <c r="E239" s="16" t="str">
        <f t="array" ref="E239">IF(OR(ISBLANK($A239),$C239),IFERROR(0/0,""),INDEX('RFR Data - preExcl'!Z$2:Z923,$R239,1))</f>
        <v/>
      </c>
      <c r="F239" s="16" t="str">
        <f t="array" ref="F239">IF(OR(ISBLANK(A239),C239),IFERROR(0/0,""),INDEX('RFR Data - preExcl'!AC$2:AC923,$R239,1))</f>
        <v/>
      </c>
      <c r="G239" s="16" t="str">
        <f t="array" ref="G239">IF(OR(ISBLANK(A239),C239),IFERROR(0/0,""),INDEX('RFR Data - preExcl'!AK$2:AK923,$R239,1))</f>
        <v/>
      </c>
      <c r="H239" s="16" t="str">
        <f t="array" ref="H239">IF(OR(ISBLANK(A239),C239),IFERROR(0/0,""),INDEX('RFR Data - preExcl'!AL$2:AL923,$R239,1))</f>
        <v/>
      </c>
      <c r="I239" s="16">
        <f>IFERROR(VLOOKUP($B239,'APS Tubes by Date IMPORT'!$B$2:$J923,2,FALSE),"")</f>
        <v>1</v>
      </c>
      <c r="J239" s="16" t="b">
        <f>IFERROR(VLOOKUP($B239,'APS Tubes by Date IMPORT'!$B$2:$J923,9,FALSE),"")</f>
        <v>1</v>
      </c>
      <c r="K239" s="16">
        <f>IFNA(VLOOKUP($B239,'APS Tubes by Date IMPORT'!$B$2:$J923,6,FALSE),"")</f>
        <v>0</v>
      </c>
      <c r="L239" s="89">
        <f t="shared" si="79"/>
        <v>1</v>
      </c>
      <c r="M239" s="16"/>
      <c r="N239" s="90">
        <v>3.4</v>
      </c>
      <c r="O239" s="30" t="b">
        <f t="shared" si="74"/>
        <v>1</v>
      </c>
      <c r="P239" s="91" t="str">
        <f>IF(ISBLANK(N239),IFERROR(0/0,""),IFERROR(VLOOKUP(N239, 'Process Ref'!$A$76:$D$122, 2, FALSE), IFERROR(0/0,"")))</f>
        <v>Add Run from APS with no RFR (assume run on same day as Collect, ignore Result day)</v>
      </c>
      <c r="Q239" s="8" t="s">
        <v>386</v>
      </c>
      <c r="R239" s="92" t="str">
        <f>IFNA(MATCH(A239,'RFR Data - preExcl'!A$2:A923,0),"")</f>
        <v/>
      </c>
      <c r="S239" s="54"/>
      <c r="T239" s="142" t="str">
        <f>IF(AND(NOT(ISBLANK(U239)),NOT(ISBLANK(V239)),NOT(ISBLANK(W239))),CONCATENATE("RUN-",'Process Ref'!$A$1,"_",TEXT(V239,"YYYY-MM-DD"),"_APS-",TEXT(W239,"000")),IFERROR(0/0,""))</f>
        <v>RUN-FLMP_2021-12-26_APS-075</v>
      </c>
      <c r="U239" s="218">
        <v>44556.0</v>
      </c>
      <c r="V239" s="216">
        <v>44556.0</v>
      </c>
      <c r="W239" s="191">
        <f t="shared" si="62"/>
        <v>75</v>
      </c>
      <c r="X239" s="86"/>
      <c r="Z239" s="131"/>
      <c r="AA239" s="14"/>
      <c r="AG239" s="86"/>
      <c r="AJ239" s="86"/>
    </row>
    <row r="240">
      <c r="A240" s="8" t="s">
        <v>241</v>
      </c>
      <c r="B240" s="14">
        <v>44777.0</v>
      </c>
      <c r="C240" s="88" t="b">
        <f t="shared" si="2"/>
        <v>1</v>
      </c>
      <c r="D240" s="16" t="str">
        <f t="array" ref="D240">IF(OR(ISBLANK($A240),$C240),IFERROR(0/0,""),INDEX('RFR Data - preExcl'!E$2:E923,$R240,1))</f>
        <v/>
      </c>
      <c r="E240" s="16" t="str">
        <f t="array" ref="E240">IF(OR(ISBLANK($A240),$C240),IFERROR(0/0,""),INDEX('RFR Data - preExcl'!Z$2:Z923,$R240,1))</f>
        <v/>
      </c>
      <c r="F240" s="16" t="str">
        <f t="array" ref="F240">IF(OR(ISBLANK(A240),C240),IFERROR(0/0,""),INDEX('RFR Data - preExcl'!AC$2:AC923,$R240,1))</f>
        <v/>
      </c>
      <c r="G240" s="16" t="str">
        <f t="array" ref="G240">IF(OR(ISBLANK(A240),C240),IFERROR(0/0,""),INDEX('RFR Data - preExcl'!AK$2:AK923,$R240,1))</f>
        <v/>
      </c>
      <c r="H240" s="16" t="str">
        <f t="array" ref="H240">IF(OR(ISBLANK(A240),C240),IFERROR(0/0,""),INDEX('RFR Data - preExcl'!AL$2:AL923,$R240,1))</f>
        <v/>
      </c>
      <c r="I240" s="16">
        <f>IFERROR(VLOOKUP($B240,'APS Tubes by Date IMPORT'!$B$2:$J923,2,FALSE),"")</f>
        <v>2</v>
      </c>
      <c r="J240" s="16" t="b">
        <f>IFERROR(VLOOKUP($B240,'APS Tubes by Date IMPORT'!$B$2:$J923,9,FALSE),"")</f>
        <v>1</v>
      </c>
      <c r="K240" s="16">
        <f>IFNA(VLOOKUP($B240,'APS Tubes by Date IMPORT'!$B$2:$J923,6,FALSE),"")</f>
        <v>0</v>
      </c>
      <c r="L240" s="89">
        <f t="shared" si="79"/>
        <v>2</v>
      </c>
      <c r="M240" s="16"/>
      <c r="N240" s="90">
        <v>3.4</v>
      </c>
      <c r="O240" s="30" t="b">
        <f t="shared" si="74"/>
        <v>1</v>
      </c>
      <c r="P240" s="91" t="str">
        <f>IF(ISBLANK(N240),IFERROR(0/0,""),IFERROR(VLOOKUP(N240, 'Process Ref'!$A$76:$D$122, 2, FALSE), IFERROR(0/0,"")))</f>
        <v>Add Run from APS with no RFR (assume run on same day as Collect, ignore Result day)</v>
      </c>
      <c r="Q240" s="8" t="s">
        <v>386</v>
      </c>
      <c r="R240" s="92" t="str">
        <f>IFNA(MATCH(A240,'RFR Data - preExcl'!A$2:A923,0),"")</f>
        <v/>
      </c>
      <c r="S240" s="54"/>
      <c r="T240" s="8" t="str">
        <f>IF(AND(NOT(ISBLANK(U240)),NOT(ISBLANK(V240)),NOT(ISBLANK(W240))),CONCATENATE("RUN-",'Process Ref'!$A$1,"_",TEXT(V240,"YYYY-MM-DD"),"_APS-",TEXT(W240,"000")),IFERROR(0/0,""))</f>
        <v/>
      </c>
      <c r="U240" s="8" t="str">
        <f>IF(COUNTIF(U$2:U$144,V240)=0,V240,IFERROR(0/0,""))</f>
        <v/>
      </c>
      <c r="V240" s="190">
        <v>44557.0</v>
      </c>
      <c r="W240" s="191" t="str">
        <f t="shared" si="62"/>
        <v/>
      </c>
      <c r="X240" s="86"/>
      <c r="Z240" s="131"/>
      <c r="AA240" s="14"/>
      <c r="AG240" s="86"/>
      <c r="AJ240" s="86"/>
    </row>
    <row r="241">
      <c r="A241" s="8" t="s">
        <v>242</v>
      </c>
      <c r="B241" s="14">
        <v>44795.0</v>
      </c>
      <c r="C241" s="88" t="b">
        <f t="shared" si="2"/>
        <v>1</v>
      </c>
      <c r="D241" s="16" t="str">
        <f t="array" ref="D241">IF(OR(ISBLANK($A241),$C241),IFERROR(0/0,""),INDEX('RFR Data - preExcl'!E$2:E923,$R241,1))</f>
        <v/>
      </c>
      <c r="E241" s="16" t="str">
        <f t="array" ref="E241">IF(OR(ISBLANK($A241),$C241),IFERROR(0/0,""),INDEX('RFR Data - preExcl'!Z$2:Z923,$R241,1))</f>
        <v/>
      </c>
      <c r="F241" s="16" t="str">
        <f t="array" ref="F241">IF(OR(ISBLANK(A241),C241),IFERROR(0/0,""),INDEX('RFR Data - preExcl'!AC$2:AC923,$R241,1))</f>
        <v/>
      </c>
      <c r="G241" s="16" t="str">
        <f t="array" ref="G241">IF(OR(ISBLANK(A241),C241),IFERROR(0/0,""),INDEX('RFR Data - preExcl'!AK$2:AK923,$R241,1))</f>
        <v/>
      </c>
      <c r="H241" s="16" t="str">
        <f t="array" ref="H241">IF(OR(ISBLANK(A241),C241),IFERROR(0/0,""),INDEX('RFR Data - preExcl'!AL$2:AL923,$R241,1))</f>
        <v/>
      </c>
      <c r="I241" s="16">
        <f>IFERROR(VLOOKUP($B241,'APS Tubes by Date IMPORT'!$B$2:$J923,2,FALSE),"")</f>
        <v>1</v>
      </c>
      <c r="J241" s="16" t="b">
        <f>IFERROR(VLOOKUP($B241,'APS Tubes by Date IMPORT'!$B$2:$J923,9,FALSE),"")</f>
        <v>1</v>
      </c>
      <c r="K241" s="16">
        <f>IFNA(VLOOKUP($B241,'APS Tubes by Date IMPORT'!$B$2:$J923,6,FALSE),"")</f>
        <v>0</v>
      </c>
      <c r="L241" s="89">
        <f t="shared" si="79"/>
        <v>1</v>
      </c>
      <c r="M241" s="16"/>
      <c r="N241" s="90">
        <v>3.4</v>
      </c>
      <c r="O241" s="30" t="b">
        <f t="shared" si="74"/>
        <v>1</v>
      </c>
      <c r="P241" s="91" t="str">
        <f>IF(ISBLANK(N241),IFERROR(0/0,""),IFERROR(VLOOKUP(N241, 'Process Ref'!$A$76:$D$122, 2, FALSE), IFERROR(0/0,"")))</f>
        <v>Add Run from APS with no RFR (assume run on same day as Collect, ignore Result day)</v>
      </c>
      <c r="Q241" s="8" t="s">
        <v>386</v>
      </c>
      <c r="R241" s="92" t="str">
        <f>IFNA(MATCH(A241,'RFR Data - preExcl'!A$2:A923,0),"")</f>
        <v/>
      </c>
      <c r="S241" s="54"/>
      <c r="T241" s="142" t="str">
        <f>IF(AND(NOT(ISBLANK(U241)),NOT(ISBLANK(V241)),NOT(ISBLANK(W241))),CONCATENATE("RUN-",'Process Ref'!$A$1,"_",TEXT(V241,"YYYY-MM-DD"),"_APS-",TEXT(W241,"000")),IFERROR(0/0,""))</f>
        <v>RUN-FLMP_2021-12-28_APS-076</v>
      </c>
      <c r="U241" s="218">
        <v>44558.0</v>
      </c>
      <c r="V241" s="216">
        <v>44558.0</v>
      </c>
      <c r="W241" s="191">
        <f t="shared" si="62"/>
        <v>76</v>
      </c>
      <c r="X241" s="86"/>
      <c r="Z241" s="103"/>
      <c r="AG241" s="86"/>
      <c r="AJ241" s="86"/>
    </row>
    <row r="242">
      <c r="A242" s="8" t="s">
        <v>243</v>
      </c>
      <c r="B242" s="14">
        <v>44810.0</v>
      </c>
      <c r="C242" s="88" t="b">
        <f t="shared" si="2"/>
        <v>1</v>
      </c>
      <c r="D242" s="16" t="str">
        <f t="array" ref="D242">IF(OR(ISBLANK($A242),$C242),IFERROR(0/0,""),INDEX('RFR Data - preExcl'!E$2:E923,$R242,1))</f>
        <v/>
      </c>
      <c r="E242" s="16" t="str">
        <f t="array" ref="E242">IF(OR(ISBLANK($A242),$C242),IFERROR(0/0,""),INDEX('RFR Data - preExcl'!Z$2:Z923,$R242,1))</f>
        <v/>
      </c>
      <c r="F242" s="16" t="str">
        <f t="array" ref="F242">IF(OR(ISBLANK(A242),C242),IFERROR(0/0,""),INDEX('RFR Data - preExcl'!AC$2:AC923,$R242,1))</f>
        <v/>
      </c>
      <c r="G242" s="16" t="str">
        <f t="array" ref="G242">IF(OR(ISBLANK(A242),C242),IFERROR(0/0,""),INDEX('RFR Data - preExcl'!AK$2:AK923,$R242,1))</f>
        <v/>
      </c>
      <c r="H242" s="16" t="str">
        <f t="array" ref="H242">IF(OR(ISBLANK(A242),C242),IFERROR(0/0,""),INDEX('RFR Data - preExcl'!AL$2:AL923,$R242,1))</f>
        <v/>
      </c>
      <c r="I242" s="16">
        <f>IFERROR(VLOOKUP($B242,'APS Tubes by Date IMPORT'!$B$2:$J923,2,FALSE),"")</f>
        <v>2</v>
      </c>
      <c r="J242" s="16" t="b">
        <f>IFERROR(VLOOKUP($B242,'APS Tubes by Date IMPORT'!$B$2:$J923,9,FALSE),"")</f>
        <v>1</v>
      </c>
      <c r="K242" s="16">
        <f>IFNA(VLOOKUP($B242,'APS Tubes by Date IMPORT'!$B$2:$J923,6,FALSE),"")</f>
        <v>0</v>
      </c>
      <c r="L242" s="89">
        <f t="shared" si="79"/>
        <v>2</v>
      </c>
      <c r="M242" s="16"/>
      <c r="N242" s="90">
        <v>3.4</v>
      </c>
      <c r="O242" s="30" t="b">
        <f t="shared" si="74"/>
        <v>1</v>
      </c>
      <c r="P242" s="91" t="str">
        <f>IF(ISBLANK(N242),IFERROR(0/0,""),IFERROR(VLOOKUP(N242, 'Process Ref'!$A$76:$D$122, 2, FALSE), IFERROR(0/0,"")))</f>
        <v>Add Run from APS with no RFR (assume run on same day as Collect, ignore Result day)</v>
      </c>
      <c r="R242" s="92" t="str">
        <f>IFNA(MATCH(A242,'RFR Data - preExcl'!A$2:A923,0),"")</f>
        <v/>
      </c>
      <c r="S242" s="54"/>
      <c r="T242" s="142" t="str">
        <f>IF(AND(NOT(ISBLANK(U242)),NOT(ISBLANK(V242)),NOT(ISBLANK(W242))),CONCATENATE("RUN-",'Process Ref'!$A$1,"_",TEXT(V242,"YYYY-MM-DD"),"_APS-",TEXT(W242,"000")),IFERROR(0/0,""))</f>
        <v>RUN-FLMP_2021-12-29_APS-077</v>
      </c>
      <c r="U242" s="218">
        <v>44559.0</v>
      </c>
      <c r="V242" s="216">
        <v>44559.0</v>
      </c>
      <c r="W242" s="191">
        <f t="shared" si="62"/>
        <v>77</v>
      </c>
      <c r="X242" s="86"/>
      <c r="Z242" s="131"/>
      <c r="AA242" s="14"/>
      <c r="AG242" s="86"/>
      <c r="AJ242" s="86"/>
    </row>
    <row r="243">
      <c r="A243" s="8" t="s">
        <v>244</v>
      </c>
      <c r="B243" s="14">
        <v>44812.0</v>
      </c>
      <c r="C243" s="88" t="b">
        <f t="shared" si="2"/>
        <v>1</v>
      </c>
      <c r="D243" s="16" t="str">
        <f t="array" ref="D243">IF(OR(ISBLANK($A243),$C243),IFERROR(0/0,""),INDEX('RFR Data - preExcl'!E$2:E923,$R243,1))</f>
        <v/>
      </c>
      <c r="E243" s="16" t="str">
        <f t="array" ref="E243">IF(OR(ISBLANK($A243),$C243),IFERROR(0/0,""),INDEX('RFR Data - preExcl'!Z$2:Z923,$R243,1))</f>
        <v/>
      </c>
      <c r="F243" s="16" t="str">
        <f t="array" ref="F243">IF(OR(ISBLANK(A243),C243),IFERROR(0/0,""),INDEX('RFR Data - preExcl'!AC$2:AC923,$R243,1))</f>
        <v/>
      </c>
      <c r="G243" s="16" t="str">
        <f t="array" ref="G243">IF(OR(ISBLANK(A243),C243),IFERROR(0/0,""),INDEX('RFR Data - preExcl'!AK$2:AK923,$R243,1))</f>
        <v/>
      </c>
      <c r="H243" s="16" t="str">
        <f t="array" ref="H243">IF(OR(ISBLANK(A243),C243),IFERROR(0/0,""),INDEX('RFR Data - preExcl'!AL$2:AL923,$R243,1))</f>
        <v/>
      </c>
      <c r="I243" s="16">
        <f>IFERROR(VLOOKUP($B243,'APS Tubes by Date IMPORT'!$B$2:$J923,2,FALSE),"")</f>
        <v>1</v>
      </c>
      <c r="J243" s="16" t="b">
        <f>IFERROR(VLOOKUP($B243,'APS Tubes by Date IMPORT'!$B$2:$J923,9,FALSE),"")</f>
        <v>1</v>
      </c>
      <c r="K243" s="16">
        <f>IFNA(VLOOKUP($B243,'APS Tubes by Date IMPORT'!$B$2:$J923,6,FALSE),"")</f>
        <v>0</v>
      </c>
      <c r="L243" s="89">
        <f t="shared" si="79"/>
        <v>1</v>
      </c>
      <c r="M243" s="16"/>
      <c r="N243" s="90">
        <v>3.4</v>
      </c>
      <c r="O243" s="30" t="b">
        <f t="shared" si="74"/>
        <v>1</v>
      </c>
      <c r="P243" s="91" t="str">
        <f>IF(ISBLANK(N243),IFERROR(0/0,""),IFERROR(VLOOKUP(N243, 'Process Ref'!$A$76:$D$122, 2, FALSE), IFERROR(0/0,"")))</f>
        <v>Add Run from APS with no RFR (assume run on same day as Collect, ignore Result day)</v>
      </c>
      <c r="Q243" s="8" t="s">
        <v>386</v>
      </c>
      <c r="R243" s="92" t="str">
        <f>IFNA(MATCH(A243,'RFR Data - preExcl'!A$2:A923,0),"")</f>
        <v/>
      </c>
      <c r="S243" s="54"/>
      <c r="T243" s="8" t="str">
        <f>IF(AND(NOT(ISBLANK(U243)),NOT(ISBLANK(V243)),NOT(ISBLANK(W243))),CONCATENATE("RUN-",'Process Ref'!$A$1,"_",TEXT(V243,"YYYY-MM-DD"),"_APS-",TEXT(W243,"000")),IFERROR(0/0,""))</f>
        <v/>
      </c>
      <c r="U243" s="8" t="str">
        <f t="shared" ref="U243:U246" si="81">IF(COUNTIF(U$2:U$144,V243)=0,V243,IFERROR(0/0,""))</f>
        <v/>
      </c>
      <c r="V243" s="190">
        <v>44560.0</v>
      </c>
      <c r="W243" s="191" t="str">
        <f t="shared" si="62"/>
        <v/>
      </c>
      <c r="X243" s="86"/>
      <c r="Z243" s="103"/>
      <c r="AG243" s="86"/>
      <c r="AJ243" s="86"/>
    </row>
    <row r="244">
      <c r="A244" s="8" t="s">
        <v>245</v>
      </c>
      <c r="B244" s="14">
        <v>44816.0</v>
      </c>
      <c r="C244" s="88" t="b">
        <f t="shared" si="2"/>
        <v>1</v>
      </c>
      <c r="D244" s="16" t="str">
        <f t="array" ref="D244">IF(OR(ISBLANK($A244),$C244),IFERROR(0/0,""),INDEX('RFR Data - preExcl'!E$2:E923,$R244,1))</f>
        <v/>
      </c>
      <c r="E244" s="16"/>
      <c r="F244" s="16" t="str">
        <f t="array" ref="F244">IF(OR(ISBLANK(A244),C244),IFERROR(0/0,""),INDEX('RFR Data - preExcl'!AC$2:AC923,$R244,1))</f>
        <v/>
      </c>
      <c r="G244" s="16" t="str">
        <f t="array" ref="G244">IF(OR(ISBLANK(A244),C244),IFERROR(0/0,""),INDEX('RFR Data - preExcl'!AK$2:AK923,$R244,1))</f>
        <v/>
      </c>
      <c r="H244" s="16" t="str">
        <f t="array" ref="H244">IF(OR(ISBLANK(A244),C244),IFERROR(0/0,""),INDEX('RFR Data - preExcl'!AL$2:AL923,$R244,1))</f>
        <v/>
      </c>
      <c r="I244" s="16">
        <f>IFERROR(VLOOKUP($B244,'APS Tubes by Date IMPORT'!$B$2:$J923,2,FALSE),"")</f>
        <v>2</v>
      </c>
      <c r="J244" s="16" t="b">
        <f>IFERROR(VLOOKUP($B244,'APS Tubes by Date IMPORT'!$B$2:$J923,9,FALSE),"")</f>
        <v>1</v>
      </c>
      <c r="K244" s="16">
        <f>IFNA(VLOOKUP($B244,'APS Tubes by Date IMPORT'!$B$2:$J923,6,FALSE),"")</f>
        <v>0</v>
      </c>
      <c r="L244" s="89">
        <f t="shared" si="79"/>
        <v>2</v>
      </c>
      <c r="M244" s="16"/>
      <c r="N244" s="90">
        <v>3.4</v>
      </c>
      <c r="O244" s="30" t="b">
        <f t="shared" si="74"/>
        <v>1</v>
      </c>
      <c r="P244" s="91" t="str">
        <f>IF(ISBLANK(N244),IFERROR(0/0,""),IFERROR(VLOOKUP(N244, 'Process Ref'!$A$76:$D$122, 2, FALSE), IFERROR(0/0,"")))</f>
        <v>Add Run from APS with no RFR (assume run on same day as Collect, ignore Result day)</v>
      </c>
      <c r="R244" s="92" t="str">
        <f>IFNA(MATCH(A244,'RFR Data - preExcl'!A$2:A923,0),"")</f>
        <v/>
      </c>
      <c r="S244" s="54"/>
      <c r="T244" s="8" t="str">
        <f>IF(AND(NOT(ISBLANK(U244)),NOT(ISBLANK(V244)),NOT(ISBLANK(W244))),CONCATENATE("RUN-",'Process Ref'!$A$1,"_",TEXT(V244,"YYYY-MM-DD"),"_APS-",TEXT(W244,"000")),IFERROR(0/0,""))</f>
        <v/>
      </c>
      <c r="U244" s="8" t="str">
        <f t="shared" si="81"/>
        <v/>
      </c>
      <c r="V244" s="190">
        <v>44561.0</v>
      </c>
      <c r="W244" s="191" t="str">
        <f t="shared" si="62"/>
        <v/>
      </c>
      <c r="X244" s="86"/>
      <c r="Z244" s="131"/>
      <c r="AA244" s="14"/>
      <c r="AG244" s="86"/>
      <c r="AJ244" s="86"/>
    </row>
    <row r="245">
      <c r="A245" s="8" t="s">
        <v>246</v>
      </c>
      <c r="B245" s="14">
        <v>44819.0</v>
      </c>
      <c r="C245" s="88" t="b">
        <f t="shared" si="2"/>
        <v>1</v>
      </c>
      <c r="D245" s="16" t="str">
        <f t="array" ref="D245">IF(OR(ISBLANK($A245),$C245),IFERROR(0/0,""),INDEX('RFR Data - preExcl'!E$2:E923,$R245,1))</f>
        <v/>
      </c>
      <c r="E245" s="16"/>
      <c r="F245" s="16" t="str">
        <f t="array" ref="F245">IF(OR(ISBLANK(A245),C245),IFERROR(0/0,""),INDEX('RFR Data - preExcl'!AC$2:AC923,$R245,1))</f>
        <v/>
      </c>
      <c r="G245" s="16" t="str">
        <f t="array" ref="G245">IF(OR(ISBLANK(A245),C245),IFERROR(0/0,""),INDEX('RFR Data - preExcl'!AK$2:AK923,$R245,1))</f>
        <v/>
      </c>
      <c r="H245" s="16" t="str">
        <f t="array" ref="H245">IF(OR(ISBLANK(A245),C245),IFERROR(0/0,""),INDEX('RFR Data - preExcl'!AL$2:AL923,$R245,1))</f>
        <v/>
      </c>
      <c r="I245" s="16">
        <f>IFERROR(VLOOKUP($B245,'APS Tubes by Date IMPORT'!$B$2:$J923,2,FALSE),"")</f>
        <v>2</v>
      </c>
      <c r="J245" s="16" t="str">
        <f>IFERROR(VLOOKUP($B245,'APS Tubes by Date IMPORT'!$B$2:$J923,9,FALSE),"")</f>
        <v/>
      </c>
      <c r="K245" s="16">
        <f>IFNA(VLOOKUP($B245,'APS Tubes by Date IMPORT'!$B$2:$J923,6,FALSE),"")</f>
        <v>0</v>
      </c>
      <c r="L245" s="89">
        <f t="shared" si="79"/>
        <v>2</v>
      </c>
      <c r="M245" s="16"/>
      <c r="N245" s="90">
        <v>3.4</v>
      </c>
      <c r="O245" s="30" t="b">
        <f t="shared" si="74"/>
        <v>1</v>
      </c>
      <c r="P245" s="91" t="str">
        <f>IF(ISBLANK(N245),IFERROR(0/0,""),IFERROR(VLOOKUP(N245, 'Process Ref'!$A$76:$D$122, 2, FALSE), IFERROR(0/0,"")))</f>
        <v>Add Run from APS with no RFR (assume run on same day as Collect, ignore Result day)</v>
      </c>
      <c r="R245" s="92" t="str">
        <f>IFNA(MATCH(A245,'RFR Data - preExcl'!A$2:A923,0),"")</f>
        <v/>
      </c>
      <c r="S245" s="54"/>
      <c r="T245" s="8" t="str">
        <f>IF(AND(NOT(ISBLANK(U245)),NOT(ISBLANK(V245)),NOT(ISBLANK(W245))),CONCATENATE("RUN-",'Process Ref'!$A$1,"_",TEXT(V245,"YYYY-MM-DD"),"_APS-",TEXT(W245,"000")),IFERROR(0/0,""))</f>
        <v/>
      </c>
      <c r="U245" s="8" t="str">
        <f t="shared" si="81"/>
        <v/>
      </c>
      <c r="V245" s="190">
        <v>44562.0</v>
      </c>
      <c r="W245" s="191" t="str">
        <f t="shared" si="62"/>
        <v/>
      </c>
      <c r="X245" s="86"/>
      <c r="Z245" s="103"/>
      <c r="AG245" s="86"/>
      <c r="AJ245" s="86"/>
    </row>
    <row r="246">
      <c r="A246" s="8" t="s">
        <v>247</v>
      </c>
      <c r="B246" s="14">
        <v>44823.0</v>
      </c>
      <c r="C246" s="88" t="b">
        <f t="shared" si="2"/>
        <v>1</v>
      </c>
      <c r="D246" s="16" t="str">
        <f t="array" ref="D246">IF(OR(ISBLANK($A246),$C246),IFERROR(0/0,""),INDEX('RFR Data - preExcl'!E$2:E923,$R246,1))</f>
        <v/>
      </c>
      <c r="E246" s="16"/>
      <c r="F246" s="16" t="str">
        <f t="array" ref="F246">IF(OR(ISBLANK(A246),C246),IFERROR(0/0,""),INDEX('RFR Data - preExcl'!AC$2:AC923,$R246,1))</f>
        <v/>
      </c>
      <c r="G246" s="16" t="str">
        <f t="array" ref="G246">IF(OR(ISBLANK(A246),C246),IFERROR(0/0,""),INDEX('RFR Data - preExcl'!AK$2:AK923,$R246,1))</f>
        <v/>
      </c>
      <c r="H246" s="16" t="str">
        <f t="array" ref="H246">IF(OR(ISBLANK(A246),C246),IFERROR(0/0,""),INDEX('RFR Data - preExcl'!AL$2:AL923,$R246,1))</f>
        <v/>
      </c>
      <c r="I246" s="16">
        <f>IFERROR(VLOOKUP($B246,'APS Tubes by Date IMPORT'!$B$2:$J923,2,FALSE),"")</f>
        <v>2</v>
      </c>
      <c r="J246" s="16" t="b">
        <f>IFERROR(VLOOKUP($B246,'APS Tubes by Date IMPORT'!$B$2:$J923,9,FALSE),"")</f>
        <v>1</v>
      </c>
      <c r="K246" s="16">
        <f>IFNA(VLOOKUP($B246,'APS Tubes by Date IMPORT'!$B$2:$J923,6,FALSE),"")</f>
        <v>0</v>
      </c>
      <c r="L246" s="89">
        <f t="shared" si="79"/>
        <v>2</v>
      </c>
      <c r="M246" s="16"/>
      <c r="N246" s="90">
        <v>3.4</v>
      </c>
      <c r="O246" s="30" t="b">
        <f t="shared" si="74"/>
        <v>1</v>
      </c>
      <c r="P246" s="91" t="str">
        <f>IF(ISBLANK(N246),IFERROR(0/0,""),IFERROR(VLOOKUP(N246, 'Process Ref'!$A$76:$D$122, 2, FALSE), IFERROR(0/0,"")))</f>
        <v>Add Run from APS with no RFR (assume run on same day as Collect, ignore Result day)</v>
      </c>
      <c r="R246" s="92" t="str">
        <f>IFNA(MATCH(A246,'RFR Data - preExcl'!A$2:A923,0),"")</f>
        <v/>
      </c>
      <c r="S246" s="54"/>
      <c r="T246" s="8" t="str">
        <f>IF(AND(NOT(ISBLANK(U246)),NOT(ISBLANK(V246)),NOT(ISBLANK(W246))),CONCATENATE("RUN-",'Process Ref'!$A$1,"_",TEXT(V246,"YYYY-MM-DD"),"_APS-",TEXT(W246,"000")),IFERROR(0/0,""))</f>
        <v/>
      </c>
      <c r="U246" s="8" t="str">
        <f t="shared" si="81"/>
        <v/>
      </c>
      <c r="V246" s="190">
        <v>44563.0</v>
      </c>
      <c r="W246" s="191" t="str">
        <f t="shared" si="62"/>
        <v/>
      </c>
      <c r="X246" s="86"/>
      <c r="Z246" s="131"/>
      <c r="AA246" s="14"/>
      <c r="AG246" s="86"/>
      <c r="AJ246" s="86"/>
    </row>
    <row r="247">
      <c r="A247" s="8" t="s">
        <v>248</v>
      </c>
      <c r="B247" s="14">
        <v>44826.0</v>
      </c>
      <c r="C247" s="88" t="b">
        <f t="shared" si="2"/>
        <v>1</v>
      </c>
      <c r="D247" s="16" t="str">
        <f t="array" ref="D247">IF(OR(ISBLANK($A247),$C247),IFERROR(0/0,""),INDEX('RFR Data - preExcl'!E$2:E923,$R247,1))</f>
        <v/>
      </c>
      <c r="E247" s="16"/>
      <c r="F247" s="16" t="str">
        <f t="array" ref="F247">IF(OR(ISBLANK(A247),C247),IFERROR(0/0,""),INDEX('RFR Data - preExcl'!AC$2:AC923,$R247,1))</f>
        <v/>
      </c>
      <c r="G247" s="16" t="str">
        <f t="array" ref="G247">IF(OR(ISBLANK(A247),C247),IFERROR(0/0,""),INDEX('RFR Data - preExcl'!AK$2:AK923,$R247,1))</f>
        <v/>
      </c>
      <c r="H247" s="16" t="str">
        <f t="array" ref="H247">IF(OR(ISBLANK(A247),C247),IFERROR(0/0,""),INDEX('RFR Data - preExcl'!AL$2:AL923,$R247,1))</f>
        <v/>
      </c>
      <c r="I247" s="16">
        <f>IFERROR(VLOOKUP($B247,'APS Tubes by Date IMPORT'!$B$2:$J923,2,FALSE),"")</f>
        <v>2</v>
      </c>
      <c r="J247" s="16" t="b">
        <f>IFERROR(VLOOKUP($B247,'APS Tubes by Date IMPORT'!$B$2:$J923,9,FALSE),"")</f>
        <v>1</v>
      </c>
      <c r="K247" s="16">
        <f>IFNA(VLOOKUP($B247,'APS Tubes by Date IMPORT'!$B$2:$J923,6,FALSE),"")</f>
        <v>0</v>
      </c>
      <c r="L247" s="89">
        <f t="shared" si="79"/>
        <v>2</v>
      </c>
      <c r="M247" s="16"/>
      <c r="N247" s="90">
        <v>3.4</v>
      </c>
      <c r="O247" s="30" t="b">
        <f t="shared" si="74"/>
        <v>1</v>
      </c>
      <c r="P247" s="91" t="str">
        <f>IF(ISBLANK(N247),IFERROR(0/0,""),IFERROR(VLOOKUP(N247, 'Process Ref'!$A$76:$D$122, 2, FALSE), IFERROR(0/0,"")))</f>
        <v>Add Run from APS with no RFR (assume run on same day as Collect, ignore Result day)</v>
      </c>
      <c r="R247" s="92" t="str">
        <f>IFNA(MATCH(A247,'RFR Data - preExcl'!A$2:A923,0),"")</f>
        <v/>
      </c>
      <c r="S247" s="54"/>
      <c r="T247" s="142" t="str">
        <f>IF(AND(NOT(ISBLANK(U247)),NOT(ISBLANK(V247)),NOT(ISBLANK(W247))),CONCATENATE("RUN-",'Process Ref'!$A$1,"_",TEXT(V247,"YYYY-MM-DD"),"_APS-",TEXT(W247,"000")),IFERROR(0/0,""))</f>
        <v>RUN-FLMP_2022-01-03_APS-078</v>
      </c>
      <c r="U247" s="219">
        <v>44564.0</v>
      </c>
      <c r="V247" s="216">
        <v>44564.0</v>
      </c>
      <c r="W247" s="191">
        <f t="shared" si="62"/>
        <v>78</v>
      </c>
      <c r="X247" s="86"/>
      <c r="Z247" s="103"/>
      <c r="AG247" s="86"/>
      <c r="AJ247" s="86"/>
    </row>
    <row r="248">
      <c r="A248" s="8" t="s">
        <v>249</v>
      </c>
      <c r="B248" s="14">
        <v>44830.0</v>
      </c>
      <c r="C248" s="88" t="b">
        <f t="shared" si="2"/>
        <v>1</v>
      </c>
      <c r="D248" s="16" t="str">
        <f t="array" ref="D248">IF(OR(ISBLANK($A248),$C248),IFERROR(0/0,""),INDEX('RFR Data - preExcl'!E$2:E923,$R248,1))</f>
        <v/>
      </c>
      <c r="E248" s="16"/>
      <c r="F248" s="16" t="str">
        <f t="array" ref="F248">IF(OR(ISBLANK(A248),C248),IFERROR(0/0,""),INDEX('RFR Data - preExcl'!AC$2:AC923,$R248,1))</f>
        <v/>
      </c>
      <c r="G248" s="16" t="str">
        <f t="array" ref="G248">IF(OR(ISBLANK(A248),C248),IFERROR(0/0,""),INDEX('RFR Data - preExcl'!AK$2:AK923,$R248,1))</f>
        <v/>
      </c>
      <c r="H248" s="16" t="str">
        <f t="array" ref="H248">IF(OR(ISBLANK(A248),C248),IFERROR(0/0,""),INDEX('RFR Data - preExcl'!AL$2:AL923,$R248,1))</f>
        <v/>
      </c>
      <c r="I248" s="16">
        <f>IFERROR(VLOOKUP($B248,'APS Tubes by Date IMPORT'!$B$2:$J923,2,FALSE),"")</f>
        <v>2</v>
      </c>
      <c r="J248" s="16" t="str">
        <f>IFERROR(VLOOKUP($B248,'APS Tubes by Date IMPORT'!$B$2:$J923,9,FALSE),"")</f>
        <v/>
      </c>
      <c r="K248" s="16">
        <f>IFNA(VLOOKUP($B248,'APS Tubes by Date IMPORT'!$B$2:$J923,6,FALSE),"")</f>
        <v>0</v>
      </c>
      <c r="L248" s="89">
        <f t="shared" si="79"/>
        <v>2</v>
      </c>
      <c r="M248" s="16"/>
      <c r="N248" s="90">
        <v>3.4</v>
      </c>
      <c r="O248" s="30" t="b">
        <f t="shared" si="74"/>
        <v>1</v>
      </c>
      <c r="P248" s="91" t="str">
        <f>IF(ISBLANK(N248),IFERROR(0/0,""),IFERROR(VLOOKUP(N248, 'Process Ref'!$A$76:$D$122, 2, FALSE), IFERROR(0/0,"")))</f>
        <v>Add Run from APS with no RFR (assume run on same day as Collect, ignore Result day)</v>
      </c>
      <c r="R248" s="92" t="str">
        <f>IFNA(MATCH(A248,'RFR Data - preExcl'!A$2:A923,0),"")</f>
        <v/>
      </c>
      <c r="S248" s="54"/>
      <c r="T248" s="8" t="str">
        <f>IF(AND(NOT(ISBLANK(U248)),NOT(ISBLANK(V248)),NOT(ISBLANK(W248))),CONCATENATE("RUN-",'Process Ref'!$A$1,"_",TEXT(V248,"YYYY-MM-DD"),"_APS-",TEXT(W248,"000")),IFERROR(0/0,""))</f>
        <v/>
      </c>
      <c r="U248" s="8" t="str">
        <f t="shared" ref="U248:U253" si="82">IF(COUNTIF(U$2:U$144,V248)=0,V248,IFERROR(0/0,""))</f>
        <v/>
      </c>
      <c r="V248" s="190">
        <v>44565.0</v>
      </c>
      <c r="W248" s="191" t="str">
        <f t="shared" si="62"/>
        <v/>
      </c>
      <c r="X248" s="86"/>
      <c r="Z248" s="131"/>
      <c r="AA248" s="14"/>
      <c r="AG248" s="86"/>
      <c r="AJ248" s="86"/>
    </row>
    <row r="249">
      <c r="A249" s="8" t="s">
        <v>250</v>
      </c>
      <c r="B249" s="14">
        <v>44833.0</v>
      </c>
      <c r="C249" s="88" t="b">
        <f t="shared" si="2"/>
        <v>1</v>
      </c>
      <c r="D249" s="16" t="str">
        <f t="array" ref="D249">IF(OR(ISBLANK($A249),$C249),IFERROR(0/0,""),INDEX('RFR Data - preExcl'!E$2:E923,$R249,1))</f>
        <v/>
      </c>
      <c r="E249" s="16"/>
      <c r="F249" s="16" t="str">
        <f t="array" ref="F249">IF(OR(ISBLANK(A249),C249),IFERROR(0/0,""),INDEX('RFR Data - preExcl'!AC$2:AC923,$R249,1))</f>
        <v/>
      </c>
      <c r="G249" s="16" t="str">
        <f t="array" ref="G249">IF(OR(ISBLANK(A249),C249),IFERROR(0/0,""),INDEX('RFR Data - preExcl'!AK$2:AK923,$R249,1))</f>
        <v/>
      </c>
      <c r="H249" s="16" t="str">
        <f t="array" ref="H249">IF(OR(ISBLANK(A249),C249),IFERROR(0/0,""),INDEX('RFR Data - preExcl'!AL$2:AL923,$R249,1))</f>
        <v/>
      </c>
      <c r="I249" s="16">
        <f>IFERROR(VLOOKUP($B249,'APS Tubes by Date IMPORT'!$B$2:$J923,2,FALSE),"")</f>
        <v>2</v>
      </c>
      <c r="J249" s="16" t="str">
        <f>IFERROR(VLOOKUP($B249,'APS Tubes by Date IMPORT'!$B$2:$J923,9,FALSE),"")</f>
        <v/>
      </c>
      <c r="K249" s="16">
        <f>IFNA(VLOOKUP($B249,'APS Tubes by Date IMPORT'!$B$2:$J923,6,FALSE),"")</f>
        <v>0</v>
      </c>
      <c r="L249" s="89">
        <f t="shared" si="79"/>
        <v>2</v>
      </c>
      <c r="M249" s="16"/>
      <c r="N249" s="90">
        <v>3.4</v>
      </c>
      <c r="O249" s="30" t="b">
        <f t="shared" si="74"/>
        <v>1</v>
      </c>
      <c r="P249" s="91" t="str">
        <f>IF(ISBLANK(N249),IFERROR(0/0,""),IFERROR(VLOOKUP(N249, 'Process Ref'!$A$76:$D$122, 2, FALSE), IFERROR(0/0,"")))</f>
        <v>Add Run from APS with no RFR (assume run on same day as Collect, ignore Result day)</v>
      </c>
      <c r="R249" s="92" t="str">
        <f>IFNA(MATCH(A249,'RFR Data - preExcl'!A$2:A923,0),"")</f>
        <v/>
      </c>
      <c r="S249" s="54"/>
      <c r="T249" s="143"/>
      <c r="U249" s="73">
        <f t="shared" si="82"/>
        <v>44566</v>
      </c>
      <c r="V249" s="220">
        <v>44566.0</v>
      </c>
      <c r="W249" s="221"/>
      <c r="X249" s="86"/>
      <c r="Z249" s="103"/>
      <c r="AG249" s="86"/>
      <c r="AJ249" s="86"/>
    </row>
    <row r="250">
      <c r="A250" s="8" t="s">
        <v>251</v>
      </c>
      <c r="B250" s="14">
        <v>44837.0</v>
      </c>
      <c r="C250" s="88" t="b">
        <f t="shared" si="2"/>
        <v>1</v>
      </c>
      <c r="D250" s="16" t="str">
        <f t="array" ref="D250">IF(OR(ISBLANK($A250),$C250),IFERROR(0/0,""),INDEX('RFR Data - preExcl'!E$2:E923,$R250,1))</f>
        <v/>
      </c>
      <c r="E250" s="16"/>
      <c r="F250" s="16" t="str">
        <f t="array" ref="F250">IF(OR(ISBLANK(A250),C250),IFERROR(0/0,""),INDEX('RFR Data - preExcl'!AC$2:AC923,$R250,1))</f>
        <v/>
      </c>
      <c r="G250" s="16" t="str">
        <f t="array" ref="G250">IF(OR(ISBLANK(A250),C250),IFERROR(0/0,""),INDEX('RFR Data - preExcl'!AK$2:AK923,$R250,1))</f>
        <v/>
      </c>
      <c r="H250" s="16" t="str">
        <f t="array" ref="H250">IF(OR(ISBLANK(A250),C250),IFERROR(0/0,""),INDEX('RFR Data - preExcl'!AL$2:AL923,$R250,1))</f>
        <v/>
      </c>
      <c r="I250" s="16">
        <f>IFERROR(VLOOKUP($B250,'APS Tubes by Date IMPORT'!$B$2:$J923,2,FALSE),"")</f>
        <v>1</v>
      </c>
      <c r="J250" s="16" t="str">
        <f>IFERROR(VLOOKUP($B250,'APS Tubes by Date IMPORT'!$B$2:$J923,9,FALSE),"")</f>
        <v/>
      </c>
      <c r="K250" s="16">
        <f>IFNA(VLOOKUP($B250,'APS Tubes by Date IMPORT'!$B$2:$J923,6,FALSE),"")</f>
        <v>0</v>
      </c>
      <c r="L250" s="89">
        <f t="shared" si="79"/>
        <v>1</v>
      </c>
      <c r="M250" s="16"/>
      <c r="N250" s="90">
        <v>3.4</v>
      </c>
      <c r="O250" s="30" t="b">
        <f t="shared" si="74"/>
        <v>1</v>
      </c>
      <c r="P250" s="91" t="str">
        <f>IF(ISBLANK(N250),IFERROR(0/0,""),IFERROR(VLOOKUP(N250, 'Process Ref'!$A$76:$D$122, 2, FALSE), IFERROR(0/0,"")))</f>
        <v>Add Run from APS with no RFR (assume run on same day as Collect, ignore Result day)</v>
      </c>
      <c r="R250" s="92" t="str">
        <f>IFNA(MATCH(A250,'RFR Data - preExcl'!A$2:A923,0),"")</f>
        <v/>
      </c>
      <c r="S250" s="54"/>
      <c r="T250" s="8" t="str">
        <f>IF(AND(NOT(ISBLANK(U250)),NOT(ISBLANK(V250)),NOT(ISBLANK(W250))),CONCATENATE("RUN-",'Process Ref'!$A$1,"_",TEXT(V250,"YYYY-MM-DD"),"_APS-",TEXT(W250,"000")),IFERROR(0/0,""))</f>
        <v/>
      </c>
      <c r="U250" s="8" t="str">
        <f t="shared" si="82"/>
        <v/>
      </c>
      <c r="V250" s="190">
        <v>44567.0</v>
      </c>
      <c r="W250" s="191" t="str">
        <f t="shared" ref="W250:W251" si="83">IF(NOT(ISBLANK(U250)),MAX(W$1:W249)+1,IFERROR(0/0,""))</f>
        <v/>
      </c>
      <c r="X250" s="86"/>
      <c r="Z250" s="131"/>
      <c r="AA250" s="14"/>
      <c r="AG250" s="86"/>
      <c r="AJ250" s="86"/>
    </row>
    <row r="251">
      <c r="A251" s="8" t="s">
        <v>252</v>
      </c>
      <c r="B251" s="14">
        <v>44840.0</v>
      </c>
      <c r="C251" s="88" t="b">
        <f t="shared" si="2"/>
        <v>1</v>
      </c>
      <c r="D251" s="16" t="str">
        <f t="array" ref="D251">IF(OR(ISBLANK($A251),$C251),IFERROR(0/0,""),INDEX('RFR Data - preExcl'!E$2:E923,$R251,1))</f>
        <v/>
      </c>
      <c r="E251" s="16"/>
      <c r="F251" s="16" t="str">
        <f t="array" ref="F251">IF(OR(ISBLANK(A251),C251),IFERROR(0/0,""),INDEX('RFR Data - preExcl'!AC$2:AC923,$R251,1))</f>
        <v/>
      </c>
      <c r="G251" s="16" t="str">
        <f t="array" ref="G251">IF(OR(ISBLANK(A251),C251),IFERROR(0/0,""),INDEX('RFR Data - preExcl'!AK$2:AK923,$R251,1))</f>
        <v/>
      </c>
      <c r="H251" s="16" t="str">
        <f t="array" ref="H251">IF(OR(ISBLANK(A251),C251),IFERROR(0/0,""),INDEX('RFR Data - preExcl'!AL$2:AL923,$R251,1))</f>
        <v/>
      </c>
      <c r="I251" s="16">
        <f>IFERROR(VLOOKUP($B251,'APS Tubes by Date IMPORT'!$B$2:$J923,2,FALSE),"")</f>
        <v>4</v>
      </c>
      <c r="J251" s="16" t="str">
        <f>IFERROR(VLOOKUP($B251,'APS Tubes by Date IMPORT'!$B$2:$J923,9,FALSE),"")</f>
        <v/>
      </c>
      <c r="K251" s="16">
        <f>IFNA(VLOOKUP($B251,'APS Tubes by Date IMPORT'!$B$2:$J923,6,FALSE),"")</f>
        <v>0</v>
      </c>
      <c r="L251" s="89">
        <f t="shared" si="79"/>
        <v>4</v>
      </c>
      <c r="M251" s="16"/>
      <c r="N251" s="90">
        <v>3.4</v>
      </c>
      <c r="O251" s="30" t="b">
        <f t="shared" si="74"/>
        <v>1</v>
      </c>
      <c r="P251" s="91" t="str">
        <f>IF(ISBLANK(N251),IFERROR(0/0,""),IFERROR(VLOOKUP(N251, 'Process Ref'!$A$76:$D$122, 2, FALSE), IFERROR(0/0,"")))</f>
        <v>Add Run from APS with no RFR (assume run on same day as Collect, ignore Result day)</v>
      </c>
      <c r="R251" s="92" t="str">
        <f>IFNA(MATCH(A251,'RFR Data - preExcl'!A$2:A923,0),"")</f>
        <v/>
      </c>
      <c r="S251" s="54"/>
      <c r="T251" s="8" t="str">
        <f>IF(AND(NOT(ISBLANK(U251)),NOT(ISBLANK(V251)),NOT(ISBLANK(W251))),CONCATENATE("RUN-",'Process Ref'!$A$1,"_",TEXT(V251,"YYYY-MM-DD"),"_APS-",TEXT(W251,"000")),IFERROR(0/0,""))</f>
        <v/>
      </c>
      <c r="U251" s="8" t="str">
        <f t="shared" si="82"/>
        <v/>
      </c>
      <c r="V251" s="190">
        <v>44569.0</v>
      </c>
      <c r="W251" s="191" t="str">
        <f t="shared" si="83"/>
        <v/>
      </c>
      <c r="X251" s="86"/>
      <c r="Z251" s="131"/>
      <c r="AA251" s="14"/>
      <c r="AG251" s="86"/>
      <c r="AJ251" s="86"/>
    </row>
    <row r="252">
      <c r="A252" s="8" t="s">
        <v>253</v>
      </c>
      <c r="B252" s="14">
        <v>44844.0</v>
      </c>
      <c r="C252" s="88" t="b">
        <f t="shared" si="2"/>
        <v>1</v>
      </c>
      <c r="D252" s="16" t="str">
        <f t="array" ref="D252">IF(OR(ISBLANK($A252),$C252),IFERROR(0/0,""),INDEX('RFR Data - preExcl'!E$2:E923,$R252,1))</f>
        <v/>
      </c>
      <c r="E252" s="16"/>
      <c r="F252" s="16" t="str">
        <f t="array" ref="F252">IF(OR(ISBLANK(A252),C252),IFERROR(0/0,""),INDEX('RFR Data - preExcl'!AC$2:AC923,$R252,1))</f>
        <v/>
      </c>
      <c r="G252" s="16" t="str">
        <f t="array" ref="G252">IF(OR(ISBLANK(A252),C252),IFERROR(0/0,""),INDEX('RFR Data - preExcl'!AK$2:AK923,$R252,1))</f>
        <v/>
      </c>
      <c r="H252" s="16" t="str">
        <f t="array" ref="H252">IF(OR(ISBLANK(A252),C252),IFERROR(0/0,""),INDEX('RFR Data - preExcl'!AL$2:AL923,$R252,1))</f>
        <v/>
      </c>
      <c r="I252" s="16">
        <f>IFERROR(VLOOKUP($B252,'APS Tubes by Date IMPORT'!$B$2:$J923,2,FALSE),"")</f>
        <v>3</v>
      </c>
      <c r="J252" s="16" t="b">
        <f>IFERROR(VLOOKUP($B252,'APS Tubes by Date IMPORT'!$B$2:$J923,9,FALSE),"")</f>
        <v>1</v>
      </c>
      <c r="K252" s="16">
        <f>IFNA(VLOOKUP($B252,'APS Tubes by Date IMPORT'!$B$2:$J923,6,FALSE),"")</f>
        <v>0</v>
      </c>
      <c r="L252" s="89">
        <f t="shared" si="79"/>
        <v>3</v>
      </c>
      <c r="M252" s="16"/>
      <c r="N252" s="90">
        <v>3.4</v>
      </c>
      <c r="O252" s="30" t="b">
        <f t="shared" si="74"/>
        <v>1</v>
      </c>
      <c r="P252" s="91" t="str">
        <f>IF(ISBLANK(N252),IFERROR(0/0,""),IFERROR(VLOOKUP(N252, 'Process Ref'!$A$76:$D$122, 2, FALSE), IFERROR(0/0,"")))</f>
        <v>Add Run from APS with no RFR (assume run on same day as Collect, ignore Result day)</v>
      </c>
      <c r="R252" s="92" t="str">
        <f>IFNA(MATCH(A252,'RFR Data - preExcl'!A$2:A923,0),"")</f>
        <v/>
      </c>
      <c r="S252" s="54"/>
      <c r="T252" s="143"/>
      <c r="U252" s="73">
        <f t="shared" si="82"/>
        <v>44570</v>
      </c>
      <c r="V252" s="220">
        <v>44570.0</v>
      </c>
      <c r="W252" s="221"/>
      <c r="X252" s="86"/>
      <c r="Z252" s="103"/>
      <c r="AG252" s="86"/>
      <c r="AJ252" s="86"/>
    </row>
    <row r="253">
      <c r="A253" s="8" t="s">
        <v>254</v>
      </c>
      <c r="B253" s="14">
        <v>44847.0</v>
      </c>
      <c r="C253" s="88" t="b">
        <f t="shared" si="2"/>
        <v>1</v>
      </c>
      <c r="D253" s="16" t="str">
        <f t="array" ref="D253">IF(OR(ISBLANK($A253),$C253),IFERROR(0/0,""),INDEX('RFR Data - preExcl'!E$2:E923,$R253,1))</f>
        <v/>
      </c>
      <c r="E253" s="16"/>
      <c r="F253" s="16" t="str">
        <f t="array" ref="F253">IF(OR(ISBLANK(A253),C253),IFERROR(0/0,""),INDEX('RFR Data - preExcl'!AC$2:AC923,$R253,1))</f>
        <v/>
      </c>
      <c r="G253" s="16" t="str">
        <f t="array" ref="G253">IF(OR(ISBLANK(A253),C253),IFERROR(0/0,""),INDEX('RFR Data - preExcl'!AK$2:AK923,$R253,1))</f>
        <v/>
      </c>
      <c r="H253" s="16" t="str">
        <f t="array" ref="H253">IF(OR(ISBLANK(A253),C253),IFERROR(0/0,""),INDEX('RFR Data - preExcl'!AL$2:AL923,$R253,1))</f>
        <v/>
      </c>
      <c r="I253" s="16">
        <f>IFERROR(VLOOKUP($B253,'APS Tubes by Date IMPORT'!$B$2:$J923,2,FALSE),"")</f>
        <v>2</v>
      </c>
      <c r="J253" s="16" t="str">
        <f>IFERROR(VLOOKUP($B253,'APS Tubes by Date IMPORT'!$B$2:$J923,9,FALSE),"")</f>
        <v/>
      </c>
      <c r="K253" s="16">
        <f>IFNA(VLOOKUP($B253,'APS Tubes by Date IMPORT'!$B$2:$J923,6,FALSE),"")</f>
        <v>0</v>
      </c>
      <c r="L253" s="89">
        <f t="shared" si="79"/>
        <v>2</v>
      </c>
      <c r="M253" s="16"/>
      <c r="N253" s="90">
        <v>3.4</v>
      </c>
      <c r="O253" s="30" t="b">
        <f t="shared" si="74"/>
        <v>1</v>
      </c>
      <c r="P253" s="91" t="str">
        <f>IF(ISBLANK(N253),IFERROR(0/0,""),IFERROR(VLOOKUP(N253, 'Process Ref'!$A$76:$D$122, 2, FALSE), IFERROR(0/0,"")))</f>
        <v>Add Run from APS with no RFR (assume run on same day as Collect, ignore Result day)</v>
      </c>
      <c r="R253" s="92" t="str">
        <f>IFNA(MATCH(A253,'RFR Data - preExcl'!A$2:A923,0),"")</f>
        <v/>
      </c>
      <c r="S253" s="54"/>
      <c r="T253" s="8" t="str">
        <f>IF(AND(NOT(ISBLANK(U253)),NOT(ISBLANK(V253)),NOT(ISBLANK(W253))),CONCATENATE("RUN-",'Process Ref'!$A$1,"_",TEXT(V253,"YYYY-MM-DD"),"_APS-",TEXT(W253,"000")),IFERROR(0/0,""))</f>
        <v/>
      </c>
      <c r="U253" s="8" t="str">
        <f t="shared" si="82"/>
        <v/>
      </c>
      <c r="V253" s="190">
        <v>44571.0</v>
      </c>
      <c r="W253" s="191" t="str">
        <f t="shared" ref="W253:W254" si="84">IF(NOT(ISBLANK(U253)),MAX(W$1:W252)+1,IFERROR(0/0,""))</f>
        <v/>
      </c>
      <c r="X253" s="86"/>
      <c r="Z253" s="103"/>
      <c r="AG253" s="86"/>
      <c r="AJ253" s="86"/>
    </row>
    <row r="254">
      <c r="A254" s="8" t="s">
        <v>255</v>
      </c>
      <c r="B254" s="14">
        <v>44851.0</v>
      </c>
      <c r="C254" s="88" t="b">
        <f t="shared" si="2"/>
        <v>1</v>
      </c>
      <c r="D254" s="16" t="str">
        <f t="array" ref="D254">IF(OR(ISBLANK($A254),$C254),IFERROR(0/0,""),INDEX('RFR Data - preExcl'!E$2:E923,$R254,1))</f>
        <v/>
      </c>
      <c r="E254" s="16"/>
      <c r="F254" s="16" t="str">
        <f t="array" ref="F254">IF(OR(ISBLANK(A254),C254),IFERROR(0/0,""),INDEX('RFR Data - preExcl'!AC$2:AC923,$R254,1))</f>
        <v/>
      </c>
      <c r="G254" s="16" t="str">
        <f t="array" ref="G254">IF(OR(ISBLANK(A254),C254),IFERROR(0/0,""),INDEX('RFR Data - preExcl'!AK$2:AK923,$R254,1))</f>
        <v/>
      </c>
      <c r="H254" s="16" t="str">
        <f t="array" ref="H254">IF(OR(ISBLANK(A254),C254),IFERROR(0/0,""),INDEX('RFR Data - preExcl'!AL$2:AL923,$R254,1))</f>
        <v/>
      </c>
      <c r="I254" s="16">
        <f>IFERROR(VLOOKUP($B254,'APS Tubes by Date IMPORT'!$B$2:$J923,2,FALSE),"")</f>
        <v>2</v>
      </c>
      <c r="J254" s="16" t="str">
        <f>IFERROR(VLOOKUP($B254,'APS Tubes by Date IMPORT'!$B$2:$J923,9,FALSE),"")</f>
        <v/>
      </c>
      <c r="K254" s="16">
        <f>IFNA(VLOOKUP($B254,'APS Tubes by Date IMPORT'!$B$2:$J923,6,FALSE),"")</f>
        <v>0</v>
      </c>
      <c r="L254" s="89">
        <f t="shared" si="79"/>
        <v>2</v>
      </c>
      <c r="M254" s="16"/>
      <c r="N254" s="90">
        <v>3.4</v>
      </c>
      <c r="O254" s="30" t="b">
        <f t="shared" si="74"/>
        <v>1</v>
      </c>
      <c r="P254" s="91" t="str">
        <f>IF(ISBLANK(N254),IFERROR(0/0,""),IFERROR(VLOOKUP(N254, 'Process Ref'!$A$76:$D$122, 2, FALSE), IFERROR(0/0,"")))</f>
        <v>Add Run from APS with no RFR (assume run on same day as Collect, ignore Result day)</v>
      </c>
      <c r="R254" s="92" t="str">
        <f>IFNA(MATCH(A254,'RFR Data - preExcl'!A$2:A923,0),"")</f>
        <v/>
      </c>
      <c r="S254" s="54"/>
      <c r="T254" s="142" t="str">
        <f>IF(AND(NOT(ISBLANK(U254)),NOT(ISBLANK(V254)),NOT(ISBLANK(W254))),CONCATENATE("RUN-",'Process Ref'!$A$1,"_",TEXT(V254,"YYYY-MM-DD"),"_APS-",TEXT(W254,"000")),IFERROR(0/0,""))</f>
        <v>RUN-FLMP_2022-01-11_APS-079</v>
      </c>
      <c r="U254" s="219">
        <v>44572.0</v>
      </c>
      <c r="V254" s="216">
        <v>44572.0</v>
      </c>
      <c r="W254" s="191">
        <f t="shared" si="84"/>
        <v>79</v>
      </c>
      <c r="X254" s="86"/>
      <c r="Z254" s="131"/>
      <c r="AA254" s="14"/>
      <c r="AG254" s="86"/>
      <c r="AJ254" s="86"/>
    </row>
    <row r="255">
      <c r="A255" s="8" t="s">
        <v>256</v>
      </c>
      <c r="B255" s="14">
        <v>44854.0</v>
      </c>
      <c r="C255" s="88" t="b">
        <f t="shared" si="2"/>
        <v>1</v>
      </c>
      <c r="D255" s="16" t="str">
        <f t="array" ref="D255">IF(OR(ISBLANK($A255),$C255),IFERROR(0/0,""),INDEX('RFR Data - preExcl'!E$2:E923,$R255,1))</f>
        <v/>
      </c>
      <c r="E255" s="16"/>
      <c r="F255" s="16" t="str">
        <f t="array" ref="F255">IF(OR(ISBLANK(A255),C255),IFERROR(0/0,""),INDEX('RFR Data - preExcl'!AC$2:AC923,$R255,1))</f>
        <v/>
      </c>
      <c r="G255" s="16" t="str">
        <f t="array" ref="G255">IF(OR(ISBLANK(A255),C255),IFERROR(0/0,""),INDEX('RFR Data - preExcl'!AK$2:AK923,$R255,1))</f>
        <v/>
      </c>
      <c r="H255" s="16" t="str">
        <f t="array" ref="H255">IF(OR(ISBLANK(A255),C255),IFERROR(0/0,""),INDEX('RFR Data - preExcl'!AL$2:AL923,$R255,1))</f>
        <v/>
      </c>
      <c r="I255" s="16">
        <f>IFERROR(VLOOKUP($B255,'APS Tubes by Date IMPORT'!$B$2:$J923,2,FALSE),"")</f>
        <v>2</v>
      </c>
      <c r="J255" s="16" t="str">
        <f>IFERROR(VLOOKUP($B255,'APS Tubes by Date IMPORT'!$B$2:$J923,9,FALSE),"")</f>
        <v/>
      </c>
      <c r="K255" s="16">
        <f>IFNA(VLOOKUP($B255,'APS Tubes by Date IMPORT'!$B$2:$J923,6,FALSE),"")</f>
        <v>0</v>
      </c>
      <c r="L255" s="89">
        <f t="shared" si="79"/>
        <v>2</v>
      </c>
      <c r="M255" s="16"/>
      <c r="N255" s="90">
        <v>3.4</v>
      </c>
      <c r="O255" s="30" t="b">
        <f t="shared" si="74"/>
        <v>1</v>
      </c>
      <c r="P255" s="91" t="str">
        <f>IF(ISBLANK(N255),IFERROR(0/0,""),IFERROR(VLOOKUP(N255, 'Process Ref'!$A$76:$D$122, 2, FALSE), IFERROR(0/0,"")))</f>
        <v>Add Run from APS with no RFR (assume run on same day as Collect, ignore Result day)</v>
      </c>
      <c r="R255" s="92" t="str">
        <f>IFNA(MATCH(A255,'RFR Data - preExcl'!A$2:A923,0),"")</f>
        <v/>
      </c>
      <c r="S255" s="54"/>
      <c r="T255" s="143"/>
      <c r="U255" s="73">
        <f t="shared" ref="U255:U323" si="85">IF(COUNTIF(U$2:U$144,V255)=0,V255,IFERROR(0/0,""))</f>
        <v>44573</v>
      </c>
      <c r="V255" s="220">
        <v>44573.0</v>
      </c>
      <c r="W255" s="221"/>
      <c r="X255" s="86"/>
      <c r="Z255" s="103"/>
      <c r="AG255" s="86"/>
      <c r="AJ255" s="86"/>
    </row>
    <row r="256">
      <c r="A256" s="8" t="s">
        <v>257</v>
      </c>
      <c r="B256" s="14">
        <v>44858.0</v>
      </c>
      <c r="C256" s="88" t="b">
        <f t="shared" si="2"/>
        <v>1</v>
      </c>
      <c r="D256" s="16" t="str">
        <f t="array" ref="D256">IF(OR(ISBLANK($A256),$C256),IFERROR(0/0,""),INDEX('RFR Data - preExcl'!E$2:E923,$R256,1))</f>
        <v/>
      </c>
      <c r="E256" s="16"/>
      <c r="F256" s="16" t="str">
        <f t="array" ref="F256">IF(OR(ISBLANK(A256),C256),IFERROR(0/0,""),INDEX('RFR Data - preExcl'!AC$2:AC923,$R256,1))</f>
        <v/>
      </c>
      <c r="G256" s="16" t="str">
        <f t="array" ref="G256">IF(OR(ISBLANK(A256),C256),IFERROR(0/0,""),INDEX('RFR Data - preExcl'!AK$2:AK923,$R256,1))</f>
        <v/>
      </c>
      <c r="H256" s="16" t="str">
        <f t="array" ref="H256">IF(OR(ISBLANK(A256),C256),IFERROR(0/0,""),INDEX('RFR Data - preExcl'!AL$2:AL923,$R256,1))</f>
        <v/>
      </c>
      <c r="I256" s="16">
        <f>IFERROR(VLOOKUP($B256,'APS Tubes by Date IMPORT'!$B$2:$J923,2,FALSE),"")</f>
        <v>3</v>
      </c>
      <c r="J256" s="16" t="b">
        <f>IFERROR(VLOOKUP($B256,'APS Tubes by Date IMPORT'!$B$2:$J923,9,FALSE),"")</f>
        <v>1</v>
      </c>
      <c r="K256" s="16">
        <f>IFNA(VLOOKUP($B256,'APS Tubes by Date IMPORT'!$B$2:$J923,6,FALSE),"")</f>
        <v>0</v>
      </c>
      <c r="L256" s="89">
        <f t="shared" si="79"/>
        <v>3</v>
      </c>
      <c r="M256" s="16"/>
      <c r="N256" s="90">
        <v>3.4</v>
      </c>
      <c r="O256" s="30" t="b">
        <f t="shared" si="74"/>
        <v>1</v>
      </c>
      <c r="P256" s="91" t="str">
        <f>IF(ISBLANK(N256),IFERROR(0/0,""),IFERROR(VLOOKUP(N256, 'Process Ref'!$A$76:$D$122, 2, FALSE), IFERROR(0/0,"")))</f>
        <v>Add Run from APS with no RFR (assume run on same day as Collect, ignore Result day)</v>
      </c>
      <c r="R256" s="92" t="str">
        <f>IFNA(MATCH(A256,'RFR Data - preExcl'!A$2:A923,0),"")</f>
        <v/>
      </c>
      <c r="S256" s="54"/>
      <c r="T256" s="8" t="str">
        <f>IF(AND(NOT(ISBLANK(U256)),NOT(ISBLANK(V256)),NOT(ISBLANK(W256))),CONCATENATE("RUN-",'Process Ref'!$A$1,"_",TEXT(V256,"YYYY-MM-DD"),"_APS-",TEXT(W256,"000")),IFERROR(0/0,""))</f>
        <v/>
      </c>
      <c r="U256" s="8" t="str">
        <f t="shared" si="85"/>
        <v/>
      </c>
      <c r="V256" s="190">
        <v>44574.0</v>
      </c>
      <c r="W256" s="191" t="str">
        <f t="shared" ref="W256:W260" si="86">IF(NOT(ISBLANK(U256)),MAX(W$1:W255)+1,IFERROR(0/0,""))</f>
        <v/>
      </c>
      <c r="X256" s="86"/>
      <c r="Z256" s="131"/>
      <c r="AA256" s="14"/>
      <c r="AG256" s="86"/>
      <c r="AJ256" s="86"/>
    </row>
    <row r="257">
      <c r="A257" s="8" t="s">
        <v>258</v>
      </c>
      <c r="B257" s="14">
        <v>44859.0</v>
      </c>
      <c r="C257" s="88" t="b">
        <f t="shared" si="2"/>
        <v>1</v>
      </c>
      <c r="D257" s="16" t="str">
        <f t="array" ref="D257">IF(OR(ISBLANK($A257),$C257),IFERROR(0/0,""),INDEX('RFR Data - preExcl'!E$2:E923,$R257,1))</f>
        <v/>
      </c>
      <c r="E257" s="16"/>
      <c r="F257" s="16" t="str">
        <f t="array" ref="F257">IF(OR(ISBLANK(A257),C257),IFERROR(0/0,""),INDEX('RFR Data - preExcl'!AC$2:AC923,$R257,1))</f>
        <v/>
      </c>
      <c r="G257" s="16" t="str">
        <f t="array" ref="G257">IF(OR(ISBLANK(A257),C257),IFERROR(0/0,""),INDEX('RFR Data - preExcl'!AK$2:AK923,$R257,1))</f>
        <v/>
      </c>
      <c r="H257" s="16" t="str">
        <f t="array" ref="H257">IF(OR(ISBLANK(A257),C257),IFERROR(0/0,""),INDEX('RFR Data - preExcl'!AL$2:AL923,$R257,1))</f>
        <v/>
      </c>
      <c r="I257" s="16">
        <f>IFERROR(VLOOKUP($B257,'APS Tubes by Date IMPORT'!$B$2:$J923,2,FALSE),"")</f>
        <v>1</v>
      </c>
      <c r="J257" s="16" t="str">
        <f>IFERROR(VLOOKUP($B257,'APS Tubes by Date IMPORT'!$B$2:$J923,9,FALSE),"")</f>
        <v/>
      </c>
      <c r="K257" s="16">
        <f>IFNA(VLOOKUP($B257,'APS Tubes by Date IMPORT'!$B$2:$J923,6,FALSE),"")</f>
        <v>0</v>
      </c>
      <c r="L257" s="89">
        <f t="shared" si="79"/>
        <v>1</v>
      </c>
      <c r="M257" s="16"/>
      <c r="N257" s="90">
        <v>3.4</v>
      </c>
      <c r="O257" s="30" t="b">
        <f t="shared" si="74"/>
        <v>1</v>
      </c>
      <c r="P257" s="91" t="str">
        <f>IF(ISBLANK(N257),IFERROR(0/0,""),IFERROR(VLOOKUP(N257, 'Process Ref'!$A$76:$D$122, 2, FALSE), IFERROR(0/0,"")))</f>
        <v>Add Run from APS with no RFR (assume run on same day as Collect, ignore Result day)</v>
      </c>
      <c r="R257" s="92" t="str">
        <f>IFNA(MATCH(A257,'RFR Data - preExcl'!A$2:A923,0),"")</f>
        <v/>
      </c>
      <c r="S257" s="54"/>
      <c r="T257" s="8" t="str">
        <f>IF(AND(NOT(ISBLANK(U257)),NOT(ISBLANK(V257)),NOT(ISBLANK(W257))),CONCATENATE("RUN-",'Process Ref'!$A$1,"_",TEXT(V257,"YYYY-MM-DD"),"_APS-",TEXT(W257,"000")),IFERROR(0/0,""))</f>
        <v/>
      </c>
      <c r="U257" s="8" t="str">
        <f t="shared" si="85"/>
        <v/>
      </c>
      <c r="V257" s="190">
        <v>44576.0</v>
      </c>
      <c r="W257" s="191" t="str">
        <f t="shared" si="86"/>
        <v/>
      </c>
      <c r="X257" s="86"/>
      <c r="Z257" s="103"/>
      <c r="AG257" s="86"/>
      <c r="AJ257" s="86"/>
    </row>
    <row r="258">
      <c r="A258" s="8" t="s">
        <v>259</v>
      </c>
      <c r="B258" s="14">
        <v>44861.0</v>
      </c>
      <c r="C258" s="88" t="b">
        <f t="shared" si="2"/>
        <v>1</v>
      </c>
      <c r="D258" s="16" t="str">
        <f t="array" ref="D258">IF(OR(ISBLANK($A258),$C258),IFERROR(0/0,""),INDEX('RFR Data - preExcl'!E$2:E923,$R258,1))</f>
        <v/>
      </c>
      <c r="E258" s="16"/>
      <c r="F258" s="16" t="str">
        <f t="array" ref="F258">IF(OR(ISBLANK(A258),C258),IFERROR(0/0,""),INDEX('RFR Data - preExcl'!AC$2:AC923,$R258,1))</f>
        <v/>
      </c>
      <c r="G258" s="16" t="str">
        <f t="array" ref="G258">IF(OR(ISBLANK(A258),C258),IFERROR(0/0,""),INDEX('RFR Data - preExcl'!AK$2:AK923,$R258,1))</f>
        <v/>
      </c>
      <c r="H258" s="16" t="str">
        <f t="array" ref="H258">IF(OR(ISBLANK(A258),C258),IFERROR(0/0,""),INDEX('RFR Data - preExcl'!AL$2:AL923,$R258,1))</f>
        <v/>
      </c>
      <c r="I258" s="16">
        <f>IFERROR(VLOOKUP($B258,'APS Tubes by Date IMPORT'!$B$2:$J923,2,FALSE),"")</f>
        <v>4</v>
      </c>
      <c r="J258" s="16" t="str">
        <f>IFERROR(VLOOKUP($B258,'APS Tubes by Date IMPORT'!$B$2:$J923,9,FALSE),"")</f>
        <v/>
      </c>
      <c r="K258" s="16">
        <f>IFNA(VLOOKUP($B258,'APS Tubes by Date IMPORT'!$B$2:$J923,6,FALSE),"")</f>
        <v>0</v>
      </c>
      <c r="L258" s="89">
        <f t="shared" si="79"/>
        <v>4</v>
      </c>
      <c r="M258" s="16"/>
      <c r="N258" s="90">
        <v>3.4</v>
      </c>
      <c r="O258" s="30" t="b">
        <f t="shared" si="74"/>
        <v>1</v>
      </c>
      <c r="P258" s="91" t="str">
        <f>IF(ISBLANK(N258),IFERROR(0/0,""),IFERROR(VLOOKUP(N258, 'Process Ref'!$A$76:$D$122, 2, FALSE), IFERROR(0/0,"")))</f>
        <v>Add Run from APS with no RFR (assume run on same day as Collect, ignore Result day)</v>
      </c>
      <c r="R258" s="92" t="str">
        <f>IFNA(MATCH(A258,'RFR Data - preExcl'!A$2:A923,0),"")</f>
        <v/>
      </c>
      <c r="S258" s="54"/>
      <c r="T258" s="222" t="str">
        <f>IF(AND(NOT(ISBLANK(U258)),NOT(ISBLANK(V258)),NOT(ISBLANK(W258))),CONCATENATE("RUN-",'Process Ref'!$A$1,"_",TEXT(V258,"YYYY-MM-DD"),"_APS-",TEXT(W258,"000")),IFERROR(0/0,""))</f>
        <v>RUN-FLMP_2022-01-16_APS-080</v>
      </c>
      <c r="U258" s="218">
        <f t="shared" si="85"/>
        <v>44577</v>
      </c>
      <c r="V258" s="190">
        <v>44577.0</v>
      </c>
      <c r="W258" s="191">
        <f t="shared" si="86"/>
        <v>80</v>
      </c>
      <c r="X258" s="86"/>
      <c r="Z258" s="103"/>
      <c r="AG258" s="86"/>
      <c r="AJ258" s="86"/>
    </row>
    <row r="259">
      <c r="A259" s="8" t="s">
        <v>260</v>
      </c>
      <c r="B259" s="14">
        <v>44865.0</v>
      </c>
      <c r="C259" s="88" t="b">
        <f t="shared" si="2"/>
        <v>1</v>
      </c>
      <c r="D259" s="16" t="str">
        <f t="array" ref="D259">IF(OR(ISBLANK($A259),$C259),IFERROR(0/0,""),INDEX('RFR Data - preExcl'!E$2:E923,$R259,1))</f>
        <v/>
      </c>
      <c r="E259" s="16"/>
      <c r="F259" s="16" t="str">
        <f t="array" ref="F259">IF(OR(ISBLANK(A259),C259),IFERROR(0/0,""),INDEX('RFR Data - preExcl'!AC$2:AC923,$R259,1))</f>
        <v/>
      </c>
      <c r="G259" s="16" t="str">
        <f t="array" ref="G259">IF(OR(ISBLANK(A259),C259),IFERROR(0/0,""),INDEX('RFR Data - preExcl'!AK$2:AK923,$R259,1))</f>
        <v/>
      </c>
      <c r="H259" s="16" t="str">
        <f t="array" ref="H259">IF(OR(ISBLANK(A259),C259),IFERROR(0/0,""),INDEX('RFR Data - preExcl'!AL$2:AL923,$R259,1))</f>
        <v/>
      </c>
      <c r="I259" s="16">
        <f>IFERROR(VLOOKUP($B259,'APS Tubes by Date IMPORT'!$B$2:$J923,2,FALSE),"")</f>
        <v>2</v>
      </c>
      <c r="J259" s="16" t="str">
        <f>IFERROR(VLOOKUP($B259,'APS Tubes by Date IMPORT'!$B$2:$J923,9,FALSE),"")</f>
        <v/>
      </c>
      <c r="K259" s="16">
        <f>IFNA(VLOOKUP($B259,'APS Tubes by Date IMPORT'!$B$2:$J923,6,FALSE),"")</f>
        <v>0</v>
      </c>
      <c r="L259" s="89">
        <f t="shared" si="79"/>
        <v>2</v>
      </c>
      <c r="M259" s="16"/>
      <c r="N259" s="90">
        <v>3.4</v>
      </c>
      <c r="O259" s="30" t="b">
        <f t="shared" si="74"/>
        <v>1</v>
      </c>
      <c r="P259" s="91" t="str">
        <f>IF(ISBLANK(N259),IFERROR(0/0,""),IFERROR(VLOOKUP(N259, 'Process Ref'!$A$76:$D$122, 2, FALSE), IFERROR(0/0,"")))</f>
        <v>Add Run from APS with no RFR (assume run on same day as Collect, ignore Result day)</v>
      </c>
      <c r="R259" s="92" t="str">
        <f>IFNA(MATCH(A259,'RFR Data - preExcl'!A$2:A923,0),"")</f>
        <v/>
      </c>
      <c r="S259" s="54"/>
      <c r="T259" s="8" t="str">
        <f>IF(AND(NOT(ISBLANK(U259)),NOT(ISBLANK(V259)),NOT(ISBLANK(W259))),CONCATENATE("RUN-",'Process Ref'!$A$1,"_",TEXT(V259,"YYYY-MM-DD"),"_APS-",TEXT(W259,"000")),IFERROR(0/0,""))</f>
        <v/>
      </c>
      <c r="U259" s="8" t="str">
        <f t="shared" si="85"/>
        <v/>
      </c>
      <c r="V259" s="190">
        <v>44578.0</v>
      </c>
      <c r="W259" s="191" t="str">
        <f t="shared" si="86"/>
        <v/>
      </c>
      <c r="X259" s="86"/>
      <c r="Z259" s="131"/>
      <c r="AA259" s="14"/>
      <c r="AG259" s="86"/>
      <c r="AJ259" s="86"/>
    </row>
    <row r="260">
      <c r="A260" s="8" t="s">
        <v>261</v>
      </c>
      <c r="B260" s="14">
        <v>44868.0</v>
      </c>
      <c r="C260" s="88" t="b">
        <f t="shared" si="2"/>
        <v>1</v>
      </c>
      <c r="D260" s="16" t="str">
        <f t="array" ref="D260">IF(OR(ISBLANK($A260),$C260),IFERROR(0/0,""),INDEX('RFR Data - preExcl'!E$2:E923,$R260,1))</f>
        <v/>
      </c>
      <c r="E260" s="16"/>
      <c r="F260" s="16" t="str">
        <f t="array" ref="F260">IF(OR(ISBLANK(A260),C260),IFERROR(0/0,""),INDEX('RFR Data - preExcl'!AC$2:AC923,$R260,1))</f>
        <v/>
      </c>
      <c r="G260" s="16" t="str">
        <f t="array" ref="G260">IF(OR(ISBLANK(A260),C260),IFERROR(0/0,""),INDEX('RFR Data - preExcl'!AK$2:AK923,$R260,1))</f>
        <v/>
      </c>
      <c r="H260" s="16" t="str">
        <f t="array" ref="H260">IF(OR(ISBLANK(A260),C260),IFERROR(0/0,""),INDEX('RFR Data - preExcl'!AL$2:AL923,$R260,1))</f>
        <v/>
      </c>
      <c r="I260" s="16">
        <f>IFERROR(VLOOKUP($B260,'APS Tubes by Date IMPORT'!$B$2:$J923,2,FALSE),"")</f>
        <v>3</v>
      </c>
      <c r="J260" s="16" t="b">
        <f>IFERROR(VLOOKUP($B260,'APS Tubes by Date IMPORT'!$B$2:$J923,9,FALSE),"")</f>
        <v>1</v>
      </c>
      <c r="K260" s="16">
        <f>IFNA(VLOOKUP($B260,'APS Tubes by Date IMPORT'!$B$2:$J923,6,FALSE),"")</f>
        <v>0</v>
      </c>
      <c r="L260" s="89">
        <f t="shared" si="79"/>
        <v>3</v>
      </c>
      <c r="M260" s="16"/>
      <c r="N260" s="90">
        <v>3.4</v>
      </c>
      <c r="O260" s="30" t="b">
        <f t="shared" si="74"/>
        <v>1</v>
      </c>
      <c r="P260" s="91" t="str">
        <f>IF(ISBLANK(N260),IFERROR(0/0,""),IFERROR(VLOOKUP(N260, 'Process Ref'!$A$76:$D$122, 2, FALSE), IFERROR(0/0,"")))</f>
        <v>Add Run from APS with no RFR (assume run on same day as Collect, ignore Result day)</v>
      </c>
      <c r="R260" s="92" t="str">
        <f>IFNA(MATCH(A260,'RFR Data - preExcl'!A$2:A923,0),"")</f>
        <v/>
      </c>
      <c r="S260" s="54"/>
      <c r="T260" s="8" t="str">
        <f>IF(AND(NOT(ISBLANK(U260)),NOT(ISBLANK(V260)),NOT(ISBLANK(W260))),CONCATENATE("RUN-",'Process Ref'!$A$1,"_",TEXT(V260,"YYYY-MM-DD"),"_APS-",TEXT(W260,"000")),IFERROR(0/0,""))</f>
        <v/>
      </c>
      <c r="U260" s="8" t="str">
        <f t="shared" si="85"/>
        <v/>
      </c>
      <c r="V260" s="190">
        <v>44579.0</v>
      </c>
      <c r="W260" s="191" t="str">
        <f t="shared" si="86"/>
        <v/>
      </c>
      <c r="X260" s="86"/>
      <c r="Z260" s="103"/>
      <c r="AG260" s="86"/>
      <c r="AJ260" s="86"/>
    </row>
    <row r="261">
      <c r="A261" s="8" t="s">
        <v>262</v>
      </c>
      <c r="B261" s="14">
        <v>44872.0</v>
      </c>
      <c r="C261" s="88" t="b">
        <f t="shared" si="2"/>
        <v>1</v>
      </c>
      <c r="D261" s="16" t="str">
        <f t="array" ref="D261">IF(OR(ISBLANK($A261),$C261),IFERROR(0/0,""),INDEX('RFR Data - preExcl'!E$2:E923,$R261,1))</f>
        <v/>
      </c>
      <c r="E261" s="16"/>
      <c r="F261" s="16" t="str">
        <f t="array" ref="F261">IF(OR(ISBLANK(A261),C261),IFERROR(0/0,""),INDEX('RFR Data - preExcl'!AC$2:AC923,$R261,1))</f>
        <v/>
      </c>
      <c r="G261" s="16" t="str">
        <f t="array" ref="G261">IF(OR(ISBLANK(A261),C261),IFERROR(0/0,""),INDEX('RFR Data - preExcl'!AK$2:AK923,$R261,1))</f>
        <v/>
      </c>
      <c r="H261" s="16" t="str">
        <f t="array" ref="H261">IF(OR(ISBLANK(A261),C261),IFERROR(0/0,""),INDEX('RFR Data - preExcl'!AL$2:AL923,$R261,1))</f>
        <v/>
      </c>
      <c r="I261" s="16">
        <f>IFERROR(VLOOKUP($B261,'APS Tubes by Date IMPORT'!$B$2:$J923,2,FALSE),"")</f>
        <v>3</v>
      </c>
      <c r="J261" s="16" t="b">
        <f>IFERROR(VLOOKUP($B261,'APS Tubes by Date IMPORT'!$B$2:$J923,9,FALSE),"")</f>
        <v>1</v>
      </c>
      <c r="K261" s="16">
        <f>IFNA(VLOOKUP($B261,'APS Tubes by Date IMPORT'!$B$2:$J923,6,FALSE),"")</f>
        <v>0</v>
      </c>
      <c r="L261" s="89">
        <f t="shared" si="79"/>
        <v>3</v>
      </c>
      <c r="M261" s="16"/>
      <c r="N261" s="90">
        <v>3.4</v>
      </c>
      <c r="O261" s="30" t="b">
        <f t="shared" si="74"/>
        <v>1</v>
      </c>
      <c r="P261" s="91" t="str">
        <f>IF(ISBLANK(N261),IFERROR(0/0,""),IFERROR(VLOOKUP(N261, 'Process Ref'!$A$76:$D$122, 2, FALSE), IFERROR(0/0,"")))</f>
        <v>Add Run from APS with no RFR (assume run on same day as Collect, ignore Result day)</v>
      </c>
      <c r="R261" s="92" t="str">
        <f>IFNA(MATCH(A261,'RFR Data - preExcl'!A$2:A923,0),"")</f>
        <v/>
      </c>
      <c r="S261" s="54"/>
      <c r="T261" s="143" t="str">
        <f>IF(AND(NOT(ISBLANK(U261)),NOT(ISBLANK(V261)),NOT(ISBLANK(W261))),CONCATENATE("RUN-",'Process Ref'!$A$1,"_",TEXT(V261,"YYYY-MM-DD"),"_APS-",TEXT(W261,"000")),IFERROR(0/0,""))</f>
        <v/>
      </c>
      <c r="U261" s="73">
        <f t="shared" si="85"/>
        <v>44580</v>
      </c>
      <c r="V261" s="220">
        <v>44580.0</v>
      </c>
      <c r="W261" s="221"/>
      <c r="X261" s="86"/>
      <c r="Z261" s="131"/>
      <c r="AA261" s="14"/>
      <c r="AG261" s="86"/>
      <c r="AJ261" s="86"/>
    </row>
    <row r="262">
      <c r="A262" s="8" t="s">
        <v>263</v>
      </c>
      <c r="B262" s="14">
        <v>44875.0</v>
      </c>
      <c r="C262" s="88" t="b">
        <f t="shared" si="2"/>
        <v>1</v>
      </c>
      <c r="D262" s="16" t="str">
        <f t="array" ref="D262">IF(OR(ISBLANK($A262),$C262),IFERROR(0/0,""),INDEX('RFR Data - preExcl'!E$2:E923,$R262,1))</f>
        <v/>
      </c>
      <c r="E262" s="16"/>
      <c r="F262" s="16" t="str">
        <f t="array" ref="F262">IF(OR(ISBLANK(A262),C262),IFERROR(0/0,""),INDEX('RFR Data - preExcl'!AC$2:AC923,$R262,1))</f>
        <v/>
      </c>
      <c r="G262" s="16" t="str">
        <f t="array" ref="G262">IF(OR(ISBLANK(A262),C262),IFERROR(0/0,""),INDEX('RFR Data - preExcl'!AK$2:AK923,$R262,1))</f>
        <v/>
      </c>
      <c r="H262" s="16" t="str">
        <f t="array" ref="H262">IF(OR(ISBLANK(A262),C262),IFERROR(0/0,""),INDEX('RFR Data - preExcl'!AL$2:AL923,$R262,1))</f>
        <v/>
      </c>
      <c r="I262" s="16">
        <f>IFERROR(VLOOKUP($B262,'APS Tubes by Date IMPORT'!$B$2:$J923,2,FALSE),"")</f>
        <v>2</v>
      </c>
      <c r="J262" s="16" t="str">
        <f>IFERROR(VLOOKUP($B262,'APS Tubes by Date IMPORT'!$B$2:$J923,9,FALSE),"")</f>
        <v/>
      </c>
      <c r="K262" s="16">
        <f>IFNA(VLOOKUP($B262,'APS Tubes by Date IMPORT'!$B$2:$J923,6,FALSE),"")</f>
        <v>0</v>
      </c>
      <c r="L262" s="89">
        <f t="shared" si="79"/>
        <v>2</v>
      </c>
      <c r="M262" s="16"/>
      <c r="N262" s="90">
        <v>3.4</v>
      </c>
      <c r="O262" s="30" t="b">
        <f t="shared" si="74"/>
        <v>1</v>
      </c>
      <c r="P262" s="91" t="str">
        <f>IF(ISBLANK(N262),IFERROR(0/0,""),IFERROR(VLOOKUP(N262, 'Process Ref'!$A$76:$D$122, 2, FALSE), IFERROR(0/0,"")))</f>
        <v>Add Run from APS with no RFR (assume run on same day as Collect, ignore Result day)</v>
      </c>
      <c r="R262" s="92" t="str">
        <f>IFNA(MATCH(A262,'RFR Data - preExcl'!A$2:A923,0),"")</f>
        <v/>
      </c>
      <c r="S262" s="54"/>
      <c r="T262" s="8" t="str">
        <f>IF(AND(NOT(ISBLANK(U262)),NOT(ISBLANK(V262)),NOT(ISBLANK(W262))),CONCATENATE("RUN-",'Process Ref'!$A$1,"_",TEXT(V262,"YYYY-MM-DD"),"_APS-",TEXT(W262,"000")),IFERROR(0/0,""))</f>
        <v/>
      </c>
      <c r="U262" s="8" t="str">
        <f t="shared" si="85"/>
        <v/>
      </c>
      <c r="V262" s="190">
        <v>44581.0</v>
      </c>
      <c r="W262" s="191" t="str">
        <f t="shared" ref="W262:W263" si="87">IF(NOT(ISBLANK(U262)),MAX(W$1:W261)+1,IFERROR(0/0,""))</f>
        <v/>
      </c>
      <c r="X262" s="86"/>
      <c r="Z262" s="103"/>
      <c r="AG262" s="86"/>
      <c r="AJ262" s="86"/>
    </row>
    <row r="263">
      <c r="A263" s="8" t="s">
        <v>264</v>
      </c>
      <c r="B263" s="14">
        <v>44879.0</v>
      </c>
      <c r="C263" s="88" t="b">
        <f t="shared" si="2"/>
        <v>1</v>
      </c>
      <c r="D263" s="16" t="str">
        <f t="array" ref="D263">IF(OR(ISBLANK($A263),$C263),IFERROR(0/0,""),INDEX('RFR Data - preExcl'!E$2:E923,$R263,1))</f>
        <v/>
      </c>
      <c r="E263" s="16"/>
      <c r="F263" s="16" t="str">
        <f t="array" ref="F263">IF(OR(ISBLANK(A263),C263),IFERROR(0/0,""),INDEX('RFR Data - preExcl'!AC$2:AC923,$R263,1))</f>
        <v/>
      </c>
      <c r="G263" s="16" t="str">
        <f t="array" ref="G263">IF(OR(ISBLANK(A263),C263),IFERROR(0/0,""),INDEX('RFR Data - preExcl'!AK$2:AK923,$R263,1))</f>
        <v/>
      </c>
      <c r="H263" s="16" t="str">
        <f t="array" ref="H263">IF(OR(ISBLANK(A263),C263),IFERROR(0/0,""),INDEX('RFR Data - preExcl'!AL$2:AL923,$R263,1))</f>
        <v/>
      </c>
      <c r="I263" s="16">
        <f>IFERROR(VLOOKUP($B263,'APS Tubes by Date IMPORT'!$B$2:$J923,2,FALSE),"")</f>
        <v>5</v>
      </c>
      <c r="J263" s="16" t="b">
        <f>IFERROR(VLOOKUP($B263,'APS Tubes by Date IMPORT'!$B$2:$J923,9,FALSE),"")</f>
        <v>1</v>
      </c>
      <c r="K263" s="16">
        <f>IFNA(VLOOKUP($B263,'APS Tubes by Date IMPORT'!$B$2:$J923,6,FALSE),"")</f>
        <v>0</v>
      </c>
      <c r="L263" s="89">
        <f t="shared" si="79"/>
        <v>5</v>
      </c>
      <c r="M263" s="16"/>
      <c r="N263" s="90">
        <v>3.4</v>
      </c>
      <c r="O263" s="30" t="b">
        <f t="shared" si="74"/>
        <v>1</v>
      </c>
      <c r="P263" s="91" t="str">
        <f>IF(ISBLANK(N263),IFERROR(0/0,""),IFERROR(VLOOKUP(N263, 'Process Ref'!$A$76:$D$122, 2, FALSE), IFERROR(0/0,"")))</f>
        <v>Add Run from APS with no RFR (assume run on same day as Collect, ignore Result day)</v>
      </c>
      <c r="Q263" s="8" t="s">
        <v>386</v>
      </c>
      <c r="R263" s="92" t="str">
        <f>IFNA(MATCH(A263,'RFR Data - preExcl'!A$2:A923,0),"")</f>
        <v/>
      </c>
      <c r="S263" s="54"/>
      <c r="T263" s="8" t="str">
        <f>IF(AND(NOT(ISBLANK(U263)),NOT(ISBLANK(V263)),NOT(ISBLANK(W263))),CONCATENATE("RUN-",'Process Ref'!$A$1,"_",TEXT(V263,"YYYY-MM-DD"),"_APS-",TEXT(W263,"000")),IFERROR(0/0,""))</f>
        <v/>
      </c>
      <c r="U263" s="8" t="str">
        <f t="shared" si="85"/>
        <v/>
      </c>
      <c r="V263" s="190">
        <v>44583.0</v>
      </c>
      <c r="W263" s="191" t="str">
        <f t="shared" si="87"/>
        <v/>
      </c>
      <c r="X263" s="86"/>
      <c r="Z263" s="131"/>
      <c r="AA263" s="14"/>
      <c r="AG263" s="86"/>
      <c r="AJ263" s="86"/>
    </row>
    <row r="264">
      <c r="A264" s="8" t="s">
        <v>265</v>
      </c>
      <c r="B264" s="14">
        <v>44886.0</v>
      </c>
      <c r="C264" s="88" t="b">
        <f t="shared" si="2"/>
        <v>1</v>
      </c>
      <c r="D264" s="16" t="str">
        <f t="array" ref="D264">IF(OR(ISBLANK($A264),$C264),IFERROR(0/0,""),INDEX('RFR Data - preExcl'!E$2:E923,$R264,1))</f>
        <v/>
      </c>
      <c r="E264" s="16"/>
      <c r="F264" s="16" t="str">
        <f t="array" ref="F264">IF(OR(ISBLANK(A264),C264),IFERROR(0/0,""),INDEX('RFR Data - preExcl'!AC$2:AC923,$R264,1))</f>
        <v/>
      </c>
      <c r="G264" s="16" t="str">
        <f t="array" ref="G264">IF(OR(ISBLANK(A264),C264),IFERROR(0/0,""),INDEX('RFR Data - preExcl'!AK$2:AK923,$R264,1))</f>
        <v/>
      </c>
      <c r="H264" s="16" t="str">
        <f t="array" ref="H264">IF(OR(ISBLANK(A264),C264),IFERROR(0/0,""),INDEX('RFR Data - preExcl'!AL$2:AL923,$R264,1))</f>
        <v/>
      </c>
      <c r="I264" s="16">
        <f>IFERROR(VLOOKUP($B264,'APS Tubes by Date IMPORT'!$B$2:$J923,2,FALSE),"")</f>
        <v>3</v>
      </c>
      <c r="J264" s="16" t="b">
        <f>IFERROR(VLOOKUP($B264,'APS Tubes by Date IMPORT'!$B$2:$J923,9,FALSE),"")</f>
        <v>1</v>
      </c>
      <c r="K264" s="16">
        <f>IFNA(VLOOKUP($B264,'APS Tubes by Date IMPORT'!$B$2:$J923,6,FALSE),"")</f>
        <v>0</v>
      </c>
      <c r="L264" s="89">
        <f t="shared" si="79"/>
        <v>3</v>
      </c>
      <c r="M264" s="16"/>
      <c r="N264" s="90">
        <v>3.4</v>
      </c>
      <c r="O264" s="30" t="b">
        <f t="shared" si="74"/>
        <v>1</v>
      </c>
      <c r="P264" s="91" t="str">
        <f>IF(ISBLANK(N264),IFERROR(0/0,""),IFERROR(VLOOKUP(N264, 'Process Ref'!$A$76:$D$122, 2, FALSE), IFERROR(0/0,"")))</f>
        <v>Add Run from APS with no RFR (assume run on same day as Collect, ignore Result day)</v>
      </c>
      <c r="Q264" s="8" t="s">
        <v>386</v>
      </c>
      <c r="R264" s="92" t="str">
        <f>IFNA(MATCH(A264,'RFR Data - preExcl'!A$2:A923,0),"")</f>
        <v/>
      </c>
      <c r="S264" s="54"/>
      <c r="T264" s="143" t="str">
        <f>IF(AND(NOT(ISBLANK(U264)),NOT(ISBLANK(V264)),NOT(ISBLANK(W264))),CONCATENATE("RUN-",'Process Ref'!$A$1,"_",TEXT(V264,"YYYY-MM-DD"),"_APS-",TEXT(W264,"000")),IFERROR(0/0,""))</f>
        <v/>
      </c>
      <c r="U264" s="73">
        <f t="shared" si="85"/>
        <v>44584</v>
      </c>
      <c r="V264" s="220">
        <v>44584.0</v>
      </c>
      <c r="W264" s="221"/>
      <c r="X264" s="86"/>
      <c r="Z264" s="131"/>
      <c r="AA264" s="14"/>
      <c r="AG264" s="86"/>
      <c r="AJ264" s="86"/>
    </row>
    <row r="265">
      <c r="A265" s="8" t="s">
        <v>266</v>
      </c>
      <c r="B265" s="14">
        <v>44894.0</v>
      </c>
      <c r="C265" s="88" t="b">
        <f t="shared" si="2"/>
        <v>1</v>
      </c>
      <c r="D265" s="16" t="str">
        <f t="array" ref="D265">IF(OR(ISBLANK($A265),$C265),IFERROR(0/0,""),INDEX('RFR Data - preExcl'!E$2:E923,$R265,1))</f>
        <v/>
      </c>
      <c r="E265" s="16"/>
      <c r="F265" s="16" t="str">
        <f t="array" ref="F265">IF(OR(ISBLANK(A265),C265),IFERROR(0/0,""),INDEX('RFR Data - preExcl'!AC$2:AC923,$R265,1))</f>
        <v/>
      </c>
      <c r="G265" s="16" t="str">
        <f t="array" ref="G265">IF(OR(ISBLANK(A265),C265),IFERROR(0/0,""),INDEX('RFR Data - preExcl'!AK$2:AK923,$R265,1))</f>
        <v/>
      </c>
      <c r="H265" s="16" t="str">
        <f t="array" ref="H265">IF(OR(ISBLANK(A265),C265),IFERROR(0/0,""),INDEX('RFR Data - preExcl'!AL$2:AL923,$R265,1))</f>
        <v/>
      </c>
      <c r="I265" s="16">
        <f>IFERROR(VLOOKUP($B265,'APS Tubes by Date IMPORT'!$B$2:$J923,2,FALSE),"")</f>
        <v>2</v>
      </c>
      <c r="J265" s="16" t="str">
        <f>IFERROR(VLOOKUP($B265,'APS Tubes by Date IMPORT'!$B$2:$J923,9,FALSE),"")</f>
        <v/>
      </c>
      <c r="K265" s="16">
        <f>IFNA(VLOOKUP($B265,'APS Tubes by Date IMPORT'!$B$2:$J923,6,FALSE),"")</f>
        <v>0</v>
      </c>
      <c r="L265" s="89">
        <f t="shared" si="79"/>
        <v>2</v>
      </c>
      <c r="M265" s="16"/>
      <c r="N265" s="90">
        <v>3.4</v>
      </c>
      <c r="O265" s="30" t="b">
        <f t="shared" si="74"/>
        <v>1</v>
      </c>
      <c r="P265" s="91" t="str">
        <f>IF(ISBLANK(N265),IFERROR(0/0,""),IFERROR(VLOOKUP(N265, 'Process Ref'!$A$76:$D$122, 2, FALSE), IFERROR(0/0,"")))</f>
        <v>Add Run from APS with no RFR (assume run on same day as Collect, ignore Result day)</v>
      </c>
      <c r="R265" s="92" t="str">
        <f>IFNA(MATCH(A265,'RFR Data - preExcl'!A$2:A923,0),"")</f>
        <v/>
      </c>
      <c r="S265" s="54"/>
      <c r="T265" s="8" t="str">
        <f>IF(AND(NOT(ISBLANK(U265)),NOT(ISBLANK(V265)),NOT(ISBLANK(W265))),CONCATENATE("RUN-",'Process Ref'!$A$1,"_",TEXT(V265,"YYYY-MM-DD"),"_APS-",TEXT(W265,"000")),IFERROR(0/0,""))</f>
        <v/>
      </c>
      <c r="U265" s="8" t="str">
        <f t="shared" si="85"/>
        <v/>
      </c>
      <c r="V265" s="190">
        <v>44585.0</v>
      </c>
      <c r="W265" s="191" t="str">
        <f t="shared" ref="W265:W269" si="88">IF(NOT(ISBLANK(U265)),MAX(W$1:W264)+1,IFERROR(0/0,""))</f>
        <v/>
      </c>
      <c r="X265" s="86"/>
      <c r="Z265" s="103"/>
      <c r="AG265" s="86"/>
      <c r="AJ265" s="86"/>
    </row>
    <row r="266">
      <c r="A266" s="8" t="s">
        <v>267</v>
      </c>
      <c r="B266" s="14">
        <v>44896.0</v>
      </c>
      <c r="C266" s="88" t="b">
        <f t="shared" si="2"/>
        <v>1</v>
      </c>
      <c r="D266" s="16" t="str">
        <f t="array" ref="D266">IF(OR(ISBLANK($A266),$C266),IFERROR(0/0,""),INDEX('RFR Data - preExcl'!E$2:E923,$R266,1))</f>
        <v/>
      </c>
      <c r="E266" s="16"/>
      <c r="F266" s="16" t="str">
        <f t="array" ref="F266">IF(OR(ISBLANK(A266),C266),IFERROR(0/0,""),INDEX('RFR Data - preExcl'!AC$2:AC923,$R266,1))</f>
        <v/>
      </c>
      <c r="G266" s="16" t="str">
        <f t="array" ref="G266">IF(OR(ISBLANK(A266),C266),IFERROR(0/0,""),INDEX('RFR Data - preExcl'!AK$2:AK923,$R266,1))</f>
        <v/>
      </c>
      <c r="H266" s="16" t="str">
        <f t="array" ref="H266">IF(OR(ISBLANK(A266),C266),IFERROR(0/0,""),INDEX('RFR Data - preExcl'!AL$2:AL923,$R266,1))</f>
        <v/>
      </c>
      <c r="I266" s="16">
        <f>IFERROR(VLOOKUP($B266,'APS Tubes by Date IMPORT'!$B$2:$J923,2,FALSE),"")</f>
        <v>3</v>
      </c>
      <c r="J266" s="16" t="str">
        <f>IFERROR(VLOOKUP($B266,'APS Tubes by Date IMPORT'!$B$2:$J923,9,FALSE),"")</f>
        <v/>
      </c>
      <c r="K266" s="16">
        <f>IFNA(VLOOKUP($B266,'APS Tubes by Date IMPORT'!$B$2:$J923,6,FALSE),"")</f>
        <v>0</v>
      </c>
      <c r="L266" s="89">
        <f t="shared" si="79"/>
        <v>3</v>
      </c>
      <c r="M266" s="16"/>
      <c r="N266" s="90">
        <v>3.4</v>
      </c>
      <c r="O266" s="30" t="b">
        <f t="shared" si="74"/>
        <v>1</v>
      </c>
      <c r="P266" s="91" t="str">
        <f>IF(ISBLANK(N266),IFERROR(0/0,""),IFERROR(VLOOKUP(N266, 'Process Ref'!$A$76:$D$122, 2, FALSE), IFERROR(0/0,"")))</f>
        <v>Add Run from APS with no RFR (assume run on same day as Collect, ignore Result day)</v>
      </c>
      <c r="R266" s="92" t="str">
        <f>IFNA(MATCH(A266,'RFR Data - preExcl'!A$2:A923,0),"")</f>
        <v/>
      </c>
      <c r="S266" s="54"/>
      <c r="T266" s="8" t="str">
        <f>IF(AND(NOT(ISBLANK(U266)),NOT(ISBLANK(V266)),NOT(ISBLANK(W266))),CONCATENATE("RUN-",'Process Ref'!$A$1,"_",TEXT(V266,"YYYY-MM-DD"),"_APS-",TEXT(W266,"000")),IFERROR(0/0,""))</f>
        <v/>
      </c>
      <c r="U266" s="8" t="str">
        <f t="shared" si="85"/>
        <v/>
      </c>
      <c r="V266" s="190">
        <v>44586.0</v>
      </c>
      <c r="W266" s="191" t="str">
        <f t="shared" si="88"/>
        <v/>
      </c>
      <c r="X266" s="86"/>
      <c r="Z266" s="131"/>
      <c r="AA266" s="14"/>
      <c r="AG266" s="86"/>
      <c r="AJ266" s="86"/>
    </row>
    <row r="267">
      <c r="A267" s="8" t="s">
        <v>268</v>
      </c>
      <c r="B267" s="14">
        <v>44903.0</v>
      </c>
      <c r="C267" s="88" t="b">
        <f t="shared" si="2"/>
        <v>1</v>
      </c>
      <c r="D267" s="16" t="str">
        <f t="array" ref="D267">IF(OR(ISBLANK($A267),$C267),IFERROR(0/0,""),INDEX('RFR Data - preExcl'!E$2:E923,$R267,1))</f>
        <v/>
      </c>
      <c r="E267" s="16"/>
      <c r="F267" s="16" t="str">
        <f t="array" ref="F267">IF(OR(ISBLANK(A267),C267),IFERROR(0/0,""),INDEX('RFR Data - preExcl'!AC$2:AC923,$R267,1))</f>
        <v/>
      </c>
      <c r="G267" s="16" t="str">
        <f t="array" ref="G267">IF(OR(ISBLANK(A267),C267),IFERROR(0/0,""),INDEX('RFR Data - preExcl'!AK$2:AK923,$R267,1))</f>
        <v/>
      </c>
      <c r="H267" s="16" t="str">
        <f t="array" ref="H267">IF(OR(ISBLANK(A267),C267),IFERROR(0/0,""),INDEX('RFR Data - preExcl'!AL$2:AL923,$R267,1))</f>
        <v/>
      </c>
      <c r="I267" s="16">
        <f>IFERROR(VLOOKUP($B267,'APS Tubes by Date IMPORT'!$B$2:$J923,2,FALSE),"")</f>
        <v>2</v>
      </c>
      <c r="J267" s="16" t="b">
        <f>IFERROR(VLOOKUP($B267,'APS Tubes by Date IMPORT'!$B$2:$J923,9,FALSE),"")</f>
        <v>1</v>
      </c>
      <c r="K267" s="16">
        <f>IFNA(VLOOKUP($B267,'APS Tubes by Date IMPORT'!$B$2:$J923,6,FALSE),"")</f>
        <v>0</v>
      </c>
      <c r="L267" s="89">
        <f t="shared" si="79"/>
        <v>2</v>
      </c>
      <c r="M267" s="16"/>
      <c r="N267" s="90">
        <v>3.4</v>
      </c>
      <c r="O267" s="30" t="b">
        <f t="shared" si="74"/>
        <v>1</v>
      </c>
      <c r="P267" s="91" t="str">
        <f>IF(ISBLANK(N267),IFERROR(0/0,""),IFERROR(VLOOKUP(N267, 'Process Ref'!$A$76:$D$122, 2, FALSE), IFERROR(0/0,"")))</f>
        <v>Add Run from APS with no RFR (assume run on same day as Collect, ignore Result day)</v>
      </c>
      <c r="Q267" s="8" t="s">
        <v>386</v>
      </c>
      <c r="R267" s="92" t="str">
        <f>IFNA(MATCH(A267,'RFR Data - preExcl'!A$2:A923,0),"")</f>
        <v/>
      </c>
      <c r="S267" s="54"/>
      <c r="T267" s="8" t="str">
        <f>IF(AND(NOT(ISBLANK(U267)),NOT(ISBLANK(V267)),NOT(ISBLANK(W267))),CONCATENATE("RUN-",'Process Ref'!$A$1,"_",TEXT(V267,"YYYY-MM-DD"),"_APS-",TEXT(W267,"000")),IFERROR(0/0,""))</f>
        <v/>
      </c>
      <c r="U267" s="8" t="str">
        <f t="shared" si="85"/>
        <v/>
      </c>
      <c r="V267" s="190">
        <v>44587.0</v>
      </c>
      <c r="W267" s="191" t="str">
        <f t="shared" si="88"/>
        <v/>
      </c>
      <c r="X267" s="86"/>
      <c r="Z267" s="131"/>
      <c r="AA267" s="14"/>
      <c r="AG267" s="86"/>
      <c r="AJ267" s="86"/>
    </row>
    <row r="268">
      <c r="A268" s="8" t="s">
        <v>269</v>
      </c>
      <c r="B268" s="14">
        <v>44904.0</v>
      </c>
      <c r="C268" s="88" t="b">
        <f t="shared" si="2"/>
        <v>1</v>
      </c>
      <c r="D268" s="16" t="str">
        <f t="array" ref="D268">IF(OR(ISBLANK($A268),$C268),IFERROR(0/0,""),INDEX('RFR Data - preExcl'!E$2:E923,$R268,1))</f>
        <v/>
      </c>
      <c r="E268" s="16"/>
      <c r="F268" s="16" t="str">
        <f t="array" ref="F268">IF(OR(ISBLANK(A268),C268),IFERROR(0/0,""),INDEX('RFR Data - preExcl'!AC$2:AC923,$R268,1))</f>
        <v/>
      </c>
      <c r="G268" s="16" t="str">
        <f t="array" ref="G268">IF(OR(ISBLANK(A268),C268),IFERROR(0/0,""),INDEX('RFR Data - preExcl'!AK$2:AK923,$R268,1))</f>
        <v/>
      </c>
      <c r="H268" s="16" t="str">
        <f t="array" ref="H268">IF(OR(ISBLANK(A268),C268),IFERROR(0/0,""),INDEX('RFR Data - preExcl'!AL$2:AL923,$R268,1))</f>
        <v/>
      </c>
      <c r="I268" s="16">
        <f>IFERROR(VLOOKUP($B268,'APS Tubes by Date IMPORT'!$B$2:$J923,2,FALSE),"")</f>
        <v>1</v>
      </c>
      <c r="J268" s="16" t="str">
        <f>IFERROR(VLOOKUP($B268,'APS Tubes by Date IMPORT'!$B$2:$J923,9,FALSE),"")</f>
        <v/>
      </c>
      <c r="K268" s="16">
        <f>IFNA(VLOOKUP($B268,'APS Tubes by Date IMPORT'!$B$2:$J923,6,FALSE),"")</f>
        <v>0</v>
      </c>
      <c r="L268" s="89">
        <f t="shared" si="79"/>
        <v>1</v>
      </c>
      <c r="M268" s="16"/>
      <c r="N268" s="90">
        <v>3.4</v>
      </c>
      <c r="O268" s="30" t="b">
        <f t="shared" si="74"/>
        <v>1</v>
      </c>
      <c r="P268" s="91" t="str">
        <f>IF(ISBLANK(N268),IFERROR(0/0,""),IFERROR(VLOOKUP(N268, 'Process Ref'!$A$76:$D$122, 2, FALSE), IFERROR(0/0,"")))</f>
        <v>Add Run from APS with no RFR (assume run on same day as Collect, ignore Result day)</v>
      </c>
      <c r="R268" s="92" t="str">
        <f>IFNA(MATCH(A268,'RFR Data - preExcl'!A$2:A923,0),"")</f>
        <v/>
      </c>
      <c r="S268" s="54"/>
      <c r="T268" s="222" t="str">
        <f>IF(AND(NOT(ISBLANK(U268)),NOT(ISBLANK(V268)),NOT(ISBLANK(W268))),CONCATENATE("RUN-",'Process Ref'!$A$1,"_",TEXT(V268,"YYYY-MM-DD"),"_APS-",TEXT(W268,"000")),IFERROR(0/0,""))</f>
        <v>RUN-FLMP_2022-01-27_APS-081</v>
      </c>
      <c r="U268" s="218">
        <f t="shared" si="85"/>
        <v>44588</v>
      </c>
      <c r="V268" s="190">
        <v>44588.0</v>
      </c>
      <c r="W268" s="191">
        <f t="shared" si="88"/>
        <v>81</v>
      </c>
      <c r="X268" s="86"/>
      <c r="Z268" s="131"/>
      <c r="AA268" s="14"/>
      <c r="AG268" s="86"/>
      <c r="AJ268" s="86"/>
    </row>
    <row r="269">
      <c r="A269" s="8" t="s">
        <v>270</v>
      </c>
      <c r="B269" s="14">
        <v>44907.0</v>
      </c>
      <c r="C269" s="88" t="b">
        <f t="shared" si="2"/>
        <v>1</v>
      </c>
      <c r="D269" s="16" t="str">
        <f t="array" ref="D269">IF(OR(ISBLANK($A269),$C269),IFERROR(0/0,""),INDEX('RFR Data - preExcl'!E$2:E923,$R269,1))</f>
        <v/>
      </c>
      <c r="E269" s="16"/>
      <c r="F269" s="16" t="str">
        <f t="array" ref="F269">IF(OR(ISBLANK(A269),C269),IFERROR(0/0,""),INDEX('RFR Data - preExcl'!AC$2:AC923,$R269,1))</f>
        <v/>
      </c>
      <c r="G269" s="16" t="str">
        <f t="array" ref="G269">IF(OR(ISBLANK(A269),C269),IFERROR(0/0,""),INDEX('RFR Data - preExcl'!AK$2:AK923,$R269,1))</f>
        <v/>
      </c>
      <c r="H269" s="16" t="str">
        <f t="array" ref="H269">IF(OR(ISBLANK(A269),C269),IFERROR(0/0,""),INDEX('RFR Data - preExcl'!AL$2:AL923,$R269,1))</f>
        <v/>
      </c>
      <c r="I269" s="16">
        <f>IFERROR(VLOOKUP($B269,'APS Tubes by Date IMPORT'!$B$2:$J923,2,FALSE),"")</f>
        <v>1</v>
      </c>
      <c r="J269" s="16" t="str">
        <f>IFERROR(VLOOKUP($B269,'APS Tubes by Date IMPORT'!$B$2:$J923,9,FALSE),"")</f>
        <v/>
      </c>
      <c r="K269" s="16">
        <f>IFNA(VLOOKUP($B269,'APS Tubes by Date IMPORT'!$B$2:$J923,6,FALSE),"")</f>
        <v>0</v>
      </c>
      <c r="L269" s="89">
        <f t="shared" si="79"/>
        <v>1</v>
      </c>
      <c r="M269" s="16"/>
      <c r="N269" s="90">
        <v>3.4</v>
      </c>
      <c r="O269" s="30" t="b">
        <f t="shared" si="74"/>
        <v>1</v>
      </c>
      <c r="P269" s="91" t="str">
        <f>IF(ISBLANK(N269),IFERROR(0/0,""),IFERROR(VLOOKUP(N269, 'Process Ref'!$A$76:$D$122, 2, FALSE), IFERROR(0/0,"")))</f>
        <v>Add Run from APS with no RFR (assume run on same day as Collect, ignore Result day)</v>
      </c>
      <c r="R269" s="92" t="str">
        <f>IFNA(MATCH(A269,'RFR Data - preExcl'!A$2:A923,0),"")</f>
        <v/>
      </c>
      <c r="S269" s="54"/>
      <c r="T269" s="222" t="str">
        <f>IF(AND(NOT(ISBLANK(U269)),NOT(ISBLANK(V269)),NOT(ISBLANK(W269))),CONCATENATE("RUN-",'Process Ref'!$A$1,"_",TEXT(V269,"YYYY-MM-DD"),"_APS-",TEXT(W269,"000")),IFERROR(0/0,""))</f>
        <v>RUN-FLMP_2022-01-29_APS-082</v>
      </c>
      <c r="U269" s="218">
        <f t="shared" si="85"/>
        <v>44590</v>
      </c>
      <c r="V269" s="190">
        <v>44590.0</v>
      </c>
      <c r="W269" s="191">
        <f t="shared" si="88"/>
        <v>82</v>
      </c>
      <c r="X269" s="86"/>
      <c r="Z269" s="103"/>
      <c r="AG269" s="86"/>
      <c r="AJ269" s="86"/>
    </row>
    <row r="270">
      <c r="A270" s="8" t="s">
        <v>271</v>
      </c>
      <c r="B270" s="14">
        <v>44910.0</v>
      </c>
      <c r="C270" s="88" t="b">
        <f t="shared" si="2"/>
        <v>1</v>
      </c>
      <c r="D270" s="16" t="str">
        <f t="array" ref="D270">IF(OR(ISBLANK($A270),$C270),IFERROR(0/0,""),INDEX('RFR Data - preExcl'!E$2:E923,$R270,1))</f>
        <v/>
      </c>
      <c r="E270" s="16"/>
      <c r="F270" s="16" t="str">
        <f t="array" ref="F270">IF(OR(ISBLANK(A270),C270),IFERROR(0/0,""),INDEX('RFR Data - preExcl'!AC$2:AC923,$R270,1))</f>
        <v/>
      </c>
      <c r="G270" s="16" t="str">
        <f t="array" ref="G270">IF(OR(ISBLANK(A270),C270),IFERROR(0/0,""),INDEX('RFR Data - preExcl'!AK$2:AK923,$R270,1))</f>
        <v/>
      </c>
      <c r="H270" s="16" t="str">
        <f t="array" ref="H270">IF(OR(ISBLANK(A270),C270),IFERROR(0/0,""),INDEX('RFR Data - preExcl'!AL$2:AL923,$R270,1))</f>
        <v/>
      </c>
      <c r="I270" s="16">
        <f>IFERROR(VLOOKUP($B270,'APS Tubes by Date IMPORT'!$B$2:$J923,2,FALSE),"")</f>
        <v>10</v>
      </c>
      <c r="J270" s="16" t="b">
        <f>IFERROR(VLOOKUP($B270,'APS Tubes by Date IMPORT'!$B$2:$J923,9,FALSE),"")</f>
        <v>1</v>
      </c>
      <c r="K270" s="16">
        <f>IFNA(VLOOKUP($B270,'APS Tubes by Date IMPORT'!$B$2:$J923,6,FALSE),"")</f>
        <v>0</v>
      </c>
      <c r="L270" s="89">
        <f t="shared" si="79"/>
        <v>10</v>
      </c>
      <c r="M270" s="16"/>
      <c r="N270" s="90">
        <v>3.4</v>
      </c>
      <c r="O270" s="30" t="b">
        <f t="shared" si="74"/>
        <v>1</v>
      </c>
      <c r="P270" s="91" t="str">
        <f>IF(ISBLANK(N270),IFERROR(0/0,""),IFERROR(VLOOKUP(N270, 'Process Ref'!$A$76:$D$122, 2, FALSE), IFERROR(0/0,"")))</f>
        <v>Add Run from APS with no RFR (assume run on same day as Collect, ignore Result day)</v>
      </c>
      <c r="Q270" s="8" t="s">
        <v>386</v>
      </c>
      <c r="R270" s="92" t="str">
        <f>IFNA(MATCH(A270,'RFR Data - preExcl'!A$2:A923,0),"")</f>
        <v/>
      </c>
      <c r="S270" s="54"/>
      <c r="T270" s="143" t="str">
        <f>IF(AND(NOT(ISBLANK(U270)),NOT(ISBLANK(V270)),NOT(ISBLANK(W270))),CONCATENATE("RUN-",'Process Ref'!$A$1,"_",TEXT(V270,"YYYY-MM-DD"),"_APS-",TEXT(W270,"000")),IFERROR(0/0,""))</f>
        <v/>
      </c>
      <c r="U270" s="73">
        <f t="shared" si="85"/>
        <v>44591</v>
      </c>
      <c r="V270" s="220">
        <v>44591.0</v>
      </c>
      <c r="W270" s="221"/>
      <c r="X270" s="86"/>
      <c r="Z270" s="131"/>
      <c r="AA270" s="14"/>
      <c r="AG270" s="86"/>
      <c r="AJ270" s="86"/>
    </row>
    <row r="271">
      <c r="A271" s="8" t="s">
        <v>272</v>
      </c>
      <c r="B271" s="14">
        <v>44914.0</v>
      </c>
      <c r="C271" s="88" t="b">
        <f t="shared" si="2"/>
        <v>1</v>
      </c>
      <c r="D271" s="16" t="str">
        <f t="array" ref="D271">IF(OR(ISBLANK($A271),$C271),IFERROR(0/0,""),INDEX('RFR Data - preExcl'!E$2:E923,$R271,1))</f>
        <v/>
      </c>
      <c r="E271" s="16"/>
      <c r="F271" s="16" t="str">
        <f t="array" ref="F271">IF(OR(ISBLANK(A271),C271),IFERROR(0/0,""),INDEX('RFR Data - preExcl'!AC$2:AC923,$R271,1))</f>
        <v/>
      </c>
      <c r="G271" s="16" t="str">
        <f t="array" ref="G271">IF(OR(ISBLANK(A271),C271),IFERROR(0/0,""),INDEX('RFR Data - preExcl'!AK$2:AK923,$R271,1))</f>
        <v/>
      </c>
      <c r="H271" s="16" t="str">
        <f t="array" ref="H271">IF(OR(ISBLANK(A271),C271),IFERROR(0/0,""),INDEX('RFR Data - preExcl'!AL$2:AL923,$R271,1))</f>
        <v/>
      </c>
      <c r="I271" s="16">
        <f>IFERROR(VLOOKUP($B271,'APS Tubes by Date IMPORT'!$B$2:$J923,2,FALSE),"")</f>
        <v>5</v>
      </c>
      <c r="J271" s="16" t="b">
        <f>IFERROR(VLOOKUP($B271,'APS Tubes by Date IMPORT'!$B$2:$J923,9,FALSE),"")</f>
        <v>1</v>
      </c>
      <c r="K271" s="16">
        <f>IFNA(VLOOKUP($B271,'APS Tubes by Date IMPORT'!$B$2:$J923,6,FALSE),"")</f>
        <v>0</v>
      </c>
      <c r="L271" s="89">
        <f t="shared" si="79"/>
        <v>5</v>
      </c>
      <c r="M271" s="16"/>
      <c r="N271" s="90">
        <v>3.4</v>
      </c>
      <c r="O271" s="30" t="b">
        <f t="shared" si="74"/>
        <v>1</v>
      </c>
      <c r="P271" s="91" t="str">
        <f>IF(ISBLANK(N271),IFERROR(0/0,""),IFERROR(VLOOKUP(N271, 'Process Ref'!$A$76:$D$122, 2, FALSE), IFERROR(0/0,"")))</f>
        <v>Add Run from APS with no RFR (assume run on same day as Collect, ignore Result day)</v>
      </c>
      <c r="Q271" s="8" t="s">
        <v>386</v>
      </c>
      <c r="R271" s="92" t="str">
        <f>IFNA(MATCH(A271,'RFR Data - preExcl'!A$2:A923,0),"")</f>
        <v/>
      </c>
      <c r="S271" s="54"/>
      <c r="T271" s="8" t="str">
        <f>IF(AND(NOT(ISBLANK(U271)),NOT(ISBLANK(V271)),NOT(ISBLANK(W271))),CONCATENATE("RUN-",'Process Ref'!$A$1,"_",TEXT(V271,"YYYY-MM-DD"),"_APS-",TEXT(W271,"000")),IFERROR(0/0,""))</f>
        <v/>
      </c>
      <c r="U271" s="8" t="str">
        <f t="shared" si="85"/>
        <v/>
      </c>
      <c r="V271" s="190">
        <v>44592.0</v>
      </c>
      <c r="W271" s="191" t="str">
        <f t="shared" ref="W271:W274" si="89">IF(NOT(ISBLANK(U271)),MAX(W$1:W270)+1,IFERROR(0/0,""))</f>
        <v/>
      </c>
      <c r="X271" s="86"/>
      <c r="Z271" s="103"/>
      <c r="AG271" s="86"/>
      <c r="AJ271" s="86"/>
    </row>
    <row r="272">
      <c r="A272" s="8" t="s">
        <v>273</v>
      </c>
      <c r="B272" s="14">
        <v>44915.0</v>
      </c>
      <c r="C272" s="88" t="b">
        <f t="shared" si="2"/>
        <v>1</v>
      </c>
      <c r="D272" s="16" t="str">
        <f t="array" ref="D272">IF(OR(ISBLANK($A272),$C272),IFERROR(0/0,""),INDEX('RFR Data - preExcl'!E$2:E923,$R272,1))</f>
        <v/>
      </c>
      <c r="E272" s="16"/>
      <c r="F272" s="16" t="str">
        <f t="array" ref="F272">IF(OR(ISBLANK(A272),C272),IFERROR(0/0,""),INDEX('RFR Data - preExcl'!AC$2:AC923,$R272,1))</f>
        <v/>
      </c>
      <c r="G272" s="16" t="str">
        <f t="array" ref="G272">IF(OR(ISBLANK(A272),C272),IFERROR(0/0,""),INDEX('RFR Data - preExcl'!AK$2:AK923,$R272,1))</f>
        <v/>
      </c>
      <c r="H272" s="16" t="str">
        <f t="array" ref="H272">IF(OR(ISBLANK(A272),C272),IFERROR(0/0,""),INDEX('RFR Data - preExcl'!AL$2:AL923,$R272,1))</f>
        <v/>
      </c>
      <c r="I272" s="16">
        <f>IFERROR(VLOOKUP($B272,'APS Tubes by Date IMPORT'!$B$2:$J923,2,FALSE),"")</f>
        <v>1</v>
      </c>
      <c r="J272" s="16" t="b">
        <f>IFERROR(VLOOKUP($B272,'APS Tubes by Date IMPORT'!$B$2:$J923,9,FALSE),"")</f>
        <v>1</v>
      </c>
      <c r="K272" s="16">
        <f>IFNA(VLOOKUP($B272,'APS Tubes by Date IMPORT'!$B$2:$J923,6,FALSE),"")</f>
        <v>0</v>
      </c>
      <c r="L272" s="89">
        <f t="shared" si="79"/>
        <v>1</v>
      </c>
      <c r="M272" s="16"/>
      <c r="N272" s="90">
        <v>3.4</v>
      </c>
      <c r="O272" s="30" t="b">
        <f t="shared" si="74"/>
        <v>1</v>
      </c>
      <c r="P272" s="91" t="str">
        <f>IF(ISBLANK(N272),IFERROR(0/0,""),IFERROR(VLOOKUP(N272, 'Process Ref'!$A$76:$D$122, 2, FALSE), IFERROR(0/0,"")))</f>
        <v>Add Run from APS with no RFR (assume run on same day as Collect, ignore Result day)</v>
      </c>
      <c r="Q272" s="8" t="s">
        <v>386</v>
      </c>
      <c r="R272" s="92" t="str">
        <f>IFNA(MATCH(A272,'RFR Data - preExcl'!A$2:A923,0),"")</f>
        <v/>
      </c>
      <c r="S272" s="54"/>
      <c r="T272" s="8" t="str">
        <f>IF(AND(NOT(ISBLANK(U272)),NOT(ISBLANK(V272)),NOT(ISBLANK(W272))),CONCATENATE("RUN-",'Process Ref'!$A$1,"_",TEXT(V272,"YYYY-MM-DD"),"_APS-",TEXT(W272,"000")),IFERROR(0/0,""))</f>
        <v/>
      </c>
      <c r="U272" s="8" t="str">
        <f t="shared" si="85"/>
        <v/>
      </c>
      <c r="V272" s="190">
        <v>44594.0</v>
      </c>
      <c r="W272" s="191" t="str">
        <f t="shared" si="89"/>
        <v/>
      </c>
      <c r="X272" s="86"/>
      <c r="Z272" s="131"/>
      <c r="AA272" s="14"/>
      <c r="AG272" s="86"/>
      <c r="AJ272" s="86"/>
    </row>
    <row r="273">
      <c r="A273" s="8" t="s">
        <v>274</v>
      </c>
      <c r="B273" s="14">
        <v>44921.0</v>
      </c>
      <c r="C273" s="88" t="b">
        <f t="shared" si="2"/>
        <v>1</v>
      </c>
      <c r="D273" s="16"/>
      <c r="E273" s="16"/>
      <c r="F273" s="16"/>
      <c r="G273" s="16"/>
      <c r="H273" s="16"/>
      <c r="I273" s="16">
        <f>IFERROR(VLOOKUP($B273,'APS Tubes by Date IMPORT'!$B$2:$J923,2,FALSE),"")</f>
        <v>3</v>
      </c>
      <c r="J273" s="16" t="b">
        <f>IFERROR(VLOOKUP($B273,'APS Tubes by Date IMPORT'!$B$2:$J923,9,FALSE),"")</f>
        <v>1</v>
      </c>
      <c r="K273" s="16">
        <f>IFNA(VLOOKUP($B273,'APS Tubes by Date IMPORT'!$B$2:$J923,6,FALSE),"")</f>
        <v>0</v>
      </c>
      <c r="L273" s="89">
        <f t="shared" si="79"/>
        <v>3</v>
      </c>
      <c r="M273" s="16"/>
      <c r="N273" s="90">
        <v>3.4</v>
      </c>
      <c r="O273" s="30" t="b">
        <f t="shared" si="74"/>
        <v>1</v>
      </c>
      <c r="P273" s="91" t="str">
        <f>IF(ISBLANK(N273),IFERROR(0/0,""),IFERROR(VLOOKUP(N273, 'Process Ref'!$A$76:$D$122, 2, FALSE), IFERROR(0/0,"")))</f>
        <v>Add Run from APS with no RFR (assume run on same day as Collect, ignore Result day)</v>
      </c>
      <c r="R273" s="92" t="str">
        <f>IFNA(MATCH(A273,'RFR Data - preExcl'!A$2:A923,0),"")</f>
        <v/>
      </c>
      <c r="S273" s="54"/>
      <c r="T273" s="8" t="str">
        <f>IF(AND(NOT(ISBLANK(U273)),NOT(ISBLANK(V273)),NOT(ISBLANK(W273))),CONCATENATE("RUN-",'Process Ref'!$A$1,"_",TEXT(V273,"YYYY-MM-DD"),"_APS-",TEXT(W273,"000")),IFERROR(0/0,""))</f>
        <v/>
      </c>
      <c r="U273" s="8" t="str">
        <f t="shared" si="85"/>
        <v/>
      </c>
      <c r="V273" s="190">
        <v>44595.0</v>
      </c>
      <c r="W273" s="191" t="str">
        <f t="shared" si="89"/>
        <v/>
      </c>
      <c r="X273" s="86"/>
      <c r="Z273" s="103"/>
      <c r="AG273" s="86"/>
      <c r="AJ273" s="86"/>
    </row>
    <row r="274">
      <c r="A274" s="8" t="s">
        <v>275</v>
      </c>
      <c r="B274" s="14">
        <v>44928.0</v>
      </c>
      <c r="C274" s="88" t="b">
        <f t="shared" si="2"/>
        <v>1</v>
      </c>
      <c r="D274" s="16"/>
      <c r="E274" s="16"/>
      <c r="F274" s="16"/>
      <c r="G274" s="16"/>
      <c r="H274" s="16"/>
      <c r="I274" s="16">
        <f>IFERROR(VLOOKUP($B274,'APS Tubes by Date IMPORT'!$B$2:$J923,2,FALSE),"")</f>
        <v>3</v>
      </c>
      <c r="J274" s="16" t="b">
        <f>IFERROR(VLOOKUP($B274,'APS Tubes by Date IMPORT'!$B$2:$J923,9,FALSE),"")</f>
        <v>1</v>
      </c>
      <c r="K274" s="16">
        <f>IFNA(VLOOKUP($B274,'APS Tubes by Date IMPORT'!$B$2:$J923,6,FALSE),"")</f>
        <v>0</v>
      </c>
      <c r="L274" s="89">
        <f t="shared" si="79"/>
        <v>3</v>
      </c>
      <c r="M274" s="16"/>
      <c r="N274" s="90">
        <v>3.4</v>
      </c>
      <c r="O274" s="30" t="b">
        <f t="shared" si="74"/>
        <v>1</v>
      </c>
      <c r="P274" s="91" t="str">
        <f>IF(ISBLANK(N274),IFERROR(0/0,""),IFERROR(VLOOKUP(N274, 'Process Ref'!$A$76:$D$122, 2, FALSE), IFERROR(0/0,"")))</f>
        <v>Add Run from APS with no RFR (assume run on same day as Collect, ignore Result day)</v>
      </c>
      <c r="R274" s="92" t="str">
        <f>IFNA(MATCH(A274,'RFR Data - preExcl'!A$2:A923,0),"")</f>
        <v/>
      </c>
      <c r="S274" s="54"/>
      <c r="T274" s="8" t="str">
        <f>IF(AND(NOT(ISBLANK(U274)),NOT(ISBLANK(V274)),NOT(ISBLANK(W274))),CONCATENATE("RUN-",'Process Ref'!$A$1,"_",TEXT(V274,"YYYY-MM-DD"),"_APS-",TEXT(W274,"000")),IFERROR(0/0,""))</f>
        <v>RUN-FLMP_2022-02-05_APS-083</v>
      </c>
      <c r="U274" s="14">
        <f t="shared" si="85"/>
        <v>44597</v>
      </c>
      <c r="V274" s="190">
        <v>44597.0</v>
      </c>
      <c r="W274" s="191">
        <f t="shared" si="89"/>
        <v>83</v>
      </c>
      <c r="X274" s="86"/>
      <c r="Z274" s="131"/>
      <c r="AA274" s="14"/>
      <c r="AG274" s="86"/>
      <c r="AJ274" s="86"/>
    </row>
    <row r="275">
      <c r="A275" s="8"/>
      <c r="B275" s="8"/>
      <c r="C275" s="88" t="str">
        <f t="shared" si="2"/>
        <v/>
      </c>
      <c r="D275" s="16"/>
      <c r="E275" s="16"/>
      <c r="F275" s="16"/>
      <c r="G275" s="16"/>
      <c r="H275" s="16"/>
      <c r="I275" s="16" t="str">
        <f>IFERROR(VLOOKUP($B275,'APS Tubes by Date IMPORT'!$B$2:$J923,2,FALSE),"")</f>
        <v/>
      </c>
      <c r="J275" s="16" t="str">
        <f>IFERROR(VLOOKUP($B275,'APS Tubes by Date IMPORT'!$B$2:$J923,9,FALSE),"")</f>
        <v/>
      </c>
      <c r="K275" s="16" t="str">
        <f>IFNA(VLOOKUP($B275,'APS Tubes by Date IMPORT'!$B$2:$J923,6,FALSE),"")</f>
        <v/>
      </c>
      <c r="L275" s="16"/>
      <c r="M275" s="16"/>
      <c r="N275" s="21"/>
      <c r="O275" s="30" t="str">
        <f t="shared" si="74"/>
        <v/>
      </c>
      <c r="P275" s="91" t="str">
        <f>IF(ISBLANK(N275),IFERROR(0/0,""),IFERROR(VLOOKUP(N275, 'Process Ref'!$A$76:$D$122, 2, FALSE), IFERROR(0/0,"")))</f>
        <v/>
      </c>
      <c r="R275" s="92" t="str">
        <f>IFNA(MATCH(A275,'RFR Data - preExcl'!A$2:A923,0),"")</f>
        <v/>
      </c>
      <c r="S275" s="54"/>
      <c r="T275" s="143" t="str">
        <f>IF(AND(NOT(ISBLANK(U275)),NOT(ISBLANK(V275)),NOT(ISBLANK(W275))),CONCATENATE("RUN-",'Process Ref'!$A$1,"_",TEXT(V275,"YYYY-MM-DD"),"_APS-",TEXT(W275,"000")),IFERROR(0/0,""))</f>
        <v/>
      </c>
      <c r="U275" s="73">
        <f t="shared" si="85"/>
        <v>44598</v>
      </c>
      <c r="V275" s="220">
        <v>44598.0</v>
      </c>
      <c r="W275" s="221"/>
      <c r="X275" s="86"/>
      <c r="Z275" s="103"/>
      <c r="AG275" s="86"/>
      <c r="AJ275" s="86"/>
    </row>
    <row r="276">
      <c r="C276" s="88" t="str">
        <f t="shared" si="2"/>
        <v/>
      </c>
      <c r="D276" s="16"/>
      <c r="E276" s="16"/>
      <c r="F276" s="16"/>
      <c r="G276" s="16"/>
      <c r="H276" s="16"/>
      <c r="I276" s="16"/>
      <c r="J276" s="16"/>
      <c r="K276" s="16"/>
      <c r="L276" s="16"/>
      <c r="M276" s="16"/>
      <c r="N276" s="21"/>
      <c r="O276" s="30" t="str">
        <f t="shared" si="74"/>
        <v/>
      </c>
      <c r="P276" s="91" t="str">
        <f>IF(ISBLANK(N276),IFERROR(0/0,""),IFERROR(VLOOKUP(N276, 'Process Ref'!$A$76:$D$122, 2, FALSE), IFERROR(0/0,"")))</f>
        <v/>
      </c>
      <c r="R276" s="92" t="str">
        <f>IFNA(MATCH(A276,'RFR Data - preExcl'!A$2:A923,0),"")</f>
        <v/>
      </c>
      <c r="S276" s="54"/>
      <c r="T276" s="8" t="str">
        <f>IF(AND(NOT(ISBLANK(U276)),NOT(ISBLANK(V276)),NOT(ISBLANK(W276))),CONCATENATE("RUN-",'Process Ref'!$A$1,"_",TEXT(V276,"YYYY-MM-DD"),"_APS-",TEXT(W276,"000")),IFERROR(0/0,""))</f>
        <v/>
      </c>
      <c r="U276" s="8" t="str">
        <f t="shared" si="85"/>
        <v/>
      </c>
      <c r="V276" s="190">
        <v>44599.0</v>
      </c>
      <c r="W276" s="191" t="str">
        <f>IF(NOT(ISBLANK(U276)),MAX(W$1:W275)+1,IFERROR(0/0,""))</f>
        <v/>
      </c>
      <c r="X276" s="86"/>
      <c r="Z276" s="103"/>
      <c r="AG276" s="86"/>
      <c r="AJ276" s="86"/>
    </row>
    <row r="277">
      <c r="C277" s="88" t="str">
        <f t="shared" si="2"/>
        <v/>
      </c>
      <c r="D277" s="16"/>
      <c r="E277" s="16"/>
      <c r="F277" s="16"/>
      <c r="G277" s="16"/>
      <c r="H277" s="16"/>
      <c r="I277" s="16"/>
      <c r="J277" s="16"/>
      <c r="K277" s="16"/>
      <c r="L277" s="16"/>
      <c r="M277" s="16"/>
      <c r="N277" s="21"/>
      <c r="O277" s="30" t="str">
        <f t="shared" si="74"/>
        <v/>
      </c>
      <c r="P277" s="91" t="str">
        <f>IF(ISBLANK(N277),IFERROR(0/0,""),IFERROR(VLOOKUP(N277, 'Process Ref'!$A$76:$D$122, 2, FALSE), IFERROR(0/0,"")))</f>
        <v/>
      </c>
      <c r="R277" s="92" t="str">
        <f>IFNA(MATCH(A277,'RFR Data - preExcl'!A$2:A923,0),"")</f>
        <v/>
      </c>
      <c r="S277" s="54"/>
      <c r="T277" s="143" t="str">
        <f>IF(AND(NOT(ISBLANK(U277)),NOT(ISBLANK(V277)),NOT(ISBLANK(W277))),CONCATENATE("RUN-",'Process Ref'!$A$1,"_",TEXT(V277,"YYYY-MM-DD"),"_APS-",TEXT(W277,"000")),IFERROR(0/0,""))</f>
        <v/>
      </c>
      <c r="U277" s="73">
        <f t="shared" si="85"/>
        <v>44601</v>
      </c>
      <c r="V277" s="220">
        <v>44601.0</v>
      </c>
      <c r="W277" s="221"/>
      <c r="X277" s="86"/>
      <c r="Z277" s="131"/>
      <c r="AA277" s="14"/>
      <c r="AG277" s="86"/>
      <c r="AJ277" s="86"/>
    </row>
    <row r="278">
      <c r="C278" s="88" t="str">
        <f t="shared" si="2"/>
        <v/>
      </c>
      <c r="D278" s="16"/>
      <c r="E278" s="16"/>
      <c r="F278" s="16"/>
      <c r="G278" s="16"/>
      <c r="H278" s="16"/>
      <c r="I278" s="16"/>
      <c r="J278" s="16"/>
      <c r="K278" s="16"/>
      <c r="L278" s="16"/>
      <c r="M278" s="16"/>
      <c r="N278" s="21"/>
      <c r="O278" s="30" t="str">
        <f t="shared" si="74"/>
        <v/>
      </c>
      <c r="P278" s="91" t="str">
        <f>IF(ISBLANK(N278),IFERROR(0/0,""),IFERROR(VLOOKUP(N278, 'Process Ref'!$A$76:$D$122, 2, FALSE), IFERROR(0/0,"")))</f>
        <v/>
      </c>
      <c r="R278" s="92" t="str">
        <f>IFNA(MATCH(A278,'RFR Data - preExcl'!A$2:A923,0),"")</f>
        <v/>
      </c>
      <c r="S278" s="54"/>
      <c r="T278" s="8" t="str">
        <f>IF(AND(NOT(ISBLANK(U278)),NOT(ISBLANK(V278)),NOT(ISBLANK(W278))),CONCATENATE("RUN-",'Process Ref'!$A$1,"_",TEXT(V278,"YYYY-MM-DD"),"_APS-",TEXT(W278,"000")),IFERROR(0/0,""))</f>
        <v/>
      </c>
      <c r="U278" s="8" t="str">
        <f t="shared" si="85"/>
        <v/>
      </c>
      <c r="V278" s="190">
        <v>44602.0</v>
      </c>
      <c r="W278" s="191" t="str">
        <f>IF(NOT(ISBLANK(U278)),MAX(W$1:W277)+1,IFERROR(0/0,""))</f>
        <v/>
      </c>
      <c r="X278" s="86"/>
      <c r="Z278" s="131"/>
      <c r="AA278" s="14"/>
      <c r="AG278" s="86"/>
      <c r="AJ278" s="86"/>
    </row>
    <row r="279">
      <c r="C279" s="88" t="str">
        <f t="shared" si="2"/>
        <v/>
      </c>
      <c r="D279" s="16"/>
      <c r="E279" s="16"/>
      <c r="F279" s="16"/>
      <c r="G279" s="16"/>
      <c r="H279" s="16"/>
      <c r="I279" s="16"/>
      <c r="J279" s="16"/>
      <c r="K279" s="16"/>
      <c r="L279" s="16"/>
      <c r="M279" s="16"/>
      <c r="N279" s="21"/>
      <c r="O279" s="30" t="str">
        <f t="shared" si="74"/>
        <v/>
      </c>
      <c r="P279" s="91" t="str">
        <f>IF(ISBLANK(N279),IFERROR(0/0,""),IFERROR(VLOOKUP(N279, 'Process Ref'!$A$76:$D$122, 2, FALSE), IFERROR(0/0,"")))</f>
        <v/>
      </c>
      <c r="R279" s="92" t="str">
        <f>IFNA(MATCH(A279,'RFR Data - preExcl'!A$2:A923,0),"")</f>
        <v/>
      </c>
      <c r="S279" s="54"/>
      <c r="T279" s="143" t="str">
        <f>IF(AND(NOT(ISBLANK(U279)),NOT(ISBLANK(V279)),NOT(ISBLANK(W279))),CONCATENATE("RUN-",'Process Ref'!$A$1,"_",TEXT(V279,"YYYY-MM-DD"),"_APS-",TEXT(W279,"000")),IFERROR(0/0,""))</f>
        <v/>
      </c>
      <c r="U279" s="73">
        <f t="shared" si="85"/>
        <v>44603</v>
      </c>
      <c r="V279" s="220">
        <v>44603.0</v>
      </c>
      <c r="W279" s="221"/>
      <c r="X279" s="86"/>
      <c r="Z279" s="103"/>
      <c r="AG279" s="86"/>
      <c r="AJ279" s="86"/>
    </row>
    <row r="280">
      <c r="C280" s="88" t="str">
        <f t="shared" si="2"/>
        <v/>
      </c>
      <c r="D280" s="16"/>
      <c r="E280" s="16"/>
      <c r="F280" s="16"/>
      <c r="G280" s="16"/>
      <c r="H280" s="16"/>
      <c r="I280" s="16"/>
      <c r="J280" s="16"/>
      <c r="K280" s="16"/>
      <c r="L280" s="16"/>
      <c r="M280" s="16"/>
      <c r="N280" s="21"/>
      <c r="O280" s="30" t="str">
        <f t="shared" si="74"/>
        <v/>
      </c>
      <c r="P280" s="91" t="str">
        <f>IF(ISBLANK(N280),IFERROR(0/0,""),IFERROR(VLOOKUP(N280, 'Process Ref'!$A$76:$D$122, 2, FALSE), IFERROR(0/0,"")))</f>
        <v/>
      </c>
      <c r="R280" s="92" t="str">
        <f>IFNA(MATCH(A280,'RFR Data - preExcl'!A$2:A923,0),"")</f>
        <v/>
      </c>
      <c r="S280" s="54"/>
      <c r="T280" s="8" t="str">
        <f>IF(AND(NOT(ISBLANK(U280)),NOT(ISBLANK(V280)),NOT(ISBLANK(W280))),CONCATENATE("RUN-",'Process Ref'!$A$1,"_",TEXT(V280,"YYYY-MM-DD"),"_APS-",TEXT(W280,"000")),IFERROR(0/0,""))</f>
        <v/>
      </c>
      <c r="U280" s="8" t="str">
        <f t="shared" si="85"/>
        <v/>
      </c>
      <c r="V280" s="190">
        <v>44604.0</v>
      </c>
      <c r="W280" s="191" t="str">
        <f>IF(NOT(ISBLANK(U280)),MAX(W$1:W279)+1,IFERROR(0/0,""))</f>
        <v/>
      </c>
      <c r="X280" s="86"/>
      <c r="Z280" s="103"/>
      <c r="AG280" s="86"/>
      <c r="AJ280" s="86"/>
    </row>
    <row r="281">
      <c r="C281" s="88" t="str">
        <f t="shared" si="2"/>
        <v/>
      </c>
      <c r="D281" s="16"/>
      <c r="E281" s="16"/>
      <c r="F281" s="16"/>
      <c r="G281" s="16"/>
      <c r="H281" s="16"/>
      <c r="I281" s="16"/>
      <c r="J281" s="16"/>
      <c r="K281" s="16"/>
      <c r="L281" s="16"/>
      <c r="M281" s="16"/>
      <c r="N281" s="21"/>
      <c r="O281" s="30" t="str">
        <f t="shared" si="74"/>
        <v/>
      </c>
      <c r="P281" s="91" t="str">
        <f>IF(ISBLANK(N281),IFERROR(0/0,""),IFERROR(VLOOKUP(N281, 'Process Ref'!$A$76:$D$122, 2, FALSE), IFERROR(0/0,"")))</f>
        <v/>
      </c>
      <c r="R281" s="92" t="str">
        <f>IFNA(MATCH(A281,'RFR Data - preExcl'!A$2:A923,0),"")</f>
        <v/>
      </c>
      <c r="S281" s="54"/>
      <c r="T281" s="143" t="str">
        <f>IF(AND(NOT(ISBLANK(U281)),NOT(ISBLANK(V281)),NOT(ISBLANK(W281))),CONCATENATE("RUN-",'Process Ref'!$A$1,"_",TEXT(V281,"YYYY-MM-DD"),"_APS-",TEXT(W281,"000")),IFERROR(0/0,""))</f>
        <v/>
      </c>
      <c r="U281" s="73">
        <f t="shared" si="85"/>
        <v>44605</v>
      </c>
      <c r="V281" s="220">
        <v>44605.0</v>
      </c>
      <c r="W281" s="221"/>
      <c r="X281" s="86"/>
      <c r="Z281" s="103"/>
      <c r="AG281" s="86"/>
      <c r="AJ281" s="86"/>
    </row>
    <row r="282">
      <c r="C282" s="88" t="str">
        <f t="shared" si="2"/>
        <v/>
      </c>
      <c r="D282" s="16"/>
      <c r="E282" s="16"/>
      <c r="F282" s="16"/>
      <c r="G282" s="16"/>
      <c r="H282" s="16"/>
      <c r="I282" s="16"/>
      <c r="J282" s="16"/>
      <c r="K282" s="16"/>
      <c r="L282" s="16"/>
      <c r="M282" s="16"/>
      <c r="N282" s="21"/>
      <c r="O282" s="30" t="str">
        <f t="shared" si="74"/>
        <v/>
      </c>
      <c r="P282" s="91" t="str">
        <f>IF(ISBLANK(N282),IFERROR(0/0,""),IFERROR(VLOOKUP(N282, 'Process Ref'!$A$76:$D$122, 2, FALSE), IFERROR(0/0,"")))</f>
        <v/>
      </c>
      <c r="R282" s="92" t="str">
        <f>IFNA(MATCH(A282,'RFR Data - preExcl'!A$2:A923,0),"")</f>
        <v/>
      </c>
      <c r="S282" s="54"/>
      <c r="T282" s="8" t="str">
        <f>IF(AND(NOT(ISBLANK(U282)),NOT(ISBLANK(V282)),NOT(ISBLANK(W282))),CONCATENATE("RUN-",'Process Ref'!$A$1,"_",TEXT(V282,"YYYY-MM-DD"),"_APS-",TEXT(W282,"000")),IFERROR(0/0,""))</f>
        <v/>
      </c>
      <c r="U282" s="8" t="str">
        <f t="shared" si="85"/>
        <v/>
      </c>
      <c r="V282" s="190">
        <v>44606.0</v>
      </c>
      <c r="W282" s="191" t="str">
        <f>IF(NOT(ISBLANK(U282)),MAX(W$1:W281)+1,IFERROR(0/0,""))</f>
        <v/>
      </c>
      <c r="X282" s="86"/>
      <c r="Z282" s="131"/>
      <c r="AA282" s="14"/>
      <c r="AG282" s="86"/>
      <c r="AJ282" s="86"/>
    </row>
    <row r="283">
      <c r="C283" s="88" t="str">
        <f t="shared" si="2"/>
        <v/>
      </c>
      <c r="D283" s="16"/>
      <c r="E283" s="16"/>
      <c r="F283" s="16"/>
      <c r="G283" s="16"/>
      <c r="H283" s="16"/>
      <c r="I283" s="16"/>
      <c r="J283" s="16"/>
      <c r="K283" s="16"/>
      <c r="L283" s="16"/>
      <c r="M283" s="16"/>
      <c r="N283" s="21"/>
      <c r="O283" s="30" t="str">
        <f t="shared" si="74"/>
        <v/>
      </c>
      <c r="P283" s="91" t="str">
        <f>IF(ISBLANK(N283),IFERROR(0/0,""),IFERROR(VLOOKUP(N283, 'Process Ref'!$A$76:$D$122, 2, FALSE), IFERROR(0/0,"")))</f>
        <v/>
      </c>
      <c r="R283" s="92" t="str">
        <f>IFNA(MATCH(A283,'RFR Data - preExcl'!A$2:A923,0),"")</f>
        <v/>
      </c>
      <c r="S283" s="54"/>
      <c r="T283" s="143" t="str">
        <f>IF(AND(NOT(ISBLANK(U283)),NOT(ISBLANK(V283)),NOT(ISBLANK(W283))),CONCATENATE("RUN-",'Process Ref'!$A$1,"_",TEXT(V283,"YYYY-MM-DD"),"_APS-",TEXT(W283,"000")),IFERROR(0/0,""))</f>
        <v/>
      </c>
      <c r="U283" s="73">
        <f t="shared" si="85"/>
        <v>44608</v>
      </c>
      <c r="V283" s="220">
        <v>44608.0</v>
      </c>
      <c r="W283" s="221"/>
      <c r="X283" s="86"/>
      <c r="Z283" s="103"/>
      <c r="AG283" s="86"/>
      <c r="AJ283" s="86"/>
    </row>
    <row r="284">
      <c r="C284" s="88" t="str">
        <f t="shared" si="2"/>
        <v/>
      </c>
      <c r="D284" s="16"/>
      <c r="E284" s="16"/>
      <c r="F284" s="16"/>
      <c r="G284" s="16"/>
      <c r="H284" s="16"/>
      <c r="I284" s="16"/>
      <c r="J284" s="16"/>
      <c r="K284" s="16"/>
      <c r="L284" s="16"/>
      <c r="M284" s="16"/>
      <c r="N284" s="21"/>
      <c r="O284" s="30" t="str">
        <f t="shared" si="74"/>
        <v/>
      </c>
      <c r="P284" s="91" t="str">
        <f>IF(ISBLANK(N284),IFERROR(0/0,""),IFERROR(VLOOKUP(N284, 'Process Ref'!$A$76:$D$122, 2, FALSE), IFERROR(0/0,"")))</f>
        <v/>
      </c>
      <c r="R284" s="92" t="str">
        <f>IFNA(MATCH(A284,'RFR Data - preExcl'!A$2:A923,0),"")</f>
        <v/>
      </c>
      <c r="S284" s="54"/>
      <c r="T284" s="8" t="str">
        <f>IF(AND(NOT(ISBLANK(U284)),NOT(ISBLANK(V284)),NOT(ISBLANK(W284))),CONCATENATE("RUN-",'Process Ref'!$A$1,"_",TEXT(V284,"YYYY-MM-DD"),"_APS-",TEXT(W284,"000")),IFERROR(0/0,""))</f>
        <v/>
      </c>
      <c r="U284" s="8" t="str">
        <f t="shared" si="85"/>
        <v/>
      </c>
      <c r="V284" s="190">
        <v>44609.0</v>
      </c>
      <c r="W284" s="191" t="str">
        <f t="shared" ref="W284:W285" si="90">IF(NOT(ISBLANK(U284)),MAX(W$1:W283)+1,IFERROR(0/0,""))</f>
        <v/>
      </c>
      <c r="X284" s="86"/>
      <c r="Z284" s="103"/>
      <c r="AG284" s="86"/>
      <c r="AJ284" s="86"/>
    </row>
    <row r="285">
      <c r="C285" s="88" t="str">
        <f t="shared" si="2"/>
        <v/>
      </c>
      <c r="D285" s="16"/>
      <c r="E285" s="16"/>
      <c r="F285" s="16"/>
      <c r="G285" s="16"/>
      <c r="H285" s="16"/>
      <c r="I285" s="16"/>
      <c r="J285" s="16"/>
      <c r="K285" s="16"/>
      <c r="L285" s="16"/>
      <c r="M285" s="16"/>
      <c r="N285" s="21"/>
      <c r="O285" s="30" t="str">
        <f t="shared" si="74"/>
        <v/>
      </c>
      <c r="P285" s="91" t="str">
        <f>IF(ISBLANK(N285),IFERROR(0/0,""),IFERROR(VLOOKUP(N285, 'Process Ref'!$A$76:$D$122, 2, FALSE), IFERROR(0/0,"")))</f>
        <v/>
      </c>
      <c r="R285" s="92" t="str">
        <f>IFNA(MATCH(A285,'RFR Data - preExcl'!A$2:A923,0),"")</f>
        <v/>
      </c>
      <c r="S285" s="54"/>
      <c r="T285" s="24" t="str">
        <f>IF(AND(NOT(ISBLANK(U285)),NOT(ISBLANK(V285)),NOT(ISBLANK(W285))),CONCATENATE("RUN-",'Process Ref'!$A$1,"_",TEXT(V285,"YYYY-MM-DD"),"_APS-",TEXT(W285,"000")),IFERROR(0/0,""))</f>
        <v>RUN-FLMP_2022-02-18_APS-084</v>
      </c>
      <c r="U285" s="111">
        <f t="shared" si="85"/>
        <v>44610</v>
      </c>
      <c r="V285" s="216">
        <v>44610.0</v>
      </c>
      <c r="W285" s="191">
        <f t="shared" si="90"/>
        <v>84</v>
      </c>
      <c r="X285" s="86"/>
      <c r="Z285" s="131"/>
      <c r="AA285" s="14"/>
      <c r="AG285" s="86"/>
      <c r="AJ285" s="86"/>
    </row>
    <row r="286">
      <c r="C286" s="88" t="str">
        <f t="shared" si="2"/>
        <v/>
      </c>
      <c r="D286" s="16"/>
      <c r="E286" s="16"/>
      <c r="F286" s="16"/>
      <c r="G286" s="16"/>
      <c r="H286" s="16"/>
      <c r="I286" s="16"/>
      <c r="J286" s="16"/>
      <c r="K286" s="16"/>
      <c r="L286" s="16"/>
      <c r="M286" s="16"/>
      <c r="N286" s="21"/>
      <c r="O286" s="30" t="str">
        <f t="shared" si="74"/>
        <v/>
      </c>
      <c r="P286" s="91" t="str">
        <f>IF(ISBLANK(N286),IFERROR(0/0,""),IFERROR(VLOOKUP(N286, 'Process Ref'!$A$76:$D$122, 2, FALSE), IFERROR(0/0,"")))</f>
        <v/>
      </c>
      <c r="R286" s="92" t="str">
        <f>IFNA(MATCH(A286,'RFR Data - preExcl'!A$2:A923,0),"")</f>
        <v/>
      </c>
      <c r="S286" s="54"/>
      <c r="T286" s="143" t="str">
        <f>IF(AND(NOT(ISBLANK(U286)),NOT(ISBLANK(V286)),NOT(ISBLANK(W286))),CONCATENATE("RUN-",'Process Ref'!$A$1,"_",TEXT(V286,"YYYY-MM-DD"),"_APS-",TEXT(W286,"000")),IFERROR(0/0,""))</f>
        <v/>
      </c>
      <c r="U286" s="73">
        <f t="shared" si="85"/>
        <v>44616</v>
      </c>
      <c r="V286" s="220">
        <v>44616.0</v>
      </c>
      <c r="W286" s="221"/>
      <c r="X286" s="86"/>
      <c r="Z286" s="103"/>
      <c r="AG286" s="86"/>
      <c r="AJ286" s="86"/>
    </row>
    <row r="287">
      <c r="C287" s="88" t="str">
        <f t="shared" si="2"/>
        <v/>
      </c>
      <c r="D287" s="16"/>
      <c r="E287" s="16"/>
      <c r="F287" s="16"/>
      <c r="G287" s="16"/>
      <c r="H287" s="16"/>
      <c r="I287" s="16"/>
      <c r="J287" s="16"/>
      <c r="K287" s="16"/>
      <c r="L287" s="16"/>
      <c r="M287" s="16"/>
      <c r="N287" s="21"/>
      <c r="O287" s="30" t="str">
        <f t="shared" si="74"/>
        <v/>
      </c>
      <c r="P287" s="91" t="str">
        <f>IF(ISBLANK(N287),IFERROR(0/0,""),IFERROR(VLOOKUP(N287, 'Process Ref'!$A$76:$D$122, 2, FALSE), IFERROR(0/0,"")))</f>
        <v/>
      </c>
      <c r="R287" s="92" t="str">
        <f>IFNA(MATCH(A287,'RFR Data - preExcl'!A$2:A923,0),"")</f>
        <v/>
      </c>
      <c r="S287" s="54"/>
      <c r="T287" s="8" t="str">
        <f>IF(AND(NOT(ISBLANK(U287)),NOT(ISBLANK(V287)),NOT(ISBLANK(W287))),CONCATENATE("RUN-",'Process Ref'!$A$1,"_",TEXT(V287,"YYYY-MM-DD"),"_APS-",TEXT(W287,"000")),IFERROR(0/0,""))</f>
        <v/>
      </c>
      <c r="U287" s="8" t="str">
        <f t="shared" si="85"/>
        <v/>
      </c>
      <c r="V287" s="190">
        <v>44619.0</v>
      </c>
      <c r="W287" s="191" t="str">
        <f t="shared" ref="W287:W288" si="91">IF(NOT(ISBLANK(U287)),MAX(W$1:W286)+1,IFERROR(0/0,""))</f>
        <v/>
      </c>
      <c r="X287" s="86"/>
      <c r="Z287" s="103"/>
      <c r="AG287" s="86"/>
      <c r="AJ287" s="86"/>
    </row>
    <row r="288">
      <c r="C288" s="88" t="str">
        <f t="shared" si="2"/>
        <v/>
      </c>
      <c r="D288" s="16"/>
      <c r="E288" s="16"/>
      <c r="F288" s="16"/>
      <c r="G288" s="16"/>
      <c r="H288" s="16"/>
      <c r="I288" s="16"/>
      <c r="J288" s="16"/>
      <c r="K288" s="16"/>
      <c r="L288" s="16"/>
      <c r="M288" s="16"/>
      <c r="N288" s="21"/>
      <c r="O288" s="30" t="str">
        <f t="shared" si="74"/>
        <v/>
      </c>
      <c r="P288" s="91" t="str">
        <f>IF(ISBLANK(N288),IFERROR(0/0,""),IFERROR(VLOOKUP(N288, 'Process Ref'!$A$76:$D$122, 2, FALSE), IFERROR(0/0,"")))</f>
        <v/>
      </c>
      <c r="R288" s="92" t="str">
        <f>IFNA(MATCH(A288,'RFR Data - preExcl'!A$2:A923,0),"")</f>
        <v/>
      </c>
      <c r="S288" s="54"/>
      <c r="T288" s="8" t="str">
        <f>IF(AND(NOT(ISBLANK(U288)),NOT(ISBLANK(V288)),NOT(ISBLANK(W288))),CONCATENATE("RUN-",'Process Ref'!$A$1,"_",TEXT(V288,"YYYY-MM-DD"),"_APS-",TEXT(W288,"000")),IFERROR(0/0,""))</f>
        <v/>
      </c>
      <c r="U288" s="8" t="str">
        <f t="shared" si="85"/>
        <v/>
      </c>
      <c r="V288" s="190">
        <v>44623.0</v>
      </c>
      <c r="W288" s="191" t="str">
        <f t="shared" si="91"/>
        <v/>
      </c>
      <c r="X288" s="86"/>
      <c r="Z288" s="131"/>
      <c r="AA288" s="14"/>
      <c r="AG288" s="86"/>
      <c r="AJ288" s="86"/>
    </row>
    <row r="289">
      <c r="C289" s="88" t="str">
        <f t="shared" si="2"/>
        <v/>
      </c>
      <c r="D289" s="16"/>
      <c r="E289" s="16"/>
      <c r="F289" s="16"/>
      <c r="G289" s="16"/>
      <c r="H289" s="16"/>
      <c r="I289" s="16"/>
      <c r="J289" s="16"/>
      <c r="K289" s="16"/>
      <c r="L289" s="16"/>
      <c r="M289" s="16"/>
      <c r="N289" s="21"/>
      <c r="O289" s="30" t="str">
        <f t="shared" si="74"/>
        <v/>
      </c>
      <c r="P289" s="91" t="str">
        <f>IF(ISBLANK(N289),IFERROR(0/0,""),IFERROR(VLOOKUP(N289, 'Process Ref'!$A$76:$D$122, 2, FALSE), IFERROR(0/0,"")))</f>
        <v/>
      </c>
      <c r="R289" s="92" t="str">
        <f>IFNA(MATCH(A289,'RFR Data - preExcl'!A$2:A923,0),"")</f>
        <v/>
      </c>
      <c r="S289" s="54"/>
      <c r="T289" s="143" t="str">
        <f>IF(AND(NOT(ISBLANK(U289)),NOT(ISBLANK(V289)),NOT(ISBLANK(W289))),CONCATENATE("RUN-",'Process Ref'!$A$1,"_",TEXT(V289,"YYYY-MM-DD"),"_APS-",TEXT(W289,"000")),IFERROR(0/0,""))</f>
        <v/>
      </c>
      <c r="U289" s="73">
        <f t="shared" si="85"/>
        <v>44626</v>
      </c>
      <c r="V289" s="220">
        <v>44626.0</v>
      </c>
      <c r="W289" s="221"/>
      <c r="X289" s="86"/>
      <c r="Z289" s="131"/>
      <c r="AA289" s="14"/>
      <c r="AG289" s="86"/>
      <c r="AJ289" s="86"/>
    </row>
    <row r="290">
      <c r="C290" s="88" t="str">
        <f t="shared" si="2"/>
        <v/>
      </c>
      <c r="D290" s="16"/>
      <c r="E290" s="16"/>
      <c r="F290" s="16"/>
      <c r="G290" s="16"/>
      <c r="H290" s="16"/>
      <c r="I290" s="16"/>
      <c r="J290" s="16"/>
      <c r="K290" s="16"/>
      <c r="L290" s="16"/>
      <c r="M290" s="16"/>
      <c r="N290" s="21"/>
      <c r="O290" s="30" t="str">
        <f t="shared" si="74"/>
        <v/>
      </c>
      <c r="P290" s="91" t="str">
        <f>IF(ISBLANK(N290),IFERROR(0/0,""),IFERROR(VLOOKUP(N290, 'Process Ref'!$A$76:$D$122, 2, FALSE), IFERROR(0/0,"")))</f>
        <v/>
      </c>
      <c r="R290" s="92" t="str">
        <f>IFNA(MATCH(A290,'RFR Data - preExcl'!A$2:A923,0),"")</f>
        <v/>
      </c>
      <c r="S290" s="54"/>
      <c r="T290" s="8" t="str">
        <f>IF(AND(NOT(ISBLANK(U290)),NOT(ISBLANK(V290)),NOT(ISBLANK(W290))),CONCATENATE("RUN-",'Process Ref'!$A$1,"_",TEXT(V290,"YYYY-MM-DD"),"_APS-",TEXT(W290,"000")),IFERROR(0/0,""))</f>
        <v/>
      </c>
      <c r="U290" s="8" t="str">
        <f t="shared" si="85"/>
        <v/>
      </c>
      <c r="V290" s="190">
        <v>44627.0</v>
      </c>
      <c r="W290" s="191" t="str">
        <f>IF(NOT(ISBLANK(U290)),MAX(W$1:W289)+1,IFERROR(0/0,""))</f>
        <v/>
      </c>
      <c r="X290" s="86"/>
      <c r="Z290" s="131"/>
      <c r="AA290" s="14"/>
      <c r="AG290" s="86"/>
      <c r="AJ290" s="86"/>
    </row>
    <row r="291">
      <c r="C291" s="88" t="str">
        <f t="shared" si="2"/>
        <v/>
      </c>
      <c r="D291" s="16"/>
      <c r="E291" s="16"/>
      <c r="F291" s="16"/>
      <c r="G291" s="16"/>
      <c r="H291" s="16"/>
      <c r="I291" s="16"/>
      <c r="J291" s="16"/>
      <c r="K291" s="16"/>
      <c r="L291" s="16"/>
      <c r="M291" s="16"/>
      <c r="N291" s="21"/>
      <c r="O291" s="30" t="str">
        <f t="shared" si="74"/>
        <v/>
      </c>
      <c r="P291" s="91" t="str">
        <f>IF(ISBLANK(N291),IFERROR(0/0,""),IFERROR(VLOOKUP(N291, 'Process Ref'!$A$76:$D$122, 2, FALSE), IFERROR(0/0,"")))</f>
        <v/>
      </c>
      <c r="R291" s="92" t="str">
        <f>IFNA(MATCH(A291,'RFR Data - preExcl'!A$2:A923,0),"")</f>
        <v/>
      </c>
      <c r="S291" s="54"/>
      <c r="T291" s="143" t="str">
        <f>IF(AND(NOT(ISBLANK(U291)),NOT(ISBLANK(V291)),NOT(ISBLANK(W291))),CONCATENATE("RUN-",'Process Ref'!$A$1,"_",TEXT(V291,"YYYY-MM-DD"),"_APS-",TEXT(W291,"000")),IFERROR(0/0,""))</f>
        <v/>
      </c>
      <c r="U291" s="73">
        <f t="shared" si="85"/>
        <v>44629</v>
      </c>
      <c r="V291" s="220">
        <v>44629.0</v>
      </c>
      <c r="W291" s="221"/>
      <c r="X291" s="86"/>
      <c r="Z291" s="131"/>
      <c r="AA291" s="14"/>
      <c r="AG291" s="86"/>
      <c r="AJ291" s="86"/>
    </row>
    <row r="292">
      <c r="C292" s="88" t="str">
        <f t="shared" si="2"/>
        <v/>
      </c>
      <c r="D292" s="16"/>
      <c r="E292" s="16"/>
      <c r="F292" s="16"/>
      <c r="G292" s="16"/>
      <c r="H292" s="16"/>
      <c r="I292" s="16"/>
      <c r="J292" s="16"/>
      <c r="K292" s="16"/>
      <c r="L292" s="16"/>
      <c r="M292" s="16"/>
      <c r="N292" s="21"/>
      <c r="O292" s="30" t="str">
        <f t="shared" si="74"/>
        <v/>
      </c>
      <c r="P292" s="91" t="str">
        <f>IF(ISBLANK(N292),IFERROR(0/0,""),IFERROR(VLOOKUP(N292, 'Process Ref'!$A$76:$D$122, 2, FALSE), IFERROR(0/0,"")))</f>
        <v/>
      </c>
      <c r="R292" s="92" t="str">
        <f>IFNA(MATCH(A292,'RFR Data - preExcl'!A$2:A923,0),"")</f>
        <v/>
      </c>
      <c r="S292" s="54"/>
      <c r="T292" s="8" t="str">
        <f>IF(AND(NOT(ISBLANK(U292)),NOT(ISBLANK(V292)),NOT(ISBLANK(W292))),CONCATENATE("RUN-",'Process Ref'!$A$1,"_",TEXT(V292,"YYYY-MM-DD"),"_APS-",TEXT(W292,"000")),IFERROR(0/0,""))</f>
        <v/>
      </c>
      <c r="U292" s="8" t="str">
        <f t="shared" si="85"/>
        <v/>
      </c>
      <c r="V292" s="190">
        <v>44630.0</v>
      </c>
      <c r="W292" s="191" t="str">
        <f t="shared" ref="W292:W293" si="92">IF(NOT(ISBLANK(U292)),MAX(W$1:W291)+1,IFERROR(0/0,""))</f>
        <v/>
      </c>
      <c r="X292" s="86"/>
      <c r="Z292" s="131"/>
      <c r="AA292" s="14"/>
      <c r="AG292" s="86"/>
      <c r="AJ292" s="86"/>
    </row>
    <row r="293">
      <c r="C293" s="88" t="str">
        <f t="shared" si="2"/>
        <v/>
      </c>
      <c r="D293" s="16"/>
      <c r="E293" s="16"/>
      <c r="F293" s="16"/>
      <c r="G293" s="16"/>
      <c r="H293" s="16"/>
      <c r="I293" s="16"/>
      <c r="J293" s="16"/>
      <c r="K293" s="16"/>
      <c r="L293" s="16"/>
      <c r="M293" s="16"/>
      <c r="N293" s="21"/>
      <c r="O293" s="30" t="str">
        <f t="shared" si="74"/>
        <v/>
      </c>
      <c r="P293" s="91" t="str">
        <f>IF(ISBLANK(N293),IFERROR(0/0,""),IFERROR(VLOOKUP(N293, 'Process Ref'!$A$76:$D$122, 2, FALSE), IFERROR(0/0,"")))</f>
        <v/>
      </c>
      <c r="R293" s="92" t="str">
        <f>IFNA(MATCH(A293,'RFR Data - preExcl'!A$2:A923,0),"")</f>
        <v/>
      </c>
      <c r="S293" s="54"/>
      <c r="T293" s="8" t="str">
        <f>IF(AND(NOT(ISBLANK(U293)),NOT(ISBLANK(V293)),NOT(ISBLANK(W293))),CONCATENATE("RUN-",'Process Ref'!$A$1,"_",TEXT(V293,"YYYY-MM-DD"),"_APS-",TEXT(W293,"000")),IFERROR(0/0,""))</f>
        <v/>
      </c>
      <c r="U293" s="8" t="str">
        <f t="shared" si="85"/>
        <v/>
      </c>
      <c r="V293" s="190">
        <v>44632.0</v>
      </c>
      <c r="W293" s="191" t="str">
        <f t="shared" si="92"/>
        <v/>
      </c>
      <c r="X293" s="86"/>
      <c r="Z293" s="131"/>
      <c r="AA293" s="14"/>
      <c r="AG293" s="86"/>
      <c r="AJ293" s="86"/>
    </row>
    <row r="294">
      <c r="C294" s="88" t="str">
        <f t="shared" si="2"/>
        <v/>
      </c>
      <c r="D294" s="16"/>
      <c r="E294" s="16"/>
      <c r="F294" s="16"/>
      <c r="G294" s="16"/>
      <c r="H294" s="16"/>
      <c r="I294" s="16"/>
      <c r="J294" s="16"/>
      <c r="K294" s="16"/>
      <c r="L294" s="16"/>
      <c r="M294" s="16"/>
      <c r="N294" s="21"/>
      <c r="O294" s="30" t="str">
        <f t="shared" si="74"/>
        <v/>
      </c>
      <c r="P294" s="91" t="str">
        <f>IF(ISBLANK(N294),IFERROR(0/0,""),IFERROR(VLOOKUP(N294, 'Process Ref'!$A$76:$D$122, 2, FALSE), IFERROR(0/0,"")))</f>
        <v/>
      </c>
      <c r="R294" s="92" t="str">
        <f>IFNA(MATCH(A294,'RFR Data - preExcl'!A$2:A923,0),"")</f>
        <v/>
      </c>
      <c r="S294" s="54"/>
      <c r="T294" s="143" t="str">
        <f>IF(AND(NOT(ISBLANK(U294)),NOT(ISBLANK(V294)),NOT(ISBLANK(W294))),CONCATENATE("RUN-",'Process Ref'!$A$1,"_",TEXT(V294,"YYYY-MM-DD"),"_APS-",TEXT(W294,"000")),IFERROR(0/0,""))</f>
        <v/>
      </c>
      <c r="U294" s="73">
        <f t="shared" si="85"/>
        <v>44633</v>
      </c>
      <c r="V294" s="220">
        <v>44633.0</v>
      </c>
      <c r="W294" s="221"/>
      <c r="X294" s="86"/>
      <c r="Z294" s="131"/>
      <c r="AA294" s="14"/>
      <c r="AG294" s="86"/>
      <c r="AJ294" s="86"/>
    </row>
    <row r="295">
      <c r="C295" s="88" t="str">
        <f t="shared" si="2"/>
        <v/>
      </c>
      <c r="D295" s="16"/>
      <c r="E295" s="16"/>
      <c r="F295" s="16"/>
      <c r="G295" s="16"/>
      <c r="H295" s="16"/>
      <c r="I295" s="16"/>
      <c r="J295" s="16"/>
      <c r="K295" s="16"/>
      <c r="L295" s="16"/>
      <c r="M295" s="16"/>
      <c r="N295" s="21"/>
      <c r="O295" s="30" t="str">
        <f t="shared" si="74"/>
        <v/>
      </c>
      <c r="P295" s="91" t="str">
        <f>IF(ISBLANK(N295),IFERROR(0/0,""),IFERROR(VLOOKUP(N295, 'Process Ref'!$A$76:$D$122, 2, FALSE), IFERROR(0/0,"")))</f>
        <v/>
      </c>
      <c r="R295" s="92" t="str">
        <f>IFNA(MATCH(A295,'RFR Data - preExcl'!A$2:A923,0),"")</f>
        <v/>
      </c>
      <c r="S295" s="54"/>
      <c r="T295" s="8" t="str">
        <f>IF(AND(NOT(ISBLANK(U295)),NOT(ISBLANK(V295)),NOT(ISBLANK(W295))),CONCATENATE("RUN-",'Process Ref'!$A$1,"_",TEXT(V295,"YYYY-MM-DD"),"_APS-",TEXT(W295,"000")),IFERROR(0/0,""))</f>
        <v/>
      </c>
      <c r="U295" s="8" t="str">
        <f t="shared" si="85"/>
        <v/>
      </c>
      <c r="V295" s="190">
        <v>44634.0</v>
      </c>
      <c r="W295" s="191" t="str">
        <f>IF(NOT(ISBLANK(U295)),MAX(W$1:W294)+1,IFERROR(0/0,""))</f>
        <v/>
      </c>
      <c r="X295" s="86"/>
      <c r="Z295" s="131"/>
      <c r="AA295" s="14"/>
      <c r="AG295" s="86"/>
      <c r="AJ295" s="86"/>
    </row>
    <row r="296">
      <c r="C296" s="88" t="str">
        <f t="shared" si="2"/>
        <v/>
      </c>
      <c r="D296" s="16"/>
      <c r="E296" s="16"/>
      <c r="F296" s="16"/>
      <c r="G296" s="16"/>
      <c r="H296" s="16"/>
      <c r="I296" s="16"/>
      <c r="J296" s="16"/>
      <c r="K296" s="16"/>
      <c r="L296" s="16"/>
      <c r="M296" s="16"/>
      <c r="N296" s="21"/>
      <c r="O296" s="30" t="str">
        <f t="shared" si="74"/>
        <v/>
      </c>
      <c r="P296" s="91" t="str">
        <f>IF(ISBLANK(N296),IFERROR(0/0,""),IFERROR(VLOOKUP(N296, 'Process Ref'!$A$76:$D$122, 2, FALSE), IFERROR(0/0,"")))</f>
        <v/>
      </c>
      <c r="R296" s="92" t="str">
        <f>IFNA(MATCH(A296,'RFR Data - preExcl'!A$2:A923,0),"")</f>
        <v/>
      </c>
      <c r="S296" s="54"/>
      <c r="T296" s="143" t="str">
        <f>IF(AND(NOT(ISBLANK(U296)),NOT(ISBLANK(V296)),NOT(ISBLANK(W296))),CONCATENATE("RUN-",'Process Ref'!$A$1,"_",TEXT(V296,"YYYY-MM-DD"),"_APS-",TEXT(W296,"000")),IFERROR(0/0,""))</f>
        <v/>
      </c>
      <c r="U296" s="73">
        <f t="shared" si="85"/>
        <v>44636</v>
      </c>
      <c r="V296" s="220">
        <v>44636.0</v>
      </c>
      <c r="W296" s="221"/>
      <c r="X296" s="86"/>
      <c r="Z296" s="131"/>
      <c r="AA296" s="14"/>
      <c r="AG296" s="86"/>
      <c r="AJ296" s="86"/>
    </row>
    <row r="297">
      <c r="C297" s="88" t="str">
        <f t="shared" si="2"/>
        <v/>
      </c>
      <c r="D297" s="16"/>
      <c r="E297" s="16"/>
      <c r="F297" s="16"/>
      <c r="G297" s="16"/>
      <c r="H297" s="16"/>
      <c r="I297" s="16"/>
      <c r="J297" s="16"/>
      <c r="K297" s="16"/>
      <c r="L297" s="16"/>
      <c r="M297" s="16"/>
      <c r="N297" s="21"/>
      <c r="O297" s="30" t="str">
        <f t="shared" si="74"/>
        <v/>
      </c>
      <c r="P297" s="91" t="str">
        <f>IF(ISBLANK(N297),IFERROR(0/0,""),IFERROR(VLOOKUP(N297, 'Process Ref'!$A$76:$D$122, 2, FALSE), IFERROR(0/0,"")))</f>
        <v/>
      </c>
      <c r="R297" s="92" t="str">
        <f>IFNA(MATCH(A297,'RFR Data - preExcl'!A$2:A923,0),"")</f>
        <v/>
      </c>
      <c r="S297" s="54"/>
      <c r="T297" s="8" t="str">
        <f>IF(AND(NOT(ISBLANK(U297)),NOT(ISBLANK(V297)),NOT(ISBLANK(W297))),CONCATENATE("RUN-",'Process Ref'!$A$1,"_",TEXT(V297,"YYYY-MM-DD"),"_APS-",TEXT(W297,"000")),IFERROR(0/0,""))</f>
        <v/>
      </c>
      <c r="U297" s="8" t="str">
        <f t="shared" si="85"/>
        <v/>
      </c>
      <c r="V297" s="190">
        <v>44637.0</v>
      </c>
      <c r="W297" s="191" t="str">
        <f>IF(NOT(ISBLANK(U297)),MAX(W$1:W296)+1,IFERROR(0/0,""))</f>
        <v/>
      </c>
      <c r="X297" s="86"/>
      <c r="Z297" s="131"/>
      <c r="AA297" s="14"/>
      <c r="AG297" s="86"/>
      <c r="AJ297" s="86"/>
    </row>
    <row r="298">
      <c r="C298" s="88" t="str">
        <f t="shared" si="2"/>
        <v/>
      </c>
      <c r="D298" s="16"/>
      <c r="E298" s="16"/>
      <c r="F298" s="16"/>
      <c r="G298" s="16"/>
      <c r="H298" s="16"/>
      <c r="I298" s="16"/>
      <c r="J298" s="16"/>
      <c r="K298" s="16"/>
      <c r="L298" s="16"/>
      <c r="M298" s="16"/>
      <c r="N298" s="21"/>
      <c r="O298" s="30" t="str">
        <f t="shared" si="74"/>
        <v/>
      </c>
      <c r="P298" s="91" t="str">
        <f>IF(ISBLANK(N298),IFERROR(0/0,""),IFERROR(VLOOKUP(N298, 'Process Ref'!$A$76:$D$122, 2, FALSE), IFERROR(0/0,"")))</f>
        <v/>
      </c>
      <c r="R298" s="92" t="str">
        <f>IFNA(MATCH(A298,'RFR Data - preExcl'!A$2:A923,0),"")</f>
        <v/>
      </c>
      <c r="S298" s="54"/>
      <c r="T298" s="143" t="str">
        <f>IF(AND(NOT(ISBLANK(U298)),NOT(ISBLANK(V298)),NOT(ISBLANK(W298))),CONCATENATE("RUN-",'Process Ref'!$A$1,"_",TEXT(V298,"YYYY-MM-DD"),"_APS-",TEXT(W298,"000")),IFERROR(0/0,""))</f>
        <v/>
      </c>
      <c r="U298" s="73">
        <f t="shared" si="85"/>
        <v>44640</v>
      </c>
      <c r="V298" s="220">
        <v>44640.0</v>
      </c>
      <c r="W298" s="221"/>
      <c r="X298" s="86"/>
      <c r="Z298" s="131"/>
      <c r="AA298" s="14"/>
      <c r="AG298" s="86"/>
      <c r="AJ298" s="86"/>
    </row>
    <row r="299">
      <c r="C299" s="88" t="str">
        <f t="shared" si="2"/>
        <v/>
      </c>
      <c r="D299" s="16"/>
      <c r="E299" s="16"/>
      <c r="F299" s="16"/>
      <c r="G299" s="16"/>
      <c r="H299" s="16"/>
      <c r="I299" s="16"/>
      <c r="J299" s="16"/>
      <c r="K299" s="16"/>
      <c r="L299" s="16"/>
      <c r="M299" s="16"/>
      <c r="N299" s="21"/>
      <c r="O299" s="30" t="str">
        <f t="shared" si="74"/>
        <v/>
      </c>
      <c r="P299" s="91" t="str">
        <f>IF(ISBLANK(N299),IFERROR(0/0,""),IFERROR(VLOOKUP(N299, 'Process Ref'!$A$76:$D$122, 2, FALSE), IFERROR(0/0,"")))</f>
        <v/>
      </c>
      <c r="R299" s="92" t="str">
        <f>IFNA(MATCH(A299,'RFR Data - preExcl'!A$2:A923,0),"")</f>
        <v/>
      </c>
      <c r="S299" s="54"/>
      <c r="T299" s="24" t="str">
        <f>IF(AND(NOT(ISBLANK(U299)),NOT(ISBLANK(V299)),NOT(ISBLANK(W299))),CONCATENATE("RUN-",'Process Ref'!$A$1,"_",TEXT(V299,"YYYY-MM-DD"),"_APS-",TEXT(W299,"000")),IFERROR(0/0,""))</f>
        <v>RUN-FLMP_2022-03-21_APS-085</v>
      </c>
      <c r="U299" s="111">
        <f t="shared" si="85"/>
        <v>44641</v>
      </c>
      <c r="V299" s="216">
        <v>44641.0</v>
      </c>
      <c r="W299" s="191">
        <f t="shared" ref="W299:W304" si="93">IF(NOT(ISBLANK(U299)),MAX(W$1:W298)+1,IFERROR(0/0,""))</f>
        <v>85</v>
      </c>
      <c r="X299" s="86"/>
      <c r="Z299" s="131"/>
      <c r="AA299" s="14"/>
      <c r="AG299" s="86"/>
      <c r="AJ299" s="86"/>
    </row>
    <row r="300">
      <c r="C300" s="88" t="str">
        <f t="shared" si="2"/>
        <v/>
      </c>
      <c r="D300" s="16"/>
      <c r="E300" s="16"/>
      <c r="F300" s="16"/>
      <c r="G300" s="16"/>
      <c r="H300" s="16"/>
      <c r="I300" s="16"/>
      <c r="J300" s="16"/>
      <c r="K300" s="16"/>
      <c r="L300" s="16"/>
      <c r="M300" s="16"/>
      <c r="N300" s="21"/>
      <c r="O300" s="30" t="str">
        <f t="shared" si="74"/>
        <v/>
      </c>
      <c r="P300" s="91" t="str">
        <f>IF(ISBLANK(N300),IFERROR(0/0,""),IFERROR(VLOOKUP(N300, 'Process Ref'!$A$76:$D$122, 2, FALSE), IFERROR(0/0,"")))</f>
        <v/>
      </c>
      <c r="R300" s="92" t="str">
        <f>IFNA(MATCH(A300,'RFR Data - preExcl'!A$2:A923,0),"")</f>
        <v/>
      </c>
      <c r="S300" s="54"/>
      <c r="T300" s="8" t="str">
        <f>IF(AND(NOT(ISBLANK(U300)),NOT(ISBLANK(V300)),NOT(ISBLANK(W300))),CONCATENATE("RUN-",'Process Ref'!$A$1,"_",TEXT(V300,"YYYY-MM-DD"),"_APS-",TEXT(W300,"000")),IFERROR(0/0,""))</f>
        <v/>
      </c>
      <c r="U300" s="8" t="str">
        <f t="shared" si="85"/>
        <v/>
      </c>
      <c r="V300" s="190">
        <v>44642.0</v>
      </c>
      <c r="W300" s="191" t="str">
        <f t="shared" si="93"/>
        <v/>
      </c>
      <c r="X300" s="86"/>
      <c r="Z300" s="131"/>
      <c r="AA300" s="14"/>
      <c r="AG300" s="86"/>
      <c r="AJ300" s="86"/>
    </row>
    <row r="301">
      <c r="C301" s="88" t="str">
        <f t="shared" si="2"/>
        <v/>
      </c>
      <c r="D301" s="16"/>
      <c r="E301" s="16"/>
      <c r="F301" s="16"/>
      <c r="G301" s="16"/>
      <c r="H301" s="16"/>
      <c r="I301" s="16"/>
      <c r="J301" s="16"/>
      <c r="K301" s="16"/>
      <c r="L301" s="16"/>
      <c r="M301" s="16"/>
      <c r="N301" s="21"/>
      <c r="O301" s="30" t="str">
        <f t="shared" si="74"/>
        <v/>
      </c>
      <c r="P301" s="91" t="str">
        <f>IF(ISBLANK(N301),IFERROR(0/0,""),IFERROR(VLOOKUP(N301, 'Process Ref'!$A$76:$D$122, 2, FALSE), IFERROR(0/0,"")))</f>
        <v/>
      </c>
      <c r="R301" s="92" t="str">
        <f>IFNA(MATCH(A301,'RFR Data - preExcl'!A$2:A923,0),"")</f>
        <v/>
      </c>
      <c r="S301" s="54"/>
      <c r="T301" s="24" t="str">
        <f>IF(AND(NOT(ISBLANK(U301)),NOT(ISBLANK(V301)),NOT(ISBLANK(W301))),CONCATENATE("RUN-",'Process Ref'!$A$1,"_",TEXT(V301,"YYYY-MM-DD"),"_APS-",TEXT(W301,"000")),IFERROR(0/0,""))</f>
        <v>RUN-FLMP_2022-03-24_APS-086</v>
      </c>
      <c r="U301" s="111">
        <f t="shared" si="85"/>
        <v>44644</v>
      </c>
      <c r="V301" s="216">
        <v>44644.0</v>
      </c>
      <c r="W301" s="191">
        <f t="shared" si="93"/>
        <v>86</v>
      </c>
      <c r="X301" s="86"/>
      <c r="Z301" s="131"/>
      <c r="AA301" s="14"/>
      <c r="AG301" s="86"/>
      <c r="AJ301" s="86"/>
    </row>
    <row r="302">
      <c r="C302" s="88" t="str">
        <f t="shared" si="2"/>
        <v/>
      </c>
      <c r="D302" s="16"/>
      <c r="E302" s="16"/>
      <c r="F302" s="16"/>
      <c r="G302" s="16"/>
      <c r="H302" s="16"/>
      <c r="I302" s="16"/>
      <c r="J302" s="16"/>
      <c r="K302" s="16"/>
      <c r="L302" s="16"/>
      <c r="M302" s="16"/>
      <c r="N302" s="21"/>
      <c r="O302" s="30" t="str">
        <f t="shared" si="74"/>
        <v/>
      </c>
      <c r="P302" s="91" t="str">
        <f>IF(ISBLANK(N302),IFERROR(0/0,""),IFERROR(VLOOKUP(N302, 'Process Ref'!$A$76:$D$122, 2, FALSE), IFERROR(0/0,"")))</f>
        <v/>
      </c>
      <c r="R302" s="92" t="str">
        <f>IFNA(MATCH(A302,'RFR Data - preExcl'!A$2:A923,0),"")</f>
        <v/>
      </c>
      <c r="S302" s="54"/>
      <c r="T302" s="24" t="str">
        <f>IF(AND(NOT(ISBLANK(U302)),NOT(ISBLANK(V302)),NOT(ISBLANK(W302))),CONCATENATE("RUN-",'Process Ref'!$A$1,"_",TEXT(V302,"YYYY-MM-DD"),"_APS-",TEXT(W302,"000")),IFERROR(0/0,""))</f>
        <v>RUN-FLMP_2022-03-28_APS-087</v>
      </c>
      <c r="U302" s="111">
        <f t="shared" si="85"/>
        <v>44648</v>
      </c>
      <c r="V302" s="216">
        <v>44648.0</v>
      </c>
      <c r="W302" s="191">
        <f t="shared" si="93"/>
        <v>87</v>
      </c>
      <c r="X302" s="86"/>
      <c r="Z302" s="131"/>
      <c r="AA302" s="14"/>
      <c r="AG302" s="86"/>
      <c r="AJ302" s="86"/>
    </row>
    <row r="303">
      <c r="C303" s="88" t="str">
        <f t="shared" si="2"/>
        <v/>
      </c>
      <c r="D303" s="16"/>
      <c r="E303" s="16"/>
      <c r="F303" s="16"/>
      <c r="G303" s="16"/>
      <c r="H303" s="16"/>
      <c r="I303" s="16"/>
      <c r="J303" s="16"/>
      <c r="K303" s="16"/>
      <c r="L303" s="16"/>
      <c r="M303" s="16"/>
      <c r="N303" s="21"/>
      <c r="O303" s="30" t="str">
        <f t="shared" si="74"/>
        <v/>
      </c>
      <c r="P303" s="91" t="str">
        <f>IF(ISBLANK(N303),IFERROR(0/0,""),IFERROR(VLOOKUP(N303, 'Process Ref'!$A$76:$D$122, 2, FALSE), IFERROR(0/0,"")))</f>
        <v/>
      </c>
      <c r="R303" s="92" t="str">
        <f>IFNA(MATCH(A303,'RFR Data - preExcl'!A$2:A923,0),"")</f>
        <v/>
      </c>
      <c r="S303" s="54"/>
      <c r="T303" s="24" t="str">
        <f>IF(AND(NOT(ISBLANK(U303)),NOT(ISBLANK(V303)),NOT(ISBLANK(W303))),CONCATENATE("RUN-",'Process Ref'!$A$1,"_",TEXT(V303,"YYYY-MM-DD"),"_APS-",TEXT(W303,"000")),IFERROR(0/0,""))</f>
        <v>RUN-FLMP_2022-04-01_APS-088</v>
      </c>
      <c r="U303" s="111">
        <f t="shared" si="85"/>
        <v>44652</v>
      </c>
      <c r="V303" s="216">
        <v>44652.0</v>
      </c>
      <c r="W303" s="191">
        <f t="shared" si="93"/>
        <v>88</v>
      </c>
      <c r="X303" s="86"/>
      <c r="Z303" s="131"/>
      <c r="AA303" s="14"/>
      <c r="AG303" s="86"/>
      <c r="AJ303" s="86"/>
    </row>
    <row r="304">
      <c r="C304" s="88" t="str">
        <f t="shared" si="2"/>
        <v/>
      </c>
      <c r="D304" s="16"/>
      <c r="E304" s="16"/>
      <c r="F304" s="16"/>
      <c r="G304" s="16"/>
      <c r="H304" s="16"/>
      <c r="I304" s="16"/>
      <c r="J304" s="16"/>
      <c r="K304" s="16"/>
      <c r="L304" s="16"/>
      <c r="M304" s="16"/>
      <c r="N304" s="21"/>
      <c r="O304" s="30" t="str">
        <f t="shared" si="74"/>
        <v/>
      </c>
      <c r="P304" s="91" t="str">
        <f>IF(ISBLANK(N304),IFERROR(0/0,""),IFERROR(VLOOKUP(N304, 'Process Ref'!$A$76:$D$122, 2, FALSE), IFERROR(0/0,"")))</f>
        <v/>
      </c>
      <c r="R304" s="92" t="str">
        <f>IFNA(MATCH(A304,'RFR Data - preExcl'!A$2:A923,0),"")</f>
        <v/>
      </c>
      <c r="S304" s="54"/>
      <c r="T304" s="8" t="str">
        <f>IF(AND(NOT(ISBLANK(U304)),NOT(ISBLANK(V304)),NOT(ISBLANK(W304))),CONCATENATE("RUN-",'Process Ref'!$A$1,"_",TEXT(V304,"YYYY-MM-DD"),"_APS-",TEXT(W304,"000")),IFERROR(0/0,""))</f>
        <v/>
      </c>
      <c r="U304" s="8" t="str">
        <f t="shared" si="85"/>
        <v/>
      </c>
      <c r="V304" s="190">
        <v>44653.0</v>
      </c>
      <c r="W304" s="191" t="str">
        <f t="shared" si="93"/>
        <v/>
      </c>
      <c r="X304" s="86"/>
      <c r="Z304" s="131"/>
      <c r="AA304" s="14"/>
      <c r="AG304" s="86"/>
      <c r="AJ304" s="86"/>
    </row>
    <row r="305">
      <c r="C305" s="88" t="str">
        <f t="shared" si="2"/>
        <v/>
      </c>
      <c r="D305" s="16"/>
      <c r="E305" s="16"/>
      <c r="F305" s="16"/>
      <c r="G305" s="16"/>
      <c r="H305" s="16"/>
      <c r="I305" s="16"/>
      <c r="J305" s="16"/>
      <c r="K305" s="16"/>
      <c r="L305" s="16"/>
      <c r="M305" s="16"/>
      <c r="N305" s="21"/>
      <c r="O305" s="30" t="str">
        <f t="shared" si="74"/>
        <v/>
      </c>
      <c r="P305" s="91" t="str">
        <f>IF(ISBLANK(N305),IFERROR(0/0,""),IFERROR(VLOOKUP(N305, 'Process Ref'!$A$76:$D$122, 2, FALSE), IFERROR(0/0,"")))</f>
        <v/>
      </c>
      <c r="R305" s="92" t="str">
        <f>IFNA(MATCH(A305,'RFR Data - preExcl'!A$2:A923,0),"")</f>
        <v/>
      </c>
      <c r="S305" s="54"/>
      <c r="T305" s="143" t="str">
        <f>IF(AND(NOT(ISBLANK(U305)),NOT(ISBLANK(V305)),NOT(ISBLANK(W305))),CONCATENATE("RUN-",'Process Ref'!$A$1,"_",TEXT(V305,"YYYY-MM-DD"),"_APS-",TEXT(W305,"000")),IFERROR(0/0,""))</f>
        <v/>
      </c>
      <c r="U305" s="73">
        <f t="shared" si="85"/>
        <v>44654</v>
      </c>
      <c r="V305" s="220">
        <v>44654.0</v>
      </c>
      <c r="W305" s="221"/>
      <c r="X305" s="86"/>
      <c r="Z305" s="131"/>
      <c r="AA305" s="14"/>
      <c r="AG305" s="86"/>
      <c r="AJ305" s="86"/>
    </row>
    <row r="306">
      <c r="C306" s="88" t="str">
        <f t="shared" si="2"/>
        <v/>
      </c>
      <c r="D306" s="16"/>
      <c r="E306" s="16"/>
      <c r="F306" s="16"/>
      <c r="G306" s="16"/>
      <c r="H306" s="16"/>
      <c r="I306" s="16"/>
      <c r="J306" s="16"/>
      <c r="K306" s="16"/>
      <c r="L306" s="16"/>
      <c r="M306" s="16"/>
      <c r="N306" s="21"/>
      <c r="O306" s="30" t="str">
        <f t="shared" si="74"/>
        <v/>
      </c>
      <c r="P306" s="91" t="str">
        <f>IF(ISBLANK(N306),IFERROR(0/0,""),IFERROR(VLOOKUP(N306, 'Process Ref'!$A$76:$D$122, 2, FALSE), IFERROR(0/0,"")))</f>
        <v/>
      </c>
      <c r="R306" s="92" t="str">
        <f>IFNA(MATCH(A306,'RFR Data - preExcl'!A$2:A923,0),"")</f>
        <v/>
      </c>
      <c r="S306" s="54"/>
      <c r="T306" s="8" t="str">
        <f>IF(AND(NOT(ISBLANK(U306)),NOT(ISBLANK(V306)),NOT(ISBLANK(W306))),CONCATENATE("RUN-",'Process Ref'!$A$1,"_",TEXT(V306,"YYYY-MM-DD"),"_APS-",TEXT(W306,"000")),IFERROR(0/0,""))</f>
        <v/>
      </c>
      <c r="U306" s="8" t="str">
        <f t="shared" si="85"/>
        <v/>
      </c>
      <c r="V306" s="190">
        <v>44655.0</v>
      </c>
      <c r="W306" s="191" t="str">
        <f>IF(NOT(ISBLANK(U306)),MAX(W$1:W305)+1,IFERROR(0/0,""))</f>
        <v/>
      </c>
      <c r="X306" s="86"/>
      <c r="Z306" s="131"/>
      <c r="AA306" s="14"/>
      <c r="AG306" s="86"/>
      <c r="AJ306" s="86"/>
    </row>
    <row r="307">
      <c r="C307" s="88" t="str">
        <f t="shared" si="2"/>
        <v/>
      </c>
      <c r="D307" s="16"/>
      <c r="E307" s="16"/>
      <c r="F307" s="16"/>
      <c r="G307" s="16"/>
      <c r="H307" s="16"/>
      <c r="I307" s="16"/>
      <c r="J307" s="16"/>
      <c r="K307" s="16"/>
      <c r="L307" s="16"/>
      <c r="M307" s="16"/>
      <c r="N307" s="21"/>
      <c r="O307" s="30" t="str">
        <f t="shared" si="74"/>
        <v/>
      </c>
      <c r="P307" s="91" t="str">
        <f>IF(ISBLANK(N307),IFERROR(0/0,""),IFERROR(VLOOKUP(N307, 'Process Ref'!$A$76:$D$122, 2, FALSE), IFERROR(0/0,"")))</f>
        <v/>
      </c>
      <c r="R307" s="92" t="str">
        <f>IFNA(MATCH(A307,'RFR Data - preExcl'!A$2:A923,0),"")</f>
        <v/>
      </c>
      <c r="S307" s="54"/>
      <c r="T307" s="143" t="str">
        <f>IF(AND(NOT(ISBLANK(U307)),NOT(ISBLANK(V307)),NOT(ISBLANK(W307))),CONCATENATE("RUN-",'Process Ref'!$A$1,"_",TEXT(V307,"YYYY-MM-DD"),"_APS-",TEXT(W307,"000")),IFERROR(0/0,""))</f>
        <v/>
      </c>
      <c r="U307" s="73">
        <f t="shared" si="85"/>
        <v>44657</v>
      </c>
      <c r="V307" s="220">
        <v>44657.0</v>
      </c>
      <c r="W307" s="221"/>
      <c r="X307" s="86"/>
      <c r="Z307" s="131"/>
      <c r="AA307" s="14"/>
      <c r="AG307" s="86"/>
      <c r="AJ307" s="86"/>
    </row>
    <row r="308">
      <c r="C308" s="88" t="str">
        <f t="shared" si="2"/>
        <v/>
      </c>
      <c r="D308" s="16"/>
      <c r="E308" s="16"/>
      <c r="F308" s="16"/>
      <c r="G308" s="16"/>
      <c r="H308" s="16"/>
      <c r="I308" s="16"/>
      <c r="J308" s="16"/>
      <c r="K308" s="16"/>
      <c r="L308" s="16"/>
      <c r="M308" s="16"/>
      <c r="N308" s="21"/>
      <c r="O308" s="30" t="str">
        <f t="shared" si="74"/>
        <v/>
      </c>
      <c r="P308" s="91" t="str">
        <f>IF(ISBLANK(N308),IFERROR(0/0,""),IFERROR(VLOOKUP(N308, 'Process Ref'!$A$76:$D$122, 2, FALSE), IFERROR(0/0,"")))</f>
        <v/>
      </c>
      <c r="R308" s="92" t="str">
        <f>IFNA(MATCH(A308,'RFR Data - preExcl'!A$2:A923,0),"")</f>
        <v/>
      </c>
      <c r="S308" s="54"/>
      <c r="T308" s="8" t="str">
        <f>IF(AND(NOT(ISBLANK(U308)),NOT(ISBLANK(V308)),NOT(ISBLANK(W308))),CONCATENATE("RUN-",'Process Ref'!$A$1,"_",TEXT(V308,"YYYY-MM-DD"),"_APS-",TEXT(W308,"000")),IFERROR(0/0,""))</f>
        <v/>
      </c>
      <c r="U308" s="8" t="str">
        <f t="shared" si="85"/>
        <v/>
      </c>
      <c r="V308" s="190">
        <v>44658.0</v>
      </c>
      <c r="W308" s="191" t="str">
        <f>IF(NOT(ISBLANK(U308)),MAX(W$1:W307)+1,IFERROR(0/0,""))</f>
        <v/>
      </c>
      <c r="X308" s="86"/>
      <c r="Z308" s="131"/>
      <c r="AA308" s="14"/>
      <c r="AG308" s="86"/>
      <c r="AJ308" s="86"/>
    </row>
    <row r="309">
      <c r="C309" s="88" t="str">
        <f t="shared" si="2"/>
        <v/>
      </c>
      <c r="D309" s="16"/>
      <c r="E309" s="16"/>
      <c r="F309" s="16"/>
      <c r="G309" s="16"/>
      <c r="H309" s="16"/>
      <c r="I309" s="16"/>
      <c r="J309" s="16"/>
      <c r="K309" s="16"/>
      <c r="L309" s="16"/>
      <c r="M309" s="16"/>
      <c r="N309" s="21"/>
      <c r="O309" s="30" t="str">
        <f t="shared" si="74"/>
        <v/>
      </c>
      <c r="P309" s="91" t="str">
        <f>IF(ISBLANK(N309),IFERROR(0/0,""),IFERROR(VLOOKUP(N309, 'Process Ref'!$A$76:$D$122, 2, FALSE), IFERROR(0/0,"")))</f>
        <v/>
      </c>
      <c r="R309" s="92" t="str">
        <f>IFNA(MATCH(A309,'RFR Data - preExcl'!A$2:A923,0),"")</f>
        <v/>
      </c>
      <c r="S309" s="54"/>
      <c r="T309" s="143" t="str">
        <f>IF(AND(NOT(ISBLANK(U309)),NOT(ISBLANK(V309)),NOT(ISBLANK(W309))),CONCATENATE("RUN-",'Process Ref'!$A$1,"_",TEXT(V309,"YYYY-MM-DD"),"_APS-",TEXT(W309,"000")),IFERROR(0/0,""))</f>
        <v/>
      </c>
      <c r="U309" s="73">
        <f t="shared" si="85"/>
        <v>44661</v>
      </c>
      <c r="V309" s="220">
        <v>44661.0</v>
      </c>
      <c r="W309" s="221"/>
      <c r="X309" s="86"/>
      <c r="Z309" s="131"/>
      <c r="AA309" s="14"/>
      <c r="AG309" s="86"/>
      <c r="AJ309" s="86"/>
    </row>
    <row r="310">
      <c r="C310" s="88" t="str">
        <f t="shared" si="2"/>
        <v/>
      </c>
      <c r="D310" s="16"/>
      <c r="E310" s="16"/>
      <c r="F310" s="16"/>
      <c r="G310" s="16"/>
      <c r="H310" s="16"/>
      <c r="I310" s="16"/>
      <c r="J310" s="16"/>
      <c r="K310" s="16"/>
      <c r="L310" s="16"/>
      <c r="M310" s="16"/>
      <c r="N310" s="21"/>
      <c r="O310" s="30" t="str">
        <f t="shared" si="74"/>
        <v/>
      </c>
      <c r="P310" s="91" t="str">
        <f>IF(ISBLANK(N310),IFERROR(0/0,""),IFERROR(VLOOKUP(N310, 'Process Ref'!$A$76:$D$122, 2, FALSE), IFERROR(0/0,"")))</f>
        <v/>
      </c>
      <c r="R310" s="92" t="str">
        <f>IFNA(MATCH(A310,'RFR Data - preExcl'!A$2:A923,0),"")</f>
        <v/>
      </c>
      <c r="S310" s="54"/>
      <c r="T310" s="8" t="str">
        <f>IF(AND(NOT(ISBLANK(U310)),NOT(ISBLANK(V310)),NOT(ISBLANK(W310))),CONCATENATE("RUN-",'Process Ref'!$A$1,"_",TEXT(V310,"YYYY-MM-DD"),"_APS-",TEXT(W310,"000")),IFERROR(0/0,""))</f>
        <v/>
      </c>
      <c r="U310" s="8" t="str">
        <f t="shared" si="85"/>
        <v/>
      </c>
      <c r="V310" s="190">
        <v>44662.0</v>
      </c>
      <c r="W310" s="191" t="str">
        <f t="shared" ref="W310:W312" si="94">IF(NOT(ISBLANK(U310)),MAX(W$1:W309)+1,IFERROR(0/0,""))</f>
        <v/>
      </c>
      <c r="X310" s="86"/>
      <c r="Z310" s="131"/>
      <c r="AA310" s="14"/>
      <c r="AG310" s="86"/>
      <c r="AJ310" s="86"/>
    </row>
    <row r="311">
      <c r="C311" s="88" t="str">
        <f t="shared" si="2"/>
        <v/>
      </c>
      <c r="D311" s="16"/>
      <c r="E311" s="16"/>
      <c r="F311" s="16"/>
      <c r="G311" s="16"/>
      <c r="H311" s="16"/>
      <c r="I311" s="16"/>
      <c r="J311" s="16"/>
      <c r="K311" s="16"/>
      <c r="L311" s="16"/>
      <c r="M311" s="16"/>
      <c r="N311" s="21"/>
      <c r="O311" s="30" t="str">
        <f t="shared" si="74"/>
        <v/>
      </c>
      <c r="P311" s="91" t="str">
        <f>IF(ISBLANK(N311),IFERROR(0/0,""),IFERROR(VLOOKUP(N311, 'Process Ref'!$A$76:$D$122, 2, FALSE), IFERROR(0/0,"")))</f>
        <v/>
      </c>
      <c r="R311" s="92" t="str">
        <f>IFNA(MATCH(A311,'RFR Data - preExcl'!A$2:A923,0),"")</f>
        <v/>
      </c>
      <c r="S311" s="54"/>
      <c r="T311" s="8" t="str">
        <f>IF(AND(NOT(ISBLANK(U311)),NOT(ISBLANK(V311)),NOT(ISBLANK(W311))),CONCATENATE("RUN-",'Process Ref'!$A$1,"_",TEXT(V311,"YYYY-MM-DD"),"_APS-",TEXT(W311,"000")),IFERROR(0/0,""))</f>
        <v/>
      </c>
      <c r="U311" s="8" t="str">
        <f t="shared" si="85"/>
        <v/>
      </c>
      <c r="V311" s="190">
        <v>44665.0</v>
      </c>
      <c r="W311" s="191" t="str">
        <f t="shared" si="94"/>
        <v/>
      </c>
      <c r="X311" s="86"/>
      <c r="Z311" s="131"/>
      <c r="AA311" s="14"/>
      <c r="AG311" s="86"/>
      <c r="AJ311" s="86"/>
    </row>
    <row r="312">
      <c r="C312" s="88" t="str">
        <f t="shared" si="2"/>
        <v/>
      </c>
      <c r="D312" s="16"/>
      <c r="E312" s="16"/>
      <c r="F312" s="16"/>
      <c r="G312" s="16"/>
      <c r="H312" s="16"/>
      <c r="I312" s="16"/>
      <c r="J312" s="16"/>
      <c r="K312" s="16"/>
      <c r="L312" s="16"/>
      <c r="M312" s="16"/>
      <c r="N312" s="21"/>
      <c r="O312" s="30" t="str">
        <f t="shared" si="74"/>
        <v/>
      </c>
      <c r="P312" s="91" t="str">
        <f>IF(ISBLANK(N312),IFERROR(0/0,""),IFERROR(VLOOKUP(N312, 'Process Ref'!$A$76:$D$122, 2, FALSE), IFERROR(0/0,"")))</f>
        <v/>
      </c>
      <c r="R312" s="92" t="str">
        <f>IFNA(MATCH(A312,'RFR Data - preExcl'!A$2:A923,0),"")</f>
        <v/>
      </c>
      <c r="S312" s="54"/>
      <c r="T312" s="24" t="str">
        <f>IF(AND(NOT(ISBLANK(U312)),NOT(ISBLANK(V312)),NOT(ISBLANK(W312))),CONCATENATE("RUN-",'Process Ref'!$A$1,"_",TEXT(V312,"YYYY-MM-DD"),"_APS-",TEXT(W312,"000")),IFERROR(0/0,""))</f>
        <v>RUN-FLMP_2022-04-16_APS-089</v>
      </c>
      <c r="U312" s="111">
        <f t="shared" si="85"/>
        <v>44667</v>
      </c>
      <c r="V312" s="216">
        <v>44667.0</v>
      </c>
      <c r="W312" s="191">
        <f t="shared" si="94"/>
        <v>89</v>
      </c>
      <c r="X312" s="86"/>
      <c r="Z312" s="131"/>
      <c r="AA312" s="14"/>
      <c r="AG312" s="86"/>
      <c r="AJ312" s="86"/>
    </row>
    <row r="313">
      <c r="C313" s="88" t="str">
        <f t="shared" si="2"/>
        <v/>
      </c>
      <c r="D313" s="16"/>
      <c r="E313" s="16"/>
      <c r="F313" s="16"/>
      <c r="G313" s="16"/>
      <c r="H313" s="16"/>
      <c r="I313" s="16"/>
      <c r="J313" s="16"/>
      <c r="K313" s="16"/>
      <c r="L313" s="16"/>
      <c r="M313" s="16"/>
      <c r="N313" s="21"/>
      <c r="O313" s="30" t="str">
        <f t="shared" si="74"/>
        <v/>
      </c>
      <c r="P313" s="91" t="str">
        <f>IF(ISBLANK(N313),IFERROR(0/0,""),IFERROR(VLOOKUP(N313, 'Process Ref'!$A$76:$D$122, 2, FALSE), IFERROR(0/0,"")))</f>
        <v/>
      </c>
      <c r="R313" s="92" t="str">
        <f>IFNA(MATCH(A313,'RFR Data - preExcl'!A$2:A923,0),"")</f>
        <v/>
      </c>
      <c r="S313" s="54"/>
      <c r="T313" s="143" t="str">
        <f>IF(AND(NOT(ISBLANK(U313)),NOT(ISBLANK(V313)),NOT(ISBLANK(W313))),CONCATENATE("RUN-",'Process Ref'!$A$1,"_",TEXT(V313,"YYYY-MM-DD"),"_APS-",TEXT(W313,"000")),IFERROR(0/0,""))</f>
        <v/>
      </c>
      <c r="U313" s="73">
        <f t="shared" si="85"/>
        <v>44668</v>
      </c>
      <c r="V313" s="220">
        <v>44668.0</v>
      </c>
      <c r="W313" s="221"/>
      <c r="X313" s="86"/>
      <c r="Z313" s="131"/>
      <c r="AA313" s="14"/>
      <c r="AG313" s="86"/>
      <c r="AJ313" s="86"/>
    </row>
    <row r="314">
      <c r="C314" s="88" t="str">
        <f t="shared" si="2"/>
        <v/>
      </c>
      <c r="D314" s="16"/>
      <c r="E314" s="16"/>
      <c r="F314" s="16"/>
      <c r="G314" s="16"/>
      <c r="H314" s="16"/>
      <c r="I314" s="16"/>
      <c r="J314" s="16"/>
      <c r="K314" s="16"/>
      <c r="L314" s="16"/>
      <c r="M314" s="16"/>
      <c r="N314" s="21"/>
      <c r="O314" s="30" t="str">
        <f t="shared" si="74"/>
        <v/>
      </c>
      <c r="P314" s="91" t="str">
        <f>IF(ISBLANK(N314),IFERROR(0/0,""),IFERROR(VLOOKUP(N314, 'Process Ref'!$A$76:$D$122, 2, FALSE), IFERROR(0/0,"")))</f>
        <v/>
      </c>
      <c r="R314" s="92" t="str">
        <f>IFNA(MATCH(A314,'RFR Data - preExcl'!A$2:A923,0),"")</f>
        <v/>
      </c>
      <c r="S314" s="54"/>
      <c r="T314" s="8" t="str">
        <f>IF(AND(NOT(ISBLANK(U314)),NOT(ISBLANK(V314)),NOT(ISBLANK(W314))),CONCATENATE("RUN-",'Process Ref'!$A$1,"_",TEXT(V314,"YYYY-MM-DD"),"_APS-",TEXT(W314,"000")),IFERROR(0/0,""))</f>
        <v/>
      </c>
      <c r="U314" s="8" t="str">
        <f t="shared" si="85"/>
        <v/>
      </c>
      <c r="V314" s="190">
        <v>44669.0</v>
      </c>
      <c r="W314" s="191" t="str">
        <f t="shared" ref="W314:W316" si="95">IF(NOT(ISBLANK(U314)),MAX(W$1:W313)+1,IFERROR(0/0,""))</f>
        <v/>
      </c>
      <c r="X314" s="86"/>
      <c r="Z314" s="131"/>
      <c r="AA314" s="14"/>
      <c r="AG314" s="86"/>
      <c r="AJ314" s="86"/>
    </row>
    <row r="315">
      <c r="C315" s="88" t="str">
        <f t="shared" si="2"/>
        <v/>
      </c>
      <c r="D315" s="16"/>
      <c r="E315" s="16"/>
      <c r="F315" s="16"/>
      <c r="G315" s="16"/>
      <c r="H315" s="16"/>
      <c r="I315" s="16"/>
      <c r="J315" s="16"/>
      <c r="K315" s="16"/>
      <c r="L315" s="16"/>
      <c r="M315" s="16"/>
      <c r="N315" s="21"/>
      <c r="O315" s="30" t="str">
        <f t="shared" si="74"/>
        <v/>
      </c>
      <c r="P315" s="91" t="str">
        <f>IF(ISBLANK(N315),IFERROR(0/0,""),IFERROR(VLOOKUP(N315, 'Process Ref'!$A$76:$D$122, 2, FALSE), IFERROR(0/0,"")))</f>
        <v/>
      </c>
      <c r="R315" s="92" t="str">
        <f>IFNA(MATCH(A315,'RFR Data - preExcl'!A$2:A923,0),"")</f>
        <v/>
      </c>
      <c r="S315" s="54"/>
      <c r="T315" s="18" t="str">
        <f>IF(AND(NOT(ISBLANK(U315)),NOT(ISBLANK(V315)),NOT(ISBLANK(W315))),CONCATENATE("RUN-",'Process Ref'!$A$1,"_",TEXT(V315,"YYYY-MM-DD"),"_APS-",TEXT(W315,"000")),IFERROR(0/0,""))</f>
        <v/>
      </c>
      <c r="U315" s="8" t="str">
        <f t="shared" si="85"/>
        <v/>
      </c>
      <c r="V315" s="190">
        <v>44670.0</v>
      </c>
      <c r="W315" s="191" t="str">
        <f t="shared" si="95"/>
        <v/>
      </c>
      <c r="X315" s="86"/>
      <c r="Z315" s="131"/>
      <c r="AA315" s="14"/>
      <c r="AG315" s="86"/>
      <c r="AJ315" s="86"/>
    </row>
    <row r="316">
      <c r="C316" s="88" t="str">
        <f t="shared" si="2"/>
        <v/>
      </c>
      <c r="D316" s="16"/>
      <c r="E316" s="16"/>
      <c r="F316" s="16"/>
      <c r="G316" s="16"/>
      <c r="H316" s="16"/>
      <c r="I316" s="16"/>
      <c r="J316" s="16"/>
      <c r="K316" s="16"/>
      <c r="L316" s="16"/>
      <c r="M316" s="16"/>
      <c r="N316" s="21"/>
      <c r="O316" s="30" t="str">
        <f t="shared" si="74"/>
        <v/>
      </c>
      <c r="P316" s="91" t="str">
        <f>IF(ISBLANK(N316),IFERROR(0/0,""),IFERROR(VLOOKUP(N316, 'Process Ref'!$A$76:$D$122, 2, FALSE), IFERROR(0/0,"")))</f>
        <v/>
      </c>
      <c r="R316" s="92" t="str">
        <f>IFNA(MATCH(A316,'RFR Data - preExcl'!A$2:A923,0),"")</f>
        <v/>
      </c>
      <c r="S316" s="54"/>
      <c r="T316" s="8" t="str">
        <f>IF(AND(NOT(ISBLANK(U316)),NOT(ISBLANK(V316)),NOT(ISBLANK(W316))),CONCATENATE("RUN-",'Process Ref'!$A$1,"_",TEXT(V316,"YYYY-MM-DD"),"_APS-",TEXT(W316,"000")),IFERROR(0/0,""))</f>
        <v/>
      </c>
      <c r="U316" s="8" t="str">
        <f t="shared" si="85"/>
        <v/>
      </c>
      <c r="V316" s="190">
        <v>44672.0</v>
      </c>
      <c r="W316" s="191" t="str">
        <f t="shared" si="95"/>
        <v/>
      </c>
      <c r="X316" s="86"/>
      <c r="Z316" s="131"/>
      <c r="AA316" s="14"/>
      <c r="AG316" s="86"/>
      <c r="AJ316" s="86"/>
    </row>
    <row r="317">
      <c r="C317" s="88" t="str">
        <f t="shared" si="2"/>
        <v/>
      </c>
      <c r="D317" s="16"/>
      <c r="E317" s="16"/>
      <c r="F317" s="16"/>
      <c r="G317" s="16"/>
      <c r="H317" s="16"/>
      <c r="I317" s="16"/>
      <c r="J317" s="16"/>
      <c r="K317" s="16"/>
      <c r="L317" s="16"/>
      <c r="M317" s="16"/>
      <c r="N317" s="21"/>
      <c r="O317" s="30" t="str">
        <f t="shared" si="74"/>
        <v/>
      </c>
      <c r="P317" s="91" t="str">
        <f>IF(ISBLANK(N317),IFERROR(0/0,""),IFERROR(VLOOKUP(N317, 'Process Ref'!$A$76:$D$122, 2, FALSE), IFERROR(0/0,"")))</f>
        <v/>
      </c>
      <c r="R317" s="92" t="str">
        <f>IFNA(MATCH(A317,'RFR Data - preExcl'!A$2:A923,0),"")</f>
        <v/>
      </c>
      <c r="S317" s="54"/>
      <c r="T317" s="143" t="str">
        <f>IF(AND(NOT(ISBLANK(U317)),NOT(ISBLANK(V317)),NOT(ISBLANK(W317))),CONCATENATE("RUN-",'Process Ref'!$A$1,"_",TEXT(V317,"YYYY-MM-DD"),"_APS-",TEXT(W317,"000")),IFERROR(0/0,""))</f>
        <v/>
      </c>
      <c r="U317" s="73">
        <f t="shared" si="85"/>
        <v>44675</v>
      </c>
      <c r="V317" s="220">
        <v>44675.0</v>
      </c>
      <c r="W317" s="221"/>
      <c r="X317" s="86"/>
      <c r="Z317" s="131"/>
      <c r="AA317" s="14"/>
      <c r="AG317" s="86"/>
      <c r="AJ317" s="86"/>
    </row>
    <row r="318">
      <c r="C318" s="88" t="str">
        <f t="shared" si="2"/>
        <v/>
      </c>
      <c r="D318" s="16"/>
      <c r="E318" s="16"/>
      <c r="F318" s="16"/>
      <c r="G318" s="16"/>
      <c r="H318" s="16"/>
      <c r="I318" s="16"/>
      <c r="J318" s="16"/>
      <c r="K318" s="16"/>
      <c r="L318" s="16"/>
      <c r="M318" s="16"/>
      <c r="N318" s="21"/>
      <c r="O318" s="30" t="str">
        <f t="shared" si="74"/>
        <v/>
      </c>
      <c r="P318" s="91" t="str">
        <f>IF(ISBLANK(N318),IFERROR(0/0,""),IFERROR(VLOOKUP(N318, 'Process Ref'!$A$76:$D$122, 2, FALSE), IFERROR(0/0,"")))</f>
        <v/>
      </c>
      <c r="R318" s="92" t="str">
        <f>IFNA(MATCH(A318,'RFR Data - preExcl'!A$2:A923,0),"")</f>
        <v/>
      </c>
      <c r="S318" s="54"/>
      <c r="T318" s="8" t="str">
        <f>IF(AND(NOT(ISBLANK(U318)),NOT(ISBLANK(V318)),NOT(ISBLANK(W318))),CONCATENATE("RUN-",'Process Ref'!$A$1,"_",TEXT(V318,"YYYY-MM-DD"),"_APS-",TEXT(W318,"000")),IFERROR(0/0,""))</f>
        <v/>
      </c>
      <c r="U318" s="8" t="str">
        <f t="shared" si="85"/>
        <v/>
      </c>
      <c r="V318" s="190">
        <v>44676.0</v>
      </c>
      <c r="W318" s="191" t="str">
        <f t="shared" ref="W318:W319" si="96">IF(NOT(ISBLANK(U318)),MAX(W$1:W317)+1,IFERROR(0/0,""))</f>
        <v/>
      </c>
      <c r="X318" s="86"/>
      <c r="Z318" s="131"/>
      <c r="AA318" s="14"/>
      <c r="AG318" s="86"/>
      <c r="AJ318" s="86"/>
    </row>
    <row r="319">
      <c r="C319" s="88" t="str">
        <f t="shared" si="2"/>
        <v/>
      </c>
      <c r="D319" s="16"/>
      <c r="E319" s="16"/>
      <c r="F319" s="16"/>
      <c r="G319" s="16"/>
      <c r="H319" s="16"/>
      <c r="I319" s="16"/>
      <c r="J319" s="16"/>
      <c r="K319" s="16"/>
      <c r="L319" s="16"/>
      <c r="M319" s="16"/>
      <c r="N319" s="21"/>
      <c r="O319" s="30" t="str">
        <f t="shared" si="74"/>
        <v/>
      </c>
      <c r="P319" s="91" t="str">
        <f>IF(ISBLANK(N319),IFERROR(0/0,""),IFERROR(VLOOKUP(N319, 'Process Ref'!$A$76:$D$122, 2, FALSE), IFERROR(0/0,"")))</f>
        <v/>
      </c>
      <c r="R319" s="92" t="str">
        <f>IFNA(MATCH(A319,'RFR Data - preExcl'!A$2:A923,0),"")</f>
        <v/>
      </c>
      <c r="S319" s="54"/>
      <c r="T319" s="8" t="str">
        <f>IF(AND(NOT(ISBLANK(U319)),NOT(ISBLANK(V319)),NOT(ISBLANK(W319))),CONCATENATE("RUN-",'Process Ref'!$A$1,"_",TEXT(V319,"YYYY-MM-DD"),"_APS-",TEXT(W319,"000")),IFERROR(0/0,""))</f>
        <v/>
      </c>
      <c r="U319" s="8" t="str">
        <f t="shared" si="85"/>
        <v/>
      </c>
      <c r="V319" s="190">
        <v>44679.0</v>
      </c>
      <c r="W319" s="191" t="str">
        <f t="shared" si="96"/>
        <v/>
      </c>
      <c r="X319" s="86"/>
      <c r="Z319" s="131"/>
      <c r="AA319" s="14"/>
      <c r="AG319" s="86"/>
      <c r="AJ319" s="86"/>
    </row>
    <row r="320">
      <c r="C320" s="88" t="str">
        <f t="shared" si="2"/>
        <v/>
      </c>
      <c r="D320" s="16"/>
      <c r="E320" s="16"/>
      <c r="F320" s="16"/>
      <c r="G320" s="16"/>
      <c r="H320" s="16"/>
      <c r="I320" s="16"/>
      <c r="J320" s="16"/>
      <c r="K320" s="16"/>
      <c r="L320" s="16"/>
      <c r="M320" s="16"/>
      <c r="N320" s="21"/>
      <c r="O320" s="30" t="str">
        <f t="shared" si="74"/>
        <v/>
      </c>
      <c r="P320" s="91" t="str">
        <f>IF(ISBLANK(N320),IFERROR(0/0,""),IFERROR(VLOOKUP(N320, 'Process Ref'!$A$76:$D$122, 2, FALSE), IFERROR(0/0,"")))</f>
        <v/>
      </c>
      <c r="R320" s="92" t="str">
        <f>IFNA(MATCH(A320,'RFR Data - preExcl'!A$2:A923,0),"")</f>
        <v/>
      </c>
      <c r="S320" s="54"/>
      <c r="T320" s="143" t="str">
        <f>IF(AND(NOT(ISBLANK(U320)),NOT(ISBLANK(V320)),NOT(ISBLANK(W320))),CONCATENATE("RUN-",'Process Ref'!$A$1,"_",TEXT(V320,"YYYY-MM-DD"),"_APS-",TEXT(W320,"000")),IFERROR(0/0,""))</f>
        <v/>
      </c>
      <c r="U320" s="73">
        <f t="shared" si="85"/>
        <v>44682</v>
      </c>
      <c r="V320" s="220">
        <v>44682.0</v>
      </c>
      <c r="W320" s="221"/>
      <c r="X320" s="86"/>
      <c r="Z320" s="131"/>
      <c r="AA320" s="14"/>
      <c r="AG320" s="86"/>
      <c r="AJ320" s="86"/>
    </row>
    <row r="321">
      <c r="C321" s="88" t="str">
        <f t="shared" si="2"/>
        <v/>
      </c>
      <c r="D321" s="16"/>
      <c r="E321" s="16"/>
      <c r="F321" s="16"/>
      <c r="G321" s="16"/>
      <c r="H321" s="16"/>
      <c r="I321" s="16"/>
      <c r="J321" s="16"/>
      <c r="K321" s="16"/>
      <c r="L321" s="16"/>
      <c r="M321" s="16"/>
      <c r="N321" s="21"/>
      <c r="O321" s="30" t="str">
        <f t="shared" si="74"/>
        <v/>
      </c>
      <c r="P321" s="91" t="str">
        <f>IF(ISBLANK(N321),IFERROR(0/0,""),IFERROR(VLOOKUP(N321, 'Process Ref'!$A$76:$D$122, 2, FALSE), IFERROR(0/0,"")))</f>
        <v/>
      </c>
      <c r="R321" s="92" t="str">
        <f>IFNA(MATCH(A321,'RFR Data - preExcl'!A$2:A923,0),"")</f>
        <v/>
      </c>
      <c r="S321" s="54"/>
      <c r="U321" s="190" t="str">
        <f t="shared" si="85"/>
        <v/>
      </c>
      <c r="V321" s="190">
        <v>44683.0</v>
      </c>
      <c r="W321" s="191" t="str">
        <f t="shared" ref="W321:W322" si="97">IF(NOT(ISBLANK(U321)),MAX(W$1:W320)+1,IFERROR(0/0,""))</f>
        <v/>
      </c>
      <c r="X321" s="86"/>
      <c r="Z321" s="131"/>
      <c r="AA321" s="14"/>
      <c r="AG321" s="86"/>
      <c r="AJ321" s="86"/>
    </row>
    <row r="322">
      <c r="C322" s="88" t="str">
        <f t="shared" si="2"/>
        <v/>
      </c>
      <c r="D322" s="16"/>
      <c r="E322" s="16"/>
      <c r="F322" s="16"/>
      <c r="G322" s="16"/>
      <c r="H322" s="16"/>
      <c r="I322" s="16"/>
      <c r="J322" s="16"/>
      <c r="K322" s="16"/>
      <c r="L322" s="16"/>
      <c r="M322" s="16"/>
      <c r="N322" s="21"/>
      <c r="O322" s="30" t="str">
        <f t="shared" si="74"/>
        <v/>
      </c>
      <c r="P322" s="91" t="str">
        <f>IF(ISBLANK(N322),IFERROR(0/0,""),IFERROR(VLOOKUP(N322, 'Process Ref'!$A$76:$D$122, 2, FALSE), IFERROR(0/0,"")))</f>
        <v/>
      </c>
      <c r="R322" s="92" t="str">
        <f>IFNA(MATCH(A322,'RFR Data - preExcl'!A$2:A923,0),"")</f>
        <v/>
      </c>
      <c r="S322" s="54"/>
      <c r="T322" s="8" t="str">
        <f>IF(AND(NOT(ISBLANK(U322)),NOT(ISBLANK(V322)),NOT(ISBLANK(W322))),CONCATENATE("RUN-",'Process Ref'!$A$1,"_",TEXT(V322,"YYYY-MM-DD"),"_APS-",TEXT(W322,"000")),IFERROR(0/0,""))</f>
        <v/>
      </c>
      <c r="U322" s="8" t="str">
        <f t="shared" si="85"/>
        <v/>
      </c>
      <c r="V322" s="190">
        <v>44686.0</v>
      </c>
      <c r="W322" s="191" t="str">
        <f t="shared" si="97"/>
        <v/>
      </c>
      <c r="X322" s="86"/>
      <c r="Z322" s="131"/>
      <c r="AA322" s="14"/>
      <c r="AG322" s="86"/>
      <c r="AJ322" s="86"/>
    </row>
    <row r="323">
      <c r="C323" s="88" t="str">
        <f t="shared" si="2"/>
        <v/>
      </c>
      <c r="D323" s="16"/>
      <c r="E323" s="16"/>
      <c r="F323" s="16"/>
      <c r="G323" s="16"/>
      <c r="H323" s="16"/>
      <c r="I323" s="16"/>
      <c r="J323" s="16"/>
      <c r="K323" s="16"/>
      <c r="L323" s="16"/>
      <c r="M323" s="16"/>
      <c r="N323" s="21"/>
      <c r="O323" s="30" t="str">
        <f t="shared" si="74"/>
        <v/>
      </c>
      <c r="P323" s="91" t="str">
        <f>IF(ISBLANK(N323),IFERROR(0/0,""),IFERROR(VLOOKUP(N323, 'Process Ref'!$A$76:$D$122, 2, FALSE), IFERROR(0/0,"")))</f>
        <v/>
      </c>
      <c r="R323" s="92" t="str">
        <f>IFNA(MATCH(A323,'RFR Data - preExcl'!A$2:A923,0),"")</f>
        <v/>
      </c>
      <c r="S323" s="54"/>
      <c r="T323" s="143" t="str">
        <f>IF(AND(NOT(ISBLANK(U323)),NOT(ISBLANK(V323)),NOT(ISBLANK(W323))),CONCATENATE("RUN-",'Process Ref'!$A$1,"_",TEXT(V323,"YYYY-MM-DD"),"_APS-",TEXT(W323,"000")),IFERROR(0/0,""))</f>
        <v/>
      </c>
      <c r="U323" s="73">
        <f t="shared" si="85"/>
        <v>44689</v>
      </c>
      <c r="V323" s="220">
        <v>44689.0</v>
      </c>
      <c r="W323" s="221"/>
      <c r="X323" s="86"/>
      <c r="Z323" s="131"/>
      <c r="AA323" s="14"/>
      <c r="AG323" s="86"/>
      <c r="AJ323" s="86"/>
    </row>
    <row r="324">
      <c r="C324" s="88" t="str">
        <f t="shared" si="2"/>
        <v/>
      </c>
      <c r="D324" s="16"/>
      <c r="E324" s="16"/>
      <c r="F324" s="16"/>
      <c r="G324" s="16"/>
      <c r="H324" s="16"/>
      <c r="I324" s="16"/>
      <c r="J324" s="16"/>
      <c r="K324" s="16"/>
      <c r="L324" s="16"/>
      <c r="M324" s="16"/>
      <c r="N324" s="21"/>
      <c r="O324" s="30" t="str">
        <f t="shared" si="74"/>
        <v/>
      </c>
      <c r="P324" s="91" t="str">
        <f>IF(ISBLANK(N324),IFERROR(0/0,""),IFERROR(VLOOKUP(N324, 'Process Ref'!$A$76:$D$122, 2, FALSE), IFERROR(0/0,"")))</f>
        <v/>
      </c>
      <c r="R324" s="92" t="str">
        <f>IFNA(MATCH(A324,'RFR Data - preExcl'!A$2:A923,0),"")</f>
        <v/>
      </c>
      <c r="S324" s="54"/>
      <c r="T324" s="222" t="str">
        <f>IF(AND(NOT(ISBLANK(U324)),NOT(ISBLANK(V324)),NOT(ISBLANK(W324))),CONCATENATE("RUN-",'Process Ref'!$A$1,"_",TEXT(V324,"YYYY-MM-DD"),"_APS-",TEXT(W324,"000")),IFERROR(0/0,""))</f>
        <v>RUN-FLMP_2022-05-09_APS-090</v>
      </c>
      <c r="U324" s="218">
        <v>44690.0</v>
      </c>
      <c r="V324" s="190">
        <v>44690.0</v>
      </c>
      <c r="W324" s="191">
        <f>IF(NOT(ISBLANK(U324)),MAX(W$1:W323)+1,IFERROR(0/0,""))</f>
        <v>90</v>
      </c>
      <c r="X324" s="86"/>
      <c r="Z324" s="131"/>
      <c r="AA324" s="14"/>
      <c r="AG324" s="86"/>
      <c r="AJ324" s="86"/>
    </row>
    <row r="325">
      <c r="C325" s="88" t="str">
        <f t="shared" si="2"/>
        <v/>
      </c>
      <c r="D325" s="16"/>
      <c r="E325" s="16"/>
      <c r="F325" s="16"/>
      <c r="G325" s="16"/>
      <c r="H325" s="16"/>
      <c r="I325" s="16"/>
      <c r="J325" s="16"/>
      <c r="K325" s="16"/>
      <c r="L325" s="16"/>
      <c r="M325" s="16"/>
      <c r="N325" s="21"/>
      <c r="O325" s="30" t="str">
        <f t="shared" si="74"/>
        <v/>
      </c>
      <c r="P325" s="91" t="str">
        <f>IF(ISBLANK(N325),IFERROR(0/0,""),IFERROR(VLOOKUP(N325, 'Process Ref'!$A$76:$D$122, 2, FALSE), IFERROR(0/0,"")))</f>
        <v/>
      </c>
      <c r="R325" s="92" t="str">
        <f>IFNA(MATCH(A325,'RFR Data - preExcl'!A$2:A923,0),"")</f>
        <v/>
      </c>
      <c r="S325" s="54"/>
      <c r="T325" s="143" t="str">
        <f>IF(AND(NOT(ISBLANK(U325)),NOT(ISBLANK(V325)),NOT(ISBLANK(W325))),CONCATENATE("RUN-",'Process Ref'!$A$1,"_",TEXT(V325,"YYYY-MM-DD"),"_APS-",TEXT(W325,"000")),IFERROR(0/0,""))</f>
        <v/>
      </c>
      <c r="U325" s="73">
        <f t="shared" ref="U325:U330" si="98">IF(COUNTIF(U$2:U$144,V325)=0,V325,IFERROR(0/0,""))</f>
        <v>44691</v>
      </c>
      <c r="V325" s="220">
        <v>44691.0</v>
      </c>
      <c r="W325" s="221"/>
      <c r="X325" s="86"/>
      <c r="Z325" s="131"/>
      <c r="AA325" s="14"/>
      <c r="AG325" s="86"/>
      <c r="AJ325" s="86"/>
    </row>
    <row r="326">
      <c r="C326" s="88" t="str">
        <f t="shared" si="2"/>
        <v/>
      </c>
      <c r="D326" s="16"/>
      <c r="E326" s="16"/>
      <c r="F326" s="16"/>
      <c r="G326" s="16"/>
      <c r="H326" s="16"/>
      <c r="I326" s="16"/>
      <c r="J326" s="16"/>
      <c r="K326" s="16"/>
      <c r="L326" s="16"/>
      <c r="M326" s="16"/>
      <c r="N326" s="21"/>
      <c r="O326" s="30" t="str">
        <f t="shared" si="74"/>
        <v/>
      </c>
      <c r="P326" s="91" t="str">
        <f>IF(ISBLANK(N326),IFERROR(0/0,""),IFERROR(VLOOKUP(N326, 'Process Ref'!$A$76:$D$122, 2, FALSE), IFERROR(0/0,"")))</f>
        <v/>
      </c>
      <c r="R326" s="92" t="str">
        <f>IFNA(MATCH(A326,'RFR Data - preExcl'!A$2:A923,0),"")</f>
        <v/>
      </c>
      <c r="S326" s="54"/>
      <c r="T326" s="8" t="str">
        <f>IF(AND(NOT(ISBLANK(U326)),NOT(ISBLANK(V326)),NOT(ISBLANK(W326))),CONCATENATE("RUN-",'Process Ref'!$A$1,"_",TEXT(V326,"YYYY-MM-DD"),"_APS-",TEXT(W326,"000")),IFERROR(0/0,""))</f>
        <v/>
      </c>
      <c r="U326" s="8" t="str">
        <f t="shared" si="98"/>
        <v/>
      </c>
      <c r="V326" s="190">
        <v>44692.0</v>
      </c>
      <c r="W326" s="191" t="str">
        <f t="shared" ref="W326:W327" si="99">IF(NOT(ISBLANK(U326)),MAX(W$1:W325)+1,IFERROR(0/0,""))</f>
        <v/>
      </c>
      <c r="X326" s="86"/>
      <c r="Z326" s="131"/>
      <c r="AA326" s="14"/>
      <c r="AG326" s="86"/>
      <c r="AJ326" s="86"/>
    </row>
    <row r="327">
      <c r="C327" s="88" t="str">
        <f t="shared" si="2"/>
        <v/>
      </c>
      <c r="D327" s="16"/>
      <c r="E327" s="16"/>
      <c r="F327" s="16"/>
      <c r="G327" s="16"/>
      <c r="H327" s="16"/>
      <c r="I327" s="16"/>
      <c r="J327" s="16"/>
      <c r="K327" s="16"/>
      <c r="L327" s="16"/>
      <c r="M327" s="16"/>
      <c r="N327" s="21"/>
      <c r="O327" s="30" t="str">
        <f t="shared" si="74"/>
        <v/>
      </c>
      <c r="P327" s="91" t="str">
        <f>IF(ISBLANK(N327),IFERROR(0/0,""),IFERROR(VLOOKUP(N327, 'Process Ref'!$A$76:$D$122, 2, FALSE), IFERROR(0/0,"")))</f>
        <v/>
      </c>
      <c r="R327" s="92" t="str">
        <f>IFNA(MATCH(A327,'RFR Data - preExcl'!A$2:A923,0),"")</f>
        <v/>
      </c>
      <c r="S327" s="54"/>
      <c r="T327" s="8" t="str">
        <f>IF(AND(NOT(ISBLANK(U327)),NOT(ISBLANK(V327)),NOT(ISBLANK(W327))),CONCATENATE("RUN-",'Process Ref'!$A$1,"_",TEXT(V327,"YYYY-MM-DD"),"_APS-",TEXT(W327,"000")),IFERROR(0/0,""))</f>
        <v/>
      </c>
      <c r="U327" s="8" t="str">
        <f t="shared" si="98"/>
        <v/>
      </c>
      <c r="V327" s="190">
        <v>44693.0</v>
      </c>
      <c r="W327" s="191" t="str">
        <f t="shared" si="99"/>
        <v/>
      </c>
      <c r="X327" s="86"/>
      <c r="Z327" s="131"/>
      <c r="AA327" s="14"/>
      <c r="AG327" s="86"/>
      <c r="AJ327" s="86"/>
    </row>
    <row r="328">
      <c r="C328" s="88" t="str">
        <f t="shared" si="2"/>
        <v/>
      </c>
      <c r="D328" s="16"/>
      <c r="E328" s="16"/>
      <c r="F328" s="16"/>
      <c r="G328" s="16"/>
      <c r="H328" s="16"/>
      <c r="I328" s="16"/>
      <c r="J328" s="16"/>
      <c r="K328" s="16"/>
      <c r="L328" s="16"/>
      <c r="M328" s="16"/>
      <c r="N328" s="21"/>
      <c r="O328" s="30" t="str">
        <f t="shared" si="74"/>
        <v/>
      </c>
      <c r="P328" s="91" t="str">
        <f>IF(ISBLANK(N328),IFERROR(0/0,""),IFERROR(VLOOKUP(N328, 'Process Ref'!$A$76:$D$122, 2, FALSE), IFERROR(0/0,"")))</f>
        <v/>
      </c>
      <c r="R328" s="92" t="str">
        <f>IFNA(MATCH(A328,'RFR Data - preExcl'!A$2:A923,0),"")</f>
        <v/>
      </c>
      <c r="S328" s="54"/>
      <c r="T328" s="143" t="str">
        <f>IF(AND(NOT(ISBLANK(U328)),NOT(ISBLANK(V328)),NOT(ISBLANK(W328))),CONCATENATE("RUN-",'Process Ref'!$A$1,"_",TEXT(V328,"YYYY-MM-DD"),"_APS-",TEXT(W328,"000")),IFERROR(0/0,""))</f>
        <v/>
      </c>
      <c r="U328" s="73">
        <f t="shared" si="98"/>
        <v>44696</v>
      </c>
      <c r="V328" s="220">
        <v>44696.0</v>
      </c>
      <c r="W328" s="221"/>
      <c r="X328" s="86"/>
      <c r="Z328" s="131"/>
      <c r="AA328" s="14"/>
      <c r="AG328" s="86"/>
      <c r="AJ328" s="86"/>
    </row>
    <row r="329">
      <c r="C329" s="88" t="str">
        <f t="shared" si="2"/>
        <v/>
      </c>
      <c r="D329" s="16"/>
      <c r="E329" s="16"/>
      <c r="F329" s="16"/>
      <c r="G329" s="16"/>
      <c r="H329" s="16"/>
      <c r="I329" s="16"/>
      <c r="J329" s="16"/>
      <c r="K329" s="16"/>
      <c r="L329" s="16"/>
      <c r="M329" s="16"/>
      <c r="N329" s="21"/>
      <c r="O329" s="30" t="str">
        <f t="shared" si="74"/>
        <v/>
      </c>
      <c r="P329" s="91" t="str">
        <f>IF(ISBLANK(N329),IFERROR(0/0,""),IFERROR(VLOOKUP(N329, 'Process Ref'!$A$76:$D$122, 2, FALSE), IFERROR(0/0,"")))</f>
        <v/>
      </c>
      <c r="R329" s="92" t="str">
        <f>IFNA(MATCH(A329,'RFR Data - preExcl'!A$2:A923,0),"")</f>
        <v/>
      </c>
      <c r="S329" s="54"/>
      <c r="T329" s="8" t="str">
        <f>IF(AND(NOT(ISBLANK(U329)),NOT(ISBLANK(V329)),NOT(ISBLANK(W329))),CONCATENATE("RUN-",'Process Ref'!$A$1,"_",TEXT(V329,"YYYY-MM-DD"),"_APS-",TEXT(W329,"000")),IFERROR(0/0,""))</f>
        <v/>
      </c>
      <c r="U329" s="8" t="str">
        <f t="shared" si="98"/>
        <v/>
      </c>
      <c r="V329" s="190">
        <v>44697.0</v>
      </c>
      <c r="W329" s="191" t="str">
        <f t="shared" ref="W329:W331" si="100">IF(NOT(ISBLANK(U329)),MAX(W$1:W328)+1,IFERROR(0/0,""))</f>
        <v/>
      </c>
      <c r="X329" s="86"/>
      <c r="Z329" s="131"/>
      <c r="AA329" s="14"/>
      <c r="AG329" s="86"/>
      <c r="AJ329" s="86"/>
    </row>
    <row r="330">
      <c r="C330" s="88" t="str">
        <f t="shared" si="2"/>
        <v/>
      </c>
      <c r="D330" s="16"/>
      <c r="E330" s="16"/>
      <c r="F330" s="16"/>
      <c r="G330" s="16"/>
      <c r="H330" s="16"/>
      <c r="I330" s="16"/>
      <c r="J330" s="16"/>
      <c r="K330" s="16"/>
      <c r="L330" s="16"/>
      <c r="M330" s="16"/>
      <c r="N330" s="21"/>
      <c r="O330" s="30" t="str">
        <f t="shared" si="74"/>
        <v/>
      </c>
      <c r="P330" s="91" t="str">
        <f>IF(ISBLANK(N330),IFERROR(0/0,""),IFERROR(VLOOKUP(N330, 'Process Ref'!$A$76:$D$122, 2, FALSE), IFERROR(0/0,"")))</f>
        <v/>
      </c>
      <c r="R330" s="92" t="str">
        <f>IFNA(MATCH(A330,'RFR Data - preExcl'!A$2:A923,0),"")</f>
        <v/>
      </c>
      <c r="S330" s="54"/>
      <c r="T330" s="8" t="str">
        <f>IF(AND(NOT(ISBLANK(U330)),NOT(ISBLANK(V330)),NOT(ISBLANK(W330))),CONCATENATE("RUN-",'Process Ref'!$A$1,"_",TEXT(V330,"YYYY-MM-DD"),"_APS-",TEXT(W330,"000")),IFERROR(0/0,""))</f>
        <v/>
      </c>
      <c r="U330" s="8" t="str">
        <f t="shared" si="98"/>
        <v/>
      </c>
      <c r="V330" s="190">
        <v>44698.0</v>
      </c>
      <c r="W330" s="191" t="str">
        <f t="shared" si="100"/>
        <v/>
      </c>
      <c r="X330" s="86"/>
      <c r="Z330" s="131"/>
      <c r="AA330" s="14"/>
      <c r="AG330" s="86"/>
      <c r="AJ330" s="86"/>
    </row>
    <row r="331">
      <c r="C331" s="88" t="str">
        <f t="shared" si="2"/>
        <v/>
      </c>
      <c r="D331" s="16"/>
      <c r="E331" s="16"/>
      <c r="F331" s="16"/>
      <c r="G331" s="16"/>
      <c r="H331" s="16"/>
      <c r="I331" s="16"/>
      <c r="J331" s="16"/>
      <c r="K331" s="16"/>
      <c r="L331" s="16"/>
      <c r="M331" s="16"/>
      <c r="N331" s="21"/>
      <c r="O331" s="30" t="str">
        <f t="shared" si="74"/>
        <v/>
      </c>
      <c r="P331" s="91" t="str">
        <f>IF(ISBLANK(N331),IFERROR(0/0,""),IFERROR(VLOOKUP(N331, 'Process Ref'!$A$76:$D$122, 2, FALSE), IFERROR(0/0,"")))</f>
        <v/>
      </c>
      <c r="R331" s="92" t="str">
        <f>IFNA(MATCH(A331,'RFR Data - preExcl'!A$2:A923,0),"")</f>
        <v/>
      </c>
      <c r="S331" s="54"/>
      <c r="T331" s="24" t="str">
        <f>IF(AND(NOT(ISBLANK(U331)),NOT(ISBLANK(V331)),NOT(ISBLANK(W331))),CONCATENATE("RUN-",'Process Ref'!$A$1,"_",TEXT(V331,"YYYY-MM-DD"),"_APS-",TEXT(W331,"000")),IFERROR(0/0,""))</f>
        <v>RUN-FLMP_2022-05-19_APS-091</v>
      </c>
      <c r="U331" s="216">
        <v>44700.0</v>
      </c>
      <c r="V331" s="216">
        <v>44700.0</v>
      </c>
      <c r="W331" s="191">
        <f t="shared" si="100"/>
        <v>91</v>
      </c>
      <c r="X331" s="86"/>
      <c r="Z331" s="131"/>
      <c r="AA331" s="14"/>
      <c r="AG331" s="86"/>
      <c r="AJ331" s="86"/>
    </row>
    <row r="332">
      <c r="C332" s="88" t="str">
        <f t="shared" si="2"/>
        <v/>
      </c>
      <c r="D332" s="16"/>
      <c r="E332" s="16"/>
      <c r="F332" s="16"/>
      <c r="G332" s="16"/>
      <c r="H332" s="16"/>
      <c r="I332" s="16"/>
      <c r="J332" s="16"/>
      <c r="K332" s="16"/>
      <c r="L332" s="16"/>
      <c r="M332" s="16"/>
      <c r="N332" s="21"/>
      <c r="O332" s="30" t="str">
        <f t="shared" si="74"/>
        <v/>
      </c>
      <c r="P332" s="91" t="str">
        <f>IF(ISBLANK(N332),IFERROR(0/0,""),IFERROR(VLOOKUP(N332, 'Process Ref'!$A$76:$D$122, 2, FALSE), IFERROR(0/0,"")))</f>
        <v/>
      </c>
      <c r="R332" s="92" t="str">
        <f>IFNA(MATCH(A332,'RFR Data - preExcl'!A$2:A923,0),"")</f>
        <v/>
      </c>
      <c r="S332" s="54"/>
      <c r="T332" s="143" t="str">
        <f>IF(AND(NOT(ISBLANK(U332)),NOT(ISBLANK(V332)),NOT(ISBLANK(W332))),CONCATENATE("RUN-",'Process Ref'!$A$1,"_",TEXT(V332,"YYYY-MM-DD"),"_APS-",TEXT(W332,"000")),IFERROR(0/0,""))</f>
        <v/>
      </c>
      <c r="U332" s="73">
        <f t="shared" ref="U332:U388" si="101">IF(COUNTIF(U$2:U$144,V332)=0,V332,IFERROR(0/0,""))</f>
        <v>44703</v>
      </c>
      <c r="V332" s="220">
        <v>44703.0</v>
      </c>
      <c r="W332" s="221"/>
      <c r="X332" s="86"/>
      <c r="Z332" s="131"/>
      <c r="AA332" s="14"/>
      <c r="AG332" s="86"/>
      <c r="AJ332" s="86"/>
    </row>
    <row r="333">
      <c r="C333" s="88" t="str">
        <f t="shared" si="2"/>
        <v/>
      </c>
      <c r="D333" s="16"/>
      <c r="E333" s="16"/>
      <c r="F333" s="16"/>
      <c r="G333" s="16"/>
      <c r="H333" s="16"/>
      <c r="I333" s="16"/>
      <c r="J333" s="16"/>
      <c r="K333" s="16"/>
      <c r="L333" s="16"/>
      <c r="M333" s="16"/>
      <c r="N333" s="21"/>
      <c r="O333" s="30" t="str">
        <f t="shared" si="74"/>
        <v/>
      </c>
      <c r="P333" s="91" t="str">
        <f>IF(ISBLANK(N333),IFERROR(0/0,""),IFERROR(VLOOKUP(N333, 'Process Ref'!$A$76:$D$122, 2, FALSE), IFERROR(0/0,"")))</f>
        <v/>
      </c>
      <c r="R333" s="92" t="str">
        <f>IFNA(MATCH(A333,'RFR Data - preExcl'!A$2:A923,0),"")</f>
        <v/>
      </c>
      <c r="S333" s="54"/>
      <c r="T333" s="8" t="str">
        <f>IF(AND(NOT(ISBLANK(U333)),NOT(ISBLANK(V333)),NOT(ISBLANK(W333))),CONCATENATE("RUN-",'Process Ref'!$A$1,"_",TEXT(V333,"YYYY-MM-DD"),"_APS-",TEXT(W333,"000")),IFERROR(0/0,""))</f>
        <v/>
      </c>
      <c r="U333" s="8" t="str">
        <f t="shared" si="101"/>
        <v/>
      </c>
      <c r="V333" s="190">
        <v>44704.0</v>
      </c>
      <c r="W333" s="191" t="str">
        <f>IF(NOT(ISBLANK(U333)),MAX(W$1:W332)+1,IFERROR(0/0,""))</f>
        <v/>
      </c>
      <c r="X333" s="86"/>
      <c r="Z333" s="131"/>
      <c r="AA333" s="14"/>
      <c r="AG333" s="86"/>
      <c r="AJ333" s="86"/>
    </row>
    <row r="334">
      <c r="C334" s="88" t="str">
        <f t="shared" si="2"/>
        <v/>
      </c>
      <c r="D334" s="16"/>
      <c r="E334" s="16"/>
      <c r="F334" s="16"/>
      <c r="G334" s="16"/>
      <c r="H334" s="16"/>
      <c r="I334" s="16"/>
      <c r="J334" s="16"/>
      <c r="K334" s="16"/>
      <c r="L334" s="16"/>
      <c r="M334" s="16"/>
      <c r="N334" s="21"/>
      <c r="O334" s="30" t="str">
        <f t="shared" si="74"/>
        <v/>
      </c>
      <c r="P334" s="91" t="str">
        <f>IF(ISBLANK(N334),IFERROR(0/0,""),IFERROR(VLOOKUP(N334, 'Process Ref'!$A$76:$D$122, 2, FALSE), IFERROR(0/0,"")))</f>
        <v/>
      </c>
      <c r="R334" s="92" t="str">
        <f>IFNA(MATCH(A334,'RFR Data - preExcl'!A$2:A923,0),"")</f>
        <v/>
      </c>
      <c r="S334" s="54"/>
      <c r="T334" s="143" t="str">
        <f>IF(AND(NOT(ISBLANK(U334)),NOT(ISBLANK(V334)),NOT(ISBLANK(W334))),CONCATENATE("RUN-",'Process Ref'!$A$1,"_",TEXT(V334,"YYYY-MM-DD"),"_APS-",TEXT(W334,"000")),IFERROR(0/0,""))</f>
        <v/>
      </c>
      <c r="U334" s="73">
        <f t="shared" si="101"/>
        <v>44706</v>
      </c>
      <c r="V334" s="220">
        <v>44706.0</v>
      </c>
      <c r="W334" s="221"/>
      <c r="X334" s="86"/>
      <c r="Z334" s="131"/>
      <c r="AA334" s="14"/>
      <c r="AG334" s="86"/>
      <c r="AJ334" s="86"/>
    </row>
    <row r="335">
      <c r="C335" s="88" t="str">
        <f t="shared" si="2"/>
        <v/>
      </c>
      <c r="D335" s="16"/>
      <c r="E335" s="16"/>
      <c r="F335" s="16"/>
      <c r="G335" s="16"/>
      <c r="H335" s="16"/>
      <c r="I335" s="16"/>
      <c r="J335" s="16"/>
      <c r="K335" s="16"/>
      <c r="L335" s="16"/>
      <c r="M335" s="16"/>
      <c r="N335" s="21"/>
      <c r="O335" s="30" t="str">
        <f t="shared" si="74"/>
        <v/>
      </c>
      <c r="P335" s="91" t="str">
        <f>IF(ISBLANK(N335),IFERROR(0/0,""),IFERROR(VLOOKUP(N335, 'Process Ref'!$A$76:$D$122, 2, FALSE), IFERROR(0/0,"")))</f>
        <v/>
      </c>
      <c r="R335" s="92" t="str">
        <f>IFNA(MATCH(A335,'RFR Data - preExcl'!A$2:A923,0),"")</f>
        <v/>
      </c>
      <c r="S335" s="54"/>
      <c r="T335" s="8" t="str">
        <f>IF(AND(NOT(ISBLANK(U335)),NOT(ISBLANK(V335)),NOT(ISBLANK(W335))),CONCATENATE("RUN-",'Process Ref'!$A$1,"_",TEXT(V335,"YYYY-MM-DD"),"_APS-",TEXT(W335,"000")),IFERROR(0/0,""))</f>
        <v/>
      </c>
      <c r="U335" s="8" t="str">
        <f t="shared" si="101"/>
        <v/>
      </c>
      <c r="V335" s="190">
        <v>44707.0</v>
      </c>
      <c r="W335" s="191" t="str">
        <f>IF(NOT(ISBLANK(U335)),MAX(W$1:W334)+1,IFERROR(0/0,""))</f>
        <v/>
      </c>
      <c r="X335" s="86"/>
      <c r="Z335" s="131"/>
      <c r="AA335" s="14"/>
      <c r="AG335" s="86"/>
      <c r="AJ335" s="86"/>
    </row>
    <row r="336">
      <c r="C336" s="88" t="str">
        <f t="shared" si="2"/>
        <v/>
      </c>
      <c r="D336" s="16"/>
      <c r="E336" s="16"/>
      <c r="F336" s="16"/>
      <c r="G336" s="16"/>
      <c r="H336" s="16"/>
      <c r="I336" s="16"/>
      <c r="J336" s="16"/>
      <c r="K336" s="16"/>
      <c r="L336" s="16"/>
      <c r="M336" s="16"/>
      <c r="N336" s="21"/>
      <c r="O336" s="30" t="str">
        <f t="shared" si="74"/>
        <v/>
      </c>
      <c r="P336" s="91" t="str">
        <f>IF(ISBLANK(N336),IFERROR(0/0,""),IFERROR(VLOOKUP(N336, 'Process Ref'!$A$76:$D$122, 2, FALSE), IFERROR(0/0,"")))</f>
        <v/>
      </c>
      <c r="R336" s="92" t="str">
        <f>IFNA(MATCH(A336,'RFR Data - preExcl'!A$2:A923,0),"")</f>
        <v/>
      </c>
      <c r="S336" s="54"/>
      <c r="T336" s="143" t="str">
        <f>IF(AND(NOT(ISBLANK(U336)),NOT(ISBLANK(V336)),NOT(ISBLANK(W336))),CONCATENATE("RUN-",'Process Ref'!$A$1,"_",TEXT(V336,"YYYY-MM-DD"),"_APS-",TEXT(W336,"000")),IFERROR(0/0,""))</f>
        <v/>
      </c>
      <c r="U336" s="73">
        <f t="shared" si="101"/>
        <v>44708</v>
      </c>
      <c r="V336" s="220">
        <v>44708.0</v>
      </c>
      <c r="W336" s="221"/>
      <c r="X336" s="86"/>
      <c r="Z336" s="131"/>
      <c r="AA336" s="14"/>
      <c r="AG336" s="86"/>
      <c r="AJ336" s="86"/>
    </row>
    <row r="337">
      <c r="C337" s="88" t="str">
        <f t="shared" si="2"/>
        <v/>
      </c>
      <c r="D337" s="16"/>
      <c r="E337" s="16"/>
      <c r="F337" s="16"/>
      <c r="G337" s="16"/>
      <c r="H337" s="16"/>
      <c r="I337" s="16"/>
      <c r="J337" s="16"/>
      <c r="K337" s="16"/>
      <c r="L337" s="16"/>
      <c r="M337" s="16"/>
      <c r="N337" s="21"/>
      <c r="O337" s="30" t="str">
        <f t="shared" si="74"/>
        <v/>
      </c>
      <c r="P337" s="91" t="str">
        <f>IF(ISBLANK(N337),IFERROR(0/0,""),IFERROR(VLOOKUP(N337, 'Process Ref'!$A$76:$D$122, 2, FALSE), IFERROR(0/0,"")))</f>
        <v/>
      </c>
      <c r="R337" s="92" t="str">
        <f>IFNA(MATCH(A337,'RFR Data - preExcl'!A$2:A923,0),"")</f>
        <v/>
      </c>
      <c r="S337" s="54"/>
      <c r="T337" s="143" t="str">
        <f>IF(AND(NOT(ISBLANK(U337)),NOT(ISBLANK(V337)),NOT(ISBLANK(W337))),CONCATENATE("RUN-",'Process Ref'!$A$1,"_",TEXT(V337,"YYYY-MM-DD"),"_APS-",TEXT(W337,"000")),IFERROR(0/0,""))</f>
        <v/>
      </c>
      <c r="U337" s="73">
        <f t="shared" si="101"/>
        <v>44711</v>
      </c>
      <c r="V337" s="220">
        <v>44711.0</v>
      </c>
      <c r="W337" s="221"/>
      <c r="X337" s="86"/>
      <c r="Z337" s="131"/>
      <c r="AA337" s="14"/>
      <c r="AG337" s="86"/>
      <c r="AJ337" s="86"/>
    </row>
    <row r="338">
      <c r="C338" s="88" t="str">
        <f t="shared" si="2"/>
        <v/>
      </c>
      <c r="D338" s="16"/>
      <c r="E338" s="16"/>
      <c r="F338" s="16"/>
      <c r="G338" s="16"/>
      <c r="H338" s="16"/>
      <c r="I338" s="16"/>
      <c r="J338" s="16"/>
      <c r="K338" s="16"/>
      <c r="L338" s="16"/>
      <c r="M338" s="16"/>
      <c r="N338" s="21"/>
      <c r="O338" s="30" t="str">
        <f t="shared" si="74"/>
        <v/>
      </c>
      <c r="P338" s="91" t="str">
        <f>IF(ISBLANK(N338),IFERROR(0/0,""),IFERROR(VLOOKUP(N338, 'Process Ref'!$A$76:$D$122, 2, FALSE), IFERROR(0/0,"")))</f>
        <v/>
      </c>
      <c r="R338" s="92" t="str">
        <f>IFNA(MATCH(A338,'RFR Data - preExcl'!A$2:A923,0),"")</f>
        <v/>
      </c>
      <c r="S338" s="54"/>
      <c r="T338" s="8" t="str">
        <f>IF(AND(NOT(ISBLANK(U338)),NOT(ISBLANK(V338)),NOT(ISBLANK(W338))),CONCATENATE("RUN-",'Process Ref'!$A$1,"_",TEXT(V338,"YYYY-MM-DD"),"_APS-",TEXT(W338,"000")),IFERROR(0/0,""))</f>
        <v/>
      </c>
      <c r="U338" s="8" t="str">
        <f t="shared" si="101"/>
        <v/>
      </c>
      <c r="V338" s="190">
        <v>44712.0</v>
      </c>
      <c r="W338" s="191" t="str">
        <f t="shared" ref="W338:W401" si="102">IF(NOT(ISBLANK(U338)),MAX(W$1:W337)+1,IFERROR(0/0,""))</f>
        <v/>
      </c>
      <c r="X338" s="86"/>
      <c r="Z338" s="131"/>
      <c r="AA338" s="14"/>
      <c r="AG338" s="86"/>
      <c r="AJ338" s="86"/>
    </row>
    <row r="339">
      <c r="C339" s="88" t="str">
        <f t="shared" si="2"/>
        <v/>
      </c>
      <c r="D339" s="16"/>
      <c r="E339" s="16"/>
      <c r="F339" s="16"/>
      <c r="G339" s="16"/>
      <c r="H339" s="16"/>
      <c r="I339" s="16"/>
      <c r="J339" s="16"/>
      <c r="K339" s="16"/>
      <c r="L339" s="16"/>
      <c r="M339" s="16"/>
      <c r="N339" s="21"/>
      <c r="O339" s="30" t="str">
        <f t="shared" si="74"/>
        <v/>
      </c>
      <c r="P339" s="91" t="str">
        <f>IF(ISBLANK(N339),IFERROR(0/0,""),IFERROR(VLOOKUP(N339, 'Process Ref'!$A$76:$D$122, 2, FALSE), IFERROR(0/0,"")))</f>
        <v/>
      </c>
      <c r="R339" s="92" t="str">
        <f>IFNA(MATCH(A339,'RFR Data - preExcl'!A$2:A923,0),"")</f>
        <v/>
      </c>
      <c r="S339" s="54"/>
      <c r="T339" s="8" t="str">
        <f>IF(AND(NOT(ISBLANK(U339)),NOT(ISBLANK(V339)),NOT(ISBLANK(W339))),CONCATENATE("RUN-",'Process Ref'!$A$1,"_",TEXT(V339,"YYYY-MM-DD"),"_APS-",TEXT(W339,"000")),IFERROR(0/0,""))</f>
        <v/>
      </c>
      <c r="U339" s="8" t="str">
        <f t="shared" si="101"/>
        <v/>
      </c>
      <c r="V339" s="190">
        <v>44718.0</v>
      </c>
      <c r="W339" s="191" t="str">
        <f t="shared" si="102"/>
        <v/>
      </c>
      <c r="X339" s="86"/>
      <c r="Z339" s="131"/>
      <c r="AA339" s="14"/>
      <c r="AG339" s="86"/>
      <c r="AJ339" s="86"/>
    </row>
    <row r="340">
      <c r="C340" s="88" t="str">
        <f t="shared" si="2"/>
        <v/>
      </c>
      <c r="D340" s="16"/>
      <c r="E340" s="16"/>
      <c r="F340" s="16"/>
      <c r="G340" s="16"/>
      <c r="H340" s="16"/>
      <c r="I340" s="16"/>
      <c r="J340" s="16"/>
      <c r="K340" s="16"/>
      <c r="L340" s="16"/>
      <c r="M340" s="16"/>
      <c r="N340" s="21"/>
      <c r="O340" s="30" t="str">
        <f t="shared" si="74"/>
        <v/>
      </c>
      <c r="P340" s="91" t="str">
        <f>IF(ISBLANK(N340),IFERROR(0/0,""),IFERROR(VLOOKUP(N340, 'Process Ref'!$A$76:$D$122, 2, FALSE), IFERROR(0/0,"")))</f>
        <v/>
      </c>
      <c r="R340" s="92" t="str">
        <f>IFNA(MATCH(A340,'RFR Data - preExcl'!A$2:A923,0),"")</f>
        <v/>
      </c>
      <c r="S340" s="54"/>
      <c r="T340" s="8" t="str">
        <f>IF(AND(NOT(ISBLANK(U340)),NOT(ISBLANK(V340)),NOT(ISBLANK(W340))),CONCATENATE("RUN-",'Process Ref'!$A$1,"_",TEXT(V340,"YYYY-MM-DD"),"_APS-",TEXT(W340,"000")),IFERROR(0/0,""))</f>
        <v>RUN-FLMP_2022-06-09_APS-092</v>
      </c>
      <c r="U340" s="14">
        <f t="shared" si="101"/>
        <v>44721</v>
      </c>
      <c r="V340" s="190">
        <v>44721.0</v>
      </c>
      <c r="W340" s="191">
        <f t="shared" si="102"/>
        <v>92</v>
      </c>
      <c r="X340" s="86"/>
      <c r="Z340" s="131"/>
      <c r="AA340" s="14"/>
      <c r="AG340" s="86"/>
      <c r="AJ340" s="86"/>
    </row>
    <row r="341">
      <c r="C341" s="88" t="str">
        <f t="shared" si="2"/>
        <v/>
      </c>
      <c r="D341" s="16"/>
      <c r="E341" s="16"/>
      <c r="F341" s="16"/>
      <c r="G341" s="16"/>
      <c r="H341" s="16"/>
      <c r="I341" s="16"/>
      <c r="J341" s="16"/>
      <c r="K341" s="16"/>
      <c r="L341" s="16"/>
      <c r="M341" s="16"/>
      <c r="N341" s="21"/>
      <c r="O341" s="30" t="str">
        <f t="shared" si="74"/>
        <v/>
      </c>
      <c r="P341" s="91" t="str">
        <f>IF(ISBLANK(N341),IFERROR(0/0,""),IFERROR(VLOOKUP(N341, 'Process Ref'!$A$76:$D$122, 2, FALSE), IFERROR(0/0,"")))</f>
        <v/>
      </c>
      <c r="R341" s="92" t="str">
        <f>IFNA(MATCH(A341,'RFR Data - preExcl'!A$2:A923,0),"")</f>
        <v/>
      </c>
      <c r="S341" s="54"/>
      <c r="T341" s="8" t="str">
        <f>IF(AND(NOT(ISBLANK(U341)),NOT(ISBLANK(V341)),NOT(ISBLANK(W341))),CONCATENATE("RUN-",'Process Ref'!$A$1,"_",TEXT(V341,"YYYY-MM-DD"),"_APS-",TEXT(W341,"000")),IFERROR(0/0,""))</f>
        <v>RUN-FLMP_2022-06-13_APS-093</v>
      </c>
      <c r="U341" s="14">
        <f t="shared" si="101"/>
        <v>44725</v>
      </c>
      <c r="V341" s="190">
        <v>44725.0</v>
      </c>
      <c r="W341" s="191">
        <f t="shared" si="102"/>
        <v>93</v>
      </c>
      <c r="X341" s="86"/>
      <c r="Z341" s="131"/>
      <c r="AA341" s="14"/>
      <c r="AG341" s="86"/>
      <c r="AJ341" s="86"/>
    </row>
    <row r="342">
      <c r="C342" s="88" t="str">
        <f t="shared" si="2"/>
        <v/>
      </c>
      <c r="D342" s="16"/>
      <c r="E342" s="16"/>
      <c r="F342" s="16"/>
      <c r="G342" s="16"/>
      <c r="H342" s="16"/>
      <c r="I342" s="16"/>
      <c r="J342" s="16"/>
      <c r="K342" s="16"/>
      <c r="L342" s="16"/>
      <c r="M342" s="16"/>
      <c r="N342" s="21"/>
      <c r="O342" s="30" t="str">
        <f t="shared" si="74"/>
        <v/>
      </c>
      <c r="P342" s="91" t="str">
        <f>IF(ISBLANK(N342),IFERROR(0/0,""),IFERROR(VLOOKUP(N342, 'Process Ref'!$A$76:$D$122, 2, FALSE), IFERROR(0/0,"")))</f>
        <v/>
      </c>
      <c r="R342" s="92" t="str">
        <f>IFNA(MATCH(A342,'RFR Data - preExcl'!A$2:A923,0),"")</f>
        <v/>
      </c>
      <c r="S342" s="54"/>
      <c r="T342" s="8" t="str">
        <f>IF(AND(NOT(ISBLANK(U342)),NOT(ISBLANK(V342)),NOT(ISBLANK(W342))),CONCATENATE("RUN-",'Process Ref'!$A$1,"_",TEXT(V342,"YYYY-MM-DD"),"_APS-",TEXT(W342,"000")),IFERROR(0/0,""))</f>
        <v>RUN-FLMP_2022-06-16_APS-094</v>
      </c>
      <c r="U342" s="14">
        <f t="shared" si="101"/>
        <v>44728</v>
      </c>
      <c r="V342" s="190">
        <v>44728.0</v>
      </c>
      <c r="W342" s="191">
        <f t="shared" si="102"/>
        <v>94</v>
      </c>
      <c r="X342" s="86"/>
      <c r="Z342" s="131"/>
      <c r="AA342" s="14"/>
      <c r="AG342" s="86"/>
      <c r="AJ342" s="86"/>
    </row>
    <row r="343">
      <c r="C343" s="88" t="str">
        <f t="shared" si="2"/>
        <v/>
      </c>
      <c r="D343" s="16"/>
      <c r="E343" s="16"/>
      <c r="F343" s="16"/>
      <c r="G343" s="16"/>
      <c r="H343" s="16"/>
      <c r="I343" s="16"/>
      <c r="J343" s="16"/>
      <c r="K343" s="16"/>
      <c r="L343" s="16"/>
      <c r="M343" s="16"/>
      <c r="N343" s="21"/>
      <c r="O343" s="30" t="str">
        <f t="shared" si="74"/>
        <v/>
      </c>
      <c r="P343" s="91" t="str">
        <f>IF(ISBLANK(N343),IFERROR(0/0,""),IFERROR(VLOOKUP(N343, 'Process Ref'!$A$76:$D$122, 2, FALSE), IFERROR(0/0,"")))</f>
        <v/>
      </c>
      <c r="R343" s="92" t="str">
        <f>IFNA(MATCH(A343,'RFR Data - preExcl'!A$2:A923,0),"")</f>
        <v/>
      </c>
      <c r="S343" s="54"/>
      <c r="T343" s="8" t="str">
        <f>IF(AND(NOT(ISBLANK(U343)),NOT(ISBLANK(V343)),NOT(ISBLANK(W343))),CONCATENATE("RUN-",'Process Ref'!$A$1,"_",TEXT(V343,"YYYY-MM-DD"),"_APS-",TEXT(W343,"000")),IFERROR(0/0,""))</f>
        <v>RUN-FLMP_2022-06-17_APS-095</v>
      </c>
      <c r="U343" s="14">
        <f t="shared" si="101"/>
        <v>44729</v>
      </c>
      <c r="V343" s="190">
        <v>44729.0</v>
      </c>
      <c r="W343" s="191">
        <f t="shared" si="102"/>
        <v>95</v>
      </c>
      <c r="X343" s="86"/>
      <c r="Z343" s="131"/>
      <c r="AA343" s="14"/>
      <c r="AG343" s="86"/>
      <c r="AJ343" s="86"/>
    </row>
    <row r="344">
      <c r="C344" s="88" t="str">
        <f t="shared" si="2"/>
        <v/>
      </c>
      <c r="D344" s="16"/>
      <c r="E344" s="16"/>
      <c r="F344" s="16"/>
      <c r="G344" s="16"/>
      <c r="H344" s="16"/>
      <c r="I344" s="16"/>
      <c r="J344" s="16"/>
      <c r="K344" s="16"/>
      <c r="L344" s="16"/>
      <c r="M344" s="16"/>
      <c r="N344" s="21"/>
      <c r="O344" s="30" t="str">
        <f t="shared" si="74"/>
        <v/>
      </c>
      <c r="P344" s="91" t="str">
        <f>IF(ISBLANK(N344),IFERROR(0/0,""),IFERROR(VLOOKUP(N344, 'Process Ref'!$A$76:$D$122, 2, FALSE), IFERROR(0/0,"")))</f>
        <v/>
      </c>
      <c r="R344" s="92" t="str">
        <f>IFNA(MATCH(A344,'RFR Data - preExcl'!A$2:A923,0),"")</f>
        <v/>
      </c>
      <c r="S344" s="54"/>
      <c r="T344" s="8" t="str">
        <f>IF(AND(NOT(ISBLANK(U344)),NOT(ISBLANK(V344)),NOT(ISBLANK(W344))),CONCATENATE("RUN-",'Process Ref'!$A$1,"_",TEXT(V344,"YYYY-MM-DD"),"_APS-",TEXT(W344,"000")),IFERROR(0/0,""))</f>
        <v>RUN-FLMP_2022-06-20_APS-096</v>
      </c>
      <c r="U344" s="14">
        <f t="shared" si="101"/>
        <v>44732</v>
      </c>
      <c r="V344" s="190">
        <v>44732.0</v>
      </c>
      <c r="W344" s="191">
        <f t="shared" si="102"/>
        <v>96</v>
      </c>
      <c r="X344" s="86"/>
      <c r="Z344" s="131"/>
      <c r="AA344" s="14"/>
      <c r="AG344" s="86"/>
      <c r="AJ344" s="86"/>
    </row>
    <row r="345">
      <c r="C345" s="88" t="str">
        <f t="shared" si="2"/>
        <v/>
      </c>
      <c r="D345" s="16"/>
      <c r="E345" s="16"/>
      <c r="F345" s="16"/>
      <c r="G345" s="16"/>
      <c r="H345" s="16"/>
      <c r="I345" s="16"/>
      <c r="J345" s="16"/>
      <c r="K345" s="16"/>
      <c r="L345" s="16"/>
      <c r="M345" s="16"/>
      <c r="N345" s="21"/>
      <c r="O345" s="30" t="str">
        <f t="shared" si="74"/>
        <v/>
      </c>
      <c r="P345" s="91" t="str">
        <f>IF(ISBLANK(N345),IFERROR(0/0,""),IFERROR(VLOOKUP(N345, 'Process Ref'!$A$76:$D$122, 2, FALSE), IFERROR(0/0,"")))</f>
        <v/>
      </c>
      <c r="R345" s="92" t="str">
        <f>IFNA(MATCH(A345,'RFR Data - preExcl'!A$2:A923,0),"")</f>
        <v/>
      </c>
      <c r="S345" s="54"/>
      <c r="T345" s="8" t="str">
        <f>IF(AND(NOT(ISBLANK(U345)),NOT(ISBLANK(V345)),NOT(ISBLANK(W345))),CONCATENATE("RUN-",'Process Ref'!$A$1,"_",TEXT(V345,"YYYY-MM-DD"),"_APS-",TEXT(W345,"000")),IFERROR(0/0,""))</f>
        <v>RUN-FLMP_2022-06-23_APS-097</v>
      </c>
      <c r="U345" s="14">
        <f t="shared" si="101"/>
        <v>44735</v>
      </c>
      <c r="V345" s="190">
        <v>44735.0</v>
      </c>
      <c r="W345" s="191">
        <f t="shared" si="102"/>
        <v>97</v>
      </c>
      <c r="X345" s="86"/>
      <c r="Z345" s="131"/>
      <c r="AA345" s="14"/>
      <c r="AG345" s="86"/>
      <c r="AJ345" s="86"/>
    </row>
    <row r="346">
      <c r="C346" s="88" t="str">
        <f t="shared" si="2"/>
        <v/>
      </c>
      <c r="D346" s="16"/>
      <c r="E346" s="16"/>
      <c r="F346" s="16"/>
      <c r="G346" s="16"/>
      <c r="H346" s="16"/>
      <c r="I346" s="16"/>
      <c r="J346" s="16"/>
      <c r="K346" s="16"/>
      <c r="L346" s="16"/>
      <c r="M346" s="16"/>
      <c r="N346" s="21"/>
      <c r="O346" s="30" t="str">
        <f t="shared" si="74"/>
        <v/>
      </c>
      <c r="P346" s="91" t="str">
        <f>IF(ISBLANK(N346),IFERROR(0/0,""),IFERROR(VLOOKUP(N346, 'Process Ref'!$A$76:$D$122, 2, FALSE), IFERROR(0/0,"")))</f>
        <v/>
      </c>
      <c r="R346" s="92" t="str">
        <f>IFNA(MATCH(A346,'RFR Data - preExcl'!A$2:A923,0),"")</f>
        <v/>
      </c>
      <c r="S346" s="54"/>
      <c r="T346" s="8" t="str">
        <f>IF(AND(NOT(ISBLANK(U346)),NOT(ISBLANK(V346)),NOT(ISBLANK(W346))),CONCATENATE("RUN-",'Process Ref'!$A$1,"_",TEXT(V346,"YYYY-MM-DD"),"_APS-",TEXT(W346,"000")),IFERROR(0/0,""))</f>
        <v>RUN-FLMP_2022-06-27_APS-098</v>
      </c>
      <c r="U346" s="14">
        <f t="shared" si="101"/>
        <v>44739</v>
      </c>
      <c r="V346" s="190">
        <v>44739.0</v>
      </c>
      <c r="W346" s="191">
        <f t="shared" si="102"/>
        <v>98</v>
      </c>
      <c r="X346" s="86"/>
      <c r="Z346" s="131"/>
      <c r="AA346" s="14"/>
      <c r="AG346" s="86"/>
      <c r="AJ346" s="86"/>
    </row>
    <row r="347">
      <c r="C347" s="88" t="str">
        <f t="shared" si="2"/>
        <v/>
      </c>
      <c r="D347" s="16"/>
      <c r="E347" s="16"/>
      <c r="F347" s="16"/>
      <c r="G347" s="16"/>
      <c r="H347" s="16"/>
      <c r="I347" s="16"/>
      <c r="J347" s="16"/>
      <c r="K347" s="16"/>
      <c r="L347" s="16"/>
      <c r="M347" s="16"/>
      <c r="N347" s="21"/>
      <c r="O347" s="30" t="str">
        <f t="shared" si="74"/>
        <v/>
      </c>
      <c r="P347" s="91" t="str">
        <f>IF(ISBLANK(N347),IFERROR(0/0,""),IFERROR(VLOOKUP(N347, 'Process Ref'!$A$76:$D$122, 2, FALSE), IFERROR(0/0,"")))</f>
        <v/>
      </c>
      <c r="R347" s="92" t="str">
        <f>IFNA(MATCH(A347,'RFR Data - preExcl'!A$2:A923,0),"")</f>
        <v/>
      </c>
      <c r="S347" s="54"/>
      <c r="T347" s="8" t="str">
        <f>IF(AND(NOT(ISBLANK(U347)),NOT(ISBLANK(V347)),NOT(ISBLANK(W347))),CONCATENATE("RUN-",'Process Ref'!$A$1,"_",TEXT(V347,"YYYY-MM-DD"),"_APS-",TEXT(W347,"000")),IFERROR(0/0,""))</f>
        <v>RUN-FLMP_2022-06-29_APS-099</v>
      </c>
      <c r="U347" s="14">
        <f t="shared" si="101"/>
        <v>44741</v>
      </c>
      <c r="V347" s="190">
        <v>44741.0</v>
      </c>
      <c r="W347" s="191">
        <f t="shared" si="102"/>
        <v>99</v>
      </c>
      <c r="X347" s="86"/>
      <c r="Z347" s="131"/>
      <c r="AA347" s="14"/>
      <c r="AG347" s="86"/>
      <c r="AJ347" s="86"/>
    </row>
    <row r="348">
      <c r="C348" s="88" t="str">
        <f t="shared" si="2"/>
        <v/>
      </c>
      <c r="D348" s="16"/>
      <c r="E348" s="16"/>
      <c r="F348" s="16"/>
      <c r="G348" s="16"/>
      <c r="H348" s="16"/>
      <c r="I348" s="16"/>
      <c r="J348" s="16"/>
      <c r="K348" s="16"/>
      <c r="L348" s="16"/>
      <c r="M348" s="16"/>
      <c r="N348" s="21"/>
      <c r="O348" s="30" t="str">
        <f t="shared" si="74"/>
        <v/>
      </c>
      <c r="P348" s="91" t="str">
        <f>IF(ISBLANK(N348),IFERROR(0/0,""),IFERROR(VLOOKUP(N348, 'Process Ref'!$A$76:$D$122, 2, FALSE), IFERROR(0/0,"")))</f>
        <v/>
      </c>
      <c r="R348" s="92" t="str">
        <f>IFNA(MATCH(A348,'RFR Data - preExcl'!A$2:A923,0),"")</f>
        <v/>
      </c>
      <c r="S348" s="54"/>
      <c r="T348" s="8" t="str">
        <f>IF(AND(NOT(ISBLANK(U348)),NOT(ISBLANK(V348)),NOT(ISBLANK(W348))),CONCATENATE("RUN-",'Process Ref'!$A$1,"_",TEXT(V348,"YYYY-MM-DD"),"_APS-",TEXT(W348,"000")),IFERROR(0/0,""))</f>
        <v>RUN-FLMP_2022-06-30_APS-100</v>
      </c>
      <c r="U348" s="14">
        <f t="shared" si="101"/>
        <v>44742</v>
      </c>
      <c r="V348" s="190">
        <v>44742.0</v>
      </c>
      <c r="W348" s="191">
        <f t="shared" si="102"/>
        <v>100</v>
      </c>
      <c r="X348" s="86"/>
      <c r="Z348" s="131"/>
      <c r="AA348" s="14"/>
      <c r="AG348" s="86"/>
      <c r="AJ348" s="86"/>
    </row>
    <row r="349">
      <c r="C349" s="88" t="str">
        <f t="shared" si="2"/>
        <v/>
      </c>
      <c r="D349" s="16"/>
      <c r="E349" s="16"/>
      <c r="F349" s="16"/>
      <c r="G349" s="16"/>
      <c r="H349" s="16"/>
      <c r="I349" s="16"/>
      <c r="J349" s="16"/>
      <c r="K349" s="16"/>
      <c r="L349" s="16"/>
      <c r="M349" s="16"/>
      <c r="N349" s="21"/>
      <c r="O349" s="30" t="str">
        <f t="shared" si="74"/>
        <v/>
      </c>
      <c r="P349" s="91" t="str">
        <f>IF(ISBLANK(N349),IFERROR(0/0,""),IFERROR(VLOOKUP(N349, 'Process Ref'!$A$76:$D$122, 2, FALSE), IFERROR(0/0,"")))</f>
        <v/>
      </c>
      <c r="R349" s="92" t="str">
        <f>IFNA(MATCH(A349,'RFR Data - preExcl'!A$2:A923,0),"")</f>
        <v/>
      </c>
      <c r="S349" s="54"/>
      <c r="T349" s="8" t="str">
        <f>IF(AND(NOT(ISBLANK(U349)),NOT(ISBLANK(V349)),NOT(ISBLANK(W349))),CONCATENATE("RUN-",'Process Ref'!$A$1,"_",TEXT(V349,"YYYY-MM-DD"),"_APS-",TEXT(W349,"000")),IFERROR(0/0,""))</f>
        <v>RUN-FLMP_2022-07-18_APS-101</v>
      </c>
      <c r="U349" s="14">
        <f t="shared" si="101"/>
        <v>44760</v>
      </c>
      <c r="V349" s="190">
        <v>44760.0</v>
      </c>
      <c r="W349" s="191">
        <f t="shared" si="102"/>
        <v>101</v>
      </c>
      <c r="X349" s="86"/>
      <c r="Z349" s="131"/>
      <c r="AA349" s="14"/>
      <c r="AG349" s="86"/>
      <c r="AJ349" s="86"/>
    </row>
    <row r="350">
      <c r="C350" s="88" t="str">
        <f t="shared" si="2"/>
        <v/>
      </c>
      <c r="D350" s="16"/>
      <c r="E350" s="16"/>
      <c r="F350" s="16"/>
      <c r="G350" s="16"/>
      <c r="H350" s="16"/>
      <c r="I350" s="16"/>
      <c r="J350" s="16"/>
      <c r="K350" s="16"/>
      <c r="L350" s="16"/>
      <c r="M350" s="16"/>
      <c r="N350" s="21"/>
      <c r="O350" s="30" t="str">
        <f t="shared" si="74"/>
        <v/>
      </c>
      <c r="P350" s="91" t="str">
        <f>IF(ISBLANK(N350),IFERROR(0/0,""),IFERROR(VLOOKUP(N350, 'Process Ref'!$A$76:$D$122, 2, FALSE), IFERROR(0/0,"")))</f>
        <v/>
      </c>
      <c r="R350" s="223"/>
      <c r="S350" s="54"/>
      <c r="T350" s="8" t="str">
        <f>IF(AND(NOT(ISBLANK(U350)),NOT(ISBLANK(V350)),NOT(ISBLANK(W350))),CONCATENATE("RUN-",'Process Ref'!$A$1,"_",TEXT(V350,"YYYY-MM-DD"),"_APS-",TEXT(W350,"000")),IFERROR(0/0,""))</f>
        <v>RUN-FLMP_2022-07-21_APS-102</v>
      </c>
      <c r="U350" s="14">
        <f t="shared" si="101"/>
        <v>44763</v>
      </c>
      <c r="V350" s="190">
        <v>44763.0</v>
      </c>
      <c r="W350" s="191">
        <f t="shared" si="102"/>
        <v>102</v>
      </c>
      <c r="X350" s="86"/>
      <c r="Z350" s="131"/>
      <c r="AA350" s="14"/>
      <c r="AG350" s="86"/>
      <c r="AJ350" s="86"/>
    </row>
    <row r="351">
      <c r="C351" s="88" t="str">
        <f t="shared" si="2"/>
        <v/>
      </c>
      <c r="D351" s="16"/>
      <c r="E351" s="16"/>
      <c r="F351" s="16"/>
      <c r="G351" s="16"/>
      <c r="H351" s="16"/>
      <c r="I351" s="16"/>
      <c r="J351" s="16"/>
      <c r="K351" s="16"/>
      <c r="L351" s="16"/>
      <c r="M351" s="16"/>
      <c r="N351" s="21"/>
      <c r="O351" s="30" t="str">
        <f t="shared" si="74"/>
        <v/>
      </c>
      <c r="P351" s="91" t="str">
        <f>IF(ISBLANK(N351),IFERROR(0/0,""),IFERROR(VLOOKUP(N351, 'Process Ref'!$A$76:$D$122, 2, FALSE), IFERROR(0/0,"")))</f>
        <v/>
      </c>
      <c r="R351" s="223"/>
      <c r="S351" s="54"/>
      <c r="T351" s="8" t="str">
        <f>IF(AND(NOT(ISBLANK(U351)),NOT(ISBLANK(V351)),NOT(ISBLANK(W351))),CONCATENATE("RUN-",'Process Ref'!$A$1,"_",TEXT(V351,"YYYY-MM-DD"),"_APS-",TEXT(W351,"000")),IFERROR(0/0,""))</f>
        <v>RUN-FLMP_2022-07-25_APS-103</v>
      </c>
      <c r="U351" s="14">
        <f t="shared" si="101"/>
        <v>44767</v>
      </c>
      <c r="V351" s="190">
        <v>44767.0</v>
      </c>
      <c r="W351" s="191">
        <f t="shared" si="102"/>
        <v>103</v>
      </c>
      <c r="X351" s="86"/>
      <c r="Z351" s="131"/>
      <c r="AA351" s="14"/>
      <c r="AG351" s="86"/>
      <c r="AJ351" s="86"/>
    </row>
    <row r="352">
      <c r="C352" s="88" t="str">
        <f t="shared" si="2"/>
        <v/>
      </c>
      <c r="D352" s="16"/>
      <c r="E352" s="16"/>
      <c r="F352" s="16"/>
      <c r="G352" s="16"/>
      <c r="H352" s="16"/>
      <c r="I352" s="16"/>
      <c r="J352" s="16"/>
      <c r="K352" s="16"/>
      <c r="L352" s="16"/>
      <c r="M352" s="16"/>
      <c r="N352" s="21"/>
      <c r="O352" s="30" t="str">
        <f t="shared" si="74"/>
        <v/>
      </c>
      <c r="P352" s="91" t="str">
        <f>IF(ISBLANK(N352),IFERROR(0/0,""),IFERROR(VLOOKUP(N352, 'Process Ref'!$A$76:$D$122, 2, FALSE), IFERROR(0/0,"")))</f>
        <v/>
      </c>
      <c r="R352" s="223"/>
      <c r="S352" s="54"/>
      <c r="T352" s="8" t="str">
        <f>IF(AND(NOT(ISBLANK(U352)),NOT(ISBLANK(V352)),NOT(ISBLANK(W352))),CONCATENATE("RUN-",'Process Ref'!$A$1,"_",TEXT(V352,"YYYY-MM-DD"),"_APS-",TEXT(W352,"000")),IFERROR(0/0,""))</f>
        <v>RUN-FLMP_2022-07-28_APS-104</v>
      </c>
      <c r="U352" s="14">
        <f t="shared" si="101"/>
        <v>44770</v>
      </c>
      <c r="V352" s="190">
        <v>44770.0</v>
      </c>
      <c r="W352" s="191">
        <f t="shared" si="102"/>
        <v>104</v>
      </c>
      <c r="X352" s="86"/>
      <c r="Z352" s="131"/>
      <c r="AA352" s="14"/>
      <c r="AG352" s="86"/>
      <c r="AJ352" s="86"/>
    </row>
    <row r="353">
      <c r="C353" s="88" t="str">
        <f t="shared" si="2"/>
        <v/>
      </c>
      <c r="D353" s="16"/>
      <c r="E353" s="16"/>
      <c r="F353" s="16"/>
      <c r="G353" s="16"/>
      <c r="H353" s="16"/>
      <c r="I353" s="16"/>
      <c r="J353" s="16"/>
      <c r="K353" s="16"/>
      <c r="L353" s="16"/>
      <c r="M353" s="16"/>
      <c r="N353" s="21"/>
      <c r="O353" s="30" t="str">
        <f t="shared" si="74"/>
        <v/>
      </c>
      <c r="P353" s="91" t="str">
        <f>IF(ISBLANK(N353),IFERROR(0/0,""),IFERROR(VLOOKUP(N353, 'Process Ref'!$A$76:$D$122, 2, FALSE), IFERROR(0/0,"")))</f>
        <v/>
      </c>
      <c r="R353" s="223"/>
      <c r="S353" s="54"/>
      <c r="T353" s="8" t="str">
        <f>IF(AND(NOT(ISBLANK(U353)),NOT(ISBLANK(V353)),NOT(ISBLANK(W353))),CONCATENATE("RUN-",'Process Ref'!$A$1,"_",TEXT(V353,"YYYY-MM-DD"),"_APS-",TEXT(W353,"000")),IFERROR(0/0,""))</f>
        <v>RUN-FLMP_2022-08-01_APS-105</v>
      </c>
      <c r="U353" s="14">
        <f t="shared" si="101"/>
        <v>44774</v>
      </c>
      <c r="V353" s="190">
        <v>44774.0</v>
      </c>
      <c r="W353" s="191">
        <f t="shared" si="102"/>
        <v>105</v>
      </c>
      <c r="X353" s="86"/>
      <c r="Z353" s="131"/>
      <c r="AA353" s="14"/>
      <c r="AG353" s="86"/>
      <c r="AJ353" s="86"/>
    </row>
    <row r="354">
      <c r="C354" s="88" t="str">
        <f t="shared" si="2"/>
        <v/>
      </c>
      <c r="D354" s="16"/>
      <c r="E354" s="16"/>
      <c r="F354" s="16"/>
      <c r="G354" s="16"/>
      <c r="H354" s="16"/>
      <c r="I354" s="16"/>
      <c r="J354" s="16"/>
      <c r="K354" s="16"/>
      <c r="L354" s="16"/>
      <c r="M354" s="16"/>
      <c r="N354" s="21"/>
      <c r="O354" s="30" t="str">
        <f t="shared" si="74"/>
        <v/>
      </c>
      <c r="P354" s="91" t="str">
        <f>IF(ISBLANK(N354),IFERROR(0/0,""),IFERROR(VLOOKUP(N354, 'Process Ref'!$A$76:$D$122, 2, FALSE), IFERROR(0/0,"")))</f>
        <v/>
      </c>
      <c r="R354" s="223"/>
      <c r="S354" s="54"/>
      <c r="T354" s="8" t="str">
        <f>IF(AND(NOT(ISBLANK(U354)),NOT(ISBLANK(V354)),NOT(ISBLANK(W354))),CONCATENATE("RUN-",'Process Ref'!$A$1,"_",TEXT(V354,"YYYY-MM-DD"),"_APS-",TEXT(W354,"000")),IFERROR(0/0,""))</f>
        <v>RUN-FLMP_2022-08-04_APS-106</v>
      </c>
      <c r="U354" s="14">
        <f t="shared" si="101"/>
        <v>44777</v>
      </c>
      <c r="V354" s="190">
        <v>44777.0</v>
      </c>
      <c r="W354" s="191">
        <f t="shared" si="102"/>
        <v>106</v>
      </c>
      <c r="X354" s="86"/>
      <c r="Z354" s="131"/>
      <c r="AA354" s="14"/>
      <c r="AG354" s="86"/>
      <c r="AJ354" s="86"/>
    </row>
    <row r="355">
      <c r="C355" s="88" t="str">
        <f t="shared" si="2"/>
        <v/>
      </c>
      <c r="D355" s="16"/>
      <c r="E355" s="16"/>
      <c r="F355" s="16"/>
      <c r="G355" s="16"/>
      <c r="H355" s="16"/>
      <c r="I355" s="16"/>
      <c r="J355" s="16"/>
      <c r="K355" s="16"/>
      <c r="L355" s="16"/>
      <c r="M355" s="16"/>
      <c r="N355" s="21"/>
      <c r="O355" s="30" t="str">
        <f t="shared" si="74"/>
        <v/>
      </c>
      <c r="P355" s="91" t="str">
        <f>IF(ISBLANK(N355),IFERROR(0/0,""),IFERROR(VLOOKUP(N355, 'Process Ref'!$A$76:$D$122, 2, FALSE), IFERROR(0/0,"")))</f>
        <v/>
      </c>
      <c r="R355" s="223"/>
      <c r="S355" s="54"/>
      <c r="T355" s="8" t="str">
        <f>IF(AND(NOT(ISBLANK(U355)),NOT(ISBLANK(V355)),NOT(ISBLANK(W355))),CONCATENATE("RUN-",'Process Ref'!$A$1,"_",TEXT(V355,"YYYY-MM-DD"),"_APS-",TEXT(W355,"000")),IFERROR(0/0,""))</f>
        <v>RUN-FLMP_2022-08-22_APS-107</v>
      </c>
      <c r="U355" s="14">
        <f t="shared" si="101"/>
        <v>44795</v>
      </c>
      <c r="V355" s="190">
        <v>44795.0</v>
      </c>
      <c r="W355" s="191">
        <f t="shared" si="102"/>
        <v>107</v>
      </c>
      <c r="X355" s="86"/>
      <c r="Z355" s="131"/>
      <c r="AA355" s="14"/>
      <c r="AG355" s="86"/>
      <c r="AJ355" s="86"/>
    </row>
    <row r="356">
      <c r="C356" s="88" t="str">
        <f t="shared" si="2"/>
        <v/>
      </c>
      <c r="D356" s="16"/>
      <c r="E356" s="16"/>
      <c r="F356" s="16"/>
      <c r="G356" s="16"/>
      <c r="H356" s="16"/>
      <c r="I356" s="16"/>
      <c r="J356" s="16"/>
      <c r="K356" s="16"/>
      <c r="L356" s="16"/>
      <c r="M356" s="16"/>
      <c r="N356" s="21"/>
      <c r="O356" s="30" t="str">
        <f t="shared" si="74"/>
        <v/>
      </c>
      <c r="P356" s="91" t="str">
        <f>IF(ISBLANK(N356),IFERROR(0/0,""),IFERROR(VLOOKUP(N356, 'Process Ref'!$A$76:$D$122, 2, FALSE), IFERROR(0/0,"")))</f>
        <v/>
      </c>
      <c r="R356" s="223"/>
      <c r="S356" s="54"/>
      <c r="T356" s="8" t="str">
        <f>IF(AND(NOT(ISBLANK(U356)),NOT(ISBLANK(V356)),NOT(ISBLANK(W356))),CONCATENATE("RUN-",'Process Ref'!$A$1,"_",TEXT(V356,"YYYY-MM-DD"),"_APS-",TEXT(W356,"000")),IFERROR(0/0,""))</f>
        <v>RUN-FLMP_2022-09-06_APS-108</v>
      </c>
      <c r="U356" s="14">
        <f t="shared" si="101"/>
        <v>44810</v>
      </c>
      <c r="V356" s="190">
        <v>44810.0</v>
      </c>
      <c r="W356" s="191">
        <f t="shared" si="102"/>
        <v>108</v>
      </c>
      <c r="X356" s="86"/>
      <c r="Z356" s="131"/>
      <c r="AA356" s="14"/>
      <c r="AG356" s="86"/>
      <c r="AJ356" s="86"/>
    </row>
    <row r="357">
      <c r="C357" s="88" t="str">
        <f t="shared" si="2"/>
        <v/>
      </c>
      <c r="D357" s="16"/>
      <c r="E357" s="16"/>
      <c r="F357" s="16"/>
      <c r="G357" s="16"/>
      <c r="H357" s="16"/>
      <c r="I357" s="16"/>
      <c r="J357" s="16"/>
      <c r="K357" s="16"/>
      <c r="L357" s="16"/>
      <c r="M357" s="16"/>
      <c r="N357" s="21"/>
      <c r="O357" s="30" t="str">
        <f t="shared" si="74"/>
        <v/>
      </c>
      <c r="P357" s="91" t="str">
        <f>IF(ISBLANK(N357),IFERROR(0/0,""),IFERROR(VLOOKUP(N357, 'Process Ref'!$A$76:$D$122, 2, FALSE), IFERROR(0/0,"")))</f>
        <v/>
      </c>
      <c r="R357" s="223"/>
      <c r="S357" s="54"/>
      <c r="T357" s="8" t="str">
        <f>IF(AND(NOT(ISBLANK(U357)),NOT(ISBLANK(V357)),NOT(ISBLANK(W357))),CONCATENATE("RUN-",'Process Ref'!$A$1,"_",TEXT(V357,"YYYY-MM-DD"),"_APS-",TEXT(W357,"000")),IFERROR(0/0,""))</f>
        <v>RUN-FLMP_2022-09-08_APS-109</v>
      </c>
      <c r="U357" s="14">
        <f t="shared" si="101"/>
        <v>44812</v>
      </c>
      <c r="V357" s="190">
        <v>44812.0</v>
      </c>
      <c r="W357" s="191">
        <f t="shared" si="102"/>
        <v>109</v>
      </c>
      <c r="X357" s="86"/>
      <c r="Z357" s="131"/>
      <c r="AA357" s="14"/>
      <c r="AG357" s="86"/>
      <c r="AJ357" s="86"/>
    </row>
    <row r="358">
      <c r="C358" s="88" t="str">
        <f t="shared" si="2"/>
        <v/>
      </c>
      <c r="D358" s="16"/>
      <c r="E358" s="16"/>
      <c r="F358" s="16"/>
      <c r="G358" s="16"/>
      <c r="H358" s="16"/>
      <c r="I358" s="16"/>
      <c r="J358" s="16"/>
      <c r="K358" s="16"/>
      <c r="L358" s="16"/>
      <c r="M358" s="16"/>
      <c r="N358" s="21"/>
      <c r="O358" s="30" t="str">
        <f t="shared" si="74"/>
        <v/>
      </c>
      <c r="P358" s="91" t="str">
        <f>IF(ISBLANK(N358),IFERROR(0/0,""),IFERROR(VLOOKUP(N358, 'Process Ref'!$A$76:$D$122, 2, FALSE), IFERROR(0/0,"")))</f>
        <v/>
      </c>
      <c r="R358" s="223"/>
      <c r="S358" s="54"/>
      <c r="T358" s="8" t="str">
        <f>IF(AND(NOT(ISBLANK(U358)),NOT(ISBLANK(V358)),NOT(ISBLANK(W358))),CONCATENATE("RUN-",'Process Ref'!$A$1,"_",TEXT(V358,"YYYY-MM-DD"),"_APS-",TEXT(W358,"000")),IFERROR(0/0,""))</f>
        <v>RUN-FLMP_2022-09-12_APS-110</v>
      </c>
      <c r="U358" s="14">
        <f t="shared" si="101"/>
        <v>44816</v>
      </c>
      <c r="V358" s="190">
        <v>44816.0</v>
      </c>
      <c r="W358" s="191">
        <f t="shared" si="102"/>
        <v>110</v>
      </c>
      <c r="X358" s="86"/>
      <c r="Z358" s="131"/>
      <c r="AA358" s="14"/>
      <c r="AG358" s="86"/>
      <c r="AJ358" s="86"/>
    </row>
    <row r="359">
      <c r="C359" s="88" t="str">
        <f t="shared" si="2"/>
        <v/>
      </c>
      <c r="D359" s="16"/>
      <c r="E359" s="16"/>
      <c r="F359" s="16"/>
      <c r="G359" s="16"/>
      <c r="H359" s="16"/>
      <c r="I359" s="16"/>
      <c r="J359" s="16"/>
      <c r="K359" s="16"/>
      <c r="L359" s="16"/>
      <c r="M359" s="16"/>
      <c r="N359" s="21"/>
      <c r="O359" s="30" t="str">
        <f t="shared" si="74"/>
        <v/>
      </c>
      <c r="P359" s="91" t="str">
        <f>IF(ISBLANK(N359),IFERROR(0/0,""),IFERROR(VLOOKUP(N359, 'Process Ref'!$A$76:$D$122, 2, FALSE), IFERROR(0/0,"")))</f>
        <v/>
      </c>
      <c r="R359" s="223"/>
      <c r="S359" s="54"/>
      <c r="T359" s="8" t="str">
        <f>IF(AND(NOT(ISBLANK(U359)),NOT(ISBLANK(V359)),NOT(ISBLANK(W359))),CONCATENATE("RUN-",'Process Ref'!$A$1,"_",TEXT(V359,"YYYY-MM-DD"),"_APS-",TEXT(W359,"000")),IFERROR(0/0,""))</f>
        <v>RUN-FLMP_2022-09-15_APS-111</v>
      </c>
      <c r="U359" s="14">
        <f t="shared" si="101"/>
        <v>44819</v>
      </c>
      <c r="V359" s="190">
        <v>44819.0</v>
      </c>
      <c r="W359" s="191">
        <f t="shared" si="102"/>
        <v>111</v>
      </c>
      <c r="X359" s="86"/>
      <c r="Z359" s="131"/>
      <c r="AA359" s="14"/>
      <c r="AG359" s="86"/>
      <c r="AJ359" s="86"/>
    </row>
    <row r="360">
      <c r="C360" s="88" t="str">
        <f t="shared" si="2"/>
        <v/>
      </c>
      <c r="D360" s="16"/>
      <c r="E360" s="16"/>
      <c r="F360" s="16"/>
      <c r="G360" s="16"/>
      <c r="H360" s="16"/>
      <c r="I360" s="16"/>
      <c r="J360" s="16"/>
      <c r="K360" s="16"/>
      <c r="L360" s="16"/>
      <c r="M360" s="16"/>
      <c r="N360" s="21"/>
      <c r="O360" s="30" t="str">
        <f t="shared" si="74"/>
        <v/>
      </c>
      <c r="P360" s="91" t="str">
        <f>IF(ISBLANK(N360),IFERROR(0/0,""),IFERROR(VLOOKUP(N360, 'Process Ref'!$A$76:$D$122, 2, FALSE), IFERROR(0/0,"")))</f>
        <v/>
      </c>
      <c r="R360" s="223"/>
      <c r="S360" s="54"/>
      <c r="T360" s="8" t="str">
        <f>IF(AND(NOT(ISBLANK(U360)),NOT(ISBLANK(V360)),NOT(ISBLANK(W360))),CONCATENATE("RUN-",'Process Ref'!$A$1,"_",TEXT(V360,"YYYY-MM-DD"),"_APS-",TEXT(W360,"000")),IFERROR(0/0,""))</f>
        <v>RUN-FLMP_2022-09-19_APS-112</v>
      </c>
      <c r="U360" s="14">
        <f t="shared" si="101"/>
        <v>44823</v>
      </c>
      <c r="V360" s="190">
        <v>44823.0</v>
      </c>
      <c r="W360" s="191">
        <f t="shared" si="102"/>
        <v>112</v>
      </c>
      <c r="X360" s="86"/>
      <c r="Z360" s="131"/>
      <c r="AA360" s="14"/>
      <c r="AG360" s="86"/>
      <c r="AJ360" s="86"/>
    </row>
    <row r="361">
      <c r="C361" s="88" t="str">
        <f t="shared" si="2"/>
        <v/>
      </c>
      <c r="D361" s="16"/>
      <c r="E361" s="16"/>
      <c r="F361" s="16"/>
      <c r="G361" s="16"/>
      <c r="H361" s="16"/>
      <c r="I361" s="16"/>
      <c r="J361" s="16"/>
      <c r="K361" s="16"/>
      <c r="L361" s="16"/>
      <c r="M361" s="16"/>
      <c r="N361" s="21"/>
      <c r="O361" s="30" t="str">
        <f t="shared" si="74"/>
        <v/>
      </c>
      <c r="P361" s="91" t="str">
        <f>IF(ISBLANK(N361),IFERROR(0/0,""),IFERROR(VLOOKUP(N361, 'Process Ref'!$A$76:$D$122, 2, FALSE), IFERROR(0/0,"")))</f>
        <v/>
      </c>
      <c r="R361" s="223"/>
      <c r="S361" s="54"/>
      <c r="T361" s="8" t="str">
        <f>IF(AND(NOT(ISBLANK(U361)),NOT(ISBLANK(V361)),NOT(ISBLANK(W361))),CONCATENATE("RUN-",'Process Ref'!$A$1,"_",TEXT(V361,"YYYY-MM-DD"),"_APS-",TEXT(W361,"000")),IFERROR(0/0,""))</f>
        <v>RUN-FLMP_2022-09-22_APS-113</v>
      </c>
      <c r="U361" s="14">
        <f t="shared" si="101"/>
        <v>44826</v>
      </c>
      <c r="V361" s="190">
        <v>44826.0</v>
      </c>
      <c r="W361" s="191">
        <f t="shared" si="102"/>
        <v>113</v>
      </c>
      <c r="X361" s="86"/>
      <c r="Z361" s="131"/>
      <c r="AA361" s="14"/>
      <c r="AG361" s="86"/>
      <c r="AJ361" s="86"/>
    </row>
    <row r="362">
      <c r="C362" s="88" t="str">
        <f t="shared" si="2"/>
        <v/>
      </c>
      <c r="D362" s="16"/>
      <c r="E362" s="16"/>
      <c r="F362" s="16"/>
      <c r="G362" s="16"/>
      <c r="H362" s="16"/>
      <c r="I362" s="16"/>
      <c r="J362" s="16"/>
      <c r="K362" s="16"/>
      <c r="L362" s="16"/>
      <c r="M362" s="16"/>
      <c r="N362" s="21"/>
      <c r="O362" s="30" t="str">
        <f t="shared" si="74"/>
        <v/>
      </c>
      <c r="P362" s="91" t="str">
        <f>IF(ISBLANK(N362),IFERROR(0/0,""),IFERROR(VLOOKUP(N362, 'Process Ref'!$A$76:$D$122, 2, FALSE), IFERROR(0/0,"")))</f>
        <v/>
      </c>
      <c r="R362" s="223"/>
      <c r="S362" s="54"/>
      <c r="T362" s="8" t="str">
        <f>IF(AND(NOT(ISBLANK(U362)),NOT(ISBLANK(V362)),NOT(ISBLANK(W362))),CONCATENATE("RUN-",'Process Ref'!$A$1,"_",TEXT(V362,"YYYY-MM-DD"),"_APS-",TEXT(W362,"000")),IFERROR(0/0,""))</f>
        <v>RUN-FLMP_2022-09-26_APS-114</v>
      </c>
      <c r="U362" s="14">
        <f t="shared" si="101"/>
        <v>44830</v>
      </c>
      <c r="V362" s="190">
        <v>44830.0</v>
      </c>
      <c r="W362" s="191">
        <f t="shared" si="102"/>
        <v>114</v>
      </c>
      <c r="X362" s="86"/>
      <c r="Z362" s="131"/>
      <c r="AA362" s="14"/>
      <c r="AG362" s="86"/>
      <c r="AJ362" s="86"/>
    </row>
    <row r="363">
      <c r="C363" s="88" t="str">
        <f t="shared" si="2"/>
        <v/>
      </c>
      <c r="D363" s="16"/>
      <c r="E363" s="16"/>
      <c r="F363" s="16"/>
      <c r="G363" s="16"/>
      <c r="H363" s="16"/>
      <c r="I363" s="16"/>
      <c r="J363" s="16"/>
      <c r="K363" s="16"/>
      <c r="L363" s="16"/>
      <c r="M363" s="16"/>
      <c r="N363" s="21"/>
      <c r="O363" s="30" t="str">
        <f t="shared" si="74"/>
        <v/>
      </c>
      <c r="P363" s="91" t="str">
        <f>IF(ISBLANK(N363),IFERROR(0/0,""),IFERROR(VLOOKUP(N363, 'Process Ref'!$A$76:$D$122, 2, FALSE), IFERROR(0/0,"")))</f>
        <v/>
      </c>
      <c r="R363" s="223"/>
      <c r="S363" s="54"/>
      <c r="T363" s="8" t="str">
        <f>IF(AND(NOT(ISBLANK(U363)),NOT(ISBLANK(V363)),NOT(ISBLANK(W363))),CONCATENATE("RUN-",'Process Ref'!$A$1,"_",TEXT(V363,"YYYY-MM-DD"),"_APS-",TEXT(W363,"000")),IFERROR(0/0,""))</f>
        <v>RUN-FLMP_2022-09-29_APS-115</v>
      </c>
      <c r="U363" s="14">
        <f t="shared" si="101"/>
        <v>44833</v>
      </c>
      <c r="V363" s="190">
        <v>44833.0</v>
      </c>
      <c r="W363" s="191">
        <f t="shared" si="102"/>
        <v>115</v>
      </c>
      <c r="X363" s="86"/>
      <c r="Z363" s="131"/>
      <c r="AA363" s="14"/>
      <c r="AG363" s="86"/>
      <c r="AJ363" s="86"/>
    </row>
    <row r="364">
      <c r="C364" s="88" t="str">
        <f t="shared" si="2"/>
        <v/>
      </c>
      <c r="D364" s="16"/>
      <c r="E364" s="16"/>
      <c r="F364" s="16"/>
      <c r="G364" s="16"/>
      <c r="H364" s="16"/>
      <c r="I364" s="16"/>
      <c r="J364" s="16"/>
      <c r="K364" s="16"/>
      <c r="L364" s="16"/>
      <c r="M364" s="16"/>
      <c r="N364" s="21"/>
      <c r="O364" s="30" t="str">
        <f t="shared" si="74"/>
        <v/>
      </c>
      <c r="P364" s="91" t="str">
        <f>IF(ISBLANK(N364),IFERROR(0/0,""),IFERROR(VLOOKUP(N364, 'Process Ref'!$A$76:$D$122, 2, FALSE), IFERROR(0/0,"")))</f>
        <v/>
      </c>
      <c r="R364" s="223"/>
      <c r="S364" s="54"/>
      <c r="T364" s="8" t="str">
        <f>IF(AND(NOT(ISBLANK(U364)),NOT(ISBLANK(V364)),NOT(ISBLANK(W364))),CONCATENATE("RUN-",'Process Ref'!$A$1,"_",TEXT(V364,"YYYY-MM-DD"),"_APS-",TEXT(W364,"000")),IFERROR(0/0,""))</f>
        <v>RUN-FLMP_2022-10-03_APS-116</v>
      </c>
      <c r="U364" s="14">
        <f t="shared" si="101"/>
        <v>44837</v>
      </c>
      <c r="V364" s="190">
        <v>44837.0</v>
      </c>
      <c r="W364" s="191">
        <f t="shared" si="102"/>
        <v>116</v>
      </c>
      <c r="X364" s="86"/>
      <c r="Z364" s="131"/>
      <c r="AA364" s="14"/>
      <c r="AG364" s="86"/>
      <c r="AJ364" s="86"/>
    </row>
    <row r="365">
      <c r="C365" s="88" t="str">
        <f t="shared" si="2"/>
        <v/>
      </c>
      <c r="D365" s="16"/>
      <c r="E365" s="16"/>
      <c r="F365" s="16"/>
      <c r="G365" s="16"/>
      <c r="H365" s="16"/>
      <c r="I365" s="16"/>
      <c r="J365" s="16"/>
      <c r="K365" s="16"/>
      <c r="L365" s="16"/>
      <c r="M365" s="16"/>
      <c r="N365" s="21"/>
      <c r="O365" s="30" t="str">
        <f t="shared" si="74"/>
        <v/>
      </c>
      <c r="P365" s="91" t="str">
        <f>IF(ISBLANK(N365),IFERROR(0/0,""),IFERROR(VLOOKUP(N365, 'Process Ref'!$A$76:$D$122, 2, FALSE), IFERROR(0/0,"")))</f>
        <v/>
      </c>
      <c r="R365" s="223"/>
      <c r="S365" s="54"/>
      <c r="T365" s="8" t="str">
        <f>IF(AND(NOT(ISBLANK(U365)),NOT(ISBLANK(V365)),NOT(ISBLANK(W365))),CONCATENATE("RUN-",'Process Ref'!$A$1,"_",TEXT(V365,"YYYY-MM-DD"),"_APS-",TEXT(W365,"000")),IFERROR(0/0,""))</f>
        <v>RUN-FLMP_2022-10-06_APS-117</v>
      </c>
      <c r="U365" s="14">
        <f t="shared" si="101"/>
        <v>44840</v>
      </c>
      <c r="V365" s="190">
        <v>44840.0</v>
      </c>
      <c r="W365" s="191">
        <f t="shared" si="102"/>
        <v>117</v>
      </c>
      <c r="X365" s="86"/>
      <c r="Z365" s="131"/>
      <c r="AA365" s="14"/>
      <c r="AG365" s="86"/>
      <c r="AJ365" s="86"/>
    </row>
    <row r="366">
      <c r="C366" s="88" t="str">
        <f t="shared" si="2"/>
        <v/>
      </c>
      <c r="D366" s="16"/>
      <c r="E366" s="16"/>
      <c r="F366" s="16"/>
      <c r="G366" s="16"/>
      <c r="H366" s="16"/>
      <c r="I366" s="16"/>
      <c r="J366" s="16"/>
      <c r="K366" s="16"/>
      <c r="L366" s="16"/>
      <c r="M366" s="16"/>
      <c r="N366" s="21"/>
      <c r="O366" s="30" t="str">
        <f t="shared" si="74"/>
        <v/>
      </c>
      <c r="P366" s="91" t="str">
        <f>IF(ISBLANK(N366),IFERROR(0/0,""),IFERROR(VLOOKUP(N366, 'Process Ref'!$A$76:$D$122, 2, FALSE), IFERROR(0/0,"")))</f>
        <v/>
      </c>
      <c r="R366" s="223"/>
      <c r="S366" s="54"/>
      <c r="T366" s="8" t="str">
        <f>IF(AND(NOT(ISBLANK(U366)),NOT(ISBLANK(V366)),NOT(ISBLANK(W366))),CONCATENATE("RUN-",'Process Ref'!$A$1,"_",TEXT(V366,"YYYY-MM-DD"),"_APS-",TEXT(W366,"000")),IFERROR(0/0,""))</f>
        <v>RUN-FLMP_2022-10-10_APS-118</v>
      </c>
      <c r="U366" s="14">
        <f t="shared" si="101"/>
        <v>44844</v>
      </c>
      <c r="V366" s="190">
        <v>44844.0</v>
      </c>
      <c r="W366" s="191">
        <f t="shared" si="102"/>
        <v>118</v>
      </c>
      <c r="X366" s="86"/>
      <c r="Z366" s="131"/>
      <c r="AA366" s="14"/>
      <c r="AG366" s="86"/>
      <c r="AJ366" s="86"/>
    </row>
    <row r="367">
      <c r="C367" s="88" t="str">
        <f t="shared" si="2"/>
        <v/>
      </c>
      <c r="D367" s="16"/>
      <c r="E367" s="16"/>
      <c r="F367" s="16"/>
      <c r="G367" s="16"/>
      <c r="H367" s="16"/>
      <c r="I367" s="16"/>
      <c r="J367" s="16"/>
      <c r="K367" s="16"/>
      <c r="L367" s="16"/>
      <c r="M367" s="16"/>
      <c r="N367" s="21"/>
      <c r="O367" s="30" t="str">
        <f t="shared" si="74"/>
        <v/>
      </c>
      <c r="P367" s="91" t="str">
        <f>IF(ISBLANK(N367),IFERROR(0/0,""),IFERROR(VLOOKUP(N367, 'Process Ref'!$A$76:$D$122, 2, FALSE), IFERROR(0/0,"")))</f>
        <v/>
      </c>
      <c r="R367" s="223"/>
      <c r="S367" s="54"/>
      <c r="T367" s="8" t="str">
        <f>IF(AND(NOT(ISBLANK(U367)),NOT(ISBLANK(V367)),NOT(ISBLANK(W367))),CONCATENATE("RUN-",'Process Ref'!$A$1,"_",TEXT(V367,"YYYY-MM-DD"),"_APS-",TEXT(W367,"000")),IFERROR(0/0,""))</f>
        <v>RUN-FLMP_2022-10-13_APS-119</v>
      </c>
      <c r="U367" s="14">
        <f t="shared" si="101"/>
        <v>44847</v>
      </c>
      <c r="V367" s="190">
        <v>44847.0</v>
      </c>
      <c r="W367" s="191">
        <f t="shared" si="102"/>
        <v>119</v>
      </c>
      <c r="X367" s="86"/>
      <c r="Z367" s="131"/>
      <c r="AA367" s="14"/>
      <c r="AG367" s="86"/>
      <c r="AJ367" s="86"/>
    </row>
    <row r="368">
      <c r="C368" s="88" t="str">
        <f t="shared" si="2"/>
        <v/>
      </c>
      <c r="D368" s="16"/>
      <c r="E368" s="16"/>
      <c r="F368" s="16"/>
      <c r="G368" s="16"/>
      <c r="H368" s="16"/>
      <c r="I368" s="16"/>
      <c r="J368" s="16"/>
      <c r="K368" s="16"/>
      <c r="L368" s="16"/>
      <c r="M368" s="16"/>
      <c r="N368" s="21"/>
      <c r="O368" s="30" t="str">
        <f t="shared" si="74"/>
        <v/>
      </c>
      <c r="P368" s="91" t="str">
        <f>IF(ISBLANK(N368),IFERROR(0/0,""),IFERROR(VLOOKUP(N368, 'Process Ref'!$A$76:$D$122, 2, FALSE), IFERROR(0/0,"")))</f>
        <v/>
      </c>
      <c r="R368" s="223"/>
      <c r="S368" s="54"/>
      <c r="T368" s="8" t="str">
        <f>IF(AND(NOT(ISBLANK(U368)),NOT(ISBLANK(V368)),NOT(ISBLANK(W368))),CONCATENATE("RUN-",'Process Ref'!$A$1,"_",TEXT(V368,"YYYY-MM-DD"),"_APS-",TEXT(W368,"000")),IFERROR(0/0,""))</f>
        <v>RUN-FLMP_2022-10-17_APS-120</v>
      </c>
      <c r="U368" s="14">
        <f t="shared" si="101"/>
        <v>44851</v>
      </c>
      <c r="V368" s="190">
        <v>44851.0</v>
      </c>
      <c r="W368" s="191">
        <f t="shared" si="102"/>
        <v>120</v>
      </c>
      <c r="X368" s="86"/>
      <c r="Z368" s="131"/>
      <c r="AA368" s="14"/>
      <c r="AG368" s="86"/>
      <c r="AJ368" s="86"/>
    </row>
    <row r="369">
      <c r="C369" s="88" t="str">
        <f t="shared" si="2"/>
        <v/>
      </c>
      <c r="D369" s="16"/>
      <c r="E369" s="16"/>
      <c r="F369" s="16"/>
      <c r="G369" s="16"/>
      <c r="H369" s="16"/>
      <c r="I369" s="16"/>
      <c r="J369" s="16"/>
      <c r="K369" s="16"/>
      <c r="L369" s="16"/>
      <c r="M369" s="16"/>
      <c r="N369" s="21"/>
      <c r="O369" s="30" t="str">
        <f t="shared" si="74"/>
        <v/>
      </c>
      <c r="P369" s="91" t="str">
        <f>IF(ISBLANK(N369),IFERROR(0/0,""),IFERROR(VLOOKUP(N369, 'Process Ref'!$A$76:$D$122, 2, FALSE), IFERROR(0/0,"")))</f>
        <v/>
      </c>
      <c r="R369" s="223"/>
      <c r="S369" s="54"/>
      <c r="T369" s="8" t="str">
        <f>IF(AND(NOT(ISBLANK(U369)),NOT(ISBLANK(V369)),NOT(ISBLANK(W369))),CONCATENATE("RUN-",'Process Ref'!$A$1,"_",TEXT(V369,"YYYY-MM-DD"),"_APS-",TEXT(W369,"000")),IFERROR(0/0,""))</f>
        <v>RUN-FLMP_2022-10-20_APS-121</v>
      </c>
      <c r="U369" s="14">
        <f t="shared" si="101"/>
        <v>44854</v>
      </c>
      <c r="V369" s="190">
        <v>44854.0</v>
      </c>
      <c r="W369" s="191">
        <f t="shared" si="102"/>
        <v>121</v>
      </c>
      <c r="X369" s="86"/>
      <c r="Z369" s="131"/>
      <c r="AA369" s="14"/>
      <c r="AG369" s="86"/>
      <c r="AJ369" s="86"/>
    </row>
    <row r="370">
      <c r="C370" s="88"/>
      <c r="D370" s="16"/>
      <c r="E370" s="16"/>
      <c r="F370" s="16"/>
      <c r="G370" s="16"/>
      <c r="H370" s="16"/>
      <c r="I370" s="16"/>
      <c r="J370" s="16"/>
      <c r="K370" s="16"/>
      <c r="L370" s="16"/>
      <c r="M370" s="16"/>
      <c r="N370" s="21"/>
      <c r="O370" s="30"/>
      <c r="P370" s="91"/>
      <c r="R370" s="223"/>
      <c r="S370" s="54"/>
      <c r="T370" s="8" t="str">
        <f>IF(AND(NOT(ISBLANK(U370)),NOT(ISBLANK(V370)),NOT(ISBLANK(W370))),CONCATENATE("RUN-",'Process Ref'!$A$1,"_",TEXT(V370,"YYYY-MM-DD"),"_APS-",TEXT(W370,"000")),IFERROR(0/0,""))</f>
        <v>RUN-FLMP_2022-10-24_APS-122</v>
      </c>
      <c r="U370" s="14">
        <f t="shared" si="101"/>
        <v>44858</v>
      </c>
      <c r="V370" s="190">
        <v>44858.0</v>
      </c>
      <c r="W370" s="191">
        <f t="shared" si="102"/>
        <v>122</v>
      </c>
      <c r="X370" s="86"/>
      <c r="Z370" s="131"/>
      <c r="AA370" s="14"/>
      <c r="AG370" s="86"/>
      <c r="AJ370" s="86"/>
    </row>
    <row r="371">
      <c r="C371" s="88"/>
      <c r="D371" s="16"/>
      <c r="E371" s="16"/>
      <c r="F371" s="16"/>
      <c r="G371" s="16"/>
      <c r="H371" s="16"/>
      <c r="I371" s="16"/>
      <c r="J371" s="16"/>
      <c r="K371" s="16"/>
      <c r="L371" s="16"/>
      <c r="M371" s="16"/>
      <c r="N371" s="21"/>
      <c r="O371" s="30"/>
      <c r="P371" s="91"/>
      <c r="R371" s="223"/>
      <c r="S371" s="54"/>
      <c r="T371" s="8" t="str">
        <f>IF(AND(NOT(ISBLANK(U371)),NOT(ISBLANK(V371)),NOT(ISBLANK(W371))),CONCATENATE("RUN-",'Process Ref'!$A$1,"_",TEXT(V371,"YYYY-MM-DD"),"_APS-",TEXT(W371,"000")),IFERROR(0/0,""))</f>
        <v>RUN-FLMP_2022-10-25_APS-123</v>
      </c>
      <c r="U371" s="14">
        <f t="shared" si="101"/>
        <v>44859</v>
      </c>
      <c r="V371" s="190">
        <v>44859.0</v>
      </c>
      <c r="W371" s="191">
        <f t="shared" si="102"/>
        <v>123</v>
      </c>
      <c r="X371" s="86"/>
      <c r="Z371" s="131"/>
      <c r="AA371" s="14"/>
      <c r="AG371" s="86"/>
      <c r="AJ371" s="86"/>
    </row>
    <row r="372">
      <c r="C372" s="88"/>
      <c r="D372" s="16"/>
      <c r="E372" s="16"/>
      <c r="F372" s="16"/>
      <c r="G372" s="16"/>
      <c r="H372" s="16"/>
      <c r="I372" s="16"/>
      <c r="J372" s="16"/>
      <c r="K372" s="16"/>
      <c r="L372" s="16"/>
      <c r="M372" s="16"/>
      <c r="N372" s="21"/>
      <c r="O372" s="30"/>
      <c r="P372" s="91"/>
      <c r="R372" s="223"/>
      <c r="S372" s="54"/>
      <c r="T372" s="8" t="str">
        <f>IF(AND(NOT(ISBLANK(U372)),NOT(ISBLANK(V372)),NOT(ISBLANK(W372))),CONCATENATE("RUN-",'Process Ref'!$A$1,"_",TEXT(V372,"YYYY-MM-DD"),"_APS-",TEXT(W372,"000")),IFERROR(0/0,""))</f>
        <v>RUN-FLMP_2022-10-27_APS-124</v>
      </c>
      <c r="U372" s="14">
        <f t="shared" si="101"/>
        <v>44861</v>
      </c>
      <c r="V372" s="190">
        <v>44861.0</v>
      </c>
      <c r="W372" s="191">
        <f t="shared" si="102"/>
        <v>124</v>
      </c>
      <c r="X372" s="86"/>
      <c r="Z372" s="131"/>
      <c r="AA372" s="14"/>
      <c r="AG372" s="86"/>
      <c r="AJ372" s="86"/>
    </row>
    <row r="373">
      <c r="C373" s="88"/>
      <c r="D373" s="16"/>
      <c r="E373" s="16"/>
      <c r="F373" s="16"/>
      <c r="G373" s="16"/>
      <c r="H373" s="16"/>
      <c r="I373" s="16"/>
      <c r="J373" s="16"/>
      <c r="K373" s="16"/>
      <c r="L373" s="16"/>
      <c r="M373" s="16"/>
      <c r="N373" s="21"/>
      <c r="O373" s="30"/>
      <c r="P373" s="91"/>
      <c r="R373" s="223"/>
      <c r="S373" s="54"/>
      <c r="T373" s="8" t="str">
        <f>IF(AND(NOT(ISBLANK(U373)),NOT(ISBLANK(V373)),NOT(ISBLANK(W373))),CONCATENATE("RUN-",'Process Ref'!$A$1,"_",TEXT(V373,"YYYY-MM-DD"),"_APS-",TEXT(W373,"000")),IFERROR(0/0,""))</f>
        <v>RUN-FLMP_2022-10-31_APS-125</v>
      </c>
      <c r="U373" s="14">
        <f t="shared" si="101"/>
        <v>44865</v>
      </c>
      <c r="V373" s="190">
        <v>44865.0</v>
      </c>
      <c r="W373" s="191">
        <f t="shared" si="102"/>
        <v>125</v>
      </c>
      <c r="X373" s="86"/>
      <c r="Z373" s="131"/>
      <c r="AA373" s="14"/>
      <c r="AG373" s="86"/>
      <c r="AJ373" s="86"/>
    </row>
    <row r="374">
      <c r="C374" s="88"/>
      <c r="D374" s="16"/>
      <c r="E374" s="16"/>
      <c r="F374" s="16"/>
      <c r="G374" s="16"/>
      <c r="H374" s="16"/>
      <c r="I374" s="16"/>
      <c r="J374" s="16"/>
      <c r="K374" s="16"/>
      <c r="L374" s="16"/>
      <c r="M374" s="16"/>
      <c r="N374" s="21"/>
      <c r="O374" s="30"/>
      <c r="P374" s="91"/>
      <c r="R374" s="223"/>
      <c r="S374" s="54"/>
      <c r="T374" s="8" t="str">
        <f>IF(AND(NOT(ISBLANK(U374)),NOT(ISBLANK(V374)),NOT(ISBLANK(W374))),CONCATENATE("RUN-",'Process Ref'!$A$1,"_",TEXT(V374,"YYYY-MM-DD"),"_APS-",TEXT(W374,"000")),IFERROR(0/0,""))</f>
        <v>RUN-FLMP_2022-11-03_APS-126</v>
      </c>
      <c r="U374" s="14">
        <f t="shared" si="101"/>
        <v>44868</v>
      </c>
      <c r="V374" s="190">
        <v>44868.0</v>
      </c>
      <c r="W374" s="191">
        <f t="shared" si="102"/>
        <v>126</v>
      </c>
      <c r="X374" s="86"/>
      <c r="Z374" s="131"/>
      <c r="AA374" s="14"/>
      <c r="AG374" s="86"/>
      <c r="AJ374" s="86"/>
    </row>
    <row r="375">
      <c r="C375" s="88"/>
      <c r="D375" s="16"/>
      <c r="E375" s="16"/>
      <c r="F375" s="16"/>
      <c r="G375" s="16"/>
      <c r="H375" s="16"/>
      <c r="I375" s="16"/>
      <c r="J375" s="16"/>
      <c r="K375" s="16"/>
      <c r="L375" s="16"/>
      <c r="M375" s="16"/>
      <c r="N375" s="21"/>
      <c r="O375" s="30"/>
      <c r="P375" s="91"/>
      <c r="R375" s="223"/>
      <c r="S375" s="54"/>
      <c r="T375" s="8" t="str">
        <f>IF(AND(NOT(ISBLANK(U375)),NOT(ISBLANK(V375)),NOT(ISBLANK(W375))),CONCATENATE("RUN-",'Process Ref'!$A$1,"_",TEXT(V375,"YYYY-MM-DD"),"_APS-",TEXT(W375,"000")),IFERROR(0/0,""))</f>
        <v>RUN-FLMP_2022-11-07_APS-127</v>
      </c>
      <c r="U375" s="14">
        <f t="shared" si="101"/>
        <v>44872</v>
      </c>
      <c r="V375" s="190">
        <v>44872.0</v>
      </c>
      <c r="W375" s="191">
        <f t="shared" si="102"/>
        <v>127</v>
      </c>
      <c r="X375" s="86"/>
      <c r="Z375" s="131"/>
      <c r="AA375" s="14"/>
      <c r="AG375" s="86"/>
      <c r="AJ375" s="86"/>
    </row>
    <row r="376">
      <c r="C376" s="88"/>
      <c r="D376" s="16"/>
      <c r="E376" s="16"/>
      <c r="F376" s="16"/>
      <c r="G376" s="16"/>
      <c r="H376" s="16"/>
      <c r="I376" s="16"/>
      <c r="J376" s="16"/>
      <c r="K376" s="16"/>
      <c r="L376" s="16"/>
      <c r="M376" s="16"/>
      <c r="N376" s="21"/>
      <c r="O376" s="30"/>
      <c r="P376" s="91"/>
      <c r="R376" s="223"/>
      <c r="S376" s="54"/>
      <c r="T376" s="8" t="str">
        <f>IF(AND(NOT(ISBLANK(U376)),NOT(ISBLANK(V376)),NOT(ISBLANK(W376))),CONCATENATE("RUN-",'Process Ref'!$A$1,"_",TEXT(V376,"YYYY-MM-DD"),"_APS-",TEXT(W376,"000")),IFERROR(0/0,""))</f>
        <v>RUN-FLMP_2022-11-10_APS-128</v>
      </c>
      <c r="U376" s="14">
        <f t="shared" si="101"/>
        <v>44875</v>
      </c>
      <c r="V376" s="190">
        <v>44875.0</v>
      </c>
      <c r="W376" s="191">
        <f t="shared" si="102"/>
        <v>128</v>
      </c>
      <c r="X376" s="86"/>
      <c r="Z376" s="131"/>
      <c r="AA376" s="14"/>
      <c r="AG376" s="86"/>
      <c r="AJ376" s="86"/>
    </row>
    <row r="377">
      <c r="C377" s="88"/>
      <c r="D377" s="16"/>
      <c r="E377" s="16"/>
      <c r="F377" s="16"/>
      <c r="G377" s="16"/>
      <c r="H377" s="16"/>
      <c r="I377" s="16"/>
      <c r="J377" s="16"/>
      <c r="K377" s="16"/>
      <c r="L377" s="16"/>
      <c r="M377" s="16"/>
      <c r="N377" s="21"/>
      <c r="O377" s="30"/>
      <c r="P377" s="91"/>
      <c r="R377" s="223"/>
      <c r="S377" s="54"/>
      <c r="T377" s="8" t="str">
        <f>IF(AND(NOT(ISBLANK(U377)),NOT(ISBLANK(V377)),NOT(ISBLANK(W377))),CONCATENATE("RUN-",'Process Ref'!$A$1,"_",TEXT(V377,"YYYY-MM-DD"),"_APS-",TEXT(W377,"000")),IFERROR(0/0,""))</f>
        <v>RUN-FLMP_2022-11-14_APS-129</v>
      </c>
      <c r="U377" s="14">
        <f t="shared" si="101"/>
        <v>44879</v>
      </c>
      <c r="V377" s="190">
        <v>44879.0</v>
      </c>
      <c r="W377" s="191">
        <f t="shared" si="102"/>
        <v>129</v>
      </c>
      <c r="X377" s="86"/>
      <c r="Z377" s="131"/>
      <c r="AA377" s="14"/>
      <c r="AG377" s="86"/>
      <c r="AJ377" s="86"/>
    </row>
    <row r="378">
      <c r="C378" s="88"/>
      <c r="D378" s="16"/>
      <c r="E378" s="16"/>
      <c r="F378" s="16"/>
      <c r="G378" s="16"/>
      <c r="H378" s="16"/>
      <c r="I378" s="16"/>
      <c r="J378" s="16"/>
      <c r="K378" s="16"/>
      <c r="L378" s="16"/>
      <c r="M378" s="16"/>
      <c r="N378" s="21"/>
      <c r="O378" s="30"/>
      <c r="P378" s="91"/>
      <c r="R378" s="223"/>
      <c r="S378" s="54"/>
      <c r="T378" s="8" t="str">
        <f>IF(AND(NOT(ISBLANK(U378)),NOT(ISBLANK(V378)),NOT(ISBLANK(W378))),CONCATENATE("RUN-",'Process Ref'!$A$1,"_",TEXT(V378,"YYYY-MM-DD"),"_APS-",TEXT(W378,"000")),IFERROR(0/0,""))</f>
        <v>RUN-FLMP_2022-11-21_APS-130</v>
      </c>
      <c r="U378" s="14">
        <f t="shared" si="101"/>
        <v>44886</v>
      </c>
      <c r="V378" s="190">
        <v>44886.0</v>
      </c>
      <c r="W378" s="191">
        <f t="shared" si="102"/>
        <v>130</v>
      </c>
      <c r="X378" s="86"/>
      <c r="Z378" s="131"/>
      <c r="AA378" s="14"/>
      <c r="AG378" s="86"/>
      <c r="AJ378" s="86"/>
    </row>
    <row r="379">
      <c r="C379" s="88"/>
      <c r="D379" s="16"/>
      <c r="E379" s="16"/>
      <c r="F379" s="16"/>
      <c r="G379" s="16"/>
      <c r="H379" s="16"/>
      <c r="I379" s="16"/>
      <c r="J379" s="16"/>
      <c r="K379" s="16"/>
      <c r="L379" s="16"/>
      <c r="M379" s="16"/>
      <c r="N379" s="21"/>
      <c r="O379" s="30"/>
      <c r="P379" s="91"/>
      <c r="R379" s="223"/>
      <c r="S379" s="54"/>
      <c r="T379" s="8" t="str">
        <f>IF(AND(NOT(ISBLANK(U379)),NOT(ISBLANK(V379)),NOT(ISBLANK(W379))),CONCATENATE("RUN-",'Process Ref'!$A$1,"_",TEXT(V379,"YYYY-MM-DD"),"_APS-",TEXT(W379,"000")),IFERROR(0/0,""))</f>
        <v>RUN-FLMP_2022-11-29_APS-131</v>
      </c>
      <c r="U379" s="14">
        <f t="shared" si="101"/>
        <v>44894</v>
      </c>
      <c r="V379" s="190">
        <v>44894.0</v>
      </c>
      <c r="W379" s="191">
        <f t="shared" si="102"/>
        <v>131</v>
      </c>
      <c r="X379" s="86"/>
      <c r="Z379" s="131"/>
      <c r="AA379" s="14"/>
      <c r="AG379" s="86"/>
      <c r="AJ379" s="86"/>
    </row>
    <row r="380">
      <c r="C380" s="88"/>
      <c r="D380" s="16"/>
      <c r="E380" s="16"/>
      <c r="F380" s="16"/>
      <c r="G380" s="16"/>
      <c r="H380" s="16"/>
      <c r="I380" s="16"/>
      <c r="J380" s="16"/>
      <c r="K380" s="16"/>
      <c r="L380" s="16"/>
      <c r="M380" s="16"/>
      <c r="N380" s="21"/>
      <c r="O380" s="30"/>
      <c r="P380" s="91"/>
      <c r="R380" s="223"/>
      <c r="S380" s="54"/>
      <c r="T380" s="8" t="str">
        <f>IF(AND(NOT(ISBLANK(U380)),NOT(ISBLANK(V380)),NOT(ISBLANK(W380))),CONCATENATE("RUN-",'Process Ref'!$A$1,"_",TEXT(V380,"YYYY-MM-DD"),"_APS-",TEXT(W380,"000")),IFERROR(0/0,""))</f>
        <v>RUN-FLMP_2022-12-01_APS-132</v>
      </c>
      <c r="U380" s="14">
        <f t="shared" si="101"/>
        <v>44896</v>
      </c>
      <c r="V380" s="190">
        <v>44896.0</v>
      </c>
      <c r="W380" s="191">
        <f t="shared" si="102"/>
        <v>132</v>
      </c>
      <c r="X380" s="86"/>
      <c r="Z380" s="131"/>
      <c r="AA380" s="14"/>
      <c r="AG380" s="86"/>
      <c r="AJ380" s="86"/>
    </row>
    <row r="381">
      <c r="C381" s="88"/>
      <c r="D381" s="16"/>
      <c r="E381" s="16"/>
      <c r="F381" s="16"/>
      <c r="G381" s="16"/>
      <c r="H381" s="16"/>
      <c r="I381" s="16"/>
      <c r="J381" s="16"/>
      <c r="K381" s="16"/>
      <c r="L381" s="16"/>
      <c r="M381" s="16"/>
      <c r="N381" s="21"/>
      <c r="O381" s="30"/>
      <c r="P381" s="91"/>
      <c r="R381" s="223"/>
      <c r="S381" s="54"/>
      <c r="T381" s="8" t="str">
        <f>IF(AND(NOT(ISBLANK(U381)),NOT(ISBLANK(V381)),NOT(ISBLANK(W381))),CONCATENATE("RUN-",'Process Ref'!$A$1,"_",TEXT(V381,"YYYY-MM-DD"),"_APS-",TEXT(W381,"000")),IFERROR(0/0,""))</f>
        <v>RUN-FLMP_2022-12-08_APS-133</v>
      </c>
      <c r="U381" s="14">
        <f t="shared" si="101"/>
        <v>44903</v>
      </c>
      <c r="V381" s="190">
        <v>44903.0</v>
      </c>
      <c r="W381" s="191">
        <f t="shared" si="102"/>
        <v>133</v>
      </c>
      <c r="X381" s="86"/>
      <c r="Z381" s="131"/>
      <c r="AA381" s="14"/>
      <c r="AG381" s="86"/>
      <c r="AJ381" s="86"/>
    </row>
    <row r="382">
      <c r="C382" s="88"/>
      <c r="D382" s="16"/>
      <c r="E382" s="16"/>
      <c r="F382" s="16"/>
      <c r="G382" s="16"/>
      <c r="H382" s="16"/>
      <c r="I382" s="16"/>
      <c r="J382" s="16"/>
      <c r="K382" s="16"/>
      <c r="L382" s="16"/>
      <c r="M382" s="16"/>
      <c r="N382" s="21"/>
      <c r="O382" s="30"/>
      <c r="P382" s="91"/>
      <c r="R382" s="223"/>
      <c r="S382" s="54"/>
      <c r="T382" s="8" t="str">
        <f>IF(AND(NOT(ISBLANK(U382)),NOT(ISBLANK(V382)),NOT(ISBLANK(W382))),CONCATENATE("RUN-",'Process Ref'!$A$1,"_",TEXT(V382,"YYYY-MM-DD"),"_APS-",TEXT(W382,"000")),IFERROR(0/0,""))</f>
        <v>RUN-FLMP_2022-12-09_APS-134</v>
      </c>
      <c r="U382" s="14">
        <f t="shared" si="101"/>
        <v>44904</v>
      </c>
      <c r="V382" s="190">
        <v>44904.0</v>
      </c>
      <c r="W382" s="191">
        <f t="shared" si="102"/>
        <v>134</v>
      </c>
      <c r="X382" s="86"/>
      <c r="Z382" s="131"/>
      <c r="AA382" s="14"/>
      <c r="AG382" s="86"/>
      <c r="AJ382" s="86"/>
    </row>
    <row r="383">
      <c r="C383" s="88"/>
      <c r="D383" s="16"/>
      <c r="E383" s="16"/>
      <c r="F383" s="16"/>
      <c r="G383" s="16"/>
      <c r="H383" s="16"/>
      <c r="I383" s="16"/>
      <c r="J383" s="16"/>
      <c r="K383" s="16"/>
      <c r="L383" s="16"/>
      <c r="M383" s="16"/>
      <c r="N383" s="21"/>
      <c r="O383" s="30"/>
      <c r="P383" s="91"/>
      <c r="R383" s="223"/>
      <c r="S383" s="54"/>
      <c r="T383" s="8" t="str">
        <f>IF(AND(NOT(ISBLANK(U383)),NOT(ISBLANK(V383)),NOT(ISBLANK(W383))),CONCATENATE("RUN-",'Process Ref'!$A$1,"_",TEXT(V383,"YYYY-MM-DD"),"_APS-",TEXT(W383,"000")),IFERROR(0/0,""))</f>
        <v>RUN-FLMP_2022-12-12_APS-135</v>
      </c>
      <c r="U383" s="14">
        <f t="shared" si="101"/>
        <v>44907</v>
      </c>
      <c r="V383" s="190">
        <v>44907.0</v>
      </c>
      <c r="W383" s="191">
        <f t="shared" si="102"/>
        <v>135</v>
      </c>
      <c r="X383" s="86"/>
      <c r="Z383" s="131"/>
      <c r="AA383" s="14"/>
      <c r="AG383" s="86"/>
      <c r="AJ383" s="86"/>
    </row>
    <row r="384">
      <c r="C384" s="88"/>
      <c r="D384" s="16"/>
      <c r="E384" s="16"/>
      <c r="F384" s="16"/>
      <c r="G384" s="16"/>
      <c r="H384" s="16"/>
      <c r="I384" s="16"/>
      <c r="J384" s="16"/>
      <c r="K384" s="16"/>
      <c r="L384" s="16"/>
      <c r="M384" s="16"/>
      <c r="N384" s="21"/>
      <c r="O384" s="30"/>
      <c r="P384" s="91"/>
      <c r="R384" s="223"/>
      <c r="S384" s="54"/>
      <c r="T384" s="8" t="str">
        <f>IF(AND(NOT(ISBLANK(U384)),NOT(ISBLANK(V384)),NOT(ISBLANK(W384))),CONCATENATE("RUN-",'Process Ref'!$A$1,"_",TEXT(V384,"YYYY-MM-DD"),"_APS-",TEXT(W384,"000")),IFERROR(0/0,""))</f>
        <v>RUN-FLMP_2022-12-15_APS-136</v>
      </c>
      <c r="U384" s="14">
        <f t="shared" si="101"/>
        <v>44910</v>
      </c>
      <c r="V384" s="190">
        <v>44910.0</v>
      </c>
      <c r="W384" s="191">
        <f t="shared" si="102"/>
        <v>136</v>
      </c>
      <c r="X384" s="86"/>
      <c r="Z384" s="131"/>
      <c r="AA384" s="14"/>
      <c r="AG384" s="86"/>
      <c r="AJ384" s="86"/>
    </row>
    <row r="385">
      <c r="C385" s="88"/>
      <c r="D385" s="16"/>
      <c r="E385" s="16"/>
      <c r="F385" s="16"/>
      <c r="G385" s="16"/>
      <c r="H385" s="16"/>
      <c r="I385" s="16"/>
      <c r="J385" s="16"/>
      <c r="K385" s="16"/>
      <c r="L385" s="16"/>
      <c r="M385" s="16"/>
      <c r="N385" s="21"/>
      <c r="O385" s="30"/>
      <c r="P385" s="91"/>
      <c r="R385" s="223"/>
      <c r="S385" s="54"/>
      <c r="T385" s="8" t="str">
        <f>IF(AND(NOT(ISBLANK(U385)),NOT(ISBLANK(V385)),NOT(ISBLANK(W385))),CONCATENATE("RUN-",'Process Ref'!$A$1,"_",TEXT(V385,"YYYY-MM-DD"),"_APS-",TEXT(W385,"000")),IFERROR(0/0,""))</f>
        <v>RUN-FLMP_2022-12-19_APS-137</v>
      </c>
      <c r="U385" s="14">
        <f t="shared" si="101"/>
        <v>44914</v>
      </c>
      <c r="V385" s="190">
        <v>44914.0</v>
      </c>
      <c r="W385" s="191">
        <f t="shared" si="102"/>
        <v>137</v>
      </c>
      <c r="X385" s="86"/>
      <c r="Z385" s="131"/>
      <c r="AA385" s="14"/>
      <c r="AG385" s="86"/>
      <c r="AJ385" s="86"/>
    </row>
    <row r="386">
      <c r="C386" s="88"/>
      <c r="D386" s="16"/>
      <c r="E386" s="16"/>
      <c r="F386" s="16"/>
      <c r="G386" s="16"/>
      <c r="H386" s="16"/>
      <c r="I386" s="16"/>
      <c r="J386" s="16"/>
      <c r="K386" s="16"/>
      <c r="L386" s="16"/>
      <c r="M386" s="16"/>
      <c r="N386" s="21"/>
      <c r="O386" s="30"/>
      <c r="P386" s="91"/>
      <c r="R386" s="223"/>
      <c r="S386" s="54"/>
      <c r="T386" s="8" t="str">
        <f>IF(AND(NOT(ISBLANK(U386)),NOT(ISBLANK(V386)),NOT(ISBLANK(W386))),CONCATENATE("RUN-",'Process Ref'!$A$1,"_",TEXT(V386,"YYYY-MM-DD"),"_APS-",TEXT(W386,"000")),IFERROR(0/0,""))</f>
        <v>RUN-FLMP_2022-12-20_APS-138</v>
      </c>
      <c r="U386" s="14">
        <f t="shared" si="101"/>
        <v>44915</v>
      </c>
      <c r="V386" s="190">
        <v>44915.0</v>
      </c>
      <c r="W386" s="191">
        <f t="shared" si="102"/>
        <v>138</v>
      </c>
      <c r="X386" s="86"/>
      <c r="Z386" s="131"/>
      <c r="AA386" s="14"/>
      <c r="AG386" s="86"/>
      <c r="AJ386" s="86"/>
    </row>
    <row r="387">
      <c r="C387" s="88"/>
      <c r="D387" s="16"/>
      <c r="E387" s="16"/>
      <c r="F387" s="16"/>
      <c r="G387" s="16"/>
      <c r="H387" s="16"/>
      <c r="I387" s="16"/>
      <c r="J387" s="16"/>
      <c r="K387" s="16"/>
      <c r="L387" s="16"/>
      <c r="M387" s="16"/>
      <c r="N387" s="21"/>
      <c r="O387" s="30"/>
      <c r="P387" s="91"/>
      <c r="R387" s="223"/>
      <c r="S387" s="54"/>
      <c r="T387" s="8" t="str">
        <f>IF(AND(NOT(ISBLANK(U387)),NOT(ISBLANK(V387)),NOT(ISBLANK(W387))),CONCATENATE("RUN-",'Process Ref'!$A$1,"_",TEXT(V387,"YYYY-MM-DD"),"_APS-",TEXT(W387,"000")),IFERROR(0/0,""))</f>
        <v>RUN-FLMP_2022-12-26_APS-139</v>
      </c>
      <c r="U387" s="14">
        <f t="shared" si="101"/>
        <v>44921</v>
      </c>
      <c r="V387" s="190">
        <v>44921.0</v>
      </c>
      <c r="W387" s="191">
        <f t="shared" si="102"/>
        <v>139</v>
      </c>
      <c r="X387" s="86"/>
      <c r="Z387" s="131"/>
      <c r="AA387" s="14"/>
      <c r="AG387" s="86"/>
      <c r="AJ387" s="86"/>
    </row>
    <row r="388">
      <c r="C388" s="88"/>
      <c r="D388" s="16"/>
      <c r="E388" s="16"/>
      <c r="F388" s="16"/>
      <c r="G388" s="16"/>
      <c r="H388" s="16"/>
      <c r="I388" s="16"/>
      <c r="J388" s="16"/>
      <c r="K388" s="16"/>
      <c r="L388" s="16"/>
      <c r="M388" s="16"/>
      <c r="N388" s="21"/>
      <c r="O388" s="30"/>
      <c r="P388" s="91"/>
      <c r="R388" s="223"/>
      <c r="S388" s="54"/>
      <c r="T388" s="8" t="str">
        <f>IF(AND(NOT(ISBLANK(U388)),NOT(ISBLANK(V388)),NOT(ISBLANK(W388))),CONCATENATE("RUN-",'Process Ref'!$A$1,"_",TEXT(V388,"YYYY-MM-DD"),"_APS-",TEXT(W388,"000")),IFERROR(0/0,""))</f>
        <v>RUN-FLMP_2023-01-02_APS-140</v>
      </c>
      <c r="U388" s="14">
        <f t="shared" si="101"/>
        <v>44928</v>
      </c>
      <c r="V388" s="190">
        <v>44928.0</v>
      </c>
      <c r="W388" s="191">
        <f t="shared" si="102"/>
        <v>140</v>
      </c>
      <c r="X388" s="86"/>
      <c r="Z388" s="131"/>
      <c r="AA388" s="14"/>
      <c r="AG388" s="86"/>
      <c r="AJ388" s="86"/>
    </row>
    <row r="389">
      <c r="C389" s="88"/>
      <c r="D389" s="16"/>
      <c r="E389" s="16"/>
      <c r="F389" s="16"/>
      <c r="G389" s="16"/>
      <c r="H389" s="16"/>
      <c r="I389" s="16"/>
      <c r="J389" s="16"/>
      <c r="K389" s="16"/>
      <c r="L389" s="16"/>
      <c r="M389" s="16"/>
      <c r="N389" s="21"/>
      <c r="O389" s="30"/>
      <c r="P389" s="91"/>
      <c r="R389" s="223"/>
      <c r="S389" s="54"/>
      <c r="T389" s="8" t="str">
        <f>IF(AND(NOT(ISBLANK(U389)),NOT(ISBLANK(V389)),NOT(ISBLANK(W389))),CONCATENATE("RUN-",'Process Ref'!$A$1,"_",TEXT(V389,"YYYY-MM-DD"),"_APS-",TEXT(W389,"000")),IFERROR(0/0,""))</f>
        <v/>
      </c>
      <c r="V389" s="102"/>
      <c r="W389" s="191" t="str">
        <f t="shared" si="102"/>
        <v/>
      </c>
      <c r="X389" s="86"/>
      <c r="Z389" s="131"/>
      <c r="AA389" s="14"/>
      <c r="AG389" s="86"/>
      <c r="AJ389" s="86"/>
    </row>
    <row r="390">
      <c r="C390" s="88"/>
      <c r="D390" s="16"/>
      <c r="E390" s="16"/>
      <c r="F390" s="16"/>
      <c r="G390" s="16"/>
      <c r="H390" s="16"/>
      <c r="I390" s="16"/>
      <c r="J390" s="16"/>
      <c r="K390" s="16"/>
      <c r="L390" s="16"/>
      <c r="M390" s="16"/>
      <c r="N390" s="21"/>
      <c r="O390" s="30"/>
      <c r="P390" s="91"/>
      <c r="R390" s="223"/>
      <c r="S390" s="54"/>
      <c r="T390" s="8" t="str">
        <f>IF(AND(NOT(ISBLANK(U390)),NOT(ISBLANK(V390)),NOT(ISBLANK(W390))),CONCATENATE("RUN-",'Process Ref'!$A$1,"_",TEXT(V390,"YYYY-MM-DD"),"_APS-",TEXT(W390,"000")),IFERROR(0/0,""))</f>
        <v/>
      </c>
      <c r="U390" s="8" t="str">
        <f t="shared" ref="U390:U391" si="103">IF(COUNTIF(U$2:U$109,V390)=0,V390,IFERROR(0/0,""))</f>
        <v/>
      </c>
      <c r="V390" s="102"/>
      <c r="W390" s="191" t="str">
        <f t="shared" si="102"/>
        <v/>
      </c>
      <c r="X390" s="86"/>
      <c r="Z390" s="131"/>
      <c r="AA390" s="14"/>
      <c r="AG390" s="86"/>
      <c r="AJ390" s="86"/>
    </row>
    <row r="391">
      <c r="C391" s="88"/>
      <c r="D391" s="16"/>
      <c r="E391" s="16"/>
      <c r="F391" s="16"/>
      <c r="G391" s="16"/>
      <c r="H391" s="16"/>
      <c r="I391" s="16"/>
      <c r="J391" s="16"/>
      <c r="K391" s="16"/>
      <c r="L391" s="16"/>
      <c r="M391" s="16"/>
      <c r="N391" s="21"/>
      <c r="O391" s="30"/>
      <c r="P391" s="91"/>
      <c r="R391" s="223"/>
      <c r="S391" s="54"/>
      <c r="T391" s="8" t="str">
        <f>IF(AND(NOT(ISBLANK(U391)),NOT(ISBLANK(V391)),NOT(ISBLANK(W391))),CONCATENATE("RUN-",'Process Ref'!$A$1,"_",TEXT(V391,"YYYY-MM-DD"),"_APS-",TEXT(W391,"000")),IFERROR(0/0,""))</f>
        <v/>
      </c>
      <c r="U391" s="8" t="str">
        <f t="shared" si="103"/>
        <v/>
      </c>
      <c r="V391" s="102"/>
      <c r="W391" s="191" t="str">
        <f t="shared" si="102"/>
        <v/>
      </c>
      <c r="X391" s="86"/>
      <c r="Z391" s="131"/>
      <c r="AA391" s="14"/>
      <c r="AG391" s="86"/>
      <c r="AJ391" s="86"/>
    </row>
    <row r="392">
      <c r="C392" s="88"/>
      <c r="D392" s="16"/>
      <c r="E392" s="16"/>
      <c r="F392" s="16"/>
      <c r="G392" s="16"/>
      <c r="H392" s="16"/>
      <c r="I392" s="16"/>
      <c r="J392" s="16"/>
      <c r="K392" s="16"/>
      <c r="L392" s="16"/>
      <c r="M392" s="16"/>
      <c r="N392" s="21"/>
      <c r="O392" s="30"/>
      <c r="P392" s="91"/>
      <c r="R392" s="223"/>
      <c r="S392" s="54"/>
      <c r="V392" s="102"/>
      <c r="W392" s="191" t="str">
        <f t="shared" si="102"/>
        <v/>
      </c>
      <c r="X392" s="86"/>
      <c r="Z392" s="131"/>
      <c r="AA392" s="14"/>
      <c r="AG392" s="86"/>
      <c r="AJ392" s="86"/>
    </row>
    <row r="393">
      <c r="C393" s="88"/>
      <c r="D393" s="16"/>
      <c r="E393" s="16"/>
      <c r="F393" s="16"/>
      <c r="G393" s="16"/>
      <c r="H393" s="16"/>
      <c r="I393" s="16"/>
      <c r="J393" s="16"/>
      <c r="K393" s="16"/>
      <c r="L393" s="16"/>
      <c r="M393" s="16"/>
      <c r="N393" s="21"/>
      <c r="O393" s="30"/>
      <c r="P393" s="91"/>
      <c r="R393" s="223"/>
      <c r="S393" s="54"/>
      <c r="V393" s="102"/>
      <c r="W393" s="191" t="str">
        <f t="shared" si="102"/>
        <v/>
      </c>
      <c r="X393" s="86"/>
      <c r="Z393" s="131"/>
      <c r="AA393" s="14"/>
      <c r="AG393" s="86"/>
      <c r="AJ393" s="86"/>
    </row>
    <row r="394">
      <c r="C394" s="88"/>
      <c r="D394" s="16"/>
      <c r="E394" s="16"/>
      <c r="F394" s="16"/>
      <c r="G394" s="16"/>
      <c r="H394" s="16"/>
      <c r="I394" s="16"/>
      <c r="J394" s="16"/>
      <c r="K394" s="16"/>
      <c r="L394" s="16"/>
      <c r="M394" s="16"/>
      <c r="N394" s="21"/>
      <c r="O394" s="30"/>
      <c r="P394" s="91"/>
      <c r="R394" s="223"/>
      <c r="S394" s="54"/>
      <c r="V394" s="102"/>
      <c r="W394" s="191" t="str">
        <f t="shared" si="102"/>
        <v/>
      </c>
      <c r="X394" s="86"/>
      <c r="Z394" s="131"/>
      <c r="AA394" s="14"/>
      <c r="AG394" s="86"/>
      <c r="AJ394" s="86"/>
    </row>
    <row r="395">
      <c r="C395" s="88"/>
      <c r="D395" s="16"/>
      <c r="E395" s="16"/>
      <c r="F395" s="16"/>
      <c r="G395" s="16"/>
      <c r="H395" s="16"/>
      <c r="I395" s="16"/>
      <c r="J395" s="16"/>
      <c r="K395" s="16"/>
      <c r="L395" s="16"/>
      <c r="M395" s="16"/>
      <c r="N395" s="21"/>
      <c r="O395" s="30"/>
      <c r="P395" s="91"/>
      <c r="R395" s="223"/>
      <c r="S395" s="54"/>
      <c r="V395" s="102"/>
      <c r="W395" s="191" t="str">
        <f t="shared" si="102"/>
        <v/>
      </c>
      <c r="X395" s="86"/>
      <c r="Z395" s="131"/>
      <c r="AA395" s="14"/>
      <c r="AG395" s="86"/>
      <c r="AJ395" s="86"/>
    </row>
    <row r="396">
      <c r="C396" s="88"/>
      <c r="D396" s="16"/>
      <c r="E396" s="16"/>
      <c r="F396" s="16"/>
      <c r="G396" s="16"/>
      <c r="H396" s="16"/>
      <c r="I396" s="16"/>
      <c r="J396" s="16"/>
      <c r="K396" s="16"/>
      <c r="L396" s="16"/>
      <c r="M396" s="16"/>
      <c r="N396" s="21"/>
      <c r="O396" s="30"/>
      <c r="P396" s="91"/>
      <c r="R396" s="223"/>
      <c r="S396" s="54"/>
      <c r="V396" s="102"/>
      <c r="W396" s="191" t="str">
        <f t="shared" si="102"/>
        <v/>
      </c>
      <c r="X396" s="86"/>
      <c r="Z396" s="131"/>
      <c r="AA396" s="14"/>
      <c r="AG396" s="86"/>
      <c r="AJ396" s="86"/>
    </row>
    <row r="397">
      <c r="C397" s="88"/>
      <c r="D397" s="16"/>
      <c r="E397" s="16"/>
      <c r="F397" s="16"/>
      <c r="G397" s="16"/>
      <c r="H397" s="16"/>
      <c r="I397" s="16"/>
      <c r="J397" s="16"/>
      <c r="K397" s="16"/>
      <c r="L397" s="16"/>
      <c r="M397" s="16"/>
      <c r="N397" s="21"/>
      <c r="O397" s="30"/>
      <c r="P397" s="91"/>
      <c r="R397" s="223"/>
      <c r="S397" s="54"/>
      <c r="V397" s="102"/>
      <c r="W397" s="191" t="str">
        <f t="shared" si="102"/>
        <v/>
      </c>
      <c r="X397" s="86"/>
      <c r="Z397" s="131"/>
      <c r="AA397" s="14"/>
      <c r="AG397" s="86"/>
      <c r="AJ397" s="86"/>
    </row>
    <row r="398">
      <c r="C398" s="88"/>
      <c r="D398" s="16"/>
      <c r="E398" s="16"/>
      <c r="F398" s="16"/>
      <c r="G398" s="16"/>
      <c r="H398" s="16"/>
      <c r="I398" s="16"/>
      <c r="J398" s="16"/>
      <c r="K398" s="16"/>
      <c r="L398" s="16"/>
      <c r="M398" s="16"/>
      <c r="N398" s="21"/>
      <c r="O398" s="30"/>
      <c r="P398" s="91"/>
      <c r="R398" s="223"/>
      <c r="S398" s="54"/>
      <c r="V398" s="102"/>
      <c r="W398" s="191" t="str">
        <f t="shared" si="102"/>
        <v/>
      </c>
      <c r="X398" s="86"/>
      <c r="Z398" s="131"/>
      <c r="AA398" s="14"/>
      <c r="AG398" s="86"/>
      <c r="AJ398" s="86"/>
    </row>
    <row r="399">
      <c r="C399" s="88"/>
      <c r="D399" s="16"/>
      <c r="E399" s="16"/>
      <c r="F399" s="16"/>
      <c r="G399" s="16"/>
      <c r="H399" s="16"/>
      <c r="I399" s="16"/>
      <c r="J399" s="16"/>
      <c r="K399" s="16"/>
      <c r="L399" s="16"/>
      <c r="M399" s="16"/>
      <c r="N399" s="21"/>
      <c r="O399" s="30"/>
      <c r="P399" s="91"/>
      <c r="R399" s="223"/>
      <c r="S399" s="54"/>
      <c r="V399" s="102"/>
      <c r="W399" s="191" t="str">
        <f t="shared" si="102"/>
        <v/>
      </c>
      <c r="X399" s="86"/>
      <c r="Z399" s="131"/>
      <c r="AA399" s="14"/>
      <c r="AG399" s="86"/>
      <c r="AJ399" s="86"/>
    </row>
    <row r="400">
      <c r="C400" s="88"/>
      <c r="D400" s="16"/>
      <c r="E400" s="16"/>
      <c r="F400" s="16"/>
      <c r="G400" s="16"/>
      <c r="H400" s="16"/>
      <c r="I400" s="16"/>
      <c r="J400" s="16"/>
      <c r="K400" s="16"/>
      <c r="L400" s="16"/>
      <c r="M400" s="16"/>
      <c r="N400" s="21"/>
      <c r="O400" s="30"/>
      <c r="P400" s="91"/>
      <c r="R400" s="223"/>
      <c r="S400" s="54"/>
      <c r="V400" s="102"/>
      <c r="W400" s="191" t="str">
        <f t="shared" si="102"/>
        <v/>
      </c>
      <c r="X400" s="86"/>
      <c r="Z400" s="131"/>
      <c r="AA400" s="14"/>
      <c r="AG400" s="86"/>
      <c r="AJ400" s="86"/>
    </row>
    <row r="401">
      <c r="C401" s="88"/>
      <c r="D401" s="16"/>
      <c r="E401" s="16"/>
      <c r="F401" s="16"/>
      <c r="G401" s="16"/>
      <c r="H401" s="16"/>
      <c r="I401" s="16"/>
      <c r="J401" s="16"/>
      <c r="K401" s="16"/>
      <c r="L401" s="16"/>
      <c r="M401" s="16"/>
      <c r="N401" s="21"/>
      <c r="O401" s="30"/>
      <c r="P401" s="91"/>
      <c r="R401" s="223"/>
      <c r="S401" s="54"/>
      <c r="V401" s="102"/>
      <c r="W401" s="191" t="str">
        <f t="shared" si="102"/>
        <v/>
      </c>
      <c r="X401" s="86"/>
      <c r="Z401" s="131"/>
      <c r="AA401" s="14"/>
      <c r="AG401" s="86"/>
      <c r="AJ401" s="86"/>
    </row>
    <row r="402">
      <c r="C402" s="88"/>
      <c r="D402" s="16"/>
      <c r="E402" s="16"/>
      <c r="F402" s="16"/>
      <c r="G402" s="16"/>
      <c r="H402" s="16"/>
      <c r="I402" s="16"/>
      <c r="J402" s="16"/>
      <c r="K402" s="16"/>
      <c r="L402" s="16"/>
      <c r="M402" s="16"/>
      <c r="N402" s="21"/>
      <c r="O402" s="30"/>
      <c r="P402" s="91"/>
      <c r="R402" s="223"/>
      <c r="S402" s="54"/>
      <c r="V402" s="102"/>
      <c r="W402" s="191"/>
      <c r="X402" s="86"/>
      <c r="Z402" s="131"/>
      <c r="AA402" s="14"/>
      <c r="AG402" s="86"/>
      <c r="AJ402" s="86"/>
    </row>
    <row r="403">
      <c r="C403" s="88"/>
      <c r="D403" s="16"/>
      <c r="E403" s="16"/>
      <c r="F403" s="16"/>
      <c r="G403" s="16"/>
      <c r="H403" s="16"/>
      <c r="I403" s="16"/>
      <c r="J403" s="16"/>
      <c r="K403" s="16"/>
      <c r="L403" s="16"/>
      <c r="M403" s="16"/>
      <c r="N403" s="21"/>
      <c r="O403" s="30"/>
      <c r="P403" s="91"/>
      <c r="R403" s="223"/>
      <c r="S403" s="54"/>
      <c r="V403" s="102"/>
      <c r="W403" s="191"/>
      <c r="X403" s="86"/>
      <c r="Z403" s="131"/>
      <c r="AA403" s="14"/>
      <c r="AG403" s="86"/>
      <c r="AJ403" s="86"/>
    </row>
    <row r="404">
      <c r="C404" s="88"/>
      <c r="D404" s="16"/>
      <c r="E404" s="16"/>
      <c r="F404" s="16"/>
      <c r="G404" s="16"/>
      <c r="H404" s="16"/>
      <c r="I404" s="16"/>
      <c r="J404" s="16"/>
      <c r="K404" s="16"/>
      <c r="L404" s="16"/>
      <c r="M404" s="16"/>
      <c r="N404" s="21"/>
      <c r="O404" s="30"/>
      <c r="P404" s="91"/>
      <c r="R404" s="223"/>
      <c r="S404" s="54"/>
      <c r="V404" s="102"/>
      <c r="W404" s="191"/>
      <c r="X404" s="86"/>
      <c r="Z404" s="131"/>
      <c r="AA404" s="14"/>
      <c r="AG404" s="86"/>
      <c r="AJ404" s="86"/>
    </row>
    <row r="405">
      <c r="C405" s="88"/>
      <c r="D405" s="16"/>
      <c r="E405" s="16"/>
      <c r="F405" s="16"/>
      <c r="G405" s="16"/>
      <c r="H405" s="16"/>
      <c r="I405" s="16"/>
      <c r="J405" s="16"/>
      <c r="K405" s="16"/>
      <c r="L405" s="16"/>
      <c r="M405" s="16"/>
      <c r="N405" s="21"/>
      <c r="O405" s="30"/>
      <c r="P405" s="91"/>
      <c r="R405" s="223"/>
      <c r="S405" s="54"/>
      <c r="V405" s="102"/>
      <c r="W405" s="191"/>
      <c r="X405" s="86"/>
      <c r="Z405" s="131"/>
      <c r="AA405" s="14"/>
      <c r="AG405" s="86"/>
      <c r="AJ405" s="86"/>
    </row>
    <row r="406">
      <c r="C406" s="88"/>
      <c r="D406" s="16"/>
      <c r="E406" s="16"/>
      <c r="F406" s="16"/>
      <c r="G406" s="16"/>
      <c r="H406" s="16"/>
      <c r="I406" s="16"/>
      <c r="J406" s="16"/>
      <c r="K406" s="16"/>
      <c r="L406" s="16"/>
      <c r="M406" s="16"/>
      <c r="N406" s="21"/>
      <c r="O406" s="30"/>
      <c r="P406" s="91"/>
      <c r="R406" s="223"/>
      <c r="S406" s="54"/>
      <c r="V406" s="102"/>
      <c r="W406" s="191"/>
      <c r="X406" s="86"/>
      <c r="Z406" s="131"/>
      <c r="AA406" s="14"/>
      <c r="AG406" s="86"/>
      <c r="AJ406" s="86"/>
    </row>
    <row r="407">
      <c r="C407" s="88"/>
      <c r="D407" s="16"/>
      <c r="E407" s="16"/>
      <c r="F407" s="16"/>
      <c r="G407" s="16"/>
      <c r="H407" s="16"/>
      <c r="I407" s="16"/>
      <c r="J407" s="16"/>
      <c r="K407" s="16"/>
      <c r="L407" s="16"/>
      <c r="M407" s="16"/>
      <c r="N407" s="21"/>
      <c r="O407" s="30"/>
      <c r="P407" s="91"/>
      <c r="R407" s="223"/>
      <c r="S407" s="54"/>
      <c r="V407" s="102"/>
      <c r="W407" s="191"/>
      <c r="X407" s="86"/>
      <c r="Z407" s="131"/>
      <c r="AA407" s="14"/>
      <c r="AG407" s="86"/>
      <c r="AJ407" s="86"/>
    </row>
    <row r="408">
      <c r="C408" s="88"/>
      <c r="D408" s="16"/>
      <c r="E408" s="16"/>
      <c r="F408" s="16"/>
      <c r="G408" s="16"/>
      <c r="H408" s="16"/>
      <c r="I408" s="16"/>
      <c r="J408" s="16"/>
      <c r="K408" s="16"/>
      <c r="L408" s="16"/>
      <c r="M408" s="16"/>
      <c r="N408" s="21"/>
      <c r="O408" s="30"/>
      <c r="P408" s="91"/>
      <c r="R408" s="223"/>
      <c r="S408" s="54"/>
      <c r="V408" s="102"/>
      <c r="W408" s="191"/>
      <c r="X408" s="86"/>
      <c r="Z408" s="131"/>
      <c r="AA408" s="14"/>
      <c r="AG408" s="86"/>
      <c r="AJ408" s="86"/>
    </row>
    <row r="409">
      <c r="C409" s="88"/>
      <c r="D409" s="16"/>
      <c r="E409" s="16"/>
      <c r="F409" s="16"/>
      <c r="G409" s="16"/>
      <c r="H409" s="16"/>
      <c r="I409" s="16"/>
      <c r="J409" s="16"/>
      <c r="K409" s="16"/>
      <c r="L409" s="16"/>
      <c r="M409" s="16"/>
      <c r="N409" s="21"/>
      <c r="O409" s="30"/>
      <c r="P409" s="91"/>
      <c r="R409" s="223"/>
      <c r="S409" s="54"/>
      <c r="V409" s="102"/>
      <c r="W409" s="191"/>
      <c r="X409" s="86"/>
      <c r="Z409" s="131"/>
      <c r="AA409" s="14"/>
      <c r="AG409" s="86"/>
      <c r="AJ409" s="86"/>
    </row>
    <row r="410">
      <c r="C410" s="88"/>
      <c r="D410" s="16"/>
      <c r="E410" s="16"/>
      <c r="F410" s="16"/>
      <c r="G410" s="16"/>
      <c r="H410" s="16"/>
      <c r="I410" s="16"/>
      <c r="J410" s="16"/>
      <c r="K410" s="16"/>
      <c r="L410" s="16"/>
      <c r="M410" s="16"/>
      <c r="N410" s="21"/>
      <c r="O410" s="30"/>
      <c r="P410" s="91"/>
      <c r="R410" s="223"/>
      <c r="S410" s="54"/>
      <c r="V410" s="102"/>
      <c r="W410" s="191"/>
      <c r="X410" s="86"/>
      <c r="Z410" s="131"/>
      <c r="AA410" s="14"/>
      <c r="AG410" s="86"/>
      <c r="AJ410" s="86"/>
    </row>
    <row r="411">
      <c r="C411" s="88"/>
      <c r="D411" s="16"/>
      <c r="E411" s="16"/>
      <c r="F411" s="16"/>
      <c r="G411" s="16"/>
      <c r="H411" s="16"/>
      <c r="I411" s="16"/>
      <c r="J411" s="16"/>
      <c r="K411" s="16"/>
      <c r="L411" s="16"/>
      <c r="M411" s="16"/>
      <c r="N411" s="21"/>
      <c r="O411" s="30"/>
      <c r="P411" s="91"/>
      <c r="R411" s="223"/>
      <c r="S411" s="54"/>
      <c r="V411" s="102"/>
      <c r="W411" s="191"/>
      <c r="X411" s="86"/>
      <c r="Z411" s="131"/>
      <c r="AA411" s="14"/>
      <c r="AG411" s="86"/>
      <c r="AJ411" s="86"/>
    </row>
    <row r="412">
      <c r="C412" s="88"/>
      <c r="D412" s="16"/>
      <c r="E412" s="16"/>
      <c r="F412" s="16"/>
      <c r="G412" s="16"/>
      <c r="H412" s="16"/>
      <c r="I412" s="16"/>
      <c r="J412" s="16"/>
      <c r="K412" s="16"/>
      <c r="L412" s="16"/>
      <c r="M412" s="16"/>
      <c r="N412" s="21"/>
      <c r="O412" s="30"/>
      <c r="P412" s="91"/>
      <c r="R412" s="223"/>
      <c r="S412" s="54"/>
      <c r="V412" s="102"/>
      <c r="W412" s="191"/>
      <c r="X412" s="86"/>
      <c r="Z412" s="131"/>
      <c r="AA412" s="14"/>
      <c r="AG412" s="86"/>
      <c r="AJ412" s="86"/>
    </row>
    <row r="413">
      <c r="C413" s="88"/>
      <c r="D413" s="16"/>
      <c r="E413" s="16"/>
      <c r="F413" s="16"/>
      <c r="G413" s="16"/>
      <c r="H413" s="16"/>
      <c r="I413" s="16"/>
      <c r="J413" s="16"/>
      <c r="K413" s="16"/>
      <c r="L413" s="16"/>
      <c r="M413" s="16"/>
      <c r="N413" s="21"/>
      <c r="O413" s="30"/>
      <c r="P413" s="91"/>
      <c r="R413" s="223"/>
      <c r="S413" s="54"/>
      <c r="V413" s="102"/>
      <c r="W413" s="191"/>
      <c r="X413" s="86"/>
      <c r="Z413" s="131"/>
      <c r="AA413" s="14"/>
      <c r="AG413" s="86"/>
      <c r="AJ413" s="86"/>
    </row>
    <row r="414">
      <c r="C414" s="88"/>
      <c r="D414" s="16"/>
      <c r="E414" s="16"/>
      <c r="F414" s="16"/>
      <c r="G414" s="16"/>
      <c r="H414" s="16"/>
      <c r="I414" s="16"/>
      <c r="J414" s="16"/>
      <c r="K414" s="16"/>
      <c r="L414" s="16"/>
      <c r="M414" s="16"/>
      <c r="N414" s="21"/>
      <c r="O414" s="30"/>
      <c r="P414" s="91"/>
      <c r="R414" s="223"/>
      <c r="S414" s="54"/>
      <c r="V414" s="102"/>
      <c r="W414" s="191"/>
      <c r="X414" s="86"/>
      <c r="Z414" s="131"/>
      <c r="AA414" s="14"/>
      <c r="AG414" s="86"/>
      <c r="AJ414" s="86"/>
    </row>
    <row r="415">
      <c r="C415" s="88"/>
      <c r="D415" s="16"/>
      <c r="E415" s="16"/>
      <c r="F415" s="16"/>
      <c r="G415" s="16"/>
      <c r="H415" s="16"/>
      <c r="I415" s="16"/>
      <c r="J415" s="16"/>
      <c r="K415" s="16"/>
      <c r="L415" s="16"/>
      <c r="M415" s="16"/>
      <c r="N415" s="21"/>
      <c r="O415" s="30"/>
      <c r="P415" s="91"/>
      <c r="R415" s="223"/>
      <c r="S415" s="54"/>
      <c r="V415" s="102"/>
      <c r="W415" s="191"/>
      <c r="X415" s="86"/>
      <c r="Z415" s="131"/>
      <c r="AA415" s="14"/>
      <c r="AG415" s="86"/>
      <c r="AJ415" s="86"/>
    </row>
    <row r="416">
      <c r="C416" s="88"/>
      <c r="D416" s="16"/>
      <c r="E416" s="16"/>
      <c r="F416" s="16"/>
      <c r="G416" s="16"/>
      <c r="H416" s="16"/>
      <c r="I416" s="16"/>
      <c r="J416" s="16"/>
      <c r="K416" s="16"/>
      <c r="L416" s="16"/>
      <c r="M416" s="16"/>
      <c r="N416" s="21"/>
      <c r="O416" s="30"/>
      <c r="P416" s="91"/>
      <c r="R416" s="223"/>
      <c r="S416" s="54"/>
      <c r="V416" s="102"/>
      <c r="W416" s="191"/>
      <c r="X416" s="86"/>
      <c r="Z416" s="131"/>
      <c r="AA416" s="14"/>
      <c r="AG416" s="86"/>
      <c r="AJ416" s="86"/>
    </row>
    <row r="417">
      <c r="C417" s="88"/>
      <c r="D417" s="16"/>
      <c r="E417" s="16"/>
      <c r="F417" s="16"/>
      <c r="G417" s="16"/>
      <c r="H417" s="16"/>
      <c r="I417" s="16"/>
      <c r="J417" s="16"/>
      <c r="K417" s="16"/>
      <c r="L417" s="16"/>
      <c r="M417" s="16"/>
      <c r="N417" s="21"/>
      <c r="O417" s="30"/>
      <c r="P417" s="91"/>
      <c r="R417" s="223"/>
      <c r="S417" s="54"/>
      <c r="V417" s="102"/>
      <c r="W417" s="191"/>
      <c r="X417" s="86"/>
      <c r="Z417" s="131"/>
      <c r="AA417" s="14"/>
      <c r="AG417" s="86"/>
      <c r="AJ417" s="86"/>
    </row>
    <row r="418">
      <c r="C418" s="88"/>
      <c r="D418" s="16"/>
      <c r="E418" s="16"/>
      <c r="F418" s="16"/>
      <c r="G418" s="16"/>
      <c r="H418" s="16"/>
      <c r="I418" s="16"/>
      <c r="J418" s="16"/>
      <c r="K418" s="16"/>
      <c r="L418" s="16"/>
      <c r="M418" s="16"/>
      <c r="N418" s="21"/>
      <c r="O418" s="30"/>
      <c r="P418" s="91"/>
      <c r="R418" s="223"/>
      <c r="S418" s="54"/>
      <c r="V418" s="102"/>
      <c r="W418" s="191"/>
      <c r="X418" s="86"/>
      <c r="Z418" s="131"/>
      <c r="AA418" s="14"/>
      <c r="AG418" s="86"/>
      <c r="AJ418" s="86"/>
    </row>
    <row r="419">
      <c r="C419" s="88"/>
      <c r="D419" s="16"/>
      <c r="E419" s="16"/>
      <c r="F419" s="16"/>
      <c r="G419" s="16"/>
      <c r="H419" s="16"/>
      <c r="I419" s="16"/>
      <c r="J419" s="16"/>
      <c r="K419" s="16"/>
      <c r="L419" s="16"/>
      <c r="M419" s="16"/>
      <c r="N419" s="21"/>
      <c r="O419" s="30"/>
      <c r="P419" s="91"/>
      <c r="R419" s="223"/>
      <c r="S419" s="54"/>
      <c r="V419" s="102"/>
      <c r="W419" s="191"/>
      <c r="X419" s="86"/>
      <c r="Z419" s="131"/>
      <c r="AA419" s="14"/>
      <c r="AG419" s="86"/>
      <c r="AJ419" s="86"/>
    </row>
    <row r="420">
      <c r="C420" s="88"/>
      <c r="D420" s="16"/>
      <c r="E420" s="16"/>
      <c r="F420" s="16"/>
      <c r="G420" s="16"/>
      <c r="H420" s="16"/>
      <c r="I420" s="16"/>
      <c r="J420" s="16"/>
      <c r="K420" s="16"/>
      <c r="L420" s="16"/>
      <c r="M420" s="16"/>
      <c r="N420" s="21"/>
      <c r="O420" s="30"/>
      <c r="P420" s="91"/>
      <c r="R420" s="223"/>
      <c r="S420" s="54"/>
      <c r="V420" s="102"/>
      <c r="W420" s="191"/>
      <c r="X420" s="86"/>
      <c r="Z420" s="131"/>
      <c r="AA420" s="14"/>
      <c r="AG420" s="86"/>
      <c r="AJ420" s="86"/>
    </row>
    <row r="421">
      <c r="C421" s="88"/>
      <c r="D421" s="16"/>
      <c r="E421" s="16"/>
      <c r="F421" s="16"/>
      <c r="G421" s="16"/>
      <c r="H421" s="16"/>
      <c r="I421" s="16"/>
      <c r="J421" s="16"/>
      <c r="K421" s="16"/>
      <c r="L421" s="16"/>
      <c r="M421" s="16"/>
      <c r="N421" s="21"/>
      <c r="O421" s="30"/>
      <c r="P421" s="91"/>
      <c r="R421" s="223"/>
      <c r="S421" s="54"/>
      <c r="V421" s="102"/>
      <c r="W421" s="191"/>
      <c r="X421" s="86"/>
      <c r="Z421" s="131"/>
      <c r="AA421" s="14"/>
      <c r="AG421" s="86"/>
      <c r="AJ421" s="86"/>
    </row>
    <row r="422">
      <c r="C422" s="88"/>
      <c r="D422" s="16"/>
      <c r="E422" s="16"/>
      <c r="F422" s="16"/>
      <c r="G422" s="16"/>
      <c r="H422" s="16"/>
      <c r="I422" s="16"/>
      <c r="J422" s="16"/>
      <c r="K422" s="16"/>
      <c r="L422" s="16"/>
      <c r="M422" s="16"/>
      <c r="N422" s="21"/>
      <c r="O422" s="30"/>
      <c r="P422" s="91"/>
      <c r="R422" s="223"/>
      <c r="S422" s="54"/>
      <c r="V422" s="102"/>
      <c r="W422" s="191"/>
      <c r="X422" s="86"/>
      <c r="Z422" s="131"/>
      <c r="AA422" s="14"/>
      <c r="AG422" s="86"/>
      <c r="AJ422" s="86"/>
    </row>
    <row r="423">
      <c r="C423" s="88"/>
      <c r="D423" s="16"/>
      <c r="E423" s="16"/>
      <c r="F423" s="16"/>
      <c r="G423" s="16"/>
      <c r="H423" s="16"/>
      <c r="I423" s="16"/>
      <c r="J423" s="16"/>
      <c r="K423" s="16"/>
      <c r="L423" s="16"/>
      <c r="M423" s="16"/>
      <c r="N423" s="21"/>
      <c r="O423" s="30"/>
      <c r="P423" s="91"/>
      <c r="R423" s="223"/>
      <c r="S423" s="54"/>
      <c r="V423" s="102"/>
      <c r="W423" s="191"/>
      <c r="X423" s="86"/>
      <c r="Z423" s="131"/>
      <c r="AA423" s="14"/>
      <c r="AG423" s="86"/>
      <c r="AJ423" s="86"/>
    </row>
    <row r="424">
      <c r="C424" s="88"/>
      <c r="D424" s="16"/>
      <c r="E424" s="16"/>
      <c r="F424" s="16"/>
      <c r="G424" s="16"/>
      <c r="H424" s="16"/>
      <c r="I424" s="16"/>
      <c r="J424" s="16"/>
      <c r="K424" s="16"/>
      <c r="L424" s="16"/>
      <c r="M424" s="16"/>
      <c r="N424" s="21"/>
      <c r="O424" s="30"/>
      <c r="P424" s="91"/>
      <c r="R424" s="223"/>
      <c r="S424" s="54"/>
      <c r="V424" s="102"/>
      <c r="W424" s="191"/>
      <c r="X424" s="86"/>
      <c r="Z424" s="131"/>
      <c r="AA424" s="14"/>
      <c r="AG424" s="86"/>
      <c r="AJ424" s="86"/>
    </row>
    <row r="425">
      <c r="C425" s="88"/>
      <c r="D425" s="16"/>
      <c r="E425" s="16"/>
      <c r="F425" s="16"/>
      <c r="G425" s="16"/>
      <c r="H425" s="16"/>
      <c r="I425" s="16"/>
      <c r="J425" s="16"/>
      <c r="K425" s="16"/>
      <c r="L425" s="16"/>
      <c r="M425" s="16"/>
      <c r="N425" s="21"/>
      <c r="O425" s="30"/>
      <c r="P425" s="91"/>
      <c r="R425" s="223"/>
      <c r="S425" s="54"/>
      <c r="V425" s="102"/>
      <c r="W425" s="191"/>
      <c r="X425" s="86"/>
      <c r="Z425" s="131"/>
      <c r="AA425" s="14"/>
      <c r="AG425" s="86"/>
      <c r="AJ425" s="86"/>
    </row>
    <row r="426">
      <c r="C426" s="88"/>
      <c r="D426" s="16"/>
      <c r="E426" s="16"/>
      <c r="F426" s="16"/>
      <c r="G426" s="16"/>
      <c r="H426" s="16"/>
      <c r="I426" s="16"/>
      <c r="J426" s="16"/>
      <c r="K426" s="16"/>
      <c r="L426" s="16"/>
      <c r="M426" s="16"/>
      <c r="N426" s="21"/>
      <c r="O426" s="30"/>
      <c r="P426" s="91"/>
      <c r="R426" s="223"/>
      <c r="S426" s="54"/>
      <c r="V426" s="102"/>
      <c r="W426" s="191"/>
      <c r="X426" s="86"/>
      <c r="Z426" s="131"/>
      <c r="AA426" s="14"/>
      <c r="AG426" s="86"/>
      <c r="AJ426" s="86"/>
    </row>
    <row r="427">
      <c r="C427" s="88"/>
      <c r="D427" s="16"/>
      <c r="E427" s="16"/>
      <c r="F427" s="16"/>
      <c r="G427" s="16"/>
      <c r="H427" s="16"/>
      <c r="I427" s="16"/>
      <c r="J427" s="16"/>
      <c r="K427" s="16"/>
      <c r="L427" s="16"/>
      <c r="M427" s="16"/>
      <c r="N427" s="21"/>
      <c r="O427" s="30"/>
      <c r="P427" s="91"/>
      <c r="R427" s="223"/>
      <c r="S427" s="54"/>
      <c r="V427" s="102"/>
      <c r="W427" s="191"/>
      <c r="X427" s="86"/>
      <c r="Z427" s="131"/>
      <c r="AA427" s="14"/>
      <c r="AG427" s="86"/>
      <c r="AJ427" s="86"/>
    </row>
    <row r="428">
      <c r="C428" s="88"/>
      <c r="D428" s="16"/>
      <c r="E428" s="16"/>
      <c r="F428" s="16"/>
      <c r="G428" s="16"/>
      <c r="H428" s="16"/>
      <c r="I428" s="16"/>
      <c r="J428" s="16"/>
      <c r="K428" s="16"/>
      <c r="L428" s="16"/>
      <c r="M428" s="16"/>
      <c r="N428" s="21"/>
      <c r="O428" s="30"/>
      <c r="P428" s="91"/>
      <c r="R428" s="223"/>
      <c r="S428" s="54"/>
      <c r="V428" s="102"/>
      <c r="W428" s="191"/>
      <c r="X428" s="86"/>
      <c r="Z428" s="131"/>
      <c r="AA428" s="14"/>
      <c r="AG428" s="86"/>
      <c r="AJ428" s="86"/>
    </row>
    <row r="429">
      <c r="C429" s="88"/>
      <c r="D429" s="16"/>
      <c r="E429" s="16"/>
      <c r="F429" s="16"/>
      <c r="G429" s="16"/>
      <c r="H429" s="16"/>
      <c r="I429" s="16"/>
      <c r="J429" s="16"/>
      <c r="K429" s="16"/>
      <c r="L429" s="16"/>
      <c r="M429" s="16"/>
      <c r="N429" s="21"/>
      <c r="O429" s="30"/>
      <c r="P429" s="91"/>
      <c r="R429" s="223"/>
      <c r="S429" s="54"/>
      <c r="V429" s="102"/>
      <c r="W429" s="191"/>
      <c r="X429" s="86"/>
      <c r="Z429" s="131"/>
      <c r="AA429" s="14"/>
      <c r="AG429" s="86"/>
      <c r="AJ429" s="86"/>
    </row>
    <row r="430">
      <c r="C430" s="88"/>
      <c r="D430" s="16"/>
      <c r="E430" s="16"/>
      <c r="F430" s="16"/>
      <c r="G430" s="16"/>
      <c r="H430" s="16"/>
      <c r="I430" s="16"/>
      <c r="J430" s="16"/>
      <c r="K430" s="16"/>
      <c r="L430" s="16"/>
      <c r="M430" s="16"/>
      <c r="N430" s="21"/>
      <c r="O430" s="30"/>
      <c r="P430" s="91"/>
      <c r="R430" s="223"/>
      <c r="S430" s="54"/>
      <c r="V430" s="102"/>
      <c r="W430" s="191"/>
      <c r="X430" s="86"/>
      <c r="Z430" s="131"/>
      <c r="AA430" s="14"/>
      <c r="AG430" s="86"/>
      <c r="AJ430" s="86"/>
    </row>
    <row r="431">
      <c r="C431" s="88"/>
      <c r="D431" s="16"/>
      <c r="E431" s="16"/>
      <c r="F431" s="16"/>
      <c r="G431" s="16"/>
      <c r="H431" s="16"/>
      <c r="I431" s="16"/>
      <c r="J431" s="16"/>
      <c r="K431" s="16"/>
      <c r="L431" s="16"/>
      <c r="M431" s="16"/>
      <c r="N431" s="21"/>
      <c r="O431" s="30"/>
      <c r="P431" s="91"/>
      <c r="R431" s="223"/>
      <c r="S431" s="54"/>
      <c r="V431" s="102"/>
      <c r="W431" s="191"/>
      <c r="X431" s="86"/>
      <c r="Z431" s="131"/>
      <c r="AA431" s="14"/>
      <c r="AG431" s="86"/>
      <c r="AJ431" s="86"/>
    </row>
    <row r="432">
      <c r="C432" s="88"/>
      <c r="D432" s="16"/>
      <c r="E432" s="16"/>
      <c r="F432" s="16"/>
      <c r="G432" s="16"/>
      <c r="H432" s="16"/>
      <c r="I432" s="16"/>
      <c r="J432" s="16"/>
      <c r="K432" s="16"/>
      <c r="L432" s="16"/>
      <c r="M432" s="16"/>
      <c r="N432" s="21"/>
      <c r="O432" s="30"/>
      <c r="P432" s="91"/>
      <c r="R432" s="223"/>
      <c r="S432" s="54"/>
      <c r="V432" s="102"/>
      <c r="W432" s="191"/>
      <c r="X432" s="86"/>
      <c r="Z432" s="131"/>
      <c r="AA432" s="14"/>
      <c r="AG432" s="86"/>
      <c r="AJ432" s="86"/>
    </row>
    <row r="433">
      <c r="C433" s="88"/>
      <c r="D433" s="16"/>
      <c r="E433" s="16"/>
      <c r="F433" s="16"/>
      <c r="G433" s="16"/>
      <c r="H433" s="16"/>
      <c r="I433" s="16"/>
      <c r="J433" s="16"/>
      <c r="K433" s="16"/>
      <c r="L433" s="16"/>
      <c r="M433" s="16"/>
      <c r="N433" s="21"/>
      <c r="O433" s="30"/>
      <c r="P433" s="91"/>
      <c r="R433" s="223"/>
      <c r="S433" s="54"/>
      <c r="V433" s="102"/>
      <c r="W433" s="191"/>
      <c r="X433" s="86"/>
      <c r="Z433" s="131"/>
      <c r="AA433" s="14"/>
      <c r="AG433" s="86"/>
      <c r="AJ433" s="86"/>
    </row>
    <row r="434">
      <c r="C434" s="88"/>
      <c r="D434" s="16"/>
      <c r="E434" s="16"/>
      <c r="F434" s="16"/>
      <c r="G434" s="16"/>
      <c r="H434" s="16"/>
      <c r="I434" s="16"/>
      <c r="J434" s="16"/>
      <c r="K434" s="16"/>
      <c r="L434" s="16"/>
      <c r="M434" s="16"/>
      <c r="N434" s="21"/>
      <c r="O434" s="30"/>
      <c r="P434" s="91"/>
      <c r="R434" s="223"/>
      <c r="S434" s="54"/>
      <c r="V434" s="102"/>
      <c r="W434" s="191"/>
      <c r="X434" s="86"/>
      <c r="Z434" s="131"/>
      <c r="AA434" s="14"/>
      <c r="AG434" s="86"/>
      <c r="AJ434" s="86"/>
    </row>
    <row r="435">
      <c r="C435" s="88"/>
      <c r="D435" s="16"/>
      <c r="E435" s="16"/>
      <c r="F435" s="16"/>
      <c r="G435" s="16"/>
      <c r="H435" s="16"/>
      <c r="I435" s="16"/>
      <c r="J435" s="16"/>
      <c r="K435" s="16"/>
      <c r="L435" s="16"/>
      <c r="M435" s="16"/>
      <c r="N435" s="21"/>
      <c r="O435" s="30"/>
      <c r="P435" s="91"/>
      <c r="R435" s="223"/>
      <c r="S435" s="54"/>
      <c r="V435" s="102"/>
      <c r="W435" s="191"/>
      <c r="X435" s="86"/>
      <c r="Z435" s="131"/>
      <c r="AA435" s="14"/>
      <c r="AG435" s="86"/>
      <c r="AJ435" s="86"/>
    </row>
    <row r="436">
      <c r="C436" s="88"/>
      <c r="D436" s="16"/>
      <c r="E436" s="16"/>
      <c r="F436" s="16"/>
      <c r="G436" s="16"/>
      <c r="H436" s="16"/>
      <c r="I436" s="16"/>
      <c r="J436" s="16"/>
      <c r="K436" s="16"/>
      <c r="L436" s="16"/>
      <c r="M436" s="16"/>
      <c r="N436" s="21"/>
      <c r="O436" s="30"/>
      <c r="P436" s="91"/>
      <c r="R436" s="223"/>
      <c r="S436" s="54"/>
      <c r="V436" s="102"/>
      <c r="W436" s="191"/>
      <c r="X436" s="86"/>
      <c r="Z436" s="131"/>
      <c r="AA436" s="14"/>
      <c r="AG436" s="86"/>
      <c r="AJ436" s="86"/>
    </row>
    <row r="437">
      <c r="C437" s="88"/>
      <c r="D437" s="16"/>
      <c r="E437" s="16"/>
      <c r="F437" s="16"/>
      <c r="G437" s="16"/>
      <c r="H437" s="16"/>
      <c r="I437" s="16"/>
      <c r="J437" s="16"/>
      <c r="K437" s="16"/>
      <c r="L437" s="16"/>
      <c r="M437" s="16"/>
      <c r="N437" s="21"/>
      <c r="O437" s="30"/>
      <c r="P437" s="91"/>
      <c r="R437" s="223"/>
      <c r="S437" s="54"/>
      <c r="V437" s="102"/>
      <c r="W437" s="191"/>
      <c r="X437" s="86"/>
      <c r="Z437" s="131"/>
      <c r="AA437" s="14"/>
      <c r="AG437" s="86"/>
      <c r="AJ437" s="86"/>
    </row>
    <row r="438">
      <c r="C438" s="88"/>
      <c r="D438" s="16"/>
      <c r="E438" s="16"/>
      <c r="F438" s="16"/>
      <c r="G438" s="16"/>
      <c r="H438" s="16"/>
      <c r="I438" s="16"/>
      <c r="J438" s="16"/>
      <c r="K438" s="16"/>
      <c r="L438" s="16"/>
      <c r="M438" s="16"/>
      <c r="N438" s="21"/>
      <c r="O438" s="30"/>
      <c r="P438" s="91"/>
      <c r="R438" s="223"/>
      <c r="S438" s="54"/>
      <c r="V438" s="102"/>
      <c r="W438" s="191"/>
      <c r="X438" s="86"/>
      <c r="Z438" s="131"/>
      <c r="AA438" s="14"/>
      <c r="AG438" s="86"/>
      <c r="AJ438" s="86"/>
    </row>
    <row r="439">
      <c r="C439" s="88"/>
      <c r="D439" s="16"/>
      <c r="E439" s="16"/>
      <c r="F439" s="16"/>
      <c r="G439" s="16"/>
      <c r="H439" s="16"/>
      <c r="I439" s="16"/>
      <c r="J439" s="16"/>
      <c r="K439" s="16"/>
      <c r="L439" s="16"/>
      <c r="M439" s="16"/>
      <c r="N439" s="21"/>
      <c r="O439" s="30"/>
      <c r="P439" s="91"/>
      <c r="R439" s="223"/>
      <c r="S439" s="54"/>
      <c r="V439" s="102"/>
      <c r="W439" s="191"/>
      <c r="X439" s="86"/>
      <c r="Z439" s="131"/>
      <c r="AA439" s="14"/>
      <c r="AG439" s="86"/>
      <c r="AJ439" s="86"/>
    </row>
    <row r="440">
      <c r="C440" s="88"/>
      <c r="D440" s="16"/>
      <c r="E440" s="16"/>
      <c r="F440" s="16"/>
      <c r="G440" s="16"/>
      <c r="H440" s="16"/>
      <c r="I440" s="16"/>
      <c r="J440" s="16"/>
      <c r="K440" s="16"/>
      <c r="L440" s="16"/>
      <c r="M440" s="16"/>
      <c r="N440" s="21"/>
      <c r="O440" s="30"/>
      <c r="P440" s="91"/>
      <c r="R440" s="223"/>
      <c r="S440" s="54"/>
      <c r="V440" s="102"/>
      <c r="W440" s="191"/>
      <c r="X440" s="86"/>
      <c r="Z440" s="131"/>
      <c r="AA440" s="14"/>
      <c r="AG440" s="86"/>
      <c r="AJ440" s="86"/>
    </row>
    <row r="441">
      <c r="C441" s="88"/>
      <c r="D441" s="16"/>
      <c r="E441" s="16"/>
      <c r="F441" s="16"/>
      <c r="G441" s="16"/>
      <c r="H441" s="16"/>
      <c r="I441" s="16"/>
      <c r="J441" s="16"/>
      <c r="K441" s="16"/>
      <c r="L441" s="16"/>
      <c r="M441" s="16"/>
      <c r="N441" s="21"/>
      <c r="O441" s="30"/>
      <c r="P441" s="91"/>
      <c r="R441" s="223"/>
      <c r="S441" s="54"/>
      <c r="V441" s="102"/>
      <c r="W441" s="191"/>
      <c r="X441" s="86"/>
      <c r="Z441" s="131"/>
      <c r="AA441" s="14"/>
      <c r="AG441" s="86"/>
      <c r="AJ441" s="86"/>
    </row>
    <row r="442">
      <c r="C442" s="88"/>
      <c r="D442" s="16"/>
      <c r="E442" s="16"/>
      <c r="F442" s="16"/>
      <c r="G442" s="16"/>
      <c r="H442" s="16"/>
      <c r="I442" s="16"/>
      <c r="J442" s="16"/>
      <c r="K442" s="16"/>
      <c r="L442" s="16"/>
      <c r="M442" s="16"/>
      <c r="N442" s="21"/>
      <c r="O442" s="30"/>
      <c r="P442" s="91"/>
      <c r="R442" s="223"/>
      <c r="S442" s="54"/>
      <c r="V442" s="102"/>
      <c r="W442" s="191"/>
      <c r="X442" s="86"/>
      <c r="Z442" s="131"/>
      <c r="AA442" s="14"/>
      <c r="AG442" s="86"/>
      <c r="AJ442" s="86"/>
    </row>
    <row r="443">
      <c r="C443" s="88"/>
      <c r="D443" s="16"/>
      <c r="E443" s="16"/>
      <c r="F443" s="16"/>
      <c r="G443" s="16"/>
      <c r="H443" s="16"/>
      <c r="I443" s="16"/>
      <c r="J443" s="16"/>
      <c r="K443" s="16"/>
      <c r="L443" s="16"/>
      <c r="M443" s="16"/>
      <c r="N443" s="21"/>
      <c r="O443" s="30"/>
      <c r="P443" s="91"/>
      <c r="R443" s="223"/>
      <c r="S443" s="54"/>
      <c r="V443" s="102"/>
      <c r="W443" s="191"/>
      <c r="X443" s="86"/>
      <c r="Z443" s="131"/>
      <c r="AA443" s="14"/>
      <c r="AG443" s="86"/>
      <c r="AJ443" s="86"/>
    </row>
    <row r="444">
      <c r="C444" s="88"/>
      <c r="D444" s="16"/>
      <c r="E444" s="16"/>
      <c r="F444" s="16"/>
      <c r="G444" s="16"/>
      <c r="H444" s="16"/>
      <c r="I444" s="16"/>
      <c r="J444" s="16"/>
      <c r="K444" s="16"/>
      <c r="L444" s="16"/>
      <c r="M444" s="16"/>
      <c r="N444" s="21"/>
      <c r="O444" s="30"/>
      <c r="P444" s="91"/>
      <c r="R444" s="223"/>
      <c r="S444" s="54"/>
      <c r="V444" s="102"/>
      <c r="W444" s="191"/>
      <c r="X444" s="86"/>
      <c r="Z444" s="131"/>
      <c r="AA444" s="14"/>
      <c r="AG444" s="86"/>
      <c r="AJ444" s="86"/>
    </row>
    <row r="445">
      <c r="C445" s="88"/>
      <c r="D445" s="16"/>
      <c r="E445" s="16"/>
      <c r="F445" s="16"/>
      <c r="G445" s="16"/>
      <c r="H445" s="16"/>
      <c r="I445" s="16"/>
      <c r="J445" s="16"/>
      <c r="K445" s="16"/>
      <c r="L445" s="16"/>
      <c r="M445" s="16"/>
      <c r="N445" s="21"/>
      <c r="O445" s="30"/>
      <c r="P445" s="91"/>
      <c r="R445" s="223"/>
      <c r="S445" s="54"/>
      <c r="V445" s="102"/>
      <c r="W445" s="191"/>
      <c r="X445" s="86"/>
      <c r="Z445" s="131"/>
      <c r="AA445" s="14"/>
      <c r="AG445" s="86"/>
      <c r="AJ445" s="86"/>
    </row>
    <row r="446">
      <c r="C446" s="88"/>
      <c r="D446" s="16"/>
      <c r="E446" s="16"/>
      <c r="F446" s="16"/>
      <c r="G446" s="16"/>
      <c r="H446" s="16"/>
      <c r="I446" s="16"/>
      <c r="J446" s="16"/>
      <c r="K446" s="16"/>
      <c r="L446" s="16"/>
      <c r="M446" s="16"/>
      <c r="N446" s="21"/>
      <c r="O446" s="30"/>
      <c r="P446" s="91"/>
      <c r="R446" s="223"/>
      <c r="S446" s="54"/>
      <c r="V446" s="102"/>
      <c r="W446" s="191"/>
      <c r="X446" s="86"/>
      <c r="Z446" s="131"/>
      <c r="AA446" s="14"/>
      <c r="AG446" s="86"/>
      <c r="AJ446" s="86"/>
    </row>
    <row r="447">
      <c r="C447" s="88"/>
      <c r="D447" s="16"/>
      <c r="E447" s="16"/>
      <c r="F447" s="16"/>
      <c r="G447" s="16"/>
      <c r="H447" s="16"/>
      <c r="I447" s="16"/>
      <c r="J447" s="16"/>
      <c r="K447" s="16"/>
      <c r="L447" s="16"/>
      <c r="M447" s="16"/>
      <c r="N447" s="21"/>
      <c r="O447" s="30"/>
      <c r="P447" s="91"/>
      <c r="R447" s="223"/>
      <c r="S447" s="54"/>
      <c r="V447" s="102"/>
      <c r="W447" s="191"/>
      <c r="X447" s="86"/>
      <c r="Z447" s="131"/>
      <c r="AA447" s="14"/>
      <c r="AG447" s="86"/>
      <c r="AJ447" s="86"/>
    </row>
    <row r="448">
      <c r="C448" s="88"/>
      <c r="D448" s="16"/>
      <c r="E448" s="16"/>
      <c r="F448" s="16"/>
      <c r="G448" s="16"/>
      <c r="H448" s="16"/>
      <c r="I448" s="16"/>
      <c r="J448" s="16"/>
      <c r="K448" s="16"/>
      <c r="L448" s="16"/>
      <c r="M448" s="16"/>
      <c r="N448" s="21"/>
      <c r="O448" s="30"/>
      <c r="P448" s="91"/>
      <c r="R448" s="223"/>
      <c r="S448" s="54"/>
      <c r="V448" s="102"/>
      <c r="W448" s="191"/>
      <c r="X448" s="86"/>
      <c r="Z448" s="131"/>
      <c r="AA448" s="14"/>
      <c r="AG448" s="86"/>
      <c r="AJ448" s="86"/>
    </row>
    <row r="449">
      <c r="C449" s="88"/>
      <c r="D449" s="16"/>
      <c r="E449" s="16"/>
      <c r="F449" s="16"/>
      <c r="G449" s="16"/>
      <c r="H449" s="16"/>
      <c r="I449" s="16"/>
      <c r="J449" s="16"/>
      <c r="K449" s="16"/>
      <c r="L449" s="16"/>
      <c r="M449" s="16"/>
      <c r="N449" s="21"/>
      <c r="O449" s="30"/>
      <c r="P449" s="91"/>
      <c r="R449" s="223"/>
      <c r="S449" s="54"/>
      <c r="V449" s="102"/>
      <c r="W449" s="191"/>
      <c r="X449" s="86"/>
      <c r="Z449" s="131"/>
      <c r="AA449" s="14"/>
      <c r="AG449" s="86"/>
      <c r="AJ449" s="86"/>
    </row>
    <row r="450">
      <c r="C450" s="88"/>
      <c r="D450" s="16"/>
      <c r="E450" s="16"/>
      <c r="F450" s="16"/>
      <c r="G450" s="16"/>
      <c r="H450" s="16"/>
      <c r="I450" s="16"/>
      <c r="J450" s="16"/>
      <c r="K450" s="16"/>
      <c r="L450" s="16"/>
      <c r="M450" s="16"/>
      <c r="N450" s="21"/>
      <c r="O450" s="30"/>
      <c r="P450" s="91"/>
      <c r="R450" s="223"/>
      <c r="S450" s="54"/>
      <c r="V450" s="102"/>
      <c r="W450" s="191"/>
      <c r="X450" s="86"/>
      <c r="Z450" s="131"/>
      <c r="AA450" s="14"/>
      <c r="AG450" s="86"/>
      <c r="AJ450" s="86"/>
    </row>
    <row r="451">
      <c r="C451" s="88"/>
      <c r="D451" s="16"/>
      <c r="E451" s="16"/>
      <c r="F451" s="16"/>
      <c r="G451" s="16"/>
      <c r="H451" s="16"/>
      <c r="I451" s="16"/>
      <c r="J451" s="16"/>
      <c r="K451" s="16"/>
      <c r="L451" s="16"/>
      <c r="M451" s="16"/>
      <c r="N451" s="21"/>
      <c r="O451" s="30"/>
      <c r="P451" s="91"/>
      <c r="R451" s="223"/>
      <c r="S451" s="54"/>
      <c r="V451" s="102"/>
      <c r="W451" s="191"/>
      <c r="X451" s="86"/>
      <c r="Z451" s="131"/>
      <c r="AA451" s="14"/>
      <c r="AG451" s="86"/>
      <c r="AJ451" s="86"/>
    </row>
    <row r="452">
      <c r="C452" s="88"/>
      <c r="D452" s="16"/>
      <c r="E452" s="16"/>
      <c r="F452" s="16"/>
      <c r="G452" s="16"/>
      <c r="H452" s="16"/>
      <c r="I452" s="16"/>
      <c r="J452" s="16"/>
      <c r="K452" s="16"/>
      <c r="L452" s="16"/>
      <c r="M452" s="16"/>
      <c r="N452" s="21"/>
      <c r="O452" s="30"/>
      <c r="P452" s="91"/>
      <c r="R452" s="223"/>
      <c r="S452" s="54"/>
      <c r="V452" s="102"/>
      <c r="W452" s="191"/>
      <c r="X452" s="86"/>
      <c r="Z452" s="131"/>
      <c r="AA452" s="14"/>
      <c r="AG452" s="86"/>
      <c r="AJ452" s="86"/>
    </row>
    <row r="453">
      <c r="C453" s="88"/>
      <c r="D453" s="16"/>
      <c r="E453" s="16"/>
      <c r="F453" s="16"/>
      <c r="G453" s="16"/>
      <c r="H453" s="16"/>
      <c r="I453" s="16"/>
      <c r="J453" s="16"/>
      <c r="K453" s="16"/>
      <c r="L453" s="16"/>
      <c r="M453" s="16"/>
      <c r="N453" s="21"/>
      <c r="O453" s="30"/>
      <c r="P453" s="91"/>
      <c r="R453" s="223"/>
      <c r="S453" s="54"/>
      <c r="V453" s="102"/>
      <c r="W453" s="191"/>
      <c r="X453" s="86"/>
      <c r="Z453" s="131"/>
      <c r="AA453" s="14"/>
      <c r="AG453" s="86"/>
      <c r="AJ453" s="86"/>
    </row>
    <row r="454">
      <c r="C454" s="88"/>
      <c r="D454" s="16"/>
      <c r="E454" s="16"/>
      <c r="F454" s="16"/>
      <c r="G454" s="16"/>
      <c r="H454" s="16"/>
      <c r="I454" s="16"/>
      <c r="J454" s="16"/>
      <c r="K454" s="16"/>
      <c r="L454" s="16"/>
      <c r="M454" s="16"/>
      <c r="N454" s="21"/>
      <c r="O454" s="30"/>
      <c r="P454" s="91"/>
      <c r="R454" s="223"/>
      <c r="S454" s="54"/>
      <c r="V454" s="102"/>
      <c r="W454" s="191"/>
      <c r="X454" s="86"/>
      <c r="Z454" s="131"/>
      <c r="AA454" s="14"/>
      <c r="AG454" s="86"/>
      <c r="AJ454" s="86"/>
    </row>
    <row r="455">
      <c r="C455" s="88"/>
      <c r="D455" s="16"/>
      <c r="E455" s="16"/>
      <c r="F455" s="16"/>
      <c r="G455" s="16"/>
      <c r="H455" s="16"/>
      <c r="I455" s="16"/>
      <c r="J455" s="16"/>
      <c r="K455" s="16"/>
      <c r="L455" s="16"/>
      <c r="M455" s="16"/>
      <c r="N455" s="21"/>
      <c r="O455" s="30"/>
      <c r="P455" s="91"/>
      <c r="R455" s="223"/>
      <c r="S455" s="54"/>
      <c r="V455" s="102"/>
      <c r="W455" s="191"/>
      <c r="X455" s="86"/>
      <c r="Z455" s="131"/>
      <c r="AA455" s="14"/>
      <c r="AG455" s="86"/>
      <c r="AJ455" s="86"/>
    </row>
    <row r="456">
      <c r="C456" s="88"/>
      <c r="D456" s="16"/>
      <c r="E456" s="16"/>
      <c r="F456" s="16"/>
      <c r="G456" s="16"/>
      <c r="H456" s="16"/>
      <c r="I456" s="16"/>
      <c r="J456" s="16"/>
      <c r="K456" s="16"/>
      <c r="L456" s="16"/>
      <c r="M456" s="16"/>
      <c r="N456" s="21"/>
      <c r="O456" s="30"/>
      <c r="P456" s="91"/>
      <c r="R456" s="223"/>
      <c r="S456" s="54"/>
      <c r="V456" s="102"/>
      <c r="W456" s="191"/>
      <c r="X456" s="86"/>
      <c r="Z456" s="131"/>
      <c r="AA456" s="14"/>
      <c r="AG456" s="86"/>
      <c r="AJ456" s="86"/>
    </row>
    <row r="457">
      <c r="C457" s="88"/>
      <c r="D457" s="16"/>
      <c r="E457" s="16"/>
      <c r="F457" s="16"/>
      <c r="G457" s="16"/>
      <c r="H457" s="16"/>
      <c r="I457" s="16"/>
      <c r="J457" s="16"/>
      <c r="K457" s="16"/>
      <c r="L457" s="16"/>
      <c r="M457" s="16"/>
      <c r="N457" s="21"/>
      <c r="O457" s="30"/>
      <c r="P457" s="91"/>
      <c r="R457" s="223"/>
      <c r="S457" s="54"/>
      <c r="V457" s="102"/>
      <c r="W457" s="191"/>
      <c r="X457" s="86"/>
      <c r="Z457" s="131"/>
      <c r="AA457" s="14"/>
      <c r="AG457" s="86"/>
      <c r="AJ457" s="86"/>
    </row>
    <row r="458">
      <c r="C458" s="88"/>
      <c r="D458" s="16"/>
      <c r="E458" s="16"/>
      <c r="F458" s="16"/>
      <c r="G458" s="16"/>
      <c r="H458" s="16"/>
      <c r="I458" s="16"/>
      <c r="J458" s="16"/>
      <c r="K458" s="16"/>
      <c r="L458" s="16"/>
      <c r="M458" s="16"/>
      <c r="N458" s="21"/>
      <c r="O458" s="30"/>
      <c r="P458" s="91"/>
      <c r="R458" s="223"/>
      <c r="S458" s="54"/>
      <c r="V458" s="102"/>
      <c r="W458" s="191"/>
      <c r="X458" s="86"/>
      <c r="Z458" s="131"/>
      <c r="AA458" s="14"/>
      <c r="AG458" s="86"/>
      <c r="AJ458" s="86"/>
    </row>
    <row r="459">
      <c r="C459" s="88"/>
      <c r="D459" s="16"/>
      <c r="E459" s="16"/>
      <c r="F459" s="16"/>
      <c r="G459" s="16"/>
      <c r="H459" s="16"/>
      <c r="I459" s="16"/>
      <c r="J459" s="16"/>
      <c r="K459" s="16"/>
      <c r="L459" s="16"/>
      <c r="M459" s="16"/>
      <c r="N459" s="21"/>
      <c r="O459" s="30"/>
      <c r="P459" s="91"/>
      <c r="R459" s="223"/>
      <c r="S459" s="54"/>
      <c r="V459" s="102"/>
      <c r="W459" s="191"/>
      <c r="X459" s="86"/>
      <c r="Z459" s="131"/>
      <c r="AA459" s="14"/>
      <c r="AG459" s="86"/>
      <c r="AJ459" s="86"/>
    </row>
    <row r="460">
      <c r="C460" s="88"/>
      <c r="D460" s="16"/>
      <c r="E460" s="16"/>
      <c r="F460" s="16"/>
      <c r="G460" s="16"/>
      <c r="H460" s="16"/>
      <c r="I460" s="16"/>
      <c r="J460" s="16"/>
      <c r="K460" s="16"/>
      <c r="L460" s="16"/>
      <c r="M460" s="16"/>
      <c r="N460" s="21"/>
      <c r="O460" s="30"/>
      <c r="P460" s="91"/>
      <c r="R460" s="223"/>
      <c r="S460" s="54"/>
      <c r="V460" s="102"/>
      <c r="W460" s="191"/>
      <c r="X460" s="86"/>
      <c r="Z460" s="131"/>
      <c r="AA460" s="14"/>
      <c r="AG460" s="86"/>
      <c r="AJ460" s="86"/>
    </row>
    <row r="461">
      <c r="C461" s="88"/>
      <c r="D461" s="16"/>
      <c r="E461" s="16"/>
      <c r="F461" s="16"/>
      <c r="G461" s="16"/>
      <c r="H461" s="16"/>
      <c r="I461" s="16"/>
      <c r="J461" s="16"/>
      <c r="K461" s="16"/>
      <c r="L461" s="16"/>
      <c r="M461" s="16"/>
      <c r="N461" s="21"/>
      <c r="O461" s="30"/>
      <c r="P461" s="91"/>
      <c r="R461" s="223"/>
      <c r="S461" s="54"/>
      <c r="V461" s="102"/>
      <c r="W461" s="191"/>
      <c r="X461" s="86"/>
      <c r="Z461" s="131"/>
      <c r="AA461" s="14"/>
      <c r="AG461" s="86"/>
      <c r="AJ461" s="86"/>
    </row>
    <row r="462">
      <c r="C462" s="88"/>
      <c r="D462" s="16"/>
      <c r="E462" s="16"/>
      <c r="F462" s="16"/>
      <c r="G462" s="16"/>
      <c r="H462" s="16"/>
      <c r="I462" s="16"/>
      <c r="J462" s="16"/>
      <c r="K462" s="16"/>
      <c r="L462" s="16"/>
      <c r="M462" s="16"/>
      <c r="N462" s="21"/>
      <c r="O462" s="30"/>
      <c r="P462" s="91"/>
      <c r="R462" s="223"/>
      <c r="S462" s="54"/>
      <c r="V462" s="102"/>
      <c r="W462" s="191"/>
      <c r="X462" s="86"/>
      <c r="Z462" s="131"/>
      <c r="AA462" s="14"/>
      <c r="AG462" s="86"/>
      <c r="AJ462" s="86"/>
    </row>
    <row r="463">
      <c r="C463" s="88"/>
      <c r="D463" s="16"/>
      <c r="E463" s="16"/>
      <c r="F463" s="16"/>
      <c r="G463" s="16"/>
      <c r="H463" s="16"/>
      <c r="I463" s="16"/>
      <c r="J463" s="16"/>
      <c r="K463" s="16"/>
      <c r="L463" s="16"/>
      <c r="M463" s="16"/>
      <c r="N463" s="21"/>
      <c r="O463" s="30"/>
      <c r="P463" s="91"/>
      <c r="R463" s="223"/>
      <c r="S463" s="54"/>
      <c r="V463" s="102"/>
      <c r="W463" s="191"/>
      <c r="X463" s="86"/>
      <c r="Z463" s="131"/>
      <c r="AA463" s="14"/>
      <c r="AG463" s="86"/>
      <c r="AJ463" s="86"/>
    </row>
    <row r="464">
      <c r="C464" s="88"/>
      <c r="D464" s="16"/>
      <c r="E464" s="16"/>
      <c r="F464" s="16"/>
      <c r="G464" s="16"/>
      <c r="H464" s="16"/>
      <c r="I464" s="16"/>
      <c r="J464" s="16"/>
      <c r="K464" s="16"/>
      <c r="L464" s="16"/>
      <c r="M464" s="16"/>
      <c r="N464" s="21"/>
      <c r="O464" s="30"/>
      <c r="P464" s="91"/>
      <c r="R464" s="223"/>
      <c r="S464" s="54"/>
      <c r="V464" s="102"/>
      <c r="W464" s="191"/>
      <c r="X464" s="86"/>
      <c r="Z464" s="131"/>
      <c r="AA464" s="14"/>
      <c r="AG464" s="86"/>
      <c r="AJ464" s="86"/>
    </row>
    <row r="465">
      <c r="C465" s="88"/>
      <c r="D465" s="16"/>
      <c r="E465" s="16"/>
      <c r="F465" s="16"/>
      <c r="G465" s="16"/>
      <c r="H465" s="16"/>
      <c r="I465" s="16"/>
      <c r="J465" s="16"/>
      <c r="K465" s="16"/>
      <c r="L465" s="16"/>
      <c r="M465" s="16"/>
      <c r="N465" s="21"/>
      <c r="O465" s="30"/>
      <c r="P465" s="91"/>
      <c r="R465" s="223"/>
      <c r="S465" s="54"/>
      <c r="V465" s="102"/>
      <c r="W465" s="191"/>
      <c r="X465" s="86"/>
      <c r="Z465" s="131"/>
      <c r="AA465" s="14"/>
      <c r="AG465" s="86"/>
      <c r="AJ465" s="86"/>
    </row>
    <row r="466">
      <c r="C466" s="88"/>
      <c r="D466" s="16"/>
      <c r="E466" s="16"/>
      <c r="F466" s="16"/>
      <c r="G466" s="16"/>
      <c r="H466" s="16"/>
      <c r="I466" s="16"/>
      <c r="J466" s="16"/>
      <c r="K466" s="16"/>
      <c r="L466" s="16"/>
      <c r="M466" s="16"/>
      <c r="N466" s="21"/>
      <c r="O466" s="30"/>
      <c r="P466" s="91"/>
      <c r="R466" s="223"/>
      <c r="S466" s="54"/>
      <c r="V466" s="102"/>
      <c r="W466" s="191"/>
      <c r="X466" s="86"/>
      <c r="Z466" s="131"/>
      <c r="AA466" s="14"/>
      <c r="AG466" s="86"/>
      <c r="AJ466" s="86"/>
    </row>
    <row r="467">
      <c r="C467" s="88"/>
      <c r="D467" s="16"/>
      <c r="E467" s="16"/>
      <c r="F467" s="16"/>
      <c r="G467" s="16"/>
      <c r="H467" s="16"/>
      <c r="I467" s="16"/>
      <c r="J467" s="16"/>
      <c r="K467" s="16"/>
      <c r="L467" s="16"/>
      <c r="M467" s="16"/>
      <c r="N467" s="21"/>
      <c r="O467" s="30"/>
      <c r="P467" s="91"/>
      <c r="R467" s="223"/>
      <c r="S467" s="54"/>
      <c r="V467" s="102"/>
      <c r="W467" s="191"/>
      <c r="X467" s="86"/>
      <c r="Z467" s="131"/>
      <c r="AA467" s="14"/>
      <c r="AG467" s="86"/>
      <c r="AJ467" s="86"/>
    </row>
    <row r="468">
      <c r="C468" s="88"/>
      <c r="D468" s="16"/>
      <c r="E468" s="16"/>
      <c r="F468" s="16"/>
      <c r="G468" s="16"/>
      <c r="H468" s="16"/>
      <c r="I468" s="16"/>
      <c r="J468" s="16"/>
      <c r="K468" s="16"/>
      <c r="L468" s="16"/>
      <c r="M468" s="16"/>
      <c r="N468" s="21"/>
      <c r="O468" s="30"/>
      <c r="P468" s="91"/>
      <c r="R468" s="223"/>
      <c r="S468" s="54"/>
      <c r="V468" s="102"/>
      <c r="W468" s="191"/>
      <c r="X468" s="86"/>
      <c r="Z468" s="131"/>
      <c r="AA468" s="14"/>
      <c r="AG468" s="86"/>
      <c r="AJ468" s="86"/>
    </row>
    <row r="469">
      <c r="C469" s="88"/>
      <c r="D469" s="16"/>
      <c r="E469" s="16"/>
      <c r="F469" s="16"/>
      <c r="G469" s="16"/>
      <c r="H469" s="16"/>
      <c r="I469" s="16"/>
      <c r="J469" s="16"/>
      <c r="K469" s="16"/>
      <c r="L469" s="16"/>
      <c r="M469" s="16"/>
      <c r="N469" s="21"/>
      <c r="O469" s="30"/>
      <c r="P469" s="91"/>
      <c r="R469" s="223"/>
      <c r="S469" s="54"/>
      <c r="V469" s="102"/>
      <c r="W469" s="191"/>
      <c r="X469" s="86"/>
      <c r="Z469" s="131"/>
      <c r="AA469" s="14"/>
      <c r="AG469" s="86"/>
      <c r="AJ469" s="86"/>
    </row>
    <row r="470">
      <c r="C470" s="88"/>
      <c r="D470" s="16"/>
      <c r="E470" s="16"/>
      <c r="F470" s="16"/>
      <c r="G470" s="16"/>
      <c r="H470" s="16"/>
      <c r="I470" s="16"/>
      <c r="J470" s="16"/>
      <c r="K470" s="16"/>
      <c r="L470" s="16"/>
      <c r="M470" s="16"/>
      <c r="N470" s="21"/>
      <c r="O470" s="30"/>
      <c r="P470" s="91"/>
      <c r="R470" s="223"/>
      <c r="S470" s="54"/>
      <c r="V470" s="102"/>
      <c r="W470" s="191"/>
      <c r="X470" s="86"/>
      <c r="Z470" s="131"/>
      <c r="AA470" s="14"/>
      <c r="AG470" s="86"/>
      <c r="AJ470" s="86"/>
    </row>
    <row r="471">
      <c r="C471" s="88"/>
      <c r="D471" s="16"/>
      <c r="E471" s="16"/>
      <c r="F471" s="16"/>
      <c r="G471" s="16"/>
      <c r="H471" s="16"/>
      <c r="I471" s="16"/>
      <c r="J471" s="16"/>
      <c r="K471" s="16"/>
      <c r="L471" s="16"/>
      <c r="M471" s="16"/>
      <c r="N471" s="21"/>
      <c r="O471" s="30"/>
      <c r="P471" s="91"/>
      <c r="R471" s="223"/>
      <c r="S471" s="54"/>
      <c r="V471" s="102"/>
      <c r="W471" s="191"/>
      <c r="X471" s="86"/>
      <c r="Z471" s="131"/>
      <c r="AA471" s="14"/>
      <c r="AG471" s="86"/>
      <c r="AJ471" s="86"/>
    </row>
    <row r="472">
      <c r="C472" s="88"/>
      <c r="D472" s="16"/>
      <c r="E472" s="16"/>
      <c r="F472" s="16"/>
      <c r="G472" s="16"/>
      <c r="H472" s="16"/>
      <c r="I472" s="16"/>
      <c r="J472" s="16"/>
      <c r="K472" s="16"/>
      <c r="L472" s="16"/>
      <c r="M472" s="16"/>
      <c r="N472" s="21"/>
      <c r="O472" s="30"/>
      <c r="P472" s="91"/>
      <c r="R472" s="223"/>
      <c r="S472" s="54"/>
      <c r="V472" s="102"/>
      <c r="W472" s="191"/>
      <c r="X472" s="86"/>
      <c r="Z472" s="131"/>
      <c r="AA472" s="14"/>
      <c r="AG472" s="86"/>
      <c r="AJ472" s="86"/>
    </row>
    <row r="473">
      <c r="C473" s="88"/>
      <c r="D473" s="16"/>
      <c r="E473" s="16"/>
      <c r="F473" s="16"/>
      <c r="G473" s="16"/>
      <c r="H473" s="16"/>
      <c r="I473" s="16"/>
      <c r="J473" s="16"/>
      <c r="K473" s="16"/>
      <c r="L473" s="16"/>
      <c r="M473" s="16"/>
      <c r="N473" s="21"/>
      <c r="O473" s="30"/>
      <c r="P473" s="91"/>
      <c r="R473" s="223"/>
      <c r="S473" s="54"/>
      <c r="V473" s="102"/>
      <c r="W473" s="191"/>
      <c r="X473" s="86"/>
      <c r="Z473" s="131"/>
      <c r="AA473" s="14"/>
      <c r="AG473" s="86"/>
      <c r="AJ473" s="86"/>
    </row>
    <row r="474">
      <c r="C474" s="88"/>
      <c r="D474" s="16"/>
      <c r="E474" s="16"/>
      <c r="F474" s="16"/>
      <c r="G474" s="16"/>
      <c r="H474" s="16"/>
      <c r="I474" s="16"/>
      <c r="J474" s="16"/>
      <c r="K474" s="16"/>
      <c r="L474" s="16"/>
      <c r="M474" s="16"/>
      <c r="N474" s="21"/>
      <c r="O474" s="30"/>
      <c r="P474" s="91"/>
      <c r="R474" s="223"/>
      <c r="S474" s="54"/>
      <c r="V474" s="102"/>
      <c r="W474" s="191"/>
      <c r="X474" s="86"/>
      <c r="Z474" s="131"/>
      <c r="AA474" s="14"/>
      <c r="AG474" s="86"/>
      <c r="AJ474" s="86"/>
    </row>
    <row r="475">
      <c r="C475" s="88"/>
      <c r="D475" s="16"/>
      <c r="E475" s="16"/>
      <c r="F475" s="16"/>
      <c r="G475" s="16"/>
      <c r="H475" s="16"/>
      <c r="I475" s="16"/>
      <c r="J475" s="16"/>
      <c r="K475" s="16"/>
      <c r="L475" s="16"/>
      <c r="M475" s="16"/>
      <c r="N475" s="21"/>
      <c r="O475" s="30"/>
      <c r="P475" s="91"/>
      <c r="R475" s="223"/>
      <c r="S475" s="54"/>
      <c r="V475" s="102"/>
      <c r="W475" s="191"/>
      <c r="X475" s="86"/>
      <c r="Z475" s="131"/>
      <c r="AA475" s="14"/>
      <c r="AG475" s="86"/>
      <c r="AJ475" s="86"/>
    </row>
    <row r="476">
      <c r="C476" s="88"/>
      <c r="D476" s="16"/>
      <c r="E476" s="16"/>
      <c r="F476" s="16"/>
      <c r="G476" s="16"/>
      <c r="H476" s="16"/>
      <c r="I476" s="16"/>
      <c r="J476" s="16"/>
      <c r="K476" s="16"/>
      <c r="L476" s="16"/>
      <c r="M476" s="16"/>
      <c r="N476" s="21"/>
      <c r="O476" s="30"/>
      <c r="P476" s="91"/>
      <c r="R476" s="223"/>
      <c r="S476" s="54"/>
      <c r="V476" s="102"/>
      <c r="W476" s="191"/>
      <c r="X476" s="86"/>
      <c r="Z476" s="131"/>
      <c r="AA476" s="14"/>
      <c r="AG476" s="86"/>
      <c r="AJ476" s="86"/>
    </row>
    <row r="477">
      <c r="C477" s="88"/>
      <c r="D477" s="16"/>
      <c r="E477" s="16"/>
      <c r="F477" s="16"/>
      <c r="G477" s="16"/>
      <c r="H477" s="16"/>
      <c r="I477" s="16"/>
      <c r="J477" s="16"/>
      <c r="K477" s="16"/>
      <c r="L477" s="16"/>
      <c r="M477" s="16"/>
      <c r="N477" s="21"/>
      <c r="O477" s="30"/>
      <c r="P477" s="91"/>
      <c r="R477" s="223"/>
      <c r="S477" s="54"/>
      <c r="V477" s="102"/>
      <c r="W477" s="191"/>
      <c r="X477" s="86"/>
      <c r="Z477" s="131"/>
      <c r="AA477" s="14"/>
      <c r="AG477" s="86"/>
      <c r="AJ477" s="86"/>
    </row>
    <row r="478">
      <c r="C478" s="88"/>
      <c r="D478" s="16"/>
      <c r="E478" s="16"/>
      <c r="F478" s="16"/>
      <c r="G478" s="16"/>
      <c r="H478" s="16"/>
      <c r="I478" s="16"/>
      <c r="J478" s="16"/>
      <c r="K478" s="16"/>
      <c r="L478" s="16"/>
      <c r="M478" s="16"/>
      <c r="N478" s="21"/>
      <c r="O478" s="30"/>
      <c r="P478" s="91"/>
      <c r="R478" s="223"/>
      <c r="S478" s="54"/>
      <c r="V478" s="102"/>
      <c r="W478" s="191"/>
      <c r="X478" s="86"/>
      <c r="Z478" s="131"/>
      <c r="AA478" s="14"/>
      <c r="AG478" s="86"/>
      <c r="AJ478" s="86"/>
    </row>
    <row r="479">
      <c r="C479" s="88"/>
      <c r="D479" s="16"/>
      <c r="E479" s="16"/>
      <c r="F479" s="16"/>
      <c r="G479" s="16"/>
      <c r="H479" s="16"/>
      <c r="I479" s="16"/>
      <c r="J479" s="16"/>
      <c r="K479" s="16"/>
      <c r="L479" s="16"/>
      <c r="M479" s="16"/>
      <c r="N479" s="21"/>
      <c r="O479" s="30"/>
      <c r="P479" s="91"/>
      <c r="R479" s="223"/>
      <c r="S479" s="54"/>
      <c r="V479" s="102"/>
      <c r="W479" s="191"/>
      <c r="X479" s="86"/>
      <c r="Z479" s="131"/>
      <c r="AA479" s="14"/>
      <c r="AG479" s="86"/>
      <c r="AJ479" s="86"/>
    </row>
    <row r="480">
      <c r="C480" s="88"/>
      <c r="D480" s="16"/>
      <c r="E480" s="16"/>
      <c r="F480" s="16"/>
      <c r="G480" s="16"/>
      <c r="H480" s="16"/>
      <c r="I480" s="16"/>
      <c r="J480" s="16"/>
      <c r="K480" s="16"/>
      <c r="L480" s="16"/>
      <c r="M480" s="16"/>
      <c r="N480" s="21"/>
      <c r="O480" s="30"/>
      <c r="P480" s="91"/>
      <c r="R480" s="223"/>
      <c r="S480" s="54"/>
      <c r="V480" s="102"/>
      <c r="W480" s="191"/>
      <c r="X480" s="86"/>
      <c r="Z480" s="131"/>
      <c r="AA480" s="14"/>
      <c r="AG480" s="86"/>
      <c r="AJ480" s="86"/>
    </row>
    <row r="481">
      <c r="C481" s="88"/>
      <c r="D481" s="16"/>
      <c r="E481" s="16"/>
      <c r="F481" s="16"/>
      <c r="G481" s="16"/>
      <c r="H481" s="16"/>
      <c r="I481" s="16"/>
      <c r="J481" s="16"/>
      <c r="K481" s="16"/>
      <c r="L481" s="16"/>
      <c r="M481" s="16"/>
      <c r="N481" s="21"/>
      <c r="O481" s="30"/>
      <c r="P481" s="91"/>
      <c r="R481" s="223"/>
      <c r="S481" s="54"/>
      <c r="V481" s="102"/>
      <c r="W481" s="191"/>
      <c r="X481" s="86"/>
      <c r="Z481" s="131"/>
      <c r="AA481" s="14"/>
      <c r="AG481" s="86"/>
      <c r="AJ481" s="86"/>
    </row>
    <row r="482">
      <c r="C482" s="88"/>
      <c r="D482" s="16"/>
      <c r="E482" s="16"/>
      <c r="F482" s="16"/>
      <c r="G482" s="16"/>
      <c r="H482" s="16"/>
      <c r="I482" s="16"/>
      <c r="J482" s="16"/>
      <c r="K482" s="16"/>
      <c r="L482" s="16"/>
      <c r="M482" s="16"/>
      <c r="N482" s="21"/>
      <c r="O482" s="30"/>
      <c r="P482" s="91"/>
      <c r="R482" s="223"/>
      <c r="S482" s="54"/>
      <c r="V482" s="102"/>
      <c r="W482" s="191"/>
      <c r="X482" s="86"/>
      <c r="Z482" s="131"/>
      <c r="AA482" s="14"/>
      <c r="AG482" s="86"/>
      <c r="AJ482" s="86"/>
    </row>
    <row r="483">
      <c r="C483" s="88"/>
      <c r="D483" s="16"/>
      <c r="E483" s="16"/>
      <c r="F483" s="16"/>
      <c r="G483" s="16"/>
      <c r="H483" s="16"/>
      <c r="I483" s="16"/>
      <c r="J483" s="16"/>
      <c r="K483" s="16"/>
      <c r="L483" s="16"/>
      <c r="M483" s="16"/>
      <c r="N483" s="21"/>
      <c r="O483" s="30"/>
      <c r="P483" s="91"/>
      <c r="R483" s="223"/>
      <c r="S483" s="54"/>
      <c r="V483" s="102"/>
      <c r="W483" s="191"/>
      <c r="X483" s="86"/>
      <c r="Z483" s="131"/>
      <c r="AA483" s="14"/>
      <c r="AG483" s="86"/>
      <c r="AJ483" s="86"/>
    </row>
    <row r="484">
      <c r="C484" s="88"/>
      <c r="D484" s="16"/>
      <c r="E484" s="16"/>
      <c r="F484" s="16"/>
      <c r="G484" s="16"/>
      <c r="H484" s="16"/>
      <c r="I484" s="16"/>
      <c r="J484" s="16"/>
      <c r="K484" s="16"/>
      <c r="L484" s="16"/>
      <c r="M484" s="16"/>
      <c r="N484" s="21"/>
      <c r="O484" s="30"/>
      <c r="P484" s="91"/>
      <c r="R484" s="223"/>
      <c r="S484" s="54"/>
      <c r="V484" s="102"/>
      <c r="W484" s="191"/>
      <c r="X484" s="86"/>
      <c r="Z484" s="131"/>
      <c r="AA484" s="14"/>
      <c r="AG484" s="86"/>
      <c r="AJ484" s="86"/>
    </row>
    <row r="485">
      <c r="C485" s="88"/>
      <c r="D485" s="16"/>
      <c r="E485" s="16"/>
      <c r="F485" s="16"/>
      <c r="G485" s="16"/>
      <c r="H485" s="16"/>
      <c r="I485" s="16"/>
      <c r="J485" s="16"/>
      <c r="K485" s="16"/>
      <c r="L485" s="16"/>
      <c r="M485" s="16"/>
      <c r="N485" s="21"/>
      <c r="O485" s="30"/>
      <c r="P485" s="91"/>
      <c r="R485" s="223"/>
      <c r="S485" s="54"/>
      <c r="V485" s="102"/>
      <c r="W485" s="191"/>
      <c r="X485" s="86"/>
      <c r="Z485" s="131"/>
      <c r="AA485" s="14"/>
      <c r="AG485" s="86"/>
      <c r="AJ485" s="86"/>
    </row>
    <row r="486">
      <c r="C486" s="88"/>
      <c r="D486" s="16"/>
      <c r="E486" s="16"/>
      <c r="F486" s="16"/>
      <c r="G486" s="16"/>
      <c r="H486" s="16"/>
      <c r="I486" s="16"/>
      <c r="J486" s="16"/>
      <c r="K486" s="16"/>
      <c r="L486" s="16"/>
      <c r="M486" s="16"/>
      <c r="N486" s="21"/>
      <c r="O486" s="30"/>
      <c r="P486" s="91"/>
      <c r="R486" s="223"/>
      <c r="S486" s="54"/>
      <c r="V486" s="102"/>
      <c r="W486" s="191"/>
      <c r="X486" s="86"/>
      <c r="Z486" s="131"/>
      <c r="AA486" s="14"/>
      <c r="AG486" s="86"/>
      <c r="AJ486" s="86"/>
    </row>
    <row r="487">
      <c r="C487" s="88"/>
      <c r="D487" s="16"/>
      <c r="E487" s="16"/>
      <c r="F487" s="16"/>
      <c r="G487" s="16"/>
      <c r="H487" s="16"/>
      <c r="I487" s="16"/>
      <c r="J487" s="16"/>
      <c r="K487" s="16"/>
      <c r="L487" s="16"/>
      <c r="M487" s="16"/>
      <c r="N487" s="21"/>
      <c r="O487" s="30"/>
      <c r="P487" s="91"/>
      <c r="R487" s="223"/>
      <c r="S487" s="54"/>
      <c r="V487" s="102"/>
      <c r="W487" s="191"/>
      <c r="X487" s="86"/>
      <c r="Z487" s="131"/>
      <c r="AA487" s="14"/>
      <c r="AG487" s="86"/>
      <c r="AJ487" s="86"/>
    </row>
    <row r="488">
      <c r="C488" s="88"/>
      <c r="D488" s="16"/>
      <c r="E488" s="16"/>
      <c r="F488" s="16"/>
      <c r="G488" s="16"/>
      <c r="H488" s="16"/>
      <c r="I488" s="16"/>
      <c r="J488" s="16"/>
      <c r="K488" s="16"/>
      <c r="L488" s="16"/>
      <c r="M488" s="16"/>
      <c r="N488" s="21"/>
      <c r="O488" s="30"/>
      <c r="P488" s="91"/>
      <c r="R488" s="223"/>
      <c r="S488" s="54"/>
      <c r="V488" s="102"/>
      <c r="W488" s="191"/>
      <c r="X488" s="86"/>
      <c r="Z488" s="131"/>
      <c r="AA488" s="14"/>
      <c r="AG488" s="86"/>
      <c r="AJ488" s="86"/>
    </row>
    <row r="489">
      <c r="C489" s="88"/>
      <c r="D489" s="16"/>
      <c r="E489" s="16"/>
      <c r="F489" s="16"/>
      <c r="G489" s="16"/>
      <c r="H489" s="16"/>
      <c r="I489" s="16"/>
      <c r="J489" s="16"/>
      <c r="K489" s="16"/>
      <c r="L489" s="16"/>
      <c r="M489" s="16"/>
      <c r="N489" s="21"/>
      <c r="O489" s="30"/>
      <c r="P489" s="91"/>
      <c r="R489" s="223"/>
      <c r="S489" s="54"/>
      <c r="V489" s="102"/>
      <c r="W489" s="191"/>
      <c r="X489" s="86"/>
      <c r="Z489" s="131"/>
      <c r="AA489" s="14"/>
      <c r="AG489" s="86"/>
      <c r="AJ489" s="86"/>
    </row>
    <row r="490">
      <c r="C490" s="88"/>
      <c r="D490" s="16"/>
      <c r="E490" s="16"/>
      <c r="F490" s="16"/>
      <c r="G490" s="16"/>
      <c r="H490" s="16"/>
      <c r="I490" s="16"/>
      <c r="J490" s="16"/>
      <c r="K490" s="16"/>
      <c r="L490" s="16"/>
      <c r="M490" s="16"/>
      <c r="N490" s="21"/>
      <c r="O490" s="30"/>
      <c r="P490" s="91"/>
      <c r="R490" s="223"/>
      <c r="S490" s="54"/>
      <c r="V490" s="102"/>
      <c r="W490" s="191"/>
      <c r="X490" s="86"/>
      <c r="Z490" s="131"/>
      <c r="AA490" s="14"/>
      <c r="AG490" s="86"/>
      <c r="AJ490" s="86"/>
    </row>
    <row r="491">
      <c r="C491" s="88"/>
      <c r="D491" s="16"/>
      <c r="E491" s="16"/>
      <c r="F491" s="16"/>
      <c r="G491" s="16"/>
      <c r="H491" s="16"/>
      <c r="I491" s="16"/>
      <c r="J491" s="16"/>
      <c r="K491" s="16"/>
      <c r="L491" s="16"/>
      <c r="M491" s="16"/>
      <c r="N491" s="21"/>
      <c r="O491" s="30"/>
      <c r="P491" s="91"/>
      <c r="R491" s="223"/>
      <c r="S491" s="54"/>
      <c r="V491" s="102"/>
      <c r="W491" s="191"/>
      <c r="X491" s="86"/>
      <c r="Z491" s="131"/>
      <c r="AA491" s="14"/>
      <c r="AG491" s="86"/>
      <c r="AJ491" s="86"/>
    </row>
    <row r="492">
      <c r="C492" s="88"/>
      <c r="D492" s="16"/>
      <c r="E492" s="16"/>
      <c r="F492" s="16"/>
      <c r="G492" s="16"/>
      <c r="H492" s="16"/>
      <c r="I492" s="16"/>
      <c r="J492" s="16"/>
      <c r="K492" s="16"/>
      <c r="L492" s="16"/>
      <c r="M492" s="16"/>
      <c r="N492" s="21"/>
      <c r="O492" s="30"/>
      <c r="P492" s="91"/>
      <c r="R492" s="223"/>
      <c r="S492" s="54"/>
      <c r="V492" s="102"/>
      <c r="W492" s="191"/>
      <c r="X492" s="86"/>
      <c r="Z492" s="131"/>
      <c r="AA492" s="14"/>
      <c r="AG492" s="86"/>
      <c r="AJ492" s="86"/>
    </row>
    <row r="493">
      <c r="C493" s="88"/>
      <c r="D493" s="16"/>
      <c r="E493" s="16"/>
      <c r="F493" s="16"/>
      <c r="G493" s="16"/>
      <c r="H493" s="16"/>
      <c r="I493" s="16"/>
      <c r="J493" s="16"/>
      <c r="K493" s="16"/>
      <c r="L493" s="16"/>
      <c r="M493" s="16"/>
      <c r="N493" s="21"/>
      <c r="O493" s="30"/>
      <c r="P493" s="91"/>
      <c r="R493" s="223"/>
      <c r="S493" s="54"/>
      <c r="V493" s="102"/>
      <c r="W493" s="191"/>
      <c r="X493" s="86"/>
      <c r="Z493" s="131"/>
      <c r="AA493" s="14"/>
      <c r="AG493" s="86"/>
      <c r="AJ493" s="86"/>
    </row>
    <row r="494">
      <c r="C494" s="88"/>
      <c r="D494" s="16"/>
      <c r="E494" s="16"/>
      <c r="F494" s="16"/>
      <c r="G494" s="16"/>
      <c r="H494" s="16"/>
      <c r="I494" s="16"/>
      <c r="J494" s="16"/>
      <c r="K494" s="16"/>
      <c r="L494" s="16"/>
      <c r="M494" s="16"/>
      <c r="N494" s="21"/>
      <c r="O494" s="30"/>
      <c r="P494" s="91"/>
      <c r="R494" s="223"/>
      <c r="S494" s="54"/>
      <c r="V494" s="102"/>
      <c r="W494" s="191"/>
      <c r="X494" s="86"/>
      <c r="Z494" s="131"/>
      <c r="AA494" s="14"/>
      <c r="AG494" s="86"/>
      <c r="AJ494" s="86"/>
    </row>
    <row r="495">
      <c r="C495" s="88"/>
      <c r="D495" s="16"/>
      <c r="E495" s="16"/>
      <c r="F495" s="16"/>
      <c r="G495" s="16"/>
      <c r="H495" s="16"/>
      <c r="I495" s="16"/>
      <c r="J495" s="16"/>
      <c r="K495" s="16"/>
      <c r="L495" s="16"/>
      <c r="M495" s="16"/>
      <c r="N495" s="21"/>
      <c r="O495" s="30"/>
      <c r="P495" s="91"/>
      <c r="R495" s="223"/>
      <c r="S495" s="54"/>
      <c r="V495" s="102"/>
      <c r="W495" s="191"/>
      <c r="X495" s="86"/>
      <c r="Z495" s="131"/>
      <c r="AA495" s="14"/>
      <c r="AG495" s="86"/>
      <c r="AJ495" s="86"/>
    </row>
    <row r="496">
      <c r="C496" s="88"/>
      <c r="D496" s="16"/>
      <c r="E496" s="16"/>
      <c r="F496" s="16"/>
      <c r="G496" s="16"/>
      <c r="H496" s="16"/>
      <c r="I496" s="16"/>
      <c r="J496" s="16"/>
      <c r="K496" s="16"/>
      <c r="L496" s="16"/>
      <c r="M496" s="16"/>
      <c r="N496" s="21"/>
      <c r="O496" s="30"/>
      <c r="P496" s="91"/>
      <c r="R496" s="223"/>
      <c r="S496" s="54"/>
      <c r="V496" s="102"/>
      <c r="W496" s="191"/>
      <c r="X496" s="86"/>
      <c r="Z496" s="131"/>
      <c r="AA496" s="14"/>
      <c r="AG496" s="86"/>
      <c r="AJ496" s="86"/>
    </row>
    <row r="497">
      <c r="C497" s="88"/>
      <c r="D497" s="16"/>
      <c r="E497" s="16"/>
      <c r="F497" s="16"/>
      <c r="G497" s="16"/>
      <c r="H497" s="16"/>
      <c r="I497" s="16"/>
      <c r="J497" s="16"/>
      <c r="K497" s="16"/>
      <c r="L497" s="16"/>
      <c r="M497" s="16"/>
      <c r="N497" s="21"/>
      <c r="O497" s="30"/>
      <c r="P497" s="91"/>
      <c r="R497" s="223"/>
      <c r="S497" s="54"/>
      <c r="V497" s="102"/>
      <c r="W497" s="191"/>
      <c r="X497" s="86"/>
      <c r="Z497" s="131"/>
      <c r="AA497" s="14"/>
      <c r="AG497" s="86"/>
      <c r="AJ497" s="86"/>
    </row>
    <row r="498">
      <c r="C498" s="88"/>
      <c r="D498" s="16"/>
      <c r="E498" s="16"/>
      <c r="F498" s="16"/>
      <c r="G498" s="16"/>
      <c r="H498" s="16"/>
      <c r="I498" s="16"/>
      <c r="J498" s="16"/>
      <c r="K498" s="16"/>
      <c r="L498" s="16"/>
      <c r="M498" s="16"/>
      <c r="N498" s="21"/>
      <c r="O498" s="30"/>
      <c r="P498" s="91"/>
      <c r="R498" s="223"/>
      <c r="S498" s="54"/>
      <c r="V498" s="102"/>
      <c r="W498" s="191"/>
      <c r="X498" s="86"/>
      <c r="Z498" s="131"/>
      <c r="AA498" s="14"/>
      <c r="AG498" s="86"/>
      <c r="AJ498" s="86"/>
    </row>
    <row r="499">
      <c r="C499" s="88"/>
      <c r="D499" s="16"/>
      <c r="E499" s="16"/>
      <c r="F499" s="16"/>
      <c r="G499" s="16"/>
      <c r="H499" s="16"/>
      <c r="I499" s="16"/>
      <c r="J499" s="16"/>
      <c r="K499" s="16"/>
      <c r="L499" s="16"/>
      <c r="M499" s="16"/>
      <c r="N499" s="21"/>
      <c r="O499" s="30"/>
      <c r="P499" s="91"/>
      <c r="R499" s="223"/>
      <c r="S499" s="54"/>
      <c r="V499" s="102"/>
      <c r="W499" s="191"/>
      <c r="X499" s="86"/>
      <c r="Z499" s="131"/>
      <c r="AA499" s="14"/>
      <c r="AG499" s="86"/>
      <c r="AJ499" s="86"/>
    </row>
    <row r="500">
      <c r="C500" s="88"/>
      <c r="D500" s="16"/>
      <c r="E500" s="16"/>
      <c r="F500" s="16"/>
      <c r="G500" s="16"/>
      <c r="H500" s="16"/>
      <c r="I500" s="16"/>
      <c r="J500" s="16"/>
      <c r="K500" s="16"/>
      <c r="L500" s="16"/>
      <c r="M500" s="16"/>
      <c r="N500" s="21"/>
      <c r="O500" s="30"/>
      <c r="P500" s="91"/>
      <c r="R500" s="223"/>
      <c r="S500" s="54"/>
      <c r="V500" s="102"/>
      <c r="W500" s="191"/>
      <c r="X500" s="86"/>
      <c r="Z500" s="131"/>
      <c r="AA500" s="14"/>
      <c r="AG500" s="86"/>
      <c r="AJ500" s="86"/>
    </row>
    <row r="501">
      <c r="C501" s="88"/>
      <c r="D501" s="16"/>
      <c r="E501" s="16"/>
      <c r="F501" s="16"/>
      <c r="G501" s="16"/>
      <c r="H501" s="16"/>
      <c r="I501" s="16"/>
      <c r="J501" s="16"/>
      <c r="K501" s="16"/>
      <c r="L501" s="16"/>
      <c r="M501" s="16"/>
      <c r="N501" s="21"/>
      <c r="O501" s="30"/>
      <c r="P501" s="91"/>
      <c r="R501" s="223"/>
      <c r="S501" s="54"/>
      <c r="V501" s="102"/>
      <c r="W501" s="191"/>
      <c r="X501" s="86"/>
      <c r="Z501" s="131"/>
      <c r="AA501" s="14"/>
      <c r="AG501" s="86"/>
      <c r="AJ501" s="86"/>
    </row>
    <row r="502">
      <c r="C502" s="88"/>
      <c r="D502" s="16"/>
      <c r="E502" s="16"/>
      <c r="F502" s="16"/>
      <c r="G502" s="16"/>
      <c r="H502" s="16"/>
      <c r="I502" s="16"/>
      <c r="J502" s="16"/>
      <c r="K502" s="16"/>
      <c r="L502" s="16"/>
      <c r="M502" s="16"/>
      <c r="N502" s="21"/>
      <c r="O502" s="30"/>
      <c r="P502" s="91"/>
      <c r="R502" s="223"/>
      <c r="S502" s="54"/>
      <c r="V502" s="102"/>
      <c r="W502" s="191"/>
      <c r="X502" s="86"/>
      <c r="Z502" s="131"/>
      <c r="AA502" s="14"/>
      <c r="AG502" s="86"/>
      <c r="AJ502" s="86"/>
    </row>
    <row r="503">
      <c r="C503" s="88"/>
      <c r="D503" s="16"/>
      <c r="E503" s="16"/>
      <c r="F503" s="16"/>
      <c r="G503" s="16"/>
      <c r="H503" s="16"/>
      <c r="I503" s="16"/>
      <c r="J503" s="16"/>
      <c r="K503" s="16"/>
      <c r="L503" s="16"/>
      <c r="M503" s="16"/>
      <c r="N503" s="21"/>
      <c r="O503" s="30"/>
      <c r="P503" s="91"/>
      <c r="R503" s="223"/>
      <c r="S503" s="54"/>
      <c r="V503" s="102"/>
      <c r="W503" s="191"/>
      <c r="X503" s="86"/>
      <c r="Z503" s="131"/>
      <c r="AA503" s="14"/>
      <c r="AG503" s="86"/>
      <c r="AJ503" s="86"/>
    </row>
    <row r="504">
      <c r="C504" s="88"/>
      <c r="D504" s="16"/>
      <c r="E504" s="16"/>
      <c r="F504" s="16"/>
      <c r="G504" s="16"/>
      <c r="H504" s="16"/>
      <c r="I504" s="16"/>
      <c r="J504" s="16"/>
      <c r="K504" s="16"/>
      <c r="L504" s="16"/>
      <c r="M504" s="16"/>
      <c r="N504" s="21"/>
      <c r="O504" s="30"/>
      <c r="P504" s="91"/>
      <c r="R504" s="223"/>
      <c r="S504" s="54"/>
      <c r="V504" s="102"/>
      <c r="W504" s="191"/>
      <c r="X504" s="86"/>
      <c r="Z504" s="131"/>
      <c r="AA504" s="14"/>
      <c r="AG504" s="86"/>
      <c r="AJ504" s="86"/>
    </row>
    <row r="505">
      <c r="C505" s="88"/>
      <c r="D505" s="16"/>
      <c r="E505" s="16"/>
      <c r="F505" s="16"/>
      <c r="G505" s="16"/>
      <c r="H505" s="16"/>
      <c r="I505" s="16"/>
      <c r="J505" s="16"/>
      <c r="K505" s="16"/>
      <c r="L505" s="16"/>
      <c r="M505" s="16"/>
      <c r="N505" s="21"/>
      <c r="O505" s="30"/>
      <c r="P505" s="91"/>
      <c r="R505" s="223"/>
      <c r="S505" s="54"/>
      <c r="V505" s="102"/>
      <c r="W505" s="191"/>
      <c r="X505" s="86"/>
      <c r="Z505" s="131"/>
      <c r="AA505" s="14"/>
      <c r="AG505" s="86"/>
      <c r="AJ505" s="86"/>
    </row>
    <row r="506">
      <c r="C506" s="88"/>
      <c r="D506" s="16"/>
      <c r="E506" s="16"/>
      <c r="F506" s="16"/>
      <c r="G506" s="16"/>
      <c r="H506" s="16"/>
      <c r="I506" s="16"/>
      <c r="J506" s="16"/>
      <c r="K506" s="16"/>
      <c r="L506" s="16"/>
      <c r="M506" s="16"/>
      <c r="N506" s="21"/>
      <c r="O506" s="30"/>
      <c r="P506" s="91"/>
      <c r="R506" s="223"/>
      <c r="S506" s="54"/>
      <c r="V506" s="102"/>
      <c r="W506" s="191"/>
      <c r="X506" s="86"/>
      <c r="Z506" s="131"/>
      <c r="AA506" s="14"/>
      <c r="AG506" s="86"/>
      <c r="AJ506" s="86"/>
    </row>
    <row r="507">
      <c r="C507" s="88"/>
      <c r="D507" s="16"/>
      <c r="E507" s="16"/>
      <c r="F507" s="16"/>
      <c r="G507" s="16"/>
      <c r="H507" s="16"/>
      <c r="I507" s="16"/>
      <c r="J507" s="16"/>
      <c r="K507" s="16"/>
      <c r="L507" s="16"/>
      <c r="M507" s="16"/>
      <c r="N507" s="21"/>
      <c r="O507" s="30"/>
      <c r="P507" s="91"/>
      <c r="R507" s="223"/>
      <c r="S507" s="54"/>
      <c r="V507" s="102"/>
      <c r="W507" s="191"/>
      <c r="X507" s="86"/>
      <c r="Z507" s="131"/>
      <c r="AA507" s="14"/>
      <c r="AG507" s="86"/>
      <c r="AJ507" s="86"/>
    </row>
    <row r="508">
      <c r="C508" s="88"/>
      <c r="D508" s="16"/>
      <c r="E508" s="16"/>
      <c r="F508" s="16"/>
      <c r="G508" s="16"/>
      <c r="H508" s="16"/>
      <c r="I508" s="16"/>
      <c r="J508" s="16"/>
      <c r="K508" s="16"/>
      <c r="L508" s="16"/>
      <c r="M508" s="16"/>
      <c r="N508" s="21"/>
      <c r="O508" s="30"/>
      <c r="P508" s="91"/>
      <c r="R508" s="223"/>
      <c r="S508" s="54"/>
      <c r="V508" s="102"/>
      <c r="W508" s="191"/>
      <c r="X508" s="86"/>
      <c r="Z508" s="131"/>
      <c r="AA508" s="14"/>
      <c r="AG508" s="86"/>
      <c r="AJ508" s="86"/>
    </row>
    <row r="509">
      <c r="C509" s="88"/>
      <c r="D509" s="16"/>
      <c r="E509" s="16"/>
      <c r="F509" s="16"/>
      <c r="G509" s="16"/>
      <c r="H509" s="16"/>
      <c r="I509" s="16"/>
      <c r="J509" s="16"/>
      <c r="K509" s="16"/>
      <c r="L509" s="16"/>
      <c r="M509" s="16"/>
      <c r="N509" s="21"/>
      <c r="O509" s="30"/>
      <c r="P509" s="91"/>
      <c r="R509" s="223"/>
      <c r="S509" s="54"/>
      <c r="V509" s="102"/>
      <c r="W509" s="191"/>
      <c r="X509" s="86"/>
      <c r="Z509" s="131"/>
      <c r="AA509" s="14"/>
      <c r="AG509" s="86"/>
      <c r="AJ509" s="86"/>
    </row>
    <row r="510">
      <c r="C510" s="88"/>
      <c r="D510" s="16"/>
      <c r="E510" s="16"/>
      <c r="F510" s="16"/>
      <c r="G510" s="16"/>
      <c r="H510" s="16"/>
      <c r="I510" s="16"/>
      <c r="J510" s="16"/>
      <c r="K510" s="16"/>
      <c r="L510" s="16"/>
      <c r="M510" s="16"/>
      <c r="N510" s="21"/>
      <c r="O510" s="30"/>
      <c r="P510" s="91"/>
      <c r="R510" s="223"/>
      <c r="S510" s="54"/>
      <c r="V510" s="102"/>
      <c r="W510" s="191"/>
      <c r="X510" s="86"/>
      <c r="Z510" s="131"/>
      <c r="AA510" s="14"/>
      <c r="AG510" s="86"/>
      <c r="AJ510" s="86"/>
    </row>
    <row r="511">
      <c r="C511" s="88"/>
      <c r="D511" s="16"/>
      <c r="E511" s="16"/>
      <c r="F511" s="16"/>
      <c r="G511" s="16"/>
      <c r="H511" s="16"/>
      <c r="I511" s="16"/>
      <c r="J511" s="16"/>
      <c r="K511" s="16"/>
      <c r="L511" s="16"/>
      <c r="M511" s="16"/>
      <c r="N511" s="21"/>
      <c r="O511" s="30"/>
      <c r="P511" s="91"/>
      <c r="R511" s="223"/>
      <c r="S511" s="54"/>
      <c r="V511" s="102"/>
      <c r="W511" s="191"/>
      <c r="X511" s="86"/>
      <c r="Z511" s="131"/>
      <c r="AA511" s="14"/>
      <c r="AG511" s="86"/>
      <c r="AJ511" s="86"/>
    </row>
    <row r="512">
      <c r="C512" s="88"/>
      <c r="D512" s="16"/>
      <c r="E512" s="16"/>
      <c r="F512" s="16"/>
      <c r="G512" s="16"/>
      <c r="H512" s="16"/>
      <c r="I512" s="16"/>
      <c r="J512" s="16"/>
      <c r="K512" s="16"/>
      <c r="L512" s="16"/>
      <c r="M512" s="16"/>
      <c r="N512" s="21"/>
      <c r="O512" s="30"/>
      <c r="P512" s="91"/>
      <c r="R512" s="223"/>
      <c r="S512" s="54"/>
      <c r="V512" s="102"/>
      <c r="W512" s="191"/>
      <c r="X512" s="86"/>
      <c r="Z512" s="131"/>
      <c r="AA512" s="14"/>
      <c r="AG512" s="86"/>
      <c r="AJ512" s="86"/>
    </row>
    <row r="513">
      <c r="C513" s="88"/>
      <c r="D513" s="16"/>
      <c r="E513" s="16"/>
      <c r="F513" s="16"/>
      <c r="G513" s="16"/>
      <c r="H513" s="16"/>
      <c r="I513" s="16"/>
      <c r="J513" s="16"/>
      <c r="K513" s="16"/>
      <c r="L513" s="16"/>
      <c r="M513" s="16"/>
      <c r="N513" s="21"/>
      <c r="O513" s="30"/>
      <c r="P513" s="91"/>
      <c r="R513" s="223"/>
      <c r="S513" s="54"/>
      <c r="V513" s="102"/>
      <c r="W513" s="191"/>
      <c r="X513" s="86"/>
      <c r="Z513" s="131"/>
      <c r="AA513" s="14"/>
      <c r="AG513" s="86"/>
      <c r="AJ513" s="86"/>
    </row>
    <row r="514">
      <c r="C514" s="88"/>
      <c r="D514" s="16"/>
      <c r="E514" s="16"/>
      <c r="F514" s="16"/>
      <c r="G514" s="16"/>
      <c r="H514" s="16"/>
      <c r="I514" s="16"/>
      <c r="J514" s="16"/>
      <c r="K514" s="16"/>
      <c r="L514" s="16"/>
      <c r="M514" s="16"/>
      <c r="N514" s="21"/>
      <c r="O514" s="30"/>
      <c r="P514" s="91"/>
      <c r="R514" s="223"/>
      <c r="S514" s="54"/>
      <c r="V514" s="102"/>
      <c r="W514" s="191"/>
      <c r="X514" s="86"/>
      <c r="Z514" s="131"/>
      <c r="AA514" s="14"/>
      <c r="AG514" s="86"/>
      <c r="AJ514" s="86"/>
    </row>
    <row r="515">
      <c r="C515" s="88"/>
      <c r="D515" s="16"/>
      <c r="E515" s="16"/>
      <c r="F515" s="16"/>
      <c r="G515" s="16"/>
      <c r="H515" s="16"/>
      <c r="I515" s="16"/>
      <c r="J515" s="16"/>
      <c r="K515" s="16"/>
      <c r="L515" s="16"/>
      <c r="M515" s="16"/>
      <c r="N515" s="21"/>
      <c r="O515" s="30"/>
      <c r="P515" s="91"/>
      <c r="R515" s="223"/>
      <c r="S515" s="54"/>
      <c r="V515" s="102"/>
      <c r="W515" s="191"/>
      <c r="X515" s="86"/>
      <c r="Z515" s="131"/>
      <c r="AA515" s="14"/>
      <c r="AG515" s="86"/>
      <c r="AJ515" s="86"/>
    </row>
    <row r="516">
      <c r="C516" s="88"/>
      <c r="D516" s="16"/>
      <c r="E516" s="16"/>
      <c r="F516" s="16"/>
      <c r="G516" s="16"/>
      <c r="H516" s="16"/>
      <c r="I516" s="16"/>
      <c r="J516" s="16"/>
      <c r="K516" s="16"/>
      <c r="L516" s="16"/>
      <c r="M516" s="16"/>
      <c r="N516" s="21"/>
      <c r="O516" s="30"/>
      <c r="P516" s="91"/>
      <c r="R516" s="223"/>
      <c r="S516" s="54"/>
      <c r="V516" s="102"/>
      <c r="W516" s="191"/>
      <c r="X516" s="86"/>
      <c r="Z516" s="131"/>
      <c r="AA516" s="14"/>
      <c r="AG516" s="86"/>
      <c r="AJ516" s="86"/>
    </row>
    <row r="517">
      <c r="C517" s="88"/>
      <c r="D517" s="16"/>
      <c r="E517" s="16"/>
      <c r="F517" s="16"/>
      <c r="G517" s="16"/>
      <c r="H517" s="16"/>
      <c r="I517" s="16"/>
      <c r="J517" s="16"/>
      <c r="K517" s="16"/>
      <c r="L517" s="16"/>
      <c r="M517" s="16"/>
      <c r="N517" s="21"/>
      <c r="O517" s="30"/>
      <c r="P517" s="91"/>
      <c r="R517" s="223"/>
      <c r="S517" s="54"/>
      <c r="V517" s="102"/>
      <c r="W517" s="191"/>
      <c r="X517" s="86"/>
      <c r="Z517" s="131"/>
      <c r="AA517" s="14"/>
      <c r="AG517" s="86"/>
      <c r="AJ517" s="86"/>
    </row>
    <row r="518">
      <c r="C518" s="88"/>
      <c r="D518" s="16"/>
      <c r="E518" s="16"/>
      <c r="F518" s="16"/>
      <c r="G518" s="16"/>
      <c r="H518" s="16"/>
      <c r="I518" s="16"/>
      <c r="J518" s="16"/>
      <c r="K518" s="16"/>
      <c r="L518" s="16"/>
      <c r="M518" s="16"/>
      <c r="N518" s="21"/>
      <c r="O518" s="30"/>
      <c r="P518" s="91"/>
      <c r="R518" s="223"/>
      <c r="S518" s="54"/>
      <c r="V518" s="102"/>
      <c r="W518" s="191"/>
      <c r="X518" s="86"/>
      <c r="Z518" s="131"/>
      <c r="AA518" s="14"/>
      <c r="AG518" s="86"/>
      <c r="AJ518" s="86"/>
    </row>
    <row r="519">
      <c r="C519" s="88"/>
      <c r="D519" s="16"/>
      <c r="E519" s="16"/>
      <c r="F519" s="16"/>
      <c r="G519" s="16"/>
      <c r="H519" s="16"/>
      <c r="I519" s="16"/>
      <c r="J519" s="16"/>
      <c r="K519" s="16"/>
      <c r="L519" s="16"/>
      <c r="M519" s="16"/>
      <c r="N519" s="21"/>
      <c r="O519" s="30"/>
      <c r="P519" s="91"/>
      <c r="R519" s="223"/>
      <c r="S519" s="54"/>
      <c r="V519" s="102"/>
      <c r="W519" s="191"/>
      <c r="X519" s="86"/>
      <c r="Z519" s="131"/>
      <c r="AA519" s="14"/>
      <c r="AG519" s="86"/>
      <c r="AJ519" s="86"/>
    </row>
    <row r="520">
      <c r="C520" s="88"/>
      <c r="D520" s="16"/>
      <c r="E520" s="16"/>
      <c r="F520" s="16"/>
      <c r="G520" s="16"/>
      <c r="H520" s="16"/>
      <c r="I520" s="16"/>
      <c r="J520" s="16"/>
      <c r="K520" s="16"/>
      <c r="L520" s="16"/>
      <c r="M520" s="16"/>
      <c r="N520" s="21"/>
      <c r="O520" s="30"/>
      <c r="P520" s="91"/>
      <c r="R520" s="223"/>
      <c r="S520" s="54"/>
      <c r="V520" s="102"/>
      <c r="W520" s="191"/>
      <c r="X520" s="86"/>
      <c r="Z520" s="131"/>
      <c r="AA520" s="14"/>
      <c r="AG520" s="86"/>
      <c r="AJ520" s="86"/>
    </row>
    <row r="521">
      <c r="C521" s="88"/>
      <c r="D521" s="16"/>
      <c r="E521" s="16"/>
      <c r="F521" s="16"/>
      <c r="G521" s="16"/>
      <c r="H521" s="16"/>
      <c r="I521" s="16"/>
      <c r="J521" s="16"/>
      <c r="K521" s="16"/>
      <c r="L521" s="16"/>
      <c r="M521" s="16"/>
      <c r="N521" s="21"/>
      <c r="O521" s="30"/>
      <c r="P521" s="91"/>
      <c r="R521" s="223"/>
      <c r="S521" s="54"/>
      <c r="V521" s="102"/>
      <c r="W521" s="191"/>
      <c r="X521" s="86"/>
      <c r="Z521" s="131"/>
      <c r="AA521" s="14"/>
      <c r="AG521" s="86"/>
      <c r="AJ521" s="86"/>
    </row>
    <row r="522">
      <c r="C522" s="88"/>
      <c r="D522" s="16"/>
      <c r="E522" s="16"/>
      <c r="F522" s="16"/>
      <c r="G522" s="16"/>
      <c r="H522" s="16"/>
      <c r="I522" s="16"/>
      <c r="J522" s="16"/>
      <c r="K522" s="16"/>
      <c r="L522" s="16"/>
      <c r="M522" s="16"/>
      <c r="N522" s="21"/>
      <c r="O522" s="30"/>
      <c r="P522" s="91"/>
      <c r="R522" s="223"/>
      <c r="S522" s="54"/>
      <c r="V522" s="102"/>
      <c r="W522" s="191"/>
      <c r="X522" s="86"/>
      <c r="Z522" s="131"/>
      <c r="AA522" s="14"/>
      <c r="AG522" s="86"/>
      <c r="AJ522" s="86"/>
    </row>
    <row r="523">
      <c r="C523" s="88"/>
      <c r="D523" s="16"/>
      <c r="E523" s="16"/>
      <c r="F523" s="16"/>
      <c r="G523" s="16"/>
      <c r="H523" s="16"/>
      <c r="I523" s="16"/>
      <c r="J523" s="16"/>
      <c r="K523" s="16"/>
      <c r="L523" s="16"/>
      <c r="M523" s="16"/>
      <c r="N523" s="21"/>
      <c r="O523" s="30"/>
      <c r="P523" s="91"/>
      <c r="R523" s="223"/>
      <c r="S523" s="54"/>
      <c r="V523" s="102"/>
      <c r="W523" s="191"/>
      <c r="X523" s="86"/>
      <c r="Z523" s="131"/>
      <c r="AA523" s="14"/>
      <c r="AG523" s="86"/>
      <c r="AJ523" s="86"/>
    </row>
    <row r="524">
      <c r="C524" s="88"/>
      <c r="D524" s="16"/>
      <c r="E524" s="16"/>
      <c r="F524" s="16"/>
      <c r="G524" s="16"/>
      <c r="H524" s="16"/>
      <c r="I524" s="16"/>
      <c r="J524" s="16"/>
      <c r="K524" s="16"/>
      <c r="L524" s="16"/>
      <c r="M524" s="16"/>
      <c r="N524" s="21"/>
      <c r="O524" s="30"/>
      <c r="P524" s="91"/>
      <c r="R524" s="223"/>
      <c r="S524" s="54"/>
      <c r="V524" s="102"/>
      <c r="W524" s="191"/>
      <c r="X524" s="86"/>
      <c r="Z524" s="131"/>
      <c r="AA524" s="14"/>
      <c r="AG524" s="86"/>
      <c r="AJ524" s="86"/>
    </row>
    <row r="525">
      <c r="C525" s="88"/>
      <c r="D525" s="16"/>
      <c r="E525" s="16"/>
      <c r="F525" s="16"/>
      <c r="G525" s="16"/>
      <c r="H525" s="16"/>
      <c r="I525" s="16"/>
      <c r="J525" s="16"/>
      <c r="K525" s="16"/>
      <c r="L525" s="16"/>
      <c r="M525" s="16"/>
      <c r="N525" s="21"/>
      <c r="O525" s="30"/>
      <c r="P525" s="91"/>
      <c r="R525" s="223"/>
      <c r="S525" s="54"/>
      <c r="V525" s="102"/>
      <c r="W525" s="191"/>
      <c r="X525" s="86"/>
      <c r="Z525" s="131"/>
      <c r="AA525" s="14"/>
      <c r="AG525" s="86"/>
      <c r="AJ525" s="86"/>
    </row>
    <row r="526">
      <c r="C526" s="88"/>
      <c r="D526" s="16"/>
      <c r="E526" s="16"/>
      <c r="F526" s="16"/>
      <c r="G526" s="16"/>
      <c r="H526" s="16"/>
      <c r="I526" s="16"/>
      <c r="J526" s="16"/>
      <c r="K526" s="16"/>
      <c r="L526" s="16"/>
      <c r="M526" s="16"/>
      <c r="N526" s="21"/>
      <c r="O526" s="30"/>
      <c r="P526" s="91"/>
      <c r="R526" s="223"/>
      <c r="S526" s="54"/>
      <c r="V526" s="102"/>
      <c r="W526" s="191"/>
      <c r="X526" s="86"/>
      <c r="Z526" s="131"/>
      <c r="AA526" s="14"/>
      <c r="AG526" s="86"/>
      <c r="AJ526" s="86"/>
    </row>
    <row r="527">
      <c r="C527" s="88"/>
      <c r="D527" s="16"/>
      <c r="E527" s="16"/>
      <c r="F527" s="16"/>
      <c r="G527" s="16"/>
      <c r="H527" s="16"/>
      <c r="I527" s="16"/>
      <c r="J527" s="16"/>
      <c r="K527" s="16"/>
      <c r="L527" s="16"/>
      <c r="M527" s="16"/>
      <c r="N527" s="21"/>
      <c r="O527" s="30"/>
      <c r="P527" s="91"/>
      <c r="R527" s="223"/>
      <c r="S527" s="54"/>
      <c r="V527" s="102"/>
      <c r="W527" s="191"/>
      <c r="X527" s="86"/>
      <c r="Z527" s="131"/>
      <c r="AA527" s="14"/>
      <c r="AG527" s="86"/>
      <c r="AJ527" s="86"/>
    </row>
    <row r="528">
      <c r="C528" s="88"/>
      <c r="D528" s="16"/>
      <c r="E528" s="16"/>
      <c r="F528" s="16"/>
      <c r="G528" s="16"/>
      <c r="H528" s="16"/>
      <c r="I528" s="16"/>
      <c r="J528" s="16"/>
      <c r="K528" s="16"/>
      <c r="L528" s="16"/>
      <c r="M528" s="16"/>
      <c r="N528" s="21"/>
      <c r="O528" s="30"/>
      <c r="P528" s="91"/>
      <c r="R528" s="223"/>
      <c r="S528" s="54"/>
      <c r="V528" s="102"/>
      <c r="W528" s="191"/>
      <c r="X528" s="86"/>
      <c r="Z528" s="131"/>
      <c r="AA528" s="14"/>
      <c r="AG528" s="86"/>
      <c r="AJ528" s="86"/>
    </row>
    <row r="529">
      <c r="C529" s="88"/>
      <c r="D529" s="16"/>
      <c r="E529" s="16"/>
      <c r="F529" s="16"/>
      <c r="G529" s="16"/>
      <c r="H529" s="16"/>
      <c r="I529" s="16"/>
      <c r="J529" s="16"/>
      <c r="K529" s="16"/>
      <c r="L529" s="16"/>
      <c r="M529" s="16"/>
      <c r="N529" s="21"/>
      <c r="O529" s="30"/>
      <c r="P529" s="91"/>
      <c r="R529" s="223"/>
      <c r="S529" s="54"/>
      <c r="V529" s="102"/>
      <c r="W529" s="191"/>
      <c r="X529" s="86"/>
      <c r="Z529" s="131"/>
      <c r="AA529" s="14"/>
      <c r="AG529" s="86"/>
      <c r="AJ529" s="86"/>
    </row>
    <row r="530">
      <c r="C530" s="88"/>
      <c r="D530" s="16"/>
      <c r="E530" s="16"/>
      <c r="F530" s="16"/>
      <c r="G530" s="16"/>
      <c r="H530" s="16"/>
      <c r="I530" s="16"/>
      <c r="J530" s="16"/>
      <c r="K530" s="16"/>
      <c r="L530" s="16"/>
      <c r="M530" s="16"/>
      <c r="N530" s="21"/>
      <c r="O530" s="30"/>
      <c r="P530" s="91"/>
      <c r="R530" s="223"/>
      <c r="S530" s="54"/>
      <c r="V530" s="102"/>
      <c r="W530" s="191"/>
      <c r="X530" s="86"/>
      <c r="Z530" s="131"/>
      <c r="AA530" s="14"/>
      <c r="AG530" s="86"/>
      <c r="AJ530" s="86"/>
    </row>
    <row r="531">
      <c r="C531" s="88"/>
      <c r="D531" s="16"/>
      <c r="E531" s="16"/>
      <c r="F531" s="16"/>
      <c r="G531" s="16"/>
      <c r="H531" s="16"/>
      <c r="I531" s="16"/>
      <c r="J531" s="16"/>
      <c r="K531" s="16"/>
      <c r="L531" s="16"/>
      <c r="M531" s="16"/>
      <c r="N531" s="21"/>
      <c r="O531" s="30"/>
      <c r="P531" s="91"/>
      <c r="R531" s="223"/>
      <c r="S531" s="54"/>
      <c r="V531" s="102"/>
      <c r="W531" s="191"/>
      <c r="X531" s="86"/>
      <c r="Z531" s="131"/>
      <c r="AA531" s="14"/>
      <c r="AG531" s="86"/>
      <c r="AJ531" s="86"/>
    </row>
    <row r="532">
      <c r="C532" s="88"/>
      <c r="D532" s="16"/>
      <c r="E532" s="16"/>
      <c r="F532" s="16"/>
      <c r="G532" s="16"/>
      <c r="H532" s="16"/>
      <c r="I532" s="16"/>
      <c r="J532" s="16"/>
      <c r="K532" s="16"/>
      <c r="L532" s="16"/>
      <c r="M532" s="16"/>
      <c r="N532" s="21"/>
      <c r="O532" s="30"/>
      <c r="P532" s="91"/>
      <c r="R532" s="223"/>
      <c r="S532" s="54"/>
      <c r="V532" s="102"/>
      <c r="W532" s="191"/>
      <c r="X532" s="86"/>
      <c r="Z532" s="131"/>
      <c r="AA532" s="14"/>
      <c r="AG532" s="86"/>
      <c r="AJ532" s="86"/>
    </row>
    <row r="533">
      <c r="C533" s="88"/>
      <c r="D533" s="16"/>
      <c r="E533" s="16"/>
      <c r="F533" s="16"/>
      <c r="G533" s="16"/>
      <c r="H533" s="16"/>
      <c r="I533" s="16"/>
      <c r="J533" s="16"/>
      <c r="K533" s="16"/>
      <c r="L533" s="16"/>
      <c r="M533" s="16"/>
      <c r="N533" s="21"/>
      <c r="O533" s="30"/>
      <c r="P533" s="91"/>
      <c r="R533" s="223"/>
      <c r="S533" s="54"/>
      <c r="V533" s="102"/>
      <c r="W533" s="191"/>
      <c r="X533" s="86"/>
      <c r="Z533" s="131"/>
      <c r="AA533" s="14"/>
      <c r="AG533" s="86"/>
      <c r="AJ533" s="86"/>
    </row>
    <row r="534">
      <c r="C534" s="88"/>
      <c r="D534" s="16"/>
      <c r="E534" s="16"/>
      <c r="F534" s="16"/>
      <c r="G534" s="16"/>
      <c r="H534" s="16"/>
      <c r="I534" s="16"/>
      <c r="J534" s="16"/>
      <c r="K534" s="16"/>
      <c r="L534" s="16"/>
      <c r="M534" s="16"/>
      <c r="N534" s="21"/>
      <c r="O534" s="30"/>
      <c r="P534" s="91"/>
      <c r="R534" s="223"/>
      <c r="S534" s="54"/>
      <c r="V534" s="102"/>
      <c r="W534" s="191"/>
      <c r="X534" s="86"/>
      <c r="Z534" s="131"/>
      <c r="AA534" s="14"/>
      <c r="AG534" s="86"/>
      <c r="AJ534" s="86"/>
    </row>
    <row r="535">
      <c r="C535" s="88"/>
      <c r="D535" s="16"/>
      <c r="E535" s="16"/>
      <c r="F535" s="16"/>
      <c r="G535" s="16"/>
      <c r="H535" s="16"/>
      <c r="I535" s="16"/>
      <c r="J535" s="16"/>
      <c r="K535" s="16"/>
      <c r="L535" s="16"/>
      <c r="M535" s="16"/>
      <c r="N535" s="21"/>
      <c r="O535" s="30"/>
      <c r="P535" s="91"/>
      <c r="R535" s="223"/>
      <c r="S535" s="54"/>
      <c r="V535" s="102"/>
      <c r="W535" s="191"/>
      <c r="X535" s="86"/>
      <c r="Z535" s="131"/>
      <c r="AA535" s="14"/>
      <c r="AG535" s="86"/>
      <c r="AJ535" s="86"/>
    </row>
    <row r="536">
      <c r="C536" s="88"/>
      <c r="D536" s="16"/>
      <c r="E536" s="16"/>
      <c r="F536" s="16"/>
      <c r="G536" s="16"/>
      <c r="H536" s="16"/>
      <c r="I536" s="16"/>
      <c r="J536" s="16"/>
      <c r="K536" s="16"/>
      <c r="L536" s="16"/>
      <c r="M536" s="16"/>
      <c r="N536" s="21"/>
      <c r="O536" s="30"/>
      <c r="P536" s="91"/>
      <c r="R536" s="223"/>
      <c r="S536" s="54"/>
      <c r="V536" s="102"/>
      <c r="W536" s="191"/>
      <c r="X536" s="86"/>
      <c r="Z536" s="131"/>
      <c r="AA536" s="14"/>
      <c r="AG536" s="86"/>
      <c r="AJ536" s="86"/>
    </row>
    <row r="537">
      <c r="C537" s="88"/>
      <c r="D537" s="16"/>
      <c r="E537" s="16"/>
      <c r="F537" s="16"/>
      <c r="G537" s="16"/>
      <c r="H537" s="16"/>
      <c r="I537" s="16"/>
      <c r="J537" s="16"/>
      <c r="K537" s="16"/>
      <c r="L537" s="16"/>
      <c r="M537" s="16"/>
      <c r="N537" s="21"/>
      <c r="O537" s="30"/>
      <c r="P537" s="91"/>
      <c r="R537" s="223"/>
      <c r="S537" s="54"/>
      <c r="V537" s="102"/>
      <c r="W537" s="191"/>
      <c r="X537" s="86"/>
      <c r="Z537" s="131"/>
      <c r="AA537" s="14"/>
      <c r="AG537" s="86"/>
      <c r="AJ537" s="86"/>
    </row>
    <row r="538">
      <c r="C538" s="88"/>
      <c r="D538" s="16"/>
      <c r="E538" s="16"/>
      <c r="F538" s="16"/>
      <c r="G538" s="16"/>
      <c r="H538" s="16"/>
      <c r="I538" s="16"/>
      <c r="J538" s="16"/>
      <c r="K538" s="16"/>
      <c r="L538" s="16"/>
      <c r="M538" s="16"/>
      <c r="N538" s="21"/>
      <c r="O538" s="30"/>
      <c r="P538" s="91"/>
      <c r="R538" s="223"/>
      <c r="S538" s="54"/>
      <c r="V538" s="102"/>
      <c r="W538" s="191"/>
      <c r="X538" s="86"/>
      <c r="Z538" s="131"/>
      <c r="AA538" s="14"/>
      <c r="AG538" s="86"/>
      <c r="AJ538" s="86"/>
    </row>
    <row r="539">
      <c r="C539" s="88"/>
      <c r="D539" s="16"/>
      <c r="E539" s="16"/>
      <c r="F539" s="16"/>
      <c r="G539" s="16"/>
      <c r="H539" s="16"/>
      <c r="I539" s="16"/>
      <c r="J539" s="16"/>
      <c r="K539" s="16"/>
      <c r="L539" s="16"/>
      <c r="M539" s="16"/>
      <c r="N539" s="21"/>
      <c r="O539" s="30"/>
      <c r="P539" s="91"/>
      <c r="R539" s="223"/>
      <c r="S539" s="54"/>
      <c r="V539" s="102"/>
      <c r="W539" s="191"/>
      <c r="X539" s="86"/>
      <c r="Z539" s="131"/>
      <c r="AA539" s="14"/>
      <c r="AG539" s="86"/>
      <c r="AJ539" s="86"/>
    </row>
    <row r="540">
      <c r="C540" s="88"/>
      <c r="D540" s="16"/>
      <c r="E540" s="16"/>
      <c r="F540" s="16"/>
      <c r="G540" s="16"/>
      <c r="H540" s="16"/>
      <c r="I540" s="16"/>
      <c r="J540" s="16"/>
      <c r="K540" s="16"/>
      <c r="L540" s="16"/>
      <c r="M540" s="16"/>
      <c r="N540" s="21"/>
      <c r="O540" s="30"/>
      <c r="P540" s="91"/>
      <c r="R540" s="223"/>
      <c r="S540" s="54"/>
      <c r="V540" s="102"/>
      <c r="W540" s="191"/>
      <c r="X540" s="86"/>
      <c r="Z540" s="131"/>
      <c r="AA540" s="14"/>
      <c r="AG540" s="86"/>
      <c r="AJ540" s="86"/>
    </row>
    <row r="541">
      <c r="C541" s="88"/>
      <c r="D541" s="16"/>
      <c r="E541" s="16"/>
      <c r="F541" s="16"/>
      <c r="G541" s="16"/>
      <c r="H541" s="16"/>
      <c r="I541" s="16"/>
      <c r="J541" s="16"/>
      <c r="K541" s="16"/>
      <c r="L541" s="16"/>
      <c r="M541" s="16"/>
      <c r="N541" s="21"/>
      <c r="O541" s="30"/>
      <c r="P541" s="91"/>
      <c r="R541" s="223"/>
      <c r="S541" s="54"/>
      <c r="V541" s="102"/>
      <c r="W541" s="191"/>
      <c r="X541" s="86"/>
      <c r="Z541" s="131"/>
      <c r="AA541" s="14"/>
      <c r="AG541" s="86"/>
      <c r="AJ541" s="86"/>
    </row>
    <row r="542">
      <c r="C542" s="88"/>
      <c r="D542" s="16"/>
      <c r="E542" s="16"/>
      <c r="F542" s="16"/>
      <c r="G542" s="16"/>
      <c r="H542" s="16"/>
      <c r="I542" s="16"/>
      <c r="J542" s="16"/>
      <c r="K542" s="16"/>
      <c r="L542" s="16"/>
      <c r="M542" s="16"/>
      <c r="N542" s="21"/>
      <c r="O542" s="30"/>
      <c r="P542" s="91"/>
      <c r="R542" s="223"/>
      <c r="S542" s="54"/>
      <c r="V542" s="102"/>
      <c r="W542" s="191"/>
      <c r="X542" s="86"/>
      <c r="Z542" s="131"/>
      <c r="AA542" s="14"/>
      <c r="AG542" s="86"/>
      <c r="AJ542" s="86"/>
    </row>
    <row r="543">
      <c r="C543" s="88"/>
      <c r="D543" s="16"/>
      <c r="E543" s="16"/>
      <c r="F543" s="16"/>
      <c r="G543" s="16"/>
      <c r="H543" s="16"/>
      <c r="I543" s="16"/>
      <c r="J543" s="16"/>
      <c r="K543" s="16"/>
      <c r="L543" s="16"/>
      <c r="M543" s="16"/>
      <c r="N543" s="21"/>
      <c r="O543" s="30"/>
      <c r="P543" s="91"/>
      <c r="R543" s="223"/>
      <c r="S543" s="54"/>
      <c r="V543" s="102"/>
      <c r="W543" s="191"/>
      <c r="X543" s="86"/>
      <c r="Z543" s="131"/>
      <c r="AA543" s="14"/>
      <c r="AG543" s="86"/>
      <c r="AJ543" s="86"/>
    </row>
    <row r="544">
      <c r="C544" s="88"/>
      <c r="D544" s="16"/>
      <c r="E544" s="16"/>
      <c r="F544" s="16"/>
      <c r="G544" s="16"/>
      <c r="H544" s="16"/>
      <c r="I544" s="16"/>
      <c r="J544" s="16"/>
      <c r="K544" s="16"/>
      <c r="L544" s="16"/>
      <c r="M544" s="16"/>
      <c r="N544" s="21"/>
      <c r="O544" s="30"/>
      <c r="P544" s="91"/>
      <c r="R544" s="223"/>
      <c r="S544" s="54"/>
      <c r="V544" s="102"/>
      <c r="W544" s="191"/>
      <c r="X544" s="86"/>
      <c r="Z544" s="131"/>
      <c r="AA544" s="14"/>
      <c r="AG544" s="86"/>
      <c r="AJ544" s="86"/>
    </row>
    <row r="545">
      <c r="C545" s="88"/>
      <c r="D545" s="16"/>
      <c r="E545" s="16"/>
      <c r="F545" s="16"/>
      <c r="G545" s="16"/>
      <c r="H545" s="16"/>
      <c r="I545" s="16"/>
      <c r="J545" s="16"/>
      <c r="K545" s="16"/>
      <c r="L545" s="16"/>
      <c r="M545" s="16"/>
      <c r="N545" s="21"/>
      <c r="O545" s="30"/>
      <c r="P545" s="91"/>
      <c r="R545" s="223"/>
      <c r="S545" s="54"/>
      <c r="V545" s="102"/>
      <c r="W545" s="191"/>
      <c r="X545" s="86"/>
      <c r="Z545" s="131"/>
      <c r="AA545" s="14"/>
      <c r="AG545" s="86"/>
      <c r="AJ545" s="86"/>
    </row>
    <row r="546">
      <c r="C546" s="88"/>
      <c r="D546" s="16"/>
      <c r="E546" s="16"/>
      <c r="F546" s="16"/>
      <c r="G546" s="16"/>
      <c r="H546" s="16"/>
      <c r="I546" s="16"/>
      <c r="J546" s="16"/>
      <c r="K546" s="16"/>
      <c r="L546" s="16"/>
      <c r="M546" s="16"/>
      <c r="N546" s="21"/>
      <c r="O546" s="30"/>
      <c r="P546" s="91"/>
      <c r="R546" s="223"/>
      <c r="S546" s="54"/>
      <c r="V546" s="102"/>
      <c r="W546" s="191"/>
      <c r="X546" s="86"/>
      <c r="Z546" s="131"/>
      <c r="AA546" s="14"/>
      <c r="AG546" s="86"/>
      <c r="AJ546" s="86"/>
    </row>
    <row r="547">
      <c r="C547" s="88"/>
      <c r="D547" s="16"/>
      <c r="E547" s="16"/>
      <c r="F547" s="16"/>
      <c r="G547" s="16"/>
      <c r="H547" s="16"/>
      <c r="I547" s="16"/>
      <c r="J547" s="16"/>
      <c r="K547" s="16"/>
      <c r="L547" s="16"/>
      <c r="M547" s="16"/>
      <c r="N547" s="21"/>
      <c r="O547" s="30"/>
      <c r="P547" s="91"/>
      <c r="R547" s="223"/>
      <c r="S547" s="54"/>
      <c r="V547" s="102"/>
      <c r="W547" s="191"/>
      <c r="X547" s="86"/>
      <c r="Z547" s="131"/>
      <c r="AA547" s="14"/>
      <c r="AG547" s="86"/>
      <c r="AJ547" s="86"/>
    </row>
    <row r="548">
      <c r="C548" s="88"/>
      <c r="D548" s="16"/>
      <c r="E548" s="16"/>
      <c r="F548" s="16"/>
      <c r="G548" s="16"/>
      <c r="H548" s="16"/>
      <c r="I548" s="16"/>
      <c r="J548" s="16"/>
      <c r="K548" s="16"/>
      <c r="L548" s="16"/>
      <c r="M548" s="16"/>
      <c r="N548" s="21"/>
      <c r="O548" s="30"/>
      <c r="P548" s="91"/>
      <c r="R548" s="223"/>
      <c r="S548" s="54"/>
      <c r="V548" s="102"/>
      <c r="W548" s="191"/>
      <c r="X548" s="86"/>
      <c r="Z548" s="131"/>
      <c r="AA548" s="14"/>
      <c r="AG548" s="86"/>
      <c r="AJ548" s="86"/>
    </row>
    <row r="549">
      <c r="C549" s="88"/>
      <c r="D549" s="16"/>
      <c r="E549" s="16"/>
      <c r="F549" s="16"/>
      <c r="G549" s="16"/>
      <c r="H549" s="16"/>
      <c r="I549" s="16"/>
      <c r="J549" s="16"/>
      <c r="K549" s="16"/>
      <c r="L549" s="16"/>
      <c r="M549" s="16"/>
      <c r="N549" s="21"/>
      <c r="O549" s="30"/>
      <c r="P549" s="91"/>
      <c r="R549" s="223"/>
      <c r="S549" s="54"/>
      <c r="V549" s="102"/>
      <c r="W549" s="191"/>
      <c r="X549" s="86"/>
      <c r="Z549" s="131"/>
      <c r="AA549" s="14"/>
      <c r="AG549" s="86"/>
      <c r="AJ549" s="86"/>
    </row>
    <row r="550">
      <c r="C550" s="88"/>
      <c r="D550" s="16"/>
      <c r="E550" s="16"/>
      <c r="F550" s="16"/>
      <c r="G550" s="16"/>
      <c r="H550" s="16"/>
      <c r="I550" s="16"/>
      <c r="J550" s="16"/>
      <c r="K550" s="16"/>
      <c r="L550" s="16"/>
      <c r="M550" s="16"/>
      <c r="N550" s="21"/>
      <c r="O550" s="30"/>
      <c r="P550" s="91"/>
      <c r="R550" s="223"/>
      <c r="S550" s="54"/>
      <c r="V550" s="102"/>
      <c r="W550" s="191"/>
      <c r="X550" s="86"/>
      <c r="Z550" s="131"/>
      <c r="AA550" s="14"/>
      <c r="AG550" s="86"/>
      <c r="AJ550" s="86"/>
    </row>
    <row r="551">
      <c r="C551" s="88"/>
      <c r="D551" s="16"/>
      <c r="E551" s="16"/>
      <c r="F551" s="16"/>
      <c r="G551" s="16"/>
      <c r="H551" s="16"/>
      <c r="I551" s="16"/>
      <c r="J551" s="16"/>
      <c r="K551" s="16"/>
      <c r="L551" s="16"/>
      <c r="M551" s="16"/>
      <c r="N551" s="21"/>
      <c r="O551" s="30"/>
      <c r="P551" s="91"/>
      <c r="R551" s="223"/>
      <c r="S551" s="54"/>
      <c r="V551" s="102"/>
      <c r="W551" s="191"/>
      <c r="X551" s="86"/>
      <c r="Z551" s="131"/>
      <c r="AA551" s="14"/>
      <c r="AG551" s="86"/>
      <c r="AJ551" s="86"/>
    </row>
    <row r="552">
      <c r="C552" s="88"/>
      <c r="D552" s="16"/>
      <c r="E552" s="16"/>
      <c r="F552" s="16"/>
      <c r="G552" s="16"/>
      <c r="H552" s="16"/>
      <c r="I552" s="16"/>
      <c r="J552" s="16"/>
      <c r="K552" s="16"/>
      <c r="L552" s="16"/>
      <c r="M552" s="16"/>
      <c r="N552" s="21"/>
      <c r="O552" s="30"/>
      <c r="P552" s="91"/>
      <c r="R552" s="223"/>
      <c r="S552" s="54"/>
      <c r="V552" s="102"/>
      <c r="W552" s="191"/>
      <c r="X552" s="86"/>
      <c r="Z552" s="131"/>
      <c r="AA552" s="14"/>
      <c r="AG552" s="86"/>
      <c r="AJ552" s="86"/>
    </row>
    <row r="553">
      <c r="C553" s="88"/>
      <c r="D553" s="16"/>
      <c r="E553" s="16"/>
      <c r="F553" s="16"/>
      <c r="G553" s="16"/>
      <c r="H553" s="16"/>
      <c r="I553" s="16"/>
      <c r="J553" s="16"/>
      <c r="K553" s="16"/>
      <c r="L553" s="16"/>
      <c r="M553" s="16"/>
      <c r="N553" s="21"/>
      <c r="O553" s="30"/>
      <c r="P553" s="91"/>
      <c r="R553" s="223"/>
      <c r="S553" s="54"/>
      <c r="V553" s="102"/>
      <c r="W553" s="191"/>
      <c r="X553" s="86"/>
      <c r="Z553" s="131"/>
      <c r="AA553" s="14"/>
      <c r="AG553" s="86"/>
      <c r="AJ553" s="86"/>
    </row>
    <row r="554">
      <c r="C554" s="88"/>
      <c r="D554" s="16"/>
      <c r="E554" s="16"/>
      <c r="F554" s="16"/>
      <c r="G554" s="16"/>
      <c r="H554" s="16"/>
      <c r="I554" s="16"/>
      <c r="J554" s="16"/>
      <c r="K554" s="16"/>
      <c r="L554" s="16"/>
      <c r="M554" s="16"/>
      <c r="N554" s="21"/>
      <c r="O554" s="30"/>
      <c r="P554" s="91"/>
      <c r="R554" s="223"/>
      <c r="S554" s="54"/>
      <c r="V554" s="102"/>
      <c r="W554" s="191"/>
      <c r="X554" s="86"/>
      <c r="Z554" s="131"/>
      <c r="AA554" s="14"/>
      <c r="AG554" s="86"/>
      <c r="AJ554" s="86"/>
    </row>
    <row r="555">
      <c r="C555" s="88"/>
      <c r="D555" s="16"/>
      <c r="E555" s="16"/>
      <c r="F555" s="16"/>
      <c r="G555" s="16"/>
      <c r="H555" s="16"/>
      <c r="I555" s="16"/>
      <c r="J555" s="16"/>
      <c r="K555" s="16"/>
      <c r="L555" s="16"/>
      <c r="M555" s="16"/>
      <c r="N555" s="21"/>
      <c r="O555" s="30"/>
      <c r="P555" s="91"/>
      <c r="R555" s="223"/>
      <c r="S555" s="54"/>
      <c r="V555" s="102"/>
      <c r="W555" s="191"/>
      <c r="X555" s="86"/>
      <c r="Z555" s="131"/>
      <c r="AA555" s="14"/>
      <c r="AG555" s="86"/>
      <c r="AJ555" s="86"/>
    </row>
    <row r="556">
      <c r="C556" s="88"/>
      <c r="D556" s="16"/>
      <c r="E556" s="16"/>
      <c r="F556" s="16"/>
      <c r="G556" s="16"/>
      <c r="H556" s="16"/>
      <c r="I556" s="16"/>
      <c r="J556" s="16"/>
      <c r="K556" s="16"/>
      <c r="L556" s="16"/>
      <c r="M556" s="16"/>
      <c r="N556" s="21"/>
      <c r="O556" s="30"/>
      <c r="P556" s="91"/>
      <c r="R556" s="223"/>
      <c r="S556" s="54"/>
      <c r="V556" s="102"/>
      <c r="W556" s="191"/>
      <c r="X556" s="86"/>
      <c r="Z556" s="131"/>
      <c r="AA556" s="14"/>
      <c r="AG556" s="86"/>
      <c r="AJ556" s="86"/>
    </row>
    <row r="557">
      <c r="C557" s="88"/>
      <c r="D557" s="16"/>
      <c r="E557" s="16"/>
      <c r="F557" s="16"/>
      <c r="G557" s="16"/>
      <c r="H557" s="16"/>
      <c r="I557" s="16"/>
      <c r="J557" s="16"/>
      <c r="K557" s="16"/>
      <c r="L557" s="16"/>
      <c r="M557" s="16"/>
      <c r="N557" s="21"/>
      <c r="O557" s="30"/>
      <c r="P557" s="91"/>
      <c r="R557" s="223"/>
      <c r="S557" s="54"/>
      <c r="V557" s="102"/>
      <c r="W557" s="191"/>
      <c r="X557" s="86"/>
      <c r="Z557" s="131"/>
      <c r="AA557" s="14"/>
      <c r="AG557" s="86"/>
      <c r="AJ557" s="86"/>
    </row>
    <row r="558">
      <c r="C558" s="88"/>
      <c r="D558" s="16"/>
      <c r="E558" s="16"/>
      <c r="F558" s="16"/>
      <c r="G558" s="16"/>
      <c r="H558" s="16"/>
      <c r="I558" s="16"/>
      <c r="J558" s="16"/>
      <c r="K558" s="16"/>
      <c r="L558" s="16"/>
      <c r="M558" s="16"/>
      <c r="N558" s="21"/>
      <c r="O558" s="30"/>
      <c r="P558" s="91"/>
      <c r="R558" s="223"/>
      <c r="S558" s="54"/>
      <c r="V558" s="102"/>
      <c r="W558" s="191"/>
      <c r="X558" s="86"/>
      <c r="Z558" s="131"/>
      <c r="AA558" s="14"/>
      <c r="AG558" s="86"/>
      <c r="AJ558" s="86"/>
    </row>
    <row r="559">
      <c r="C559" s="88"/>
      <c r="D559" s="16"/>
      <c r="E559" s="16"/>
      <c r="F559" s="16"/>
      <c r="G559" s="16"/>
      <c r="H559" s="16"/>
      <c r="I559" s="16"/>
      <c r="J559" s="16"/>
      <c r="K559" s="16"/>
      <c r="L559" s="16"/>
      <c r="M559" s="16"/>
      <c r="N559" s="21"/>
      <c r="O559" s="30"/>
      <c r="P559" s="91"/>
      <c r="R559" s="223"/>
      <c r="S559" s="54"/>
      <c r="V559" s="102"/>
      <c r="W559" s="191"/>
      <c r="X559" s="86"/>
      <c r="Z559" s="131"/>
      <c r="AA559" s="14"/>
      <c r="AG559" s="86"/>
      <c r="AJ559" s="86"/>
    </row>
    <row r="560">
      <c r="C560" s="88"/>
      <c r="D560" s="16"/>
      <c r="E560" s="16"/>
      <c r="F560" s="16"/>
      <c r="G560" s="16"/>
      <c r="H560" s="16"/>
      <c r="I560" s="16"/>
      <c r="J560" s="16"/>
      <c r="K560" s="16"/>
      <c r="L560" s="16"/>
      <c r="M560" s="16"/>
      <c r="N560" s="21"/>
      <c r="O560" s="30"/>
      <c r="P560" s="91"/>
      <c r="R560" s="223"/>
      <c r="S560" s="54"/>
      <c r="V560" s="102"/>
      <c r="W560" s="191"/>
      <c r="X560" s="86"/>
      <c r="Z560" s="131"/>
      <c r="AA560" s="14"/>
      <c r="AG560" s="86"/>
      <c r="AJ560" s="86"/>
    </row>
    <row r="561">
      <c r="C561" s="88"/>
      <c r="D561" s="16"/>
      <c r="E561" s="16"/>
      <c r="F561" s="16"/>
      <c r="G561" s="16"/>
      <c r="H561" s="16"/>
      <c r="I561" s="16"/>
      <c r="J561" s="16"/>
      <c r="K561" s="16"/>
      <c r="L561" s="16"/>
      <c r="M561" s="16"/>
      <c r="N561" s="21"/>
      <c r="O561" s="30"/>
      <c r="P561" s="91"/>
      <c r="R561" s="223"/>
      <c r="S561" s="54"/>
      <c r="V561" s="102"/>
      <c r="W561" s="191"/>
      <c r="X561" s="86"/>
      <c r="Z561" s="131"/>
      <c r="AA561" s="14"/>
      <c r="AG561" s="86"/>
      <c r="AJ561" s="86"/>
    </row>
    <row r="562">
      <c r="C562" s="88"/>
      <c r="D562" s="16"/>
      <c r="E562" s="16"/>
      <c r="F562" s="16"/>
      <c r="G562" s="16"/>
      <c r="H562" s="16"/>
      <c r="I562" s="16"/>
      <c r="J562" s="16"/>
      <c r="K562" s="16"/>
      <c r="L562" s="16"/>
      <c r="M562" s="16"/>
      <c r="N562" s="21"/>
      <c r="O562" s="30"/>
      <c r="P562" s="91"/>
      <c r="R562" s="223"/>
      <c r="S562" s="54"/>
      <c r="V562" s="102"/>
      <c r="W562" s="191"/>
      <c r="X562" s="86"/>
      <c r="Z562" s="131"/>
      <c r="AA562" s="14"/>
      <c r="AG562" s="86"/>
      <c r="AJ562" s="86"/>
    </row>
    <row r="563">
      <c r="C563" s="88"/>
      <c r="D563" s="16"/>
      <c r="E563" s="16"/>
      <c r="F563" s="16"/>
      <c r="G563" s="16"/>
      <c r="H563" s="16"/>
      <c r="I563" s="16"/>
      <c r="J563" s="16"/>
      <c r="K563" s="16"/>
      <c r="L563" s="16"/>
      <c r="M563" s="16"/>
      <c r="N563" s="21"/>
      <c r="O563" s="30"/>
      <c r="P563" s="91"/>
      <c r="R563" s="223"/>
      <c r="S563" s="54"/>
      <c r="V563" s="102"/>
      <c r="W563" s="191"/>
      <c r="X563" s="86"/>
      <c r="Z563" s="131"/>
      <c r="AA563" s="14"/>
      <c r="AG563" s="86"/>
      <c r="AJ563" s="86"/>
    </row>
    <row r="564">
      <c r="C564" s="88"/>
      <c r="D564" s="16"/>
      <c r="E564" s="16"/>
      <c r="F564" s="16"/>
      <c r="G564" s="16"/>
      <c r="H564" s="16"/>
      <c r="I564" s="16"/>
      <c r="J564" s="16"/>
      <c r="K564" s="16"/>
      <c r="L564" s="16"/>
      <c r="M564" s="16"/>
      <c r="N564" s="21"/>
      <c r="O564" s="30"/>
      <c r="P564" s="91"/>
      <c r="R564" s="223"/>
      <c r="S564" s="54"/>
      <c r="V564" s="102"/>
      <c r="W564" s="191"/>
      <c r="X564" s="86"/>
      <c r="Z564" s="131"/>
      <c r="AA564" s="14"/>
      <c r="AG564" s="86"/>
      <c r="AJ564" s="86"/>
    </row>
    <row r="565">
      <c r="C565" s="88"/>
      <c r="D565" s="16"/>
      <c r="E565" s="16"/>
      <c r="F565" s="16"/>
      <c r="G565" s="16"/>
      <c r="H565" s="16"/>
      <c r="I565" s="16"/>
      <c r="J565" s="16"/>
      <c r="K565" s="16"/>
      <c r="L565" s="16"/>
      <c r="M565" s="16"/>
      <c r="N565" s="21"/>
      <c r="O565" s="30"/>
      <c r="P565" s="91"/>
      <c r="R565" s="223"/>
      <c r="S565" s="54"/>
      <c r="V565" s="102"/>
      <c r="W565" s="191"/>
      <c r="X565" s="86"/>
      <c r="Z565" s="131"/>
      <c r="AA565" s="14"/>
      <c r="AG565" s="86"/>
      <c r="AJ565" s="86"/>
    </row>
    <row r="566">
      <c r="C566" s="88"/>
      <c r="D566" s="16"/>
      <c r="E566" s="16"/>
      <c r="F566" s="16"/>
      <c r="G566" s="16"/>
      <c r="H566" s="16"/>
      <c r="I566" s="16"/>
      <c r="J566" s="16"/>
      <c r="K566" s="16"/>
      <c r="L566" s="16"/>
      <c r="M566" s="16"/>
      <c r="N566" s="21"/>
      <c r="O566" s="30"/>
      <c r="P566" s="91"/>
      <c r="R566" s="223"/>
      <c r="S566" s="54"/>
      <c r="V566" s="102"/>
      <c r="W566" s="191"/>
      <c r="X566" s="86"/>
      <c r="Z566" s="131"/>
      <c r="AA566" s="14"/>
      <c r="AG566" s="86"/>
      <c r="AJ566" s="86"/>
    </row>
    <row r="567">
      <c r="C567" s="88"/>
      <c r="D567" s="16"/>
      <c r="E567" s="16"/>
      <c r="F567" s="16"/>
      <c r="G567" s="16"/>
      <c r="H567" s="16"/>
      <c r="I567" s="16"/>
      <c r="J567" s="16"/>
      <c r="K567" s="16"/>
      <c r="L567" s="16"/>
      <c r="M567" s="16"/>
      <c r="N567" s="21"/>
      <c r="O567" s="30"/>
      <c r="P567" s="91"/>
      <c r="R567" s="223"/>
      <c r="S567" s="54"/>
      <c r="V567" s="102"/>
      <c r="W567" s="191"/>
      <c r="X567" s="86"/>
      <c r="Z567" s="131"/>
      <c r="AA567" s="14"/>
      <c r="AG567" s="86"/>
      <c r="AJ567" s="86"/>
    </row>
    <row r="568">
      <c r="C568" s="88"/>
      <c r="D568" s="16"/>
      <c r="E568" s="16"/>
      <c r="F568" s="16"/>
      <c r="G568" s="16"/>
      <c r="H568" s="16"/>
      <c r="I568" s="16"/>
      <c r="J568" s="16"/>
      <c r="K568" s="16"/>
      <c r="L568" s="16"/>
      <c r="M568" s="16"/>
      <c r="N568" s="21"/>
      <c r="O568" s="30"/>
      <c r="P568" s="91"/>
      <c r="R568" s="223"/>
      <c r="S568" s="54"/>
      <c r="V568" s="102"/>
      <c r="W568" s="191"/>
      <c r="X568" s="86"/>
      <c r="Z568" s="131"/>
      <c r="AA568" s="14"/>
      <c r="AG568" s="86"/>
      <c r="AJ568" s="86"/>
    </row>
    <row r="569">
      <c r="C569" s="88"/>
      <c r="D569" s="16"/>
      <c r="E569" s="16"/>
      <c r="F569" s="16"/>
      <c r="G569" s="16"/>
      <c r="H569" s="16"/>
      <c r="I569" s="16"/>
      <c r="J569" s="16"/>
      <c r="K569" s="16"/>
      <c r="L569" s="16"/>
      <c r="M569" s="16"/>
      <c r="N569" s="21"/>
      <c r="O569" s="30"/>
      <c r="P569" s="91"/>
      <c r="R569" s="223"/>
      <c r="S569" s="54"/>
      <c r="V569" s="102"/>
      <c r="W569" s="191"/>
      <c r="X569" s="86"/>
      <c r="Z569" s="131"/>
      <c r="AA569" s="14"/>
      <c r="AG569" s="86"/>
      <c r="AJ569" s="86"/>
    </row>
    <row r="570">
      <c r="C570" s="88"/>
      <c r="D570" s="16"/>
      <c r="E570" s="16"/>
      <c r="F570" s="16"/>
      <c r="G570" s="16"/>
      <c r="H570" s="16"/>
      <c r="I570" s="16"/>
      <c r="J570" s="16"/>
      <c r="K570" s="16"/>
      <c r="L570" s="16"/>
      <c r="M570" s="16"/>
      <c r="N570" s="21"/>
      <c r="O570" s="30"/>
      <c r="P570" s="91"/>
      <c r="R570" s="223"/>
      <c r="S570" s="54"/>
      <c r="V570" s="102"/>
      <c r="W570" s="191"/>
      <c r="X570" s="86"/>
      <c r="Z570" s="131"/>
      <c r="AA570" s="14"/>
      <c r="AG570" s="86"/>
      <c r="AJ570" s="86"/>
    </row>
    <row r="571">
      <c r="C571" s="88"/>
      <c r="D571" s="16"/>
      <c r="E571" s="16"/>
      <c r="F571" s="16"/>
      <c r="G571" s="16"/>
      <c r="H571" s="16"/>
      <c r="I571" s="16"/>
      <c r="J571" s="16"/>
      <c r="K571" s="16"/>
      <c r="L571" s="16"/>
      <c r="M571" s="16"/>
      <c r="N571" s="21"/>
      <c r="O571" s="30"/>
      <c r="P571" s="91"/>
      <c r="R571" s="223"/>
      <c r="S571" s="54"/>
      <c r="V571" s="102"/>
      <c r="W571" s="191"/>
      <c r="X571" s="86"/>
      <c r="Z571" s="131"/>
      <c r="AA571" s="14"/>
      <c r="AG571" s="86"/>
      <c r="AJ571" s="86"/>
    </row>
    <row r="572">
      <c r="C572" s="88"/>
      <c r="D572" s="16"/>
      <c r="E572" s="16"/>
      <c r="F572" s="16"/>
      <c r="G572" s="16"/>
      <c r="H572" s="16"/>
      <c r="I572" s="16"/>
      <c r="J572" s="16"/>
      <c r="K572" s="16"/>
      <c r="L572" s="16"/>
      <c r="M572" s="16"/>
      <c r="N572" s="21"/>
      <c r="O572" s="30"/>
      <c r="P572" s="91"/>
      <c r="R572" s="223"/>
      <c r="S572" s="54"/>
      <c r="V572" s="102"/>
      <c r="W572" s="191"/>
      <c r="X572" s="86"/>
      <c r="Z572" s="131"/>
      <c r="AA572" s="14"/>
      <c r="AG572" s="86"/>
      <c r="AJ572" s="86"/>
    </row>
    <row r="573">
      <c r="C573" s="88"/>
      <c r="D573" s="16"/>
      <c r="E573" s="16"/>
      <c r="F573" s="16"/>
      <c r="G573" s="16"/>
      <c r="H573" s="16"/>
      <c r="I573" s="16"/>
      <c r="J573" s="16"/>
      <c r="K573" s="16"/>
      <c r="L573" s="16"/>
      <c r="M573" s="16"/>
      <c r="N573" s="21"/>
      <c r="O573" s="30"/>
      <c r="P573" s="91"/>
      <c r="R573" s="223"/>
      <c r="S573" s="54"/>
      <c r="V573" s="102"/>
      <c r="W573" s="191"/>
      <c r="X573" s="86"/>
      <c r="Z573" s="131"/>
      <c r="AA573" s="14"/>
      <c r="AG573" s="86"/>
      <c r="AJ573" s="86"/>
    </row>
    <row r="574">
      <c r="C574" s="88"/>
      <c r="D574" s="16"/>
      <c r="E574" s="16"/>
      <c r="F574" s="16"/>
      <c r="G574" s="16"/>
      <c r="H574" s="16"/>
      <c r="I574" s="16"/>
      <c r="J574" s="16"/>
      <c r="K574" s="16"/>
      <c r="L574" s="16"/>
      <c r="M574" s="16"/>
      <c r="N574" s="21"/>
      <c r="O574" s="30"/>
      <c r="P574" s="91"/>
      <c r="R574" s="223"/>
      <c r="S574" s="54"/>
      <c r="V574" s="102"/>
      <c r="W574" s="191"/>
      <c r="X574" s="86"/>
      <c r="Z574" s="131"/>
      <c r="AA574" s="14"/>
      <c r="AG574" s="86"/>
      <c r="AJ574" s="86"/>
    </row>
    <row r="575">
      <c r="C575" s="88"/>
      <c r="D575" s="16"/>
      <c r="E575" s="16"/>
      <c r="F575" s="16"/>
      <c r="G575" s="16"/>
      <c r="H575" s="16"/>
      <c r="I575" s="16"/>
      <c r="J575" s="16"/>
      <c r="K575" s="16"/>
      <c r="L575" s="16"/>
      <c r="M575" s="16"/>
      <c r="N575" s="21"/>
      <c r="O575" s="30"/>
      <c r="P575" s="91"/>
      <c r="R575" s="223"/>
      <c r="S575" s="54"/>
      <c r="V575" s="102"/>
      <c r="W575" s="191"/>
      <c r="X575" s="86"/>
      <c r="Z575" s="131"/>
      <c r="AA575" s="14"/>
      <c r="AG575" s="86"/>
      <c r="AJ575" s="86"/>
    </row>
    <row r="576">
      <c r="C576" s="88"/>
      <c r="D576" s="16"/>
      <c r="E576" s="16"/>
      <c r="F576" s="16"/>
      <c r="G576" s="16"/>
      <c r="H576" s="16"/>
      <c r="I576" s="16"/>
      <c r="J576" s="16"/>
      <c r="K576" s="16"/>
      <c r="L576" s="16"/>
      <c r="M576" s="16"/>
      <c r="N576" s="21"/>
      <c r="O576" s="30"/>
      <c r="P576" s="91"/>
      <c r="R576" s="223"/>
      <c r="S576" s="54"/>
      <c r="V576" s="102"/>
      <c r="W576" s="191"/>
      <c r="X576" s="86"/>
      <c r="Z576" s="131"/>
      <c r="AA576" s="14"/>
      <c r="AG576" s="86"/>
      <c r="AJ576" s="86"/>
    </row>
    <row r="577">
      <c r="C577" s="88"/>
      <c r="D577" s="16"/>
      <c r="E577" s="16"/>
      <c r="F577" s="16"/>
      <c r="G577" s="16"/>
      <c r="H577" s="16"/>
      <c r="I577" s="16"/>
      <c r="J577" s="16"/>
      <c r="K577" s="16"/>
      <c r="L577" s="16"/>
      <c r="M577" s="16"/>
      <c r="N577" s="21"/>
      <c r="O577" s="30"/>
      <c r="P577" s="91"/>
      <c r="R577" s="223"/>
      <c r="S577" s="54"/>
      <c r="V577" s="102"/>
      <c r="W577" s="191"/>
      <c r="X577" s="86"/>
      <c r="Z577" s="131"/>
      <c r="AA577" s="14"/>
      <c r="AG577" s="86"/>
      <c r="AJ577" s="86"/>
    </row>
    <row r="578">
      <c r="C578" s="88"/>
      <c r="D578" s="16"/>
      <c r="E578" s="16"/>
      <c r="F578" s="16"/>
      <c r="G578" s="16"/>
      <c r="H578" s="16"/>
      <c r="I578" s="16"/>
      <c r="J578" s="16"/>
      <c r="K578" s="16"/>
      <c r="L578" s="16"/>
      <c r="M578" s="16"/>
      <c r="N578" s="21"/>
      <c r="O578" s="30"/>
      <c r="P578" s="91"/>
      <c r="R578" s="223"/>
      <c r="S578" s="54"/>
      <c r="V578" s="102"/>
      <c r="W578" s="191"/>
      <c r="X578" s="86"/>
      <c r="Z578" s="131"/>
      <c r="AA578" s="14"/>
      <c r="AG578" s="86"/>
      <c r="AJ578" s="86"/>
    </row>
    <row r="579">
      <c r="C579" s="88"/>
      <c r="D579" s="16"/>
      <c r="E579" s="16"/>
      <c r="F579" s="16"/>
      <c r="G579" s="16"/>
      <c r="H579" s="16"/>
      <c r="I579" s="16"/>
      <c r="J579" s="16"/>
      <c r="K579" s="16"/>
      <c r="L579" s="16"/>
      <c r="M579" s="16"/>
      <c r="N579" s="21"/>
      <c r="O579" s="30"/>
      <c r="P579" s="91"/>
      <c r="R579" s="223"/>
      <c r="S579" s="54"/>
      <c r="V579" s="102"/>
      <c r="W579" s="191"/>
      <c r="X579" s="86"/>
      <c r="Z579" s="131"/>
      <c r="AA579" s="14"/>
      <c r="AG579" s="86"/>
      <c r="AJ579" s="86"/>
    </row>
    <row r="580">
      <c r="C580" s="88"/>
      <c r="D580" s="16"/>
      <c r="E580" s="16"/>
      <c r="F580" s="16"/>
      <c r="G580" s="16"/>
      <c r="H580" s="16"/>
      <c r="I580" s="16"/>
      <c r="J580" s="16"/>
      <c r="K580" s="16"/>
      <c r="L580" s="16"/>
      <c r="M580" s="16"/>
      <c r="N580" s="21"/>
      <c r="O580" s="30"/>
      <c r="P580" s="91"/>
      <c r="R580" s="223"/>
      <c r="S580" s="54"/>
      <c r="V580" s="102"/>
      <c r="W580" s="191"/>
      <c r="X580" s="86"/>
      <c r="Z580" s="131"/>
      <c r="AA580" s="14"/>
      <c r="AG580" s="86"/>
      <c r="AJ580" s="86"/>
    </row>
    <row r="581">
      <c r="C581" s="88"/>
      <c r="D581" s="16"/>
      <c r="E581" s="16"/>
      <c r="F581" s="16"/>
      <c r="G581" s="16"/>
      <c r="H581" s="16"/>
      <c r="I581" s="16"/>
      <c r="J581" s="16"/>
      <c r="K581" s="16"/>
      <c r="L581" s="16"/>
      <c r="M581" s="16"/>
      <c r="N581" s="21"/>
      <c r="O581" s="30"/>
      <c r="P581" s="91"/>
      <c r="R581" s="223"/>
      <c r="S581" s="54"/>
      <c r="V581" s="102"/>
      <c r="W581" s="191"/>
      <c r="X581" s="86"/>
      <c r="Z581" s="131"/>
      <c r="AA581" s="14"/>
      <c r="AG581" s="86"/>
      <c r="AJ581" s="86"/>
    </row>
    <row r="582">
      <c r="C582" s="88"/>
      <c r="D582" s="16"/>
      <c r="E582" s="16"/>
      <c r="F582" s="16"/>
      <c r="G582" s="16"/>
      <c r="H582" s="16"/>
      <c r="I582" s="16"/>
      <c r="J582" s="16"/>
      <c r="K582" s="16"/>
      <c r="L582" s="16"/>
      <c r="M582" s="16"/>
      <c r="N582" s="21"/>
      <c r="O582" s="30"/>
      <c r="P582" s="91"/>
      <c r="R582" s="223"/>
      <c r="S582" s="54"/>
      <c r="V582" s="102"/>
      <c r="W582" s="191"/>
      <c r="X582" s="86"/>
      <c r="Z582" s="131"/>
      <c r="AA582" s="14"/>
      <c r="AG582" s="86"/>
      <c r="AJ582" s="86"/>
    </row>
    <row r="583">
      <c r="C583" s="88"/>
      <c r="D583" s="16"/>
      <c r="E583" s="16"/>
      <c r="F583" s="16"/>
      <c r="G583" s="16"/>
      <c r="H583" s="16"/>
      <c r="I583" s="16"/>
      <c r="J583" s="16"/>
      <c r="K583" s="16"/>
      <c r="L583" s="16"/>
      <c r="M583" s="16"/>
      <c r="N583" s="21"/>
      <c r="O583" s="30"/>
      <c r="P583" s="91"/>
      <c r="R583" s="223"/>
      <c r="S583" s="54"/>
      <c r="V583" s="102"/>
      <c r="W583" s="191"/>
      <c r="X583" s="86"/>
      <c r="Z583" s="131"/>
      <c r="AA583" s="14"/>
      <c r="AG583" s="86"/>
      <c r="AJ583" s="86"/>
    </row>
    <row r="584">
      <c r="C584" s="88"/>
      <c r="D584" s="16"/>
      <c r="E584" s="16"/>
      <c r="F584" s="16"/>
      <c r="G584" s="16"/>
      <c r="H584" s="16"/>
      <c r="I584" s="16"/>
      <c r="J584" s="16"/>
      <c r="K584" s="16"/>
      <c r="L584" s="16"/>
      <c r="M584" s="16"/>
      <c r="N584" s="21"/>
      <c r="O584" s="30"/>
      <c r="P584" s="91"/>
      <c r="R584" s="223"/>
      <c r="S584" s="54"/>
      <c r="V584" s="102"/>
      <c r="W584" s="191"/>
      <c r="X584" s="86"/>
      <c r="Z584" s="131"/>
      <c r="AA584" s="14"/>
      <c r="AG584" s="86"/>
      <c r="AJ584" s="86"/>
    </row>
    <row r="585">
      <c r="C585" s="88"/>
      <c r="D585" s="16"/>
      <c r="E585" s="16"/>
      <c r="F585" s="16"/>
      <c r="G585" s="16"/>
      <c r="H585" s="16"/>
      <c r="I585" s="16"/>
      <c r="J585" s="16"/>
      <c r="K585" s="16"/>
      <c r="L585" s="16"/>
      <c r="M585" s="16"/>
      <c r="N585" s="21"/>
      <c r="O585" s="30"/>
      <c r="P585" s="91"/>
      <c r="R585" s="223"/>
      <c r="S585" s="54"/>
      <c r="V585" s="102"/>
      <c r="W585" s="191"/>
      <c r="X585" s="86"/>
      <c r="Z585" s="131"/>
      <c r="AA585" s="14"/>
      <c r="AG585" s="86"/>
      <c r="AJ585" s="86"/>
    </row>
    <row r="586">
      <c r="C586" s="88"/>
      <c r="D586" s="16"/>
      <c r="E586" s="16"/>
      <c r="F586" s="16"/>
      <c r="G586" s="16"/>
      <c r="H586" s="16"/>
      <c r="I586" s="16"/>
      <c r="J586" s="16"/>
      <c r="K586" s="16"/>
      <c r="L586" s="16"/>
      <c r="M586" s="16"/>
      <c r="N586" s="21"/>
      <c r="O586" s="30"/>
      <c r="P586" s="91"/>
      <c r="R586" s="223"/>
      <c r="S586" s="54"/>
      <c r="V586" s="102"/>
      <c r="W586" s="191"/>
      <c r="X586" s="86"/>
      <c r="Z586" s="131"/>
      <c r="AA586" s="14"/>
      <c r="AG586" s="86"/>
      <c r="AJ586" s="86"/>
    </row>
    <row r="587">
      <c r="C587" s="88"/>
      <c r="D587" s="16"/>
      <c r="E587" s="16"/>
      <c r="F587" s="16"/>
      <c r="G587" s="16"/>
      <c r="H587" s="16"/>
      <c r="I587" s="16"/>
      <c r="J587" s="16"/>
      <c r="K587" s="16"/>
      <c r="L587" s="16"/>
      <c r="M587" s="16"/>
      <c r="N587" s="21"/>
      <c r="O587" s="30"/>
      <c r="P587" s="91"/>
      <c r="R587" s="223"/>
      <c r="S587" s="54"/>
      <c r="V587" s="102"/>
      <c r="W587" s="191"/>
      <c r="X587" s="86"/>
      <c r="Z587" s="131"/>
      <c r="AA587" s="14"/>
      <c r="AG587" s="86"/>
      <c r="AJ587" s="86"/>
    </row>
    <row r="588">
      <c r="C588" s="88"/>
      <c r="D588" s="16"/>
      <c r="E588" s="16"/>
      <c r="F588" s="16"/>
      <c r="G588" s="16"/>
      <c r="H588" s="16"/>
      <c r="I588" s="16"/>
      <c r="J588" s="16"/>
      <c r="K588" s="16"/>
      <c r="L588" s="16"/>
      <c r="M588" s="16"/>
      <c r="N588" s="21"/>
      <c r="O588" s="30"/>
      <c r="P588" s="91"/>
      <c r="R588" s="223"/>
      <c r="S588" s="54"/>
      <c r="V588" s="102"/>
      <c r="W588" s="191"/>
      <c r="X588" s="86"/>
      <c r="Z588" s="131"/>
      <c r="AA588" s="14"/>
      <c r="AG588" s="86"/>
      <c r="AJ588" s="86"/>
    </row>
    <row r="589">
      <c r="C589" s="88"/>
      <c r="D589" s="16"/>
      <c r="E589" s="16"/>
      <c r="F589" s="16"/>
      <c r="G589" s="16"/>
      <c r="H589" s="16"/>
      <c r="I589" s="16"/>
      <c r="J589" s="16"/>
      <c r="K589" s="16"/>
      <c r="L589" s="16"/>
      <c r="M589" s="16"/>
      <c r="N589" s="21"/>
      <c r="O589" s="30"/>
      <c r="P589" s="91"/>
      <c r="R589" s="223"/>
      <c r="S589" s="54"/>
      <c r="V589" s="102"/>
      <c r="W589" s="191"/>
      <c r="X589" s="86"/>
      <c r="Z589" s="131"/>
      <c r="AA589" s="14"/>
      <c r="AG589" s="86"/>
      <c r="AJ589" s="86"/>
    </row>
    <row r="590">
      <c r="C590" s="88"/>
      <c r="D590" s="16"/>
      <c r="E590" s="16"/>
      <c r="F590" s="16"/>
      <c r="G590" s="16"/>
      <c r="H590" s="16"/>
      <c r="I590" s="16"/>
      <c r="J590" s="16"/>
      <c r="K590" s="16"/>
      <c r="L590" s="16"/>
      <c r="M590" s="16"/>
      <c r="N590" s="21"/>
      <c r="O590" s="30"/>
      <c r="P590" s="91"/>
      <c r="R590" s="223"/>
      <c r="S590" s="54"/>
      <c r="V590" s="102"/>
      <c r="W590" s="191"/>
      <c r="X590" s="86"/>
      <c r="Z590" s="131"/>
      <c r="AA590" s="14"/>
      <c r="AG590" s="86"/>
      <c r="AJ590" s="86"/>
    </row>
    <row r="591">
      <c r="C591" s="88"/>
      <c r="D591" s="16"/>
      <c r="E591" s="16"/>
      <c r="F591" s="16"/>
      <c r="G591" s="16"/>
      <c r="H591" s="16"/>
      <c r="I591" s="16"/>
      <c r="J591" s="16"/>
      <c r="K591" s="16"/>
      <c r="L591" s="16"/>
      <c r="M591" s="16"/>
      <c r="N591" s="21"/>
      <c r="O591" s="30"/>
      <c r="P591" s="91"/>
      <c r="R591" s="223"/>
      <c r="S591" s="54"/>
      <c r="V591" s="102"/>
      <c r="W591" s="191"/>
      <c r="X591" s="86"/>
      <c r="Z591" s="131"/>
      <c r="AA591" s="14"/>
      <c r="AG591" s="86"/>
      <c r="AJ591" s="86"/>
    </row>
    <row r="592">
      <c r="C592" s="88"/>
      <c r="D592" s="16"/>
      <c r="E592" s="16"/>
      <c r="F592" s="16"/>
      <c r="G592" s="16"/>
      <c r="H592" s="16"/>
      <c r="I592" s="16"/>
      <c r="J592" s="16"/>
      <c r="K592" s="16"/>
      <c r="L592" s="16"/>
      <c r="M592" s="16"/>
      <c r="N592" s="21"/>
      <c r="O592" s="30"/>
      <c r="P592" s="91"/>
      <c r="R592" s="223"/>
      <c r="S592" s="54"/>
      <c r="V592" s="102"/>
      <c r="W592" s="191"/>
      <c r="X592" s="86"/>
      <c r="Z592" s="131"/>
      <c r="AA592" s="14"/>
      <c r="AG592" s="86"/>
      <c r="AJ592" s="86"/>
    </row>
    <row r="593">
      <c r="C593" s="88"/>
      <c r="D593" s="16"/>
      <c r="E593" s="16"/>
      <c r="F593" s="16"/>
      <c r="G593" s="16"/>
      <c r="H593" s="16"/>
      <c r="I593" s="16"/>
      <c r="J593" s="16"/>
      <c r="K593" s="16"/>
      <c r="L593" s="16"/>
      <c r="M593" s="16"/>
      <c r="N593" s="21"/>
      <c r="O593" s="30"/>
      <c r="P593" s="91"/>
      <c r="R593" s="223"/>
      <c r="S593" s="54"/>
      <c r="V593" s="102"/>
      <c r="W593" s="191"/>
      <c r="X593" s="86"/>
      <c r="Z593" s="131"/>
      <c r="AA593" s="14"/>
      <c r="AG593" s="86"/>
      <c r="AJ593" s="86"/>
    </row>
    <row r="594">
      <c r="C594" s="88"/>
      <c r="D594" s="16"/>
      <c r="E594" s="16"/>
      <c r="F594" s="16"/>
      <c r="G594" s="16"/>
      <c r="H594" s="16"/>
      <c r="I594" s="16"/>
      <c r="J594" s="16"/>
      <c r="K594" s="16"/>
      <c r="L594" s="16"/>
      <c r="M594" s="16"/>
      <c r="N594" s="21"/>
      <c r="O594" s="30"/>
      <c r="P594" s="91"/>
      <c r="R594" s="223"/>
      <c r="S594" s="54"/>
      <c r="V594" s="102"/>
      <c r="W594" s="191"/>
      <c r="X594" s="86"/>
      <c r="Z594" s="131"/>
      <c r="AA594" s="14"/>
      <c r="AG594" s="86"/>
      <c r="AJ594" s="86"/>
    </row>
    <row r="595">
      <c r="C595" s="88"/>
      <c r="D595" s="16"/>
      <c r="E595" s="16"/>
      <c r="F595" s="16"/>
      <c r="G595" s="16"/>
      <c r="H595" s="16"/>
      <c r="I595" s="16"/>
      <c r="J595" s="16"/>
      <c r="K595" s="16"/>
      <c r="L595" s="16"/>
      <c r="M595" s="16"/>
      <c r="N595" s="21"/>
      <c r="O595" s="30"/>
      <c r="P595" s="91"/>
      <c r="R595" s="223"/>
      <c r="S595" s="54"/>
      <c r="V595" s="102"/>
      <c r="W595" s="191"/>
      <c r="X595" s="86"/>
      <c r="Z595" s="131"/>
      <c r="AA595" s="14"/>
      <c r="AG595" s="86"/>
      <c r="AJ595" s="86"/>
    </row>
    <row r="596">
      <c r="C596" s="88"/>
      <c r="D596" s="16"/>
      <c r="E596" s="16"/>
      <c r="F596" s="16"/>
      <c r="G596" s="16"/>
      <c r="H596" s="16"/>
      <c r="I596" s="16"/>
      <c r="J596" s="16"/>
      <c r="K596" s="16"/>
      <c r="L596" s="16"/>
      <c r="M596" s="16"/>
      <c r="N596" s="21"/>
      <c r="O596" s="30"/>
      <c r="P596" s="91"/>
      <c r="R596" s="223"/>
      <c r="S596" s="54"/>
      <c r="V596" s="102"/>
      <c r="W596" s="191"/>
      <c r="X596" s="86"/>
      <c r="Z596" s="131"/>
      <c r="AA596" s="14"/>
      <c r="AG596" s="86"/>
      <c r="AJ596" s="86"/>
    </row>
    <row r="597">
      <c r="C597" s="88"/>
      <c r="D597" s="16"/>
      <c r="E597" s="16"/>
      <c r="F597" s="16"/>
      <c r="G597" s="16"/>
      <c r="H597" s="16"/>
      <c r="I597" s="16"/>
      <c r="J597" s="16"/>
      <c r="K597" s="16"/>
      <c r="L597" s="16"/>
      <c r="M597" s="16"/>
      <c r="N597" s="21"/>
      <c r="O597" s="30"/>
      <c r="P597" s="91"/>
      <c r="R597" s="223"/>
      <c r="S597" s="54"/>
      <c r="V597" s="102"/>
      <c r="W597" s="191"/>
      <c r="X597" s="86"/>
      <c r="Z597" s="131"/>
      <c r="AA597" s="14"/>
      <c r="AG597" s="86"/>
      <c r="AJ597" s="86"/>
    </row>
    <row r="598">
      <c r="C598" s="88"/>
      <c r="D598" s="16"/>
      <c r="E598" s="16"/>
      <c r="F598" s="16"/>
      <c r="G598" s="16"/>
      <c r="H598" s="16"/>
      <c r="I598" s="16"/>
      <c r="J598" s="16"/>
      <c r="K598" s="16"/>
      <c r="L598" s="16"/>
      <c r="M598" s="16"/>
      <c r="N598" s="21"/>
      <c r="O598" s="30"/>
      <c r="P598" s="91"/>
      <c r="R598" s="223"/>
      <c r="S598" s="54"/>
      <c r="V598" s="102"/>
      <c r="W598" s="191"/>
      <c r="X598" s="86"/>
      <c r="Z598" s="131"/>
      <c r="AA598" s="14"/>
      <c r="AG598" s="86"/>
      <c r="AJ598" s="86"/>
    </row>
    <row r="599">
      <c r="C599" s="88"/>
      <c r="D599" s="16"/>
      <c r="E599" s="16"/>
      <c r="F599" s="16"/>
      <c r="G599" s="16"/>
      <c r="H599" s="16"/>
      <c r="I599" s="16"/>
      <c r="J599" s="16"/>
      <c r="K599" s="16"/>
      <c r="L599" s="16"/>
      <c r="M599" s="16"/>
      <c r="N599" s="21"/>
      <c r="O599" s="30"/>
      <c r="P599" s="91"/>
      <c r="R599" s="223"/>
      <c r="S599" s="54"/>
      <c r="V599" s="102"/>
      <c r="W599" s="191"/>
      <c r="X599" s="86"/>
      <c r="Z599" s="131"/>
      <c r="AA599" s="14"/>
      <c r="AG599" s="86"/>
      <c r="AJ599" s="86"/>
    </row>
    <row r="600">
      <c r="C600" s="88"/>
      <c r="D600" s="16"/>
      <c r="E600" s="16"/>
      <c r="F600" s="16"/>
      <c r="G600" s="16"/>
      <c r="H600" s="16"/>
      <c r="I600" s="16"/>
      <c r="J600" s="16"/>
      <c r="K600" s="16"/>
      <c r="L600" s="16"/>
      <c r="M600" s="16"/>
      <c r="N600" s="21"/>
      <c r="O600" s="30"/>
      <c r="P600" s="91"/>
      <c r="R600" s="223"/>
      <c r="S600" s="54"/>
      <c r="V600" s="102"/>
      <c r="W600" s="191"/>
      <c r="X600" s="86"/>
      <c r="Z600" s="131"/>
      <c r="AA600" s="14"/>
      <c r="AG600" s="86"/>
      <c r="AJ600" s="86"/>
    </row>
    <row r="601">
      <c r="C601" s="88"/>
      <c r="D601" s="16"/>
      <c r="E601" s="16"/>
      <c r="F601" s="16"/>
      <c r="G601" s="16"/>
      <c r="H601" s="16"/>
      <c r="I601" s="16"/>
      <c r="J601" s="16"/>
      <c r="K601" s="16"/>
      <c r="L601" s="16"/>
      <c r="M601" s="16"/>
      <c r="N601" s="21"/>
      <c r="O601" s="30"/>
      <c r="P601" s="91"/>
      <c r="R601" s="223"/>
      <c r="S601" s="54"/>
      <c r="V601" s="102"/>
      <c r="W601" s="191"/>
      <c r="X601" s="86"/>
      <c r="Z601" s="131"/>
      <c r="AA601" s="14"/>
      <c r="AG601" s="86"/>
      <c r="AJ601" s="86"/>
    </row>
    <row r="602">
      <c r="C602" s="88"/>
      <c r="D602" s="16"/>
      <c r="E602" s="16"/>
      <c r="F602" s="16"/>
      <c r="G602" s="16"/>
      <c r="H602" s="16"/>
      <c r="I602" s="16"/>
      <c r="J602" s="16"/>
      <c r="K602" s="16"/>
      <c r="L602" s="16"/>
      <c r="M602" s="16"/>
      <c r="N602" s="21"/>
      <c r="O602" s="30"/>
      <c r="P602" s="91"/>
      <c r="R602" s="223"/>
      <c r="S602" s="54"/>
      <c r="V602" s="102"/>
      <c r="W602" s="191"/>
      <c r="X602" s="86"/>
      <c r="Z602" s="131"/>
      <c r="AA602" s="14"/>
      <c r="AG602" s="86"/>
      <c r="AJ602" s="86"/>
    </row>
    <row r="603">
      <c r="C603" s="88"/>
      <c r="D603" s="16"/>
      <c r="E603" s="16"/>
      <c r="F603" s="16"/>
      <c r="G603" s="16"/>
      <c r="H603" s="16"/>
      <c r="I603" s="16"/>
      <c r="J603" s="16"/>
      <c r="K603" s="16"/>
      <c r="L603" s="16"/>
      <c r="M603" s="16"/>
      <c r="N603" s="21"/>
      <c r="O603" s="30"/>
      <c r="P603" s="91"/>
      <c r="R603" s="223"/>
      <c r="S603" s="54"/>
      <c r="V603" s="102"/>
      <c r="W603" s="191"/>
      <c r="X603" s="86"/>
      <c r="Z603" s="131"/>
      <c r="AA603" s="14"/>
      <c r="AG603" s="86"/>
      <c r="AJ603" s="86"/>
    </row>
    <row r="604">
      <c r="C604" s="88"/>
      <c r="D604" s="16"/>
      <c r="E604" s="16"/>
      <c r="F604" s="16"/>
      <c r="G604" s="16"/>
      <c r="H604" s="16"/>
      <c r="I604" s="16"/>
      <c r="J604" s="16"/>
      <c r="K604" s="16"/>
      <c r="L604" s="16"/>
      <c r="M604" s="16"/>
      <c r="N604" s="21"/>
      <c r="O604" s="30"/>
      <c r="P604" s="91"/>
      <c r="R604" s="223"/>
      <c r="S604" s="54"/>
      <c r="V604" s="102"/>
      <c r="W604" s="191"/>
      <c r="X604" s="86"/>
      <c r="Z604" s="131"/>
      <c r="AA604" s="14"/>
      <c r="AG604" s="86"/>
      <c r="AJ604" s="86"/>
    </row>
    <row r="605">
      <c r="C605" s="88"/>
      <c r="D605" s="16"/>
      <c r="E605" s="16"/>
      <c r="F605" s="16"/>
      <c r="G605" s="16"/>
      <c r="H605" s="16"/>
      <c r="I605" s="16"/>
      <c r="J605" s="16"/>
      <c r="K605" s="16"/>
      <c r="L605" s="16"/>
      <c r="M605" s="16"/>
      <c r="N605" s="21"/>
      <c r="O605" s="30"/>
      <c r="P605" s="91"/>
      <c r="R605" s="223"/>
      <c r="S605" s="54"/>
      <c r="V605" s="102"/>
      <c r="W605" s="191"/>
      <c r="X605" s="86"/>
      <c r="Z605" s="131"/>
      <c r="AA605" s="14"/>
      <c r="AG605" s="86"/>
      <c r="AJ605" s="86"/>
    </row>
    <row r="606">
      <c r="C606" s="88"/>
      <c r="D606" s="16"/>
      <c r="E606" s="16"/>
      <c r="F606" s="16"/>
      <c r="G606" s="16"/>
      <c r="H606" s="16"/>
      <c r="I606" s="16"/>
      <c r="J606" s="16"/>
      <c r="K606" s="16"/>
      <c r="L606" s="16"/>
      <c r="M606" s="16"/>
      <c r="N606" s="21"/>
      <c r="O606" s="30"/>
      <c r="P606" s="91"/>
      <c r="R606" s="223"/>
      <c r="S606" s="54"/>
      <c r="V606" s="102"/>
      <c r="W606" s="191"/>
      <c r="X606" s="86"/>
      <c r="Z606" s="131"/>
      <c r="AA606" s="14"/>
      <c r="AG606" s="86"/>
      <c r="AJ606" s="86"/>
    </row>
    <row r="607">
      <c r="C607" s="88"/>
      <c r="D607" s="16"/>
      <c r="E607" s="16"/>
      <c r="F607" s="16"/>
      <c r="G607" s="16"/>
      <c r="H607" s="16"/>
      <c r="I607" s="16"/>
      <c r="J607" s="16"/>
      <c r="K607" s="16"/>
      <c r="L607" s="16"/>
      <c r="M607" s="16"/>
      <c r="N607" s="21"/>
      <c r="O607" s="30"/>
      <c r="P607" s="91"/>
      <c r="R607" s="223"/>
      <c r="S607" s="54"/>
      <c r="V607" s="102"/>
      <c r="W607" s="191"/>
      <c r="X607" s="86"/>
      <c r="Z607" s="131"/>
      <c r="AA607" s="14"/>
      <c r="AG607" s="86"/>
      <c r="AJ607" s="86"/>
    </row>
    <row r="608">
      <c r="C608" s="88"/>
      <c r="D608" s="16"/>
      <c r="E608" s="16"/>
      <c r="F608" s="16"/>
      <c r="G608" s="16"/>
      <c r="H608" s="16"/>
      <c r="I608" s="16"/>
      <c r="J608" s="16"/>
      <c r="K608" s="16"/>
      <c r="L608" s="16"/>
      <c r="M608" s="16"/>
      <c r="N608" s="21"/>
      <c r="O608" s="30"/>
      <c r="P608" s="91"/>
      <c r="R608" s="223"/>
      <c r="S608" s="54"/>
      <c r="V608" s="102"/>
      <c r="W608" s="191"/>
      <c r="X608" s="86"/>
      <c r="Z608" s="131"/>
      <c r="AA608" s="14"/>
      <c r="AG608" s="86"/>
      <c r="AJ608" s="86"/>
    </row>
    <row r="609">
      <c r="C609" s="88"/>
      <c r="D609" s="16"/>
      <c r="E609" s="16"/>
      <c r="F609" s="16"/>
      <c r="G609" s="16"/>
      <c r="H609" s="16"/>
      <c r="I609" s="16"/>
      <c r="J609" s="16"/>
      <c r="K609" s="16"/>
      <c r="L609" s="16"/>
      <c r="M609" s="16"/>
      <c r="N609" s="21"/>
      <c r="O609" s="30"/>
      <c r="P609" s="91"/>
      <c r="R609" s="223"/>
      <c r="S609" s="54"/>
      <c r="V609" s="102"/>
      <c r="W609" s="191"/>
      <c r="X609" s="86"/>
      <c r="Z609" s="131"/>
      <c r="AA609" s="14"/>
      <c r="AG609" s="86"/>
      <c r="AJ609" s="86"/>
    </row>
    <row r="610">
      <c r="C610" s="88"/>
      <c r="D610" s="16"/>
      <c r="E610" s="16"/>
      <c r="F610" s="16"/>
      <c r="G610" s="16"/>
      <c r="H610" s="16"/>
      <c r="I610" s="16"/>
      <c r="J610" s="16"/>
      <c r="K610" s="16"/>
      <c r="L610" s="16"/>
      <c r="M610" s="16"/>
      <c r="N610" s="21"/>
      <c r="O610" s="30"/>
      <c r="P610" s="91"/>
      <c r="R610" s="223"/>
      <c r="S610" s="54"/>
      <c r="V610" s="102"/>
      <c r="W610" s="191"/>
      <c r="X610" s="86"/>
      <c r="Z610" s="131"/>
      <c r="AA610" s="14"/>
      <c r="AG610" s="86"/>
      <c r="AJ610" s="86"/>
    </row>
    <row r="611">
      <c r="C611" s="88"/>
      <c r="D611" s="16"/>
      <c r="E611" s="16"/>
      <c r="F611" s="16"/>
      <c r="G611" s="16"/>
      <c r="H611" s="16"/>
      <c r="I611" s="16"/>
      <c r="J611" s="16"/>
      <c r="K611" s="16"/>
      <c r="L611" s="16"/>
      <c r="M611" s="16"/>
      <c r="N611" s="21"/>
      <c r="O611" s="30"/>
      <c r="P611" s="91"/>
      <c r="R611" s="223"/>
      <c r="S611" s="54"/>
      <c r="V611" s="102"/>
      <c r="W611" s="191"/>
      <c r="X611" s="86"/>
      <c r="Z611" s="131"/>
      <c r="AA611" s="14"/>
      <c r="AG611" s="86"/>
      <c r="AJ611" s="86"/>
    </row>
    <row r="612">
      <c r="C612" s="88"/>
      <c r="D612" s="16"/>
      <c r="E612" s="16"/>
      <c r="F612" s="16"/>
      <c r="G612" s="16"/>
      <c r="H612" s="16"/>
      <c r="I612" s="16"/>
      <c r="J612" s="16"/>
      <c r="K612" s="16"/>
      <c r="L612" s="16"/>
      <c r="M612" s="16"/>
      <c r="N612" s="21"/>
      <c r="O612" s="30"/>
      <c r="P612" s="91"/>
      <c r="R612" s="223"/>
      <c r="S612" s="54"/>
      <c r="V612" s="102"/>
      <c r="W612" s="191"/>
      <c r="X612" s="86"/>
      <c r="Z612" s="131"/>
      <c r="AA612" s="14"/>
      <c r="AG612" s="86"/>
      <c r="AJ612" s="86"/>
    </row>
    <row r="613">
      <c r="C613" s="88"/>
      <c r="D613" s="16"/>
      <c r="E613" s="16"/>
      <c r="F613" s="16"/>
      <c r="G613" s="16"/>
      <c r="H613" s="16"/>
      <c r="I613" s="16"/>
      <c r="J613" s="16"/>
      <c r="K613" s="16"/>
      <c r="L613" s="16"/>
      <c r="M613" s="16"/>
      <c r="N613" s="21"/>
      <c r="O613" s="30"/>
      <c r="P613" s="91"/>
      <c r="R613" s="223"/>
      <c r="S613" s="54"/>
      <c r="V613" s="102"/>
      <c r="W613" s="191"/>
      <c r="X613" s="86"/>
      <c r="Z613" s="131"/>
      <c r="AA613" s="14"/>
      <c r="AG613" s="86"/>
      <c r="AJ613" s="86"/>
    </row>
    <row r="614">
      <c r="C614" s="88"/>
      <c r="D614" s="16"/>
      <c r="E614" s="16"/>
      <c r="F614" s="16"/>
      <c r="G614" s="16"/>
      <c r="H614" s="16"/>
      <c r="I614" s="16"/>
      <c r="J614" s="16"/>
      <c r="K614" s="16"/>
      <c r="L614" s="16"/>
      <c r="M614" s="16"/>
      <c r="N614" s="21"/>
      <c r="O614" s="30"/>
      <c r="P614" s="91"/>
      <c r="R614" s="223"/>
      <c r="S614" s="54"/>
      <c r="V614" s="102"/>
      <c r="W614" s="191"/>
      <c r="X614" s="86"/>
      <c r="Z614" s="131"/>
      <c r="AA614" s="14"/>
      <c r="AG614" s="86"/>
      <c r="AJ614" s="86"/>
    </row>
    <row r="615">
      <c r="C615" s="88"/>
      <c r="D615" s="16"/>
      <c r="E615" s="16"/>
      <c r="F615" s="16"/>
      <c r="G615" s="16"/>
      <c r="H615" s="16"/>
      <c r="I615" s="16"/>
      <c r="J615" s="16"/>
      <c r="K615" s="16"/>
      <c r="L615" s="16"/>
      <c r="M615" s="16"/>
      <c r="N615" s="21"/>
      <c r="O615" s="30"/>
      <c r="P615" s="91"/>
      <c r="R615" s="223"/>
      <c r="S615" s="54"/>
      <c r="V615" s="102"/>
      <c r="W615" s="191"/>
      <c r="X615" s="86"/>
      <c r="Z615" s="131"/>
      <c r="AA615" s="14"/>
      <c r="AG615" s="86"/>
      <c r="AJ615" s="86"/>
    </row>
    <row r="616">
      <c r="C616" s="88"/>
      <c r="D616" s="16"/>
      <c r="E616" s="16"/>
      <c r="F616" s="16"/>
      <c r="G616" s="16"/>
      <c r="H616" s="16"/>
      <c r="I616" s="16"/>
      <c r="J616" s="16"/>
      <c r="K616" s="16"/>
      <c r="L616" s="16"/>
      <c r="M616" s="16"/>
      <c r="N616" s="21"/>
      <c r="O616" s="30"/>
      <c r="P616" s="91"/>
      <c r="R616" s="223"/>
      <c r="S616" s="54"/>
      <c r="V616" s="102"/>
      <c r="W616" s="191"/>
      <c r="X616" s="86"/>
      <c r="Z616" s="131"/>
      <c r="AA616" s="14"/>
      <c r="AG616" s="86"/>
      <c r="AJ616" s="86"/>
    </row>
    <row r="617">
      <c r="C617" s="88"/>
      <c r="D617" s="16"/>
      <c r="E617" s="16"/>
      <c r="F617" s="16"/>
      <c r="G617" s="16"/>
      <c r="H617" s="16"/>
      <c r="I617" s="16"/>
      <c r="J617" s="16"/>
      <c r="K617" s="16"/>
      <c r="L617" s="16"/>
      <c r="M617" s="16"/>
      <c r="N617" s="21"/>
      <c r="O617" s="30"/>
      <c r="P617" s="91"/>
      <c r="R617" s="223"/>
      <c r="S617" s="54"/>
      <c r="V617" s="102"/>
      <c r="W617" s="191"/>
      <c r="X617" s="86"/>
      <c r="Z617" s="131"/>
      <c r="AA617" s="14"/>
      <c r="AG617" s="86"/>
      <c r="AJ617" s="86"/>
    </row>
    <row r="618">
      <c r="C618" s="88"/>
      <c r="D618" s="16"/>
      <c r="E618" s="16"/>
      <c r="F618" s="16"/>
      <c r="G618" s="16"/>
      <c r="H618" s="16"/>
      <c r="I618" s="16"/>
      <c r="J618" s="16"/>
      <c r="K618" s="16"/>
      <c r="L618" s="16"/>
      <c r="M618" s="16"/>
      <c r="N618" s="21"/>
      <c r="O618" s="30"/>
      <c r="P618" s="91"/>
      <c r="R618" s="223"/>
      <c r="S618" s="54"/>
      <c r="V618" s="102"/>
      <c r="W618" s="191"/>
      <c r="X618" s="86"/>
      <c r="Z618" s="131"/>
      <c r="AA618" s="14"/>
      <c r="AG618" s="86"/>
      <c r="AJ618" s="86"/>
    </row>
    <row r="619">
      <c r="C619" s="88"/>
      <c r="D619" s="16"/>
      <c r="E619" s="16"/>
      <c r="F619" s="16"/>
      <c r="G619" s="16"/>
      <c r="H619" s="16"/>
      <c r="I619" s="16"/>
      <c r="J619" s="16"/>
      <c r="K619" s="16"/>
      <c r="L619" s="16"/>
      <c r="M619" s="16"/>
      <c r="N619" s="21"/>
      <c r="O619" s="30"/>
      <c r="P619" s="91"/>
      <c r="R619" s="223"/>
      <c r="S619" s="54"/>
      <c r="V619" s="102"/>
      <c r="W619" s="191"/>
      <c r="X619" s="86"/>
      <c r="Z619" s="131"/>
      <c r="AA619" s="14"/>
      <c r="AG619" s="86"/>
      <c r="AJ619" s="86"/>
    </row>
    <row r="620">
      <c r="C620" s="88"/>
      <c r="D620" s="16"/>
      <c r="E620" s="16"/>
      <c r="F620" s="16"/>
      <c r="G620" s="16"/>
      <c r="H620" s="16"/>
      <c r="I620" s="16"/>
      <c r="J620" s="16"/>
      <c r="K620" s="16"/>
      <c r="L620" s="16"/>
      <c r="M620" s="16"/>
      <c r="N620" s="21"/>
      <c r="O620" s="30"/>
      <c r="P620" s="91"/>
      <c r="R620" s="223"/>
      <c r="S620" s="54"/>
      <c r="V620" s="102"/>
      <c r="W620" s="191"/>
      <c r="X620" s="86"/>
      <c r="Z620" s="131"/>
      <c r="AA620" s="14"/>
      <c r="AG620" s="86"/>
      <c r="AJ620" s="86"/>
    </row>
    <row r="621">
      <c r="C621" s="88"/>
      <c r="D621" s="16"/>
      <c r="E621" s="16"/>
      <c r="F621" s="16"/>
      <c r="G621" s="16"/>
      <c r="H621" s="16"/>
      <c r="I621" s="16"/>
      <c r="J621" s="16"/>
      <c r="K621" s="16"/>
      <c r="L621" s="16"/>
      <c r="M621" s="16"/>
      <c r="N621" s="21"/>
      <c r="O621" s="30"/>
      <c r="P621" s="91"/>
      <c r="R621" s="223"/>
      <c r="S621" s="54"/>
      <c r="V621" s="102"/>
      <c r="W621" s="191"/>
      <c r="X621" s="86"/>
      <c r="Z621" s="131"/>
      <c r="AA621" s="14"/>
      <c r="AG621" s="86"/>
      <c r="AJ621" s="86"/>
    </row>
    <row r="622">
      <c r="C622" s="88"/>
      <c r="D622" s="16"/>
      <c r="E622" s="16"/>
      <c r="F622" s="16"/>
      <c r="G622" s="16"/>
      <c r="H622" s="16"/>
      <c r="I622" s="16"/>
      <c r="J622" s="16"/>
      <c r="K622" s="16"/>
      <c r="L622" s="16"/>
      <c r="M622" s="16"/>
      <c r="N622" s="21"/>
      <c r="O622" s="30"/>
      <c r="P622" s="91"/>
      <c r="R622" s="223"/>
      <c r="S622" s="54"/>
      <c r="V622" s="102"/>
      <c r="W622" s="191"/>
      <c r="X622" s="86"/>
      <c r="Z622" s="131"/>
      <c r="AA622" s="14"/>
      <c r="AG622" s="86"/>
      <c r="AJ622" s="86"/>
    </row>
    <row r="623">
      <c r="C623" s="88"/>
      <c r="D623" s="16"/>
      <c r="E623" s="16"/>
      <c r="F623" s="16"/>
      <c r="G623" s="16"/>
      <c r="H623" s="16"/>
      <c r="I623" s="16"/>
      <c r="J623" s="16"/>
      <c r="K623" s="16"/>
      <c r="L623" s="16"/>
      <c r="M623" s="16"/>
      <c r="N623" s="21"/>
      <c r="O623" s="30"/>
      <c r="P623" s="91"/>
      <c r="R623" s="223"/>
      <c r="S623" s="54"/>
      <c r="V623" s="102"/>
      <c r="W623" s="191"/>
      <c r="X623" s="86"/>
      <c r="Z623" s="131"/>
      <c r="AA623" s="14"/>
      <c r="AG623" s="86"/>
      <c r="AJ623" s="86"/>
    </row>
    <row r="624">
      <c r="C624" s="88"/>
      <c r="D624" s="16"/>
      <c r="E624" s="16"/>
      <c r="F624" s="16"/>
      <c r="G624" s="16"/>
      <c r="H624" s="16"/>
      <c r="I624" s="16"/>
      <c r="J624" s="16"/>
      <c r="K624" s="16"/>
      <c r="L624" s="16"/>
      <c r="M624" s="16"/>
      <c r="N624" s="21"/>
      <c r="O624" s="30"/>
      <c r="P624" s="91"/>
      <c r="R624" s="223"/>
      <c r="S624" s="54"/>
      <c r="V624" s="102"/>
      <c r="W624" s="191"/>
      <c r="X624" s="86"/>
      <c r="Z624" s="131"/>
      <c r="AA624" s="14"/>
      <c r="AG624" s="86"/>
      <c r="AJ624" s="86"/>
    </row>
    <row r="625">
      <c r="C625" s="88"/>
      <c r="D625" s="16"/>
      <c r="E625" s="16"/>
      <c r="F625" s="16"/>
      <c r="G625" s="16"/>
      <c r="H625" s="16"/>
      <c r="I625" s="16"/>
      <c r="J625" s="16"/>
      <c r="K625" s="16"/>
      <c r="L625" s="16"/>
      <c r="M625" s="16"/>
      <c r="N625" s="21"/>
      <c r="O625" s="30"/>
      <c r="P625" s="91"/>
      <c r="R625" s="223"/>
      <c r="S625" s="54"/>
      <c r="V625" s="102"/>
      <c r="W625" s="191"/>
      <c r="X625" s="86"/>
      <c r="Z625" s="131"/>
      <c r="AA625" s="14"/>
      <c r="AG625" s="86"/>
      <c r="AJ625" s="86"/>
    </row>
    <row r="626">
      <c r="C626" s="88"/>
      <c r="D626" s="16"/>
      <c r="E626" s="16"/>
      <c r="F626" s="16"/>
      <c r="G626" s="16"/>
      <c r="H626" s="16"/>
      <c r="I626" s="16"/>
      <c r="J626" s="16"/>
      <c r="K626" s="16"/>
      <c r="L626" s="16"/>
      <c r="M626" s="16"/>
      <c r="N626" s="21"/>
      <c r="O626" s="30"/>
      <c r="P626" s="91"/>
      <c r="R626" s="223"/>
      <c r="S626" s="54"/>
      <c r="V626" s="102"/>
      <c r="W626" s="191"/>
      <c r="X626" s="86"/>
      <c r="Z626" s="131"/>
      <c r="AA626" s="14"/>
      <c r="AG626" s="86"/>
      <c r="AJ626" s="86"/>
    </row>
    <row r="627">
      <c r="C627" s="88"/>
      <c r="D627" s="16"/>
      <c r="E627" s="16"/>
      <c r="F627" s="16"/>
      <c r="G627" s="16"/>
      <c r="H627" s="16"/>
      <c r="I627" s="16"/>
      <c r="J627" s="16"/>
      <c r="K627" s="16"/>
      <c r="L627" s="16"/>
      <c r="M627" s="16"/>
      <c r="N627" s="21"/>
      <c r="O627" s="30"/>
      <c r="P627" s="91"/>
      <c r="R627" s="223"/>
      <c r="S627" s="54"/>
      <c r="V627" s="102"/>
      <c r="W627" s="191"/>
      <c r="X627" s="86"/>
      <c r="Z627" s="131"/>
      <c r="AA627" s="14"/>
      <c r="AG627" s="86"/>
      <c r="AJ627" s="86"/>
    </row>
    <row r="628">
      <c r="C628" s="88"/>
      <c r="D628" s="16"/>
      <c r="E628" s="16"/>
      <c r="F628" s="16"/>
      <c r="G628" s="16"/>
      <c r="H628" s="16"/>
      <c r="I628" s="16"/>
      <c r="J628" s="16"/>
      <c r="K628" s="16"/>
      <c r="L628" s="16"/>
      <c r="M628" s="16"/>
      <c r="N628" s="21"/>
      <c r="O628" s="30"/>
      <c r="P628" s="91"/>
      <c r="R628" s="223"/>
      <c r="S628" s="54"/>
      <c r="V628" s="102"/>
      <c r="W628" s="191"/>
      <c r="X628" s="86"/>
      <c r="Z628" s="131"/>
      <c r="AA628" s="14"/>
      <c r="AG628" s="86"/>
      <c r="AJ628" s="86"/>
    </row>
    <row r="629">
      <c r="C629" s="88"/>
      <c r="D629" s="16"/>
      <c r="E629" s="16"/>
      <c r="F629" s="16"/>
      <c r="G629" s="16"/>
      <c r="H629" s="16"/>
      <c r="I629" s="16"/>
      <c r="J629" s="16"/>
      <c r="K629" s="16"/>
      <c r="L629" s="16"/>
      <c r="M629" s="16"/>
      <c r="N629" s="21"/>
      <c r="O629" s="30"/>
      <c r="P629" s="91"/>
      <c r="R629" s="223"/>
      <c r="S629" s="54"/>
      <c r="V629" s="102"/>
      <c r="W629" s="191"/>
      <c r="X629" s="86"/>
      <c r="Z629" s="131"/>
      <c r="AA629" s="14"/>
      <c r="AG629" s="86"/>
      <c r="AJ629" s="86"/>
    </row>
    <row r="630">
      <c r="C630" s="88"/>
      <c r="D630" s="16"/>
      <c r="E630" s="16"/>
      <c r="F630" s="16"/>
      <c r="G630" s="16"/>
      <c r="H630" s="16"/>
      <c r="I630" s="16"/>
      <c r="J630" s="16"/>
      <c r="K630" s="16"/>
      <c r="L630" s="16"/>
      <c r="M630" s="16"/>
      <c r="N630" s="21"/>
      <c r="O630" s="30"/>
      <c r="P630" s="91"/>
      <c r="R630" s="223"/>
      <c r="S630" s="54"/>
      <c r="V630" s="102"/>
      <c r="W630" s="191"/>
      <c r="X630" s="86"/>
      <c r="Z630" s="131"/>
      <c r="AA630" s="14"/>
      <c r="AG630" s="86"/>
      <c r="AJ630" s="86"/>
    </row>
    <row r="631">
      <c r="C631" s="88"/>
      <c r="D631" s="16"/>
      <c r="E631" s="16"/>
      <c r="F631" s="16"/>
      <c r="G631" s="16"/>
      <c r="H631" s="16"/>
      <c r="I631" s="16"/>
      <c r="J631" s="16"/>
      <c r="K631" s="16"/>
      <c r="L631" s="16"/>
      <c r="M631" s="16"/>
      <c r="N631" s="21"/>
      <c r="O631" s="30"/>
      <c r="P631" s="91"/>
      <c r="R631" s="223"/>
      <c r="S631" s="54"/>
      <c r="V631" s="102"/>
      <c r="W631" s="191"/>
      <c r="X631" s="86"/>
      <c r="Z631" s="131"/>
      <c r="AA631" s="14"/>
      <c r="AG631" s="86"/>
      <c r="AJ631" s="86"/>
    </row>
    <row r="632">
      <c r="C632" s="88"/>
      <c r="D632" s="16"/>
      <c r="E632" s="16"/>
      <c r="F632" s="16"/>
      <c r="G632" s="16"/>
      <c r="H632" s="16"/>
      <c r="I632" s="16"/>
      <c r="J632" s="16"/>
      <c r="K632" s="16"/>
      <c r="L632" s="16"/>
      <c r="M632" s="16"/>
      <c r="N632" s="21"/>
      <c r="O632" s="30"/>
      <c r="P632" s="91"/>
      <c r="R632" s="223"/>
      <c r="S632" s="54"/>
      <c r="V632" s="102"/>
      <c r="W632" s="191"/>
      <c r="X632" s="86"/>
      <c r="Z632" s="131"/>
      <c r="AA632" s="14"/>
      <c r="AG632" s="86"/>
      <c r="AJ632" s="86"/>
    </row>
    <row r="633">
      <c r="C633" s="88"/>
      <c r="D633" s="16"/>
      <c r="E633" s="16"/>
      <c r="F633" s="16"/>
      <c r="G633" s="16"/>
      <c r="H633" s="16"/>
      <c r="I633" s="16"/>
      <c r="J633" s="16"/>
      <c r="K633" s="16"/>
      <c r="L633" s="16"/>
      <c r="M633" s="16"/>
      <c r="N633" s="21"/>
      <c r="O633" s="30"/>
      <c r="P633" s="91"/>
      <c r="R633" s="223"/>
      <c r="S633" s="54"/>
      <c r="V633" s="102"/>
      <c r="W633" s="191"/>
      <c r="X633" s="86"/>
      <c r="Z633" s="131"/>
      <c r="AA633" s="14"/>
      <c r="AG633" s="86"/>
      <c r="AJ633" s="86"/>
    </row>
    <row r="634">
      <c r="C634" s="88"/>
      <c r="D634" s="16"/>
      <c r="E634" s="16"/>
      <c r="F634" s="16"/>
      <c r="G634" s="16"/>
      <c r="H634" s="16"/>
      <c r="I634" s="16"/>
      <c r="J634" s="16"/>
      <c r="K634" s="16"/>
      <c r="L634" s="16"/>
      <c r="M634" s="16"/>
      <c r="N634" s="21"/>
      <c r="O634" s="30"/>
      <c r="P634" s="91"/>
      <c r="R634" s="223"/>
      <c r="S634" s="54"/>
      <c r="V634" s="102"/>
      <c r="W634" s="191"/>
      <c r="X634" s="86"/>
      <c r="Z634" s="131"/>
      <c r="AA634" s="14"/>
      <c r="AG634" s="86"/>
      <c r="AJ634" s="86"/>
    </row>
    <row r="635">
      <c r="C635" s="88"/>
      <c r="D635" s="16"/>
      <c r="E635" s="16"/>
      <c r="F635" s="16"/>
      <c r="G635" s="16"/>
      <c r="H635" s="16"/>
      <c r="I635" s="16"/>
      <c r="J635" s="16"/>
      <c r="K635" s="16"/>
      <c r="L635" s="16"/>
      <c r="M635" s="16"/>
      <c r="N635" s="21"/>
      <c r="O635" s="30"/>
      <c r="P635" s="91"/>
      <c r="R635" s="223"/>
      <c r="S635" s="54"/>
      <c r="V635" s="102"/>
      <c r="W635" s="191"/>
      <c r="X635" s="86"/>
      <c r="Z635" s="131"/>
      <c r="AA635" s="14"/>
      <c r="AG635" s="86"/>
      <c r="AJ635" s="86"/>
    </row>
    <row r="636">
      <c r="C636" s="88"/>
      <c r="D636" s="16"/>
      <c r="E636" s="16"/>
      <c r="F636" s="16"/>
      <c r="G636" s="16"/>
      <c r="H636" s="16"/>
      <c r="I636" s="16"/>
      <c r="J636" s="16"/>
      <c r="K636" s="16"/>
      <c r="L636" s="16"/>
      <c r="M636" s="16"/>
      <c r="N636" s="21"/>
      <c r="O636" s="30"/>
      <c r="P636" s="91"/>
      <c r="R636" s="223"/>
      <c r="S636" s="54"/>
      <c r="V636" s="102"/>
      <c r="W636" s="191"/>
      <c r="X636" s="86"/>
      <c r="Z636" s="131"/>
      <c r="AA636" s="14"/>
      <c r="AG636" s="86"/>
      <c r="AJ636" s="86"/>
    </row>
    <row r="637">
      <c r="C637" s="88"/>
      <c r="D637" s="16"/>
      <c r="E637" s="16"/>
      <c r="F637" s="16"/>
      <c r="G637" s="16"/>
      <c r="H637" s="16"/>
      <c r="I637" s="16"/>
      <c r="J637" s="16"/>
      <c r="K637" s="16"/>
      <c r="L637" s="16"/>
      <c r="M637" s="16"/>
      <c r="N637" s="21"/>
      <c r="O637" s="30"/>
      <c r="P637" s="91"/>
      <c r="R637" s="223"/>
      <c r="S637" s="54"/>
      <c r="V637" s="102"/>
      <c r="W637" s="191"/>
      <c r="X637" s="86"/>
      <c r="Z637" s="131"/>
      <c r="AA637" s="14"/>
      <c r="AG637" s="86"/>
      <c r="AJ637" s="86"/>
    </row>
    <row r="638">
      <c r="C638" s="88"/>
      <c r="D638" s="16"/>
      <c r="E638" s="16"/>
      <c r="F638" s="16"/>
      <c r="G638" s="16"/>
      <c r="H638" s="16"/>
      <c r="I638" s="16"/>
      <c r="J638" s="16"/>
      <c r="K638" s="16"/>
      <c r="L638" s="16"/>
      <c r="M638" s="16"/>
      <c r="N638" s="21"/>
      <c r="O638" s="30"/>
      <c r="P638" s="91"/>
      <c r="R638" s="223"/>
      <c r="S638" s="54"/>
      <c r="V638" s="102"/>
      <c r="W638" s="191"/>
      <c r="X638" s="86"/>
      <c r="Z638" s="131"/>
      <c r="AA638" s="14"/>
      <c r="AG638" s="86"/>
      <c r="AJ638" s="86"/>
    </row>
    <row r="639">
      <c r="C639" s="88"/>
      <c r="D639" s="16"/>
      <c r="E639" s="16"/>
      <c r="F639" s="16"/>
      <c r="G639" s="16"/>
      <c r="H639" s="16"/>
      <c r="I639" s="16"/>
      <c r="J639" s="16"/>
      <c r="K639" s="16"/>
      <c r="L639" s="16"/>
      <c r="M639" s="16"/>
      <c r="N639" s="21"/>
      <c r="O639" s="30"/>
      <c r="P639" s="91"/>
      <c r="R639" s="223"/>
      <c r="S639" s="54"/>
      <c r="V639" s="102"/>
      <c r="W639" s="191"/>
      <c r="X639" s="86"/>
      <c r="Z639" s="131"/>
      <c r="AA639" s="14"/>
      <c r="AG639" s="86"/>
      <c r="AJ639" s="86"/>
    </row>
    <row r="640">
      <c r="C640" s="88"/>
      <c r="D640" s="16"/>
      <c r="E640" s="16"/>
      <c r="F640" s="16"/>
      <c r="G640" s="16"/>
      <c r="H640" s="16"/>
      <c r="I640" s="16"/>
      <c r="J640" s="16"/>
      <c r="K640" s="16"/>
      <c r="L640" s="16"/>
      <c r="M640" s="16"/>
      <c r="N640" s="21"/>
      <c r="O640" s="30"/>
      <c r="P640" s="91"/>
      <c r="R640" s="223"/>
      <c r="S640" s="54"/>
      <c r="V640" s="102"/>
      <c r="W640" s="191"/>
      <c r="X640" s="86"/>
      <c r="Z640" s="131"/>
      <c r="AA640" s="14"/>
      <c r="AG640" s="86"/>
      <c r="AJ640" s="86"/>
    </row>
    <row r="641">
      <c r="C641" s="88"/>
      <c r="D641" s="16"/>
      <c r="E641" s="16"/>
      <c r="F641" s="16"/>
      <c r="G641" s="16"/>
      <c r="H641" s="16"/>
      <c r="I641" s="16"/>
      <c r="J641" s="16"/>
      <c r="K641" s="16"/>
      <c r="L641" s="16"/>
      <c r="M641" s="16"/>
      <c r="N641" s="21"/>
      <c r="O641" s="30"/>
      <c r="P641" s="91"/>
      <c r="R641" s="223"/>
      <c r="S641" s="54"/>
      <c r="V641" s="102"/>
      <c r="W641" s="191"/>
      <c r="X641" s="86"/>
      <c r="Z641" s="131"/>
      <c r="AA641" s="14"/>
      <c r="AG641" s="86"/>
      <c r="AJ641" s="86"/>
    </row>
    <row r="642">
      <c r="C642" s="88"/>
      <c r="D642" s="16"/>
      <c r="E642" s="16"/>
      <c r="F642" s="16"/>
      <c r="G642" s="16"/>
      <c r="H642" s="16"/>
      <c r="I642" s="16"/>
      <c r="J642" s="16"/>
      <c r="K642" s="16"/>
      <c r="L642" s="16"/>
      <c r="M642" s="16"/>
      <c r="N642" s="21"/>
      <c r="O642" s="30"/>
      <c r="P642" s="91"/>
      <c r="R642" s="223"/>
      <c r="S642" s="54"/>
      <c r="V642" s="102"/>
      <c r="W642" s="191"/>
      <c r="X642" s="86"/>
      <c r="Z642" s="131"/>
      <c r="AA642" s="14"/>
      <c r="AG642" s="86"/>
      <c r="AJ642" s="86"/>
    </row>
    <row r="643">
      <c r="C643" s="88"/>
      <c r="D643" s="16"/>
      <c r="E643" s="16"/>
      <c r="F643" s="16"/>
      <c r="G643" s="16"/>
      <c r="H643" s="16"/>
      <c r="I643" s="16"/>
      <c r="J643" s="16"/>
      <c r="K643" s="16"/>
      <c r="L643" s="16"/>
      <c r="M643" s="16"/>
      <c r="N643" s="21"/>
      <c r="O643" s="30"/>
      <c r="P643" s="91"/>
      <c r="R643" s="223"/>
      <c r="S643" s="54"/>
      <c r="V643" s="102"/>
      <c r="W643" s="191"/>
      <c r="X643" s="86"/>
      <c r="Z643" s="131"/>
      <c r="AA643" s="14"/>
      <c r="AG643" s="86"/>
      <c r="AJ643" s="86"/>
    </row>
    <row r="644">
      <c r="C644" s="88"/>
      <c r="D644" s="16"/>
      <c r="E644" s="16"/>
      <c r="F644" s="16"/>
      <c r="G644" s="16"/>
      <c r="H644" s="16"/>
      <c r="I644" s="16"/>
      <c r="J644" s="16"/>
      <c r="K644" s="16"/>
      <c r="L644" s="16"/>
      <c r="M644" s="16"/>
      <c r="N644" s="21"/>
      <c r="O644" s="30"/>
      <c r="P644" s="91"/>
      <c r="R644" s="223"/>
      <c r="S644" s="54"/>
      <c r="V644" s="102"/>
      <c r="W644" s="191"/>
      <c r="X644" s="86"/>
      <c r="Z644" s="131"/>
      <c r="AA644" s="14"/>
      <c r="AG644" s="86"/>
      <c r="AJ644" s="86"/>
    </row>
    <row r="645">
      <c r="C645" s="88"/>
      <c r="D645" s="16"/>
      <c r="E645" s="16"/>
      <c r="F645" s="16"/>
      <c r="G645" s="16"/>
      <c r="H645" s="16"/>
      <c r="I645" s="16"/>
      <c r="J645" s="16"/>
      <c r="K645" s="16"/>
      <c r="L645" s="16"/>
      <c r="M645" s="16"/>
      <c r="N645" s="21"/>
      <c r="O645" s="30"/>
      <c r="P645" s="91"/>
      <c r="R645" s="223"/>
      <c r="S645" s="54"/>
      <c r="V645" s="102"/>
      <c r="W645" s="191"/>
      <c r="X645" s="86"/>
      <c r="Z645" s="131"/>
      <c r="AA645" s="14"/>
      <c r="AG645" s="86"/>
      <c r="AJ645" s="86"/>
    </row>
    <row r="646">
      <c r="C646" s="88"/>
      <c r="D646" s="16"/>
      <c r="E646" s="16"/>
      <c r="F646" s="16"/>
      <c r="G646" s="16"/>
      <c r="H646" s="16"/>
      <c r="I646" s="16"/>
      <c r="J646" s="16"/>
      <c r="K646" s="16"/>
      <c r="L646" s="16"/>
      <c r="M646" s="16"/>
      <c r="N646" s="21"/>
      <c r="O646" s="30"/>
      <c r="P646" s="91"/>
      <c r="R646" s="223"/>
      <c r="S646" s="54"/>
      <c r="V646" s="102"/>
      <c r="W646" s="191"/>
      <c r="X646" s="86"/>
      <c r="Z646" s="131"/>
      <c r="AA646" s="14"/>
      <c r="AG646" s="86"/>
      <c r="AJ646" s="86"/>
    </row>
    <row r="647">
      <c r="C647" s="88"/>
      <c r="D647" s="16"/>
      <c r="E647" s="16"/>
      <c r="F647" s="16"/>
      <c r="G647" s="16"/>
      <c r="H647" s="16"/>
      <c r="I647" s="16"/>
      <c r="J647" s="16"/>
      <c r="K647" s="16"/>
      <c r="L647" s="16"/>
      <c r="M647" s="16"/>
      <c r="N647" s="21"/>
      <c r="O647" s="30"/>
      <c r="P647" s="91"/>
      <c r="R647" s="223"/>
      <c r="S647" s="54"/>
      <c r="V647" s="102"/>
      <c r="W647" s="191"/>
      <c r="X647" s="86"/>
      <c r="Z647" s="131"/>
      <c r="AA647" s="14"/>
      <c r="AG647" s="86"/>
      <c r="AJ647" s="86"/>
    </row>
    <row r="648">
      <c r="C648" s="88"/>
      <c r="D648" s="16"/>
      <c r="E648" s="16"/>
      <c r="F648" s="16"/>
      <c r="G648" s="16"/>
      <c r="H648" s="16"/>
      <c r="I648" s="16"/>
      <c r="J648" s="16"/>
      <c r="K648" s="16"/>
      <c r="L648" s="16"/>
      <c r="M648" s="16"/>
      <c r="N648" s="21"/>
      <c r="O648" s="30"/>
      <c r="P648" s="91"/>
      <c r="R648" s="223"/>
      <c r="S648" s="54"/>
      <c r="V648" s="102"/>
      <c r="W648" s="191"/>
      <c r="X648" s="86"/>
      <c r="Z648" s="131"/>
      <c r="AA648" s="14"/>
      <c r="AG648" s="86"/>
      <c r="AJ648" s="86"/>
    </row>
    <row r="649">
      <c r="C649" s="88"/>
      <c r="D649" s="16"/>
      <c r="E649" s="16"/>
      <c r="F649" s="16"/>
      <c r="G649" s="16"/>
      <c r="H649" s="16"/>
      <c r="I649" s="16"/>
      <c r="J649" s="16"/>
      <c r="K649" s="16"/>
      <c r="L649" s="16"/>
      <c r="M649" s="16"/>
      <c r="N649" s="21"/>
      <c r="O649" s="30"/>
      <c r="P649" s="91"/>
      <c r="R649" s="223"/>
      <c r="S649" s="54"/>
      <c r="V649" s="102"/>
      <c r="W649" s="191"/>
      <c r="X649" s="86"/>
      <c r="Z649" s="131"/>
      <c r="AA649" s="14"/>
      <c r="AG649" s="86"/>
      <c r="AJ649" s="86"/>
    </row>
    <row r="650">
      <c r="C650" s="88"/>
      <c r="D650" s="16"/>
      <c r="E650" s="16"/>
      <c r="F650" s="16"/>
      <c r="G650" s="16"/>
      <c r="H650" s="16"/>
      <c r="I650" s="16"/>
      <c r="J650" s="16"/>
      <c r="K650" s="16"/>
      <c r="L650" s="16"/>
      <c r="M650" s="16"/>
      <c r="N650" s="21"/>
      <c r="O650" s="30"/>
      <c r="P650" s="91"/>
      <c r="R650" s="223"/>
      <c r="S650" s="54"/>
      <c r="V650" s="102"/>
      <c r="W650" s="191"/>
      <c r="X650" s="86"/>
      <c r="Z650" s="131"/>
      <c r="AA650" s="14"/>
      <c r="AG650" s="86"/>
      <c r="AJ650" s="86"/>
    </row>
    <row r="651">
      <c r="C651" s="88"/>
      <c r="D651" s="16"/>
      <c r="E651" s="16"/>
      <c r="F651" s="16"/>
      <c r="G651" s="16"/>
      <c r="H651" s="16"/>
      <c r="I651" s="16"/>
      <c r="J651" s="16"/>
      <c r="K651" s="16"/>
      <c r="L651" s="16"/>
      <c r="M651" s="16"/>
      <c r="N651" s="21"/>
      <c r="O651" s="30"/>
      <c r="P651" s="91"/>
      <c r="R651" s="223"/>
      <c r="S651" s="54"/>
      <c r="V651" s="102"/>
      <c r="W651" s="191"/>
      <c r="X651" s="86"/>
      <c r="Z651" s="131"/>
      <c r="AA651" s="14"/>
      <c r="AG651" s="86"/>
      <c r="AJ651" s="86"/>
    </row>
    <row r="652">
      <c r="C652" s="88"/>
      <c r="D652" s="16"/>
      <c r="E652" s="16"/>
      <c r="F652" s="16"/>
      <c r="G652" s="16"/>
      <c r="H652" s="16"/>
      <c r="I652" s="16"/>
      <c r="J652" s="16"/>
      <c r="K652" s="16"/>
      <c r="L652" s="16"/>
      <c r="M652" s="16"/>
      <c r="N652" s="21"/>
      <c r="O652" s="30"/>
      <c r="P652" s="91"/>
      <c r="R652" s="223"/>
      <c r="S652" s="54"/>
      <c r="V652" s="102"/>
      <c r="W652" s="191"/>
      <c r="X652" s="86"/>
      <c r="Z652" s="131"/>
      <c r="AA652" s="14"/>
      <c r="AG652" s="86"/>
      <c r="AJ652" s="86"/>
    </row>
    <row r="653">
      <c r="C653" s="88"/>
      <c r="D653" s="16"/>
      <c r="E653" s="16"/>
      <c r="F653" s="16"/>
      <c r="G653" s="16"/>
      <c r="H653" s="16"/>
      <c r="I653" s="16"/>
      <c r="J653" s="16"/>
      <c r="K653" s="16"/>
      <c r="L653" s="16"/>
      <c r="M653" s="16"/>
      <c r="N653" s="21"/>
      <c r="O653" s="30"/>
      <c r="P653" s="91"/>
      <c r="R653" s="223"/>
      <c r="S653" s="54"/>
      <c r="V653" s="102"/>
      <c r="W653" s="191"/>
      <c r="X653" s="86"/>
      <c r="Z653" s="131"/>
      <c r="AA653" s="14"/>
      <c r="AG653" s="86"/>
      <c r="AJ653" s="86"/>
    </row>
    <row r="654">
      <c r="C654" s="88"/>
      <c r="D654" s="16"/>
      <c r="E654" s="16"/>
      <c r="F654" s="16"/>
      <c r="G654" s="16"/>
      <c r="H654" s="16"/>
      <c r="I654" s="16"/>
      <c r="J654" s="16"/>
      <c r="K654" s="16"/>
      <c r="L654" s="16"/>
      <c r="M654" s="16"/>
      <c r="N654" s="21"/>
      <c r="O654" s="30"/>
      <c r="P654" s="91"/>
      <c r="R654" s="223"/>
      <c r="S654" s="54"/>
      <c r="V654" s="102"/>
      <c r="W654" s="191"/>
      <c r="X654" s="86"/>
      <c r="Z654" s="131"/>
      <c r="AA654" s="14"/>
      <c r="AG654" s="86"/>
      <c r="AJ654" s="86"/>
    </row>
    <row r="655">
      <c r="C655" s="88"/>
      <c r="D655" s="16"/>
      <c r="E655" s="16"/>
      <c r="F655" s="16"/>
      <c r="G655" s="16"/>
      <c r="H655" s="16"/>
      <c r="I655" s="16"/>
      <c r="J655" s="16"/>
      <c r="K655" s="16"/>
      <c r="L655" s="16"/>
      <c r="M655" s="16"/>
      <c r="N655" s="21"/>
      <c r="O655" s="30"/>
      <c r="P655" s="91"/>
      <c r="R655" s="223"/>
      <c r="S655" s="54"/>
      <c r="V655" s="102"/>
      <c r="W655" s="191"/>
      <c r="X655" s="86"/>
      <c r="Z655" s="131"/>
      <c r="AA655" s="14"/>
      <c r="AG655" s="86"/>
      <c r="AJ655" s="86"/>
    </row>
    <row r="656">
      <c r="C656" s="88"/>
      <c r="D656" s="16"/>
      <c r="E656" s="16"/>
      <c r="F656" s="16"/>
      <c r="G656" s="16"/>
      <c r="H656" s="16"/>
      <c r="I656" s="16"/>
      <c r="J656" s="16"/>
      <c r="K656" s="16"/>
      <c r="L656" s="16"/>
      <c r="M656" s="16"/>
      <c r="N656" s="21"/>
      <c r="O656" s="30"/>
      <c r="P656" s="91"/>
      <c r="R656" s="223"/>
      <c r="S656" s="54"/>
      <c r="V656" s="102"/>
      <c r="W656" s="191"/>
      <c r="X656" s="86"/>
      <c r="Z656" s="131"/>
      <c r="AA656" s="14"/>
      <c r="AG656" s="86"/>
      <c r="AJ656" s="86"/>
    </row>
    <row r="657">
      <c r="C657" s="88"/>
      <c r="D657" s="16"/>
      <c r="E657" s="16"/>
      <c r="F657" s="16"/>
      <c r="G657" s="16"/>
      <c r="H657" s="16"/>
      <c r="I657" s="16"/>
      <c r="J657" s="16"/>
      <c r="K657" s="16"/>
      <c r="L657" s="16"/>
      <c r="M657" s="16"/>
      <c r="N657" s="21"/>
      <c r="O657" s="30"/>
      <c r="P657" s="91"/>
      <c r="R657" s="223"/>
      <c r="S657" s="54"/>
      <c r="V657" s="102"/>
      <c r="W657" s="191"/>
      <c r="X657" s="86"/>
      <c r="Z657" s="131"/>
      <c r="AA657" s="14"/>
      <c r="AG657" s="86"/>
      <c r="AJ657" s="86"/>
    </row>
    <row r="658">
      <c r="C658" s="88"/>
      <c r="D658" s="16"/>
      <c r="E658" s="16"/>
      <c r="F658" s="16"/>
      <c r="G658" s="16"/>
      <c r="H658" s="16"/>
      <c r="I658" s="16"/>
      <c r="J658" s="16"/>
      <c r="K658" s="16"/>
      <c r="L658" s="16"/>
      <c r="M658" s="16"/>
      <c r="N658" s="21"/>
      <c r="O658" s="30"/>
      <c r="P658" s="91"/>
      <c r="R658" s="223"/>
      <c r="S658" s="54"/>
      <c r="V658" s="102"/>
      <c r="W658" s="191"/>
      <c r="X658" s="86"/>
      <c r="Z658" s="131"/>
      <c r="AA658" s="14"/>
      <c r="AG658" s="86"/>
      <c r="AJ658" s="86"/>
    </row>
    <row r="659">
      <c r="C659" s="88"/>
      <c r="D659" s="16"/>
      <c r="E659" s="16"/>
      <c r="F659" s="16"/>
      <c r="G659" s="16"/>
      <c r="H659" s="16"/>
      <c r="I659" s="16"/>
      <c r="J659" s="16"/>
      <c r="K659" s="16"/>
      <c r="L659" s="16"/>
      <c r="M659" s="16"/>
      <c r="N659" s="21"/>
      <c r="O659" s="30"/>
      <c r="P659" s="91"/>
      <c r="R659" s="223"/>
      <c r="S659" s="54"/>
      <c r="V659" s="102"/>
      <c r="W659" s="191"/>
      <c r="X659" s="86"/>
      <c r="Z659" s="131"/>
      <c r="AA659" s="14"/>
      <c r="AG659" s="86"/>
      <c r="AJ659" s="86"/>
    </row>
    <row r="660">
      <c r="C660" s="88"/>
      <c r="D660" s="16"/>
      <c r="E660" s="16"/>
      <c r="F660" s="16"/>
      <c r="G660" s="16"/>
      <c r="H660" s="16"/>
      <c r="I660" s="16"/>
      <c r="J660" s="16"/>
      <c r="K660" s="16"/>
      <c r="L660" s="16"/>
      <c r="M660" s="16"/>
      <c r="N660" s="21"/>
      <c r="O660" s="30"/>
      <c r="P660" s="91"/>
      <c r="R660" s="223"/>
      <c r="S660" s="54"/>
      <c r="V660" s="102"/>
      <c r="W660" s="191"/>
      <c r="X660" s="86"/>
      <c r="Z660" s="131"/>
      <c r="AA660" s="14"/>
      <c r="AG660" s="86"/>
      <c r="AJ660" s="86"/>
    </row>
    <row r="661">
      <c r="C661" s="88"/>
      <c r="D661" s="16"/>
      <c r="E661" s="16"/>
      <c r="F661" s="16"/>
      <c r="G661" s="16"/>
      <c r="H661" s="16"/>
      <c r="I661" s="16"/>
      <c r="J661" s="16"/>
      <c r="K661" s="16"/>
      <c r="L661" s="16"/>
      <c r="M661" s="16"/>
      <c r="N661" s="21"/>
      <c r="O661" s="30"/>
      <c r="P661" s="91"/>
      <c r="R661" s="223"/>
      <c r="S661" s="54"/>
      <c r="V661" s="102"/>
      <c r="W661" s="191"/>
      <c r="X661" s="86"/>
      <c r="Z661" s="131"/>
      <c r="AA661" s="14"/>
      <c r="AG661" s="86"/>
      <c r="AJ661" s="86"/>
    </row>
    <row r="662">
      <c r="C662" s="88"/>
      <c r="D662" s="16"/>
      <c r="E662" s="16"/>
      <c r="F662" s="16"/>
      <c r="G662" s="16"/>
      <c r="H662" s="16"/>
      <c r="I662" s="16"/>
      <c r="J662" s="16"/>
      <c r="K662" s="16"/>
      <c r="L662" s="16"/>
      <c r="M662" s="16"/>
      <c r="N662" s="21"/>
      <c r="O662" s="30"/>
      <c r="P662" s="91"/>
      <c r="R662" s="223"/>
      <c r="S662" s="54"/>
      <c r="V662" s="102"/>
      <c r="W662" s="191"/>
      <c r="X662" s="86"/>
      <c r="Z662" s="131"/>
      <c r="AA662" s="14"/>
      <c r="AG662" s="86"/>
      <c r="AJ662" s="86"/>
    </row>
    <row r="663">
      <c r="C663" s="88"/>
      <c r="D663" s="16"/>
      <c r="E663" s="16"/>
      <c r="F663" s="16"/>
      <c r="G663" s="16"/>
      <c r="H663" s="16"/>
      <c r="I663" s="16"/>
      <c r="J663" s="16"/>
      <c r="K663" s="16"/>
      <c r="L663" s="16"/>
      <c r="M663" s="16"/>
      <c r="N663" s="21"/>
      <c r="O663" s="30"/>
      <c r="P663" s="91"/>
      <c r="R663" s="223"/>
      <c r="S663" s="54"/>
      <c r="V663" s="102"/>
      <c r="W663" s="191"/>
      <c r="X663" s="86"/>
      <c r="Z663" s="131"/>
      <c r="AA663" s="14"/>
      <c r="AG663" s="86"/>
      <c r="AJ663" s="86"/>
    </row>
    <row r="664">
      <c r="C664" s="88"/>
      <c r="D664" s="16"/>
      <c r="E664" s="16"/>
      <c r="F664" s="16"/>
      <c r="G664" s="16"/>
      <c r="H664" s="16"/>
      <c r="I664" s="16"/>
      <c r="J664" s="16"/>
      <c r="K664" s="16"/>
      <c r="L664" s="16"/>
      <c r="M664" s="16"/>
      <c r="N664" s="21"/>
      <c r="O664" s="30"/>
      <c r="P664" s="91"/>
      <c r="R664" s="223"/>
      <c r="S664" s="54"/>
      <c r="V664" s="102"/>
      <c r="W664" s="191"/>
      <c r="X664" s="86"/>
      <c r="Z664" s="131"/>
      <c r="AA664" s="14"/>
      <c r="AG664" s="86"/>
      <c r="AJ664" s="86"/>
    </row>
    <row r="665">
      <c r="C665" s="88"/>
      <c r="D665" s="16"/>
      <c r="E665" s="16"/>
      <c r="F665" s="16"/>
      <c r="G665" s="16"/>
      <c r="H665" s="16"/>
      <c r="I665" s="16"/>
      <c r="J665" s="16"/>
      <c r="K665" s="16"/>
      <c r="L665" s="16"/>
      <c r="M665" s="16"/>
      <c r="N665" s="21"/>
      <c r="O665" s="30"/>
      <c r="P665" s="91"/>
      <c r="R665" s="223"/>
      <c r="S665" s="54"/>
      <c r="V665" s="102"/>
      <c r="W665" s="191"/>
      <c r="X665" s="86"/>
      <c r="Z665" s="131"/>
      <c r="AA665" s="14"/>
      <c r="AG665" s="86"/>
      <c r="AJ665" s="86"/>
    </row>
    <row r="666">
      <c r="C666" s="88"/>
      <c r="D666" s="16"/>
      <c r="E666" s="16"/>
      <c r="F666" s="16"/>
      <c r="G666" s="16"/>
      <c r="H666" s="16"/>
      <c r="I666" s="16"/>
      <c r="J666" s="16"/>
      <c r="K666" s="16"/>
      <c r="L666" s="16"/>
      <c r="M666" s="16"/>
      <c r="N666" s="21"/>
      <c r="O666" s="30"/>
      <c r="P666" s="91"/>
      <c r="R666" s="223"/>
      <c r="S666" s="54"/>
      <c r="V666" s="102"/>
      <c r="W666" s="191"/>
      <c r="X666" s="86"/>
      <c r="Z666" s="131"/>
      <c r="AA666" s="14"/>
      <c r="AG666" s="86"/>
      <c r="AJ666" s="86"/>
    </row>
    <row r="667">
      <c r="C667" s="88"/>
      <c r="D667" s="16"/>
      <c r="E667" s="16"/>
      <c r="F667" s="16"/>
      <c r="G667" s="16"/>
      <c r="H667" s="16"/>
      <c r="I667" s="16"/>
      <c r="J667" s="16"/>
      <c r="K667" s="16"/>
      <c r="L667" s="16"/>
      <c r="M667" s="16"/>
      <c r="N667" s="21"/>
      <c r="O667" s="30"/>
      <c r="P667" s="91"/>
      <c r="R667" s="223"/>
      <c r="S667" s="54"/>
      <c r="V667" s="102"/>
      <c r="W667" s="191"/>
      <c r="X667" s="86"/>
      <c r="Z667" s="131"/>
      <c r="AA667" s="14"/>
      <c r="AG667" s="86"/>
      <c r="AJ667" s="86"/>
    </row>
    <row r="668">
      <c r="C668" s="88"/>
      <c r="D668" s="16"/>
      <c r="E668" s="16"/>
      <c r="F668" s="16"/>
      <c r="G668" s="16"/>
      <c r="H668" s="16"/>
      <c r="I668" s="16"/>
      <c r="J668" s="16"/>
      <c r="K668" s="16"/>
      <c r="L668" s="16"/>
      <c r="M668" s="16"/>
      <c r="N668" s="21"/>
      <c r="O668" s="30"/>
      <c r="P668" s="91"/>
      <c r="R668" s="223"/>
      <c r="S668" s="54"/>
      <c r="V668" s="102"/>
      <c r="W668" s="191"/>
      <c r="X668" s="86"/>
      <c r="Z668" s="131"/>
      <c r="AA668" s="14"/>
      <c r="AG668" s="86"/>
      <c r="AJ668" s="86"/>
    </row>
    <row r="669">
      <c r="C669" s="88"/>
      <c r="D669" s="16"/>
      <c r="E669" s="16"/>
      <c r="F669" s="16"/>
      <c r="G669" s="16"/>
      <c r="H669" s="16"/>
      <c r="I669" s="16"/>
      <c r="J669" s="16"/>
      <c r="K669" s="16"/>
      <c r="L669" s="16"/>
      <c r="M669" s="16"/>
      <c r="N669" s="21"/>
      <c r="O669" s="30"/>
      <c r="P669" s="91"/>
      <c r="R669" s="223"/>
      <c r="S669" s="54"/>
      <c r="V669" s="102"/>
      <c r="W669" s="191"/>
      <c r="X669" s="86"/>
      <c r="Z669" s="131"/>
      <c r="AA669" s="14"/>
      <c r="AG669" s="86"/>
      <c r="AJ669" s="86"/>
    </row>
    <row r="670">
      <c r="C670" s="88"/>
      <c r="D670" s="16"/>
      <c r="E670" s="16"/>
      <c r="F670" s="16"/>
      <c r="G670" s="16"/>
      <c r="H670" s="16"/>
      <c r="I670" s="16"/>
      <c r="J670" s="16"/>
      <c r="K670" s="16"/>
      <c r="L670" s="16"/>
      <c r="M670" s="16"/>
      <c r="N670" s="21"/>
      <c r="O670" s="30"/>
      <c r="P670" s="91"/>
      <c r="R670" s="223"/>
      <c r="S670" s="54"/>
      <c r="V670" s="102"/>
      <c r="W670" s="191"/>
      <c r="X670" s="86"/>
      <c r="Z670" s="131"/>
      <c r="AA670" s="14"/>
      <c r="AG670" s="86"/>
      <c r="AJ670" s="86"/>
    </row>
    <row r="671">
      <c r="C671" s="88"/>
      <c r="D671" s="16"/>
      <c r="E671" s="16"/>
      <c r="F671" s="16"/>
      <c r="G671" s="16"/>
      <c r="H671" s="16"/>
      <c r="I671" s="16"/>
      <c r="J671" s="16"/>
      <c r="K671" s="16"/>
      <c r="L671" s="16"/>
      <c r="M671" s="16"/>
      <c r="N671" s="21"/>
      <c r="O671" s="30"/>
      <c r="P671" s="91"/>
      <c r="R671" s="223"/>
      <c r="S671" s="54"/>
      <c r="V671" s="102"/>
      <c r="W671" s="191"/>
      <c r="X671" s="86"/>
      <c r="Z671" s="131"/>
      <c r="AA671" s="14"/>
      <c r="AG671" s="86"/>
      <c r="AJ671" s="86"/>
    </row>
    <row r="672">
      <c r="C672" s="88"/>
      <c r="D672" s="16"/>
      <c r="E672" s="16"/>
      <c r="F672" s="16"/>
      <c r="G672" s="16"/>
      <c r="H672" s="16"/>
      <c r="I672" s="16"/>
      <c r="J672" s="16"/>
      <c r="K672" s="16"/>
      <c r="L672" s="16"/>
      <c r="M672" s="16"/>
      <c r="N672" s="21"/>
      <c r="O672" s="30"/>
      <c r="P672" s="91"/>
      <c r="R672" s="223"/>
      <c r="S672" s="54"/>
      <c r="V672" s="102"/>
      <c r="W672" s="191"/>
      <c r="X672" s="86"/>
      <c r="Z672" s="131"/>
      <c r="AA672" s="14"/>
      <c r="AG672" s="86"/>
      <c r="AJ672" s="86"/>
    </row>
    <row r="673">
      <c r="C673" s="88"/>
      <c r="D673" s="16"/>
      <c r="E673" s="16"/>
      <c r="F673" s="16"/>
      <c r="G673" s="16"/>
      <c r="H673" s="16"/>
      <c r="I673" s="16"/>
      <c r="J673" s="16"/>
      <c r="K673" s="16"/>
      <c r="L673" s="16"/>
      <c r="M673" s="16"/>
      <c r="N673" s="21"/>
      <c r="O673" s="30"/>
      <c r="P673" s="91"/>
      <c r="R673" s="223"/>
      <c r="S673" s="54"/>
      <c r="V673" s="102"/>
      <c r="W673" s="191"/>
      <c r="X673" s="86"/>
      <c r="Z673" s="131"/>
      <c r="AA673" s="14"/>
      <c r="AG673" s="86"/>
      <c r="AJ673" s="86"/>
    </row>
    <row r="674">
      <c r="C674" s="88"/>
      <c r="D674" s="16"/>
      <c r="E674" s="16"/>
      <c r="F674" s="16"/>
      <c r="G674" s="16"/>
      <c r="H674" s="16"/>
      <c r="I674" s="16"/>
      <c r="J674" s="16"/>
      <c r="K674" s="16"/>
      <c r="L674" s="16"/>
      <c r="M674" s="16"/>
      <c r="N674" s="21"/>
      <c r="O674" s="30"/>
      <c r="P674" s="91"/>
      <c r="R674" s="223"/>
      <c r="S674" s="54"/>
      <c r="V674" s="102"/>
      <c r="W674" s="191"/>
      <c r="X674" s="86"/>
      <c r="Z674" s="131"/>
      <c r="AA674" s="14"/>
      <c r="AG674" s="86"/>
      <c r="AJ674" s="86"/>
    </row>
    <row r="675">
      <c r="C675" s="88"/>
      <c r="D675" s="16"/>
      <c r="E675" s="16"/>
      <c r="F675" s="16"/>
      <c r="G675" s="16"/>
      <c r="H675" s="16"/>
      <c r="I675" s="16"/>
      <c r="J675" s="16"/>
      <c r="K675" s="16"/>
      <c r="L675" s="16"/>
      <c r="M675" s="16"/>
      <c r="N675" s="21"/>
      <c r="O675" s="30"/>
      <c r="P675" s="91"/>
      <c r="R675" s="223"/>
      <c r="S675" s="54"/>
      <c r="V675" s="102"/>
      <c r="W675" s="191"/>
      <c r="X675" s="86"/>
      <c r="Z675" s="131"/>
      <c r="AA675" s="14"/>
      <c r="AG675" s="86"/>
      <c r="AJ675" s="86"/>
    </row>
    <row r="676">
      <c r="C676" s="88"/>
      <c r="D676" s="16"/>
      <c r="E676" s="16"/>
      <c r="F676" s="16"/>
      <c r="G676" s="16"/>
      <c r="H676" s="16"/>
      <c r="I676" s="16"/>
      <c r="J676" s="16"/>
      <c r="K676" s="16"/>
      <c r="L676" s="16"/>
      <c r="M676" s="16"/>
      <c r="N676" s="21"/>
      <c r="O676" s="30"/>
      <c r="P676" s="91"/>
      <c r="R676" s="223"/>
      <c r="S676" s="54"/>
      <c r="V676" s="102"/>
      <c r="W676" s="191"/>
      <c r="X676" s="86"/>
      <c r="Z676" s="131"/>
      <c r="AA676" s="14"/>
      <c r="AG676" s="86"/>
      <c r="AJ676" s="86"/>
    </row>
    <row r="677">
      <c r="C677" s="88"/>
      <c r="D677" s="16"/>
      <c r="E677" s="16"/>
      <c r="F677" s="16"/>
      <c r="G677" s="16"/>
      <c r="H677" s="16"/>
      <c r="I677" s="16"/>
      <c r="J677" s="16"/>
      <c r="K677" s="16"/>
      <c r="L677" s="16"/>
      <c r="M677" s="16"/>
      <c r="N677" s="21"/>
      <c r="O677" s="30"/>
      <c r="P677" s="91"/>
      <c r="R677" s="223"/>
      <c r="S677" s="54"/>
      <c r="V677" s="102"/>
      <c r="W677" s="191"/>
      <c r="X677" s="86"/>
      <c r="Z677" s="131"/>
      <c r="AA677" s="14"/>
      <c r="AG677" s="86"/>
      <c r="AJ677" s="86"/>
    </row>
    <row r="678">
      <c r="C678" s="88"/>
      <c r="D678" s="16"/>
      <c r="E678" s="16"/>
      <c r="F678" s="16"/>
      <c r="G678" s="16"/>
      <c r="H678" s="16"/>
      <c r="I678" s="16"/>
      <c r="J678" s="16"/>
      <c r="K678" s="16"/>
      <c r="L678" s="16"/>
      <c r="M678" s="16"/>
      <c r="N678" s="21"/>
      <c r="O678" s="30"/>
      <c r="P678" s="91"/>
      <c r="R678" s="223"/>
      <c r="S678" s="54"/>
      <c r="V678" s="102"/>
      <c r="W678" s="191"/>
      <c r="X678" s="86"/>
      <c r="Z678" s="131"/>
      <c r="AA678" s="14"/>
      <c r="AG678" s="86"/>
      <c r="AJ678" s="86"/>
    </row>
    <row r="679">
      <c r="C679" s="88"/>
      <c r="D679" s="16"/>
      <c r="E679" s="16"/>
      <c r="F679" s="16"/>
      <c r="G679" s="16"/>
      <c r="H679" s="16"/>
      <c r="I679" s="16"/>
      <c r="J679" s="16"/>
      <c r="K679" s="16"/>
      <c r="L679" s="16"/>
      <c r="M679" s="16"/>
      <c r="N679" s="21"/>
      <c r="O679" s="30"/>
      <c r="P679" s="91"/>
      <c r="R679" s="223"/>
      <c r="S679" s="54"/>
      <c r="V679" s="102"/>
      <c r="W679" s="191"/>
      <c r="X679" s="86"/>
      <c r="Z679" s="131"/>
      <c r="AA679" s="14"/>
      <c r="AG679" s="86"/>
      <c r="AJ679" s="86"/>
    </row>
    <row r="680">
      <c r="C680" s="88"/>
      <c r="D680" s="16"/>
      <c r="E680" s="16"/>
      <c r="F680" s="16"/>
      <c r="G680" s="16"/>
      <c r="H680" s="16"/>
      <c r="I680" s="16"/>
      <c r="J680" s="16"/>
      <c r="K680" s="16"/>
      <c r="L680" s="16"/>
      <c r="M680" s="16"/>
      <c r="N680" s="21"/>
      <c r="O680" s="30"/>
      <c r="P680" s="91"/>
      <c r="R680" s="223"/>
      <c r="S680" s="54"/>
      <c r="V680" s="102"/>
      <c r="W680" s="191"/>
      <c r="X680" s="86"/>
      <c r="Z680" s="131"/>
      <c r="AA680" s="14"/>
      <c r="AG680" s="86"/>
      <c r="AJ680" s="86"/>
    </row>
    <row r="681">
      <c r="C681" s="88"/>
      <c r="D681" s="16"/>
      <c r="E681" s="16"/>
      <c r="F681" s="16"/>
      <c r="G681" s="16"/>
      <c r="H681" s="16"/>
      <c r="I681" s="16"/>
      <c r="J681" s="16"/>
      <c r="K681" s="16"/>
      <c r="L681" s="16"/>
      <c r="M681" s="16"/>
      <c r="N681" s="21"/>
      <c r="O681" s="30"/>
      <c r="P681" s="91"/>
      <c r="R681" s="223"/>
      <c r="S681" s="54"/>
      <c r="V681" s="102"/>
      <c r="W681" s="191"/>
      <c r="X681" s="86"/>
      <c r="Z681" s="131"/>
      <c r="AA681" s="14"/>
      <c r="AG681" s="86"/>
      <c r="AJ681" s="86"/>
    </row>
    <row r="682">
      <c r="C682" s="88"/>
      <c r="D682" s="16"/>
      <c r="E682" s="16"/>
      <c r="F682" s="16"/>
      <c r="G682" s="16"/>
      <c r="H682" s="16"/>
      <c r="I682" s="16"/>
      <c r="J682" s="16"/>
      <c r="K682" s="16"/>
      <c r="L682" s="16"/>
      <c r="M682" s="16"/>
      <c r="N682" s="21"/>
      <c r="O682" s="30"/>
      <c r="P682" s="91"/>
      <c r="R682" s="223"/>
      <c r="S682" s="54"/>
      <c r="V682" s="102"/>
      <c r="W682" s="191"/>
      <c r="X682" s="86"/>
      <c r="Z682" s="131"/>
      <c r="AA682" s="14"/>
      <c r="AG682" s="86"/>
      <c r="AJ682" s="86"/>
    </row>
    <row r="683">
      <c r="C683" s="88"/>
      <c r="D683" s="16"/>
      <c r="E683" s="16"/>
      <c r="F683" s="16"/>
      <c r="G683" s="16"/>
      <c r="H683" s="16"/>
      <c r="I683" s="16"/>
      <c r="J683" s="16"/>
      <c r="K683" s="16"/>
      <c r="L683" s="16"/>
      <c r="M683" s="16"/>
      <c r="N683" s="21"/>
      <c r="O683" s="30"/>
      <c r="P683" s="91"/>
      <c r="R683" s="223"/>
      <c r="S683" s="54"/>
      <c r="V683" s="102"/>
      <c r="W683" s="191"/>
      <c r="X683" s="86"/>
      <c r="Z683" s="131"/>
      <c r="AA683" s="14"/>
      <c r="AG683" s="86"/>
      <c r="AJ683" s="86"/>
    </row>
    <row r="684">
      <c r="C684" s="88"/>
      <c r="D684" s="16"/>
      <c r="E684" s="16"/>
      <c r="F684" s="16"/>
      <c r="G684" s="16"/>
      <c r="H684" s="16"/>
      <c r="I684" s="16"/>
      <c r="J684" s="16"/>
      <c r="K684" s="16"/>
      <c r="L684" s="16"/>
      <c r="M684" s="16"/>
      <c r="N684" s="21"/>
      <c r="O684" s="30"/>
      <c r="P684" s="91"/>
      <c r="R684" s="223"/>
      <c r="S684" s="54"/>
      <c r="V684" s="102"/>
      <c r="W684" s="191"/>
      <c r="X684" s="86"/>
      <c r="Z684" s="131"/>
      <c r="AA684" s="14"/>
      <c r="AG684" s="86"/>
      <c r="AJ684" s="86"/>
    </row>
    <row r="685">
      <c r="C685" s="88"/>
      <c r="D685" s="16"/>
      <c r="E685" s="16"/>
      <c r="F685" s="16"/>
      <c r="G685" s="16"/>
      <c r="H685" s="16"/>
      <c r="I685" s="16"/>
      <c r="J685" s="16"/>
      <c r="K685" s="16"/>
      <c r="L685" s="16"/>
      <c r="M685" s="16"/>
      <c r="N685" s="21"/>
      <c r="O685" s="30"/>
      <c r="P685" s="91"/>
      <c r="R685" s="223"/>
      <c r="S685" s="54"/>
      <c r="V685" s="102"/>
      <c r="W685" s="191"/>
      <c r="X685" s="86"/>
      <c r="Z685" s="131"/>
      <c r="AA685" s="14"/>
      <c r="AG685" s="86"/>
      <c r="AJ685" s="86"/>
    </row>
    <row r="686">
      <c r="C686" s="88"/>
      <c r="D686" s="16"/>
      <c r="E686" s="16"/>
      <c r="F686" s="16"/>
      <c r="G686" s="16"/>
      <c r="H686" s="16"/>
      <c r="I686" s="16"/>
      <c r="J686" s="16"/>
      <c r="K686" s="16"/>
      <c r="L686" s="16"/>
      <c r="M686" s="16"/>
      <c r="N686" s="21"/>
      <c r="O686" s="30"/>
      <c r="P686" s="91"/>
      <c r="R686" s="223"/>
      <c r="S686" s="54"/>
      <c r="V686" s="102"/>
      <c r="W686" s="191"/>
      <c r="X686" s="86"/>
      <c r="Z686" s="131"/>
      <c r="AA686" s="14"/>
      <c r="AG686" s="86"/>
      <c r="AJ686" s="86"/>
    </row>
    <row r="687">
      <c r="C687" s="88"/>
      <c r="D687" s="16"/>
      <c r="E687" s="16"/>
      <c r="F687" s="16"/>
      <c r="G687" s="16"/>
      <c r="H687" s="16"/>
      <c r="I687" s="16"/>
      <c r="J687" s="16"/>
      <c r="K687" s="16"/>
      <c r="L687" s="16"/>
      <c r="M687" s="16"/>
      <c r="N687" s="21"/>
      <c r="O687" s="30"/>
      <c r="P687" s="91"/>
      <c r="R687" s="223"/>
      <c r="S687" s="54"/>
      <c r="V687" s="102"/>
      <c r="W687" s="191"/>
      <c r="X687" s="86"/>
      <c r="Z687" s="131"/>
      <c r="AA687" s="14"/>
      <c r="AG687" s="86"/>
      <c r="AJ687" s="86"/>
    </row>
    <row r="688">
      <c r="C688" s="88"/>
      <c r="D688" s="16"/>
      <c r="E688" s="16"/>
      <c r="F688" s="16"/>
      <c r="G688" s="16"/>
      <c r="H688" s="16"/>
      <c r="I688" s="16"/>
      <c r="J688" s="16"/>
      <c r="K688" s="16"/>
      <c r="L688" s="16"/>
      <c r="M688" s="16"/>
      <c r="N688" s="21"/>
      <c r="O688" s="30"/>
      <c r="P688" s="91"/>
      <c r="R688" s="223"/>
      <c r="S688" s="54"/>
      <c r="V688" s="102"/>
      <c r="W688" s="191"/>
      <c r="X688" s="86"/>
      <c r="Z688" s="131"/>
      <c r="AA688" s="14"/>
      <c r="AG688" s="86"/>
      <c r="AJ688" s="86"/>
    </row>
    <row r="689">
      <c r="C689" s="88"/>
      <c r="D689" s="16"/>
      <c r="E689" s="16"/>
      <c r="F689" s="16"/>
      <c r="G689" s="16"/>
      <c r="H689" s="16"/>
      <c r="I689" s="16"/>
      <c r="J689" s="16"/>
      <c r="K689" s="16"/>
      <c r="L689" s="16"/>
      <c r="M689" s="16"/>
      <c r="N689" s="21"/>
      <c r="O689" s="30"/>
      <c r="P689" s="91"/>
      <c r="R689" s="223"/>
      <c r="S689" s="54"/>
      <c r="V689" s="102"/>
      <c r="W689" s="191"/>
      <c r="X689" s="86"/>
      <c r="Z689" s="131"/>
      <c r="AA689" s="14"/>
      <c r="AG689" s="86"/>
      <c r="AJ689" s="86"/>
    </row>
    <row r="690">
      <c r="C690" s="88"/>
      <c r="D690" s="16"/>
      <c r="E690" s="16"/>
      <c r="F690" s="16"/>
      <c r="G690" s="16"/>
      <c r="H690" s="16"/>
      <c r="I690" s="16"/>
      <c r="J690" s="16"/>
      <c r="K690" s="16"/>
      <c r="L690" s="16"/>
      <c r="M690" s="16"/>
      <c r="N690" s="21"/>
      <c r="O690" s="30"/>
      <c r="P690" s="91"/>
      <c r="R690" s="223"/>
      <c r="S690" s="54"/>
      <c r="V690" s="102"/>
      <c r="W690" s="191"/>
      <c r="X690" s="86"/>
      <c r="Z690" s="131"/>
      <c r="AA690" s="14"/>
      <c r="AG690" s="86"/>
      <c r="AJ690" s="86"/>
    </row>
    <row r="691">
      <c r="C691" s="88"/>
      <c r="D691" s="16"/>
      <c r="E691" s="16"/>
      <c r="F691" s="16"/>
      <c r="G691" s="16"/>
      <c r="H691" s="16"/>
      <c r="I691" s="16"/>
      <c r="J691" s="16"/>
      <c r="K691" s="16"/>
      <c r="L691" s="16"/>
      <c r="M691" s="16"/>
      <c r="N691" s="21"/>
      <c r="O691" s="30"/>
      <c r="P691" s="91"/>
      <c r="R691" s="223"/>
      <c r="S691" s="54"/>
      <c r="V691" s="102"/>
      <c r="W691" s="191"/>
      <c r="X691" s="86"/>
      <c r="Z691" s="131"/>
      <c r="AA691" s="14"/>
      <c r="AG691" s="86"/>
      <c r="AJ691" s="86"/>
    </row>
    <row r="692">
      <c r="C692" s="88"/>
      <c r="D692" s="16"/>
      <c r="E692" s="16"/>
      <c r="F692" s="16"/>
      <c r="G692" s="16"/>
      <c r="H692" s="16"/>
      <c r="I692" s="16"/>
      <c r="J692" s="16"/>
      <c r="K692" s="16"/>
      <c r="L692" s="16"/>
      <c r="M692" s="16"/>
      <c r="N692" s="21"/>
      <c r="O692" s="30"/>
      <c r="P692" s="91"/>
      <c r="R692" s="223"/>
      <c r="S692" s="54"/>
      <c r="V692" s="102"/>
      <c r="W692" s="191"/>
      <c r="X692" s="86"/>
      <c r="Z692" s="131"/>
      <c r="AA692" s="14"/>
      <c r="AG692" s="86"/>
      <c r="AJ692" s="86"/>
    </row>
    <row r="693">
      <c r="C693" s="88"/>
      <c r="D693" s="16"/>
      <c r="E693" s="16"/>
      <c r="F693" s="16"/>
      <c r="G693" s="16"/>
      <c r="H693" s="16"/>
      <c r="I693" s="16"/>
      <c r="J693" s="16"/>
      <c r="K693" s="16"/>
      <c r="L693" s="16"/>
      <c r="M693" s="16"/>
      <c r="N693" s="21"/>
      <c r="O693" s="30"/>
      <c r="P693" s="91"/>
      <c r="R693" s="223"/>
      <c r="S693" s="54"/>
      <c r="V693" s="102"/>
      <c r="W693" s="191"/>
      <c r="X693" s="86"/>
      <c r="Z693" s="131"/>
      <c r="AA693" s="14"/>
      <c r="AG693" s="86"/>
      <c r="AJ693" s="86"/>
    </row>
    <row r="694">
      <c r="C694" s="88"/>
      <c r="D694" s="16"/>
      <c r="E694" s="16"/>
      <c r="F694" s="16"/>
      <c r="G694" s="16"/>
      <c r="H694" s="16"/>
      <c r="I694" s="16"/>
      <c r="J694" s="16"/>
      <c r="K694" s="16"/>
      <c r="L694" s="16"/>
      <c r="M694" s="16"/>
      <c r="N694" s="21"/>
      <c r="O694" s="30"/>
      <c r="P694" s="91"/>
      <c r="R694" s="223"/>
      <c r="S694" s="54"/>
      <c r="V694" s="102"/>
      <c r="W694" s="191"/>
      <c r="X694" s="86"/>
      <c r="Z694" s="131"/>
      <c r="AA694" s="14"/>
      <c r="AG694" s="86"/>
      <c r="AJ694" s="86"/>
    </row>
    <row r="695">
      <c r="C695" s="88"/>
      <c r="D695" s="16"/>
      <c r="E695" s="16"/>
      <c r="F695" s="16"/>
      <c r="G695" s="16"/>
      <c r="H695" s="16"/>
      <c r="I695" s="16"/>
      <c r="J695" s="16"/>
      <c r="K695" s="16"/>
      <c r="L695" s="16"/>
      <c r="M695" s="16"/>
      <c r="N695" s="21"/>
      <c r="O695" s="30"/>
      <c r="P695" s="91"/>
      <c r="R695" s="223"/>
      <c r="S695" s="54"/>
      <c r="V695" s="102"/>
      <c r="W695" s="191"/>
      <c r="X695" s="86"/>
      <c r="Z695" s="131"/>
      <c r="AA695" s="14"/>
      <c r="AG695" s="86"/>
      <c r="AJ695" s="86"/>
    </row>
    <row r="696">
      <c r="C696" s="88"/>
      <c r="D696" s="16"/>
      <c r="E696" s="16"/>
      <c r="F696" s="16"/>
      <c r="G696" s="16"/>
      <c r="H696" s="16"/>
      <c r="I696" s="16"/>
      <c r="J696" s="16"/>
      <c r="K696" s="16"/>
      <c r="L696" s="16"/>
      <c r="M696" s="16"/>
      <c r="N696" s="21"/>
      <c r="O696" s="30"/>
      <c r="P696" s="91"/>
      <c r="R696" s="223"/>
      <c r="S696" s="54"/>
      <c r="V696" s="102"/>
      <c r="W696" s="191"/>
      <c r="X696" s="86"/>
      <c r="Z696" s="131"/>
      <c r="AA696" s="14"/>
      <c r="AG696" s="86"/>
      <c r="AJ696" s="86"/>
    </row>
    <row r="697">
      <c r="C697" s="88"/>
      <c r="D697" s="16"/>
      <c r="E697" s="16"/>
      <c r="F697" s="16"/>
      <c r="G697" s="16"/>
      <c r="H697" s="16"/>
      <c r="I697" s="16"/>
      <c r="J697" s="16"/>
      <c r="K697" s="16"/>
      <c r="L697" s="16"/>
      <c r="M697" s="16"/>
      <c r="N697" s="21"/>
      <c r="O697" s="30"/>
      <c r="P697" s="91"/>
      <c r="R697" s="223"/>
      <c r="S697" s="54"/>
      <c r="V697" s="102"/>
      <c r="W697" s="191"/>
      <c r="X697" s="86"/>
      <c r="Z697" s="131"/>
      <c r="AA697" s="14"/>
      <c r="AG697" s="86"/>
      <c r="AJ697" s="86"/>
    </row>
    <row r="698">
      <c r="C698" s="88"/>
      <c r="D698" s="16"/>
      <c r="E698" s="16"/>
      <c r="F698" s="16"/>
      <c r="G698" s="16"/>
      <c r="H698" s="16"/>
      <c r="I698" s="16"/>
      <c r="J698" s="16"/>
      <c r="K698" s="16"/>
      <c r="L698" s="16"/>
      <c r="M698" s="16"/>
      <c r="N698" s="21"/>
      <c r="O698" s="30"/>
      <c r="P698" s="91"/>
      <c r="R698" s="223"/>
      <c r="S698" s="54"/>
      <c r="V698" s="102"/>
      <c r="W698" s="191"/>
      <c r="X698" s="86"/>
      <c r="Z698" s="131"/>
      <c r="AA698" s="14"/>
      <c r="AG698" s="86"/>
      <c r="AJ698" s="86"/>
    </row>
    <row r="699">
      <c r="C699" s="88"/>
      <c r="D699" s="16"/>
      <c r="E699" s="16"/>
      <c r="F699" s="16"/>
      <c r="G699" s="16"/>
      <c r="H699" s="16"/>
      <c r="I699" s="16"/>
      <c r="J699" s="16"/>
      <c r="K699" s="16"/>
      <c r="L699" s="16"/>
      <c r="M699" s="16"/>
      <c r="N699" s="21"/>
      <c r="O699" s="30"/>
      <c r="P699" s="91"/>
      <c r="R699" s="223"/>
      <c r="S699" s="54"/>
      <c r="V699" s="102"/>
      <c r="W699" s="191"/>
      <c r="X699" s="86"/>
      <c r="Z699" s="131"/>
      <c r="AA699" s="14"/>
      <c r="AG699" s="86"/>
      <c r="AJ699" s="86"/>
    </row>
    <row r="700">
      <c r="C700" s="88"/>
      <c r="D700" s="16"/>
      <c r="E700" s="16"/>
      <c r="F700" s="16"/>
      <c r="G700" s="16"/>
      <c r="H700" s="16"/>
      <c r="I700" s="16"/>
      <c r="J700" s="16"/>
      <c r="K700" s="16"/>
      <c r="L700" s="16"/>
      <c r="M700" s="16"/>
      <c r="N700" s="21"/>
      <c r="O700" s="30"/>
      <c r="P700" s="91"/>
      <c r="R700" s="223"/>
      <c r="S700" s="54"/>
      <c r="V700" s="102"/>
      <c r="W700" s="191"/>
      <c r="X700" s="86"/>
      <c r="Z700" s="131"/>
      <c r="AA700" s="14"/>
      <c r="AG700" s="86"/>
      <c r="AJ700" s="86"/>
    </row>
    <row r="701">
      <c r="C701" s="88"/>
      <c r="D701" s="16"/>
      <c r="E701" s="16"/>
      <c r="F701" s="16"/>
      <c r="G701" s="16"/>
      <c r="H701" s="16"/>
      <c r="I701" s="16"/>
      <c r="J701" s="16"/>
      <c r="K701" s="16"/>
      <c r="L701" s="16"/>
      <c r="M701" s="16"/>
      <c r="N701" s="21"/>
      <c r="O701" s="30"/>
      <c r="P701" s="91"/>
      <c r="R701" s="223"/>
      <c r="S701" s="54"/>
      <c r="V701" s="102"/>
      <c r="W701" s="191"/>
      <c r="X701" s="86"/>
      <c r="Z701" s="131"/>
      <c r="AA701" s="14"/>
      <c r="AG701" s="86"/>
      <c r="AJ701" s="86"/>
    </row>
    <row r="702">
      <c r="C702" s="88"/>
      <c r="D702" s="16"/>
      <c r="E702" s="16"/>
      <c r="F702" s="16"/>
      <c r="G702" s="16"/>
      <c r="H702" s="16"/>
      <c r="I702" s="16"/>
      <c r="J702" s="16"/>
      <c r="K702" s="16"/>
      <c r="L702" s="16"/>
      <c r="M702" s="16"/>
      <c r="N702" s="21"/>
      <c r="O702" s="30"/>
      <c r="P702" s="91"/>
      <c r="R702" s="223"/>
      <c r="S702" s="54"/>
      <c r="V702" s="102"/>
      <c r="W702" s="191"/>
      <c r="X702" s="86"/>
      <c r="Z702" s="131"/>
      <c r="AA702" s="14"/>
      <c r="AG702" s="86"/>
      <c r="AJ702" s="86"/>
    </row>
    <row r="703">
      <c r="C703" s="88"/>
      <c r="D703" s="16"/>
      <c r="E703" s="16"/>
      <c r="F703" s="16"/>
      <c r="G703" s="16"/>
      <c r="H703" s="16"/>
      <c r="I703" s="16"/>
      <c r="J703" s="16"/>
      <c r="K703" s="16"/>
      <c r="L703" s="16"/>
      <c r="M703" s="16"/>
      <c r="N703" s="21"/>
      <c r="O703" s="30"/>
      <c r="P703" s="91"/>
      <c r="R703" s="223"/>
      <c r="S703" s="54"/>
      <c r="V703" s="102"/>
      <c r="W703" s="191"/>
      <c r="X703" s="86"/>
      <c r="Z703" s="131"/>
      <c r="AA703" s="14"/>
      <c r="AG703" s="86"/>
      <c r="AJ703" s="86"/>
    </row>
    <row r="704">
      <c r="C704" s="88"/>
      <c r="D704" s="16"/>
      <c r="E704" s="16"/>
      <c r="F704" s="16"/>
      <c r="G704" s="16"/>
      <c r="H704" s="16"/>
      <c r="I704" s="16"/>
      <c r="J704" s="16"/>
      <c r="K704" s="16"/>
      <c r="L704" s="16"/>
      <c r="M704" s="16"/>
      <c r="N704" s="21"/>
      <c r="O704" s="30"/>
      <c r="P704" s="91"/>
      <c r="R704" s="223"/>
      <c r="S704" s="54"/>
      <c r="V704" s="102"/>
      <c r="W704" s="191"/>
      <c r="X704" s="86"/>
      <c r="Z704" s="131"/>
      <c r="AA704" s="14"/>
      <c r="AG704" s="86"/>
      <c r="AJ704" s="86"/>
    </row>
    <row r="705">
      <c r="C705" s="88"/>
      <c r="D705" s="16"/>
      <c r="E705" s="16"/>
      <c r="F705" s="16"/>
      <c r="G705" s="16"/>
      <c r="H705" s="16"/>
      <c r="I705" s="16"/>
      <c r="J705" s="16"/>
      <c r="K705" s="16"/>
      <c r="L705" s="16"/>
      <c r="M705" s="16"/>
      <c r="N705" s="21"/>
      <c r="O705" s="30"/>
      <c r="P705" s="91"/>
      <c r="R705" s="223"/>
      <c r="S705" s="54"/>
      <c r="V705" s="102"/>
      <c r="W705" s="191"/>
      <c r="X705" s="86"/>
      <c r="Z705" s="131"/>
      <c r="AA705" s="14"/>
      <c r="AG705" s="86"/>
      <c r="AJ705" s="86"/>
    </row>
    <row r="706">
      <c r="C706" s="88"/>
      <c r="D706" s="16"/>
      <c r="E706" s="16"/>
      <c r="F706" s="16"/>
      <c r="G706" s="16"/>
      <c r="H706" s="16"/>
      <c r="I706" s="16"/>
      <c r="J706" s="16"/>
      <c r="K706" s="16"/>
      <c r="L706" s="16"/>
      <c r="M706" s="16"/>
      <c r="N706" s="21"/>
      <c r="O706" s="30"/>
      <c r="P706" s="91"/>
      <c r="R706" s="223"/>
      <c r="S706" s="54"/>
      <c r="V706" s="102"/>
      <c r="W706" s="191"/>
      <c r="X706" s="86"/>
      <c r="Z706" s="131"/>
      <c r="AA706" s="14"/>
      <c r="AG706" s="86"/>
      <c r="AJ706" s="86"/>
    </row>
    <row r="707">
      <c r="C707" s="88"/>
      <c r="D707" s="16"/>
      <c r="E707" s="16"/>
      <c r="F707" s="16"/>
      <c r="G707" s="16"/>
      <c r="H707" s="16"/>
      <c r="I707" s="16"/>
      <c r="J707" s="16"/>
      <c r="K707" s="16"/>
      <c r="L707" s="16"/>
      <c r="M707" s="16"/>
      <c r="N707" s="21"/>
      <c r="O707" s="30"/>
      <c r="P707" s="91"/>
      <c r="R707" s="223"/>
      <c r="S707" s="54"/>
      <c r="V707" s="102"/>
      <c r="W707" s="191"/>
      <c r="X707" s="86"/>
      <c r="Z707" s="131"/>
      <c r="AA707" s="14"/>
      <c r="AG707" s="86"/>
      <c r="AJ707" s="86"/>
    </row>
    <row r="708">
      <c r="C708" s="88"/>
      <c r="D708" s="16"/>
      <c r="E708" s="16"/>
      <c r="F708" s="16"/>
      <c r="G708" s="16"/>
      <c r="H708" s="16"/>
      <c r="I708" s="16"/>
      <c r="J708" s="16"/>
      <c r="K708" s="16"/>
      <c r="L708" s="16"/>
      <c r="M708" s="16"/>
      <c r="N708" s="21"/>
      <c r="O708" s="30"/>
      <c r="P708" s="91"/>
      <c r="R708" s="223"/>
      <c r="S708" s="54"/>
      <c r="V708" s="102"/>
      <c r="W708" s="191"/>
      <c r="X708" s="86"/>
      <c r="Z708" s="131"/>
      <c r="AA708" s="14"/>
      <c r="AG708" s="86"/>
      <c r="AJ708" s="86"/>
    </row>
    <row r="709">
      <c r="C709" s="88"/>
      <c r="D709" s="16"/>
      <c r="E709" s="16"/>
      <c r="F709" s="16"/>
      <c r="G709" s="16"/>
      <c r="H709" s="16"/>
      <c r="I709" s="16"/>
      <c r="J709" s="16"/>
      <c r="K709" s="16"/>
      <c r="L709" s="16"/>
      <c r="M709" s="16"/>
      <c r="N709" s="21"/>
      <c r="O709" s="30"/>
      <c r="P709" s="91"/>
      <c r="R709" s="223"/>
      <c r="S709" s="54"/>
      <c r="V709" s="102"/>
      <c r="W709" s="191"/>
      <c r="X709" s="86"/>
      <c r="Z709" s="131"/>
      <c r="AA709" s="14"/>
      <c r="AG709" s="86"/>
      <c r="AJ709" s="86"/>
    </row>
    <row r="710">
      <c r="C710" s="88"/>
      <c r="D710" s="16"/>
      <c r="E710" s="16"/>
      <c r="F710" s="16"/>
      <c r="G710" s="16"/>
      <c r="H710" s="16"/>
      <c r="I710" s="16"/>
      <c r="J710" s="16"/>
      <c r="K710" s="16"/>
      <c r="L710" s="16"/>
      <c r="M710" s="16"/>
      <c r="N710" s="21"/>
      <c r="O710" s="30"/>
      <c r="P710" s="91"/>
      <c r="R710" s="223"/>
      <c r="S710" s="54"/>
      <c r="V710" s="102"/>
      <c r="W710" s="191"/>
      <c r="X710" s="86"/>
      <c r="Z710" s="131"/>
      <c r="AA710" s="14"/>
      <c r="AG710" s="86"/>
      <c r="AJ710" s="86"/>
    </row>
    <row r="711">
      <c r="C711" s="88"/>
      <c r="D711" s="16"/>
      <c r="E711" s="16"/>
      <c r="F711" s="16"/>
      <c r="G711" s="16"/>
      <c r="H711" s="16"/>
      <c r="I711" s="16"/>
      <c r="J711" s="16"/>
      <c r="K711" s="16"/>
      <c r="L711" s="16"/>
      <c r="M711" s="16"/>
      <c r="N711" s="21"/>
      <c r="O711" s="30"/>
      <c r="P711" s="91"/>
      <c r="R711" s="223"/>
      <c r="S711" s="54"/>
      <c r="V711" s="102"/>
      <c r="W711" s="191"/>
      <c r="X711" s="86"/>
      <c r="Z711" s="131"/>
      <c r="AA711" s="14"/>
      <c r="AG711" s="86"/>
      <c r="AJ711" s="86"/>
    </row>
    <row r="712">
      <c r="C712" s="88"/>
      <c r="D712" s="16"/>
      <c r="E712" s="16"/>
      <c r="F712" s="16"/>
      <c r="G712" s="16"/>
      <c r="H712" s="16"/>
      <c r="I712" s="16"/>
      <c r="J712" s="16"/>
      <c r="K712" s="16"/>
      <c r="L712" s="16"/>
      <c r="M712" s="16"/>
      <c r="N712" s="21"/>
      <c r="O712" s="30"/>
      <c r="P712" s="91"/>
      <c r="R712" s="223"/>
      <c r="S712" s="54"/>
      <c r="V712" s="102"/>
      <c r="W712" s="191"/>
      <c r="X712" s="86"/>
      <c r="Z712" s="131"/>
      <c r="AA712" s="14"/>
      <c r="AG712" s="86"/>
      <c r="AJ712" s="86"/>
    </row>
    <row r="713">
      <c r="C713" s="88"/>
      <c r="D713" s="16"/>
      <c r="E713" s="16"/>
      <c r="F713" s="16"/>
      <c r="G713" s="16"/>
      <c r="H713" s="16"/>
      <c r="I713" s="16"/>
      <c r="J713" s="16"/>
      <c r="K713" s="16"/>
      <c r="L713" s="16"/>
      <c r="M713" s="16"/>
      <c r="N713" s="21"/>
      <c r="O713" s="30"/>
      <c r="P713" s="91"/>
      <c r="R713" s="223"/>
      <c r="S713" s="54"/>
      <c r="V713" s="102"/>
      <c r="W713" s="191"/>
      <c r="X713" s="86"/>
      <c r="Z713" s="131"/>
      <c r="AA713" s="14"/>
      <c r="AG713" s="86"/>
      <c r="AJ713" s="86"/>
    </row>
    <row r="714">
      <c r="C714" s="88"/>
      <c r="D714" s="16"/>
      <c r="E714" s="16"/>
      <c r="F714" s="16"/>
      <c r="G714" s="16"/>
      <c r="H714" s="16"/>
      <c r="I714" s="16"/>
      <c r="J714" s="16"/>
      <c r="K714" s="16"/>
      <c r="L714" s="16"/>
      <c r="M714" s="16"/>
      <c r="N714" s="21"/>
      <c r="O714" s="30"/>
      <c r="P714" s="91"/>
      <c r="R714" s="223"/>
      <c r="S714" s="54"/>
      <c r="V714" s="102"/>
      <c r="W714" s="191"/>
      <c r="X714" s="86"/>
      <c r="Z714" s="131"/>
      <c r="AA714" s="14"/>
      <c r="AG714" s="86"/>
      <c r="AJ714" s="86"/>
    </row>
    <row r="715">
      <c r="C715" s="88"/>
      <c r="D715" s="16"/>
      <c r="E715" s="16"/>
      <c r="F715" s="16"/>
      <c r="G715" s="16"/>
      <c r="H715" s="16"/>
      <c r="I715" s="16"/>
      <c r="J715" s="16"/>
      <c r="K715" s="16"/>
      <c r="L715" s="16"/>
      <c r="M715" s="16"/>
      <c r="N715" s="21"/>
      <c r="O715" s="30"/>
      <c r="P715" s="91"/>
      <c r="R715" s="223"/>
      <c r="S715" s="54"/>
      <c r="V715" s="102"/>
      <c r="W715" s="191"/>
      <c r="X715" s="86"/>
      <c r="Z715" s="131"/>
      <c r="AA715" s="14"/>
      <c r="AG715" s="86"/>
      <c r="AJ715" s="86"/>
    </row>
    <row r="716">
      <c r="C716" s="88"/>
      <c r="D716" s="16"/>
      <c r="E716" s="16"/>
      <c r="F716" s="16"/>
      <c r="G716" s="16"/>
      <c r="H716" s="16"/>
      <c r="I716" s="16"/>
      <c r="J716" s="16"/>
      <c r="K716" s="16"/>
      <c r="L716" s="16"/>
      <c r="M716" s="16"/>
      <c r="N716" s="21"/>
      <c r="O716" s="30"/>
      <c r="P716" s="91"/>
      <c r="R716" s="223"/>
      <c r="S716" s="54"/>
      <c r="V716" s="102"/>
      <c r="W716" s="191"/>
      <c r="X716" s="86"/>
      <c r="Z716" s="131"/>
      <c r="AA716" s="14"/>
      <c r="AG716" s="86"/>
      <c r="AJ716" s="86"/>
    </row>
    <row r="717">
      <c r="C717" s="88"/>
      <c r="D717" s="16"/>
      <c r="E717" s="16"/>
      <c r="F717" s="16"/>
      <c r="G717" s="16"/>
      <c r="H717" s="16"/>
      <c r="I717" s="16"/>
      <c r="J717" s="16"/>
      <c r="K717" s="16"/>
      <c r="L717" s="16"/>
      <c r="M717" s="16"/>
      <c r="N717" s="21"/>
      <c r="O717" s="30"/>
      <c r="P717" s="91"/>
      <c r="R717" s="223"/>
      <c r="S717" s="54"/>
      <c r="V717" s="102"/>
      <c r="W717" s="191"/>
      <c r="X717" s="86"/>
      <c r="Z717" s="131"/>
      <c r="AA717" s="14"/>
      <c r="AG717" s="86"/>
      <c r="AJ717" s="86"/>
    </row>
    <row r="718">
      <c r="C718" s="88"/>
      <c r="D718" s="16"/>
      <c r="E718" s="16"/>
      <c r="F718" s="16"/>
      <c r="G718" s="16"/>
      <c r="H718" s="16"/>
      <c r="I718" s="16"/>
      <c r="J718" s="16"/>
      <c r="K718" s="16"/>
      <c r="L718" s="16"/>
      <c r="M718" s="16"/>
      <c r="N718" s="21"/>
      <c r="O718" s="30"/>
      <c r="P718" s="91"/>
      <c r="R718" s="223"/>
      <c r="S718" s="54"/>
      <c r="V718" s="102"/>
      <c r="W718" s="191"/>
      <c r="X718" s="86"/>
      <c r="Z718" s="131"/>
      <c r="AA718" s="14"/>
      <c r="AG718" s="86"/>
      <c r="AJ718" s="86"/>
    </row>
    <row r="719">
      <c r="C719" s="88"/>
      <c r="D719" s="16"/>
      <c r="E719" s="16"/>
      <c r="F719" s="16"/>
      <c r="G719" s="16"/>
      <c r="H719" s="16"/>
      <c r="I719" s="16"/>
      <c r="J719" s="16"/>
      <c r="K719" s="16"/>
      <c r="L719" s="16"/>
      <c r="M719" s="16"/>
      <c r="N719" s="21"/>
      <c r="O719" s="30"/>
      <c r="P719" s="91"/>
      <c r="R719" s="223"/>
      <c r="S719" s="54"/>
      <c r="V719" s="102"/>
      <c r="W719" s="191"/>
      <c r="X719" s="86"/>
      <c r="Z719" s="131"/>
      <c r="AA719" s="14"/>
      <c r="AG719" s="86"/>
      <c r="AJ719" s="86"/>
    </row>
    <row r="720">
      <c r="C720" s="88"/>
      <c r="D720" s="16"/>
      <c r="E720" s="16"/>
      <c r="F720" s="16"/>
      <c r="G720" s="16"/>
      <c r="H720" s="16"/>
      <c r="I720" s="16"/>
      <c r="J720" s="16"/>
      <c r="K720" s="16"/>
      <c r="L720" s="16"/>
      <c r="M720" s="16"/>
      <c r="N720" s="21"/>
      <c r="O720" s="30"/>
      <c r="P720" s="91"/>
      <c r="R720" s="223"/>
      <c r="S720" s="54"/>
      <c r="V720" s="102"/>
      <c r="W720" s="191"/>
      <c r="X720" s="86"/>
      <c r="Z720" s="131"/>
      <c r="AA720" s="14"/>
      <c r="AG720" s="86"/>
      <c r="AJ720" s="86"/>
    </row>
    <row r="721">
      <c r="C721" s="88"/>
      <c r="D721" s="16"/>
      <c r="E721" s="16"/>
      <c r="F721" s="16"/>
      <c r="G721" s="16"/>
      <c r="H721" s="16"/>
      <c r="I721" s="16"/>
      <c r="J721" s="16"/>
      <c r="K721" s="16"/>
      <c r="L721" s="16"/>
      <c r="M721" s="16"/>
      <c r="N721" s="21"/>
      <c r="O721" s="30"/>
      <c r="P721" s="91"/>
      <c r="R721" s="223"/>
      <c r="S721" s="54"/>
      <c r="V721" s="102"/>
      <c r="W721" s="191"/>
      <c r="X721" s="86"/>
      <c r="Z721" s="131"/>
      <c r="AA721" s="14"/>
      <c r="AG721" s="86"/>
      <c r="AJ721" s="86"/>
    </row>
    <row r="722">
      <c r="C722" s="88"/>
      <c r="D722" s="16"/>
      <c r="E722" s="16"/>
      <c r="F722" s="16"/>
      <c r="G722" s="16"/>
      <c r="H722" s="16"/>
      <c r="I722" s="16"/>
      <c r="J722" s="16"/>
      <c r="K722" s="16"/>
      <c r="L722" s="16"/>
      <c r="M722" s="16"/>
      <c r="N722" s="21"/>
      <c r="O722" s="30"/>
      <c r="P722" s="91"/>
      <c r="R722" s="223"/>
      <c r="S722" s="54"/>
      <c r="V722" s="102"/>
      <c r="W722" s="191"/>
      <c r="X722" s="86"/>
      <c r="Z722" s="131"/>
      <c r="AA722" s="14"/>
      <c r="AG722" s="86"/>
      <c r="AJ722" s="86"/>
    </row>
    <row r="723">
      <c r="C723" s="88"/>
      <c r="D723" s="16"/>
      <c r="E723" s="16"/>
      <c r="F723" s="16"/>
      <c r="G723" s="16"/>
      <c r="H723" s="16"/>
      <c r="I723" s="16"/>
      <c r="J723" s="16"/>
      <c r="K723" s="16"/>
      <c r="L723" s="16"/>
      <c r="M723" s="16"/>
      <c r="N723" s="21"/>
      <c r="O723" s="30"/>
      <c r="P723" s="91"/>
      <c r="R723" s="223"/>
      <c r="S723" s="54"/>
      <c r="V723" s="102"/>
      <c r="W723" s="191"/>
      <c r="X723" s="86"/>
      <c r="Z723" s="131"/>
      <c r="AA723" s="14"/>
      <c r="AG723" s="86"/>
      <c r="AJ723" s="86"/>
    </row>
    <row r="724">
      <c r="C724" s="88"/>
      <c r="D724" s="16"/>
      <c r="E724" s="16"/>
      <c r="F724" s="16"/>
      <c r="G724" s="16"/>
      <c r="H724" s="16"/>
      <c r="I724" s="16"/>
      <c r="J724" s="16"/>
      <c r="K724" s="16"/>
      <c r="L724" s="16"/>
      <c r="M724" s="16"/>
      <c r="N724" s="21"/>
      <c r="O724" s="30"/>
      <c r="P724" s="91"/>
      <c r="R724" s="223"/>
      <c r="S724" s="54"/>
      <c r="V724" s="102"/>
      <c r="W724" s="191"/>
      <c r="X724" s="86"/>
      <c r="Z724" s="131"/>
      <c r="AA724" s="14"/>
      <c r="AG724" s="86"/>
      <c r="AJ724" s="86"/>
    </row>
    <row r="725">
      <c r="C725" s="88"/>
      <c r="D725" s="16"/>
      <c r="E725" s="16"/>
      <c r="F725" s="16"/>
      <c r="G725" s="16"/>
      <c r="H725" s="16"/>
      <c r="I725" s="16"/>
      <c r="J725" s="16"/>
      <c r="K725" s="16"/>
      <c r="L725" s="16"/>
      <c r="M725" s="16"/>
      <c r="N725" s="21"/>
      <c r="O725" s="30"/>
      <c r="P725" s="91"/>
      <c r="R725" s="223"/>
      <c r="S725" s="54"/>
      <c r="V725" s="102"/>
      <c r="W725" s="191"/>
      <c r="X725" s="86"/>
      <c r="Z725" s="131"/>
      <c r="AA725" s="14"/>
      <c r="AG725" s="86"/>
      <c r="AJ725" s="86"/>
    </row>
    <row r="726">
      <c r="C726" s="88"/>
      <c r="D726" s="16"/>
      <c r="E726" s="16"/>
      <c r="F726" s="16"/>
      <c r="G726" s="16"/>
      <c r="H726" s="16"/>
      <c r="I726" s="16"/>
      <c r="J726" s="16"/>
      <c r="K726" s="16"/>
      <c r="L726" s="16"/>
      <c r="M726" s="16"/>
      <c r="N726" s="21"/>
      <c r="O726" s="30"/>
      <c r="P726" s="91"/>
      <c r="R726" s="223"/>
      <c r="S726" s="54"/>
      <c r="V726" s="102"/>
      <c r="W726" s="191"/>
      <c r="X726" s="86"/>
      <c r="Z726" s="131"/>
      <c r="AA726" s="14"/>
      <c r="AG726" s="86"/>
      <c r="AJ726" s="86"/>
    </row>
    <row r="727">
      <c r="C727" s="88"/>
      <c r="D727" s="16"/>
      <c r="E727" s="16"/>
      <c r="F727" s="16"/>
      <c r="G727" s="16"/>
      <c r="H727" s="16"/>
      <c r="I727" s="16"/>
      <c r="J727" s="16"/>
      <c r="K727" s="16"/>
      <c r="L727" s="16"/>
      <c r="M727" s="16"/>
      <c r="N727" s="21"/>
      <c r="O727" s="30"/>
      <c r="P727" s="91"/>
      <c r="R727" s="223"/>
      <c r="S727" s="54"/>
      <c r="V727" s="102"/>
      <c r="W727" s="191"/>
      <c r="X727" s="86"/>
      <c r="Z727" s="131"/>
      <c r="AA727" s="14"/>
      <c r="AG727" s="86"/>
      <c r="AJ727" s="86"/>
    </row>
    <row r="728">
      <c r="C728" s="88"/>
      <c r="D728" s="16"/>
      <c r="E728" s="16"/>
      <c r="F728" s="16"/>
      <c r="G728" s="16"/>
      <c r="H728" s="16"/>
      <c r="I728" s="16"/>
      <c r="J728" s="16"/>
      <c r="K728" s="16"/>
      <c r="L728" s="16"/>
      <c r="M728" s="16"/>
      <c r="N728" s="21"/>
      <c r="O728" s="30"/>
      <c r="P728" s="91"/>
      <c r="R728" s="223"/>
      <c r="S728" s="54"/>
      <c r="V728" s="102"/>
      <c r="W728" s="191"/>
      <c r="X728" s="86"/>
      <c r="Z728" s="131"/>
      <c r="AA728" s="14"/>
      <c r="AG728" s="86"/>
      <c r="AJ728" s="86"/>
    </row>
    <row r="729">
      <c r="C729" s="88"/>
      <c r="D729" s="16"/>
      <c r="E729" s="16"/>
      <c r="F729" s="16"/>
      <c r="G729" s="16"/>
      <c r="H729" s="16"/>
      <c r="I729" s="16"/>
      <c r="J729" s="16"/>
      <c r="K729" s="16"/>
      <c r="L729" s="16"/>
      <c r="M729" s="16"/>
      <c r="N729" s="21"/>
      <c r="O729" s="30"/>
      <c r="P729" s="91"/>
      <c r="R729" s="223"/>
      <c r="S729" s="54"/>
      <c r="V729" s="102"/>
      <c r="W729" s="191"/>
      <c r="X729" s="86"/>
      <c r="Z729" s="131"/>
      <c r="AA729" s="14"/>
      <c r="AG729" s="86"/>
      <c r="AJ729" s="86"/>
    </row>
    <row r="730">
      <c r="C730" s="88"/>
      <c r="D730" s="16"/>
      <c r="E730" s="16"/>
      <c r="F730" s="16"/>
      <c r="G730" s="16"/>
      <c r="H730" s="16"/>
      <c r="I730" s="16"/>
      <c r="J730" s="16"/>
      <c r="K730" s="16"/>
      <c r="L730" s="16"/>
      <c r="M730" s="16"/>
      <c r="N730" s="21"/>
      <c r="O730" s="30"/>
      <c r="P730" s="91"/>
      <c r="R730" s="223"/>
      <c r="S730" s="54"/>
      <c r="V730" s="102"/>
      <c r="W730" s="191"/>
      <c r="X730" s="86"/>
      <c r="Z730" s="131"/>
      <c r="AA730" s="14"/>
      <c r="AG730" s="86"/>
      <c r="AJ730" s="86"/>
    </row>
    <row r="731">
      <c r="C731" s="88"/>
      <c r="D731" s="16"/>
      <c r="E731" s="16"/>
      <c r="F731" s="16"/>
      <c r="G731" s="16"/>
      <c r="H731" s="16"/>
      <c r="I731" s="16"/>
      <c r="J731" s="16"/>
      <c r="K731" s="16"/>
      <c r="L731" s="16"/>
      <c r="M731" s="16"/>
      <c r="N731" s="21"/>
      <c r="O731" s="30"/>
      <c r="P731" s="91"/>
      <c r="R731" s="223"/>
      <c r="S731" s="54"/>
      <c r="V731" s="102"/>
      <c r="W731" s="191"/>
      <c r="X731" s="86"/>
      <c r="Z731" s="131"/>
      <c r="AA731" s="14"/>
      <c r="AG731" s="86"/>
      <c r="AJ731" s="86"/>
    </row>
    <row r="732">
      <c r="C732" s="88"/>
      <c r="D732" s="16"/>
      <c r="E732" s="16"/>
      <c r="F732" s="16"/>
      <c r="G732" s="16"/>
      <c r="H732" s="16"/>
      <c r="I732" s="16"/>
      <c r="J732" s="16"/>
      <c r="K732" s="16"/>
      <c r="L732" s="16"/>
      <c r="M732" s="16"/>
      <c r="N732" s="21"/>
      <c r="O732" s="30"/>
      <c r="P732" s="91"/>
      <c r="R732" s="223"/>
      <c r="S732" s="54"/>
      <c r="V732" s="102"/>
      <c r="W732" s="191"/>
      <c r="X732" s="86"/>
      <c r="Z732" s="131"/>
      <c r="AA732" s="14"/>
      <c r="AG732" s="86"/>
      <c r="AJ732" s="86"/>
    </row>
    <row r="733">
      <c r="C733" s="88"/>
      <c r="D733" s="16"/>
      <c r="E733" s="16"/>
      <c r="F733" s="16"/>
      <c r="G733" s="16"/>
      <c r="H733" s="16"/>
      <c r="I733" s="16"/>
      <c r="J733" s="16"/>
      <c r="K733" s="16"/>
      <c r="L733" s="16"/>
      <c r="M733" s="16"/>
      <c r="N733" s="21"/>
      <c r="O733" s="30"/>
      <c r="P733" s="91"/>
      <c r="R733" s="223"/>
      <c r="S733" s="54"/>
      <c r="V733" s="102"/>
      <c r="W733" s="191"/>
      <c r="X733" s="86"/>
      <c r="Z733" s="131"/>
      <c r="AA733" s="14"/>
      <c r="AG733" s="86"/>
      <c r="AJ733" s="86"/>
    </row>
    <row r="734">
      <c r="C734" s="88"/>
      <c r="D734" s="16"/>
      <c r="E734" s="16"/>
      <c r="F734" s="16"/>
      <c r="G734" s="16"/>
      <c r="H734" s="16"/>
      <c r="I734" s="16"/>
      <c r="J734" s="16"/>
      <c r="K734" s="16"/>
      <c r="L734" s="16"/>
      <c r="M734" s="16"/>
      <c r="N734" s="21"/>
      <c r="O734" s="30"/>
      <c r="P734" s="91"/>
      <c r="R734" s="223"/>
      <c r="S734" s="54"/>
      <c r="V734" s="102"/>
      <c r="W734" s="191"/>
      <c r="X734" s="86"/>
      <c r="Z734" s="131"/>
      <c r="AA734" s="14"/>
      <c r="AG734" s="86"/>
      <c r="AJ734" s="86"/>
    </row>
    <row r="735">
      <c r="C735" s="88"/>
      <c r="D735" s="16"/>
      <c r="E735" s="16"/>
      <c r="F735" s="16"/>
      <c r="G735" s="16"/>
      <c r="H735" s="16"/>
      <c r="I735" s="16"/>
      <c r="J735" s="16"/>
      <c r="K735" s="16"/>
      <c r="L735" s="16"/>
      <c r="M735" s="16"/>
      <c r="N735" s="21"/>
      <c r="O735" s="30"/>
      <c r="P735" s="91"/>
      <c r="R735" s="223"/>
      <c r="S735" s="54"/>
      <c r="V735" s="102"/>
      <c r="W735" s="191"/>
      <c r="X735" s="86"/>
      <c r="Z735" s="131"/>
      <c r="AA735" s="14"/>
      <c r="AG735" s="86"/>
      <c r="AJ735" s="86"/>
    </row>
    <row r="736">
      <c r="C736" s="88"/>
      <c r="D736" s="16"/>
      <c r="E736" s="16"/>
      <c r="F736" s="16"/>
      <c r="G736" s="16"/>
      <c r="H736" s="16"/>
      <c r="I736" s="16"/>
      <c r="J736" s="16"/>
      <c r="K736" s="16"/>
      <c r="L736" s="16"/>
      <c r="M736" s="16"/>
      <c r="N736" s="21"/>
      <c r="O736" s="30"/>
      <c r="P736" s="91"/>
      <c r="R736" s="223"/>
      <c r="S736" s="54"/>
      <c r="V736" s="102"/>
      <c r="W736" s="191"/>
      <c r="X736" s="86"/>
      <c r="Z736" s="131"/>
      <c r="AA736" s="14"/>
      <c r="AG736" s="86"/>
      <c r="AJ736" s="86"/>
    </row>
    <row r="737">
      <c r="C737" s="88"/>
      <c r="D737" s="16"/>
      <c r="E737" s="16"/>
      <c r="F737" s="16"/>
      <c r="G737" s="16"/>
      <c r="H737" s="16"/>
      <c r="I737" s="16"/>
      <c r="J737" s="16"/>
      <c r="K737" s="16"/>
      <c r="L737" s="16"/>
      <c r="M737" s="16"/>
      <c r="N737" s="21"/>
      <c r="O737" s="30"/>
      <c r="P737" s="91"/>
      <c r="R737" s="223"/>
      <c r="S737" s="54"/>
      <c r="V737" s="102"/>
      <c r="W737" s="191"/>
      <c r="X737" s="86"/>
      <c r="Z737" s="131"/>
      <c r="AA737" s="14"/>
      <c r="AG737" s="86"/>
      <c r="AJ737" s="86"/>
    </row>
    <row r="738">
      <c r="C738" s="88"/>
      <c r="D738" s="16"/>
      <c r="E738" s="16"/>
      <c r="F738" s="16"/>
      <c r="G738" s="16"/>
      <c r="H738" s="16"/>
      <c r="I738" s="16"/>
      <c r="J738" s="16"/>
      <c r="K738" s="16"/>
      <c r="L738" s="16"/>
      <c r="M738" s="16"/>
      <c r="N738" s="21"/>
      <c r="O738" s="30"/>
      <c r="P738" s="91"/>
      <c r="R738" s="223"/>
      <c r="S738" s="54"/>
      <c r="V738" s="102"/>
      <c r="W738" s="191"/>
      <c r="X738" s="86"/>
      <c r="Z738" s="131"/>
      <c r="AA738" s="14"/>
      <c r="AG738" s="86"/>
      <c r="AJ738" s="86"/>
    </row>
    <row r="739">
      <c r="C739" s="88"/>
      <c r="D739" s="16"/>
      <c r="E739" s="16"/>
      <c r="F739" s="16"/>
      <c r="G739" s="16"/>
      <c r="H739" s="16"/>
      <c r="I739" s="16"/>
      <c r="J739" s="16"/>
      <c r="K739" s="16"/>
      <c r="L739" s="16"/>
      <c r="M739" s="16"/>
      <c r="N739" s="21"/>
      <c r="O739" s="30"/>
      <c r="P739" s="91"/>
      <c r="R739" s="223"/>
      <c r="S739" s="54"/>
      <c r="V739" s="102"/>
      <c r="W739" s="191"/>
      <c r="X739" s="86"/>
      <c r="Z739" s="131"/>
      <c r="AA739" s="14"/>
      <c r="AG739" s="86"/>
      <c r="AJ739" s="86"/>
    </row>
    <row r="740">
      <c r="C740" s="88"/>
      <c r="D740" s="16"/>
      <c r="E740" s="16"/>
      <c r="F740" s="16"/>
      <c r="G740" s="16"/>
      <c r="H740" s="16"/>
      <c r="I740" s="16"/>
      <c r="J740" s="16"/>
      <c r="K740" s="16"/>
      <c r="L740" s="16"/>
      <c r="M740" s="16"/>
      <c r="N740" s="21"/>
      <c r="O740" s="30"/>
      <c r="P740" s="91"/>
      <c r="R740" s="223"/>
      <c r="S740" s="54"/>
      <c r="V740" s="102"/>
      <c r="W740" s="191"/>
      <c r="X740" s="86"/>
      <c r="Z740" s="131"/>
      <c r="AA740" s="14"/>
      <c r="AG740" s="86"/>
      <c r="AJ740" s="86"/>
    </row>
    <row r="741">
      <c r="C741" s="88"/>
      <c r="D741" s="16"/>
      <c r="E741" s="16"/>
      <c r="F741" s="16"/>
      <c r="G741" s="16"/>
      <c r="H741" s="16"/>
      <c r="I741" s="16"/>
      <c r="J741" s="16"/>
      <c r="K741" s="16"/>
      <c r="L741" s="16"/>
      <c r="M741" s="16"/>
      <c r="N741" s="21"/>
      <c r="O741" s="30"/>
      <c r="P741" s="91"/>
      <c r="R741" s="223"/>
      <c r="S741" s="54"/>
      <c r="V741" s="102"/>
      <c r="W741" s="191"/>
      <c r="X741" s="86"/>
      <c r="Z741" s="131"/>
      <c r="AA741" s="14"/>
      <c r="AG741" s="86"/>
      <c r="AJ741" s="86"/>
    </row>
    <row r="742">
      <c r="C742" s="88"/>
      <c r="D742" s="16"/>
      <c r="E742" s="16"/>
      <c r="F742" s="16"/>
      <c r="G742" s="16"/>
      <c r="H742" s="16"/>
      <c r="I742" s="16"/>
      <c r="J742" s="16"/>
      <c r="K742" s="16"/>
      <c r="L742" s="16"/>
      <c r="M742" s="16"/>
      <c r="N742" s="21"/>
      <c r="O742" s="30"/>
      <c r="P742" s="91"/>
      <c r="R742" s="223"/>
      <c r="S742" s="54"/>
      <c r="V742" s="102"/>
      <c r="W742" s="191"/>
      <c r="X742" s="86"/>
      <c r="Z742" s="131"/>
      <c r="AA742" s="14"/>
      <c r="AG742" s="86"/>
      <c r="AJ742" s="86"/>
    </row>
    <row r="743">
      <c r="C743" s="88"/>
      <c r="D743" s="16"/>
      <c r="E743" s="16"/>
      <c r="F743" s="16"/>
      <c r="G743" s="16"/>
      <c r="H743" s="16"/>
      <c r="I743" s="16"/>
      <c r="J743" s="16"/>
      <c r="K743" s="16"/>
      <c r="L743" s="16"/>
      <c r="M743" s="16"/>
      <c r="N743" s="21"/>
      <c r="O743" s="30"/>
      <c r="P743" s="91"/>
      <c r="R743" s="223"/>
      <c r="S743" s="54"/>
      <c r="V743" s="102"/>
      <c r="W743" s="191"/>
      <c r="X743" s="86"/>
      <c r="Z743" s="131"/>
      <c r="AA743" s="14"/>
      <c r="AG743" s="86"/>
      <c r="AJ743" s="86"/>
    </row>
    <row r="744">
      <c r="C744" s="88"/>
      <c r="D744" s="16"/>
      <c r="E744" s="16"/>
      <c r="F744" s="16"/>
      <c r="G744" s="16"/>
      <c r="H744" s="16"/>
      <c r="I744" s="16"/>
      <c r="J744" s="16"/>
      <c r="K744" s="16"/>
      <c r="L744" s="16"/>
      <c r="M744" s="16"/>
      <c r="N744" s="21"/>
      <c r="O744" s="30"/>
      <c r="P744" s="91"/>
      <c r="R744" s="223"/>
      <c r="S744" s="54"/>
      <c r="V744" s="102"/>
      <c r="W744" s="191"/>
      <c r="X744" s="86"/>
      <c r="Z744" s="131"/>
      <c r="AA744" s="14"/>
      <c r="AG744" s="86"/>
      <c r="AJ744" s="86"/>
    </row>
    <row r="745">
      <c r="C745" s="88"/>
      <c r="D745" s="16"/>
      <c r="E745" s="16"/>
      <c r="F745" s="16"/>
      <c r="G745" s="16"/>
      <c r="H745" s="16"/>
      <c r="I745" s="16"/>
      <c r="J745" s="16"/>
      <c r="K745" s="16"/>
      <c r="L745" s="16"/>
      <c r="M745" s="16"/>
      <c r="N745" s="21"/>
      <c r="O745" s="30"/>
      <c r="P745" s="91"/>
      <c r="R745" s="223"/>
      <c r="S745" s="54"/>
      <c r="V745" s="102"/>
      <c r="W745" s="191"/>
      <c r="X745" s="86"/>
      <c r="Z745" s="131"/>
      <c r="AA745" s="14"/>
      <c r="AG745" s="86"/>
      <c r="AJ745" s="86"/>
    </row>
    <row r="746">
      <c r="C746" s="88"/>
      <c r="D746" s="16"/>
      <c r="E746" s="16"/>
      <c r="F746" s="16"/>
      <c r="G746" s="16"/>
      <c r="H746" s="16"/>
      <c r="I746" s="16"/>
      <c r="J746" s="16"/>
      <c r="K746" s="16"/>
      <c r="L746" s="16"/>
      <c r="M746" s="16"/>
      <c r="N746" s="21"/>
      <c r="O746" s="30"/>
      <c r="P746" s="91"/>
      <c r="R746" s="223"/>
      <c r="S746" s="54"/>
      <c r="V746" s="102"/>
      <c r="W746" s="191"/>
      <c r="X746" s="86"/>
      <c r="Z746" s="131"/>
      <c r="AA746" s="14"/>
      <c r="AG746" s="86"/>
      <c r="AJ746" s="86"/>
    </row>
    <row r="747">
      <c r="C747" s="88"/>
      <c r="D747" s="16"/>
      <c r="E747" s="16"/>
      <c r="F747" s="16"/>
      <c r="G747" s="16"/>
      <c r="H747" s="16"/>
      <c r="I747" s="16"/>
      <c r="J747" s="16"/>
      <c r="K747" s="16"/>
      <c r="L747" s="16"/>
      <c r="M747" s="16"/>
      <c r="N747" s="21"/>
      <c r="O747" s="30"/>
      <c r="P747" s="91"/>
      <c r="R747" s="223"/>
      <c r="S747" s="54"/>
      <c r="V747" s="102"/>
      <c r="W747" s="191"/>
      <c r="X747" s="86"/>
      <c r="Z747" s="131"/>
      <c r="AA747" s="14"/>
      <c r="AG747" s="86"/>
      <c r="AJ747" s="86"/>
    </row>
    <row r="748">
      <c r="C748" s="88"/>
      <c r="D748" s="16"/>
      <c r="E748" s="16"/>
      <c r="F748" s="16"/>
      <c r="G748" s="16"/>
      <c r="H748" s="16"/>
      <c r="I748" s="16"/>
      <c r="J748" s="16"/>
      <c r="K748" s="16"/>
      <c r="L748" s="16"/>
      <c r="M748" s="16"/>
      <c r="N748" s="21"/>
      <c r="O748" s="30"/>
      <c r="P748" s="91"/>
      <c r="R748" s="223"/>
      <c r="S748" s="54"/>
      <c r="V748" s="102"/>
      <c r="W748" s="191"/>
      <c r="X748" s="86"/>
      <c r="Z748" s="131"/>
      <c r="AA748" s="14"/>
      <c r="AG748" s="86"/>
      <c r="AJ748" s="86"/>
    </row>
    <row r="749">
      <c r="C749" s="88"/>
      <c r="D749" s="16"/>
      <c r="E749" s="16"/>
      <c r="F749" s="16"/>
      <c r="G749" s="16"/>
      <c r="H749" s="16"/>
      <c r="I749" s="16"/>
      <c r="J749" s="16"/>
      <c r="K749" s="16"/>
      <c r="L749" s="16"/>
      <c r="M749" s="16"/>
      <c r="N749" s="21"/>
      <c r="O749" s="30"/>
      <c r="P749" s="91"/>
      <c r="R749" s="223"/>
      <c r="S749" s="54"/>
      <c r="V749" s="102"/>
      <c r="W749" s="191"/>
      <c r="X749" s="86"/>
      <c r="Z749" s="131"/>
      <c r="AA749" s="14"/>
      <c r="AG749" s="86"/>
      <c r="AJ749" s="86"/>
    </row>
    <row r="750">
      <c r="C750" s="88"/>
      <c r="D750" s="16"/>
      <c r="E750" s="16"/>
      <c r="F750" s="16"/>
      <c r="G750" s="16"/>
      <c r="H750" s="16"/>
      <c r="I750" s="16"/>
      <c r="J750" s="16"/>
      <c r="K750" s="16"/>
      <c r="L750" s="16"/>
      <c r="M750" s="16"/>
      <c r="N750" s="21"/>
      <c r="O750" s="30"/>
      <c r="P750" s="91"/>
      <c r="R750" s="223"/>
      <c r="S750" s="54"/>
      <c r="V750" s="102"/>
      <c r="W750" s="191"/>
      <c r="X750" s="86"/>
      <c r="Z750" s="131"/>
      <c r="AA750" s="14"/>
      <c r="AG750" s="86"/>
      <c r="AJ750" s="86"/>
    </row>
    <row r="751">
      <c r="C751" s="88"/>
      <c r="D751" s="16"/>
      <c r="E751" s="16"/>
      <c r="F751" s="16"/>
      <c r="G751" s="16"/>
      <c r="H751" s="16"/>
      <c r="I751" s="16"/>
      <c r="J751" s="16"/>
      <c r="K751" s="16"/>
      <c r="L751" s="16"/>
      <c r="M751" s="16"/>
      <c r="N751" s="21"/>
      <c r="O751" s="30"/>
      <c r="P751" s="91"/>
      <c r="R751" s="223"/>
      <c r="S751" s="54"/>
      <c r="V751" s="102"/>
      <c r="W751" s="191"/>
      <c r="X751" s="86"/>
      <c r="Z751" s="131"/>
      <c r="AA751" s="14"/>
      <c r="AG751" s="86"/>
      <c r="AJ751" s="86"/>
    </row>
    <row r="752">
      <c r="C752" s="88"/>
      <c r="D752" s="16"/>
      <c r="E752" s="16"/>
      <c r="F752" s="16"/>
      <c r="G752" s="16"/>
      <c r="H752" s="16"/>
      <c r="I752" s="16"/>
      <c r="J752" s="16"/>
      <c r="K752" s="16"/>
      <c r="L752" s="16"/>
      <c r="M752" s="16"/>
      <c r="N752" s="21"/>
      <c r="O752" s="30"/>
      <c r="P752" s="91"/>
      <c r="R752" s="223"/>
      <c r="S752" s="54"/>
      <c r="V752" s="102"/>
      <c r="W752" s="191"/>
      <c r="X752" s="86"/>
      <c r="Z752" s="131"/>
      <c r="AA752" s="14"/>
      <c r="AG752" s="86"/>
      <c r="AJ752" s="86"/>
    </row>
    <row r="753">
      <c r="C753" s="88"/>
      <c r="D753" s="16"/>
      <c r="E753" s="16"/>
      <c r="F753" s="16"/>
      <c r="G753" s="16"/>
      <c r="H753" s="16"/>
      <c r="I753" s="16"/>
      <c r="J753" s="16"/>
      <c r="K753" s="16"/>
      <c r="L753" s="16"/>
      <c r="M753" s="16"/>
      <c r="N753" s="21"/>
      <c r="O753" s="30"/>
      <c r="P753" s="91"/>
      <c r="R753" s="223"/>
      <c r="S753" s="54"/>
      <c r="V753" s="102"/>
      <c r="W753" s="191"/>
      <c r="X753" s="86"/>
      <c r="Z753" s="131"/>
      <c r="AA753" s="14"/>
      <c r="AG753" s="86"/>
      <c r="AJ753" s="86"/>
    </row>
    <row r="754">
      <c r="C754" s="88"/>
      <c r="D754" s="16"/>
      <c r="E754" s="16"/>
      <c r="F754" s="16"/>
      <c r="G754" s="16"/>
      <c r="H754" s="16"/>
      <c r="I754" s="16"/>
      <c r="J754" s="16"/>
      <c r="K754" s="16"/>
      <c r="L754" s="16"/>
      <c r="M754" s="16"/>
      <c r="N754" s="21"/>
      <c r="O754" s="30"/>
      <c r="P754" s="91"/>
      <c r="R754" s="223"/>
      <c r="S754" s="54"/>
      <c r="V754" s="102"/>
      <c r="W754" s="191"/>
      <c r="X754" s="86"/>
      <c r="Z754" s="131"/>
      <c r="AA754" s="14"/>
      <c r="AG754" s="86"/>
      <c r="AJ754" s="86"/>
    </row>
    <row r="755">
      <c r="C755" s="88"/>
      <c r="D755" s="16"/>
      <c r="E755" s="16"/>
      <c r="F755" s="16"/>
      <c r="G755" s="16"/>
      <c r="H755" s="16"/>
      <c r="I755" s="16"/>
      <c r="J755" s="16"/>
      <c r="K755" s="16"/>
      <c r="L755" s="16"/>
      <c r="M755" s="16"/>
      <c r="N755" s="21"/>
      <c r="O755" s="30"/>
      <c r="P755" s="91"/>
      <c r="R755" s="223"/>
      <c r="S755" s="54"/>
      <c r="V755" s="102"/>
      <c r="W755" s="191"/>
      <c r="X755" s="86"/>
      <c r="Z755" s="131"/>
      <c r="AA755" s="14"/>
      <c r="AG755" s="86"/>
      <c r="AJ755" s="86"/>
    </row>
    <row r="756">
      <c r="C756" s="88"/>
      <c r="D756" s="16"/>
      <c r="E756" s="16"/>
      <c r="F756" s="16"/>
      <c r="G756" s="16"/>
      <c r="H756" s="16"/>
      <c r="I756" s="16"/>
      <c r="J756" s="16"/>
      <c r="K756" s="16"/>
      <c r="L756" s="16"/>
      <c r="M756" s="16"/>
      <c r="N756" s="21"/>
      <c r="O756" s="30"/>
      <c r="P756" s="91"/>
      <c r="R756" s="223"/>
      <c r="S756" s="54"/>
      <c r="V756" s="102"/>
      <c r="W756" s="191"/>
      <c r="X756" s="86"/>
      <c r="Z756" s="131"/>
      <c r="AA756" s="14"/>
      <c r="AG756" s="86"/>
      <c r="AJ756" s="86"/>
    </row>
    <row r="757">
      <c r="C757" s="88"/>
      <c r="D757" s="16"/>
      <c r="E757" s="16"/>
      <c r="F757" s="16"/>
      <c r="G757" s="16"/>
      <c r="H757" s="16"/>
      <c r="I757" s="16"/>
      <c r="J757" s="16"/>
      <c r="K757" s="16"/>
      <c r="L757" s="16"/>
      <c r="M757" s="16"/>
      <c r="N757" s="21"/>
      <c r="O757" s="30"/>
      <c r="P757" s="91"/>
      <c r="R757" s="223"/>
      <c r="S757" s="54"/>
      <c r="V757" s="102"/>
      <c r="W757" s="191"/>
      <c r="X757" s="86"/>
      <c r="Z757" s="131"/>
      <c r="AA757" s="14"/>
      <c r="AG757" s="86"/>
      <c r="AJ757" s="86"/>
    </row>
    <row r="758">
      <c r="C758" s="88"/>
      <c r="D758" s="16"/>
      <c r="E758" s="16"/>
      <c r="F758" s="16"/>
      <c r="G758" s="16"/>
      <c r="H758" s="16"/>
      <c r="I758" s="16"/>
      <c r="J758" s="16"/>
      <c r="K758" s="16"/>
      <c r="L758" s="16"/>
      <c r="M758" s="16"/>
      <c r="N758" s="21"/>
      <c r="O758" s="30"/>
      <c r="P758" s="91"/>
      <c r="R758" s="223"/>
      <c r="S758" s="54"/>
      <c r="V758" s="102"/>
      <c r="W758" s="191"/>
      <c r="X758" s="86"/>
      <c r="Z758" s="131"/>
      <c r="AA758" s="14"/>
      <c r="AG758" s="86"/>
      <c r="AJ758" s="86"/>
    </row>
    <row r="759">
      <c r="C759" s="88"/>
      <c r="D759" s="16"/>
      <c r="E759" s="16"/>
      <c r="F759" s="16"/>
      <c r="G759" s="16"/>
      <c r="H759" s="16"/>
      <c r="I759" s="16"/>
      <c r="J759" s="16"/>
      <c r="K759" s="16"/>
      <c r="L759" s="16"/>
      <c r="M759" s="16"/>
      <c r="N759" s="21"/>
      <c r="O759" s="30"/>
      <c r="P759" s="91"/>
      <c r="R759" s="223"/>
      <c r="S759" s="54"/>
      <c r="V759" s="102"/>
      <c r="W759" s="191"/>
      <c r="X759" s="86"/>
      <c r="Z759" s="131"/>
      <c r="AA759" s="14"/>
      <c r="AG759" s="86"/>
      <c r="AJ759" s="86"/>
    </row>
    <row r="760">
      <c r="C760" s="88"/>
      <c r="D760" s="16"/>
      <c r="E760" s="16"/>
      <c r="F760" s="16"/>
      <c r="G760" s="16"/>
      <c r="H760" s="16"/>
      <c r="I760" s="16"/>
      <c r="J760" s="16"/>
      <c r="K760" s="16"/>
      <c r="L760" s="16"/>
      <c r="M760" s="16"/>
      <c r="N760" s="21"/>
      <c r="O760" s="30"/>
      <c r="P760" s="91"/>
      <c r="R760" s="223"/>
      <c r="S760" s="54"/>
      <c r="V760" s="102"/>
      <c r="W760" s="191"/>
      <c r="X760" s="86"/>
      <c r="Z760" s="131"/>
      <c r="AA760" s="14"/>
      <c r="AG760" s="86"/>
      <c r="AJ760" s="86"/>
    </row>
    <row r="761">
      <c r="C761" s="88"/>
      <c r="D761" s="16"/>
      <c r="E761" s="16"/>
      <c r="F761" s="16"/>
      <c r="G761" s="16"/>
      <c r="H761" s="16"/>
      <c r="I761" s="16"/>
      <c r="J761" s="16"/>
      <c r="K761" s="16"/>
      <c r="L761" s="16"/>
      <c r="M761" s="16"/>
      <c r="N761" s="21"/>
      <c r="O761" s="30"/>
      <c r="P761" s="91"/>
      <c r="R761" s="223"/>
      <c r="S761" s="54"/>
      <c r="V761" s="102"/>
      <c r="W761" s="191"/>
      <c r="X761" s="86"/>
      <c r="Z761" s="131"/>
      <c r="AA761" s="14"/>
      <c r="AG761" s="86"/>
      <c r="AJ761" s="86"/>
    </row>
    <row r="762">
      <c r="C762" s="88"/>
      <c r="D762" s="16"/>
      <c r="E762" s="16"/>
      <c r="F762" s="16"/>
      <c r="G762" s="16"/>
      <c r="H762" s="16"/>
      <c r="I762" s="16"/>
      <c r="J762" s="16"/>
      <c r="K762" s="16"/>
      <c r="L762" s="16"/>
      <c r="M762" s="16"/>
      <c r="N762" s="21"/>
      <c r="O762" s="30"/>
      <c r="P762" s="91"/>
      <c r="R762" s="223"/>
      <c r="S762" s="54"/>
      <c r="V762" s="102"/>
      <c r="W762" s="191"/>
      <c r="X762" s="86"/>
      <c r="Z762" s="131"/>
      <c r="AA762" s="14"/>
      <c r="AG762" s="86"/>
      <c r="AJ762" s="86"/>
    </row>
    <row r="763">
      <c r="C763" s="88"/>
      <c r="D763" s="16"/>
      <c r="E763" s="16"/>
      <c r="F763" s="16"/>
      <c r="G763" s="16"/>
      <c r="H763" s="16"/>
      <c r="I763" s="16"/>
      <c r="J763" s="16"/>
      <c r="K763" s="16"/>
      <c r="L763" s="16"/>
      <c r="M763" s="16"/>
      <c r="N763" s="21"/>
      <c r="O763" s="30"/>
      <c r="P763" s="91"/>
      <c r="R763" s="223"/>
      <c r="S763" s="54"/>
      <c r="V763" s="102"/>
      <c r="W763" s="191"/>
      <c r="X763" s="86"/>
      <c r="Z763" s="131"/>
      <c r="AA763" s="14"/>
      <c r="AG763" s="86"/>
      <c r="AJ763" s="86"/>
    </row>
    <row r="764">
      <c r="C764" s="88"/>
      <c r="D764" s="16"/>
      <c r="E764" s="16"/>
      <c r="F764" s="16"/>
      <c r="G764" s="16"/>
      <c r="H764" s="16"/>
      <c r="I764" s="16"/>
      <c r="J764" s="16"/>
      <c r="K764" s="16"/>
      <c r="L764" s="16"/>
      <c r="M764" s="16"/>
      <c r="N764" s="21"/>
      <c r="O764" s="30"/>
      <c r="P764" s="91"/>
      <c r="R764" s="223"/>
      <c r="S764" s="54"/>
      <c r="V764" s="102"/>
      <c r="W764" s="191"/>
      <c r="X764" s="86"/>
      <c r="Z764" s="131"/>
      <c r="AA764" s="14"/>
      <c r="AG764" s="86"/>
      <c r="AJ764" s="86"/>
    </row>
    <row r="765">
      <c r="C765" s="88"/>
      <c r="D765" s="16"/>
      <c r="E765" s="16"/>
      <c r="F765" s="16"/>
      <c r="G765" s="16"/>
      <c r="H765" s="16"/>
      <c r="I765" s="16"/>
      <c r="J765" s="16"/>
      <c r="K765" s="16"/>
      <c r="L765" s="16"/>
      <c r="M765" s="16"/>
      <c r="N765" s="21"/>
      <c r="O765" s="30"/>
      <c r="P765" s="91"/>
      <c r="R765" s="223"/>
      <c r="S765" s="54"/>
      <c r="V765" s="102"/>
      <c r="W765" s="191"/>
      <c r="X765" s="86"/>
      <c r="Z765" s="131"/>
      <c r="AA765" s="14"/>
      <c r="AG765" s="86"/>
      <c r="AJ765" s="86"/>
    </row>
    <row r="766">
      <c r="C766" s="88"/>
      <c r="D766" s="16"/>
      <c r="E766" s="16"/>
      <c r="F766" s="16"/>
      <c r="G766" s="16"/>
      <c r="H766" s="16"/>
      <c r="I766" s="16"/>
      <c r="J766" s="16"/>
      <c r="K766" s="16"/>
      <c r="L766" s="16"/>
      <c r="M766" s="16"/>
      <c r="N766" s="21"/>
      <c r="O766" s="30"/>
      <c r="P766" s="91"/>
      <c r="R766" s="223"/>
      <c r="S766" s="54"/>
      <c r="V766" s="102"/>
      <c r="W766" s="191"/>
      <c r="X766" s="86"/>
      <c r="Z766" s="131"/>
      <c r="AA766" s="14"/>
      <c r="AG766" s="86"/>
      <c r="AJ766" s="86"/>
    </row>
    <row r="767">
      <c r="C767" s="88"/>
      <c r="D767" s="16"/>
      <c r="E767" s="16"/>
      <c r="F767" s="16"/>
      <c r="G767" s="16"/>
      <c r="H767" s="16"/>
      <c r="I767" s="16"/>
      <c r="J767" s="16"/>
      <c r="K767" s="16"/>
      <c r="L767" s="16"/>
      <c r="M767" s="16"/>
      <c r="N767" s="21"/>
      <c r="O767" s="30"/>
      <c r="P767" s="91"/>
      <c r="R767" s="223"/>
      <c r="S767" s="54"/>
      <c r="V767" s="102"/>
      <c r="W767" s="191"/>
      <c r="X767" s="86"/>
      <c r="Z767" s="131"/>
      <c r="AA767" s="14"/>
      <c r="AG767" s="86"/>
      <c r="AJ767" s="86"/>
    </row>
    <row r="768">
      <c r="C768" s="88"/>
      <c r="D768" s="16"/>
      <c r="E768" s="16"/>
      <c r="F768" s="16"/>
      <c r="G768" s="16"/>
      <c r="H768" s="16"/>
      <c r="I768" s="16"/>
      <c r="J768" s="16"/>
      <c r="K768" s="16"/>
      <c r="L768" s="16"/>
      <c r="M768" s="16"/>
      <c r="N768" s="21"/>
      <c r="O768" s="30"/>
      <c r="P768" s="91"/>
      <c r="R768" s="223"/>
      <c r="S768" s="54"/>
      <c r="V768" s="102"/>
      <c r="W768" s="191"/>
      <c r="X768" s="86"/>
      <c r="Z768" s="131"/>
      <c r="AA768" s="14"/>
      <c r="AG768" s="86"/>
      <c r="AJ768" s="86"/>
    </row>
    <row r="769">
      <c r="C769" s="88"/>
      <c r="D769" s="16"/>
      <c r="E769" s="16"/>
      <c r="F769" s="16"/>
      <c r="G769" s="16"/>
      <c r="H769" s="16"/>
      <c r="I769" s="16"/>
      <c r="J769" s="16"/>
      <c r="K769" s="16"/>
      <c r="L769" s="16"/>
      <c r="M769" s="16"/>
      <c r="N769" s="21"/>
      <c r="O769" s="30"/>
      <c r="P769" s="91"/>
      <c r="R769" s="223"/>
      <c r="S769" s="54"/>
      <c r="V769" s="102"/>
      <c r="W769" s="191"/>
      <c r="X769" s="86"/>
      <c r="Z769" s="131"/>
      <c r="AA769" s="14"/>
      <c r="AG769" s="86"/>
      <c r="AJ769" s="86"/>
    </row>
    <row r="770">
      <c r="C770" s="88"/>
      <c r="D770" s="16"/>
      <c r="E770" s="16"/>
      <c r="F770" s="16"/>
      <c r="G770" s="16"/>
      <c r="H770" s="16"/>
      <c r="I770" s="16"/>
      <c r="J770" s="16"/>
      <c r="K770" s="16"/>
      <c r="L770" s="16"/>
      <c r="M770" s="16"/>
      <c r="N770" s="21"/>
      <c r="O770" s="30"/>
      <c r="P770" s="91"/>
      <c r="R770" s="223"/>
      <c r="S770" s="54"/>
      <c r="V770" s="102"/>
      <c r="W770" s="191"/>
      <c r="X770" s="86"/>
      <c r="Z770" s="131"/>
      <c r="AA770" s="14"/>
      <c r="AG770" s="86"/>
      <c r="AJ770" s="86"/>
    </row>
    <row r="771">
      <c r="C771" s="88"/>
      <c r="D771" s="16"/>
      <c r="E771" s="16"/>
      <c r="F771" s="16"/>
      <c r="G771" s="16"/>
      <c r="H771" s="16"/>
      <c r="I771" s="16"/>
      <c r="J771" s="16"/>
      <c r="K771" s="16"/>
      <c r="L771" s="16"/>
      <c r="M771" s="16"/>
      <c r="N771" s="21"/>
      <c r="O771" s="30"/>
      <c r="P771" s="91"/>
      <c r="R771" s="223"/>
      <c r="S771" s="54"/>
      <c r="V771" s="102"/>
      <c r="W771" s="191"/>
      <c r="X771" s="86"/>
      <c r="Z771" s="131"/>
      <c r="AA771" s="14"/>
      <c r="AG771" s="86"/>
      <c r="AJ771" s="86"/>
    </row>
    <row r="772">
      <c r="C772" s="88"/>
      <c r="D772" s="16"/>
      <c r="E772" s="16"/>
      <c r="F772" s="16"/>
      <c r="G772" s="16"/>
      <c r="H772" s="16"/>
      <c r="I772" s="16"/>
      <c r="J772" s="16"/>
      <c r="K772" s="16"/>
      <c r="L772" s="16"/>
      <c r="M772" s="16"/>
      <c r="N772" s="21"/>
      <c r="O772" s="30"/>
      <c r="P772" s="91"/>
      <c r="R772" s="223"/>
      <c r="S772" s="54"/>
      <c r="V772" s="102"/>
      <c r="W772" s="191"/>
      <c r="X772" s="86"/>
      <c r="Z772" s="131"/>
      <c r="AA772" s="14"/>
      <c r="AG772" s="86"/>
      <c r="AJ772" s="86"/>
    </row>
    <row r="773">
      <c r="C773" s="88"/>
      <c r="D773" s="16"/>
      <c r="E773" s="16"/>
      <c r="F773" s="16"/>
      <c r="G773" s="16"/>
      <c r="H773" s="16"/>
      <c r="I773" s="16"/>
      <c r="J773" s="16"/>
      <c r="K773" s="16"/>
      <c r="L773" s="16"/>
      <c r="M773" s="16"/>
      <c r="N773" s="21"/>
      <c r="O773" s="30"/>
      <c r="P773" s="91"/>
      <c r="R773" s="223"/>
      <c r="S773" s="54"/>
      <c r="V773" s="102"/>
      <c r="W773" s="191"/>
      <c r="X773" s="86"/>
      <c r="Z773" s="131"/>
      <c r="AA773" s="14"/>
      <c r="AG773" s="86"/>
      <c r="AJ773" s="86"/>
    </row>
    <row r="774">
      <c r="C774" s="88"/>
      <c r="D774" s="16"/>
      <c r="E774" s="16"/>
      <c r="F774" s="16"/>
      <c r="G774" s="16"/>
      <c r="H774" s="16"/>
      <c r="I774" s="16"/>
      <c r="J774" s="16"/>
      <c r="K774" s="16"/>
      <c r="L774" s="16"/>
      <c r="M774" s="16"/>
      <c r="N774" s="21"/>
      <c r="O774" s="30"/>
      <c r="P774" s="91"/>
      <c r="R774" s="223"/>
      <c r="S774" s="54"/>
      <c r="V774" s="102"/>
      <c r="W774" s="191"/>
      <c r="X774" s="86"/>
      <c r="Z774" s="131"/>
      <c r="AA774" s="14"/>
      <c r="AG774" s="86"/>
      <c r="AJ774" s="86"/>
    </row>
    <row r="775">
      <c r="C775" s="88"/>
      <c r="D775" s="16"/>
      <c r="E775" s="16"/>
      <c r="F775" s="16"/>
      <c r="G775" s="16"/>
      <c r="H775" s="16"/>
      <c r="I775" s="16"/>
      <c r="J775" s="16"/>
      <c r="K775" s="16"/>
      <c r="L775" s="16"/>
      <c r="M775" s="16"/>
      <c r="N775" s="21"/>
      <c r="O775" s="30"/>
      <c r="P775" s="91"/>
      <c r="R775" s="223"/>
      <c r="S775" s="54"/>
      <c r="V775" s="102"/>
      <c r="W775" s="191"/>
      <c r="X775" s="86"/>
      <c r="Z775" s="131"/>
      <c r="AA775" s="14"/>
      <c r="AG775" s="86"/>
      <c r="AJ775" s="86"/>
    </row>
    <row r="776">
      <c r="C776" s="88"/>
      <c r="D776" s="16"/>
      <c r="E776" s="16"/>
      <c r="F776" s="16"/>
      <c r="G776" s="16"/>
      <c r="H776" s="16"/>
      <c r="I776" s="16"/>
      <c r="J776" s="16"/>
      <c r="K776" s="16"/>
      <c r="L776" s="16"/>
      <c r="M776" s="16"/>
      <c r="N776" s="21"/>
      <c r="O776" s="30"/>
      <c r="P776" s="91"/>
      <c r="R776" s="223"/>
      <c r="S776" s="54"/>
      <c r="V776" s="102"/>
      <c r="W776" s="191"/>
      <c r="X776" s="86"/>
      <c r="Z776" s="131"/>
      <c r="AA776" s="14"/>
      <c r="AG776" s="86"/>
      <c r="AJ776" s="86"/>
    </row>
    <row r="777">
      <c r="C777" s="88"/>
      <c r="D777" s="16"/>
      <c r="E777" s="16"/>
      <c r="F777" s="16"/>
      <c r="G777" s="16"/>
      <c r="H777" s="16"/>
      <c r="I777" s="16"/>
      <c r="J777" s="16"/>
      <c r="K777" s="16"/>
      <c r="L777" s="16"/>
      <c r="M777" s="16"/>
      <c r="N777" s="21"/>
      <c r="O777" s="30"/>
      <c r="P777" s="91"/>
      <c r="R777" s="223"/>
      <c r="S777" s="54"/>
      <c r="V777" s="102"/>
      <c r="W777" s="191"/>
      <c r="X777" s="86"/>
      <c r="Z777" s="131"/>
      <c r="AA777" s="14"/>
      <c r="AG777" s="86"/>
      <c r="AJ777" s="86"/>
    </row>
    <row r="778">
      <c r="C778" s="88"/>
      <c r="D778" s="16"/>
      <c r="E778" s="16"/>
      <c r="F778" s="16"/>
      <c r="G778" s="16"/>
      <c r="H778" s="16"/>
      <c r="I778" s="16"/>
      <c r="J778" s="16"/>
      <c r="K778" s="16"/>
      <c r="L778" s="16"/>
      <c r="M778" s="16"/>
      <c r="N778" s="21"/>
      <c r="O778" s="30"/>
      <c r="P778" s="91"/>
      <c r="R778" s="223"/>
      <c r="S778" s="54"/>
      <c r="V778" s="102"/>
      <c r="W778" s="191"/>
      <c r="X778" s="86"/>
      <c r="Z778" s="131"/>
      <c r="AA778" s="14"/>
      <c r="AG778" s="86"/>
      <c r="AJ778" s="86"/>
    </row>
    <row r="779">
      <c r="C779" s="88"/>
      <c r="D779" s="16"/>
      <c r="E779" s="16"/>
      <c r="F779" s="16"/>
      <c r="G779" s="16"/>
      <c r="H779" s="16"/>
      <c r="I779" s="16"/>
      <c r="J779" s="16"/>
      <c r="K779" s="16"/>
      <c r="L779" s="16"/>
      <c r="M779" s="16"/>
      <c r="N779" s="21"/>
      <c r="O779" s="30"/>
      <c r="P779" s="91"/>
      <c r="R779" s="223"/>
      <c r="S779" s="54"/>
      <c r="V779" s="102"/>
      <c r="W779" s="191"/>
      <c r="X779" s="86"/>
      <c r="Z779" s="131"/>
      <c r="AA779" s="14"/>
      <c r="AG779" s="86"/>
      <c r="AJ779" s="86"/>
    </row>
    <row r="780">
      <c r="C780" s="88"/>
      <c r="D780" s="16"/>
      <c r="E780" s="16"/>
      <c r="F780" s="16"/>
      <c r="G780" s="16"/>
      <c r="H780" s="16"/>
      <c r="I780" s="16"/>
      <c r="J780" s="16"/>
      <c r="K780" s="16"/>
      <c r="L780" s="16"/>
      <c r="M780" s="16"/>
      <c r="N780" s="21"/>
      <c r="O780" s="30"/>
      <c r="P780" s="91"/>
      <c r="R780" s="223"/>
      <c r="S780" s="54"/>
      <c r="V780" s="102"/>
      <c r="W780" s="191"/>
      <c r="X780" s="86"/>
      <c r="Z780" s="131"/>
      <c r="AA780" s="14"/>
      <c r="AG780" s="86"/>
      <c r="AJ780" s="86"/>
    </row>
    <row r="781">
      <c r="C781" s="88"/>
      <c r="D781" s="16"/>
      <c r="E781" s="16"/>
      <c r="F781" s="16"/>
      <c r="G781" s="16"/>
      <c r="H781" s="16"/>
      <c r="I781" s="16"/>
      <c r="J781" s="16"/>
      <c r="K781" s="16"/>
      <c r="L781" s="16"/>
      <c r="M781" s="16"/>
      <c r="N781" s="21"/>
      <c r="O781" s="30"/>
      <c r="P781" s="91"/>
      <c r="R781" s="223"/>
      <c r="S781" s="54"/>
      <c r="V781" s="102"/>
      <c r="W781" s="191"/>
      <c r="X781" s="86"/>
      <c r="Z781" s="131"/>
      <c r="AA781" s="14"/>
      <c r="AG781" s="86"/>
      <c r="AJ781" s="86"/>
    </row>
    <row r="782">
      <c r="C782" s="88"/>
      <c r="D782" s="16"/>
      <c r="E782" s="16"/>
      <c r="F782" s="16"/>
      <c r="G782" s="16"/>
      <c r="H782" s="16"/>
      <c r="I782" s="16"/>
      <c r="J782" s="16"/>
      <c r="K782" s="16"/>
      <c r="L782" s="16"/>
      <c r="M782" s="16"/>
      <c r="N782" s="21"/>
      <c r="O782" s="30"/>
      <c r="P782" s="91"/>
      <c r="R782" s="223"/>
      <c r="S782" s="54"/>
      <c r="V782" s="102"/>
      <c r="W782" s="191"/>
      <c r="X782" s="86"/>
      <c r="Z782" s="131"/>
      <c r="AA782" s="14"/>
      <c r="AG782" s="86"/>
      <c r="AJ782" s="86"/>
    </row>
    <row r="783">
      <c r="C783" s="88"/>
      <c r="D783" s="16"/>
      <c r="E783" s="16"/>
      <c r="F783" s="16"/>
      <c r="G783" s="16"/>
      <c r="H783" s="16"/>
      <c r="I783" s="16"/>
      <c r="J783" s="16"/>
      <c r="K783" s="16"/>
      <c r="L783" s="16"/>
      <c r="M783" s="16"/>
      <c r="N783" s="21"/>
      <c r="O783" s="30"/>
      <c r="P783" s="91"/>
      <c r="R783" s="223"/>
      <c r="S783" s="54"/>
      <c r="V783" s="102"/>
      <c r="W783" s="191"/>
      <c r="X783" s="86"/>
      <c r="Z783" s="131"/>
      <c r="AA783" s="14"/>
      <c r="AG783" s="86"/>
      <c r="AJ783" s="86"/>
    </row>
    <row r="784">
      <c r="C784" s="88"/>
      <c r="D784" s="16"/>
      <c r="E784" s="16"/>
      <c r="F784" s="16"/>
      <c r="G784" s="16"/>
      <c r="H784" s="16"/>
      <c r="I784" s="16"/>
      <c r="J784" s="16"/>
      <c r="K784" s="16"/>
      <c r="L784" s="16"/>
      <c r="M784" s="16"/>
      <c r="N784" s="21"/>
      <c r="O784" s="30"/>
      <c r="P784" s="91"/>
      <c r="R784" s="223"/>
      <c r="S784" s="54"/>
      <c r="V784" s="102"/>
      <c r="W784" s="191"/>
      <c r="X784" s="86"/>
      <c r="Z784" s="131"/>
      <c r="AA784" s="14"/>
      <c r="AG784" s="86"/>
      <c r="AJ784" s="86"/>
    </row>
    <row r="785">
      <c r="C785" s="88"/>
      <c r="D785" s="16"/>
      <c r="E785" s="16"/>
      <c r="F785" s="16"/>
      <c r="G785" s="16"/>
      <c r="H785" s="16"/>
      <c r="I785" s="16"/>
      <c r="J785" s="16"/>
      <c r="K785" s="16"/>
      <c r="L785" s="16"/>
      <c r="M785" s="16"/>
      <c r="N785" s="21"/>
      <c r="O785" s="30"/>
      <c r="P785" s="91"/>
      <c r="R785" s="223"/>
      <c r="S785" s="54"/>
      <c r="V785" s="102"/>
      <c r="W785" s="191"/>
      <c r="X785" s="86"/>
      <c r="Z785" s="131"/>
      <c r="AA785" s="14"/>
      <c r="AG785" s="86"/>
      <c r="AJ785" s="86"/>
    </row>
    <row r="786">
      <c r="C786" s="88"/>
      <c r="D786" s="16"/>
      <c r="E786" s="16"/>
      <c r="F786" s="16"/>
      <c r="G786" s="16"/>
      <c r="H786" s="16"/>
      <c r="I786" s="16"/>
      <c r="J786" s="16"/>
      <c r="K786" s="16"/>
      <c r="L786" s="16"/>
      <c r="M786" s="16"/>
      <c r="N786" s="21"/>
      <c r="O786" s="30"/>
      <c r="P786" s="91"/>
      <c r="R786" s="223"/>
      <c r="S786" s="54"/>
      <c r="V786" s="102"/>
      <c r="W786" s="191"/>
      <c r="X786" s="86"/>
      <c r="Z786" s="131"/>
      <c r="AA786" s="14"/>
      <c r="AG786" s="86"/>
      <c r="AJ786" s="86"/>
    </row>
    <row r="787">
      <c r="C787" s="88"/>
      <c r="D787" s="16"/>
      <c r="E787" s="16"/>
      <c r="F787" s="16"/>
      <c r="G787" s="16"/>
      <c r="H787" s="16"/>
      <c r="I787" s="16"/>
      <c r="J787" s="16"/>
      <c r="K787" s="16"/>
      <c r="L787" s="16"/>
      <c r="M787" s="16"/>
      <c r="N787" s="21"/>
      <c r="O787" s="30"/>
      <c r="P787" s="91"/>
      <c r="R787" s="223"/>
      <c r="S787" s="54"/>
      <c r="V787" s="102"/>
      <c r="W787" s="191"/>
      <c r="X787" s="86"/>
      <c r="Z787" s="131"/>
      <c r="AA787" s="14"/>
      <c r="AG787" s="86"/>
      <c r="AJ787" s="86"/>
    </row>
    <row r="788">
      <c r="C788" s="88"/>
      <c r="D788" s="16"/>
      <c r="E788" s="16"/>
      <c r="F788" s="16"/>
      <c r="G788" s="16"/>
      <c r="H788" s="16"/>
      <c r="I788" s="16"/>
      <c r="J788" s="16"/>
      <c r="K788" s="16"/>
      <c r="L788" s="16"/>
      <c r="M788" s="16"/>
      <c r="N788" s="21"/>
      <c r="O788" s="30"/>
      <c r="P788" s="91"/>
      <c r="R788" s="223"/>
      <c r="S788" s="54"/>
      <c r="V788" s="102"/>
      <c r="W788" s="191"/>
      <c r="X788" s="86"/>
      <c r="Z788" s="131"/>
      <c r="AA788" s="14"/>
      <c r="AG788" s="86"/>
      <c r="AJ788" s="86"/>
    </row>
    <row r="789">
      <c r="C789" s="88"/>
      <c r="D789" s="16"/>
      <c r="E789" s="16"/>
      <c r="F789" s="16"/>
      <c r="G789" s="16"/>
      <c r="H789" s="16"/>
      <c r="I789" s="16"/>
      <c r="J789" s="16"/>
      <c r="K789" s="16"/>
      <c r="L789" s="16"/>
      <c r="M789" s="16"/>
      <c r="N789" s="21"/>
      <c r="O789" s="30"/>
      <c r="P789" s="91"/>
      <c r="R789" s="223"/>
      <c r="S789" s="54"/>
      <c r="V789" s="102"/>
      <c r="W789" s="191"/>
      <c r="X789" s="86"/>
      <c r="Z789" s="131"/>
      <c r="AA789" s="14"/>
      <c r="AG789" s="86"/>
      <c r="AJ789" s="86"/>
    </row>
    <row r="790">
      <c r="C790" s="88"/>
      <c r="D790" s="16"/>
      <c r="E790" s="16"/>
      <c r="F790" s="16"/>
      <c r="G790" s="16"/>
      <c r="H790" s="16"/>
      <c r="I790" s="16"/>
      <c r="J790" s="16"/>
      <c r="K790" s="16"/>
      <c r="L790" s="16"/>
      <c r="M790" s="16"/>
      <c r="N790" s="21"/>
      <c r="O790" s="30"/>
      <c r="P790" s="91"/>
      <c r="R790" s="223"/>
      <c r="S790" s="54"/>
      <c r="V790" s="102"/>
      <c r="W790" s="191"/>
      <c r="X790" s="86"/>
      <c r="Z790" s="131"/>
      <c r="AA790" s="14"/>
      <c r="AG790" s="86"/>
      <c r="AJ790" s="86"/>
    </row>
    <row r="791">
      <c r="C791" s="88"/>
      <c r="D791" s="16"/>
      <c r="E791" s="16"/>
      <c r="F791" s="16"/>
      <c r="G791" s="16"/>
      <c r="H791" s="16"/>
      <c r="I791" s="16"/>
      <c r="J791" s="16"/>
      <c r="K791" s="16"/>
      <c r="L791" s="16"/>
      <c r="M791" s="16"/>
      <c r="N791" s="21"/>
      <c r="O791" s="30"/>
      <c r="P791" s="91"/>
      <c r="R791" s="223"/>
      <c r="S791" s="54"/>
      <c r="V791" s="102"/>
      <c r="W791" s="191"/>
      <c r="X791" s="86"/>
      <c r="Z791" s="131"/>
      <c r="AA791" s="14"/>
      <c r="AG791" s="86"/>
      <c r="AJ791" s="86"/>
    </row>
    <row r="792">
      <c r="C792" s="88"/>
      <c r="D792" s="16"/>
      <c r="E792" s="16"/>
      <c r="F792" s="16"/>
      <c r="G792" s="16"/>
      <c r="H792" s="16"/>
      <c r="I792" s="16"/>
      <c r="J792" s="16"/>
      <c r="K792" s="16"/>
      <c r="L792" s="16"/>
      <c r="M792" s="16"/>
      <c r="N792" s="21"/>
      <c r="O792" s="30"/>
      <c r="P792" s="91"/>
      <c r="R792" s="223"/>
      <c r="S792" s="54"/>
      <c r="V792" s="102"/>
      <c r="W792" s="191"/>
      <c r="X792" s="86"/>
      <c r="Z792" s="131"/>
      <c r="AA792" s="14"/>
      <c r="AG792" s="86"/>
      <c r="AJ792" s="86"/>
    </row>
    <row r="793">
      <c r="C793" s="88"/>
      <c r="D793" s="16"/>
      <c r="E793" s="16"/>
      <c r="F793" s="16"/>
      <c r="G793" s="16"/>
      <c r="H793" s="16"/>
      <c r="I793" s="16"/>
      <c r="J793" s="16"/>
      <c r="K793" s="16"/>
      <c r="L793" s="16"/>
      <c r="M793" s="16"/>
      <c r="N793" s="21"/>
      <c r="O793" s="30"/>
      <c r="P793" s="91"/>
      <c r="R793" s="223"/>
      <c r="S793" s="54"/>
      <c r="V793" s="102"/>
      <c r="W793" s="191"/>
      <c r="X793" s="86"/>
      <c r="Z793" s="131"/>
      <c r="AA793" s="14"/>
      <c r="AG793" s="86"/>
      <c r="AJ793" s="86"/>
    </row>
    <row r="794">
      <c r="C794" s="88"/>
      <c r="D794" s="16"/>
      <c r="E794" s="16"/>
      <c r="F794" s="16"/>
      <c r="G794" s="16"/>
      <c r="H794" s="16"/>
      <c r="I794" s="16"/>
      <c r="J794" s="16"/>
      <c r="K794" s="16"/>
      <c r="L794" s="16"/>
      <c r="M794" s="16"/>
      <c r="N794" s="21"/>
      <c r="O794" s="30"/>
      <c r="P794" s="91"/>
      <c r="R794" s="223"/>
      <c r="S794" s="54"/>
      <c r="V794" s="102"/>
      <c r="W794" s="191"/>
      <c r="X794" s="86"/>
      <c r="Z794" s="131"/>
      <c r="AA794" s="14"/>
      <c r="AG794" s="86"/>
      <c r="AJ794" s="86"/>
    </row>
    <row r="795">
      <c r="C795" s="88"/>
      <c r="D795" s="16"/>
      <c r="E795" s="16"/>
      <c r="F795" s="16"/>
      <c r="G795" s="16"/>
      <c r="H795" s="16"/>
      <c r="I795" s="16"/>
      <c r="J795" s="16"/>
      <c r="K795" s="16"/>
      <c r="L795" s="16"/>
      <c r="M795" s="16"/>
      <c r="N795" s="21"/>
      <c r="O795" s="30"/>
      <c r="P795" s="91"/>
      <c r="R795" s="223"/>
      <c r="S795" s="54"/>
      <c r="V795" s="102"/>
      <c r="W795" s="191"/>
      <c r="X795" s="86"/>
      <c r="Z795" s="131"/>
      <c r="AA795" s="14"/>
      <c r="AG795" s="86"/>
      <c r="AJ795" s="86"/>
    </row>
    <row r="796">
      <c r="C796" s="88"/>
      <c r="D796" s="16"/>
      <c r="E796" s="16"/>
      <c r="F796" s="16"/>
      <c r="G796" s="16"/>
      <c r="H796" s="16"/>
      <c r="I796" s="16"/>
      <c r="J796" s="16"/>
      <c r="K796" s="16"/>
      <c r="L796" s="16"/>
      <c r="M796" s="16"/>
      <c r="N796" s="21"/>
      <c r="O796" s="30"/>
      <c r="P796" s="91"/>
      <c r="R796" s="223"/>
      <c r="S796" s="54"/>
      <c r="V796" s="102"/>
      <c r="W796" s="191"/>
      <c r="X796" s="86"/>
      <c r="Z796" s="131"/>
      <c r="AA796" s="14"/>
      <c r="AG796" s="86"/>
      <c r="AJ796" s="86"/>
    </row>
    <row r="797">
      <c r="C797" s="88"/>
      <c r="D797" s="16"/>
      <c r="E797" s="16"/>
      <c r="F797" s="16"/>
      <c r="G797" s="16"/>
      <c r="H797" s="16"/>
      <c r="I797" s="16"/>
      <c r="J797" s="16"/>
      <c r="K797" s="16"/>
      <c r="L797" s="16"/>
      <c r="M797" s="16"/>
      <c r="N797" s="21"/>
      <c r="O797" s="30"/>
      <c r="P797" s="91"/>
      <c r="R797" s="223"/>
      <c r="S797" s="54"/>
      <c r="V797" s="102"/>
      <c r="W797" s="191"/>
      <c r="X797" s="86"/>
      <c r="Z797" s="131"/>
      <c r="AA797" s="14"/>
      <c r="AG797" s="86"/>
      <c r="AJ797" s="86"/>
    </row>
    <row r="798">
      <c r="C798" s="88"/>
      <c r="D798" s="16"/>
      <c r="E798" s="16"/>
      <c r="F798" s="16"/>
      <c r="G798" s="16"/>
      <c r="H798" s="16"/>
      <c r="I798" s="16"/>
      <c r="J798" s="16"/>
      <c r="K798" s="16"/>
      <c r="L798" s="16"/>
      <c r="M798" s="16"/>
      <c r="N798" s="21"/>
      <c r="O798" s="30"/>
      <c r="P798" s="91"/>
      <c r="R798" s="223"/>
      <c r="S798" s="54"/>
      <c r="V798" s="102"/>
      <c r="W798" s="191"/>
      <c r="X798" s="86"/>
      <c r="Z798" s="131"/>
      <c r="AA798" s="14"/>
      <c r="AG798" s="86"/>
      <c r="AJ798" s="86"/>
    </row>
    <row r="799">
      <c r="C799" s="88"/>
      <c r="D799" s="16"/>
      <c r="E799" s="16"/>
      <c r="F799" s="16"/>
      <c r="G799" s="16"/>
      <c r="H799" s="16"/>
      <c r="I799" s="16"/>
      <c r="J799" s="16"/>
      <c r="K799" s="16"/>
      <c r="L799" s="16"/>
      <c r="M799" s="16"/>
      <c r="N799" s="21"/>
      <c r="O799" s="30"/>
      <c r="P799" s="91"/>
      <c r="R799" s="223"/>
      <c r="S799" s="54"/>
      <c r="V799" s="102"/>
      <c r="W799" s="191"/>
      <c r="X799" s="86"/>
      <c r="Z799" s="131"/>
      <c r="AA799" s="14"/>
      <c r="AG799" s="86"/>
      <c r="AJ799" s="86"/>
    </row>
    <row r="800">
      <c r="C800" s="88"/>
      <c r="D800" s="16"/>
      <c r="E800" s="16"/>
      <c r="F800" s="16"/>
      <c r="G800" s="16"/>
      <c r="H800" s="16"/>
      <c r="I800" s="16"/>
      <c r="J800" s="16"/>
      <c r="K800" s="16"/>
      <c r="L800" s="16"/>
      <c r="M800" s="16"/>
      <c r="N800" s="21"/>
      <c r="O800" s="30"/>
      <c r="P800" s="91"/>
      <c r="R800" s="223"/>
      <c r="S800" s="54"/>
      <c r="V800" s="102"/>
      <c r="W800" s="191"/>
      <c r="X800" s="86"/>
      <c r="Z800" s="131"/>
      <c r="AA800" s="14"/>
      <c r="AG800" s="86"/>
      <c r="AJ800" s="86"/>
    </row>
    <row r="801">
      <c r="C801" s="88"/>
      <c r="D801" s="16"/>
      <c r="E801" s="16"/>
      <c r="F801" s="16"/>
      <c r="G801" s="16"/>
      <c r="H801" s="16"/>
      <c r="I801" s="16"/>
      <c r="J801" s="16"/>
      <c r="K801" s="16"/>
      <c r="L801" s="16"/>
      <c r="M801" s="16"/>
      <c r="N801" s="21"/>
      <c r="O801" s="30"/>
      <c r="P801" s="91"/>
      <c r="R801" s="223"/>
      <c r="S801" s="54"/>
      <c r="V801" s="102"/>
      <c r="W801" s="191"/>
      <c r="X801" s="86"/>
      <c r="Z801" s="131"/>
      <c r="AA801" s="14"/>
      <c r="AG801" s="86"/>
      <c r="AJ801" s="86"/>
    </row>
    <row r="802">
      <c r="C802" s="88"/>
      <c r="D802" s="16"/>
      <c r="E802" s="16"/>
      <c r="F802" s="16"/>
      <c r="G802" s="16"/>
      <c r="H802" s="16"/>
      <c r="I802" s="16"/>
      <c r="J802" s="16"/>
      <c r="K802" s="16"/>
      <c r="L802" s="16"/>
      <c r="M802" s="16"/>
      <c r="N802" s="21"/>
      <c r="O802" s="30"/>
      <c r="P802" s="91"/>
      <c r="R802" s="223"/>
      <c r="S802" s="54"/>
      <c r="V802" s="102"/>
      <c r="W802" s="191"/>
      <c r="X802" s="86"/>
      <c r="Z802" s="131"/>
      <c r="AA802" s="14"/>
      <c r="AG802" s="86"/>
      <c r="AJ802" s="86"/>
    </row>
    <row r="803">
      <c r="C803" s="88"/>
      <c r="D803" s="16"/>
      <c r="E803" s="16"/>
      <c r="F803" s="16"/>
      <c r="G803" s="16"/>
      <c r="H803" s="16"/>
      <c r="I803" s="16"/>
      <c r="J803" s="16"/>
      <c r="K803" s="16"/>
      <c r="L803" s="16"/>
      <c r="M803" s="16"/>
      <c r="N803" s="21"/>
      <c r="O803" s="30"/>
      <c r="P803" s="91"/>
      <c r="R803" s="223"/>
      <c r="S803" s="54"/>
      <c r="V803" s="102"/>
      <c r="W803" s="191"/>
      <c r="X803" s="86"/>
      <c r="Z803" s="131"/>
      <c r="AA803" s="14"/>
      <c r="AG803" s="86"/>
      <c r="AJ803" s="86"/>
    </row>
    <row r="804">
      <c r="C804" s="88"/>
      <c r="D804" s="16"/>
      <c r="E804" s="16"/>
      <c r="F804" s="16"/>
      <c r="G804" s="16"/>
      <c r="H804" s="16"/>
      <c r="I804" s="16"/>
      <c r="J804" s="16"/>
      <c r="K804" s="16"/>
      <c r="L804" s="16"/>
      <c r="M804" s="16"/>
      <c r="N804" s="21"/>
      <c r="O804" s="30"/>
      <c r="P804" s="91"/>
      <c r="R804" s="223"/>
      <c r="S804" s="54"/>
      <c r="V804" s="102"/>
      <c r="W804" s="191"/>
      <c r="X804" s="86"/>
      <c r="Z804" s="131"/>
      <c r="AA804" s="14"/>
      <c r="AG804" s="86"/>
      <c r="AJ804" s="86"/>
    </row>
    <row r="805">
      <c r="C805" s="88"/>
      <c r="D805" s="16"/>
      <c r="E805" s="16"/>
      <c r="F805" s="16"/>
      <c r="G805" s="16"/>
      <c r="H805" s="16"/>
      <c r="I805" s="16"/>
      <c r="J805" s="16"/>
      <c r="K805" s="16"/>
      <c r="L805" s="16"/>
      <c r="M805" s="16"/>
      <c r="N805" s="21"/>
      <c r="O805" s="30"/>
      <c r="P805" s="91"/>
      <c r="R805" s="223"/>
      <c r="S805" s="54"/>
      <c r="V805" s="102"/>
      <c r="W805" s="191"/>
      <c r="X805" s="86"/>
      <c r="Z805" s="131"/>
      <c r="AA805" s="14"/>
      <c r="AG805" s="86"/>
      <c r="AJ805" s="86"/>
    </row>
    <row r="806">
      <c r="C806" s="88"/>
      <c r="D806" s="16"/>
      <c r="E806" s="16"/>
      <c r="F806" s="16"/>
      <c r="G806" s="16"/>
      <c r="H806" s="16"/>
      <c r="I806" s="16"/>
      <c r="J806" s="16"/>
      <c r="K806" s="16"/>
      <c r="L806" s="16"/>
      <c r="M806" s="16"/>
      <c r="N806" s="21"/>
      <c r="O806" s="30"/>
      <c r="P806" s="91"/>
      <c r="R806" s="223"/>
      <c r="S806" s="54"/>
      <c r="V806" s="102"/>
      <c r="W806" s="191"/>
      <c r="X806" s="86"/>
      <c r="Z806" s="131"/>
      <c r="AA806" s="14"/>
      <c r="AG806" s="86"/>
      <c r="AJ806" s="86"/>
    </row>
    <row r="807">
      <c r="C807" s="88"/>
      <c r="D807" s="16"/>
      <c r="E807" s="16"/>
      <c r="F807" s="16"/>
      <c r="G807" s="16"/>
      <c r="H807" s="16"/>
      <c r="I807" s="16"/>
      <c r="J807" s="16"/>
      <c r="K807" s="16"/>
      <c r="L807" s="16"/>
      <c r="M807" s="16"/>
      <c r="N807" s="21"/>
      <c r="O807" s="30"/>
      <c r="P807" s="91"/>
      <c r="R807" s="223"/>
      <c r="S807" s="54"/>
      <c r="V807" s="102"/>
      <c r="W807" s="191"/>
      <c r="X807" s="86"/>
      <c r="Z807" s="131"/>
      <c r="AA807" s="14"/>
      <c r="AG807" s="86"/>
      <c r="AJ807" s="86"/>
    </row>
    <row r="808">
      <c r="C808" s="88"/>
      <c r="D808" s="16"/>
      <c r="E808" s="16"/>
      <c r="F808" s="16"/>
      <c r="G808" s="16"/>
      <c r="H808" s="16"/>
      <c r="I808" s="16"/>
      <c r="J808" s="16"/>
      <c r="K808" s="16"/>
      <c r="L808" s="16"/>
      <c r="M808" s="16"/>
      <c r="N808" s="21"/>
      <c r="O808" s="30"/>
      <c r="P808" s="91"/>
      <c r="R808" s="223"/>
      <c r="S808" s="54"/>
      <c r="V808" s="102"/>
      <c r="W808" s="191"/>
      <c r="X808" s="86"/>
      <c r="Z808" s="131"/>
      <c r="AA808" s="14"/>
      <c r="AG808" s="86"/>
      <c r="AJ808" s="86"/>
    </row>
    <row r="809">
      <c r="C809" s="88"/>
      <c r="D809" s="16"/>
      <c r="E809" s="16"/>
      <c r="F809" s="16"/>
      <c r="G809" s="16"/>
      <c r="H809" s="16"/>
      <c r="I809" s="16"/>
      <c r="J809" s="16"/>
      <c r="K809" s="16"/>
      <c r="L809" s="16"/>
      <c r="M809" s="16"/>
      <c r="N809" s="21"/>
      <c r="O809" s="30"/>
      <c r="P809" s="91"/>
      <c r="R809" s="223"/>
      <c r="S809" s="54"/>
      <c r="V809" s="102"/>
      <c r="W809" s="191"/>
      <c r="X809" s="86"/>
      <c r="Z809" s="131"/>
      <c r="AA809" s="14"/>
      <c r="AG809" s="86"/>
      <c r="AJ809" s="86"/>
    </row>
    <row r="810">
      <c r="C810" s="88"/>
      <c r="D810" s="16"/>
      <c r="E810" s="16"/>
      <c r="F810" s="16"/>
      <c r="G810" s="16"/>
      <c r="H810" s="16"/>
      <c r="I810" s="16"/>
      <c r="J810" s="16"/>
      <c r="K810" s="16"/>
      <c r="L810" s="16"/>
      <c r="M810" s="16"/>
      <c r="N810" s="21"/>
      <c r="O810" s="30"/>
      <c r="P810" s="91"/>
      <c r="R810" s="223"/>
      <c r="S810" s="54"/>
      <c r="V810" s="102"/>
      <c r="W810" s="191"/>
      <c r="X810" s="86"/>
      <c r="Z810" s="131"/>
      <c r="AA810" s="14"/>
      <c r="AG810" s="86"/>
      <c r="AJ810" s="86"/>
    </row>
    <row r="811">
      <c r="C811" s="88"/>
      <c r="D811" s="16"/>
      <c r="E811" s="16"/>
      <c r="F811" s="16"/>
      <c r="G811" s="16"/>
      <c r="H811" s="16"/>
      <c r="I811" s="16"/>
      <c r="J811" s="16"/>
      <c r="K811" s="16"/>
      <c r="L811" s="16"/>
      <c r="M811" s="16"/>
      <c r="N811" s="21"/>
      <c r="O811" s="30"/>
      <c r="P811" s="91"/>
      <c r="R811" s="223"/>
      <c r="S811" s="54"/>
      <c r="V811" s="102"/>
      <c r="W811" s="191"/>
      <c r="X811" s="86"/>
      <c r="Z811" s="131"/>
      <c r="AA811" s="14"/>
      <c r="AG811" s="86"/>
      <c r="AJ811" s="86"/>
    </row>
    <row r="812">
      <c r="C812" s="88"/>
      <c r="D812" s="16"/>
      <c r="E812" s="16"/>
      <c r="F812" s="16"/>
      <c r="G812" s="16"/>
      <c r="H812" s="16"/>
      <c r="I812" s="16"/>
      <c r="J812" s="16"/>
      <c r="K812" s="16"/>
      <c r="L812" s="16"/>
      <c r="M812" s="16"/>
      <c r="N812" s="21"/>
      <c r="O812" s="30"/>
      <c r="P812" s="91"/>
      <c r="R812" s="223"/>
      <c r="S812" s="54"/>
      <c r="V812" s="102"/>
      <c r="W812" s="191"/>
      <c r="X812" s="86"/>
      <c r="Z812" s="131"/>
      <c r="AA812" s="14"/>
      <c r="AG812" s="86"/>
      <c r="AJ812" s="86"/>
    </row>
    <row r="813">
      <c r="C813" s="88"/>
      <c r="D813" s="16"/>
      <c r="E813" s="16"/>
      <c r="F813" s="16"/>
      <c r="G813" s="16"/>
      <c r="H813" s="16"/>
      <c r="I813" s="16"/>
      <c r="J813" s="16"/>
      <c r="K813" s="16"/>
      <c r="L813" s="16"/>
      <c r="M813" s="16"/>
      <c r="N813" s="21"/>
      <c r="O813" s="30"/>
      <c r="P813" s="91"/>
      <c r="R813" s="223"/>
      <c r="S813" s="54"/>
      <c r="V813" s="102"/>
      <c r="W813" s="191"/>
      <c r="X813" s="86"/>
      <c r="Z813" s="131"/>
      <c r="AA813" s="14"/>
      <c r="AG813" s="86"/>
      <c r="AJ813" s="86"/>
    </row>
    <row r="814">
      <c r="C814" s="88"/>
      <c r="D814" s="16"/>
      <c r="E814" s="16"/>
      <c r="F814" s="16"/>
      <c r="G814" s="16"/>
      <c r="H814" s="16"/>
      <c r="I814" s="16"/>
      <c r="J814" s="16"/>
      <c r="K814" s="16"/>
      <c r="L814" s="16"/>
      <c r="M814" s="16"/>
      <c r="N814" s="21"/>
      <c r="O814" s="30"/>
      <c r="P814" s="91"/>
      <c r="R814" s="223"/>
      <c r="S814" s="54"/>
      <c r="V814" s="102"/>
      <c r="W814" s="191"/>
      <c r="X814" s="86"/>
      <c r="Z814" s="131"/>
      <c r="AA814" s="14"/>
      <c r="AG814" s="86"/>
      <c r="AJ814" s="86"/>
    </row>
    <row r="815">
      <c r="C815" s="88"/>
      <c r="D815" s="16"/>
      <c r="E815" s="16"/>
      <c r="F815" s="16"/>
      <c r="G815" s="16"/>
      <c r="H815" s="16"/>
      <c r="I815" s="16"/>
      <c r="J815" s="16"/>
      <c r="K815" s="16"/>
      <c r="L815" s="16"/>
      <c r="M815" s="16"/>
      <c r="N815" s="21"/>
      <c r="O815" s="30"/>
      <c r="P815" s="91"/>
      <c r="R815" s="223"/>
      <c r="S815" s="54"/>
      <c r="V815" s="102"/>
      <c r="W815" s="191"/>
      <c r="X815" s="86"/>
      <c r="Z815" s="131"/>
      <c r="AA815" s="14"/>
      <c r="AG815" s="86"/>
      <c r="AJ815" s="86"/>
    </row>
    <row r="816">
      <c r="C816" s="88"/>
      <c r="D816" s="16"/>
      <c r="E816" s="16"/>
      <c r="F816" s="16"/>
      <c r="G816" s="16"/>
      <c r="H816" s="16"/>
      <c r="I816" s="16"/>
      <c r="J816" s="16"/>
      <c r="K816" s="16"/>
      <c r="L816" s="16"/>
      <c r="M816" s="16"/>
      <c r="N816" s="21"/>
      <c r="O816" s="30"/>
      <c r="P816" s="91"/>
      <c r="R816" s="223"/>
      <c r="S816" s="54"/>
      <c r="V816" s="102"/>
      <c r="W816" s="191"/>
      <c r="X816" s="86"/>
      <c r="Z816" s="131"/>
      <c r="AA816" s="14"/>
      <c r="AG816" s="86"/>
      <c r="AJ816" s="86"/>
    </row>
    <row r="817">
      <c r="C817" s="88"/>
      <c r="D817" s="16"/>
      <c r="E817" s="16"/>
      <c r="F817" s="16"/>
      <c r="G817" s="16"/>
      <c r="H817" s="16"/>
      <c r="I817" s="16"/>
      <c r="J817" s="16"/>
      <c r="K817" s="16"/>
      <c r="L817" s="16"/>
      <c r="M817" s="16"/>
      <c r="N817" s="21"/>
      <c r="O817" s="30"/>
      <c r="P817" s="91"/>
      <c r="R817" s="223"/>
      <c r="S817" s="54"/>
      <c r="V817" s="102"/>
      <c r="W817" s="191"/>
      <c r="X817" s="86"/>
      <c r="Z817" s="131"/>
      <c r="AA817" s="14"/>
      <c r="AG817" s="86"/>
      <c r="AJ817" s="86"/>
    </row>
    <row r="818">
      <c r="C818" s="88"/>
      <c r="D818" s="16"/>
      <c r="E818" s="16"/>
      <c r="F818" s="16"/>
      <c r="G818" s="16"/>
      <c r="H818" s="16"/>
      <c r="I818" s="16"/>
      <c r="J818" s="16"/>
      <c r="K818" s="16"/>
      <c r="L818" s="16"/>
      <c r="M818" s="16"/>
      <c r="N818" s="21"/>
      <c r="O818" s="30"/>
      <c r="P818" s="91"/>
      <c r="R818" s="223"/>
      <c r="S818" s="54"/>
      <c r="V818" s="102"/>
      <c r="W818" s="191"/>
      <c r="X818" s="86"/>
      <c r="Z818" s="131"/>
      <c r="AA818" s="14"/>
      <c r="AG818" s="86"/>
      <c r="AJ818" s="86"/>
    </row>
    <row r="819">
      <c r="C819" s="88"/>
      <c r="D819" s="16"/>
      <c r="E819" s="16"/>
      <c r="F819" s="16"/>
      <c r="G819" s="16"/>
      <c r="H819" s="16"/>
      <c r="I819" s="16"/>
      <c r="J819" s="16"/>
      <c r="K819" s="16"/>
      <c r="L819" s="16"/>
      <c r="M819" s="16"/>
      <c r="N819" s="21"/>
      <c r="O819" s="30"/>
      <c r="P819" s="91"/>
      <c r="R819" s="223"/>
      <c r="S819" s="54"/>
      <c r="V819" s="102"/>
      <c r="W819" s="191"/>
      <c r="X819" s="86"/>
      <c r="Z819" s="131"/>
      <c r="AA819" s="14"/>
      <c r="AG819" s="86"/>
      <c r="AJ819" s="86"/>
    </row>
    <row r="820">
      <c r="C820" s="88"/>
      <c r="D820" s="16"/>
      <c r="E820" s="16"/>
      <c r="F820" s="16"/>
      <c r="G820" s="16"/>
      <c r="H820" s="16"/>
      <c r="I820" s="16"/>
      <c r="J820" s="16"/>
      <c r="K820" s="16"/>
      <c r="L820" s="16"/>
      <c r="M820" s="16"/>
      <c r="N820" s="21"/>
      <c r="O820" s="30"/>
      <c r="P820" s="91"/>
      <c r="R820" s="223"/>
      <c r="S820" s="54"/>
      <c r="V820" s="102"/>
      <c r="W820" s="191"/>
      <c r="X820" s="86"/>
      <c r="Z820" s="131"/>
      <c r="AA820" s="14"/>
      <c r="AG820" s="86"/>
      <c r="AJ820" s="86"/>
    </row>
    <row r="821">
      <c r="C821" s="88"/>
      <c r="D821" s="16"/>
      <c r="E821" s="16"/>
      <c r="F821" s="16"/>
      <c r="G821" s="16"/>
      <c r="H821" s="16"/>
      <c r="I821" s="16"/>
      <c r="J821" s="16"/>
      <c r="K821" s="16"/>
      <c r="L821" s="16"/>
      <c r="M821" s="16"/>
      <c r="N821" s="21"/>
      <c r="O821" s="30"/>
      <c r="P821" s="91"/>
      <c r="R821" s="223"/>
      <c r="S821" s="54"/>
      <c r="V821" s="102"/>
      <c r="W821" s="191"/>
      <c r="X821" s="86"/>
      <c r="Z821" s="131"/>
      <c r="AA821" s="14"/>
      <c r="AG821" s="86"/>
      <c r="AJ821" s="86"/>
    </row>
    <row r="822">
      <c r="C822" s="88"/>
      <c r="D822" s="16"/>
      <c r="E822" s="16"/>
      <c r="F822" s="16"/>
      <c r="G822" s="16"/>
      <c r="H822" s="16"/>
      <c r="I822" s="16"/>
      <c r="J822" s="16"/>
      <c r="K822" s="16"/>
      <c r="L822" s="16"/>
      <c r="M822" s="16"/>
      <c r="N822" s="21"/>
      <c r="O822" s="30"/>
      <c r="P822" s="91"/>
      <c r="R822" s="223"/>
      <c r="S822" s="54"/>
      <c r="V822" s="102"/>
      <c r="W822" s="191"/>
      <c r="X822" s="86"/>
      <c r="Z822" s="131"/>
      <c r="AA822" s="14"/>
      <c r="AG822" s="86"/>
      <c r="AJ822" s="86"/>
    </row>
    <row r="823">
      <c r="C823" s="88"/>
      <c r="D823" s="16"/>
      <c r="E823" s="16"/>
      <c r="F823" s="16"/>
      <c r="G823" s="16"/>
      <c r="H823" s="16"/>
      <c r="I823" s="16"/>
      <c r="J823" s="16"/>
      <c r="K823" s="16"/>
      <c r="L823" s="16"/>
      <c r="M823" s="16"/>
      <c r="N823" s="21"/>
      <c r="O823" s="30"/>
      <c r="P823" s="91"/>
      <c r="R823" s="223"/>
      <c r="S823" s="54"/>
      <c r="V823" s="102"/>
      <c r="W823" s="191"/>
      <c r="X823" s="86"/>
      <c r="Z823" s="131"/>
      <c r="AA823" s="14"/>
      <c r="AG823" s="86"/>
      <c r="AJ823" s="86"/>
    </row>
    <row r="824">
      <c r="C824" s="88"/>
      <c r="D824" s="16"/>
      <c r="E824" s="16"/>
      <c r="F824" s="16"/>
      <c r="G824" s="16"/>
      <c r="H824" s="16"/>
      <c r="I824" s="16"/>
      <c r="J824" s="16"/>
      <c r="K824" s="16"/>
      <c r="L824" s="16"/>
      <c r="M824" s="16"/>
      <c r="N824" s="21"/>
      <c r="O824" s="30"/>
      <c r="P824" s="91"/>
      <c r="R824" s="223"/>
      <c r="S824" s="54"/>
      <c r="V824" s="102"/>
      <c r="W824" s="191"/>
      <c r="X824" s="86"/>
      <c r="Z824" s="131"/>
      <c r="AA824" s="14"/>
      <c r="AG824" s="86"/>
      <c r="AJ824" s="86"/>
    </row>
    <row r="825">
      <c r="C825" s="88"/>
      <c r="D825" s="16"/>
      <c r="E825" s="16"/>
      <c r="F825" s="16"/>
      <c r="G825" s="16"/>
      <c r="H825" s="16"/>
      <c r="I825" s="16"/>
      <c r="J825" s="16"/>
      <c r="K825" s="16"/>
      <c r="L825" s="16"/>
      <c r="M825" s="16"/>
      <c r="N825" s="21"/>
      <c r="O825" s="30"/>
      <c r="P825" s="91"/>
      <c r="R825" s="223"/>
      <c r="S825" s="54"/>
      <c r="V825" s="102"/>
      <c r="W825" s="191"/>
      <c r="X825" s="86"/>
      <c r="Z825" s="131"/>
      <c r="AA825" s="14"/>
      <c r="AG825" s="86"/>
      <c r="AJ825" s="86"/>
    </row>
    <row r="826">
      <c r="C826" s="88"/>
      <c r="D826" s="16"/>
      <c r="E826" s="16"/>
      <c r="F826" s="16"/>
      <c r="G826" s="16"/>
      <c r="H826" s="16"/>
      <c r="I826" s="16"/>
      <c r="J826" s="16"/>
      <c r="K826" s="16"/>
      <c r="L826" s="16"/>
      <c r="M826" s="16"/>
      <c r="N826" s="21"/>
      <c r="O826" s="30"/>
      <c r="P826" s="91"/>
      <c r="R826" s="223"/>
      <c r="S826" s="54"/>
      <c r="V826" s="102"/>
      <c r="W826" s="191"/>
      <c r="X826" s="86"/>
      <c r="Z826" s="131"/>
      <c r="AA826" s="14"/>
      <c r="AG826" s="86"/>
      <c r="AJ826" s="86"/>
    </row>
    <row r="827">
      <c r="C827" s="88"/>
      <c r="D827" s="16"/>
      <c r="E827" s="16"/>
      <c r="F827" s="16"/>
      <c r="G827" s="16"/>
      <c r="H827" s="16"/>
      <c r="I827" s="16"/>
      <c r="J827" s="16"/>
      <c r="K827" s="16"/>
      <c r="L827" s="16"/>
      <c r="M827" s="16"/>
      <c r="N827" s="21"/>
      <c r="O827" s="30"/>
      <c r="P827" s="91"/>
      <c r="R827" s="223"/>
      <c r="S827" s="54"/>
      <c r="V827" s="102"/>
      <c r="W827" s="191"/>
      <c r="X827" s="86"/>
      <c r="Z827" s="131"/>
      <c r="AA827" s="14"/>
      <c r="AG827" s="86"/>
      <c r="AJ827" s="86"/>
    </row>
    <row r="828">
      <c r="C828" s="88"/>
      <c r="D828" s="16"/>
      <c r="E828" s="16"/>
      <c r="F828" s="16"/>
      <c r="G828" s="16"/>
      <c r="H828" s="16"/>
      <c r="I828" s="16"/>
      <c r="J828" s="16"/>
      <c r="K828" s="16"/>
      <c r="L828" s="16"/>
      <c r="M828" s="16"/>
      <c r="N828" s="21"/>
      <c r="O828" s="30"/>
      <c r="P828" s="91"/>
      <c r="R828" s="223"/>
      <c r="S828" s="54"/>
      <c r="V828" s="102"/>
      <c r="W828" s="191"/>
      <c r="X828" s="86"/>
      <c r="Z828" s="131"/>
      <c r="AA828" s="14"/>
      <c r="AG828" s="86"/>
      <c r="AJ828" s="86"/>
    </row>
    <row r="829">
      <c r="C829" s="88"/>
      <c r="D829" s="16"/>
      <c r="E829" s="16"/>
      <c r="F829" s="16"/>
      <c r="G829" s="16"/>
      <c r="H829" s="16"/>
      <c r="I829" s="16"/>
      <c r="J829" s="16"/>
      <c r="K829" s="16"/>
      <c r="L829" s="16"/>
      <c r="M829" s="16"/>
      <c r="N829" s="21"/>
      <c r="O829" s="30"/>
      <c r="P829" s="91"/>
      <c r="R829" s="223"/>
      <c r="S829" s="54"/>
      <c r="V829" s="102"/>
      <c r="W829" s="191"/>
      <c r="X829" s="86"/>
      <c r="Z829" s="131"/>
      <c r="AA829" s="14"/>
      <c r="AG829" s="86"/>
      <c r="AJ829" s="86"/>
    </row>
    <row r="830">
      <c r="C830" s="88"/>
      <c r="D830" s="16"/>
      <c r="E830" s="16"/>
      <c r="F830" s="16"/>
      <c r="G830" s="16"/>
      <c r="H830" s="16"/>
      <c r="I830" s="16"/>
      <c r="J830" s="16"/>
      <c r="K830" s="16"/>
      <c r="L830" s="16"/>
      <c r="M830" s="16"/>
      <c r="N830" s="21"/>
      <c r="O830" s="30"/>
      <c r="P830" s="91"/>
      <c r="R830" s="223"/>
      <c r="S830" s="54"/>
      <c r="V830" s="102"/>
      <c r="W830" s="191"/>
      <c r="X830" s="86"/>
      <c r="Z830" s="131"/>
      <c r="AA830" s="14"/>
      <c r="AG830" s="86"/>
      <c r="AJ830" s="86"/>
    </row>
    <row r="831">
      <c r="C831" s="88"/>
      <c r="D831" s="16"/>
      <c r="E831" s="16"/>
      <c r="F831" s="16"/>
      <c r="G831" s="16"/>
      <c r="H831" s="16"/>
      <c r="I831" s="16"/>
      <c r="J831" s="16"/>
      <c r="K831" s="16"/>
      <c r="L831" s="16"/>
      <c r="M831" s="16"/>
      <c r="N831" s="21"/>
      <c r="O831" s="30"/>
      <c r="P831" s="91"/>
      <c r="R831" s="223"/>
      <c r="S831" s="54"/>
      <c r="V831" s="102"/>
      <c r="W831" s="191"/>
      <c r="X831" s="86"/>
      <c r="Z831" s="131"/>
      <c r="AA831" s="14"/>
      <c r="AG831" s="86"/>
      <c r="AJ831" s="86"/>
    </row>
    <row r="832">
      <c r="C832" s="88"/>
      <c r="D832" s="16"/>
      <c r="E832" s="16"/>
      <c r="F832" s="16"/>
      <c r="G832" s="16"/>
      <c r="H832" s="16"/>
      <c r="I832" s="16"/>
      <c r="J832" s="16"/>
      <c r="K832" s="16"/>
      <c r="L832" s="16"/>
      <c r="M832" s="16"/>
      <c r="N832" s="21"/>
      <c r="O832" s="30"/>
      <c r="P832" s="91"/>
      <c r="R832" s="223"/>
      <c r="S832" s="54"/>
      <c r="V832" s="102"/>
      <c r="W832" s="191"/>
      <c r="X832" s="86"/>
      <c r="Z832" s="131"/>
      <c r="AA832" s="14"/>
      <c r="AG832" s="86"/>
      <c r="AJ832" s="86"/>
    </row>
    <row r="833">
      <c r="C833" s="88"/>
      <c r="D833" s="16"/>
      <c r="E833" s="16"/>
      <c r="F833" s="16"/>
      <c r="G833" s="16"/>
      <c r="H833" s="16"/>
      <c r="I833" s="16"/>
      <c r="J833" s="16"/>
      <c r="K833" s="16"/>
      <c r="L833" s="16"/>
      <c r="M833" s="16"/>
      <c r="N833" s="21"/>
      <c r="O833" s="30"/>
      <c r="P833" s="91"/>
      <c r="R833" s="223"/>
      <c r="S833" s="54"/>
      <c r="V833" s="102"/>
      <c r="W833" s="191"/>
      <c r="X833" s="86"/>
      <c r="Z833" s="131"/>
      <c r="AA833" s="14"/>
      <c r="AG833" s="86"/>
      <c r="AJ833" s="86"/>
    </row>
    <row r="834">
      <c r="C834" s="88"/>
      <c r="D834" s="16"/>
      <c r="E834" s="16"/>
      <c r="F834" s="16"/>
      <c r="G834" s="16"/>
      <c r="H834" s="16"/>
      <c r="I834" s="16"/>
      <c r="J834" s="16"/>
      <c r="K834" s="16"/>
      <c r="L834" s="16"/>
      <c r="M834" s="16"/>
      <c r="N834" s="21"/>
      <c r="O834" s="30"/>
      <c r="P834" s="91"/>
      <c r="R834" s="223"/>
      <c r="S834" s="54"/>
      <c r="V834" s="102"/>
      <c r="W834" s="191"/>
      <c r="X834" s="86"/>
      <c r="Z834" s="131"/>
      <c r="AA834" s="14"/>
      <c r="AG834" s="86"/>
      <c r="AJ834" s="86"/>
    </row>
    <row r="835">
      <c r="C835" s="88"/>
      <c r="D835" s="16"/>
      <c r="E835" s="16"/>
      <c r="F835" s="16"/>
      <c r="G835" s="16"/>
      <c r="H835" s="16"/>
      <c r="I835" s="16"/>
      <c r="J835" s="16"/>
      <c r="K835" s="16"/>
      <c r="L835" s="16"/>
      <c r="M835" s="16"/>
      <c r="N835" s="21"/>
      <c r="O835" s="30"/>
      <c r="P835" s="91"/>
      <c r="R835" s="223"/>
      <c r="S835" s="54"/>
      <c r="V835" s="102"/>
      <c r="W835" s="191"/>
      <c r="X835" s="86"/>
      <c r="Z835" s="131"/>
      <c r="AA835" s="14"/>
      <c r="AG835" s="86"/>
      <c r="AJ835" s="86"/>
    </row>
    <row r="836">
      <c r="C836" s="88"/>
      <c r="D836" s="16"/>
      <c r="E836" s="16"/>
      <c r="F836" s="16"/>
      <c r="G836" s="16"/>
      <c r="H836" s="16"/>
      <c r="I836" s="16"/>
      <c r="J836" s="16"/>
      <c r="K836" s="16"/>
      <c r="L836" s="16"/>
      <c r="M836" s="16"/>
      <c r="N836" s="21"/>
      <c r="O836" s="30"/>
      <c r="P836" s="91"/>
      <c r="R836" s="223"/>
      <c r="S836" s="54"/>
      <c r="V836" s="102"/>
      <c r="W836" s="191"/>
      <c r="X836" s="86"/>
      <c r="Z836" s="131"/>
      <c r="AA836" s="14"/>
      <c r="AG836" s="86"/>
      <c r="AJ836" s="86"/>
    </row>
    <row r="837">
      <c r="C837" s="88"/>
      <c r="D837" s="16"/>
      <c r="E837" s="16"/>
      <c r="F837" s="16"/>
      <c r="G837" s="16"/>
      <c r="H837" s="16"/>
      <c r="I837" s="16"/>
      <c r="J837" s="16"/>
      <c r="K837" s="16"/>
      <c r="L837" s="16"/>
      <c r="M837" s="16"/>
      <c r="N837" s="21"/>
      <c r="O837" s="30"/>
      <c r="P837" s="91"/>
      <c r="R837" s="223"/>
      <c r="S837" s="54"/>
      <c r="V837" s="102"/>
      <c r="W837" s="191"/>
      <c r="X837" s="86"/>
      <c r="Z837" s="131"/>
      <c r="AA837" s="14"/>
      <c r="AG837" s="86"/>
      <c r="AJ837" s="86"/>
    </row>
    <row r="838">
      <c r="C838" s="88"/>
      <c r="D838" s="16"/>
      <c r="E838" s="16"/>
      <c r="F838" s="16"/>
      <c r="G838" s="16"/>
      <c r="H838" s="16"/>
      <c r="I838" s="16"/>
      <c r="J838" s="16"/>
      <c r="K838" s="16"/>
      <c r="L838" s="16"/>
      <c r="M838" s="16"/>
      <c r="N838" s="21"/>
      <c r="O838" s="30"/>
      <c r="P838" s="91"/>
      <c r="R838" s="223"/>
      <c r="S838" s="54"/>
      <c r="V838" s="102"/>
      <c r="W838" s="191"/>
      <c r="X838" s="86"/>
      <c r="Z838" s="131"/>
      <c r="AA838" s="14"/>
      <c r="AG838" s="86"/>
      <c r="AJ838" s="86"/>
    </row>
    <row r="839">
      <c r="C839" s="88"/>
      <c r="D839" s="16"/>
      <c r="E839" s="16"/>
      <c r="F839" s="16"/>
      <c r="G839" s="16"/>
      <c r="H839" s="16"/>
      <c r="I839" s="16"/>
      <c r="J839" s="16"/>
      <c r="K839" s="16"/>
      <c r="L839" s="16"/>
      <c r="M839" s="16"/>
      <c r="N839" s="21"/>
      <c r="O839" s="30"/>
      <c r="P839" s="91"/>
      <c r="R839" s="223"/>
      <c r="S839" s="54"/>
      <c r="V839" s="102"/>
      <c r="W839" s="191"/>
      <c r="X839" s="86"/>
      <c r="Z839" s="131"/>
      <c r="AA839" s="14"/>
      <c r="AG839" s="86"/>
      <c r="AJ839" s="86"/>
    </row>
    <row r="840">
      <c r="C840" s="88"/>
      <c r="D840" s="16"/>
      <c r="E840" s="16"/>
      <c r="F840" s="16"/>
      <c r="G840" s="16"/>
      <c r="H840" s="16"/>
      <c r="I840" s="16"/>
      <c r="J840" s="16"/>
      <c r="K840" s="16"/>
      <c r="L840" s="16"/>
      <c r="M840" s="16"/>
      <c r="N840" s="21"/>
      <c r="O840" s="30"/>
      <c r="P840" s="91"/>
      <c r="R840" s="223"/>
      <c r="S840" s="54"/>
      <c r="V840" s="102"/>
      <c r="W840" s="191"/>
      <c r="X840" s="86"/>
      <c r="Z840" s="131"/>
      <c r="AA840" s="14"/>
      <c r="AG840" s="86"/>
      <c r="AJ840" s="86"/>
    </row>
    <row r="841">
      <c r="C841" s="88"/>
      <c r="D841" s="16"/>
      <c r="E841" s="16"/>
      <c r="F841" s="16"/>
      <c r="G841" s="16"/>
      <c r="H841" s="16"/>
      <c r="I841" s="16"/>
      <c r="J841" s="16"/>
      <c r="K841" s="16"/>
      <c r="L841" s="16"/>
      <c r="M841" s="16"/>
      <c r="N841" s="21"/>
      <c r="O841" s="30"/>
      <c r="P841" s="91"/>
      <c r="R841" s="223"/>
      <c r="S841" s="54"/>
      <c r="V841" s="102"/>
      <c r="W841" s="191"/>
      <c r="X841" s="86"/>
      <c r="Z841" s="131"/>
      <c r="AA841" s="14"/>
      <c r="AG841" s="86"/>
      <c r="AJ841" s="86"/>
    </row>
    <row r="842">
      <c r="C842" s="88"/>
      <c r="D842" s="16"/>
      <c r="E842" s="16"/>
      <c r="F842" s="16"/>
      <c r="G842" s="16"/>
      <c r="H842" s="16"/>
      <c r="I842" s="16"/>
      <c r="J842" s="16"/>
      <c r="K842" s="16"/>
      <c r="L842" s="16"/>
      <c r="M842" s="16"/>
      <c r="N842" s="21"/>
      <c r="O842" s="30"/>
      <c r="P842" s="91"/>
      <c r="R842" s="223"/>
      <c r="S842" s="54"/>
      <c r="V842" s="102"/>
      <c r="W842" s="191"/>
      <c r="X842" s="86"/>
      <c r="Z842" s="131"/>
      <c r="AA842" s="14"/>
      <c r="AG842" s="86"/>
      <c r="AJ842" s="86"/>
    </row>
    <row r="843">
      <c r="C843" s="88"/>
      <c r="D843" s="16"/>
      <c r="E843" s="16"/>
      <c r="F843" s="16"/>
      <c r="G843" s="16"/>
      <c r="H843" s="16"/>
      <c r="I843" s="16"/>
      <c r="J843" s="16"/>
      <c r="K843" s="16"/>
      <c r="L843" s="16"/>
      <c r="M843" s="16"/>
      <c r="N843" s="21"/>
      <c r="O843" s="30"/>
      <c r="P843" s="91"/>
      <c r="R843" s="223"/>
      <c r="S843" s="54"/>
      <c r="V843" s="102"/>
      <c r="W843" s="191"/>
      <c r="X843" s="86"/>
      <c r="Z843" s="131"/>
      <c r="AA843" s="14"/>
      <c r="AG843" s="86"/>
      <c r="AJ843" s="86"/>
    </row>
    <row r="844">
      <c r="C844" s="88"/>
      <c r="D844" s="16"/>
      <c r="E844" s="16"/>
      <c r="F844" s="16"/>
      <c r="G844" s="16"/>
      <c r="H844" s="16"/>
      <c r="I844" s="16"/>
      <c r="J844" s="16"/>
      <c r="K844" s="16"/>
      <c r="L844" s="16"/>
      <c r="M844" s="16"/>
      <c r="N844" s="21"/>
      <c r="O844" s="30"/>
      <c r="P844" s="91"/>
      <c r="R844" s="223"/>
      <c r="S844" s="54"/>
      <c r="V844" s="102"/>
      <c r="W844" s="191"/>
      <c r="X844" s="86"/>
      <c r="Z844" s="131"/>
      <c r="AA844" s="14"/>
      <c r="AG844" s="86"/>
      <c r="AJ844" s="86"/>
    </row>
    <row r="845">
      <c r="C845" s="88"/>
      <c r="D845" s="16"/>
      <c r="E845" s="16"/>
      <c r="F845" s="16"/>
      <c r="G845" s="16"/>
      <c r="H845" s="16"/>
      <c r="I845" s="16"/>
      <c r="J845" s="16"/>
      <c r="K845" s="16"/>
      <c r="L845" s="16"/>
      <c r="M845" s="16"/>
      <c r="N845" s="21"/>
      <c r="O845" s="30"/>
      <c r="P845" s="91"/>
      <c r="R845" s="223"/>
      <c r="S845" s="54"/>
      <c r="V845" s="102"/>
      <c r="W845" s="191"/>
      <c r="X845" s="86"/>
      <c r="Z845" s="131"/>
      <c r="AA845" s="14"/>
      <c r="AG845" s="86"/>
      <c r="AJ845" s="86"/>
    </row>
    <row r="846">
      <c r="C846" s="88"/>
      <c r="D846" s="16"/>
      <c r="E846" s="16"/>
      <c r="F846" s="16"/>
      <c r="G846" s="16"/>
      <c r="H846" s="16"/>
      <c r="I846" s="16"/>
      <c r="J846" s="16"/>
      <c r="K846" s="16"/>
      <c r="L846" s="16"/>
      <c r="M846" s="16"/>
      <c r="N846" s="21"/>
      <c r="O846" s="30"/>
      <c r="P846" s="91"/>
      <c r="R846" s="223"/>
      <c r="S846" s="54"/>
      <c r="V846" s="102"/>
      <c r="W846" s="191"/>
      <c r="X846" s="86"/>
      <c r="Z846" s="131"/>
      <c r="AA846" s="14"/>
      <c r="AG846" s="86"/>
      <c r="AJ846" s="86"/>
    </row>
    <row r="847">
      <c r="C847" s="88"/>
      <c r="D847" s="16"/>
      <c r="E847" s="16"/>
      <c r="F847" s="16"/>
      <c r="G847" s="16"/>
      <c r="H847" s="16"/>
      <c r="I847" s="16"/>
      <c r="J847" s="16"/>
      <c r="K847" s="16"/>
      <c r="L847" s="16"/>
      <c r="M847" s="16"/>
      <c r="N847" s="21"/>
      <c r="O847" s="30"/>
      <c r="P847" s="91"/>
      <c r="R847" s="223"/>
      <c r="S847" s="54"/>
      <c r="V847" s="102"/>
      <c r="W847" s="191"/>
      <c r="X847" s="86"/>
      <c r="Z847" s="131"/>
      <c r="AA847" s="14"/>
      <c r="AG847" s="86"/>
      <c r="AJ847" s="86"/>
    </row>
    <row r="848">
      <c r="C848" s="88"/>
      <c r="D848" s="16"/>
      <c r="E848" s="16"/>
      <c r="F848" s="16"/>
      <c r="G848" s="16"/>
      <c r="H848" s="16"/>
      <c r="I848" s="16"/>
      <c r="J848" s="16"/>
      <c r="K848" s="16"/>
      <c r="L848" s="16"/>
      <c r="M848" s="16"/>
      <c r="N848" s="21"/>
      <c r="O848" s="30"/>
      <c r="P848" s="91"/>
      <c r="R848" s="223"/>
      <c r="S848" s="54"/>
      <c r="V848" s="102"/>
      <c r="W848" s="191"/>
      <c r="X848" s="86"/>
      <c r="Z848" s="131"/>
      <c r="AA848" s="14"/>
      <c r="AG848" s="86"/>
      <c r="AJ848" s="86"/>
    </row>
    <row r="849">
      <c r="C849" s="88"/>
      <c r="D849" s="16"/>
      <c r="E849" s="16"/>
      <c r="F849" s="16"/>
      <c r="G849" s="16"/>
      <c r="H849" s="16"/>
      <c r="I849" s="16"/>
      <c r="J849" s="16"/>
      <c r="K849" s="16"/>
      <c r="L849" s="16"/>
      <c r="M849" s="16"/>
      <c r="N849" s="21"/>
      <c r="O849" s="30"/>
      <c r="P849" s="91"/>
      <c r="R849" s="223"/>
      <c r="S849" s="54"/>
      <c r="V849" s="102"/>
      <c r="W849" s="191"/>
      <c r="X849" s="86"/>
      <c r="Z849" s="131"/>
      <c r="AA849" s="14"/>
      <c r="AG849" s="86"/>
      <c r="AJ849" s="86"/>
    </row>
    <row r="850">
      <c r="C850" s="88"/>
      <c r="D850" s="16"/>
      <c r="E850" s="16"/>
      <c r="F850" s="16"/>
      <c r="G850" s="16"/>
      <c r="H850" s="16"/>
      <c r="I850" s="16"/>
      <c r="J850" s="16"/>
      <c r="K850" s="16"/>
      <c r="L850" s="16"/>
      <c r="M850" s="16"/>
      <c r="N850" s="21"/>
      <c r="O850" s="30"/>
      <c r="P850" s="91"/>
      <c r="R850" s="223"/>
      <c r="S850" s="54"/>
      <c r="V850" s="102"/>
      <c r="W850" s="191"/>
      <c r="X850" s="86"/>
      <c r="Z850" s="131"/>
      <c r="AA850" s="14"/>
      <c r="AG850" s="86"/>
      <c r="AJ850" s="86"/>
    </row>
    <row r="851">
      <c r="C851" s="88"/>
      <c r="D851" s="16"/>
      <c r="E851" s="16"/>
      <c r="F851" s="16"/>
      <c r="G851" s="16"/>
      <c r="H851" s="16"/>
      <c r="I851" s="16"/>
      <c r="J851" s="16"/>
      <c r="K851" s="16"/>
      <c r="L851" s="16"/>
      <c r="M851" s="16"/>
      <c r="N851" s="21"/>
      <c r="O851" s="30"/>
      <c r="P851" s="91"/>
      <c r="R851" s="223"/>
      <c r="S851" s="54"/>
      <c r="V851" s="102"/>
      <c r="W851" s="191"/>
      <c r="X851" s="86"/>
      <c r="Z851" s="131"/>
      <c r="AA851" s="14"/>
      <c r="AG851" s="86"/>
      <c r="AJ851" s="86"/>
    </row>
    <row r="852">
      <c r="C852" s="88"/>
      <c r="D852" s="16"/>
      <c r="E852" s="16"/>
      <c r="F852" s="16"/>
      <c r="G852" s="16"/>
      <c r="H852" s="16"/>
      <c r="I852" s="16"/>
      <c r="J852" s="16"/>
      <c r="K852" s="16"/>
      <c r="L852" s="16"/>
      <c r="M852" s="16"/>
      <c r="N852" s="21"/>
      <c r="O852" s="30"/>
      <c r="P852" s="91"/>
      <c r="R852" s="223"/>
      <c r="S852" s="54"/>
      <c r="V852" s="102"/>
      <c r="W852" s="191"/>
      <c r="X852" s="86"/>
      <c r="Z852" s="131"/>
      <c r="AA852" s="14"/>
      <c r="AG852" s="86"/>
      <c r="AJ852" s="86"/>
    </row>
    <row r="853">
      <c r="C853" s="88"/>
      <c r="D853" s="16"/>
      <c r="E853" s="16"/>
      <c r="F853" s="16"/>
      <c r="G853" s="16"/>
      <c r="H853" s="16"/>
      <c r="I853" s="16"/>
      <c r="J853" s="16"/>
      <c r="K853" s="16"/>
      <c r="L853" s="16"/>
      <c r="M853" s="16"/>
      <c r="N853" s="21"/>
      <c r="O853" s="30"/>
      <c r="P853" s="91"/>
      <c r="R853" s="223"/>
      <c r="S853" s="54"/>
      <c r="V853" s="102"/>
      <c r="W853" s="191"/>
      <c r="X853" s="86"/>
      <c r="Z853" s="131"/>
      <c r="AA853" s="14"/>
      <c r="AG853" s="86"/>
      <c r="AJ853" s="86"/>
    </row>
    <row r="854">
      <c r="C854" s="88"/>
      <c r="D854" s="16"/>
      <c r="E854" s="16"/>
      <c r="F854" s="16"/>
      <c r="G854" s="16"/>
      <c r="H854" s="16"/>
      <c r="I854" s="16"/>
      <c r="J854" s="16"/>
      <c r="K854" s="16"/>
      <c r="L854" s="16"/>
      <c r="M854" s="16"/>
      <c r="N854" s="21"/>
      <c r="O854" s="30"/>
      <c r="P854" s="91"/>
      <c r="R854" s="223"/>
      <c r="S854" s="54"/>
      <c r="V854" s="102"/>
      <c r="W854" s="191"/>
      <c r="X854" s="86"/>
      <c r="Z854" s="131"/>
      <c r="AA854" s="14"/>
      <c r="AG854" s="86"/>
      <c r="AJ854" s="86"/>
    </row>
    <row r="855">
      <c r="C855" s="88"/>
      <c r="D855" s="16"/>
      <c r="E855" s="16"/>
      <c r="F855" s="16"/>
      <c r="G855" s="16"/>
      <c r="H855" s="16"/>
      <c r="I855" s="16"/>
      <c r="J855" s="16"/>
      <c r="K855" s="16"/>
      <c r="L855" s="16"/>
      <c r="M855" s="16"/>
      <c r="N855" s="21"/>
      <c r="O855" s="30"/>
      <c r="P855" s="91"/>
      <c r="R855" s="223"/>
      <c r="S855" s="54"/>
      <c r="V855" s="102"/>
      <c r="W855" s="191"/>
      <c r="X855" s="86"/>
      <c r="Z855" s="131"/>
      <c r="AA855" s="14"/>
      <c r="AG855" s="86"/>
      <c r="AJ855" s="86"/>
    </row>
    <row r="856">
      <c r="C856" s="88"/>
      <c r="D856" s="16"/>
      <c r="E856" s="16"/>
      <c r="F856" s="16"/>
      <c r="G856" s="16"/>
      <c r="H856" s="16"/>
      <c r="I856" s="16"/>
      <c r="J856" s="16"/>
      <c r="K856" s="16"/>
      <c r="L856" s="16"/>
      <c r="M856" s="16"/>
      <c r="N856" s="21"/>
      <c r="O856" s="30"/>
      <c r="P856" s="91"/>
      <c r="R856" s="223"/>
      <c r="S856" s="54"/>
      <c r="V856" s="102"/>
      <c r="W856" s="191"/>
      <c r="X856" s="86"/>
      <c r="Z856" s="131"/>
      <c r="AA856" s="14"/>
      <c r="AG856" s="86"/>
      <c r="AJ856" s="86"/>
    </row>
    <row r="857">
      <c r="C857" s="88"/>
      <c r="D857" s="16"/>
      <c r="E857" s="16"/>
      <c r="F857" s="16"/>
      <c r="G857" s="16"/>
      <c r="H857" s="16"/>
      <c r="I857" s="16"/>
      <c r="J857" s="16"/>
      <c r="K857" s="16"/>
      <c r="L857" s="16"/>
      <c r="M857" s="16"/>
      <c r="N857" s="21"/>
      <c r="O857" s="30"/>
      <c r="P857" s="91"/>
      <c r="R857" s="223"/>
      <c r="S857" s="54"/>
      <c r="V857" s="102"/>
      <c r="W857" s="191"/>
      <c r="X857" s="86"/>
      <c r="Z857" s="131"/>
      <c r="AA857" s="14"/>
      <c r="AG857" s="86"/>
      <c r="AJ857" s="86"/>
    </row>
    <row r="858">
      <c r="C858" s="88"/>
      <c r="D858" s="16"/>
      <c r="E858" s="16"/>
      <c r="F858" s="16"/>
      <c r="G858" s="16"/>
      <c r="H858" s="16"/>
      <c r="I858" s="16"/>
      <c r="J858" s="16"/>
      <c r="K858" s="16"/>
      <c r="L858" s="16"/>
      <c r="M858" s="16"/>
      <c r="N858" s="21"/>
      <c r="O858" s="30"/>
      <c r="P858" s="91"/>
      <c r="R858" s="223"/>
      <c r="S858" s="54"/>
      <c r="V858" s="102"/>
      <c r="W858" s="191"/>
      <c r="X858" s="86"/>
      <c r="Z858" s="131"/>
      <c r="AA858" s="14"/>
      <c r="AG858" s="86"/>
      <c r="AJ858" s="86"/>
    </row>
    <row r="859">
      <c r="C859" s="88"/>
      <c r="D859" s="16"/>
      <c r="E859" s="16"/>
      <c r="F859" s="16"/>
      <c r="G859" s="16"/>
      <c r="H859" s="16"/>
      <c r="I859" s="16"/>
      <c r="J859" s="16"/>
      <c r="K859" s="16"/>
      <c r="L859" s="16"/>
      <c r="M859" s="16"/>
      <c r="N859" s="21"/>
      <c r="O859" s="30"/>
      <c r="P859" s="91"/>
      <c r="R859" s="223"/>
      <c r="S859" s="54"/>
      <c r="V859" s="102"/>
      <c r="W859" s="191"/>
      <c r="X859" s="86"/>
      <c r="Z859" s="131"/>
      <c r="AA859" s="14"/>
      <c r="AG859" s="86"/>
      <c r="AJ859" s="86"/>
    </row>
    <row r="860">
      <c r="C860" s="88"/>
      <c r="D860" s="16"/>
      <c r="E860" s="16"/>
      <c r="F860" s="16"/>
      <c r="G860" s="16"/>
      <c r="H860" s="16"/>
      <c r="I860" s="16"/>
      <c r="J860" s="16"/>
      <c r="K860" s="16"/>
      <c r="L860" s="16"/>
      <c r="M860" s="16"/>
      <c r="N860" s="21"/>
      <c r="O860" s="30"/>
      <c r="P860" s="91"/>
      <c r="R860" s="223"/>
      <c r="S860" s="54"/>
      <c r="V860" s="102"/>
      <c r="W860" s="191"/>
      <c r="X860" s="86"/>
      <c r="Z860" s="131"/>
      <c r="AA860" s="14"/>
      <c r="AG860" s="86"/>
      <c r="AJ860" s="86"/>
    </row>
    <row r="861">
      <c r="C861" s="88"/>
      <c r="D861" s="16"/>
      <c r="E861" s="16"/>
      <c r="F861" s="16"/>
      <c r="G861" s="16"/>
      <c r="H861" s="16"/>
      <c r="I861" s="16"/>
      <c r="J861" s="16"/>
      <c r="K861" s="16"/>
      <c r="L861" s="16"/>
      <c r="M861" s="16"/>
      <c r="N861" s="21"/>
      <c r="O861" s="30"/>
      <c r="P861" s="91"/>
      <c r="R861" s="223"/>
      <c r="S861" s="54"/>
      <c r="V861" s="102"/>
      <c r="W861" s="191"/>
      <c r="X861" s="86"/>
      <c r="Z861" s="131"/>
      <c r="AA861" s="14"/>
      <c r="AG861" s="86"/>
      <c r="AJ861" s="86"/>
    </row>
    <row r="862">
      <c r="C862" s="88"/>
      <c r="D862" s="16"/>
      <c r="E862" s="16"/>
      <c r="F862" s="16"/>
      <c r="G862" s="16"/>
      <c r="H862" s="16"/>
      <c r="I862" s="16"/>
      <c r="J862" s="16"/>
      <c r="K862" s="16"/>
      <c r="L862" s="16"/>
      <c r="M862" s="16"/>
      <c r="N862" s="21"/>
      <c r="O862" s="30"/>
      <c r="P862" s="91"/>
      <c r="R862" s="223"/>
      <c r="S862" s="54"/>
      <c r="V862" s="102"/>
      <c r="W862" s="191"/>
      <c r="X862" s="86"/>
      <c r="Z862" s="131"/>
      <c r="AA862" s="14"/>
      <c r="AG862" s="86"/>
      <c r="AJ862" s="86"/>
    </row>
    <row r="863">
      <c r="C863" s="88"/>
      <c r="D863" s="16"/>
      <c r="E863" s="16"/>
      <c r="F863" s="16"/>
      <c r="G863" s="16"/>
      <c r="H863" s="16"/>
      <c r="I863" s="16"/>
      <c r="J863" s="16"/>
      <c r="K863" s="16"/>
      <c r="L863" s="16"/>
      <c r="M863" s="16"/>
      <c r="N863" s="21"/>
      <c r="O863" s="30"/>
      <c r="P863" s="91"/>
      <c r="R863" s="223"/>
      <c r="S863" s="54"/>
      <c r="V863" s="102"/>
      <c r="W863" s="191"/>
      <c r="X863" s="86"/>
      <c r="Z863" s="131"/>
      <c r="AA863" s="14"/>
      <c r="AG863" s="86"/>
      <c r="AJ863" s="86"/>
    </row>
    <row r="864">
      <c r="C864" s="88"/>
      <c r="D864" s="16"/>
      <c r="E864" s="16"/>
      <c r="F864" s="16"/>
      <c r="G864" s="16"/>
      <c r="H864" s="16"/>
      <c r="I864" s="16"/>
      <c r="J864" s="16"/>
      <c r="K864" s="16"/>
      <c r="L864" s="16"/>
      <c r="M864" s="16"/>
      <c r="N864" s="21"/>
      <c r="O864" s="30"/>
      <c r="P864" s="91"/>
      <c r="R864" s="223"/>
      <c r="S864" s="54"/>
      <c r="V864" s="102"/>
      <c r="W864" s="191"/>
      <c r="X864" s="86"/>
      <c r="Z864" s="131"/>
      <c r="AA864" s="14"/>
      <c r="AG864" s="86"/>
      <c r="AJ864" s="86"/>
    </row>
    <row r="865">
      <c r="C865" s="88"/>
      <c r="D865" s="16"/>
      <c r="E865" s="16"/>
      <c r="F865" s="16"/>
      <c r="G865" s="16"/>
      <c r="H865" s="16"/>
      <c r="I865" s="16"/>
      <c r="J865" s="16"/>
      <c r="K865" s="16"/>
      <c r="L865" s="16"/>
      <c r="M865" s="16"/>
      <c r="N865" s="21"/>
      <c r="O865" s="30"/>
      <c r="P865" s="91"/>
      <c r="R865" s="223"/>
      <c r="S865" s="54"/>
      <c r="V865" s="102"/>
      <c r="W865" s="191"/>
      <c r="X865" s="86"/>
      <c r="Z865" s="131"/>
      <c r="AA865" s="14"/>
      <c r="AG865" s="86"/>
      <c r="AJ865" s="86"/>
    </row>
    <row r="866">
      <c r="C866" s="88"/>
      <c r="D866" s="16"/>
      <c r="E866" s="16"/>
      <c r="F866" s="16"/>
      <c r="G866" s="16"/>
      <c r="H866" s="16"/>
      <c r="I866" s="16"/>
      <c r="J866" s="16"/>
      <c r="K866" s="16"/>
      <c r="L866" s="16"/>
      <c r="M866" s="16"/>
      <c r="N866" s="21"/>
      <c r="O866" s="30"/>
      <c r="P866" s="91"/>
      <c r="R866" s="223"/>
      <c r="S866" s="54"/>
      <c r="V866" s="102"/>
      <c r="W866" s="191"/>
      <c r="X866" s="86"/>
      <c r="Z866" s="131"/>
      <c r="AA866" s="14"/>
      <c r="AG866" s="86"/>
      <c r="AJ866" s="86"/>
    </row>
    <row r="867">
      <c r="C867" s="88"/>
      <c r="D867" s="16"/>
      <c r="E867" s="16"/>
      <c r="F867" s="16"/>
      <c r="G867" s="16"/>
      <c r="H867" s="16"/>
      <c r="I867" s="16"/>
      <c r="J867" s="16"/>
      <c r="K867" s="16"/>
      <c r="L867" s="16"/>
      <c r="M867" s="16"/>
      <c r="N867" s="21"/>
      <c r="O867" s="30"/>
      <c r="P867" s="91"/>
      <c r="R867" s="223"/>
      <c r="S867" s="54"/>
      <c r="V867" s="102"/>
      <c r="W867" s="191"/>
      <c r="X867" s="86"/>
      <c r="Z867" s="131"/>
      <c r="AA867" s="14"/>
      <c r="AG867" s="86"/>
      <c r="AJ867" s="86"/>
    </row>
    <row r="868">
      <c r="C868" s="88"/>
      <c r="D868" s="16"/>
      <c r="E868" s="16"/>
      <c r="F868" s="16"/>
      <c r="G868" s="16"/>
      <c r="H868" s="16"/>
      <c r="I868" s="16"/>
      <c r="J868" s="16"/>
      <c r="K868" s="16"/>
      <c r="L868" s="16"/>
      <c r="M868" s="16"/>
      <c r="N868" s="21"/>
      <c r="O868" s="30"/>
      <c r="P868" s="91"/>
      <c r="R868" s="223"/>
      <c r="S868" s="54"/>
      <c r="V868" s="102"/>
      <c r="W868" s="191"/>
      <c r="X868" s="86"/>
      <c r="Z868" s="131"/>
      <c r="AA868" s="14"/>
      <c r="AG868" s="86"/>
      <c r="AJ868" s="86"/>
    </row>
    <row r="869">
      <c r="C869" s="88"/>
      <c r="D869" s="16"/>
      <c r="E869" s="16"/>
      <c r="F869" s="16"/>
      <c r="G869" s="16"/>
      <c r="H869" s="16"/>
      <c r="I869" s="16"/>
      <c r="J869" s="16"/>
      <c r="K869" s="16"/>
      <c r="L869" s="16"/>
      <c r="M869" s="16"/>
      <c r="N869" s="21"/>
      <c r="O869" s="30"/>
      <c r="P869" s="91"/>
      <c r="R869" s="223"/>
      <c r="S869" s="54"/>
      <c r="V869" s="102"/>
      <c r="W869" s="191"/>
      <c r="X869" s="86"/>
      <c r="Z869" s="131"/>
      <c r="AA869" s="14"/>
      <c r="AG869" s="86"/>
      <c r="AJ869" s="86"/>
    </row>
    <row r="870">
      <c r="C870" s="88"/>
      <c r="D870" s="16"/>
      <c r="E870" s="16"/>
      <c r="F870" s="16"/>
      <c r="G870" s="16"/>
      <c r="H870" s="16"/>
      <c r="I870" s="16"/>
      <c r="J870" s="16"/>
      <c r="K870" s="16"/>
      <c r="L870" s="16"/>
      <c r="M870" s="16"/>
      <c r="N870" s="21"/>
      <c r="O870" s="30"/>
      <c r="P870" s="91"/>
      <c r="R870" s="223"/>
      <c r="S870" s="54"/>
      <c r="V870" s="102"/>
      <c r="W870" s="191"/>
      <c r="X870" s="86"/>
      <c r="Z870" s="131"/>
      <c r="AA870" s="14"/>
      <c r="AG870" s="86"/>
      <c r="AJ870" s="86"/>
    </row>
    <row r="871">
      <c r="C871" s="88"/>
      <c r="D871" s="16"/>
      <c r="E871" s="16"/>
      <c r="F871" s="16"/>
      <c r="G871" s="16"/>
      <c r="H871" s="16"/>
      <c r="I871" s="16"/>
      <c r="J871" s="16"/>
      <c r="K871" s="16"/>
      <c r="L871" s="16"/>
      <c r="M871" s="16"/>
      <c r="N871" s="21"/>
      <c r="O871" s="30"/>
      <c r="P871" s="91"/>
      <c r="R871" s="223"/>
      <c r="S871" s="54"/>
      <c r="V871" s="102"/>
      <c r="W871" s="191"/>
      <c r="X871" s="86"/>
      <c r="Z871" s="131"/>
      <c r="AA871" s="14"/>
      <c r="AG871" s="86"/>
      <c r="AJ871" s="86"/>
    </row>
    <row r="872">
      <c r="C872" s="88"/>
      <c r="D872" s="16"/>
      <c r="E872" s="16"/>
      <c r="F872" s="16"/>
      <c r="G872" s="16"/>
      <c r="H872" s="16"/>
      <c r="I872" s="16"/>
      <c r="J872" s="16"/>
      <c r="K872" s="16"/>
      <c r="L872" s="16"/>
      <c r="M872" s="16"/>
      <c r="N872" s="21"/>
      <c r="O872" s="30"/>
      <c r="P872" s="91"/>
      <c r="R872" s="223"/>
      <c r="S872" s="54"/>
      <c r="V872" s="102"/>
      <c r="W872" s="191"/>
      <c r="X872" s="86"/>
      <c r="Z872" s="131"/>
      <c r="AA872" s="14"/>
      <c r="AG872" s="86"/>
      <c r="AJ872" s="86"/>
    </row>
    <row r="873">
      <c r="C873" s="88"/>
      <c r="D873" s="16"/>
      <c r="E873" s="16"/>
      <c r="F873" s="16"/>
      <c r="G873" s="16"/>
      <c r="H873" s="16"/>
      <c r="I873" s="16"/>
      <c r="J873" s="16"/>
      <c r="K873" s="16"/>
      <c r="L873" s="16"/>
      <c r="M873" s="16"/>
      <c r="N873" s="21"/>
      <c r="O873" s="30"/>
      <c r="P873" s="91"/>
      <c r="R873" s="223"/>
      <c r="S873" s="54"/>
      <c r="V873" s="102"/>
      <c r="W873" s="191"/>
      <c r="X873" s="86"/>
      <c r="Z873" s="131"/>
      <c r="AA873" s="14"/>
      <c r="AG873" s="86"/>
      <c r="AJ873" s="86"/>
    </row>
    <row r="874">
      <c r="C874" s="88"/>
      <c r="D874" s="16"/>
      <c r="E874" s="16"/>
      <c r="F874" s="16"/>
      <c r="G874" s="16"/>
      <c r="H874" s="16"/>
      <c r="I874" s="16"/>
      <c r="J874" s="16"/>
      <c r="K874" s="16"/>
      <c r="L874" s="16"/>
      <c r="M874" s="16"/>
      <c r="N874" s="21"/>
      <c r="O874" s="30"/>
      <c r="P874" s="91"/>
      <c r="R874" s="223"/>
      <c r="S874" s="54"/>
      <c r="V874" s="102"/>
      <c r="W874" s="191"/>
      <c r="X874" s="86"/>
      <c r="Z874" s="131"/>
      <c r="AA874" s="14"/>
      <c r="AG874" s="86"/>
      <c r="AJ874" s="86"/>
    </row>
    <row r="875">
      <c r="C875" s="88"/>
      <c r="D875" s="16"/>
      <c r="E875" s="16"/>
      <c r="F875" s="16"/>
      <c r="G875" s="16"/>
      <c r="H875" s="16"/>
      <c r="I875" s="16"/>
      <c r="J875" s="16"/>
      <c r="K875" s="16"/>
      <c r="L875" s="16"/>
      <c r="M875" s="16"/>
      <c r="N875" s="21"/>
      <c r="O875" s="30"/>
      <c r="P875" s="91"/>
      <c r="R875" s="223"/>
      <c r="S875" s="54"/>
      <c r="V875" s="102"/>
      <c r="W875" s="191"/>
      <c r="X875" s="86"/>
      <c r="Z875" s="131"/>
      <c r="AA875" s="14"/>
      <c r="AG875" s="86"/>
      <c r="AJ875" s="86"/>
    </row>
    <row r="876">
      <c r="C876" s="88"/>
      <c r="D876" s="16"/>
      <c r="E876" s="16"/>
      <c r="F876" s="16"/>
      <c r="G876" s="16"/>
      <c r="H876" s="16"/>
      <c r="I876" s="16"/>
      <c r="J876" s="16"/>
      <c r="K876" s="16"/>
      <c r="L876" s="16"/>
      <c r="M876" s="16"/>
      <c r="N876" s="21"/>
      <c r="O876" s="30"/>
      <c r="P876" s="91"/>
      <c r="R876" s="223"/>
      <c r="S876" s="54"/>
      <c r="V876" s="102"/>
      <c r="W876" s="191"/>
      <c r="X876" s="86"/>
      <c r="Z876" s="131"/>
      <c r="AA876" s="14"/>
      <c r="AG876" s="86"/>
      <c r="AJ876" s="86"/>
    </row>
    <row r="877">
      <c r="C877" s="88"/>
      <c r="D877" s="16"/>
      <c r="E877" s="16"/>
      <c r="F877" s="16"/>
      <c r="G877" s="16"/>
      <c r="H877" s="16"/>
      <c r="I877" s="16"/>
      <c r="J877" s="16"/>
      <c r="K877" s="16"/>
      <c r="L877" s="16"/>
      <c r="M877" s="16"/>
      <c r="N877" s="21"/>
      <c r="O877" s="30"/>
      <c r="P877" s="91"/>
      <c r="R877" s="223"/>
      <c r="S877" s="54"/>
      <c r="V877" s="102"/>
      <c r="W877" s="191"/>
      <c r="X877" s="86"/>
      <c r="Z877" s="131"/>
      <c r="AA877" s="14"/>
      <c r="AG877" s="86"/>
      <c r="AJ877" s="86"/>
    </row>
    <row r="878">
      <c r="C878" s="88"/>
      <c r="D878" s="16"/>
      <c r="E878" s="16"/>
      <c r="F878" s="16"/>
      <c r="G878" s="16"/>
      <c r="H878" s="16"/>
      <c r="I878" s="16"/>
      <c r="J878" s="16"/>
      <c r="K878" s="16"/>
      <c r="L878" s="16"/>
      <c r="M878" s="16"/>
      <c r="N878" s="21"/>
      <c r="O878" s="30"/>
      <c r="P878" s="91"/>
      <c r="R878" s="223"/>
      <c r="S878" s="54"/>
      <c r="V878" s="102"/>
      <c r="W878" s="191"/>
      <c r="X878" s="86"/>
      <c r="Z878" s="131"/>
      <c r="AA878" s="14"/>
      <c r="AG878" s="86"/>
      <c r="AJ878" s="86"/>
    </row>
    <row r="879">
      <c r="C879" s="88"/>
      <c r="D879" s="16"/>
      <c r="E879" s="16"/>
      <c r="F879" s="16"/>
      <c r="G879" s="16"/>
      <c r="H879" s="16"/>
      <c r="I879" s="16"/>
      <c r="J879" s="16"/>
      <c r="K879" s="16"/>
      <c r="L879" s="16"/>
      <c r="M879" s="16"/>
      <c r="N879" s="21"/>
      <c r="O879" s="30"/>
      <c r="P879" s="91"/>
      <c r="R879" s="223"/>
      <c r="S879" s="54"/>
      <c r="V879" s="102"/>
      <c r="W879" s="191"/>
      <c r="X879" s="86"/>
      <c r="Z879" s="131"/>
      <c r="AA879" s="14"/>
      <c r="AG879" s="86"/>
      <c r="AJ879" s="86"/>
    </row>
    <row r="880">
      <c r="C880" s="88"/>
      <c r="D880" s="16"/>
      <c r="E880" s="16"/>
      <c r="F880" s="16"/>
      <c r="G880" s="16"/>
      <c r="H880" s="16"/>
      <c r="I880" s="16"/>
      <c r="J880" s="16"/>
      <c r="K880" s="16"/>
      <c r="L880" s="16"/>
      <c r="M880" s="16"/>
      <c r="N880" s="21"/>
      <c r="O880" s="30"/>
      <c r="P880" s="91"/>
      <c r="R880" s="223"/>
      <c r="S880" s="54"/>
      <c r="V880" s="102"/>
      <c r="W880" s="191"/>
      <c r="X880" s="86"/>
      <c r="Z880" s="131"/>
      <c r="AA880" s="14"/>
      <c r="AG880" s="86"/>
      <c r="AJ880" s="86"/>
    </row>
    <row r="881">
      <c r="C881" s="88"/>
      <c r="D881" s="16"/>
      <c r="E881" s="16"/>
      <c r="F881" s="16"/>
      <c r="G881" s="16"/>
      <c r="H881" s="16"/>
      <c r="I881" s="16"/>
      <c r="J881" s="16"/>
      <c r="K881" s="16"/>
      <c r="L881" s="16"/>
      <c r="M881" s="16"/>
      <c r="N881" s="21"/>
      <c r="O881" s="30"/>
      <c r="P881" s="91"/>
      <c r="R881" s="223"/>
      <c r="S881" s="54"/>
      <c r="V881" s="102"/>
      <c r="W881" s="191"/>
      <c r="X881" s="86"/>
      <c r="Z881" s="131"/>
      <c r="AA881" s="14"/>
      <c r="AG881" s="86"/>
      <c r="AJ881" s="86"/>
    </row>
    <row r="882">
      <c r="C882" s="88"/>
      <c r="D882" s="16"/>
      <c r="E882" s="16"/>
      <c r="F882" s="16"/>
      <c r="G882" s="16"/>
      <c r="H882" s="16"/>
      <c r="I882" s="16"/>
      <c r="J882" s="16"/>
      <c r="K882" s="16"/>
      <c r="L882" s="16"/>
      <c r="M882" s="16"/>
      <c r="N882" s="21"/>
      <c r="O882" s="30"/>
      <c r="P882" s="91"/>
      <c r="R882" s="223"/>
      <c r="S882" s="54"/>
      <c r="V882" s="102"/>
      <c r="W882" s="191"/>
      <c r="X882" s="86"/>
      <c r="Z882" s="131"/>
      <c r="AA882" s="14"/>
      <c r="AG882" s="86"/>
      <c r="AJ882" s="86"/>
    </row>
    <row r="883">
      <c r="C883" s="88"/>
      <c r="D883" s="16"/>
      <c r="E883" s="16"/>
      <c r="F883" s="16"/>
      <c r="G883" s="16"/>
      <c r="H883" s="16"/>
      <c r="I883" s="16"/>
      <c r="J883" s="16"/>
      <c r="K883" s="16"/>
      <c r="L883" s="16"/>
      <c r="M883" s="16"/>
      <c r="N883" s="21"/>
      <c r="O883" s="30"/>
      <c r="P883" s="91"/>
      <c r="R883" s="223"/>
      <c r="S883" s="54"/>
      <c r="V883" s="102"/>
      <c r="W883" s="191"/>
      <c r="X883" s="86"/>
      <c r="Z883" s="131"/>
      <c r="AA883" s="14"/>
      <c r="AG883" s="86"/>
      <c r="AJ883" s="86"/>
    </row>
    <row r="884">
      <c r="C884" s="88"/>
      <c r="D884" s="16"/>
      <c r="E884" s="16"/>
      <c r="F884" s="16"/>
      <c r="G884" s="16"/>
      <c r="H884" s="16"/>
      <c r="I884" s="16"/>
      <c r="J884" s="16"/>
      <c r="K884" s="16"/>
      <c r="L884" s="16"/>
      <c r="M884" s="16"/>
      <c r="N884" s="21"/>
      <c r="O884" s="30"/>
      <c r="P884" s="91"/>
      <c r="R884" s="223"/>
      <c r="S884" s="54"/>
      <c r="V884" s="102"/>
      <c r="W884" s="191"/>
      <c r="X884" s="86"/>
      <c r="Z884" s="131"/>
      <c r="AA884" s="14"/>
      <c r="AG884" s="86"/>
      <c r="AJ884" s="86"/>
    </row>
    <row r="885">
      <c r="C885" s="88"/>
      <c r="D885" s="16"/>
      <c r="E885" s="16"/>
      <c r="F885" s="16"/>
      <c r="G885" s="16"/>
      <c r="H885" s="16"/>
      <c r="I885" s="16"/>
      <c r="J885" s="16"/>
      <c r="K885" s="16"/>
      <c r="L885" s="16"/>
      <c r="M885" s="16"/>
      <c r="N885" s="21"/>
      <c r="O885" s="30"/>
      <c r="P885" s="91"/>
      <c r="R885" s="223"/>
      <c r="S885" s="54"/>
      <c r="V885" s="102"/>
      <c r="W885" s="191"/>
      <c r="X885" s="86"/>
      <c r="Z885" s="131"/>
      <c r="AA885" s="14"/>
      <c r="AG885" s="86"/>
      <c r="AJ885" s="86"/>
    </row>
    <row r="886">
      <c r="C886" s="88"/>
      <c r="D886" s="16"/>
      <c r="E886" s="16"/>
      <c r="F886" s="16"/>
      <c r="G886" s="16"/>
      <c r="H886" s="16"/>
      <c r="I886" s="16"/>
      <c r="J886" s="16"/>
      <c r="K886" s="16"/>
      <c r="L886" s="16"/>
      <c r="M886" s="16"/>
      <c r="N886" s="21"/>
      <c r="O886" s="30"/>
      <c r="P886" s="91"/>
      <c r="R886" s="223"/>
      <c r="S886" s="54"/>
      <c r="V886" s="102"/>
      <c r="W886" s="191"/>
      <c r="X886" s="86"/>
      <c r="Z886" s="131"/>
      <c r="AA886" s="14"/>
      <c r="AG886" s="86"/>
      <c r="AJ886" s="86"/>
    </row>
    <row r="887">
      <c r="C887" s="88"/>
      <c r="D887" s="16"/>
      <c r="E887" s="16"/>
      <c r="F887" s="16"/>
      <c r="G887" s="16"/>
      <c r="H887" s="16"/>
      <c r="I887" s="16"/>
      <c r="J887" s="16"/>
      <c r="K887" s="16"/>
      <c r="L887" s="16"/>
      <c r="M887" s="16"/>
      <c r="N887" s="21"/>
      <c r="O887" s="30"/>
      <c r="P887" s="91"/>
      <c r="R887" s="223"/>
      <c r="S887" s="54"/>
      <c r="V887" s="102"/>
      <c r="W887" s="191"/>
      <c r="X887" s="86"/>
      <c r="Z887" s="131"/>
      <c r="AA887" s="14"/>
      <c r="AG887" s="86"/>
      <c r="AJ887" s="86"/>
    </row>
    <row r="888">
      <c r="C888" s="88"/>
      <c r="D888" s="16"/>
      <c r="E888" s="16"/>
      <c r="F888" s="16"/>
      <c r="G888" s="16"/>
      <c r="H888" s="16"/>
      <c r="I888" s="16"/>
      <c r="J888" s="16"/>
      <c r="K888" s="16"/>
      <c r="L888" s="16"/>
      <c r="M888" s="16"/>
      <c r="N888" s="21"/>
      <c r="O888" s="30"/>
      <c r="P888" s="91"/>
      <c r="R888" s="223"/>
      <c r="S888" s="54"/>
      <c r="V888" s="102"/>
      <c r="W888" s="191"/>
      <c r="X888" s="86"/>
      <c r="Z888" s="131"/>
      <c r="AA888" s="14"/>
      <c r="AG888" s="86"/>
      <c r="AJ888" s="86"/>
    </row>
    <row r="889">
      <c r="C889" s="88"/>
      <c r="D889" s="16"/>
      <c r="E889" s="16"/>
      <c r="F889" s="16"/>
      <c r="G889" s="16"/>
      <c r="H889" s="16"/>
      <c r="I889" s="16"/>
      <c r="J889" s="16"/>
      <c r="K889" s="16"/>
      <c r="L889" s="16"/>
      <c r="M889" s="16"/>
      <c r="N889" s="21"/>
      <c r="O889" s="30"/>
      <c r="P889" s="91"/>
      <c r="R889" s="223"/>
      <c r="S889" s="54"/>
      <c r="V889" s="102"/>
      <c r="W889" s="191"/>
      <c r="X889" s="86"/>
      <c r="Z889" s="131"/>
      <c r="AA889" s="14"/>
      <c r="AG889" s="86"/>
      <c r="AJ889" s="86"/>
    </row>
    <row r="890">
      <c r="C890" s="88"/>
      <c r="D890" s="16"/>
      <c r="E890" s="16"/>
      <c r="F890" s="16"/>
      <c r="G890" s="16"/>
      <c r="H890" s="16"/>
      <c r="I890" s="16"/>
      <c r="J890" s="16"/>
      <c r="K890" s="16"/>
      <c r="L890" s="16"/>
      <c r="M890" s="16"/>
      <c r="N890" s="21"/>
      <c r="O890" s="30"/>
      <c r="P890" s="91"/>
      <c r="R890" s="223"/>
      <c r="S890" s="54"/>
      <c r="V890" s="102"/>
      <c r="W890" s="191"/>
      <c r="X890" s="86"/>
      <c r="Z890" s="131"/>
      <c r="AA890" s="14"/>
      <c r="AG890" s="86"/>
      <c r="AJ890" s="86"/>
    </row>
    <row r="891">
      <c r="C891" s="88"/>
      <c r="D891" s="16"/>
      <c r="E891" s="16"/>
      <c r="F891" s="16"/>
      <c r="G891" s="16"/>
      <c r="H891" s="16"/>
      <c r="I891" s="16"/>
      <c r="J891" s="16"/>
      <c r="K891" s="16"/>
      <c r="L891" s="16"/>
      <c r="M891" s="16"/>
      <c r="N891" s="21"/>
      <c r="O891" s="30"/>
      <c r="P891" s="91"/>
      <c r="R891" s="223"/>
      <c r="S891" s="54"/>
      <c r="V891" s="102"/>
      <c r="W891" s="191"/>
      <c r="X891" s="86"/>
      <c r="Z891" s="131"/>
      <c r="AA891" s="14"/>
      <c r="AG891" s="86"/>
      <c r="AJ891" s="86"/>
    </row>
    <row r="892">
      <c r="C892" s="88"/>
      <c r="D892" s="16"/>
      <c r="E892" s="16"/>
      <c r="F892" s="16"/>
      <c r="G892" s="16"/>
      <c r="H892" s="16"/>
      <c r="I892" s="16"/>
      <c r="J892" s="16"/>
      <c r="K892" s="16"/>
      <c r="L892" s="16"/>
      <c r="M892" s="16"/>
      <c r="N892" s="21"/>
      <c r="O892" s="30"/>
      <c r="P892" s="91"/>
      <c r="R892" s="223"/>
      <c r="S892" s="54"/>
      <c r="V892" s="102"/>
      <c r="W892" s="191"/>
      <c r="X892" s="86"/>
      <c r="Z892" s="131"/>
      <c r="AA892" s="14"/>
      <c r="AG892" s="86"/>
      <c r="AJ892" s="86"/>
    </row>
    <row r="893">
      <c r="C893" s="88"/>
      <c r="D893" s="16"/>
      <c r="E893" s="16"/>
      <c r="F893" s="16"/>
      <c r="G893" s="16"/>
      <c r="H893" s="16"/>
      <c r="I893" s="16"/>
      <c r="J893" s="16"/>
      <c r="K893" s="16"/>
      <c r="L893" s="16"/>
      <c r="M893" s="16"/>
      <c r="N893" s="21"/>
      <c r="O893" s="30"/>
      <c r="P893" s="91"/>
      <c r="R893" s="223"/>
      <c r="S893" s="54"/>
      <c r="V893" s="102"/>
      <c r="W893" s="191"/>
      <c r="X893" s="86"/>
      <c r="Z893" s="131"/>
      <c r="AA893" s="14"/>
      <c r="AG893" s="86"/>
      <c r="AJ893" s="86"/>
    </row>
    <row r="894">
      <c r="C894" s="88"/>
      <c r="D894" s="16"/>
      <c r="E894" s="16"/>
      <c r="F894" s="16"/>
      <c r="G894" s="16"/>
      <c r="H894" s="16"/>
      <c r="I894" s="16"/>
      <c r="J894" s="16"/>
      <c r="K894" s="16"/>
      <c r="L894" s="16"/>
      <c r="M894" s="16"/>
      <c r="N894" s="21"/>
      <c r="O894" s="30"/>
      <c r="P894" s="91"/>
      <c r="R894" s="223"/>
      <c r="S894" s="54"/>
      <c r="V894" s="102"/>
      <c r="W894" s="191"/>
      <c r="X894" s="86"/>
      <c r="Z894" s="131"/>
      <c r="AA894" s="14"/>
      <c r="AG894" s="86"/>
      <c r="AJ894" s="86"/>
    </row>
    <row r="895">
      <c r="C895" s="88"/>
      <c r="D895" s="16"/>
      <c r="E895" s="16"/>
      <c r="F895" s="16"/>
      <c r="G895" s="16"/>
      <c r="H895" s="16"/>
      <c r="I895" s="16"/>
      <c r="J895" s="16"/>
      <c r="K895" s="16"/>
      <c r="L895" s="16"/>
      <c r="M895" s="16"/>
      <c r="N895" s="21"/>
      <c r="O895" s="30"/>
      <c r="P895" s="91"/>
      <c r="R895" s="223"/>
      <c r="S895" s="54"/>
      <c r="V895" s="102"/>
      <c r="W895" s="191"/>
      <c r="X895" s="86"/>
      <c r="Z895" s="131"/>
      <c r="AA895" s="14"/>
      <c r="AG895" s="86"/>
      <c r="AJ895" s="86"/>
    </row>
    <row r="896">
      <c r="C896" s="88"/>
      <c r="D896" s="16"/>
      <c r="E896" s="16"/>
      <c r="F896" s="16"/>
      <c r="G896" s="16"/>
      <c r="H896" s="16"/>
      <c r="I896" s="16"/>
      <c r="J896" s="16"/>
      <c r="K896" s="16"/>
      <c r="L896" s="16"/>
      <c r="M896" s="16"/>
      <c r="N896" s="21"/>
      <c r="O896" s="30"/>
      <c r="P896" s="91"/>
      <c r="R896" s="223"/>
      <c r="S896" s="54"/>
      <c r="V896" s="102"/>
      <c r="W896" s="191"/>
      <c r="X896" s="86"/>
      <c r="Z896" s="131"/>
      <c r="AA896" s="14"/>
      <c r="AG896" s="86"/>
      <c r="AJ896" s="86"/>
    </row>
    <row r="897">
      <c r="C897" s="88"/>
      <c r="D897" s="16"/>
      <c r="E897" s="16"/>
      <c r="F897" s="16"/>
      <c r="G897" s="16"/>
      <c r="H897" s="16"/>
      <c r="I897" s="16"/>
      <c r="J897" s="16"/>
      <c r="K897" s="16"/>
      <c r="L897" s="16"/>
      <c r="M897" s="16"/>
      <c r="N897" s="21"/>
      <c r="O897" s="30"/>
      <c r="P897" s="91"/>
      <c r="R897" s="223"/>
      <c r="S897" s="54"/>
      <c r="V897" s="102"/>
      <c r="W897" s="191"/>
      <c r="X897" s="86"/>
      <c r="Z897" s="131"/>
      <c r="AA897" s="14"/>
      <c r="AG897" s="86"/>
      <c r="AJ897" s="86"/>
    </row>
    <row r="898">
      <c r="C898" s="88"/>
      <c r="D898" s="16"/>
      <c r="E898" s="16"/>
      <c r="F898" s="16"/>
      <c r="G898" s="16"/>
      <c r="H898" s="16"/>
      <c r="I898" s="16"/>
      <c r="J898" s="16"/>
      <c r="K898" s="16"/>
      <c r="L898" s="16"/>
      <c r="M898" s="16"/>
      <c r="N898" s="21"/>
      <c r="O898" s="30"/>
      <c r="P898" s="91"/>
      <c r="R898" s="223"/>
      <c r="S898" s="54"/>
      <c r="V898" s="102"/>
      <c r="W898" s="191"/>
      <c r="X898" s="86"/>
      <c r="Z898" s="131"/>
      <c r="AA898" s="14"/>
      <c r="AG898" s="86"/>
      <c r="AJ898" s="86"/>
    </row>
    <row r="899">
      <c r="C899" s="88"/>
      <c r="D899" s="16"/>
      <c r="E899" s="16"/>
      <c r="F899" s="16"/>
      <c r="G899" s="16"/>
      <c r="H899" s="16"/>
      <c r="I899" s="16"/>
      <c r="J899" s="16"/>
      <c r="K899" s="16"/>
      <c r="L899" s="16"/>
      <c r="M899" s="16"/>
      <c r="N899" s="21"/>
      <c r="O899" s="30"/>
      <c r="P899" s="91"/>
      <c r="R899" s="223"/>
      <c r="S899" s="54"/>
      <c r="V899" s="102"/>
      <c r="W899" s="191"/>
      <c r="X899" s="86"/>
      <c r="Z899" s="131"/>
      <c r="AA899" s="14"/>
      <c r="AG899" s="86"/>
      <c r="AJ899" s="86"/>
    </row>
    <row r="900">
      <c r="C900" s="88"/>
      <c r="D900" s="16"/>
      <c r="E900" s="16"/>
      <c r="F900" s="16"/>
      <c r="G900" s="16"/>
      <c r="H900" s="16"/>
      <c r="I900" s="16"/>
      <c r="J900" s="16"/>
      <c r="K900" s="16"/>
      <c r="L900" s="16"/>
      <c r="M900" s="16"/>
      <c r="N900" s="21"/>
      <c r="O900" s="30"/>
      <c r="P900" s="91"/>
      <c r="R900" s="223"/>
      <c r="S900" s="54"/>
      <c r="V900" s="102"/>
      <c r="W900" s="191"/>
      <c r="X900" s="86"/>
      <c r="Z900" s="131"/>
      <c r="AA900" s="14"/>
      <c r="AG900" s="86"/>
      <c r="AJ900" s="86"/>
    </row>
    <row r="901">
      <c r="C901" s="88"/>
      <c r="D901" s="16"/>
      <c r="E901" s="16"/>
      <c r="F901" s="16"/>
      <c r="G901" s="16"/>
      <c r="H901" s="16"/>
      <c r="I901" s="16"/>
      <c r="J901" s="16"/>
      <c r="K901" s="16"/>
      <c r="L901" s="16"/>
      <c r="M901" s="16"/>
      <c r="N901" s="21"/>
      <c r="O901" s="30"/>
      <c r="P901" s="91"/>
      <c r="R901" s="223"/>
      <c r="S901" s="54"/>
      <c r="V901" s="102"/>
      <c r="W901" s="191"/>
      <c r="X901" s="86"/>
      <c r="Z901" s="131"/>
      <c r="AA901" s="14"/>
      <c r="AG901" s="86"/>
      <c r="AJ901" s="86"/>
    </row>
    <row r="902">
      <c r="C902" s="88"/>
      <c r="D902" s="16"/>
      <c r="E902" s="16"/>
      <c r="F902" s="16"/>
      <c r="G902" s="16"/>
      <c r="H902" s="16"/>
      <c r="I902" s="16"/>
      <c r="J902" s="16"/>
      <c r="K902" s="16"/>
      <c r="L902" s="16"/>
      <c r="M902" s="16"/>
      <c r="N902" s="21"/>
      <c r="O902" s="30"/>
      <c r="P902" s="91"/>
      <c r="R902" s="223"/>
      <c r="S902" s="54"/>
      <c r="V902" s="102"/>
      <c r="W902" s="191"/>
      <c r="X902" s="86"/>
      <c r="Z902" s="131"/>
      <c r="AA902" s="14"/>
      <c r="AG902" s="86"/>
      <c r="AJ902" s="86"/>
    </row>
    <row r="903">
      <c r="C903" s="88"/>
      <c r="D903" s="16"/>
      <c r="E903" s="16"/>
      <c r="F903" s="16"/>
      <c r="G903" s="16"/>
      <c r="H903" s="16"/>
      <c r="I903" s="16"/>
      <c r="J903" s="16"/>
      <c r="K903" s="16"/>
      <c r="L903" s="16"/>
      <c r="M903" s="16"/>
      <c r="N903" s="21"/>
      <c r="O903" s="30"/>
      <c r="P903" s="91"/>
      <c r="R903" s="223"/>
      <c r="S903" s="54"/>
      <c r="V903" s="102"/>
      <c r="W903" s="191"/>
      <c r="X903" s="86"/>
      <c r="Z903" s="131"/>
      <c r="AA903" s="14"/>
      <c r="AG903" s="86"/>
      <c r="AJ903" s="86"/>
    </row>
    <row r="904">
      <c r="C904" s="88"/>
      <c r="D904" s="16"/>
      <c r="E904" s="16"/>
      <c r="F904" s="16"/>
      <c r="G904" s="16"/>
      <c r="H904" s="16"/>
      <c r="I904" s="16"/>
      <c r="J904" s="16"/>
      <c r="K904" s="16"/>
      <c r="L904" s="16"/>
      <c r="M904" s="16"/>
      <c r="N904" s="21"/>
      <c r="O904" s="30"/>
      <c r="P904" s="91"/>
      <c r="R904" s="223"/>
      <c r="S904" s="54"/>
      <c r="V904" s="102"/>
      <c r="W904" s="191"/>
      <c r="X904" s="86"/>
      <c r="Z904" s="131"/>
      <c r="AA904" s="14"/>
      <c r="AG904" s="86"/>
      <c r="AJ904" s="86"/>
    </row>
    <row r="905">
      <c r="C905" s="88"/>
      <c r="D905" s="16"/>
      <c r="E905" s="16"/>
      <c r="F905" s="16"/>
      <c r="G905" s="16"/>
      <c r="H905" s="16"/>
      <c r="I905" s="16"/>
      <c r="J905" s="16"/>
      <c r="K905" s="16"/>
      <c r="L905" s="16"/>
      <c r="M905" s="16"/>
      <c r="N905" s="21"/>
      <c r="O905" s="30"/>
      <c r="P905" s="91"/>
      <c r="R905" s="223"/>
      <c r="S905" s="54"/>
      <c r="V905" s="102"/>
      <c r="W905" s="191"/>
      <c r="X905" s="86"/>
      <c r="Z905" s="131"/>
      <c r="AA905" s="14"/>
      <c r="AG905" s="86"/>
      <c r="AJ905" s="86"/>
    </row>
    <row r="906">
      <c r="C906" s="88"/>
      <c r="D906" s="16"/>
      <c r="E906" s="16"/>
      <c r="F906" s="16"/>
      <c r="G906" s="16"/>
      <c r="H906" s="16"/>
      <c r="I906" s="16"/>
      <c r="J906" s="16"/>
      <c r="K906" s="16"/>
      <c r="L906" s="16"/>
      <c r="M906" s="16"/>
      <c r="N906" s="21"/>
      <c r="O906" s="30"/>
      <c r="P906" s="91"/>
      <c r="R906" s="223"/>
      <c r="S906" s="54"/>
      <c r="V906" s="102"/>
      <c r="W906" s="191"/>
      <c r="X906" s="86"/>
      <c r="Z906" s="131"/>
      <c r="AA906" s="14"/>
      <c r="AG906" s="86"/>
      <c r="AJ906" s="86"/>
    </row>
    <row r="907">
      <c r="C907" s="88"/>
      <c r="D907" s="16"/>
      <c r="E907" s="16"/>
      <c r="F907" s="16"/>
      <c r="G907" s="16"/>
      <c r="H907" s="16"/>
      <c r="I907" s="16"/>
      <c r="J907" s="16"/>
      <c r="K907" s="16"/>
      <c r="L907" s="16"/>
      <c r="M907" s="16"/>
      <c r="N907" s="21"/>
      <c r="O907" s="30"/>
      <c r="P907" s="91"/>
      <c r="R907" s="223"/>
      <c r="S907" s="54"/>
      <c r="V907" s="102"/>
      <c r="W907" s="191"/>
      <c r="X907" s="86"/>
      <c r="Z907" s="131"/>
      <c r="AA907" s="14"/>
      <c r="AG907" s="86"/>
      <c r="AJ907" s="86"/>
    </row>
    <row r="908">
      <c r="C908" s="88"/>
      <c r="D908" s="16"/>
      <c r="E908" s="16"/>
      <c r="F908" s="16"/>
      <c r="G908" s="16"/>
      <c r="H908" s="16"/>
      <c r="I908" s="16"/>
      <c r="J908" s="16"/>
      <c r="K908" s="16"/>
      <c r="L908" s="16"/>
      <c r="M908" s="16"/>
      <c r="N908" s="21"/>
      <c r="O908" s="30"/>
      <c r="P908" s="91"/>
      <c r="R908" s="223"/>
      <c r="S908" s="54"/>
      <c r="V908" s="102"/>
      <c r="W908" s="191"/>
      <c r="X908" s="86"/>
      <c r="Z908" s="131"/>
      <c r="AA908" s="14"/>
      <c r="AG908" s="86"/>
      <c r="AJ908" s="86"/>
    </row>
    <row r="909">
      <c r="C909" s="88"/>
      <c r="D909" s="16"/>
      <c r="E909" s="16"/>
      <c r="F909" s="16"/>
      <c r="G909" s="16"/>
      <c r="H909" s="16"/>
      <c r="I909" s="16"/>
      <c r="J909" s="16"/>
      <c r="K909" s="16"/>
      <c r="L909" s="16"/>
      <c r="M909" s="16"/>
      <c r="N909" s="21"/>
      <c r="O909" s="30"/>
      <c r="P909" s="91"/>
      <c r="R909" s="223"/>
      <c r="S909" s="54"/>
      <c r="V909" s="102"/>
      <c r="W909" s="191"/>
      <c r="X909" s="86"/>
      <c r="Z909" s="131"/>
      <c r="AA909" s="14"/>
      <c r="AG909" s="86"/>
      <c r="AJ909" s="86"/>
    </row>
    <row r="910">
      <c r="C910" s="88"/>
      <c r="D910" s="16"/>
      <c r="E910" s="16"/>
      <c r="F910" s="16"/>
      <c r="G910" s="16"/>
      <c r="H910" s="16"/>
      <c r="I910" s="16"/>
      <c r="J910" s="16"/>
      <c r="K910" s="16"/>
      <c r="L910" s="16"/>
      <c r="M910" s="16"/>
      <c r="N910" s="21"/>
      <c r="O910" s="30"/>
      <c r="P910" s="91"/>
      <c r="R910" s="223"/>
      <c r="S910" s="54"/>
      <c r="V910" s="102"/>
      <c r="W910" s="191"/>
      <c r="X910" s="86"/>
      <c r="Z910" s="131"/>
      <c r="AA910" s="14"/>
      <c r="AG910" s="86"/>
      <c r="AJ910" s="86"/>
    </row>
    <row r="911">
      <c r="C911" s="88"/>
      <c r="D911" s="16"/>
      <c r="E911" s="16"/>
      <c r="F911" s="16"/>
      <c r="G911" s="16"/>
      <c r="H911" s="16"/>
      <c r="I911" s="16"/>
      <c r="J911" s="16"/>
      <c r="K911" s="16"/>
      <c r="L911" s="16"/>
      <c r="M911" s="16"/>
      <c r="N911" s="21"/>
      <c r="O911" s="30"/>
      <c r="P911" s="91"/>
      <c r="R911" s="223"/>
      <c r="S911" s="54"/>
      <c r="V911" s="102"/>
      <c r="W911" s="191"/>
      <c r="X911" s="86"/>
      <c r="Z911" s="131"/>
      <c r="AA911" s="14"/>
      <c r="AG911" s="86"/>
      <c r="AJ911" s="86"/>
    </row>
    <row r="912">
      <c r="C912" s="88"/>
      <c r="D912" s="16"/>
      <c r="E912" s="16"/>
      <c r="F912" s="16"/>
      <c r="G912" s="16"/>
      <c r="H912" s="16"/>
      <c r="I912" s="16"/>
      <c r="J912" s="16"/>
      <c r="K912" s="16"/>
      <c r="L912" s="16"/>
      <c r="M912" s="16"/>
      <c r="N912" s="21"/>
      <c r="O912" s="30"/>
      <c r="P912" s="91"/>
      <c r="R912" s="223"/>
      <c r="S912" s="54"/>
      <c r="V912" s="102"/>
      <c r="W912" s="191"/>
      <c r="X912" s="86"/>
      <c r="Z912" s="131"/>
      <c r="AA912" s="14"/>
      <c r="AG912" s="86"/>
      <c r="AJ912" s="86"/>
    </row>
    <row r="913">
      <c r="C913" s="88"/>
      <c r="D913" s="16"/>
      <c r="E913" s="16"/>
      <c r="F913" s="16"/>
      <c r="G913" s="16"/>
      <c r="H913" s="16"/>
      <c r="I913" s="16"/>
      <c r="J913" s="16"/>
      <c r="K913" s="16"/>
      <c r="L913" s="16"/>
      <c r="M913" s="16"/>
      <c r="N913" s="21"/>
      <c r="O913" s="30"/>
      <c r="P913" s="91"/>
      <c r="R913" s="223"/>
      <c r="S913" s="54"/>
      <c r="V913" s="102"/>
      <c r="W913" s="191"/>
      <c r="X913" s="86"/>
      <c r="Z913" s="131"/>
      <c r="AA913" s="14"/>
      <c r="AG913" s="86"/>
      <c r="AJ913" s="86"/>
    </row>
    <row r="914">
      <c r="C914" s="88"/>
      <c r="D914" s="16"/>
      <c r="E914" s="16"/>
      <c r="F914" s="16"/>
      <c r="G914" s="16"/>
      <c r="H914" s="16"/>
      <c r="I914" s="16"/>
      <c r="J914" s="16"/>
      <c r="K914" s="16"/>
      <c r="L914" s="16"/>
      <c r="M914" s="16"/>
      <c r="N914" s="21"/>
      <c r="O914" s="30"/>
      <c r="P914" s="91"/>
      <c r="R914" s="223"/>
      <c r="S914" s="54"/>
      <c r="V914" s="102"/>
      <c r="W914" s="191"/>
      <c r="X914" s="86"/>
      <c r="Z914" s="131"/>
      <c r="AA914" s="14"/>
      <c r="AG914" s="86"/>
      <c r="AJ914" s="86"/>
    </row>
    <row r="915">
      <c r="C915" s="88"/>
      <c r="D915" s="16"/>
      <c r="E915" s="16"/>
      <c r="F915" s="16"/>
      <c r="G915" s="16"/>
      <c r="H915" s="16"/>
      <c r="I915" s="16"/>
      <c r="J915" s="16"/>
      <c r="K915" s="16"/>
      <c r="L915" s="16"/>
      <c r="M915" s="16"/>
      <c r="N915" s="21"/>
      <c r="O915" s="30"/>
      <c r="P915" s="91"/>
      <c r="R915" s="223"/>
      <c r="S915" s="54"/>
      <c r="V915" s="102"/>
      <c r="W915" s="191"/>
      <c r="X915" s="86"/>
      <c r="Z915" s="131"/>
      <c r="AA915" s="14"/>
      <c r="AG915" s="86"/>
      <c r="AJ915" s="86"/>
    </row>
    <row r="916">
      <c r="C916" s="88"/>
      <c r="D916" s="16"/>
      <c r="E916" s="16"/>
      <c r="F916" s="16"/>
      <c r="G916" s="16"/>
      <c r="H916" s="16"/>
      <c r="I916" s="16"/>
      <c r="J916" s="16"/>
      <c r="K916" s="16"/>
      <c r="L916" s="16"/>
      <c r="M916" s="16"/>
      <c r="N916" s="21"/>
      <c r="O916" s="30"/>
      <c r="P916" s="91"/>
      <c r="R916" s="223"/>
      <c r="S916" s="54"/>
      <c r="V916" s="102"/>
      <c r="W916" s="191"/>
      <c r="X916" s="86"/>
      <c r="Z916" s="131"/>
      <c r="AA916" s="14"/>
      <c r="AG916" s="86"/>
      <c r="AJ916" s="86"/>
    </row>
    <row r="917">
      <c r="C917" s="88"/>
      <c r="D917" s="16"/>
      <c r="E917" s="16"/>
      <c r="F917" s="16"/>
      <c r="G917" s="16"/>
      <c r="H917" s="16"/>
      <c r="I917" s="16"/>
      <c r="J917" s="16"/>
      <c r="K917" s="16"/>
      <c r="L917" s="16"/>
      <c r="M917" s="16"/>
      <c r="N917" s="21"/>
      <c r="O917" s="30"/>
      <c r="P917" s="91"/>
      <c r="R917" s="223"/>
      <c r="S917" s="54"/>
      <c r="V917" s="102"/>
      <c r="W917" s="191"/>
      <c r="X917" s="86"/>
      <c r="Z917" s="131"/>
      <c r="AA917" s="14"/>
      <c r="AG917" s="86"/>
      <c r="AJ917" s="86"/>
    </row>
    <row r="918">
      <c r="C918" s="88"/>
      <c r="D918" s="16"/>
      <c r="E918" s="16"/>
      <c r="F918" s="16"/>
      <c r="G918" s="16"/>
      <c r="H918" s="16"/>
      <c r="I918" s="16"/>
      <c r="J918" s="16"/>
      <c r="K918" s="16"/>
      <c r="L918" s="16"/>
      <c r="M918" s="16"/>
      <c r="N918" s="21"/>
      <c r="O918" s="30"/>
      <c r="P918" s="91"/>
      <c r="R918" s="223"/>
      <c r="S918" s="54"/>
      <c r="V918" s="102"/>
      <c r="W918" s="191"/>
      <c r="X918" s="86"/>
      <c r="Z918" s="131"/>
      <c r="AA918" s="14"/>
      <c r="AG918" s="86"/>
      <c r="AJ918" s="86"/>
    </row>
    <row r="919">
      <c r="C919" s="88"/>
      <c r="D919" s="16"/>
      <c r="E919" s="16"/>
      <c r="F919" s="16"/>
      <c r="G919" s="16"/>
      <c r="H919" s="16"/>
      <c r="I919" s="16"/>
      <c r="J919" s="16"/>
      <c r="K919" s="16"/>
      <c r="L919" s="16"/>
      <c r="M919" s="16"/>
      <c r="N919" s="21"/>
      <c r="O919" s="30"/>
      <c r="P919" s="91"/>
      <c r="R919" s="223"/>
      <c r="S919" s="54"/>
      <c r="V919" s="102"/>
      <c r="W919" s="191"/>
      <c r="X919" s="86"/>
      <c r="Z919" s="131"/>
      <c r="AA919" s="14"/>
      <c r="AG919" s="86"/>
      <c r="AJ919" s="86"/>
    </row>
    <row r="920">
      <c r="C920" s="88"/>
      <c r="D920" s="16"/>
      <c r="E920" s="16"/>
      <c r="F920" s="16"/>
      <c r="G920" s="16"/>
      <c r="H920" s="16"/>
      <c r="I920" s="16"/>
      <c r="J920" s="16"/>
      <c r="K920" s="16"/>
      <c r="L920" s="16"/>
      <c r="M920" s="16"/>
      <c r="N920" s="21"/>
      <c r="O920" s="30"/>
      <c r="P920" s="91"/>
      <c r="R920" s="223"/>
      <c r="S920" s="54"/>
      <c r="V920" s="102"/>
      <c r="W920" s="191"/>
      <c r="X920" s="86"/>
      <c r="Z920" s="131"/>
      <c r="AA920" s="14"/>
      <c r="AG920" s="86"/>
      <c r="AJ920" s="86"/>
    </row>
    <row r="921">
      <c r="C921" s="88"/>
      <c r="D921" s="16"/>
      <c r="E921" s="16"/>
      <c r="F921" s="16"/>
      <c r="G921" s="16"/>
      <c r="H921" s="16"/>
      <c r="I921" s="16"/>
      <c r="J921" s="16"/>
      <c r="K921" s="16"/>
      <c r="L921" s="16"/>
      <c r="M921" s="16"/>
      <c r="N921" s="21"/>
      <c r="O921" s="30"/>
      <c r="P921" s="91"/>
      <c r="R921" s="223"/>
      <c r="S921" s="54"/>
      <c r="V921" s="102"/>
      <c r="W921" s="191"/>
      <c r="X921" s="86"/>
      <c r="Z921" s="131"/>
      <c r="AA921" s="14"/>
      <c r="AG921" s="86"/>
      <c r="AJ921" s="86"/>
    </row>
    <row r="922">
      <c r="C922" s="88"/>
      <c r="D922" s="16"/>
      <c r="E922" s="16"/>
      <c r="F922" s="16"/>
      <c r="G922" s="16"/>
      <c r="H922" s="16"/>
      <c r="I922" s="16"/>
      <c r="J922" s="16"/>
      <c r="K922" s="16"/>
      <c r="L922" s="16"/>
      <c r="M922" s="16"/>
      <c r="N922" s="21"/>
      <c r="O922" s="30"/>
      <c r="P922" s="91"/>
      <c r="R922" s="223"/>
      <c r="S922" s="54"/>
      <c r="V922" s="102"/>
      <c r="W922" s="191"/>
      <c r="X922" s="86"/>
      <c r="Z922" s="131"/>
      <c r="AA922" s="14"/>
      <c r="AG922" s="86"/>
      <c r="AJ922" s="86"/>
    </row>
    <row r="923">
      <c r="C923" s="88"/>
      <c r="D923" s="16"/>
      <c r="E923" s="16"/>
      <c r="F923" s="16"/>
      <c r="G923" s="16"/>
      <c r="H923" s="16"/>
      <c r="I923" s="16"/>
      <c r="J923" s="16"/>
      <c r="K923" s="16"/>
      <c r="L923" s="16"/>
      <c r="M923" s="16"/>
      <c r="N923" s="21"/>
      <c r="O923" s="30"/>
      <c r="P923" s="91"/>
      <c r="R923" s="223"/>
      <c r="S923" s="54"/>
      <c r="V923" s="102"/>
      <c r="W923" s="191"/>
      <c r="X923" s="86"/>
      <c r="Z923" s="131"/>
      <c r="AA923" s="14"/>
      <c r="AG923" s="86"/>
      <c r="AJ923" s="86"/>
    </row>
  </sheetData>
  <conditionalFormatting sqref="K1">
    <cfRule type="expression" dxfId="0" priority="1">
      <formula>SUM(K3:K923)&gt;0</formula>
    </cfRule>
  </conditionalFormatting>
  <conditionalFormatting sqref="K1">
    <cfRule type="expression" dxfId="1" priority="2">
      <formula>SUM(K3:K923)=0</formula>
    </cfRule>
  </conditionalFormatting>
  <conditionalFormatting sqref="M2:M923">
    <cfRule type="colorScale" priority="3">
      <colorScale>
        <cfvo type="formula" val="-1"/>
        <cfvo type="formula" val="0"/>
        <cfvo type="formula" val="1"/>
        <color rgb="FFCC0000"/>
        <color rgb="FF6AA84F"/>
        <color rgb="FF3C78D8"/>
      </colorScale>
    </cfRule>
  </conditionalFormatting>
  <conditionalFormatting sqref="K1:K923">
    <cfRule type="cellIs" dxfId="2" priority="4" operator="greaterThan">
      <formula>0</formula>
    </cfRule>
  </conditionalFormatting>
  <conditionalFormatting sqref="A2:B923">
    <cfRule type="expression" dxfId="3" priority="5">
      <formula>$C2</formula>
    </cfRule>
  </conditionalFormatting>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outlineLevelCol="1"/>
  <cols>
    <col customWidth="1" min="1" max="1" width="35.25"/>
    <col customWidth="1" min="2" max="2" width="16.5"/>
    <col min="3" max="6" width="12.63" outlineLevel="1"/>
    <col customWidth="1" min="10" max="10" width="12.25"/>
    <col customWidth="1" min="11" max="11" width="29.38"/>
    <col customWidth="1" min="12" max="12" width="11.13" outlineLevel="1"/>
    <col customWidth="1" min="16" max="16" width="8.88"/>
    <col customWidth="1" min="19" max="19" width="8.38" outlineLevel="1"/>
    <col customWidth="1" min="20" max="20" width="8.63" outlineLevel="1"/>
    <col min="21" max="21" width="12.63" outlineLevel="1"/>
    <col customWidth="1" min="22" max="22" width="11.88" outlineLevel="1"/>
    <col customWidth="1" min="23" max="23" width="8.38" outlineLevel="1"/>
    <col customWidth="1" min="24" max="24" width="30.5"/>
    <col min="25" max="28" width="12.63" outlineLevel="1"/>
    <col customWidth="1" min="29" max="29" width="15.75" outlineLevel="1"/>
    <col customWidth="1" min="30" max="30" width="10.88" outlineLevel="1"/>
    <col customWidth="1" min="31" max="31" width="8.75" outlineLevel="1"/>
    <col customWidth="1" min="32" max="32" width="8.88" outlineLevel="1"/>
    <col customWidth="1" min="33" max="33" width="9.63" outlineLevel="1"/>
    <col customWidth="1" min="34" max="34" width="8.75" outlineLevel="1"/>
    <col customWidth="1" min="35" max="35" width="9.0" outlineLevel="1"/>
    <col min="36" max="36" width="12.63" outlineLevel="1"/>
    <col customWidth="1" min="37" max="37" width="10.25" outlineLevel="1"/>
    <col customWidth="1" min="38" max="38" width="10.13" outlineLevel="1"/>
    <col customWidth="1" min="39" max="39" width="8.38" outlineLevel="1"/>
    <col customWidth="1" min="40" max="40" width="9.13" outlineLevel="1"/>
    <col customWidth="1" min="41" max="41" width="10.5" outlineLevel="1"/>
    <col customWidth="1" min="42" max="42" width="10.13"/>
    <col customWidth="1" min="43" max="44" width="9.25" outlineLevel="1"/>
    <col customWidth="1" min="45" max="45" width="43.25"/>
    <col customWidth="1" min="46" max="46" width="40.75"/>
    <col customWidth="1" min="47" max="47" width="13.25"/>
    <col customWidth="1" min="50" max="50" width="10.13"/>
    <col customWidth="1" min="52" max="52" width="13.5"/>
    <col customWidth="1" min="53" max="53" width="11.75"/>
    <col customWidth="1" min="54" max="54" width="11.5"/>
    <col customWidth="1" min="55" max="55" width="11.0"/>
    <col customWidth="1" min="56" max="56" width="13.38"/>
    <col customWidth="1" min="57" max="57" width="12.0"/>
    <col customWidth="1" min="58" max="58" width="13.63"/>
    <col customWidth="1" min="59" max="59" width="28.88"/>
    <col customWidth="1" min="60" max="60" width="13.88"/>
    <col customWidth="1" min="61" max="61" width="11.75"/>
    <col customWidth="1" min="62" max="62" width="12.75"/>
    <col customWidth="1" min="63" max="63" width="10.25"/>
    <col customWidth="1" min="64" max="64" width="12.88"/>
    <col customWidth="1" min="65" max="65" width="16.63"/>
    <col customWidth="1" min="66" max="66" width="11.25"/>
    <col customWidth="1" min="67" max="71" width="20.25"/>
  </cols>
  <sheetData>
    <row r="1">
      <c r="A1" s="224" t="s">
        <v>13</v>
      </c>
      <c r="B1" s="225" t="s">
        <v>387</v>
      </c>
      <c r="C1" s="225" t="s">
        <v>388</v>
      </c>
      <c r="D1" s="225" t="s">
        <v>389</v>
      </c>
      <c r="E1" s="226" t="s">
        <v>390</v>
      </c>
      <c r="F1" s="225" t="s">
        <v>391</v>
      </c>
      <c r="G1" s="227" t="s">
        <v>392</v>
      </c>
      <c r="H1" s="227" t="s">
        <v>393</v>
      </c>
      <c r="I1" s="227" t="s">
        <v>394</v>
      </c>
      <c r="J1" s="226" t="s">
        <v>395</v>
      </c>
      <c r="K1" s="228" t="s">
        <v>396</v>
      </c>
      <c r="L1" s="226" t="s">
        <v>397</v>
      </c>
      <c r="M1" s="226" t="s">
        <v>398</v>
      </c>
      <c r="N1" s="226" t="s">
        <v>399</v>
      </c>
      <c r="O1" s="226" t="s">
        <v>400</v>
      </c>
      <c r="P1" s="229" t="s">
        <v>401</v>
      </c>
      <c r="Q1" s="226" t="s">
        <v>402</v>
      </c>
      <c r="R1" s="226" t="s">
        <v>403</v>
      </c>
      <c r="S1" s="226" t="s">
        <v>404</v>
      </c>
      <c r="T1" s="230" t="s">
        <v>405</v>
      </c>
      <c r="U1" s="226" t="s">
        <v>406</v>
      </c>
      <c r="V1" s="226" t="s">
        <v>407</v>
      </c>
      <c r="W1" s="226" t="s">
        <v>408</v>
      </c>
      <c r="X1" s="226" t="s">
        <v>409</v>
      </c>
      <c r="Y1" s="226" t="s">
        <v>410</v>
      </c>
      <c r="Z1" s="76" t="s">
        <v>411</v>
      </c>
      <c r="AA1" s="231" t="s">
        <v>412</v>
      </c>
      <c r="AB1" s="232" t="s">
        <v>413</v>
      </c>
      <c r="AC1" s="226" t="s">
        <v>414</v>
      </c>
      <c r="AD1" s="226" t="s">
        <v>415</v>
      </c>
      <c r="AE1" s="233" t="s">
        <v>416</v>
      </c>
      <c r="AF1" s="234" t="s">
        <v>417</v>
      </c>
      <c r="AG1" s="226" t="s">
        <v>418</v>
      </c>
      <c r="AH1" s="235" t="s">
        <v>419</v>
      </c>
      <c r="AI1" s="236" t="s">
        <v>420</v>
      </c>
      <c r="AJ1" s="226" t="s">
        <v>421</v>
      </c>
      <c r="AK1" s="237" t="s">
        <v>293</v>
      </c>
      <c r="AL1" s="226" t="s">
        <v>422</v>
      </c>
      <c r="AM1" s="226" t="s">
        <v>423</v>
      </c>
      <c r="AN1" s="224" t="s">
        <v>424</v>
      </c>
      <c r="AO1" s="224" t="str">
        <f>IF(COUNT(AO2:AO163),"ERROR","TRT CHECK")</f>
        <v>TRT CHECK</v>
      </c>
      <c r="AP1" s="238" t="s">
        <v>425</v>
      </c>
      <c r="AQ1" s="239" t="s">
        <v>426</v>
      </c>
      <c r="AR1" s="240" t="s">
        <v>427</v>
      </c>
      <c r="AS1" s="241" t="s">
        <v>428</v>
      </c>
      <c r="AT1" s="226" t="s">
        <v>429</v>
      </c>
      <c r="AU1" s="226" t="s">
        <v>430</v>
      </c>
      <c r="AV1" s="226" t="s">
        <v>431</v>
      </c>
      <c r="AW1" s="226" t="s">
        <v>432</v>
      </c>
      <c r="AX1" s="238" t="s">
        <v>433</v>
      </c>
      <c r="AY1" s="224" t="s">
        <v>434</v>
      </c>
      <c r="AZ1" s="242" t="s">
        <v>435</v>
      </c>
      <c r="BA1" s="243" t="s">
        <v>436</v>
      </c>
      <c r="BB1" s="224" t="s">
        <v>437</v>
      </c>
      <c r="BC1" s="224" t="s">
        <v>438</v>
      </c>
      <c r="BD1" s="224" t="str">
        <f>AK1</f>
        <v>RFR Audit
Num
Run Tubes</v>
      </c>
      <c r="BE1" s="244" t="s">
        <v>439</v>
      </c>
      <c r="BF1" s="5" t="s">
        <v>440</v>
      </c>
      <c r="BG1" s="5" t="s">
        <v>276</v>
      </c>
      <c r="BH1" s="5" t="str">
        <f>E1</f>
        <v>RAW Num of Samples (Gform)</v>
      </c>
      <c r="BI1" s="5" t="s">
        <v>292</v>
      </c>
      <c r="BJ1" s="5" t="str">
        <f>AK1</f>
        <v>RFR Audit
Num
Run Tubes</v>
      </c>
      <c r="BK1" s="5" t="s">
        <v>280</v>
      </c>
      <c r="BL1" s="5" t="s">
        <v>441</v>
      </c>
      <c r="BM1" s="5" t="s">
        <v>281</v>
      </c>
      <c r="BN1" s="26">
        <f>SUM(AE2:AE163)</f>
        <v>43</v>
      </c>
      <c r="BO1" s="26"/>
      <c r="BP1" s="26"/>
      <c r="BQ1" s="26"/>
      <c r="BR1" s="26"/>
      <c r="BS1" s="26"/>
    </row>
    <row r="2">
      <c r="A2" s="245" t="str">
        <f>CONCATENATE("RUN-",'Process Ref'!$A$1,"_",TEXT(U2,"YYYY-MM-DD"),"_RFR-",TEXT(AR2,"000"),IF(EXACT(W2,"Initial"),"",CONCATENATE("_",W2)))</f>
        <v>RUN-FLMP_2021-11-01_RFR-001</v>
      </c>
      <c r="B2" s="246">
        <v>44501.50048076389</v>
      </c>
      <c r="C2" s="247"/>
      <c r="D2" s="247" t="s">
        <v>442</v>
      </c>
      <c r="E2" s="248">
        <v>3.0</v>
      </c>
      <c r="F2" s="247" t="s">
        <v>443</v>
      </c>
      <c r="G2" s="249" t="s">
        <v>444</v>
      </c>
      <c r="H2" s="249"/>
      <c r="I2" s="249" t="s">
        <v>445</v>
      </c>
      <c r="J2" s="250"/>
      <c r="K2" s="251"/>
      <c r="L2" s="248"/>
      <c r="M2" s="252">
        <v>1.8</v>
      </c>
      <c r="N2" s="252"/>
      <c r="O2" s="253" t="s">
        <v>446</v>
      </c>
      <c r="P2" s="254" t="b">
        <v>0</v>
      </c>
      <c r="Q2" s="255" t="b">
        <v>0</v>
      </c>
      <c r="R2" s="256"/>
      <c r="S2" s="254" t="b">
        <v>0</v>
      </c>
      <c r="T2" s="257" t="b">
        <v>0</v>
      </c>
      <c r="U2" s="258">
        <v>44501.0</v>
      </c>
      <c r="V2" s="259">
        <v>0.4166666666666667</v>
      </c>
      <c r="W2" s="247" t="s">
        <v>447</v>
      </c>
      <c r="X2" s="256"/>
      <c r="Y2" s="254" t="b">
        <v>0</v>
      </c>
      <c r="Z2" s="248">
        <v>4.0</v>
      </c>
      <c r="AA2" s="260">
        <f t="shared" ref="AA2:AA35" si="1">Z2-E2</f>
        <v>1</v>
      </c>
      <c r="AB2" s="261" t="b">
        <f t="shared" ref="AB2:AB153" si="2">IF(AA2 = 2,FALSE,TRUE)</f>
        <v>1</v>
      </c>
      <c r="AC2" s="248">
        <v>3.0</v>
      </c>
      <c r="AD2" s="248">
        <v>0.0</v>
      </c>
      <c r="AE2" s="248">
        <f>IF(W2="Initial",AD2,(IF(AJ2=TRUE,"CORRECT ME",AD2/3)))</f>
        <v>0</v>
      </c>
      <c r="AF2" s="248">
        <v>0.0</v>
      </c>
      <c r="AG2" s="248">
        <v>0.0</v>
      </c>
      <c r="AH2" s="248">
        <v>0.0</v>
      </c>
      <c r="AI2" s="248">
        <v>0.0</v>
      </c>
      <c r="AJ2" s="250" t="b">
        <v>0</v>
      </c>
      <c r="AK2" s="262">
        <f t="shared" ref="AK2:AK3" si="3">IF(W2="Initial",AC2,IF(AJ2=TRUE,"CORRECT ME",AC2/3))</f>
        <v>3</v>
      </c>
      <c r="AL2" s="248">
        <v>0.0</v>
      </c>
      <c r="AM2" s="248">
        <v>0.0</v>
      </c>
      <c r="AN2" s="263" t="str">
        <f>IFNA(VLOOKUP($A2,'Tube Reactions'!$J$2:$K163,2,FALSE),"")</f>
        <v/>
      </c>
      <c r="AO2" s="264" t="str">
        <f t="shared" ref="AO2:AO153" si="4">IF(AND(AM2&gt;0,AM2&lt;&gt;AN2),"NOT EQUAL","")</f>
        <v/>
      </c>
      <c r="AP2" s="265" t="str">
        <f t="shared" ref="AP2:AP4" si="5">IF(ISTEXT(H2),"", "Absent")</f>
        <v>Absent</v>
      </c>
      <c r="AQ2" s="260" t="b">
        <f t="shared" ref="AQ2:AQ153" si="6">NOT(ISBLANK(I2))</f>
        <v>1</v>
      </c>
      <c r="AR2" s="266">
        <v>1.0</v>
      </c>
      <c r="AS2" s="267" t="s">
        <v>448</v>
      </c>
      <c r="AT2" s="247"/>
      <c r="AU2" s="268" t="s">
        <v>449</v>
      </c>
      <c r="AV2" s="269">
        <v>4.0</v>
      </c>
      <c r="AW2" s="248" t="b">
        <v>1</v>
      </c>
      <c r="AX2" s="270" t="b">
        <f t="shared" ref="AX2:AX153" si="7">IF(OR(AND(AL2=0,AW2),AND(AL2&lt;&gt;0,NOT(AW2))),TRUE,FALSE)</f>
        <v>1</v>
      </c>
      <c r="AY2" s="250">
        <f t="shared" ref="AY2:AY13" si="8">AV2-AC2</f>
        <v>1</v>
      </c>
      <c r="AZ2" s="271" t="s">
        <v>450</v>
      </c>
      <c r="BA2" s="272" t="b">
        <v>1</v>
      </c>
      <c r="BB2" s="245" t="b">
        <f t="shared" ref="BB2:BB153" si="9">IF(BA2,IF(EXACT(W2,"Initial"),TRUE,FALSE),"")</f>
        <v>1</v>
      </c>
      <c r="BC2" s="260" t="b">
        <f t="shared" ref="BC2:BC153" si="10">IF(BB2,IF(AL2=0,TRUE,AL2),"")</f>
        <v>1</v>
      </c>
      <c r="BD2" s="260">
        <f t="shared" ref="BD2:BD153" si="11">IF(BC2,AK2,"")</f>
        <v>3</v>
      </c>
      <c r="BE2" s="273" t="b">
        <f t="shared" ref="BE2:BE153" si="12">IF(U2=FLOOR(B2,1),TRUE,IFERROR(0/0,""))</f>
        <v>1</v>
      </c>
      <c r="BF2" s="274">
        <f t="shared" ref="BF2:BF153" si="13">IF(EXACT($W2,"Initial"),$U2,IFERROR(0/0,""))</f>
        <v>44501</v>
      </c>
      <c r="BG2" s="275" t="str">
        <f t="shared" ref="BG2:BG153" si="14">IF(EXACT($W2,"Initial"),$A2,IFERROR(0/0,""))</f>
        <v>RUN-FLMP_2021-11-01_RFR-001</v>
      </c>
      <c r="BH2" s="96">
        <f t="shared" ref="BH2:BH153" si="15">IF(EXACT($W2,"Initial"),E2,IFERROR(0/0,""))</f>
        <v>3</v>
      </c>
      <c r="BI2" s="96">
        <f t="shared" ref="BI2:BI153" si="16">IF(EXACT($W2,"Initial"),AC2,IFERROR(0/0,""))</f>
        <v>3</v>
      </c>
      <c r="BJ2" s="96">
        <f t="shared" ref="BJ2:BJ153" si="17">IF(EXACT($W2,"Initial"),$AK2,IFERROR(0/0,""))</f>
        <v>3</v>
      </c>
      <c r="BK2" s="96">
        <f t="shared" ref="BK2:BK153" si="18">IF(EXACT($W2,"Initial"),$AL2,IFERROR(0/0,""))</f>
        <v>0</v>
      </c>
      <c r="BL2" s="10">
        <f>VLOOKUP(FLOOR($B2,1),'APS Tubes by Date IMPORT'!$B$2:$J163,1,FALSE)</f>
        <v>44501</v>
      </c>
      <c r="BM2" s="96">
        <f>IF(ISBLANK($BL2),IFERROR(0/0,""),VLOOKUP(FLOOR($B2,1),'APS Tubes by Date IMPORT'!$B$2:$J163,2,FALSE))</f>
        <v>3</v>
      </c>
      <c r="BN2" s="138"/>
      <c r="BO2" s="138"/>
      <c r="BP2" s="138"/>
      <c r="BQ2" s="138"/>
      <c r="BR2" s="138"/>
      <c r="BS2" s="138"/>
    </row>
    <row r="3">
      <c r="A3" s="245" t="str">
        <f>CONCATENATE("RUN-",'Process Ref'!$A$1,"_",TEXT(U3,"YYYY-MM-DD"),"_RFR-",TEXT(AR3,"000"),IF(EXACT(W3,"Initial"),"",CONCATENATE("_",W3)))</f>
        <v>RUN-FLMP_2021-11-02_RFR-002</v>
      </c>
      <c r="B3" s="246">
        <v>44502.41349421296</v>
      </c>
      <c r="C3" s="247"/>
      <c r="D3" s="247" t="s">
        <v>442</v>
      </c>
      <c r="E3" s="248">
        <v>2.0</v>
      </c>
      <c r="F3" s="247" t="s">
        <v>443</v>
      </c>
      <c r="G3" s="249" t="s">
        <v>451</v>
      </c>
      <c r="H3" s="249"/>
      <c r="I3" s="249" t="s">
        <v>452</v>
      </c>
      <c r="J3" s="250"/>
      <c r="K3" s="251"/>
      <c r="L3" s="248"/>
      <c r="M3" s="252"/>
      <c r="N3" s="252"/>
      <c r="O3" s="253"/>
      <c r="P3" s="254" t="b">
        <v>0</v>
      </c>
      <c r="Q3" s="255" t="b">
        <v>0</v>
      </c>
      <c r="R3" s="256"/>
      <c r="S3" s="254" t="b">
        <v>0</v>
      </c>
      <c r="T3" s="257" t="b">
        <v>0</v>
      </c>
      <c r="U3" s="258">
        <v>44502.0</v>
      </c>
      <c r="V3" s="259">
        <v>0.36944444444444446</v>
      </c>
      <c r="W3" s="247" t="s">
        <v>447</v>
      </c>
      <c r="X3" s="256"/>
      <c r="Y3" s="254" t="b">
        <v>0</v>
      </c>
      <c r="Z3" s="248">
        <v>4.0</v>
      </c>
      <c r="AA3" s="260">
        <f t="shared" si="1"/>
        <v>2</v>
      </c>
      <c r="AB3" s="261" t="b">
        <f t="shared" si="2"/>
        <v>0</v>
      </c>
      <c r="AC3" s="248">
        <v>2.0</v>
      </c>
      <c r="AD3" s="248">
        <v>0.0</v>
      </c>
      <c r="AE3" s="248">
        <v>0.0</v>
      </c>
      <c r="AF3" s="248">
        <v>0.0</v>
      </c>
      <c r="AG3" s="248">
        <v>0.0</v>
      </c>
      <c r="AH3" s="250">
        <f t="shared" ref="AH3:AH4" si="19">IF(W3="Initial",AG3,(IF(AJ3=TRUE,"CORRECT ME",AG3/3)))</f>
        <v>0</v>
      </c>
      <c r="AI3" s="248">
        <v>0.0</v>
      </c>
      <c r="AJ3" s="250" t="b">
        <v>0</v>
      </c>
      <c r="AK3" s="262">
        <f t="shared" si="3"/>
        <v>2</v>
      </c>
      <c r="AL3" s="248">
        <v>0.0</v>
      </c>
      <c r="AM3" s="248">
        <v>0.0</v>
      </c>
      <c r="AN3" s="263" t="str">
        <f>IFNA(VLOOKUP($A3,'Tube Reactions'!$J$2:$K163,2,FALSE),"")</f>
        <v/>
      </c>
      <c r="AO3" s="264" t="str">
        <f t="shared" si="4"/>
        <v/>
      </c>
      <c r="AP3" s="265" t="str">
        <f t="shared" si="5"/>
        <v>Absent</v>
      </c>
      <c r="AQ3" s="260" t="b">
        <f t="shared" si="6"/>
        <v>1</v>
      </c>
      <c r="AR3" s="266">
        <v>2.0</v>
      </c>
      <c r="AS3" s="267"/>
      <c r="AT3" s="247"/>
      <c r="AU3" s="268" t="s">
        <v>449</v>
      </c>
      <c r="AV3" s="269">
        <v>4.0</v>
      </c>
      <c r="AW3" s="248" t="b">
        <v>1</v>
      </c>
      <c r="AX3" s="270" t="b">
        <f t="shared" si="7"/>
        <v>1</v>
      </c>
      <c r="AY3" s="250">
        <f t="shared" si="8"/>
        <v>2</v>
      </c>
      <c r="AZ3" s="276"/>
      <c r="BA3" s="272" t="b">
        <v>1</v>
      </c>
      <c r="BB3" s="245" t="b">
        <f t="shared" si="9"/>
        <v>1</v>
      </c>
      <c r="BC3" s="260" t="b">
        <f t="shared" si="10"/>
        <v>1</v>
      </c>
      <c r="BD3" s="260">
        <f t="shared" si="11"/>
        <v>2</v>
      </c>
      <c r="BE3" s="273" t="b">
        <f t="shared" si="12"/>
        <v>1</v>
      </c>
      <c r="BF3" s="274">
        <f t="shared" si="13"/>
        <v>44502</v>
      </c>
      <c r="BG3" s="275" t="str">
        <f t="shared" si="14"/>
        <v>RUN-FLMP_2021-11-02_RFR-002</v>
      </c>
      <c r="BH3" s="96">
        <f t="shared" si="15"/>
        <v>2</v>
      </c>
      <c r="BI3" s="96">
        <f t="shared" si="16"/>
        <v>2</v>
      </c>
      <c r="BJ3" s="96">
        <f t="shared" si="17"/>
        <v>2</v>
      </c>
      <c r="BK3" s="96">
        <f t="shared" si="18"/>
        <v>0</v>
      </c>
      <c r="BL3" s="10">
        <f>IFNA(IF(VLOOKUP(FLOOR($B3,1),'APS Tubes by Date IMPORT'!$B$2:$J163,1,FALSE)=FLOOR($BL2,1),IFERROR(0/0,""),VLOOKUP(FLOOR($B3,1),'APS Tubes by Date IMPORT'!$B$2:$J163,1,FALSE)),"")</f>
        <v>44502</v>
      </c>
      <c r="BM3" s="96">
        <f>IF(ISBLANK($BL3),IFERROR(0/0,""),VLOOKUP(FLOOR($B3,1),'APS Tubes by Date IMPORT'!$B$2:$J163,2,FALSE))</f>
        <v>2</v>
      </c>
    </row>
    <row r="4">
      <c r="A4" s="245" t="str">
        <f>CONCATENATE("RUN-",'Process Ref'!$A$1,"_",TEXT(U4,"YYYY-MM-DD"),"_RFR-",TEXT(AR4,"000"),IF(EXACT(W4,"Initial"),"",CONCATENATE("_",W4)))</f>
        <v>RUN-FLMP_2021-11-12_RFR-003</v>
      </c>
      <c r="B4" s="246">
        <v>44512.84246774306</v>
      </c>
      <c r="C4" s="247"/>
      <c r="D4" s="247" t="s">
        <v>442</v>
      </c>
      <c r="E4" s="248">
        <v>6.0</v>
      </c>
      <c r="F4" s="247"/>
      <c r="G4" s="249" t="s">
        <v>453</v>
      </c>
      <c r="H4" s="249"/>
      <c r="I4" s="249" t="s">
        <v>454</v>
      </c>
      <c r="J4" s="248"/>
      <c r="K4" s="277"/>
      <c r="L4" s="248"/>
      <c r="M4" s="252"/>
      <c r="N4" s="252"/>
      <c r="O4" s="253"/>
      <c r="P4" s="254" t="b">
        <v>0</v>
      </c>
      <c r="Q4" s="255" t="b">
        <v>0</v>
      </c>
      <c r="R4" s="256"/>
      <c r="S4" s="254" t="b">
        <v>0</v>
      </c>
      <c r="T4" s="257" t="b">
        <v>0</v>
      </c>
      <c r="U4" s="258">
        <v>44512.0</v>
      </c>
      <c r="V4" s="259">
        <v>0.75</v>
      </c>
      <c r="W4" s="247" t="s">
        <v>447</v>
      </c>
      <c r="X4" s="256"/>
      <c r="Y4" s="254" t="b">
        <v>0</v>
      </c>
      <c r="Z4" s="248">
        <v>8.0</v>
      </c>
      <c r="AA4" s="260">
        <f t="shared" si="1"/>
        <v>2</v>
      </c>
      <c r="AB4" s="261" t="b">
        <f t="shared" si="2"/>
        <v>0</v>
      </c>
      <c r="AC4" s="248">
        <v>6.0</v>
      </c>
      <c r="AD4" s="248">
        <v>0.0</v>
      </c>
      <c r="AE4" s="248">
        <v>0.0</v>
      </c>
      <c r="AF4" s="248">
        <v>0.0</v>
      </c>
      <c r="AG4" s="248">
        <v>0.0</v>
      </c>
      <c r="AH4" s="250">
        <f t="shared" si="19"/>
        <v>0</v>
      </c>
      <c r="AI4" s="248">
        <v>0.0</v>
      </c>
      <c r="AJ4" s="250" t="b">
        <v>0</v>
      </c>
      <c r="AK4" s="278">
        <v>2.0</v>
      </c>
      <c r="AL4" s="248">
        <v>0.0</v>
      </c>
      <c r="AM4" s="248">
        <v>0.0</v>
      </c>
      <c r="AN4" s="263" t="str">
        <f>IFNA(VLOOKUP($A4,'Tube Reactions'!$J$2:$K163,2,FALSE),"")</f>
        <v/>
      </c>
      <c r="AO4" s="264" t="str">
        <f t="shared" si="4"/>
        <v/>
      </c>
      <c r="AP4" s="265" t="str">
        <f t="shared" si="5"/>
        <v>Absent</v>
      </c>
      <c r="AQ4" s="260" t="b">
        <f t="shared" si="6"/>
        <v>1</v>
      </c>
      <c r="AR4" s="266">
        <v>3.0</v>
      </c>
      <c r="AS4" s="279" t="s">
        <v>455</v>
      </c>
      <c r="AT4" s="247"/>
      <c r="AU4" s="268" t="s">
        <v>449</v>
      </c>
      <c r="AV4" s="269">
        <v>8.0</v>
      </c>
      <c r="AW4" s="248" t="b">
        <v>1</v>
      </c>
      <c r="AX4" s="270" t="b">
        <f t="shared" si="7"/>
        <v>1</v>
      </c>
      <c r="AY4" s="250">
        <f t="shared" si="8"/>
        <v>2</v>
      </c>
      <c r="AZ4" s="276"/>
      <c r="BA4" s="272" t="b">
        <v>1</v>
      </c>
      <c r="BB4" s="245" t="b">
        <f t="shared" si="9"/>
        <v>1</v>
      </c>
      <c r="BC4" s="260" t="b">
        <f t="shared" si="10"/>
        <v>1</v>
      </c>
      <c r="BD4" s="260">
        <f t="shared" si="11"/>
        <v>2</v>
      </c>
      <c r="BE4" s="273" t="b">
        <f t="shared" si="12"/>
        <v>1</v>
      </c>
      <c r="BF4" s="274">
        <f t="shared" si="13"/>
        <v>44512</v>
      </c>
      <c r="BG4" s="275" t="str">
        <f t="shared" si="14"/>
        <v>RUN-FLMP_2021-11-12_RFR-003</v>
      </c>
      <c r="BH4" s="96">
        <f t="shared" si="15"/>
        <v>6</v>
      </c>
      <c r="BI4" s="96">
        <f t="shared" si="16"/>
        <v>6</v>
      </c>
      <c r="BJ4" s="96">
        <f t="shared" si="17"/>
        <v>2</v>
      </c>
      <c r="BK4" s="96">
        <f t="shared" si="18"/>
        <v>0</v>
      </c>
      <c r="BL4" s="10">
        <f>IFNA(IF(VLOOKUP(FLOOR($B4,1),'APS Tubes by Date IMPORT'!$B$2:$J163,1,FALSE)=FLOOR($BL3,1),IFERROR(0/0,""),VLOOKUP(FLOOR($B4,1),'APS Tubes by Date IMPORT'!$B$2:$J163,1,FALSE)),"")</f>
        <v>44512</v>
      </c>
      <c r="BM4" s="96">
        <f>IF(ISBLANK($BL4),IFERROR(0/0,""),VLOOKUP(FLOOR($B4,1),'APS Tubes by Date IMPORT'!$B$2:$J163,2,FALSE))</f>
        <v>2</v>
      </c>
    </row>
    <row r="5">
      <c r="A5" s="245" t="str">
        <f>CONCATENATE("RUN-",'Process Ref'!$A$1,"_",TEXT(U5,"YYYY-MM-DD"),"_RFR-",TEXT(AR5,"000"),IF(EXACT(W5,"Initial"),"",CONCATENATE("_",W5)))</f>
        <v>RUN-FLMP_2021-11-26_RFR-004</v>
      </c>
      <c r="B5" s="246">
        <v>44528.569055555556</v>
      </c>
      <c r="C5" s="247"/>
      <c r="D5" s="247" t="s">
        <v>442</v>
      </c>
      <c r="E5" s="250">
        <v>2.0</v>
      </c>
      <c r="F5" s="247"/>
      <c r="G5" s="249" t="s">
        <v>456</v>
      </c>
      <c r="H5" s="249"/>
      <c r="I5" s="249" t="s">
        <v>457</v>
      </c>
      <c r="J5" s="250"/>
      <c r="K5" s="280"/>
      <c r="L5" s="248"/>
      <c r="M5" s="252"/>
      <c r="N5" s="252"/>
      <c r="O5" s="253"/>
      <c r="P5" s="254" t="b">
        <v>0</v>
      </c>
      <c r="Q5" s="255" t="b">
        <v>0</v>
      </c>
      <c r="R5" s="256"/>
      <c r="S5" s="254" t="b">
        <v>0</v>
      </c>
      <c r="T5" s="257" t="b">
        <v>0</v>
      </c>
      <c r="U5" s="258">
        <v>44526.0</v>
      </c>
      <c r="V5" s="259">
        <v>0.6875</v>
      </c>
      <c r="W5" s="247" t="s">
        <v>447</v>
      </c>
      <c r="X5" s="256"/>
      <c r="Y5" s="254" t="b">
        <v>0</v>
      </c>
      <c r="Z5" s="248">
        <v>4.0</v>
      </c>
      <c r="AA5" s="260">
        <f t="shared" si="1"/>
        <v>2</v>
      </c>
      <c r="AB5" s="261" t="b">
        <f t="shared" si="2"/>
        <v>0</v>
      </c>
      <c r="AC5" s="248">
        <v>2.0</v>
      </c>
      <c r="AD5" s="248">
        <v>0.0</v>
      </c>
      <c r="AE5" s="248">
        <v>0.0</v>
      </c>
      <c r="AF5" s="248">
        <v>0.0</v>
      </c>
      <c r="AG5" s="248">
        <v>0.0</v>
      </c>
      <c r="AH5" s="248">
        <v>0.0</v>
      </c>
      <c r="AI5" s="248">
        <v>0.0</v>
      </c>
      <c r="AJ5" s="250" t="b">
        <v>0</v>
      </c>
      <c r="AK5" s="262">
        <f t="shared" ref="AK5:AK8" si="20">IF(W5="Initial",AC5,IF(AJ5=TRUE,"CORRECT ME",AC5/3))</f>
        <v>2</v>
      </c>
      <c r="AL5" s="248">
        <v>0.0</v>
      </c>
      <c r="AM5" s="248">
        <v>0.0</v>
      </c>
      <c r="AN5" s="263" t="str">
        <f>IFNA(VLOOKUP($A5,'Tube Reactions'!$J$2:$K163,2,FALSE),"")</f>
        <v/>
      </c>
      <c r="AO5" s="264" t="str">
        <f t="shared" si="4"/>
        <v/>
      </c>
      <c r="AP5" s="265" t="s">
        <v>458</v>
      </c>
      <c r="AQ5" s="260" t="b">
        <f t="shared" si="6"/>
        <v>1</v>
      </c>
      <c r="AR5" s="266">
        <v>4.0</v>
      </c>
      <c r="AS5" s="267"/>
      <c r="AT5" s="247"/>
      <c r="AU5" s="268" t="s">
        <v>449</v>
      </c>
      <c r="AV5" s="269">
        <v>4.0</v>
      </c>
      <c r="AW5" s="248" t="b">
        <v>1</v>
      </c>
      <c r="AX5" s="270" t="b">
        <f t="shared" si="7"/>
        <v>1</v>
      </c>
      <c r="AY5" s="281">
        <f t="shared" si="8"/>
        <v>2</v>
      </c>
      <c r="AZ5" s="276"/>
      <c r="BA5" s="272" t="b">
        <v>1</v>
      </c>
      <c r="BB5" s="245" t="b">
        <f t="shared" si="9"/>
        <v>1</v>
      </c>
      <c r="BC5" s="260" t="b">
        <f t="shared" si="10"/>
        <v>1</v>
      </c>
      <c r="BD5" s="260">
        <f t="shared" si="11"/>
        <v>2</v>
      </c>
      <c r="BE5" s="273" t="str">
        <f t="shared" si="12"/>
        <v/>
      </c>
      <c r="BF5" s="274">
        <f t="shared" si="13"/>
        <v>44526</v>
      </c>
      <c r="BG5" s="275" t="str">
        <f t="shared" si="14"/>
        <v>RUN-FLMP_2021-11-26_RFR-004</v>
      </c>
      <c r="BH5" s="96">
        <f t="shared" si="15"/>
        <v>2</v>
      </c>
      <c r="BI5" s="96">
        <f t="shared" si="16"/>
        <v>2</v>
      </c>
      <c r="BJ5" s="96">
        <f t="shared" si="17"/>
        <v>2</v>
      </c>
      <c r="BK5" s="96">
        <f t="shared" si="18"/>
        <v>0</v>
      </c>
      <c r="BL5" s="10">
        <f>IFNA(IF(VLOOKUP(FLOOR($B5,1),'APS Tubes by Date IMPORT'!$B$2:$J163,1,FALSE)=FLOOR($BL4,1),IFERROR(0/0,""),VLOOKUP(FLOOR($B5,1),'APS Tubes by Date IMPORT'!$B$2:$J163,1,FALSE)),"")</f>
        <v>44528</v>
      </c>
      <c r="BM5" s="96">
        <f>IF(ISBLANK($BL5),IFERROR(0/0,""),VLOOKUP(FLOOR($B5,1),'APS Tubes by Date IMPORT'!$B$2:$J163,2,FALSE))</f>
        <v>11</v>
      </c>
    </row>
    <row r="6">
      <c r="A6" s="245" t="str">
        <f>CONCATENATE("RUN-",'Process Ref'!$A$1,"_",TEXT(U6,"YYYY-MM-DD"),"_RFR-",TEXT(AR6,"000"),IF(EXACT(W6,"Initial"),"",CONCATENATE("_",W6)))</f>
        <v>RUN-FLMP_2021-11-28_RFR-006</v>
      </c>
      <c r="B6" s="246">
        <v>44528.81302590278</v>
      </c>
      <c r="C6" s="247"/>
      <c r="D6" s="247" t="s">
        <v>442</v>
      </c>
      <c r="E6" s="248">
        <v>10.0</v>
      </c>
      <c r="F6" s="247" t="s">
        <v>459</v>
      </c>
      <c r="G6" s="249" t="s">
        <v>460</v>
      </c>
      <c r="H6" s="249"/>
      <c r="I6" s="249" t="s">
        <v>461</v>
      </c>
      <c r="J6" s="248"/>
      <c r="K6" s="277"/>
      <c r="L6" s="248"/>
      <c r="M6" s="252"/>
      <c r="N6" s="252"/>
      <c r="O6" s="253"/>
      <c r="P6" s="254" t="b">
        <v>0</v>
      </c>
      <c r="Q6" s="255" t="b">
        <v>0</v>
      </c>
      <c r="R6" s="256"/>
      <c r="S6" s="254" t="b">
        <v>0</v>
      </c>
      <c r="T6" s="257" t="b">
        <v>0</v>
      </c>
      <c r="U6" s="258">
        <v>44528.0</v>
      </c>
      <c r="V6" s="259">
        <v>0.7708333333333334</v>
      </c>
      <c r="W6" s="247" t="s">
        <v>447</v>
      </c>
      <c r="X6" s="247" t="s">
        <v>462</v>
      </c>
      <c r="Y6" s="254" t="b">
        <v>0</v>
      </c>
      <c r="Z6" s="248">
        <v>12.0</v>
      </c>
      <c r="AA6" s="260">
        <f t="shared" si="1"/>
        <v>2</v>
      </c>
      <c r="AB6" s="261" t="b">
        <f t="shared" si="2"/>
        <v>0</v>
      </c>
      <c r="AC6" s="248">
        <v>10.0</v>
      </c>
      <c r="AD6" s="248">
        <v>0.0</v>
      </c>
      <c r="AE6" s="248">
        <v>0.0</v>
      </c>
      <c r="AF6" s="248">
        <v>0.0</v>
      </c>
      <c r="AG6" s="248">
        <v>0.0</v>
      </c>
      <c r="AH6" s="248">
        <v>0.0</v>
      </c>
      <c r="AI6" s="248">
        <v>0.0</v>
      </c>
      <c r="AJ6" s="250" t="b">
        <v>0</v>
      </c>
      <c r="AK6" s="262">
        <f t="shared" si="20"/>
        <v>10</v>
      </c>
      <c r="AL6" s="248">
        <v>0.0</v>
      </c>
      <c r="AM6" s="248">
        <v>0.0</v>
      </c>
      <c r="AN6" s="263" t="str">
        <f>IFNA(VLOOKUP($A6,'Tube Reactions'!$J$2:$K163,2,FALSE),"")</f>
        <v/>
      </c>
      <c r="AO6" s="264" t="str">
        <f t="shared" si="4"/>
        <v/>
      </c>
      <c r="AP6" s="265" t="str">
        <f t="shared" ref="AP6:AP8" si="21">IF(ISTEXT(H6),"", "Absent")</f>
        <v>Absent</v>
      </c>
      <c r="AQ6" s="260" t="b">
        <f t="shared" si="6"/>
        <v>1</v>
      </c>
      <c r="AR6" s="266">
        <v>6.0</v>
      </c>
      <c r="AS6" s="267"/>
      <c r="AT6" s="247"/>
      <c r="AU6" s="268" t="s">
        <v>449</v>
      </c>
      <c r="AV6" s="269">
        <v>12.0</v>
      </c>
      <c r="AW6" s="248" t="b">
        <v>1</v>
      </c>
      <c r="AX6" s="270" t="b">
        <f t="shared" si="7"/>
        <v>1</v>
      </c>
      <c r="AY6" s="281">
        <f t="shared" si="8"/>
        <v>2</v>
      </c>
      <c r="AZ6" s="276"/>
      <c r="BA6" s="272" t="b">
        <v>1</v>
      </c>
      <c r="BB6" s="245" t="b">
        <f t="shared" si="9"/>
        <v>1</v>
      </c>
      <c r="BC6" s="260" t="b">
        <f t="shared" si="10"/>
        <v>1</v>
      </c>
      <c r="BD6" s="260">
        <f t="shared" si="11"/>
        <v>10</v>
      </c>
      <c r="BE6" s="273" t="b">
        <f t="shared" si="12"/>
        <v>1</v>
      </c>
      <c r="BF6" s="274">
        <f t="shared" si="13"/>
        <v>44528</v>
      </c>
      <c r="BG6" s="275" t="str">
        <f t="shared" si="14"/>
        <v>RUN-FLMP_2021-11-28_RFR-006</v>
      </c>
      <c r="BH6" s="96">
        <f t="shared" si="15"/>
        <v>10</v>
      </c>
      <c r="BI6" s="96">
        <f t="shared" si="16"/>
        <v>10</v>
      </c>
      <c r="BJ6" s="96">
        <f t="shared" si="17"/>
        <v>10</v>
      </c>
      <c r="BK6" s="96">
        <f t="shared" si="18"/>
        <v>0</v>
      </c>
      <c r="BL6" s="10" t="str">
        <f>IFNA(IF(VLOOKUP(FLOOR($B6,1),'APS Tubes by Date IMPORT'!$B$2:$J163,1,FALSE)=FLOOR($BL5,1),IFERROR(0/0,""),VLOOKUP(FLOOR($B6,1),'APS Tubes by Date IMPORT'!$B$2:$J163,1,FALSE)),"")</f>
        <v/>
      </c>
      <c r="BM6" s="96" t="str">
        <f>IF(ISBLANK($BL6),IFERROR(0/0,""),VLOOKUP(FLOOR($B6,1),'APS Tubes by Date IMPORT'!$B$2:$J163,2,FALSE))</f>
        <v/>
      </c>
      <c r="BN6" s="138"/>
      <c r="BO6" s="138"/>
      <c r="BP6" s="138"/>
      <c r="BQ6" s="138"/>
      <c r="BR6" s="138"/>
      <c r="BS6" s="138"/>
    </row>
    <row r="7">
      <c r="A7" s="245" t="str">
        <f>CONCATENATE("RUN-",'Process Ref'!$A$1,"_",TEXT(U7,"YYYY-MM-DD"),"_RFR-",TEXT(AR7,"000"),IF(EXACT(W7,"Initial"),"",CONCATENATE("_",W7)))</f>
        <v>RUN-FLMP_2021-11-29_RFR-007</v>
      </c>
      <c r="B7" s="246">
        <v>44529.45663834491</v>
      </c>
      <c r="C7" s="247"/>
      <c r="D7" s="247" t="s">
        <v>442</v>
      </c>
      <c r="E7" s="248">
        <v>3.0</v>
      </c>
      <c r="F7" s="247"/>
      <c r="G7" s="249" t="s">
        <v>463</v>
      </c>
      <c r="H7" s="282"/>
      <c r="I7" s="283" t="s">
        <v>464</v>
      </c>
      <c r="J7" s="248"/>
      <c r="K7" s="277"/>
      <c r="L7" s="248"/>
      <c r="M7" s="252"/>
      <c r="N7" s="252"/>
      <c r="O7" s="253"/>
      <c r="P7" s="254" t="b">
        <v>0</v>
      </c>
      <c r="Q7" s="255" t="b">
        <v>0</v>
      </c>
      <c r="R7" s="256"/>
      <c r="S7" s="254" t="b">
        <v>0</v>
      </c>
      <c r="T7" s="284" t="b">
        <v>1</v>
      </c>
      <c r="U7" s="258">
        <v>44529.0</v>
      </c>
      <c r="V7" s="259">
        <v>0.3798611111111111</v>
      </c>
      <c r="W7" s="247" t="s">
        <v>447</v>
      </c>
      <c r="X7" s="247" t="s">
        <v>465</v>
      </c>
      <c r="Y7" s="255" t="b">
        <v>1</v>
      </c>
      <c r="Z7" s="248">
        <v>5.0</v>
      </c>
      <c r="AA7" s="263">
        <f t="shared" si="1"/>
        <v>2</v>
      </c>
      <c r="AB7" s="261" t="b">
        <f t="shared" si="2"/>
        <v>0</v>
      </c>
      <c r="AC7" s="248">
        <v>3.0</v>
      </c>
      <c r="AD7" s="248">
        <v>1.0</v>
      </c>
      <c r="AE7" s="248">
        <f>IF(W7="Initial",AD7,(IF(AJ7=TRUE,"CORRECT ME",AD7/3)))</f>
        <v>1</v>
      </c>
      <c r="AF7" s="248">
        <v>0.0</v>
      </c>
      <c r="AG7" s="248">
        <v>0.0</v>
      </c>
      <c r="AH7" s="248">
        <v>0.0</v>
      </c>
      <c r="AI7" s="248">
        <v>0.0</v>
      </c>
      <c r="AJ7" s="250" t="b">
        <v>0</v>
      </c>
      <c r="AK7" s="262">
        <f t="shared" si="20"/>
        <v>3</v>
      </c>
      <c r="AL7" s="248">
        <v>1.0</v>
      </c>
      <c r="AM7" s="248">
        <v>1.0</v>
      </c>
      <c r="AN7" s="263" t="str">
        <f>IFNA(VLOOKUP($A7,'Tube Reactions'!$J$2:$K163,2,FALSE),"")</f>
        <v/>
      </c>
      <c r="AO7" s="264" t="str">
        <f t="shared" si="4"/>
        <v>NOT EQUAL</v>
      </c>
      <c r="AP7" s="265" t="str">
        <f t="shared" si="21"/>
        <v>Absent</v>
      </c>
      <c r="AQ7" s="260" t="b">
        <f t="shared" si="6"/>
        <v>1</v>
      </c>
      <c r="AR7" s="266">
        <v>7.0</v>
      </c>
      <c r="AS7" s="267"/>
      <c r="AT7" s="247"/>
      <c r="AU7" s="268" t="s">
        <v>449</v>
      </c>
      <c r="AV7" s="248">
        <v>5.0</v>
      </c>
      <c r="AW7" s="247" t="b">
        <v>1</v>
      </c>
      <c r="AX7" s="270" t="b">
        <f t="shared" si="7"/>
        <v>0</v>
      </c>
      <c r="AY7" s="250">
        <f t="shared" si="8"/>
        <v>2</v>
      </c>
      <c r="AZ7" s="276"/>
      <c r="BA7" s="272" t="b">
        <v>1</v>
      </c>
      <c r="BB7" s="245" t="b">
        <f t="shared" si="9"/>
        <v>1</v>
      </c>
      <c r="BC7" s="260">
        <f t="shared" si="10"/>
        <v>1</v>
      </c>
      <c r="BD7" s="260">
        <f t="shared" si="11"/>
        <v>3</v>
      </c>
      <c r="BE7" s="273" t="b">
        <f t="shared" si="12"/>
        <v>1</v>
      </c>
      <c r="BF7" s="274">
        <f t="shared" si="13"/>
        <v>44529</v>
      </c>
      <c r="BG7" s="275" t="str">
        <f t="shared" si="14"/>
        <v>RUN-FLMP_2021-11-29_RFR-007</v>
      </c>
      <c r="BH7" s="96">
        <f t="shared" si="15"/>
        <v>3</v>
      </c>
      <c r="BI7" s="96">
        <f t="shared" si="16"/>
        <v>3</v>
      </c>
      <c r="BJ7" s="96">
        <f t="shared" si="17"/>
        <v>3</v>
      </c>
      <c r="BK7" s="96">
        <f t="shared" si="18"/>
        <v>1</v>
      </c>
      <c r="BL7" s="10">
        <f>IFNA(IF(VLOOKUP(FLOOR($B7,1),'APS Tubes by Date IMPORT'!$B$2:$J163,1,FALSE)=FLOOR($BL6,1),IFERROR(0/0,""),VLOOKUP(FLOOR($B7,1),'APS Tubes by Date IMPORT'!$B$2:$J163,1,FALSE)),"")</f>
        <v>44529</v>
      </c>
      <c r="BM7" s="96">
        <f>IF(ISBLANK($BL7),IFERROR(0/0,""),VLOOKUP(FLOOR($B7,1),'APS Tubes by Date IMPORT'!$B$2:$J163,2,FALSE))</f>
        <v>2</v>
      </c>
      <c r="BN7" s="138"/>
      <c r="BO7" s="138"/>
      <c r="BP7" s="138"/>
      <c r="BQ7" s="138"/>
      <c r="BR7" s="138"/>
      <c r="BS7" s="138"/>
    </row>
    <row r="8">
      <c r="A8" s="245" t="str">
        <f>CONCATENATE("RUN-",'Process Ref'!$A$1,"_",TEXT(U8,"YYYY-MM-DD"),"_RFR-",TEXT(AR8,"000"),IF(EXACT(W8,"Initial"),"",CONCATENATE("_",W8)))</f>
        <v>RUN-FLMP_2021-11-29_RFR-008_Re-run</v>
      </c>
      <c r="B8" s="285">
        <v>44529.47542534722</v>
      </c>
      <c r="C8" s="247"/>
      <c r="D8" s="247" t="s">
        <v>442</v>
      </c>
      <c r="E8" s="248">
        <v>1.0</v>
      </c>
      <c r="F8" s="247"/>
      <c r="G8" s="249" t="s">
        <v>466</v>
      </c>
      <c r="H8" s="282"/>
      <c r="I8" s="249" t="s">
        <v>467</v>
      </c>
      <c r="J8" s="248">
        <v>1.0</v>
      </c>
      <c r="K8" s="277" t="s">
        <v>468</v>
      </c>
      <c r="L8" s="248"/>
      <c r="M8" s="252"/>
      <c r="N8" s="252"/>
      <c r="O8" s="253"/>
      <c r="P8" s="254" t="b">
        <v>0</v>
      </c>
      <c r="Q8" s="286" t="b">
        <v>0</v>
      </c>
      <c r="R8" s="256"/>
      <c r="S8" s="254" t="b">
        <v>0</v>
      </c>
      <c r="T8" s="287" t="b">
        <v>1</v>
      </c>
      <c r="U8" s="288">
        <v>44529.0</v>
      </c>
      <c r="V8" s="289">
        <v>0.4513888888888889</v>
      </c>
      <c r="W8" s="290" t="s">
        <v>469</v>
      </c>
      <c r="X8" s="291" t="s">
        <v>470</v>
      </c>
      <c r="Y8" s="286" t="b">
        <v>1</v>
      </c>
      <c r="Z8" s="292">
        <v>4.0</v>
      </c>
      <c r="AA8" s="260">
        <f t="shared" si="1"/>
        <v>3</v>
      </c>
      <c r="AB8" s="293" t="b">
        <f t="shared" si="2"/>
        <v>1</v>
      </c>
      <c r="AC8" s="292">
        <v>3.0</v>
      </c>
      <c r="AD8" s="292">
        <v>1.0</v>
      </c>
      <c r="AE8" s="292">
        <v>0.0</v>
      </c>
      <c r="AF8" s="292">
        <v>0.0</v>
      </c>
      <c r="AG8" s="292">
        <v>0.0</v>
      </c>
      <c r="AH8" s="250">
        <f t="shared" ref="AH8:AH9" si="22">IF(W8="Initial",AG8,(IF(AJ8=TRUE,"CORRECT ME",AG8/3)))</f>
        <v>0</v>
      </c>
      <c r="AI8" s="292">
        <v>0.0</v>
      </c>
      <c r="AJ8" s="294" t="b">
        <v>0</v>
      </c>
      <c r="AK8" s="295">
        <f t="shared" si="20"/>
        <v>1</v>
      </c>
      <c r="AL8" s="292">
        <v>1.6</v>
      </c>
      <c r="AM8" s="292">
        <v>0.0</v>
      </c>
      <c r="AN8" s="296" t="str">
        <f>IFNA(VLOOKUP($A8,'Tube Reactions'!$J$2:$K163,2,FALSE),"")</f>
        <v/>
      </c>
      <c r="AO8" s="297" t="str">
        <f t="shared" si="4"/>
        <v/>
      </c>
      <c r="AP8" s="298" t="str">
        <f t="shared" si="21"/>
        <v>Absent</v>
      </c>
      <c r="AQ8" s="260" t="b">
        <f t="shared" si="6"/>
        <v>1</v>
      </c>
      <c r="AR8" s="266">
        <v>8.0</v>
      </c>
      <c r="AS8" s="279" t="s">
        <v>448</v>
      </c>
      <c r="AT8" s="279"/>
      <c r="AU8" s="299" t="s">
        <v>449</v>
      </c>
      <c r="AV8" s="292">
        <v>4.0</v>
      </c>
      <c r="AW8" s="254" t="b">
        <v>0</v>
      </c>
      <c r="AX8" s="270" t="b">
        <f t="shared" si="7"/>
        <v>1</v>
      </c>
      <c r="AY8" s="290">
        <f t="shared" si="8"/>
        <v>1</v>
      </c>
      <c r="AZ8" s="300" t="s">
        <v>450</v>
      </c>
      <c r="BA8" s="272" t="b">
        <v>1</v>
      </c>
      <c r="BB8" s="245" t="b">
        <f t="shared" si="9"/>
        <v>0</v>
      </c>
      <c r="BC8" s="260" t="str">
        <f t="shared" si="10"/>
        <v/>
      </c>
      <c r="BD8" s="260" t="str">
        <f t="shared" si="11"/>
        <v/>
      </c>
      <c r="BE8" s="273" t="b">
        <f t="shared" si="12"/>
        <v>1</v>
      </c>
      <c r="BF8" s="274" t="str">
        <f t="shared" si="13"/>
        <v/>
      </c>
      <c r="BG8" s="275" t="str">
        <f t="shared" si="14"/>
        <v/>
      </c>
      <c r="BH8" s="96" t="str">
        <f t="shared" si="15"/>
        <v/>
      </c>
      <c r="BI8" s="96" t="str">
        <f t="shared" si="16"/>
        <v/>
      </c>
      <c r="BJ8" s="96" t="str">
        <f t="shared" si="17"/>
        <v/>
      </c>
      <c r="BK8" s="96" t="str">
        <f t="shared" si="18"/>
        <v/>
      </c>
      <c r="BL8" s="10" t="str">
        <f>IFNA(IF(VLOOKUP(FLOOR($B8,1),'APS Tubes by Date IMPORT'!$B$2:$J163,1,FALSE)=FLOOR($BL7,1),IFERROR(0/0,""),VLOOKUP(FLOOR($B8,1),'APS Tubes by Date IMPORT'!$B$2:$J163,1,FALSE)),"")</f>
        <v/>
      </c>
      <c r="BM8" s="96" t="str">
        <f>IF(ISBLANK($BL8),IFERROR(0/0,""),VLOOKUP(FLOOR($B8,1),'APS Tubes by Date IMPORT'!$B$2:$J163,2,FALSE))</f>
        <v/>
      </c>
      <c r="BN8" s="138"/>
      <c r="BO8" s="138"/>
      <c r="BP8" s="138"/>
      <c r="BQ8" s="138"/>
      <c r="BR8" s="138"/>
      <c r="BS8" s="138"/>
    </row>
    <row r="9">
      <c r="A9" s="245" t="str">
        <f>CONCATENATE("RUN-",'Process Ref'!$A$1,"_",TEXT(U9,"YYYY-MM-DD"),"_RFR-",TEXT(AR9,"000"),IF(EXACT(W9,"Initial"),"",CONCATENATE("_",W9)))</f>
        <v>RUN-FLMP_2021-12-06_RFR-009</v>
      </c>
      <c r="B9" s="246">
        <v>44536.81916366898</v>
      </c>
      <c r="C9" s="247"/>
      <c r="D9" s="247" t="s">
        <v>442</v>
      </c>
      <c r="E9" s="248">
        <v>4.0</v>
      </c>
      <c r="F9" s="247" t="s">
        <v>471</v>
      </c>
      <c r="G9" s="249" t="s">
        <v>472</v>
      </c>
      <c r="H9" s="283" t="s">
        <v>473</v>
      </c>
      <c r="I9" s="283" t="s">
        <v>474</v>
      </c>
      <c r="J9" s="248"/>
      <c r="K9" s="277" t="s">
        <v>475</v>
      </c>
      <c r="L9" s="248"/>
      <c r="M9" s="252">
        <v>1.8</v>
      </c>
      <c r="N9" s="252"/>
      <c r="O9" s="253" t="s">
        <v>476</v>
      </c>
      <c r="P9" s="254" t="b">
        <v>0</v>
      </c>
      <c r="Q9" s="255" t="b">
        <v>0</v>
      </c>
      <c r="R9" s="256"/>
      <c r="S9" s="254" t="b">
        <v>0</v>
      </c>
      <c r="T9" s="284" t="b">
        <v>1</v>
      </c>
      <c r="U9" s="258">
        <v>44536.0</v>
      </c>
      <c r="V9" s="259">
        <v>0.3958333333333333</v>
      </c>
      <c r="W9" s="247" t="s">
        <v>447</v>
      </c>
      <c r="X9" s="247" t="s">
        <v>477</v>
      </c>
      <c r="Y9" s="255" t="b">
        <v>1</v>
      </c>
      <c r="Z9" s="248">
        <v>6.0</v>
      </c>
      <c r="AA9" s="260">
        <f t="shared" si="1"/>
        <v>2</v>
      </c>
      <c r="AB9" s="261" t="b">
        <f t="shared" si="2"/>
        <v>0</v>
      </c>
      <c r="AC9" s="248">
        <v>4.0</v>
      </c>
      <c r="AD9" s="248">
        <v>1.0</v>
      </c>
      <c r="AE9" s="248">
        <f>IF(W9="Initial",AD9,(IF(AJ9=TRUE,"CORRECT ME",AD9/3)))</f>
        <v>1</v>
      </c>
      <c r="AF9" s="248">
        <v>0.0</v>
      </c>
      <c r="AG9" s="248">
        <v>0.0</v>
      </c>
      <c r="AH9" s="250">
        <f t="shared" si="22"/>
        <v>0</v>
      </c>
      <c r="AI9" s="248">
        <v>0.0</v>
      </c>
      <c r="AJ9" s="248" t="b">
        <v>0</v>
      </c>
      <c r="AK9" s="301">
        <v>4.0</v>
      </c>
      <c r="AL9" s="248">
        <v>1.1</v>
      </c>
      <c r="AM9" s="248">
        <v>1.0</v>
      </c>
      <c r="AN9" s="263" t="str">
        <f>IFNA(VLOOKUP($A9,'Tube Reactions'!$J$2:$K163,2,FALSE),"")</f>
        <v/>
      </c>
      <c r="AO9" s="264" t="str">
        <f t="shared" si="4"/>
        <v>NOT EQUAL</v>
      </c>
      <c r="AP9" s="265" t="s">
        <v>458</v>
      </c>
      <c r="AQ9" s="260" t="b">
        <f t="shared" si="6"/>
        <v>1</v>
      </c>
      <c r="AR9" s="266">
        <v>9.0</v>
      </c>
      <c r="AS9" s="267" t="s">
        <v>476</v>
      </c>
      <c r="AT9" s="247"/>
      <c r="AU9" s="268" t="s">
        <v>478</v>
      </c>
      <c r="AV9" s="248">
        <v>8.0</v>
      </c>
      <c r="AW9" s="247" t="b">
        <v>1</v>
      </c>
      <c r="AX9" s="270" t="b">
        <f t="shared" si="7"/>
        <v>0</v>
      </c>
      <c r="AY9" s="250">
        <f t="shared" si="8"/>
        <v>4</v>
      </c>
      <c r="AZ9" s="271" t="s">
        <v>479</v>
      </c>
      <c r="BA9" s="272" t="b">
        <v>1</v>
      </c>
      <c r="BB9" s="245" t="b">
        <f t="shared" si="9"/>
        <v>1</v>
      </c>
      <c r="BC9" s="260">
        <f t="shared" si="10"/>
        <v>1.1</v>
      </c>
      <c r="BD9" s="260">
        <f t="shared" si="11"/>
        <v>4</v>
      </c>
      <c r="BE9" s="273" t="b">
        <f t="shared" si="12"/>
        <v>1</v>
      </c>
      <c r="BF9" s="274">
        <f t="shared" si="13"/>
        <v>44536</v>
      </c>
      <c r="BG9" s="275" t="str">
        <f t="shared" si="14"/>
        <v>RUN-FLMP_2021-12-06_RFR-009</v>
      </c>
      <c r="BH9" s="96">
        <f t="shared" si="15"/>
        <v>4</v>
      </c>
      <c r="BI9" s="96">
        <f t="shared" si="16"/>
        <v>4</v>
      </c>
      <c r="BJ9" s="96">
        <f t="shared" si="17"/>
        <v>4</v>
      </c>
      <c r="BK9" s="96">
        <f t="shared" si="18"/>
        <v>1.1</v>
      </c>
      <c r="BL9" s="10">
        <f>IFNA(IF(VLOOKUP(FLOOR($B9,1),'APS Tubes by Date IMPORT'!$B$2:$J163,1,FALSE)=FLOOR($BL8,1),IFERROR(0/0,""),VLOOKUP(FLOOR($B9,1),'APS Tubes by Date IMPORT'!$B$2:$J163,1,FALSE)),"")</f>
        <v>44536</v>
      </c>
      <c r="BM9" s="96">
        <f>IF(ISBLANK($BL9),IFERROR(0/0,""),VLOOKUP(FLOOR($B9,1),'APS Tubes by Date IMPORT'!$B$2:$J163,2,FALSE))</f>
        <v>5</v>
      </c>
      <c r="BN9" s="138"/>
      <c r="BO9" s="138"/>
      <c r="BP9" s="138"/>
      <c r="BQ9" s="138"/>
      <c r="BR9" s="138"/>
      <c r="BS9" s="138"/>
    </row>
    <row r="10">
      <c r="A10" s="245" t="str">
        <f>CONCATENATE("RUN-",'Process Ref'!$A$1,"_",TEXT(U10,"YYYY-MM-DD"),"_RFR-",TEXT(AR10,"000"),IF(EXACT(W10,"Initial"),"",CONCATENATE("_",W10)))</f>
        <v>RUN-FLMP_2021-12-06_RFR-010_Re-run</v>
      </c>
      <c r="B10" s="302">
        <v>44536.820147175924</v>
      </c>
      <c r="C10" s="247"/>
      <c r="D10" s="247" t="s">
        <v>442</v>
      </c>
      <c r="E10" s="248">
        <v>1.0</v>
      </c>
      <c r="F10" s="247"/>
      <c r="G10" s="249" t="s">
        <v>480</v>
      </c>
      <c r="H10" s="282"/>
      <c r="I10" s="249" t="s">
        <v>481</v>
      </c>
      <c r="J10" s="248">
        <v>1.0</v>
      </c>
      <c r="K10" s="251" t="s">
        <v>482</v>
      </c>
      <c r="L10" s="248"/>
      <c r="M10" s="303"/>
      <c r="N10" s="303"/>
      <c r="O10" s="304"/>
      <c r="P10" s="254" t="b">
        <v>0</v>
      </c>
      <c r="Q10" s="286" t="b">
        <v>0</v>
      </c>
      <c r="R10" s="256"/>
      <c r="S10" s="254" t="b">
        <v>0</v>
      </c>
      <c r="T10" s="287" t="b">
        <v>1</v>
      </c>
      <c r="U10" s="288">
        <v>44536.0</v>
      </c>
      <c r="V10" s="289">
        <v>0.46875</v>
      </c>
      <c r="W10" s="290" t="s">
        <v>469</v>
      </c>
      <c r="X10" s="291" t="s">
        <v>483</v>
      </c>
      <c r="Y10" s="254" t="b">
        <v>0</v>
      </c>
      <c r="Z10" s="292">
        <v>8.0</v>
      </c>
      <c r="AA10" s="260">
        <f t="shared" si="1"/>
        <v>7</v>
      </c>
      <c r="AB10" s="293" t="b">
        <f t="shared" si="2"/>
        <v>1</v>
      </c>
      <c r="AC10" s="292">
        <v>6.0</v>
      </c>
      <c r="AD10" s="292">
        <v>0.0</v>
      </c>
      <c r="AE10" s="292">
        <v>0.0</v>
      </c>
      <c r="AF10" s="292">
        <v>0.0</v>
      </c>
      <c r="AG10" s="292">
        <v>0.0</v>
      </c>
      <c r="AH10" s="292">
        <v>0.0</v>
      </c>
      <c r="AI10" s="292">
        <v>0.0</v>
      </c>
      <c r="AJ10" s="305" t="b">
        <v>1</v>
      </c>
      <c r="AK10" s="278">
        <v>1.0</v>
      </c>
      <c r="AL10" s="292">
        <v>0.0</v>
      </c>
      <c r="AM10" s="250"/>
      <c r="AN10" s="296" t="str">
        <f>IFNA(VLOOKUP($A10,'Tube Reactions'!$J$2:$K163,2,FALSE),"")</f>
        <v/>
      </c>
      <c r="AO10" s="297" t="str">
        <f t="shared" si="4"/>
        <v/>
      </c>
      <c r="AP10" s="298" t="str">
        <f t="shared" ref="AP10:AP14" si="23">IF(ISTEXT(H10),"", "Absent")</f>
        <v>Absent</v>
      </c>
      <c r="AQ10" s="260" t="b">
        <f t="shared" si="6"/>
        <v>1</v>
      </c>
      <c r="AR10" s="266">
        <v>10.0</v>
      </c>
      <c r="AS10" s="279"/>
      <c r="AT10" s="279"/>
      <c r="AU10" s="306" t="s">
        <v>478</v>
      </c>
      <c r="AV10" s="292">
        <v>8.0</v>
      </c>
      <c r="AW10" s="286" t="b">
        <v>1</v>
      </c>
      <c r="AX10" s="270" t="b">
        <f t="shared" si="7"/>
        <v>1</v>
      </c>
      <c r="AY10" s="254">
        <f t="shared" si="8"/>
        <v>2</v>
      </c>
      <c r="AZ10" s="307"/>
      <c r="BA10" s="272" t="b">
        <v>1</v>
      </c>
      <c r="BB10" s="245" t="b">
        <f t="shared" si="9"/>
        <v>0</v>
      </c>
      <c r="BC10" s="260" t="str">
        <f t="shared" si="10"/>
        <v/>
      </c>
      <c r="BD10" s="260" t="str">
        <f t="shared" si="11"/>
        <v/>
      </c>
      <c r="BE10" s="273" t="b">
        <f t="shared" si="12"/>
        <v>1</v>
      </c>
      <c r="BF10" s="274" t="str">
        <f t="shared" si="13"/>
        <v/>
      </c>
      <c r="BG10" s="275" t="str">
        <f t="shared" si="14"/>
        <v/>
      </c>
      <c r="BH10" s="96" t="str">
        <f t="shared" si="15"/>
        <v/>
      </c>
      <c r="BI10" s="96" t="str">
        <f t="shared" si="16"/>
        <v/>
      </c>
      <c r="BJ10" s="96" t="str">
        <f t="shared" si="17"/>
        <v/>
      </c>
      <c r="BK10" s="96" t="str">
        <f t="shared" si="18"/>
        <v/>
      </c>
      <c r="BL10" s="10" t="str">
        <f>IFNA(IF(VLOOKUP(FLOOR($B10,1),'APS Tubes by Date IMPORT'!$B$2:$J163,1,FALSE)=FLOOR($BL9,1),IFERROR(0/0,""),VLOOKUP(FLOOR($B10,1),'APS Tubes by Date IMPORT'!$B$2:$J163,1,FALSE)),"")</f>
        <v/>
      </c>
      <c r="BM10" s="96" t="str">
        <f>IF(ISBLANK($BL10),IFERROR(0/0,""),VLOOKUP(FLOOR($B10,1),'APS Tubes by Date IMPORT'!$B$2:$J163,2,FALSE))</f>
        <v/>
      </c>
    </row>
    <row r="11">
      <c r="A11" s="245" t="str">
        <f>CONCATENATE("RUN-",'Process Ref'!$A$1,"_",TEXT(U11,"YYYY-MM-DD"),"_RFR-",TEXT(AR11,"000"),IF(EXACT(W11,"Initial"),"",CONCATENATE("_",W11)))</f>
        <v>RUN-FLMP_2021-12-07_RFR-011</v>
      </c>
      <c r="B11" s="246">
        <v>44537.261108935185</v>
      </c>
      <c r="C11" s="247"/>
      <c r="D11" s="247" t="s">
        <v>442</v>
      </c>
      <c r="E11" s="248">
        <v>1.0</v>
      </c>
      <c r="F11" s="247"/>
      <c r="G11" s="249" t="s">
        <v>484</v>
      </c>
      <c r="H11" s="249"/>
      <c r="I11" s="249" t="s">
        <v>485</v>
      </c>
      <c r="J11" s="248"/>
      <c r="K11" s="251"/>
      <c r="L11" s="248"/>
      <c r="M11" s="252"/>
      <c r="N11" s="252"/>
      <c r="O11" s="253"/>
      <c r="P11" s="254" t="b">
        <v>0</v>
      </c>
      <c r="Q11" s="255" t="b">
        <v>0</v>
      </c>
      <c r="R11" s="256"/>
      <c r="S11" s="254" t="b">
        <v>0</v>
      </c>
      <c r="T11" s="257" t="b">
        <v>0</v>
      </c>
      <c r="U11" s="258">
        <v>44537.0</v>
      </c>
      <c r="V11" s="259">
        <v>0.22916666666666666</v>
      </c>
      <c r="W11" s="247" t="s">
        <v>447</v>
      </c>
      <c r="X11" s="247" t="s">
        <v>486</v>
      </c>
      <c r="Y11" s="254" t="b">
        <v>0</v>
      </c>
      <c r="Z11" s="248">
        <v>2.0</v>
      </c>
      <c r="AA11" s="260">
        <f t="shared" si="1"/>
        <v>1</v>
      </c>
      <c r="AB11" s="261" t="b">
        <f t="shared" si="2"/>
        <v>1</v>
      </c>
      <c r="AC11" s="248">
        <v>1.0</v>
      </c>
      <c r="AD11" s="248">
        <v>0.0</v>
      </c>
      <c r="AE11" s="248">
        <v>0.0</v>
      </c>
      <c r="AF11" s="248">
        <v>0.0</v>
      </c>
      <c r="AG11" s="248">
        <v>0.0</v>
      </c>
      <c r="AH11" s="250">
        <f t="shared" ref="AH11:AH17" si="24">IF(W11="Initial",AG11,(IF(AJ11=TRUE,"CORRECT ME",AG11/3)))</f>
        <v>0</v>
      </c>
      <c r="AI11" s="248">
        <v>0.0</v>
      </c>
      <c r="AJ11" s="250" t="b">
        <v>0</v>
      </c>
      <c r="AK11" s="262">
        <f t="shared" ref="AK11:AK18" si="25">IF(W11="Initial",AC11,IF(AJ11=TRUE,"CORRECT ME",AC11/3))</f>
        <v>1</v>
      </c>
      <c r="AL11" s="248">
        <v>0.0</v>
      </c>
      <c r="AM11" s="248">
        <v>0.0</v>
      </c>
      <c r="AN11" s="263" t="str">
        <f>IFNA(VLOOKUP($A11,'Tube Reactions'!$J$2:$K163,2,FALSE),"")</f>
        <v/>
      </c>
      <c r="AO11" s="264" t="str">
        <f t="shared" si="4"/>
        <v/>
      </c>
      <c r="AP11" s="265" t="str">
        <f t="shared" si="23"/>
        <v>Absent</v>
      </c>
      <c r="AQ11" s="260" t="b">
        <f t="shared" si="6"/>
        <v>1</v>
      </c>
      <c r="AR11" s="266">
        <v>11.0</v>
      </c>
      <c r="AS11" s="267" t="s">
        <v>448</v>
      </c>
      <c r="AT11" s="247"/>
      <c r="AU11" s="268" t="s">
        <v>449</v>
      </c>
      <c r="AV11" s="269">
        <v>2.0</v>
      </c>
      <c r="AW11" s="248" t="b">
        <v>1</v>
      </c>
      <c r="AX11" s="270" t="b">
        <f t="shared" si="7"/>
        <v>1</v>
      </c>
      <c r="AY11" s="250">
        <f t="shared" si="8"/>
        <v>1</v>
      </c>
      <c r="AZ11" s="271" t="s">
        <v>450</v>
      </c>
      <c r="BA11" s="272" t="b">
        <v>1</v>
      </c>
      <c r="BB11" s="245" t="b">
        <f t="shared" si="9"/>
        <v>1</v>
      </c>
      <c r="BC11" s="260" t="b">
        <f t="shared" si="10"/>
        <v>1</v>
      </c>
      <c r="BD11" s="260">
        <f t="shared" si="11"/>
        <v>1</v>
      </c>
      <c r="BE11" s="273" t="b">
        <f t="shared" si="12"/>
        <v>1</v>
      </c>
      <c r="BF11" s="274">
        <f t="shared" si="13"/>
        <v>44537</v>
      </c>
      <c r="BG11" s="275" t="str">
        <f t="shared" si="14"/>
        <v>RUN-FLMP_2021-12-07_RFR-011</v>
      </c>
      <c r="BH11" s="96">
        <f t="shared" si="15"/>
        <v>1</v>
      </c>
      <c r="BI11" s="96">
        <f t="shared" si="16"/>
        <v>1</v>
      </c>
      <c r="BJ11" s="96">
        <f t="shared" si="17"/>
        <v>1</v>
      </c>
      <c r="BK11" s="96">
        <f t="shared" si="18"/>
        <v>0</v>
      </c>
      <c r="BL11" s="10">
        <f>IFNA(IF(VLOOKUP(FLOOR($B11,1),'APS Tubes by Date IMPORT'!$B$2:$J163,1,FALSE)=FLOOR($BL10,1),IFERROR(0/0,""),VLOOKUP(FLOOR($B11,1),'APS Tubes by Date IMPORT'!$B$2:$J163,1,FALSE)),"")</f>
        <v>44537</v>
      </c>
      <c r="BM11" s="96">
        <f>IF(ISBLANK($BL11),IFERROR(0/0,""),VLOOKUP(FLOOR($B11,1),'APS Tubes by Date IMPORT'!$B$2:$J163,2,FALSE))</f>
        <v>4</v>
      </c>
    </row>
    <row r="12">
      <c r="A12" s="245" t="str">
        <f>CONCATENATE("RUN-",'Process Ref'!$A$1,"_",TEXT(U12,"YYYY-MM-DD"),"_RFR-",TEXT(AR12,"000"),IF(EXACT(W12,"Initial"),"",CONCATENATE("_",W12)))</f>
        <v>RUN-FLMP_2021-12-09_RFR-012</v>
      </c>
      <c r="B12" s="246">
        <v>44539.418287974535</v>
      </c>
      <c r="C12" s="247"/>
      <c r="D12" s="247" t="s">
        <v>442</v>
      </c>
      <c r="E12" s="248">
        <v>2.0</v>
      </c>
      <c r="F12" s="247" t="s">
        <v>487</v>
      </c>
      <c r="G12" s="249" t="s">
        <v>488</v>
      </c>
      <c r="H12" s="249"/>
      <c r="I12" s="249" t="s">
        <v>489</v>
      </c>
      <c r="J12" s="248"/>
      <c r="K12" s="251"/>
      <c r="L12" s="248"/>
      <c r="M12" s="252"/>
      <c r="N12" s="252"/>
      <c r="O12" s="253"/>
      <c r="P12" s="254" t="b">
        <v>0</v>
      </c>
      <c r="Q12" s="255" t="b">
        <v>0</v>
      </c>
      <c r="R12" s="256"/>
      <c r="S12" s="254" t="b">
        <v>0</v>
      </c>
      <c r="T12" s="257" t="b">
        <v>0</v>
      </c>
      <c r="U12" s="258">
        <v>44539.0</v>
      </c>
      <c r="V12" s="259">
        <v>0.375</v>
      </c>
      <c r="W12" s="247" t="s">
        <v>447</v>
      </c>
      <c r="X12" s="247" t="s">
        <v>490</v>
      </c>
      <c r="Y12" s="254" t="b">
        <v>0</v>
      </c>
      <c r="Z12" s="248">
        <v>4.0</v>
      </c>
      <c r="AA12" s="260">
        <f t="shared" si="1"/>
        <v>2</v>
      </c>
      <c r="AB12" s="261" t="b">
        <f t="shared" si="2"/>
        <v>0</v>
      </c>
      <c r="AC12" s="248">
        <v>2.0</v>
      </c>
      <c r="AD12" s="248">
        <v>0.0</v>
      </c>
      <c r="AE12" s="248">
        <f t="shared" ref="AE12:AE16" si="26">IF(W12="Initial",AD12,(IF(AJ12=TRUE,"CORRECT ME",AD12/3)))</f>
        <v>0</v>
      </c>
      <c r="AF12" s="248">
        <v>0.0</v>
      </c>
      <c r="AG12" s="248">
        <v>0.0</v>
      </c>
      <c r="AH12" s="250">
        <f t="shared" si="24"/>
        <v>0</v>
      </c>
      <c r="AI12" s="248">
        <v>0.0</v>
      </c>
      <c r="AJ12" s="250" t="b">
        <v>0</v>
      </c>
      <c r="AK12" s="262">
        <f t="shared" si="25"/>
        <v>2</v>
      </c>
      <c r="AL12" s="248">
        <v>0.0</v>
      </c>
      <c r="AM12" s="248">
        <v>0.0</v>
      </c>
      <c r="AN12" s="263" t="str">
        <f>IFNA(VLOOKUP($A12,'Tube Reactions'!$J$2:$K163,2,FALSE),"")</f>
        <v/>
      </c>
      <c r="AO12" s="264" t="str">
        <f t="shared" si="4"/>
        <v/>
      </c>
      <c r="AP12" s="265" t="str">
        <f t="shared" si="23"/>
        <v>Absent</v>
      </c>
      <c r="AQ12" s="260" t="b">
        <f t="shared" si="6"/>
        <v>1</v>
      </c>
      <c r="AR12" s="266">
        <v>12.0</v>
      </c>
      <c r="AS12" s="267"/>
      <c r="AT12" s="247"/>
      <c r="AU12" s="268" t="s">
        <v>449</v>
      </c>
      <c r="AV12" s="269">
        <v>4.0</v>
      </c>
      <c r="AW12" s="248" t="b">
        <v>1</v>
      </c>
      <c r="AX12" s="270" t="b">
        <f t="shared" si="7"/>
        <v>1</v>
      </c>
      <c r="AY12" s="250">
        <f t="shared" si="8"/>
        <v>2</v>
      </c>
      <c r="AZ12" s="276"/>
      <c r="BA12" s="272" t="b">
        <v>1</v>
      </c>
      <c r="BB12" s="245" t="b">
        <f t="shared" si="9"/>
        <v>1</v>
      </c>
      <c r="BC12" s="260" t="b">
        <f t="shared" si="10"/>
        <v>1</v>
      </c>
      <c r="BD12" s="260">
        <f t="shared" si="11"/>
        <v>2</v>
      </c>
      <c r="BE12" s="273" t="b">
        <f t="shared" si="12"/>
        <v>1</v>
      </c>
      <c r="BF12" s="274">
        <f t="shared" si="13"/>
        <v>44539</v>
      </c>
      <c r="BG12" s="275" t="str">
        <f t="shared" si="14"/>
        <v>RUN-FLMP_2021-12-09_RFR-012</v>
      </c>
      <c r="BH12" s="96">
        <f t="shared" si="15"/>
        <v>2</v>
      </c>
      <c r="BI12" s="96">
        <f t="shared" si="16"/>
        <v>2</v>
      </c>
      <c r="BJ12" s="96">
        <f t="shared" si="17"/>
        <v>2</v>
      </c>
      <c r="BK12" s="96">
        <f t="shared" si="18"/>
        <v>0</v>
      </c>
      <c r="BL12" s="10">
        <f>IFNA(IF(VLOOKUP(FLOOR($B12,1),'APS Tubes by Date IMPORT'!$B$2:$J163,1,FALSE)=FLOOR($BL11,1),IFERROR(0/0,""),VLOOKUP(FLOOR($B12,1),'APS Tubes by Date IMPORT'!$B$2:$J163,1,FALSE)),"")</f>
        <v>44539</v>
      </c>
      <c r="BM12" s="96">
        <f>IF(ISBLANK($BL12),IFERROR(0/0,""),VLOOKUP(FLOOR($B12,1),'APS Tubes by Date IMPORT'!$B$2:$J163,2,FALSE))</f>
        <v>2</v>
      </c>
    </row>
    <row r="13">
      <c r="A13" s="245" t="str">
        <f>CONCATENATE("RUN-",'Process Ref'!$A$1,"_",TEXT(U13,"YYYY-MM-DD"),"_RFR-",TEXT(AR13,"000"),IF(EXACT(W13,"Initial"),"",CONCATENATE("_",W13)))</f>
        <v>RUN-FLMP_2021-12-10_RFR-013</v>
      </c>
      <c r="B13" s="246">
        <v>44540.487346678245</v>
      </c>
      <c r="C13" s="247"/>
      <c r="D13" s="247" t="s">
        <v>442</v>
      </c>
      <c r="E13" s="248">
        <v>6.0</v>
      </c>
      <c r="F13" s="247" t="s">
        <v>491</v>
      </c>
      <c r="G13" s="249" t="s">
        <v>492</v>
      </c>
      <c r="H13" s="249"/>
      <c r="I13" s="249" t="s">
        <v>493</v>
      </c>
      <c r="J13" s="248"/>
      <c r="K13" s="251" t="s">
        <v>494</v>
      </c>
      <c r="L13" s="248"/>
      <c r="M13" s="252">
        <v>1.2</v>
      </c>
      <c r="N13" s="252"/>
      <c r="O13" s="253"/>
      <c r="P13" s="254" t="b">
        <v>0</v>
      </c>
      <c r="Q13" s="255" t="b">
        <v>0</v>
      </c>
      <c r="R13" s="256"/>
      <c r="S13" s="254" t="b">
        <v>0</v>
      </c>
      <c r="T13" s="284" t="b">
        <v>1</v>
      </c>
      <c r="U13" s="258">
        <v>44540.0</v>
      </c>
      <c r="V13" s="259">
        <v>0.3958333333333333</v>
      </c>
      <c r="W13" s="247" t="s">
        <v>447</v>
      </c>
      <c r="X13" s="247" t="s">
        <v>495</v>
      </c>
      <c r="Y13" s="254" t="b">
        <v>0</v>
      </c>
      <c r="Z13" s="250"/>
      <c r="AA13" s="260">
        <f t="shared" si="1"/>
        <v>-6</v>
      </c>
      <c r="AB13" s="261" t="b">
        <f t="shared" si="2"/>
        <v>1</v>
      </c>
      <c r="AC13" s="248">
        <v>6.0</v>
      </c>
      <c r="AD13" s="248">
        <v>1.0</v>
      </c>
      <c r="AE13" s="248">
        <f t="shared" si="26"/>
        <v>1</v>
      </c>
      <c r="AF13" s="248">
        <v>0.0</v>
      </c>
      <c r="AG13" s="248">
        <v>0.0</v>
      </c>
      <c r="AH13" s="250">
        <f t="shared" si="24"/>
        <v>0</v>
      </c>
      <c r="AI13" s="248">
        <v>0.0</v>
      </c>
      <c r="AJ13" s="250" t="b">
        <v>0</v>
      </c>
      <c r="AK13" s="262">
        <f t="shared" si="25"/>
        <v>6</v>
      </c>
      <c r="AL13" s="248">
        <v>1.0</v>
      </c>
      <c r="AM13" s="248">
        <v>1.0</v>
      </c>
      <c r="AN13" s="263" t="str">
        <f>IFNA(VLOOKUP($A13,'Tube Reactions'!$J$2:$K163,2,FALSE),"")</f>
        <v/>
      </c>
      <c r="AO13" s="264" t="str">
        <f t="shared" si="4"/>
        <v>NOT EQUAL</v>
      </c>
      <c r="AP13" s="265" t="str">
        <f t="shared" si="23"/>
        <v>Absent</v>
      </c>
      <c r="AQ13" s="260" t="b">
        <f t="shared" si="6"/>
        <v>1</v>
      </c>
      <c r="AR13" s="266">
        <v>13.0</v>
      </c>
      <c r="AS13" s="279" t="s">
        <v>496</v>
      </c>
      <c r="AT13" s="247"/>
      <c r="AU13" s="268" t="s">
        <v>449</v>
      </c>
      <c r="AV13" s="269">
        <v>8.0</v>
      </c>
      <c r="AW13" s="250" t="b">
        <v>0</v>
      </c>
      <c r="AX13" s="270" t="b">
        <f t="shared" si="7"/>
        <v>1</v>
      </c>
      <c r="AY13" s="248">
        <f t="shared" si="8"/>
        <v>2</v>
      </c>
      <c r="AZ13" s="271"/>
      <c r="BA13" s="272" t="b">
        <v>1</v>
      </c>
      <c r="BB13" s="245" t="b">
        <f t="shared" si="9"/>
        <v>1</v>
      </c>
      <c r="BC13" s="260">
        <f t="shared" si="10"/>
        <v>1</v>
      </c>
      <c r="BD13" s="260">
        <f t="shared" si="11"/>
        <v>6</v>
      </c>
      <c r="BE13" s="273" t="b">
        <f t="shared" si="12"/>
        <v>1</v>
      </c>
      <c r="BF13" s="274">
        <f t="shared" si="13"/>
        <v>44540</v>
      </c>
      <c r="BG13" s="275" t="str">
        <f t="shared" si="14"/>
        <v>RUN-FLMP_2021-12-10_RFR-013</v>
      </c>
      <c r="BH13" s="96">
        <f t="shared" si="15"/>
        <v>6</v>
      </c>
      <c r="BI13" s="96">
        <f t="shared" si="16"/>
        <v>6</v>
      </c>
      <c r="BJ13" s="96">
        <f t="shared" si="17"/>
        <v>6</v>
      </c>
      <c r="BK13" s="96">
        <f t="shared" si="18"/>
        <v>1</v>
      </c>
      <c r="BL13" s="10">
        <f>IFNA(IF(VLOOKUP(FLOOR($B13,1),'APS Tubes by Date IMPORT'!$B$2:$J163,1,FALSE)=FLOOR($BL12,1),IFERROR(0/0,""),VLOOKUP(FLOOR($B13,1),'APS Tubes by Date IMPORT'!$B$2:$J163,1,FALSE)),"")</f>
        <v>44540</v>
      </c>
      <c r="BM13" s="96">
        <f>IF(ISBLANK($BL13),IFERROR(0/0,""),VLOOKUP(FLOOR($B13,1),'APS Tubes by Date IMPORT'!$B$2:$J163,2,FALSE))</f>
        <v>3</v>
      </c>
    </row>
    <row r="14">
      <c r="A14" s="245" t="str">
        <f>CONCATENATE("RUN-",'Process Ref'!$A$1,"_",TEXT(U14,"YYYY-MM-DD"),"_RFR-",TEXT(AR14,"000"),IF(EXACT(W14,"Initial"),"",CONCATENATE("_",W14)))</f>
        <v>RUN-FLMP_2021-12-10_RFR-014_Re-run</v>
      </c>
      <c r="B14" s="285">
        <v>44540.487346678245</v>
      </c>
      <c r="C14" s="247"/>
      <c r="D14" s="247" t="s">
        <v>442</v>
      </c>
      <c r="E14" s="248"/>
      <c r="F14" s="247" t="s">
        <v>491</v>
      </c>
      <c r="G14" s="249" t="s">
        <v>492</v>
      </c>
      <c r="H14" s="282"/>
      <c r="I14" s="308" t="s">
        <v>497</v>
      </c>
      <c r="J14" s="248"/>
      <c r="K14" s="251" t="s">
        <v>494</v>
      </c>
      <c r="L14" s="248"/>
      <c r="M14" s="303">
        <v>1.9</v>
      </c>
      <c r="N14" s="309"/>
      <c r="O14" s="253"/>
      <c r="P14" s="254" t="b">
        <v>0</v>
      </c>
      <c r="Q14" s="286" t="b">
        <v>0</v>
      </c>
      <c r="R14" s="256"/>
      <c r="S14" s="286" t="b">
        <v>1</v>
      </c>
      <c r="T14" s="287" t="b">
        <v>1</v>
      </c>
      <c r="U14" s="288">
        <v>44540.0</v>
      </c>
      <c r="V14" s="289">
        <v>0.4375</v>
      </c>
      <c r="W14" s="290" t="s">
        <v>469</v>
      </c>
      <c r="X14" s="291"/>
      <c r="Y14" s="254" t="b">
        <v>0</v>
      </c>
      <c r="Z14" s="250"/>
      <c r="AA14" s="260">
        <f t="shared" si="1"/>
        <v>0</v>
      </c>
      <c r="AB14" s="293" t="b">
        <f t="shared" si="2"/>
        <v>1</v>
      </c>
      <c r="AC14" s="292">
        <v>3.0</v>
      </c>
      <c r="AD14" s="292">
        <v>0.0</v>
      </c>
      <c r="AE14" s="248">
        <f t="shared" si="26"/>
        <v>0</v>
      </c>
      <c r="AF14" s="292">
        <v>0.0</v>
      </c>
      <c r="AG14" s="292">
        <v>0.0</v>
      </c>
      <c r="AH14" s="250">
        <f t="shared" si="24"/>
        <v>0</v>
      </c>
      <c r="AI14" s="292">
        <v>0.0</v>
      </c>
      <c r="AJ14" s="294" t="b">
        <v>0</v>
      </c>
      <c r="AK14" s="295">
        <f t="shared" si="25"/>
        <v>1</v>
      </c>
      <c r="AL14" s="292">
        <v>0.0</v>
      </c>
      <c r="AM14" s="292">
        <v>0.0</v>
      </c>
      <c r="AN14" s="296" t="str">
        <f>IFNA(VLOOKUP($A14,'Tube Reactions'!$J$2:$K163,2,FALSE),"")</f>
        <v/>
      </c>
      <c r="AO14" s="297" t="str">
        <f t="shared" si="4"/>
        <v/>
      </c>
      <c r="AP14" s="298" t="str">
        <f t="shared" si="23"/>
        <v>Absent</v>
      </c>
      <c r="AQ14" s="260" t="b">
        <f t="shared" si="6"/>
        <v>1</v>
      </c>
      <c r="AR14" s="266">
        <v>14.0</v>
      </c>
      <c r="AS14" s="279"/>
      <c r="AT14" s="279"/>
      <c r="AU14" s="299" t="s">
        <v>449</v>
      </c>
      <c r="AV14" s="250"/>
      <c r="AW14" s="254" t="b">
        <v>0</v>
      </c>
      <c r="AX14" s="270" t="b">
        <f t="shared" si="7"/>
        <v>0</v>
      </c>
      <c r="AY14" s="254"/>
      <c r="AZ14" s="300" t="s">
        <v>497</v>
      </c>
      <c r="BA14" s="272" t="b">
        <v>1</v>
      </c>
      <c r="BB14" s="245" t="b">
        <f t="shared" si="9"/>
        <v>0</v>
      </c>
      <c r="BC14" s="260" t="str">
        <f t="shared" si="10"/>
        <v/>
      </c>
      <c r="BD14" s="260" t="str">
        <f t="shared" si="11"/>
        <v/>
      </c>
      <c r="BE14" s="273" t="b">
        <f t="shared" si="12"/>
        <v>1</v>
      </c>
      <c r="BF14" s="274" t="str">
        <f t="shared" si="13"/>
        <v/>
      </c>
      <c r="BG14" s="275" t="str">
        <f t="shared" si="14"/>
        <v/>
      </c>
      <c r="BH14" s="96" t="str">
        <f t="shared" si="15"/>
        <v/>
      </c>
      <c r="BI14" s="96" t="str">
        <f t="shared" si="16"/>
        <v/>
      </c>
      <c r="BJ14" s="96" t="str">
        <f t="shared" si="17"/>
        <v/>
      </c>
      <c r="BK14" s="96" t="str">
        <f t="shared" si="18"/>
        <v/>
      </c>
      <c r="BL14" s="10" t="str">
        <f>IFNA(IF(VLOOKUP(FLOOR($B14,1),'APS Tubes by Date IMPORT'!$B$2:$J163,1,FALSE)=FLOOR($BL13,1),IFERROR(0/0,""),VLOOKUP(FLOOR($B14,1),'APS Tubes by Date IMPORT'!$B$2:$J163,1,FALSE)),"")</f>
        <v/>
      </c>
      <c r="BM14" s="96" t="str">
        <f>IF(ISBLANK($BL14),IFERROR(0/0,""),VLOOKUP(FLOOR($B14,1),'APS Tubes by Date IMPORT'!$B$2:$J163,2,FALSE))</f>
        <v/>
      </c>
    </row>
    <row r="15">
      <c r="A15" s="245" t="str">
        <f>CONCATENATE("RUN-",'Process Ref'!$A$1,"_",TEXT(U15,"YYYY-MM-DD"),"_RFR-",TEXT(AR15,"000"),IF(EXACT(W15,"Initial"),"",CONCATENATE("_",W15)))</f>
        <v>RUN-FLMP_2021-12-11_RFR-015</v>
      </c>
      <c r="B15" s="246">
        <v>44541.53329850694</v>
      </c>
      <c r="C15" s="247"/>
      <c r="D15" s="247" t="s">
        <v>442</v>
      </c>
      <c r="E15" s="248">
        <v>2.0</v>
      </c>
      <c r="F15" s="247" t="s">
        <v>498</v>
      </c>
      <c r="G15" s="249" t="s">
        <v>499</v>
      </c>
      <c r="H15" s="283" t="s">
        <v>500</v>
      </c>
      <c r="I15" s="283" t="s">
        <v>501</v>
      </c>
      <c r="J15" s="248"/>
      <c r="K15" s="277" t="s">
        <v>502</v>
      </c>
      <c r="L15" s="248"/>
      <c r="M15" s="252"/>
      <c r="N15" s="252"/>
      <c r="O15" s="253"/>
      <c r="P15" s="254" t="b">
        <v>0</v>
      </c>
      <c r="Q15" s="255" t="b">
        <v>0</v>
      </c>
      <c r="R15" s="256"/>
      <c r="S15" s="254" t="b">
        <v>0</v>
      </c>
      <c r="T15" s="257" t="b">
        <v>0</v>
      </c>
      <c r="U15" s="258">
        <v>44541.0</v>
      </c>
      <c r="V15" s="259">
        <v>0.4909722222222222</v>
      </c>
      <c r="W15" s="247" t="s">
        <v>447</v>
      </c>
      <c r="X15" s="256"/>
      <c r="Y15" s="254" t="b">
        <v>0</v>
      </c>
      <c r="Z15" s="248">
        <v>4.0</v>
      </c>
      <c r="AA15" s="260">
        <f t="shared" si="1"/>
        <v>2</v>
      </c>
      <c r="AB15" s="261" t="b">
        <f t="shared" si="2"/>
        <v>0</v>
      </c>
      <c r="AC15" s="248">
        <v>2.0</v>
      </c>
      <c r="AD15" s="248">
        <v>0.0</v>
      </c>
      <c r="AE15" s="248">
        <f t="shared" si="26"/>
        <v>0</v>
      </c>
      <c r="AF15" s="248">
        <v>0.0</v>
      </c>
      <c r="AG15" s="248">
        <v>0.0</v>
      </c>
      <c r="AH15" s="250">
        <f t="shared" si="24"/>
        <v>0</v>
      </c>
      <c r="AI15" s="248">
        <v>0.0</v>
      </c>
      <c r="AJ15" s="250" t="b">
        <v>0</v>
      </c>
      <c r="AK15" s="262">
        <f t="shared" si="25"/>
        <v>2</v>
      </c>
      <c r="AL15" s="248">
        <v>0.0</v>
      </c>
      <c r="AM15" s="248">
        <v>0.0</v>
      </c>
      <c r="AN15" s="263" t="str">
        <f>IFNA(VLOOKUP($A15,'Tube Reactions'!$J$2:$K163,2,FALSE),"")</f>
        <v/>
      </c>
      <c r="AO15" s="264" t="str">
        <f t="shared" si="4"/>
        <v/>
      </c>
      <c r="AP15" s="265" t="s">
        <v>458</v>
      </c>
      <c r="AQ15" s="260" t="b">
        <f t="shared" si="6"/>
        <v>1</v>
      </c>
      <c r="AR15" s="266">
        <v>15.0</v>
      </c>
      <c r="AS15" s="267"/>
      <c r="AT15" s="247"/>
      <c r="AU15" s="268" t="s">
        <v>449</v>
      </c>
      <c r="AV15" s="269">
        <v>4.0</v>
      </c>
      <c r="AW15" s="310" t="b">
        <v>1</v>
      </c>
      <c r="AX15" s="270" t="b">
        <f t="shared" si="7"/>
        <v>1</v>
      </c>
      <c r="AY15" s="250">
        <f t="shared" ref="AY15:AY36" si="27">AV15-AC15</f>
        <v>2</v>
      </c>
      <c r="AZ15" s="276"/>
      <c r="BA15" s="272" t="b">
        <v>1</v>
      </c>
      <c r="BB15" s="245" t="b">
        <f t="shared" si="9"/>
        <v>1</v>
      </c>
      <c r="BC15" s="260" t="b">
        <f t="shared" si="10"/>
        <v>1</v>
      </c>
      <c r="BD15" s="260">
        <f t="shared" si="11"/>
        <v>2</v>
      </c>
      <c r="BE15" s="273" t="b">
        <f t="shared" si="12"/>
        <v>1</v>
      </c>
      <c r="BF15" s="274">
        <f t="shared" si="13"/>
        <v>44541</v>
      </c>
      <c r="BG15" s="275" t="str">
        <f t="shared" si="14"/>
        <v>RUN-FLMP_2021-12-11_RFR-015</v>
      </c>
      <c r="BH15" s="96">
        <f t="shared" si="15"/>
        <v>2</v>
      </c>
      <c r="BI15" s="96">
        <f t="shared" si="16"/>
        <v>2</v>
      </c>
      <c r="BJ15" s="96">
        <f t="shared" si="17"/>
        <v>2</v>
      </c>
      <c r="BK15" s="96">
        <f t="shared" si="18"/>
        <v>0</v>
      </c>
      <c r="BL15" s="10">
        <f>IFNA(IF(VLOOKUP(FLOOR($B15,1),'APS Tubes by Date IMPORT'!$B$2:$J163,1,FALSE)=FLOOR($BL14,1),IFERROR(0/0,""),VLOOKUP(FLOOR($B15,1),'APS Tubes by Date IMPORT'!$B$2:$J163,1,FALSE)),"")</f>
        <v>44541</v>
      </c>
      <c r="BM15" s="96">
        <f>IF(ISBLANK($BL15),IFERROR(0/0,""),VLOOKUP(FLOOR($B15,1),'APS Tubes by Date IMPORT'!$B$2:$J163,2,FALSE))</f>
        <v>2</v>
      </c>
    </row>
    <row r="16">
      <c r="A16" s="245" t="str">
        <f>CONCATENATE("RUN-",'Process Ref'!$A$1,"_",TEXT(U16,"YYYY-MM-DD"),"_RFR-",TEXT(AR16,"000"),IF(EXACT(W16,"Initial"),"",CONCATENATE("_",W16)))</f>
        <v>RUN-FLMP_2021-12-13_RFR-016</v>
      </c>
      <c r="B16" s="246">
        <v>44543.433775937505</v>
      </c>
      <c r="C16" s="247"/>
      <c r="D16" s="247" t="s">
        <v>442</v>
      </c>
      <c r="E16" s="248">
        <v>3.0</v>
      </c>
      <c r="F16" s="247" t="s">
        <v>503</v>
      </c>
      <c r="G16" s="249" t="s">
        <v>504</v>
      </c>
      <c r="H16" s="249"/>
      <c r="I16" s="249" t="s">
        <v>505</v>
      </c>
      <c r="J16" s="250"/>
      <c r="K16" s="277"/>
      <c r="L16" s="248"/>
      <c r="M16" s="252"/>
      <c r="N16" s="252"/>
      <c r="O16" s="253"/>
      <c r="P16" s="254" t="b">
        <v>0</v>
      </c>
      <c r="Q16" s="255" t="b">
        <v>0</v>
      </c>
      <c r="R16" s="256"/>
      <c r="S16" s="254" t="b">
        <v>0</v>
      </c>
      <c r="T16" s="284" t="b">
        <v>0</v>
      </c>
      <c r="U16" s="258">
        <v>44543.0</v>
      </c>
      <c r="V16" s="259">
        <v>0.3888888888888889</v>
      </c>
      <c r="W16" s="247" t="s">
        <v>447</v>
      </c>
      <c r="X16" s="256"/>
      <c r="Y16" s="254" t="b">
        <v>0</v>
      </c>
      <c r="Z16" s="248">
        <v>5.0</v>
      </c>
      <c r="AA16" s="260">
        <f t="shared" si="1"/>
        <v>2</v>
      </c>
      <c r="AB16" s="261" t="b">
        <f t="shared" si="2"/>
        <v>0</v>
      </c>
      <c r="AC16" s="248">
        <v>3.0</v>
      </c>
      <c r="AD16" s="248">
        <v>0.0</v>
      </c>
      <c r="AE16" s="248">
        <f t="shared" si="26"/>
        <v>0</v>
      </c>
      <c r="AF16" s="248">
        <v>0.0</v>
      </c>
      <c r="AG16" s="248">
        <v>0.0</v>
      </c>
      <c r="AH16" s="250">
        <f t="shared" si="24"/>
        <v>0</v>
      </c>
      <c r="AI16" s="248">
        <v>0.0</v>
      </c>
      <c r="AJ16" s="250" t="b">
        <v>0</v>
      </c>
      <c r="AK16" s="262">
        <f t="shared" si="25"/>
        <v>3</v>
      </c>
      <c r="AL16" s="248">
        <v>0.0</v>
      </c>
      <c r="AM16" s="248">
        <v>0.0</v>
      </c>
      <c r="AN16" s="263" t="str">
        <f>IFNA(VLOOKUP($A16,'Tube Reactions'!$J$2:$K163,2,FALSE),"")</f>
        <v/>
      </c>
      <c r="AO16" s="264" t="str">
        <f t="shared" si="4"/>
        <v/>
      </c>
      <c r="AP16" s="265" t="str">
        <f t="shared" ref="AP16:AP39" si="28">IF(ISTEXT(H16),"", "Absent")</f>
        <v>Absent</v>
      </c>
      <c r="AQ16" s="260" t="b">
        <f t="shared" si="6"/>
        <v>1</v>
      </c>
      <c r="AR16" s="266">
        <v>16.0</v>
      </c>
      <c r="AS16" s="267"/>
      <c r="AT16" s="247"/>
      <c r="AU16" s="268" t="s">
        <v>449</v>
      </c>
      <c r="AV16" s="269">
        <v>5.0</v>
      </c>
      <c r="AW16" s="248" t="b">
        <v>1</v>
      </c>
      <c r="AX16" s="270" t="b">
        <f t="shared" si="7"/>
        <v>1</v>
      </c>
      <c r="AY16" s="250">
        <f t="shared" si="27"/>
        <v>2</v>
      </c>
      <c r="AZ16" s="276"/>
      <c r="BA16" s="272" t="b">
        <v>1</v>
      </c>
      <c r="BB16" s="245" t="b">
        <f t="shared" si="9"/>
        <v>1</v>
      </c>
      <c r="BC16" s="260" t="b">
        <f t="shared" si="10"/>
        <v>1</v>
      </c>
      <c r="BD16" s="260">
        <f t="shared" si="11"/>
        <v>3</v>
      </c>
      <c r="BE16" s="273" t="b">
        <f t="shared" si="12"/>
        <v>1</v>
      </c>
      <c r="BF16" s="274">
        <f t="shared" si="13"/>
        <v>44543</v>
      </c>
      <c r="BG16" s="275" t="str">
        <f t="shared" si="14"/>
        <v>RUN-FLMP_2021-12-13_RFR-016</v>
      </c>
      <c r="BH16" s="96">
        <f t="shared" si="15"/>
        <v>3</v>
      </c>
      <c r="BI16" s="96">
        <f t="shared" si="16"/>
        <v>3</v>
      </c>
      <c r="BJ16" s="96">
        <f t="shared" si="17"/>
        <v>3</v>
      </c>
      <c r="BK16" s="96">
        <f t="shared" si="18"/>
        <v>0</v>
      </c>
      <c r="BL16" s="10">
        <f>IFNA(IF(VLOOKUP(FLOOR($B16,1),'APS Tubes by Date IMPORT'!$B$2:$J163,1,FALSE)=FLOOR($BL15,1),IFERROR(0/0,""),VLOOKUP(FLOOR($B16,1),'APS Tubes by Date IMPORT'!$B$2:$J163,1,FALSE)),"")</f>
        <v>44543</v>
      </c>
      <c r="BM16" s="96">
        <f>IF(ISBLANK($BL16),IFERROR(0/0,""),VLOOKUP(FLOOR($B16,1),'APS Tubes by Date IMPORT'!$B$2:$J163,2,FALSE))</f>
        <v>3</v>
      </c>
    </row>
    <row r="17">
      <c r="A17" s="245" t="str">
        <f>CONCATENATE("RUN-",'Process Ref'!$A$1,"_",TEXT(U17,"YYYY-MM-DD"),"_RFR-",TEXT(AR17,"000"),IF(EXACT(W17,"Initial"),"",CONCATENATE("_",W17)))</f>
        <v>RUN-FLMP_2021-12-14_RFR-017</v>
      </c>
      <c r="B17" s="246">
        <v>44544.427929247686</v>
      </c>
      <c r="C17" s="247"/>
      <c r="D17" s="247" t="s">
        <v>442</v>
      </c>
      <c r="E17" s="248">
        <v>4.0</v>
      </c>
      <c r="F17" s="247" t="s">
        <v>506</v>
      </c>
      <c r="G17" s="249" t="s">
        <v>507</v>
      </c>
      <c r="H17" s="249"/>
      <c r="I17" s="249" t="s">
        <v>508</v>
      </c>
      <c r="J17" s="250"/>
      <c r="K17" s="277"/>
      <c r="L17" s="248"/>
      <c r="M17" s="252"/>
      <c r="N17" s="252"/>
      <c r="O17" s="252"/>
      <c r="P17" s="254" t="b">
        <v>0</v>
      </c>
      <c r="Q17" s="255" t="b">
        <v>0</v>
      </c>
      <c r="R17" s="256"/>
      <c r="S17" s="254" t="b">
        <v>0</v>
      </c>
      <c r="T17" s="257" t="b">
        <v>0</v>
      </c>
      <c r="U17" s="258">
        <v>44544.0</v>
      </c>
      <c r="V17" s="259">
        <v>0.3888888888888889</v>
      </c>
      <c r="W17" s="247" t="s">
        <v>447</v>
      </c>
      <c r="X17" s="256"/>
      <c r="Y17" s="254" t="b">
        <v>0</v>
      </c>
      <c r="Z17" s="248">
        <v>6.0</v>
      </c>
      <c r="AA17" s="260">
        <f t="shared" si="1"/>
        <v>2</v>
      </c>
      <c r="AB17" s="261" t="b">
        <f t="shared" si="2"/>
        <v>0</v>
      </c>
      <c r="AC17" s="248">
        <v>4.0</v>
      </c>
      <c r="AD17" s="248">
        <v>0.0</v>
      </c>
      <c r="AE17" s="248">
        <v>0.0</v>
      </c>
      <c r="AF17" s="248">
        <v>0.0</v>
      </c>
      <c r="AG17" s="248">
        <v>0.0</v>
      </c>
      <c r="AH17" s="250">
        <f t="shared" si="24"/>
        <v>0</v>
      </c>
      <c r="AI17" s="248">
        <v>0.0</v>
      </c>
      <c r="AJ17" s="250" t="b">
        <v>0</v>
      </c>
      <c r="AK17" s="262">
        <f t="shared" si="25"/>
        <v>4</v>
      </c>
      <c r="AL17" s="248">
        <v>0.0</v>
      </c>
      <c r="AM17" s="248">
        <v>0.0</v>
      </c>
      <c r="AN17" s="263" t="str">
        <f>IFNA(VLOOKUP($A17,'Tube Reactions'!$J$2:$K163,2,FALSE),"")</f>
        <v/>
      </c>
      <c r="AO17" s="264" t="str">
        <f t="shared" si="4"/>
        <v/>
      </c>
      <c r="AP17" s="265" t="str">
        <f t="shared" si="28"/>
        <v>Absent</v>
      </c>
      <c r="AQ17" s="260" t="b">
        <f t="shared" si="6"/>
        <v>1</v>
      </c>
      <c r="AR17" s="266">
        <v>17.0</v>
      </c>
      <c r="AS17" s="267"/>
      <c r="AT17" s="247"/>
      <c r="AU17" s="268" t="s">
        <v>449</v>
      </c>
      <c r="AV17" s="269">
        <v>6.0</v>
      </c>
      <c r="AW17" s="248" t="b">
        <v>1</v>
      </c>
      <c r="AX17" s="270" t="b">
        <f t="shared" si="7"/>
        <v>1</v>
      </c>
      <c r="AY17" s="250">
        <f t="shared" si="27"/>
        <v>2</v>
      </c>
      <c r="AZ17" s="276"/>
      <c r="BA17" s="272" t="b">
        <v>1</v>
      </c>
      <c r="BB17" s="245" t="b">
        <f t="shared" si="9"/>
        <v>1</v>
      </c>
      <c r="BC17" s="260" t="b">
        <f t="shared" si="10"/>
        <v>1</v>
      </c>
      <c r="BD17" s="260">
        <f t="shared" si="11"/>
        <v>4</v>
      </c>
      <c r="BE17" s="273" t="b">
        <f t="shared" si="12"/>
        <v>1</v>
      </c>
      <c r="BF17" s="274">
        <f t="shared" si="13"/>
        <v>44544</v>
      </c>
      <c r="BG17" s="275" t="str">
        <f t="shared" si="14"/>
        <v>RUN-FLMP_2021-12-14_RFR-017</v>
      </c>
      <c r="BH17" s="96">
        <f t="shared" si="15"/>
        <v>4</v>
      </c>
      <c r="BI17" s="96">
        <f t="shared" si="16"/>
        <v>4</v>
      </c>
      <c r="BJ17" s="96">
        <f t="shared" si="17"/>
        <v>4</v>
      </c>
      <c r="BK17" s="96">
        <f t="shared" si="18"/>
        <v>0</v>
      </c>
      <c r="BL17" s="10">
        <f>IFNA(IF(VLOOKUP(FLOOR($B17,1),'APS Tubes by Date IMPORT'!$B$2:$J163,1,FALSE)=FLOOR($BL16,1),IFERROR(0/0,""),VLOOKUP(FLOOR($B17,1),'APS Tubes by Date IMPORT'!$B$2:$J163,1,FALSE)),"")</f>
        <v>44544</v>
      </c>
      <c r="BM17" s="96">
        <f>IF(ISBLANK($BL17),IFERROR(0/0,""),VLOOKUP(FLOOR($B17,1),'APS Tubes by Date IMPORT'!$B$2:$J163,2,FALSE))</f>
        <v>7</v>
      </c>
    </row>
    <row r="18">
      <c r="A18" s="245" t="str">
        <f>CONCATENATE("RUN-",'Process Ref'!$A$1,"_",TEXT(U18,"YYYY-MM-DD"),"_RFR-",TEXT(AR18,"000"),IF(EXACT(W18,"Initial"),"",CONCATENATE("_",W18)))</f>
        <v>RUN-FLMP_2021-12-16_RFR-018</v>
      </c>
      <c r="B18" s="246">
        <v>44546.405184247684</v>
      </c>
      <c r="C18" s="247"/>
      <c r="D18" s="247" t="s">
        <v>442</v>
      </c>
      <c r="E18" s="248">
        <v>2.0</v>
      </c>
      <c r="F18" s="247" t="s">
        <v>509</v>
      </c>
      <c r="G18" s="249" t="s">
        <v>510</v>
      </c>
      <c r="H18" s="249"/>
      <c r="I18" s="249" t="s">
        <v>511</v>
      </c>
      <c r="J18" s="248"/>
      <c r="K18" s="277"/>
      <c r="L18" s="248"/>
      <c r="M18" s="252"/>
      <c r="N18" s="252"/>
      <c r="O18" s="252"/>
      <c r="P18" s="254" t="b">
        <v>0</v>
      </c>
      <c r="Q18" s="255" t="b">
        <v>0</v>
      </c>
      <c r="R18" s="256"/>
      <c r="S18" s="254" t="b">
        <v>0</v>
      </c>
      <c r="T18" s="257" t="b">
        <v>0</v>
      </c>
      <c r="U18" s="258">
        <v>44546.0</v>
      </c>
      <c r="V18" s="259">
        <v>0.3680555555555556</v>
      </c>
      <c r="W18" s="247" t="s">
        <v>447</v>
      </c>
      <c r="X18" s="256"/>
      <c r="Y18" s="254" t="b">
        <v>0</v>
      </c>
      <c r="Z18" s="248">
        <v>4.0</v>
      </c>
      <c r="AA18" s="260">
        <f t="shared" si="1"/>
        <v>2</v>
      </c>
      <c r="AB18" s="261" t="b">
        <f t="shared" si="2"/>
        <v>0</v>
      </c>
      <c r="AC18" s="248">
        <v>2.0</v>
      </c>
      <c r="AD18" s="248">
        <v>0.0</v>
      </c>
      <c r="AE18" s="248">
        <f>IF(W18="Initial",AD18,(IF(AJ18=TRUE,"CORRECT ME",AD18/3)))</f>
        <v>0</v>
      </c>
      <c r="AF18" s="248">
        <v>0.0</v>
      </c>
      <c r="AG18" s="248">
        <v>0.0</v>
      </c>
      <c r="AH18" s="248">
        <v>0.0</v>
      </c>
      <c r="AI18" s="248">
        <v>0.0</v>
      </c>
      <c r="AJ18" s="250" t="b">
        <v>0</v>
      </c>
      <c r="AK18" s="262">
        <f t="shared" si="25"/>
        <v>2</v>
      </c>
      <c r="AL18" s="248">
        <v>0.0</v>
      </c>
      <c r="AM18" s="248">
        <v>0.0</v>
      </c>
      <c r="AN18" s="263" t="str">
        <f>IFNA(VLOOKUP($A18,'Tube Reactions'!$J$2:$K163,2,FALSE),"")</f>
        <v/>
      </c>
      <c r="AO18" s="264" t="str">
        <f t="shared" si="4"/>
        <v/>
      </c>
      <c r="AP18" s="265" t="str">
        <f t="shared" si="28"/>
        <v>Absent</v>
      </c>
      <c r="AQ18" s="260" t="b">
        <f t="shared" si="6"/>
        <v>1</v>
      </c>
      <c r="AR18" s="266">
        <v>18.0</v>
      </c>
      <c r="AS18" s="267"/>
      <c r="AT18" s="247"/>
      <c r="AU18" s="268" t="s">
        <v>449</v>
      </c>
      <c r="AV18" s="269">
        <v>4.0</v>
      </c>
      <c r="AW18" s="247" t="b">
        <v>1</v>
      </c>
      <c r="AX18" s="270" t="b">
        <f t="shared" si="7"/>
        <v>1</v>
      </c>
      <c r="AY18" s="250">
        <f t="shared" si="27"/>
        <v>2</v>
      </c>
      <c r="AZ18" s="276"/>
      <c r="BA18" s="272" t="b">
        <v>1</v>
      </c>
      <c r="BB18" s="245" t="b">
        <f t="shared" si="9"/>
        <v>1</v>
      </c>
      <c r="BC18" s="260" t="b">
        <f t="shared" si="10"/>
        <v>1</v>
      </c>
      <c r="BD18" s="260">
        <f t="shared" si="11"/>
        <v>2</v>
      </c>
      <c r="BE18" s="273" t="b">
        <f t="shared" si="12"/>
        <v>1</v>
      </c>
      <c r="BF18" s="274">
        <f t="shared" si="13"/>
        <v>44546</v>
      </c>
      <c r="BG18" s="275" t="str">
        <f t="shared" si="14"/>
        <v>RUN-FLMP_2021-12-16_RFR-018</v>
      </c>
      <c r="BH18" s="96">
        <f t="shared" si="15"/>
        <v>2</v>
      </c>
      <c r="BI18" s="96">
        <f t="shared" si="16"/>
        <v>2</v>
      </c>
      <c r="BJ18" s="96">
        <f t="shared" si="17"/>
        <v>2</v>
      </c>
      <c r="BK18" s="96">
        <f t="shared" si="18"/>
        <v>0</v>
      </c>
      <c r="BL18" s="10">
        <f>IFNA(IF(VLOOKUP(FLOOR($B18,1),'APS Tubes by Date IMPORT'!$B$2:$J163,1,FALSE)=FLOOR($BL17,1),IFERROR(0/0,""),VLOOKUP(FLOOR($B18,1),'APS Tubes by Date IMPORT'!$B$2:$J163,1,FALSE)),"")</f>
        <v>44546</v>
      </c>
      <c r="BM18" s="96">
        <f>IF(ISBLANK($BL18),IFERROR(0/0,""),VLOOKUP(FLOOR($B18,1),'APS Tubes by Date IMPORT'!$B$2:$J163,2,FALSE))</f>
        <v>2</v>
      </c>
    </row>
    <row r="19">
      <c r="A19" s="245" t="str">
        <f>CONCATENATE("RUN-",'Process Ref'!$A$1,"_",TEXT(U19,"YYYY-MM-DD"),"_RFR-",TEXT(AR19,"000"),IF(EXACT(W19,"Initial"),"",CONCATENATE("_",W19)))</f>
        <v>RUN-FLMP_2021-12-18_RFR-019</v>
      </c>
      <c r="B19" s="246">
        <v>44548.545434189815</v>
      </c>
      <c r="C19" s="247"/>
      <c r="D19" s="247" t="s">
        <v>442</v>
      </c>
      <c r="E19" s="248">
        <v>2.0</v>
      </c>
      <c r="F19" s="247" t="s">
        <v>512</v>
      </c>
      <c r="G19" s="249" t="s">
        <v>513</v>
      </c>
      <c r="H19" s="282"/>
      <c r="I19" s="283" t="s">
        <v>514</v>
      </c>
      <c r="J19" s="248"/>
      <c r="K19" s="277" t="s">
        <v>515</v>
      </c>
      <c r="L19" s="248"/>
      <c r="M19" s="252"/>
      <c r="N19" s="252"/>
      <c r="O19" s="253"/>
      <c r="P19" s="254" t="b">
        <v>0</v>
      </c>
      <c r="Q19" s="255" t="b">
        <v>0</v>
      </c>
      <c r="R19" s="256"/>
      <c r="S19" s="254" t="b">
        <v>0</v>
      </c>
      <c r="T19" s="284" t="b">
        <v>0</v>
      </c>
      <c r="U19" s="258">
        <v>44548.0</v>
      </c>
      <c r="V19" s="259">
        <v>0.3263888888888889</v>
      </c>
      <c r="W19" s="247" t="s">
        <v>447</v>
      </c>
      <c r="X19" s="256"/>
      <c r="Y19" s="254" t="b">
        <v>0</v>
      </c>
      <c r="Z19" s="248">
        <v>4.0</v>
      </c>
      <c r="AA19" s="260">
        <f t="shared" si="1"/>
        <v>2</v>
      </c>
      <c r="AB19" s="261" t="b">
        <f t="shared" si="2"/>
        <v>0</v>
      </c>
      <c r="AC19" s="248">
        <v>2.0</v>
      </c>
      <c r="AD19" s="248">
        <v>0.0</v>
      </c>
      <c r="AE19" s="248">
        <v>0.0</v>
      </c>
      <c r="AF19" s="248">
        <v>0.0</v>
      </c>
      <c r="AG19" s="248">
        <v>1.0</v>
      </c>
      <c r="AH19" s="250">
        <f t="shared" ref="AH19:AH20" si="29">IF(W19="Initial",AG19,(IF(AJ19=TRUE,"CORRECT ME",AG19/3)))</f>
        <v>1</v>
      </c>
      <c r="AI19" s="248">
        <v>1.0</v>
      </c>
      <c r="AJ19" s="250" t="b">
        <v>0</v>
      </c>
      <c r="AK19" s="278">
        <v>2.0</v>
      </c>
      <c r="AL19" s="248">
        <v>4.0</v>
      </c>
      <c r="AM19" s="248">
        <v>1.0</v>
      </c>
      <c r="AN19" s="263" t="str">
        <f>IFNA(VLOOKUP($A19,'Tube Reactions'!$J$2:$K163,2,FALSE),"")</f>
        <v/>
      </c>
      <c r="AO19" s="264" t="str">
        <f t="shared" si="4"/>
        <v>NOT EQUAL</v>
      </c>
      <c r="AP19" s="265" t="str">
        <f t="shared" si="28"/>
        <v>Absent</v>
      </c>
      <c r="AQ19" s="260" t="b">
        <f t="shared" si="6"/>
        <v>1</v>
      </c>
      <c r="AR19" s="266">
        <v>19.0</v>
      </c>
      <c r="AS19" s="267"/>
      <c r="AT19" s="247"/>
      <c r="AU19" s="268" t="s">
        <v>449</v>
      </c>
      <c r="AV19" s="269">
        <v>4.0</v>
      </c>
      <c r="AW19" s="311" t="b">
        <v>0</v>
      </c>
      <c r="AX19" s="270" t="b">
        <f t="shared" si="7"/>
        <v>1</v>
      </c>
      <c r="AY19" s="248">
        <f t="shared" si="27"/>
        <v>2</v>
      </c>
      <c r="AZ19" s="271"/>
      <c r="BA19" s="272" t="b">
        <v>0</v>
      </c>
      <c r="BB19" s="245" t="str">
        <f t="shared" si="9"/>
        <v/>
      </c>
      <c r="BC19" s="260" t="str">
        <f t="shared" si="10"/>
        <v/>
      </c>
      <c r="BD19" s="260" t="str">
        <f t="shared" si="11"/>
        <v/>
      </c>
      <c r="BE19" s="273" t="b">
        <f t="shared" si="12"/>
        <v>1</v>
      </c>
      <c r="BF19" s="274">
        <f t="shared" si="13"/>
        <v>44548</v>
      </c>
      <c r="BG19" s="275" t="str">
        <f t="shared" si="14"/>
        <v>RUN-FLMP_2021-12-18_RFR-019</v>
      </c>
      <c r="BH19" s="96">
        <f t="shared" si="15"/>
        <v>2</v>
      </c>
      <c r="BI19" s="96">
        <f t="shared" si="16"/>
        <v>2</v>
      </c>
      <c r="BJ19" s="96">
        <f t="shared" si="17"/>
        <v>2</v>
      </c>
      <c r="BK19" s="96">
        <f t="shared" si="18"/>
        <v>4</v>
      </c>
      <c r="BL19" s="10">
        <f>IFNA(IF(VLOOKUP(FLOOR($B19,1),'APS Tubes by Date IMPORT'!$B$2:$J163,1,FALSE)=FLOOR($BL18,1),IFERROR(0/0,""),VLOOKUP(FLOOR($B19,1),'APS Tubes by Date IMPORT'!$B$2:$J163,1,FALSE)),"")</f>
        <v>44548</v>
      </c>
      <c r="BM19" s="96">
        <f>IF(ISBLANK($BL19),IFERROR(0/0,""),VLOOKUP(FLOOR($B19,1),'APS Tubes by Date IMPORT'!$B$2:$J163,2,FALSE))</f>
        <v>6</v>
      </c>
    </row>
    <row r="20">
      <c r="A20" s="245" t="str">
        <f>CONCATENATE("RUN-",'Process Ref'!$A$1,"_",TEXT(U20,"YYYY-MM-DD"),"_RFR-",TEXT(AR20,"000"),IF(EXACT(W20,"Initial"),"",CONCATENATE("_",W20)))</f>
        <v>RUN-FLMP_2021-12-18_RFR-020</v>
      </c>
      <c r="B20" s="246">
        <v>44548.54653572917</v>
      </c>
      <c r="C20" s="247"/>
      <c r="D20" s="247" t="s">
        <v>442</v>
      </c>
      <c r="E20" s="248">
        <v>2.0</v>
      </c>
      <c r="F20" s="247"/>
      <c r="G20" s="249" t="s">
        <v>516</v>
      </c>
      <c r="H20" s="249"/>
      <c r="I20" s="249" t="s">
        <v>517</v>
      </c>
      <c r="J20" s="248">
        <v>1.0</v>
      </c>
      <c r="K20" s="277" t="s">
        <v>518</v>
      </c>
      <c r="L20" s="248"/>
      <c r="M20" s="252"/>
      <c r="N20" s="252"/>
      <c r="O20" s="253"/>
      <c r="P20" s="254" t="b">
        <v>0</v>
      </c>
      <c r="Q20" s="255" t="b">
        <v>0</v>
      </c>
      <c r="R20" s="256"/>
      <c r="S20" s="254" t="b">
        <v>0</v>
      </c>
      <c r="T20" s="284" t="b">
        <v>0</v>
      </c>
      <c r="U20" s="258">
        <v>44548.0</v>
      </c>
      <c r="V20" s="259">
        <v>0.3958333333333333</v>
      </c>
      <c r="W20" s="247" t="s">
        <v>447</v>
      </c>
      <c r="X20" s="256"/>
      <c r="Y20" s="254" t="b">
        <v>0</v>
      </c>
      <c r="Z20" s="248">
        <v>8.0</v>
      </c>
      <c r="AA20" s="260">
        <f t="shared" si="1"/>
        <v>6</v>
      </c>
      <c r="AB20" s="261" t="b">
        <f t="shared" si="2"/>
        <v>1</v>
      </c>
      <c r="AC20" s="248">
        <v>6.0</v>
      </c>
      <c r="AD20" s="248">
        <v>1.0</v>
      </c>
      <c r="AE20" s="248">
        <v>0.0</v>
      </c>
      <c r="AF20" s="248">
        <v>0.0</v>
      </c>
      <c r="AG20" s="248">
        <v>3.0</v>
      </c>
      <c r="AH20" s="250">
        <f t="shared" si="29"/>
        <v>3</v>
      </c>
      <c r="AI20" s="248">
        <v>1.0</v>
      </c>
      <c r="AJ20" s="250" t="b">
        <v>0</v>
      </c>
      <c r="AK20" s="301">
        <v>2.0</v>
      </c>
      <c r="AL20" s="248">
        <v>4.0</v>
      </c>
      <c r="AM20" s="248">
        <v>2.0</v>
      </c>
      <c r="AN20" s="263" t="str">
        <f>IFNA(VLOOKUP($A20,'Tube Reactions'!$J$2:$K163,2,FALSE),"")</f>
        <v/>
      </c>
      <c r="AO20" s="264" t="str">
        <f t="shared" si="4"/>
        <v>NOT EQUAL</v>
      </c>
      <c r="AP20" s="265" t="str">
        <f t="shared" si="28"/>
        <v>Absent</v>
      </c>
      <c r="AQ20" s="260" t="b">
        <f t="shared" si="6"/>
        <v>1</v>
      </c>
      <c r="AR20" s="266">
        <v>20.0</v>
      </c>
      <c r="AS20" s="267" t="s">
        <v>519</v>
      </c>
      <c r="AT20" s="247"/>
      <c r="AU20" s="268" t="s">
        <v>449</v>
      </c>
      <c r="AV20" s="269">
        <v>8.0</v>
      </c>
      <c r="AW20" s="248" t="b">
        <v>0</v>
      </c>
      <c r="AX20" s="270" t="b">
        <f t="shared" si="7"/>
        <v>1</v>
      </c>
      <c r="AY20" s="248">
        <f t="shared" si="27"/>
        <v>2</v>
      </c>
      <c r="AZ20" s="271"/>
      <c r="BA20" s="272" t="b">
        <v>0</v>
      </c>
      <c r="BB20" s="245" t="str">
        <f t="shared" si="9"/>
        <v/>
      </c>
      <c r="BC20" s="260" t="str">
        <f t="shared" si="10"/>
        <v/>
      </c>
      <c r="BD20" s="260" t="str">
        <f t="shared" si="11"/>
        <v/>
      </c>
      <c r="BE20" s="273" t="b">
        <f t="shared" si="12"/>
        <v>1</v>
      </c>
      <c r="BF20" s="274">
        <f t="shared" si="13"/>
        <v>44548</v>
      </c>
      <c r="BG20" s="275" t="str">
        <f t="shared" si="14"/>
        <v>RUN-FLMP_2021-12-18_RFR-020</v>
      </c>
      <c r="BH20" s="96">
        <f t="shared" si="15"/>
        <v>2</v>
      </c>
      <c r="BI20" s="96">
        <f t="shared" si="16"/>
        <v>6</v>
      </c>
      <c r="BJ20" s="96">
        <f t="shared" si="17"/>
        <v>2</v>
      </c>
      <c r="BK20" s="96">
        <f t="shared" si="18"/>
        <v>4</v>
      </c>
      <c r="BL20" s="10" t="str">
        <f>IFNA(IF(VLOOKUP(FLOOR($B20,1),'APS Tubes by Date IMPORT'!$B$2:$J163,1,FALSE)=FLOOR($BL19,1),IFERROR(0/0,""),VLOOKUP(FLOOR($B20,1),'APS Tubes by Date IMPORT'!$B$2:$J163,1,FALSE)),"")</f>
        <v/>
      </c>
      <c r="BM20" s="96" t="str">
        <f>IF(ISBLANK($BL20),IFERROR(0/0,""),VLOOKUP(FLOOR($B20,1),'APS Tubes by Date IMPORT'!$B$2:$J163,2,FALSE))</f>
        <v/>
      </c>
    </row>
    <row r="21">
      <c r="A21" s="245" t="str">
        <f>CONCATENATE("RUN-",'Process Ref'!$A$1,"_",TEXT(U21,"YYYY-MM-DD"),"_RFR-",TEXT(AR21,"000"),IF(EXACT(W21,"Initial"),"",CONCATENATE("_",W21)))</f>
        <v>RUN-FLMP_2021-12-18_RFR-021</v>
      </c>
      <c r="B21" s="246">
        <v>44548.54743189814</v>
      </c>
      <c r="C21" s="247"/>
      <c r="D21" s="247" t="s">
        <v>442</v>
      </c>
      <c r="E21" s="248">
        <v>2.0</v>
      </c>
      <c r="F21" s="247" t="s">
        <v>520</v>
      </c>
      <c r="G21" s="249" t="s">
        <v>521</v>
      </c>
      <c r="H21" s="249"/>
      <c r="I21" s="249" t="s">
        <v>522</v>
      </c>
      <c r="J21" s="248"/>
      <c r="K21" s="277"/>
      <c r="L21" s="248"/>
      <c r="M21" s="252"/>
      <c r="N21" s="252"/>
      <c r="O21" s="253"/>
      <c r="P21" s="254" t="b">
        <v>0</v>
      </c>
      <c r="Q21" s="255" t="b">
        <v>0</v>
      </c>
      <c r="R21" s="256"/>
      <c r="S21" s="254" t="b">
        <v>0</v>
      </c>
      <c r="T21" s="284" t="b">
        <v>0</v>
      </c>
      <c r="U21" s="258">
        <v>44548.0</v>
      </c>
      <c r="V21" s="259">
        <v>0.4222222222222222</v>
      </c>
      <c r="W21" s="247" t="s">
        <v>447</v>
      </c>
      <c r="X21" s="247"/>
      <c r="Y21" s="254" t="b">
        <v>0</v>
      </c>
      <c r="Z21" s="248">
        <v>7.0</v>
      </c>
      <c r="AA21" s="260">
        <f t="shared" si="1"/>
        <v>5</v>
      </c>
      <c r="AB21" s="261" t="b">
        <f t="shared" si="2"/>
        <v>1</v>
      </c>
      <c r="AC21" s="248">
        <v>5.0</v>
      </c>
      <c r="AD21" s="248">
        <v>0.0</v>
      </c>
      <c r="AE21" s="248">
        <v>0.0</v>
      </c>
      <c r="AF21" s="248">
        <v>0.0</v>
      </c>
      <c r="AG21" s="248">
        <v>0.0</v>
      </c>
      <c r="AH21" s="248">
        <v>0.0</v>
      </c>
      <c r="AI21" s="248">
        <v>0.0</v>
      </c>
      <c r="AJ21" s="248" t="b">
        <v>0</v>
      </c>
      <c r="AK21" s="301">
        <v>2.0</v>
      </c>
      <c r="AL21" s="248">
        <v>0.0</v>
      </c>
      <c r="AM21" s="248">
        <v>0.0</v>
      </c>
      <c r="AN21" s="263" t="str">
        <f>IFNA(VLOOKUP($A21,'Tube Reactions'!$J$2:$K163,2,FALSE),"")</f>
        <v/>
      </c>
      <c r="AO21" s="264" t="str">
        <f t="shared" si="4"/>
        <v/>
      </c>
      <c r="AP21" s="265" t="str">
        <f t="shared" si="28"/>
        <v>Absent</v>
      </c>
      <c r="AQ21" s="260" t="b">
        <f t="shared" si="6"/>
        <v>1</v>
      </c>
      <c r="AR21" s="266">
        <v>21.0</v>
      </c>
      <c r="AS21" s="267"/>
      <c r="AT21" s="247"/>
      <c r="AU21" s="268" t="s">
        <v>449</v>
      </c>
      <c r="AV21" s="269">
        <v>7.0</v>
      </c>
      <c r="AW21" s="248" t="b">
        <v>1</v>
      </c>
      <c r="AX21" s="270" t="b">
        <f t="shared" si="7"/>
        <v>1</v>
      </c>
      <c r="AY21" s="250">
        <f t="shared" si="27"/>
        <v>2</v>
      </c>
      <c r="AZ21" s="276"/>
      <c r="BA21" s="272" t="b">
        <v>0</v>
      </c>
      <c r="BB21" s="245" t="str">
        <f t="shared" si="9"/>
        <v/>
      </c>
      <c r="BC21" s="260" t="str">
        <f t="shared" si="10"/>
        <v/>
      </c>
      <c r="BD21" s="260" t="str">
        <f t="shared" si="11"/>
        <v/>
      </c>
      <c r="BE21" s="273" t="b">
        <f t="shared" si="12"/>
        <v>1</v>
      </c>
      <c r="BF21" s="274">
        <f t="shared" si="13"/>
        <v>44548</v>
      </c>
      <c r="BG21" s="275" t="str">
        <f t="shared" si="14"/>
        <v>RUN-FLMP_2021-12-18_RFR-021</v>
      </c>
      <c r="BH21" s="96">
        <f t="shared" si="15"/>
        <v>2</v>
      </c>
      <c r="BI21" s="96">
        <f t="shared" si="16"/>
        <v>5</v>
      </c>
      <c r="BJ21" s="96">
        <f t="shared" si="17"/>
        <v>2</v>
      </c>
      <c r="BK21" s="96">
        <f t="shared" si="18"/>
        <v>0</v>
      </c>
      <c r="BL21" s="10">
        <f>IFNA(IF(VLOOKUP(FLOOR($B21,1),'APS Tubes by Date IMPORT'!$B$2:$J163,1,FALSE)=FLOOR($BL20,1),IFERROR(0/0,""),VLOOKUP(FLOOR($B21,1),'APS Tubes by Date IMPORT'!$B$2:$J163,1,FALSE)),"")</f>
        <v>44548</v>
      </c>
      <c r="BM21" s="96">
        <f>IF(ISBLANK($BL21),IFERROR(0/0,""),VLOOKUP(FLOOR($B21,1),'APS Tubes by Date IMPORT'!$B$2:$J163,2,FALSE))</f>
        <v>6</v>
      </c>
    </row>
    <row r="22">
      <c r="A22" s="245" t="str">
        <f>CONCATENATE("RUN-",'Process Ref'!$A$1,"_",TEXT(U22,"YYYY-MM-DD"),"_RFR-",TEXT(AR22,"000"),IF(EXACT(W22,"Initial"),"",CONCATENATE("_",W22)))</f>
        <v>RUN-FLMP_2021-12-19_RFR-022</v>
      </c>
      <c r="B22" s="246">
        <v>44549.416229166665</v>
      </c>
      <c r="C22" s="256"/>
      <c r="D22" s="256" t="s">
        <v>442</v>
      </c>
      <c r="E22" s="250">
        <v>1.0</v>
      </c>
      <c r="F22" s="256" t="s">
        <v>523</v>
      </c>
      <c r="G22" s="249" t="s">
        <v>524</v>
      </c>
      <c r="H22" s="249"/>
      <c r="I22" s="249" t="s">
        <v>525</v>
      </c>
      <c r="J22" s="250"/>
      <c r="K22" s="251"/>
      <c r="L22" s="248"/>
      <c r="M22" s="252">
        <v>1.1</v>
      </c>
      <c r="N22" s="252"/>
      <c r="O22" s="252"/>
      <c r="P22" s="254" t="b">
        <v>0</v>
      </c>
      <c r="Q22" s="255" t="b">
        <v>0</v>
      </c>
      <c r="R22" s="256"/>
      <c r="S22" s="254" t="b">
        <v>0</v>
      </c>
      <c r="T22" s="284" t="b">
        <v>0</v>
      </c>
      <c r="U22" s="258">
        <v>44549.0</v>
      </c>
      <c r="V22" s="259">
        <v>0.3333333333333333</v>
      </c>
      <c r="W22" s="247" t="s">
        <v>447</v>
      </c>
      <c r="X22" s="256"/>
      <c r="Y22" s="254" t="b">
        <v>0</v>
      </c>
      <c r="Z22" s="248">
        <v>8.0</v>
      </c>
      <c r="AA22" s="260">
        <f t="shared" si="1"/>
        <v>7</v>
      </c>
      <c r="AB22" s="261" t="b">
        <f t="shared" si="2"/>
        <v>1</v>
      </c>
      <c r="AC22" s="248">
        <v>6.0</v>
      </c>
      <c r="AD22" s="248">
        <v>0.0</v>
      </c>
      <c r="AE22" s="248">
        <v>0.0</v>
      </c>
      <c r="AF22" s="248">
        <v>0.0</v>
      </c>
      <c r="AG22" s="248">
        <v>0.0</v>
      </c>
      <c r="AH22" s="248">
        <v>0.0</v>
      </c>
      <c r="AI22" s="248">
        <v>0.0</v>
      </c>
      <c r="AJ22" s="250" t="b">
        <v>0</v>
      </c>
      <c r="AK22" s="278">
        <v>3.0</v>
      </c>
      <c r="AL22" s="248">
        <v>0.0</v>
      </c>
      <c r="AM22" s="248">
        <v>0.0</v>
      </c>
      <c r="AN22" s="263" t="str">
        <f>IFNA(VLOOKUP($A22,'Tube Reactions'!$J$2:$K163,2,FALSE),"")</f>
        <v/>
      </c>
      <c r="AO22" s="264" t="str">
        <f t="shared" si="4"/>
        <v/>
      </c>
      <c r="AP22" s="265" t="str">
        <f t="shared" si="28"/>
        <v>Absent</v>
      </c>
      <c r="AQ22" s="260" t="b">
        <f t="shared" si="6"/>
        <v>1</v>
      </c>
      <c r="AR22" s="266">
        <v>22.0</v>
      </c>
      <c r="AS22" s="279" t="s">
        <v>526</v>
      </c>
      <c r="AT22" s="247"/>
      <c r="AU22" s="268" t="s">
        <v>449</v>
      </c>
      <c r="AV22" s="269">
        <v>8.0</v>
      </c>
      <c r="AW22" s="247" t="b">
        <v>1</v>
      </c>
      <c r="AX22" s="270" t="b">
        <f t="shared" si="7"/>
        <v>1</v>
      </c>
      <c r="AY22" s="250">
        <f t="shared" si="27"/>
        <v>2</v>
      </c>
      <c r="AZ22" s="276"/>
      <c r="BA22" s="272" t="b">
        <v>0</v>
      </c>
      <c r="BB22" s="245" t="str">
        <f t="shared" si="9"/>
        <v/>
      </c>
      <c r="BC22" s="260" t="str">
        <f t="shared" si="10"/>
        <v/>
      </c>
      <c r="BD22" s="260" t="str">
        <f t="shared" si="11"/>
        <v/>
      </c>
      <c r="BE22" s="273" t="b">
        <f t="shared" si="12"/>
        <v>1</v>
      </c>
      <c r="BF22" s="274">
        <f t="shared" si="13"/>
        <v>44549</v>
      </c>
      <c r="BG22" s="275" t="str">
        <f t="shared" si="14"/>
        <v>RUN-FLMP_2021-12-19_RFR-022</v>
      </c>
      <c r="BH22" s="96">
        <f t="shared" si="15"/>
        <v>1</v>
      </c>
      <c r="BI22" s="96">
        <f t="shared" si="16"/>
        <v>6</v>
      </c>
      <c r="BJ22" s="96">
        <f t="shared" si="17"/>
        <v>3</v>
      </c>
      <c r="BK22" s="96">
        <f t="shared" si="18"/>
        <v>0</v>
      </c>
      <c r="BL22" s="10">
        <f>IFNA(IF(VLOOKUP(FLOOR($B22,1),'APS Tubes by Date IMPORT'!$B$2:$J163,1,FALSE)=FLOOR($BL21,1),IFERROR(0/0,""),VLOOKUP(FLOOR($B22,1),'APS Tubes by Date IMPORT'!$B$2:$J163,1,FALSE)),"")</f>
        <v>44549</v>
      </c>
      <c r="BM22" s="96">
        <f>IF(ISBLANK($BL22),IFERROR(0/0,""),VLOOKUP(FLOOR($B22,1),'APS Tubes by Date IMPORT'!$B$2:$J163,2,FALSE))</f>
        <v>4</v>
      </c>
    </row>
    <row r="23">
      <c r="A23" s="245" t="str">
        <f>CONCATENATE("RUN-",'Process Ref'!$A$1,"_",TEXT(U23,"YYYY-MM-DD"),"_RFR-",TEXT(AR23,"000"),IF(EXACT(W23,"Initial"),"",CONCATENATE("_",W23)))</f>
        <v>RUN-FLMP_2021-12-19_RFR-023</v>
      </c>
      <c r="B23" s="246">
        <v>44550.30438357639</v>
      </c>
      <c r="C23" s="256"/>
      <c r="D23" s="256" t="s">
        <v>442</v>
      </c>
      <c r="E23" s="250">
        <v>1.0</v>
      </c>
      <c r="F23" s="256" t="s">
        <v>527</v>
      </c>
      <c r="G23" s="249" t="s">
        <v>528</v>
      </c>
      <c r="H23" s="282"/>
      <c r="I23" s="283" t="s">
        <v>529</v>
      </c>
      <c r="J23" s="250"/>
      <c r="K23" s="251"/>
      <c r="L23" s="248"/>
      <c r="M23" s="252"/>
      <c r="N23" s="252"/>
      <c r="O23" s="253"/>
      <c r="P23" s="254" t="b">
        <v>0</v>
      </c>
      <c r="Q23" s="255" t="b">
        <v>1</v>
      </c>
      <c r="R23" s="247" t="s">
        <v>530</v>
      </c>
      <c r="S23" s="254" t="b">
        <v>0</v>
      </c>
      <c r="T23" s="257" t="b">
        <v>0</v>
      </c>
      <c r="U23" s="258">
        <v>44549.0</v>
      </c>
      <c r="V23" s="259">
        <v>0.375</v>
      </c>
      <c r="W23" s="247" t="s">
        <v>447</v>
      </c>
      <c r="X23" s="256"/>
      <c r="Y23" s="254" t="b">
        <v>0</v>
      </c>
      <c r="Z23" s="248">
        <v>2.0</v>
      </c>
      <c r="AA23" s="260">
        <f t="shared" si="1"/>
        <v>1</v>
      </c>
      <c r="AB23" s="261" t="b">
        <f t="shared" si="2"/>
        <v>1</v>
      </c>
      <c r="AC23" s="248">
        <v>1.0</v>
      </c>
      <c r="AD23" s="248">
        <v>0.0</v>
      </c>
      <c r="AE23" s="248">
        <f t="shared" ref="AE23:AE29" si="30">IF(W23="Initial",AD23,(IF(AJ23=TRUE,"CORRECT ME",AD23/3)))</f>
        <v>0</v>
      </c>
      <c r="AF23" s="248">
        <v>0.0</v>
      </c>
      <c r="AG23" s="248">
        <v>0.0</v>
      </c>
      <c r="AH23" s="248">
        <v>0.0</v>
      </c>
      <c r="AI23" s="248">
        <v>0.0</v>
      </c>
      <c r="AJ23" s="250" t="b">
        <v>0</v>
      </c>
      <c r="AK23" s="262">
        <f>IF(W23="Initial",AC23,IF(AJ23=TRUE,"CORRECT ME",AC23/3))</f>
        <v>1</v>
      </c>
      <c r="AL23" s="248">
        <v>0.0</v>
      </c>
      <c r="AM23" s="248">
        <v>1.0</v>
      </c>
      <c r="AN23" s="263" t="str">
        <f>IFNA(VLOOKUP($A23,'Tube Reactions'!$J$2:$K163,2,FALSE),"")</f>
        <v/>
      </c>
      <c r="AO23" s="264" t="str">
        <f t="shared" si="4"/>
        <v>NOT EQUAL</v>
      </c>
      <c r="AP23" s="265" t="str">
        <f t="shared" si="28"/>
        <v>Absent</v>
      </c>
      <c r="AQ23" s="260" t="b">
        <f t="shared" si="6"/>
        <v>1</v>
      </c>
      <c r="AR23" s="266">
        <v>23.0</v>
      </c>
      <c r="AS23" s="267" t="s">
        <v>531</v>
      </c>
      <c r="AT23" s="247"/>
      <c r="AU23" s="268" t="s">
        <v>449</v>
      </c>
      <c r="AV23" s="269">
        <v>2.0</v>
      </c>
      <c r="AW23" s="310" t="b">
        <v>1</v>
      </c>
      <c r="AX23" s="270" t="b">
        <f t="shared" si="7"/>
        <v>1</v>
      </c>
      <c r="AY23" s="250">
        <f t="shared" si="27"/>
        <v>1</v>
      </c>
      <c r="AZ23" s="271" t="s">
        <v>450</v>
      </c>
      <c r="BA23" s="272" t="b">
        <v>0</v>
      </c>
      <c r="BB23" s="245" t="str">
        <f t="shared" si="9"/>
        <v/>
      </c>
      <c r="BC23" s="260" t="str">
        <f t="shared" si="10"/>
        <v/>
      </c>
      <c r="BD23" s="260" t="str">
        <f t="shared" si="11"/>
        <v/>
      </c>
      <c r="BE23" s="273" t="str">
        <f t="shared" si="12"/>
        <v/>
      </c>
      <c r="BF23" s="274">
        <f t="shared" si="13"/>
        <v>44549</v>
      </c>
      <c r="BG23" s="275" t="str">
        <f t="shared" si="14"/>
        <v>RUN-FLMP_2021-12-19_RFR-023</v>
      </c>
      <c r="BH23" s="96">
        <f t="shared" si="15"/>
        <v>1</v>
      </c>
      <c r="BI23" s="96">
        <f t="shared" si="16"/>
        <v>1</v>
      </c>
      <c r="BJ23" s="96">
        <f t="shared" si="17"/>
        <v>1</v>
      </c>
      <c r="BK23" s="96">
        <f t="shared" si="18"/>
        <v>0</v>
      </c>
      <c r="BL23" s="10">
        <f>IFNA(IF(VLOOKUP(FLOOR($B23,1),'APS Tubes by Date IMPORT'!$B$2:$J163,1,FALSE)=FLOOR($BL22,1),IFERROR(0/0,""),VLOOKUP(FLOOR($B23,1),'APS Tubes by Date IMPORT'!$B$2:$J163,1,FALSE)),"")</f>
        <v>44550</v>
      </c>
      <c r="BM23" s="96">
        <f>IF(ISBLANK($BL23),IFERROR(0/0,""),VLOOKUP(FLOOR($B23,1),'APS Tubes by Date IMPORT'!$B$2:$J163,2,FALSE))</f>
        <v>5</v>
      </c>
    </row>
    <row r="24">
      <c r="A24" s="245" t="str">
        <f>CONCATENATE("RUN-",'Process Ref'!$A$1,"_",TEXT(U24,"YYYY-MM-DD"),"_RFR-",TEXT(AR24,"000"),IF(EXACT(W24,"Initial"),"",CONCATENATE("_",W24)))</f>
        <v>RUN-FLMP_2021-12-20_RFR-024</v>
      </c>
      <c r="B24" s="246">
        <v>44550.3861043287</v>
      </c>
      <c r="C24" s="256"/>
      <c r="D24" s="256" t="s">
        <v>442</v>
      </c>
      <c r="E24" s="250">
        <v>6.0</v>
      </c>
      <c r="F24" s="256" t="s">
        <v>532</v>
      </c>
      <c r="G24" s="249" t="s">
        <v>533</v>
      </c>
      <c r="H24" s="249"/>
      <c r="I24" s="249" t="s">
        <v>534</v>
      </c>
      <c r="J24" s="250"/>
      <c r="K24" s="280">
        <v>6.0</v>
      </c>
      <c r="L24" s="248"/>
      <c r="M24" s="252"/>
      <c r="N24" s="252"/>
      <c r="O24" s="253"/>
      <c r="P24" s="254" t="b">
        <v>0</v>
      </c>
      <c r="Q24" s="255" t="b">
        <v>0</v>
      </c>
      <c r="R24" s="256"/>
      <c r="S24" s="254" t="b">
        <v>0</v>
      </c>
      <c r="T24" s="257" t="b">
        <v>0</v>
      </c>
      <c r="U24" s="258">
        <v>44550.0</v>
      </c>
      <c r="V24" s="259">
        <v>0.2916666666666667</v>
      </c>
      <c r="W24" s="247" t="s">
        <v>447</v>
      </c>
      <c r="X24" s="247" t="s">
        <v>535</v>
      </c>
      <c r="Y24" s="254" t="b">
        <v>0</v>
      </c>
      <c r="Z24" s="248">
        <v>6.0</v>
      </c>
      <c r="AA24" s="260">
        <f t="shared" si="1"/>
        <v>0</v>
      </c>
      <c r="AB24" s="261" t="b">
        <f t="shared" si="2"/>
        <v>1</v>
      </c>
      <c r="AC24" s="248">
        <v>4.0</v>
      </c>
      <c r="AD24" s="248">
        <v>0.0</v>
      </c>
      <c r="AE24" s="248">
        <f t="shared" si="30"/>
        <v>0</v>
      </c>
      <c r="AF24" s="248">
        <v>0.0</v>
      </c>
      <c r="AG24" s="248">
        <v>0.0</v>
      </c>
      <c r="AH24" s="250">
        <f t="shared" ref="AH24:AH29" si="31">IF(W24="Initial",AG24,(IF(AJ24=TRUE,"CORRECT ME",AG24/3)))</f>
        <v>0</v>
      </c>
      <c r="AI24" s="248">
        <v>0.0</v>
      </c>
      <c r="AJ24" s="250" t="b">
        <v>0</v>
      </c>
      <c r="AK24" s="301">
        <v>3.0</v>
      </c>
      <c r="AL24" s="248">
        <v>0.0</v>
      </c>
      <c r="AM24" s="248">
        <v>0.0</v>
      </c>
      <c r="AN24" s="263" t="str">
        <f>IFNA(VLOOKUP($A24,'Tube Reactions'!$J$2:$K163,2,FALSE),"")</f>
        <v/>
      </c>
      <c r="AO24" s="264" t="str">
        <f t="shared" si="4"/>
        <v/>
      </c>
      <c r="AP24" s="265" t="str">
        <f t="shared" si="28"/>
        <v>Absent</v>
      </c>
      <c r="AQ24" s="260" t="b">
        <f t="shared" si="6"/>
        <v>1</v>
      </c>
      <c r="AR24" s="266">
        <v>24.0</v>
      </c>
      <c r="AS24" s="267"/>
      <c r="AT24" s="247"/>
      <c r="AU24" s="268" t="s">
        <v>478</v>
      </c>
      <c r="AV24" s="269">
        <v>6.0</v>
      </c>
      <c r="AW24" s="248" t="b">
        <v>1</v>
      </c>
      <c r="AX24" s="270" t="b">
        <f t="shared" si="7"/>
        <v>1</v>
      </c>
      <c r="AY24" s="250">
        <f t="shared" si="27"/>
        <v>2</v>
      </c>
      <c r="AZ24" s="276"/>
      <c r="BA24" s="272" t="b">
        <v>0</v>
      </c>
      <c r="BB24" s="245" t="str">
        <f t="shared" si="9"/>
        <v/>
      </c>
      <c r="BC24" s="260" t="str">
        <f t="shared" si="10"/>
        <v/>
      </c>
      <c r="BD24" s="260" t="str">
        <f t="shared" si="11"/>
        <v/>
      </c>
      <c r="BE24" s="273" t="b">
        <f t="shared" si="12"/>
        <v>1</v>
      </c>
      <c r="BF24" s="274">
        <f t="shared" si="13"/>
        <v>44550</v>
      </c>
      <c r="BG24" s="275" t="str">
        <f t="shared" si="14"/>
        <v>RUN-FLMP_2021-12-20_RFR-024</v>
      </c>
      <c r="BH24" s="96">
        <f t="shared" si="15"/>
        <v>6</v>
      </c>
      <c r="BI24" s="96">
        <f t="shared" si="16"/>
        <v>4</v>
      </c>
      <c r="BJ24" s="96">
        <f t="shared" si="17"/>
        <v>3</v>
      </c>
      <c r="BK24" s="96">
        <f t="shared" si="18"/>
        <v>0</v>
      </c>
      <c r="BL24" s="10" t="str">
        <f>IFNA(IF(VLOOKUP(FLOOR($B24,1),'APS Tubes by Date IMPORT'!$B$2:$J163,1,FALSE)=FLOOR($BL23,1),IFERROR(0/0,""),VLOOKUP(FLOOR($B24,1),'APS Tubes by Date IMPORT'!$B$2:$J163,1,FALSE)),"")</f>
        <v/>
      </c>
      <c r="BM24" s="96" t="str">
        <f>IF(ISBLANK($BL24),IFERROR(0/0,""),VLOOKUP(FLOOR($B24,1),'APS Tubes by Date IMPORT'!$B$2:$J163,2,FALSE))</f>
        <v/>
      </c>
    </row>
    <row r="25">
      <c r="A25" s="245" t="str">
        <f>CONCATENATE("RUN-",'Process Ref'!$A$1,"_",TEXT(U25,"YYYY-MM-DD"),"_RFR-",TEXT(AR25,"000"),IF(EXACT(W25,"Initial"),"",CONCATENATE("_",W25)))</f>
        <v>RUN-FLMP_2021-12-20_RFR-026</v>
      </c>
      <c r="B25" s="246">
        <v>44550.557513402775</v>
      </c>
      <c r="C25" s="256"/>
      <c r="D25" s="256" t="s">
        <v>442</v>
      </c>
      <c r="E25" s="250">
        <v>2.0</v>
      </c>
      <c r="F25" s="256" t="s">
        <v>536</v>
      </c>
      <c r="G25" s="249" t="s">
        <v>537</v>
      </c>
      <c r="H25" s="249"/>
      <c r="I25" s="249" t="s">
        <v>538</v>
      </c>
      <c r="J25" s="250">
        <v>1.0</v>
      </c>
      <c r="K25" s="251"/>
      <c r="L25" s="248"/>
      <c r="M25" s="252"/>
      <c r="N25" s="252">
        <v>2.1</v>
      </c>
      <c r="O25" s="253" t="s">
        <v>539</v>
      </c>
      <c r="P25" s="254" t="b">
        <v>1</v>
      </c>
      <c r="Q25" s="255" t="b">
        <v>0</v>
      </c>
      <c r="R25" s="256"/>
      <c r="S25" s="254" t="b">
        <v>0</v>
      </c>
      <c r="T25" s="284" t="b">
        <v>1</v>
      </c>
      <c r="U25" s="258">
        <v>44550.0</v>
      </c>
      <c r="V25" s="259">
        <v>0.38472222222222224</v>
      </c>
      <c r="W25" s="247" t="s">
        <v>447</v>
      </c>
      <c r="X25" s="247" t="s">
        <v>540</v>
      </c>
      <c r="Y25" s="254" t="b">
        <v>0</v>
      </c>
      <c r="Z25" s="248">
        <v>4.0</v>
      </c>
      <c r="AA25" s="260">
        <f t="shared" si="1"/>
        <v>2</v>
      </c>
      <c r="AB25" s="261" t="b">
        <f t="shared" si="2"/>
        <v>0</v>
      </c>
      <c r="AC25" s="248">
        <v>2.0</v>
      </c>
      <c r="AD25" s="248">
        <v>0.0</v>
      </c>
      <c r="AE25" s="248">
        <f t="shared" si="30"/>
        <v>0</v>
      </c>
      <c r="AF25" s="248">
        <v>0.0</v>
      </c>
      <c r="AG25" s="248">
        <v>0.0</v>
      </c>
      <c r="AH25" s="250">
        <f t="shared" si="31"/>
        <v>0</v>
      </c>
      <c r="AI25" s="248">
        <v>0.0</v>
      </c>
      <c r="AJ25" s="250" t="b">
        <v>0</v>
      </c>
      <c r="AK25" s="262">
        <f>IF(W25="Initial",AC25,IF(AJ25=TRUE,"CORRECT ME",AC25/3))</f>
        <v>2</v>
      </c>
      <c r="AL25" s="248">
        <v>0.0</v>
      </c>
      <c r="AM25" s="248">
        <v>1.0</v>
      </c>
      <c r="AN25" s="263" t="str">
        <f>IFNA(VLOOKUP($A25,'Tube Reactions'!$J$2:$K163,2,FALSE),"")</f>
        <v/>
      </c>
      <c r="AO25" s="264" t="str">
        <f t="shared" si="4"/>
        <v>NOT EQUAL</v>
      </c>
      <c r="AP25" s="265" t="str">
        <f t="shared" si="28"/>
        <v>Absent</v>
      </c>
      <c r="AQ25" s="260" t="b">
        <f t="shared" si="6"/>
        <v>1</v>
      </c>
      <c r="AR25" s="266">
        <v>26.0</v>
      </c>
      <c r="AS25" s="267"/>
      <c r="AT25" s="247"/>
      <c r="AU25" s="268" t="s">
        <v>478</v>
      </c>
      <c r="AV25" s="269">
        <v>4.0</v>
      </c>
      <c r="AW25" s="248" t="b">
        <v>1</v>
      </c>
      <c r="AX25" s="270" t="b">
        <f t="shared" si="7"/>
        <v>1</v>
      </c>
      <c r="AY25" s="281">
        <f t="shared" si="27"/>
        <v>2</v>
      </c>
      <c r="AZ25" s="276"/>
      <c r="BA25" s="272" t="b">
        <v>0</v>
      </c>
      <c r="BB25" s="245" t="str">
        <f t="shared" si="9"/>
        <v/>
      </c>
      <c r="BC25" s="260" t="str">
        <f t="shared" si="10"/>
        <v/>
      </c>
      <c r="BD25" s="260" t="str">
        <f t="shared" si="11"/>
        <v/>
      </c>
      <c r="BE25" s="273" t="b">
        <f t="shared" si="12"/>
        <v>1</v>
      </c>
      <c r="BF25" s="274">
        <f t="shared" si="13"/>
        <v>44550</v>
      </c>
      <c r="BG25" s="275" t="str">
        <f t="shared" si="14"/>
        <v>RUN-FLMP_2021-12-20_RFR-026</v>
      </c>
      <c r="BH25" s="96">
        <f t="shared" si="15"/>
        <v>2</v>
      </c>
      <c r="BI25" s="96">
        <f t="shared" si="16"/>
        <v>2</v>
      </c>
      <c r="BJ25" s="96">
        <f t="shared" si="17"/>
        <v>2</v>
      </c>
      <c r="BK25" s="96">
        <f t="shared" si="18"/>
        <v>0</v>
      </c>
      <c r="BL25" s="10">
        <f>IFNA(IF(VLOOKUP(FLOOR($B25,1),'APS Tubes by Date IMPORT'!$B$2:$J163,1,FALSE)=FLOOR($BL24,1),IFERROR(0/0,""),VLOOKUP(FLOOR($B25,1),'APS Tubes by Date IMPORT'!$B$2:$J163,1,FALSE)),"")</f>
        <v>44550</v>
      </c>
      <c r="BM25" s="96">
        <f>IF(ISBLANK($BL25),IFERROR(0/0,""),VLOOKUP(FLOOR($B25,1),'APS Tubes by Date IMPORT'!$B$2:$J163,2,FALSE))</f>
        <v>5</v>
      </c>
    </row>
    <row r="26">
      <c r="A26" s="245" t="str">
        <f>CONCATENATE("RUN-",'Process Ref'!$A$1,"_",TEXT(U26,"YYYY-MM-DD"),"_RFR-",TEXT(AR26,"000"),IF(EXACT(W26,"Initial"),"",CONCATENATE("_",W26)))</f>
        <v>RUN-FLMP_2021-12-20_RFR-027_Re-run</v>
      </c>
      <c r="B26" s="302">
        <v>44550.557513402775</v>
      </c>
      <c r="C26" s="256"/>
      <c r="D26" s="256" t="s">
        <v>442</v>
      </c>
      <c r="E26" s="250"/>
      <c r="F26" s="256" t="s">
        <v>536</v>
      </c>
      <c r="G26" s="249" t="s">
        <v>537</v>
      </c>
      <c r="H26" s="282"/>
      <c r="I26" s="249" t="s">
        <v>541</v>
      </c>
      <c r="J26" s="250"/>
      <c r="K26" s="251"/>
      <c r="L26" s="248"/>
      <c r="M26" s="252"/>
      <c r="N26" s="303"/>
      <c r="O26" s="304" t="s">
        <v>539</v>
      </c>
      <c r="P26" s="254" t="b">
        <v>0</v>
      </c>
      <c r="Q26" s="286" t="b">
        <v>0</v>
      </c>
      <c r="R26" s="256"/>
      <c r="S26" s="286" t="b">
        <v>1</v>
      </c>
      <c r="T26" s="287" t="b">
        <v>1</v>
      </c>
      <c r="U26" s="312">
        <v>44550.0</v>
      </c>
      <c r="V26" s="289">
        <v>0.38472222222222224</v>
      </c>
      <c r="W26" s="290" t="s">
        <v>469</v>
      </c>
      <c r="X26" s="313"/>
      <c r="Y26" s="254" t="b">
        <v>0</v>
      </c>
      <c r="Z26" s="250"/>
      <c r="AA26" s="260">
        <f t="shared" si="1"/>
        <v>0</v>
      </c>
      <c r="AB26" s="293" t="b">
        <f t="shared" si="2"/>
        <v>1</v>
      </c>
      <c r="AC26" s="292">
        <v>3.0</v>
      </c>
      <c r="AD26" s="292">
        <v>0.0</v>
      </c>
      <c r="AE26" s="248">
        <f t="shared" si="30"/>
        <v>0</v>
      </c>
      <c r="AF26" s="292">
        <v>0.0</v>
      </c>
      <c r="AG26" s="292">
        <v>0.0</v>
      </c>
      <c r="AH26" s="250">
        <f t="shared" si="31"/>
        <v>0</v>
      </c>
      <c r="AI26" s="292">
        <v>0.0</v>
      </c>
      <c r="AJ26" s="294" t="b">
        <v>0</v>
      </c>
      <c r="AK26" s="278">
        <v>1.0</v>
      </c>
      <c r="AL26" s="292">
        <v>0.0</v>
      </c>
      <c r="AM26" s="250"/>
      <c r="AN26" s="296" t="str">
        <f>IFNA(VLOOKUP($A26,'Tube Reactions'!$J$2:$K163,2,FALSE),"")</f>
        <v/>
      </c>
      <c r="AO26" s="297" t="str">
        <f t="shared" si="4"/>
        <v/>
      </c>
      <c r="AP26" s="298" t="str">
        <f t="shared" si="28"/>
        <v>Absent</v>
      </c>
      <c r="AQ26" s="260" t="b">
        <f t="shared" si="6"/>
        <v>1</v>
      </c>
      <c r="AR26" s="266">
        <v>27.0</v>
      </c>
      <c r="AS26" s="279" t="s">
        <v>542</v>
      </c>
      <c r="AT26" s="279"/>
      <c r="AU26" s="306" t="s">
        <v>478</v>
      </c>
      <c r="AV26" s="292">
        <v>4.0</v>
      </c>
      <c r="AW26" s="286" t="b">
        <v>1</v>
      </c>
      <c r="AX26" s="270" t="b">
        <f t="shared" si="7"/>
        <v>1</v>
      </c>
      <c r="AY26" s="254">
        <f t="shared" si="27"/>
        <v>1</v>
      </c>
      <c r="AZ26" s="300" t="s">
        <v>450</v>
      </c>
      <c r="BA26" s="272" t="b">
        <v>1</v>
      </c>
      <c r="BB26" s="245" t="b">
        <f t="shared" si="9"/>
        <v>0</v>
      </c>
      <c r="BC26" s="260" t="str">
        <f t="shared" si="10"/>
        <v/>
      </c>
      <c r="BD26" s="260" t="str">
        <f t="shared" si="11"/>
        <v/>
      </c>
      <c r="BE26" s="273" t="b">
        <f t="shared" si="12"/>
        <v>1</v>
      </c>
      <c r="BF26" s="274" t="str">
        <f t="shared" si="13"/>
        <v/>
      </c>
      <c r="BG26" s="275" t="str">
        <f t="shared" si="14"/>
        <v/>
      </c>
      <c r="BH26" s="96" t="str">
        <f t="shared" si="15"/>
        <v/>
      </c>
      <c r="BI26" s="96" t="str">
        <f t="shared" si="16"/>
        <v/>
      </c>
      <c r="BJ26" s="96" t="str">
        <f t="shared" si="17"/>
        <v/>
      </c>
      <c r="BK26" s="96" t="str">
        <f t="shared" si="18"/>
        <v/>
      </c>
      <c r="BL26" s="10" t="str">
        <f>IFNA(IF(VLOOKUP(FLOOR($B26,1),'APS Tubes by Date IMPORT'!$B$2:$J163,1,FALSE)=FLOOR($BL25,1),IFERROR(0/0,""),VLOOKUP(FLOOR($B26,1),'APS Tubes by Date IMPORT'!$B$2:$J163,1,FALSE)),"")</f>
        <v/>
      </c>
      <c r="BM26" s="96" t="str">
        <f>IF(ISBLANK($BL26),IFERROR(0/0,""),VLOOKUP(FLOOR($B26,1),'APS Tubes by Date IMPORT'!$B$2:$J163,2,FALSE))</f>
        <v/>
      </c>
    </row>
    <row r="27">
      <c r="A27" s="245" t="str">
        <f>CONCATENATE("RUN-",'Process Ref'!$A$1,"_",TEXT(U27,"YYYY-MM-DD"),"_RFR-",TEXT(AR27,"000"),IF(EXACT(W27,"Initial"),"",CONCATENATE("_",W27)))</f>
        <v>RUN-FLMP_2021-12-21_RFR-028</v>
      </c>
      <c r="B27" s="246">
        <v>44551.39359607639</v>
      </c>
      <c r="C27" s="256"/>
      <c r="D27" s="256" t="s">
        <v>442</v>
      </c>
      <c r="E27" s="250">
        <v>4.0</v>
      </c>
      <c r="F27" s="256" t="s">
        <v>543</v>
      </c>
      <c r="G27" s="249" t="s">
        <v>544</v>
      </c>
      <c r="H27" s="282"/>
      <c r="I27" s="283" t="s">
        <v>545</v>
      </c>
      <c r="J27" s="250"/>
      <c r="K27" s="251"/>
      <c r="L27" s="248"/>
      <c r="M27" s="252"/>
      <c r="N27" s="252"/>
      <c r="O27" s="253"/>
      <c r="P27" s="254" t="b">
        <v>0</v>
      </c>
      <c r="Q27" s="255" t="b">
        <v>0</v>
      </c>
      <c r="R27" s="256"/>
      <c r="S27" s="254" t="b">
        <v>0</v>
      </c>
      <c r="T27" s="257" t="b">
        <v>0</v>
      </c>
      <c r="U27" s="258">
        <v>44551.0</v>
      </c>
      <c r="V27" s="259">
        <v>0.3194444444444444</v>
      </c>
      <c r="W27" s="247" t="s">
        <v>447</v>
      </c>
      <c r="X27" s="256"/>
      <c r="Y27" s="254" t="b">
        <v>0</v>
      </c>
      <c r="Z27" s="248">
        <v>6.0</v>
      </c>
      <c r="AA27" s="260">
        <f t="shared" si="1"/>
        <v>2</v>
      </c>
      <c r="AB27" s="261" t="b">
        <f t="shared" si="2"/>
        <v>0</v>
      </c>
      <c r="AC27" s="248">
        <v>4.0</v>
      </c>
      <c r="AD27" s="248">
        <v>0.0</v>
      </c>
      <c r="AE27" s="248">
        <f t="shared" si="30"/>
        <v>0</v>
      </c>
      <c r="AF27" s="248">
        <v>0.0</v>
      </c>
      <c r="AG27" s="248">
        <v>0.0</v>
      </c>
      <c r="AH27" s="250">
        <f t="shared" si="31"/>
        <v>0</v>
      </c>
      <c r="AI27" s="248">
        <v>0.0</v>
      </c>
      <c r="AJ27" s="250" t="b">
        <v>0</v>
      </c>
      <c r="AK27" s="262">
        <f t="shared" ref="AK27:AK29" si="32">IF(W27="Initial",AC27,IF(AJ27=TRUE,"CORRECT ME",AC27/3))</f>
        <v>4</v>
      </c>
      <c r="AL27" s="248">
        <v>0.0</v>
      </c>
      <c r="AM27" s="248">
        <v>0.0</v>
      </c>
      <c r="AN27" s="263" t="str">
        <f>IFNA(VLOOKUP($A27,'Tube Reactions'!$J$2:$K163,2,FALSE),"")</f>
        <v/>
      </c>
      <c r="AO27" s="264" t="str">
        <f t="shared" si="4"/>
        <v/>
      </c>
      <c r="AP27" s="265" t="str">
        <f t="shared" si="28"/>
        <v>Absent</v>
      </c>
      <c r="AQ27" s="260" t="b">
        <f t="shared" si="6"/>
        <v>1</v>
      </c>
      <c r="AR27" s="266">
        <v>28.0</v>
      </c>
      <c r="AS27" s="267"/>
      <c r="AT27" s="247"/>
      <c r="AU27" s="268" t="s">
        <v>478</v>
      </c>
      <c r="AV27" s="269">
        <v>6.0</v>
      </c>
      <c r="AW27" s="310" t="b">
        <v>1</v>
      </c>
      <c r="AX27" s="270" t="b">
        <f t="shared" si="7"/>
        <v>1</v>
      </c>
      <c r="AY27" s="250">
        <f t="shared" si="27"/>
        <v>2</v>
      </c>
      <c r="AZ27" s="276"/>
      <c r="BA27" s="272" t="b">
        <v>0</v>
      </c>
      <c r="BB27" s="245" t="str">
        <f t="shared" si="9"/>
        <v/>
      </c>
      <c r="BC27" s="260" t="str">
        <f t="shared" si="10"/>
        <v/>
      </c>
      <c r="BD27" s="260" t="str">
        <f t="shared" si="11"/>
        <v/>
      </c>
      <c r="BE27" s="273" t="b">
        <f t="shared" si="12"/>
        <v>1</v>
      </c>
      <c r="BF27" s="274">
        <f t="shared" si="13"/>
        <v>44551</v>
      </c>
      <c r="BG27" s="275" t="str">
        <f t="shared" si="14"/>
        <v>RUN-FLMP_2021-12-21_RFR-028</v>
      </c>
      <c r="BH27" s="96">
        <f t="shared" si="15"/>
        <v>4</v>
      </c>
      <c r="BI27" s="96">
        <f t="shared" si="16"/>
        <v>4</v>
      </c>
      <c r="BJ27" s="96">
        <f t="shared" si="17"/>
        <v>4</v>
      </c>
      <c r="BK27" s="96">
        <f t="shared" si="18"/>
        <v>0</v>
      </c>
      <c r="BL27" s="10">
        <f>IFNA(IF(VLOOKUP(FLOOR($B27,1),'APS Tubes by Date IMPORT'!$B$2:$J163,1,FALSE)=FLOOR($BL26,1),IFERROR(0/0,""),VLOOKUP(FLOOR($B27,1),'APS Tubes by Date IMPORT'!$B$2:$J163,1,FALSE)),"")</f>
        <v>44551</v>
      </c>
      <c r="BM27" s="96">
        <f>IF(ISBLANK($BL27),IFERROR(0/0,""),VLOOKUP(FLOOR($B27,1),'APS Tubes by Date IMPORT'!$B$2:$J163,2,FALSE))</f>
        <v>6</v>
      </c>
    </row>
    <row r="28">
      <c r="A28" s="245" t="str">
        <f>CONCATENATE("RUN-",'Process Ref'!$A$1,"_",TEXT(U28,"YYYY-MM-DD"),"_RFR-",TEXT(AR28,"000"),IF(EXACT(W28,"Initial"),"",CONCATENATE("_",W28)))</f>
        <v>RUN-FLMP_2021-12-21_RFR-029</v>
      </c>
      <c r="B28" s="246">
        <v>44551.54674236111</v>
      </c>
      <c r="C28" s="256"/>
      <c r="D28" s="256" t="s">
        <v>442</v>
      </c>
      <c r="E28" s="250">
        <v>2.0</v>
      </c>
      <c r="F28" s="256" t="s">
        <v>546</v>
      </c>
      <c r="G28" s="249" t="s">
        <v>547</v>
      </c>
      <c r="H28" s="249"/>
      <c r="I28" s="249" t="s">
        <v>548</v>
      </c>
      <c r="J28" s="250"/>
      <c r="K28" s="251"/>
      <c r="L28" s="248"/>
      <c r="M28" s="252"/>
      <c r="N28" s="252"/>
      <c r="O28" s="253"/>
      <c r="P28" s="254" t="b">
        <v>0</v>
      </c>
      <c r="Q28" s="255" t="b">
        <v>0</v>
      </c>
      <c r="R28" s="256"/>
      <c r="S28" s="254" t="b">
        <v>0</v>
      </c>
      <c r="T28" s="257" t="b">
        <v>0</v>
      </c>
      <c r="U28" s="258">
        <v>44551.0</v>
      </c>
      <c r="V28" s="259">
        <v>0.3888888888888889</v>
      </c>
      <c r="W28" s="247" t="s">
        <v>447</v>
      </c>
      <c r="X28" s="256"/>
      <c r="Y28" s="254" t="b">
        <v>0</v>
      </c>
      <c r="Z28" s="248">
        <v>4.0</v>
      </c>
      <c r="AA28" s="260">
        <f t="shared" si="1"/>
        <v>2</v>
      </c>
      <c r="AB28" s="261" t="b">
        <f t="shared" si="2"/>
        <v>0</v>
      </c>
      <c r="AC28" s="248">
        <v>2.0</v>
      </c>
      <c r="AD28" s="248">
        <v>0.0</v>
      </c>
      <c r="AE28" s="248">
        <f t="shared" si="30"/>
        <v>0</v>
      </c>
      <c r="AF28" s="248">
        <v>0.0</v>
      </c>
      <c r="AG28" s="248">
        <v>0.0</v>
      </c>
      <c r="AH28" s="250">
        <f t="shared" si="31"/>
        <v>0</v>
      </c>
      <c r="AI28" s="248">
        <v>0.0</v>
      </c>
      <c r="AJ28" s="250" t="b">
        <v>0</v>
      </c>
      <c r="AK28" s="262">
        <f t="shared" si="32"/>
        <v>2</v>
      </c>
      <c r="AL28" s="248">
        <v>0.0</v>
      </c>
      <c r="AM28" s="248">
        <v>0.0</v>
      </c>
      <c r="AN28" s="263" t="str">
        <f>IFNA(VLOOKUP($A28,'Tube Reactions'!$J$2:$K163,2,FALSE),"")</f>
        <v/>
      </c>
      <c r="AO28" s="264" t="str">
        <f t="shared" si="4"/>
        <v/>
      </c>
      <c r="AP28" s="265" t="str">
        <f t="shared" si="28"/>
        <v>Absent</v>
      </c>
      <c r="AQ28" s="260" t="b">
        <f t="shared" si="6"/>
        <v>1</v>
      </c>
      <c r="AR28" s="266">
        <v>29.0</v>
      </c>
      <c r="AS28" s="267"/>
      <c r="AT28" s="247"/>
      <c r="AU28" s="268" t="s">
        <v>478</v>
      </c>
      <c r="AV28" s="269">
        <v>4.0</v>
      </c>
      <c r="AW28" s="248" t="b">
        <v>1</v>
      </c>
      <c r="AX28" s="270" t="b">
        <f t="shared" si="7"/>
        <v>1</v>
      </c>
      <c r="AY28" s="250">
        <f t="shared" si="27"/>
        <v>2</v>
      </c>
      <c r="AZ28" s="276"/>
      <c r="BA28" s="272" t="b">
        <v>0</v>
      </c>
      <c r="BB28" s="245" t="str">
        <f t="shared" si="9"/>
        <v/>
      </c>
      <c r="BC28" s="260" t="str">
        <f t="shared" si="10"/>
        <v/>
      </c>
      <c r="BD28" s="260" t="str">
        <f t="shared" si="11"/>
        <v/>
      </c>
      <c r="BE28" s="273" t="b">
        <f t="shared" si="12"/>
        <v>1</v>
      </c>
      <c r="BF28" s="274">
        <f t="shared" si="13"/>
        <v>44551</v>
      </c>
      <c r="BG28" s="275" t="str">
        <f t="shared" si="14"/>
        <v>RUN-FLMP_2021-12-21_RFR-029</v>
      </c>
      <c r="BH28" s="96">
        <f t="shared" si="15"/>
        <v>2</v>
      </c>
      <c r="BI28" s="96">
        <f t="shared" si="16"/>
        <v>2</v>
      </c>
      <c r="BJ28" s="96">
        <f t="shared" si="17"/>
        <v>2</v>
      </c>
      <c r="BK28" s="96">
        <f t="shared" si="18"/>
        <v>0</v>
      </c>
      <c r="BL28" s="10" t="str">
        <f>IFNA(IF(VLOOKUP(FLOOR($B28,1),'APS Tubes by Date IMPORT'!$B$2:$J163,1,FALSE)=FLOOR($BL27,1),IFERROR(0/0,""),VLOOKUP(FLOOR($B28,1),'APS Tubes by Date IMPORT'!$B$2:$J163,1,FALSE)),"")</f>
        <v/>
      </c>
      <c r="BM28" s="96" t="str">
        <f>IF(ISBLANK($BL28),IFERROR(0/0,""),VLOOKUP(FLOOR($B28,1),'APS Tubes by Date IMPORT'!$B$2:$J163,2,FALSE))</f>
        <v/>
      </c>
    </row>
    <row r="29">
      <c r="A29" s="245" t="str">
        <f>CONCATENATE("RUN-",'Process Ref'!$A$1,"_",TEXT(U29,"YYYY-MM-DD"),"_RFR-",TEXT(AR29,"000"),IF(EXACT(W29,"Initial"),"",CONCATENATE("_",W29)))</f>
        <v>RUN-FLMP_2021-12-22_RFR-030</v>
      </c>
      <c r="B29" s="246">
        <v>44552.61463131945</v>
      </c>
      <c r="C29" s="256"/>
      <c r="D29" s="256" t="s">
        <v>442</v>
      </c>
      <c r="E29" s="250">
        <v>5.0</v>
      </c>
      <c r="F29" s="256" t="s">
        <v>549</v>
      </c>
      <c r="G29" s="249" t="s">
        <v>550</v>
      </c>
      <c r="H29" s="249"/>
      <c r="I29" s="249" t="s">
        <v>551</v>
      </c>
      <c r="J29" s="250"/>
      <c r="K29" s="251"/>
      <c r="L29" s="248"/>
      <c r="M29" s="252">
        <v>1.5</v>
      </c>
      <c r="N29" s="252"/>
      <c r="O29" s="253" t="s">
        <v>552</v>
      </c>
      <c r="P29" s="254" t="b">
        <v>0</v>
      </c>
      <c r="Q29" s="255" t="b">
        <v>0</v>
      </c>
      <c r="R29" s="256"/>
      <c r="S29" s="254" t="b">
        <v>0</v>
      </c>
      <c r="T29" s="284" t="b">
        <v>1</v>
      </c>
      <c r="U29" s="258">
        <v>44552.0</v>
      </c>
      <c r="V29" s="259">
        <v>0.3923611111111111</v>
      </c>
      <c r="W29" s="247" t="s">
        <v>447</v>
      </c>
      <c r="X29" s="256"/>
      <c r="Y29" s="255" t="b">
        <v>0</v>
      </c>
      <c r="Z29" s="248">
        <v>7.0</v>
      </c>
      <c r="AA29" s="260">
        <f t="shared" si="1"/>
        <v>2</v>
      </c>
      <c r="AB29" s="261" t="b">
        <f t="shared" si="2"/>
        <v>0</v>
      </c>
      <c r="AC29" s="248">
        <v>5.0</v>
      </c>
      <c r="AD29" s="248">
        <v>0.0</v>
      </c>
      <c r="AE29" s="248">
        <f t="shared" si="30"/>
        <v>0</v>
      </c>
      <c r="AF29" s="248">
        <v>0.0</v>
      </c>
      <c r="AG29" s="248">
        <v>0.0</v>
      </c>
      <c r="AH29" s="250">
        <f t="shared" si="31"/>
        <v>0</v>
      </c>
      <c r="AI29" s="248">
        <v>0.0</v>
      </c>
      <c r="AJ29" s="250" t="b">
        <v>0</v>
      </c>
      <c r="AK29" s="262">
        <f t="shared" si="32"/>
        <v>5</v>
      </c>
      <c r="AL29" s="248">
        <v>0.0</v>
      </c>
      <c r="AM29" s="248">
        <v>0.0</v>
      </c>
      <c r="AN29" s="263" t="str">
        <f>IFNA(VLOOKUP($A29,'Tube Reactions'!$J$2:$K163,2,FALSE),"")</f>
        <v/>
      </c>
      <c r="AO29" s="264" t="str">
        <f t="shared" si="4"/>
        <v/>
      </c>
      <c r="AP29" s="265" t="str">
        <f t="shared" si="28"/>
        <v>Absent</v>
      </c>
      <c r="AQ29" s="260" t="b">
        <f t="shared" si="6"/>
        <v>1</v>
      </c>
      <c r="AR29" s="266">
        <v>30.0</v>
      </c>
      <c r="AS29" s="267" t="s">
        <v>553</v>
      </c>
      <c r="AT29" s="247"/>
      <c r="AU29" s="268" t="s">
        <v>478</v>
      </c>
      <c r="AV29" s="269">
        <v>8.0</v>
      </c>
      <c r="AW29" s="250" t="b">
        <v>0</v>
      </c>
      <c r="AX29" s="270" t="b">
        <f t="shared" si="7"/>
        <v>0</v>
      </c>
      <c r="AY29" s="248">
        <f t="shared" si="27"/>
        <v>3</v>
      </c>
      <c r="AZ29" s="271" t="s">
        <v>554</v>
      </c>
      <c r="BA29" s="272" t="b">
        <v>0</v>
      </c>
      <c r="BB29" s="245" t="str">
        <f t="shared" si="9"/>
        <v/>
      </c>
      <c r="BC29" s="260" t="str">
        <f t="shared" si="10"/>
        <v/>
      </c>
      <c r="BD29" s="260" t="str">
        <f t="shared" si="11"/>
        <v/>
      </c>
      <c r="BE29" s="273" t="b">
        <f t="shared" si="12"/>
        <v>1</v>
      </c>
      <c r="BF29" s="274">
        <f t="shared" si="13"/>
        <v>44552</v>
      </c>
      <c r="BG29" s="275" t="str">
        <f t="shared" si="14"/>
        <v>RUN-FLMP_2021-12-22_RFR-030</v>
      </c>
      <c r="BH29" s="96">
        <f t="shared" si="15"/>
        <v>5</v>
      </c>
      <c r="BI29" s="96">
        <f t="shared" si="16"/>
        <v>5</v>
      </c>
      <c r="BJ29" s="96">
        <f t="shared" si="17"/>
        <v>5</v>
      </c>
      <c r="BK29" s="96">
        <f t="shared" si="18"/>
        <v>0</v>
      </c>
      <c r="BL29" s="10">
        <f>IFNA(IF(VLOOKUP(FLOOR($B29,1),'APS Tubes by Date IMPORT'!$B$2:$J163,1,FALSE)=FLOOR($BL28,1),IFERROR(0/0,""),VLOOKUP(FLOOR($B29,1),'APS Tubes by Date IMPORT'!$B$2:$J163,1,FALSE)),"")</f>
        <v>44552</v>
      </c>
      <c r="BM29" s="96">
        <f>IF(ISBLANK($BL29),IFERROR(0/0,""),VLOOKUP(FLOOR($B29,1),'APS Tubes by Date IMPORT'!$B$2:$J163,2,FALSE))</f>
        <v>7</v>
      </c>
    </row>
    <row r="30">
      <c r="A30" s="245" t="str">
        <f>CONCATENATE("RUN-",'Process Ref'!$A$1,"_",TEXT(U30,"YYYY-MM-DD"),"_RFR-",TEXT(AR30,"000"),IF(EXACT(W30,"Initial"),"",CONCATENATE("_",W30)))</f>
        <v>RUN-FLMP_2021-12-22_RFR-031</v>
      </c>
      <c r="B30" s="246">
        <v>44552.79971104166</v>
      </c>
      <c r="C30" s="256"/>
      <c r="D30" s="256" t="s">
        <v>442</v>
      </c>
      <c r="E30" s="250">
        <v>8.0</v>
      </c>
      <c r="F30" s="256" t="s">
        <v>555</v>
      </c>
      <c r="G30" s="249" t="s">
        <v>556</v>
      </c>
      <c r="H30" s="282"/>
      <c r="I30" s="283" t="s">
        <v>557</v>
      </c>
      <c r="J30" s="250"/>
      <c r="K30" s="251"/>
      <c r="L30" s="248"/>
      <c r="M30" s="252">
        <v>1.1</v>
      </c>
      <c r="N30" s="252"/>
      <c r="O30" s="253" t="s">
        <v>558</v>
      </c>
      <c r="P30" s="254" t="b">
        <v>0</v>
      </c>
      <c r="Q30" s="255" t="b">
        <v>0</v>
      </c>
      <c r="R30" s="256"/>
      <c r="S30" s="254" t="b">
        <v>0</v>
      </c>
      <c r="T30" s="284" t="b">
        <v>0</v>
      </c>
      <c r="U30" s="258">
        <v>44552.0</v>
      </c>
      <c r="V30" s="259">
        <v>0.7638888888888888</v>
      </c>
      <c r="W30" s="247" t="s">
        <v>447</v>
      </c>
      <c r="X30" s="247" t="s">
        <v>559</v>
      </c>
      <c r="Y30" s="255" t="b">
        <v>0</v>
      </c>
      <c r="Z30" s="248">
        <v>8.0</v>
      </c>
      <c r="AA30" s="260">
        <f t="shared" si="1"/>
        <v>0</v>
      </c>
      <c r="AB30" s="261" t="b">
        <f t="shared" si="2"/>
        <v>1</v>
      </c>
      <c r="AC30" s="248">
        <v>6.0</v>
      </c>
      <c r="AD30" s="248">
        <v>0.0</v>
      </c>
      <c r="AE30" s="248">
        <v>0.0</v>
      </c>
      <c r="AF30" s="248">
        <v>0.0</v>
      </c>
      <c r="AG30" s="248">
        <v>2.0</v>
      </c>
      <c r="AH30" s="248">
        <v>1.0</v>
      </c>
      <c r="AI30" s="248">
        <v>1.0</v>
      </c>
      <c r="AJ30" s="248" t="b">
        <v>0</v>
      </c>
      <c r="AK30" s="301">
        <v>2.0</v>
      </c>
      <c r="AL30" s="248">
        <v>4.0</v>
      </c>
      <c r="AM30" s="248">
        <v>1.0</v>
      </c>
      <c r="AN30" s="263" t="str">
        <f>IFNA(VLOOKUP($A30,'Tube Reactions'!$J$2:$K163,2,FALSE),"")</f>
        <v/>
      </c>
      <c r="AO30" s="264" t="str">
        <f t="shared" si="4"/>
        <v>NOT EQUAL</v>
      </c>
      <c r="AP30" s="265" t="str">
        <f t="shared" si="28"/>
        <v>Absent</v>
      </c>
      <c r="AQ30" s="260" t="b">
        <f t="shared" si="6"/>
        <v>1</v>
      </c>
      <c r="AR30" s="266">
        <v>31.0</v>
      </c>
      <c r="AS30" s="267" t="s">
        <v>560</v>
      </c>
      <c r="AT30" s="247" t="s">
        <v>561</v>
      </c>
      <c r="AU30" s="268" t="s">
        <v>478</v>
      </c>
      <c r="AV30" s="269">
        <v>8.0</v>
      </c>
      <c r="AW30" s="311" t="b">
        <v>0</v>
      </c>
      <c r="AX30" s="270" t="b">
        <f t="shared" si="7"/>
        <v>1</v>
      </c>
      <c r="AY30" s="248">
        <f t="shared" si="27"/>
        <v>2</v>
      </c>
      <c r="AZ30" s="271"/>
      <c r="BA30" s="272" t="b">
        <v>0</v>
      </c>
      <c r="BB30" s="245" t="str">
        <f t="shared" si="9"/>
        <v/>
      </c>
      <c r="BC30" s="260" t="str">
        <f t="shared" si="10"/>
        <v/>
      </c>
      <c r="BD30" s="260" t="str">
        <f t="shared" si="11"/>
        <v/>
      </c>
      <c r="BE30" s="273" t="b">
        <f t="shared" si="12"/>
        <v>1</v>
      </c>
      <c r="BF30" s="274">
        <f t="shared" si="13"/>
        <v>44552</v>
      </c>
      <c r="BG30" s="275" t="str">
        <f t="shared" si="14"/>
        <v>RUN-FLMP_2021-12-22_RFR-031</v>
      </c>
      <c r="BH30" s="96">
        <f t="shared" si="15"/>
        <v>8</v>
      </c>
      <c r="BI30" s="96">
        <f t="shared" si="16"/>
        <v>6</v>
      </c>
      <c r="BJ30" s="96">
        <f t="shared" si="17"/>
        <v>2</v>
      </c>
      <c r="BK30" s="96">
        <f t="shared" si="18"/>
        <v>4</v>
      </c>
      <c r="BL30" s="10" t="str">
        <f>IFNA(IF(VLOOKUP(FLOOR($B30,1),'APS Tubes by Date IMPORT'!$B$2:$J163,1,FALSE)=FLOOR($BL29,1),IFERROR(0/0,""),VLOOKUP(FLOOR($B30,1),'APS Tubes by Date IMPORT'!$B$2:$J163,1,FALSE)),"")</f>
        <v/>
      </c>
      <c r="BM30" s="96" t="str">
        <f>IF(ISBLANK($BL30),IFERROR(0/0,""),VLOOKUP(FLOOR($B30,1),'APS Tubes by Date IMPORT'!$B$2:$J163,2,FALSE))</f>
        <v/>
      </c>
    </row>
    <row r="31">
      <c r="A31" s="245" t="str">
        <f>CONCATENATE("RUN-",'Process Ref'!$A$1,"_",TEXT(U31,"YYYY-MM-DD"),"_RFR-",TEXT(AR31,"000"),IF(EXACT(W31,"Initial"),"",CONCATENATE("_",W31)))</f>
        <v>RUN-FLMP_2021-12-23_RFR-032</v>
      </c>
      <c r="B31" s="246">
        <v>44553.64807829861</v>
      </c>
      <c r="C31" s="256"/>
      <c r="D31" s="256" t="s">
        <v>442</v>
      </c>
      <c r="E31" s="250">
        <v>4.0</v>
      </c>
      <c r="F31" s="256" t="s">
        <v>562</v>
      </c>
      <c r="G31" s="249" t="s">
        <v>563</v>
      </c>
      <c r="H31" s="249"/>
      <c r="I31" s="249" t="s">
        <v>564</v>
      </c>
      <c r="J31" s="250"/>
      <c r="K31" s="251"/>
      <c r="L31" s="248"/>
      <c r="M31" s="252"/>
      <c r="N31" s="252"/>
      <c r="O31" s="253"/>
      <c r="P31" s="254" t="b">
        <v>0</v>
      </c>
      <c r="Q31" s="255" t="b">
        <v>0</v>
      </c>
      <c r="R31" s="256"/>
      <c r="S31" s="254" t="b">
        <v>0</v>
      </c>
      <c r="T31" s="257" t="b">
        <v>0</v>
      </c>
      <c r="U31" s="258">
        <v>44553.0</v>
      </c>
      <c r="V31" s="259">
        <v>0.375</v>
      </c>
      <c r="W31" s="247" t="s">
        <v>447</v>
      </c>
      <c r="X31" s="256"/>
      <c r="Y31" s="254" t="b">
        <v>0</v>
      </c>
      <c r="Z31" s="248">
        <v>8.0</v>
      </c>
      <c r="AA31" s="260">
        <f t="shared" si="1"/>
        <v>4</v>
      </c>
      <c r="AB31" s="261" t="b">
        <f t="shared" si="2"/>
        <v>1</v>
      </c>
      <c r="AC31" s="248">
        <v>6.0</v>
      </c>
      <c r="AD31" s="248">
        <v>0.0</v>
      </c>
      <c r="AE31" s="248">
        <f t="shared" ref="AE31:AE35" si="33">IF(W31="Initial",AD31,(IF(AJ31=TRUE,"CORRECT ME",AD31/3)))</f>
        <v>0</v>
      </c>
      <c r="AF31" s="248">
        <v>0.0</v>
      </c>
      <c r="AG31" s="248">
        <v>3.0</v>
      </c>
      <c r="AH31" s="248">
        <v>1.0</v>
      </c>
      <c r="AI31" s="248">
        <v>1.0</v>
      </c>
      <c r="AJ31" s="250" t="b">
        <v>0</v>
      </c>
      <c r="AK31" s="301">
        <v>4.0</v>
      </c>
      <c r="AL31" s="248">
        <v>4.0</v>
      </c>
      <c r="AM31" s="248">
        <v>1.0</v>
      </c>
      <c r="AN31" s="263" t="str">
        <f>IFNA(VLOOKUP($A31,'Tube Reactions'!$J$2:$K163,2,FALSE),"")</f>
        <v/>
      </c>
      <c r="AO31" s="264" t="str">
        <f t="shared" si="4"/>
        <v>NOT EQUAL</v>
      </c>
      <c r="AP31" s="265" t="str">
        <f t="shared" si="28"/>
        <v>Absent</v>
      </c>
      <c r="AQ31" s="260" t="b">
        <f t="shared" si="6"/>
        <v>1</v>
      </c>
      <c r="AR31" s="266">
        <v>32.0</v>
      </c>
      <c r="AS31" s="267"/>
      <c r="AT31" s="247"/>
      <c r="AU31" s="268" t="s">
        <v>565</v>
      </c>
      <c r="AV31" s="269">
        <v>8.0</v>
      </c>
      <c r="AW31" s="250" t="b">
        <v>0</v>
      </c>
      <c r="AX31" s="270" t="b">
        <f t="shared" si="7"/>
        <v>1</v>
      </c>
      <c r="AY31" s="248">
        <f t="shared" si="27"/>
        <v>2</v>
      </c>
      <c r="AZ31" s="271"/>
      <c r="BA31" s="272" t="b">
        <v>1</v>
      </c>
      <c r="BB31" s="245" t="b">
        <f t="shared" si="9"/>
        <v>1</v>
      </c>
      <c r="BC31" s="260">
        <f t="shared" si="10"/>
        <v>4</v>
      </c>
      <c r="BD31" s="260">
        <f t="shared" si="11"/>
        <v>4</v>
      </c>
      <c r="BE31" s="273" t="b">
        <f t="shared" si="12"/>
        <v>1</v>
      </c>
      <c r="BF31" s="274">
        <f t="shared" si="13"/>
        <v>44553</v>
      </c>
      <c r="BG31" s="275" t="str">
        <f t="shared" si="14"/>
        <v>RUN-FLMP_2021-12-23_RFR-032</v>
      </c>
      <c r="BH31" s="96">
        <f t="shared" si="15"/>
        <v>4</v>
      </c>
      <c r="BI31" s="96">
        <f t="shared" si="16"/>
        <v>6</v>
      </c>
      <c r="BJ31" s="96">
        <f t="shared" si="17"/>
        <v>4</v>
      </c>
      <c r="BK31" s="96">
        <f t="shared" si="18"/>
        <v>4</v>
      </c>
      <c r="BL31" s="10">
        <f>IFNA(IF(VLOOKUP(FLOOR($B31,1),'APS Tubes by Date IMPORT'!$B$2:$J163,1,FALSE)=FLOOR($BL30,1),IFERROR(0/0,""),VLOOKUP(FLOOR($B31,1),'APS Tubes by Date IMPORT'!$B$2:$J163,1,FALSE)),"")</f>
        <v>44553</v>
      </c>
      <c r="BM31" s="96">
        <f>IF(ISBLANK($BL31),IFERROR(0/0,""),VLOOKUP(FLOOR($B31,1),'APS Tubes by Date IMPORT'!$B$2:$J163,2,FALSE))</f>
        <v>4</v>
      </c>
    </row>
    <row r="32">
      <c r="A32" s="245" t="str">
        <f>CONCATENATE("RUN-",'Process Ref'!$A$1,"_",TEXT(U32,"YYYY-MM-DD"),"_RFR-",TEXT(AR32,"000"),IF(EXACT(W32,"Initial"),"",CONCATENATE("_",W32)))</f>
        <v>RUN-FLMP_2021-12-24_RFR-033</v>
      </c>
      <c r="B32" s="246">
        <v>44554.39461956019</v>
      </c>
      <c r="C32" s="256"/>
      <c r="D32" s="256" t="s">
        <v>442</v>
      </c>
      <c r="E32" s="250">
        <v>4.0</v>
      </c>
      <c r="F32" s="256" t="s">
        <v>566</v>
      </c>
      <c r="G32" s="249" t="s">
        <v>567</v>
      </c>
      <c r="H32" s="282"/>
      <c r="I32" s="283" t="s">
        <v>568</v>
      </c>
      <c r="J32" s="250"/>
      <c r="K32" s="251"/>
      <c r="L32" s="248"/>
      <c r="M32" s="252"/>
      <c r="N32" s="252"/>
      <c r="O32" s="253"/>
      <c r="P32" s="254" t="b">
        <v>0</v>
      </c>
      <c r="Q32" s="255" t="b">
        <v>0</v>
      </c>
      <c r="R32" s="256"/>
      <c r="S32" s="254" t="b">
        <v>0</v>
      </c>
      <c r="T32" s="257" t="b">
        <v>0</v>
      </c>
      <c r="U32" s="258">
        <v>44554.0</v>
      </c>
      <c r="V32" s="259">
        <v>0.3125</v>
      </c>
      <c r="W32" s="247" t="s">
        <v>447</v>
      </c>
      <c r="X32" s="247" t="s">
        <v>569</v>
      </c>
      <c r="Y32" s="254" t="b">
        <v>0</v>
      </c>
      <c r="Z32" s="248">
        <v>6.0</v>
      </c>
      <c r="AA32" s="260">
        <f t="shared" si="1"/>
        <v>2</v>
      </c>
      <c r="AB32" s="261" t="b">
        <f t="shared" si="2"/>
        <v>0</v>
      </c>
      <c r="AC32" s="248">
        <v>4.0</v>
      </c>
      <c r="AD32" s="248">
        <v>0.0</v>
      </c>
      <c r="AE32" s="248">
        <f t="shared" si="33"/>
        <v>0</v>
      </c>
      <c r="AF32" s="248">
        <v>0.0</v>
      </c>
      <c r="AG32" s="248">
        <v>2.0</v>
      </c>
      <c r="AH32" s="248">
        <v>1.0</v>
      </c>
      <c r="AI32" s="248">
        <v>1.0</v>
      </c>
      <c r="AJ32" s="250" t="b">
        <v>0</v>
      </c>
      <c r="AK32" s="301">
        <v>3.0</v>
      </c>
      <c r="AL32" s="248">
        <v>4.0</v>
      </c>
      <c r="AM32" s="248">
        <v>1.0</v>
      </c>
      <c r="AN32" s="263" t="str">
        <f>IFNA(VLOOKUP($A32,'Tube Reactions'!$J$2:$K163,2,FALSE),"")</f>
        <v/>
      </c>
      <c r="AO32" s="264" t="str">
        <f t="shared" si="4"/>
        <v>NOT EQUAL</v>
      </c>
      <c r="AP32" s="265" t="str">
        <f t="shared" si="28"/>
        <v>Absent</v>
      </c>
      <c r="AQ32" s="260" t="b">
        <f t="shared" si="6"/>
        <v>1</v>
      </c>
      <c r="AR32" s="266">
        <v>33.0</v>
      </c>
      <c r="AS32" s="279" t="s">
        <v>570</v>
      </c>
      <c r="AT32" s="247" t="s">
        <v>571</v>
      </c>
      <c r="AU32" s="268" t="s">
        <v>478</v>
      </c>
      <c r="AV32" s="269">
        <v>6.0</v>
      </c>
      <c r="AW32" s="311" t="b">
        <v>0</v>
      </c>
      <c r="AX32" s="270" t="b">
        <f t="shared" si="7"/>
        <v>1</v>
      </c>
      <c r="AY32" s="248">
        <f t="shared" si="27"/>
        <v>2</v>
      </c>
      <c r="AZ32" s="271"/>
      <c r="BA32" s="272" t="b">
        <v>1</v>
      </c>
      <c r="BB32" s="245" t="b">
        <f t="shared" si="9"/>
        <v>1</v>
      </c>
      <c r="BC32" s="260">
        <f t="shared" si="10"/>
        <v>4</v>
      </c>
      <c r="BD32" s="260">
        <f t="shared" si="11"/>
        <v>3</v>
      </c>
      <c r="BE32" s="273" t="b">
        <f t="shared" si="12"/>
        <v>1</v>
      </c>
      <c r="BF32" s="274">
        <f t="shared" si="13"/>
        <v>44554</v>
      </c>
      <c r="BG32" s="275" t="str">
        <f t="shared" si="14"/>
        <v>RUN-FLMP_2021-12-24_RFR-033</v>
      </c>
      <c r="BH32" s="96">
        <f t="shared" si="15"/>
        <v>4</v>
      </c>
      <c r="BI32" s="96">
        <f t="shared" si="16"/>
        <v>4</v>
      </c>
      <c r="BJ32" s="96">
        <f t="shared" si="17"/>
        <v>3</v>
      </c>
      <c r="BK32" s="96">
        <f t="shared" si="18"/>
        <v>4</v>
      </c>
      <c r="BL32" s="10">
        <f>IFNA(IF(VLOOKUP(FLOOR($B32,1),'APS Tubes by Date IMPORT'!$B$2:$J163,1,FALSE)=FLOOR($BL31,1),IFERROR(0/0,""),VLOOKUP(FLOOR($B32,1),'APS Tubes by Date IMPORT'!$B$2:$J163,1,FALSE)),"")</f>
        <v>44554</v>
      </c>
      <c r="BM32" s="96">
        <f>IF(ISBLANK($BL32),IFERROR(0/0,""),VLOOKUP(FLOOR($B32,1),'APS Tubes by Date IMPORT'!$B$2:$J163,2,FALSE))</f>
        <v>4</v>
      </c>
    </row>
    <row r="33">
      <c r="A33" s="245" t="str">
        <f>CONCATENATE("RUN-",'Process Ref'!$A$1,"_",TEXT(U33,"YYYY-MM-DD"),"_RFR-",TEXT(AR33,"000"),IF(EXACT(W33,"Initial"),"",CONCATENATE("_",W33)))</f>
        <v>RUN-FLMP_2021-12-25_RFR-034</v>
      </c>
      <c r="B33" s="246">
        <v>44555.72068204861</v>
      </c>
      <c r="C33" s="256"/>
      <c r="D33" s="256" t="s">
        <v>442</v>
      </c>
      <c r="E33" s="250">
        <v>8.0</v>
      </c>
      <c r="F33" s="256"/>
      <c r="G33" s="249" t="s">
        <v>572</v>
      </c>
      <c r="H33" s="249"/>
      <c r="I33" s="249" t="s">
        <v>573</v>
      </c>
      <c r="J33" s="250"/>
      <c r="K33" s="251"/>
      <c r="L33" s="248"/>
      <c r="M33" s="252">
        <v>1.1</v>
      </c>
      <c r="N33" s="252"/>
      <c r="O33" s="253" t="s">
        <v>574</v>
      </c>
      <c r="P33" s="254" t="b">
        <v>0</v>
      </c>
      <c r="Q33" s="255" t="b">
        <v>0</v>
      </c>
      <c r="R33" s="256"/>
      <c r="S33" s="254" t="b">
        <v>0</v>
      </c>
      <c r="T33" s="257" t="b">
        <v>0</v>
      </c>
      <c r="U33" s="258">
        <v>44555.0</v>
      </c>
      <c r="V33" s="259">
        <v>0.3923611111111111</v>
      </c>
      <c r="W33" s="247" t="s">
        <v>447</v>
      </c>
      <c r="X33" s="247" t="s">
        <v>575</v>
      </c>
      <c r="Y33" s="254" t="b">
        <v>0</v>
      </c>
      <c r="Z33" s="248">
        <v>8.0</v>
      </c>
      <c r="AA33" s="260">
        <f t="shared" si="1"/>
        <v>0</v>
      </c>
      <c r="AB33" s="261" t="b">
        <f t="shared" si="2"/>
        <v>1</v>
      </c>
      <c r="AC33" s="248">
        <v>6.0</v>
      </c>
      <c r="AD33" s="248">
        <v>0.0</v>
      </c>
      <c r="AE33" s="248">
        <f t="shared" si="33"/>
        <v>0</v>
      </c>
      <c r="AF33" s="248">
        <v>0.0</v>
      </c>
      <c r="AG33" s="248">
        <v>4.0</v>
      </c>
      <c r="AH33" s="248">
        <v>2.0</v>
      </c>
      <c r="AI33" s="248">
        <v>2.0</v>
      </c>
      <c r="AJ33" s="250" t="b">
        <v>0</v>
      </c>
      <c r="AK33" s="301">
        <v>2.0</v>
      </c>
      <c r="AL33" s="248">
        <v>4.0</v>
      </c>
      <c r="AM33" s="248">
        <v>2.0</v>
      </c>
      <c r="AN33" s="263" t="str">
        <f>IFNA(VLOOKUP($A33,'Tube Reactions'!$J$2:$K163,2,FALSE),"")</f>
        <v/>
      </c>
      <c r="AO33" s="264" t="str">
        <f t="shared" si="4"/>
        <v>NOT EQUAL</v>
      </c>
      <c r="AP33" s="265" t="str">
        <f t="shared" si="28"/>
        <v>Absent</v>
      </c>
      <c r="AQ33" s="260" t="b">
        <f t="shared" si="6"/>
        <v>1</v>
      </c>
      <c r="AR33" s="266">
        <v>34.0</v>
      </c>
      <c r="AS33" s="267"/>
      <c r="AT33" s="247"/>
      <c r="AU33" s="268" t="s">
        <v>565</v>
      </c>
      <c r="AV33" s="269">
        <v>8.0</v>
      </c>
      <c r="AW33" s="250" t="b">
        <v>0</v>
      </c>
      <c r="AX33" s="270" t="b">
        <f t="shared" si="7"/>
        <v>1</v>
      </c>
      <c r="AY33" s="248">
        <f t="shared" si="27"/>
        <v>2</v>
      </c>
      <c r="AZ33" s="271"/>
      <c r="BA33" s="272" t="b">
        <v>1</v>
      </c>
      <c r="BB33" s="245" t="b">
        <f t="shared" si="9"/>
        <v>1</v>
      </c>
      <c r="BC33" s="260">
        <f t="shared" si="10"/>
        <v>4</v>
      </c>
      <c r="BD33" s="260">
        <f t="shared" si="11"/>
        <v>2</v>
      </c>
      <c r="BE33" s="273" t="b">
        <f t="shared" si="12"/>
        <v>1</v>
      </c>
      <c r="BF33" s="274">
        <f t="shared" si="13"/>
        <v>44555</v>
      </c>
      <c r="BG33" s="275" t="str">
        <f t="shared" si="14"/>
        <v>RUN-FLMP_2021-12-25_RFR-034</v>
      </c>
      <c r="BH33" s="96">
        <f t="shared" si="15"/>
        <v>8</v>
      </c>
      <c r="BI33" s="96">
        <f t="shared" si="16"/>
        <v>6</v>
      </c>
      <c r="BJ33" s="96">
        <f t="shared" si="17"/>
        <v>2</v>
      </c>
      <c r="BK33" s="96">
        <f t="shared" si="18"/>
        <v>4</v>
      </c>
      <c r="BL33" s="10">
        <f>IFNA(IF(VLOOKUP(FLOOR($B33,1),'APS Tubes by Date IMPORT'!$B$2:$J163,1,FALSE)=FLOOR($BL32,1),IFERROR(0/0,""),VLOOKUP(FLOOR($B33,1),'APS Tubes by Date IMPORT'!$B$2:$J163,1,FALSE)),"")</f>
        <v>44555</v>
      </c>
      <c r="BM33" s="96">
        <f>IF(ISBLANK($BL33),IFERROR(0/0,""),VLOOKUP(FLOOR($B33,1),'APS Tubes by Date IMPORT'!$B$2:$J163,2,FALSE))</f>
        <v>2</v>
      </c>
    </row>
    <row r="34">
      <c r="A34" s="245" t="str">
        <f>CONCATENATE("RUN-",'Process Ref'!$A$1,"_",TEXT(U34,"YYYY-MM-DD"),"_RFR-",TEXT(AR34,"000"),IF(EXACT(W34,"Initial"),"",CONCATENATE("_",W34)))</f>
        <v>RUN-FLMP_2021-12-26_RFR-035</v>
      </c>
      <c r="B34" s="246">
        <v>44556.208288842594</v>
      </c>
      <c r="C34" s="256"/>
      <c r="D34" s="256" t="s">
        <v>442</v>
      </c>
      <c r="E34" s="250">
        <v>4.0</v>
      </c>
      <c r="F34" s="256"/>
      <c r="G34" s="249" t="s">
        <v>576</v>
      </c>
      <c r="H34" s="282"/>
      <c r="I34" s="283" t="s">
        <v>577</v>
      </c>
      <c r="J34" s="250"/>
      <c r="K34" s="277" t="s">
        <v>578</v>
      </c>
      <c r="L34" s="248"/>
      <c r="M34" s="252">
        <v>1.1</v>
      </c>
      <c r="N34" s="252"/>
      <c r="O34" s="253" t="s">
        <v>579</v>
      </c>
      <c r="P34" s="254" t="b">
        <v>0</v>
      </c>
      <c r="Q34" s="255" t="b">
        <v>0</v>
      </c>
      <c r="R34" s="256"/>
      <c r="S34" s="254" t="b">
        <v>0</v>
      </c>
      <c r="T34" s="257" t="b">
        <v>0</v>
      </c>
      <c r="U34" s="258">
        <v>44556.0</v>
      </c>
      <c r="V34" s="259">
        <v>0.1736111111111111</v>
      </c>
      <c r="W34" s="247" t="s">
        <v>447</v>
      </c>
      <c r="X34" s="247" t="s">
        <v>580</v>
      </c>
      <c r="Y34" s="254" t="b">
        <v>0</v>
      </c>
      <c r="Z34" s="248">
        <v>4.0</v>
      </c>
      <c r="AA34" s="260">
        <f t="shared" si="1"/>
        <v>0</v>
      </c>
      <c r="AB34" s="261" t="b">
        <f t="shared" si="2"/>
        <v>1</v>
      </c>
      <c r="AC34" s="248">
        <v>2.0</v>
      </c>
      <c r="AD34" s="248">
        <v>0.0</v>
      </c>
      <c r="AE34" s="248">
        <f t="shared" si="33"/>
        <v>0</v>
      </c>
      <c r="AF34" s="248">
        <v>0.0</v>
      </c>
      <c r="AG34" s="248">
        <v>2.0</v>
      </c>
      <c r="AH34" s="248">
        <v>1.0</v>
      </c>
      <c r="AI34" s="248">
        <v>1.0</v>
      </c>
      <c r="AJ34" s="250" t="b">
        <v>0</v>
      </c>
      <c r="AK34" s="301">
        <v>1.0</v>
      </c>
      <c r="AL34" s="248">
        <v>4.0</v>
      </c>
      <c r="AM34" s="248">
        <v>1.0</v>
      </c>
      <c r="AN34" s="263" t="str">
        <f>IFNA(VLOOKUP($A34,'Tube Reactions'!$J$2:$K163,2,FALSE),"")</f>
        <v/>
      </c>
      <c r="AO34" s="264" t="str">
        <f t="shared" si="4"/>
        <v>NOT EQUAL</v>
      </c>
      <c r="AP34" s="265" t="str">
        <f t="shared" si="28"/>
        <v>Absent</v>
      </c>
      <c r="AQ34" s="260" t="b">
        <f t="shared" si="6"/>
        <v>1</v>
      </c>
      <c r="AR34" s="266">
        <v>35.0</v>
      </c>
      <c r="AS34" s="279" t="s">
        <v>581</v>
      </c>
      <c r="AT34" s="247"/>
      <c r="AU34" s="268" t="s">
        <v>478</v>
      </c>
      <c r="AV34" s="269">
        <v>4.0</v>
      </c>
      <c r="AW34" s="311" t="b">
        <v>0</v>
      </c>
      <c r="AX34" s="270" t="b">
        <f t="shared" si="7"/>
        <v>1</v>
      </c>
      <c r="AY34" s="248">
        <f t="shared" si="27"/>
        <v>2</v>
      </c>
      <c r="AZ34" s="271"/>
      <c r="BA34" s="272" t="b">
        <v>1</v>
      </c>
      <c r="BB34" s="245" t="b">
        <f t="shared" si="9"/>
        <v>1</v>
      </c>
      <c r="BC34" s="260">
        <f t="shared" si="10"/>
        <v>4</v>
      </c>
      <c r="BD34" s="260">
        <f t="shared" si="11"/>
        <v>1</v>
      </c>
      <c r="BE34" s="273" t="b">
        <f t="shared" si="12"/>
        <v>1</v>
      </c>
      <c r="BF34" s="274">
        <f t="shared" si="13"/>
        <v>44556</v>
      </c>
      <c r="BG34" s="275" t="str">
        <f t="shared" si="14"/>
        <v>RUN-FLMP_2021-12-26_RFR-035</v>
      </c>
      <c r="BH34" s="96">
        <f t="shared" si="15"/>
        <v>4</v>
      </c>
      <c r="BI34" s="96">
        <f t="shared" si="16"/>
        <v>2</v>
      </c>
      <c r="BJ34" s="96">
        <f t="shared" si="17"/>
        <v>1</v>
      </c>
      <c r="BK34" s="96">
        <f t="shared" si="18"/>
        <v>4</v>
      </c>
      <c r="BL34" s="10">
        <f>IFNA(IF(VLOOKUP(FLOOR($B34,1),'APS Tubes by Date IMPORT'!$B$2:$J163,1,FALSE)=FLOOR($BL33,1),IFERROR(0/0,""),VLOOKUP(FLOOR($B34,1),'APS Tubes by Date IMPORT'!$B$2:$J163,1,FALSE)),"")</f>
        <v>44556</v>
      </c>
      <c r="BM34" s="96">
        <f>IF(ISBLANK($BL34),IFERROR(0/0,""),VLOOKUP(FLOOR($B34,1),'APS Tubes by Date IMPORT'!$B$2:$J163,2,FALSE))</f>
        <v>2</v>
      </c>
    </row>
    <row r="35" ht="15.75" customHeight="1">
      <c r="A35" s="245" t="str">
        <f>CONCATENATE("RUN-",'Process Ref'!$A$1,"_",TEXT(U35,"YYYY-MM-DD"),"_RFR-",TEXT(AR35,"000"),IF(EXACT(W35,"Initial"),"",CONCATENATE("_",W35)))</f>
        <v>RUN-FLMP_2021-12-27_RFR-036</v>
      </c>
      <c r="B35" s="246">
        <v>44557.4299900926</v>
      </c>
      <c r="C35" s="256"/>
      <c r="D35" s="256" t="s">
        <v>442</v>
      </c>
      <c r="E35" s="250">
        <v>3.0</v>
      </c>
      <c r="F35" s="256" t="s">
        <v>582</v>
      </c>
      <c r="G35" s="249" t="s">
        <v>583</v>
      </c>
      <c r="H35" s="249"/>
      <c r="I35" s="249" t="s">
        <v>584</v>
      </c>
      <c r="J35" s="250"/>
      <c r="K35" s="251"/>
      <c r="L35" s="248"/>
      <c r="M35" s="252"/>
      <c r="N35" s="252"/>
      <c r="O35" s="253"/>
      <c r="P35" s="254" t="b">
        <v>0</v>
      </c>
      <c r="Q35" s="255" t="b">
        <v>0</v>
      </c>
      <c r="R35" s="256"/>
      <c r="S35" s="254" t="b">
        <v>0</v>
      </c>
      <c r="T35" s="257" t="b">
        <v>0</v>
      </c>
      <c r="U35" s="258">
        <v>44557.0</v>
      </c>
      <c r="V35" s="259">
        <v>0.3854166666666667</v>
      </c>
      <c r="W35" s="247" t="s">
        <v>447</v>
      </c>
      <c r="X35" s="247" t="s">
        <v>585</v>
      </c>
      <c r="Y35" s="254" t="b">
        <v>0</v>
      </c>
      <c r="Z35" s="248">
        <v>5.0</v>
      </c>
      <c r="AA35" s="260">
        <f t="shared" si="1"/>
        <v>2</v>
      </c>
      <c r="AB35" s="261" t="b">
        <f t="shared" si="2"/>
        <v>0</v>
      </c>
      <c r="AC35" s="248">
        <v>3.0</v>
      </c>
      <c r="AD35" s="248">
        <v>0.0</v>
      </c>
      <c r="AE35" s="248">
        <f t="shared" si="33"/>
        <v>0</v>
      </c>
      <c r="AF35" s="248">
        <v>0.0</v>
      </c>
      <c r="AG35" s="248">
        <v>0.0</v>
      </c>
      <c r="AH35" s="250">
        <f>IF(W35="Initial",AG35,(IF(AJ35=TRUE,"CORRECT ME",AG35/3)))</f>
        <v>0</v>
      </c>
      <c r="AI35" s="248">
        <v>0.0</v>
      </c>
      <c r="AJ35" s="250" t="b">
        <v>0</v>
      </c>
      <c r="AK35" s="262">
        <f>IF(W35="Initial",AC35,IF(AJ35=TRUE,"CORRECT ME",AC35/3))</f>
        <v>3</v>
      </c>
      <c r="AL35" s="248">
        <v>0.0</v>
      </c>
      <c r="AM35" s="248">
        <v>0.0</v>
      </c>
      <c r="AN35" s="263" t="str">
        <f>IFNA(VLOOKUP($A35,'Tube Reactions'!$J$2:$K163,2,FALSE),"")</f>
        <v/>
      </c>
      <c r="AO35" s="264" t="str">
        <f t="shared" si="4"/>
        <v/>
      </c>
      <c r="AP35" s="265" t="str">
        <f t="shared" si="28"/>
        <v>Absent</v>
      </c>
      <c r="AQ35" s="260" t="b">
        <f t="shared" si="6"/>
        <v>1</v>
      </c>
      <c r="AR35" s="266">
        <v>36.0</v>
      </c>
      <c r="AS35" s="267"/>
      <c r="AT35" s="247" t="s">
        <v>586</v>
      </c>
      <c r="AU35" s="268" t="s">
        <v>565</v>
      </c>
      <c r="AV35" s="269">
        <v>5.0</v>
      </c>
      <c r="AW35" s="248" t="b">
        <v>1</v>
      </c>
      <c r="AX35" s="270" t="b">
        <f t="shared" si="7"/>
        <v>1</v>
      </c>
      <c r="AY35" s="250">
        <f t="shared" si="27"/>
        <v>2</v>
      </c>
      <c r="AZ35" s="276"/>
      <c r="BA35" s="272" t="b">
        <v>0</v>
      </c>
      <c r="BB35" s="245" t="str">
        <f t="shared" si="9"/>
        <v/>
      </c>
      <c r="BC35" s="260" t="str">
        <f t="shared" si="10"/>
        <v/>
      </c>
      <c r="BD35" s="260" t="str">
        <f t="shared" si="11"/>
        <v/>
      </c>
      <c r="BE35" s="273" t="b">
        <f t="shared" si="12"/>
        <v>1</v>
      </c>
      <c r="BF35" s="274">
        <f t="shared" si="13"/>
        <v>44557</v>
      </c>
      <c r="BG35" s="275" t="str">
        <f t="shared" si="14"/>
        <v>RUN-FLMP_2021-12-27_RFR-036</v>
      </c>
      <c r="BH35" s="96">
        <f t="shared" si="15"/>
        <v>3</v>
      </c>
      <c r="BI35" s="96">
        <f t="shared" si="16"/>
        <v>3</v>
      </c>
      <c r="BJ35" s="96">
        <f t="shared" si="17"/>
        <v>3</v>
      </c>
      <c r="BK35" s="96">
        <f t="shared" si="18"/>
        <v>0</v>
      </c>
      <c r="BL35" s="10">
        <f>IFNA(IF(VLOOKUP(FLOOR($B35,1),'APS Tubes by Date IMPORT'!$B$2:$J163,1,FALSE)=FLOOR($BL34,1),IFERROR(0/0,""),VLOOKUP(FLOOR($B35,1),'APS Tubes by Date IMPORT'!$B$2:$J163,1,FALSE)),"")</f>
        <v>44557</v>
      </c>
      <c r="BM35" s="96">
        <f>IF(ISBLANK($BL35),IFERROR(0/0,""),VLOOKUP(FLOOR($B35,1),'APS Tubes by Date IMPORT'!$B$2:$J163,2,FALSE))</f>
        <v>5</v>
      </c>
    </row>
    <row r="36">
      <c r="A36" s="245" t="str">
        <f>CONCATENATE("RUN-",'Process Ref'!$A$1,"_",TEXT(U36,"YYYY-MM-DD"),"_RFR-",TEXT(AR36,"000"),IF(EXACT(W36,"Initial"),"",CONCATENATE("_",W36)))</f>
        <v>RUN-FLMP_2021-12-27_RFR-037</v>
      </c>
      <c r="B36" s="246">
        <v>44558.37461442129</v>
      </c>
      <c r="C36" s="256"/>
      <c r="D36" s="247" t="s">
        <v>587</v>
      </c>
      <c r="E36" s="250">
        <v>3.0</v>
      </c>
      <c r="F36" s="256"/>
      <c r="G36" s="249" t="s">
        <v>588</v>
      </c>
      <c r="H36" s="249"/>
      <c r="I36" s="249" t="s">
        <v>589</v>
      </c>
      <c r="J36" s="250"/>
      <c r="K36" s="251" t="s">
        <v>590</v>
      </c>
      <c r="L36" s="248"/>
      <c r="M36" s="252">
        <v>1.6</v>
      </c>
      <c r="N36" s="252"/>
      <c r="O36" s="253" t="s">
        <v>591</v>
      </c>
      <c r="P36" s="254" t="b">
        <v>0</v>
      </c>
      <c r="Q36" s="255" t="b">
        <v>0</v>
      </c>
      <c r="R36" s="256"/>
      <c r="S36" s="255" t="b">
        <v>1</v>
      </c>
      <c r="T36" s="284" t="b">
        <v>0</v>
      </c>
      <c r="U36" s="258">
        <v>44557.0</v>
      </c>
      <c r="V36" s="259">
        <v>0.75</v>
      </c>
      <c r="W36" s="247" t="s">
        <v>447</v>
      </c>
      <c r="X36" s="247" t="s">
        <v>592</v>
      </c>
      <c r="Y36" s="254" t="b">
        <v>0</v>
      </c>
      <c r="Z36" s="250"/>
      <c r="AA36" s="250"/>
      <c r="AB36" s="261" t="b">
        <f t="shared" si="2"/>
        <v>1</v>
      </c>
      <c r="AC36" s="248">
        <v>2.0</v>
      </c>
      <c r="AD36" s="248">
        <v>0.0</v>
      </c>
      <c r="AE36" s="248">
        <v>0.0</v>
      </c>
      <c r="AF36" s="248">
        <v>0.0</v>
      </c>
      <c r="AG36" s="248">
        <v>0.0</v>
      </c>
      <c r="AH36" s="248">
        <v>0.0</v>
      </c>
      <c r="AI36" s="248">
        <v>0.0</v>
      </c>
      <c r="AJ36" s="250" t="b">
        <v>0</v>
      </c>
      <c r="AK36" s="314">
        <v>2.0</v>
      </c>
      <c r="AL36" s="248">
        <v>0.0</v>
      </c>
      <c r="AM36" s="248">
        <v>0.0</v>
      </c>
      <c r="AN36" s="263" t="str">
        <f>IFNA(VLOOKUP($A36,'Tube Reactions'!$J$2:$K163,2,FALSE),"")</f>
        <v/>
      </c>
      <c r="AO36" s="264" t="str">
        <f t="shared" si="4"/>
        <v/>
      </c>
      <c r="AP36" s="265" t="str">
        <f t="shared" si="28"/>
        <v>Absent</v>
      </c>
      <c r="AQ36" s="260" t="b">
        <f t="shared" si="6"/>
        <v>1</v>
      </c>
      <c r="AR36" s="266">
        <v>37.0</v>
      </c>
      <c r="AS36" s="279" t="s">
        <v>593</v>
      </c>
      <c r="AT36" s="247" t="s">
        <v>594</v>
      </c>
      <c r="AU36" s="268" t="s">
        <v>595</v>
      </c>
      <c r="AV36" s="269">
        <v>4.0</v>
      </c>
      <c r="AW36" s="248" t="b">
        <v>1</v>
      </c>
      <c r="AX36" s="270" t="b">
        <f t="shared" si="7"/>
        <v>1</v>
      </c>
      <c r="AY36" s="250">
        <f t="shared" si="27"/>
        <v>2</v>
      </c>
      <c r="AZ36" s="276"/>
      <c r="BA36" s="272" t="b">
        <v>0</v>
      </c>
      <c r="BB36" s="245" t="str">
        <f t="shared" si="9"/>
        <v/>
      </c>
      <c r="BC36" s="260" t="str">
        <f t="shared" si="10"/>
        <v/>
      </c>
      <c r="BD36" s="260" t="str">
        <f t="shared" si="11"/>
        <v/>
      </c>
      <c r="BE36" s="273" t="str">
        <f t="shared" si="12"/>
        <v/>
      </c>
      <c r="BF36" s="274">
        <f t="shared" si="13"/>
        <v>44557</v>
      </c>
      <c r="BG36" s="275" t="str">
        <f t="shared" si="14"/>
        <v>RUN-FLMP_2021-12-27_RFR-037</v>
      </c>
      <c r="BH36" s="96">
        <f t="shared" si="15"/>
        <v>3</v>
      </c>
      <c r="BI36" s="96">
        <f t="shared" si="16"/>
        <v>2</v>
      </c>
      <c r="BJ36" s="96">
        <f t="shared" si="17"/>
        <v>2</v>
      </c>
      <c r="BK36" s="96">
        <f t="shared" si="18"/>
        <v>0</v>
      </c>
      <c r="BL36" s="10">
        <f>IFNA(IF(VLOOKUP(FLOOR($B36,1),'APS Tubes by Date IMPORT'!$B$2:$J163,1,FALSE)=FLOOR($BL35,1),IFERROR(0/0,""),VLOOKUP(FLOOR($B36,1),'APS Tubes by Date IMPORT'!$B$2:$J163,1,FALSE)),"")</f>
        <v>44558</v>
      </c>
      <c r="BM36" s="96">
        <f>IF(ISBLANK($BL36),IFERROR(0/0,""),VLOOKUP(FLOOR($B36,1),'APS Tubes by Date IMPORT'!$B$2:$J163,2,FALSE))</f>
        <v>4</v>
      </c>
    </row>
    <row r="37">
      <c r="A37" s="245" t="str">
        <f>CONCATENATE("RUN-",'Process Ref'!$A$1,"_",TEXT(U37,"YYYY-MM-DD"),"_RFR-",TEXT(AR37,"000"),IF(EXACT(W37,"Initial"),"",CONCATENATE("_",W37)))</f>
        <v>RUN-FLMP_2021-12-28_RFR-038</v>
      </c>
      <c r="B37" s="246">
        <v>44558.37461442129</v>
      </c>
      <c r="C37" s="256"/>
      <c r="D37" s="247" t="s">
        <v>587</v>
      </c>
      <c r="E37" s="250">
        <v>3.0</v>
      </c>
      <c r="F37" s="256"/>
      <c r="G37" s="249" t="s">
        <v>588</v>
      </c>
      <c r="H37" s="249"/>
      <c r="I37" s="315" t="s">
        <v>497</v>
      </c>
      <c r="J37" s="250"/>
      <c r="K37" s="251" t="s">
        <v>590</v>
      </c>
      <c r="L37" s="248"/>
      <c r="M37" s="252">
        <v>1.6</v>
      </c>
      <c r="N37" s="252"/>
      <c r="O37" s="253" t="s">
        <v>596</v>
      </c>
      <c r="P37" s="254" t="b">
        <v>0</v>
      </c>
      <c r="Q37" s="255" t="b">
        <v>0</v>
      </c>
      <c r="R37" s="256"/>
      <c r="S37" s="255" t="b">
        <v>0</v>
      </c>
      <c r="T37" s="284" t="b">
        <v>0</v>
      </c>
      <c r="U37" s="258">
        <v>44558.0</v>
      </c>
      <c r="V37" s="259">
        <v>0.3333333333333333</v>
      </c>
      <c r="W37" s="247" t="s">
        <v>447</v>
      </c>
      <c r="X37" s="247" t="s">
        <v>592</v>
      </c>
      <c r="Y37" s="254" t="b">
        <v>0</v>
      </c>
      <c r="Z37" s="250"/>
      <c r="AA37" s="250"/>
      <c r="AB37" s="261" t="b">
        <f t="shared" si="2"/>
        <v>1</v>
      </c>
      <c r="AC37" s="292">
        <v>1.0</v>
      </c>
      <c r="AD37" s="248">
        <v>0.0</v>
      </c>
      <c r="AE37" s="248">
        <v>0.0</v>
      </c>
      <c r="AF37" s="248">
        <v>0.0</v>
      </c>
      <c r="AG37" s="248">
        <v>0.0</v>
      </c>
      <c r="AH37" s="248">
        <v>0.0</v>
      </c>
      <c r="AI37" s="248">
        <v>0.0</v>
      </c>
      <c r="AJ37" s="250"/>
      <c r="AK37" s="316">
        <v>1.0</v>
      </c>
      <c r="AL37" s="248">
        <v>0.0</v>
      </c>
      <c r="AM37" s="248">
        <v>0.0</v>
      </c>
      <c r="AN37" s="263" t="str">
        <f>IFNA(VLOOKUP($A37,'Tube Reactions'!$J$2:$K163,2,FALSE),"")</f>
        <v/>
      </c>
      <c r="AO37" s="264" t="str">
        <f t="shared" si="4"/>
        <v/>
      </c>
      <c r="AP37" s="265" t="str">
        <f t="shared" si="28"/>
        <v>Absent</v>
      </c>
      <c r="AQ37" s="260" t="b">
        <f t="shared" si="6"/>
        <v>1</v>
      </c>
      <c r="AR37" s="266">
        <v>38.0</v>
      </c>
      <c r="AS37" s="279" t="s">
        <v>597</v>
      </c>
      <c r="AT37" s="247" t="s">
        <v>594</v>
      </c>
      <c r="AU37" s="268" t="s">
        <v>595</v>
      </c>
      <c r="AV37" s="269">
        <v>6.0</v>
      </c>
      <c r="AW37" s="248" t="b">
        <v>1</v>
      </c>
      <c r="AX37" s="270" t="b">
        <f t="shared" si="7"/>
        <v>1</v>
      </c>
      <c r="AY37" s="250"/>
      <c r="AZ37" s="271" t="s">
        <v>497</v>
      </c>
      <c r="BA37" s="272" t="b">
        <v>1</v>
      </c>
      <c r="BB37" s="245" t="b">
        <f t="shared" si="9"/>
        <v>1</v>
      </c>
      <c r="BC37" s="260" t="b">
        <f t="shared" si="10"/>
        <v>1</v>
      </c>
      <c r="BD37" s="260">
        <f t="shared" si="11"/>
        <v>1</v>
      </c>
      <c r="BE37" s="273" t="b">
        <f t="shared" si="12"/>
        <v>1</v>
      </c>
      <c r="BF37" s="274">
        <f t="shared" si="13"/>
        <v>44558</v>
      </c>
      <c r="BG37" s="275" t="str">
        <f t="shared" si="14"/>
        <v>RUN-FLMP_2021-12-28_RFR-038</v>
      </c>
      <c r="BH37" s="96">
        <f t="shared" si="15"/>
        <v>3</v>
      </c>
      <c r="BI37" s="96">
        <f t="shared" si="16"/>
        <v>1</v>
      </c>
      <c r="BJ37" s="96">
        <f t="shared" si="17"/>
        <v>1</v>
      </c>
      <c r="BK37" s="96">
        <f t="shared" si="18"/>
        <v>0</v>
      </c>
      <c r="BL37" s="10" t="str">
        <f>IFNA(IF(VLOOKUP(FLOOR($B37,1),'APS Tubes by Date IMPORT'!$B$2:$J163,1,FALSE)=FLOOR($BL36,1),IFERROR(0/0,""),VLOOKUP(FLOOR($B37,1),'APS Tubes by Date IMPORT'!$B$2:$J163,1,FALSE)),"")</f>
        <v/>
      </c>
      <c r="BM37" s="96" t="str">
        <f>IF(ISBLANK($BL37),IFERROR(0/0,""),VLOOKUP(FLOOR($B37,1),'APS Tubes by Date IMPORT'!$B$2:$J163,2,FALSE))</f>
        <v/>
      </c>
    </row>
    <row r="38">
      <c r="A38" s="245" t="str">
        <f>CONCATENATE("RUN-",'Process Ref'!$A$1,"_",TEXT(U38,"YYYY-MM-DD"),"_RFR-",TEXT(AR38,"000"),IF(EXACT(W38,"Initial"),"",CONCATENATE("_",W38)))</f>
        <v>RUN-FLMP_2021-12-29_RFR-039</v>
      </c>
      <c r="B38" s="246">
        <v>44559.424847291666</v>
      </c>
      <c r="C38" s="256"/>
      <c r="D38" s="256" t="s">
        <v>442</v>
      </c>
      <c r="E38" s="250">
        <v>4.0</v>
      </c>
      <c r="F38" s="256" t="s">
        <v>598</v>
      </c>
      <c r="G38" s="249" t="s">
        <v>599</v>
      </c>
      <c r="H38" s="282"/>
      <c r="I38" s="283" t="s">
        <v>600</v>
      </c>
      <c r="J38" s="250"/>
      <c r="K38" s="251"/>
      <c r="L38" s="248"/>
      <c r="M38" s="252"/>
      <c r="N38" s="252"/>
      <c r="O38" s="253"/>
      <c r="P38" s="254" t="b">
        <v>0</v>
      </c>
      <c r="Q38" s="255" t="b">
        <v>0</v>
      </c>
      <c r="R38" s="256"/>
      <c r="S38" s="254" t="b">
        <v>0</v>
      </c>
      <c r="T38" s="257" t="b">
        <v>0</v>
      </c>
      <c r="U38" s="258">
        <v>44559.0</v>
      </c>
      <c r="V38" s="259">
        <v>0.3854166666666667</v>
      </c>
      <c r="W38" s="247" t="s">
        <v>447</v>
      </c>
      <c r="X38" s="247" t="s">
        <v>601</v>
      </c>
      <c r="Y38" s="254" t="b">
        <v>0</v>
      </c>
      <c r="Z38" s="248">
        <v>6.0</v>
      </c>
      <c r="AA38" s="260">
        <f t="shared" ref="AA38:AA153" si="34">Z38-E38</f>
        <v>2</v>
      </c>
      <c r="AB38" s="261" t="b">
        <f t="shared" si="2"/>
        <v>0</v>
      </c>
      <c r="AC38" s="248">
        <v>4.0</v>
      </c>
      <c r="AD38" s="248">
        <v>0.0</v>
      </c>
      <c r="AE38" s="248">
        <v>0.0</v>
      </c>
      <c r="AF38" s="248">
        <v>0.0</v>
      </c>
      <c r="AG38" s="248">
        <v>0.0</v>
      </c>
      <c r="AH38" s="248">
        <v>0.0</v>
      </c>
      <c r="AI38" s="248">
        <v>0.0</v>
      </c>
      <c r="AJ38" s="250" t="b">
        <v>0</v>
      </c>
      <c r="AK38" s="262">
        <f t="shared" ref="AK38:AK39" si="35">IF(W38="Initial",AC38,IF(AJ38=TRUE,"CORRECT ME",AC38/3))</f>
        <v>4</v>
      </c>
      <c r="AL38" s="248">
        <v>0.0</v>
      </c>
      <c r="AM38" s="248">
        <v>0.0</v>
      </c>
      <c r="AN38" s="263" t="str">
        <f>IFNA(VLOOKUP($A38,'Tube Reactions'!$J$2:$K163,2,FALSE),"")</f>
        <v/>
      </c>
      <c r="AO38" s="264" t="str">
        <f t="shared" si="4"/>
        <v/>
      </c>
      <c r="AP38" s="265" t="str">
        <f t="shared" si="28"/>
        <v>Absent</v>
      </c>
      <c r="AQ38" s="260" t="b">
        <f t="shared" si="6"/>
        <v>1</v>
      </c>
      <c r="AR38" s="266">
        <v>39.0</v>
      </c>
      <c r="AS38" s="267"/>
      <c r="AT38" s="247" t="s">
        <v>602</v>
      </c>
      <c r="AU38" s="268" t="s">
        <v>603</v>
      </c>
      <c r="AV38" s="269">
        <v>6.0</v>
      </c>
      <c r="AW38" s="310" t="b">
        <v>1</v>
      </c>
      <c r="AX38" s="270" t="b">
        <f t="shared" si="7"/>
        <v>1</v>
      </c>
      <c r="AY38" s="250">
        <f t="shared" ref="AY38:AY79" si="36">AV38-AC38</f>
        <v>2</v>
      </c>
      <c r="AZ38" s="276"/>
      <c r="BA38" s="272" t="b">
        <v>1</v>
      </c>
      <c r="BB38" s="245" t="b">
        <f t="shared" si="9"/>
        <v>1</v>
      </c>
      <c r="BC38" s="260" t="b">
        <f t="shared" si="10"/>
        <v>1</v>
      </c>
      <c r="BD38" s="260">
        <f t="shared" si="11"/>
        <v>4</v>
      </c>
      <c r="BE38" s="273" t="b">
        <f t="shared" si="12"/>
        <v>1</v>
      </c>
      <c r="BF38" s="274">
        <f t="shared" si="13"/>
        <v>44559</v>
      </c>
      <c r="BG38" s="275" t="str">
        <f t="shared" si="14"/>
        <v>RUN-FLMP_2021-12-29_RFR-039</v>
      </c>
      <c r="BH38" s="96">
        <f t="shared" si="15"/>
        <v>4</v>
      </c>
      <c r="BI38" s="96">
        <f t="shared" si="16"/>
        <v>4</v>
      </c>
      <c r="BJ38" s="96">
        <f t="shared" si="17"/>
        <v>4</v>
      </c>
      <c r="BK38" s="96">
        <f t="shared" si="18"/>
        <v>0</v>
      </c>
      <c r="BL38" s="10">
        <f>IFNA(IF(VLOOKUP(FLOOR($B38,1),'APS Tubes by Date IMPORT'!$B$2:$J163,1,FALSE)=FLOOR($BL37,1),IFERROR(0/0,""),VLOOKUP(FLOOR($B38,1),'APS Tubes by Date IMPORT'!$B$2:$J163,1,FALSE)),"")</f>
        <v>44559</v>
      </c>
      <c r="BM38" s="96">
        <f>IF(ISBLANK($BL38),IFERROR(0/0,""),VLOOKUP(FLOOR($B38,1),'APS Tubes by Date IMPORT'!$B$2:$J163,2,FALSE))</f>
        <v>8</v>
      </c>
    </row>
    <row r="39">
      <c r="A39" s="245" t="str">
        <f>CONCATENATE("RUN-",'Process Ref'!$A$1,"_",TEXT(U39,"YYYY-MM-DD"),"_RFR-",TEXT(AR39,"000"),IF(EXACT(W39,"Initial"),"",CONCATENATE("_",W39)))</f>
        <v>RUN-FLMP_2021-12-30_RFR-040</v>
      </c>
      <c r="B39" s="246">
        <v>44560.41555802083</v>
      </c>
      <c r="C39" s="256"/>
      <c r="D39" s="256" t="s">
        <v>442</v>
      </c>
      <c r="E39" s="250">
        <v>4.0</v>
      </c>
      <c r="F39" s="256" t="s">
        <v>604</v>
      </c>
      <c r="G39" s="249" t="s">
        <v>605</v>
      </c>
      <c r="H39" s="249"/>
      <c r="I39" s="249" t="s">
        <v>606</v>
      </c>
      <c r="J39" s="250"/>
      <c r="K39" s="251"/>
      <c r="L39" s="248"/>
      <c r="M39" s="252"/>
      <c r="N39" s="252"/>
      <c r="O39" s="253"/>
      <c r="P39" s="254" t="b">
        <v>0</v>
      </c>
      <c r="Q39" s="255" t="b">
        <v>0</v>
      </c>
      <c r="R39" s="256"/>
      <c r="S39" s="254" t="b">
        <v>0</v>
      </c>
      <c r="T39" s="257" t="b">
        <v>0</v>
      </c>
      <c r="U39" s="258">
        <v>44560.0</v>
      </c>
      <c r="V39" s="259">
        <v>0.3819444444444444</v>
      </c>
      <c r="W39" s="247" t="s">
        <v>447</v>
      </c>
      <c r="X39" s="247" t="s">
        <v>607</v>
      </c>
      <c r="Y39" s="254" t="b">
        <v>0</v>
      </c>
      <c r="Z39" s="248">
        <v>6.0</v>
      </c>
      <c r="AA39" s="260">
        <f t="shared" si="34"/>
        <v>2</v>
      </c>
      <c r="AB39" s="261" t="b">
        <f t="shared" si="2"/>
        <v>0</v>
      </c>
      <c r="AC39" s="248">
        <v>4.0</v>
      </c>
      <c r="AD39" s="248">
        <v>0.0</v>
      </c>
      <c r="AE39" s="248">
        <v>0.0</v>
      </c>
      <c r="AF39" s="248">
        <v>0.0</v>
      </c>
      <c r="AG39" s="248">
        <v>0.0</v>
      </c>
      <c r="AH39" s="248">
        <v>0.0</v>
      </c>
      <c r="AI39" s="248">
        <v>0.0</v>
      </c>
      <c r="AJ39" s="250" t="b">
        <v>0</v>
      </c>
      <c r="AK39" s="262">
        <f t="shared" si="35"/>
        <v>4</v>
      </c>
      <c r="AL39" s="248">
        <v>0.0</v>
      </c>
      <c r="AM39" s="248">
        <v>0.0</v>
      </c>
      <c r="AN39" s="263" t="str">
        <f>IFNA(VLOOKUP($A39,'Tube Reactions'!$J$2:$K163,2,FALSE),"")</f>
        <v/>
      </c>
      <c r="AO39" s="264" t="str">
        <f t="shared" si="4"/>
        <v/>
      </c>
      <c r="AP39" s="265" t="str">
        <f t="shared" si="28"/>
        <v>Absent</v>
      </c>
      <c r="AQ39" s="260" t="b">
        <f t="shared" si="6"/>
        <v>1</v>
      </c>
      <c r="AR39" s="266">
        <v>40.0</v>
      </c>
      <c r="AS39" s="267"/>
      <c r="AT39" s="247" t="s">
        <v>608</v>
      </c>
      <c r="AU39" s="268" t="s">
        <v>603</v>
      </c>
      <c r="AV39" s="269">
        <v>6.0</v>
      </c>
      <c r="AW39" s="248" t="b">
        <v>1</v>
      </c>
      <c r="AX39" s="270" t="b">
        <f t="shared" si="7"/>
        <v>1</v>
      </c>
      <c r="AY39" s="250">
        <f t="shared" si="36"/>
        <v>2</v>
      </c>
      <c r="AZ39" s="276"/>
      <c r="BA39" s="272" t="b">
        <v>1</v>
      </c>
      <c r="BB39" s="245" t="b">
        <f t="shared" si="9"/>
        <v>1</v>
      </c>
      <c r="BC39" s="260" t="b">
        <f t="shared" si="10"/>
        <v>1</v>
      </c>
      <c r="BD39" s="260">
        <f t="shared" si="11"/>
        <v>4</v>
      </c>
      <c r="BE39" s="273" t="b">
        <f t="shared" si="12"/>
        <v>1</v>
      </c>
      <c r="BF39" s="274">
        <f t="shared" si="13"/>
        <v>44560</v>
      </c>
      <c r="BG39" s="275" t="str">
        <f t="shared" si="14"/>
        <v>RUN-FLMP_2021-12-30_RFR-040</v>
      </c>
      <c r="BH39" s="96">
        <f t="shared" si="15"/>
        <v>4</v>
      </c>
      <c r="BI39" s="96">
        <f t="shared" si="16"/>
        <v>4</v>
      </c>
      <c r="BJ39" s="96">
        <f t="shared" si="17"/>
        <v>4</v>
      </c>
      <c r="BK39" s="96">
        <f t="shared" si="18"/>
        <v>0</v>
      </c>
      <c r="BL39" s="10">
        <f>IFNA(IF(VLOOKUP(FLOOR($B39,1),'APS Tubes by Date IMPORT'!$B$2:$J163,1,FALSE)=FLOOR($BL38,1),IFERROR(0/0,""),VLOOKUP(FLOOR($B39,1),'APS Tubes by Date IMPORT'!$B$2:$J163,1,FALSE)),"")</f>
        <v>44560</v>
      </c>
      <c r="BM39" s="96">
        <f>IF(ISBLANK($BL39),IFERROR(0/0,""),VLOOKUP(FLOOR($B39,1),'APS Tubes by Date IMPORT'!$B$2:$J163,2,FALSE))</f>
        <v>4</v>
      </c>
    </row>
    <row r="40">
      <c r="A40" s="245" t="str">
        <f>CONCATENATE("RUN-",'Process Ref'!$A$1,"_",TEXT(U40,"YYYY-MM-DD"),"_RFR-",TEXT(AR40,"000"),IF(EXACT(W40,"Initial"),"",CONCATENATE("_",W40)))</f>
        <v>RUN-FLMP_2021-12-31_RFR-042</v>
      </c>
      <c r="B40" s="246">
        <v>44561.72676712963</v>
      </c>
      <c r="C40" s="256"/>
      <c r="D40" s="256" t="s">
        <v>442</v>
      </c>
      <c r="E40" s="250">
        <v>7.0</v>
      </c>
      <c r="F40" s="256"/>
      <c r="G40" s="249" t="s">
        <v>609</v>
      </c>
      <c r="H40" s="317" t="s">
        <v>610</v>
      </c>
      <c r="I40" s="318" t="s">
        <v>611</v>
      </c>
      <c r="J40" s="250"/>
      <c r="K40" s="251" t="s">
        <v>612</v>
      </c>
      <c r="L40" s="248"/>
      <c r="M40" s="252"/>
      <c r="N40" s="252"/>
      <c r="O40" s="253"/>
      <c r="P40" s="254" t="b">
        <v>0</v>
      </c>
      <c r="Q40" s="255" t="b">
        <v>0</v>
      </c>
      <c r="R40" s="256"/>
      <c r="S40" s="254" t="b">
        <v>0</v>
      </c>
      <c r="T40" s="257" t="b">
        <v>0</v>
      </c>
      <c r="U40" s="258">
        <v>44561.0</v>
      </c>
      <c r="V40" s="259">
        <v>0.36527777777777776</v>
      </c>
      <c r="W40" s="247" t="s">
        <v>447</v>
      </c>
      <c r="X40" s="247" t="s">
        <v>613</v>
      </c>
      <c r="Y40" s="255" t="b">
        <v>1</v>
      </c>
      <c r="Z40" s="248">
        <v>10.0</v>
      </c>
      <c r="AA40" s="260">
        <f t="shared" si="34"/>
        <v>3</v>
      </c>
      <c r="AB40" s="261" t="b">
        <f t="shared" si="2"/>
        <v>1</v>
      </c>
      <c r="AC40" s="248">
        <v>14.0</v>
      </c>
      <c r="AD40" s="248">
        <v>0.0</v>
      </c>
      <c r="AE40" s="248">
        <f t="shared" ref="AE40:AE44" si="37">IF(W40="Initial",AD40,(IF(AJ40=TRUE,"CORRECT ME",AD40/3)))</f>
        <v>0</v>
      </c>
      <c r="AF40" s="248">
        <v>0.0</v>
      </c>
      <c r="AG40" s="248">
        <v>3.0</v>
      </c>
      <c r="AH40" s="248">
        <v>1.0</v>
      </c>
      <c r="AI40" s="248">
        <v>1.0</v>
      </c>
      <c r="AJ40" s="250" t="b">
        <v>0</v>
      </c>
      <c r="AK40" s="278">
        <v>7.0</v>
      </c>
      <c r="AL40" s="248">
        <v>4.0</v>
      </c>
      <c r="AM40" s="248">
        <v>1.0</v>
      </c>
      <c r="AN40" s="263" t="str">
        <f>IFNA(VLOOKUP($A40,'Tube Reactions'!$J$2:$K163,2,FALSE),"")</f>
        <v/>
      </c>
      <c r="AO40" s="264" t="str">
        <f t="shared" si="4"/>
        <v>NOT EQUAL</v>
      </c>
      <c r="AP40" s="319" t="s">
        <v>614</v>
      </c>
      <c r="AQ40" s="260" t="b">
        <f t="shared" si="6"/>
        <v>1</v>
      </c>
      <c r="AR40" s="266">
        <v>42.0</v>
      </c>
      <c r="AS40" s="279" t="s">
        <v>615</v>
      </c>
      <c r="AT40" s="247"/>
      <c r="AU40" s="268" t="s">
        <v>595</v>
      </c>
      <c r="AV40" s="269">
        <v>16.0</v>
      </c>
      <c r="AW40" s="250" t="b">
        <v>0</v>
      </c>
      <c r="AX40" s="270" t="b">
        <f t="shared" si="7"/>
        <v>1</v>
      </c>
      <c r="AY40" s="248">
        <f t="shared" si="36"/>
        <v>2</v>
      </c>
      <c r="AZ40" s="271"/>
      <c r="BA40" s="272" t="b">
        <v>0</v>
      </c>
      <c r="BB40" s="245" t="str">
        <f t="shared" si="9"/>
        <v/>
      </c>
      <c r="BC40" s="260" t="str">
        <f t="shared" si="10"/>
        <v/>
      </c>
      <c r="BD40" s="260" t="str">
        <f t="shared" si="11"/>
        <v/>
      </c>
      <c r="BE40" s="273" t="b">
        <f t="shared" si="12"/>
        <v>1</v>
      </c>
      <c r="BF40" s="274">
        <f t="shared" si="13"/>
        <v>44561</v>
      </c>
      <c r="BG40" s="275" t="str">
        <f t="shared" si="14"/>
        <v>RUN-FLMP_2021-12-31_RFR-042</v>
      </c>
      <c r="BH40" s="96">
        <f t="shared" si="15"/>
        <v>7</v>
      </c>
      <c r="BI40" s="96">
        <f t="shared" si="16"/>
        <v>14</v>
      </c>
      <c r="BJ40" s="96">
        <f t="shared" si="17"/>
        <v>7</v>
      </c>
      <c r="BK40" s="96">
        <f t="shared" si="18"/>
        <v>4</v>
      </c>
      <c r="BL40" s="10">
        <f>IFNA(IF(VLOOKUP(FLOOR($B40,1),'APS Tubes by Date IMPORT'!$B$2:$J163,1,FALSE)=FLOOR($BL39,1),IFERROR(0/0,""),VLOOKUP(FLOOR($B40,1),'APS Tubes by Date IMPORT'!$B$2:$J163,1,FALSE)),"")</f>
        <v>44561</v>
      </c>
      <c r="BM40" s="96">
        <f>IF(ISBLANK($BL40),IFERROR(0/0,""),VLOOKUP(FLOOR($B40,1),'APS Tubes by Date IMPORT'!$B$2:$J163,2,FALSE))</f>
        <v>8</v>
      </c>
    </row>
    <row r="41">
      <c r="A41" s="245" t="str">
        <f>CONCATENATE("RUN-",'Process Ref'!$A$1,"_",TEXT(U41,"YYYY-MM-DD"),"_RFR-",TEXT(AR41,"000"),IF(EXACT(W41,"Initial"),"",CONCATENATE("_",W41)))</f>
        <v>RUN-FLMP_2021-12-31_RFR-043</v>
      </c>
      <c r="B41" s="246">
        <v>44561.82230295139</v>
      </c>
      <c r="C41" s="256"/>
      <c r="D41" s="256" t="s">
        <v>442</v>
      </c>
      <c r="E41" s="250">
        <v>2.0</v>
      </c>
      <c r="F41" s="256"/>
      <c r="G41" s="249" t="s">
        <v>616</v>
      </c>
      <c r="H41" s="249"/>
      <c r="I41" s="249" t="s">
        <v>617</v>
      </c>
      <c r="J41" s="250"/>
      <c r="K41" s="251" t="s">
        <v>618</v>
      </c>
      <c r="L41" s="248"/>
      <c r="M41" s="252"/>
      <c r="N41" s="252"/>
      <c r="O41" s="253"/>
      <c r="P41" s="254" t="b">
        <v>0</v>
      </c>
      <c r="Q41" s="255" t="b">
        <v>0</v>
      </c>
      <c r="R41" s="256"/>
      <c r="S41" s="254" t="b">
        <v>0</v>
      </c>
      <c r="T41" s="257" t="b">
        <v>0</v>
      </c>
      <c r="U41" s="258">
        <v>44561.0</v>
      </c>
      <c r="V41" s="259">
        <v>0.71875</v>
      </c>
      <c r="W41" s="247" t="s">
        <v>447</v>
      </c>
      <c r="X41" s="247" t="s">
        <v>619</v>
      </c>
      <c r="Y41" s="254" t="b">
        <v>0</v>
      </c>
      <c r="Z41" s="248">
        <v>8.0</v>
      </c>
      <c r="AA41" s="260">
        <f t="shared" si="34"/>
        <v>6</v>
      </c>
      <c r="AB41" s="261" t="b">
        <f t="shared" si="2"/>
        <v>1</v>
      </c>
      <c r="AC41" s="248">
        <v>6.0</v>
      </c>
      <c r="AD41" s="248">
        <v>0.0</v>
      </c>
      <c r="AE41" s="248">
        <f t="shared" si="37"/>
        <v>0</v>
      </c>
      <c r="AF41" s="248">
        <v>0.0</v>
      </c>
      <c r="AG41" s="248">
        <v>3.0</v>
      </c>
      <c r="AH41" s="248">
        <v>1.0</v>
      </c>
      <c r="AI41" s="248">
        <v>1.0</v>
      </c>
      <c r="AJ41" s="250" t="b">
        <v>0</v>
      </c>
      <c r="AK41" s="278">
        <v>2.0</v>
      </c>
      <c r="AL41" s="248">
        <v>4.0</v>
      </c>
      <c r="AM41" s="248">
        <v>1.0</v>
      </c>
      <c r="AN41" s="263" t="str">
        <f>IFNA(VLOOKUP($A41,'Tube Reactions'!$J$2:$K163,2,FALSE),"")</f>
        <v/>
      </c>
      <c r="AO41" s="264" t="str">
        <f t="shared" si="4"/>
        <v>NOT EQUAL</v>
      </c>
      <c r="AP41" s="265" t="str">
        <f>IF(ISTEXT(H41),"", "Absent")</f>
        <v>Absent</v>
      </c>
      <c r="AQ41" s="260" t="b">
        <f t="shared" si="6"/>
        <v>1</v>
      </c>
      <c r="AR41" s="266">
        <v>43.0</v>
      </c>
      <c r="AS41" s="279"/>
      <c r="AT41" s="247"/>
      <c r="AU41" s="268" t="s">
        <v>595</v>
      </c>
      <c r="AV41" s="269">
        <v>8.0</v>
      </c>
      <c r="AW41" s="250" t="b">
        <v>0</v>
      </c>
      <c r="AX41" s="270" t="b">
        <f t="shared" si="7"/>
        <v>1</v>
      </c>
      <c r="AY41" s="248">
        <f t="shared" si="36"/>
        <v>2</v>
      </c>
      <c r="AZ41" s="271"/>
      <c r="BA41" s="272" t="b">
        <v>0</v>
      </c>
      <c r="BB41" s="245" t="str">
        <f t="shared" si="9"/>
        <v/>
      </c>
      <c r="BC41" s="260" t="str">
        <f t="shared" si="10"/>
        <v/>
      </c>
      <c r="BD41" s="260" t="str">
        <f t="shared" si="11"/>
        <v/>
      </c>
      <c r="BE41" s="273" t="b">
        <f t="shared" si="12"/>
        <v>1</v>
      </c>
      <c r="BF41" s="274">
        <f t="shared" si="13"/>
        <v>44561</v>
      </c>
      <c r="BG41" s="275" t="str">
        <f t="shared" si="14"/>
        <v>RUN-FLMP_2021-12-31_RFR-043</v>
      </c>
      <c r="BH41" s="96">
        <f t="shared" si="15"/>
        <v>2</v>
      </c>
      <c r="BI41" s="96">
        <f t="shared" si="16"/>
        <v>6</v>
      </c>
      <c r="BJ41" s="96">
        <f t="shared" si="17"/>
        <v>2</v>
      </c>
      <c r="BK41" s="96">
        <f t="shared" si="18"/>
        <v>4</v>
      </c>
      <c r="BL41" s="10" t="str">
        <f>IFNA(IF(VLOOKUP(FLOOR($B41,1),'APS Tubes by Date IMPORT'!$B$2:$J163,1,FALSE)=FLOOR($BL40,1),IFERROR(0/0,""),VLOOKUP(FLOOR($B41,1),'APS Tubes by Date IMPORT'!$B$2:$J163,1,FALSE)),"")</f>
        <v/>
      </c>
      <c r="BM41" s="96" t="str">
        <f>IF(ISBLANK($BL41),IFERROR(0/0,""),VLOOKUP(FLOOR($B41,1),'APS Tubes by Date IMPORT'!$B$2:$J163,2,FALSE))</f>
        <v/>
      </c>
    </row>
    <row r="42">
      <c r="A42" s="245" t="str">
        <f>CONCATENATE("RUN-",'Process Ref'!$A$1,"_",TEXT(U42,"YYYY-MM-DD"),"_RFR-",TEXT(AR42,"000"),IF(EXACT(W42,"Initial"),"",CONCATENATE("_",W42)))</f>
        <v>RUN-FLMP_2022-01-01_RFR-044</v>
      </c>
      <c r="B42" s="246">
        <v>44562.583333333336</v>
      </c>
      <c r="C42" s="256"/>
      <c r="D42" s="247" t="s">
        <v>620</v>
      </c>
      <c r="E42" s="248">
        <v>9.0</v>
      </c>
      <c r="F42" s="256"/>
      <c r="G42" s="249" t="s">
        <v>621</v>
      </c>
      <c r="H42" s="249" t="s">
        <v>622</v>
      </c>
      <c r="I42" s="249" t="s">
        <v>623</v>
      </c>
      <c r="J42" s="250"/>
      <c r="K42" s="251"/>
      <c r="L42" s="248"/>
      <c r="M42" s="320">
        <v>1.0</v>
      </c>
      <c r="N42" s="252"/>
      <c r="O42" s="304" t="s">
        <v>624</v>
      </c>
      <c r="P42" s="254" t="b">
        <v>0</v>
      </c>
      <c r="Q42" s="255" t="b">
        <v>0</v>
      </c>
      <c r="R42" s="256"/>
      <c r="S42" s="254" t="b">
        <v>0</v>
      </c>
      <c r="T42" s="257" t="b">
        <v>0</v>
      </c>
      <c r="U42" s="258">
        <v>44562.0</v>
      </c>
      <c r="V42" s="259">
        <v>0.5416666666666666</v>
      </c>
      <c r="W42" s="247" t="s">
        <v>447</v>
      </c>
      <c r="X42" s="247"/>
      <c r="Y42" s="254" t="b">
        <v>0</v>
      </c>
      <c r="Z42" s="248">
        <v>20.0</v>
      </c>
      <c r="AA42" s="260">
        <f t="shared" si="34"/>
        <v>11</v>
      </c>
      <c r="AB42" s="261" t="b">
        <f t="shared" si="2"/>
        <v>1</v>
      </c>
      <c r="AC42" s="248">
        <v>23.0</v>
      </c>
      <c r="AD42" s="248">
        <v>0.0</v>
      </c>
      <c r="AE42" s="248">
        <f t="shared" si="37"/>
        <v>0</v>
      </c>
      <c r="AF42" s="248">
        <v>0.0</v>
      </c>
      <c r="AG42" s="248">
        <v>12.0</v>
      </c>
      <c r="AH42" s="250">
        <f t="shared" ref="AH42:AH44" si="38">IF(W42="Initial",AG42,(IF(AJ42=TRUE,"CORRECT ME",AG42/3)))</f>
        <v>12</v>
      </c>
      <c r="AI42" s="248">
        <v>4.0</v>
      </c>
      <c r="AJ42" s="250" t="b">
        <v>0</v>
      </c>
      <c r="AK42" s="278">
        <v>10.0</v>
      </c>
      <c r="AL42" s="248">
        <v>4.0</v>
      </c>
      <c r="AM42" s="248">
        <v>2.0</v>
      </c>
      <c r="AN42" s="263" t="str">
        <f>IFNA(VLOOKUP($A42,'Tube Reactions'!$J$2:$K163,2,FALSE),"")</f>
        <v/>
      </c>
      <c r="AO42" s="264" t="str">
        <f t="shared" si="4"/>
        <v>NOT EQUAL</v>
      </c>
      <c r="AP42" s="319" t="s">
        <v>614</v>
      </c>
      <c r="AQ42" s="260" t="b">
        <f t="shared" si="6"/>
        <v>1</v>
      </c>
      <c r="AR42" s="266">
        <v>44.0</v>
      </c>
      <c r="AS42" s="267" t="s">
        <v>625</v>
      </c>
      <c r="AT42" s="247"/>
      <c r="AU42" s="268" t="s">
        <v>626</v>
      </c>
      <c r="AV42" s="269">
        <v>23.0</v>
      </c>
      <c r="AW42" s="250" t="b">
        <v>0</v>
      </c>
      <c r="AX42" s="270" t="b">
        <f t="shared" si="7"/>
        <v>1</v>
      </c>
      <c r="AY42" s="248">
        <f t="shared" si="36"/>
        <v>0</v>
      </c>
      <c r="AZ42" s="271"/>
      <c r="BA42" s="272" t="b">
        <v>1</v>
      </c>
      <c r="BB42" s="245" t="b">
        <f t="shared" si="9"/>
        <v>1</v>
      </c>
      <c r="BC42" s="260">
        <f t="shared" si="10"/>
        <v>4</v>
      </c>
      <c r="BD42" s="260">
        <f t="shared" si="11"/>
        <v>10</v>
      </c>
      <c r="BE42" s="273" t="b">
        <f t="shared" si="12"/>
        <v>1</v>
      </c>
      <c r="BF42" s="274">
        <f t="shared" si="13"/>
        <v>44562</v>
      </c>
      <c r="BG42" s="275" t="str">
        <f t="shared" si="14"/>
        <v>RUN-FLMP_2022-01-01_RFR-044</v>
      </c>
      <c r="BH42" s="96">
        <f t="shared" si="15"/>
        <v>9</v>
      </c>
      <c r="BI42" s="96">
        <f t="shared" si="16"/>
        <v>23</v>
      </c>
      <c r="BJ42" s="96">
        <f t="shared" si="17"/>
        <v>10</v>
      </c>
      <c r="BK42" s="96">
        <f t="shared" si="18"/>
        <v>4</v>
      </c>
      <c r="BL42" s="10">
        <f>IFNA(IF(VLOOKUP(FLOOR($B42,1),'APS Tubes by Date IMPORT'!$B$2:$J163,1,FALSE)=FLOOR($BL41,1),IFERROR(0/0,""),VLOOKUP(FLOOR($B42,1),'APS Tubes by Date IMPORT'!$B$2:$J163,1,FALSE)),"")</f>
        <v>44562</v>
      </c>
      <c r="BM42" s="96">
        <f>IF(ISBLANK($BL42),IFERROR(0/0,""),VLOOKUP(FLOOR($B42,1),'APS Tubes by Date IMPORT'!$B$2:$J163,2,FALSE))</f>
        <v>2</v>
      </c>
    </row>
    <row r="43">
      <c r="A43" s="245" t="str">
        <f>CONCATENATE("RUN-",'Process Ref'!$A$1,"_",TEXT(U43,"YYYY-MM-DD"),"_RFR-",TEXT(AR43,"000"),IF(EXACT(W43,"Initial"),"",CONCATENATE("_",W43)))</f>
        <v>RUN-FLMP_2022-01-02_RFR-046</v>
      </c>
      <c r="B43" s="246">
        <v>44563.82793833333</v>
      </c>
      <c r="C43" s="256"/>
      <c r="D43" s="256" t="s">
        <v>442</v>
      </c>
      <c r="E43" s="250">
        <v>12.0</v>
      </c>
      <c r="F43" s="256" t="s">
        <v>627</v>
      </c>
      <c r="G43" s="249" t="s">
        <v>628</v>
      </c>
      <c r="H43" s="249"/>
      <c r="I43" s="249" t="s">
        <v>629</v>
      </c>
      <c r="J43" s="250"/>
      <c r="K43" s="251" t="s">
        <v>630</v>
      </c>
      <c r="L43" s="248"/>
      <c r="M43" s="252">
        <v>1.1</v>
      </c>
      <c r="N43" s="252"/>
      <c r="O43" s="304" t="s">
        <v>631</v>
      </c>
      <c r="P43" s="254" t="b">
        <v>0</v>
      </c>
      <c r="Q43" s="255" t="b">
        <v>0</v>
      </c>
      <c r="R43" s="256"/>
      <c r="S43" s="255" t="b">
        <v>0</v>
      </c>
      <c r="T43" s="284" t="b">
        <v>0</v>
      </c>
      <c r="U43" s="258">
        <v>44563.0</v>
      </c>
      <c r="V43" s="259">
        <v>0.7708333333333334</v>
      </c>
      <c r="W43" s="247" t="s">
        <v>447</v>
      </c>
      <c r="X43" s="247" t="s">
        <v>632</v>
      </c>
      <c r="Y43" s="255" t="b">
        <v>1</v>
      </c>
      <c r="Z43" s="248">
        <v>16.0</v>
      </c>
      <c r="AA43" s="260">
        <f t="shared" si="34"/>
        <v>4</v>
      </c>
      <c r="AB43" s="261" t="b">
        <f t="shared" si="2"/>
        <v>1</v>
      </c>
      <c r="AC43" s="248">
        <v>14.0</v>
      </c>
      <c r="AD43" s="248">
        <v>0.0</v>
      </c>
      <c r="AE43" s="248">
        <f t="shared" si="37"/>
        <v>0</v>
      </c>
      <c r="AF43" s="248">
        <v>0.0</v>
      </c>
      <c r="AG43" s="248">
        <v>2.0</v>
      </c>
      <c r="AH43" s="250">
        <f t="shared" si="38"/>
        <v>2</v>
      </c>
      <c r="AI43" s="248">
        <v>2.0</v>
      </c>
      <c r="AJ43" s="250" t="b">
        <v>0</v>
      </c>
      <c r="AK43" s="278">
        <v>12.0</v>
      </c>
      <c r="AL43" s="248">
        <v>4.0</v>
      </c>
      <c r="AM43" s="248">
        <v>2.0</v>
      </c>
      <c r="AN43" s="263" t="str">
        <f>IFNA(VLOOKUP($A43,'Tube Reactions'!$J$2:$K163,2,FALSE),"")</f>
        <v/>
      </c>
      <c r="AO43" s="264" t="str">
        <f t="shared" si="4"/>
        <v>NOT EQUAL</v>
      </c>
      <c r="AP43" s="265" t="str">
        <f t="shared" ref="AP43:AP44" si="39">IF(ISTEXT(H43),"", "Absent")</f>
        <v>Absent</v>
      </c>
      <c r="AQ43" s="260" t="b">
        <f t="shared" si="6"/>
        <v>1</v>
      </c>
      <c r="AR43" s="266">
        <v>46.0</v>
      </c>
      <c r="AS43" s="267"/>
      <c r="AT43" s="247"/>
      <c r="AU43" s="268" t="s">
        <v>603</v>
      </c>
      <c r="AV43" s="269">
        <v>16.0</v>
      </c>
      <c r="AW43" s="250" t="b">
        <v>0</v>
      </c>
      <c r="AX43" s="270" t="b">
        <f t="shared" si="7"/>
        <v>1</v>
      </c>
      <c r="AY43" s="248">
        <f t="shared" si="36"/>
        <v>2</v>
      </c>
      <c r="AZ43" s="271"/>
      <c r="BA43" s="272" t="b">
        <v>0</v>
      </c>
      <c r="BB43" s="245" t="str">
        <f t="shared" si="9"/>
        <v/>
      </c>
      <c r="BC43" s="260" t="str">
        <f t="shared" si="10"/>
        <v/>
      </c>
      <c r="BD43" s="260" t="str">
        <f t="shared" si="11"/>
        <v/>
      </c>
      <c r="BE43" s="273" t="b">
        <f t="shared" si="12"/>
        <v>1</v>
      </c>
      <c r="BF43" s="274">
        <f t="shared" si="13"/>
        <v>44563</v>
      </c>
      <c r="BG43" s="275" t="str">
        <f t="shared" si="14"/>
        <v>RUN-FLMP_2022-01-02_RFR-046</v>
      </c>
      <c r="BH43" s="96">
        <f t="shared" si="15"/>
        <v>12</v>
      </c>
      <c r="BI43" s="96">
        <f t="shared" si="16"/>
        <v>14</v>
      </c>
      <c r="BJ43" s="96">
        <f t="shared" si="17"/>
        <v>12</v>
      </c>
      <c r="BK43" s="96">
        <f t="shared" si="18"/>
        <v>4</v>
      </c>
      <c r="BL43" s="10">
        <f>IFNA(IF(VLOOKUP(FLOOR($B43,1),'APS Tubes by Date IMPORT'!$B$2:$J163,1,FALSE)=FLOOR($BL42,1),IFERROR(0/0,""),VLOOKUP(FLOOR($B43,1),'APS Tubes by Date IMPORT'!$B$2:$J163,1,FALSE)),"")</f>
        <v>44563</v>
      </c>
      <c r="BM43" s="96">
        <f>IF(ISBLANK($BL43),IFERROR(0/0,""),VLOOKUP(FLOOR($B43,1),'APS Tubes by Date IMPORT'!$B$2:$J163,2,FALSE))</f>
        <v>12</v>
      </c>
    </row>
    <row r="44">
      <c r="A44" s="245" t="str">
        <f>CONCATENATE("RUN-",'Process Ref'!$A$1,"_",TEXT(U44,"YYYY-MM-DD"),"_RFR-",TEXT(AR44,"000"),IF(EXACT(W44,"Initial"),"",CONCATENATE("_",W44)))</f>
        <v>RUN-FLMP_2022-01-03_RFR-047</v>
      </c>
      <c r="B44" s="246">
        <v>44564.44449006944</v>
      </c>
      <c r="C44" s="256"/>
      <c r="D44" s="256" t="s">
        <v>442</v>
      </c>
      <c r="E44" s="250">
        <v>10.0</v>
      </c>
      <c r="F44" s="256" t="s">
        <v>633</v>
      </c>
      <c r="G44" s="249" t="s">
        <v>634</v>
      </c>
      <c r="H44" s="249"/>
      <c r="I44" s="249" t="s">
        <v>635</v>
      </c>
      <c r="J44" s="250"/>
      <c r="K44" s="251" t="s">
        <v>636</v>
      </c>
      <c r="L44" s="248"/>
      <c r="M44" s="252"/>
      <c r="N44" s="252"/>
      <c r="O44" s="253"/>
      <c r="P44" s="254" t="b">
        <v>0</v>
      </c>
      <c r="Q44" s="255" t="b">
        <v>0</v>
      </c>
      <c r="R44" s="256"/>
      <c r="S44" s="254" t="b">
        <v>0</v>
      </c>
      <c r="T44" s="284" t="b">
        <v>1</v>
      </c>
      <c r="U44" s="258">
        <v>44564.0</v>
      </c>
      <c r="V44" s="259">
        <v>0.3541666666666667</v>
      </c>
      <c r="W44" s="247" t="s">
        <v>447</v>
      </c>
      <c r="X44" s="247" t="s">
        <v>637</v>
      </c>
      <c r="Y44" s="255" t="b">
        <v>1</v>
      </c>
      <c r="Z44" s="248">
        <v>10.0</v>
      </c>
      <c r="AA44" s="260">
        <f t="shared" si="34"/>
        <v>0</v>
      </c>
      <c r="AB44" s="261" t="b">
        <f t="shared" si="2"/>
        <v>1</v>
      </c>
      <c r="AC44" s="248">
        <v>8.0</v>
      </c>
      <c r="AD44" s="248">
        <v>0.0</v>
      </c>
      <c r="AE44" s="248">
        <f t="shared" si="37"/>
        <v>0</v>
      </c>
      <c r="AF44" s="248">
        <v>0.0</v>
      </c>
      <c r="AG44" s="248">
        <v>2.0</v>
      </c>
      <c r="AH44" s="250">
        <f t="shared" si="38"/>
        <v>2</v>
      </c>
      <c r="AI44" s="248">
        <v>2.0</v>
      </c>
      <c r="AJ44" s="250" t="b">
        <v>0</v>
      </c>
      <c r="AK44" s="262">
        <f>IF(W44="Initial",AC44,IF(AJ44=TRUE,"CORRECT ME",AC44/3))</f>
        <v>8</v>
      </c>
      <c r="AL44" s="248">
        <v>4.0</v>
      </c>
      <c r="AM44" s="248">
        <v>2.0</v>
      </c>
      <c r="AN44" s="263" t="str">
        <f>IFNA(VLOOKUP($A44,'Tube Reactions'!$J$2:$K163,2,FALSE),"")</f>
        <v/>
      </c>
      <c r="AO44" s="264" t="str">
        <f t="shared" si="4"/>
        <v>NOT EQUAL</v>
      </c>
      <c r="AP44" s="265" t="str">
        <f t="shared" si="39"/>
        <v>Absent</v>
      </c>
      <c r="AQ44" s="260" t="b">
        <f t="shared" si="6"/>
        <v>1</v>
      </c>
      <c r="AR44" s="266">
        <v>47.0</v>
      </c>
      <c r="AS44" s="267"/>
      <c r="AT44" s="247"/>
      <c r="AU44" s="268" t="s">
        <v>638</v>
      </c>
      <c r="AV44" s="269">
        <v>10.0</v>
      </c>
      <c r="AW44" s="250" t="b">
        <v>0</v>
      </c>
      <c r="AX44" s="270" t="b">
        <f t="shared" si="7"/>
        <v>1</v>
      </c>
      <c r="AY44" s="248">
        <f t="shared" si="36"/>
        <v>2</v>
      </c>
      <c r="AZ44" s="271"/>
      <c r="BA44" s="272" t="b">
        <v>1</v>
      </c>
      <c r="BB44" s="245" t="b">
        <f t="shared" si="9"/>
        <v>1</v>
      </c>
      <c r="BC44" s="260">
        <f t="shared" si="10"/>
        <v>4</v>
      </c>
      <c r="BD44" s="260">
        <f t="shared" si="11"/>
        <v>8</v>
      </c>
      <c r="BE44" s="273" t="b">
        <f t="shared" si="12"/>
        <v>1</v>
      </c>
      <c r="BF44" s="274">
        <f t="shared" si="13"/>
        <v>44564</v>
      </c>
      <c r="BG44" s="275" t="str">
        <f t="shared" si="14"/>
        <v>RUN-FLMP_2022-01-03_RFR-047</v>
      </c>
      <c r="BH44" s="96">
        <f t="shared" si="15"/>
        <v>10</v>
      </c>
      <c r="BI44" s="96">
        <f t="shared" si="16"/>
        <v>8</v>
      </c>
      <c r="BJ44" s="96">
        <f t="shared" si="17"/>
        <v>8</v>
      </c>
      <c r="BK44" s="96">
        <f t="shared" si="18"/>
        <v>4</v>
      </c>
      <c r="BL44" s="10">
        <f>IFNA(IF(VLOOKUP(FLOOR($B44,1),'APS Tubes by Date IMPORT'!$B$2:$J163,1,FALSE)=FLOOR($BL43,1),IFERROR(0/0,""),VLOOKUP(FLOOR($B44,1),'APS Tubes by Date IMPORT'!$B$2:$J163,1,FALSE)),"")</f>
        <v>44564</v>
      </c>
      <c r="BM44" s="96">
        <f>IF(ISBLANK($BL44),IFERROR(0/0,""),VLOOKUP(FLOOR($B44,1),'APS Tubes by Date IMPORT'!$B$2:$J163,2,FALSE))</f>
        <v>12</v>
      </c>
    </row>
    <row r="45">
      <c r="A45" s="245" t="str">
        <f>CONCATENATE("RUN-",'Process Ref'!$A$1,"_",TEXT(U45,"YYYY-MM-DD"),"_RFR-",TEXT(AR45,"000"),IF(EXACT(W45,"Initial"),"",CONCATENATE("_",W45)))</f>
        <v>RUN-FLMP_2022-01-03_RFR-048_Re-run</v>
      </c>
      <c r="B45" s="285">
        <v>44564.44449006944</v>
      </c>
      <c r="C45" s="256"/>
      <c r="D45" s="256" t="s">
        <v>442</v>
      </c>
      <c r="E45" s="250"/>
      <c r="F45" s="256" t="s">
        <v>633</v>
      </c>
      <c r="G45" s="249" t="s">
        <v>634</v>
      </c>
      <c r="H45" s="283" t="s">
        <v>639</v>
      </c>
      <c r="I45" s="249" t="s">
        <v>640</v>
      </c>
      <c r="J45" s="250"/>
      <c r="K45" s="251" t="s">
        <v>636</v>
      </c>
      <c r="L45" s="248"/>
      <c r="M45" s="252"/>
      <c r="N45" s="252"/>
      <c r="O45" s="253"/>
      <c r="P45" s="254" t="b">
        <v>0</v>
      </c>
      <c r="Q45" s="286" t="b">
        <v>0</v>
      </c>
      <c r="R45" s="256"/>
      <c r="S45" s="286" t="b">
        <v>1</v>
      </c>
      <c r="T45" s="287" t="b">
        <v>1</v>
      </c>
      <c r="U45" s="288">
        <v>44564.0</v>
      </c>
      <c r="V45" s="289">
        <v>0.3958333333333333</v>
      </c>
      <c r="W45" s="290" t="s">
        <v>469</v>
      </c>
      <c r="X45" s="291" t="s">
        <v>637</v>
      </c>
      <c r="Y45" s="286" t="b">
        <v>1</v>
      </c>
      <c r="Z45" s="292">
        <v>6.0</v>
      </c>
      <c r="AA45" s="260">
        <f t="shared" si="34"/>
        <v>6</v>
      </c>
      <c r="AB45" s="293" t="b">
        <f t="shared" si="2"/>
        <v>1</v>
      </c>
      <c r="AC45" s="292">
        <v>4.0</v>
      </c>
      <c r="AD45" s="292">
        <v>0.0</v>
      </c>
      <c r="AE45" s="292">
        <v>0.0</v>
      </c>
      <c r="AF45" s="292">
        <v>0.0</v>
      </c>
      <c r="AG45" s="292">
        <v>2.0</v>
      </c>
      <c r="AH45" s="292">
        <v>2.0</v>
      </c>
      <c r="AI45" s="292">
        <v>2.0</v>
      </c>
      <c r="AJ45" s="305" t="b">
        <v>1</v>
      </c>
      <c r="AK45" s="316">
        <v>4.0</v>
      </c>
      <c r="AL45" s="292">
        <v>4.0</v>
      </c>
      <c r="AM45" s="250"/>
      <c r="AN45" s="296" t="str">
        <f>IFNA(VLOOKUP($A45,'Tube Reactions'!$J$2:$K163,2,FALSE),"")</f>
        <v/>
      </c>
      <c r="AO45" s="297" t="str">
        <f t="shared" si="4"/>
        <v/>
      </c>
      <c r="AP45" s="319" t="s">
        <v>614</v>
      </c>
      <c r="AQ45" s="260" t="b">
        <f t="shared" si="6"/>
        <v>1</v>
      </c>
      <c r="AR45" s="266">
        <v>48.0</v>
      </c>
      <c r="AS45" s="279"/>
      <c r="AT45" s="279"/>
      <c r="AU45" s="299" t="s">
        <v>638</v>
      </c>
      <c r="AV45" s="292">
        <v>6.0</v>
      </c>
      <c r="AW45" s="254" t="b">
        <v>0</v>
      </c>
      <c r="AX45" s="270" t="b">
        <f t="shared" si="7"/>
        <v>1</v>
      </c>
      <c r="AY45" s="286">
        <f t="shared" si="36"/>
        <v>2</v>
      </c>
      <c r="AZ45" s="300"/>
      <c r="BA45" s="272" t="b">
        <v>1</v>
      </c>
      <c r="BB45" s="245" t="b">
        <f t="shared" si="9"/>
        <v>0</v>
      </c>
      <c r="BC45" s="260" t="str">
        <f t="shared" si="10"/>
        <v/>
      </c>
      <c r="BD45" s="260" t="str">
        <f t="shared" si="11"/>
        <v/>
      </c>
      <c r="BE45" s="273" t="b">
        <f t="shared" si="12"/>
        <v>1</v>
      </c>
      <c r="BF45" s="274" t="str">
        <f t="shared" si="13"/>
        <v/>
      </c>
      <c r="BG45" s="275" t="str">
        <f t="shared" si="14"/>
        <v/>
      </c>
      <c r="BH45" s="96" t="str">
        <f t="shared" si="15"/>
        <v/>
      </c>
      <c r="BI45" s="96" t="str">
        <f t="shared" si="16"/>
        <v/>
      </c>
      <c r="BJ45" s="96" t="str">
        <f t="shared" si="17"/>
        <v/>
      </c>
      <c r="BK45" s="96" t="str">
        <f t="shared" si="18"/>
        <v/>
      </c>
      <c r="BL45" s="10" t="str">
        <f>IFNA(IF(VLOOKUP(FLOOR($B45,1),'APS Tubes by Date IMPORT'!$B$2:$J163,1,FALSE)=FLOOR($BL44,1),IFERROR(0/0,""),VLOOKUP(FLOOR($B45,1),'APS Tubes by Date IMPORT'!$B$2:$J163,1,FALSE)),"")</f>
        <v/>
      </c>
      <c r="BM45" s="96" t="str">
        <f>IF(ISBLANK($BL45),IFERROR(0/0,""),VLOOKUP(FLOOR($B45,1),'APS Tubes by Date IMPORT'!$B$2:$J163,2,FALSE))</f>
        <v/>
      </c>
    </row>
    <row r="46">
      <c r="A46" s="245" t="str">
        <f>CONCATENATE("RUN-",'Process Ref'!$A$1,"_",TEXT(U46,"YYYY-MM-DD"),"_RFR-",TEXT(AR46,"000"),IF(EXACT(W46,"Initial"),"",CONCATENATE("_",W46)))</f>
        <v>RUN-FLMP_2022-01-04_RFR-049</v>
      </c>
      <c r="B46" s="246">
        <v>44565.45911001158</v>
      </c>
      <c r="C46" s="256"/>
      <c r="D46" s="256" t="s">
        <v>442</v>
      </c>
      <c r="E46" s="250">
        <v>10.0</v>
      </c>
      <c r="F46" s="256" t="s">
        <v>641</v>
      </c>
      <c r="G46" s="249" t="s">
        <v>642</v>
      </c>
      <c r="H46" s="249"/>
      <c r="I46" s="249" t="s">
        <v>643</v>
      </c>
      <c r="J46" s="250"/>
      <c r="K46" s="251" t="s">
        <v>644</v>
      </c>
      <c r="L46" s="248"/>
      <c r="M46" s="252"/>
      <c r="N46" s="252"/>
      <c r="O46" s="253"/>
      <c r="P46" s="254" t="b">
        <v>0</v>
      </c>
      <c r="Q46" s="255" t="b">
        <v>0</v>
      </c>
      <c r="R46" s="256"/>
      <c r="S46" s="254" t="b">
        <v>0</v>
      </c>
      <c r="T46" s="257" t="b">
        <v>0</v>
      </c>
      <c r="U46" s="258">
        <v>44565.0</v>
      </c>
      <c r="V46" s="259">
        <v>0.3819444444444444</v>
      </c>
      <c r="W46" s="247" t="s">
        <v>447</v>
      </c>
      <c r="X46" s="247" t="s">
        <v>645</v>
      </c>
      <c r="Y46" s="254" t="b">
        <v>0</v>
      </c>
      <c r="Z46" s="248">
        <v>10.0</v>
      </c>
      <c r="AA46" s="260">
        <f t="shared" si="34"/>
        <v>0</v>
      </c>
      <c r="AB46" s="261" t="b">
        <f t="shared" si="2"/>
        <v>1</v>
      </c>
      <c r="AC46" s="248">
        <v>10.0</v>
      </c>
      <c r="AD46" s="248">
        <v>0.0</v>
      </c>
      <c r="AE46" s="248">
        <f t="shared" ref="AE46:AE50" si="40">IF(W46="Initial",AD46,(IF(AJ46=TRUE,"CORRECT ME",AD46/3)))</f>
        <v>0</v>
      </c>
      <c r="AF46" s="248">
        <v>0.0</v>
      </c>
      <c r="AG46" s="248">
        <v>0.0</v>
      </c>
      <c r="AH46" s="250">
        <f t="shared" ref="AH46:AH51" si="41">IF(W46="Initial",AG46,(IF(AJ46=TRUE,"CORRECT ME",AG46/3)))</f>
        <v>0</v>
      </c>
      <c r="AI46" s="248">
        <v>0.0</v>
      </c>
      <c r="AJ46" s="250" t="b">
        <v>0</v>
      </c>
      <c r="AK46" s="262">
        <f t="shared" ref="AK46:AK47" si="42">IF(W46="Initial",AC46,IF(AJ46=TRUE,"CORRECT ME",AC46/3))</f>
        <v>10</v>
      </c>
      <c r="AL46" s="292">
        <v>0.0</v>
      </c>
      <c r="AM46" s="248"/>
      <c r="AN46" s="263" t="str">
        <f>IFNA(VLOOKUP($A46,'Tube Reactions'!$J$2:$K163,2,FALSE),"")</f>
        <v/>
      </c>
      <c r="AO46" s="264" t="str">
        <f t="shared" si="4"/>
        <v/>
      </c>
      <c r="AP46" s="265" t="str">
        <f t="shared" ref="AP46:AP50" si="43">IF(ISTEXT(H46),"", "Absent")</f>
        <v>Absent</v>
      </c>
      <c r="AQ46" s="260" t="b">
        <f t="shared" si="6"/>
        <v>1</v>
      </c>
      <c r="AR46" s="266">
        <v>49.0</v>
      </c>
      <c r="AS46" s="267"/>
      <c r="AT46" s="247"/>
      <c r="AU46" s="268" t="s">
        <v>646</v>
      </c>
      <c r="AV46" s="269">
        <v>12.0</v>
      </c>
      <c r="AW46" s="248" t="b">
        <v>1</v>
      </c>
      <c r="AX46" s="270" t="b">
        <f t="shared" si="7"/>
        <v>1</v>
      </c>
      <c r="AY46" s="250">
        <f t="shared" si="36"/>
        <v>2</v>
      </c>
      <c r="AZ46" s="276"/>
      <c r="BA46" s="272" t="b">
        <v>1</v>
      </c>
      <c r="BB46" s="245" t="b">
        <f t="shared" si="9"/>
        <v>1</v>
      </c>
      <c r="BC46" s="260" t="b">
        <f t="shared" si="10"/>
        <v>1</v>
      </c>
      <c r="BD46" s="260">
        <f t="shared" si="11"/>
        <v>10</v>
      </c>
      <c r="BE46" s="273" t="b">
        <f t="shared" si="12"/>
        <v>1</v>
      </c>
      <c r="BF46" s="274">
        <f t="shared" si="13"/>
        <v>44565</v>
      </c>
      <c r="BG46" s="275" t="str">
        <f t="shared" si="14"/>
        <v>RUN-FLMP_2022-01-04_RFR-049</v>
      </c>
      <c r="BH46" s="96">
        <f t="shared" si="15"/>
        <v>10</v>
      </c>
      <c r="BI46" s="96">
        <f t="shared" si="16"/>
        <v>10</v>
      </c>
      <c r="BJ46" s="96">
        <f t="shared" si="17"/>
        <v>10</v>
      </c>
      <c r="BK46" s="96">
        <f t="shared" si="18"/>
        <v>0</v>
      </c>
      <c r="BL46" s="10">
        <f>IFNA(IF(VLOOKUP(FLOOR($B46,1),'APS Tubes by Date IMPORT'!$B$2:$J163,1,FALSE)=FLOOR($BL45,1),IFERROR(0/0,""),VLOOKUP(FLOOR($B46,1),'APS Tubes by Date IMPORT'!$B$2:$J163,1,FALSE)),"")</f>
        <v>44565</v>
      </c>
      <c r="BM46" s="96">
        <f>IF(ISBLANK($BL46),IFERROR(0/0,""),VLOOKUP(FLOOR($B46,1),'APS Tubes by Date IMPORT'!$B$2:$J163,2,FALSE))</f>
        <v>6</v>
      </c>
    </row>
    <row r="47">
      <c r="A47" s="245" t="str">
        <f>CONCATENATE("RUN-",'Process Ref'!$A$1,"_",TEXT(U47,"YYYY-MM-DD"),"_RFR-",TEXT(AR47,"000"),IF(EXACT(W47,"Initial"),"",CONCATENATE("_",W47)))</f>
        <v>RUN-FLMP_2022-01-06_RFR-050</v>
      </c>
      <c r="B47" s="246">
        <v>44567.47462702546</v>
      </c>
      <c r="C47" s="256"/>
      <c r="D47" s="256" t="s">
        <v>442</v>
      </c>
      <c r="E47" s="250">
        <v>21.0</v>
      </c>
      <c r="F47" s="256" t="s">
        <v>647</v>
      </c>
      <c r="G47" s="249" t="s">
        <v>648</v>
      </c>
      <c r="H47" s="249"/>
      <c r="I47" s="249" t="s">
        <v>649</v>
      </c>
      <c r="J47" s="250">
        <v>1.0</v>
      </c>
      <c r="K47" s="251" t="s">
        <v>650</v>
      </c>
      <c r="L47" s="248"/>
      <c r="M47" s="252"/>
      <c r="N47" s="252">
        <v>2.1</v>
      </c>
      <c r="O47" s="253" t="s">
        <v>651</v>
      </c>
      <c r="P47" s="254" t="b">
        <v>1</v>
      </c>
      <c r="Q47" s="255" t="b">
        <v>0</v>
      </c>
      <c r="R47" s="256"/>
      <c r="S47" s="255" t="b">
        <v>0</v>
      </c>
      <c r="T47" s="284" t="b">
        <v>1</v>
      </c>
      <c r="U47" s="258">
        <v>44567.0</v>
      </c>
      <c r="V47" s="259">
        <v>0.3840277777777778</v>
      </c>
      <c r="W47" s="247" t="s">
        <v>447</v>
      </c>
      <c r="X47" s="247" t="s">
        <v>652</v>
      </c>
      <c r="Y47" s="255" t="b">
        <v>1</v>
      </c>
      <c r="Z47" s="250"/>
      <c r="AA47" s="260">
        <f t="shared" si="34"/>
        <v>-21</v>
      </c>
      <c r="AB47" s="261" t="b">
        <f t="shared" si="2"/>
        <v>1</v>
      </c>
      <c r="AC47" s="248">
        <v>22.0</v>
      </c>
      <c r="AD47" s="248">
        <v>0.0</v>
      </c>
      <c r="AE47" s="248">
        <f t="shared" si="40"/>
        <v>0</v>
      </c>
      <c r="AF47" s="248">
        <v>0.0</v>
      </c>
      <c r="AG47" s="248">
        <v>4.0</v>
      </c>
      <c r="AH47" s="250">
        <f t="shared" si="41"/>
        <v>4</v>
      </c>
      <c r="AI47" s="248">
        <v>4.0</v>
      </c>
      <c r="AJ47" s="250" t="b">
        <v>0</v>
      </c>
      <c r="AK47" s="262">
        <f t="shared" si="42"/>
        <v>22</v>
      </c>
      <c r="AL47" s="248">
        <v>4.0</v>
      </c>
      <c r="AM47" s="248">
        <v>5.0</v>
      </c>
      <c r="AN47" s="263" t="str">
        <f>IFNA(VLOOKUP($A47,'Tube Reactions'!$J$2:$K163,2,FALSE),"")</f>
        <v/>
      </c>
      <c r="AO47" s="264" t="str">
        <f t="shared" si="4"/>
        <v>NOT EQUAL</v>
      </c>
      <c r="AP47" s="265" t="str">
        <f t="shared" si="43"/>
        <v>Absent</v>
      </c>
      <c r="AQ47" s="260" t="b">
        <f t="shared" si="6"/>
        <v>1</v>
      </c>
      <c r="AR47" s="266">
        <v>50.0</v>
      </c>
      <c r="AS47" s="279" t="s">
        <v>653</v>
      </c>
      <c r="AT47" s="247"/>
      <c r="AU47" s="268" t="s">
        <v>626</v>
      </c>
      <c r="AV47" s="269">
        <v>24.0</v>
      </c>
      <c r="AW47" s="250" t="b">
        <v>0</v>
      </c>
      <c r="AX47" s="270" t="b">
        <f t="shared" si="7"/>
        <v>1</v>
      </c>
      <c r="AY47" s="248">
        <f t="shared" si="36"/>
        <v>2</v>
      </c>
      <c r="AZ47" s="271"/>
      <c r="BA47" s="272" t="b">
        <v>1</v>
      </c>
      <c r="BB47" s="245" t="b">
        <f t="shared" si="9"/>
        <v>1</v>
      </c>
      <c r="BC47" s="260">
        <f t="shared" si="10"/>
        <v>4</v>
      </c>
      <c r="BD47" s="260">
        <f t="shared" si="11"/>
        <v>22</v>
      </c>
      <c r="BE47" s="273" t="b">
        <f t="shared" si="12"/>
        <v>1</v>
      </c>
      <c r="BF47" s="274">
        <f t="shared" si="13"/>
        <v>44567</v>
      </c>
      <c r="BG47" s="275" t="str">
        <f t="shared" si="14"/>
        <v>RUN-FLMP_2022-01-06_RFR-050</v>
      </c>
      <c r="BH47" s="96">
        <f t="shared" si="15"/>
        <v>21</v>
      </c>
      <c r="BI47" s="96">
        <f t="shared" si="16"/>
        <v>22</v>
      </c>
      <c r="BJ47" s="96">
        <f t="shared" si="17"/>
        <v>22</v>
      </c>
      <c r="BK47" s="96">
        <f t="shared" si="18"/>
        <v>4</v>
      </c>
      <c r="BL47" s="10">
        <f>IFNA(IF(VLOOKUP(FLOOR($B47,1),'APS Tubes by Date IMPORT'!$B$2:$J163,1,FALSE)=FLOOR($BL46,1),IFERROR(0/0,""),VLOOKUP(FLOOR($B47,1),'APS Tubes by Date IMPORT'!$B$2:$J163,1,FALSE)),"")</f>
        <v>44567</v>
      </c>
      <c r="BM47" s="96">
        <f>IF(ISBLANK($BL47),IFERROR(0/0,""),VLOOKUP(FLOOR($B47,1),'APS Tubes by Date IMPORT'!$B$2:$J163,2,FALSE))</f>
        <v>13</v>
      </c>
    </row>
    <row r="48">
      <c r="A48" s="245" t="str">
        <f>CONCATENATE("RUN-",'Process Ref'!$A$1,"_",TEXT(U48,"YYYY-MM-DD"),"_RFR-",TEXT(AR48,"000"),IF(EXACT(W48,"Initial"),"",CONCATENATE("_",W48)))</f>
        <v>RUN-FLMP_2022-01-06_RFR-051_Re-run</v>
      </c>
      <c r="B48" s="302">
        <v>44567.47462702546</v>
      </c>
      <c r="C48" s="256"/>
      <c r="D48" s="256" t="s">
        <v>442</v>
      </c>
      <c r="E48" s="250"/>
      <c r="F48" s="256" t="s">
        <v>647</v>
      </c>
      <c r="G48" s="249" t="s">
        <v>648</v>
      </c>
      <c r="H48" s="282"/>
      <c r="I48" s="249" t="s">
        <v>654</v>
      </c>
      <c r="J48" s="250">
        <v>1.0</v>
      </c>
      <c r="K48" s="251" t="s">
        <v>650</v>
      </c>
      <c r="L48" s="248"/>
      <c r="M48" s="252"/>
      <c r="N48" s="252"/>
      <c r="O48" s="253"/>
      <c r="P48" s="254" t="b">
        <v>0</v>
      </c>
      <c r="Q48" s="286" t="b">
        <v>0</v>
      </c>
      <c r="R48" s="256"/>
      <c r="S48" s="286" t="b">
        <v>1</v>
      </c>
      <c r="T48" s="287" t="b">
        <v>1</v>
      </c>
      <c r="U48" s="288">
        <v>44567.0</v>
      </c>
      <c r="V48" s="289">
        <v>0.42569444444444443</v>
      </c>
      <c r="W48" s="290" t="s">
        <v>469</v>
      </c>
      <c r="X48" s="291" t="s">
        <v>652</v>
      </c>
      <c r="Y48" s="286" t="b">
        <v>1</v>
      </c>
      <c r="Z48" s="250"/>
      <c r="AA48" s="260">
        <f t="shared" si="34"/>
        <v>0</v>
      </c>
      <c r="AB48" s="293" t="b">
        <f t="shared" si="2"/>
        <v>1</v>
      </c>
      <c r="AC48" s="292">
        <v>4.0</v>
      </c>
      <c r="AD48" s="292">
        <v>0.0</v>
      </c>
      <c r="AE48" s="248">
        <f t="shared" si="40"/>
        <v>0</v>
      </c>
      <c r="AF48" s="292">
        <v>0.0</v>
      </c>
      <c r="AG48" s="292">
        <v>0.0</v>
      </c>
      <c r="AH48" s="250">
        <f t="shared" si="41"/>
        <v>0</v>
      </c>
      <c r="AI48" s="292">
        <v>0.0</v>
      </c>
      <c r="AJ48" s="294" t="b">
        <v>0</v>
      </c>
      <c r="AK48" s="278">
        <v>1.0</v>
      </c>
      <c r="AL48" s="292">
        <v>0.0</v>
      </c>
      <c r="AM48" s="292"/>
      <c r="AN48" s="260" t="str">
        <f>IFNA(VLOOKUP($A48,'Tube Reactions'!$J$2:$K163,2,FALSE),"")</f>
        <v/>
      </c>
      <c r="AO48" s="321" t="str">
        <f t="shared" si="4"/>
        <v/>
      </c>
      <c r="AP48" s="298" t="str">
        <f t="shared" si="43"/>
        <v>Absent</v>
      </c>
      <c r="AQ48" s="260" t="b">
        <f t="shared" si="6"/>
        <v>1</v>
      </c>
      <c r="AR48" s="266">
        <v>51.0</v>
      </c>
      <c r="AS48" s="279" t="s">
        <v>655</v>
      </c>
      <c r="AT48" s="279"/>
      <c r="AU48" s="306" t="s">
        <v>626</v>
      </c>
      <c r="AV48" s="292">
        <v>6.0</v>
      </c>
      <c r="AW48" s="286" t="b">
        <v>1</v>
      </c>
      <c r="AX48" s="270" t="b">
        <f t="shared" si="7"/>
        <v>1</v>
      </c>
      <c r="AY48" s="254">
        <f t="shared" si="36"/>
        <v>2</v>
      </c>
      <c r="AZ48" s="307"/>
      <c r="BA48" s="272" t="b">
        <v>1</v>
      </c>
      <c r="BB48" s="245" t="b">
        <f t="shared" si="9"/>
        <v>0</v>
      </c>
      <c r="BC48" s="260" t="str">
        <f t="shared" si="10"/>
        <v/>
      </c>
      <c r="BD48" s="260" t="str">
        <f t="shared" si="11"/>
        <v/>
      </c>
      <c r="BE48" s="273" t="b">
        <f t="shared" si="12"/>
        <v>1</v>
      </c>
      <c r="BF48" s="274" t="str">
        <f t="shared" si="13"/>
        <v/>
      </c>
      <c r="BG48" s="275" t="str">
        <f t="shared" si="14"/>
        <v/>
      </c>
      <c r="BH48" s="96" t="str">
        <f t="shared" si="15"/>
        <v/>
      </c>
      <c r="BI48" s="96" t="str">
        <f t="shared" si="16"/>
        <v/>
      </c>
      <c r="BJ48" s="96" t="str">
        <f t="shared" si="17"/>
        <v/>
      </c>
      <c r="BK48" s="96" t="str">
        <f t="shared" si="18"/>
        <v/>
      </c>
      <c r="BL48" s="10" t="str">
        <f>IFNA(IF(VLOOKUP(FLOOR($B48,1),'APS Tubes by Date IMPORT'!$B$2:$J163,1,FALSE)=FLOOR($BL47,1),IFERROR(0/0,""),VLOOKUP(FLOOR($B48,1),'APS Tubes by Date IMPORT'!$B$2:$J163,1,FALSE)),"")</f>
        <v/>
      </c>
      <c r="BM48" s="96" t="str">
        <f>IF(ISBLANK($BL48),IFERROR(0/0,""),VLOOKUP(FLOOR($B48,1),'APS Tubes by Date IMPORT'!$B$2:$J163,2,FALSE))</f>
        <v/>
      </c>
    </row>
    <row r="49">
      <c r="A49" s="245" t="str">
        <f>CONCATENATE("RUN-",'Process Ref'!$A$1,"_",TEXT(U49,"YYYY-MM-DD"),"_RFR-",TEXT(AR49,"000"),IF(EXACT(W49,"Initial"),"",CONCATENATE("_",W49)))</f>
        <v>RUN-FLMP_2022-01-08_RFR-052</v>
      </c>
      <c r="B49" s="246">
        <v>44569.44676331019</v>
      </c>
      <c r="C49" s="256"/>
      <c r="D49" s="256" t="s">
        <v>442</v>
      </c>
      <c r="E49" s="250">
        <v>10.0</v>
      </c>
      <c r="F49" s="256" t="s">
        <v>656</v>
      </c>
      <c r="G49" s="249" t="s">
        <v>657</v>
      </c>
      <c r="H49" s="249"/>
      <c r="I49" s="249" t="s">
        <v>658</v>
      </c>
      <c r="J49" s="250"/>
      <c r="K49" s="251" t="s">
        <v>659</v>
      </c>
      <c r="L49" s="248"/>
      <c r="M49" s="252">
        <v>1.1</v>
      </c>
      <c r="N49" s="252"/>
      <c r="O49" s="253"/>
      <c r="P49" s="254" t="b">
        <v>0</v>
      </c>
      <c r="Q49" s="255" t="b">
        <v>1</v>
      </c>
      <c r="R49" s="247" t="s">
        <v>660</v>
      </c>
      <c r="S49" s="254" t="b">
        <v>0</v>
      </c>
      <c r="T49" s="257" t="b">
        <v>0</v>
      </c>
      <c r="U49" s="258">
        <v>44569.0</v>
      </c>
      <c r="V49" s="259">
        <v>0.3888888888888889</v>
      </c>
      <c r="W49" s="247" t="s">
        <v>447</v>
      </c>
      <c r="X49" s="247" t="s">
        <v>661</v>
      </c>
      <c r="Y49" s="254" t="b">
        <v>0</v>
      </c>
      <c r="Z49" s="248">
        <v>10.0</v>
      </c>
      <c r="AA49" s="260">
        <f t="shared" si="34"/>
        <v>0</v>
      </c>
      <c r="AB49" s="261" t="b">
        <f t="shared" si="2"/>
        <v>1</v>
      </c>
      <c r="AC49" s="292">
        <v>8.0</v>
      </c>
      <c r="AD49" s="248">
        <v>0.0</v>
      </c>
      <c r="AE49" s="248">
        <f t="shared" si="40"/>
        <v>0</v>
      </c>
      <c r="AF49" s="248">
        <v>0.0</v>
      </c>
      <c r="AG49" s="248">
        <v>1.0</v>
      </c>
      <c r="AH49" s="250">
        <f t="shared" si="41"/>
        <v>1</v>
      </c>
      <c r="AI49" s="248">
        <v>1.0</v>
      </c>
      <c r="AJ49" s="250" t="b">
        <v>0</v>
      </c>
      <c r="AK49" s="262">
        <f t="shared" ref="AK49:AK51" si="44">IF(W49="Initial",AC49,IF(AJ49=TRUE,"CORRECT ME",AC49/3))</f>
        <v>8</v>
      </c>
      <c r="AL49" s="248">
        <v>5.0</v>
      </c>
      <c r="AM49" s="248">
        <v>1.0</v>
      </c>
      <c r="AN49" s="263" t="str">
        <f>IFNA(VLOOKUP($A49,'Tube Reactions'!$J$2:$K163,2,FALSE),"")</f>
        <v/>
      </c>
      <c r="AO49" s="264" t="str">
        <f t="shared" si="4"/>
        <v>NOT EQUAL</v>
      </c>
      <c r="AP49" s="265" t="str">
        <f t="shared" si="43"/>
        <v>Absent</v>
      </c>
      <c r="AQ49" s="260" t="b">
        <f t="shared" si="6"/>
        <v>1</v>
      </c>
      <c r="AR49" s="266">
        <v>52.0</v>
      </c>
      <c r="AS49" s="267" t="s">
        <v>662</v>
      </c>
      <c r="AT49" s="247" t="s">
        <v>663</v>
      </c>
      <c r="AU49" s="268" t="s">
        <v>626</v>
      </c>
      <c r="AV49" s="269">
        <v>11.0</v>
      </c>
      <c r="AW49" s="250" t="b">
        <v>0</v>
      </c>
      <c r="AX49" s="270" t="b">
        <f t="shared" si="7"/>
        <v>1</v>
      </c>
      <c r="AY49" s="248">
        <f t="shared" si="36"/>
        <v>3</v>
      </c>
      <c r="AZ49" s="271"/>
      <c r="BA49" s="272" t="b">
        <v>1</v>
      </c>
      <c r="BB49" s="245" t="b">
        <f t="shared" si="9"/>
        <v>1</v>
      </c>
      <c r="BC49" s="260">
        <f t="shared" si="10"/>
        <v>5</v>
      </c>
      <c r="BD49" s="260">
        <f t="shared" si="11"/>
        <v>8</v>
      </c>
      <c r="BE49" s="273" t="b">
        <f t="shared" si="12"/>
        <v>1</v>
      </c>
      <c r="BF49" s="274">
        <f t="shared" si="13"/>
        <v>44569</v>
      </c>
      <c r="BG49" s="275" t="str">
        <f t="shared" si="14"/>
        <v>RUN-FLMP_2022-01-08_RFR-052</v>
      </c>
      <c r="BH49" s="96">
        <f t="shared" si="15"/>
        <v>10</v>
      </c>
      <c r="BI49" s="96">
        <f t="shared" si="16"/>
        <v>8</v>
      </c>
      <c r="BJ49" s="96">
        <f t="shared" si="17"/>
        <v>8</v>
      </c>
      <c r="BK49" s="96">
        <f t="shared" si="18"/>
        <v>5</v>
      </c>
      <c r="BL49" s="10">
        <f>IFNA(IF(VLOOKUP(FLOOR($B49,1),'APS Tubes by Date IMPORT'!$B$2:$J163,1,FALSE)=FLOOR($BL48,1),IFERROR(0/0,""),VLOOKUP(FLOOR($B49,1),'APS Tubes by Date IMPORT'!$B$2:$J163,1,FALSE)),"")</f>
        <v>44569</v>
      </c>
      <c r="BM49" s="96">
        <f>IF(ISBLANK($BL49),IFERROR(0/0,""),VLOOKUP(FLOOR($B49,1),'APS Tubes by Date IMPORT'!$B$2:$J163,2,FALSE))</f>
        <v>7</v>
      </c>
    </row>
    <row r="50">
      <c r="A50" s="245" t="str">
        <f>CONCATENATE("RUN-",'Process Ref'!$A$1,"_",TEXT(U50,"YYYY-MM-DD"),"_RFR-",TEXT(AR50,"000"),IF(EXACT(W50,"Initial"),"",CONCATENATE("_",W50)))</f>
        <v>RUN-FLMP_2022-01-10_RFR-053</v>
      </c>
      <c r="B50" s="246">
        <v>44571.510082673616</v>
      </c>
      <c r="C50" s="256"/>
      <c r="D50" s="256" t="s">
        <v>442</v>
      </c>
      <c r="E50" s="250">
        <v>46.0</v>
      </c>
      <c r="F50" s="256" t="s">
        <v>664</v>
      </c>
      <c r="G50" s="249" t="s">
        <v>665</v>
      </c>
      <c r="H50" s="249"/>
      <c r="I50" s="249" t="s">
        <v>666</v>
      </c>
      <c r="J50" s="250">
        <v>2.0</v>
      </c>
      <c r="K50" s="251" t="s">
        <v>667</v>
      </c>
      <c r="L50" s="248"/>
      <c r="M50" s="252">
        <v>1.8</v>
      </c>
      <c r="N50" s="252">
        <v>2.1</v>
      </c>
      <c r="O50" s="253" t="s">
        <v>668</v>
      </c>
      <c r="P50" s="254" t="b">
        <v>1</v>
      </c>
      <c r="Q50" s="255" t="b">
        <v>0</v>
      </c>
      <c r="R50" s="256"/>
      <c r="S50" s="254" t="b">
        <v>0</v>
      </c>
      <c r="T50" s="284" t="b">
        <v>1</v>
      </c>
      <c r="U50" s="258">
        <v>44571.0</v>
      </c>
      <c r="V50" s="259">
        <v>0.3854166666666667</v>
      </c>
      <c r="W50" s="247" t="s">
        <v>447</v>
      </c>
      <c r="X50" s="247" t="s">
        <v>669</v>
      </c>
      <c r="Y50" s="255" t="b">
        <v>1</v>
      </c>
      <c r="Z50" s="248">
        <v>46.0</v>
      </c>
      <c r="AA50" s="260">
        <f t="shared" si="34"/>
        <v>0</v>
      </c>
      <c r="AB50" s="261" t="b">
        <f t="shared" si="2"/>
        <v>1</v>
      </c>
      <c r="AC50" s="292">
        <v>46.0</v>
      </c>
      <c r="AD50" s="248">
        <v>1.0</v>
      </c>
      <c r="AE50" s="248">
        <f t="shared" si="40"/>
        <v>1</v>
      </c>
      <c r="AF50" s="248">
        <f>AE50</f>
        <v>1</v>
      </c>
      <c r="AG50" s="292">
        <v>13.0</v>
      </c>
      <c r="AH50" s="250">
        <f t="shared" si="41"/>
        <v>13</v>
      </c>
      <c r="AI50" s="248">
        <v>13.0</v>
      </c>
      <c r="AJ50" s="248" t="b">
        <v>1</v>
      </c>
      <c r="AK50" s="262">
        <f t="shared" si="44"/>
        <v>46</v>
      </c>
      <c r="AL50" s="248">
        <v>4.0</v>
      </c>
      <c r="AM50" s="248">
        <v>14.0</v>
      </c>
      <c r="AN50" s="263" t="str">
        <f>IFNA(VLOOKUP($A50,'Tube Reactions'!$J$2:$K163,2,FALSE),"")</f>
        <v/>
      </c>
      <c r="AO50" s="264" t="str">
        <f t="shared" si="4"/>
        <v>NOT EQUAL</v>
      </c>
      <c r="AP50" s="265" t="str">
        <f t="shared" si="43"/>
        <v>Absent</v>
      </c>
      <c r="AQ50" s="260" t="b">
        <f t="shared" si="6"/>
        <v>1</v>
      </c>
      <c r="AR50" s="266">
        <v>53.0</v>
      </c>
      <c r="AS50" s="279" t="s">
        <v>670</v>
      </c>
      <c r="AT50" s="247"/>
      <c r="AU50" s="268" t="s">
        <v>626</v>
      </c>
      <c r="AV50" s="248">
        <v>50.0</v>
      </c>
      <c r="AW50" s="256" t="b">
        <v>0</v>
      </c>
      <c r="AX50" s="270" t="b">
        <f t="shared" si="7"/>
        <v>1</v>
      </c>
      <c r="AY50" s="250">
        <f t="shared" si="36"/>
        <v>4</v>
      </c>
      <c r="AZ50" s="271" t="s">
        <v>671</v>
      </c>
      <c r="BA50" s="272" t="b">
        <v>0</v>
      </c>
      <c r="BB50" s="245" t="str">
        <f t="shared" si="9"/>
        <v/>
      </c>
      <c r="BC50" s="260" t="str">
        <f t="shared" si="10"/>
        <v/>
      </c>
      <c r="BD50" s="260" t="str">
        <f t="shared" si="11"/>
        <v/>
      </c>
      <c r="BE50" s="273" t="b">
        <f t="shared" si="12"/>
        <v>1</v>
      </c>
      <c r="BF50" s="274">
        <f t="shared" si="13"/>
        <v>44571</v>
      </c>
      <c r="BG50" s="275" t="str">
        <f t="shared" si="14"/>
        <v>RUN-FLMP_2022-01-10_RFR-053</v>
      </c>
      <c r="BH50" s="96">
        <f t="shared" si="15"/>
        <v>46</v>
      </c>
      <c r="BI50" s="96">
        <f t="shared" si="16"/>
        <v>46</v>
      </c>
      <c r="BJ50" s="96">
        <f t="shared" si="17"/>
        <v>46</v>
      </c>
      <c r="BK50" s="96">
        <f t="shared" si="18"/>
        <v>4</v>
      </c>
      <c r="BL50" s="10">
        <f>IFNA(IF(VLOOKUP(FLOOR($B50,1),'APS Tubes by Date IMPORT'!$B$2:$J163,1,FALSE)=FLOOR($BL49,1),IFERROR(0/0,""),VLOOKUP(FLOOR($B50,1),'APS Tubes by Date IMPORT'!$B$2:$J163,1,FALSE)),"")</f>
        <v>44571</v>
      </c>
      <c r="BM50" s="96">
        <f>IF(ISBLANK($BL50),IFERROR(0/0,""),VLOOKUP(FLOOR($B50,1),'APS Tubes by Date IMPORT'!$B$2:$J163,2,FALSE))</f>
        <v>27</v>
      </c>
    </row>
    <row r="51">
      <c r="A51" s="245" t="str">
        <f>CONCATENATE("RUN-",'Process Ref'!$A$1,"_",TEXT(U51,"YYYY-MM-DD"),"_RFR-",TEXT(AR51,"000"),IF(EXACT(W51,"Initial"),"",CONCATENATE("_",W51)))</f>
        <v>RUN-FLMP_2022-01-10_RFR-054_Re-run</v>
      </c>
      <c r="B51" s="302">
        <v>44571.510082673616</v>
      </c>
      <c r="C51" s="256"/>
      <c r="D51" s="256" t="s">
        <v>442</v>
      </c>
      <c r="E51" s="250"/>
      <c r="F51" s="256" t="s">
        <v>664</v>
      </c>
      <c r="G51" s="249" t="s">
        <v>665</v>
      </c>
      <c r="H51" s="282"/>
      <c r="I51" s="249" t="s">
        <v>672</v>
      </c>
      <c r="J51" s="250"/>
      <c r="K51" s="251" t="s">
        <v>667</v>
      </c>
      <c r="L51" s="248"/>
      <c r="M51" s="252"/>
      <c r="N51" s="303">
        <v>2.1</v>
      </c>
      <c r="O51" s="304" t="s">
        <v>673</v>
      </c>
      <c r="P51" s="254" t="b">
        <v>1</v>
      </c>
      <c r="Q51" s="286" t="b">
        <v>0</v>
      </c>
      <c r="R51" s="256"/>
      <c r="S51" s="286" t="b">
        <v>1</v>
      </c>
      <c r="T51" s="287" t="b">
        <v>1</v>
      </c>
      <c r="U51" s="288">
        <v>44571.0</v>
      </c>
      <c r="V51" s="289">
        <v>0.4270833333333333</v>
      </c>
      <c r="W51" s="290" t="s">
        <v>469</v>
      </c>
      <c r="X51" s="291" t="s">
        <v>669</v>
      </c>
      <c r="Y51" s="286" t="b">
        <v>1</v>
      </c>
      <c r="Z51" s="250"/>
      <c r="AA51" s="260">
        <f t="shared" si="34"/>
        <v>0</v>
      </c>
      <c r="AB51" s="293" t="b">
        <f t="shared" si="2"/>
        <v>1</v>
      </c>
      <c r="AC51" s="292">
        <v>6.0</v>
      </c>
      <c r="AD51" s="292">
        <v>1.0</v>
      </c>
      <c r="AE51" s="292">
        <v>0.0</v>
      </c>
      <c r="AF51" s="292">
        <v>0.0</v>
      </c>
      <c r="AG51" s="292">
        <v>0.0</v>
      </c>
      <c r="AH51" s="250">
        <f t="shared" si="41"/>
        <v>0</v>
      </c>
      <c r="AI51" s="250"/>
      <c r="AJ51" s="294" t="b">
        <v>0</v>
      </c>
      <c r="AK51" s="295">
        <f t="shared" si="44"/>
        <v>2</v>
      </c>
      <c r="AL51" s="292">
        <v>1.6</v>
      </c>
      <c r="AM51" s="250"/>
      <c r="AN51" s="296" t="str">
        <f>IFNA(VLOOKUP($A51,'Tube Reactions'!$J$2:$K163,2,FALSE),"")</f>
        <v/>
      </c>
      <c r="AO51" s="297" t="str">
        <f t="shared" si="4"/>
        <v/>
      </c>
      <c r="AP51" s="298" t="str">
        <f>IF(ISTEXT(#REF!),"", "Absent")</f>
        <v>Absent</v>
      </c>
      <c r="AQ51" s="260" t="b">
        <f t="shared" si="6"/>
        <v>1</v>
      </c>
      <c r="AR51" s="266">
        <v>54.0</v>
      </c>
      <c r="AS51" s="279"/>
      <c r="AT51" s="279"/>
      <c r="AU51" s="306" t="s">
        <v>626</v>
      </c>
      <c r="AV51" s="292">
        <v>8.0</v>
      </c>
      <c r="AW51" s="286" t="b">
        <v>1</v>
      </c>
      <c r="AX51" s="270" t="b">
        <f t="shared" si="7"/>
        <v>0</v>
      </c>
      <c r="AY51" s="254">
        <f t="shared" si="36"/>
        <v>2</v>
      </c>
      <c r="AZ51" s="307"/>
      <c r="BA51" s="272" t="b">
        <v>1</v>
      </c>
      <c r="BB51" s="245" t="b">
        <f t="shared" si="9"/>
        <v>0</v>
      </c>
      <c r="BC51" s="260" t="str">
        <f t="shared" si="10"/>
        <v/>
      </c>
      <c r="BD51" s="260" t="str">
        <f t="shared" si="11"/>
        <v/>
      </c>
      <c r="BE51" s="273" t="b">
        <f t="shared" si="12"/>
        <v>1</v>
      </c>
      <c r="BF51" s="274" t="str">
        <f t="shared" si="13"/>
        <v/>
      </c>
      <c r="BG51" s="275" t="str">
        <f t="shared" si="14"/>
        <v/>
      </c>
      <c r="BH51" s="96" t="str">
        <f t="shared" si="15"/>
        <v/>
      </c>
      <c r="BI51" s="96" t="str">
        <f t="shared" si="16"/>
        <v/>
      </c>
      <c r="BJ51" s="96" t="str">
        <f t="shared" si="17"/>
        <v/>
      </c>
      <c r="BK51" s="96" t="str">
        <f t="shared" si="18"/>
        <v/>
      </c>
      <c r="BL51" s="10" t="str">
        <f>IFNA(IF(VLOOKUP(FLOOR($B51,1),'APS Tubes by Date IMPORT'!$B$2:$J163,1,FALSE)=FLOOR($BL50,1),IFERROR(0/0,""),VLOOKUP(FLOOR($B51,1),'APS Tubes by Date IMPORT'!$B$2:$J163,1,FALSE)),"")</f>
        <v/>
      </c>
      <c r="BM51" s="96" t="str">
        <f>IF(ISBLANK($BL51),IFERROR(0/0,""),VLOOKUP(FLOOR($B51,1),'APS Tubes by Date IMPORT'!$B$2:$J163,2,FALSE))</f>
        <v/>
      </c>
    </row>
    <row r="52">
      <c r="A52" s="245" t="str">
        <f>CONCATENATE("RUN-",'Process Ref'!$A$1,"_",TEXT(U52,"YYYY-MM-DD"),"_RFR-",TEXT(AR52,"000"),IF(EXACT(W52,"Initial"),"",CONCATENATE("_",W52)))</f>
        <v>RUN-FLMP_2022-01-10_RFR-055</v>
      </c>
      <c r="B52" s="246">
        <v>44571.83279526621</v>
      </c>
      <c r="C52" s="256"/>
      <c r="D52" s="256" t="s">
        <v>442</v>
      </c>
      <c r="E52" s="250">
        <v>3.0</v>
      </c>
      <c r="F52" s="256"/>
      <c r="G52" s="249" t="s">
        <v>674</v>
      </c>
      <c r="H52" s="249"/>
      <c r="I52" s="249" t="s">
        <v>675</v>
      </c>
      <c r="J52" s="250"/>
      <c r="K52" s="251"/>
      <c r="L52" s="248"/>
      <c r="M52" s="252"/>
      <c r="N52" s="252"/>
      <c r="O52" s="253"/>
      <c r="P52" s="254" t="b">
        <v>0</v>
      </c>
      <c r="Q52" s="255" t="b">
        <v>0</v>
      </c>
      <c r="R52" s="256"/>
      <c r="S52" s="254" t="b">
        <v>0</v>
      </c>
      <c r="T52" s="257" t="b">
        <v>0</v>
      </c>
      <c r="U52" s="258">
        <v>44571.0</v>
      </c>
      <c r="V52" s="259">
        <v>0.7916666666666666</v>
      </c>
      <c r="W52" s="247" t="s">
        <v>447</v>
      </c>
      <c r="X52" s="247" t="s">
        <v>676</v>
      </c>
      <c r="Y52" s="255" t="b">
        <v>1</v>
      </c>
      <c r="Z52" s="248">
        <v>8.0</v>
      </c>
      <c r="AA52" s="260">
        <f t="shared" si="34"/>
        <v>5</v>
      </c>
      <c r="AB52" s="261" t="b">
        <f t="shared" si="2"/>
        <v>1</v>
      </c>
      <c r="AC52" s="248">
        <v>6.0</v>
      </c>
      <c r="AD52" s="248">
        <v>0.0</v>
      </c>
      <c r="AE52" s="248">
        <f t="shared" ref="AE52:AE54" si="45">IF(W52="Initial",AD52,(IF(AJ52=TRUE,"CORRECT ME",AD52/3)))</f>
        <v>0</v>
      </c>
      <c r="AF52" s="248">
        <v>0.0</v>
      </c>
      <c r="AG52" s="248">
        <v>2.0</v>
      </c>
      <c r="AH52" s="248">
        <v>1.0</v>
      </c>
      <c r="AI52" s="248">
        <v>1.0</v>
      </c>
      <c r="AJ52" s="248" t="b">
        <v>1</v>
      </c>
      <c r="AK52" s="278">
        <v>3.0</v>
      </c>
      <c r="AL52" s="248">
        <v>4.0</v>
      </c>
      <c r="AM52" s="248">
        <v>1.0</v>
      </c>
      <c r="AN52" s="263" t="str">
        <f>IFNA(VLOOKUP($A52,'Tube Reactions'!$J$2:$K163,2,FALSE),"")</f>
        <v/>
      </c>
      <c r="AO52" s="264" t="str">
        <f t="shared" si="4"/>
        <v>NOT EQUAL</v>
      </c>
      <c r="AP52" s="265" t="str">
        <f t="shared" ref="AP52:AP64" si="46">IF(ISTEXT(H52),"", "Absent")</f>
        <v>Absent</v>
      </c>
      <c r="AQ52" s="260" t="b">
        <f t="shared" si="6"/>
        <v>1</v>
      </c>
      <c r="AR52" s="266">
        <v>55.0</v>
      </c>
      <c r="AS52" s="267" t="s">
        <v>677</v>
      </c>
      <c r="AT52" s="247"/>
      <c r="AU52" s="268" t="s">
        <v>626</v>
      </c>
      <c r="AV52" s="269">
        <v>8.0</v>
      </c>
      <c r="AW52" s="250" t="b">
        <v>0</v>
      </c>
      <c r="AX52" s="270" t="b">
        <f t="shared" si="7"/>
        <v>1</v>
      </c>
      <c r="AY52" s="250">
        <f t="shared" si="36"/>
        <v>2</v>
      </c>
      <c r="AZ52" s="276"/>
      <c r="BA52" s="272" t="b">
        <v>0</v>
      </c>
      <c r="BB52" s="245" t="str">
        <f t="shared" si="9"/>
        <v/>
      </c>
      <c r="BC52" s="260" t="str">
        <f t="shared" si="10"/>
        <v/>
      </c>
      <c r="BD52" s="260" t="str">
        <f t="shared" si="11"/>
        <v/>
      </c>
      <c r="BE52" s="273" t="b">
        <f t="shared" si="12"/>
        <v>1</v>
      </c>
      <c r="BF52" s="274">
        <f t="shared" si="13"/>
        <v>44571</v>
      </c>
      <c r="BG52" s="275" t="str">
        <f t="shared" si="14"/>
        <v>RUN-FLMP_2022-01-10_RFR-055</v>
      </c>
      <c r="BH52" s="96">
        <f t="shared" si="15"/>
        <v>3</v>
      </c>
      <c r="BI52" s="96">
        <f t="shared" si="16"/>
        <v>6</v>
      </c>
      <c r="BJ52" s="96">
        <f t="shared" si="17"/>
        <v>3</v>
      </c>
      <c r="BK52" s="96">
        <f t="shared" si="18"/>
        <v>4</v>
      </c>
      <c r="BL52" s="10">
        <f>IFNA(IF(VLOOKUP(FLOOR($B52,1),'APS Tubes by Date IMPORT'!$B$2:$J163,1,FALSE)=FLOOR($BL51,1),IFERROR(0/0,""),VLOOKUP(FLOOR($B52,1),'APS Tubes by Date IMPORT'!$B$2:$J163,1,FALSE)),"")</f>
        <v>44571</v>
      </c>
      <c r="BM52" s="96">
        <f>IF(ISBLANK($BL52),IFERROR(0/0,""),VLOOKUP(FLOOR($B52,1),'APS Tubes by Date IMPORT'!$B$2:$J163,2,FALSE))</f>
        <v>27</v>
      </c>
    </row>
    <row r="53">
      <c r="A53" s="245" t="str">
        <f>CONCATENATE("RUN-",'Process Ref'!$A$1,"_",TEXT(U53,"YYYY-MM-DD"),"_RFR-",TEXT(AR53,"000"),IF(EXACT(W53,"Initial"),"",CONCATENATE("_",W53)))</f>
        <v>RUN-FLMP_2022-01-13_RFR-056</v>
      </c>
      <c r="B53" s="246">
        <v>44574.4130925</v>
      </c>
      <c r="C53" s="256"/>
      <c r="D53" s="256" t="s">
        <v>442</v>
      </c>
      <c r="E53" s="250">
        <v>29.0</v>
      </c>
      <c r="F53" s="256"/>
      <c r="G53" s="249" t="s">
        <v>678</v>
      </c>
      <c r="H53" s="249"/>
      <c r="I53" s="249" t="s">
        <v>679</v>
      </c>
      <c r="J53" s="250"/>
      <c r="K53" s="251" t="s">
        <v>680</v>
      </c>
      <c r="L53" s="248"/>
      <c r="M53" s="252">
        <v>1.8</v>
      </c>
      <c r="N53" s="252"/>
      <c r="O53" s="253" t="s">
        <v>681</v>
      </c>
      <c r="P53" s="254" t="b">
        <v>0</v>
      </c>
      <c r="Q53" s="255" t="b">
        <v>0</v>
      </c>
      <c r="R53" s="256"/>
      <c r="S53" s="254" t="b">
        <v>0</v>
      </c>
      <c r="T53" s="284" t="b">
        <v>0</v>
      </c>
      <c r="U53" s="258">
        <v>44574.0</v>
      </c>
      <c r="V53" s="259">
        <v>0.25</v>
      </c>
      <c r="W53" s="247" t="s">
        <v>447</v>
      </c>
      <c r="X53" s="247" t="s">
        <v>682</v>
      </c>
      <c r="Y53" s="254" t="b">
        <v>0</v>
      </c>
      <c r="Z53" s="248">
        <v>8.0</v>
      </c>
      <c r="AA53" s="260">
        <f t="shared" si="34"/>
        <v>-21</v>
      </c>
      <c r="AB53" s="261" t="b">
        <f t="shared" si="2"/>
        <v>1</v>
      </c>
      <c r="AC53" s="248">
        <v>8.0</v>
      </c>
      <c r="AD53" s="248">
        <v>0.0</v>
      </c>
      <c r="AE53" s="248">
        <f t="shared" si="45"/>
        <v>0</v>
      </c>
      <c r="AF53" s="248">
        <v>0.0</v>
      </c>
      <c r="AG53" s="248">
        <v>0.0</v>
      </c>
      <c r="AH53" s="250">
        <f t="shared" ref="AH53:AH54" si="47">IF(W53="Initial",AG53,(IF(AJ53=TRUE,"CORRECT ME",AG53/3)))</f>
        <v>0</v>
      </c>
      <c r="AI53" s="248">
        <v>0.0</v>
      </c>
      <c r="AJ53" s="250" t="b">
        <v>0</v>
      </c>
      <c r="AK53" s="278">
        <v>3.0</v>
      </c>
      <c r="AL53" s="248">
        <v>0.0</v>
      </c>
      <c r="AM53" s="248">
        <v>0.0</v>
      </c>
      <c r="AN53" s="263" t="str">
        <f>IFNA(VLOOKUP($A53,'Tube Reactions'!$J$2:$K163,2,FALSE),"")</f>
        <v/>
      </c>
      <c r="AO53" s="264" t="str">
        <f t="shared" si="4"/>
        <v/>
      </c>
      <c r="AP53" s="265" t="str">
        <f t="shared" si="46"/>
        <v>Absent</v>
      </c>
      <c r="AQ53" s="260" t="b">
        <f t="shared" si="6"/>
        <v>1</v>
      </c>
      <c r="AR53" s="266">
        <v>56.0</v>
      </c>
      <c r="AS53" s="267"/>
      <c r="AT53" s="247"/>
      <c r="AU53" s="268" t="s">
        <v>683</v>
      </c>
      <c r="AV53" s="269">
        <v>10.0</v>
      </c>
      <c r="AW53" s="248" t="b">
        <v>1</v>
      </c>
      <c r="AX53" s="270" t="b">
        <f t="shared" si="7"/>
        <v>1</v>
      </c>
      <c r="AY53" s="250">
        <f t="shared" si="36"/>
        <v>2</v>
      </c>
      <c r="AZ53" s="276"/>
      <c r="BA53" s="272" t="b">
        <v>0</v>
      </c>
      <c r="BB53" s="245" t="str">
        <f t="shared" si="9"/>
        <v/>
      </c>
      <c r="BC53" s="260" t="str">
        <f t="shared" si="10"/>
        <v/>
      </c>
      <c r="BD53" s="260" t="str">
        <f t="shared" si="11"/>
        <v/>
      </c>
      <c r="BE53" s="273" t="b">
        <f t="shared" si="12"/>
        <v>1</v>
      </c>
      <c r="BF53" s="274">
        <f t="shared" si="13"/>
        <v>44574</v>
      </c>
      <c r="BG53" s="275" t="str">
        <f t="shared" si="14"/>
        <v>RUN-FLMP_2022-01-13_RFR-056</v>
      </c>
      <c r="BH53" s="96">
        <f t="shared" si="15"/>
        <v>29</v>
      </c>
      <c r="BI53" s="96">
        <f t="shared" si="16"/>
        <v>8</v>
      </c>
      <c r="BJ53" s="96">
        <f t="shared" si="17"/>
        <v>3</v>
      </c>
      <c r="BK53" s="96">
        <f t="shared" si="18"/>
        <v>0</v>
      </c>
      <c r="BL53" s="10">
        <f>IFNA(IF(VLOOKUP(FLOOR($B53,1),'APS Tubes by Date IMPORT'!$B$2:$J163,1,FALSE)=FLOOR($BL52,1),IFERROR(0/0,""),VLOOKUP(FLOOR($B53,1),'APS Tubes by Date IMPORT'!$B$2:$J163,1,FALSE)),"")</f>
        <v>44574</v>
      </c>
      <c r="BM53" s="96">
        <f>IF(ISBLANK($BL53),IFERROR(0/0,""),VLOOKUP(FLOOR($B53,1),'APS Tubes by Date IMPORT'!$B$2:$J163,2,FALSE))</f>
        <v>23</v>
      </c>
    </row>
    <row r="54">
      <c r="A54" s="245" t="str">
        <f>CONCATENATE("RUN-",'Process Ref'!$A$1,"_",TEXT(U54,"YYYY-MM-DD"),"_RFR-",TEXT(AR54,"000"),IF(EXACT(W54,"Initial"),"",CONCATENATE("_",W54)))</f>
        <v>RUN-FLMP_2022-01-13_RFR-057</v>
      </c>
      <c r="B54" s="246">
        <v>44575.252931678246</v>
      </c>
      <c r="C54" s="256"/>
      <c r="D54" s="256" t="s">
        <v>442</v>
      </c>
      <c r="E54" s="250">
        <v>31.0</v>
      </c>
      <c r="F54" s="256" t="s">
        <v>684</v>
      </c>
      <c r="G54" s="249" t="s">
        <v>685</v>
      </c>
      <c r="H54" s="249"/>
      <c r="I54" s="249" t="s">
        <v>686</v>
      </c>
      <c r="J54" s="250">
        <v>1.0</v>
      </c>
      <c r="K54" s="251"/>
      <c r="L54" s="248"/>
      <c r="M54" s="252">
        <v>1.5</v>
      </c>
      <c r="N54" s="252">
        <v>2.1</v>
      </c>
      <c r="O54" s="253"/>
      <c r="P54" s="254" t="b">
        <v>1</v>
      </c>
      <c r="Q54" s="255" t="b">
        <v>0</v>
      </c>
      <c r="R54" s="256"/>
      <c r="S54" s="255" t="b">
        <v>0</v>
      </c>
      <c r="T54" s="284" t="b">
        <v>1</v>
      </c>
      <c r="U54" s="258">
        <v>44574.0</v>
      </c>
      <c r="V54" s="259">
        <v>0.40902777777777777</v>
      </c>
      <c r="W54" s="247" t="s">
        <v>447</v>
      </c>
      <c r="X54" s="247" t="s">
        <v>687</v>
      </c>
      <c r="Y54" s="255" t="b">
        <v>1</v>
      </c>
      <c r="Z54" s="248">
        <v>31.0</v>
      </c>
      <c r="AA54" s="260">
        <f t="shared" si="34"/>
        <v>0</v>
      </c>
      <c r="AB54" s="261" t="b">
        <f t="shared" si="2"/>
        <v>1</v>
      </c>
      <c r="AC54" s="248">
        <v>30.0</v>
      </c>
      <c r="AD54" s="248">
        <v>0.0</v>
      </c>
      <c r="AE54" s="248">
        <f t="shared" si="45"/>
        <v>0</v>
      </c>
      <c r="AF54" s="248">
        <v>0.0</v>
      </c>
      <c r="AG54" s="248">
        <v>0.0</v>
      </c>
      <c r="AH54" s="250">
        <f t="shared" si="47"/>
        <v>0</v>
      </c>
      <c r="AI54" s="248">
        <v>0.0</v>
      </c>
      <c r="AJ54" s="250" t="b">
        <v>0</v>
      </c>
      <c r="AK54" s="262">
        <f>IF(W54="Initial",AC54,IF(AJ54=TRUE,"CORRECT ME",AC54/3))</f>
        <v>30</v>
      </c>
      <c r="AL54" s="248">
        <v>0.0</v>
      </c>
      <c r="AM54" s="248">
        <v>1.0</v>
      </c>
      <c r="AN54" s="263" t="str">
        <f>IFNA(VLOOKUP($A54,'Tube Reactions'!$J$2:$K163,2,FALSE),"")</f>
        <v/>
      </c>
      <c r="AO54" s="264" t="str">
        <f t="shared" si="4"/>
        <v>NOT EQUAL</v>
      </c>
      <c r="AP54" s="265" t="str">
        <f t="shared" si="46"/>
        <v>Absent</v>
      </c>
      <c r="AQ54" s="260" t="b">
        <f t="shared" si="6"/>
        <v>1</v>
      </c>
      <c r="AR54" s="266">
        <v>57.0</v>
      </c>
      <c r="AS54" s="267"/>
      <c r="AT54" s="247"/>
      <c r="AU54" s="268" t="s">
        <v>683</v>
      </c>
      <c r="AV54" s="269">
        <v>32.0</v>
      </c>
      <c r="AW54" s="248" t="b">
        <v>1</v>
      </c>
      <c r="AX54" s="270" t="b">
        <f t="shared" si="7"/>
        <v>1</v>
      </c>
      <c r="AY54" s="250">
        <f t="shared" si="36"/>
        <v>2</v>
      </c>
      <c r="AZ54" s="276"/>
      <c r="BA54" s="272" t="b">
        <v>0</v>
      </c>
      <c r="BB54" s="245" t="str">
        <f t="shared" si="9"/>
        <v/>
      </c>
      <c r="BC54" s="260" t="str">
        <f t="shared" si="10"/>
        <v/>
      </c>
      <c r="BD54" s="260" t="str">
        <f t="shared" si="11"/>
        <v/>
      </c>
      <c r="BE54" s="273" t="str">
        <f t="shared" si="12"/>
        <v/>
      </c>
      <c r="BF54" s="274">
        <f t="shared" si="13"/>
        <v>44574</v>
      </c>
      <c r="BG54" s="275" t="str">
        <f t="shared" si="14"/>
        <v>RUN-FLMP_2022-01-13_RFR-057</v>
      </c>
      <c r="BH54" s="96">
        <f t="shared" si="15"/>
        <v>31</v>
      </c>
      <c r="BI54" s="96">
        <f t="shared" si="16"/>
        <v>30</v>
      </c>
      <c r="BJ54" s="96">
        <f t="shared" si="17"/>
        <v>30</v>
      </c>
      <c r="BK54" s="96">
        <f t="shared" si="18"/>
        <v>0</v>
      </c>
      <c r="BL54" s="10" t="str">
        <f>IFNA(IF(VLOOKUP(FLOOR($B54,1),'APS Tubes by Date IMPORT'!$B$2:$J163,1,FALSE)=FLOOR($BL53,1),IFERROR(0/0,""),VLOOKUP(FLOOR($B54,1),'APS Tubes by Date IMPORT'!$B$2:$J163,1,FALSE)),"")</f>
        <v/>
      </c>
      <c r="BM54" s="96" t="str">
        <f>IF(ISBLANK($BL54),IFERROR(0/0,""),VLOOKUP(FLOOR($B54,1),'APS Tubes by Date IMPORT'!$B$2:$J163,2,FALSE))</f>
        <v/>
      </c>
    </row>
    <row r="55">
      <c r="A55" s="245" t="str">
        <f>CONCATENATE("RUN-",'Process Ref'!$A$1,"_",TEXT(U55,"YYYY-MM-DD"),"_RFR-",TEXT(AR55,"000"),IF(EXACT(W55,"Initial"),"",CONCATENATE("_",W55)))</f>
        <v>RUN-FLMP_2022-01-13_RFR-058_Re-run</v>
      </c>
      <c r="B55" s="285">
        <v>44575.252931678246</v>
      </c>
      <c r="C55" s="256"/>
      <c r="D55" s="256" t="s">
        <v>442</v>
      </c>
      <c r="E55" s="250"/>
      <c r="F55" s="256" t="s">
        <v>684</v>
      </c>
      <c r="G55" s="249" t="s">
        <v>685</v>
      </c>
      <c r="H55" s="282"/>
      <c r="I55" s="249" t="s">
        <v>688</v>
      </c>
      <c r="J55" s="250"/>
      <c r="K55" s="251" t="s">
        <v>689</v>
      </c>
      <c r="L55" s="248"/>
      <c r="M55" s="303">
        <v>1.5</v>
      </c>
      <c r="N55" s="252"/>
      <c r="O55" s="253"/>
      <c r="P55" s="254" t="b">
        <v>0</v>
      </c>
      <c r="Q55" s="286" t="b">
        <v>0</v>
      </c>
      <c r="R55" s="256"/>
      <c r="S55" s="286" t="b">
        <v>1</v>
      </c>
      <c r="T55" s="287" t="b">
        <v>1</v>
      </c>
      <c r="U55" s="288">
        <v>44574.0</v>
      </c>
      <c r="V55" s="289">
        <v>0.45069444444444445</v>
      </c>
      <c r="W55" s="290" t="s">
        <v>469</v>
      </c>
      <c r="X55" s="313"/>
      <c r="Y55" s="254" t="b">
        <v>0</v>
      </c>
      <c r="Z55" s="250"/>
      <c r="AA55" s="260">
        <f t="shared" si="34"/>
        <v>0</v>
      </c>
      <c r="AB55" s="293" t="b">
        <f t="shared" si="2"/>
        <v>1</v>
      </c>
      <c r="AC55" s="292">
        <v>4.0</v>
      </c>
      <c r="AD55" s="292">
        <v>0.0</v>
      </c>
      <c r="AE55" s="292">
        <v>0.0</v>
      </c>
      <c r="AF55" s="292">
        <v>0.0</v>
      </c>
      <c r="AG55" s="292">
        <v>0.0</v>
      </c>
      <c r="AH55" s="292">
        <v>0.0</v>
      </c>
      <c r="AI55" s="292">
        <v>0.0</v>
      </c>
      <c r="AJ55" s="305" t="b">
        <v>1</v>
      </c>
      <c r="AK55" s="278">
        <v>1.0</v>
      </c>
      <c r="AL55" s="292">
        <v>0.0</v>
      </c>
      <c r="AM55" s="250"/>
      <c r="AN55" s="296" t="str">
        <f>IFNA(VLOOKUP($A55,'Tube Reactions'!$J$2:$K163,2,FALSE),"")</f>
        <v/>
      </c>
      <c r="AO55" s="297" t="str">
        <f t="shared" si="4"/>
        <v/>
      </c>
      <c r="AP55" s="298" t="str">
        <f t="shared" si="46"/>
        <v>Absent</v>
      </c>
      <c r="AQ55" s="260" t="b">
        <f t="shared" si="6"/>
        <v>1</v>
      </c>
      <c r="AR55" s="266">
        <v>58.0</v>
      </c>
      <c r="AS55" s="279"/>
      <c r="AT55" s="279"/>
      <c r="AU55" s="299" t="s">
        <v>683</v>
      </c>
      <c r="AV55" s="292">
        <v>6.0</v>
      </c>
      <c r="AW55" s="286" t="b">
        <v>1</v>
      </c>
      <c r="AX55" s="270" t="b">
        <f t="shared" si="7"/>
        <v>1</v>
      </c>
      <c r="AY55" s="254">
        <f t="shared" si="36"/>
        <v>2</v>
      </c>
      <c r="AZ55" s="307"/>
      <c r="BA55" s="272" t="b">
        <v>1</v>
      </c>
      <c r="BB55" s="245" t="b">
        <f t="shared" si="9"/>
        <v>0</v>
      </c>
      <c r="BC55" s="260" t="str">
        <f t="shared" si="10"/>
        <v/>
      </c>
      <c r="BD55" s="260" t="str">
        <f t="shared" si="11"/>
        <v/>
      </c>
      <c r="BE55" s="273" t="str">
        <f t="shared" si="12"/>
        <v/>
      </c>
      <c r="BF55" s="274" t="str">
        <f t="shared" si="13"/>
        <v/>
      </c>
      <c r="BG55" s="275" t="str">
        <f t="shared" si="14"/>
        <v/>
      </c>
      <c r="BH55" s="96" t="str">
        <f t="shared" si="15"/>
        <v/>
      </c>
      <c r="BI55" s="96" t="str">
        <f t="shared" si="16"/>
        <v/>
      </c>
      <c r="BJ55" s="96" t="str">
        <f t="shared" si="17"/>
        <v/>
      </c>
      <c r="BK55" s="96" t="str">
        <f t="shared" si="18"/>
        <v/>
      </c>
      <c r="BL55" s="10" t="str">
        <f>IFNA(IF(VLOOKUP(FLOOR($B55,1),'APS Tubes by Date IMPORT'!$B$2:$J163,1,FALSE)=FLOOR($BL54,1),IFERROR(0/0,""),VLOOKUP(FLOOR($B55,1),'APS Tubes by Date IMPORT'!$B$2:$J163,1,FALSE)),"")</f>
        <v/>
      </c>
      <c r="BM55" s="96" t="str">
        <f>IF(ISBLANK($BL55),IFERROR(0/0,""),VLOOKUP(FLOOR($B55,1),'APS Tubes by Date IMPORT'!$B$2:$J163,2,FALSE))</f>
        <v/>
      </c>
    </row>
    <row r="56">
      <c r="A56" s="245" t="str">
        <f>CONCATENATE("RUN-",'Process Ref'!$A$1,"_",TEXT(U56,"YYYY-MM-DD"),"_RFR-",TEXT(AR56,"000"),IF(EXACT(W56,"Initial"),"",CONCATENATE("_",W56)))</f>
        <v>RUN-FLMP_2022-01-11_RFR-059</v>
      </c>
      <c r="B56" s="246">
        <v>44576.55396983796</v>
      </c>
      <c r="C56" s="256"/>
      <c r="D56" s="256" t="s">
        <v>620</v>
      </c>
      <c r="E56" s="250">
        <v>1.0</v>
      </c>
      <c r="F56" s="256" t="s">
        <v>690</v>
      </c>
      <c r="G56" s="249" t="s">
        <v>691</v>
      </c>
      <c r="H56" s="249"/>
      <c r="I56" s="249" t="s">
        <v>692</v>
      </c>
      <c r="J56" s="250"/>
      <c r="K56" s="251" t="s">
        <v>693</v>
      </c>
      <c r="L56" s="248"/>
      <c r="M56" s="252">
        <v>1.1</v>
      </c>
      <c r="N56" s="252"/>
      <c r="O56" s="253" t="s">
        <v>694</v>
      </c>
      <c r="P56" s="254" t="b">
        <v>0</v>
      </c>
      <c r="Q56" s="255" t="b">
        <v>0</v>
      </c>
      <c r="R56" s="256"/>
      <c r="S56" s="254" t="b">
        <v>0</v>
      </c>
      <c r="T56" s="257" t="b">
        <v>0</v>
      </c>
      <c r="U56" s="258">
        <v>44572.0</v>
      </c>
      <c r="V56" s="259">
        <v>0.6666666666666666</v>
      </c>
      <c r="W56" s="247" t="s">
        <v>447</v>
      </c>
      <c r="X56" s="247" t="s">
        <v>695</v>
      </c>
      <c r="Y56" s="255" t="b">
        <v>1</v>
      </c>
      <c r="Z56" s="248">
        <v>8.0</v>
      </c>
      <c r="AA56" s="260">
        <f t="shared" si="34"/>
        <v>7</v>
      </c>
      <c r="AB56" s="261" t="b">
        <f t="shared" si="2"/>
        <v>1</v>
      </c>
      <c r="AC56" s="248">
        <v>2.0</v>
      </c>
      <c r="AD56" s="248">
        <v>0.0</v>
      </c>
      <c r="AE56" s="248">
        <f t="shared" ref="AE56:AE68" si="48">IF(W56="Initial",AD56,(IF(AJ56=TRUE,"CORRECT ME",AD56/3)))</f>
        <v>0</v>
      </c>
      <c r="AF56" s="248">
        <v>0.0</v>
      </c>
      <c r="AG56" s="248">
        <v>2.0</v>
      </c>
      <c r="AH56" s="292">
        <v>1.0</v>
      </c>
      <c r="AI56" s="292">
        <v>1.0</v>
      </c>
      <c r="AJ56" s="250" t="b">
        <v>0</v>
      </c>
      <c r="AK56" s="278">
        <v>1.0</v>
      </c>
      <c r="AL56" s="248">
        <v>4.0</v>
      </c>
      <c r="AM56" s="248">
        <v>2.0</v>
      </c>
      <c r="AN56" s="263" t="str">
        <f>IFNA(VLOOKUP($A56,'Tube Reactions'!$J$2:$K163,2,FALSE),"")</f>
        <v/>
      </c>
      <c r="AO56" s="264" t="str">
        <f t="shared" si="4"/>
        <v>NOT EQUAL</v>
      </c>
      <c r="AP56" s="265" t="str">
        <f t="shared" si="46"/>
        <v>Absent</v>
      </c>
      <c r="AQ56" s="260" t="b">
        <f t="shared" si="6"/>
        <v>1</v>
      </c>
      <c r="AR56" s="266">
        <v>59.0</v>
      </c>
      <c r="AS56" s="279" t="s">
        <v>696</v>
      </c>
      <c r="AT56" s="247" t="s">
        <v>697</v>
      </c>
      <c r="AU56" s="268" t="s">
        <v>626</v>
      </c>
      <c r="AV56" s="269">
        <v>8.0</v>
      </c>
      <c r="AW56" s="250" t="b">
        <v>0</v>
      </c>
      <c r="AX56" s="270" t="b">
        <f t="shared" si="7"/>
        <v>1</v>
      </c>
      <c r="AY56" s="250">
        <f t="shared" si="36"/>
        <v>6</v>
      </c>
      <c r="AZ56" s="271" t="s">
        <v>698</v>
      </c>
      <c r="BA56" s="272" t="b">
        <v>1</v>
      </c>
      <c r="BB56" s="245" t="b">
        <f t="shared" si="9"/>
        <v>1</v>
      </c>
      <c r="BC56" s="260">
        <f t="shared" si="10"/>
        <v>4</v>
      </c>
      <c r="BD56" s="260">
        <f t="shared" si="11"/>
        <v>1</v>
      </c>
      <c r="BE56" s="273" t="str">
        <f t="shared" si="12"/>
        <v/>
      </c>
      <c r="BF56" s="274">
        <f t="shared" si="13"/>
        <v>44572</v>
      </c>
      <c r="BG56" s="275" t="str">
        <f t="shared" si="14"/>
        <v>RUN-FLMP_2022-01-11_RFR-059</v>
      </c>
      <c r="BH56" s="96">
        <f t="shared" si="15"/>
        <v>1</v>
      </c>
      <c r="BI56" s="96">
        <f t="shared" si="16"/>
        <v>2</v>
      </c>
      <c r="BJ56" s="96">
        <f t="shared" si="17"/>
        <v>1</v>
      </c>
      <c r="BK56" s="96">
        <f t="shared" si="18"/>
        <v>4</v>
      </c>
      <c r="BL56" s="10">
        <f>IFNA(IF(VLOOKUP(FLOOR($B56,1),'APS Tubes by Date IMPORT'!$B$2:$J163,1,FALSE)=FLOOR($BL55,1),IFERROR(0/0,""),VLOOKUP(FLOOR($B56,1),'APS Tubes by Date IMPORT'!$B$2:$J163,1,FALSE)),"")</f>
        <v>44576</v>
      </c>
      <c r="BM56" s="96">
        <f>IF(ISBLANK($BL56),IFERROR(0/0,""),VLOOKUP(FLOOR($B56,1),'APS Tubes by Date IMPORT'!$B$2:$J163,2,FALSE))</f>
        <v>4</v>
      </c>
    </row>
    <row r="57">
      <c r="A57" s="322" t="str">
        <f>CONCATENATE("RUN-",'Process Ref'!$A$1,"_",TEXT(U57,"YYYY-MM-DD"),"_RFR-",TEXT(AR57,"000"),IF(EXACT(W57,"Initial"),"",CONCATENATE("_",W57)))</f>
        <v>RUN-FLMP_2022-01-15_RFR-060</v>
      </c>
      <c r="B57" s="323">
        <v>44576.55912199074</v>
      </c>
      <c r="C57" s="324"/>
      <c r="D57" s="324" t="s">
        <v>620</v>
      </c>
      <c r="E57" s="325">
        <v>13.0</v>
      </c>
      <c r="F57" s="324" t="s">
        <v>699</v>
      </c>
      <c r="G57" s="326" t="s">
        <v>700</v>
      </c>
      <c r="H57" s="326"/>
      <c r="I57" s="326" t="s">
        <v>701</v>
      </c>
      <c r="J57" s="325"/>
      <c r="K57" s="327"/>
      <c r="L57" s="328"/>
      <c r="M57" s="329"/>
      <c r="N57" s="329"/>
      <c r="O57" s="330"/>
      <c r="P57" s="331" t="b">
        <v>0</v>
      </c>
      <c r="Q57" s="332" t="b">
        <v>0</v>
      </c>
      <c r="R57" s="324"/>
      <c r="S57" s="331" t="b">
        <v>0</v>
      </c>
      <c r="T57" s="333" t="b">
        <v>0</v>
      </c>
      <c r="U57" s="334">
        <v>44576.0</v>
      </c>
      <c r="V57" s="335">
        <v>0.4513888888888889</v>
      </c>
      <c r="W57" s="336" t="s">
        <v>447</v>
      </c>
      <c r="X57" s="336" t="s">
        <v>702</v>
      </c>
      <c r="Y57" s="331" t="b">
        <v>0</v>
      </c>
      <c r="Z57" s="328">
        <v>13.0</v>
      </c>
      <c r="AA57" s="337">
        <f t="shared" si="34"/>
        <v>0</v>
      </c>
      <c r="AB57" s="338" t="b">
        <f t="shared" si="2"/>
        <v>1</v>
      </c>
      <c r="AC57" s="328">
        <v>6.0</v>
      </c>
      <c r="AD57" s="328">
        <v>0.0</v>
      </c>
      <c r="AE57" s="328">
        <f t="shared" si="48"/>
        <v>0</v>
      </c>
      <c r="AF57" s="328">
        <v>0.0</v>
      </c>
      <c r="AG57" s="328">
        <v>0.0</v>
      </c>
      <c r="AH57" s="325">
        <f t="shared" ref="AH57:AH88" si="49">IF(W57="Initial",AG57,(IF(AJ57=TRUE,"CORRECT ME",AG57/3)))</f>
        <v>0</v>
      </c>
      <c r="AI57" s="328">
        <v>0.0</v>
      </c>
      <c r="AJ57" s="325" t="b">
        <v>0</v>
      </c>
      <c r="AK57" s="339">
        <v>4.0</v>
      </c>
      <c r="AL57" s="328">
        <v>0.0</v>
      </c>
      <c r="AM57" s="328">
        <v>0.0</v>
      </c>
      <c r="AN57" s="340" t="str">
        <f>IFNA(VLOOKUP($A57,'Tube Reactions'!$J$2:$K163,2,FALSE),"")</f>
        <v/>
      </c>
      <c r="AO57" s="341" t="str">
        <f t="shared" si="4"/>
        <v/>
      </c>
      <c r="AP57" s="342" t="str">
        <f t="shared" si="46"/>
        <v>Absent</v>
      </c>
      <c r="AQ57" s="337" t="b">
        <f t="shared" si="6"/>
        <v>1</v>
      </c>
      <c r="AR57" s="343">
        <v>60.0</v>
      </c>
      <c r="AS57" s="344" t="s">
        <v>703</v>
      </c>
      <c r="AT57" s="336"/>
      <c r="AU57" s="345" t="s">
        <v>626</v>
      </c>
      <c r="AV57" s="346">
        <v>8.0</v>
      </c>
      <c r="AW57" s="328" t="b">
        <v>1</v>
      </c>
      <c r="AX57" s="347" t="b">
        <f t="shared" si="7"/>
        <v>1</v>
      </c>
      <c r="AY57" s="348">
        <f t="shared" si="36"/>
        <v>2</v>
      </c>
      <c r="AZ57" s="349"/>
      <c r="BA57" s="350" t="b">
        <v>1</v>
      </c>
      <c r="BB57" s="322" t="b">
        <f t="shared" si="9"/>
        <v>1</v>
      </c>
      <c r="BC57" s="337" t="b">
        <f t="shared" si="10"/>
        <v>1</v>
      </c>
      <c r="BD57" s="337">
        <f t="shared" si="11"/>
        <v>4</v>
      </c>
      <c r="BE57" s="351" t="b">
        <f t="shared" si="12"/>
        <v>1</v>
      </c>
      <c r="BF57" s="352">
        <f t="shared" si="13"/>
        <v>44576</v>
      </c>
      <c r="BG57" s="353" t="str">
        <f t="shared" si="14"/>
        <v>RUN-FLMP_2022-01-15_RFR-060</v>
      </c>
      <c r="BH57" s="354">
        <f t="shared" si="15"/>
        <v>13</v>
      </c>
      <c r="BI57" s="354">
        <f t="shared" si="16"/>
        <v>6</v>
      </c>
      <c r="BJ57" s="354">
        <f t="shared" si="17"/>
        <v>4</v>
      </c>
      <c r="BK57" s="354">
        <f t="shared" si="18"/>
        <v>0</v>
      </c>
      <c r="BL57" s="355" t="str">
        <f>IFNA(IF(VLOOKUP(FLOOR($B57,1),'APS Tubes by Date IMPORT'!$B$2:$J163,1,FALSE)=FLOOR($BL56,1),IFERROR(0/0,""),VLOOKUP(FLOOR($B57,1),'APS Tubes by Date IMPORT'!$B$2:$J163,1,FALSE)),"")</f>
        <v/>
      </c>
      <c r="BM57" s="354" t="str">
        <f>IF(ISBLANK($BL57),IFERROR(0/0,""),VLOOKUP(FLOOR($B57,1),'APS Tubes by Date IMPORT'!$B$2:$J163,2,FALSE))</f>
        <v/>
      </c>
      <c r="BN57" s="19"/>
      <c r="BO57" s="19"/>
      <c r="BP57" s="19"/>
      <c r="BQ57" s="19"/>
      <c r="BR57" s="19"/>
      <c r="BS57" s="19"/>
    </row>
    <row r="58">
      <c r="A58" s="322" t="str">
        <f>CONCATENATE("RUN-",'Process Ref'!$A$1,"_",TEXT(U58,"YYYY-MM-DD"),"_RFR-",TEXT(AR58,"000"),IF(EXACT(W58,"Initial"),"",CONCATENATE("_",W58)))</f>
        <v>RUN-FLMP_2022-01-17_RFR-061</v>
      </c>
      <c r="B58" s="323">
        <v>44578.60100947917</v>
      </c>
      <c r="C58" s="324"/>
      <c r="D58" s="324" t="s">
        <v>620</v>
      </c>
      <c r="E58" s="325">
        <v>5.0</v>
      </c>
      <c r="F58" s="324" t="s">
        <v>704</v>
      </c>
      <c r="G58" s="326" t="s">
        <v>705</v>
      </c>
      <c r="H58" s="356"/>
      <c r="I58" s="357" t="s">
        <v>706</v>
      </c>
      <c r="J58" s="325"/>
      <c r="K58" s="327"/>
      <c r="L58" s="328"/>
      <c r="M58" s="329">
        <v>1.5</v>
      </c>
      <c r="N58" s="329"/>
      <c r="O58" s="330" t="s">
        <v>707</v>
      </c>
      <c r="P58" s="331" t="b">
        <v>0</v>
      </c>
      <c r="Q58" s="332" t="b">
        <v>0</v>
      </c>
      <c r="R58" s="324"/>
      <c r="S58" s="331" t="b">
        <v>0</v>
      </c>
      <c r="T58" s="333" t="b">
        <v>0</v>
      </c>
      <c r="U58" s="334">
        <v>44578.0</v>
      </c>
      <c r="V58" s="335">
        <v>0.5416666666666666</v>
      </c>
      <c r="W58" s="336" t="s">
        <v>447</v>
      </c>
      <c r="X58" s="336" t="s">
        <v>708</v>
      </c>
      <c r="Y58" s="331" t="b">
        <v>0</v>
      </c>
      <c r="Z58" s="328">
        <v>7.0</v>
      </c>
      <c r="AA58" s="337">
        <f t="shared" si="34"/>
        <v>2</v>
      </c>
      <c r="AB58" s="338" t="b">
        <f t="shared" si="2"/>
        <v>0</v>
      </c>
      <c r="AC58" s="328">
        <v>6.0</v>
      </c>
      <c r="AD58" s="328">
        <v>0.0</v>
      </c>
      <c r="AE58" s="328">
        <f t="shared" si="48"/>
        <v>0</v>
      </c>
      <c r="AF58" s="328">
        <v>0.0</v>
      </c>
      <c r="AG58" s="328">
        <v>0.0</v>
      </c>
      <c r="AH58" s="325">
        <f t="shared" si="49"/>
        <v>0</v>
      </c>
      <c r="AI58" s="328">
        <v>0.0</v>
      </c>
      <c r="AJ58" s="325" t="b">
        <v>0</v>
      </c>
      <c r="AK58" s="339">
        <v>5.0</v>
      </c>
      <c r="AL58" s="328">
        <v>0.0</v>
      </c>
      <c r="AM58" s="328">
        <v>0.0</v>
      </c>
      <c r="AN58" s="340" t="str">
        <f>IFNA(VLOOKUP($A58,'Tube Reactions'!$J$2:$K163,2,FALSE),"")</f>
        <v/>
      </c>
      <c r="AO58" s="341" t="str">
        <f t="shared" si="4"/>
        <v/>
      </c>
      <c r="AP58" s="342" t="str">
        <f t="shared" si="46"/>
        <v>Absent</v>
      </c>
      <c r="AQ58" s="337" t="b">
        <f t="shared" si="6"/>
        <v>1</v>
      </c>
      <c r="AR58" s="343">
        <v>61.0</v>
      </c>
      <c r="AS58" s="358" t="s">
        <v>709</v>
      </c>
      <c r="AT58" s="336"/>
      <c r="AU58" s="345" t="s">
        <v>683</v>
      </c>
      <c r="AV58" s="346">
        <v>8.0</v>
      </c>
      <c r="AW58" s="359" t="b">
        <v>1</v>
      </c>
      <c r="AX58" s="347" t="b">
        <f t="shared" si="7"/>
        <v>1</v>
      </c>
      <c r="AY58" s="325">
        <f t="shared" si="36"/>
        <v>2</v>
      </c>
      <c r="AZ58" s="349"/>
      <c r="BA58" s="350" t="b">
        <v>0</v>
      </c>
      <c r="BB58" s="322" t="str">
        <f t="shared" si="9"/>
        <v/>
      </c>
      <c r="BC58" s="337" t="str">
        <f t="shared" si="10"/>
        <v/>
      </c>
      <c r="BD58" s="337" t="str">
        <f t="shared" si="11"/>
        <v/>
      </c>
      <c r="BE58" s="351" t="b">
        <f t="shared" si="12"/>
        <v>1</v>
      </c>
      <c r="BF58" s="352">
        <f t="shared" si="13"/>
        <v>44578</v>
      </c>
      <c r="BG58" s="353" t="str">
        <f t="shared" si="14"/>
        <v>RUN-FLMP_2022-01-17_RFR-061</v>
      </c>
      <c r="BH58" s="354">
        <f t="shared" si="15"/>
        <v>5</v>
      </c>
      <c r="BI58" s="354">
        <f t="shared" si="16"/>
        <v>6</v>
      </c>
      <c r="BJ58" s="354">
        <f t="shared" si="17"/>
        <v>5</v>
      </c>
      <c r="BK58" s="354">
        <f t="shared" si="18"/>
        <v>0</v>
      </c>
      <c r="BL58" s="355">
        <f>IFNA(IF(VLOOKUP(FLOOR($B58,1),'APS Tubes by Date IMPORT'!$B$2:$J163,1,FALSE)=FLOOR($BL57,1),IFERROR(0/0,""),VLOOKUP(FLOOR($B58,1),'APS Tubes by Date IMPORT'!$B$2:$J163,1,FALSE)),"")</f>
        <v>44578</v>
      </c>
      <c r="BM58" s="354">
        <f>IF(ISBLANK($BL58),IFERROR(0/0,""),VLOOKUP(FLOOR($B58,1),'APS Tubes by Date IMPORT'!$B$2:$J163,2,FALSE))</f>
        <v>42</v>
      </c>
      <c r="BN58" s="19"/>
      <c r="BO58" s="19"/>
      <c r="BP58" s="19"/>
      <c r="BQ58" s="19"/>
      <c r="BR58" s="19"/>
      <c r="BS58" s="19"/>
    </row>
    <row r="59">
      <c r="A59" s="245" t="str">
        <f>CONCATENATE("RUN-",'Process Ref'!$A$1,"_",TEXT(U59,"YYYY-MM-DD"),"_RFR-",TEXT(AR59,"000"),IF(EXACT(W59,"Initial"),"",CONCATENATE("_",W59)))</f>
        <v>RUN-FLMP_2022-01-17_RFR-063</v>
      </c>
      <c r="B59" s="246">
        <v>44579.258892962964</v>
      </c>
      <c r="C59" s="256"/>
      <c r="D59" s="256" t="s">
        <v>442</v>
      </c>
      <c r="E59" s="250">
        <v>37.0</v>
      </c>
      <c r="F59" s="256" t="s">
        <v>710</v>
      </c>
      <c r="G59" s="249" t="s">
        <v>711</v>
      </c>
      <c r="H59" s="249"/>
      <c r="I59" s="249" t="s">
        <v>712</v>
      </c>
      <c r="J59" s="250">
        <v>1.0</v>
      </c>
      <c r="K59" s="251" t="s">
        <v>713</v>
      </c>
      <c r="L59" s="248"/>
      <c r="M59" s="252"/>
      <c r="N59" s="252"/>
      <c r="O59" s="253" t="s">
        <v>714</v>
      </c>
      <c r="P59" s="254" t="b">
        <v>0</v>
      </c>
      <c r="Q59" s="255" t="b">
        <v>0</v>
      </c>
      <c r="R59" s="256"/>
      <c r="S59" s="254" t="b">
        <v>0</v>
      </c>
      <c r="T59" s="284" t="b">
        <v>1</v>
      </c>
      <c r="U59" s="258">
        <v>44578.0</v>
      </c>
      <c r="V59" s="259">
        <v>0.7291666666666666</v>
      </c>
      <c r="W59" s="247" t="s">
        <v>447</v>
      </c>
      <c r="X59" s="247" t="s">
        <v>715</v>
      </c>
      <c r="Y59" s="254" t="b">
        <v>0</v>
      </c>
      <c r="Z59" s="248">
        <v>37.0</v>
      </c>
      <c r="AA59" s="260">
        <f t="shared" si="34"/>
        <v>0</v>
      </c>
      <c r="AB59" s="261" t="b">
        <f t="shared" si="2"/>
        <v>1</v>
      </c>
      <c r="AC59" s="248">
        <v>38.0</v>
      </c>
      <c r="AD59" s="248">
        <v>1.0</v>
      </c>
      <c r="AE59" s="248">
        <f t="shared" si="48"/>
        <v>1</v>
      </c>
      <c r="AF59" s="248">
        <v>0.0</v>
      </c>
      <c r="AG59" s="248">
        <v>7.0</v>
      </c>
      <c r="AH59" s="250">
        <f t="shared" si="49"/>
        <v>7</v>
      </c>
      <c r="AI59" s="248">
        <v>5.0</v>
      </c>
      <c r="AJ59" s="250" t="b">
        <v>0</v>
      </c>
      <c r="AK59" s="262">
        <f t="shared" ref="AK59:AK60" si="50">IF(W59="Initial",AC59,IF(AJ59=TRUE,"CORRECT ME",AC59/3))</f>
        <v>38</v>
      </c>
      <c r="AL59" s="248">
        <v>4.0</v>
      </c>
      <c r="AM59" s="248">
        <v>6.0</v>
      </c>
      <c r="AN59" s="263" t="str">
        <f>IFNA(VLOOKUP($A59,'Tube Reactions'!$J$2:$K163,2,FALSE),"")</f>
        <v/>
      </c>
      <c r="AO59" s="264" t="str">
        <f t="shared" si="4"/>
        <v>NOT EQUAL</v>
      </c>
      <c r="AP59" s="265" t="str">
        <f t="shared" si="46"/>
        <v>Absent</v>
      </c>
      <c r="AQ59" s="260" t="b">
        <f t="shared" si="6"/>
        <v>1</v>
      </c>
      <c r="AR59" s="266">
        <v>63.0</v>
      </c>
      <c r="AS59" s="267" t="s">
        <v>716</v>
      </c>
      <c r="AT59" s="247"/>
      <c r="AU59" s="268" t="s">
        <v>626</v>
      </c>
      <c r="AV59" s="269">
        <v>40.0</v>
      </c>
      <c r="AW59" s="250" t="b">
        <v>0</v>
      </c>
      <c r="AX59" s="270" t="b">
        <f t="shared" si="7"/>
        <v>1</v>
      </c>
      <c r="AY59" s="250">
        <f t="shared" si="36"/>
        <v>2</v>
      </c>
      <c r="AZ59" s="276"/>
      <c r="BA59" s="272" t="b">
        <v>0</v>
      </c>
      <c r="BB59" s="245" t="str">
        <f t="shared" si="9"/>
        <v/>
      </c>
      <c r="BC59" s="260" t="str">
        <f t="shared" si="10"/>
        <v/>
      </c>
      <c r="BD59" s="260" t="str">
        <f t="shared" si="11"/>
        <v/>
      </c>
      <c r="BE59" s="273" t="str">
        <f t="shared" si="12"/>
        <v/>
      </c>
      <c r="BF59" s="274">
        <f t="shared" si="13"/>
        <v>44578</v>
      </c>
      <c r="BG59" s="275" t="str">
        <f t="shared" si="14"/>
        <v>RUN-FLMP_2022-01-17_RFR-063</v>
      </c>
      <c r="BH59" s="96">
        <f t="shared" si="15"/>
        <v>37</v>
      </c>
      <c r="BI59" s="96">
        <f t="shared" si="16"/>
        <v>38</v>
      </c>
      <c r="BJ59" s="96">
        <f t="shared" si="17"/>
        <v>38</v>
      </c>
      <c r="BK59" s="96">
        <f t="shared" si="18"/>
        <v>4</v>
      </c>
      <c r="BL59" s="10">
        <f>IFNA(IF(VLOOKUP(FLOOR($B59,1),'APS Tubes by Date IMPORT'!$B$2:$J163,1,FALSE)=FLOOR($BL58,1),IFERROR(0/0,""),VLOOKUP(FLOOR($B59,1),'APS Tubes by Date IMPORT'!$B$2:$J163,1,FALSE)),"")</f>
        <v>44579</v>
      </c>
      <c r="BM59" s="96">
        <f>IF(ISBLANK($BL59),IFERROR(0/0,""),VLOOKUP(FLOOR($B59,1),'APS Tubes by Date IMPORT'!$B$2:$J163,2,FALSE))</f>
        <v>1</v>
      </c>
    </row>
    <row r="60">
      <c r="A60" s="245" t="str">
        <f>CONCATENATE("RUN-",'Process Ref'!$A$1,"_",TEXT(U60,"YYYY-MM-DD"),"_RFR-",TEXT(AR60,"000"),IF(EXACT(W60,"Initial"),"",CONCATENATE("_",W60)))</f>
        <v>RUN-FLMP_2022-01-17_RFR-064_Re-run</v>
      </c>
      <c r="B60" s="302">
        <v>44579.258892962964</v>
      </c>
      <c r="C60" s="256"/>
      <c r="D60" s="256" t="s">
        <v>442</v>
      </c>
      <c r="E60" s="250"/>
      <c r="F60" s="256" t="s">
        <v>710</v>
      </c>
      <c r="G60" s="249" t="s">
        <v>711</v>
      </c>
      <c r="H60" s="282"/>
      <c r="I60" s="249" t="s">
        <v>717</v>
      </c>
      <c r="J60" s="250">
        <v>1.0</v>
      </c>
      <c r="K60" s="251" t="s">
        <v>713</v>
      </c>
      <c r="L60" s="248"/>
      <c r="M60" s="252"/>
      <c r="N60" s="252"/>
      <c r="O60" s="253"/>
      <c r="P60" s="254" t="b">
        <v>0</v>
      </c>
      <c r="Q60" s="286" t="b">
        <v>0</v>
      </c>
      <c r="R60" s="256"/>
      <c r="S60" s="286" t="b">
        <v>1</v>
      </c>
      <c r="T60" s="287" t="b">
        <v>1</v>
      </c>
      <c r="U60" s="288">
        <v>44578.0</v>
      </c>
      <c r="V60" s="289">
        <v>0.7708333333333334</v>
      </c>
      <c r="W60" s="290" t="s">
        <v>469</v>
      </c>
      <c r="X60" s="291" t="s">
        <v>715</v>
      </c>
      <c r="Y60" s="254" t="b">
        <v>0</v>
      </c>
      <c r="Z60" s="250"/>
      <c r="AA60" s="260">
        <f t="shared" si="34"/>
        <v>0</v>
      </c>
      <c r="AB60" s="293" t="b">
        <f t="shared" si="2"/>
        <v>1</v>
      </c>
      <c r="AC60" s="292">
        <v>3.0</v>
      </c>
      <c r="AD60" s="292">
        <v>0.0</v>
      </c>
      <c r="AE60" s="248">
        <f t="shared" si="48"/>
        <v>0</v>
      </c>
      <c r="AF60" s="292">
        <v>0.0</v>
      </c>
      <c r="AG60" s="292">
        <v>0.0</v>
      </c>
      <c r="AH60" s="250">
        <f t="shared" si="49"/>
        <v>0</v>
      </c>
      <c r="AI60" s="292">
        <v>5.0</v>
      </c>
      <c r="AJ60" s="294" t="b">
        <v>0</v>
      </c>
      <c r="AK60" s="295">
        <f t="shared" si="50"/>
        <v>1</v>
      </c>
      <c r="AL60" s="292">
        <v>4.0</v>
      </c>
      <c r="AM60" s="250"/>
      <c r="AN60" s="296" t="str">
        <f>IFNA(VLOOKUP($A60,'Tube Reactions'!$J$2:$K163,2,FALSE),"")</f>
        <v/>
      </c>
      <c r="AO60" s="297" t="str">
        <f t="shared" si="4"/>
        <v/>
      </c>
      <c r="AP60" s="298" t="str">
        <f t="shared" si="46"/>
        <v>Absent</v>
      </c>
      <c r="AQ60" s="260" t="b">
        <f t="shared" si="6"/>
        <v>1</v>
      </c>
      <c r="AR60" s="266">
        <v>64.0</v>
      </c>
      <c r="AS60" s="279"/>
      <c r="AT60" s="279"/>
      <c r="AU60" s="306" t="s">
        <v>626</v>
      </c>
      <c r="AV60" s="292">
        <v>5.0</v>
      </c>
      <c r="AW60" s="286" t="b">
        <v>1</v>
      </c>
      <c r="AX60" s="270" t="b">
        <f t="shared" si="7"/>
        <v>0</v>
      </c>
      <c r="AY60" s="254">
        <f t="shared" si="36"/>
        <v>2</v>
      </c>
      <c r="AZ60" s="307"/>
      <c r="BA60" s="272" t="b">
        <v>1</v>
      </c>
      <c r="BB60" s="245" t="b">
        <f t="shared" si="9"/>
        <v>0</v>
      </c>
      <c r="BC60" s="260" t="str">
        <f t="shared" si="10"/>
        <v/>
      </c>
      <c r="BD60" s="260" t="str">
        <f t="shared" si="11"/>
        <v/>
      </c>
      <c r="BE60" s="273" t="str">
        <f t="shared" si="12"/>
        <v/>
      </c>
      <c r="BF60" s="274" t="str">
        <f t="shared" si="13"/>
        <v/>
      </c>
      <c r="BG60" s="275" t="str">
        <f t="shared" si="14"/>
        <v/>
      </c>
      <c r="BH60" s="96" t="str">
        <f t="shared" si="15"/>
        <v/>
      </c>
      <c r="BI60" s="96" t="str">
        <f t="shared" si="16"/>
        <v/>
      </c>
      <c r="BJ60" s="96" t="str">
        <f t="shared" si="17"/>
        <v/>
      </c>
      <c r="BK60" s="96" t="str">
        <f t="shared" si="18"/>
        <v/>
      </c>
      <c r="BL60" s="10" t="str">
        <f>IFNA(IF(VLOOKUP(FLOOR($B60,1),'APS Tubes by Date IMPORT'!$B$2:$J163,1,FALSE)=FLOOR($BL59,1),IFERROR(0/0,""),VLOOKUP(FLOOR($B60,1),'APS Tubes by Date IMPORT'!$B$2:$J163,1,FALSE)),"")</f>
        <v/>
      </c>
      <c r="BM60" s="96" t="str">
        <f>IF(ISBLANK($BL60),IFERROR(0/0,""),VLOOKUP(FLOOR($B60,1),'APS Tubes by Date IMPORT'!$B$2:$J163,2,FALSE))</f>
        <v/>
      </c>
    </row>
    <row r="61">
      <c r="A61" s="245" t="str">
        <f>CONCATENATE("RUN-",'Process Ref'!$A$1,"_",TEXT(U61,"YYYY-MM-DD"),"_RFR-",TEXT(AR61,"000"),IF(EXACT(W61,"Initial"),"",CONCATENATE("_",W61)))</f>
        <v>RUN-FLMP_2022-01-18_RFR-065</v>
      </c>
      <c r="B61" s="246">
        <v>44579.33756663195</v>
      </c>
      <c r="C61" s="256"/>
      <c r="D61" s="256" t="s">
        <v>442</v>
      </c>
      <c r="E61" s="250">
        <v>7.0</v>
      </c>
      <c r="F61" s="256"/>
      <c r="G61" s="249" t="s">
        <v>718</v>
      </c>
      <c r="H61" s="249"/>
      <c r="I61" s="249" t="s">
        <v>719</v>
      </c>
      <c r="J61" s="250"/>
      <c r="K61" s="251"/>
      <c r="L61" s="248"/>
      <c r="M61" s="252">
        <v>1.5</v>
      </c>
      <c r="N61" s="252"/>
      <c r="O61" s="253"/>
      <c r="P61" s="254" t="b">
        <v>0</v>
      </c>
      <c r="Q61" s="255" t="b">
        <v>0</v>
      </c>
      <c r="R61" s="256"/>
      <c r="S61" s="254" t="b">
        <v>0</v>
      </c>
      <c r="T61" s="257" t="b">
        <v>0</v>
      </c>
      <c r="U61" s="258">
        <v>44579.0</v>
      </c>
      <c r="V61" s="259">
        <v>0.25</v>
      </c>
      <c r="W61" s="247" t="s">
        <v>447</v>
      </c>
      <c r="X61" s="247" t="s">
        <v>720</v>
      </c>
      <c r="Y61" s="255" t="b">
        <v>1</v>
      </c>
      <c r="Z61" s="248">
        <v>7.0</v>
      </c>
      <c r="AA61" s="260">
        <f t="shared" si="34"/>
        <v>0</v>
      </c>
      <c r="AB61" s="261" t="b">
        <f t="shared" si="2"/>
        <v>1</v>
      </c>
      <c r="AC61" s="248">
        <v>6.0</v>
      </c>
      <c r="AD61" s="248">
        <v>0.0</v>
      </c>
      <c r="AE61" s="248">
        <f t="shared" si="48"/>
        <v>0</v>
      </c>
      <c r="AF61" s="248">
        <v>0.0</v>
      </c>
      <c r="AG61" s="248">
        <v>4.0</v>
      </c>
      <c r="AH61" s="250">
        <f t="shared" si="49"/>
        <v>4</v>
      </c>
      <c r="AI61" s="248">
        <v>4.0</v>
      </c>
      <c r="AJ61" s="250" t="b">
        <v>0</v>
      </c>
      <c r="AK61" s="278">
        <v>5.0</v>
      </c>
      <c r="AL61" s="248">
        <v>4.0</v>
      </c>
      <c r="AM61" s="248">
        <v>4.0</v>
      </c>
      <c r="AN61" s="263" t="str">
        <f>IFNA(VLOOKUP($A61,'Tube Reactions'!$J$2:$K163,2,FALSE),"")</f>
        <v/>
      </c>
      <c r="AO61" s="264" t="str">
        <f t="shared" si="4"/>
        <v>NOT EQUAL</v>
      </c>
      <c r="AP61" s="265" t="str">
        <f t="shared" si="46"/>
        <v>Absent</v>
      </c>
      <c r="AQ61" s="260" t="b">
        <f t="shared" si="6"/>
        <v>1</v>
      </c>
      <c r="AR61" s="266">
        <v>65.0</v>
      </c>
      <c r="AS61" s="279" t="s">
        <v>721</v>
      </c>
      <c r="AT61" s="247"/>
      <c r="AU61" s="360"/>
      <c r="AV61" s="248">
        <v>8.0</v>
      </c>
      <c r="AW61" s="256" t="b">
        <v>0</v>
      </c>
      <c r="AX61" s="270" t="b">
        <f t="shared" si="7"/>
        <v>1</v>
      </c>
      <c r="AY61" s="250">
        <f t="shared" si="36"/>
        <v>2</v>
      </c>
      <c r="AZ61" s="276"/>
      <c r="BA61" s="272" t="b">
        <v>0</v>
      </c>
      <c r="BB61" s="245" t="str">
        <f t="shared" si="9"/>
        <v/>
      </c>
      <c r="BC61" s="260" t="str">
        <f t="shared" si="10"/>
        <v/>
      </c>
      <c r="BD61" s="260" t="str">
        <f t="shared" si="11"/>
        <v/>
      </c>
      <c r="BE61" s="273" t="b">
        <f t="shared" si="12"/>
        <v>1</v>
      </c>
      <c r="BF61" s="274">
        <f t="shared" si="13"/>
        <v>44579</v>
      </c>
      <c r="BG61" s="275" t="str">
        <f t="shared" si="14"/>
        <v>RUN-FLMP_2022-01-18_RFR-065</v>
      </c>
      <c r="BH61" s="96">
        <f t="shared" si="15"/>
        <v>7</v>
      </c>
      <c r="BI61" s="96">
        <f t="shared" si="16"/>
        <v>6</v>
      </c>
      <c r="BJ61" s="96">
        <f t="shared" si="17"/>
        <v>5</v>
      </c>
      <c r="BK61" s="96">
        <f t="shared" si="18"/>
        <v>4</v>
      </c>
      <c r="BL61" s="10">
        <f>IFNA(IF(VLOOKUP(FLOOR($B61,1),'APS Tubes by Date IMPORT'!$B$2:$J163,1,FALSE)=FLOOR($BL60,1),IFERROR(0/0,""),VLOOKUP(FLOOR($B61,1),'APS Tubes by Date IMPORT'!$B$2:$J163,1,FALSE)),"")</f>
        <v>44579</v>
      </c>
      <c r="BM61" s="96">
        <f>IF(ISBLANK($BL61),IFERROR(0/0,""),VLOOKUP(FLOOR($B61,1),'APS Tubes by Date IMPORT'!$B$2:$J163,2,FALSE))</f>
        <v>1</v>
      </c>
    </row>
    <row r="62">
      <c r="A62" s="245" t="str">
        <f>CONCATENATE("RUN-",'Process Ref'!$A$1,"_",TEXT(U62,"YYYY-MM-DD"),"_RFR-",TEXT(AR62,"000"),IF(EXACT(W62,"Initial"),"",CONCATENATE("_",W62)))</f>
        <v>RUN-FLMP_2022-01-18_RFR-066</v>
      </c>
      <c r="B62" s="246">
        <v>44579.788233506944</v>
      </c>
      <c r="C62" s="256"/>
      <c r="D62" s="256" t="s">
        <v>442</v>
      </c>
      <c r="E62" s="250">
        <v>1.0</v>
      </c>
      <c r="F62" s="256"/>
      <c r="G62" s="249" t="s">
        <v>722</v>
      </c>
      <c r="H62" s="249"/>
      <c r="I62" s="249" t="s">
        <v>723</v>
      </c>
      <c r="J62" s="250"/>
      <c r="K62" s="251"/>
      <c r="L62" s="248"/>
      <c r="M62" s="252"/>
      <c r="N62" s="252"/>
      <c r="O62" s="253"/>
      <c r="P62" s="254" t="b">
        <v>0</v>
      </c>
      <c r="Q62" s="255" t="b">
        <v>0</v>
      </c>
      <c r="R62" s="256"/>
      <c r="S62" s="254" t="b">
        <v>0</v>
      </c>
      <c r="T62" s="257" t="b">
        <v>0</v>
      </c>
      <c r="U62" s="258">
        <v>44579.0</v>
      </c>
      <c r="V62" s="259">
        <v>0.7548611111111111</v>
      </c>
      <c r="W62" s="247" t="s">
        <v>447</v>
      </c>
      <c r="X62" s="256"/>
      <c r="Y62" s="254" t="b">
        <v>0</v>
      </c>
      <c r="Z62" s="248">
        <v>3.0</v>
      </c>
      <c r="AA62" s="260">
        <f t="shared" si="34"/>
        <v>2</v>
      </c>
      <c r="AB62" s="261" t="b">
        <f t="shared" si="2"/>
        <v>0</v>
      </c>
      <c r="AC62" s="248">
        <v>1.0</v>
      </c>
      <c r="AD62" s="248">
        <v>0.0</v>
      </c>
      <c r="AE62" s="248">
        <f t="shared" si="48"/>
        <v>0</v>
      </c>
      <c r="AF62" s="248">
        <v>0.0</v>
      </c>
      <c r="AG62" s="248">
        <v>0.0</v>
      </c>
      <c r="AH62" s="250">
        <f t="shared" si="49"/>
        <v>0</v>
      </c>
      <c r="AI62" s="248">
        <v>0.0</v>
      </c>
      <c r="AJ62" s="250" t="b">
        <v>0</v>
      </c>
      <c r="AK62" s="262">
        <f t="shared" ref="AK62:AK63" si="51">IF(W62="Initial",AC62,IF(AJ62=TRUE,"CORRECT ME",AC62/3))</f>
        <v>1</v>
      </c>
      <c r="AL62" s="248">
        <v>0.0</v>
      </c>
      <c r="AM62" s="248">
        <v>0.0</v>
      </c>
      <c r="AN62" s="263" t="str">
        <f>IFNA(VLOOKUP($A62,'Tube Reactions'!$J$2:$K163,2,FALSE),"")</f>
        <v/>
      </c>
      <c r="AO62" s="264" t="str">
        <f t="shared" si="4"/>
        <v/>
      </c>
      <c r="AP62" s="265" t="str">
        <f t="shared" si="46"/>
        <v>Absent</v>
      </c>
      <c r="AQ62" s="260" t="b">
        <f t="shared" si="6"/>
        <v>1</v>
      </c>
      <c r="AR62" s="266">
        <v>66.0</v>
      </c>
      <c r="AS62" s="267"/>
      <c r="AT62" s="247"/>
      <c r="AU62" s="268" t="s">
        <v>683</v>
      </c>
      <c r="AV62" s="269">
        <v>3.0</v>
      </c>
      <c r="AW62" s="248" t="b">
        <v>1</v>
      </c>
      <c r="AX62" s="270" t="b">
        <f t="shared" si="7"/>
        <v>1</v>
      </c>
      <c r="AY62" s="250">
        <f t="shared" si="36"/>
        <v>2</v>
      </c>
      <c r="AZ62" s="276"/>
      <c r="BA62" s="272" t="b">
        <v>0</v>
      </c>
      <c r="BB62" s="245" t="str">
        <f t="shared" si="9"/>
        <v/>
      </c>
      <c r="BC62" s="260" t="str">
        <f t="shared" si="10"/>
        <v/>
      </c>
      <c r="BD62" s="260" t="str">
        <f t="shared" si="11"/>
        <v/>
      </c>
      <c r="BE62" s="273" t="b">
        <f t="shared" si="12"/>
        <v>1</v>
      </c>
      <c r="BF62" s="274">
        <f t="shared" si="13"/>
        <v>44579</v>
      </c>
      <c r="BG62" s="275" t="str">
        <f t="shared" si="14"/>
        <v>RUN-FLMP_2022-01-18_RFR-066</v>
      </c>
      <c r="BH62" s="96">
        <f t="shared" si="15"/>
        <v>1</v>
      </c>
      <c r="BI62" s="96">
        <f t="shared" si="16"/>
        <v>1</v>
      </c>
      <c r="BJ62" s="96">
        <f t="shared" si="17"/>
        <v>1</v>
      </c>
      <c r="BK62" s="96">
        <f t="shared" si="18"/>
        <v>0</v>
      </c>
      <c r="BL62" s="10" t="str">
        <f>IFNA(IF(VLOOKUP(FLOOR($B62,1),'APS Tubes by Date IMPORT'!$B$2:$J163,1,FALSE)=FLOOR($BL61,1),IFERROR(0/0,""),VLOOKUP(FLOOR($B62,1),'APS Tubes by Date IMPORT'!$B$2:$J163,1,FALSE)),"")</f>
        <v/>
      </c>
      <c r="BM62" s="96" t="str">
        <f>IF(ISBLANK($BL62),IFERROR(0/0,""),VLOOKUP(FLOOR($B62,1),'APS Tubes by Date IMPORT'!$B$2:$J163,2,FALSE))</f>
        <v/>
      </c>
    </row>
    <row r="63">
      <c r="A63" s="245" t="str">
        <f>CONCATENATE("RUN-",'Process Ref'!$A$1,"_",TEXT(U63,"YYYY-MM-DD"),"_RFR-",TEXT(AR63,"000"),IF(EXACT(W63,"Initial"),"",CONCATENATE("_",W63)))</f>
        <v>RUN-FLMP_2022-01-20_RFR-067</v>
      </c>
      <c r="B63" s="246">
        <v>44581.47011877315</v>
      </c>
      <c r="C63" s="256"/>
      <c r="D63" s="256" t="s">
        <v>442</v>
      </c>
      <c r="E63" s="250">
        <v>33.0</v>
      </c>
      <c r="F63" s="256" t="s">
        <v>724</v>
      </c>
      <c r="G63" s="249" t="s">
        <v>725</v>
      </c>
      <c r="H63" s="249"/>
      <c r="I63" s="249" t="s">
        <v>726</v>
      </c>
      <c r="J63" s="250">
        <v>2.0</v>
      </c>
      <c r="K63" s="251"/>
      <c r="L63" s="248"/>
      <c r="M63" s="252"/>
      <c r="N63" s="252">
        <v>2.1</v>
      </c>
      <c r="O63" s="253"/>
      <c r="P63" s="254" t="b">
        <v>1</v>
      </c>
      <c r="Q63" s="255" t="b">
        <v>0</v>
      </c>
      <c r="R63" s="256"/>
      <c r="S63" s="255" t="b">
        <v>0</v>
      </c>
      <c r="T63" s="284" t="b">
        <v>1</v>
      </c>
      <c r="U63" s="258">
        <v>44581.0</v>
      </c>
      <c r="V63" s="259">
        <v>0.375</v>
      </c>
      <c r="W63" s="247" t="s">
        <v>447</v>
      </c>
      <c r="X63" s="247" t="s">
        <v>727</v>
      </c>
      <c r="Y63" s="255" t="b">
        <v>1</v>
      </c>
      <c r="Z63" s="248">
        <v>33.0</v>
      </c>
      <c r="AA63" s="260">
        <f t="shared" si="34"/>
        <v>0</v>
      </c>
      <c r="AB63" s="261" t="b">
        <f t="shared" si="2"/>
        <v>1</v>
      </c>
      <c r="AC63" s="248">
        <v>31.0</v>
      </c>
      <c r="AD63" s="248">
        <v>0.0</v>
      </c>
      <c r="AE63" s="248">
        <f t="shared" si="48"/>
        <v>0</v>
      </c>
      <c r="AF63" s="248">
        <v>0.0</v>
      </c>
      <c r="AG63" s="248">
        <v>0.0</v>
      </c>
      <c r="AH63" s="250">
        <f t="shared" si="49"/>
        <v>0</v>
      </c>
      <c r="AI63" s="248">
        <v>0.0</v>
      </c>
      <c r="AJ63" s="250" t="b">
        <v>0</v>
      </c>
      <c r="AK63" s="262">
        <f t="shared" si="51"/>
        <v>31</v>
      </c>
      <c r="AL63" s="248">
        <v>0.0</v>
      </c>
      <c r="AM63" s="248">
        <v>2.0</v>
      </c>
      <c r="AN63" s="263" t="str">
        <f>IFNA(VLOOKUP($A63,'Tube Reactions'!$J$2:$K163,2,FALSE),"")</f>
        <v/>
      </c>
      <c r="AO63" s="264" t="str">
        <f t="shared" si="4"/>
        <v>NOT EQUAL</v>
      </c>
      <c r="AP63" s="265" t="str">
        <f t="shared" si="46"/>
        <v>Absent</v>
      </c>
      <c r="AQ63" s="260" t="b">
        <f t="shared" si="6"/>
        <v>1</v>
      </c>
      <c r="AR63" s="266">
        <v>67.0</v>
      </c>
      <c r="AS63" s="267"/>
      <c r="AT63" s="247"/>
      <c r="AU63" s="268" t="s">
        <v>728</v>
      </c>
      <c r="AV63" s="269">
        <v>33.0</v>
      </c>
      <c r="AW63" s="310" t="b">
        <v>1</v>
      </c>
      <c r="AX63" s="270" t="b">
        <f t="shared" si="7"/>
        <v>1</v>
      </c>
      <c r="AY63" s="250">
        <f t="shared" si="36"/>
        <v>2</v>
      </c>
      <c r="AZ63" s="276"/>
      <c r="BA63" s="272" t="b">
        <v>0</v>
      </c>
      <c r="BB63" s="245" t="str">
        <f t="shared" si="9"/>
        <v/>
      </c>
      <c r="BC63" s="260" t="str">
        <f t="shared" si="10"/>
        <v/>
      </c>
      <c r="BD63" s="260" t="str">
        <f t="shared" si="11"/>
        <v/>
      </c>
      <c r="BE63" s="273" t="b">
        <f t="shared" si="12"/>
        <v>1</v>
      </c>
      <c r="BF63" s="274">
        <f t="shared" si="13"/>
        <v>44581</v>
      </c>
      <c r="BG63" s="275" t="str">
        <f t="shared" si="14"/>
        <v>RUN-FLMP_2022-01-20_RFR-067</v>
      </c>
      <c r="BH63" s="96">
        <f t="shared" si="15"/>
        <v>33</v>
      </c>
      <c r="BI63" s="96">
        <f t="shared" si="16"/>
        <v>31</v>
      </c>
      <c r="BJ63" s="96">
        <f t="shared" si="17"/>
        <v>31</v>
      </c>
      <c r="BK63" s="96">
        <f t="shared" si="18"/>
        <v>0</v>
      </c>
      <c r="BL63" s="10">
        <f>IFNA(IF(VLOOKUP(FLOOR($B63,1),'APS Tubes by Date IMPORT'!$B$2:$J163,1,FALSE)=FLOOR($BL62,1),IFERROR(0/0,""),VLOOKUP(FLOOR($B63,1),'APS Tubes by Date IMPORT'!$B$2:$J163,1,FALSE)),"")</f>
        <v>44581</v>
      </c>
      <c r="BM63" s="96">
        <f>IF(ISBLANK($BL63),IFERROR(0/0,""),VLOOKUP(FLOOR($B63,1),'APS Tubes by Date IMPORT'!$B$2:$J163,2,FALSE))</f>
        <v>29</v>
      </c>
    </row>
    <row r="64">
      <c r="A64" s="245" t="str">
        <f>CONCATENATE("RUN-",'Process Ref'!$A$1,"_",TEXT(U64,"YYYY-MM-DD"),"_RFR-",TEXT(AR64,"000"),IF(EXACT(W64,"Initial"),"",CONCATENATE("_",W64)))</f>
        <v>RUN-FLMP_2022-01-20_RFR-068_Re-run</v>
      </c>
      <c r="B64" s="285">
        <v>44581.47011877315</v>
      </c>
      <c r="C64" s="256"/>
      <c r="D64" s="256" t="s">
        <v>442</v>
      </c>
      <c r="E64" s="250"/>
      <c r="F64" s="256" t="s">
        <v>724</v>
      </c>
      <c r="G64" s="249" t="s">
        <v>725</v>
      </c>
      <c r="H64" s="282"/>
      <c r="I64" s="249" t="s">
        <v>729</v>
      </c>
      <c r="J64" s="250"/>
      <c r="K64" s="251"/>
      <c r="L64" s="248"/>
      <c r="M64" s="252"/>
      <c r="N64" s="252"/>
      <c r="O64" s="253"/>
      <c r="P64" s="254" t="b">
        <v>0</v>
      </c>
      <c r="Q64" s="286" t="b">
        <v>0</v>
      </c>
      <c r="R64" s="256"/>
      <c r="S64" s="286" t="b">
        <v>1</v>
      </c>
      <c r="T64" s="287" t="b">
        <v>1</v>
      </c>
      <c r="U64" s="288">
        <v>44581.0</v>
      </c>
      <c r="V64" s="289">
        <v>0.4166666666666667</v>
      </c>
      <c r="W64" s="290" t="s">
        <v>469</v>
      </c>
      <c r="X64" s="291"/>
      <c r="Y64" s="286" t="b">
        <v>1</v>
      </c>
      <c r="Z64" s="292"/>
      <c r="AA64" s="260">
        <f t="shared" si="34"/>
        <v>0</v>
      </c>
      <c r="AB64" s="293" t="b">
        <f t="shared" si="2"/>
        <v>1</v>
      </c>
      <c r="AC64" s="292">
        <v>6.0</v>
      </c>
      <c r="AD64" s="292">
        <v>0.0</v>
      </c>
      <c r="AE64" s="248">
        <f t="shared" si="48"/>
        <v>0</v>
      </c>
      <c r="AF64" s="292">
        <v>0.0</v>
      </c>
      <c r="AG64" s="292">
        <v>0.0</v>
      </c>
      <c r="AH64" s="250">
        <f t="shared" si="49"/>
        <v>0</v>
      </c>
      <c r="AI64" s="292">
        <v>0.0</v>
      </c>
      <c r="AJ64" s="294" t="b">
        <v>0</v>
      </c>
      <c r="AK64" s="278">
        <v>2.0</v>
      </c>
      <c r="AL64" s="292">
        <v>0.0</v>
      </c>
      <c r="AM64" s="250"/>
      <c r="AN64" s="296" t="str">
        <f>IFNA(VLOOKUP($A64,'Tube Reactions'!$J$2:$K163,2,FALSE),"")</f>
        <v/>
      </c>
      <c r="AO64" s="297" t="str">
        <f t="shared" si="4"/>
        <v/>
      </c>
      <c r="AP64" s="298" t="str">
        <f t="shared" si="46"/>
        <v>Absent</v>
      </c>
      <c r="AQ64" s="260" t="b">
        <f t="shared" si="6"/>
        <v>1</v>
      </c>
      <c r="AR64" s="266">
        <v>68.0</v>
      </c>
      <c r="AS64" s="279"/>
      <c r="AT64" s="279"/>
      <c r="AU64" s="299" t="s">
        <v>449</v>
      </c>
      <c r="AV64" s="292">
        <v>8.0</v>
      </c>
      <c r="AW64" s="286" t="b">
        <v>1</v>
      </c>
      <c r="AX64" s="270" t="b">
        <f t="shared" si="7"/>
        <v>1</v>
      </c>
      <c r="AY64" s="254">
        <f t="shared" si="36"/>
        <v>2</v>
      </c>
      <c r="AZ64" s="307"/>
      <c r="BA64" s="272" t="b">
        <v>1</v>
      </c>
      <c r="BB64" s="245" t="b">
        <f t="shared" si="9"/>
        <v>0</v>
      </c>
      <c r="BC64" s="260" t="str">
        <f t="shared" si="10"/>
        <v/>
      </c>
      <c r="BD64" s="260" t="str">
        <f t="shared" si="11"/>
        <v/>
      </c>
      <c r="BE64" s="273" t="b">
        <f t="shared" si="12"/>
        <v>1</v>
      </c>
      <c r="BF64" s="274" t="str">
        <f t="shared" si="13"/>
        <v/>
      </c>
      <c r="BG64" s="275" t="str">
        <f t="shared" si="14"/>
        <v/>
      </c>
      <c r="BH64" s="96" t="str">
        <f t="shared" si="15"/>
        <v/>
      </c>
      <c r="BI64" s="96" t="str">
        <f t="shared" si="16"/>
        <v/>
      </c>
      <c r="BJ64" s="96" t="str">
        <f t="shared" si="17"/>
        <v/>
      </c>
      <c r="BK64" s="96" t="str">
        <f t="shared" si="18"/>
        <v/>
      </c>
      <c r="BL64" s="10" t="str">
        <f>IFNA(IF(VLOOKUP(FLOOR($B64,1),'APS Tubes by Date IMPORT'!$B$2:$J163,1,FALSE)=FLOOR($BL63,1),IFERROR(0/0,""),VLOOKUP(FLOOR($B64,1),'APS Tubes by Date IMPORT'!$B$2:$J163,1,FALSE)),"")</f>
        <v/>
      </c>
      <c r="BM64" s="96" t="str">
        <f>IF(ISBLANK($BL64),IFERROR(0/0,""),VLOOKUP(FLOOR($B64,1),'APS Tubes by Date IMPORT'!$B$2:$J163,2,FALSE))</f>
        <v/>
      </c>
    </row>
    <row r="65">
      <c r="A65" s="245" t="str">
        <f>CONCATENATE("RUN-",'Process Ref'!$A$1,"_",TEXT(U65,"YYYY-MM-DD"),"_RFR-",TEXT(AR65,"000"),IF(EXACT(W65,"Initial"),"",CONCATENATE("_",W65)))</f>
        <v>RUN-FLMP_2022-01-20_RFR-070</v>
      </c>
      <c r="B65" s="246">
        <v>44581.80383246527</v>
      </c>
      <c r="C65" s="256"/>
      <c r="D65" s="256" t="s">
        <v>620</v>
      </c>
      <c r="E65" s="250">
        <v>3.0</v>
      </c>
      <c r="F65" s="256" t="s">
        <v>730</v>
      </c>
      <c r="G65" s="249" t="s">
        <v>731</v>
      </c>
      <c r="H65" s="249" t="s">
        <v>732</v>
      </c>
      <c r="I65" s="249" t="s">
        <v>733</v>
      </c>
      <c r="J65" s="250">
        <v>0.0</v>
      </c>
      <c r="K65" s="251"/>
      <c r="L65" s="248"/>
      <c r="M65" s="252"/>
      <c r="N65" s="252"/>
      <c r="O65" s="253"/>
      <c r="P65" s="254" t="b">
        <v>0</v>
      </c>
      <c r="Q65" s="255" t="b">
        <v>0</v>
      </c>
      <c r="R65" s="256"/>
      <c r="S65" s="254" t="b">
        <v>0</v>
      </c>
      <c r="T65" s="284" t="b">
        <v>1</v>
      </c>
      <c r="U65" s="258">
        <v>44581.0</v>
      </c>
      <c r="V65" s="259">
        <v>0.20833333333333334</v>
      </c>
      <c r="W65" s="247" t="s">
        <v>447</v>
      </c>
      <c r="X65" s="256"/>
      <c r="Y65" s="254" t="b">
        <v>0</v>
      </c>
      <c r="Z65" s="248">
        <v>8.0</v>
      </c>
      <c r="AA65" s="260">
        <f t="shared" si="34"/>
        <v>5</v>
      </c>
      <c r="AB65" s="261" t="b">
        <f t="shared" si="2"/>
        <v>1</v>
      </c>
      <c r="AC65" s="248">
        <v>6.0</v>
      </c>
      <c r="AD65" s="248">
        <v>0.0</v>
      </c>
      <c r="AE65" s="248">
        <f t="shared" si="48"/>
        <v>0</v>
      </c>
      <c r="AF65" s="248">
        <v>0.0</v>
      </c>
      <c r="AG65" s="248">
        <v>0.0</v>
      </c>
      <c r="AH65" s="250">
        <f t="shared" si="49"/>
        <v>0</v>
      </c>
      <c r="AI65" s="248">
        <v>0.0</v>
      </c>
      <c r="AJ65" s="250" t="b">
        <v>0</v>
      </c>
      <c r="AK65" s="278">
        <v>3.0</v>
      </c>
      <c r="AL65" s="250" t="str">
        <f>IF(EXACT(W65,"Re-run"),"Re-run","")</f>
        <v/>
      </c>
      <c r="AM65" s="248"/>
      <c r="AN65" s="263" t="str">
        <f>IFNA(VLOOKUP($A65,'Tube Reactions'!$J$2:$K163,2,FALSE),"")</f>
        <v/>
      </c>
      <c r="AO65" s="264" t="str">
        <f t="shared" si="4"/>
        <v/>
      </c>
      <c r="AP65" s="265" t="s">
        <v>458</v>
      </c>
      <c r="AQ65" s="260" t="b">
        <f t="shared" si="6"/>
        <v>1</v>
      </c>
      <c r="AR65" s="266">
        <v>70.0</v>
      </c>
      <c r="AS65" s="267"/>
      <c r="AT65" s="247"/>
      <c r="AU65" s="268" t="s">
        <v>728</v>
      </c>
      <c r="AV65" s="269">
        <v>8.0</v>
      </c>
      <c r="AW65" s="248" t="b">
        <v>1</v>
      </c>
      <c r="AX65" s="270" t="b">
        <f t="shared" si="7"/>
        <v>0</v>
      </c>
      <c r="AY65" s="250">
        <f t="shared" si="36"/>
        <v>2</v>
      </c>
      <c r="AZ65" s="276"/>
      <c r="BA65" s="272" t="b">
        <v>0</v>
      </c>
      <c r="BB65" s="245" t="str">
        <f t="shared" si="9"/>
        <v/>
      </c>
      <c r="BC65" s="260" t="str">
        <f t="shared" si="10"/>
        <v/>
      </c>
      <c r="BD65" s="260" t="str">
        <f t="shared" si="11"/>
        <v/>
      </c>
      <c r="BE65" s="273" t="b">
        <f t="shared" si="12"/>
        <v>1</v>
      </c>
      <c r="BF65" s="274">
        <f t="shared" si="13"/>
        <v>44581</v>
      </c>
      <c r="BG65" s="275" t="str">
        <f t="shared" si="14"/>
        <v>RUN-FLMP_2022-01-20_RFR-070</v>
      </c>
      <c r="BH65" s="96">
        <f t="shared" si="15"/>
        <v>3</v>
      </c>
      <c r="BI65" s="96">
        <f t="shared" si="16"/>
        <v>6</v>
      </c>
      <c r="BJ65" s="96">
        <f t="shared" si="17"/>
        <v>3</v>
      </c>
      <c r="BK65" s="96" t="str">
        <f t="shared" si="18"/>
        <v/>
      </c>
      <c r="BL65" s="10">
        <f>IFNA(IF(VLOOKUP(FLOOR($B65,1),'APS Tubes by Date IMPORT'!$B$2:$J163,1,FALSE)=FLOOR($BL64,1),IFERROR(0/0,""),VLOOKUP(FLOOR($B65,1),'APS Tubes by Date IMPORT'!$B$2:$J163,1,FALSE)),"")</f>
        <v>44581</v>
      </c>
      <c r="BM65" s="96">
        <f>IF(ISBLANK($BL65),IFERROR(0/0,""),VLOOKUP(FLOOR($B65,1),'APS Tubes by Date IMPORT'!$B$2:$J163,2,FALSE))</f>
        <v>29</v>
      </c>
    </row>
    <row r="66">
      <c r="A66" s="245" t="str">
        <f>CONCATENATE("RUN-",'Process Ref'!$A$1,"_",TEXT(U66,"YYYY-MM-DD"),"_RFR-",TEXT(AR66,"000"),IF(EXACT(W66,"Initial"),"",CONCATENATE("_",W66)))</f>
        <v>RUN-FLMP_2022-01-22_RFR-071</v>
      </c>
      <c r="B66" s="246">
        <v>44583.438869108795</v>
      </c>
      <c r="C66" s="256"/>
      <c r="D66" s="256" t="s">
        <v>620</v>
      </c>
      <c r="E66" s="250">
        <v>3.0</v>
      </c>
      <c r="F66" s="256" t="s">
        <v>734</v>
      </c>
      <c r="G66" s="249" t="s">
        <v>735</v>
      </c>
      <c r="H66" s="249" t="s">
        <v>736</v>
      </c>
      <c r="I66" s="249" t="s">
        <v>737</v>
      </c>
      <c r="J66" s="250"/>
      <c r="K66" s="251"/>
      <c r="L66" s="248"/>
      <c r="M66" s="252"/>
      <c r="N66" s="252"/>
      <c r="O66" s="253"/>
      <c r="P66" s="254" t="b">
        <v>0</v>
      </c>
      <c r="Q66" s="255" t="b">
        <v>0</v>
      </c>
      <c r="R66" s="256"/>
      <c r="S66" s="254" t="b">
        <v>0</v>
      </c>
      <c r="T66" s="257" t="b">
        <v>0</v>
      </c>
      <c r="U66" s="258">
        <v>44583.0</v>
      </c>
      <c r="V66" s="259">
        <v>0.375</v>
      </c>
      <c r="W66" s="247" t="s">
        <v>447</v>
      </c>
      <c r="X66" s="256"/>
      <c r="Y66" s="254" t="b">
        <v>0</v>
      </c>
      <c r="Z66" s="248">
        <v>8.0</v>
      </c>
      <c r="AA66" s="260">
        <f t="shared" si="34"/>
        <v>5</v>
      </c>
      <c r="AB66" s="261" t="b">
        <f t="shared" si="2"/>
        <v>1</v>
      </c>
      <c r="AC66" s="248">
        <v>6.0</v>
      </c>
      <c r="AD66" s="248">
        <v>0.0</v>
      </c>
      <c r="AE66" s="248">
        <f t="shared" si="48"/>
        <v>0</v>
      </c>
      <c r="AF66" s="248">
        <v>0.0</v>
      </c>
      <c r="AG66" s="248">
        <v>0.0</v>
      </c>
      <c r="AH66" s="250">
        <f t="shared" si="49"/>
        <v>0</v>
      </c>
      <c r="AI66" s="248">
        <v>0.0</v>
      </c>
      <c r="AJ66" s="250" t="b">
        <v>0</v>
      </c>
      <c r="AK66" s="278">
        <v>3.0</v>
      </c>
      <c r="AL66" s="248">
        <v>0.0</v>
      </c>
      <c r="AM66" s="248">
        <v>0.0</v>
      </c>
      <c r="AN66" s="263" t="str">
        <f>IFNA(VLOOKUP($A66,'Tube Reactions'!$J$2:$K163,2,FALSE),"")</f>
        <v/>
      </c>
      <c r="AO66" s="264" t="str">
        <f t="shared" si="4"/>
        <v/>
      </c>
      <c r="AP66" s="319" t="s">
        <v>614</v>
      </c>
      <c r="AQ66" s="260" t="b">
        <f t="shared" si="6"/>
        <v>1</v>
      </c>
      <c r="AR66" s="266">
        <v>71.0</v>
      </c>
      <c r="AS66" s="279" t="s">
        <v>738</v>
      </c>
      <c r="AT66" s="247"/>
      <c r="AU66" s="268" t="s">
        <v>728</v>
      </c>
      <c r="AV66" s="269">
        <v>8.0</v>
      </c>
      <c r="AW66" s="248" t="b">
        <v>1</v>
      </c>
      <c r="AX66" s="270" t="b">
        <f t="shared" si="7"/>
        <v>1</v>
      </c>
      <c r="AY66" s="250">
        <f t="shared" si="36"/>
        <v>2</v>
      </c>
      <c r="AZ66" s="276"/>
      <c r="BA66" s="272" t="b">
        <v>1</v>
      </c>
      <c r="BB66" s="245" t="b">
        <f t="shared" si="9"/>
        <v>1</v>
      </c>
      <c r="BC66" s="260" t="b">
        <f t="shared" si="10"/>
        <v>1</v>
      </c>
      <c r="BD66" s="260">
        <f t="shared" si="11"/>
        <v>3</v>
      </c>
      <c r="BE66" s="273" t="b">
        <f t="shared" si="12"/>
        <v>1</v>
      </c>
      <c r="BF66" s="274">
        <f t="shared" si="13"/>
        <v>44583</v>
      </c>
      <c r="BG66" s="275" t="str">
        <f t="shared" si="14"/>
        <v>RUN-FLMP_2022-01-22_RFR-071</v>
      </c>
      <c r="BH66" s="96">
        <f t="shared" si="15"/>
        <v>3</v>
      </c>
      <c r="BI66" s="96">
        <f t="shared" si="16"/>
        <v>6</v>
      </c>
      <c r="BJ66" s="96">
        <f t="shared" si="17"/>
        <v>3</v>
      </c>
      <c r="BK66" s="96">
        <f t="shared" si="18"/>
        <v>0</v>
      </c>
      <c r="BL66" s="10">
        <f>IFNA(IF(VLOOKUP(FLOOR($B66,1),'APS Tubes by Date IMPORT'!$B$2:$J163,1,FALSE)=FLOOR($BL65,1),IFERROR(0/0,""),VLOOKUP(FLOOR($B66,1),'APS Tubes by Date IMPORT'!$B$2:$J163,1,FALSE)),"")</f>
        <v>44583</v>
      </c>
      <c r="BM66" s="96">
        <f>IF(ISBLANK($BL66),IFERROR(0/0,""),VLOOKUP(FLOOR($B66,1),'APS Tubes by Date IMPORT'!$B$2:$J163,2,FALSE))</f>
        <v>3</v>
      </c>
    </row>
    <row r="67">
      <c r="A67" s="245" t="str">
        <f>CONCATENATE("RUN-",'Process Ref'!$A$1,"_",TEXT(U67,"YYYY-MM-DD"),"_RFR-",TEXT(AR67,"000"),IF(EXACT(W67,"Initial"),"",CONCATENATE("_",W67)))</f>
        <v>RUN-FLMP_2022-01-24_RFR-072</v>
      </c>
      <c r="B67" s="246">
        <v>44586.36553055556</v>
      </c>
      <c r="C67" s="256"/>
      <c r="D67" s="256" t="s">
        <v>442</v>
      </c>
      <c r="E67" s="250">
        <v>27.0</v>
      </c>
      <c r="F67" s="256" t="s">
        <v>739</v>
      </c>
      <c r="G67" s="249" t="s">
        <v>740</v>
      </c>
      <c r="H67" s="249"/>
      <c r="I67" s="249" t="s">
        <v>741</v>
      </c>
      <c r="J67" s="250">
        <v>2.0</v>
      </c>
      <c r="K67" s="251" t="s">
        <v>742</v>
      </c>
      <c r="L67" s="248"/>
      <c r="M67" s="252">
        <v>1.3</v>
      </c>
      <c r="N67" s="252"/>
      <c r="O67" s="253"/>
      <c r="P67" s="254" t="b">
        <v>0</v>
      </c>
      <c r="Q67" s="255" t="b">
        <v>0</v>
      </c>
      <c r="R67" s="256"/>
      <c r="S67" s="254" t="b">
        <v>0</v>
      </c>
      <c r="T67" s="284" t="b">
        <v>1</v>
      </c>
      <c r="U67" s="258">
        <v>44585.0</v>
      </c>
      <c r="V67" s="259">
        <v>0.3611111111111111</v>
      </c>
      <c r="W67" s="247" t="s">
        <v>447</v>
      </c>
      <c r="X67" s="247" t="s">
        <v>743</v>
      </c>
      <c r="Y67" s="255" t="b">
        <v>1</v>
      </c>
      <c r="Z67" s="248">
        <v>27.0</v>
      </c>
      <c r="AA67" s="260">
        <f t="shared" si="34"/>
        <v>0</v>
      </c>
      <c r="AB67" s="261" t="b">
        <f t="shared" si="2"/>
        <v>1</v>
      </c>
      <c r="AC67" s="248">
        <v>25.0</v>
      </c>
      <c r="AD67" s="248">
        <v>2.0</v>
      </c>
      <c r="AE67" s="248">
        <f t="shared" si="48"/>
        <v>2</v>
      </c>
      <c r="AF67" s="248">
        <v>0.0</v>
      </c>
      <c r="AG67" s="248">
        <v>2.0</v>
      </c>
      <c r="AH67" s="250">
        <f t="shared" si="49"/>
        <v>2</v>
      </c>
      <c r="AI67" s="248">
        <v>0.0</v>
      </c>
      <c r="AJ67" s="248" t="b">
        <v>0</v>
      </c>
      <c r="AK67" s="262">
        <f t="shared" ref="AK67:AK68" si="52">IF(W67="Initial",AC67,IF(AJ67=TRUE,"CORRECT ME",AC67/3))</f>
        <v>25</v>
      </c>
      <c r="AL67" s="248">
        <v>1.1</v>
      </c>
      <c r="AM67" s="248">
        <v>4.0</v>
      </c>
      <c r="AN67" s="263" t="str">
        <f>IFNA(VLOOKUP($A67,'Tube Reactions'!$J$2:$K163,2,FALSE),"")</f>
        <v/>
      </c>
      <c r="AO67" s="264" t="str">
        <f t="shared" si="4"/>
        <v>NOT EQUAL</v>
      </c>
      <c r="AP67" s="265" t="str">
        <f>IF(ISTEXT(H67),"", "Absent")</f>
        <v>Absent</v>
      </c>
      <c r="AQ67" s="260" t="b">
        <f t="shared" si="6"/>
        <v>1</v>
      </c>
      <c r="AR67" s="266">
        <v>72.0</v>
      </c>
      <c r="AS67" s="361" t="s">
        <v>744</v>
      </c>
      <c r="AT67" s="247"/>
      <c r="AU67" s="268" t="s">
        <v>595</v>
      </c>
      <c r="AV67" s="269">
        <v>27.0</v>
      </c>
      <c r="AW67" s="250" t="b">
        <v>0</v>
      </c>
      <c r="AX67" s="270" t="b">
        <f t="shared" si="7"/>
        <v>1</v>
      </c>
      <c r="AY67" s="250">
        <f t="shared" si="36"/>
        <v>2</v>
      </c>
      <c r="AZ67" s="276"/>
      <c r="BA67" s="272" t="b">
        <v>1</v>
      </c>
      <c r="BB67" s="245" t="b">
        <f t="shared" si="9"/>
        <v>1</v>
      </c>
      <c r="BC67" s="260">
        <f t="shared" si="10"/>
        <v>1.1</v>
      </c>
      <c r="BD67" s="260">
        <f t="shared" si="11"/>
        <v>25</v>
      </c>
      <c r="BE67" s="273" t="str">
        <f t="shared" si="12"/>
        <v/>
      </c>
      <c r="BF67" s="274">
        <f t="shared" si="13"/>
        <v>44585</v>
      </c>
      <c r="BG67" s="275" t="str">
        <f t="shared" si="14"/>
        <v>RUN-FLMP_2022-01-24_RFR-072</v>
      </c>
      <c r="BH67" s="96">
        <f t="shared" si="15"/>
        <v>27</v>
      </c>
      <c r="BI67" s="96">
        <f t="shared" si="16"/>
        <v>25</v>
      </c>
      <c r="BJ67" s="96">
        <f t="shared" si="17"/>
        <v>25</v>
      </c>
      <c r="BK67" s="96">
        <f t="shared" si="18"/>
        <v>1.1</v>
      </c>
      <c r="BL67" s="10">
        <f>IFNA(IF(VLOOKUP(FLOOR($B67,1),'APS Tubes by Date IMPORT'!$B$2:$J163,1,FALSE)=FLOOR($BL66,1),IFERROR(0/0,""),VLOOKUP(FLOOR($B67,1),'APS Tubes by Date IMPORT'!$B$2:$J163,1,FALSE)),"")</f>
        <v>44586</v>
      </c>
      <c r="BM67" s="96">
        <f>IF(ISBLANK($BL67),IFERROR(0/0,""),VLOOKUP(FLOOR($B67,1),'APS Tubes by Date IMPORT'!$B$2:$J163,2,FALSE))</f>
        <v>5</v>
      </c>
    </row>
    <row r="68">
      <c r="A68" s="245" t="str">
        <f>CONCATENATE("RUN-",'Process Ref'!$A$1,"_",TEXT(U68,"YYYY-MM-DD"),"_RFR-",TEXT(AR68,"000"),IF(EXACT(W68,"Initial"),"",CONCATENATE("_",W68)))</f>
        <v>RUN-FLMP_2022-01-24_RFR-073_Re-run</v>
      </c>
      <c r="B68" s="302">
        <v>44586.36553055556</v>
      </c>
      <c r="C68" s="256"/>
      <c r="D68" s="256" t="s">
        <v>442</v>
      </c>
      <c r="E68" s="250">
        <v>27.0</v>
      </c>
      <c r="F68" s="256" t="s">
        <v>739</v>
      </c>
      <c r="G68" s="249" t="s">
        <v>740</v>
      </c>
      <c r="H68" s="283" t="s">
        <v>745</v>
      </c>
      <c r="I68" s="249" t="s">
        <v>746</v>
      </c>
      <c r="J68" s="250"/>
      <c r="K68" s="251" t="s">
        <v>742</v>
      </c>
      <c r="L68" s="248"/>
      <c r="M68" s="303">
        <v>1.3</v>
      </c>
      <c r="N68" s="252"/>
      <c r="O68" s="253"/>
      <c r="P68" s="254" t="b">
        <v>0</v>
      </c>
      <c r="Q68" s="286" t="b">
        <v>0</v>
      </c>
      <c r="R68" s="256"/>
      <c r="S68" s="286" t="b">
        <v>1</v>
      </c>
      <c r="T68" s="287" t="b">
        <v>1</v>
      </c>
      <c r="U68" s="288">
        <v>44585.0</v>
      </c>
      <c r="V68" s="289">
        <v>0.4027777777777778</v>
      </c>
      <c r="W68" s="290" t="s">
        <v>469</v>
      </c>
      <c r="X68" s="291" t="s">
        <v>743</v>
      </c>
      <c r="Y68" s="286" t="b">
        <v>1</v>
      </c>
      <c r="Z68" s="292"/>
      <c r="AA68" s="260">
        <f t="shared" si="34"/>
        <v>-27</v>
      </c>
      <c r="AB68" s="293" t="b">
        <f t="shared" si="2"/>
        <v>1</v>
      </c>
      <c r="AC68" s="292">
        <v>18.0</v>
      </c>
      <c r="AD68" s="292">
        <v>0.0</v>
      </c>
      <c r="AE68" s="248">
        <f t="shared" si="48"/>
        <v>0</v>
      </c>
      <c r="AF68" s="292">
        <v>0.0</v>
      </c>
      <c r="AG68" s="292">
        <v>0.0</v>
      </c>
      <c r="AH68" s="250">
        <f t="shared" si="49"/>
        <v>0</v>
      </c>
      <c r="AI68" s="292">
        <v>0.0</v>
      </c>
      <c r="AJ68" s="294" t="b">
        <v>0</v>
      </c>
      <c r="AK68" s="295">
        <f t="shared" si="52"/>
        <v>6</v>
      </c>
      <c r="AL68" s="292">
        <v>0.0</v>
      </c>
      <c r="AM68" s="250"/>
      <c r="AN68" s="296" t="str">
        <f>IFNA(VLOOKUP($A68,'Tube Reactions'!$J$2:$K163,2,FALSE),"")</f>
        <v/>
      </c>
      <c r="AO68" s="297" t="str">
        <f t="shared" si="4"/>
        <v/>
      </c>
      <c r="AP68" s="319" t="s">
        <v>614</v>
      </c>
      <c r="AQ68" s="260" t="b">
        <f t="shared" si="6"/>
        <v>1</v>
      </c>
      <c r="AR68" s="266">
        <v>73.0</v>
      </c>
      <c r="AS68" s="279" t="s">
        <v>747</v>
      </c>
      <c r="AT68" s="279"/>
      <c r="AU68" s="306" t="s">
        <v>595</v>
      </c>
      <c r="AV68" s="292">
        <v>24.0</v>
      </c>
      <c r="AW68" s="254" t="b">
        <v>0</v>
      </c>
      <c r="AX68" s="270" t="b">
        <f t="shared" si="7"/>
        <v>0</v>
      </c>
      <c r="AY68" s="254">
        <f t="shared" si="36"/>
        <v>6</v>
      </c>
      <c r="AZ68" s="300" t="s">
        <v>748</v>
      </c>
      <c r="BA68" s="272" t="b">
        <v>1</v>
      </c>
      <c r="BB68" s="245" t="b">
        <f t="shared" si="9"/>
        <v>0</v>
      </c>
      <c r="BC68" s="260" t="str">
        <f t="shared" si="10"/>
        <v/>
      </c>
      <c r="BD68" s="260" t="str">
        <f t="shared" si="11"/>
        <v/>
      </c>
      <c r="BE68" s="273" t="str">
        <f t="shared" si="12"/>
        <v/>
      </c>
      <c r="BF68" s="274" t="str">
        <f t="shared" si="13"/>
        <v/>
      </c>
      <c r="BG68" s="275" t="str">
        <f t="shared" si="14"/>
        <v/>
      </c>
      <c r="BH68" s="96" t="str">
        <f t="shared" si="15"/>
        <v/>
      </c>
      <c r="BI68" s="96" t="str">
        <f t="shared" si="16"/>
        <v/>
      </c>
      <c r="BJ68" s="96" t="str">
        <f t="shared" si="17"/>
        <v/>
      </c>
      <c r="BK68" s="96" t="str">
        <f t="shared" si="18"/>
        <v/>
      </c>
      <c r="BL68" s="10" t="str">
        <f>IFNA(IF(VLOOKUP(FLOOR($B68,1),'APS Tubes by Date IMPORT'!$B$2:$J163,1,FALSE)=FLOOR($BL67,1),IFERROR(0/0,""),VLOOKUP(FLOOR($B68,1),'APS Tubes by Date IMPORT'!$B$2:$J163,1,FALSE)),"")</f>
        <v/>
      </c>
      <c r="BM68" s="96" t="str">
        <f>IF(ISBLANK($BL68),IFERROR(0/0,""),VLOOKUP(FLOOR($B68,1),'APS Tubes by Date IMPORT'!$B$2:$J163,2,FALSE))</f>
        <v/>
      </c>
    </row>
    <row r="69">
      <c r="A69" s="245" t="str">
        <f>CONCATENATE("RUN-",'Process Ref'!$A$1,"_",TEXT(U69,"YYYY-MM-DD"),"_RFR-",TEXT(AR69,"000"),IF(EXACT(W69,"Initial"),"",CONCATENATE("_",W69)))</f>
        <v>RUN-FLMP_2022-01-25_RFR-074</v>
      </c>
      <c r="B69" s="246">
        <v>44586.394617199076</v>
      </c>
      <c r="C69" s="256"/>
      <c r="D69" s="256" t="s">
        <v>442</v>
      </c>
      <c r="E69" s="250">
        <v>6.0</v>
      </c>
      <c r="F69" s="256" t="s">
        <v>749</v>
      </c>
      <c r="G69" s="249" t="s">
        <v>750</v>
      </c>
      <c r="H69" s="249"/>
      <c r="I69" s="249" t="s">
        <v>751</v>
      </c>
      <c r="J69" s="250"/>
      <c r="K69" s="251"/>
      <c r="L69" s="248"/>
      <c r="M69" s="252">
        <v>1.2</v>
      </c>
      <c r="N69" s="252"/>
      <c r="O69" s="253"/>
      <c r="P69" s="254" t="b">
        <v>0</v>
      </c>
      <c r="Q69" s="255" t="b">
        <v>0</v>
      </c>
      <c r="R69" s="256"/>
      <c r="S69" s="254" t="b">
        <v>0</v>
      </c>
      <c r="T69" s="257" t="b">
        <v>0</v>
      </c>
      <c r="U69" s="258">
        <v>44586.0</v>
      </c>
      <c r="V69" s="259">
        <v>0.3611111111111111</v>
      </c>
      <c r="W69" s="247" t="s">
        <v>447</v>
      </c>
      <c r="X69" s="247"/>
      <c r="Y69" s="254" t="b">
        <v>0</v>
      </c>
      <c r="Z69" s="292">
        <v>6.0</v>
      </c>
      <c r="AA69" s="260">
        <f t="shared" si="34"/>
        <v>0</v>
      </c>
      <c r="AB69" s="261" t="b">
        <f t="shared" si="2"/>
        <v>1</v>
      </c>
      <c r="AC69" s="248">
        <v>5.0</v>
      </c>
      <c r="AD69" s="248">
        <v>0.0</v>
      </c>
      <c r="AE69" s="248">
        <v>0.0</v>
      </c>
      <c r="AF69" s="248">
        <v>0.0</v>
      </c>
      <c r="AG69" s="248">
        <v>0.0</v>
      </c>
      <c r="AH69" s="250">
        <f t="shared" si="49"/>
        <v>0</v>
      </c>
      <c r="AI69" s="248">
        <v>0.0</v>
      </c>
      <c r="AJ69" s="250" t="b">
        <v>0</v>
      </c>
      <c r="AK69" s="278">
        <v>4.0</v>
      </c>
      <c r="AL69" s="248">
        <v>0.0</v>
      </c>
      <c r="AM69" s="248">
        <v>0.0</v>
      </c>
      <c r="AN69" s="263" t="str">
        <f>IFNA(VLOOKUP($A69,'Tube Reactions'!$J$2:$K163,2,FALSE),"")</f>
        <v/>
      </c>
      <c r="AO69" s="264" t="str">
        <f t="shared" si="4"/>
        <v/>
      </c>
      <c r="AP69" s="265" t="str">
        <f t="shared" ref="AP69:AP74" si="53">IF(ISTEXT(H69),"", "Absent")</f>
        <v>Absent</v>
      </c>
      <c r="AQ69" s="260" t="b">
        <f t="shared" si="6"/>
        <v>1</v>
      </c>
      <c r="AR69" s="266">
        <v>74.0</v>
      </c>
      <c r="AS69" s="279" t="s">
        <v>752</v>
      </c>
      <c r="AT69" s="247"/>
      <c r="AU69" s="268" t="s">
        <v>753</v>
      </c>
      <c r="AV69" s="269">
        <v>7.0</v>
      </c>
      <c r="AW69" s="248" t="b">
        <v>1</v>
      </c>
      <c r="AX69" s="270" t="b">
        <f t="shared" si="7"/>
        <v>1</v>
      </c>
      <c r="AY69" s="250">
        <f t="shared" si="36"/>
        <v>2</v>
      </c>
      <c r="AZ69" s="276"/>
      <c r="BA69" s="272" t="b">
        <v>1</v>
      </c>
      <c r="BB69" s="245" t="b">
        <f t="shared" si="9"/>
        <v>1</v>
      </c>
      <c r="BC69" s="260" t="b">
        <f t="shared" si="10"/>
        <v>1</v>
      </c>
      <c r="BD69" s="260">
        <f t="shared" si="11"/>
        <v>4</v>
      </c>
      <c r="BE69" s="273" t="b">
        <f t="shared" si="12"/>
        <v>1</v>
      </c>
      <c r="BF69" s="274">
        <f t="shared" si="13"/>
        <v>44586</v>
      </c>
      <c r="BG69" s="275" t="str">
        <f t="shared" si="14"/>
        <v>RUN-FLMP_2022-01-25_RFR-074</v>
      </c>
      <c r="BH69" s="96">
        <f t="shared" si="15"/>
        <v>6</v>
      </c>
      <c r="BI69" s="96">
        <f t="shared" si="16"/>
        <v>5</v>
      </c>
      <c r="BJ69" s="96">
        <f t="shared" si="17"/>
        <v>4</v>
      </c>
      <c r="BK69" s="96">
        <f t="shared" si="18"/>
        <v>0</v>
      </c>
      <c r="BL69" s="10">
        <f>IFNA(IF(VLOOKUP(FLOOR($B69,1),'APS Tubes by Date IMPORT'!$B$2:$J163,1,FALSE)=FLOOR($BL68,1),IFERROR(0/0,""),VLOOKUP(FLOOR($B69,1),'APS Tubes by Date IMPORT'!$B$2:$J163,1,FALSE)),"")</f>
        <v>44586</v>
      </c>
      <c r="BM69" s="96">
        <f>IF(ISBLANK($BL69),IFERROR(0/0,""),VLOOKUP(FLOOR($B69,1),'APS Tubes by Date IMPORT'!$B$2:$J163,2,FALSE))</f>
        <v>5</v>
      </c>
    </row>
    <row r="70">
      <c r="A70" s="322" t="str">
        <f>CONCATENATE("RUN-",'Process Ref'!$A$1,"_",TEXT(U70,"YYYY-MM-DD"),"_RFR-",TEXT(AR70,"000"),IF(EXACT(W70,"Initial"),"",CONCATENATE("_",W70)))</f>
        <v>RUN-FLMP_2022-01-26_RFR-075</v>
      </c>
      <c r="B70" s="323">
        <v>44587.38754222222</v>
      </c>
      <c r="C70" s="324"/>
      <c r="D70" s="324" t="s">
        <v>442</v>
      </c>
      <c r="E70" s="325">
        <v>2.0</v>
      </c>
      <c r="F70" s="324"/>
      <c r="G70" s="326" t="s">
        <v>754</v>
      </c>
      <c r="H70" s="326"/>
      <c r="I70" s="326" t="s">
        <v>755</v>
      </c>
      <c r="J70" s="325"/>
      <c r="K70" s="327"/>
      <c r="L70" s="328"/>
      <c r="M70" s="329">
        <v>1.8</v>
      </c>
      <c r="N70" s="329"/>
      <c r="O70" s="329" t="s">
        <v>756</v>
      </c>
      <c r="P70" s="331" t="b">
        <v>0</v>
      </c>
      <c r="Q70" s="332" t="b">
        <v>0</v>
      </c>
      <c r="R70" s="324"/>
      <c r="S70" s="331" t="b">
        <v>0</v>
      </c>
      <c r="T70" s="333" t="b">
        <v>0</v>
      </c>
      <c r="U70" s="334">
        <v>44587.0</v>
      </c>
      <c r="V70" s="335">
        <v>0.3333333333333333</v>
      </c>
      <c r="W70" s="336" t="s">
        <v>447</v>
      </c>
      <c r="X70" s="336" t="s">
        <v>757</v>
      </c>
      <c r="Y70" s="331" t="b">
        <v>0</v>
      </c>
      <c r="Z70" s="325"/>
      <c r="AA70" s="337">
        <f t="shared" si="34"/>
        <v>-2</v>
      </c>
      <c r="AB70" s="338" t="b">
        <f t="shared" si="2"/>
        <v>1</v>
      </c>
      <c r="AC70" s="328">
        <v>3.0</v>
      </c>
      <c r="AD70" s="328">
        <v>0.0</v>
      </c>
      <c r="AE70" s="328">
        <f t="shared" ref="AE70:AE82" si="54">IF(W70="Initial",AD70,(IF(AJ70=TRUE,"CORRECT ME",AD70/3)))</f>
        <v>0</v>
      </c>
      <c r="AF70" s="328">
        <v>0.0</v>
      </c>
      <c r="AG70" s="328">
        <v>0.0</v>
      </c>
      <c r="AH70" s="325">
        <f t="shared" si="49"/>
        <v>0</v>
      </c>
      <c r="AI70" s="328">
        <v>0.0</v>
      </c>
      <c r="AJ70" s="325" t="b">
        <v>0</v>
      </c>
      <c r="AK70" s="362">
        <v>2.0</v>
      </c>
      <c r="AL70" s="328">
        <v>0.0</v>
      </c>
      <c r="AM70" s="328">
        <v>0.0</v>
      </c>
      <c r="AN70" s="340" t="str">
        <f>IFNA(VLOOKUP($A70,'Tube Reactions'!$J$2:$K163,2,FALSE),"")</f>
        <v/>
      </c>
      <c r="AO70" s="341" t="str">
        <f t="shared" si="4"/>
        <v/>
      </c>
      <c r="AP70" s="342" t="str">
        <f t="shared" si="53"/>
        <v>Absent</v>
      </c>
      <c r="AQ70" s="337" t="b">
        <f t="shared" si="6"/>
        <v>1</v>
      </c>
      <c r="AR70" s="343">
        <v>75.0</v>
      </c>
      <c r="AS70" s="363" t="s">
        <v>758</v>
      </c>
      <c r="AT70" s="336"/>
      <c r="AU70" s="345" t="s">
        <v>595</v>
      </c>
      <c r="AV70" s="346">
        <v>5.0</v>
      </c>
      <c r="AW70" s="328" t="b">
        <v>1</v>
      </c>
      <c r="AX70" s="347" t="b">
        <f t="shared" si="7"/>
        <v>1</v>
      </c>
      <c r="AY70" s="325">
        <f t="shared" si="36"/>
        <v>2</v>
      </c>
      <c r="AZ70" s="349"/>
      <c r="BA70" s="350" t="b">
        <v>1</v>
      </c>
      <c r="BB70" s="322" t="b">
        <f t="shared" si="9"/>
        <v>1</v>
      </c>
      <c r="BC70" s="337" t="b">
        <f t="shared" si="10"/>
        <v>1</v>
      </c>
      <c r="BD70" s="337">
        <f t="shared" si="11"/>
        <v>2</v>
      </c>
      <c r="BE70" s="351" t="b">
        <f t="shared" si="12"/>
        <v>1</v>
      </c>
      <c r="BF70" s="352">
        <f t="shared" si="13"/>
        <v>44587</v>
      </c>
      <c r="BG70" s="353" t="str">
        <f t="shared" si="14"/>
        <v>RUN-FLMP_2022-01-26_RFR-075</v>
      </c>
      <c r="BH70" s="354">
        <f t="shared" si="15"/>
        <v>2</v>
      </c>
      <c r="BI70" s="354">
        <f t="shared" si="16"/>
        <v>3</v>
      </c>
      <c r="BJ70" s="354">
        <f t="shared" si="17"/>
        <v>2</v>
      </c>
      <c r="BK70" s="354">
        <f t="shared" si="18"/>
        <v>0</v>
      </c>
      <c r="BL70" s="355">
        <f>IFNA(IF(VLOOKUP(FLOOR($B70,1),'APS Tubes by Date IMPORT'!$B$2:$J163,1,FALSE)=FLOOR($BL69,1),IFERROR(0/0,""),VLOOKUP(FLOOR($B70,1),'APS Tubes by Date IMPORT'!$B$2:$J163,1,FALSE)),"")</f>
        <v>44587</v>
      </c>
      <c r="BM70" s="354">
        <f>IF(ISBLANK($BL70),IFERROR(0/0,""),VLOOKUP(FLOOR($B70,1),'APS Tubes by Date IMPORT'!$B$2:$J163,2,FALSE))</f>
        <v>4</v>
      </c>
      <c r="BN70" s="19"/>
      <c r="BO70" s="19"/>
      <c r="BP70" s="19"/>
      <c r="BQ70" s="19"/>
      <c r="BR70" s="19"/>
      <c r="BS70" s="19"/>
    </row>
    <row r="71" ht="15.0" customHeight="1">
      <c r="A71" s="245" t="str">
        <f>CONCATENATE("RUN-",'Process Ref'!$A$1,"_",TEXT(U71,"YYYY-MM-DD"),"_RFR-",TEXT(AR71,"000"),IF(EXACT(W71,"Initial"),"",CONCATENATE("_",W71)))</f>
        <v>RUN-FLMP_2022-01-31_RFR-076</v>
      </c>
      <c r="B71" s="246">
        <v>44592.47555920139</v>
      </c>
      <c r="C71" s="256"/>
      <c r="D71" s="256" t="s">
        <v>442</v>
      </c>
      <c r="E71" s="250">
        <v>23.0</v>
      </c>
      <c r="F71" s="256" t="s">
        <v>759</v>
      </c>
      <c r="G71" s="249" t="s">
        <v>760</v>
      </c>
      <c r="H71" s="249"/>
      <c r="I71" s="249" t="s">
        <v>761</v>
      </c>
      <c r="J71" s="250">
        <v>3.0</v>
      </c>
      <c r="K71" s="251"/>
      <c r="L71" s="248"/>
      <c r="M71" s="252"/>
      <c r="N71" s="252">
        <v>2.1</v>
      </c>
      <c r="O71" s="253" t="s">
        <v>762</v>
      </c>
      <c r="P71" s="254" t="b">
        <v>1</v>
      </c>
      <c r="Q71" s="255" t="b">
        <v>0</v>
      </c>
      <c r="R71" s="256"/>
      <c r="S71" s="255" t="b">
        <v>0</v>
      </c>
      <c r="T71" s="284" t="b">
        <v>1</v>
      </c>
      <c r="U71" s="258">
        <v>44592.0</v>
      </c>
      <c r="V71" s="259">
        <v>0.3645833333333333</v>
      </c>
      <c r="W71" s="247" t="s">
        <v>447</v>
      </c>
      <c r="X71" s="247" t="s">
        <v>763</v>
      </c>
      <c r="Y71" s="255" t="b">
        <v>1</v>
      </c>
      <c r="Z71" s="248">
        <v>25.0</v>
      </c>
      <c r="AA71" s="260">
        <f t="shared" si="34"/>
        <v>2</v>
      </c>
      <c r="AB71" s="261" t="b">
        <f t="shared" si="2"/>
        <v>0</v>
      </c>
      <c r="AC71" s="248">
        <v>23.0</v>
      </c>
      <c r="AD71" s="248">
        <v>1.0</v>
      </c>
      <c r="AE71" s="248">
        <f t="shared" si="54"/>
        <v>1</v>
      </c>
      <c r="AF71" s="248">
        <v>0.0</v>
      </c>
      <c r="AG71" s="248">
        <v>0.0</v>
      </c>
      <c r="AH71" s="250">
        <f t="shared" si="49"/>
        <v>0</v>
      </c>
      <c r="AI71" s="248">
        <v>0.0</v>
      </c>
      <c r="AJ71" s="250" t="b">
        <v>0</v>
      </c>
      <c r="AK71" s="262">
        <f t="shared" ref="AK71:AK72" si="55">IF(W71="Initial",AC71,IF(AJ71=TRUE,"CORRECT ME",AC71/3))</f>
        <v>23</v>
      </c>
      <c r="AL71" s="248">
        <v>1.1</v>
      </c>
      <c r="AM71" s="248">
        <v>3.0</v>
      </c>
      <c r="AN71" s="263" t="str">
        <f>IFNA(VLOOKUP($A71,'Tube Reactions'!$J$2:$K163,2,FALSE),"")</f>
        <v/>
      </c>
      <c r="AO71" s="264" t="str">
        <f t="shared" si="4"/>
        <v>NOT EQUAL</v>
      </c>
      <c r="AP71" s="265" t="str">
        <f t="shared" si="53"/>
        <v>Absent</v>
      </c>
      <c r="AQ71" s="260" t="b">
        <f t="shared" si="6"/>
        <v>1</v>
      </c>
      <c r="AR71" s="266">
        <v>76.0</v>
      </c>
      <c r="AS71" s="267"/>
      <c r="AT71" s="247"/>
      <c r="AU71" s="268" t="s">
        <v>603</v>
      </c>
      <c r="AV71" s="248">
        <v>25.0</v>
      </c>
      <c r="AW71" s="256" t="b">
        <v>0</v>
      </c>
      <c r="AX71" s="270" t="b">
        <f t="shared" si="7"/>
        <v>1</v>
      </c>
      <c r="AY71" s="250">
        <f t="shared" si="36"/>
        <v>2</v>
      </c>
      <c r="AZ71" s="276"/>
      <c r="BA71" s="272" t="b">
        <v>1</v>
      </c>
      <c r="BB71" s="245" t="b">
        <f t="shared" si="9"/>
        <v>1</v>
      </c>
      <c r="BC71" s="260">
        <f t="shared" si="10"/>
        <v>1.1</v>
      </c>
      <c r="BD71" s="260">
        <f t="shared" si="11"/>
        <v>23</v>
      </c>
      <c r="BE71" s="273" t="b">
        <f t="shared" si="12"/>
        <v>1</v>
      </c>
      <c r="BF71" s="274">
        <f t="shared" si="13"/>
        <v>44592</v>
      </c>
      <c r="BG71" s="275" t="str">
        <f t="shared" si="14"/>
        <v>RUN-FLMP_2022-01-31_RFR-076</v>
      </c>
      <c r="BH71" s="96">
        <f t="shared" si="15"/>
        <v>23</v>
      </c>
      <c r="BI71" s="96">
        <f t="shared" si="16"/>
        <v>23</v>
      </c>
      <c r="BJ71" s="96">
        <f t="shared" si="17"/>
        <v>23</v>
      </c>
      <c r="BK71" s="96">
        <f t="shared" si="18"/>
        <v>1.1</v>
      </c>
      <c r="BL71" s="10">
        <f>IFNA(IF(VLOOKUP(FLOOR($B71,1),'APS Tubes by Date IMPORT'!$B$2:$J163,1,FALSE)=FLOOR($BL70,1),IFERROR(0/0,""),VLOOKUP(FLOOR($B71,1),'APS Tubes by Date IMPORT'!$B$2:$J163,1,FALSE)),"")</f>
        <v>44592</v>
      </c>
      <c r="BM71" s="96">
        <f>IF(ISBLANK($BL71),IFERROR(0/0,""),VLOOKUP(FLOOR($B71,1),'APS Tubes by Date IMPORT'!$B$2:$J163,2,FALSE))</f>
        <v>21</v>
      </c>
    </row>
    <row r="72">
      <c r="A72" s="322" t="str">
        <f>CONCATENATE("RUN-",'Process Ref'!$A$1,"_",TEXT(U72,"YYYY-MM-DD"),"_RFR-",TEXT(AR72,"000"),IF(EXACT(W72,"Initial"),"",CONCATENATE("_",W72)))</f>
        <v>RUN-FLMP_2022-01-31_RFR-077_Re-run</v>
      </c>
      <c r="B72" s="364">
        <v>44592.47555920139</v>
      </c>
      <c r="C72" s="324"/>
      <c r="D72" s="324" t="s">
        <v>442</v>
      </c>
      <c r="E72" s="325"/>
      <c r="F72" s="324" t="s">
        <v>759</v>
      </c>
      <c r="G72" s="326" t="s">
        <v>760</v>
      </c>
      <c r="H72" s="356"/>
      <c r="I72" s="365" t="s">
        <v>764</v>
      </c>
      <c r="J72" s="325"/>
      <c r="K72" s="327"/>
      <c r="L72" s="328"/>
      <c r="M72" s="329"/>
      <c r="N72" s="366"/>
      <c r="O72" s="367"/>
      <c r="P72" s="331" t="b">
        <v>0</v>
      </c>
      <c r="Q72" s="368" t="b">
        <v>0</v>
      </c>
      <c r="R72" s="324"/>
      <c r="S72" s="368" t="b">
        <v>1</v>
      </c>
      <c r="T72" s="369" t="b">
        <v>1</v>
      </c>
      <c r="U72" s="370">
        <v>44592.0</v>
      </c>
      <c r="V72" s="371">
        <v>0.40625</v>
      </c>
      <c r="W72" s="372" t="s">
        <v>469</v>
      </c>
      <c r="X72" s="373"/>
      <c r="Y72" s="368" t="b">
        <v>0</v>
      </c>
      <c r="Z72" s="374"/>
      <c r="AA72" s="337">
        <f t="shared" si="34"/>
        <v>0</v>
      </c>
      <c r="AB72" s="375" t="b">
        <f t="shared" si="2"/>
        <v>1</v>
      </c>
      <c r="AC72" s="374">
        <v>9.0</v>
      </c>
      <c r="AD72" s="374">
        <v>0.0</v>
      </c>
      <c r="AE72" s="328">
        <f t="shared" si="54"/>
        <v>0</v>
      </c>
      <c r="AF72" s="374">
        <v>0.0</v>
      </c>
      <c r="AG72" s="374">
        <v>0.0</v>
      </c>
      <c r="AH72" s="325">
        <f t="shared" si="49"/>
        <v>0</v>
      </c>
      <c r="AI72" s="374">
        <v>0.0</v>
      </c>
      <c r="AJ72" s="376" t="b">
        <v>0</v>
      </c>
      <c r="AK72" s="377">
        <f t="shared" si="55"/>
        <v>3</v>
      </c>
      <c r="AL72" s="374">
        <v>0.0</v>
      </c>
      <c r="AM72" s="325"/>
      <c r="AN72" s="378" t="str">
        <f>IFNA(VLOOKUP($A72,'Tube Reactions'!$J$2:$K163,2,FALSE),"")</f>
        <v/>
      </c>
      <c r="AO72" s="379" t="str">
        <f t="shared" si="4"/>
        <v/>
      </c>
      <c r="AP72" s="380" t="str">
        <f t="shared" si="53"/>
        <v>Absent</v>
      </c>
      <c r="AQ72" s="337" t="b">
        <f t="shared" si="6"/>
        <v>1</v>
      </c>
      <c r="AR72" s="343">
        <v>77.0</v>
      </c>
      <c r="AS72" s="358"/>
      <c r="AT72" s="358"/>
      <c r="AU72" s="381" t="s">
        <v>603</v>
      </c>
      <c r="AV72" s="374">
        <v>11.0</v>
      </c>
      <c r="AW72" s="368" t="b">
        <v>1</v>
      </c>
      <c r="AX72" s="347" t="b">
        <f t="shared" si="7"/>
        <v>1</v>
      </c>
      <c r="AY72" s="331">
        <f t="shared" si="36"/>
        <v>2</v>
      </c>
      <c r="AZ72" s="382"/>
      <c r="BA72" s="350" t="b">
        <v>1</v>
      </c>
      <c r="BB72" s="322" t="b">
        <f t="shared" si="9"/>
        <v>0</v>
      </c>
      <c r="BC72" s="337" t="str">
        <f t="shared" si="10"/>
        <v/>
      </c>
      <c r="BD72" s="337" t="str">
        <f t="shared" si="11"/>
        <v/>
      </c>
      <c r="BE72" s="351" t="b">
        <f t="shared" si="12"/>
        <v>1</v>
      </c>
      <c r="BF72" s="352" t="str">
        <f t="shared" si="13"/>
        <v/>
      </c>
      <c r="BG72" s="353" t="str">
        <f t="shared" si="14"/>
        <v/>
      </c>
      <c r="BH72" s="354" t="str">
        <f t="shared" si="15"/>
        <v/>
      </c>
      <c r="BI72" s="354" t="str">
        <f t="shared" si="16"/>
        <v/>
      </c>
      <c r="BJ72" s="354" t="str">
        <f t="shared" si="17"/>
        <v/>
      </c>
      <c r="BK72" s="354" t="str">
        <f t="shared" si="18"/>
        <v/>
      </c>
      <c r="BL72" s="355" t="str">
        <f>IFNA(IF(VLOOKUP(FLOOR($B72,1),'APS Tubes by Date IMPORT'!$B$2:$J163,1,FALSE)=FLOOR($BL71,1),IFERROR(0/0,""),VLOOKUP(FLOOR($B72,1),'APS Tubes by Date IMPORT'!$B$2:$J163,1,FALSE)),"")</f>
        <v/>
      </c>
      <c r="BM72" s="354" t="str">
        <f>IF(ISBLANK($BL72),IFERROR(0/0,""),VLOOKUP(FLOOR($B72,1),'APS Tubes by Date IMPORT'!$B$2:$J163,2,FALSE))</f>
        <v/>
      </c>
      <c r="BN72" s="19"/>
      <c r="BO72" s="19"/>
      <c r="BP72" s="19"/>
      <c r="BQ72" s="19"/>
      <c r="BR72" s="19"/>
      <c r="BS72" s="19"/>
    </row>
    <row r="73" ht="18.0" customHeight="1">
      <c r="A73" s="322" t="str">
        <f>CONCATENATE("RUN-",'Process Ref'!$A$1,"_",TEXT(U73,"YYYY-MM-DD"),"_RFR-",TEXT(AR73,"000"),IF(EXACT(W73,"Initial"),"",CONCATENATE("_",W73)))</f>
        <v>RUN-FLMP_2022-02-02_RFR-078</v>
      </c>
      <c r="B73" s="323">
        <v>44594.40370791667</v>
      </c>
      <c r="C73" s="324"/>
      <c r="D73" s="324" t="s">
        <v>442</v>
      </c>
      <c r="E73" s="325">
        <v>3.0</v>
      </c>
      <c r="F73" s="324" t="s">
        <v>765</v>
      </c>
      <c r="G73" s="326" t="s">
        <v>766</v>
      </c>
      <c r="H73" s="326"/>
      <c r="I73" s="326" t="s">
        <v>767</v>
      </c>
      <c r="J73" s="325"/>
      <c r="K73" s="327"/>
      <c r="L73" s="328"/>
      <c r="M73" s="329">
        <v>1.8</v>
      </c>
      <c r="N73" s="329"/>
      <c r="O73" s="329" t="s">
        <v>768</v>
      </c>
      <c r="P73" s="331" t="b">
        <v>0</v>
      </c>
      <c r="Q73" s="332" t="b">
        <v>0</v>
      </c>
      <c r="R73" s="324"/>
      <c r="S73" s="331" t="b">
        <v>0</v>
      </c>
      <c r="T73" s="333" t="b">
        <v>0</v>
      </c>
      <c r="U73" s="334">
        <v>44594.0</v>
      </c>
      <c r="V73" s="335">
        <v>0.3715277777777778</v>
      </c>
      <c r="W73" s="336" t="s">
        <v>447</v>
      </c>
      <c r="X73" s="324"/>
      <c r="Y73" s="331" t="b">
        <v>0</v>
      </c>
      <c r="Z73" s="328">
        <v>5.0</v>
      </c>
      <c r="AA73" s="337">
        <f t="shared" si="34"/>
        <v>2</v>
      </c>
      <c r="AB73" s="338" t="b">
        <f t="shared" si="2"/>
        <v>0</v>
      </c>
      <c r="AC73" s="328">
        <v>6.0</v>
      </c>
      <c r="AD73" s="328">
        <v>0.0</v>
      </c>
      <c r="AE73" s="328">
        <f t="shared" si="54"/>
        <v>0</v>
      </c>
      <c r="AF73" s="328">
        <v>0.0</v>
      </c>
      <c r="AG73" s="328">
        <v>0.0</v>
      </c>
      <c r="AH73" s="325">
        <f t="shared" si="49"/>
        <v>0</v>
      </c>
      <c r="AI73" s="328">
        <v>0.0</v>
      </c>
      <c r="AJ73" s="325" t="b">
        <v>0</v>
      </c>
      <c r="AK73" s="339">
        <v>3.0</v>
      </c>
      <c r="AL73" s="328">
        <v>0.0</v>
      </c>
      <c r="AM73" s="328">
        <v>0.0</v>
      </c>
      <c r="AN73" s="340" t="str">
        <f>IFNA(VLOOKUP($A73,'Tube Reactions'!$J$2:$K163,2,FALSE),"")</f>
        <v/>
      </c>
      <c r="AO73" s="341" t="str">
        <f t="shared" si="4"/>
        <v/>
      </c>
      <c r="AP73" s="342" t="str">
        <f t="shared" si="53"/>
        <v>Absent</v>
      </c>
      <c r="AQ73" s="337" t="b">
        <f t="shared" si="6"/>
        <v>1</v>
      </c>
      <c r="AR73" s="343">
        <v>78.0</v>
      </c>
      <c r="AS73" s="363"/>
      <c r="AT73" s="336"/>
      <c r="AU73" s="345" t="s">
        <v>603</v>
      </c>
      <c r="AV73" s="346">
        <v>8.0</v>
      </c>
      <c r="AW73" s="359" t="b">
        <v>1</v>
      </c>
      <c r="AX73" s="347" t="b">
        <f t="shared" si="7"/>
        <v>1</v>
      </c>
      <c r="AY73" s="325">
        <f t="shared" si="36"/>
        <v>2</v>
      </c>
      <c r="AZ73" s="349"/>
      <c r="BA73" s="350" t="b">
        <v>1</v>
      </c>
      <c r="BB73" s="322" t="b">
        <f t="shared" si="9"/>
        <v>1</v>
      </c>
      <c r="BC73" s="337" t="b">
        <f t="shared" si="10"/>
        <v>1</v>
      </c>
      <c r="BD73" s="337">
        <f t="shared" si="11"/>
        <v>3</v>
      </c>
      <c r="BE73" s="351" t="b">
        <f t="shared" si="12"/>
        <v>1</v>
      </c>
      <c r="BF73" s="352">
        <f t="shared" si="13"/>
        <v>44594</v>
      </c>
      <c r="BG73" s="353" t="str">
        <f t="shared" si="14"/>
        <v>RUN-FLMP_2022-02-02_RFR-078</v>
      </c>
      <c r="BH73" s="354">
        <f t="shared" si="15"/>
        <v>3</v>
      </c>
      <c r="BI73" s="354">
        <f t="shared" si="16"/>
        <v>6</v>
      </c>
      <c r="BJ73" s="354">
        <f t="shared" si="17"/>
        <v>3</v>
      </c>
      <c r="BK73" s="354">
        <f t="shared" si="18"/>
        <v>0</v>
      </c>
      <c r="BL73" s="355">
        <f>IFNA(IF(VLOOKUP(FLOOR($B73,1),'APS Tubes by Date IMPORT'!$B$2:$J163,1,FALSE)=FLOOR($BL72,1),IFERROR(0/0,""),VLOOKUP(FLOOR($B73,1),'APS Tubes by Date IMPORT'!$B$2:$J163,1,FALSE)),"")</f>
        <v>44594</v>
      </c>
      <c r="BM73" s="354">
        <f>IF(ISBLANK($BL73),IFERROR(0/0,""),VLOOKUP(FLOOR($B73,1),'APS Tubes by Date IMPORT'!$B$2:$J163,2,FALSE))</f>
        <v>5</v>
      </c>
      <c r="BN73" s="19"/>
      <c r="BO73" s="19"/>
      <c r="BP73" s="19"/>
      <c r="BQ73" s="19"/>
      <c r="BR73" s="19"/>
      <c r="BS73" s="19"/>
    </row>
    <row r="74" ht="17.25" customHeight="1">
      <c r="A74" s="245" t="str">
        <f>CONCATENATE("RUN-",'Process Ref'!$A$1,"_",TEXT(U74,"YYYY-MM-DD"),"_RFR-",TEXT(AR74,"000"),IF(EXACT(W74,"Initial"),"",CONCATENATE("_",W74)))</f>
        <v>RUN-FLMP_2022-02-03_RFR-079</v>
      </c>
      <c r="B74" s="246">
        <v>44595.44661972222</v>
      </c>
      <c r="C74" s="256"/>
      <c r="D74" s="256" t="s">
        <v>442</v>
      </c>
      <c r="E74" s="250">
        <v>39.0</v>
      </c>
      <c r="F74" s="256" t="s">
        <v>769</v>
      </c>
      <c r="G74" s="249" t="s">
        <v>770</v>
      </c>
      <c r="H74" s="249"/>
      <c r="I74" s="249" t="s">
        <v>771</v>
      </c>
      <c r="J74" s="250"/>
      <c r="K74" s="251"/>
      <c r="L74" s="248"/>
      <c r="M74" s="252">
        <v>1.8</v>
      </c>
      <c r="N74" s="252"/>
      <c r="O74" s="253" t="s">
        <v>772</v>
      </c>
      <c r="P74" s="254" t="b">
        <v>0</v>
      </c>
      <c r="Q74" s="255" t="b">
        <v>0</v>
      </c>
      <c r="R74" s="256"/>
      <c r="S74" s="254" t="b">
        <v>0</v>
      </c>
      <c r="T74" s="257" t="b">
        <v>0</v>
      </c>
      <c r="U74" s="258">
        <v>44595.0</v>
      </c>
      <c r="V74" s="259">
        <v>0.39652777777777776</v>
      </c>
      <c r="W74" s="247" t="s">
        <v>447</v>
      </c>
      <c r="X74" s="247" t="s">
        <v>773</v>
      </c>
      <c r="Y74" s="254" t="b">
        <v>0</v>
      </c>
      <c r="Z74" s="248">
        <v>31.0</v>
      </c>
      <c r="AA74" s="260">
        <f t="shared" si="34"/>
        <v>-8</v>
      </c>
      <c r="AB74" s="261" t="b">
        <f t="shared" si="2"/>
        <v>1</v>
      </c>
      <c r="AC74" s="248">
        <v>30.0</v>
      </c>
      <c r="AD74" s="248">
        <v>0.0</v>
      </c>
      <c r="AE74" s="248">
        <f t="shared" si="54"/>
        <v>0</v>
      </c>
      <c r="AF74" s="248">
        <v>0.0</v>
      </c>
      <c r="AG74" s="248">
        <v>0.0</v>
      </c>
      <c r="AH74" s="250">
        <f t="shared" si="49"/>
        <v>0</v>
      </c>
      <c r="AI74" s="248">
        <v>0.0</v>
      </c>
      <c r="AJ74" s="250" t="b">
        <v>0</v>
      </c>
      <c r="AK74" s="278">
        <v>29.0</v>
      </c>
      <c r="AL74" s="248">
        <v>0.0</v>
      </c>
      <c r="AM74" s="248">
        <v>0.0</v>
      </c>
      <c r="AN74" s="263" t="str">
        <f>IFNA(VLOOKUP($A74,'Tube Reactions'!$J$2:$K163,2,FALSE),"")</f>
        <v/>
      </c>
      <c r="AO74" s="264" t="str">
        <f t="shared" si="4"/>
        <v/>
      </c>
      <c r="AP74" s="265" t="str">
        <f t="shared" si="53"/>
        <v>Absent</v>
      </c>
      <c r="AQ74" s="260" t="b">
        <f t="shared" si="6"/>
        <v>1</v>
      </c>
      <c r="AR74" s="266">
        <v>79.0</v>
      </c>
      <c r="AS74" s="279" t="s">
        <v>774</v>
      </c>
      <c r="AT74" s="247"/>
      <c r="AU74" s="268" t="s">
        <v>603</v>
      </c>
      <c r="AV74" s="269">
        <v>32.0</v>
      </c>
      <c r="AW74" s="248" t="b">
        <v>1</v>
      </c>
      <c r="AX74" s="270" t="b">
        <f t="shared" si="7"/>
        <v>1</v>
      </c>
      <c r="AY74" s="250">
        <f t="shared" si="36"/>
        <v>2</v>
      </c>
      <c r="AZ74" s="276"/>
      <c r="BA74" s="272" t="b">
        <v>1</v>
      </c>
      <c r="BB74" s="245" t="b">
        <f t="shared" si="9"/>
        <v>1</v>
      </c>
      <c r="BC74" s="260" t="b">
        <f t="shared" si="10"/>
        <v>1</v>
      </c>
      <c r="BD74" s="260">
        <f t="shared" si="11"/>
        <v>29</v>
      </c>
      <c r="BE74" s="273" t="b">
        <f t="shared" si="12"/>
        <v>1</v>
      </c>
      <c r="BF74" s="274">
        <f t="shared" si="13"/>
        <v>44595</v>
      </c>
      <c r="BG74" s="275" t="str">
        <f t="shared" si="14"/>
        <v>RUN-FLMP_2022-02-03_RFR-079</v>
      </c>
      <c r="BH74" s="96">
        <f t="shared" si="15"/>
        <v>39</v>
      </c>
      <c r="BI74" s="96">
        <f t="shared" si="16"/>
        <v>30</v>
      </c>
      <c r="BJ74" s="96">
        <f t="shared" si="17"/>
        <v>29</v>
      </c>
      <c r="BK74" s="96">
        <f t="shared" si="18"/>
        <v>0</v>
      </c>
      <c r="BL74" s="10">
        <f>IFNA(IF(VLOOKUP(FLOOR($B74,1),'APS Tubes by Date IMPORT'!$B$2:$J163,1,FALSE)=FLOOR($BL73,1),IFERROR(0/0,""),VLOOKUP(FLOOR($B74,1),'APS Tubes by Date IMPORT'!$B$2:$J163,1,FALSE)),"")</f>
        <v>44595</v>
      </c>
      <c r="BM74" s="96">
        <f>IF(ISBLANK($BL74),IFERROR(0/0,""),VLOOKUP(FLOOR($B74,1),'APS Tubes by Date IMPORT'!$B$2:$J163,2,FALSE))</f>
        <v>27</v>
      </c>
    </row>
    <row r="75">
      <c r="A75" s="245" t="str">
        <f>CONCATENATE("RUN-",'Process Ref'!$A$1,"_",TEXT(U75,"YYYY-MM-DD"),"_RFR-",TEXT(AR75,"000"),IF(EXACT(W75,"Initial"),"",CONCATENATE("_",W75)))</f>
        <v>RUN-FLMP_2022-02-07_RFR-083</v>
      </c>
      <c r="B75" s="246">
        <v>44599.46427560185</v>
      </c>
      <c r="C75" s="256"/>
      <c r="D75" s="256" t="s">
        <v>442</v>
      </c>
      <c r="E75" s="250">
        <v>29.0</v>
      </c>
      <c r="F75" s="256" t="s">
        <v>775</v>
      </c>
      <c r="G75" s="249" t="s">
        <v>776</v>
      </c>
      <c r="H75" s="249"/>
      <c r="I75" s="249" t="s">
        <v>777</v>
      </c>
      <c r="J75" s="248">
        <v>1.0</v>
      </c>
      <c r="K75" s="251"/>
      <c r="L75" s="248"/>
      <c r="M75" s="252">
        <v>1.5</v>
      </c>
      <c r="N75" s="252">
        <v>2.1</v>
      </c>
      <c r="O75" s="253" t="s">
        <v>778</v>
      </c>
      <c r="P75" s="254" t="b">
        <v>1</v>
      </c>
      <c r="Q75" s="255" t="b">
        <v>0</v>
      </c>
      <c r="R75" s="256"/>
      <c r="S75" s="254" t="b">
        <v>0</v>
      </c>
      <c r="T75" s="257" t="b">
        <v>1</v>
      </c>
      <c r="U75" s="258">
        <v>44599.0</v>
      </c>
      <c r="V75" s="259">
        <v>0.375</v>
      </c>
      <c r="W75" s="247" t="s">
        <v>447</v>
      </c>
      <c r="X75" s="256" t="s">
        <v>779</v>
      </c>
      <c r="Y75" s="254" t="b">
        <v>0</v>
      </c>
      <c r="Z75" s="250">
        <v>29.0</v>
      </c>
      <c r="AA75" s="260">
        <f t="shared" si="34"/>
        <v>0</v>
      </c>
      <c r="AB75" s="261" t="b">
        <f t="shared" si="2"/>
        <v>1</v>
      </c>
      <c r="AC75" s="250">
        <v>30.0</v>
      </c>
      <c r="AD75" s="248">
        <v>0.0</v>
      </c>
      <c r="AE75" s="248">
        <f t="shared" si="54"/>
        <v>0</v>
      </c>
      <c r="AF75" s="250">
        <v>0.0</v>
      </c>
      <c r="AG75" s="248">
        <v>0.0</v>
      </c>
      <c r="AH75" s="250">
        <f t="shared" si="49"/>
        <v>0</v>
      </c>
      <c r="AI75" s="250">
        <v>0.0</v>
      </c>
      <c r="AJ75" s="250" t="b">
        <v>0</v>
      </c>
      <c r="AK75" s="278">
        <v>27.0</v>
      </c>
      <c r="AL75" s="250">
        <v>0.0</v>
      </c>
      <c r="AM75" s="250">
        <v>1.0</v>
      </c>
      <c r="AN75" s="260" t="str">
        <f>IFNA(VLOOKUP($A75,'Tube Reactions'!$J$2:$K163,2,FALSE),"")</f>
        <v/>
      </c>
      <c r="AO75" s="245" t="str">
        <f t="shared" si="4"/>
        <v>NOT EQUAL</v>
      </c>
      <c r="AP75" s="265" t="s">
        <v>458</v>
      </c>
      <c r="AQ75" s="260" t="b">
        <f t="shared" si="6"/>
        <v>1</v>
      </c>
      <c r="AR75" s="266">
        <v>83.0</v>
      </c>
      <c r="AS75" s="279" t="s">
        <v>780</v>
      </c>
      <c r="AT75" s="247"/>
      <c r="AU75" s="360" t="s">
        <v>603</v>
      </c>
      <c r="AV75" s="294">
        <v>32.0</v>
      </c>
      <c r="AW75" s="250" t="b">
        <v>1</v>
      </c>
      <c r="AX75" s="270" t="b">
        <f t="shared" si="7"/>
        <v>1</v>
      </c>
      <c r="AY75" s="250">
        <f t="shared" si="36"/>
        <v>2</v>
      </c>
      <c r="AZ75" s="276"/>
      <c r="BA75" s="272" t="b">
        <v>1</v>
      </c>
      <c r="BB75" s="245" t="b">
        <f t="shared" si="9"/>
        <v>1</v>
      </c>
      <c r="BC75" s="260" t="b">
        <f t="shared" si="10"/>
        <v>1</v>
      </c>
      <c r="BD75" s="260">
        <f t="shared" si="11"/>
        <v>27</v>
      </c>
      <c r="BE75" s="273" t="b">
        <f t="shared" si="12"/>
        <v>1</v>
      </c>
      <c r="BF75" s="274">
        <f t="shared" si="13"/>
        <v>44599</v>
      </c>
      <c r="BG75" s="275" t="str">
        <f t="shared" si="14"/>
        <v>RUN-FLMP_2022-02-07_RFR-083</v>
      </c>
      <c r="BH75" s="96">
        <f t="shared" si="15"/>
        <v>29</v>
      </c>
      <c r="BI75" s="96">
        <f t="shared" si="16"/>
        <v>30</v>
      </c>
      <c r="BJ75" s="96">
        <f t="shared" si="17"/>
        <v>27</v>
      </c>
      <c r="BK75" s="96">
        <f t="shared" si="18"/>
        <v>0</v>
      </c>
      <c r="BL75" s="10">
        <f>IFNA(IF(VLOOKUP(FLOOR($B75,1),'APS Tubes by Date IMPORT'!$B$2:$J163,1,FALSE)=FLOOR($BL74,1),IFERROR(0/0,""),VLOOKUP(FLOOR($B75,1),'APS Tubes by Date IMPORT'!$B$2:$J163,1,FALSE)),"")</f>
        <v>44599</v>
      </c>
      <c r="BM75" s="96">
        <f>IF(ISBLANK($BL75),IFERROR(0/0,""),VLOOKUP(FLOOR($B75,1),'APS Tubes by Date IMPORT'!$B$2:$J163,2,FALSE))</f>
        <v>26</v>
      </c>
    </row>
    <row r="76">
      <c r="A76" s="245" t="str">
        <f>CONCATENATE("RUN-",'Process Ref'!$A$1,"_",TEXT(U76,"YYYY-MM-DD"),"_RFR-",TEXT(AR76,"000"),IF(EXACT(W76,"Initial"),"",CONCATENATE("_",W76)))</f>
        <v>RUN-FLMP_2022-02-07_RFR-084_Re-run</v>
      </c>
      <c r="B76" s="285">
        <v>44599.46427560185</v>
      </c>
      <c r="C76" s="256"/>
      <c r="D76" s="256" t="s">
        <v>442</v>
      </c>
      <c r="E76" s="250"/>
      <c r="F76" s="256" t="s">
        <v>775</v>
      </c>
      <c r="G76" s="249" t="s">
        <v>776</v>
      </c>
      <c r="H76" s="282"/>
      <c r="I76" s="249" t="s">
        <v>781</v>
      </c>
      <c r="J76" s="250"/>
      <c r="K76" s="251"/>
      <c r="L76" s="248"/>
      <c r="M76" s="252"/>
      <c r="N76" s="252"/>
      <c r="O76" s="253"/>
      <c r="P76" s="254" t="b">
        <v>0</v>
      </c>
      <c r="Q76" s="286" t="b">
        <v>0</v>
      </c>
      <c r="R76" s="256"/>
      <c r="S76" s="286" t="b">
        <v>1</v>
      </c>
      <c r="T76" s="287" t="b">
        <v>1</v>
      </c>
      <c r="U76" s="288">
        <v>44599.0</v>
      </c>
      <c r="V76" s="289">
        <v>0.4166666666666667</v>
      </c>
      <c r="W76" s="290" t="s">
        <v>469</v>
      </c>
      <c r="X76" s="313"/>
      <c r="Y76" s="254" t="b">
        <v>0</v>
      </c>
      <c r="Z76" s="250"/>
      <c r="AA76" s="260">
        <f t="shared" si="34"/>
        <v>0</v>
      </c>
      <c r="AB76" s="293" t="b">
        <f t="shared" si="2"/>
        <v>1</v>
      </c>
      <c r="AC76" s="292">
        <v>3.0</v>
      </c>
      <c r="AD76" s="292">
        <v>0.0</v>
      </c>
      <c r="AE76" s="248">
        <f t="shared" si="54"/>
        <v>0</v>
      </c>
      <c r="AF76" s="292">
        <v>0.0</v>
      </c>
      <c r="AG76" s="292">
        <v>0.0</v>
      </c>
      <c r="AH76" s="250">
        <f t="shared" si="49"/>
        <v>0</v>
      </c>
      <c r="AI76" s="292">
        <v>0.0</v>
      </c>
      <c r="AJ76" s="294" t="b">
        <v>0</v>
      </c>
      <c r="AK76" s="295">
        <f>IF(W76="Initial",AC76,IF(AJ76=TRUE,"CORRECT ME",AC76/3))</f>
        <v>1</v>
      </c>
      <c r="AL76" s="292">
        <v>0.0</v>
      </c>
      <c r="AM76" s="250"/>
      <c r="AN76" s="296" t="str">
        <f>IFNA(VLOOKUP($A76,'Tube Reactions'!$J$2:$K163,2,FALSE),"")</f>
        <v/>
      </c>
      <c r="AO76" s="297" t="str">
        <f t="shared" si="4"/>
        <v/>
      </c>
      <c r="AP76" s="298" t="str">
        <f t="shared" ref="AP76:AP77" si="56">IF(ISTEXT(H76),"", "Absent")</f>
        <v>Absent</v>
      </c>
      <c r="AQ76" s="260" t="b">
        <f t="shared" si="6"/>
        <v>1</v>
      </c>
      <c r="AR76" s="266">
        <v>84.0</v>
      </c>
      <c r="AS76" s="279"/>
      <c r="AT76" s="279"/>
      <c r="AU76" s="299" t="s">
        <v>603</v>
      </c>
      <c r="AV76" s="292">
        <v>5.0</v>
      </c>
      <c r="AW76" s="286" t="b">
        <v>1</v>
      </c>
      <c r="AX76" s="270" t="b">
        <f t="shared" si="7"/>
        <v>1</v>
      </c>
      <c r="AY76" s="254">
        <f t="shared" si="36"/>
        <v>2</v>
      </c>
      <c r="AZ76" s="307"/>
      <c r="BA76" s="272" t="b">
        <v>1</v>
      </c>
      <c r="BB76" s="245" t="b">
        <f t="shared" si="9"/>
        <v>0</v>
      </c>
      <c r="BC76" s="260" t="str">
        <f t="shared" si="10"/>
        <v/>
      </c>
      <c r="BD76" s="260" t="str">
        <f t="shared" si="11"/>
        <v/>
      </c>
      <c r="BE76" s="273" t="b">
        <f t="shared" si="12"/>
        <v>1</v>
      </c>
      <c r="BF76" s="274" t="str">
        <f t="shared" si="13"/>
        <v/>
      </c>
      <c r="BG76" s="275" t="str">
        <f t="shared" si="14"/>
        <v/>
      </c>
      <c r="BH76" s="96" t="str">
        <f t="shared" si="15"/>
        <v/>
      </c>
      <c r="BI76" s="96" t="str">
        <f t="shared" si="16"/>
        <v/>
      </c>
      <c r="BJ76" s="96" t="str">
        <f t="shared" si="17"/>
        <v/>
      </c>
      <c r="BK76" s="96" t="str">
        <f t="shared" si="18"/>
        <v/>
      </c>
      <c r="BL76" s="10" t="str">
        <f>IFNA(IF(VLOOKUP(FLOOR($B76,1),'APS Tubes by Date IMPORT'!$B$2:$J163,1,FALSE)=FLOOR($BL75,1),IFERROR(0/0,""),VLOOKUP(FLOOR($B76,1),'APS Tubes by Date IMPORT'!$B$2:$J163,1,FALSE)),"")</f>
        <v/>
      </c>
      <c r="BM76" s="96" t="str">
        <f>IF(ISBLANK($BL76),IFERROR(0/0,""),VLOOKUP(FLOOR($B76,1),'APS Tubes by Date IMPORT'!$B$2:$J163,2,FALSE))</f>
        <v/>
      </c>
    </row>
    <row r="77">
      <c r="A77" s="245" t="str">
        <f>CONCATENATE("RUN-",'Process Ref'!$A$1,"_",TEXT(U77,"YYYY-MM-DD"),"_RFR-",TEXT(AR77,"000"),IF(EXACT(W77,"Initial"),"",CONCATENATE("_",W77)))</f>
        <v>RUN-FLMP_2022-02-10_RFR-085</v>
      </c>
      <c r="B77" s="246">
        <v>44602.470775208334</v>
      </c>
      <c r="C77" s="256"/>
      <c r="D77" s="256" t="s">
        <v>442</v>
      </c>
      <c r="E77" s="250">
        <v>29.0</v>
      </c>
      <c r="F77" s="256" t="s">
        <v>782</v>
      </c>
      <c r="G77" s="249" t="s">
        <v>783</v>
      </c>
      <c r="H77" s="249"/>
      <c r="I77" s="383" t="s">
        <v>784</v>
      </c>
      <c r="J77" s="250">
        <v>1.0</v>
      </c>
      <c r="K77" s="251"/>
      <c r="L77" s="248"/>
      <c r="M77" s="252">
        <v>1.5</v>
      </c>
      <c r="N77" s="252"/>
      <c r="O77" s="253"/>
      <c r="P77" s="254" t="b">
        <v>0</v>
      </c>
      <c r="Q77" s="255" t="b">
        <v>0</v>
      </c>
      <c r="R77" s="256"/>
      <c r="S77" s="254" t="b">
        <v>0</v>
      </c>
      <c r="T77" s="284" t="b">
        <v>1</v>
      </c>
      <c r="U77" s="258">
        <v>44602.0</v>
      </c>
      <c r="V77" s="259">
        <v>0.375</v>
      </c>
      <c r="W77" s="247" t="s">
        <v>447</v>
      </c>
      <c r="X77" s="247" t="s">
        <v>785</v>
      </c>
      <c r="Y77" s="254" t="b">
        <v>0</v>
      </c>
      <c r="Z77" s="248">
        <v>31.0</v>
      </c>
      <c r="AA77" s="260">
        <f t="shared" si="34"/>
        <v>2</v>
      </c>
      <c r="AB77" s="261" t="b">
        <f t="shared" si="2"/>
        <v>0</v>
      </c>
      <c r="AC77" s="248">
        <v>30.0</v>
      </c>
      <c r="AD77" s="248">
        <v>1.0</v>
      </c>
      <c r="AE77" s="248">
        <f t="shared" si="54"/>
        <v>1</v>
      </c>
      <c r="AF77" s="248">
        <v>0.0</v>
      </c>
      <c r="AG77" s="248">
        <v>0.0</v>
      </c>
      <c r="AH77" s="250">
        <f t="shared" si="49"/>
        <v>0</v>
      </c>
      <c r="AI77" s="248">
        <v>0.0</v>
      </c>
      <c r="AJ77" s="250" t="b">
        <v>0</v>
      </c>
      <c r="AK77" s="278">
        <v>29.0</v>
      </c>
      <c r="AL77" s="248">
        <v>1.1</v>
      </c>
      <c r="AM77" s="248">
        <v>1.0</v>
      </c>
      <c r="AN77" s="263" t="str">
        <f>IFNA(VLOOKUP($A77,'Tube Reactions'!$J$2:$K163,2,FALSE),"")</f>
        <v/>
      </c>
      <c r="AO77" s="264" t="str">
        <f t="shared" si="4"/>
        <v>NOT EQUAL</v>
      </c>
      <c r="AP77" s="265" t="str">
        <f t="shared" si="56"/>
        <v>Absent</v>
      </c>
      <c r="AQ77" s="260" t="b">
        <f t="shared" si="6"/>
        <v>1</v>
      </c>
      <c r="AR77" s="266">
        <v>85.0</v>
      </c>
      <c r="AS77" s="279" t="s">
        <v>786</v>
      </c>
      <c r="AT77" s="247"/>
      <c r="AU77" s="268" t="s">
        <v>603</v>
      </c>
      <c r="AV77" s="269">
        <v>32.0</v>
      </c>
      <c r="AW77" s="248" t="b">
        <v>1</v>
      </c>
      <c r="AX77" s="270" t="b">
        <f t="shared" si="7"/>
        <v>0</v>
      </c>
      <c r="AY77" s="248">
        <f t="shared" si="36"/>
        <v>2</v>
      </c>
      <c r="AZ77" s="271"/>
      <c r="BA77" s="272" t="b">
        <v>1</v>
      </c>
      <c r="BB77" s="245" t="b">
        <f t="shared" si="9"/>
        <v>1</v>
      </c>
      <c r="BC77" s="260">
        <f t="shared" si="10"/>
        <v>1.1</v>
      </c>
      <c r="BD77" s="260">
        <f t="shared" si="11"/>
        <v>29</v>
      </c>
      <c r="BE77" s="273" t="b">
        <f t="shared" si="12"/>
        <v>1</v>
      </c>
      <c r="BF77" s="274">
        <f t="shared" si="13"/>
        <v>44602</v>
      </c>
      <c r="BG77" s="275" t="str">
        <f t="shared" si="14"/>
        <v>RUN-FLMP_2022-02-10_RFR-085</v>
      </c>
      <c r="BH77" s="96">
        <f t="shared" si="15"/>
        <v>29</v>
      </c>
      <c r="BI77" s="96">
        <f t="shared" si="16"/>
        <v>30</v>
      </c>
      <c r="BJ77" s="96">
        <f t="shared" si="17"/>
        <v>29</v>
      </c>
      <c r="BK77" s="96">
        <f t="shared" si="18"/>
        <v>1.1</v>
      </c>
      <c r="BL77" s="10">
        <f>IFNA(IF(VLOOKUP(FLOOR($B77,1),'APS Tubes by Date IMPORT'!$B$2:$J163,1,FALSE)=FLOOR($BL76,1),IFERROR(0/0,""),VLOOKUP(FLOOR($B77,1),'APS Tubes by Date IMPORT'!$B$2:$J163,1,FALSE)),"")</f>
        <v>44602</v>
      </c>
      <c r="BM77" s="96">
        <f>IF(ISBLANK($BL77),IFERROR(0/0,""),VLOOKUP(FLOOR($B77,1),'APS Tubes by Date IMPORT'!$B$2:$J163,2,FALSE))</f>
        <v>27</v>
      </c>
    </row>
    <row r="78">
      <c r="A78" s="245" t="str">
        <f>CONCATENATE("RUN-",'Process Ref'!$A$1,"_",TEXT(U78,"YYYY-MM-DD"),"_RFR-",TEXT(AR78,"000"),IF(EXACT(W78,"Initial"),"",CONCATENATE("_",W78)))</f>
        <v>RUN-FLMP_2022-02-10_RFR-086_Re-run</v>
      </c>
      <c r="B78" s="285">
        <v>44602.470775208334</v>
      </c>
      <c r="C78" s="256"/>
      <c r="D78" s="256" t="s">
        <v>442</v>
      </c>
      <c r="E78" s="250"/>
      <c r="F78" s="256" t="s">
        <v>782</v>
      </c>
      <c r="G78" s="249" t="s">
        <v>783</v>
      </c>
      <c r="H78" s="282"/>
      <c r="I78" s="249" t="s">
        <v>787</v>
      </c>
      <c r="J78" s="250"/>
      <c r="K78" s="251"/>
      <c r="L78" s="248"/>
      <c r="M78" s="252"/>
      <c r="N78" s="252"/>
      <c r="O78" s="253"/>
      <c r="P78" s="254" t="b">
        <v>0</v>
      </c>
      <c r="Q78" s="286" t="b">
        <v>0</v>
      </c>
      <c r="R78" s="256"/>
      <c r="S78" s="286" t="b">
        <v>1</v>
      </c>
      <c r="T78" s="287" t="b">
        <v>1</v>
      </c>
      <c r="U78" s="288">
        <v>44602.0</v>
      </c>
      <c r="V78" s="289">
        <v>0.4166666666666667</v>
      </c>
      <c r="W78" s="290" t="s">
        <v>469</v>
      </c>
      <c r="X78" s="313"/>
      <c r="Y78" s="254" t="b">
        <v>0</v>
      </c>
      <c r="Z78" s="250"/>
      <c r="AA78" s="260">
        <f t="shared" si="34"/>
        <v>0</v>
      </c>
      <c r="AB78" s="293" t="b">
        <f t="shared" si="2"/>
        <v>1</v>
      </c>
      <c r="AC78" s="292">
        <v>3.0</v>
      </c>
      <c r="AD78" s="292">
        <v>0.0</v>
      </c>
      <c r="AE78" s="248">
        <f t="shared" si="54"/>
        <v>0</v>
      </c>
      <c r="AF78" s="292">
        <v>0.0</v>
      </c>
      <c r="AG78" s="292">
        <v>0.0</v>
      </c>
      <c r="AH78" s="250">
        <f t="shared" si="49"/>
        <v>0</v>
      </c>
      <c r="AI78" s="292">
        <v>0.0</v>
      </c>
      <c r="AJ78" s="294" t="b">
        <v>0</v>
      </c>
      <c r="AK78" s="295">
        <f>IF(W78="Initial",AC78,IF(AJ78=TRUE,"CORRECT ME",AC78/3))</f>
        <v>1</v>
      </c>
      <c r="AL78" s="292">
        <v>0.0</v>
      </c>
      <c r="AM78" s="250"/>
      <c r="AN78" s="296" t="str">
        <f>IFNA(VLOOKUP($A78,'Tube Reactions'!$J$2:$K163,2,FALSE),"")</f>
        <v/>
      </c>
      <c r="AO78" s="297" t="str">
        <f t="shared" si="4"/>
        <v/>
      </c>
      <c r="AP78" s="384" t="s">
        <v>458</v>
      </c>
      <c r="AQ78" s="260" t="b">
        <f t="shared" si="6"/>
        <v>1</v>
      </c>
      <c r="AR78" s="266">
        <v>86.0</v>
      </c>
      <c r="AS78" s="279"/>
      <c r="AT78" s="279"/>
      <c r="AU78" s="299" t="s">
        <v>603</v>
      </c>
      <c r="AV78" s="292">
        <v>5.0</v>
      </c>
      <c r="AW78" s="286" t="b">
        <v>1</v>
      </c>
      <c r="AX78" s="270" t="b">
        <f t="shared" si="7"/>
        <v>1</v>
      </c>
      <c r="AY78" s="254">
        <f t="shared" si="36"/>
        <v>2</v>
      </c>
      <c r="AZ78" s="307"/>
      <c r="BA78" s="272" t="b">
        <v>1</v>
      </c>
      <c r="BB78" s="245" t="b">
        <f t="shared" si="9"/>
        <v>0</v>
      </c>
      <c r="BC78" s="260" t="str">
        <f t="shared" si="10"/>
        <v/>
      </c>
      <c r="BD78" s="260" t="str">
        <f t="shared" si="11"/>
        <v/>
      </c>
      <c r="BE78" s="273" t="b">
        <f t="shared" si="12"/>
        <v>1</v>
      </c>
      <c r="BF78" s="274" t="str">
        <f t="shared" si="13"/>
        <v/>
      </c>
      <c r="BG78" s="275" t="str">
        <f t="shared" si="14"/>
        <v/>
      </c>
      <c r="BH78" s="96" t="str">
        <f t="shared" si="15"/>
        <v/>
      </c>
      <c r="BI78" s="96" t="str">
        <f t="shared" si="16"/>
        <v/>
      </c>
      <c r="BJ78" s="96" t="str">
        <f t="shared" si="17"/>
        <v/>
      </c>
      <c r="BK78" s="96" t="str">
        <f t="shared" si="18"/>
        <v/>
      </c>
      <c r="BL78" s="10" t="str">
        <f>IFNA(IF(VLOOKUP(FLOOR($B78,1),'APS Tubes by Date IMPORT'!$B$2:$J163,1,FALSE)=FLOOR($BL77,1),IFERROR(0/0,""),VLOOKUP(FLOOR($B78,1),'APS Tubes by Date IMPORT'!$B$2:$J163,1,FALSE)),"")</f>
        <v/>
      </c>
      <c r="BM78" s="96" t="str">
        <f>IF(ISBLANK($BL78),IFERROR(0/0,""),VLOOKUP(FLOOR($B78,1),'APS Tubes by Date IMPORT'!$B$2:$J163,2,FALSE))</f>
        <v/>
      </c>
    </row>
    <row r="79">
      <c r="A79" s="245" t="str">
        <f>CONCATENATE("RUN-",'Process Ref'!$A$1,"_",TEXT(U79,"YYYY-MM-DD"),"_RFR-",TEXT(AR79,"000"),IF(EXACT(W79,"Initial"),"",CONCATENATE("_",W79)))</f>
        <v>RUN-FLMP_2022-02-12_RFR-087</v>
      </c>
      <c r="B79" s="246">
        <v>44604.50348375</v>
      </c>
      <c r="C79" s="256"/>
      <c r="D79" s="256" t="s">
        <v>620</v>
      </c>
      <c r="E79" s="250">
        <v>6.0</v>
      </c>
      <c r="F79" s="360">
        <v>220212.0</v>
      </c>
      <c r="G79" s="249" t="s">
        <v>788</v>
      </c>
      <c r="H79" s="249"/>
      <c r="I79" s="249" t="s">
        <v>789</v>
      </c>
      <c r="J79" s="250"/>
      <c r="K79" s="251"/>
      <c r="L79" s="248"/>
      <c r="M79" s="252"/>
      <c r="N79" s="252"/>
      <c r="O79" s="253"/>
      <c r="P79" s="254" t="b">
        <v>0</v>
      </c>
      <c r="Q79" s="255" t="b">
        <v>0</v>
      </c>
      <c r="R79" s="256"/>
      <c r="S79" s="254" t="b">
        <v>0</v>
      </c>
      <c r="T79" s="257" t="b">
        <v>0</v>
      </c>
      <c r="U79" s="258">
        <v>44604.0</v>
      </c>
      <c r="V79" s="259">
        <v>0.4583333333333333</v>
      </c>
      <c r="W79" s="247" t="s">
        <v>447</v>
      </c>
      <c r="X79" s="256"/>
      <c r="Y79" s="254" t="b">
        <v>0</v>
      </c>
      <c r="Z79" s="248">
        <v>8.0</v>
      </c>
      <c r="AA79" s="260">
        <f t="shared" si="34"/>
        <v>2</v>
      </c>
      <c r="AB79" s="261" t="b">
        <f t="shared" si="2"/>
        <v>0</v>
      </c>
      <c r="AC79" s="248">
        <v>6.0</v>
      </c>
      <c r="AD79" s="248">
        <v>0.0</v>
      </c>
      <c r="AE79" s="248">
        <f t="shared" si="54"/>
        <v>0</v>
      </c>
      <c r="AF79" s="248">
        <v>0.0</v>
      </c>
      <c r="AG79" s="248">
        <v>0.0</v>
      </c>
      <c r="AH79" s="250">
        <f t="shared" si="49"/>
        <v>0</v>
      </c>
      <c r="AI79" s="248">
        <v>0.0</v>
      </c>
      <c r="AJ79" s="250" t="b">
        <v>0</v>
      </c>
      <c r="AK79" s="278">
        <v>3.0</v>
      </c>
      <c r="AL79" s="248">
        <v>0.0</v>
      </c>
      <c r="AM79" s="248">
        <v>0.0</v>
      </c>
      <c r="AN79" s="263" t="str">
        <f>IFNA(VLOOKUP($A79,'Tube Reactions'!$J$2:$K163,2,FALSE),"")</f>
        <v/>
      </c>
      <c r="AO79" s="264" t="str">
        <f t="shared" si="4"/>
        <v/>
      </c>
      <c r="AP79" s="265" t="str">
        <f t="shared" ref="AP79:AP81" si="57">IF(ISTEXT(H79),"", "Absent")</f>
        <v>Absent</v>
      </c>
      <c r="AQ79" s="260" t="b">
        <f t="shared" si="6"/>
        <v>1</v>
      </c>
      <c r="AR79" s="266">
        <v>87.0</v>
      </c>
      <c r="AS79" s="279" t="s">
        <v>790</v>
      </c>
      <c r="AT79" s="247"/>
      <c r="AU79" s="268" t="s">
        <v>603</v>
      </c>
      <c r="AV79" s="269">
        <v>8.0</v>
      </c>
      <c r="AW79" s="248" t="b">
        <v>1</v>
      </c>
      <c r="AX79" s="270" t="b">
        <f t="shared" si="7"/>
        <v>1</v>
      </c>
      <c r="AY79" s="250">
        <f t="shared" si="36"/>
        <v>2</v>
      </c>
      <c r="AZ79" s="276"/>
      <c r="BA79" s="272" t="b">
        <v>1</v>
      </c>
      <c r="BB79" s="245" t="b">
        <f t="shared" si="9"/>
        <v>1</v>
      </c>
      <c r="BC79" s="260" t="b">
        <f t="shared" si="10"/>
        <v>1</v>
      </c>
      <c r="BD79" s="260">
        <f t="shared" si="11"/>
        <v>3</v>
      </c>
      <c r="BE79" s="273" t="b">
        <f t="shared" si="12"/>
        <v>1</v>
      </c>
      <c r="BF79" s="274">
        <f t="shared" si="13"/>
        <v>44604</v>
      </c>
      <c r="BG79" s="275" t="str">
        <f t="shared" si="14"/>
        <v>RUN-FLMP_2022-02-12_RFR-087</v>
      </c>
      <c r="BH79" s="96">
        <f t="shared" si="15"/>
        <v>6</v>
      </c>
      <c r="BI79" s="96">
        <f t="shared" si="16"/>
        <v>6</v>
      </c>
      <c r="BJ79" s="96">
        <f t="shared" si="17"/>
        <v>3</v>
      </c>
      <c r="BK79" s="96">
        <f t="shared" si="18"/>
        <v>0</v>
      </c>
      <c r="BL79" s="10">
        <f>IFNA(IF(VLOOKUP(FLOOR($B79,1),'APS Tubes by Date IMPORT'!$B$2:$J163,1,FALSE)=FLOOR($BL78,1),IFERROR(0/0,""),VLOOKUP(FLOOR($B79,1),'APS Tubes by Date IMPORT'!$B$2:$J163,1,FALSE)),"")</f>
        <v>44604</v>
      </c>
      <c r="BM79" s="96">
        <f>IF(ISBLANK($BL79),IFERROR(0/0,""),VLOOKUP(FLOOR($B79,1),'APS Tubes by Date IMPORT'!$B$2:$J163,2,FALSE))</f>
        <v>2</v>
      </c>
    </row>
    <row r="80">
      <c r="A80" s="245" t="str">
        <f>CONCATENATE("RUN-",'Process Ref'!$A$1,"_",TEXT(U80,"YYYY-MM-DD"),"_RFR-",TEXT(AR80,"000"),IF(EXACT(W80,"Initial"),"",CONCATENATE("_",W80)))</f>
        <v>RUN-FLMP_2022-02-14_RFR-088</v>
      </c>
      <c r="B80" s="246">
        <v>44606.46938425926</v>
      </c>
      <c r="C80" s="256"/>
      <c r="D80" s="256" t="s">
        <v>442</v>
      </c>
      <c r="E80" s="250">
        <v>29.0</v>
      </c>
      <c r="F80" s="256" t="s">
        <v>791</v>
      </c>
      <c r="G80" s="249" t="s">
        <v>792</v>
      </c>
      <c r="H80" s="249"/>
      <c r="I80" s="249" t="s">
        <v>793</v>
      </c>
      <c r="J80" s="250">
        <v>2.0</v>
      </c>
      <c r="K80" s="251" t="s">
        <v>794</v>
      </c>
      <c r="L80" s="248"/>
      <c r="M80" s="252">
        <v>1.7</v>
      </c>
      <c r="N80" s="252">
        <v>2.1</v>
      </c>
      <c r="O80" s="253" t="s">
        <v>795</v>
      </c>
      <c r="P80" s="254" t="b">
        <v>1</v>
      </c>
      <c r="Q80" s="255" t="b">
        <v>0</v>
      </c>
      <c r="R80" s="256"/>
      <c r="S80" s="254" t="b">
        <v>0</v>
      </c>
      <c r="T80" s="257" t="b">
        <v>0</v>
      </c>
      <c r="U80" s="258">
        <v>44606.0</v>
      </c>
      <c r="V80" s="259">
        <v>0.375</v>
      </c>
      <c r="W80" s="247" t="s">
        <v>447</v>
      </c>
      <c r="X80" s="247" t="s">
        <v>796</v>
      </c>
      <c r="Y80" s="254" t="b">
        <v>0</v>
      </c>
      <c r="Z80" s="248">
        <v>31.0</v>
      </c>
      <c r="AA80" s="260">
        <f t="shared" si="34"/>
        <v>2</v>
      </c>
      <c r="AB80" s="261" t="b">
        <f t="shared" si="2"/>
        <v>0</v>
      </c>
      <c r="AC80" s="248">
        <v>29.0</v>
      </c>
      <c r="AD80" s="248">
        <v>1.0</v>
      </c>
      <c r="AE80" s="248">
        <f t="shared" si="54"/>
        <v>1</v>
      </c>
      <c r="AF80" s="248">
        <v>1.0</v>
      </c>
      <c r="AG80" s="248">
        <v>0.0</v>
      </c>
      <c r="AH80" s="250">
        <f t="shared" si="49"/>
        <v>0</v>
      </c>
      <c r="AI80" s="248">
        <v>0.0</v>
      </c>
      <c r="AJ80" s="248" t="b">
        <v>1</v>
      </c>
      <c r="AK80" s="262">
        <f>IF(W80="Initial",AC80,IF(AJ80=TRUE,"CORRECT ME",AC80/3))</f>
        <v>29</v>
      </c>
      <c r="AL80" s="248">
        <v>2.0</v>
      </c>
      <c r="AM80" s="248">
        <v>2.0</v>
      </c>
      <c r="AN80" s="263" t="str">
        <f>IFNA(VLOOKUP($A80,'Tube Reactions'!$J$2:$K163,2,FALSE),"")</f>
        <v/>
      </c>
      <c r="AO80" s="264" t="str">
        <f t="shared" si="4"/>
        <v>NOT EQUAL</v>
      </c>
      <c r="AP80" s="265" t="str">
        <f t="shared" si="57"/>
        <v>Absent</v>
      </c>
      <c r="AQ80" s="260" t="b">
        <f t="shared" si="6"/>
        <v>1</v>
      </c>
      <c r="AR80" s="266">
        <v>88.0</v>
      </c>
      <c r="AS80" s="267" t="s">
        <v>797</v>
      </c>
      <c r="AT80" s="247"/>
      <c r="AU80" s="268" t="s">
        <v>638</v>
      </c>
      <c r="AV80" s="250"/>
      <c r="AW80" s="256" t="b">
        <v>0</v>
      </c>
      <c r="AX80" s="270" t="b">
        <f t="shared" si="7"/>
        <v>1</v>
      </c>
      <c r="AY80" s="250"/>
      <c r="AZ80" s="271" t="s">
        <v>798</v>
      </c>
      <c r="BA80" s="272" t="b">
        <v>1</v>
      </c>
      <c r="BB80" s="245" t="b">
        <f t="shared" si="9"/>
        <v>1</v>
      </c>
      <c r="BC80" s="260">
        <f t="shared" si="10"/>
        <v>2</v>
      </c>
      <c r="BD80" s="260">
        <f t="shared" si="11"/>
        <v>29</v>
      </c>
      <c r="BE80" s="273" t="b">
        <f t="shared" si="12"/>
        <v>1</v>
      </c>
      <c r="BF80" s="274">
        <f t="shared" si="13"/>
        <v>44606</v>
      </c>
      <c r="BG80" s="275" t="str">
        <f t="shared" si="14"/>
        <v>RUN-FLMP_2022-02-14_RFR-088</v>
      </c>
      <c r="BH80" s="96">
        <f t="shared" si="15"/>
        <v>29</v>
      </c>
      <c r="BI80" s="96">
        <f t="shared" si="16"/>
        <v>29</v>
      </c>
      <c r="BJ80" s="96">
        <f t="shared" si="17"/>
        <v>29</v>
      </c>
      <c r="BK80" s="96">
        <f t="shared" si="18"/>
        <v>2</v>
      </c>
      <c r="BL80" s="10">
        <f>IFNA(IF(VLOOKUP(FLOOR($B80,1),'APS Tubes by Date IMPORT'!$B$2:$J163,1,FALSE)=FLOOR($BL79,1),IFERROR(0/0,""),VLOOKUP(FLOOR($B80,1),'APS Tubes by Date IMPORT'!$B$2:$J163,1,FALSE)),"")</f>
        <v>44606</v>
      </c>
      <c r="BM80" s="96">
        <f>IF(ISBLANK($BL80),IFERROR(0/0,""),VLOOKUP(FLOOR($B80,1),'APS Tubes by Date IMPORT'!$B$2:$J163,2,FALSE))</f>
        <v>22</v>
      </c>
    </row>
    <row r="81">
      <c r="A81" s="245" t="str">
        <f>CONCATENATE("RUN-",'Process Ref'!$A$1,"_",TEXT(U81,"YYYY-MM-DD"),"_RFR-",TEXT(AR81,"000"),IF(EXACT(W81,"Initial"),"",CONCATENATE("_",W81)))</f>
        <v>RUN-FLMP_2022-02-17_RFR-089</v>
      </c>
      <c r="B81" s="246">
        <v>44609.43390762732</v>
      </c>
      <c r="C81" s="256"/>
      <c r="D81" s="256" t="s">
        <v>442</v>
      </c>
      <c r="E81" s="250">
        <v>27.0</v>
      </c>
      <c r="F81" s="256" t="s">
        <v>799</v>
      </c>
      <c r="G81" s="249" t="s">
        <v>800</v>
      </c>
      <c r="H81" s="249"/>
      <c r="I81" s="249" t="s">
        <v>801</v>
      </c>
      <c r="J81" s="250"/>
      <c r="K81" s="251"/>
      <c r="L81" s="248"/>
      <c r="M81" s="252">
        <v>1.8</v>
      </c>
      <c r="N81" s="252"/>
      <c r="O81" s="253" t="s">
        <v>802</v>
      </c>
      <c r="P81" s="254" t="b">
        <v>0</v>
      </c>
      <c r="Q81" s="255" t="b">
        <v>0</v>
      </c>
      <c r="R81" s="256"/>
      <c r="S81" s="254" t="b">
        <v>0</v>
      </c>
      <c r="T81" s="257" t="b">
        <v>0</v>
      </c>
      <c r="U81" s="258">
        <v>44609.0</v>
      </c>
      <c r="V81" s="259">
        <v>0.375</v>
      </c>
      <c r="W81" s="247" t="s">
        <v>447</v>
      </c>
      <c r="X81" s="256"/>
      <c r="Y81" s="254" t="b">
        <v>0</v>
      </c>
      <c r="Z81" s="250"/>
      <c r="AA81" s="260">
        <f t="shared" si="34"/>
        <v>-27</v>
      </c>
      <c r="AB81" s="261" t="b">
        <f t="shared" si="2"/>
        <v>1</v>
      </c>
      <c r="AC81" s="248">
        <v>30.0</v>
      </c>
      <c r="AD81" s="248">
        <v>0.0</v>
      </c>
      <c r="AE81" s="248">
        <f t="shared" si="54"/>
        <v>0</v>
      </c>
      <c r="AF81" s="248">
        <v>0.0</v>
      </c>
      <c r="AG81" s="248">
        <v>0.0</v>
      </c>
      <c r="AH81" s="250">
        <f t="shared" si="49"/>
        <v>0</v>
      </c>
      <c r="AI81" s="248">
        <v>0.0</v>
      </c>
      <c r="AJ81" s="250" t="b">
        <v>0</v>
      </c>
      <c r="AK81" s="278">
        <v>27.0</v>
      </c>
      <c r="AL81" s="248">
        <v>0.0</v>
      </c>
      <c r="AM81" s="248">
        <v>0.0</v>
      </c>
      <c r="AN81" s="263" t="str">
        <f>IFNA(VLOOKUP($A81,'Tube Reactions'!$J$2:$K163,2,FALSE),"")</f>
        <v/>
      </c>
      <c r="AO81" s="264" t="str">
        <f t="shared" si="4"/>
        <v/>
      </c>
      <c r="AP81" s="265" t="str">
        <f t="shared" si="57"/>
        <v>Absent</v>
      </c>
      <c r="AQ81" s="260" t="b">
        <f t="shared" si="6"/>
        <v>1</v>
      </c>
      <c r="AR81" s="266">
        <v>89.0</v>
      </c>
      <c r="AS81" s="279" t="s">
        <v>803</v>
      </c>
      <c r="AT81" s="247"/>
      <c r="AU81" s="268" t="s">
        <v>603</v>
      </c>
      <c r="AV81" s="269">
        <v>32.0</v>
      </c>
      <c r="AW81" s="248" t="b">
        <v>1</v>
      </c>
      <c r="AX81" s="270" t="b">
        <f t="shared" si="7"/>
        <v>1</v>
      </c>
      <c r="AY81" s="250">
        <f t="shared" ref="AY81:AY88" si="58">AV81-AC81</f>
        <v>2</v>
      </c>
      <c r="AZ81" s="276"/>
      <c r="BA81" s="272" t="b">
        <v>1</v>
      </c>
      <c r="BB81" s="245" t="b">
        <f t="shared" si="9"/>
        <v>1</v>
      </c>
      <c r="BC81" s="260" t="b">
        <f t="shared" si="10"/>
        <v>1</v>
      </c>
      <c r="BD81" s="260">
        <f t="shared" si="11"/>
        <v>27</v>
      </c>
      <c r="BE81" s="273" t="b">
        <f t="shared" si="12"/>
        <v>1</v>
      </c>
      <c r="BF81" s="274">
        <f t="shared" si="13"/>
        <v>44609</v>
      </c>
      <c r="BG81" s="275" t="str">
        <f t="shared" si="14"/>
        <v>RUN-FLMP_2022-02-17_RFR-089</v>
      </c>
      <c r="BH81" s="96">
        <f t="shared" si="15"/>
        <v>27</v>
      </c>
      <c r="BI81" s="96">
        <f t="shared" si="16"/>
        <v>30</v>
      </c>
      <c r="BJ81" s="96">
        <f t="shared" si="17"/>
        <v>27</v>
      </c>
      <c r="BK81" s="96">
        <f t="shared" si="18"/>
        <v>0</v>
      </c>
      <c r="BL81" s="10">
        <f>IFNA(IF(VLOOKUP(FLOOR($B81,1),'APS Tubes by Date IMPORT'!$B$2:$J163,1,FALSE)=FLOOR($BL80,1),IFERROR(0/0,""),VLOOKUP(FLOOR($B81,1),'APS Tubes by Date IMPORT'!$B$2:$J163,1,FALSE)),"")</f>
        <v>44609</v>
      </c>
      <c r="BM81" s="96">
        <f>IF(ISBLANK($BL81),IFERROR(0/0,""),VLOOKUP(FLOOR($B81,1),'APS Tubes by Date IMPORT'!$B$2:$J163,2,FALSE))</f>
        <v>23</v>
      </c>
    </row>
    <row r="82">
      <c r="A82" s="245" t="str">
        <f>CONCATENATE("RUN-",'Process Ref'!$A$1,"_",TEXT(U82,"YYYY-MM-DD"),"_RFR-",TEXT(AR82,"000"),IF(EXACT(W82,"Initial"),"",CONCATENATE("_",W82)))</f>
        <v>RUN-FLMP_2022-02-27_RFR-091</v>
      </c>
      <c r="B82" s="246">
        <v>44619.76936636574</v>
      </c>
      <c r="C82" s="256"/>
      <c r="D82" s="256" t="s">
        <v>442</v>
      </c>
      <c r="E82" s="250">
        <v>21.0</v>
      </c>
      <c r="F82" s="256" t="s">
        <v>804</v>
      </c>
      <c r="G82" s="249" t="s">
        <v>805</v>
      </c>
      <c r="H82" s="249"/>
      <c r="I82" s="249" t="s">
        <v>806</v>
      </c>
      <c r="J82" s="250">
        <v>4.0</v>
      </c>
      <c r="K82" s="251"/>
      <c r="L82" s="248"/>
      <c r="M82" s="252"/>
      <c r="N82" s="252">
        <v>2.1</v>
      </c>
      <c r="O82" s="253"/>
      <c r="P82" s="254" t="b">
        <v>1</v>
      </c>
      <c r="Q82" s="255" t="b">
        <v>0</v>
      </c>
      <c r="R82" s="256"/>
      <c r="S82" s="254" t="b">
        <v>0</v>
      </c>
      <c r="T82" s="284" t="b">
        <v>1</v>
      </c>
      <c r="U82" s="258">
        <v>44619.0</v>
      </c>
      <c r="V82" s="259">
        <v>0.6666666666666666</v>
      </c>
      <c r="W82" s="247" t="s">
        <v>447</v>
      </c>
      <c r="X82" s="247" t="s">
        <v>807</v>
      </c>
      <c r="Y82" s="255" t="b">
        <v>1</v>
      </c>
      <c r="Z82" s="248">
        <v>23.0</v>
      </c>
      <c r="AA82" s="260">
        <f t="shared" si="34"/>
        <v>2</v>
      </c>
      <c r="AB82" s="261" t="b">
        <f t="shared" si="2"/>
        <v>0</v>
      </c>
      <c r="AC82" s="248">
        <v>22.0</v>
      </c>
      <c r="AD82" s="248">
        <v>3.0</v>
      </c>
      <c r="AE82" s="248">
        <f t="shared" si="54"/>
        <v>3</v>
      </c>
      <c r="AF82" s="248">
        <v>0.0</v>
      </c>
      <c r="AG82" s="248">
        <v>0.0</v>
      </c>
      <c r="AH82" s="250">
        <f t="shared" si="49"/>
        <v>0</v>
      </c>
      <c r="AI82" s="248">
        <v>0.0</v>
      </c>
      <c r="AJ82" s="250" t="b">
        <v>0</v>
      </c>
      <c r="AK82" s="278">
        <v>21.0</v>
      </c>
      <c r="AL82" s="248">
        <v>1.2</v>
      </c>
      <c r="AM82" s="248">
        <v>4.0</v>
      </c>
      <c r="AN82" s="263" t="str">
        <f>IFNA(VLOOKUP($A82,'Tube Reactions'!$J$2:$K163,2,FALSE),"")</f>
        <v/>
      </c>
      <c r="AO82" s="264" t="str">
        <f t="shared" si="4"/>
        <v>NOT EQUAL</v>
      </c>
      <c r="AP82" s="265" t="str">
        <f>IF(ISTEXT(#REF!),"", "Absent")</f>
        <v>Absent</v>
      </c>
      <c r="AQ82" s="260" t="b">
        <f t="shared" si="6"/>
        <v>1</v>
      </c>
      <c r="AR82" s="266">
        <v>91.0</v>
      </c>
      <c r="AS82" s="279" t="s">
        <v>808</v>
      </c>
      <c r="AT82" s="247"/>
      <c r="AU82" s="268" t="s">
        <v>638</v>
      </c>
      <c r="AV82" s="248">
        <v>24.0</v>
      </c>
      <c r="AW82" s="256" t="b">
        <v>0</v>
      </c>
      <c r="AX82" s="270" t="b">
        <f t="shared" si="7"/>
        <v>1</v>
      </c>
      <c r="AY82" s="250">
        <f t="shared" si="58"/>
        <v>2</v>
      </c>
      <c r="AZ82" s="276"/>
      <c r="BA82" s="272" t="b">
        <v>1</v>
      </c>
      <c r="BB82" s="245" t="b">
        <f t="shared" si="9"/>
        <v>1</v>
      </c>
      <c r="BC82" s="260">
        <f t="shared" si="10"/>
        <v>1.2</v>
      </c>
      <c r="BD82" s="260">
        <f t="shared" si="11"/>
        <v>21</v>
      </c>
      <c r="BE82" s="273" t="b">
        <f t="shared" si="12"/>
        <v>1</v>
      </c>
      <c r="BF82" s="274">
        <f t="shared" si="13"/>
        <v>44619</v>
      </c>
      <c r="BG82" s="275" t="str">
        <f t="shared" si="14"/>
        <v>RUN-FLMP_2022-02-27_RFR-091</v>
      </c>
      <c r="BH82" s="96">
        <f t="shared" si="15"/>
        <v>21</v>
      </c>
      <c r="BI82" s="96">
        <f t="shared" si="16"/>
        <v>22</v>
      </c>
      <c r="BJ82" s="96">
        <f t="shared" si="17"/>
        <v>21</v>
      </c>
      <c r="BK82" s="96">
        <f t="shared" si="18"/>
        <v>1.2</v>
      </c>
      <c r="BL82" s="10">
        <f>IFNA(IF(VLOOKUP(FLOOR($B82,1),'APS Tubes by Date IMPORT'!$B$2:$J163,1,FALSE)=FLOOR($BL81,1),IFERROR(0/0,""),VLOOKUP(FLOOR($B82,1),'APS Tubes by Date IMPORT'!$B$2:$J163,1,FALSE)),"")</f>
        <v>44619</v>
      </c>
      <c r="BM82" s="96">
        <f>IF(ISBLANK($BL82),IFERROR(0/0,""),VLOOKUP(FLOOR($B82,1),'APS Tubes by Date IMPORT'!$B$2:$J163,2,FALSE))</f>
        <v>20</v>
      </c>
    </row>
    <row r="83">
      <c r="A83" s="245" t="str">
        <f>CONCATENATE("RUN-",'Process Ref'!$A$1,"_",TEXT(U83,"YYYY-MM-DD"),"_RFR-",TEXT(AR83,"000"),IF(EXACT(W83,"Initial"),"",CONCATENATE("_",W83)))</f>
        <v>RUN-FLMP_2022-02-27_RFR-092_Re-run</v>
      </c>
      <c r="B83" s="302">
        <v>44619.76936636574</v>
      </c>
      <c r="C83" s="256"/>
      <c r="D83" s="256" t="s">
        <v>442</v>
      </c>
      <c r="E83" s="250"/>
      <c r="F83" s="256" t="s">
        <v>804</v>
      </c>
      <c r="G83" s="249" t="s">
        <v>805</v>
      </c>
      <c r="H83" s="283" t="s">
        <v>809</v>
      </c>
      <c r="I83" s="249" t="s">
        <v>810</v>
      </c>
      <c r="J83" s="250"/>
      <c r="K83" s="251"/>
      <c r="L83" s="248"/>
      <c r="M83" s="252"/>
      <c r="N83" s="252"/>
      <c r="O83" s="253"/>
      <c r="P83" s="254" t="b">
        <v>0</v>
      </c>
      <c r="Q83" s="286" t="b">
        <v>0</v>
      </c>
      <c r="R83" s="256"/>
      <c r="S83" s="286" t="b">
        <v>1</v>
      </c>
      <c r="T83" s="287" t="b">
        <v>1</v>
      </c>
      <c r="U83" s="288">
        <v>44619.0</v>
      </c>
      <c r="V83" s="289">
        <v>0.7083333333333334</v>
      </c>
      <c r="W83" s="290" t="s">
        <v>469</v>
      </c>
      <c r="X83" s="291" t="s">
        <v>807</v>
      </c>
      <c r="Y83" s="286" t="b">
        <v>1</v>
      </c>
      <c r="Z83" s="292">
        <v>23.0</v>
      </c>
      <c r="AA83" s="260">
        <f t="shared" si="34"/>
        <v>23</v>
      </c>
      <c r="AB83" s="293" t="b">
        <f t="shared" si="2"/>
        <v>1</v>
      </c>
      <c r="AC83" s="292">
        <v>12.0</v>
      </c>
      <c r="AD83" s="292">
        <v>1.0</v>
      </c>
      <c r="AE83" s="292">
        <v>0.0</v>
      </c>
      <c r="AF83" s="292">
        <v>0.0</v>
      </c>
      <c r="AG83" s="292">
        <v>0.0</v>
      </c>
      <c r="AH83" s="250">
        <f t="shared" si="49"/>
        <v>0</v>
      </c>
      <c r="AI83" s="292">
        <v>0.0</v>
      </c>
      <c r="AJ83" s="294" t="b">
        <v>0</v>
      </c>
      <c r="AK83" s="295">
        <f t="shared" ref="AK83:AK88" si="59">IF(W83="Initial",AC83,IF(AJ83=TRUE,"CORRECT ME",AC83/3))</f>
        <v>4</v>
      </c>
      <c r="AL83" s="292">
        <v>0.0</v>
      </c>
      <c r="AM83" s="250"/>
      <c r="AN83" s="296" t="str">
        <f>IFNA(VLOOKUP($A83,'Tube Reactions'!$J$2:$K163,2,FALSE),"")</f>
        <v/>
      </c>
      <c r="AO83" s="297" t="str">
        <f t="shared" si="4"/>
        <v/>
      </c>
      <c r="AP83" s="298" t="str">
        <f t="shared" ref="AP83:AP86" si="60">IF(ISTEXT(H83),"", "Absent")</f>
        <v/>
      </c>
      <c r="AQ83" s="260" t="b">
        <f t="shared" si="6"/>
        <v>1</v>
      </c>
      <c r="AR83" s="266">
        <v>92.0</v>
      </c>
      <c r="AS83" s="279" t="s">
        <v>811</v>
      </c>
      <c r="AT83" s="279"/>
      <c r="AU83" s="306" t="s">
        <v>638</v>
      </c>
      <c r="AV83" s="292">
        <v>14.0</v>
      </c>
      <c r="AW83" s="254" t="b">
        <v>0</v>
      </c>
      <c r="AX83" s="270" t="b">
        <f t="shared" si="7"/>
        <v>0</v>
      </c>
      <c r="AY83" s="254">
        <f t="shared" si="58"/>
        <v>2</v>
      </c>
      <c r="AZ83" s="307"/>
      <c r="BA83" s="272" t="b">
        <v>1</v>
      </c>
      <c r="BB83" s="245" t="b">
        <f t="shared" si="9"/>
        <v>0</v>
      </c>
      <c r="BC83" s="260" t="str">
        <f t="shared" si="10"/>
        <v/>
      </c>
      <c r="BD83" s="260" t="str">
        <f t="shared" si="11"/>
        <v/>
      </c>
      <c r="BE83" s="273" t="b">
        <f t="shared" si="12"/>
        <v>1</v>
      </c>
      <c r="BF83" s="274" t="str">
        <f t="shared" si="13"/>
        <v/>
      </c>
      <c r="BG83" s="275" t="str">
        <f t="shared" si="14"/>
        <v/>
      </c>
      <c r="BH83" s="96" t="str">
        <f t="shared" si="15"/>
        <v/>
      </c>
      <c r="BI83" s="96" t="str">
        <f t="shared" si="16"/>
        <v/>
      </c>
      <c r="BJ83" s="96" t="str">
        <f t="shared" si="17"/>
        <v/>
      </c>
      <c r="BK83" s="96" t="str">
        <f t="shared" si="18"/>
        <v/>
      </c>
      <c r="BL83" s="10" t="str">
        <f>IFNA(IF(VLOOKUP(FLOOR($B83,1),'APS Tubes by Date IMPORT'!$B$2:$J163,1,FALSE)=FLOOR($BL82,1),IFERROR(0/0,""),VLOOKUP(FLOOR($B83,1),'APS Tubes by Date IMPORT'!$B$2:$J163,1,FALSE)),"")</f>
        <v/>
      </c>
      <c r="BM83" s="96" t="str">
        <f>IF(ISBLANK($BL83),IFERROR(0/0,""),VLOOKUP(FLOOR($B83,1),'APS Tubes by Date IMPORT'!$B$2:$J163,2,FALSE))</f>
        <v/>
      </c>
    </row>
    <row r="84">
      <c r="A84" s="245" t="str">
        <f>CONCATENATE("RUN-",'Process Ref'!$A$1,"_",TEXT(U84,"YYYY-MM-DD"),"_RFR-",TEXT(AR84,"000"),IF(EXACT(W84,"Initial"),"",CONCATENATE("_",W84)))</f>
        <v>RUN-FLMP_2022-03-03_RFR-093</v>
      </c>
      <c r="B84" s="246">
        <v>44623.46093976852</v>
      </c>
      <c r="C84" s="256"/>
      <c r="D84" s="256" t="s">
        <v>442</v>
      </c>
      <c r="E84" s="250">
        <v>25.0</v>
      </c>
      <c r="F84" s="256" t="s">
        <v>812</v>
      </c>
      <c r="G84" s="249" t="s">
        <v>813</v>
      </c>
      <c r="H84" s="249"/>
      <c r="I84" s="249" t="s">
        <v>814</v>
      </c>
      <c r="J84" s="250">
        <v>1.0</v>
      </c>
      <c r="K84" s="251"/>
      <c r="L84" s="248"/>
      <c r="M84" s="252"/>
      <c r="N84" s="252"/>
      <c r="O84" s="253"/>
      <c r="P84" s="254" t="b">
        <v>0</v>
      </c>
      <c r="Q84" s="255" t="b">
        <v>0</v>
      </c>
      <c r="R84" s="256"/>
      <c r="S84" s="254" t="b">
        <v>0</v>
      </c>
      <c r="T84" s="284" t="b">
        <v>1</v>
      </c>
      <c r="U84" s="258">
        <v>44623.0</v>
      </c>
      <c r="V84" s="259">
        <v>0.375</v>
      </c>
      <c r="W84" s="247" t="s">
        <v>447</v>
      </c>
      <c r="X84" s="256"/>
      <c r="Y84" s="254" t="b">
        <v>0</v>
      </c>
      <c r="Z84" s="248">
        <v>27.0</v>
      </c>
      <c r="AA84" s="260">
        <f t="shared" si="34"/>
        <v>2</v>
      </c>
      <c r="AB84" s="261" t="b">
        <f t="shared" si="2"/>
        <v>0</v>
      </c>
      <c r="AC84" s="248">
        <v>25.0</v>
      </c>
      <c r="AD84" s="248">
        <v>1.0</v>
      </c>
      <c r="AE84" s="248">
        <f t="shared" ref="AE84:AE88" si="61">IF(W84="Initial",AD84,(IF(AJ84=TRUE,"CORRECT ME",AD84/3)))</f>
        <v>1</v>
      </c>
      <c r="AF84" s="248">
        <v>0.0</v>
      </c>
      <c r="AG84" s="248">
        <v>0.0</v>
      </c>
      <c r="AH84" s="250">
        <f t="shared" si="49"/>
        <v>0</v>
      </c>
      <c r="AI84" s="248">
        <v>0.0</v>
      </c>
      <c r="AJ84" s="250" t="b">
        <v>0</v>
      </c>
      <c r="AK84" s="262">
        <f t="shared" si="59"/>
        <v>25</v>
      </c>
      <c r="AL84" s="248">
        <v>1.1</v>
      </c>
      <c r="AM84" s="248">
        <v>1.0</v>
      </c>
      <c r="AN84" s="263" t="str">
        <f>IFNA(VLOOKUP($A84,'Tube Reactions'!$J$2:$K163,2,FALSE),"")</f>
        <v/>
      </c>
      <c r="AO84" s="264" t="str">
        <f t="shared" si="4"/>
        <v>NOT EQUAL</v>
      </c>
      <c r="AP84" s="265" t="str">
        <f t="shared" si="60"/>
        <v>Absent</v>
      </c>
      <c r="AQ84" s="260" t="b">
        <f t="shared" si="6"/>
        <v>1</v>
      </c>
      <c r="AR84" s="266">
        <v>93.0</v>
      </c>
      <c r="AS84" s="267"/>
      <c r="AT84" s="247"/>
      <c r="AU84" s="268" t="s">
        <v>603</v>
      </c>
      <c r="AV84" s="269">
        <v>27.0</v>
      </c>
      <c r="AW84" s="250" t="b">
        <v>0</v>
      </c>
      <c r="AX84" s="270" t="b">
        <f t="shared" si="7"/>
        <v>1</v>
      </c>
      <c r="AY84" s="250">
        <f t="shared" si="58"/>
        <v>2</v>
      </c>
      <c r="AZ84" s="276"/>
      <c r="BA84" s="272" t="b">
        <v>1</v>
      </c>
      <c r="BB84" s="245" t="b">
        <f t="shared" si="9"/>
        <v>1</v>
      </c>
      <c r="BC84" s="260">
        <f t="shared" si="10"/>
        <v>1.1</v>
      </c>
      <c r="BD84" s="260">
        <f t="shared" si="11"/>
        <v>25</v>
      </c>
      <c r="BE84" s="273" t="b">
        <f t="shared" si="12"/>
        <v>1</v>
      </c>
      <c r="BF84" s="274">
        <f t="shared" si="13"/>
        <v>44623</v>
      </c>
      <c r="BG84" s="275" t="str">
        <f t="shared" si="14"/>
        <v>RUN-FLMP_2022-03-03_RFR-093</v>
      </c>
      <c r="BH84" s="96">
        <f t="shared" si="15"/>
        <v>25</v>
      </c>
      <c r="BI84" s="96">
        <f t="shared" si="16"/>
        <v>25</v>
      </c>
      <c r="BJ84" s="96">
        <f t="shared" si="17"/>
        <v>25</v>
      </c>
      <c r="BK84" s="96">
        <f t="shared" si="18"/>
        <v>1.1</v>
      </c>
      <c r="BL84" s="10">
        <f>IFNA(IF(VLOOKUP(FLOOR($B84,1),'APS Tubes by Date IMPORT'!$B$2:$J163,1,FALSE)=FLOOR($BL83,1),IFERROR(0/0,""),VLOOKUP(FLOOR($B84,1),'APS Tubes by Date IMPORT'!$B$2:$J163,1,FALSE)),"")</f>
        <v>44623</v>
      </c>
      <c r="BM84" s="96">
        <f>IF(ISBLANK($BL84),IFERROR(0/0,""),VLOOKUP(FLOOR($B84,1),'APS Tubes by Date IMPORT'!$B$2:$J163,2,FALSE))</f>
        <v>25</v>
      </c>
    </row>
    <row r="85">
      <c r="A85" s="245" t="str">
        <f>CONCATENATE("RUN-",'Process Ref'!$A$1,"_",TEXT(U85,"YYYY-MM-DD"),"_RFR-",TEXT(AR85,"000"),IF(EXACT(W85,"Initial"),"",CONCATENATE("_",W85)))</f>
        <v>RUN-FLMP_2022-03-03_RFR-094_Re-run</v>
      </c>
      <c r="B85" s="285">
        <v>44623.46093976852</v>
      </c>
      <c r="C85" s="256"/>
      <c r="D85" s="256" t="s">
        <v>442</v>
      </c>
      <c r="E85" s="250"/>
      <c r="F85" s="256" t="s">
        <v>812</v>
      </c>
      <c r="G85" s="249" t="s">
        <v>813</v>
      </c>
      <c r="H85" s="282"/>
      <c r="I85" s="249" t="s">
        <v>815</v>
      </c>
      <c r="J85" s="250"/>
      <c r="K85" s="251"/>
      <c r="L85" s="248"/>
      <c r="M85" s="252"/>
      <c r="N85" s="252"/>
      <c r="O85" s="253"/>
      <c r="P85" s="254" t="b">
        <v>0</v>
      </c>
      <c r="Q85" s="286" t="b">
        <v>0</v>
      </c>
      <c r="R85" s="256"/>
      <c r="S85" s="286" t="b">
        <v>1</v>
      </c>
      <c r="T85" s="287" t="b">
        <v>1</v>
      </c>
      <c r="U85" s="288">
        <v>44623.0</v>
      </c>
      <c r="V85" s="289">
        <v>0.4166666666666667</v>
      </c>
      <c r="W85" s="290" t="s">
        <v>469</v>
      </c>
      <c r="X85" s="313"/>
      <c r="Y85" s="254" t="b">
        <v>0</v>
      </c>
      <c r="Z85" s="250"/>
      <c r="AA85" s="260">
        <f t="shared" si="34"/>
        <v>0</v>
      </c>
      <c r="AB85" s="293" t="b">
        <f t="shared" si="2"/>
        <v>1</v>
      </c>
      <c r="AC85" s="292">
        <v>3.0</v>
      </c>
      <c r="AD85" s="292">
        <v>0.0</v>
      </c>
      <c r="AE85" s="248">
        <f t="shared" si="61"/>
        <v>0</v>
      </c>
      <c r="AF85" s="292">
        <v>0.0</v>
      </c>
      <c r="AG85" s="292">
        <v>0.0</v>
      </c>
      <c r="AH85" s="250">
        <f t="shared" si="49"/>
        <v>0</v>
      </c>
      <c r="AI85" s="292">
        <v>0.0</v>
      </c>
      <c r="AJ85" s="294" t="b">
        <v>0</v>
      </c>
      <c r="AK85" s="295">
        <f t="shared" si="59"/>
        <v>1</v>
      </c>
      <c r="AL85" s="292">
        <v>0.0</v>
      </c>
      <c r="AM85" s="250"/>
      <c r="AN85" s="296" t="str">
        <f>IFNA(VLOOKUP($A85,'Tube Reactions'!$J$2:$K163,2,FALSE),"")</f>
        <v/>
      </c>
      <c r="AO85" s="297" t="str">
        <f t="shared" si="4"/>
        <v/>
      </c>
      <c r="AP85" s="298" t="str">
        <f t="shared" si="60"/>
        <v>Absent</v>
      </c>
      <c r="AQ85" s="260" t="b">
        <f t="shared" si="6"/>
        <v>1</v>
      </c>
      <c r="AR85" s="266">
        <v>94.0</v>
      </c>
      <c r="AS85" s="279"/>
      <c r="AT85" s="279"/>
      <c r="AU85" s="299" t="s">
        <v>603</v>
      </c>
      <c r="AV85" s="292">
        <v>5.0</v>
      </c>
      <c r="AW85" s="286" t="b">
        <v>1</v>
      </c>
      <c r="AX85" s="270" t="b">
        <f t="shared" si="7"/>
        <v>1</v>
      </c>
      <c r="AY85" s="254">
        <f t="shared" si="58"/>
        <v>2</v>
      </c>
      <c r="AZ85" s="307"/>
      <c r="BA85" s="272" t="b">
        <v>1</v>
      </c>
      <c r="BB85" s="245" t="b">
        <f t="shared" si="9"/>
        <v>0</v>
      </c>
      <c r="BC85" s="260" t="str">
        <f t="shared" si="10"/>
        <v/>
      </c>
      <c r="BD85" s="260" t="str">
        <f t="shared" si="11"/>
        <v/>
      </c>
      <c r="BE85" s="273" t="b">
        <f t="shared" si="12"/>
        <v>1</v>
      </c>
      <c r="BF85" s="274" t="str">
        <f t="shared" si="13"/>
        <v/>
      </c>
      <c r="BG85" s="275" t="str">
        <f t="shared" si="14"/>
        <v/>
      </c>
      <c r="BH85" s="96" t="str">
        <f t="shared" si="15"/>
        <v/>
      </c>
      <c r="BI85" s="96" t="str">
        <f t="shared" si="16"/>
        <v/>
      </c>
      <c r="BJ85" s="96" t="str">
        <f t="shared" si="17"/>
        <v/>
      </c>
      <c r="BK85" s="96" t="str">
        <f t="shared" si="18"/>
        <v/>
      </c>
      <c r="BL85" s="10" t="str">
        <f>IFNA(IF(VLOOKUP(FLOOR($B85,1),'APS Tubes by Date IMPORT'!$B$2:$J163,1,FALSE)=FLOOR($BL84,1),IFERROR(0/0,""),VLOOKUP(FLOOR($B85,1),'APS Tubes by Date IMPORT'!$B$2:$J163,1,FALSE)),"")</f>
        <v/>
      </c>
      <c r="BM85" s="96" t="str">
        <f>IF(ISBLANK($BL85),IFERROR(0/0,""),VLOOKUP(FLOOR($B85,1),'APS Tubes by Date IMPORT'!$B$2:$J163,2,FALSE))</f>
        <v/>
      </c>
    </row>
    <row r="86">
      <c r="A86" s="245" t="str">
        <f>CONCATENATE("RUN-",'Process Ref'!$A$1,"_",TEXT(U86,"YYYY-MM-DD"),"_RFR-",TEXT(AR86,"000"),IF(EXACT(W86,"Initial"),"",CONCATENATE("_",W86)))</f>
        <v>RUN-FLMP_2022-03-07_RFR-096</v>
      </c>
      <c r="B86" s="246">
        <v>44627.45795674769</v>
      </c>
      <c r="C86" s="256"/>
      <c r="D86" s="256" t="s">
        <v>442</v>
      </c>
      <c r="E86" s="250">
        <v>26.0</v>
      </c>
      <c r="F86" s="256" t="s">
        <v>816</v>
      </c>
      <c r="G86" s="249" t="s">
        <v>817</v>
      </c>
      <c r="H86" s="249"/>
      <c r="I86" s="249" t="s">
        <v>818</v>
      </c>
      <c r="J86" s="250">
        <v>2.0</v>
      </c>
      <c r="K86" s="251"/>
      <c r="L86" s="248"/>
      <c r="M86" s="252"/>
      <c r="N86" s="252">
        <v>2.1</v>
      </c>
      <c r="O86" s="252" t="s">
        <v>778</v>
      </c>
      <c r="P86" s="254" t="b">
        <v>1</v>
      </c>
      <c r="Q86" s="255" t="b">
        <v>0</v>
      </c>
      <c r="R86" s="256"/>
      <c r="S86" s="254" t="b">
        <v>0</v>
      </c>
      <c r="T86" s="257" t="b">
        <v>0</v>
      </c>
      <c r="U86" s="258">
        <v>44627.0</v>
      </c>
      <c r="V86" s="259">
        <v>0.375</v>
      </c>
      <c r="W86" s="247" t="s">
        <v>447</v>
      </c>
      <c r="X86" s="247" t="s">
        <v>819</v>
      </c>
      <c r="Y86" s="254" t="b">
        <v>0</v>
      </c>
      <c r="Z86" s="248">
        <v>28.0</v>
      </c>
      <c r="AA86" s="260">
        <f t="shared" si="34"/>
        <v>2</v>
      </c>
      <c r="AB86" s="261" t="b">
        <f t="shared" si="2"/>
        <v>0</v>
      </c>
      <c r="AC86" s="248">
        <v>26.0</v>
      </c>
      <c r="AD86" s="248">
        <v>1.0</v>
      </c>
      <c r="AE86" s="248">
        <f t="shared" si="61"/>
        <v>1</v>
      </c>
      <c r="AF86" s="248">
        <v>0.0</v>
      </c>
      <c r="AG86" s="248">
        <v>0.0</v>
      </c>
      <c r="AH86" s="250">
        <f t="shared" si="49"/>
        <v>0</v>
      </c>
      <c r="AI86" s="248">
        <v>0.0</v>
      </c>
      <c r="AJ86" s="250" t="b">
        <v>0</v>
      </c>
      <c r="AK86" s="262">
        <f t="shared" si="59"/>
        <v>26</v>
      </c>
      <c r="AL86" s="248">
        <v>1.1</v>
      </c>
      <c r="AM86" s="248">
        <v>2.0</v>
      </c>
      <c r="AN86" s="263" t="str">
        <f>IFNA(VLOOKUP($A86,'Tube Reactions'!$J$2:$K163,2,FALSE),"")</f>
        <v/>
      </c>
      <c r="AO86" s="264" t="str">
        <f t="shared" si="4"/>
        <v>NOT EQUAL</v>
      </c>
      <c r="AP86" s="265" t="str">
        <f t="shared" si="60"/>
        <v>Absent</v>
      </c>
      <c r="AQ86" s="260" t="b">
        <f t="shared" si="6"/>
        <v>1</v>
      </c>
      <c r="AR86" s="266">
        <v>96.0</v>
      </c>
      <c r="AS86" s="267"/>
      <c r="AT86" s="247"/>
      <c r="AU86" s="268" t="s">
        <v>603</v>
      </c>
      <c r="AV86" s="269">
        <v>28.0</v>
      </c>
      <c r="AW86" s="250" t="b">
        <v>0</v>
      </c>
      <c r="AX86" s="270" t="b">
        <f t="shared" si="7"/>
        <v>1</v>
      </c>
      <c r="AY86" s="250">
        <f t="shared" si="58"/>
        <v>2</v>
      </c>
      <c r="AZ86" s="276"/>
      <c r="BA86" s="272" t="b">
        <v>1</v>
      </c>
      <c r="BB86" s="245" t="b">
        <f t="shared" si="9"/>
        <v>1</v>
      </c>
      <c r="BC86" s="260">
        <f t="shared" si="10"/>
        <v>1.1</v>
      </c>
      <c r="BD86" s="260">
        <f t="shared" si="11"/>
        <v>26</v>
      </c>
      <c r="BE86" s="273" t="b">
        <f t="shared" si="12"/>
        <v>1</v>
      </c>
      <c r="BF86" s="274">
        <f t="shared" si="13"/>
        <v>44627</v>
      </c>
      <c r="BG86" s="275" t="str">
        <f t="shared" si="14"/>
        <v>RUN-FLMP_2022-03-07_RFR-096</v>
      </c>
      <c r="BH86" s="96">
        <f t="shared" si="15"/>
        <v>26</v>
      </c>
      <c r="BI86" s="96">
        <f t="shared" si="16"/>
        <v>26</v>
      </c>
      <c r="BJ86" s="96">
        <f t="shared" si="17"/>
        <v>26</v>
      </c>
      <c r="BK86" s="96">
        <f t="shared" si="18"/>
        <v>1.1</v>
      </c>
      <c r="BL86" s="10">
        <f>IFNA(IF(VLOOKUP(FLOOR($B86,1),'APS Tubes by Date IMPORT'!$B$2:$J163,1,FALSE)=FLOOR($BL85,1),IFERROR(0/0,""),VLOOKUP(FLOOR($B86,1),'APS Tubes by Date IMPORT'!$B$2:$J163,1,FALSE)),"")</f>
        <v>44627</v>
      </c>
      <c r="BM86" s="96">
        <f>IF(ISBLANK($BL86),IFERROR(0/0,""),VLOOKUP(FLOOR($B86,1),'APS Tubes by Date IMPORT'!$B$2:$J163,2,FALSE))</f>
        <v>18</v>
      </c>
    </row>
    <row r="87">
      <c r="A87" s="245" t="str">
        <f>CONCATENATE("RUN-",'Process Ref'!$A$1,"_",TEXT(U87,"YYYY-MM-DD"),"_RFR-",TEXT(AR87,"000"),IF(EXACT(W87,"Initial"),"",CONCATENATE("_",W87)))</f>
        <v>RUN-FLMP_2022-03-07_RFR-097_Re-run</v>
      </c>
      <c r="B87" s="285">
        <v>44627.45795674769</v>
      </c>
      <c r="C87" s="256"/>
      <c r="D87" s="256" t="s">
        <v>442</v>
      </c>
      <c r="E87" s="250"/>
      <c r="F87" s="256" t="s">
        <v>816</v>
      </c>
      <c r="G87" s="249" t="s">
        <v>817</v>
      </c>
      <c r="H87" s="282"/>
      <c r="I87" s="249" t="s">
        <v>820</v>
      </c>
      <c r="J87" s="250"/>
      <c r="K87" s="251"/>
      <c r="L87" s="248"/>
      <c r="M87" s="252"/>
      <c r="N87" s="252"/>
      <c r="O87" s="253"/>
      <c r="P87" s="254" t="b">
        <v>0</v>
      </c>
      <c r="Q87" s="286" t="b">
        <v>0</v>
      </c>
      <c r="R87" s="256"/>
      <c r="S87" s="254" t="b">
        <v>0</v>
      </c>
      <c r="T87" s="287" t="b">
        <v>1</v>
      </c>
      <c r="U87" s="288">
        <v>44627.0</v>
      </c>
      <c r="V87" s="385">
        <v>0.375</v>
      </c>
      <c r="W87" s="290" t="s">
        <v>469</v>
      </c>
      <c r="X87" s="313"/>
      <c r="Y87" s="254" t="b">
        <v>0</v>
      </c>
      <c r="Z87" s="250"/>
      <c r="AA87" s="260">
        <f t="shared" si="34"/>
        <v>0</v>
      </c>
      <c r="AB87" s="293" t="b">
        <f t="shared" si="2"/>
        <v>1</v>
      </c>
      <c r="AC87" s="292">
        <v>6.0</v>
      </c>
      <c r="AD87" s="292">
        <v>0.0</v>
      </c>
      <c r="AE87" s="248">
        <f t="shared" si="61"/>
        <v>0</v>
      </c>
      <c r="AF87" s="292">
        <v>0.0</v>
      </c>
      <c r="AG87" s="292">
        <v>0.0</v>
      </c>
      <c r="AH87" s="250">
        <f t="shared" si="49"/>
        <v>0</v>
      </c>
      <c r="AI87" s="292">
        <v>0.0</v>
      </c>
      <c r="AJ87" s="294" t="b">
        <v>0</v>
      </c>
      <c r="AK87" s="295">
        <f t="shared" si="59"/>
        <v>2</v>
      </c>
      <c r="AL87" s="292">
        <v>0.0</v>
      </c>
      <c r="AM87" s="250"/>
      <c r="AN87" s="296" t="str">
        <f>IFNA(VLOOKUP($A87,'Tube Reactions'!$J$2:$K163,2,FALSE),"")</f>
        <v/>
      </c>
      <c r="AO87" s="297" t="str">
        <f t="shared" si="4"/>
        <v/>
      </c>
      <c r="AP87" s="298" t="str">
        <f>IF(ISTEXT(#REF!),"", "Absent")</f>
        <v>Absent</v>
      </c>
      <c r="AQ87" s="260" t="b">
        <f t="shared" si="6"/>
        <v>1</v>
      </c>
      <c r="AR87" s="266">
        <v>97.0</v>
      </c>
      <c r="AS87" s="279"/>
      <c r="AT87" s="279"/>
      <c r="AU87" s="299" t="s">
        <v>603</v>
      </c>
      <c r="AV87" s="292">
        <v>8.0</v>
      </c>
      <c r="AW87" s="286" t="b">
        <v>1</v>
      </c>
      <c r="AX87" s="270" t="b">
        <f t="shared" si="7"/>
        <v>1</v>
      </c>
      <c r="AY87" s="254">
        <f t="shared" si="58"/>
        <v>2</v>
      </c>
      <c r="AZ87" s="307"/>
      <c r="BA87" s="272" t="b">
        <v>0</v>
      </c>
      <c r="BB87" s="245" t="str">
        <f t="shared" si="9"/>
        <v/>
      </c>
      <c r="BC87" s="260" t="str">
        <f t="shared" si="10"/>
        <v/>
      </c>
      <c r="BD87" s="260" t="str">
        <f t="shared" si="11"/>
        <v/>
      </c>
      <c r="BE87" s="273" t="b">
        <f t="shared" si="12"/>
        <v>1</v>
      </c>
      <c r="BF87" s="274" t="str">
        <f t="shared" si="13"/>
        <v/>
      </c>
      <c r="BG87" s="275" t="str">
        <f t="shared" si="14"/>
        <v/>
      </c>
      <c r="BH87" s="96" t="str">
        <f t="shared" si="15"/>
        <v/>
      </c>
      <c r="BI87" s="96" t="str">
        <f t="shared" si="16"/>
        <v/>
      </c>
      <c r="BJ87" s="96" t="str">
        <f t="shared" si="17"/>
        <v/>
      </c>
      <c r="BK87" s="96" t="str">
        <f t="shared" si="18"/>
        <v/>
      </c>
      <c r="BL87" s="10" t="str">
        <f>IFNA(IF(VLOOKUP(FLOOR($B87,1),'APS Tubes by Date IMPORT'!$B$2:$J163,1,FALSE)=FLOOR($BL86,1),IFERROR(0/0,""),VLOOKUP(FLOOR($B87,1),'APS Tubes by Date IMPORT'!$B$2:$J163,1,FALSE)),"")</f>
        <v/>
      </c>
      <c r="BM87" s="96" t="str">
        <f>IF(ISBLANK($BL87),IFERROR(0/0,""),VLOOKUP(FLOOR($B87,1),'APS Tubes by Date IMPORT'!$B$2:$J163,2,FALSE))</f>
        <v/>
      </c>
    </row>
    <row r="88">
      <c r="A88" s="245" t="str">
        <f>CONCATENATE("RUN-",'Process Ref'!$A$1,"_",TEXT(U88,"YYYY-MM-DD"),"_RFR-",TEXT(AR88,"000"),IF(EXACT(W88,"Initial"),"",CONCATENATE("_",W88)))</f>
        <v>RUN-FLMP_2022-03-10_RFR-098</v>
      </c>
      <c r="B88" s="246">
        <v>44630.43233704861</v>
      </c>
      <c r="C88" s="256"/>
      <c r="D88" s="256" t="s">
        <v>442</v>
      </c>
      <c r="E88" s="250">
        <v>21.0</v>
      </c>
      <c r="F88" s="256" t="s">
        <v>821</v>
      </c>
      <c r="G88" s="249" t="s">
        <v>822</v>
      </c>
      <c r="H88" s="249"/>
      <c r="I88" s="249" t="s">
        <v>823</v>
      </c>
      <c r="J88" s="250"/>
      <c r="K88" s="251"/>
      <c r="L88" s="248"/>
      <c r="M88" s="252">
        <v>1.2</v>
      </c>
      <c r="N88" s="252"/>
      <c r="O88" s="253"/>
      <c r="P88" s="254" t="b">
        <v>0</v>
      </c>
      <c r="Q88" s="255" t="b">
        <v>0</v>
      </c>
      <c r="R88" s="256"/>
      <c r="S88" s="254" t="b">
        <v>0</v>
      </c>
      <c r="T88" s="284" t="b">
        <v>1</v>
      </c>
      <c r="U88" s="258">
        <v>44630.0</v>
      </c>
      <c r="V88" s="259">
        <v>0.375</v>
      </c>
      <c r="W88" s="247" t="s">
        <v>447</v>
      </c>
      <c r="X88" s="256"/>
      <c r="Y88" s="254" t="b">
        <v>0</v>
      </c>
      <c r="Z88" s="250"/>
      <c r="AA88" s="260">
        <f t="shared" si="34"/>
        <v>-21</v>
      </c>
      <c r="AB88" s="261" t="b">
        <f t="shared" si="2"/>
        <v>1</v>
      </c>
      <c r="AC88" s="248">
        <v>21.0</v>
      </c>
      <c r="AD88" s="248">
        <v>0.0</v>
      </c>
      <c r="AE88" s="248">
        <f t="shared" si="61"/>
        <v>0</v>
      </c>
      <c r="AF88" s="248">
        <v>0.0</v>
      </c>
      <c r="AG88" s="248">
        <v>0.0</v>
      </c>
      <c r="AH88" s="250">
        <f t="shared" si="49"/>
        <v>0</v>
      </c>
      <c r="AI88" s="248">
        <v>0.0</v>
      </c>
      <c r="AJ88" s="250" t="b">
        <v>0</v>
      </c>
      <c r="AK88" s="262">
        <f t="shared" si="59"/>
        <v>21</v>
      </c>
      <c r="AL88" s="248">
        <v>0.0</v>
      </c>
      <c r="AM88" s="248">
        <v>0.0</v>
      </c>
      <c r="AN88" s="263" t="str">
        <f>IFNA(VLOOKUP($A88,'Tube Reactions'!$J$2:$K163,2,FALSE),"")</f>
        <v/>
      </c>
      <c r="AO88" s="264" t="str">
        <f t="shared" si="4"/>
        <v/>
      </c>
      <c r="AP88" s="265" t="str">
        <f t="shared" ref="AP88:AP90" si="62">IF(ISTEXT(H88),"", "Absent")</f>
        <v>Absent</v>
      </c>
      <c r="AQ88" s="260" t="b">
        <f t="shared" si="6"/>
        <v>1</v>
      </c>
      <c r="AR88" s="266">
        <v>98.0</v>
      </c>
      <c r="AS88" s="267"/>
      <c r="AT88" s="247"/>
      <c r="AU88" s="268" t="s">
        <v>603</v>
      </c>
      <c r="AV88" s="269">
        <v>23.0</v>
      </c>
      <c r="AW88" s="248" t="b">
        <v>1</v>
      </c>
      <c r="AX88" s="270" t="b">
        <f t="shared" si="7"/>
        <v>1</v>
      </c>
      <c r="AY88" s="250">
        <f t="shared" si="58"/>
        <v>2</v>
      </c>
      <c r="AZ88" s="276"/>
      <c r="BA88" s="272" t="b">
        <v>1</v>
      </c>
      <c r="BB88" s="245" t="b">
        <f t="shared" si="9"/>
        <v>1</v>
      </c>
      <c r="BC88" s="260" t="b">
        <f t="shared" si="10"/>
        <v>1</v>
      </c>
      <c r="BD88" s="260">
        <f t="shared" si="11"/>
        <v>21</v>
      </c>
      <c r="BE88" s="273" t="b">
        <f t="shared" si="12"/>
        <v>1</v>
      </c>
      <c r="BF88" s="274">
        <f t="shared" si="13"/>
        <v>44630</v>
      </c>
      <c r="BG88" s="275" t="str">
        <f t="shared" si="14"/>
        <v>RUN-FLMP_2022-03-10_RFR-098</v>
      </c>
      <c r="BH88" s="96">
        <f t="shared" si="15"/>
        <v>21</v>
      </c>
      <c r="BI88" s="96">
        <f t="shared" si="16"/>
        <v>21</v>
      </c>
      <c r="BJ88" s="96">
        <f t="shared" si="17"/>
        <v>21</v>
      </c>
      <c r="BK88" s="96">
        <f t="shared" si="18"/>
        <v>0</v>
      </c>
      <c r="BL88" s="10">
        <f>IFNA(IF(VLOOKUP(FLOOR($B88,1),'APS Tubes by Date IMPORT'!$B$2:$J163,1,FALSE)=FLOOR($BL87,1),IFERROR(0/0,""),VLOOKUP(FLOOR($B88,1),'APS Tubes by Date IMPORT'!$B$2:$J163,1,FALSE)),"")</f>
        <v>44630</v>
      </c>
      <c r="BM88" s="96">
        <f>IF(ISBLANK($BL88),IFERROR(0/0,""),VLOOKUP(FLOOR($B88,1),'APS Tubes by Date IMPORT'!$B$2:$J163,2,FALSE))</f>
        <v>19</v>
      </c>
    </row>
    <row r="89">
      <c r="A89" s="245" t="str">
        <f>CONCATENATE("RUN-",'Process Ref'!$A$1,"_",TEXT(U89,"YYYY-MM-DD"),"_RFR-",TEXT(AR89,"000"),IF(EXACT(W89,"Initial"),"",CONCATENATE("_",W89)))</f>
        <v>RUN-FLMP_2022-03-12_RFR-099</v>
      </c>
      <c r="B89" s="246">
        <v>44632.50677025463</v>
      </c>
      <c r="C89" s="256"/>
      <c r="D89" s="256" t="s">
        <v>620</v>
      </c>
      <c r="E89" s="250">
        <v>5.0</v>
      </c>
      <c r="F89" s="256" t="s">
        <v>824</v>
      </c>
      <c r="G89" s="249" t="s">
        <v>825</v>
      </c>
      <c r="H89" s="249"/>
      <c r="I89" s="383" t="s">
        <v>826</v>
      </c>
      <c r="J89" s="250"/>
      <c r="K89" s="251" t="s">
        <v>827</v>
      </c>
      <c r="L89" s="248"/>
      <c r="M89" s="252">
        <v>1.9</v>
      </c>
      <c r="N89" s="252"/>
      <c r="O89" s="252"/>
      <c r="P89" s="254" t="b">
        <v>0</v>
      </c>
      <c r="Q89" s="255" t="b">
        <v>0</v>
      </c>
      <c r="R89" s="256"/>
      <c r="S89" s="255" t="b">
        <v>1</v>
      </c>
      <c r="T89" s="257" t="b">
        <v>0</v>
      </c>
      <c r="U89" s="258">
        <v>44632.0</v>
      </c>
      <c r="V89" s="259">
        <v>0.4583333333333333</v>
      </c>
      <c r="W89" s="247" t="s">
        <v>447</v>
      </c>
      <c r="X89" s="256"/>
      <c r="Y89" s="254" t="b">
        <v>0</v>
      </c>
      <c r="Z89" s="248">
        <v>7.0</v>
      </c>
      <c r="AA89" s="260">
        <f t="shared" si="34"/>
        <v>2</v>
      </c>
      <c r="AB89" s="261" t="b">
        <f t="shared" si="2"/>
        <v>0</v>
      </c>
      <c r="AC89" s="292">
        <v>5.0</v>
      </c>
      <c r="AD89" s="292">
        <v>0.0</v>
      </c>
      <c r="AE89" s="292">
        <v>0.0</v>
      </c>
      <c r="AF89" s="292">
        <v>0.0</v>
      </c>
      <c r="AG89" s="292">
        <v>0.0</v>
      </c>
      <c r="AH89" s="292">
        <v>0.0</v>
      </c>
      <c r="AI89" s="292">
        <v>0.0</v>
      </c>
      <c r="AJ89" s="250" t="b">
        <v>0</v>
      </c>
      <c r="AK89" s="278">
        <v>5.0</v>
      </c>
      <c r="AL89" s="250"/>
      <c r="AM89" s="250"/>
      <c r="AN89" s="260" t="str">
        <f>IFNA(VLOOKUP($A89,'Tube Reactions'!$J$2:$K163,2,FALSE),"")</f>
        <v/>
      </c>
      <c r="AO89" s="245" t="str">
        <f t="shared" si="4"/>
        <v/>
      </c>
      <c r="AP89" s="265" t="str">
        <f t="shared" si="62"/>
        <v>Absent</v>
      </c>
      <c r="AQ89" s="260" t="b">
        <f t="shared" si="6"/>
        <v>1</v>
      </c>
      <c r="AR89" s="266">
        <v>99.0</v>
      </c>
      <c r="AS89" s="279" t="s">
        <v>828</v>
      </c>
      <c r="AT89" s="247"/>
      <c r="AU89" s="268" t="s">
        <v>603</v>
      </c>
      <c r="AV89" s="294"/>
      <c r="AW89" s="250" t="b">
        <v>0</v>
      </c>
      <c r="AX89" s="270" t="b">
        <f t="shared" si="7"/>
        <v>0</v>
      </c>
      <c r="AY89" s="250"/>
      <c r="AZ89" s="276"/>
      <c r="BA89" s="272" t="b">
        <v>1</v>
      </c>
      <c r="BB89" s="245" t="b">
        <f t="shared" si="9"/>
        <v>1</v>
      </c>
      <c r="BC89" s="260" t="b">
        <f t="shared" si="10"/>
        <v>1</v>
      </c>
      <c r="BD89" s="260">
        <f t="shared" si="11"/>
        <v>5</v>
      </c>
      <c r="BE89" s="273" t="b">
        <f t="shared" si="12"/>
        <v>1</v>
      </c>
      <c r="BF89" s="274">
        <f t="shared" si="13"/>
        <v>44632</v>
      </c>
      <c r="BG89" s="275" t="str">
        <f t="shared" si="14"/>
        <v>RUN-FLMP_2022-03-12_RFR-099</v>
      </c>
      <c r="BH89" s="96">
        <f t="shared" si="15"/>
        <v>5</v>
      </c>
      <c r="BI89" s="96">
        <f t="shared" si="16"/>
        <v>5</v>
      </c>
      <c r="BJ89" s="96">
        <f t="shared" si="17"/>
        <v>5</v>
      </c>
      <c r="BK89" s="96" t="str">
        <f t="shared" si="18"/>
        <v/>
      </c>
      <c r="BL89" s="10">
        <f>IFNA(IF(VLOOKUP(FLOOR($B89,1),'APS Tubes by Date IMPORT'!$B$2:$J163,1,FALSE)=FLOOR($BL88,1),IFERROR(0/0,""),VLOOKUP(FLOOR($B89,1),'APS Tubes by Date IMPORT'!$B$2:$J163,1,FALSE)),"")</f>
        <v>44632</v>
      </c>
      <c r="BM89" s="96">
        <f>IF(ISBLANK($BL89),IFERROR(0/0,""),VLOOKUP(FLOOR($B89,1),'APS Tubes by Date IMPORT'!$B$2:$J163,2,FALSE))</f>
        <v>2</v>
      </c>
    </row>
    <row r="90">
      <c r="A90" s="245" t="str">
        <f>CONCATENATE("RUN-",'Process Ref'!$A$1,"_",TEXT(U90,"YYYY-MM-DD"),"_RFR-",TEXT(AR90,"000"),IF(EXACT(W90,"Initial"),"",CONCATENATE("_",W90)))</f>
        <v>RUN-FLMP_2022-03-14_RFR-100</v>
      </c>
      <c r="B90" s="246">
        <v>44634.457407546295</v>
      </c>
      <c r="C90" s="256"/>
      <c r="D90" s="256" t="s">
        <v>442</v>
      </c>
      <c r="E90" s="250">
        <v>25.0</v>
      </c>
      <c r="F90" s="256" t="s">
        <v>829</v>
      </c>
      <c r="G90" s="249" t="s">
        <v>830</v>
      </c>
      <c r="H90" s="249"/>
      <c r="I90" s="249" t="s">
        <v>831</v>
      </c>
      <c r="J90" s="250">
        <v>1.0</v>
      </c>
      <c r="K90" s="251"/>
      <c r="L90" s="248"/>
      <c r="M90" s="252"/>
      <c r="N90" s="252"/>
      <c r="O90" s="253"/>
      <c r="P90" s="254" t="b">
        <v>0</v>
      </c>
      <c r="Q90" s="255" t="b">
        <v>0</v>
      </c>
      <c r="R90" s="256"/>
      <c r="S90" s="254" t="b">
        <v>0</v>
      </c>
      <c r="T90" s="284" t="b">
        <v>1</v>
      </c>
      <c r="U90" s="258">
        <v>44634.0</v>
      </c>
      <c r="V90" s="259">
        <v>0.3819444444444444</v>
      </c>
      <c r="W90" s="247" t="s">
        <v>447</v>
      </c>
      <c r="X90" s="247" t="s">
        <v>832</v>
      </c>
      <c r="Y90" s="254" t="b">
        <v>0</v>
      </c>
      <c r="Z90" s="248">
        <v>27.0</v>
      </c>
      <c r="AA90" s="260">
        <f t="shared" si="34"/>
        <v>2</v>
      </c>
      <c r="AB90" s="261" t="b">
        <f t="shared" si="2"/>
        <v>0</v>
      </c>
      <c r="AC90" s="248">
        <v>25.0</v>
      </c>
      <c r="AD90" s="248">
        <v>1.0</v>
      </c>
      <c r="AE90" s="248">
        <f t="shared" ref="AE90:AE103" si="63">IF(W90="Initial",AD90,(IF(AJ90=TRUE,"CORRECT ME",AD90/3)))</f>
        <v>1</v>
      </c>
      <c r="AF90" s="248">
        <v>0.0</v>
      </c>
      <c r="AG90" s="248">
        <v>0.0</v>
      </c>
      <c r="AH90" s="250">
        <f t="shared" ref="AH90:AH103" si="64">IF(W90="Initial",AG90,(IF(AJ90=TRUE,"CORRECT ME",AG90/3)))</f>
        <v>0</v>
      </c>
      <c r="AI90" s="248">
        <v>0.0</v>
      </c>
      <c r="AJ90" s="250" t="b">
        <v>0</v>
      </c>
      <c r="AK90" s="262">
        <f t="shared" ref="AK90:AK92" si="65">IF(W90="Initial",AC90,IF(AJ90=TRUE,"CORRECT ME",AC90/3))</f>
        <v>25</v>
      </c>
      <c r="AL90" s="248">
        <v>1.1</v>
      </c>
      <c r="AM90" s="248">
        <v>1.0</v>
      </c>
      <c r="AN90" s="263" t="str">
        <f>IFNA(VLOOKUP($A90,'Tube Reactions'!$J$2:$K163,2,FALSE),"")</f>
        <v/>
      </c>
      <c r="AO90" s="264" t="str">
        <f t="shared" si="4"/>
        <v>NOT EQUAL</v>
      </c>
      <c r="AP90" s="265" t="str">
        <f t="shared" si="62"/>
        <v>Absent</v>
      </c>
      <c r="AQ90" s="260" t="b">
        <f t="shared" si="6"/>
        <v>1</v>
      </c>
      <c r="AR90" s="266">
        <v>100.0</v>
      </c>
      <c r="AS90" s="267"/>
      <c r="AT90" s="247"/>
      <c r="AU90" s="268" t="s">
        <v>603</v>
      </c>
      <c r="AV90" s="248">
        <v>27.0</v>
      </c>
      <c r="AW90" s="256" t="b">
        <v>0</v>
      </c>
      <c r="AX90" s="270" t="b">
        <f t="shared" si="7"/>
        <v>1</v>
      </c>
      <c r="AY90" s="250">
        <f t="shared" ref="AY90:AY153" si="66">AV90-AC90</f>
        <v>2</v>
      </c>
      <c r="AZ90" s="276"/>
      <c r="BA90" s="272" t="b">
        <v>1</v>
      </c>
      <c r="BB90" s="245" t="b">
        <f t="shared" si="9"/>
        <v>1</v>
      </c>
      <c r="BC90" s="260">
        <f t="shared" si="10"/>
        <v>1.1</v>
      </c>
      <c r="BD90" s="260">
        <f t="shared" si="11"/>
        <v>25</v>
      </c>
      <c r="BE90" s="273" t="b">
        <f t="shared" si="12"/>
        <v>1</v>
      </c>
      <c r="BF90" s="274">
        <f t="shared" si="13"/>
        <v>44634</v>
      </c>
      <c r="BG90" s="275" t="str">
        <f t="shared" si="14"/>
        <v>RUN-FLMP_2022-03-14_RFR-100</v>
      </c>
      <c r="BH90" s="96">
        <f t="shared" si="15"/>
        <v>25</v>
      </c>
      <c r="BI90" s="96">
        <f t="shared" si="16"/>
        <v>25</v>
      </c>
      <c r="BJ90" s="96">
        <f t="shared" si="17"/>
        <v>25</v>
      </c>
      <c r="BK90" s="96">
        <f t="shared" si="18"/>
        <v>1.1</v>
      </c>
      <c r="BL90" s="10">
        <f>IFNA(IF(VLOOKUP(FLOOR($B90,1),'APS Tubes by Date IMPORT'!$B$2:$J163,1,FALSE)=FLOOR($BL89,1),IFERROR(0/0,""),VLOOKUP(FLOOR($B90,1),'APS Tubes by Date IMPORT'!$B$2:$J163,1,FALSE)),"")</f>
        <v>44634</v>
      </c>
      <c r="BM90" s="96">
        <f>IF(ISBLANK($BL90),IFERROR(0/0,""),VLOOKUP(FLOOR($B90,1),'APS Tubes by Date IMPORT'!$B$2:$J163,2,FALSE))</f>
        <v>18</v>
      </c>
    </row>
    <row r="91">
      <c r="A91" s="245" t="str">
        <f>CONCATENATE("RUN-",'Process Ref'!$A$1,"_",TEXT(U91,"YYYY-MM-DD"),"_RFR-",TEXT(AR91,"000"),IF(EXACT(W91,"Initial"),"",CONCATENATE("_",W91)))</f>
        <v>RUN-FLMP_2022-03-14_RFR-101_Re-run</v>
      </c>
      <c r="B91" s="285">
        <v>44634.457407546295</v>
      </c>
      <c r="C91" s="256"/>
      <c r="D91" s="256" t="s">
        <v>442</v>
      </c>
      <c r="E91" s="250"/>
      <c r="F91" s="256" t="s">
        <v>829</v>
      </c>
      <c r="G91" s="249" t="s">
        <v>830</v>
      </c>
      <c r="H91" s="282"/>
      <c r="I91" s="249" t="s">
        <v>833</v>
      </c>
      <c r="J91" s="250">
        <v>1.0</v>
      </c>
      <c r="K91" s="251"/>
      <c r="L91" s="248"/>
      <c r="M91" s="252"/>
      <c r="N91" s="252"/>
      <c r="O91" s="253"/>
      <c r="P91" s="254" t="b">
        <v>0</v>
      </c>
      <c r="Q91" s="286" t="b">
        <v>0</v>
      </c>
      <c r="R91" s="256"/>
      <c r="S91" s="286" t="b">
        <v>1</v>
      </c>
      <c r="T91" s="287" t="b">
        <v>1</v>
      </c>
      <c r="U91" s="288">
        <v>44634.0</v>
      </c>
      <c r="V91" s="385">
        <v>0.375</v>
      </c>
      <c r="W91" s="290" t="s">
        <v>469</v>
      </c>
      <c r="X91" s="313"/>
      <c r="Y91" s="254" t="b">
        <v>0</v>
      </c>
      <c r="Z91" s="250"/>
      <c r="AA91" s="260">
        <f t="shared" si="34"/>
        <v>0</v>
      </c>
      <c r="AB91" s="293" t="b">
        <f t="shared" si="2"/>
        <v>1</v>
      </c>
      <c r="AC91" s="292">
        <v>3.0</v>
      </c>
      <c r="AD91" s="292">
        <v>0.0</v>
      </c>
      <c r="AE91" s="248">
        <f t="shared" si="63"/>
        <v>0</v>
      </c>
      <c r="AF91" s="292">
        <v>0.0</v>
      </c>
      <c r="AG91" s="292">
        <v>0.0</v>
      </c>
      <c r="AH91" s="250">
        <f t="shared" si="64"/>
        <v>0</v>
      </c>
      <c r="AI91" s="292">
        <v>0.0</v>
      </c>
      <c r="AJ91" s="294" t="b">
        <v>0</v>
      </c>
      <c r="AK91" s="295">
        <f t="shared" si="65"/>
        <v>1</v>
      </c>
      <c r="AL91" s="292">
        <v>0.0</v>
      </c>
      <c r="AM91" s="250"/>
      <c r="AN91" s="296" t="str">
        <f>IFNA(VLOOKUP($A91,'Tube Reactions'!$J$2:$K163,2,FALSE),"")</f>
        <v/>
      </c>
      <c r="AO91" s="297" t="str">
        <f t="shared" si="4"/>
        <v/>
      </c>
      <c r="AP91" s="298" t="str">
        <f>IF(ISTEXT(#REF!),"", "Absent")</f>
        <v>Absent</v>
      </c>
      <c r="AQ91" s="260" t="b">
        <f t="shared" si="6"/>
        <v>1</v>
      </c>
      <c r="AR91" s="266">
        <v>101.0</v>
      </c>
      <c r="AS91" s="279"/>
      <c r="AT91" s="279"/>
      <c r="AU91" s="299" t="s">
        <v>603</v>
      </c>
      <c r="AV91" s="292">
        <v>5.0</v>
      </c>
      <c r="AW91" s="286" t="b">
        <v>1</v>
      </c>
      <c r="AX91" s="270" t="b">
        <f t="shared" si="7"/>
        <v>1</v>
      </c>
      <c r="AY91" s="254">
        <f t="shared" si="66"/>
        <v>2</v>
      </c>
      <c r="AZ91" s="307"/>
      <c r="BA91" s="272" t="b">
        <v>0</v>
      </c>
      <c r="BB91" s="245" t="str">
        <f t="shared" si="9"/>
        <v/>
      </c>
      <c r="BC91" s="260" t="str">
        <f t="shared" si="10"/>
        <v/>
      </c>
      <c r="BD91" s="260" t="str">
        <f t="shared" si="11"/>
        <v/>
      </c>
      <c r="BE91" s="273" t="b">
        <f t="shared" si="12"/>
        <v>1</v>
      </c>
      <c r="BF91" s="274" t="str">
        <f t="shared" si="13"/>
        <v/>
      </c>
      <c r="BG91" s="275" t="str">
        <f t="shared" si="14"/>
        <v/>
      </c>
      <c r="BH91" s="96" t="str">
        <f t="shared" si="15"/>
        <v/>
      </c>
      <c r="BI91" s="96" t="str">
        <f t="shared" si="16"/>
        <v/>
      </c>
      <c r="BJ91" s="96" t="str">
        <f t="shared" si="17"/>
        <v/>
      </c>
      <c r="BK91" s="96" t="str">
        <f t="shared" si="18"/>
        <v/>
      </c>
      <c r="BL91" s="10" t="str">
        <f>IFNA(IF(VLOOKUP(FLOOR($B91,1),'APS Tubes by Date IMPORT'!$B$2:$J163,1,FALSE)=FLOOR($BL90,1),IFERROR(0/0,""),VLOOKUP(FLOOR($B91,1),'APS Tubes by Date IMPORT'!$B$2:$J163,1,FALSE)),"")</f>
        <v/>
      </c>
      <c r="BM91" s="96" t="str">
        <f>IF(ISBLANK($BL91),IFERROR(0/0,""),VLOOKUP(FLOOR($B91,1),'APS Tubes by Date IMPORT'!$B$2:$J163,2,FALSE))</f>
        <v/>
      </c>
    </row>
    <row r="92">
      <c r="A92" s="245" t="str">
        <f>CONCATENATE("RUN-",'Process Ref'!$A$1,"_",TEXT(U92,"YYYY-MM-DD"),"_RFR-",TEXT(AR92,"000"),IF(EXACT(W92,"Initial"),"",CONCATENATE("_",W92)))</f>
        <v>RUN-FLMP_2022-03-17_RFR-102</v>
      </c>
      <c r="B92" s="246">
        <v>44637.428775520835</v>
      </c>
      <c r="C92" s="256"/>
      <c r="D92" s="256" t="s">
        <v>442</v>
      </c>
      <c r="E92" s="250">
        <v>19.0</v>
      </c>
      <c r="F92" s="256" t="s">
        <v>834</v>
      </c>
      <c r="G92" s="249" t="s">
        <v>835</v>
      </c>
      <c r="H92" s="249"/>
      <c r="I92" s="249" t="s">
        <v>836</v>
      </c>
      <c r="J92" s="250"/>
      <c r="K92" s="251"/>
      <c r="L92" s="248"/>
      <c r="M92" s="252">
        <v>1.1</v>
      </c>
      <c r="N92" s="252"/>
      <c r="O92" s="253"/>
      <c r="P92" s="254" t="b">
        <v>0</v>
      </c>
      <c r="Q92" s="255" t="b">
        <v>0</v>
      </c>
      <c r="R92" s="256"/>
      <c r="S92" s="254" t="b">
        <v>0</v>
      </c>
      <c r="T92" s="257" t="b">
        <v>0</v>
      </c>
      <c r="U92" s="258">
        <v>44637.0</v>
      </c>
      <c r="V92" s="259">
        <v>0.375</v>
      </c>
      <c r="W92" s="247" t="s">
        <v>447</v>
      </c>
      <c r="X92" s="256"/>
      <c r="Y92" s="255" t="b">
        <v>1</v>
      </c>
      <c r="Z92" s="248">
        <v>19.0</v>
      </c>
      <c r="AA92" s="260">
        <f t="shared" si="34"/>
        <v>0</v>
      </c>
      <c r="AB92" s="261" t="b">
        <f t="shared" si="2"/>
        <v>1</v>
      </c>
      <c r="AC92" s="248">
        <v>17.0</v>
      </c>
      <c r="AD92" s="248">
        <v>0.0</v>
      </c>
      <c r="AE92" s="248">
        <f t="shared" si="63"/>
        <v>0</v>
      </c>
      <c r="AF92" s="248">
        <v>0.0</v>
      </c>
      <c r="AG92" s="248">
        <v>0.0</v>
      </c>
      <c r="AH92" s="250">
        <f t="shared" si="64"/>
        <v>0</v>
      </c>
      <c r="AI92" s="248">
        <v>0.0</v>
      </c>
      <c r="AJ92" s="250" t="b">
        <v>0</v>
      </c>
      <c r="AK92" s="262">
        <f t="shared" si="65"/>
        <v>17</v>
      </c>
      <c r="AL92" s="248">
        <v>0.0</v>
      </c>
      <c r="AM92" s="248">
        <v>0.0</v>
      </c>
      <c r="AN92" s="263" t="str">
        <f>IFNA(VLOOKUP($A92,'Tube Reactions'!$J$2:$K163,2,FALSE),"")</f>
        <v/>
      </c>
      <c r="AO92" s="264" t="str">
        <f t="shared" si="4"/>
        <v/>
      </c>
      <c r="AP92" s="265" t="str">
        <f t="shared" ref="AP92:AP97" si="67">IF(ISTEXT(H92),"", "Absent")</f>
        <v>Absent</v>
      </c>
      <c r="AQ92" s="260" t="b">
        <f t="shared" si="6"/>
        <v>1</v>
      </c>
      <c r="AR92" s="266">
        <v>102.0</v>
      </c>
      <c r="AS92" s="267"/>
      <c r="AT92" s="247"/>
      <c r="AU92" s="268" t="s">
        <v>603</v>
      </c>
      <c r="AV92" s="269">
        <v>19.0</v>
      </c>
      <c r="AW92" s="248" t="b">
        <v>1</v>
      </c>
      <c r="AX92" s="270" t="b">
        <f t="shared" si="7"/>
        <v>1</v>
      </c>
      <c r="AY92" s="250">
        <f t="shared" si="66"/>
        <v>2</v>
      </c>
      <c r="AZ92" s="276"/>
      <c r="BA92" s="272" t="b">
        <v>1</v>
      </c>
      <c r="BB92" s="245" t="b">
        <f t="shared" si="9"/>
        <v>1</v>
      </c>
      <c r="BC92" s="260" t="b">
        <f t="shared" si="10"/>
        <v>1</v>
      </c>
      <c r="BD92" s="260">
        <f t="shared" si="11"/>
        <v>17</v>
      </c>
      <c r="BE92" s="273" t="b">
        <f t="shared" si="12"/>
        <v>1</v>
      </c>
      <c r="BF92" s="274">
        <f t="shared" si="13"/>
        <v>44637</v>
      </c>
      <c r="BG92" s="275" t="str">
        <f t="shared" si="14"/>
        <v>RUN-FLMP_2022-03-17_RFR-102</v>
      </c>
      <c r="BH92" s="96">
        <f t="shared" si="15"/>
        <v>19</v>
      </c>
      <c r="BI92" s="96">
        <f t="shared" si="16"/>
        <v>17</v>
      </c>
      <c r="BJ92" s="96">
        <f t="shared" si="17"/>
        <v>17</v>
      </c>
      <c r="BK92" s="96">
        <f t="shared" si="18"/>
        <v>0</v>
      </c>
      <c r="BL92" s="10">
        <f>IFNA(IF(VLOOKUP(FLOOR($B92,1),'APS Tubes by Date IMPORT'!$B$2:$J163,1,FALSE)=FLOOR($BL91,1),IFERROR(0/0,""),VLOOKUP(FLOOR($B92,1),'APS Tubes by Date IMPORT'!$B$2:$J163,1,FALSE)),"")</f>
        <v>44637</v>
      </c>
      <c r="BM92" s="96">
        <f>IF(ISBLANK($BL92),IFERROR(0/0,""),VLOOKUP(FLOOR($B92,1),'APS Tubes by Date IMPORT'!$B$2:$J163,2,FALSE))</f>
        <v>14</v>
      </c>
    </row>
    <row r="93">
      <c r="A93" s="245" t="str">
        <f>CONCATENATE("RUN-",'Process Ref'!$A$1,"_",TEXT(U93,"YYYY-MM-DD"),"_RFR-",TEXT(AR93,"000"),IF(EXACT(W93,"Initial"),"",CONCATENATE("_",W93)))</f>
        <v>RUN-FLMP_2022-03-22_RFR-103</v>
      </c>
      <c r="B93" s="246">
        <v>44642.473001342594</v>
      </c>
      <c r="C93" s="256"/>
      <c r="D93" s="256" t="s">
        <v>442</v>
      </c>
      <c r="E93" s="250">
        <v>1.0</v>
      </c>
      <c r="F93" s="256"/>
      <c r="G93" s="249" t="s">
        <v>837</v>
      </c>
      <c r="H93" s="249"/>
      <c r="I93" s="249" t="s">
        <v>838</v>
      </c>
      <c r="J93" s="250">
        <v>1.0</v>
      </c>
      <c r="K93" s="251" t="s">
        <v>839</v>
      </c>
      <c r="L93" s="248"/>
      <c r="M93" s="252"/>
      <c r="N93" s="252"/>
      <c r="O93" s="253"/>
      <c r="P93" s="254" t="b">
        <v>0</v>
      </c>
      <c r="Q93" s="255" t="b">
        <v>0</v>
      </c>
      <c r="R93" s="256"/>
      <c r="S93" s="254" t="b">
        <v>0</v>
      </c>
      <c r="T93" s="257" t="b">
        <v>0</v>
      </c>
      <c r="U93" s="258">
        <v>44642.0</v>
      </c>
      <c r="V93" s="259">
        <v>0.3958333333333333</v>
      </c>
      <c r="W93" s="247" t="s">
        <v>447</v>
      </c>
      <c r="X93" s="256"/>
      <c r="Y93" s="255" t="b">
        <v>1</v>
      </c>
      <c r="Z93" s="248">
        <v>5.0</v>
      </c>
      <c r="AA93" s="260">
        <f t="shared" si="34"/>
        <v>4</v>
      </c>
      <c r="AB93" s="261" t="b">
        <f t="shared" si="2"/>
        <v>1</v>
      </c>
      <c r="AC93" s="248">
        <v>3.0</v>
      </c>
      <c r="AD93" s="248">
        <v>1.0</v>
      </c>
      <c r="AE93" s="248">
        <f t="shared" si="63"/>
        <v>1</v>
      </c>
      <c r="AF93" s="248">
        <v>0.0</v>
      </c>
      <c r="AG93" s="248">
        <v>0.0</v>
      </c>
      <c r="AH93" s="250">
        <f t="shared" si="64"/>
        <v>0</v>
      </c>
      <c r="AI93" s="248">
        <v>0.0</v>
      </c>
      <c r="AJ93" s="250" t="b">
        <v>0</v>
      </c>
      <c r="AK93" s="314">
        <v>1.0</v>
      </c>
      <c r="AL93" s="248">
        <v>1.4</v>
      </c>
      <c r="AM93" s="248">
        <v>1.0</v>
      </c>
      <c r="AN93" s="263" t="str">
        <f>IFNA(VLOOKUP($A93,'Tube Reactions'!$J$2:$K163,2,FALSE),"")</f>
        <v/>
      </c>
      <c r="AO93" s="264" t="str">
        <f t="shared" si="4"/>
        <v>NOT EQUAL</v>
      </c>
      <c r="AP93" s="265" t="str">
        <f t="shared" si="67"/>
        <v>Absent</v>
      </c>
      <c r="AQ93" s="260" t="b">
        <f t="shared" si="6"/>
        <v>1</v>
      </c>
      <c r="AR93" s="266">
        <v>103.0</v>
      </c>
      <c r="AS93" s="267" t="s">
        <v>840</v>
      </c>
      <c r="AT93" s="247"/>
      <c r="AU93" s="268" t="s">
        <v>638</v>
      </c>
      <c r="AV93" s="269">
        <v>5.0</v>
      </c>
      <c r="AW93" s="250" t="b">
        <v>0</v>
      </c>
      <c r="AX93" s="270" t="b">
        <f t="shared" si="7"/>
        <v>1</v>
      </c>
      <c r="AY93" s="250">
        <f t="shared" si="66"/>
        <v>2</v>
      </c>
      <c r="AZ93" s="276"/>
      <c r="BA93" s="272" t="b">
        <v>1</v>
      </c>
      <c r="BB93" s="245" t="b">
        <f t="shared" si="9"/>
        <v>1</v>
      </c>
      <c r="BC93" s="260">
        <f t="shared" si="10"/>
        <v>1.4</v>
      </c>
      <c r="BD93" s="260">
        <f t="shared" si="11"/>
        <v>1</v>
      </c>
      <c r="BE93" s="273" t="b">
        <f t="shared" si="12"/>
        <v>1</v>
      </c>
      <c r="BF93" s="274">
        <f t="shared" si="13"/>
        <v>44642</v>
      </c>
      <c r="BG93" s="275" t="str">
        <f t="shared" si="14"/>
        <v>RUN-FLMP_2022-03-22_RFR-103</v>
      </c>
      <c r="BH93" s="96">
        <f t="shared" si="15"/>
        <v>1</v>
      </c>
      <c r="BI93" s="96">
        <f t="shared" si="16"/>
        <v>3</v>
      </c>
      <c r="BJ93" s="96">
        <f t="shared" si="17"/>
        <v>1</v>
      </c>
      <c r="BK93" s="96">
        <f t="shared" si="18"/>
        <v>1.4</v>
      </c>
      <c r="BL93" s="10">
        <f>IFNA(IF(VLOOKUP(FLOOR($B93,1),'APS Tubes by Date IMPORT'!$B$2:$J163,1,FALSE)=FLOOR($BL92,1),IFERROR(0/0,""),VLOOKUP(FLOOR($B93,1),'APS Tubes by Date IMPORT'!$B$2:$J163,1,FALSE)),"")</f>
        <v>44642</v>
      </c>
      <c r="BM93" s="96">
        <f>IF(ISBLANK($BL93),IFERROR(0/0,""),VLOOKUP(FLOOR($B93,1),'APS Tubes by Date IMPORT'!$B$2:$J163,2,FALSE))</f>
        <v>1</v>
      </c>
    </row>
    <row r="94">
      <c r="A94" s="245" t="str">
        <f>CONCATENATE("RUN-",'Process Ref'!$A$1,"_",TEXT(U94,"YYYY-MM-DD"),"_RFR-",TEXT(AR94,"000"),IF(EXACT(W94,"Initial"),"",CONCATENATE("_",W94)))</f>
        <v>RUN-FLMP_2022-04-02_RFR-104</v>
      </c>
      <c r="B94" s="246">
        <v>44653.58622331018</v>
      </c>
      <c r="C94" s="256"/>
      <c r="D94" s="256" t="s">
        <v>841</v>
      </c>
      <c r="E94" s="250">
        <v>4.0</v>
      </c>
      <c r="F94" s="256" t="s">
        <v>842</v>
      </c>
      <c r="G94" s="249" t="s">
        <v>843</v>
      </c>
      <c r="H94" s="249"/>
      <c r="I94" s="249" t="s">
        <v>844</v>
      </c>
      <c r="J94" s="250"/>
      <c r="K94" s="251" t="s">
        <v>845</v>
      </c>
      <c r="L94" s="248"/>
      <c r="M94" s="252"/>
      <c r="N94" s="252"/>
      <c r="O94" s="253"/>
      <c r="P94" s="254" t="b">
        <v>0</v>
      </c>
      <c r="Q94" s="255" t="b">
        <v>0</v>
      </c>
      <c r="R94" s="256"/>
      <c r="S94" s="254" t="b">
        <v>0</v>
      </c>
      <c r="T94" s="257" t="b">
        <v>0</v>
      </c>
      <c r="U94" s="258">
        <v>44653.0</v>
      </c>
      <c r="V94" s="259">
        <v>0.5416666666666666</v>
      </c>
      <c r="W94" s="247" t="s">
        <v>447</v>
      </c>
      <c r="X94" s="256"/>
      <c r="Y94" s="254" t="b">
        <v>0</v>
      </c>
      <c r="Z94" s="248">
        <v>6.0</v>
      </c>
      <c r="AA94" s="260">
        <f t="shared" si="34"/>
        <v>2</v>
      </c>
      <c r="AB94" s="261" t="b">
        <f t="shared" si="2"/>
        <v>0</v>
      </c>
      <c r="AC94" s="248">
        <v>4.0</v>
      </c>
      <c r="AD94" s="248">
        <v>0.0</v>
      </c>
      <c r="AE94" s="248">
        <f t="shared" si="63"/>
        <v>0</v>
      </c>
      <c r="AF94" s="248">
        <v>0.0</v>
      </c>
      <c r="AG94" s="248">
        <v>0.0</v>
      </c>
      <c r="AH94" s="250">
        <f t="shared" si="64"/>
        <v>0</v>
      </c>
      <c r="AI94" s="248">
        <v>0.0</v>
      </c>
      <c r="AJ94" s="250" t="b">
        <v>0</v>
      </c>
      <c r="AK94" s="262">
        <f>IF(W94="Initial",AC94,IF(AJ94=TRUE,"CORRECT ME",AC94/3))</f>
        <v>4</v>
      </c>
      <c r="AL94" s="248">
        <v>0.0</v>
      </c>
      <c r="AM94" s="248">
        <v>0.0</v>
      </c>
      <c r="AN94" s="263" t="str">
        <f>IFNA(VLOOKUP($A94,'Tube Reactions'!$J$2:$K163,2,FALSE),"")</f>
        <v/>
      </c>
      <c r="AO94" s="264" t="str">
        <f t="shared" si="4"/>
        <v/>
      </c>
      <c r="AP94" s="265" t="str">
        <f t="shared" si="67"/>
        <v>Absent</v>
      </c>
      <c r="AQ94" s="260" t="b">
        <f t="shared" si="6"/>
        <v>1</v>
      </c>
      <c r="AR94" s="266">
        <v>104.0</v>
      </c>
      <c r="AS94" s="267"/>
      <c r="AT94" s="247"/>
      <c r="AU94" s="268" t="s">
        <v>603</v>
      </c>
      <c r="AV94" s="248">
        <v>6.0</v>
      </c>
      <c r="AW94" s="247" t="b">
        <v>1</v>
      </c>
      <c r="AX94" s="270" t="b">
        <f t="shared" si="7"/>
        <v>1</v>
      </c>
      <c r="AY94" s="250">
        <f t="shared" si="66"/>
        <v>2</v>
      </c>
      <c r="AZ94" s="276"/>
      <c r="BA94" s="272" t="b">
        <v>1</v>
      </c>
      <c r="BB94" s="245" t="b">
        <f t="shared" si="9"/>
        <v>1</v>
      </c>
      <c r="BC94" s="260" t="b">
        <f t="shared" si="10"/>
        <v>1</v>
      </c>
      <c r="BD94" s="260">
        <f t="shared" si="11"/>
        <v>4</v>
      </c>
      <c r="BE94" s="273" t="b">
        <f t="shared" si="12"/>
        <v>1</v>
      </c>
      <c r="BF94" s="274">
        <f t="shared" si="13"/>
        <v>44653</v>
      </c>
      <c r="BG94" s="275" t="str">
        <f t="shared" si="14"/>
        <v>RUN-FLMP_2022-04-02_RFR-104</v>
      </c>
      <c r="BH94" s="96">
        <f t="shared" si="15"/>
        <v>4</v>
      </c>
      <c r="BI94" s="96">
        <f t="shared" si="16"/>
        <v>4</v>
      </c>
      <c r="BJ94" s="96">
        <f t="shared" si="17"/>
        <v>4</v>
      </c>
      <c r="BK94" s="96">
        <f t="shared" si="18"/>
        <v>0</v>
      </c>
      <c r="BL94" s="10">
        <f>IFNA(IF(VLOOKUP(FLOOR($B94,1),'APS Tubes by Date IMPORT'!$B$2:$J163,1,FALSE)=FLOOR($BL93,1),IFERROR(0/0,""),VLOOKUP(FLOOR($B94,1),'APS Tubes by Date IMPORT'!$B$2:$J163,1,FALSE)),"")</f>
        <v>44653</v>
      </c>
      <c r="BM94" s="96">
        <f>IF(ISBLANK($BL94),IFERROR(0/0,""),VLOOKUP(FLOOR($B94,1),'APS Tubes by Date IMPORT'!$B$2:$J163,2,FALSE))</f>
        <v>4</v>
      </c>
    </row>
    <row r="95">
      <c r="A95" s="245" t="str">
        <f>CONCATENATE("RUN-",'Process Ref'!$A$1,"_",TEXT(U95,"YYYY-MM-DD"),"_RFR-",TEXT(AR95,"000"),IF(EXACT(W95,"Initial"),"",CONCATENATE("_",W95)))</f>
        <v>RUN-FLMP_2022-04-04_RFR-105</v>
      </c>
      <c r="B95" s="246">
        <v>44655.461757743054</v>
      </c>
      <c r="C95" s="256"/>
      <c r="D95" s="256" t="s">
        <v>442</v>
      </c>
      <c r="E95" s="250">
        <v>26.0</v>
      </c>
      <c r="F95" s="256" t="s">
        <v>846</v>
      </c>
      <c r="G95" s="249" t="s">
        <v>847</v>
      </c>
      <c r="H95" s="249"/>
      <c r="I95" s="249" t="s">
        <v>848</v>
      </c>
      <c r="J95" s="250">
        <v>2.0</v>
      </c>
      <c r="K95" s="251"/>
      <c r="L95" s="248"/>
      <c r="M95" s="252">
        <v>1.5</v>
      </c>
      <c r="N95" s="252"/>
      <c r="O95" s="304" t="s">
        <v>849</v>
      </c>
      <c r="P95" s="254" t="b">
        <v>0</v>
      </c>
      <c r="Q95" s="255" t="b">
        <v>0</v>
      </c>
      <c r="R95" s="256"/>
      <c r="S95" s="255" t="b">
        <v>0</v>
      </c>
      <c r="T95" s="284" t="b">
        <v>1</v>
      </c>
      <c r="U95" s="258">
        <v>44655.0</v>
      </c>
      <c r="V95" s="259">
        <v>0.3854166666666667</v>
      </c>
      <c r="W95" s="247" t="s">
        <v>447</v>
      </c>
      <c r="X95" s="247" t="s">
        <v>850</v>
      </c>
      <c r="Y95" s="254" t="b">
        <v>0</v>
      </c>
      <c r="Z95" s="248">
        <v>28.0</v>
      </c>
      <c r="AA95" s="260">
        <f t="shared" si="34"/>
        <v>2</v>
      </c>
      <c r="AB95" s="261" t="b">
        <f t="shared" si="2"/>
        <v>0</v>
      </c>
      <c r="AC95" s="248">
        <v>30.0</v>
      </c>
      <c r="AD95" s="248">
        <v>2.0</v>
      </c>
      <c r="AE95" s="248">
        <f t="shared" si="63"/>
        <v>2</v>
      </c>
      <c r="AF95" s="248">
        <v>0.0</v>
      </c>
      <c r="AG95" s="248">
        <v>0.0</v>
      </c>
      <c r="AH95" s="250">
        <f t="shared" si="64"/>
        <v>0</v>
      </c>
      <c r="AI95" s="248">
        <v>0.0</v>
      </c>
      <c r="AJ95" s="250" t="b">
        <v>0</v>
      </c>
      <c r="AK95" s="278">
        <v>26.0</v>
      </c>
      <c r="AL95" s="248">
        <v>1.1</v>
      </c>
      <c r="AM95" s="248">
        <v>2.0</v>
      </c>
      <c r="AN95" s="263" t="str">
        <f>IFNA(VLOOKUP($A95,'Tube Reactions'!$J$2:$K163,2,FALSE),"")</f>
        <v/>
      </c>
      <c r="AO95" s="264" t="str">
        <f t="shared" si="4"/>
        <v>NOT EQUAL</v>
      </c>
      <c r="AP95" s="265" t="str">
        <f t="shared" si="67"/>
        <v>Absent</v>
      </c>
      <c r="AQ95" s="260" t="b">
        <f t="shared" si="6"/>
        <v>1</v>
      </c>
      <c r="AR95" s="266">
        <v>105.0</v>
      </c>
      <c r="AS95" s="267"/>
      <c r="AT95" s="247"/>
      <c r="AU95" s="268" t="s">
        <v>603</v>
      </c>
      <c r="AV95" s="269">
        <v>32.0</v>
      </c>
      <c r="AW95" s="250" t="b">
        <v>0</v>
      </c>
      <c r="AX95" s="270" t="b">
        <f t="shared" si="7"/>
        <v>1</v>
      </c>
      <c r="AY95" s="250">
        <f t="shared" si="66"/>
        <v>2</v>
      </c>
      <c r="AZ95" s="276"/>
      <c r="BA95" s="272" t="b">
        <v>1</v>
      </c>
      <c r="BB95" s="245" t="b">
        <f t="shared" si="9"/>
        <v>1</v>
      </c>
      <c r="BC95" s="260">
        <f t="shared" si="10"/>
        <v>1.1</v>
      </c>
      <c r="BD95" s="260">
        <f t="shared" si="11"/>
        <v>26</v>
      </c>
      <c r="BE95" s="273" t="b">
        <f t="shared" si="12"/>
        <v>1</v>
      </c>
      <c r="BF95" s="274">
        <f t="shared" si="13"/>
        <v>44655</v>
      </c>
      <c r="BG95" s="275" t="str">
        <f t="shared" si="14"/>
        <v>RUN-FLMP_2022-04-04_RFR-105</v>
      </c>
      <c r="BH95" s="96">
        <f t="shared" si="15"/>
        <v>26</v>
      </c>
      <c r="BI95" s="96">
        <f t="shared" si="16"/>
        <v>30</v>
      </c>
      <c r="BJ95" s="96">
        <f t="shared" si="17"/>
        <v>26</v>
      </c>
      <c r="BK95" s="96">
        <f t="shared" si="18"/>
        <v>1.1</v>
      </c>
      <c r="BL95" s="10">
        <f>IFNA(IF(VLOOKUP(FLOOR($B95,1),'APS Tubes by Date IMPORT'!$B$2:$J163,1,FALSE)=FLOOR($BL94,1),IFERROR(0/0,""),VLOOKUP(FLOOR($B95,1),'APS Tubes by Date IMPORT'!$B$2:$J163,1,FALSE)),"")</f>
        <v>44655</v>
      </c>
      <c r="BM95" s="96">
        <f>IF(ISBLANK($BL95),IFERROR(0/0,""),VLOOKUP(FLOOR($B95,1),'APS Tubes by Date IMPORT'!$B$2:$J163,2,FALSE))</f>
        <v>22</v>
      </c>
    </row>
    <row r="96">
      <c r="A96" s="245" t="str">
        <f>CONCATENATE("RUN-",'Process Ref'!$A$1,"_",TEXT(U96,"YYYY-MM-DD"),"_RFR-",TEXT(AR96,"000"),IF(EXACT(W96,"Initial"),"",CONCATENATE("_",W96)))</f>
        <v>RUN-FLMP_2022-04-04_RFR-106_Re-run</v>
      </c>
      <c r="B96" s="285">
        <v>44655.461757743054</v>
      </c>
      <c r="C96" s="256"/>
      <c r="D96" s="256" t="s">
        <v>442</v>
      </c>
      <c r="E96" s="250"/>
      <c r="F96" s="256" t="s">
        <v>846</v>
      </c>
      <c r="G96" s="249" t="s">
        <v>847</v>
      </c>
      <c r="H96" s="282"/>
      <c r="I96" s="249" t="s">
        <v>851</v>
      </c>
      <c r="J96" s="250"/>
      <c r="K96" s="251"/>
      <c r="L96" s="248"/>
      <c r="M96" s="252"/>
      <c r="N96" s="252"/>
      <c r="O96" s="253"/>
      <c r="P96" s="254" t="b">
        <v>0</v>
      </c>
      <c r="Q96" s="286" t="b">
        <v>0</v>
      </c>
      <c r="R96" s="256"/>
      <c r="S96" s="286" t="b">
        <v>1</v>
      </c>
      <c r="T96" s="287" t="b">
        <v>1</v>
      </c>
      <c r="U96" s="288">
        <v>44655.0</v>
      </c>
      <c r="V96" s="385">
        <v>0.375</v>
      </c>
      <c r="W96" s="290" t="s">
        <v>469</v>
      </c>
      <c r="X96" s="313"/>
      <c r="Y96" s="254" t="b">
        <v>0</v>
      </c>
      <c r="Z96" s="250"/>
      <c r="AA96" s="260">
        <f t="shared" si="34"/>
        <v>0</v>
      </c>
      <c r="AB96" s="293" t="b">
        <f t="shared" si="2"/>
        <v>1</v>
      </c>
      <c r="AC96" s="292">
        <v>6.0</v>
      </c>
      <c r="AD96" s="292">
        <v>0.0</v>
      </c>
      <c r="AE96" s="248">
        <f t="shared" si="63"/>
        <v>0</v>
      </c>
      <c r="AF96" s="292">
        <v>0.0</v>
      </c>
      <c r="AG96" s="292">
        <v>0.0</v>
      </c>
      <c r="AH96" s="250">
        <f t="shared" si="64"/>
        <v>0</v>
      </c>
      <c r="AI96" s="292">
        <v>0.0</v>
      </c>
      <c r="AJ96" s="294" t="b">
        <v>0</v>
      </c>
      <c r="AK96" s="295">
        <f>IF(W96="Initial",AC96,IF(AJ96=TRUE,"CORRECT ME",AC96/3))</f>
        <v>2</v>
      </c>
      <c r="AL96" s="292">
        <v>0.0</v>
      </c>
      <c r="AM96" s="250"/>
      <c r="AN96" s="296" t="str">
        <f>IFNA(VLOOKUP($A96,'Tube Reactions'!$J$2:$K163,2,FALSE),"")</f>
        <v/>
      </c>
      <c r="AO96" s="297" t="str">
        <f t="shared" si="4"/>
        <v/>
      </c>
      <c r="AP96" s="298" t="str">
        <f t="shared" si="67"/>
        <v>Absent</v>
      </c>
      <c r="AQ96" s="260" t="b">
        <f t="shared" si="6"/>
        <v>1</v>
      </c>
      <c r="AR96" s="266">
        <v>106.0</v>
      </c>
      <c r="AS96" s="279"/>
      <c r="AT96" s="279"/>
      <c r="AU96" s="299" t="s">
        <v>603</v>
      </c>
      <c r="AV96" s="292">
        <v>8.0</v>
      </c>
      <c r="AW96" s="286" t="b">
        <v>1</v>
      </c>
      <c r="AX96" s="270" t="b">
        <f t="shared" si="7"/>
        <v>1</v>
      </c>
      <c r="AY96" s="254">
        <f t="shared" si="66"/>
        <v>2</v>
      </c>
      <c r="AZ96" s="307"/>
      <c r="BA96" s="272" t="b">
        <v>0</v>
      </c>
      <c r="BB96" s="245" t="str">
        <f t="shared" si="9"/>
        <v/>
      </c>
      <c r="BC96" s="260" t="str">
        <f t="shared" si="10"/>
        <v/>
      </c>
      <c r="BD96" s="260" t="str">
        <f t="shared" si="11"/>
        <v/>
      </c>
      <c r="BE96" s="273" t="b">
        <f t="shared" si="12"/>
        <v>1</v>
      </c>
      <c r="BF96" s="274" t="str">
        <f t="shared" si="13"/>
        <v/>
      </c>
      <c r="BG96" s="275" t="str">
        <f t="shared" si="14"/>
        <v/>
      </c>
      <c r="BH96" s="96" t="str">
        <f t="shared" si="15"/>
        <v/>
      </c>
      <c r="BI96" s="96" t="str">
        <f t="shared" si="16"/>
        <v/>
      </c>
      <c r="BJ96" s="96" t="str">
        <f t="shared" si="17"/>
        <v/>
      </c>
      <c r="BK96" s="96" t="str">
        <f t="shared" si="18"/>
        <v/>
      </c>
      <c r="BL96" s="10" t="str">
        <f>IFNA(IF(VLOOKUP(FLOOR($B96,1),'APS Tubes by Date IMPORT'!$B$2:$J163,1,FALSE)=FLOOR($BL95,1),IFERROR(0/0,""),VLOOKUP(FLOOR($B96,1),'APS Tubes by Date IMPORT'!$B$2:$J163,1,FALSE)),"")</f>
        <v/>
      </c>
      <c r="BM96" s="96" t="str">
        <f>IF(ISBLANK($BL96),IFERROR(0/0,""),VLOOKUP(FLOOR($B96,1),'APS Tubes by Date IMPORT'!$B$2:$J163,2,FALSE))</f>
        <v/>
      </c>
    </row>
    <row r="97">
      <c r="A97" s="245" t="str">
        <f>CONCATENATE("RUN-",'Process Ref'!$A$1,"_",TEXT(U97,"YYYY-MM-DD"),"_RFR-",TEXT(AR97,"000"),IF(EXACT(W97,"Initial"),"",CONCATENATE("_",W97)))</f>
        <v>RUN-FLMP_2022-04-07_RFR-107</v>
      </c>
      <c r="B97" s="246">
        <v>44658.4650062963</v>
      </c>
      <c r="C97" s="256"/>
      <c r="D97" s="256" t="s">
        <v>442</v>
      </c>
      <c r="E97" s="250">
        <v>21.0</v>
      </c>
      <c r="F97" s="256" t="s">
        <v>852</v>
      </c>
      <c r="G97" s="249" t="s">
        <v>853</v>
      </c>
      <c r="H97" s="249"/>
      <c r="I97" s="249" t="s">
        <v>854</v>
      </c>
      <c r="J97" s="250">
        <v>1.0</v>
      </c>
      <c r="K97" s="251"/>
      <c r="L97" s="248"/>
      <c r="M97" s="252">
        <v>1.8</v>
      </c>
      <c r="N97" s="252">
        <v>2.2</v>
      </c>
      <c r="O97" s="253" t="s">
        <v>855</v>
      </c>
      <c r="P97" s="254" t="b">
        <v>1</v>
      </c>
      <c r="Q97" s="255" t="b">
        <v>0</v>
      </c>
      <c r="R97" s="256"/>
      <c r="S97" s="254" t="b">
        <v>0</v>
      </c>
      <c r="T97" s="284" t="b">
        <v>1</v>
      </c>
      <c r="U97" s="258">
        <v>44658.0</v>
      </c>
      <c r="V97" s="259">
        <v>0.375</v>
      </c>
      <c r="W97" s="247" t="s">
        <v>447</v>
      </c>
      <c r="X97" s="256"/>
      <c r="Y97" s="254" t="b">
        <v>0</v>
      </c>
      <c r="Z97" s="250"/>
      <c r="AA97" s="260">
        <f t="shared" si="34"/>
        <v>-21</v>
      </c>
      <c r="AB97" s="261" t="b">
        <f t="shared" si="2"/>
        <v>1</v>
      </c>
      <c r="AC97" s="248">
        <v>22.0</v>
      </c>
      <c r="AD97" s="248">
        <v>0.0</v>
      </c>
      <c r="AE97" s="248">
        <f t="shared" si="63"/>
        <v>0</v>
      </c>
      <c r="AF97" s="248">
        <v>0.0</v>
      </c>
      <c r="AG97" s="248">
        <v>1.0</v>
      </c>
      <c r="AH97" s="250">
        <f t="shared" si="64"/>
        <v>1</v>
      </c>
      <c r="AI97" s="248">
        <v>0.0</v>
      </c>
      <c r="AJ97" s="250" t="b">
        <v>0</v>
      </c>
      <c r="AK97" s="278">
        <v>21.0</v>
      </c>
      <c r="AL97" s="248">
        <v>4.0</v>
      </c>
      <c r="AM97" s="248">
        <v>1.0</v>
      </c>
      <c r="AN97" s="263" t="str">
        <f>IFNA(VLOOKUP($A97,'Tube Reactions'!$J$2:$K163,2,FALSE),"")</f>
        <v/>
      </c>
      <c r="AO97" s="264" t="str">
        <f t="shared" si="4"/>
        <v>NOT EQUAL</v>
      </c>
      <c r="AP97" s="265" t="str">
        <f t="shared" si="67"/>
        <v>Absent</v>
      </c>
      <c r="AQ97" s="260" t="b">
        <f t="shared" si="6"/>
        <v>1</v>
      </c>
      <c r="AR97" s="266">
        <v>107.0</v>
      </c>
      <c r="AS97" s="279" t="s">
        <v>856</v>
      </c>
      <c r="AT97" s="247"/>
      <c r="AU97" s="268" t="s">
        <v>603</v>
      </c>
      <c r="AV97" s="269">
        <v>24.0</v>
      </c>
      <c r="AW97" s="250" t="b">
        <v>0</v>
      </c>
      <c r="AX97" s="270" t="b">
        <f t="shared" si="7"/>
        <v>1</v>
      </c>
      <c r="AY97" s="250">
        <f t="shared" si="66"/>
        <v>2</v>
      </c>
      <c r="AZ97" s="276"/>
      <c r="BA97" s="272" t="b">
        <v>1</v>
      </c>
      <c r="BB97" s="245" t="b">
        <f t="shared" si="9"/>
        <v>1</v>
      </c>
      <c r="BC97" s="260">
        <f t="shared" si="10"/>
        <v>4</v>
      </c>
      <c r="BD97" s="260">
        <f t="shared" si="11"/>
        <v>21</v>
      </c>
      <c r="BE97" s="273" t="b">
        <f t="shared" si="12"/>
        <v>1</v>
      </c>
      <c r="BF97" s="274">
        <f t="shared" si="13"/>
        <v>44658</v>
      </c>
      <c r="BG97" s="275" t="str">
        <f t="shared" si="14"/>
        <v>RUN-FLMP_2022-04-07_RFR-107</v>
      </c>
      <c r="BH97" s="96">
        <f t="shared" si="15"/>
        <v>21</v>
      </c>
      <c r="BI97" s="96">
        <f t="shared" si="16"/>
        <v>22</v>
      </c>
      <c r="BJ97" s="96">
        <f t="shared" si="17"/>
        <v>21</v>
      </c>
      <c r="BK97" s="96">
        <f t="shared" si="18"/>
        <v>4</v>
      </c>
      <c r="BL97" s="10">
        <f>IFNA(IF(VLOOKUP(FLOOR($B97,1),'APS Tubes by Date IMPORT'!$B$2:$J163,1,FALSE)=FLOOR($BL96,1),IFERROR(0/0,""),VLOOKUP(FLOOR($B97,1),'APS Tubes by Date IMPORT'!$B$2:$J163,1,FALSE)),"")</f>
        <v>44658</v>
      </c>
      <c r="BM97" s="96">
        <f>IF(ISBLANK($BL97),IFERROR(0/0,""),VLOOKUP(FLOOR($B97,1),'APS Tubes by Date IMPORT'!$B$2:$J163,2,FALSE))</f>
        <v>19</v>
      </c>
    </row>
    <row r="98">
      <c r="A98" s="245" t="str">
        <f>CONCATENATE("RUN-",'Process Ref'!$A$1,"_",TEXT(U98,"YYYY-MM-DD"),"_RFR-",TEXT(AR98,"000"),IF(EXACT(W98,"Initial"),"",CONCATENATE("_",W98)))</f>
        <v>RUN-FLMP_2022-04-07_RFR-108_Re-run</v>
      </c>
      <c r="B98" s="285">
        <v>44658.4650062963</v>
      </c>
      <c r="C98" s="256"/>
      <c r="D98" s="256" t="s">
        <v>442</v>
      </c>
      <c r="E98" s="250"/>
      <c r="F98" s="256" t="s">
        <v>852</v>
      </c>
      <c r="G98" s="249" t="s">
        <v>853</v>
      </c>
      <c r="H98" s="282"/>
      <c r="I98" s="249" t="s">
        <v>857</v>
      </c>
      <c r="J98" s="250"/>
      <c r="K98" s="251"/>
      <c r="L98" s="248"/>
      <c r="M98" s="252"/>
      <c r="N98" s="252"/>
      <c r="O98" s="253"/>
      <c r="P98" s="254" t="b">
        <v>0</v>
      </c>
      <c r="Q98" s="286" t="b">
        <v>0</v>
      </c>
      <c r="R98" s="256"/>
      <c r="S98" s="286" t="b">
        <v>1</v>
      </c>
      <c r="T98" s="287" t="b">
        <v>1</v>
      </c>
      <c r="U98" s="288">
        <v>44658.0</v>
      </c>
      <c r="V98" s="385">
        <v>0.375</v>
      </c>
      <c r="W98" s="290" t="s">
        <v>469</v>
      </c>
      <c r="X98" s="313"/>
      <c r="Y98" s="254" t="b">
        <v>0</v>
      </c>
      <c r="Z98" s="250"/>
      <c r="AA98" s="260">
        <f t="shared" si="34"/>
        <v>0</v>
      </c>
      <c r="AB98" s="293" t="b">
        <f t="shared" si="2"/>
        <v>1</v>
      </c>
      <c r="AC98" s="292">
        <v>3.0</v>
      </c>
      <c r="AD98" s="292">
        <v>0.0</v>
      </c>
      <c r="AE98" s="248">
        <f t="shared" si="63"/>
        <v>0</v>
      </c>
      <c r="AF98" s="292">
        <v>0.0</v>
      </c>
      <c r="AG98" s="292">
        <v>0.0</v>
      </c>
      <c r="AH98" s="250">
        <f t="shared" si="64"/>
        <v>0</v>
      </c>
      <c r="AI98" s="292">
        <v>0.0</v>
      </c>
      <c r="AJ98" s="294" t="b">
        <v>0</v>
      </c>
      <c r="AK98" s="295">
        <f t="shared" ref="AK98:AK100" si="68">IF(W98="Initial",AC98,IF(AJ98=TRUE,"CORRECT ME",AC98/3))</f>
        <v>1</v>
      </c>
      <c r="AL98" s="292">
        <v>0.0</v>
      </c>
      <c r="AM98" s="250"/>
      <c r="AN98" s="296" t="str">
        <f>IFNA(VLOOKUP($A98,'Tube Reactions'!$J$2:$K163,2,FALSE),"")</f>
        <v/>
      </c>
      <c r="AO98" s="297" t="str">
        <f t="shared" si="4"/>
        <v/>
      </c>
      <c r="AP98" s="298" t="str">
        <f>IF(ISTEXT(#REF!),"", "Absent")</f>
        <v>Absent</v>
      </c>
      <c r="AQ98" s="260" t="b">
        <f t="shared" si="6"/>
        <v>1</v>
      </c>
      <c r="AR98" s="266">
        <v>108.0</v>
      </c>
      <c r="AS98" s="279"/>
      <c r="AT98" s="279"/>
      <c r="AU98" s="299" t="s">
        <v>603</v>
      </c>
      <c r="AV98" s="292">
        <v>5.0</v>
      </c>
      <c r="AW98" s="286" t="b">
        <v>1</v>
      </c>
      <c r="AX98" s="270" t="b">
        <f t="shared" si="7"/>
        <v>1</v>
      </c>
      <c r="AY98" s="254">
        <f t="shared" si="66"/>
        <v>2</v>
      </c>
      <c r="AZ98" s="307"/>
      <c r="BA98" s="272" t="b">
        <v>0</v>
      </c>
      <c r="BB98" s="245" t="str">
        <f t="shared" si="9"/>
        <v/>
      </c>
      <c r="BC98" s="260" t="str">
        <f t="shared" si="10"/>
        <v/>
      </c>
      <c r="BD98" s="260" t="str">
        <f t="shared" si="11"/>
        <v/>
      </c>
      <c r="BE98" s="273" t="b">
        <f t="shared" si="12"/>
        <v>1</v>
      </c>
      <c r="BF98" s="274" t="str">
        <f t="shared" si="13"/>
        <v/>
      </c>
      <c r="BG98" s="275" t="str">
        <f t="shared" si="14"/>
        <v/>
      </c>
      <c r="BH98" s="96" t="str">
        <f t="shared" si="15"/>
        <v/>
      </c>
      <c r="BI98" s="96" t="str">
        <f t="shared" si="16"/>
        <v/>
      </c>
      <c r="BJ98" s="96" t="str">
        <f t="shared" si="17"/>
        <v/>
      </c>
      <c r="BK98" s="96" t="str">
        <f t="shared" si="18"/>
        <v/>
      </c>
      <c r="BL98" s="10" t="str">
        <f>IFNA(IF(VLOOKUP(FLOOR($B98,1),'APS Tubes by Date IMPORT'!$B$2:$J163,1,FALSE)=FLOOR($BL97,1),IFERROR(0/0,""),VLOOKUP(FLOOR($B98,1),'APS Tubes by Date IMPORT'!$B$2:$J163,1,FALSE)),"")</f>
        <v/>
      </c>
      <c r="BM98" s="96" t="str">
        <f>IF(ISBLANK($BL98),IFERROR(0/0,""),VLOOKUP(FLOOR($B98,1),'APS Tubes by Date IMPORT'!$B$2:$J163,2,FALSE))</f>
        <v/>
      </c>
    </row>
    <row r="99">
      <c r="A99" s="245" t="str">
        <f>CONCATENATE("RUN-",'Process Ref'!$A$1,"_",TEXT(U99,"YYYY-MM-DD"),"_RFR-",TEXT(AR99,"000"),IF(EXACT(W99,"Initial"),"",CONCATENATE("_",W99)))</f>
        <v>RUN-FLMP_2022-04-11_RFR-109</v>
      </c>
      <c r="B99" s="246">
        <v>44662.460333020834</v>
      </c>
      <c r="C99" s="256"/>
      <c r="D99" s="256" t="s">
        <v>442</v>
      </c>
      <c r="E99" s="250">
        <v>22.0</v>
      </c>
      <c r="F99" s="256" t="s">
        <v>858</v>
      </c>
      <c r="G99" s="249" t="s">
        <v>859</v>
      </c>
      <c r="H99" s="249"/>
      <c r="I99" s="249" t="s">
        <v>860</v>
      </c>
      <c r="J99" s="250">
        <v>2.0</v>
      </c>
      <c r="K99" s="251"/>
      <c r="L99" s="248"/>
      <c r="M99" s="252"/>
      <c r="N99" s="252"/>
      <c r="O99" s="253"/>
      <c r="P99" s="254" t="b">
        <v>0</v>
      </c>
      <c r="Q99" s="255" t="b">
        <v>0</v>
      </c>
      <c r="R99" s="256"/>
      <c r="S99" s="254" t="b">
        <v>0</v>
      </c>
      <c r="T99" s="284" t="b">
        <v>1</v>
      </c>
      <c r="U99" s="258">
        <v>44662.0</v>
      </c>
      <c r="V99" s="259">
        <v>0.375</v>
      </c>
      <c r="W99" s="247" t="s">
        <v>447</v>
      </c>
      <c r="X99" s="256"/>
      <c r="Y99" s="254" t="b">
        <v>0</v>
      </c>
      <c r="Z99" s="248">
        <v>24.0</v>
      </c>
      <c r="AA99" s="260">
        <f t="shared" si="34"/>
        <v>2</v>
      </c>
      <c r="AB99" s="261" t="b">
        <f t="shared" si="2"/>
        <v>0</v>
      </c>
      <c r="AC99" s="248">
        <v>22.0</v>
      </c>
      <c r="AD99" s="248">
        <v>2.0</v>
      </c>
      <c r="AE99" s="248">
        <f t="shared" si="63"/>
        <v>2</v>
      </c>
      <c r="AF99" s="248">
        <v>0.0</v>
      </c>
      <c r="AG99" s="248">
        <v>0.0</v>
      </c>
      <c r="AH99" s="250">
        <f t="shared" si="64"/>
        <v>0</v>
      </c>
      <c r="AI99" s="248">
        <v>0.0</v>
      </c>
      <c r="AJ99" s="250" t="b">
        <v>0</v>
      </c>
      <c r="AK99" s="262">
        <f t="shared" si="68"/>
        <v>22</v>
      </c>
      <c r="AL99" s="248">
        <v>2.0</v>
      </c>
      <c r="AM99" s="248">
        <v>2.0</v>
      </c>
      <c r="AN99" s="263" t="str">
        <f>IFNA(VLOOKUP($A99,'Tube Reactions'!$J$2:$K163,2,FALSE),"")</f>
        <v/>
      </c>
      <c r="AO99" s="264" t="str">
        <f t="shared" si="4"/>
        <v>NOT EQUAL</v>
      </c>
      <c r="AP99" s="265" t="str">
        <f t="shared" ref="AP99:AP116" si="69">IF(ISTEXT(H99),"", "Absent")</f>
        <v>Absent</v>
      </c>
      <c r="AQ99" s="260" t="b">
        <f t="shared" si="6"/>
        <v>1</v>
      </c>
      <c r="AR99" s="266">
        <v>109.0</v>
      </c>
      <c r="AS99" s="267"/>
      <c r="AT99" s="247"/>
      <c r="AU99" s="268" t="s">
        <v>603</v>
      </c>
      <c r="AV99" s="269">
        <v>24.0</v>
      </c>
      <c r="AW99" s="250" t="b">
        <v>0</v>
      </c>
      <c r="AX99" s="270" t="b">
        <f t="shared" si="7"/>
        <v>1</v>
      </c>
      <c r="AY99" s="250">
        <f t="shared" si="66"/>
        <v>2</v>
      </c>
      <c r="AZ99" s="276"/>
      <c r="BA99" s="272" t="b">
        <v>1</v>
      </c>
      <c r="BB99" s="245" t="b">
        <f t="shared" si="9"/>
        <v>1</v>
      </c>
      <c r="BC99" s="260">
        <f t="shared" si="10"/>
        <v>2</v>
      </c>
      <c r="BD99" s="260">
        <f t="shared" si="11"/>
        <v>22</v>
      </c>
      <c r="BE99" s="273" t="b">
        <f t="shared" si="12"/>
        <v>1</v>
      </c>
      <c r="BF99" s="274">
        <f t="shared" si="13"/>
        <v>44662</v>
      </c>
      <c r="BG99" s="275" t="str">
        <f t="shared" si="14"/>
        <v>RUN-FLMP_2022-04-11_RFR-109</v>
      </c>
      <c r="BH99" s="96">
        <f t="shared" si="15"/>
        <v>22</v>
      </c>
      <c r="BI99" s="96">
        <f t="shared" si="16"/>
        <v>22</v>
      </c>
      <c r="BJ99" s="96">
        <f t="shared" si="17"/>
        <v>22</v>
      </c>
      <c r="BK99" s="96">
        <f t="shared" si="18"/>
        <v>2</v>
      </c>
      <c r="BL99" s="10">
        <f>IFNA(IF(VLOOKUP(FLOOR($B99,1),'APS Tubes by Date IMPORT'!$B$2:$J163,1,FALSE)=FLOOR($BL98,1),IFERROR(0/0,""),VLOOKUP(FLOOR($B99,1),'APS Tubes by Date IMPORT'!$B$2:$J163,1,FALSE)),"")</f>
        <v>44662</v>
      </c>
      <c r="BM99" s="96">
        <f>IF(ISBLANK($BL99),IFERROR(0/0,""),VLOOKUP(FLOOR($B99,1),'APS Tubes by Date IMPORT'!$B$2:$J163,2,FALSE))</f>
        <v>21</v>
      </c>
    </row>
    <row r="100">
      <c r="A100" s="245" t="str">
        <f>CONCATENATE("RUN-",'Process Ref'!$A$1,"_",TEXT(U100,"YYYY-MM-DD"),"_RFR-",TEXT(AR100,"000"),IF(EXACT(W100,"Initial"),"",CONCATENATE("_",W100)))</f>
        <v>RUN-FLMP_2022-04-11_RFR-110_Re-run</v>
      </c>
      <c r="B100" s="285">
        <v>44662.460333020834</v>
      </c>
      <c r="C100" s="256"/>
      <c r="D100" s="256" t="s">
        <v>442</v>
      </c>
      <c r="E100" s="250"/>
      <c r="F100" s="256" t="s">
        <v>858</v>
      </c>
      <c r="G100" s="249" t="s">
        <v>859</v>
      </c>
      <c r="H100" s="282"/>
      <c r="I100" s="249" t="s">
        <v>861</v>
      </c>
      <c r="J100" s="250"/>
      <c r="K100" s="251"/>
      <c r="L100" s="248"/>
      <c r="M100" s="252"/>
      <c r="N100" s="252"/>
      <c r="O100" s="253"/>
      <c r="P100" s="254" t="b">
        <v>0</v>
      </c>
      <c r="Q100" s="286" t="b">
        <v>0</v>
      </c>
      <c r="R100" s="256"/>
      <c r="S100" s="286" t="b">
        <v>1</v>
      </c>
      <c r="T100" s="287" t="b">
        <v>1</v>
      </c>
      <c r="U100" s="288">
        <v>44662.0</v>
      </c>
      <c r="V100" s="385">
        <v>0.375</v>
      </c>
      <c r="W100" s="290" t="s">
        <v>469</v>
      </c>
      <c r="X100" s="313"/>
      <c r="Y100" s="254" t="b">
        <v>0</v>
      </c>
      <c r="Z100" s="250"/>
      <c r="AA100" s="260">
        <f t="shared" si="34"/>
        <v>0</v>
      </c>
      <c r="AB100" s="293" t="b">
        <f t="shared" si="2"/>
        <v>1</v>
      </c>
      <c r="AC100" s="292">
        <v>6.0</v>
      </c>
      <c r="AD100" s="292">
        <v>0.0</v>
      </c>
      <c r="AE100" s="248">
        <f t="shared" si="63"/>
        <v>0</v>
      </c>
      <c r="AF100" s="292">
        <v>0.0</v>
      </c>
      <c r="AG100" s="292">
        <v>0.0</v>
      </c>
      <c r="AH100" s="250">
        <f t="shared" si="64"/>
        <v>0</v>
      </c>
      <c r="AI100" s="292">
        <v>0.0</v>
      </c>
      <c r="AJ100" s="294" t="b">
        <v>0</v>
      </c>
      <c r="AK100" s="295">
        <f t="shared" si="68"/>
        <v>2</v>
      </c>
      <c r="AL100" s="292">
        <v>0.0</v>
      </c>
      <c r="AM100" s="250"/>
      <c r="AN100" s="296" t="str">
        <f>IFNA(VLOOKUP($A100,'Tube Reactions'!$J$2:$K163,2,FALSE),"")</f>
        <v/>
      </c>
      <c r="AO100" s="297" t="str">
        <f t="shared" si="4"/>
        <v/>
      </c>
      <c r="AP100" s="298" t="str">
        <f t="shared" si="69"/>
        <v>Absent</v>
      </c>
      <c r="AQ100" s="260" t="b">
        <f t="shared" si="6"/>
        <v>1</v>
      </c>
      <c r="AR100" s="266">
        <v>110.0</v>
      </c>
      <c r="AS100" s="279"/>
      <c r="AT100" s="279"/>
      <c r="AU100" s="299" t="s">
        <v>603</v>
      </c>
      <c r="AV100" s="292">
        <v>8.0</v>
      </c>
      <c r="AW100" s="286" t="b">
        <v>1</v>
      </c>
      <c r="AX100" s="270" t="b">
        <f t="shared" si="7"/>
        <v>1</v>
      </c>
      <c r="AY100" s="254">
        <f t="shared" si="66"/>
        <v>2</v>
      </c>
      <c r="AZ100" s="307"/>
      <c r="BA100" s="272" t="b">
        <v>0</v>
      </c>
      <c r="BB100" s="245" t="str">
        <f t="shared" si="9"/>
        <v/>
      </c>
      <c r="BC100" s="260" t="str">
        <f t="shared" si="10"/>
        <v/>
      </c>
      <c r="BD100" s="260" t="str">
        <f t="shared" si="11"/>
        <v/>
      </c>
      <c r="BE100" s="273" t="b">
        <f t="shared" si="12"/>
        <v>1</v>
      </c>
      <c r="BF100" s="274" t="str">
        <f t="shared" si="13"/>
        <v/>
      </c>
      <c r="BG100" s="275" t="str">
        <f t="shared" si="14"/>
        <v/>
      </c>
      <c r="BH100" s="96" t="str">
        <f t="shared" si="15"/>
        <v/>
      </c>
      <c r="BI100" s="96" t="str">
        <f t="shared" si="16"/>
        <v/>
      </c>
      <c r="BJ100" s="96" t="str">
        <f t="shared" si="17"/>
        <v/>
      </c>
      <c r="BK100" s="96" t="str">
        <f t="shared" si="18"/>
        <v/>
      </c>
      <c r="BL100" s="10" t="str">
        <f>IFNA(IF(VLOOKUP(FLOOR($B100,1),'APS Tubes by Date IMPORT'!$B$2:$J163,1,FALSE)=FLOOR($BL99,1),IFERROR(0/0,""),VLOOKUP(FLOOR($B100,1),'APS Tubes by Date IMPORT'!$B$2:$J163,1,FALSE)),"")</f>
        <v/>
      </c>
      <c r="BM100" s="96" t="str">
        <f>IF(ISBLANK($BL100),IFERROR(0/0,""),VLOOKUP(FLOOR($B100,1),'APS Tubes by Date IMPORT'!$B$2:$J163,2,FALSE))</f>
        <v/>
      </c>
    </row>
    <row r="101">
      <c r="A101" s="245" t="str">
        <f>CONCATENATE("RUN-",'Process Ref'!$A$1,"_",TEXT(U101,"YYYY-MM-DD"),"_RFR-",TEXT(AR101,"000"),IF(EXACT(W101,"Initial"),"",CONCATENATE("_",W101)))</f>
        <v>RUN-FLMP_2022-04-14_RFR-111</v>
      </c>
      <c r="B101" s="246">
        <v>44665.45673961806</v>
      </c>
      <c r="C101" s="256"/>
      <c r="D101" s="256" t="s">
        <v>442</v>
      </c>
      <c r="E101" s="250">
        <v>20.0</v>
      </c>
      <c r="F101" s="256" t="s">
        <v>862</v>
      </c>
      <c r="G101" s="249" t="s">
        <v>863</v>
      </c>
      <c r="H101" s="249"/>
      <c r="I101" s="249" t="s">
        <v>864</v>
      </c>
      <c r="J101" s="250">
        <v>2.0</v>
      </c>
      <c r="K101" s="251"/>
      <c r="L101" s="248"/>
      <c r="M101" s="252">
        <v>1.2</v>
      </c>
      <c r="N101" s="252">
        <v>2.1</v>
      </c>
      <c r="O101" s="253" t="s">
        <v>865</v>
      </c>
      <c r="P101" s="254" t="b">
        <v>1</v>
      </c>
      <c r="Q101" s="255" t="b">
        <v>0</v>
      </c>
      <c r="R101" s="256"/>
      <c r="S101" s="254" t="b">
        <v>0</v>
      </c>
      <c r="T101" s="284" t="b">
        <v>1</v>
      </c>
      <c r="U101" s="258">
        <v>44665.0</v>
      </c>
      <c r="V101" s="259">
        <v>0.375</v>
      </c>
      <c r="W101" s="247" t="s">
        <v>447</v>
      </c>
      <c r="X101" s="247" t="s">
        <v>866</v>
      </c>
      <c r="Y101" s="255" t="b">
        <v>1</v>
      </c>
      <c r="Z101" s="248">
        <v>24.0</v>
      </c>
      <c r="AA101" s="260">
        <f t="shared" si="34"/>
        <v>4</v>
      </c>
      <c r="AB101" s="261" t="b">
        <f t="shared" si="2"/>
        <v>1</v>
      </c>
      <c r="AC101" s="248">
        <v>22.0</v>
      </c>
      <c r="AD101" s="248">
        <v>1.0</v>
      </c>
      <c r="AE101" s="248">
        <f t="shared" si="63"/>
        <v>1</v>
      </c>
      <c r="AF101" s="248">
        <v>0.0</v>
      </c>
      <c r="AG101" s="248">
        <v>0.0</v>
      </c>
      <c r="AH101" s="250">
        <f t="shared" si="64"/>
        <v>0</v>
      </c>
      <c r="AI101" s="248">
        <v>0.0</v>
      </c>
      <c r="AJ101" s="250" t="b">
        <v>0</v>
      </c>
      <c r="AK101" s="278">
        <v>20.0</v>
      </c>
      <c r="AL101" s="248">
        <v>1.1</v>
      </c>
      <c r="AM101" s="248">
        <v>2.0</v>
      </c>
      <c r="AN101" s="263" t="str">
        <f>IFNA(VLOOKUP($A101,'Tube Reactions'!$J$2:$K163,2,FALSE),"")</f>
        <v/>
      </c>
      <c r="AO101" s="264" t="str">
        <f t="shared" si="4"/>
        <v>NOT EQUAL</v>
      </c>
      <c r="AP101" s="265" t="str">
        <f t="shared" si="69"/>
        <v>Absent</v>
      </c>
      <c r="AQ101" s="260" t="b">
        <f t="shared" si="6"/>
        <v>1</v>
      </c>
      <c r="AR101" s="266">
        <v>111.0</v>
      </c>
      <c r="AS101" s="279" t="s">
        <v>867</v>
      </c>
      <c r="AT101" s="247"/>
      <c r="AU101" s="268" t="s">
        <v>646</v>
      </c>
      <c r="AV101" s="269">
        <v>24.0</v>
      </c>
      <c r="AW101" s="250" t="b">
        <v>0</v>
      </c>
      <c r="AX101" s="270" t="b">
        <f t="shared" si="7"/>
        <v>1</v>
      </c>
      <c r="AY101" s="250">
        <f t="shared" si="66"/>
        <v>2</v>
      </c>
      <c r="AZ101" s="276"/>
      <c r="BA101" s="272" t="b">
        <v>1</v>
      </c>
      <c r="BB101" s="245" t="b">
        <f t="shared" si="9"/>
        <v>1</v>
      </c>
      <c r="BC101" s="260">
        <f t="shared" si="10"/>
        <v>1.1</v>
      </c>
      <c r="BD101" s="260">
        <f t="shared" si="11"/>
        <v>20</v>
      </c>
      <c r="BE101" s="273" t="b">
        <f t="shared" si="12"/>
        <v>1</v>
      </c>
      <c r="BF101" s="274">
        <f t="shared" si="13"/>
        <v>44665</v>
      </c>
      <c r="BG101" s="275" t="str">
        <f t="shared" si="14"/>
        <v>RUN-FLMP_2022-04-14_RFR-111</v>
      </c>
      <c r="BH101" s="96">
        <f t="shared" si="15"/>
        <v>20</v>
      </c>
      <c r="BI101" s="96">
        <f t="shared" si="16"/>
        <v>22</v>
      </c>
      <c r="BJ101" s="96">
        <f t="shared" si="17"/>
        <v>20</v>
      </c>
      <c r="BK101" s="96">
        <f t="shared" si="18"/>
        <v>1.1</v>
      </c>
      <c r="BL101" s="10">
        <f>IFNA(IF(VLOOKUP(FLOOR($B101,1),'APS Tubes by Date IMPORT'!$B$2:$J163,1,FALSE)=FLOOR($BL100,1),IFERROR(0/0,""),VLOOKUP(FLOOR($B101,1),'APS Tubes by Date IMPORT'!$B$2:$J163,1,FALSE)),"")</f>
        <v>44665</v>
      </c>
      <c r="BM101" s="96">
        <f>IF(ISBLANK($BL101),IFERROR(0/0,""),VLOOKUP(FLOOR($B101,1),'APS Tubes by Date IMPORT'!$B$2:$J163,2,FALSE))</f>
        <v>19</v>
      </c>
    </row>
    <row r="102">
      <c r="A102" s="245" t="str">
        <f>CONCATENATE("RUN-",'Process Ref'!$A$1,"_",TEXT(U102,"YYYY-MM-DD"),"_RFR-",TEXT(AR102,"000"),IF(EXACT(W102,"Initial"),"",CONCATENATE("_",W102)))</f>
        <v>RUN-FLMP_2022-04-14_RFR-112_Re-run</v>
      </c>
      <c r="B102" s="285">
        <v>44665.45673961806</v>
      </c>
      <c r="C102" s="256"/>
      <c r="D102" s="256" t="s">
        <v>442</v>
      </c>
      <c r="E102" s="250"/>
      <c r="F102" s="256" t="s">
        <v>862</v>
      </c>
      <c r="G102" s="249" t="s">
        <v>863</v>
      </c>
      <c r="H102" s="282"/>
      <c r="I102" s="249" t="s">
        <v>868</v>
      </c>
      <c r="J102" s="250"/>
      <c r="K102" s="251"/>
      <c r="L102" s="248"/>
      <c r="M102" s="252"/>
      <c r="N102" s="252"/>
      <c r="O102" s="253"/>
      <c r="P102" s="254" t="b">
        <v>0</v>
      </c>
      <c r="Q102" s="286" t="b">
        <v>0</v>
      </c>
      <c r="R102" s="256"/>
      <c r="S102" s="286" t="b">
        <v>1</v>
      </c>
      <c r="T102" s="287" t="b">
        <v>1</v>
      </c>
      <c r="U102" s="288">
        <v>44665.0</v>
      </c>
      <c r="V102" s="289">
        <v>0.4166666666666667</v>
      </c>
      <c r="W102" s="290" t="s">
        <v>469</v>
      </c>
      <c r="X102" s="291"/>
      <c r="Y102" s="286" t="b">
        <v>1</v>
      </c>
      <c r="Z102" s="292"/>
      <c r="AA102" s="260">
        <f t="shared" si="34"/>
        <v>0</v>
      </c>
      <c r="AB102" s="293" t="b">
        <f t="shared" si="2"/>
        <v>1</v>
      </c>
      <c r="AC102" s="292">
        <v>6.0</v>
      </c>
      <c r="AD102" s="292">
        <v>0.0</v>
      </c>
      <c r="AE102" s="248">
        <f t="shared" si="63"/>
        <v>0</v>
      </c>
      <c r="AF102" s="292">
        <v>0.0</v>
      </c>
      <c r="AG102" s="292">
        <v>0.0</v>
      </c>
      <c r="AH102" s="250">
        <f t="shared" si="64"/>
        <v>0</v>
      </c>
      <c r="AI102" s="292">
        <v>0.0</v>
      </c>
      <c r="AJ102" s="294" t="b">
        <v>0</v>
      </c>
      <c r="AK102" s="295">
        <f t="shared" ref="AK102:AK103" si="70">IF(W102="Initial",AC102,IF(AJ102=TRUE,"CORRECT ME",AC102/3))</f>
        <v>2</v>
      </c>
      <c r="AL102" s="292">
        <v>0.0</v>
      </c>
      <c r="AM102" s="250"/>
      <c r="AN102" s="296" t="str">
        <f>IFNA(VLOOKUP($A102,'Tube Reactions'!$J$2:$K163,2,FALSE),"")</f>
        <v/>
      </c>
      <c r="AO102" s="297" t="str">
        <f t="shared" si="4"/>
        <v/>
      </c>
      <c r="AP102" s="298" t="str">
        <f t="shared" si="69"/>
        <v>Absent</v>
      </c>
      <c r="AQ102" s="260" t="b">
        <f t="shared" si="6"/>
        <v>1</v>
      </c>
      <c r="AR102" s="266">
        <v>112.0</v>
      </c>
      <c r="AS102" s="279"/>
      <c r="AT102" s="279"/>
      <c r="AU102" s="299" t="s">
        <v>646</v>
      </c>
      <c r="AV102" s="292">
        <v>8.0</v>
      </c>
      <c r="AW102" s="286" t="b">
        <v>1</v>
      </c>
      <c r="AX102" s="270" t="b">
        <f t="shared" si="7"/>
        <v>1</v>
      </c>
      <c r="AY102" s="254">
        <f t="shared" si="66"/>
        <v>2</v>
      </c>
      <c r="AZ102" s="307"/>
      <c r="BA102" s="272" t="b">
        <v>1</v>
      </c>
      <c r="BB102" s="245" t="b">
        <f t="shared" si="9"/>
        <v>0</v>
      </c>
      <c r="BC102" s="260" t="str">
        <f t="shared" si="10"/>
        <v/>
      </c>
      <c r="BD102" s="260" t="str">
        <f t="shared" si="11"/>
        <v/>
      </c>
      <c r="BE102" s="273" t="b">
        <f t="shared" si="12"/>
        <v>1</v>
      </c>
      <c r="BF102" s="274" t="str">
        <f t="shared" si="13"/>
        <v/>
      </c>
      <c r="BG102" s="275" t="str">
        <f t="shared" si="14"/>
        <v/>
      </c>
      <c r="BH102" s="96" t="str">
        <f t="shared" si="15"/>
        <v/>
      </c>
      <c r="BI102" s="96" t="str">
        <f t="shared" si="16"/>
        <v/>
      </c>
      <c r="BJ102" s="96" t="str">
        <f t="shared" si="17"/>
        <v/>
      </c>
      <c r="BK102" s="96" t="str">
        <f t="shared" si="18"/>
        <v/>
      </c>
      <c r="BL102" s="10" t="str">
        <f>IFNA(IF(VLOOKUP(FLOOR($B102,1),'APS Tubes by Date IMPORT'!$B$2:$J163,1,FALSE)=FLOOR($BL101,1),IFERROR(0/0,""),VLOOKUP(FLOOR($B102,1),'APS Tubes by Date IMPORT'!$B$2:$J163,1,FALSE)),"")</f>
        <v/>
      </c>
      <c r="BM102" s="96" t="str">
        <f>IF(ISBLANK($BL102),IFERROR(0/0,""),VLOOKUP(FLOOR($B102,1),'APS Tubes by Date IMPORT'!$B$2:$J163,2,FALSE))</f>
        <v/>
      </c>
    </row>
    <row r="103">
      <c r="A103" s="245" t="str">
        <f>CONCATENATE("RUN-",'Process Ref'!$A$1,"_",TEXT(U103,"YYYY-MM-DD"),"_RFR-",TEXT(AR103,"000"),IF(EXACT(W103,"Initial"),"",CONCATENATE("_",W103)))</f>
        <v>RUN-FLMP_2022-04-18_RFR-113</v>
      </c>
      <c r="B103" s="246">
        <v>44669.45845173611</v>
      </c>
      <c r="C103" s="256"/>
      <c r="D103" s="256" t="s">
        <v>442</v>
      </c>
      <c r="E103" s="250">
        <v>24.0</v>
      </c>
      <c r="F103" s="256" t="s">
        <v>869</v>
      </c>
      <c r="G103" s="249" t="s">
        <v>870</v>
      </c>
      <c r="H103" s="249"/>
      <c r="I103" s="249" t="s">
        <v>871</v>
      </c>
      <c r="J103" s="250">
        <v>2.0</v>
      </c>
      <c r="K103" s="251"/>
      <c r="L103" s="248"/>
      <c r="M103" s="252"/>
      <c r="N103" s="252"/>
      <c r="O103" s="253"/>
      <c r="P103" s="254" t="b">
        <v>0</v>
      </c>
      <c r="Q103" s="255" t="b">
        <v>0</v>
      </c>
      <c r="R103" s="256"/>
      <c r="S103" s="254" t="b">
        <v>0</v>
      </c>
      <c r="T103" s="284" t="b">
        <v>1</v>
      </c>
      <c r="U103" s="258">
        <v>44669.0</v>
      </c>
      <c r="V103" s="259">
        <v>0.3819444444444444</v>
      </c>
      <c r="W103" s="247" t="s">
        <v>447</v>
      </c>
      <c r="X103" s="247" t="s">
        <v>872</v>
      </c>
      <c r="Y103" s="255" t="b">
        <v>1</v>
      </c>
      <c r="Z103" s="248">
        <v>26.0</v>
      </c>
      <c r="AA103" s="260">
        <f t="shared" si="34"/>
        <v>2</v>
      </c>
      <c r="AB103" s="261" t="b">
        <f t="shared" si="2"/>
        <v>0</v>
      </c>
      <c r="AC103" s="248">
        <v>24.0</v>
      </c>
      <c r="AD103" s="248">
        <v>2.0</v>
      </c>
      <c r="AE103" s="248">
        <f t="shared" si="63"/>
        <v>2</v>
      </c>
      <c r="AF103" s="248">
        <v>0.0</v>
      </c>
      <c r="AG103" s="248">
        <v>0.0</v>
      </c>
      <c r="AH103" s="250">
        <f t="shared" si="64"/>
        <v>0</v>
      </c>
      <c r="AI103" s="248">
        <v>0.0</v>
      </c>
      <c r="AJ103" s="250" t="b">
        <v>0</v>
      </c>
      <c r="AK103" s="262">
        <f t="shared" si="70"/>
        <v>24</v>
      </c>
      <c r="AL103" s="248">
        <v>1.1</v>
      </c>
      <c r="AM103" s="248">
        <v>2.0</v>
      </c>
      <c r="AN103" s="263" t="str">
        <f>IFNA(VLOOKUP($A103,'Tube Reactions'!$J$2:$K163,2,FALSE),"")</f>
        <v/>
      </c>
      <c r="AO103" s="264" t="str">
        <f t="shared" si="4"/>
        <v>NOT EQUAL</v>
      </c>
      <c r="AP103" s="265" t="str">
        <f t="shared" si="69"/>
        <v>Absent</v>
      </c>
      <c r="AQ103" s="260" t="b">
        <f t="shared" si="6"/>
        <v>1</v>
      </c>
      <c r="AR103" s="266">
        <v>113.0</v>
      </c>
      <c r="AS103" s="267"/>
      <c r="AT103" s="247"/>
      <c r="AU103" s="268" t="s">
        <v>646</v>
      </c>
      <c r="AV103" s="269">
        <v>26.0</v>
      </c>
      <c r="AW103" s="250" t="b">
        <v>0</v>
      </c>
      <c r="AX103" s="270" t="b">
        <f t="shared" si="7"/>
        <v>1</v>
      </c>
      <c r="AY103" s="250">
        <f t="shared" si="66"/>
        <v>2</v>
      </c>
      <c r="AZ103" s="276"/>
      <c r="BA103" s="272" t="b">
        <v>1</v>
      </c>
      <c r="BB103" s="245" t="b">
        <f t="shared" si="9"/>
        <v>1</v>
      </c>
      <c r="BC103" s="260">
        <f t="shared" si="10"/>
        <v>1.1</v>
      </c>
      <c r="BD103" s="260">
        <f t="shared" si="11"/>
        <v>24</v>
      </c>
      <c r="BE103" s="273" t="b">
        <f t="shared" si="12"/>
        <v>1</v>
      </c>
      <c r="BF103" s="274">
        <f t="shared" si="13"/>
        <v>44669</v>
      </c>
      <c r="BG103" s="275" t="str">
        <f t="shared" si="14"/>
        <v>RUN-FLMP_2022-04-18_RFR-113</v>
      </c>
      <c r="BH103" s="96">
        <f t="shared" si="15"/>
        <v>24</v>
      </c>
      <c r="BI103" s="96">
        <f t="shared" si="16"/>
        <v>24</v>
      </c>
      <c r="BJ103" s="96">
        <f t="shared" si="17"/>
        <v>24</v>
      </c>
      <c r="BK103" s="96">
        <f t="shared" si="18"/>
        <v>1.1</v>
      </c>
      <c r="BL103" s="10">
        <f>IFNA(IF(VLOOKUP(FLOOR($B103,1),'APS Tubes by Date IMPORT'!$B$2:$J163,1,FALSE)=FLOOR($BL102,1),IFERROR(0/0,""),VLOOKUP(FLOOR($B103,1),'APS Tubes by Date IMPORT'!$B$2:$J163,1,FALSE)),"")</f>
        <v>44669</v>
      </c>
      <c r="BM103" s="96">
        <f>IF(ISBLANK($BL103),IFERROR(0/0,""),VLOOKUP(FLOOR($B103,1),'APS Tubes by Date IMPORT'!$B$2:$J163,2,FALSE))</f>
        <v>20</v>
      </c>
    </row>
    <row r="104">
      <c r="A104" s="245" t="str">
        <f>CONCATENATE("RUN-",'Process Ref'!$A$1,"_",TEXT(U104,"YYYY-MM-DD"),"_RFR-",TEXT(AR104,"000"),IF(EXACT(W104,"Initial"),"",CONCATENATE("_",W104)))</f>
        <v>RUN-FLMP_2022-04-18_RFR-114_Re-run</v>
      </c>
      <c r="B104" s="285">
        <v>44669.45845173611</v>
      </c>
      <c r="C104" s="256"/>
      <c r="D104" s="256" t="s">
        <v>442</v>
      </c>
      <c r="E104" s="250"/>
      <c r="F104" s="256" t="s">
        <v>869</v>
      </c>
      <c r="G104" s="249" t="s">
        <v>870</v>
      </c>
      <c r="H104" s="282"/>
      <c r="I104" s="249" t="s">
        <v>873</v>
      </c>
      <c r="J104" s="250"/>
      <c r="K104" s="251"/>
      <c r="L104" s="248"/>
      <c r="M104" s="252"/>
      <c r="N104" s="252"/>
      <c r="O104" s="253"/>
      <c r="P104" s="254" t="b">
        <v>0</v>
      </c>
      <c r="Q104" s="286" t="b">
        <v>0</v>
      </c>
      <c r="R104" s="256"/>
      <c r="S104" s="286" t="b">
        <v>1</v>
      </c>
      <c r="T104" s="287" t="b">
        <v>1</v>
      </c>
      <c r="U104" s="288">
        <v>44669.0</v>
      </c>
      <c r="V104" s="289">
        <v>0.4236111111111111</v>
      </c>
      <c r="W104" s="290" t="s">
        <v>469</v>
      </c>
      <c r="X104" s="291"/>
      <c r="Y104" s="286" t="b">
        <v>1</v>
      </c>
      <c r="Z104" s="292"/>
      <c r="AA104" s="260">
        <f t="shared" si="34"/>
        <v>0</v>
      </c>
      <c r="AB104" s="293" t="b">
        <f t="shared" si="2"/>
        <v>1</v>
      </c>
      <c r="AC104" s="292">
        <v>4.0</v>
      </c>
      <c r="AD104" s="292">
        <v>0.0</v>
      </c>
      <c r="AE104" s="292">
        <v>0.0</v>
      </c>
      <c r="AF104" s="292">
        <v>0.0</v>
      </c>
      <c r="AG104" s="292">
        <v>0.0</v>
      </c>
      <c r="AH104" s="292">
        <v>0.0</v>
      </c>
      <c r="AI104" s="292">
        <v>0.0</v>
      </c>
      <c r="AJ104" s="305" t="b">
        <v>1</v>
      </c>
      <c r="AK104" s="278">
        <v>2.0</v>
      </c>
      <c r="AL104" s="292">
        <v>0.0</v>
      </c>
      <c r="AM104" s="250"/>
      <c r="AN104" s="296" t="str">
        <f>IFNA(VLOOKUP($A104,'Tube Reactions'!$J$2:$K163,2,FALSE),"")</f>
        <v/>
      </c>
      <c r="AO104" s="297" t="str">
        <f t="shared" si="4"/>
        <v/>
      </c>
      <c r="AP104" s="298" t="str">
        <f t="shared" si="69"/>
        <v>Absent</v>
      </c>
      <c r="AQ104" s="260" t="b">
        <f t="shared" si="6"/>
        <v>1</v>
      </c>
      <c r="AR104" s="266">
        <v>114.0</v>
      </c>
      <c r="AS104" s="279" t="s">
        <v>874</v>
      </c>
      <c r="AT104" s="279"/>
      <c r="AU104" s="299" t="s">
        <v>646</v>
      </c>
      <c r="AV104" s="292">
        <v>6.0</v>
      </c>
      <c r="AW104" s="286" t="b">
        <v>1</v>
      </c>
      <c r="AX104" s="270" t="b">
        <f t="shared" si="7"/>
        <v>1</v>
      </c>
      <c r="AY104" s="254">
        <f t="shared" si="66"/>
        <v>2</v>
      </c>
      <c r="AZ104" s="307"/>
      <c r="BA104" s="272" t="b">
        <v>1</v>
      </c>
      <c r="BB104" s="245" t="b">
        <f t="shared" si="9"/>
        <v>0</v>
      </c>
      <c r="BC104" s="260" t="str">
        <f t="shared" si="10"/>
        <v/>
      </c>
      <c r="BD104" s="260" t="str">
        <f t="shared" si="11"/>
        <v/>
      </c>
      <c r="BE104" s="273" t="b">
        <f t="shared" si="12"/>
        <v>1</v>
      </c>
      <c r="BF104" s="274" t="str">
        <f t="shared" si="13"/>
        <v/>
      </c>
      <c r="BG104" s="275" t="str">
        <f t="shared" si="14"/>
        <v/>
      </c>
      <c r="BH104" s="96" t="str">
        <f t="shared" si="15"/>
        <v/>
      </c>
      <c r="BI104" s="96" t="str">
        <f t="shared" si="16"/>
        <v/>
      </c>
      <c r="BJ104" s="96" t="str">
        <f t="shared" si="17"/>
        <v/>
      </c>
      <c r="BK104" s="96" t="str">
        <f t="shared" si="18"/>
        <v/>
      </c>
      <c r="BL104" s="10" t="str">
        <f>IFNA(IF(VLOOKUP(FLOOR($B104,1),'APS Tubes by Date IMPORT'!$B$2:$J163,1,FALSE)=FLOOR($BL103,1),IFERROR(0/0,""),VLOOKUP(FLOOR($B104,1),'APS Tubes by Date IMPORT'!$B$2:$J163,1,FALSE)),"")</f>
        <v/>
      </c>
      <c r="BM104" s="96" t="str">
        <f>IF(ISBLANK($BL104),IFERROR(0/0,""),VLOOKUP(FLOOR($B104,1),'APS Tubes by Date IMPORT'!$B$2:$J163,2,FALSE))</f>
        <v/>
      </c>
    </row>
    <row r="105">
      <c r="A105" s="245" t="str">
        <f>CONCATENATE("RUN-",'Process Ref'!$A$1,"_",TEXT(U105,"YYYY-MM-DD"),"_RFR-",TEXT(AR105,"000"),IF(EXACT(W105,"Initial"),"",CONCATENATE("_",W105)))</f>
        <v>RUN-FLMP_2022-04-19_RFR-115</v>
      </c>
      <c r="B105" s="323">
        <v>44670.45191512731</v>
      </c>
      <c r="C105" s="324"/>
      <c r="D105" s="324" t="s">
        <v>841</v>
      </c>
      <c r="E105" s="325">
        <v>5.0</v>
      </c>
      <c r="F105" s="324" t="s">
        <v>875</v>
      </c>
      <c r="G105" s="326" t="s">
        <v>876</v>
      </c>
      <c r="H105" s="326"/>
      <c r="I105" s="326" t="s">
        <v>877</v>
      </c>
      <c r="J105" s="325"/>
      <c r="K105" s="327"/>
      <c r="L105" s="328"/>
      <c r="M105" s="329"/>
      <c r="N105" s="329"/>
      <c r="O105" s="330"/>
      <c r="P105" s="331" t="b">
        <v>0</v>
      </c>
      <c r="Q105" s="332" t="b">
        <v>0</v>
      </c>
      <c r="R105" s="324"/>
      <c r="S105" s="331" t="b">
        <v>0</v>
      </c>
      <c r="T105" s="333" t="b">
        <v>0</v>
      </c>
      <c r="U105" s="370">
        <v>44670.0</v>
      </c>
      <c r="V105" s="335">
        <v>0.3958333333333333</v>
      </c>
      <c r="W105" s="336" t="s">
        <v>447</v>
      </c>
      <c r="X105" s="324"/>
      <c r="Y105" s="331" t="b">
        <v>0</v>
      </c>
      <c r="Z105" s="328">
        <v>8.0</v>
      </c>
      <c r="AA105" s="337">
        <f t="shared" si="34"/>
        <v>3</v>
      </c>
      <c r="AB105" s="338" t="b">
        <f t="shared" si="2"/>
        <v>1</v>
      </c>
      <c r="AC105" s="328">
        <v>6.0</v>
      </c>
      <c r="AD105" s="328">
        <v>0.0</v>
      </c>
      <c r="AE105" s="328">
        <f t="shared" ref="AE105:AE106" si="71">IF(W105="Initial",AD105,(IF(AJ105=TRUE,"CORRECT ME",AD105/3)))</f>
        <v>0</v>
      </c>
      <c r="AF105" s="328">
        <v>0.0</v>
      </c>
      <c r="AG105" s="328">
        <v>0.0</v>
      </c>
      <c r="AH105" s="328">
        <v>0.0</v>
      </c>
      <c r="AI105" s="328">
        <v>0.0</v>
      </c>
      <c r="AJ105" s="325" t="b">
        <v>0</v>
      </c>
      <c r="AK105" s="339">
        <v>5.0</v>
      </c>
      <c r="AL105" s="328">
        <v>0.0</v>
      </c>
      <c r="AM105" s="328">
        <v>0.0</v>
      </c>
      <c r="AN105" s="340" t="str">
        <f>IFNA(VLOOKUP($A105,'Tube Reactions'!$J$2:$K163,2,FALSE),"")</f>
        <v/>
      </c>
      <c r="AO105" s="341" t="str">
        <f t="shared" si="4"/>
        <v/>
      </c>
      <c r="AP105" s="342" t="str">
        <f t="shared" si="69"/>
        <v>Absent</v>
      </c>
      <c r="AQ105" s="337" t="b">
        <f t="shared" si="6"/>
        <v>1</v>
      </c>
      <c r="AR105" s="343">
        <v>115.0</v>
      </c>
      <c r="AS105" s="358" t="s">
        <v>878</v>
      </c>
      <c r="AT105" s="336"/>
      <c r="AU105" s="345" t="s">
        <v>646</v>
      </c>
      <c r="AV105" s="346">
        <v>8.0</v>
      </c>
      <c r="AW105" s="328" t="b">
        <v>1</v>
      </c>
      <c r="AX105" s="347" t="b">
        <f t="shared" si="7"/>
        <v>1</v>
      </c>
      <c r="AY105" s="325">
        <f t="shared" si="66"/>
        <v>2</v>
      </c>
      <c r="AZ105" s="349"/>
      <c r="BA105" s="350" t="b">
        <v>1</v>
      </c>
      <c r="BB105" s="322" t="b">
        <f t="shared" si="9"/>
        <v>1</v>
      </c>
      <c r="BC105" s="337" t="b">
        <f t="shared" si="10"/>
        <v>1</v>
      </c>
      <c r="BD105" s="337">
        <f t="shared" si="11"/>
        <v>5</v>
      </c>
      <c r="BE105" s="273" t="b">
        <f t="shared" si="12"/>
        <v>1</v>
      </c>
      <c r="BF105" s="274">
        <f t="shared" si="13"/>
        <v>44670</v>
      </c>
      <c r="BG105" s="275" t="str">
        <f t="shared" si="14"/>
        <v>RUN-FLMP_2022-04-19_RFR-115</v>
      </c>
      <c r="BH105" s="96">
        <f t="shared" si="15"/>
        <v>5</v>
      </c>
      <c r="BI105" s="96">
        <f t="shared" si="16"/>
        <v>6</v>
      </c>
      <c r="BJ105" s="96">
        <f t="shared" si="17"/>
        <v>5</v>
      </c>
      <c r="BK105" s="96">
        <f t="shared" si="18"/>
        <v>0</v>
      </c>
      <c r="BL105" s="10">
        <f>IFNA(IF(VLOOKUP(FLOOR($B105,1),'APS Tubes by Date IMPORT'!$B$2:$J163,1,FALSE)=FLOOR($BL104,1),IFERROR(0/0,""),VLOOKUP(FLOOR($B105,1),'APS Tubes by Date IMPORT'!$B$2:$J163,1,FALSE)),"")</f>
        <v>44670</v>
      </c>
      <c r="BM105" s="96">
        <f>IF(ISBLANK($BL105),IFERROR(0/0,""),VLOOKUP(FLOOR($B105,1),'APS Tubes by Date IMPORT'!$B$2:$J163,2,FALSE))</f>
        <v>5</v>
      </c>
    </row>
    <row r="106">
      <c r="A106" s="245" t="str">
        <f>CONCATENATE("RUN-",'Process Ref'!$A$1,"_",TEXT(U106,"YYYY-MM-DD"),"_RFR-",TEXT(AR106,"000"),IF(EXACT(W106,"Initial"),"",CONCATENATE("_",W106)))</f>
        <v>RUN-FLMP_2022-04-21_RFR-116</v>
      </c>
      <c r="B106" s="246">
        <v>44672.43390533565</v>
      </c>
      <c r="C106" s="256"/>
      <c r="D106" s="256" t="s">
        <v>442</v>
      </c>
      <c r="E106" s="250">
        <v>23.0</v>
      </c>
      <c r="F106" s="256" t="s">
        <v>879</v>
      </c>
      <c r="G106" s="249" t="s">
        <v>880</v>
      </c>
      <c r="H106" s="249"/>
      <c r="I106" s="249" t="s">
        <v>881</v>
      </c>
      <c r="J106" s="250"/>
      <c r="K106" s="251"/>
      <c r="L106" s="248"/>
      <c r="M106" s="252"/>
      <c r="N106" s="252"/>
      <c r="O106" s="253"/>
      <c r="P106" s="254" t="b">
        <v>0</v>
      </c>
      <c r="Q106" s="255" t="b">
        <v>0</v>
      </c>
      <c r="R106" s="256"/>
      <c r="S106" s="254" t="b">
        <v>0</v>
      </c>
      <c r="T106" s="257" t="b">
        <v>0</v>
      </c>
      <c r="U106" s="258">
        <v>44672.0</v>
      </c>
      <c r="V106" s="259">
        <v>0.3715277777777778</v>
      </c>
      <c r="W106" s="247" t="s">
        <v>447</v>
      </c>
      <c r="X106" s="256"/>
      <c r="Y106" s="254" t="b">
        <v>0</v>
      </c>
      <c r="Z106" s="248">
        <v>25.0</v>
      </c>
      <c r="AA106" s="260">
        <f t="shared" si="34"/>
        <v>2</v>
      </c>
      <c r="AB106" s="261" t="b">
        <f t="shared" si="2"/>
        <v>0</v>
      </c>
      <c r="AC106" s="248">
        <v>23.0</v>
      </c>
      <c r="AD106" s="248">
        <v>0.0</v>
      </c>
      <c r="AE106" s="248">
        <f t="shared" si="71"/>
        <v>0</v>
      </c>
      <c r="AF106" s="248">
        <v>0.0</v>
      </c>
      <c r="AG106" s="248">
        <v>0.0</v>
      </c>
      <c r="AH106" s="250">
        <f>IF(W106="Initial",AG106,(IF(AJ106=TRUE,"CORRECT ME",AG106/3)))</f>
        <v>0</v>
      </c>
      <c r="AI106" s="248">
        <v>0.0</v>
      </c>
      <c r="AJ106" s="250" t="b">
        <v>0</v>
      </c>
      <c r="AK106" s="262">
        <f>IF(W106="Initial",AC106,IF(AJ106=TRUE,"CORRECT ME",AC106/3))</f>
        <v>23</v>
      </c>
      <c r="AL106" s="248">
        <v>0.0</v>
      </c>
      <c r="AM106" s="248">
        <v>0.0</v>
      </c>
      <c r="AN106" s="263" t="str">
        <f>IFNA(VLOOKUP($A106,'Tube Reactions'!$J$2:$K163,2,FALSE),"")</f>
        <v/>
      </c>
      <c r="AO106" s="264" t="str">
        <f t="shared" si="4"/>
        <v/>
      </c>
      <c r="AP106" s="265" t="str">
        <f t="shared" si="69"/>
        <v>Absent</v>
      </c>
      <c r="AQ106" s="260" t="b">
        <f t="shared" si="6"/>
        <v>1</v>
      </c>
      <c r="AR106" s="266">
        <v>116.0</v>
      </c>
      <c r="AS106" s="267"/>
      <c r="AT106" s="247"/>
      <c r="AU106" s="268" t="s">
        <v>646</v>
      </c>
      <c r="AV106" s="269">
        <v>25.0</v>
      </c>
      <c r="AW106" s="248" t="b">
        <v>1</v>
      </c>
      <c r="AX106" s="270" t="b">
        <f t="shared" si="7"/>
        <v>1</v>
      </c>
      <c r="AY106" s="250">
        <f t="shared" si="66"/>
        <v>2</v>
      </c>
      <c r="AZ106" s="276"/>
      <c r="BA106" s="272" t="b">
        <v>0</v>
      </c>
      <c r="BB106" s="245" t="str">
        <f t="shared" si="9"/>
        <v/>
      </c>
      <c r="BC106" s="260" t="str">
        <f t="shared" si="10"/>
        <v/>
      </c>
      <c r="BD106" s="260" t="str">
        <f t="shared" si="11"/>
        <v/>
      </c>
      <c r="BE106" s="273" t="b">
        <f t="shared" si="12"/>
        <v>1</v>
      </c>
      <c r="BF106" s="274">
        <f t="shared" si="13"/>
        <v>44672</v>
      </c>
      <c r="BG106" s="275" t="str">
        <f t="shared" si="14"/>
        <v>RUN-FLMP_2022-04-21_RFR-116</v>
      </c>
      <c r="BH106" s="96">
        <f t="shared" si="15"/>
        <v>23</v>
      </c>
      <c r="BI106" s="96">
        <f t="shared" si="16"/>
        <v>23</v>
      </c>
      <c r="BJ106" s="96">
        <f t="shared" si="17"/>
        <v>23</v>
      </c>
      <c r="BK106" s="96">
        <f t="shared" si="18"/>
        <v>0</v>
      </c>
      <c r="BL106" s="10">
        <f>IFNA(IF(VLOOKUP(FLOOR($B106,1),'APS Tubes by Date IMPORT'!$B$2:$J163,1,FALSE)=FLOOR($BL105,1),IFERROR(0/0,""),VLOOKUP(FLOOR($B106,1),'APS Tubes by Date IMPORT'!$B$2:$J163,1,FALSE)),"")</f>
        <v>44672</v>
      </c>
      <c r="BM106" s="96">
        <f>IF(ISBLANK($BL106),IFERROR(0/0,""),VLOOKUP(FLOOR($B106,1),'APS Tubes by Date IMPORT'!$B$2:$J163,2,FALSE))</f>
        <v>24</v>
      </c>
    </row>
    <row r="107">
      <c r="A107" s="245" t="str">
        <f>CONCATENATE("RUN-",'Process Ref'!$A$1,"_",TEXT(U107,"YYYY-MM-DD"),"_RFR-",TEXT(AR107,"000"),IF(EXACT(W107,"Initial"),"",CONCATENATE("_",W107)))</f>
        <v>RUN-FLMP_2022-04-21_RFR-117</v>
      </c>
      <c r="B107" s="246">
        <v>44672.49780936343</v>
      </c>
      <c r="C107" s="256"/>
      <c r="D107" s="256" t="s">
        <v>841</v>
      </c>
      <c r="E107" s="250">
        <v>1.0</v>
      </c>
      <c r="F107" s="256" t="s">
        <v>882</v>
      </c>
      <c r="G107" s="249" t="s">
        <v>883</v>
      </c>
      <c r="H107" s="249"/>
      <c r="I107" s="249" t="s">
        <v>884</v>
      </c>
      <c r="J107" s="250"/>
      <c r="K107" s="251" t="s">
        <v>885</v>
      </c>
      <c r="L107" s="248"/>
      <c r="M107" s="252"/>
      <c r="N107" s="252"/>
      <c r="O107" s="253"/>
      <c r="P107" s="254" t="b">
        <v>0</v>
      </c>
      <c r="Q107" s="255" t="b">
        <v>0</v>
      </c>
      <c r="R107" s="256"/>
      <c r="S107" s="254" t="b">
        <v>0</v>
      </c>
      <c r="T107" s="284" t="b">
        <v>1</v>
      </c>
      <c r="U107" s="258">
        <v>44672.0</v>
      </c>
      <c r="V107" s="259">
        <v>0.4166666666666667</v>
      </c>
      <c r="W107" s="247" t="s">
        <v>447</v>
      </c>
      <c r="X107" s="247" t="s">
        <v>886</v>
      </c>
      <c r="Y107" s="254" t="b">
        <v>0</v>
      </c>
      <c r="Z107" s="248">
        <v>5.0</v>
      </c>
      <c r="AA107" s="260">
        <f t="shared" si="34"/>
        <v>4</v>
      </c>
      <c r="AB107" s="261" t="b">
        <f t="shared" si="2"/>
        <v>1</v>
      </c>
      <c r="AC107" s="248">
        <v>3.0</v>
      </c>
      <c r="AD107" s="248">
        <v>0.0</v>
      </c>
      <c r="AE107" s="248">
        <v>0.0</v>
      </c>
      <c r="AF107" s="248">
        <v>0.0</v>
      </c>
      <c r="AG107" s="248">
        <v>0.0</v>
      </c>
      <c r="AH107" s="248">
        <v>0.0</v>
      </c>
      <c r="AI107" s="248">
        <v>0.0</v>
      </c>
      <c r="AJ107" s="250" t="b">
        <v>0</v>
      </c>
      <c r="AK107" s="278">
        <v>1.0</v>
      </c>
      <c r="AL107" s="248">
        <v>0.0</v>
      </c>
      <c r="AM107" s="248">
        <v>0.0</v>
      </c>
      <c r="AN107" s="263" t="str">
        <f>IFNA(VLOOKUP($A107,'Tube Reactions'!$J$2:$K163,2,FALSE),"")</f>
        <v/>
      </c>
      <c r="AO107" s="264" t="str">
        <f t="shared" si="4"/>
        <v/>
      </c>
      <c r="AP107" s="265" t="str">
        <f t="shared" si="69"/>
        <v>Absent</v>
      </c>
      <c r="AQ107" s="260" t="b">
        <f t="shared" si="6"/>
        <v>1</v>
      </c>
      <c r="AR107" s="266">
        <v>117.0</v>
      </c>
      <c r="AS107" s="267" t="s">
        <v>887</v>
      </c>
      <c r="AT107" s="247"/>
      <c r="AU107" s="268" t="s">
        <v>888</v>
      </c>
      <c r="AV107" s="269">
        <v>5.0</v>
      </c>
      <c r="AW107" s="248" t="b">
        <v>1</v>
      </c>
      <c r="AX107" s="270" t="b">
        <f t="shared" si="7"/>
        <v>1</v>
      </c>
      <c r="AY107" s="250">
        <f t="shared" si="66"/>
        <v>2</v>
      </c>
      <c r="AZ107" s="276"/>
      <c r="BA107" s="272" t="b">
        <v>0</v>
      </c>
      <c r="BB107" s="245" t="str">
        <f t="shared" si="9"/>
        <v/>
      </c>
      <c r="BC107" s="260" t="str">
        <f t="shared" si="10"/>
        <v/>
      </c>
      <c r="BD107" s="260" t="str">
        <f t="shared" si="11"/>
        <v/>
      </c>
      <c r="BE107" s="273" t="b">
        <f t="shared" si="12"/>
        <v>1</v>
      </c>
      <c r="BF107" s="274">
        <f t="shared" si="13"/>
        <v>44672</v>
      </c>
      <c r="BG107" s="275" t="str">
        <f t="shared" si="14"/>
        <v>RUN-FLMP_2022-04-21_RFR-117</v>
      </c>
      <c r="BH107" s="96">
        <f t="shared" si="15"/>
        <v>1</v>
      </c>
      <c r="BI107" s="96">
        <f t="shared" si="16"/>
        <v>3</v>
      </c>
      <c r="BJ107" s="96">
        <f t="shared" si="17"/>
        <v>1</v>
      </c>
      <c r="BK107" s="96">
        <f t="shared" si="18"/>
        <v>0</v>
      </c>
      <c r="BL107" s="10" t="str">
        <f>IFNA(IF(VLOOKUP(FLOOR($B107,1),'APS Tubes by Date IMPORT'!$B$2:$J163,1,FALSE)=FLOOR($BL106,1),IFERROR(0/0,""),VLOOKUP(FLOOR($B107,1),'APS Tubes by Date IMPORT'!$B$2:$J163,1,FALSE)),"")</f>
        <v/>
      </c>
      <c r="BM107" s="96" t="str">
        <f>IF(ISBLANK($BL107),IFERROR(0/0,""),VLOOKUP(FLOOR($B107,1),'APS Tubes by Date IMPORT'!$B$2:$J163,2,FALSE))</f>
        <v/>
      </c>
    </row>
    <row r="108">
      <c r="A108" s="245" t="str">
        <f>CONCATENATE("RUN-",'Process Ref'!$A$1,"_",TEXT(U108,"YYYY-MM-DD"),"_RFR-",TEXT(AR108,"000"),IF(EXACT(W108,"Initial"),"",CONCATENATE("_",W108)))</f>
        <v>RUN-FLMP_2022-04-25_RFR-118</v>
      </c>
      <c r="B108" s="246">
        <v>44676.43877472222</v>
      </c>
      <c r="C108" s="256"/>
      <c r="D108" s="256" t="s">
        <v>442</v>
      </c>
      <c r="E108" s="250">
        <v>22.0</v>
      </c>
      <c r="F108" s="256" t="s">
        <v>889</v>
      </c>
      <c r="G108" s="249" t="s">
        <v>890</v>
      </c>
      <c r="H108" s="249"/>
      <c r="I108" s="249" t="s">
        <v>891</v>
      </c>
      <c r="J108" s="250"/>
      <c r="K108" s="251"/>
      <c r="L108" s="248"/>
      <c r="M108" s="252"/>
      <c r="N108" s="252"/>
      <c r="O108" s="253"/>
      <c r="P108" s="254" t="b">
        <v>0</v>
      </c>
      <c r="Q108" s="255" t="b">
        <v>0</v>
      </c>
      <c r="R108" s="256"/>
      <c r="S108" s="254" t="b">
        <v>0</v>
      </c>
      <c r="T108" s="257" t="b">
        <v>0</v>
      </c>
      <c r="U108" s="258">
        <v>44676.0</v>
      </c>
      <c r="V108" s="259">
        <v>0.375</v>
      </c>
      <c r="W108" s="247" t="s">
        <v>447</v>
      </c>
      <c r="X108" s="256"/>
      <c r="Y108" s="254" t="b">
        <v>0</v>
      </c>
      <c r="Z108" s="248">
        <v>24.0</v>
      </c>
      <c r="AA108" s="260">
        <f t="shared" si="34"/>
        <v>2</v>
      </c>
      <c r="AB108" s="261" t="b">
        <f t="shared" si="2"/>
        <v>0</v>
      </c>
      <c r="AC108" s="248">
        <v>22.0</v>
      </c>
      <c r="AD108" s="248">
        <v>0.0</v>
      </c>
      <c r="AE108" s="248">
        <f>IF(W108="Initial",AD108,(IF(AJ108=TRUE,"CORRECT ME",AD108/3)))</f>
        <v>0</v>
      </c>
      <c r="AF108" s="248">
        <v>0.0</v>
      </c>
      <c r="AG108" s="248">
        <v>0.0</v>
      </c>
      <c r="AH108" s="250">
        <f>IF(W108="Initial",AG108,(IF(AJ108=TRUE,"CORRECT ME",AG108/3)))</f>
        <v>0</v>
      </c>
      <c r="AI108" s="248">
        <v>0.0</v>
      </c>
      <c r="AJ108" s="250" t="b">
        <v>0</v>
      </c>
      <c r="AK108" s="262">
        <f>IF(W108="Initial",AC108,IF(AJ108=TRUE,"CORRECT ME",AC108/3))</f>
        <v>22</v>
      </c>
      <c r="AL108" s="248">
        <v>0.0</v>
      </c>
      <c r="AM108" s="248">
        <v>0.0</v>
      </c>
      <c r="AN108" s="263" t="str">
        <f>IFNA(VLOOKUP($A108,'Tube Reactions'!$J$2:$K163,2,FALSE),"")</f>
        <v/>
      </c>
      <c r="AO108" s="264" t="str">
        <f t="shared" si="4"/>
        <v/>
      </c>
      <c r="AP108" s="265" t="str">
        <f t="shared" si="69"/>
        <v>Absent</v>
      </c>
      <c r="AQ108" s="260" t="b">
        <f t="shared" si="6"/>
        <v>1</v>
      </c>
      <c r="AR108" s="266">
        <v>118.0</v>
      </c>
      <c r="AS108" s="267"/>
      <c r="AT108" s="247"/>
      <c r="AU108" s="268" t="s">
        <v>646</v>
      </c>
      <c r="AV108" s="269">
        <v>24.0</v>
      </c>
      <c r="AW108" s="248" t="b">
        <v>1</v>
      </c>
      <c r="AX108" s="270" t="b">
        <f t="shared" si="7"/>
        <v>1</v>
      </c>
      <c r="AY108" s="250">
        <f t="shared" si="66"/>
        <v>2</v>
      </c>
      <c r="AZ108" s="276"/>
      <c r="BA108" s="272" t="b">
        <v>1</v>
      </c>
      <c r="BB108" s="245" t="b">
        <f t="shared" si="9"/>
        <v>1</v>
      </c>
      <c r="BC108" s="260" t="b">
        <f t="shared" si="10"/>
        <v>1</v>
      </c>
      <c r="BD108" s="260">
        <f t="shared" si="11"/>
        <v>22</v>
      </c>
      <c r="BE108" s="273" t="b">
        <f t="shared" si="12"/>
        <v>1</v>
      </c>
      <c r="BF108" s="274">
        <f t="shared" si="13"/>
        <v>44676</v>
      </c>
      <c r="BG108" s="275" t="str">
        <f t="shared" si="14"/>
        <v>RUN-FLMP_2022-04-25_RFR-118</v>
      </c>
      <c r="BH108" s="96">
        <f t="shared" si="15"/>
        <v>22</v>
      </c>
      <c r="BI108" s="96">
        <f t="shared" si="16"/>
        <v>22</v>
      </c>
      <c r="BJ108" s="96">
        <f t="shared" si="17"/>
        <v>22</v>
      </c>
      <c r="BK108" s="96">
        <f t="shared" si="18"/>
        <v>0</v>
      </c>
      <c r="BL108" s="10">
        <f>IFNA(IF(VLOOKUP(FLOOR($B108,1),'APS Tubes by Date IMPORT'!$B$2:$J163,1,FALSE)=FLOOR($BL107,1),IFERROR(0/0,""),VLOOKUP(FLOOR($B108,1),'APS Tubes by Date IMPORT'!$B$2:$J163,1,FALSE)),"")</f>
        <v>44676</v>
      </c>
      <c r="BM108" s="96">
        <f>IF(ISBLANK($BL108),IFERROR(0/0,""),VLOOKUP(FLOOR($B108,1),'APS Tubes by Date IMPORT'!$B$2:$J163,2,FALSE))</f>
        <v>18</v>
      </c>
    </row>
    <row r="109">
      <c r="A109" s="245" t="str">
        <f>CONCATENATE("RUN-",'Process Ref'!$A$1,"_",TEXT(U109,"YYYY-MM-DD"),"_RFR-",TEXT(AR109,"000"),IF(EXACT(W109,"Initial"),"",CONCATENATE("_",W109)))</f>
        <v>RUN-FLMP_2022-04-28_RFR-120</v>
      </c>
      <c r="B109" s="246">
        <v>44679.52964927083</v>
      </c>
      <c r="C109" s="256"/>
      <c r="D109" s="256" t="s">
        <v>442</v>
      </c>
      <c r="E109" s="250">
        <v>26.0</v>
      </c>
      <c r="F109" s="256" t="s">
        <v>892</v>
      </c>
      <c r="G109" s="249" t="s">
        <v>893</v>
      </c>
      <c r="H109" s="249"/>
      <c r="I109" s="249" t="s">
        <v>894</v>
      </c>
      <c r="J109" s="250"/>
      <c r="K109" s="251"/>
      <c r="L109" s="248"/>
      <c r="M109" s="252"/>
      <c r="N109" s="252"/>
      <c r="O109" s="253"/>
      <c r="P109" s="254" t="b">
        <v>0</v>
      </c>
      <c r="Q109" s="255" t="b">
        <v>0</v>
      </c>
      <c r="R109" s="256"/>
      <c r="S109" s="254" t="b">
        <v>0</v>
      </c>
      <c r="T109" s="284" t="b">
        <v>1</v>
      </c>
      <c r="U109" s="258">
        <v>44679.0</v>
      </c>
      <c r="V109" s="259">
        <v>0.39861111111111114</v>
      </c>
      <c r="W109" s="247" t="s">
        <v>447</v>
      </c>
      <c r="X109" s="247" t="s">
        <v>895</v>
      </c>
      <c r="Y109" s="254" t="b">
        <v>0</v>
      </c>
      <c r="Z109" s="248">
        <v>26.0</v>
      </c>
      <c r="AA109" s="260">
        <f t="shared" si="34"/>
        <v>0</v>
      </c>
      <c r="AB109" s="261" t="b">
        <f t="shared" si="2"/>
        <v>1</v>
      </c>
      <c r="AC109" s="248">
        <v>30.0</v>
      </c>
      <c r="AD109" s="292">
        <v>2.0</v>
      </c>
      <c r="AE109" s="292">
        <v>2.0</v>
      </c>
      <c r="AF109" s="248">
        <v>0.0</v>
      </c>
      <c r="AG109" s="292">
        <v>1.0</v>
      </c>
      <c r="AH109" s="292">
        <v>1.0</v>
      </c>
      <c r="AI109" s="248">
        <v>0.0</v>
      </c>
      <c r="AJ109" s="250" t="b">
        <v>0</v>
      </c>
      <c r="AK109" s="301">
        <v>26.0</v>
      </c>
      <c r="AL109" s="248">
        <v>4.0</v>
      </c>
      <c r="AM109" s="248">
        <v>3.0</v>
      </c>
      <c r="AN109" s="263" t="str">
        <f>IFNA(VLOOKUP($A109,'Tube Reactions'!$J$2:$K163,2,FALSE),"")</f>
        <v/>
      </c>
      <c r="AO109" s="264" t="str">
        <f t="shared" si="4"/>
        <v>NOT EQUAL</v>
      </c>
      <c r="AP109" s="265" t="str">
        <f t="shared" si="69"/>
        <v>Absent</v>
      </c>
      <c r="AQ109" s="260" t="b">
        <f t="shared" si="6"/>
        <v>1</v>
      </c>
      <c r="AR109" s="266">
        <v>120.0</v>
      </c>
      <c r="AS109" s="267" t="s">
        <v>896</v>
      </c>
      <c r="AT109" s="247"/>
      <c r="AU109" s="268" t="s">
        <v>646</v>
      </c>
      <c r="AV109" s="248">
        <v>32.0</v>
      </c>
      <c r="AW109" s="256" t="b">
        <v>0</v>
      </c>
      <c r="AX109" s="270" t="b">
        <f t="shared" si="7"/>
        <v>1</v>
      </c>
      <c r="AY109" s="250">
        <f t="shared" si="66"/>
        <v>2</v>
      </c>
      <c r="AZ109" s="276"/>
      <c r="BA109" s="272" t="b">
        <v>1</v>
      </c>
      <c r="BB109" s="245" t="b">
        <f t="shared" si="9"/>
        <v>1</v>
      </c>
      <c r="BC109" s="260">
        <f t="shared" si="10"/>
        <v>4</v>
      </c>
      <c r="BD109" s="260">
        <f t="shared" si="11"/>
        <v>26</v>
      </c>
      <c r="BE109" s="273" t="b">
        <f t="shared" si="12"/>
        <v>1</v>
      </c>
      <c r="BF109" s="274">
        <f t="shared" si="13"/>
        <v>44679</v>
      </c>
      <c r="BG109" s="275" t="str">
        <f t="shared" si="14"/>
        <v>RUN-FLMP_2022-04-28_RFR-120</v>
      </c>
      <c r="BH109" s="96">
        <f t="shared" si="15"/>
        <v>26</v>
      </c>
      <c r="BI109" s="96">
        <f t="shared" si="16"/>
        <v>30</v>
      </c>
      <c r="BJ109" s="96">
        <f t="shared" si="17"/>
        <v>26</v>
      </c>
      <c r="BK109" s="96">
        <f t="shared" si="18"/>
        <v>4</v>
      </c>
      <c r="BL109" s="10">
        <f>IFNA(IF(VLOOKUP(FLOOR($B109,1),'APS Tubes by Date IMPORT'!$B$2:$J163,1,FALSE)=FLOOR($BL108,1),IFERROR(0/0,""),VLOOKUP(FLOOR($B109,1),'APS Tubes by Date IMPORT'!$B$2:$J163,1,FALSE)),"")</f>
        <v>44679</v>
      </c>
      <c r="BM109" s="96">
        <f>IF(ISBLANK($BL109),IFERROR(0/0,""),VLOOKUP(FLOOR($B109,1),'APS Tubes by Date IMPORT'!$B$2:$J163,2,FALSE))</f>
        <v>26</v>
      </c>
    </row>
    <row r="110">
      <c r="A110" s="245" t="str">
        <f>CONCATENATE("RUN-",'Process Ref'!$A$1,"_",TEXT(U110,"YYYY-MM-DD"),"_RFR-",TEXT(AR110,"000"),IF(EXACT(W110,"Initial"),"",CONCATENATE("_",W110)))</f>
        <v>RUN-FLMP_2022-04-28_RFR-121_Re-run</v>
      </c>
      <c r="B110" s="285">
        <v>44679.52964927083</v>
      </c>
      <c r="C110" s="256"/>
      <c r="D110" s="256" t="s">
        <v>442</v>
      </c>
      <c r="E110" s="250"/>
      <c r="F110" s="256" t="s">
        <v>892</v>
      </c>
      <c r="G110" s="249" t="s">
        <v>893</v>
      </c>
      <c r="H110" s="282"/>
      <c r="I110" s="249" t="s">
        <v>897</v>
      </c>
      <c r="J110" s="250"/>
      <c r="K110" s="313"/>
      <c r="L110" s="386"/>
      <c r="M110" s="252"/>
      <c r="N110" s="252"/>
      <c r="O110" s="253"/>
      <c r="P110" s="254" t="b">
        <v>0</v>
      </c>
      <c r="Q110" s="286" t="b">
        <v>0</v>
      </c>
      <c r="R110" s="256"/>
      <c r="S110" s="286" t="b">
        <v>1</v>
      </c>
      <c r="T110" s="287" t="b">
        <v>1</v>
      </c>
      <c r="U110" s="387">
        <v>44679.0</v>
      </c>
      <c r="V110" s="289">
        <v>0.48194444444444445</v>
      </c>
      <c r="W110" s="290" t="s">
        <v>469</v>
      </c>
      <c r="X110" s="313"/>
      <c r="Y110" s="254" t="b">
        <v>0</v>
      </c>
      <c r="Z110" s="292"/>
      <c r="AA110" s="260">
        <f t="shared" si="34"/>
        <v>0</v>
      </c>
      <c r="AB110" s="293" t="b">
        <f t="shared" si="2"/>
        <v>1</v>
      </c>
      <c r="AC110" s="388">
        <v>6.0</v>
      </c>
      <c r="AD110" s="292">
        <v>0.0</v>
      </c>
      <c r="AE110" s="292">
        <v>0.0</v>
      </c>
      <c r="AF110" s="292">
        <v>0.0</v>
      </c>
      <c r="AG110" s="292">
        <v>0.0</v>
      </c>
      <c r="AH110" s="292">
        <v>0.0</v>
      </c>
      <c r="AI110" s="292">
        <v>0.0</v>
      </c>
      <c r="AJ110" s="305" t="b">
        <v>1</v>
      </c>
      <c r="AK110" s="292">
        <v>3.0</v>
      </c>
      <c r="AL110" s="388">
        <v>0.0</v>
      </c>
      <c r="AM110" s="250"/>
      <c r="AN110" s="296" t="str">
        <f>IFNA(VLOOKUP($A110,'Tube Reactions'!$J$2:$K163,2,FALSE),"")</f>
        <v/>
      </c>
      <c r="AO110" s="297" t="str">
        <f t="shared" si="4"/>
        <v/>
      </c>
      <c r="AP110" s="298" t="str">
        <f t="shared" si="69"/>
        <v>Absent</v>
      </c>
      <c r="AQ110" s="260" t="b">
        <f t="shared" si="6"/>
        <v>1</v>
      </c>
      <c r="AR110" s="266">
        <v>121.0</v>
      </c>
      <c r="AS110" s="279" t="s">
        <v>898</v>
      </c>
      <c r="AT110" s="279"/>
      <c r="AU110" s="299" t="s">
        <v>646</v>
      </c>
      <c r="AV110" s="292">
        <v>8.0</v>
      </c>
      <c r="AW110" s="286" t="b">
        <v>1</v>
      </c>
      <c r="AX110" s="270" t="b">
        <f t="shared" si="7"/>
        <v>1</v>
      </c>
      <c r="AY110" s="254">
        <f t="shared" si="66"/>
        <v>2</v>
      </c>
      <c r="AZ110" s="254"/>
      <c r="BA110" s="272" t="b">
        <v>0</v>
      </c>
      <c r="BB110" s="245" t="str">
        <f t="shared" si="9"/>
        <v/>
      </c>
      <c r="BC110" s="260" t="str">
        <f t="shared" si="10"/>
        <v/>
      </c>
      <c r="BD110" s="260" t="str">
        <f t="shared" si="11"/>
        <v/>
      </c>
      <c r="BE110" s="273" t="b">
        <f t="shared" si="12"/>
        <v>1</v>
      </c>
      <c r="BF110" s="274" t="str">
        <f t="shared" si="13"/>
        <v/>
      </c>
      <c r="BG110" s="275" t="str">
        <f t="shared" si="14"/>
        <v/>
      </c>
      <c r="BH110" s="96" t="str">
        <f t="shared" si="15"/>
        <v/>
      </c>
      <c r="BI110" s="96" t="str">
        <f t="shared" si="16"/>
        <v/>
      </c>
      <c r="BJ110" s="96" t="str">
        <f t="shared" si="17"/>
        <v/>
      </c>
      <c r="BK110" s="96" t="str">
        <f t="shared" si="18"/>
        <v/>
      </c>
      <c r="BL110" s="10" t="str">
        <f>IFNA(IF(VLOOKUP(FLOOR($B110,1),'APS Tubes by Date IMPORT'!$B$2:$J163,1,FALSE)=FLOOR($BL109,1),IFERROR(0/0,""),VLOOKUP(FLOOR($B110,1),'APS Tubes by Date IMPORT'!$B$2:$J163,1,FALSE)),"")</f>
        <v/>
      </c>
      <c r="BM110" s="96" t="str">
        <f>IF(ISBLANK($BL110),IFERROR(0/0,""),VLOOKUP(FLOOR($B110,1),'APS Tubes by Date IMPORT'!$B$2:$J163,2,FALSE))</f>
        <v/>
      </c>
    </row>
    <row r="111">
      <c r="A111" s="245" t="str">
        <f>CONCATENATE("RUN-",'Process Ref'!$A$1,"_",TEXT(U111,"YYYY-MM-DD"),"_RFR-",TEXT(AR111,"000"),IF(EXACT(W111,"Initial"),"",CONCATENATE("_",W111)))</f>
        <v>RUN-FLMP_2022-05-02_RFR-122</v>
      </c>
      <c r="B111" s="246">
        <v>44683.46796275463</v>
      </c>
      <c r="C111" s="256"/>
      <c r="D111" s="256" t="s">
        <v>442</v>
      </c>
      <c r="E111" s="250">
        <v>24.0</v>
      </c>
      <c r="F111" s="256" t="s">
        <v>899</v>
      </c>
      <c r="G111" s="249" t="s">
        <v>900</v>
      </c>
      <c r="H111" s="249"/>
      <c r="I111" s="249" t="s">
        <v>901</v>
      </c>
      <c r="J111" s="250" t="s">
        <v>902</v>
      </c>
      <c r="K111" s="313" t="s">
        <v>903</v>
      </c>
      <c r="L111" s="386"/>
      <c r="M111" s="252"/>
      <c r="N111" s="252">
        <v>2.1</v>
      </c>
      <c r="O111" s="253" t="s">
        <v>904</v>
      </c>
      <c r="P111" s="254" t="b">
        <v>1</v>
      </c>
      <c r="Q111" s="255" t="b">
        <v>0</v>
      </c>
      <c r="R111" s="256"/>
      <c r="S111" s="255" t="b">
        <v>0</v>
      </c>
      <c r="T111" s="284" t="b">
        <v>1</v>
      </c>
      <c r="U111" s="389">
        <v>44683.0</v>
      </c>
      <c r="V111" s="259">
        <v>0.375</v>
      </c>
      <c r="W111" s="247" t="s">
        <v>447</v>
      </c>
      <c r="X111" s="247" t="s">
        <v>905</v>
      </c>
      <c r="Y111" s="255" t="b">
        <v>1</v>
      </c>
      <c r="Z111" s="250"/>
      <c r="AA111" s="260">
        <f t="shared" si="34"/>
        <v>-24</v>
      </c>
      <c r="AB111" s="261" t="b">
        <f t="shared" si="2"/>
        <v>1</v>
      </c>
      <c r="AC111" s="386">
        <v>24.0</v>
      </c>
      <c r="AD111" s="248">
        <v>0.0</v>
      </c>
      <c r="AE111" s="248">
        <f t="shared" ref="AE111:AE115" si="72">IF(W111="Initial",AD111,(IF(AJ111=TRUE,"CORRECT ME",AD111/3)))</f>
        <v>0</v>
      </c>
      <c r="AF111" s="248">
        <v>0.0</v>
      </c>
      <c r="AG111" s="248">
        <v>2.0</v>
      </c>
      <c r="AH111" s="250">
        <f t="shared" ref="AH111:AH114" si="73">IF(W111="Initial",AG111,(IF(AJ111=TRUE,"CORRECT ME",AG111/3)))</f>
        <v>2</v>
      </c>
      <c r="AI111" s="248">
        <v>1.0</v>
      </c>
      <c r="AJ111" s="250" t="b">
        <v>0</v>
      </c>
      <c r="AK111" s="390">
        <f t="shared" ref="AK111:AK112" si="74">IF(W111="Initial",AC111,IF(AJ111=TRUE,"CORRECT ME",AC111/3))</f>
        <v>24</v>
      </c>
      <c r="AL111" s="386">
        <v>4.0</v>
      </c>
      <c r="AM111" s="248">
        <v>4.0</v>
      </c>
      <c r="AN111" s="263" t="str">
        <f>IFNA(VLOOKUP($A111,'Tube Reactions'!$J$2:$K163,2,FALSE),"")</f>
        <v/>
      </c>
      <c r="AO111" s="264" t="str">
        <f t="shared" si="4"/>
        <v>NOT EQUAL</v>
      </c>
      <c r="AP111" s="265" t="str">
        <f t="shared" si="69"/>
        <v>Absent</v>
      </c>
      <c r="AQ111" s="260" t="b">
        <f t="shared" si="6"/>
        <v>1</v>
      </c>
      <c r="AR111" s="266">
        <v>122.0</v>
      </c>
      <c r="AS111" s="267" t="s">
        <v>906</v>
      </c>
      <c r="AT111" s="247"/>
      <c r="AU111" s="268" t="s">
        <v>638</v>
      </c>
      <c r="AV111" s="269">
        <v>26.0</v>
      </c>
      <c r="AW111" s="250" t="b">
        <v>0</v>
      </c>
      <c r="AX111" s="270" t="b">
        <f t="shared" si="7"/>
        <v>1</v>
      </c>
      <c r="AY111" s="250">
        <f t="shared" si="66"/>
        <v>2</v>
      </c>
      <c r="AZ111" s="256"/>
      <c r="BA111" s="272" t="b">
        <v>0</v>
      </c>
      <c r="BB111" s="245" t="str">
        <f t="shared" si="9"/>
        <v/>
      </c>
      <c r="BC111" s="260" t="str">
        <f t="shared" si="10"/>
        <v/>
      </c>
      <c r="BD111" s="260" t="str">
        <f t="shared" si="11"/>
        <v/>
      </c>
      <c r="BE111" s="273" t="b">
        <f t="shared" si="12"/>
        <v>1</v>
      </c>
      <c r="BF111" s="274">
        <f t="shared" si="13"/>
        <v>44683</v>
      </c>
      <c r="BG111" s="275" t="str">
        <f t="shared" si="14"/>
        <v>RUN-FLMP_2022-05-02_RFR-122</v>
      </c>
      <c r="BH111" s="96">
        <f t="shared" si="15"/>
        <v>24</v>
      </c>
      <c r="BI111" s="96">
        <f t="shared" si="16"/>
        <v>24</v>
      </c>
      <c r="BJ111" s="96">
        <f t="shared" si="17"/>
        <v>24</v>
      </c>
      <c r="BK111" s="96">
        <f t="shared" si="18"/>
        <v>4</v>
      </c>
      <c r="BL111" s="10">
        <f>IFNA(IF(VLOOKUP(FLOOR($B111,1),'APS Tubes by Date IMPORT'!$B$2:$J163,1,FALSE)=FLOOR($BL110,1),IFERROR(0/0,""),VLOOKUP(FLOOR($B111,1),'APS Tubes by Date IMPORT'!$B$2:$J163,1,FALSE)),"")</f>
        <v>44683</v>
      </c>
      <c r="BM111" s="96">
        <f>IF(ISBLANK($BL111),IFERROR(0/0,""),VLOOKUP(FLOOR($B111,1),'APS Tubes by Date IMPORT'!$B$2:$J163,2,FALSE))</f>
        <v>25</v>
      </c>
    </row>
    <row r="112">
      <c r="A112" s="245" t="str">
        <f>CONCATENATE("RUN-",'Process Ref'!$A$1,"_",TEXT(U112,"YYYY-MM-DD"),"_RFR-",TEXT(AR112,"000"),IF(EXACT(W112,"Initial"),"",CONCATENATE("_",W112)))</f>
        <v>RUN-FLMP_2022-05-02_RFR-123_Re-run</v>
      </c>
      <c r="B112" s="302">
        <v>44683.46796275463</v>
      </c>
      <c r="C112" s="256"/>
      <c r="D112" s="256" t="s">
        <v>442</v>
      </c>
      <c r="E112" s="250"/>
      <c r="F112" s="256" t="s">
        <v>899</v>
      </c>
      <c r="G112" s="249" t="s">
        <v>900</v>
      </c>
      <c r="H112" s="282"/>
      <c r="I112" s="391" t="s">
        <v>907</v>
      </c>
      <c r="J112" s="250"/>
      <c r="K112" s="313" t="s">
        <v>903</v>
      </c>
      <c r="L112" s="386"/>
      <c r="M112" s="252"/>
      <c r="N112" s="303"/>
      <c r="O112" s="304"/>
      <c r="P112" s="254" t="b">
        <v>0</v>
      </c>
      <c r="Q112" s="286" t="b">
        <v>0</v>
      </c>
      <c r="R112" s="256"/>
      <c r="S112" s="286" t="b">
        <v>1</v>
      </c>
      <c r="T112" s="287" t="b">
        <v>1</v>
      </c>
      <c r="U112" s="387">
        <v>44683.0</v>
      </c>
      <c r="V112" s="289">
        <v>0.4375</v>
      </c>
      <c r="W112" s="290" t="s">
        <v>469</v>
      </c>
      <c r="X112" s="291"/>
      <c r="Y112" s="254" t="b">
        <v>0</v>
      </c>
      <c r="Z112" s="250"/>
      <c r="AA112" s="260">
        <f t="shared" si="34"/>
        <v>0</v>
      </c>
      <c r="AB112" s="293" t="b">
        <f t="shared" si="2"/>
        <v>1</v>
      </c>
      <c r="AC112" s="388">
        <v>12.0</v>
      </c>
      <c r="AD112" s="292">
        <v>0.0</v>
      </c>
      <c r="AE112" s="248">
        <f t="shared" si="72"/>
        <v>0</v>
      </c>
      <c r="AF112" s="292">
        <v>0.0</v>
      </c>
      <c r="AG112" s="292">
        <v>3.0</v>
      </c>
      <c r="AH112" s="250">
        <f t="shared" si="73"/>
        <v>1</v>
      </c>
      <c r="AI112" s="292">
        <v>1.0</v>
      </c>
      <c r="AJ112" s="294" t="b">
        <v>0</v>
      </c>
      <c r="AK112" s="250">
        <f t="shared" si="74"/>
        <v>4</v>
      </c>
      <c r="AL112" s="388">
        <v>4.0</v>
      </c>
      <c r="AM112" s="250"/>
      <c r="AN112" s="260" t="str">
        <f>IFNA(VLOOKUP($A112,'Tube Reactions'!$J$2:$K163,2,FALSE),"")</f>
        <v/>
      </c>
      <c r="AO112" s="321" t="str">
        <f t="shared" si="4"/>
        <v/>
      </c>
      <c r="AP112" s="298" t="str">
        <f t="shared" si="69"/>
        <v>Absent</v>
      </c>
      <c r="AQ112" s="260" t="b">
        <f t="shared" si="6"/>
        <v>1</v>
      </c>
      <c r="AR112" s="266">
        <v>123.0</v>
      </c>
      <c r="AS112" s="279" t="s">
        <v>908</v>
      </c>
      <c r="AT112" s="279"/>
      <c r="AU112" s="306" t="s">
        <v>638</v>
      </c>
      <c r="AV112" s="292">
        <v>14.0</v>
      </c>
      <c r="AW112" s="254" t="b">
        <v>0</v>
      </c>
      <c r="AX112" s="270" t="b">
        <f t="shared" si="7"/>
        <v>1</v>
      </c>
      <c r="AY112" s="254">
        <f t="shared" si="66"/>
        <v>2</v>
      </c>
      <c r="AZ112" s="254"/>
      <c r="BA112" s="272" t="b">
        <v>1</v>
      </c>
      <c r="BB112" s="245" t="b">
        <f t="shared" si="9"/>
        <v>0</v>
      </c>
      <c r="BC112" s="260" t="str">
        <f t="shared" si="10"/>
        <v/>
      </c>
      <c r="BD112" s="260" t="str">
        <f t="shared" si="11"/>
        <v/>
      </c>
      <c r="BE112" s="273" t="b">
        <f t="shared" si="12"/>
        <v>1</v>
      </c>
      <c r="BF112" s="274" t="str">
        <f t="shared" si="13"/>
        <v/>
      </c>
      <c r="BG112" s="275" t="str">
        <f t="shared" si="14"/>
        <v/>
      </c>
      <c r="BH112" s="96" t="str">
        <f t="shared" si="15"/>
        <v/>
      </c>
      <c r="BI112" s="96" t="str">
        <f t="shared" si="16"/>
        <v/>
      </c>
      <c r="BJ112" s="96" t="str">
        <f t="shared" si="17"/>
        <v/>
      </c>
      <c r="BK112" s="96" t="str">
        <f t="shared" si="18"/>
        <v/>
      </c>
      <c r="BL112" s="10" t="str">
        <f>IFNA(IF(VLOOKUP(FLOOR($B112,1),'APS Tubes by Date IMPORT'!$B$2:$J163,1,FALSE)=FLOOR($BL111,1),IFERROR(0/0,""),VLOOKUP(FLOOR($B112,1),'APS Tubes by Date IMPORT'!$B$2:$J163,1,FALSE)),"")</f>
        <v/>
      </c>
      <c r="BM112" s="96" t="str">
        <f>IF(ISBLANK($BL112),IFERROR(0/0,""),VLOOKUP(FLOOR($B112,1),'APS Tubes by Date IMPORT'!$B$2:$J163,2,FALSE))</f>
        <v/>
      </c>
    </row>
    <row r="113">
      <c r="A113" s="245" t="str">
        <f>CONCATENATE("RUN-",'Process Ref'!$A$1,"_",TEXT(U113,"YYYY-MM-DD"),"_RFR-",TEXT(AR113,"000"),IF(EXACT(W113,"Initial"),"",CONCATENATE("_",W113)))</f>
        <v>RUN-FLMP_2022-05-02_RFR-124</v>
      </c>
      <c r="B113" s="246">
        <v>44683.67551814815</v>
      </c>
      <c r="C113" s="256"/>
      <c r="D113" s="256" t="s">
        <v>841</v>
      </c>
      <c r="E113" s="250">
        <v>3.0</v>
      </c>
      <c r="F113" s="256"/>
      <c r="G113" s="249" t="s">
        <v>909</v>
      </c>
      <c r="H113" s="249"/>
      <c r="I113" s="249" t="s">
        <v>910</v>
      </c>
      <c r="J113" s="250"/>
      <c r="K113" s="313" t="s">
        <v>911</v>
      </c>
      <c r="L113" s="386"/>
      <c r="M113" s="252"/>
      <c r="N113" s="252"/>
      <c r="O113" s="253"/>
      <c r="P113" s="254" t="b">
        <v>0</v>
      </c>
      <c r="Q113" s="255" t="b">
        <v>0</v>
      </c>
      <c r="R113" s="256"/>
      <c r="S113" s="254" t="b">
        <v>0</v>
      </c>
      <c r="T113" s="257" t="b">
        <v>0</v>
      </c>
      <c r="U113" s="389">
        <v>44683.0</v>
      </c>
      <c r="V113" s="259">
        <v>0.5416666666666666</v>
      </c>
      <c r="W113" s="247" t="s">
        <v>447</v>
      </c>
      <c r="X113" s="247" t="s">
        <v>912</v>
      </c>
      <c r="Y113" s="254" t="b">
        <v>0</v>
      </c>
      <c r="Z113" s="248">
        <v>8.0</v>
      </c>
      <c r="AA113" s="260">
        <f t="shared" si="34"/>
        <v>5</v>
      </c>
      <c r="AB113" s="261" t="b">
        <f t="shared" si="2"/>
        <v>1</v>
      </c>
      <c r="AC113" s="386">
        <v>6.0</v>
      </c>
      <c r="AD113" s="248">
        <v>0.0</v>
      </c>
      <c r="AE113" s="248">
        <f t="shared" si="72"/>
        <v>0</v>
      </c>
      <c r="AF113" s="248">
        <v>0.0</v>
      </c>
      <c r="AG113" s="248">
        <v>2.0</v>
      </c>
      <c r="AH113" s="250">
        <f t="shared" si="73"/>
        <v>2</v>
      </c>
      <c r="AI113" s="248">
        <v>1.0</v>
      </c>
      <c r="AJ113" s="250" t="b">
        <v>0</v>
      </c>
      <c r="AK113" s="248">
        <v>3.0</v>
      </c>
      <c r="AL113" s="386">
        <v>4.0</v>
      </c>
      <c r="AM113" s="248">
        <v>3.0</v>
      </c>
      <c r="AN113" s="263" t="str">
        <f>IFNA(VLOOKUP($A113,'Tube Reactions'!$J$2:$K163,2,FALSE),"")</f>
        <v/>
      </c>
      <c r="AO113" s="264" t="str">
        <f t="shared" si="4"/>
        <v>NOT EQUAL</v>
      </c>
      <c r="AP113" s="265" t="str">
        <f t="shared" si="69"/>
        <v>Absent</v>
      </c>
      <c r="AQ113" s="260" t="b">
        <f t="shared" si="6"/>
        <v>1</v>
      </c>
      <c r="AR113" s="266">
        <v>124.0</v>
      </c>
      <c r="AS113" s="267" t="s">
        <v>913</v>
      </c>
      <c r="AT113" s="247"/>
      <c r="AU113" s="268" t="s">
        <v>638</v>
      </c>
      <c r="AV113" s="269">
        <v>8.0</v>
      </c>
      <c r="AW113" s="250" t="b">
        <v>0</v>
      </c>
      <c r="AX113" s="270" t="b">
        <f t="shared" si="7"/>
        <v>1</v>
      </c>
      <c r="AY113" s="250">
        <f t="shared" si="66"/>
        <v>2</v>
      </c>
      <c r="AZ113" s="256"/>
      <c r="BA113" s="272" t="b">
        <v>0</v>
      </c>
      <c r="BB113" s="245" t="str">
        <f t="shared" si="9"/>
        <v/>
      </c>
      <c r="BC113" s="260" t="str">
        <f t="shared" si="10"/>
        <v/>
      </c>
      <c r="BD113" s="260" t="str">
        <f t="shared" si="11"/>
        <v/>
      </c>
      <c r="BE113" s="273" t="b">
        <f t="shared" si="12"/>
        <v>1</v>
      </c>
      <c r="BF113" s="274">
        <f t="shared" si="13"/>
        <v>44683</v>
      </c>
      <c r="BG113" s="275" t="str">
        <f t="shared" si="14"/>
        <v>RUN-FLMP_2022-05-02_RFR-124</v>
      </c>
      <c r="BH113" s="96">
        <f t="shared" si="15"/>
        <v>3</v>
      </c>
      <c r="BI113" s="96">
        <f t="shared" si="16"/>
        <v>6</v>
      </c>
      <c r="BJ113" s="96">
        <f t="shared" si="17"/>
        <v>3</v>
      </c>
      <c r="BK113" s="96">
        <f t="shared" si="18"/>
        <v>4</v>
      </c>
      <c r="BL113" s="10">
        <f>IFNA(IF(VLOOKUP(FLOOR($B113,1),'APS Tubes by Date IMPORT'!$B$2:$J163,1,FALSE)=FLOOR($BL112,1),IFERROR(0/0,""),VLOOKUP(FLOOR($B113,1),'APS Tubes by Date IMPORT'!$B$2:$J163,1,FALSE)),"")</f>
        <v>44683</v>
      </c>
      <c r="BM113" s="96">
        <f>IF(ISBLANK($BL113),IFERROR(0/0,""),VLOOKUP(FLOOR($B113,1),'APS Tubes by Date IMPORT'!$B$2:$J163,2,FALSE))</f>
        <v>25</v>
      </c>
    </row>
    <row r="114">
      <c r="A114" s="245" t="str">
        <f>CONCATENATE("RUN-",'Process Ref'!$A$1,"_",TEXT(U114,"YYYY-MM-DD"),"_RFR-",TEXT(AR114,"000"),IF(EXACT(W114,"Initial"),"",CONCATENATE("_",W114)))</f>
        <v>RUN-FLMP_2022-05-02_RFR-125</v>
      </c>
      <c r="B114" s="246">
        <v>44683.676748171296</v>
      </c>
      <c r="C114" s="256"/>
      <c r="D114" s="256" t="s">
        <v>841</v>
      </c>
      <c r="E114" s="250">
        <v>1.0</v>
      </c>
      <c r="F114" s="256"/>
      <c r="G114" s="383" t="s">
        <v>826</v>
      </c>
      <c r="H114" s="249"/>
      <c r="I114" s="249" t="s">
        <v>914</v>
      </c>
      <c r="J114" s="250"/>
      <c r="K114" s="313" t="s">
        <v>915</v>
      </c>
      <c r="L114" s="386"/>
      <c r="M114" s="252"/>
      <c r="N114" s="252"/>
      <c r="O114" s="253"/>
      <c r="P114" s="254" t="b">
        <v>0</v>
      </c>
      <c r="Q114" s="255" t="b">
        <v>0</v>
      </c>
      <c r="R114" s="256"/>
      <c r="S114" s="254" t="b">
        <v>0</v>
      </c>
      <c r="T114" s="257" t="b">
        <v>0</v>
      </c>
      <c r="U114" s="389">
        <v>44683.0</v>
      </c>
      <c r="V114" s="259">
        <v>0.6666666666666666</v>
      </c>
      <c r="W114" s="247" t="s">
        <v>447</v>
      </c>
      <c r="X114" s="256"/>
      <c r="Y114" s="254" t="b">
        <v>0</v>
      </c>
      <c r="Z114" s="248"/>
      <c r="AA114" s="260">
        <f t="shared" si="34"/>
        <v>-1</v>
      </c>
      <c r="AB114" s="261" t="b">
        <f t="shared" si="2"/>
        <v>1</v>
      </c>
      <c r="AC114" s="386">
        <v>2.0</v>
      </c>
      <c r="AD114" s="248">
        <v>0.0</v>
      </c>
      <c r="AE114" s="248">
        <f t="shared" si="72"/>
        <v>0</v>
      </c>
      <c r="AF114" s="248">
        <v>0.0</v>
      </c>
      <c r="AG114" s="248">
        <v>0.0</v>
      </c>
      <c r="AH114" s="250">
        <f t="shared" si="73"/>
        <v>0</v>
      </c>
      <c r="AI114" s="248">
        <v>0.0</v>
      </c>
      <c r="AJ114" s="250" t="b">
        <v>0</v>
      </c>
      <c r="AK114" s="248">
        <v>1.0</v>
      </c>
      <c r="AL114" s="386">
        <v>0.0</v>
      </c>
      <c r="AM114" s="248">
        <v>1.0</v>
      </c>
      <c r="AN114" s="263" t="str">
        <f>IFNA(VLOOKUP($A114,'Tube Reactions'!$J$2:$K163,2,FALSE),"")</f>
        <v/>
      </c>
      <c r="AO114" s="264" t="str">
        <f t="shared" si="4"/>
        <v>NOT EQUAL</v>
      </c>
      <c r="AP114" s="265" t="str">
        <f t="shared" si="69"/>
        <v>Absent</v>
      </c>
      <c r="AQ114" s="260" t="b">
        <f t="shared" si="6"/>
        <v>1</v>
      </c>
      <c r="AR114" s="266">
        <v>125.0</v>
      </c>
      <c r="AS114" s="267" t="s">
        <v>916</v>
      </c>
      <c r="AT114" s="247"/>
      <c r="AU114" s="268" t="s">
        <v>638</v>
      </c>
      <c r="AV114" s="269">
        <v>4.0</v>
      </c>
      <c r="AW114" s="248" t="b">
        <v>1</v>
      </c>
      <c r="AX114" s="270" t="b">
        <f t="shared" si="7"/>
        <v>1</v>
      </c>
      <c r="AY114" s="250">
        <f t="shared" si="66"/>
        <v>2</v>
      </c>
      <c r="AZ114" s="256"/>
      <c r="BA114" s="272" t="b">
        <v>0</v>
      </c>
      <c r="BB114" s="245" t="str">
        <f t="shared" si="9"/>
        <v/>
      </c>
      <c r="BC114" s="260" t="str">
        <f t="shared" si="10"/>
        <v/>
      </c>
      <c r="BD114" s="260" t="str">
        <f t="shared" si="11"/>
        <v/>
      </c>
      <c r="BE114" s="273" t="b">
        <f t="shared" si="12"/>
        <v>1</v>
      </c>
      <c r="BF114" s="274">
        <f t="shared" si="13"/>
        <v>44683</v>
      </c>
      <c r="BG114" s="275" t="str">
        <f t="shared" si="14"/>
        <v>RUN-FLMP_2022-05-02_RFR-125</v>
      </c>
      <c r="BH114" s="96">
        <f t="shared" si="15"/>
        <v>1</v>
      </c>
      <c r="BI114" s="96">
        <f t="shared" si="16"/>
        <v>2</v>
      </c>
      <c r="BJ114" s="96">
        <f t="shared" si="17"/>
        <v>1</v>
      </c>
      <c r="BK114" s="96">
        <f t="shared" si="18"/>
        <v>0</v>
      </c>
      <c r="BL114" s="10" t="str">
        <f>IFNA(IF(VLOOKUP(FLOOR($B114,1),'APS Tubes by Date IMPORT'!$B$2:$J163,1,FALSE)=FLOOR($BL113,1),IFERROR(0/0,""),VLOOKUP(FLOOR($B114,1),'APS Tubes by Date IMPORT'!$B$2:$J163,1,FALSE)),"")</f>
        <v/>
      </c>
      <c r="BM114" s="96" t="str">
        <f>IF(ISBLANK($BL114),IFERROR(0/0,""),VLOOKUP(FLOOR($B114,1),'APS Tubes by Date IMPORT'!$B$2:$J163,2,FALSE))</f>
        <v/>
      </c>
    </row>
    <row r="115">
      <c r="A115" s="245" t="str">
        <f>CONCATENATE("RUN-",'Process Ref'!$A$1,"_",TEXT(U115,"YYYY-MM-DD"),"_RFR-",TEXT(AR115,"000"),IF(EXACT(W115,"Initial"),"",CONCATENATE("_",W115)))</f>
        <v>RUN-FLMP_2022-05-05_RFR-126</v>
      </c>
      <c r="B115" s="246">
        <v>44686.44079927083</v>
      </c>
      <c r="C115" s="256"/>
      <c r="D115" s="256" t="s">
        <v>442</v>
      </c>
      <c r="E115" s="250">
        <v>24.0</v>
      </c>
      <c r="F115" s="256" t="s">
        <v>917</v>
      </c>
      <c r="G115" s="249" t="s">
        <v>918</v>
      </c>
      <c r="H115" s="249"/>
      <c r="I115" s="249" t="s">
        <v>919</v>
      </c>
      <c r="J115" s="250">
        <v>1.0</v>
      </c>
      <c r="K115" s="313"/>
      <c r="L115" s="386"/>
      <c r="M115" s="252"/>
      <c r="N115" s="252"/>
      <c r="O115" s="253"/>
      <c r="P115" s="254" t="b">
        <v>0</v>
      </c>
      <c r="Q115" s="255" t="b">
        <v>0</v>
      </c>
      <c r="R115" s="256"/>
      <c r="S115" s="254" t="b">
        <v>0</v>
      </c>
      <c r="T115" s="284" t="b">
        <v>1</v>
      </c>
      <c r="U115" s="389">
        <v>44686.0</v>
      </c>
      <c r="V115" s="259">
        <v>0.375</v>
      </c>
      <c r="W115" s="247" t="s">
        <v>447</v>
      </c>
      <c r="X115" s="247" t="s">
        <v>920</v>
      </c>
      <c r="Y115" s="254" t="b">
        <v>0</v>
      </c>
      <c r="Z115" s="248">
        <v>26.0</v>
      </c>
      <c r="AA115" s="260">
        <f t="shared" si="34"/>
        <v>2</v>
      </c>
      <c r="AB115" s="261" t="b">
        <f t="shared" si="2"/>
        <v>0</v>
      </c>
      <c r="AC115" s="386">
        <v>24.0</v>
      </c>
      <c r="AD115" s="248">
        <v>1.0</v>
      </c>
      <c r="AE115" s="248">
        <f t="shared" si="72"/>
        <v>1</v>
      </c>
      <c r="AF115" s="248">
        <v>0.0</v>
      </c>
      <c r="AG115" s="248">
        <v>0.0</v>
      </c>
      <c r="AH115" s="248">
        <v>0.0</v>
      </c>
      <c r="AI115" s="248">
        <v>0.0</v>
      </c>
      <c r="AJ115" s="250" t="b">
        <v>0</v>
      </c>
      <c r="AK115" s="390">
        <f t="shared" ref="AK115:AK119" si="75">IF(W115="Initial",AC115,IF(AJ115=TRUE,"CORRECT ME",AC115/3))</f>
        <v>24</v>
      </c>
      <c r="AL115" s="386">
        <v>1.2</v>
      </c>
      <c r="AM115" s="248">
        <v>1.0</v>
      </c>
      <c r="AN115" s="263" t="str">
        <f>IFNA(VLOOKUP($A115,'Tube Reactions'!$J$2:$K163,2,FALSE),"")</f>
        <v/>
      </c>
      <c r="AO115" s="264" t="str">
        <f t="shared" si="4"/>
        <v>NOT EQUAL</v>
      </c>
      <c r="AP115" s="265" t="str">
        <f t="shared" si="69"/>
        <v>Absent</v>
      </c>
      <c r="AQ115" s="260" t="b">
        <f t="shared" si="6"/>
        <v>1</v>
      </c>
      <c r="AR115" s="266">
        <v>126.0</v>
      </c>
      <c r="AS115" s="267"/>
      <c r="AT115" s="247"/>
      <c r="AU115" s="268" t="s">
        <v>646</v>
      </c>
      <c r="AV115" s="269">
        <v>26.0</v>
      </c>
      <c r="AW115" s="248" t="b">
        <v>1</v>
      </c>
      <c r="AX115" s="270" t="b">
        <f t="shared" si="7"/>
        <v>0</v>
      </c>
      <c r="AY115" s="250">
        <f t="shared" si="66"/>
        <v>2</v>
      </c>
      <c r="AZ115" s="256"/>
      <c r="BA115" s="272" t="b">
        <v>1</v>
      </c>
      <c r="BB115" s="245" t="b">
        <f t="shared" si="9"/>
        <v>1</v>
      </c>
      <c r="BC115" s="260">
        <f t="shared" si="10"/>
        <v>1.2</v>
      </c>
      <c r="BD115" s="260">
        <f t="shared" si="11"/>
        <v>24</v>
      </c>
      <c r="BE115" s="273" t="b">
        <f t="shared" si="12"/>
        <v>1</v>
      </c>
      <c r="BF115" s="274">
        <f t="shared" si="13"/>
        <v>44686</v>
      </c>
      <c r="BG115" s="275" t="str">
        <f t="shared" si="14"/>
        <v>RUN-FLMP_2022-05-05_RFR-126</v>
      </c>
      <c r="BH115" s="96">
        <f t="shared" si="15"/>
        <v>24</v>
      </c>
      <c r="BI115" s="96">
        <f t="shared" si="16"/>
        <v>24</v>
      </c>
      <c r="BJ115" s="96">
        <f t="shared" si="17"/>
        <v>24</v>
      </c>
      <c r="BK115" s="96">
        <f t="shared" si="18"/>
        <v>1.2</v>
      </c>
      <c r="BL115" s="10">
        <f>IFNA(IF(VLOOKUP(FLOOR($B115,1),'APS Tubes by Date IMPORT'!$B$2:$J163,1,FALSE)=FLOOR($BL114,1),IFERROR(0/0,""),VLOOKUP(FLOOR($B115,1),'APS Tubes by Date IMPORT'!$B$2:$J163,1,FALSE)),"")</f>
        <v>44686</v>
      </c>
      <c r="BM115" s="96">
        <f>IF(ISBLANK($BL115),IFERROR(0/0,""),VLOOKUP(FLOOR($B115,1),'APS Tubes by Date IMPORT'!$B$2:$J163,2,FALSE))</f>
        <v>25</v>
      </c>
    </row>
    <row r="116">
      <c r="A116" s="245" t="str">
        <f>CONCATENATE("RUN-",'Process Ref'!$A$1,"_",TEXT(U116,"YYYY-MM-DD"),"_RFR-",TEXT(AR116,"000"),IF(EXACT(W116,"Initial"),"",CONCATENATE("_",W116)))</f>
        <v>RUN-FLMP_2022-05-05_RFR-127_Re-run</v>
      </c>
      <c r="B116" s="285">
        <v>44686.46053805556</v>
      </c>
      <c r="C116" s="256"/>
      <c r="D116" s="256" t="s">
        <v>442</v>
      </c>
      <c r="E116" s="250">
        <v>1.0</v>
      </c>
      <c r="F116" s="256" t="s">
        <v>921</v>
      </c>
      <c r="G116" s="249" t="s">
        <v>922</v>
      </c>
      <c r="H116" s="282"/>
      <c r="I116" s="249" t="s">
        <v>923</v>
      </c>
      <c r="J116" s="250"/>
      <c r="K116" s="313"/>
      <c r="L116" s="386"/>
      <c r="M116" s="252"/>
      <c r="N116" s="252"/>
      <c r="O116" s="253"/>
      <c r="P116" s="254" t="b">
        <v>0</v>
      </c>
      <c r="Q116" s="286" t="b">
        <v>0</v>
      </c>
      <c r="R116" s="256"/>
      <c r="S116" s="254" t="b">
        <v>0</v>
      </c>
      <c r="T116" s="287" t="b">
        <v>1</v>
      </c>
      <c r="U116" s="387">
        <v>44686.0</v>
      </c>
      <c r="V116" s="289">
        <v>0.4375</v>
      </c>
      <c r="W116" s="290" t="s">
        <v>469</v>
      </c>
      <c r="X116" s="291" t="s">
        <v>924</v>
      </c>
      <c r="Y116" s="254" t="b">
        <v>0</v>
      </c>
      <c r="Z116" s="292">
        <v>5.0</v>
      </c>
      <c r="AA116" s="260">
        <f t="shared" si="34"/>
        <v>4</v>
      </c>
      <c r="AB116" s="293" t="b">
        <f t="shared" si="2"/>
        <v>1</v>
      </c>
      <c r="AC116" s="388">
        <v>3.0</v>
      </c>
      <c r="AD116" s="292">
        <v>1.0</v>
      </c>
      <c r="AE116" s="292">
        <v>1.0</v>
      </c>
      <c r="AF116" s="292">
        <v>0.0</v>
      </c>
      <c r="AG116" s="292">
        <v>0.0</v>
      </c>
      <c r="AH116" s="250">
        <f t="shared" ref="AH116:AH117" si="76">IF(W116="Initial",AG116,(IF(AJ116=TRUE,"CORRECT ME",AG116/3)))</f>
        <v>0</v>
      </c>
      <c r="AI116" s="292">
        <v>0.0</v>
      </c>
      <c r="AJ116" s="294" t="b">
        <v>0</v>
      </c>
      <c r="AK116" s="250">
        <f t="shared" si="75"/>
        <v>1</v>
      </c>
      <c r="AL116" s="388">
        <v>1.6</v>
      </c>
      <c r="AM116" s="250"/>
      <c r="AN116" s="296" t="str">
        <f>IFNA(VLOOKUP($A116,'Tube Reactions'!$J$2:$K163,2,FALSE),"")</f>
        <v/>
      </c>
      <c r="AO116" s="297" t="str">
        <f t="shared" si="4"/>
        <v/>
      </c>
      <c r="AP116" s="298" t="str">
        <f t="shared" si="69"/>
        <v>Absent</v>
      </c>
      <c r="AQ116" s="260" t="b">
        <f t="shared" si="6"/>
        <v>1</v>
      </c>
      <c r="AR116" s="266">
        <v>127.0</v>
      </c>
      <c r="AS116" s="279" t="s">
        <v>925</v>
      </c>
      <c r="AT116" s="279"/>
      <c r="AU116" s="299" t="s">
        <v>646</v>
      </c>
      <c r="AV116" s="292">
        <v>6.0</v>
      </c>
      <c r="AW116" s="254" t="b">
        <v>0</v>
      </c>
      <c r="AX116" s="270" t="b">
        <f t="shared" si="7"/>
        <v>1</v>
      </c>
      <c r="AY116" s="254">
        <f t="shared" si="66"/>
        <v>3</v>
      </c>
      <c r="AZ116" s="286" t="s">
        <v>926</v>
      </c>
      <c r="BA116" s="272" t="b">
        <v>1</v>
      </c>
      <c r="BB116" s="245" t="b">
        <f t="shared" si="9"/>
        <v>0</v>
      </c>
      <c r="BC116" s="260" t="str">
        <f t="shared" si="10"/>
        <v/>
      </c>
      <c r="BD116" s="260" t="str">
        <f t="shared" si="11"/>
        <v/>
      </c>
      <c r="BE116" s="273" t="b">
        <f t="shared" si="12"/>
        <v>1</v>
      </c>
      <c r="BF116" s="274" t="str">
        <f t="shared" si="13"/>
        <v/>
      </c>
      <c r="BG116" s="275" t="str">
        <f t="shared" si="14"/>
        <v/>
      </c>
      <c r="BH116" s="96" t="str">
        <f t="shared" si="15"/>
        <v/>
      </c>
      <c r="BI116" s="96" t="str">
        <f t="shared" si="16"/>
        <v/>
      </c>
      <c r="BJ116" s="96" t="str">
        <f t="shared" si="17"/>
        <v/>
      </c>
      <c r="BK116" s="96" t="str">
        <f t="shared" si="18"/>
        <v/>
      </c>
      <c r="BL116" s="10" t="str">
        <f>IFNA(IF(VLOOKUP(FLOOR($B116,1),'APS Tubes by Date IMPORT'!$B$2:$J163,1,FALSE)=FLOOR($BL115,1),IFERROR(0/0,""),VLOOKUP(FLOOR($B116,1),'APS Tubes by Date IMPORT'!$B$2:$J163,1,FALSE)),"")</f>
        <v/>
      </c>
      <c r="BM116" s="96" t="str">
        <f>IF(ISBLANK($BL116),IFERROR(0/0,""),VLOOKUP(FLOOR($B116,1),'APS Tubes by Date IMPORT'!$B$2:$J163,2,FALSE))</f>
        <v/>
      </c>
      <c r="BN116" s="138"/>
      <c r="BO116" s="138"/>
      <c r="BP116" s="138"/>
      <c r="BQ116" s="138"/>
      <c r="BR116" s="138"/>
      <c r="BS116" s="138"/>
    </row>
    <row r="117">
      <c r="A117" s="245" t="str">
        <f>CONCATENATE("RUN-",'Process Ref'!$A$1,"_",TEXT(U117,"YYYY-MM-DD"),"_RFR-",TEXT(AR117,"000"),IF(EXACT(W117,"Initial"),"",CONCATENATE("_",W117)))</f>
        <v>RUN-FLMP_2022-05-09_RFR-128</v>
      </c>
      <c r="B117" s="246">
        <v>44690.45997967593</v>
      </c>
      <c r="C117" s="256"/>
      <c r="D117" s="256" t="s">
        <v>442</v>
      </c>
      <c r="E117" s="250">
        <v>23.0</v>
      </c>
      <c r="F117" s="256" t="s">
        <v>927</v>
      </c>
      <c r="G117" s="249" t="s">
        <v>928</v>
      </c>
      <c r="H117" s="249" t="s">
        <v>929</v>
      </c>
      <c r="I117" s="249" t="s">
        <v>930</v>
      </c>
      <c r="J117" s="250">
        <v>6.0</v>
      </c>
      <c r="K117" s="313" t="s">
        <v>931</v>
      </c>
      <c r="L117" s="386"/>
      <c r="M117" s="252"/>
      <c r="N117" s="252">
        <v>2.1</v>
      </c>
      <c r="O117" s="253" t="s">
        <v>932</v>
      </c>
      <c r="P117" s="254" t="b">
        <v>1</v>
      </c>
      <c r="Q117" s="255" t="b">
        <v>0</v>
      </c>
      <c r="R117" s="247"/>
      <c r="S117" s="254" t="b">
        <v>0</v>
      </c>
      <c r="T117" s="284" t="b">
        <v>1</v>
      </c>
      <c r="U117" s="389">
        <v>44690.0</v>
      </c>
      <c r="V117" s="259">
        <v>0.38680555555555557</v>
      </c>
      <c r="W117" s="247" t="s">
        <v>447</v>
      </c>
      <c r="X117" s="256"/>
      <c r="Y117" s="255" t="b">
        <v>1</v>
      </c>
      <c r="Z117" s="248">
        <v>25.0</v>
      </c>
      <c r="AA117" s="260">
        <f t="shared" si="34"/>
        <v>2</v>
      </c>
      <c r="AB117" s="261" t="b">
        <f t="shared" si="2"/>
        <v>0</v>
      </c>
      <c r="AC117" s="386">
        <v>23.0</v>
      </c>
      <c r="AD117" s="248">
        <v>1.0</v>
      </c>
      <c r="AE117" s="248">
        <f>IF(W117="Initial",AD117,(IF(AJ117=TRUE,"CORRECT ME",AD117/3)))</f>
        <v>1</v>
      </c>
      <c r="AF117" s="292">
        <v>1.0</v>
      </c>
      <c r="AG117" s="248">
        <v>3.0</v>
      </c>
      <c r="AH117" s="250">
        <f t="shared" si="76"/>
        <v>3</v>
      </c>
      <c r="AI117" s="392">
        <v>2.0</v>
      </c>
      <c r="AJ117" s="250" t="b">
        <v>0</v>
      </c>
      <c r="AK117" s="390">
        <f t="shared" si="75"/>
        <v>23</v>
      </c>
      <c r="AL117" s="386">
        <v>4.0</v>
      </c>
      <c r="AM117" s="248">
        <v>9.0</v>
      </c>
      <c r="AN117" s="263" t="str">
        <f>IFNA(VLOOKUP($A117,'Tube Reactions'!$J$2:$K163,2,FALSE),"")</f>
        <v/>
      </c>
      <c r="AO117" s="264" t="str">
        <f t="shared" si="4"/>
        <v>NOT EQUAL</v>
      </c>
      <c r="AP117" s="265" t="s">
        <v>933</v>
      </c>
      <c r="AQ117" s="260" t="b">
        <f t="shared" si="6"/>
        <v>1</v>
      </c>
      <c r="AR117" s="266">
        <v>128.0</v>
      </c>
      <c r="AS117" s="279" t="s">
        <v>934</v>
      </c>
      <c r="AT117" s="247"/>
      <c r="AU117" s="268" t="s">
        <v>646</v>
      </c>
      <c r="AV117" s="269">
        <v>25.0</v>
      </c>
      <c r="AW117" s="250" t="b">
        <v>0</v>
      </c>
      <c r="AX117" s="270" t="b">
        <f t="shared" si="7"/>
        <v>1</v>
      </c>
      <c r="AY117" s="250">
        <f t="shared" si="66"/>
        <v>2</v>
      </c>
      <c r="AZ117" s="256"/>
      <c r="BA117" s="272" t="b">
        <v>0</v>
      </c>
      <c r="BB117" s="245" t="str">
        <f t="shared" si="9"/>
        <v/>
      </c>
      <c r="BC117" s="260" t="str">
        <f t="shared" si="10"/>
        <v/>
      </c>
      <c r="BD117" s="260" t="str">
        <f t="shared" si="11"/>
        <v/>
      </c>
      <c r="BE117" s="273" t="b">
        <f t="shared" si="12"/>
        <v>1</v>
      </c>
      <c r="BF117" s="274">
        <f t="shared" si="13"/>
        <v>44690</v>
      </c>
      <c r="BG117" s="275" t="str">
        <f t="shared" si="14"/>
        <v>RUN-FLMP_2022-05-09_RFR-128</v>
      </c>
      <c r="BH117" s="96">
        <f t="shared" si="15"/>
        <v>23</v>
      </c>
      <c r="BI117" s="96">
        <f t="shared" si="16"/>
        <v>23</v>
      </c>
      <c r="BJ117" s="96">
        <f t="shared" si="17"/>
        <v>23</v>
      </c>
      <c r="BK117" s="96">
        <f t="shared" si="18"/>
        <v>4</v>
      </c>
      <c r="BL117" s="10">
        <f>IFNA(IF(VLOOKUP(FLOOR($B117,1),'APS Tubes by Date IMPORT'!$B$2:$J163,1,FALSE)=FLOOR($BL116,1),IFERROR(0/0,""),VLOOKUP(FLOOR($B117,1),'APS Tubes by Date IMPORT'!$B$2:$J163,1,FALSE)),"")</f>
        <v>44690</v>
      </c>
      <c r="BM117" s="96">
        <f>IF(ISBLANK($BL117),IFERROR(0/0,""),VLOOKUP(FLOOR($B117,1),'APS Tubes by Date IMPORT'!$B$2:$J163,2,FALSE))</f>
        <v>30</v>
      </c>
    </row>
    <row r="118">
      <c r="A118" s="245" t="str">
        <f>CONCATENATE("RUN-",'Process Ref'!$A$1,"_",TEXT(U118,"YYYY-MM-DD"),"_RFR-",TEXT(AR118,"000"),IF(EXACT(W118,"Initial"),"",CONCATENATE("_",W118)))</f>
        <v>RUN-FLMP_2022-05-09_RFR-129_Re-run</v>
      </c>
      <c r="B118" s="302">
        <v>44690.50622733796</v>
      </c>
      <c r="C118" s="256"/>
      <c r="D118" s="256" t="s">
        <v>442</v>
      </c>
      <c r="E118" s="250">
        <v>9.0</v>
      </c>
      <c r="F118" s="256" t="s">
        <v>927</v>
      </c>
      <c r="G118" s="249" t="s">
        <v>935</v>
      </c>
      <c r="H118" s="283" t="s">
        <v>936</v>
      </c>
      <c r="I118" s="249" t="s">
        <v>937</v>
      </c>
      <c r="J118" s="250">
        <v>1.0</v>
      </c>
      <c r="K118" s="313"/>
      <c r="L118" s="386"/>
      <c r="M118" s="303">
        <v>1.2</v>
      </c>
      <c r="N118" s="303"/>
      <c r="O118" s="253"/>
      <c r="P118" s="254" t="b">
        <v>0</v>
      </c>
      <c r="Q118" s="286" t="b">
        <v>0</v>
      </c>
      <c r="R118" s="256"/>
      <c r="S118" s="254" t="b">
        <v>0</v>
      </c>
      <c r="T118" s="257" t="b">
        <v>0</v>
      </c>
      <c r="U118" s="387">
        <v>44690.0</v>
      </c>
      <c r="V118" s="289">
        <v>0.45625</v>
      </c>
      <c r="W118" s="290" t="s">
        <v>469</v>
      </c>
      <c r="X118" s="291" t="s">
        <v>938</v>
      </c>
      <c r="Y118" s="286" t="b">
        <v>1</v>
      </c>
      <c r="Z118" s="250"/>
      <c r="AA118" s="260">
        <f t="shared" si="34"/>
        <v>-9</v>
      </c>
      <c r="AB118" s="293" t="b">
        <f t="shared" si="2"/>
        <v>1</v>
      </c>
      <c r="AC118" s="388">
        <v>9.0</v>
      </c>
      <c r="AD118" s="292">
        <v>0.0</v>
      </c>
      <c r="AE118" s="292">
        <v>1.0</v>
      </c>
      <c r="AF118" s="292">
        <v>1.0</v>
      </c>
      <c r="AG118" s="292">
        <v>7.0</v>
      </c>
      <c r="AH118" s="292">
        <v>2.0</v>
      </c>
      <c r="AI118" s="292">
        <v>2.0</v>
      </c>
      <c r="AJ118" s="294" t="b">
        <v>0</v>
      </c>
      <c r="AK118" s="250">
        <f t="shared" si="75"/>
        <v>3</v>
      </c>
      <c r="AL118" s="388">
        <v>4.0</v>
      </c>
      <c r="AM118" s="250"/>
      <c r="AN118" s="296" t="str">
        <f>IFNA(VLOOKUP($A118,'Tube Reactions'!$J$2:$K163,2,FALSE),"")</f>
        <v/>
      </c>
      <c r="AO118" s="297" t="str">
        <f t="shared" si="4"/>
        <v/>
      </c>
      <c r="AP118" s="384" t="s">
        <v>933</v>
      </c>
      <c r="AQ118" s="260" t="b">
        <f t="shared" si="6"/>
        <v>1</v>
      </c>
      <c r="AR118" s="266">
        <v>129.0</v>
      </c>
      <c r="AS118" s="279" t="s">
        <v>939</v>
      </c>
      <c r="AT118" s="279"/>
      <c r="AU118" s="306" t="s">
        <v>626</v>
      </c>
      <c r="AV118" s="292">
        <v>11.0</v>
      </c>
      <c r="AW118" s="254" t="b">
        <v>0</v>
      </c>
      <c r="AX118" s="270" t="b">
        <f t="shared" si="7"/>
        <v>1</v>
      </c>
      <c r="AY118" s="254">
        <f t="shared" si="66"/>
        <v>2</v>
      </c>
      <c r="AZ118" s="254"/>
      <c r="BA118" s="272" t="b">
        <v>0</v>
      </c>
      <c r="BB118" s="245" t="str">
        <f t="shared" si="9"/>
        <v/>
      </c>
      <c r="BC118" s="260" t="str">
        <f t="shared" si="10"/>
        <v/>
      </c>
      <c r="BD118" s="260" t="str">
        <f t="shared" si="11"/>
        <v/>
      </c>
      <c r="BE118" s="273" t="b">
        <f t="shared" si="12"/>
        <v>1</v>
      </c>
      <c r="BF118" s="274" t="str">
        <f t="shared" si="13"/>
        <v/>
      </c>
      <c r="BG118" s="275" t="str">
        <f t="shared" si="14"/>
        <v/>
      </c>
      <c r="BH118" s="96" t="str">
        <f t="shared" si="15"/>
        <v/>
      </c>
      <c r="BI118" s="96" t="str">
        <f t="shared" si="16"/>
        <v/>
      </c>
      <c r="BJ118" s="96" t="str">
        <f t="shared" si="17"/>
        <v/>
      </c>
      <c r="BK118" s="96" t="str">
        <f t="shared" si="18"/>
        <v/>
      </c>
      <c r="BL118" s="10" t="str">
        <f>IFNA(IF(VLOOKUP(FLOOR($B118,1),'APS Tubes by Date IMPORT'!$B$2:$J163,1,FALSE)=FLOOR($BL117,1),IFERROR(0/0,""),VLOOKUP(FLOOR($B118,1),'APS Tubes by Date IMPORT'!$B$2:$J163,1,FALSE)),"")</f>
        <v/>
      </c>
      <c r="BM118" s="96" t="str">
        <f>IF(ISBLANK($BL118),IFERROR(0/0,""),VLOOKUP(FLOOR($B118,1),'APS Tubes by Date IMPORT'!$B$2:$J163,2,FALSE))</f>
        <v/>
      </c>
    </row>
    <row r="119">
      <c r="A119" s="245" t="str">
        <f>CONCATENATE("RUN-",'Process Ref'!$A$1,"_",TEXT(U119,"YYYY-MM-DD"),"_RFR-",TEXT(AR119,"000"),IF(EXACT(W119,"Initial"),"",CONCATENATE("_",W119)))</f>
        <v>RUN-FLMP_2022-05-09_RFR-130_Re-run</v>
      </c>
      <c r="B119" s="302">
        <v>44690.5071875</v>
      </c>
      <c r="C119" s="256"/>
      <c r="D119" s="256" t="s">
        <v>442</v>
      </c>
      <c r="E119" s="250">
        <v>6.0</v>
      </c>
      <c r="F119" s="256" t="s">
        <v>940</v>
      </c>
      <c r="G119" s="249" t="s">
        <v>941</v>
      </c>
      <c r="H119" s="282"/>
      <c r="I119" s="249" t="s">
        <v>942</v>
      </c>
      <c r="J119" s="250"/>
      <c r="K119" s="313"/>
      <c r="L119" s="386"/>
      <c r="M119" s="252"/>
      <c r="N119" s="252"/>
      <c r="O119" s="253"/>
      <c r="P119" s="254" t="b">
        <v>0</v>
      </c>
      <c r="Q119" s="286" t="b">
        <v>0</v>
      </c>
      <c r="R119" s="256"/>
      <c r="S119" s="254" t="b">
        <v>0</v>
      </c>
      <c r="T119" s="257" t="b">
        <v>0</v>
      </c>
      <c r="U119" s="387">
        <v>44690.0</v>
      </c>
      <c r="V119" s="289">
        <v>0.45625</v>
      </c>
      <c r="W119" s="290" t="s">
        <v>469</v>
      </c>
      <c r="X119" s="313"/>
      <c r="Y119" s="254" t="b">
        <v>0</v>
      </c>
      <c r="Z119" s="250"/>
      <c r="AA119" s="260">
        <f t="shared" si="34"/>
        <v>-6</v>
      </c>
      <c r="AB119" s="293" t="b">
        <f t="shared" si="2"/>
        <v>1</v>
      </c>
      <c r="AC119" s="388">
        <v>18.0</v>
      </c>
      <c r="AD119" s="292">
        <v>1.0</v>
      </c>
      <c r="AE119" s="292">
        <v>0.0</v>
      </c>
      <c r="AF119" s="292">
        <v>0.0</v>
      </c>
      <c r="AG119" s="292">
        <v>0.0</v>
      </c>
      <c r="AH119" s="250">
        <f>IF(W119="Initial",AG119,(IF(AJ119=TRUE,"CORRECT ME",AG119/3)))</f>
        <v>0</v>
      </c>
      <c r="AI119" s="292">
        <v>0.0</v>
      </c>
      <c r="AJ119" s="294" t="b">
        <v>0</v>
      </c>
      <c r="AK119" s="250">
        <f t="shared" si="75"/>
        <v>6</v>
      </c>
      <c r="AL119" s="388">
        <v>1.6</v>
      </c>
      <c r="AM119" s="250"/>
      <c r="AN119" s="296" t="str">
        <f>IFNA(VLOOKUP($A119,'Tube Reactions'!$J$2:$K163,2,FALSE),"")</f>
        <v/>
      </c>
      <c r="AO119" s="297" t="str">
        <f t="shared" si="4"/>
        <v/>
      </c>
      <c r="AP119" s="298" t="str">
        <f>IF(ISTEXT(H119),"", "Absent")</f>
        <v>Absent</v>
      </c>
      <c r="AQ119" s="260" t="b">
        <f t="shared" si="6"/>
        <v>1</v>
      </c>
      <c r="AR119" s="266">
        <v>130.0</v>
      </c>
      <c r="AS119" s="279" t="s">
        <v>943</v>
      </c>
      <c r="AT119" s="279"/>
      <c r="AU119" s="306" t="s">
        <v>626</v>
      </c>
      <c r="AV119" s="292">
        <v>20.0</v>
      </c>
      <c r="AW119" s="254" t="b">
        <v>0</v>
      </c>
      <c r="AX119" s="270" t="b">
        <f t="shared" si="7"/>
        <v>1</v>
      </c>
      <c r="AY119" s="254">
        <f t="shared" si="66"/>
        <v>2</v>
      </c>
      <c r="AZ119" s="254"/>
      <c r="BA119" s="272" t="b">
        <v>0</v>
      </c>
      <c r="BB119" s="245" t="str">
        <f t="shared" si="9"/>
        <v/>
      </c>
      <c r="BC119" s="260" t="str">
        <f t="shared" si="10"/>
        <v/>
      </c>
      <c r="BD119" s="260" t="str">
        <f t="shared" si="11"/>
        <v/>
      </c>
      <c r="BE119" s="273" t="b">
        <f t="shared" si="12"/>
        <v>1</v>
      </c>
      <c r="BF119" s="274" t="str">
        <f t="shared" si="13"/>
        <v/>
      </c>
      <c r="BG119" s="275" t="str">
        <f t="shared" si="14"/>
        <v/>
      </c>
      <c r="BH119" s="96" t="str">
        <f t="shared" si="15"/>
        <v/>
      </c>
      <c r="BI119" s="96" t="str">
        <f t="shared" si="16"/>
        <v/>
      </c>
      <c r="BJ119" s="96" t="str">
        <f t="shared" si="17"/>
        <v/>
      </c>
      <c r="BK119" s="96" t="str">
        <f t="shared" si="18"/>
        <v/>
      </c>
      <c r="BL119" s="10">
        <f>IFNA(IF(VLOOKUP(FLOOR($B119,1),'APS Tubes by Date IMPORT'!$B$2:$J163,1,FALSE)=FLOOR($BL118,1),IFERROR(0/0,""),VLOOKUP(FLOOR($B119,1),'APS Tubes by Date IMPORT'!$B$2:$J163,1,FALSE)),"")</f>
        <v>44690</v>
      </c>
      <c r="BM119" s="96">
        <f>IF(ISBLANK($BL119),IFERROR(0/0,""),VLOOKUP(FLOOR($B119,1),'APS Tubes by Date IMPORT'!$B$2:$J163,2,FALSE))</f>
        <v>30</v>
      </c>
    </row>
    <row r="120">
      <c r="A120" s="245" t="str">
        <f>CONCATENATE("RUN-",'Process Ref'!$A$1,"_",TEXT(U120,"YYYY-MM-DD"),"_RFR-",TEXT(AR120,"000"),IF(EXACT(W120,"Initial"),"",CONCATENATE("_",W120)))</f>
        <v>RUN-FLMP_2022-05-09_RFR-131</v>
      </c>
      <c r="B120" s="246">
        <v>44690.62471935185</v>
      </c>
      <c r="C120" s="256"/>
      <c r="D120" s="256" t="s">
        <v>442</v>
      </c>
      <c r="E120" s="250">
        <v>7.0</v>
      </c>
      <c r="F120" s="256" t="s">
        <v>944</v>
      </c>
      <c r="G120" s="249" t="s">
        <v>945</v>
      </c>
      <c r="H120" s="249" t="s">
        <v>946</v>
      </c>
      <c r="I120" s="249" t="s">
        <v>947</v>
      </c>
      <c r="J120" s="250"/>
      <c r="K120" s="313" t="s">
        <v>948</v>
      </c>
      <c r="L120" s="386"/>
      <c r="M120" s="252"/>
      <c r="N120" s="252"/>
      <c r="O120" s="253"/>
      <c r="P120" s="254" t="b">
        <v>0</v>
      </c>
      <c r="Q120" s="255" t="b">
        <v>0</v>
      </c>
      <c r="R120" s="256"/>
      <c r="S120" s="254" t="b">
        <v>0</v>
      </c>
      <c r="T120" s="257" t="b">
        <v>0</v>
      </c>
      <c r="U120" s="389">
        <v>44690.0</v>
      </c>
      <c r="V120" s="259">
        <v>0.5930555555555556</v>
      </c>
      <c r="W120" s="247" t="s">
        <v>447</v>
      </c>
      <c r="X120" s="247" t="s">
        <v>948</v>
      </c>
      <c r="Y120" s="255" t="b">
        <v>1</v>
      </c>
      <c r="Z120" s="248">
        <v>16.0</v>
      </c>
      <c r="AA120" s="260">
        <f t="shared" si="34"/>
        <v>9</v>
      </c>
      <c r="AB120" s="261" t="b">
        <f t="shared" si="2"/>
        <v>1</v>
      </c>
      <c r="AC120" s="386">
        <v>14.0</v>
      </c>
      <c r="AD120" s="248">
        <v>0.0</v>
      </c>
      <c r="AE120" s="248">
        <f t="shared" ref="AE120:AE121" si="77">IF(W120="Initial",AD120,(IF(AJ120=TRUE,"CORRECT ME",AD120/3)))</f>
        <v>0</v>
      </c>
      <c r="AF120" s="248">
        <v>0.0</v>
      </c>
      <c r="AG120" s="248">
        <v>4.0</v>
      </c>
      <c r="AH120" s="248">
        <v>2.0</v>
      </c>
      <c r="AI120" s="248">
        <v>2.0</v>
      </c>
      <c r="AJ120" s="250" t="b">
        <v>0</v>
      </c>
      <c r="AK120" s="292">
        <v>7.0</v>
      </c>
      <c r="AL120" s="386">
        <v>4.0</v>
      </c>
      <c r="AM120" s="248">
        <v>2.0</v>
      </c>
      <c r="AN120" s="263" t="str">
        <f>IFNA(VLOOKUP($A120,'Tube Reactions'!$J$2:$K163,2,FALSE),"")</f>
        <v/>
      </c>
      <c r="AO120" s="264" t="str">
        <f t="shared" si="4"/>
        <v>NOT EQUAL</v>
      </c>
      <c r="AP120" s="265" t="s">
        <v>933</v>
      </c>
      <c r="AQ120" s="260" t="b">
        <f t="shared" si="6"/>
        <v>1</v>
      </c>
      <c r="AR120" s="266">
        <v>131.0</v>
      </c>
      <c r="AS120" s="267" t="s">
        <v>949</v>
      </c>
      <c r="AT120" s="247"/>
      <c r="AU120" s="268" t="s">
        <v>626</v>
      </c>
      <c r="AV120" s="269">
        <v>16.0</v>
      </c>
      <c r="AW120" s="311" t="b">
        <v>0</v>
      </c>
      <c r="AX120" s="270" t="b">
        <f t="shared" si="7"/>
        <v>1</v>
      </c>
      <c r="AY120" s="250">
        <f t="shared" si="66"/>
        <v>2</v>
      </c>
      <c r="AZ120" s="256"/>
      <c r="BA120" s="272" t="b">
        <v>0</v>
      </c>
      <c r="BB120" s="245" t="str">
        <f t="shared" si="9"/>
        <v/>
      </c>
      <c r="BC120" s="260" t="str">
        <f t="shared" si="10"/>
        <v/>
      </c>
      <c r="BD120" s="260" t="str">
        <f t="shared" si="11"/>
        <v/>
      </c>
      <c r="BE120" s="273" t="b">
        <f t="shared" si="12"/>
        <v>1</v>
      </c>
      <c r="BF120" s="274">
        <f t="shared" si="13"/>
        <v>44690</v>
      </c>
      <c r="BG120" s="275" t="str">
        <f t="shared" si="14"/>
        <v>RUN-FLMP_2022-05-09_RFR-131</v>
      </c>
      <c r="BH120" s="96">
        <f t="shared" si="15"/>
        <v>7</v>
      </c>
      <c r="BI120" s="96">
        <f t="shared" si="16"/>
        <v>14</v>
      </c>
      <c r="BJ120" s="96">
        <f t="shared" si="17"/>
        <v>7</v>
      </c>
      <c r="BK120" s="96">
        <f t="shared" si="18"/>
        <v>4</v>
      </c>
      <c r="BL120" s="10" t="str">
        <f>IFNA(IF(VLOOKUP(FLOOR($B120,1),'APS Tubes by Date IMPORT'!$B$2:$J163,1,FALSE)=FLOOR($BL119,1),IFERROR(0/0,""),VLOOKUP(FLOOR($B120,1),'APS Tubes by Date IMPORT'!$B$2:$J163,1,FALSE)),"")</f>
        <v/>
      </c>
      <c r="BM120" s="96" t="str">
        <f>IF(ISBLANK($BL120),IFERROR(0/0,""),VLOOKUP(FLOOR($B120,1),'APS Tubes by Date IMPORT'!$B$2:$J163,2,FALSE))</f>
        <v/>
      </c>
    </row>
    <row r="121">
      <c r="A121" s="245" t="str">
        <f>CONCATENATE("RUN-",'Process Ref'!$A$1,"_",TEXT(U121,"YYYY-MM-DD"),"_RFR-",TEXT(AR121,"000"),IF(EXACT(W121,"Initial"),"",CONCATENATE("_",W121)))</f>
        <v>RUN-FLMP_2022-05-11_RFR-132</v>
      </c>
      <c r="B121" s="246">
        <v>44692.42231865741</v>
      </c>
      <c r="C121" s="256"/>
      <c r="D121" s="256" t="s">
        <v>442</v>
      </c>
      <c r="E121" s="250">
        <v>7.0</v>
      </c>
      <c r="F121" s="256" t="s">
        <v>950</v>
      </c>
      <c r="G121" s="249" t="s">
        <v>951</v>
      </c>
      <c r="H121" s="249"/>
      <c r="I121" s="249" t="s">
        <v>952</v>
      </c>
      <c r="J121" s="250">
        <v>2.0</v>
      </c>
      <c r="K121" s="313"/>
      <c r="L121" s="386"/>
      <c r="M121" s="252"/>
      <c r="N121" s="252"/>
      <c r="O121" s="253"/>
      <c r="P121" s="254" t="b">
        <v>0</v>
      </c>
      <c r="Q121" s="255" t="b">
        <v>0</v>
      </c>
      <c r="R121" s="256"/>
      <c r="S121" s="254" t="b">
        <v>0</v>
      </c>
      <c r="T121" s="284" t="b">
        <v>1</v>
      </c>
      <c r="U121" s="389">
        <v>44692.0</v>
      </c>
      <c r="V121" s="259">
        <v>0.375</v>
      </c>
      <c r="W121" s="247" t="s">
        <v>447</v>
      </c>
      <c r="X121" s="290" t="s">
        <v>953</v>
      </c>
      <c r="Y121" s="254" t="b">
        <v>0</v>
      </c>
      <c r="Z121" s="248">
        <v>9.0</v>
      </c>
      <c r="AA121" s="260">
        <f t="shared" si="34"/>
        <v>2</v>
      </c>
      <c r="AB121" s="261" t="b">
        <f t="shared" si="2"/>
        <v>0</v>
      </c>
      <c r="AC121" s="386">
        <v>7.0</v>
      </c>
      <c r="AD121" s="248">
        <v>2.0</v>
      </c>
      <c r="AE121" s="248">
        <f t="shared" si="77"/>
        <v>2</v>
      </c>
      <c r="AF121" s="248">
        <v>1.0</v>
      </c>
      <c r="AG121" s="248">
        <v>0.0</v>
      </c>
      <c r="AH121" s="250">
        <f>IF(W121="Initial",AG121,(IF(AJ121=TRUE,"CORRECT ME",AG121/3)))</f>
        <v>0</v>
      </c>
      <c r="AI121" s="248">
        <v>0.0</v>
      </c>
      <c r="AJ121" s="250" t="b">
        <v>0</v>
      </c>
      <c r="AK121" s="390">
        <f t="shared" ref="AK121:AK125" si="78">IF(W121="Initial",AC121,IF(AJ121=TRUE,"CORRECT ME",AC121/3))</f>
        <v>7</v>
      </c>
      <c r="AL121" s="386">
        <v>2.0</v>
      </c>
      <c r="AM121" s="248">
        <v>2.0</v>
      </c>
      <c r="AN121" s="263" t="str">
        <f>IFNA(VLOOKUP($A121,'Tube Reactions'!$J$2:$K163,2,FALSE),"")</f>
        <v/>
      </c>
      <c r="AO121" s="264" t="str">
        <f t="shared" si="4"/>
        <v>NOT EQUAL</v>
      </c>
      <c r="AP121" s="265" t="str">
        <f t="shared" ref="AP121:AP127" si="79">IF(ISTEXT(H121),"", "Absent")</f>
        <v>Absent</v>
      </c>
      <c r="AQ121" s="260" t="b">
        <f t="shared" si="6"/>
        <v>1</v>
      </c>
      <c r="AR121" s="266">
        <v>132.0</v>
      </c>
      <c r="AS121" s="267"/>
      <c r="AT121" s="247"/>
      <c r="AU121" s="268" t="s">
        <v>646</v>
      </c>
      <c r="AV121" s="269">
        <v>9.0</v>
      </c>
      <c r="AW121" s="250" t="b">
        <v>0</v>
      </c>
      <c r="AX121" s="270" t="b">
        <f t="shared" si="7"/>
        <v>1</v>
      </c>
      <c r="AY121" s="250">
        <f t="shared" si="66"/>
        <v>2</v>
      </c>
      <c r="AZ121" s="256"/>
      <c r="BA121" s="272" t="b">
        <v>1</v>
      </c>
      <c r="BB121" s="245" t="b">
        <f t="shared" si="9"/>
        <v>1</v>
      </c>
      <c r="BC121" s="260">
        <f t="shared" si="10"/>
        <v>2</v>
      </c>
      <c r="BD121" s="260">
        <f t="shared" si="11"/>
        <v>7</v>
      </c>
      <c r="BE121" s="273" t="b">
        <f t="shared" si="12"/>
        <v>1</v>
      </c>
      <c r="BF121" s="274">
        <f t="shared" si="13"/>
        <v>44692</v>
      </c>
      <c r="BG121" s="275" t="str">
        <f t="shared" si="14"/>
        <v>RUN-FLMP_2022-05-11_RFR-132</v>
      </c>
      <c r="BH121" s="96">
        <f t="shared" si="15"/>
        <v>7</v>
      </c>
      <c r="BI121" s="96">
        <f t="shared" si="16"/>
        <v>7</v>
      </c>
      <c r="BJ121" s="96">
        <f t="shared" si="17"/>
        <v>7</v>
      </c>
      <c r="BK121" s="96">
        <f t="shared" si="18"/>
        <v>2</v>
      </c>
      <c r="BL121" s="10">
        <f>IFNA(IF(VLOOKUP(FLOOR($B121,1),'APS Tubes by Date IMPORT'!$B$2:$J163,1,FALSE)=FLOOR($BL120,1),IFERROR(0/0,""),VLOOKUP(FLOOR($B121,1),'APS Tubes by Date IMPORT'!$B$2:$J163,1,FALSE)),"")</f>
        <v>44692</v>
      </c>
      <c r="BM121" s="96">
        <f>IF(ISBLANK($BL121),IFERROR(0/0,""),VLOOKUP(FLOOR($B121,1),'APS Tubes by Date IMPORT'!$B$2:$J163,2,FALSE))</f>
        <v>5</v>
      </c>
    </row>
    <row r="122">
      <c r="A122" s="245" t="str">
        <f>CONCATENATE("RUN-",'Process Ref'!$A$1,"_",TEXT(U122,"YYYY-MM-DD"),"_RFR-",TEXT(AR122,"000"),IF(EXACT(W122,"Initial"),"",CONCATENATE("_",W122)))</f>
        <v>RUN-FLMP_2022-05-11_RFR-133_Re-run</v>
      </c>
      <c r="B122" s="285">
        <v>44692.45308892361</v>
      </c>
      <c r="C122" s="256"/>
      <c r="D122" s="256" t="s">
        <v>442</v>
      </c>
      <c r="E122" s="250">
        <v>2.0</v>
      </c>
      <c r="F122" s="256" t="s">
        <v>954</v>
      </c>
      <c r="G122" s="249" t="s">
        <v>955</v>
      </c>
      <c r="H122" s="282"/>
      <c r="I122" s="249" t="s">
        <v>956</v>
      </c>
      <c r="J122" s="250">
        <v>1.0</v>
      </c>
      <c r="K122" s="313"/>
      <c r="L122" s="386"/>
      <c r="M122" s="252"/>
      <c r="N122" s="252"/>
      <c r="O122" s="253"/>
      <c r="P122" s="254" t="b">
        <v>0</v>
      </c>
      <c r="Q122" s="286" t="b">
        <v>0</v>
      </c>
      <c r="R122" s="256"/>
      <c r="S122" s="254" t="b">
        <v>0</v>
      </c>
      <c r="T122" s="287" t="b">
        <v>1</v>
      </c>
      <c r="U122" s="387">
        <v>44692.0</v>
      </c>
      <c r="V122" s="289">
        <v>0.4236111111111111</v>
      </c>
      <c r="W122" s="290" t="s">
        <v>469</v>
      </c>
      <c r="X122" s="313"/>
      <c r="Y122" s="254" t="b">
        <v>0</v>
      </c>
      <c r="Z122" s="292">
        <v>8.0</v>
      </c>
      <c r="AA122" s="260">
        <f t="shared" si="34"/>
        <v>6</v>
      </c>
      <c r="AB122" s="293" t="b">
        <f t="shared" si="2"/>
        <v>1</v>
      </c>
      <c r="AC122" s="388">
        <v>6.0</v>
      </c>
      <c r="AD122" s="292">
        <v>0.0</v>
      </c>
      <c r="AE122" s="292">
        <v>1.0</v>
      </c>
      <c r="AF122" s="292">
        <v>1.0</v>
      </c>
      <c r="AG122" s="292">
        <v>1.0</v>
      </c>
      <c r="AH122" s="292">
        <v>0.0</v>
      </c>
      <c r="AI122" s="292">
        <v>0.0</v>
      </c>
      <c r="AJ122" s="294" t="b">
        <v>0</v>
      </c>
      <c r="AK122" s="250">
        <f t="shared" si="78"/>
        <v>2</v>
      </c>
      <c r="AL122" s="388">
        <v>4.0</v>
      </c>
      <c r="AM122" s="250"/>
      <c r="AN122" s="296" t="str">
        <f>IFNA(VLOOKUP($A122,'Tube Reactions'!$J$2:$K163,2,FALSE),"")</f>
        <v/>
      </c>
      <c r="AO122" s="297" t="str">
        <f t="shared" si="4"/>
        <v/>
      </c>
      <c r="AP122" s="298" t="str">
        <f t="shared" si="79"/>
        <v>Absent</v>
      </c>
      <c r="AQ122" s="260" t="b">
        <f t="shared" si="6"/>
        <v>1</v>
      </c>
      <c r="AR122" s="266">
        <v>133.0</v>
      </c>
      <c r="AS122" s="279"/>
      <c r="AT122" s="279"/>
      <c r="AU122" s="299" t="s">
        <v>646</v>
      </c>
      <c r="AV122" s="292">
        <v>8.0</v>
      </c>
      <c r="AW122" s="254" t="b">
        <v>0</v>
      </c>
      <c r="AX122" s="270" t="b">
        <f t="shared" si="7"/>
        <v>1</v>
      </c>
      <c r="AY122" s="254">
        <f t="shared" si="66"/>
        <v>2</v>
      </c>
      <c r="AZ122" s="254"/>
      <c r="BA122" s="272" t="b">
        <v>0</v>
      </c>
      <c r="BB122" s="245" t="str">
        <f t="shared" si="9"/>
        <v/>
      </c>
      <c r="BC122" s="260" t="str">
        <f t="shared" si="10"/>
        <v/>
      </c>
      <c r="BD122" s="260" t="str">
        <f t="shared" si="11"/>
        <v/>
      </c>
      <c r="BE122" s="273" t="b">
        <f t="shared" si="12"/>
        <v>1</v>
      </c>
      <c r="BF122" s="274" t="str">
        <f t="shared" si="13"/>
        <v/>
      </c>
      <c r="BG122" s="275" t="str">
        <f t="shared" si="14"/>
        <v/>
      </c>
      <c r="BH122" s="96" t="str">
        <f t="shared" si="15"/>
        <v/>
      </c>
      <c r="BI122" s="96" t="str">
        <f t="shared" si="16"/>
        <v/>
      </c>
      <c r="BJ122" s="96" t="str">
        <f t="shared" si="17"/>
        <v/>
      </c>
      <c r="BK122" s="96" t="str">
        <f t="shared" si="18"/>
        <v/>
      </c>
      <c r="BL122" s="10" t="str">
        <f>IFNA(IF(VLOOKUP(FLOOR($B122,1),'APS Tubes by Date IMPORT'!$B$2:$J163,1,FALSE)=FLOOR($BL121,1),IFERROR(0/0,""),VLOOKUP(FLOOR($B122,1),'APS Tubes by Date IMPORT'!$B$2:$J163,1,FALSE)),"")</f>
        <v/>
      </c>
      <c r="BM122" s="96" t="str">
        <f>IF(ISBLANK($BL122),IFERROR(0/0,""),VLOOKUP(FLOOR($B122,1),'APS Tubes by Date IMPORT'!$B$2:$J163,2,FALSE))</f>
        <v/>
      </c>
    </row>
    <row r="123">
      <c r="A123" s="245" t="str">
        <f>CONCATENATE("RUN-",'Process Ref'!$A$1,"_",TEXT(U123,"YYYY-MM-DD"),"_RFR-",TEXT(AR123,"000"),IF(EXACT(W123,"Initial"),"",CONCATENATE("_",W123)))</f>
        <v>RUN-FLMP_2022-05-11_RFR-134_Re-run</v>
      </c>
      <c r="B123" s="285">
        <v>44692.48877318287</v>
      </c>
      <c r="C123" s="256"/>
      <c r="D123" s="256" t="s">
        <v>442</v>
      </c>
      <c r="E123" s="250">
        <v>1.0</v>
      </c>
      <c r="F123" s="256"/>
      <c r="G123" s="249" t="s">
        <v>957</v>
      </c>
      <c r="H123" s="282"/>
      <c r="I123" s="249" t="s">
        <v>958</v>
      </c>
      <c r="J123" s="250">
        <v>1.0</v>
      </c>
      <c r="K123" s="313"/>
      <c r="L123" s="386"/>
      <c r="M123" s="252"/>
      <c r="N123" s="252"/>
      <c r="O123" s="253"/>
      <c r="P123" s="254" t="b">
        <v>0</v>
      </c>
      <c r="Q123" s="286" t="b">
        <v>0</v>
      </c>
      <c r="R123" s="256"/>
      <c r="S123" s="254" t="b">
        <v>0</v>
      </c>
      <c r="T123" s="287" t="b">
        <v>1</v>
      </c>
      <c r="U123" s="387">
        <v>44692.0</v>
      </c>
      <c r="V123" s="385">
        <v>0.4583333333333333</v>
      </c>
      <c r="W123" s="290" t="s">
        <v>469</v>
      </c>
      <c r="X123" s="313"/>
      <c r="Y123" s="254" t="b">
        <v>0</v>
      </c>
      <c r="Z123" s="292">
        <v>5.0</v>
      </c>
      <c r="AA123" s="260">
        <f t="shared" si="34"/>
        <v>4</v>
      </c>
      <c r="AB123" s="293" t="b">
        <f t="shared" si="2"/>
        <v>1</v>
      </c>
      <c r="AC123" s="388">
        <v>3.0</v>
      </c>
      <c r="AD123" s="292">
        <v>0.0</v>
      </c>
      <c r="AE123" s="292">
        <v>1.0</v>
      </c>
      <c r="AF123" s="292">
        <v>1.0</v>
      </c>
      <c r="AG123" s="292">
        <v>1.0</v>
      </c>
      <c r="AH123" s="292">
        <v>0.0</v>
      </c>
      <c r="AI123" s="292">
        <v>0.0</v>
      </c>
      <c r="AJ123" s="294" t="b">
        <v>0</v>
      </c>
      <c r="AK123" s="250">
        <f t="shared" si="78"/>
        <v>1</v>
      </c>
      <c r="AL123" s="388">
        <v>4.0</v>
      </c>
      <c r="AM123" s="250"/>
      <c r="AN123" s="296" t="str">
        <f>IFNA(VLOOKUP($A123,'Tube Reactions'!$J$2:$K163,2,FALSE),"")</f>
        <v/>
      </c>
      <c r="AO123" s="297" t="str">
        <f t="shared" si="4"/>
        <v/>
      </c>
      <c r="AP123" s="298" t="str">
        <f t="shared" si="79"/>
        <v>Absent</v>
      </c>
      <c r="AQ123" s="260" t="b">
        <f t="shared" si="6"/>
        <v>1</v>
      </c>
      <c r="AR123" s="266">
        <v>134.0</v>
      </c>
      <c r="AS123" s="279"/>
      <c r="AT123" s="279"/>
      <c r="AU123" s="299" t="s">
        <v>646</v>
      </c>
      <c r="AV123" s="292">
        <v>5.0</v>
      </c>
      <c r="AW123" s="254" t="b">
        <v>0</v>
      </c>
      <c r="AX123" s="270" t="b">
        <f t="shared" si="7"/>
        <v>1</v>
      </c>
      <c r="AY123" s="254">
        <f t="shared" si="66"/>
        <v>2</v>
      </c>
      <c r="AZ123" s="254"/>
      <c r="BA123" s="272" t="b">
        <v>0</v>
      </c>
      <c r="BB123" s="245" t="str">
        <f t="shared" si="9"/>
        <v/>
      </c>
      <c r="BC123" s="260" t="str">
        <f t="shared" si="10"/>
        <v/>
      </c>
      <c r="BD123" s="260" t="str">
        <f t="shared" si="11"/>
        <v/>
      </c>
      <c r="BE123" s="273" t="b">
        <f t="shared" si="12"/>
        <v>1</v>
      </c>
      <c r="BF123" s="274" t="str">
        <f t="shared" si="13"/>
        <v/>
      </c>
      <c r="BG123" s="275" t="str">
        <f t="shared" si="14"/>
        <v/>
      </c>
      <c r="BH123" s="96" t="str">
        <f t="shared" si="15"/>
        <v/>
      </c>
      <c r="BI123" s="96" t="str">
        <f t="shared" si="16"/>
        <v/>
      </c>
      <c r="BJ123" s="96" t="str">
        <f t="shared" si="17"/>
        <v/>
      </c>
      <c r="BK123" s="96" t="str">
        <f t="shared" si="18"/>
        <v/>
      </c>
      <c r="BL123" s="10">
        <f>IFNA(IF(VLOOKUP(FLOOR($B123,1),'APS Tubes by Date IMPORT'!$B$2:$J163,1,FALSE)=FLOOR($BL122,1),IFERROR(0/0,""),VLOOKUP(FLOOR($B123,1),'APS Tubes by Date IMPORT'!$B$2:$J163,1,FALSE)),"")</f>
        <v>44692</v>
      </c>
      <c r="BM123" s="96">
        <f>IF(ISBLANK($BL123),IFERROR(0/0,""),VLOOKUP(FLOOR($B123,1),'APS Tubes by Date IMPORT'!$B$2:$J163,2,FALSE))</f>
        <v>5</v>
      </c>
    </row>
    <row r="124">
      <c r="A124" s="245" t="str">
        <f>CONCATENATE("RUN-",'Process Ref'!$A$1,"_",TEXT(U124,"YYYY-MM-DD"),"_RFR-",TEXT(AR124,"000"),IF(EXACT(W124,"Initial"),"",CONCATENATE("_",W124)))</f>
        <v>RUN-FLMP_2022-05-12_RFR-135</v>
      </c>
      <c r="B124" s="246">
        <v>44693.46523133102</v>
      </c>
      <c r="C124" s="256"/>
      <c r="D124" s="256" t="s">
        <v>442</v>
      </c>
      <c r="E124" s="250">
        <v>23.0</v>
      </c>
      <c r="F124" s="256" t="s">
        <v>959</v>
      </c>
      <c r="G124" s="249" t="s">
        <v>960</v>
      </c>
      <c r="H124" s="249"/>
      <c r="I124" s="249" t="s">
        <v>961</v>
      </c>
      <c r="J124" s="250">
        <v>1.0</v>
      </c>
      <c r="K124" s="313"/>
      <c r="L124" s="386"/>
      <c r="M124" s="252"/>
      <c r="N124" s="252"/>
      <c r="O124" s="253"/>
      <c r="P124" s="254" t="b">
        <v>0</v>
      </c>
      <c r="Q124" s="255" t="b">
        <v>0</v>
      </c>
      <c r="R124" s="256"/>
      <c r="S124" s="254" t="b">
        <v>0</v>
      </c>
      <c r="T124" s="284" t="b">
        <v>1</v>
      </c>
      <c r="U124" s="389">
        <v>44693.0</v>
      </c>
      <c r="V124" s="393">
        <v>0.375</v>
      </c>
      <c r="W124" s="247" t="s">
        <v>447</v>
      </c>
      <c r="X124" s="247" t="s">
        <v>962</v>
      </c>
      <c r="Y124" s="254" t="b">
        <v>0</v>
      </c>
      <c r="Z124" s="248">
        <v>25.0</v>
      </c>
      <c r="AA124" s="260">
        <f t="shared" si="34"/>
        <v>2</v>
      </c>
      <c r="AB124" s="261" t="b">
        <f t="shared" si="2"/>
        <v>0</v>
      </c>
      <c r="AC124" s="386">
        <v>23.0</v>
      </c>
      <c r="AD124" s="248">
        <v>1.0</v>
      </c>
      <c r="AE124" s="248">
        <f>IF(W124="Initial",AD124,(IF(AJ124=TRUE,"CORRECT ME",AD124/3)))</f>
        <v>1</v>
      </c>
      <c r="AF124" s="248">
        <v>0.0</v>
      </c>
      <c r="AG124" s="248">
        <v>0.0</v>
      </c>
      <c r="AH124" s="248">
        <v>0.0</v>
      </c>
      <c r="AI124" s="248">
        <v>0.0</v>
      </c>
      <c r="AJ124" s="250" t="b">
        <v>0</v>
      </c>
      <c r="AK124" s="390">
        <f t="shared" si="78"/>
        <v>23</v>
      </c>
      <c r="AL124" s="386">
        <v>1.1</v>
      </c>
      <c r="AM124" s="248">
        <v>1.0</v>
      </c>
      <c r="AN124" s="263" t="str">
        <f>IFNA(VLOOKUP($A124,'Tube Reactions'!$J$2:$K163,2,FALSE),"")</f>
        <v/>
      </c>
      <c r="AO124" s="264" t="str">
        <f t="shared" si="4"/>
        <v>NOT EQUAL</v>
      </c>
      <c r="AP124" s="265" t="str">
        <f t="shared" si="79"/>
        <v>Absent</v>
      </c>
      <c r="AQ124" s="260" t="b">
        <f t="shared" si="6"/>
        <v>1</v>
      </c>
      <c r="AR124" s="266">
        <v>135.0</v>
      </c>
      <c r="AS124" s="267"/>
      <c r="AT124" s="247"/>
      <c r="AU124" s="268" t="s">
        <v>646</v>
      </c>
      <c r="AV124" s="248">
        <v>25.0</v>
      </c>
      <c r="AW124" s="256" t="b">
        <v>0</v>
      </c>
      <c r="AX124" s="270" t="b">
        <f t="shared" si="7"/>
        <v>1</v>
      </c>
      <c r="AY124" s="250">
        <f t="shared" si="66"/>
        <v>2</v>
      </c>
      <c r="AZ124" s="256"/>
      <c r="BA124" s="272" t="b">
        <v>1</v>
      </c>
      <c r="BB124" s="245" t="b">
        <f t="shared" si="9"/>
        <v>1</v>
      </c>
      <c r="BC124" s="260">
        <f t="shared" si="10"/>
        <v>1.1</v>
      </c>
      <c r="BD124" s="260">
        <f t="shared" si="11"/>
        <v>23</v>
      </c>
      <c r="BE124" s="273" t="b">
        <f t="shared" si="12"/>
        <v>1</v>
      </c>
      <c r="BF124" s="274">
        <f t="shared" si="13"/>
        <v>44693</v>
      </c>
      <c r="BG124" s="275" t="str">
        <f t="shared" si="14"/>
        <v>RUN-FLMP_2022-05-12_RFR-135</v>
      </c>
      <c r="BH124" s="96">
        <f t="shared" si="15"/>
        <v>23</v>
      </c>
      <c r="BI124" s="96">
        <f t="shared" si="16"/>
        <v>23</v>
      </c>
      <c r="BJ124" s="96">
        <f t="shared" si="17"/>
        <v>23</v>
      </c>
      <c r="BK124" s="96">
        <f t="shared" si="18"/>
        <v>1.1</v>
      </c>
      <c r="BL124" s="10">
        <f>IFNA(IF(VLOOKUP(FLOOR($B124,1),'APS Tubes by Date IMPORT'!$B$2:$J163,1,FALSE)=FLOOR($BL123,1),IFERROR(0/0,""),VLOOKUP(FLOOR($B124,1),'APS Tubes by Date IMPORT'!$B$2:$J163,1,FALSE)),"")</f>
        <v>44693</v>
      </c>
      <c r="BM124" s="96">
        <f>IF(ISBLANK($BL124),IFERROR(0/0,""),VLOOKUP(FLOOR($B124,1),'APS Tubes by Date IMPORT'!$B$2:$J163,2,FALSE))</f>
        <v>21</v>
      </c>
    </row>
    <row r="125">
      <c r="A125" s="245" t="str">
        <f>CONCATENATE("RUN-",'Process Ref'!$A$1,"_",TEXT(U125,"YYYY-MM-DD"),"_RFR-",TEXT(AR125,"000"),IF(EXACT(W125,"Initial"),"",CONCATENATE("_",W125)))</f>
        <v>RUN-FLMP_2022-05-12_RFR-136_Re-run</v>
      </c>
      <c r="B125" s="285">
        <v>44693.482221620376</v>
      </c>
      <c r="C125" s="256"/>
      <c r="D125" s="256" t="s">
        <v>442</v>
      </c>
      <c r="E125" s="250">
        <v>1.0</v>
      </c>
      <c r="F125" s="256"/>
      <c r="G125" s="249" t="s">
        <v>963</v>
      </c>
      <c r="H125" s="282"/>
      <c r="I125" s="249" t="s">
        <v>964</v>
      </c>
      <c r="J125" s="250"/>
      <c r="K125" s="313"/>
      <c r="L125" s="386"/>
      <c r="M125" s="252"/>
      <c r="N125" s="252"/>
      <c r="O125" s="253"/>
      <c r="P125" s="254" t="b">
        <v>0</v>
      </c>
      <c r="Q125" s="286" t="b">
        <v>0</v>
      </c>
      <c r="R125" s="256"/>
      <c r="S125" s="254" t="b">
        <v>0</v>
      </c>
      <c r="T125" s="287" t="b">
        <v>1</v>
      </c>
      <c r="U125" s="387">
        <v>44693.0</v>
      </c>
      <c r="V125" s="289">
        <v>0.46597222222222223</v>
      </c>
      <c r="W125" s="290" t="s">
        <v>469</v>
      </c>
      <c r="X125" s="291" t="s">
        <v>965</v>
      </c>
      <c r="Y125" s="254" t="b">
        <v>0</v>
      </c>
      <c r="Z125" s="292">
        <v>5.0</v>
      </c>
      <c r="AA125" s="260">
        <f t="shared" si="34"/>
        <v>4</v>
      </c>
      <c r="AB125" s="293" t="b">
        <f t="shared" si="2"/>
        <v>1</v>
      </c>
      <c r="AC125" s="388">
        <v>3.0</v>
      </c>
      <c r="AD125" s="292">
        <v>0.0</v>
      </c>
      <c r="AE125" s="292">
        <v>0.0</v>
      </c>
      <c r="AF125" s="292">
        <v>0.0</v>
      </c>
      <c r="AG125" s="292">
        <v>0.0</v>
      </c>
      <c r="AH125" s="250">
        <f>IF(W125="Initial",AG125,(IF(AJ125=TRUE,"CORRECT ME",AG125/3)))</f>
        <v>0</v>
      </c>
      <c r="AI125" s="292">
        <v>0.0</v>
      </c>
      <c r="AJ125" s="294" t="b">
        <v>0</v>
      </c>
      <c r="AK125" s="250">
        <f t="shared" si="78"/>
        <v>1</v>
      </c>
      <c r="AL125" s="388">
        <v>0.0</v>
      </c>
      <c r="AM125" s="250"/>
      <c r="AN125" s="296" t="str">
        <f>IFNA(VLOOKUP($A125,'Tube Reactions'!$J$2:$K163,2,FALSE),"")</f>
        <v/>
      </c>
      <c r="AO125" s="297" t="str">
        <f t="shared" si="4"/>
        <v/>
      </c>
      <c r="AP125" s="298" t="str">
        <f t="shared" si="79"/>
        <v>Absent</v>
      </c>
      <c r="AQ125" s="260" t="b">
        <f t="shared" si="6"/>
        <v>1</v>
      </c>
      <c r="AR125" s="266">
        <v>136.0</v>
      </c>
      <c r="AS125" s="279"/>
      <c r="AT125" s="279"/>
      <c r="AU125" s="299" t="s">
        <v>646</v>
      </c>
      <c r="AV125" s="292">
        <v>5.0</v>
      </c>
      <c r="AW125" s="286" t="b">
        <v>1</v>
      </c>
      <c r="AX125" s="270" t="b">
        <f t="shared" si="7"/>
        <v>1</v>
      </c>
      <c r="AY125" s="254">
        <f t="shared" si="66"/>
        <v>2</v>
      </c>
      <c r="AZ125" s="254"/>
      <c r="BA125" s="272" t="b">
        <v>1</v>
      </c>
      <c r="BB125" s="245" t="b">
        <f t="shared" si="9"/>
        <v>0</v>
      </c>
      <c r="BC125" s="260" t="str">
        <f t="shared" si="10"/>
        <v/>
      </c>
      <c r="BD125" s="260" t="str">
        <f t="shared" si="11"/>
        <v/>
      </c>
      <c r="BE125" s="273" t="b">
        <f t="shared" si="12"/>
        <v>1</v>
      </c>
      <c r="BF125" s="274" t="str">
        <f t="shared" si="13"/>
        <v/>
      </c>
      <c r="BG125" s="275" t="str">
        <f t="shared" si="14"/>
        <v/>
      </c>
      <c r="BH125" s="96" t="str">
        <f t="shared" si="15"/>
        <v/>
      </c>
      <c r="BI125" s="96" t="str">
        <f t="shared" si="16"/>
        <v/>
      </c>
      <c r="BJ125" s="96" t="str">
        <f t="shared" si="17"/>
        <v/>
      </c>
      <c r="BK125" s="96" t="str">
        <f t="shared" si="18"/>
        <v/>
      </c>
      <c r="BL125" s="10" t="str">
        <f>IFNA(IF(VLOOKUP(FLOOR($B125,1),'APS Tubes by Date IMPORT'!$B$2:$J163,1,FALSE)=FLOOR($BL124,1),IFERROR(0/0,""),VLOOKUP(FLOOR($B125,1),'APS Tubes by Date IMPORT'!$B$2:$J163,1,FALSE)),"")</f>
        <v/>
      </c>
      <c r="BM125" s="96" t="str">
        <f>IF(ISBLANK($BL125),IFERROR(0/0,""),VLOOKUP(FLOOR($B125,1),'APS Tubes by Date IMPORT'!$B$2:$J163,2,FALSE))</f>
        <v/>
      </c>
    </row>
    <row r="126">
      <c r="A126" s="245" t="str">
        <f>CONCATENATE("RUN-",'Process Ref'!$A$1,"_",TEXT(U126,"YYYY-MM-DD"),"_RFR-",TEXT(AR126,"000"),IF(EXACT(W126,"Initial"),"",CONCATENATE("_",W126)))</f>
        <v>RUN-FLMP_2022-05-14_RFR-137</v>
      </c>
      <c r="B126" s="246">
        <v>44697.21770435185</v>
      </c>
      <c r="C126" s="256"/>
      <c r="D126" s="256" t="s">
        <v>442</v>
      </c>
      <c r="E126" s="250">
        <v>8.0</v>
      </c>
      <c r="F126" s="256"/>
      <c r="G126" s="249" t="s">
        <v>966</v>
      </c>
      <c r="H126" s="249"/>
      <c r="I126" s="249" t="s">
        <v>967</v>
      </c>
      <c r="J126" s="250"/>
      <c r="K126" s="313"/>
      <c r="L126" s="386"/>
      <c r="M126" s="252"/>
      <c r="N126" s="252">
        <v>1.1</v>
      </c>
      <c r="O126" s="253"/>
      <c r="P126" s="254" t="b">
        <v>0</v>
      </c>
      <c r="Q126" s="255" t="b">
        <v>0</v>
      </c>
      <c r="R126" s="256"/>
      <c r="S126" s="254" t="b">
        <v>0</v>
      </c>
      <c r="T126" s="257" t="b">
        <v>0</v>
      </c>
      <c r="U126" s="389">
        <v>44695.0</v>
      </c>
      <c r="V126" s="259">
        <v>0.5361111111111111</v>
      </c>
      <c r="W126" s="247" t="s">
        <v>447</v>
      </c>
      <c r="X126" s="256"/>
      <c r="Y126" s="254" t="b">
        <v>0</v>
      </c>
      <c r="Z126" s="248">
        <v>8.0</v>
      </c>
      <c r="AA126" s="260">
        <f t="shared" si="34"/>
        <v>0</v>
      </c>
      <c r="AB126" s="261" t="b">
        <f t="shared" si="2"/>
        <v>1</v>
      </c>
      <c r="AC126" s="386">
        <v>6.0</v>
      </c>
      <c r="AD126" s="248">
        <v>0.0</v>
      </c>
      <c r="AE126" s="248">
        <f t="shared" ref="AE126:AE127" si="80">IF(W126="Initial",AD126,(IF(AJ126=TRUE,"CORRECT ME",AD126/3)))</f>
        <v>0</v>
      </c>
      <c r="AF126" s="248">
        <v>0.0</v>
      </c>
      <c r="AG126" s="248">
        <v>0.0</v>
      </c>
      <c r="AH126" s="248">
        <v>0.0</v>
      </c>
      <c r="AI126" s="248">
        <v>0.0</v>
      </c>
      <c r="AJ126" s="250" t="b">
        <v>0</v>
      </c>
      <c r="AK126" s="292">
        <v>3.0</v>
      </c>
      <c r="AL126" s="386">
        <v>0.0</v>
      </c>
      <c r="AM126" s="248">
        <v>0.0</v>
      </c>
      <c r="AN126" s="263" t="str">
        <f>IFNA(VLOOKUP($A126,'Tube Reactions'!$J$2:$K163,2,FALSE),"")</f>
        <v/>
      </c>
      <c r="AO126" s="264" t="str">
        <f t="shared" si="4"/>
        <v/>
      </c>
      <c r="AP126" s="265" t="str">
        <f t="shared" si="79"/>
        <v>Absent</v>
      </c>
      <c r="AQ126" s="260" t="b">
        <f t="shared" si="6"/>
        <v>1</v>
      </c>
      <c r="AR126" s="266">
        <v>137.0</v>
      </c>
      <c r="AS126" s="279" t="s">
        <v>968</v>
      </c>
      <c r="AT126" s="247"/>
      <c r="AU126" s="268" t="s">
        <v>646</v>
      </c>
      <c r="AV126" s="269">
        <v>8.0</v>
      </c>
      <c r="AW126" s="248" t="b">
        <v>1</v>
      </c>
      <c r="AX126" s="270" t="b">
        <f t="shared" si="7"/>
        <v>1</v>
      </c>
      <c r="AY126" s="250">
        <f t="shared" si="66"/>
        <v>2</v>
      </c>
      <c r="AZ126" s="256"/>
      <c r="BA126" s="272" t="b">
        <v>1</v>
      </c>
      <c r="BB126" s="245" t="b">
        <f t="shared" si="9"/>
        <v>1</v>
      </c>
      <c r="BC126" s="260" t="b">
        <f t="shared" si="10"/>
        <v>1</v>
      </c>
      <c r="BD126" s="260">
        <f t="shared" si="11"/>
        <v>3</v>
      </c>
      <c r="BE126" s="273" t="str">
        <f t="shared" si="12"/>
        <v/>
      </c>
      <c r="BF126" s="274">
        <f t="shared" si="13"/>
        <v>44695</v>
      </c>
      <c r="BG126" s="275" t="str">
        <f t="shared" si="14"/>
        <v>RUN-FLMP_2022-05-14_RFR-137</v>
      </c>
      <c r="BH126" s="96">
        <f t="shared" si="15"/>
        <v>8</v>
      </c>
      <c r="BI126" s="96">
        <f t="shared" si="16"/>
        <v>6</v>
      </c>
      <c r="BJ126" s="96">
        <f t="shared" si="17"/>
        <v>3</v>
      </c>
      <c r="BK126" s="96">
        <f t="shared" si="18"/>
        <v>0</v>
      </c>
      <c r="BL126" s="10">
        <f>IFNA(IF(VLOOKUP(FLOOR($B126,1),'APS Tubes by Date IMPORT'!$B$2:$J163,1,FALSE)=FLOOR($BL125,1),IFERROR(0/0,""),VLOOKUP(FLOOR($B126,1),'APS Tubes by Date IMPORT'!$B$2:$J163,1,FALSE)),"")</f>
        <v>44697</v>
      </c>
      <c r="BM126" s="96">
        <f>IF(ISBLANK($BL126),IFERROR(0/0,""),VLOOKUP(FLOOR($B126,1),'APS Tubes by Date IMPORT'!$B$2:$J163,2,FALSE))</f>
        <v>18</v>
      </c>
    </row>
    <row r="127">
      <c r="A127" s="245" t="str">
        <f>CONCATENATE("RUN-",'Process Ref'!$A$1,"_",TEXT(U127,"YYYY-MM-DD"),"_RFR-",TEXT(AR127,"000"),IF(EXACT(W127,"Initial"),"",CONCATENATE("_",W127)))</f>
        <v>RUN-FLMP_2022-05-16_RFR-138</v>
      </c>
      <c r="B127" s="246">
        <v>44697.45231432871</v>
      </c>
      <c r="C127" s="256"/>
      <c r="D127" s="256" t="s">
        <v>442</v>
      </c>
      <c r="E127" s="250">
        <v>22.0</v>
      </c>
      <c r="F127" s="256" t="s">
        <v>969</v>
      </c>
      <c r="G127" s="249" t="s">
        <v>970</v>
      </c>
      <c r="H127" s="249"/>
      <c r="I127" s="249" t="s">
        <v>971</v>
      </c>
      <c r="J127" s="250">
        <v>4.0</v>
      </c>
      <c r="K127" s="313"/>
      <c r="L127" s="386"/>
      <c r="M127" s="252"/>
      <c r="N127" s="252">
        <v>2.1</v>
      </c>
      <c r="O127" s="253" t="s">
        <v>972</v>
      </c>
      <c r="P127" s="254" t="b">
        <v>1</v>
      </c>
      <c r="Q127" s="255" t="b">
        <v>0</v>
      </c>
      <c r="R127" s="256"/>
      <c r="S127" s="254" t="b">
        <v>0</v>
      </c>
      <c r="T127" s="284" t="b">
        <v>1</v>
      </c>
      <c r="U127" s="389">
        <v>44697.0</v>
      </c>
      <c r="V127" s="259">
        <v>0.375</v>
      </c>
      <c r="W127" s="247" t="s">
        <v>447</v>
      </c>
      <c r="X127" s="247" t="s">
        <v>973</v>
      </c>
      <c r="Y127" s="254" t="b">
        <v>0</v>
      </c>
      <c r="Z127" s="248">
        <v>24.0</v>
      </c>
      <c r="AA127" s="260">
        <f t="shared" si="34"/>
        <v>2</v>
      </c>
      <c r="AB127" s="261" t="b">
        <f t="shared" si="2"/>
        <v>0</v>
      </c>
      <c r="AC127" s="386">
        <v>22.0</v>
      </c>
      <c r="AD127" s="248">
        <v>3.0</v>
      </c>
      <c r="AE127" s="248">
        <f t="shared" si="80"/>
        <v>3</v>
      </c>
      <c r="AF127" s="248">
        <v>0.0</v>
      </c>
      <c r="AG127" s="248">
        <v>0.0</v>
      </c>
      <c r="AH127" s="250">
        <f t="shared" ref="AH127:AH128" si="81">IF(W127="Initial",AG127,(IF(AJ127=TRUE,"CORRECT ME",AG127/3)))</f>
        <v>0</v>
      </c>
      <c r="AI127" s="248">
        <v>0.0</v>
      </c>
      <c r="AJ127" s="250" t="b">
        <v>0</v>
      </c>
      <c r="AK127" s="390">
        <f t="shared" ref="AK127:AK128" si="82">IF(W127="Initial",AC127,IF(AJ127=TRUE,"CORRECT ME",AC127/3))</f>
        <v>22</v>
      </c>
      <c r="AL127" s="386">
        <v>1.2</v>
      </c>
      <c r="AM127" s="248">
        <v>4.0</v>
      </c>
      <c r="AN127" s="263" t="str">
        <f>IFNA(VLOOKUP($A127,'Tube Reactions'!$J$2:$K163,2,FALSE),"")</f>
        <v/>
      </c>
      <c r="AO127" s="264" t="str">
        <f t="shared" si="4"/>
        <v>NOT EQUAL</v>
      </c>
      <c r="AP127" s="265" t="str">
        <f t="shared" si="79"/>
        <v>Absent</v>
      </c>
      <c r="AQ127" s="260" t="b">
        <f t="shared" si="6"/>
        <v>1</v>
      </c>
      <c r="AR127" s="266">
        <v>138.0</v>
      </c>
      <c r="AS127" s="361" t="s">
        <v>974</v>
      </c>
      <c r="AT127" s="247"/>
      <c r="AU127" s="268" t="s">
        <v>626</v>
      </c>
      <c r="AV127" s="248">
        <v>24.0</v>
      </c>
      <c r="AW127" s="256" t="b">
        <v>0</v>
      </c>
      <c r="AX127" s="270" t="b">
        <f t="shared" si="7"/>
        <v>1</v>
      </c>
      <c r="AY127" s="250">
        <f t="shared" si="66"/>
        <v>2</v>
      </c>
      <c r="AZ127" s="256"/>
      <c r="BA127" s="272" t="b">
        <v>1</v>
      </c>
      <c r="BB127" s="245" t="b">
        <f t="shared" si="9"/>
        <v>1</v>
      </c>
      <c r="BC127" s="260">
        <f t="shared" si="10"/>
        <v>1.2</v>
      </c>
      <c r="BD127" s="260">
        <f t="shared" si="11"/>
        <v>22</v>
      </c>
      <c r="BE127" s="273" t="b">
        <f t="shared" si="12"/>
        <v>1</v>
      </c>
      <c r="BF127" s="274">
        <f t="shared" si="13"/>
        <v>44697</v>
      </c>
      <c r="BG127" s="275" t="str">
        <f t="shared" si="14"/>
        <v>RUN-FLMP_2022-05-16_RFR-138</v>
      </c>
      <c r="BH127" s="96">
        <f t="shared" si="15"/>
        <v>22</v>
      </c>
      <c r="BI127" s="96">
        <f t="shared" si="16"/>
        <v>22</v>
      </c>
      <c r="BJ127" s="96">
        <f t="shared" si="17"/>
        <v>22</v>
      </c>
      <c r="BK127" s="96">
        <f t="shared" si="18"/>
        <v>1.2</v>
      </c>
      <c r="BL127" s="10" t="str">
        <f>IFNA(IF(VLOOKUP(FLOOR($B127,1),'APS Tubes by Date IMPORT'!$B$2:$J163,1,FALSE)=FLOOR($BL126,1),IFERROR(0/0,""),VLOOKUP(FLOOR($B127,1),'APS Tubes by Date IMPORT'!$B$2:$J163,1,FALSE)),"")</f>
        <v/>
      </c>
      <c r="BM127" s="96" t="str">
        <f>IF(ISBLANK($BL127),IFERROR(0/0,""),VLOOKUP(FLOOR($B127,1),'APS Tubes by Date IMPORT'!$B$2:$J163,2,FALSE))</f>
        <v/>
      </c>
    </row>
    <row r="128">
      <c r="A128" s="245" t="str">
        <f>CONCATENATE("RUN-",'Process Ref'!$A$1,"_",TEXT(U128,"YYYY-MM-DD"),"_RFR-",TEXT(AR128,"000"),IF(EXACT(W128,"Initial"),"",CONCATENATE("_",W128)))</f>
        <v>RUN-FLMP_2022-05-16_RFR-139_Re-run</v>
      </c>
      <c r="B128" s="302">
        <v>44697.46311380787</v>
      </c>
      <c r="C128" s="256"/>
      <c r="D128" s="256" t="s">
        <v>442</v>
      </c>
      <c r="E128" s="250">
        <v>4.0</v>
      </c>
      <c r="F128" s="256"/>
      <c r="G128" s="249" t="s">
        <v>975</v>
      </c>
      <c r="H128" s="283" t="s">
        <v>976</v>
      </c>
      <c r="I128" s="249" t="s">
        <v>977</v>
      </c>
      <c r="J128" s="250"/>
      <c r="K128" s="313"/>
      <c r="L128" s="386"/>
      <c r="M128" s="252"/>
      <c r="N128" s="252"/>
      <c r="O128" s="253"/>
      <c r="P128" s="254" t="b">
        <v>0</v>
      </c>
      <c r="Q128" s="286" t="b">
        <v>0</v>
      </c>
      <c r="R128" s="256"/>
      <c r="S128" s="254" t="b">
        <v>0</v>
      </c>
      <c r="T128" s="287" t="b">
        <v>1</v>
      </c>
      <c r="U128" s="387">
        <v>44697.0</v>
      </c>
      <c r="V128" s="289">
        <v>0.44930555555555557</v>
      </c>
      <c r="W128" s="290" t="s">
        <v>469</v>
      </c>
      <c r="X128" s="313"/>
      <c r="Y128" s="254" t="b">
        <v>0</v>
      </c>
      <c r="Z128" s="250"/>
      <c r="AA128" s="260">
        <f t="shared" si="34"/>
        <v>-4</v>
      </c>
      <c r="AB128" s="293" t="b">
        <f t="shared" si="2"/>
        <v>1</v>
      </c>
      <c r="AC128" s="388">
        <v>12.0</v>
      </c>
      <c r="AD128" s="292">
        <v>2.0</v>
      </c>
      <c r="AE128" s="292">
        <v>0.0</v>
      </c>
      <c r="AF128" s="292">
        <v>0.0</v>
      </c>
      <c r="AG128" s="292">
        <v>0.0</v>
      </c>
      <c r="AH128" s="250">
        <f t="shared" si="81"/>
        <v>0</v>
      </c>
      <c r="AI128" s="292">
        <v>0.0</v>
      </c>
      <c r="AJ128" s="294" t="b">
        <v>0</v>
      </c>
      <c r="AK128" s="250">
        <f t="shared" si="82"/>
        <v>4</v>
      </c>
      <c r="AL128" s="388">
        <v>4.0</v>
      </c>
      <c r="AM128" s="250"/>
      <c r="AN128" s="296" t="str">
        <f>IFNA(VLOOKUP($A128,'Tube Reactions'!$J$2:$K163,2,FALSE),"")</f>
        <v/>
      </c>
      <c r="AO128" s="297" t="str">
        <f t="shared" si="4"/>
        <v/>
      </c>
      <c r="AP128" s="319" t="s">
        <v>614</v>
      </c>
      <c r="AQ128" s="260" t="b">
        <f t="shared" si="6"/>
        <v>1</v>
      </c>
      <c r="AR128" s="266">
        <v>139.0</v>
      </c>
      <c r="AS128" s="279" t="s">
        <v>978</v>
      </c>
      <c r="AT128" s="279"/>
      <c r="AU128" s="306" t="s">
        <v>626</v>
      </c>
      <c r="AV128" s="292">
        <v>14.0</v>
      </c>
      <c r="AW128" s="254" t="b">
        <v>0</v>
      </c>
      <c r="AX128" s="270" t="b">
        <f t="shared" si="7"/>
        <v>1</v>
      </c>
      <c r="AY128" s="254">
        <f t="shared" si="66"/>
        <v>2</v>
      </c>
      <c r="AZ128" s="254"/>
      <c r="BA128" s="272" t="b">
        <v>1</v>
      </c>
      <c r="BB128" s="245" t="b">
        <f t="shared" si="9"/>
        <v>0</v>
      </c>
      <c r="BC128" s="260" t="str">
        <f t="shared" si="10"/>
        <v/>
      </c>
      <c r="BD128" s="260" t="str">
        <f t="shared" si="11"/>
        <v/>
      </c>
      <c r="BE128" s="273" t="b">
        <f t="shared" si="12"/>
        <v>1</v>
      </c>
      <c r="BF128" s="274" t="str">
        <f t="shared" si="13"/>
        <v/>
      </c>
      <c r="BG128" s="275" t="str">
        <f t="shared" si="14"/>
        <v/>
      </c>
      <c r="BH128" s="96" t="str">
        <f t="shared" si="15"/>
        <v/>
      </c>
      <c r="BI128" s="96" t="str">
        <f t="shared" si="16"/>
        <v/>
      </c>
      <c r="BJ128" s="96" t="str">
        <f t="shared" si="17"/>
        <v/>
      </c>
      <c r="BK128" s="96" t="str">
        <f t="shared" si="18"/>
        <v/>
      </c>
      <c r="BL128" s="10">
        <f>IFNA(IF(VLOOKUP(FLOOR($B128,1),'APS Tubes by Date IMPORT'!$B$2:$J163,1,FALSE)=FLOOR($BL127,1),IFERROR(0/0,""),VLOOKUP(FLOOR($B128,1),'APS Tubes by Date IMPORT'!$B$2:$J163,1,FALSE)),"")</f>
        <v>44697</v>
      </c>
      <c r="BM128" s="96">
        <f>IF(ISBLANK($BL128),IFERROR(0/0,""),VLOOKUP(FLOOR($B128,1),'APS Tubes by Date IMPORT'!$B$2:$J163,2,FALSE))</f>
        <v>18</v>
      </c>
    </row>
    <row r="129">
      <c r="A129" s="245" t="str">
        <f>CONCATENATE("RUN-",'Process Ref'!$A$1,"_",TEXT(U129,"YYYY-MM-DD"),"_RFR-",TEXT(AR129,"000"),IF(EXACT(W129,"Initial"),"",CONCATENATE("_",W129)))</f>
        <v>RUN-FLMP_2022-05-17_RFR-140</v>
      </c>
      <c r="B129" s="246">
        <v>44698.39619517361</v>
      </c>
      <c r="C129" s="256"/>
      <c r="D129" s="256" t="s">
        <v>442</v>
      </c>
      <c r="E129" s="250">
        <v>1.0</v>
      </c>
      <c r="F129" s="256"/>
      <c r="G129" s="249" t="s">
        <v>979</v>
      </c>
      <c r="H129" s="249"/>
      <c r="I129" s="249" t="s">
        <v>980</v>
      </c>
      <c r="J129" s="250"/>
      <c r="K129" s="313"/>
      <c r="L129" s="386"/>
      <c r="M129" s="252"/>
      <c r="N129" s="252"/>
      <c r="O129" s="253"/>
      <c r="P129" s="254" t="b">
        <v>0</v>
      </c>
      <c r="Q129" s="255" t="b">
        <v>0</v>
      </c>
      <c r="R129" s="256"/>
      <c r="S129" s="254" t="b">
        <v>0</v>
      </c>
      <c r="T129" s="257" t="b">
        <v>0</v>
      </c>
      <c r="U129" s="389">
        <v>44698.0</v>
      </c>
      <c r="V129" s="259">
        <v>0.3645833333333333</v>
      </c>
      <c r="W129" s="247" t="s">
        <v>447</v>
      </c>
      <c r="X129" s="247" t="s">
        <v>981</v>
      </c>
      <c r="Y129" s="254" t="b">
        <v>0</v>
      </c>
      <c r="Z129" s="248">
        <v>5.0</v>
      </c>
      <c r="AA129" s="260">
        <f t="shared" si="34"/>
        <v>4</v>
      </c>
      <c r="AB129" s="261" t="b">
        <f t="shared" si="2"/>
        <v>1</v>
      </c>
      <c r="AC129" s="386">
        <v>3.0</v>
      </c>
      <c r="AD129" s="248">
        <v>1.0</v>
      </c>
      <c r="AE129" s="248">
        <v>0.0</v>
      </c>
      <c r="AF129" s="248">
        <v>0.0</v>
      </c>
      <c r="AG129" s="248">
        <v>0.0</v>
      </c>
      <c r="AH129" s="248">
        <v>0.0</v>
      </c>
      <c r="AI129" s="248">
        <v>0.0</v>
      </c>
      <c r="AJ129" s="250" t="b">
        <v>0</v>
      </c>
      <c r="AK129" s="292">
        <v>1.0</v>
      </c>
      <c r="AL129" s="386">
        <v>0.0</v>
      </c>
      <c r="AM129" s="248">
        <v>1.0</v>
      </c>
      <c r="AN129" s="263" t="str">
        <f>IFNA(VLOOKUP($A129,'Tube Reactions'!$J$2:$K163,2,FALSE),"")</f>
        <v/>
      </c>
      <c r="AO129" s="264" t="str">
        <f t="shared" si="4"/>
        <v>NOT EQUAL</v>
      </c>
      <c r="AP129" s="265" t="str">
        <f t="shared" ref="AP129:AP132" si="83">IF(ISTEXT(H129),"", "Absent")</f>
        <v>Absent</v>
      </c>
      <c r="AQ129" s="260" t="b">
        <f t="shared" si="6"/>
        <v>1</v>
      </c>
      <c r="AR129" s="266">
        <v>140.0</v>
      </c>
      <c r="AS129" s="279" t="s">
        <v>982</v>
      </c>
      <c r="AT129" s="247" t="s">
        <v>983</v>
      </c>
      <c r="AU129" s="268" t="s">
        <v>646</v>
      </c>
      <c r="AV129" s="248">
        <v>5.0</v>
      </c>
      <c r="AW129" s="256" t="b">
        <v>0</v>
      </c>
      <c r="AX129" s="270" t="b">
        <f t="shared" si="7"/>
        <v>0</v>
      </c>
      <c r="AY129" s="250">
        <f t="shared" si="66"/>
        <v>2</v>
      </c>
      <c r="AZ129" s="256"/>
      <c r="BA129" s="272" t="b">
        <v>0</v>
      </c>
      <c r="BB129" s="245" t="str">
        <f t="shared" si="9"/>
        <v/>
      </c>
      <c r="BC129" s="260" t="str">
        <f t="shared" si="10"/>
        <v/>
      </c>
      <c r="BD129" s="260" t="str">
        <f t="shared" si="11"/>
        <v/>
      </c>
      <c r="BE129" s="273" t="b">
        <f t="shared" si="12"/>
        <v>1</v>
      </c>
      <c r="BF129" s="274">
        <f t="shared" si="13"/>
        <v>44698</v>
      </c>
      <c r="BG129" s="275" t="str">
        <f t="shared" si="14"/>
        <v>RUN-FLMP_2022-05-17_RFR-140</v>
      </c>
      <c r="BH129" s="96">
        <f t="shared" si="15"/>
        <v>1</v>
      </c>
      <c r="BI129" s="96">
        <f t="shared" si="16"/>
        <v>3</v>
      </c>
      <c r="BJ129" s="96">
        <f t="shared" si="17"/>
        <v>1</v>
      </c>
      <c r="BK129" s="96">
        <f t="shared" si="18"/>
        <v>0</v>
      </c>
      <c r="BL129" s="10">
        <f>IFNA(IF(VLOOKUP(FLOOR($B129,1),'APS Tubes by Date IMPORT'!$B$2:$J163,1,FALSE)=FLOOR($BL128,1),IFERROR(0/0,""),VLOOKUP(FLOOR($B129,1),'APS Tubes by Date IMPORT'!$B$2:$J163,1,FALSE)),"")</f>
        <v>44698</v>
      </c>
      <c r="BM129" s="96">
        <f>IF(ISBLANK($BL129),IFERROR(0/0,""),VLOOKUP(FLOOR($B129,1),'APS Tubes by Date IMPORT'!$B$2:$J163,2,FALSE))</f>
        <v>3</v>
      </c>
    </row>
    <row r="130">
      <c r="A130" s="245" t="str">
        <f>CONCATENATE("RUN-",'Process Ref'!$A$1,"_",TEXT(U130,"YYYY-MM-DD"),"_RFR-",TEXT(AR130,"000"),IF(EXACT(W130,"Initial"),"",CONCATENATE("_",W130)))</f>
        <v>RUN-FLMP_2022-05-17_RFR-141</v>
      </c>
      <c r="B130" s="246">
        <v>44698.60362326389</v>
      </c>
      <c r="C130" s="256"/>
      <c r="D130" s="256" t="s">
        <v>841</v>
      </c>
      <c r="E130" s="250">
        <v>2.0</v>
      </c>
      <c r="F130" s="256" t="s">
        <v>984</v>
      </c>
      <c r="G130" s="249" t="s">
        <v>985</v>
      </c>
      <c r="H130" s="249"/>
      <c r="I130" s="249" t="s">
        <v>986</v>
      </c>
      <c r="J130" s="250"/>
      <c r="K130" s="313" t="s">
        <v>987</v>
      </c>
      <c r="L130" s="386"/>
      <c r="M130" s="252"/>
      <c r="N130" s="252"/>
      <c r="O130" s="253"/>
      <c r="P130" s="254" t="b">
        <v>0</v>
      </c>
      <c r="Q130" s="255" t="b">
        <v>0</v>
      </c>
      <c r="R130" s="256"/>
      <c r="S130" s="254" t="b">
        <v>0</v>
      </c>
      <c r="T130" s="257" t="b">
        <v>0</v>
      </c>
      <c r="U130" s="389">
        <v>44698.0</v>
      </c>
      <c r="V130" s="259">
        <v>0.5625</v>
      </c>
      <c r="W130" s="247" t="s">
        <v>447</v>
      </c>
      <c r="X130" s="256"/>
      <c r="Y130" s="254" t="b">
        <v>0</v>
      </c>
      <c r="Z130" s="248">
        <v>4.0</v>
      </c>
      <c r="AA130" s="260">
        <f t="shared" si="34"/>
        <v>2</v>
      </c>
      <c r="AB130" s="261" t="b">
        <f t="shared" si="2"/>
        <v>0</v>
      </c>
      <c r="AC130" s="386">
        <v>2.0</v>
      </c>
      <c r="AD130" s="248">
        <v>0.0</v>
      </c>
      <c r="AE130" s="248">
        <f>IF(W130="Initial",AD130,(IF(AJ130=TRUE,"CORRECT ME",AD130/3)))</f>
        <v>0</v>
      </c>
      <c r="AF130" s="248">
        <v>0.0</v>
      </c>
      <c r="AG130" s="248">
        <v>0.0</v>
      </c>
      <c r="AH130" s="250">
        <f>IF(W130="Initial",AG130,(IF(AJ130=TRUE,"CORRECT ME",AG130/3)))</f>
        <v>0</v>
      </c>
      <c r="AI130" s="248">
        <v>0.0</v>
      </c>
      <c r="AJ130" s="250" t="b">
        <v>0</v>
      </c>
      <c r="AK130" s="390">
        <f>IF(W130="Initial",AC130,IF(AJ130=TRUE,"CORRECT ME",AC130/3))</f>
        <v>2</v>
      </c>
      <c r="AL130" s="386">
        <v>0.0</v>
      </c>
      <c r="AM130" s="248">
        <v>0.0</v>
      </c>
      <c r="AN130" s="263" t="str">
        <f>IFNA(VLOOKUP($A130,'Tube Reactions'!$J$2:$K163,2,FALSE),"")</f>
        <v/>
      </c>
      <c r="AO130" s="264" t="str">
        <f t="shared" si="4"/>
        <v/>
      </c>
      <c r="AP130" s="265" t="str">
        <f t="shared" si="83"/>
        <v>Absent</v>
      </c>
      <c r="AQ130" s="260" t="b">
        <f t="shared" si="6"/>
        <v>1</v>
      </c>
      <c r="AR130" s="266">
        <v>141.0</v>
      </c>
      <c r="AS130" s="267"/>
      <c r="AT130" s="247"/>
      <c r="AU130" s="268" t="s">
        <v>646</v>
      </c>
      <c r="AV130" s="269">
        <v>4.0</v>
      </c>
      <c r="AW130" s="247" t="b">
        <v>1</v>
      </c>
      <c r="AX130" s="270" t="b">
        <f t="shared" si="7"/>
        <v>1</v>
      </c>
      <c r="AY130" s="250">
        <f t="shared" si="66"/>
        <v>2</v>
      </c>
      <c r="AZ130" s="256"/>
      <c r="BA130" s="272" t="b">
        <v>0</v>
      </c>
      <c r="BB130" s="245" t="str">
        <f t="shared" si="9"/>
        <v/>
      </c>
      <c r="BC130" s="260" t="str">
        <f t="shared" si="10"/>
        <v/>
      </c>
      <c r="BD130" s="260" t="str">
        <f t="shared" si="11"/>
        <v/>
      </c>
      <c r="BE130" s="273" t="b">
        <f t="shared" si="12"/>
        <v>1</v>
      </c>
      <c r="BF130" s="274">
        <f t="shared" si="13"/>
        <v>44698</v>
      </c>
      <c r="BG130" s="275" t="str">
        <f t="shared" si="14"/>
        <v>RUN-FLMP_2022-05-17_RFR-141</v>
      </c>
      <c r="BH130" s="96">
        <f t="shared" si="15"/>
        <v>2</v>
      </c>
      <c r="BI130" s="96">
        <f t="shared" si="16"/>
        <v>2</v>
      </c>
      <c r="BJ130" s="96">
        <f t="shared" si="17"/>
        <v>2</v>
      </c>
      <c r="BK130" s="96">
        <f t="shared" si="18"/>
        <v>0</v>
      </c>
      <c r="BL130" s="10" t="str">
        <f>IFNA(IF(VLOOKUP(FLOOR($B130,1),'APS Tubes by Date IMPORT'!$B$2:$J163,1,FALSE)=FLOOR($BL129,1),IFERROR(0/0,""),VLOOKUP(FLOOR($B130,1),'APS Tubes by Date IMPORT'!$B$2:$J163,1,FALSE)),"")</f>
        <v/>
      </c>
      <c r="BM130" s="96" t="str">
        <f>IF(ISBLANK($BL130),IFERROR(0/0,""),VLOOKUP(FLOOR($B130,1),'APS Tubes by Date IMPORT'!$B$2:$J163,2,FALSE))</f>
        <v/>
      </c>
    </row>
    <row r="131">
      <c r="A131" s="245" t="str">
        <f>CONCATENATE("RUN-",'Process Ref'!$A$1,"_",TEXT(U131,"YYYY-MM-DD"),"_RFR-",TEXT(AR131,"000"),IF(EXACT(W131,"Initial"),"",CONCATENATE("_",W131)))</f>
        <v>RUN-FLMP_2022-05-18_RFR-142</v>
      </c>
      <c r="B131" s="285">
        <v>44699.392335578705</v>
      </c>
      <c r="C131" s="256"/>
      <c r="D131" s="256" t="s">
        <v>442</v>
      </c>
      <c r="E131" s="250">
        <v>1.0</v>
      </c>
      <c r="F131" s="256"/>
      <c r="G131" s="249" t="s">
        <v>988</v>
      </c>
      <c r="H131" s="282"/>
      <c r="I131" s="249" t="s">
        <v>989</v>
      </c>
      <c r="J131" s="250">
        <v>1.0</v>
      </c>
      <c r="K131" s="313"/>
      <c r="L131" s="386"/>
      <c r="M131" s="303">
        <v>1.4</v>
      </c>
      <c r="N131" s="252"/>
      <c r="O131" s="253"/>
      <c r="P131" s="254" t="b">
        <v>0</v>
      </c>
      <c r="Q131" s="286" t="b">
        <v>0</v>
      </c>
      <c r="R131" s="256"/>
      <c r="S131" s="254" t="b">
        <v>0</v>
      </c>
      <c r="T131" s="257" t="b">
        <v>0</v>
      </c>
      <c r="U131" s="387">
        <v>44699.0</v>
      </c>
      <c r="V131" s="289">
        <v>0.3541666666666667</v>
      </c>
      <c r="W131" s="290" t="s">
        <v>447</v>
      </c>
      <c r="X131" s="291" t="s">
        <v>990</v>
      </c>
      <c r="Y131" s="254" t="b">
        <v>0</v>
      </c>
      <c r="Z131" s="292">
        <v>8.0</v>
      </c>
      <c r="AA131" s="260">
        <f t="shared" si="34"/>
        <v>7</v>
      </c>
      <c r="AB131" s="293" t="b">
        <f t="shared" si="2"/>
        <v>1</v>
      </c>
      <c r="AC131" s="388">
        <v>6.0</v>
      </c>
      <c r="AD131" s="292">
        <v>0.0</v>
      </c>
      <c r="AE131" s="292">
        <v>0.0</v>
      </c>
      <c r="AF131" s="292">
        <v>0.0</v>
      </c>
      <c r="AG131" s="292">
        <v>1.0</v>
      </c>
      <c r="AH131" s="292">
        <v>0.0</v>
      </c>
      <c r="AI131" s="292">
        <v>0.0</v>
      </c>
      <c r="AJ131" s="294" t="b">
        <v>0</v>
      </c>
      <c r="AK131" s="292">
        <v>1.0</v>
      </c>
      <c r="AL131" s="388">
        <v>4.0</v>
      </c>
      <c r="AM131" s="292">
        <v>1.0</v>
      </c>
      <c r="AN131" s="296" t="str">
        <f>IFNA(VLOOKUP($A131,'Tube Reactions'!$J$2:$K163,2,FALSE),"")</f>
        <v/>
      </c>
      <c r="AO131" s="297" t="str">
        <f t="shared" si="4"/>
        <v>NOT EQUAL</v>
      </c>
      <c r="AP131" s="298" t="str">
        <f t="shared" si="83"/>
        <v>Absent</v>
      </c>
      <c r="AQ131" s="260" t="b">
        <f t="shared" si="6"/>
        <v>1</v>
      </c>
      <c r="AR131" s="266">
        <v>142.0</v>
      </c>
      <c r="AS131" s="279" t="s">
        <v>991</v>
      </c>
      <c r="AT131" s="279"/>
      <c r="AU131" s="299" t="s">
        <v>646</v>
      </c>
      <c r="AV131" s="292">
        <v>8.0</v>
      </c>
      <c r="AW131" s="254" t="b">
        <v>0</v>
      </c>
      <c r="AX131" s="270" t="b">
        <f t="shared" si="7"/>
        <v>1</v>
      </c>
      <c r="AY131" s="254">
        <f t="shared" si="66"/>
        <v>2</v>
      </c>
      <c r="AZ131" s="254"/>
      <c r="BA131" s="272" t="b">
        <v>1</v>
      </c>
      <c r="BB131" s="245" t="b">
        <f t="shared" si="9"/>
        <v>1</v>
      </c>
      <c r="BC131" s="260">
        <f t="shared" si="10"/>
        <v>4</v>
      </c>
      <c r="BD131" s="260">
        <f t="shared" si="11"/>
        <v>1</v>
      </c>
      <c r="BE131" s="273" t="b">
        <f t="shared" si="12"/>
        <v>1</v>
      </c>
      <c r="BF131" s="274">
        <f t="shared" si="13"/>
        <v>44699</v>
      </c>
      <c r="BG131" s="275" t="str">
        <f t="shared" si="14"/>
        <v>RUN-FLMP_2022-05-18_RFR-142</v>
      </c>
      <c r="BH131" s="96">
        <f t="shared" si="15"/>
        <v>1</v>
      </c>
      <c r="BI131" s="96">
        <f t="shared" si="16"/>
        <v>6</v>
      </c>
      <c r="BJ131" s="96">
        <f t="shared" si="17"/>
        <v>1</v>
      </c>
      <c r="BK131" s="96">
        <f t="shared" si="18"/>
        <v>4</v>
      </c>
      <c r="BL131" s="10" t="str">
        <f>IFNA(IF(VLOOKUP(FLOOR($B131,1),'APS Tubes by Date IMPORT'!$B$2:$J163,1,FALSE)=FLOOR($BL130,1),IFERROR(0/0,""),VLOOKUP(FLOOR($B131,1),'APS Tubes by Date IMPORT'!$B$2:$J163,1,FALSE)),"")</f>
        <v/>
      </c>
      <c r="BM131" s="96" t="str">
        <f>IF(ISBLANK($BL131),IFERROR(0/0,""),VLOOKUP(FLOOR($B131,1),'APS Tubes by Date IMPORT'!$B$2:$J163,2,FALSE))</f>
        <v/>
      </c>
    </row>
    <row r="132">
      <c r="A132" s="245" t="str">
        <f>CONCATENATE("RUN-",'Process Ref'!$A$1,"_",TEXT(U132,"YYYY-MM-DD"),"_RFR-",TEXT(AR132,"000"),IF(EXACT(W132,"Initial"),"",CONCATENATE("_",W132)))</f>
        <v>RUN-FLMP_2022-05-18_RFR-143_Re-run</v>
      </c>
      <c r="B132" s="285">
        <v>44699.420047141204</v>
      </c>
      <c r="C132" s="256"/>
      <c r="D132" s="256" t="s">
        <v>442</v>
      </c>
      <c r="E132" s="250">
        <v>1.0</v>
      </c>
      <c r="F132" s="256"/>
      <c r="G132" s="249" t="s">
        <v>992</v>
      </c>
      <c r="H132" s="282"/>
      <c r="I132" s="249" t="s">
        <v>993</v>
      </c>
      <c r="J132" s="250"/>
      <c r="K132" s="313"/>
      <c r="L132" s="386"/>
      <c r="M132" s="303">
        <v>1.4</v>
      </c>
      <c r="N132" s="252"/>
      <c r="O132" s="253"/>
      <c r="P132" s="254" t="b">
        <v>0</v>
      </c>
      <c r="Q132" s="286" t="b">
        <v>0</v>
      </c>
      <c r="R132" s="256"/>
      <c r="S132" s="254" t="b">
        <v>0</v>
      </c>
      <c r="T132" s="287" t="b">
        <v>0</v>
      </c>
      <c r="U132" s="387">
        <v>44699.0</v>
      </c>
      <c r="V132" s="289">
        <v>0.3958333333333333</v>
      </c>
      <c r="W132" s="290" t="s">
        <v>469</v>
      </c>
      <c r="X132" s="313"/>
      <c r="Y132" s="254" t="b">
        <v>0</v>
      </c>
      <c r="Z132" s="292">
        <v>5.0</v>
      </c>
      <c r="AA132" s="260">
        <f t="shared" si="34"/>
        <v>4</v>
      </c>
      <c r="AB132" s="293" t="b">
        <f t="shared" si="2"/>
        <v>1</v>
      </c>
      <c r="AC132" s="388">
        <v>3.0</v>
      </c>
      <c r="AD132" s="292">
        <v>0.0</v>
      </c>
      <c r="AE132" s="292">
        <v>0.0</v>
      </c>
      <c r="AF132" s="292">
        <v>0.0</v>
      </c>
      <c r="AG132" s="292">
        <v>0.0</v>
      </c>
      <c r="AH132" s="292">
        <v>0.0</v>
      </c>
      <c r="AI132" s="292">
        <v>0.0</v>
      </c>
      <c r="AJ132" s="294" t="b">
        <v>0</v>
      </c>
      <c r="AK132" s="250">
        <f t="shared" ref="AK132:AK135" si="84">IF(W132="Initial",AC132,IF(AJ132=TRUE,"CORRECT ME",AC132/3))</f>
        <v>1</v>
      </c>
      <c r="AL132" s="388">
        <v>0.0</v>
      </c>
      <c r="AM132" s="250"/>
      <c r="AN132" s="296" t="str">
        <f>IFNA(VLOOKUP($A132,'Tube Reactions'!$J$2:$K163,2,FALSE),"")</f>
        <v/>
      </c>
      <c r="AO132" s="297" t="str">
        <f t="shared" si="4"/>
        <v/>
      </c>
      <c r="AP132" s="298" t="str">
        <f t="shared" si="83"/>
        <v>Absent</v>
      </c>
      <c r="AQ132" s="260" t="b">
        <f t="shared" si="6"/>
        <v>1</v>
      </c>
      <c r="AR132" s="266">
        <v>143.0</v>
      </c>
      <c r="AS132" s="279"/>
      <c r="AT132" s="279"/>
      <c r="AU132" s="299" t="s">
        <v>646</v>
      </c>
      <c r="AV132" s="292">
        <v>5.0</v>
      </c>
      <c r="AW132" s="286" t="b">
        <v>1</v>
      </c>
      <c r="AX132" s="270" t="b">
        <f t="shared" si="7"/>
        <v>1</v>
      </c>
      <c r="AY132" s="254">
        <f t="shared" si="66"/>
        <v>2</v>
      </c>
      <c r="AZ132" s="254"/>
      <c r="BA132" s="272" t="b">
        <v>1</v>
      </c>
      <c r="BB132" s="245" t="b">
        <f t="shared" si="9"/>
        <v>0</v>
      </c>
      <c r="BC132" s="260" t="str">
        <f t="shared" si="10"/>
        <v/>
      </c>
      <c r="BD132" s="260" t="str">
        <f t="shared" si="11"/>
        <v/>
      </c>
      <c r="BE132" s="273" t="b">
        <f t="shared" si="12"/>
        <v>1</v>
      </c>
      <c r="BF132" s="274" t="str">
        <f t="shared" si="13"/>
        <v/>
      </c>
      <c r="BG132" s="275" t="str">
        <f t="shared" si="14"/>
        <v/>
      </c>
      <c r="BH132" s="96" t="str">
        <f t="shared" si="15"/>
        <v/>
      </c>
      <c r="BI132" s="96" t="str">
        <f t="shared" si="16"/>
        <v/>
      </c>
      <c r="BJ132" s="96" t="str">
        <f t="shared" si="17"/>
        <v/>
      </c>
      <c r="BK132" s="96" t="str">
        <f t="shared" si="18"/>
        <v/>
      </c>
      <c r="BL132" s="10" t="str">
        <f>IFNA(IF(VLOOKUP(FLOOR($B132,1),'APS Tubes by Date IMPORT'!$B$2:$J163,1,FALSE)=FLOOR($BL131,1),IFERROR(0/0,""),VLOOKUP(FLOOR($B132,1),'APS Tubes by Date IMPORT'!$B$2:$J163,1,FALSE)),"")</f>
        <v/>
      </c>
      <c r="BM132" s="96" t="str">
        <f>IF(ISBLANK($BL132),IFERROR(0/0,""),VLOOKUP(FLOOR($B132,1),'APS Tubes by Date IMPORT'!$B$2:$J163,2,FALSE))</f>
        <v/>
      </c>
    </row>
    <row r="133">
      <c r="A133" s="245" t="str">
        <f>CONCATENATE("RUN-",'Process Ref'!$A$1,"_",TEXT(U133,"YYYY-MM-DD"),"_RFR-",TEXT(AR133,"000"),IF(EXACT(W133,"Initial"),"",CONCATENATE("_",W133)))</f>
        <v>RUN-FLMP_2022-05-19_RFR-144</v>
      </c>
      <c r="B133" s="285">
        <v>44700.456862349536</v>
      </c>
      <c r="C133" s="256"/>
      <c r="D133" s="256" t="s">
        <v>442</v>
      </c>
      <c r="E133" s="250">
        <v>23.0</v>
      </c>
      <c r="F133" s="256" t="s">
        <v>994</v>
      </c>
      <c r="G133" s="249" t="s">
        <v>995</v>
      </c>
      <c r="H133" s="283" t="s">
        <v>996</v>
      </c>
      <c r="I133" s="249" t="s">
        <v>997</v>
      </c>
      <c r="J133" s="250" t="s">
        <v>998</v>
      </c>
      <c r="K133" s="313" t="s">
        <v>999</v>
      </c>
      <c r="L133" s="386"/>
      <c r="M133" s="303"/>
      <c r="N133" s="303">
        <v>2.2</v>
      </c>
      <c r="O133" s="253"/>
      <c r="P133" s="254" t="b">
        <v>1</v>
      </c>
      <c r="Q133" s="286" t="b">
        <v>0</v>
      </c>
      <c r="R133" s="256"/>
      <c r="S133" s="254" t="b">
        <v>0</v>
      </c>
      <c r="T133" s="287" t="b">
        <v>1</v>
      </c>
      <c r="U133" s="387">
        <v>44700.0</v>
      </c>
      <c r="V133" s="289">
        <v>0.3958333333333333</v>
      </c>
      <c r="W133" s="290" t="s">
        <v>447</v>
      </c>
      <c r="X133" s="313"/>
      <c r="Y133" s="286" t="b">
        <v>1</v>
      </c>
      <c r="Z133" s="292">
        <v>25.0</v>
      </c>
      <c r="AA133" s="260">
        <f t="shared" si="34"/>
        <v>2</v>
      </c>
      <c r="AB133" s="293" t="b">
        <f t="shared" si="2"/>
        <v>0</v>
      </c>
      <c r="AC133" s="388">
        <v>23.0</v>
      </c>
      <c r="AD133" s="292">
        <v>3.0</v>
      </c>
      <c r="AE133" s="292">
        <v>3.0</v>
      </c>
      <c r="AF133" s="292">
        <v>0.0</v>
      </c>
      <c r="AG133" s="292">
        <v>1.0</v>
      </c>
      <c r="AH133" s="292">
        <v>1.0</v>
      </c>
      <c r="AI133" s="292">
        <v>1.0</v>
      </c>
      <c r="AJ133" s="294" t="b">
        <v>0</v>
      </c>
      <c r="AK133" s="390">
        <f t="shared" si="84"/>
        <v>23</v>
      </c>
      <c r="AL133" s="388">
        <v>4.0</v>
      </c>
      <c r="AM133" s="292">
        <v>4.0</v>
      </c>
      <c r="AN133" s="296" t="str">
        <f>IFNA(VLOOKUP($A133,'Tube Reactions'!$J$2:$K163,2,FALSE),"")</f>
        <v/>
      </c>
      <c r="AO133" s="297" t="str">
        <f t="shared" si="4"/>
        <v>NOT EQUAL</v>
      </c>
      <c r="AP133" s="319" t="s">
        <v>614</v>
      </c>
      <c r="AQ133" s="260" t="b">
        <f t="shared" si="6"/>
        <v>1</v>
      </c>
      <c r="AR133" s="266">
        <v>144.0</v>
      </c>
      <c r="AS133" s="279"/>
      <c r="AT133" s="279"/>
      <c r="AU133" s="299" t="s">
        <v>646</v>
      </c>
      <c r="AV133" s="292">
        <v>25.0</v>
      </c>
      <c r="AW133" s="254" t="b">
        <v>0</v>
      </c>
      <c r="AX133" s="270" t="b">
        <f t="shared" si="7"/>
        <v>1</v>
      </c>
      <c r="AY133" s="254">
        <f t="shared" si="66"/>
        <v>2</v>
      </c>
      <c r="AZ133" s="254"/>
      <c r="BA133" s="272" t="b">
        <v>1</v>
      </c>
      <c r="BB133" s="245" t="b">
        <f t="shared" si="9"/>
        <v>1</v>
      </c>
      <c r="BC133" s="260">
        <f t="shared" si="10"/>
        <v>4</v>
      </c>
      <c r="BD133" s="260">
        <f t="shared" si="11"/>
        <v>23</v>
      </c>
      <c r="BE133" s="273" t="b">
        <f t="shared" si="12"/>
        <v>1</v>
      </c>
      <c r="BF133" s="274">
        <f t="shared" si="13"/>
        <v>44700</v>
      </c>
      <c r="BG133" s="275" t="str">
        <f t="shared" si="14"/>
        <v>RUN-FLMP_2022-05-19_RFR-144</v>
      </c>
      <c r="BH133" s="96">
        <f t="shared" si="15"/>
        <v>23</v>
      </c>
      <c r="BI133" s="96">
        <f t="shared" si="16"/>
        <v>23</v>
      </c>
      <c r="BJ133" s="96">
        <f t="shared" si="17"/>
        <v>23</v>
      </c>
      <c r="BK133" s="96">
        <f t="shared" si="18"/>
        <v>4</v>
      </c>
      <c r="BL133" s="10">
        <f>IFNA(IF(VLOOKUP(FLOOR($B133,1),'APS Tubes by Date IMPORT'!$B$2:$J163,1,FALSE)=FLOOR($BL132,1),IFERROR(0/0,""),VLOOKUP(FLOOR($B133,1),'APS Tubes by Date IMPORT'!$B$2:$J163,1,FALSE)),"")</f>
        <v>44700</v>
      </c>
      <c r="BM133" s="96">
        <f>IF(ISBLANK($BL133),IFERROR(0/0,""),VLOOKUP(FLOOR($B133,1),'APS Tubes by Date IMPORT'!$B$2:$J163,2,FALSE))</f>
        <v>25</v>
      </c>
    </row>
    <row r="134">
      <c r="A134" s="245" t="str">
        <f>CONCATENATE("RUN-",'Process Ref'!$A$1,"_",TEXT(U134,"YYYY-MM-DD"),"_RFR-",TEXT(AR134,"000"),IF(EXACT(W134,"Initial"),"",CONCATENATE("_",W134)))</f>
        <v>RUN-FLMP_2022-05-19_RFR-145_Re-run</v>
      </c>
      <c r="B134" s="285">
        <v>44700.48836751157</v>
      </c>
      <c r="C134" s="256"/>
      <c r="D134" s="256" t="s">
        <v>442</v>
      </c>
      <c r="E134" s="250">
        <v>4.0</v>
      </c>
      <c r="F134" s="256"/>
      <c r="G134" s="249" t="s">
        <v>1000</v>
      </c>
      <c r="H134" s="283" t="s">
        <v>1001</v>
      </c>
      <c r="I134" s="249" t="s">
        <v>1002</v>
      </c>
      <c r="J134" s="250"/>
      <c r="K134" s="313"/>
      <c r="L134" s="386"/>
      <c r="M134" s="252"/>
      <c r="N134" s="252"/>
      <c r="O134" s="253"/>
      <c r="P134" s="254" t="b">
        <v>0</v>
      </c>
      <c r="Q134" s="286" t="b">
        <v>0</v>
      </c>
      <c r="R134" s="256"/>
      <c r="S134" s="254" t="b">
        <v>0</v>
      </c>
      <c r="T134" s="287" t="b">
        <v>1</v>
      </c>
      <c r="U134" s="387">
        <v>44700.0</v>
      </c>
      <c r="V134" s="289">
        <v>0.4375</v>
      </c>
      <c r="W134" s="290" t="s">
        <v>469</v>
      </c>
      <c r="X134" s="313"/>
      <c r="Y134" s="254" t="b">
        <v>0</v>
      </c>
      <c r="Z134" s="292">
        <v>14.0</v>
      </c>
      <c r="AA134" s="260">
        <f t="shared" si="34"/>
        <v>10</v>
      </c>
      <c r="AB134" s="293" t="b">
        <f t="shared" si="2"/>
        <v>1</v>
      </c>
      <c r="AC134" s="388">
        <v>12.0</v>
      </c>
      <c r="AD134" s="292">
        <v>0.0</v>
      </c>
      <c r="AE134" s="248">
        <f>IF(W134="Initial",AD134,(IF(AJ134=TRUE,"CORRECT ME",AD134/3)))</f>
        <v>0</v>
      </c>
      <c r="AF134" s="292">
        <v>0.0</v>
      </c>
      <c r="AG134" s="292">
        <v>3.0</v>
      </c>
      <c r="AH134" s="250">
        <f>IF(W134="Initial",AG134,(IF(AJ134=TRUE,"CORRECT ME",AG134/3)))</f>
        <v>1</v>
      </c>
      <c r="AI134" s="292">
        <v>1.0</v>
      </c>
      <c r="AJ134" s="294" t="b">
        <v>0</v>
      </c>
      <c r="AK134" s="250">
        <f t="shared" si="84"/>
        <v>4</v>
      </c>
      <c r="AL134" s="388">
        <v>4.0</v>
      </c>
      <c r="AM134" s="250"/>
      <c r="AN134" s="296" t="str">
        <f>IFNA(VLOOKUP($A134,'Tube Reactions'!$J$2:$K163,2,FALSE),"")</f>
        <v/>
      </c>
      <c r="AO134" s="297" t="str">
        <f t="shared" si="4"/>
        <v/>
      </c>
      <c r="AP134" s="319" t="s">
        <v>614</v>
      </c>
      <c r="AQ134" s="260" t="b">
        <f t="shared" si="6"/>
        <v>1</v>
      </c>
      <c r="AR134" s="266">
        <v>145.0</v>
      </c>
      <c r="AS134" s="279"/>
      <c r="AT134" s="279"/>
      <c r="AU134" s="299" t="s">
        <v>646</v>
      </c>
      <c r="AV134" s="292">
        <v>14.0</v>
      </c>
      <c r="AW134" s="254" t="b">
        <v>0</v>
      </c>
      <c r="AX134" s="270" t="b">
        <f t="shared" si="7"/>
        <v>1</v>
      </c>
      <c r="AY134" s="254">
        <f t="shared" si="66"/>
        <v>2</v>
      </c>
      <c r="AZ134" s="254"/>
      <c r="BA134" s="272" t="b">
        <v>1</v>
      </c>
      <c r="BB134" s="245" t="b">
        <f t="shared" si="9"/>
        <v>0</v>
      </c>
      <c r="BC134" s="260" t="str">
        <f t="shared" si="10"/>
        <v/>
      </c>
      <c r="BD134" s="260" t="str">
        <f t="shared" si="11"/>
        <v/>
      </c>
      <c r="BE134" s="273" t="b">
        <f t="shared" si="12"/>
        <v>1</v>
      </c>
      <c r="BF134" s="274" t="str">
        <f t="shared" si="13"/>
        <v/>
      </c>
      <c r="BG134" s="275" t="str">
        <f t="shared" si="14"/>
        <v/>
      </c>
      <c r="BH134" s="96" t="str">
        <f t="shared" si="15"/>
        <v/>
      </c>
      <c r="BI134" s="96" t="str">
        <f t="shared" si="16"/>
        <v/>
      </c>
      <c r="BJ134" s="96" t="str">
        <f t="shared" si="17"/>
        <v/>
      </c>
      <c r="BK134" s="96" t="str">
        <f t="shared" si="18"/>
        <v/>
      </c>
      <c r="BL134" s="10" t="str">
        <f>IFNA(IF(VLOOKUP(FLOOR($B134,1),'APS Tubes by Date IMPORT'!$B$2:$J163,1,FALSE)=FLOOR($BL133,1),IFERROR(0/0,""),VLOOKUP(FLOOR($B134,1),'APS Tubes by Date IMPORT'!$B$2:$J163,1,FALSE)),"")</f>
        <v/>
      </c>
      <c r="BM134" s="96" t="str">
        <f>IF(ISBLANK($BL134),IFERROR(0/0,""),VLOOKUP(FLOOR($B134,1),'APS Tubes by Date IMPORT'!$B$2:$J163,2,FALSE))</f>
        <v/>
      </c>
    </row>
    <row r="135">
      <c r="A135" s="245" t="str">
        <f>CONCATENATE("RUN-",'Process Ref'!$A$1,"_",TEXT(U135,"YYYY-MM-DD"),"_RFR-",TEXT(AR135,"000"),IF(EXACT(W135,"Initial"),"",CONCATENATE("_",W135)))</f>
        <v>RUN-FLMP_2022-05-23_RFR-146</v>
      </c>
      <c r="B135" s="285">
        <v>44704.465848657404</v>
      </c>
      <c r="C135" s="256"/>
      <c r="D135" s="256" t="s">
        <v>442</v>
      </c>
      <c r="E135" s="250">
        <v>23.0</v>
      </c>
      <c r="F135" s="256" t="s">
        <v>1003</v>
      </c>
      <c r="G135" s="249" t="s">
        <v>1004</v>
      </c>
      <c r="H135" s="283" t="s">
        <v>1005</v>
      </c>
      <c r="I135" s="249" t="s">
        <v>1006</v>
      </c>
      <c r="J135" s="250">
        <v>1.0</v>
      </c>
      <c r="K135" s="313"/>
      <c r="L135" s="386"/>
      <c r="M135" s="252"/>
      <c r="N135" s="252"/>
      <c r="O135" s="253"/>
      <c r="P135" s="254" t="b">
        <v>0</v>
      </c>
      <c r="Q135" s="286" t="b">
        <v>0</v>
      </c>
      <c r="R135" s="256"/>
      <c r="S135" s="254" t="b">
        <v>0</v>
      </c>
      <c r="T135" s="287" t="b">
        <v>1</v>
      </c>
      <c r="U135" s="387">
        <v>44704.0</v>
      </c>
      <c r="V135" s="289">
        <v>0.3958333333333333</v>
      </c>
      <c r="W135" s="290" t="s">
        <v>447</v>
      </c>
      <c r="X135" s="291" t="s">
        <v>1007</v>
      </c>
      <c r="Y135" s="254" t="b">
        <v>0</v>
      </c>
      <c r="Z135" s="292">
        <v>25.0</v>
      </c>
      <c r="AA135" s="260">
        <f t="shared" si="34"/>
        <v>2</v>
      </c>
      <c r="AB135" s="293" t="b">
        <f t="shared" si="2"/>
        <v>0</v>
      </c>
      <c r="AC135" s="388">
        <v>23.0</v>
      </c>
      <c r="AD135" s="292">
        <v>0.0</v>
      </c>
      <c r="AE135" s="292">
        <v>0.0</v>
      </c>
      <c r="AF135" s="292">
        <v>0.0</v>
      </c>
      <c r="AG135" s="292">
        <v>1.0</v>
      </c>
      <c r="AH135" s="292">
        <v>1.0</v>
      </c>
      <c r="AI135" s="292">
        <v>1.0</v>
      </c>
      <c r="AJ135" s="294" t="b">
        <v>0</v>
      </c>
      <c r="AK135" s="390">
        <f t="shared" si="84"/>
        <v>23</v>
      </c>
      <c r="AL135" s="388">
        <v>4.0</v>
      </c>
      <c r="AM135" s="292">
        <v>1.0</v>
      </c>
      <c r="AN135" s="296" t="str">
        <f>IFNA(VLOOKUP($A135,'Tube Reactions'!$J$2:$K163,2,FALSE),"")</f>
        <v/>
      </c>
      <c r="AO135" s="297" t="str">
        <f t="shared" si="4"/>
        <v>NOT EQUAL</v>
      </c>
      <c r="AP135" s="319" t="s">
        <v>614</v>
      </c>
      <c r="AQ135" s="260" t="b">
        <f t="shared" si="6"/>
        <v>1</v>
      </c>
      <c r="AR135" s="266">
        <v>146.0</v>
      </c>
      <c r="AS135" s="279"/>
      <c r="AT135" s="279"/>
      <c r="AU135" s="299" t="s">
        <v>646</v>
      </c>
      <c r="AV135" s="292">
        <v>25.0</v>
      </c>
      <c r="AW135" s="254" t="b">
        <v>0</v>
      </c>
      <c r="AX135" s="270" t="b">
        <f t="shared" si="7"/>
        <v>1</v>
      </c>
      <c r="AY135" s="254">
        <f t="shared" si="66"/>
        <v>2</v>
      </c>
      <c r="AZ135" s="254"/>
      <c r="BA135" s="272" t="b">
        <v>1</v>
      </c>
      <c r="BB135" s="245" t="b">
        <f t="shared" si="9"/>
        <v>1</v>
      </c>
      <c r="BC135" s="260">
        <f t="shared" si="10"/>
        <v>4</v>
      </c>
      <c r="BD135" s="260">
        <f t="shared" si="11"/>
        <v>23</v>
      </c>
      <c r="BE135" s="273" t="b">
        <f t="shared" si="12"/>
        <v>1</v>
      </c>
      <c r="BF135" s="274">
        <f t="shared" si="13"/>
        <v>44704</v>
      </c>
      <c r="BG135" s="275" t="str">
        <f t="shared" si="14"/>
        <v>RUN-FLMP_2022-05-23_RFR-146</v>
      </c>
      <c r="BH135" s="96">
        <f t="shared" si="15"/>
        <v>23</v>
      </c>
      <c r="BI135" s="96">
        <f t="shared" si="16"/>
        <v>23</v>
      </c>
      <c r="BJ135" s="96">
        <f t="shared" si="17"/>
        <v>23</v>
      </c>
      <c r="BK135" s="96">
        <f t="shared" si="18"/>
        <v>4</v>
      </c>
      <c r="BL135" s="10">
        <f>IFNA(IF(VLOOKUP(FLOOR($B135,1),'APS Tubes by Date IMPORT'!$B$2:$J163,1,FALSE)=FLOOR($BL134,1),IFERROR(0/0,""),VLOOKUP(FLOOR($B135,1),'APS Tubes by Date IMPORT'!$B$2:$J163,1,FALSE)),"")</f>
        <v>44704</v>
      </c>
      <c r="BM135" s="96">
        <f>IF(ISBLANK($BL135),IFERROR(0/0,""),VLOOKUP(FLOOR($B135,1),'APS Tubes by Date IMPORT'!$B$2:$J163,2,FALSE))</f>
        <v>16</v>
      </c>
    </row>
    <row r="136">
      <c r="A136" s="245" t="str">
        <f>CONCATENATE("RUN-",'Process Ref'!$A$1,"_",TEXT(U136,"YYYY-MM-DD"),"_RFR-",TEXT(AR136,"000"),IF(EXACT(W136,"Initial"),"",CONCATENATE("_",W136)))</f>
        <v>RUN-FLMP_2022-05-23_RFR-147_Re-run</v>
      </c>
      <c r="B136" s="285">
        <v>44704.49135378472</v>
      </c>
      <c r="C136" s="256"/>
      <c r="D136" s="256" t="s">
        <v>442</v>
      </c>
      <c r="E136" s="250">
        <v>5.0</v>
      </c>
      <c r="F136" s="256"/>
      <c r="G136" s="249" t="s">
        <v>1008</v>
      </c>
      <c r="H136" s="283" t="s">
        <v>1009</v>
      </c>
      <c r="I136" s="249" t="s">
        <v>1010</v>
      </c>
      <c r="J136" s="250"/>
      <c r="K136" s="313"/>
      <c r="L136" s="386"/>
      <c r="M136" s="252"/>
      <c r="N136" s="252"/>
      <c r="O136" s="253"/>
      <c r="P136" s="254" t="b">
        <v>0</v>
      </c>
      <c r="Q136" s="286" t="b">
        <v>0</v>
      </c>
      <c r="R136" s="256"/>
      <c r="S136" s="254" t="b">
        <v>0</v>
      </c>
      <c r="T136" s="287" t="b">
        <v>1</v>
      </c>
      <c r="U136" s="387">
        <v>44704.0</v>
      </c>
      <c r="V136" s="289">
        <v>0.4583333333333333</v>
      </c>
      <c r="W136" s="290" t="s">
        <v>469</v>
      </c>
      <c r="X136" s="394" t="s">
        <v>1011</v>
      </c>
      <c r="Y136" s="254" t="b">
        <v>0</v>
      </c>
      <c r="Z136" s="292">
        <v>5.0</v>
      </c>
      <c r="AA136" s="260">
        <f t="shared" si="34"/>
        <v>0</v>
      </c>
      <c r="AB136" s="293" t="b">
        <f t="shared" si="2"/>
        <v>1</v>
      </c>
      <c r="AC136" s="388">
        <v>7.0</v>
      </c>
      <c r="AD136" s="292">
        <v>0.0</v>
      </c>
      <c r="AE136" s="248">
        <f t="shared" ref="AE136:AE140" si="85">IF(W136="Initial",AD136,(IF(AJ136=TRUE,"CORRECT ME",AD136/3)))</f>
        <v>0</v>
      </c>
      <c r="AF136" s="292">
        <v>0.0</v>
      </c>
      <c r="AG136" s="292">
        <v>3.0</v>
      </c>
      <c r="AH136" s="250">
        <f t="shared" ref="AH136:AH140" si="86">IF(W136="Initial",AG136,(IF(AJ136=TRUE,"CORRECT ME",AG136/3)))</f>
        <v>1</v>
      </c>
      <c r="AI136" s="292">
        <v>1.0</v>
      </c>
      <c r="AJ136" s="294" t="b">
        <v>0</v>
      </c>
      <c r="AK136" s="292">
        <v>1.0</v>
      </c>
      <c r="AL136" s="388">
        <v>4.0</v>
      </c>
      <c r="AM136" s="250"/>
      <c r="AN136" s="296" t="str">
        <f>IFNA(VLOOKUP($A136,'Tube Reactions'!$J$2:$K163,2,FALSE),"")</f>
        <v/>
      </c>
      <c r="AO136" s="297" t="str">
        <f t="shared" si="4"/>
        <v/>
      </c>
      <c r="AP136" s="319" t="s">
        <v>614</v>
      </c>
      <c r="AQ136" s="260" t="b">
        <f t="shared" si="6"/>
        <v>1</v>
      </c>
      <c r="AR136" s="266">
        <v>147.0</v>
      </c>
      <c r="AS136" s="279" t="s">
        <v>1012</v>
      </c>
      <c r="AT136" s="279"/>
      <c r="AU136" s="299" t="s">
        <v>646</v>
      </c>
      <c r="AV136" s="292">
        <v>7.0</v>
      </c>
      <c r="AW136" s="254" t="b">
        <v>0</v>
      </c>
      <c r="AX136" s="270" t="b">
        <f t="shared" si="7"/>
        <v>1</v>
      </c>
      <c r="AY136" s="254">
        <f t="shared" si="66"/>
        <v>0</v>
      </c>
      <c r="AZ136" s="286" t="s">
        <v>1013</v>
      </c>
      <c r="BA136" s="272" t="b">
        <v>1</v>
      </c>
      <c r="BB136" s="245" t="b">
        <f t="shared" si="9"/>
        <v>0</v>
      </c>
      <c r="BC136" s="260" t="str">
        <f t="shared" si="10"/>
        <v/>
      </c>
      <c r="BD136" s="260" t="str">
        <f t="shared" si="11"/>
        <v/>
      </c>
      <c r="BE136" s="273" t="b">
        <f t="shared" si="12"/>
        <v>1</v>
      </c>
      <c r="BF136" s="274" t="str">
        <f t="shared" si="13"/>
        <v/>
      </c>
      <c r="BG136" s="275" t="str">
        <f t="shared" si="14"/>
        <v/>
      </c>
      <c r="BH136" s="96" t="str">
        <f t="shared" si="15"/>
        <v/>
      </c>
      <c r="BI136" s="96" t="str">
        <f t="shared" si="16"/>
        <v/>
      </c>
      <c r="BJ136" s="96" t="str">
        <f t="shared" si="17"/>
        <v/>
      </c>
      <c r="BK136" s="96" t="str">
        <f t="shared" si="18"/>
        <v/>
      </c>
      <c r="BL136" s="10" t="str">
        <f>IFNA(IF(VLOOKUP(FLOOR($B136,1),'APS Tubes by Date IMPORT'!$B$2:$J163,1,FALSE)=FLOOR($BL135,1),IFERROR(0/0,""),VLOOKUP(FLOOR($B136,1),'APS Tubes by Date IMPORT'!$B$2:$J163,1,FALSE)),"")</f>
        <v/>
      </c>
      <c r="BM136" s="96" t="str">
        <f>IF(ISBLANK($BL136),IFERROR(0/0,""),VLOOKUP(FLOOR($B136,1),'APS Tubes by Date IMPORT'!$B$2:$J163,2,FALSE))</f>
        <v/>
      </c>
    </row>
    <row r="137">
      <c r="A137" s="245" t="str">
        <f>CONCATENATE("RUN-",'Process Ref'!$A$1,"_",TEXT(U137,"YYYY-MM-DD"),"_RFR-",TEXT(AR137,"000"),IF(EXACT(W137,"Initial"),"",CONCATENATE("_",W137)))</f>
        <v>RUN-FLMP_2022-05-26_RFR-148</v>
      </c>
      <c r="B137" s="285">
        <v>44707.49951538195</v>
      </c>
      <c r="C137" s="256"/>
      <c r="D137" s="256" t="s">
        <v>442</v>
      </c>
      <c r="E137" s="250">
        <v>23.0</v>
      </c>
      <c r="F137" s="256" t="s">
        <v>1014</v>
      </c>
      <c r="G137" s="249" t="s">
        <v>1015</v>
      </c>
      <c r="H137" s="283" t="s">
        <v>1016</v>
      </c>
      <c r="I137" s="249" t="s">
        <v>1017</v>
      </c>
      <c r="J137" s="250">
        <v>2.0</v>
      </c>
      <c r="K137" s="313"/>
      <c r="L137" s="386"/>
      <c r="M137" s="252"/>
      <c r="N137" s="303">
        <v>2.1</v>
      </c>
      <c r="O137" s="253"/>
      <c r="P137" s="254" t="b">
        <v>1</v>
      </c>
      <c r="Q137" s="286" t="b">
        <v>0</v>
      </c>
      <c r="R137" s="256"/>
      <c r="S137" s="254" t="b">
        <v>0</v>
      </c>
      <c r="T137" s="287" t="b">
        <v>1</v>
      </c>
      <c r="U137" s="387">
        <v>44707.0</v>
      </c>
      <c r="V137" s="289">
        <v>0.3888888888888889</v>
      </c>
      <c r="W137" s="290" t="s">
        <v>447</v>
      </c>
      <c r="X137" s="291" t="s">
        <v>1018</v>
      </c>
      <c r="Y137" s="254" t="b">
        <v>0</v>
      </c>
      <c r="Z137" s="292">
        <v>23.0</v>
      </c>
      <c r="AA137" s="260">
        <f t="shared" si="34"/>
        <v>0</v>
      </c>
      <c r="AB137" s="293" t="b">
        <f t="shared" si="2"/>
        <v>1</v>
      </c>
      <c r="AC137" s="388">
        <v>22.0</v>
      </c>
      <c r="AD137" s="292">
        <v>0.0</v>
      </c>
      <c r="AE137" s="248">
        <f t="shared" si="85"/>
        <v>0</v>
      </c>
      <c r="AF137" s="292">
        <v>0.0</v>
      </c>
      <c r="AG137" s="292">
        <v>0.0</v>
      </c>
      <c r="AH137" s="250">
        <f t="shared" si="86"/>
        <v>0</v>
      </c>
      <c r="AI137" s="292">
        <v>0.0</v>
      </c>
      <c r="AJ137" s="294" t="b">
        <v>0</v>
      </c>
      <c r="AK137" s="292">
        <v>21.0</v>
      </c>
      <c r="AL137" s="388">
        <v>0.0</v>
      </c>
      <c r="AM137" s="292">
        <v>0.0</v>
      </c>
      <c r="AN137" s="296" t="str">
        <f>IFNA(VLOOKUP($A137,'Tube Reactions'!$J$2:$K163,2,FALSE),"")</f>
        <v/>
      </c>
      <c r="AO137" s="297" t="str">
        <f t="shared" si="4"/>
        <v/>
      </c>
      <c r="AP137" s="319" t="s">
        <v>614</v>
      </c>
      <c r="AQ137" s="260" t="b">
        <f t="shared" si="6"/>
        <v>1</v>
      </c>
      <c r="AR137" s="266">
        <v>148.0</v>
      </c>
      <c r="AS137" s="279" t="s">
        <v>1019</v>
      </c>
      <c r="AT137" s="279"/>
      <c r="AU137" s="299" t="s">
        <v>646</v>
      </c>
      <c r="AV137" s="292">
        <v>24.0</v>
      </c>
      <c r="AW137" s="286" t="b">
        <v>1</v>
      </c>
      <c r="AX137" s="270" t="b">
        <f t="shared" si="7"/>
        <v>1</v>
      </c>
      <c r="AY137" s="254">
        <f t="shared" si="66"/>
        <v>2</v>
      </c>
      <c r="AZ137" s="254"/>
      <c r="BA137" s="272" t="b">
        <v>1</v>
      </c>
      <c r="BB137" s="245" t="b">
        <f t="shared" si="9"/>
        <v>1</v>
      </c>
      <c r="BC137" s="260" t="b">
        <f t="shared" si="10"/>
        <v>1</v>
      </c>
      <c r="BD137" s="260">
        <f t="shared" si="11"/>
        <v>21</v>
      </c>
      <c r="BE137" s="273" t="b">
        <f t="shared" si="12"/>
        <v>1</v>
      </c>
      <c r="BF137" s="274">
        <f t="shared" si="13"/>
        <v>44707</v>
      </c>
      <c r="BG137" s="275" t="str">
        <f t="shared" si="14"/>
        <v>RUN-FLMP_2022-05-26_RFR-148</v>
      </c>
      <c r="BH137" s="96">
        <f t="shared" si="15"/>
        <v>23</v>
      </c>
      <c r="BI137" s="96">
        <f t="shared" si="16"/>
        <v>22</v>
      </c>
      <c r="BJ137" s="96">
        <f t="shared" si="17"/>
        <v>21</v>
      </c>
      <c r="BK137" s="96">
        <f t="shared" si="18"/>
        <v>0</v>
      </c>
      <c r="BL137" s="10">
        <f>IFNA(IF(VLOOKUP(FLOOR($B137,1),'APS Tubes by Date IMPORT'!$B$2:$J163,1,FALSE)=FLOOR($BL136,1),IFERROR(0/0,""),VLOOKUP(FLOOR($B137,1),'APS Tubes by Date IMPORT'!$B$2:$J163,1,FALSE)),"")</f>
        <v>44707</v>
      </c>
      <c r="BM137" s="96">
        <f>IF(ISBLANK($BL137),IFERROR(0/0,""),VLOOKUP(FLOOR($B137,1),'APS Tubes by Date IMPORT'!$B$2:$J163,2,FALSE))</f>
        <v>20</v>
      </c>
    </row>
    <row r="138">
      <c r="A138" s="245" t="str">
        <f>CONCATENATE("RUN-",'Process Ref'!$A$1,"_",TEXT(U138,"YYYY-MM-DD"),"_RFR-",TEXT(AR138,"000"),IF(EXACT(W138,"Initial"),"",CONCATENATE("_",W138)))</f>
        <v>RUN-FLMP_2022-05-26_RFR-149_Re-run</v>
      </c>
      <c r="B138" s="285">
        <v>44707.50034650463</v>
      </c>
      <c r="C138" s="256"/>
      <c r="D138" s="256" t="s">
        <v>442</v>
      </c>
      <c r="E138" s="250">
        <v>2.0</v>
      </c>
      <c r="F138" s="256"/>
      <c r="G138" s="249" t="s">
        <v>1020</v>
      </c>
      <c r="H138" s="282"/>
      <c r="I138" s="249" t="s">
        <v>1021</v>
      </c>
      <c r="J138" s="250"/>
      <c r="K138" s="313" t="s">
        <v>1022</v>
      </c>
      <c r="L138" s="386"/>
      <c r="M138" s="252"/>
      <c r="N138" s="252"/>
      <c r="O138" s="253"/>
      <c r="P138" s="254" t="b">
        <v>0</v>
      </c>
      <c r="Q138" s="286" t="b">
        <v>0</v>
      </c>
      <c r="R138" s="256"/>
      <c r="S138" s="254" t="b">
        <v>0</v>
      </c>
      <c r="T138" s="287" t="b">
        <v>1</v>
      </c>
      <c r="U138" s="387">
        <v>44707.0</v>
      </c>
      <c r="V138" s="289">
        <v>0.4305555555555556</v>
      </c>
      <c r="W138" s="290" t="s">
        <v>469</v>
      </c>
      <c r="X138" s="291" t="s">
        <v>1022</v>
      </c>
      <c r="Y138" s="254" t="b">
        <v>0</v>
      </c>
      <c r="Z138" s="292">
        <v>8.0</v>
      </c>
      <c r="AA138" s="260">
        <f t="shared" si="34"/>
        <v>6</v>
      </c>
      <c r="AB138" s="293" t="b">
        <f t="shared" si="2"/>
        <v>1</v>
      </c>
      <c r="AC138" s="388">
        <v>6.0</v>
      </c>
      <c r="AD138" s="292">
        <v>0.0</v>
      </c>
      <c r="AE138" s="248">
        <f t="shared" si="85"/>
        <v>0</v>
      </c>
      <c r="AF138" s="292">
        <v>0.0</v>
      </c>
      <c r="AG138" s="292">
        <v>0.0</v>
      </c>
      <c r="AH138" s="250">
        <f t="shared" si="86"/>
        <v>0</v>
      </c>
      <c r="AI138" s="292">
        <v>0.0</v>
      </c>
      <c r="AJ138" s="294" t="b">
        <v>0</v>
      </c>
      <c r="AK138" s="250">
        <f t="shared" ref="AK138:AK140" si="87">IF(W138="Initial",AC138,IF(AJ138=TRUE,"CORRECT ME",AC138/3))</f>
        <v>2</v>
      </c>
      <c r="AL138" s="388">
        <v>0.0</v>
      </c>
      <c r="AM138" s="250"/>
      <c r="AN138" s="296" t="str">
        <f>IFNA(VLOOKUP($A138,'Tube Reactions'!$J$2:$K163,2,FALSE),"")</f>
        <v/>
      </c>
      <c r="AO138" s="297" t="str">
        <f t="shared" si="4"/>
        <v/>
      </c>
      <c r="AP138" s="298" t="str">
        <f>IF(ISTEXT(H138),"", "Absent")</f>
        <v>Absent</v>
      </c>
      <c r="AQ138" s="260" t="b">
        <f t="shared" si="6"/>
        <v>1</v>
      </c>
      <c r="AR138" s="266">
        <v>149.0</v>
      </c>
      <c r="AS138" s="279"/>
      <c r="AT138" s="279"/>
      <c r="AU138" s="299" t="s">
        <v>646</v>
      </c>
      <c r="AV138" s="292">
        <v>8.0</v>
      </c>
      <c r="AW138" s="286" t="b">
        <v>1</v>
      </c>
      <c r="AX138" s="270" t="b">
        <f t="shared" si="7"/>
        <v>1</v>
      </c>
      <c r="AY138" s="254">
        <f t="shared" si="66"/>
        <v>2</v>
      </c>
      <c r="AZ138" s="254"/>
      <c r="BA138" s="272" t="b">
        <v>1</v>
      </c>
      <c r="BB138" s="245" t="b">
        <f t="shared" si="9"/>
        <v>0</v>
      </c>
      <c r="BC138" s="260" t="str">
        <f t="shared" si="10"/>
        <v/>
      </c>
      <c r="BD138" s="260" t="str">
        <f t="shared" si="11"/>
        <v/>
      </c>
      <c r="BE138" s="273" t="b">
        <f t="shared" si="12"/>
        <v>1</v>
      </c>
      <c r="BF138" s="274" t="str">
        <f t="shared" si="13"/>
        <v/>
      </c>
      <c r="BG138" s="275" t="str">
        <f t="shared" si="14"/>
        <v/>
      </c>
      <c r="BH138" s="96" t="str">
        <f t="shared" si="15"/>
        <v/>
      </c>
      <c r="BI138" s="96" t="str">
        <f t="shared" si="16"/>
        <v/>
      </c>
      <c r="BJ138" s="96" t="str">
        <f t="shared" si="17"/>
        <v/>
      </c>
      <c r="BK138" s="96" t="str">
        <f t="shared" si="18"/>
        <v/>
      </c>
      <c r="BL138" s="10" t="str">
        <f>IFNA(IF(VLOOKUP(FLOOR($B138,1),'APS Tubes by Date IMPORT'!$B$2:$J163,1,FALSE)=FLOOR($BL137,1),IFERROR(0/0,""),VLOOKUP(FLOOR($B138,1),'APS Tubes by Date IMPORT'!$B$2:$J163,1,FALSE)),"")</f>
        <v/>
      </c>
      <c r="BM138" s="96" t="str">
        <f>IF(ISBLANK($BL138),IFERROR(0/0,""),VLOOKUP(FLOOR($B138,1),'APS Tubes by Date IMPORT'!$B$2:$J163,2,FALSE))</f>
        <v/>
      </c>
    </row>
    <row r="139">
      <c r="A139" s="245" t="str">
        <f>CONCATENATE("RUN-",'Process Ref'!$A$1,"_",TEXT(U139,"YYYY-MM-DD"),"_RFR-",TEXT(AR139,"000"),IF(EXACT(W139,"Initial"),"",CONCATENATE("_",W139)))</f>
        <v>RUN-FLMP_2022-05-31_RFR-150</v>
      </c>
      <c r="B139" s="285">
        <v>44712.476805196755</v>
      </c>
      <c r="C139" s="256"/>
      <c r="D139" s="256" t="s">
        <v>442</v>
      </c>
      <c r="E139" s="250">
        <v>22.0</v>
      </c>
      <c r="F139" s="256" t="s">
        <v>1023</v>
      </c>
      <c r="G139" s="249" t="s">
        <v>1024</v>
      </c>
      <c r="H139" s="283" t="s">
        <v>1025</v>
      </c>
      <c r="I139" s="249" t="s">
        <v>1026</v>
      </c>
      <c r="J139" s="250">
        <v>2.0</v>
      </c>
      <c r="K139" s="313"/>
      <c r="L139" s="386"/>
      <c r="M139" s="252"/>
      <c r="N139" s="303">
        <v>2.2</v>
      </c>
      <c r="O139" s="253"/>
      <c r="P139" s="254" t="b">
        <v>1</v>
      </c>
      <c r="Q139" s="286" t="b">
        <v>0</v>
      </c>
      <c r="R139" s="256"/>
      <c r="S139" s="254" t="b">
        <v>0</v>
      </c>
      <c r="T139" s="287" t="b">
        <v>1</v>
      </c>
      <c r="U139" s="387">
        <v>44712.0</v>
      </c>
      <c r="V139" s="289">
        <v>0.375</v>
      </c>
      <c r="W139" s="290" t="s">
        <v>447</v>
      </c>
      <c r="X139" s="313"/>
      <c r="Y139" s="254" t="b">
        <v>0</v>
      </c>
      <c r="Z139" s="292">
        <v>24.0</v>
      </c>
      <c r="AA139" s="260">
        <f t="shared" si="34"/>
        <v>2</v>
      </c>
      <c r="AB139" s="293" t="b">
        <f t="shared" si="2"/>
        <v>0</v>
      </c>
      <c r="AC139" s="388">
        <v>22.0</v>
      </c>
      <c r="AD139" s="292">
        <v>2.0</v>
      </c>
      <c r="AE139" s="248">
        <f t="shared" si="85"/>
        <v>2</v>
      </c>
      <c r="AF139" s="292">
        <v>0.0</v>
      </c>
      <c r="AG139" s="292">
        <v>1.0</v>
      </c>
      <c r="AH139" s="250">
        <f t="shared" si="86"/>
        <v>1</v>
      </c>
      <c r="AI139" s="292">
        <v>0.0</v>
      </c>
      <c r="AJ139" s="294" t="b">
        <v>0</v>
      </c>
      <c r="AK139" s="390">
        <f t="shared" si="87"/>
        <v>22</v>
      </c>
      <c r="AL139" s="388">
        <v>4.0</v>
      </c>
      <c r="AM139" s="292">
        <v>3.0</v>
      </c>
      <c r="AN139" s="296" t="str">
        <f>IFNA(VLOOKUP($A139,'Tube Reactions'!$J$2:$K163,2,FALSE),"")</f>
        <v/>
      </c>
      <c r="AO139" s="297" t="str">
        <f t="shared" si="4"/>
        <v>NOT EQUAL</v>
      </c>
      <c r="AP139" s="319" t="s">
        <v>614</v>
      </c>
      <c r="AQ139" s="260" t="b">
        <f t="shared" si="6"/>
        <v>1</v>
      </c>
      <c r="AR139" s="266">
        <v>150.0</v>
      </c>
      <c r="AS139" s="279" t="s">
        <v>1027</v>
      </c>
      <c r="AT139" s="279"/>
      <c r="AU139" s="299" t="s">
        <v>646</v>
      </c>
      <c r="AV139" s="292">
        <v>24.0</v>
      </c>
      <c r="AW139" s="254" t="b">
        <v>0</v>
      </c>
      <c r="AX139" s="270" t="b">
        <f t="shared" si="7"/>
        <v>1</v>
      </c>
      <c r="AY139" s="254">
        <f t="shared" si="66"/>
        <v>2</v>
      </c>
      <c r="AZ139" s="254"/>
      <c r="BA139" s="272" t="b">
        <v>1</v>
      </c>
      <c r="BB139" s="245" t="b">
        <f t="shared" si="9"/>
        <v>1</v>
      </c>
      <c r="BC139" s="260">
        <f t="shared" si="10"/>
        <v>4</v>
      </c>
      <c r="BD139" s="260">
        <f t="shared" si="11"/>
        <v>22</v>
      </c>
      <c r="BE139" s="273" t="b">
        <f t="shared" si="12"/>
        <v>1</v>
      </c>
      <c r="BF139" s="274">
        <f t="shared" si="13"/>
        <v>44712</v>
      </c>
      <c r="BG139" s="275" t="str">
        <f t="shared" si="14"/>
        <v>RUN-FLMP_2022-05-31_RFR-150</v>
      </c>
      <c r="BH139" s="96">
        <f t="shared" si="15"/>
        <v>22</v>
      </c>
      <c r="BI139" s="96">
        <f t="shared" si="16"/>
        <v>22</v>
      </c>
      <c r="BJ139" s="96">
        <f t="shared" si="17"/>
        <v>22</v>
      </c>
      <c r="BK139" s="96">
        <f t="shared" si="18"/>
        <v>4</v>
      </c>
      <c r="BL139" s="10">
        <f>IFNA(IF(VLOOKUP(FLOOR($B139,1),'APS Tubes by Date IMPORT'!$B$2:$J163,1,FALSE)=FLOOR($BL138,1),IFERROR(0/0,""),VLOOKUP(FLOOR($B139,1),'APS Tubes by Date IMPORT'!$B$2:$J163,1,FALSE)),"")</f>
        <v>44712</v>
      </c>
      <c r="BM139" s="96">
        <f>IF(ISBLANK($BL139),IFERROR(0/0,""),VLOOKUP(FLOOR($B139,1),'APS Tubes by Date IMPORT'!$B$2:$J163,2,FALSE))</f>
        <v>17</v>
      </c>
    </row>
    <row r="140">
      <c r="A140" s="245" t="str">
        <f>CONCATENATE("RUN-",'Process Ref'!$A$1,"_",TEXT(U140,"YYYY-MM-DD"),"_RFR-",TEXT(AR140,"000"),IF(EXACT(W140,"Initial"),"",CONCATENATE("_",W140)))</f>
        <v>RUN-FLMP_2022-05-31_RFR-151_Re-run</v>
      </c>
      <c r="B140" s="285">
        <v>44712.49761575232</v>
      </c>
      <c r="C140" s="256"/>
      <c r="D140" s="256" t="s">
        <v>442</v>
      </c>
      <c r="E140" s="250">
        <v>2.0</v>
      </c>
      <c r="F140" s="256"/>
      <c r="G140" s="249" t="s">
        <v>1028</v>
      </c>
      <c r="H140" s="282"/>
      <c r="I140" s="249" t="s">
        <v>1029</v>
      </c>
      <c r="J140" s="250"/>
      <c r="K140" s="313" t="s">
        <v>1022</v>
      </c>
      <c r="L140" s="386"/>
      <c r="M140" s="252"/>
      <c r="N140" s="252"/>
      <c r="O140" s="253"/>
      <c r="P140" s="254" t="b">
        <v>0</v>
      </c>
      <c r="Q140" s="286" t="b">
        <v>0</v>
      </c>
      <c r="R140" s="256"/>
      <c r="S140" s="254" t="b">
        <v>0</v>
      </c>
      <c r="T140" s="287" t="b">
        <v>1</v>
      </c>
      <c r="U140" s="387">
        <v>44712.0</v>
      </c>
      <c r="V140" s="289">
        <v>0.4583333333333333</v>
      </c>
      <c r="W140" s="290" t="s">
        <v>469</v>
      </c>
      <c r="X140" s="291"/>
      <c r="Y140" s="254" t="b">
        <v>0</v>
      </c>
      <c r="Z140" s="292">
        <v>8.0</v>
      </c>
      <c r="AA140" s="260">
        <f t="shared" si="34"/>
        <v>6</v>
      </c>
      <c r="AB140" s="293" t="b">
        <f t="shared" si="2"/>
        <v>1</v>
      </c>
      <c r="AC140" s="388">
        <v>6.0</v>
      </c>
      <c r="AD140" s="292">
        <v>0.0</v>
      </c>
      <c r="AE140" s="248">
        <f t="shared" si="85"/>
        <v>0</v>
      </c>
      <c r="AF140" s="292">
        <v>0.0</v>
      </c>
      <c r="AG140" s="292">
        <v>0.0</v>
      </c>
      <c r="AH140" s="250">
        <f t="shared" si="86"/>
        <v>0</v>
      </c>
      <c r="AI140" s="292">
        <v>0.0</v>
      </c>
      <c r="AJ140" s="294" t="b">
        <v>0</v>
      </c>
      <c r="AK140" s="250">
        <f t="shared" si="87"/>
        <v>2</v>
      </c>
      <c r="AL140" s="388">
        <v>0.0</v>
      </c>
      <c r="AM140" s="250"/>
      <c r="AN140" s="296" t="str">
        <f>IFNA(VLOOKUP($A140,'Tube Reactions'!$J$2:$K163,2,FALSE),"")</f>
        <v/>
      </c>
      <c r="AO140" s="297" t="str">
        <f t="shared" si="4"/>
        <v/>
      </c>
      <c r="AP140" s="298" t="str">
        <f t="shared" ref="AP140:AP153" si="88">IF(ISTEXT(H140),"", "Absent")</f>
        <v>Absent</v>
      </c>
      <c r="AQ140" s="260" t="b">
        <f t="shared" si="6"/>
        <v>1</v>
      </c>
      <c r="AR140" s="266">
        <v>151.0</v>
      </c>
      <c r="AS140" s="279"/>
      <c r="AT140" s="279"/>
      <c r="AU140" s="299" t="s">
        <v>646</v>
      </c>
      <c r="AV140" s="292">
        <v>8.0</v>
      </c>
      <c r="AW140" s="286" t="b">
        <v>1</v>
      </c>
      <c r="AX140" s="270" t="b">
        <f t="shared" si="7"/>
        <v>1</v>
      </c>
      <c r="AY140" s="254">
        <f t="shared" si="66"/>
        <v>2</v>
      </c>
      <c r="AZ140" s="254"/>
      <c r="BA140" s="272" t="b">
        <v>1</v>
      </c>
      <c r="BB140" s="245" t="b">
        <f t="shared" si="9"/>
        <v>0</v>
      </c>
      <c r="BC140" s="260" t="str">
        <f t="shared" si="10"/>
        <v/>
      </c>
      <c r="BD140" s="260" t="str">
        <f t="shared" si="11"/>
        <v/>
      </c>
      <c r="BE140" s="273" t="b">
        <f t="shared" si="12"/>
        <v>1</v>
      </c>
      <c r="BF140" s="274" t="str">
        <f t="shared" si="13"/>
        <v/>
      </c>
      <c r="BG140" s="275" t="str">
        <f t="shared" si="14"/>
        <v/>
      </c>
      <c r="BH140" s="96" t="str">
        <f t="shared" si="15"/>
        <v/>
      </c>
      <c r="BI140" s="96" t="str">
        <f t="shared" si="16"/>
        <v/>
      </c>
      <c r="BJ140" s="96" t="str">
        <f t="shared" si="17"/>
        <v/>
      </c>
      <c r="BK140" s="96" t="str">
        <f t="shared" si="18"/>
        <v/>
      </c>
      <c r="BL140" s="10" t="str">
        <f>IFNA(IF(VLOOKUP(FLOOR($B140,1),'APS Tubes by Date IMPORT'!$B$2:$J163,1,FALSE)=FLOOR($BL139,1),IFERROR(0/0,""),VLOOKUP(FLOOR($B140,1),'APS Tubes by Date IMPORT'!$B$2:$J163,1,FALSE)),"")</f>
        <v/>
      </c>
      <c r="BM140" s="96" t="str">
        <f>IF(ISBLANK($BL140),IFERROR(0/0,""),VLOOKUP(FLOOR($B140,1),'APS Tubes by Date IMPORT'!$B$2:$J163,2,FALSE))</f>
        <v/>
      </c>
    </row>
    <row r="141">
      <c r="A141" s="245" t="str">
        <f>CONCATENATE("RUN-",'Process Ref'!$A$1,"_",TEXT(U141,"YYYY-MM-DD"),"_RFR-",TEXT(AR141,"000"),IF(EXACT(W141,"Initial"),"",CONCATENATE("_",W141)))</f>
        <v>RUN-FLMP_2022-06-06_RFR-152</v>
      </c>
      <c r="B141" s="285">
        <v>44718.43078381944</v>
      </c>
      <c r="C141" s="256"/>
      <c r="D141" s="256" t="s">
        <v>841</v>
      </c>
      <c r="E141" s="250">
        <v>4.0</v>
      </c>
      <c r="F141" s="256" t="s">
        <v>1030</v>
      </c>
      <c r="G141" s="249" t="s">
        <v>1031</v>
      </c>
      <c r="H141" s="282"/>
      <c r="I141" s="249" t="s">
        <v>1032</v>
      </c>
      <c r="J141" s="250"/>
      <c r="K141" s="313"/>
      <c r="L141" s="386"/>
      <c r="M141" s="303">
        <v>1.2</v>
      </c>
      <c r="N141" s="252"/>
      <c r="O141" s="253"/>
      <c r="P141" s="254" t="b">
        <v>0</v>
      </c>
      <c r="Q141" s="286" t="b">
        <v>0</v>
      </c>
      <c r="R141" s="256"/>
      <c r="S141" s="254" t="b">
        <v>0</v>
      </c>
      <c r="T141" s="257" t="b">
        <v>0</v>
      </c>
      <c r="U141" s="387">
        <v>44718.0</v>
      </c>
      <c r="V141" s="289">
        <v>0.3958333333333333</v>
      </c>
      <c r="W141" s="290" t="s">
        <v>447</v>
      </c>
      <c r="X141" s="313"/>
      <c r="Y141" s="254" t="b">
        <v>0</v>
      </c>
      <c r="Z141" s="292">
        <v>8.0</v>
      </c>
      <c r="AA141" s="260">
        <f t="shared" si="34"/>
        <v>4</v>
      </c>
      <c r="AB141" s="293" t="b">
        <f t="shared" si="2"/>
        <v>1</v>
      </c>
      <c r="AC141" s="388">
        <v>6.0</v>
      </c>
      <c r="AD141" s="292">
        <v>0.0</v>
      </c>
      <c r="AE141" s="292">
        <v>0.0</v>
      </c>
      <c r="AF141" s="292">
        <v>0.0</v>
      </c>
      <c r="AG141" s="292">
        <v>0.0</v>
      </c>
      <c r="AH141" s="292">
        <v>0.0</v>
      </c>
      <c r="AI141" s="292">
        <v>0.0</v>
      </c>
      <c r="AJ141" s="294" t="b">
        <v>0</v>
      </c>
      <c r="AK141" s="292">
        <v>2.0</v>
      </c>
      <c r="AL141" s="388">
        <v>0.0</v>
      </c>
      <c r="AM141" s="292">
        <v>0.0</v>
      </c>
      <c r="AN141" s="296" t="str">
        <f>IFNA(VLOOKUP($A141,'Tube Reactions'!$J$2:$K163,2,FALSE),"")</f>
        <v/>
      </c>
      <c r="AO141" s="297" t="str">
        <f t="shared" si="4"/>
        <v/>
      </c>
      <c r="AP141" s="298" t="str">
        <f t="shared" si="88"/>
        <v>Absent</v>
      </c>
      <c r="AQ141" s="260" t="b">
        <f t="shared" si="6"/>
        <v>1</v>
      </c>
      <c r="AR141" s="266">
        <v>152.0</v>
      </c>
      <c r="AS141" s="279" t="s">
        <v>1033</v>
      </c>
      <c r="AT141" s="279"/>
      <c r="AU141" s="299" t="s">
        <v>646</v>
      </c>
      <c r="AV141" s="292">
        <v>8.0</v>
      </c>
      <c r="AW141" s="286" t="b">
        <v>1</v>
      </c>
      <c r="AX141" s="270" t="b">
        <f t="shared" si="7"/>
        <v>1</v>
      </c>
      <c r="AY141" s="254">
        <f t="shared" si="66"/>
        <v>2</v>
      </c>
      <c r="AZ141" s="254"/>
      <c r="BA141" s="272" t="b">
        <v>1</v>
      </c>
      <c r="BB141" s="245" t="b">
        <f t="shared" si="9"/>
        <v>1</v>
      </c>
      <c r="BC141" s="260" t="b">
        <f t="shared" si="10"/>
        <v>1</v>
      </c>
      <c r="BD141" s="260">
        <f t="shared" si="11"/>
        <v>2</v>
      </c>
      <c r="BE141" s="273" t="b">
        <f t="shared" si="12"/>
        <v>1</v>
      </c>
      <c r="BF141" s="274">
        <f t="shared" si="13"/>
        <v>44718</v>
      </c>
      <c r="BG141" s="275" t="str">
        <f t="shared" si="14"/>
        <v>RUN-FLMP_2022-06-06_RFR-152</v>
      </c>
      <c r="BH141" s="96">
        <f t="shared" si="15"/>
        <v>4</v>
      </c>
      <c r="BI141" s="96">
        <f t="shared" si="16"/>
        <v>6</v>
      </c>
      <c r="BJ141" s="96">
        <f t="shared" si="17"/>
        <v>2</v>
      </c>
      <c r="BK141" s="96">
        <f t="shared" si="18"/>
        <v>0</v>
      </c>
      <c r="BL141" s="10">
        <f>IFNA(IF(VLOOKUP(FLOOR($B141,1),'APS Tubes by Date IMPORT'!$B$2:$J163,1,FALSE)=FLOOR($BL140,1),IFERROR(0/0,""),VLOOKUP(FLOOR($B141,1),'APS Tubes by Date IMPORT'!$B$2:$J163,1,FALSE)),"")</f>
        <v>44718</v>
      </c>
      <c r="BM141" s="96">
        <f>IF(ISBLANK($BL141),IFERROR(0/0,""),VLOOKUP(FLOOR($B141,1),'APS Tubes by Date IMPORT'!$B$2:$J163,2,FALSE))</f>
        <v>4</v>
      </c>
    </row>
    <row r="142">
      <c r="A142" s="395" t="str">
        <f>CONCATENATE("RUN-",'Process Ref'!$A$1,"_",TEXT(U142,"YYYY-MM-DD"),"_RFR-",TEXT(AR142,"000"),IF(EXACT(W142,"Initial"),"",CONCATENATE("_",W142)))</f>
        <v>RUN-FLMP_2021-11-28_RFR-005_Exclude</v>
      </c>
      <c r="B142" s="396">
        <v>44528.63897979166</v>
      </c>
      <c r="C142" s="397"/>
      <c r="D142" s="397" t="s">
        <v>442</v>
      </c>
      <c r="E142" s="398">
        <v>2.0</v>
      </c>
      <c r="F142" s="397"/>
      <c r="G142" s="399" t="s">
        <v>1034</v>
      </c>
      <c r="H142" s="400"/>
      <c r="I142" s="401" t="s">
        <v>1035</v>
      </c>
      <c r="J142" s="398"/>
      <c r="K142" s="402" t="s">
        <v>1036</v>
      </c>
      <c r="L142" s="403">
        <v>6.0</v>
      </c>
      <c r="M142" s="404"/>
      <c r="N142" s="404"/>
      <c r="O142" s="405"/>
      <c r="P142" s="406" t="b">
        <v>0</v>
      </c>
      <c r="Q142" s="407" t="b">
        <v>0</v>
      </c>
      <c r="R142" s="395"/>
      <c r="S142" s="406" t="b">
        <v>0</v>
      </c>
      <c r="T142" s="408" t="b">
        <v>0</v>
      </c>
      <c r="U142" s="409">
        <v>44528.0</v>
      </c>
      <c r="V142" s="410">
        <v>0.6458333333333334</v>
      </c>
      <c r="W142" s="411" t="s">
        <v>1037</v>
      </c>
      <c r="X142" s="397"/>
      <c r="Y142" s="406" t="b">
        <v>0</v>
      </c>
      <c r="Z142" s="412"/>
      <c r="AA142" s="398">
        <f t="shared" si="34"/>
        <v>-2</v>
      </c>
      <c r="AB142" s="413" t="b">
        <f t="shared" si="2"/>
        <v>1</v>
      </c>
      <c r="AC142" s="414">
        <v>0.0</v>
      </c>
      <c r="AD142" s="415">
        <v>0.0</v>
      </c>
      <c r="AE142" s="415">
        <v>0.0</v>
      </c>
      <c r="AF142" s="415">
        <v>0.0</v>
      </c>
      <c r="AG142" s="415">
        <v>0.0</v>
      </c>
      <c r="AH142" s="415">
        <v>0.0</v>
      </c>
      <c r="AI142" s="415">
        <v>0.0</v>
      </c>
      <c r="AJ142" s="412" t="b">
        <v>0</v>
      </c>
      <c r="AK142" s="412">
        <f t="shared" ref="AK142:AK144" si="89">IF(W142="Initial",AC142,IF(AJ142=TRUE,"CORRECT ME",AC142/3))</f>
        <v>0</v>
      </c>
      <c r="AL142" s="403"/>
      <c r="AM142" s="412"/>
      <c r="AN142" s="412" t="str">
        <f>IFNA(VLOOKUP($A142,'Tube Reactions'!$J$2:$K163,2,FALSE),"")</f>
        <v/>
      </c>
      <c r="AO142" s="395" t="str">
        <f t="shared" si="4"/>
        <v/>
      </c>
      <c r="AP142" s="397" t="str">
        <f t="shared" si="88"/>
        <v>Absent</v>
      </c>
      <c r="AQ142" s="412" t="b">
        <f t="shared" si="6"/>
        <v>1</v>
      </c>
      <c r="AR142" s="412">
        <v>5.0</v>
      </c>
      <c r="AS142" s="402"/>
      <c r="AT142" s="397"/>
      <c r="AU142" s="416" t="s">
        <v>449</v>
      </c>
      <c r="AV142" s="417"/>
      <c r="AW142" s="412" t="b">
        <v>0</v>
      </c>
      <c r="AX142" s="418" t="b">
        <f t="shared" si="7"/>
        <v>0</v>
      </c>
      <c r="AY142" s="412">
        <f t="shared" si="66"/>
        <v>0</v>
      </c>
      <c r="AZ142" s="395"/>
      <c r="BA142" s="419" t="b">
        <v>1</v>
      </c>
      <c r="BB142" s="245" t="b">
        <f t="shared" si="9"/>
        <v>0</v>
      </c>
      <c r="BC142" s="260" t="str">
        <f t="shared" si="10"/>
        <v/>
      </c>
      <c r="BD142" s="260" t="str">
        <f t="shared" si="11"/>
        <v/>
      </c>
      <c r="BE142" s="273" t="b">
        <f t="shared" si="12"/>
        <v>1</v>
      </c>
      <c r="BF142" s="274" t="str">
        <f t="shared" si="13"/>
        <v/>
      </c>
      <c r="BG142" s="275" t="str">
        <f t="shared" si="14"/>
        <v/>
      </c>
      <c r="BH142" s="96" t="str">
        <f t="shared" si="15"/>
        <v/>
      </c>
      <c r="BI142" s="96" t="str">
        <f t="shared" si="16"/>
        <v/>
      </c>
      <c r="BJ142" s="96" t="str">
        <f t="shared" si="17"/>
        <v/>
      </c>
      <c r="BK142" s="96" t="str">
        <f t="shared" si="18"/>
        <v/>
      </c>
      <c r="BL142" s="10">
        <f>IFNA(IF(VLOOKUP(FLOOR($B142,1),'APS Tubes by Date IMPORT'!$B$2:$J163,1,FALSE)=FLOOR($BL141,1),IFERROR(0/0,""),VLOOKUP(FLOOR($B142,1),'APS Tubes by Date IMPORT'!$B$2:$J163,1,FALSE)),"")</f>
        <v>44528</v>
      </c>
      <c r="BM142" s="96">
        <f>IF(ISBLANK($BL142),IFERROR(0/0,""),VLOOKUP(FLOOR($B142,1),'APS Tubes by Date IMPORT'!$B$2:$J163,2,FALSE))</f>
        <v>11</v>
      </c>
    </row>
    <row r="143">
      <c r="A143" s="395" t="str">
        <f>CONCATENATE("RUN-",'Process Ref'!$A$1,"_",TEXT(U143,"YYYY-MM-DD"),"_RFR-",TEXT(AR143,"000"),IF(EXACT(W143,"Initial"),"",CONCATENATE("_",W143)))</f>
        <v>RUN-FLMP_2021-12-20_RFR-025_Exclude</v>
      </c>
      <c r="B143" s="396">
        <v>44550.3955322338</v>
      </c>
      <c r="C143" s="395"/>
      <c r="D143" s="395" t="s">
        <v>442</v>
      </c>
      <c r="E143" s="412">
        <v>2.0</v>
      </c>
      <c r="F143" s="395" t="s">
        <v>532</v>
      </c>
      <c r="G143" s="399" t="s">
        <v>1038</v>
      </c>
      <c r="H143" s="399"/>
      <c r="I143" s="399" t="s">
        <v>1039</v>
      </c>
      <c r="J143" s="412"/>
      <c r="K143" s="420"/>
      <c r="L143" s="403">
        <v>4.0</v>
      </c>
      <c r="M143" s="404"/>
      <c r="N143" s="404"/>
      <c r="O143" s="405" t="s">
        <v>1040</v>
      </c>
      <c r="P143" s="406" t="b">
        <v>0</v>
      </c>
      <c r="Q143" s="407" t="b">
        <v>0</v>
      </c>
      <c r="R143" s="395"/>
      <c r="S143" s="406" t="b">
        <v>0</v>
      </c>
      <c r="T143" s="408" t="b">
        <v>0</v>
      </c>
      <c r="U143" s="409">
        <v>44550.0</v>
      </c>
      <c r="V143" s="421">
        <v>0.2916666666666667</v>
      </c>
      <c r="W143" s="411" t="s">
        <v>1037</v>
      </c>
      <c r="X143" s="395"/>
      <c r="Y143" s="406" t="b">
        <v>0</v>
      </c>
      <c r="Z143" s="398">
        <v>6.0</v>
      </c>
      <c r="AA143" s="412">
        <f t="shared" si="34"/>
        <v>4</v>
      </c>
      <c r="AB143" s="413" t="b">
        <f t="shared" si="2"/>
        <v>1</v>
      </c>
      <c r="AC143" s="414">
        <v>0.0</v>
      </c>
      <c r="AD143" s="415">
        <v>0.0</v>
      </c>
      <c r="AE143" s="415">
        <v>0.0</v>
      </c>
      <c r="AF143" s="415">
        <v>0.0</v>
      </c>
      <c r="AG143" s="415">
        <v>0.0</v>
      </c>
      <c r="AH143" s="415">
        <v>0.0</v>
      </c>
      <c r="AI143" s="415">
        <v>0.0</v>
      </c>
      <c r="AJ143" s="412" t="b">
        <v>0</v>
      </c>
      <c r="AK143" s="412">
        <f t="shared" si="89"/>
        <v>0</v>
      </c>
      <c r="AL143" s="422"/>
      <c r="AM143" s="412"/>
      <c r="AN143" s="412" t="str">
        <f>IFNA(VLOOKUP($A143,'Tube Reactions'!$J$2:$K163,2,FALSE),"")</f>
        <v/>
      </c>
      <c r="AO143" s="395" t="str">
        <f t="shared" si="4"/>
        <v/>
      </c>
      <c r="AP143" s="397" t="str">
        <f t="shared" si="88"/>
        <v>Absent</v>
      </c>
      <c r="AQ143" s="412" t="b">
        <f t="shared" si="6"/>
        <v>1</v>
      </c>
      <c r="AR143" s="412">
        <v>25.0</v>
      </c>
      <c r="AS143" s="402"/>
      <c r="AT143" s="397"/>
      <c r="AU143" s="416" t="s">
        <v>478</v>
      </c>
      <c r="AV143" s="417"/>
      <c r="AW143" s="412" t="b">
        <v>0</v>
      </c>
      <c r="AX143" s="418" t="b">
        <f t="shared" si="7"/>
        <v>0</v>
      </c>
      <c r="AY143" s="412">
        <f t="shared" si="66"/>
        <v>0</v>
      </c>
      <c r="AZ143" s="395"/>
      <c r="BA143" s="419" t="b">
        <v>0</v>
      </c>
      <c r="BB143" s="245" t="str">
        <f t="shared" si="9"/>
        <v/>
      </c>
      <c r="BC143" s="260" t="str">
        <f t="shared" si="10"/>
        <v/>
      </c>
      <c r="BD143" s="260" t="str">
        <f t="shared" si="11"/>
        <v/>
      </c>
      <c r="BE143" s="273" t="b">
        <f t="shared" si="12"/>
        <v>1</v>
      </c>
      <c r="BF143" s="274" t="str">
        <f t="shared" si="13"/>
        <v/>
      </c>
      <c r="BG143" s="275" t="str">
        <f t="shared" si="14"/>
        <v/>
      </c>
      <c r="BH143" s="96" t="str">
        <f t="shared" si="15"/>
        <v/>
      </c>
      <c r="BI143" s="96" t="str">
        <f t="shared" si="16"/>
        <v/>
      </c>
      <c r="BJ143" s="96" t="str">
        <f t="shared" si="17"/>
        <v/>
      </c>
      <c r="BK143" s="96" t="str">
        <f t="shared" si="18"/>
        <v/>
      </c>
      <c r="BL143" s="10">
        <f>IFNA(IF(VLOOKUP(FLOOR($B143,1),'APS Tubes by Date IMPORT'!$B$2:$J163,1,FALSE)=FLOOR($BL142,1),IFERROR(0/0,""),VLOOKUP(FLOOR($B143,1),'APS Tubes by Date IMPORT'!$B$2:$J163,1,FALSE)),"")</f>
        <v>44550</v>
      </c>
      <c r="BM143" s="96">
        <f>IF(ISBLANK($BL143),IFERROR(0/0,""),VLOOKUP(FLOOR($B143,1),'APS Tubes by Date IMPORT'!$B$2:$J163,2,FALSE))</f>
        <v>5</v>
      </c>
    </row>
    <row r="144">
      <c r="A144" s="395" t="str">
        <f>CONCATENATE("RUN-",'Process Ref'!$A$1,"_",TEXT(U144,"YYYY-MM-DD"),"_RFR-",TEXT(AR144,"000"),IF(EXACT(W144,"Initial"),"",CONCATENATE("_",W144)))</f>
        <v>RUN-FLMP_2021-12-31_RFR-041_Exclude</v>
      </c>
      <c r="B144" s="396">
        <v>44561.72526028936</v>
      </c>
      <c r="C144" s="395"/>
      <c r="D144" s="395" t="s">
        <v>442</v>
      </c>
      <c r="E144" s="412">
        <v>7.0</v>
      </c>
      <c r="F144" s="395" t="s">
        <v>1041</v>
      </c>
      <c r="G144" s="399" t="s">
        <v>1042</v>
      </c>
      <c r="H144" s="399"/>
      <c r="I144" s="399" t="s">
        <v>1043</v>
      </c>
      <c r="J144" s="412"/>
      <c r="K144" s="420" t="s">
        <v>1044</v>
      </c>
      <c r="L144" s="403">
        <v>4.0</v>
      </c>
      <c r="M144" s="404"/>
      <c r="N144" s="404"/>
      <c r="O144" s="405"/>
      <c r="P144" s="406" t="b">
        <v>0</v>
      </c>
      <c r="Q144" s="407" t="b">
        <v>0</v>
      </c>
      <c r="R144" s="395"/>
      <c r="S144" s="406" t="b">
        <v>0</v>
      </c>
      <c r="T144" s="408" t="b">
        <v>0</v>
      </c>
      <c r="U144" s="409">
        <v>44561.0</v>
      </c>
      <c r="V144" s="421">
        <v>0.36527777777777776</v>
      </c>
      <c r="W144" s="411" t="s">
        <v>1037</v>
      </c>
      <c r="X144" s="395"/>
      <c r="Y144" s="406" t="b">
        <v>0</v>
      </c>
      <c r="Z144" s="412"/>
      <c r="AA144" s="412">
        <f t="shared" si="34"/>
        <v>-7</v>
      </c>
      <c r="AB144" s="413" t="b">
        <f t="shared" si="2"/>
        <v>1</v>
      </c>
      <c r="AC144" s="414">
        <v>0.0</v>
      </c>
      <c r="AD144" s="415">
        <v>0.0</v>
      </c>
      <c r="AE144" s="415">
        <v>0.0</v>
      </c>
      <c r="AF144" s="415">
        <v>0.0</v>
      </c>
      <c r="AG144" s="415">
        <v>0.0</v>
      </c>
      <c r="AH144" s="415">
        <v>0.0</v>
      </c>
      <c r="AI144" s="415">
        <v>0.0</v>
      </c>
      <c r="AJ144" s="412" t="b">
        <v>0</v>
      </c>
      <c r="AK144" s="412">
        <f t="shared" si="89"/>
        <v>0</v>
      </c>
      <c r="AL144" s="422"/>
      <c r="AM144" s="412"/>
      <c r="AN144" s="412" t="str">
        <f>IFNA(VLOOKUP($A144,'Tube Reactions'!$J$2:$K163,2,FALSE),"")</f>
        <v/>
      </c>
      <c r="AO144" s="395" t="str">
        <f t="shared" si="4"/>
        <v/>
      </c>
      <c r="AP144" s="397" t="str">
        <f t="shared" si="88"/>
        <v>Absent</v>
      </c>
      <c r="AQ144" s="412" t="b">
        <f t="shared" si="6"/>
        <v>1</v>
      </c>
      <c r="AR144" s="412">
        <v>41.0</v>
      </c>
      <c r="AS144" s="402"/>
      <c r="AT144" s="397"/>
      <c r="AU144" s="416" t="s">
        <v>595</v>
      </c>
      <c r="AV144" s="417"/>
      <c r="AW144" s="412" t="b">
        <v>0</v>
      </c>
      <c r="AX144" s="418" t="b">
        <f t="shared" si="7"/>
        <v>0</v>
      </c>
      <c r="AY144" s="412">
        <f t="shared" si="66"/>
        <v>0</v>
      </c>
      <c r="AZ144" s="395"/>
      <c r="BA144" s="419" t="b">
        <v>0</v>
      </c>
      <c r="BB144" s="245" t="str">
        <f t="shared" si="9"/>
        <v/>
      </c>
      <c r="BC144" s="260" t="str">
        <f t="shared" si="10"/>
        <v/>
      </c>
      <c r="BD144" s="260" t="str">
        <f t="shared" si="11"/>
        <v/>
      </c>
      <c r="BE144" s="273" t="b">
        <f t="shared" si="12"/>
        <v>1</v>
      </c>
      <c r="BF144" s="274" t="str">
        <f t="shared" si="13"/>
        <v/>
      </c>
      <c r="BG144" s="275" t="str">
        <f t="shared" si="14"/>
        <v/>
      </c>
      <c r="BH144" s="96" t="str">
        <f t="shared" si="15"/>
        <v/>
      </c>
      <c r="BI144" s="96" t="str">
        <f t="shared" si="16"/>
        <v/>
      </c>
      <c r="BJ144" s="96" t="str">
        <f t="shared" si="17"/>
        <v/>
      </c>
      <c r="BK144" s="96" t="str">
        <f t="shared" si="18"/>
        <v/>
      </c>
      <c r="BL144" s="10">
        <f>IFNA(IF(VLOOKUP(FLOOR($B144,1),'APS Tubes by Date IMPORT'!$B$2:$J163,1,FALSE)=FLOOR($BL143,1),IFERROR(0/0,""),VLOOKUP(FLOOR($B144,1),'APS Tubes by Date IMPORT'!$B$2:$J163,1,FALSE)),"")</f>
        <v>44561</v>
      </c>
      <c r="BM144" s="96">
        <f>IF(ISBLANK($BL144),IFERROR(0/0,""),VLOOKUP(FLOOR($B144,1),'APS Tubes by Date IMPORT'!$B$2:$J163,2,FALSE))</f>
        <v>8</v>
      </c>
    </row>
    <row r="145">
      <c r="A145" s="395" t="str">
        <f>CONCATENATE("RUN-",'Process Ref'!$A$1,"_",TEXT(U145,"YYYY-MM-DD"),"_RFR-",TEXT(AR145,"000"),IF(EXACT(W145,"Initial"),"",CONCATENATE("_",W145)))</f>
        <v>RUN-FLMP_2022-01-02_RFR-045_Exclude</v>
      </c>
      <c r="B145" s="396">
        <v>44563.68828615741</v>
      </c>
      <c r="C145" s="395"/>
      <c r="D145" s="395" t="s">
        <v>442</v>
      </c>
      <c r="E145" s="412">
        <v>4.0</v>
      </c>
      <c r="F145" s="395" t="s">
        <v>1045</v>
      </c>
      <c r="G145" s="399" t="s">
        <v>1046</v>
      </c>
      <c r="H145" s="399"/>
      <c r="I145" s="399" t="s">
        <v>1047</v>
      </c>
      <c r="J145" s="412"/>
      <c r="K145" s="420"/>
      <c r="L145" s="403">
        <v>7.0</v>
      </c>
      <c r="M145" s="404"/>
      <c r="N145" s="404"/>
      <c r="O145" s="405" t="s">
        <v>1048</v>
      </c>
      <c r="P145" s="406" t="b">
        <v>0</v>
      </c>
      <c r="Q145" s="407" t="b">
        <v>0</v>
      </c>
      <c r="R145" s="395"/>
      <c r="S145" s="406" t="b">
        <v>0</v>
      </c>
      <c r="T145" s="408" t="b">
        <v>0</v>
      </c>
      <c r="U145" s="409">
        <v>44563.0</v>
      </c>
      <c r="V145" s="421">
        <v>0.6458333333333334</v>
      </c>
      <c r="W145" s="411" t="s">
        <v>1037</v>
      </c>
      <c r="X145" s="397" t="s">
        <v>1049</v>
      </c>
      <c r="Y145" s="406" t="b">
        <v>0</v>
      </c>
      <c r="Z145" s="398">
        <v>6.0</v>
      </c>
      <c r="AA145" s="412">
        <f t="shared" si="34"/>
        <v>2</v>
      </c>
      <c r="AB145" s="413" t="b">
        <f t="shared" si="2"/>
        <v>0</v>
      </c>
      <c r="AC145" s="414">
        <v>0.0</v>
      </c>
      <c r="AD145" s="415">
        <v>0.0</v>
      </c>
      <c r="AE145" s="415">
        <v>0.0</v>
      </c>
      <c r="AF145" s="415">
        <v>0.0</v>
      </c>
      <c r="AG145" s="415">
        <v>0.0</v>
      </c>
      <c r="AH145" s="415">
        <v>0.0</v>
      </c>
      <c r="AI145" s="415">
        <v>0.0</v>
      </c>
      <c r="AJ145" s="412" t="b">
        <v>0</v>
      </c>
      <c r="AK145" s="415">
        <v>0.0</v>
      </c>
      <c r="AL145" s="403">
        <v>0.0</v>
      </c>
      <c r="AM145" s="412"/>
      <c r="AN145" s="412" t="str">
        <f>IFNA(VLOOKUP($A145,'Tube Reactions'!$J$2:$K163,2,FALSE),"")</f>
        <v/>
      </c>
      <c r="AO145" s="395" t="str">
        <f t="shared" si="4"/>
        <v/>
      </c>
      <c r="AP145" s="397" t="str">
        <f t="shared" si="88"/>
        <v>Absent</v>
      </c>
      <c r="AQ145" s="412" t="b">
        <f t="shared" si="6"/>
        <v>1</v>
      </c>
      <c r="AR145" s="412">
        <v>45.0</v>
      </c>
      <c r="AS145" s="402"/>
      <c r="AT145" s="397" t="s">
        <v>1050</v>
      </c>
      <c r="AU145" s="423"/>
      <c r="AV145" s="417"/>
      <c r="AW145" s="412" t="b">
        <v>0</v>
      </c>
      <c r="AX145" s="418" t="b">
        <f t="shared" si="7"/>
        <v>0</v>
      </c>
      <c r="AY145" s="412">
        <f t="shared" si="66"/>
        <v>0</v>
      </c>
      <c r="AZ145" s="395"/>
      <c r="BA145" s="419" t="b">
        <v>0</v>
      </c>
      <c r="BB145" s="245" t="str">
        <f t="shared" si="9"/>
        <v/>
      </c>
      <c r="BC145" s="260" t="str">
        <f t="shared" si="10"/>
        <v/>
      </c>
      <c r="BD145" s="260" t="str">
        <f t="shared" si="11"/>
        <v/>
      </c>
      <c r="BE145" s="273" t="b">
        <f t="shared" si="12"/>
        <v>1</v>
      </c>
      <c r="BF145" s="274" t="str">
        <f t="shared" si="13"/>
        <v/>
      </c>
      <c r="BG145" s="275" t="str">
        <f t="shared" si="14"/>
        <v/>
      </c>
      <c r="BH145" s="96" t="str">
        <f t="shared" si="15"/>
        <v/>
      </c>
      <c r="BI145" s="96" t="str">
        <f t="shared" si="16"/>
        <v/>
      </c>
      <c r="BJ145" s="96" t="str">
        <f t="shared" si="17"/>
        <v/>
      </c>
      <c r="BK145" s="96" t="str">
        <f t="shared" si="18"/>
        <v/>
      </c>
      <c r="BL145" s="10">
        <f>IFNA(IF(VLOOKUP(FLOOR($B145,1),'APS Tubes by Date IMPORT'!$B$2:$J163,1,FALSE)=FLOOR($BL144,1),IFERROR(0/0,""),VLOOKUP(FLOOR($B145,1),'APS Tubes by Date IMPORT'!$B$2:$J163,1,FALSE)),"")</f>
        <v>44563</v>
      </c>
      <c r="BM145" s="96">
        <f>IF(ISBLANK($BL145),IFERROR(0/0,""),VLOOKUP(FLOOR($B145,1),'APS Tubes by Date IMPORT'!$B$2:$J163,2,FALSE))</f>
        <v>12</v>
      </c>
    </row>
    <row r="146">
      <c r="A146" s="395" t="str">
        <f>CONCATENATE("RUN-",'Process Ref'!$A$1,"_",TEXT(U146,"YYYY-MM-DD"),"_RFR-",TEXT(AR146,"000"),IF(EXACT(W146,"Initial"),"",CONCATENATE("_",W146)))</f>
        <v>RUN-FLMP_2022-01-17_RFR-062_Exclude</v>
      </c>
      <c r="B146" s="396">
        <v>44579.258892962964</v>
      </c>
      <c r="C146" s="395"/>
      <c r="D146" s="395" t="s">
        <v>442</v>
      </c>
      <c r="E146" s="412">
        <v>37.0</v>
      </c>
      <c r="F146" s="395" t="s">
        <v>710</v>
      </c>
      <c r="G146" s="399" t="s">
        <v>711</v>
      </c>
      <c r="H146" s="399"/>
      <c r="I146" s="399" t="s">
        <v>1051</v>
      </c>
      <c r="J146" s="412">
        <v>1.0</v>
      </c>
      <c r="K146" s="420" t="s">
        <v>713</v>
      </c>
      <c r="L146" s="403">
        <v>9.0</v>
      </c>
      <c r="M146" s="404"/>
      <c r="N146" s="404"/>
      <c r="O146" s="405" t="s">
        <v>1052</v>
      </c>
      <c r="P146" s="406" t="b">
        <v>0</v>
      </c>
      <c r="Q146" s="407" t="b">
        <v>0</v>
      </c>
      <c r="R146" s="395"/>
      <c r="S146" s="406" t="b">
        <v>0</v>
      </c>
      <c r="T146" s="408" t="b">
        <v>0</v>
      </c>
      <c r="U146" s="409">
        <v>44578.0</v>
      </c>
      <c r="V146" s="421">
        <v>0.7291666666666666</v>
      </c>
      <c r="W146" s="411" t="s">
        <v>1037</v>
      </c>
      <c r="X146" s="397" t="s">
        <v>715</v>
      </c>
      <c r="Y146" s="406" t="b">
        <v>0</v>
      </c>
      <c r="Z146" s="398">
        <v>37.0</v>
      </c>
      <c r="AA146" s="412">
        <f t="shared" si="34"/>
        <v>0</v>
      </c>
      <c r="AB146" s="413" t="b">
        <f t="shared" si="2"/>
        <v>1</v>
      </c>
      <c r="AC146" s="414">
        <v>0.0</v>
      </c>
      <c r="AD146" s="415">
        <v>0.0</v>
      </c>
      <c r="AE146" s="415">
        <v>0.0</v>
      </c>
      <c r="AF146" s="415">
        <v>0.0</v>
      </c>
      <c r="AG146" s="415">
        <v>0.0</v>
      </c>
      <c r="AH146" s="415">
        <v>0.0</v>
      </c>
      <c r="AI146" s="415">
        <v>0.0</v>
      </c>
      <c r="AJ146" s="412" t="b">
        <v>0</v>
      </c>
      <c r="AK146" s="412">
        <f t="shared" ref="AK146:AK153" si="90">IF(W146="Initial",AC146,IF(AJ146=TRUE,"CORRECT ME",AC146/3))</f>
        <v>0</v>
      </c>
      <c r="AL146" s="422"/>
      <c r="AM146" s="412"/>
      <c r="AN146" s="412" t="str">
        <f>IFNA(VLOOKUP($A146,'Tube Reactions'!$J$2:$K163,2,FALSE),"")</f>
        <v/>
      </c>
      <c r="AO146" s="395" t="str">
        <f t="shared" si="4"/>
        <v/>
      </c>
      <c r="AP146" s="397" t="str">
        <f t="shared" si="88"/>
        <v>Absent</v>
      </c>
      <c r="AQ146" s="412" t="b">
        <f t="shared" si="6"/>
        <v>1</v>
      </c>
      <c r="AR146" s="412">
        <v>62.0</v>
      </c>
      <c r="AS146" s="402"/>
      <c r="AT146" s="397"/>
      <c r="AU146" s="416" t="s">
        <v>626</v>
      </c>
      <c r="AV146" s="417"/>
      <c r="AW146" s="412" t="b">
        <v>0</v>
      </c>
      <c r="AX146" s="418" t="b">
        <f t="shared" si="7"/>
        <v>0</v>
      </c>
      <c r="AY146" s="412">
        <f t="shared" si="66"/>
        <v>0</v>
      </c>
      <c r="AZ146" s="395"/>
      <c r="BA146" s="419" t="b">
        <v>0</v>
      </c>
      <c r="BB146" s="245" t="str">
        <f t="shared" si="9"/>
        <v/>
      </c>
      <c r="BC146" s="260" t="str">
        <f t="shared" si="10"/>
        <v/>
      </c>
      <c r="BD146" s="260" t="str">
        <f t="shared" si="11"/>
        <v/>
      </c>
      <c r="BE146" s="273" t="str">
        <f t="shared" si="12"/>
        <v/>
      </c>
      <c r="BF146" s="274" t="str">
        <f t="shared" si="13"/>
        <v/>
      </c>
      <c r="BG146" s="275" t="str">
        <f t="shared" si="14"/>
        <v/>
      </c>
      <c r="BH146" s="96" t="str">
        <f t="shared" si="15"/>
        <v/>
      </c>
      <c r="BI146" s="96" t="str">
        <f t="shared" si="16"/>
        <v/>
      </c>
      <c r="BJ146" s="96" t="str">
        <f t="shared" si="17"/>
        <v/>
      </c>
      <c r="BK146" s="96" t="str">
        <f t="shared" si="18"/>
        <v/>
      </c>
      <c r="BL146" s="10">
        <f>IFNA(IF(VLOOKUP(FLOOR($B146,1),'APS Tubes by Date IMPORT'!$B$2:$J163,1,FALSE)=FLOOR($BL145,1),IFERROR(0/0,""),VLOOKUP(FLOOR($B146,1),'APS Tubes by Date IMPORT'!$B$2:$J163,1,FALSE)),"")</f>
        <v>44579</v>
      </c>
      <c r="BM146" s="96">
        <f>IF(ISBLANK($BL146),IFERROR(0/0,""),VLOOKUP(FLOOR($B146,1),'APS Tubes by Date IMPORT'!$B$2:$J163,2,FALSE))</f>
        <v>1</v>
      </c>
    </row>
    <row r="147">
      <c r="A147" s="395" t="str">
        <f>CONCATENATE("RUN-",'Process Ref'!$A$1,"_",TEXT(U147,"YYYY-MM-DD"),"_RFR-",TEXT(AR147,"000"),IF(EXACT(W147,"Initial"),"",CONCATENATE("_",W147)))</f>
        <v>RUN-FLMP_2022-01-20_RFR-069_Exclude</v>
      </c>
      <c r="B147" s="396">
        <v>44581.78916645833</v>
      </c>
      <c r="C147" s="395"/>
      <c r="D147" s="395" t="s">
        <v>620</v>
      </c>
      <c r="E147" s="412">
        <v>2.0</v>
      </c>
      <c r="F147" s="395" t="s">
        <v>1053</v>
      </c>
      <c r="G147" s="399" t="s">
        <v>1054</v>
      </c>
      <c r="H147" s="399"/>
      <c r="I147" s="399" t="s">
        <v>1055</v>
      </c>
      <c r="J147" s="412" t="s">
        <v>1056</v>
      </c>
      <c r="K147" s="420" t="s">
        <v>1057</v>
      </c>
      <c r="L147" s="403">
        <v>9.0</v>
      </c>
      <c r="M147" s="404">
        <v>1.2</v>
      </c>
      <c r="N147" s="404"/>
      <c r="O147" s="405" t="s">
        <v>1058</v>
      </c>
      <c r="P147" s="406" t="b">
        <v>0</v>
      </c>
      <c r="Q147" s="407" t="b">
        <v>0</v>
      </c>
      <c r="R147" s="405" t="s">
        <v>1058</v>
      </c>
      <c r="S147" s="406" t="b">
        <v>0</v>
      </c>
      <c r="T147" s="424" t="b">
        <v>1</v>
      </c>
      <c r="U147" s="409">
        <v>44581.0</v>
      </c>
      <c r="V147" s="421"/>
      <c r="W147" s="411" t="s">
        <v>1037</v>
      </c>
      <c r="X147" s="395"/>
      <c r="Y147" s="407" t="b">
        <v>1</v>
      </c>
      <c r="Z147" s="412"/>
      <c r="AA147" s="412">
        <f t="shared" si="34"/>
        <v>-2</v>
      </c>
      <c r="AB147" s="413" t="b">
        <f t="shared" si="2"/>
        <v>1</v>
      </c>
      <c r="AC147" s="414">
        <v>0.0</v>
      </c>
      <c r="AD147" s="415">
        <v>0.0</v>
      </c>
      <c r="AE147" s="415">
        <v>0.0</v>
      </c>
      <c r="AF147" s="415">
        <v>0.0</v>
      </c>
      <c r="AG147" s="415">
        <v>0.0</v>
      </c>
      <c r="AH147" s="415">
        <v>0.0</v>
      </c>
      <c r="AI147" s="415">
        <v>0.0</v>
      </c>
      <c r="AJ147" s="412" t="b">
        <v>0</v>
      </c>
      <c r="AK147" s="412">
        <f t="shared" si="90"/>
        <v>0</v>
      </c>
      <c r="AL147" s="403">
        <v>5.0</v>
      </c>
      <c r="AM147" s="412"/>
      <c r="AN147" s="398" t="str">
        <f>IFNA(VLOOKUP($A147,'Tube Reactions'!$J$2:$K163,2,FALSE),"")</f>
        <v/>
      </c>
      <c r="AO147" s="397" t="str">
        <f t="shared" si="4"/>
        <v/>
      </c>
      <c r="AP147" s="397" t="str">
        <f t="shared" si="88"/>
        <v>Absent</v>
      </c>
      <c r="AQ147" s="412" t="b">
        <f t="shared" si="6"/>
        <v>1</v>
      </c>
      <c r="AR147" s="412">
        <v>69.0</v>
      </c>
      <c r="AS147" s="402" t="s">
        <v>1059</v>
      </c>
      <c r="AT147" s="397"/>
      <c r="AU147" s="416" t="s">
        <v>728</v>
      </c>
      <c r="AV147" s="412"/>
      <c r="AW147" s="395" t="b">
        <v>0</v>
      </c>
      <c r="AX147" s="418" t="b">
        <f t="shared" si="7"/>
        <v>1</v>
      </c>
      <c r="AY147" s="412">
        <f t="shared" si="66"/>
        <v>0</v>
      </c>
      <c r="AZ147" s="395"/>
      <c r="BA147" s="419" t="b">
        <v>0</v>
      </c>
      <c r="BB147" s="245" t="str">
        <f t="shared" si="9"/>
        <v/>
      </c>
      <c r="BC147" s="260" t="str">
        <f t="shared" si="10"/>
        <v/>
      </c>
      <c r="BD147" s="260" t="str">
        <f t="shared" si="11"/>
        <v/>
      </c>
      <c r="BE147" s="273" t="b">
        <f t="shared" si="12"/>
        <v>1</v>
      </c>
      <c r="BF147" s="274" t="str">
        <f t="shared" si="13"/>
        <v/>
      </c>
      <c r="BG147" s="275" t="str">
        <f t="shared" si="14"/>
        <v/>
      </c>
      <c r="BH147" s="96" t="str">
        <f t="shared" si="15"/>
        <v/>
      </c>
      <c r="BI147" s="96" t="str">
        <f t="shared" si="16"/>
        <v/>
      </c>
      <c r="BJ147" s="96" t="str">
        <f t="shared" si="17"/>
        <v/>
      </c>
      <c r="BK147" s="96" t="str">
        <f t="shared" si="18"/>
        <v/>
      </c>
      <c r="BL147" s="10">
        <f>IFNA(IF(VLOOKUP(FLOOR($B147,1),'APS Tubes by Date IMPORT'!$B$2:$J163,1,FALSE)=FLOOR($BL146,1),IFERROR(0/0,""),VLOOKUP(FLOOR($B147,1),'APS Tubes by Date IMPORT'!$B$2:$J163,1,FALSE)),"")</f>
        <v>44581</v>
      </c>
      <c r="BM147" s="96">
        <f>IF(ISBLANK($BL147),IFERROR(0/0,""),VLOOKUP(FLOOR($B147,1),'APS Tubes by Date IMPORT'!$B$2:$J163,2,FALSE))</f>
        <v>29</v>
      </c>
    </row>
    <row r="148">
      <c r="A148" s="395" t="str">
        <f>CONCATENATE("RUN-",'Process Ref'!$A$1,"_",TEXT(U148,"YYYY-MM-DD"),"_RFR-",TEXT(AR148,"000"),IF(EXACT(W148,"Initial"),"",CONCATENATE("_",W148)))</f>
        <v>RUN-FLMP_2022-02-02_RFR-080_Exclude</v>
      </c>
      <c r="B148" s="396">
        <v>44597.20479603009</v>
      </c>
      <c r="C148" s="395"/>
      <c r="D148" s="395" t="s">
        <v>620</v>
      </c>
      <c r="E148" s="412">
        <v>4.0</v>
      </c>
      <c r="F148" s="395"/>
      <c r="G148" s="399" t="s">
        <v>1060</v>
      </c>
      <c r="H148" s="399" t="s">
        <v>1061</v>
      </c>
      <c r="I148" s="399" t="s">
        <v>1062</v>
      </c>
      <c r="J148" s="398">
        <v>6.0</v>
      </c>
      <c r="K148" s="420" t="s">
        <v>1063</v>
      </c>
      <c r="L148" s="403">
        <v>6.0</v>
      </c>
      <c r="M148" s="404"/>
      <c r="N148" s="404"/>
      <c r="O148" s="405"/>
      <c r="P148" s="406" t="b">
        <v>0</v>
      </c>
      <c r="Q148" s="407" t="b">
        <v>0</v>
      </c>
      <c r="R148" s="395"/>
      <c r="S148" s="406" t="b">
        <v>0</v>
      </c>
      <c r="T148" s="408" t="b">
        <v>0</v>
      </c>
      <c r="U148" s="425">
        <v>44594.0</v>
      </c>
      <c r="V148" s="410">
        <v>0.6041666666666666</v>
      </c>
      <c r="W148" s="411" t="s">
        <v>1037</v>
      </c>
      <c r="X148" s="395"/>
      <c r="Y148" s="406" t="b">
        <v>0</v>
      </c>
      <c r="Z148" s="412"/>
      <c r="AA148" s="412">
        <f t="shared" si="34"/>
        <v>-4</v>
      </c>
      <c r="AB148" s="413" t="b">
        <f t="shared" si="2"/>
        <v>1</v>
      </c>
      <c r="AC148" s="414">
        <v>0.0</v>
      </c>
      <c r="AD148" s="415">
        <v>0.0</v>
      </c>
      <c r="AE148" s="415">
        <v>0.0</v>
      </c>
      <c r="AF148" s="415">
        <v>0.0</v>
      </c>
      <c r="AG148" s="415">
        <v>0.0</v>
      </c>
      <c r="AH148" s="415">
        <v>0.0</v>
      </c>
      <c r="AI148" s="415">
        <v>0.0</v>
      </c>
      <c r="AJ148" s="412" t="b">
        <v>0</v>
      </c>
      <c r="AK148" s="412">
        <f t="shared" si="90"/>
        <v>0</v>
      </c>
      <c r="AL148" s="422"/>
      <c r="AM148" s="412"/>
      <c r="AN148" s="412" t="str">
        <f>IFNA(VLOOKUP($A148,'Tube Reactions'!$J$2:$K163,2,FALSE),"")</f>
        <v/>
      </c>
      <c r="AO148" s="395" t="str">
        <f t="shared" si="4"/>
        <v/>
      </c>
      <c r="AP148" s="397" t="str">
        <f t="shared" si="88"/>
        <v/>
      </c>
      <c r="AQ148" s="412" t="b">
        <f t="shared" si="6"/>
        <v>1</v>
      </c>
      <c r="AR148" s="412">
        <v>80.0</v>
      </c>
      <c r="AS148" s="402"/>
      <c r="AT148" s="397"/>
      <c r="AU148" s="423"/>
      <c r="AV148" s="417"/>
      <c r="AW148" s="412" t="b">
        <v>0</v>
      </c>
      <c r="AX148" s="418" t="b">
        <f t="shared" si="7"/>
        <v>0</v>
      </c>
      <c r="AY148" s="412">
        <f t="shared" si="66"/>
        <v>0</v>
      </c>
      <c r="AZ148" s="395"/>
      <c r="BA148" s="419" t="b">
        <v>0</v>
      </c>
      <c r="BB148" s="245" t="str">
        <f t="shared" si="9"/>
        <v/>
      </c>
      <c r="BC148" s="260" t="str">
        <f t="shared" si="10"/>
        <v/>
      </c>
      <c r="BD148" s="260" t="str">
        <f t="shared" si="11"/>
        <v/>
      </c>
      <c r="BE148" s="273" t="str">
        <f t="shared" si="12"/>
        <v/>
      </c>
      <c r="BF148" s="274" t="str">
        <f t="shared" si="13"/>
        <v/>
      </c>
      <c r="BG148" s="275" t="str">
        <f t="shared" si="14"/>
        <v/>
      </c>
      <c r="BH148" s="96" t="str">
        <f t="shared" si="15"/>
        <v/>
      </c>
      <c r="BI148" s="96" t="str">
        <f t="shared" si="16"/>
        <v/>
      </c>
      <c r="BJ148" s="96" t="str">
        <f t="shared" si="17"/>
        <v/>
      </c>
      <c r="BK148" s="96" t="str">
        <f t="shared" si="18"/>
        <v/>
      </c>
      <c r="BL148" s="10">
        <f>IFNA(IF(VLOOKUP(FLOOR($B148,1),'APS Tubes by Date IMPORT'!$B$2:$J163,1,FALSE)=FLOOR($BL147,1),IFERROR(0/0,""),VLOOKUP(FLOOR($B148,1),'APS Tubes by Date IMPORT'!$B$2:$J163,1,FALSE)),"")</f>
        <v>44597</v>
      </c>
      <c r="BM148" s="96">
        <f>IF(ISBLANK($BL148),IFERROR(0/0,""),VLOOKUP(FLOOR($B148,1),'APS Tubes by Date IMPORT'!$B$2:$J163,2,FALSE))</f>
        <v>4</v>
      </c>
    </row>
    <row r="149">
      <c r="A149" s="395" t="str">
        <f>CONCATENATE("RUN-",'Process Ref'!$A$1,"_",TEXT(U149,"YYYY-MM-DD"),"_RFR-",TEXT(AR149,"000"),IF(EXACT(W149,"Initial"),"",CONCATENATE("_",W149)))</f>
        <v>RUN-FLMP_2022-02-04_RFR-081_Exclude</v>
      </c>
      <c r="B149" s="396">
        <v>44597.420334849536</v>
      </c>
      <c r="C149" s="395"/>
      <c r="D149" s="395" t="s">
        <v>620</v>
      </c>
      <c r="E149" s="412">
        <v>6.0</v>
      </c>
      <c r="F149" s="395"/>
      <c r="G149" s="399" t="s">
        <v>1064</v>
      </c>
      <c r="H149" s="399"/>
      <c r="I149" s="399" t="s">
        <v>1065</v>
      </c>
      <c r="J149" s="398">
        <v>6.0</v>
      </c>
      <c r="K149" s="420" t="s">
        <v>1066</v>
      </c>
      <c r="L149" s="403">
        <v>6.0</v>
      </c>
      <c r="M149" s="404"/>
      <c r="N149" s="404"/>
      <c r="O149" s="405"/>
      <c r="P149" s="406" t="b">
        <v>0</v>
      </c>
      <c r="Q149" s="407" t="b">
        <v>0</v>
      </c>
      <c r="R149" s="395"/>
      <c r="S149" s="406" t="b">
        <v>0</v>
      </c>
      <c r="T149" s="408" t="b">
        <v>0</v>
      </c>
      <c r="U149" s="425">
        <v>44596.0</v>
      </c>
      <c r="V149" s="410">
        <v>0.20833333333333334</v>
      </c>
      <c r="W149" s="411" t="s">
        <v>1037</v>
      </c>
      <c r="X149" s="395"/>
      <c r="Y149" s="406" t="b">
        <v>0</v>
      </c>
      <c r="Z149" s="412"/>
      <c r="AA149" s="412">
        <f t="shared" si="34"/>
        <v>-6</v>
      </c>
      <c r="AB149" s="413" t="b">
        <f t="shared" si="2"/>
        <v>1</v>
      </c>
      <c r="AC149" s="414">
        <v>0.0</v>
      </c>
      <c r="AD149" s="415">
        <v>0.0</v>
      </c>
      <c r="AE149" s="415">
        <v>0.0</v>
      </c>
      <c r="AF149" s="415">
        <v>0.0</v>
      </c>
      <c r="AG149" s="415">
        <v>0.0</v>
      </c>
      <c r="AH149" s="415">
        <v>0.0</v>
      </c>
      <c r="AI149" s="415">
        <v>0.0</v>
      </c>
      <c r="AJ149" s="412" t="b">
        <v>0</v>
      </c>
      <c r="AK149" s="412">
        <f t="shared" si="90"/>
        <v>0</v>
      </c>
      <c r="AL149" s="422"/>
      <c r="AM149" s="412"/>
      <c r="AN149" s="412" t="str">
        <f>IFNA(VLOOKUP($A149,'Tube Reactions'!$J$2:$K163,2,FALSE),"")</f>
        <v/>
      </c>
      <c r="AO149" s="395" t="str">
        <f t="shared" si="4"/>
        <v/>
      </c>
      <c r="AP149" s="397" t="str">
        <f t="shared" si="88"/>
        <v>Absent</v>
      </c>
      <c r="AQ149" s="412" t="b">
        <f t="shared" si="6"/>
        <v>1</v>
      </c>
      <c r="AR149" s="412">
        <v>81.0</v>
      </c>
      <c r="AS149" s="402"/>
      <c r="AT149" s="397"/>
      <c r="AU149" s="423"/>
      <c r="AV149" s="417"/>
      <c r="AW149" s="412" t="b">
        <v>0</v>
      </c>
      <c r="AX149" s="418" t="b">
        <f t="shared" si="7"/>
        <v>0</v>
      </c>
      <c r="AY149" s="412">
        <f t="shared" si="66"/>
        <v>0</v>
      </c>
      <c r="AZ149" s="395"/>
      <c r="BA149" s="419" t="b">
        <v>0</v>
      </c>
      <c r="BB149" s="245" t="str">
        <f t="shared" si="9"/>
        <v/>
      </c>
      <c r="BC149" s="260" t="str">
        <f t="shared" si="10"/>
        <v/>
      </c>
      <c r="BD149" s="260" t="str">
        <f t="shared" si="11"/>
        <v/>
      </c>
      <c r="BE149" s="273" t="str">
        <f t="shared" si="12"/>
        <v/>
      </c>
      <c r="BF149" s="274" t="str">
        <f t="shared" si="13"/>
        <v/>
      </c>
      <c r="BG149" s="275" t="str">
        <f t="shared" si="14"/>
        <v/>
      </c>
      <c r="BH149" s="96" t="str">
        <f t="shared" si="15"/>
        <v/>
      </c>
      <c r="BI149" s="96" t="str">
        <f t="shared" si="16"/>
        <v/>
      </c>
      <c r="BJ149" s="96" t="str">
        <f t="shared" si="17"/>
        <v/>
      </c>
      <c r="BK149" s="96" t="str">
        <f t="shared" si="18"/>
        <v/>
      </c>
      <c r="BL149" s="10" t="str">
        <f>IFNA(IF(VLOOKUP(FLOOR($B149,1),'APS Tubes by Date IMPORT'!$B$2:$J163,1,FALSE)=FLOOR($BL148,1),IFERROR(0/0,""),VLOOKUP(FLOOR($B149,1),'APS Tubes by Date IMPORT'!$B$2:$J163,1,FALSE)),"")</f>
        <v/>
      </c>
      <c r="BM149" s="96" t="str">
        <f>IF(ISBLANK($BL149),IFERROR(0/0,""),VLOOKUP(FLOOR($B149,1),'APS Tubes by Date IMPORT'!$B$2:$J163,2,FALSE))</f>
        <v/>
      </c>
    </row>
    <row r="150">
      <c r="A150" s="395" t="str">
        <f>CONCATENATE("RUN-",'Process Ref'!$A$1,"_",TEXT(U150,"YYYY-MM-DD"),"_RFR-",TEXT(AR150,"000"),IF(EXACT(W150,"Initial"),"",CONCATENATE("_",W150)))</f>
        <v>RUN-FLMP_2022-02-05_RFR-082_Exclude</v>
      </c>
      <c r="B150" s="396">
        <v>44597.66976831018</v>
      </c>
      <c r="C150" s="395"/>
      <c r="D150" s="395" t="s">
        <v>442</v>
      </c>
      <c r="E150" s="412">
        <v>4.0</v>
      </c>
      <c r="F150" s="395" t="s">
        <v>1067</v>
      </c>
      <c r="G150" s="399" t="s">
        <v>1068</v>
      </c>
      <c r="H150" s="399" t="s">
        <v>1069</v>
      </c>
      <c r="I150" s="399" t="s">
        <v>1070</v>
      </c>
      <c r="J150" s="398">
        <v>6.0</v>
      </c>
      <c r="K150" s="420" t="s">
        <v>1071</v>
      </c>
      <c r="L150" s="403">
        <v>6.0</v>
      </c>
      <c r="M150" s="404"/>
      <c r="N150" s="404"/>
      <c r="O150" s="405"/>
      <c r="P150" s="406" t="b">
        <v>0</v>
      </c>
      <c r="Q150" s="407" t="b">
        <v>0</v>
      </c>
      <c r="R150" s="395"/>
      <c r="S150" s="406" t="b">
        <v>0</v>
      </c>
      <c r="T150" s="408" t="b">
        <v>0</v>
      </c>
      <c r="U150" s="425">
        <v>44597.0</v>
      </c>
      <c r="V150" s="410">
        <v>0.6388888888888888</v>
      </c>
      <c r="W150" s="411" t="s">
        <v>1037</v>
      </c>
      <c r="X150" s="395"/>
      <c r="Y150" s="406" t="b">
        <v>0</v>
      </c>
      <c r="Z150" s="412"/>
      <c r="AA150" s="412">
        <f t="shared" si="34"/>
        <v>-4</v>
      </c>
      <c r="AB150" s="413" t="b">
        <f t="shared" si="2"/>
        <v>1</v>
      </c>
      <c r="AC150" s="414">
        <v>0.0</v>
      </c>
      <c r="AD150" s="415">
        <v>0.0</v>
      </c>
      <c r="AE150" s="415">
        <v>0.0</v>
      </c>
      <c r="AF150" s="415">
        <v>0.0</v>
      </c>
      <c r="AG150" s="415">
        <v>0.0</v>
      </c>
      <c r="AH150" s="415">
        <v>0.0</v>
      </c>
      <c r="AI150" s="415">
        <v>0.0</v>
      </c>
      <c r="AJ150" s="412" t="b">
        <v>0</v>
      </c>
      <c r="AK150" s="412">
        <f t="shared" si="90"/>
        <v>0</v>
      </c>
      <c r="AL150" s="422"/>
      <c r="AM150" s="412"/>
      <c r="AN150" s="412" t="str">
        <f>IFNA(VLOOKUP($A150,'Tube Reactions'!$J$2:$K163,2,FALSE),"")</f>
        <v/>
      </c>
      <c r="AO150" s="395" t="str">
        <f t="shared" si="4"/>
        <v/>
      </c>
      <c r="AP150" s="397" t="str">
        <f t="shared" si="88"/>
        <v/>
      </c>
      <c r="AQ150" s="412" t="b">
        <f t="shared" si="6"/>
        <v>1</v>
      </c>
      <c r="AR150" s="412">
        <v>82.0</v>
      </c>
      <c r="AS150" s="402"/>
      <c r="AT150" s="397"/>
      <c r="AU150" s="423"/>
      <c r="AV150" s="417"/>
      <c r="AW150" s="412" t="b">
        <v>0</v>
      </c>
      <c r="AX150" s="418" t="b">
        <f t="shared" si="7"/>
        <v>0</v>
      </c>
      <c r="AY150" s="412">
        <f t="shared" si="66"/>
        <v>0</v>
      </c>
      <c r="AZ150" s="395"/>
      <c r="BA150" s="419" t="b">
        <v>0</v>
      </c>
      <c r="BB150" s="245" t="str">
        <f t="shared" si="9"/>
        <v/>
      </c>
      <c r="BC150" s="260" t="str">
        <f t="shared" si="10"/>
        <v/>
      </c>
      <c r="BD150" s="260" t="str">
        <f t="shared" si="11"/>
        <v/>
      </c>
      <c r="BE150" s="273" t="b">
        <f t="shared" si="12"/>
        <v>1</v>
      </c>
      <c r="BF150" s="274" t="str">
        <f t="shared" si="13"/>
        <v/>
      </c>
      <c r="BG150" s="275" t="str">
        <f t="shared" si="14"/>
        <v/>
      </c>
      <c r="BH150" s="96" t="str">
        <f t="shared" si="15"/>
        <v/>
      </c>
      <c r="BI150" s="96" t="str">
        <f t="shared" si="16"/>
        <v/>
      </c>
      <c r="BJ150" s="96" t="str">
        <f t="shared" si="17"/>
        <v/>
      </c>
      <c r="BK150" s="96" t="str">
        <f t="shared" si="18"/>
        <v/>
      </c>
      <c r="BL150" s="10">
        <f>IFNA(IF(VLOOKUP(FLOOR($B150,1),'APS Tubes by Date IMPORT'!$B$2:$J163,1,FALSE)=FLOOR($BL149,1),IFERROR(0/0,""),VLOOKUP(FLOOR($B150,1),'APS Tubes by Date IMPORT'!$B$2:$J163,1,FALSE)),"")</f>
        <v>44597</v>
      </c>
      <c r="BM150" s="96">
        <f>IF(ISBLANK($BL150),IFERROR(0/0,""),VLOOKUP(FLOOR($B150,1),'APS Tubes by Date IMPORT'!$B$2:$J163,2,FALSE))</f>
        <v>4</v>
      </c>
    </row>
    <row r="151">
      <c r="A151" s="395" t="str">
        <f>CONCATENATE("RUN-",'Process Ref'!$A$1,"_",TEXT(U151,"YYYY-MM-DD"),"_RFR-",TEXT(AR151,"000"),IF(EXACT(W151,"Initial"),"",CONCATENATE("_",W151)))</f>
        <v>RUN-FLMP_2022-02-20_RFR-090_Exclude</v>
      </c>
      <c r="B151" s="396">
        <v>44612.14032715278</v>
      </c>
      <c r="C151" s="395"/>
      <c r="D151" s="395" t="s">
        <v>442</v>
      </c>
      <c r="E151" s="412">
        <v>4.0</v>
      </c>
      <c r="F151" s="395"/>
      <c r="G151" s="399" t="s">
        <v>1072</v>
      </c>
      <c r="H151" s="399" t="s">
        <v>1073</v>
      </c>
      <c r="I151" s="399" t="s">
        <v>1074</v>
      </c>
      <c r="J151" s="398">
        <v>6.0</v>
      </c>
      <c r="K151" s="420" t="s">
        <v>1075</v>
      </c>
      <c r="L151" s="403">
        <v>6.0</v>
      </c>
      <c r="M151" s="404"/>
      <c r="N151" s="404"/>
      <c r="O151" s="404"/>
      <c r="P151" s="406" t="b">
        <v>0</v>
      </c>
      <c r="Q151" s="407" t="b">
        <v>0</v>
      </c>
      <c r="R151" s="395"/>
      <c r="S151" s="406" t="b">
        <v>0</v>
      </c>
      <c r="T151" s="408" t="b">
        <v>0</v>
      </c>
      <c r="U151" s="425">
        <v>44612.0</v>
      </c>
      <c r="V151" s="410">
        <v>0.09375</v>
      </c>
      <c r="W151" s="411" t="s">
        <v>1037</v>
      </c>
      <c r="X151" s="395"/>
      <c r="Y151" s="406" t="b">
        <v>0</v>
      </c>
      <c r="Z151" s="412"/>
      <c r="AA151" s="412">
        <f t="shared" si="34"/>
        <v>-4</v>
      </c>
      <c r="AB151" s="413" t="b">
        <f t="shared" si="2"/>
        <v>1</v>
      </c>
      <c r="AC151" s="414">
        <v>0.0</v>
      </c>
      <c r="AD151" s="415">
        <v>0.0</v>
      </c>
      <c r="AE151" s="415">
        <v>0.0</v>
      </c>
      <c r="AF151" s="415">
        <v>0.0</v>
      </c>
      <c r="AG151" s="415">
        <v>0.0</v>
      </c>
      <c r="AH151" s="415">
        <v>0.0</v>
      </c>
      <c r="AI151" s="415">
        <v>0.0</v>
      </c>
      <c r="AJ151" s="412" t="b">
        <v>0</v>
      </c>
      <c r="AK151" s="412">
        <f t="shared" si="90"/>
        <v>0</v>
      </c>
      <c r="AL151" s="422"/>
      <c r="AM151" s="412"/>
      <c r="AN151" s="412" t="str">
        <f>IFNA(VLOOKUP($A151,'Tube Reactions'!$J$2:$K163,2,FALSE),"")</f>
        <v/>
      </c>
      <c r="AO151" s="395" t="str">
        <f t="shared" si="4"/>
        <v/>
      </c>
      <c r="AP151" s="397" t="str">
        <f t="shared" si="88"/>
        <v/>
      </c>
      <c r="AQ151" s="412" t="b">
        <f t="shared" si="6"/>
        <v>1</v>
      </c>
      <c r="AR151" s="412">
        <v>90.0</v>
      </c>
      <c r="AS151" s="402"/>
      <c r="AT151" s="397"/>
      <c r="AU151" s="423"/>
      <c r="AV151" s="417"/>
      <c r="AW151" s="412" t="b">
        <v>0</v>
      </c>
      <c r="AX151" s="418" t="b">
        <f t="shared" si="7"/>
        <v>0</v>
      </c>
      <c r="AY151" s="412">
        <f t="shared" si="66"/>
        <v>0</v>
      </c>
      <c r="AZ151" s="395"/>
      <c r="BA151" s="419" t="b">
        <v>1</v>
      </c>
      <c r="BB151" s="245" t="b">
        <f t="shared" si="9"/>
        <v>0</v>
      </c>
      <c r="BC151" s="260" t="str">
        <f t="shared" si="10"/>
        <v/>
      </c>
      <c r="BD151" s="260" t="str">
        <f t="shared" si="11"/>
        <v/>
      </c>
      <c r="BE151" s="273" t="b">
        <f t="shared" si="12"/>
        <v>1</v>
      </c>
      <c r="BF151" s="274" t="str">
        <f t="shared" si="13"/>
        <v/>
      </c>
      <c r="BG151" s="275" t="str">
        <f t="shared" si="14"/>
        <v/>
      </c>
      <c r="BH151" s="96" t="str">
        <f t="shared" si="15"/>
        <v/>
      </c>
      <c r="BI151" s="96" t="str">
        <f t="shared" si="16"/>
        <v/>
      </c>
      <c r="BJ151" s="96" t="str">
        <f t="shared" si="17"/>
        <v/>
      </c>
      <c r="BK151" s="96" t="str">
        <f t="shared" si="18"/>
        <v/>
      </c>
      <c r="BL151" s="10" t="str">
        <f>IFNA(IF(VLOOKUP(FLOOR($B151,1),'APS Tubes by Date IMPORT'!$B$2:$J163,1,FALSE)=FLOOR($BL150,1),IFERROR(0/0,""),VLOOKUP(FLOOR($B151,1),'APS Tubes by Date IMPORT'!$B$2:$J163,1,FALSE)),"")</f>
        <v/>
      </c>
      <c r="BM151" s="96" t="str">
        <f>IF(ISBLANK($BL151),IFERROR(0/0,""),VLOOKUP(FLOOR($B151,1),'APS Tubes by Date IMPORT'!$B$2:$J163,2,FALSE))</f>
        <v/>
      </c>
    </row>
    <row r="152">
      <c r="A152" s="395" t="str">
        <f>CONCATENATE("RUN-",'Process Ref'!$A$1,"_",TEXT(U152,"YYYY-MM-DD"),"_RFR-",TEXT(AR152,"000"),IF(EXACT(W152,"Initial"),"",CONCATENATE("_",W152)))</f>
        <v>RUN-FLMP_2022-03-03_RFR-095_Exclude</v>
      </c>
      <c r="B152" s="396">
        <v>44627.37853555556</v>
      </c>
      <c r="C152" s="395"/>
      <c r="D152" s="395" t="s">
        <v>442</v>
      </c>
      <c r="E152" s="412">
        <v>27.0</v>
      </c>
      <c r="F152" s="395" t="s">
        <v>812</v>
      </c>
      <c r="G152" s="399" t="s">
        <v>1076</v>
      </c>
      <c r="H152" s="399"/>
      <c r="I152" s="399" t="s">
        <v>1077</v>
      </c>
      <c r="J152" s="412">
        <v>1.0</v>
      </c>
      <c r="K152" s="420"/>
      <c r="L152" s="403">
        <v>4.0</v>
      </c>
      <c r="M152" s="404"/>
      <c r="N152" s="404"/>
      <c r="O152" s="405" t="s">
        <v>1078</v>
      </c>
      <c r="P152" s="406" t="b">
        <v>0</v>
      </c>
      <c r="Q152" s="407" t="b">
        <v>0</v>
      </c>
      <c r="R152" s="395"/>
      <c r="S152" s="406" t="b">
        <v>0</v>
      </c>
      <c r="T152" s="408" t="b">
        <v>0</v>
      </c>
      <c r="U152" s="425">
        <v>44623.0</v>
      </c>
      <c r="V152" s="410">
        <v>0.375</v>
      </c>
      <c r="W152" s="411" t="s">
        <v>1037</v>
      </c>
      <c r="X152" s="395"/>
      <c r="Y152" s="406" t="b">
        <v>0</v>
      </c>
      <c r="Z152" s="412"/>
      <c r="AA152" s="412">
        <f t="shared" si="34"/>
        <v>-27</v>
      </c>
      <c r="AB152" s="413" t="b">
        <f t="shared" si="2"/>
        <v>1</v>
      </c>
      <c r="AC152" s="414">
        <v>0.0</v>
      </c>
      <c r="AD152" s="415">
        <v>0.0</v>
      </c>
      <c r="AE152" s="415">
        <v>0.0</v>
      </c>
      <c r="AF152" s="415">
        <v>0.0</v>
      </c>
      <c r="AG152" s="415">
        <v>0.0</v>
      </c>
      <c r="AH152" s="415">
        <v>0.0</v>
      </c>
      <c r="AI152" s="415">
        <v>0.0</v>
      </c>
      <c r="AJ152" s="412" t="b">
        <v>0</v>
      </c>
      <c r="AK152" s="412">
        <f t="shared" si="90"/>
        <v>0</v>
      </c>
      <c r="AL152" s="422"/>
      <c r="AM152" s="412"/>
      <c r="AN152" s="412" t="str">
        <f>IFNA(VLOOKUP($A152,'Tube Reactions'!$J$2:$K163,2,FALSE),"")</f>
        <v/>
      </c>
      <c r="AO152" s="395" t="str">
        <f t="shared" si="4"/>
        <v/>
      </c>
      <c r="AP152" s="397" t="str">
        <f t="shared" si="88"/>
        <v>Absent</v>
      </c>
      <c r="AQ152" s="412" t="b">
        <f t="shared" si="6"/>
        <v>1</v>
      </c>
      <c r="AR152" s="412">
        <v>95.0</v>
      </c>
      <c r="AS152" s="402"/>
      <c r="AT152" s="397"/>
      <c r="AU152" s="416" t="s">
        <v>603</v>
      </c>
      <c r="AV152" s="417"/>
      <c r="AW152" s="395" t="b">
        <v>0</v>
      </c>
      <c r="AX152" s="418" t="b">
        <f t="shared" si="7"/>
        <v>0</v>
      </c>
      <c r="AY152" s="412">
        <f t="shared" si="66"/>
        <v>0</v>
      </c>
      <c r="AZ152" s="395"/>
      <c r="BA152" s="419" t="b">
        <v>1</v>
      </c>
      <c r="BB152" s="245" t="b">
        <f t="shared" si="9"/>
        <v>0</v>
      </c>
      <c r="BC152" s="260" t="str">
        <f t="shared" si="10"/>
        <v/>
      </c>
      <c r="BD152" s="260" t="str">
        <f t="shared" si="11"/>
        <v/>
      </c>
      <c r="BE152" s="273" t="str">
        <f t="shared" si="12"/>
        <v/>
      </c>
      <c r="BF152" s="274" t="str">
        <f t="shared" si="13"/>
        <v/>
      </c>
      <c r="BG152" s="275" t="str">
        <f t="shared" si="14"/>
        <v/>
      </c>
      <c r="BH152" s="96" t="str">
        <f t="shared" si="15"/>
        <v/>
      </c>
      <c r="BI152" s="96" t="str">
        <f t="shared" si="16"/>
        <v/>
      </c>
      <c r="BJ152" s="96" t="str">
        <f t="shared" si="17"/>
        <v/>
      </c>
      <c r="BK152" s="96" t="str">
        <f t="shared" si="18"/>
        <v/>
      </c>
      <c r="BL152" s="10">
        <f>IFNA(IF(VLOOKUP(FLOOR($B152,1),'APS Tubes by Date IMPORT'!$B$2:$J163,1,FALSE)=FLOOR($BL151,1),IFERROR(0/0,""),VLOOKUP(FLOOR($B152,1),'APS Tubes by Date IMPORT'!$B$2:$J163,1,FALSE)),"")</f>
        <v>44627</v>
      </c>
      <c r="BM152" s="96">
        <f>IF(ISBLANK($BL152),IFERROR(0/0,""),VLOOKUP(FLOOR($B152,1),'APS Tubes by Date IMPORT'!$B$2:$J163,2,FALSE))</f>
        <v>18</v>
      </c>
    </row>
    <row r="153">
      <c r="A153" s="395" t="str">
        <f>CONCATENATE("RUN-",'Process Ref'!$A$1,"_",TEXT(U153,"YYYY-MM-DD"),"_RFR-",TEXT(AR153,"000"),IF(EXACT(W153,"Initial"),"",CONCATENATE("_",W153)))</f>
        <v>RUN-FLMP_2022-04-28_RFR-119_Exclude</v>
      </c>
      <c r="B153" s="396">
        <v>44679.52964927083</v>
      </c>
      <c r="C153" s="395"/>
      <c r="D153" s="395" t="s">
        <v>442</v>
      </c>
      <c r="E153" s="412"/>
      <c r="F153" s="395" t="s">
        <v>892</v>
      </c>
      <c r="G153" s="399" t="s">
        <v>893</v>
      </c>
      <c r="H153" s="400"/>
      <c r="I153" s="399" t="s">
        <v>1079</v>
      </c>
      <c r="J153" s="412"/>
      <c r="K153" s="420" t="s">
        <v>1080</v>
      </c>
      <c r="L153" s="403">
        <v>8.0</v>
      </c>
      <c r="M153" s="404"/>
      <c r="N153" s="404"/>
      <c r="O153" s="405" t="s">
        <v>1081</v>
      </c>
      <c r="P153" s="406" t="b">
        <v>0</v>
      </c>
      <c r="Q153" s="426" t="b">
        <v>1</v>
      </c>
      <c r="R153" s="395" t="s">
        <v>1081</v>
      </c>
      <c r="S153" s="426" t="b">
        <v>1</v>
      </c>
      <c r="T153" s="427" t="b">
        <v>1</v>
      </c>
      <c r="U153" s="425">
        <v>44679.0</v>
      </c>
      <c r="V153" s="428">
        <v>0.44027777777777777</v>
      </c>
      <c r="W153" s="411" t="s">
        <v>1037</v>
      </c>
      <c r="X153" s="429"/>
      <c r="Y153" s="426" t="b">
        <v>0</v>
      </c>
      <c r="Z153" s="415"/>
      <c r="AA153" s="412">
        <f t="shared" si="34"/>
        <v>0</v>
      </c>
      <c r="AB153" s="408" t="b">
        <f t="shared" si="2"/>
        <v>1</v>
      </c>
      <c r="AC153" s="414">
        <v>0.0</v>
      </c>
      <c r="AD153" s="415">
        <v>0.0</v>
      </c>
      <c r="AE153" s="415">
        <v>0.0</v>
      </c>
      <c r="AF153" s="415">
        <v>0.0</v>
      </c>
      <c r="AG153" s="415">
        <v>0.0</v>
      </c>
      <c r="AH153" s="415">
        <f>IF(W153="Initial",AG153,(IF(AJ153=TRUE,"CORRECT ME",AG153/3)))</f>
        <v>0</v>
      </c>
      <c r="AI153" s="415">
        <v>0.0</v>
      </c>
      <c r="AJ153" s="430" t="b">
        <v>0</v>
      </c>
      <c r="AK153" s="415">
        <f t="shared" si="90"/>
        <v>0</v>
      </c>
      <c r="AL153" s="414">
        <v>0.0</v>
      </c>
      <c r="AM153" s="412"/>
      <c r="AN153" s="415" t="str">
        <f>IFNA(VLOOKUP($A153,'Tube Reactions'!$J$2:$K163,2,FALSE),"")</f>
        <v/>
      </c>
      <c r="AO153" s="431" t="str">
        <f t="shared" si="4"/>
        <v/>
      </c>
      <c r="AP153" s="432" t="str">
        <f t="shared" si="88"/>
        <v>Absent</v>
      </c>
      <c r="AQ153" s="412" t="b">
        <f t="shared" si="6"/>
        <v>1</v>
      </c>
      <c r="AR153" s="412">
        <v>119.0</v>
      </c>
      <c r="AS153" s="429"/>
      <c r="AT153" s="429"/>
      <c r="AU153" s="433" t="s">
        <v>646</v>
      </c>
      <c r="AV153" s="415"/>
      <c r="AW153" s="426" t="b">
        <v>0</v>
      </c>
      <c r="AX153" s="418" t="b">
        <f t="shared" si="7"/>
        <v>0</v>
      </c>
      <c r="AY153" s="406">
        <f t="shared" si="66"/>
        <v>0</v>
      </c>
      <c r="AZ153" s="406"/>
      <c r="BA153" s="419" t="b">
        <v>0</v>
      </c>
      <c r="BB153" s="245" t="str">
        <f t="shared" si="9"/>
        <v/>
      </c>
      <c r="BC153" s="260" t="str">
        <f t="shared" si="10"/>
        <v/>
      </c>
      <c r="BD153" s="260" t="str">
        <f t="shared" si="11"/>
        <v/>
      </c>
      <c r="BE153" s="273" t="b">
        <f t="shared" si="12"/>
        <v>1</v>
      </c>
      <c r="BF153" s="274" t="str">
        <f t="shared" si="13"/>
        <v/>
      </c>
      <c r="BG153" s="275" t="str">
        <f t="shared" si="14"/>
        <v/>
      </c>
      <c r="BH153" s="96" t="str">
        <f t="shared" si="15"/>
        <v/>
      </c>
      <c r="BI153" s="96" t="str">
        <f t="shared" si="16"/>
        <v/>
      </c>
      <c r="BJ153" s="96" t="str">
        <f t="shared" si="17"/>
        <v/>
      </c>
      <c r="BK153" s="96" t="str">
        <f t="shared" si="18"/>
        <v/>
      </c>
      <c r="BL153" s="10">
        <f>IFNA(IF(VLOOKUP(FLOOR($B153,1),'APS Tubes by Date IMPORT'!$B$2:$J163,1,FALSE)=FLOOR($BL152,1),IFERROR(0/0,""),VLOOKUP(FLOOR($B153,1),'APS Tubes by Date IMPORT'!$B$2:$J163,1,FALSE)),"")</f>
        <v>44679</v>
      </c>
      <c r="BM153" s="96">
        <f>IF(ISBLANK($BL153),IFERROR(0/0,""),VLOOKUP(FLOOR($B153,1),'APS Tubes by Date IMPORT'!$B$2:$J163,2,FALSE))</f>
        <v>26</v>
      </c>
    </row>
    <row r="154">
      <c r="A154" s="254"/>
      <c r="B154" s="246"/>
      <c r="C154" s="256"/>
      <c r="D154" s="256"/>
      <c r="E154" s="250"/>
      <c r="F154" s="256"/>
      <c r="G154" s="249"/>
      <c r="H154" s="282"/>
      <c r="I154" s="249"/>
      <c r="J154" s="250"/>
      <c r="K154" s="313"/>
      <c r="L154" s="248"/>
      <c r="M154" s="252"/>
      <c r="N154" s="252"/>
      <c r="O154" s="253"/>
      <c r="P154" s="254"/>
      <c r="Q154" s="286"/>
      <c r="R154" s="256"/>
      <c r="S154" s="286"/>
      <c r="T154" s="286"/>
      <c r="U154" s="288"/>
      <c r="V154" s="289"/>
      <c r="W154" s="290"/>
      <c r="X154" s="291"/>
      <c r="Y154" s="286"/>
      <c r="Z154" s="292"/>
      <c r="AA154" s="250"/>
      <c r="AB154" s="254"/>
      <c r="AC154" s="292"/>
      <c r="AD154" s="292"/>
      <c r="AE154" s="292"/>
      <c r="AF154" s="292"/>
      <c r="AG154" s="292"/>
      <c r="AH154" s="292"/>
      <c r="AI154" s="292"/>
      <c r="AJ154" s="305"/>
      <c r="AK154" s="292"/>
      <c r="AL154" s="292"/>
      <c r="AM154" s="250"/>
      <c r="AN154" s="292"/>
      <c r="AO154" s="434"/>
      <c r="AP154" s="435"/>
      <c r="AQ154" s="436"/>
      <c r="AR154" s="250"/>
      <c r="AS154" s="291"/>
      <c r="AT154" s="291"/>
      <c r="AU154" s="299"/>
      <c r="AV154" s="292"/>
      <c r="AW154" s="286"/>
      <c r="AX154" s="437"/>
      <c r="AY154" s="254"/>
      <c r="AZ154" s="254"/>
      <c r="BA154" s="250"/>
      <c r="BB154" s="256"/>
      <c r="BC154" s="250"/>
      <c r="BD154" s="250"/>
    </row>
    <row r="155">
      <c r="A155" s="254"/>
      <c r="B155" s="246"/>
      <c r="C155" s="256"/>
      <c r="D155" s="256"/>
      <c r="E155" s="250"/>
      <c r="F155" s="256"/>
      <c r="G155" s="249"/>
      <c r="H155" s="282"/>
      <c r="I155" s="249"/>
      <c r="J155" s="250"/>
      <c r="K155" s="313"/>
      <c r="L155" s="248"/>
      <c r="M155" s="252"/>
      <c r="N155" s="252"/>
      <c r="O155" s="253"/>
      <c r="P155" s="254"/>
      <c r="Q155" s="286"/>
      <c r="R155" s="256"/>
      <c r="S155" s="286"/>
      <c r="T155" s="286"/>
      <c r="U155" s="288"/>
      <c r="V155" s="289"/>
      <c r="W155" s="290"/>
      <c r="X155" s="291"/>
      <c r="Y155" s="286"/>
      <c r="Z155" s="292"/>
      <c r="AA155" s="250"/>
      <c r="AB155" s="254"/>
      <c r="AC155" s="292"/>
      <c r="AD155" s="292"/>
      <c r="AE155" s="292"/>
      <c r="AF155" s="292"/>
      <c r="AG155" s="292"/>
      <c r="AH155" s="292"/>
      <c r="AI155" s="292"/>
      <c r="AJ155" s="305"/>
      <c r="AK155" s="292"/>
      <c r="AL155" s="292"/>
      <c r="AM155" s="250"/>
      <c r="AN155" s="292"/>
      <c r="AO155" s="434"/>
      <c r="AP155" s="435"/>
      <c r="AQ155" s="436"/>
      <c r="AR155" s="250"/>
      <c r="AS155" s="291"/>
      <c r="AT155" s="291"/>
      <c r="AU155" s="299"/>
      <c r="AV155" s="292"/>
      <c r="AW155" s="286"/>
      <c r="AX155" s="437"/>
      <c r="AY155" s="254"/>
      <c r="AZ155" s="254"/>
      <c r="BA155" s="250"/>
      <c r="BB155" s="256"/>
      <c r="BC155" s="250"/>
      <c r="BD155" s="250"/>
    </row>
    <row r="156">
      <c r="A156" s="254"/>
      <c r="B156" s="246"/>
      <c r="C156" s="256"/>
      <c r="D156" s="256"/>
      <c r="E156" s="250"/>
      <c r="F156" s="256"/>
      <c r="G156" s="249"/>
      <c r="H156" s="282"/>
      <c r="I156" s="249"/>
      <c r="J156" s="250"/>
      <c r="K156" s="313"/>
      <c r="L156" s="248"/>
      <c r="M156" s="252"/>
      <c r="N156" s="252"/>
      <c r="O156" s="253"/>
      <c r="P156" s="254"/>
      <c r="Q156" s="286"/>
      <c r="R156" s="256"/>
      <c r="S156" s="286"/>
      <c r="T156" s="286"/>
      <c r="U156" s="288"/>
      <c r="V156" s="289"/>
      <c r="W156" s="290"/>
      <c r="X156" s="291"/>
      <c r="Y156" s="286"/>
      <c r="Z156" s="292"/>
      <c r="AA156" s="250"/>
      <c r="AB156" s="254"/>
      <c r="AC156" s="292"/>
      <c r="AD156" s="292"/>
      <c r="AE156" s="292"/>
      <c r="AF156" s="292"/>
      <c r="AG156" s="292"/>
      <c r="AH156" s="292"/>
      <c r="AI156" s="292"/>
      <c r="AJ156" s="305"/>
      <c r="AK156" s="292"/>
      <c r="AL156" s="292"/>
      <c r="AM156" s="250"/>
      <c r="AN156" s="292"/>
      <c r="AO156" s="434"/>
      <c r="AP156" s="435"/>
      <c r="AQ156" s="436"/>
      <c r="AR156" s="250"/>
      <c r="AS156" s="291"/>
      <c r="AT156" s="291"/>
      <c r="AU156" s="299"/>
      <c r="AV156" s="292"/>
      <c r="AW156" s="286"/>
      <c r="AX156" s="437"/>
      <c r="AY156" s="254"/>
      <c r="AZ156" s="254"/>
      <c r="BA156" s="250"/>
      <c r="BB156" s="256"/>
      <c r="BC156" s="250"/>
      <c r="BD156" s="250"/>
    </row>
    <row r="157">
      <c r="A157" s="254"/>
      <c r="B157" s="246"/>
      <c r="C157" s="256"/>
      <c r="D157" s="256"/>
      <c r="E157" s="250"/>
      <c r="F157" s="256"/>
      <c r="G157" s="249"/>
      <c r="H157" s="282"/>
      <c r="I157" s="249"/>
      <c r="J157" s="250"/>
      <c r="K157" s="313"/>
      <c r="L157" s="248"/>
      <c r="M157" s="252"/>
      <c r="N157" s="252"/>
      <c r="O157" s="253"/>
      <c r="P157" s="254"/>
      <c r="Q157" s="286"/>
      <c r="R157" s="256"/>
      <c r="S157" s="286"/>
      <c r="T157" s="286"/>
      <c r="U157" s="288"/>
      <c r="V157" s="289"/>
      <c r="W157" s="290"/>
      <c r="X157" s="291"/>
      <c r="Y157" s="286"/>
      <c r="Z157" s="292"/>
      <c r="AA157" s="250"/>
      <c r="AB157" s="254"/>
      <c r="AC157" s="292"/>
      <c r="AD157" s="292"/>
      <c r="AE157" s="292"/>
      <c r="AF157" s="292"/>
      <c r="AG157" s="292"/>
      <c r="AH157" s="292"/>
      <c r="AI157" s="292"/>
      <c r="AJ157" s="305"/>
      <c r="AK157" s="292"/>
      <c r="AL157" s="292"/>
      <c r="AM157" s="250"/>
      <c r="AN157" s="292"/>
      <c r="AO157" s="434"/>
      <c r="AP157" s="435"/>
      <c r="AQ157" s="436"/>
      <c r="AR157" s="250"/>
      <c r="AS157" s="291"/>
      <c r="AT157" s="291"/>
      <c r="AU157" s="299"/>
      <c r="AV157" s="292"/>
      <c r="AW157" s="286"/>
      <c r="AX157" s="437"/>
      <c r="AY157" s="254"/>
      <c r="AZ157" s="254"/>
      <c r="BA157" s="250"/>
      <c r="BB157" s="256"/>
      <c r="BC157" s="250"/>
      <c r="BD157" s="250"/>
    </row>
    <row r="158">
      <c r="A158" s="254"/>
      <c r="B158" s="246"/>
      <c r="C158" s="256"/>
      <c r="D158" s="256"/>
      <c r="E158" s="250"/>
      <c r="F158" s="256"/>
      <c r="G158" s="249"/>
      <c r="H158" s="282"/>
      <c r="I158" s="249"/>
      <c r="J158" s="250"/>
      <c r="K158" s="313"/>
      <c r="L158" s="248"/>
      <c r="M158" s="252"/>
      <c r="N158" s="252"/>
      <c r="O158" s="253"/>
      <c r="P158" s="254"/>
      <c r="Q158" s="286"/>
      <c r="R158" s="256"/>
      <c r="S158" s="286"/>
      <c r="T158" s="286"/>
      <c r="U158" s="288"/>
      <c r="V158" s="289"/>
      <c r="W158" s="290"/>
      <c r="X158" s="291"/>
      <c r="Y158" s="286"/>
      <c r="Z158" s="292"/>
      <c r="AA158" s="250"/>
      <c r="AB158" s="254"/>
      <c r="AC158" s="292"/>
      <c r="AD158" s="292"/>
      <c r="AE158" s="292"/>
      <c r="AF158" s="292"/>
      <c r="AG158" s="292"/>
      <c r="AH158" s="292"/>
      <c r="AI158" s="292"/>
      <c r="AJ158" s="305"/>
      <c r="AK158" s="292"/>
      <c r="AL158" s="292"/>
      <c r="AM158" s="250"/>
      <c r="AN158" s="292"/>
      <c r="AO158" s="434"/>
      <c r="AP158" s="435"/>
      <c r="AQ158" s="436"/>
      <c r="AR158" s="250"/>
      <c r="AS158" s="291"/>
      <c r="AT158" s="291"/>
      <c r="AU158" s="299"/>
      <c r="AV158" s="292"/>
      <c r="AW158" s="286"/>
      <c r="AX158" s="437"/>
      <c r="AY158" s="254"/>
      <c r="AZ158" s="254"/>
      <c r="BA158" s="250"/>
      <c r="BB158" s="256"/>
      <c r="BC158" s="250"/>
      <c r="BD158" s="250"/>
    </row>
    <row r="159">
      <c r="A159" s="254"/>
      <c r="B159" s="246"/>
      <c r="C159" s="256"/>
      <c r="D159" s="256"/>
      <c r="E159" s="250"/>
      <c r="F159" s="256"/>
      <c r="G159" s="249"/>
      <c r="H159" s="282"/>
      <c r="I159" s="249"/>
      <c r="J159" s="250"/>
      <c r="K159" s="313"/>
      <c r="L159" s="248"/>
      <c r="M159" s="252"/>
      <c r="N159" s="252"/>
      <c r="O159" s="253"/>
      <c r="P159" s="254"/>
      <c r="Q159" s="286"/>
      <c r="R159" s="256"/>
      <c r="S159" s="286"/>
      <c r="T159" s="286"/>
      <c r="U159" s="288"/>
      <c r="V159" s="289"/>
      <c r="W159" s="290"/>
      <c r="X159" s="291"/>
      <c r="Y159" s="286"/>
      <c r="Z159" s="292"/>
      <c r="AA159" s="250"/>
      <c r="AB159" s="254"/>
      <c r="AC159" s="292"/>
      <c r="AD159" s="292"/>
      <c r="AE159" s="292"/>
      <c r="AF159" s="292"/>
      <c r="AG159" s="292"/>
      <c r="AH159" s="292"/>
      <c r="AI159" s="292"/>
      <c r="AJ159" s="305"/>
      <c r="AK159" s="292"/>
      <c r="AL159" s="292"/>
      <c r="AM159" s="250"/>
      <c r="AN159" s="292"/>
      <c r="AO159" s="434"/>
      <c r="AP159" s="435"/>
      <c r="AQ159" s="436"/>
      <c r="AR159" s="250"/>
      <c r="AS159" s="291"/>
      <c r="AT159" s="291"/>
      <c r="AU159" s="299"/>
      <c r="AV159" s="292"/>
      <c r="AW159" s="286"/>
      <c r="AX159" s="437"/>
      <c r="AY159" s="254"/>
      <c r="AZ159" s="254"/>
      <c r="BA159" s="250"/>
      <c r="BB159" s="256"/>
      <c r="BC159" s="250"/>
      <c r="BD159" s="250"/>
    </row>
    <row r="160">
      <c r="A160" s="254"/>
      <c r="B160" s="246"/>
      <c r="C160" s="256"/>
      <c r="D160" s="256"/>
      <c r="E160" s="250"/>
      <c r="F160" s="256"/>
      <c r="G160" s="249"/>
      <c r="H160" s="282"/>
      <c r="I160" s="249"/>
      <c r="J160" s="250"/>
      <c r="K160" s="313"/>
      <c r="L160" s="248"/>
      <c r="M160" s="252"/>
      <c r="N160" s="252"/>
      <c r="O160" s="253"/>
      <c r="P160" s="254"/>
      <c r="Q160" s="286"/>
      <c r="R160" s="256"/>
      <c r="S160" s="286"/>
      <c r="T160" s="286"/>
      <c r="U160" s="288"/>
      <c r="V160" s="289"/>
      <c r="W160" s="290"/>
      <c r="X160" s="291"/>
      <c r="Y160" s="286"/>
      <c r="Z160" s="292"/>
      <c r="AA160" s="250"/>
      <c r="AB160" s="254"/>
      <c r="AC160" s="292"/>
      <c r="AD160" s="292"/>
      <c r="AE160" s="292"/>
      <c r="AF160" s="292"/>
      <c r="AG160" s="292"/>
      <c r="AH160" s="292"/>
      <c r="AI160" s="292"/>
      <c r="AJ160" s="305"/>
      <c r="AK160" s="292"/>
      <c r="AL160" s="292"/>
      <c r="AM160" s="250"/>
      <c r="AN160" s="292"/>
      <c r="AO160" s="434"/>
      <c r="AP160" s="435"/>
      <c r="AQ160" s="436"/>
      <c r="AR160" s="250"/>
      <c r="AS160" s="291"/>
      <c r="AT160" s="291"/>
      <c r="AU160" s="299"/>
      <c r="AV160" s="292"/>
      <c r="AW160" s="286"/>
      <c r="AX160" s="437"/>
      <c r="AY160" s="254"/>
      <c r="AZ160" s="254"/>
      <c r="BA160" s="250"/>
      <c r="BB160" s="256"/>
      <c r="BC160" s="250"/>
      <c r="BD160" s="250"/>
    </row>
    <row r="161">
      <c r="A161" s="254"/>
      <c r="B161" s="246"/>
      <c r="C161" s="256"/>
      <c r="D161" s="256"/>
      <c r="E161" s="250"/>
      <c r="F161" s="256"/>
      <c r="G161" s="249"/>
      <c r="H161" s="282"/>
      <c r="I161" s="249"/>
      <c r="J161" s="250"/>
      <c r="K161" s="313"/>
      <c r="L161" s="248"/>
      <c r="M161" s="252"/>
      <c r="N161" s="252"/>
      <c r="O161" s="253"/>
      <c r="P161" s="254"/>
      <c r="Q161" s="286"/>
      <c r="R161" s="256"/>
      <c r="S161" s="286"/>
      <c r="T161" s="286"/>
      <c r="U161" s="288"/>
      <c r="V161" s="289"/>
      <c r="W161" s="290"/>
      <c r="X161" s="291"/>
      <c r="Y161" s="286"/>
      <c r="Z161" s="292"/>
      <c r="AA161" s="250"/>
      <c r="AB161" s="254"/>
      <c r="AC161" s="292"/>
      <c r="AD161" s="292"/>
      <c r="AE161" s="292"/>
      <c r="AF161" s="292"/>
      <c r="AG161" s="292"/>
      <c r="AH161" s="292"/>
      <c r="AI161" s="292"/>
      <c r="AJ161" s="305"/>
      <c r="AK161" s="292"/>
      <c r="AL161" s="292"/>
      <c r="AM161" s="250"/>
      <c r="AN161" s="292"/>
      <c r="AO161" s="434"/>
      <c r="AP161" s="435"/>
      <c r="AQ161" s="436"/>
      <c r="AR161" s="250"/>
      <c r="AS161" s="291"/>
      <c r="AT161" s="291"/>
      <c r="AU161" s="299"/>
      <c r="AV161" s="292"/>
      <c r="AW161" s="286"/>
      <c r="AX161" s="437"/>
      <c r="AY161" s="254"/>
      <c r="AZ161" s="254"/>
      <c r="BA161" s="250"/>
      <c r="BB161" s="256"/>
      <c r="BC161" s="250"/>
      <c r="BD161" s="250"/>
    </row>
    <row r="162">
      <c r="A162" s="254"/>
      <c r="B162" s="246"/>
      <c r="C162" s="256"/>
      <c r="D162" s="256"/>
      <c r="E162" s="250"/>
      <c r="F162" s="256"/>
      <c r="G162" s="249"/>
      <c r="H162" s="282"/>
      <c r="I162" s="249"/>
      <c r="J162" s="250"/>
      <c r="K162" s="313"/>
      <c r="L162" s="248"/>
      <c r="M162" s="252"/>
      <c r="N162" s="252"/>
      <c r="O162" s="253"/>
      <c r="P162" s="254"/>
      <c r="Q162" s="286"/>
      <c r="R162" s="256"/>
      <c r="S162" s="286"/>
      <c r="T162" s="286"/>
      <c r="U162" s="288"/>
      <c r="V162" s="289"/>
      <c r="W162" s="290"/>
      <c r="X162" s="291"/>
      <c r="Y162" s="286"/>
      <c r="Z162" s="292"/>
      <c r="AA162" s="250"/>
      <c r="AB162" s="254"/>
      <c r="AC162" s="292"/>
      <c r="AD162" s="292"/>
      <c r="AE162" s="292"/>
      <c r="AF162" s="292"/>
      <c r="AG162" s="292"/>
      <c r="AH162" s="292"/>
      <c r="AI162" s="292"/>
      <c r="AJ162" s="305"/>
      <c r="AK162" s="292"/>
      <c r="AL162" s="292"/>
      <c r="AM162" s="250"/>
      <c r="AN162" s="292"/>
      <c r="AO162" s="434"/>
      <c r="AP162" s="435"/>
      <c r="AQ162" s="436"/>
      <c r="AR162" s="250"/>
      <c r="AS162" s="291"/>
      <c r="AT162" s="291"/>
      <c r="AU162" s="299"/>
      <c r="AV162" s="292"/>
      <c r="AW162" s="286"/>
      <c r="AX162" s="437"/>
      <c r="AY162" s="254"/>
      <c r="AZ162" s="254"/>
      <c r="BA162" s="250"/>
      <c r="BB162" s="256"/>
      <c r="BC162" s="250"/>
      <c r="BD162" s="250"/>
    </row>
    <row r="163">
      <c r="A163" s="254"/>
      <c r="B163" s="246"/>
      <c r="C163" s="256"/>
      <c r="D163" s="256"/>
      <c r="E163" s="250"/>
      <c r="F163" s="256"/>
      <c r="G163" s="249"/>
      <c r="H163" s="282"/>
      <c r="I163" s="249"/>
      <c r="J163" s="250"/>
      <c r="K163" s="313"/>
      <c r="L163" s="248"/>
      <c r="M163" s="252"/>
      <c r="N163" s="252"/>
      <c r="O163" s="253"/>
      <c r="P163" s="254"/>
      <c r="Q163" s="286"/>
      <c r="R163" s="256"/>
      <c r="S163" s="286"/>
      <c r="T163" s="286"/>
      <c r="U163" s="288"/>
      <c r="V163" s="289"/>
      <c r="W163" s="290"/>
      <c r="X163" s="291"/>
      <c r="Y163" s="286"/>
      <c r="Z163" s="292"/>
      <c r="AA163" s="250"/>
      <c r="AB163" s="254"/>
      <c r="AC163" s="292"/>
      <c r="AD163" s="292"/>
      <c r="AE163" s="292"/>
      <c r="AF163" s="292"/>
      <c r="AG163" s="292"/>
      <c r="AH163" s="292"/>
      <c r="AI163" s="292"/>
      <c r="AJ163" s="305"/>
      <c r="AK163" s="292"/>
      <c r="AL163" s="292"/>
      <c r="AM163" s="250"/>
      <c r="AN163" s="292"/>
      <c r="AO163" s="434"/>
      <c r="AP163" s="435"/>
      <c r="AQ163" s="436"/>
      <c r="AR163" s="250"/>
      <c r="AS163" s="291"/>
      <c r="AT163" s="291"/>
      <c r="AU163" s="299"/>
      <c r="AV163" s="292"/>
      <c r="AW163" s="286"/>
      <c r="AX163" s="437"/>
      <c r="AY163" s="254"/>
      <c r="AZ163" s="254"/>
      <c r="BA163" s="250"/>
      <c r="BB163" s="256"/>
      <c r="BC163" s="250"/>
      <c r="BD163" s="250"/>
    </row>
  </sheetData>
  <customSheetViews>
    <customSheetView guid="{E986A890-26EE-4740-845B-C7FF659190F2}" filter="1" showAutoFilter="1">
      <autoFilter ref="$A$1:$AU$153">
        <filterColumn colId="46">
          <filters blank="1">
            <filter val="XX 12/15"/>
            <filter val="RT 12/15"/>
            <filter val="RT 12/16"/>
            <filter val="RT 12/18"/>
            <filter val="RT 12/19"/>
            <filter val="BS 12/19"/>
            <filter val="BS 12/16"/>
            <filter val="BS 12/15"/>
            <filter val="RT 12/20"/>
          </filters>
        </filterColumn>
      </autoFilter>
    </customSheetView>
    <customSheetView guid="{7156FDE6-1C07-40D5-B851-42B52731230B}" filter="1" showAutoFilter="1">
      <autoFilter ref="$A$1:$AU$153">
        <filterColumn colId="46">
          <filters>
            <filter val="XX 12/15"/>
            <filter val="GW 12/19"/>
            <filter val="GW 12/15"/>
            <filter val="GW 12/16"/>
            <filter val="RT 12/20"/>
          </filters>
        </filterColumn>
      </autoFilter>
    </customSheetView>
    <customSheetView guid="{7BC1B78F-EB68-4772-BC31-0EE4354248C0}" filter="1" showAutoFilter="1">
      <autoFilter ref="$A$1:$AU$153">
        <filterColumn colId="22">
          <filters>
            <filter val="Re-run"/>
            <filter val="Exclude"/>
          </filters>
        </filterColumn>
      </autoFilter>
    </customSheetView>
    <customSheetView guid="{0714B692-5A3A-468E-A63E-1D61A206D053}" filter="1" showAutoFilter="1">
      <autoFilter ref="$B$1:$B$153"/>
    </customSheetView>
    <customSheetView guid="{1495D248-3936-408F-99D8-E62B2520EE42}" filter="1" showAutoFilter="1">
      <autoFilter ref="$A$1:$AU$153">
        <filterColumn colId="46">
          <filters>
            <filter val="XX 12/15"/>
            <filter val="GW 12/19"/>
            <filter val="GW 12/15"/>
            <filter val="GW 12/16"/>
            <filter val="RT 12/20"/>
          </filters>
        </filterColumn>
      </autoFilter>
    </customSheetView>
    <customSheetView guid="{C214D747-B90E-4CE1-91F6-8040445326DB}" filter="1" showAutoFilter="1">
      <autoFilter ref="$A$1:$AZ$153">
        <filterColumn colId="37">
          <filters>
            <filter val="1"/>
            <filter val="2"/>
            <filter val="1.1"/>
            <filter val="4"/>
            <filter val="5"/>
            <filter val="1.2"/>
            <filter val="1.4"/>
            <filter val="1.6"/>
          </filters>
        </filterColumn>
        <filterColumn colId="48">
          <filters>
            <filter val="TRUE"/>
          </filters>
        </filterColumn>
      </autoFilter>
    </customSheetView>
    <customSheetView guid="{A7DD64B8-08AF-4A16-AEB0-4FD0AC4E09C3}" filter="1" showAutoFilter="1">
      <autoFilter ref="$A$1:$AV$153">
        <filterColumn colId="46">
          <filters>
            <filter val="XX 12/15"/>
            <filter val="GW 12/19"/>
            <filter val="GW 12/15"/>
            <filter val="GW 12/16"/>
            <filter val="RT 12/20"/>
          </filters>
        </filterColumn>
      </autoFilter>
    </customSheetView>
  </customSheetViews>
  <conditionalFormatting sqref="P2:Q163">
    <cfRule type="cellIs" dxfId="4" priority="1" operator="equal">
      <formula>"TRUE"</formula>
    </cfRule>
  </conditionalFormatting>
  <conditionalFormatting sqref="S2:T163">
    <cfRule type="cellIs" dxfId="5" priority="2" operator="equal">
      <formula>"TRUE"</formula>
    </cfRule>
  </conditionalFormatting>
  <conditionalFormatting sqref="Y2:Y163">
    <cfRule type="cellIs" dxfId="6" priority="3" operator="equal">
      <formula>"TRUE"</formula>
    </cfRule>
  </conditionalFormatting>
  <conditionalFormatting sqref="AE2:AE163">
    <cfRule type="cellIs" dxfId="7" priority="4" operator="greaterThan">
      <formula>0</formula>
    </cfRule>
  </conditionalFormatting>
  <conditionalFormatting sqref="AF2:AF163">
    <cfRule type="cellIs" dxfId="8" priority="5" operator="greaterThan">
      <formula>0</formula>
    </cfRule>
  </conditionalFormatting>
  <conditionalFormatting sqref="AH2:AH163">
    <cfRule type="cellIs" dxfId="9" priority="6" operator="greaterThan">
      <formula>0</formula>
    </cfRule>
  </conditionalFormatting>
  <conditionalFormatting sqref="AI1:AI163">
    <cfRule type="cellIs" dxfId="10" priority="7" operator="greaterThan">
      <formula>0</formula>
    </cfRule>
  </conditionalFormatting>
  <conditionalFormatting sqref="B2:B163">
    <cfRule type="expression" dxfId="6" priority="8">
      <formula>#REF!&gt;=5</formula>
    </cfRule>
  </conditionalFormatting>
  <conditionalFormatting sqref="AX2:AX163">
    <cfRule type="cellIs" dxfId="9" priority="9" operator="equal">
      <formula>"FALSE"</formula>
    </cfRule>
  </conditionalFormatting>
  <conditionalFormatting sqref="AY2:AY163">
    <cfRule type="cellIs" dxfId="11" priority="10" operator="greaterThan">
      <formula>2</formula>
    </cfRule>
  </conditionalFormatting>
  <conditionalFormatting sqref="AY2:AY163">
    <cfRule type="cellIs" dxfId="9" priority="11" operator="lessThan">
      <formula>2</formula>
    </cfRule>
  </conditionalFormatting>
  <conditionalFormatting sqref="BB2:BB163">
    <cfRule type="cellIs" dxfId="0" priority="12" operator="equal">
      <formula>"FALSE"</formula>
    </cfRule>
  </conditionalFormatting>
  <hyperlinks>
    <hyperlink r:id="rId2" ref="G2"/>
    <hyperlink r:id="rId3" ref="I2"/>
    <hyperlink r:id="rId4" ref="G3"/>
    <hyperlink r:id="rId5" ref="I3"/>
    <hyperlink r:id="rId6" ref="G4"/>
    <hyperlink r:id="rId7" ref="I4"/>
    <hyperlink r:id="rId8" ref="G5"/>
    <hyperlink r:id="rId9" ref="I5"/>
    <hyperlink r:id="rId10" ref="G6"/>
    <hyperlink r:id="rId11" ref="I6"/>
    <hyperlink r:id="rId12" ref="G7"/>
    <hyperlink r:id="rId13" ref="I7"/>
    <hyperlink r:id="rId14" ref="G8"/>
    <hyperlink r:id="rId15" ref="I8"/>
    <hyperlink r:id="rId16" ref="G9"/>
    <hyperlink r:id="rId17" ref="H9"/>
    <hyperlink r:id="rId18" ref="I9"/>
    <hyperlink r:id="rId19" ref="G10"/>
    <hyperlink r:id="rId20" ref="I10"/>
    <hyperlink r:id="rId21" ref="G11"/>
    <hyperlink r:id="rId22" ref="I11"/>
    <hyperlink r:id="rId23" ref="G12"/>
    <hyperlink r:id="rId24" ref="I12"/>
    <hyperlink r:id="rId25" ref="G13"/>
    <hyperlink r:id="rId26" ref="I13"/>
    <hyperlink r:id="rId27" ref="G14"/>
    <hyperlink r:id="rId28" ref="G15"/>
    <hyperlink r:id="rId29" ref="H15"/>
    <hyperlink r:id="rId30" ref="I15"/>
    <hyperlink r:id="rId31" ref="G16"/>
    <hyperlink r:id="rId32" ref="I16"/>
    <hyperlink r:id="rId33" ref="G17"/>
    <hyperlink r:id="rId34" ref="I17"/>
    <hyperlink r:id="rId35" ref="G18"/>
    <hyperlink r:id="rId36" ref="I18"/>
    <hyperlink r:id="rId37" ref="G19"/>
    <hyperlink r:id="rId38" ref="I19"/>
    <hyperlink r:id="rId39" ref="G20"/>
    <hyperlink r:id="rId40" ref="I20"/>
    <hyperlink r:id="rId41" ref="G21"/>
    <hyperlink r:id="rId42" ref="I21"/>
    <hyperlink r:id="rId43" ref="G22"/>
    <hyperlink r:id="rId44" ref="I22"/>
    <hyperlink r:id="rId45" ref="G23"/>
    <hyperlink r:id="rId46" ref="I23"/>
    <hyperlink r:id="rId47" ref="G24"/>
    <hyperlink r:id="rId48" ref="I24"/>
    <hyperlink r:id="rId49" ref="G25"/>
    <hyperlink r:id="rId50" ref="I25"/>
    <hyperlink r:id="rId51" ref="G26"/>
    <hyperlink r:id="rId52" ref="I26"/>
    <hyperlink r:id="rId53" ref="G27"/>
    <hyperlink r:id="rId54" ref="I27"/>
    <hyperlink r:id="rId55" ref="G28"/>
    <hyperlink r:id="rId56" ref="I28"/>
    <hyperlink r:id="rId57" ref="G29"/>
    <hyperlink r:id="rId58" ref="I29"/>
    <hyperlink r:id="rId59" ref="G30"/>
    <hyperlink r:id="rId60" ref="I30"/>
    <hyperlink r:id="rId61" ref="G31"/>
    <hyperlink r:id="rId62" ref="I31"/>
    <hyperlink r:id="rId63" ref="G32"/>
    <hyperlink r:id="rId64" ref="I32"/>
    <hyperlink r:id="rId65" ref="G33"/>
    <hyperlink r:id="rId66" ref="I33"/>
    <hyperlink r:id="rId67" ref="G34"/>
    <hyperlink r:id="rId68" ref="I34"/>
    <hyperlink r:id="rId69" ref="G35"/>
    <hyperlink r:id="rId70" ref="I35"/>
    <hyperlink r:id="rId71" ref="G36"/>
    <hyperlink r:id="rId72" ref="I36"/>
    <hyperlink r:id="rId73" ref="G37"/>
    <hyperlink r:id="rId74" ref="G38"/>
    <hyperlink r:id="rId75" ref="I38"/>
    <hyperlink r:id="rId76" ref="G39"/>
    <hyperlink r:id="rId77" ref="I39"/>
    <hyperlink r:id="rId78" ref="G40"/>
    <hyperlink r:id="rId79" ref="H40"/>
    <hyperlink r:id="rId80" ref="I40"/>
    <hyperlink r:id="rId81" ref="G41"/>
    <hyperlink r:id="rId82" ref="I41"/>
    <hyperlink r:id="rId83" ref="G42"/>
    <hyperlink r:id="rId84" ref="H42"/>
    <hyperlink r:id="rId85" ref="I42"/>
    <hyperlink r:id="rId86" ref="G43"/>
    <hyperlink r:id="rId87" ref="I43"/>
    <hyperlink r:id="rId88" ref="G44"/>
    <hyperlink r:id="rId89" ref="I44"/>
    <hyperlink r:id="rId90" ref="G45"/>
    <hyperlink r:id="rId91" ref="H45"/>
    <hyperlink r:id="rId92" ref="I45"/>
    <hyperlink r:id="rId93" ref="G46"/>
    <hyperlink r:id="rId94" ref="I46"/>
    <hyperlink r:id="rId95" ref="G47"/>
    <hyperlink r:id="rId96" ref="I47"/>
    <hyperlink r:id="rId97" ref="G48"/>
    <hyperlink r:id="rId98" ref="I48"/>
    <hyperlink r:id="rId99" ref="G49"/>
    <hyperlink r:id="rId100" ref="I49"/>
    <hyperlink r:id="rId101" ref="G50"/>
    <hyperlink r:id="rId102" ref="I50"/>
    <hyperlink r:id="rId103" ref="G51"/>
    <hyperlink r:id="rId104" ref="I51"/>
    <hyperlink r:id="rId105" ref="G52"/>
    <hyperlink r:id="rId106" ref="I52"/>
    <hyperlink r:id="rId107" ref="G53"/>
    <hyperlink r:id="rId108" ref="I53"/>
    <hyperlink r:id="rId109" ref="G54"/>
    <hyperlink r:id="rId110" ref="I54"/>
    <hyperlink r:id="rId111" ref="G55"/>
    <hyperlink r:id="rId112" ref="I55"/>
    <hyperlink r:id="rId113" ref="G56"/>
    <hyperlink r:id="rId114" ref="I56"/>
    <hyperlink r:id="rId115" ref="G57"/>
    <hyperlink r:id="rId116" ref="I57"/>
    <hyperlink r:id="rId117" ref="AS57"/>
    <hyperlink r:id="rId118" ref="G58"/>
    <hyperlink r:id="rId119" ref="I58"/>
    <hyperlink r:id="rId120" ref="G59"/>
    <hyperlink r:id="rId121" ref="I59"/>
    <hyperlink r:id="rId122" ref="G60"/>
    <hyperlink r:id="rId123" ref="I60"/>
    <hyperlink r:id="rId124" ref="G61"/>
    <hyperlink r:id="rId125" ref="I61"/>
    <hyperlink r:id="rId126" ref="G62"/>
    <hyperlink r:id="rId127" ref="I62"/>
    <hyperlink r:id="rId128" ref="G63"/>
    <hyperlink r:id="rId129" ref="I63"/>
    <hyperlink r:id="rId130" ref="G64"/>
    <hyperlink r:id="rId131" ref="I64"/>
    <hyperlink r:id="rId132" ref="G65"/>
    <hyperlink r:id="rId133" ref="H65"/>
    <hyperlink r:id="rId134" ref="I65"/>
    <hyperlink r:id="rId135" ref="G66"/>
    <hyperlink r:id="rId136" ref="H66"/>
    <hyperlink r:id="rId137" ref="I66"/>
    <hyperlink r:id="rId138" ref="G67"/>
    <hyperlink r:id="rId139" ref="I67"/>
    <hyperlink r:id="rId140" ref="AS67"/>
    <hyperlink r:id="rId141" ref="G68"/>
    <hyperlink r:id="rId142" ref="H68"/>
    <hyperlink r:id="rId143" ref="I68"/>
    <hyperlink r:id="rId144" ref="G69"/>
    <hyperlink r:id="rId145" ref="I69"/>
    <hyperlink r:id="rId146" ref="G70"/>
    <hyperlink r:id="rId147" ref="I70"/>
    <hyperlink r:id="rId148" ref="G71"/>
    <hyperlink r:id="rId149" ref="I71"/>
    <hyperlink r:id="rId150" ref="G72"/>
    <hyperlink r:id="rId151" ref="I72"/>
    <hyperlink r:id="rId152" ref="G73"/>
    <hyperlink r:id="rId153" ref="I73"/>
    <hyperlink r:id="rId154" ref="G74"/>
    <hyperlink r:id="rId155" ref="I74"/>
    <hyperlink r:id="rId156" ref="G75"/>
    <hyperlink r:id="rId157" ref="I75"/>
    <hyperlink r:id="rId158" ref="G76"/>
    <hyperlink r:id="rId159" ref="I76"/>
    <hyperlink r:id="rId160" ref="G77"/>
    <hyperlink r:id="rId161" ref="I77"/>
    <hyperlink r:id="rId162" ref="G78"/>
    <hyperlink r:id="rId163" ref="I78"/>
    <hyperlink r:id="rId164" ref="G79"/>
    <hyperlink r:id="rId165" ref="I79"/>
    <hyperlink r:id="rId166" ref="G80"/>
    <hyperlink r:id="rId167" ref="I80"/>
    <hyperlink r:id="rId168" ref="G81"/>
    <hyperlink r:id="rId169" ref="I81"/>
    <hyperlink r:id="rId170" ref="G82"/>
    <hyperlink r:id="rId171" ref="I82"/>
    <hyperlink r:id="rId172" ref="G83"/>
    <hyperlink r:id="rId173" ref="H83"/>
    <hyperlink r:id="rId174" ref="I83"/>
    <hyperlink r:id="rId175" ref="G84"/>
    <hyperlink r:id="rId176" ref="I84"/>
    <hyperlink r:id="rId177" ref="G85"/>
    <hyperlink r:id="rId178" ref="I85"/>
    <hyperlink r:id="rId179" ref="G86"/>
    <hyperlink r:id="rId180" ref="I86"/>
    <hyperlink r:id="rId181" ref="G87"/>
    <hyperlink r:id="rId182" ref="I87"/>
    <hyperlink r:id="rId183" ref="G88"/>
    <hyperlink r:id="rId184" ref="I88"/>
    <hyperlink r:id="rId185" ref="G89"/>
    <hyperlink r:id="rId186" ref="G90"/>
    <hyperlink r:id="rId187" ref="I90"/>
    <hyperlink r:id="rId188" ref="G91"/>
    <hyperlink r:id="rId189" ref="I91"/>
    <hyperlink r:id="rId190" ref="G92"/>
    <hyperlink r:id="rId191" ref="I92"/>
    <hyperlink r:id="rId192" ref="G93"/>
    <hyperlink r:id="rId193" ref="I93"/>
    <hyperlink r:id="rId194" ref="G94"/>
    <hyperlink r:id="rId195" ref="I94"/>
    <hyperlink r:id="rId196" ref="G95"/>
    <hyperlink r:id="rId197" ref="I95"/>
    <hyperlink r:id="rId198" ref="G96"/>
    <hyperlink r:id="rId199" ref="I96"/>
    <hyperlink r:id="rId200" ref="G97"/>
    <hyperlink r:id="rId201" ref="I97"/>
    <hyperlink r:id="rId202" ref="G98"/>
    <hyperlink r:id="rId203" ref="I98"/>
    <hyperlink r:id="rId204" ref="G99"/>
    <hyperlink r:id="rId205" ref="I99"/>
    <hyperlink r:id="rId206" ref="G100"/>
    <hyperlink r:id="rId207" ref="I100"/>
    <hyperlink r:id="rId208" ref="G101"/>
    <hyperlink r:id="rId209" ref="I101"/>
    <hyperlink r:id="rId210" ref="G102"/>
    <hyperlink r:id="rId211" ref="I102"/>
    <hyperlink r:id="rId212" ref="G103"/>
    <hyperlink r:id="rId213" ref="I103"/>
    <hyperlink r:id="rId214" ref="G104"/>
    <hyperlink r:id="rId215" ref="I104"/>
    <hyperlink r:id="rId216" ref="G105"/>
    <hyperlink r:id="rId217" ref="I105"/>
    <hyperlink r:id="rId218" ref="G106"/>
    <hyperlink r:id="rId219" ref="I106"/>
    <hyperlink r:id="rId220" ref="G107"/>
    <hyperlink r:id="rId221" ref="I107"/>
    <hyperlink r:id="rId222" ref="G108"/>
    <hyperlink r:id="rId223" ref="I108"/>
    <hyperlink r:id="rId224" ref="G109"/>
    <hyperlink r:id="rId225" ref="I109"/>
    <hyperlink r:id="rId226" ref="G110"/>
    <hyperlink r:id="rId227" ref="I110"/>
    <hyperlink r:id="rId228" ref="G111"/>
    <hyperlink r:id="rId229" ref="I111"/>
    <hyperlink r:id="rId230" ref="G112"/>
    <hyperlink r:id="rId231" ref="I112"/>
    <hyperlink r:id="rId232" ref="G113"/>
    <hyperlink r:id="rId233" ref="I113"/>
    <hyperlink r:id="rId234" ref="I114"/>
    <hyperlink r:id="rId235" ref="G115"/>
    <hyperlink r:id="rId236" ref="I115"/>
    <hyperlink r:id="rId237" ref="G116"/>
    <hyperlink r:id="rId238" ref="I116"/>
    <hyperlink r:id="rId239" ref="G117"/>
    <hyperlink r:id="rId240" ref="H117"/>
    <hyperlink r:id="rId241" ref="I117"/>
    <hyperlink r:id="rId242" ref="G118"/>
    <hyperlink r:id="rId243" ref="H118"/>
    <hyperlink r:id="rId244" ref="I118"/>
    <hyperlink r:id="rId245" ref="G119"/>
    <hyperlink r:id="rId246" ref="I119"/>
    <hyperlink r:id="rId247" ref="G120"/>
    <hyperlink r:id="rId248" ref="H120"/>
    <hyperlink r:id="rId249" ref="I120"/>
    <hyperlink r:id="rId250" ref="G121"/>
    <hyperlink r:id="rId251" ref="I121"/>
    <hyperlink r:id="rId252" ref="G122"/>
    <hyperlink r:id="rId253" ref="I122"/>
    <hyperlink r:id="rId254" ref="G123"/>
    <hyperlink r:id="rId255" ref="I123"/>
    <hyperlink r:id="rId256" ref="G124"/>
    <hyperlink r:id="rId257" ref="I124"/>
    <hyperlink r:id="rId258" ref="G125"/>
    <hyperlink r:id="rId259" ref="I125"/>
    <hyperlink r:id="rId260" ref="G126"/>
    <hyperlink r:id="rId261" ref="I126"/>
    <hyperlink r:id="rId262" ref="G127"/>
    <hyperlink r:id="rId263" ref="I127"/>
    <hyperlink r:id="rId264" ref="AS127"/>
    <hyperlink r:id="rId265" ref="G128"/>
    <hyperlink r:id="rId266" ref="H128"/>
    <hyperlink r:id="rId267" ref="I128"/>
    <hyperlink r:id="rId268" ref="G129"/>
    <hyperlink r:id="rId269" ref="I129"/>
    <hyperlink r:id="rId270" ref="G130"/>
    <hyperlink r:id="rId271" ref="I130"/>
    <hyperlink r:id="rId272" ref="G131"/>
    <hyperlink r:id="rId273" ref="I131"/>
    <hyperlink r:id="rId274" ref="G132"/>
    <hyperlink r:id="rId275" ref="I132"/>
    <hyperlink r:id="rId276" ref="G133"/>
    <hyperlink r:id="rId277" ref="H133"/>
    <hyperlink r:id="rId278" ref="I133"/>
    <hyperlink r:id="rId279" ref="G134"/>
    <hyperlink r:id="rId280" ref="H134"/>
    <hyperlink r:id="rId281" ref="I134"/>
    <hyperlink r:id="rId282" ref="G135"/>
    <hyperlink r:id="rId283" ref="H135"/>
    <hyperlink r:id="rId284" ref="I135"/>
    <hyperlink r:id="rId285" ref="G136"/>
    <hyperlink r:id="rId286" ref="H136"/>
    <hyperlink r:id="rId287" ref="I136"/>
    <hyperlink r:id="rId288" ref="G137"/>
    <hyperlink r:id="rId289" ref="H137"/>
    <hyperlink r:id="rId290" ref="I137"/>
    <hyperlink r:id="rId291" ref="G138"/>
    <hyperlink r:id="rId292" ref="I138"/>
    <hyperlink r:id="rId293" ref="G139"/>
    <hyperlink r:id="rId294" ref="H139"/>
    <hyperlink r:id="rId295" ref="I139"/>
    <hyperlink r:id="rId296" ref="G140"/>
    <hyperlink r:id="rId297" ref="I140"/>
    <hyperlink r:id="rId298" ref="G141"/>
    <hyperlink r:id="rId299" ref="I141"/>
    <hyperlink r:id="rId300" ref="G142"/>
    <hyperlink r:id="rId301" ref="I142"/>
    <hyperlink r:id="rId302" ref="G143"/>
    <hyperlink r:id="rId303" ref="I143"/>
    <hyperlink r:id="rId304" ref="G144"/>
    <hyperlink r:id="rId305" ref="I144"/>
    <hyperlink r:id="rId306" ref="G145"/>
    <hyperlink r:id="rId307" ref="I145"/>
    <hyperlink r:id="rId308" ref="G146"/>
    <hyperlink r:id="rId309" ref="I146"/>
    <hyperlink r:id="rId310" ref="G147"/>
    <hyperlink r:id="rId311" ref="I147"/>
    <hyperlink r:id="rId312" ref="G148"/>
    <hyperlink r:id="rId313" ref="H148"/>
    <hyperlink r:id="rId314" ref="I148"/>
    <hyperlink r:id="rId315" ref="G149"/>
    <hyperlink r:id="rId316" ref="I149"/>
    <hyperlink r:id="rId317" ref="G150"/>
    <hyperlink r:id="rId318" ref="H150"/>
    <hyperlink r:id="rId319" ref="I150"/>
    <hyperlink r:id="rId320" ref="G151"/>
    <hyperlink r:id="rId321" ref="H151"/>
    <hyperlink r:id="rId322" ref="I151"/>
    <hyperlink r:id="rId323" ref="G152"/>
    <hyperlink r:id="rId324" ref="I152"/>
    <hyperlink r:id="rId325" ref="G153"/>
    <hyperlink r:id="rId326" ref="I153"/>
  </hyperlinks>
  <drawing r:id="rId327"/>
  <legacyDrawing r:id="rId328"/>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25"/>
    <col customWidth="1" min="2" max="2" width="29.38"/>
    <col customWidth="1" min="3" max="3" width="16.13"/>
    <col customWidth="1" min="4" max="4" width="14.25"/>
    <col customWidth="1" min="5" max="5" width="12.38"/>
    <col customWidth="1" min="6" max="6" width="18.0"/>
    <col customWidth="1" min="7" max="7" width="40.75"/>
    <col customWidth="1" min="8" max="8" width="9.75"/>
    <col customWidth="1" min="9" max="9" width="10.63"/>
    <col customWidth="1" min="10" max="10" width="13.63"/>
    <col customWidth="1" min="11" max="11" width="9.25"/>
  </cols>
  <sheetData>
    <row r="1">
      <c r="A1" s="85" t="s">
        <v>1082</v>
      </c>
      <c r="B1" s="50" t="s">
        <v>1083</v>
      </c>
      <c r="C1" s="50" t="s">
        <v>1084</v>
      </c>
      <c r="D1" s="85" t="s">
        <v>1085</v>
      </c>
      <c r="E1" s="85" t="s">
        <v>1086</v>
      </c>
      <c r="F1" s="85" t="s">
        <v>1087</v>
      </c>
      <c r="G1" s="85" t="s">
        <v>1088</v>
      </c>
      <c r="H1" s="438">
        <f>IFERROR(__xludf.DUMMYFUNCTION("IF(MAX(H2:H133)=COUNTUNIQUE(H2:H133),MAX(H2:H133)+1,""ERROR"")"),20.0)</f>
        <v>20</v>
      </c>
      <c r="I1" s="439" t="s">
        <v>1089</v>
      </c>
      <c r="J1" s="439" t="s">
        <v>1090</v>
      </c>
      <c r="K1" s="79" t="s">
        <v>1091</v>
      </c>
      <c r="L1" s="440" t="s">
        <v>1092</v>
      </c>
    </row>
    <row r="2">
      <c r="A2" s="18" t="s">
        <v>1093</v>
      </c>
      <c r="B2" s="103" t="str">
        <f>VLOOKUP(A2,'ALL Tube Results'!A$2:B133,2,FALSE)</f>
        <v>RUN-FLMP_2021-11-29_RFR-007</v>
      </c>
      <c r="C2" s="8" t="s">
        <v>1094</v>
      </c>
      <c r="D2" s="441">
        <v>2.2</v>
      </c>
      <c r="E2" s="441">
        <v>2.1</v>
      </c>
      <c r="F2" s="441">
        <v>4.0</v>
      </c>
      <c r="H2" s="89" t="s">
        <v>1095</v>
      </c>
      <c r="I2" s="60">
        <f t="shared" ref="I2:I133" si="1">VALUE(MID(C2,8,3))</f>
        <v>7</v>
      </c>
      <c r="J2" s="30" t="str">
        <f t="shared" ref="J2:J62" si="2">IF(C2&lt;&gt;C1,C2,"")</f>
        <v>R_FLMP-007</v>
      </c>
      <c r="K2" s="60">
        <f t="shared" ref="K2:K133" si="3">COUNTIF($C$2:$C133,$J2)</f>
        <v>1</v>
      </c>
      <c r="M2" s="442"/>
      <c r="N2" s="138"/>
    </row>
    <row r="3">
      <c r="A3" s="18" t="s">
        <v>1096</v>
      </c>
      <c r="B3" s="103" t="str">
        <f>VLOOKUP(A3,'ALL Tube Results'!A$2:B133,2,FALSE)</f>
        <v>RUN-FLMP_2021-12-06_RFR-009</v>
      </c>
      <c r="C3" s="8" t="s">
        <v>1097</v>
      </c>
      <c r="D3" s="441">
        <v>1.0</v>
      </c>
      <c r="E3" s="441">
        <v>2.1</v>
      </c>
      <c r="F3" s="441">
        <v>6.0</v>
      </c>
      <c r="G3" s="18" t="s">
        <v>1098</v>
      </c>
      <c r="H3" s="89" t="s">
        <v>1095</v>
      </c>
      <c r="I3" s="60">
        <f t="shared" si="1"/>
        <v>9</v>
      </c>
      <c r="J3" s="30" t="str">
        <f t="shared" si="2"/>
        <v>R_FLMP-009</v>
      </c>
      <c r="K3" s="60">
        <f t="shared" si="3"/>
        <v>1</v>
      </c>
      <c r="M3" s="442"/>
      <c r="N3" s="138"/>
    </row>
    <row r="4">
      <c r="A4" s="18" t="s">
        <v>1099</v>
      </c>
      <c r="B4" s="103" t="str">
        <f>VLOOKUP(A4,'ALL Tube Results'!A$2:B133,2,FALSE)</f>
        <v>RUN-FLMP_2021-12-10_RFR-013</v>
      </c>
      <c r="C4" s="8" t="s">
        <v>1100</v>
      </c>
      <c r="D4" s="441">
        <v>2.2</v>
      </c>
      <c r="E4" s="441">
        <v>2.0</v>
      </c>
      <c r="F4" s="441">
        <v>4.0</v>
      </c>
      <c r="H4" s="89" t="s">
        <v>1095</v>
      </c>
      <c r="I4" s="60">
        <f t="shared" si="1"/>
        <v>13</v>
      </c>
      <c r="J4" s="30" t="str">
        <f t="shared" si="2"/>
        <v>R_FLMP-013</v>
      </c>
      <c r="K4" s="60">
        <f t="shared" si="3"/>
        <v>1</v>
      </c>
      <c r="M4" s="442"/>
      <c r="N4" s="138"/>
    </row>
    <row r="5">
      <c r="A5" s="18" t="str">
        <f t="shared" ref="A5:A7" si="4">CONCATENATE("TUNKFLMP",TEXT(H5,"000"))</f>
        <v>TUNKFLMP017</v>
      </c>
      <c r="B5" s="103" t="str">
        <f>VLOOKUP(A5,'ALL Tube Results'!A$2:B133,2,FALSE)</f>
        <v>#N/A</v>
      </c>
      <c r="C5" s="8" t="s">
        <v>1101</v>
      </c>
      <c r="D5" s="441">
        <v>4.0</v>
      </c>
      <c r="E5" s="441">
        <v>7.0</v>
      </c>
      <c r="F5" s="441">
        <v>1.0</v>
      </c>
      <c r="H5" s="89">
        <v>17.0</v>
      </c>
      <c r="I5" s="60">
        <f t="shared" si="1"/>
        <v>19</v>
      </c>
      <c r="J5" s="30" t="str">
        <f t="shared" si="2"/>
        <v>R_FLMP-019</v>
      </c>
      <c r="K5" s="60">
        <f t="shared" si="3"/>
        <v>1</v>
      </c>
      <c r="M5" s="442"/>
      <c r="N5" s="138"/>
    </row>
    <row r="6">
      <c r="A6" s="18" t="str">
        <f t="shared" si="4"/>
        <v>TUNKFLMP018</v>
      </c>
      <c r="B6" s="103" t="str">
        <f>VLOOKUP(A6,'ALL Tube Results'!A$2:B133,2,FALSE)</f>
        <v>#N/A</v>
      </c>
      <c r="C6" s="8" t="s">
        <v>1102</v>
      </c>
      <c r="D6" s="441">
        <v>4.0</v>
      </c>
      <c r="E6" s="441">
        <v>7.5</v>
      </c>
      <c r="F6" s="441">
        <v>3.0</v>
      </c>
      <c r="H6" s="89">
        <v>18.0</v>
      </c>
      <c r="I6" s="60">
        <f t="shared" si="1"/>
        <v>20</v>
      </c>
      <c r="J6" s="30" t="str">
        <f t="shared" si="2"/>
        <v>R_FLMP-020</v>
      </c>
      <c r="K6" s="60">
        <f t="shared" si="3"/>
        <v>2</v>
      </c>
      <c r="M6" s="442"/>
      <c r="N6" s="138"/>
    </row>
    <row r="7">
      <c r="A7" s="18" t="str">
        <f t="shared" si="4"/>
        <v>TUNKFLMP019</v>
      </c>
      <c r="B7" s="103" t="str">
        <f>VLOOKUP(A7,'ALL Tube Results'!A$2:B133,2,FALSE)</f>
        <v>#N/A</v>
      </c>
      <c r="C7" s="8" t="s">
        <v>1102</v>
      </c>
      <c r="D7" s="441">
        <v>4.0</v>
      </c>
      <c r="E7" s="441">
        <v>2.3</v>
      </c>
      <c r="F7" s="441">
        <v>3.0</v>
      </c>
      <c r="H7" s="89">
        <v>19.0</v>
      </c>
      <c r="I7" s="60">
        <f t="shared" si="1"/>
        <v>20</v>
      </c>
      <c r="J7" s="30" t="str">
        <f t="shared" si="2"/>
        <v/>
      </c>
      <c r="K7" s="60">
        <f t="shared" si="3"/>
        <v>3</v>
      </c>
      <c r="M7" s="442"/>
      <c r="N7" s="138"/>
    </row>
    <row r="8">
      <c r="A8" s="443"/>
      <c r="B8" s="444" t="str">
        <f>VLOOKUP(A8,'ALL Tube Results'!A$2:B133,2,FALSE)</f>
        <v>#N/A</v>
      </c>
      <c r="C8" s="443"/>
      <c r="D8" s="23"/>
      <c r="E8" s="23"/>
      <c r="F8" s="23"/>
      <c r="H8" s="89"/>
      <c r="I8" s="60">
        <f t="shared" si="1"/>
        <v>0</v>
      </c>
      <c r="J8" s="30" t="str">
        <f t="shared" si="2"/>
        <v/>
      </c>
      <c r="K8" s="60">
        <f t="shared" si="3"/>
        <v>0</v>
      </c>
      <c r="M8" s="442"/>
      <c r="N8" s="138"/>
    </row>
    <row r="9">
      <c r="A9" s="18" t="s">
        <v>1103</v>
      </c>
      <c r="B9" s="103" t="str">
        <f>VLOOKUP(A9,'ALL Tube Results'!A$2:B133,2,FALSE)</f>
        <v>RUN-FLMP_2021-12-20_RFR-026</v>
      </c>
      <c r="C9" s="8" t="s">
        <v>1104</v>
      </c>
      <c r="D9" s="441">
        <v>1.0</v>
      </c>
      <c r="E9" s="441">
        <v>1.1</v>
      </c>
      <c r="F9" s="441">
        <v>4.0</v>
      </c>
      <c r="G9" s="18" t="s">
        <v>1105</v>
      </c>
      <c r="H9" s="89" t="s">
        <v>1095</v>
      </c>
      <c r="I9" s="60">
        <f t="shared" si="1"/>
        <v>26</v>
      </c>
      <c r="J9" s="30" t="str">
        <f t="shared" si="2"/>
        <v>R_FLMP-026</v>
      </c>
      <c r="K9" s="60">
        <f t="shared" si="3"/>
        <v>1</v>
      </c>
      <c r="M9" s="442"/>
      <c r="N9" s="138"/>
    </row>
    <row r="10">
      <c r="A10" s="18" t="s">
        <v>1106</v>
      </c>
      <c r="B10" s="103" t="str">
        <f>VLOOKUP(A10,'ALL Tube Results'!A$2:B133,2,FALSE)</f>
        <v>RUN-FLMP_2021-12-22_RFR-031</v>
      </c>
      <c r="C10" s="8" t="s">
        <v>1107</v>
      </c>
      <c r="D10" s="441">
        <v>1.0</v>
      </c>
      <c r="E10" s="23">
        <v>9.0</v>
      </c>
      <c r="F10" s="441">
        <v>2.0</v>
      </c>
      <c r="G10" s="18" t="s">
        <v>1108</v>
      </c>
      <c r="H10" s="89" t="s">
        <v>1095</v>
      </c>
      <c r="I10" s="60">
        <f t="shared" si="1"/>
        <v>31</v>
      </c>
      <c r="J10" s="30" t="str">
        <f t="shared" si="2"/>
        <v>R_FLMP-031</v>
      </c>
      <c r="K10" s="60">
        <f t="shared" si="3"/>
        <v>1</v>
      </c>
      <c r="M10" s="442"/>
      <c r="N10" s="138"/>
    </row>
    <row r="11">
      <c r="A11" s="445" t="s">
        <v>1109</v>
      </c>
      <c r="B11" s="103" t="str">
        <f>VLOOKUP(A11,'ALL Tube Results'!A$2:B133,2,FALSE)</f>
        <v>RUN-FLMP_2021-12-23_RFR-032</v>
      </c>
      <c r="C11" s="8" t="s">
        <v>1110</v>
      </c>
      <c r="D11" s="441">
        <v>1.0</v>
      </c>
      <c r="E11" s="441">
        <v>7.5</v>
      </c>
      <c r="F11" s="441">
        <v>3.0</v>
      </c>
      <c r="G11" s="18" t="s">
        <v>1111</v>
      </c>
      <c r="H11" s="89" t="s">
        <v>1095</v>
      </c>
      <c r="I11" s="60">
        <f t="shared" si="1"/>
        <v>32</v>
      </c>
      <c r="J11" s="30" t="str">
        <f t="shared" si="2"/>
        <v>R_FLMP-032</v>
      </c>
      <c r="K11" s="60">
        <f t="shared" si="3"/>
        <v>1</v>
      </c>
      <c r="M11" s="442"/>
      <c r="N11" s="138"/>
    </row>
    <row r="12">
      <c r="A12" s="18" t="s">
        <v>1112</v>
      </c>
      <c r="B12" s="103" t="str">
        <f>VLOOKUP(A12,'ALL Tube Results'!A$2:B133,2,FALSE)</f>
        <v>RUN-FLMP_2021-12-24_RFR-033</v>
      </c>
      <c r="C12" s="8" t="s">
        <v>1113</v>
      </c>
      <c r="D12" s="441">
        <v>1.0</v>
      </c>
      <c r="E12" s="23">
        <v>9.0</v>
      </c>
      <c r="F12" s="441">
        <v>2.0</v>
      </c>
      <c r="G12" s="18" t="s">
        <v>1114</v>
      </c>
      <c r="H12" s="89" t="s">
        <v>1095</v>
      </c>
      <c r="I12" s="60">
        <f t="shared" si="1"/>
        <v>33</v>
      </c>
      <c r="J12" s="30" t="str">
        <f t="shared" si="2"/>
        <v>R_FLMP-033</v>
      </c>
      <c r="K12" s="60">
        <f t="shared" si="3"/>
        <v>1</v>
      </c>
      <c r="M12" s="442"/>
      <c r="N12" s="138"/>
    </row>
    <row r="13">
      <c r="A13" s="18" t="s">
        <v>1115</v>
      </c>
      <c r="B13" s="103" t="str">
        <f>VLOOKUP(A13,'ALL Tube Results'!A$2:B133,2,FALSE)</f>
        <v>#N/A</v>
      </c>
      <c r="C13" s="8" t="s">
        <v>1116</v>
      </c>
      <c r="D13" s="441">
        <v>1.0</v>
      </c>
      <c r="E13" s="23">
        <v>9.0</v>
      </c>
      <c r="F13" s="441">
        <v>2.0</v>
      </c>
      <c r="G13" s="18" t="s">
        <v>1114</v>
      </c>
      <c r="H13" s="89" t="s">
        <v>1095</v>
      </c>
      <c r="I13" s="60">
        <f t="shared" si="1"/>
        <v>34</v>
      </c>
      <c r="J13" s="30" t="str">
        <f t="shared" si="2"/>
        <v>R_FLMP-034</v>
      </c>
      <c r="K13" s="60">
        <f t="shared" si="3"/>
        <v>2</v>
      </c>
      <c r="M13" s="442"/>
      <c r="N13" s="138"/>
    </row>
    <row r="14">
      <c r="A14" s="18" t="s">
        <v>1117</v>
      </c>
      <c r="B14" s="103" t="str">
        <f>VLOOKUP(A14,'ALL Tube Results'!A$2:B133,2,FALSE)</f>
        <v>RUN-FLMP_2021-12-25_RFR-034</v>
      </c>
      <c r="C14" s="8" t="s">
        <v>1116</v>
      </c>
      <c r="D14" s="441">
        <v>1.0</v>
      </c>
      <c r="E14" s="23">
        <v>9.0</v>
      </c>
      <c r="F14" s="441">
        <v>2.0</v>
      </c>
      <c r="G14" s="18" t="s">
        <v>1114</v>
      </c>
      <c r="H14" s="89" t="s">
        <v>1095</v>
      </c>
      <c r="I14" s="60">
        <f t="shared" si="1"/>
        <v>34</v>
      </c>
      <c r="J14" s="30" t="str">
        <f t="shared" si="2"/>
        <v/>
      </c>
      <c r="K14" s="60">
        <f t="shared" si="3"/>
        <v>3</v>
      </c>
      <c r="M14" s="442"/>
      <c r="N14" s="138"/>
    </row>
    <row r="15">
      <c r="A15" s="18" t="s">
        <v>1118</v>
      </c>
      <c r="B15" s="103" t="str">
        <f>VLOOKUP(A15,'ALL Tube Results'!A$2:B133,2,FALSE)</f>
        <v>RUN-FLMP_2021-12-26_RFR-035</v>
      </c>
      <c r="C15" s="8" t="s">
        <v>1119</v>
      </c>
      <c r="D15" s="441">
        <v>1.0</v>
      </c>
      <c r="E15" s="23">
        <v>9.0</v>
      </c>
      <c r="F15" s="441">
        <v>2.0</v>
      </c>
      <c r="G15" s="18" t="s">
        <v>1120</v>
      </c>
      <c r="H15" s="89" t="s">
        <v>1095</v>
      </c>
      <c r="I15" s="60">
        <f t="shared" si="1"/>
        <v>35</v>
      </c>
      <c r="J15" s="30" t="str">
        <f t="shared" si="2"/>
        <v>R_FLMP-035</v>
      </c>
      <c r="K15" s="60">
        <f t="shared" si="3"/>
        <v>1</v>
      </c>
      <c r="M15" s="442"/>
      <c r="N15" s="138"/>
    </row>
    <row r="16">
      <c r="A16" s="24" t="s">
        <v>1121</v>
      </c>
      <c r="B16" s="446" t="str">
        <f>VLOOKUP(A16,'ALL Tube Results'!A$2:B133,2,FALSE)</f>
        <v>#N/A</v>
      </c>
      <c r="C16" s="447" t="s">
        <v>1122</v>
      </c>
      <c r="D16" s="24">
        <v>2.2</v>
      </c>
      <c r="E16" s="448">
        <v>1.0</v>
      </c>
      <c r="F16" s="448">
        <v>1.0</v>
      </c>
      <c r="G16" s="18" t="s">
        <v>1123</v>
      </c>
      <c r="H16" s="89" t="s">
        <v>1095</v>
      </c>
      <c r="I16" s="60">
        <f t="shared" si="1"/>
        <v>37</v>
      </c>
      <c r="J16" s="30" t="str">
        <f t="shared" si="2"/>
        <v>R_FLMP-037</v>
      </c>
      <c r="K16" s="60">
        <f t="shared" si="3"/>
        <v>2</v>
      </c>
      <c r="M16" s="442"/>
      <c r="N16" s="138"/>
    </row>
    <row r="17">
      <c r="A17" s="24" t="s">
        <v>1124</v>
      </c>
      <c r="B17" s="446" t="str">
        <f>VLOOKUP(A17,'ALL Tube Results'!A$2:B133,2,FALSE)</f>
        <v>#N/A</v>
      </c>
      <c r="C17" s="447" t="s">
        <v>1122</v>
      </c>
      <c r="D17" s="24">
        <v>2.2</v>
      </c>
      <c r="E17" s="448">
        <v>1.0</v>
      </c>
      <c r="F17" s="448">
        <v>1.0</v>
      </c>
      <c r="G17" s="18" t="s">
        <v>1125</v>
      </c>
      <c r="H17" s="89" t="s">
        <v>1095</v>
      </c>
      <c r="I17" s="60">
        <f t="shared" si="1"/>
        <v>37</v>
      </c>
      <c r="J17" s="30" t="str">
        <f t="shared" si="2"/>
        <v/>
      </c>
      <c r="K17" s="60">
        <f t="shared" si="3"/>
        <v>3</v>
      </c>
      <c r="M17" s="442"/>
      <c r="N17" s="138"/>
    </row>
    <row r="18">
      <c r="A18" s="24" t="s">
        <v>1126</v>
      </c>
      <c r="B18" s="446" t="str">
        <f>VLOOKUP(A18,'ALL Tube Results'!A$2:B133,2,FALSE)</f>
        <v>#N/A</v>
      </c>
      <c r="C18" s="447" t="s">
        <v>1127</v>
      </c>
      <c r="D18" s="24">
        <v>2.2</v>
      </c>
      <c r="E18" s="448">
        <v>1.0</v>
      </c>
      <c r="F18" s="448">
        <v>1.0</v>
      </c>
      <c r="G18" s="18" t="s">
        <v>1128</v>
      </c>
      <c r="H18" s="89" t="s">
        <v>1095</v>
      </c>
      <c r="I18" s="60">
        <f t="shared" si="1"/>
        <v>38</v>
      </c>
      <c r="J18" s="30" t="str">
        <f t="shared" si="2"/>
        <v>R_FLMP-038</v>
      </c>
      <c r="K18" s="60">
        <f t="shared" si="3"/>
        <v>1</v>
      </c>
      <c r="M18" s="442"/>
      <c r="N18" s="138"/>
    </row>
    <row r="19">
      <c r="A19" s="18" t="s">
        <v>1129</v>
      </c>
      <c r="B19" s="103" t="str">
        <f>VLOOKUP(A19,'ALL Tube Results'!A$2:B133,2,FALSE)</f>
        <v>RUN-FLMP_2021-12-31_RFR-042</v>
      </c>
      <c r="C19" s="8" t="s">
        <v>1130</v>
      </c>
      <c r="D19" s="441">
        <v>1.0</v>
      </c>
      <c r="E19" s="23">
        <v>7.5</v>
      </c>
      <c r="F19" s="441">
        <v>3.0</v>
      </c>
      <c r="G19" s="18" t="s">
        <v>1131</v>
      </c>
      <c r="H19" s="89" t="s">
        <v>1095</v>
      </c>
      <c r="I19" s="60">
        <f t="shared" si="1"/>
        <v>42</v>
      </c>
      <c r="J19" s="30" t="str">
        <f t="shared" si="2"/>
        <v>R_FLMP-042</v>
      </c>
      <c r="K19" s="60">
        <f t="shared" si="3"/>
        <v>1</v>
      </c>
      <c r="M19" s="442"/>
      <c r="N19" s="138"/>
    </row>
    <row r="20">
      <c r="A20" s="18" t="s">
        <v>1132</v>
      </c>
      <c r="B20" s="103" t="str">
        <f>VLOOKUP(A20,'ALL Tube Results'!A$2:B133,2,FALSE)</f>
        <v>RUN-FLMP_2021-12-31_RFR-043</v>
      </c>
      <c r="C20" s="8" t="s">
        <v>1133</v>
      </c>
      <c r="D20" s="441">
        <v>1.0</v>
      </c>
      <c r="E20" s="23">
        <v>7.5</v>
      </c>
      <c r="F20" s="441">
        <v>3.0</v>
      </c>
      <c r="G20" s="18" t="s">
        <v>1131</v>
      </c>
      <c r="H20" s="89" t="s">
        <v>1095</v>
      </c>
      <c r="I20" s="60">
        <f t="shared" si="1"/>
        <v>43</v>
      </c>
      <c r="J20" s="30" t="str">
        <f t="shared" si="2"/>
        <v>R_FLMP-043</v>
      </c>
      <c r="K20" s="60">
        <f t="shared" si="3"/>
        <v>1</v>
      </c>
      <c r="M20" s="442"/>
      <c r="N20" s="138"/>
    </row>
    <row r="21">
      <c r="A21" s="18" t="s">
        <v>1134</v>
      </c>
      <c r="B21" s="103" t="str">
        <f>VLOOKUP(A21,'ALL Tube Results'!A$2:B133,2,FALSE)</f>
        <v>RUN-FLMP_2022-01-01_RFR-044</v>
      </c>
      <c r="C21" s="8" t="s">
        <v>1135</v>
      </c>
      <c r="D21" s="441">
        <v>1.0</v>
      </c>
      <c r="E21" s="23">
        <v>7.5</v>
      </c>
      <c r="F21" s="441">
        <v>3.0</v>
      </c>
      <c r="G21" s="18" t="s">
        <v>1131</v>
      </c>
      <c r="H21" s="89" t="s">
        <v>1095</v>
      </c>
      <c r="I21" s="60">
        <f t="shared" si="1"/>
        <v>44</v>
      </c>
      <c r="J21" s="30" t="str">
        <f t="shared" si="2"/>
        <v>R_FLMP-044</v>
      </c>
      <c r="K21" s="60">
        <f t="shared" si="3"/>
        <v>2</v>
      </c>
      <c r="M21" s="442"/>
      <c r="N21" s="138"/>
    </row>
    <row r="22">
      <c r="A22" s="18" t="s">
        <v>1136</v>
      </c>
      <c r="B22" s="103" t="str">
        <f>VLOOKUP(A22,'ALL Tube Results'!A$2:B133,2,FALSE)</f>
        <v>RUN-FLMP_2022-01-01_RFR-044</v>
      </c>
      <c r="C22" s="8" t="s">
        <v>1135</v>
      </c>
      <c r="D22" s="441">
        <v>1.0</v>
      </c>
      <c r="E22" s="23">
        <v>7.5</v>
      </c>
      <c r="F22" s="441">
        <v>3.0</v>
      </c>
      <c r="G22" s="18" t="s">
        <v>1131</v>
      </c>
      <c r="H22" s="89" t="s">
        <v>1095</v>
      </c>
      <c r="I22" s="60">
        <f t="shared" si="1"/>
        <v>44</v>
      </c>
      <c r="J22" s="30" t="str">
        <f t="shared" si="2"/>
        <v/>
      </c>
      <c r="K22" s="60">
        <f t="shared" si="3"/>
        <v>3</v>
      </c>
      <c r="M22" s="442"/>
      <c r="N22" s="138"/>
    </row>
    <row r="23">
      <c r="A23" s="138" t="s">
        <v>1137</v>
      </c>
      <c r="B23" s="449" t="str">
        <f>VLOOKUP(A23,'ALL Tube Results'!A$2:B133,2,FALSE)</f>
        <v>RUN-FLMP_2022-01-02_RFR-046</v>
      </c>
      <c r="C23" s="450" t="s">
        <v>1138</v>
      </c>
      <c r="D23" s="441">
        <v>1.0</v>
      </c>
      <c r="E23" s="23">
        <v>7.0</v>
      </c>
      <c r="F23" s="441">
        <v>1.0</v>
      </c>
      <c r="G23" s="18" t="s">
        <v>1139</v>
      </c>
      <c r="H23" s="89" t="s">
        <v>1095</v>
      </c>
      <c r="I23" s="60">
        <f t="shared" si="1"/>
        <v>46</v>
      </c>
      <c r="J23" s="30" t="str">
        <f t="shared" si="2"/>
        <v>R_FLMP-046</v>
      </c>
      <c r="K23" s="60">
        <f t="shared" si="3"/>
        <v>2</v>
      </c>
      <c r="M23" s="442"/>
      <c r="N23" s="138"/>
    </row>
    <row r="24">
      <c r="A24" s="451" t="s">
        <v>1140</v>
      </c>
      <c r="B24" s="449" t="str">
        <f>VLOOKUP(A24,'ALL Tube Results'!A$2:B133,2,FALSE)</f>
        <v>RUN-FLMP_2022-01-02_RFR-046</v>
      </c>
      <c r="C24" s="450" t="s">
        <v>1138</v>
      </c>
      <c r="D24" s="441">
        <v>1.0</v>
      </c>
      <c r="E24" s="23">
        <v>7.0</v>
      </c>
      <c r="F24" s="441">
        <v>1.0</v>
      </c>
      <c r="G24" s="18" t="s">
        <v>1139</v>
      </c>
      <c r="H24" s="89" t="s">
        <v>1095</v>
      </c>
      <c r="I24" s="60">
        <f t="shared" si="1"/>
        <v>46</v>
      </c>
      <c r="J24" s="30" t="str">
        <f t="shared" si="2"/>
        <v/>
      </c>
      <c r="K24" s="60">
        <f t="shared" si="3"/>
        <v>3</v>
      </c>
      <c r="M24" s="442"/>
      <c r="N24" s="138"/>
    </row>
    <row r="25">
      <c r="A25" s="18" t="s">
        <v>1141</v>
      </c>
      <c r="B25" s="449" t="str">
        <f>VLOOKUP(A25,'ALL Tube Results'!A$2:B133,2,FALSE)</f>
        <v>RUN-FLMP_2022-01-03_RFR-047</v>
      </c>
      <c r="C25" s="450" t="s">
        <v>1142</v>
      </c>
      <c r="D25" s="441">
        <v>1.0</v>
      </c>
      <c r="E25" s="23">
        <v>9.0</v>
      </c>
      <c r="F25" s="441">
        <v>2.0</v>
      </c>
      <c r="G25" s="18" t="s">
        <v>1143</v>
      </c>
      <c r="H25" s="89" t="s">
        <v>1095</v>
      </c>
      <c r="I25" s="60">
        <f t="shared" si="1"/>
        <v>47</v>
      </c>
      <c r="J25" s="30" t="str">
        <f t="shared" si="2"/>
        <v>R_FLMP-047</v>
      </c>
      <c r="K25" s="60">
        <f t="shared" si="3"/>
        <v>2</v>
      </c>
      <c r="M25" s="442"/>
      <c r="N25" s="138"/>
    </row>
    <row r="26">
      <c r="A26" s="18" t="s">
        <v>1144</v>
      </c>
      <c r="B26" s="449" t="str">
        <f>VLOOKUP(A26,'ALL Tube Results'!A$2:B133,2,FALSE)</f>
        <v>RUN-FLMP_2022-01-03_RFR-047</v>
      </c>
      <c r="C26" s="450" t="s">
        <v>1142</v>
      </c>
      <c r="D26" s="441">
        <v>1.0</v>
      </c>
      <c r="E26" s="23">
        <v>9.0</v>
      </c>
      <c r="F26" s="441">
        <v>2.0</v>
      </c>
      <c r="G26" s="18" t="s">
        <v>1143</v>
      </c>
      <c r="H26" s="89" t="s">
        <v>1095</v>
      </c>
      <c r="I26" s="60">
        <f t="shared" si="1"/>
        <v>47</v>
      </c>
      <c r="J26" s="30" t="str">
        <f t="shared" si="2"/>
        <v/>
      </c>
      <c r="K26" s="60">
        <f t="shared" si="3"/>
        <v>3</v>
      </c>
      <c r="M26" s="442"/>
      <c r="N26" s="138"/>
    </row>
    <row r="27">
      <c r="A27" s="452" t="s">
        <v>1145</v>
      </c>
      <c r="B27" s="103" t="str">
        <f>VLOOKUP(A27,'ALL Tube Results'!A$2:B133,2,FALSE)</f>
        <v>RUN-FLMP_2022-01-06_RFR-050</v>
      </c>
      <c r="C27" s="8" t="s">
        <v>1146</v>
      </c>
      <c r="D27" s="441">
        <v>1.0</v>
      </c>
      <c r="E27" s="441">
        <v>7.0</v>
      </c>
      <c r="F27" s="441">
        <v>1.0</v>
      </c>
      <c r="H27" s="89" t="s">
        <v>1095</v>
      </c>
      <c r="I27" s="60">
        <f t="shared" si="1"/>
        <v>50</v>
      </c>
      <c r="J27" s="30" t="str">
        <f t="shared" si="2"/>
        <v>R_FLMP-050</v>
      </c>
      <c r="K27" s="60">
        <f t="shared" si="3"/>
        <v>5</v>
      </c>
      <c r="M27" s="442"/>
      <c r="N27" s="138"/>
    </row>
    <row r="28">
      <c r="A28" s="452" t="s">
        <v>1147</v>
      </c>
      <c r="B28" s="103" t="str">
        <f>VLOOKUP(A28,'ALL Tube Results'!A$2:B133,2,FALSE)</f>
        <v>RUN-FLMP_2022-01-06_RFR-050</v>
      </c>
      <c r="C28" s="8" t="s">
        <v>1146</v>
      </c>
      <c r="D28" s="441">
        <v>1.0</v>
      </c>
      <c r="E28" s="441">
        <v>7.0</v>
      </c>
      <c r="F28" s="441">
        <v>1.0</v>
      </c>
      <c r="H28" s="89" t="s">
        <v>1095</v>
      </c>
      <c r="I28" s="60">
        <f t="shared" si="1"/>
        <v>50</v>
      </c>
      <c r="J28" s="30" t="str">
        <f t="shared" si="2"/>
        <v/>
      </c>
      <c r="K28" s="60">
        <f t="shared" si="3"/>
        <v>3</v>
      </c>
      <c r="M28" s="442"/>
      <c r="N28" s="138"/>
    </row>
    <row r="29">
      <c r="A29" s="445" t="s">
        <v>1148</v>
      </c>
      <c r="B29" s="103" t="str">
        <f>VLOOKUP(A29,'ALL Tube Results'!A$2:B133,2,FALSE)</f>
        <v>RUN-FLMP_2022-01-06_RFR-050</v>
      </c>
      <c r="C29" s="8" t="s">
        <v>1146</v>
      </c>
      <c r="D29" s="441">
        <v>1.0</v>
      </c>
      <c r="E29" s="441">
        <v>7.0</v>
      </c>
      <c r="F29" s="441">
        <v>1.0</v>
      </c>
      <c r="H29" s="89" t="s">
        <v>1095</v>
      </c>
      <c r="I29" s="60">
        <f t="shared" si="1"/>
        <v>50</v>
      </c>
      <c r="J29" s="30" t="str">
        <f t="shared" si="2"/>
        <v/>
      </c>
      <c r="K29" s="60">
        <f t="shared" si="3"/>
        <v>3</v>
      </c>
      <c r="M29" s="442"/>
      <c r="N29" s="138"/>
    </row>
    <row r="30">
      <c r="A30" s="452" t="s">
        <v>1149</v>
      </c>
      <c r="B30" s="103" t="str">
        <f>VLOOKUP(A30,'ALL Tube Results'!A$2:B133,2,FALSE)</f>
        <v>RUN-FLMP_2022-01-06_RFR-050</v>
      </c>
      <c r="C30" s="8" t="s">
        <v>1146</v>
      </c>
      <c r="D30" s="441">
        <v>1.0</v>
      </c>
      <c r="E30" s="441">
        <v>7.0</v>
      </c>
      <c r="F30" s="441">
        <v>1.0</v>
      </c>
      <c r="H30" s="89" t="s">
        <v>1095</v>
      </c>
      <c r="I30" s="60">
        <f t="shared" si="1"/>
        <v>50</v>
      </c>
      <c r="J30" s="30" t="str">
        <f t="shared" si="2"/>
        <v/>
      </c>
      <c r="K30" s="60">
        <f t="shared" si="3"/>
        <v>3</v>
      </c>
      <c r="M30" s="442"/>
      <c r="N30" s="138"/>
    </row>
    <row r="31">
      <c r="A31" s="18" t="str">
        <f>CONCATENATE("TUNKFLMP",TEXT(H31,"000"))</f>
        <v>TUNKFLMP012</v>
      </c>
      <c r="B31" s="103" t="str">
        <f>VLOOKUP(A31,'ALL Tube Results'!A$2:B133,2,FALSE)</f>
        <v>#N/A</v>
      </c>
      <c r="C31" s="8" t="s">
        <v>1146</v>
      </c>
      <c r="D31" s="441">
        <v>4.0</v>
      </c>
      <c r="E31" s="441">
        <v>1.1</v>
      </c>
      <c r="F31" s="441">
        <v>4.0</v>
      </c>
      <c r="H31" s="89">
        <v>12.0</v>
      </c>
      <c r="I31" s="60">
        <f t="shared" si="1"/>
        <v>50</v>
      </c>
      <c r="J31" s="30" t="str">
        <f t="shared" si="2"/>
        <v/>
      </c>
      <c r="K31" s="60">
        <f t="shared" si="3"/>
        <v>3</v>
      </c>
      <c r="M31" s="442"/>
      <c r="N31" s="138"/>
    </row>
    <row r="32">
      <c r="A32" s="140" t="s">
        <v>1150</v>
      </c>
      <c r="B32" s="103" t="str">
        <f>VLOOKUP(A32,'ALL Tube Results'!A$2:B133,2,FALSE)</f>
        <v>RUN-FLMP_2022-01-08_RFR-052</v>
      </c>
      <c r="C32" s="8" t="s">
        <v>1151</v>
      </c>
      <c r="D32" s="441">
        <v>1.0</v>
      </c>
      <c r="E32" s="441">
        <v>7.0</v>
      </c>
      <c r="F32" s="441">
        <v>1.0</v>
      </c>
      <c r="G32" s="18" t="s">
        <v>1152</v>
      </c>
      <c r="H32" s="89" t="s">
        <v>1095</v>
      </c>
      <c r="I32" s="60">
        <f t="shared" si="1"/>
        <v>52</v>
      </c>
      <c r="J32" s="30" t="str">
        <f t="shared" si="2"/>
        <v>R_FLMP-052</v>
      </c>
      <c r="K32" s="60">
        <f t="shared" si="3"/>
        <v>1</v>
      </c>
      <c r="M32" s="442"/>
      <c r="N32" s="138"/>
    </row>
    <row r="33">
      <c r="A33" s="138" t="s">
        <v>1153</v>
      </c>
      <c r="B33" s="103" t="str">
        <f>VLOOKUP(A33,'ALL Tube Results'!A$2:B133,2,FALSE)</f>
        <v>RUN-FLMP_2022-01-10_RFR-053</v>
      </c>
      <c r="C33" s="8" t="s">
        <v>1154</v>
      </c>
      <c r="D33" s="441">
        <v>1.0</v>
      </c>
      <c r="E33" s="441">
        <v>7.0</v>
      </c>
      <c r="F33" s="441">
        <v>1.0</v>
      </c>
      <c r="H33" s="89" t="s">
        <v>1095</v>
      </c>
      <c r="I33" s="60">
        <f t="shared" si="1"/>
        <v>53</v>
      </c>
      <c r="J33" s="30" t="str">
        <f t="shared" si="2"/>
        <v>R_FLMP-053</v>
      </c>
      <c r="K33" s="60">
        <f t="shared" si="3"/>
        <v>14</v>
      </c>
      <c r="M33" s="442"/>
      <c r="N33" s="138"/>
    </row>
    <row r="34">
      <c r="A34" s="138" t="s">
        <v>1155</v>
      </c>
      <c r="B34" s="103" t="str">
        <f>VLOOKUP(A34,'ALL Tube Results'!A$2:B133,2,FALSE)</f>
        <v>RUN-FLMP_2022-01-10_RFR-053</v>
      </c>
      <c r="C34" s="8" t="s">
        <v>1154</v>
      </c>
      <c r="D34" s="441">
        <v>1.0</v>
      </c>
      <c r="E34" s="441">
        <v>7.0</v>
      </c>
      <c r="F34" s="441">
        <v>1.0</v>
      </c>
      <c r="H34" s="89" t="s">
        <v>1095</v>
      </c>
      <c r="I34" s="60">
        <f t="shared" si="1"/>
        <v>53</v>
      </c>
      <c r="J34" s="30" t="str">
        <f t="shared" si="2"/>
        <v/>
      </c>
      <c r="K34" s="60">
        <f t="shared" si="3"/>
        <v>3</v>
      </c>
      <c r="M34" s="442"/>
      <c r="N34" s="138"/>
    </row>
    <row r="35">
      <c r="A35" s="452" t="s">
        <v>1156</v>
      </c>
      <c r="B35" s="103" t="str">
        <f>VLOOKUP(A35,'ALL Tube Results'!A$2:B133,2,FALSE)</f>
        <v>RUN-FLMP_2022-01-10_RFR-053</v>
      </c>
      <c r="C35" s="8" t="s">
        <v>1154</v>
      </c>
      <c r="D35" s="441">
        <v>1.0</v>
      </c>
      <c r="E35" s="441">
        <v>7.0</v>
      </c>
      <c r="F35" s="441">
        <v>1.0</v>
      </c>
      <c r="H35" s="89" t="s">
        <v>1095</v>
      </c>
      <c r="I35" s="60">
        <f t="shared" si="1"/>
        <v>53</v>
      </c>
      <c r="J35" s="30" t="str">
        <f t="shared" si="2"/>
        <v/>
      </c>
      <c r="K35" s="60">
        <f t="shared" si="3"/>
        <v>3</v>
      </c>
      <c r="M35" s="442"/>
      <c r="N35" s="138"/>
    </row>
    <row r="36">
      <c r="A36" s="138" t="s">
        <v>1157</v>
      </c>
      <c r="B36" s="103" t="str">
        <f>VLOOKUP(A36,'ALL Tube Results'!A$2:B133,2,FALSE)</f>
        <v>RUN-FLMP_2022-01-10_RFR-053</v>
      </c>
      <c r="C36" s="8" t="s">
        <v>1154</v>
      </c>
      <c r="D36" s="441">
        <v>1.0</v>
      </c>
      <c r="E36" s="441">
        <v>7.0</v>
      </c>
      <c r="F36" s="441">
        <v>1.0</v>
      </c>
      <c r="H36" s="89" t="s">
        <v>1095</v>
      </c>
      <c r="I36" s="60">
        <f t="shared" si="1"/>
        <v>53</v>
      </c>
      <c r="J36" s="30" t="str">
        <f t="shared" si="2"/>
        <v/>
      </c>
      <c r="K36" s="60">
        <f t="shared" si="3"/>
        <v>3</v>
      </c>
      <c r="M36" s="442"/>
      <c r="N36" s="138"/>
    </row>
    <row r="37">
      <c r="A37" s="138" t="s">
        <v>1158</v>
      </c>
      <c r="B37" s="103" t="str">
        <f>VLOOKUP(A37,'ALL Tube Results'!A$2:B133,2,FALSE)</f>
        <v>RUN-FLMP_2022-01-10_RFR-053</v>
      </c>
      <c r="C37" s="8" t="s">
        <v>1154</v>
      </c>
      <c r="D37" s="441">
        <v>1.0</v>
      </c>
      <c r="E37" s="441">
        <v>7.0</v>
      </c>
      <c r="F37" s="441">
        <v>1.0</v>
      </c>
      <c r="H37" s="89" t="s">
        <v>1095</v>
      </c>
      <c r="I37" s="60">
        <f t="shared" si="1"/>
        <v>53</v>
      </c>
      <c r="J37" s="30" t="str">
        <f t="shared" si="2"/>
        <v/>
      </c>
      <c r="K37" s="60">
        <f t="shared" si="3"/>
        <v>3</v>
      </c>
      <c r="M37" s="442"/>
      <c r="N37" s="138"/>
    </row>
    <row r="38">
      <c r="A38" s="138" t="s">
        <v>1159</v>
      </c>
      <c r="B38" s="103" t="str">
        <f>VLOOKUP(A38,'ALL Tube Results'!A$2:B133,2,FALSE)</f>
        <v>RUN-FLMP_2022-01-10_RFR-053</v>
      </c>
      <c r="C38" s="8" t="s">
        <v>1154</v>
      </c>
      <c r="D38" s="441">
        <v>1.0</v>
      </c>
      <c r="E38" s="441">
        <v>7.0</v>
      </c>
      <c r="F38" s="441">
        <v>1.0</v>
      </c>
      <c r="H38" s="89" t="s">
        <v>1095</v>
      </c>
      <c r="I38" s="60">
        <f t="shared" si="1"/>
        <v>53</v>
      </c>
      <c r="J38" s="30" t="str">
        <f t="shared" si="2"/>
        <v/>
      </c>
      <c r="K38" s="60">
        <f t="shared" si="3"/>
        <v>3</v>
      </c>
      <c r="M38" s="442"/>
      <c r="N38" s="138"/>
    </row>
    <row r="39">
      <c r="A39" s="138" t="s">
        <v>1160</v>
      </c>
      <c r="B39" s="103" t="str">
        <f>VLOOKUP(A39,'ALL Tube Results'!A$2:B133,2,FALSE)</f>
        <v>RUN-FLMP_2022-01-10_RFR-053</v>
      </c>
      <c r="C39" s="8" t="s">
        <v>1154</v>
      </c>
      <c r="D39" s="441">
        <v>1.0</v>
      </c>
      <c r="E39" s="441">
        <v>7.0</v>
      </c>
      <c r="F39" s="441">
        <v>1.0</v>
      </c>
      <c r="H39" s="89" t="s">
        <v>1095</v>
      </c>
      <c r="I39" s="60">
        <f t="shared" si="1"/>
        <v>53</v>
      </c>
      <c r="J39" s="30" t="str">
        <f t="shared" si="2"/>
        <v/>
      </c>
      <c r="K39" s="60">
        <f t="shared" si="3"/>
        <v>3</v>
      </c>
      <c r="M39" s="442"/>
      <c r="N39" s="138"/>
    </row>
    <row r="40">
      <c r="A40" s="138" t="s">
        <v>1161</v>
      </c>
      <c r="B40" s="103" t="str">
        <f>VLOOKUP(A40,'ALL Tube Results'!A$2:B133,2,FALSE)</f>
        <v>RUN-FLMP_2022-01-10_RFR-053</v>
      </c>
      <c r="C40" s="8" t="s">
        <v>1154</v>
      </c>
      <c r="D40" s="441">
        <v>1.0</v>
      </c>
      <c r="E40" s="441">
        <v>7.0</v>
      </c>
      <c r="F40" s="441">
        <v>1.0</v>
      </c>
      <c r="H40" s="89" t="s">
        <v>1095</v>
      </c>
      <c r="I40" s="60">
        <f t="shared" si="1"/>
        <v>53</v>
      </c>
      <c r="J40" s="30" t="str">
        <f t="shared" si="2"/>
        <v/>
      </c>
      <c r="K40" s="60">
        <f t="shared" si="3"/>
        <v>3</v>
      </c>
      <c r="M40" s="442"/>
      <c r="N40" s="138"/>
    </row>
    <row r="41">
      <c r="A41" s="138" t="s">
        <v>1162</v>
      </c>
      <c r="B41" s="103" t="str">
        <f>VLOOKUP(A41,'ALL Tube Results'!A$2:B133,2,FALSE)</f>
        <v>RUN-FLMP_2022-01-10_RFR-053</v>
      </c>
      <c r="C41" s="8" t="s">
        <v>1154</v>
      </c>
      <c r="D41" s="441">
        <v>1.0</v>
      </c>
      <c r="E41" s="441">
        <v>7.0</v>
      </c>
      <c r="F41" s="441">
        <v>1.0</v>
      </c>
      <c r="H41" s="89" t="s">
        <v>1095</v>
      </c>
      <c r="I41" s="60">
        <f t="shared" si="1"/>
        <v>53</v>
      </c>
      <c r="J41" s="30" t="str">
        <f t="shared" si="2"/>
        <v/>
      </c>
      <c r="K41" s="60">
        <f t="shared" si="3"/>
        <v>3</v>
      </c>
      <c r="M41" s="442"/>
      <c r="N41" s="138"/>
    </row>
    <row r="42">
      <c r="A42" s="138" t="s">
        <v>1163</v>
      </c>
      <c r="B42" s="103" t="str">
        <f>VLOOKUP(A42,'ALL Tube Results'!A$2:B133,2,FALSE)</f>
        <v>RUN-FLMP_2022-01-10_RFR-053</v>
      </c>
      <c r="C42" s="8" t="s">
        <v>1154</v>
      </c>
      <c r="D42" s="441">
        <v>1.0</v>
      </c>
      <c r="E42" s="441">
        <v>7.0</v>
      </c>
      <c r="F42" s="441">
        <v>1.0</v>
      </c>
      <c r="H42" s="89" t="s">
        <v>1095</v>
      </c>
      <c r="I42" s="60">
        <f t="shared" si="1"/>
        <v>53</v>
      </c>
      <c r="J42" s="30" t="str">
        <f t="shared" si="2"/>
        <v/>
      </c>
      <c r="K42" s="60">
        <f t="shared" si="3"/>
        <v>3</v>
      </c>
      <c r="M42" s="442"/>
      <c r="N42" s="138"/>
    </row>
    <row r="43">
      <c r="A43" s="138" t="s">
        <v>1164</v>
      </c>
      <c r="B43" s="103" t="str">
        <f>VLOOKUP(A43,'ALL Tube Results'!A$2:B133,2,FALSE)</f>
        <v>RUN-FLMP_2022-01-10_RFR-053</v>
      </c>
      <c r="C43" s="8" t="s">
        <v>1154</v>
      </c>
      <c r="D43" s="441">
        <v>1.0</v>
      </c>
      <c r="E43" s="441">
        <v>7.0</v>
      </c>
      <c r="F43" s="441">
        <v>1.0</v>
      </c>
      <c r="H43" s="89" t="s">
        <v>1095</v>
      </c>
      <c r="I43" s="60">
        <f t="shared" si="1"/>
        <v>53</v>
      </c>
      <c r="J43" s="30" t="str">
        <f t="shared" si="2"/>
        <v/>
      </c>
      <c r="K43" s="60">
        <f t="shared" si="3"/>
        <v>3</v>
      </c>
      <c r="M43" s="442"/>
      <c r="N43" s="138"/>
    </row>
    <row r="44">
      <c r="A44" s="18" t="s">
        <v>1165</v>
      </c>
      <c r="B44" s="103" t="str">
        <f>VLOOKUP(A44,'ALL Tube Results'!A$2:B133,2,FALSE)</f>
        <v>RUN-FLMP_2022-01-10_RFR-053</v>
      </c>
      <c r="C44" s="8" t="s">
        <v>1154</v>
      </c>
      <c r="D44" s="441">
        <v>1.0</v>
      </c>
      <c r="E44" s="441">
        <v>2.1</v>
      </c>
      <c r="F44" s="441">
        <v>4.0</v>
      </c>
      <c r="G44" s="18" t="s">
        <v>1166</v>
      </c>
      <c r="H44" s="89" t="s">
        <v>1095</v>
      </c>
      <c r="I44" s="60">
        <f t="shared" si="1"/>
        <v>53</v>
      </c>
      <c r="J44" s="30" t="str">
        <f t="shared" si="2"/>
        <v/>
      </c>
      <c r="K44" s="60">
        <f t="shared" si="3"/>
        <v>3</v>
      </c>
      <c r="M44" s="442"/>
      <c r="N44" s="138"/>
    </row>
    <row r="45">
      <c r="A45" s="138" t="s">
        <v>1167</v>
      </c>
      <c r="B45" s="103" t="str">
        <f>VLOOKUP(A45,'ALL Tube Results'!A$2:B133,2,FALSE)</f>
        <v>RUN-FLMP_2022-01-10_RFR-053</v>
      </c>
      <c r="C45" s="8" t="s">
        <v>1154</v>
      </c>
      <c r="D45" s="441">
        <v>1.0</v>
      </c>
      <c r="E45" s="441">
        <v>7.0</v>
      </c>
      <c r="F45" s="441">
        <v>1.0</v>
      </c>
      <c r="H45" s="89" t="s">
        <v>1095</v>
      </c>
      <c r="I45" s="60">
        <f t="shared" si="1"/>
        <v>53</v>
      </c>
      <c r="J45" s="30" t="str">
        <f t="shared" si="2"/>
        <v/>
      </c>
      <c r="K45" s="60">
        <f t="shared" si="3"/>
        <v>3</v>
      </c>
      <c r="M45" s="442"/>
      <c r="N45" s="138"/>
    </row>
    <row r="46">
      <c r="A46" s="453" t="s">
        <v>1168</v>
      </c>
      <c r="B46" s="454" t="str">
        <f>VLOOKUP(A46,'ALL Tube Results'!A$2:B133,2,FALSE)</f>
        <v>RUN-FLMP_2022-01-10_RFR-053</v>
      </c>
      <c r="C46" s="151" t="s">
        <v>1154</v>
      </c>
      <c r="D46" s="441">
        <v>4.0</v>
      </c>
      <c r="E46" s="441">
        <v>7.0</v>
      </c>
      <c r="F46" s="441">
        <v>1.0</v>
      </c>
      <c r="G46" s="453" t="s">
        <v>1169</v>
      </c>
      <c r="H46" s="89">
        <v>16.0</v>
      </c>
      <c r="I46" s="60">
        <f t="shared" si="1"/>
        <v>53</v>
      </c>
      <c r="J46" s="30" t="str">
        <f t="shared" si="2"/>
        <v/>
      </c>
      <c r="K46" s="60">
        <f t="shared" si="3"/>
        <v>3</v>
      </c>
      <c r="M46" s="442"/>
      <c r="N46" s="138"/>
    </row>
    <row r="47">
      <c r="A47" s="18" t="s">
        <v>1170</v>
      </c>
      <c r="B47" s="103" t="str">
        <f>VLOOKUP(A47,'ALL Tube Results'!A$2:B133,2,FALSE)</f>
        <v>RUN-FLMP_2022-01-10_RFR-055</v>
      </c>
      <c r="C47" s="8" t="s">
        <v>1171</v>
      </c>
      <c r="D47" s="441">
        <v>1.0</v>
      </c>
      <c r="E47" s="441">
        <v>9.0</v>
      </c>
      <c r="F47" s="441">
        <v>2.0</v>
      </c>
      <c r="G47" s="18" t="s">
        <v>1172</v>
      </c>
      <c r="H47" s="89" t="s">
        <v>1095</v>
      </c>
      <c r="I47" s="60">
        <f t="shared" si="1"/>
        <v>55</v>
      </c>
      <c r="J47" s="30" t="str">
        <f t="shared" si="2"/>
        <v>R_FLMP-055</v>
      </c>
      <c r="K47" s="60">
        <f t="shared" si="3"/>
        <v>1</v>
      </c>
      <c r="M47" s="442"/>
      <c r="N47" s="138"/>
    </row>
    <row r="48">
      <c r="A48" s="455" t="s">
        <v>687</v>
      </c>
      <c r="B48" s="103" t="str">
        <f>VLOOKUP(A48,'ALL Tube Results'!A$2:B133,2,FALSE)</f>
        <v>RUN-FLMP_2022-01-13_RFR-057</v>
      </c>
      <c r="C48" s="8" t="s">
        <v>1173</v>
      </c>
      <c r="D48" s="441">
        <v>2.2</v>
      </c>
      <c r="E48" s="441">
        <v>1.1</v>
      </c>
      <c r="F48" s="441">
        <v>4.0</v>
      </c>
      <c r="H48" s="89" t="s">
        <v>1095</v>
      </c>
      <c r="I48" s="60">
        <f t="shared" si="1"/>
        <v>57</v>
      </c>
      <c r="J48" s="30" t="str">
        <f t="shared" si="2"/>
        <v>R_FLMP-057</v>
      </c>
      <c r="K48" s="60">
        <f t="shared" si="3"/>
        <v>1</v>
      </c>
      <c r="M48" s="442"/>
      <c r="N48" s="138"/>
    </row>
    <row r="49">
      <c r="A49" s="18" t="str">
        <f t="shared" ref="A49:A50" si="5">CONCATENATE("TUNKFLMP",TEXT(H49,"000"))</f>
        <v>TUNKFLMP013</v>
      </c>
      <c r="B49" s="103" t="str">
        <f>VLOOKUP(A49,'ALL Tube Results'!A$2:B133,2,FALSE)</f>
        <v>#N/A</v>
      </c>
      <c r="C49" s="8" t="s">
        <v>1174</v>
      </c>
      <c r="D49" s="441">
        <v>4.0</v>
      </c>
      <c r="E49" s="441">
        <v>7.0</v>
      </c>
      <c r="F49" s="441">
        <v>1.0</v>
      </c>
      <c r="G49" s="18" t="s">
        <v>1175</v>
      </c>
      <c r="H49" s="89">
        <v>13.0</v>
      </c>
      <c r="I49" s="60">
        <f t="shared" si="1"/>
        <v>59</v>
      </c>
      <c r="J49" s="30" t="str">
        <f t="shared" si="2"/>
        <v>R_FLMP-059</v>
      </c>
      <c r="K49" s="60">
        <f t="shared" si="3"/>
        <v>2</v>
      </c>
      <c r="M49" s="442"/>
      <c r="N49" s="138"/>
    </row>
    <row r="50">
      <c r="A50" s="18" t="str">
        <f t="shared" si="5"/>
        <v>TUNKFLMP014</v>
      </c>
      <c r="B50" s="103" t="str">
        <f>VLOOKUP(A50,'ALL Tube Results'!A$2:B133,2,FALSE)</f>
        <v>#N/A</v>
      </c>
      <c r="C50" s="8" t="s">
        <v>1174</v>
      </c>
      <c r="D50" s="441">
        <v>4.0</v>
      </c>
      <c r="E50" s="441">
        <v>7.0</v>
      </c>
      <c r="F50" s="441">
        <v>1.0</v>
      </c>
      <c r="G50" s="18" t="s">
        <v>1176</v>
      </c>
      <c r="H50" s="89">
        <v>14.0</v>
      </c>
      <c r="I50" s="60">
        <f t="shared" si="1"/>
        <v>59</v>
      </c>
      <c r="J50" s="30" t="str">
        <f t="shared" si="2"/>
        <v/>
      </c>
      <c r="K50" s="60">
        <f t="shared" si="3"/>
        <v>3</v>
      </c>
      <c r="M50" s="442"/>
      <c r="N50" s="138"/>
    </row>
    <row r="51">
      <c r="A51" s="138" t="s">
        <v>1177</v>
      </c>
      <c r="B51" s="103" t="str">
        <f>VLOOKUP(A51,'ALL Tube Results'!A$2:B133,2,FALSE)</f>
        <v>RUN-FLMP_2022-01-17_RFR-063</v>
      </c>
      <c r="C51" s="8" t="s">
        <v>1178</v>
      </c>
      <c r="D51" s="441">
        <v>1.0</v>
      </c>
      <c r="E51" s="441">
        <v>7.0</v>
      </c>
      <c r="F51" s="441">
        <v>1.0</v>
      </c>
      <c r="H51" s="89" t="s">
        <v>1095</v>
      </c>
      <c r="I51" s="60">
        <f t="shared" si="1"/>
        <v>63</v>
      </c>
      <c r="J51" s="30" t="str">
        <f t="shared" si="2"/>
        <v>R_FLMP-063</v>
      </c>
      <c r="K51" s="60">
        <f t="shared" si="3"/>
        <v>6</v>
      </c>
      <c r="M51" s="442"/>
      <c r="N51" s="138"/>
    </row>
    <row r="52">
      <c r="A52" s="138" t="s">
        <v>1179</v>
      </c>
      <c r="B52" s="103" t="str">
        <f>VLOOKUP(A52,'ALL Tube Results'!A$2:B133,2,FALSE)</f>
        <v>RUN-FLMP_2022-01-17_RFR-063</v>
      </c>
      <c r="C52" s="8" t="s">
        <v>1178</v>
      </c>
      <c r="D52" s="441">
        <v>1.0</v>
      </c>
      <c r="E52" s="441">
        <v>7.0</v>
      </c>
      <c r="F52" s="441">
        <v>1.0</v>
      </c>
      <c r="H52" s="89" t="s">
        <v>1095</v>
      </c>
      <c r="I52" s="60">
        <f t="shared" si="1"/>
        <v>63</v>
      </c>
      <c r="J52" s="30" t="str">
        <f t="shared" si="2"/>
        <v/>
      </c>
      <c r="K52" s="60">
        <f t="shared" si="3"/>
        <v>3</v>
      </c>
      <c r="M52" s="442"/>
      <c r="N52" s="138"/>
    </row>
    <row r="53">
      <c r="A53" s="138" t="s">
        <v>1180</v>
      </c>
      <c r="B53" s="103" t="str">
        <f>VLOOKUP(A53,'ALL Tube Results'!A$2:B133,2,FALSE)</f>
        <v>RUN-FLMP_2022-01-17_RFR-063</v>
      </c>
      <c r="C53" s="8" t="s">
        <v>1178</v>
      </c>
      <c r="D53" s="441">
        <v>1.0</v>
      </c>
      <c r="E53" s="441">
        <v>7.0</v>
      </c>
      <c r="F53" s="441">
        <v>1.0</v>
      </c>
      <c r="H53" s="89" t="s">
        <v>1095</v>
      </c>
      <c r="I53" s="60">
        <f t="shared" si="1"/>
        <v>63</v>
      </c>
      <c r="J53" s="30" t="str">
        <f t="shared" si="2"/>
        <v/>
      </c>
      <c r="K53" s="60">
        <f t="shared" si="3"/>
        <v>3</v>
      </c>
      <c r="M53" s="442"/>
      <c r="N53" s="138"/>
    </row>
    <row r="54">
      <c r="A54" s="138" t="s">
        <v>1181</v>
      </c>
      <c r="B54" s="103" t="str">
        <f>VLOOKUP(A54,'ALL Tube Results'!A$2:B133,2,FALSE)</f>
        <v>RUN-FLMP_2022-01-17_RFR-063</v>
      </c>
      <c r="C54" s="8" t="s">
        <v>1178</v>
      </c>
      <c r="D54" s="441">
        <v>1.0</v>
      </c>
      <c r="E54" s="441">
        <v>7.0</v>
      </c>
      <c r="F54" s="441">
        <v>1.0</v>
      </c>
      <c r="H54" s="89" t="s">
        <v>1095</v>
      </c>
      <c r="I54" s="60">
        <f t="shared" si="1"/>
        <v>63</v>
      </c>
      <c r="J54" s="30" t="str">
        <f t="shared" si="2"/>
        <v/>
      </c>
      <c r="K54" s="60">
        <f t="shared" si="3"/>
        <v>3</v>
      </c>
      <c r="M54" s="442"/>
      <c r="N54" s="138"/>
    </row>
    <row r="55">
      <c r="A55" s="138" t="s">
        <v>1182</v>
      </c>
      <c r="B55" s="103" t="str">
        <f>VLOOKUP(A55,'ALL Tube Results'!A$2:B133,2,FALSE)</f>
        <v>RUN-FLMP_2022-01-17_RFR-063</v>
      </c>
      <c r="C55" s="8" t="s">
        <v>1178</v>
      </c>
      <c r="D55" s="441">
        <v>1.0</v>
      </c>
      <c r="E55" s="441">
        <v>7.0</v>
      </c>
      <c r="F55" s="441">
        <v>1.0</v>
      </c>
      <c r="H55" s="89" t="s">
        <v>1095</v>
      </c>
      <c r="I55" s="60">
        <f t="shared" si="1"/>
        <v>63</v>
      </c>
      <c r="J55" s="30" t="str">
        <f t="shared" si="2"/>
        <v/>
      </c>
      <c r="K55" s="60">
        <f t="shared" si="3"/>
        <v>3</v>
      </c>
      <c r="M55" s="442"/>
      <c r="N55" s="138"/>
    </row>
    <row r="56">
      <c r="A56" s="18" t="str">
        <f>CONCATENATE("TUNKFLMP",TEXT(H56,"000"))</f>
        <v>TUNKFLMP005</v>
      </c>
      <c r="B56" s="103" t="str">
        <f>VLOOKUP(A56,'ALL Tube Results'!A$2:B133,2,FALSE)</f>
        <v>#N/A</v>
      </c>
      <c r="C56" s="8" t="s">
        <v>1178</v>
      </c>
      <c r="D56" s="441">
        <v>4.0</v>
      </c>
      <c r="E56" s="441">
        <v>2.0</v>
      </c>
      <c r="F56" s="441">
        <v>4.0</v>
      </c>
      <c r="H56" s="89">
        <v>5.0</v>
      </c>
      <c r="I56" s="60">
        <f t="shared" si="1"/>
        <v>63</v>
      </c>
      <c r="J56" s="30" t="str">
        <f t="shared" si="2"/>
        <v/>
      </c>
      <c r="K56" s="60">
        <f t="shared" si="3"/>
        <v>3</v>
      </c>
      <c r="M56" s="442"/>
      <c r="N56" s="138"/>
    </row>
    <row r="57">
      <c r="A57" s="138" t="s">
        <v>1183</v>
      </c>
      <c r="B57" s="103" t="str">
        <f>VLOOKUP(A57,'ALL Tube Results'!A$2:B133,2,FALSE)</f>
        <v>RUN-FLMP_2022-01-18_RFR-065</v>
      </c>
      <c r="C57" s="8" t="s">
        <v>1184</v>
      </c>
      <c r="D57" s="441">
        <v>1.0</v>
      </c>
      <c r="E57" s="441">
        <v>7.0</v>
      </c>
      <c r="F57" s="441">
        <v>1.0</v>
      </c>
      <c r="H57" s="89" t="s">
        <v>1095</v>
      </c>
      <c r="I57" s="60">
        <f t="shared" si="1"/>
        <v>65</v>
      </c>
      <c r="J57" s="30" t="str">
        <f t="shared" si="2"/>
        <v>R_FLMP-065</v>
      </c>
      <c r="K57" s="60">
        <f t="shared" si="3"/>
        <v>4</v>
      </c>
      <c r="M57" s="442"/>
      <c r="N57" s="138"/>
    </row>
    <row r="58">
      <c r="A58" s="138" t="s">
        <v>1185</v>
      </c>
      <c r="B58" s="103" t="str">
        <f>VLOOKUP(A58,'ALL Tube Results'!A$2:B133,2,FALSE)</f>
        <v>RUN-FLMP_2022-01-18_RFR-065</v>
      </c>
      <c r="C58" s="8" t="s">
        <v>1184</v>
      </c>
      <c r="D58" s="441">
        <v>1.0</v>
      </c>
      <c r="E58" s="441">
        <v>7.0</v>
      </c>
      <c r="F58" s="441">
        <v>1.0</v>
      </c>
      <c r="H58" s="89" t="s">
        <v>1095</v>
      </c>
      <c r="I58" s="60">
        <f t="shared" si="1"/>
        <v>65</v>
      </c>
      <c r="J58" s="30" t="str">
        <f t="shared" si="2"/>
        <v/>
      </c>
      <c r="K58" s="60">
        <f t="shared" si="3"/>
        <v>3</v>
      </c>
      <c r="M58" s="442"/>
      <c r="N58" s="138"/>
    </row>
    <row r="59">
      <c r="A59" s="138" t="s">
        <v>1186</v>
      </c>
      <c r="B59" s="103" t="str">
        <f>VLOOKUP(A59,'ALL Tube Results'!A$2:B133,2,FALSE)</f>
        <v>RUN-FLMP_2022-01-18_RFR-065</v>
      </c>
      <c r="C59" s="8" t="s">
        <v>1184</v>
      </c>
      <c r="D59" s="441">
        <v>1.0</v>
      </c>
      <c r="E59" s="441">
        <v>7.0</v>
      </c>
      <c r="F59" s="441">
        <v>1.0</v>
      </c>
      <c r="H59" s="89" t="s">
        <v>1095</v>
      </c>
      <c r="I59" s="60">
        <f t="shared" si="1"/>
        <v>65</v>
      </c>
      <c r="J59" s="30" t="str">
        <f t="shared" si="2"/>
        <v/>
      </c>
      <c r="K59" s="60">
        <f t="shared" si="3"/>
        <v>3</v>
      </c>
      <c r="M59" s="442"/>
      <c r="N59" s="138"/>
    </row>
    <row r="60">
      <c r="A60" s="138" t="s">
        <v>1187</v>
      </c>
      <c r="B60" s="103" t="str">
        <f>VLOOKUP(A60,'ALL Tube Results'!A$2:B133,2,FALSE)</f>
        <v>RUN-FLMP_2022-01-18_RFR-065</v>
      </c>
      <c r="C60" s="8" t="s">
        <v>1184</v>
      </c>
      <c r="D60" s="441">
        <v>1.0</v>
      </c>
      <c r="E60" s="441">
        <v>7.0</v>
      </c>
      <c r="F60" s="441">
        <v>1.0</v>
      </c>
      <c r="H60" s="89" t="s">
        <v>1095</v>
      </c>
      <c r="I60" s="60">
        <f t="shared" si="1"/>
        <v>65</v>
      </c>
      <c r="J60" s="30" t="str">
        <f t="shared" si="2"/>
        <v/>
      </c>
      <c r="K60" s="60">
        <f t="shared" si="3"/>
        <v>3</v>
      </c>
      <c r="M60" s="442"/>
      <c r="N60" s="138"/>
    </row>
    <row r="61">
      <c r="A61" s="443"/>
      <c r="B61" s="444" t="str">
        <f>VLOOKUP(A61,'ALL Tube Results'!A$2:B133,2,FALSE)</f>
        <v>#N/A</v>
      </c>
      <c r="C61" s="443"/>
      <c r="D61" s="23"/>
      <c r="E61" s="23"/>
      <c r="F61" s="23"/>
      <c r="G61" s="443"/>
      <c r="H61" s="89"/>
      <c r="I61" s="60">
        <f t="shared" si="1"/>
        <v>0</v>
      </c>
      <c r="J61" s="30" t="str">
        <f t="shared" si="2"/>
        <v/>
      </c>
      <c r="K61" s="60">
        <f t="shared" si="3"/>
        <v>0</v>
      </c>
      <c r="M61" s="442"/>
      <c r="N61" s="138"/>
    </row>
    <row r="62">
      <c r="A62" s="443"/>
      <c r="B62" s="444" t="str">
        <f>VLOOKUP(A62,'ALL Tube Results'!A$2:B133,2,FALSE)</f>
        <v>#N/A</v>
      </c>
      <c r="C62" s="443"/>
      <c r="D62" s="23"/>
      <c r="E62" s="23"/>
      <c r="F62" s="23"/>
      <c r="G62" s="443"/>
      <c r="H62" s="89"/>
      <c r="I62" s="60">
        <f t="shared" si="1"/>
        <v>0</v>
      </c>
      <c r="J62" s="30" t="str">
        <f t="shared" si="2"/>
        <v/>
      </c>
      <c r="K62" s="60">
        <f t="shared" si="3"/>
        <v>3</v>
      </c>
      <c r="M62" s="442"/>
      <c r="N62" s="138"/>
    </row>
    <row r="63">
      <c r="A63" s="441" t="s">
        <v>1188</v>
      </c>
      <c r="B63" s="456" t="str">
        <f>VLOOKUP(A63,'ALL Tube Results'!A$2:B133,2,FALSE)</f>
        <v>RUN-FLMP_2022-01-20_RFR-067</v>
      </c>
      <c r="C63" s="23" t="s">
        <v>1189</v>
      </c>
      <c r="D63" s="441">
        <v>2.2</v>
      </c>
      <c r="E63" s="441">
        <v>1.1</v>
      </c>
      <c r="F63" s="441">
        <v>4.0</v>
      </c>
      <c r="G63" s="441" t="s">
        <v>1190</v>
      </c>
      <c r="H63" s="89" t="s">
        <v>1095</v>
      </c>
      <c r="I63" s="60">
        <f t="shared" si="1"/>
        <v>67</v>
      </c>
      <c r="J63" s="30" t="str">
        <f>IF(C63&lt;&gt;C60,C63,"")</f>
        <v>R_FLMP-067</v>
      </c>
      <c r="K63" s="60">
        <f t="shared" si="3"/>
        <v>2</v>
      </c>
      <c r="M63" s="442"/>
      <c r="N63" s="138"/>
    </row>
    <row r="64">
      <c r="A64" s="441" t="s">
        <v>1191</v>
      </c>
      <c r="B64" s="456" t="str">
        <f>VLOOKUP(A64,'ALL Tube Results'!A$2:B133,2,FALSE)</f>
        <v>#N/A</v>
      </c>
      <c r="C64" s="23" t="s">
        <v>1189</v>
      </c>
      <c r="D64" s="441">
        <v>2.2</v>
      </c>
      <c r="E64" s="441">
        <v>1.1</v>
      </c>
      <c r="F64" s="441">
        <v>4.0</v>
      </c>
      <c r="G64" s="441" t="s">
        <v>1190</v>
      </c>
      <c r="H64" s="89" t="s">
        <v>1095</v>
      </c>
      <c r="I64" s="60">
        <f t="shared" si="1"/>
        <v>67</v>
      </c>
      <c r="J64" s="30" t="str">
        <f t="shared" ref="J64:J73" si="6">IF(C64&lt;&gt;C63,C64,"")</f>
        <v/>
      </c>
      <c r="K64" s="60">
        <f t="shared" si="3"/>
        <v>3</v>
      </c>
      <c r="M64" s="442"/>
      <c r="N64" s="138"/>
    </row>
    <row r="65">
      <c r="A65" s="18" t="s">
        <v>1192</v>
      </c>
      <c r="B65" s="449" t="str">
        <f>VLOOKUP(A65,'ALL Tube Results'!A$2:B133,2,FALSE)</f>
        <v>RUN-FLMP_2022-01-24_RFR-072</v>
      </c>
      <c r="C65" s="450" t="s">
        <v>1193</v>
      </c>
      <c r="D65" s="441">
        <v>1.0</v>
      </c>
      <c r="E65" s="441">
        <v>2.0</v>
      </c>
      <c r="F65" s="441">
        <v>4.0</v>
      </c>
      <c r="H65" s="89" t="s">
        <v>1095</v>
      </c>
      <c r="I65" s="60">
        <f t="shared" si="1"/>
        <v>72</v>
      </c>
      <c r="J65" s="30" t="str">
        <f t="shared" si="6"/>
        <v>R_FLMP-072</v>
      </c>
      <c r="K65" s="60">
        <f t="shared" si="3"/>
        <v>4</v>
      </c>
      <c r="M65" s="442"/>
      <c r="N65" s="138"/>
    </row>
    <row r="66">
      <c r="A66" s="18" t="s">
        <v>1194</v>
      </c>
      <c r="B66" s="449" t="str">
        <f>VLOOKUP(A66,'ALL Tube Results'!A$2:B133,2,FALSE)</f>
        <v>RUN-FLMP_2022-01-24_RFR-072</v>
      </c>
      <c r="C66" s="450" t="s">
        <v>1193</v>
      </c>
      <c r="D66" s="441">
        <v>1.0</v>
      </c>
      <c r="E66" s="441">
        <v>5.0</v>
      </c>
      <c r="F66" s="441">
        <v>4.0</v>
      </c>
      <c r="H66" s="89" t="s">
        <v>1095</v>
      </c>
      <c r="I66" s="60">
        <f t="shared" si="1"/>
        <v>72</v>
      </c>
      <c r="J66" s="30" t="str">
        <f t="shared" si="6"/>
        <v/>
      </c>
      <c r="K66" s="60">
        <f t="shared" si="3"/>
        <v>3</v>
      </c>
      <c r="M66" s="442"/>
      <c r="N66" s="138"/>
    </row>
    <row r="67">
      <c r="A67" s="18" t="s">
        <v>1195</v>
      </c>
      <c r="B67" s="449" t="str">
        <f>VLOOKUP(A67,'ALL Tube Results'!A$2:B133,2,FALSE)</f>
        <v>RUN-FLMP_2022-01-24_RFR-072</v>
      </c>
      <c r="C67" s="450" t="s">
        <v>1193</v>
      </c>
      <c r="D67" s="441">
        <v>1.0</v>
      </c>
      <c r="E67" s="441">
        <v>2.0</v>
      </c>
      <c r="F67" s="441">
        <v>4.0</v>
      </c>
      <c r="H67" s="89" t="s">
        <v>1095</v>
      </c>
      <c r="I67" s="60">
        <f t="shared" si="1"/>
        <v>72</v>
      </c>
      <c r="J67" s="30" t="str">
        <f t="shared" si="6"/>
        <v/>
      </c>
      <c r="K67" s="60">
        <f t="shared" si="3"/>
        <v>3</v>
      </c>
      <c r="M67" s="442"/>
      <c r="N67" s="138"/>
    </row>
    <row r="68">
      <c r="A68" s="18" t="s">
        <v>1196</v>
      </c>
      <c r="B68" s="449" t="str">
        <f>VLOOKUP(A68,'ALL Tube Results'!A$2:B133,2,FALSE)</f>
        <v>RUN-FLMP_2022-01-24_RFR-072</v>
      </c>
      <c r="C68" s="450" t="s">
        <v>1193</v>
      </c>
      <c r="D68" s="441">
        <v>1.0</v>
      </c>
      <c r="E68" s="441">
        <v>5.0</v>
      </c>
      <c r="F68" s="441">
        <v>4.0</v>
      </c>
      <c r="H68" s="89" t="s">
        <v>1095</v>
      </c>
      <c r="I68" s="60">
        <f t="shared" si="1"/>
        <v>72</v>
      </c>
      <c r="J68" s="30" t="str">
        <f t="shared" si="6"/>
        <v/>
      </c>
      <c r="K68" s="60">
        <f t="shared" si="3"/>
        <v>3</v>
      </c>
      <c r="M68" s="442"/>
      <c r="N68" s="138"/>
    </row>
    <row r="69">
      <c r="A69" s="194" t="s">
        <v>1197</v>
      </c>
      <c r="B69" s="103" t="str">
        <f>VLOOKUP(A69,'ALL Tube Results'!A$2:B133,2,FALSE)</f>
        <v>RUN-FLMP_2022-01-31_RFR-076</v>
      </c>
      <c r="C69" s="8" t="s">
        <v>1198</v>
      </c>
      <c r="D69" s="441">
        <v>2.2</v>
      </c>
      <c r="E69" s="441">
        <v>2.0</v>
      </c>
      <c r="F69" s="441">
        <v>4.0</v>
      </c>
      <c r="G69" s="18" t="s">
        <v>1199</v>
      </c>
      <c r="H69" s="89" t="s">
        <v>1095</v>
      </c>
      <c r="I69" s="60">
        <f t="shared" si="1"/>
        <v>76</v>
      </c>
      <c r="J69" s="30" t="str">
        <f t="shared" si="6"/>
        <v>R_FLMP-076</v>
      </c>
      <c r="K69" s="60">
        <f t="shared" si="3"/>
        <v>3</v>
      </c>
      <c r="M69" s="442"/>
      <c r="N69" s="138"/>
    </row>
    <row r="70">
      <c r="A70" s="194" t="s">
        <v>1200</v>
      </c>
      <c r="B70" s="103" t="str">
        <f>VLOOKUP(A70,'ALL Tube Results'!A$2:B133,2,FALSE)</f>
        <v>RUN-FLMP_2022-01-31_RFR-076</v>
      </c>
      <c r="C70" s="8" t="s">
        <v>1198</v>
      </c>
      <c r="D70" s="441">
        <v>2.2</v>
      </c>
      <c r="E70" s="441">
        <v>1.1</v>
      </c>
      <c r="F70" s="441">
        <v>4.0</v>
      </c>
      <c r="G70" s="18" t="s">
        <v>1199</v>
      </c>
      <c r="H70" s="89" t="s">
        <v>1095</v>
      </c>
      <c r="I70" s="60">
        <f t="shared" si="1"/>
        <v>76</v>
      </c>
      <c r="J70" s="30" t="str">
        <f t="shared" si="6"/>
        <v/>
      </c>
      <c r="K70" s="60">
        <f t="shared" si="3"/>
        <v>3</v>
      </c>
      <c r="M70" s="442"/>
      <c r="N70" s="138"/>
    </row>
    <row r="71">
      <c r="A71" s="457" t="s">
        <v>1201</v>
      </c>
      <c r="B71" s="103" t="str">
        <f>VLOOKUP(A71,'ALL Tube Results'!A$2:B133,2,FALSE)</f>
        <v>RUN-FLMP_2022-01-31_RFR-076</v>
      </c>
      <c r="C71" s="8" t="s">
        <v>1198</v>
      </c>
      <c r="D71" s="441">
        <v>2.2</v>
      </c>
      <c r="E71" s="441">
        <v>1.1</v>
      </c>
      <c r="F71" s="441">
        <v>4.0</v>
      </c>
      <c r="G71" s="18" t="s">
        <v>1199</v>
      </c>
      <c r="H71" s="89" t="s">
        <v>1095</v>
      </c>
      <c r="I71" s="60">
        <f t="shared" si="1"/>
        <v>76</v>
      </c>
      <c r="J71" s="30" t="str">
        <f t="shared" si="6"/>
        <v/>
      </c>
      <c r="K71" s="60">
        <f t="shared" si="3"/>
        <v>3</v>
      </c>
      <c r="M71" s="442"/>
      <c r="N71" s="138"/>
    </row>
    <row r="72">
      <c r="A72" s="194" t="s">
        <v>779</v>
      </c>
      <c r="B72" s="103" t="str">
        <f>VLOOKUP(A72,'ALL Tube Results'!A$2:B133,2,FALSE)</f>
        <v>RUN-FLMP_2022-02-07_RFR-083</v>
      </c>
      <c r="C72" s="8" t="s">
        <v>1202</v>
      </c>
      <c r="D72" s="441">
        <v>2.2</v>
      </c>
      <c r="E72" s="441">
        <v>1.1</v>
      </c>
      <c r="F72" s="441">
        <v>4.0</v>
      </c>
      <c r="H72" s="89" t="s">
        <v>1095</v>
      </c>
      <c r="I72" s="60">
        <f t="shared" si="1"/>
        <v>83</v>
      </c>
      <c r="J72" s="30" t="str">
        <f t="shared" si="6"/>
        <v>R_FLMP-083</v>
      </c>
      <c r="K72" s="60">
        <f t="shared" si="3"/>
        <v>1</v>
      </c>
      <c r="M72" s="442"/>
      <c r="N72" s="138"/>
    </row>
    <row r="73">
      <c r="A73" s="18" t="s">
        <v>785</v>
      </c>
      <c r="B73" s="103" t="str">
        <f>VLOOKUP(A73,'ALL Tube Results'!A$2:B133,2,FALSE)</f>
        <v>RUN-FLMP_2022-02-10_RFR-085</v>
      </c>
      <c r="C73" s="8" t="s">
        <v>1203</v>
      </c>
      <c r="D73" s="441">
        <v>2.2</v>
      </c>
      <c r="E73" s="441">
        <v>2.0</v>
      </c>
      <c r="F73" s="441">
        <v>4.0</v>
      </c>
      <c r="H73" s="89" t="s">
        <v>1095</v>
      </c>
      <c r="I73" s="60">
        <f t="shared" si="1"/>
        <v>85</v>
      </c>
      <c r="J73" s="30" t="str">
        <f t="shared" si="6"/>
        <v>R_FLMP-085</v>
      </c>
      <c r="K73" s="60">
        <f t="shared" si="3"/>
        <v>1</v>
      </c>
      <c r="M73" s="442"/>
      <c r="N73" s="138"/>
    </row>
    <row r="74">
      <c r="A74" s="194" t="s">
        <v>1204</v>
      </c>
      <c r="B74" s="449" t="str">
        <f>VLOOKUP(A74,'ALL Tube Results'!A$2:B133,2,FALSE)</f>
        <v>RUN-FLMP_2022-02-14_RFR-088</v>
      </c>
      <c r="C74" s="450" t="s">
        <v>1205</v>
      </c>
      <c r="D74" s="441">
        <v>1.0</v>
      </c>
      <c r="E74" s="441">
        <v>1.2</v>
      </c>
      <c r="F74" s="441">
        <v>1.0</v>
      </c>
      <c r="H74" s="89" t="s">
        <v>1095</v>
      </c>
      <c r="I74" s="60">
        <f t="shared" si="1"/>
        <v>88</v>
      </c>
      <c r="J74" s="30" t="str">
        <f t="shared" ref="J74:J75" si="7">IF(C74&lt;&gt;C72,C74,"")</f>
        <v>R_FLMP-088</v>
      </c>
      <c r="K74" s="60">
        <f t="shared" si="3"/>
        <v>2</v>
      </c>
      <c r="M74" s="442"/>
      <c r="N74" s="138"/>
    </row>
    <row r="75">
      <c r="A75" s="194" t="s">
        <v>1206</v>
      </c>
      <c r="B75" s="449" t="str">
        <f>VLOOKUP(A75,'ALL Tube Results'!A$2:B133,2,FALSE)</f>
        <v>RUN-FLMP_2022-02-14_RFR-088</v>
      </c>
      <c r="C75" s="450" t="s">
        <v>1205</v>
      </c>
      <c r="D75" s="441">
        <v>1.0</v>
      </c>
      <c r="E75" s="441">
        <v>3.0</v>
      </c>
      <c r="F75" s="441">
        <v>1.0</v>
      </c>
      <c r="H75" s="89" t="s">
        <v>1095</v>
      </c>
      <c r="I75" s="60">
        <f t="shared" si="1"/>
        <v>88</v>
      </c>
      <c r="J75" s="30" t="str">
        <f t="shared" si="7"/>
        <v>R_FLMP-088</v>
      </c>
      <c r="K75" s="60">
        <f t="shared" si="3"/>
        <v>2</v>
      </c>
      <c r="M75" s="442"/>
      <c r="N75" s="138"/>
    </row>
    <row r="76">
      <c r="A76" s="18" t="s">
        <v>1207</v>
      </c>
      <c r="B76" s="449" t="str">
        <f>VLOOKUP(A76,'ALL Tube Results'!A$2:B133,2,FALSE)</f>
        <v>RUN-FLMP_2022-02-27_RFR-091</v>
      </c>
      <c r="C76" s="450" t="s">
        <v>1208</v>
      </c>
      <c r="D76" s="441">
        <v>1.0</v>
      </c>
      <c r="E76" s="441">
        <v>2.1</v>
      </c>
      <c r="F76" s="441">
        <v>4.0</v>
      </c>
      <c r="G76" s="18" t="s">
        <v>1209</v>
      </c>
      <c r="H76" s="89" t="s">
        <v>1095</v>
      </c>
      <c r="I76" s="60">
        <f t="shared" si="1"/>
        <v>91</v>
      </c>
      <c r="J76" s="30" t="str">
        <f t="shared" ref="J76:J133" si="8">IF(C76&lt;&gt;C75,C76,"")</f>
        <v>R_FLMP-091</v>
      </c>
      <c r="K76" s="60">
        <f t="shared" si="3"/>
        <v>4</v>
      </c>
      <c r="M76" s="442"/>
      <c r="N76" s="138"/>
    </row>
    <row r="77">
      <c r="A77" s="18" t="s">
        <v>1210</v>
      </c>
      <c r="B77" s="449" t="str">
        <f>VLOOKUP(A77,'ALL Tube Results'!A$2:B133,2,FALSE)</f>
        <v>RUN-FLMP_2022-02-27_RFR-091</v>
      </c>
      <c r="C77" s="450" t="s">
        <v>1208</v>
      </c>
      <c r="D77" s="441">
        <v>1.0</v>
      </c>
      <c r="E77" s="441">
        <v>1.1</v>
      </c>
      <c r="F77" s="441">
        <v>4.0</v>
      </c>
      <c r="G77" s="18" t="s">
        <v>1211</v>
      </c>
      <c r="H77" s="89" t="s">
        <v>1095</v>
      </c>
      <c r="I77" s="60">
        <f t="shared" si="1"/>
        <v>91</v>
      </c>
      <c r="J77" s="30" t="str">
        <f t="shared" si="8"/>
        <v/>
      </c>
      <c r="K77" s="60">
        <f t="shared" si="3"/>
        <v>3</v>
      </c>
      <c r="M77" s="442"/>
      <c r="N77" s="138"/>
    </row>
    <row r="78">
      <c r="A78" s="18" t="s">
        <v>1212</v>
      </c>
      <c r="B78" s="449" t="str">
        <f>VLOOKUP(A78,'ALL Tube Results'!A$2:B133,2,FALSE)</f>
        <v>RUN-FLMP_2022-02-27_RFR-091</v>
      </c>
      <c r="C78" s="450" t="s">
        <v>1208</v>
      </c>
      <c r="D78" s="441">
        <v>1.0</v>
      </c>
      <c r="E78" s="441">
        <v>2.0</v>
      </c>
      <c r="F78" s="441">
        <v>4.0</v>
      </c>
      <c r="H78" s="89" t="s">
        <v>1095</v>
      </c>
      <c r="I78" s="60">
        <f t="shared" si="1"/>
        <v>91</v>
      </c>
      <c r="J78" s="30" t="str">
        <f t="shared" si="8"/>
        <v/>
      </c>
      <c r="K78" s="60">
        <f t="shared" si="3"/>
        <v>3</v>
      </c>
      <c r="M78" s="442"/>
      <c r="N78" s="138"/>
    </row>
    <row r="79">
      <c r="A79" s="18" t="s">
        <v>1213</v>
      </c>
      <c r="B79" s="449" t="str">
        <f>VLOOKUP(A79,'ALL Tube Results'!A$2:B133,2,FALSE)</f>
        <v>RUN-FLMP_2022-02-27_RFR-091</v>
      </c>
      <c r="C79" s="450" t="s">
        <v>1208</v>
      </c>
      <c r="D79" s="441">
        <v>1.0</v>
      </c>
      <c r="E79" s="441">
        <v>2.0</v>
      </c>
      <c r="F79" s="441">
        <v>4.0</v>
      </c>
      <c r="H79" s="89" t="s">
        <v>1095</v>
      </c>
      <c r="I79" s="60">
        <f t="shared" si="1"/>
        <v>91</v>
      </c>
      <c r="J79" s="30" t="str">
        <f t="shared" si="8"/>
        <v/>
      </c>
      <c r="K79" s="60">
        <f t="shared" si="3"/>
        <v>3</v>
      </c>
      <c r="M79" s="458"/>
      <c r="N79" s="138"/>
    </row>
    <row r="80">
      <c r="A80" s="451" t="s">
        <v>1214</v>
      </c>
      <c r="B80" s="103" t="str">
        <f>VLOOKUP(A80,'ALL Tube Results'!A$2:B133,2,FALSE)</f>
        <v>RUN-FLMP_2022-03-03_RFR-093</v>
      </c>
      <c r="C80" s="8" t="s">
        <v>1215</v>
      </c>
      <c r="D80" s="441">
        <v>1.0</v>
      </c>
      <c r="E80" s="441">
        <v>2.0</v>
      </c>
      <c r="F80" s="441">
        <v>4.0</v>
      </c>
      <c r="G80" s="18" t="s">
        <v>1216</v>
      </c>
      <c r="H80" s="89" t="s">
        <v>1095</v>
      </c>
      <c r="I80" s="60">
        <f t="shared" si="1"/>
        <v>93</v>
      </c>
      <c r="J80" s="30" t="str">
        <f t="shared" si="8"/>
        <v>R_FLMP-093</v>
      </c>
      <c r="K80" s="60">
        <f t="shared" si="3"/>
        <v>1</v>
      </c>
      <c r="M80" s="442"/>
      <c r="N80" s="138"/>
    </row>
    <row r="81">
      <c r="A81" s="194" t="s">
        <v>1217</v>
      </c>
      <c r="B81" s="103" t="str">
        <f>VLOOKUP(A81,'ALL Tube Results'!A$2:B133,2,FALSE)</f>
        <v>RUN-FLMP_2022-03-07_RFR-096</v>
      </c>
      <c r="C81" s="8" t="s">
        <v>1218</v>
      </c>
      <c r="D81" s="441">
        <v>2.2</v>
      </c>
      <c r="E81" s="441">
        <v>2.0</v>
      </c>
      <c r="F81" s="441">
        <v>4.0</v>
      </c>
      <c r="G81" s="18" t="s">
        <v>1199</v>
      </c>
      <c r="H81" s="89" t="s">
        <v>1095</v>
      </c>
      <c r="I81" s="60">
        <f t="shared" si="1"/>
        <v>96</v>
      </c>
      <c r="J81" s="30" t="str">
        <f t="shared" si="8"/>
        <v>R_FLMP-096</v>
      </c>
      <c r="K81" s="60">
        <f t="shared" si="3"/>
        <v>2</v>
      </c>
      <c r="M81" s="442"/>
      <c r="N81" s="138"/>
    </row>
    <row r="82">
      <c r="A82" s="194" t="s">
        <v>1219</v>
      </c>
      <c r="B82" s="103" t="str">
        <f>VLOOKUP(A82,'ALL Tube Results'!A$2:B133,2,FALSE)</f>
        <v>RUN-FLMP_2022-03-07_RFR-096</v>
      </c>
      <c r="C82" s="8" t="s">
        <v>1218</v>
      </c>
      <c r="D82" s="441">
        <v>2.2</v>
      </c>
      <c r="E82" s="441">
        <v>1.1</v>
      </c>
      <c r="F82" s="441">
        <v>4.0</v>
      </c>
      <c r="G82" s="18" t="s">
        <v>1199</v>
      </c>
      <c r="H82" s="89" t="s">
        <v>1095</v>
      </c>
      <c r="I82" s="60">
        <f t="shared" si="1"/>
        <v>96</v>
      </c>
      <c r="J82" s="30" t="str">
        <f t="shared" si="8"/>
        <v/>
      </c>
      <c r="K82" s="60">
        <f t="shared" si="3"/>
        <v>3</v>
      </c>
      <c r="M82" s="442"/>
      <c r="N82" s="138"/>
    </row>
    <row r="83">
      <c r="A83" s="455" t="s">
        <v>832</v>
      </c>
      <c r="B83" s="103" t="str">
        <f>VLOOKUP(A83,'ALL Tube Results'!A$2:B133,2,FALSE)</f>
        <v>RUN-FLMP_2022-03-14_RFR-100</v>
      </c>
      <c r="C83" s="8" t="s">
        <v>1220</v>
      </c>
      <c r="D83" s="441">
        <v>2.2</v>
      </c>
      <c r="E83" s="441">
        <v>2.0</v>
      </c>
      <c r="F83" s="441">
        <v>4.0</v>
      </c>
      <c r="H83" s="89" t="s">
        <v>1095</v>
      </c>
      <c r="I83" s="60">
        <f t="shared" si="1"/>
        <v>100</v>
      </c>
      <c r="J83" s="30" t="str">
        <f t="shared" si="8"/>
        <v>R_FLMP-100</v>
      </c>
      <c r="K83" s="60">
        <f t="shared" si="3"/>
        <v>1</v>
      </c>
      <c r="M83" s="442"/>
      <c r="N83" s="138"/>
    </row>
    <row r="84">
      <c r="A84" s="18" t="s">
        <v>1221</v>
      </c>
      <c r="B84" s="449" t="str">
        <f>VLOOKUP(A84,'ALL Tube Results'!A$2:B133,2,FALSE)</f>
        <v>RUN-FLMP_2022-03-22_RFR-103</v>
      </c>
      <c r="C84" s="450" t="s">
        <v>1222</v>
      </c>
      <c r="D84" s="441">
        <v>1.0</v>
      </c>
      <c r="E84" s="441">
        <v>2.3</v>
      </c>
      <c r="F84" s="441">
        <v>3.0</v>
      </c>
      <c r="G84" s="18" t="s">
        <v>1223</v>
      </c>
      <c r="H84" s="89" t="s">
        <v>1095</v>
      </c>
      <c r="I84" s="60">
        <f t="shared" si="1"/>
        <v>103</v>
      </c>
      <c r="J84" s="30" t="str">
        <f t="shared" si="8"/>
        <v>R_FLMP-103</v>
      </c>
      <c r="K84" s="60">
        <f t="shared" si="3"/>
        <v>1</v>
      </c>
      <c r="M84" s="442"/>
      <c r="N84" s="138"/>
    </row>
    <row r="85">
      <c r="A85" s="194" t="s">
        <v>1224</v>
      </c>
      <c r="B85" s="103" t="str">
        <f>VLOOKUP(A85,'ALL Tube Results'!A$2:B133,2,FALSE)</f>
        <v>RUN-FLMP_2022-04-04_RFR-105</v>
      </c>
      <c r="C85" s="8" t="s">
        <v>1225</v>
      </c>
      <c r="D85" s="441">
        <v>2.2</v>
      </c>
      <c r="E85" s="441">
        <v>2.0</v>
      </c>
      <c r="F85" s="441">
        <v>4.0</v>
      </c>
      <c r="G85" s="18" t="s">
        <v>1226</v>
      </c>
      <c r="H85" s="89" t="s">
        <v>1095</v>
      </c>
      <c r="I85" s="60">
        <f t="shared" si="1"/>
        <v>105</v>
      </c>
      <c r="J85" s="30" t="str">
        <f t="shared" si="8"/>
        <v>R_FLMP-105</v>
      </c>
      <c r="K85" s="60">
        <f t="shared" si="3"/>
        <v>2</v>
      </c>
      <c r="M85" s="442"/>
      <c r="N85" s="138"/>
    </row>
    <row r="86">
      <c r="A86" s="194" t="s">
        <v>1227</v>
      </c>
      <c r="B86" s="103" t="str">
        <f>VLOOKUP(A86,'ALL Tube Results'!A$2:B133,2,FALSE)</f>
        <v>RUN-FLMP_2022-04-04_RFR-105</v>
      </c>
      <c r="C86" s="8" t="s">
        <v>1225</v>
      </c>
      <c r="D86" s="441">
        <v>2.2</v>
      </c>
      <c r="E86" s="441">
        <v>2.0</v>
      </c>
      <c r="F86" s="441">
        <v>4.0</v>
      </c>
      <c r="H86" s="89" t="s">
        <v>1095</v>
      </c>
      <c r="I86" s="60">
        <f t="shared" si="1"/>
        <v>105</v>
      </c>
      <c r="J86" s="30" t="str">
        <f t="shared" si="8"/>
        <v/>
      </c>
      <c r="K86" s="60">
        <f t="shared" si="3"/>
        <v>3</v>
      </c>
      <c r="M86" s="442"/>
      <c r="N86" s="138"/>
    </row>
    <row r="87">
      <c r="A87" s="18" t="str">
        <f t="shared" ref="A87:A89" si="9">CONCATENATE("TUNKFLMP",TEXT(H87,"000"))</f>
        <v>TUNKFLMP002</v>
      </c>
      <c r="B87" s="103" t="str">
        <f>VLOOKUP(A87,'ALL Tube Results'!A$2:B133,2,FALSE)</f>
        <v>#N/A</v>
      </c>
      <c r="C87" s="8" t="s">
        <v>1228</v>
      </c>
      <c r="D87" s="441">
        <v>4.0</v>
      </c>
      <c r="E87" s="441">
        <v>5.0</v>
      </c>
      <c r="F87" s="441">
        <v>4.0</v>
      </c>
      <c r="H87" s="89">
        <v>2.0</v>
      </c>
      <c r="I87" s="60">
        <f t="shared" si="1"/>
        <v>107</v>
      </c>
      <c r="J87" s="30" t="str">
        <f t="shared" si="8"/>
        <v>R_FLMP-107</v>
      </c>
      <c r="K87" s="60">
        <f t="shared" si="3"/>
        <v>1</v>
      </c>
      <c r="M87" s="442"/>
      <c r="N87" s="138"/>
    </row>
    <row r="88">
      <c r="A88" s="18" t="str">
        <f t="shared" si="9"/>
        <v>TUNKFLMP003</v>
      </c>
      <c r="B88" s="103" t="str">
        <f>VLOOKUP(A88,'ALL Tube Results'!A$2:B133,2,FALSE)</f>
        <v>#N/A</v>
      </c>
      <c r="C88" s="8" t="s">
        <v>1229</v>
      </c>
      <c r="D88" s="441">
        <v>4.0</v>
      </c>
      <c r="E88" s="441">
        <v>2.0</v>
      </c>
      <c r="F88" s="441">
        <v>4.0</v>
      </c>
      <c r="H88" s="89">
        <v>3.0</v>
      </c>
      <c r="I88" s="60">
        <f t="shared" si="1"/>
        <v>109</v>
      </c>
      <c r="J88" s="30" t="str">
        <f t="shared" si="8"/>
        <v>R_FLMP-109</v>
      </c>
      <c r="K88" s="60">
        <f t="shared" si="3"/>
        <v>2</v>
      </c>
      <c r="M88" s="442"/>
      <c r="N88" s="138"/>
    </row>
    <row r="89">
      <c r="A89" s="18" t="str">
        <f t="shared" si="9"/>
        <v>TUNKFLMP004</v>
      </c>
      <c r="B89" s="103" t="str">
        <f>VLOOKUP(A89,'ALL Tube Results'!A$2:B133,2,FALSE)</f>
        <v>#N/A</v>
      </c>
      <c r="C89" s="8" t="s">
        <v>1229</v>
      </c>
      <c r="D89" s="441">
        <v>4.0</v>
      </c>
      <c r="E89" s="441">
        <v>2.0</v>
      </c>
      <c r="F89" s="441">
        <v>4.0</v>
      </c>
      <c r="H89" s="89">
        <v>4.0</v>
      </c>
      <c r="I89" s="60">
        <f t="shared" si="1"/>
        <v>109</v>
      </c>
      <c r="J89" s="30" t="str">
        <f t="shared" si="8"/>
        <v/>
      </c>
      <c r="K89" s="60">
        <f t="shared" si="3"/>
        <v>3</v>
      </c>
      <c r="M89" s="442"/>
      <c r="N89" s="138"/>
    </row>
    <row r="90">
      <c r="A90" s="194" t="s">
        <v>1230</v>
      </c>
      <c r="B90" s="103" t="str">
        <f>VLOOKUP(A90,'ALL Tube Results'!A$2:B133,2,FALSE)</f>
        <v>RUN-FLMP_2022-04-14_RFR-111</v>
      </c>
      <c r="C90" s="8" t="s">
        <v>1231</v>
      </c>
      <c r="D90" s="441">
        <v>2.2</v>
      </c>
      <c r="E90" s="441">
        <v>2.0</v>
      </c>
      <c r="F90" s="441">
        <v>4.0</v>
      </c>
      <c r="G90" s="18" t="s">
        <v>1232</v>
      </c>
      <c r="H90" s="89" t="s">
        <v>1095</v>
      </c>
      <c r="I90" s="60">
        <f t="shared" si="1"/>
        <v>111</v>
      </c>
      <c r="J90" s="30" t="str">
        <f t="shared" si="8"/>
        <v>R_FLMP-111</v>
      </c>
      <c r="K90" s="60">
        <f t="shared" si="3"/>
        <v>2</v>
      </c>
      <c r="M90" s="442"/>
      <c r="N90" s="138"/>
    </row>
    <row r="91">
      <c r="A91" s="18" t="s">
        <v>1233</v>
      </c>
      <c r="B91" s="103" t="str">
        <f>VLOOKUP(A91,'ALL Tube Results'!A$2:B133,2,FALSE)</f>
        <v>RUN-FLMP_2022-04-14_RFR-111</v>
      </c>
      <c r="C91" s="8" t="s">
        <v>1231</v>
      </c>
      <c r="D91" s="441">
        <v>2.2</v>
      </c>
      <c r="E91" s="441">
        <v>1.1</v>
      </c>
      <c r="F91" s="441">
        <v>4.0</v>
      </c>
      <c r="G91" s="18" t="s">
        <v>1232</v>
      </c>
      <c r="H91" s="89" t="s">
        <v>1095</v>
      </c>
      <c r="I91" s="60">
        <f t="shared" si="1"/>
        <v>111</v>
      </c>
      <c r="J91" s="30" t="str">
        <f t="shared" si="8"/>
        <v/>
      </c>
      <c r="K91" s="60">
        <f t="shared" si="3"/>
        <v>3</v>
      </c>
      <c r="M91" s="442"/>
      <c r="N91" s="138"/>
    </row>
    <row r="92">
      <c r="A92" s="194" t="s">
        <v>1234</v>
      </c>
      <c r="B92" s="103" t="str">
        <f>VLOOKUP(A92,'ALL Tube Results'!A$2:B133,2,FALSE)</f>
        <v>RUN-FLMP_2022-04-18_RFR-113</v>
      </c>
      <c r="C92" s="8" t="s">
        <v>1235</v>
      </c>
      <c r="D92" s="441">
        <v>2.2</v>
      </c>
      <c r="E92" s="441">
        <v>2.4</v>
      </c>
      <c r="F92" s="441">
        <v>3.0</v>
      </c>
      <c r="H92" s="89" t="s">
        <v>1095</v>
      </c>
      <c r="I92" s="60">
        <f t="shared" si="1"/>
        <v>113</v>
      </c>
      <c r="J92" s="30" t="str">
        <f t="shared" si="8"/>
        <v>R_FLMP-113</v>
      </c>
      <c r="K92" s="60">
        <f t="shared" si="3"/>
        <v>2</v>
      </c>
      <c r="M92" s="442"/>
      <c r="N92" s="138"/>
    </row>
    <row r="93">
      <c r="A93" s="194" t="s">
        <v>1236</v>
      </c>
      <c r="B93" s="103" t="str">
        <f>VLOOKUP(A93,'ALL Tube Results'!A$2:B133,2,FALSE)</f>
        <v>RUN-FLMP_2022-04-18_RFR-113</v>
      </c>
      <c r="C93" s="8" t="s">
        <v>1235</v>
      </c>
      <c r="D93" s="441">
        <v>2.2</v>
      </c>
      <c r="E93" s="441">
        <v>2.4</v>
      </c>
      <c r="F93" s="441">
        <v>3.0</v>
      </c>
      <c r="H93" s="89" t="s">
        <v>1095</v>
      </c>
      <c r="I93" s="60">
        <f t="shared" si="1"/>
        <v>113</v>
      </c>
      <c r="J93" s="30" t="str">
        <f t="shared" si="8"/>
        <v/>
      </c>
      <c r="K93" s="60">
        <f t="shared" si="3"/>
        <v>3</v>
      </c>
      <c r="M93" s="442"/>
      <c r="N93" s="138"/>
    </row>
    <row r="94">
      <c r="A94" s="457" t="s">
        <v>1237</v>
      </c>
      <c r="B94" s="103" t="str">
        <f>VLOOKUP(A94,'ALL Tube Results'!A$2:B133,2,FALSE)</f>
        <v>RUN-FLMP_2022-04-28_RFR-120</v>
      </c>
      <c r="C94" s="8" t="s">
        <v>1238</v>
      </c>
      <c r="D94" s="441">
        <v>2.2</v>
      </c>
      <c r="E94" s="441">
        <v>2.4</v>
      </c>
      <c r="F94" s="441">
        <v>3.0</v>
      </c>
      <c r="G94" s="18" t="s">
        <v>1239</v>
      </c>
      <c r="H94" s="89" t="s">
        <v>1095</v>
      </c>
      <c r="I94" s="60">
        <f t="shared" si="1"/>
        <v>120</v>
      </c>
      <c r="J94" s="30" t="str">
        <f t="shared" si="8"/>
        <v>R_FLMP-120</v>
      </c>
      <c r="K94" s="60">
        <f t="shared" si="3"/>
        <v>3</v>
      </c>
      <c r="M94" s="442"/>
      <c r="N94" s="138"/>
    </row>
    <row r="95">
      <c r="A95" s="457" t="s">
        <v>1240</v>
      </c>
      <c r="B95" s="103" t="str">
        <f>VLOOKUP(A95,'ALL Tube Results'!A$2:B133,2,FALSE)</f>
        <v>RUN-FLMP_2022-04-28_RFR-120</v>
      </c>
      <c r="C95" s="8" t="s">
        <v>1238</v>
      </c>
      <c r="D95" s="441">
        <v>2.2</v>
      </c>
      <c r="E95" s="441">
        <v>2.4</v>
      </c>
      <c r="F95" s="441">
        <v>3.0</v>
      </c>
      <c r="G95" s="18" t="s">
        <v>1239</v>
      </c>
      <c r="H95" s="89" t="s">
        <v>1095</v>
      </c>
      <c r="I95" s="60">
        <f t="shared" si="1"/>
        <v>120</v>
      </c>
      <c r="J95" s="30" t="str">
        <f t="shared" si="8"/>
        <v/>
      </c>
      <c r="K95" s="60">
        <f t="shared" si="3"/>
        <v>3</v>
      </c>
      <c r="M95" s="442"/>
      <c r="N95" s="138"/>
    </row>
    <row r="96">
      <c r="A96" s="457" t="s">
        <v>1241</v>
      </c>
      <c r="B96" s="103" t="str">
        <f>VLOOKUP(A96,'ALL Tube Results'!A$2:B133,2,FALSE)</f>
        <v>RUN-FLMP_2022-04-28_RFR-120</v>
      </c>
      <c r="C96" s="8" t="s">
        <v>1238</v>
      </c>
      <c r="D96" s="441">
        <v>2.2</v>
      </c>
      <c r="E96" s="23">
        <v>7.7</v>
      </c>
      <c r="F96" s="441">
        <v>3.0</v>
      </c>
      <c r="G96" s="18" t="s">
        <v>1239</v>
      </c>
      <c r="H96" s="89" t="s">
        <v>1095</v>
      </c>
      <c r="I96" s="60">
        <f t="shared" si="1"/>
        <v>120</v>
      </c>
      <c r="J96" s="30" t="str">
        <f t="shared" si="8"/>
        <v/>
      </c>
      <c r="K96" s="60">
        <f t="shared" si="3"/>
        <v>3</v>
      </c>
      <c r="M96" s="442"/>
      <c r="N96" s="138"/>
    </row>
    <row r="97">
      <c r="A97" s="18" t="s">
        <v>1242</v>
      </c>
      <c r="B97" s="449" t="str">
        <f>VLOOKUP(A97,'ALL Tube Results'!A$2:B133,2,FALSE)</f>
        <v>RUN-FLMP_2022-05-02_RFR-122</v>
      </c>
      <c r="C97" s="450" t="s">
        <v>1243</v>
      </c>
      <c r="D97" s="441">
        <v>1.0</v>
      </c>
      <c r="E97" s="441">
        <v>7.1</v>
      </c>
      <c r="F97" s="441">
        <v>4.0</v>
      </c>
      <c r="H97" s="89" t="s">
        <v>1095</v>
      </c>
      <c r="I97" s="60">
        <f t="shared" si="1"/>
        <v>122</v>
      </c>
      <c r="J97" s="30" t="str">
        <f t="shared" si="8"/>
        <v>R_FLMP-122</v>
      </c>
      <c r="K97" s="60">
        <f t="shared" si="3"/>
        <v>4</v>
      </c>
      <c r="M97" s="442"/>
      <c r="N97" s="138"/>
    </row>
    <row r="98">
      <c r="A98" s="18" t="s">
        <v>1244</v>
      </c>
      <c r="B98" s="449" t="str">
        <f>VLOOKUP(A98,'ALL Tube Results'!A$2:B133,2,FALSE)</f>
        <v>RUN-FLMP_2022-05-02_RFR-122</v>
      </c>
      <c r="C98" s="450" t="s">
        <v>1243</v>
      </c>
      <c r="D98" s="441">
        <v>1.0</v>
      </c>
      <c r="E98" s="441">
        <v>5.0</v>
      </c>
      <c r="F98" s="441">
        <v>4.0</v>
      </c>
      <c r="H98" s="89" t="s">
        <v>1095</v>
      </c>
      <c r="I98" s="60">
        <f t="shared" si="1"/>
        <v>122</v>
      </c>
      <c r="J98" s="30" t="str">
        <f t="shared" si="8"/>
        <v/>
      </c>
      <c r="K98" s="60">
        <f t="shared" si="3"/>
        <v>3</v>
      </c>
      <c r="M98" s="442"/>
      <c r="N98" s="138"/>
    </row>
    <row r="99">
      <c r="A99" s="18" t="s">
        <v>1245</v>
      </c>
      <c r="B99" s="449" t="str">
        <f>VLOOKUP(A99,'ALL Tube Results'!A$2:B133,2,FALSE)</f>
        <v>RUN-FLMP_2022-05-02_RFR-122</v>
      </c>
      <c r="C99" s="450" t="s">
        <v>1243</v>
      </c>
      <c r="D99" s="441">
        <v>1.0</v>
      </c>
      <c r="E99" s="441">
        <v>1.1</v>
      </c>
      <c r="F99" s="441">
        <v>4.0</v>
      </c>
      <c r="G99" s="18" t="s">
        <v>1246</v>
      </c>
      <c r="H99" s="89" t="s">
        <v>1095</v>
      </c>
      <c r="I99" s="60">
        <f t="shared" si="1"/>
        <v>122</v>
      </c>
      <c r="J99" s="30" t="str">
        <f t="shared" si="8"/>
        <v/>
      </c>
      <c r="K99" s="60">
        <f t="shared" si="3"/>
        <v>3</v>
      </c>
      <c r="M99" s="442"/>
      <c r="N99" s="138"/>
    </row>
    <row r="100">
      <c r="A100" s="18" t="s">
        <v>1247</v>
      </c>
      <c r="B100" s="449" t="str">
        <f>VLOOKUP(A100,'ALL Tube Results'!A$2:B133,2,FALSE)</f>
        <v>RUN-FLMP_2022-05-02_RFR-122</v>
      </c>
      <c r="C100" s="450" t="s">
        <v>1243</v>
      </c>
      <c r="D100" s="441">
        <v>1.0</v>
      </c>
      <c r="E100" s="441">
        <v>1.1</v>
      </c>
      <c r="F100" s="441">
        <v>4.0</v>
      </c>
      <c r="G100" s="18" t="s">
        <v>1246</v>
      </c>
      <c r="H100" s="89" t="s">
        <v>1095</v>
      </c>
      <c r="I100" s="60">
        <f t="shared" si="1"/>
        <v>122</v>
      </c>
      <c r="J100" s="30" t="str">
        <f t="shared" si="8"/>
        <v/>
      </c>
      <c r="K100" s="60">
        <f t="shared" si="3"/>
        <v>3</v>
      </c>
      <c r="M100" s="442"/>
      <c r="N100" s="138"/>
    </row>
    <row r="101">
      <c r="A101" s="24" t="s">
        <v>1248</v>
      </c>
      <c r="B101" s="459" t="str">
        <f>VLOOKUP(A101,'ALL Tube Results'!A$2:B133,2,FALSE)</f>
        <v>RUN-FLMP_2022-05-02_RFR-124</v>
      </c>
      <c r="C101" s="110" t="s">
        <v>1249</v>
      </c>
      <c r="D101" s="441">
        <v>2.2</v>
      </c>
      <c r="E101" s="23">
        <v>9.0</v>
      </c>
      <c r="F101" s="24">
        <v>2.0</v>
      </c>
      <c r="G101" s="24" t="s">
        <v>1250</v>
      </c>
      <c r="H101" s="89" t="s">
        <v>1095</v>
      </c>
      <c r="I101" s="60">
        <f t="shared" si="1"/>
        <v>124</v>
      </c>
      <c r="J101" s="30" t="str">
        <f t="shared" si="8"/>
        <v>R_FLMP-124</v>
      </c>
      <c r="K101" s="60">
        <f t="shared" si="3"/>
        <v>3</v>
      </c>
      <c r="M101" s="442"/>
      <c r="N101" s="138"/>
    </row>
    <row r="102">
      <c r="A102" s="24" t="s">
        <v>1251</v>
      </c>
      <c r="B102" s="459" t="str">
        <f>VLOOKUP(A102,'ALL Tube Results'!A$2:B133,2,FALSE)</f>
        <v>RUN-FLMP_2022-05-02_RFR-124</v>
      </c>
      <c r="C102" s="110" t="s">
        <v>1249</v>
      </c>
      <c r="D102" s="441">
        <v>2.2</v>
      </c>
      <c r="E102" s="24">
        <v>9.0</v>
      </c>
      <c r="F102" s="24">
        <v>2.0</v>
      </c>
      <c r="G102" s="24" t="s">
        <v>1252</v>
      </c>
      <c r="H102" s="89" t="s">
        <v>1095</v>
      </c>
      <c r="I102" s="60">
        <f t="shared" si="1"/>
        <v>124</v>
      </c>
      <c r="J102" s="30" t="str">
        <f t="shared" si="8"/>
        <v/>
      </c>
      <c r="K102" s="60">
        <f t="shared" si="3"/>
        <v>3</v>
      </c>
      <c r="M102" s="442"/>
      <c r="N102" s="138"/>
    </row>
    <row r="103">
      <c r="A103" s="24" t="s">
        <v>1253</v>
      </c>
      <c r="B103" s="459" t="str">
        <f>VLOOKUP(A103,'ALL Tube Results'!A$2:B133,2,FALSE)</f>
        <v>RUN-FLMP_2022-05-02_RFR-124</v>
      </c>
      <c r="C103" s="110" t="s">
        <v>1249</v>
      </c>
      <c r="D103" s="441">
        <v>2.2</v>
      </c>
      <c r="E103" s="24">
        <v>9.0</v>
      </c>
      <c r="F103" s="24">
        <v>2.0</v>
      </c>
      <c r="G103" s="24" t="s">
        <v>1254</v>
      </c>
      <c r="H103" s="89" t="s">
        <v>1095</v>
      </c>
      <c r="I103" s="60">
        <f t="shared" si="1"/>
        <v>124</v>
      </c>
      <c r="J103" s="30" t="str">
        <f t="shared" si="8"/>
        <v/>
      </c>
      <c r="K103" s="60">
        <f t="shared" si="3"/>
        <v>3</v>
      </c>
      <c r="M103" s="442"/>
      <c r="N103" s="138"/>
    </row>
    <row r="104">
      <c r="A104" s="24" t="str">
        <f>CONCATENATE("TUNKFLMP",TEXT(H104,"000"))</f>
        <v>TUNKFLMP001</v>
      </c>
      <c r="B104" s="459" t="str">
        <f>VLOOKUP(A104,'ALL Tube Results'!A$2:B133,2,FALSE)</f>
        <v>#N/A</v>
      </c>
      <c r="C104" s="110" t="s">
        <v>1255</v>
      </c>
      <c r="D104" s="441">
        <v>4.0</v>
      </c>
      <c r="E104" s="24">
        <v>1.0</v>
      </c>
      <c r="F104" s="24">
        <v>2.0</v>
      </c>
      <c r="G104" s="24" t="s">
        <v>1256</v>
      </c>
      <c r="H104" s="89">
        <v>1.0</v>
      </c>
      <c r="I104" s="60">
        <f t="shared" si="1"/>
        <v>125</v>
      </c>
      <c r="J104" s="30" t="str">
        <f t="shared" si="8"/>
        <v>R_FLMP-125</v>
      </c>
      <c r="K104" s="60">
        <f t="shared" si="3"/>
        <v>1</v>
      </c>
      <c r="M104" s="442"/>
      <c r="N104" s="138"/>
    </row>
    <row r="105">
      <c r="A105" s="194" t="s">
        <v>920</v>
      </c>
      <c r="B105" s="103" t="str">
        <f>VLOOKUP(A105,'ALL Tube Results'!A$2:B133,2,FALSE)</f>
        <v>RUN-FLMP_2022-05-05_RFR-126</v>
      </c>
      <c r="C105" s="8" t="s">
        <v>1257</v>
      </c>
      <c r="D105" s="441">
        <v>2.2</v>
      </c>
      <c r="E105" s="441">
        <v>2.1</v>
      </c>
      <c r="F105" s="441">
        <v>4.0</v>
      </c>
      <c r="H105" s="89" t="s">
        <v>1095</v>
      </c>
      <c r="I105" s="60">
        <f t="shared" si="1"/>
        <v>126</v>
      </c>
      <c r="J105" s="30" t="str">
        <f t="shared" si="8"/>
        <v>R_FLMP-126</v>
      </c>
      <c r="K105" s="60">
        <f t="shared" si="3"/>
        <v>1</v>
      </c>
      <c r="M105" s="442"/>
      <c r="N105" s="138"/>
    </row>
    <row r="106">
      <c r="A106" s="18" t="s">
        <v>1258</v>
      </c>
      <c r="B106" s="103" t="str">
        <f>VLOOKUP(A106,'ALL Tube Results'!A$2:B133,2,FALSE)</f>
        <v>RUN-FLMP_2022-05-09_RFR-128</v>
      </c>
      <c r="C106" s="8" t="s">
        <v>1259</v>
      </c>
      <c r="D106" s="441">
        <v>1.0</v>
      </c>
      <c r="E106" s="441">
        <v>6.0</v>
      </c>
      <c r="F106" s="441">
        <v>4.0</v>
      </c>
      <c r="G106" s="18" t="s">
        <v>1260</v>
      </c>
      <c r="H106" s="89" t="s">
        <v>1095</v>
      </c>
      <c r="I106" s="60">
        <f t="shared" si="1"/>
        <v>128</v>
      </c>
      <c r="J106" s="30" t="str">
        <f t="shared" si="8"/>
        <v>R_FLMP-128</v>
      </c>
      <c r="K106" s="60">
        <f t="shared" si="3"/>
        <v>9</v>
      </c>
      <c r="M106" s="442"/>
      <c r="N106" s="138"/>
    </row>
    <row r="107">
      <c r="A107" s="452" t="s">
        <v>1261</v>
      </c>
      <c r="B107" s="103" t="str">
        <f>VLOOKUP(A107,'ALL Tube Results'!A$2:B133,2,FALSE)</f>
        <v>RUN-FLMP_2022-05-09_RFR-128</v>
      </c>
      <c r="C107" s="8" t="s">
        <v>1259</v>
      </c>
      <c r="D107" s="441">
        <v>1.0</v>
      </c>
      <c r="E107" s="441">
        <v>7.1</v>
      </c>
      <c r="F107" s="441">
        <v>4.0</v>
      </c>
      <c r="H107" s="89" t="s">
        <v>1095</v>
      </c>
      <c r="I107" s="60">
        <f t="shared" si="1"/>
        <v>128</v>
      </c>
      <c r="J107" s="30" t="str">
        <f t="shared" si="8"/>
        <v/>
      </c>
      <c r="K107" s="60">
        <f t="shared" si="3"/>
        <v>3</v>
      </c>
      <c r="M107" s="442"/>
      <c r="N107" s="138"/>
    </row>
    <row r="108">
      <c r="A108" s="452" t="s">
        <v>1262</v>
      </c>
      <c r="B108" s="103" t="str">
        <f>VLOOKUP(A108,'ALL Tube Results'!A$2:B133,2,FALSE)</f>
        <v>RUN-FLMP_2022-05-09_RFR-128</v>
      </c>
      <c r="C108" s="8" t="s">
        <v>1259</v>
      </c>
      <c r="D108" s="441">
        <v>1.0</v>
      </c>
      <c r="E108" s="441">
        <v>7.1</v>
      </c>
      <c r="F108" s="441">
        <v>4.0</v>
      </c>
      <c r="H108" s="89" t="s">
        <v>1095</v>
      </c>
      <c r="I108" s="60">
        <f t="shared" si="1"/>
        <v>128</v>
      </c>
      <c r="J108" s="30" t="str">
        <f t="shared" si="8"/>
        <v/>
      </c>
      <c r="K108" s="60">
        <f t="shared" si="3"/>
        <v>3</v>
      </c>
      <c r="M108" s="442"/>
      <c r="N108" s="138"/>
    </row>
    <row r="109">
      <c r="A109" s="18" t="str">
        <f t="shared" ref="A109:A114" si="10">CONCATENATE("TUNKFLMP",TEXT(H109,"000"))</f>
        <v>TUNKFLMP006</v>
      </c>
      <c r="B109" s="103" t="str">
        <f>VLOOKUP(A109,'ALL Tube Results'!A$2:B133,2,FALSE)</f>
        <v>#N/A</v>
      </c>
      <c r="C109" s="8" t="s">
        <v>1259</v>
      </c>
      <c r="D109" s="441">
        <v>4.0</v>
      </c>
      <c r="E109" s="441">
        <v>1.1</v>
      </c>
      <c r="F109" s="441">
        <v>4.0</v>
      </c>
      <c r="G109" s="18" t="s">
        <v>1263</v>
      </c>
      <c r="H109" s="89">
        <v>6.0</v>
      </c>
      <c r="I109" s="60">
        <f t="shared" si="1"/>
        <v>128</v>
      </c>
      <c r="J109" s="30" t="str">
        <f t="shared" si="8"/>
        <v/>
      </c>
      <c r="K109" s="60">
        <f t="shared" si="3"/>
        <v>3</v>
      </c>
      <c r="M109" s="442"/>
      <c r="N109" s="138"/>
    </row>
    <row r="110">
      <c r="A110" s="18" t="str">
        <f t="shared" si="10"/>
        <v>TUNKFLMP007</v>
      </c>
      <c r="B110" s="103" t="str">
        <f>VLOOKUP(A110,'ALL Tube Results'!A$2:B133,2,FALSE)</f>
        <v>#N/A</v>
      </c>
      <c r="C110" s="8" t="s">
        <v>1259</v>
      </c>
      <c r="D110" s="441">
        <v>4.0</v>
      </c>
      <c r="E110" s="441">
        <v>1.1</v>
      </c>
      <c r="F110" s="441">
        <v>4.0</v>
      </c>
      <c r="G110" s="18" t="s">
        <v>1263</v>
      </c>
      <c r="H110" s="89">
        <v>7.0</v>
      </c>
      <c r="I110" s="60">
        <f t="shared" si="1"/>
        <v>128</v>
      </c>
      <c r="J110" s="30" t="str">
        <f t="shared" si="8"/>
        <v/>
      </c>
      <c r="K110" s="60">
        <f t="shared" si="3"/>
        <v>3</v>
      </c>
      <c r="M110" s="442"/>
      <c r="N110" s="138"/>
    </row>
    <row r="111">
      <c r="A111" s="18" t="str">
        <f t="shared" si="10"/>
        <v>TUNKFLMP008</v>
      </c>
      <c r="B111" s="103" t="str">
        <f>VLOOKUP(A111,'ALL Tube Results'!A$2:B133,2,FALSE)</f>
        <v>#N/A</v>
      </c>
      <c r="C111" s="8" t="s">
        <v>1259</v>
      </c>
      <c r="D111" s="441">
        <v>4.0</v>
      </c>
      <c r="E111" s="441">
        <v>1.1</v>
      </c>
      <c r="F111" s="441">
        <v>4.0</v>
      </c>
      <c r="G111" s="18" t="s">
        <v>1263</v>
      </c>
      <c r="H111" s="89">
        <v>8.0</v>
      </c>
      <c r="I111" s="60">
        <f t="shared" si="1"/>
        <v>128</v>
      </c>
      <c r="J111" s="30" t="str">
        <f t="shared" si="8"/>
        <v/>
      </c>
      <c r="K111" s="60">
        <f t="shared" si="3"/>
        <v>3</v>
      </c>
      <c r="M111" s="442"/>
      <c r="N111" s="138"/>
    </row>
    <row r="112">
      <c r="A112" s="18" t="str">
        <f t="shared" si="10"/>
        <v>TUNKFLMP009</v>
      </c>
      <c r="B112" s="103" t="str">
        <f>VLOOKUP(A112,'ALL Tube Results'!A$2:B133,2,FALSE)</f>
        <v>#N/A</v>
      </c>
      <c r="C112" s="8" t="s">
        <v>1259</v>
      </c>
      <c r="D112" s="441">
        <v>4.0</v>
      </c>
      <c r="E112" s="441">
        <v>1.1</v>
      </c>
      <c r="F112" s="441">
        <v>4.0</v>
      </c>
      <c r="G112" s="18" t="s">
        <v>1263</v>
      </c>
      <c r="H112" s="89">
        <v>9.0</v>
      </c>
      <c r="I112" s="60">
        <f t="shared" si="1"/>
        <v>128</v>
      </c>
      <c r="J112" s="30" t="str">
        <f t="shared" si="8"/>
        <v/>
      </c>
      <c r="K112" s="60">
        <f t="shared" si="3"/>
        <v>3</v>
      </c>
      <c r="M112" s="442"/>
      <c r="N112" s="138"/>
    </row>
    <row r="113">
      <c r="A113" s="18" t="str">
        <f t="shared" si="10"/>
        <v>TUNKFLMP010</v>
      </c>
      <c r="B113" s="103" t="str">
        <f>VLOOKUP(A113,'ALL Tube Results'!A$2:B133,2,FALSE)</f>
        <v>#N/A</v>
      </c>
      <c r="C113" s="8" t="s">
        <v>1259</v>
      </c>
      <c r="D113" s="441">
        <v>4.0</v>
      </c>
      <c r="E113" s="441">
        <v>1.1</v>
      </c>
      <c r="F113" s="441">
        <v>4.0</v>
      </c>
      <c r="G113" s="18" t="s">
        <v>1263</v>
      </c>
      <c r="H113" s="89">
        <v>10.0</v>
      </c>
      <c r="I113" s="60">
        <f t="shared" si="1"/>
        <v>128</v>
      </c>
      <c r="J113" s="30" t="str">
        <f t="shared" si="8"/>
        <v/>
      </c>
      <c r="K113" s="60">
        <f t="shared" si="3"/>
        <v>3</v>
      </c>
      <c r="M113" s="442"/>
      <c r="N113" s="138"/>
    </row>
    <row r="114">
      <c r="A114" s="18" t="str">
        <f t="shared" si="10"/>
        <v>TUNKFLMP011</v>
      </c>
      <c r="B114" s="103" t="str">
        <f>VLOOKUP(A114,'ALL Tube Results'!A$2:B133,2,FALSE)</f>
        <v>#N/A</v>
      </c>
      <c r="C114" s="8" t="s">
        <v>1259</v>
      </c>
      <c r="D114" s="441">
        <v>4.0</v>
      </c>
      <c r="E114" s="441">
        <v>2.1</v>
      </c>
      <c r="F114" s="441">
        <v>4.0</v>
      </c>
      <c r="G114" s="18" t="s">
        <v>1264</v>
      </c>
      <c r="H114" s="89">
        <v>11.0</v>
      </c>
      <c r="I114" s="60">
        <f t="shared" si="1"/>
        <v>128</v>
      </c>
      <c r="J114" s="30" t="str">
        <f t="shared" si="8"/>
        <v/>
      </c>
      <c r="K114" s="60">
        <f t="shared" si="3"/>
        <v>3</v>
      </c>
      <c r="M114" s="442"/>
      <c r="N114" s="138"/>
    </row>
    <row r="115">
      <c r="A115" s="452" t="s">
        <v>1265</v>
      </c>
      <c r="B115" s="103" t="str">
        <f>VLOOKUP(A115,'ALL Tube Results'!A$2:B133,2,FALSE)</f>
        <v>RUN-FLMP_2022-05-09_RFR-131</v>
      </c>
      <c r="C115" s="8" t="s">
        <v>1266</v>
      </c>
      <c r="D115" s="441">
        <v>1.0</v>
      </c>
      <c r="E115" s="441">
        <v>9.0</v>
      </c>
      <c r="F115" s="441">
        <v>2.0</v>
      </c>
      <c r="G115" s="18" t="s">
        <v>1267</v>
      </c>
      <c r="H115" s="89" t="s">
        <v>1095</v>
      </c>
      <c r="I115" s="60">
        <f t="shared" si="1"/>
        <v>131</v>
      </c>
      <c r="J115" s="30" t="str">
        <f t="shared" si="8"/>
        <v>R_FLMP-131</v>
      </c>
      <c r="K115" s="60">
        <f t="shared" si="3"/>
        <v>2</v>
      </c>
      <c r="M115" s="442"/>
      <c r="N115" s="138"/>
    </row>
    <row r="116">
      <c r="A116" s="452" t="s">
        <v>1268</v>
      </c>
      <c r="B116" s="103" t="str">
        <f>VLOOKUP(A116,'ALL Tube Results'!A$2:B133,2,FALSE)</f>
        <v>RUN-FLMP_2022-05-09_RFR-131</v>
      </c>
      <c r="C116" s="8" t="s">
        <v>1266</v>
      </c>
      <c r="D116" s="441">
        <v>1.0</v>
      </c>
      <c r="E116" s="441">
        <v>9.0</v>
      </c>
      <c r="F116" s="441">
        <v>2.0</v>
      </c>
      <c r="G116" s="18" t="s">
        <v>1267</v>
      </c>
      <c r="H116" s="89" t="s">
        <v>1095</v>
      </c>
      <c r="I116" s="60">
        <f t="shared" si="1"/>
        <v>131</v>
      </c>
      <c r="J116" s="30" t="str">
        <f t="shared" si="8"/>
        <v/>
      </c>
      <c r="K116" s="60">
        <f t="shared" si="3"/>
        <v>3</v>
      </c>
      <c r="M116" s="442"/>
      <c r="N116" s="138"/>
    </row>
    <row r="117">
      <c r="A117" s="194" t="s">
        <v>1269</v>
      </c>
      <c r="B117" s="103" t="str">
        <f>VLOOKUP(A117,'ALL Tube Results'!A$2:B133,2,FALSE)</f>
        <v>RUN-FLMP_2022-05-11_RFR-132</v>
      </c>
      <c r="C117" s="8" t="s">
        <v>1270</v>
      </c>
      <c r="D117" s="441">
        <v>2.2</v>
      </c>
      <c r="E117" s="441">
        <v>3.2</v>
      </c>
      <c r="F117" s="441">
        <v>4.0</v>
      </c>
      <c r="G117" s="18" t="s">
        <v>1271</v>
      </c>
      <c r="H117" s="89" t="s">
        <v>1095</v>
      </c>
      <c r="I117" s="60">
        <f t="shared" si="1"/>
        <v>132</v>
      </c>
      <c r="J117" s="30" t="str">
        <f t="shared" si="8"/>
        <v>R_FLMP-132</v>
      </c>
      <c r="K117" s="60">
        <f t="shared" si="3"/>
        <v>2</v>
      </c>
      <c r="M117" s="442"/>
      <c r="N117" s="138"/>
    </row>
    <row r="118">
      <c r="A118" s="194" t="s">
        <v>1272</v>
      </c>
      <c r="B118" s="103" t="str">
        <f>VLOOKUP(A118,'ALL Tube Results'!A$2:B133,2,FALSE)</f>
        <v>#N/A</v>
      </c>
      <c r="C118" s="8" t="s">
        <v>1270</v>
      </c>
      <c r="D118" s="441">
        <v>2.2</v>
      </c>
      <c r="E118" s="441">
        <v>2.0</v>
      </c>
      <c r="F118" s="441">
        <v>4.0</v>
      </c>
      <c r="G118" s="18" t="s">
        <v>1271</v>
      </c>
      <c r="H118" s="89" t="s">
        <v>1095</v>
      </c>
      <c r="I118" s="60">
        <f t="shared" si="1"/>
        <v>132</v>
      </c>
      <c r="J118" s="30" t="str">
        <f t="shared" si="8"/>
        <v/>
      </c>
      <c r="K118" s="60">
        <f t="shared" si="3"/>
        <v>3</v>
      </c>
      <c r="M118" s="442"/>
      <c r="N118" s="138"/>
    </row>
    <row r="119">
      <c r="A119" s="194" t="s">
        <v>962</v>
      </c>
      <c r="B119" s="103" t="str">
        <f>VLOOKUP(A119,'ALL Tube Results'!A$2:B133,2,FALSE)</f>
        <v>RUN-FLMP_2022-05-12_RFR-135</v>
      </c>
      <c r="C119" s="8" t="s">
        <v>1273</v>
      </c>
      <c r="D119" s="441">
        <v>2.2</v>
      </c>
      <c r="E119" s="441">
        <v>2.0</v>
      </c>
      <c r="F119" s="441">
        <v>4.0</v>
      </c>
      <c r="H119" s="89" t="s">
        <v>1095</v>
      </c>
      <c r="I119" s="60">
        <f t="shared" si="1"/>
        <v>135</v>
      </c>
      <c r="J119" s="30" t="str">
        <f t="shared" si="8"/>
        <v>R_FLMP-135</v>
      </c>
      <c r="K119" s="60">
        <f t="shared" si="3"/>
        <v>1</v>
      </c>
      <c r="M119" s="442"/>
      <c r="N119" s="138"/>
    </row>
    <row r="120">
      <c r="A120" s="18" t="s">
        <v>1274</v>
      </c>
      <c r="B120" s="103" t="str">
        <f>VLOOKUP(A120,'ALL Tube Results'!A$2:B133,2,FALSE)</f>
        <v>RUN-FLMP_2022-05-16_RFR-138</v>
      </c>
      <c r="C120" s="8" t="s">
        <v>1275</v>
      </c>
      <c r="D120" s="441">
        <v>1.0</v>
      </c>
      <c r="E120" s="441">
        <v>2.1</v>
      </c>
      <c r="F120" s="441">
        <v>4.0</v>
      </c>
      <c r="G120" s="18" t="s">
        <v>1276</v>
      </c>
      <c r="H120" s="89" t="s">
        <v>1095</v>
      </c>
      <c r="I120" s="60">
        <f t="shared" si="1"/>
        <v>138</v>
      </c>
      <c r="J120" s="30" t="str">
        <f t="shared" si="8"/>
        <v>R_FLMP-138</v>
      </c>
      <c r="K120" s="60">
        <f t="shared" si="3"/>
        <v>4</v>
      </c>
      <c r="M120" s="442"/>
      <c r="N120" s="138"/>
    </row>
    <row r="121">
      <c r="A121" s="24" t="s">
        <v>1277</v>
      </c>
      <c r="B121" s="459" t="str">
        <f>VLOOKUP(A121,'ALL Tube Results'!A$2:B133,2,FALSE)</f>
        <v>#N/A</v>
      </c>
      <c r="C121" s="110" t="s">
        <v>1275</v>
      </c>
      <c r="D121" s="441">
        <v>2.1</v>
      </c>
      <c r="E121" s="441">
        <v>2.0</v>
      </c>
      <c r="F121" s="441">
        <v>4.0</v>
      </c>
      <c r="G121" s="18" t="s">
        <v>1276</v>
      </c>
      <c r="H121" s="89" t="s">
        <v>1095</v>
      </c>
      <c r="I121" s="60">
        <f t="shared" si="1"/>
        <v>138</v>
      </c>
      <c r="J121" s="30" t="str">
        <f t="shared" si="8"/>
        <v/>
      </c>
      <c r="K121" s="60">
        <f t="shared" si="3"/>
        <v>3</v>
      </c>
      <c r="M121" s="442"/>
      <c r="N121" s="138"/>
    </row>
    <row r="122">
      <c r="A122" s="18" t="s">
        <v>1278</v>
      </c>
      <c r="B122" s="103" t="str">
        <f>VLOOKUP(A122,'ALL Tube Results'!A$2:B133,2,FALSE)</f>
        <v>RUN-FLMP_2022-05-16_RFR-138</v>
      </c>
      <c r="C122" s="8" t="s">
        <v>1275</v>
      </c>
      <c r="D122" s="441">
        <v>1.0</v>
      </c>
      <c r="E122" s="441">
        <v>2.1</v>
      </c>
      <c r="F122" s="441">
        <v>4.0</v>
      </c>
      <c r="G122" s="18" t="s">
        <v>1276</v>
      </c>
      <c r="H122" s="89" t="s">
        <v>1095</v>
      </c>
      <c r="I122" s="60">
        <f t="shared" si="1"/>
        <v>138</v>
      </c>
      <c r="J122" s="30" t="str">
        <f t="shared" si="8"/>
        <v/>
      </c>
      <c r="K122" s="60">
        <f t="shared" si="3"/>
        <v>3</v>
      </c>
      <c r="M122" s="442"/>
      <c r="N122" s="138"/>
    </row>
    <row r="123">
      <c r="A123" s="18" t="s">
        <v>1279</v>
      </c>
      <c r="B123" s="103" t="str">
        <f>VLOOKUP(A123,'ALL Tube Results'!A$2:B133,2,FALSE)</f>
        <v>RUN-FLMP_2022-05-16_RFR-138</v>
      </c>
      <c r="C123" s="8" t="s">
        <v>1275</v>
      </c>
      <c r="D123" s="441">
        <v>1.0</v>
      </c>
      <c r="E123" s="441">
        <v>1.1</v>
      </c>
      <c r="F123" s="441">
        <v>4.0</v>
      </c>
      <c r="G123" s="18" t="s">
        <v>1276</v>
      </c>
      <c r="H123" s="89" t="s">
        <v>1095</v>
      </c>
      <c r="I123" s="60">
        <f t="shared" si="1"/>
        <v>138</v>
      </c>
      <c r="J123" s="30" t="str">
        <f t="shared" si="8"/>
        <v/>
      </c>
      <c r="K123" s="60">
        <f t="shared" si="3"/>
        <v>3</v>
      </c>
      <c r="M123" s="442"/>
      <c r="N123" s="138"/>
    </row>
    <row r="124">
      <c r="A124" s="18" t="str">
        <f>CONCATENATE("TUNKFLMP",TEXT(H124,"000"))</f>
        <v>TUNKFLMP015</v>
      </c>
      <c r="B124" s="103" t="str">
        <f>VLOOKUP(A124,'ALL Tube Results'!A$2:B133,2,FALSE)</f>
        <v>#N/A</v>
      </c>
      <c r="C124" s="8" t="s">
        <v>1280</v>
      </c>
      <c r="D124" s="441">
        <v>4.0</v>
      </c>
      <c r="E124" s="441">
        <v>2.3</v>
      </c>
      <c r="F124" s="441">
        <v>3.0</v>
      </c>
      <c r="G124" s="18" t="s">
        <v>983</v>
      </c>
      <c r="H124" s="89">
        <v>15.0</v>
      </c>
      <c r="I124" s="60">
        <f t="shared" si="1"/>
        <v>140</v>
      </c>
      <c r="J124" s="30" t="str">
        <f t="shared" si="8"/>
        <v>R_FLMP-140</v>
      </c>
      <c r="K124" s="60">
        <f t="shared" si="3"/>
        <v>1</v>
      </c>
      <c r="M124" s="442"/>
      <c r="N124" s="138"/>
    </row>
    <row r="125">
      <c r="A125" s="455" t="s">
        <v>990</v>
      </c>
      <c r="B125" s="103" t="str">
        <f>VLOOKUP(A125,'ALL Tube Results'!A$2:B133,2,FALSE)</f>
        <v>#N/A</v>
      </c>
      <c r="C125" s="8" t="s">
        <v>1281</v>
      </c>
      <c r="D125" s="441">
        <v>2.2</v>
      </c>
      <c r="E125" s="441">
        <v>5.0</v>
      </c>
      <c r="F125" s="441">
        <v>4.0</v>
      </c>
      <c r="G125" s="18" t="s">
        <v>1282</v>
      </c>
      <c r="H125" s="89" t="s">
        <v>1095</v>
      </c>
      <c r="I125" s="60">
        <f t="shared" si="1"/>
        <v>142</v>
      </c>
      <c r="J125" s="30" t="str">
        <f t="shared" si="8"/>
        <v>R_FLMP-142</v>
      </c>
      <c r="K125" s="60">
        <f t="shared" si="3"/>
        <v>1</v>
      </c>
      <c r="M125" s="442"/>
      <c r="N125" s="138"/>
    </row>
    <row r="126">
      <c r="A126" s="18" t="s">
        <v>1283</v>
      </c>
      <c r="B126" s="103" t="str">
        <f>VLOOKUP(A126,'ALL Tube Results'!A$2:B133,2,FALSE)</f>
        <v>RUN-FLMP_2022-05-19_RFR-144</v>
      </c>
      <c r="C126" s="8" t="s">
        <v>1284</v>
      </c>
      <c r="D126" s="441">
        <v>1.0</v>
      </c>
      <c r="E126" s="441">
        <v>2.0</v>
      </c>
      <c r="F126" s="441">
        <v>4.0</v>
      </c>
      <c r="G126" s="18" t="s">
        <v>1285</v>
      </c>
      <c r="H126" s="89" t="s">
        <v>1095</v>
      </c>
      <c r="I126" s="60">
        <f t="shared" si="1"/>
        <v>144</v>
      </c>
      <c r="J126" s="30" t="str">
        <f t="shared" si="8"/>
        <v>R_FLMP-144</v>
      </c>
      <c r="K126" s="60">
        <f t="shared" si="3"/>
        <v>4</v>
      </c>
      <c r="M126" s="442"/>
      <c r="N126" s="138"/>
    </row>
    <row r="127">
      <c r="A127" s="18" t="s">
        <v>1286</v>
      </c>
      <c r="B127" s="103" t="str">
        <f>VLOOKUP(A127,'ALL Tube Results'!A$2:B133,2,FALSE)</f>
        <v>RUN-FLMP_2022-05-19_RFR-144</v>
      </c>
      <c r="C127" s="8" t="s">
        <v>1284</v>
      </c>
      <c r="D127" s="441">
        <v>1.0</v>
      </c>
      <c r="E127" s="441">
        <v>2.0</v>
      </c>
      <c r="F127" s="441">
        <v>4.0</v>
      </c>
      <c r="G127" s="18" t="s">
        <v>1285</v>
      </c>
      <c r="H127" s="89" t="s">
        <v>1095</v>
      </c>
      <c r="I127" s="60">
        <f t="shared" si="1"/>
        <v>144</v>
      </c>
      <c r="J127" s="30" t="str">
        <f t="shared" si="8"/>
        <v/>
      </c>
      <c r="K127" s="60">
        <f t="shared" si="3"/>
        <v>3</v>
      </c>
      <c r="M127" s="442"/>
      <c r="N127" s="138"/>
    </row>
    <row r="128">
      <c r="A128" s="18" t="s">
        <v>1287</v>
      </c>
      <c r="B128" s="103" t="str">
        <f>VLOOKUP(A128,'ALL Tube Results'!A$2:B133,2,FALSE)</f>
        <v>RUN-FLMP_2022-05-19_RFR-144</v>
      </c>
      <c r="C128" s="8" t="s">
        <v>1284</v>
      </c>
      <c r="D128" s="441">
        <v>1.0</v>
      </c>
      <c r="E128" s="441">
        <v>5.0</v>
      </c>
      <c r="F128" s="441">
        <v>4.0</v>
      </c>
      <c r="G128" s="18" t="s">
        <v>1288</v>
      </c>
      <c r="H128" s="89" t="s">
        <v>1095</v>
      </c>
      <c r="I128" s="60">
        <f t="shared" si="1"/>
        <v>144</v>
      </c>
      <c r="J128" s="30" t="str">
        <f t="shared" si="8"/>
        <v/>
      </c>
      <c r="K128" s="60">
        <f t="shared" si="3"/>
        <v>3</v>
      </c>
      <c r="M128" s="442"/>
      <c r="N128" s="138"/>
    </row>
    <row r="129">
      <c r="A129" s="18" t="s">
        <v>1289</v>
      </c>
      <c r="B129" s="103" t="str">
        <f>VLOOKUP(A129,'ALL Tube Results'!A$2:B133,2,FALSE)</f>
        <v>RUN-FLMP_2022-05-19_RFR-144</v>
      </c>
      <c r="C129" s="8" t="s">
        <v>1284</v>
      </c>
      <c r="D129" s="441">
        <v>1.0</v>
      </c>
      <c r="E129" s="441">
        <v>7.1</v>
      </c>
      <c r="F129" s="441">
        <v>4.0</v>
      </c>
      <c r="G129" s="18" t="s">
        <v>693</v>
      </c>
      <c r="H129" s="89" t="s">
        <v>1095</v>
      </c>
      <c r="I129" s="60">
        <f t="shared" si="1"/>
        <v>144</v>
      </c>
      <c r="J129" s="30" t="str">
        <f t="shared" si="8"/>
        <v/>
      </c>
      <c r="K129" s="60">
        <f t="shared" si="3"/>
        <v>3</v>
      </c>
      <c r="M129" s="442"/>
      <c r="N129" s="138"/>
    </row>
    <row r="130">
      <c r="A130" s="18" t="s">
        <v>1290</v>
      </c>
      <c r="B130" s="103" t="str">
        <f>VLOOKUP(A130,'ALL Tube Results'!A$2:B133,2,FALSE)</f>
        <v>RUN-FLMP_2022-05-23_RFR-146</v>
      </c>
      <c r="C130" s="8" t="s">
        <v>1291</v>
      </c>
      <c r="D130" s="441">
        <v>2.1</v>
      </c>
      <c r="E130" s="441">
        <v>7.1</v>
      </c>
      <c r="F130" s="441">
        <v>4.0</v>
      </c>
      <c r="H130" s="89" t="s">
        <v>1095</v>
      </c>
      <c r="I130" s="60">
        <f t="shared" si="1"/>
        <v>146</v>
      </c>
      <c r="J130" s="30" t="str">
        <f t="shared" si="8"/>
        <v>R_FLMP-146</v>
      </c>
      <c r="K130" s="60">
        <f t="shared" si="3"/>
        <v>1</v>
      </c>
      <c r="M130" s="442"/>
      <c r="N130" s="138"/>
    </row>
    <row r="131">
      <c r="A131" s="18" t="s">
        <v>1292</v>
      </c>
      <c r="B131" s="103" t="str">
        <f>VLOOKUP(A131,'ALL Tube Results'!A$2:B133,2,FALSE)</f>
        <v>RUN-FLMP_2022-05-31_RFR-150</v>
      </c>
      <c r="C131" s="8" t="s">
        <v>1293</v>
      </c>
      <c r="D131" s="441">
        <v>2.1</v>
      </c>
      <c r="E131" s="441">
        <v>5.0</v>
      </c>
      <c r="F131" s="441">
        <v>4.0</v>
      </c>
      <c r="H131" s="89" t="s">
        <v>1095</v>
      </c>
      <c r="I131" s="60">
        <f t="shared" si="1"/>
        <v>150</v>
      </c>
      <c r="J131" s="30" t="str">
        <f t="shared" si="8"/>
        <v>R_FLMP-150</v>
      </c>
      <c r="K131" s="60">
        <f t="shared" si="3"/>
        <v>3</v>
      </c>
      <c r="M131" s="442"/>
      <c r="N131" s="138"/>
    </row>
    <row r="132">
      <c r="A132" s="18" t="s">
        <v>1294</v>
      </c>
      <c r="B132" s="103" t="str">
        <f>VLOOKUP(A132,'ALL Tube Results'!A$2:B133,2,FALSE)</f>
        <v>RUN-FLMP_2022-05-31_RFR-150</v>
      </c>
      <c r="C132" s="8" t="s">
        <v>1293</v>
      </c>
      <c r="D132" s="441">
        <v>2.1</v>
      </c>
      <c r="E132" s="441">
        <v>2.0</v>
      </c>
      <c r="F132" s="441">
        <v>4.0</v>
      </c>
      <c r="H132" s="89" t="s">
        <v>1095</v>
      </c>
      <c r="I132" s="60">
        <f t="shared" si="1"/>
        <v>150</v>
      </c>
      <c r="J132" s="30" t="str">
        <f t="shared" si="8"/>
        <v/>
      </c>
      <c r="K132" s="60">
        <f t="shared" si="3"/>
        <v>3</v>
      </c>
      <c r="M132" s="442"/>
      <c r="N132" s="138"/>
    </row>
    <row r="133">
      <c r="A133" s="18" t="s">
        <v>1295</v>
      </c>
      <c r="B133" s="103" t="str">
        <f>VLOOKUP(A133,'ALL Tube Results'!A$2:B133,2,FALSE)</f>
        <v>RUN-FLMP_2022-05-31_RFR-150</v>
      </c>
      <c r="C133" s="8" t="s">
        <v>1293</v>
      </c>
      <c r="D133" s="441">
        <v>2.1</v>
      </c>
      <c r="E133" s="441">
        <v>2.0</v>
      </c>
      <c r="F133" s="441">
        <v>4.0</v>
      </c>
      <c r="H133" s="89" t="s">
        <v>1095</v>
      </c>
      <c r="I133" s="60">
        <f t="shared" si="1"/>
        <v>150</v>
      </c>
      <c r="J133" s="30" t="str">
        <f t="shared" si="8"/>
        <v/>
      </c>
      <c r="K133" s="60">
        <f t="shared" si="3"/>
        <v>3</v>
      </c>
      <c r="M133" s="442"/>
      <c r="N133" s="138"/>
    </row>
  </sheetData>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2" max="2" width="13.13"/>
    <col customWidth="1" min="3" max="3" width="12.75"/>
    <col customWidth="1" min="4" max="4" width="15.25"/>
    <col customWidth="1" min="5" max="6" width="5.25"/>
    <col customWidth="1" min="7" max="7" width="11.38"/>
    <col customWidth="1" min="8" max="8" width="11.25"/>
    <col customWidth="1" min="9" max="9" width="10.0"/>
    <col customWidth="1" min="10" max="10" width="9.38"/>
    <col customWidth="1" min="11" max="11" width="11.63"/>
    <col customWidth="1" min="12" max="12" width="18.75"/>
    <col customWidth="1" min="13" max="15" width="14.38"/>
    <col customWidth="1" min="18" max="18" width="29.38"/>
    <col customWidth="1" min="19" max="20" width="12.13"/>
    <col customWidth="1" min="21" max="21" width="28.88"/>
    <col customWidth="1" min="22" max="22" width="33.88"/>
    <col customWidth="1" min="29" max="29" width="20.38"/>
    <col customWidth="1" min="30" max="30" width="7.0"/>
    <col customWidth="1" min="31" max="31" width="11.5"/>
    <col customWidth="1" min="32" max="32" width="3.0"/>
    <col customWidth="1" min="33" max="33" width="33.88"/>
  </cols>
  <sheetData>
    <row r="1">
      <c r="A1" s="460" t="str">
        <f>IFERROR(__xludf.DUMMYFUNCTION("IMPORTRANGE('APS Tubes by Date IMPORT'!$A$2,""APS Tubes!$A1:$D"")"),"TUBE ID")</f>
        <v>TUBE ID</v>
      </c>
      <c r="B1" s="50" t="str">
        <f>IFERROR(__xludf.DUMMYFUNCTION("""COMPUTED_VALUE"""),"COLLECTION DATE")</f>
        <v>COLLECTION DATE</v>
      </c>
      <c r="C1" s="50" t="str">
        <f>IFERROR(__xludf.DUMMYFUNCTION("""COMPUTED_VALUE"""),"COLLECTION TIME")</f>
        <v>COLLECTION TIME</v>
      </c>
      <c r="D1" s="461" t="str">
        <f>IFERROR(__xludf.DUMMYFUNCTION("""COMPUTED_VALUE"""),"SPONSOR PERSON ID")</f>
        <v>SPONSOR PERSON ID</v>
      </c>
      <c r="E1" s="50"/>
      <c r="F1" s="50"/>
      <c r="G1" s="462" t="str">
        <f>IFERROR(__xludf.DUMMYFUNCTION("IMPORTRANGE('APS Tubes by Date IMPORT'!$A$2,""APS Tubes!$G1:$N"")"),"APP
RESULT")</f>
        <v>APP
RESULT</v>
      </c>
      <c r="H1" s="461" t="str">
        <f>IFERROR(__xludf.DUMMYFUNCTION("""COMPUTED_VALUE"""),"FINAL RESULT")</f>
        <v>FINAL RESULT</v>
      </c>
      <c r="I1" s="26" t="str">
        <f>IFERROR(__xludf.DUMMYFUNCTION("""COMPUTED_VALUE"""),"RESULT DATE")</f>
        <v>RESULT DATE</v>
      </c>
      <c r="J1" s="26" t="str">
        <f>IFERROR(__xludf.DUMMYFUNCTION("""COMPUTED_VALUE"""),"RESULT TIME")</f>
        <v>RESULT TIME</v>
      </c>
      <c r="K1" s="26" t="str">
        <f>IFERROR(__xludf.DUMMYFUNCTION("""COMPUTED_VALUE"""),"Result Correct Code")</f>
        <v>Result Correct Code</v>
      </c>
      <c r="L1" s="50" t="str">
        <f>IFERROR(__xludf.DUMMYFUNCTION("""COMPUTED_VALUE"""),"Correction Notes")</f>
        <v>Correction Notes</v>
      </c>
      <c r="M1" s="5" t="str">
        <f>IFERROR(__xludf.DUMMYFUNCTION("""COMPUTED_VALUE"""),"NOTE")</f>
        <v>NOTE</v>
      </c>
      <c r="N1" s="5" t="str">
        <f>IFERROR(__xludf.DUMMYFUNCTION("""COMPUTED_VALUE"""),"NUM SAMPLES (Pool Level)")</f>
        <v>NUM SAMPLES (Pool Level)</v>
      </c>
      <c r="O1" s="5" t="s">
        <v>1296</v>
      </c>
      <c r="P1" s="80" t="str">
        <f>IFERROR(__xludf.DUMMYFUNCTION("IMPORTRANGE('APS Tubes by Date IMPORT'!$A$2,""APS Tubes!$Q1:$Q"")"),"Result Date Minus Collect Date")</f>
        <v>Result Date Minus Collect Date</v>
      </c>
      <c r="Q1" s="2" t="s">
        <v>1297</v>
      </c>
      <c r="R1" s="2" t="s">
        <v>1298</v>
      </c>
      <c r="S1" s="5" t="s">
        <v>1299</v>
      </c>
      <c r="T1" s="75" t="s">
        <v>1300</v>
      </c>
      <c r="U1" s="2" t="s">
        <v>1301</v>
      </c>
      <c r="V1" s="2" t="s">
        <v>1302</v>
      </c>
      <c r="W1" s="50" t="s">
        <v>1303</v>
      </c>
      <c r="X1" s="50" t="s">
        <v>1304</v>
      </c>
      <c r="Y1" s="463" t="s">
        <v>1305</v>
      </c>
      <c r="Z1" s="75" t="s">
        <v>1306</v>
      </c>
      <c r="AA1" s="75" t="s">
        <v>1307</v>
      </c>
      <c r="AB1" s="75" t="s">
        <v>1308</v>
      </c>
      <c r="AC1" s="464" t="str">
        <f>IF(AD1=0,"IN SYNC!","NOT IN SYNC - VALUES IN BOOLEAN COLS (CYAN)")</f>
        <v>NOT IN SYNC - VALUES IN BOOLEAN COLS (CYAN)</v>
      </c>
      <c r="AD1" s="60">
        <f>COUNTIF($AC$2:$AD2488,TRUE)</f>
        <v>2</v>
      </c>
      <c r="AE1" s="465" t="s">
        <v>1309</v>
      </c>
      <c r="AF1" s="466"/>
      <c r="AG1" s="75" t="s">
        <v>1310</v>
      </c>
      <c r="AH1" s="467">
        <f>COUNTIF(AH2:AH2488,FALSE)</f>
        <v>16</v>
      </c>
    </row>
    <row r="2">
      <c r="A2" s="103">
        <f>IFERROR(__xludf.DUMMYFUNCTION("""COMPUTED_VALUE"""),351390.0)</f>
        <v>351390</v>
      </c>
      <c r="B2" s="468">
        <f>IFERROR(__xludf.DUMMYFUNCTION("""COMPUTED_VALUE"""),44176.0)</f>
        <v>44176</v>
      </c>
      <c r="C2" s="469">
        <f>IFERROR(__xludf.DUMMYFUNCTION("""COMPUTED_VALUE"""),0.3565509259259259)</f>
        <v>0.3565509259</v>
      </c>
      <c r="D2" s="103" t="str">
        <f>IFERROR(__xludf.DUMMYFUNCTION("""COMPUTED_VALUE"""),"SpFLMP684798")</f>
        <v>SpFLMP684798</v>
      </c>
      <c r="E2" s="103"/>
      <c r="F2" s="103"/>
      <c r="G2" s="103" t="str">
        <f>IFERROR(__xludf.DUMMYFUNCTION("""COMPUTED_VALUE"""),"Negative")</f>
        <v>Negative</v>
      </c>
      <c r="H2" s="131" t="str">
        <f>IFERROR(__xludf.DUMMYFUNCTION("""COMPUTED_VALUE"""),"Negative")</f>
        <v>Negative</v>
      </c>
      <c r="I2" s="468">
        <f>IFERROR(__xludf.DUMMYFUNCTION("""COMPUTED_VALUE"""),44250.0)</f>
        <v>44250</v>
      </c>
      <c r="J2" s="470">
        <f>IFERROR(__xludf.DUMMYFUNCTION("""COMPUTED_VALUE"""),0.3905092592592593)</f>
        <v>0.3905092593</v>
      </c>
      <c r="K2" s="16"/>
      <c r="L2" s="103"/>
      <c r="M2" s="69"/>
      <c r="N2" s="69">
        <f>IFERROR(__xludf.DUMMYFUNCTION("""COMPUTED_VALUE"""),3.0)</f>
        <v>3</v>
      </c>
      <c r="O2" s="69" t="b">
        <f t="shared" ref="O2:O1493" si="3">IF(B2&lt;&gt;B1,TRUE,IFERROR(0/0,""))</f>
        <v>1</v>
      </c>
      <c r="P2" s="471">
        <f>IFERROR(__xludf.DUMMYFUNCTION("""COMPUTED_VALUE"""),74.0)</f>
        <v>74</v>
      </c>
      <c r="Q2" s="274" t="b">
        <f>VLOOKUP($B2,'Run Reconcile'!B$2:O2488,14,FALSE)</f>
        <v>1</v>
      </c>
      <c r="R2" s="472" t="str">
        <f t="array" ref="R2">IF($Q2, INDEX('Run Reconcile'!A$2:A2488,MATCH(B2,'Run Reconcile'!B$2:B2488,0),1),IFERROR(0/0,""))</f>
        <v>RUN-FLMP_2020-12-11_APS-001</v>
      </c>
      <c r="S2" s="473" t="str">
        <f t="shared" ref="S2:T2" si="1">IF(COUNTIF(W$2:W2488, $A2) &gt; 0,TRUE,IFERROR(0/0,""))</f>
        <v/>
      </c>
      <c r="T2" s="473" t="str">
        <f t="shared" si="1"/>
        <v/>
      </c>
      <c r="U2" s="275" t="str">
        <f t="array" ref="U2">IF(ISBLANK($R2), INDEX('Run Reconcile'!A$2:A2488, MATCH($B2, 'Run Reconcile'!B$2:B2488, 0)+Z2, 1), IFERROR(0/0,""))
</f>
        <v/>
      </c>
      <c r="V2" s="474" t="str">
        <f t="shared" ref="V2:V1493" si="5">CONCATENATE($R2,$U2)</f>
        <v>RUN-FLMP_2020-12-11_APS-001</v>
      </c>
      <c r="Y2" s="89" t="str">
        <f t="shared" ref="Y2:Y257" si="6">IF(AND(ISBLANK(W2),ISBLANK(X2)),IFERROR(0/0,""),1)</f>
        <v/>
      </c>
      <c r="Z2" s="60" t="str">
        <f t="shared" ref="Z2:Z1509" si="7">IF(NOT(ISBLANK(AA2)), AA2, IF(NOT(ISBLANK(AB2)),AB2,IFERROR(0/0,"")))</f>
        <v/>
      </c>
      <c r="AA2" s="60" t="str">
        <f t="shared" ref="AA2:AA1509" si="8">IFERROR(VLOOKUP($A2, $W$2:$Y2488, 3, FALSE),IFERROR(0/0,""))</f>
        <v/>
      </c>
      <c r="AB2" s="60" t="str">
        <f t="shared" ref="AB2:AB1509" si="9">IFERROR(VLOOKUP($A2, $X$2:$Y2488, 2, FALSE),IFERROR(0/0,""))</f>
        <v/>
      </c>
      <c r="AC2" s="30" t="str">
        <f t="shared" ref="AC2:AD2" si="2">IF(_xlfn.ISFORMULA(S2),IFERROR(0/0,""),TRUE)</f>
        <v/>
      </c>
      <c r="AD2" s="30" t="str">
        <f t="shared" si="2"/>
        <v/>
      </c>
      <c r="AE2" s="475" t="str">
        <f>IFERROR(__xludf.DUMMYFUNCTION("IMPORTRANGE('APS Tubes by Date IMPORT'!$A$2,""APS Tubes!$R2:$R"")"),"FLSP")</f>
        <v>FLSP</v>
      </c>
      <c r="AF2" s="476"/>
      <c r="AG2" s="474" t="s">
        <v>1311</v>
      </c>
      <c r="AH2" s="138" t="str">
        <f t="shared" ref="AH2:AH1509" si="11">IF(EXACT(AG2,V2),IFERROR(0/0,""),FALSE)</f>
        <v/>
      </c>
    </row>
    <row r="3">
      <c r="A3" s="103">
        <f>IFERROR(__xludf.DUMMYFUNCTION("""COMPUTED_VALUE"""),351392.0)</f>
        <v>351392</v>
      </c>
      <c r="B3" s="468">
        <f>IFERROR(__xludf.DUMMYFUNCTION("""COMPUTED_VALUE"""),44176.0)</f>
        <v>44176</v>
      </c>
      <c r="C3" s="469">
        <f>IFERROR(__xludf.DUMMYFUNCTION("""COMPUTED_VALUE"""),0.3628240740740741)</f>
        <v>0.3628240741</v>
      </c>
      <c r="D3" s="103" t="str">
        <f>IFERROR(__xludf.DUMMYFUNCTION("""COMPUTED_VALUE"""),"SpFLMP684798")</f>
        <v>SpFLMP684798</v>
      </c>
      <c r="E3" s="103"/>
      <c r="F3" s="103"/>
      <c r="G3" s="103" t="str">
        <f>IFERROR(__xludf.DUMMYFUNCTION("""COMPUTED_VALUE"""),"Negative")</f>
        <v>Negative</v>
      </c>
      <c r="H3" s="131" t="str">
        <f>IFERROR(__xludf.DUMMYFUNCTION("""COMPUTED_VALUE"""),"Negative")</f>
        <v>Negative</v>
      </c>
      <c r="I3" s="468">
        <f>IFERROR(__xludf.DUMMYFUNCTION("""COMPUTED_VALUE"""),44250.0)</f>
        <v>44250</v>
      </c>
      <c r="J3" s="470">
        <f>IFERROR(__xludf.DUMMYFUNCTION("""COMPUTED_VALUE"""),0.3905092592592593)</f>
        <v>0.3905092593</v>
      </c>
      <c r="K3" s="16"/>
      <c r="L3" s="8"/>
      <c r="M3" s="69"/>
      <c r="N3" s="69">
        <f>IFERROR(__xludf.DUMMYFUNCTION("""COMPUTED_VALUE"""),3.0)</f>
        <v>3</v>
      </c>
      <c r="O3" s="69" t="str">
        <f t="shared" si="3"/>
        <v/>
      </c>
      <c r="P3" s="471">
        <f>IFERROR(__xludf.DUMMYFUNCTION("""COMPUTED_VALUE"""),74.0)</f>
        <v>74</v>
      </c>
      <c r="Q3" s="274" t="b">
        <f>VLOOKUP($B3,'Run Reconcile'!B$2:O2488,14,FALSE)</f>
        <v>1</v>
      </c>
      <c r="R3" s="472" t="str">
        <f t="array" ref="R3">IF($Q3, INDEX('Run Reconcile'!A$2:A2488,MATCH(B3,'Run Reconcile'!B$2:B2488,0),1),IFERROR(0/0,""))</f>
        <v>RUN-FLMP_2020-12-11_APS-001</v>
      </c>
      <c r="S3" s="473" t="str">
        <f t="shared" ref="S3:T3" si="4">IF(COUNTIF(W$2:W2488, $A3) &gt; 0,TRUE,IFERROR(0/0,""))</f>
        <v/>
      </c>
      <c r="T3" s="473" t="str">
        <f t="shared" si="4"/>
        <v/>
      </c>
      <c r="U3" s="275" t="str">
        <f t="array" ref="U3">IF(ISBLANK($R3), INDEX('Run Reconcile'!A$2:A2488, MATCH($B3, 'Run Reconcile'!B$2:B2488, 0)+Z3, 1), IFERROR(0/0,""))
</f>
        <v/>
      </c>
      <c r="V3" s="474" t="str">
        <f t="shared" si="5"/>
        <v>RUN-FLMP_2020-12-11_APS-001</v>
      </c>
      <c r="Y3" s="89" t="str">
        <f t="shared" si="6"/>
        <v/>
      </c>
      <c r="Z3" s="60" t="str">
        <f t="shared" si="7"/>
        <v/>
      </c>
      <c r="AA3" s="60" t="str">
        <f t="shared" si="8"/>
        <v/>
      </c>
      <c r="AB3" s="60" t="str">
        <f t="shared" si="9"/>
        <v/>
      </c>
      <c r="AC3" s="30" t="str">
        <f t="shared" ref="AC3:AD3" si="10">IF(_xlfn.ISFORMULA(S3),IFERROR(0/0,""),TRUE)</f>
        <v/>
      </c>
      <c r="AD3" s="30" t="str">
        <f t="shared" si="10"/>
        <v/>
      </c>
      <c r="AE3" s="475" t="str">
        <f>IFERROR(__xludf.DUMMYFUNCTION("""COMPUTED_VALUE"""),"FLSP")</f>
        <v>FLSP</v>
      </c>
      <c r="AF3" s="476"/>
      <c r="AG3" s="474" t="s">
        <v>1311</v>
      </c>
      <c r="AH3" s="138" t="str">
        <f t="shared" si="11"/>
        <v/>
      </c>
    </row>
    <row r="4">
      <c r="A4" s="103">
        <f>IFERROR(__xludf.DUMMYFUNCTION("""COMPUTED_VALUE"""),336361.0)</f>
        <v>336361</v>
      </c>
      <c r="B4" s="468">
        <f>IFERROR(__xludf.DUMMYFUNCTION("""COMPUTED_VALUE"""),44184.0)</f>
        <v>44184</v>
      </c>
      <c r="C4" s="469">
        <f>IFERROR(__xludf.DUMMYFUNCTION("""COMPUTED_VALUE"""),0.4414351851851852)</f>
        <v>0.4414351852</v>
      </c>
      <c r="D4" s="103" t="str">
        <f>IFERROR(__xludf.DUMMYFUNCTION("""COMPUTED_VALUE"""),"SpFLMP684798")</f>
        <v>SpFLMP684798</v>
      </c>
      <c r="E4" s="103"/>
      <c r="F4" s="103"/>
      <c r="G4" s="103" t="str">
        <f>IFERROR(__xludf.DUMMYFUNCTION("""COMPUTED_VALUE"""),"Negative")</f>
        <v>Negative</v>
      </c>
      <c r="H4" s="131" t="str">
        <f>IFERROR(__xludf.DUMMYFUNCTION("""COMPUTED_VALUE"""),"Negative")</f>
        <v>Negative</v>
      </c>
      <c r="I4" s="468">
        <f>IFERROR(__xludf.DUMMYFUNCTION("""COMPUTED_VALUE"""),44250.0)</f>
        <v>44250</v>
      </c>
      <c r="J4" s="470">
        <f>IFERROR(__xludf.DUMMYFUNCTION("""COMPUTED_VALUE"""),0.3905092592592593)</f>
        <v>0.3905092593</v>
      </c>
      <c r="K4" s="16"/>
      <c r="L4" s="8"/>
      <c r="M4" s="69"/>
      <c r="N4" s="69">
        <f>IFERROR(__xludf.DUMMYFUNCTION("""COMPUTED_VALUE"""),3.0)</f>
        <v>3</v>
      </c>
      <c r="O4" s="69" t="b">
        <f t="shared" si="3"/>
        <v>1</v>
      </c>
      <c r="P4" s="471">
        <f>IFERROR(__xludf.DUMMYFUNCTION("""COMPUTED_VALUE"""),66.0)</f>
        <v>66</v>
      </c>
      <c r="Q4" s="274" t="b">
        <f>VLOOKUP($B4,'Run Reconcile'!B$2:O2488,14,FALSE)</f>
        <v>1</v>
      </c>
      <c r="R4" s="472" t="str">
        <f t="array" ref="R4">IF($Q4, INDEX('Run Reconcile'!A$2:A2488,MATCH(B4,'Run Reconcile'!B$2:B2488,0),1),IFERROR(0/0,""))</f>
        <v>RUN-FLMP_2020-12-19_APS-002</v>
      </c>
      <c r="S4" s="473" t="str">
        <f t="shared" ref="S4:T4" si="12">IF(COUNTIF(W$2:W2488, $A4) &gt; 0,TRUE,IFERROR(0/0,""))</f>
        <v/>
      </c>
      <c r="T4" s="473" t="str">
        <f t="shared" si="12"/>
        <v/>
      </c>
      <c r="U4" s="275" t="str">
        <f t="array" ref="U4">IF(ISBLANK($R4), INDEX('Run Reconcile'!A$2:A2488, MATCH($B4, 'Run Reconcile'!B$2:B2488, 0)+Z4, 1), IFERROR(0/0,""))
</f>
        <v/>
      </c>
      <c r="V4" s="474" t="str">
        <f t="shared" si="5"/>
        <v>RUN-FLMP_2020-12-19_APS-002</v>
      </c>
      <c r="Y4" s="89" t="str">
        <f t="shared" si="6"/>
        <v/>
      </c>
      <c r="Z4" s="60" t="str">
        <f t="shared" si="7"/>
        <v/>
      </c>
      <c r="AA4" s="60" t="str">
        <f t="shared" si="8"/>
        <v/>
      </c>
      <c r="AB4" s="60" t="str">
        <f t="shared" si="9"/>
        <v/>
      </c>
      <c r="AC4" s="30" t="str">
        <f t="shared" ref="AC4:AD4" si="13">IF(_xlfn.ISFORMULA(S4),IFERROR(0/0,""),TRUE)</f>
        <v/>
      </c>
      <c r="AD4" s="30" t="str">
        <f t="shared" si="13"/>
        <v/>
      </c>
      <c r="AE4" s="475" t="str">
        <f>IFERROR(__xludf.DUMMYFUNCTION("""COMPUTED_VALUE"""),"FLSP")</f>
        <v>FLSP</v>
      </c>
      <c r="AF4" s="476"/>
      <c r="AG4" s="474" t="s">
        <v>34</v>
      </c>
      <c r="AH4" s="138" t="str">
        <f t="shared" si="11"/>
        <v/>
      </c>
    </row>
    <row r="5">
      <c r="A5" s="103">
        <f>IFERROR(__xludf.DUMMYFUNCTION("""COMPUTED_VALUE"""),425015.0)</f>
        <v>425015</v>
      </c>
      <c r="B5" s="468">
        <f>IFERROR(__xludf.DUMMYFUNCTION("""COMPUTED_VALUE"""),44187.0)</f>
        <v>44187</v>
      </c>
      <c r="C5" s="469">
        <f>IFERROR(__xludf.DUMMYFUNCTION("""COMPUTED_VALUE"""),0.762337962962963)</f>
        <v>0.762337963</v>
      </c>
      <c r="D5" s="103" t="str">
        <f>IFERROR(__xludf.DUMMYFUNCTION("""COMPUTED_VALUE"""),"SpFLMP659315")</f>
        <v>SpFLMP659315</v>
      </c>
      <c r="E5" s="103"/>
      <c r="F5" s="103"/>
      <c r="G5" s="103" t="str">
        <f>IFERROR(__xludf.DUMMYFUNCTION("""COMPUTED_VALUE"""),"Negative")</f>
        <v>Negative</v>
      </c>
      <c r="H5" s="131" t="str">
        <f>IFERROR(__xludf.DUMMYFUNCTION("""COMPUTED_VALUE"""),"Negative")</f>
        <v>Negative</v>
      </c>
      <c r="I5" s="468">
        <f>IFERROR(__xludf.DUMMYFUNCTION("""COMPUTED_VALUE"""),44250.0)</f>
        <v>44250</v>
      </c>
      <c r="J5" s="470">
        <f>IFERROR(__xludf.DUMMYFUNCTION("""COMPUTED_VALUE"""),0.3905092592592593)</f>
        <v>0.3905092593</v>
      </c>
      <c r="K5" s="16"/>
      <c r="L5" s="8"/>
      <c r="M5" s="69"/>
      <c r="N5" s="69">
        <f>IFERROR(__xludf.DUMMYFUNCTION("""COMPUTED_VALUE"""),2.0)</f>
        <v>2</v>
      </c>
      <c r="O5" s="69" t="b">
        <f t="shared" si="3"/>
        <v>1</v>
      </c>
      <c r="P5" s="471">
        <f>IFERROR(__xludf.DUMMYFUNCTION("""COMPUTED_VALUE"""),63.0)</f>
        <v>63</v>
      </c>
      <c r="Q5" s="274" t="b">
        <f>VLOOKUP($B5,'Run Reconcile'!B$2:O2488,14,FALSE)</f>
        <v>1</v>
      </c>
      <c r="R5" s="472" t="str">
        <f t="array" ref="R5">IF($Q5, INDEX('Run Reconcile'!A$2:A2488,MATCH(B5,'Run Reconcile'!B$2:B2488,0),1),IFERROR(0/0,""))</f>
        <v>RUN-FLMP_2020-12-22_APS-003</v>
      </c>
      <c r="S5" s="473" t="str">
        <f t="shared" ref="S5:T5" si="14">IF(COUNTIF(W$2:W2488, $A5) &gt; 0,TRUE,IFERROR(0/0,""))</f>
        <v/>
      </c>
      <c r="T5" s="473" t="str">
        <f t="shared" si="14"/>
        <v/>
      </c>
      <c r="U5" s="275" t="str">
        <f t="array" ref="U5">IF(ISBLANK($R5), INDEX('Run Reconcile'!A$2:A2488, MATCH($B5, 'Run Reconcile'!B$2:B2488, 0)+Z5, 1), IFERROR(0/0,""))
</f>
        <v/>
      </c>
      <c r="V5" s="474" t="str">
        <f t="shared" si="5"/>
        <v>RUN-FLMP_2020-12-22_APS-003</v>
      </c>
      <c r="Y5" s="89" t="str">
        <f t="shared" si="6"/>
        <v/>
      </c>
      <c r="Z5" s="60" t="str">
        <f t="shared" si="7"/>
        <v/>
      </c>
      <c r="AA5" s="60" t="str">
        <f t="shared" si="8"/>
        <v/>
      </c>
      <c r="AB5" s="60" t="str">
        <f t="shared" si="9"/>
        <v/>
      </c>
      <c r="AC5" s="30" t="str">
        <f t="shared" ref="AC5:AD5" si="15">IF(_xlfn.ISFORMULA(S5),IFERROR(0/0,""),TRUE)</f>
        <v/>
      </c>
      <c r="AD5" s="30" t="str">
        <f t="shared" si="15"/>
        <v/>
      </c>
      <c r="AE5" s="475" t="str">
        <f>IFERROR(__xludf.DUMMYFUNCTION("""COMPUTED_VALUE"""),"FLSP")</f>
        <v>FLSP</v>
      </c>
      <c r="AF5" s="476"/>
      <c r="AG5" s="474" t="s">
        <v>35</v>
      </c>
      <c r="AH5" s="138" t="str">
        <f t="shared" si="11"/>
        <v/>
      </c>
    </row>
    <row r="6">
      <c r="A6" s="103">
        <f>IFERROR(__xludf.DUMMYFUNCTION("""COMPUTED_VALUE"""),351402.0)</f>
        <v>351402</v>
      </c>
      <c r="B6" s="468">
        <f>IFERROR(__xludf.DUMMYFUNCTION("""COMPUTED_VALUE"""),44193.0)</f>
        <v>44193</v>
      </c>
      <c r="C6" s="469">
        <f>IFERROR(__xludf.DUMMYFUNCTION("""COMPUTED_VALUE"""),0.47216435185185185)</f>
        <v>0.4721643519</v>
      </c>
      <c r="D6" s="103" t="str">
        <f>IFERROR(__xludf.DUMMYFUNCTION("""COMPUTED_VALUE"""),"SpFLMP959641")</f>
        <v>SpFLMP959641</v>
      </c>
      <c r="E6" s="103"/>
      <c r="F6" s="103"/>
      <c r="G6" s="103" t="str">
        <f>IFERROR(__xludf.DUMMYFUNCTION("""COMPUTED_VALUE"""),"Negative")</f>
        <v>Negative</v>
      </c>
      <c r="H6" s="131" t="str">
        <f>IFERROR(__xludf.DUMMYFUNCTION("""COMPUTED_VALUE"""),"Negative")</f>
        <v>Negative</v>
      </c>
      <c r="I6" s="468">
        <f>IFERROR(__xludf.DUMMYFUNCTION("""COMPUTED_VALUE"""),44250.0)</f>
        <v>44250</v>
      </c>
      <c r="J6" s="470">
        <f>IFERROR(__xludf.DUMMYFUNCTION("""COMPUTED_VALUE"""),0.3905092592592593)</f>
        <v>0.3905092593</v>
      </c>
      <c r="K6" s="16"/>
      <c r="L6" s="8"/>
      <c r="M6" s="69"/>
      <c r="N6" s="69">
        <f>IFERROR(__xludf.DUMMYFUNCTION("""COMPUTED_VALUE"""),4.0)</f>
        <v>4</v>
      </c>
      <c r="O6" s="69" t="b">
        <f t="shared" si="3"/>
        <v>1</v>
      </c>
      <c r="P6" s="471">
        <f>IFERROR(__xludf.DUMMYFUNCTION("""COMPUTED_VALUE"""),57.0)</f>
        <v>57</v>
      </c>
      <c r="Q6" s="274" t="b">
        <f>VLOOKUP($B6,'Run Reconcile'!B$2:O2488,14,FALSE)</f>
        <v>1</v>
      </c>
      <c r="R6" s="472" t="str">
        <f t="array" ref="R6">IF($Q6, INDEX('Run Reconcile'!A$2:A2488,MATCH(B6,'Run Reconcile'!B$2:B2488,0),1),IFERROR(0/0,""))</f>
        <v>RUN-FLMP_2020-12-28_APS-004</v>
      </c>
      <c r="S6" s="473" t="str">
        <f t="shared" ref="S6:T6" si="16">IF(COUNTIF(W$2:W2488, $A6) &gt; 0,TRUE,IFERROR(0/0,""))</f>
        <v/>
      </c>
      <c r="T6" s="473" t="str">
        <f t="shared" si="16"/>
        <v/>
      </c>
      <c r="U6" s="275" t="str">
        <f t="array" ref="U6">IF(ISBLANK($R6), INDEX('Run Reconcile'!A$2:A2488, MATCH($B6, 'Run Reconcile'!B$2:B2488, 0)+Z6, 1), IFERROR(0/0,""))
</f>
        <v/>
      </c>
      <c r="V6" s="474" t="str">
        <f t="shared" si="5"/>
        <v>RUN-FLMP_2020-12-28_APS-004</v>
      </c>
      <c r="Y6" s="89" t="str">
        <f t="shared" si="6"/>
        <v/>
      </c>
      <c r="Z6" s="60" t="str">
        <f t="shared" si="7"/>
        <v/>
      </c>
      <c r="AA6" s="60" t="str">
        <f t="shared" si="8"/>
        <v/>
      </c>
      <c r="AB6" s="60" t="str">
        <f t="shared" si="9"/>
        <v/>
      </c>
      <c r="AC6" s="30" t="str">
        <f t="shared" ref="AC6:AD6" si="17">IF(_xlfn.ISFORMULA(S6),IFERROR(0/0,""),TRUE)</f>
        <v/>
      </c>
      <c r="AD6" s="30" t="str">
        <f t="shared" si="17"/>
        <v/>
      </c>
      <c r="AE6" s="475" t="str">
        <f>IFERROR(__xludf.DUMMYFUNCTION("""COMPUTED_VALUE"""),"FLSP")</f>
        <v>FLSP</v>
      </c>
      <c r="AF6" s="476"/>
      <c r="AG6" s="474" t="s">
        <v>36</v>
      </c>
      <c r="AH6" s="138" t="str">
        <f t="shared" si="11"/>
        <v/>
      </c>
    </row>
    <row r="7">
      <c r="A7" s="103">
        <f>IFERROR(__xludf.DUMMYFUNCTION("""COMPUTED_VALUE"""),336362.0)</f>
        <v>336362</v>
      </c>
      <c r="B7" s="468">
        <f>IFERROR(__xludf.DUMMYFUNCTION("""COMPUTED_VALUE"""),44193.0)</f>
        <v>44193</v>
      </c>
      <c r="C7" s="469">
        <f>IFERROR(__xludf.DUMMYFUNCTION("""COMPUTED_VALUE"""),0.4969675925925926)</f>
        <v>0.4969675926</v>
      </c>
      <c r="D7" s="103" t="str">
        <f>IFERROR(__xludf.DUMMYFUNCTION("""COMPUTED_VALUE"""),"SpFLMP294811")</f>
        <v>SpFLMP294811</v>
      </c>
      <c r="E7" s="103"/>
      <c r="F7" s="103"/>
      <c r="G7" s="103" t="str">
        <f>IFERROR(__xludf.DUMMYFUNCTION("""COMPUTED_VALUE"""),"Negative")</f>
        <v>Negative</v>
      </c>
      <c r="H7" s="131" t="str">
        <f>IFERROR(__xludf.DUMMYFUNCTION("""COMPUTED_VALUE"""),"Negative")</f>
        <v>Negative</v>
      </c>
      <c r="I7" s="468">
        <f>IFERROR(__xludf.DUMMYFUNCTION("""COMPUTED_VALUE"""),44250.0)</f>
        <v>44250</v>
      </c>
      <c r="J7" s="470">
        <f>IFERROR(__xludf.DUMMYFUNCTION("""COMPUTED_VALUE"""),0.3905092592592593)</f>
        <v>0.3905092593</v>
      </c>
      <c r="K7" s="16"/>
      <c r="L7" s="8"/>
      <c r="M7" s="69"/>
      <c r="N7" s="69">
        <f>IFERROR(__xludf.DUMMYFUNCTION("""COMPUTED_VALUE"""),2.0)</f>
        <v>2</v>
      </c>
      <c r="O7" s="69" t="str">
        <f t="shared" si="3"/>
        <v/>
      </c>
      <c r="P7" s="471">
        <f>IFERROR(__xludf.DUMMYFUNCTION("""COMPUTED_VALUE"""),57.0)</f>
        <v>57</v>
      </c>
      <c r="Q7" s="274" t="b">
        <f>VLOOKUP($B7,'Run Reconcile'!B$2:O2488,14,FALSE)</f>
        <v>1</v>
      </c>
      <c r="R7" s="472" t="str">
        <f t="array" ref="R7">IF($Q7, INDEX('Run Reconcile'!A$2:A2488,MATCH(B7,'Run Reconcile'!B$2:B2488,0),1),IFERROR(0/0,""))</f>
        <v>RUN-FLMP_2020-12-28_APS-004</v>
      </c>
      <c r="S7" s="473" t="str">
        <f t="shared" ref="S7:T7" si="18">IF(COUNTIF(W$2:W2488, $A7) &gt; 0,TRUE,IFERROR(0/0,""))</f>
        <v/>
      </c>
      <c r="T7" s="473" t="str">
        <f t="shared" si="18"/>
        <v/>
      </c>
      <c r="U7" s="275" t="str">
        <f t="array" ref="U7">IF(ISBLANK($R7), INDEX('Run Reconcile'!A$2:A2488, MATCH($B7, 'Run Reconcile'!B$2:B2488, 0)+Z7, 1), IFERROR(0/0,""))
</f>
        <v/>
      </c>
      <c r="V7" s="474" t="str">
        <f t="shared" si="5"/>
        <v>RUN-FLMP_2020-12-28_APS-004</v>
      </c>
      <c r="Y7" s="89" t="str">
        <f t="shared" si="6"/>
        <v/>
      </c>
      <c r="Z7" s="60" t="str">
        <f t="shared" si="7"/>
        <v/>
      </c>
      <c r="AA7" s="60" t="str">
        <f t="shared" si="8"/>
        <v/>
      </c>
      <c r="AB7" s="60" t="str">
        <f t="shared" si="9"/>
        <v/>
      </c>
      <c r="AC7" s="30" t="str">
        <f t="shared" ref="AC7:AD7" si="19">IF(_xlfn.ISFORMULA(S7),IFERROR(0/0,""),TRUE)</f>
        <v/>
      </c>
      <c r="AD7" s="30" t="str">
        <f t="shared" si="19"/>
        <v/>
      </c>
      <c r="AE7" s="475" t="str">
        <f>IFERROR(__xludf.DUMMYFUNCTION("""COMPUTED_VALUE"""),"FLSP")</f>
        <v>FLSP</v>
      </c>
      <c r="AF7" s="476"/>
      <c r="AG7" s="474" t="s">
        <v>36</v>
      </c>
      <c r="AH7" s="138" t="str">
        <f t="shared" si="11"/>
        <v/>
      </c>
    </row>
    <row r="8">
      <c r="A8" s="103">
        <f>IFERROR(__xludf.DUMMYFUNCTION("""COMPUTED_VALUE"""),351429.0)</f>
        <v>351429</v>
      </c>
      <c r="B8" s="468">
        <f>IFERROR(__xludf.DUMMYFUNCTION("""COMPUTED_VALUE"""),44207.0)</f>
        <v>44207</v>
      </c>
      <c r="C8" s="469">
        <f>IFERROR(__xludf.DUMMYFUNCTION("""COMPUTED_VALUE"""),0.38894675925925926)</f>
        <v>0.3889467593</v>
      </c>
      <c r="D8" s="103" t="str">
        <f>IFERROR(__xludf.DUMMYFUNCTION("""COMPUTED_VALUE"""),"SpFLMP294811")</f>
        <v>SpFLMP294811</v>
      </c>
      <c r="E8" s="103"/>
      <c r="F8" s="103"/>
      <c r="G8" s="103" t="str">
        <f>IFERROR(__xludf.DUMMYFUNCTION("""COMPUTED_VALUE"""),"Negative")</f>
        <v>Negative</v>
      </c>
      <c r="H8" s="131" t="str">
        <f>IFERROR(__xludf.DUMMYFUNCTION("""COMPUTED_VALUE"""),"Negative")</f>
        <v>Negative</v>
      </c>
      <c r="I8" s="468">
        <f>IFERROR(__xludf.DUMMYFUNCTION("""COMPUTED_VALUE"""),44250.0)</f>
        <v>44250</v>
      </c>
      <c r="J8" s="470">
        <f>IFERROR(__xludf.DUMMYFUNCTION("""COMPUTED_VALUE"""),0.3905208333333333)</f>
        <v>0.3905208333</v>
      </c>
      <c r="K8" s="16"/>
      <c r="L8" s="8"/>
      <c r="M8" s="69"/>
      <c r="N8" s="69">
        <f>IFERROR(__xludf.DUMMYFUNCTION("""COMPUTED_VALUE"""),4.0)</f>
        <v>4</v>
      </c>
      <c r="O8" s="69" t="b">
        <f t="shared" si="3"/>
        <v>1</v>
      </c>
      <c r="P8" s="471">
        <f>IFERROR(__xludf.DUMMYFUNCTION("""COMPUTED_VALUE"""),43.0)</f>
        <v>43</v>
      </c>
      <c r="Q8" s="274" t="b">
        <f>VLOOKUP($B8,'Run Reconcile'!B$2:O2488,14,FALSE)</f>
        <v>1</v>
      </c>
      <c r="R8" s="472" t="str">
        <f t="array" ref="R8">IF($Q8, INDEX('Run Reconcile'!A$2:A2488,MATCH(B8,'Run Reconcile'!B$2:B2488,0),1),IFERROR(0/0,""))</f>
        <v>RUN-FLMP_2021-01-11_APS-005</v>
      </c>
      <c r="S8" s="473" t="str">
        <f t="shared" ref="S8:T8" si="20">IF(COUNTIF(W$2:W2488, $A8) &gt; 0,TRUE,IFERROR(0/0,""))</f>
        <v/>
      </c>
      <c r="T8" s="473" t="str">
        <f t="shared" si="20"/>
        <v/>
      </c>
      <c r="U8" s="275" t="str">
        <f t="array" ref="U8">IF(ISBLANK($R8), INDEX('Run Reconcile'!A$2:A2488, MATCH($B8, 'Run Reconcile'!B$2:B2488, 0)+Z8, 1), IFERROR(0/0,""))
</f>
        <v/>
      </c>
      <c r="V8" s="474" t="str">
        <f t="shared" si="5"/>
        <v>RUN-FLMP_2021-01-11_APS-005</v>
      </c>
      <c r="Y8" s="89" t="str">
        <f t="shared" si="6"/>
        <v/>
      </c>
      <c r="Z8" s="60" t="str">
        <f t="shared" si="7"/>
        <v/>
      </c>
      <c r="AA8" s="60" t="str">
        <f t="shared" si="8"/>
        <v/>
      </c>
      <c r="AB8" s="60" t="str">
        <f t="shared" si="9"/>
        <v/>
      </c>
      <c r="AC8" s="30" t="str">
        <f t="shared" ref="AC8:AD8" si="21">IF(_xlfn.ISFORMULA(S8),IFERROR(0/0,""),TRUE)</f>
        <v/>
      </c>
      <c r="AD8" s="30" t="str">
        <f t="shared" si="21"/>
        <v/>
      </c>
      <c r="AE8" s="475" t="str">
        <f>IFERROR(__xludf.DUMMYFUNCTION("""COMPUTED_VALUE"""),"FLSP")</f>
        <v>FLSP</v>
      </c>
      <c r="AF8" s="476"/>
      <c r="AG8" s="474" t="s">
        <v>37</v>
      </c>
      <c r="AH8" s="138" t="str">
        <f t="shared" si="11"/>
        <v/>
      </c>
    </row>
    <row r="9">
      <c r="A9" s="103">
        <f>IFERROR(__xludf.DUMMYFUNCTION("""COMPUTED_VALUE"""),351447.0)</f>
        <v>351447</v>
      </c>
      <c r="B9" s="468">
        <f>IFERROR(__xludf.DUMMYFUNCTION("""COMPUTED_VALUE"""),44207.0)</f>
        <v>44207</v>
      </c>
      <c r="C9" s="469">
        <f>IFERROR(__xludf.DUMMYFUNCTION("""COMPUTED_VALUE"""),0.39520833333333333)</f>
        <v>0.3952083333</v>
      </c>
      <c r="D9" s="103" t="str">
        <f>IFERROR(__xludf.DUMMYFUNCTION("""COMPUTED_VALUE"""),"SpFLMP294811")</f>
        <v>SpFLMP294811</v>
      </c>
      <c r="E9" s="103"/>
      <c r="F9" s="103"/>
      <c r="G9" s="103" t="str">
        <f>IFERROR(__xludf.DUMMYFUNCTION("""COMPUTED_VALUE"""),"Negative")</f>
        <v>Negative</v>
      </c>
      <c r="H9" s="131" t="str">
        <f>IFERROR(__xludf.DUMMYFUNCTION("""COMPUTED_VALUE"""),"Negative")</f>
        <v>Negative</v>
      </c>
      <c r="I9" s="468">
        <f>IFERROR(__xludf.DUMMYFUNCTION("""COMPUTED_VALUE"""),44250.0)</f>
        <v>44250</v>
      </c>
      <c r="J9" s="470">
        <f>IFERROR(__xludf.DUMMYFUNCTION("""COMPUTED_VALUE"""),0.3905208333333333)</f>
        <v>0.3905208333</v>
      </c>
      <c r="K9" s="16"/>
      <c r="L9" s="8"/>
      <c r="M9" s="69"/>
      <c r="N9" s="69">
        <f>IFERROR(__xludf.DUMMYFUNCTION("""COMPUTED_VALUE"""),1.0)</f>
        <v>1</v>
      </c>
      <c r="O9" s="69" t="str">
        <f t="shared" si="3"/>
        <v/>
      </c>
      <c r="P9" s="471">
        <f>IFERROR(__xludf.DUMMYFUNCTION("""COMPUTED_VALUE"""),43.0)</f>
        <v>43</v>
      </c>
      <c r="Q9" s="274" t="b">
        <f>VLOOKUP($B9,'Run Reconcile'!B$2:O2488,14,FALSE)</f>
        <v>1</v>
      </c>
      <c r="R9" s="472" t="str">
        <f t="array" ref="R9">IF($Q9, INDEX('Run Reconcile'!A$2:A2488,MATCH(B9,'Run Reconcile'!B$2:B2488,0),1),IFERROR(0/0,""))</f>
        <v>RUN-FLMP_2021-01-11_APS-005</v>
      </c>
      <c r="S9" s="473" t="str">
        <f t="shared" ref="S9:T9" si="22">IF(COUNTIF(W$2:W2488, $A9) &gt; 0,TRUE,IFERROR(0/0,""))</f>
        <v/>
      </c>
      <c r="T9" s="473" t="str">
        <f t="shared" si="22"/>
        <v/>
      </c>
      <c r="U9" s="275" t="str">
        <f t="array" ref="U9">IF(ISBLANK($R9), INDEX('Run Reconcile'!A$2:A2488, MATCH($B9, 'Run Reconcile'!B$2:B2488, 0)+Z9, 1), IFERROR(0/0,""))
</f>
        <v/>
      </c>
      <c r="V9" s="474" t="str">
        <f t="shared" si="5"/>
        <v>RUN-FLMP_2021-01-11_APS-005</v>
      </c>
      <c r="Y9" s="89" t="str">
        <f t="shared" si="6"/>
        <v/>
      </c>
      <c r="Z9" s="60" t="str">
        <f t="shared" si="7"/>
        <v/>
      </c>
      <c r="AA9" s="60" t="str">
        <f t="shared" si="8"/>
        <v/>
      </c>
      <c r="AB9" s="60" t="str">
        <f t="shared" si="9"/>
        <v/>
      </c>
      <c r="AC9" s="30" t="str">
        <f t="shared" ref="AC9:AD9" si="23">IF(_xlfn.ISFORMULA(S9),IFERROR(0/0,""),TRUE)</f>
        <v/>
      </c>
      <c r="AD9" s="30" t="str">
        <f t="shared" si="23"/>
        <v/>
      </c>
      <c r="AE9" s="475" t="str">
        <f>IFERROR(__xludf.DUMMYFUNCTION("""COMPUTED_VALUE"""),"FLSP")</f>
        <v>FLSP</v>
      </c>
      <c r="AF9" s="476"/>
      <c r="AG9" s="474" t="s">
        <v>37</v>
      </c>
      <c r="AH9" s="138" t="str">
        <f t="shared" si="11"/>
        <v/>
      </c>
    </row>
    <row r="10">
      <c r="A10" s="103">
        <f>IFERROR(__xludf.DUMMYFUNCTION("""COMPUTED_VALUE"""),351450.0)</f>
        <v>351450</v>
      </c>
      <c r="B10" s="468">
        <f>IFERROR(__xludf.DUMMYFUNCTION("""COMPUTED_VALUE"""),44207.0)</f>
        <v>44207</v>
      </c>
      <c r="C10" s="469">
        <f>IFERROR(__xludf.DUMMYFUNCTION("""COMPUTED_VALUE"""),0.3982523148148148)</f>
        <v>0.3982523148</v>
      </c>
      <c r="D10" s="103" t="str">
        <f>IFERROR(__xludf.DUMMYFUNCTION("""COMPUTED_VALUE"""),"SpFLMP294811")</f>
        <v>SpFLMP294811</v>
      </c>
      <c r="E10" s="103"/>
      <c r="F10" s="103"/>
      <c r="G10" s="103" t="str">
        <f>IFERROR(__xludf.DUMMYFUNCTION("""COMPUTED_VALUE"""),"Negative")</f>
        <v>Negative</v>
      </c>
      <c r="H10" s="131" t="str">
        <f>IFERROR(__xludf.DUMMYFUNCTION("""COMPUTED_VALUE"""),"Negative")</f>
        <v>Negative</v>
      </c>
      <c r="I10" s="468">
        <f>IFERROR(__xludf.DUMMYFUNCTION("""COMPUTED_VALUE"""),44250.0)</f>
        <v>44250</v>
      </c>
      <c r="J10" s="470">
        <f>IFERROR(__xludf.DUMMYFUNCTION("""COMPUTED_VALUE"""),0.3905208333333333)</f>
        <v>0.3905208333</v>
      </c>
      <c r="K10" s="16"/>
      <c r="L10" s="8"/>
      <c r="M10" s="69"/>
      <c r="N10" s="69">
        <f>IFERROR(__xludf.DUMMYFUNCTION("""COMPUTED_VALUE"""),4.0)</f>
        <v>4</v>
      </c>
      <c r="O10" s="69" t="str">
        <f t="shared" si="3"/>
        <v/>
      </c>
      <c r="P10" s="471">
        <f>IFERROR(__xludf.DUMMYFUNCTION("""COMPUTED_VALUE"""),43.0)</f>
        <v>43</v>
      </c>
      <c r="Q10" s="274" t="b">
        <f>VLOOKUP($B10,'Run Reconcile'!B$2:O2488,14,FALSE)</f>
        <v>1</v>
      </c>
      <c r="R10" s="472" t="str">
        <f t="array" ref="R10">IF($Q10, INDEX('Run Reconcile'!A$2:A2488,MATCH(B10,'Run Reconcile'!B$2:B2488,0),1),IFERROR(0/0,""))</f>
        <v>RUN-FLMP_2021-01-11_APS-005</v>
      </c>
      <c r="S10" s="473" t="str">
        <f t="shared" ref="S10:T10" si="24">IF(COUNTIF(W$2:W2488, $A10) &gt; 0,TRUE,IFERROR(0/0,""))</f>
        <v/>
      </c>
      <c r="T10" s="473" t="str">
        <f t="shared" si="24"/>
        <v/>
      </c>
      <c r="U10" s="275" t="str">
        <f t="array" ref="U10">IF(ISBLANK($R10), INDEX('Run Reconcile'!A$2:A2488, MATCH($B10, 'Run Reconcile'!B$2:B2488, 0)+Z10, 1), IFERROR(0/0,""))
</f>
        <v/>
      </c>
      <c r="V10" s="474" t="str">
        <f t="shared" si="5"/>
        <v>RUN-FLMP_2021-01-11_APS-005</v>
      </c>
      <c r="Y10" s="89" t="str">
        <f t="shared" si="6"/>
        <v/>
      </c>
      <c r="Z10" s="60" t="str">
        <f t="shared" si="7"/>
        <v/>
      </c>
      <c r="AA10" s="60" t="str">
        <f t="shared" si="8"/>
        <v/>
      </c>
      <c r="AB10" s="60" t="str">
        <f t="shared" si="9"/>
        <v/>
      </c>
      <c r="AC10" s="30" t="str">
        <f t="shared" ref="AC10:AD10" si="25">IF(_xlfn.ISFORMULA(S10),IFERROR(0/0,""),TRUE)</f>
        <v/>
      </c>
      <c r="AD10" s="30" t="str">
        <f t="shared" si="25"/>
        <v/>
      </c>
      <c r="AE10" s="475" t="str">
        <f>IFERROR(__xludf.DUMMYFUNCTION("""COMPUTED_VALUE"""),"FLSP")</f>
        <v>FLSP</v>
      </c>
      <c r="AF10" s="476"/>
      <c r="AG10" s="474" t="s">
        <v>37</v>
      </c>
      <c r="AH10" s="138" t="str">
        <f t="shared" si="11"/>
        <v/>
      </c>
    </row>
    <row r="11">
      <c r="A11" s="103">
        <f>IFERROR(__xludf.DUMMYFUNCTION("""COMPUTED_VALUE"""),351448.0)</f>
        <v>351448</v>
      </c>
      <c r="B11" s="468">
        <f>IFERROR(__xludf.DUMMYFUNCTION("""COMPUTED_VALUE"""),44207.0)</f>
        <v>44207</v>
      </c>
      <c r="C11" s="469">
        <f>IFERROR(__xludf.DUMMYFUNCTION("""COMPUTED_VALUE"""),0.3986574074074074)</f>
        <v>0.3986574074</v>
      </c>
      <c r="D11" s="103" t="str">
        <f>IFERROR(__xludf.DUMMYFUNCTION("""COMPUTED_VALUE"""),"SpFLMP294811")</f>
        <v>SpFLMP294811</v>
      </c>
      <c r="E11" s="103"/>
      <c r="F11" s="103"/>
      <c r="G11" s="103" t="str">
        <f>IFERROR(__xludf.DUMMYFUNCTION("""COMPUTED_VALUE"""),"Negative")</f>
        <v>Negative</v>
      </c>
      <c r="H11" s="131" t="str">
        <f>IFERROR(__xludf.DUMMYFUNCTION("""COMPUTED_VALUE"""),"Negative")</f>
        <v>Negative</v>
      </c>
      <c r="I11" s="468">
        <f>IFERROR(__xludf.DUMMYFUNCTION("""COMPUTED_VALUE"""),44250.0)</f>
        <v>44250</v>
      </c>
      <c r="J11" s="470">
        <f>IFERROR(__xludf.DUMMYFUNCTION("""COMPUTED_VALUE"""),0.3905208333333333)</f>
        <v>0.3905208333</v>
      </c>
      <c r="K11" s="16"/>
      <c r="L11" s="8"/>
      <c r="M11" s="69"/>
      <c r="N11" s="69">
        <f>IFERROR(__xludf.DUMMYFUNCTION("""COMPUTED_VALUE"""),4.0)</f>
        <v>4</v>
      </c>
      <c r="O11" s="69" t="str">
        <f t="shared" si="3"/>
        <v/>
      </c>
      <c r="P11" s="471">
        <f>IFERROR(__xludf.DUMMYFUNCTION("""COMPUTED_VALUE"""),43.0)</f>
        <v>43</v>
      </c>
      <c r="Q11" s="274" t="b">
        <f>VLOOKUP($B11,'Run Reconcile'!B$2:O2488,14,FALSE)</f>
        <v>1</v>
      </c>
      <c r="R11" s="472" t="str">
        <f t="array" ref="R11">IF($Q11, INDEX('Run Reconcile'!A$2:A2488,MATCH(B11,'Run Reconcile'!B$2:B2488,0),1),IFERROR(0/0,""))</f>
        <v>RUN-FLMP_2021-01-11_APS-005</v>
      </c>
      <c r="S11" s="473" t="str">
        <f t="shared" ref="S11:T11" si="26">IF(COUNTIF(W$2:W2488, $A11) &gt; 0,TRUE,IFERROR(0/0,""))</f>
        <v/>
      </c>
      <c r="T11" s="473" t="str">
        <f t="shared" si="26"/>
        <v/>
      </c>
      <c r="U11" s="275" t="str">
        <f t="array" ref="U11">IF(ISBLANK($R11), INDEX('Run Reconcile'!A$2:A2488, MATCH($B11, 'Run Reconcile'!B$2:B2488, 0)+Z11, 1), IFERROR(0/0,""))
</f>
        <v/>
      </c>
      <c r="V11" s="474" t="str">
        <f t="shared" si="5"/>
        <v>RUN-FLMP_2021-01-11_APS-005</v>
      </c>
      <c r="Y11" s="89" t="str">
        <f t="shared" si="6"/>
        <v/>
      </c>
      <c r="Z11" s="60" t="str">
        <f t="shared" si="7"/>
        <v/>
      </c>
      <c r="AA11" s="60" t="str">
        <f t="shared" si="8"/>
        <v/>
      </c>
      <c r="AB11" s="60" t="str">
        <f t="shared" si="9"/>
        <v/>
      </c>
      <c r="AC11" s="30" t="str">
        <f t="shared" ref="AC11:AD11" si="27">IF(_xlfn.ISFORMULA(S11),IFERROR(0/0,""),TRUE)</f>
        <v/>
      </c>
      <c r="AD11" s="30" t="str">
        <f t="shared" si="27"/>
        <v/>
      </c>
      <c r="AE11" s="475" t="str">
        <f>IFERROR(__xludf.DUMMYFUNCTION("""COMPUTED_VALUE"""),"FLSP")</f>
        <v>FLSP</v>
      </c>
      <c r="AF11" s="476"/>
      <c r="AG11" s="474" t="s">
        <v>37</v>
      </c>
      <c r="AH11" s="138" t="str">
        <f t="shared" si="11"/>
        <v/>
      </c>
    </row>
    <row r="12">
      <c r="A12" s="103">
        <f>IFERROR(__xludf.DUMMYFUNCTION("""COMPUTED_VALUE"""),351425.0)</f>
        <v>351425</v>
      </c>
      <c r="B12" s="468">
        <f>IFERROR(__xludf.DUMMYFUNCTION("""COMPUTED_VALUE"""),44209.0)</f>
        <v>44209</v>
      </c>
      <c r="C12" s="469">
        <f>IFERROR(__xludf.DUMMYFUNCTION("""COMPUTED_VALUE"""),0.32501157407407405)</f>
        <v>0.3250115741</v>
      </c>
      <c r="D12" s="103" t="str">
        <f>IFERROR(__xludf.DUMMYFUNCTION("""COMPUTED_VALUE"""),"SpFLMP294811")</f>
        <v>SpFLMP294811</v>
      </c>
      <c r="E12" s="103"/>
      <c r="F12" s="103"/>
      <c r="G12" s="103" t="str">
        <f>IFERROR(__xludf.DUMMYFUNCTION("""COMPUTED_VALUE"""),"Negative")</f>
        <v>Negative</v>
      </c>
      <c r="H12" s="131" t="str">
        <f>IFERROR(__xludf.DUMMYFUNCTION("""COMPUTED_VALUE"""),"Negative")</f>
        <v>Negative</v>
      </c>
      <c r="I12" s="468">
        <f>IFERROR(__xludf.DUMMYFUNCTION("""COMPUTED_VALUE"""),44250.0)</f>
        <v>44250</v>
      </c>
      <c r="J12" s="470">
        <f>IFERROR(__xludf.DUMMYFUNCTION("""COMPUTED_VALUE"""),0.3905208333333333)</f>
        <v>0.3905208333</v>
      </c>
      <c r="K12" s="16"/>
      <c r="L12" s="8"/>
      <c r="M12" s="69"/>
      <c r="N12" s="69">
        <f>IFERROR(__xludf.DUMMYFUNCTION("""COMPUTED_VALUE"""),1.0)</f>
        <v>1</v>
      </c>
      <c r="O12" s="69" t="b">
        <f t="shared" si="3"/>
        <v>1</v>
      </c>
      <c r="P12" s="471">
        <f>IFERROR(__xludf.DUMMYFUNCTION("""COMPUTED_VALUE"""),41.0)</f>
        <v>41</v>
      </c>
      <c r="Q12" s="274" t="b">
        <f>VLOOKUP($B12,'Run Reconcile'!B$2:O2488,14,FALSE)</f>
        <v>1</v>
      </c>
      <c r="R12" s="472" t="str">
        <f t="array" ref="R12">IF($Q12, INDEX('Run Reconcile'!A$2:A2488,MATCH(B12,'Run Reconcile'!B$2:B2488,0),1),IFERROR(0/0,""))</f>
        <v>RUN-FLMP_2021-01-13_APS-006</v>
      </c>
      <c r="S12" s="473" t="str">
        <f t="shared" ref="S12:T12" si="28">IF(COUNTIF(W$2:W2488, $A12) &gt; 0,TRUE,IFERROR(0/0,""))</f>
        <v/>
      </c>
      <c r="T12" s="473" t="str">
        <f t="shared" si="28"/>
        <v/>
      </c>
      <c r="U12" s="275" t="str">
        <f t="array" ref="U12">IF(ISBLANK($R12), INDEX('Run Reconcile'!A$2:A2488, MATCH($B12, 'Run Reconcile'!B$2:B2488, 0)+Z12, 1), IFERROR(0/0,""))
</f>
        <v/>
      </c>
      <c r="V12" s="474" t="str">
        <f t="shared" si="5"/>
        <v>RUN-FLMP_2021-01-13_APS-006</v>
      </c>
      <c r="Y12" s="89" t="str">
        <f t="shared" si="6"/>
        <v/>
      </c>
      <c r="Z12" s="60" t="str">
        <f t="shared" si="7"/>
        <v/>
      </c>
      <c r="AA12" s="60" t="str">
        <f t="shared" si="8"/>
        <v/>
      </c>
      <c r="AB12" s="60" t="str">
        <f t="shared" si="9"/>
        <v/>
      </c>
      <c r="AC12" s="30" t="str">
        <f t="shared" ref="AC12:AD12" si="29">IF(_xlfn.ISFORMULA(S12),IFERROR(0/0,""),TRUE)</f>
        <v/>
      </c>
      <c r="AD12" s="30" t="str">
        <f t="shared" si="29"/>
        <v/>
      </c>
      <c r="AE12" s="475" t="str">
        <f>IFERROR(__xludf.DUMMYFUNCTION("""COMPUTED_VALUE"""),"FLSP")</f>
        <v>FLSP</v>
      </c>
      <c r="AF12" s="476"/>
      <c r="AG12" s="474" t="s">
        <v>38</v>
      </c>
      <c r="AH12" s="138" t="str">
        <f t="shared" si="11"/>
        <v/>
      </c>
    </row>
    <row r="13">
      <c r="A13" s="103">
        <f>IFERROR(__xludf.DUMMYFUNCTION("""COMPUTED_VALUE"""),351427.0)</f>
        <v>351427</v>
      </c>
      <c r="B13" s="468">
        <f>IFERROR(__xludf.DUMMYFUNCTION("""COMPUTED_VALUE"""),44209.0)</f>
        <v>44209</v>
      </c>
      <c r="C13" s="469">
        <f>IFERROR(__xludf.DUMMYFUNCTION("""COMPUTED_VALUE"""),0.32784722222222223)</f>
        <v>0.3278472222</v>
      </c>
      <c r="D13" s="103" t="str">
        <f>IFERROR(__xludf.DUMMYFUNCTION("""COMPUTED_VALUE"""),"SpFLMP294811")</f>
        <v>SpFLMP294811</v>
      </c>
      <c r="E13" s="103"/>
      <c r="F13" s="103"/>
      <c r="G13" s="103" t="str">
        <f>IFERROR(__xludf.DUMMYFUNCTION("""COMPUTED_VALUE"""),"Negative")</f>
        <v>Negative</v>
      </c>
      <c r="H13" s="131" t="str">
        <f>IFERROR(__xludf.DUMMYFUNCTION("""COMPUTED_VALUE"""),"Negative")</f>
        <v>Negative</v>
      </c>
      <c r="I13" s="468">
        <f>IFERROR(__xludf.DUMMYFUNCTION("""COMPUTED_VALUE"""),44250.0)</f>
        <v>44250</v>
      </c>
      <c r="J13" s="470">
        <f>IFERROR(__xludf.DUMMYFUNCTION("""COMPUTED_VALUE"""),0.3905208333333333)</f>
        <v>0.3905208333</v>
      </c>
      <c r="K13" s="16"/>
      <c r="L13" s="8"/>
      <c r="M13" s="69"/>
      <c r="N13" s="69">
        <f>IFERROR(__xludf.DUMMYFUNCTION("""COMPUTED_VALUE"""),2.0)</f>
        <v>2</v>
      </c>
      <c r="O13" s="69" t="str">
        <f t="shared" si="3"/>
        <v/>
      </c>
      <c r="P13" s="471">
        <f>IFERROR(__xludf.DUMMYFUNCTION("""COMPUTED_VALUE"""),41.0)</f>
        <v>41</v>
      </c>
      <c r="Q13" s="274" t="b">
        <f>VLOOKUP($B13,'Run Reconcile'!B$2:O2488,14,FALSE)</f>
        <v>1</v>
      </c>
      <c r="R13" s="472" t="str">
        <f t="array" ref="R13">IF($Q13, INDEX('Run Reconcile'!A$2:A2488,MATCH(B13,'Run Reconcile'!B$2:B2488,0),1),IFERROR(0/0,""))</f>
        <v>RUN-FLMP_2021-01-13_APS-006</v>
      </c>
      <c r="S13" s="473" t="str">
        <f t="shared" ref="S13:T13" si="30">IF(COUNTIF(W$2:W2488, $A13) &gt; 0,TRUE,IFERROR(0/0,""))</f>
        <v/>
      </c>
      <c r="T13" s="473" t="str">
        <f t="shared" si="30"/>
        <v/>
      </c>
      <c r="U13" s="275" t="str">
        <f t="array" ref="U13">IF(ISBLANK($R13), INDEX('Run Reconcile'!A$2:A2488, MATCH($B13, 'Run Reconcile'!B$2:B2488, 0)+Z13, 1), IFERROR(0/0,""))
</f>
        <v/>
      </c>
      <c r="V13" s="474" t="str">
        <f t="shared" si="5"/>
        <v>RUN-FLMP_2021-01-13_APS-006</v>
      </c>
      <c r="Y13" s="89" t="str">
        <f t="shared" si="6"/>
        <v/>
      </c>
      <c r="Z13" s="60" t="str">
        <f t="shared" si="7"/>
        <v/>
      </c>
      <c r="AA13" s="60" t="str">
        <f t="shared" si="8"/>
        <v/>
      </c>
      <c r="AB13" s="60" t="str">
        <f t="shared" si="9"/>
        <v/>
      </c>
      <c r="AC13" s="30" t="str">
        <f t="shared" ref="AC13:AD13" si="31">IF(_xlfn.ISFORMULA(S13),IFERROR(0/0,""),TRUE)</f>
        <v/>
      </c>
      <c r="AD13" s="30" t="str">
        <f t="shared" si="31"/>
        <v/>
      </c>
      <c r="AE13" s="475" t="str">
        <f>IFERROR(__xludf.DUMMYFUNCTION("""COMPUTED_VALUE"""),"FLSP")</f>
        <v>FLSP</v>
      </c>
      <c r="AF13" s="476"/>
      <c r="AG13" s="474" t="s">
        <v>38</v>
      </c>
      <c r="AH13" s="138" t="str">
        <f t="shared" si="11"/>
        <v/>
      </c>
    </row>
    <row r="14">
      <c r="A14" s="103">
        <f>IFERROR(__xludf.DUMMYFUNCTION("""COMPUTED_VALUE"""),351428.0)</f>
        <v>351428</v>
      </c>
      <c r="B14" s="468">
        <f>IFERROR(__xludf.DUMMYFUNCTION("""COMPUTED_VALUE"""),44209.0)</f>
        <v>44209</v>
      </c>
      <c r="C14" s="469">
        <f>IFERROR(__xludf.DUMMYFUNCTION("""COMPUTED_VALUE"""),0.32894675925925926)</f>
        <v>0.3289467593</v>
      </c>
      <c r="D14" s="103" t="str">
        <f>IFERROR(__xludf.DUMMYFUNCTION("""COMPUTED_VALUE"""),"SpFLMP294811")</f>
        <v>SpFLMP294811</v>
      </c>
      <c r="E14" s="103"/>
      <c r="F14" s="103"/>
      <c r="G14" s="103" t="str">
        <f>IFERROR(__xludf.DUMMYFUNCTION("""COMPUTED_VALUE"""),"Negative")</f>
        <v>Negative</v>
      </c>
      <c r="H14" s="131" t="str">
        <f>IFERROR(__xludf.DUMMYFUNCTION("""COMPUTED_VALUE"""),"Negative")</f>
        <v>Negative</v>
      </c>
      <c r="I14" s="468">
        <f>IFERROR(__xludf.DUMMYFUNCTION("""COMPUTED_VALUE"""),44250.0)</f>
        <v>44250</v>
      </c>
      <c r="J14" s="470">
        <f>IFERROR(__xludf.DUMMYFUNCTION("""COMPUTED_VALUE"""),0.3905208333333333)</f>
        <v>0.3905208333</v>
      </c>
      <c r="K14" s="16"/>
      <c r="L14" s="8"/>
      <c r="M14" s="69"/>
      <c r="N14" s="69">
        <f>IFERROR(__xludf.DUMMYFUNCTION("""COMPUTED_VALUE"""),4.0)</f>
        <v>4</v>
      </c>
      <c r="O14" s="69" t="str">
        <f t="shared" si="3"/>
        <v/>
      </c>
      <c r="P14" s="471">
        <f>IFERROR(__xludf.DUMMYFUNCTION("""COMPUTED_VALUE"""),41.0)</f>
        <v>41</v>
      </c>
      <c r="Q14" s="274" t="b">
        <f>VLOOKUP($B14,'Run Reconcile'!B$2:O2488,14,FALSE)</f>
        <v>1</v>
      </c>
      <c r="R14" s="472" t="str">
        <f t="array" ref="R14">IF($Q14, INDEX('Run Reconcile'!A$2:A2488,MATCH(B14,'Run Reconcile'!B$2:B2488,0),1),IFERROR(0/0,""))</f>
        <v>RUN-FLMP_2021-01-13_APS-006</v>
      </c>
      <c r="S14" s="473" t="str">
        <f t="shared" ref="S14:T14" si="32">IF(COUNTIF(W$2:W2488, $A14) &gt; 0,TRUE,IFERROR(0/0,""))</f>
        <v/>
      </c>
      <c r="T14" s="473" t="str">
        <f t="shared" si="32"/>
        <v/>
      </c>
      <c r="U14" s="275" t="str">
        <f t="array" ref="U14">IF(ISBLANK($R14), INDEX('Run Reconcile'!A$2:A2488, MATCH($B14, 'Run Reconcile'!B$2:B2488, 0)+Z14, 1), IFERROR(0/0,""))
</f>
        <v/>
      </c>
      <c r="V14" s="474" t="str">
        <f t="shared" si="5"/>
        <v>RUN-FLMP_2021-01-13_APS-006</v>
      </c>
      <c r="Y14" s="89" t="str">
        <f t="shared" si="6"/>
        <v/>
      </c>
      <c r="Z14" s="60" t="str">
        <f t="shared" si="7"/>
        <v/>
      </c>
      <c r="AA14" s="60" t="str">
        <f t="shared" si="8"/>
        <v/>
      </c>
      <c r="AB14" s="60" t="str">
        <f t="shared" si="9"/>
        <v/>
      </c>
      <c r="AC14" s="30" t="str">
        <f t="shared" ref="AC14:AD14" si="33">IF(_xlfn.ISFORMULA(S14),IFERROR(0/0,""),TRUE)</f>
        <v/>
      </c>
      <c r="AD14" s="30" t="str">
        <f t="shared" si="33"/>
        <v/>
      </c>
      <c r="AE14" s="475" t="str">
        <f>IFERROR(__xludf.DUMMYFUNCTION("""COMPUTED_VALUE"""),"FLSP")</f>
        <v>FLSP</v>
      </c>
      <c r="AF14" s="476"/>
      <c r="AG14" s="474" t="s">
        <v>38</v>
      </c>
      <c r="AH14" s="138" t="str">
        <f t="shared" si="11"/>
        <v/>
      </c>
    </row>
    <row r="15">
      <c r="A15" s="103">
        <f>IFERROR(__xludf.DUMMYFUNCTION("""COMPUTED_VALUE"""),351441.0)</f>
        <v>351441</v>
      </c>
      <c r="B15" s="468">
        <f>IFERROR(__xludf.DUMMYFUNCTION("""COMPUTED_VALUE"""),44209.0)</f>
        <v>44209</v>
      </c>
      <c r="C15" s="469">
        <f>IFERROR(__xludf.DUMMYFUNCTION("""COMPUTED_VALUE"""),0.47378472222222223)</f>
        <v>0.4737847222</v>
      </c>
      <c r="D15" s="103" t="str">
        <f>IFERROR(__xludf.DUMMYFUNCTION("""COMPUTED_VALUE"""),"SpFLMP294811")</f>
        <v>SpFLMP294811</v>
      </c>
      <c r="E15" s="103"/>
      <c r="F15" s="103"/>
      <c r="G15" s="103" t="str">
        <f>IFERROR(__xludf.DUMMYFUNCTION("""COMPUTED_VALUE"""),"Negative")</f>
        <v>Negative</v>
      </c>
      <c r="H15" s="131" t="str">
        <f>IFERROR(__xludf.DUMMYFUNCTION("""COMPUTED_VALUE"""),"Negative")</f>
        <v>Negative</v>
      </c>
      <c r="I15" s="468">
        <f>IFERROR(__xludf.DUMMYFUNCTION("""COMPUTED_VALUE"""),44250.0)</f>
        <v>44250</v>
      </c>
      <c r="J15" s="470">
        <f>IFERROR(__xludf.DUMMYFUNCTION("""COMPUTED_VALUE"""),0.3905208333333333)</f>
        <v>0.3905208333</v>
      </c>
      <c r="K15" s="16"/>
      <c r="L15" s="8"/>
      <c r="M15" s="69"/>
      <c r="N15" s="69">
        <f>IFERROR(__xludf.DUMMYFUNCTION("""COMPUTED_VALUE"""),4.0)</f>
        <v>4</v>
      </c>
      <c r="O15" s="69" t="str">
        <f t="shared" si="3"/>
        <v/>
      </c>
      <c r="P15" s="471">
        <f>IFERROR(__xludf.DUMMYFUNCTION("""COMPUTED_VALUE"""),41.0)</f>
        <v>41</v>
      </c>
      <c r="Q15" s="274" t="b">
        <f>VLOOKUP($B15,'Run Reconcile'!B$2:O2488,14,FALSE)</f>
        <v>1</v>
      </c>
      <c r="R15" s="472" t="str">
        <f t="array" ref="R15">IF($Q15, INDEX('Run Reconcile'!A$2:A2488,MATCH(B15,'Run Reconcile'!B$2:B2488,0),1),IFERROR(0/0,""))</f>
        <v>RUN-FLMP_2021-01-13_APS-006</v>
      </c>
      <c r="S15" s="473" t="str">
        <f t="shared" ref="S15:T15" si="34">IF(COUNTIF(W$2:W2488, $A15) &gt; 0,TRUE,IFERROR(0/0,""))</f>
        <v/>
      </c>
      <c r="T15" s="473" t="str">
        <f t="shared" si="34"/>
        <v/>
      </c>
      <c r="U15" s="275" t="str">
        <f t="array" ref="U15">IF(ISBLANK($R15), INDEX('Run Reconcile'!A$2:A2488, MATCH($B15, 'Run Reconcile'!B$2:B2488, 0)+Z15, 1), IFERROR(0/0,""))
</f>
        <v/>
      </c>
      <c r="V15" s="474" t="str">
        <f t="shared" si="5"/>
        <v>RUN-FLMP_2021-01-13_APS-006</v>
      </c>
      <c r="Y15" s="89" t="str">
        <f t="shared" si="6"/>
        <v/>
      </c>
      <c r="Z15" s="60" t="str">
        <f t="shared" si="7"/>
        <v/>
      </c>
      <c r="AA15" s="60" t="str">
        <f t="shared" si="8"/>
        <v/>
      </c>
      <c r="AB15" s="60" t="str">
        <f t="shared" si="9"/>
        <v/>
      </c>
      <c r="AC15" s="30" t="str">
        <f t="shared" ref="AC15:AD15" si="35">IF(_xlfn.ISFORMULA(S15),IFERROR(0/0,""),TRUE)</f>
        <v/>
      </c>
      <c r="AD15" s="30" t="str">
        <f t="shared" si="35"/>
        <v/>
      </c>
      <c r="AE15" s="475" t="str">
        <f>IFERROR(__xludf.DUMMYFUNCTION("""COMPUTED_VALUE"""),"FLSP")</f>
        <v>FLSP</v>
      </c>
      <c r="AF15" s="476"/>
      <c r="AG15" s="474" t="s">
        <v>38</v>
      </c>
      <c r="AH15" s="138" t="str">
        <f t="shared" si="11"/>
        <v/>
      </c>
    </row>
    <row r="16">
      <c r="A16" s="103" t="str">
        <f>IFERROR(__xludf.DUMMYFUNCTION("""COMPUTED_VALUE"""),"351430")</f>
        <v>351430</v>
      </c>
      <c r="B16" s="468">
        <f>IFERROR(__xludf.DUMMYFUNCTION("""COMPUTED_VALUE"""),44211.0)</f>
        <v>44211</v>
      </c>
      <c r="C16" s="469">
        <f>IFERROR(__xludf.DUMMYFUNCTION("""COMPUTED_VALUE"""),0.3252777777777778)</f>
        <v>0.3252777778</v>
      </c>
      <c r="D16" s="103" t="str">
        <f>IFERROR(__xludf.DUMMYFUNCTION("""COMPUTED_VALUE"""),"SpFLMP294811")</f>
        <v>SpFLMP294811</v>
      </c>
      <c r="E16" s="103"/>
      <c r="F16" s="103"/>
      <c r="G16" s="103" t="str">
        <f>IFERROR(__xludf.DUMMYFUNCTION("""COMPUTED_VALUE"""),"Null")</f>
        <v>Null</v>
      </c>
      <c r="H16" s="131" t="str">
        <f>IFERROR(__xludf.DUMMYFUNCTION("""COMPUTED_VALUE"""),"Positive")</f>
        <v>Positive</v>
      </c>
      <c r="I16" s="468"/>
      <c r="J16" s="16"/>
      <c r="K16" s="16">
        <f>IFERROR(__xludf.DUMMYFUNCTION("""COMPUTED_VALUE"""),3.0)</f>
        <v>3</v>
      </c>
      <c r="L16" s="8" t="str">
        <f>IFERROR(__xludf.DUMMYFUNCTION("""COMPUTED_VALUE"""),"Null called Positive - Sponsor communicated identity of other person in pool on day of, see RTR")</f>
        <v>Null called Positive - Sponsor communicated identity of other person in pool on day of, see RTR</v>
      </c>
      <c r="M16" s="69"/>
      <c r="N16" s="69">
        <f>IFERROR(__xludf.DUMMYFUNCTION("""COMPUTED_VALUE"""),2.0)</f>
        <v>2</v>
      </c>
      <c r="O16" s="69" t="b">
        <f t="shared" si="3"/>
        <v>1</v>
      </c>
      <c r="P16" s="471">
        <f>IFERROR(__xludf.DUMMYFUNCTION("""COMPUTED_VALUE"""),-1.0)</f>
        <v>-1</v>
      </c>
      <c r="Q16" s="274" t="b">
        <f>VLOOKUP($B16,'Run Reconcile'!B$2:O2488,14,FALSE)</f>
        <v>1</v>
      </c>
      <c r="R16" s="472" t="str">
        <f t="array" ref="R16">IF($Q16, INDEX('Run Reconcile'!A$2:A2488,MATCH(B16,'Run Reconcile'!B$2:B2488,0),1),IFERROR(0/0,""))</f>
        <v>RUN-FLMP_2021-01-15_APS-007</v>
      </c>
      <c r="S16" s="473" t="str">
        <f t="shared" ref="S16:T16" si="36">IF(COUNTIF(W$2:W2488, $A16) &gt; 0,TRUE,IFERROR(0/0,""))</f>
        <v/>
      </c>
      <c r="T16" s="473" t="str">
        <f t="shared" si="36"/>
        <v/>
      </c>
      <c r="U16" s="275" t="str">
        <f t="array" ref="U16">IF(ISBLANK($R16), INDEX('Run Reconcile'!A$2:A2488, MATCH($B16, 'Run Reconcile'!B$2:B2488, 0)+Z16, 1), IFERROR(0/0,""))
</f>
        <v/>
      </c>
      <c r="V16" s="474" t="str">
        <f t="shared" si="5"/>
        <v>RUN-FLMP_2021-01-15_APS-007</v>
      </c>
      <c r="Y16" s="89" t="str">
        <f t="shared" si="6"/>
        <v/>
      </c>
      <c r="Z16" s="60" t="str">
        <f t="shared" si="7"/>
        <v/>
      </c>
      <c r="AA16" s="60" t="str">
        <f t="shared" si="8"/>
        <v/>
      </c>
      <c r="AB16" s="60" t="str">
        <f t="shared" si="9"/>
        <v/>
      </c>
      <c r="AC16" s="30" t="str">
        <f t="shared" ref="AC16:AD16" si="37">IF(_xlfn.ISFORMULA(S16),IFERROR(0/0,""),TRUE)</f>
        <v/>
      </c>
      <c r="AD16" s="30" t="str">
        <f t="shared" si="37"/>
        <v/>
      </c>
      <c r="AE16" s="475" t="str">
        <f>IFERROR(__xludf.DUMMYFUNCTION("""COMPUTED_VALUE"""),"FLSP")</f>
        <v>FLSP</v>
      </c>
      <c r="AF16" s="476"/>
      <c r="AG16" s="474" t="s">
        <v>39</v>
      </c>
      <c r="AH16" s="138" t="str">
        <f t="shared" si="11"/>
        <v/>
      </c>
    </row>
    <row r="17">
      <c r="A17" s="103">
        <f>IFERROR(__xludf.DUMMYFUNCTION("""COMPUTED_VALUE"""),351426.0)</f>
        <v>351426</v>
      </c>
      <c r="B17" s="468">
        <f>IFERROR(__xludf.DUMMYFUNCTION("""COMPUTED_VALUE"""),44211.0)</f>
        <v>44211</v>
      </c>
      <c r="C17" s="469">
        <f>IFERROR(__xludf.DUMMYFUNCTION("""COMPUTED_VALUE"""),0.3357175925925926)</f>
        <v>0.3357175926</v>
      </c>
      <c r="D17" s="103" t="str">
        <f>IFERROR(__xludf.DUMMYFUNCTION("""COMPUTED_VALUE"""),"SpFLMP294811")</f>
        <v>SpFLMP294811</v>
      </c>
      <c r="E17" s="103"/>
      <c r="F17" s="103"/>
      <c r="G17" s="103" t="str">
        <f>IFERROR(__xludf.DUMMYFUNCTION("""COMPUTED_VALUE"""),"Null")</f>
        <v>Null</v>
      </c>
      <c r="H17" s="131" t="str">
        <f>IFERROR(__xludf.DUMMYFUNCTION("""COMPUTED_VALUE"""),"Negative")</f>
        <v>Negative</v>
      </c>
      <c r="I17" s="468"/>
      <c r="J17" s="16"/>
      <c r="K17" s="16">
        <f>IFERROR(__xludf.DUMMYFUNCTION("""COMPUTED_VALUE"""),2.0)</f>
        <v>2</v>
      </c>
      <c r="L17" s="8"/>
      <c r="M17" s="69"/>
      <c r="N17" s="69">
        <f>IFERROR(__xludf.DUMMYFUNCTION("""COMPUTED_VALUE"""),2.0)</f>
        <v>2</v>
      </c>
      <c r="O17" s="69" t="str">
        <f t="shared" si="3"/>
        <v/>
      </c>
      <c r="P17" s="471">
        <f>IFERROR(__xludf.DUMMYFUNCTION("""COMPUTED_VALUE"""),-1.0)</f>
        <v>-1</v>
      </c>
      <c r="Q17" s="274" t="b">
        <f>VLOOKUP($B17,'Run Reconcile'!B$2:O2488,14,FALSE)</f>
        <v>1</v>
      </c>
      <c r="R17" s="472" t="str">
        <f t="array" ref="R17">IF($Q17, INDEX('Run Reconcile'!A$2:A2488,MATCH(B17,'Run Reconcile'!B$2:B2488,0),1),IFERROR(0/0,""))</f>
        <v>RUN-FLMP_2021-01-15_APS-007</v>
      </c>
      <c r="S17" s="473" t="str">
        <f t="shared" ref="S17:T17" si="38">IF(COUNTIF(W$2:W2488, $A17) &gt; 0,TRUE,IFERROR(0/0,""))</f>
        <v/>
      </c>
      <c r="T17" s="473" t="str">
        <f t="shared" si="38"/>
        <v/>
      </c>
      <c r="U17" s="275" t="str">
        <f t="array" ref="U17">IF(ISBLANK($R17), INDEX('Run Reconcile'!A$2:A2488, MATCH($B17, 'Run Reconcile'!B$2:B2488, 0)+Z17, 1), IFERROR(0/0,""))
</f>
        <v/>
      </c>
      <c r="V17" s="474" t="str">
        <f t="shared" si="5"/>
        <v>RUN-FLMP_2021-01-15_APS-007</v>
      </c>
      <c r="Y17" s="89" t="str">
        <f t="shared" si="6"/>
        <v/>
      </c>
      <c r="Z17" s="60" t="str">
        <f t="shared" si="7"/>
        <v/>
      </c>
      <c r="AA17" s="60" t="str">
        <f t="shared" si="8"/>
        <v/>
      </c>
      <c r="AB17" s="60" t="str">
        <f t="shared" si="9"/>
        <v/>
      </c>
      <c r="AC17" s="30" t="str">
        <f t="shared" ref="AC17:AD17" si="39">IF(_xlfn.ISFORMULA(S17),IFERROR(0/0,""),TRUE)</f>
        <v/>
      </c>
      <c r="AD17" s="30" t="str">
        <f t="shared" si="39"/>
        <v/>
      </c>
      <c r="AE17" s="475" t="str">
        <f>IFERROR(__xludf.DUMMYFUNCTION("""COMPUTED_VALUE"""),"FLSP")</f>
        <v>FLSP</v>
      </c>
      <c r="AF17" s="476"/>
      <c r="AG17" s="474" t="s">
        <v>39</v>
      </c>
      <c r="AH17" s="138" t="str">
        <f t="shared" si="11"/>
        <v/>
      </c>
    </row>
    <row r="18">
      <c r="A18" s="103">
        <f>IFERROR(__xludf.DUMMYFUNCTION("""COMPUTED_VALUE"""),424944.0)</f>
        <v>424944</v>
      </c>
      <c r="B18" s="468">
        <f>IFERROR(__xludf.DUMMYFUNCTION("""COMPUTED_VALUE"""),44211.0)</f>
        <v>44211</v>
      </c>
      <c r="C18" s="469">
        <f>IFERROR(__xludf.DUMMYFUNCTION("""COMPUTED_VALUE"""),0.40141203703703704)</f>
        <v>0.401412037</v>
      </c>
      <c r="D18" s="103" t="str">
        <f>IFERROR(__xludf.DUMMYFUNCTION("""COMPUTED_VALUE"""),"SpFLMP959641")</f>
        <v>SpFLMP959641</v>
      </c>
      <c r="E18" s="103"/>
      <c r="F18" s="103"/>
      <c r="G18" s="103" t="str">
        <f>IFERROR(__xludf.DUMMYFUNCTION("""COMPUTED_VALUE"""),"Null")</f>
        <v>Null</v>
      </c>
      <c r="H18" s="131" t="str">
        <f>IFERROR(__xludf.DUMMYFUNCTION("""COMPUTED_VALUE"""),"Negative")</f>
        <v>Negative</v>
      </c>
      <c r="I18" s="468"/>
      <c r="J18" s="16"/>
      <c r="K18" s="16">
        <f>IFERROR(__xludf.DUMMYFUNCTION("""COMPUTED_VALUE"""),2.0)</f>
        <v>2</v>
      </c>
      <c r="L18" s="8"/>
      <c r="M18" s="69"/>
      <c r="N18" s="69">
        <f>IFERROR(__xludf.DUMMYFUNCTION("""COMPUTED_VALUE"""),4.0)</f>
        <v>4</v>
      </c>
      <c r="O18" s="69" t="str">
        <f t="shared" si="3"/>
        <v/>
      </c>
      <c r="P18" s="471">
        <f>IFERROR(__xludf.DUMMYFUNCTION("""COMPUTED_VALUE"""),-1.0)</f>
        <v>-1</v>
      </c>
      <c r="Q18" s="274" t="b">
        <f>VLOOKUP($B18,'Run Reconcile'!B$2:O2488,14,FALSE)</f>
        <v>1</v>
      </c>
      <c r="R18" s="472" t="str">
        <f t="array" ref="R18">IF($Q18, INDEX('Run Reconcile'!A$2:A2488,MATCH(B18,'Run Reconcile'!B$2:B2488,0),1),IFERROR(0/0,""))</f>
        <v>RUN-FLMP_2021-01-15_APS-007</v>
      </c>
      <c r="S18" s="473" t="str">
        <f t="shared" ref="S18:T18" si="40">IF(COUNTIF(W$2:W2488, $A18) &gt; 0,TRUE,IFERROR(0/0,""))</f>
        <v/>
      </c>
      <c r="T18" s="473" t="str">
        <f t="shared" si="40"/>
        <v/>
      </c>
      <c r="U18" s="275" t="str">
        <f t="array" ref="U18">IF(ISBLANK($R18), INDEX('Run Reconcile'!A$2:A2488, MATCH($B18, 'Run Reconcile'!B$2:B2488, 0)+Z18, 1), IFERROR(0/0,""))
</f>
        <v/>
      </c>
      <c r="V18" s="474" t="str">
        <f t="shared" si="5"/>
        <v>RUN-FLMP_2021-01-15_APS-007</v>
      </c>
      <c r="Y18" s="89" t="str">
        <f t="shared" si="6"/>
        <v/>
      </c>
      <c r="Z18" s="60" t="str">
        <f t="shared" si="7"/>
        <v/>
      </c>
      <c r="AA18" s="60" t="str">
        <f t="shared" si="8"/>
        <v/>
      </c>
      <c r="AB18" s="60" t="str">
        <f t="shared" si="9"/>
        <v/>
      </c>
      <c r="AC18" s="30" t="str">
        <f t="shared" ref="AC18:AD18" si="41">IF(_xlfn.ISFORMULA(S18),IFERROR(0/0,""),TRUE)</f>
        <v/>
      </c>
      <c r="AD18" s="30" t="str">
        <f t="shared" si="41"/>
        <v/>
      </c>
      <c r="AE18" s="475" t="str">
        <f>IFERROR(__xludf.DUMMYFUNCTION("""COMPUTED_VALUE"""),"FLSP")</f>
        <v>FLSP</v>
      </c>
      <c r="AF18" s="476"/>
      <c r="AG18" s="474" t="s">
        <v>39</v>
      </c>
      <c r="AH18" s="138" t="str">
        <f t="shared" si="11"/>
        <v/>
      </c>
    </row>
    <row r="19">
      <c r="A19" s="103" t="str">
        <f>IFERROR(__xludf.DUMMYFUNCTION("""COMPUTED_VALUE"""),"351430A")</f>
        <v>351430A</v>
      </c>
      <c r="B19" s="468">
        <f>IFERROR(__xludf.DUMMYFUNCTION("""COMPUTED_VALUE"""),44211.0)</f>
        <v>44211</v>
      </c>
      <c r="C19" s="469">
        <f>IFERROR(__xludf.DUMMYFUNCTION("""COMPUTED_VALUE"""),0.6666666666666666)</f>
        <v>0.6666666667</v>
      </c>
      <c r="D19" s="103" t="str">
        <f>IFERROR(__xludf.DUMMYFUNCTION("""COMPUTED_VALUE"""),"SpFLMP659315")</f>
        <v>SpFLMP659315</v>
      </c>
      <c r="E19" s="103"/>
      <c r="F19" s="103"/>
      <c r="G19" s="103"/>
      <c r="H19" s="131" t="str">
        <f>IFERROR(__xludf.DUMMYFUNCTION("""COMPUTED_VALUE"""),"Negative")</f>
        <v>Negative</v>
      </c>
      <c r="I19" s="468"/>
      <c r="J19" s="16"/>
      <c r="K19" s="16">
        <f>IFERROR(__xludf.DUMMYFUNCTION("""COMPUTED_VALUE"""),5.0)</f>
        <v>5</v>
      </c>
      <c r="L19" s="8" t="str">
        <f>IFERROR(__xludf.DUMMYFUNCTION("""COMPUTED_VALUE"""),"Resample for deconv not collected in App, info on samples is in 1-15-22 Run File")</f>
        <v>Resample for deconv not collected in App, info on samples is in 1-15-22 Run File</v>
      </c>
      <c r="M19" s="69"/>
      <c r="N19" s="69">
        <f>IFERROR(__xludf.DUMMYFUNCTION("""COMPUTED_VALUE"""),1.0)</f>
        <v>1</v>
      </c>
      <c r="O19" s="69" t="str">
        <f t="shared" si="3"/>
        <v/>
      </c>
      <c r="P19" s="471">
        <f>IFERROR(__xludf.DUMMYFUNCTION("""COMPUTED_VALUE"""),-1.0)</f>
        <v>-1</v>
      </c>
      <c r="Q19" s="274" t="b">
        <f>VLOOKUP($B19,'Run Reconcile'!B$2:O2488,14,FALSE)</f>
        <v>1</v>
      </c>
      <c r="R19" s="472" t="str">
        <f t="array" ref="R19">IF($Q19, INDEX('Run Reconcile'!A$2:A2488,MATCH(B19,'Run Reconcile'!B$2:B2488,0),1),IFERROR(0/0,""))</f>
        <v>RUN-FLMP_2021-01-15_APS-007</v>
      </c>
      <c r="S19" s="473" t="str">
        <f t="shared" ref="S19:T19" si="42">IF(COUNTIF(W$2:W2488, $A19) &gt; 0,TRUE,IFERROR(0/0,""))</f>
        <v/>
      </c>
      <c r="T19" s="473" t="str">
        <f t="shared" si="42"/>
        <v/>
      </c>
      <c r="U19" s="275" t="str">
        <f t="array" ref="U19">IF(ISBLANK($R19), INDEX('Run Reconcile'!A$2:A2488, MATCH($B19, 'Run Reconcile'!B$2:B2488, 0)+Z19, 1), IFERROR(0/0,""))
</f>
        <v/>
      </c>
      <c r="V19" s="474" t="str">
        <f t="shared" si="5"/>
        <v>RUN-FLMP_2021-01-15_APS-007</v>
      </c>
      <c r="Y19" s="89" t="str">
        <f t="shared" si="6"/>
        <v/>
      </c>
      <c r="Z19" s="60" t="str">
        <f t="shared" si="7"/>
        <v/>
      </c>
      <c r="AA19" s="60" t="str">
        <f t="shared" si="8"/>
        <v/>
      </c>
      <c r="AB19" s="60" t="str">
        <f t="shared" si="9"/>
        <v/>
      </c>
      <c r="AC19" s="30" t="str">
        <f t="shared" ref="AC19:AD19" si="43">IF(_xlfn.ISFORMULA(S19),IFERROR(0/0,""),TRUE)</f>
        <v/>
      </c>
      <c r="AD19" s="30" t="str">
        <f t="shared" si="43"/>
        <v/>
      </c>
      <c r="AE19" s="475" t="str">
        <f>IFERROR(__xludf.DUMMYFUNCTION("""COMPUTED_VALUE"""),"FLSP")</f>
        <v>FLSP</v>
      </c>
      <c r="AF19" s="476"/>
      <c r="AG19" s="474" t="s">
        <v>39</v>
      </c>
      <c r="AH19" s="138" t="str">
        <f t="shared" si="11"/>
        <v/>
      </c>
    </row>
    <row r="20">
      <c r="A20" s="103" t="str">
        <f>IFERROR(__xludf.DUMMYFUNCTION("""COMPUTED_VALUE"""),"351430B")</f>
        <v>351430B</v>
      </c>
      <c r="B20" s="468">
        <f>IFERROR(__xludf.DUMMYFUNCTION("""COMPUTED_VALUE"""),44211.0)</f>
        <v>44211</v>
      </c>
      <c r="C20" s="469">
        <f>IFERROR(__xludf.DUMMYFUNCTION("""COMPUTED_VALUE"""),0.6666666666666666)</f>
        <v>0.6666666667</v>
      </c>
      <c r="D20" s="103" t="str">
        <f>IFERROR(__xludf.DUMMYFUNCTION("""COMPUTED_VALUE"""),"SpFLMP659315")</f>
        <v>SpFLMP659315</v>
      </c>
      <c r="E20" s="103"/>
      <c r="F20" s="103"/>
      <c r="G20" s="103"/>
      <c r="H20" s="131" t="str">
        <f>IFERROR(__xludf.DUMMYFUNCTION("""COMPUTED_VALUE"""),"Positive")</f>
        <v>Positive</v>
      </c>
      <c r="I20" s="468"/>
      <c r="J20" s="16"/>
      <c r="K20" s="16">
        <f>IFERROR(__xludf.DUMMYFUNCTION("""COMPUTED_VALUE"""),5.0)</f>
        <v>5</v>
      </c>
      <c r="L20" s="8" t="str">
        <f>IFERROR(__xludf.DUMMYFUNCTION("""COMPUTED_VALUE"""),"Resample for deconv not collected in App, info on samples is in 1-15-22 Run File")</f>
        <v>Resample for deconv not collected in App, info on samples is in 1-15-22 Run File</v>
      </c>
      <c r="M20" s="69"/>
      <c r="N20" s="69">
        <f>IFERROR(__xludf.DUMMYFUNCTION("""COMPUTED_VALUE"""),1.0)</f>
        <v>1</v>
      </c>
      <c r="O20" s="69" t="str">
        <f t="shared" si="3"/>
        <v/>
      </c>
      <c r="P20" s="471">
        <f>IFERROR(__xludf.DUMMYFUNCTION("""COMPUTED_VALUE"""),-1.0)</f>
        <v>-1</v>
      </c>
      <c r="Q20" s="274" t="b">
        <f>VLOOKUP($B20,'Run Reconcile'!B$2:O2488,14,FALSE)</f>
        <v>1</v>
      </c>
      <c r="R20" s="472" t="str">
        <f t="array" ref="R20">IF($Q20, INDEX('Run Reconcile'!A$2:A2488,MATCH(B20,'Run Reconcile'!B$2:B2488,0),1),IFERROR(0/0,""))</f>
        <v>RUN-FLMP_2021-01-15_APS-007</v>
      </c>
      <c r="S20" s="473" t="str">
        <f t="shared" ref="S20:T20" si="44">IF(COUNTIF(W$2:W2488, $A20) &gt; 0,TRUE,IFERROR(0/0,""))</f>
        <v/>
      </c>
      <c r="T20" s="473" t="str">
        <f t="shared" si="44"/>
        <v/>
      </c>
      <c r="U20" s="275" t="str">
        <f t="array" ref="U20">IF(ISBLANK($R20), INDEX('Run Reconcile'!A$2:A2488, MATCH($B20, 'Run Reconcile'!B$2:B2488, 0)+Z20, 1), IFERROR(0/0,""))
</f>
        <v/>
      </c>
      <c r="V20" s="474" t="str">
        <f t="shared" si="5"/>
        <v>RUN-FLMP_2021-01-15_APS-007</v>
      </c>
      <c r="Y20" s="89" t="str">
        <f t="shared" si="6"/>
        <v/>
      </c>
      <c r="Z20" s="60" t="str">
        <f t="shared" si="7"/>
        <v/>
      </c>
      <c r="AA20" s="60" t="str">
        <f t="shared" si="8"/>
        <v/>
      </c>
      <c r="AB20" s="60" t="str">
        <f t="shared" si="9"/>
        <v/>
      </c>
      <c r="AC20" s="30" t="str">
        <f t="shared" ref="AC20:AD20" si="45">IF(_xlfn.ISFORMULA(S20),IFERROR(0/0,""),TRUE)</f>
        <v/>
      </c>
      <c r="AD20" s="30" t="str">
        <f t="shared" si="45"/>
        <v/>
      </c>
      <c r="AE20" s="475" t="str">
        <f>IFERROR(__xludf.DUMMYFUNCTION("""COMPUTED_VALUE"""),"FLSP")</f>
        <v>FLSP</v>
      </c>
      <c r="AF20" s="476"/>
      <c r="AG20" s="474" t="s">
        <v>39</v>
      </c>
      <c r="AH20" s="138" t="str">
        <f t="shared" si="11"/>
        <v/>
      </c>
    </row>
    <row r="21">
      <c r="A21" s="103" t="str">
        <f>IFERROR(__xludf.DUMMYFUNCTION("""COMPUTED_VALUE"""),"351430C")</f>
        <v>351430C</v>
      </c>
      <c r="B21" s="468">
        <f>IFERROR(__xludf.DUMMYFUNCTION("""COMPUTED_VALUE"""),44211.0)</f>
        <v>44211</v>
      </c>
      <c r="C21" s="469">
        <f>IFERROR(__xludf.DUMMYFUNCTION("""COMPUTED_VALUE"""),0.6666666666666666)</f>
        <v>0.6666666667</v>
      </c>
      <c r="D21" s="103" t="str">
        <f>IFERROR(__xludf.DUMMYFUNCTION("""COMPUTED_VALUE"""),"SpFLMP659315")</f>
        <v>SpFLMP659315</v>
      </c>
      <c r="E21" s="103"/>
      <c r="F21" s="103"/>
      <c r="G21" s="103"/>
      <c r="H21" s="131" t="str">
        <f>IFERROR(__xludf.DUMMYFUNCTION("""COMPUTED_VALUE"""),"Negative")</f>
        <v>Negative</v>
      </c>
      <c r="I21" s="468"/>
      <c r="J21" s="16"/>
      <c r="K21" s="16">
        <f>IFERROR(__xludf.DUMMYFUNCTION("""COMPUTED_VALUE"""),5.0)</f>
        <v>5</v>
      </c>
      <c r="L21" s="8" t="str">
        <f>IFERROR(__xludf.DUMMYFUNCTION("""COMPUTED_VALUE"""),"Saliva only run on PCR, Resample for deconv not collected in App, info on samples is in 1-15-22 Run File")</f>
        <v>Saliva only run on PCR, Resample for deconv not collected in App, info on samples is in 1-15-22 Run File</v>
      </c>
      <c r="M21" s="69"/>
      <c r="N21" s="69">
        <f>IFERROR(__xludf.DUMMYFUNCTION("""COMPUTED_VALUE"""),1.0)</f>
        <v>1</v>
      </c>
      <c r="O21" s="69" t="str">
        <f t="shared" si="3"/>
        <v/>
      </c>
      <c r="P21" s="471">
        <f>IFERROR(__xludf.DUMMYFUNCTION("""COMPUTED_VALUE"""),-1.0)</f>
        <v>-1</v>
      </c>
      <c r="Q21" s="274" t="b">
        <f>VLOOKUP($B21,'Run Reconcile'!B$2:O2488,14,FALSE)</f>
        <v>1</v>
      </c>
      <c r="R21" s="472" t="str">
        <f t="array" ref="R21">IF($Q21, INDEX('Run Reconcile'!A$2:A2488,MATCH(B21,'Run Reconcile'!B$2:B2488,0),1),IFERROR(0/0,""))</f>
        <v>RUN-FLMP_2021-01-15_APS-007</v>
      </c>
      <c r="S21" s="473" t="str">
        <f t="shared" ref="S21:T21" si="46">IF(COUNTIF(W$2:W2488, $A21) &gt; 0,TRUE,IFERROR(0/0,""))</f>
        <v/>
      </c>
      <c r="T21" s="473" t="str">
        <f t="shared" si="46"/>
        <v/>
      </c>
      <c r="U21" s="275" t="str">
        <f t="array" ref="U21">IF(ISBLANK($R21), INDEX('Run Reconcile'!A$2:A2488, MATCH($B21, 'Run Reconcile'!B$2:B2488, 0)+Z21, 1), IFERROR(0/0,""))
</f>
        <v/>
      </c>
      <c r="V21" s="474" t="str">
        <f t="shared" si="5"/>
        <v>RUN-FLMP_2021-01-15_APS-007</v>
      </c>
      <c r="Y21" s="89" t="str">
        <f t="shared" si="6"/>
        <v/>
      </c>
      <c r="Z21" s="60" t="str">
        <f t="shared" si="7"/>
        <v/>
      </c>
      <c r="AA21" s="60" t="str">
        <f t="shared" si="8"/>
        <v/>
      </c>
      <c r="AB21" s="60" t="str">
        <f t="shared" si="9"/>
        <v/>
      </c>
      <c r="AC21" s="30" t="str">
        <f t="shared" ref="AC21:AD21" si="47">IF(_xlfn.ISFORMULA(S21),IFERROR(0/0,""),TRUE)</f>
        <v/>
      </c>
      <c r="AD21" s="30" t="str">
        <f t="shared" si="47"/>
        <v/>
      </c>
      <c r="AE21" s="475" t="str">
        <f>IFERROR(__xludf.DUMMYFUNCTION("""COMPUTED_VALUE"""),"FLSP")</f>
        <v>FLSP</v>
      </c>
      <c r="AF21" s="476"/>
      <c r="AG21" s="474" t="s">
        <v>39</v>
      </c>
      <c r="AH21" s="138" t="str">
        <f t="shared" si="11"/>
        <v/>
      </c>
    </row>
    <row r="22">
      <c r="A22" s="103" t="str">
        <f>IFERROR(__xludf.DUMMYFUNCTION("""COMPUTED_VALUE"""),"351430D")</f>
        <v>351430D</v>
      </c>
      <c r="B22" s="468">
        <f>IFERROR(__xludf.DUMMYFUNCTION("""COMPUTED_VALUE"""),44211.0)</f>
        <v>44211</v>
      </c>
      <c r="C22" s="469">
        <f>IFERROR(__xludf.DUMMYFUNCTION("""COMPUTED_VALUE"""),0.6666666666666666)</f>
        <v>0.6666666667</v>
      </c>
      <c r="D22" s="103" t="str">
        <f>IFERROR(__xludf.DUMMYFUNCTION("""COMPUTED_VALUE"""),"SpFLMP659315")</f>
        <v>SpFLMP659315</v>
      </c>
      <c r="E22" s="103"/>
      <c r="F22" s="103"/>
      <c r="G22" s="103"/>
      <c r="H22" s="131" t="str">
        <f>IFERROR(__xludf.DUMMYFUNCTION("""COMPUTED_VALUE"""),"Positive")</f>
        <v>Positive</v>
      </c>
      <c r="I22" s="468"/>
      <c r="J22" s="16"/>
      <c r="K22" s="16">
        <f>IFERROR(__xludf.DUMMYFUNCTION("""COMPUTED_VALUE"""),5.0)</f>
        <v>5</v>
      </c>
      <c r="L22" s="8" t="str">
        <f>IFERROR(__xludf.DUMMYFUNCTION("""COMPUTED_VALUE"""),"Saliva only run on PCR, Resample for deconv not collected in App, info on samples is in 1-15-22 Run File")</f>
        <v>Saliva only run on PCR, Resample for deconv not collected in App, info on samples is in 1-15-22 Run File</v>
      </c>
      <c r="M22" s="69"/>
      <c r="N22" s="69">
        <f>IFERROR(__xludf.DUMMYFUNCTION("""COMPUTED_VALUE"""),1.0)</f>
        <v>1</v>
      </c>
      <c r="O22" s="69" t="str">
        <f t="shared" si="3"/>
        <v/>
      </c>
      <c r="P22" s="471">
        <f>IFERROR(__xludf.DUMMYFUNCTION("""COMPUTED_VALUE"""),-1.0)</f>
        <v>-1</v>
      </c>
      <c r="Q22" s="274" t="b">
        <f>VLOOKUP($B22,'Run Reconcile'!B$2:O2488,14,FALSE)</f>
        <v>1</v>
      </c>
      <c r="R22" s="472" t="str">
        <f t="array" ref="R22">IF($Q22, INDEX('Run Reconcile'!A$2:A2488,MATCH(B22,'Run Reconcile'!B$2:B2488,0),1),IFERROR(0/0,""))</f>
        <v>RUN-FLMP_2021-01-15_APS-007</v>
      </c>
      <c r="S22" s="473" t="str">
        <f t="shared" ref="S22:T22" si="48">IF(COUNTIF(W$2:W2488, $A22) &gt; 0,TRUE,IFERROR(0/0,""))</f>
        <v/>
      </c>
      <c r="T22" s="473" t="str">
        <f t="shared" si="48"/>
        <v/>
      </c>
      <c r="U22" s="275" t="str">
        <f t="array" ref="U22">IF(ISBLANK($R22), INDEX('Run Reconcile'!A$2:A2488, MATCH($B22, 'Run Reconcile'!B$2:B2488, 0)+Z22, 1), IFERROR(0/0,""))
</f>
        <v/>
      </c>
      <c r="V22" s="474" t="str">
        <f t="shared" si="5"/>
        <v>RUN-FLMP_2021-01-15_APS-007</v>
      </c>
      <c r="Y22" s="89" t="str">
        <f t="shared" si="6"/>
        <v/>
      </c>
      <c r="Z22" s="60" t="str">
        <f t="shared" si="7"/>
        <v/>
      </c>
      <c r="AA22" s="60" t="str">
        <f t="shared" si="8"/>
        <v/>
      </c>
      <c r="AB22" s="60" t="str">
        <f t="shared" si="9"/>
        <v/>
      </c>
      <c r="AC22" s="30" t="str">
        <f t="shared" ref="AC22:AD22" si="49">IF(_xlfn.ISFORMULA(S22),IFERROR(0/0,""),TRUE)</f>
        <v/>
      </c>
      <c r="AD22" s="30" t="str">
        <f t="shared" si="49"/>
        <v/>
      </c>
      <c r="AE22" s="475" t="str">
        <f>IFERROR(__xludf.DUMMYFUNCTION("""COMPUTED_VALUE"""),"FLSP")</f>
        <v>FLSP</v>
      </c>
      <c r="AF22" s="476"/>
      <c r="AG22" s="474" t="s">
        <v>39</v>
      </c>
      <c r="AH22" s="138" t="str">
        <f t="shared" si="11"/>
        <v/>
      </c>
    </row>
    <row r="23">
      <c r="A23" s="103">
        <f>IFERROR(__xludf.DUMMYFUNCTION("""COMPUTED_VALUE"""),360044.0)</f>
        <v>360044</v>
      </c>
      <c r="B23" s="468">
        <f>IFERROR(__xludf.DUMMYFUNCTION("""COMPUTED_VALUE"""),44214.0)</f>
        <v>44214</v>
      </c>
      <c r="C23" s="469">
        <f>IFERROR(__xludf.DUMMYFUNCTION("""COMPUTED_VALUE"""),0.3237615740740741)</f>
        <v>0.3237615741</v>
      </c>
      <c r="D23" s="103" t="str">
        <f>IFERROR(__xludf.DUMMYFUNCTION("""COMPUTED_VALUE"""),"SpFLMP294811")</f>
        <v>SpFLMP294811</v>
      </c>
      <c r="E23" s="103"/>
      <c r="F23" s="103"/>
      <c r="G23" s="103" t="str">
        <f>IFERROR(__xludf.DUMMYFUNCTION("""COMPUTED_VALUE"""),"Negative")</f>
        <v>Negative</v>
      </c>
      <c r="H23" s="131" t="str">
        <f>IFERROR(__xludf.DUMMYFUNCTION("""COMPUTED_VALUE"""),"Negative")</f>
        <v>Negative</v>
      </c>
      <c r="I23" s="468">
        <f>IFERROR(__xludf.DUMMYFUNCTION("""COMPUTED_VALUE"""),44250.0)</f>
        <v>44250</v>
      </c>
      <c r="J23" s="470">
        <f>IFERROR(__xludf.DUMMYFUNCTION("""COMPUTED_VALUE"""),0.3905208333333333)</f>
        <v>0.3905208333</v>
      </c>
      <c r="K23" s="16"/>
      <c r="L23" s="8"/>
      <c r="M23" s="69"/>
      <c r="N23" s="69">
        <f>IFERROR(__xludf.DUMMYFUNCTION("""COMPUTED_VALUE"""),3.0)</f>
        <v>3</v>
      </c>
      <c r="O23" s="69" t="b">
        <f t="shared" si="3"/>
        <v>1</v>
      </c>
      <c r="P23" s="471">
        <f>IFERROR(__xludf.DUMMYFUNCTION("""COMPUTED_VALUE"""),36.0)</f>
        <v>36</v>
      </c>
      <c r="Q23" s="274" t="b">
        <f>VLOOKUP($B23,'Run Reconcile'!B$2:O2488,14,FALSE)</f>
        <v>1</v>
      </c>
      <c r="R23" s="472" t="str">
        <f t="array" ref="R23">IF($Q23, INDEX('Run Reconcile'!A$2:A2488,MATCH(B23,'Run Reconcile'!B$2:B2488,0),1),IFERROR(0/0,""))</f>
        <v>RUN-FLMP_2021-01-18_APS-008</v>
      </c>
      <c r="S23" s="473" t="str">
        <f t="shared" ref="S23:T23" si="50">IF(COUNTIF(W$2:W2488, $A23) &gt; 0,TRUE,IFERROR(0/0,""))</f>
        <v/>
      </c>
      <c r="T23" s="473" t="str">
        <f t="shared" si="50"/>
        <v/>
      </c>
      <c r="U23" s="275" t="str">
        <f t="array" ref="U23">IF(ISBLANK($R23), INDEX('Run Reconcile'!A$2:A2488, MATCH($B23, 'Run Reconcile'!B$2:B2488, 0)+Z23, 1), IFERROR(0/0,""))
</f>
        <v/>
      </c>
      <c r="V23" s="474" t="str">
        <f t="shared" si="5"/>
        <v>RUN-FLMP_2021-01-18_APS-008</v>
      </c>
      <c r="Y23" s="89" t="str">
        <f t="shared" si="6"/>
        <v/>
      </c>
      <c r="Z23" s="60" t="str">
        <f t="shared" si="7"/>
        <v/>
      </c>
      <c r="AA23" s="60" t="str">
        <f t="shared" si="8"/>
        <v/>
      </c>
      <c r="AB23" s="60" t="str">
        <f t="shared" si="9"/>
        <v/>
      </c>
      <c r="AC23" s="30" t="str">
        <f t="shared" ref="AC23:AD23" si="51">IF(_xlfn.ISFORMULA(S23),IFERROR(0/0,""),TRUE)</f>
        <v/>
      </c>
      <c r="AD23" s="30" t="str">
        <f t="shared" si="51"/>
        <v/>
      </c>
      <c r="AE23" s="475" t="str">
        <f>IFERROR(__xludf.DUMMYFUNCTION("""COMPUTED_VALUE"""),"FLSP")</f>
        <v>FLSP</v>
      </c>
      <c r="AF23" s="476"/>
      <c r="AG23" s="474" t="s">
        <v>40</v>
      </c>
      <c r="AH23" s="138" t="str">
        <f t="shared" si="11"/>
        <v/>
      </c>
    </row>
    <row r="24">
      <c r="A24" s="103">
        <f>IFERROR(__xludf.DUMMYFUNCTION("""COMPUTED_VALUE"""),360029.0)</f>
        <v>360029</v>
      </c>
      <c r="B24" s="468">
        <f>IFERROR(__xludf.DUMMYFUNCTION("""COMPUTED_VALUE"""),44214.0)</f>
        <v>44214</v>
      </c>
      <c r="C24" s="469">
        <f>IFERROR(__xludf.DUMMYFUNCTION("""COMPUTED_VALUE"""),0.3262962962962963)</f>
        <v>0.3262962963</v>
      </c>
      <c r="D24" s="103" t="str">
        <f>IFERROR(__xludf.DUMMYFUNCTION("""COMPUTED_VALUE"""),"SpFLMP294811")</f>
        <v>SpFLMP294811</v>
      </c>
      <c r="E24" s="103"/>
      <c r="F24" s="103"/>
      <c r="G24" s="103" t="str">
        <f>IFERROR(__xludf.DUMMYFUNCTION("""COMPUTED_VALUE"""),"Negative")</f>
        <v>Negative</v>
      </c>
      <c r="H24" s="131" t="str">
        <f>IFERROR(__xludf.DUMMYFUNCTION("""COMPUTED_VALUE"""),"Negative")</f>
        <v>Negative</v>
      </c>
      <c r="I24" s="468">
        <f>IFERROR(__xludf.DUMMYFUNCTION("""COMPUTED_VALUE"""),44250.0)</f>
        <v>44250</v>
      </c>
      <c r="J24" s="470">
        <f>IFERROR(__xludf.DUMMYFUNCTION("""COMPUTED_VALUE"""),0.3905208333333333)</f>
        <v>0.3905208333</v>
      </c>
      <c r="K24" s="16"/>
      <c r="L24" s="8"/>
      <c r="M24" s="69"/>
      <c r="N24" s="69">
        <f>IFERROR(__xludf.DUMMYFUNCTION("""COMPUTED_VALUE"""),1.0)</f>
        <v>1</v>
      </c>
      <c r="O24" s="69" t="str">
        <f t="shared" si="3"/>
        <v/>
      </c>
      <c r="P24" s="471">
        <f>IFERROR(__xludf.DUMMYFUNCTION("""COMPUTED_VALUE"""),36.0)</f>
        <v>36</v>
      </c>
      <c r="Q24" s="274" t="b">
        <f>VLOOKUP($B24,'Run Reconcile'!B$2:O2488,14,FALSE)</f>
        <v>1</v>
      </c>
      <c r="R24" s="472" t="str">
        <f t="array" ref="R24">IF($Q24, INDEX('Run Reconcile'!A$2:A2488,MATCH(B24,'Run Reconcile'!B$2:B2488,0),1),IFERROR(0/0,""))</f>
        <v>RUN-FLMP_2021-01-18_APS-008</v>
      </c>
      <c r="S24" s="473" t="str">
        <f t="shared" ref="S24:T24" si="52">IF(COUNTIF(W$2:W2488, $A24) &gt; 0,TRUE,IFERROR(0/0,""))</f>
        <v/>
      </c>
      <c r="T24" s="473" t="str">
        <f t="shared" si="52"/>
        <v/>
      </c>
      <c r="U24" s="275" t="str">
        <f t="array" ref="U24">IF(ISBLANK($R24), INDEX('Run Reconcile'!A$2:A2488, MATCH($B24, 'Run Reconcile'!B$2:B2488, 0)+Z24, 1), IFERROR(0/0,""))
</f>
        <v/>
      </c>
      <c r="V24" s="474" t="str">
        <f t="shared" si="5"/>
        <v>RUN-FLMP_2021-01-18_APS-008</v>
      </c>
      <c r="Y24" s="89" t="str">
        <f t="shared" si="6"/>
        <v/>
      </c>
      <c r="Z24" s="60" t="str">
        <f t="shared" si="7"/>
        <v/>
      </c>
      <c r="AA24" s="60" t="str">
        <f t="shared" si="8"/>
        <v/>
      </c>
      <c r="AB24" s="60" t="str">
        <f t="shared" si="9"/>
        <v/>
      </c>
      <c r="AC24" s="30" t="str">
        <f t="shared" ref="AC24:AD24" si="53">IF(_xlfn.ISFORMULA(S24),IFERROR(0/0,""),TRUE)</f>
        <v/>
      </c>
      <c r="AD24" s="30" t="str">
        <f t="shared" si="53"/>
        <v/>
      </c>
      <c r="AE24" s="475" t="str">
        <f>IFERROR(__xludf.DUMMYFUNCTION("""COMPUTED_VALUE"""),"FLSP")</f>
        <v>FLSP</v>
      </c>
      <c r="AF24" s="476"/>
      <c r="AG24" s="474" t="s">
        <v>40</v>
      </c>
      <c r="AH24" s="138" t="str">
        <f t="shared" si="11"/>
        <v/>
      </c>
    </row>
    <row r="25">
      <c r="A25" s="103">
        <f>IFERROR(__xludf.DUMMYFUNCTION("""COMPUTED_VALUE"""),360030.0)</f>
        <v>360030</v>
      </c>
      <c r="B25" s="468">
        <f>IFERROR(__xludf.DUMMYFUNCTION("""COMPUTED_VALUE"""),44214.0)</f>
        <v>44214</v>
      </c>
      <c r="C25" s="469">
        <f>IFERROR(__xludf.DUMMYFUNCTION("""COMPUTED_VALUE"""),0.3736226851851852)</f>
        <v>0.3736226852</v>
      </c>
      <c r="D25" s="103" t="str">
        <f>IFERROR(__xludf.DUMMYFUNCTION("""COMPUTED_VALUE"""),"SpFLMP959641")</f>
        <v>SpFLMP959641</v>
      </c>
      <c r="E25" s="103"/>
      <c r="F25" s="103"/>
      <c r="G25" s="103" t="str">
        <f>IFERROR(__xludf.DUMMYFUNCTION("""COMPUTED_VALUE"""),"Negative")</f>
        <v>Negative</v>
      </c>
      <c r="H25" s="131" t="str">
        <f>IFERROR(__xludf.DUMMYFUNCTION("""COMPUTED_VALUE"""),"Negative")</f>
        <v>Negative</v>
      </c>
      <c r="I25" s="468">
        <f>IFERROR(__xludf.DUMMYFUNCTION("""COMPUTED_VALUE"""),44250.0)</f>
        <v>44250</v>
      </c>
      <c r="J25" s="470">
        <f>IFERROR(__xludf.DUMMYFUNCTION("""COMPUTED_VALUE"""),0.3905208333333333)</f>
        <v>0.3905208333</v>
      </c>
      <c r="K25" s="16"/>
      <c r="L25" s="8"/>
      <c r="M25" s="69"/>
      <c r="N25" s="69">
        <f>IFERROR(__xludf.DUMMYFUNCTION("""COMPUTED_VALUE"""),2.0)</f>
        <v>2</v>
      </c>
      <c r="O25" s="69" t="str">
        <f t="shared" si="3"/>
        <v/>
      </c>
      <c r="P25" s="471">
        <f>IFERROR(__xludf.DUMMYFUNCTION("""COMPUTED_VALUE"""),36.0)</f>
        <v>36</v>
      </c>
      <c r="Q25" s="274" t="b">
        <f>VLOOKUP($B25,'Run Reconcile'!B$2:O2488,14,FALSE)</f>
        <v>1</v>
      </c>
      <c r="R25" s="472" t="str">
        <f t="array" ref="R25">IF($Q25, INDEX('Run Reconcile'!A$2:A2488,MATCH(B25,'Run Reconcile'!B$2:B2488,0),1),IFERROR(0/0,""))</f>
        <v>RUN-FLMP_2021-01-18_APS-008</v>
      </c>
      <c r="S25" s="473" t="str">
        <f t="shared" ref="S25:T25" si="54">IF(COUNTIF(W$2:W2488, $A25) &gt; 0,TRUE,IFERROR(0/0,""))</f>
        <v/>
      </c>
      <c r="T25" s="473" t="str">
        <f t="shared" si="54"/>
        <v/>
      </c>
      <c r="U25" s="275" t="str">
        <f t="array" ref="U25">IF(ISBLANK($R25), INDEX('Run Reconcile'!A$2:A2488, MATCH($B25, 'Run Reconcile'!B$2:B2488, 0)+Z25, 1), IFERROR(0/0,""))
</f>
        <v/>
      </c>
      <c r="V25" s="474" t="str">
        <f t="shared" si="5"/>
        <v>RUN-FLMP_2021-01-18_APS-008</v>
      </c>
      <c r="Y25" s="89" t="str">
        <f t="shared" si="6"/>
        <v/>
      </c>
      <c r="Z25" s="60" t="str">
        <f t="shared" si="7"/>
        <v/>
      </c>
      <c r="AA25" s="60" t="str">
        <f t="shared" si="8"/>
        <v/>
      </c>
      <c r="AB25" s="60" t="str">
        <f t="shared" si="9"/>
        <v/>
      </c>
      <c r="AC25" s="30" t="str">
        <f t="shared" ref="AC25:AD25" si="55">IF(_xlfn.ISFORMULA(S25),IFERROR(0/0,""),TRUE)</f>
        <v/>
      </c>
      <c r="AD25" s="30" t="str">
        <f t="shared" si="55"/>
        <v/>
      </c>
      <c r="AE25" s="475" t="str">
        <f>IFERROR(__xludf.DUMMYFUNCTION("""COMPUTED_VALUE"""),"FLSP")</f>
        <v>FLSP</v>
      </c>
      <c r="AF25" s="476"/>
      <c r="AG25" s="474" t="s">
        <v>40</v>
      </c>
      <c r="AH25" s="138" t="str">
        <f t="shared" si="11"/>
        <v/>
      </c>
    </row>
    <row r="26">
      <c r="A26" s="103">
        <f>IFERROR(__xludf.DUMMYFUNCTION("""COMPUTED_VALUE"""),360026.0)</f>
        <v>360026</v>
      </c>
      <c r="B26" s="468">
        <f>IFERROR(__xludf.DUMMYFUNCTION("""COMPUTED_VALUE"""),44214.0)</f>
        <v>44214</v>
      </c>
      <c r="C26" s="469">
        <f>IFERROR(__xludf.DUMMYFUNCTION("""COMPUTED_VALUE"""),0.3761921296296296)</f>
        <v>0.3761921296</v>
      </c>
      <c r="D26" s="103" t="str">
        <f>IFERROR(__xludf.DUMMYFUNCTION("""COMPUTED_VALUE"""),"SpFLMP959641")</f>
        <v>SpFLMP959641</v>
      </c>
      <c r="E26" s="103"/>
      <c r="F26" s="103"/>
      <c r="G26" s="103" t="str">
        <f>IFERROR(__xludf.DUMMYFUNCTION("""COMPUTED_VALUE"""),"Negative")</f>
        <v>Negative</v>
      </c>
      <c r="H26" s="131" t="str">
        <f>IFERROR(__xludf.DUMMYFUNCTION("""COMPUTED_VALUE"""),"Negative")</f>
        <v>Negative</v>
      </c>
      <c r="I26" s="468">
        <f>IFERROR(__xludf.DUMMYFUNCTION("""COMPUTED_VALUE"""),44250.0)</f>
        <v>44250</v>
      </c>
      <c r="J26" s="470">
        <f>IFERROR(__xludf.DUMMYFUNCTION("""COMPUTED_VALUE"""),0.3905208333333333)</f>
        <v>0.3905208333</v>
      </c>
      <c r="K26" s="16"/>
      <c r="L26" s="8"/>
      <c r="M26" s="69"/>
      <c r="N26" s="69">
        <f>IFERROR(__xludf.DUMMYFUNCTION("""COMPUTED_VALUE"""),4.0)</f>
        <v>4</v>
      </c>
      <c r="O26" s="69" t="str">
        <f t="shared" si="3"/>
        <v/>
      </c>
      <c r="P26" s="471">
        <f>IFERROR(__xludf.DUMMYFUNCTION("""COMPUTED_VALUE"""),36.0)</f>
        <v>36</v>
      </c>
      <c r="Q26" s="274" t="b">
        <f>VLOOKUP($B26,'Run Reconcile'!B$2:O2488,14,FALSE)</f>
        <v>1</v>
      </c>
      <c r="R26" s="472" t="str">
        <f t="array" ref="R26">IF($Q26, INDEX('Run Reconcile'!A$2:A2488,MATCH(B26,'Run Reconcile'!B$2:B2488,0),1),IFERROR(0/0,""))</f>
        <v>RUN-FLMP_2021-01-18_APS-008</v>
      </c>
      <c r="S26" s="473" t="str">
        <f t="shared" ref="S26:T26" si="56">IF(COUNTIF(W$2:W2488, $A26) &gt; 0,TRUE,IFERROR(0/0,""))</f>
        <v/>
      </c>
      <c r="T26" s="473" t="str">
        <f t="shared" si="56"/>
        <v/>
      </c>
      <c r="U26" s="275" t="str">
        <f t="array" ref="U26">IF(ISBLANK($R26), INDEX('Run Reconcile'!A$2:A2488, MATCH($B26, 'Run Reconcile'!B$2:B2488, 0)+Z26, 1), IFERROR(0/0,""))
</f>
        <v/>
      </c>
      <c r="V26" s="474" t="str">
        <f t="shared" si="5"/>
        <v>RUN-FLMP_2021-01-18_APS-008</v>
      </c>
      <c r="Y26" s="89" t="str">
        <f t="shared" si="6"/>
        <v/>
      </c>
      <c r="Z26" s="60" t="str">
        <f t="shared" si="7"/>
        <v/>
      </c>
      <c r="AA26" s="60" t="str">
        <f t="shared" si="8"/>
        <v/>
      </c>
      <c r="AB26" s="60" t="str">
        <f t="shared" si="9"/>
        <v/>
      </c>
      <c r="AC26" s="30" t="str">
        <f t="shared" ref="AC26:AD26" si="57">IF(_xlfn.ISFORMULA(S26),IFERROR(0/0,""),TRUE)</f>
        <v/>
      </c>
      <c r="AD26" s="30" t="str">
        <f t="shared" si="57"/>
        <v/>
      </c>
      <c r="AE26" s="475" t="str">
        <f>IFERROR(__xludf.DUMMYFUNCTION("""COMPUTED_VALUE"""),"FLSP")</f>
        <v>FLSP</v>
      </c>
      <c r="AF26" s="476"/>
      <c r="AG26" s="474" t="s">
        <v>40</v>
      </c>
      <c r="AH26" s="138" t="str">
        <f t="shared" si="11"/>
        <v/>
      </c>
    </row>
    <row r="27">
      <c r="A27" s="103">
        <f>IFERROR(__xludf.DUMMYFUNCTION("""COMPUTED_VALUE"""),360028.0)</f>
        <v>360028</v>
      </c>
      <c r="B27" s="468">
        <f>IFERROR(__xludf.DUMMYFUNCTION("""COMPUTED_VALUE"""),44214.0)</f>
        <v>44214</v>
      </c>
      <c r="C27" s="469">
        <f>IFERROR(__xludf.DUMMYFUNCTION("""COMPUTED_VALUE"""),0.3780787037037037)</f>
        <v>0.3780787037</v>
      </c>
      <c r="D27" s="103" t="str">
        <f>IFERROR(__xludf.DUMMYFUNCTION("""COMPUTED_VALUE"""),"SpFLMP959641")</f>
        <v>SpFLMP959641</v>
      </c>
      <c r="E27" s="103"/>
      <c r="F27" s="103"/>
      <c r="G27" s="103" t="str">
        <f>IFERROR(__xludf.DUMMYFUNCTION("""COMPUTED_VALUE"""),"Negative")</f>
        <v>Negative</v>
      </c>
      <c r="H27" s="131" t="str">
        <f>IFERROR(__xludf.DUMMYFUNCTION("""COMPUTED_VALUE"""),"Negative")</f>
        <v>Negative</v>
      </c>
      <c r="I27" s="468">
        <f>IFERROR(__xludf.DUMMYFUNCTION("""COMPUTED_VALUE"""),44250.0)</f>
        <v>44250</v>
      </c>
      <c r="J27" s="470">
        <f>IFERROR(__xludf.DUMMYFUNCTION("""COMPUTED_VALUE"""),0.3905208333333333)</f>
        <v>0.3905208333</v>
      </c>
      <c r="K27" s="16"/>
      <c r="L27" s="8"/>
      <c r="M27" s="69"/>
      <c r="N27" s="69">
        <f>IFERROR(__xludf.DUMMYFUNCTION("""COMPUTED_VALUE"""),1.0)</f>
        <v>1</v>
      </c>
      <c r="O27" s="69" t="str">
        <f t="shared" si="3"/>
        <v/>
      </c>
      <c r="P27" s="471">
        <f>IFERROR(__xludf.DUMMYFUNCTION("""COMPUTED_VALUE"""),36.0)</f>
        <v>36</v>
      </c>
      <c r="Q27" s="274" t="b">
        <f>VLOOKUP($B27,'Run Reconcile'!B$2:O2488,14,FALSE)</f>
        <v>1</v>
      </c>
      <c r="R27" s="472" t="str">
        <f t="array" ref="R27">IF($Q27, INDEX('Run Reconcile'!A$2:A2488,MATCH(B27,'Run Reconcile'!B$2:B2488,0),1),IFERROR(0/0,""))</f>
        <v>RUN-FLMP_2021-01-18_APS-008</v>
      </c>
      <c r="S27" s="473" t="str">
        <f t="shared" ref="S27:T27" si="58">IF(COUNTIF(W$2:W2488, $A27) &gt; 0,TRUE,IFERROR(0/0,""))</f>
        <v/>
      </c>
      <c r="T27" s="473" t="str">
        <f t="shared" si="58"/>
        <v/>
      </c>
      <c r="U27" s="275" t="str">
        <f t="array" ref="U27">IF(ISBLANK($R27), INDEX('Run Reconcile'!A$2:A2488, MATCH($B27, 'Run Reconcile'!B$2:B2488, 0)+Z27, 1), IFERROR(0/0,""))
</f>
        <v/>
      </c>
      <c r="V27" s="474" t="str">
        <f t="shared" si="5"/>
        <v>RUN-FLMP_2021-01-18_APS-008</v>
      </c>
      <c r="Y27" s="89" t="str">
        <f t="shared" si="6"/>
        <v/>
      </c>
      <c r="Z27" s="60" t="str">
        <f t="shared" si="7"/>
        <v/>
      </c>
      <c r="AA27" s="60" t="str">
        <f t="shared" si="8"/>
        <v/>
      </c>
      <c r="AB27" s="60" t="str">
        <f t="shared" si="9"/>
        <v/>
      </c>
      <c r="AC27" s="30" t="str">
        <f t="shared" ref="AC27:AD27" si="59">IF(_xlfn.ISFORMULA(S27),IFERROR(0/0,""),TRUE)</f>
        <v/>
      </c>
      <c r="AD27" s="30" t="str">
        <f t="shared" si="59"/>
        <v/>
      </c>
      <c r="AE27" s="475" t="str">
        <f>IFERROR(__xludf.DUMMYFUNCTION("""COMPUTED_VALUE"""),"FLSP")</f>
        <v>FLSP</v>
      </c>
      <c r="AF27" s="476"/>
      <c r="AG27" s="474" t="s">
        <v>40</v>
      </c>
      <c r="AH27" s="138" t="str">
        <f t="shared" si="11"/>
        <v/>
      </c>
    </row>
    <row r="28">
      <c r="A28" s="103">
        <f>IFERROR(__xludf.DUMMYFUNCTION("""COMPUTED_VALUE"""),360025.0)</f>
        <v>360025</v>
      </c>
      <c r="B28" s="468">
        <f>IFERROR(__xludf.DUMMYFUNCTION("""COMPUTED_VALUE"""),44214.0)</f>
        <v>44214</v>
      </c>
      <c r="C28" s="469">
        <f>IFERROR(__xludf.DUMMYFUNCTION("""COMPUTED_VALUE"""),0.819837962962963)</f>
        <v>0.819837963</v>
      </c>
      <c r="D28" s="103" t="str">
        <f>IFERROR(__xludf.DUMMYFUNCTION("""COMPUTED_VALUE"""),"SpFLMP294811")</f>
        <v>SpFLMP294811</v>
      </c>
      <c r="E28" s="103"/>
      <c r="F28" s="103"/>
      <c r="G28" s="103" t="str">
        <f>IFERROR(__xludf.DUMMYFUNCTION("""COMPUTED_VALUE"""),"Null")</f>
        <v>Null</v>
      </c>
      <c r="H28" s="131" t="str">
        <f>IFERROR(__xludf.DUMMYFUNCTION("""COMPUTED_VALUE"""),"Null")</f>
        <v>Null</v>
      </c>
      <c r="I28" s="468"/>
      <c r="J28" s="16"/>
      <c r="K28" s="16"/>
      <c r="L28" s="8" t="str">
        <f>IFERROR(__xludf.DUMMYFUNCTION("""COMPUTED_VALUE"""),"Think only run on EasyPCR and not ColorLAMP")</f>
        <v>Think only run on EasyPCR and not ColorLAMP</v>
      </c>
      <c r="M28" s="69"/>
      <c r="N28" s="69">
        <f>IFERROR(__xludf.DUMMYFUNCTION("""COMPUTED_VALUE"""),1.0)</f>
        <v>1</v>
      </c>
      <c r="O28" s="69" t="str">
        <f t="shared" si="3"/>
        <v/>
      </c>
      <c r="P28" s="471">
        <f>IFERROR(__xludf.DUMMYFUNCTION("""COMPUTED_VALUE"""),-1.0)</f>
        <v>-1</v>
      </c>
      <c r="Q28" s="274" t="b">
        <f>VLOOKUP($B28,'Run Reconcile'!B$2:O2488,14,FALSE)</f>
        <v>1</v>
      </c>
      <c r="R28" s="472" t="str">
        <f t="array" ref="R28">IF($Q28, INDEX('Run Reconcile'!A$2:A2488,MATCH(B28,'Run Reconcile'!B$2:B2488,0),1),IFERROR(0/0,""))</f>
        <v>RUN-FLMP_2021-01-18_APS-008</v>
      </c>
      <c r="S28" s="473" t="str">
        <f t="shared" ref="S28:T28" si="60">IF(COUNTIF(W$2:W2488, $A28) &gt; 0,TRUE,IFERROR(0/0,""))</f>
        <v/>
      </c>
      <c r="T28" s="473" t="str">
        <f t="shared" si="60"/>
        <v/>
      </c>
      <c r="U28" s="275" t="str">
        <f t="array" ref="U28">IF(ISBLANK($R28), INDEX('Run Reconcile'!A$2:A2488, MATCH($B28, 'Run Reconcile'!B$2:B2488, 0)+Z28, 1), IFERROR(0/0,""))
</f>
        <v/>
      </c>
      <c r="V28" s="474" t="str">
        <f t="shared" si="5"/>
        <v>RUN-FLMP_2021-01-18_APS-008</v>
      </c>
      <c r="Y28" s="89" t="str">
        <f t="shared" si="6"/>
        <v/>
      </c>
      <c r="Z28" s="60" t="str">
        <f t="shared" si="7"/>
        <v/>
      </c>
      <c r="AA28" s="60" t="str">
        <f t="shared" si="8"/>
        <v/>
      </c>
      <c r="AB28" s="60" t="str">
        <f t="shared" si="9"/>
        <v/>
      </c>
      <c r="AC28" s="30" t="str">
        <f t="shared" ref="AC28:AD28" si="61">IF(_xlfn.ISFORMULA(S28),IFERROR(0/0,""),TRUE)</f>
        <v/>
      </c>
      <c r="AD28" s="30" t="str">
        <f t="shared" si="61"/>
        <v/>
      </c>
      <c r="AE28" s="475" t="str">
        <f>IFERROR(__xludf.DUMMYFUNCTION("""COMPUTED_VALUE"""),"FLSP")</f>
        <v>FLSP</v>
      </c>
      <c r="AF28" s="476"/>
      <c r="AG28" s="474" t="s">
        <v>40</v>
      </c>
      <c r="AH28" s="138" t="str">
        <f t="shared" si="11"/>
        <v/>
      </c>
    </row>
    <row r="29">
      <c r="A29" s="103">
        <f>IFERROR(__xludf.DUMMYFUNCTION("""COMPUTED_VALUE"""),360033.0)</f>
        <v>360033</v>
      </c>
      <c r="B29" s="468">
        <f>IFERROR(__xludf.DUMMYFUNCTION("""COMPUTED_VALUE"""),44214.0)</f>
        <v>44214</v>
      </c>
      <c r="C29" s="469">
        <f>IFERROR(__xludf.DUMMYFUNCTION("""COMPUTED_VALUE"""),0.8248958333333334)</f>
        <v>0.8248958333</v>
      </c>
      <c r="D29" s="103" t="str">
        <f>IFERROR(__xludf.DUMMYFUNCTION("""COMPUTED_VALUE"""),"SpFLMP294811")</f>
        <v>SpFLMP294811</v>
      </c>
      <c r="E29" s="103"/>
      <c r="F29" s="103"/>
      <c r="G29" s="103" t="str">
        <f>IFERROR(__xludf.DUMMYFUNCTION("""COMPUTED_VALUE"""),"Null")</f>
        <v>Null</v>
      </c>
      <c r="H29" s="131" t="str">
        <f>IFERROR(__xludf.DUMMYFUNCTION("""COMPUTED_VALUE"""),"Null")</f>
        <v>Null</v>
      </c>
      <c r="I29" s="468"/>
      <c r="J29" s="16"/>
      <c r="K29" s="16"/>
      <c r="L29" s="8" t="str">
        <f>IFERROR(__xludf.DUMMYFUNCTION("""COMPUTED_VALUE"""),"Think only run on EasyPCR and not ColorLAMP")</f>
        <v>Think only run on EasyPCR and not ColorLAMP</v>
      </c>
      <c r="M29" s="69"/>
      <c r="N29" s="69">
        <f>IFERROR(__xludf.DUMMYFUNCTION("""COMPUTED_VALUE"""),1.0)</f>
        <v>1</v>
      </c>
      <c r="O29" s="69" t="str">
        <f t="shared" si="3"/>
        <v/>
      </c>
      <c r="P29" s="471">
        <f>IFERROR(__xludf.DUMMYFUNCTION("""COMPUTED_VALUE"""),-1.0)</f>
        <v>-1</v>
      </c>
      <c r="Q29" s="274" t="b">
        <f>VLOOKUP($B29,'Run Reconcile'!B$2:O2488,14,FALSE)</f>
        <v>1</v>
      </c>
      <c r="R29" s="472" t="str">
        <f t="array" ref="R29">IF($Q29, INDEX('Run Reconcile'!A$2:A2488,MATCH(B29,'Run Reconcile'!B$2:B2488,0),1),IFERROR(0/0,""))</f>
        <v>RUN-FLMP_2021-01-18_APS-008</v>
      </c>
      <c r="S29" s="473" t="str">
        <f t="shared" ref="S29:T29" si="62">IF(COUNTIF(W$2:W2488, $A29) &gt; 0,TRUE,IFERROR(0/0,""))</f>
        <v/>
      </c>
      <c r="T29" s="473" t="str">
        <f t="shared" si="62"/>
        <v/>
      </c>
      <c r="U29" s="275" t="str">
        <f t="array" ref="U29">IF(ISBLANK($R29), INDEX('Run Reconcile'!A$2:A2488, MATCH($B29, 'Run Reconcile'!B$2:B2488, 0)+Z29, 1), IFERROR(0/0,""))
</f>
        <v/>
      </c>
      <c r="V29" s="474" t="str">
        <f t="shared" si="5"/>
        <v>RUN-FLMP_2021-01-18_APS-008</v>
      </c>
      <c r="Y29" s="89" t="str">
        <f t="shared" si="6"/>
        <v/>
      </c>
      <c r="Z29" s="60" t="str">
        <f t="shared" si="7"/>
        <v/>
      </c>
      <c r="AA29" s="60" t="str">
        <f t="shared" si="8"/>
        <v/>
      </c>
      <c r="AB29" s="60" t="str">
        <f t="shared" si="9"/>
        <v/>
      </c>
      <c r="AC29" s="30" t="str">
        <f t="shared" ref="AC29:AD29" si="63">IF(_xlfn.ISFORMULA(S29),IFERROR(0/0,""),TRUE)</f>
        <v/>
      </c>
      <c r="AD29" s="30" t="str">
        <f t="shared" si="63"/>
        <v/>
      </c>
      <c r="AE29" s="475" t="str">
        <f>IFERROR(__xludf.DUMMYFUNCTION("""COMPUTED_VALUE"""),"FLSP")</f>
        <v>FLSP</v>
      </c>
      <c r="AF29" s="476"/>
      <c r="AG29" s="474" t="s">
        <v>40</v>
      </c>
      <c r="AH29" s="138" t="str">
        <f t="shared" si="11"/>
        <v/>
      </c>
    </row>
    <row r="30">
      <c r="A30" s="103">
        <f>IFERROR(__xludf.DUMMYFUNCTION("""COMPUTED_VALUE"""),360042.0)</f>
        <v>360042</v>
      </c>
      <c r="B30" s="468">
        <f>IFERROR(__xludf.DUMMYFUNCTION("""COMPUTED_VALUE"""),44216.0)</f>
        <v>44216</v>
      </c>
      <c r="C30" s="469">
        <f>IFERROR(__xludf.DUMMYFUNCTION("""COMPUTED_VALUE"""),0.3248263888888889)</f>
        <v>0.3248263889</v>
      </c>
      <c r="D30" s="103" t="str">
        <f>IFERROR(__xludf.DUMMYFUNCTION("""COMPUTED_VALUE"""),"SpFLMP294811")</f>
        <v>SpFLMP294811</v>
      </c>
      <c r="E30" s="103"/>
      <c r="F30" s="103"/>
      <c r="G30" s="103" t="str">
        <f>IFERROR(__xludf.DUMMYFUNCTION("""COMPUTED_VALUE"""),"Null")</f>
        <v>Null</v>
      </c>
      <c r="H30" s="131" t="str">
        <f>IFERROR(__xludf.DUMMYFUNCTION("""COMPUTED_VALUE"""),"Negative")</f>
        <v>Negative</v>
      </c>
      <c r="I30" s="468"/>
      <c r="J30" s="16"/>
      <c r="K30" s="16">
        <f>IFERROR(__xludf.DUMMYFUNCTION("""COMPUTED_VALUE"""),2.0)</f>
        <v>2</v>
      </c>
      <c r="L30" s="8"/>
      <c r="M30" s="69"/>
      <c r="N30" s="69">
        <f>IFERROR(__xludf.DUMMYFUNCTION("""COMPUTED_VALUE"""),3.0)</f>
        <v>3</v>
      </c>
      <c r="O30" s="69" t="b">
        <f t="shared" si="3"/>
        <v>1</v>
      </c>
      <c r="P30" s="471">
        <f>IFERROR(__xludf.DUMMYFUNCTION("""COMPUTED_VALUE"""),-1.0)</f>
        <v>-1</v>
      </c>
      <c r="Q30" s="274" t="b">
        <f>VLOOKUP($B30,'Run Reconcile'!B$2:O2488,14,FALSE)</f>
        <v>1</v>
      </c>
      <c r="R30" s="472" t="str">
        <f t="array" ref="R30">IF($Q30, INDEX('Run Reconcile'!A$2:A2488,MATCH(B30,'Run Reconcile'!B$2:B2488,0),1),IFERROR(0/0,""))</f>
        <v>RUN-FLMP_2021-01-20_APS-009</v>
      </c>
      <c r="S30" s="473" t="str">
        <f t="shared" ref="S30:T30" si="64">IF(COUNTIF(W$2:W2488, $A30) &gt; 0,TRUE,IFERROR(0/0,""))</f>
        <v/>
      </c>
      <c r="T30" s="473" t="str">
        <f t="shared" si="64"/>
        <v/>
      </c>
      <c r="U30" s="275" t="str">
        <f t="array" ref="U30">IF(ISBLANK($R30), INDEX('Run Reconcile'!A$2:A2488, MATCH($B30, 'Run Reconcile'!B$2:B2488, 0)+Z30, 1), IFERROR(0/0,""))
</f>
        <v/>
      </c>
      <c r="V30" s="474" t="str">
        <f t="shared" si="5"/>
        <v>RUN-FLMP_2021-01-20_APS-009</v>
      </c>
      <c r="Y30" s="89" t="str">
        <f t="shared" si="6"/>
        <v/>
      </c>
      <c r="Z30" s="60" t="str">
        <f t="shared" si="7"/>
        <v/>
      </c>
      <c r="AA30" s="60" t="str">
        <f t="shared" si="8"/>
        <v/>
      </c>
      <c r="AB30" s="60" t="str">
        <f t="shared" si="9"/>
        <v/>
      </c>
      <c r="AC30" s="30" t="str">
        <f t="shared" ref="AC30:AD30" si="65">IF(_xlfn.ISFORMULA(S30),IFERROR(0/0,""),TRUE)</f>
        <v/>
      </c>
      <c r="AD30" s="30" t="str">
        <f t="shared" si="65"/>
        <v/>
      </c>
      <c r="AE30" s="475" t="str">
        <f>IFERROR(__xludf.DUMMYFUNCTION("""COMPUTED_VALUE"""),"FLSP")</f>
        <v>FLSP</v>
      </c>
      <c r="AF30" s="476"/>
      <c r="AG30" s="474" t="s">
        <v>41</v>
      </c>
      <c r="AH30" s="138" t="str">
        <f t="shared" si="11"/>
        <v/>
      </c>
    </row>
    <row r="31">
      <c r="A31" s="103">
        <f>IFERROR(__xludf.DUMMYFUNCTION("""COMPUTED_VALUE"""),360031.0)</f>
        <v>360031</v>
      </c>
      <c r="B31" s="468">
        <f>IFERROR(__xludf.DUMMYFUNCTION("""COMPUTED_VALUE"""),44216.0)</f>
        <v>44216</v>
      </c>
      <c r="C31" s="469">
        <f>IFERROR(__xludf.DUMMYFUNCTION("""COMPUTED_VALUE"""),0.32547453703703705)</f>
        <v>0.325474537</v>
      </c>
      <c r="D31" s="103" t="str">
        <f>IFERROR(__xludf.DUMMYFUNCTION("""COMPUTED_VALUE"""),"SpFLMP294811")</f>
        <v>SpFLMP294811</v>
      </c>
      <c r="E31" s="103"/>
      <c r="F31" s="103"/>
      <c r="G31" s="103" t="str">
        <f>IFERROR(__xludf.DUMMYFUNCTION("""COMPUTED_VALUE"""),"Null")</f>
        <v>Null</v>
      </c>
      <c r="H31" s="131" t="str">
        <f>IFERROR(__xludf.DUMMYFUNCTION("""COMPUTED_VALUE"""),"Negative")</f>
        <v>Negative</v>
      </c>
      <c r="I31" s="468"/>
      <c r="J31" s="16"/>
      <c r="K31" s="16">
        <f>IFERROR(__xludf.DUMMYFUNCTION("""COMPUTED_VALUE"""),2.0)</f>
        <v>2</v>
      </c>
      <c r="L31" s="8"/>
      <c r="M31" s="69"/>
      <c r="N31" s="69">
        <f>IFERROR(__xludf.DUMMYFUNCTION("""COMPUTED_VALUE"""),1.0)</f>
        <v>1</v>
      </c>
      <c r="O31" s="69" t="str">
        <f t="shared" si="3"/>
        <v/>
      </c>
      <c r="P31" s="471">
        <f>IFERROR(__xludf.DUMMYFUNCTION("""COMPUTED_VALUE"""),-1.0)</f>
        <v>-1</v>
      </c>
      <c r="Q31" s="274" t="b">
        <f>VLOOKUP($B31,'Run Reconcile'!B$2:O2488,14,FALSE)</f>
        <v>1</v>
      </c>
      <c r="R31" s="472" t="str">
        <f t="array" ref="R31">IF($Q31, INDEX('Run Reconcile'!A$2:A2488,MATCH(B31,'Run Reconcile'!B$2:B2488,0),1),IFERROR(0/0,""))</f>
        <v>RUN-FLMP_2021-01-20_APS-009</v>
      </c>
      <c r="S31" s="473" t="str">
        <f t="shared" ref="S31:T31" si="66">IF(COUNTIF(W$2:W2488, $A31) &gt; 0,TRUE,IFERROR(0/0,""))</f>
        <v/>
      </c>
      <c r="T31" s="473" t="str">
        <f t="shared" si="66"/>
        <v/>
      </c>
      <c r="U31" s="275" t="str">
        <f t="array" ref="U31">IF(ISBLANK($R31), INDEX('Run Reconcile'!A$2:A2488, MATCH($B31, 'Run Reconcile'!B$2:B2488, 0)+Z31, 1), IFERROR(0/0,""))
</f>
        <v/>
      </c>
      <c r="V31" s="474" t="str">
        <f t="shared" si="5"/>
        <v>RUN-FLMP_2021-01-20_APS-009</v>
      </c>
      <c r="Y31" s="89" t="str">
        <f t="shared" si="6"/>
        <v/>
      </c>
      <c r="Z31" s="60" t="str">
        <f t="shared" si="7"/>
        <v/>
      </c>
      <c r="AA31" s="60" t="str">
        <f t="shared" si="8"/>
        <v/>
      </c>
      <c r="AB31" s="60" t="str">
        <f t="shared" si="9"/>
        <v/>
      </c>
      <c r="AC31" s="30" t="str">
        <f t="shared" ref="AC31:AD31" si="67">IF(_xlfn.ISFORMULA(S31),IFERROR(0/0,""),TRUE)</f>
        <v/>
      </c>
      <c r="AD31" s="30" t="str">
        <f t="shared" si="67"/>
        <v/>
      </c>
      <c r="AE31" s="475" t="str">
        <f>IFERROR(__xludf.DUMMYFUNCTION("""COMPUTED_VALUE"""),"FLSP")</f>
        <v>FLSP</v>
      </c>
      <c r="AF31" s="476"/>
      <c r="AG31" s="474" t="s">
        <v>41</v>
      </c>
      <c r="AH31" s="138" t="str">
        <f t="shared" si="11"/>
        <v/>
      </c>
    </row>
    <row r="32">
      <c r="A32" s="103">
        <f>IFERROR(__xludf.DUMMYFUNCTION("""COMPUTED_VALUE"""),360039.0)</f>
        <v>360039</v>
      </c>
      <c r="B32" s="468">
        <f>IFERROR(__xludf.DUMMYFUNCTION("""COMPUTED_VALUE"""),44216.0)</f>
        <v>44216</v>
      </c>
      <c r="C32" s="469">
        <f>IFERROR(__xludf.DUMMYFUNCTION("""COMPUTED_VALUE"""),0.33905092592592595)</f>
        <v>0.3390509259</v>
      </c>
      <c r="D32" s="103" t="str">
        <f>IFERROR(__xludf.DUMMYFUNCTION("""COMPUTED_VALUE"""),"SpFLMP294811")</f>
        <v>SpFLMP294811</v>
      </c>
      <c r="E32" s="103"/>
      <c r="F32" s="103"/>
      <c r="G32" s="103" t="str">
        <f>IFERROR(__xludf.DUMMYFUNCTION("""COMPUTED_VALUE"""),"Null")</f>
        <v>Null</v>
      </c>
      <c r="H32" s="131" t="str">
        <f>IFERROR(__xludf.DUMMYFUNCTION("""COMPUTED_VALUE"""),"Negative")</f>
        <v>Negative</v>
      </c>
      <c r="I32" s="468"/>
      <c r="J32" s="16"/>
      <c r="K32" s="16">
        <f>IFERROR(__xludf.DUMMYFUNCTION("""COMPUTED_VALUE"""),2.0)</f>
        <v>2</v>
      </c>
      <c r="L32" s="8"/>
      <c r="M32" s="69"/>
      <c r="N32" s="69">
        <f>IFERROR(__xludf.DUMMYFUNCTION("""COMPUTED_VALUE"""),2.0)</f>
        <v>2</v>
      </c>
      <c r="O32" s="69" t="str">
        <f t="shared" si="3"/>
        <v/>
      </c>
      <c r="P32" s="471">
        <f>IFERROR(__xludf.DUMMYFUNCTION("""COMPUTED_VALUE"""),-1.0)</f>
        <v>-1</v>
      </c>
      <c r="Q32" s="274" t="b">
        <f>VLOOKUP($B32,'Run Reconcile'!B$2:O2488,14,FALSE)</f>
        <v>1</v>
      </c>
      <c r="R32" s="472" t="str">
        <f t="array" ref="R32">IF($Q32, INDEX('Run Reconcile'!A$2:A2488,MATCH(B32,'Run Reconcile'!B$2:B2488,0),1),IFERROR(0/0,""))</f>
        <v>RUN-FLMP_2021-01-20_APS-009</v>
      </c>
      <c r="S32" s="473" t="str">
        <f t="shared" ref="S32:T32" si="68">IF(COUNTIF(W$2:W2488, $A32) &gt; 0,TRUE,IFERROR(0/0,""))</f>
        <v/>
      </c>
      <c r="T32" s="473" t="str">
        <f t="shared" si="68"/>
        <v/>
      </c>
      <c r="U32" s="275" t="str">
        <f t="array" ref="U32">IF(ISBLANK($R32), INDEX('Run Reconcile'!A$2:A2488, MATCH($B32, 'Run Reconcile'!B$2:B2488, 0)+Z32, 1), IFERROR(0/0,""))
</f>
        <v/>
      </c>
      <c r="V32" s="474" t="str">
        <f t="shared" si="5"/>
        <v>RUN-FLMP_2021-01-20_APS-009</v>
      </c>
      <c r="Y32" s="89" t="str">
        <f t="shared" si="6"/>
        <v/>
      </c>
      <c r="Z32" s="60" t="str">
        <f t="shared" si="7"/>
        <v/>
      </c>
      <c r="AA32" s="60" t="str">
        <f t="shared" si="8"/>
        <v/>
      </c>
      <c r="AB32" s="60" t="str">
        <f t="shared" si="9"/>
        <v/>
      </c>
      <c r="AC32" s="30" t="str">
        <f t="shared" ref="AC32:AD32" si="69">IF(_xlfn.ISFORMULA(S32),IFERROR(0/0,""),TRUE)</f>
        <v/>
      </c>
      <c r="AD32" s="30" t="str">
        <f t="shared" si="69"/>
        <v/>
      </c>
      <c r="AE32" s="475" t="str">
        <f>IFERROR(__xludf.DUMMYFUNCTION("""COMPUTED_VALUE"""),"FLSP")</f>
        <v>FLSP</v>
      </c>
      <c r="AF32" s="476"/>
      <c r="AG32" s="474" t="s">
        <v>41</v>
      </c>
      <c r="AH32" s="138" t="str">
        <f t="shared" si="11"/>
        <v/>
      </c>
    </row>
    <row r="33">
      <c r="A33" s="103">
        <f>IFERROR(__xludf.DUMMYFUNCTION("""COMPUTED_VALUE"""),360032.0)</f>
        <v>360032</v>
      </c>
      <c r="B33" s="468">
        <f>IFERROR(__xludf.DUMMYFUNCTION("""COMPUTED_VALUE"""),44216.0)</f>
        <v>44216</v>
      </c>
      <c r="C33" s="469">
        <f>IFERROR(__xludf.DUMMYFUNCTION("""COMPUTED_VALUE"""),0.35618055555555556)</f>
        <v>0.3561805556</v>
      </c>
      <c r="D33" s="103" t="str">
        <f>IFERROR(__xludf.DUMMYFUNCTION("""COMPUTED_VALUE"""),"SpFLMP959641")</f>
        <v>SpFLMP959641</v>
      </c>
      <c r="E33" s="103"/>
      <c r="F33" s="103"/>
      <c r="G33" s="103" t="str">
        <f>IFERROR(__xludf.DUMMYFUNCTION("""COMPUTED_VALUE"""),"Null")</f>
        <v>Null</v>
      </c>
      <c r="H33" s="131" t="str">
        <f>IFERROR(__xludf.DUMMYFUNCTION("""COMPUTED_VALUE"""),"Negative")</f>
        <v>Negative</v>
      </c>
      <c r="I33" s="468"/>
      <c r="J33" s="16"/>
      <c r="K33" s="16">
        <f>IFERROR(__xludf.DUMMYFUNCTION("""COMPUTED_VALUE"""),2.0)</f>
        <v>2</v>
      </c>
      <c r="L33" s="8"/>
      <c r="M33" s="69"/>
      <c r="N33" s="69">
        <f>IFERROR(__xludf.DUMMYFUNCTION("""COMPUTED_VALUE"""),1.0)</f>
        <v>1</v>
      </c>
      <c r="O33" s="69" t="str">
        <f t="shared" si="3"/>
        <v/>
      </c>
      <c r="P33" s="471">
        <f>IFERROR(__xludf.DUMMYFUNCTION("""COMPUTED_VALUE"""),-1.0)</f>
        <v>-1</v>
      </c>
      <c r="Q33" s="274" t="b">
        <f>VLOOKUP($B33,'Run Reconcile'!B$2:O2488,14,FALSE)</f>
        <v>1</v>
      </c>
      <c r="R33" s="472" t="str">
        <f t="array" ref="R33">IF($Q33, INDEX('Run Reconcile'!A$2:A2488,MATCH(B33,'Run Reconcile'!B$2:B2488,0),1),IFERROR(0/0,""))</f>
        <v>RUN-FLMP_2021-01-20_APS-009</v>
      </c>
      <c r="S33" s="473" t="str">
        <f t="shared" ref="S33:T33" si="70">IF(COUNTIF(W$2:W2488, $A33) &gt; 0,TRUE,IFERROR(0/0,""))</f>
        <v/>
      </c>
      <c r="T33" s="473" t="str">
        <f t="shared" si="70"/>
        <v/>
      </c>
      <c r="U33" s="275" t="str">
        <f t="array" ref="U33">IF(ISBLANK($R33), INDEX('Run Reconcile'!A$2:A2488, MATCH($B33, 'Run Reconcile'!B$2:B2488, 0)+Z33, 1), IFERROR(0/0,""))
</f>
        <v/>
      </c>
      <c r="V33" s="474" t="str">
        <f t="shared" si="5"/>
        <v>RUN-FLMP_2021-01-20_APS-009</v>
      </c>
      <c r="Y33" s="89" t="str">
        <f t="shared" si="6"/>
        <v/>
      </c>
      <c r="Z33" s="60" t="str">
        <f t="shared" si="7"/>
        <v/>
      </c>
      <c r="AA33" s="60" t="str">
        <f t="shared" si="8"/>
        <v/>
      </c>
      <c r="AB33" s="60" t="str">
        <f t="shared" si="9"/>
        <v/>
      </c>
      <c r="AC33" s="30" t="str">
        <f t="shared" ref="AC33:AD33" si="71">IF(_xlfn.ISFORMULA(S33),IFERROR(0/0,""),TRUE)</f>
        <v/>
      </c>
      <c r="AD33" s="30" t="str">
        <f t="shared" si="71"/>
        <v/>
      </c>
      <c r="AE33" s="475" t="str">
        <f>IFERROR(__xludf.DUMMYFUNCTION("""COMPUTED_VALUE"""),"FLSP")</f>
        <v>FLSP</v>
      </c>
      <c r="AF33" s="476"/>
      <c r="AG33" s="474" t="s">
        <v>41</v>
      </c>
      <c r="AH33" s="138" t="str">
        <f t="shared" si="11"/>
        <v/>
      </c>
    </row>
    <row r="34">
      <c r="A34" s="103">
        <f>IFERROR(__xludf.DUMMYFUNCTION("""COMPUTED_VALUE"""),360017.0)</f>
        <v>360017</v>
      </c>
      <c r="B34" s="468">
        <f>IFERROR(__xludf.DUMMYFUNCTION("""COMPUTED_VALUE"""),44216.0)</f>
        <v>44216</v>
      </c>
      <c r="C34" s="469">
        <f>IFERROR(__xludf.DUMMYFUNCTION("""COMPUTED_VALUE"""),0.3587962962962963)</f>
        <v>0.3587962963</v>
      </c>
      <c r="D34" s="103" t="str">
        <f>IFERROR(__xludf.DUMMYFUNCTION("""COMPUTED_VALUE"""),"SpFLMP959641")</f>
        <v>SpFLMP959641</v>
      </c>
      <c r="E34" s="103"/>
      <c r="F34" s="103"/>
      <c r="G34" s="103" t="str">
        <f>IFERROR(__xludf.DUMMYFUNCTION("""COMPUTED_VALUE"""),"Null")</f>
        <v>Null</v>
      </c>
      <c r="H34" s="131" t="str">
        <f>IFERROR(__xludf.DUMMYFUNCTION("""COMPUTED_VALUE"""),"Negative")</f>
        <v>Negative</v>
      </c>
      <c r="I34" s="468"/>
      <c r="J34" s="16"/>
      <c r="K34" s="16">
        <f>IFERROR(__xludf.DUMMYFUNCTION("""COMPUTED_VALUE"""),2.0)</f>
        <v>2</v>
      </c>
      <c r="L34" s="8"/>
      <c r="M34" s="69"/>
      <c r="N34" s="69">
        <f>IFERROR(__xludf.DUMMYFUNCTION("""COMPUTED_VALUE"""),3.0)</f>
        <v>3</v>
      </c>
      <c r="O34" s="69" t="str">
        <f t="shared" si="3"/>
        <v/>
      </c>
      <c r="P34" s="471">
        <f>IFERROR(__xludf.DUMMYFUNCTION("""COMPUTED_VALUE"""),-1.0)</f>
        <v>-1</v>
      </c>
      <c r="Q34" s="274" t="b">
        <f>VLOOKUP($B34,'Run Reconcile'!B$2:O2488,14,FALSE)</f>
        <v>1</v>
      </c>
      <c r="R34" s="472" t="str">
        <f t="array" ref="R34">IF($Q34, INDEX('Run Reconcile'!A$2:A2488,MATCH(B34,'Run Reconcile'!B$2:B2488,0),1),IFERROR(0/0,""))</f>
        <v>RUN-FLMP_2021-01-20_APS-009</v>
      </c>
      <c r="S34" s="473" t="str">
        <f t="shared" ref="S34:T34" si="72">IF(COUNTIF(W$2:W2488, $A34) &gt; 0,TRUE,IFERROR(0/0,""))</f>
        <v/>
      </c>
      <c r="T34" s="473" t="str">
        <f t="shared" si="72"/>
        <v/>
      </c>
      <c r="U34" s="275" t="str">
        <f t="array" ref="U34">IF(ISBLANK($R34), INDEX('Run Reconcile'!A$2:A2488, MATCH($B34, 'Run Reconcile'!B$2:B2488, 0)+Z34, 1), IFERROR(0/0,""))
</f>
        <v/>
      </c>
      <c r="V34" s="474" t="str">
        <f t="shared" si="5"/>
        <v>RUN-FLMP_2021-01-20_APS-009</v>
      </c>
      <c r="Y34" s="89" t="str">
        <f t="shared" si="6"/>
        <v/>
      </c>
      <c r="Z34" s="60" t="str">
        <f t="shared" si="7"/>
        <v/>
      </c>
      <c r="AA34" s="60" t="str">
        <f t="shared" si="8"/>
        <v/>
      </c>
      <c r="AB34" s="60" t="str">
        <f t="shared" si="9"/>
        <v/>
      </c>
      <c r="AC34" s="30" t="str">
        <f t="shared" ref="AC34:AD34" si="73">IF(_xlfn.ISFORMULA(S34),IFERROR(0/0,""),TRUE)</f>
        <v/>
      </c>
      <c r="AD34" s="30" t="str">
        <f t="shared" si="73"/>
        <v/>
      </c>
      <c r="AE34" s="475" t="str">
        <f>IFERROR(__xludf.DUMMYFUNCTION("""COMPUTED_VALUE"""),"FLSP")</f>
        <v>FLSP</v>
      </c>
      <c r="AF34" s="476"/>
      <c r="AG34" s="474" t="s">
        <v>41</v>
      </c>
      <c r="AH34" s="138" t="str">
        <f t="shared" si="11"/>
        <v/>
      </c>
    </row>
    <row r="35">
      <c r="A35" s="103">
        <f>IFERROR(__xludf.DUMMYFUNCTION("""COMPUTED_VALUE"""),6.0)</f>
        <v>6</v>
      </c>
      <c r="B35" s="468">
        <f>IFERROR(__xludf.DUMMYFUNCTION("""COMPUTED_VALUE"""),44216.0)</f>
        <v>44216</v>
      </c>
      <c r="C35" s="469">
        <f>IFERROR(__xludf.DUMMYFUNCTION("""COMPUTED_VALUE"""),0.6091203703703704)</f>
        <v>0.6091203704</v>
      </c>
      <c r="D35" s="103" t="str">
        <f>IFERROR(__xludf.DUMMYFUNCTION("""COMPUTED_VALUE"""),"SpFLMP684798")</f>
        <v>SpFLMP684798</v>
      </c>
      <c r="E35" s="103"/>
      <c r="F35" s="103"/>
      <c r="G35" s="103" t="str">
        <f>IFERROR(__xludf.DUMMYFUNCTION("""COMPUTED_VALUE"""),"Null")</f>
        <v>Null</v>
      </c>
      <c r="H35" s="131" t="str">
        <f>IFERROR(__xludf.DUMMYFUNCTION("""COMPUTED_VALUE"""),"Negative")</f>
        <v>Negative</v>
      </c>
      <c r="I35" s="468"/>
      <c r="J35" s="16"/>
      <c r="K35" s="16">
        <f>IFERROR(__xludf.DUMMYFUNCTION("""COMPUTED_VALUE"""),2.0)</f>
        <v>2</v>
      </c>
      <c r="L35" s="8" t="str">
        <f>IFERROR(__xludf.DUMMYFUNCTION("""COMPUTED_VALUE""")," ")</f>
        <v> </v>
      </c>
      <c r="M35" s="69"/>
      <c r="N35" s="69">
        <f>IFERROR(__xludf.DUMMYFUNCTION("""COMPUTED_VALUE"""),4.0)</f>
        <v>4</v>
      </c>
      <c r="O35" s="69" t="str">
        <f t="shared" si="3"/>
        <v/>
      </c>
      <c r="P35" s="471">
        <f>IFERROR(__xludf.DUMMYFUNCTION("""COMPUTED_VALUE"""),-1.0)</f>
        <v>-1</v>
      </c>
      <c r="Q35" s="274" t="b">
        <f>VLOOKUP($B35,'Run Reconcile'!B$2:O2488,14,FALSE)</f>
        <v>1</v>
      </c>
      <c r="R35" s="472" t="str">
        <f t="array" ref="R35">IF($Q35, INDEX('Run Reconcile'!A$2:A2488,MATCH(B35,'Run Reconcile'!B$2:B2488,0),1),IFERROR(0/0,""))</f>
        <v>RUN-FLMP_2021-01-20_APS-009</v>
      </c>
      <c r="S35" s="473" t="str">
        <f t="shared" ref="S35:T35" si="74">IF(COUNTIF(W$2:W2488, $A35) &gt; 0,TRUE,IFERROR(0/0,""))</f>
        <v/>
      </c>
      <c r="T35" s="473" t="str">
        <f t="shared" si="74"/>
        <v/>
      </c>
      <c r="U35" s="275" t="str">
        <f t="array" ref="U35">IF(ISBLANK($R35), INDEX('Run Reconcile'!A$2:A2488, MATCH($B35, 'Run Reconcile'!B$2:B2488, 0)+Z35, 1), IFERROR(0/0,""))
</f>
        <v/>
      </c>
      <c r="V35" s="474" t="str">
        <f t="shared" si="5"/>
        <v>RUN-FLMP_2021-01-20_APS-009</v>
      </c>
      <c r="Y35" s="89" t="str">
        <f t="shared" si="6"/>
        <v/>
      </c>
      <c r="Z35" s="60" t="str">
        <f t="shared" si="7"/>
        <v/>
      </c>
      <c r="AA35" s="60" t="str">
        <f t="shared" si="8"/>
        <v/>
      </c>
      <c r="AB35" s="60" t="str">
        <f t="shared" si="9"/>
        <v/>
      </c>
      <c r="AC35" s="30" t="str">
        <f t="shared" ref="AC35:AD35" si="75">IF(_xlfn.ISFORMULA(S35),IFERROR(0/0,""),TRUE)</f>
        <v/>
      </c>
      <c r="AD35" s="30" t="str">
        <f t="shared" si="75"/>
        <v/>
      </c>
      <c r="AE35" s="475" t="str">
        <f>IFERROR(__xludf.DUMMYFUNCTION("""COMPUTED_VALUE"""),"FLSP")</f>
        <v>FLSP</v>
      </c>
      <c r="AF35" s="476"/>
      <c r="AG35" s="474" t="s">
        <v>41</v>
      </c>
      <c r="AH35" s="138" t="str">
        <f t="shared" si="11"/>
        <v/>
      </c>
    </row>
    <row r="36">
      <c r="A36" s="103">
        <f>IFERROR(__xludf.DUMMYFUNCTION("""COMPUTED_VALUE"""),360023.0)</f>
        <v>360023</v>
      </c>
      <c r="B36" s="468">
        <f>IFERROR(__xludf.DUMMYFUNCTION("""COMPUTED_VALUE"""),44216.0)</f>
        <v>44216</v>
      </c>
      <c r="C36" s="469">
        <f>IFERROR(__xludf.DUMMYFUNCTION("""COMPUTED_VALUE"""),0.8735185185185185)</f>
        <v>0.8735185185</v>
      </c>
      <c r="D36" s="103" t="str">
        <f>IFERROR(__xludf.DUMMYFUNCTION("""COMPUTED_VALUE"""),"SpFLMP959641")</f>
        <v>SpFLMP959641</v>
      </c>
      <c r="E36" s="103"/>
      <c r="F36" s="103"/>
      <c r="G36" s="103" t="str">
        <f>IFERROR(__xludf.DUMMYFUNCTION("""COMPUTED_VALUE"""),"Null")</f>
        <v>Null</v>
      </c>
      <c r="H36" s="131" t="str">
        <f>IFERROR(__xludf.DUMMYFUNCTION("""COMPUTED_VALUE"""),"Negative")</f>
        <v>Negative</v>
      </c>
      <c r="I36" s="468"/>
      <c r="J36" s="16"/>
      <c r="K36" s="16">
        <f>IFERROR(__xludf.DUMMYFUNCTION("""COMPUTED_VALUE"""),2.0)</f>
        <v>2</v>
      </c>
      <c r="L36" s="8"/>
      <c r="M36" s="69"/>
      <c r="N36" s="69">
        <f>IFERROR(__xludf.DUMMYFUNCTION("""COMPUTED_VALUE"""),1.0)</f>
        <v>1</v>
      </c>
      <c r="O36" s="69" t="str">
        <f t="shared" si="3"/>
        <v/>
      </c>
      <c r="P36" s="471">
        <f>IFERROR(__xludf.DUMMYFUNCTION("""COMPUTED_VALUE"""),-1.0)</f>
        <v>-1</v>
      </c>
      <c r="Q36" s="274" t="b">
        <f>VLOOKUP($B36,'Run Reconcile'!B$2:O2488,14,FALSE)</f>
        <v>1</v>
      </c>
      <c r="R36" s="472" t="str">
        <f t="array" ref="R36">IF($Q36, INDEX('Run Reconcile'!A$2:A2488,MATCH(B36,'Run Reconcile'!B$2:B2488,0),1),IFERROR(0/0,""))</f>
        <v>RUN-FLMP_2021-01-20_APS-009</v>
      </c>
      <c r="S36" s="473" t="str">
        <f t="shared" ref="S36:T36" si="76">IF(COUNTIF(W$2:W2488, $A36) &gt; 0,TRUE,IFERROR(0/0,""))</f>
        <v/>
      </c>
      <c r="T36" s="473" t="str">
        <f t="shared" si="76"/>
        <v/>
      </c>
      <c r="U36" s="275" t="str">
        <f t="array" ref="U36">IF(ISBLANK($R36), INDEX('Run Reconcile'!A$2:A2488, MATCH($B36, 'Run Reconcile'!B$2:B2488, 0)+Z36, 1), IFERROR(0/0,""))
</f>
        <v/>
      </c>
      <c r="V36" s="474" t="str">
        <f t="shared" si="5"/>
        <v>RUN-FLMP_2021-01-20_APS-009</v>
      </c>
      <c r="Y36" s="89" t="str">
        <f t="shared" si="6"/>
        <v/>
      </c>
      <c r="Z36" s="60" t="str">
        <f t="shared" si="7"/>
        <v/>
      </c>
      <c r="AA36" s="60" t="str">
        <f t="shared" si="8"/>
        <v/>
      </c>
      <c r="AB36" s="60" t="str">
        <f t="shared" si="9"/>
        <v/>
      </c>
      <c r="AC36" s="30" t="str">
        <f t="shared" ref="AC36:AD36" si="77">IF(_xlfn.ISFORMULA(S36),IFERROR(0/0,""),TRUE)</f>
        <v/>
      </c>
      <c r="AD36" s="30" t="str">
        <f t="shared" si="77"/>
        <v/>
      </c>
      <c r="AE36" s="475" t="str">
        <f>IFERROR(__xludf.DUMMYFUNCTION("""COMPUTED_VALUE"""),"FLSP")</f>
        <v>FLSP</v>
      </c>
      <c r="AF36" s="476"/>
      <c r="AG36" s="474" t="s">
        <v>41</v>
      </c>
      <c r="AH36" s="138" t="str">
        <f t="shared" si="11"/>
        <v/>
      </c>
    </row>
    <row r="37">
      <c r="A37" s="103">
        <f>IFERROR(__xludf.DUMMYFUNCTION("""COMPUTED_VALUE"""),6009.0)</f>
        <v>6009</v>
      </c>
      <c r="B37" s="468">
        <f>IFERROR(__xludf.DUMMYFUNCTION("""COMPUTED_VALUE"""),44217.0)</f>
        <v>44217</v>
      </c>
      <c r="C37" s="469">
        <f>IFERROR(__xludf.DUMMYFUNCTION("""COMPUTED_VALUE"""),0.3393287037037037)</f>
        <v>0.3393287037</v>
      </c>
      <c r="D37" s="103" t="str">
        <f>IFERROR(__xludf.DUMMYFUNCTION("""COMPUTED_VALUE"""),"SpFLMP255929")</f>
        <v>SpFLMP255929</v>
      </c>
      <c r="E37" s="103"/>
      <c r="F37" s="103"/>
      <c r="G37" s="103" t="str">
        <f>IFERROR(__xludf.DUMMYFUNCTION("""COMPUTED_VALUE"""),"Negative")</f>
        <v>Negative</v>
      </c>
      <c r="H37" s="131" t="str">
        <f>IFERROR(__xludf.DUMMYFUNCTION("""COMPUTED_VALUE"""),"Negative")</f>
        <v>Negative</v>
      </c>
      <c r="I37" s="468">
        <f>IFERROR(__xludf.DUMMYFUNCTION("""COMPUTED_VALUE"""),44250.0)</f>
        <v>44250</v>
      </c>
      <c r="J37" s="470">
        <f>IFERROR(__xludf.DUMMYFUNCTION("""COMPUTED_VALUE"""),0.3905208333333333)</f>
        <v>0.3905208333</v>
      </c>
      <c r="K37" s="16"/>
      <c r="L37" s="8"/>
      <c r="M37" s="69"/>
      <c r="N37" s="69">
        <f>IFERROR(__xludf.DUMMYFUNCTION("""COMPUTED_VALUE"""),2.0)</f>
        <v>2</v>
      </c>
      <c r="O37" s="69" t="b">
        <f t="shared" si="3"/>
        <v>1</v>
      </c>
      <c r="P37" s="471">
        <f>IFERROR(__xludf.DUMMYFUNCTION("""COMPUTED_VALUE"""),33.0)</f>
        <v>33</v>
      </c>
      <c r="Q37" s="274" t="b">
        <f>VLOOKUP($B37,'Run Reconcile'!B$2:O2488,14,FALSE)</f>
        <v>1</v>
      </c>
      <c r="R37" s="472" t="str">
        <f t="array" ref="R37">IF($Q37, INDEX('Run Reconcile'!A$2:A2488,MATCH(B37,'Run Reconcile'!B$2:B2488,0),1),IFERROR(0/0,""))</f>
        <v>RUN-FLMP_2021-01-21_APS-010</v>
      </c>
      <c r="S37" s="473" t="str">
        <f t="shared" ref="S37:T37" si="78">IF(COUNTIF(W$2:W2488, $A37) &gt; 0,TRUE,IFERROR(0/0,""))</f>
        <v/>
      </c>
      <c r="T37" s="473" t="str">
        <f t="shared" si="78"/>
        <v/>
      </c>
      <c r="U37" s="275" t="str">
        <f t="array" ref="U37">IF(ISBLANK($R37), INDEX('Run Reconcile'!A$2:A2488, MATCH($B37, 'Run Reconcile'!B$2:B2488, 0)+Z37, 1), IFERROR(0/0,""))
</f>
        <v/>
      </c>
      <c r="V37" s="474" t="str">
        <f t="shared" si="5"/>
        <v>RUN-FLMP_2021-01-21_APS-010</v>
      </c>
      <c r="Y37" s="89" t="str">
        <f t="shared" si="6"/>
        <v/>
      </c>
      <c r="Z37" s="60" t="str">
        <f t="shared" si="7"/>
        <v/>
      </c>
      <c r="AA37" s="60" t="str">
        <f t="shared" si="8"/>
        <v/>
      </c>
      <c r="AB37" s="60" t="str">
        <f t="shared" si="9"/>
        <v/>
      </c>
      <c r="AC37" s="30" t="str">
        <f t="shared" ref="AC37:AD37" si="79">IF(_xlfn.ISFORMULA(S37),IFERROR(0/0,""),TRUE)</f>
        <v/>
      </c>
      <c r="AD37" s="30" t="str">
        <f t="shared" si="79"/>
        <v/>
      </c>
      <c r="AE37" s="475" t="str">
        <f>IFERROR(__xludf.DUMMYFUNCTION("""COMPUTED_VALUE"""),"FLSP")</f>
        <v>FLSP</v>
      </c>
      <c r="AF37" s="476"/>
      <c r="AG37" s="474" t="s">
        <v>42</v>
      </c>
      <c r="AH37" s="138" t="str">
        <f t="shared" si="11"/>
        <v/>
      </c>
    </row>
    <row r="38">
      <c r="A38" s="103">
        <f>IFERROR(__xludf.DUMMYFUNCTION("""COMPUTED_VALUE"""),336378.0)</f>
        <v>336378</v>
      </c>
      <c r="B38" s="468">
        <f>IFERROR(__xludf.DUMMYFUNCTION("""COMPUTED_VALUE"""),44217.0)</f>
        <v>44217</v>
      </c>
      <c r="C38" s="469">
        <f>IFERROR(__xludf.DUMMYFUNCTION("""COMPUTED_VALUE"""),0.6283680555555555)</f>
        <v>0.6283680556</v>
      </c>
      <c r="D38" s="103" t="str">
        <f>IFERROR(__xludf.DUMMYFUNCTION("""COMPUTED_VALUE"""),"SpFLMP870846")</f>
        <v>SpFLMP870846</v>
      </c>
      <c r="E38" s="103"/>
      <c r="F38" s="103"/>
      <c r="G38" s="103" t="str">
        <f>IFERROR(__xludf.DUMMYFUNCTION("""COMPUTED_VALUE"""),"Negative")</f>
        <v>Negative</v>
      </c>
      <c r="H38" s="131" t="str">
        <f>IFERROR(__xludf.DUMMYFUNCTION("""COMPUTED_VALUE"""),"Negative")</f>
        <v>Negative</v>
      </c>
      <c r="I38" s="468">
        <f>IFERROR(__xludf.DUMMYFUNCTION("""COMPUTED_VALUE"""),44250.0)</f>
        <v>44250</v>
      </c>
      <c r="J38" s="470">
        <f>IFERROR(__xludf.DUMMYFUNCTION("""COMPUTED_VALUE"""),0.3905208333333333)</f>
        <v>0.3905208333</v>
      </c>
      <c r="K38" s="16"/>
      <c r="L38" s="8"/>
      <c r="M38" s="69"/>
      <c r="N38" s="69">
        <f>IFERROR(__xludf.DUMMYFUNCTION("""COMPUTED_VALUE"""),1.0)</f>
        <v>1</v>
      </c>
      <c r="O38" s="69" t="str">
        <f t="shared" si="3"/>
        <v/>
      </c>
      <c r="P38" s="471">
        <f>IFERROR(__xludf.DUMMYFUNCTION("""COMPUTED_VALUE"""),33.0)</f>
        <v>33</v>
      </c>
      <c r="Q38" s="274" t="b">
        <f>VLOOKUP($B38,'Run Reconcile'!B$2:O2488,14,FALSE)</f>
        <v>1</v>
      </c>
      <c r="R38" s="472" t="str">
        <f t="array" ref="R38">IF($Q38, INDEX('Run Reconcile'!A$2:A2488,MATCH(B38,'Run Reconcile'!B$2:B2488,0),1),IFERROR(0/0,""))</f>
        <v>RUN-FLMP_2021-01-21_APS-010</v>
      </c>
      <c r="S38" s="473" t="str">
        <f t="shared" ref="S38:T38" si="80">IF(COUNTIF(W$2:W2488, $A38) &gt; 0,TRUE,IFERROR(0/0,""))</f>
        <v/>
      </c>
      <c r="T38" s="473" t="str">
        <f t="shared" si="80"/>
        <v/>
      </c>
      <c r="U38" s="275" t="str">
        <f t="array" ref="U38">IF(ISBLANK($R38), INDEX('Run Reconcile'!A$2:A2488, MATCH($B38, 'Run Reconcile'!B$2:B2488, 0)+Z38, 1), IFERROR(0/0,""))
</f>
        <v/>
      </c>
      <c r="V38" s="474" t="str">
        <f t="shared" si="5"/>
        <v>RUN-FLMP_2021-01-21_APS-010</v>
      </c>
      <c r="Y38" s="89" t="str">
        <f t="shared" si="6"/>
        <v/>
      </c>
      <c r="Z38" s="60" t="str">
        <f t="shared" si="7"/>
        <v/>
      </c>
      <c r="AA38" s="60" t="str">
        <f t="shared" si="8"/>
        <v/>
      </c>
      <c r="AB38" s="60" t="str">
        <f t="shared" si="9"/>
        <v/>
      </c>
      <c r="AC38" s="30" t="str">
        <f t="shared" ref="AC38:AD38" si="81">IF(_xlfn.ISFORMULA(S38),IFERROR(0/0,""),TRUE)</f>
        <v/>
      </c>
      <c r="AD38" s="30" t="str">
        <f t="shared" si="81"/>
        <v/>
      </c>
      <c r="AE38" s="475" t="str">
        <f>IFERROR(__xludf.DUMMYFUNCTION("""COMPUTED_VALUE"""),"FLSP")</f>
        <v>FLSP</v>
      </c>
      <c r="AF38" s="476"/>
      <c r="AG38" s="474" t="s">
        <v>42</v>
      </c>
      <c r="AH38" s="138" t="str">
        <f t="shared" si="11"/>
        <v/>
      </c>
    </row>
    <row r="39">
      <c r="A39" s="103">
        <f>IFERROR(__xludf.DUMMYFUNCTION("""COMPUTED_VALUE"""),632574.0)</f>
        <v>632574</v>
      </c>
      <c r="B39" s="468">
        <f>IFERROR(__xludf.DUMMYFUNCTION("""COMPUTED_VALUE"""),44217.0)</f>
        <v>44217</v>
      </c>
      <c r="C39" s="469">
        <f>IFERROR(__xludf.DUMMYFUNCTION("""COMPUTED_VALUE"""),0.7206944444444444)</f>
        <v>0.7206944444</v>
      </c>
      <c r="D39" s="103" t="str">
        <f>IFERROR(__xludf.DUMMYFUNCTION("""COMPUTED_VALUE"""),"SpFLMP255929")</f>
        <v>SpFLMP255929</v>
      </c>
      <c r="E39" s="103"/>
      <c r="F39" s="103"/>
      <c r="G39" s="103" t="str">
        <f>IFERROR(__xludf.DUMMYFUNCTION("""COMPUTED_VALUE"""),"Null")</f>
        <v>Null</v>
      </c>
      <c r="H39" s="131" t="str">
        <f>IFERROR(__xludf.DUMMYFUNCTION("""COMPUTED_VALUE"""),"Negative")</f>
        <v>Negative</v>
      </c>
      <c r="I39" s="468"/>
      <c r="J39" s="16"/>
      <c r="K39" s="16">
        <f>IFERROR(__xludf.DUMMYFUNCTION("""COMPUTED_VALUE"""),2.0)</f>
        <v>2</v>
      </c>
      <c r="L39" s="8"/>
      <c r="M39" s="69"/>
      <c r="N39" s="69">
        <f>IFERROR(__xludf.DUMMYFUNCTION("""COMPUTED_VALUE"""),2.0)</f>
        <v>2</v>
      </c>
      <c r="O39" s="69" t="str">
        <f t="shared" si="3"/>
        <v/>
      </c>
      <c r="P39" s="471">
        <f>IFERROR(__xludf.DUMMYFUNCTION("""COMPUTED_VALUE"""),-1.0)</f>
        <v>-1</v>
      </c>
      <c r="Q39" s="274" t="b">
        <f>VLOOKUP($B39,'Run Reconcile'!B$2:O2488,14,FALSE)</f>
        <v>1</v>
      </c>
      <c r="R39" s="472" t="str">
        <f t="array" ref="R39">IF($Q39, INDEX('Run Reconcile'!A$2:A2488,MATCH(B39,'Run Reconcile'!B$2:B2488,0),1),IFERROR(0/0,""))</f>
        <v>RUN-FLMP_2021-01-21_APS-010</v>
      </c>
      <c r="S39" s="473" t="str">
        <f t="shared" ref="S39:T39" si="82">IF(COUNTIF(W$2:W2488, $A39) &gt; 0,TRUE,IFERROR(0/0,""))</f>
        <v/>
      </c>
      <c r="T39" s="473" t="str">
        <f t="shared" si="82"/>
        <v/>
      </c>
      <c r="U39" s="275" t="str">
        <f t="array" ref="U39">IF(ISBLANK($R39), INDEX('Run Reconcile'!A$2:A2488, MATCH($B39, 'Run Reconcile'!B$2:B2488, 0)+Z39, 1), IFERROR(0/0,""))
</f>
        <v/>
      </c>
      <c r="V39" s="474" t="str">
        <f t="shared" si="5"/>
        <v>RUN-FLMP_2021-01-21_APS-010</v>
      </c>
      <c r="Y39" s="89" t="str">
        <f t="shared" si="6"/>
        <v/>
      </c>
      <c r="Z39" s="60" t="str">
        <f t="shared" si="7"/>
        <v/>
      </c>
      <c r="AA39" s="60" t="str">
        <f t="shared" si="8"/>
        <v/>
      </c>
      <c r="AB39" s="60" t="str">
        <f t="shared" si="9"/>
        <v/>
      </c>
      <c r="AC39" s="30" t="str">
        <f t="shared" ref="AC39:AD39" si="83">IF(_xlfn.ISFORMULA(S39),IFERROR(0/0,""),TRUE)</f>
        <v/>
      </c>
      <c r="AD39" s="30" t="str">
        <f t="shared" si="83"/>
        <v/>
      </c>
      <c r="AE39" s="475" t="str">
        <f>IFERROR(__xludf.DUMMYFUNCTION("""COMPUTED_VALUE"""),"FLSP")</f>
        <v>FLSP</v>
      </c>
      <c r="AF39" s="476"/>
      <c r="AG39" s="474" t="s">
        <v>42</v>
      </c>
      <c r="AH39" s="138" t="str">
        <f t="shared" si="11"/>
        <v/>
      </c>
    </row>
    <row r="40">
      <c r="A40" s="103">
        <f>IFERROR(__xludf.DUMMYFUNCTION("""COMPUTED_VALUE"""),360018.0)</f>
        <v>360018</v>
      </c>
      <c r="B40" s="468">
        <f>IFERROR(__xludf.DUMMYFUNCTION("""COMPUTED_VALUE"""),44217.0)</f>
        <v>44217</v>
      </c>
      <c r="C40" s="469">
        <f>IFERROR(__xludf.DUMMYFUNCTION("""COMPUTED_VALUE"""),0.8852893518518519)</f>
        <v>0.8852893519</v>
      </c>
      <c r="D40" s="103" t="str">
        <f>IFERROR(__xludf.DUMMYFUNCTION("""COMPUTED_VALUE"""),"SpFLMP634683")</f>
        <v>SpFLMP634683</v>
      </c>
      <c r="E40" s="103"/>
      <c r="F40" s="103"/>
      <c r="G40" s="103" t="str">
        <f>IFERROR(__xludf.DUMMYFUNCTION("""COMPUTED_VALUE"""),"Negative")</f>
        <v>Negative</v>
      </c>
      <c r="H40" s="131" t="str">
        <f>IFERROR(__xludf.DUMMYFUNCTION("""COMPUTED_VALUE"""),"Negative")</f>
        <v>Negative</v>
      </c>
      <c r="I40" s="468">
        <f>IFERROR(__xludf.DUMMYFUNCTION("""COMPUTED_VALUE"""),44250.0)</f>
        <v>44250</v>
      </c>
      <c r="J40" s="470">
        <f>IFERROR(__xludf.DUMMYFUNCTION("""COMPUTED_VALUE"""),0.3905208333333333)</f>
        <v>0.3905208333</v>
      </c>
      <c r="K40" s="16"/>
      <c r="L40" s="8"/>
      <c r="M40" s="69"/>
      <c r="N40" s="69">
        <f>IFERROR(__xludf.DUMMYFUNCTION("""COMPUTED_VALUE"""),4.0)</f>
        <v>4</v>
      </c>
      <c r="O40" s="69" t="str">
        <f t="shared" si="3"/>
        <v/>
      </c>
      <c r="P40" s="471">
        <f>IFERROR(__xludf.DUMMYFUNCTION("""COMPUTED_VALUE"""),33.0)</f>
        <v>33</v>
      </c>
      <c r="Q40" s="274" t="b">
        <f>VLOOKUP($B40,'Run Reconcile'!B$2:O2488,14,FALSE)</f>
        <v>1</v>
      </c>
      <c r="R40" s="472" t="str">
        <f t="array" ref="R40">IF($Q40, INDEX('Run Reconcile'!A$2:A2488,MATCH(B40,'Run Reconcile'!B$2:B2488,0),1),IFERROR(0/0,""))</f>
        <v>RUN-FLMP_2021-01-21_APS-010</v>
      </c>
      <c r="S40" s="473" t="str">
        <f t="shared" ref="S40:T40" si="84">IF(COUNTIF(W$2:W2488, $A40) &gt; 0,TRUE,IFERROR(0/0,""))</f>
        <v/>
      </c>
      <c r="T40" s="473" t="str">
        <f t="shared" si="84"/>
        <v/>
      </c>
      <c r="U40" s="275" t="str">
        <f t="array" ref="U40">IF(ISBLANK($R40), INDEX('Run Reconcile'!A$2:A2488, MATCH($B40, 'Run Reconcile'!B$2:B2488, 0)+Z40, 1), IFERROR(0/0,""))
</f>
        <v/>
      </c>
      <c r="V40" s="474" t="str">
        <f t="shared" si="5"/>
        <v>RUN-FLMP_2021-01-21_APS-010</v>
      </c>
      <c r="Y40" s="89" t="str">
        <f t="shared" si="6"/>
        <v/>
      </c>
      <c r="Z40" s="60" t="str">
        <f t="shared" si="7"/>
        <v/>
      </c>
      <c r="AA40" s="60" t="str">
        <f t="shared" si="8"/>
        <v/>
      </c>
      <c r="AB40" s="60" t="str">
        <f t="shared" si="9"/>
        <v/>
      </c>
      <c r="AC40" s="30" t="str">
        <f t="shared" ref="AC40:AD40" si="85">IF(_xlfn.ISFORMULA(S40),IFERROR(0/0,""),TRUE)</f>
        <v/>
      </c>
      <c r="AD40" s="30" t="str">
        <f t="shared" si="85"/>
        <v/>
      </c>
      <c r="AE40" s="475" t="str">
        <f>IFERROR(__xludf.DUMMYFUNCTION("""COMPUTED_VALUE"""),"FLSP")</f>
        <v>FLSP</v>
      </c>
      <c r="AF40" s="476"/>
      <c r="AG40" s="474" t="s">
        <v>42</v>
      </c>
      <c r="AH40" s="138" t="str">
        <f t="shared" si="11"/>
        <v/>
      </c>
    </row>
    <row r="41">
      <c r="A41" s="103">
        <f>IFERROR(__xludf.DUMMYFUNCTION("""COMPUTED_VALUE"""),360043.0)</f>
        <v>360043</v>
      </c>
      <c r="B41" s="468">
        <f>IFERROR(__xludf.DUMMYFUNCTION("""COMPUTED_VALUE"""),44218.0)</f>
        <v>44218</v>
      </c>
      <c r="C41" s="469">
        <f>IFERROR(__xludf.DUMMYFUNCTION("""COMPUTED_VALUE"""),0.3335763888888889)</f>
        <v>0.3335763889</v>
      </c>
      <c r="D41" s="103" t="str">
        <f>IFERROR(__xludf.DUMMYFUNCTION("""COMPUTED_VALUE"""),"SpFLMP294811")</f>
        <v>SpFLMP294811</v>
      </c>
      <c r="E41" s="103"/>
      <c r="F41" s="103"/>
      <c r="G41" s="103" t="str">
        <f>IFERROR(__xludf.DUMMYFUNCTION("""COMPUTED_VALUE"""),"Negative")</f>
        <v>Negative</v>
      </c>
      <c r="H41" s="131" t="str">
        <f>IFERROR(__xludf.DUMMYFUNCTION("""COMPUTED_VALUE"""),"Negative")</f>
        <v>Negative</v>
      </c>
      <c r="I41" s="468">
        <f>IFERROR(__xludf.DUMMYFUNCTION("""COMPUTED_VALUE"""),44250.0)</f>
        <v>44250</v>
      </c>
      <c r="J41" s="470">
        <f>IFERROR(__xludf.DUMMYFUNCTION("""COMPUTED_VALUE"""),0.3905324074074074)</f>
        <v>0.3905324074</v>
      </c>
      <c r="K41" s="16"/>
      <c r="L41" s="8"/>
      <c r="M41" s="69"/>
      <c r="N41" s="69">
        <f>IFERROR(__xludf.DUMMYFUNCTION("""COMPUTED_VALUE"""),1.0)</f>
        <v>1</v>
      </c>
      <c r="O41" s="69" t="b">
        <f t="shared" si="3"/>
        <v>1</v>
      </c>
      <c r="P41" s="471">
        <f>IFERROR(__xludf.DUMMYFUNCTION("""COMPUTED_VALUE"""),32.0)</f>
        <v>32</v>
      </c>
      <c r="Q41" s="274" t="b">
        <f>VLOOKUP($B41,'Run Reconcile'!B$2:O2488,14,FALSE)</f>
        <v>1</v>
      </c>
      <c r="R41" s="472" t="str">
        <f t="array" ref="R41">IF($Q41, INDEX('Run Reconcile'!A$2:A2488,MATCH(B41,'Run Reconcile'!B$2:B2488,0),1),IFERROR(0/0,""))</f>
        <v>RUN-FLMP_2021-01-22_APS-011</v>
      </c>
      <c r="S41" s="473" t="str">
        <f t="shared" ref="S41:T41" si="86">IF(COUNTIF(W$2:W2488, $A41) &gt; 0,TRUE,IFERROR(0/0,""))</f>
        <v/>
      </c>
      <c r="T41" s="473" t="str">
        <f t="shared" si="86"/>
        <v/>
      </c>
      <c r="U41" s="275" t="str">
        <f t="array" ref="U41">IF(ISBLANK($R41), INDEX('Run Reconcile'!A$2:A2488, MATCH($B41, 'Run Reconcile'!B$2:B2488, 0)+Z41, 1), IFERROR(0/0,""))
</f>
        <v/>
      </c>
      <c r="V41" s="474" t="str">
        <f t="shared" si="5"/>
        <v>RUN-FLMP_2021-01-22_APS-011</v>
      </c>
      <c r="Y41" s="89" t="str">
        <f t="shared" si="6"/>
        <v/>
      </c>
      <c r="Z41" s="60" t="str">
        <f t="shared" si="7"/>
        <v/>
      </c>
      <c r="AA41" s="60" t="str">
        <f t="shared" si="8"/>
        <v/>
      </c>
      <c r="AB41" s="60" t="str">
        <f t="shared" si="9"/>
        <v/>
      </c>
      <c r="AC41" s="30" t="str">
        <f t="shared" ref="AC41:AD41" si="87">IF(_xlfn.ISFORMULA(S41),IFERROR(0/0,""),TRUE)</f>
        <v/>
      </c>
      <c r="AD41" s="30" t="str">
        <f t="shared" si="87"/>
        <v/>
      </c>
      <c r="AE41" s="475" t="str">
        <f>IFERROR(__xludf.DUMMYFUNCTION("""COMPUTED_VALUE"""),"FLSP")</f>
        <v>FLSP</v>
      </c>
      <c r="AF41" s="476"/>
      <c r="AG41" s="474" t="s">
        <v>43</v>
      </c>
      <c r="AH41" s="138" t="str">
        <f t="shared" si="11"/>
        <v/>
      </c>
    </row>
    <row r="42">
      <c r="A42" s="103">
        <f>IFERROR(__xludf.DUMMYFUNCTION("""COMPUTED_VALUE"""),351467.0)</f>
        <v>351467</v>
      </c>
      <c r="B42" s="468">
        <f>IFERROR(__xludf.DUMMYFUNCTION("""COMPUTED_VALUE"""),44218.0)</f>
        <v>44218</v>
      </c>
      <c r="C42" s="469">
        <f>IFERROR(__xludf.DUMMYFUNCTION("""COMPUTED_VALUE"""),0.33414351851851853)</f>
        <v>0.3341435185</v>
      </c>
      <c r="D42" s="103" t="str">
        <f>IFERROR(__xludf.DUMMYFUNCTION("""COMPUTED_VALUE"""),"SpFLMP294811")</f>
        <v>SpFLMP294811</v>
      </c>
      <c r="E42" s="103"/>
      <c r="F42" s="103"/>
      <c r="G42" s="103" t="str">
        <f>IFERROR(__xludf.DUMMYFUNCTION("""COMPUTED_VALUE"""),"Negative")</f>
        <v>Negative</v>
      </c>
      <c r="H42" s="131" t="str">
        <f>IFERROR(__xludf.DUMMYFUNCTION("""COMPUTED_VALUE"""),"Negative")</f>
        <v>Negative</v>
      </c>
      <c r="I42" s="468">
        <f>IFERROR(__xludf.DUMMYFUNCTION("""COMPUTED_VALUE"""),44250.0)</f>
        <v>44250</v>
      </c>
      <c r="J42" s="470">
        <f>IFERROR(__xludf.DUMMYFUNCTION("""COMPUTED_VALUE"""),0.3905324074074074)</f>
        <v>0.3905324074</v>
      </c>
      <c r="K42" s="16"/>
      <c r="L42" s="8"/>
      <c r="M42" s="69"/>
      <c r="N42" s="69">
        <f>IFERROR(__xludf.DUMMYFUNCTION("""COMPUTED_VALUE"""),3.0)</f>
        <v>3</v>
      </c>
      <c r="O42" s="69" t="str">
        <f t="shared" si="3"/>
        <v/>
      </c>
      <c r="P42" s="471">
        <f>IFERROR(__xludf.DUMMYFUNCTION("""COMPUTED_VALUE"""),32.0)</f>
        <v>32</v>
      </c>
      <c r="Q42" s="274" t="b">
        <f>VLOOKUP($B42,'Run Reconcile'!B$2:O2488,14,FALSE)</f>
        <v>1</v>
      </c>
      <c r="R42" s="472" t="str">
        <f t="array" ref="R42">IF($Q42, INDEX('Run Reconcile'!A$2:A2488,MATCH(B42,'Run Reconcile'!B$2:B2488,0),1),IFERROR(0/0,""))</f>
        <v>RUN-FLMP_2021-01-22_APS-011</v>
      </c>
      <c r="S42" s="473" t="str">
        <f t="shared" ref="S42:T42" si="88">IF(COUNTIF(W$2:W2488, $A42) &gt; 0,TRUE,IFERROR(0/0,""))</f>
        <v/>
      </c>
      <c r="T42" s="473" t="str">
        <f t="shared" si="88"/>
        <v/>
      </c>
      <c r="U42" s="275" t="str">
        <f t="array" ref="U42">IF(ISBLANK($R42), INDEX('Run Reconcile'!A$2:A2488, MATCH($B42, 'Run Reconcile'!B$2:B2488, 0)+Z42, 1), IFERROR(0/0,""))
</f>
        <v/>
      </c>
      <c r="V42" s="474" t="str">
        <f t="shared" si="5"/>
        <v>RUN-FLMP_2021-01-22_APS-011</v>
      </c>
      <c r="Y42" s="89" t="str">
        <f t="shared" si="6"/>
        <v/>
      </c>
      <c r="Z42" s="60" t="str">
        <f t="shared" si="7"/>
        <v/>
      </c>
      <c r="AA42" s="60" t="str">
        <f t="shared" si="8"/>
        <v/>
      </c>
      <c r="AB42" s="60" t="str">
        <f t="shared" si="9"/>
        <v/>
      </c>
      <c r="AC42" s="30" t="str">
        <f t="shared" ref="AC42:AD42" si="89">IF(_xlfn.ISFORMULA(S42),IFERROR(0/0,""),TRUE)</f>
        <v/>
      </c>
      <c r="AD42" s="30" t="str">
        <f t="shared" si="89"/>
        <v/>
      </c>
      <c r="AE42" s="475" t="str">
        <f>IFERROR(__xludf.DUMMYFUNCTION("""COMPUTED_VALUE"""),"FLSP")</f>
        <v>FLSP</v>
      </c>
      <c r="AF42" s="476"/>
      <c r="AG42" s="474" t="s">
        <v>43</v>
      </c>
      <c r="AH42" s="138" t="str">
        <f t="shared" si="11"/>
        <v/>
      </c>
    </row>
    <row r="43">
      <c r="A43" s="103">
        <f>IFERROR(__xludf.DUMMYFUNCTION("""COMPUTED_VALUE"""),360027.0)</f>
        <v>360027</v>
      </c>
      <c r="B43" s="468">
        <f>IFERROR(__xludf.DUMMYFUNCTION("""COMPUTED_VALUE"""),44218.0)</f>
        <v>44218</v>
      </c>
      <c r="C43" s="469">
        <f>IFERROR(__xludf.DUMMYFUNCTION("""COMPUTED_VALUE"""),0.3347569444444444)</f>
        <v>0.3347569444</v>
      </c>
      <c r="D43" s="103" t="str">
        <f>IFERROR(__xludf.DUMMYFUNCTION("""COMPUTED_VALUE"""),"SpFLMP294811")</f>
        <v>SpFLMP294811</v>
      </c>
      <c r="E43" s="103"/>
      <c r="F43" s="103"/>
      <c r="G43" s="103" t="str">
        <f>IFERROR(__xludf.DUMMYFUNCTION("""COMPUTED_VALUE"""),"Negative")</f>
        <v>Negative</v>
      </c>
      <c r="H43" s="131" t="str">
        <f>IFERROR(__xludf.DUMMYFUNCTION("""COMPUTED_VALUE"""),"Negative")</f>
        <v>Negative</v>
      </c>
      <c r="I43" s="468">
        <f>IFERROR(__xludf.DUMMYFUNCTION("""COMPUTED_VALUE"""),44250.0)</f>
        <v>44250</v>
      </c>
      <c r="J43" s="470">
        <f>IFERROR(__xludf.DUMMYFUNCTION("""COMPUTED_VALUE"""),0.3905324074074074)</f>
        <v>0.3905324074</v>
      </c>
      <c r="K43" s="16"/>
      <c r="L43" s="8"/>
      <c r="M43" s="69"/>
      <c r="N43" s="69">
        <f>IFERROR(__xludf.DUMMYFUNCTION("""COMPUTED_VALUE"""),1.0)</f>
        <v>1</v>
      </c>
      <c r="O43" s="69" t="str">
        <f t="shared" si="3"/>
        <v/>
      </c>
      <c r="P43" s="471">
        <f>IFERROR(__xludf.DUMMYFUNCTION("""COMPUTED_VALUE"""),32.0)</f>
        <v>32</v>
      </c>
      <c r="Q43" s="274" t="b">
        <f>VLOOKUP($B43,'Run Reconcile'!B$2:O2488,14,FALSE)</f>
        <v>1</v>
      </c>
      <c r="R43" s="472" t="str">
        <f t="array" ref="R43">IF($Q43, INDEX('Run Reconcile'!A$2:A2488,MATCH(B43,'Run Reconcile'!B$2:B2488,0),1),IFERROR(0/0,""))</f>
        <v>RUN-FLMP_2021-01-22_APS-011</v>
      </c>
      <c r="S43" s="473" t="str">
        <f t="shared" ref="S43:T43" si="90">IF(COUNTIF(W$2:W2488, $A43) &gt; 0,TRUE,IFERROR(0/0,""))</f>
        <v/>
      </c>
      <c r="T43" s="473" t="str">
        <f t="shared" si="90"/>
        <v/>
      </c>
      <c r="U43" s="275" t="str">
        <f t="array" ref="U43">IF(ISBLANK($R43), INDEX('Run Reconcile'!A$2:A2488, MATCH($B43, 'Run Reconcile'!B$2:B2488, 0)+Z43, 1), IFERROR(0/0,""))
</f>
        <v/>
      </c>
      <c r="V43" s="474" t="str">
        <f t="shared" si="5"/>
        <v>RUN-FLMP_2021-01-22_APS-011</v>
      </c>
      <c r="Y43" s="89" t="str">
        <f t="shared" si="6"/>
        <v/>
      </c>
      <c r="Z43" s="60" t="str">
        <f t="shared" si="7"/>
        <v/>
      </c>
      <c r="AA43" s="60" t="str">
        <f t="shared" si="8"/>
        <v/>
      </c>
      <c r="AB43" s="60" t="str">
        <f t="shared" si="9"/>
        <v/>
      </c>
      <c r="AC43" s="30" t="str">
        <f t="shared" ref="AC43:AD43" si="91">IF(_xlfn.ISFORMULA(S43),IFERROR(0/0,""),TRUE)</f>
        <v/>
      </c>
      <c r="AD43" s="30" t="str">
        <f t="shared" si="91"/>
        <v/>
      </c>
      <c r="AE43" s="475" t="str">
        <f>IFERROR(__xludf.DUMMYFUNCTION("""COMPUTED_VALUE"""),"FLSP")</f>
        <v>FLSP</v>
      </c>
      <c r="AF43" s="476"/>
      <c r="AG43" s="474" t="s">
        <v>43</v>
      </c>
      <c r="AH43" s="138" t="str">
        <f t="shared" si="11"/>
        <v/>
      </c>
    </row>
    <row r="44">
      <c r="A44" s="103">
        <f>IFERROR(__xludf.DUMMYFUNCTION("""COMPUTED_VALUE"""),360035.0)</f>
        <v>360035</v>
      </c>
      <c r="B44" s="468">
        <f>IFERROR(__xludf.DUMMYFUNCTION("""COMPUTED_VALUE"""),44218.0)</f>
        <v>44218</v>
      </c>
      <c r="C44" s="469">
        <f>IFERROR(__xludf.DUMMYFUNCTION("""COMPUTED_VALUE"""),0.3380324074074074)</f>
        <v>0.3380324074</v>
      </c>
      <c r="D44" s="103" t="str">
        <f>IFERROR(__xludf.DUMMYFUNCTION("""COMPUTED_VALUE"""),"SpFLMP294811")</f>
        <v>SpFLMP294811</v>
      </c>
      <c r="E44" s="103"/>
      <c r="F44" s="103"/>
      <c r="G44" s="103" t="str">
        <f>IFERROR(__xludf.DUMMYFUNCTION("""COMPUTED_VALUE"""),"Negative")</f>
        <v>Negative</v>
      </c>
      <c r="H44" s="131" t="str">
        <f>IFERROR(__xludf.DUMMYFUNCTION("""COMPUTED_VALUE"""),"Negative")</f>
        <v>Negative</v>
      </c>
      <c r="I44" s="468">
        <f>IFERROR(__xludf.DUMMYFUNCTION("""COMPUTED_VALUE"""),44250.0)</f>
        <v>44250</v>
      </c>
      <c r="J44" s="470">
        <f>IFERROR(__xludf.DUMMYFUNCTION("""COMPUTED_VALUE"""),0.3905324074074074)</f>
        <v>0.3905324074</v>
      </c>
      <c r="K44" s="16"/>
      <c r="L44" s="8"/>
      <c r="M44" s="69"/>
      <c r="N44" s="69">
        <f>IFERROR(__xludf.DUMMYFUNCTION("""COMPUTED_VALUE"""),1.0)</f>
        <v>1</v>
      </c>
      <c r="O44" s="69" t="str">
        <f t="shared" si="3"/>
        <v/>
      </c>
      <c r="P44" s="471">
        <f>IFERROR(__xludf.DUMMYFUNCTION("""COMPUTED_VALUE"""),32.0)</f>
        <v>32</v>
      </c>
      <c r="Q44" s="274" t="b">
        <f>VLOOKUP($B44,'Run Reconcile'!B$2:O2488,14,FALSE)</f>
        <v>1</v>
      </c>
      <c r="R44" s="472" t="str">
        <f t="array" ref="R44">IF($Q44, INDEX('Run Reconcile'!A$2:A2488,MATCH(B44,'Run Reconcile'!B$2:B2488,0),1),IFERROR(0/0,""))</f>
        <v>RUN-FLMP_2021-01-22_APS-011</v>
      </c>
      <c r="S44" s="473" t="str">
        <f t="shared" ref="S44:T44" si="92">IF(COUNTIF(W$2:W2488, $A44) &gt; 0,TRUE,IFERROR(0/0,""))</f>
        <v/>
      </c>
      <c r="T44" s="473" t="str">
        <f t="shared" si="92"/>
        <v/>
      </c>
      <c r="U44" s="275" t="str">
        <f t="array" ref="U44">IF(ISBLANK($R44), INDEX('Run Reconcile'!A$2:A2488, MATCH($B44, 'Run Reconcile'!B$2:B2488, 0)+Z44, 1), IFERROR(0/0,""))
</f>
        <v/>
      </c>
      <c r="V44" s="474" t="str">
        <f t="shared" si="5"/>
        <v>RUN-FLMP_2021-01-22_APS-011</v>
      </c>
      <c r="Y44" s="89" t="str">
        <f t="shared" si="6"/>
        <v/>
      </c>
      <c r="Z44" s="60" t="str">
        <f t="shared" si="7"/>
        <v/>
      </c>
      <c r="AA44" s="60" t="str">
        <f t="shared" si="8"/>
        <v/>
      </c>
      <c r="AB44" s="60" t="str">
        <f t="shared" si="9"/>
        <v/>
      </c>
      <c r="AC44" s="30" t="str">
        <f t="shared" ref="AC44:AD44" si="93">IF(_xlfn.ISFORMULA(S44),IFERROR(0/0,""),TRUE)</f>
        <v/>
      </c>
      <c r="AD44" s="30" t="str">
        <f t="shared" si="93"/>
        <v/>
      </c>
      <c r="AE44" s="475" t="str">
        <f>IFERROR(__xludf.DUMMYFUNCTION("""COMPUTED_VALUE"""),"FLSP")</f>
        <v>FLSP</v>
      </c>
      <c r="AF44" s="476"/>
      <c r="AG44" s="474" t="s">
        <v>43</v>
      </c>
      <c r="AH44" s="138" t="str">
        <f t="shared" si="11"/>
        <v/>
      </c>
    </row>
    <row r="45">
      <c r="A45" s="103">
        <f>IFERROR(__xludf.DUMMYFUNCTION("""COMPUTED_VALUE"""),360021.0)</f>
        <v>360021</v>
      </c>
      <c r="B45" s="468">
        <f>IFERROR(__xludf.DUMMYFUNCTION("""COMPUTED_VALUE"""),44220.0)</f>
        <v>44220</v>
      </c>
      <c r="C45" s="469">
        <f>IFERROR(__xludf.DUMMYFUNCTION("""COMPUTED_VALUE"""),0.8596759259259259)</f>
        <v>0.8596759259</v>
      </c>
      <c r="D45" s="103" t="str">
        <f>IFERROR(__xludf.DUMMYFUNCTION("""COMPUTED_VALUE"""),"SpFLMP634683")</f>
        <v>SpFLMP634683</v>
      </c>
      <c r="E45" s="103"/>
      <c r="F45" s="103"/>
      <c r="G45" s="103" t="str">
        <f>IFERROR(__xludf.DUMMYFUNCTION("""COMPUTED_VALUE"""),"Null")</f>
        <v>Null</v>
      </c>
      <c r="H45" s="131" t="str">
        <f>IFERROR(__xludf.DUMMYFUNCTION("""COMPUTED_VALUE"""),"Negative")</f>
        <v>Negative</v>
      </c>
      <c r="I45" s="468"/>
      <c r="J45" s="16"/>
      <c r="K45" s="16">
        <f>IFERROR(__xludf.DUMMYFUNCTION("""COMPUTED_VALUE"""),2.0)</f>
        <v>2</v>
      </c>
      <c r="L45" s="8"/>
      <c r="M45" s="69"/>
      <c r="N45" s="69">
        <f>IFERROR(__xludf.DUMMYFUNCTION("""COMPUTED_VALUE"""),4.0)</f>
        <v>4</v>
      </c>
      <c r="O45" s="69" t="b">
        <f t="shared" si="3"/>
        <v>1</v>
      </c>
      <c r="P45" s="471">
        <f>IFERROR(__xludf.DUMMYFUNCTION("""COMPUTED_VALUE"""),-1.0)</f>
        <v>-1</v>
      </c>
      <c r="Q45" s="274" t="b">
        <f>VLOOKUP($B45,'Run Reconcile'!B$2:O2488,14,FALSE)</f>
        <v>1</v>
      </c>
      <c r="R45" s="472" t="str">
        <f t="array" ref="R45">IF($Q45, INDEX('Run Reconcile'!A$2:A2488,MATCH(B45,'Run Reconcile'!B$2:B2488,0),1),IFERROR(0/0,""))</f>
        <v>RUN-FLMP_2021-01-24_APS-012</v>
      </c>
      <c r="S45" s="473" t="str">
        <f t="shared" ref="S45:T45" si="94">IF(COUNTIF(W$2:W2488, $A45) &gt; 0,TRUE,IFERROR(0/0,""))</f>
        <v/>
      </c>
      <c r="T45" s="473" t="str">
        <f t="shared" si="94"/>
        <v/>
      </c>
      <c r="U45" s="275" t="str">
        <f t="array" ref="U45">IF(ISBLANK($R45), INDEX('Run Reconcile'!A$2:A2488, MATCH($B45, 'Run Reconcile'!B$2:B2488, 0)+Z45, 1), IFERROR(0/0,""))
</f>
        <v/>
      </c>
      <c r="V45" s="474" t="str">
        <f t="shared" si="5"/>
        <v>RUN-FLMP_2021-01-24_APS-012</v>
      </c>
      <c r="Y45" s="89" t="str">
        <f t="shared" si="6"/>
        <v/>
      </c>
      <c r="Z45" s="60" t="str">
        <f t="shared" si="7"/>
        <v/>
      </c>
      <c r="AA45" s="60" t="str">
        <f t="shared" si="8"/>
        <v/>
      </c>
      <c r="AB45" s="60" t="str">
        <f t="shared" si="9"/>
        <v/>
      </c>
      <c r="AC45" s="30" t="str">
        <f t="shared" ref="AC45:AD45" si="95">IF(_xlfn.ISFORMULA(S45),IFERROR(0/0,""),TRUE)</f>
        <v/>
      </c>
      <c r="AD45" s="30" t="str">
        <f t="shared" si="95"/>
        <v/>
      </c>
      <c r="AE45" s="475" t="str">
        <f>IFERROR(__xludf.DUMMYFUNCTION("""COMPUTED_VALUE"""),"FLSP")</f>
        <v>FLSP</v>
      </c>
      <c r="AF45" s="476"/>
      <c r="AG45" s="474" t="s">
        <v>44</v>
      </c>
      <c r="AH45" s="138" t="str">
        <f t="shared" si="11"/>
        <v/>
      </c>
    </row>
    <row r="46">
      <c r="A46" s="103">
        <f>IFERROR(__xludf.DUMMYFUNCTION("""COMPUTED_VALUE"""),360014.0)</f>
        <v>360014</v>
      </c>
      <c r="B46" s="468">
        <f>IFERROR(__xludf.DUMMYFUNCTION("""COMPUTED_VALUE"""),44220.0)</f>
        <v>44220</v>
      </c>
      <c r="C46" s="469">
        <f>IFERROR(__xludf.DUMMYFUNCTION("""COMPUTED_VALUE"""),0.8697337962962963)</f>
        <v>0.8697337963</v>
      </c>
      <c r="D46" s="103" t="str">
        <f>IFERROR(__xludf.DUMMYFUNCTION("""COMPUTED_VALUE"""),"SpFLMP626948")</f>
        <v>SpFLMP626948</v>
      </c>
      <c r="E46" s="103"/>
      <c r="F46" s="103"/>
      <c r="G46" s="103" t="str">
        <f>IFERROR(__xludf.DUMMYFUNCTION("""COMPUTED_VALUE"""),"Negative")</f>
        <v>Negative</v>
      </c>
      <c r="H46" s="131" t="str">
        <f>IFERROR(__xludf.DUMMYFUNCTION("""COMPUTED_VALUE"""),"Negative")</f>
        <v>Negative</v>
      </c>
      <c r="I46" s="468">
        <f>IFERROR(__xludf.DUMMYFUNCTION("""COMPUTED_VALUE"""),44250.0)</f>
        <v>44250</v>
      </c>
      <c r="J46" s="470">
        <f>IFERROR(__xludf.DUMMYFUNCTION("""COMPUTED_VALUE"""),0.3905324074074074)</f>
        <v>0.3905324074</v>
      </c>
      <c r="K46" s="16"/>
      <c r="L46" s="8"/>
      <c r="M46" s="69"/>
      <c r="N46" s="69">
        <f>IFERROR(__xludf.DUMMYFUNCTION("""COMPUTED_VALUE"""),2.0)</f>
        <v>2</v>
      </c>
      <c r="O46" s="69" t="str">
        <f t="shared" si="3"/>
        <v/>
      </c>
      <c r="P46" s="471">
        <f>IFERROR(__xludf.DUMMYFUNCTION("""COMPUTED_VALUE"""),30.0)</f>
        <v>30</v>
      </c>
      <c r="Q46" s="274" t="b">
        <f>VLOOKUP($B46,'Run Reconcile'!B$2:O2488,14,FALSE)</f>
        <v>1</v>
      </c>
      <c r="R46" s="472" t="str">
        <f t="array" ref="R46">IF($Q46, INDEX('Run Reconcile'!A$2:A2488,MATCH(B46,'Run Reconcile'!B$2:B2488,0),1),IFERROR(0/0,""))</f>
        <v>RUN-FLMP_2021-01-24_APS-012</v>
      </c>
      <c r="S46" s="473" t="str">
        <f t="shared" ref="S46:T46" si="96">IF(COUNTIF(W$2:W2488, $A46) &gt; 0,TRUE,IFERROR(0/0,""))</f>
        <v/>
      </c>
      <c r="T46" s="473" t="str">
        <f t="shared" si="96"/>
        <v/>
      </c>
      <c r="U46" s="275" t="str">
        <f t="array" ref="U46">IF(ISBLANK($R46), INDEX('Run Reconcile'!A$2:A2488, MATCH($B46, 'Run Reconcile'!B$2:B2488, 0)+Z46, 1), IFERROR(0/0,""))
</f>
        <v/>
      </c>
      <c r="V46" s="474" t="str">
        <f t="shared" si="5"/>
        <v>RUN-FLMP_2021-01-24_APS-012</v>
      </c>
      <c r="Y46" s="89" t="str">
        <f t="shared" si="6"/>
        <v/>
      </c>
      <c r="Z46" s="60" t="str">
        <f t="shared" si="7"/>
        <v/>
      </c>
      <c r="AA46" s="60" t="str">
        <f t="shared" si="8"/>
        <v/>
      </c>
      <c r="AB46" s="60" t="str">
        <f t="shared" si="9"/>
        <v/>
      </c>
      <c r="AC46" s="30" t="str">
        <f t="shared" ref="AC46:AD46" si="97">IF(_xlfn.ISFORMULA(S46),IFERROR(0/0,""),TRUE)</f>
        <v/>
      </c>
      <c r="AD46" s="30" t="str">
        <f t="shared" si="97"/>
        <v/>
      </c>
      <c r="AE46" s="475" t="str">
        <f>IFERROR(__xludf.DUMMYFUNCTION("""COMPUTED_VALUE"""),"FLSP")</f>
        <v>FLSP</v>
      </c>
      <c r="AF46" s="476"/>
      <c r="AG46" s="474" t="s">
        <v>44</v>
      </c>
      <c r="AH46" s="138" t="str">
        <f t="shared" si="11"/>
        <v/>
      </c>
    </row>
    <row r="47">
      <c r="A47" s="103">
        <f>IFERROR(__xludf.DUMMYFUNCTION("""COMPUTED_VALUE"""),360045.0)</f>
        <v>360045</v>
      </c>
      <c r="B47" s="468">
        <f>IFERROR(__xludf.DUMMYFUNCTION("""COMPUTED_VALUE"""),44221.0)</f>
        <v>44221</v>
      </c>
      <c r="C47" s="469">
        <f>IFERROR(__xludf.DUMMYFUNCTION("""COMPUTED_VALUE"""),0.33618055555555554)</f>
        <v>0.3361805556</v>
      </c>
      <c r="D47" s="103" t="str">
        <f>IFERROR(__xludf.DUMMYFUNCTION("""COMPUTED_VALUE"""),"SpFLMP294811")</f>
        <v>SpFLMP294811</v>
      </c>
      <c r="E47" s="103"/>
      <c r="F47" s="103"/>
      <c r="G47" s="103" t="str">
        <f>IFERROR(__xludf.DUMMYFUNCTION("""COMPUTED_VALUE"""),"Negative")</f>
        <v>Negative</v>
      </c>
      <c r="H47" s="131" t="str">
        <f>IFERROR(__xludf.DUMMYFUNCTION("""COMPUTED_VALUE"""),"Negative")</f>
        <v>Negative</v>
      </c>
      <c r="I47" s="468">
        <f>IFERROR(__xludf.DUMMYFUNCTION("""COMPUTED_VALUE"""),44250.0)</f>
        <v>44250</v>
      </c>
      <c r="J47" s="470">
        <f>IFERROR(__xludf.DUMMYFUNCTION("""COMPUTED_VALUE"""),0.3905324074074074)</f>
        <v>0.3905324074</v>
      </c>
      <c r="K47" s="16"/>
      <c r="L47" s="8"/>
      <c r="M47" s="69"/>
      <c r="N47" s="69">
        <f>IFERROR(__xludf.DUMMYFUNCTION("""COMPUTED_VALUE"""),1.0)</f>
        <v>1</v>
      </c>
      <c r="O47" s="69" t="b">
        <f t="shared" si="3"/>
        <v>1</v>
      </c>
      <c r="P47" s="471">
        <f>IFERROR(__xludf.DUMMYFUNCTION("""COMPUTED_VALUE"""),29.0)</f>
        <v>29</v>
      </c>
      <c r="Q47" s="274" t="b">
        <f>VLOOKUP($B47,'Run Reconcile'!B$2:O2488,14,FALSE)</f>
        <v>1</v>
      </c>
      <c r="R47" s="472" t="str">
        <f t="array" ref="R47">IF($Q47, INDEX('Run Reconcile'!A$2:A2488,MATCH(B47,'Run Reconcile'!B$2:B2488,0),1),IFERROR(0/0,""))</f>
        <v>RUN-FLMP_2021-01-25_APS-013</v>
      </c>
      <c r="S47" s="473" t="str">
        <f t="shared" ref="S47:T47" si="98">IF(COUNTIF(W$2:W2488, $A47) &gt; 0,TRUE,IFERROR(0/0,""))</f>
        <v/>
      </c>
      <c r="T47" s="473" t="str">
        <f t="shared" si="98"/>
        <v/>
      </c>
      <c r="U47" s="275" t="str">
        <f t="array" ref="U47">IF(ISBLANK($R47), INDEX('Run Reconcile'!A$2:A2488, MATCH($B47, 'Run Reconcile'!B$2:B2488, 0)+Z47, 1), IFERROR(0/0,""))
</f>
        <v/>
      </c>
      <c r="V47" s="474" t="str">
        <f t="shared" si="5"/>
        <v>RUN-FLMP_2021-01-25_APS-013</v>
      </c>
      <c r="Y47" s="89" t="str">
        <f t="shared" si="6"/>
        <v/>
      </c>
      <c r="Z47" s="60" t="str">
        <f t="shared" si="7"/>
        <v/>
      </c>
      <c r="AA47" s="60" t="str">
        <f t="shared" si="8"/>
        <v/>
      </c>
      <c r="AB47" s="60" t="str">
        <f t="shared" si="9"/>
        <v/>
      </c>
      <c r="AC47" s="30" t="str">
        <f t="shared" ref="AC47:AD47" si="99">IF(_xlfn.ISFORMULA(S47),IFERROR(0/0,""),TRUE)</f>
        <v/>
      </c>
      <c r="AD47" s="30" t="str">
        <f t="shared" si="99"/>
        <v/>
      </c>
      <c r="AE47" s="475" t="str">
        <f>IFERROR(__xludf.DUMMYFUNCTION("""COMPUTED_VALUE"""),"FLSP")</f>
        <v>FLSP</v>
      </c>
      <c r="AF47" s="476"/>
      <c r="AG47" s="474" t="s">
        <v>45</v>
      </c>
      <c r="AH47" s="138" t="str">
        <f t="shared" si="11"/>
        <v/>
      </c>
    </row>
    <row r="48">
      <c r="A48" s="103" t="str">
        <f>IFERROR(__xludf.DUMMYFUNCTION("""COMPUTED_VALUE"""),"D3940")</f>
        <v>D3940</v>
      </c>
      <c r="B48" s="468">
        <f>IFERROR(__xludf.DUMMYFUNCTION("""COMPUTED_VALUE"""),44221.0)</f>
        <v>44221</v>
      </c>
      <c r="C48" s="469">
        <f>IFERROR(__xludf.DUMMYFUNCTION("""COMPUTED_VALUE"""),0.3542013888888889)</f>
        <v>0.3542013889</v>
      </c>
      <c r="D48" s="103" t="str">
        <f>IFERROR(__xludf.DUMMYFUNCTION("""COMPUTED_VALUE"""),"SpFLMP959641")</f>
        <v>SpFLMP959641</v>
      </c>
      <c r="E48" s="103"/>
      <c r="F48" s="103"/>
      <c r="G48" s="103" t="str">
        <f>IFERROR(__xludf.DUMMYFUNCTION("""COMPUTED_VALUE"""),"Negative")</f>
        <v>Negative</v>
      </c>
      <c r="H48" s="131" t="str">
        <f>IFERROR(__xludf.DUMMYFUNCTION("""COMPUTED_VALUE"""),"Negative")</f>
        <v>Negative</v>
      </c>
      <c r="I48" s="468">
        <f>IFERROR(__xludf.DUMMYFUNCTION("""COMPUTED_VALUE"""),44250.0)</f>
        <v>44250</v>
      </c>
      <c r="J48" s="470">
        <f>IFERROR(__xludf.DUMMYFUNCTION("""COMPUTED_VALUE"""),0.3905324074074074)</f>
        <v>0.3905324074</v>
      </c>
      <c r="K48" s="16"/>
      <c r="L48" s="8"/>
      <c r="M48" s="69"/>
      <c r="N48" s="69">
        <f>IFERROR(__xludf.DUMMYFUNCTION("""COMPUTED_VALUE"""),4.0)</f>
        <v>4</v>
      </c>
      <c r="O48" s="69" t="str">
        <f t="shared" si="3"/>
        <v/>
      </c>
      <c r="P48" s="471">
        <f>IFERROR(__xludf.DUMMYFUNCTION("""COMPUTED_VALUE"""),29.0)</f>
        <v>29</v>
      </c>
      <c r="Q48" s="274" t="b">
        <f>VLOOKUP($B48,'Run Reconcile'!B$2:O2488,14,FALSE)</f>
        <v>1</v>
      </c>
      <c r="R48" s="472" t="str">
        <f t="array" ref="R48">IF($Q48, INDEX('Run Reconcile'!A$2:A2488,MATCH(B48,'Run Reconcile'!B$2:B2488,0),1),IFERROR(0/0,""))</f>
        <v>RUN-FLMP_2021-01-25_APS-013</v>
      </c>
      <c r="S48" s="473" t="str">
        <f t="shared" ref="S48:T48" si="100">IF(COUNTIF(W$2:W2488, $A48) &gt; 0,TRUE,IFERROR(0/0,""))</f>
        <v/>
      </c>
      <c r="T48" s="473" t="str">
        <f t="shared" si="100"/>
        <v/>
      </c>
      <c r="U48" s="275" t="str">
        <f t="array" ref="U48">IF(ISBLANK($R48), INDEX('Run Reconcile'!A$2:A2488, MATCH($B48, 'Run Reconcile'!B$2:B2488, 0)+Z48, 1), IFERROR(0/0,""))
</f>
        <v/>
      </c>
      <c r="V48" s="474" t="str">
        <f t="shared" si="5"/>
        <v>RUN-FLMP_2021-01-25_APS-013</v>
      </c>
      <c r="Y48" s="89" t="str">
        <f t="shared" si="6"/>
        <v/>
      </c>
      <c r="Z48" s="60" t="str">
        <f t="shared" si="7"/>
        <v/>
      </c>
      <c r="AA48" s="60" t="str">
        <f t="shared" si="8"/>
        <v/>
      </c>
      <c r="AB48" s="60" t="str">
        <f t="shared" si="9"/>
        <v/>
      </c>
      <c r="AC48" s="30" t="str">
        <f t="shared" ref="AC48:AD48" si="101">IF(_xlfn.ISFORMULA(S48),IFERROR(0/0,""),TRUE)</f>
        <v/>
      </c>
      <c r="AD48" s="30" t="str">
        <f t="shared" si="101"/>
        <v/>
      </c>
      <c r="AE48" s="475" t="str">
        <f>IFERROR(__xludf.DUMMYFUNCTION("""COMPUTED_VALUE"""),"FLSP")</f>
        <v>FLSP</v>
      </c>
      <c r="AF48" s="476"/>
      <c r="AG48" s="474" t="s">
        <v>45</v>
      </c>
      <c r="AH48" s="138" t="str">
        <f t="shared" si="11"/>
        <v/>
      </c>
    </row>
    <row r="49">
      <c r="A49" s="103">
        <f>IFERROR(__xludf.DUMMYFUNCTION("""COMPUTED_VALUE"""),336382.0)</f>
        <v>336382</v>
      </c>
      <c r="B49" s="468">
        <f>IFERROR(__xludf.DUMMYFUNCTION("""COMPUTED_VALUE"""),44221.0)</f>
        <v>44221</v>
      </c>
      <c r="C49" s="469">
        <f>IFERROR(__xludf.DUMMYFUNCTION("""COMPUTED_VALUE"""),0.3662152777777778)</f>
        <v>0.3662152778</v>
      </c>
      <c r="D49" s="103" t="str">
        <f>IFERROR(__xludf.DUMMYFUNCTION("""COMPUTED_VALUE"""),"SpFLMP959641")</f>
        <v>SpFLMP959641</v>
      </c>
      <c r="E49" s="103"/>
      <c r="F49" s="103"/>
      <c r="G49" s="103" t="str">
        <f>IFERROR(__xludf.DUMMYFUNCTION("""COMPUTED_VALUE"""),"Negative")</f>
        <v>Negative</v>
      </c>
      <c r="H49" s="131" t="str">
        <f>IFERROR(__xludf.DUMMYFUNCTION("""COMPUTED_VALUE"""),"Negative")</f>
        <v>Negative</v>
      </c>
      <c r="I49" s="468">
        <f>IFERROR(__xludf.DUMMYFUNCTION("""COMPUTED_VALUE"""),44250.0)</f>
        <v>44250</v>
      </c>
      <c r="J49" s="470">
        <f>IFERROR(__xludf.DUMMYFUNCTION("""COMPUTED_VALUE"""),0.3905324074074074)</f>
        <v>0.3905324074</v>
      </c>
      <c r="K49" s="16"/>
      <c r="L49" s="8"/>
      <c r="M49" s="69"/>
      <c r="N49" s="69">
        <f>IFERROR(__xludf.DUMMYFUNCTION("""COMPUTED_VALUE"""),1.0)</f>
        <v>1</v>
      </c>
      <c r="O49" s="69" t="str">
        <f t="shared" si="3"/>
        <v/>
      </c>
      <c r="P49" s="471">
        <f>IFERROR(__xludf.DUMMYFUNCTION("""COMPUTED_VALUE"""),29.0)</f>
        <v>29</v>
      </c>
      <c r="Q49" s="274" t="b">
        <f>VLOOKUP($B49,'Run Reconcile'!B$2:O2488,14,FALSE)</f>
        <v>1</v>
      </c>
      <c r="R49" s="472" t="str">
        <f t="array" ref="R49">IF($Q49, INDEX('Run Reconcile'!A$2:A2488,MATCH(B49,'Run Reconcile'!B$2:B2488,0),1),IFERROR(0/0,""))</f>
        <v>RUN-FLMP_2021-01-25_APS-013</v>
      </c>
      <c r="S49" s="473" t="str">
        <f t="shared" ref="S49:T49" si="102">IF(COUNTIF(W$2:W2488, $A49) &gt; 0,TRUE,IFERROR(0/0,""))</f>
        <v/>
      </c>
      <c r="T49" s="473" t="str">
        <f t="shared" si="102"/>
        <v/>
      </c>
      <c r="U49" s="275" t="str">
        <f t="array" ref="U49">IF(ISBLANK($R49), INDEX('Run Reconcile'!A$2:A2488, MATCH($B49, 'Run Reconcile'!B$2:B2488, 0)+Z49, 1), IFERROR(0/0,""))
</f>
        <v/>
      </c>
      <c r="V49" s="474" t="str">
        <f t="shared" si="5"/>
        <v>RUN-FLMP_2021-01-25_APS-013</v>
      </c>
      <c r="Y49" s="89" t="str">
        <f t="shared" si="6"/>
        <v/>
      </c>
      <c r="Z49" s="60" t="str">
        <f t="shared" si="7"/>
        <v/>
      </c>
      <c r="AA49" s="60" t="str">
        <f t="shared" si="8"/>
        <v/>
      </c>
      <c r="AB49" s="60" t="str">
        <f t="shared" si="9"/>
        <v/>
      </c>
      <c r="AC49" s="30" t="str">
        <f t="shared" ref="AC49:AD49" si="103">IF(_xlfn.ISFORMULA(S49),IFERROR(0/0,""),TRUE)</f>
        <v/>
      </c>
      <c r="AD49" s="30" t="str">
        <f t="shared" si="103"/>
        <v/>
      </c>
      <c r="AE49" s="475" t="str">
        <f>IFERROR(__xludf.DUMMYFUNCTION("""COMPUTED_VALUE"""),"FLSP")</f>
        <v>FLSP</v>
      </c>
      <c r="AF49" s="476"/>
      <c r="AG49" s="474" t="s">
        <v>45</v>
      </c>
      <c r="AH49" s="138" t="str">
        <f t="shared" si="11"/>
        <v/>
      </c>
    </row>
    <row r="50">
      <c r="A50" s="103" t="str">
        <f>IFERROR(__xludf.DUMMYFUNCTION("""COMPUTED_VALUE"""),"360021A")</f>
        <v>360021A</v>
      </c>
      <c r="B50" s="468">
        <f>IFERROR(__xludf.DUMMYFUNCTION("""COMPUTED_VALUE"""),44221.0)</f>
        <v>44221</v>
      </c>
      <c r="C50" s="469">
        <f>IFERROR(__xludf.DUMMYFUNCTION("""COMPUTED_VALUE"""),0.3677314814814815)</f>
        <v>0.3677314815</v>
      </c>
      <c r="D50" s="103" t="str">
        <f>IFERROR(__xludf.DUMMYFUNCTION("""COMPUTED_VALUE"""),"SpFLMP959641")</f>
        <v>SpFLMP959641</v>
      </c>
      <c r="E50" s="103"/>
      <c r="F50" s="103"/>
      <c r="G50" s="103" t="str">
        <f>IFERROR(__xludf.DUMMYFUNCTION("""COMPUTED_VALUE"""),"Negative")</f>
        <v>Negative</v>
      </c>
      <c r="H50" s="131" t="str">
        <f>IFERROR(__xludf.DUMMYFUNCTION("""COMPUTED_VALUE"""),"Negative")</f>
        <v>Negative</v>
      </c>
      <c r="I50" s="468">
        <f>IFERROR(__xludf.DUMMYFUNCTION("""COMPUTED_VALUE"""),44250.0)</f>
        <v>44250</v>
      </c>
      <c r="J50" s="470">
        <f>IFERROR(__xludf.DUMMYFUNCTION("""COMPUTED_VALUE"""),0.3905324074074074)</f>
        <v>0.3905324074</v>
      </c>
      <c r="K50" s="16"/>
      <c r="L50" s="8"/>
      <c r="M50" s="69"/>
      <c r="N50" s="69">
        <f>IFERROR(__xludf.DUMMYFUNCTION("""COMPUTED_VALUE"""),1.0)</f>
        <v>1</v>
      </c>
      <c r="O50" s="69" t="str">
        <f t="shared" si="3"/>
        <v/>
      </c>
      <c r="P50" s="471">
        <f>IFERROR(__xludf.DUMMYFUNCTION("""COMPUTED_VALUE"""),29.0)</f>
        <v>29</v>
      </c>
      <c r="Q50" s="274" t="b">
        <f>VLOOKUP($B50,'Run Reconcile'!B$2:O2488,14,FALSE)</f>
        <v>1</v>
      </c>
      <c r="R50" s="472" t="str">
        <f t="array" ref="R50">IF($Q50, INDEX('Run Reconcile'!A$2:A2488,MATCH(B50,'Run Reconcile'!B$2:B2488,0),1),IFERROR(0/0,""))</f>
        <v>RUN-FLMP_2021-01-25_APS-013</v>
      </c>
      <c r="S50" s="473" t="str">
        <f t="shared" ref="S50:T50" si="104">IF(COUNTIF(W$2:W2488, $A50) &gt; 0,TRUE,IFERROR(0/0,""))</f>
        <v/>
      </c>
      <c r="T50" s="473" t="str">
        <f t="shared" si="104"/>
        <v/>
      </c>
      <c r="U50" s="275" t="str">
        <f t="array" ref="U50">IF(ISBLANK($R50), INDEX('Run Reconcile'!A$2:A2488, MATCH($B50, 'Run Reconcile'!B$2:B2488, 0)+Z50, 1), IFERROR(0/0,""))
</f>
        <v/>
      </c>
      <c r="V50" s="474" t="str">
        <f t="shared" si="5"/>
        <v>RUN-FLMP_2021-01-25_APS-013</v>
      </c>
      <c r="Y50" s="89" t="str">
        <f t="shared" si="6"/>
        <v/>
      </c>
      <c r="Z50" s="60" t="str">
        <f t="shared" si="7"/>
        <v/>
      </c>
      <c r="AA50" s="60" t="str">
        <f t="shared" si="8"/>
        <v/>
      </c>
      <c r="AB50" s="60" t="str">
        <f t="shared" si="9"/>
        <v/>
      </c>
      <c r="AC50" s="30" t="str">
        <f t="shared" ref="AC50:AD50" si="105">IF(_xlfn.ISFORMULA(S50),IFERROR(0/0,""),TRUE)</f>
        <v/>
      </c>
      <c r="AD50" s="30" t="str">
        <f t="shared" si="105"/>
        <v/>
      </c>
      <c r="AE50" s="475" t="str">
        <f>IFERROR(__xludf.DUMMYFUNCTION("""COMPUTED_VALUE"""),"FLSP")</f>
        <v>FLSP</v>
      </c>
      <c r="AF50" s="476"/>
      <c r="AG50" s="474" t="s">
        <v>45</v>
      </c>
      <c r="AH50" s="138" t="str">
        <f t="shared" si="11"/>
        <v/>
      </c>
    </row>
    <row r="51">
      <c r="A51" s="103">
        <f>IFERROR(__xludf.DUMMYFUNCTION("""COMPUTED_VALUE"""),360015.0)</f>
        <v>360015</v>
      </c>
      <c r="B51" s="468">
        <f>IFERROR(__xludf.DUMMYFUNCTION("""COMPUTED_VALUE"""),44222.0)</f>
        <v>44222</v>
      </c>
      <c r="C51" s="469">
        <f>IFERROR(__xludf.DUMMYFUNCTION("""COMPUTED_VALUE"""),0.7698032407407407)</f>
        <v>0.7698032407</v>
      </c>
      <c r="D51" s="103" t="str">
        <f>IFERROR(__xludf.DUMMYFUNCTION("""COMPUTED_VALUE"""),"SpFLMP626948")</f>
        <v>SpFLMP626948</v>
      </c>
      <c r="E51" s="103"/>
      <c r="F51" s="103"/>
      <c r="G51" s="103" t="str">
        <f>IFERROR(__xludf.DUMMYFUNCTION("""COMPUTED_VALUE"""),"Negative")</f>
        <v>Negative</v>
      </c>
      <c r="H51" s="131" t="str">
        <f>IFERROR(__xludf.DUMMYFUNCTION("""COMPUTED_VALUE"""),"Negative")</f>
        <v>Negative</v>
      </c>
      <c r="I51" s="468">
        <f>IFERROR(__xludf.DUMMYFUNCTION("""COMPUTED_VALUE"""),44250.0)</f>
        <v>44250</v>
      </c>
      <c r="J51" s="470">
        <f>IFERROR(__xludf.DUMMYFUNCTION("""COMPUTED_VALUE"""),0.3905324074074074)</f>
        <v>0.3905324074</v>
      </c>
      <c r="K51" s="16"/>
      <c r="L51" s="8"/>
      <c r="M51" s="69"/>
      <c r="N51" s="69">
        <f>IFERROR(__xludf.DUMMYFUNCTION("""COMPUTED_VALUE"""),4.0)</f>
        <v>4</v>
      </c>
      <c r="O51" s="69" t="b">
        <f t="shared" si="3"/>
        <v>1</v>
      </c>
      <c r="P51" s="471">
        <f>IFERROR(__xludf.DUMMYFUNCTION("""COMPUTED_VALUE"""),28.0)</f>
        <v>28</v>
      </c>
      <c r="Q51" s="274" t="b">
        <f>VLOOKUP($B51,'Run Reconcile'!B$2:O2488,14,FALSE)</f>
        <v>1</v>
      </c>
      <c r="R51" s="472" t="str">
        <f t="array" ref="R51">IF($Q51, INDEX('Run Reconcile'!A$2:A2488,MATCH(B51,'Run Reconcile'!B$2:B2488,0),1),IFERROR(0/0,""))</f>
        <v>RUN-FLMP_2021-01-26_APS-014</v>
      </c>
      <c r="S51" s="473" t="str">
        <f t="shared" ref="S51:T51" si="106">IF(COUNTIF(W$2:W2488, $A51) &gt; 0,TRUE,IFERROR(0/0,""))</f>
        <v/>
      </c>
      <c r="T51" s="473" t="str">
        <f t="shared" si="106"/>
        <v/>
      </c>
      <c r="U51" s="275" t="str">
        <f t="array" ref="U51">IF(ISBLANK($R51), INDEX('Run Reconcile'!A$2:A2488, MATCH($B51, 'Run Reconcile'!B$2:B2488, 0)+Z51, 1), IFERROR(0/0,""))
</f>
        <v/>
      </c>
      <c r="V51" s="474" t="str">
        <f t="shared" si="5"/>
        <v>RUN-FLMP_2021-01-26_APS-014</v>
      </c>
      <c r="Y51" s="89" t="str">
        <f t="shared" si="6"/>
        <v/>
      </c>
      <c r="Z51" s="60" t="str">
        <f t="shared" si="7"/>
        <v/>
      </c>
      <c r="AA51" s="60" t="str">
        <f t="shared" si="8"/>
        <v/>
      </c>
      <c r="AB51" s="60" t="str">
        <f t="shared" si="9"/>
        <v/>
      </c>
      <c r="AC51" s="30" t="str">
        <f t="shared" ref="AC51:AD51" si="107">IF(_xlfn.ISFORMULA(S51),IFERROR(0/0,""),TRUE)</f>
        <v/>
      </c>
      <c r="AD51" s="30" t="str">
        <f t="shared" si="107"/>
        <v/>
      </c>
      <c r="AE51" s="475" t="str">
        <f>IFERROR(__xludf.DUMMYFUNCTION("""COMPUTED_VALUE"""),"FLSP")</f>
        <v>FLSP</v>
      </c>
      <c r="AF51" s="476"/>
      <c r="AG51" s="474" t="s">
        <v>46</v>
      </c>
      <c r="AH51" s="138" t="str">
        <f t="shared" si="11"/>
        <v/>
      </c>
    </row>
    <row r="52">
      <c r="A52" s="103">
        <f>IFERROR(__xludf.DUMMYFUNCTION("""COMPUTED_VALUE"""),336380.0)</f>
        <v>336380</v>
      </c>
      <c r="B52" s="468">
        <f>IFERROR(__xludf.DUMMYFUNCTION("""COMPUTED_VALUE"""),44222.0)</f>
        <v>44222</v>
      </c>
      <c r="C52" s="469">
        <f>IFERROR(__xludf.DUMMYFUNCTION("""COMPUTED_VALUE"""),0.8078819444444445)</f>
        <v>0.8078819444</v>
      </c>
      <c r="D52" s="103" t="str">
        <f>IFERROR(__xludf.DUMMYFUNCTION("""COMPUTED_VALUE"""),"SpFLMP870846")</f>
        <v>SpFLMP870846</v>
      </c>
      <c r="E52" s="103"/>
      <c r="F52" s="103"/>
      <c r="G52" s="103" t="str">
        <f>IFERROR(__xludf.DUMMYFUNCTION("""COMPUTED_VALUE"""),"Negative")</f>
        <v>Negative</v>
      </c>
      <c r="H52" s="131" t="str">
        <f>IFERROR(__xludf.DUMMYFUNCTION("""COMPUTED_VALUE"""),"Negative")</f>
        <v>Negative</v>
      </c>
      <c r="I52" s="468">
        <f>IFERROR(__xludf.DUMMYFUNCTION("""COMPUTED_VALUE"""),44250.0)</f>
        <v>44250</v>
      </c>
      <c r="J52" s="470">
        <f>IFERROR(__xludf.DUMMYFUNCTION("""COMPUTED_VALUE"""),0.3905324074074074)</f>
        <v>0.3905324074</v>
      </c>
      <c r="K52" s="16"/>
      <c r="L52" s="8"/>
      <c r="M52" s="69"/>
      <c r="N52" s="69">
        <f>IFERROR(__xludf.DUMMYFUNCTION("""COMPUTED_VALUE"""),1.0)</f>
        <v>1</v>
      </c>
      <c r="O52" s="69" t="str">
        <f t="shared" si="3"/>
        <v/>
      </c>
      <c r="P52" s="471">
        <f>IFERROR(__xludf.DUMMYFUNCTION("""COMPUTED_VALUE"""),28.0)</f>
        <v>28</v>
      </c>
      <c r="Q52" s="274" t="b">
        <f>VLOOKUP($B52,'Run Reconcile'!B$2:O2488,14,FALSE)</f>
        <v>1</v>
      </c>
      <c r="R52" s="472" t="str">
        <f t="array" ref="R52">IF($Q52, INDEX('Run Reconcile'!A$2:A2488,MATCH(B52,'Run Reconcile'!B$2:B2488,0),1),IFERROR(0/0,""))</f>
        <v>RUN-FLMP_2021-01-26_APS-014</v>
      </c>
      <c r="S52" s="473" t="str">
        <f t="shared" ref="S52:T52" si="108">IF(COUNTIF(W$2:W2488, $A52) &gt; 0,TRUE,IFERROR(0/0,""))</f>
        <v/>
      </c>
      <c r="T52" s="473" t="str">
        <f t="shared" si="108"/>
        <v/>
      </c>
      <c r="U52" s="275" t="str">
        <f t="array" ref="U52">IF(ISBLANK($R52), INDEX('Run Reconcile'!A$2:A2488, MATCH($B52, 'Run Reconcile'!B$2:B2488, 0)+Z52, 1), IFERROR(0/0,""))
</f>
        <v/>
      </c>
      <c r="V52" s="474" t="str">
        <f t="shared" si="5"/>
        <v>RUN-FLMP_2021-01-26_APS-014</v>
      </c>
      <c r="Y52" s="89" t="str">
        <f t="shared" si="6"/>
        <v/>
      </c>
      <c r="Z52" s="60" t="str">
        <f t="shared" si="7"/>
        <v/>
      </c>
      <c r="AA52" s="60" t="str">
        <f t="shared" si="8"/>
        <v/>
      </c>
      <c r="AB52" s="60" t="str">
        <f t="shared" si="9"/>
        <v/>
      </c>
      <c r="AC52" s="30" t="str">
        <f t="shared" ref="AC52:AD52" si="109">IF(_xlfn.ISFORMULA(S52),IFERROR(0/0,""),TRUE)</f>
        <v/>
      </c>
      <c r="AD52" s="30" t="str">
        <f t="shared" si="109"/>
        <v/>
      </c>
      <c r="AE52" s="475" t="str">
        <f>IFERROR(__xludf.DUMMYFUNCTION("""COMPUTED_VALUE"""),"FLSP")</f>
        <v>FLSP</v>
      </c>
      <c r="AF52" s="476"/>
      <c r="AG52" s="474" t="s">
        <v>46</v>
      </c>
      <c r="AH52" s="138" t="str">
        <f t="shared" si="11"/>
        <v/>
      </c>
    </row>
    <row r="53">
      <c r="A53" s="103">
        <f>IFERROR(__xludf.DUMMYFUNCTION("""COMPUTED_VALUE"""),360019.0)</f>
        <v>360019</v>
      </c>
      <c r="B53" s="468">
        <f>IFERROR(__xludf.DUMMYFUNCTION("""COMPUTED_VALUE"""),44222.0)</f>
        <v>44222</v>
      </c>
      <c r="C53" s="469">
        <f>IFERROR(__xludf.DUMMYFUNCTION("""COMPUTED_VALUE"""),0.8815046296296296)</f>
        <v>0.8815046296</v>
      </c>
      <c r="D53" s="103" t="str">
        <f>IFERROR(__xludf.DUMMYFUNCTION("""COMPUTED_VALUE"""),"SpFLMP634683")</f>
        <v>SpFLMP634683</v>
      </c>
      <c r="E53" s="103"/>
      <c r="F53" s="103"/>
      <c r="G53" s="103" t="str">
        <f>IFERROR(__xludf.DUMMYFUNCTION("""COMPUTED_VALUE"""),"Negative")</f>
        <v>Negative</v>
      </c>
      <c r="H53" s="131" t="str">
        <f>IFERROR(__xludf.DUMMYFUNCTION("""COMPUTED_VALUE"""),"Negative")</f>
        <v>Negative</v>
      </c>
      <c r="I53" s="468">
        <f>IFERROR(__xludf.DUMMYFUNCTION("""COMPUTED_VALUE"""),44250.0)</f>
        <v>44250</v>
      </c>
      <c r="J53" s="470">
        <f>IFERROR(__xludf.DUMMYFUNCTION("""COMPUTED_VALUE"""),0.3905324074074074)</f>
        <v>0.3905324074</v>
      </c>
      <c r="K53" s="16"/>
      <c r="L53" s="8"/>
      <c r="M53" s="69"/>
      <c r="N53" s="69">
        <f>IFERROR(__xludf.DUMMYFUNCTION("""COMPUTED_VALUE"""),4.0)</f>
        <v>4</v>
      </c>
      <c r="O53" s="69" t="str">
        <f t="shared" si="3"/>
        <v/>
      </c>
      <c r="P53" s="471">
        <f>IFERROR(__xludf.DUMMYFUNCTION("""COMPUTED_VALUE"""),28.0)</f>
        <v>28</v>
      </c>
      <c r="Q53" s="274" t="b">
        <f>VLOOKUP($B53,'Run Reconcile'!B$2:O2488,14,FALSE)</f>
        <v>1</v>
      </c>
      <c r="R53" s="472" t="str">
        <f t="array" ref="R53">IF($Q53, INDEX('Run Reconcile'!A$2:A2488,MATCH(B53,'Run Reconcile'!B$2:B2488,0),1),IFERROR(0/0,""))</f>
        <v>RUN-FLMP_2021-01-26_APS-014</v>
      </c>
      <c r="S53" s="473" t="str">
        <f t="shared" ref="S53:T53" si="110">IF(COUNTIF(W$2:W2488, $A53) &gt; 0,TRUE,IFERROR(0/0,""))</f>
        <v/>
      </c>
      <c r="T53" s="473" t="str">
        <f t="shared" si="110"/>
        <v/>
      </c>
      <c r="U53" s="275" t="str">
        <f t="array" ref="U53">IF(ISBLANK($R53), INDEX('Run Reconcile'!A$2:A2488, MATCH($B53, 'Run Reconcile'!B$2:B2488, 0)+Z53, 1), IFERROR(0/0,""))
</f>
        <v/>
      </c>
      <c r="V53" s="474" t="str">
        <f t="shared" si="5"/>
        <v>RUN-FLMP_2021-01-26_APS-014</v>
      </c>
      <c r="Y53" s="89" t="str">
        <f t="shared" si="6"/>
        <v/>
      </c>
      <c r="Z53" s="60" t="str">
        <f t="shared" si="7"/>
        <v/>
      </c>
      <c r="AA53" s="60" t="str">
        <f t="shared" si="8"/>
        <v/>
      </c>
      <c r="AB53" s="60" t="str">
        <f t="shared" si="9"/>
        <v/>
      </c>
      <c r="AC53" s="30" t="str">
        <f t="shared" ref="AC53:AD53" si="111">IF(_xlfn.ISFORMULA(S53),IFERROR(0/0,""),TRUE)</f>
        <v/>
      </c>
      <c r="AD53" s="30" t="str">
        <f t="shared" si="111"/>
        <v/>
      </c>
      <c r="AE53" s="475" t="str">
        <f>IFERROR(__xludf.DUMMYFUNCTION("""COMPUTED_VALUE"""),"FLSP")</f>
        <v>FLSP</v>
      </c>
      <c r="AF53" s="476"/>
      <c r="AG53" s="474" t="s">
        <v>46</v>
      </c>
      <c r="AH53" s="138" t="str">
        <f t="shared" si="11"/>
        <v/>
      </c>
    </row>
    <row r="54">
      <c r="A54" s="103">
        <f>IFERROR(__xludf.DUMMYFUNCTION("""COMPUTED_VALUE"""),360047.0)</f>
        <v>360047</v>
      </c>
      <c r="B54" s="468">
        <f>IFERROR(__xludf.DUMMYFUNCTION("""COMPUTED_VALUE"""),44223.0)</f>
        <v>44223</v>
      </c>
      <c r="C54" s="469">
        <f>IFERROR(__xludf.DUMMYFUNCTION("""COMPUTED_VALUE"""),0.33541666666666664)</f>
        <v>0.3354166667</v>
      </c>
      <c r="D54" s="103" t="str">
        <f>IFERROR(__xludf.DUMMYFUNCTION("""COMPUTED_VALUE"""),"SpFLMP294811")</f>
        <v>SpFLMP294811</v>
      </c>
      <c r="E54" s="103"/>
      <c r="F54" s="103"/>
      <c r="G54" s="103" t="str">
        <f>IFERROR(__xludf.DUMMYFUNCTION("""COMPUTED_VALUE"""),"Negative")</f>
        <v>Negative</v>
      </c>
      <c r="H54" s="131" t="str">
        <f>IFERROR(__xludf.DUMMYFUNCTION("""COMPUTED_VALUE"""),"Negative")</f>
        <v>Negative</v>
      </c>
      <c r="I54" s="468">
        <f>IFERROR(__xludf.DUMMYFUNCTION("""COMPUTED_VALUE"""),44250.0)</f>
        <v>44250</v>
      </c>
      <c r="J54" s="470">
        <f>IFERROR(__xludf.DUMMYFUNCTION("""COMPUTED_VALUE"""),0.3905324074074074)</f>
        <v>0.3905324074</v>
      </c>
      <c r="K54" s="16"/>
      <c r="L54" s="8"/>
      <c r="M54" s="69"/>
      <c r="N54" s="69">
        <f>IFERROR(__xludf.DUMMYFUNCTION("""COMPUTED_VALUE"""),1.0)</f>
        <v>1</v>
      </c>
      <c r="O54" s="69" t="b">
        <f t="shared" si="3"/>
        <v>1</v>
      </c>
      <c r="P54" s="471">
        <f>IFERROR(__xludf.DUMMYFUNCTION("""COMPUTED_VALUE"""),27.0)</f>
        <v>27</v>
      </c>
      <c r="Q54" s="274" t="b">
        <f>VLOOKUP($B54,'Run Reconcile'!B$2:O2488,14,FALSE)</f>
        <v>1</v>
      </c>
      <c r="R54" s="472" t="str">
        <f t="array" ref="R54">IF($Q54, INDEX('Run Reconcile'!A$2:A2488,MATCH(B54,'Run Reconcile'!B$2:B2488,0),1),IFERROR(0/0,""))</f>
        <v>RUN-FLMP_2021-01-27_APS-015</v>
      </c>
      <c r="S54" s="473" t="str">
        <f t="shared" ref="S54:T54" si="112">IF(COUNTIF(W$2:W2488, $A54) &gt; 0,TRUE,IFERROR(0/0,""))</f>
        <v/>
      </c>
      <c r="T54" s="473" t="str">
        <f t="shared" si="112"/>
        <v/>
      </c>
      <c r="U54" s="275" t="str">
        <f t="array" ref="U54">IF(ISBLANK($R54), INDEX('Run Reconcile'!A$2:A2488, MATCH($B54, 'Run Reconcile'!B$2:B2488, 0)+Z54, 1), IFERROR(0/0,""))
</f>
        <v/>
      </c>
      <c r="V54" s="474" t="str">
        <f t="shared" si="5"/>
        <v>RUN-FLMP_2021-01-27_APS-015</v>
      </c>
      <c r="Y54" s="89" t="str">
        <f t="shared" si="6"/>
        <v/>
      </c>
      <c r="Z54" s="60" t="str">
        <f t="shared" si="7"/>
        <v/>
      </c>
      <c r="AA54" s="60" t="str">
        <f t="shared" si="8"/>
        <v/>
      </c>
      <c r="AB54" s="60" t="str">
        <f t="shared" si="9"/>
        <v/>
      </c>
      <c r="AC54" s="30" t="str">
        <f t="shared" ref="AC54:AD54" si="113">IF(_xlfn.ISFORMULA(S54),IFERROR(0/0,""),TRUE)</f>
        <v/>
      </c>
      <c r="AD54" s="30" t="str">
        <f t="shared" si="113"/>
        <v/>
      </c>
      <c r="AE54" s="475" t="str">
        <f>IFERROR(__xludf.DUMMYFUNCTION("""COMPUTED_VALUE"""),"FLSP")</f>
        <v>FLSP</v>
      </c>
      <c r="AF54" s="476"/>
      <c r="AG54" s="474" t="s">
        <v>47</v>
      </c>
      <c r="AH54" s="138" t="str">
        <f t="shared" si="11"/>
        <v/>
      </c>
    </row>
    <row r="55">
      <c r="A55" s="103">
        <f>IFERROR(__xludf.DUMMYFUNCTION("""COMPUTED_VALUE"""),360041.0)</f>
        <v>360041</v>
      </c>
      <c r="B55" s="468">
        <f>IFERROR(__xludf.DUMMYFUNCTION("""COMPUTED_VALUE"""),44223.0)</f>
        <v>44223</v>
      </c>
      <c r="C55" s="469">
        <f>IFERROR(__xludf.DUMMYFUNCTION("""COMPUTED_VALUE"""),0.3360300925925926)</f>
        <v>0.3360300926</v>
      </c>
      <c r="D55" s="103" t="str">
        <f>IFERROR(__xludf.DUMMYFUNCTION("""COMPUTED_VALUE"""),"SpFLMP294811")</f>
        <v>SpFLMP294811</v>
      </c>
      <c r="E55" s="103"/>
      <c r="F55" s="103"/>
      <c r="G55" s="103" t="str">
        <f>IFERROR(__xludf.DUMMYFUNCTION("""COMPUTED_VALUE"""),"Negative")</f>
        <v>Negative</v>
      </c>
      <c r="H55" s="131" t="str">
        <f>IFERROR(__xludf.DUMMYFUNCTION("""COMPUTED_VALUE"""),"Negative")</f>
        <v>Negative</v>
      </c>
      <c r="I55" s="468">
        <f>IFERROR(__xludf.DUMMYFUNCTION("""COMPUTED_VALUE"""),44250.0)</f>
        <v>44250</v>
      </c>
      <c r="J55" s="470">
        <f>IFERROR(__xludf.DUMMYFUNCTION("""COMPUTED_VALUE"""),0.3905324074074074)</f>
        <v>0.3905324074</v>
      </c>
      <c r="K55" s="16"/>
      <c r="L55" s="8"/>
      <c r="M55" s="69"/>
      <c r="N55" s="69">
        <f>IFERROR(__xludf.DUMMYFUNCTION("""COMPUTED_VALUE"""),2.0)</f>
        <v>2</v>
      </c>
      <c r="O55" s="69" t="str">
        <f t="shared" si="3"/>
        <v/>
      </c>
      <c r="P55" s="471">
        <f>IFERROR(__xludf.DUMMYFUNCTION("""COMPUTED_VALUE"""),27.0)</f>
        <v>27</v>
      </c>
      <c r="Q55" s="274" t="b">
        <f>VLOOKUP($B55,'Run Reconcile'!B$2:O2488,14,FALSE)</f>
        <v>1</v>
      </c>
      <c r="R55" s="472" t="str">
        <f t="array" ref="R55">IF($Q55, INDEX('Run Reconcile'!A$2:A2488,MATCH(B55,'Run Reconcile'!B$2:B2488,0),1),IFERROR(0/0,""))</f>
        <v>RUN-FLMP_2021-01-27_APS-015</v>
      </c>
      <c r="S55" s="473" t="str">
        <f t="shared" ref="S55:T55" si="114">IF(COUNTIF(W$2:W2488, $A55) &gt; 0,TRUE,IFERROR(0/0,""))</f>
        <v/>
      </c>
      <c r="T55" s="473" t="str">
        <f t="shared" si="114"/>
        <v/>
      </c>
      <c r="U55" s="275" t="str">
        <f t="array" ref="U55">IF(ISBLANK($R55), INDEX('Run Reconcile'!A$2:A2488, MATCH($B55, 'Run Reconcile'!B$2:B2488, 0)+Z55, 1), IFERROR(0/0,""))
</f>
        <v/>
      </c>
      <c r="V55" s="474" t="str">
        <f t="shared" si="5"/>
        <v>RUN-FLMP_2021-01-27_APS-015</v>
      </c>
      <c r="Y55" s="89" t="str">
        <f t="shared" si="6"/>
        <v/>
      </c>
      <c r="Z55" s="60" t="str">
        <f t="shared" si="7"/>
        <v/>
      </c>
      <c r="AA55" s="60" t="str">
        <f t="shared" si="8"/>
        <v/>
      </c>
      <c r="AB55" s="60" t="str">
        <f t="shared" si="9"/>
        <v/>
      </c>
      <c r="AC55" s="30" t="str">
        <f t="shared" ref="AC55:AD55" si="115">IF(_xlfn.ISFORMULA(S55),IFERROR(0/0,""),TRUE)</f>
        <v/>
      </c>
      <c r="AD55" s="30" t="str">
        <f t="shared" si="115"/>
        <v/>
      </c>
      <c r="AE55" s="475" t="str">
        <f>IFERROR(__xludf.DUMMYFUNCTION("""COMPUTED_VALUE"""),"FLSP")</f>
        <v>FLSP</v>
      </c>
      <c r="AF55" s="476"/>
      <c r="AG55" s="474" t="s">
        <v>47</v>
      </c>
      <c r="AH55" s="138" t="str">
        <f t="shared" si="11"/>
        <v/>
      </c>
    </row>
    <row r="56">
      <c r="A56" s="103" t="str">
        <f>IFERROR(__xludf.DUMMYFUNCTION("""COMPUTED_VALUE"""),"C09611")</f>
        <v>C09611</v>
      </c>
      <c r="B56" s="468">
        <f>IFERROR(__xludf.DUMMYFUNCTION("""COMPUTED_VALUE"""),44223.0)</f>
        <v>44223</v>
      </c>
      <c r="C56" s="469">
        <f>IFERROR(__xludf.DUMMYFUNCTION("""COMPUTED_VALUE"""),0.3535185185185185)</f>
        <v>0.3535185185</v>
      </c>
      <c r="D56" s="103" t="str">
        <f>IFERROR(__xludf.DUMMYFUNCTION("""COMPUTED_VALUE"""),"SpFLMP959641")</f>
        <v>SpFLMP959641</v>
      </c>
      <c r="E56" s="103"/>
      <c r="F56" s="103"/>
      <c r="G56" s="103" t="str">
        <f>IFERROR(__xludf.DUMMYFUNCTION("""COMPUTED_VALUE"""),"Negative")</f>
        <v>Negative</v>
      </c>
      <c r="H56" s="131" t="str">
        <f>IFERROR(__xludf.DUMMYFUNCTION("""COMPUTED_VALUE"""),"Negative")</f>
        <v>Negative</v>
      </c>
      <c r="I56" s="468">
        <f>IFERROR(__xludf.DUMMYFUNCTION("""COMPUTED_VALUE"""),44250.0)</f>
        <v>44250</v>
      </c>
      <c r="J56" s="470">
        <f>IFERROR(__xludf.DUMMYFUNCTION("""COMPUTED_VALUE"""),0.3905324074074074)</f>
        <v>0.3905324074</v>
      </c>
      <c r="K56" s="16"/>
      <c r="L56" s="8"/>
      <c r="M56" s="69"/>
      <c r="N56" s="69">
        <f>IFERROR(__xludf.DUMMYFUNCTION("""COMPUTED_VALUE"""),3.0)</f>
        <v>3</v>
      </c>
      <c r="O56" s="69" t="str">
        <f t="shared" si="3"/>
        <v/>
      </c>
      <c r="P56" s="471">
        <f>IFERROR(__xludf.DUMMYFUNCTION("""COMPUTED_VALUE"""),27.0)</f>
        <v>27</v>
      </c>
      <c r="Q56" s="274" t="b">
        <f>VLOOKUP($B56,'Run Reconcile'!B$2:O2488,14,FALSE)</f>
        <v>1</v>
      </c>
      <c r="R56" s="472" t="str">
        <f t="array" ref="R56">IF($Q56, INDEX('Run Reconcile'!A$2:A2488,MATCH(B56,'Run Reconcile'!B$2:B2488,0),1),IFERROR(0/0,""))</f>
        <v>RUN-FLMP_2021-01-27_APS-015</v>
      </c>
      <c r="S56" s="473" t="str">
        <f t="shared" ref="S56:T56" si="116">IF(COUNTIF(W$2:W2488, $A56) &gt; 0,TRUE,IFERROR(0/0,""))</f>
        <v/>
      </c>
      <c r="T56" s="473" t="str">
        <f t="shared" si="116"/>
        <v/>
      </c>
      <c r="U56" s="275" t="str">
        <f t="array" ref="U56">IF(ISBLANK($R56), INDEX('Run Reconcile'!A$2:A2488, MATCH($B56, 'Run Reconcile'!B$2:B2488, 0)+Z56, 1), IFERROR(0/0,""))
</f>
        <v/>
      </c>
      <c r="V56" s="474" t="str">
        <f t="shared" si="5"/>
        <v>RUN-FLMP_2021-01-27_APS-015</v>
      </c>
      <c r="Y56" s="89" t="str">
        <f t="shared" si="6"/>
        <v/>
      </c>
      <c r="Z56" s="60" t="str">
        <f t="shared" si="7"/>
        <v/>
      </c>
      <c r="AA56" s="60" t="str">
        <f t="shared" si="8"/>
        <v/>
      </c>
      <c r="AB56" s="60" t="str">
        <f t="shared" si="9"/>
        <v/>
      </c>
      <c r="AC56" s="30" t="str">
        <f t="shared" ref="AC56:AD56" si="117">IF(_xlfn.ISFORMULA(S56),IFERROR(0/0,""),TRUE)</f>
        <v/>
      </c>
      <c r="AD56" s="30" t="str">
        <f t="shared" si="117"/>
        <v/>
      </c>
      <c r="AE56" s="475" t="str">
        <f>IFERROR(__xludf.DUMMYFUNCTION("""COMPUTED_VALUE"""),"FLSP")</f>
        <v>FLSP</v>
      </c>
      <c r="AF56" s="476"/>
      <c r="AG56" s="474" t="s">
        <v>47</v>
      </c>
      <c r="AH56" s="138" t="str">
        <f t="shared" si="11"/>
        <v/>
      </c>
    </row>
    <row r="57">
      <c r="A57" s="103">
        <f>IFERROR(__xludf.DUMMYFUNCTION("""COMPUTED_VALUE"""),336384.0)</f>
        <v>336384</v>
      </c>
      <c r="B57" s="468">
        <f>IFERROR(__xludf.DUMMYFUNCTION("""COMPUTED_VALUE"""),44224.0)</f>
        <v>44224</v>
      </c>
      <c r="C57" s="469">
        <f>IFERROR(__xludf.DUMMYFUNCTION("""COMPUTED_VALUE"""),0.7621527777777778)</f>
        <v>0.7621527778</v>
      </c>
      <c r="D57" s="103" t="str">
        <f>IFERROR(__xludf.DUMMYFUNCTION("""COMPUTED_VALUE"""),"SpFLMP870846")</f>
        <v>SpFLMP870846</v>
      </c>
      <c r="E57" s="103"/>
      <c r="F57" s="103"/>
      <c r="G57" s="103" t="str">
        <f>IFERROR(__xludf.DUMMYFUNCTION("""COMPUTED_VALUE"""),"Negative")</f>
        <v>Negative</v>
      </c>
      <c r="H57" s="131" t="str">
        <f>IFERROR(__xludf.DUMMYFUNCTION("""COMPUTED_VALUE"""),"Negative")</f>
        <v>Negative</v>
      </c>
      <c r="I57" s="468">
        <f>IFERROR(__xludf.DUMMYFUNCTION("""COMPUTED_VALUE"""),44250.0)</f>
        <v>44250</v>
      </c>
      <c r="J57" s="470">
        <f>IFERROR(__xludf.DUMMYFUNCTION("""COMPUTED_VALUE"""),0.3905324074074074)</f>
        <v>0.3905324074</v>
      </c>
      <c r="K57" s="16"/>
      <c r="L57" s="8"/>
      <c r="M57" s="69"/>
      <c r="N57" s="69">
        <f>IFERROR(__xludf.DUMMYFUNCTION("""COMPUTED_VALUE"""),1.0)</f>
        <v>1</v>
      </c>
      <c r="O57" s="69" t="b">
        <f t="shared" si="3"/>
        <v>1</v>
      </c>
      <c r="P57" s="471">
        <f>IFERROR(__xludf.DUMMYFUNCTION("""COMPUTED_VALUE"""),26.0)</f>
        <v>26</v>
      </c>
      <c r="Q57" s="274" t="b">
        <f>VLOOKUP($B57,'Run Reconcile'!B$2:O2488,14,FALSE)</f>
        <v>1</v>
      </c>
      <c r="R57" s="472" t="str">
        <f t="array" ref="R57">IF($Q57, INDEX('Run Reconcile'!A$2:A2488,MATCH(B57,'Run Reconcile'!B$2:B2488,0),1),IFERROR(0/0,""))</f>
        <v>RUN-FLMP_2021-01-28_APS-016</v>
      </c>
      <c r="S57" s="473" t="str">
        <f t="shared" ref="S57:T57" si="118">IF(COUNTIF(W$2:W2488, $A57) &gt; 0,TRUE,IFERROR(0/0,""))</f>
        <v/>
      </c>
      <c r="T57" s="473" t="str">
        <f t="shared" si="118"/>
        <v/>
      </c>
      <c r="U57" s="275" t="str">
        <f t="array" ref="U57">IF(ISBLANK($R57), INDEX('Run Reconcile'!A$2:A2488, MATCH($B57, 'Run Reconcile'!B$2:B2488, 0)+Z57, 1), IFERROR(0/0,""))
</f>
        <v/>
      </c>
      <c r="V57" s="474" t="str">
        <f t="shared" si="5"/>
        <v>RUN-FLMP_2021-01-28_APS-016</v>
      </c>
      <c r="Y57" s="89" t="str">
        <f t="shared" si="6"/>
        <v/>
      </c>
      <c r="Z57" s="60" t="str">
        <f t="shared" si="7"/>
        <v/>
      </c>
      <c r="AA57" s="60" t="str">
        <f t="shared" si="8"/>
        <v/>
      </c>
      <c r="AB57" s="60" t="str">
        <f t="shared" si="9"/>
        <v/>
      </c>
      <c r="AC57" s="30" t="str">
        <f t="shared" ref="AC57:AD57" si="119">IF(_xlfn.ISFORMULA(S57),IFERROR(0/0,""),TRUE)</f>
        <v/>
      </c>
      <c r="AD57" s="30" t="str">
        <f t="shared" si="119"/>
        <v/>
      </c>
      <c r="AE57" s="475" t="str">
        <f>IFERROR(__xludf.DUMMYFUNCTION("""COMPUTED_VALUE"""),"FLSP")</f>
        <v>FLSP</v>
      </c>
      <c r="AF57" s="476"/>
      <c r="AG57" s="474" t="s">
        <v>48</v>
      </c>
      <c r="AH57" s="138" t="str">
        <f t="shared" si="11"/>
        <v/>
      </c>
    </row>
    <row r="58">
      <c r="A58" s="103">
        <f>IFERROR(__xludf.DUMMYFUNCTION("""COMPUTED_VALUE"""),360024.0)</f>
        <v>360024</v>
      </c>
      <c r="B58" s="468">
        <f>IFERROR(__xludf.DUMMYFUNCTION("""COMPUTED_VALUE"""),44224.0)</f>
        <v>44224</v>
      </c>
      <c r="C58" s="469">
        <f>IFERROR(__xludf.DUMMYFUNCTION("""COMPUTED_VALUE"""),0.7718055555555555)</f>
        <v>0.7718055556</v>
      </c>
      <c r="D58" s="103" t="str">
        <f>IFERROR(__xludf.DUMMYFUNCTION("""COMPUTED_VALUE"""),"SpFLMP626948")</f>
        <v>SpFLMP626948</v>
      </c>
      <c r="E58" s="103"/>
      <c r="F58" s="103"/>
      <c r="G58" s="103" t="str">
        <f>IFERROR(__xludf.DUMMYFUNCTION("""COMPUTED_VALUE"""),"Negative")</f>
        <v>Negative</v>
      </c>
      <c r="H58" s="131" t="str">
        <f>IFERROR(__xludf.DUMMYFUNCTION("""COMPUTED_VALUE"""),"Negative")</f>
        <v>Negative</v>
      </c>
      <c r="I58" s="468">
        <f>IFERROR(__xludf.DUMMYFUNCTION("""COMPUTED_VALUE"""),44250.0)</f>
        <v>44250</v>
      </c>
      <c r="J58" s="470">
        <f>IFERROR(__xludf.DUMMYFUNCTION("""COMPUTED_VALUE"""),0.3905324074074074)</f>
        <v>0.3905324074</v>
      </c>
      <c r="K58" s="16"/>
      <c r="L58" s="8"/>
      <c r="M58" s="69"/>
      <c r="N58" s="69">
        <f>IFERROR(__xludf.DUMMYFUNCTION("""COMPUTED_VALUE"""),4.0)</f>
        <v>4</v>
      </c>
      <c r="O58" s="69" t="str">
        <f t="shared" si="3"/>
        <v/>
      </c>
      <c r="P58" s="471">
        <f>IFERROR(__xludf.DUMMYFUNCTION("""COMPUTED_VALUE"""),26.0)</f>
        <v>26</v>
      </c>
      <c r="Q58" s="274" t="b">
        <f>VLOOKUP($B58,'Run Reconcile'!B$2:O2488,14,FALSE)</f>
        <v>1</v>
      </c>
      <c r="R58" s="472" t="str">
        <f t="array" ref="R58">IF($Q58, INDEX('Run Reconcile'!A$2:A2488,MATCH(B58,'Run Reconcile'!B$2:B2488,0),1),IFERROR(0/0,""))</f>
        <v>RUN-FLMP_2021-01-28_APS-016</v>
      </c>
      <c r="S58" s="473" t="str">
        <f t="shared" ref="S58:T58" si="120">IF(COUNTIF(W$2:W2488, $A58) &gt; 0,TRUE,IFERROR(0/0,""))</f>
        <v/>
      </c>
      <c r="T58" s="473" t="str">
        <f t="shared" si="120"/>
        <v/>
      </c>
      <c r="U58" s="275" t="str">
        <f t="array" ref="U58">IF(ISBLANK($R58), INDEX('Run Reconcile'!A$2:A2488, MATCH($B58, 'Run Reconcile'!B$2:B2488, 0)+Z58, 1), IFERROR(0/0,""))
</f>
        <v/>
      </c>
      <c r="V58" s="474" t="str">
        <f t="shared" si="5"/>
        <v>RUN-FLMP_2021-01-28_APS-016</v>
      </c>
      <c r="Y58" s="89" t="str">
        <f t="shared" si="6"/>
        <v/>
      </c>
      <c r="Z58" s="60" t="str">
        <f t="shared" si="7"/>
        <v/>
      </c>
      <c r="AA58" s="60" t="str">
        <f t="shared" si="8"/>
        <v/>
      </c>
      <c r="AB58" s="60" t="str">
        <f t="shared" si="9"/>
        <v/>
      </c>
      <c r="AC58" s="30" t="str">
        <f t="shared" ref="AC58:AD58" si="121">IF(_xlfn.ISFORMULA(S58),IFERROR(0/0,""),TRUE)</f>
        <v/>
      </c>
      <c r="AD58" s="30" t="str">
        <f t="shared" si="121"/>
        <v/>
      </c>
      <c r="AE58" s="475" t="str">
        <f>IFERROR(__xludf.DUMMYFUNCTION("""COMPUTED_VALUE"""),"FLSP")</f>
        <v>FLSP</v>
      </c>
      <c r="AF58" s="476"/>
      <c r="AG58" s="474" t="s">
        <v>48</v>
      </c>
      <c r="AH58" s="138" t="str">
        <f t="shared" si="11"/>
        <v/>
      </c>
    </row>
    <row r="59">
      <c r="A59" s="103" t="str">
        <f>IFERROR(__xludf.DUMMYFUNCTION("""COMPUTED_VALUE"""),"D3921A")</f>
        <v>D3921A</v>
      </c>
      <c r="B59" s="468">
        <f>IFERROR(__xludf.DUMMYFUNCTION("""COMPUTED_VALUE"""),44225.0)</f>
        <v>44225</v>
      </c>
      <c r="C59" s="469">
        <f>IFERROR(__xludf.DUMMYFUNCTION("""COMPUTED_VALUE"""),0.21753472222222223)</f>
        <v>0.2175347222</v>
      </c>
      <c r="D59" s="103" t="str">
        <f>IFERROR(__xludf.DUMMYFUNCTION("""COMPUTED_VALUE"""),"SpFLMP634683")</f>
        <v>SpFLMP634683</v>
      </c>
      <c r="E59" s="103"/>
      <c r="F59" s="103"/>
      <c r="G59" s="103" t="str">
        <f>IFERROR(__xludf.DUMMYFUNCTION("""COMPUTED_VALUE"""),"Null")</f>
        <v>Null</v>
      </c>
      <c r="H59" s="131" t="str">
        <f>IFERROR(__xludf.DUMMYFUNCTION("""COMPUTED_VALUE"""),"Negative")</f>
        <v>Negative</v>
      </c>
      <c r="I59" s="468"/>
      <c r="J59" s="16"/>
      <c r="K59" s="16">
        <f>IFERROR(__xludf.DUMMYFUNCTION("""COMPUTED_VALUE"""),2.0)</f>
        <v>2</v>
      </c>
      <c r="L59" s="8"/>
      <c r="M59" s="69"/>
      <c r="N59" s="69">
        <f>IFERROR(__xludf.DUMMYFUNCTION("""COMPUTED_VALUE"""),4.0)</f>
        <v>4</v>
      </c>
      <c r="O59" s="69" t="b">
        <f t="shared" si="3"/>
        <v>1</v>
      </c>
      <c r="P59" s="471">
        <f>IFERROR(__xludf.DUMMYFUNCTION("""COMPUTED_VALUE"""),-1.0)</f>
        <v>-1</v>
      </c>
      <c r="Q59" s="274" t="b">
        <f>VLOOKUP($B59,'Run Reconcile'!B$2:O2488,14,FALSE)</f>
        <v>1</v>
      </c>
      <c r="R59" s="472" t="str">
        <f t="array" ref="R59">IF($Q59, INDEX('Run Reconcile'!A$2:A2488,MATCH(B59,'Run Reconcile'!B$2:B2488,0),1),IFERROR(0/0,""))</f>
        <v>RUN-FLMP_2021-01-29_APS-017</v>
      </c>
      <c r="S59" s="473" t="str">
        <f t="shared" ref="S59:T59" si="122">IF(COUNTIF(W$2:W2488, $A59) &gt; 0,TRUE,IFERROR(0/0,""))</f>
        <v/>
      </c>
      <c r="T59" s="473" t="str">
        <f t="shared" si="122"/>
        <v/>
      </c>
      <c r="U59" s="275" t="str">
        <f t="array" ref="U59">IF(ISBLANK($R59), INDEX('Run Reconcile'!A$2:A2488, MATCH($B59, 'Run Reconcile'!B$2:B2488, 0)+Z59, 1), IFERROR(0/0,""))
</f>
        <v/>
      </c>
      <c r="V59" s="474" t="str">
        <f t="shared" si="5"/>
        <v>RUN-FLMP_2021-01-29_APS-017</v>
      </c>
      <c r="Y59" s="89" t="str">
        <f t="shared" si="6"/>
        <v/>
      </c>
      <c r="Z59" s="60" t="str">
        <f t="shared" si="7"/>
        <v/>
      </c>
      <c r="AA59" s="60" t="str">
        <f t="shared" si="8"/>
        <v/>
      </c>
      <c r="AB59" s="60" t="str">
        <f t="shared" si="9"/>
        <v/>
      </c>
      <c r="AC59" s="30" t="str">
        <f t="shared" ref="AC59:AD59" si="123">IF(_xlfn.ISFORMULA(S59),IFERROR(0/0,""),TRUE)</f>
        <v/>
      </c>
      <c r="AD59" s="30" t="str">
        <f t="shared" si="123"/>
        <v/>
      </c>
      <c r="AE59" s="475" t="str">
        <f>IFERROR(__xludf.DUMMYFUNCTION("""COMPUTED_VALUE"""),"FLSP")</f>
        <v>FLSP</v>
      </c>
      <c r="AF59" s="476"/>
      <c r="AG59" s="474" t="s">
        <v>49</v>
      </c>
      <c r="AH59" s="138" t="str">
        <f t="shared" si="11"/>
        <v/>
      </c>
    </row>
    <row r="60">
      <c r="A60" s="103" t="str">
        <f>IFERROR(__xludf.DUMMYFUNCTION("""COMPUTED_VALUE"""),"D3921")</f>
        <v>D3921</v>
      </c>
      <c r="B60" s="468">
        <f>IFERROR(__xludf.DUMMYFUNCTION("""COMPUTED_VALUE"""),44225.0)</f>
        <v>44225</v>
      </c>
      <c r="C60" s="469">
        <f>IFERROR(__xludf.DUMMYFUNCTION("""COMPUTED_VALUE"""),0.3555671296296296)</f>
        <v>0.3555671296</v>
      </c>
      <c r="D60" s="103" t="str">
        <f>IFERROR(__xludf.DUMMYFUNCTION("""COMPUTED_VALUE"""),"SpFLMP959641")</f>
        <v>SpFLMP959641</v>
      </c>
      <c r="E60" s="103"/>
      <c r="F60" s="103"/>
      <c r="G60" s="103" t="str">
        <f>IFERROR(__xludf.DUMMYFUNCTION("""COMPUTED_VALUE"""),"Negative")</f>
        <v>Negative</v>
      </c>
      <c r="H60" s="131" t="str">
        <f>IFERROR(__xludf.DUMMYFUNCTION("""COMPUTED_VALUE"""),"Negative")</f>
        <v>Negative</v>
      </c>
      <c r="I60" s="468">
        <f>IFERROR(__xludf.DUMMYFUNCTION("""COMPUTED_VALUE"""),44250.0)</f>
        <v>44250</v>
      </c>
      <c r="J60" s="470">
        <f>IFERROR(__xludf.DUMMYFUNCTION("""COMPUTED_VALUE"""),0.3905324074074074)</f>
        <v>0.3905324074</v>
      </c>
      <c r="K60" s="16"/>
      <c r="L60" s="8"/>
      <c r="M60" s="69"/>
      <c r="N60" s="69">
        <f>IFERROR(__xludf.DUMMYFUNCTION("""COMPUTED_VALUE"""),4.0)</f>
        <v>4</v>
      </c>
      <c r="O60" s="69" t="str">
        <f t="shared" si="3"/>
        <v/>
      </c>
      <c r="P60" s="471">
        <f>IFERROR(__xludf.DUMMYFUNCTION("""COMPUTED_VALUE"""),25.0)</f>
        <v>25</v>
      </c>
      <c r="Q60" s="274" t="b">
        <f>VLOOKUP($B60,'Run Reconcile'!B$2:O2488,14,FALSE)</f>
        <v>1</v>
      </c>
      <c r="R60" s="472" t="str">
        <f t="array" ref="R60">IF($Q60, INDEX('Run Reconcile'!A$2:A2488,MATCH(B60,'Run Reconcile'!B$2:B2488,0),1),IFERROR(0/0,""))</f>
        <v>RUN-FLMP_2021-01-29_APS-017</v>
      </c>
      <c r="S60" s="473" t="str">
        <f t="shared" ref="S60:T60" si="124">IF(COUNTIF(W$2:W2488, $A60) &gt; 0,TRUE,IFERROR(0/0,""))</f>
        <v/>
      </c>
      <c r="T60" s="473" t="str">
        <f t="shared" si="124"/>
        <v/>
      </c>
      <c r="U60" s="275" t="str">
        <f t="array" ref="U60">IF(ISBLANK($R60), INDEX('Run Reconcile'!A$2:A2488, MATCH($B60, 'Run Reconcile'!B$2:B2488, 0)+Z60, 1), IFERROR(0/0,""))
</f>
        <v/>
      </c>
      <c r="V60" s="474" t="str">
        <f t="shared" si="5"/>
        <v>RUN-FLMP_2021-01-29_APS-017</v>
      </c>
      <c r="Y60" s="89" t="str">
        <f t="shared" si="6"/>
        <v/>
      </c>
      <c r="Z60" s="60" t="str">
        <f t="shared" si="7"/>
        <v/>
      </c>
      <c r="AA60" s="60" t="str">
        <f t="shared" si="8"/>
        <v/>
      </c>
      <c r="AB60" s="60" t="str">
        <f t="shared" si="9"/>
        <v/>
      </c>
      <c r="AC60" s="30" t="str">
        <f t="shared" ref="AC60:AD60" si="125">IF(_xlfn.ISFORMULA(S60),IFERROR(0/0,""),TRUE)</f>
        <v/>
      </c>
      <c r="AD60" s="30" t="str">
        <f t="shared" si="125"/>
        <v/>
      </c>
      <c r="AE60" s="475" t="str">
        <f>IFERROR(__xludf.DUMMYFUNCTION("""COMPUTED_VALUE"""),"FLSP")</f>
        <v>FLSP</v>
      </c>
      <c r="AF60" s="476"/>
      <c r="AG60" s="474" t="s">
        <v>49</v>
      </c>
      <c r="AH60" s="138" t="str">
        <f t="shared" si="11"/>
        <v/>
      </c>
    </row>
    <row r="61">
      <c r="A61" s="103">
        <f>IFERROR(__xludf.DUMMYFUNCTION("""COMPUTED_VALUE"""),351468.0)</f>
        <v>351468</v>
      </c>
      <c r="B61" s="468">
        <f>IFERROR(__xludf.DUMMYFUNCTION("""COMPUTED_VALUE"""),44225.0)</f>
        <v>44225</v>
      </c>
      <c r="C61" s="469">
        <f>IFERROR(__xludf.DUMMYFUNCTION("""COMPUTED_VALUE"""),0.3600347222222222)</f>
        <v>0.3600347222</v>
      </c>
      <c r="D61" s="103" t="str">
        <f>IFERROR(__xludf.DUMMYFUNCTION("""COMPUTED_VALUE"""),"SpFLMP959641")</f>
        <v>SpFLMP959641</v>
      </c>
      <c r="E61" s="103"/>
      <c r="F61" s="103"/>
      <c r="G61" s="103" t="str">
        <f>IFERROR(__xludf.DUMMYFUNCTION("""COMPUTED_VALUE"""),"Negative")</f>
        <v>Negative</v>
      </c>
      <c r="H61" s="131" t="str">
        <f>IFERROR(__xludf.DUMMYFUNCTION("""COMPUTED_VALUE"""),"Negative")</f>
        <v>Negative</v>
      </c>
      <c r="I61" s="468">
        <f>IFERROR(__xludf.DUMMYFUNCTION("""COMPUTED_VALUE"""),44250.0)</f>
        <v>44250</v>
      </c>
      <c r="J61" s="470">
        <f>IFERROR(__xludf.DUMMYFUNCTION("""COMPUTED_VALUE"""),0.3905324074074074)</f>
        <v>0.3905324074</v>
      </c>
      <c r="K61" s="16"/>
      <c r="L61" s="8"/>
      <c r="M61" s="69"/>
      <c r="N61" s="69">
        <f>IFERROR(__xludf.DUMMYFUNCTION("""COMPUTED_VALUE"""),1.0)</f>
        <v>1</v>
      </c>
      <c r="O61" s="69" t="str">
        <f t="shared" si="3"/>
        <v/>
      </c>
      <c r="P61" s="471">
        <f>IFERROR(__xludf.DUMMYFUNCTION("""COMPUTED_VALUE"""),25.0)</f>
        <v>25</v>
      </c>
      <c r="Q61" s="274" t="b">
        <f>VLOOKUP($B61,'Run Reconcile'!B$2:O2488,14,FALSE)</f>
        <v>1</v>
      </c>
      <c r="R61" s="472" t="str">
        <f t="array" ref="R61">IF($Q61, INDEX('Run Reconcile'!A$2:A2488,MATCH(B61,'Run Reconcile'!B$2:B2488,0),1),IFERROR(0/0,""))</f>
        <v>RUN-FLMP_2021-01-29_APS-017</v>
      </c>
      <c r="S61" s="473" t="str">
        <f t="shared" ref="S61:T61" si="126">IF(COUNTIF(W$2:W2488, $A61) &gt; 0,TRUE,IFERROR(0/0,""))</f>
        <v/>
      </c>
      <c r="T61" s="473" t="str">
        <f t="shared" si="126"/>
        <v/>
      </c>
      <c r="U61" s="275" t="str">
        <f t="array" ref="U61">IF(ISBLANK($R61), INDEX('Run Reconcile'!A$2:A2488, MATCH($B61, 'Run Reconcile'!B$2:B2488, 0)+Z61, 1), IFERROR(0/0,""))
</f>
        <v/>
      </c>
      <c r="V61" s="474" t="str">
        <f t="shared" si="5"/>
        <v>RUN-FLMP_2021-01-29_APS-017</v>
      </c>
      <c r="Y61" s="89" t="str">
        <f t="shared" si="6"/>
        <v/>
      </c>
      <c r="Z61" s="60" t="str">
        <f t="shared" si="7"/>
        <v/>
      </c>
      <c r="AA61" s="60" t="str">
        <f t="shared" si="8"/>
        <v/>
      </c>
      <c r="AB61" s="60" t="str">
        <f t="shared" si="9"/>
        <v/>
      </c>
      <c r="AC61" s="30" t="str">
        <f t="shared" ref="AC61:AD61" si="127">IF(_xlfn.ISFORMULA(S61),IFERROR(0/0,""),TRUE)</f>
        <v/>
      </c>
      <c r="AD61" s="30" t="str">
        <f t="shared" si="127"/>
        <v/>
      </c>
      <c r="AE61" s="475" t="str">
        <f>IFERROR(__xludf.DUMMYFUNCTION("""COMPUTED_VALUE"""),"FLSP")</f>
        <v>FLSP</v>
      </c>
      <c r="AF61" s="476"/>
      <c r="AG61" s="474" t="s">
        <v>49</v>
      </c>
      <c r="AH61" s="138" t="str">
        <f t="shared" si="11"/>
        <v/>
      </c>
    </row>
    <row r="62">
      <c r="A62" s="103" t="str">
        <f>IFERROR(__xludf.DUMMYFUNCTION("""COMPUTED_VALUE"""),"D3911")</f>
        <v>D3911</v>
      </c>
      <c r="B62" s="468">
        <f>IFERROR(__xludf.DUMMYFUNCTION("""COMPUTED_VALUE"""),44225.0)</f>
        <v>44225</v>
      </c>
      <c r="C62" s="469">
        <f>IFERROR(__xludf.DUMMYFUNCTION("""COMPUTED_VALUE"""),0.36082175925925924)</f>
        <v>0.3608217593</v>
      </c>
      <c r="D62" s="103" t="str">
        <f>IFERROR(__xludf.DUMMYFUNCTION("""COMPUTED_VALUE"""),"SpFLMP959641")</f>
        <v>SpFLMP959641</v>
      </c>
      <c r="E62" s="103"/>
      <c r="F62" s="103"/>
      <c r="G62" s="103" t="str">
        <f>IFERROR(__xludf.DUMMYFUNCTION("""COMPUTED_VALUE"""),"Negative")</f>
        <v>Negative</v>
      </c>
      <c r="H62" s="131" t="str">
        <f>IFERROR(__xludf.DUMMYFUNCTION("""COMPUTED_VALUE"""),"Negative")</f>
        <v>Negative</v>
      </c>
      <c r="I62" s="468">
        <f>IFERROR(__xludf.DUMMYFUNCTION("""COMPUTED_VALUE"""),44250.0)</f>
        <v>44250</v>
      </c>
      <c r="J62" s="470">
        <f>IFERROR(__xludf.DUMMYFUNCTION("""COMPUTED_VALUE"""),0.3905324074074074)</f>
        <v>0.3905324074</v>
      </c>
      <c r="K62" s="16"/>
      <c r="L62" s="8"/>
      <c r="M62" s="69"/>
      <c r="N62" s="69">
        <f>IFERROR(__xludf.DUMMYFUNCTION("""COMPUTED_VALUE"""),1.0)</f>
        <v>1</v>
      </c>
      <c r="O62" s="69" t="str">
        <f t="shared" si="3"/>
        <v/>
      </c>
      <c r="P62" s="471">
        <f>IFERROR(__xludf.DUMMYFUNCTION("""COMPUTED_VALUE"""),25.0)</f>
        <v>25</v>
      </c>
      <c r="Q62" s="274" t="b">
        <f>VLOOKUP($B62,'Run Reconcile'!B$2:O2488,14,FALSE)</f>
        <v>1</v>
      </c>
      <c r="R62" s="472" t="str">
        <f t="array" ref="R62">IF($Q62, INDEX('Run Reconcile'!A$2:A2488,MATCH(B62,'Run Reconcile'!B$2:B2488,0),1),IFERROR(0/0,""))</f>
        <v>RUN-FLMP_2021-01-29_APS-017</v>
      </c>
      <c r="S62" s="473" t="str">
        <f t="shared" ref="S62:T62" si="128">IF(COUNTIF(W$2:W2488, $A62) &gt; 0,TRUE,IFERROR(0/0,""))</f>
        <v/>
      </c>
      <c r="T62" s="473" t="str">
        <f t="shared" si="128"/>
        <v/>
      </c>
      <c r="U62" s="275" t="str">
        <f t="array" ref="U62">IF(ISBLANK($R62), INDEX('Run Reconcile'!A$2:A2488, MATCH($B62, 'Run Reconcile'!B$2:B2488, 0)+Z62, 1), IFERROR(0/0,""))
</f>
        <v/>
      </c>
      <c r="V62" s="474" t="str">
        <f t="shared" si="5"/>
        <v>RUN-FLMP_2021-01-29_APS-017</v>
      </c>
      <c r="Y62" s="89" t="str">
        <f t="shared" si="6"/>
        <v/>
      </c>
      <c r="Z62" s="60" t="str">
        <f t="shared" si="7"/>
        <v/>
      </c>
      <c r="AA62" s="60" t="str">
        <f t="shared" si="8"/>
        <v/>
      </c>
      <c r="AB62" s="60" t="str">
        <f t="shared" si="9"/>
        <v/>
      </c>
      <c r="AC62" s="30" t="str">
        <f t="shared" ref="AC62:AD62" si="129">IF(_xlfn.ISFORMULA(S62),IFERROR(0/0,""),TRUE)</f>
        <v/>
      </c>
      <c r="AD62" s="30" t="str">
        <f t="shared" si="129"/>
        <v/>
      </c>
      <c r="AE62" s="475" t="str">
        <f>IFERROR(__xludf.DUMMYFUNCTION("""COMPUTED_VALUE"""),"FLSP")</f>
        <v>FLSP</v>
      </c>
      <c r="AF62" s="476"/>
      <c r="AG62" s="474" t="s">
        <v>49</v>
      </c>
      <c r="AH62" s="138" t="str">
        <f t="shared" si="11"/>
        <v/>
      </c>
    </row>
    <row r="63">
      <c r="A63" s="103" t="str">
        <f>IFERROR(__xludf.DUMMYFUNCTION("""COMPUTED_VALUE"""),"C09629")</f>
        <v>C09629</v>
      </c>
      <c r="B63" s="468">
        <f>IFERROR(__xludf.DUMMYFUNCTION("""COMPUTED_VALUE"""),44227.0)</f>
        <v>44227</v>
      </c>
      <c r="C63" s="469">
        <f>IFERROR(__xludf.DUMMYFUNCTION("""COMPUTED_VALUE"""),0.8020486111111111)</f>
        <v>0.8020486111</v>
      </c>
      <c r="D63" s="103" t="str">
        <f>IFERROR(__xludf.DUMMYFUNCTION("""COMPUTED_VALUE"""),"SpFLMP634683")</f>
        <v>SpFLMP634683</v>
      </c>
      <c r="E63" s="103"/>
      <c r="F63" s="103"/>
      <c r="G63" s="103" t="str">
        <f>IFERROR(__xludf.DUMMYFUNCTION("""COMPUTED_VALUE"""),"Negative")</f>
        <v>Negative</v>
      </c>
      <c r="H63" s="131" t="str">
        <f>IFERROR(__xludf.DUMMYFUNCTION("""COMPUTED_VALUE"""),"Negative")</f>
        <v>Negative</v>
      </c>
      <c r="I63" s="468">
        <f>IFERROR(__xludf.DUMMYFUNCTION("""COMPUTED_VALUE"""),44250.0)</f>
        <v>44250</v>
      </c>
      <c r="J63" s="470">
        <f>IFERROR(__xludf.DUMMYFUNCTION("""COMPUTED_VALUE"""),0.3905324074074074)</f>
        <v>0.3905324074</v>
      </c>
      <c r="K63" s="16"/>
      <c r="L63" s="8"/>
      <c r="M63" s="69"/>
      <c r="N63" s="69">
        <f>IFERROR(__xludf.DUMMYFUNCTION("""COMPUTED_VALUE"""),4.0)</f>
        <v>4</v>
      </c>
      <c r="O63" s="69" t="b">
        <f t="shared" si="3"/>
        <v>1</v>
      </c>
      <c r="P63" s="471">
        <f>IFERROR(__xludf.DUMMYFUNCTION("""COMPUTED_VALUE"""),23.0)</f>
        <v>23</v>
      </c>
      <c r="Q63" s="274" t="b">
        <f>VLOOKUP($B63,'Run Reconcile'!B$2:O2488,14,FALSE)</f>
        <v>1</v>
      </c>
      <c r="R63" s="472" t="str">
        <f t="array" ref="R63">IF($Q63, INDEX('Run Reconcile'!A$2:A2488,MATCH(B63,'Run Reconcile'!B$2:B2488,0),1),IFERROR(0/0,""))</f>
        <v>RUN-FLMP_2021-01-31_APS-018</v>
      </c>
      <c r="S63" s="473" t="str">
        <f t="shared" ref="S63:T63" si="130">IF(COUNTIF(W$2:W2488, $A63) &gt; 0,TRUE,IFERROR(0/0,""))</f>
        <v/>
      </c>
      <c r="T63" s="473" t="str">
        <f t="shared" si="130"/>
        <v/>
      </c>
      <c r="U63" s="275" t="str">
        <f t="array" ref="U63">IF(ISBLANK($R63), INDEX('Run Reconcile'!A$2:A2488, MATCH($B63, 'Run Reconcile'!B$2:B2488, 0)+Z63, 1), IFERROR(0/0,""))
</f>
        <v/>
      </c>
      <c r="V63" s="474" t="str">
        <f t="shared" si="5"/>
        <v>RUN-FLMP_2021-01-31_APS-018</v>
      </c>
      <c r="Y63" s="89" t="str">
        <f t="shared" si="6"/>
        <v/>
      </c>
      <c r="Z63" s="60" t="str">
        <f t="shared" si="7"/>
        <v/>
      </c>
      <c r="AA63" s="60" t="str">
        <f t="shared" si="8"/>
        <v/>
      </c>
      <c r="AB63" s="60" t="str">
        <f t="shared" si="9"/>
        <v/>
      </c>
      <c r="AC63" s="30" t="str">
        <f t="shared" ref="AC63:AD63" si="131">IF(_xlfn.ISFORMULA(S63),IFERROR(0/0,""),TRUE)</f>
        <v/>
      </c>
      <c r="AD63" s="30" t="str">
        <f t="shared" si="131"/>
        <v/>
      </c>
      <c r="AE63" s="475" t="str">
        <f>IFERROR(__xludf.DUMMYFUNCTION("""COMPUTED_VALUE"""),"FLSP")</f>
        <v>FLSP</v>
      </c>
      <c r="AF63" s="476"/>
      <c r="AG63" s="474" t="s">
        <v>50</v>
      </c>
      <c r="AH63" s="138" t="str">
        <f t="shared" si="11"/>
        <v/>
      </c>
    </row>
    <row r="64">
      <c r="A64" s="103">
        <f>IFERROR(__xludf.DUMMYFUNCTION("""COMPUTED_VALUE"""),360016.0)</f>
        <v>360016</v>
      </c>
      <c r="B64" s="468">
        <f>IFERROR(__xludf.DUMMYFUNCTION("""COMPUTED_VALUE"""),44227.0)</f>
        <v>44227</v>
      </c>
      <c r="C64" s="469">
        <f>IFERROR(__xludf.DUMMYFUNCTION("""COMPUTED_VALUE"""),0.843113425925926)</f>
        <v>0.8431134259</v>
      </c>
      <c r="D64" s="103" t="str">
        <f>IFERROR(__xludf.DUMMYFUNCTION("""COMPUTED_VALUE"""),"SpFLMP626948")</f>
        <v>SpFLMP626948</v>
      </c>
      <c r="E64" s="103"/>
      <c r="F64" s="103"/>
      <c r="G64" s="103" t="str">
        <f>IFERROR(__xludf.DUMMYFUNCTION("""COMPUTED_VALUE"""),"Negative")</f>
        <v>Negative</v>
      </c>
      <c r="H64" s="131" t="str">
        <f>IFERROR(__xludf.DUMMYFUNCTION("""COMPUTED_VALUE"""),"Negative")</f>
        <v>Negative</v>
      </c>
      <c r="I64" s="468">
        <f>IFERROR(__xludf.DUMMYFUNCTION("""COMPUTED_VALUE"""),44250.0)</f>
        <v>44250</v>
      </c>
      <c r="J64" s="470">
        <f>IFERROR(__xludf.DUMMYFUNCTION("""COMPUTED_VALUE"""),0.3905324074074074)</f>
        <v>0.3905324074</v>
      </c>
      <c r="K64" s="16"/>
      <c r="L64" s="8"/>
      <c r="M64" s="69"/>
      <c r="N64" s="69">
        <f>IFERROR(__xludf.DUMMYFUNCTION("""COMPUTED_VALUE"""),3.0)</f>
        <v>3</v>
      </c>
      <c r="O64" s="69" t="str">
        <f t="shared" si="3"/>
        <v/>
      </c>
      <c r="P64" s="471">
        <f>IFERROR(__xludf.DUMMYFUNCTION("""COMPUTED_VALUE"""),23.0)</f>
        <v>23</v>
      </c>
      <c r="Q64" s="274" t="b">
        <f>VLOOKUP($B64,'Run Reconcile'!B$2:O2488,14,FALSE)</f>
        <v>1</v>
      </c>
      <c r="R64" s="472" t="str">
        <f t="array" ref="R64">IF($Q64, INDEX('Run Reconcile'!A$2:A2488,MATCH(B64,'Run Reconcile'!B$2:B2488,0),1),IFERROR(0/0,""))</f>
        <v>RUN-FLMP_2021-01-31_APS-018</v>
      </c>
      <c r="S64" s="473" t="str">
        <f t="shared" ref="S64:T64" si="132">IF(COUNTIF(W$2:W2488, $A64) &gt; 0,TRUE,IFERROR(0/0,""))</f>
        <v/>
      </c>
      <c r="T64" s="473" t="str">
        <f t="shared" si="132"/>
        <v/>
      </c>
      <c r="U64" s="275" t="str">
        <f t="array" ref="U64">IF(ISBLANK($R64), INDEX('Run Reconcile'!A$2:A2488, MATCH($B64, 'Run Reconcile'!B$2:B2488, 0)+Z64, 1), IFERROR(0/0,""))
</f>
        <v/>
      </c>
      <c r="V64" s="474" t="str">
        <f t="shared" si="5"/>
        <v>RUN-FLMP_2021-01-31_APS-018</v>
      </c>
      <c r="Y64" s="89" t="str">
        <f t="shared" si="6"/>
        <v/>
      </c>
      <c r="Z64" s="60" t="str">
        <f t="shared" si="7"/>
        <v/>
      </c>
      <c r="AA64" s="60" t="str">
        <f t="shared" si="8"/>
        <v/>
      </c>
      <c r="AB64" s="60" t="str">
        <f t="shared" si="9"/>
        <v/>
      </c>
      <c r="AC64" s="30" t="str">
        <f t="shared" ref="AC64:AD64" si="133">IF(_xlfn.ISFORMULA(S64),IFERROR(0/0,""),TRUE)</f>
        <v/>
      </c>
      <c r="AD64" s="30" t="str">
        <f t="shared" si="133"/>
        <v/>
      </c>
      <c r="AE64" s="475" t="str">
        <f>IFERROR(__xludf.DUMMYFUNCTION("""COMPUTED_VALUE"""),"FLSP")</f>
        <v>FLSP</v>
      </c>
      <c r="AF64" s="476"/>
      <c r="AG64" s="474" t="s">
        <v>50</v>
      </c>
      <c r="AH64" s="138" t="str">
        <f t="shared" si="11"/>
        <v/>
      </c>
    </row>
    <row r="65">
      <c r="A65" s="103">
        <f>IFERROR(__xludf.DUMMYFUNCTION("""COMPUTED_VALUE"""),336376.0)</f>
        <v>336376</v>
      </c>
      <c r="B65" s="468">
        <f>IFERROR(__xludf.DUMMYFUNCTION("""COMPUTED_VALUE"""),44227.0)</f>
        <v>44227</v>
      </c>
      <c r="C65" s="469">
        <f>IFERROR(__xludf.DUMMYFUNCTION("""COMPUTED_VALUE"""),0.8458449074074074)</f>
        <v>0.8458449074</v>
      </c>
      <c r="D65" s="103" t="str">
        <f>IFERROR(__xludf.DUMMYFUNCTION("""COMPUTED_VALUE"""),"SpFLMP870846")</f>
        <v>SpFLMP870846</v>
      </c>
      <c r="E65" s="103"/>
      <c r="F65" s="103"/>
      <c r="G65" s="103" t="str">
        <f>IFERROR(__xludf.DUMMYFUNCTION("""COMPUTED_VALUE"""),"Negative")</f>
        <v>Negative</v>
      </c>
      <c r="H65" s="131" t="str">
        <f>IFERROR(__xludf.DUMMYFUNCTION("""COMPUTED_VALUE"""),"Negative")</f>
        <v>Negative</v>
      </c>
      <c r="I65" s="468">
        <f>IFERROR(__xludf.DUMMYFUNCTION("""COMPUTED_VALUE"""),44250.0)</f>
        <v>44250</v>
      </c>
      <c r="J65" s="470">
        <f>IFERROR(__xludf.DUMMYFUNCTION("""COMPUTED_VALUE"""),0.3905324074074074)</f>
        <v>0.3905324074</v>
      </c>
      <c r="K65" s="16"/>
      <c r="L65" s="8"/>
      <c r="M65" s="69"/>
      <c r="N65" s="69">
        <f>IFERROR(__xludf.DUMMYFUNCTION("""COMPUTED_VALUE"""),1.0)</f>
        <v>1</v>
      </c>
      <c r="O65" s="69" t="str">
        <f t="shared" si="3"/>
        <v/>
      </c>
      <c r="P65" s="471">
        <f>IFERROR(__xludf.DUMMYFUNCTION("""COMPUTED_VALUE"""),23.0)</f>
        <v>23</v>
      </c>
      <c r="Q65" s="274" t="b">
        <f>VLOOKUP($B65,'Run Reconcile'!B$2:O2488,14,FALSE)</f>
        <v>1</v>
      </c>
      <c r="R65" s="472" t="str">
        <f t="array" ref="R65">IF($Q65, INDEX('Run Reconcile'!A$2:A2488,MATCH(B65,'Run Reconcile'!B$2:B2488,0),1),IFERROR(0/0,""))</f>
        <v>RUN-FLMP_2021-01-31_APS-018</v>
      </c>
      <c r="S65" s="473" t="str">
        <f t="shared" ref="S65:T65" si="134">IF(COUNTIF(W$2:W2488, $A65) &gt; 0,TRUE,IFERROR(0/0,""))</f>
        <v/>
      </c>
      <c r="T65" s="473" t="str">
        <f t="shared" si="134"/>
        <v/>
      </c>
      <c r="U65" s="275" t="str">
        <f t="array" ref="U65">IF(ISBLANK($R65), INDEX('Run Reconcile'!A$2:A2488, MATCH($B65, 'Run Reconcile'!B$2:B2488, 0)+Z65, 1), IFERROR(0/0,""))
</f>
        <v/>
      </c>
      <c r="V65" s="474" t="str">
        <f t="shared" si="5"/>
        <v>RUN-FLMP_2021-01-31_APS-018</v>
      </c>
      <c r="Y65" s="89" t="str">
        <f t="shared" si="6"/>
        <v/>
      </c>
      <c r="Z65" s="60" t="str">
        <f t="shared" si="7"/>
        <v/>
      </c>
      <c r="AA65" s="60" t="str">
        <f t="shared" si="8"/>
        <v/>
      </c>
      <c r="AB65" s="60" t="str">
        <f t="shared" si="9"/>
        <v/>
      </c>
      <c r="AC65" s="30" t="str">
        <f t="shared" ref="AC65:AD65" si="135">IF(_xlfn.ISFORMULA(S65),IFERROR(0/0,""),TRUE)</f>
        <v/>
      </c>
      <c r="AD65" s="30" t="str">
        <f t="shared" si="135"/>
        <v/>
      </c>
      <c r="AE65" s="475" t="str">
        <f>IFERROR(__xludf.DUMMYFUNCTION("""COMPUTED_VALUE"""),"FLSP")</f>
        <v>FLSP</v>
      </c>
      <c r="AF65" s="476"/>
      <c r="AG65" s="474" t="s">
        <v>50</v>
      </c>
      <c r="AH65" s="138" t="str">
        <f t="shared" si="11"/>
        <v/>
      </c>
    </row>
    <row r="66">
      <c r="A66" s="103">
        <f>IFERROR(__xludf.DUMMYFUNCTION("""COMPUTED_VALUE"""),360040.0)</f>
        <v>360040</v>
      </c>
      <c r="B66" s="468">
        <f>IFERROR(__xludf.DUMMYFUNCTION("""COMPUTED_VALUE"""),44228.0)</f>
        <v>44228</v>
      </c>
      <c r="C66" s="469">
        <f>IFERROR(__xludf.DUMMYFUNCTION("""COMPUTED_VALUE"""),0.3353935185185185)</f>
        <v>0.3353935185</v>
      </c>
      <c r="D66" s="103" t="str">
        <f>IFERROR(__xludf.DUMMYFUNCTION("""COMPUTED_VALUE"""),"SpFLMP294811")</f>
        <v>SpFLMP294811</v>
      </c>
      <c r="E66" s="103"/>
      <c r="F66" s="103"/>
      <c r="G66" s="103" t="str">
        <f>IFERROR(__xludf.DUMMYFUNCTION("""COMPUTED_VALUE"""),"Negative")</f>
        <v>Negative</v>
      </c>
      <c r="H66" s="131" t="str">
        <f>IFERROR(__xludf.DUMMYFUNCTION("""COMPUTED_VALUE"""),"Negative")</f>
        <v>Negative</v>
      </c>
      <c r="I66" s="468">
        <f>IFERROR(__xludf.DUMMYFUNCTION("""COMPUTED_VALUE"""),44250.0)</f>
        <v>44250</v>
      </c>
      <c r="J66" s="470">
        <f>IFERROR(__xludf.DUMMYFUNCTION("""COMPUTED_VALUE"""),0.3905324074074074)</f>
        <v>0.3905324074</v>
      </c>
      <c r="K66" s="16"/>
      <c r="L66" s="8"/>
      <c r="M66" s="69"/>
      <c r="N66" s="69">
        <f>IFERROR(__xludf.DUMMYFUNCTION("""COMPUTED_VALUE"""),3.0)</f>
        <v>3</v>
      </c>
      <c r="O66" s="69" t="b">
        <f t="shared" si="3"/>
        <v>1</v>
      </c>
      <c r="P66" s="471">
        <f>IFERROR(__xludf.DUMMYFUNCTION("""COMPUTED_VALUE"""),22.0)</f>
        <v>22</v>
      </c>
      <c r="Q66" s="274" t="b">
        <f>VLOOKUP($B66,'Run Reconcile'!B$2:O2488,14,FALSE)</f>
        <v>1</v>
      </c>
      <c r="R66" s="472" t="str">
        <f t="array" ref="R66">IF($Q66, INDEX('Run Reconcile'!A$2:A2488,MATCH(B66,'Run Reconcile'!B$2:B2488,0),1),IFERROR(0/0,""))</f>
        <v>RUN-FLMP_2021-02-01_APS-019</v>
      </c>
      <c r="S66" s="473" t="str">
        <f t="shared" ref="S66:T66" si="136">IF(COUNTIF(W$2:W2488, $A66) &gt; 0,TRUE,IFERROR(0/0,""))</f>
        <v/>
      </c>
      <c r="T66" s="473" t="str">
        <f t="shared" si="136"/>
        <v/>
      </c>
      <c r="U66" s="275" t="str">
        <f t="array" ref="U66">IF(ISBLANK($R66), INDEX('Run Reconcile'!A$2:A2488, MATCH($B66, 'Run Reconcile'!B$2:B2488, 0)+Z66, 1), IFERROR(0/0,""))
</f>
        <v/>
      </c>
      <c r="V66" s="474" t="str">
        <f t="shared" si="5"/>
        <v>RUN-FLMP_2021-02-01_APS-019</v>
      </c>
      <c r="Y66" s="89" t="str">
        <f t="shared" si="6"/>
        <v/>
      </c>
      <c r="Z66" s="60" t="str">
        <f t="shared" si="7"/>
        <v/>
      </c>
      <c r="AA66" s="60" t="str">
        <f t="shared" si="8"/>
        <v/>
      </c>
      <c r="AB66" s="60" t="str">
        <f t="shared" si="9"/>
        <v/>
      </c>
      <c r="AC66" s="30" t="str">
        <f t="shared" ref="AC66:AD66" si="137">IF(_xlfn.ISFORMULA(S66),IFERROR(0/0,""),TRUE)</f>
        <v/>
      </c>
      <c r="AD66" s="30" t="str">
        <f t="shared" si="137"/>
        <v/>
      </c>
      <c r="AE66" s="475" t="str">
        <f>IFERROR(__xludf.DUMMYFUNCTION("""COMPUTED_VALUE"""),"FLSP")</f>
        <v>FLSP</v>
      </c>
      <c r="AF66" s="476"/>
      <c r="AG66" s="474" t="s">
        <v>51</v>
      </c>
      <c r="AH66" s="138" t="str">
        <f t="shared" si="11"/>
        <v/>
      </c>
    </row>
    <row r="67">
      <c r="A67" s="103">
        <f>IFERROR(__xludf.DUMMYFUNCTION("""COMPUTED_VALUE"""),360048.0)</f>
        <v>360048</v>
      </c>
      <c r="B67" s="468">
        <f>IFERROR(__xludf.DUMMYFUNCTION("""COMPUTED_VALUE"""),44228.0)</f>
        <v>44228</v>
      </c>
      <c r="C67" s="469">
        <f>IFERROR(__xludf.DUMMYFUNCTION("""COMPUTED_VALUE"""),0.3366898148148148)</f>
        <v>0.3366898148</v>
      </c>
      <c r="D67" s="103" t="str">
        <f>IFERROR(__xludf.DUMMYFUNCTION("""COMPUTED_VALUE"""),"SpFLMP294811")</f>
        <v>SpFLMP294811</v>
      </c>
      <c r="E67" s="103"/>
      <c r="F67" s="103"/>
      <c r="G67" s="103" t="str">
        <f>IFERROR(__xludf.DUMMYFUNCTION("""COMPUTED_VALUE"""),"Negative")</f>
        <v>Negative</v>
      </c>
      <c r="H67" s="131" t="str">
        <f>IFERROR(__xludf.DUMMYFUNCTION("""COMPUTED_VALUE"""),"Negative")</f>
        <v>Negative</v>
      </c>
      <c r="I67" s="468">
        <f>IFERROR(__xludf.DUMMYFUNCTION("""COMPUTED_VALUE"""),44250.0)</f>
        <v>44250</v>
      </c>
      <c r="J67" s="470">
        <f>IFERROR(__xludf.DUMMYFUNCTION("""COMPUTED_VALUE"""),0.3905324074074074)</f>
        <v>0.3905324074</v>
      </c>
      <c r="K67" s="16"/>
      <c r="L67" s="8"/>
      <c r="M67" s="69"/>
      <c r="N67" s="69">
        <f>IFERROR(__xludf.DUMMYFUNCTION("""COMPUTED_VALUE"""),1.0)</f>
        <v>1</v>
      </c>
      <c r="O67" s="69" t="str">
        <f t="shared" si="3"/>
        <v/>
      </c>
      <c r="P67" s="471">
        <f>IFERROR(__xludf.DUMMYFUNCTION("""COMPUTED_VALUE"""),22.0)</f>
        <v>22</v>
      </c>
      <c r="Q67" s="274" t="b">
        <f>VLOOKUP($B67,'Run Reconcile'!B$2:O2488,14,FALSE)</f>
        <v>1</v>
      </c>
      <c r="R67" s="472" t="str">
        <f t="array" ref="R67">IF($Q67, INDEX('Run Reconcile'!A$2:A2488,MATCH(B67,'Run Reconcile'!B$2:B2488,0),1),IFERROR(0/0,""))</f>
        <v>RUN-FLMP_2021-02-01_APS-019</v>
      </c>
      <c r="S67" s="473" t="str">
        <f t="shared" ref="S67:T67" si="138">IF(COUNTIF(W$2:W2488, $A67) &gt; 0,TRUE,IFERROR(0/0,""))</f>
        <v/>
      </c>
      <c r="T67" s="473" t="str">
        <f t="shared" si="138"/>
        <v/>
      </c>
      <c r="U67" s="275" t="str">
        <f t="array" ref="U67">IF(ISBLANK($R67), INDEX('Run Reconcile'!A$2:A2488, MATCH($B67, 'Run Reconcile'!B$2:B2488, 0)+Z67, 1), IFERROR(0/0,""))
</f>
        <v/>
      </c>
      <c r="V67" s="474" t="str">
        <f t="shared" si="5"/>
        <v>RUN-FLMP_2021-02-01_APS-019</v>
      </c>
      <c r="Y67" s="89" t="str">
        <f t="shared" si="6"/>
        <v/>
      </c>
      <c r="Z67" s="60" t="str">
        <f t="shared" si="7"/>
        <v/>
      </c>
      <c r="AA67" s="60" t="str">
        <f t="shared" si="8"/>
        <v/>
      </c>
      <c r="AB67" s="60" t="str">
        <f t="shared" si="9"/>
        <v/>
      </c>
      <c r="AC67" s="30" t="str">
        <f t="shared" ref="AC67:AD67" si="139">IF(_xlfn.ISFORMULA(S67),IFERROR(0/0,""),TRUE)</f>
        <v/>
      </c>
      <c r="AD67" s="30" t="str">
        <f t="shared" si="139"/>
        <v/>
      </c>
      <c r="AE67" s="475" t="str">
        <f>IFERROR(__xludf.DUMMYFUNCTION("""COMPUTED_VALUE"""),"FLSP")</f>
        <v>FLSP</v>
      </c>
      <c r="AF67" s="476"/>
      <c r="AG67" s="474" t="s">
        <v>51</v>
      </c>
      <c r="AH67" s="138" t="str">
        <f t="shared" si="11"/>
        <v/>
      </c>
    </row>
    <row r="68">
      <c r="A68" s="103">
        <f>IFERROR(__xludf.DUMMYFUNCTION("""COMPUTED_VALUE"""),360037.0)</f>
        <v>360037</v>
      </c>
      <c r="B68" s="468">
        <f>IFERROR(__xludf.DUMMYFUNCTION("""COMPUTED_VALUE"""),44228.0)</f>
        <v>44228</v>
      </c>
      <c r="C68" s="469">
        <f>IFERROR(__xludf.DUMMYFUNCTION("""COMPUTED_VALUE"""),0.34685185185185186)</f>
        <v>0.3468518519</v>
      </c>
      <c r="D68" s="103" t="str">
        <f>IFERROR(__xludf.DUMMYFUNCTION("""COMPUTED_VALUE"""),"SpFLMP294811")</f>
        <v>SpFLMP294811</v>
      </c>
      <c r="E68" s="103"/>
      <c r="F68" s="103"/>
      <c r="G68" s="103" t="str">
        <f>IFERROR(__xludf.DUMMYFUNCTION("""COMPUTED_VALUE"""),"Negative")</f>
        <v>Negative</v>
      </c>
      <c r="H68" s="131" t="str">
        <f>IFERROR(__xludf.DUMMYFUNCTION("""COMPUTED_VALUE"""),"Negative")</f>
        <v>Negative</v>
      </c>
      <c r="I68" s="468">
        <f>IFERROR(__xludf.DUMMYFUNCTION("""COMPUTED_VALUE"""),44250.0)</f>
        <v>44250</v>
      </c>
      <c r="J68" s="470">
        <f>IFERROR(__xludf.DUMMYFUNCTION("""COMPUTED_VALUE"""),0.3905324074074074)</f>
        <v>0.3905324074</v>
      </c>
      <c r="K68" s="16"/>
      <c r="L68" s="8"/>
      <c r="M68" s="69"/>
      <c r="N68" s="69">
        <f>IFERROR(__xludf.DUMMYFUNCTION("""COMPUTED_VALUE"""),2.0)</f>
        <v>2</v>
      </c>
      <c r="O68" s="69" t="str">
        <f t="shared" si="3"/>
        <v/>
      </c>
      <c r="P68" s="471">
        <f>IFERROR(__xludf.DUMMYFUNCTION("""COMPUTED_VALUE"""),22.0)</f>
        <v>22</v>
      </c>
      <c r="Q68" s="274" t="b">
        <f>VLOOKUP($B68,'Run Reconcile'!B$2:O2488,14,FALSE)</f>
        <v>1</v>
      </c>
      <c r="R68" s="472" t="str">
        <f t="array" ref="R68">IF($Q68, INDEX('Run Reconcile'!A$2:A2488,MATCH(B68,'Run Reconcile'!B$2:B2488,0),1),IFERROR(0/0,""))</f>
        <v>RUN-FLMP_2021-02-01_APS-019</v>
      </c>
      <c r="S68" s="473" t="str">
        <f t="shared" ref="S68:T68" si="140">IF(COUNTIF(W$2:W2488, $A68) &gt; 0,TRUE,IFERROR(0/0,""))</f>
        <v/>
      </c>
      <c r="T68" s="473" t="str">
        <f t="shared" si="140"/>
        <v/>
      </c>
      <c r="U68" s="275" t="str">
        <f t="array" ref="U68">IF(ISBLANK($R68), INDEX('Run Reconcile'!A$2:A2488, MATCH($B68, 'Run Reconcile'!B$2:B2488, 0)+Z68, 1), IFERROR(0/0,""))
</f>
        <v/>
      </c>
      <c r="V68" s="474" t="str">
        <f t="shared" si="5"/>
        <v>RUN-FLMP_2021-02-01_APS-019</v>
      </c>
      <c r="Y68" s="89" t="str">
        <f t="shared" si="6"/>
        <v/>
      </c>
      <c r="Z68" s="60" t="str">
        <f t="shared" si="7"/>
        <v/>
      </c>
      <c r="AA68" s="60" t="str">
        <f t="shared" si="8"/>
        <v/>
      </c>
      <c r="AB68" s="60" t="str">
        <f t="shared" si="9"/>
        <v/>
      </c>
      <c r="AC68" s="30" t="str">
        <f t="shared" ref="AC68:AD68" si="141">IF(_xlfn.ISFORMULA(S68),IFERROR(0/0,""),TRUE)</f>
        <v/>
      </c>
      <c r="AD68" s="30" t="str">
        <f t="shared" si="141"/>
        <v/>
      </c>
      <c r="AE68" s="475" t="str">
        <f>IFERROR(__xludf.DUMMYFUNCTION("""COMPUTED_VALUE"""),"FLSP")</f>
        <v>FLSP</v>
      </c>
      <c r="AF68" s="476"/>
      <c r="AG68" s="474" t="s">
        <v>51</v>
      </c>
      <c r="AH68" s="138" t="str">
        <f t="shared" si="11"/>
        <v/>
      </c>
    </row>
    <row r="69">
      <c r="A69" s="103" t="str">
        <f>IFERROR(__xludf.DUMMYFUNCTION("""COMPUTED_VALUE"""),"D3924")</f>
        <v>D3924</v>
      </c>
      <c r="B69" s="468">
        <f>IFERROR(__xludf.DUMMYFUNCTION("""COMPUTED_VALUE"""),44228.0)</f>
        <v>44228</v>
      </c>
      <c r="C69" s="469">
        <f>IFERROR(__xludf.DUMMYFUNCTION("""COMPUTED_VALUE"""),0.3525578703703704)</f>
        <v>0.3525578704</v>
      </c>
      <c r="D69" s="103" t="str">
        <f>IFERROR(__xludf.DUMMYFUNCTION("""COMPUTED_VALUE"""),"SpFLMP959641")</f>
        <v>SpFLMP959641</v>
      </c>
      <c r="E69" s="103"/>
      <c r="F69" s="103"/>
      <c r="G69" s="103" t="str">
        <f>IFERROR(__xludf.DUMMYFUNCTION("""COMPUTED_VALUE"""),"Negative")</f>
        <v>Negative</v>
      </c>
      <c r="H69" s="131" t="str">
        <f>IFERROR(__xludf.DUMMYFUNCTION("""COMPUTED_VALUE"""),"Negative")</f>
        <v>Negative</v>
      </c>
      <c r="I69" s="468">
        <f>IFERROR(__xludf.DUMMYFUNCTION("""COMPUTED_VALUE"""),44250.0)</f>
        <v>44250</v>
      </c>
      <c r="J69" s="470">
        <f>IFERROR(__xludf.DUMMYFUNCTION("""COMPUTED_VALUE"""),0.3905324074074074)</f>
        <v>0.3905324074</v>
      </c>
      <c r="K69" s="16"/>
      <c r="L69" s="8"/>
      <c r="M69" s="69"/>
      <c r="N69" s="69">
        <f>IFERROR(__xludf.DUMMYFUNCTION("""COMPUTED_VALUE"""),4.0)</f>
        <v>4</v>
      </c>
      <c r="O69" s="69" t="str">
        <f t="shared" si="3"/>
        <v/>
      </c>
      <c r="P69" s="471">
        <f>IFERROR(__xludf.DUMMYFUNCTION("""COMPUTED_VALUE"""),22.0)</f>
        <v>22</v>
      </c>
      <c r="Q69" s="274" t="b">
        <f>VLOOKUP($B69,'Run Reconcile'!B$2:O2488,14,FALSE)</f>
        <v>1</v>
      </c>
      <c r="R69" s="472" t="str">
        <f t="array" ref="R69">IF($Q69, INDEX('Run Reconcile'!A$2:A2488,MATCH(B69,'Run Reconcile'!B$2:B2488,0),1),IFERROR(0/0,""))</f>
        <v>RUN-FLMP_2021-02-01_APS-019</v>
      </c>
      <c r="S69" s="473" t="str">
        <f t="shared" ref="S69:T69" si="142">IF(COUNTIF(W$2:W2488, $A69) &gt; 0,TRUE,IFERROR(0/0,""))</f>
        <v/>
      </c>
      <c r="T69" s="473" t="str">
        <f t="shared" si="142"/>
        <v/>
      </c>
      <c r="U69" s="275" t="str">
        <f t="array" ref="U69">IF(ISBLANK($R69), INDEX('Run Reconcile'!A$2:A2488, MATCH($B69, 'Run Reconcile'!B$2:B2488, 0)+Z69, 1), IFERROR(0/0,""))
</f>
        <v/>
      </c>
      <c r="V69" s="474" t="str">
        <f t="shared" si="5"/>
        <v>RUN-FLMP_2021-02-01_APS-019</v>
      </c>
      <c r="Y69" s="89" t="str">
        <f t="shared" si="6"/>
        <v/>
      </c>
      <c r="Z69" s="60" t="str">
        <f t="shared" si="7"/>
        <v/>
      </c>
      <c r="AA69" s="60" t="str">
        <f t="shared" si="8"/>
        <v/>
      </c>
      <c r="AB69" s="60" t="str">
        <f t="shared" si="9"/>
        <v/>
      </c>
      <c r="AC69" s="30" t="str">
        <f t="shared" ref="AC69:AD69" si="143">IF(_xlfn.ISFORMULA(S69),IFERROR(0/0,""),TRUE)</f>
        <v/>
      </c>
      <c r="AD69" s="30" t="str">
        <f t="shared" si="143"/>
        <v/>
      </c>
      <c r="AE69" s="475" t="str">
        <f>IFERROR(__xludf.DUMMYFUNCTION("""COMPUTED_VALUE"""),"FLSP")</f>
        <v>FLSP</v>
      </c>
      <c r="AF69" s="476"/>
      <c r="AG69" s="474" t="s">
        <v>51</v>
      </c>
      <c r="AH69" s="138" t="str">
        <f t="shared" si="11"/>
        <v/>
      </c>
    </row>
    <row r="70">
      <c r="A70" s="103" t="str">
        <f>IFERROR(__xludf.DUMMYFUNCTION("""COMPUTED_VALUE"""),"C09612")</f>
        <v>C09612</v>
      </c>
      <c r="B70" s="468">
        <f>IFERROR(__xludf.DUMMYFUNCTION("""COMPUTED_VALUE"""),44231.0)</f>
        <v>44231</v>
      </c>
      <c r="C70" s="469">
        <f>IFERROR(__xludf.DUMMYFUNCTION("""COMPUTED_VALUE"""),0.7701157407407407)</f>
        <v>0.7701157407</v>
      </c>
      <c r="D70" s="103" t="str">
        <f>IFERROR(__xludf.DUMMYFUNCTION("""COMPUTED_VALUE"""),"SpFLMP626948")</f>
        <v>SpFLMP626948</v>
      </c>
      <c r="E70" s="103"/>
      <c r="F70" s="103"/>
      <c r="G70" s="103" t="str">
        <f>IFERROR(__xludf.DUMMYFUNCTION("""COMPUTED_VALUE"""),"Negative")</f>
        <v>Negative</v>
      </c>
      <c r="H70" s="131" t="str">
        <f>IFERROR(__xludf.DUMMYFUNCTION("""COMPUTED_VALUE"""),"Negative")</f>
        <v>Negative</v>
      </c>
      <c r="I70" s="468">
        <f>IFERROR(__xludf.DUMMYFUNCTION("""COMPUTED_VALUE"""),44250.0)</f>
        <v>44250</v>
      </c>
      <c r="J70" s="470">
        <f>IFERROR(__xludf.DUMMYFUNCTION("""COMPUTED_VALUE"""),0.3905324074074074)</f>
        <v>0.3905324074</v>
      </c>
      <c r="K70" s="16"/>
      <c r="L70" s="8"/>
      <c r="M70" s="69"/>
      <c r="N70" s="69">
        <f>IFERROR(__xludf.DUMMYFUNCTION("""COMPUTED_VALUE"""),4.0)</f>
        <v>4</v>
      </c>
      <c r="O70" s="69" t="b">
        <f t="shared" si="3"/>
        <v>1</v>
      </c>
      <c r="P70" s="471">
        <f>IFERROR(__xludf.DUMMYFUNCTION("""COMPUTED_VALUE"""),19.0)</f>
        <v>19</v>
      </c>
      <c r="Q70" s="274" t="b">
        <f>VLOOKUP($B70,'Run Reconcile'!B$2:O2488,14,FALSE)</f>
        <v>1</v>
      </c>
      <c r="R70" s="472" t="str">
        <f t="array" ref="R70">IF($Q70, INDEX('Run Reconcile'!A$2:A2488,MATCH(B70,'Run Reconcile'!B$2:B2488,0),1),IFERROR(0/0,""))</f>
        <v>RUN-FLMP_2021-02-04_APS-020</v>
      </c>
      <c r="S70" s="473" t="str">
        <f t="shared" ref="S70:T70" si="144">IF(COUNTIF(W$2:W2488, $A70) &gt; 0,TRUE,IFERROR(0/0,""))</f>
        <v/>
      </c>
      <c r="T70" s="473" t="str">
        <f t="shared" si="144"/>
        <v/>
      </c>
      <c r="U70" s="275" t="str">
        <f t="array" ref="U70">IF(ISBLANK($R70), INDEX('Run Reconcile'!A$2:A2488, MATCH($B70, 'Run Reconcile'!B$2:B2488, 0)+Z70, 1), IFERROR(0/0,""))
</f>
        <v/>
      </c>
      <c r="V70" s="474" t="str">
        <f t="shared" si="5"/>
        <v>RUN-FLMP_2021-02-04_APS-020</v>
      </c>
      <c r="Y70" s="89" t="str">
        <f t="shared" si="6"/>
        <v/>
      </c>
      <c r="Z70" s="60" t="str">
        <f t="shared" si="7"/>
        <v/>
      </c>
      <c r="AA70" s="60" t="str">
        <f t="shared" si="8"/>
        <v/>
      </c>
      <c r="AB70" s="60" t="str">
        <f t="shared" si="9"/>
        <v/>
      </c>
      <c r="AC70" s="30" t="str">
        <f t="shared" ref="AC70:AD70" si="145">IF(_xlfn.ISFORMULA(S70),IFERROR(0/0,""),TRUE)</f>
        <v/>
      </c>
      <c r="AD70" s="30" t="str">
        <f t="shared" si="145"/>
        <v/>
      </c>
      <c r="AE70" s="475" t="str">
        <f>IFERROR(__xludf.DUMMYFUNCTION("""COMPUTED_VALUE"""),"FLSP")</f>
        <v>FLSP</v>
      </c>
      <c r="AF70" s="476"/>
      <c r="AG70" s="474" t="s">
        <v>52</v>
      </c>
      <c r="AH70" s="138" t="str">
        <f t="shared" si="11"/>
        <v/>
      </c>
    </row>
    <row r="71">
      <c r="A71" s="103" t="str">
        <f>IFERROR(__xludf.DUMMYFUNCTION("""COMPUTED_VALUE"""),"C09615")</f>
        <v>C09615</v>
      </c>
      <c r="B71" s="468">
        <f>IFERROR(__xludf.DUMMYFUNCTION("""COMPUTED_VALUE"""),44231.0)</f>
        <v>44231</v>
      </c>
      <c r="C71" s="469">
        <f>IFERROR(__xludf.DUMMYFUNCTION("""COMPUTED_VALUE"""),0.7854745370370371)</f>
        <v>0.785474537</v>
      </c>
      <c r="D71" s="103" t="str">
        <f>IFERROR(__xludf.DUMMYFUNCTION("""COMPUTED_VALUE"""),"SpFLMP634683")</f>
        <v>SpFLMP634683</v>
      </c>
      <c r="E71" s="103"/>
      <c r="F71" s="103"/>
      <c r="G71" s="103" t="str">
        <f>IFERROR(__xludf.DUMMYFUNCTION("""COMPUTED_VALUE"""),"Negative")</f>
        <v>Negative</v>
      </c>
      <c r="H71" s="131" t="str">
        <f>IFERROR(__xludf.DUMMYFUNCTION("""COMPUTED_VALUE"""),"Negative")</f>
        <v>Negative</v>
      </c>
      <c r="I71" s="468">
        <f>IFERROR(__xludf.DUMMYFUNCTION("""COMPUTED_VALUE"""),44250.0)</f>
        <v>44250</v>
      </c>
      <c r="J71" s="470">
        <f>IFERROR(__xludf.DUMMYFUNCTION("""COMPUTED_VALUE"""),0.3905324074074074)</f>
        <v>0.3905324074</v>
      </c>
      <c r="K71" s="16"/>
      <c r="L71" s="8"/>
      <c r="M71" s="69"/>
      <c r="N71" s="69">
        <f>IFERROR(__xludf.DUMMYFUNCTION("""COMPUTED_VALUE"""),4.0)</f>
        <v>4</v>
      </c>
      <c r="O71" s="69" t="str">
        <f t="shared" si="3"/>
        <v/>
      </c>
      <c r="P71" s="471">
        <f>IFERROR(__xludf.DUMMYFUNCTION("""COMPUTED_VALUE"""),19.0)</f>
        <v>19</v>
      </c>
      <c r="Q71" s="274" t="b">
        <f>VLOOKUP($B71,'Run Reconcile'!B$2:O2488,14,FALSE)</f>
        <v>1</v>
      </c>
      <c r="R71" s="472" t="str">
        <f t="array" ref="R71">IF($Q71, INDEX('Run Reconcile'!A$2:A2488,MATCH(B71,'Run Reconcile'!B$2:B2488,0),1),IFERROR(0/0,""))</f>
        <v>RUN-FLMP_2021-02-04_APS-020</v>
      </c>
      <c r="S71" s="473" t="str">
        <f t="shared" ref="S71:T71" si="146">IF(COUNTIF(W$2:W2488, $A71) &gt; 0,TRUE,IFERROR(0/0,""))</f>
        <v/>
      </c>
      <c r="T71" s="473" t="str">
        <f t="shared" si="146"/>
        <v/>
      </c>
      <c r="U71" s="275" t="str">
        <f t="array" ref="U71">IF(ISBLANK($R71), INDEX('Run Reconcile'!A$2:A2488, MATCH($B71, 'Run Reconcile'!B$2:B2488, 0)+Z71, 1), IFERROR(0/0,""))
</f>
        <v/>
      </c>
      <c r="V71" s="474" t="str">
        <f t="shared" si="5"/>
        <v>RUN-FLMP_2021-02-04_APS-020</v>
      </c>
      <c r="Y71" s="89" t="str">
        <f t="shared" si="6"/>
        <v/>
      </c>
      <c r="Z71" s="60" t="str">
        <f t="shared" si="7"/>
        <v/>
      </c>
      <c r="AA71" s="60" t="str">
        <f t="shared" si="8"/>
        <v/>
      </c>
      <c r="AB71" s="60" t="str">
        <f t="shared" si="9"/>
        <v/>
      </c>
      <c r="AC71" s="30" t="str">
        <f t="shared" ref="AC71:AD71" si="147">IF(_xlfn.ISFORMULA(S71),IFERROR(0/0,""),TRUE)</f>
        <v/>
      </c>
      <c r="AD71" s="30" t="str">
        <f t="shared" si="147"/>
        <v/>
      </c>
      <c r="AE71" s="475" t="str">
        <f>IFERROR(__xludf.DUMMYFUNCTION("""COMPUTED_VALUE"""),"FLSP")</f>
        <v>FLSP</v>
      </c>
      <c r="AF71" s="476"/>
      <c r="AG71" s="474" t="s">
        <v>52</v>
      </c>
      <c r="AH71" s="138" t="str">
        <f t="shared" si="11"/>
        <v/>
      </c>
    </row>
    <row r="72">
      <c r="A72" s="103">
        <f>IFERROR(__xludf.DUMMYFUNCTION("""COMPUTED_VALUE"""),336374.0)</f>
        <v>336374</v>
      </c>
      <c r="B72" s="468">
        <f>IFERROR(__xludf.DUMMYFUNCTION("""COMPUTED_VALUE"""),44231.0)</f>
        <v>44231</v>
      </c>
      <c r="C72" s="469">
        <f>IFERROR(__xludf.DUMMYFUNCTION("""COMPUTED_VALUE"""),0.9532060185185185)</f>
        <v>0.9532060185</v>
      </c>
      <c r="D72" s="103" t="str">
        <f>IFERROR(__xludf.DUMMYFUNCTION("""COMPUTED_VALUE"""),"SpFLMP870846")</f>
        <v>SpFLMP870846</v>
      </c>
      <c r="E72" s="103"/>
      <c r="F72" s="103"/>
      <c r="G72" s="103" t="str">
        <f>IFERROR(__xludf.DUMMYFUNCTION("""COMPUTED_VALUE"""),"Negative")</f>
        <v>Negative</v>
      </c>
      <c r="H72" s="131" t="str">
        <f>IFERROR(__xludf.DUMMYFUNCTION("""COMPUTED_VALUE"""),"Negative")</f>
        <v>Negative</v>
      </c>
      <c r="I72" s="468">
        <f>IFERROR(__xludf.DUMMYFUNCTION("""COMPUTED_VALUE"""),44250.0)</f>
        <v>44250</v>
      </c>
      <c r="J72" s="470">
        <f>IFERROR(__xludf.DUMMYFUNCTION("""COMPUTED_VALUE"""),0.3905324074074074)</f>
        <v>0.3905324074</v>
      </c>
      <c r="K72" s="16"/>
      <c r="L72" s="8"/>
      <c r="M72" s="69"/>
      <c r="N72" s="69">
        <f>IFERROR(__xludf.DUMMYFUNCTION("""COMPUTED_VALUE"""),1.0)</f>
        <v>1</v>
      </c>
      <c r="O72" s="69" t="str">
        <f t="shared" si="3"/>
        <v/>
      </c>
      <c r="P72" s="471">
        <f>IFERROR(__xludf.DUMMYFUNCTION("""COMPUTED_VALUE"""),19.0)</f>
        <v>19</v>
      </c>
      <c r="Q72" s="274" t="b">
        <f>VLOOKUP($B72,'Run Reconcile'!B$2:O2488,14,FALSE)</f>
        <v>1</v>
      </c>
      <c r="R72" s="472" t="str">
        <f t="array" ref="R72">IF($Q72, INDEX('Run Reconcile'!A$2:A2488,MATCH(B72,'Run Reconcile'!B$2:B2488,0),1),IFERROR(0/0,""))</f>
        <v>RUN-FLMP_2021-02-04_APS-020</v>
      </c>
      <c r="S72" s="473" t="str">
        <f t="shared" ref="S72:T72" si="148">IF(COUNTIF(W$2:W2488, $A72) &gt; 0,TRUE,IFERROR(0/0,""))</f>
        <v/>
      </c>
      <c r="T72" s="473" t="str">
        <f t="shared" si="148"/>
        <v/>
      </c>
      <c r="U72" s="275" t="str">
        <f t="array" ref="U72">IF(ISBLANK($R72), INDEX('Run Reconcile'!A$2:A2488, MATCH($B72, 'Run Reconcile'!B$2:B2488, 0)+Z72, 1), IFERROR(0/0,""))
</f>
        <v/>
      </c>
      <c r="V72" s="474" t="str">
        <f t="shared" si="5"/>
        <v>RUN-FLMP_2021-02-04_APS-020</v>
      </c>
      <c r="Y72" s="89" t="str">
        <f t="shared" si="6"/>
        <v/>
      </c>
      <c r="Z72" s="60" t="str">
        <f t="shared" si="7"/>
        <v/>
      </c>
      <c r="AA72" s="60" t="str">
        <f t="shared" si="8"/>
        <v/>
      </c>
      <c r="AB72" s="60" t="str">
        <f t="shared" si="9"/>
        <v/>
      </c>
      <c r="AC72" s="30" t="str">
        <f t="shared" ref="AC72:AD72" si="149">IF(_xlfn.ISFORMULA(S72),IFERROR(0/0,""),TRUE)</f>
        <v/>
      </c>
      <c r="AD72" s="30" t="str">
        <f t="shared" si="149"/>
        <v/>
      </c>
      <c r="AE72" s="475" t="str">
        <f>IFERROR(__xludf.DUMMYFUNCTION("""COMPUTED_VALUE"""),"FLSP")</f>
        <v>FLSP</v>
      </c>
      <c r="AF72" s="476"/>
      <c r="AG72" s="474" t="s">
        <v>52</v>
      </c>
      <c r="AH72" s="138" t="str">
        <f t="shared" si="11"/>
        <v/>
      </c>
    </row>
    <row r="73">
      <c r="A73" s="103" t="str">
        <f>IFERROR(__xludf.DUMMYFUNCTION("""COMPUTED_VALUE"""),"C09617")</f>
        <v>C09617</v>
      </c>
      <c r="B73" s="468">
        <f>IFERROR(__xludf.DUMMYFUNCTION("""COMPUTED_VALUE"""),44232.0)</f>
        <v>44232</v>
      </c>
      <c r="C73" s="469">
        <f>IFERROR(__xludf.DUMMYFUNCTION("""COMPUTED_VALUE"""),0.3326388888888889)</f>
        <v>0.3326388889</v>
      </c>
      <c r="D73" s="103" t="str">
        <f>IFERROR(__xludf.DUMMYFUNCTION("""COMPUTED_VALUE"""),"SpFLMP294811")</f>
        <v>SpFLMP294811</v>
      </c>
      <c r="E73" s="103"/>
      <c r="F73" s="103"/>
      <c r="G73" s="103" t="str">
        <f>IFERROR(__xludf.DUMMYFUNCTION("""COMPUTED_VALUE"""),"Negative")</f>
        <v>Negative</v>
      </c>
      <c r="H73" s="131" t="str">
        <f>IFERROR(__xludf.DUMMYFUNCTION("""COMPUTED_VALUE"""),"Negative")</f>
        <v>Negative</v>
      </c>
      <c r="I73" s="468">
        <f>IFERROR(__xludf.DUMMYFUNCTION("""COMPUTED_VALUE"""),44250.0)</f>
        <v>44250</v>
      </c>
      <c r="J73" s="470">
        <f>IFERROR(__xludf.DUMMYFUNCTION("""COMPUTED_VALUE"""),0.3905324074074074)</f>
        <v>0.3905324074</v>
      </c>
      <c r="K73" s="16"/>
      <c r="L73" s="8"/>
      <c r="M73" s="69"/>
      <c r="N73" s="69">
        <f>IFERROR(__xludf.DUMMYFUNCTION("""COMPUTED_VALUE"""),1.0)</f>
        <v>1</v>
      </c>
      <c r="O73" s="69" t="b">
        <f t="shared" si="3"/>
        <v>1</v>
      </c>
      <c r="P73" s="471">
        <f>IFERROR(__xludf.DUMMYFUNCTION("""COMPUTED_VALUE"""),18.0)</f>
        <v>18</v>
      </c>
      <c r="Q73" s="274" t="b">
        <f>VLOOKUP($B73,'Run Reconcile'!B$2:O2488,14,FALSE)</f>
        <v>1</v>
      </c>
      <c r="R73" s="472" t="str">
        <f t="array" ref="R73">IF($Q73, INDEX('Run Reconcile'!A$2:A2488,MATCH(B73,'Run Reconcile'!B$2:B2488,0),1),IFERROR(0/0,""))</f>
        <v>RUN-FLMP_2021-02-05_APS-021</v>
      </c>
      <c r="S73" s="473" t="str">
        <f t="shared" ref="S73:T73" si="150">IF(COUNTIF(W$2:W2488, $A73) &gt; 0,TRUE,IFERROR(0/0,""))</f>
        <v/>
      </c>
      <c r="T73" s="473" t="str">
        <f t="shared" si="150"/>
        <v/>
      </c>
      <c r="U73" s="275" t="str">
        <f t="array" ref="U73">IF(ISBLANK($R73), INDEX('Run Reconcile'!A$2:A2488, MATCH($B73, 'Run Reconcile'!B$2:B2488, 0)+Z73, 1), IFERROR(0/0,""))
</f>
        <v/>
      </c>
      <c r="V73" s="474" t="str">
        <f t="shared" si="5"/>
        <v>RUN-FLMP_2021-02-05_APS-021</v>
      </c>
      <c r="Y73" s="89" t="str">
        <f t="shared" si="6"/>
        <v/>
      </c>
      <c r="Z73" s="60" t="str">
        <f t="shared" si="7"/>
        <v/>
      </c>
      <c r="AA73" s="60" t="str">
        <f t="shared" si="8"/>
        <v/>
      </c>
      <c r="AB73" s="60" t="str">
        <f t="shared" si="9"/>
        <v/>
      </c>
      <c r="AC73" s="30" t="str">
        <f t="shared" ref="AC73:AD73" si="151">IF(_xlfn.ISFORMULA(S73),IFERROR(0/0,""),TRUE)</f>
        <v/>
      </c>
      <c r="AD73" s="30" t="str">
        <f t="shared" si="151"/>
        <v/>
      </c>
      <c r="AE73" s="475" t="str">
        <f>IFERROR(__xludf.DUMMYFUNCTION("""COMPUTED_VALUE"""),"FLSP")</f>
        <v>FLSP</v>
      </c>
      <c r="AF73" s="476"/>
      <c r="AG73" s="474" t="s">
        <v>53</v>
      </c>
      <c r="AH73" s="138" t="str">
        <f t="shared" si="11"/>
        <v/>
      </c>
    </row>
    <row r="74">
      <c r="A74" s="103" t="str">
        <f>IFERROR(__xludf.DUMMYFUNCTION("""COMPUTED_VALUE"""),"D3927")</f>
        <v>D3927</v>
      </c>
      <c r="B74" s="468">
        <f>IFERROR(__xludf.DUMMYFUNCTION("""COMPUTED_VALUE"""),44232.0)</f>
        <v>44232</v>
      </c>
      <c r="C74" s="469">
        <f>IFERROR(__xludf.DUMMYFUNCTION("""COMPUTED_VALUE"""),0.3334490740740741)</f>
        <v>0.3334490741</v>
      </c>
      <c r="D74" s="103" t="str">
        <f>IFERROR(__xludf.DUMMYFUNCTION("""COMPUTED_VALUE"""),"SpFLMP294811")</f>
        <v>SpFLMP294811</v>
      </c>
      <c r="E74" s="103"/>
      <c r="F74" s="103"/>
      <c r="G74" s="103" t="str">
        <f>IFERROR(__xludf.DUMMYFUNCTION("""COMPUTED_VALUE"""),"Negative")</f>
        <v>Negative</v>
      </c>
      <c r="H74" s="131" t="str">
        <f>IFERROR(__xludf.DUMMYFUNCTION("""COMPUTED_VALUE"""),"Negative")</f>
        <v>Negative</v>
      </c>
      <c r="I74" s="468">
        <f>IFERROR(__xludf.DUMMYFUNCTION("""COMPUTED_VALUE"""),44250.0)</f>
        <v>44250</v>
      </c>
      <c r="J74" s="470">
        <f>IFERROR(__xludf.DUMMYFUNCTION("""COMPUTED_VALUE"""),0.3905324074074074)</f>
        <v>0.3905324074</v>
      </c>
      <c r="K74" s="16"/>
      <c r="L74" s="8"/>
      <c r="M74" s="69"/>
      <c r="N74" s="69">
        <f>IFERROR(__xludf.DUMMYFUNCTION("""COMPUTED_VALUE"""),3.0)</f>
        <v>3</v>
      </c>
      <c r="O74" s="69" t="str">
        <f t="shared" si="3"/>
        <v/>
      </c>
      <c r="P74" s="471">
        <f>IFERROR(__xludf.DUMMYFUNCTION("""COMPUTED_VALUE"""),18.0)</f>
        <v>18</v>
      </c>
      <c r="Q74" s="274" t="b">
        <f>VLOOKUP($B74,'Run Reconcile'!B$2:O2488,14,FALSE)</f>
        <v>1</v>
      </c>
      <c r="R74" s="472" t="str">
        <f t="array" ref="R74">IF($Q74, INDEX('Run Reconcile'!A$2:A2488,MATCH(B74,'Run Reconcile'!B$2:B2488,0),1),IFERROR(0/0,""))</f>
        <v>RUN-FLMP_2021-02-05_APS-021</v>
      </c>
      <c r="S74" s="473" t="str">
        <f t="shared" ref="S74:T74" si="152">IF(COUNTIF(W$2:W2488, $A74) &gt; 0,TRUE,IFERROR(0/0,""))</f>
        <v/>
      </c>
      <c r="T74" s="473" t="str">
        <f t="shared" si="152"/>
        <v/>
      </c>
      <c r="U74" s="275" t="str">
        <f t="array" ref="U74">IF(ISBLANK($R74), INDEX('Run Reconcile'!A$2:A2488, MATCH($B74, 'Run Reconcile'!B$2:B2488, 0)+Z74, 1), IFERROR(0/0,""))
</f>
        <v/>
      </c>
      <c r="V74" s="474" t="str">
        <f t="shared" si="5"/>
        <v>RUN-FLMP_2021-02-05_APS-021</v>
      </c>
      <c r="Y74" s="89" t="str">
        <f t="shared" si="6"/>
        <v/>
      </c>
      <c r="Z74" s="60" t="str">
        <f t="shared" si="7"/>
        <v/>
      </c>
      <c r="AA74" s="60" t="str">
        <f t="shared" si="8"/>
        <v/>
      </c>
      <c r="AB74" s="60" t="str">
        <f t="shared" si="9"/>
        <v/>
      </c>
      <c r="AC74" s="30" t="str">
        <f t="shared" ref="AC74:AD74" si="153">IF(_xlfn.ISFORMULA(S74),IFERROR(0/0,""),TRUE)</f>
        <v/>
      </c>
      <c r="AD74" s="30" t="str">
        <f t="shared" si="153"/>
        <v/>
      </c>
      <c r="AE74" s="475" t="str">
        <f>IFERROR(__xludf.DUMMYFUNCTION("""COMPUTED_VALUE"""),"FLSP")</f>
        <v>FLSP</v>
      </c>
      <c r="AF74" s="476"/>
      <c r="AG74" s="474" t="s">
        <v>53</v>
      </c>
      <c r="AH74" s="138" t="str">
        <f t="shared" si="11"/>
        <v/>
      </c>
    </row>
    <row r="75">
      <c r="A75" s="103" t="str">
        <f>IFERROR(__xludf.DUMMYFUNCTION("""COMPUTED_VALUE"""),"C09614")</f>
        <v>C09614</v>
      </c>
      <c r="B75" s="468">
        <f>IFERROR(__xludf.DUMMYFUNCTION("""COMPUTED_VALUE"""),44232.0)</f>
        <v>44232</v>
      </c>
      <c r="C75" s="469">
        <f>IFERROR(__xludf.DUMMYFUNCTION("""COMPUTED_VALUE"""),0.34519675925925924)</f>
        <v>0.3451967593</v>
      </c>
      <c r="D75" s="103" t="str">
        <f>IFERROR(__xludf.DUMMYFUNCTION("""COMPUTED_VALUE"""),"SpFLMP959641")</f>
        <v>SpFLMP959641</v>
      </c>
      <c r="E75" s="103"/>
      <c r="F75" s="103"/>
      <c r="G75" s="103" t="str">
        <f>IFERROR(__xludf.DUMMYFUNCTION("""COMPUTED_VALUE"""),"Negative")</f>
        <v>Negative</v>
      </c>
      <c r="H75" s="131" t="str">
        <f>IFERROR(__xludf.DUMMYFUNCTION("""COMPUTED_VALUE"""),"Negative")</f>
        <v>Negative</v>
      </c>
      <c r="I75" s="468">
        <f>IFERROR(__xludf.DUMMYFUNCTION("""COMPUTED_VALUE"""),44250.0)</f>
        <v>44250</v>
      </c>
      <c r="J75" s="470">
        <f>IFERROR(__xludf.DUMMYFUNCTION("""COMPUTED_VALUE"""),0.3905324074074074)</f>
        <v>0.3905324074</v>
      </c>
      <c r="K75" s="16"/>
      <c r="L75" s="8"/>
      <c r="M75" s="69"/>
      <c r="N75" s="69">
        <f>IFERROR(__xludf.DUMMYFUNCTION("""COMPUTED_VALUE"""),4.0)</f>
        <v>4</v>
      </c>
      <c r="O75" s="69" t="str">
        <f t="shared" si="3"/>
        <v/>
      </c>
      <c r="P75" s="471">
        <f>IFERROR(__xludf.DUMMYFUNCTION("""COMPUTED_VALUE"""),18.0)</f>
        <v>18</v>
      </c>
      <c r="Q75" s="274" t="b">
        <f>VLOOKUP($B75,'Run Reconcile'!B$2:O2488,14,FALSE)</f>
        <v>1</v>
      </c>
      <c r="R75" s="472" t="str">
        <f t="array" ref="R75">IF($Q75, INDEX('Run Reconcile'!A$2:A2488,MATCH(B75,'Run Reconcile'!B$2:B2488,0),1),IFERROR(0/0,""))</f>
        <v>RUN-FLMP_2021-02-05_APS-021</v>
      </c>
      <c r="S75" s="473" t="str">
        <f t="shared" ref="S75:T75" si="154">IF(COUNTIF(W$2:W2488, $A75) &gt; 0,TRUE,IFERROR(0/0,""))</f>
        <v/>
      </c>
      <c r="T75" s="473" t="str">
        <f t="shared" si="154"/>
        <v/>
      </c>
      <c r="U75" s="275" t="str">
        <f t="array" ref="U75">IF(ISBLANK($R75), INDEX('Run Reconcile'!A$2:A2488, MATCH($B75, 'Run Reconcile'!B$2:B2488, 0)+Z75, 1), IFERROR(0/0,""))
</f>
        <v/>
      </c>
      <c r="V75" s="474" t="str">
        <f t="shared" si="5"/>
        <v>RUN-FLMP_2021-02-05_APS-021</v>
      </c>
      <c r="Y75" s="89" t="str">
        <f t="shared" si="6"/>
        <v/>
      </c>
      <c r="Z75" s="60" t="str">
        <f t="shared" si="7"/>
        <v/>
      </c>
      <c r="AA75" s="60" t="str">
        <f t="shared" si="8"/>
        <v/>
      </c>
      <c r="AB75" s="60" t="str">
        <f t="shared" si="9"/>
        <v/>
      </c>
      <c r="AC75" s="30" t="str">
        <f t="shared" ref="AC75:AD75" si="155">IF(_xlfn.ISFORMULA(S75),IFERROR(0/0,""),TRUE)</f>
        <v/>
      </c>
      <c r="AD75" s="30" t="str">
        <f t="shared" si="155"/>
        <v/>
      </c>
      <c r="AE75" s="475" t="str">
        <f>IFERROR(__xludf.DUMMYFUNCTION("""COMPUTED_VALUE"""),"FLSP")</f>
        <v>FLSP</v>
      </c>
      <c r="AF75" s="476"/>
      <c r="AG75" s="474" t="s">
        <v>53</v>
      </c>
      <c r="AH75" s="138" t="str">
        <f t="shared" si="11"/>
        <v/>
      </c>
    </row>
    <row r="76">
      <c r="A76" s="103" t="str">
        <f>IFERROR(__xludf.DUMMYFUNCTION("""COMPUTED_VALUE"""),"C09630")</f>
        <v>C09630</v>
      </c>
      <c r="B76" s="468">
        <f>IFERROR(__xludf.DUMMYFUNCTION("""COMPUTED_VALUE"""),44234.0)</f>
        <v>44234</v>
      </c>
      <c r="C76" s="469">
        <f>IFERROR(__xludf.DUMMYFUNCTION("""COMPUTED_VALUE"""),0.8281712962962963)</f>
        <v>0.8281712963</v>
      </c>
      <c r="D76" s="103" t="str">
        <f>IFERROR(__xludf.DUMMYFUNCTION("""COMPUTED_VALUE"""),"SpFLMP626948")</f>
        <v>SpFLMP626948</v>
      </c>
      <c r="E76" s="103"/>
      <c r="F76" s="103"/>
      <c r="G76" s="103" t="str">
        <f>IFERROR(__xludf.DUMMYFUNCTION("""COMPUTED_VALUE"""),"Negative")</f>
        <v>Negative</v>
      </c>
      <c r="H76" s="131" t="str">
        <f>IFERROR(__xludf.DUMMYFUNCTION("""COMPUTED_VALUE"""),"Negative")</f>
        <v>Negative</v>
      </c>
      <c r="I76" s="468">
        <f>IFERROR(__xludf.DUMMYFUNCTION("""COMPUTED_VALUE"""),44250.0)</f>
        <v>44250</v>
      </c>
      <c r="J76" s="470">
        <f>IFERROR(__xludf.DUMMYFUNCTION("""COMPUTED_VALUE"""),0.3905324074074074)</f>
        <v>0.3905324074</v>
      </c>
      <c r="K76" s="16"/>
      <c r="L76" s="8"/>
      <c r="M76" s="69"/>
      <c r="N76" s="69">
        <f>IFERROR(__xludf.DUMMYFUNCTION("""COMPUTED_VALUE"""),4.0)</f>
        <v>4</v>
      </c>
      <c r="O76" s="69" t="b">
        <f t="shared" si="3"/>
        <v>1</v>
      </c>
      <c r="P76" s="471">
        <f>IFERROR(__xludf.DUMMYFUNCTION("""COMPUTED_VALUE"""),16.0)</f>
        <v>16</v>
      </c>
      <c r="Q76" s="274" t="b">
        <f>VLOOKUP($B76,'Run Reconcile'!B$2:O2488,14,FALSE)</f>
        <v>1</v>
      </c>
      <c r="R76" s="472" t="str">
        <f t="array" ref="R76">IF($Q76, INDEX('Run Reconcile'!A$2:A2488,MATCH(B76,'Run Reconcile'!B$2:B2488,0),1),IFERROR(0/0,""))</f>
        <v>RUN-FLMP_2021-02-07_APS-022</v>
      </c>
      <c r="S76" s="473" t="str">
        <f t="shared" ref="S76:T76" si="156">IF(COUNTIF(W$2:W2488, $A76) &gt; 0,TRUE,IFERROR(0/0,""))</f>
        <v/>
      </c>
      <c r="T76" s="473" t="str">
        <f t="shared" si="156"/>
        <v/>
      </c>
      <c r="U76" s="275" t="str">
        <f t="array" ref="U76">IF(ISBLANK($R76), INDEX('Run Reconcile'!A$2:A2488, MATCH($B76, 'Run Reconcile'!B$2:B2488, 0)+Z76, 1), IFERROR(0/0,""))
</f>
        <v/>
      </c>
      <c r="V76" s="474" t="str">
        <f t="shared" si="5"/>
        <v>RUN-FLMP_2021-02-07_APS-022</v>
      </c>
      <c r="Y76" s="89" t="str">
        <f t="shared" si="6"/>
        <v/>
      </c>
      <c r="Z76" s="60" t="str">
        <f t="shared" si="7"/>
        <v/>
      </c>
      <c r="AA76" s="60" t="str">
        <f t="shared" si="8"/>
        <v/>
      </c>
      <c r="AB76" s="60" t="str">
        <f t="shared" si="9"/>
        <v/>
      </c>
      <c r="AC76" s="30" t="str">
        <f t="shared" ref="AC76:AD76" si="157">IF(_xlfn.ISFORMULA(S76),IFERROR(0/0,""),TRUE)</f>
        <v/>
      </c>
      <c r="AD76" s="30" t="str">
        <f t="shared" si="157"/>
        <v/>
      </c>
      <c r="AE76" s="475" t="str">
        <f>IFERROR(__xludf.DUMMYFUNCTION("""COMPUTED_VALUE"""),"FLSP")</f>
        <v>FLSP</v>
      </c>
      <c r="AF76" s="476"/>
      <c r="AG76" s="474" t="s">
        <v>54</v>
      </c>
      <c r="AH76" s="138" t="str">
        <f t="shared" si="11"/>
        <v/>
      </c>
    </row>
    <row r="77">
      <c r="A77" s="103" t="str">
        <f>IFERROR(__xludf.DUMMYFUNCTION("""COMPUTED_VALUE"""),"C09696")</f>
        <v>C09696</v>
      </c>
      <c r="B77" s="468">
        <f>IFERROR(__xludf.DUMMYFUNCTION("""COMPUTED_VALUE"""),44235.0)</f>
        <v>44235</v>
      </c>
      <c r="C77" s="469">
        <f>IFERROR(__xludf.DUMMYFUNCTION("""COMPUTED_VALUE"""),0.23478009259259258)</f>
        <v>0.2347800926</v>
      </c>
      <c r="D77" s="103" t="str">
        <f>IFERROR(__xludf.DUMMYFUNCTION("""COMPUTED_VALUE"""),"SpFLMP634683")</f>
        <v>SpFLMP634683</v>
      </c>
      <c r="E77" s="103"/>
      <c r="F77" s="103"/>
      <c r="G77" s="103" t="str">
        <f>IFERROR(__xludf.DUMMYFUNCTION("""COMPUTED_VALUE"""),"Negative")</f>
        <v>Negative</v>
      </c>
      <c r="H77" s="131" t="str">
        <f>IFERROR(__xludf.DUMMYFUNCTION("""COMPUTED_VALUE"""),"Negative")</f>
        <v>Negative</v>
      </c>
      <c r="I77" s="468">
        <f>IFERROR(__xludf.DUMMYFUNCTION("""COMPUTED_VALUE"""),44250.0)</f>
        <v>44250</v>
      </c>
      <c r="J77" s="470">
        <f>IFERROR(__xludf.DUMMYFUNCTION("""COMPUTED_VALUE"""),0.3905324074074074)</f>
        <v>0.3905324074</v>
      </c>
      <c r="K77" s="16"/>
      <c r="L77" s="8"/>
      <c r="M77" s="69"/>
      <c r="N77" s="69">
        <f>IFERROR(__xludf.DUMMYFUNCTION("""COMPUTED_VALUE"""),4.0)</f>
        <v>4</v>
      </c>
      <c r="O77" s="69" t="b">
        <f t="shared" si="3"/>
        <v>1</v>
      </c>
      <c r="P77" s="471">
        <f>IFERROR(__xludf.DUMMYFUNCTION("""COMPUTED_VALUE"""),15.0)</f>
        <v>15</v>
      </c>
      <c r="Q77" s="274" t="b">
        <f>VLOOKUP($B77,'Run Reconcile'!B$2:O2488,14,FALSE)</f>
        <v>1</v>
      </c>
      <c r="R77" s="472" t="str">
        <f t="array" ref="R77">IF($Q77, INDEX('Run Reconcile'!A$2:A2488,MATCH(B77,'Run Reconcile'!B$2:B2488,0),1),IFERROR(0/0,""))</f>
        <v>RUN-FLMP_2021-02-08_APS-023</v>
      </c>
      <c r="S77" s="473" t="str">
        <f t="shared" ref="S77:T77" si="158">IF(COUNTIF(W$2:W2488, $A77) &gt; 0,TRUE,IFERROR(0/0,""))</f>
        <v/>
      </c>
      <c r="T77" s="473" t="str">
        <f t="shared" si="158"/>
        <v/>
      </c>
      <c r="U77" s="275" t="str">
        <f t="array" ref="U77">IF(ISBLANK($R77), INDEX('Run Reconcile'!A$2:A2488, MATCH($B77, 'Run Reconcile'!B$2:B2488, 0)+Z77, 1), IFERROR(0/0,""))
</f>
        <v/>
      </c>
      <c r="V77" s="474" t="str">
        <f t="shared" si="5"/>
        <v>RUN-FLMP_2021-02-08_APS-023</v>
      </c>
      <c r="Y77" s="89" t="str">
        <f t="shared" si="6"/>
        <v/>
      </c>
      <c r="Z77" s="60" t="str">
        <f t="shared" si="7"/>
        <v/>
      </c>
      <c r="AA77" s="60" t="str">
        <f t="shared" si="8"/>
        <v/>
      </c>
      <c r="AB77" s="60" t="str">
        <f t="shared" si="9"/>
        <v/>
      </c>
      <c r="AC77" s="30" t="str">
        <f t="shared" ref="AC77:AD77" si="159">IF(_xlfn.ISFORMULA(S77),IFERROR(0/0,""),TRUE)</f>
        <v/>
      </c>
      <c r="AD77" s="30" t="str">
        <f t="shared" si="159"/>
        <v/>
      </c>
      <c r="AE77" s="475" t="str">
        <f>IFERROR(__xludf.DUMMYFUNCTION("""COMPUTED_VALUE"""),"FLSP")</f>
        <v>FLSP</v>
      </c>
      <c r="AF77" s="476"/>
      <c r="AG77" s="474" t="s">
        <v>55</v>
      </c>
      <c r="AH77" s="138" t="str">
        <f t="shared" si="11"/>
        <v/>
      </c>
    </row>
    <row r="78">
      <c r="A78" s="103" t="str">
        <f>IFERROR(__xludf.DUMMYFUNCTION("""COMPUTED_VALUE"""),"C09619")</f>
        <v>C09619</v>
      </c>
      <c r="B78" s="468">
        <f>IFERROR(__xludf.DUMMYFUNCTION("""COMPUTED_VALUE"""),44235.0)</f>
        <v>44235</v>
      </c>
      <c r="C78" s="469">
        <f>IFERROR(__xludf.DUMMYFUNCTION("""COMPUTED_VALUE"""),0.3327662037037037)</f>
        <v>0.3327662037</v>
      </c>
      <c r="D78" s="103" t="str">
        <f>IFERROR(__xludf.DUMMYFUNCTION("""COMPUTED_VALUE"""),"SpFLMP294811")</f>
        <v>SpFLMP294811</v>
      </c>
      <c r="E78" s="103"/>
      <c r="F78" s="103"/>
      <c r="G78" s="103" t="str">
        <f>IFERROR(__xludf.DUMMYFUNCTION("""COMPUTED_VALUE"""),"Negative")</f>
        <v>Negative</v>
      </c>
      <c r="H78" s="131" t="str">
        <f>IFERROR(__xludf.DUMMYFUNCTION("""COMPUTED_VALUE"""),"Negative")</f>
        <v>Negative</v>
      </c>
      <c r="I78" s="468">
        <f>IFERROR(__xludf.DUMMYFUNCTION("""COMPUTED_VALUE"""),44250.0)</f>
        <v>44250</v>
      </c>
      <c r="J78" s="470">
        <f>IFERROR(__xludf.DUMMYFUNCTION("""COMPUTED_VALUE"""),0.3905324074074074)</f>
        <v>0.3905324074</v>
      </c>
      <c r="K78" s="16"/>
      <c r="L78" s="8"/>
      <c r="M78" s="69"/>
      <c r="N78" s="69">
        <f>IFERROR(__xludf.DUMMYFUNCTION("""COMPUTED_VALUE"""),4.0)</f>
        <v>4</v>
      </c>
      <c r="O78" s="69" t="str">
        <f t="shared" si="3"/>
        <v/>
      </c>
      <c r="P78" s="471">
        <f>IFERROR(__xludf.DUMMYFUNCTION("""COMPUTED_VALUE"""),15.0)</f>
        <v>15</v>
      </c>
      <c r="Q78" s="274" t="b">
        <f>VLOOKUP($B78,'Run Reconcile'!B$2:O2488,14,FALSE)</f>
        <v>1</v>
      </c>
      <c r="R78" s="472" t="str">
        <f t="array" ref="R78">IF($Q78, INDEX('Run Reconcile'!A$2:A2488,MATCH(B78,'Run Reconcile'!B$2:B2488,0),1),IFERROR(0/0,""))</f>
        <v>RUN-FLMP_2021-02-08_APS-023</v>
      </c>
      <c r="S78" s="473" t="str">
        <f t="shared" ref="S78:T78" si="160">IF(COUNTIF(W$2:W2488, $A78) &gt; 0,TRUE,IFERROR(0/0,""))</f>
        <v/>
      </c>
      <c r="T78" s="473" t="str">
        <f t="shared" si="160"/>
        <v/>
      </c>
      <c r="U78" s="275" t="str">
        <f t="array" ref="U78">IF(ISBLANK($R78), INDEX('Run Reconcile'!A$2:A2488, MATCH($B78, 'Run Reconcile'!B$2:B2488, 0)+Z78, 1), IFERROR(0/0,""))
</f>
        <v/>
      </c>
      <c r="V78" s="474" t="str">
        <f t="shared" si="5"/>
        <v>RUN-FLMP_2021-02-08_APS-023</v>
      </c>
      <c r="Y78" s="89" t="str">
        <f t="shared" si="6"/>
        <v/>
      </c>
      <c r="Z78" s="60" t="str">
        <f t="shared" si="7"/>
        <v/>
      </c>
      <c r="AA78" s="60" t="str">
        <f t="shared" si="8"/>
        <v/>
      </c>
      <c r="AB78" s="60" t="str">
        <f t="shared" si="9"/>
        <v/>
      </c>
      <c r="AC78" s="30" t="str">
        <f t="shared" ref="AC78:AD78" si="161">IF(_xlfn.ISFORMULA(S78),IFERROR(0/0,""),TRUE)</f>
        <v/>
      </c>
      <c r="AD78" s="30" t="str">
        <f t="shared" si="161"/>
        <v/>
      </c>
      <c r="AE78" s="475" t="str">
        <f>IFERROR(__xludf.DUMMYFUNCTION("""COMPUTED_VALUE"""),"FLSP")</f>
        <v>FLSP</v>
      </c>
      <c r="AF78" s="476"/>
      <c r="AG78" s="474" t="s">
        <v>55</v>
      </c>
      <c r="AH78" s="138" t="str">
        <f t="shared" si="11"/>
        <v/>
      </c>
    </row>
    <row r="79">
      <c r="A79" s="103" t="str">
        <f>IFERROR(__xludf.DUMMYFUNCTION("""COMPUTED_VALUE"""),"C09616")</f>
        <v>C09616</v>
      </c>
      <c r="B79" s="468">
        <f>IFERROR(__xludf.DUMMYFUNCTION("""COMPUTED_VALUE"""),44235.0)</f>
        <v>44235</v>
      </c>
      <c r="C79" s="469">
        <f>IFERROR(__xludf.DUMMYFUNCTION("""COMPUTED_VALUE"""),0.33310185185185187)</f>
        <v>0.3331018519</v>
      </c>
      <c r="D79" s="103" t="str">
        <f>IFERROR(__xludf.DUMMYFUNCTION("""COMPUTED_VALUE"""),"SpFLMP294811")</f>
        <v>SpFLMP294811</v>
      </c>
      <c r="E79" s="103"/>
      <c r="F79" s="103"/>
      <c r="G79" s="103" t="str">
        <f>IFERROR(__xludf.DUMMYFUNCTION("""COMPUTED_VALUE"""),"Negative")</f>
        <v>Negative</v>
      </c>
      <c r="H79" s="131" t="str">
        <f>IFERROR(__xludf.DUMMYFUNCTION("""COMPUTED_VALUE"""),"Negative")</f>
        <v>Negative</v>
      </c>
      <c r="I79" s="468">
        <f>IFERROR(__xludf.DUMMYFUNCTION("""COMPUTED_VALUE"""),44250.0)</f>
        <v>44250</v>
      </c>
      <c r="J79" s="470">
        <f>IFERROR(__xludf.DUMMYFUNCTION("""COMPUTED_VALUE"""),0.3905324074074074)</f>
        <v>0.3905324074</v>
      </c>
      <c r="K79" s="16"/>
      <c r="L79" s="8"/>
      <c r="M79" s="69"/>
      <c r="N79" s="69">
        <f>IFERROR(__xludf.DUMMYFUNCTION("""COMPUTED_VALUE"""),1.0)</f>
        <v>1</v>
      </c>
      <c r="O79" s="69" t="str">
        <f t="shared" si="3"/>
        <v/>
      </c>
      <c r="P79" s="471">
        <f>IFERROR(__xludf.DUMMYFUNCTION("""COMPUTED_VALUE"""),15.0)</f>
        <v>15</v>
      </c>
      <c r="Q79" s="274" t="b">
        <f>VLOOKUP($B79,'Run Reconcile'!B$2:O2488,14,FALSE)</f>
        <v>1</v>
      </c>
      <c r="R79" s="472" t="str">
        <f t="array" ref="R79">IF($Q79, INDEX('Run Reconcile'!A$2:A2488,MATCH(B79,'Run Reconcile'!B$2:B2488,0),1),IFERROR(0/0,""))</f>
        <v>RUN-FLMP_2021-02-08_APS-023</v>
      </c>
      <c r="S79" s="473" t="str">
        <f t="shared" ref="S79:T79" si="162">IF(COUNTIF(W$2:W2488, $A79) &gt; 0,TRUE,IFERROR(0/0,""))</f>
        <v/>
      </c>
      <c r="T79" s="473" t="str">
        <f t="shared" si="162"/>
        <v/>
      </c>
      <c r="U79" s="275" t="str">
        <f t="array" ref="U79">IF(ISBLANK($R79), INDEX('Run Reconcile'!A$2:A2488, MATCH($B79, 'Run Reconcile'!B$2:B2488, 0)+Z79, 1), IFERROR(0/0,""))
</f>
        <v/>
      </c>
      <c r="V79" s="474" t="str">
        <f t="shared" si="5"/>
        <v>RUN-FLMP_2021-02-08_APS-023</v>
      </c>
      <c r="Y79" s="89" t="str">
        <f t="shared" si="6"/>
        <v/>
      </c>
      <c r="Z79" s="60" t="str">
        <f t="shared" si="7"/>
        <v/>
      </c>
      <c r="AA79" s="60" t="str">
        <f t="shared" si="8"/>
        <v/>
      </c>
      <c r="AB79" s="60" t="str">
        <f t="shared" si="9"/>
        <v/>
      </c>
      <c r="AC79" s="30" t="str">
        <f t="shared" ref="AC79:AD79" si="163">IF(_xlfn.ISFORMULA(S79),IFERROR(0/0,""),TRUE)</f>
        <v/>
      </c>
      <c r="AD79" s="30" t="str">
        <f t="shared" si="163"/>
        <v/>
      </c>
      <c r="AE79" s="475" t="str">
        <f>IFERROR(__xludf.DUMMYFUNCTION("""COMPUTED_VALUE"""),"FLSP")</f>
        <v>FLSP</v>
      </c>
      <c r="AF79" s="476"/>
      <c r="AG79" s="474" t="s">
        <v>55</v>
      </c>
      <c r="AH79" s="138" t="str">
        <f t="shared" si="11"/>
        <v/>
      </c>
    </row>
    <row r="80">
      <c r="A80" s="103" t="str">
        <f>IFERROR(__xludf.DUMMYFUNCTION("""COMPUTED_VALUE"""),"D3916")</f>
        <v>D3916</v>
      </c>
      <c r="B80" s="468">
        <f>IFERROR(__xludf.DUMMYFUNCTION("""COMPUTED_VALUE"""),44235.0)</f>
        <v>44235</v>
      </c>
      <c r="C80" s="469">
        <f>IFERROR(__xludf.DUMMYFUNCTION("""COMPUTED_VALUE"""),0.3645023148148148)</f>
        <v>0.3645023148</v>
      </c>
      <c r="D80" s="103" t="str">
        <f>IFERROR(__xludf.DUMMYFUNCTION("""COMPUTED_VALUE"""),"SpFLMP959641")</f>
        <v>SpFLMP959641</v>
      </c>
      <c r="E80" s="103"/>
      <c r="F80" s="103"/>
      <c r="G80" s="103" t="str">
        <f>IFERROR(__xludf.DUMMYFUNCTION("""COMPUTED_VALUE"""),"Negative")</f>
        <v>Negative</v>
      </c>
      <c r="H80" s="131" t="str">
        <f>IFERROR(__xludf.DUMMYFUNCTION("""COMPUTED_VALUE"""),"Negative")</f>
        <v>Negative</v>
      </c>
      <c r="I80" s="468">
        <f>IFERROR(__xludf.DUMMYFUNCTION("""COMPUTED_VALUE"""),44250.0)</f>
        <v>44250</v>
      </c>
      <c r="J80" s="470">
        <f>IFERROR(__xludf.DUMMYFUNCTION("""COMPUTED_VALUE"""),0.3905324074074074)</f>
        <v>0.3905324074</v>
      </c>
      <c r="K80" s="16"/>
      <c r="L80" s="8"/>
      <c r="M80" s="69"/>
      <c r="N80" s="69">
        <f>IFERROR(__xludf.DUMMYFUNCTION("""COMPUTED_VALUE"""),3.0)</f>
        <v>3</v>
      </c>
      <c r="O80" s="69" t="str">
        <f t="shared" si="3"/>
        <v/>
      </c>
      <c r="P80" s="471">
        <f>IFERROR(__xludf.DUMMYFUNCTION("""COMPUTED_VALUE"""),15.0)</f>
        <v>15</v>
      </c>
      <c r="Q80" s="274" t="b">
        <f>VLOOKUP($B80,'Run Reconcile'!B$2:O2488,14,FALSE)</f>
        <v>1</v>
      </c>
      <c r="R80" s="472" t="str">
        <f t="array" ref="R80">IF($Q80, INDEX('Run Reconcile'!A$2:A2488,MATCH(B80,'Run Reconcile'!B$2:B2488,0),1),IFERROR(0/0,""))</f>
        <v>RUN-FLMP_2021-02-08_APS-023</v>
      </c>
      <c r="S80" s="473" t="str">
        <f t="shared" ref="S80:T80" si="164">IF(COUNTIF(W$2:W2488, $A80) &gt; 0,TRUE,IFERROR(0/0,""))</f>
        <v/>
      </c>
      <c r="T80" s="473" t="str">
        <f t="shared" si="164"/>
        <v/>
      </c>
      <c r="U80" s="275" t="str">
        <f t="array" ref="U80">IF(ISBLANK($R80), INDEX('Run Reconcile'!A$2:A2488, MATCH($B80, 'Run Reconcile'!B$2:B2488, 0)+Z80, 1), IFERROR(0/0,""))
</f>
        <v/>
      </c>
      <c r="V80" s="474" t="str">
        <f t="shared" si="5"/>
        <v>RUN-FLMP_2021-02-08_APS-023</v>
      </c>
      <c r="Y80" s="89" t="str">
        <f t="shared" si="6"/>
        <v/>
      </c>
      <c r="Z80" s="60" t="str">
        <f t="shared" si="7"/>
        <v/>
      </c>
      <c r="AA80" s="60" t="str">
        <f t="shared" si="8"/>
        <v/>
      </c>
      <c r="AB80" s="60" t="str">
        <f t="shared" si="9"/>
        <v/>
      </c>
      <c r="AC80" s="30" t="str">
        <f t="shared" ref="AC80:AD80" si="165">IF(_xlfn.ISFORMULA(S80),IFERROR(0/0,""),TRUE)</f>
        <v/>
      </c>
      <c r="AD80" s="30" t="str">
        <f t="shared" si="165"/>
        <v/>
      </c>
      <c r="AE80" s="475" t="str">
        <f>IFERROR(__xludf.DUMMYFUNCTION("""COMPUTED_VALUE"""),"FLSP")</f>
        <v>FLSP</v>
      </c>
      <c r="AF80" s="476"/>
      <c r="AG80" s="474" t="s">
        <v>55</v>
      </c>
      <c r="AH80" s="138" t="str">
        <f t="shared" si="11"/>
        <v/>
      </c>
    </row>
    <row r="81">
      <c r="A81" s="103" t="str">
        <f>IFERROR(__xludf.DUMMYFUNCTION("""COMPUTED_VALUE"""),"C09700")</f>
        <v>C09700</v>
      </c>
      <c r="B81" s="468">
        <f>IFERROR(__xludf.DUMMYFUNCTION("""COMPUTED_VALUE"""),44236.0)</f>
        <v>44236</v>
      </c>
      <c r="C81" s="469">
        <f>IFERROR(__xludf.DUMMYFUNCTION("""COMPUTED_VALUE"""),0.7716782407407408)</f>
        <v>0.7716782407</v>
      </c>
      <c r="D81" s="103" t="str">
        <f>IFERROR(__xludf.DUMMYFUNCTION("""COMPUTED_VALUE"""),"SpFLMP626948")</f>
        <v>SpFLMP626948</v>
      </c>
      <c r="E81" s="103"/>
      <c r="F81" s="103"/>
      <c r="G81" s="103" t="str">
        <f>IFERROR(__xludf.DUMMYFUNCTION("""COMPUTED_VALUE"""),"Negative")</f>
        <v>Negative</v>
      </c>
      <c r="H81" s="131" t="str">
        <f>IFERROR(__xludf.DUMMYFUNCTION("""COMPUTED_VALUE"""),"Negative")</f>
        <v>Negative</v>
      </c>
      <c r="I81" s="468">
        <f>IFERROR(__xludf.DUMMYFUNCTION("""COMPUTED_VALUE"""),44250.0)</f>
        <v>44250</v>
      </c>
      <c r="J81" s="470">
        <f>IFERROR(__xludf.DUMMYFUNCTION("""COMPUTED_VALUE"""),0.3905324074074074)</f>
        <v>0.3905324074</v>
      </c>
      <c r="K81" s="16"/>
      <c r="L81" s="8"/>
      <c r="M81" s="69"/>
      <c r="N81" s="69">
        <f>IFERROR(__xludf.DUMMYFUNCTION("""COMPUTED_VALUE"""),4.0)</f>
        <v>4</v>
      </c>
      <c r="O81" s="69" t="b">
        <f t="shared" si="3"/>
        <v>1</v>
      </c>
      <c r="P81" s="471">
        <f>IFERROR(__xludf.DUMMYFUNCTION("""COMPUTED_VALUE"""),14.0)</f>
        <v>14</v>
      </c>
      <c r="Q81" s="274" t="b">
        <f>VLOOKUP($B81,'Run Reconcile'!B$2:O2488,14,FALSE)</f>
        <v>1</v>
      </c>
      <c r="R81" s="472" t="str">
        <f t="array" ref="R81">IF($Q81, INDEX('Run Reconcile'!A$2:A2488,MATCH(B81,'Run Reconcile'!B$2:B2488,0),1),IFERROR(0/0,""))</f>
        <v>RUN-FLMP_2021-02-09_APS-024</v>
      </c>
      <c r="S81" s="473" t="str">
        <f t="shared" ref="S81:T81" si="166">IF(COUNTIF(W$2:W2488, $A81) &gt; 0,TRUE,IFERROR(0/0,""))</f>
        <v/>
      </c>
      <c r="T81" s="473" t="str">
        <f t="shared" si="166"/>
        <v/>
      </c>
      <c r="U81" s="275" t="str">
        <f t="array" ref="U81">IF(ISBLANK($R81), INDEX('Run Reconcile'!A$2:A2488, MATCH($B81, 'Run Reconcile'!B$2:B2488, 0)+Z81, 1), IFERROR(0/0,""))
</f>
        <v/>
      </c>
      <c r="V81" s="474" t="str">
        <f t="shared" si="5"/>
        <v>RUN-FLMP_2021-02-09_APS-024</v>
      </c>
      <c r="Y81" s="89" t="str">
        <f t="shared" si="6"/>
        <v/>
      </c>
      <c r="Z81" s="60" t="str">
        <f t="shared" si="7"/>
        <v/>
      </c>
      <c r="AA81" s="60" t="str">
        <f t="shared" si="8"/>
        <v/>
      </c>
      <c r="AB81" s="60" t="str">
        <f t="shared" si="9"/>
        <v/>
      </c>
      <c r="AC81" s="30" t="str">
        <f t="shared" ref="AC81:AD81" si="167">IF(_xlfn.ISFORMULA(S81),IFERROR(0/0,""),TRUE)</f>
        <v/>
      </c>
      <c r="AD81" s="30" t="str">
        <f t="shared" si="167"/>
        <v/>
      </c>
      <c r="AE81" s="475" t="str">
        <f>IFERROR(__xludf.DUMMYFUNCTION("""COMPUTED_VALUE"""),"FLSP")</f>
        <v>FLSP</v>
      </c>
      <c r="AF81" s="476"/>
      <c r="AG81" s="474" t="s">
        <v>56</v>
      </c>
      <c r="AH81" s="138" t="str">
        <f t="shared" si="11"/>
        <v/>
      </c>
    </row>
    <row r="82">
      <c r="A82" s="103" t="str">
        <f>IFERROR(__xludf.DUMMYFUNCTION("""COMPUTED_VALUE"""),"C09692")</f>
        <v>C09692</v>
      </c>
      <c r="B82" s="468">
        <f>IFERROR(__xludf.DUMMYFUNCTION("""COMPUTED_VALUE"""),44236.0)</f>
        <v>44236</v>
      </c>
      <c r="C82" s="469">
        <f>IFERROR(__xludf.DUMMYFUNCTION("""COMPUTED_VALUE"""),0.8655439814814815)</f>
        <v>0.8655439815</v>
      </c>
      <c r="D82" s="103" t="str">
        <f>IFERROR(__xludf.DUMMYFUNCTION("""COMPUTED_VALUE"""),"SpFLMP634683")</f>
        <v>SpFLMP634683</v>
      </c>
      <c r="E82" s="103"/>
      <c r="F82" s="103"/>
      <c r="G82" s="103" t="str">
        <f>IFERROR(__xludf.DUMMYFUNCTION("""COMPUTED_VALUE"""),"Negative")</f>
        <v>Negative</v>
      </c>
      <c r="H82" s="131" t="str">
        <f>IFERROR(__xludf.DUMMYFUNCTION("""COMPUTED_VALUE"""),"Negative")</f>
        <v>Negative</v>
      </c>
      <c r="I82" s="468">
        <f>IFERROR(__xludf.DUMMYFUNCTION("""COMPUTED_VALUE"""),44250.0)</f>
        <v>44250</v>
      </c>
      <c r="J82" s="470">
        <f>IFERROR(__xludf.DUMMYFUNCTION("""COMPUTED_VALUE"""),0.3905324074074074)</f>
        <v>0.3905324074</v>
      </c>
      <c r="K82" s="16"/>
      <c r="L82" s="8"/>
      <c r="M82" s="69"/>
      <c r="N82" s="69">
        <f>IFERROR(__xludf.DUMMYFUNCTION("""COMPUTED_VALUE"""),4.0)</f>
        <v>4</v>
      </c>
      <c r="O82" s="69" t="str">
        <f t="shared" si="3"/>
        <v/>
      </c>
      <c r="P82" s="471">
        <f>IFERROR(__xludf.DUMMYFUNCTION("""COMPUTED_VALUE"""),14.0)</f>
        <v>14</v>
      </c>
      <c r="Q82" s="274" t="b">
        <f>VLOOKUP($B82,'Run Reconcile'!B$2:O2488,14,FALSE)</f>
        <v>1</v>
      </c>
      <c r="R82" s="472" t="str">
        <f t="array" ref="R82">IF($Q82, INDEX('Run Reconcile'!A$2:A2488,MATCH(B82,'Run Reconcile'!B$2:B2488,0),1),IFERROR(0/0,""))</f>
        <v>RUN-FLMP_2021-02-09_APS-024</v>
      </c>
      <c r="S82" s="473" t="str">
        <f t="shared" ref="S82:T82" si="168">IF(COUNTIF(W$2:W2488, $A82) &gt; 0,TRUE,IFERROR(0/0,""))</f>
        <v/>
      </c>
      <c r="T82" s="473" t="str">
        <f t="shared" si="168"/>
        <v/>
      </c>
      <c r="U82" s="275" t="str">
        <f t="array" ref="U82">IF(ISBLANK($R82), INDEX('Run Reconcile'!A$2:A2488, MATCH($B82, 'Run Reconcile'!B$2:B2488, 0)+Z82, 1), IFERROR(0/0,""))
</f>
        <v/>
      </c>
      <c r="V82" s="474" t="str">
        <f t="shared" si="5"/>
        <v>RUN-FLMP_2021-02-09_APS-024</v>
      </c>
      <c r="Y82" s="89" t="str">
        <f t="shared" si="6"/>
        <v/>
      </c>
      <c r="Z82" s="60" t="str">
        <f t="shared" si="7"/>
        <v/>
      </c>
      <c r="AA82" s="60" t="str">
        <f t="shared" si="8"/>
        <v/>
      </c>
      <c r="AB82" s="60" t="str">
        <f t="shared" si="9"/>
        <v/>
      </c>
      <c r="AC82" s="30" t="str">
        <f t="shared" ref="AC82:AD82" si="169">IF(_xlfn.ISFORMULA(S82),IFERROR(0/0,""),TRUE)</f>
        <v/>
      </c>
      <c r="AD82" s="30" t="str">
        <f t="shared" si="169"/>
        <v/>
      </c>
      <c r="AE82" s="475" t="str">
        <f>IFERROR(__xludf.DUMMYFUNCTION("""COMPUTED_VALUE"""),"FLSP")</f>
        <v>FLSP</v>
      </c>
      <c r="AF82" s="476"/>
      <c r="AG82" s="474" t="s">
        <v>56</v>
      </c>
      <c r="AH82" s="138" t="str">
        <f t="shared" si="11"/>
        <v/>
      </c>
    </row>
    <row r="83">
      <c r="A83" s="103" t="str">
        <f>IFERROR(__xludf.DUMMYFUNCTION("""COMPUTED_VALUE"""),"D3929")</f>
        <v>D3929</v>
      </c>
      <c r="B83" s="468">
        <f>IFERROR(__xludf.DUMMYFUNCTION("""COMPUTED_VALUE"""),44237.0)</f>
        <v>44237</v>
      </c>
      <c r="C83" s="469">
        <f>IFERROR(__xludf.DUMMYFUNCTION("""COMPUTED_VALUE"""),0.34193287037037035)</f>
        <v>0.3419328704</v>
      </c>
      <c r="D83" s="103" t="str">
        <f>IFERROR(__xludf.DUMMYFUNCTION("""COMPUTED_VALUE"""),"SpFLMP294811")</f>
        <v>SpFLMP294811</v>
      </c>
      <c r="E83" s="103"/>
      <c r="F83" s="103"/>
      <c r="G83" s="103" t="str">
        <f>IFERROR(__xludf.DUMMYFUNCTION("""COMPUTED_VALUE"""),"Negative")</f>
        <v>Negative</v>
      </c>
      <c r="H83" s="131" t="str">
        <f>IFERROR(__xludf.DUMMYFUNCTION("""COMPUTED_VALUE"""),"Negative")</f>
        <v>Negative</v>
      </c>
      <c r="I83" s="468">
        <f>IFERROR(__xludf.DUMMYFUNCTION("""COMPUTED_VALUE"""),44250.0)</f>
        <v>44250</v>
      </c>
      <c r="J83" s="470">
        <f>IFERROR(__xludf.DUMMYFUNCTION("""COMPUTED_VALUE"""),0.3905324074074074)</f>
        <v>0.3905324074</v>
      </c>
      <c r="K83" s="16"/>
      <c r="L83" s="8"/>
      <c r="M83" s="69"/>
      <c r="N83" s="69">
        <f>IFERROR(__xludf.DUMMYFUNCTION("""COMPUTED_VALUE"""),1.0)</f>
        <v>1</v>
      </c>
      <c r="O83" s="69" t="b">
        <f t="shared" si="3"/>
        <v>1</v>
      </c>
      <c r="P83" s="471">
        <f>IFERROR(__xludf.DUMMYFUNCTION("""COMPUTED_VALUE"""),13.0)</f>
        <v>13</v>
      </c>
      <c r="Q83" s="274" t="b">
        <f>VLOOKUP($B83,'Run Reconcile'!B$2:O2488,14,FALSE)</f>
        <v>1</v>
      </c>
      <c r="R83" s="472" t="str">
        <f t="array" ref="R83">IF($Q83, INDEX('Run Reconcile'!A$2:A2488,MATCH(B83,'Run Reconcile'!B$2:B2488,0),1),IFERROR(0/0,""))</f>
        <v>RUN-FLMP_2021-02-10_APS-025</v>
      </c>
      <c r="S83" s="473" t="str">
        <f t="shared" ref="S83:T83" si="170">IF(COUNTIF(W$2:W2488, $A83) &gt; 0,TRUE,IFERROR(0/0,""))</f>
        <v/>
      </c>
      <c r="T83" s="473" t="str">
        <f t="shared" si="170"/>
        <v/>
      </c>
      <c r="U83" s="275" t="str">
        <f t="array" ref="U83">IF(ISBLANK($R83), INDEX('Run Reconcile'!A$2:A2488, MATCH($B83, 'Run Reconcile'!B$2:B2488, 0)+Z83, 1), IFERROR(0/0,""))
</f>
        <v/>
      </c>
      <c r="V83" s="474" t="str">
        <f t="shared" si="5"/>
        <v>RUN-FLMP_2021-02-10_APS-025</v>
      </c>
      <c r="Y83" s="89" t="str">
        <f t="shared" si="6"/>
        <v/>
      </c>
      <c r="Z83" s="60" t="str">
        <f t="shared" si="7"/>
        <v/>
      </c>
      <c r="AA83" s="60" t="str">
        <f t="shared" si="8"/>
        <v/>
      </c>
      <c r="AB83" s="60" t="str">
        <f t="shared" si="9"/>
        <v/>
      </c>
      <c r="AC83" s="30" t="str">
        <f t="shared" ref="AC83:AD83" si="171">IF(_xlfn.ISFORMULA(S83),IFERROR(0/0,""),TRUE)</f>
        <v/>
      </c>
      <c r="AD83" s="30" t="str">
        <f t="shared" si="171"/>
        <v/>
      </c>
      <c r="AE83" s="475" t="str">
        <f>IFERROR(__xludf.DUMMYFUNCTION("""COMPUTED_VALUE"""),"FLSP")</f>
        <v>FLSP</v>
      </c>
      <c r="AF83" s="476"/>
      <c r="AG83" s="474" t="s">
        <v>57</v>
      </c>
      <c r="AH83" s="138" t="str">
        <f t="shared" si="11"/>
        <v/>
      </c>
    </row>
    <row r="84">
      <c r="A84" s="103" t="str">
        <f>IFERROR(__xludf.DUMMYFUNCTION("""COMPUTED_VALUE"""),"D3915")</f>
        <v>D3915</v>
      </c>
      <c r="B84" s="468">
        <f>IFERROR(__xludf.DUMMYFUNCTION("""COMPUTED_VALUE"""),44237.0)</f>
        <v>44237</v>
      </c>
      <c r="C84" s="469">
        <f>IFERROR(__xludf.DUMMYFUNCTION("""COMPUTED_VALUE"""),0.35233796296296294)</f>
        <v>0.352337963</v>
      </c>
      <c r="D84" s="103" t="str">
        <f>IFERROR(__xludf.DUMMYFUNCTION("""COMPUTED_VALUE"""),"SpFLMP959641")</f>
        <v>SpFLMP959641</v>
      </c>
      <c r="E84" s="103"/>
      <c r="F84" s="103"/>
      <c r="G84" s="103" t="str">
        <f>IFERROR(__xludf.DUMMYFUNCTION("""COMPUTED_VALUE"""),"Negative")</f>
        <v>Negative</v>
      </c>
      <c r="H84" s="131" t="str">
        <f>IFERROR(__xludf.DUMMYFUNCTION("""COMPUTED_VALUE"""),"Negative")</f>
        <v>Negative</v>
      </c>
      <c r="I84" s="468">
        <f>IFERROR(__xludf.DUMMYFUNCTION("""COMPUTED_VALUE"""),44250.0)</f>
        <v>44250</v>
      </c>
      <c r="J84" s="470">
        <f>IFERROR(__xludf.DUMMYFUNCTION("""COMPUTED_VALUE"""),0.3905324074074074)</f>
        <v>0.3905324074</v>
      </c>
      <c r="K84" s="16"/>
      <c r="L84" s="8"/>
      <c r="M84" s="69"/>
      <c r="N84" s="69">
        <f>IFERROR(__xludf.DUMMYFUNCTION("""COMPUTED_VALUE"""),3.0)</f>
        <v>3</v>
      </c>
      <c r="O84" s="69" t="str">
        <f t="shared" si="3"/>
        <v/>
      </c>
      <c r="P84" s="471">
        <f>IFERROR(__xludf.DUMMYFUNCTION("""COMPUTED_VALUE"""),13.0)</f>
        <v>13</v>
      </c>
      <c r="Q84" s="274" t="b">
        <f>VLOOKUP($B84,'Run Reconcile'!B$2:O2488,14,FALSE)</f>
        <v>1</v>
      </c>
      <c r="R84" s="472" t="str">
        <f t="array" ref="R84">IF($Q84, INDEX('Run Reconcile'!A$2:A2488,MATCH(B84,'Run Reconcile'!B$2:B2488,0),1),IFERROR(0/0,""))</f>
        <v>RUN-FLMP_2021-02-10_APS-025</v>
      </c>
      <c r="S84" s="473" t="str">
        <f t="shared" ref="S84:T84" si="172">IF(COUNTIF(W$2:W2488, $A84) &gt; 0,TRUE,IFERROR(0/0,""))</f>
        <v/>
      </c>
      <c r="T84" s="473" t="str">
        <f t="shared" si="172"/>
        <v/>
      </c>
      <c r="U84" s="275" t="str">
        <f t="array" ref="U84">IF(ISBLANK($R84), INDEX('Run Reconcile'!A$2:A2488, MATCH($B84, 'Run Reconcile'!B$2:B2488, 0)+Z84, 1), IFERROR(0/0,""))
</f>
        <v/>
      </c>
      <c r="V84" s="474" t="str">
        <f t="shared" si="5"/>
        <v>RUN-FLMP_2021-02-10_APS-025</v>
      </c>
      <c r="Y84" s="89" t="str">
        <f t="shared" si="6"/>
        <v/>
      </c>
      <c r="Z84" s="60" t="str">
        <f t="shared" si="7"/>
        <v/>
      </c>
      <c r="AA84" s="60" t="str">
        <f t="shared" si="8"/>
        <v/>
      </c>
      <c r="AB84" s="60" t="str">
        <f t="shared" si="9"/>
        <v/>
      </c>
      <c r="AC84" s="30" t="str">
        <f t="shared" ref="AC84:AD84" si="173">IF(_xlfn.ISFORMULA(S84),IFERROR(0/0,""),TRUE)</f>
        <v/>
      </c>
      <c r="AD84" s="30" t="str">
        <f t="shared" si="173"/>
        <v/>
      </c>
      <c r="AE84" s="475" t="str">
        <f>IFERROR(__xludf.DUMMYFUNCTION("""COMPUTED_VALUE"""),"FLSP")</f>
        <v>FLSP</v>
      </c>
      <c r="AF84" s="476"/>
      <c r="AG84" s="474" t="s">
        <v>57</v>
      </c>
      <c r="AH84" s="138" t="str">
        <f t="shared" si="11"/>
        <v/>
      </c>
    </row>
    <row r="85">
      <c r="A85" s="103" t="str">
        <f>IFERROR(__xludf.DUMMYFUNCTION("""COMPUTED_VALUE"""),"C09699")</f>
        <v>C09699</v>
      </c>
      <c r="B85" s="468">
        <f>IFERROR(__xludf.DUMMYFUNCTION("""COMPUTED_VALUE"""),44238.0)</f>
        <v>44238</v>
      </c>
      <c r="C85" s="469">
        <f>IFERROR(__xludf.DUMMYFUNCTION("""COMPUTED_VALUE"""),0.7697800925925926)</f>
        <v>0.7697800926</v>
      </c>
      <c r="D85" s="103" t="str">
        <f>IFERROR(__xludf.DUMMYFUNCTION("""COMPUTED_VALUE"""),"SpFLMP626948")</f>
        <v>SpFLMP626948</v>
      </c>
      <c r="E85" s="103"/>
      <c r="F85" s="103"/>
      <c r="G85" s="103" t="str">
        <f>IFERROR(__xludf.DUMMYFUNCTION("""COMPUTED_VALUE"""),"Negative")</f>
        <v>Negative</v>
      </c>
      <c r="H85" s="131" t="str">
        <f>IFERROR(__xludf.DUMMYFUNCTION("""COMPUTED_VALUE"""),"Negative")</f>
        <v>Negative</v>
      </c>
      <c r="I85" s="468">
        <f>IFERROR(__xludf.DUMMYFUNCTION("""COMPUTED_VALUE"""),44250.0)</f>
        <v>44250</v>
      </c>
      <c r="J85" s="470">
        <f>IFERROR(__xludf.DUMMYFUNCTION("""COMPUTED_VALUE"""),0.3905439814814815)</f>
        <v>0.3905439815</v>
      </c>
      <c r="K85" s="16"/>
      <c r="L85" s="8"/>
      <c r="M85" s="69"/>
      <c r="N85" s="69">
        <f>IFERROR(__xludf.DUMMYFUNCTION("""COMPUTED_VALUE"""),4.0)</f>
        <v>4</v>
      </c>
      <c r="O85" s="69" t="b">
        <f t="shared" si="3"/>
        <v>1</v>
      </c>
      <c r="P85" s="471">
        <f>IFERROR(__xludf.DUMMYFUNCTION("""COMPUTED_VALUE"""),12.0)</f>
        <v>12</v>
      </c>
      <c r="Q85" s="274" t="b">
        <f>VLOOKUP($B85,'Run Reconcile'!B$2:O2488,14,FALSE)</f>
        <v>1</v>
      </c>
      <c r="R85" s="472" t="str">
        <f t="array" ref="R85">IF($Q85, INDEX('Run Reconcile'!A$2:A2488,MATCH(B85,'Run Reconcile'!B$2:B2488,0),1),IFERROR(0/0,""))</f>
        <v>RUN-FLMP_2021-02-11_APS-026</v>
      </c>
      <c r="S85" s="473" t="str">
        <f t="shared" ref="S85:T85" si="174">IF(COUNTIF(W$2:W2488, $A85) &gt; 0,TRUE,IFERROR(0/0,""))</f>
        <v/>
      </c>
      <c r="T85" s="473" t="str">
        <f t="shared" si="174"/>
        <v/>
      </c>
      <c r="U85" s="275" t="str">
        <f t="array" ref="U85">IF(ISBLANK($R85), INDEX('Run Reconcile'!A$2:A2488, MATCH($B85, 'Run Reconcile'!B$2:B2488, 0)+Z85, 1), IFERROR(0/0,""))
</f>
        <v/>
      </c>
      <c r="V85" s="474" t="str">
        <f t="shared" si="5"/>
        <v>RUN-FLMP_2021-02-11_APS-026</v>
      </c>
      <c r="Y85" s="89" t="str">
        <f t="shared" si="6"/>
        <v/>
      </c>
      <c r="Z85" s="60" t="str">
        <f t="shared" si="7"/>
        <v/>
      </c>
      <c r="AA85" s="60" t="str">
        <f t="shared" si="8"/>
        <v/>
      </c>
      <c r="AB85" s="60" t="str">
        <f t="shared" si="9"/>
        <v/>
      </c>
      <c r="AC85" s="30" t="str">
        <f t="shared" ref="AC85:AD85" si="175">IF(_xlfn.ISFORMULA(S85),IFERROR(0/0,""),TRUE)</f>
        <v/>
      </c>
      <c r="AD85" s="30" t="str">
        <f t="shared" si="175"/>
        <v/>
      </c>
      <c r="AE85" s="475" t="str">
        <f>IFERROR(__xludf.DUMMYFUNCTION("""COMPUTED_VALUE"""),"FLSP")</f>
        <v>FLSP</v>
      </c>
      <c r="AF85" s="476"/>
      <c r="AG85" s="474" t="s">
        <v>58</v>
      </c>
      <c r="AH85" s="138" t="str">
        <f t="shared" si="11"/>
        <v/>
      </c>
    </row>
    <row r="86">
      <c r="A86" s="103" t="str">
        <f>IFERROR(__xludf.DUMMYFUNCTION("""COMPUTED_VALUE"""),"C09694")</f>
        <v>C09694</v>
      </c>
      <c r="B86" s="468">
        <f>IFERROR(__xludf.DUMMYFUNCTION("""COMPUTED_VALUE"""),44238.0)</f>
        <v>44238</v>
      </c>
      <c r="C86" s="469">
        <f>IFERROR(__xludf.DUMMYFUNCTION("""COMPUTED_VALUE"""),0.8862962962962962)</f>
        <v>0.8862962963</v>
      </c>
      <c r="D86" s="103" t="str">
        <f>IFERROR(__xludf.DUMMYFUNCTION("""COMPUTED_VALUE"""),"SpFLMP634683")</f>
        <v>SpFLMP634683</v>
      </c>
      <c r="E86" s="103"/>
      <c r="F86" s="103"/>
      <c r="G86" s="103" t="str">
        <f>IFERROR(__xludf.DUMMYFUNCTION("""COMPUTED_VALUE"""),"Null")</f>
        <v>Null</v>
      </c>
      <c r="H86" s="131" t="str">
        <f>IFERROR(__xludf.DUMMYFUNCTION("""COMPUTED_VALUE"""),"Negative")</f>
        <v>Negative</v>
      </c>
      <c r="I86" s="468"/>
      <c r="J86" s="16"/>
      <c r="K86" s="16">
        <f>IFERROR(__xludf.DUMMYFUNCTION("""COMPUTED_VALUE"""),2.0)</f>
        <v>2</v>
      </c>
      <c r="L86" s="8"/>
      <c r="M86" s="69"/>
      <c r="N86" s="69">
        <f>IFERROR(__xludf.DUMMYFUNCTION("""COMPUTED_VALUE"""),4.0)</f>
        <v>4</v>
      </c>
      <c r="O86" s="69" t="str">
        <f t="shared" si="3"/>
        <v/>
      </c>
      <c r="P86" s="471">
        <f>IFERROR(__xludf.DUMMYFUNCTION("""COMPUTED_VALUE"""),-1.0)</f>
        <v>-1</v>
      </c>
      <c r="Q86" s="274" t="b">
        <f>VLOOKUP($B86,'Run Reconcile'!B$2:O2488,14,FALSE)</f>
        <v>1</v>
      </c>
      <c r="R86" s="472" t="str">
        <f t="array" ref="R86">IF($Q86, INDEX('Run Reconcile'!A$2:A2488,MATCH(B86,'Run Reconcile'!B$2:B2488,0),1),IFERROR(0/0,""))</f>
        <v>RUN-FLMP_2021-02-11_APS-026</v>
      </c>
      <c r="S86" s="473" t="str">
        <f t="shared" ref="S86:T86" si="176">IF(COUNTIF(W$2:W2488, $A86) &gt; 0,TRUE,IFERROR(0/0,""))</f>
        <v/>
      </c>
      <c r="T86" s="473" t="str">
        <f t="shared" si="176"/>
        <v/>
      </c>
      <c r="U86" s="275" t="str">
        <f t="array" ref="U86">IF(ISBLANK($R86), INDEX('Run Reconcile'!A$2:A2488, MATCH($B86, 'Run Reconcile'!B$2:B2488, 0)+Z86, 1), IFERROR(0/0,""))
</f>
        <v/>
      </c>
      <c r="V86" s="474" t="str">
        <f t="shared" si="5"/>
        <v>RUN-FLMP_2021-02-11_APS-026</v>
      </c>
      <c r="Y86" s="89" t="str">
        <f t="shared" si="6"/>
        <v/>
      </c>
      <c r="Z86" s="60" t="str">
        <f t="shared" si="7"/>
        <v/>
      </c>
      <c r="AA86" s="60" t="str">
        <f t="shared" si="8"/>
        <v/>
      </c>
      <c r="AB86" s="60" t="str">
        <f t="shared" si="9"/>
        <v/>
      </c>
      <c r="AC86" s="30" t="str">
        <f t="shared" ref="AC86:AD86" si="177">IF(_xlfn.ISFORMULA(S86),IFERROR(0/0,""),TRUE)</f>
        <v/>
      </c>
      <c r="AD86" s="30" t="str">
        <f t="shared" si="177"/>
        <v/>
      </c>
      <c r="AE86" s="475" t="str">
        <f>IFERROR(__xludf.DUMMYFUNCTION("""COMPUTED_VALUE"""),"FLSP")</f>
        <v>FLSP</v>
      </c>
      <c r="AF86" s="476"/>
      <c r="AG86" s="474" t="s">
        <v>58</v>
      </c>
      <c r="AH86" s="138" t="str">
        <f t="shared" si="11"/>
        <v/>
      </c>
    </row>
    <row r="87">
      <c r="A87" s="103" t="str">
        <f>IFERROR(__xludf.DUMMYFUNCTION("""COMPUTED_VALUE"""),"C09618")</f>
        <v>C09618</v>
      </c>
      <c r="B87" s="468">
        <f>IFERROR(__xludf.DUMMYFUNCTION("""COMPUTED_VALUE"""),44239.0)</f>
        <v>44239</v>
      </c>
      <c r="C87" s="469">
        <f>IFERROR(__xludf.DUMMYFUNCTION("""COMPUTED_VALUE"""),0.33783564814814815)</f>
        <v>0.3378356481</v>
      </c>
      <c r="D87" s="103" t="str">
        <f>IFERROR(__xludf.DUMMYFUNCTION("""COMPUTED_VALUE"""),"SpFLMP294811")</f>
        <v>SpFLMP294811</v>
      </c>
      <c r="E87" s="103"/>
      <c r="F87" s="103"/>
      <c r="G87" s="103" t="str">
        <f>IFERROR(__xludf.DUMMYFUNCTION("""COMPUTED_VALUE"""),"Negative")</f>
        <v>Negative</v>
      </c>
      <c r="H87" s="131" t="str">
        <f>IFERROR(__xludf.DUMMYFUNCTION("""COMPUTED_VALUE"""),"Negative")</f>
        <v>Negative</v>
      </c>
      <c r="I87" s="468">
        <f>IFERROR(__xludf.DUMMYFUNCTION("""COMPUTED_VALUE"""),44250.0)</f>
        <v>44250</v>
      </c>
      <c r="J87" s="470">
        <f>IFERROR(__xludf.DUMMYFUNCTION("""COMPUTED_VALUE"""),0.3905439814814815)</f>
        <v>0.3905439815</v>
      </c>
      <c r="K87" s="16"/>
      <c r="L87" s="8"/>
      <c r="M87" s="69"/>
      <c r="N87" s="69">
        <f>IFERROR(__xludf.DUMMYFUNCTION("""COMPUTED_VALUE"""),4.0)</f>
        <v>4</v>
      </c>
      <c r="O87" s="69" t="b">
        <f t="shared" si="3"/>
        <v>1</v>
      </c>
      <c r="P87" s="471">
        <f>IFERROR(__xludf.DUMMYFUNCTION("""COMPUTED_VALUE"""),11.0)</f>
        <v>11</v>
      </c>
      <c r="Q87" s="274" t="b">
        <f>VLOOKUP($B87,'Run Reconcile'!B$2:O2488,14,FALSE)</f>
        <v>1</v>
      </c>
      <c r="R87" s="472" t="str">
        <f t="array" ref="R87">IF($Q87, INDEX('Run Reconcile'!A$2:A2488,MATCH(B87,'Run Reconcile'!B$2:B2488,0),1),IFERROR(0/0,""))</f>
        <v>RUN-FLMP_2021-02-12_APS-027</v>
      </c>
      <c r="S87" s="473" t="str">
        <f t="shared" ref="S87:T87" si="178">IF(COUNTIF(W$2:W2488, $A87) &gt; 0,TRUE,IFERROR(0/0,""))</f>
        <v/>
      </c>
      <c r="T87" s="473" t="str">
        <f t="shared" si="178"/>
        <v/>
      </c>
      <c r="U87" s="275" t="str">
        <f t="array" ref="U87">IF(ISBLANK($R87), INDEX('Run Reconcile'!A$2:A2488, MATCH($B87, 'Run Reconcile'!B$2:B2488, 0)+Z87, 1), IFERROR(0/0,""))
</f>
        <v/>
      </c>
      <c r="V87" s="474" t="str">
        <f t="shared" si="5"/>
        <v>RUN-FLMP_2021-02-12_APS-027</v>
      </c>
      <c r="Y87" s="89" t="str">
        <f t="shared" si="6"/>
        <v/>
      </c>
      <c r="Z87" s="60" t="str">
        <f t="shared" si="7"/>
        <v/>
      </c>
      <c r="AA87" s="60" t="str">
        <f t="shared" si="8"/>
        <v/>
      </c>
      <c r="AB87" s="60" t="str">
        <f t="shared" si="9"/>
        <v/>
      </c>
      <c r="AC87" s="30" t="str">
        <f t="shared" ref="AC87:AD87" si="179">IF(_xlfn.ISFORMULA(S87),IFERROR(0/0,""),TRUE)</f>
        <v/>
      </c>
      <c r="AD87" s="30" t="str">
        <f t="shared" si="179"/>
        <v/>
      </c>
      <c r="AE87" s="475" t="str">
        <f>IFERROR(__xludf.DUMMYFUNCTION("""COMPUTED_VALUE"""),"FLSP")</f>
        <v>FLSP</v>
      </c>
      <c r="AF87" s="476"/>
      <c r="AG87" s="474" t="s">
        <v>59</v>
      </c>
      <c r="AH87" s="138" t="str">
        <f t="shared" si="11"/>
        <v/>
      </c>
    </row>
    <row r="88">
      <c r="A88" s="103" t="str">
        <f>IFERROR(__xludf.DUMMYFUNCTION("""COMPUTED_VALUE"""),"D3917")</f>
        <v>D3917</v>
      </c>
      <c r="B88" s="468">
        <f>IFERROR(__xludf.DUMMYFUNCTION("""COMPUTED_VALUE"""),44239.0)</f>
        <v>44239</v>
      </c>
      <c r="C88" s="469">
        <f>IFERROR(__xludf.DUMMYFUNCTION("""COMPUTED_VALUE"""),0.3442939814814815)</f>
        <v>0.3442939815</v>
      </c>
      <c r="D88" s="103" t="str">
        <f>IFERROR(__xludf.DUMMYFUNCTION("""COMPUTED_VALUE"""),"SpFLMP959641")</f>
        <v>SpFLMP959641</v>
      </c>
      <c r="E88" s="103"/>
      <c r="F88" s="103"/>
      <c r="G88" s="103" t="str">
        <f>IFERROR(__xludf.DUMMYFUNCTION("""COMPUTED_VALUE"""),"Negative")</f>
        <v>Negative</v>
      </c>
      <c r="H88" s="131" t="str">
        <f>IFERROR(__xludf.DUMMYFUNCTION("""COMPUTED_VALUE"""),"Negative")</f>
        <v>Negative</v>
      </c>
      <c r="I88" s="468">
        <f>IFERROR(__xludf.DUMMYFUNCTION("""COMPUTED_VALUE"""),44250.0)</f>
        <v>44250</v>
      </c>
      <c r="J88" s="470">
        <f>IFERROR(__xludf.DUMMYFUNCTION("""COMPUTED_VALUE"""),0.3905439814814815)</f>
        <v>0.3905439815</v>
      </c>
      <c r="K88" s="16"/>
      <c r="L88" s="8"/>
      <c r="M88" s="69"/>
      <c r="N88" s="69">
        <f>IFERROR(__xludf.DUMMYFUNCTION("""COMPUTED_VALUE"""),3.0)</f>
        <v>3</v>
      </c>
      <c r="O88" s="69" t="str">
        <f t="shared" si="3"/>
        <v/>
      </c>
      <c r="P88" s="471">
        <f>IFERROR(__xludf.DUMMYFUNCTION("""COMPUTED_VALUE"""),11.0)</f>
        <v>11</v>
      </c>
      <c r="Q88" s="274" t="b">
        <f>VLOOKUP($B88,'Run Reconcile'!B$2:O2488,14,FALSE)</f>
        <v>1</v>
      </c>
      <c r="R88" s="472" t="str">
        <f t="array" ref="R88">IF($Q88, INDEX('Run Reconcile'!A$2:A2488,MATCH(B88,'Run Reconcile'!B$2:B2488,0),1),IFERROR(0/0,""))</f>
        <v>RUN-FLMP_2021-02-12_APS-027</v>
      </c>
      <c r="S88" s="473" t="str">
        <f t="shared" ref="S88:T88" si="180">IF(COUNTIF(W$2:W2488, $A88) &gt; 0,TRUE,IFERROR(0/0,""))</f>
        <v/>
      </c>
      <c r="T88" s="473" t="str">
        <f t="shared" si="180"/>
        <v/>
      </c>
      <c r="U88" s="275" t="str">
        <f t="array" ref="U88">IF(ISBLANK($R88), INDEX('Run Reconcile'!A$2:A2488, MATCH($B88, 'Run Reconcile'!B$2:B2488, 0)+Z88, 1), IFERROR(0/0,""))
</f>
        <v/>
      </c>
      <c r="V88" s="474" t="str">
        <f t="shared" si="5"/>
        <v>RUN-FLMP_2021-02-12_APS-027</v>
      </c>
      <c r="Y88" s="89" t="str">
        <f t="shared" si="6"/>
        <v/>
      </c>
      <c r="Z88" s="60" t="str">
        <f t="shared" si="7"/>
        <v/>
      </c>
      <c r="AA88" s="60" t="str">
        <f t="shared" si="8"/>
        <v/>
      </c>
      <c r="AB88" s="60" t="str">
        <f t="shared" si="9"/>
        <v/>
      </c>
      <c r="AC88" s="30" t="str">
        <f t="shared" ref="AC88:AD88" si="181">IF(_xlfn.ISFORMULA(S88),IFERROR(0/0,""),TRUE)</f>
        <v/>
      </c>
      <c r="AD88" s="30" t="str">
        <f t="shared" si="181"/>
        <v/>
      </c>
      <c r="AE88" s="475" t="str">
        <f>IFERROR(__xludf.DUMMYFUNCTION("""COMPUTED_VALUE"""),"FLSP")</f>
        <v>FLSP</v>
      </c>
      <c r="AF88" s="476"/>
      <c r="AG88" s="474" t="s">
        <v>59</v>
      </c>
      <c r="AH88" s="138" t="str">
        <f t="shared" si="11"/>
        <v/>
      </c>
    </row>
    <row r="89">
      <c r="A89" s="103" t="str">
        <f>IFERROR(__xludf.DUMMYFUNCTION("""COMPUTED_VALUE"""),"D3981")</f>
        <v>D3981</v>
      </c>
      <c r="B89" s="468">
        <f>IFERROR(__xludf.DUMMYFUNCTION("""COMPUTED_VALUE"""),44239.0)</f>
        <v>44239</v>
      </c>
      <c r="C89" s="469">
        <f>IFERROR(__xludf.DUMMYFUNCTION("""COMPUTED_VALUE"""),0.34890046296296295)</f>
        <v>0.348900463</v>
      </c>
      <c r="D89" s="103" t="str">
        <f>IFERROR(__xludf.DUMMYFUNCTION("""COMPUTED_VALUE"""),"SpFLMP294811")</f>
        <v>SpFLMP294811</v>
      </c>
      <c r="E89" s="103"/>
      <c r="F89" s="103"/>
      <c r="G89" s="103" t="str">
        <f>IFERROR(__xludf.DUMMYFUNCTION("""COMPUTED_VALUE"""),"Negative")</f>
        <v>Negative</v>
      </c>
      <c r="H89" s="131" t="str">
        <f>IFERROR(__xludf.DUMMYFUNCTION("""COMPUTED_VALUE"""),"Negative")</f>
        <v>Negative</v>
      </c>
      <c r="I89" s="468">
        <f>IFERROR(__xludf.DUMMYFUNCTION("""COMPUTED_VALUE"""),44250.0)</f>
        <v>44250</v>
      </c>
      <c r="J89" s="470">
        <f>IFERROR(__xludf.DUMMYFUNCTION("""COMPUTED_VALUE"""),0.3905439814814815)</f>
        <v>0.3905439815</v>
      </c>
      <c r="K89" s="16"/>
      <c r="L89" s="8"/>
      <c r="M89" s="69"/>
      <c r="N89" s="69">
        <f>IFERROR(__xludf.DUMMYFUNCTION("""COMPUTED_VALUE"""),1.0)</f>
        <v>1</v>
      </c>
      <c r="O89" s="69" t="str">
        <f t="shared" si="3"/>
        <v/>
      </c>
      <c r="P89" s="471">
        <f>IFERROR(__xludf.DUMMYFUNCTION("""COMPUTED_VALUE"""),11.0)</f>
        <v>11</v>
      </c>
      <c r="Q89" s="274" t="b">
        <f>VLOOKUP($B89,'Run Reconcile'!B$2:O2488,14,FALSE)</f>
        <v>1</v>
      </c>
      <c r="R89" s="472" t="str">
        <f t="array" ref="R89">IF($Q89, INDEX('Run Reconcile'!A$2:A2488,MATCH(B89,'Run Reconcile'!B$2:B2488,0),1),IFERROR(0/0,""))</f>
        <v>RUN-FLMP_2021-02-12_APS-027</v>
      </c>
      <c r="S89" s="473" t="str">
        <f t="shared" ref="S89:T89" si="182">IF(COUNTIF(W$2:W2488, $A89) &gt; 0,TRUE,IFERROR(0/0,""))</f>
        <v/>
      </c>
      <c r="T89" s="473" t="str">
        <f t="shared" si="182"/>
        <v/>
      </c>
      <c r="U89" s="275" t="str">
        <f t="array" ref="U89">IF(ISBLANK($R89), INDEX('Run Reconcile'!A$2:A2488, MATCH($B89, 'Run Reconcile'!B$2:B2488, 0)+Z89, 1), IFERROR(0/0,""))
</f>
        <v/>
      </c>
      <c r="V89" s="474" t="str">
        <f t="shared" si="5"/>
        <v>RUN-FLMP_2021-02-12_APS-027</v>
      </c>
      <c r="Y89" s="89" t="str">
        <f t="shared" si="6"/>
        <v/>
      </c>
      <c r="Z89" s="60" t="str">
        <f t="shared" si="7"/>
        <v/>
      </c>
      <c r="AA89" s="60" t="str">
        <f t="shared" si="8"/>
        <v/>
      </c>
      <c r="AB89" s="60" t="str">
        <f t="shared" si="9"/>
        <v/>
      </c>
      <c r="AC89" s="30" t="str">
        <f t="shared" ref="AC89:AD89" si="183">IF(_xlfn.ISFORMULA(S89),IFERROR(0/0,""),TRUE)</f>
        <v/>
      </c>
      <c r="AD89" s="30" t="str">
        <f t="shared" si="183"/>
        <v/>
      </c>
      <c r="AE89" s="475" t="str">
        <f>IFERROR(__xludf.DUMMYFUNCTION("""COMPUTED_VALUE"""),"FLSP")</f>
        <v>FLSP</v>
      </c>
      <c r="AF89" s="476"/>
      <c r="AG89" s="474" t="s">
        <v>59</v>
      </c>
      <c r="AH89" s="138" t="str">
        <f t="shared" si="11"/>
        <v/>
      </c>
    </row>
    <row r="90">
      <c r="A90" s="103" t="str">
        <f>IFERROR(__xludf.DUMMYFUNCTION("""COMPUTED_VALUE"""),"C09676")</f>
        <v>C09676</v>
      </c>
      <c r="B90" s="468">
        <f>IFERROR(__xludf.DUMMYFUNCTION("""COMPUTED_VALUE"""),44243.0)</f>
        <v>44243</v>
      </c>
      <c r="C90" s="469">
        <f>IFERROR(__xludf.DUMMYFUNCTION("""COMPUTED_VALUE"""),0.3416087962962963)</f>
        <v>0.3416087963</v>
      </c>
      <c r="D90" s="103" t="str">
        <f>IFERROR(__xludf.DUMMYFUNCTION("""COMPUTED_VALUE"""),"SpFLMP294811")</f>
        <v>SpFLMP294811</v>
      </c>
      <c r="E90" s="103"/>
      <c r="F90" s="103"/>
      <c r="G90" s="103" t="str">
        <f>IFERROR(__xludf.DUMMYFUNCTION("""COMPUTED_VALUE"""),"Negative")</f>
        <v>Negative</v>
      </c>
      <c r="H90" s="131" t="str">
        <f>IFERROR(__xludf.DUMMYFUNCTION("""COMPUTED_VALUE"""),"Negative")</f>
        <v>Negative</v>
      </c>
      <c r="I90" s="468">
        <f>IFERROR(__xludf.DUMMYFUNCTION("""COMPUTED_VALUE"""),44250.0)</f>
        <v>44250</v>
      </c>
      <c r="J90" s="470">
        <f>IFERROR(__xludf.DUMMYFUNCTION("""COMPUTED_VALUE"""),0.3905439814814815)</f>
        <v>0.3905439815</v>
      </c>
      <c r="K90" s="16"/>
      <c r="L90" s="8"/>
      <c r="M90" s="69"/>
      <c r="N90" s="69">
        <f>IFERROR(__xludf.DUMMYFUNCTION("""COMPUTED_VALUE"""),3.0)</f>
        <v>3</v>
      </c>
      <c r="O90" s="69" t="b">
        <f t="shared" si="3"/>
        <v>1</v>
      </c>
      <c r="P90" s="471">
        <f>IFERROR(__xludf.DUMMYFUNCTION("""COMPUTED_VALUE"""),7.0)</f>
        <v>7</v>
      </c>
      <c r="Q90" s="274" t="b">
        <f>VLOOKUP($B90,'Run Reconcile'!B$2:O2488,14,FALSE)</f>
        <v>1</v>
      </c>
      <c r="R90" s="472" t="str">
        <f t="array" ref="R90">IF($Q90, INDEX('Run Reconcile'!A$2:A2488,MATCH(B90,'Run Reconcile'!B$2:B2488,0),1),IFERROR(0/0,""))</f>
        <v>RUN-FLMP_2021-02-16_APS-028</v>
      </c>
      <c r="S90" s="473" t="str">
        <f t="shared" ref="S90:T90" si="184">IF(COUNTIF(W$2:W2488, $A90) &gt; 0,TRUE,IFERROR(0/0,""))</f>
        <v/>
      </c>
      <c r="T90" s="473" t="str">
        <f t="shared" si="184"/>
        <v/>
      </c>
      <c r="U90" s="275" t="str">
        <f t="array" ref="U90">IF(ISBLANK($R90), INDEX('Run Reconcile'!A$2:A2488, MATCH($B90, 'Run Reconcile'!B$2:B2488, 0)+Z90, 1), IFERROR(0/0,""))
</f>
        <v/>
      </c>
      <c r="V90" s="474" t="str">
        <f t="shared" si="5"/>
        <v>RUN-FLMP_2021-02-16_APS-028</v>
      </c>
      <c r="Y90" s="89" t="str">
        <f t="shared" si="6"/>
        <v/>
      </c>
      <c r="Z90" s="60" t="str">
        <f t="shared" si="7"/>
        <v/>
      </c>
      <c r="AA90" s="60" t="str">
        <f t="shared" si="8"/>
        <v/>
      </c>
      <c r="AB90" s="60" t="str">
        <f t="shared" si="9"/>
        <v/>
      </c>
      <c r="AC90" s="30" t="str">
        <f t="shared" ref="AC90:AD90" si="185">IF(_xlfn.ISFORMULA(S90),IFERROR(0/0,""),TRUE)</f>
        <v/>
      </c>
      <c r="AD90" s="30" t="str">
        <f t="shared" si="185"/>
        <v/>
      </c>
      <c r="AE90" s="475" t="str">
        <f>IFERROR(__xludf.DUMMYFUNCTION("""COMPUTED_VALUE"""),"FLSP")</f>
        <v>FLSP</v>
      </c>
      <c r="AF90" s="476"/>
      <c r="AG90" s="474" t="s">
        <v>60</v>
      </c>
      <c r="AH90" s="138" t="str">
        <f t="shared" si="11"/>
        <v/>
      </c>
    </row>
    <row r="91">
      <c r="A91" s="103" t="str">
        <f>IFERROR(__xludf.DUMMYFUNCTION("""COMPUTED_VALUE"""),"FL1217")</f>
        <v>FL1217</v>
      </c>
      <c r="B91" s="468">
        <f>IFERROR(__xludf.DUMMYFUNCTION("""COMPUTED_VALUE"""),44243.0)</f>
        <v>44243</v>
      </c>
      <c r="C91" s="469">
        <f>IFERROR(__xludf.DUMMYFUNCTION("""COMPUTED_VALUE"""),0.3531944444444444)</f>
        <v>0.3531944444</v>
      </c>
      <c r="D91" s="103" t="str">
        <f>IFERROR(__xludf.DUMMYFUNCTION("""COMPUTED_VALUE"""),"SpFLMP959641")</f>
        <v>SpFLMP959641</v>
      </c>
      <c r="E91" s="103"/>
      <c r="F91" s="103"/>
      <c r="G91" s="103" t="str">
        <f>IFERROR(__xludf.DUMMYFUNCTION("""COMPUTED_VALUE"""),"Negative")</f>
        <v>Negative</v>
      </c>
      <c r="H91" s="131" t="str">
        <f>IFERROR(__xludf.DUMMYFUNCTION("""COMPUTED_VALUE"""),"Negative")</f>
        <v>Negative</v>
      </c>
      <c r="I91" s="468">
        <f>IFERROR(__xludf.DUMMYFUNCTION("""COMPUTED_VALUE"""),44250.0)</f>
        <v>44250</v>
      </c>
      <c r="J91" s="470">
        <f>IFERROR(__xludf.DUMMYFUNCTION("""COMPUTED_VALUE"""),0.3905439814814815)</f>
        <v>0.3905439815</v>
      </c>
      <c r="K91" s="16"/>
      <c r="L91" s="8"/>
      <c r="M91" s="69"/>
      <c r="N91" s="69">
        <f>IFERROR(__xludf.DUMMYFUNCTION("""COMPUTED_VALUE"""),3.0)</f>
        <v>3</v>
      </c>
      <c r="O91" s="69" t="str">
        <f t="shared" si="3"/>
        <v/>
      </c>
      <c r="P91" s="471">
        <f>IFERROR(__xludf.DUMMYFUNCTION("""COMPUTED_VALUE"""),7.0)</f>
        <v>7</v>
      </c>
      <c r="Q91" s="274" t="b">
        <f>VLOOKUP($B91,'Run Reconcile'!B$2:O2488,14,FALSE)</f>
        <v>1</v>
      </c>
      <c r="R91" s="472" t="str">
        <f t="array" ref="R91">IF($Q91, INDEX('Run Reconcile'!A$2:A2488,MATCH(B91,'Run Reconcile'!B$2:B2488,0),1),IFERROR(0/0,""))</f>
        <v>RUN-FLMP_2021-02-16_APS-028</v>
      </c>
      <c r="S91" s="473" t="str">
        <f t="shared" ref="S91:T91" si="186">IF(COUNTIF(W$2:W2488, $A91) &gt; 0,TRUE,IFERROR(0/0,""))</f>
        <v/>
      </c>
      <c r="T91" s="473" t="str">
        <f t="shared" si="186"/>
        <v/>
      </c>
      <c r="U91" s="275" t="str">
        <f t="array" ref="U91">IF(ISBLANK($R91), INDEX('Run Reconcile'!A$2:A2488, MATCH($B91, 'Run Reconcile'!B$2:B2488, 0)+Z91, 1), IFERROR(0/0,""))
</f>
        <v/>
      </c>
      <c r="V91" s="474" t="str">
        <f t="shared" si="5"/>
        <v>RUN-FLMP_2021-02-16_APS-028</v>
      </c>
      <c r="Y91" s="89" t="str">
        <f t="shared" si="6"/>
        <v/>
      </c>
      <c r="Z91" s="60" t="str">
        <f t="shared" si="7"/>
        <v/>
      </c>
      <c r="AA91" s="60" t="str">
        <f t="shared" si="8"/>
        <v/>
      </c>
      <c r="AB91" s="60" t="str">
        <f t="shared" si="9"/>
        <v/>
      </c>
      <c r="AC91" s="30" t="str">
        <f t="shared" ref="AC91:AD91" si="187">IF(_xlfn.ISFORMULA(S91),IFERROR(0/0,""),TRUE)</f>
        <v/>
      </c>
      <c r="AD91" s="30" t="str">
        <f t="shared" si="187"/>
        <v/>
      </c>
      <c r="AE91" s="475" t="str">
        <f>IFERROR(__xludf.DUMMYFUNCTION("""COMPUTED_VALUE"""),"FLSP")</f>
        <v>FLSP</v>
      </c>
      <c r="AF91" s="476"/>
      <c r="AG91" s="474" t="s">
        <v>60</v>
      </c>
      <c r="AH91" s="138" t="str">
        <f t="shared" si="11"/>
        <v/>
      </c>
    </row>
    <row r="92">
      <c r="A92" s="103" t="str">
        <f>IFERROR(__xludf.DUMMYFUNCTION("""COMPUTED_VALUE"""),"D3920")</f>
        <v>D3920</v>
      </c>
      <c r="B92" s="468">
        <f>IFERROR(__xludf.DUMMYFUNCTION("""COMPUTED_VALUE"""),44248.0)</f>
        <v>44248</v>
      </c>
      <c r="C92" s="469">
        <f>IFERROR(__xludf.DUMMYFUNCTION("""COMPUTED_VALUE"""),0.8456365740740741)</f>
        <v>0.8456365741</v>
      </c>
      <c r="D92" s="103" t="str">
        <f>IFERROR(__xludf.DUMMYFUNCTION("""COMPUTED_VALUE"""),"SpFLMP626948")</f>
        <v>SpFLMP626948</v>
      </c>
      <c r="E92" s="103"/>
      <c r="F92" s="103"/>
      <c r="G92" s="103" t="str">
        <f>IFERROR(__xludf.DUMMYFUNCTION("""COMPUTED_VALUE"""),"Negative")</f>
        <v>Negative</v>
      </c>
      <c r="H92" s="131" t="str">
        <f>IFERROR(__xludf.DUMMYFUNCTION("""COMPUTED_VALUE"""),"Negative")</f>
        <v>Negative</v>
      </c>
      <c r="I92" s="468">
        <f>IFERROR(__xludf.DUMMYFUNCTION("""COMPUTED_VALUE"""),44250.0)</f>
        <v>44250</v>
      </c>
      <c r="J92" s="470">
        <f>IFERROR(__xludf.DUMMYFUNCTION("""COMPUTED_VALUE"""),0.3905439814814815)</f>
        <v>0.3905439815</v>
      </c>
      <c r="K92" s="16"/>
      <c r="L92" s="8"/>
      <c r="M92" s="69"/>
      <c r="N92" s="69">
        <f>IFERROR(__xludf.DUMMYFUNCTION("""COMPUTED_VALUE"""),4.0)</f>
        <v>4</v>
      </c>
      <c r="O92" s="69" t="b">
        <f t="shared" si="3"/>
        <v>1</v>
      </c>
      <c r="P92" s="471">
        <f>IFERROR(__xludf.DUMMYFUNCTION("""COMPUTED_VALUE"""),2.0)</f>
        <v>2</v>
      </c>
      <c r="Q92" s="274" t="b">
        <f>VLOOKUP($B92,'Run Reconcile'!B$2:O2488,14,FALSE)</f>
        <v>1</v>
      </c>
      <c r="R92" s="472" t="str">
        <f t="array" ref="R92">IF($Q92, INDEX('Run Reconcile'!A$2:A2488,MATCH(B92,'Run Reconcile'!B$2:B2488,0),1),IFERROR(0/0,""))</f>
        <v>RUN-FLMP_2021-02-21_APS-029</v>
      </c>
      <c r="S92" s="473" t="str">
        <f t="shared" ref="S92:T92" si="188">IF(COUNTIF(W$2:W2488, $A92) &gt; 0,TRUE,IFERROR(0/0,""))</f>
        <v/>
      </c>
      <c r="T92" s="473" t="str">
        <f t="shared" si="188"/>
        <v/>
      </c>
      <c r="U92" s="275" t="str">
        <f t="array" ref="U92">IF(ISBLANK($R92), INDEX('Run Reconcile'!A$2:A2488, MATCH($B92, 'Run Reconcile'!B$2:B2488, 0)+Z92, 1), IFERROR(0/0,""))
</f>
        <v/>
      </c>
      <c r="V92" s="474" t="str">
        <f t="shared" si="5"/>
        <v>RUN-FLMP_2021-02-21_APS-029</v>
      </c>
      <c r="Y92" s="89" t="str">
        <f t="shared" si="6"/>
        <v/>
      </c>
      <c r="Z92" s="60" t="str">
        <f t="shared" si="7"/>
        <v/>
      </c>
      <c r="AA92" s="60" t="str">
        <f t="shared" si="8"/>
        <v/>
      </c>
      <c r="AB92" s="60" t="str">
        <f t="shared" si="9"/>
        <v/>
      </c>
      <c r="AC92" s="30" t="str">
        <f t="shared" ref="AC92:AD92" si="189">IF(_xlfn.ISFORMULA(S92),IFERROR(0/0,""),TRUE)</f>
        <v/>
      </c>
      <c r="AD92" s="30" t="str">
        <f t="shared" si="189"/>
        <v/>
      </c>
      <c r="AE92" s="475" t="str">
        <f>IFERROR(__xludf.DUMMYFUNCTION("""COMPUTED_VALUE"""),"FLSP")</f>
        <v>FLSP</v>
      </c>
      <c r="AF92" s="476"/>
      <c r="AG92" s="474" t="s">
        <v>61</v>
      </c>
      <c r="AH92" s="138" t="str">
        <f t="shared" si="11"/>
        <v/>
      </c>
    </row>
    <row r="93">
      <c r="A93" s="103" t="str">
        <f>IFERROR(__xludf.DUMMYFUNCTION("""COMPUTED_VALUE"""),"C09691")</f>
        <v>C09691</v>
      </c>
      <c r="B93" s="468">
        <f>IFERROR(__xludf.DUMMYFUNCTION("""COMPUTED_VALUE"""),44248.0)</f>
        <v>44248</v>
      </c>
      <c r="C93" s="469">
        <f>IFERROR(__xludf.DUMMYFUNCTION("""COMPUTED_VALUE"""),0.8863194444444444)</f>
        <v>0.8863194444</v>
      </c>
      <c r="D93" s="103" t="str">
        <f>IFERROR(__xludf.DUMMYFUNCTION("""COMPUTED_VALUE"""),"SpFLMP634683")</f>
        <v>SpFLMP634683</v>
      </c>
      <c r="E93" s="103"/>
      <c r="F93" s="103"/>
      <c r="G93" s="103" t="str">
        <f>IFERROR(__xludf.DUMMYFUNCTION("""COMPUTED_VALUE"""),"Negative")</f>
        <v>Negative</v>
      </c>
      <c r="H93" s="131" t="str">
        <f>IFERROR(__xludf.DUMMYFUNCTION("""COMPUTED_VALUE"""),"Negative")</f>
        <v>Negative</v>
      </c>
      <c r="I93" s="468">
        <f>IFERROR(__xludf.DUMMYFUNCTION("""COMPUTED_VALUE"""),44250.0)</f>
        <v>44250</v>
      </c>
      <c r="J93" s="470">
        <f>IFERROR(__xludf.DUMMYFUNCTION("""COMPUTED_VALUE"""),0.3905439814814815)</f>
        <v>0.3905439815</v>
      </c>
      <c r="K93" s="16"/>
      <c r="L93" s="8"/>
      <c r="M93" s="69"/>
      <c r="N93" s="69">
        <f>IFERROR(__xludf.DUMMYFUNCTION("""COMPUTED_VALUE"""),4.0)</f>
        <v>4</v>
      </c>
      <c r="O93" s="69" t="str">
        <f t="shared" si="3"/>
        <v/>
      </c>
      <c r="P93" s="471">
        <f>IFERROR(__xludf.DUMMYFUNCTION("""COMPUTED_VALUE"""),2.0)</f>
        <v>2</v>
      </c>
      <c r="Q93" s="274" t="b">
        <f>VLOOKUP($B93,'Run Reconcile'!B$2:O2488,14,FALSE)</f>
        <v>1</v>
      </c>
      <c r="R93" s="472" t="str">
        <f t="array" ref="R93">IF($Q93, INDEX('Run Reconcile'!A$2:A2488,MATCH(B93,'Run Reconcile'!B$2:B2488,0),1),IFERROR(0/0,""))</f>
        <v>RUN-FLMP_2021-02-21_APS-029</v>
      </c>
      <c r="S93" s="473" t="str">
        <f t="shared" ref="S93:T93" si="190">IF(COUNTIF(W$2:W2488, $A93) &gt; 0,TRUE,IFERROR(0/0,""))</f>
        <v/>
      </c>
      <c r="T93" s="473" t="str">
        <f t="shared" si="190"/>
        <v/>
      </c>
      <c r="U93" s="275" t="str">
        <f t="array" ref="U93">IF(ISBLANK($R93), INDEX('Run Reconcile'!A$2:A2488, MATCH($B93, 'Run Reconcile'!B$2:B2488, 0)+Z93, 1), IFERROR(0/0,""))
</f>
        <v/>
      </c>
      <c r="V93" s="474" t="str">
        <f t="shared" si="5"/>
        <v>RUN-FLMP_2021-02-21_APS-029</v>
      </c>
      <c r="Y93" s="89" t="str">
        <f t="shared" si="6"/>
        <v/>
      </c>
      <c r="Z93" s="60" t="str">
        <f t="shared" si="7"/>
        <v/>
      </c>
      <c r="AA93" s="60" t="str">
        <f t="shared" si="8"/>
        <v/>
      </c>
      <c r="AB93" s="60" t="str">
        <f t="shared" si="9"/>
        <v/>
      </c>
      <c r="AC93" s="30" t="str">
        <f t="shared" ref="AC93:AD93" si="191">IF(_xlfn.ISFORMULA(S93),IFERROR(0/0,""),TRUE)</f>
        <v/>
      </c>
      <c r="AD93" s="30" t="str">
        <f t="shared" si="191"/>
        <v/>
      </c>
      <c r="AE93" s="475" t="str">
        <f>IFERROR(__xludf.DUMMYFUNCTION("""COMPUTED_VALUE"""),"FLSP")</f>
        <v>FLSP</v>
      </c>
      <c r="AF93" s="476"/>
      <c r="AG93" s="474" t="s">
        <v>61</v>
      </c>
      <c r="AH93" s="138" t="str">
        <f t="shared" si="11"/>
        <v/>
      </c>
    </row>
    <row r="94">
      <c r="A94" s="103" t="str">
        <f>IFERROR(__xludf.DUMMYFUNCTION("""COMPUTED_VALUE"""),"C09671")</f>
        <v>C09671</v>
      </c>
      <c r="B94" s="468">
        <f>IFERROR(__xludf.DUMMYFUNCTION("""COMPUTED_VALUE"""),44249.0)</f>
        <v>44249</v>
      </c>
      <c r="C94" s="469">
        <f>IFERROR(__xludf.DUMMYFUNCTION("""COMPUTED_VALUE"""),0.3314236111111111)</f>
        <v>0.3314236111</v>
      </c>
      <c r="D94" s="103" t="str">
        <f>IFERROR(__xludf.DUMMYFUNCTION("""COMPUTED_VALUE"""),"SpFLMP290610")</f>
        <v>SpFLMP290610</v>
      </c>
      <c r="E94" s="103"/>
      <c r="F94" s="103"/>
      <c r="G94" s="103" t="str">
        <f>IFERROR(__xludf.DUMMYFUNCTION("""COMPUTED_VALUE"""),"Negative")</f>
        <v>Negative</v>
      </c>
      <c r="H94" s="131" t="str">
        <f>IFERROR(__xludf.DUMMYFUNCTION("""COMPUTED_VALUE"""),"Negative")</f>
        <v>Negative</v>
      </c>
      <c r="I94" s="468">
        <f>IFERROR(__xludf.DUMMYFUNCTION("""COMPUTED_VALUE"""),44250.0)</f>
        <v>44250</v>
      </c>
      <c r="J94" s="470">
        <f>IFERROR(__xludf.DUMMYFUNCTION("""COMPUTED_VALUE"""),0.39055555555555554)</f>
        <v>0.3905555556</v>
      </c>
      <c r="K94" s="16"/>
      <c r="L94" s="8"/>
      <c r="M94" s="69"/>
      <c r="N94" s="69">
        <f>IFERROR(__xludf.DUMMYFUNCTION("""COMPUTED_VALUE"""),3.0)</f>
        <v>3</v>
      </c>
      <c r="O94" s="69" t="b">
        <f t="shared" si="3"/>
        <v>1</v>
      </c>
      <c r="P94" s="471">
        <f>IFERROR(__xludf.DUMMYFUNCTION("""COMPUTED_VALUE"""),1.0)</f>
        <v>1</v>
      </c>
      <c r="Q94" s="274" t="b">
        <f>VLOOKUP($B94,'Run Reconcile'!B$2:O2488,14,FALSE)</f>
        <v>1</v>
      </c>
      <c r="R94" s="472" t="str">
        <f t="array" ref="R94">IF($Q94, INDEX('Run Reconcile'!A$2:A2488,MATCH(B94,'Run Reconcile'!B$2:B2488,0),1),IFERROR(0/0,""))</f>
        <v>RUN-FLMP_2021-02-22_APS-030</v>
      </c>
      <c r="S94" s="473" t="str">
        <f t="shared" ref="S94:T94" si="192">IF(COUNTIF(W$2:W2488, $A94) &gt; 0,TRUE,IFERROR(0/0,""))</f>
        <v/>
      </c>
      <c r="T94" s="473" t="str">
        <f t="shared" si="192"/>
        <v/>
      </c>
      <c r="U94" s="275" t="str">
        <f t="array" ref="U94">IF(ISBLANK($R94), INDEX('Run Reconcile'!A$2:A2488, MATCH($B94, 'Run Reconcile'!B$2:B2488, 0)+Z94, 1), IFERROR(0/0,""))
</f>
        <v/>
      </c>
      <c r="V94" s="474" t="str">
        <f t="shared" si="5"/>
        <v>RUN-FLMP_2021-02-22_APS-030</v>
      </c>
      <c r="Y94" s="89" t="str">
        <f t="shared" si="6"/>
        <v/>
      </c>
      <c r="Z94" s="60" t="str">
        <f t="shared" si="7"/>
        <v/>
      </c>
      <c r="AA94" s="60" t="str">
        <f t="shared" si="8"/>
        <v/>
      </c>
      <c r="AB94" s="60" t="str">
        <f t="shared" si="9"/>
        <v/>
      </c>
      <c r="AC94" s="30" t="str">
        <f t="shared" ref="AC94:AD94" si="193">IF(_xlfn.ISFORMULA(S94),IFERROR(0/0,""),TRUE)</f>
        <v/>
      </c>
      <c r="AD94" s="30" t="str">
        <f t="shared" si="193"/>
        <v/>
      </c>
      <c r="AE94" s="475" t="str">
        <f>IFERROR(__xludf.DUMMYFUNCTION("""COMPUTED_VALUE"""),"FLSP")</f>
        <v>FLSP</v>
      </c>
      <c r="AF94" s="476"/>
      <c r="AG94" s="474" t="s">
        <v>62</v>
      </c>
      <c r="AH94" s="138" t="str">
        <f t="shared" si="11"/>
        <v/>
      </c>
    </row>
    <row r="95">
      <c r="A95" s="103" t="str">
        <f>IFERROR(__xludf.DUMMYFUNCTION("""COMPUTED_VALUE"""),"C09675")</f>
        <v>C09675</v>
      </c>
      <c r="B95" s="468">
        <f>IFERROR(__xludf.DUMMYFUNCTION("""COMPUTED_VALUE"""),44249.0)</f>
        <v>44249</v>
      </c>
      <c r="C95" s="469">
        <f>IFERROR(__xludf.DUMMYFUNCTION("""COMPUTED_VALUE"""),0.3320023148148148)</f>
        <v>0.3320023148</v>
      </c>
      <c r="D95" s="103" t="str">
        <f>IFERROR(__xludf.DUMMYFUNCTION("""COMPUTED_VALUE"""),"SpFLMP294811")</f>
        <v>SpFLMP294811</v>
      </c>
      <c r="E95" s="103"/>
      <c r="F95" s="103"/>
      <c r="G95" s="103" t="str">
        <f>IFERROR(__xludf.DUMMYFUNCTION("""COMPUTED_VALUE"""),"Negative")</f>
        <v>Negative</v>
      </c>
      <c r="H95" s="131" t="str">
        <f>IFERROR(__xludf.DUMMYFUNCTION("""COMPUTED_VALUE"""),"Negative")</f>
        <v>Negative</v>
      </c>
      <c r="I95" s="468">
        <f>IFERROR(__xludf.DUMMYFUNCTION("""COMPUTED_VALUE"""),44250.0)</f>
        <v>44250</v>
      </c>
      <c r="J95" s="470">
        <f>IFERROR(__xludf.DUMMYFUNCTION("""COMPUTED_VALUE"""),0.39055555555555554)</f>
        <v>0.3905555556</v>
      </c>
      <c r="K95" s="16"/>
      <c r="L95" s="8"/>
      <c r="M95" s="69"/>
      <c r="N95" s="69">
        <f>IFERROR(__xludf.DUMMYFUNCTION("""COMPUTED_VALUE"""),2.0)</f>
        <v>2</v>
      </c>
      <c r="O95" s="69" t="str">
        <f t="shared" si="3"/>
        <v/>
      </c>
      <c r="P95" s="471">
        <f>IFERROR(__xludf.DUMMYFUNCTION("""COMPUTED_VALUE"""),1.0)</f>
        <v>1</v>
      </c>
      <c r="Q95" s="274" t="b">
        <f>VLOOKUP($B95,'Run Reconcile'!B$2:O2488,14,FALSE)</f>
        <v>1</v>
      </c>
      <c r="R95" s="472" t="str">
        <f t="array" ref="R95">IF($Q95, INDEX('Run Reconcile'!A$2:A2488,MATCH(B95,'Run Reconcile'!B$2:B2488,0),1),IFERROR(0/0,""))</f>
        <v>RUN-FLMP_2021-02-22_APS-030</v>
      </c>
      <c r="S95" s="473" t="str">
        <f t="shared" ref="S95:T95" si="194">IF(COUNTIF(W$2:W2488, $A95) &gt; 0,TRUE,IFERROR(0/0,""))</f>
        <v/>
      </c>
      <c r="T95" s="473" t="str">
        <f t="shared" si="194"/>
        <v/>
      </c>
      <c r="U95" s="275" t="str">
        <f t="array" ref="U95">IF(ISBLANK($R95), INDEX('Run Reconcile'!A$2:A2488, MATCH($B95, 'Run Reconcile'!B$2:B2488, 0)+Z95, 1), IFERROR(0/0,""))
</f>
        <v/>
      </c>
      <c r="V95" s="474" t="str">
        <f t="shared" si="5"/>
        <v>RUN-FLMP_2021-02-22_APS-030</v>
      </c>
      <c r="Y95" s="89" t="str">
        <f t="shared" si="6"/>
        <v/>
      </c>
      <c r="Z95" s="60" t="str">
        <f t="shared" si="7"/>
        <v/>
      </c>
      <c r="AA95" s="60" t="str">
        <f t="shared" si="8"/>
        <v/>
      </c>
      <c r="AB95" s="60" t="str">
        <f t="shared" si="9"/>
        <v/>
      </c>
      <c r="AC95" s="30" t="str">
        <f t="shared" ref="AC95:AD95" si="195">IF(_xlfn.ISFORMULA(S95),IFERROR(0/0,""),TRUE)</f>
        <v/>
      </c>
      <c r="AD95" s="30" t="str">
        <f t="shared" si="195"/>
        <v/>
      </c>
      <c r="AE95" s="475" t="str">
        <f>IFERROR(__xludf.DUMMYFUNCTION("""COMPUTED_VALUE"""),"FLSP")</f>
        <v>FLSP</v>
      </c>
      <c r="AF95" s="476"/>
      <c r="AG95" s="474" t="s">
        <v>62</v>
      </c>
      <c r="AH95" s="138" t="str">
        <f t="shared" si="11"/>
        <v/>
      </c>
    </row>
    <row r="96">
      <c r="A96" s="103" t="str">
        <f>IFERROR(__xludf.DUMMYFUNCTION("""COMPUTED_VALUE"""),"T1200")</f>
        <v>T1200</v>
      </c>
      <c r="B96" s="468">
        <f>IFERROR(__xludf.DUMMYFUNCTION("""COMPUTED_VALUE"""),44249.0)</f>
        <v>44249</v>
      </c>
      <c r="C96" s="469">
        <f>IFERROR(__xludf.DUMMYFUNCTION("""COMPUTED_VALUE"""),0.3477777777777778)</f>
        <v>0.3477777778</v>
      </c>
      <c r="D96" s="103" t="str">
        <f>IFERROR(__xludf.DUMMYFUNCTION("""COMPUTED_VALUE"""),"SpFLMP959641")</f>
        <v>SpFLMP959641</v>
      </c>
      <c r="E96" s="103"/>
      <c r="F96" s="103"/>
      <c r="G96" s="103" t="str">
        <f>IFERROR(__xludf.DUMMYFUNCTION("""COMPUTED_VALUE"""),"Negative")</f>
        <v>Negative</v>
      </c>
      <c r="H96" s="131" t="str">
        <f>IFERROR(__xludf.DUMMYFUNCTION("""COMPUTED_VALUE"""),"Negative")</f>
        <v>Negative</v>
      </c>
      <c r="I96" s="468">
        <f>IFERROR(__xludf.DUMMYFUNCTION("""COMPUTED_VALUE"""),44250.0)</f>
        <v>44250</v>
      </c>
      <c r="J96" s="470">
        <f>IFERROR(__xludf.DUMMYFUNCTION("""COMPUTED_VALUE"""),0.39055555555555554)</f>
        <v>0.3905555556</v>
      </c>
      <c r="K96" s="16"/>
      <c r="L96" s="8"/>
      <c r="M96" s="69"/>
      <c r="N96" s="69">
        <f>IFERROR(__xludf.DUMMYFUNCTION("""COMPUTED_VALUE"""),4.0)</f>
        <v>4</v>
      </c>
      <c r="O96" s="69" t="str">
        <f t="shared" si="3"/>
        <v/>
      </c>
      <c r="P96" s="471">
        <f>IFERROR(__xludf.DUMMYFUNCTION("""COMPUTED_VALUE"""),1.0)</f>
        <v>1</v>
      </c>
      <c r="Q96" s="274" t="b">
        <f>VLOOKUP($B96,'Run Reconcile'!B$2:O2488,14,FALSE)</f>
        <v>1</v>
      </c>
      <c r="R96" s="472" t="str">
        <f t="array" ref="R96">IF($Q96, INDEX('Run Reconcile'!A$2:A2488,MATCH(B96,'Run Reconcile'!B$2:B2488,0),1),IFERROR(0/0,""))</f>
        <v>RUN-FLMP_2021-02-22_APS-030</v>
      </c>
      <c r="S96" s="473" t="str">
        <f t="shared" ref="S96:T96" si="196">IF(COUNTIF(W$2:W2488, $A96) &gt; 0,TRUE,IFERROR(0/0,""))</f>
        <v/>
      </c>
      <c r="T96" s="473" t="str">
        <f t="shared" si="196"/>
        <v/>
      </c>
      <c r="U96" s="275" t="str">
        <f t="array" ref="U96">IF(ISBLANK($R96), INDEX('Run Reconcile'!A$2:A2488, MATCH($B96, 'Run Reconcile'!B$2:B2488, 0)+Z96, 1), IFERROR(0/0,""))
</f>
        <v/>
      </c>
      <c r="V96" s="474" t="str">
        <f t="shared" si="5"/>
        <v>RUN-FLMP_2021-02-22_APS-030</v>
      </c>
      <c r="Y96" s="89" t="str">
        <f t="shared" si="6"/>
        <v/>
      </c>
      <c r="Z96" s="60" t="str">
        <f t="shared" si="7"/>
        <v/>
      </c>
      <c r="AA96" s="60" t="str">
        <f t="shared" si="8"/>
        <v/>
      </c>
      <c r="AB96" s="60" t="str">
        <f t="shared" si="9"/>
        <v/>
      </c>
      <c r="AC96" s="30" t="str">
        <f t="shared" ref="AC96:AD96" si="197">IF(_xlfn.ISFORMULA(S96),IFERROR(0/0,""),TRUE)</f>
        <v/>
      </c>
      <c r="AD96" s="30" t="str">
        <f t="shared" si="197"/>
        <v/>
      </c>
      <c r="AE96" s="475" t="str">
        <f>IFERROR(__xludf.DUMMYFUNCTION("""COMPUTED_VALUE"""),"FLSP")</f>
        <v>FLSP</v>
      </c>
      <c r="AF96" s="476"/>
      <c r="AG96" s="474" t="s">
        <v>62</v>
      </c>
      <c r="AH96" s="138" t="str">
        <f t="shared" si="11"/>
        <v/>
      </c>
    </row>
    <row r="97">
      <c r="A97" s="103" t="str">
        <f>IFERROR(__xludf.DUMMYFUNCTION("""COMPUTED_VALUE"""),"D3919")</f>
        <v>D3919</v>
      </c>
      <c r="B97" s="468">
        <f>IFERROR(__xludf.DUMMYFUNCTION("""COMPUTED_VALUE"""),44250.0)</f>
        <v>44250</v>
      </c>
      <c r="C97" s="469">
        <f>IFERROR(__xludf.DUMMYFUNCTION("""COMPUTED_VALUE"""),0.8303356481481482)</f>
        <v>0.8303356481</v>
      </c>
      <c r="D97" s="103" t="str">
        <f>IFERROR(__xludf.DUMMYFUNCTION("""COMPUTED_VALUE"""),"SpFLMP626948")</f>
        <v>SpFLMP626948</v>
      </c>
      <c r="E97" s="103"/>
      <c r="F97" s="103"/>
      <c r="G97" s="103" t="str">
        <f>IFERROR(__xludf.DUMMYFUNCTION("""COMPUTED_VALUE"""),"Negative")</f>
        <v>Negative</v>
      </c>
      <c r="H97" s="131" t="str">
        <f>IFERROR(__xludf.DUMMYFUNCTION("""COMPUTED_VALUE"""),"Negative")</f>
        <v>Negative</v>
      </c>
      <c r="I97" s="468">
        <f>IFERROR(__xludf.DUMMYFUNCTION("""COMPUTED_VALUE"""),44251.0)</f>
        <v>44251</v>
      </c>
      <c r="J97" s="470">
        <f>IFERROR(__xludf.DUMMYFUNCTION("""COMPUTED_VALUE"""),0.5270486111111111)</f>
        <v>0.5270486111</v>
      </c>
      <c r="K97" s="16"/>
      <c r="L97" s="8"/>
      <c r="M97" s="69"/>
      <c r="N97" s="69">
        <f>IFERROR(__xludf.DUMMYFUNCTION("""COMPUTED_VALUE"""),3.0)</f>
        <v>3</v>
      </c>
      <c r="O97" s="69" t="b">
        <f t="shared" si="3"/>
        <v>1</v>
      </c>
      <c r="P97" s="471">
        <f>IFERROR(__xludf.DUMMYFUNCTION("""COMPUTED_VALUE"""),1.0)</f>
        <v>1</v>
      </c>
      <c r="Q97" s="274" t="b">
        <f>VLOOKUP($B97,'Run Reconcile'!B$2:O2488,14,FALSE)</f>
        <v>1</v>
      </c>
      <c r="R97" s="472" t="str">
        <f t="array" ref="R97">IF($Q97, INDEX('Run Reconcile'!A$2:A2488,MATCH(B97,'Run Reconcile'!B$2:B2488,0),1),IFERROR(0/0,""))</f>
        <v>RUN-FLMP_2021-02-23_APS-031</v>
      </c>
      <c r="S97" s="473" t="str">
        <f t="shared" ref="S97:T97" si="198">IF(COUNTIF(W$2:W2488, $A97) &gt; 0,TRUE,IFERROR(0/0,""))</f>
        <v/>
      </c>
      <c r="T97" s="473" t="str">
        <f t="shared" si="198"/>
        <v/>
      </c>
      <c r="U97" s="275" t="str">
        <f t="array" ref="U97">IF(ISBLANK($R97), INDEX('Run Reconcile'!A$2:A2488, MATCH($B97, 'Run Reconcile'!B$2:B2488, 0)+Z97, 1), IFERROR(0/0,""))
</f>
        <v/>
      </c>
      <c r="V97" s="474" t="str">
        <f t="shared" si="5"/>
        <v>RUN-FLMP_2021-02-23_APS-031</v>
      </c>
      <c r="Y97" s="89" t="str">
        <f t="shared" si="6"/>
        <v/>
      </c>
      <c r="Z97" s="60" t="str">
        <f t="shared" si="7"/>
        <v/>
      </c>
      <c r="AA97" s="60" t="str">
        <f t="shared" si="8"/>
        <v/>
      </c>
      <c r="AB97" s="60" t="str">
        <f t="shared" si="9"/>
        <v/>
      </c>
      <c r="AC97" s="30" t="str">
        <f t="shared" ref="AC97:AD97" si="199">IF(_xlfn.ISFORMULA(S97),IFERROR(0/0,""),TRUE)</f>
        <v/>
      </c>
      <c r="AD97" s="30" t="str">
        <f t="shared" si="199"/>
        <v/>
      </c>
      <c r="AE97" s="475" t="str">
        <f>IFERROR(__xludf.DUMMYFUNCTION("""COMPUTED_VALUE"""),"FLSP")</f>
        <v>FLSP</v>
      </c>
      <c r="AF97" s="476"/>
      <c r="AG97" s="474" t="s">
        <v>63</v>
      </c>
      <c r="AH97" s="138" t="str">
        <f t="shared" si="11"/>
        <v/>
      </c>
    </row>
    <row r="98">
      <c r="A98" s="103" t="str">
        <f>IFERROR(__xludf.DUMMYFUNCTION("""COMPUTED_VALUE"""),"C09697")</f>
        <v>C09697</v>
      </c>
      <c r="B98" s="468">
        <f>IFERROR(__xludf.DUMMYFUNCTION("""COMPUTED_VALUE"""),44250.0)</f>
        <v>44250</v>
      </c>
      <c r="C98" s="469">
        <f>IFERROR(__xludf.DUMMYFUNCTION("""COMPUTED_VALUE"""),0.9032291666666666)</f>
        <v>0.9032291667</v>
      </c>
      <c r="D98" s="103" t="str">
        <f>IFERROR(__xludf.DUMMYFUNCTION("""COMPUTED_VALUE"""),"SpFLMP634683")</f>
        <v>SpFLMP634683</v>
      </c>
      <c r="E98" s="103"/>
      <c r="F98" s="103"/>
      <c r="G98" s="103" t="str">
        <f>IFERROR(__xludf.DUMMYFUNCTION("""COMPUTED_VALUE"""),"Negative")</f>
        <v>Negative</v>
      </c>
      <c r="H98" s="131" t="str">
        <f>IFERROR(__xludf.DUMMYFUNCTION("""COMPUTED_VALUE"""),"Negative")</f>
        <v>Negative</v>
      </c>
      <c r="I98" s="468">
        <f>IFERROR(__xludf.DUMMYFUNCTION("""COMPUTED_VALUE"""),44251.0)</f>
        <v>44251</v>
      </c>
      <c r="J98" s="470">
        <f>IFERROR(__xludf.DUMMYFUNCTION("""COMPUTED_VALUE"""),0.5270486111111111)</f>
        <v>0.5270486111</v>
      </c>
      <c r="K98" s="16"/>
      <c r="L98" s="8"/>
      <c r="M98" s="69"/>
      <c r="N98" s="69">
        <f>IFERROR(__xludf.DUMMYFUNCTION("""COMPUTED_VALUE"""),4.0)</f>
        <v>4</v>
      </c>
      <c r="O98" s="69" t="str">
        <f t="shared" si="3"/>
        <v/>
      </c>
      <c r="P98" s="471">
        <f>IFERROR(__xludf.DUMMYFUNCTION("""COMPUTED_VALUE"""),1.0)</f>
        <v>1</v>
      </c>
      <c r="Q98" s="274" t="b">
        <f>VLOOKUP($B98,'Run Reconcile'!B$2:O2488,14,FALSE)</f>
        <v>1</v>
      </c>
      <c r="R98" s="472" t="str">
        <f t="array" ref="R98">IF($Q98, INDEX('Run Reconcile'!A$2:A2488,MATCH(B98,'Run Reconcile'!B$2:B2488,0),1),IFERROR(0/0,""))</f>
        <v>RUN-FLMP_2021-02-23_APS-031</v>
      </c>
      <c r="S98" s="473" t="str">
        <f t="shared" ref="S98:T98" si="200">IF(COUNTIF(W$2:W2488, $A98) &gt; 0,TRUE,IFERROR(0/0,""))</f>
        <v/>
      </c>
      <c r="T98" s="473" t="str">
        <f t="shared" si="200"/>
        <v/>
      </c>
      <c r="U98" s="275" t="str">
        <f t="array" ref="U98">IF(ISBLANK($R98), INDEX('Run Reconcile'!A$2:A2488, MATCH($B98, 'Run Reconcile'!B$2:B2488, 0)+Z98, 1), IFERROR(0/0,""))
</f>
        <v/>
      </c>
      <c r="V98" s="474" t="str">
        <f t="shared" si="5"/>
        <v>RUN-FLMP_2021-02-23_APS-031</v>
      </c>
      <c r="Y98" s="89" t="str">
        <f t="shared" si="6"/>
        <v/>
      </c>
      <c r="Z98" s="60" t="str">
        <f t="shared" si="7"/>
        <v/>
      </c>
      <c r="AA98" s="60" t="str">
        <f t="shared" si="8"/>
        <v/>
      </c>
      <c r="AB98" s="60" t="str">
        <f t="shared" si="9"/>
        <v/>
      </c>
      <c r="AC98" s="30" t="str">
        <f t="shared" ref="AC98:AD98" si="201">IF(_xlfn.ISFORMULA(S98),IFERROR(0/0,""),TRUE)</f>
        <v/>
      </c>
      <c r="AD98" s="30" t="str">
        <f t="shared" si="201"/>
        <v/>
      </c>
      <c r="AE98" s="475" t="str">
        <f>IFERROR(__xludf.DUMMYFUNCTION("""COMPUTED_VALUE"""),"FLSP")</f>
        <v>FLSP</v>
      </c>
      <c r="AF98" s="476"/>
      <c r="AG98" s="474" t="s">
        <v>63</v>
      </c>
      <c r="AH98" s="138" t="str">
        <f t="shared" si="11"/>
        <v/>
      </c>
    </row>
    <row r="99">
      <c r="A99" s="103" t="str">
        <f>IFERROR(__xludf.DUMMYFUNCTION("""COMPUTED_VALUE"""),"C09674")</f>
        <v>C09674</v>
      </c>
      <c r="B99" s="468">
        <f>IFERROR(__xludf.DUMMYFUNCTION("""COMPUTED_VALUE"""),44251.0)</f>
        <v>44251</v>
      </c>
      <c r="C99" s="469">
        <f>IFERROR(__xludf.DUMMYFUNCTION("""COMPUTED_VALUE"""),0.3353125)</f>
        <v>0.3353125</v>
      </c>
      <c r="D99" s="103" t="str">
        <f>IFERROR(__xludf.DUMMYFUNCTION("""COMPUTED_VALUE"""),"SpFLMP294811")</f>
        <v>SpFLMP294811</v>
      </c>
      <c r="E99" s="103"/>
      <c r="F99" s="103"/>
      <c r="G99" s="103" t="str">
        <f>IFERROR(__xludf.DUMMYFUNCTION("""COMPUTED_VALUE"""),"Negative")</f>
        <v>Negative</v>
      </c>
      <c r="H99" s="131" t="str">
        <f>IFERROR(__xludf.DUMMYFUNCTION("""COMPUTED_VALUE"""),"Negative")</f>
        <v>Negative</v>
      </c>
      <c r="I99" s="468">
        <f>IFERROR(__xludf.DUMMYFUNCTION("""COMPUTED_VALUE"""),44251.0)</f>
        <v>44251</v>
      </c>
      <c r="J99" s="470">
        <f>IFERROR(__xludf.DUMMYFUNCTION("""COMPUTED_VALUE"""),0.5270486111111111)</f>
        <v>0.5270486111</v>
      </c>
      <c r="K99" s="16"/>
      <c r="L99" s="8"/>
      <c r="M99" s="69"/>
      <c r="N99" s="69">
        <f>IFERROR(__xludf.DUMMYFUNCTION("""COMPUTED_VALUE"""),2.0)</f>
        <v>2</v>
      </c>
      <c r="O99" s="69" t="b">
        <f t="shared" si="3"/>
        <v>1</v>
      </c>
      <c r="P99" s="471">
        <f>IFERROR(__xludf.DUMMYFUNCTION("""COMPUTED_VALUE"""),0.0)</f>
        <v>0</v>
      </c>
      <c r="Q99" s="274" t="b">
        <f>VLOOKUP($B99,'Run Reconcile'!B$2:O2488,14,FALSE)</f>
        <v>1</v>
      </c>
      <c r="R99" s="472" t="str">
        <f t="array" ref="R99">IF($Q99, INDEX('Run Reconcile'!A$2:A2488,MATCH(B99,'Run Reconcile'!B$2:B2488,0),1),IFERROR(0/0,""))</f>
        <v>RUN-FLMP_2021-02-24_APS-032</v>
      </c>
      <c r="S99" s="473" t="str">
        <f t="shared" ref="S99:T99" si="202">IF(COUNTIF(W$2:W2488, $A99) &gt; 0,TRUE,IFERROR(0/0,""))</f>
        <v/>
      </c>
      <c r="T99" s="473" t="str">
        <f t="shared" si="202"/>
        <v/>
      </c>
      <c r="U99" s="275" t="str">
        <f t="array" ref="U99">IF(ISBLANK($R99), INDEX('Run Reconcile'!A$2:A2488, MATCH($B99, 'Run Reconcile'!B$2:B2488, 0)+Z99, 1), IFERROR(0/0,""))
</f>
        <v/>
      </c>
      <c r="V99" s="474" t="str">
        <f t="shared" si="5"/>
        <v>RUN-FLMP_2021-02-24_APS-032</v>
      </c>
      <c r="Y99" s="89" t="str">
        <f t="shared" si="6"/>
        <v/>
      </c>
      <c r="Z99" s="60" t="str">
        <f t="shared" si="7"/>
        <v/>
      </c>
      <c r="AA99" s="60" t="str">
        <f t="shared" si="8"/>
        <v/>
      </c>
      <c r="AB99" s="60" t="str">
        <f t="shared" si="9"/>
        <v/>
      </c>
      <c r="AC99" s="30" t="str">
        <f t="shared" ref="AC99:AD99" si="203">IF(_xlfn.ISFORMULA(S99),IFERROR(0/0,""),TRUE)</f>
        <v/>
      </c>
      <c r="AD99" s="30" t="str">
        <f t="shared" si="203"/>
        <v/>
      </c>
      <c r="AE99" s="475" t="str">
        <f>IFERROR(__xludf.DUMMYFUNCTION("""COMPUTED_VALUE"""),"FLSP")</f>
        <v>FLSP</v>
      </c>
      <c r="AF99" s="476"/>
      <c r="AG99" s="474" t="s">
        <v>64</v>
      </c>
      <c r="AH99" s="138" t="str">
        <f t="shared" si="11"/>
        <v/>
      </c>
    </row>
    <row r="100">
      <c r="A100" s="103" t="str">
        <f>IFERROR(__xludf.DUMMYFUNCTION("""COMPUTED_VALUE"""),"D3989")</f>
        <v>D3989</v>
      </c>
      <c r="B100" s="468">
        <f>IFERROR(__xludf.DUMMYFUNCTION("""COMPUTED_VALUE"""),44251.0)</f>
        <v>44251</v>
      </c>
      <c r="C100" s="469">
        <f>IFERROR(__xludf.DUMMYFUNCTION("""COMPUTED_VALUE"""),0.33578703703703705)</f>
        <v>0.335787037</v>
      </c>
      <c r="D100" s="103" t="str">
        <f>IFERROR(__xludf.DUMMYFUNCTION("""COMPUTED_VALUE"""),"SpFLMP294811")</f>
        <v>SpFLMP294811</v>
      </c>
      <c r="E100" s="103"/>
      <c r="F100" s="103"/>
      <c r="G100" s="103" t="str">
        <f>IFERROR(__xludf.DUMMYFUNCTION("""COMPUTED_VALUE"""),"Negative")</f>
        <v>Negative</v>
      </c>
      <c r="H100" s="131" t="str">
        <f>IFERROR(__xludf.DUMMYFUNCTION("""COMPUTED_VALUE"""),"Negative")</f>
        <v>Negative</v>
      </c>
      <c r="I100" s="468">
        <f>IFERROR(__xludf.DUMMYFUNCTION("""COMPUTED_VALUE"""),44251.0)</f>
        <v>44251</v>
      </c>
      <c r="J100" s="470">
        <f>IFERROR(__xludf.DUMMYFUNCTION("""COMPUTED_VALUE"""),0.5270486111111111)</f>
        <v>0.5270486111</v>
      </c>
      <c r="K100" s="16"/>
      <c r="L100" s="8"/>
      <c r="M100" s="69"/>
      <c r="N100" s="69">
        <f>IFERROR(__xludf.DUMMYFUNCTION("""COMPUTED_VALUE"""),1.0)</f>
        <v>1</v>
      </c>
      <c r="O100" s="69" t="str">
        <f t="shared" si="3"/>
        <v/>
      </c>
      <c r="P100" s="471">
        <f>IFERROR(__xludf.DUMMYFUNCTION("""COMPUTED_VALUE"""),0.0)</f>
        <v>0</v>
      </c>
      <c r="Q100" s="274" t="b">
        <f>VLOOKUP($B100,'Run Reconcile'!B$2:O2488,14,FALSE)</f>
        <v>1</v>
      </c>
      <c r="R100" s="472" t="str">
        <f t="array" ref="R100">IF($Q100, INDEX('Run Reconcile'!A$2:A2488,MATCH(B100,'Run Reconcile'!B$2:B2488,0),1),IFERROR(0/0,""))</f>
        <v>RUN-FLMP_2021-02-24_APS-032</v>
      </c>
      <c r="S100" s="473" t="str">
        <f t="shared" ref="S100:T100" si="204">IF(COUNTIF(W$2:W2488, $A100) &gt; 0,TRUE,IFERROR(0/0,""))</f>
        <v/>
      </c>
      <c r="T100" s="473" t="str">
        <f t="shared" si="204"/>
        <v/>
      </c>
      <c r="U100" s="275" t="str">
        <f t="array" ref="U100">IF(ISBLANK($R100), INDEX('Run Reconcile'!A$2:A2488, MATCH($B100, 'Run Reconcile'!B$2:B2488, 0)+Z100, 1), IFERROR(0/0,""))
</f>
        <v/>
      </c>
      <c r="V100" s="474" t="str">
        <f t="shared" si="5"/>
        <v>RUN-FLMP_2021-02-24_APS-032</v>
      </c>
      <c r="Y100" s="89" t="str">
        <f t="shared" si="6"/>
        <v/>
      </c>
      <c r="Z100" s="60" t="str">
        <f t="shared" si="7"/>
        <v/>
      </c>
      <c r="AA100" s="60" t="str">
        <f t="shared" si="8"/>
        <v/>
      </c>
      <c r="AB100" s="60" t="str">
        <f t="shared" si="9"/>
        <v/>
      </c>
      <c r="AC100" s="30" t="str">
        <f t="shared" ref="AC100:AD100" si="205">IF(_xlfn.ISFORMULA(S100),IFERROR(0/0,""),TRUE)</f>
        <v/>
      </c>
      <c r="AD100" s="30" t="str">
        <f t="shared" si="205"/>
        <v/>
      </c>
      <c r="AE100" s="475" t="str">
        <f>IFERROR(__xludf.DUMMYFUNCTION("""COMPUTED_VALUE"""),"FLSP")</f>
        <v>FLSP</v>
      </c>
      <c r="AF100" s="476"/>
      <c r="AG100" s="474" t="s">
        <v>64</v>
      </c>
      <c r="AH100" s="138" t="str">
        <f t="shared" si="11"/>
        <v/>
      </c>
    </row>
    <row r="101">
      <c r="A101" s="103" t="str">
        <f>IFERROR(__xludf.DUMMYFUNCTION("""COMPUTED_VALUE"""),"D3988")</f>
        <v>D3988</v>
      </c>
      <c r="B101" s="468">
        <f>IFERROR(__xludf.DUMMYFUNCTION("""COMPUTED_VALUE"""),44251.0)</f>
        <v>44251</v>
      </c>
      <c r="C101" s="469">
        <f>IFERROR(__xludf.DUMMYFUNCTION("""COMPUTED_VALUE"""),0.33725694444444443)</f>
        <v>0.3372569444</v>
      </c>
      <c r="D101" s="103" t="str">
        <f>IFERROR(__xludf.DUMMYFUNCTION("""COMPUTED_VALUE"""),"SpFLMP294811")</f>
        <v>SpFLMP294811</v>
      </c>
      <c r="E101" s="103"/>
      <c r="F101" s="103"/>
      <c r="G101" s="103" t="str">
        <f>IFERROR(__xludf.DUMMYFUNCTION("""COMPUTED_VALUE"""),"Negative")</f>
        <v>Negative</v>
      </c>
      <c r="H101" s="131" t="str">
        <f>IFERROR(__xludf.DUMMYFUNCTION("""COMPUTED_VALUE"""),"Negative")</f>
        <v>Negative</v>
      </c>
      <c r="I101" s="468">
        <f>IFERROR(__xludf.DUMMYFUNCTION("""COMPUTED_VALUE"""),44251.0)</f>
        <v>44251</v>
      </c>
      <c r="J101" s="470">
        <f>IFERROR(__xludf.DUMMYFUNCTION("""COMPUTED_VALUE"""),0.5270486111111111)</f>
        <v>0.5270486111</v>
      </c>
      <c r="K101" s="16"/>
      <c r="L101" s="8"/>
      <c r="M101" s="69"/>
      <c r="N101" s="69">
        <f>IFERROR(__xludf.DUMMYFUNCTION("""COMPUTED_VALUE"""),1.0)</f>
        <v>1</v>
      </c>
      <c r="O101" s="69" t="str">
        <f t="shared" si="3"/>
        <v/>
      </c>
      <c r="P101" s="471">
        <f>IFERROR(__xludf.DUMMYFUNCTION("""COMPUTED_VALUE"""),0.0)</f>
        <v>0</v>
      </c>
      <c r="Q101" s="274" t="b">
        <f>VLOOKUP($B101,'Run Reconcile'!B$2:O2488,14,FALSE)</f>
        <v>1</v>
      </c>
      <c r="R101" s="472" t="str">
        <f t="array" ref="R101">IF($Q101, INDEX('Run Reconcile'!A$2:A2488,MATCH(B101,'Run Reconcile'!B$2:B2488,0),1),IFERROR(0/0,""))</f>
        <v>RUN-FLMP_2021-02-24_APS-032</v>
      </c>
      <c r="S101" s="473" t="str">
        <f t="shared" ref="S101:T101" si="206">IF(COUNTIF(W$2:W2488, $A101) &gt; 0,TRUE,IFERROR(0/0,""))</f>
        <v/>
      </c>
      <c r="T101" s="473" t="str">
        <f t="shared" si="206"/>
        <v/>
      </c>
      <c r="U101" s="275" t="str">
        <f t="array" ref="U101">IF(ISBLANK($R101), INDEX('Run Reconcile'!A$2:A2488, MATCH($B101, 'Run Reconcile'!B$2:B2488, 0)+Z101, 1), IFERROR(0/0,""))
</f>
        <v/>
      </c>
      <c r="V101" s="474" t="str">
        <f t="shared" si="5"/>
        <v>RUN-FLMP_2021-02-24_APS-032</v>
      </c>
      <c r="Y101" s="89" t="str">
        <f t="shared" si="6"/>
        <v/>
      </c>
      <c r="Z101" s="60" t="str">
        <f t="shared" si="7"/>
        <v/>
      </c>
      <c r="AA101" s="60" t="str">
        <f t="shared" si="8"/>
        <v/>
      </c>
      <c r="AB101" s="60" t="str">
        <f t="shared" si="9"/>
        <v/>
      </c>
      <c r="AC101" s="30" t="str">
        <f t="shared" ref="AC101:AD101" si="207">IF(_xlfn.ISFORMULA(S101),IFERROR(0/0,""),TRUE)</f>
        <v/>
      </c>
      <c r="AD101" s="30" t="str">
        <f t="shared" si="207"/>
        <v/>
      </c>
      <c r="AE101" s="475" t="str">
        <f>IFERROR(__xludf.DUMMYFUNCTION("""COMPUTED_VALUE"""),"FLSP")</f>
        <v>FLSP</v>
      </c>
      <c r="AF101" s="476"/>
      <c r="AG101" s="474" t="s">
        <v>64</v>
      </c>
      <c r="AH101" s="138" t="str">
        <f t="shared" si="11"/>
        <v/>
      </c>
    </row>
    <row r="102">
      <c r="A102" s="103" t="str">
        <f>IFERROR(__xludf.DUMMYFUNCTION("""COMPUTED_VALUE"""),"T1222")</f>
        <v>T1222</v>
      </c>
      <c r="B102" s="468">
        <f>IFERROR(__xludf.DUMMYFUNCTION("""COMPUTED_VALUE"""),44251.0)</f>
        <v>44251</v>
      </c>
      <c r="C102" s="469">
        <f>IFERROR(__xludf.DUMMYFUNCTION("""COMPUTED_VALUE"""),0.3418287037037037)</f>
        <v>0.3418287037</v>
      </c>
      <c r="D102" s="103" t="str">
        <f>IFERROR(__xludf.DUMMYFUNCTION("""COMPUTED_VALUE"""),"SpFLMP959641")</f>
        <v>SpFLMP959641</v>
      </c>
      <c r="E102" s="103"/>
      <c r="F102" s="103"/>
      <c r="G102" s="103" t="str">
        <f>IFERROR(__xludf.DUMMYFUNCTION("""COMPUTED_VALUE"""),"Negative")</f>
        <v>Negative</v>
      </c>
      <c r="H102" s="131" t="str">
        <f>IFERROR(__xludf.DUMMYFUNCTION("""COMPUTED_VALUE"""),"Negative")</f>
        <v>Negative</v>
      </c>
      <c r="I102" s="468">
        <f>IFERROR(__xludf.DUMMYFUNCTION("""COMPUTED_VALUE"""),44251.0)</f>
        <v>44251</v>
      </c>
      <c r="J102" s="470">
        <f>IFERROR(__xludf.DUMMYFUNCTION("""COMPUTED_VALUE"""),0.5270486111111111)</f>
        <v>0.5270486111</v>
      </c>
      <c r="K102" s="16"/>
      <c r="L102" s="8"/>
      <c r="M102" s="69"/>
      <c r="N102" s="69">
        <f>IFERROR(__xludf.DUMMYFUNCTION("""COMPUTED_VALUE"""),4.0)</f>
        <v>4</v>
      </c>
      <c r="O102" s="69" t="str">
        <f t="shared" si="3"/>
        <v/>
      </c>
      <c r="P102" s="471">
        <f>IFERROR(__xludf.DUMMYFUNCTION("""COMPUTED_VALUE"""),0.0)</f>
        <v>0</v>
      </c>
      <c r="Q102" s="274" t="b">
        <f>VLOOKUP($B102,'Run Reconcile'!B$2:O2488,14,FALSE)</f>
        <v>1</v>
      </c>
      <c r="R102" s="472" t="str">
        <f t="array" ref="R102">IF($Q102, INDEX('Run Reconcile'!A$2:A2488,MATCH(B102,'Run Reconcile'!B$2:B2488,0),1),IFERROR(0/0,""))</f>
        <v>RUN-FLMP_2021-02-24_APS-032</v>
      </c>
      <c r="S102" s="473" t="str">
        <f t="shared" ref="S102:T102" si="208">IF(COUNTIF(W$2:W2488, $A102) &gt; 0,TRUE,IFERROR(0/0,""))</f>
        <v/>
      </c>
      <c r="T102" s="473" t="str">
        <f t="shared" si="208"/>
        <v/>
      </c>
      <c r="U102" s="275" t="str">
        <f t="array" ref="U102">IF(ISBLANK($R102), INDEX('Run Reconcile'!A$2:A2488, MATCH($B102, 'Run Reconcile'!B$2:B2488, 0)+Z102, 1), IFERROR(0/0,""))
</f>
        <v/>
      </c>
      <c r="V102" s="474" t="str">
        <f t="shared" si="5"/>
        <v>RUN-FLMP_2021-02-24_APS-032</v>
      </c>
      <c r="Y102" s="89" t="str">
        <f t="shared" si="6"/>
        <v/>
      </c>
      <c r="Z102" s="60" t="str">
        <f t="shared" si="7"/>
        <v/>
      </c>
      <c r="AA102" s="60" t="str">
        <f t="shared" si="8"/>
        <v/>
      </c>
      <c r="AB102" s="60" t="str">
        <f t="shared" si="9"/>
        <v/>
      </c>
      <c r="AC102" s="30" t="str">
        <f t="shared" ref="AC102:AD102" si="209">IF(_xlfn.ISFORMULA(S102),IFERROR(0/0,""),TRUE)</f>
        <v/>
      </c>
      <c r="AD102" s="30" t="str">
        <f t="shared" si="209"/>
        <v/>
      </c>
      <c r="AE102" s="475" t="str">
        <f>IFERROR(__xludf.DUMMYFUNCTION("""COMPUTED_VALUE"""),"FLSP")</f>
        <v>FLSP</v>
      </c>
      <c r="AF102" s="476"/>
      <c r="AG102" s="474" t="s">
        <v>64</v>
      </c>
      <c r="AH102" s="138" t="str">
        <f t="shared" si="11"/>
        <v/>
      </c>
    </row>
    <row r="103">
      <c r="A103" s="103" t="str">
        <f>IFERROR(__xludf.DUMMYFUNCTION("""COMPUTED_VALUE"""),"D3971")</f>
        <v>D3971</v>
      </c>
      <c r="B103" s="468">
        <f>IFERROR(__xludf.DUMMYFUNCTION("""COMPUTED_VALUE"""),44257.0)</f>
        <v>44257</v>
      </c>
      <c r="C103" s="469">
        <f>IFERROR(__xludf.DUMMYFUNCTION("""COMPUTED_VALUE"""),0.728761574074074)</f>
        <v>0.7287615741</v>
      </c>
      <c r="D103" s="103" t="str">
        <f>IFERROR(__xludf.DUMMYFUNCTION("""COMPUTED_VALUE"""),"SpFLMP626948")</f>
        <v>SpFLMP626948</v>
      </c>
      <c r="E103" s="103"/>
      <c r="F103" s="103"/>
      <c r="G103" s="103" t="str">
        <f>IFERROR(__xludf.DUMMYFUNCTION("""COMPUTED_VALUE"""),"Negative")</f>
        <v>Negative</v>
      </c>
      <c r="H103" s="131" t="str">
        <f>IFERROR(__xludf.DUMMYFUNCTION("""COMPUTED_VALUE"""),"Negative")</f>
        <v>Negative</v>
      </c>
      <c r="I103" s="468">
        <f>IFERROR(__xludf.DUMMYFUNCTION("""COMPUTED_VALUE"""),44258.0)</f>
        <v>44258</v>
      </c>
      <c r="J103" s="470">
        <f>IFERROR(__xludf.DUMMYFUNCTION("""COMPUTED_VALUE"""),0.4997916666666667)</f>
        <v>0.4997916667</v>
      </c>
      <c r="K103" s="16"/>
      <c r="L103" s="8"/>
      <c r="M103" s="69"/>
      <c r="N103" s="69">
        <f>IFERROR(__xludf.DUMMYFUNCTION("""COMPUTED_VALUE"""),4.0)</f>
        <v>4</v>
      </c>
      <c r="O103" s="69" t="b">
        <f t="shared" si="3"/>
        <v>1</v>
      </c>
      <c r="P103" s="471">
        <f>IFERROR(__xludf.DUMMYFUNCTION("""COMPUTED_VALUE"""),1.0)</f>
        <v>1</v>
      </c>
      <c r="Q103" s="274" t="b">
        <f>VLOOKUP($B103,'Run Reconcile'!B$2:O2488,14,FALSE)</f>
        <v>1</v>
      </c>
      <c r="R103" s="472" t="str">
        <f t="array" ref="R103">IF($Q103, INDEX('Run Reconcile'!A$2:A2488,MATCH(B103,'Run Reconcile'!B$2:B2488,0),1),IFERROR(0/0,""))</f>
        <v>RUN-FLMP_2021-03-02_APS-033</v>
      </c>
      <c r="S103" s="473" t="str">
        <f t="shared" ref="S103:T103" si="210">IF(COUNTIF(W$2:W2488, $A103) &gt; 0,TRUE,IFERROR(0/0,""))</f>
        <v/>
      </c>
      <c r="T103" s="473" t="str">
        <f t="shared" si="210"/>
        <v/>
      </c>
      <c r="U103" s="275" t="str">
        <f t="array" ref="U103">IF(ISBLANK($R103), INDEX('Run Reconcile'!A$2:A2488, MATCH($B103, 'Run Reconcile'!B$2:B2488, 0)+Z103, 1), IFERROR(0/0,""))
</f>
        <v/>
      </c>
      <c r="V103" s="474" t="str">
        <f t="shared" si="5"/>
        <v>RUN-FLMP_2021-03-02_APS-033</v>
      </c>
      <c r="Y103" s="89" t="str">
        <f t="shared" si="6"/>
        <v/>
      </c>
      <c r="Z103" s="60" t="str">
        <f t="shared" si="7"/>
        <v/>
      </c>
      <c r="AA103" s="60" t="str">
        <f t="shared" si="8"/>
        <v/>
      </c>
      <c r="AB103" s="60" t="str">
        <f t="shared" si="9"/>
        <v/>
      </c>
      <c r="AC103" s="30" t="str">
        <f t="shared" ref="AC103:AD103" si="211">IF(_xlfn.ISFORMULA(S103),IFERROR(0/0,""),TRUE)</f>
        <v/>
      </c>
      <c r="AD103" s="30" t="str">
        <f t="shared" si="211"/>
        <v/>
      </c>
      <c r="AE103" s="475" t="str">
        <f>IFERROR(__xludf.DUMMYFUNCTION("""COMPUTED_VALUE"""),"FLSP")</f>
        <v>FLSP</v>
      </c>
      <c r="AF103" s="476"/>
      <c r="AG103" s="474" t="s">
        <v>65</v>
      </c>
      <c r="AH103" s="138" t="str">
        <f t="shared" si="11"/>
        <v/>
      </c>
    </row>
    <row r="104">
      <c r="A104" s="103" t="str">
        <f>IFERROR(__xludf.DUMMYFUNCTION("""COMPUTED_VALUE"""),"T1229")</f>
        <v>T1229</v>
      </c>
      <c r="B104" s="468">
        <f>IFERROR(__xludf.DUMMYFUNCTION("""COMPUTED_VALUE"""),44257.0)</f>
        <v>44257</v>
      </c>
      <c r="C104" s="469">
        <f>IFERROR(__xludf.DUMMYFUNCTION("""COMPUTED_VALUE"""),0.8986689814814814)</f>
        <v>0.8986689815</v>
      </c>
      <c r="D104" s="103" t="str">
        <f>IFERROR(__xludf.DUMMYFUNCTION("""COMPUTED_VALUE"""),"SpFLMP634683")</f>
        <v>SpFLMP634683</v>
      </c>
      <c r="E104" s="103"/>
      <c r="F104" s="103"/>
      <c r="G104" s="103" t="str">
        <f>IFERROR(__xludf.DUMMYFUNCTION("""COMPUTED_VALUE"""),"Negative")</f>
        <v>Negative</v>
      </c>
      <c r="H104" s="131" t="str">
        <f>IFERROR(__xludf.DUMMYFUNCTION("""COMPUTED_VALUE"""),"Negative")</f>
        <v>Negative</v>
      </c>
      <c r="I104" s="468">
        <f>IFERROR(__xludf.DUMMYFUNCTION("""COMPUTED_VALUE"""),44258.0)</f>
        <v>44258</v>
      </c>
      <c r="J104" s="470">
        <f>IFERROR(__xludf.DUMMYFUNCTION("""COMPUTED_VALUE"""),0.4997916666666667)</f>
        <v>0.4997916667</v>
      </c>
      <c r="K104" s="16"/>
      <c r="L104" s="8"/>
      <c r="M104" s="69"/>
      <c r="N104" s="69">
        <f>IFERROR(__xludf.DUMMYFUNCTION("""COMPUTED_VALUE"""),4.0)</f>
        <v>4</v>
      </c>
      <c r="O104" s="69" t="str">
        <f t="shared" si="3"/>
        <v/>
      </c>
      <c r="P104" s="471">
        <f>IFERROR(__xludf.DUMMYFUNCTION("""COMPUTED_VALUE"""),1.0)</f>
        <v>1</v>
      </c>
      <c r="Q104" s="274" t="b">
        <f>VLOOKUP($B104,'Run Reconcile'!B$2:O2488,14,FALSE)</f>
        <v>1</v>
      </c>
      <c r="R104" s="472" t="str">
        <f t="array" ref="R104">IF($Q104, INDEX('Run Reconcile'!A$2:A2488,MATCH(B104,'Run Reconcile'!B$2:B2488,0),1),IFERROR(0/0,""))</f>
        <v>RUN-FLMP_2021-03-02_APS-033</v>
      </c>
      <c r="S104" s="473" t="str">
        <f t="shared" ref="S104:T104" si="212">IF(COUNTIF(W$2:W2488, $A104) &gt; 0,TRUE,IFERROR(0/0,""))</f>
        <v/>
      </c>
      <c r="T104" s="473" t="str">
        <f t="shared" si="212"/>
        <v/>
      </c>
      <c r="U104" s="275" t="str">
        <f t="array" ref="U104">IF(ISBLANK($R104), INDEX('Run Reconcile'!A$2:A2488, MATCH($B104, 'Run Reconcile'!B$2:B2488, 0)+Z104, 1), IFERROR(0/0,""))
</f>
        <v/>
      </c>
      <c r="V104" s="474" t="str">
        <f t="shared" si="5"/>
        <v>RUN-FLMP_2021-03-02_APS-033</v>
      </c>
      <c r="Y104" s="89" t="str">
        <f t="shared" si="6"/>
        <v/>
      </c>
      <c r="Z104" s="60" t="str">
        <f t="shared" si="7"/>
        <v/>
      </c>
      <c r="AA104" s="60" t="str">
        <f t="shared" si="8"/>
        <v/>
      </c>
      <c r="AB104" s="60" t="str">
        <f t="shared" si="9"/>
        <v/>
      </c>
      <c r="AC104" s="30" t="str">
        <f t="shared" ref="AC104:AD104" si="213">IF(_xlfn.ISFORMULA(S104),IFERROR(0/0,""),TRUE)</f>
        <v/>
      </c>
      <c r="AD104" s="30" t="str">
        <f t="shared" si="213"/>
        <v/>
      </c>
      <c r="AE104" s="475" t="str">
        <f>IFERROR(__xludf.DUMMYFUNCTION("""COMPUTED_VALUE"""),"FLSP")</f>
        <v>FLSP</v>
      </c>
      <c r="AF104" s="476"/>
      <c r="AG104" s="474" t="s">
        <v>65</v>
      </c>
      <c r="AH104" s="138" t="str">
        <f t="shared" si="11"/>
        <v/>
      </c>
    </row>
    <row r="105">
      <c r="A105" s="103" t="str">
        <f>IFERROR(__xludf.DUMMYFUNCTION("""COMPUTED_VALUE"""),"T1212")</f>
        <v>T1212</v>
      </c>
      <c r="B105" s="468">
        <f>IFERROR(__xludf.DUMMYFUNCTION("""COMPUTED_VALUE"""),44258.0)</f>
        <v>44258</v>
      </c>
      <c r="C105" s="469">
        <f>IFERROR(__xludf.DUMMYFUNCTION("""COMPUTED_VALUE"""),0.3362384259259259)</f>
        <v>0.3362384259</v>
      </c>
      <c r="D105" s="103" t="str">
        <f>IFERROR(__xludf.DUMMYFUNCTION("""COMPUTED_VALUE"""),"SpFLMP294811")</f>
        <v>SpFLMP294811</v>
      </c>
      <c r="E105" s="103"/>
      <c r="F105" s="103"/>
      <c r="G105" s="103" t="str">
        <f>IFERROR(__xludf.DUMMYFUNCTION("""COMPUTED_VALUE"""),"Negative")</f>
        <v>Negative</v>
      </c>
      <c r="H105" s="131" t="str">
        <f>IFERROR(__xludf.DUMMYFUNCTION("""COMPUTED_VALUE"""),"Negative")</f>
        <v>Negative</v>
      </c>
      <c r="I105" s="468">
        <f>IFERROR(__xludf.DUMMYFUNCTION("""COMPUTED_VALUE"""),44258.0)</f>
        <v>44258</v>
      </c>
      <c r="J105" s="470">
        <f>IFERROR(__xludf.DUMMYFUNCTION("""COMPUTED_VALUE"""),0.4997916666666667)</f>
        <v>0.4997916667</v>
      </c>
      <c r="K105" s="16"/>
      <c r="L105" s="8"/>
      <c r="M105" s="69"/>
      <c r="N105" s="69">
        <f>IFERROR(__xludf.DUMMYFUNCTION("""COMPUTED_VALUE"""),4.0)</f>
        <v>4</v>
      </c>
      <c r="O105" s="69" t="b">
        <f t="shared" si="3"/>
        <v>1</v>
      </c>
      <c r="P105" s="471">
        <f>IFERROR(__xludf.DUMMYFUNCTION("""COMPUTED_VALUE"""),0.0)</f>
        <v>0</v>
      </c>
      <c r="Q105" s="274" t="b">
        <f>VLOOKUP($B105,'Run Reconcile'!B$2:O2488,14,FALSE)</f>
        <v>1</v>
      </c>
      <c r="R105" s="472" t="str">
        <f t="array" ref="R105">IF($Q105, INDEX('Run Reconcile'!A$2:A2488,MATCH(B105,'Run Reconcile'!B$2:B2488,0),1),IFERROR(0/0,""))</f>
        <v>RUN-FLMP_2021-03-03_APS-034</v>
      </c>
      <c r="S105" s="473" t="str">
        <f t="shared" ref="S105:T105" si="214">IF(COUNTIF(W$2:W2488, $A105) &gt; 0,TRUE,IFERROR(0/0,""))</f>
        <v/>
      </c>
      <c r="T105" s="473" t="str">
        <f t="shared" si="214"/>
        <v/>
      </c>
      <c r="U105" s="275" t="str">
        <f t="array" ref="U105">IF(ISBLANK($R105), INDEX('Run Reconcile'!A$2:A2488, MATCH($B105, 'Run Reconcile'!B$2:B2488, 0)+Z105, 1), IFERROR(0/0,""))
</f>
        <v/>
      </c>
      <c r="V105" s="474" t="str">
        <f t="shared" si="5"/>
        <v>RUN-FLMP_2021-03-03_APS-034</v>
      </c>
      <c r="Y105" s="89" t="str">
        <f t="shared" si="6"/>
        <v/>
      </c>
      <c r="Z105" s="60" t="str">
        <f t="shared" si="7"/>
        <v/>
      </c>
      <c r="AA105" s="60" t="str">
        <f t="shared" si="8"/>
        <v/>
      </c>
      <c r="AB105" s="60" t="str">
        <f t="shared" si="9"/>
        <v/>
      </c>
      <c r="AC105" s="30" t="str">
        <f t="shared" ref="AC105:AD105" si="215">IF(_xlfn.ISFORMULA(S105),IFERROR(0/0,""),TRUE)</f>
        <v/>
      </c>
      <c r="AD105" s="30" t="str">
        <f t="shared" si="215"/>
        <v/>
      </c>
      <c r="AE105" s="475" t="str">
        <f>IFERROR(__xludf.DUMMYFUNCTION("""COMPUTED_VALUE"""),"FLSP")</f>
        <v>FLSP</v>
      </c>
      <c r="AF105" s="476"/>
      <c r="AG105" s="474" t="s">
        <v>66</v>
      </c>
      <c r="AH105" s="138" t="str">
        <f t="shared" si="11"/>
        <v/>
      </c>
    </row>
    <row r="106">
      <c r="A106" s="103" t="str">
        <f>IFERROR(__xludf.DUMMYFUNCTION("""COMPUTED_VALUE"""),"T1204")</f>
        <v>T1204</v>
      </c>
      <c r="B106" s="468">
        <f>IFERROR(__xludf.DUMMYFUNCTION("""COMPUTED_VALUE"""),44258.0)</f>
        <v>44258</v>
      </c>
      <c r="C106" s="469">
        <f>IFERROR(__xludf.DUMMYFUNCTION("""COMPUTED_VALUE"""),0.3365856481481482)</f>
        <v>0.3365856481</v>
      </c>
      <c r="D106" s="103" t="str">
        <f>IFERROR(__xludf.DUMMYFUNCTION("""COMPUTED_VALUE"""),"SpFLMP294811")</f>
        <v>SpFLMP294811</v>
      </c>
      <c r="E106" s="103"/>
      <c r="F106" s="103"/>
      <c r="G106" s="103" t="str">
        <f>IFERROR(__xludf.DUMMYFUNCTION("""COMPUTED_VALUE"""),"Negative")</f>
        <v>Negative</v>
      </c>
      <c r="H106" s="131" t="str">
        <f>IFERROR(__xludf.DUMMYFUNCTION("""COMPUTED_VALUE"""),"Negative")</f>
        <v>Negative</v>
      </c>
      <c r="I106" s="468">
        <f>IFERROR(__xludf.DUMMYFUNCTION("""COMPUTED_VALUE"""),44258.0)</f>
        <v>44258</v>
      </c>
      <c r="J106" s="470">
        <f>IFERROR(__xludf.DUMMYFUNCTION("""COMPUTED_VALUE"""),0.4997916666666667)</f>
        <v>0.4997916667</v>
      </c>
      <c r="K106" s="16"/>
      <c r="L106" s="8"/>
      <c r="M106" s="69"/>
      <c r="N106" s="69">
        <f>IFERROR(__xludf.DUMMYFUNCTION("""COMPUTED_VALUE"""),1.0)</f>
        <v>1</v>
      </c>
      <c r="O106" s="69" t="str">
        <f t="shared" si="3"/>
        <v/>
      </c>
      <c r="P106" s="471">
        <f>IFERROR(__xludf.DUMMYFUNCTION("""COMPUTED_VALUE"""),0.0)</f>
        <v>0</v>
      </c>
      <c r="Q106" s="274" t="b">
        <f>VLOOKUP($B106,'Run Reconcile'!B$2:O2488,14,FALSE)</f>
        <v>1</v>
      </c>
      <c r="R106" s="472" t="str">
        <f t="array" ref="R106">IF($Q106, INDEX('Run Reconcile'!A$2:A2488,MATCH(B106,'Run Reconcile'!B$2:B2488,0),1),IFERROR(0/0,""))</f>
        <v>RUN-FLMP_2021-03-03_APS-034</v>
      </c>
      <c r="S106" s="473" t="str">
        <f t="shared" ref="S106:T106" si="216">IF(COUNTIF(W$2:W2488, $A106) &gt; 0,TRUE,IFERROR(0/0,""))</f>
        <v/>
      </c>
      <c r="T106" s="473" t="str">
        <f t="shared" si="216"/>
        <v/>
      </c>
      <c r="U106" s="275" t="str">
        <f t="array" ref="U106">IF(ISBLANK($R106), INDEX('Run Reconcile'!A$2:A2488, MATCH($B106, 'Run Reconcile'!B$2:B2488, 0)+Z106, 1), IFERROR(0/0,""))
</f>
        <v/>
      </c>
      <c r="V106" s="474" t="str">
        <f t="shared" si="5"/>
        <v>RUN-FLMP_2021-03-03_APS-034</v>
      </c>
      <c r="Y106" s="89" t="str">
        <f t="shared" si="6"/>
        <v/>
      </c>
      <c r="Z106" s="60" t="str">
        <f t="shared" si="7"/>
        <v/>
      </c>
      <c r="AA106" s="60" t="str">
        <f t="shared" si="8"/>
        <v/>
      </c>
      <c r="AB106" s="60" t="str">
        <f t="shared" si="9"/>
        <v/>
      </c>
      <c r="AC106" s="30" t="str">
        <f t="shared" ref="AC106:AD106" si="217">IF(_xlfn.ISFORMULA(S106),IFERROR(0/0,""),TRUE)</f>
        <v/>
      </c>
      <c r="AD106" s="30" t="str">
        <f t="shared" si="217"/>
        <v/>
      </c>
      <c r="AE106" s="475" t="str">
        <f>IFERROR(__xludf.DUMMYFUNCTION("""COMPUTED_VALUE"""),"FLSP")</f>
        <v>FLSP</v>
      </c>
      <c r="AF106" s="476"/>
      <c r="AG106" s="474" t="s">
        <v>66</v>
      </c>
      <c r="AH106" s="138" t="str">
        <f t="shared" si="11"/>
        <v/>
      </c>
    </row>
    <row r="107">
      <c r="A107" s="103" t="str">
        <f>IFERROR(__xludf.DUMMYFUNCTION("""COMPUTED_VALUE"""),"T1224")</f>
        <v>T1224</v>
      </c>
      <c r="B107" s="468">
        <f>IFERROR(__xludf.DUMMYFUNCTION("""COMPUTED_VALUE"""),44258.0)</f>
        <v>44258</v>
      </c>
      <c r="C107" s="469">
        <f>IFERROR(__xludf.DUMMYFUNCTION("""COMPUTED_VALUE"""),0.3564467592592593)</f>
        <v>0.3564467593</v>
      </c>
      <c r="D107" s="103" t="str">
        <f>IFERROR(__xludf.DUMMYFUNCTION("""COMPUTED_VALUE"""),"SpFLMP959641")</f>
        <v>SpFLMP959641</v>
      </c>
      <c r="E107" s="103"/>
      <c r="F107" s="103"/>
      <c r="G107" s="103" t="str">
        <f>IFERROR(__xludf.DUMMYFUNCTION("""COMPUTED_VALUE"""),"Negative")</f>
        <v>Negative</v>
      </c>
      <c r="H107" s="131" t="str">
        <f>IFERROR(__xludf.DUMMYFUNCTION("""COMPUTED_VALUE"""),"Negative")</f>
        <v>Negative</v>
      </c>
      <c r="I107" s="468">
        <f>IFERROR(__xludf.DUMMYFUNCTION("""COMPUTED_VALUE"""),44258.0)</f>
        <v>44258</v>
      </c>
      <c r="J107" s="470">
        <f>IFERROR(__xludf.DUMMYFUNCTION("""COMPUTED_VALUE"""),0.4997916666666667)</f>
        <v>0.4997916667</v>
      </c>
      <c r="K107" s="16"/>
      <c r="L107" s="8"/>
      <c r="M107" s="69"/>
      <c r="N107" s="69">
        <f>IFERROR(__xludf.DUMMYFUNCTION("""COMPUTED_VALUE"""),4.0)</f>
        <v>4</v>
      </c>
      <c r="O107" s="69" t="str">
        <f t="shared" si="3"/>
        <v/>
      </c>
      <c r="P107" s="471">
        <f>IFERROR(__xludf.DUMMYFUNCTION("""COMPUTED_VALUE"""),0.0)</f>
        <v>0</v>
      </c>
      <c r="Q107" s="274" t="b">
        <f>VLOOKUP($B107,'Run Reconcile'!B$2:O2488,14,FALSE)</f>
        <v>1</v>
      </c>
      <c r="R107" s="472" t="str">
        <f t="array" ref="R107">IF($Q107, INDEX('Run Reconcile'!A$2:A2488,MATCH(B107,'Run Reconcile'!B$2:B2488,0),1),IFERROR(0/0,""))</f>
        <v>RUN-FLMP_2021-03-03_APS-034</v>
      </c>
      <c r="S107" s="473" t="str">
        <f t="shared" ref="S107:T107" si="218">IF(COUNTIF(W$2:W2488, $A107) &gt; 0,TRUE,IFERROR(0/0,""))</f>
        <v/>
      </c>
      <c r="T107" s="473" t="str">
        <f t="shared" si="218"/>
        <v/>
      </c>
      <c r="U107" s="275" t="str">
        <f t="array" ref="U107">IF(ISBLANK($R107), INDEX('Run Reconcile'!A$2:A2488, MATCH($B107, 'Run Reconcile'!B$2:B2488, 0)+Z107, 1), IFERROR(0/0,""))
</f>
        <v/>
      </c>
      <c r="V107" s="474" t="str">
        <f t="shared" si="5"/>
        <v>RUN-FLMP_2021-03-03_APS-034</v>
      </c>
      <c r="Y107" s="89" t="str">
        <f t="shared" si="6"/>
        <v/>
      </c>
      <c r="Z107" s="60" t="str">
        <f t="shared" si="7"/>
        <v/>
      </c>
      <c r="AA107" s="60" t="str">
        <f t="shared" si="8"/>
        <v/>
      </c>
      <c r="AB107" s="60" t="str">
        <f t="shared" si="9"/>
        <v/>
      </c>
      <c r="AC107" s="30" t="str">
        <f t="shared" ref="AC107:AD107" si="219">IF(_xlfn.ISFORMULA(S107),IFERROR(0/0,""),TRUE)</f>
        <v/>
      </c>
      <c r="AD107" s="30" t="str">
        <f t="shared" si="219"/>
        <v/>
      </c>
      <c r="AE107" s="475" t="str">
        <f>IFERROR(__xludf.DUMMYFUNCTION("""COMPUTED_VALUE"""),"FLSP")</f>
        <v>FLSP</v>
      </c>
      <c r="AF107" s="476"/>
      <c r="AG107" s="474" t="s">
        <v>66</v>
      </c>
      <c r="AH107" s="138" t="str">
        <f t="shared" si="11"/>
        <v/>
      </c>
    </row>
    <row r="108">
      <c r="A108" s="103" t="str">
        <f>IFERROR(__xludf.DUMMYFUNCTION("""COMPUTED_VALUE"""),"T1214")</f>
        <v>T1214</v>
      </c>
      <c r="B108" s="468">
        <f>IFERROR(__xludf.DUMMYFUNCTION("""COMPUTED_VALUE"""),44258.0)</f>
        <v>44258</v>
      </c>
      <c r="C108" s="469">
        <f>IFERROR(__xludf.DUMMYFUNCTION("""COMPUTED_VALUE"""),0.35800925925925925)</f>
        <v>0.3580092593</v>
      </c>
      <c r="D108" s="103" t="str">
        <f>IFERROR(__xludf.DUMMYFUNCTION("""COMPUTED_VALUE"""),"SpFLMP959641")</f>
        <v>SpFLMP959641</v>
      </c>
      <c r="E108" s="103"/>
      <c r="F108" s="103"/>
      <c r="G108" s="103" t="str">
        <f>IFERROR(__xludf.DUMMYFUNCTION("""COMPUTED_VALUE"""),"Negative")</f>
        <v>Negative</v>
      </c>
      <c r="H108" s="131" t="str">
        <f>IFERROR(__xludf.DUMMYFUNCTION("""COMPUTED_VALUE"""),"Negative")</f>
        <v>Negative</v>
      </c>
      <c r="I108" s="468">
        <f>IFERROR(__xludf.DUMMYFUNCTION("""COMPUTED_VALUE"""),44258.0)</f>
        <v>44258</v>
      </c>
      <c r="J108" s="470">
        <f>IFERROR(__xludf.DUMMYFUNCTION("""COMPUTED_VALUE"""),0.4997916666666667)</f>
        <v>0.4997916667</v>
      </c>
      <c r="K108" s="16"/>
      <c r="L108" s="8"/>
      <c r="M108" s="69"/>
      <c r="N108" s="69">
        <f>IFERROR(__xludf.DUMMYFUNCTION("""COMPUTED_VALUE"""),1.0)</f>
        <v>1</v>
      </c>
      <c r="O108" s="69" t="str">
        <f t="shared" si="3"/>
        <v/>
      </c>
      <c r="P108" s="471">
        <f>IFERROR(__xludf.DUMMYFUNCTION("""COMPUTED_VALUE"""),0.0)</f>
        <v>0</v>
      </c>
      <c r="Q108" s="274" t="b">
        <f>VLOOKUP($B108,'Run Reconcile'!B$2:O2488,14,FALSE)</f>
        <v>1</v>
      </c>
      <c r="R108" s="472" t="str">
        <f t="array" ref="R108">IF($Q108, INDEX('Run Reconcile'!A$2:A2488,MATCH(B108,'Run Reconcile'!B$2:B2488,0),1),IFERROR(0/0,""))</f>
        <v>RUN-FLMP_2021-03-03_APS-034</v>
      </c>
      <c r="S108" s="473" t="str">
        <f t="shared" ref="S108:T108" si="220">IF(COUNTIF(W$2:W2488, $A108) &gt; 0,TRUE,IFERROR(0/0,""))</f>
        <v/>
      </c>
      <c r="T108" s="473" t="str">
        <f t="shared" si="220"/>
        <v/>
      </c>
      <c r="U108" s="275" t="str">
        <f t="array" ref="U108">IF(ISBLANK($R108), INDEX('Run Reconcile'!A$2:A2488, MATCH($B108, 'Run Reconcile'!B$2:B2488, 0)+Z108, 1), IFERROR(0/0,""))
</f>
        <v/>
      </c>
      <c r="V108" s="474" t="str">
        <f t="shared" si="5"/>
        <v>RUN-FLMP_2021-03-03_APS-034</v>
      </c>
      <c r="Y108" s="89" t="str">
        <f t="shared" si="6"/>
        <v/>
      </c>
      <c r="Z108" s="60" t="str">
        <f t="shared" si="7"/>
        <v/>
      </c>
      <c r="AA108" s="60" t="str">
        <f t="shared" si="8"/>
        <v/>
      </c>
      <c r="AB108" s="60" t="str">
        <f t="shared" si="9"/>
        <v/>
      </c>
      <c r="AC108" s="30" t="str">
        <f t="shared" ref="AC108:AD108" si="221">IF(_xlfn.ISFORMULA(S108),IFERROR(0/0,""),TRUE)</f>
        <v/>
      </c>
      <c r="AD108" s="30" t="str">
        <f t="shared" si="221"/>
        <v/>
      </c>
      <c r="AE108" s="475" t="str">
        <f>IFERROR(__xludf.DUMMYFUNCTION("""COMPUTED_VALUE"""),"FLSP")</f>
        <v>FLSP</v>
      </c>
      <c r="AF108" s="476"/>
      <c r="AG108" s="474" t="s">
        <v>66</v>
      </c>
      <c r="AH108" s="138" t="str">
        <f t="shared" si="11"/>
        <v/>
      </c>
    </row>
    <row r="109">
      <c r="A109" s="103" t="str">
        <f>IFERROR(__xludf.DUMMYFUNCTION("""COMPUTED_VALUE"""),"D3918")</f>
        <v>D3918</v>
      </c>
      <c r="B109" s="468">
        <f>IFERROR(__xludf.DUMMYFUNCTION("""COMPUTED_VALUE"""),44259.0)</f>
        <v>44259</v>
      </c>
      <c r="C109" s="469">
        <f>IFERROR(__xludf.DUMMYFUNCTION("""COMPUTED_VALUE"""),0.7285879629629629)</f>
        <v>0.728587963</v>
      </c>
      <c r="D109" s="103" t="str">
        <f>IFERROR(__xludf.DUMMYFUNCTION("""COMPUTED_VALUE"""),"SpFLMP626948")</f>
        <v>SpFLMP626948</v>
      </c>
      <c r="E109" s="103"/>
      <c r="F109" s="103"/>
      <c r="G109" s="103" t="str">
        <f>IFERROR(__xludf.DUMMYFUNCTION("""COMPUTED_VALUE"""),"Negative")</f>
        <v>Negative</v>
      </c>
      <c r="H109" s="131" t="str">
        <f>IFERROR(__xludf.DUMMYFUNCTION("""COMPUTED_VALUE"""),"Negative")</f>
        <v>Negative</v>
      </c>
      <c r="I109" s="468">
        <f>IFERROR(__xludf.DUMMYFUNCTION("""COMPUTED_VALUE"""),44260.0)</f>
        <v>44260</v>
      </c>
      <c r="J109" s="470">
        <f>IFERROR(__xludf.DUMMYFUNCTION("""COMPUTED_VALUE"""),0.5878125)</f>
        <v>0.5878125</v>
      </c>
      <c r="K109" s="16"/>
      <c r="L109" s="8"/>
      <c r="M109" s="69"/>
      <c r="N109" s="69">
        <f>IFERROR(__xludf.DUMMYFUNCTION("""COMPUTED_VALUE"""),4.0)</f>
        <v>4</v>
      </c>
      <c r="O109" s="69" t="b">
        <f t="shared" si="3"/>
        <v>1</v>
      </c>
      <c r="P109" s="471">
        <f>IFERROR(__xludf.DUMMYFUNCTION("""COMPUTED_VALUE"""),1.0)</f>
        <v>1</v>
      </c>
      <c r="Q109" s="274" t="b">
        <f>VLOOKUP($B109,'Run Reconcile'!B$2:O2488,14,FALSE)</f>
        <v>1</v>
      </c>
      <c r="R109" s="472" t="str">
        <f t="array" ref="R109">IF($Q109, INDEX('Run Reconcile'!A$2:A2488,MATCH(B109,'Run Reconcile'!B$2:B2488,0),1),IFERROR(0/0,""))</f>
        <v>RUN-FLMP_2021-03-04_APS-035</v>
      </c>
      <c r="S109" s="473" t="str">
        <f t="shared" ref="S109:T109" si="222">IF(COUNTIF(W$2:W2488, $A109) &gt; 0,TRUE,IFERROR(0/0,""))</f>
        <v/>
      </c>
      <c r="T109" s="473" t="str">
        <f t="shared" si="222"/>
        <v/>
      </c>
      <c r="U109" s="275" t="str">
        <f t="array" ref="U109">IF(ISBLANK($R109), INDEX('Run Reconcile'!A$2:A2488, MATCH($B109, 'Run Reconcile'!B$2:B2488, 0)+Z109, 1), IFERROR(0/0,""))
</f>
        <v/>
      </c>
      <c r="V109" s="474" t="str">
        <f t="shared" si="5"/>
        <v>RUN-FLMP_2021-03-04_APS-035</v>
      </c>
      <c r="Y109" s="89" t="str">
        <f t="shared" si="6"/>
        <v/>
      </c>
      <c r="Z109" s="60" t="str">
        <f t="shared" si="7"/>
        <v/>
      </c>
      <c r="AA109" s="60" t="str">
        <f t="shared" si="8"/>
        <v/>
      </c>
      <c r="AB109" s="60" t="str">
        <f t="shared" si="9"/>
        <v/>
      </c>
      <c r="AC109" s="30" t="str">
        <f t="shared" ref="AC109:AD109" si="223">IF(_xlfn.ISFORMULA(S109),IFERROR(0/0,""),TRUE)</f>
        <v/>
      </c>
      <c r="AD109" s="30" t="str">
        <f t="shared" si="223"/>
        <v/>
      </c>
      <c r="AE109" s="475" t="str">
        <f>IFERROR(__xludf.DUMMYFUNCTION("""COMPUTED_VALUE"""),"FLSP")</f>
        <v>FLSP</v>
      </c>
      <c r="AF109" s="476"/>
      <c r="AG109" s="474" t="s">
        <v>67</v>
      </c>
      <c r="AH109" s="138" t="str">
        <f t="shared" si="11"/>
        <v/>
      </c>
    </row>
    <row r="110">
      <c r="A110" s="103" t="str">
        <f>IFERROR(__xludf.DUMMYFUNCTION("""COMPUTED_VALUE"""),"T1205")</f>
        <v>T1205</v>
      </c>
      <c r="B110" s="468">
        <f>IFERROR(__xludf.DUMMYFUNCTION("""COMPUTED_VALUE"""),44260.0)</f>
        <v>44260</v>
      </c>
      <c r="C110" s="469">
        <f>IFERROR(__xludf.DUMMYFUNCTION("""COMPUTED_VALUE"""),0.27306712962962965)</f>
        <v>0.2730671296</v>
      </c>
      <c r="D110" s="103" t="str">
        <f>IFERROR(__xludf.DUMMYFUNCTION("""COMPUTED_VALUE"""),"SpFLMP634683")</f>
        <v>SpFLMP634683</v>
      </c>
      <c r="E110" s="103"/>
      <c r="F110" s="103"/>
      <c r="G110" s="103" t="str">
        <f>IFERROR(__xludf.DUMMYFUNCTION("""COMPUTED_VALUE"""),"Negative")</f>
        <v>Negative</v>
      </c>
      <c r="H110" s="131" t="str">
        <f>IFERROR(__xludf.DUMMYFUNCTION("""COMPUTED_VALUE"""),"Negative")</f>
        <v>Negative</v>
      </c>
      <c r="I110" s="468">
        <f>IFERROR(__xludf.DUMMYFUNCTION("""COMPUTED_VALUE"""),44260.0)</f>
        <v>44260</v>
      </c>
      <c r="J110" s="470">
        <f>IFERROR(__xludf.DUMMYFUNCTION("""COMPUTED_VALUE"""),0.5878125)</f>
        <v>0.5878125</v>
      </c>
      <c r="K110" s="16"/>
      <c r="L110" s="8"/>
      <c r="M110" s="69"/>
      <c r="N110" s="69">
        <f>IFERROR(__xludf.DUMMYFUNCTION("""COMPUTED_VALUE"""),4.0)</f>
        <v>4</v>
      </c>
      <c r="O110" s="69" t="b">
        <f t="shared" si="3"/>
        <v>1</v>
      </c>
      <c r="P110" s="471">
        <f>IFERROR(__xludf.DUMMYFUNCTION("""COMPUTED_VALUE"""),0.0)</f>
        <v>0</v>
      </c>
      <c r="Q110" s="274" t="b">
        <f>VLOOKUP($B110,'Run Reconcile'!B$2:O2488,14,FALSE)</f>
        <v>1</v>
      </c>
      <c r="R110" s="472" t="str">
        <f t="array" ref="R110">IF($Q110, INDEX('Run Reconcile'!A$2:A2488,MATCH(B110,'Run Reconcile'!B$2:B2488,0),1),IFERROR(0/0,""))</f>
        <v>RUN-FLMP_2021-03-05_APS-036</v>
      </c>
      <c r="S110" s="473" t="str">
        <f t="shared" ref="S110:T110" si="224">IF(COUNTIF(W$2:W2488, $A110) &gt; 0,TRUE,IFERROR(0/0,""))</f>
        <v/>
      </c>
      <c r="T110" s="473" t="str">
        <f t="shared" si="224"/>
        <v/>
      </c>
      <c r="U110" s="275" t="str">
        <f t="array" ref="U110">IF(ISBLANK($R110), INDEX('Run Reconcile'!A$2:A2488, MATCH($B110, 'Run Reconcile'!B$2:B2488, 0)+Z110, 1), IFERROR(0/0,""))
</f>
        <v/>
      </c>
      <c r="V110" s="474" t="str">
        <f t="shared" si="5"/>
        <v>RUN-FLMP_2021-03-05_APS-036</v>
      </c>
      <c r="Y110" s="89" t="str">
        <f t="shared" si="6"/>
        <v/>
      </c>
      <c r="Z110" s="60" t="str">
        <f t="shared" si="7"/>
        <v/>
      </c>
      <c r="AA110" s="60" t="str">
        <f t="shared" si="8"/>
        <v/>
      </c>
      <c r="AB110" s="60" t="str">
        <f t="shared" si="9"/>
        <v/>
      </c>
      <c r="AC110" s="30" t="str">
        <f t="shared" ref="AC110:AD110" si="225">IF(_xlfn.ISFORMULA(S110),IFERROR(0/0,""),TRUE)</f>
        <v/>
      </c>
      <c r="AD110" s="30" t="str">
        <f t="shared" si="225"/>
        <v/>
      </c>
      <c r="AE110" s="475" t="str">
        <f>IFERROR(__xludf.DUMMYFUNCTION("""COMPUTED_VALUE"""),"FLSP")</f>
        <v>FLSP</v>
      </c>
      <c r="AF110" s="476"/>
      <c r="AG110" s="474" t="s">
        <v>68</v>
      </c>
      <c r="AH110" s="138" t="str">
        <f t="shared" si="11"/>
        <v/>
      </c>
    </row>
    <row r="111">
      <c r="A111" s="103" t="str">
        <f>IFERROR(__xludf.DUMMYFUNCTION("""COMPUTED_VALUE"""),"T1225")</f>
        <v>T1225</v>
      </c>
      <c r="B111" s="468">
        <f>IFERROR(__xludf.DUMMYFUNCTION("""COMPUTED_VALUE"""),44260.0)</f>
        <v>44260</v>
      </c>
      <c r="C111" s="469">
        <f>IFERROR(__xludf.DUMMYFUNCTION("""COMPUTED_VALUE"""),0.32329861111111113)</f>
        <v>0.3232986111</v>
      </c>
      <c r="D111" s="103" t="str">
        <f>IFERROR(__xludf.DUMMYFUNCTION("""COMPUTED_VALUE"""),"SpFLMP294811")</f>
        <v>SpFLMP294811</v>
      </c>
      <c r="E111" s="103"/>
      <c r="F111" s="103"/>
      <c r="G111" s="103" t="str">
        <f>IFERROR(__xludf.DUMMYFUNCTION("""COMPUTED_VALUE"""),"Negative")</f>
        <v>Negative</v>
      </c>
      <c r="H111" s="131" t="str">
        <f>IFERROR(__xludf.DUMMYFUNCTION("""COMPUTED_VALUE"""),"Negative")</f>
        <v>Negative</v>
      </c>
      <c r="I111" s="468">
        <f>IFERROR(__xludf.DUMMYFUNCTION("""COMPUTED_VALUE"""),44260.0)</f>
        <v>44260</v>
      </c>
      <c r="J111" s="470">
        <f>IFERROR(__xludf.DUMMYFUNCTION("""COMPUTED_VALUE"""),0.5878125)</f>
        <v>0.5878125</v>
      </c>
      <c r="K111" s="16"/>
      <c r="L111" s="8"/>
      <c r="M111" s="69"/>
      <c r="N111" s="69">
        <f>IFERROR(__xludf.DUMMYFUNCTION("""COMPUTED_VALUE"""),1.0)</f>
        <v>1</v>
      </c>
      <c r="O111" s="69" t="str">
        <f t="shared" si="3"/>
        <v/>
      </c>
      <c r="P111" s="471">
        <f>IFERROR(__xludf.DUMMYFUNCTION("""COMPUTED_VALUE"""),0.0)</f>
        <v>0</v>
      </c>
      <c r="Q111" s="274" t="b">
        <f>VLOOKUP($B111,'Run Reconcile'!B$2:O2488,14,FALSE)</f>
        <v>1</v>
      </c>
      <c r="R111" s="472" t="str">
        <f t="array" ref="R111">IF($Q111, INDEX('Run Reconcile'!A$2:A2488,MATCH(B111,'Run Reconcile'!B$2:B2488,0),1),IFERROR(0/0,""))</f>
        <v>RUN-FLMP_2021-03-05_APS-036</v>
      </c>
      <c r="S111" s="473" t="str">
        <f t="shared" ref="S111:T111" si="226">IF(COUNTIF(W$2:W2488, $A111) &gt; 0,TRUE,IFERROR(0/0,""))</f>
        <v/>
      </c>
      <c r="T111" s="473" t="str">
        <f t="shared" si="226"/>
        <v/>
      </c>
      <c r="U111" s="275" t="str">
        <f t="array" ref="U111">IF(ISBLANK($R111), INDEX('Run Reconcile'!A$2:A2488, MATCH($B111, 'Run Reconcile'!B$2:B2488, 0)+Z111, 1), IFERROR(0/0,""))
</f>
        <v/>
      </c>
      <c r="V111" s="474" t="str">
        <f t="shared" si="5"/>
        <v>RUN-FLMP_2021-03-05_APS-036</v>
      </c>
      <c r="Y111" s="89" t="str">
        <f t="shared" si="6"/>
        <v/>
      </c>
      <c r="Z111" s="60" t="str">
        <f t="shared" si="7"/>
        <v/>
      </c>
      <c r="AA111" s="60" t="str">
        <f t="shared" si="8"/>
        <v/>
      </c>
      <c r="AB111" s="60" t="str">
        <f t="shared" si="9"/>
        <v/>
      </c>
      <c r="AC111" s="30" t="str">
        <f t="shared" ref="AC111:AD111" si="227">IF(_xlfn.ISFORMULA(S111),IFERROR(0/0,""),TRUE)</f>
        <v/>
      </c>
      <c r="AD111" s="30" t="str">
        <f t="shared" si="227"/>
        <v/>
      </c>
      <c r="AE111" s="475" t="str">
        <f>IFERROR(__xludf.DUMMYFUNCTION("""COMPUTED_VALUE"""),"FLSP")</f>
        <v>FLSP</v>
      </c>
      <c r="AF111" s="476"/>
      <c r="AG111" s="474" t="s">
        <v>68</v>
      </c>
      <c r="AH111" s="138" t="str">
        <f t="shared" si="11"/>
        <v/>
      </c>
    </row>
    <row r="112">
      <c r="A112" s="103" t="str">
        <f>IFERROR(__xludf.DUMMYFUNCTION("""COMPUTED_VALUE"""),"T1202")</f>
        <v>T1202</v>
      </c>
      <c r="B112" s="468">
        <f>IFERROR(__xludf.DUMMYFUNCTION("""COMPUTED_VALUE"""),44260.0)</f>
        <v>44260</v>
      </c>
      <c r="C112" s="469">
        <f>IFERROR(__xludf.DUMMYFUNCTION("""COMPUTED_VALUE"""),0.32993055555555556)</f>
        <v>0.3299305556</v>
      </c>
      <c r="D112" s="103" t="str">
        <f>IFERROR(__xludf.DUMMYFUNCTION("""COMPUTED_VALUE"""),"SpFLMP294811")</f>
        <v>SpFLMP294811</v>
      </c>
      <c r="E112" s="103"/>
      <c r="F112" s="103"/>
      <c r="G112" s="103" t="str">
        <f>IFERROR(__xludf.DUMMYFUNCTION("""COMPUTED_VALUE"""),"Negative")</f>
        <v>Negative</v>
      </c>
      <c r="H112" s="131" t="str">
        <f>IFERROR(__xludf.DUMMYFUNCTION("""COMPUTED_VALUE"""),"Negative")</f>
        <v>Negative</v>
      </c>
      <c r="I112" s="468">
        <f>IFERROR(__xludf.DUMMYFUNCTION("""COMPUTED_VALUE"""),44260.0)</f>
        <v>44260</v>
      </c>
      <c r="J112" s="470">
        <f>IFERROR(__xludf.DUMMYFUNCTION("""COMPUTED_VALUE"""),0.5878125)</f>
        <v>0.5878125</v>
      </c>
      <c r="K112" s="16"/>
      <c r="L112" s="8"/>
      <c r="M112" s="69"/>
      <c r="N112" s="69">
        <f>IFERROR(__xludf.DUMMYFUNCTION("""COMPUTED_VALUE"""),4.0)</f>
        <v>4</v>
      </c>
      <c r="O112" s="69" t="str">
        <f t="shared" si="3"/>
        <v/>
      </c>
      <c r="P112" s="471">
        <f>IFERROR(__xludf.DUMMYFUNCTION("""COMPUTED_VALUE"""),0.0)</f>
        <v>0</v>
      </c>
      <c r="Q112" s="274" t="b">
        <f>VLOOKUP($B112,'Run Reconcile'!B$2:O2488,14,FALSE)</f>
        <v>1</v>
      </c>
      <c r="R112" s="472" t="str">
        <f t="array" ref="R112">IF($Q112, INDEX('Run Reconcile'!A$2:A2488,MATCH(B112,'Run Reconcile'!B$2:B2488,0),1),IFERROR(0/0,""))</f>
        <v>RUN-FLMP_2021-03-05_APS-036</v>
      </c>
      <c r="S112" s="473" t="str">
        <f t="shared" ref="S112:T112" si="228">IF(COUNTIF(W$2:W2488, $A112) &gt; 0,TRUE,IFERROR(0/0,""))</f>
        <v/>
      </c>
      <c r="T112" s="473" t="str">
        <f t="shared" si="228"/>
        <v/>
      </c>
      <c r="U112" s="275" t="str">
        <f t="array" ref="U112">IF(ISBLANK($R112), INDEX('Run Reconcile'!A$2:A2488, MATCH($B112, 'Run Reconcile'!B$2:B2488, 0)+Z112, 1), IFERROR(0/0,""))
</f>
        <v/>
      </c>
      <c r="V112" s="474" t="str">
        <f t="shared" si="5"/>
        <v>RUN-FLMP_2021-03-05_APS-036</v>
      </c>
      <c r="Y112" s="89" t="str">
        <f t="shared" si="6"/>
        <v/>
      </c>
      <c r="Z112" s="60" t="str">
        <f t="shared" si="7"/>
        <v/>
      </c>
      <c r="AA112" s="60" t="str">
        <f t="shared" si="8"/>
        <v/>
      </c>
      <c r="AB112" s="60" t="str">
        <f t="shared" si="9"/>
        <v/>
      </c>
      <c r="AC112" s="30" t="str">
        <f t="shared" ref="AC112:AD112" si="229">IF(_xlfn.ISFORMULA(S112),IFERROR(0/0,""),TRUE)</f>
        <v/>
      </c>
      <c r="AD112" s="30" t="str">
        <f t="shared" si="229"/>
        <v/>
      </c>
      <c r="AE112" s="475" t="str">
        <f>IFERROR(__xludf.DUMMYFUNCTION("""COMPUTED_VALUE"""),"FLSP")</f>
        <v>FLSP</v>
      </c>
      <c r="AF112" s="476"/>
      <c r="AG112" s="474" t="s">
        <v>68</v>
      </c>
      <c r="AH112" s="138" t="str">
        <f t="shared" si="11"/>
        <v/>
      </c>
    </row>
    <row r="113">
      <c r="A113" s="103" t="str">
        <f>IFERROR(__xludf.DUMMYFUNCTION("""COMPUTED_VALUE"""),"FL1216")</f>
        <v>FL1216</v>
      </c>
      <c r="B113" s="468">
        <f>IFERROR(__xludf.DUMMYFUNCTION("""COMPUTED_VALUE"""),44260.0)</f>
        <v>44260</v>
      </c>
      <c r="C113" s="469">
        <f>IFERROR(__xludf.DUMMYFUNCTION("""COMPUTED_VALUE"""),0.3843402777777778)</f>
        <v>0.3843402778</v>
      </c>
      <c r="D113" s="103" t="str">
        <f>IFERROR(__xludf.DUMMYFUNCTION("""COMPUTED_VALUE"""),"SpFLMP959641")</f>
        <v>SpFLMP959641</v>
      </c>
      <c r="E113" s="103"/>
      <c r="F113" s="103"/>
      <c r="G113" s="103" t="str">
        <f>IFERROR(__xludf.DUMMYFUNCTION("""COMPUTED_VALUE"""),"Negative")</f>
        <v>Negative</v>
      </c>
      <c r="H113" s="131" t="str">
        <f>IFERROR(__xludf.DUMMYFUNCTION("""COMPUTED_VALUE"""),"Negative")</f>
        <v>Negative</v>
      </c>
      <c r="I113" s="468">
        <f>IFERROR(__xludf.DUMMYFUNCTION("""COMPUTED_VALUE"""),44260.0)</f>
        <v>44260</v>
      </c>
      <c r="J113" s="470">
        <f>IFERROR(__xludf.DUMMYFUNCTION("""COMPUTED_VALUE"""),0.5878125)</f>
        <v>0.5878125</v>
      </c>
      <c r="K113" s="16"/>
      <c r="L113" s="8"/>
      <c r="M113" s="69"/>
      <c r="N113" s="69">
        <f>IFERROR(__xludf.DUMMYFUNCTION("""COMPUTED_VALUE"""),4.0)</f>
        <v>4</v>
      </c>
      <c r="O113" s="69" t="str">
        <f t="shared" si="3"/>
        <v/>
      </c>
      <c r="P113" s="471">
        <f>IFERROR(__xludf.DUMMYFUNCTION("""COMPUTED_VALUE"""),0.0)</f>
        <v>0</v>
      </c>
      <c r="Q113" s="274" t="b">
        <f>VLOOKUP($B113,'Run Reconcile'!B$2:O2488,14,FALSE)</f>
        <v>1</v>
      </c>
      <c r="R113" s="472" t="str">
        <f t="array" ref="R113">IF($Q113, INDEX('Run Reconcile'!A$2:A2488,MATCH(B113,'Run Reconcile'!B$2:B2488,0),1),IFERROR(0/0,""))</f>
        <v>RUN-FLMP_2021-03-05_APS-036</v>
      </c>
      <c r="S113" s="473" t="str">
        <f t="shared" ref="S113:T113" si="230">IF(COUNTIF(W$2:W2488, $A113) &gt; 0,TRUE,IFERROR(0/0,""))</f>
        <v/>
      </c>
      <c r="T113" s="473" t="str">
        <f t="shared" si="230"/>
        <v/>
      </c>
      <c r="U113" s="275" t="str">
        <f t="array" ref="U113">IF(ISBLANK($R113), INDEX('Run Reconcile'!A$2:A2488, MATCH($B113, 'Run Reconcile'!B$2:B2488, 0)+Z113, 1), IFERROR(0/0,""))
</f>
        <v/>
      </c>
      <c r="V113" s="474" t="str">
        <f t="shared" si="5"/>
        <v>RUN-FLMP_2021-03-05_APS-036</v>
      </c>
      <c r="Y113" s="89" t="str">
        <f t="shared" si="6"/>
        <v/>
      </c>
      <c r="Z113" s="60" t="str">
        <f t="shared" si="7"/>
        <v/>
      </c>
      <c r="AA113" s="60" t="str">
        <f t="shared" si="8"/>
        <v/>
      </c>
      <c r="AB113" s="60" t="str">
        <f t="shared" si="9"/>
        <v/>
      </c>
      <c r="AC113" s="30" t="str">
        <f t="shared" ref="AC113:AD113" si="231">IF(_xlfn.ISFORMULA(S113),IFERROR(0/0,""),TRUE)</f>
        <v/>
      </c>
      <c r="AD113" s="30" t="str">
        <f t="shared" si="231"/>
        <v/>
      </c>
      <c r="AE113" s="475" t="str">
        <f>IFERROR(__xludf.DUMMYFUNCTION("""COMPUTED_VALUE"""),"FLSP")</f>
        <v>FLSP</v>
      </c>
      <c r="AF113" s="476"/>
      <c r="AG113" s="474" t="s">
        <v>68</v>
      </c>
      <c r="AH113" s="138" t="str">
        <f t="shared" si="11"/>
        <v/>
      </c>
    </row>
    <row r="114">
      <c r="A114" s="103" t="str">
        <f>IFERROR(__xludf.DUMMYFUNCTION("""COMPUTED_VALUE"""),"T1221")</f>
        <v>T1221</v>
      </c>
      <c r="B114" s="468">
        <f>IFERROR(__xludf.DUMMYFUNCTION("""COMPUTED_VALUE"""),44263.0)</f>
        <v>44263</v>
      </c>
      <c r="C114" s="469">
        <f>IFERROR(__xludf.DUMMYFUNCTION("""COMPUTED_VALUE"""),0.2542361111111111)</f>
        <v>0.2542361111</v>
      </c>
      <c r="D114" s="103" t="str">
        <f>IFERROR(__xludf.DUMMYFUNCTION("""COMPUTED_VALUE"""),"SpFLMP634683")</f>
        <v>SpFLMP634683</v>
      </c>
      <c r="E114" s="103"/>
      <c r="F114" s="103"/>
      <c r="G114" s="103" t="str">
        <f>IFERROR(__xludf.DUMMYFUNCTION("""COMPUTED_VALUE"""),"Negative")</f>
        <v>Negative</v>
      </c>
      <c r="H114" s="131" t="str">
        <f>IFERROR(__xludf.DUMMYFUNCTION("""COMPUTED_VALUE"""),"Negative")</f>
        <v>Negative</v>
      </c>
      <c r="I114" s="468">
        <f>IFERROR(__xludf.DUMMYFUNCTION("""COMPUTED_VALUE"""),44263.0)</f>
        <v>44263</v>
      </c>
      <c r="J114" s="470">
        <f>IFERROR(__xludf.DUMMYFUNCTION("""COMPUTED_VALUE"""),0.5018055555555555)</f>
        <v>0.5018055556</v>
      </c>
      <c r="K114" s="16"/>
      <c r="L114" s="8"/>
      <c r="M114" s="69"/>
      <c r="N114" s="69">
        <f>IFERROR(__xludf.DUMMYFUNCTION("""COMPUTED_VALUE"""),4.0)</f>
        <v>4</v>
      </c>
      <c r="O114" s="69" t="b">
        <f t="shared" si="3"/>
        <v>1</v>
      </c>
      <c r="P114" s="471">
        <f>IFERROR(__xludf.DUMMYFUNCTION("""COMPUTED_VALUE"""),0.0)</f>
        <v>0</v>
      </c>
      <c r="Q114" s="274" t="b">
        <f>VLOOKUP($B114,'Run Reconcile'!B$2:O2488,14,FALSE)</f>
        <v>1</v>
      </c>
      <c r="R114" s="472" t="str">
        <f t="array" ref="R114">IF($Q114, INDEX('Run Reconcile'!A$2:A2488,MATCH(B114,'Run Reconcile'!B$2:B2488,0),1),IFERROR(0/0,""))</f>
        <v>RUN-FLMP_2021-03-08_APS-037</v>
      </c>
      <c r="S114" s="473" t="str">
        <f t="shared" ref="S114:T114" si="232">IF(COUNTIF(W$2:W2488, $A114) &gt; 0,TRUE,IFERROR(0/0,""))</f>
        <v/>
      </c>
      <c r="T114" s="473" t="str">
        <f t="shared" si="232"/>
        <v/>
      </c>
      <c r="U114" s="275" t="str">
        <f t="array" ref="U114">IF(ISBLANK($R114), INDEX('Run Reconcile'!A$2:A2488, MATCH($B114, 'Run Reconcile'!B$2:B2488, 0)+Z114, 1), IFERROR(0/0,""))
</f>
        <v/>
      </c>
      <c r="V114" s="474" t="str">
        <f t="shared" si="5"/>
        <v>RUN-FLMP_2021-03-08_APS-037</v>
      </c>
      <c r="Y114" s="89" t="str">
        <f t="shared" si="6"/>
        <v/>
      </c>
      <c r="Z114" s="60" t="str">
        <f t="shared" si="7"/>
        <v/>
      </c>
      <c r="AA114" s="60" t="str">
        <f t="shared" si="8"/>
        <v/>
      </c>
      <c r="AB114" s="60" t="str">
        <f t="shared" si="9"/>
        <v/>
      </c>
      <c r="AC114" s="30" t="str">
        <f t="shared" ref="AC114:AD114" si="233">IF(_xlfn.ISFORMULA(S114),IFERROR(0/0,""),TRUE)</f>
        <v/>
      </c>
      <c r="AD114" s="30" t="str">
        <f t="shared" si="233"/>
        <v/>
      </c>
      <c r="AE114" s="475" t="str">
        <f>IFERROR(__xludf.DUMMYFUNCTION("""COMPUTED_VALUE"""),"FLSP")</f>
        <v>FLSP</v>
      </c>
      <c r="AF114" s="476"/>
      <c r="AG114" s="474" t="s">
        <v>69</v>
      </c>
      <c r="AH114" s="138" t="str">
        <f t="shared" si="11"/>
        <v/>
      </c>
    </row>
    <row r="115">
      <c r="A115" s="103" t="str">
        <f>IFERROR(__xludf.DUMMYFUNCTION("""COMPUTED_VALUE"""),"T1201")</f>
        <v>T1201</v>
      </c>
      <c r="B115" s="468">
        <f>IFERROR(__xludf.DUMMYFUNCTION("""COMPUTED_VALUE"""),44263.0)</f>
        <v>44263</v>
      </c>
      <c r="C115" s="469">
        <f>IFERROR(__xludf.DUMMYFUNCTION("""COMPUTED_VALUE"""),0.303275462962963)</f>
        <v>0.303275463</v>
      </c>
      <c r="D115" s="103" t="str">
        <f>IFERROR(__xludf.DUMMYFUNCTION("""COMPUTED_VALUE"""),"SpFLMP294811")</f>
        <v>SpFLMP294811</v>
      </c>
      <c r="E115" s="103"/>
      <c r="F115" s="103"/>
      <c r="G115" s="103" t="str">
        <f>IFERROR(__xludf.DUMMYFUNCTION("""COMPUTED_VALUE"""),"Negative")</f>
        <v>Negative</v>
      </c>
      <c r="H115" s="131" t="str">
        <f>IFERROR(__xludf.DUMMYFUNCTION("""COMPUTED_VALUE"""),"Negative")</f>
        <v>Negative</v>
      </c>
      <c r="I115" s="468">
        <f>IFERROR(__xludf.DUMMYFUNCTION("""COMPUTED_VALUE"""),44263.0)</f>
        <v>44263</v>
      </c>
      <c r="J115" s="470">
        <f>IFERROR(__xludf.DUMMYFUNCTION("""COMPUTED_VALUE"""),0.5018171296296297)</f>
        <v>0.5018171296</v>
      </c>
      <c r="K115" s="16"/>
      <c r="L115" s="8"/>
      <c r="M115" s="69"/>
      <c r="N115" s="69">
        <f>IFERROR(__xludf.DUMMYFUNCTION("""COMPUTED_VALUE"""),1.0)</f>
        <v>1</v>
      </c>
      <c r="O115" s="69" t="str">
        <f t="shared" si="3"/>
        <v/>
      </c>
      <c r="P115" s="471">
        <f>IFERROR(__xludf.DUMMYFUNCTION("""COMPUTED_VALUE"""),0.0)</f>
        <v>0</v>
      </c>
      <c r="Q115" s="274" t="b">
        <f>VLOOKUP($B115,'Run Reconcile'!B$2:O2488,14,FALSE)</f>
        <v>1</v>
      </c>
      <c r="R115" s="472" t="str">
        <f t="array" ref="R115">IF($Q115, INDEX('Run Reconcile'!A$2:A2488,MATCH(B115,'Run Reconcile'!B$2:B2488,0),1),IFERROR(0/0,""))</f>
        <v>RUN-FLMP_2021-03-08_APS-037</v>
      </c>
      <c r="S115" s="473" t="str">
        <f t="shared" ref="S115:T115" si="234">IF(COUNTIF(W$2:W2488, $A115) &gt; 0,TRUE,IFERROR(0/0,""))</f>
        <v/>
      </c>
      <c r="T115" s="473" t="str">
        <f t="shared" si="234"/>
        <v/>
      </c>
      <c r="U115" s="275" t="str">
        <f t="array" ref="U115">IF(ISBLANK($R115), INDEX('Run Reconcile'!A$2:A2488, MATCH($B115, 'Run Reconcile'!B$2:B2488, 0)+Z115, 1), IFERROR(0/0,""))
</f>
        <v/>
      </c>
      <c r="V115" s="474" t="str">
        <f t="shared" si="5"/>
        <v>RUN-FLMP_2021-03-08_APS-037</v>
      </c>
      <c r="Y115" s="89" t="str">
        <f t="shared" si="6"/>
        <v/>
      </c>
      <c r="Z115" s="60" t="str">
        <f t="shared" si="7"/>
        <v/>
      </c>
      <c r="AA115" s="60" t="str">
        <f t="shared" si="8"/>
        <v/>
      </c>
      <c r="AB115" s="60" t="str">
        <f t="shared" si="9"/>
        <v/>
      </c>
      <c r="AC115" s="30" t="str">
        <f t="shared" ref="AC115:AD115" si="235">IF(_xlfn.ISFORMULA(S115),IFERROR(0/0,""),TRUE)</f>
        <v/>
      </c>
      <c r="AD115" s="30" t="str">
        <f t="shared" si="235"/>
        <v/>
      </c>
      <c r="AE115" s="475" t="str">
        <f>IFERROR(__xludf.DUMMYFUNCTION("""COMPUTED_VALUE"""),"FLSP")</f>
        <v>FLSP</v>
      </c>
      <c r="AF115" s="476"/>
      <c r="AG115" s="474" t="s">
        <v>69</v>
      </c>
      <c r="AH115" s="138" t="str">
        <f t="shared" si="11"/>
        <v/>
      </c>
    </row>
    <row r="116">
      <c r="A116" s="103" t="str">
        <f>IFERROR(__xludf.DUMMYFUNCTION("""COMPUTED_VALUE"""),"T1210")</f>
        <v>T1210</v>
      </c>
      <c r="B116" s="468">
        <f>IFERROR(__xludf.DUMMYFUNCTION("""COMPUTED_VALUE"""),44263.0)</f>
        <v>44263</v>
      </c>
      <c r="C116" s="469">
        <f>IFERROR(__xludf.DUMMYFUNCTION("""COMPUTED_VALUE"""),0.30908564814814815)</f>
        <v>0.3090856481</v>
      </c>
      <c r="D116" s="103" t="str">
        <f>IFERROR(__xludf.DUMMYFUNCTION("""COMPUTED_VALUE"""),"SpFLMP290610")</f>
        <v>SpFLMP290610</v>
      </c>
      <c r="E116" s="103"/>
      <c r="F116" s="103"/>
      <c r="G116" s="103" t="str">
        <f>IFERROR(__xludf.DUMMYFUNCTION("""COMPUTED_VALUE"""),"Negative")</f>
        <v>Negative</v>
      </c>
      <c r="H116" s="131" t="str">
        <f>IFERROR(__xludf.DUMMYFUNCTION("""COMPUTED_VALUE"""),"Negative")</f>
        <v>Negative</v>
      </c>
      <c r="I116" s="468">
        <f>IFERROR(__xludf.DUMMYFUNCTION("""COMPUTED_VALUE"""),44263.0)</f>
        <v>44263</v>
      </c>
      <c r="J116" s="470">
        <f>IFERROR(__xludf.DUMMYFUNCTION("""COMPUTED_VALUE"""),0.5018055555555555)</f>
        <v>0.5018055556</v>
      </c>
      <c r="K116" s="16"/>
      <c r="L116" s="8"/>
      <c r="M116" s="69"/>
      <c r="N116" s="69">
        <f>IFERROR(__xludf.DUMMYFUNCTION("""COMPUTED_VALUE"""),4.0)</f>
        <v>4</v>
      </c>
      <c r="O116" s="69" t="str">
        <f t="shared" si="3"/>
        <v/>
      </c>
      <c r="P116" s="471">
        <f>IFERROR(__xludf.DUMMYFUNCTION("""COMPUTED_VALUE"""),0.0)</f>
        <v>0</v>
      </c>
      <c r="Q116" s="274" t="b">
        <f>VLOOKUP($B116,'Run Reconcile'!B$2:O2488,14,FALSE)</f>
        <v>1</v>
      </c>
      <c r="R116" s="472" t="str">
        <f t="array" ref="R116">IF($Q116, INDEX('Run Reconcile'!A$2:A2488,MATCH(B116,'Run Reconcile'!B$2:B2488,0),1),IFERROR(0/0,""))</f>
        <v>RUN-FLMP_2021-03-08_APS-037</v>
      </c>
      <c r="S116" s="473" t="str">
        <f t="shared" ref="S116:T116" si="236">IF(COUNTIF(W$2:W2488, $A116) &gt; 0,TRUE,IFERROR(0/0,""))</f>
        <v/>
      </c>
      <c r="T116" s="473" t="str">
        <f t="shared" si="236"/>
        <v/>
      </c>
      <c r="U116" s="275" t="str">
        <f t="array" ref="U116">IF(ISBLANK($R116), INDEX('Run Reconcile'!A$2:A2488, MATCH($B116, 'Run Reconcile'!B$2:B2488, 0)+Z116, 1), IFERROR(0/0,""))
</f>
        <v/>
      </c>
      <c r="V116" s="474" t="str">
        <f t="shared" si="5"/>
        <v>RUN-FLMP_2021-03-08_APS-037</v>
      </c>
      <c r="Y116" s="89" t="str">
        <f t="shared" si="6"/>
        <v/>
      </c>
      <c r="Z116" s="60" t="str">
        <f t="shared" si="7"/>
        <v/>
      </c>
      <c r="AA116" s="60" t="str">
        <f t="shared" si="8"/>
        <v/>
      </c>
      <c r="AB116" s="60" t="str">
        <f t="shared" si="9"/>
        <v/>
      </c>
      <c r="AC116" s="30" t="str">
        <f t="shared" ref="AC116:AD116" si="237">IF(_xlfn.ISFORMULA(S116),IFERROR(0/0,""),TRUE)</f>
        <v/>
      </c>
      <c r="AD116" s="30" t="str">
        <f t="shared" si="237"/>
        <v/>
      </c>
      <c r="AE116" s="475" t="str">
        <f>IFERROR(__xludf.DUMMYFUNCTION("""COMPUTED_VALUE"""),"FLSP")</f>
        <v>FLSP</v>
      </c>
      <c r="AF116" s="476"/>
      <c r="AG116" s="474" t="s">
        <v>69</v>
      </c>
      <c r="AH116" s="138" t="str">
        <f t="shared" si="11"/>
        <v/>
      </c>
    </row>
    <row r="117">
      <c r="A117" s="103" t="str">
        <f>IFERROR(__xludf.DUMMYFUNCTION("""COMPUTED_VALUE"""),"FLT1101")</f>
        <v>FLT1101</v>
      </c>
      <c r="B117" s="468">
        <f>IFERROR(__xludf.DUMMYFUNCTION("""COMPUTED_VALUE"""),44263.0)</f>
        <v>44263</v>
      </c>
      <c r="C117" s="469">
        <f>IFERROR(__xludf.DUMMYFUNCTION("""COMPUTED_VALUE"""),0.34391203703703704)</f>
        <v>0.343912037</v>
      </c>
      <c r="D117" s="103" t="str">
        <f>IFERROR(__xludf.DUMMYFUNCTION("""COMPUTED_VALUE"""),"SpFLMP959641")</f>
        <v>SpFLMP959641</v>
      </c>
      <c r="E117" s="103"/>
      <c r="F117" s="103"/>
      <c r="G117" s="103" t="str">
        <f>IFERROR(__xludf.DUMMYFUNCTION("""COMPUTED_VALUE"""),"Negative")</f>
        <v>Negative</v>
      </c>
      <c r="H117" s="131" t="str">
        <f>IFERROR(__xludf.DUMMYFUNCTION("""COMPUTED_VALUE"""),"Negative")</f>
        <v>Negative</v>
      </c>
      <c r="I117" s="468">
        <f>IFERROR(__xludf.DUMMYFUNCTION("""COMPUTED_VALUE"""),44263.0)</f>
        <v>44263</v>
      </c>
      <c r="J117" s="470">
        <f>IFERROR(__xludf.DUMMYFUNCTION("""COMPUTED_VALUE"""),0.5018171296296297)</f>
        <v>0.5018171296</v>
      </c>
      <c r="K117" s="16"/>
      <c r="L117" s="8"/>
      <c r="M117" s="69"/>
      <c r="N117" s="69">
        <f>IFERROR(__xludf.DUMMYFUNCTION("""COMPUTED_VALUE"""),4.0)</f>
        <v>4</v>
      </c>
      <c r="O117" s="69" t="str">
        <f t="shared" si="3"/>
        <v/>
      </c>
      <c r="P117" s="471">
        <f>IFERROR(__xludf.DUMMYFUNCTION("""COMPUTED_VALUE"""),0.0)</f>
        <v>0</v>
      </c>
      <c r="Q117" s="274" t="b">
        <f>VLOOKUP($B117,'Run Reconcile'!B$2:O2488,14,FALSE)</f>
        <v>1</v>
      </c>
      <c r="R117" s="472" t="str">
        <f t="array" ref="R117">IF($Q117, INDEX('Run Reconcile'!A$2:A2488,MATCH(B117,'Run Reconcile'!B$2:B2488,0),1),IFERROR(0/0,""))</f>
        <v>RUN-FLMP_2021-03-08_APS-037</v>
      </c>
      <c r="S117" s="473" t="str">
        <f t="shared" ref="S117:T117" si="238">IF(COUNTIF(W$2:W2488, $A117) &gt; 0,TRUE,IFERROR(0/0,""))</f>
        <v/>
      </c>
      <c r="T117" s="473" t="str">
        <f t="shared" si="238"/>
        <v/>
      </c>
      <c r="U117" s="275" t="str">
        <f t="array" ref="U117">IF(ISBLANK($R117), INDEX('Run Reconcile'!A$2:A2488, MATCH($B117, 'Run Reconcile'!B$2:B2488, 0)+Z117, 1), IFERROR(0/0,""))
</f>
        <v/>
      </c>
      <c r="V117" s="474" t="str">
        <f t="shared" si="5"/>
        <v>RUN-FLMP_2021-03-08_APS-037</v>
      </c>
      <c r="Y117" s="89" t="str">
        <f t="shared" si="6"/>
        <v/>
      </c>
      <c r="Z117" s="60" t="str">
        <f t="shared" si="7"/>
        <v/>
      </c>
      <c r="AA117" s="60" t="str">
        <f t="shared" si="8"/>
        <v/>
      </c>
      <c r="AB117" s="60" t="str">
        <f t="shared" si="9"/>
        <v/>
      </c>
      <c r="AC117" s="30" t="str">
        <f t="shared" ref="AC117:AD117" si="239">IF(_xlfn.ISFORMULA(S117),IFERROR(0/0,""),TRUE)</f>
        <v/>
      </c>
      <c r="AD117" s="30" t="str">
        <f t="shared" si="239"/>
        <v/>
      </c>
      <c r="AE117" s="475" t="str">
        <f>IFERROR(__xludf.DUMMYFUNCTION("""COMPUTED_VALUE"""),"FLSP")</f>
        <v>FLSP</v>
      </c>
      <c r="AF117" s="476"/>
      <c r="AG117" s="474" t="s">
        <v>69</v>
      </c>
      <c r="AH117" s="138" t="str">
        <f t="shared" si="11"/>
        <v/>
      </c>
    </row>
    <row r="118">
      <c r="A118" s="103" t="str">
        <f>IFERROR(__xludf.DUMMYFUNCTION("""COMPUTED_VALUE"""),"FLT1103")</f>
        <v>FLT1103</v>
      </c>
      <c r="B118" s="468">
        <f>IFERROR(__xludf.DUMMYFUNCTION("""COMPUTED_VALUE"""),44265.0)</f>
        <v>44265</v>
      </c>
      <c r="C118" s="469">
        <f>IFERROR(__xludf.DUMMYFUNCTION("""COMPUTED_VALUE"""),0.31743055555555555)</f>
        <v>0.3174305556</v>
      </c>
      <c r="D118" s="103" t="str">
        <f>IFERROR(__xludf.DUMMYFUNCTION("""COMPUTED_VALUE"""),"SpFLMP996282")</f>
        <v>SpFLMP996282</v>
      </c>
      <c r="E118" s="103"/>
      <c r="F118" s="103"/>
      <c r="G118" s="103" t="str">
        <f>IFERROR(__xludf.DUMMYFUNCTION("""COMPUTED_VALUE"""),"Negative")</f>
        <v>Negative</v>
      </c>
      <c r="H118" s="131" t="str">
        <f>IFERROR(__xludf.DUMMYFUNCTION("""COMPUTED_VALUE"""),"Negative")</f>
        <v>Negative</v>
      </c>
      <c r="I118" s="468">
        <f>IFERROR(__xludf.DUMMYFUNCTION("""COMPUTED_VALUE"""),44265.0)</f>
        <v>44265</v>
      </c>
      <c r="J118" s="470">
        <f>IFERROR(__xludf.DUMMYFUNCTION("""COMPUTED_VALUE"""),0.7108564814814815)</f>
        <v>0.7108564815</v>
      </c>
      <c r="K118" s="16"/>
      <c r="L118" s="8"/>
      <c r="M118" s="69"/>
      <c r="N118" s="69">
        <f>IFERROR(__xludf.DUMMYFUNCTION("""COMPUTED_VALUE"""),3.0)</f>
        <v>3</v>
      </c>
      <c r="O118" s="69" t="b">
        <f t="shared" si="3"/>
        <v>1</v>
      </c>
      <c r="P118" s="471">
        <f>IFERROR(__xludf.DUMMYFUNCTION("""COMPUTED_VALUE"""),0.0)</f>
        <v>0</v>
      </c>
      <c r="Q118" s="274" t="b">
        <f>VLOOKUP($B118,'Run Reconcile'!B$2:O2488,14,FALSE)</f>
        <v>1</v>
      </c>
      <c r="R118" s="472" t="str">
        <f t="array" ref="R118">IF($Q118, INDEX('Run Reconcile'!A$2:A2488,MATCH(B118,'Run Reconcile'!B$2:B2488,0),1),IFERROR(0/0,""))</f>
        <v>RUN-FLMP_2021-03-10_APS-038</v>
      </c>
      <c r="S118" s="473" t="str">
        <f t="shared" ref="S118:T118" si="240">IF(COUNTIF(W$2:W2488, $A118) &gt; 0,TRUE,IFERROR(0/0,""))</f>
        <v/>
      </c>
      <c r="T118" s="473" t="str">
        <f t="shared" si="240"/>
        <v/>
      </c>
      <c r="U118" s="275" t="str">
        <f t="array" ref="U118">IF(ISBLANK($R118), INDEX('Run Reconcile'!A$2:A2488, MATCH($B118, 'Run Reconcile'!B$2:B2488, 0)+Z118, 1), IFERROR(0/0,""))
</f>
        <v/>
      </c>
      <c r="V118" s="474" t="str">
        <f t="shared" si="5"/>
        <v>RUN-FLMP_2021-03-10_APS-038</v>
      </c>
      <c r="Y118" s="89" t="str">
        <f t="shared" si="6"/>
        <v/>
      </c>
      <c r="Z118" s="60" t="str">
        <f t="shared" si="7"/>
        <v/>
      </c>
      <c r="AA118" s="60" t="str">
        <f t="shared" si="8"/>
        <v/>
      </c>
      <c r="AB118" s="60" t="str">
        <f t="shared" si="9"/>
        <v/>
      </c>
      <c r="AC118" s="30" t="str">
        <f t="shared" ref="AC118:AD118" si="241">IF(_xlfn.ISFORMULA(S118),IFERROR(0/0,""),TRUE)</f>
        <v/>
      </c>
      <c r="AD118" s="30" t="str">
        <f t="shared" si="241"/>
        <v/>
      </c>
      <c r="AE118" s="475" t="str">
        <f>IFERROR(__xludf.DUMMYFUNCTION("""COMPUTED_VALUE"""),"FLSP")</f>
        <v>FLSP</v>
      </c>
      <c r="AF118" s="476"/>
      <c r="AG118" s="474" t="s">
        <v>70</v>
      </c>
      <c r="AH118" s="138" t="str">
        <f t="shared" si="11"/>
        <v/>
      </c>
    </row>
    <row r="119">
      <c r="A119" s="103" t="str">
        <f>IFERROR(__xludf.DUMMYFUNCTION("""COMPUTED_VALUE"""),"T1257")</f>
        <v>T1257</v>
      </c>
      <c r="B119" s="468">
        <f>IFERROR(__xludf.DUMMYFUNCTION("""COMPUTED_VALUE"""),44265.0)</f>
        <v>44265</v>
      </c>
      <c r="C119" s="469">
        <f>IFERROR(__xludf.DUMMYFUNCTION("""COMPUTED_VALUE"""),0.575925925925926)</f>
        <v>0.5759259259</v>
      </c>
      <c r="D119" s="103" t="str">
        <f>IFERROR(__xludf.DUMMYFUNCTION("""COMPUTED_VALUE"""),"SpFLMP959641")</f>
        <v>SpFLMP959641</v>
      </c>
      <c r="E119" s="103"/>
      <c r="F119" s="103"/>
      <c r="G119" s="103" t="str">
        <f>IFERROR(__xludf.DUMMYFUNCTION("""COMPUTED_VALUE"""),"Negative")</f>
        <v>Negative</v>
      </c>
      <c r="H119" s="131" t="str">
        <f>IFERROR(__xludf.DUMMYFUNCTION("""COMPUTED_VALUE"""),"Negative")</f>
        <v>Negative</v>
      </c>
      <c r="I119" s="468">
        <f>IFERROR(__xludf.DUMMYFUNCTION("""COMPUTED_VALUE"""),44265.0)</f>
        <v>44265</v>
      </c>
      <c r="J119" s="470">
        <f>IFERROR(__xludf.DUMMYFUNCTION("""COMPUTED_VALUE"""),0.7108564814814815)</f>
        <v>0.7108564815</v>
      </c>
      <c r="K119" s="16"/>
      <c r="L119" s="8"/>
      <c r="M119" s="69"/>
      <c r="N119" s="69">
        <f>IFERROR(__xludf.DUMMYFUNCTION("""COMPUTED_VALUE"""),4.0)</f>
        <v>4</v>
      </c>
      <c r="O119" s="69" t="str">
        <f t="shared" si="3"/>
        <v/>
      </c>
      <c r="P119" s="471">
        <f>IFERROR(__xludf.DUMMYFUNCTION("""COMPUTED_VALUE"""),0.0)</f>
        <v>0</v>
      </c>
      <c r="Q119" s="274" t="b">
        <f>VLOOKUP($B119,'Run Reconcile'!B$2:O2488,14,FALSE)</f>
        <v>1</v>
      </c>
      <c r="R119" s="472" t="str">
        <f t="array" ref="R119">IF($Q119, INDEX('Run Reconcile'!A$2:A2488,MATCH(B119,'Run Reconcile'!B$2:B2488,0),1),IFERROR(0/0,""))</f>
        <v>RUN-FLMP_2021-03-10_APS-038</v>
      </c>
      <c r="S119" s="473" t="str">
        <f t="shared" ref="S119:T119" si="242">IF(COUNTIF(W$2:W2488, $A119) &gt; 0,TRUE,IFERROR(0/0,""))</f>
        <v/>
      </c>
      <c r="T119" s="473" t="str">
        <f t="shared" si="242"/>
        <v/>
      </c>
      <c r="U119" s="275" t="str">
        <f t="array" ref="U119">IF(ISBLANK($R119), INDEX('Run Reconcile'!A$2:A2488, MATCH($B119, 'Run Reconcile'!B$2:B2488, 0)+Z119, 1), IFERROR(0/0,""))
</f>
        <v/>
      </c>
      <c r="V119" s="474" t="str">
        <f t="shared" si="5"/>
        <v>RUN-FLMP_2021-03-10_APS-038</v>
      </c>
      <c r="Y119" s="89" t="str">
        <f t="shared" si="6"/>
        <v/>
      </c>
      <c r="Z119" s="60" t="str">
        <f t="shared" si="7"/>
        <v/>
      </c>
      <c r="AA119" s="60" t="str">
        <f t="shared" si="8"/>
        <v/>
      </c>
      <c r="AB119" s="60" t="str">
        <f t="shared" si="9"/>
        <v/>
      </c>
      <c r="AC119" s="30" t="str">
        <f t="shared" ref="AC119:AD119" si="243">IF(_xlfn.ISFORMULA(S119),IFERROR(0/0,""),TRUE)</f>
        <v/>
      </c>
      <c r="AD119" s="30" t="str">
        <f t="shared" si="243"/>
        <v/>
      </c>
      <c r="AE119" s="475" t="str">
        <f>IFERROR(__xludf.DUMMYFUNCTION("""COMPUTED_VALUE"""),"FLSP")</f>
        <v>FLSP</v>
      </c>
      <c r="AF119" s="476"/>
      <c r="AG119" s="474" t="s">
        <v>70</v>
      </c>
      <c r="AH119" s="138" t="str">
        <f t="shared" si="11"/>
        <v/>
      </c>
    </row>
    <row r="120">
      <c r="A120" s="103" t="str">
        <f>IFERROR(__xludf.DUMMYFUNCTION("""COMPUTED_VALUE"""),"T1220")</f>
        <v>T1220</v>
      </c>
      <c r="B120" s="468">
        <f>IFERROR(__xludf.DUMMYFUNCTION("""COMPUTED_VALUE"""),44267.0)</f>
        <v>44267</v>
      </c>
      <c r="C120" s="469">
        <f>IFERROR(__xludf.DUMMYFUNCTION("""COMPUTED_VALUE"""),0.3147685185185185)</f>
        <v>0.3147685185</v>
      </c>
      <c r="D120" s="103" t="str">
        <f>IFERROR(__xludf.DUMMYFUNCTION("""COMPUTED_VALUE"""),"SpFLMP294811")</f>
        <v>SpFLMP294811</v>
      </c>
      <c r="E120" s="103"/>
      <c r="F120" s="103"/>
      <c r="G120" s="103" t="str">
        <f>IFERROR(__xludf.DUMMYFUNCTION("""COMPUTED_VALUE"""),"Negative")</f>
        <v>Negative</v>
      </c>
      <c r="H120" s="131" t="str">
        <f>IFERROR(__xludf.DUMMYFUNCTION("""COMPUTED_VALUE"""),"Negative")</f>
        <v>Negative</v>
      </c>
      <c r="I120" s="468">
        <f>IFERROR(__xludf.DUMMYFUNCTION("""COMPUTED_VALUE"""),44267.0)</f>
        <v>44267</v>
      </c>
      <c r="J120" s="470">
        <f>IFERROR(__xludf.DUMMYFUNCTION("""COMPUTED_VALUE"""),0.4843634259259259)</f>
        <v>0.4843634259</v>
      </c>
      <c r="K120" s="16"/>
      <c r="L120" s="8"/>
      <c r="M120" s="69"/>
      <c r="N120" s="69">
        <f>IFERROR(__xludf.DUMMYFUNCTION("""COMPUTED_VALUE"""),3.0)</f>
        <v>3</v>
      </c>
      <c r="O120" s="69" t="b">
        <f t="shared" si="3"/>
        <v>1</v>
      </c>
      <c r="P120" s="471">
        <f>IFERROR(__xludf.DUMMYFUNCTION("""COMPUTED_VALUE"""),0.0)</f>
        <v>0</v>
      </c>
      <c r="Q120" s="274" t="b">
        <f>VLOOKUP($B120,'Run Reconcile'!B$2:O2488,14,FALSE)</f>
        <v>1</v>
      </c>
      <c r="R120" s="472" t="str">
        <f t="array" ref="R120">IF($Q120, INDEX('Run Reconcile'!A$2:A2488,MATCH(B120,'Run Reconcile'!B$2:B2488,0),1),IFERROR(0/0,""))</f>
        <v>RUN-FLMP_2021-03-12_APS-039</v>
      </c>
      <c r="S120" s="473" t="str">
        <f t="shared" ref="S120:T120" si="244">IF(COUNTIF(W$2:W2488, $A120) &gt; 0,TRUE,IFERROR(0/0,""))</f>
        <v/>
      </c>
      <c r="T120" s="473" t="str">
        <f t="shared" si="244"/>
        <v/>
      </c>
      <c r="U120" s="275" t="str">
        <f t="array" ref="U120">IF(ISBLANK($R120), INDEX('Run Reconcile'!A$2:A2488, MATCH($B120, 'Run Reconcile'!B$2:B2488, 0)+Z120, 1), IFERROR(0/0,""))
</f>
        <v/>
      </c>
      <c r="V120" s="474" t="str">
        <f t="shared" si="5"/>
        <v>RUN-FLMP_2021-03-12_APS-039</v>
      </c>
      <c r="Y120" s="89" t="str">
        <f t="shared" si="6"/>
        <v/>
      </c>
      <c r="Z120" s="60" t="str">
        <f t="shared" si="7"/>
        <v/>
      </c>
      <c r="AA120" s="60" t="str">
        <f t="shared" si="8"/>
        <v/>
      </c>
      <c r="AB120" s="60" t="str">
        <f t="shared" si="9"/>
        <v/>
      </c>
      <c r="AC120" s="30" t="str">
        <f t="shared" ref="AC120:AD120" si="245">IF(_xlfn.ISFORMULA(S120),IFERROR(0/0,""),TRUE)</f>
        <v/>
      </c>
      <c r="AD120" s="30" t="str">
        <f t="shared" si="245"/>
        <v/>
      </c>
      <c r="AE120" s="475" t="str">
        <f>IFERROR(__xludf.DUMMYFUNCTION("""COMPUTED_VALUE"""),"FLSP")</f>
        <v>FLSP</v>
      </c>
      <c r="AF120" s="476"/>
      <c r="AG120" s="474" t="s">
        <v>71</v>
      </c>
      <c r="AH120" s="138" t="str">
        <f t="shared" si="11"/>
        <v/>
      </c>
    </row>
    <row r="121">
      <c r="A121" s="103" t="str">
        <f>IFERROR(__xludf.DUMMYFUNCTION("""COMPUTED_VALUE"""),"FLT1102")</f>
        <v>FLT1102</v>
      </c>
      <c r="B121" s="468">
        <f>IFERROR(__xludf.DUMMYFUNCTION("""COMPUTED_VALUE"""),44267.0)</f>
        <v>44267</v>
      </c>
      <c r="C121" s="469">
        <f>IFERROR(__xludf.DUMMYFUNCTION("""COMPUTED_VALUE"""),0.3159375)</f>
        <v>0.3159375</v>
      </c>
      <c r="D121" s="103" t="str">
        <f>IFERROR(__xludf.DUMMYFUNCTION("""COMPUTED_VALUE"""),"SpFLMP439990")</f>
        <v>SpFLMP439990</v>
      </c>
      <c r="E121" s="103"/>
      <c r="F121" s="103"/>
      <c r="G121" s="103" t="str">
        <f>IFERROR(__xludf.DUMMYFUNCTION("""COMPUTED_VALUE"""),"Negative")</f>
        <v>Negative</v>
      </c>
      <c r="H121" s="131" t="str">
        <f>IFERROR(__xludf.DUMMYFUNCTION("""COMPUTED_VALUE"""),"Negative")</f>
        <v>Negative</v>
      </c>
      <c r="I121" s="468">
        <f>IFERROR(__xludf.DUMMYFUNCTION("""COMPUTED_VALUE"""),44267.0)</f>
        <v>44267</v>
      </c>
      <c r="J121" s="470">
        <f>IFERROR(__xludf.DUMMYFUNCTION("""COMPUTED_VALUE"""),0.4843634259259259)</f>
        <v>0.4843634259</v>
      </c>
      <c r="K121" s="16"/>
      <c r="L121" s="8"/>
      <c r="M121" s="69"/>
      <c r="N121" s="69">
        <f>IFERROR(__xludf.DUMMYFUNCTION("""COMPUTED_VALUE"""),3.0)</f>
        <v>3</v>
      </c>
      <c r="O121" s="69" t="str">
        <f t="shared" si="3"/>
        <v/>
      </c>
      <c r="P121" s="471">
        <f>IFERROR(__xludf.DUMMYFUNCTION("""COMPUTED_VALUE"""),0.0)</f>
        <v>0</v>
      </c>
      <c r="Q121" s="274" t="b">
        <f>VLOOKUP($B121,'Run Reconcile'!B$2:O2488,14,FALSE)</f>
        <v>1</v>
      </c>
      <c r="R121" s="472" t="str">
        <f t="array" ref="R121">IF($Q121, INDEX('Run Reconcile'!A$2:A2488,MATCH(B121,'Run Reconcile'!B$2:B2488,0),1),IFERROR(0/0,""))</f>
        <v>RUN-FLMP_2021-03-12_APS-039</v>
      </c>
      <c r="S121" s="473" t="str">
        <f t="shared" ref="S121:T121" si="246">IF(COUNTIF(W$2:W2488, $A121) &gt; 0,TRUE,IFERROR(0/0,""))</f>
        <v/>
      </c>
      <c r="T121" s="473" t="str">
        <f t="shared" si="246"/>
        <v/>
      </c>
      <c r="U121" s="275" t="str">
        <f t="array" ref="U121">IF(ISBLANK($R121), INDEX('Run Reconcile'!A$2:A2488, MATCH($B121, 'Run Reconcile'!B$2:B2488, 0)+Z121, 1), IFERROR(0/0,""))
</f>
        <v/>
      </c>
      <c r="V121" s="474" t="str">
        <f t="shared" si="5"/>
        <v>RUN-FLMP_2021-03-12_APS-039</v>
      </c>
      <c r="Y121" s="89" t="str">
        <f t="shared" si="6"/>
        <v/>
      </c>
      <c r="Z121" s="60" t="str">
        <f t="shared" si="7"/>
        <v/>
      </c>
      <c r="AA121" s="60" t="str">
        <f t="shared" si="8"/>
        <v/>
      </c>
      <c r="AB121" s="60" t="str">
        <f t="shared" si="9"/>
        <v/>
      </c>
      <c r="AC121" s="30" t="str">
        <f t="shared" ref="AC121:AD121" si="247">IF(_xlfn.ISFORMULA(S121),IFERROR(0/0,""),TRUE)</f>
        <v/>
      </c>
      <c r="AD121" s="30" t="str">
        <f t="shared" si="247"/>
        <v/>
      </c>
      <c r="AE121" s="475" t="str">
        <f>IFERROR(__xludf.DUMMYFUNCTION("""COMPUTED_VALUE"""),"FLSP")</f>
        <v>FLSP</v>
      </c>
      <c r="AF121" s="476"/>
      <c r="AG121" s="474" t="s">
        <v>71</v>
      </c>
      <c r="AH121" s="138" t="str">
        <f t="shared" si="11"/>
        <v/>
      </c>
    </row>
    <row r="122">
      <c r="A122" s="103" t="str">
        <f>IFERROR(__xludf.DUMMYFUNCTION("""COMPUTED_VALUE"""),"FLT156")</f>
        <v>FLT156</v>
      </c>
      <c r="B122" s="468">
        <f>IFERROR(__xludf.DUMMYFUNCTION("""COMPUTED_VALUE"""),44267.0)</f>
        <v>44267</v>
      </c>
      <c r="C122" s="469">
        <f>IFERROR(__xludf.DUMMYFUNCTION("""COMPUTED_VALUE"""),0.3403587962962963)</f>
        <v>0.3403587963</v>
      </c>
      <c r="D122" s="103" t="str">
        <f>IFERROR(__xludf.DUMMYFUNCTION("""COMPUTED_VALUE"""),"SpFLMP959641")</f>
        <v>SpFLMP959641</v>
      </c>
      <c r="E122" s="103"/>
      <c r="F122" s="103"/>
      <c r="G122" s="103" t="str">
        <f>IFERROR(__xludf.DUMMYFUNCTION("""COMPUTED_VALUE"""),"Negative")</f>
        <v>Negative</v>
      </c>
      <c r="H122" s="131" t="str">
        <f>IFERROR(__xludf.DUMMYFUNCTION("""COMPUTED_VALUE"""),"Negative")</f>
        <v>Negative</v>
      </c>
      <c r="I122" s="468">
        <f>IFERROR(__xludf.DUMMYFUNCTION("""COMPUTED_VALUE"""),44267.0)</f>
        <v>44267</v>
      </c>
      <c r="J122" s="470">
        <f>IFERROR(__xludf.DUMMYFUNCTION("""COMPUTED_VALUE"""),0.4843634259259259)</f>
        <v>0.4843634259</v>
      </c>
      <c r="K122" s="16"/>
      <c r="L122" s="8"/>
      <c r="M122" s="69"/>
      <c r="N122" s="69">
        <f>IFERROR(__xludf.DUMMYFUNCTION("""COMPUTED_VALUE"""),4.0)</f>
        <v>4</v>
      </c>
      <c r="O122" s="69" t="str">
        <f t="shared" si="3"/>
        <v/>
      </c>
      <c r="P122" s="471">
        <f>IFERROR(__xludf.DUMMYFUNCTION("""COMPUTED_VALUE"""),0.0)</f>
        <v>0</v>
      </c>
      <c r="Q122" s="274" t="b">
        <f>VLOOKUP($B122,'Run Reconcile'!B$2:O2488,14,FALSE)</f>
        <v>1</v>
      </c>
      <c r="R122" s="472" t="str">
        <f t="array" ref="R122">IF($Q122, INDEX('Run Reconcile'!A$2:A2488,MATCH(B122,'Run Reconcile'!B$2:B2488,0),1),IFERROR(0/0,""))</f>
        <v>RUN-FLMP_2021-03-12_APS-039</v>
      </c>
      <c r="S122" s="473" t="str">
        <f t="shared" ref="S122:T122" si="248">IF(COUNTIF(W$2:W2488, $A122) &gt; 0,TRUE,IFERROR(0/0,""))</f>
        <v/>
      </c>
      <c r="T122" s="473" t="str">
        <f t="shared" si="248"/>
        <v/>
      </c>
      <c r="U122" s="275" t="str">
        <f t="array" ref="U122">IF(ISBLANK($R122), INDEX('Run Reconcile'!A$2:A2488, MATCH($B122, 'Run Reconcile'!B$2:B2488, 0)+Z122, 1), IFERROR(0/0,""))
</f>
        <v/>
      </c>
      <c r="V122" s="474" t="str">
        <f t="shared" si="5"/>
        <v>RUN-FLMP_2021-03-12_APS-039</v>
      </c>
      <c r="Y122" s="89" t="str">
        <f t="shared" si="6"/>
        <v/>
      </c>
      <c r="Z122" s="60" t="str">
        <f t="shared" si="7"/>
        <v/>
      </c>
      <c r="AA122" s="60" t="str">
        <f t="shared" si="8"/>
        <v/>
      </c>
      <c r="AB122" s="60" t="str">
        <f t="shared" si="9"/>
        <v/>
      </c>
      <c r="AC122" s="30" t="str">
        <f t="shared" ref="AC122:AD122" si="249">IF(_xlfn.ISFORMULA(S122),IFERROR(0/0,""),TRUE)</f>
        <v/>
      </c>
      <c r="AD122" s="30" t="str">
        <f t="shared" si="249"/>
        <v/>
      </c>
      <c r="AE122" s="475" t="str">
        <f>IFERROR(__xludf.DUMMYFUNCTION("""COMPUTED_VALUE"""),"FLSP")</f>
        <v>FLSP</v>
      </c>
      <c r="AF122" s="476"/>
      <c r="AG122" s="474" t="s">
        <v>71</v>
      </c>
      <c r="AH122" s="138" t="str">
        <f t="shared" si="11"/>
        <v/>
      </c>
    </row>
    <row r="123">
      <c r="A123" s="103" t="str">
        <f>IFERROR(__xludf.DUMMYFUNCTION("""COMPUTED_VALUE"""),"T1245")</f>
        <v>T1245</v>
      </c>
      <c r="B123" s="468">
        <f>IFERROR(__xludf.DUMMYFUNCTION("""COMPUTED_VALUE"""),44270.0)</f>
        <v>44270</v>
      </c>
      <c r="C123" s="469">
        <f>IFERROR(__xludf.DUMMYFUNCTION("""COMPUTED_VALUE"""),0.3171643518518519)</f>
        <v>0.3171643519</v>
      </c>
      <c r="D123" s="103" t="str">
        <f>IFERROR(__xludf.DUMMYFUNCTION("""COMPUTED_VALUE"""),"SpFLMP294811")</f>
        <v>SpFLMP294811</v>
      </c>
      <c r="E123" s="103"/>
      <c r="F123" s="103"/>
      <c r="G123" s="103" t="str">
        <f>IFERROR(__xludf.DUMMYFUNCTION("""COMPUTED_VALUE"""),"Negative")</f>
        <v>Negative</v>
      </c>
      <c r="H123" s="131" t="str">
        <f>IFERROR(__xludf.DUMMYFUNCTION("""COMPUTED_VALUE"""),"Negative")</f>
        <v>Negative</v>
      </c>
      <c r="I123" s="468">
        <f>IFERROR(__xludf.DUMMYFUNCTION("""COMPUTED_VALUE"""),44270.0)</f>
        <v>44270</v>
      </c>
      <c r="J123" s="470">
        <f>IFERROR(__xludf.DUMMYFUNCTION("""COMPUTED_VALUE"""),0.526886574074074)</f>
        <v>0.5268865741</v>
      </c>
      <c r="K123" s="16"/>
      <c r="L123" s="8"/>
      <c r="M123" s="69"/>
      <c r="N123" s="69">
        <f>IFERROR(__xludf.DUMMYFUNCTION("""COMPUTED_VALUE"""),1.0)</f>
        <v>1</v>
      </c>
      <c r="O123" s="69" t="b">
        <f t="shared" si="3"/>
        <v>1</v>
      </c>
      <c r="P123" s="471">
        <f>IFERROR(__xludf.DUMMYFUNCTION("""COMPUTED_VALUE"""),0.0)</f>
        <v>0</v>
      </c>
      <c r="Q123" s="274" t="b">
        <f>VLOOKUP($B123,'Run Reconcile'!B$2:O2488,14,FALSE)</f>
        <v>1</v>
      </c>
      <c r="R123" s="472" t="str">
        <f t="array" ref="R123">IF($Q123, INDEX('Run Reconcile'!A$2:A2488,MATCH(B123,'Run Reconcile'!B$2:B2488,0),1),IFERROR(0/0,""))</f>
        <v>RUN-FLMP_2021-03-15_APS-040</v>
      </c>
      <c r="S123" s="473" t="str">
        <f t="shared" ref="S123:T123" si="250">IF(COUNTIF(W$2:W2488, $A123) &gt; 0,TRUE,IFERROR(0/0,""))</f>
        <v/>
      </c>
      <c r="T123" s="473" t="str">
        <f t="shared" si="250"/>
        <v/>
      </c>
      <c r="U123" s="275" t="str">
        <f t="array" ref="U123">IF(ISBLANK($R123), INDEX('Run Reconcile'!A$2:A2488, MATCH($B123, 'Run Reconcile'!B$2:B2488, 0)+Z123, 1), IFERROR(0/0,""))
</f>
        <v/>
      </c>
      <c r="V123" s="474" t="str">
        <f t="shared" si="5"/>
        <v>RUN-FLMP_2021-03-15_APS-040</v>
      </c>
      <c r="Y123" s="89" t="str">
        <f t="shared" si="6"/>
        <v/>
      </c>
      <c r="Z123" s="60" t="str">
        <f t="shared" si="7"/>
        <v/>
      </c>
      <c r="AA123" s="60" t="str">
        <f t="shared" si="8"/>
        <v/>
      </c>
      <c r="AB123" s="60" t="str">
        <f t="shared" si="9"/>
        <v/>
      </c>
      <c r="AC123" s="30" t="str">
        <f t="shared" ref="AC123:AD123" si="251">IF(_xlfn.ISFORMULA(S123),IFERROR(0/0,""),TRUE)</f>
        <v/>
      </c>
      <c r="AD123" s="30" t="str">
        <f t="shared" si="251"/>
        <v/>
      </c>
      <c r="AE123" s="475" t="str">
        <f>IFERROR(__xludf.DUMMYFUNCTION("""COMPUTED_VALUE"""),"FLSP")</f>
        <v>FLSP</v>
      </c>
      <c r="AF123" s="476"/>
      <c r="AG123" s="474" t="s">
        <v>72</v>
      </c>
      <c r="AH123" s="138" t="str">
        <f t="shared" si="11"/>
        <v/>
      </c>
    </row>
    <row r="124">
      <c r="A124" s="103" t="str">
        <f>IFERROR(__xludf.DUMMYFUNCTION("""COMPUTED_VALUE"""),"FLT165")</f>
        <v>FLT165</v>
      </c>
      <c r="B124" s="468">
        <f>IFERROR(__xludf.DUMMYFUNCTION("""COMPUTED_VALUE"""),44270.0)</f>
        <v>44270</v>
      </c>
      <c r="C124" s="469">
        <f>IFERROR(__xludf.DUMMYFUNCTION("""COMPUTED_VALUE"""),0.3467013888888889)</f>
        <v>0.3467013889</v>
      </c>
      <c r="D124" s="103" t="str">
        <f>IFERROR(__xludf.DUMMYFUNCTION("""COMPUTED_VALUE"""),"SpFLMP959641")</f>
        <v>SpFLMP959641</v>
      </c>
      <c r="E124" s="103"/>
      <c r="F124" s="103"/>
      <c r="G124" s="103" t="str">
        <f>IFERROR(__xludf.DUMMYFUNCTION("""COMPUTED_VALUE"""),"Negative")</f>
        <v>Negative</v>
      </c>
      <c r="H124" s="131" t="str">
        <f>IFERROR(__xludf.DUMMYFUNCTION("""COMPUTED_VALUE"""),"Negative")</f>
        <v>Negative</v>
      </c>
      <c r="I124" s="468">
        <f>IFERROR(__xludf.DUMMYFUNCTION("""COMPUTED_VALUE"""),44270.0)</f>
        <v>44270</v>
      </c>
      <c r="J124" s="470">
        <f>IFERROR(__xludf.DUMMYFUNCTION("""COMPUTED_VALUE"""),0.526886574074074)</f>
        <v>0.5268865741</v>
      </c>
      <c r="K124" s="16"/>
      <c r="L124" s="8"/>
      <c r="M124" s="69"/>
      <c r="N124" s="69">
        <f>IFERROR(__xludf.DUMMYFUNCTION("""COMPUTED_VALUE"""),4.0)</f>
        <v>4</v>
      </c>
      <c r="O124" s="69" t="str">
        <f t="shared" si="3"/>
        <v/>
      </c>
      <c r="P124" s="471">
        <f>IFERROR(__xludf.DUMMYFUNCTION("""COMPUTED_VALUE"""),0.0)</f>
        <v>0</v>
      </c>
      <c r="Q124" s="274" t="b">
        <f>VLOOKUP($B124,'Run Reconcile'!B$2:O2488,14,FALSE)</f>
        <v>1</v>
      </c>
      <c r="R124" s="472" t="str">
        <f t="array" ref="R124">IF($Q124, INDEX('Run Reconcile'!A$2:A2488,MATCH(B124,'Run Reconcile'!B$2:B2488,0),1),IFERROR(0/0,""))</f>
        <v>RUN-FLMP_2021-03-15_APS-040</v>
      </c>
      <c r="S124" s="473" t="str">
        <f t="shared" ref="S124:T124" si="252">IF(COUNTIF(W$2:W2488, $A124) &gt; 0,TRUE,IFERROR(0/0,""))</f>
        <v/>
      </c>
      <c r="T124" s="473" t="str">
        <f t="shared" si="252"/>
        <v/>
      </c>
      <c r="U124" s="275" t="str">
        <f t="array" ref="U124">IF(ISBLANK($R124), INDEX('Run Reconcile'!A$2:A2488, MATCH($B124, 'Run Reconcile'!B$2:B2488, 0)+Z124, 1), IFERROR(0/0,""))
</f>
        <v/>
      </c>
      <c r="V124" s="474" t="str">
        <f t="shared" si="5"/>
        <v>RUN-FLMP_2021-03-15_APS-040</v>
      </c>
      <c r="Y124" s="89" t="str">
        <f t="shared" si="6"/>
        <v/>
      </c>
      <c r="Z124" s="60" t="str">
        <f t="shared" si="7"/>
        <v/>
      </c>
      <c r="AA124" s="60" t="str">
        <f t="shared" si="8"/>
        <v/>
      </c>
      <c r="AB124" s="60" t="str">
        <f t="shared" si="9"/>
        <v/>
      </c>
      <c r="AC124" s="30" t="str">
        <f t="shared" ref="AC124:AD124" si="253">IF(_xlfn.ISFORMULA(S124),IFERROR(0/0,""),TRUE)</f>
        <v/>
      </c>
      <c r="AD124" s="30" t="str">
        <f t="shared" si="253"/>
        <v/>
      </c>
      <c r="AE124" s="475" t="str">
        <f>IFERROR(__xludf.DUMMYFUNCTION("""COMPUTED_VALUE"""),"FLSP")</f>
        <v>FLSP</v>
      </c>
      <c r="AF124" s="476"/>
      <c r="AG124" s="474" t="s">
        <v>72</v>
      </c>
      <c r="AH124" s="138" t="str">
        <f t="shared" si="11"/>
        <v/>
      </c>
    </row>
    <row r="125">
      <c r="A125" s="103" t="str">
        <f>IFERROR(__xludf.DUMMYFUNCTION("""COMPUTED_VALUE"""),"T1203")</f>
        <v>T1203</v>
      </c>
      <c r="B125" s="468">
        <f>IFERROR(__xludf.DUMMYFUNCTION("""COMPUTED_VALUE"""),44272.0)</f>
        <v>44272</v>
      </c>
      <c r="C125" s="469">
        <f>IFERROR(__xludf.DUMMYFUNCTION("""COMPUTED_VALUE"""),0.27350694444444446)</f>
        <v>0.2735069444</v>
      </c>
      <c r="D125" s="103" t="str">
        <f>IFERROR(__xludf.DUMMYFUNCTION("""COMPUTED_VALUE"""),"SpFLMP634683")</f>
        <v>SpFLMP634683</v>
      </c>
      <c r="E125" s="103"/>
      <c r="F125" s="103"/>
      <c r="G125" s="103" t="str">
        <f>IFERROR(__xludf.DUMMYFUNCTION("""COMPUTED_VALUE"""),"Negative")</f>
        <v>Negative</v>
      </c>
      <c r="H125" s="131" t="str">
        <f>IFERROR(__xludf.DUMMYFUNCTION("""COMPUTED_VALUE"""),"Negative")</f>
        <v>Negative</v>
      </c>
      <c r="I125" s="468">
        <f>IFERROR(__xludf.DUMMYFUNCTION("""COMPUTED_VALUE"""),44272.0)</f>
        <v>44272</v>
      </c>
      <c r="J125" s="470">
        <f>IFERROR(__xludf.DUMMYFUNCTION("""COMPUTED_VALUE"""),0.6832407407407407)</f>
        <v>0.6832407407</v>
      </c>
      <c r="K125" s="16"/>
      <c r="L125" s="8"/>
      <c r="M125" s="69"/>
      <c r="N125" s="69">
        <f>IFERROR(__xludf.DUMMYFUNCTION("""COMPUTED_VALUE"""),4.0)</f>
        <v>4</v>
      </c>
      <c r="O125" s="69" t="b">
        <f t="shared" si="3"/>
        <v>1</v>
      </c>
      <c r="P125" s="471">
        <f>IFERROR(__xludf.DUMMYFUNCTION("""COMPUTED_VALUE"""),0.0)</f>
        <v>0</v>
      </c>
      <c r="Q125" s="274" t="b">
        <f>VLOOKUP($B125,'Run Reconcile'!B$2:O2488,14,FALSE)</f>
        <v>1</v>
      </c>
      <c r="R125" s="472" t="str">
        <f t="array" ref="R125">IF($Q125, INDEX('Run Reconcile'!A$2:A2488,MATCH(B125,'Run Reconcile'!B$2:B2488,0),1),IFERROR(0/0,""))</f>
        <v>RUN-FLMP_2021-03-17_APS-041</v>
      </c>
      <c r="S125" s="473" t="str">
        <f t="shared" ref="S125:T125" si="254">IF(COUNTIF(W$2:W2488, $A125) &gt; 0,TRUE,IFERROR(0/0,""))</f>
        <v/>
      </c>
      <c r="T125" s="473" t="str">
        <f t="shared" si="254"/>
        <v/>
      </c>
      <c r="U125" s="275" t="str">
        <f t="array" ref="U125">IF(ISBLANK($R125), INDEX('Run Reconcile'!A$2:A2488, MATCH($B125, 'Run Reconcile'!B$2:B2488, 0)+Z125, 1), IFERROR(0/0,""))
</f>
        <v/>
      </c>
      <c r="V125" s="474" t="str">
        <f t="shared" si="5"/>
        <v>RUN-FLMP_2021-03-17_APS-041</v>
      </c>
      <c r="Y125" s="89" t="str">
        <f t="shared" si="6"/>
        <v/>
      </c>
      <c r="Z125" s="60" t="str">
        <f t="shared" si="7"/>
        <v/>
      </c>
      <c r="AA125" s="60" t="str">
        <f t="shared" si="8"/>
        <v/>
      </c>
      <c r="AB125" s="60" t="str">
        <f t="shared" si="9"/>
        <v/>
      </c>
      <c r="AC125" s="30" t="str">
        <f t="shared" ref="AC125:AD125" si="255">IF(_xlfn.ISFORMULA(S125),IFERROR(0/0,""),TRUE)</f>
        <v/>
      </c>
      <c r="AD125" s="30" t="str">
        <f t="shared" si="255"/>
        <v/>
      </c>
      <c r="AE125" s="475" t="str">
        <f>IFERROR(__xludf.DUMMYFUNCTION("""COMPUTED_VALUE"""),"FLSP")</f>
        <v>FLSP</v>
      </c>
      <c r="AF125" s="476"/>
      <c r="AG125" s="474" t="s">
        <v>73</v>
      </c>
      <c r="AH125" s="138" t="str">
        <f t="shared" si="11"/>
        <v/>
      </c>
    </row>
    <row r="126">
      <c r="A126" s="103" t="str">
        <f>IFERROR(__xludf.DUMMYFUNCTION("""COMPUTED_VALUE"""),"T1230")</f>
        <v>T1230</v>
      </c>
      <c r="B126" s="468">
        <f>IFERROR(__xludf.DUMMYFUNCTION("""COMPUTED_VALUE"""),44272.0)</f>
        <v>44272</v>
      </c>
      <c r="C126" s="469">
        <f>IFERROR(__xludf.DUMMYFUNCTION("""COMPUTED_VALUE"""),0.3345023148148148)</f>
        <v>0.3345023148</v>
      </c>
      <c r="D126" s="103" t="str">
        <f>IFERROR(__xludf.DUMMYFUNCTION("""COMPUTED_VALUE"""),"SpFLMP294811")</f>
        <v>SpFLMP294811</v>
      </c>
      <c r="E126" s="103"/>
      <c r="F126" s="103"/>
      <c r="G126" s="103" t="str">
        <f>IFERROR(__xludf.DUMMYFUNCTION("""COMPUTED_VALUE"""),"Negative")</f>
        <v>Negative</v>
      </c>
      <c r="H126" s="131" t="str">
        <f>IFERROR(__xludf.DUMMYFUNCTION("""COMPUTED_VALUE"""),"Negative")</f>
        <v>Negative</v>
      </c>
      <c r="I126" s="468">
        <f>IFERROR(__xludf.DUMMYFUNCTION("""COMPUTED_VALUE"""),44272.0)</f>
        <v>44272</v>
      </c>
      <c r="J126" s="470">
        <f>IFERROR(__xludf.DUMMYFUNCTION("""COMPUTED_VALUE"""),0.6832523148148149)</f>
        <v>0.6832523148</v>
      </c>
      <c r="K126" s="16"/>
      <c r="L126" s="8"/>
      <c r="M126" s="69"/>
      <c r="N126" s="69">
        <f>IFERROR(__xludf.DUMMYFUNCTION("""COMPUTED_VALUE"""),4.0)</f>
        <v>4</v>
      </c>
      <c r="O126" s="69" t="str">
        <f t="shared" si="3"/>
        <v/>
      </c>
      <c r="P126" s="471">
        <f>IFERROR(__xludf.DUMMYFUNCTION("""COMPUTED_VALUE"""),0.0)</f>
        <v>0</v>
      </c>
      <c r="Q126" s="274" t="b">
        <f>VLOOKUP($B126,'Run Reconcile'!B$2:O2488,14,FALSE)</f>
        <v>1</v>
      </c>
      <c r="R126" s="472" t="str">
        <f t="array" ref="R126">IF($Q126, INDEX('Run Reconcile'!A$2:A2488,MATCH(B126,'Run Reconcile'!B$2:B2488,0),1),IFERROR(0/0,""))</f>
        <v>RUN-FLMP_2021-03-17_APS-041</v>
      </c>
      <c r="S126" s="473" t="str">
        <f t="shared" ref="S126:T126" si="256">IF(COUNTIF(W$2:W2488, $A126) &gt; 0,TRUE,IFERROR(0/0,""))</f>
        <v/>
      </c>
      <c r="T126" s="473" t="str">
        <f t="shared" si="256"/>
        <v/>
      </c>
      <c r="U126" s="275" t="str">
        <f t="array" ref="U126">IF(ISBLANK($R126), INDEX('Run Reconcile'!A$2:A2488, MATCH($B126, 'Run Reconcile'!B$2:B2488, 0)+Z126, 1), IFERROR(0/0,""))
</f>
        <v/>
      </c>
      <c r="V126" s="474" t="str">
        <f t="shared" si="5"/>
        <v>RUN-FLMP_2021-03-17_APS-041</v>
      </c>
      <c r="Y126" s="89" t="str">
        <f t="shared" si="6"/>
        <v/>
      </c>
      <c r="Z126" s="60" t="str">
        <f t="shared" si="7"/>
        <v/>
      </c>
      <c r="AA126" s="60" t="str">
        <f t="shared" si="8"/>
        <v/>
      </c>
      <c r="AB126" s="60" t="str">
        <f t="shared" si="9"/>
        <v/>
      </c>
      <c r="AC126" s="30" t="str">
        <f t="shared" ref="AC126:AD126" si="257">IF(_xlfn.ISFORMULA(S126),IFERROR(0/0,""),TRUE)</f>
        <v/>
      </c>
      <c r="AD126" s="30" t="str">
        <f t="shared" si="257"/>
        <v/>
      </c>
      <c r="AE126" s="475" t="str">
        <f>IFERROR(__xludf.DUMMYFUNCTION("""COMPUTED_VALUE"""),"FLSP")</f>
        <v>FLSP</v>
      </c>
      <c r="AF126" s="476"/>
      <c r="AG126" s="474" t="s">
        <v>73</v>
      </c>
      <c r="AH126" s="138" t="str">
        <f t="shared" si="11"/>
        <v/>
      </c>
    </row>
    <row r="127">
      <c r="A127" s="103" t="str">
        <f>IFERROR(__xludf.DUMMYFUNCTION("""COMPUTED_VALUE"""),"FLT1105")</f>
        <v>FLT1105</v>
      </c>
      <c r="B127" s="468">
        <f>IFERROR(__xludf.DUMMYFUNCTION("""COMPUTED_VALUE"""),44272.0)</f>
        <v>44272</v>
      </c>
      <c r="C127" s="469">
        <f>IFERROR(__xludf.DUMMYFUNCTION("""COMPUTED_VALUE"""),0.5622337962962963)</f>
        <v>0.5622337963</v>
      </c>
      <c r="D127" s="103" t="str">
        <f>IFERROR(__xludf.DUMMYFUNCTION("""COMPUTED_VALUE"""),"SpFLMP870846")</f>
        <v>SpFLMP870846</v>
      </c>
      <c r="E127" s="103"/>
      <c r="F127" s="103"/>
      <c r="G127" s="103" t="str">
        <f>IFERROR(__xludf.DUMMYFUNCTION("""COMPUTED_VALUE"""),"Negative")</f>
        <v>Negative</v>
      </c>
      <c r="H127" s="131" t="str">
        <f>IFERROR(__xludf.DUMMYFUNCTION("""COMPUTED_VALUE"""),"Negative")</f>
        <v>Negative</v>
      </c>
      <c r="I127" s="468">
        <f>IFERROR(__xludf.DUMMYFUNCTION("""COMPUTED_VALUE"""),44272.0)</f>
        <v>44272</v>
      </c>
      <c r="J127" s="470">
        <f>IFERROR(__xludf.DUMMYFUNCTION("""COMPUTED_VALUE"""),0.6832523148148149)</f>
        <v>0.6832523148</v>
      </c>
      <c r="K127" s="16"/>
      <c r="L127" s="8"/>
      <c r="M127" s="69"/>
      <c r="N127" s="69">
        <f>IFERROR(__xludf.DUMMYFUNCTION("""COMPUTED_VALUE"""),1.0)</f>
        <v>1</v>
      </c>
      <c r="O127" s="69" t="str">
        <f t="shared" si="3"/>
        <v/>
      </c>
      <c r="P127" s="471">
        <f>IFERROR(__xludf.DUMMYFUNCTION("""COMPUTED_VALUE"""),0.0)</f>
        <v>0</v>
      </c>
      <c r="Q127" s="274" t="b">
        <f>VLOOKUP($B127,'Run Reconcile'!B$2:O2488,14,FALSE)</f>
        <v>1</v>
      </c>
      <c r="R127" s="472" t="str">
        <f t="array" ref="R127">IF($Q127, INDEX('Run Reconcile'!A$2:A2488,MATCH(B127,'Run Reconcile'!B$2:B2488,0),1),IFERROR(0/0,""))</f>
        <v>RUN-FLMP_2021-03-17_APS-041</v>
      </c>
      <c r="S127" s="473" t="str">
        <f t="shared" ref="S127:T127" si="258">IF(COUNTIF(W$2:W2488, $A127) &gt; 0,TRUE,IFERROR(0/0,""))</f>
        <v/>
      </c>
      <c r="T127" s="473" t="str">
        <f t="shared" si="258"/>
        <v/>
      </c>
      <c r="U127" s="275" t="str">
        <f t="array" ref="U127">IF(ISBLANK($R127), INDEX('Run Reconcile'!A$2:A2488, MATCH($B127, 'Run Reconcile'!B$2:B2488, 0)+Z127, 1), IFERROR(0/0,""))
</f>
        <v/>
      </c>
      <c r="V127" s="474" t="str">
        <f t="shared" si="5"/>
        <v>RUN-FLMP_2021-03-17_APS-041</v>
      </c>
      <c r="Y127" s="89" t="str">
        <f t="shared" si="6"/>
        <v/>
      </c>
      <c r="Z127" s="60" t="str">
        <f t="shared" si="7"/>
        <v/>
      </c>
      <c r="AA127" s="60" t="str">
        <f t="shared" si="8"/>
        <v/>
      </c>
      <c r="AB127" s="60" t="str">
        <f t="shared" si="9"/>
        <v/>
      </c>
      <c r="AC127" s="30" t="str">
        <f t="shared" ref="AC127:AD127" si="259">IF(_xlfn.ISFORMULA(S127),IFERROR(0/0,""),TRUE)</f>
        <v/>
      </c>
      <c r="AD127" s="30" t="str">
        <f t="shared" si="259"/>
        <v/>
      </c>
      <c r="AE127" s="475" t="str">
        <f>IFERROR(__xludf.DUMMYFUNCTION("""COMPUTED_VALUE"""),"FLSP")</f>
        <v>FLSP</v>
      </c>
      <c r="AF127" s="476"/>
      <c r="AG127" s="474" t="s">
        <v>73</v>
      </c>
      <c r="AH127" s="138" t="str">
        <f t="shared" si="11"/>
        <v/>
      </c>
    </row>
    <row r="128">
      <c r="A128" s="103" t="str">
        <f>IFERROR(__xludf.DUMMYFUNCTION("""COMPUTED_VALUE"""),"FLT1554")</f>
        <v>FLT1554</v>
      </c>
      <c r="B128" s="468">
        <f>IFERROR(__xludf.DUMMYFUNCTION("""COMPUTED_VALUE"""),44272.0)</f>
        <v>44272</v>
      </c>
      <c r="C128" s="469">
        <f>IFERROR(__xludf.DUMMYFUNCTION("""COMPUTED_VALUE"""),0.6212384259259259)</f>
        <v>0.6212384259</v>
      </c>
      <c r="D128" s="103" t="str">
        <f>IFERROR(__xludf.DUMMYFUNCTION("""COMPUTED_VALUE"""),"SpFLMP959641")</f>
        <v>SpFLMP959641</v>
      </c>
      <c r="E128" s="103"/>
      <c r="F128" s="103"/>
      <c r="G128" s="103" t="str">
        <f>IFERROR(__xludf.DUMMYFUNCTION("""COMPUTED_VALUE"""),"Negative")</f>
        <v>Negative</v>
      </c>
      <c r="H128" s="131" t="str">
        <f>IFERROR(__xludf.DUMMYFUNCTION("""COMPUTED_VALUE"""),"Negative")</f>
        <v>Negative</v>
      </c>
      <c r="I128" s="468">
        <f>IFERROR(__xludf.DUMMYFUNCTION("""COMPUTED_VALUE"""),44272.0)</f>
        <v>44272</v>
      </c>
      <c r="J128" s="470">
        <f>IFERROR(__xludf.DUMMYFUNCTION("""COMPUTED_VALUE"""),0.6832523148148149)</f>
        <v>0.6832523148</v>
      </c>
      <c r="K128" s="16"/>
      <c r="L128" s="8"/>
      <c r="M128" s="69"/>
      <c r="N128" s="69">
        <f>IFERROR(__xludf.DUMMYFUNCTION("""COMPUTED_VALUE"""),2.0)</f>
        <v>2</v>
      </c>
      <c r="O128" s="69" t="str">
        <f t="shared" si="3"/>
        <v/>
      </c>
      <c r="P128" s="471">
        <f>IFERROR(__xludf.DUMMYFUNCTION("""COMPUTED_VALUE"""),0.0)</f>
        <v>0</v>
      </c>
      <c r="Q128" s="274" t="b">
        <f>VLOOKUP($B128,'Run Reconcile'!B$2:O2488,14,FALSE)</f>
        <v>1</v>
      </c>
      <c r="R128" s="472" t="str">
        <f t="array" ref="R128">IF($Q128, INDEX('Run Reconcile'!A$2:A2488,MATCH(B128,'Run Reconcile'!B$2:B2488,0),1),IFERROR(0/0,""))</f>
        <v>RUN-FLMP_2021-03-17_APS-041</v>
      </c>
      <c r="S128" s="473" t="str">
        <f t="shared" ref="S128:T128" si="260">IF(COUNTIF(W$2:W2488, $A128) &gt; 0,TRUE,IFERROR(0/0,""))</f>
        <v/>
      </c>
      <c r="T128" s="473" t="str">
        <f t="shared" si="260"/>
        <v/>
      </c>
      <c r="U128" s="275" t="str">
        <f t="array" ref="U128">IF(ISBLANK($R128), INDEX('Run Reconcile'!A$2:A2488, MATCH($B128, 'Run Reconcile'!B$2:B2488, 0)+Z128, 1), IFERROR(0/0,""))
</f>
        <v/>
      </c>
      <c r="V128" s="474" t="str">
        <f t="shared" si="5"/>
        <v>RUN-FLMP_2021-03-17_APS-041</v>
      </c>
      <c r="Y128" s="89" t="str">
        <f t="shared" si="6"/>
        <v/>
      </c>
      <c r="Z128" s="60" t="str">
        <f t="shared" si="7"/>
        <v/>
      </c>
      <c r="AA128" s="60" t="str">
        <f t="shared" si="8"/>
        <v/>
      </c>
      <c r="AB128" s="60" t="str">
        <f t="shared" si="9"/>
        <v/>
      </c>
      <c r="AC128" s="30" t="str">
        <f t="shared" ref="AC128:AD128" si="261">IF(_xlfn.ISFORMULA(S128),IFERROR(0/0,""),TRUE)</f>
        <v/>
      </c>
      <c r="AD128" s="30" t="str">
        <f t="shared" si="261"/>
        <v/>
      </c>
      <c r="AE128" s="475" t="str">
        <f>IFERROR(__xludf.DUMMYFUNCTION("""COMPUTED_VALUE"""),"FLSP")</f>
        <v>FLSP</v>
      </c>
      <c r="AF128" s="476"/>
      <c r="AG128" s="474" t="s">
        <v>73</v>
      </c>
      <c r="AH128" s="138" t="str">
        <f t="shared" si="11"/>
        <v/>
      </c>
    </row>
    <row r="129">
      <c r="A129" s="103" t="str">
        <f>IFERROR(__xludf.DUMMYFUNCTION("""COMPUTED_VALUE"""),"T1258")</f>
        <v>T1258</v>
      </c>
      <c r="B129" s="468">
        <f>IFERROR(__xludf.DUMMYFUNCTION("""COMPUTED_VALUE"""),44281.0)</f>
        <v>44281</v>
      </c>
      <c r="C129" s="469">
        <f>IFERROR(__xludf.DUMMYFUNCTION("""COMPUTED_VALUE"""),0.32752314814814815)</f>
        <v>0.3275231481</v>
      </c>
      <c r="D129" s="103" t="str">
        <f>IFERROR(__xludf.DUMMYFUNCTION("""COMPUTED_VALUE"""),"SpFLMP294811")</f>
        <v>SpFLMP294811</v>
      </c>
      <c r="E129" s="103"/>
      <c r="F129" s="103"/>
      <c r="G129" s="103" t="str">
        <f>IFERROR(__xludf.DUMMYFUNCTION("""COMPUTED_VALUE"""),"Negative")</f>
        <v>Negative</v>
      </c>
      <c r="H129" s="131" t="str">
        <f>IFERROR(__xludf.DUMMYFUNCTION("""COMPUTED_VALUE"""),"Negative")</f>
        <v>Negative</v>
      </c>
      <c r="I129" s="468">
        <f>IFERROR(__xludf.DUMMYFUNCTION("""COMPUTED_VALUE"""),44281.0)</f>
        <v>44281</v>
      </c>
      <c r="J129" s="470">
        <f>IFERROR(__xludf.DUMMYFUNCTION("""COMPUTED_VALUE"""),0.5048842592592593)</f>
        <v>0.5048842593</v>
      </c>
      <c r="K129" s="16"/>
      <c r="L129" s="8"/>
      <c r="M129" s="69"/>
      <c r="N129" s="69">
        <f>IFERROR(__xludf.DUMMYFUNCTION("""COMPUTED_VALUE"""),2.0)</f>
        <v>2</v>
      </c>
      <c r="O129" s="69" t="b">
        <f t="shared" si="3"/>
        <v>1</v>
      </c>
      <c r="P129" s="471">
        <f>IFERROR(__xludf.DUMMYFUNCTION("""COMPUTED_VALUE"""),0.0)</f>
        <v>0</v>
      </c>
      <c r="Q129" s="274" t="b">
        <f>VLOOKUP($B129,'Run Reconcile'!B$2:O2488,14,FALSE)</f>
        <v>1</v>
      </c>
      <c r="R129" s="472" t="str">
        <f t="array" ref="R129">IF($Q129, INDEX('Run Reconcile'!A$2:A2488,MATCH(B129,'Run Reconcile'!B$2:B2488,0),1),IFERROR(0/0,""))</f>
        <v>RUN-FLMP_2021-03-26_APS-042</v>
      </c>
      <c r="S129" s="473" t="str">
        <f t="shared" ref="S129:T129" si="262">IF(COUNTIF(W$2:W2488, $A129) &gt; 0,TRUE,IFERROR(0/0,""))</f>
        <v/>
      </c>
      <c r="T129" s="473" t="str">
        <f t="shared" si="262"/>
        <v/>
      </c>
      <c r="U129" s="275" t="str">
        <f t="array" ref="U129">IF(ISBLANK($R129), INDEX('Run Reconcile'!A$2:A2488, MATCH($B129, 'Run Reconcile'!B$2:B2488, 0)+Z129, 1), IFERROR(0/0,""))
</f>
        <v/>
      </c>
      <c r="V129" s="474" t="str">
        <f t="shared" si="5"/>
        <v>RUN-FLMP_2021-03-26_APS-042</v>
      </c>
      <c r="Y129" s="89" t="str">
        <f t="shared" si="6"/>
        <v/>
      </c>
      <c r="Z129" s="60" t="str">
        <f t="shared" si="7"/>
        <v/>
      </c>
      <c r="AA129" s="60" t="str">
        <f t="shared" si="8"/>
        <v/>
      </c>
      <c r="AB129" s="60" t="str">
        <f t="shared" si="9"/>
        <v/>
      </c>
      <c r="AC129" s="30" t="str">
        <f t="shared" ref="AC129:AD129" si="263">IF(_xlfn.ISFORMULA(S129),IFERROR(0/0,""),TRUE)</f>
        <v/>
      </c>
      <c r="AD129" s="30" t="str">
        <f t="shared" si="263"/>
        <v/>
      </c>
      <c r="AE129" s="475" t="str">
        <f>IFERROR(__xludf.DUMMYFUNCTION("""COMPUTED_VALUE"""),"FLSP")</f>
        <v>FLSP</v>
      </c>
      <c r="AF129" s="476"/>
      <c r="AG129" s="474" t="s">
        <v>74</v>
      </c>
      <c r="AH129" s="138" t="str">
        <f t="shared" si="11"/>
        <v/>
      </c>
    </row>
    <row r="130">
      <c r="A130" s="103" t="str">
        <f>IFERROR(__xludf.DUMMYFUNCTION("""COMPUTED_VALUE"""),"FLT179")</f>
        <v>FLT179</v>
      </c>
      <c r="B130" s="468">
        <f>IFERROR(__xludf.DUMMYFUNCTION("""COMPUTED_VALUE"""),44281.0)</f>
        <v>44281</v>
      </c>
      <c r="C130" s="469">
        <f>IFERROR(__xludf.DUMMYFUNCTION("""COMPUTED_VALUE"""),0.34457175925925926)</f>
        <v>0.3445717593</v>
      </c>
      <c r="D130" s="103" t="str">
        <f>IFERROR(__xludf.DUMMYFUNCTION("""COMPUTED_VALUE"""),"SpFLMP959641")</f>
        <v>SpFLMP959641</v>
      </c>
      <c r="E130" s="103"/>
      <c r="F130" s="103"/>
      <c r="G130" s="103" t="str">
        <f>IFERROR(__xludf.DUMMYFUNCTION("""COMPUTED_VALUE"""),"Negative")</f>
        <v>Negative</v>
      </c>
      <c r="H130" s="131" t="str">
        <f>IFERROR(__xludf.DUMMYFUNCTION("""COMPUTED_VALUE"""),"Negative")</f>
        <v>Negative</v>
      </c>
      <c r="I130" s="468">
        <f>IFERROR(__xludf.DUMMYFUNCTION("""COMPUTED_VALUE"""),44281.0)</f>
        <v>44281</v>
      </c>
      <c r="J130" s="470">
        <f>IFERROR(__xludf.DUMMYFUNCTION("""COMPUTED_VALUE"""),0.5048842592592593)</f>
        <v>0.5048842593</v>
      </c>
      <c r="K130" s="16"/>
      <c r="L130" s="8"/>
      <c r="M130" s="69"/>
      <c r="N130" s="69">
        <f>IFERROR(__xludf.DUMMYFUNCTION("""COMPUTED_VALUE"""),4.0)</f>
        <v>4</v>
      </c>
      <c r="O130" s="69" t="str">
        <f t="shared" si="3"/>
        <v/>
      </c>
      <c r="P130" s="471">
        <f>IFERROR(__xludf.DUMMYFUNCTION("""COMPUTED_VALUE"""),0.0)</f>
        <v>0</v>
      </c>
      <c r="Q130" s="274" t="b">
        <f>VLOOKUP($B130,'Run Reconcile'!B$2:O2488,14,FALSE)</f>
        <v>1</v>
      </c>
      <c r="R130" s="472" t="str">
        <f t="array" ref="R130">IF($Q130, INDEX('Run Reconcile'!A$2:A2488,MATCH(B130,'Run Reconcile'!B$2:B2488,0),1),IFERROR(0/0,""))</f>
        <v>RUN-FLMP_2021-03-26_APS-042</v>
      </c>
      <c r="S130" s="473" t="str">
        <f t="shared" ref="S130:T130" si="264">IF(COUNTIF(W$2:W2488, $A130) &gt; 0,TRUE,IFERROR(0/0,""))</f>
        <v/>
      </c>
      <c r="T130" s="473" t="str">
        <f t="shared" si="264"/>
        <v/>
      </c>
      <c r="U130" s="275" t="str">
        <f t="array" ref="U130">IF(ISBLANK($R130), INDEX('Run Reconcile'!A$2:A2488, MATCH($B130, 'Run Reconcile'!B$2:B2488, 0)+Z130, 1), IFERROR(0/0,""))
</f>
        <v/>
      </c>
      <c r="V130" s="474" t="str">
        <f t="shared" si="5"/>
        <v>RUN-FLMP_2021-03-26_APS-042</v>
      </c>
      <c r="Y130" s="89" t="str">
        <f t="shared" si="6"/>
        <v/>
      </c>
      <c r="Z130" s="60" t="str">
        <f t="shared" si="7"/>
        <v/>
      </c>
      <c r="AA130" s="60" t="str">
        <f t="shared" si="8"/>
        <v/>
      </c>
      <c r="AB130" s="60" t="str">
        <f t="shared" si="9"/>
        <v/>
      </c>
      <c r="AC130" s="30" t="str">
        <f t="shared" ref="AC130:AD130" si="265">IF(_xlfn.ISFORMULA(S130),IFERROR(0/0,""),TRUE)</f>
        <v/>
      </c>
      <c r="AD130" s="30" t="str">
        <f t="shared" si="265"/>
        <v/>
      </c>
      <c r="AE130" s="475" t="str">
        <f>IFERROR(__xludf.DUMMYFUNCTION("""COMPUTED_VALUE"""),"FLSP")</f>
        <v>FLSP</v>
      </c>
      <c r="AF130" s="476"/>
      <c r="AG130" s="474" t="s">
        <v>74</v>
      </c>
      <c r="AH130" s="138" t="str">
        <f t="shared" si="11"/>
        <v/>
      </c>
    </row>
    <row r="131">
      <c r="A131" s="103" t="str">
        <f>IFERROR(__xludf.DUMMYFUNCTION("""COMPUTED_VALUE"""),"T1241")</f>
        <v>T1241</v>
      </c>
      <c r="B131" s="468">
        <f>IFERROR(__xludf.DUMMYFUNCTION("""COMPUTED_VALUE"""),44284.0)</f>
        <v>44284</v>
      </c>
      <c r="C131" s="469">
        <f>IFERROR(__xludf.DUMMYFUNCTION("""COMPUTED_VALUE"""),0.3184722222222222)</f>
        <v>0.3184722222</v>
      </c>
      <c r="D131" s="103" t="str">
        <f>IFERROR(__xludf.DUMMYFUNCTION("""COMPUTED_VALUE"""),"SpFLMP294811")</f>
        <v>SpFLMP294811</v>
      </c>
      <c r="E131" s="103"/>
      <c r="F131" s="103"/>
      <c r="G131" s="103" t="str">
        <f>IFERROR(__xludf.DUMMYFUNCTION("""COMPUTED_VALUE"""),"Negative")</f>
        <v>Negative</v>
      </c>
      <c r="H131" s="131" t="str">
        <f>IFERROR(__xludf.DUMMYFUNCTION("""COMPUTED_VALUE"""),"Negative")</f>
        <v>Negative</v>
      </c>
      <c r="I131" s="468">
        <f>IFERROR(__xludf.DUMMYFUNCTION("""COMPUTED_VALUE"""),44284.0)</f>
        <v>44284</v>
      </c>
      <c r="J131" s="470">
        <f>IFERROR(__xludf.DUMMYFUNCTION("""COMPUTED_VALUE"""),0.39024305555555555)</f>
        <v>0.3902430556</v>
      </c>
      <c r="K131" s="16"/>
      <c r="L131" s="8"/>
      <c r="M131" s="69"/>
      <c r="N131" s="69">
        <f>IFERROR(__xludf.DUMMYFUNCTION("""COMPUTED_VALUE"""),2.0)</f>
        <v>2</v>
      </c>
      <c r="O131" s="69" t="b">
        <f t="shared" si="3"/>
        <v>1</v>
      </c>
      <c r="P131" s="471">
        <f>IFERROR(__xludf.DUMMYFUNCTION("""COMPUTED_VALUE"""),0.0)</f>
        <v>0</v>
      </c>
      <c r="Q131" s="274" t="b">
        <f>VLOOKUP($B131,'Run Reconcile'!B$2:O2488,14,FALSE)</f>
        <v>1</v>
      </c>
      <c r="R131" s="472" t="str">
        <f t="array" ref="R131">IF($Q131, INDEX('Run Reconcile'!A$2:A2488,MATCH(B131,'Run Reconcile'!B$2:B2488,0),1),IFERROR(0/0,""))</f>
        <v>RUN-FLMP_2021-03-29_APS-043</v>
      </c>
      <c r="S131" s="473" t="str">
        <f t="shared" ref="S131:T131" si="266">IF(COUNTIF(W$2:W2488, $A131) &gt; 0,TRUE,IFERROR(0/0,""))</f>
        <v/>
      </c>
      <c r="T131" s="473" t="str">
        <f t="shared" si="266"/>
        <v/>
      </c>
      <c r="U131" s="275" t="str">
        <f t="array" ref="U131">IF(ISBLANK($R131), INDEX('Run Reconcile'!A$2:A2488, MATCH($B131, 'Run Reconcile'!B$2:B2488, 0)+Z131, 1), IFERROR(0/0,""))
</f>
        <v/>
      </c>
      <c r="V131" s="474" t="str">
        <f t="shared" si="5"/>
        <v>RUN-FLMP_2021-03-29_APS-043</v>
      </c>
      <c r="Y131" s="89" t="str">
        <f t="shared" si="6"/>
        <v/>
      </c>
      <c r="Z131" s="60" t="str">
        <f t="shared" si="7"/>
        <v/>
      </c>
      <c r="AA131" s="60" t="str">
        <f t="shared" si="8"/>
        <v/>
      </c>
      <c r="AB131" s="60" t="str">
        <f t="shared" si="9"/>
        <v/>
      </c>
      <c r="AC131" s="30" t="str">
        <f t="shared" ref="AC131:AD131" si="267">IF(_xlfn.ISFORMULA(S131),IFERROR(0/0,""),TRUE)</f>
        <v/>
      </c>
      <c r="AD131" s="30" t="str">
        <f t="shared" si="267"/>
        <v/>
      </c>
      <c r="AE131" s="475" t="str">
        <f>IFERROR(__xludf.DUMMYFUNCTION("""COMPUTED_VALUE"""),"FLSP")</f>
        <v>FLSP</v>
      </c>
      <c r="AF131" s="476"/>
      <c r="AG131" s="474" t="s">
        <v>75</v>
      </c>
      <c r="AH131" s="138" t="str">
        <f t="shared" si="11"/>
        <v/>
      </c>
    </row>
    <row r="132">
      <c r="A132" s="103" t="str">
        <f>IFERROR(__xludf.DUMMYFUNCTION("""COMPUTED_VALUE"""),"FLT167")</f>
        <v>FLT167</v>
      </c>
      <c r="B132" s="468">
        <f>IFERROR(__xludf.DUMMYFUNCTION("""COMPUTED_VALUE"""),44284.0)</f>
        <v>44284</v>
      </c>
      <c r="C132" s="469">
        <f>IFERROR(__xludf.DUMMYFUNCTION("""COMPUTED_VALUE"""),0.34708333333333335)</f>
        <v>0.3470833333</v>
      </c>
      <c r="D132" s="103" t="str">
        <f>IFERROR(__xludf.DUMMYFUNCTION("""COMPUTED_VALUE"""),"SpFLMP959641")</f>
        <v>SpFLMP959641</v>
      </c>
      <c r="E132" s="103"/>
      <c r="F132" s="103"/>
      <c r="G132" s="103" t="str">
        <f>IFERROR(__xludf.DUMMYFUNCTION("""COMPUTED_VALUE"""),"Negative")</f>
        <v>Negative</v>
      </c>
      <c r="H132" s="131" t="str">
        <f>IFERROR(__xludf.DUMMYFUNCTION("""COMPUTED_VALUE"""),"Negative")</f>
        <v>Negative</v>
      </c>
      <c r="I132" s="468">
        <f>IFERROR(__xludf.DUMMYFUNCTION("""COMPUTED_VALUE"""),44284.0)</f>
        <v>44284</v>
      </c>
      <c r="J132" s="470">
        <f>IFERROR(__xludf.DUMMYFUNCTION("""COMPUTED_VALUE"""),0.39024305555555555)</f>
        <v>0.3902430556</v>
      </c>
      <c r="K132" s="16"/>
      <c r="L132" s="8"/>
      <c r="M132" s="69"/>
      <c r="N132" s="69">
        <f>IFERROR(__xludf.DUMMYFUNCTION("""COMPUTED_VALUE"""),4.0)</f>
        <v>4</v>
      </c>
      <c r="O132" s="69" t="str">
        <f t="shared" si="3"/>
        <v/>
      </c>
      <c r="P132" s="471">
        <f>IFERROR(__xludf.DUMMYFUNCTION("""COMPUTED_VALUE"""),0.0)</f>
        <v>0</v>
      </c>
      <c r="Q132" s="274" t="b">
        <f>VLOOKUP($B132,'Run Reconcile'!B$2:O2488,14,FALSE)</f>
        <v>1</v>
      </c>
      <c r="R132" s="472" t="str">
        <f t="array" ref="R132">IF($Q132, INDEX('Run Reconcile'!A$2:A2488,MATCH(B132,'Run Reconcile'!B$2:B2488,0),1),IFERROR(0/0,""))</f>
        <v>RUN-FLMP_2021-03-29_APS-043</v>
      </c>
      <c r="S132" s="473" t="str">
        <f t="shared" ref="S132:T132" si="268">IF(COUNTIF(W$2:W2488, $A132) &gt; 0,TRUE,IFERROR(0/0,""))</f>
        <v/>
      </c>
      <c r="T132" s="473" t="str">
        <f t="shared" si="268"/>
        <v/>
      </c>
      <c r="U132" s="275" t="str">
        <f t="array" ref="U132">IF(ISBLANK($R132), INDEX('Run Reconcile'!A$2:A2488, MATCH($B132, 'Run Reconcile'!B$2:B2488, 0)+Z132, 1), IFERROR(0/0,""))
</f>
        <v/>
      </c>
      <c r="V132" s="474" t="str">
        <f t="shared" si="5"/>
        <v>RUN-FLMP_2021-03-29_APS-043</v>
      </c>
      <c r="Y132" s="89" t="str">
        <f t="shared" si="6"/>
        <v/>
      </c>
      <c r="Z132" s="60" t="str">
        <f t="shared" si="7"/>
        <v/>
      </c>
      <c r="AA132" s="60" t="str">
        <f t="shared" si="8"/>
        <v/>
      </c>
      <c r="AB132" s="60" t="str">
        <f t="shared" si="9"/>
        <v/>
      </c>
      <c r="AC132" s="30" t="str">
        <f t="shared" ref="AC132:AD132" si="269">IF(_xlfn.ISFORMULA(S132),IFERROR(0/0,""),TRUE)</f>
        <v/>
      </c>
      <c r="AD132" s="30" t="str">
        <f t="shared" si="269"/>
        <v/>
      </c>
      <c r="AE132" s="475" t="str">
        <f>IFERROR(__xludf.DUMMYFUNCTION("""COMPUTED_VALUE"""),"FLSP")</f>
        <v>FLSP</v>
      </c>
      <c r="AF132" s="476"/>
      <c r="AG132" s="474" t="s">
        <v>75</v>
      </c>
      <c r="AH132" s="138" t="str">
        <f t="shared" si="11"/>
        <v/>
      </c>
    </row>
    <row r="133">
      <c r="A133" s="103" t="str">
        <f>IFERROR(__xludf.DUMMYFUNCTION("""COMPUTED_VALUE"""),"T1240")</f>
        <v>T1240</v>
      </c>
      <c r="B133" s="468">
        <f>IFERROR(__xludf.DUMMYFUNCTION("""COMPUTED_VALUE"""),44302.0)</f>
        <v>44302</v>
      </c>
      <c r="C133" s="469">
        <f>IFERROR(__xludf.DUMMYFUNCTION("""COMPUTED_VALUE"""),0.3437615740740741)</f>
        <v>0.3437615741</v>
      </c>
      <c r="D133" s="103" t="str">
        <f>IFERROR(__xludf.DUMMYFUNCTION("""COMPUTED_VALUE"""),"SpFLMP294811")</f>
        <v>SpFLMP294811</v>
      </c>
      <c r="E133" s="103"/>
      <c r="F133" s="103"/>
      <c r="G133" s="103" t="str">
        <f>IFERROR(__xludf.DUMMYFUNCTION("""COMPUTED_VALUE"""),"Negative")</f>
        <v>Negative</v>
      </c>
      <c r="H133" s="131" t="str">
        <f>IFERROR(__xludf.DUMMYFUNCTION("""COMPUTED_VALUE"""),"Negative")</f>
        <v>Negative</v>
      </c>
      <c r="I133" s="468">
        <f>IFERROR(__xludf.DUMMYFUNCTION("""COMPUTED_VALUE"""),44302.0)</f>
        <v>44302</v>
      </c>
      <c r="J133" s="470">
        <f>IFERROR(__xludf.DUMMYFUNCTION("""COMPUTED_VALUE"""),0.5456597222222223)</f>
        <v>0.5456597222</v>
      </c>
      <c r="K133" s="16"/>
      <c r="L133" s="8"/>
      <c r="M133" s="69"/>
      <c r="N133" s="69">
        <f>IFERROR(__xludf.DUMMYFUNCTION("""COMPUTED_VALUE"""),4.0)</f>
        <v>4</v>
      </c>
      <c r="O133" s="69" t="b">
        <f t="shared" si="3"/>
        <v>1</v>
      </c>
      <c r="P133" s="471">
        <f>IFERROR(__xludf.DUMMYFUNCTION("""COMPUTED_VALUE"""),0.0)</f>
        <v>0</v>
      </c>
      <c r="Q133" s="274" t="b">
        <f>VLOOKUP($B133,'Run Reconcile'!B$2:O2488,14,FALSE)</f>
        <v>1</v>
      </c>
      <c r="R133" s="472" t="str">
        <f t="array" ref="R133">IF($Q133, INDEX('Run Reconcile'!A$2:A2488,MATCH(B133,'Run Reconcile'!B$2:B2488,0),1),IFERROR(0/0,""))</f>
        <v>RUN-FLMP_2021-04-16_APS-044</v>
      </c>
      <c r="S133" s="473" t="str">
        <f t="shared" ref="S133:T133" si="270">IF(COUNTIF(W$2:W2488, $A133) &gt; 0,TRUE,IFERROR(0/0,""))</f>
        <v/>
      </c>
      <c r="T133" s="473" t="str">
        <f t="shared" si="270"/>
        <v/>
      </c>
      <c r="U133" s="275" t="str">
        <f t="array" ref="U133">IF(ISBLANK($R133), INDEX('Run Reconcile'!A$2:A2488, MATCH($B133, 'Run Reconcile'!B$2:B2488, 0)+Z133, 1), IFERROR(0/0,""))
</f>
        <v/>
      </c>
      <c r="V133" s="474" t="str">
        <f t="shared" si="5"/>
        <v>RUN-FLMP_2021-04-16_APS-044</v>
      </c>
      <c r="Y133" s="89" t="str">
        <f t="shared" si="6"/>
        <v/>
      </c>
      <c r="Z133" s="60" t="str">
        <f t="shared" si="7"/>
        <v/>
      </c>
      <c r="AA133" s="60" t="str">
        <f t="shared" si="8"/>
        <v/>
      </c>
      <c r="AB133" s="60" t="str">
        <f t="shared" si="9"/>
        <v/>
      </c>
      <c r="AC133" s="30" t="str">
        <f t="shared" ref="AC133:AD133" si="271">IF(_xlfn.ISFORMULA(S133),IFERROR(0/0,""),TRUE)</f>
        <v/>
      </c>
      <c r="AD133" s="30" t="str">
        <f t="shared" si="271"/>
        <v/>
      </c>
      <c r="AE133" s="475" t="str">
        <f>IFERROR(__xludf.DUMMYFUNCTION("""COMPUTED_VALUE"""),"FLSP")</f>
        <v>FLSP</v>
      </c>
      <c r="AF133" s="476"/>
      <c r="AG133" s="474" t="s">
        <v>76</v>
      </c>
      <c r="AH133" s="138" t="str">
        <f t="shared" si="11"/>
        <v/>
      </c>
    </row>
    <row r="134">
      <c r="A134" s="103" t="str">
        <f>IFERROR(__xludf.DUMMYFUNCTION("""COMPUTED_VALUE"""),"FLT1557")</f>
        <v>FLT1557</v>
      </c>
      <c r="B134" s="468">
        <f>IFERROR(__xludf.DUMMYFUNCTION("""COMPUTED_VALUE"""),44302.0)</f>
        <v>44302</v>
      </c>
      <c r="C134" s="469">
        <f>IFERROR(__xludf.DUMMYFUNCTION("""COMPUTED_VALUE"""),0.3507175925925926)</f>
        <v>0.3507175926</v>
      </c>
      <c r="D134" s="103" t="str">
        <f>IFERROR(__xludf.DUMMYFUNCTION("""COMPUTED_VALUE"""),"SpFLMP684798")</f>
        <v>SpFLMP684798</v>
      </c>
      <c r="E134" s="103"/>
      <c r="F134" s="103"/>
      <c r="G134" s="103" t="str">
        <f>IFERROR(__xludf.DUMMYFUNCTION("""COMPUTED_VALUE"""),"Negative")</f>
        <v>Negative</v>
      </c>
      <c r="H134" s="131" t="str">
        <f>IFERROR(__xludf.DUMMYFUNCTION("""COMPUTED_VALUE"""),"Negative")</f>
        <v>Negative</v>
      </c>
      <c r="I134" s="468">
        <f>IFERROR(__xludf.DUMMYFUNCTION("""COMPUTED_VALUE"""),44302.0)</f>
        <v>44302</v>
      </c>
      <c r="J134" s="470">
        <f>IFERROR(__xludf.DUMMYFUNCTION("""COMPUTED_VALUE"""),0.5456597222222223)</f>
        <v>0.5456597222</v>
      </c>
      <c r="K134" s="16"/>
      <c r="L134" s="8"/>
      <c r="M134" s="69"/>
      <c r="N134" s="69">
        <f>IFERROR(__xludf.DUMMYFUNCTION("""COMPUTED_VALUE"""),3.0)</f>
        <v>3</v>
      </c>
      <c r="O134" s="69" t="str">
        <f t="shared" si="3"/>
        <v/>
      </c>
      <c r="P134" s="471">
        <f>IFERROR(__xludf.DUMMYFUNCTION("""COMPUTED_VALUE"""),0.0)</f>
        <v>0</v>
      </c>
      <c r="Q134" s="274" t="b">
        <f>VLOOKUP($B134,'Run Reconcile'!B$2:O2488,14,FALSE)</f>
        <v>1</v>
      </c>
      <c r="R134" s="472" t="str">
        <f t="array" ref="R134">IF($Q134, INDEX('Run Reconcile'!A$2:A2488,MATCH(B134,'Run Reconcile'!B$2:B2488,0),1),IFERROR(0/0,""))</f>
        <v>RUN-FLMP_2021-04-16_APS-044</v>
      </c>
      <c r="S134" s="473" t="str">
        <f t="shared" ref="S134:T134" si="272">IF(COUNTIF(W$2:W2488, $A134) &gt; 0,TRUE,IFERROR(0/0,""))</f>
        <v/>
      </c>
      <c r="T134" s="473" t="str">
        <f t="shared" si="272"/>
        <v/>
      </c>
      <c r="U134" s="275" t="str">
        <f t="array" ref="U134">IF(ISBLANK($R134), INDEX('Run Reconcile'!A$2:A2488, MATCH($B134, 'Run Reconcile'!B$2:B2488, 0)+Z134, 1), IFERROR(0/0,""))
</f>
        <v/>
      </c>
      <c r="V134" s="474" t="str">
        <f t="shared" si="5"/>
        <v>RUN-FLMP_2021-04-16_APS-044</v>
      </c>
      <c r="Y134" s="89" t="str">
        <f t="shared" si="6"/>
        <v/>
      </c>
      <c r="Z134" s="60" t="str">
        <f t="shared" si="7"/>
        <v/>
      </c>
      <c r="AA134" s="60" t="str">
        <f t="shared" si="8"/>
        <v/>
      </c>
      <c r="AB134" s="60" t="str">
        <f t="shared" si="9"/>
        <v/>
      </c>
      <c r="AC134" s="30" t="str">
        <f t="shared" ref="AC134:AD134" si="273">IF(_xlfn.ISFORMULA(S134),IFERROR(0/0,""),TRUE)</f>
        <v/>
      </c>
      <c r="AD134" s="30" t="str">
        <f t="shared" si="273"/>
        <v/>
      </c>
      <c r="AE134" s="475" t="str">
        <f>IFERROR(__xludf.DUMMYFUNCTION("""COMPUTED_VALUE"""),"FLSP")</f>
        <v>FLSP</v>
      </c>
      <c r="AF134" s="476"/>
      <c r="AG134" s="474" t="s">
        <v>76</v>
      </c>
      <c r="AH134" s="138" t="str">
        <f t="shared" si="11"/>
        <v/>
      </c>
    </row>
    <row r="135">
      <c r="A135" s="103" t="str">
        <f>IFERROR(__xludf.DUMMYFUNCTION("""COMPUTED_VALUE"""),"FLT1537")</f>
        <v>FLT1537</v>
      </c>
      <c r="B135" s="468">
        <f>IFERROR(__xludf.DUMMYFUNCTION("""COMPUTED_VALUE"""),44302.0)</f>
        <v>44302</v>
      </c>
      <c r="C135" s="469">
        <f>IFERROR(__xludf.DUMMYFUNCTION("""COMPUTED_VALUE"""),0.35125)</f>
        <v>0.35125</v>
      </c>
      <c r="D135" s="103" t="str">
        <f>IFERROR(__xludf.DUMMYFUNCTION("""COMPUTED_VALUE"""),"SpFLMP684798")</f>
        <v>SpFLMP684798</v>
      </c>
      <c r="E135" s="103"/>
      <c r="F135" s="103"/>
      <c r="G135" s="103" t="str">
        <f>IFERROR(__xludf.DUMMYFUNCTION("""COMPUTED_VALUE"""),"Negative")</f>
        <v>Negative</v>
      </c>
      <c r="H135" s="131" t="str">
        <f>IFERROR(__xludf.DUMMYFUNCTION("""COMPUTED_VALUE"""),"Negative")</f>
        <v>Negative</v>
      </c>
      <c r="I135" s="468">
        <f>IFERROR(__xludf.DUMMYFUNCTION("""COMPUTED_VALUE"""),44302.0)</f>
        <v>44302</v>
      </c>
      <c r="J135" s="470">
        <f>IFERROR(__xludf.DUMMYFUNCTION("""COMPUTED_VALUE"""),0.5456597222222223)</f>
        <v>0.5456597222</v>
      </c>
      <c r="K135" s="16"/>
      <c r="L135" s="8" t="str">
        <f>IFERROR(__xludf.DUMMYFUNCTION("""COMPUTED_VALUE"""),"name email fix")</f>
        <v>name email fix</v>
      </c>
      <c r="M135" s="69"/>
      <c r="N135" s="69">
        <f>IFERROR(__xludf.DUMMYFUNCTION("""COMPUTED_VALUE"""),1.0)</f>
        <v>1</v>
      </c>
      <c r="O135" s="69" t="str">
        <f t="shared" si="3"/>
        <v/>
      </c>
      <c r="P135" s="471">
        <f>IFERROR(__xludf.DUMMYFUNCTION("""COMPUTED_VALUE"""),0.0)</f>
        <v>0</v>
      </c>
      <c r="Q135" s="274" t="b">
        <f>VLOOKUP($B135,'Run Reconcile'!B$2:O2488,14,FALSE)</f>
        <v>1</v>
      </c>
      <c r="R135" s="472" t="str">
        <f t="array" ref="R135">IF($Q135, INDEX('Run Reconcile'!A$2:A2488,MATCH(B135,'Run Reconcile'!B$2:B2488,0),1),IFERROR(0/0,""))</f>
        <v>RUN-FLMP_2021-04-16_APS-044</v>
      </c>
      <c r="S135" s="473" t="str">
        <f t="shared" ref="S135:T135" si="274">IF(COUNTIF(W$2:W2488, $A135) &gt; 0,TRUE,IFERROR(0/0,""))</f>
        <v/>
      </c>
      <c r="T135" s="473" t="str">
        <f t="shared" si="274"/>
        <v/>
      </c>
      <c r="U135" s="275" t="str">
        <f t="array" ref="U135">IF(ISBLANK($R135), INDEX('Run Reconcile'!A$2:A2488, MATCH($B135, 'Run Reconcile'!B$2:B2488, 0)+Z135, 1), IFERROR(0/0,""))
</f>
        <v/>
      </c>
      <c r="V135" s="474" t="str">
        <f t="shared" si="5"/>
        <v>RUN-FLMP_2021-04-16_APS-044</v>
      </c>
      <c r="Y135" s="89" t="str">
        <f t="shared" si="6"/>
        <v/>
      </c>
      <c r="Z135" s="60" t="str">
        <f t="shared" si="7"/>
        <v/>
      </c>
      <c r="AA135" s="60" t="str">
        <f t="shared" si="8"/>
        <v/>
      </c>
      <c r="AB135" s="60" t="str">
        <f t="shared" si="9"/>
        <v/>
      </c>
      <c r="AC135" s="30" t="str">
        <f t="shared" ref="AC135:AD135" si="275">IF(_xlfn.ISFORMULA(S135),IFERROR(0/0,""),TRUE)</f>
        <v/>
      </c>
      <c r="AD135" s="30" t="str">
        <f t="shared" si="275"/>
        <v/>
      </c>
      <c r="AE135" s="475" t="str">
        <f>IFERROR(__xludf.DUMMYFUNCTION("""COMPUTED_VALUE"""),"FLSP")</f>
        <v>FLSP</v>
      </c>
      <c r="AF135" s="476"/>
      <c r="AG135" s="474" t="s">
        <v>76</v>
      </c>
      <c r="AH135" s="138" t="str">
        <f t="shared" si="11"/>
        <v/>
      </c>
    </row>
    <row r="136">
      <c r="A136" s="103" t="str">
        <f>IFERROR(__xludf.DUMMYFUNCTION("""COMPUTED_VALUE"""),"T1211")</f>
        <v>T1211</v>
      </c>
      <c r="B136" s="468">
        <f>IFERROR(__xludf.DUMMYFUNCTION("""COMPUTED_VALUE"""),44325.0)</f>
        <v>44325</v>
      </c>
      <c r="C136" s="469">
        <f>IFERROR(__xludf.DUMMYFUNCTION("""COMPUTED_VALUE"""),0.8940046296296297)</f>
        <v>0.8940046296</v>
      </c>
      <c r="D136" s="103" t="str">
        <f>IFERROR(__xludf.DUMMYFUNCTION("""COMPUTED_VALUE"""),"SpFLMP634683")</f>
        <v>SpFLMP634683</v>
      </c>
      <c r="E136" s="103"/>
      <c r="F136" s="103"/>
      <c r="G136" s="103" t="str">
        <f>IFERROR(__xludf.DUMMYFUNCTION("""COMPUTED_VALUE"""),"Negative")</f>
        <v>Negative</v>
      </c>
      <c r="H136" s="131" t="str">
        <f>IFERROR(__xludf.DUMMYFUNCTION("""COMPUTED_VALUE"""),"Negative")</f>
        <v>Negative</v>
      </c>
      <c r="I136" s="468">
        <f>IFERROR(__xludf.DUMMYFUNCTION("""COMPUTED_VALUE"""),44326.0)</f>
        <v>44326</v>
      </c>
      <c r="J136" s="470">
        <f>IFERROR(__xludf.DUMMYFUNCTION("""COMPUTED_VALUE"""),0.8345601851851852)</f>
        <v>0.8345601852</v>
      </c>
      <c r="K136" s="16"/>
      <c r="L136" s="8"/>
      <c r="M136" s="69"/>
      <c r="N136" s="69">
        <f>IFERROR(__xludf.DUMMYFUNCTION("""COMPUTED_VALUE"""),1.0)</f>
        <v>1</v>
      </c>
      <c r="O136" s="69" t="b">
        <f t="shared" si="3"/>
        <v>1</v>
      </c>
      <c r="P136" s="471">
        <f>IFERROR(__xludf.DUMMYFUNCTION("""COMPUTED_VALUE"""),1.0)</f>
        <v>1</v>
      </c>
      <c r="Q136" s="274" t="b">
        <f>VLOOKUP($B136,'Run Reconcile'!B$2:O2488,14,FALSE)</f>
        <v>1</v>
      </c>
      <c r="R136" s="472" t="str">
        <f t="array" ref="R136">IF($Q136, INDEX('Run Reconcile'!A$2:A2488,MATCH(B136,'Run Reconcile'!B$2:B2488,0),1),IFERROR(0/0,""))</f>
        <v>RUN-FLMP_2021-05-09_APS-045</v>
      </c>
      <c r="S136" s="473" t="str">
        <f t="shared" ref="S136:T136" si="276">IF(COUNTIF(W$2:W2488, $A136) &gt; 0,TRUE,IFERROR(0/0,""))</f>
        <v/>
      </c>
      <c r="T136" s="473" t="str">
        <f t="shared" si="276"/>
        <v/>
      </c>
      <c r="U136" s="275" t="str">
        <f t="array" ref="U136">IF(ISBLANK($R136), INDEX('Run Reconcile'!A$2:A2488, MATCH($B136, 'Run Reconcile'!B$2:B2488, 0)+Z136, 1), IFERROR(0/0,""))
</f>
        <v/>
      </c>
      <c r="V136" s="474" t="str">
        <f t="shared" si="5"/>
        <v>RUN-FLMP_2021-05-09_APS-045</v>
      </c>
      <c r="Y136" s="89" t="str">
        <f t="shared" si="6"/>
        <v/>
      </c>
      <c r="Z136" s="60" t="str">
        <f t="shared" si="7"/>
        <v/>
      </c>
      <c r="AA136" s="60" t="str">
        <f t="shared" si="8"/>
        <v/>
      </c>
      <c r="AB136" s="60" t="str">
        <f t="shared" si="9"/>
        <v/>
      </c>
      <c r="AC136" s="30" t="str">
        <f t="shared" ref="AC136:AD136" si="277">IF(_xlfn.ISFORMULA(S136),IFERROR(0/0,""),TRUE)</f>
        <v/>
      </c>
      <c r="AD136" s="30" t="str">
        <f t="shared" si="277"/>
        <v/>
      </c>
      <c r="AE136" s="475" t="str">
        <f>IFERROR(__xludf.DUMMYFUNCTION("""COMPUTED_VALUE"""),"FLSP")</f>
        <v>FLSP</v>
      </c>
      <c r="AF136" s="476"/>
      <c r="AG136" s="474" t="s">
        <v>77</v>
      </c>
      <c r="AH136" s="138" t="str">
        <f t="shared" si="11"/>
        <v/>
      </c>
    </row>
    <row r="137">
      <c r="A137" s="103" t="str">
        <f>IFERROR(__xludf.DUMMYFUNCTION("""COMPUTED_VALUE"""),"D3978")</f>
        <v>D3978</v>
      </c>
      <c r="B137" s="468">
        <f>IFERROR(__xludf.DUMMYFUNCTION("""COMPUTED_VALUE"""),44326.0)</f>
        <v>44326</v>
      </c>
      <c r="C137" s="469">
        <f>IFERROR(__xludf.DUMMYFUNCTION("""COMPUTED_VALUE"""),0.2424537037037037)</f>
        <v>0.2424537037</v>
      </c>
      <c r="D137" s="103" t="str">
        <f>IFERROR(__xludf.DUMMYFUNCTION("""COMPUTED_VALUE"""),"SpFLMP634683")</f>
        <v>SpFLMP634683</v>
      </c>
      <c r="E137" s="103"/>
      <c r="F137" s="103"/>
      <c r="G137" s="103" t="str">
        <f>IFERROR(__xludf.DUMMYFUNCTION("""COMPUTED_VALUE"""),"Negative")</f>
        <v>Negative</v>
      </c>
      <c r="H137" s="131" t="str">
        <f>IFERROR(__xludf.DUMMYFUNCTION("""COMPUTED_VALUE"""),"Negative")</f>
        <v>Negative</v>
      </c>
      <c r="I137" s="468">
        <f>IFERROR(__xludf.DUMMYFUNCTION("""COMPUTED_VALUE"""),44326.0)</f>
        <v>44326</v>
      </c>
      <c r="J137" s="470">
        <f>IFERROR(__xludf.DUMMYFUNCTION("""COMPUTED_VALUE"""),0.8345601851851852)</f>
        <v>0.8345601852</v>
      </c>
      <c r="K137" s="16"/>
      <c r="L137" s="8"/>
      <c r="M137" s="69"/>
      <c r="N137" s="69">
        <f>IFERROR(__xludf.DUMMYFUNCTION("""COMPUTED_VALUE"""),1.0)</f>
        <v>1</v>
      </c>
      <c r="O137" s="69" t="b">
        <f t="shared" si="3"/>
        <v>1</v>
      </c>
      <c r="P137" s="471">
        <f>IFERROR(__xludf.DUMMYFUNCTION("""COMPUTED_VALUE"""),0.0)</f>
        <v>0</v>
      </c>
      <c r="Q137" s="274" t="b">
        <f>VLOOKUP($B137,'Run Reconcile'!B$2:O2488,14,FALSE)</f>
        <v>1</v>
      </c>
      <c r="R137" s="472" t="str">
        <f t="array" ref="R137">IF($Q137, INDEX('Run Reconcile'!A$2:A2488,MATCH(B137,'Run Reconcile'!B$2:B2488,0),1),IFERROR(0/0,""))</f>
        <v>RUN-FLMP_2021-05-10_APS-046</v>
      </c>
      <c r="S137" s="473" t="str">
        <f t="shared" ref="S137:T137" si="278">IF(COUNTIF(W$2:W2488, $A137) &gt; 0,TRUE,IFERROR(0/0,""))</f>
        <v/>
      </c>
      <c r="T137" s="473" t="str">
        <f t="shared" si="278"/>
        <v/>
      </c>
      <c r="U137" s="275" t="str">
        <f t="array" ref="U137">IF(ISBLANK($R137), INDEX('Run Reconcile'!A$2:A2488, MATCH($B137, 'Run Reconcile'!B$2:B2488, 0)+Z137, 1), IFERROR(0/0,""))
</f>
        <v/>
      </c>
      <c r="V137" s="474" t="str">
        <f t="shared" si="5"/>
        <v>RUN-FLMP_2021-05-10_APS-046</v>
      </c>
      <c r="Y137" s="89" t="str">
        <f t="shared" si="6"/>
        <v/>
      </c>
      <c r="Z137" s="60" t="str">
        <f t="shared" si="7"/>
        <v/>
      </c>
      <c r="AA137" s="60" t="str">
        <f t="shared" si="8"/>
        <v/>
      </c>
      <c r="AB137" s="60" t="str">
        <f t="shared" si="9"/>
        <v/>
      </c>
      <c r="AC137" s="30" t="str">
        <f t="shared" ref="AC137:AD137" si="279">IF(_xlfn.ISFORMULA(S137),IFERROR(0/0,""),TRUE)</f>
        <v/>
      </c>
      <c r="AD137" s="30" t="str">
        <f t="shared" si="279"/>
        <v/>
      </c>
      <c r="AE137" s="475" t="str">
        <f>IFERROR(__xludf.DUMMYFUNCTION("""COMPUTED_VALUE"""),"FLSP")</f>
        <v>FLSP</v>
      </c>
      <c r="AF137" s="476"/>
      <c r="AG137" s="474" t="s">
        <v>78</v>
      </c>
      <c r="AH137" s="138" t="str">
        <f t="shared" si="11"/>
        <v/>
      </c>
    </row>
    <row r="138">
      <c r="A138" s="103" t="str">
        <f>IFERROR(__xludf.DUMMYFUNCTION("""COMPUTED_VALUE"""),"FLT182")</f>
        <v>FLT182</v>
      </c>
      <c r="B138" s="468">
        <f>IFERROR(__xludf.DUMMYFUNCTION("""COMPUTED_VALUE"""),44326.0)</f>
        <v>44326</v>
      </c>
      <c r="C138" s="469">
        <f>IFERROR(__xludf.DUMMYFUNCTION("""COMPUTED_VALUE"""),0.38070601851851854)</f>
        <v>0.3807060185</v>
      </c>
      <c r="D138" s="103" t="str">
        <f>IFERROR(__xludf.DUMMYFUNCTION("""COMPUTED_VALUE"""),"SpFLMP659315")</f>
        <v>SpFLMP659315</v>
      </c>
      <c r="E138" s="103"/>
      <c r="F138" s="103"/>
      <c r="G138" s="103" t="str">
        <f>IFERROR(__xludf.DUMMYFUNCTION("""COMPUTED_VALUE"""),"Negative")</f>
        <v>Negative</v>
      </c>
      <c r="H138" s="131" t="str">
        <f>IFERROR(__xludf.DUMMYFUNCTION("""COMPUTED_VALUE"""),"Negative")</f>
        <v>Negative</v>
      </c>
      <c r="I138" s="468">
        <f>IFERROR(__xludf.DUMMYFUNCTION("""COMPUTED_VALUE"""),44326.0)</f>
        <v>44326</v>
      </c>
      <c r="J138" s="470">
        <f>IFERROR(__xludf.DUMMYFUNCTION("""COMPUTED_VALUE"""),0.8345601851851852)</f>
        <v>0.8345601852</v>
      </c>
      <c r="K138" s="16"/>
      <c r="L138" s="8"/>
      <c r="M138" s="69"/>
      <c r="N138" s="69">
        <f>IFERROR(__xludf.DUMMYFUNCTION("""COMPUTED_VALUE"""),4.0)</f>
        <v>4</v>
      </c>
      <c r="O138" s="69" t="str">
        <f t="shared" si="3"/>
        <v/>
      </c>
      <c r="P138" s="471">
        <f>IFERROR(__xludf.DUMMYFUNCTION("""COMPUTED_VALUE"""),0.0)</f>
        <v>0</v>
      </c>
      <c r="Q138" s="274" t="b">
        <f>VLOOKUP($B138,'Run Reconcile'!B$2:O2488,14,FALSE)</f>
        <v>1</v>
      </c>
      <c r="R138" s="472" t="str">
        <f t="array" ref="R138">IF($Q138, INDEX('Run Reconcile'!A$2:A2488,MATCH(B138,'Run Reconcile'!B$2:B2488,0),1),IFERROR(0/0,""))</f>
        <v>RUN-FLMP_2021-05-10_APS-046</v>
      </c>
      <c r="S138" s="473" t="str">
        <f t="shared" ref="S138:T138" si="280">IF(COUNTIF(W$2:W2488, $A138) &gt; 0,TRUE,IFERROR(0/0,""))</f>
        <v/>
      </c>
      <c r="T138" s="473" t="str">
        <f t="shared" si="280"/>
        <v/>
      </c>
      <c r="U138" s="275" t="str">
        <f t="array" ref="U138">IF(ISBLANK($R138), INDEX('Run Reconcile'!A$2:A2488, MATCH($B138, 'Run Reconcile'!B$2:B2488, 0)+Z138, 1), IFERROR(0/0,""))
</f>
        <v/>
      </c>
      <c r="V138" s="474" t="str">
        <f t="shared" si="5"/>
        <v>RUN-FLMP_2021-05-10_APS-046</v>
      </c>
      <c r="Y138" s="89" t="str">
        <f t="shared" si="6"/>
        <v/>
      </c>
      <c r="Z138" s="60" t="str">
        <f t="shared" si="7"/>
        <v/>
      </c>
      <c r="AA138" s="60" t="str">
        <f t="shared" si="8"/>
        <v/>
      </c>
      <c r="AB138" s="60" t="str">
        <f t="shared" si="9"/>
        <v/>
      </c>
      <c r="AC138" s="30" t="str">
        <f t="shared" ref="AC138:AD138" si="281">IF(_xlfn.ISFORMULA(S138),IFERROR(0/0,""),TRUE)</f>
        <v/>
      </c>
      <c r="AD138" s="30" t="str">
        <f t="shared" si="281"/>
        <v/>
      </c>
      <c r="AE138" s="475" t="str">
        <f>IFERROR(__xludf.DUMMYFUNCTION("""COMPUTED_VALUE"""),"FLSP")</f>
        <v>FLSP</v>
      </c>
      <c r="AF138" s="476"/>
      <c r="AG138" s="474" t="s">
        <v>78</v>
      </c>
      <c r="AH138" s="138" t="str">
        <f t="shared" si="11"/>
        <v/>
      </c>
    </row>
    <row r="139">
      <c r="A139" s="103" t="str">
        <f>IFERROR(__xludf.DUMMYFUNCTION("""COMPUTED_VALUE"""),"FLT1584")</f>
        <v>FLT1584</v>
      </c>
      <c r="B139" s="468">
        <f>IFERROR(__xludf.DUMMYFUNCTION("""COMPUTED_VALUE"""),44334.0)</f>
        <v>44334</v>
      </c>
      <c r="C139" s="469">
        <f>IFERROR(__xludf.DUMMYFUNCTION("""COMPUTED_VALUE"""),0.3622337962962963)</f>
        <v>0.3622337963</v>
      </c>
      <c r="D139" s="103" t="str">
        <f>IFERROR(__xludf.DUMMYFUNCTION("""COMPUTED_VALUE"""),"SpFLMP659315")</f>
        <v>SpFLMP659315</v>
      </c>
      <c r="E139" s="103"/>
      <c r="F139" s="103"/>
      <c r="G139" s="103" t="str">
        <f>IFERROR(__xludf.DUMMYFUNCTION("""COMPUTED_VALUE"""),"Negative")</f>
        <v>Negative</v>
      </c>
      <c r="H139" s="131" t="str">
        <f>IFERROR(__xludf.DUMMYFUNCTION("""COMPUTED_VALUE"""),"Negative")</f>
        <v>Negative</v>
      </c>
      <c r="I139" s="468">
        <f>IFERROR(__xludf.DUMMYFUNCTION("""COMPUTED_VALUE"""),44334.0)</f>
        <v>44334</v>
      </c>
      <c r="J139" s="470">
        <f>IFERROR(__xludf.DUMMYFUNCTION("""COMPUTED_VALUE"""),0.5499189814814814)</f>
        <v>0.5499189815</v>
      </c>
      <c r="K139" s="16"/>
      <c r="L139" s="8"/>
      <c r="M139" s="69"/>
      <c r="N139" s="69">
        <f>IFERROR(__xludf.DUMMYFUNCTION("""COMPUTED_VALUE"""),1.0)</f>
        <v>1</v>
      </c>
      <c r="O139" s="69" t="b">
        <f t="shared" si="3"/>
        <v>1</v>
      </c>
      <c r="P139" s="471">
        <f>IFERROR(__xludf.DUMMYFUNCTION("""COMPUTED_VALUE"""),0.0)</f>
        <v>0</v>
      </c>
      <c r="Q139" s="274" t="b">
        <f>VLOOKUP($B139,'Run Reconcile'!B$2:O2488,14,FALSE)</f>
        <v>1</v>
      </c>
      <c r="R139" s="472" t="str">
        <f t="array" ref="R139">IF($Q139, INDEX('Run Reconcile'!A$2:A2488,MATCH(B139,'Run Reconcile'!B$2:B2488,0),1),IFERROR(0/0,""))</f>
        <v>RUN-FLMP_2021-05-18_APS-047</v>
      </c>
      <c r="S139" s="473" t="str">
        <f t="shared" ref="S139:T139" si="282">IF(COUNTIF(W$2:W2488, $A139) &gt; 0,TRUE,IFERROR(0/0,""))</f>
        <v/>
      </c>
      <c r="T139" s="473" t="str">
        <f t="shared" si="282"/>
        <v/>
      </c>
      <c r="U139" s="275" t="str">
        <f t="array" ref="U139">IF(ISBLANK($R139), INDEX('Run Reconcile'!A$2:A2488, MATCH($B139, 'Run Reconcile'!B$2:B2488, 0)+Z139, 1), IFERROR(0/0,""))
</f>
        <v/>
      </c>
      <c r="V139" s="474" t="str">
        <f t="shared" si="5"/>
        <v>RUN-FLMP_2021-05-18_APS-047</v>
      </c>
      <c r="Y139" s="89" t="str">
        <f t="shared" si="6"/>
        <v/>
      </c>
      <c r="Z139" s="60" t="str">
        <f t="shared" si="7"/>
        <v/>
      </c>
      <c r="AA139" s="60" t="str">
        <f t="shared" si="8"/>
        <v/>
      </c>
      <c r="AB139" s="60" t="str">
        <f t="shared" si="9"/>
        <v/>
      </c>
      <c r="AC139" s="30" t="str">
        <f t="shared" ref="AC139:AD139" si="283">IF(_xlfn.ISFORMULA(S139),IFERROR(0/0,""),TRUE)</f>
        <v/>
      </c>
      <c r="AD139" s="30" t="str">
        <f t="shared" si="283"/>
        <v/>
      </c>
      <c r="AE139" s="475" t="str">
        <f>IFERROR(__xludf.DUMMYFUNCTION("""COMPUTED_VALUE"""),"FLSP")</f>
        <v>FLSP</v>
      </c>
      <c r="AF139" s="476"/>
      <c r="AG139" s="474" t="s">
        <v>79</v>
      </c>
      <c r="AH139" s="138" t="str">
        <f t="shared" si="11"/>
        <v/>
      </c>
    </row>
    <row r="140">
      <c r="A140" s="103" t="str">
        <f>IFERROR(__xludf.DUMMYFUNCTION("""COMPUTED_VALUE"""),"FLT153")</f>
        <v>FLT153</v>
      </c>
      <c r="B140" s="468">
        <f>IFERROR(__xludf.DUMMYFUNCTION("""COMPUTED_VALUE"""),44334.0)</f>
        <v>44334</v>
      </c>
      <c r="C140" s="469">
        <f>IFERROR(__xludf.DUMMYFUNCTION("""COMPUTED_VALUE"""),0.36368055555555556)</f>
        <v>0.3636805556</v>
      </c>
      <c r="D140" s="103" t="str">
        <f>IFERROR(__xludf.DUMMYFUNCTION("""COMPUTED_VALUE"""),"SpFLMP659315")</f>
        <v>SpFLMP659315</v>
      </c>
      <c r="E140" s="103"/>
      <c r="F140" s="103"/>
      <c r="G140" s="103" t="str">
        <f>IFERROR(__xludf.DUMMYFUNCTION("""COMPUTED_VALUE"""),"Negative")</f>
        <v>Negative</v>
      </c>
      <c r="H140" s="131" t="str">
        <f>IFERROR(__xludf.DUMMYFUNCTION("""COMPUTED_VALUE"""),"Negative")</f>
        <v>Negative</v>
      </c>
      <c r="I140" s="468">
        <f>IFERROR(__xludf.DUMMYFUNCTION("""COMPUTED_VALUE"""),44334.0)</f>
        <v>44334</v>
      </c>
      <c r="J140" s="470">
        <f>IFERROR(__xludf.DUMMYFUNCTION("""COMPUTED_VALUE"""),0.5499189814814814)</f>
        <v>0.5499189815</v>
      </c>
      <c r="K140" s="16"/>
      <c r="L140" s="8"/>
      <c r="M140" s="69"/>
      <c r="N140" s="69">
        <f>IFERROR(__xludf.DUMMYFUNCTION("""COMPUTED_VALUE"""),1.0)</f>
        <v>1</v>
      </c>
      <c r="O140" s="69" t="str">
        <f t="shared" si="3"/>
        <v/>
      </c>
      <c r="P140" s="471">
        <f>IFERROR(__xludf.DUMMYFUNCTION("""COMPUTED_VALUE"""),0.0)</f>
        <v>0</v>
      </c>
      <c r="Q140" s="274" t="b">
        <f>VLOOKUP($B140,'Run Reconcile'!B$2:O2488,14,FALSE)</f>
        <v>1</v>
      </c>
      <c r="R140" s="472" t="str">
        <f t="array" ref="R140">IF($Q140, INDEX('Run Reconcile'!A$2:A2488,MATCH(B140,'Run Reconcile'!B$2:B2488,0),1),IFERROR(0/0,""))</f>
        <v>RUN-FLMP_2021-05-18_APS-047</v>
      </c>
      <c r="S140" s="473" t="str">
        <f t="shared" ref="S140:T140" si="284">IF(COUNTIF(W$2:W2488, $A140) &gt; 0,TRUE,IFERROR(0/0,""))</f>
        <v/>
      </c>
      <c r="T140" s="473" t="str">
        <f t="shared" si="284"/>
        <v/>
      </c>
      <c r="U140" s="275" t="str">
        <f t="array" ref="U140">IF(ISBLANK($R140), INDEX('Run Reconcile'!A$2:A2488, MATCH($B140, 'Run Reconcile'!B$2:B2488, 0)+Z140, 1), IFERROR(0/0,""))
</f>
        <v/>
      </c>
      <c r="V140" s="474" t="str">
        <f t="shared" si="5"/>
        <v>RUN-FLMP_2021-05-18_APS-047</v>
      </c>
      <c r="Y140" s="89" t="str">
        <f t="shared" si="6"/>
        <v/>
      </c>
      <c r="Z140" s="60" t="str">
        <f t="shared" si="7"/>
        <v/>
      </c>
      <c r="AA140" s="60" t="str">
        <f t="shared" si="8"/>
        <v/>
      </c>
      <c r="AB140" s="60" t="str">
        <f t="shared" si="9"/>
        <v/>
      </c>
      <c r="AC140" s="30" t="str">
        <f t="shared" ref="AC140:AD140" si="285">IF(_xlfn.ISFORMULA(S140),IFERROR(0/0,""),TRUE)</f>
        <v/>
      </c>
      <c r="AD140" s="30" t="str">
        <f t="shared" si="285"/>
        <v/>
      </c>
      <c r="AE140" s="475" t="str">
        <f>IFERROR(__xludf.DUMMYFUNCTION("""COMPUTED_VALUE"""),"FLSP")</f>
        <v>FLSP</v>
      </c>
      <c r="AF140" s="476"/>
      <c r="AG140" s="474" t="s">
        <v>79</v>
      </c>
      <c r="AH140" s="138" t="str">
        <f t="shared" si="11"/>
        <v/>
      </c>
    </row>
    <row r="141">
      <c r="A141" s="103" t="str">
        <f>IFERROR(__xludf.DUMMYFUNCTION("""COMPUTED_VALUE"""),"FLT1572")</f>
        <v>FLT1572</v>
      </c>
      <c r="B141" s="468">
        <f>IFERROR(__xludf.DUMMYFUNCTION("""COMPUTED_VALUE"""),44334.0)</f>
        <v>44334</v>
      </c>
      <c r="C141" s="469">
        <f>IFERROR(__xludf.DUMMYFUNCTION("""COMPUTED_VALUE"""),0.36429398148148145)</f>
        <v>0.3642939815</v>
      </c>
      <c r="D141" s="103" t="str">
        <f>IFERROR(__xludf.DUMMYFUNCTION("""COMPUTED_VALUE"""),"SpFLMP659315")</f>
        <v>SpFLMP659315</v>
      </c>
      <c r="E141" s="103"/>
      <c r="F141" s="103"/>
      <c r="G141" s="103" t="str">
        <f>IFERROR(__xludf.DUMMYFUNCTION("""COMPUTED_VALUE"""),"Negative")</f>
        <v>Negative</v>
      </c>
      <c r="H141" s="131" t="str">
        <f>IFERROR(__xludf.DUMMYFUNCTION("""COMPUTED_VALUE"""),"Negative")</f>
        <v>Negative</v>
      </c>
      <c r="I141" s="468">
        <f>IFERROR(__xludf.DUMMYFUNCTION("""COMPUTED_VALUE"""),44334.0)</f>
        <v>44334</v>
      </c>
      <c r="J141" s="470">
        <f>IFERROR(__xludf.DUMMYFUNCTION("""COMPUTED_VALUE"""),0.5499189814814814)</f>
        <v>0.5499189815</v>
      </c>
      <c r="K141" s="16"/>
      <c r="L141" s="8"/>
      <c r="M141" s="69"/>
      <c r="N141" s="69">
        <f>IFERROR(__xludf.DUMMYFUNCTION("""COMPUTED_VALUE"""),1.0)</f>
        <v>1</v>
      </c>
      <c r="O141" s="69" t="str">
        <f t="shared" si="3"/>
        <v/>
      </c>
      <c r="P141" s="471">
        <f>IFERROR(__xludf.DUMMYFUNCTION("""COMPUTED_VALUE"""),0.0)</f>
        <v>0</v>
      </c>
      <c r="Q141" s="274" t="b">
        <f>VLOOKUP($B141,'Run Reconcile'!B$2:O2488,14,FALSE)</f>
        <v>1</v>
      </c>
      <c r="R141" s="472" t="str">
        <f t="array" ref="R141">IF($Q141, INDEX('Run Reconcile'!A$2:A2488,MATCH(B141,'Run Reconcile'!B$2:B2488,0),1),IFERROR(0/0,""))</f>
        <v>RUN-FLMP_2021-05-18_APS-047</v>
      </c>
      <c r="S141" s="473" t="str">
        <f t="shared" ref="S141:T141" si="286">IF(COUNTIF(W$2:W2488, $A141) &gt; 0,TRUE,IFERROR(0/0,""))</f>
        <v/>
      </c>
      <c r="T141" s="473" t="str">
        <f t="shared" si="286"/>
        <v/>
      </c>
      <c r="U141" s="275" t="str">
        <f t="array" ref="U141">IF(ISBLANK($R141), INDEX('Run Reconcile'!A$2:A2488, MATCH($B141, 'Run Reconcile'!B$2:B2488, 0)+Z141, 1), IFERROR(0/0,""))
</f>
        <v/>
      </c>
      <c r="V141" s="474" t="str">
        <f t="shared" si="5"/>
        <v>RUN-FLMP_2021-05-18_APS-047</v>
      </c>
      <c r="Y141" s="89" t="str">
        <f t="shared" si="6"/>
        <v/>
      </c>
      <c r="Z141" s="60" t="str">
        <f t="shared" si="7"/>
        <v/>
      </c>
      <c r="AA141" s="60" t="str">
        <f t="shared" si="8"/>
        <v/>
      </c>
      <c r="AB141" s="60" t="str">
        <f t="shared" si="9"/>
        <v/>
      </c>
      <c r="AC141" s="30" t="str">
        <f t="shared" ref="AC141:AD141" si="287">IF(_xlfn.ISFORMULA(S141),IFERROR(0/0,""),TRUE)</f>
        <v/>
      </c>
      <c r="AD141" s="30" t="str">
        <f t="shared" si="287"/>
        <v/>
      </c>
      <c r="AE141" s="475" t="str">
        <f>IFERROR(__xludf.DUMMYFUNCTION("""COMPUTED_VALUE"""),"FLSP")</f>
        <v>FLSP</v>
      </c>
      <c r="AF141" s="476"/>
      <c r="AG141" s="474" t="s">
        <v>79</v>
      </c>
      <c r="AH141" s="138" t="str">
        <f t="shared" si="11"/>
        <v/>
      </c>
    </row>
    <row r="142">
      <c r="A142" s="103" t="str">
        <f>IFERROR(__xludf.DUMMYFUNCTION("""COMPUTED_VALUE"""),"FLT1512")</f>
        <v>FLT1512</v>
      </c>
      <c r="B142" s="468">
        <f>IFERROR(__xludf.DUMMYFUNCTION("""COMPUTED_VALUE"""),44334.0)</f>
        <v>44334</v>
      </c>
      <c r="C142" s="469">
        <f>IFERROR(__xludf.DUMMYFUNCTION("""COMPUTED_VALUE"""),0.3648726851851852)</f>
        <v>0.3648726852</v>
      </c>
      <c r="D142" s="103" t="str">
        <f>IFERROR(__xludf.DUMMYFUNCTION("""COMPUTED_VALUE"""),"SpFLMP659315")</f>
        <v>SpFLMP659315</v>
      </c>
      <c r="E142" s="103"/>
      <c r="F142" s="103"/>
      <c r="G142" s="103" t="str">
        <f>IFERROR(__xludf.DUMMYFUNCTION("""COMPUTED_VALUE"""),"Negative")</f>
        <v>Negative</v>
      </c>
      <c r="H142" s="131" t="str">
        <f>IFERROR(__xludf.DUMMYFUNCTION("""COMPUTED_VALUE"""),"Negative")</f>
        <v>Negative</v>
      </c>
      <c r="I142" s="468">
        <f>IFERROR(__xludf.DUMMYFUNCTION("""COMPUTED_VALUE"""),44334.0)</f>
        <v>44334</v>
      </c>
      <c r="J142" s="470">
        <f>IFERROR(__xludf.DUMMYFUNCTION("""COMPUTED_VALUE"""),0.5499189814814814)</f>
        <v>0.5499189815</v>
      </c>
      <c r="K142" s="16"/>
      <c r="L142" s="8"/>
      <c r="M142" s="69"/>
      <c r="N142" s="69">
        <f>IFERROR(__xludf.DUMMYFUNCTION("""COMPUTED_VALUE"""),1.0)</f>
        <v>1</v>
      </c>
      <c r="O142" s="69" t="str">
        <f t="shared" si="3"/>
        <v/>
      </c>
      <c r="P142" s="471">
        <f>IFERROR(__xludf.DUMMYFUNCTION("""COMPUTED_VALUE"""),0.0)</f>
        <v>0</v>
      </c>
      <c r="Q142" s="274" t="b">
        <f>VLOOKUP($B142,'Run Reconcile'!B$2:O2488,14,FALSE)</f>
        <v>1</v>
      </c>
      <c r="R142" s="472" t="str">
        <f t="array" ref="R142">IF($Q142, INDEX('Run Reconcile'!A$2:A2488,MATCH(B142,'Run Reconcile'!B$2:B2488,0),1),IFERROR(0/0,""))</f>
        <v>RUN-FLMP_2021-05-18_APS-047</v>
      </c>
      <c r="S142" s="473" t="str">
        <f t="shared" ref="S142:T142" si="288">IF(COUNTIF(W$2:W2488, $A142) &gt; 0,TRUE,IFERROR(0/0,""))</f>
        <v/>
      </c>
      <c r="T142" s="473" t="str">
        <f t="shared" si="288"/>
        <v/>
      </c>
      <c r="U142" s="275" t="str">
        <f t="array" ref="U142">IF(ISBLANK($R142), INDEX('Run Reconcile'!A$2:A2488, MATCH($B142, 'Run Reconcile'!B$2:B2488, 0)+Z142, 1), IFERROR(0/0,""))
</f>
        <v/>
      </c>
      <c r="V142" s="474" t="str">
        <f t="shared" si="5"/>
        <v>RUN-FLMP_2021-05-18_APS-047</v>
      </c>
      <c r="Y142" s="89" t="str">
        <f t="shared" si="6"/>
        <v/>
      </c>
      <c r="Z142" s="60" t="str">
        <f t="shared" si="7"/>
        <v/>
      </c>
      <c r="AA142" s="60" t="str">
        <f t="shared" si="8"/>
        <v/>
      </c>
      <c r="AB142" s="60" t="str">
        <f t="shared" si="9"/>
        <v/>
      </c>
      <c r="AC142" s="30" t="str">
        <f t="shared" ref="AC142:AD142" si="289">IF(_xlfn.ISFORMULA(S142),IFERROR(0/0,""),TRUE)</f>
        <v/>
      </c>
      <c r="AD142" s="30" t="str">
        <f t="shared" si="289"/>
        <v/>
      </c>
      <c r="AE142" s="475" t="str">
        <f>IFERROR(__xludf.DUMMYFUNCTION("""COMPUTED_VALUE"""),"FLSP")</f>
        <v>FLSP</v>
      </c>
      <c r="AF142" s="476"/>
      <c r="AG142" s="474" t="s">
        <v>79</v>
      </c>
      <c r="AH142" s="138" t="str">
        <f t="shared" si="11"/>
        <v/>
      </c>
    </row>
    <row r="143">
      <c r="A143" s="103" t="str">
        <f>IFERROR(__xludf.DUMMYFUNCTION("""COMPUTED_VALUE"""),"FLT176")</f>
        <v>FLT176</v>
      </c>
      <c r="B143" s="468">
        <f>IFERROR(__xludf.DUMMYFUNCTION("""COMPUTED_VALUE"""),44334.0)</f>
        <v>44334</v>
      </c>
      <c r="C143" s="469">
        <f>IFERROR(__xludf.DUMMYFUNCTION("""COMPUTED_VALUE"""),0.36550925925925926)</f>
        <v>0.3655092593</v>
      </c>
      <c r="D143" s="103" t="str">
        <f>IFERROR(__xludf.DUMMYFUNCTION("""COMPUTED_VALUE"""),"SpFLMP659315")</f>
        <v>SpFLMP659315</v>
      </c>
      <c r="E143" s="103"/>
      <c r="F143" s="103"/>
      <c r="G143" s="103" t="str">
        <f>IFERROR(__xludf.DUMMYFUNCTION("""COMPUTED_VALUE"""),"Negative")</f>
        <v>Negative</v>
      </c>
      <c r="H143" s="131" t="str">
        <f>IFERROR(__xludf.DUMMYFUNCTION("""COMPUTED_VALUE"""),"Negative")</f>
        <v>Negative</v>
      </c>
      <c r="I143" s="468">
        <f>IFERROR(__xludf.DUMMYFUNCTION("""COMPUTED_VALUE"""),44334.0)</f>
        <v>44334</v>
      </c>
      <c r="J143" s="470">
        <f>IFERROR(__xludf.DUMMYFUNCTION("""COMPUTED_VALUE"""),0.5499189814814814)</f>
        <v>0.5499189815</v>
      </c>
      <c r="K143" s="16"/>
      <c r="L143" s="8" t="str">
        <f>IFERROR(__xludf.DUMMYFUNCTION("""COMPUTED_VALUE"""),"name email fix")</f>
        <v>name email fix</v>
      </c>
      <c r="M143" s="69"/>
      <c r="N143" s="69">
        <f>IFERROR(__xludf.DUMMYFUNCTION("""COMPUTED_VALUE"""),1.0)</f>
        <v>1</v>
      </c>
      <c r="O143" s="69" t="str">
        <f t="shared" si="3"/>
        <v/>
      </c>
      <c r="P143" s="471">
        <f>IFERROR(__xludf.DUMMYFUNCTION("""COMPUTED_VALUE"""),0.0)</f>
        <v>0</v>
      </c>
      <c r="Q143" s="274" t="b">
        <f>VLOOKUP($B143,'Run Reconcile'!B$2:O2488,14,FALSE)</f>
        <v>1</v>
      </c>
      <c r="R143" s="472" t="str">
        <f t="array" ref="R143">IF($Q143, INDEX('Run Reconcile'!A$2:A2488,MATCH(B143,'Run Reconcile'!B$2:B2488,0),1),IFERROR(0/0,""))</f>
        <v>RUN-FLMP_2021-05-18_APS-047</v>
      </c>
      <c r="S143" s="473" t="str">
        <f t="shared" ref="S143:T143" si="290">IF(COUNTIF(W$2:W2488, $A143) &gt; 0,TRUE,IFERROR(0/0,""))</f>
        <v/>
      </c>
      <c r="T143" s="473" t="str">
        <f t="shared" si="290"/>
        <v/>
      </c>
      <c r="U143" s="275" t="str">
        <f t="array" ref="U143">IF(ISBLANK($R143), INDEX('Run Reconcile'!A$2:A2488, MATCH($B143, 'Run Reconcile'!B$2:B2488, 0)+Z143, 1), IFERROR(0/0,""))
</f>
        <v/>
      </c>
      <c r="V143" s="474" t="str">
        <f t="shared" si="5"/>
        <v>RUN-FLMP_2021-05-18_APS-047</v>
      </c>
      <c r="Y143" s="89" t="str">
        <f t="shared" si="6"/>
        <v/>
      </c>
      <c r="Z143" s="60" t="str">
        <f t="shared" si="7"/>
        <v/>
      </c>
      <c r="AA143" s="60" t="str">
        <f t="shared" si="8"/>
        <v/>
      </c>
      <c r="AB143" s="60" t="str">
        <f t="shared" si="9"/>
        <v/>
      </c>
      <c r="AC143" s="30" t="str">
        <f t="shared" ref="AC143:AD143" si="291">IF(_xlfn.ISFORMULA(S143),IFERROR(0/0,""),TRUE)</f>
        <v/>
      </c>
      <c r="AD143" s="30" t="str">
        <f t="shared" si="291"/>
        <v/>
      </c>
      <c r="AE143" s="475" t="str">
        <f>IFERROR(__xludf.DUMMYFUNCTION("""COMPUTED_VALUE"""),"FLSP")</f>
        <v>FLSP</v>
      </c>
      <c r="AF143" s="476"/>
      <c r="AG143" s="474" t="s">
        <v>79</v>
      </c>
      <c r="AH143" s="138" t="str">
        <f t="shared" si="11"/>
        <v/>
      </c>
    </row>
    <row r="144">
      <c r="A144" s="103" t="str">
        <f>IFERROR(__xludf.DUMMYFUNCTION("""COMPUTED_VALUE"""),"FLT1458")</f>
        <v>FLT1458</v>
      </c>
      <c r="B144" s="468">
        <f>IFERROR(__xludf.DUMMYFUNCTION("""COMPUTED_VALUE"""),44334.0)</f>
        <v>44334</v>
      </c>
      <c r="C144" s="469">
        <f>IFERROR(__xludf.DUMMYFUNCTION("""COMPUTED_VALUE"""),0.4017824074074074)</f>
        <v>0.4017824074</v>
      </c>
      <c r="D144" s="103" t="str">
        <f>IFERROR(__xludf.DUMMYFUNCTION("""COMPUTED_VALUE"""),"SpFLMP294811")</f>
        <v>SpFLMP294811</v>
      </c>
      <c r="E144" s="103"/>
      <c r="F144" s="103"/>
      <c r="G144" s="103" t="str">
        <f>IFERROR(__xludf.DUMMYFUNCTION("""COMPUTED_VALUE"""),"Negative")</f>
        <v>Negative</v>
      </c>
      <c r="H144" s="131" t="str">
        <f>IFERROR(__xludf.DUMMYFUNCTION("""COMPUTED_VALUE"""),"Negative")</f>
        <v>Negative</v>
      </c>
      <c r="I144" s="468">
        <f>IFERROR(__xludf.DUMMYFUNCTION("""COMPUTED_VALUE"""),44334.0)</f>
        <v>44334</v>
      </c>
      <c r="J144" s="470">
        <f>IFERROR(__xludf.DUMMYFUNCTION("""COMPUTED_VALUE"""),0.5499189814814814)</f>
        <v>0.5499189815</v>
      </c>
      <c r="K144" s="16"/>
      <c r="L144" s="8"/>
      <c r="M144" s="69"/>
      <c r="N144" s="69">
        <f>IFERROR(__xludf.DUMMYFUNCTION("""COMPUTED_VALUE"""),1.0)</f>
        <v>1</v>
      </c>
      <c r="O144" s="69" t="str">
        <f t="shared" si="3"/>
        <v/>
      </c>
      <c r="P144" s="471">
        <f>IFERROR(__xludf.DUMMYFUNCTION("""COMPUTED_VALUE"""),0.0)</f>
        <v>0</v>
      </c>
      <c r="Q144" s="274" t="b">
        <f>VLOOKUP($B144,'Run Reconcile'!B$2:O2488,14,FALSE)</f>
        <v>1</v>
      </c>
      <c r="R144" s="472" t="str">
        <f t="array" ref="R144">IF($Q144, INDEX('Run Reconcile'!A$2:A2488,MATCH(B144,'Run Reconcile'!B$2:B2488,0),1),IFERROR(0/0,""))</f>
        <v>RUN-FLMP_2021-05-18_APS-047</v>
      </c>
      <c r="S144" s="473" t="str">
        <f t="shared" ref="S144:T144" si="292">IF(COUNTIF(W$2:W2488, $A144) &gt; 0,TRUE,IFERROR(0/0,""))</f>
        <v/>
      </c>
      <c r="T144" s="473" t="str">
        <f t="shared" si="292"/>
        <v/>
      </c>
      <c r="U144" s="275" t="str">
        <f t="array" ref="U144">IF(ISBLANK($R144), INDEX('Run Reconcile'!A$2:A2488, MATCH($B144, 'Run Reconcile'!B$2:B2488, 0)+Z144, 1), IFERROR(0/0,""))
</f>
        <v/>
      </c>
      <c r="V144" s="474" t="str">
        <f t="shared" si="5"/>
        <v>RUN-FLMP_2021-05-18_APS-047</v>
      </c>
      <c r="Y144" s="89" t="str">
        <f t="shared" si="6"/>
        <v/>
      </c>
      <c r="Z144" s="60" t="str">
        <f t="shared" si="7"/>
        <v/>
      </c>
      <c r="AA144" s="60" t="str">
        <f t="shared" si="8"/>
        <v/>
      </c>
      <c r="AB144" s="60" t="str">
        <f t="shared" si="9"/>
        <v/>
      </c>
      <c r="AC144" s="30" t="str">
        <f t="shared" ref="AC144:AD144" si="293">IF(_xlfn.ISFORMULA(S144),IFERROR(0/0,""),TRUE)</f>
        <v/>
      </c>
      <c r="AD144" s="30" t="str">
        <f t="shared" si="293"/>
        <v/>
      </c>
      <c r="AE144" s="475" t="str">
        <f>IFERROR(__xludf.DUMMYFUNCTION("""COMPUTED_VALUE"""),"FLSP")</f>
        <v>FLSP</v>
      </c>
      <c r="AF144" s="476"/>
      <c r="AG144" s="474" t="s">
        <v>79</v>
      </c>
      <c r="AH144" s="138" t="str">
        <f t="shared" si="11"/>
        <v/>
      </c>
    </row>
    <row r="145">
      <c r="A145" s="103" t="str">
        <f>IFERROR(__xludf.DUMMYFUNCTION("""COMPUTED_VALUE"""),"FLT1594")</f>
        <v>FLT1594</v>
      </c>
      <c r="B145" s="468">
        <f>IFERROR(__xludf.DUMMYFUNCTION("""COMPUTED_VALUE"""),44364.0)</f>
        <v>44364</v>
      </c>
      <c r="C145" s="469">
        <f>IFERROR(__xludf.DUMMYFUNCTION("""COMPUTED_VALUE"""),0.17347222222222222)</f>
        <v>0.1734722222</v>
      </c>
      <c r="D145" s="103" t="str">
        <f>IFERROR(__xludf.DUMMYFUNCTION("""COMPUTED_VALUE"""),"SpFLMP255929")</f>
        <v>SpFLMP255929</v>
      </c>
      <c r="E145" s="103"/>
      <c r="F145" s="103"/>
      <c r="G145" s="103" t="str">
        <f>IFERROR(__xludf.DUMMYFUNCTION("""COMPUTED_VALUE"""),"Negative")</f>
        <v>Negative</v>
      </c>
      <c r="H145" s="131" t="str">
        <f>IFERROR(__xludf.DUMMYFUNCTION("""COMPUTED_VALUE"""),"Negative")</f>
        <v>Negative</v>
      </c>
      <c r="I145" s="468">
        <f>IFERROR(__xludf.DUMMYFUNCTION("""COMPUTED_VALUE"""),44364.0)</f>
        <v>44364</v>
      </c>
      <c r="J145" s="470">
        <f>IFERROR(__xludf.DUMMYFUNCTION("""COMPUTED_VALUE"""),0.3065162037037037)</f>
        <v>0.3065162037</v>
      </c>
      <c r="K145" s="16"/>
      <c r="L145" s="8" t="str">
        <f>IFERROR(__xludf.DUMMYFUNCTION("""COMPUTED_VALUE"""),"name email fix")</f>
        <v>name email fix</v>
      </c>
      <c r="M145" s="69"/>
      <c r="N145" s="69">
        <f>IFERROR(__xludf.DUMMYFUNCTION("""COMPUTED_VALUE"""),1.0)</f>
        <v>1</v>
      </c>
      <c r="O145" s="69" t="b">
        <f t="shared" si="3"/>
        <v>1</v>
      </c>
      <c r="P145" s="471">
        <f>IFERROR(__xludf.DUMMYFUNCTION("""COMPUTED_VALUE"""),0.0)</f>
        <v>0</v>
      </c>
      <c r="Q145" s="274" t="b">
        <f>VLOOKUP($B145,'Run Reconcile'!B$2:O2488,14,FALSE)</f>
        <v>1</v>
      </c>
      <c r="R145" s="472" t="str">
        <f t="array" ref="R145">IF($Q145, INDEX('Run Reconcile'!A$2:A2488,MATCH(B145,'Run Reconcile'!B$2:B2488,0),1),IFERROR(0/0,""))</f>
        <v>RUN-FLMP_2021-06-17_APS-048</v>
      </c>
      <c r="S145" s="473" t="str">
        <f t="shared" ref="S145:T145" si="294">IF(COUNTIF(W$2:W2488, $A145) &gt; 0,TRUE,IFERROR(0/0,""))</f>
        <v/>
      </c>
      <c r="T145" s="473" t="str">
        <f t="shared" si="294"/>
        <v/>
      </c>
      <c r="U145" s="275" t="str">
        <f t="array" ref="U145">IF(ISBLANK($R145), INDEX('Run Reconcile'!A$2:A2488, MATCH($B145, 'Run Reconcile'!B$2:B2488, 0)+Z145, 1), IFERROR(0/0,""))
</f>
        <v/>
      </c>
      <c r="V145" s="474" t="str">
        <f t="shared" si="5"/>
        <v>RUN-FLMP_2021-06-17_APS-048</v>
      </c>
      <c r="Y145" s="89" t="str">
        <f t="shared" si="6"/>
        <v/>
      </c>
      <c r="Z145" s="60" t="str">
        <f t="shared" si="7"/>
        <v/>
      </c>
      <c r="AA145" s="60" t="str">
        <f t="shared" si="8"/>
        <v/>
      </c>
      <c r="AB145" s="60" t="str">
        <f t="shared" si="9"/>
        <v/>
      </c>
      <c r="AC145" s="30" t="str">
        <f t="shared" ref="AC145:AD145" si="295">IF(_xlfn.ISFORMULA(S145),IFERROR(0/0,""),TRUE)</f>
        <v/>
      </c>
      <c r="AD145" s="30" t="str">
        <f t="shared" si="295"/>
        <v/>
      </c>
      <c r="AE145" s="475" t="str">
        <f>IFERROR(__xludf.DUMMYFUNCTION("""COMPUTED_VALUE"""),"FLSP")</f>
        <v>FLSP</v>
      </c>
      <c r="AF145" s="476"/>
      <c r="AG145" s="474" t="s">
        <v>80</v>
      </c>
      <c r="AH145" s="138" t="str">
        <f t="shared" si="11"/>
        <v/>
      </c>
    </row>
    <row r="146">
      <c r="A146" s="103" t="str">
        <f>IFERROR(__xludf.DUMMYFUNCTION("""COMPUTED_VALUE"""),"FLT1123")</f>
        <v>FLT1123</v>
      </c>
      <c r="B146" s="468">
        <f>IFERROR(__xludf.DUMMYFUNCTION("""COMPUTED_VALUE"""),44364.0)</f>
        <v>44364</v>
      </c>
      <c r="C146" s="469">
        <f>IFERROR(__xludf.DUMMYFUNCTION("""COMPUTED_VALUE"""),0.18686342592592592)</f>
        <v>0.1868634259</v>
      </c>
      <c r="D146" s="103" t="str">
        <f>IFERROR(__xludf.DUMMYFUNCTION("""COMPUTED_VALUE"""),"SpFLMP255929")</f>
        <v>SpFLMP255929</v>
      </c>
      <c r="E146" s="103"/>
      <c r="F146" s="103"/>
      <c r="G146" s="103" t="str">
        <f>IFERROR(__xludf.DUMMYFUNCTION("""COMPUTED_VALUE"""),"Negative")</f>
        <v>Negative</v>
      </c>
      <c r="H146" s="131" t="str">
        <f>IFERROR(__xludf.DUMMYFUNCTION("""COMPUTED_VALUE"""),"Negative")</f>
        <v>Negative</v>
      </c>
      <c r="I146" s="468">
        <f>IFERROR(__xludf.DUMMYFUNCTION("""COMPUTED_VALUE"""),44364.0)</f>
        <v>44364</v>
      </c>
      <c r="J146" s="470">
        <f>IFERROR(__xludf.DUMMYFUNCTION("""COMPUTED_VALUE"""),0.3065162037037037)</f>
        <v>0.3065162037</v>
      </c>
      <c r="K146" s="16"/>
      <c r="L146" s="8"/>
      <c r="M146" s="69"/>
      <c r="N146" s="69">
        <f>IFERROR(__xludf.DUMMYFUNCTION("""COMPUTED_VALUE"""),1.0)</f>
        <v>1</v>
      </c>
      <c r="O146" s="69" t="str">
        <f t="shared" si="3"/>
        <v/>
      </c>
      <c r="P146" s="471">
        <f>IFERROR(__xludf.DUMMYFUNCTION("""COMPUTED_VALUE"""),0.0)</f>
        <v>0</v>
      </c>
      <c r="Q146" s="274" t="b">
        <f>VLOOKUP($B146,'Run Reconcile'!B$2:O2488,14,FALSE)</f>
        <v>1</v>
      </c>
      <c r="R146" s="472" t="str">
        <f t="array" ref="R146">IF($Q146, INDEX('Run Reconcile'!A$2:A2488,MATCH(B146,'Run Reconcile'!B$2:B2488,0),1),IFERROR(0/0,""))</f>
        <v>RUN-FLMP_2021-06-17_APS-048</v>
      </c>
      <c r="S146" s="473" t="str">
        <f t="shared" ref="S146:T146" si="296">IF(COUNTIF(W$2:W2488, $A146) &gt; 0,TRUE,IFERROR(0/0,""))</f>
        <v/>
      </c>
      <c r="T146" s="473" t="str">
        <f t="shared" si="296"/>
        <v/>
      </c>
      <c r="U146" s="275" t="str">
        <f t="array" ref="U146">IF(ISBLANK($R146), INDEX('Run Reconcile'!A$2:A2488, MATCH($B146, 'Run Reconcile'!B$2:B2488, 0)+Z146, 1), IFERROR(0/0,""))
</f>
        <v/>
      </c>
      <c r="V146" s="474" t="str">
        <f t="shared" si="5"/>
        <v>RUN-FLMP_2021-06-17_APS-048</v>
      </c>
      <c r="Y146" s="89" t="str">
        <f t="shared" si="6"/>
        <v/>
      </c>
      <c r="Z146" s="60" t="str">
        <f t="shared" si="7"/>
        <v/>
      </c>
      <c r="AA146" s="60" t="str">
        <f t="shared" si="8"/>
        <v/>
      </c>
      <c r="AB146" s="60" t="str">
        <f t="shared" si="9"/>
        <v/>
      </c>
      <c r="AC146" s="30" t="str">
        <f t="shared" ref="AC146:AD146" si="297">IF(_xlfn.ISFORMULA(S146),IFERROR(0/0,""),TRUE)</f>
        <v/>
      </c>
      <c r="AD146" s="30" t="str">
        <f t="shared" si="297"/>
        <v/>
      </c>
      <c r="AE146" s="475" t="str">
        <f>IFERROR(__xludf.DUMMYFUNCTION("""COMPUTED_VALUE"""),"FLSP")</f>
        <v>FLSP</v>
      </c>
      <c r="AF146" s="476"/>
      <c r="AG146" s="474" t="s">
        <v>80</v>
      </c>
      <c r="AH146" s="138" t="str">
        <f t="shared" si="11"/>
        <v/>
      </c>
    </row>
    <row r="147">
      <c r="A147" s="103" t="str">
        <f>IFERROR(__xludf.DUMMYFUNCTION("""COMPUTED_VALUE"""),"FLM294")</f>
        <v>FLM294</v>
      </c>
      <c r="B147" s="468">
        <f>IFERROR(__xludf.DUMMYFUNCTION("""COMPUTED_VALUE"""),44442.0)</f>
        <v>44442</v>
      </c>
      <c r="C147" s="469">
        <f>IFERROR(__xludf.DUMMYFUNCTION("""COMPUTED_VALUE"""),0.3736574074074074)</f>
        <v>0.3736574074</v>
      </c>
      <c r="D147" s="103" t="str">
        <f>IFERROR(__xludf.DUMMYFUNCTION("""COMPUTED_VALUE"""),"SpFLMP659315")</f>
        <v>SpFLMP659315</v>
      </c>
      <c r="E147" s="103"/>
      <c r="F147" s="103"/>
      <c r="G147" s="103" t="str">
        <f>IFERROR(__xludf.DUMMYFUNCTION("""COMPUTED_VALUE"""),"Negative")</f>
        <v>Negative</v>
      </c>
      <c r="H147" s="131" t="str">
        <f>IFERROR(__xludf.DUMMYFUNCTION("""COMPUTED_VALUE"""),"Negative")</f>
        <v>Negative</v>
      </c>
      <c r="I147" s="468">
        <f>IFERROR(__xludf.DUMMYFUNCTION("""COMPUTED_VALUE"""),44449.0)</f>
        <v>44449</v>
      </c>
      <c r="J147" s="470">
        <f>IFERROR(__xludf.DUMMYFUNCTION("""COMPUTED_VALUE"""),0.37319444444444444)</f>
        <v>0.3731944444</v>
      </c>
      <c r="K147" s="16"/>
      <c r="L147" s="8"/>
      <c r="M147" s="69"/>
      <c r="N147" s="69">
        <f>IFERROR(__xludf.DUMMYFUNCTION("""COMPUTED_VALUE"""),2.0)</f>
        <v>2</v>
      </c>
      <c r="O147" s="69" t="b">
        <f t="shared" si="3"/>
        <v>1</v>
      </c>
      <c r="P147" s="471">
        <f>IFERROR(__xludf.DUMMYFUNCTION("""COMPUTED_VALUE"""),7.0)</f>
        <v>7</v>
      </c>
      <c r="Q147" s="274" t="b">
        <f>VLOOKUP($B147,'Run Reconcile'!B$2:O2488,14,FALSE)</f>
        <v>1</v>
      </c>
      <c r="R147" s="472" t="str">
        <f t="array" ref="R147">IF($Q147, INDEX('Run Reconcile'!A$2:A2488,MATCH(B147,'Run Reconcile'!B$2:B2488,0),1),IFERROR(0/0,""))</f>
        <v>RUN-FLMP_2021-09-03_APS-049</v>
      </c>
      <c r="S147" s="473" t="str">
        <f t="shared" ref="S147:T147" si="298">IF(COUNTIF(W$2:W2488, $A147) &gt; 0,TRUE,IFERROR(0/0,""))</f>
        <v/>
      </c>
      <c r="T147" s="473" t="str">
        <f t="shared" si="298"/>
        <v/>
      </c>
      <c r="U147" s="275" t="str">
        <f t="array" ref="U147">IF(ISBLANK($R147), INDEX('Run Reconcile'!A$2:A2488, MATCH($B147, 'Run Reconcile'!B$2:B2488, 0)+Z147, 1), IFERROR(0/0,""))
</f>
        <v/>
      </c>
      <c r="V147" s="474" t="str">
        <f t="shared" si="5"/>
        <v>RUN-FLMP_2021-09-03_APS-049</v>
      </c>
      <c r="Y147" s="89" t="str">
        <f t="shared" si="6"/>
        <v/>
      </c>
      <c r="Z147" s="60" t="str">
        <f t="shared" si="7"/>
        <v/>
      </c>
      <c r="AA147" s="60" t="str">
        <f t="shared" si="8"/>
        <v/>
      </c>
      <c r="AB147" s="60" t="str">
        <f t="shared" si="9"/>
        <v/>
      </c>
      <c r="AC147" s="30" t="str">
        <f t="shared" ref="AC147:AD147" si="299">IF(_xlfn.ISFORMULA(S147),IFERROR(0/0,""),TRUE)</f>
        <v/>
      </c>
      <c r="AD147" s="30" t="str">
        <f t="shared" si="299"/>
        <v/>
      </c>
      <c r="AE147" s="475" t="str">
        <f>IFERROR(__xludf.DUMMYFUNCTION("""COMPUTED_VALUE"""),"FLSP")</f>
        <v>FLSP</v>
      </c>
      <c r="AF147" s="476"/>
      <c r="AG147" s="474" t="s">
        <v>81</v>
      </c>
      <c r="AH147" s="138" t="str">
        <f t="shared" si="11"/>
        <v/>
      </c>
    </row>
    <row r="148">
      <c r="A148" s="103" t="str">
        <f>IFERROR(__xludf.DUMMYFUNCTION("""COMPUTED_VALUE"""),"FLM255")</f>
        <v>FLM255</v>
      </c>
      <c r="B148" s="468">
        <f>IFERROR(__xludf.DUMMYFUNCTION("""COMPUTED_VALUE"""),44442.0)</f>
        <v>44442</v>
      </c>
      <c r="C148" s="469">
        <f>IFERROR(__xludf.DUMMYFUNCTION("""COMPUTED_VALUE"""),0.3741319444444444)</f>
        <v>0.3741319444</v>
      </c>
      <c r="D148" s="103" t="str">
        <f>IFERROR(__xludf.DUMMYFUNCTION("""COMPUTED_VALUE"""),"SpFLMP659315")</f>
        <v>SpFLMP659315</v>
      </c>
      <c r="E148" s="103"/>
      <c r="F148" s="103"/>
      <c r="G148" s="103" t="str">
        <f>IFERROR(__xludf.DUMMYFUNCTION("""COMPUTED_VALUE"""),"Negative")</f>
        <v>Negative</v>
      </c>
      <c r="H148" s="131" t="str">
        <f>IFERROR(__xludf.DUMMYFUNCTION("""COMPUTED_VALUE"""),"Negative")</f>
        <v>Negative</v>
      </c>
      <c r="I148" s="468">
        <f>IFERROR(__xludf.DUMMYFUNCTION("""COMPUTED_VALUE"""),44449.0)</f>
        <v>44449</v>
      </c>
      <c r="J148" s="470">
        <f>IFERROR(__xludf.DUMMYFUNCTION("""COMPUTED_VALUE"""),0.37319444444444444)</f>
        <v>0.3731944444</v>
      </c>
      <c r="K148" s="16"/>
      <c r="L148" s="8" t="str">
        <f>IFERROR(__xludf.DUMMYFUNCTION("""COMPUTED_VALUE"""),"name email fix")</f>
        <v>name email fix</v>
      </c>
      <c r="M148" s="69"/>
      <c r="N148" s="69">
        <f>IFERROR(__xludf.DUMMYFUNCTION("""COMPUTED_VALUE"""),1.0)</f>
        <v>1</v>
      </c>
      <c r="O148" s="69" t="str">
        <f t="shared" si="3"/>
        <v/>
      </c>
      <c r="P148" s="471">
        <f>IFERROR(__xludf.DUMMYFUNCTION("""COMPUTED_VALUE"""),7.0)</f>
        <v>7</v>
      </c>
      <c r="Q148" s="274" t="b">
        <f>VLOOKUP($B148,'Run Reconcile'!B$2:O2488,14,FALSE)</f>
        <v>1</v>
      </c>
      <c r="R148" s="472" t="str">
        <f t="array" ref="R148">IF($Q148, INDEX('Run Reconcile'!A$2:A2488,MATCH(B148,'Run Reconcile'!B$2:B2488,0),1),IFERROR(0/0,""))</f>
        <v>RUN-FLMP_2021-09-03_APS-049</v>
      </c>
      <c r="S148" s="473" t="str">
        <f t="shared" ref="S148:T148" si="300">IF(COUNTIF(W$2:W2488, $A148) &gt; 0,TRUE,IFERROR(0/0,""))</f>
        <v/>
      </c>
      <c r="T148" s="473" t="str">
        <f t="shared" si="300"/>
        <v/>
      </c>
      <c r="U148" s="275" t="str">
        <f t="array" ref="U148">IF(ISBLANK($R148), INDEX('Run Reconcile'!A$2:A2488, MATCH($B148, 'Run Reconcile'!B$2:B2488, 0)+Z148, 1), IFERROR(0/0,""))
</f>
        <v/>
      </c>
      <c r="V148" s="474" t="str">
        <f t="shared" si="5"/>
        <v>RUN-FLMP_2021-09-03_APS-049</v>
      </c>
      <c r="Y148" s="89" t="str">
        <f t="shared" si="6"/>
        <v/>
      </c>
      <c r="Z148" s="60" t="str">
        <f t="shared" si="7"/>
        <v/>
      </c>
      <c r="AA148" s="60" t="str">
        <f t="shared" si="8"/>
        <v/>
      </c>
      <c r="AB148" s="60" t="str">
        <f t="shared" si="9"/>
        <v/>
      </c>
      <c r="AC148" s="30" t="str">
        <f t="shared" ref="AC148:AD148" si="301">IF(_xlfn.ISFORMULA(S148),IFERROR(0/0,""),TRUE)</f>
        <v/>
      </c>
      <c r="AD148" s="30" t="str">
        <f t="shared" si="301"/>
        <v/>
      </c>
      <c r="AE148" s="475" t="str">
        <f>IFERROR(__xludf.DUMMYFUNCTION("""COMPUTED_VALUE"""),"FLSP")</f>
        <v>FLSP</v>
      </c>
      <c r="AF148" s="476"/>
      <c r="AG148" s="474" t="s">
        <v>81</v>
      </c>
      <c r="AH148" s="138" t="str">
        <f t="shared" si="11"/>
        <v/>
      </c>
    </row>
    <row r="149">
      <c r="A149" s="103" t="str">
        <f>IFERROR(__xludf.DUMMYFUNCTION("""COMPUTED_VALUE"""),"FLM291")</f>
        <v>FLM291</v>
      </c>
      <c r="B149" s="468">
        <f>IFERROR(__xludf.DUMMYFUNCTION("""COMPUTED_VALUE"""),44442.0)</f>
        <v>44442</v>
      </c>
      <c r="C149" s="469">
        <f>IFERROR(__xludf.DUMMYFUNCTION("""COMPUTED_VALUE"""),0.3783680555555556)</f>
        <v>0.3783680556</v>
      </c>
      <c r="D149" s="103" t="str">
        <f>IFERROR(__xludf.DUMMYFUNCTION("""COMPUTED_VALUE"""),"SpFLMP659315")</f>
        <v>SpFLMP659315</v>
      </c>
      <c r="E149" s="103"/>
      <c r="F149" s="103"/>
      <c r="G149" s="103" t="str">
        <f>IFERROR(__xludf.DUMMYFUNCTION("""COMPUTED_VALUE"""),"Negative")</f>
        <v>Negative</v>
      </c>
      <c r="H149" s="131" t="str">
        <f>IFERROR(__xludf.DUMMYFUNCTION("""COMPUTED_VALUE"""),"Negative")</f>
        <v>Negative</v>
      </c>
      <c r="I149" s="468">
        <f>IFERROR(__xludf.DUMMYFUNCTION("""COMPUTED_VALUE"""),44449.0)</f>
        <v>44449</v>
      </c>
      <c r="J149" s="470">
        <f>IFERROR(__xludf.DUMMYFUNCTION("""COMPUTED_VALUE"""),0.37319444444444444)</f>
        <v>0.3731944444</v>
      </c>
      <c r="K149" s="16"/>
      <c r="L149" s="8"/>
      <c r="M149" s="69"/>
      <c r="N149" s="69">
        <f>IFERROR(__xludf.DUMMYFUNCTION("""COMPUTED_VALUE"""),2.0)</f>
        <v>2</v>
      </c>
      <c r="O149" s="69" t="str">
        <f t="shared" si="3"/>
        <v/>
      </c>
      <c r="P149" s="471">
        <f>IFERROR(__xludf.DUMMYFUNCTION("""COMPUTED_VALUE"""),7.0)</f>
        <v>7</v>
      </c>
      <c r="Q149" s="274" t="b">
        <f>VLOOKUP($B149,'Run Reconcile'!B$2:O2488,14,FALSE)</f>
        <v>1</v>
      </c>
      <c r="R149" s="472" t="str">
        <f t="array" ref="R149">IF($Q149, INDEX('Run Reconcile'!A$2:A2488,MATCH(B149,'Run Reconcile'!B$2:B2488,0),1),IFERROR(0/0,""))</f>
        <v>RUN-FLMP_2021-09-03_APS-049</v>
      </c>
      <c r="S149" s="473" t="str">
        <f t="shared" ref="S149:T149" si="302">IF(COUNTIF(W$2:W2488, $A149) &gt; 0,TRUE,IFERROR(0/0,""))</f>
        <v/>
      </c>
      <c r="T149" s="473" t="str">
        <f t="shared" si="302"/>
        <v/>
      </c>
      <c r="U149" s="275" t="str">
        <f t="array" ref="U149">IF(ISBLANK($R149), INDEX('Run Reconcile'!A$2:A2488, MATCH($B149, 'Run Reconcile'!B$2:B2488, 0)+Z149, 1), IFERROR(0/0,""))
</f>
        <v/>
      </c>
      <c r="V149" s="474" t="str">
        <f t="shared" si="5"/>
        <v>RUN-FLMP_2021-09-03_APS-049</v>
      </c>
      <c r="Y149" s="89" t="str">
        <f t="shared" si="6"/>
        <v/>
      </c>
      <c r="Z149" s="60" t="str">
        <f t="shared" si="7"/>
        <v/>
      </c>
      <c r="AA149" s="60" t="str">
        <f t="shared" si="8"/>
        <v/>
      </c>
      <c r="AB149" s="60" t="str">
        <f t="shared" si="9"/>
        <v/>
      </c>
      <c r="AC149" s="30" t="str">
        <f t="shared" ref="AC149:AD149" si="303">IF(_xlfn.ISFORMULA(S149),IFERROR(0/0,""),TRUE)</f>
        <v/>
      </c>
      <c r="AD149" s="30" t="str">
        <f t="shared" si="303"/>
        <v/>
      </c>
      <c r="AE149" s="475" t="str">
        <f>IFERROR(__xludf.DUMMYFUNCTION("""COMPUTED_VALUE"""),"FLSP")</f>
        <v>FLSP</v>
      </c>
      <c r="AF149" s="476"/>
      <c r="AG149" s="474" t="s">
        <v>81</v>
      </c>
      <c r="AH149" s="138" t="str">
        <f t="shared" si="11"/>
        <v/>
      </c>
    </row>
    <row r="150">
      <c r="A150" s="103" t="str">
        <f>IFERROR(__xludf.DUMMYFUNCTION("""COMPUTED_VALUE"""),"FLM290")</f>
        <v>FLM290</v>
      </c>
      <c r="B150" s="468">
        <f>IFERROR(__xludf.DUMMYFUNCTION("""COMPUTED_VALUE"""),44442.0)</f>
        <v>44442</v>
      </c>
      <c r="C150" s="469">
        <f>IFERROR(__xludf.DUMMYFUNCTION("""COMPUTED_VALUE"""),0.44635416666666666)</f>
        <v>0.4463541667</v>
      </c>
      <c r="D150" s="103" t="str">
        <f>IFERROR(__xludf.DUMMYFUNCTION("""COMPUTED_VALUE"""),"SpFLMP659315")</f>
        <v>SpFLMP659315</v>
      </c>
      <c r="E150" s="103"/>
      <c r="F150" s="103"/>
      <c r="G150" s="103" t="str">
        <f>IFERROR(__xludf.DUMMYFUNCTION("""COMPUTED_VALUE"""),"Negative")</f>
        <v>Negative</v>
      </c>
      <c r="H150" s="131" t="str">
        <f>IFERROR(__xludf.DUMMYFUNCTION("""COMPUTED_VALUE"""),"Negative")</f>
        <v>Negative</v>
      </c>
      <c r="I150" s="468">
        <f>IFERROR(__xludf.DUMMYFUNCTION("""COMPUTED_VALUE"""),44449.0)</f>
        <v>44449</v>
      </c>
      <c r="J150" s="470">
        <f>IFERROR(__xludf.DUMMYFUNCTION("""COMPUTED_VALUE"""),0.37319444444444444)</f>
        <v>0.3731944444</v>
      </c>
      <c r="K150" s="16"/>
      <c r="L150" s="8"/>
      <c r="M150" s="69"/>
      <c r="N150" s="69">
        <f>IFERROR(__xludf.DUMMYFUNCTION("""COMPUTED_VALUE"""),2.0)</f>
        <v>2</v>
      </c>
      <c r="O150" s="69" t="str">
        <f t="shared" si="3"/>
        <v/>
      </c>
      <c r="P150" s="471">
        <f>IFERROR(__xludf.DUMMYFUNCTION("""COMPUTED_VALUE"""),7.0)</f>
        <v>7</v>
      </c>
      <c r="Q150" s="274" t="b">
        <f>VLOOKUP($B150,'Run Reconcile'!B$2:O2488,14,FALSE)</f>
        <v>1</v>
      </c>
      <c r="R150" s="472" t="str">
        <f t="array" ref="R150">IF($Q150, INDEX('Run Reconcile'!A$2:A2488,MATCH(B150,'Run Reconcile'!B$2:B2488,0),1),IFERROR(0/0,""))</f>
        <v>RUN-FLMP_2021-09-03_APS-049</v>
      </c>
      <c r="S150" s="473" t="str">
        <f t="shared" ref="S150:T150" si="304">IF(COUNTIF(W$2:W2488, $A150) &gt; 0,TRUE,IFERROR(0/0,""))</f>
        <v/>
      </c>
      <c r="T150" s="473" t="str">
        <f t="shared" si="304"/>
        <v/>
      </c>
      <c r="U150" s="275" t="str">
        <f t="array" ref="U150">IF(ISBLANK($R150), INDEX('Run Reconcile'!A$2:A2488, MATCH($B150, 'Run Reconcile'!B$2:B2488, 0)+Z150, 1), IFERROR(0/0,""))
</f>
        <v/>
      </c>
      <c r="V150" s="474" t="str">
        <f t="shared" si="5"/>
        <v>RUN-FLMP_2021-09-03_APS-049</v>
      </c>
      <c r="Y150" s="89" t="str">
        <f t="shared" si="6"/>
        <v/>
      </c>
      <c r="Z150" s="60" t="str">
        <f t="shared" si="7"/>
        <v/>
      </c>
      <c r="AA150" s="60" t="str">
        <f t="shared" si="8"/>
        <v/>
      </c>
      <c r="AB150" s="60" t="str">
        <f t="shared" si="9"/>
        <v/>
      </c>
      <c r="AC150" s="30" t="str">
        <f t="shared" ref="AC150:AD150" si="305">IF(_xlfn.ISFORMULA(S150),IFERROR(0/0,""),TRUE)</f>
        <v/>
      </c>
      <c r="AD150" s="30" t="str">
        <f t="shared" si="305"/>
        <v/>
      </c>
      <c r="AE150" s="475" t="str">
        <f>IFERROR(__xludf.DUMMYFUNCTION("""COMPUTED_VALUE"""),"FLSP")</f>
        <v>FLSP</v>
      </c>
      <c r="AF150" s="476"/>
      <c r="AG150" s="474" t="s">
        <v>81</v>
      </c>
      <c r="AH150" s="138" t="str">
        <f t="shared" si="11"/>
        <v/>
      </c>
    </row>
    <row r="151">
      <c r="A151" s="103" t="str">
        <f>IFERROR(__xludf.DUMMYFUNCTION("""COMPUTED_VALUE"""),"FLM243")</f>
        <v>FLM243</v>
      </c>
      <c r="B151" s="468">
        <f>IFERROR(__xludf.DUMMYFUNCTION("""COMPUTED_VALUE"""),44449.0)</f>
        <v>44449</v>
      </c>
      <c r="C151" s="469">
        <f>IFERROR(__xludf.DUMMYFUNCTION("""COMPUTED_VALUE"""),0.3701041666666667)</f>
        <v>0.3701041667</v>
      </c>
      <c r="D151" s="103" t="str">
        <f>IFERROR(__xludf.DUMMYFUNCTION("""COMPUTED_VALUE"""),"SpFLMP659315")</f>
        <v>SpFLMP659315</v>
      </c>
      <c r="E151" s="103"/>
      <c r="F151" s="103"/>
      <c r="G151" s="103" t="str">
        <f>IFERROR(__xludf.DUMMYFUNCTION("""COMPUTED_VALUE"""),"Negative")</f>
        <v>Negative</v>
      </c>
      <c r="H151" s="131" t="str">
        <f>IFERROR(__xludf.DUMMYFUNCTION("""COMPUTED_VALUE"""),"Negative")</f>
        <v>Negative</v>
      </c>
      <c r="I151" s="468">
        <f>IFERROR(__xludf.DUMMYFUNCTION("""COMPUTED_VALUE"""),44455.0)</f>
        <v>44455</v>
      </c>
      <c r="J151" s="470">
        <f>IFERROR(__xludf.DUMMYFUNCTION("""COMPUTED_VALUE"""),0.5175810185185186)</f>
        <v>0.5175810185</v>
      </c>
      <c r="K151" s="16"/>
      <c r="L151" s="8"/>
      <c r="M151" s="69"/>
      <c r="N151" s="69">
        <f>IFERROR(__xludf.DUMMYFUNCTION("""COMPUTED_VALUE"""),2.0)</f>
        <v>2</v>
      </c>
      <c r="O151" s="69" t="b">
        <f t="shared" si="3"/>
        <v>1</v>
      </c>
      <c r="P151" s="471">
        <f>IFERROR(__xludf.DUMMYFUNCTION("""COMPUTED_VALUE"""),6.0)</f>
        <v>6</v>
      </c>
      <c r="Q151" s="274" t="b">
        <f>VLOOKUP($B151,'Run Reconcile'!B$2:O2488,14,FALSE)</f>
        <v>1</v>
      </c>
      <c r="R151" s="472" t="str">
        <f t="array" ref="R151">IF($Q151, INDEX('Run Reconcile'!A$2:A2488,MATCH(B151,'Run Reconcile'!B$2:B2488,0),1),IFERROR(0/0,""))</f>
        <v>RUN-FLMP_2021-09-10_APS-050</v>
      </c>
      <c r="S151" s="473" t="str">
        <f t="shared" ref="S151:T151" si="306">IF(COUNTIF(W$2:W2488, $A151) &gt; 0,TRUE,IFERROR(0/0,""))</f>
        <v/>
      </c>
      <c r="T151" s="473" t="str">
        <f t="shared" si="306"/>
        <v/>
      </c>
      <c r="U151" s="275" t="str">
        <f t="array" ref="U151">IF(ISBLANK($R151), INDEX('Run Reconcile'!A$2:A2488, MATCH($B151, 'Run Reconcile'!B$2:B2488, 0)+Z151, 1), IFERROR(0/0,""))
</f>
        <v/>
      </c>
      <c r="V151" s="474" t="str">
        <f t="shared" si="5"/>
        <v>RUN-FLMP_2021-09-10_APS-050</v>
      </c>
      <c r="Y151" s="89" t="str">
        <f t="shared" si="6"/>
        <v/>
      </c>
      <c r="Z151" s="60" t="str">
        <f t="shared" si="7"/>
        <v/>
      </c>
      <c r="AA151" s="60" t="str">
        <f t="shared" si="8"/>
        <v/>
      </c>
      <c r="AB151" s="60" t="str">
        <f t="shared" si="9"/>
        <v/>
      </c>
      <c r="AC151" s="30" t="str">
        <f t="shared" ref="AC151:AD151" si="307">IF(_xlfn.ISFORMULA(S151),IFERROR(0/0,""),TRUE)</f>
        <v/>
      </c>
      <c r="AD151" s="30" t="str">
        <f t="shared" si="307"/>
        <v/>
      </c>
      <c r="AE151" s="475" t="str">
        <f>IFERROR(__xludf.DUMMYFUNCTION("""COMPUTED_VALUE"""),"FLSP")</f>
        <v>FLSP</v>
      </c>
      <c r="AF151" s="476"/>
      <c r="AG151" s="474" t="s">
        <v>82</v>
      </c>
      <c r="AH151" s="138" t="str">
        <f t="shared" si="11"/>
        <v/>
      </c>
    </row>
    <row r="152">
      <c r="A152" s="103" t="str">
        <f>IFERROR(__xludf.DUMMYFUNCTION("""COMPUTED_VALUE"""),"FLM292")</f>
        <v>FLM292</v>
      </c>
      <c r="B152" s="468">
        <f>IFERROR(__xludf.DUMMYFUNCTION("""COMPUTED_VALUE"""),44449.0)</f>
        <v>44449</v>
      </c>
      <c r="C152" s="469">
        <f>IFERROR(__xludf.DUMMYFUNCTION("""COMPUTED_VALUE"""),0.3706712962962963)</f>
        <v>0.3706712963</v>
      </c>
      <c r="D152" s="103" t="str">
        <f>IFERROR(__xludf.DUMMYFUNCTION("""COMPUTED_VALUE"""),"SpFLMP659315")</f>
        <v>SpFLMP659315</v>
      </c>
      <c r="E152" s="103"/>
      <c r="F152" s="103"/>
      <c r="G152" s="103" t="str">
        <f>IFERROR(__xludf.DUMMYFUNCTION("""COMPUTED_VALUE"""),"Negative")</f>
        <v>Negative</v>
      </c>
      <c r="H152" s="131" t="str">
        <f>IFERROR(__xludf.DUMMYFUNCTION("""COMPUTED_VALUE"""),"Negative")</f>
        <v>Negative</v>
      </c>
      <c r="I152" s="468">
        <f>IFERROR(__xludf.DUMMYFUNCTION("""COMPUTED_VALUE"""),44455.0)</f>
        <v>44455</v>
      </c>
      <c r="J152" s="470">
        <f>IFERROR(__xludf.DUMMYFUNCTION("""COMPUTED_VALUE"""),0.5175810185185186)</f>
        <v>0.5175810185</v>
      </c>
      <c r="K152" s="16"/>
      <c r="L152" s="8"/>
      <c r="M152" s="69"/>
      <c r="N152" s="69">
        <f>IFERROR(__xludf.DUMMYFUNCTION("""COMPUTED_VALUE"""),2.0)</f>
        <v>2</v>
      </c>
      <c r="O152" s="69" t="str">
        <f t="shared" si="3"/>
        <v/>
      </c>
      <c r="P152" s="471">
        <f>IFERROR(__xludf.DUMMYFUNCTION("""COMPUTED_VALUE"""),6.0)</f>
        <v>6</v>
      </c>
      <c r="Q152" s="274" t="b">
        <f>VLOOKUP($B152,'Run Reconcile'!B$2:O2488,14,FALSE)</f>
        <v>1</v>
      </c>
      <c r="R152" s="472" t="str">
        <f t="array" ref="R152">IF($Q152, INDEX('Run Reconcile'!A$2:A2488,MATCH(B152,'Run Reconcile'!B$2:B2488,0),1),IFERROR(0/0,""))</f>
        <v>RUN-FLMP_2021-09-10_APS-050</v>
      </c>
      <c r="S152" s="473" t="str">
        <f t="shared" ref="S152:T152" si="308">IF(COUNTIF(W$2:W2488, $A152) &gt; 0,TRUE,IFERROR(0/0,""))</f>
        <v/>
      </c>
      <c r="T152" s="473" t="str">
        <f t="shared" si="308"/>
        <v/>
      </c>
      <c r="U152" s="275" t="str">
        <f t="array" ref="U152">IF(ISBLANK($R152), INDEX('Run Reconcile'!A$2:A2488, MATCH($B152, 'Run Reconcile'!B$2:B2488, 0)+Z152, 1), IFERROR(0/0,""))
</f>
        <v/>
      </c>
      <c r="V152" s="474" t="str">
        <f t="shared" si="5"/>
        <v>RUN-FLMP_2021-09-10_APS-050</v>
      </c>
      <c r="Y152" s="89" t="str">
        <f t="shared" si="6"/>
        <v/>
      </c>
      <c r="Z152" s="60" t="str">
        <f t="shared" si="7"/>
        <v/>
      </c>
      <c r="AA152" s="60" t="str">
        <f t="shared" si="8"/>
        <v/>
      </c>
      <c r="AB152" s="60" t="str">
        <f t="shared" si="9"/>
        <v/>
      </c>
      <c r="AC152" s="30" t="str">
        <f t="shared" ref="AC152:AD152" si="309">IF(_xlfn.ISFORMULA(S152),IFERROR(0/0,""),TRUE)</f>
        <v/>
      </c>
      <c r="AD152" s="30" t="str">
        <f t="shared" si="309"/>
        <v/>
      </c>
      <c r="AE152" s="475" t="str">
        <f>IFERROR(__xludf.DUMMYFUNCTION("""COMPUTED_VALUE"""),"FLSP")</f>
        <v>FLSP</v>
      </c>
      <c r="AF152" s="476"/>
      <c r="AG152" s="474" t="s">
        <v>82</v>
      </c>
      <c r="AH152" s="138" t="str">
        <f t="shared" si="11"/>
        <v/>
      </c>
    </row>
    <row r="153">
      <c r="A153" s="103" t="str">
        <f>IFERROR(__xludf.DUMMYFUNCTION("""COMPUTED_VALUE"""),"FLM269")</f>
        <v>FLM269</v>
      </c>
      <c r="B153" s="468">
        <f>IFERROR(__xludf.DUMMYFUNCTION("""COMPUTED_VALUE"""),44452.0)</f>
        <v>44452</v>
      </c>
      <c r="C153" s="469">
        <f>IFERROR(__xludf.DUMMYFUNCTION("""COMPUTED_VALUE"""),0.3887615740740741)</f>
        <v>0.3887615741</v>
      </c>
      <c r="D153" s="103" t="str">
        <f>IFERROR(__xludf.DUMMYFUNCTION("""COMPUTED_VALUE"""),"SpFLMP496039")</f>
        <v>SpFLMP496039</v>
      </c>
      <c r="E153" s="103"/>
      <c r="F153" s="103"/>
      <c r="G153" s="103" t="str">
        <f>IFERROR(__xludf.DUMMYFUNCTION("""COMPUTED_VALUE"""),"Negative")</f>
        <v>Negative</v>
      </c>
      <c r="H153" s="131" t="str">
        <f>IFERROR(__xludf.DUMMYFUNCTION("""COMPUTED_VALUE"""),"Negative")</f>
        <v>Negative</v>
      </c>
      <c r="I153" s="468">
        <f>IFERROR(__xludf.DUMMYFUNCTION("""COMPUTED_VALUE"""),44452.0)</f>
        <v>44452</v>
      </c>
      <c r="J153" s="470">
        <f>IFERROR(__xludf.DUMMYFUNCTION("""COMPUTED_VALUE"""),0.6038657407407407)</f>
        <v>0.6038657407</v>
      </c>
      <c r="K153" s="16"/>
      <c r="L153" s="8"/>
      <c r="M153" s="69"/>
      <c r="N153" s="69">
        <f>IFERROR(__xludf.DUMMYFUNCTION("""COMPUTED_VALUE"""),1.0)</f>
        <v>1</v>
      </c>
      <c r="O153" s="69" t="b">
        <f t="shared" si="3"/>
        <v>1</v>
      </c>
      <c r="P153" s="471">
        <f>IFERROR(__xludf.DUMMYFUNCTION("""COMPUTED_VALUE"""),0.0)</f>
        <v>0</v>
      </c>
      <c r="Q153" s="274" t="b">
        <f>VLOOKUP($B153,'Run Reconcile'!B$2:O2488,14,FALSE)</f>
        <v>1</v>
      </c>
      <c r="R153" s="472" t="str">
        <f t="array" ref="R153">IF($Q153, INDEX('Run Reconcile'!A$2:A2488,MATCH(B153,'Run Reconcile'!B$2:B2488,0),1),IFERROR(0/0,""))</f>
        <v>RUN-FLMP_2021-09-13_APS-051</v>
      </c>
      <c r="S153" s="473" t="str">
        <f t="shared" ref="S153:T153" si="310">IF(COUNTIF(W$2:W2488, $A153) &gt; 0,TRUE,IFERROR(0/0,""))</f>
        <v/>
      </c>
      <c r="T153" s="473" t="str">
        <f t="shared" si="310"/>
        <v/>
      </c>
      <c r="U153" s="275" t="str">
        <f t="array" ref="U153">IF(ISBLANK($R153), INDEX('Run Reconcile'!A$2:A2488, MATCH($B153, 'Run Reconcile'!B$2:B2488, 0)+Z153, 1), IFERROR(0/0,""))
</f>
        <v/>
      </c>
      <c r="V153" s="474" t="str">
        <f t="shared" si="5"/>
        <v>RUN-FLMP_2021-09-13_APS-051</v>
      </c>
      <c r="Y153" s="89" t="str">
        <f t="shared" si="6"/>
        <v/>
      </c>
      <c r="Z153" s="60" t="str">
        <f t="shared" si="7"/>
        <v/>
      </c>
      <c r="AA153" s="60" t="str">
        <f t="shared" si="8"/>
        <v/>
      </c>
      <c r="AB153" s="60" t="str">
        <f t="shared" si="9"/>
        <v/>
      </c>
      <c r="AC153" s="30" t="str">
        <f t="shared" ref="AC153:AD153" si="311">IF(_xlfn.ISFORMULA(S153),IFERROR(0/0,""),TRUE)</f>
        <v/>
      </c>
      <c r="AD153" s="30" t="str">
        <f t="shared" si="311"/>
        <v/>
      </c>
      <c r="AE153" s="475" t="str">
        <f>IFERROR(__xludf.DUMMYFUNCTION("""COMPUTED_VALUE"""),"FLSP")</f>
        <v>FLSP</v>
      </c>
      <c r="AF153" s="476"/>
      <c r="AG153" s="474" t="s">
        <v>83</v>
      </c>
      <c r="AH153" s="138" t="str">
        <f t="shared" si="11"/>
        <v/>
      </c>
    </row>
    <row r="154">
      <c r="A154" s="103" t="str">
        <f>IFERROR(__xludf.DUMMYFUNCTION("""COMPUTED_VALUE"""),"A171978")</f>
        <v>A171978</v>
      </c>
      <c r="B154" s="468">
        <f>IFERROR(__xludf.DUMMYFUNCTION("""COMPUTED_VALUE"""),44452.0)</f>
        <v>44452</v>
      </c>
      <c r="C154" s="469">
        <f>IFERROR(__xludf.DUMMYFUNCTION("""COMPUTED_VALUE"""),0.38881944444444444)</f>
        <v>0.3888194444</v>
      </c>
      <c r="D154" s="103" t="str">
        <f>IFERROR(__xludf.DUMMYFUNCTION("""COMPUTED_VALUE"""),"SpFLMP684798")</f>
        <v>SpFLMP684798</v>
      </c>
      <c r="E154" s="103"/>
      <c r="F154" s="103"/>
      <c r="G154" s="103" t="str">
        <f>IFERROR(__xludf.DUMMYFUNCTION("""COMPUTED_VALUE"""),"Null")</f>
        <v>Null</v>
      </c>
      <c r="H154" s="131" t="str">
        <f>IFERROR(__xludf.DUMMYFUNCTION("""COMPUTED_VALUE"""),"Negative")</f>
        <v>Negative</v>
      </c>
      <c r="I154" s="468"/>
      <c r="J154" s="16"/>
      <c r="K154" s="16">
        <f>IFERROR(__xludf.DUMMYFUNCTION("""COMPUTED_VALUE"""),2.0)</f>
        <v>2</v>
      </c>
      <c r="L154" s="8"/>
      <c r="M154" s="69"/>
      <c r="N154" s="69">
        <f>IFERROR(__xludf.DUMMYFUNCTION("""COMPUTED_VALUE"""),2.0)</f>
        <v>2</v>
      </c>
      <c r="O154" s="69" t="str">
        <f t="shared" si="3"/>
        <v/>
      </c>
      <c r="P154" s="471">
        <f>IFERROR(__xludf.DUMMYFUNCTION("""COMPUTED_VALUE"""),-1.0)</f>
        <v>-1</v>
      </c>
      <c r="Q154" s="274" t="b">
        <f>VLOOKUP($B154,'Run Reconcile'!B$2:O2488,14,FALSE)</f>
        <v>1</v>
      </c>
      <c r="R154" s="472" t="str">
        <f t="array" ref="R154">IF($Q154, INDEX('Run Reconcile'!A$2:A2488,MATCH(B154,'Run Reconcile'!B$2:B2488,0),1),IFERROR(0/0,""))</f>
        <v>RUN-FLMP_2021-09-13_APS-051</v>
      </c>
      <c r="S154" s="473" t="str">
        <f t="shared" ref="S154:T154" si="312">IF(COUNTIF(W$2:W2488, $A154) &gt; 0,TRUE,IFERROR(0/0,""))</f>
        <v/>
      </c>
      <c r="T154" s="473" t="str">
        <f t="shared" si="312"/>
        <v/>
      </c>
      <c r="U154" s="275" t="str">
        <f t="array" ref="U154">IF(ISBLANK($R154), INDEX('Run Reconcile'!A$2:A2488, MATCH($B154, 'Run Reconcile'!B$2:B2488, 0)+Z154, 1), IFERROR(0/0,""))
</f>
        <v/>
      </c>
      <c r="V154" s="474" t="str">
        <f t="shared" si="5"/>
        <v>RUN-FLMP_2021-09-13_APS-051</v>
      </c>
      <c r="Y154" s="89" t="str">
        <f t="shared" si="6"/>
        <v/>
      </c>
      <c r="Z154" s="60" t="str">
        <f t="shared" si="7"/>
        <v/>
      </c>
      <c r="AA154" s="60" t="str">
        <f t="shared" si="8"/>
        <v/>
      </c>
      <c r="AB154" s="60" t="str">
        <f t="shared" si="9"/>
        <v/>
      </c>
      <c r="AC154" s="30" t="str">
        <f t="shared" ref="AC154:AD154" si="313">IF(_xlfn.ISFORMULA(S154),IFERROR(0/0,""),TRUE)</f>
        <v/>
      </c>
      <c r="AD154" s="30" t="str">
        <f t="shared" si="313"/>
        <v/>
      </c>
      <c r="AE154" s="475" t="str">
        <f>IFERROR(__xludf.DUMMYFUNCTION("""COMPUTED_VALUE"""),"FLSP")</f>
        <v>FLSP</v>
      </c>
      <c r="AF154" s="476"/>
      <c r="AG154" s="474" t="s">
        <v>83</v>
      </c>
      <c r="AH154" s="138" t="str">
        <f t="shared" si="11"/>
        <v/>
      </c>
    </row>
    <row r="155">
      <c r="A155" s="103" t="str">
        <f>IFERROR(__xludf.DUMMYFUNCTION("""COMPUTED_VALUE"""),"FLM298")</f>
        <v>FLM298</v>
      </c>
      <c r="B155" s="468">
        <f>IFERROR(__xludf.DUMMYFUNCTION("""COMPUTED_VALUE"""),44452.0)</f>
        <v>44452</v>
      </c>
      <c r="C155" s="469">
        <f>IFERROR(__xludf.DUMMYFUNCTION("""COMPUTED_VALUE"""),0.40430555555555553)</f>
        <v>0.4043055556</v>
      </c>
      <c r="D155" s="103" t="str">
        <f>IFERROR(__xludf.DUMMYFUNCTION("""COMPUTED_VALUE"""),"SpFLMP120998")</f>
        <v>SpFLMP120998</v>
      </c>
      <c r="E155" s="103"/>
      <c r="F155" s="103"/>
      <c r="G155" s="103" t="str">
        <f>IFERROR(__xludf.DUMMYFUNCTION("""COMPUTED_VALUE"""),"Negative")</f>
        <v>Negative</v>
      </c>
      <c r="H155" s="131" t="str">
        <f>IFERROR(__xludf.DUMMYFUNCTION("""COMPUTED_VALUE"""),"Negative")</f>
        <v>Negative</v>
      </c>
      <c r="I155" s="468">
        <f>IFERROR(__xludf.DUMMYFUNCTION("""COMPUTED_VALUE"""),44452.0)</f>
        <v>44452</v>
      </c>
      <c r="J155" s="470">
        <f>IFERROR(__xludf.DUMMYFUNCTION("""COMPUTED_VALUE"""),0.6038657407407407)</f>
        <v>0.6038657407</v>
      </c>
      <c r="K155" s="16"/>
      <c r="L155" s="8"/>
      <c r="M155" s="69"/>
      <c r="N155" s="69">
        <f>IFERROR(__xludf.DUMMYFUNCTION("""COMPUTED_VALUE"""),1.0)</f>
        <v>1</v>
      </c>
      <c r="O155" s="69" t="str">
        <f t="shared" si="3"/>
        <v/>
      </c>
      <c r="P155" s="471">
        <f>IFERROR(__xludf.DUMMYFUNCTION("""COMPUTED_VALUE"""),0.0)</f>
        <v>0</v>
      </c>
      <c r="Q155" s="274" t="b">
        <f>VLOOKUP($B155,'Run Reconcile'!B$2:O2488,14,FALSE)</f>
        <v>1</v>
      </c>
      <c r="R155" s="472" t="str">
        <f t="array" ref="R155">IF($Q155, INDEX('Run Reconcile'!A$2:A2488,MATCH(B155,'Run Reconcile'!B$2:B2488,0),1),IFERROR(0/0,""))</f>
        <v>RUN-FLMP_2021-09-13_APS-051</v>
      </c>
      <c r="S155" s="473" t="str">
        <f t="shared" ref="S155:T155" si="314">IF(COUNTIF(W$2:W2488, $A155) &gt; 0,TRUE,IFERROR(0/0,""))</f>
        <v/>
      </c>
      <c r="T155" s="473" t="str">
        <f t="shared" si="314"/>
        <v/>
      </c>
      <c r="U155" s="275" t="str">
        <f t="array" ref="U155">IF(ISBLANK($R155), INDEX('Run Reconcile'!A$2:A2488, MATCH($B155, 'Run Reconcile'!B$2:B2488, 0)+Z155, 1), IFERROR(0/0,""))
</f>
        <v/>
      </c>
      <c r="V155" s="474" t="str">
        <f t="shared" si="5"/>
        <v>RUN-FLMP_2021-09-13_APS-051</v>
      </c>
      <c r="Y155" s="89" t="str">
        <f t="shared" si="6"/>
        <v/>
      </c>
      <c r="Z155" s="60" t="str">
        <f t="shared" si="7"/>
        <v/>
      </c>
      <c r="AA155" s="60" t="str">
        <f t="shared" si="8"/>
        <v/>
      </c>
      <c r="AB155" s="60" t="str">
        <f t="shared" si="9"/>
        <v/>
      </c>
      <c r="AC155" s="30" t="str">
        <f t="shared" ref="AC155:AD155" si="315">IF(_xlfn.ISFORMULA(S155),IFERROR(0/0,""),TRUE)</f>
        <v/>
      </c>
      <c r="AD155" s="30" t="str">
        <f t="shared" si="315"/>
        <v/>
      </c>
      <c r="AE155" s="475" t="str">
        <f>IFERROR(__xludf.DUMMYFUNCTION("""COMPUTED_VALUE"""),"FLSP")</f>
        <v>FLSP</v>
      </c>
      <c r="AF155" s="476"/>
      <c r="AG155" s="474" t="s">
        <v>83</v>
      </c>
      <c r="AH155" s="138" t="str">
        <f t="shared" si="11"/>
        <v/>
      </c>
    </row>
    <row r="156">
      <c r="A156" s="103" t="str">
        <f>IFERROR(__xludf.DUMMYFUNCTION("""COMPUTED_VALUE"""),"MAX421")</f>
        <v>MAX421</v>
      </c>
      <c r="B156" s="468">
        <f>IFERROR(__xludf.DUMMYFUNCTION("""COMPUTED_VALUE"""),44454.0)</f>
        <v>44454</v>
      </c>
      <c r="C156" s="469">
        <f>IFERROR(__xludf.DUMMYFUNCTION("""COMPUTED_VALUE"""),0.37028935185185186)</f>
        <v>0.3702893519</v>
      </c>
      <c r="D156" s="103" t="str">
        <f>IFERROR(__xludf.DUMMYFUNCTION("""COMPUTED_VALUE"""),"SpFLMP684798")</f>
        <v>SpFLMP684798</v>
      </c>
      <c r="E156" s="103"/>
      <c r="F156" s="103"/>
      <c r="G156" s="103" t="str">
        <f>IFERROR(__xludf.DUMMYFUNCTION("""COMPUTED_VALUE"""),"Negative")</f>
        <v>Negative</v>
      </c>
      <c r="H156" s="131" t="str">
        <f>IFERROR(__xludf.DUMMYFUNCTION("""COMPUTED_VALUE"""),"Negative")</f>
        <v>Negative</v>
      </c>
      <c r="I156" s="468">
        <f>IFERROR(__xludf.DUMMYFUNCTION("""COMPUTED_VALUE"""),44455.0)</f>
        <v>44455</v>
      </c>
      <c r="J156" s="470">
        <f>IFERROR(__xludf.DUMMYFUNCTION("""COMPUTED_VALUE"""),0.5175810185185186)</f>
        <v>0.5175810185</v>
      </c>
      <c r="K156" s="16"/>
      <c r="L156" s="8"/>
      <c r="M156" s="69"/>
      <c r="N156" s="69">
        <f>IFERROR(__xludf.DUMMYFUNCTION("""COMPUTED_VALUE"""),2.0)</f>
        <v>2</v>
      </c>
      <c r="O156" s="69" t="b">
        <f t="shared" si="3"/>
        <v>1</v>
      </c>
      <c r="P156" s="471">
        <f>IFERROR(__xludf.DUMMYFUNCTION("""COMPUTED_VALUE"""),1.0)</f>
        <v>1</v>
      </c>
      <c r="Q156" s="274" t="b">
        <f>VLOOKUP($B156,'Run Reconcile'!B$2:O2488,14,FALSE)</f>
        <v>1</v>
      </c>
      <c r="R156" s="472" t="str">
        <f t="array" ref="R156">IF($Q156, INDEX('Run Reconcile'!A$2:A2488,MATCH(B156,'Run Reconcile'!B$2:B2488,0),1),IFERROR(0/0,""))</f>
        <v>RUN-FLMP_2021-09-15_APS-052</v>
      </c>
      <c r="S156" s="473" t="str">
        <f t="shared" ref="S156:T156" si="316">IF(COUNTIF(W$2:W2488, $A156) &gt; 0,TRUE,IFERROR(0/0,""))</f>
        <v/>
      </c>
      <c r="T156" s="473" t="str">
        <f t="shared" si="316"/>
        <v/>
      </c>
      <c r="U156" s="275" t="str">
        <f t="array" ref="U156">IF(ISBLANK($R156), INDEX('Run Reconcile'!A$2:A2488, MATCH($B156, 'Run Reconcile'!B$2:B2488, 0)+Z156, 1), IFERROR(0/0,""))
</f>
        <v/>
      </c>
      <c r="V156" s="474" t="str">
        <f t="shared" si="5"/>
        <v>RUN-FLMP_2021-09-15_APS-052</v>
      </c>
      <c r="Y156" s="89" t="str">
        <f t="shared" si="6"/>
        <v/>
      </c>
      <c r="Z156" s="60" t="str">
        <f t="shared" si="7"/>
        <v/>
      </c>
      <c r="AA156" s="60" t="str">
        <f t="shared" si="8"/>
        <v/>
      </c>
      <c r="AB156" s="60" t="str">
        <f t="shared" si="9"/>
        <v/>
      </c>
      <c r="AC156" s="30" t="str">
        <f t="shared" ref="AC156:AD156" si="317">IF(_xlfn.ISFORMULA(S156),IFERROR(0/0,""),TRUE)</f>
        <v/>
      </c>
      <c r="AD156" s="30" t="str">
        <f t="shared" si="317"/>
        <v/>
      </c>
      <c r="AE156" s="475" t="str">
        <f>IFERROR(__xludf.DUMMYFUNCTION("""COMPUTED_VALUE"""),"FLSP")</f>
        <v>FLSP</v>
      </c>
      <c r="AF156" s="476"/>
      <c r="AG156" s="474" t="s">
        <v>84</v>
      </c>
      <c r="AH156" s="138" t="str">
        <f t="shared" si="11"/>
        <v/>
      </c>
    </row>
    <row r="157">
      <c r="A157" s="103" t="str">
        <f>IFERROR(__xludf.DUMMYFUNCTION("""COMPUTED_VALUE"""),"MAX392")</f>
        <v>MAX392</v>
      </c>
      <c r="B157" s="468">
        <f>IFERROR(__xludf.DUMMYFUNCTION("""COMPUTED_VALUE"""),44454.0)</f>
        <v>44454</v>
      </c>
      <c r="C157" s="469">
        <f>IFERROR(__xludf.DUMMYFUNCTION("""COMPUTED_VALUE"""),0.3718287037037037)</f>
        <v>0.3718287037</v>
      </c>
      <c r="D157" s="103" t="str">
        <f>IFERROR(__xludf.DUMMYFUNCTION("""COMPUTED_VALUE"""),"SpFLMP496039")</f>
        <v>SpFLMP496039</v>
      </c>
      <c r="E157" s="103"/>
      <c r="F157" s="103"/>
      <c r="G157" s="103" t="str">
        <f>IFERROR(__xludf.DUMMYFUNCTION("""COMPUTED_VALUE"""),"Negative")</f>
        <v>Negative</v>
      </c>
      <c r="H157" s="131" t="str">
        <f>IFERROR(__xludf.DUMMYFUNCTION("""COMPUTED_VALUE"""),"Negative")</f>
        <v>Negative</v>
      </c>
      <c r="I157" s="468">
        <f>IFERROR(__xludf.DUMMYFUNCTION("""COMPUTED_VALUE"""),44455.0)</f>
        <v>44455</v>
      </c>
      <c r="J157" s="470">
        <f>IFERROR(__xludf.DUMMYFUNCTION("""COMPUTED_VALUE"""),0.5175810185185186)</f>
        <v>0.5175810185</v>
      </c>
      <c r="K157" s="16"/>
      <c r="L157" s="8"/>
      <c r="M157" s="69"/>
      <c r="N157" s="69">
        <f>IFERROR(__xludf.DUMMYFUNCTION("""COMPUTED_VALUE"""),2.0)</f>
        <v>2</v>
      </c>
      <c r="O157" s="69" t="str">
        <f t="shared" si="3"/>
        <v/>
      </c>
      <c r="P157" s="471">
        <f>IFERROR(__xludf.DUMMYFUNCTION("""COMPUTED_VALUE"""),1.0)</f>
        <v>1</v>
      </c>
      <c r="Q157" s="274" t="b">
        <f>VLOOKUP($B157,'Run Reconcile'!B$2:O2488,14,FALSE)</f>
        <v>1</v>
      </c>
      <c r="R157" s="472" t="str">
        <f t="array" ref="R157">IF($Q157, INDEX('Run Reconcile'!A$2:A2488,MATCH(B157,'Run Reconcile'!B$2:B2488,0),1),IFERROR(0/0,""))</f>
        <v>RUN-FLMP_2021-09-15_APS-052</v>
      </c>
      <c r="S157" s="473" t="str">
        <f t="shared" ref="S157:T157" si="318">IF(COUNTIF(W$2:W2488, $A157) &gt; 0,TRUE,IFERROR(0/0,""))</f>
        <v/>
      </c>
      <c r="T157" s="473" t="str">
        <f t="shared" si="318"/>
        <v/>
      </c>
      <c r="U157" s="275" t="str">
        <f t="array" ref="U157">IF(ISBLANK($R157), INDEX('Run Reconcile'!A$2:A2488, MATCH($B157, 'Run Reconcile'!B$2:B2488, 0)+Z157, 1), IFERROR(0/0,""))
</f>
        <v/>
      </c>
      <c r="V157" s="474" t="str">
        <f t="shared" si="5"/>
        <v>RUN-FLMP_2021-09-15_APS-052</v>
      </c>
      <c r="Y157" s="89" t="str">
        <f t="shared" si="6"/>
        <v/>
      </c>
      <c r="Z157" s="60" t="str">
        <f t="shared" si="7"/>
        <v/>
      </c>
      <c r="AA157" s="60" t="str">
        <f t="shared" si="8"/>
        <v/>
      </c>
      <c r="AB157" s="60" t="str">
        <f t="shared" si="9"/>
        <v/>
      </c>
      <c r="AC157" s="30" t="str">
        <f t="shared" ref="AC157:AD157" si="319">IF(_xlfn.ISFORMULA(S157),IFERROR(0/0,""),TRUE)</f>
        <v/>
      </c>
      <c r="AD157" s="30" t="str">
        <f t="shared" si="319"/>
        <v/>
      </c>
      <c r="AE157" s="475" t="str">
        <f>IFERROR(__xludf.DUMMYFUNCTION("""COMPUTED_VALUE"""),"FLSP")</f>
        <v>FLSP</v>
      </c>
      <c r="AF157" s="476"/>
      <c r="AG157" s="474" t="s">
        <v>84</v>
      </c>
      <c r="AH157" s="138" t="str">
        <f t="shared" si="11"/>
        <v/>
      </c>
    </row>
    <row r="158">
      <c r="A158" s="103" t="str">
        <f>IFERROR(__xludf.DUMMYFUNCTION("""COMPUTED_VALUE"""),"FLM250")</f>
        <v>FLM250</v>
      </c>
      <c r="B158" s="468">
        <f>IFERROR(__xludf.DUMMYFUNCTION("""COMPUTED_VALUE"""),44454.0)</f>
        <v>44454</v>
      </c>
      <c r="C158" s="469">
        <f>IFERROR(__xludf.DUMMYFUNCTION("""COMPUTED_VALUE"""),0.3978009259259259)</f>
        <v>0.3978009259</v>
      </c>
      <c r="D158" s="103" t="str">
        <f>IFERROR(__xludf.DUMMYFUNCTION("""COMPUTED_VALUE"""),"SpFLMP120998")</f>
        <v>SpFLMP120998</v>
      </c>
      <c r="E158" s="103"/>
      <c r="F158" s="103"/>
      <c r="G158" s="103" t="str">
        <f>IFERROR(__xludf.DUMMYFUNCTION("""COMPUTED_VALUE"""),"Negative")</f>
        <v>Negative</v>
      </c>
      <c r="H158" s="131" t="str">
        <f>IFERROR(__xludf.DUMMYFUNCTION("""COMPUTED_VALUE"""),"Negative")</f>
        <v>Negative</v>
      </c>
      <c r="I158" s="468">
        <f>IFERROR(__xludf.DUMMYFUNCTION("""COMPUTED_VALUE"""),44455.0)</f>
        <v>44455</v>
      </c>
      <c r="J158" s="470">
        <f>IFERROR(__xludf.DUMMYFUNCTION("""COMPUTED_VALUE"""),0.5175810185185186)</f>
        <v>0.5175810185</v>
      </c>
      <c r="K158" s="16"/>
      <c r="L158" s="8"/>
      <c r="M158" s="69"/>
      <c r="N158" s="69">
        <f>IFERROR(__xludf.DUMMYFUNCTION("""COMPUTED_VALUE"""),1.0)</f>
        <v>1</v>
      </c>
      <c r="O158" s="69" t="str">
        <f t="shared" si="3"/>
        <v/>
      </c>
      <c r="P158" s="471">
        <f>IFERROR(__xludf.DUMMYFUNCTION("""COMPUTED_VALUE"""),1.0)</f>
        <v>1</v>
      </c>
      <c r="Q158" s="274" t="b">
        <f>VLOOKUP($B158,'Run Reconcile'!B$2:O2488,14,FALSE)</f>
        <v>1</v>
      </c>
      <c r="R158" s="472" t="str">
        <f t="array" ref="R158">IF($Q158, INDEX('Run Reconcile'!A$2:A2488,MATCH(B158,'Run Reconcile'!B$2:B2488,0),1),IFERROR(0/0,""))</f>
        <v>RUN-FLMP_2021-09-15_APS-052</v>
      </c>
      <c r="S158" s="473" t="str">
        <f t="shared" ref="S158:T158" si="320">IF(COUNTIF(W$2:W2488, $A158) &gt; 0,TRUE,IFERROR(0/0,""))</f>
        <v/>
      </c>
      <c r="T158" s="473" t="str">
        <f t="shared" si="320"/>
        <v/>
      </c>
      <c r="U158" s="275" t="str">
        <f t="array" ref="U158">IF(ISBLANK($R158), INDEX('Run Reconcile'!A$2:A2488, MATCH($B158, 'Run Reconcile'!B$2:B2488, 0)+Z158, 1), IFERROR(0/0,""))
</f>
        <v/>
      </c>
      <c r="V158" s="474" t="str">
        <f t="shared" si="5"/>
        <v>RUN-FLMP_2021-09-15_APS-052</v>
      </c>
      <c r="Y158" s="89" t="str">
        <f t="shared" si="6"/>
        <v/>
      </c>
      <c r="Z158" s="60" t="str">
        <f t="shared" si="7"/>
        <v/>
      </c>
      <c r="AA158" s="60" t="str">
        <f t="shared" si="8"/>
        <v/>
      </c>
      <c r="AB158" s="60" t="str">
        <f t="shared" si="9"/>
        <v/>
      </c>
      <c r="AC158" s="30" t="str">
        <f t="shared" ref="AC158:AD158" si="321">IF(_xlfn.ISFORMULA(S158),IFERROR(0/0,""),TRUE)</f>
        <v/>
      </c>
      <c r="AD158" s="30" t="str">
        <f t="shared" si="321"/>
        <v/>
      </c>
      <c r="AE158" s="475" t="str">
        <f>IFERROR(__xludf.DUMMYFUNCTION("""COMPUTED_VALUE"""),"FLSP")</f>
        <v>FLSP</v>
      </c>
      <c r="AF158" s="476"/>
      <c r="AG158" s="474" t="s">
        <v>84</v>
      </c>
      <c r="AH158" s="138" t="str">
        <f t="shared" si="11"/>
        <v/>
      </c>
    </row>
    <row r="159">
      <c r="A159" s="103" t="str">
        <f>IFERROR(__xludf.DUMMYFUNCTION("""COMPUTED_VALUE"""),"MAX362")</f>
        <v>MAX362</v>
      </c>
      <c r="B159" s="468">
        <f>IFERROR(__xludf.DUMMYFUNCTION("""COMPUTED_VALUE"""),44460.0)</f>
        <v>44460</v>
      </c>
      <c r="C159" s="469">
        <f>IFERROR(__xludf.DUMMYFUNCTION("""COMPUTED_VALUE"""),0.5931828703703703)</f>
        <v>0.5931828704</v>
      </c>
      <c r="D159" s="103" t="str">
        <f>IFERROR(__xludf.DUMMYFUNCTION("""COMPUTED_VALUE"""),"SpFLMP659315")</f>
        <v>SpFLMP659315</v>
      </c>
      <c r="E159" s="103"/>
      <c r="F159" s="103"/>
      <c r="G159" s="103" t="str">
        <f>IFERROR(__xludf.DUMMYFUNCTION("""COMPUTED_VALUE"""),"Null")</f>
        <v>Null</v>
      </c>
      <c r="H159" s="131" t="str">
        <f>IFERROR(__xludf.DUMMYFUNCTION("""COMPUTED_VALUE"""),"Negative")</f>
        <v>Negative</v>
      </c>
      <c r="I159" s="468"/>
      <c r="J159" s="16"/>
      <c r="K159" s="16">
        <f>IFERROR(__xludf.DUMMYFUNCTION("""COMPUTED_VALUE"""),2.0)</f>
        <v>2</v>
      </c>
      <c r="L159" s="8"/>
      <c r="M159" s="69"/>
      <c r="N159" s="69">
        <f>IFERROR(__xludf.DUMMYFUNCTION("""COMPUTED_VALUE"""),2.0)</f>
        <v>2</v>
      </c>
      <c r="O159" s="69" t="b">
        <f t="shared" si="3"/>
        <v>1</v>
      </c>
      <c r="P159" s="471">
        <f>IFERROR(__xludf.DUMMYFUNCTION("""COMPUTED_VALUE"""),-1.0)</f>
        <v>-1</v>
      </c>
      <c r="Q159" s="274" t="b">
        <f>VLOOKUP($B159,'Run Reconcile'!B$2:O2488,14,FALSE)</f>
        <v>1</v>
      </c>
      <c r="R159" s="472" t="str">
        <f t="array" ref="R159">IF($Q159, INDEX('Run Reconcile'!A$2:A2488,MATCH(B159,'Run Reconcile'!B$2:B2488,0),1),IFERROR(0/0,""))</f>
        <v>RUN-FLMP_2021-09-21_APS-053</v>
      </c>
      <c r="S159" s="473" t="str">
        <f t="shared" ref="S159:T159" si="322">IF(COUNTIF(W$2:W2488, $A159) &gt; 0,TRUE,IFERROR(0/0,""))</f>
        <v/>
      </c>
      <c r="T159" s="473" t="str">
        <f t="shared" si="322"/>
        <v/>
      </c>
      <c r="U159" s="275" t="str">
        <f t="array" ref="U159">IF(ISBLANK($R159), INDEX('Run Reconcile'!A$2:A2488, MATCH($B159, 'Run Reconcile'!B$2:B2488, 0)+Z159, 1), IFERROR(0/0,""))
</f>
        <v/>
      </c>
      <c r="V159" s="474" t="str">
        <f t="shared" si="5"/>
        <v>RUN-FLMP_2021-09-21_APS-053</v>
      </c>
      <c r="Y159" s="89" t="str">
        <f t="shared" si="6"/>
        <v/>
      </c>
      <c r="Z159" s="60" t="str">
        <f t="shared" si="7"/>
        <v/>
      </c>
      <c r="AA159" s="60" t="str">
        <f t="shared" si="8"/>
        <v/>
      </c>
      <c r="AB159" s="60" t="str">
        <f t="shared" si="9"/>
        <v/>
      </c>
      <c r="AC159" s="30" t="str">
        <f t="shared" ref="AC159:AD159" si="323">IF(_xlfn.ISFORMULA(S159),IFERROR(0/0,""),TRUE)</f>
        <v/>
      </c>
      <c r="AD159" s="30" t="str">
        <f t="shared" si="323"/>
        <v/>
      </c>
      <c r="AE159" s="475" t="str">
        <f>IFERROR(__xludf.DUMMYFUNCTION("""COMPUTED_VALUE"""),"FLSP")</f>
        <v>FLSP</v>
      </c>
      <c r="AF159" s="476"/>
      <c r="AG159" s="474" t="s">
        <v>85</v>
      </c>
      <c r="AH159" s="138" t="str">
        <f t="shared" si="11"/>
        <v/>
      </c>
    </row>
    <row r="160">
      <c r="A160" s="103" t="str">
        <f>IFERROR(__xludf.DUMMYFUNCTION("""COMPUTED_VALUE"""),"MAX409")</f>
        <v>MAX409</v>
      </c>
      <c r="B160" s="468">
        <f>IFERROR(__xludf.DUMMYFUNCTION("""COMPUTED_VALUE"""),44460.0)</f>
        <v>44460</v>
      </c>
      <c r="C160" s="469">
        <f>IFERROR(__xludf.DUMMYFUNCTION("""COMPUTED_VALUE"""),0.5946875)</f>
        <v>0.5946875</v>
      </c>
      <c r="D160" s="103" t="str">
        <f>IFERROR(__xludf.DUMMYFUNCTION("""COMPUTED_VALUE"""),"SpFLMP659315")</f>
        <v>SpFLMP659315</v>
      </c>
      <c r="E160" s="103"/>
      <c r="F160" s="103"/>
      <c r="G160" s="103" t="str">
        <f>IFERROR(__xludf.DUMMYFUNCTION("""COMPUTED_VALUE"""),"Null")</f>
        <v>Null</v>
      </c>
      <c r="H160" s="131" t="str">
        <f>IFERROR(__xludf.DUMMYFUNCTION("""COMPUTED_VALUE"""),"Negative")</f>
        <v>Negative</v>
      </c>
      <c r="I160" s="468"/>
      <c r="J160" s="16"/>
      <c r="K160" s="16">
        <f>IFERROR(__xludf.DUMMYFUNCTION("""COMPUTED_VALUE"""),2.0)</f>
        <v>2</v>
      </c>
      <c r="L160" s="8"/>
      <c r="M160" s="69"/>
      <c r="N160" s="69">
        <f>IFERROR(__xludf.DUMMYFUNCTION("""COMPUTED_VALUE"""),2.0)</f>
        <v>2</v>
      </c>
      <c r="O160" s="69" t="str">
        <f t="shared" si="3"/>
        <v/>
      </c>
      <c r="P160" s="471">
        <f>IFERROR(__xludf.DUMMYFUNCTION("""COMPUTED_VALUE"""),-1.0)</f>
        <v>-1</v>
      </c>
      <c r="Q160" s="274" t="b">
        <f>VLOOKUP($B160,'Run Reconcile'!B$2:O2488,14,FALSE)</f>
        <v>1</v>
      </c>
      <c r="R160" s="472" t="str">
        <f t="array" ref="R160">IF($Q160, INDEX('Run Reconcile'!A$2:A2488,MATCH(B160,'Run Reconcile'!B$2:B2488,0),1),IFERROR(0/0,""))</f>
        <v>RUN-FLMP_2021-09-21_APS-053</v>
      </c>
      <c r="S160" s="473" t="str">
        <f t="shared" ref="S160:T160" si="324">IF(COUNTIF(W$2:W2488, $A160) &gt; 0,TRUE,IFERROR(0/0,""))</f>
        <v/>
      </c>
      <c r="T160" s="473" t="str">
        <f t="shared" si="324"/>
        <v/>
      </c>
      <c r="U160" s="275" t="str">
        <f t="array" ref="U160">IF(ISBLANK($R160), INDEX('Run Reconcile'!A$2:A2488, MATCH($B160, 'Run Reconcile'!B$2:B2488, 0)+Z160, 1), IFERROR(0/0,""))
</f>
        <v/>
      </c>
      <c r="V160" s="474" t="str">
        <f t="shared" si="5"/>
        <v>RUN-FLMP_2021-09-21_APS-053</v>
      </c>
      <c r="Y160" s="89" t="str">
        <f t="shared" si="6"/>
        <v/>
      </c>
      <c r="Z160" s="60" t="str">
        <f t="shared" si="7"/>
        <v/>
      </c>
      <c r="AA160" s="60" t="str">
        <f t="shared" si="8"/>
        <v/>
      </c>
      <c r="AB160" s="60" t="str">
        <f t="shared" si="9"/>
        <v/>
      </c>
      <c r="AC160" s="30" t="str">
        <f t="shared" ref="AC160:AD160" si="325">IF(_xlfn.ISFORMULA(S160),IFERROR(0/0,""),TRUE)</f>
        <v/>
      </c>
      <c r="AD160" s="30" t="str">
        <f t="shared" si="325"/>
        <v/>
      </c>
      <c r="AE160" s="475" t="str">
        <f>IFERROR(__xludf.DUMMYFUNCTION("""COMPUTED_VALUE"""),"FLSP")</f>
        <v>FLSP</v>
      </c>
      <c r="AF160" s="476"/>
      <c r="AG160" s="474" t="s">
        <v>85</v>
      </c>
      <c r="AH160" s="138" t="str">
        <f t="shared" si="11"/>
        <v/>
      </c>
    </row>
    <row r="161">
      <c r="A161" s="103" t="str">
        <f>IFERROR(__xludf.DUMMYFUNCTION("""COMPUTED_VALUE"""),"MAX459A")</f>
        <v>MAX459A</v>
      </c>
      <c r="B161" s="468">
        <f>IFERROR(__xludf.DUMMYFUNCTION("""COMPUTED_VALUE"""),44463.0)</f>
        <v>44463</v>
      </c>
      <c r="C161" s="469">
        <f>IFERROR(__xludf.DUMMYFUNCTION("""COMPUTED_VALUE"""),0.7037962962962963)</f>
        <v>0.7037962963</v>
      </c>
      <c r="D161" s="103" t="str">
        <f>IFERROR(__xludf.DUMMYFUNCTION("""COMPUTED_VALUE"""),"SpFLMP659315")</f>
        <v>SpFLMP659315</v>
      </c>
      <c r="E161" s="103"/>
      <c r="F161" s="103"/>
      <c r="G161" s="103" t="str">
        <f>IFERROR(__xludf.DUMMYFUNCTION("""COMPUTED_VALUE"""),"Null")</f>
        <v>Null</v>
      </c>
      <c r="H161" s="131" t="str">
        <f>IFERROR(__xludf.DUMMYFUNCTION("""COMPUTED_VALUE"""),"Negative")</f>
        <v>Negative</v>
      </c>
      <c r="I161" s="468"/>
      <c r="J161" s="16"/>
      <c r="K161" s="16">
        <f>IFERROR(__xludf.DUMMYFUNCTION("""COMPUTED_VALUE"""),2.0)</f>
        <v>2</v>
      </c>
      <c r="L161" s="8"/>
      <c r="M161" s="69"/>
      <c r="N161" s="69">
        <f>IFERROR(__xludf.DUMMYFUNCTION("""COMPUTED_VALUE"""),2.0)</f>
        <v>2</v>
      </c>
      <c r="O161" s="69" t="b">
        <f t="shared" si="3"/>
        <v>1</v>
      </c>
      <c r="P161" s="471">
        <f>IFERROR(__xludf.DUMMYFUNCTION("""COMPUTED_VALUE"""),-1.0)</f>
        <v>-1</v>
      </c>
      <c r="Q161" s="274" t="b">
        <f>VLOOKUP($B161,'Run Reconcile'!B$2:O2488,14,FALSE)</f>
        <v>1</v>
      </c>
      <c r="R161" s="472" t="str">
        <f t="array" ref="R161">IF($Q161, INDEX('Run Reconcile'!A$2:A2488,MATCH(B161,'Run Reconcile'!B$2:B2488,0),1),IFERROR(0/0,""))</f>
        <v>RUN-FLMP_2021-09-24_APS-054</v>
      </c>
      <c r="S161" s="473" t="str">
        <f t="shared" ref="S161:T161" si="326">IF(COUNTIF(W$2:W2488, $A161) &gt; 0,TRUE,IFERROR(0/0,""))</f>
        <v/>
      </c>
      <c r="T161" s="473" t="str">
        <f t="shared" si="326"/>
        <v/>
      </c>
      <c r="U161" s="275" t="str">
        <f t="array" ref="U161">IF(ISBLANK($R161), INDEX('Run Reconcile'!A$2:A2488, MATCH($B161, 'Run Reconcile'!B$2:B2488, 0)+Z161, 1), IFERROR(0/0,""))
</f>
        <v/>
      </c>
      <c r="V161" s="474" t="str">
        <f t="shared" si="5"/>
        <v>RUN-FLMP_2021-09-24_APS-054</v>
      </c>
      <c r="Y161" s="89" t="str">
        <f t="shared" si="6"/>
        <v/>
      </c>
      <c r="Z161" s="60" t="str">
        <f t="shared" si="7"/>
        <v/>
      </c>
      <c r="AA161" s="60" t="str">
        <f t="shared" si="8"/>
        <v/>
      </c>
      <c r="AB161" s="60" t="str">
        <f t="shared" si="9"/>
        <v/>
      </c>
      <c r="AC161" s="30" t="str">
        <f t="shared" ref="AC161:AD161" si="327">IF(_xlfn.ISFORMULA(S161),IFERROR(0/0,""),TRUE)</f>
        <v/>
      </c>
      <c r="AD161" s="30" t="str">
        <f t="shared" si="327"/>
        <v/>
      </c>
      <c r="AE161" s="475" t="str">
        <f>IFERROR(__xludf.DUMMYFUNCTION("""COMPUTED_VALUE"""),"FLSP")</f>
        <v>FLSP</v>
      </c>
      <c r="AF161" s="476"/>
      <c r="AG161" s="474" t="s">
        <v>86</v>
      </c>
      <c r="AH161" s="138" t="str">
        <f t="shared" si="11"/>
        <v/>
      </c>
    </row>
    <row r="162">
      <c r="A162" s="103" t="str">
        <f>IFERROR(__xludf.DUMMYFUNCTION("""COMPUTED_VALUE"""),"MAX376")</f>
        <v>MAX376</v>
      </c>
      <c r="B162" s="468">
        <f>IFERROR(__xludf.DUMMYFUNCTION("""COMPUTED_VALUE"""),44463.0)</f>
        <v>44463</v>
      </c>
      <c r="C162" s="469">
        <f>IFERROR(__xludf.DUMMYFUNCTION("""COMPUTED_VALUE"""),0.7067939814814815)</f>
        <v>0.7067939815</v>
      </c>
      <c r="D162" s="103" t="str">
        <f>IFERROR(__xludf.DUMMYFUNCTION("""COMPUTED_VALUE"""),"SpFLMP659315")</f>
        <v>SpFLMP659315</v>
      </c>
      <c r="E162" s="103"/>
      <c r="F162" s="103"/>
      <c r="G162" s="103" t="str">
        <f>IFERROR(__xludf.DUMMYFUNCTION("""COMPUTED_VALUE"""),"Null")</f>
        <v>Null</v>
      </c>
      <c r="H162" s="131" t="str">
        <f>IFERROR(__xludf.DUMMYFUNCTION("""COMPUTED_VALUE"""),"Negative")</f>
        <v>Negative</v>
      </c>
      <c r="I162" s="468">
        <f>IFERROR(__xludf.DUMMYFUNCTION("""COMPUTED_VALUE"""),44886.0)</f>
        <v>44886</v>
      </c>
      <c r="J162" s="470">
        <f>IFERROR(__xludf.DUMMYFUNCTION("""COMPUTED_VALUE"""),0.5893402777777778)</f>
        <v>0.5893402778</v>
      </c>
      <c r="K162" s="16">
        <f>IFERROR(__xludf.DUMMYFUNCTION("""COMPUTED_VALUE"""),2.0)</f>
        <v>2</v>
      </c>
      <c r="L162" s="8"/>
      <c r="M162" s="69"/>
      <c r="N162" s="69">
        <f>IFERROR(__xludf.DUMMYFUNCTION("""COMPUTED_VALUE"""),1.0)</f>
        <v>1</v>
      </c>
      <c r="O162" s="69" t="str">
        <f t="shared" si="3"/>
        <v/>
      </c>
      <c r="P162" s="471">
        <f>IFERROR(__xludf.DUMMYFUNCTION("""COMPUTED_VALUE"""),423.0)</f>
        <v>423</v>
      </c>
      <c r="Q162" s="274" t="b">
        <f>VLOOKUP($B162,'Run Reconcile'!B$2:O2488,14,FALSE)</f>
        <v>1</v>
      </c>
      <c r="R162" s="472" t="str">
        <f t="array" ref="R162">IF($Q162, INDEX('Run Reconcile'!A$2:A2488,MATCH(B162,'Run Reconcile'!B$2:B2488,0),1),IFERROR(0/0,""))</f>
        <v>RUN-FLMP_2021-09-24_APS-054</v>
      </c>
      <c r="S162" s="473" t="str">
        <f t="shared" ref="S162:T162" si="328">IF(COUNTIF(W$2:W2488, $A162) &gt; 0,TRUE,IFERROR(0/0,""))</f>
        <v/>
      </c>
      <c r="T162" s="473" t="str">
        <f t="shared" si="328"/>
        <v/>
      </c>
      <c r="U162" s="275" t="str">
        <f t="array" ref="U162">IF(ISBLANK($R162), INDEX('Run Reconcile'!A$2:A2488, MATCH($B162, 'Run Reconcile'!B$2:B2488, 0)+Z162, 1), IFERROR(0/0,""))
</f>
        <v/>
      </c>
      <c r="V162" s="474" t="str">
        <f t="shared" si="5"/>
        <v>RUN-FLMP_2021-09-24_APS-054</v>
      </c>
      <c r="Y162" s="89" t="str">
        <f t="shared" si="6"/>
        <v/>
      </c>
      <c r="Z162" s="60" t="str">
        <f t="shared" si="7"/>
        <v/>
      </c>
      <c r="AA162" s="60" t="str">
        <f t="shared" si="8"/>
        <v/>
      </c>
      <c r="AB162" s="60" t="str">
        <f t="shared" si="9"/>
        <v/>
      </c>
      <c r="AC162" s="30" t="str">
        <f t="shared" ref="AC162:AD162" si="329">IF(_xlfn.ISFORMULA(S162),IFERROR(0/0,""),TRUE)</f>
        <v/>
      </c>
      <c r="AD162" s="30" t="str">
        <f t="shared" si="329"/>
        <v/>
      </c>
      <c r="AE162" s="475" t="str">
        <f>IFERROR(__xludf.DUMMYFUNCTION("""COMPUTED_VALUE"""),"FLSP")</f>
        <v>FLSP</v>
      </c>
      <c r="AF162" s="476"/>
      <c r="AG162" s="474" t="s">
        <v>86</v>
      </c>
      <c r="AH162" s="138" t="str">
        <f t="shared" si="11"/>
        <v/>
      </c>
    </row>
    <row r="163">
      <c r="A163" s="103" t="str">
        <f>IFERROR(__xludf.DUMMYFUNCTION("""COMPUTED_VALUE"""),"MAX445")</f>
        <v>MAX445</v>
      </c>
      <c r="B163" s="468">
        <f>IFERROR(__xludf.DUMMYFUNCTION("""COMPUTED_VALUE"""),44473.0)</f>
        <v>44473</v>
      </c>
      <c r="C163" s="469">
        <f>IFERROR(__xludf.DUMMYFUNCTION("""COMPUTED_VALUE"""),0.3850925925925926)</f>
        <v>0.3850925926</v>
      </c>
      <c r="D163" s="103" t="str">
        <f>IFERROR(__xludf.DUMMYFUNCTION("""COMPUTED_VALUE"""),"SpFLMP496039")</f>
        <v>SpFLMP496039</v>
      </c>
      <c r="E163" s="103"/>
      <c r="F163" s="103"/>
      <c r="G163" s="103" t="str">
        <f>IFERROR(__xludf.DUMMYFUNCTION("""COMPUTED_VALUE"""),"Negative")</f>
        <v>Negative</v>
      </c>
      <c r="H163" s="131" t="str">
        <f>IFERROR(__xludf.DUMMYFUNCTION("""COMPUTED_VALUE"""),"Negative")</f>
        <v>Negative</v>
      </c>
      <c r="I163" s="468">
        <f>IFERROR(__xludf.DUMMYFUNCTION("""COMPUTED_VALUE"""),44473.0)</f>
        <v>44473</v>
      </c>
      <c r="J163" s="470">
        <f>IFERROR(__xludf.DUMMYFUNCTION("""COMPUTED_VALUE"""),0.468125)</f>
        <v>0.468125</v>
      </c>
      <c r="K163" s="16"/>
      <c r="L163" s="8"/>
      <c r="M163" s="69"/>
      <c r="N163" s="69">
        <f>IFERROR(__xludf.DUMMYFUNCTION("""COMPUTED_VALUE"""),1.0)</f>
        <v>1</v>
      </c>
      <c r="O163" s="69" t="b">
        <f t="shared" si="3"/>
        <v>1</v>
      </c>
      <c r="P163" s="471">
        <f>IFERROR(__xludf.DUMMYFUNCTION("""COMPUTED_VALUE"""),0.0)</f>
        <v>0</v>
      </c>
      <c r="Q163" s="274" t="b">
        <f>VLOOKUP($B163,'Run Reconcile'!B$2:O2488,14,FALSE)</f>
        <v>1</v>
      </c>
      <c r="R163" s="472" t="str">
        <f t="array" ref="R163">IF($Q163, INDEX('Run Reconcile'!A$2:A2488,MATCH(B163,'Run Reconcile'!B$2:B2488,0),1),IFERROR(0/0,""))</f>
        <v>RUN-FLMP_2021-10-04_APS-055</v>
      </c>
      <c r="S163" s="473" t="str">
        <f t="shared" ref="S163:T163" si="330">IF(COUNTIF(W$2:W2488, $A163) &gt; 0,TRUE,IFERROR(0/0,""))</f>
        <v/>
      </c>
      <c r="T163" s="473" t="str">
        <f t="shared" si="330"/>
        <v/>
      </c>
      <c r="U163" s="275" t="str">
        <f t="array" ref="U163">IF(ISBLANK($R163), INDEX('Run Reconcile'!A$2:A2488, MATCH($B163, 'Run Reconcile'!B$2:B2488, 0)+Z163, 1), IFERROR(0/0,""))
</f>
        <v/>
      </c>
      <c r="V163" s="474" t="str">
        <f t="shared" si="5"/>
        <v>RUN-FLMP_2021-10-04_APS-055</v>
      </c>
      <c r="Y163" s="89" t="str">
        <f t="shared" si="6"/>
        <v/>
      </c>
      <c r="Z163" s="60" t="str">
        <f t="shared" si="7"/>
        <v/>
      </c>
      <c r="AA163" s="60" t="str">
        <f t="shared" si="8"/>
        <v/>
      </c>
      <c r="AB163" s="60" t="str">
        <f t="shared" si="9"/>
        <v/>
      </c>
      <c r="AC163" s="30" t="str">
        <f t="shared" ref="AC163:AD163" si="331">IF(_xlfn.ISFORMULA(S163),IFERROR(0/0,""),TRUE)</f>
        <v/>
      </c>
      <c r="AD163" s="30" t="str">
        <f t="shared" si="331"/>
        <v/>
      </c>
      <c r="AE163" s="475" t="str">
        <f>IFERROR(__xludf.DUMMYFUNCTION("""COMPUTED_VALUE"""),"FLSP")</f>
        <v>FLSP</v>
      </c>
      <c r="AF163" s="476"/>
      <c r="AG163" s="474" t="s">
        <v>87</v>
      </c>
      <c r="AH163" s="138" t="str">
        <f t="shared" si="11"/>
        <v/>
      </c>
    </row>
    <row r="164">
      <c r="A164" s="103" t="str">
        <f>IFERROR(__xludf.DUMMYFUNCTION("""COMPUTED_VALUE"""),"MAX380")</f>
        <v>MAX380</v>
      </c>
      <c r="B164" s="468">
        <f>IFERROR(__xludf.DUMMYFUNCTION("""COMPUTED_VALUE"""),44473.0)</f>
        <v>44473</v>
      </c>
      <c r="C164" s="469">
        <f>IFERROR(__xludf.DUMMYFUNCTION("""COMPUTED_VALUE"""),0.38604166666666667)</f>
        <v>0.3860416667</v>
      </c>
      <c r="D164" s="103" t="str">
        <f>IFERROR(__xludf.DUMMYFUNCTION("""COMPUTED_VALUE"""),"SpFLMP496039")</f>
        <v>SpFLMP496039</v>
      </c>
      <c r="E164" s="103"/>
      <c r="F164" s="103"/>
      <c r="G164" s="103" t="str">
        <f>IFERROR(__xludf.DUMMYFUNCTION("""COMPUTED_VALUE"""),"Negative")</f>
        <v>Negative</v>
      </c>
      <c r="H164" s="131" t="str">
        <f>IFERROR(__xludf.DUMMYFUNCTION("""COMPUTED_VALUE"""),"Negative")</f>
        <v>Negative</v>
      </c>
      <c r="I164" s="468">
        <f>IFERROR(__xludf.DUMMYFUNCTION("""COMPUTED_VALUE"""),44473.0)</f>
        <v>44473</v>
      </c>
      <c r="J164" s="470">
        <f>IFERROR(__xludf.DUMMYFUNCTION("""COMPUTED_VALUE"""),0.468125)</f>
        <v>0.468125</v>
      </c>
      <c r="K164" s="16"/>
      <c r="L164" s="8"/>
      <c r="M164" s="69"/>
      <c r="N164" s="69">
        <f>IFERROR(__xludf.DUMMYFUNCTION("""COMPUTED_VALUE"""),2.0)</f>
        <v>2</v>
      </c>
      <c r="O164" s="69" t="str">
        <f t="shared" si="3"/>
        <v/>
      </c>
      <c r="P164" s="471">
        <f>IFERROR(__xludf.DUMMYFUNCTION("""COMPUTED_VALUE"""),0.0)</f>
        <v>0</v>
      </c>
      <c r="Q164" s="274" t="b">
        <f>VLOOKUP($B164,'Run Reconcile'!B$2:O2488,14,FALSE)</f>
        <v>1</v>
      </c>
      <c r="R164" s="472" t="str">
        <f t="array" ref="R164">IF($Q164, INDEX('Run Reconcile'!A$2:A2488,MATCH(B164,'Run Reconcile'!B$2:B2488,0),1),IFERROR(0/0,""))</f>
        <v>RUN-FLMP_2021-10-04_APS-055</v>
      </c>
      <c r="S164" s="473" t="str">
        <f t="shared" ref="S164:T164" si="332">IF(COUNTIF(W$2:W2488, $A164) &gt; 0,TRUE,IFERROR(0/0,""))</f>
        <v/>
      </c>
      <c r="T164" s="473" t="str">
        <f t="shared" si="332"/>
        <v/>
      </c>
      <c r="U164" s="275" t="str">
        <f t="array" ref="U164">IF(ISBLANK($R164), INDEX('Run Reconcile'!A$2:A2488, MATCH($B164, 'Run Reconcile'!B$2:B2488, 0)+Z164, 1), IFERROR(0/0,""))
</f>
        <v/>
      </c>
      <c r="V164" s="474" t="str">
        <f t="shared" si="5"/>
        <v>RUN-FLMP_2021-10-04_APS-055</v>
      </c>
      <c r="Y164" s="89" t="str">
        <f t="shared" si="6"/>
        <v/>
      </c>
      <c r="Z164" s="60" t="str">
        <f t="shared" si="7"/>
        <v/>
      </c>
      <c r="AA164" s="60" t="str">
        <f t="shared" si="8"/>
        <v/>
      </c>
      <c r="AB164" s="60" t="str">
        <f t="shared" si="9"/>
        <v/>
      </c>
      <c r="AC164" s="30" t="str">
        <f t="shared" ref="AC164:AD164" si="333">IF(_xlfn.ISFORMULA(S164),IFERROR(0/0,""),TRUE)</f>
        <v/>
      </c>
      <c r="AD164" s="30" t="str">
        <f t="shared" si="333"/>
        <v/>
      </c>
      <c r="AE164" s="475" t="str">
        <f>IFERROR(__xludf.DUMMYFUNCTION("""COMPUTED_VALUE"""),"FLSP")</f>
        <v>FLSP</v>
      </c>
      <c r="AF164" s="476"/>
      <c r="AG164" s="474" t="s">
        <v>87</v>
      </c>
      <c r="AH164" s="138" t="str">
        <f t="shared" si="11"/>
        <v/>
      </c>
    </row>
    <row r="165">
      <c r="A165" s="103" t="str">
        <f>IFERROR(__xludf.DUMMYFUNCTION("""COMPUTED_VALUE"""),"FLM282")</f>
        <v>FLM282</v>
      </c>
      <c r="B165" s="468">
        <f>IFERROR(__xludf.DUMMYFUNCTION("""COMPUTED_VALUE"""),44474.0)</f>
        <v>44474</v>
      </c>
      <c r="C165" s="469">
        <f>IFERROR(__xludf.DUMMYFUNCTION("""COMPUTED_VALUE"""),0.6805555555555556)</f>
        <v>0.6805555556</v>
      </c>
      <c r="D165" s="103" t="str">
        <f>IFERROR(__xludf.DUMMYFUNCTION("""COMPUTED_VALUE"""),"SpFLMP659315")</f>
        <v>SpFLMP659315</v>
      </c>
      <c r="E165" s="103"/>
      <c r="F165" s="103"/>
      <c r="G165" s="103" t="str">
        <f>IFERROR(__xludf.DUMMYFUNCTION("""COMPUTED_VALUE"""),"Negative")</f>
        <v>Negative</v>
      </c>
      <c r="H165" s="131" t="str">
        <f>IFERROR(__xludf.DUMMYFUNCTION("""COMPUTED_VALUE"""),"Negative")</f>
        <v>Negative</v>
      </c>
      <c r="I165" s="468">
        <f>IFERROR(__xludf.DUMMYFUNCTION("""COMPUTED_VALUE"""),44474.0)</f>
        <v>44474</v>
      </c>
      <c r="J165" s="470">
        <f>IFERROR(__xludf.DUMMYFUNCTION("""COMPUTED_VALUE"""),0.7167939814814814)</f>
        <v>0.7167939815</v>
      </c>
      <c r="K165" s="16"/>
      <c r="L165" s="8"/>
      <c r="M165" s="69"/>
      <c r="N165" s="69">
        <f>IFERROR(__xludf.DUMMYFUNCTION("""COMPUTED_VALUE"""),2.0)</f>
        <v>2</v>
      </c>
      <c r="O165" s="69" t="b">
        <f t="shared" si="3"/>
        <v>1</v>
      </c>
      <c r="P165" s="471">
        <f>IFERROR(__xludf.DUMMYFUNCTION("""COMPUTED_VALUE"""),0.0)</f>
        <v>0</v>
      </c>
      <c r="Q165" s="274" t="b">
        <f>VLOOKUP($B165,'Run Reconcile'!B$2:O2488,14,FALSE)</f>
        <v>1</v>
      </c>
      <c r="R165" s="472" t="str">
        <f t="array" ref="R165">IF($Q165, INDEX('Run Reconcile'!A$2:A2488,MATCH(B165,'Run Reconcile'!B$2:B2488,0),1),IFERROR(0/0,""))</f>
        <v>RUN-FLMP_2021-10-05_APS-056</v>
      </c>
      <c r="S165" s="473" t="str">
        <f t="shared" ref="S165:T165" si="334">IF(COUNTIF(W$2:W2488, $A165) &gt; 0,TRUE,IFERROR(0/0,""))</f>
        <v/>
      </c>
      <c r="T165" s="473" t="str">
        <f t="shared" si="334"/>
        <v/>
      </c>
      <c r="U165" s="275" t="str">
        <f t="array" ref="U165">IF(ISBLANK($R165), INDEX('Run Reconcile'!A$2:A2488, MATCH($B165, 'Run Reconcile'!B$2:B2488, 0)+Z165, 1), IFERROR(0/0,""))
</f>
        <v/>
      </c>
      <c r="V165" s="474" t="str">
        <f t="shared" si="5"/>
        <v>RUN-FLMP_2021-10-05_APS-056</v>
      </c>
      <c r="Y165" s="89" t="str">
        <f t="shared" si="6"/>
        <v/>
      </c>
      <c r="Z165" s="60" t="str">
        <f t="shared" si="7"/>
        <v/>
      </c>
      <c r="AA165" s="60" t="str">
        <f t="shared" si="8"/>
        <v/>
      </c>
      <c r="AB165" s="60" t="str">
        <f t="shared" si="9"/>
        <v/>
      </c>
      <c r="AC165" s="30" t="str">
        <f t="shared" ref="AC165:AD165" si="335">IF(_xlfn.ISFORMULA(S165),IFERROR(0/0,""),TRUE)</f>
        <v/>
      </c>
      <c r="AD165" s="30" t="str">
        <f t="shared" si="335"/>
        <v/>
      </c>
      <c r="AE165" s="475" t="str">
        <f>IFERROR(__xludf.DUMMYFUNCTION("""COMPUTED_VALUE"""),"FLSP")</f>
        <v>FLSP</v>
      </c>
      <c r="AF165" s="476"/>
      <c r="AG165" s="474" t="s">
        <v>88</v>
      </c>
      <c r="AH165" s="138" t="str">
        <f t="shared" si="11"/>
        <v/>
      </c>
    </row>
    <row r="166">
      <c r="A166" s="103" t="str">
        <f>IFERROR(__xludf.DUMMYFUNCTION("""COMPUTED_VALUE"""),"FLM257")</f>
        <v>FLM257</v>
      </c>
      <c r="B166" s="468">
        <f>IFERROR(__xludf.DUMMYFUNCTION("""COMPUTED_VALUE"""),44474.0)</f>
        <v>44474</v>
      </c>
      <c r="C166" s="469">
        <f>IFERROR(__xludf.DUMMYFUNCTION("""COMPUTED_VALUE"""),0.681400462962963)</f>
        <v>0.681400463</v>
      </c>
      <c r="D166" s="103" t="str">
        <f>IFERROR(__xludf.DUMMYFUNCTION("""COMPUTED_VALUE"""),"SpFLMP659315")</f>
        <v>SpFLMP659315</v>
      </c>
      <c r="E166" s="103"/>
      <c r="F166" s="103"/>
      <c r="G166" s="103" t="str">
        <f>IFERROR(__xludf.DUMMYFUNCTION("""COMPUTED_VALUE"""),"Negative")</f>
        <v>Negative</v>
      </c>
      <c r="H166" s="131" t="str">
        <f>IFERROR(__xludf.DUMMYFUNCTION("""COMPUTED_VALUE"""),"Negative")</f>
        <v>Negative</v>
      </c>
      <c r="I166" s="468">
        <f>IFERROR(__xludf.DUMMYFUNCTION("""COMPUTED_VALUE"""),44474.0)</f>
        <v>44474</v>
      </c>
      <c r="J166" s="470">
        <f>IFERROR(__xludf.DUMMYFUNCTION("""COMPUTED_VALUE"""),0.7167939814814814)</f>
        <v>0.7167939815</v>
      </c>
      <c r="K166" s="16"/>
      <c r="L166" s="8"/>
      <c r="M166" s="69"/>
      <c r="N166" s="69">
        <f>IFERROR(__xludf.DUMMYFUNCTION("""COMPUTED_VALUE"""),1.0)</f>
        <v>1</v>
      </c>
      <c r="O166" s="69" t="str">
        <f t="shared" si="3"/>
        <v/>
      </c>
      <c r="P166" s="471">
        <f>IFERROR(__xludf.DUMMYFUNCTION("""COMPUTED_VALUE"""),0.0)</f>
        <v>0</v>
      </c>
      <c r="Q166" s="274" t="b">
        <f>VLOOKUP($B166,'Run Reconcile'!B$2:O2488,14,FALSE)</f>
        <v>1</v>
      </c>
      <c r="R166" s="472" t="str">
        <f t="array" ref="R166">IF($Q166, INDEX('Run Reconcile'!A$2:A2488,MATCH(B166,'Run Reconcile'!B$2:B2488,0),1),IFERROR(0/0,""))</f>
        <v>RUN-FLMP_2021-10-05_APS-056</v>
      </c>
      <c r="S166" s="473" t="str">
        <f t="shared" ref="S166:T166" si="336">IF(COUNTIF(W$2:W2488, $A166) &gt; 0,TRUE,IFERROR(0/0,""))</f>
        <v/>
      </c>
      <c r="T166" s="473" t="str">
        <f t="shared" si="336"/>
        <v/>
      </c>
      <c r="U166" s="275" t="str">
        <f t="array" ref="U166">IF(ISBLANK($R166), INDEX('Run Reconcile'!A$2:A2488, MATCH($B166, 'Run Reconcile'!B$2:B2488, 0)+Z166, 1), IFERROR(0/0,""))
</f>
        <v/>
      </c>
      <c r="V166" s="474" t="str">
        <f t="shared" si="5"/>
        <v>RUN-FLMP_2021-10-05_APS-056</v>
      </c>
      <c r="Y166" s="89" t="str">
        <f t="shared" si="6"/>
        <v/>
      </c>
      <c r="Z166" s="60" t="str">
        <f t="shared" si="7"/>
        <v/>
      </c>
      <c r="AA166" s="60" t="str">
        <f t="shared" si="8"/>
        <v/>
      </c>
      <c r="AB166" s="60" t="str">
        <f t="shared" si="9"/>
        <v/>
      </c>
      <c r="AC166" s="30" t="str">
        <f t="shared" ref="AC166:AD166" si="337">IF(_xlfn.ISFORMULA(S166),IFERROR(0/0,""),TRUE)</f>
        <v/>
      </c>
      <c r="AD166" s="30" t="str">
        <f t="shared" si="337"/>
        <v/>
      </c>
      <c r="AE166" s="475" t="str">
        <f>IFERROR(__xludf.DUMMYFUNCTION("""COMPUTED_VALUE"""),"FLSP")</f>
        <v>FLSP</v>
      </c>
      <c r="AF166" s="476"/>
      <c r="AG166" s="474" t="s">
        <v>88</v>
      </c>
      <c r="AH166" s="138" t="str">
        <f t="shared" si="11"/>
        <v/>
      </c>
    </row>
    <row r="167">
      <c r="A167" s="103" t="str">
        <f>IFERROR(__xludf.DUMMYFUNCTION("""COMPUTED_VALUE"""),"MAX453")</f>
        <v>MAX453</v>
      </c>
      <c r="B167" s="468">
        <f>IFERROR(__xludf.DUMMYFUNCTION("""COMPUTED_VALUE"""),44479.0)</f>
        <v>44479</v>
      </c>
      <c r="C167" s="469">
        <f>IFERROR(__xludf.DUMMYFUNCTION("""COMPUTED_VALUE"""),0.594849537037037)</f>
        <v>0.594849537</v>
      </c>
      <c r="D167" s="103" t="str">
        <f>IFERROR(__xludf.DUMMYFUNCTION("""COMPUTED_VALUE"""),"SpFLMP659315")</f>
        <v>SpFLMP659315</v>
      </c>
      <c r="E167" s="103"/>
      <c r="F167" s="103"/>
      <c r="G167" s="103" t="str">
        <f>IFERROR(__xludf.DUMMYFUNCTION("""COMPUTED_VALUE"""),"Negative")</f>
        <v>Negative</v>
      </c>
      <c r="H167" s="131" t="str">
        <f>IFERROR(__xludf.DUMMYFUNCTION("""COMPUTED_VALUE"""),"Negative")</f>
        <v>Negative</v>
      </c>
      <c r="I167" s="468">
        <f>IFERROR(__xludf.DUMMYFUNCTION("""COMPUTED_VALUE"""),44479.0)</f>
        <v>44479</v>
      </c>
      <c r="J167" s="470">
        <f>IFERROR(__xludf.DUMMYFUNCTION("""COMPUTED_VALUE"""),0.6456944444444445)</f>
        <v>0.6456944444</v>
      </c>
      <c r="K167" s="16"/>
      <c r="L167" s="8"/>
      <c r="M167" s="69"/>
      <c r="N167" s="69">
        <f>IFERROR(__xludf.DUMMYFUNCTION("""COMPUTED_VALUE"""),1.0)</f>
        <v>1</v>
      </c>
      <c r="O167" s="69" t="b">
        <f t="shared" si="3"/>
        <v>1</v>
      </c>
      <c r="P167" s="471">
        <f>IFERROR(__xludf.DUMMYFUNCTION("""COMPUTED_VALUE"""),0.0)</f>
        <v>0</v>
      </c>
      <c r="Q167" s="274" t="b">
        <f>VLOOKUP($B167,'Run Reconcile'!B$2:O2488,14,FALSE)</f>
        <v>1</v>
      </c>
      <c r="R167" s="472" t="str">
        <f t="array" ref="R167">IF($Q167, INDEX('Run Reconcile'!A$2:A2488,MATCH(B167,'Run Reconcile'!B$2:B2488,0),1),IFERROR(0/0,""))</f>
        <v>RUN-FLMP_2021-10-10_APS-057</v>
      </c>
      <c r="S167" s="473" t="str">
        <f t="shared" ref="S167:T167" si="338">IF(COUNTIF(W$2:W2488, $A167) &gt; 0,TRUE,IFERROR(0/0,""))</f>
        <v/>
      </c>
      <c r="T167" s="473" t="str">
        <f t="shared" si="338"/>
        <v/>
      </c>
      <c r="U167" s="275" t="str">
        <f t="array" ref="U167">IF(ISBLANK($R167), INDEX('Run Reconcile'!A$2:A2488, MATCH($B167, 'Run Reconcile'!B$2:B2488, 0)+Z167, 1), IFERROR(0/0,""))
</f>
        <v/>
      </c>
      <c r="V167" s="474" t="str">
        <f t="shared" si="5"/>
        <v>RUN-FLMP_2021-10-10_APS-057</v>
      </c>
      <c r="Y167" s="89" t="str">
        <f t="shared" si="6"/>
        <v/>
      </c>
      <c r="Z167" s="60" t="str">
        <f t="shared" si="7"/>
        <v/>
      </c>
      <c r="AA167" s="60" t="str">
        <f t="shared" si="8"/>
        <v/>
      </c>
      <c r="AB167" s="60" t="str">
        <f t="shared" si="9"/>
        <v/>
      </c>
      <c r="AC167" s="30" t="str">
        <f t="shared" ref="AC167:AD167" si="339">IF(_xlfn.ISFORMULA(S167),IFERROR(0/0,""),TRUE)</f>
        <v/>
      </c>
      <c r="AD167" s="30" t="str">
        <f t="shared" si="339"/>
        <v/>
      </c>
      <c r="AE167" s="475" t="str">
        <f>IFERROR(__xludf.DUMMYFUNCTION("""COMPUTED_VALUE"""),"FLSP")</f>
        <v>FLSP</v>
      </c>
      <c r="AF167" s="476"/>
      <c r="AG167" s="474" t="s">
        <v>89</v>
      </c>
      <c r="AH167" s="138" t="str">
        <f t="shared" si="11"/>
        <v/>
      </c>
    </row>
    <row r="168">
      <c r="A168" s="103" t="str">
        <f>IFERROR(__xludf.DUMMYFUNCTION("""COMPUTED_VALUE"""),"MAX438")</f>
        <v>MAX438</v>
      </c>
      <c r="B168" s="468">
        <f>IFERROR(__xludf.DUMMYFUNCTION("""COMPUTED_VALUE"""),44479.0)</f>
        <v>44479</v>
      </c>
      <c r="C168" s="469">
        <f>IFERROR(__xludf.DUMMYFUNCTION("""COMPUTED_VALUE"""),0.5953125)</f>
        <v>0.5953125</v>
      </c>
      <c r="D168" s="103" t="str">
        <f>IFERROR(__xludf.DUMMYFUNCTION("""COMPUTED_VALUE"""),"SpFLMP659315")</f>
        <v>SpFLMP659315</v>
      </c>
      <c r="E168" s="103"/>
      <c r="F168" s="103"/>
      <c r="G168" s="103" t="str">
        <f>IFERROR(__xludf.DUMMYFUNCTION("""COMPUTED_VALUE"""),"Negative")</f>
        <v>Negative</v>
      </c>
      <c r="H168" s="131" t="str">
        <f>IFERROR(__xludf.DUMMYFUNCTION("""COMPUTED_VALUE"""),"Negative")</f>
        <v>Negative</v>
      </c>
      <c r="I168" s="468">
        <f>IFERROR(__xludf.DUMMYFUNCTION("""COMPUTED_VALUE"""),44479.0)</f>
        <v>44479</v>
      </c>
      <c r="J168" s="470">
        <f>IFERROR(__xludf.DUMMYFUNCTION("""COMPUTED_VALUE"""),0.6456944444444445)</f>
        <v>0.6456944444</v>
      </c>
      <c r="K168" s="16"/>
      <c r="L168" s="8"/>
      <c r="M168" s="69"/>
      <c r="N168" s="69">
        <f>IFERROR(__xludf.DUMMYFUNCTION("""COMPUTED_VALUE"""),2.0)</f>
        <v>2</v>
      </c>
      <c r="O168" s="69" t="str">
        <f t="shared" si="3"/>
        <v/>
      </c>
      <c r="P168" s="471">
        <f>IFERROR(__xludf.DUMMYFUNCTION("""COMPUTED_VALUE"""),0.0)</f>
        <v>0</v>
      </c>
      <c r="Q168" s="274" t="b">
        <f>VLOOKUP($B168,'Run Reconcile'!B$2:O2488,14,FALSE)</f>
        <v>1</v>
      </c>
      <c r="R168" s="472" t="str">
        <f t="array" ref="R168">IF($Q168, INDEX('Run Reconcile'!A$2:A2488,MATCH(B168,'Run Reconcile'!B$2:B2488,0),1),IFERROR(0/0,""))</f>
        <v>RUN-FLMP_2021-10-10_APS-057</v>
      </c>
      <c r="S168" s="473" t="str">
        <f t="shared" ref="S168:T168" si="340">IF(COUNTIF(W$2:W2488, $A168) &gt; 0,TRUE,IFERROR(0/0,""))</f>
        <v/>
      </c>
      <c r="T168" s="473" t="str">
        <f t="shared" si="340"/>
        <v/>
      </c>
      <c r="U168" s="275" t="str">
        <f t="array" ref="U168">IF(ISBLANK($R168), INDEX('Run Reconcile'!A$2:A2488, MATCH($B168, 'Run Reconcile'!B$2:B2488, 0)+Z168, 1), IFERROR(0/0,""))
</f>
        <v/>
      </c>
      <c r="V168" s="474" t="str">
        <f t="shared" si="5"/>
        <v>RUN-FLMP_2021-10-10_APS-057</v>
      </c>
      <c r="Y168" s="89" t="str">
        <f t="shared" si="6"/>
        <v/>
      </c>
      <c r="Z168" s="60" t="str">
        <f t="shared" si="7"/>
        <v/>
      </c>
      <c r="AA168" s="60" t="str">
        <f t="shared" si="8"/>
        <v/>
      </c>
      <c r="AB168" s="60" t="str">
        <f t="shared" si="9"/>
        <v/>
      </c>
      <c r="AC168" s="30" t="str">
        <f t="shared" ref="AC168:AD168" si="341">IF(_xlfn.ISFORMULA(S168),IFERROR(0/0,""),TRUE)</f>
        <v/>
      </c>
      <c r="AD168" s="30" t="str">
        <f t="shared" si="341"/>
        <v/>
      </c>
      <c r="AE168" s="475" t="str">
        <f>IFERROR(__xludf.DUMMYFUNCTION("""COMPUTED_VALUE"""),"FLSP")</f>
        <v>FLSP</v>
      </c>
      <c r="AF168" s="476"/>
      <c r="AG168" s="474" t="s">
        <v>89</v>
      </c>
      <c r="AH168" s="138" t="str">
        <f t="shared" si="11"/>
        <v/>
      </c>
    </row>
    <row r="169">
      <c r="A169" s="103" t="str">
        <f>IFERROR(__xludf.DUMMYFUNCTION("""COMPUTED_VALUE"""),"FLM296")</f>
        <v>FLM296</v>
      </c>
      <c r="B169" s="468">
        <f>IFERROR(__xludf.DUMMYFUNCTION("""COMPUTED_VALUE"""),44479.0)</f>
        <v>44479</v>
      </c>
      <c r="C169" s="469">
        <f>IFERROR(__xludf.DUMMYFUNCTION("""COMPUTED_VALUE"""),0.6444097222222223)</f>
        <v>0.6444097222</v>
      </c>
      <c r="D169" s="103" t="str">
        <f>IFERROR(__xludf.DUMMYFUNCTION("""COMPUTED_VALUE"""),"SpFLMP659315")</f>
        <v>SpFLMP659315</v>
      </c>
      <c r="E169" s="103"/>
      <c r="F169" s="103"/>
      <c r="G169" s="103" t="str">
        <f>IFERROR(__xludf.DUMMYFUNCTION("""COMPUTED_VALUE"""),"Negative")</f>
        <v>Negative</v>
      </c>
      <c r="H169" s="131" t="str">
        <f>IFERROR(__xludf.DUMMYFUNCTION("""COMPUTED_VALUE"""),"Negative")</f>
        <v>Negative</v>
      </c>
      <c r="I169" s="468">
        <f>IFERROR(__xludf.DUMMYFUNCTION("""COMPUTED_VALUE"""),44479.0)</f>
        <v>44479</v>
      </c>
      <c r="J169" s="470">
        <f>IFERROR(__xludf.DUMMYFUNCTION("""COMPUTED_VALUE"""),0.6456944444444445)</f>
        <v>0.6456944444</v>
      </c>
      <c r="K169" s="16"/>
      <c r="L169" s="8"/>
      <c r="M169" s="69"/>
      <c r="N169" s="69">
        <f>IFERROR(__xludf.DUMMYFUNCTION("""COMPUTED_VALUE"""),1.0)</f>
        <v>1</v>
      </c>
      <c r="O169" s="69" t="str">
        <f t="shared" si="3"/>
        <v/>
      </c>
      <c r="P169" s="471">
        <f>IFERROR(__xludf.DUMMYFUNCTION("""COMPUTED_VALUE"""),0.0)</f>
        <v>0</v>
      </c>
      <c r="Q169" s="274" t="b">
        <f>VLOOKUP($B169,'Run Reconcile'!B$2:O2488,14,FALSE)</f>
        <v>1</v>
      </c>
      <c r="R169" s="472" t="str">
        <f t="array" ref="R169">IF($Q169, INDEX('Run Reconcile'!A$2:A2488,MATCH(B169,'Run Reconcile'!B$2:B2488,0),1),IFERROR(0/0,""))</f>
        <v>RUN-FLMP_2021-10-10_APS-057</v>
      </c>
      <c r="S169" s="473" t="str">
        <f t="shared" ref="S169:T169" si="342">IF(COUNTIF(W$2:W2488, $A169) &gt; 0,TRUE,IFERROR(0/0,""))</f>
        <v/>
      </c>
      <c r="T169" s="473" t="str">
        <f t="shared" si="342"/>
        <v/>
      </c>
      <c r="U169" s="275" t="str">
        <f t="array" ref="U169">IF(ISBLANK($R169), INDEX('Run Reconcile'!A$2:A2488, MATCH($B169, 'Run Reconcile'!B$2:B2488, 0)+Z169, 1), IFERROR(0/0,""))
</f>
        <v/>
      </c>
      <c r="V169" s="474" t="str">
        <f t="shared" si="5"/>
        <v>RUN-FLMP_2021-10-10_APS-057</v>
      </c>
      <c r="Y169" s="89" t="str">
        <f t="shared" si="6"/>
        <v/>
      </c>
      <c r="Z169" s="60" t="str">
        <f t="shared" si="7"/>
        <v/>
      </c>
      <c r="AA169" s="60" t="str">
        <f t="shared" si="8"/>
        <v/>
      </c>
      <c r="AB169" s="60" t="str">
        <f t="shared" si="9"/>
        <v/>
      </c>
      <c r="AC169" s="30" t="str">
        <f t="shared" ref="AC169:AD169" si="343">IF(_xlfn.ISFORMULA(S169),IFERROR(0/0,""),TRUE)</f>
        <v/>
      </c>
      <c r="AD169" s="30" t="str">
        <f t="shared" si="343"/>
        <v/>
      </c>
      <c r="AE169" s="475" t="str">
        <f>IFERROR(__xludf.DUMMYFUNCTION("""COMPUTED_VALUE"""),"FLSP")</f>
        <v>FLSP</v>
      </c>
      <c r="AF169" s="476"/>
      <c r="AG169" s="474" t="s">
        <v>89</v>
      </c>
      <c r="AH169" s="138" t="str">
        <f t="shared" si="11"/>
        <v/>
      </c>
    </row>
    <row r="170">
      <c r="A170" s="103" t="str">
        <f>IFERROR(__xludf.DUMMYFUNCTION("""COMPUTED_VALUE"""),"FLM249")</f>
        <v>FLM249</v>
      </c>
      <c r="B170" s="468">
        <f>IFERROR(__xludf.DUMMYFUNCTION("""COMPUTED_VALUE"""),44482.0)</f>
        <v>44482</v>
      </c>
      <c r="C170" s="469">
        <f>IFERROR(__xludf.DUMMYFUNCTION("""COMPUTED_VALUE"""),0.9556018518518519)</f>
        <v>0.9556018519</v>
      </c>
      <c r="D170" s="103" t="str">
        <f>IFERROR(__xludf.DUMMYFUNCTION("""COMPUTED_VALUE"""),"SpFLMP659315")</f>
        <v>SpFLMP659315</v>
      </c>
      <c r="E170" s="103"/>
      <c r="F170" s="103"/>
      <c r="G170" s="103" t="str">
        <f>IFERROR(__xludf.DUMMYFUNCTION("""COMPUTED_VALUE"""),"Negative")</f>
        <v>Negative</v>
      </c>
      <c r="H170" s="131" t="str">
        <f>IFERROR(__xludf.DUMMYFUNCTION("""COMPUTED_VALUE"""),"Negative")</f>
        <v>Negative</v>
      </c>
      <c r="I170" s="468">
        <f>IFERROR(__xludf.DUMMYFUNCTION("""COMPUTED_VALUE"""),44484.0)</f>
        <v>44484</v>
      </c>
      <c r="J170" s="470">
        <f>IFERROR(__xludf.DUMMYFUNCTION("""COMPUTED_VALUE"""),0.2903472222222222)</f>
        <v>0.2903472222</v>
      </c>
      <c r="K170" s="16"/>
      <c r="L170" s="8"/>
      <c r="M170" s="69"/>
      <c r="N170" s="69">
        <f>IFERROR(__xludf.DUMMYFUNCTION("""COMPUTED_VALUE"""),2.0)</f>
        <v>2</v>
      </c>
      <c r="O170" s="69" t="b">
        <f t="shared" si="3"/>
        <v>1</v>
      </c>
      <c r="P170" s="471">
        <f>IFERROR(__xludf.DUMMYFUNCTION("""COMPUTED_VALUE"""),2.0)</f>
        <v>2</v>
      </c>
      <c r="Q170" s="274" t="b">
        <f>VLOOKUP($B170,'Run Reconcile'!B$2:O2488,14,FALSE)</f>
        <v>1</v>
      </c>
      <c r="R170" s="472" t="str">
        <f t="array" ref="R170">IF($Q170, INDEX('Run Reconcile'!A$2:A2488,MATCH(B170,'Run Reconcile'!B$2:B2488,0),1),IFERROR(0/0,""))</f>
        <v>RUN-FLMP_2021-10-13_APS-058</v>
      </c>
      <c r="S170" s="473" t="str">
        <f t="shared" ref="S170:T170" si="344">IF(COUNTIF(W$2:W2488, $A170) &gt; 0,TRUE,IFERROR(0/0,""))</f>
        <v/>
      </c>
      <c r="T170" s="473" t="str">
        <f t="shared" si="344"/>
        <v/>
      </c>
      <c r="U170" s="275" t="str">
        <f t="array" ref="U170">IF(ISBLANK($R170), INDEX('Run Reconcile'!A$2:A2488, MATCH($B170, 'Run Reconcile'!B$2:B2488, 0)+Z170, 1), IFERROR(0/0,""))
</f>
        <v/>
      </c>
      <c r="V170" s="474" t="str">
        <f t="shared" si="5"/>
        <v>RUN-FLMP_2021-10-13_APS-058</v>
      </c>
      <c r="Y170" s="89" t="str">
        <f t="shared" si="6"/>
        <v/>
      </c>
      <c r="Z170" s="60" t="str">
        <f t="shared" si="7"/>
        <v/>
      </c>
      <c r="AA170" s="60" t="str">
        <f t="shared" si="8"/>
        <v/>
      </c>
      <c r="AB170" s="60" t="str">
        <f t="shared" si="9"/>
        <v/>
      </c>
      <c r="AC170" s="30" t="str">
        <f t="shared" ref="AC170:AD170" si="345">IF(_xlfn.ISFORMULA(S170),IFERROR(0/0,""),TRUE)</f>
        <v/>
      </c>
      <c r="AD170" s="30" t="str">
        <f t="shared" si="345"/>
        <v/>
      </c>
      <c r="AE170" s="475" t="str">
        <f>IFERROR(__xludf.DUMMYFUNCTION("""COMPUTED_VALUE"""),"FLSP")</f>
        <v>FLSP</v>
      </c>
      <c r="AF170" s="476"/>
      <c r="AG170" s="474" t="s">
        <v>90</v>
      </c>
      <c r="AH170" s="138" t="str">
        <f t="shared" si="11"/>
        <v/>
      </c>
    </row>
    <row r="171">
      <c r="A171" s="103" t="str">
        <f>IFERROR(__xludf.DUMMYFUNCTION("""COMPUTED_VALUE"""),"FLM258")</f>
        <v>FLM258</v>
      </c>
      <c r="B171" s="468">
        <f>IFERROR(__xludf.DUMMYFUNCTION("""COMPUTED_VALUE"""),44482.0)</f>
        <v>44482</v>
      </c>
      <c r="C171" s="469">
        <f>IFERROR(__xludf.DUMMYFUNCTION("""COMPUTED_VALUE"""),0.9561574074074074)</f>
        <v>0.9561574074</v>
      </c>
      <c r="D171" s="103" t="str">
        <f>IFERROR(__xludf.DUMMYFUNCTION("""COMPUTED_VALUE"""),"SpFLMP659315")</f>
        <v>SpFLMP659315</v>
      </c>
      <c r="E171" s="103"/>
      <c r="F171" s="103"/>
      <c r="G171" s="103" t="str">
        <f>IFERROR(__xludf.DUMMYFUNCTION("""COMPUTED_VALUE"""),"Negative")</f>
        <v>Negative</v>
      </c>
      <c r="H171" s="131" t="str">
        <f>IFERROR(__xludf.DUMMYFUNCTION("""COMPUTED_VALUE"""),"Negative")</f>
        <v>Negative</v>
      </c>
      <c r="I171" s="468">
        <f>IFERROR(__xludf.DUMMYFUNCTION("""COMPUTED_VALUE"""),44484.0)</f>
        <v>44484</v>
      </c>
      <c r="J171" s="470">
        <f>IFERROR(__xludf.DUMMYFUNCTION("""COMPUTED_VALUE"""),0.2903472222222222)</f>
        <v>0.2903472222</v>
      </c>
      <c r="K171" s="16"/>
      <c r="L171" s="8"/>
      <c r="M171" s="69"/>
      <c r="N171" s="69">
        <f>IFERROR(__xludf.DUMMYFUNCTION("""COMPUTED_VALUE"""),2.0)</f>
        <v>2</v>
      </c>
      <c r="O171" s="69" t="str">
        <f t="shared" si="3"/>
        <v/>
      </c>
      <c r="P171" s="471">
        <f>IFERROR(__xludf.DUMMYFUNCTION("""COMPUTED_VALUE"""),2.0)</f>
        <v>2</v>
      </c>
      <c r="Q171" s="274" t="b">
        <f>VLOOKUP($B171,'Run Reconcile'!B$2:O2488,14,FALSE)</f>
        <v>1</v>
      </c>
      <c r="R171" s="472" t="str">
        <f t="array" ref="R171">IF($Q171, INDEX('Run Reconcile'!A$2:A2488,MATCH(B171,'Run Reconcile'!B$2:B2488,0),1),IFERROR(0/0,""))</f>
        <v>RUN-FLMP_2021-10-13_APS-058</v>
      </c>
      <c r="S171" s="473" t="str">
        <f t="shared" ref="S171:T171" si="346">IF(COUNTIF(W$2:W2488, $A171) &gt; 0,TRUE,IFERROR(0/0,""))</f>
        <v/>
      </c>
      <c r="T171" s="473" t="str">
        <f t="shared" si="346"/>
        <v/>
      </c>
      <c r="U171" s="275" t="str">
        <f t="array" ref="U171">IF(ISBLANK($R171), INDEX('Run Reconcile'!A$2:A2488, MATCH($B171, 'Run Reconcile'!B$2:B2488, 0)+Z171, 1), IFERROR(0/0,""))
</f>
        <v/>
      </c>
      <c r="V171" s="474" t="str">
        <f t="shared" si="5"/>
        <v>RUN-FLMP_2021-10-13_APS-058</v>
      </c>
      <c r="Y171" s="89" t="str">
        <f t="shared" si="6"/>
        <v/>
      </c>
      <c r="Z171" s="60" t="str">
        <f t="shared" si="7"/>
        <v/>
      </c>
      <c r="AA171" s="60" t="str">
        <f t="shared" si="8"/>
        <v/>
      </c>
      <c r="AB171" s="60" t="str">
        <f t="shared" si="9"/>
        <v/>
      </c>
      <c r="AC171" s="30" t="str">
        <f t="shared" ref="AC171:AD171" si="347">IF(_xlfn.ISFORMULA(S171),IFERROR(0/0,""),TRUE)</f>
        <v/>
      </c>
      <c r="AD171" s="30" t="str">
        <f t="shared" si="347"/>
        <v/>
      </c>
      <c r="AE171" s="475" t="str">
        <f>IFERROR(__xludf.DUMMYFUNCTION("""COMPUTED_VALUE"""),"FLSP")</f>
        <v>FLSP</v>
      </c>
      <c r="AF171" s="476"/>
      <c r="AG171" s="474" t="s">
        <v>90</v>
      </c>
      <c r="AH171" s="138" t="str">
        <f t="shared" si="11"/>
        <v/>
      </c>
    </row>
    <row r="172">
      <c r="A172" s="103" t="str">
        <f>IFERROR(__xludf.DUMMYFUNCTION("""COMPUTED_VALUE"""),"FLM272")</f>
        <v>FLM272</v>
      </c>
      <c r="B172" s="468">
        <f>IFERROR(__xludf.DUMMYFUNCTION("""COMPUTED_VALUE"""),44485.0)</f>
        <v>44485</v>
      </c>
      <c r="C172" s="469">
        <f>IFERROR(__xludf.DUMMYFUNCTION("""COMPUTED_VALUE"""),0.3309722222222222)</f>
        <v>0.3309722222</v>
      </c>
      <c r="D172" s="103" t="str">
        <f>IFERROR(__xludf.DUMMYFUNCTION("""COMPUTED_VALUE"""),"SpFLMP659315")</f>
        <v>SpFLMP659315</v>
      </c>
      <c r="E172" s="103"/>
      <c r="F172" s="103"/>
      <c r="G172" s="103" t="str">
        <f>IFERROR(__xludf.DUMMYFUNCTION("""COMPUTED_VALUE"""),"Negative")</f>
        <v>Negative</v>
      </c>
      <c r="H172" s="131" t="str">
        <f>IFERROR(__xludf.DUMMYFUNCTION("""COMPUTED_VALUE"""),"Negative")</f>
        <v>Negative</v>
      </c>
      <c r="I172" s="468">
        <f>IFERROR(__xludf.DUMMYFUNCTION("""COMPUTED_VALUE"""),44485.0)</f>
        <v>44485</v>
      </c>
      <c r="J172" s="470">
        <f>IFERROR(__xludf.DUMMYFUNCTION("""COMPUTED_VALUE"""),0.33216435185185184)</f>
        <v>0.3321643519</v>
      </c>
      <c r="K172" s="16"/>
      <c r="L172" s="8"/>
      <c r="M172" s="69"/>
      <c r="N172" s="69">
        <f>IFERROR(__xludf.DUMMYFUNCTION("""COMPUTED_VALUE"""),3.0)</f>
        <v>3</v>
      </c>
      <c r="O172" s="69" t="b">
        <f t="shared" si="3"/>
        <v>1</v>
      </c>
      <c r="P172" s="471">
        <f>IFERROR(__xludf.DUMMYFUNCTION("""COMPUTED_VALUE"""),0.0)</f>
        <v>0</v>
      </c>
      <c r="Q172" s="274" t="b">
        <f>VLOOKUP($B172,'Run Reconcile'!B$2:O2488,14,FALSE)</f>
        <v>1</v>
      </c>
      <c r="R172" s="472" t="str">
        <f t="array" ref="R172">IF($Q172, INDEX('Run Reconcile'!A$2:A2488,MATCH(B172,'Run Reconcile'!B$2:B2488,0),1),IFERROR(0/0,""))</f>
        <v>RUN-FLMP_2021-10-16_APS-059</v>
      </c>
      <c r="S172" s="473" t="str">
        <f t="shared" ref="S172:T172" si="348">IF(COUNTIF(W$2:W2488, $A172) &gt; 0,TRUE,IFERROR(0/0,""))</f>
        <v/>
      </c>
      <c r="T172" s="473" t="str">
        <f t="shared" si="348"/>
        <v/>
      </c>
      <c r="U172" s="275" t="str">
        <f t="array" ref="U172">IF(ISBLANK($R172), INDEX('Run Reconcile'!A$2:A2488, MATCH($B172, 'Run Reconcile'!B$2:B2488, 0)+Z172, 1), IFERROR(0/0,""))
</f>
        <v/>
      </c>
      <c r="V172" s="474" t="str">
        <f t="shared" si="5"/>
        <v>RUN-FLMP_2021-10-16_APS-059</v>
      </c>
      <c r="Y172" s="89" t="str">
        <f t="shared" si="6"/>
        <v/>
      </c>
      <c r="Z172" s="60" t="str">
        <f t="shared" si="7"/>
        <v/>
      </c>
      <c r="AA172" s="60" t="str">
        <f t="shared" si="8"/>
        <v/>
      </c>
      <c r="AB172" s="60" t="str">
        <f t="shared" si="9"/>
        <v/>
      </c>
      <c r="AC172" s="30" t="str">
        <f t="shared" ref="AC172:AD172" si="349">IF(_xlfn.ISFORMULA(S172),IFERROR(0/0,""),TRUE)</f>
        <v/>
      </c>
      <c r="AD172" s="30" t="str">
        <f t="shared" si="349"/>
        <v/>
      </c>
      <c r="AE172" s="475" t="str">
        <f>IFERROR(__xludf.DUMMYFUNCTION("""COMPUTED_VALUE"""),"FLSP")</f>
        <v>FLSP</v>
      </c>
      <c r="AF172" s="476"/>
      <c r="AG172" s="474" t="s">
        <v>91</v>
      </c>
      <c r="AH172" s="138" t="str">
        <f t="shared" si="11"/>
        <v/>
      </c>
    </row>
    <row r="173">
      <c r="A173" s="103" t="str">
        <f>IFERROR(__xludf.DUMMYFUNCTION("""COMPUTED_VALUE"""),"FLM280")</f>
        <v>FLM280</v>
      </c>
      <c r="B173" s="468">
        <f>IFERROR(__xludf.DUMMYFUNCTION("""COMPUTED_VALUE"""),44485.0)</f>
        <v>44485</v>
      </c>
      <c r="C173" s="469">
        <f>IFERROR(__xludf.DUMMYFUNCTION("""COMPUTED_VALUE"""),0.3334259259259259)</f>
        <v>0.3334259259</v>
      </c>
      <c r="D173" s="103" t="str">
        <f>IFERROR(__xludf.DUMMYFUNCTION("""COMPUTED_VALUE"""),"SpFLMP659315")</f>
        <v>SpFLMP659315</v>
      </c>
      <c r="E173" s="103"/>
      <c r="F173" s="103"/>
      <c r="G173" s="103" t="str">
        <f>IFERROR(__xludf.DUMMYFUNCTION("""COMPUTED_VALUE"""),"Negative")</f>
        <v>Negative</v>
      </c>
      <c r="H173" s="131" t="str">
        <f>IFERROR(__xludf.DUMMYFUNCTION("""COMPUTED_VALUE"""),"Negative")</f>
        <v>Negative</v>
      </c>
      <c r="I173" s="468">
        <f>IFERROR(__xludf.DUMMYFUNCTION("""COMPUTED_VALUE"""),44485.0)</f>
        <v>44485</v>
      </c>
      <c r="J173" s="470">
        <f>IFERROR(__xludf.DUMMYFUNCTION("""COMPUTED_VALUE"""),0.36810185185185185)</f>
        <v>0.3681018519</v>
      </c>
      <c r="K173" s="16"/>
      <c r="L173" s="8"/>
      <c r="M173" s="69"/>
      <c r="N173" s="69">
        <f>IFERROR(__xludf.DUMMYFUNCTION("""COMPUTED_VALUE"""),2.0)</f>
        <v>2</v>
      </c>
      <c r="O173" s="69" t="str">
        <f t="shared" si="3"/>
        <v/>
      </c>
      <c r="P173" s="471">
        <f>IFERROR(__xludf.DUMMYFUNCTION("""COMPUTED_VALUE"""),0.0)</f>
        <v>0</v>
      </c>
      <c r="Q173" s="274" t="b">
        <f>VLOOKUP($B173,'Run Reconcile'!B$2:O2488,14,FALSE)</f>
        <v>1</v>
      </c>
      <c r="R173" s="472" t="str">
        <f t="array" ref="R173">IF($Q173, INDEX('Run Reconcile'!A$2:A2488,MATCH(B173,'Run Reconcile'!B$2:B2488,0),1),IFERROR(0/0,""))</f>
        <v>RUN-FLMP_2021-10-16_APS-059</v>
      </c>
      <c r="S173" s="473" t="str">
        <f t="shared" ref="S173:T173" si="350">IF(COUNTIF(W$2:W2488, $A173) &gt; 0,TRUE,IFERROR(0/0,""))</f>
        <v/>
      </c>
      <c r="T173" s="473" t="str">
        <f t="shared" si="350"/>
        <v/>
      </c>
      <c r="U173" s="275" t="str">
        <f t="array" ref="U173">IF(ISBLANK($R173), INDEX('Run Reconcile'!A$2:A2488, MATCH($B173, 'Run Reconcile'!B$2:B2488, 0)+Z173, 1), IFERROR(0/0,""))
</f>
        <v/>
      </c>
      <c r="V173" s="474" t="str">
        <f t="shared" si="5"/>
        <v>RUN-FLMP_2021-10-16_APS-059</v>
      </c>
      <c r="Y173" s="89" t="str">
        <f t="shared" si="6"/>
        <v/>
      </c>
      <c r="Z173" s="60" t="str">
        <f t="shared" si="7"/>
        <v/>
      </c>
      <c r="AA173" s="60" t="str">
        <f t="shared" si="8"/>
        <v/>
      </c>
      <c r="AB173" s="60" t="str">
        <f t="shared" si="9"/>
        <v/>
      </c>
      <c r="AC173" s="30" t="str">
        <f t="shared" ref="AC173:AD173" si="351">IF(_xlfn.ISFORMULA(S173),IFERROR(0/0,""),TRUE)</f>
        <v/>
      </c>
      <c r="AD173" s="30" t="str">
        <f t="shared" si="351"/>
        <v/>
      </c>
      <c r="AE173" s="475" t="str">
        <f>IFERROR(__xludf.DUMMYFUNCTION("""COMPUTED_VALUE"""),"FLSP")</f>
        <v>FLSP</v>
      </c>
      <c r="AF173" s="476"/>
      <c r="AG173" s="474" t="s">
        <v>91</v>
      </c>
      <c r="AH173" s="138" t="str">
        <f t="shared" si="11"/>
        <v/>
      </c>
    </row>
    <row r="174">
      <c r="A174" s="103" t="str">
        <f>IFERROR(__xludf.DUMMYFUNCTION("""COMPUTED_VALUE"""),"FLM261")</f>
        <v>FLM261</v>
      </c>
      <c r="B174" s="468">
        <f>IFERROR(__xludf.DUMMYFUNCTION("""COMPUTED_VALUE"""),44485.0)</f>
        <v>44485</v>
      </c>
      <c r="C174" s="469">
        <f>IFERROR(__xludf.DUMMYFUNCTION("""COMPUTED_VALUE"""),0.33402777777777776)</f>
        <v>0.3340277778</v>
      </c>
      <c r="D174" s="103" t="str">
        <f>IFERROR(__xludf.DUMMYFUNCTION("""COMPUTED_VALUE"""),"SpFLMP659315")</f>
        <v>SpFLMP659315</v>
      </c>
      <c r="E174" s="103"/>
      <c r="F174" s="103"/>
      <c r="G174" s="103" t="str">
        <f>IFERROR(__xludf.DUMMYFUNCTION("""COMPUTED_VALUE"""),"Negative")</f>
        <v>Negative</v>
      </c>
      <c r="H174" s="131" t="str">
        <f>IFERROR(__xludf.DUMMYFUNCTION("""COMPUTED_VALUE"""),"Negative")</f>
        <v>Negative</v>
      </c>
      <c r="I174" s="468">
        <f>IFERROR(__xludf.DUMMYFUNCTION("""COMPUTED_VALUE"""),44485.0)</f>
        <v>44485</v>
      </c>
      <c r="J174" s="470">
        <f>IFERROR(__xludf.DUMMYFUNCTION("""COMPUTED_VALUE"""),0.36810185185185185)</f>
        <v>0.3681018519</v>
      </c>
      <c r="K174" s="16"/>
      <c r="L174" s="8"/>
      <c r="M174" s="69"/>
      <c r="N174" s="69">
        <f>IFERROR(__xludf.DUMMYFUNCTION("""COMPUTED_VALUE"""),2.0)</f>
        <v>2</v>
      </c>
      <c r="O174" s="69" t="str">
        <f t="shared" si="3"/>
        <v/>
      </c>
      <c r="P174" s="471">
        <f>IFERROR(__xludf.DUMMYFUNCTION("""COMPUTED_VALUE"""),0.0)</f>
        <v>0</v>
      </c>
      <c r="Q174" s="274" t="b">
        <f>VLOOKUP($B174,'Run Reconcile'!B$2:O2488,14,FALSE)</f>
        <v>1</v>
      </c>
      <c r="R174" s="472" t="str">
        <f t="array" ref="R174">IF($Q174, INDEX('Run Reconcile'!A$2:A2488,MATCH(B174,'Run Reconcile'!B$2:B2488,0),1),IFERROR(0/0,""))</f>
        <v>RUN-FLMP_2021-10-16_APS-059</v>
      </c>
      <c r="S174" s="473" t="str">
        <f t="shared" ref="S174:T174" si="352">IF(COUNTIF(W$2:W2488, $A174) &gt; 0,TRUE,IFERROR(0/0,""))</f>
        <v/>
      </c>
      <c r="T174" s="473" t="str">
        <f t="shared" si="352"/>
        <v/>
      </c>
      <c r="U174" s="275" t="str">
        <f t="array" ref="U174">IF(ISBLANK($R174), INDEX('Run Reconcile'!A$2:A2488, MATCH($B174, 'Run Reconcile'!B$2:B2488, 0)+Z174, 1), IFERROR(0/0,""))
</f>
        <v/>
      </c>
      <c r="V174" s="474" t="str">
        <f t="shared" si="5"/>
        <v>RUN-FLMP_2021-10-16_APS-059</v>
      </c>
      <c r="Y174" s="89" t="str">
        <f t="shared" si="6"/>
        <v/>
      </c>
      <c r="Z174" s="60" t="str">
        <f t="shared" si="7"/>
        <v/>
      </c>
      <c r="AA174" s="60" t="str">
        <f t="shared" si="8"/>
        <v/>
      </c>
      <c r="AB174" s="60" t="str">
        <f t="shared" si="9"/>
        <v/>
      </c>
      <c r="AC174" s="30" t="str">
        <f t="shared" ref="AC174:AD174" si="353">IF(_xlfn.ISFORMULA(S174),IFERROR(0/0,""),TRUE)</f>
        <v/>
      </c>
      <c r="AD174" s="30" t="str">
        <f t="shared" si="353"/>
        <v/>
      </c>
      <c r="AE174" s="475" t="str">
        <f>IFERROR(__xludf.DUMMYFUNCTION("""COMPUTED_VALUE"""),"FLSP")</f>
        <v>FLSP</v>
      </c>
      <c r="AF174" s="476"/>
      <c r="AG174" s="474" t="s">
        <v>91</v>
      </c>
      <c r="AH174" s="138" t="str">
        <f t="shared" si="11"/>
        <v/>
      </c>
    </row>
    <row r="175">
      <c r="A175" s="103" t="str">
        <f>IFERROR(__xludf.DUMMYFUNCTION("""COMPUTED_VALUE"""),"FLM266")</f>
        <v>FLM266</v>
      </c>
      <c r="B175" s="468">
        <f>IFERROR(__xludf.DUMMYFUNCTION("""COMPUTED_VALUE"""),44488.0)</f>
        <v>44488</v>
      </c>
      <c r="C175" s="469">
        <f>IFERROR(__xludf.DUMMYFUNCTION("""COMPUTED_VALUE"""),0.37450231481481483)</f>
        <v>0.3745023148</v>
      </c>
      <c r="D175" s="103" t="str">
        <f>IFERROR(__xludf.DUMMYFUNCTION("""COMPUTED_VALUE"""),"SpFLMP659315")</f>
        <v>SpFLMP659315</v>
      </c>
      <c r="E175" s="103"/>
      <c r="F175" s="103"/>
      <c r="G175" s="103" t="str">
        <f>IFERROR(__xludf.DUMMYFUNCTION("""COMPUTED_VALUE"""),"Negative")</f>
        <v>Negative</v>
      </c>
      <c r="H175" s="131" t="str">
        <f>IFERROR(__xludf.DUMMYFUNCTION("""COMPUTED_VALUE"""),"Negative")</f>
        <v>Negative</v>
      </c>
      <c r="I175" s="468">
        <f>IFERROR(__xludf.DUMMYFUNCTION("""COMPUTED_VALUE"""),44492.0)</f>
        <v>44492</v>
      </c>
      <c r="J175" s="470">
        <f>IFERROR(__xludf.DUMMYFUNCTION("""COMPUTED_VALUE"""),0.5520833333333334)</f>
        <v>0.5520833333</v>
      </c>
      <c r="K175" s="16"/>
      <c r="L175" s="8"/>
      <c r="M175" s="69"/>
      <c r="N175" s="69">
        <f>IFERROR(__xludf.DUMMYFUNCTION("""COMPUTED_VALUE"""),4.0)</f>
        <v>4</v>
      </c>
      <c r="O175" s="69" t="b">
        <f t="shared" si="3"/>
        <v>1</v>
      </c>
      <c r="P175" s="471">
        <f>IFERROR(__xludf.DUMMYFUNCTION("""COMPUTED_VALUE"""),4.0)</f>
        <v>4</v>
      </c>
      <c r="Q175" s="274" t="b">
        <f>VLOOKUP($B175,'Run Reconcile'!B$2:O2488,14,FALSE)</f>
        <v>1</v>
      </c>
      <c r="R175" s="472" t="str">
        <f t="array" ref="R175">IF($Q175, INDEX('Run Reconcile'!A$2:A2488,MATCH(B175,'Run Reconcile'!B$2:B2488,0),1),IFERROR(0/0,""))</f>
        <v>RUN-FLMP_2021-10-19_APS-060</v>
      </c>
      <c r="S175" s="473" t="str">
        <f t="shared" ref="S175:T175" si="354">IF(COUNTIF(W$2:W2488, $A175) &gt; 0,TRUE,IFERROR(0/0,""))</f>
        <v/>
      </c>
      <c r="T175" s="473" t="str">
        <f t="shared" si="354"/>
        <v/>
      </c>
      <c r="U175" s="275" t="str">
        <f t="array" ref="U175">IF(ISBLANK($R175), INDEX('Run Reconcile'!A$2:A2488, MATCH($B175, 'Run Reconcile'!B$2:B2488, 0)+Z175, 1), IFERROR(0/0,""))
</f>
        <v/>
      </c>
      <c r="V175" s="474" t="str">
        <f t="shared" si="5"/>
        <v>RUN-FLMP_2021-10-19_APS-060</v>
      </c>
      <c r="Y175" s="89" t="str">
        <f t="shared" si="6"/>
        <v/>
      </c>
      <c r="Z175" s="60" t="str">
        <f t="shared" si="7"/>
        <v/>
      </c>
      <c r="AA175" s="60" t="str">
        <f t="shared" si="8"/>
        <v/>
      </c>
      <c r="AB175" s="60" t="str">
        <f t="shared" si="9"/>
        <v/>
      </c>
      <c r="AC175" s="30" t="str">
        <f t="shared" ref="AC175:AD175" si="355">IF(_xlfn.ISFORMULA(S175),IFERROR(0/0,""),TRUE)</f>
        <v/>
      </c>
      <c r="AD175" s="30" t="str">
        <f t="shared" si="355"/>
        <v/>
      </c>
      <c r="AE175" s="475" t="str">
        <f>IFERROR(__xludf.DUMMYFUNCTION("""COMPUTED_VALUE"""),"FLSP")</f>
        <v>FLSP</v>
      </c>
      <c r="AF175" s="476"/>
      <c r="AG175" s="474" t="s">
        <v>92</v>
      </c>
      <c r="AH175" s="138" t="str">
        <f t="shared" si="11"/>
        <v/>
      </c>
    </row>
    <row r="176">
      <c r="A176" s="103" t="str">
        <f>IFERROR(__xludf.DUMMYFUNCTION("""COMPUTED_VALUE"""),"FLM274")</f>
        <v>FLM274</v>
      </c>
      <c r="B176" s="468">
        <f>IFERROR(__xludf.DUMMYFUNCTION("""COMPUTED_VALUE"""),44488.0)</f>
        <v>44488</v>
      </c>
      <c r="C176" s="469">
        <f>IFERROR(__xludf.DUMMYFUNCTION("""COMPUTED_VALUE"""),0.3753587962962963)</f>
        <v>0.3753587963</v>
      </c>
      <c r="D176" s="103" t="str">
        <f>IFERROR(__xludf.DUMMYFUNCTION("""COMPUTED_VALUE"""),"SpFLMP659315")</f>
        <v>SpFLMP659315</v>
      </c>
      <c r="E176" s="103"/>
      <c r="F176" s="103"/>
      <c r="G176" s="103" t="str">
        <f>IFERROR(__xludf.DUMMYFUNCTION("""COMPUTED_VALUE"""),"Negative")</f>
        <v>Negative</v>
      </c>
      <c r="H176" s="131" t="str">
        <f>IFERROR(__xludf.DUMMYFUNCTION("""COMPUTED_VALUE"""),"Negative")</f>
        <v>Negative</v>
      </c>
      <c r="I176" s="468">
        <f>IFERROR(__xludf.DUMMYFUNCTION("""COMPUTED_VALUE"""),44492.0)</f>
        <v>44492</v>
      </c>
      <c r="J176" s="470">
        <f>IFERROR(__xludf.DUMMYFUNCTION("""COMPUTED_VALUE"""),0.5520833333333334)</f>
        <v>0.5520833333</v>
      </c>
      <c r="K176" s="16"/>
      <c r="L176" s="8"/>
      <c r="M176" s="69"/>
      <c r="N176" s="69">
        <f>IFERROR(__xludf.DUMMYFUNCTION("""COMPUTED_VALUE"""),1.0)</f>
        <v>1</v>
      </c>
      <c r="O176" s="69" t="str">
        <f t="shared" si="3"/>
        <v/>
      </c>
      <c r="P176" s="471">
        <f>IFERROR(__xludf.DUMMYFUNCTION("""COMPUTED_VALUE"""),4.0)</f>
        <v>4</v>
      </c>
      <c r="Q176" s="274" t="b">
        <f>VLOOKUP($B176,'Run Reconcile'!B$2:O2488,14,FALSE)</f>
        <v>1</v>
      </c>
      <c r="R176" s="472" t="str">
        <f t="array" ref="R176">IF($Q176, INDEX('Run Reconcile'!A$2:A2488,MATCH(B176,'Run Reconcile'!B$2:B2488,0),1),IFERROR(0/0,""))</f>
        <v>RUN-FLMP_2021-10-19_APS-060</v>
      </c>
      <c r="S176" s="473" t="str">
        <f t="shared" ref="S176:T176" si="356">IF(COUNTIF(W$2:W2488, $A176) &gt; 0,TRUE,IFERROR(0/0,""))</f>
        <v/>
      </c>
      <c r="T176" s="473" t="str">
        <f t="shared" si="356"/>
        <v/>
      </c>
      <c r="U176" s="275" t="str">
        <f t="array" ref="U176">IF(ISBLANK($R176), INDEX('Run Reconcile'!A$2:A2488, MATCH($B176, 'Run Reconcile'!B$2:B2488, 0)+Z176, 1), IFERROR(0/0,""))
</f>
        <v/>
      </c>
      <c r="V176" s="474" t="str">
        <f t="shared" si="5"/>
        <v>RUN-FLMP_2021-10-19_APS-060</v>
      </c>
      <c r="Y176" s="89" t="str">
        <f t="shared" si="6"/>
        <v/>
      </c>
      <c r="Z176" s="60" t="str">
        <f t="shared" si="7"/>
        <v/>
      </c>
      <c r="AA176" s="60" t="str">
        <f t="shared" si="8"/>
        <v/>
      </c>
      <c r="AB176" s="60" t="str">
        <f t="shared" si="9"/>
        <v/>
      </c>
      <c r="AC176" s="30" t="str">
        <f t="shared" ref="AC176:AD176" si="357">IF(_xlfn.ISFORMULA(S176),IFERROR(0/0,""),TRUE)</f>
        <v/>
      </c>
      <c r="AD176" s="30" t="str">
        <f t="shared" si="357"/>
        <v/>
      </c>
      <c r="AE176" s="475" t="str">
        <f>IFERROR(__xludf.DUMMYFUNCTION("""COMPUTED_VALUE"""),"FLSP")</f>
        <v>FLSP</v>
      </c>
      <c r="AF176" s="476"/>
      <c r="AG176" s="474" t="s">
        <v>92</v>
      </c>
      <c r="AH176" s="138" t="str">
        <f t="shared" si="11"/>
        <v/>
      </c>
    </row>
    <row r="177">
      <c r="A177" s="103" t="str">
        <f>IFERROR(__xludf.DUMMYFUNCTION("""COMPUTED_VALUE"""),"FLM283")</f>
        <v>FLM283</v>
      </c>
      <c r="B177" s="468">
        <f>IFERROR(__xludf.DUMMYFUNCTION("""COMPUTED_VALUE"""),44490.0)</f>
        <v>44490</v>
      </c>
      <c r="C177" s="469">
        <f>IFERROR(__xludf.DUMMYFUNCTION("""COMPUTED_VALUE"""),0.3797800925925926)</f>
        <v>0.3797800926</v>
      </c>
      <c r="D177" s="103" t="str">
        <f>IFERROR(__xludf.DUMMYFUNCTION("""COMPUTED_VALUE"""),"SpFLMP496039")</f>
        <v>SpFLMP496039</v>
      </c>
      <c r="E177" s="103"/>
      <c r="F177" s="103"/>
      <c r="G177" s="103" t="str">
        <f>IFERROR(__xludf.DUMMYFUNCTION("""COMPUTED_VALUE"""),"Negative")</f>
        <v>Negative</v>
      </c>
      <c r="H177" s="131" t="str">
        <f>IFERROR(__xludf.DUMMYFUNCTION("""COMPUTED_VALUE"""),"Negative")</f>
        <v>Negative</v>
      </c>
      <c r="I177" s="468">
        <f>IFERROR(__xludf.DUMMYFUNCTION("""COMPUTED_VALUE"""),44492.0)</f>
        <v>44492</v>
      </c>
      <c r="J177" s="470">
        <f>IFERROR(__xludf.DUMMYFUNCTION("""COMPUTED_VALUE"""),0.5520833333333334)</f>
        <v>0.5520833333</v>
      </c>
      <c r="K177" s="16"/>
      <c r="L177" s="8"/>
      <c r="M177" s="69"/>
      <c r="N177" s="69">
        <f>IFERROR(__xludf.DUMMYFUNCTION("""COMPUTED_VALUE"""),1.0)</f>
        <v>1</v>
      </c>
      <c r="O177" s="69" t="b">
        <f t="shared" si="3"/>
        <v>1</v>
      </c>
      <c r="P177" s="471">
        <f>IFERROR(__xludf.DUMMYFUNCTION("""COMPUTED_VALUE"""),2.0)</f>
        <v>2</v>
      </c>
      <c r="Q177" s="274" t="b">
        <f>VLOOKUP($B177,'Run Reconcile'!B$2:O2488,14,FALSE)</f>
        <v>1</v>
      </c>
      <c r="R177" s="472" t="str">
        <f t="array" ref="R177">IF($Q177, INDEX('Run Reconcile'!A$2:A2488,MATCH(B177,'Run Reconcile'!B$2:B2488,0),1),IFERROR(0/0,""))</f>
        <v>RUN-FLMP_2021-10-21_APS-061</v>
      </c>
      <c r="S177" s="473" t="str">
        <f t="shared" ref="S177:T177" si="358">IF(COUNTIF(W$2:W2488, $A177) &gt; 0,TRUE,IFERROR(0/0,""))</f>
        <v/>
      </c>
      <c r="T177" s="473" t="str">
        <f t="shared" si="358"/>
        <v/>
      </c>
      <c r="U177" s="275" t="str">
        <f t="array" ref="U177">IF(ISBLANK($R177), INDEX('Run Reconcile'!A$2:A2488, MATCH($B177, 'Run Reconcile'!B$2:B2488, 0)+Z177, 1), IFERROR(0/0,""))
</f>
        <v/>
      </c>
      <c r="V177" s="474" t="str">
        <f t="shared" si="5"/>
        <v>RUN-FLMP_2021-10-21_APS-061</v>
      </c>
      <c r="Y177" s="89" t="str">
        <f t="shared" si="6"/>
        <v/>
      </c>
      <c r="Z177" s="60" t="str">
        <f t="shared" si="7"/>
        <v/>
      </c>
      <c r="AA177" s="60" t="str">
        <f t="shared" si="8"/>
        <v/>
      </c>
      <c r="AB177" s="60" t="str">
        <f t="shared" si="9"/>
        <v/>
      </c>
      <c r="AC177" s="30" t="str">
        <f t="shared" ref="AC177:AD177" si="359">IF(_xlfn.ISFORMULA(S177),IFERROR(0/0,""),TRUE)</f>
        <v/>
      </c>
      <c r="AD177" s="30" t="str">
        <f t="shared" si="359"/>
        <v/>
      </c>
      <c r="AE177" s="475" t="str">
        <f>IFERROR(__xludf.DUMMYFUNCTION("""COMPUTED_VALUE"""),"FLSP")</f>
        <v>FLSP</v>
      </c>
      <c r="AF177" s="476"/>
      <c r="AG177" s="474" t="s">
        <v>93</v>
      </c>
      <c r="AH177" s="138" t="str">
        <f t="shared" si="11"/>
        <v/>
      </c>
    </row>
    <row r="178">
      <c r="A178" s="103" t="str">
        <f>IFERROR(__xludf.DUMMYFUNCTION("""COMPUTED_VALUE"""),"FLM284")</f>
        <v>FLM284</v>
      </c>
      <c r="B178" s="468">
        <f>IFERROR(__xludf.DUMMYFUNCTION("""COMPUTED_VALUE"""),44490.0)</f>
        <v>44490</v>
      </c>
      <c r="C178" s="469">
        <f>IFERROR(__xludf.DUMMYFUNCTION("""COMPUTED_VALUE"""),0.38157407407407407)</f>
        <v>0.3815740741</v>
      </c>
      <c r="D178" s="103" t="str">
        <f>IFERROR(__xludf.DUMMYFUNCTION("""COMPUTED_VALUE"""),"SpFLMP496039")</f>
        <v>SpFLMP496039</v>
      </c>
      <c r="E178" s="103"/>
      <c r="F178" s="103"/>
      <c r="G178" s="103" t="str">
        <f>IFERROR(__xludf.DUMMYFUNCTION("""COMPUTED_VALUE"""),"Negative")</f>
        <v>Negative</v>
      </c>
      <c r="H178" s="131" t="str">
        <f>IFERROR(__xludf.DUMMYFUNCTION("""COMPUTED_VALUE"""),"Negative")</f>
        <v>Negative</v>
      </c>
      <c r="I178" s="468">
        <f>IFERROR(__xludf.DUMMYFUNCTION("""COMPUTED_VALUE"""),44492.0)</f>
        <v>44492</v>
      </c>
      <c r="J178" s="470">
        <f>IFERROR(__xludf.DUMMYFUNCTION("""COMPUTED_VALUE"""),0.5520833333333334)</f>
        <v>0.5520833333</v>
      </c>
      <c r="K178" s="16"/>
      <c r="L178" s="8"/>
      <c r="M178" s="69"/>
      <c r="N178" s="69">
        <f>IFERROR(__xludf.DUMMYFUNCTION("""COMPUTED_VALUE"""),1.0)</f>
        <v>1</v>
      </c>
      <c r="O178" s="69" t="str">
        <f t="shared" si="3"/>
        <v/>
      </c>
      <c r="P178" s="471">
        <f>IFERROR(__xludf.DUMMYFUNCTION("""COMPUTED_VALUE"""),2.0)</f>
        <v>2</v>
      </c>
      <c r="Q178" s="274" t="b">
        <f>VLOOKUP($B178,'Run Reconcile'!B$2:O2488,14,FALSE)</f>
        <v>1</v>
      </c>
      <c r="R178" s="472" t="str">
        <f t="array" ref="R178">IF($Q178, INDEX('Run Reconcile'!A$2:A2488,MATCH(B178,'Run Reconcile'!B$2:B2488,0),1),IFERROR(0/0,""))</f>
        <v>RUN-FLMP_2021-10-21_APS-061</v>
      </c>
      <c r="S178" s="473" t="str">
        <f t="shared" ref="S178:T178" si="360">IF(COUNTIF(W$2:W2488, $A178) &gt; 0,TRUE,IFERROR(0/0,""))</f>
        <v/>
      </c>
      <c r="T178" s="473" t="str">
        <f t="shared" si="360"/>
        <v/>
      </c>
      <c r="U178" s="275" t="str">
        <f t="array" ref="U178">IF(ISBLANK($R178), INDEX('Run Reconcile'!A$2:A2488, MATCH($B178, 'Run Reconcile'!B$2:B2488, 0)+Z178, 1), IFERROR(0/0,""))
</f>
        <v/>
      </c>
      <c r="V178" s="474" t="str">
        <f t="shared" si="5"/>
        <v>RUN-FLMP_2021-10-21_APS-061</v>
      </c>
      <c r="Y178" s="89" t="str">
        <f t="shared" si="6"/>
        <v/>
      </c>
      <c r="Z178" s="60" t="str">
        <f t="shared" si="7"/>
        <v/>
      </c>
      <c r="AA178" s="60" t="str">
        <f t="shared" si="8"/>
        <v/>
      </c>
      <c r="AB178" s="60" t="str">
        <f t="shared" si="9"/>
        <v/>
      </c>
      <c r="AC178" s="30" t="str">
        <f t="shared" ref="AC178:AD178" si="361">IF(_xlfn.ISFORMULA(S178),IFERROR(0/0,""),TRUE)</f>
        <v/>
      </c>
      <c r="AD178" s="30" t="str">
        <f t="shared" si="361"/>
        <v/>
      </c>
      <c r="AE178" s="475" t="str">
        <f>IFERROR(__xludf.DUMMYFUNCTION("""COMPUTED_VALUE"""),"FLSP")</f>
        <v>FLSP</v>
      </c>
      <c r="AF178" s="476"/>
      <c r="AG178" s="474" t="s">
        <v>93</v>
      </c>
      <c r="AH178" s="138" t="str">
        <f t="shared" si="11"/>
        <v/>
      </c>
    </row>
    <row r="179">
      <c r="A179" s="103" t="str">
        <f>IFERROR(__xludf.DUMMYFUNCTION("""COMPUTED_VALUE"""),"FLM248")</f>
        <v>FLM248</v>
      </c>
      <c r="B179" s="468">
        <f>IFERROR(__xludf.DUMMYFUNCTION("""COMPUTED_VALUE"""),44490.0)</f>
        <v>44490</v>
      </c>
      <c r="C179" s="469">
        <f>IFERROR(__xludf.DUMMYFUNCTION("""COMPUTED_VALUE"""),0.3820601851851852)</f>
        <v>0.3820601852</v>
      </c>
      <c r="D179" s="103" t="str">
        <f>IFERROR(__xludf.DUMMYFUNCTION("""COMPUTED_VALUE"""),"SpFLMP496039")</f>
        <v>SpFLMP496039</v>
      </c>
      <c r="E179" s="103"/>
      <c r="F179" s="103"/>
      <c r="G179" s="103" t="str">
        <f>IFERROR(__xludf.DUMMYFUNCTION("""COMPUTED_VALUE"""),"Negative")</f>
        <v>Negative</v>
      </c>
      <c r="H179" s="131" t="str">
        <f>IFERROR(__xludf.DUMMYFUNCTION("""COMPUTED_VALUE"""),"Negative")</f>
        <v>Negative</v>
      </c>
      <c r="I179" s="468">
        <f>IFERROR(__xludf.DUMMYFUNCTION("""COMPUTED_VALUE"""),44492.0)</f>
        <v>44492</v>
      </c>
      <c r="J179" s="470">
        <f>IFERROR(__xludf.DUMMYFUNCTION("""COMPUTED_VALUE"""),0.5520833333333334)</f>
        <v>0.5520833333</v>
      </c>
      <c r="K179" s="16"/>
      <c r="L179" s="8"/>
      <c r="M179" s="69"/>
      <c r="N179" s="69">
        <f>IFERROR(__xludf.DUMMYFUNCTION("""COMPUTED_VALUE"""),2.0)</f>
        <v>2</v>
      </c>
      <c r="O179" s="69" t="str">
        <f t="shared" si="3"/>
        <v/>
      </c>
      <c r="P179" s="471">
        <f>IFERROR(__xludf.DUMMYFUNCTION("""COMPUTED_VALUE"""),2.0)</f>
        <v>2</v>
      </c>
      <c r="Q179" s="274" t="b">
        <f>VLOOKUP($B179,'Run Reconcile'!B$2:O2488,14,FALSE)</f>
        <v>1</v>
      </c>
      <c r="R179" s="472" t="str">
        <f t="array" ref="R179">IF($Q179, INDEX('Run Reconcile'!A$2:A2488,MATCH(B179,'Run Reconcile'!B$2:B2488,0),1),IFERROR(0/0,""))</f>
        <v>RUN-FLMP_2021-10-21_APS-061</v>
      </c>
      <c r="S179" s="473" t="str">
        <f t="shared" ref="S179:T179" si="362">IF(COUNTIF(W$2:W2488, $A179) &gt; 0,TRUE,IFERROR(0/0,""))</f>
        <v/>
      </c>
      <c r="T179" s="473" t="str">
        <f t="shared" si="362"/>
        <v/>
      </c>
      <c r="U179" s="275" t="str">
        <f t="array" ref="U179">IF(ISBLANK($R179), INDEX('Run Reconcile'!A$2:A2488, MATCH($B179, 'Run Reconcile'!B$2:B2488, 0)+Z179, 1), IFERROR(0/0,""))
</f>
        <v/>
      </c>
      <c r="V179" s="474" t="str">
        <f t="shared" si="5"/>
        <v>RUN-FLMP_2021-10-21_APS-061</v>
      </c>
      <c r="Y179" s="89" t="str">
        <f t="shared" si="6"/>
        <v/>
      </c>
      <c r="Z179" s="60" t="str">
        <f t="shared" si="7"/>
        <v/>
      </c>
      <c r="AA179" s="60" t="str">
        <f t="shared" si="8"/>
        <v/>
      </c>
      <c r="AB179" s="60" t="str">
        <f t="shared" si="9"/>
        <v/>
      </c>
      <c r="AC179" s="30" t="str">
        <f t="shared" ref="AC179:AD179" si="363">IF(_xlfn.ISFORMULA(S179),IFERROR(0/0,""),TRUE)</f>
        <v/>
      </c>
      <c r="AD179" s="30" t="str">
        <f t="shared" si="363"/>
        <v/>
      </c>
      <c r="AE179" s="475" t="str">
        <f>IFERROR(__xludf.DUMMYFUNCTION("""COMPUTED_VALUE"""),"FLSP")</f>
        <v>FLSP</v>
      </c>
      <c r="AF179" s="476"/>
      <c r="AG179" s="474" t="s">
        <v>93</v>
      </c>
      <c r="AH179" s="138" t="str">
        <f t="shared" si="11"/>
        <v/>
      </c>
    </row>
    <row r="180">
      <c r="A180" s="103" t="str">
        <f>IFERROR(__xludf.DUMMYFUNCTION("""COMPUTED_VALUE"""),"FLM278")</f>
        <v>FLM278</v>
      </c>
      <c r="B180" s="468">
        <f>IFERROR(__xludf.DUMMYFUNCTION("""COMPUTED_VALUE"""),44492.0)</f>
        <v>44492</v>
      </c>
      <c r="C180" s="469">
        <f>IFERROR(__xludf.DUMMYFUNCTION("""COMPUTED_VALUE"""),0.4376851851851852)</f>
        <v>0.4376851852</v>
      </c>
      <c r="D180" s="103" t="str">
        <f>IFERROR(__xludf.DUMMYFUNCTION("""COMPUTED_VALUE"""),"SpFLMP659315")</f>
        <v>SpFLMP659315</v>
      </c>
      <c r="E180" s="103"/>
      <c r="F180" s="103"/>
      <c r="G180" s="103" t="str">
        <f>IFERROR(__xludf.DUMMYFUNCTION("""COMPUTED_VALUE"""),"Negative")</f>
        <v>Negative</v>
      </c>
      <c r="H180" s="131" t="str">
        <f>IFERROR(__xludf.DUMMYFUNCTION("""COMPUTED_VALUE"""),"Negative")</f>
        <v>Negative</v>
      </c>
      <c r="I180" s="468">
        <f>IFERROR(__xludf.DUMMYFUNCTION("""COMPUTED_VALUE"""),44499.0)</f>
        <v>44499</v>
      </c>
      <c r="J180" s="470">
        <f>IFERROR(__xludf.DUMMYFUNCTION("""COMPUTED_VALUE"""),0.5608449074074074)</f>
        <v>0.5608449074</v>
      </c>
      <c r="K180" s="16"/>
      <c r="L180" s="8"/>
      <c r="M180" s="69"/>
      <c r="N180" s="69">
        <f>IFERROR(__xludf.DUMMYFUNCTION("""COMPUTED_VALUE"""),2.0)</f>
        <v>2</v>
      </c>
      <c r="O180" s="69" t="b">
        <f t="shared" si="3"/>
        <v>1</v>
      </c>
      <c r="P180" s="471">
        <f>IFERROR(__xludf.DUMMYFUNCTION("""COMPUTED_VALUE"""),7.0)</f>
        <v>7</v>
      </c>
      <c r="Q180" s="274" t="b">
        <f>VLOOKUP($B180,'Run Reconcile'!B$2:O2488,14,FALSE)</f>
        <v>1</v>
      </c>
      <c r="R180" s="472" t="str">
        <f t="array" ref="R180">IF($Q180, INDEX('Run Reconcile'!A$2:A2488,MATCH(B180,'Run Reconcile'!B$2:B2488,0),1),IFERROR(0/0,""))</f>
        <v>RUN-FLMP_2021-10-23_APS-062</v>
      </c>
      <c r="S180" s="473" t="str">
        <f t="shared" ref="S180:T180" si="364">IF(COUNTIF(W$2:W2488, $A180) &gt; 0,TRUE,IFERROR(0/0,""))</f>
        <v/>
      </c>
      <c r="T180" s="473" t="str">
        <f t="shared" si="364"/>
        <v/>
      </c>
      <c r="U180" s="275" t="str">
        <f t="array" ref="U180">IF(ISBLANK($R180), INDEX('Run Reconcile'!A$2:A2488, MATCH($B180, 'Run Reconcile'!B$2:B2488, 0)+Z180, 1), IFERROR(0/0,""))
</f>
        <v/>
      </c>
      <c r="V180" s="474" t="str">
        <f t="shared" si="5"/>
        <v>RUN-FLMP_2021-10-23_APS-062</v>
      </c>
      <c r="Y180" s="89" t="str">
        <f t="shared" si="6"/>
        <v/>
      </c>
      <c r="Z180" s="60" t="str">
        <f t="shared" si="7"/>
        <v/>
      </c>
      <c r="AA180" s="60" t="str">
        <f t="shared" si="8"/>
        <v/>
      </c>
      <c r="AB180" s="60" t="str">
        <f t="shared" si="9"/>
        <v/>
      </c>
      <c r="AC180" s="30" t="str">
        <f t="shared" ref="AC180:AD180" si="365">IF(_xlfn.ISFORMULA(S180),IFERROR(0/0,""),TRUE)</f>
        <v/>
      </c>
      <c r="AD180" s="30" t="str">
        <f t="shared" si="365"/>
        <v/>
      </c>
      <c r="AE180" s="475" t="str">
        <f>IFERROR(__xludf.DUMMYFUNCTION("""COMPUTED_VALUE"""),"FLSP")</f>
        <v>FLSP</v>
      </c>
      <c r="AF180" s="476"/>
      <c r="AG180" s="474" t="s">
        <v>94</v>
      </c>
      <c r="AH180" s="138" t="str">
        <f t="shared" si="11"/>
        <v/>
      </c>
    </row>
    <row r="181">
      <c r="A181" s="103" t="str">
        <f>IFERROR(__xludf.DUMMYFUNCTION("""COMPUTED_VALUE"""),"FLM256")</f>
        <v>FLM256</v>
      </c>
      <c r="B181" s="468">
        <f>IFERROR(__xludf.DUMMYFUNCTION("""COMPUTED_VALUE"""),44492.0)</f>
        <v>44492</v>
      </c>
      <c r="C181" s="469">
        <f>IFERROR(__xludf.DUMMYFUNCTION("""COMPUTED_VALUE"""),0.44046296296296295)</f>
        <v>0.440462963</v>
      </c>
      <c r="D181" s="103" t="str">
        <f>IFERROR(__xludf.DUMMYFUNCTION("""COMPUTED_VALUE"""),"SpFLMP659315")</f>
        <v>SpFLMP659315</v>
      </c>
      <c r="E181" s="103"/>
      <c r="F181" s="103"/>
      <c r="G181" s="103" t="str">
        <f>IFERROR(__xludf.DUMMYFUNCTION("""COMPUTED_VALUE"""),"Negative")</f>
        <v>Negative</v>
      </c>
      <c r="H181" s="131" t="str">
        <f>IFERROR(__xludf.DUMMYFUNCTION("""COMPUTED_VALUE"""),"Negative")</f>
        <v>Negative</v>
      </c>
      <c r="I181" s="468">
        <f>IFERROR(__xludf.DUMMYFUNCTION("""COMPUTED_VALUE"""),44499.0)</f>
        <v>44499</v>
      </c>
      <c r="J181" s="470">
        <f>IFERROR(__xludf.DUMMYFUNCTION("""COMPUTED_VALUE"""),0.5608449074074074)</f>
        <v>0.5608449074</v>
      </c>
      <c r="K181" s="16"/>
      <c r="L181" s="8"/>
      <c r="M181" s="69"/>
      <c r="N181" s="69">
        <f>IFERROR(__xludf.DUMMYFUNCTION("""COMPUTED_VALUE"""),2.0)</f>
        <v>2</v>
      </c>
      <c r="O181" s="69" t="str">
        <f t="shared" si="3"/>
        <v/>
      </c>
      <c r="P181" s="471">
        <f>IFERROR(__xludf.DUMMYFUNCTION("""COMPUTED_VALUE"""),7.0)</f>
        <v>7</v>
      </c>
      <c r="Q181" s="274" t="b">
        <f>VLOOKUP($B181,'Run Reconcile'!B$2:O2488,14,FALSE)</f>
        <v>1</v>
      </c>
      <c r="R181" s="472" t="str">
        <f t="array" ref="R181">IF($Q181, INDEX('Run Reconcile'!A$2:A2488,MATCH(B181,'Run Reconcile'!B$2:B2488,0),1),IFERROR(0/0,""))</f>
        <v>RUN-FLMP_2021-10-23_APS-062</v>
      </c>
      <c r="S181" s="473" t="str">
        <f t="shared" ref="S181:T181" si="366">IF(COUNTIF(W$2:W2488, $A181) &gt; 0,TRUE,IFERROR(0/0,""))</f>
        <v/>
      </c>
      <c r="T181" s="473" t="str">
        <f t="shared" si="366"/>
        <v/>
      </c>
      <c r="U181" s="275" t="str">
        <f t="array" ref="U181">IF(ISBLANK($R181), INDEX('Run Reconcile'!A$2:A2488, MATCH($B181, 'Run Reconcile'!B$2:B2488, 0)+Z181, 1), IFERROR(0/0,""))
</f>
        <v/>
      </c>
      <c r="V181" s="474" t="str">
        <f t="shared" si="5"/>
        <v>RUN-FLMP_2021-10-23_APS-062</v>
      </c>
      <c r="Y181" s="89" t="str">
        <f t="shared" si="6"/>
        <v/>
      </c>
      <c r="Z181" s="60" t="str">
        <f t="shared" si="7"/>
        <v/>
      </c>
      <c r="AA181" s="60" t="str">
        <f t="shared" si="8"/>
        <v/>
      </c>
      <c r="AB181" s="60" t="str">
        <f t="shared" si="9"/>
        <v/>
      </c>
      <c r="AC181" s="30" t="str">
        <f t="shared" ref="AC181:AD181" si="367">IF(_xlfn.ISFORMULA(S181),IFERROR(0/0,""),TRUE)</f>
        <v/>
      </c>
      <c r="AD181" s="30" t="str">
        <f t="shared" si="367"/>
        <v/>
      </c>
      <c r="AE181" s="475" t="str">
        <f>IFERROR(__xludf.DUMMYFUNCTION("""COMPUTED_VALUE"""),"FLSP")</f>
        <v>FLSP</v>
      </c>
      <c r="AF181" s="476"/>
      <c r="AG181" s="474" t="s">
        <v>94</v>
      </c>
      <c r="AH181" s="138" t="str">
        <f t="shared" si="11"/>
        <v/>
      </c>
    </row>
    <row r="182">
      <c r="A182" s="103" t="str">
        <f>IFERROR(__xludf.DUMMYFUNCTION("""COMPUTED_VALUE"""),"FLM252")</f>
        <v>FLM252</v>
      </c>
      <c r="B182" s="468">
        <f>IFERROR(__xludf.DUMMYFUNCTION("""COMPUTED_VALUE"""),44492.0)</f>
        <v>44492</v>
      </c>
      <c r="C182" s="469">
        <f>IFERROR(__xludf.DUMMYFUNCTION("""COMPUTED_VALUE"""),0.4790625)</f>
        <v>0.4790625</v>
      </c>
      <c r="D182" s="103" t="str">
        <f>IFERROR(__xludf.DUMMYFUNCTION("""COMPUTED_VALUE"""),"SpFLMP496039")</f>
        <v>SpFLMP496039</v>
      </c>
      <c r="E182" s="103"/>
      <c r="F182" s="103"/>
      <c r="G182" s="103" t="str">
        <f>IFERROR(__xludf.DUMMYFUNCTION("""COMPUTED_VALUE"""),"Negative")</f>
        <v>Negative</v>
      </c>
      <c r="H182" s="131" t="str">
        <f>IFERROR(__xludf.DUMMYFUNCTION("""COMPUTED_VALUE"""),"Negative")</f>
        <v>Negative</v>
      </c>
      <c r="I182" s="468">
        <f>IFERROR(__xludf.DUMMYFUNCTION("""COMPUTED_VALUE"""),44499.0)</f>
        <v>44499</v>
      </c>
      <c r="J182" s="470">
        <f>IFERROR(__xludf.DUMMYFUNCTION("""COMPUTED_VALUE"""),0.5608564814814815)</f>
        <v>0.5608564815</v>
      </c>
      <c r="K182" s="16"/>
      <c r="L182" s="8"/>
      <c r="M182" s="69"/>
      <c r="N182" s="69">
        <f>IFERROR(__xludf.DUMMYFUNCTION("""COMPUTED_VALUE"""),2.0)</f>
        <v>2</v>
      </c>
      <c r="O182" s="69" t="str">
        <f t="shared" si="3"/>
        <v/>
      </c>
      <c r="P182" s="471">
        <f>IFERROR(__xludf.DUMMYFUNCTION("""COMPUTED_VALUE"""),7.0)</f>
        <v>7</v>
      </c>
      <c r="Q182" s="274" t="b">
        <f>VLOOKUP($B182,'Run Reconcile'!B$2:O2488,14,FALSE)</f>
        <v>1</v>
      </c>
      <c r="R182" s="472" t="str">
        <f t="array" ref="R182">IF($Q182, INDEX('Run Reconcile'!A$2:A2488,MATCH(B182,'Run Reconcile'!B$2:B2488,0),1),IFERROR(0/0,""))</f>
        <v>RUN-FLMP_2021-10-23_APS-062</v>
      </c>
      <c r="S182" s="473" t="str">
        <f t="shared" ref="S182:T182" si="368">IF(COUNTIF(W$2:W2488, $A182) &gt; 0,TRUE,IFERROR(0/0,""))</f>
        <v/>
      </c>
      <c r="T182" s="473" t="str">
        <f t="shared" si="368"/>
        <v/>
      </c>
      <c r="U182" s="275" t="str">
        <f t="array" ref="U182">IF(ISBLANK($R182), INDEX('Run Reconcile'!A$2:A2488, MATCH($B182, 'Run Reconcile'!B$2:B2488, 0)+Z182, 1), IFERROR(0/0,""))
</f>
        <v/>
      </c>
      <c r="V182" s="474" t="str">
        <f t="shared" si="5"/>
        <v>RUN-FLMP_2021-10-23_APS-062</v>
      </c>
      <c r="Y182" s="89" t="str">
        <f t="shared" si="6"/>
        <v/>
      </c>
      <c r="Z182" s="60" t="str">
        <f t="shared" si="7"/>
        <v/>
      </c>
      <c r="AA182" s="60" t="str">
        <f t="shared" si="8"/>
        <v/>
      </c>
      <c r="AB182" s="60" t="str">
        <f t="shared" si="9"/>
        <v/>
      </c>
      <c r="AC182" s="30" t="str">
        <f t="shared" ref="AC182:AD182" si="369">IF(_xlfn.ISFORMULA(S182),IFERROR(0/0,""),TRUE)</f>
        <v/>
      </c>
      <c r="AD182" s="30" t="str">
        <f t="shared" si="369"/>
        <v/>
      </c>
      <c r="AE182" s="475" t="str">
        <f>IFERROR(__xludf.DUMMYFUNCTION("""COMPUTED_VALUE"""),"FLSP")</f>
        <v>FLSP</v>
      </c>
      <c r="AF182" s="476"/>
      <c r="AG182" s="474" t="s">
        <v>94</v>
      </c>
      <c r="AH182" s="138" t="str">
        <f t="shared" si="11"/>
        <v/>
      </c>
    </row>
    <row r="183">
      <c r="A183" s="103" t="str">
        <f>IFERROR(__xludf.DUMMYFUNCTION("""COMPUTED_VALUE"""),"MAX442")</f>
        <v>MAX442</v>
      </c>
      <c r="B183" s="468">
        <f>IFERROR(__xludf.DUMMYFUNCTION("""COMPUTED_VALUE"""),44499.0)</f>
        <v>44499</v>
      </c>
      <c r="C183" s="469">
        <f>IFERROR(__xludf.DUMMYFUNCTION("""COMPUTED_VALUE"""),0.4953125)</f>
        <v>0.4953125</v>
      </c>
      <c r="D183" s="103" t="str">
        <f>IFERROR(__xludf.DUMMYFUNCTION("""COMPUTED_VALUE"""),"SpFLMP659315")</f>
        <v>SpFLMP659315</v>
      </c>
      <c r="E183" s="103"/>
      <c r="F183" s="103"/>
      <c r="G183" s="103" t="str">
        <f>IFERROR(__xludf.DUMMYFUNCTION("""COMPUTED_VALUE"""),"Negative")</f>
        <v>Negative</v>
      </c>
      <c r="H183" s="131" t="str">
        <f>IFERROR(__xludf.DUMMYFUNCTION("""COMPUTED_VALUE"""),"Negative")</f>
        <v>Negative</v>
      </c>
      <c r="I183" s="468">
        <f>IFERROR(__xludf.DUMMYFUNCTION("""COMPUTED_VALUE"""),44499.0)</f>
        <v>44499</v>
      </c>
      <c r="J183" s="470">
        <f>IFERROR(__xludf.DUMMYFUNCTION("""COMPUTED_VALUE"""),0.5608564814814815)</f>
        <v>0.5608564815</v>
      </c>
      <c r="K183" s="16"/>
      <c r="L183" s="8" t="str">
        <f>IFERROR(__xludf.DUMMYFUNCTION("""COMPUTED_VALUE"""),"name email fix")</f>
        <v>name email fix</v>
      </c>
      <c r="M183" s="69"/>
      <c r="N183" s="69">
        <f>IFERROR(__xludf.DUMMYFUNCTION("""COMPUTED_VALUE"""),1.0)</f>
        <v>1</v>
      </c>
      <c r="O183" s="69" t="b">
        <f t="shared" si="3"/>
        <v>1</v>
      </c>
      <c r="P183" s="471">
        <f>IFERROR(__xludf.DUMMYFUNCTION("""COMPUTED_VALUE"""),0.0)</f>
        <v>0</v>
      </c>
      <c r="Q183" s="274" t="b">
        <f>VLOOKUP($B183,'Run Reconcile'!B$2:O2488,14,FALSE)</f>
        <v>1</v>
      </c>
      <c r="R183" s="472" t="str">
        <f t="array" ref="R183">IF($Q183, INDEX('Run Reconcile'!A$2:A2488,MATCH(B183,'Run Reconcile'!B$2:B2488,0),1),IFERROR(0/0,""))</f>
        <v>RUN-FLMP_2021-10-30_APS-063</v>
      </c>
      <c r="S183" s="473" t="str">
        <f t="shared" ref="S183:T183" si="370">IF(COUNTIF(W$2:W2488, $A183) &gt; 0,TRUE,IFERROR(0/0,""))</f>
        <v/>
      </c>
      <c r="T183" s="473" t="str">
        <f t="shared" si="370"/>
        <v/>
      </c>
      <c r="U183" s="275" t="str">
        <f t="array" ref="U183">IF(ISBLANK($R183), INDEX('Run Reconcile'!A$2:A2488, MATCH($B183, 'Run Reconcile'!B$2:B2488, 0)+Z183, 1), IFERROR(0/0,""))
</f>
        <v/>
      </c>
      <c r="V183" s="474" t="str">
        <f t="shared" si="5"/>
        <v>RUN-FLMP_2021-10-30_APS-063</v>
      </c>
      <c r="Y183" s="89" t="str">
        <f t="shared" si="6"/>
        <v/>
      </c>
      <c r="Z183" s="60" t="str">
        <f t="shared" si="7"/>
        <v/>
      </c>
      <c r="AA183" s="60" t="str">
        <f t="shared" si="8"/>
        <v/>
      </c>
      <c r="AB183" s="60" t="str">
        <f t="shared" si="9"/>
        <v/>
      </c>
      <c r="AC183" s="30" t="str">
        <f t="shared" ref="AC183:AD183" si="371">IF(_xlfn.ISFORMULA(S183),IFERROR(0/0,""),TRUE)</f>
        <v/>
      </c>
      <c r="AD183" s="30" t="str">
        <f t="shared" si="371"/>
        <v/>
      </c>
      <c r="AE183" s="475" t="str">
        <f>IFERROR(__xludf.DUMMYFUNCTION("""COMPUTED_VALUE"""),"FLSP")</f>
        <v>FLSP</v>
      </c>
      <c r="AF183" s="476"/>
      <c r="AG183" s="474" t="s">
        <v>95</v>
      </c>
      <c r="AH183" s="138" t="str">
        <f t="shared" si="11"/>
        <v/>
      </c>
    </row>
    <row r="184">
      <c r="A184" s="103" t="str">
        <f>IFERROR(__xludf.DUMMYFUNCTION("""COMPUTED_VALUE"""),"MAX390")</f>
        <v>MAX390</v>
      </c>
      <c r="B184" s="468">
        <f>IFERROR(__xludf.DUMMYFUNCTION("""COMPUTED_VALUE"""),44499.0)</f>
        <v>44499</v>
      </c>
      <c r="C184" s="469">
        <f>IFERROR(__xludf.DUMMYFUNCTION("""COMPUTED_VALUE"""),0.5578587962962963)</f>
        <v>0.5578587963</v>
      </c>
      <c r="D184" s="103" t="str">
        <f>IFERROR(__xludf.DUMMYFUNCTION("""COMPUTED_VALUE"""),"SpFLMP659315")</f>
        <v>SpFLMP659315</v>
      </c>
      <c r="E184" s="103"/>
      <c r="F184" s="103"/>
      <c r="G184" s="103" t="str">
        <f>IFERROR(__xludf.DUMMYFUNCTION("""COMPUTED_VALUE"""),"Negative")</f>
        <v>Negative</v>
      </c>
      <c r="H184" s="131" t="str">
        <f>IFERROR(__xludf.DUMMYFUNCTION("""COMPUTED_VALUE"""),"Negative")</f>
        <v>Negative</v>
      </c>
      <c r="I184" s="468">
        <f>IFERROR(__xludf.DUMMYFUNCTION("""COMPUTED_VALUE"""),44499.0)</f>
        <v>44499</v>
      </c>
      <c r="J184" s="470">
        <f>IFERROR(__xludf.DUMMYFUNCTION("""COMPUTED_VALUE"""),0.5608564814814815)</f>
        <v>0.5608564815</v>
      </c>
      <c r="K184" s="16"/>
      <c r="L184" s="8"/>
      <c r="M184" s="69"/>
      <c r="N184" s="69">
        <f>IFERROR(__xludf.DUMMYFUNCTION("""COMPUTED_VALUE"""),1.0)</f>
        <v>1</v>
      </c>
      <c r="O184" s="69" t="str">
        <f t="shared" si="3"/>
        <v/>
      </c>
      <c r="P184" s="471">
        <f>IFERROR(__xludf.DUMMYFUNCTION("""COMPUTED_VALUE"""),0.0)</f>
        <v>0</v>
      </c>
      <c r="Q184" s="274" t="b">
        <f>VLOOKUP($B184,'Run Reconcile'!B$2:O2488,14,FALSE)</f>
        <v>1</v>
      </c>
      <c r="R184" s="472" t="str">
        <f t="array" ref="R184">IF($Q184, INDEX('Run Reconcile'!A$2:A2488,MATCH(B184,'Run Reconcile'!B$2:B2488,0),1),IFERROR(0/0,""))</f>
        <v>RUN-FLMP_2021-10-30_APS-063</v>
      </c>
      <c r="S184" s="473" t="str">
        <f t="shared" ref="S184:T184" si="372">IF(COUNTIF(W$2:W2488, $A184) &gt; 0,TRUE,IFERROR(0/0,""))</f>
        <v/>
      </c>
      <c r="T184" s="473" t="str">
        <f t="shared" si="372"/>
        <v/>
      </c>
      <c r="U184" s="275" t="str">
        <f t="array" ref="U184">IF(ISBLANK($R184), INDEX('Run Reconcile'!A$2:A2488, MATCH($B184, 'Run Reconcile'!B$2:B2488, 0)+Z184, 1), IFERROR(0/0,""))
</f>
        <v/>
      </c>
      <c r="V184" s="474" t="str">
        <f t="shared" si="5"/>
        <v>RUN-FLMP_2021-10-30_APS-063</v>
      </c>
      <c r="Y184" s="89" t="str">
        <f t="shared" si="6"/>
        <v/>
      </c>
      <c r="Z184" s="60" t="str">
        <f t="shared" si="7"/>
        <v/>
      </c>
      <c r="AA184" s="60" t="str">
        <f t="shared" si="8"/>
        <v/>
      </c>
      <c r="AB184" s="60" t="str">
        <f t="shared" si="9"/>
        <v/>
      </c>
      <c r="AC184" s="30" t="str">
        <f t="shared" ref="AC184:AD184" si="373">IF(_xlfn.ISFORMULA(S184),IFERROR(0/0,""),TRUE)</f>
        <v/>
      </c>
      <c r="AD184" s="30" t="str">
        <f t="shared" si="373"/>
        <v/>
      </c>
      <c r="AE184" s="475" t="str">
        <f>IFERROR(__xludf.DUMMYFUNCTION("""COMPUTED_VALUE"""),"FLSP")</f>
        <v>FLSP</v>
      </c>
      <c r="AF184" s="476"/>
      <c r="AG184" s="474" t="s">
        <v>95</v>
      </c>
      <c r="AH184" s="138" t="str">
        <f t="shared" si="11"/>
        <v/>
      </c>
    </row>
    <row r="185">
      <c r="A185" s="103" t="str">
        <f>IFERROR(__xludf.DUMMYFUNCTION("""COMPUTED_VALUE"""),"FLM295")</f>
        <v>FLM295</v>
      </c>
      <c r="B185" s="468">
        <f>IFERROR(__xludf.DUMMYFUNCTION("""COMPUTED_VALUE"""),44501.0)</f>
        <v>44501</v>
      </c>
      <c r="C185" s="469">
        <f>IFERROR(__xludf.DUMMYFUNCTION("""COMPUTED_VALUE"""),0.3670601851851852)</f>
        <v>0.3670601852</v>
      </c>
      <c r="D185" s="103" t="str">
        <f>IFERROR(__xludf.DUMMYFUNCTION("""COMPUTED_VALUE"""),"SpFLMP496039")</f>
        <v>SpFLMP496039</v>
      </c>
      <c r="E185" s="103"/>
      <c r="F185" s="103"/>
      <c r="G185" s="103" t="str">
        <f>IFERROR(__xludf.DUMMYFUNCTION("""COMPUTED_VALUE"""),"Negative")</f>
        <v>Negative</v>
      </c>
      <c r="H185" s="131" t="str">
        <f>IFERROR(__xludf.DUMMYFUNCTION("""COMPUTED_VALUE"""),"Negative")</f>
        <v>Negative</v>
      </c>
      <c r="I185" s="468">
        <f>IFERROR(__xludf.DUMMYFUNCTION("""COMPUTED_VALUE"""),44501.0)</f>
        <v>44501</v>
      </c>
      <c r="J185" s="470">
        <f>IFERROR(__xludf.DUMMYFUNCTION("""COMPUTED_VALUE"""),0.44157407407407406)</f>
        <v>0.4415740741</v>
      </c>
      <c r="K185" s="16"/>
      <c r="L185" s="8"/>
      <c r="M185" s="69"/>
      <c r="N185" s="69">
        <f>IFERROR(__xludf.DUMMYFUNCTION("""COMPUTED_VALUE"""),1.0)</f>
        <v>1</v>
      </c>
      <c r="O185" s="69" t="b">
        <f t="shared" si="3"/>
        <v>1</v>
      </c>
      <c r="P185" s="471">
        <f>IFERROR(__xludf.DUMMYFUNCTION("""COMPUTED_VALUE"""),0.0)</f>
        <v>0</v>
      </c>
      <c r="Q185" s="274" t="b">
        <f>VLOOKUP($B185,'Run Reconcile'!B$2:O2488,14,FALSE)</f>
        <v>1</v>
      </c>
      <c r="R185" s="472" t="str">
        <f t="array" ref="R185">IF($Q185, INDEX('Run Reconcile'!A$2:A2488,MATCH(B185,'Run Reconcile'!B$2:B2488,0),1),IFERROR(0/0,""))</f>
        <v>RUN-FLMP_2021-11-01_RFR-001</v>
      </c>
      <c r="S185" s="473" t="str">
        <f t="shared" ref="S185:T185" si="374">IF(COUNTIF(W$2:W2488, $A185) &gt; 0,TRUE,IFERROR(0/0,""))</f>
        <v/>
      </c>
      <c r="T185" s="473" t="str">
        <f t="shared" si="374"/>
        <v/>
      </c>
      <c r="U185" s="275" t="str">
        <f t="array" ref="U185">IF(ISBLANK($R185), INDEX('Run Reconcile'!A$2:A2488, MATCH($B185, 'Run Reconcile'!B$2:B2488, 0)+Z185, 1), IFERROR(0/0,""))
</f>
        <v/>
      </c>
      <c r="V185" s="474" t="str">
        <f t="shared" si="5"/>
        <v>RUN-FLMP_2021-11-01_RFR-001</v>
      </c>
      <c r="Y185" s="89" t="str">
        <f t="shared" si="6"/>
        <v/>
      </c>
      <c r="Z185" s="60" t="str">
        <f t="shared" si="7"/>
        <v/>
      </c>
      <c r="AA185" s="60" t="str">
        <f t="shared" si="8"/>
        <v/>
      </c>
      <c r="AB185" s="60" t="str">
        <f t="shared" si="9"/>
        <v/>
      </c>
      <c r="AC185" s="30" t="str">
        <f t="shared" ref="AC185:AD185" si="375">IF(_xlfn.ISFORMULA(S185),IFERROR(0/0,""),TRUE)</f>
        <v/>
      </c>
      <c r="AD185" s="30" t="str">
        <f t="shared" si="375"/>
        <v/>
      </c>
      <c r="AE185" s="475" t="str">
        <f>IFERROR(__xludf.DUMMYFUNCTION("""COMPUTED_VALUE"""),"FLSP")</f>
        <v>FLSP</v>
      </c>
      <c r="AF185" s="476"/>
      <c r="AG185" s="474" t="s">
        <v>96</v>
      </c>
      <c r="AH185" s="138" t="str">
        <f t="shared" si="11"/>
        <v/>
      </c>
    </row>
    <row r="186">
      <c r="A186" s="103" t="str">
        <f>IFERROR(__xludf.DUMMYFUNCTION("""COMPUTED_VALUE"""),"FLM241")</f>
        <v>FLM241</v>
      </c>
      <c r="B186" s="468">
        <f>IFERROR(__xludf.DUMMYFUNCTION("""COMPUTED_VALUE"""),44501.0)</f>
        <v>44501</v>
      </c>
      <c r="C186" s="469">
        <f>IFERROR(__xludf.DUMMYFUNCTION("""COMPUTED_VALUE"""),0.36736111111111114)</f>
        <v>0.3673611111</v>
      </c>
      <c r="D186" s="103" t="str">
        <f>IFERROR(__xludf.DUMMYFUNCTION("""COMPUTED_VALUE"""),"SpFLMP659315")</f>
        <v>SpFLMP659315</v>
      </c>
      <c r="E186" s="103"/>
      <c r="F186" s="103"/>
      <c r="G186" s="103" t="str">
        <f>IFERROR(__xludf.DUMMYFUNCTION("""COMPUTED_VALUE"""),"Negative")</f>
        <v>Negative</v>
      </c>
      <c r="H186" s="131" t="str">
        <f>IFERROR(__xludf.DUMMYFUNCTION("""COMPUTED_VALUE"""),"Negative")</f>
        <v>Negative</v>
      </c>
      <c r="I186" s="468">
        <f>IFERROR(__xludf.DUMMYFUNCTION("""COMPUTED_VALUE"""),44501.0)</f>
        <v>44501</v>
      </c>
      <c r="J186" s="470">
        <f>IFERROR(__xludf.DUMMYFUNCTION("""COMPUTED_VALUE"""),0.44157407407407406)</f>
        <v>0.4415740741</v>
      </c>
      <c r="K186" s="16"/>
      <c r="L186" s="8"/>
      <c r="M186" s="69"/>
      <c r="N186" s="69">
        <f>IFERROR(__xludf.DUMMYFUNCTION("""COMPUTED_VALUE"""),2.0)</f>
        <v>2</v>
      </c>
      <c r="O186" s="69" t="str">
        <f t="shared" si="3"/>
        <v/>
      </c>
      <c r="P186" s="471">
        <f>IFERROR(__xludf.DUMMYFUNCTION("""COMPUTED_VALUE"""),0.0)</f>
        <v>0</v>
      </c>
      <c r="Q186" s="274" t="b">
        <f>VLOOKUP($B186,'Run Reconcile'!B$2:O2488,14,FALSE)</f>
        <v>1</v>
      </c>
      <c r="R186" s="472" t="str">
        <f t="array" ref="R186">IF($Q186, INDEX('Run Reconcile'!A$2:A2488,MATCH(B186,'Run Reconcile'!B$2:B2488,0),1),IFERROR(0/0,""))</f>
        <v>RUN-FLMP_2021-11-01_RFR-001</v>
      </c>
      <c r="S186" s="473" t="str">
        <f t="shared" ref="S186:T186" si="376">IF(COUNTIF(W$2:W2488, $A186) &gt; 0,TRUE,IFERROR(0/0,""))</f>
        <v/>
      </c>
      <c r="T186" s="473" t="str">
        <f t="shared" si="376"/>
        <v/>
      </c>
      <c r="U186" s="275" t="str">
        <f t="array" ref="U186">IF(ISBLANK($R186), INDEX('Run Reconcile'!A$2:A2488, MATCH($B186, 'Run Reconcile'!B$2:B2488, 0)+Z186, 1), IFERROR(0/0,""))
</f>
        <v/>
      </c>
      <c r="V186" s="474" t="str">
        <f t="shared" si="5"/>
        <v>RUN-FLMP_2021-11-01_RFR-001</v>
      </c>
      <c r="Y186" s="89" t="str">
        <f t="shared" si="6"/>
        <v/>
      </c>
      <c r="Z186" s="60" t="str">
        <f t="shared" si="7"/>
        <v/>
      </c>
      <c r="AA186" s="60" t="str">
        <f t="shared" si="8"/>
        <v/>
      </c>
      <c r="AB186" s="60" t="str">
        <f t="shared" si="9"/>
        <v/>
      </c>
      <c r="AC186" s="30" t="str">
        <f t="shared" ref="AC186:AD186" si="377">IF(_xlfn.ISFORMULA(S186),IFERROR(0/0,""),TRUE)</f>
        <v/>
      </c>
      <c r="AD186" s="30" t="str">
        <f t="shared" si="377"/>
        <v/>
      </c>
      <c r="AE186" s="475" t="str">
        <f>IFERROR(__xludf.DUMMYFUNCTION("""COMPUTED_VALUE"""),"FLSP")</f>
        <v>FLSP</v>
      </c>
      <c r="AF186" s="476"/>
      <c r="AG186" s="474" t="s">
        <v>96</v>
      </c>
      <c r="AH186" s="138" t="str">
        <f t="shared" si="11"/>
        <v/>
      </c>
    </row>
    <row r="187">
      <c r="A187" s="103" t="str">
        <f>IFERROR(__xludf.DUMMYFUNCTION("""COMPUTED_VALUE"""),"FLM273")</f>
        <v>FLM273</v>
      </c>
      <c r="B187" s="468">
        <f>IFERROR(__xludf.DUMMYFUNCTION("""COMPUTED_VALUE"""),44501.0)</f>
        <v>44501</v>
      </c>
      <c r="C187" s="469">
        <f>IFERROR(__xludf.DUMMYFUNCTION("""COMPUTED_VALUE"""),0.36777777777777776)</f>
        <v>0.3677777778</v>
      </c>
      <c r="D187" s="103" t="str">
        <f>IFERROR(__xludf.DUMMYFUNCTION("""COMPUTED_VALUE"""),"SpFLMP659315")</f>
        <v>SpFLMP659315</v>
      </c>
      <c r="E187" s="103"/>
      <c r="F187" s="103"/>
      <c r="G187" s="103" t="str">
        <f>IFERROR(__xludf.DUMMYFUNCTION("""COMPUTED_VALUE"""),"Negative")</f>
        <v>Negative</v>
      </c>
      <c r="H187" s="131" t="str">
        <f>IFERROR(__xludf.DUMMYFUNCTION("""COMPUTED_VALUE"""),"Negative")</f>
        <v>Negative</v>
      </c>
      <c r="I187" s="468">
        <f>IFERROR(__xludf.DUMMYFUNCTION("""COMPUTED_VALUE"""),44501.0)</f>
        <v>44501</v>
      </c>
      <c r="J187" s="470">
        <f>IFERROR(__xludf.DUMMYFUNCTION("""COMPUTED_VALUE"""),0.44157407407407406)</f>
        <v>0.4415740741</v>
      </c>
      <c r="K187" s="16"/>
      <c r="L187" s="8"/>
      <c r="M187" s="69"/>
      <c r="N187" s="69">
        <f>IFERROR(__xludf.DUMMYFUNCTION("""COMPUTED_VALUE"""),2.0)</f>
        <v>2</v>
      </c>
      <c r="O187" s="69" t="str">
        <f t="shared" si="3"/>
        <v/>
      </c>
      <c r="P187" s="471">
        <f>IFERROR(__xludf.DUMMYFUNCTION("""COMPUTED_VALUE"""),0.0)</f>
        <v>0</v>
      </c>
      <c r="Q187" s="274" t="b">
        <f>VLOOKUP($B187,'Run Reconcile'!B$2:O2488,14,FALSE)</f>
        <v>1</v>
      </c>
      <c r="R187" s="472" t="str">
        <f t="array" ref="R187">IF($Q187, INDEX('Run Reconcile'!A$2:A2488,MATCH(B187,'Run Reconcile'!B$2:B2488,0),1),IFERROR(0/0,""))</f>
        <v>RUN-FLMP_2021-11-01_RFR-001</v>
      </c>
      <c r="S187" s="473" t="str">
        <f t="shared" ref="S187:T187" si="378">IF(COUNTIF(W$2:W2488, $A187) &gt; 0,TRUE,IFERROR(0/0,""))</f>
        <v/>
      </c>
      <c r="T187" s="473" t="str">
        <f t="shared" si="378"/>
        <v/>
      </c>
      <c r="U187" s="275" t="str">
        <f t="array" ref="U187">IF(ISBLANK($R187), INDEX('Run Reconcile'!A$2:A2488, MATCH($B187, 'Run Reconcile'!B$2:B2488, 0)+Z187, 1), IFERROR(0/0,""))
</f>
        <v/>
      </c>
      <c r="V187" s="474" t="str">
        <f t="shared" si="5"/>
        <v>RUN-FLMP_2021-11-01_RFR-001</v>
      </c>
      <c r="Y187" s="89" t="str">
        <f t="shared" si="6"/>
        <v/>
      </c>
      <c r="Z187" s="60" t="str">
        <f t="shared" si="7"/>
        <v/>
      </c>
      <c r="AA187" s="60" t="str">
        <f t="shared" si="8"/>
        <v/>
      </c>
      <c r="AB187" s="60" t="str">
        <f t="shared" si="9"/>
        <v/>
      </c>
      <c r="AC187" s="30" t="str">
        <f t="shared" ref="AC187:AD187" si="379">IF(_xlfn.ISFORMULA(S187),IFERROR(0/0,""),TRUE)</f>
        <v/>
      </c>
      <c r="AD187" s="30" t="str">
        <f t="shared" si="379"/>
        <v/>
      </c>
      <c r="AE187" s="475" t="str">
        <f>IFERROR(__xludf.DUMMYFUNCTION("""COMPUTED_VALUE"""),"FLSP")</f>
        <v>FLSP</v>
      </c>
      <c r="AF187" s="476"/>
      <c r="AG187" s="474" t="s">
        <v>96</v>
      </c>
      <c r="AH187" s="138" t="str">
        <f t="shared" si="11"/>
        <v/>
      </c>
    </row>
    <row r="188">
      <c r="A188" s="103" t="str">
        <f>IFERROR(__xludf.DUMMYFUNCTION("""COMPUTED_VALUE"""),"MA1208")</f>
        <v>MA1208</v>
      </c>
      <c r="B188" s="468">
        <f>IFERROR(__xludf.DUMMYFUNCTION("""COMPUTED_VALUE"""),44502.0)</f>
        <v>44502</v>
      </c>
      <c r="C188" s="469">
        <f>IFERROR(__xludf.DUMMYFUNCTION("""COMPUTED_VALUE"""),0.36105324074074074)</f>
        <v>0.3610532407</v>
      </c>
      <c r="D188" s="103" t="str">
        <f>IFERROR(__xludf.DUMMYFUNCTION("""COMPUTED_VALUE"""),"SpFLMP659315")</f>
        <v>SpFLMP659315</v>
      </c>
      <c r="E188" s="103"/>
      <c r="F188" s="103"/>
      <c r="G188" s="103" t="str">
        <f>IFERROR(__xludf.DUMMYFUNCTION("""COMPUTED_VALUE"""),"Negative")</f>
        <v>Negative</v>
      </c>
      <c r="H188" s="131" t="str">
        <f>IFERROR(__xludf.DUMMYFUNCTION("""COMPUTED_VALUE"""),"Negative")</f>
        <v>Negative</v>
      </c>
      <c r="I188" s="468">
        <f>IFERROR(__xludf.DUMMYFUNCTION("""COMPUTED_VALUE"""),44502.0)</f>
        <v>44502</v>
      </c>
      <c r="J188" s="470">
        <f>IFERROR(__xludf.DUMMYFUNCTION("""COMPUTED_VALUE"""),0.40369212962962964)</f>
        <v>0.4036921296</v>
      </c>
      <c r="K188" s="16"/>
      <c r="L188" s="8"/>
      <c r="M188" s="69"/>
      <c r="N188" s="69">
        <f>IFERROR(__xludf.DUMMYFUNCTION("""COMPUTED_VALUE"""),4.0)</f>
        <v>4</v>
      </c>
      <c r="O188" s="69" t="b">
        <f t="shared" si="3"/>
        <v>1</v>
      </c>
      <c r="P188" s="471">
        <f>IFERROR(__xludf.DUMMYFUNCTION("""COMPUTED_VALUE"""),0.0)</f>
        <v>0</v>
      </c>
      <c r="Q188" s="274" t="b">
        <f>VLOOKUP($B188,'Run Reconcile'!B$2:O2488,14,FALSE)</f>
        <v>1</v>
      </c>
      <c r="R188" s="472" t="str">
        <f t="array" ref="R188">IF($Q188, INDEX('Run Reconcile'!A$2:A2488,MATCH(B188,'Run Reconcile'!B$2:B2488,0),1),IFERROR(0/0,""))</f>
        <v>RUN-FLMP_2021-11-02_RFR-002</v>
      </c>
      <c r="S188" s="473" t="str">
        <f t="shared" ref="S188:T188" si="380">IF(COUNTIF(W$2:W2488, $A188) &gt; 0,TRUE,IFERROR(0/0,""))</f>
        <v/>
      </c>
      <c r="T188" s="473" t="str">
        <f t="shared" si="380"/>
        <v/>
      </c>
      <c r="U188" s="275" t="str">
        <f t="array" ref="U188">IF(ISBLANK($R188), INDEX('Run Reconcile'!A$2:A2488, MATCH($B188, 'Run Reconcile'!B$2:B2488, 0)+Z188, 1), IFERROR(0/0,""))
</f>
        <v/>
      </c>
      <c r="V188" s="474" t="str">
        <f t="shared" si="5"/>
        <v>RUN-FLMP_2021-11-02_RFR-002</v>
      </c>
      <c r="Y188" s="89" t="str">
        <f t="shared" si="6"/>
        <v/>
      </c>
      <c r="Z188" s="60" t="str">
        <f t="shared" si="7"/>
        <v/>
      </c>
      <c r="AA188" s="60" t="str">
        <f t="shared" si="8"/>
        <v/>
      </c>
      <c r="AB188" s="60" t="str">
        <f t="shared" si="9"/>
        <v/>
      </c>
      <c r="AC188" s="30" t="str">
        <f t="shared" ref="AC188:AD188" si="381">IF(_xlfn.ISFORMULA(S188),IFERROR(0/0,""),TRUE)</f>
        <v/>
      </c>
      <c r="AD188" s="30" t="str">
        <f t="shared" si="381"/>
        <v/>
      </c>
      <c r="AE188" s="475" t="str">
        <f>IFERROR(__xludf.DUMMYFUNCTION("""COMPUTED_VALUE"""),"FLSP")</f>
        <v>FLSP</v>
      </c>
      <c r="AF188" s="476"/>
      <c r="AG188" s="474" t="s">
        <v>97</v>
      </c>
      <c r="AH188" s="138" t="str">
        <f t="shared" si="11"/>
        <v/>
      </c>
    </row>
    <row r="189">
      <c r="A189" s="103" t="str">
        <f>IFERROR(__xludf.DUMMYFUNCTION("""COMPUTED_VALUE"""),"MA1475")</f>
        <v>MA1475</v>
      </c>
      <c r="B189" s="468">
        <f>IFERROR(__xludf.DUMMYFUNCTION("""COMPUTED_VALUE"""),44502.0)</f>
        <v>44502</v>
      </c>
      <c r="C189" s="469">
        <f>IFERROR(__xludf.DUMMYFUNCTION("""COMPUTED_VALUE"""),0.3666550925925926)</f>
        <v>0.3666550926</v>
      </c>
      <c r="D189" s="103" t="str">
        <f>IFERROR(__xludf.DUMMYFUNCTION("""COMPUTED_VALUE"""),"SpFLMP496039")</f>
        <v>SpFLMP496039</v>
      </c>
      <c r="E189" s="103"/>
      <c r="F189" s="103"/>
      <c r="G189" s="103" t="str">
        <f>IFERROR(__xludf.DUMMYFUNCTION("""COMPUTED_VALUE"""),"Negative")</f>
        <v>Negative</v>
      </c>
      <c r="H189" s="131" t="str">
        <f>IFERROR(__xludf.DUMMYFUNCTION("""COMPUTED_VALUE"""),"Negative")</f>
        <v>Negative</v>
      </c>
      <c r="I189" s="468">
        <f>IFERROR(__xludf.DUMMYFUNCTION("""COMPUTED_VALUE"""),44502.0)</f>
        <v>44502</v>
      </c>
      <c r="J189" s="470">
        <f>IFERROR(__xludf.DUMMYFUNCTION("""COMPUTED_VALUE"""),0.40369212962962964)</f>
        <v>0.4036921296</v>
      </c>
      <c r="K189" s="16"/>
      <c r="L189" s="8"/>
      <c r="M189" s="69"/>
      <c r="N189" s="69">
        <f>IFERROR(__xludf.DUMMYFUNCTION("""COMPUTED_VALUE"""),1.0)</f>
        <v>1</v>
      </c>
      <c r="O189" s="69" t="str">
        <f t="shared" si="3"/>
        <v/>
      </c>
      <c r="P189" s="471">
        <f>IFERROR(__xludf.DUMMYFUNCTION("""COMPUTED_VALUE"""),0.0)</f>
        <v>0</v>
      </c>
      <c r="Q189" s="274" t="b">
        <f>VLOOKUP($B189,'Run Reconcile'!B$2:O2488,14,FALSE)</f>
        <v>1</v>
      </c>
      <c r="R189" s="472" t="str">
        <f t="array" ref="R189">IF($Q189, INDEX('Run Reconcile'!A$2:A2488,MATCH(B189,'Run Reconcile'!B$2:B2488,0),1),IFERROR(0/0,""))</f>
        <v>RUN-FLMP_2021-11-02_RFR-002</v>
      </c>
      <c r="S189" s="473" t="str">
        <f t="shared" ref="S189:T189" si="382">IF(COUNTIF(W$2:W2488, $A189) &gt; 0,TRUE,IFERROR(0/0,""))</f>
        <v/>
      </c>
      <c r="T189" s="473" t="str">
        <f t="shared" si="382"/>
        <v/>
      </c>
      <c r="U189" s="275" t="str">
        <f t="array" ref="U189">IF(ISBLANK($R189), INDEX('Run Reconcile'!A$2:A2488, MATCH($B189, 'Run Reconcile'!B$2:B2488, 0)+Z189, 1), IFERROR(0/0,""))
</f>
        <v/>
      </c>
      <c r="V189" s="474" t="str">
        <f t="shared" si="5"/>
        <v>RUN-FLMP_2021-11-02_RFR-002</v>
      </c>
      <c r="Y189" s="89" t="str">
        <f t="shared" si="6"/>
        <v/>
      </c>
      <c r="Z189" s="60" t="str">
        <f t="shared" si="7"/>
        <v/>
      </c>
      <c r="AA189" s="60" t="str">
        <f t="shared" si="8"/>
        <v/>
      </c>
      <c r="AB189" s="60" t="str">
        <f t="shared" si="9"/>
        <v/>
      </c>
      <c r="AC189" s="30" t="str">
        <f t="shared" ref="AC189:AD189" si="383">IF(_xlfn.ISFORMULA(S189),IFERROR(0/0,""),TRUE)</f>
        <v/>
      </c>
      <c r="AD189" s="30" t="str">
        <f t="shared" si="383"/>
        <v/>
      </c>
      <c r="AE189" s="475" t="str">
        <f>IFERROR(__xludf.DUMMYFUNCTION("""COMPUTED_VALUE"""),"FLSP")</f>
        <v>FLSP</v>
      </c>
      <c r="AF189" s="476"/>
      <c r="AG189" s="474" t="s">
        <v>97</v>
      </c>
      <c r="AH189" s="138" t="str">
        <f t="shared" si="11"/>
        <v/>
      </c>
    </row>
    <row r="190">
      <c r="A190" s="103" t="str">
        <f>IFERROR(__xludf.DUMMYFUNCTION("""COMPUTED_VALUE"""),"MA1483")</f>
        <v>MA1483</v>
      </c>
      <c r="B190" s="468">
        <f>IFERROR(__xludf.DUMMYFUNCTION("""COMPUTED_VALUE"""),44503.0)</f>
        <v>44503</v>
      </c>
      <c r="C190" s="469">
        <f>IFERROR(__xludf.DUMMYFUNCTION("""COMPUTED_VALUE"""),0.37246527777777777)</f>
        <v>0.3724652778</v>
      </c>
      <c r="D190" s="103" t="str">
        <f>IFERROR(__xludf.DUMMYFUNCTION("""COMPUTED_VALUE"""),"SpFLMP496039")</f>
        <v>SpFLMP496039</v>
      </c>
      <c r="E190" s="103"/>
      <c r="F190" s="103"/>
      <c r="G190" s="103" t="str">
        <f>IFERROR(__xludf.DUMMYFUNCTION("""COMPUTED_VALUE"""),"Null")</f>
        <v>Null</v>
      </c>
      <c r="H190" s="131" t="str">
        <f>IFERROR(__xludf.DUMMYFUNCTION("""COMPUTED_VALUE"""),"Negative")</f>
        <v>Negative</v>
      </c>
      <c r="I190" s="468"/>
      <c r="J190" s="16"/>
      <c r="K190" s="16">
        <f>IFERROR(__xludf.DUMMYFUNCTION("""COMPUTED_VALUE"""),2.0)</f>
        <v>2</v>
      </c>
      <c r="L190" s="8"/>
      <c r="M190" s="69"/>
      <c r="N190" s="69">
        <f>IFERROR(__xludf.DUMMYFUNCTION("""COMPUTED_VALUE"""),1.0)</f>
        <v>1</v>
      </c>
      <c r="O190" s="69" t="b">
        <f t="shared" si="3"/>
        <v>1</v>
      </c>
      <c r="P190" s="471">
        <f>IFERROR(__xludf.DUMMYFUNCTION("""COMPUTED_VALUE"""),-1.0)</f>
        <v>-1</v>
      </c>
      <c r="Q190" s="274" t="b">
        <f>VLOOKUP($B190,'Run Reconcile'!B$2:O2488,14,FALSE)</f>
        <v>1</v>
      </c>
      <c r="R190" s="472" t="str">
        <f t="array" ref="R190">IF($Q190, INDEX('Run Reconcile'!A$2:A2488,MATCH(B190,'Run Reconcile'!B$2:B2488,0),1),IFERROR(0/0,""))</f>
        <v>RUN-FLMP_2021-11-03_APS-064</v>
      </c>
      <c r="S190" s="473" t="str">
        <f t="shared" ref="S190:T190" si="384">IF(COUNTIF(W$2:W2488, $A190) &gt; 0,TRUE,IFERROR(0/0,""))</f>
        <v/>
      </c>
      <c r="T190" s="473" t="str">
        <f t="shared" si="384"/>
        <v/>
      </c>
      <c r="U190" s="275" t="str">
        <f t="array" ref="U190">IF(ISBLANK($R190), INDEX('Run Reconcile'!A$2:A2488, MATCH($B190, 'Run Reconcile'!B$2:B2488, 0)+Z190, 1), IFERROR(0/0,""))
</f>
        <v/>
      </c>
      <c r="V190" s="474" t="str">
        <f t="shared" si="5"/>
        <v>RUN-FLMP_2021-11-03_APS-064</v>
      </c>
      <c r="Y190" s="89" t="str">
        <f t="shared" si="6"/>
        <v/>
      </c>
      <c r="Z190" s="60" t="str">
        <f t="shared" si="7"/>
        <v/>
      </c>
      <c r="AA190" s="60" t="str">
        <f t="shared" si="8"/>
        <v/>
      </c>
      <c r="AB190" s="60" t="str">
        <f t="shared" si="9"/>
        <v/>
      </c>
      <c r="AC190" s="30" t="str">
        <f t="shared" ref="AC190:AD190" si="385">IF(_xlfn.ISFORMULA(S190),IFERROR(0/0,""),TRUE)</f>
        <v/>
      </c>
      <c r="AD190" s="30" t="str">
        <f t="shared" si="385"/>
        <v/>
      </c>
      <c r="AE190" s="475" t="str">
        <f>IFERROR(__xludf.DUMMYFUNCTION("""COMPUTED_VALUE"""),"FLSP")</f>
        <v>FLSP</v>
      </c>
      <c r="AF190" s="476"/>
      <c r="AG190" s="474" t="s">
        <v>98</v>
      </c>
      <c r="AH190" s="138" t="str">
        <f t="shared" si="11"/>
        <v/>
      </c>
    </row>
    <row r="191">
      <c r="A191" s="103" t="str">
        <f>IFERROR(__xludf.DUMMYFUNCTION("""COMPUTED_VALUE"""),"MA523")</f>
        <v>MA523</v>
      </c>
      <c r="B191" s="468">
        <f>IFERROR(__xludf.DUMMYFUNCTION("""COMPUTED_VALUE"""),44503.0)</f>
        <v>44503</v>
      </c>
      <c r="C191" s="469">
        <f>IFERROR(__xludf.DUMMYFUNCTION("""COMPUTED_VALUE"""),0.3738425925925926)</f>
        <v>0.3738425926</v>
      </c>
      <c r="D191" s="103" t="str">
        <f>IFERROR(__xludf.DUMMYFUNCTION("""COMPUTED_VALUE"""),"SpFLMP496039")</f>
        <v>SpFLMP496039</v>
      </c>
      <c r="E191" s="103"/>
      <c r="F191" s="103"/>
      <c r="G191" s="103" t="str">
        <f>IFERROR(__xludf.DUMMYFUNCTION("""COMPUTED_VALUE"""),"Null")</f>
        <v>Null</v>
      </c>
      <c r="H191" s="131" t="str">
        <f>IFERROR(__xludf.DUMMYFUNCTION("""COMPUTED_VALUE"""),"Negative")</f>
        <v>Negative</v>
      </c>
      <c r="I191" s="468"/>
      <c r="J191" s="16"/>
      <c r="K191" s="16">
        <f>IFERROR(__xludf.DUMMYFUNCTION("""COMPUTED_VALUE"""),2.0)</f>
        <v>2</v>
      </c>
      <c r="L191" s="8"/>
      <c r="M191" s="69"/>
      <c r="N191" s="69">
        <f>IFERROR(__xludf.DUMMYFUNCTION("""COMPUTED_VALUE"""),3.0)</f>
        <v>3</v>
      </c>
      <c r="O191" s="69" t="str">
        <f t="shared" si="3"/>
        <v/>
      </c>
      <c r="P191" s="471">
        <f>IFERROR(__xludf.DUMMYFUNCTION("""COMPUTED_VALUE"""),-1.0)</f>
        <v>-1</v>
      </c>
      <c r="Q191" s="274" t="b">
        <f>VLOOKUP($B191,'Run Reconcile'!B$2:O2488,14,FALSE)</f>
        <v>1</v>
      </c>
      <c r="R191" s="472" t="str">
        <f t="array" ref="R191">IF($Q191, INDEX('Run Reconcile'!A$2:A2488,MATCH(B191,'Run Reconcile'!B$2:B2488,0),1),IFERROR(0/0,""))</f>
        <v>RUN-FLMP_2021-11-03_APS-064</v>
      </c>
      <c r="S191" s="473" t="str">
        <f t="shared" ref="S191:T191" si="386">IF(COUNTIF(W$2:W2488, $A191) &gt; 0,TRUE,IFERROR(0/0,""))</f>
        <v/>
      </c>
      <c r="T191" s="473" t="str">
        <f t="shared" si="386"/>
        <v/>
      </c>
      <c r="U191" s="275" t="str">
        <f t="array" ref="U191">IF(ISBLANK($R191), INDEX('Run Reconcile'!A$2:A2488, MATCH($B191, 'Run Reconcile'!B$2:B2488, 0)+Z191, 1), IFERROR(0/0,""))
</f>
        <v/>
      </c>
      <c r="V191" s="474" t="str">
        <f t="shared" si="5"/>
        <v>RUN-FLMP_2021-11-03_APS-064</v>
      </c>
      <c r="Y191" s="89" t="str">
        <f t="shared" si="6"/>
        <v/>
      </c>
      <c r="Z191" s="60" t="str">
        <f t="shared" si="7"/>
        <v/>
      </c>
      <c r="AA191" s="60" t="str">
        <f t="shared" si="8"/>
        <v/>
      </c>
      <c r="AB191" s="60" t="str">
        <f t="shared" si="9"/>
        <v/>
      </c>
      <c r="AC191" s="30" t="str">
        <f t="shared" ref="AC191:AD191" si="387">IF(_xlfn.ISFORMULA(S191),IFERROR(0/0,""),TRUE)</f>
        <v/>
      </c>
      <c r="AD191" s="30" t="str">
        <f t="shared" si="387"/>
        <v/>
      </c>
      <c r="AE191" s="475" t="str">
        <f>IFERROR(__xludf.DUMMYFUNCTION("""COMPUTED_VALUE"""),"FLSP")</f>
        <v>FLSP</v>
      </c>
      <c r="AF191" s="476"/>
      <c r="AG191" s="474" t="s">
        <v>98</v>
      </c>
      <c r="AH191" s="138" t="str">
        <f t="shared" si="11"/>
        <v/>
      </c>
    </row>
    <row r="192">
      <c r="A192" s="103" t="str">
        <f>IFERROR(__xludf.DUMMYFUNCTION("""COMPUTED_VALUE"""),"MA1212")</f>
        <v>MA1212</v>
      </c>
      <c r="B192" s="468">
        <f>IFERROR(__xludf.DUMMYFUNCTION("""COMPUTED_VALUE"""),44505.0)</f>
        <v>44505</v>
      </c>
      <c r="C192" s="469">
        <f>IFERROR(__xludf.DUMMYFUNCTION("""COMPUTED_VALUE"""),0.29050925925925924)</f>
        <v>0.2905092593</v>
      </c>
      <c r="D192" s="103" t="str">
        <f>IFERROR(__xludf.DUMMYFUNCTION("""COMPUTED_VALUE"""),"SpFLMP659315")</f>
        <v>SpFLMP659315</v>
      </c>
      <c r="E192" s="103"/>
      <c r="F192" s="103"/>
      <c r="G192" s="103" t="str">
        <f>IFERROR(__xludf.DUMMYFUNCTION("""COMPUTED_VALUE"""),"Negative")</f>
        <v>Negative</v>
      </c>
      <c r="H192" s="131" t="str">
        <f>IFERROR(__xludf.DUMMYFUNCTION("""COMPUTED_VALUE"""),"Negative")</f>
        <v>Negative</v>
      </c>
      <c r="I192" s="468">
        <f>IFERROR(__xludf.DUMMYFUNCTION("""COMPUTED_VALUE"""),44524.0)</f>
        <v>44524</v>
      </c>
      <c r="J192" s="470">
        <f>IFERROR(__xludf.DUMMYFUNCTION("""COMPUTED_VALUE"""),0.3179282407407407)</f>
        <v>0.3179282407</v>
      </c>
      <c r="K192" s="16"/>
      <c r="L192" s="8"/>
      <c r="M192" s="69"/>
      <c r="N192" s="69">
        <f>IFERROR(__xludf.DUMMYFUNCTION("""COMPUTED_VALUE"""),4.0)</f>
        <v>4</v>
      </c>
      <c r="O192" s="69" t="b">
        <f t="shared" si="3"/>
        <v>1</v>
      </c>
      <c r="P192" s="471">
        <f>IFERROR(__xludf.DUMMYFUNCTION("""COMPUTED_VALUE"""),19.0)</f>
        <v>19</v>
      </c>
      <c r="Q192" s="274" t="b">
        <f>VLOOKUP($B192,'Run Reconcile'!B$2:O2488,14,FALSE)</f>
        <v>1</v>
      </c>
      <c r="R192" s="472" t="str">
        <f t="array" ref="R192">IF($Q192, INDEX('Run Reconcile'!A$2:A2488,MATCH(B192,'Run Reconcile'!B$2:B2488,0),1),IFERROR(0/0,""))</f>
        <v>RUN-FLMP_2021-11-05_APS-065</v>
      </c>
      <c r="S192" s="473" t="str">
        <f t="shared" ref="S192:T192" si="388">IF(COUNTIF(W$2:W2488, $A192) &gt; 0,TRUE,IFERROR(0/0,""))</f>
        <v/>
      </c>
      <c r="T192" s="473" t="str">
        <f t="shared" si="388"/>
        <v/>
      </c>
      <c r="U192" s="275" t="str">
        <f t="array" ref="U192">IF(ISBLANK($R192), INDEX('Run Reconcile'!A$2:A2488, MATCH($B192, 'Run Reconcile'!B$2:B2488, 0)+Z192, 1), IFERROR(0/0,""))
</f>
        <v/>
      </c>
      <c r="V192" s="474" t="str">
        <f t="shared" si="5"/>
        <v>RUN-FLMP_2021-11-05_APS-065</v>
      </c>
      <c r="Y192" s="89" t="str">
        <f t="shared" si="6"/>
        <v/>
      </c>
      <c r="Z192" s="60" t="str">
        <f t="shared" si="7"/>
        <v/>
      </c>
      <c r="AA192" s="60" t="str">
        <f t="shared" si="8"/>
        <v/>
      </c>
      <c r="AB192" s="60" t="str">
        <f t="shared" si="9"/>
        <v/>
      </c>
      <c r="AC192" s="30" t="str">
        <f t="shared" ref="AC192:AD192" si="389">IF(_xlfn.ISFORMULA(S192),IFERROR(0/0,""),TRUE)</f>
        <v/>
      </c>
      <c r="AD192" s="30" t="str">
        <f t="shared" si="389"/>
        <v/>
      </c>
      <c r="AE192" s="475" t="str">
        <f>IFERROR(__xludf.DUMMYFUNCTION("""COMPUTED_VALUE"""),"FLSP")</f>
        <v>FLSP</v>
      </c>
      <c r="AF192" s="476"/>
      <c r="AG192" s="474" t="s">
        <v>99</v>
      </c>
      <c r="AH192" s="138" t="str">
        <f t="shared" si="11"/>
        <v/>
      </c>
    </row>
    <row r="193">
      <c r="A193" s="103" t="str">
        <f>IFERROR(__xludf.DUMMYFUNCTION("""COMPUTED_VALUE"""),"MA1342")</f>
        <v>MA1342</v>
      </c>
      <c r="B193" s="468">
        <f>IFERROR(__xludf.DUMMYFUNCTION("""COMPUTED_VALUE"""),44505.0)</f>
        <v>44505</v>
      </c>
      <c r="C193" s="469">
        <f>IFERROR(__xludf.DUMMYFUNCTION("""COMPUTED_VALUE"""),0.40175925925925926)</f>
        <v>0.4017592593</v>
      </c>
      <c r="D193" s="103" t="str">
        <f>IFERROR(__xludf.DUMMYFUNCTION("""COMPUTED_VALUE"""),"SpFLMP496039")</f>
        <v>SpFLMP496039</v>
      </c>
      <c r="E193" s="103"/>
      <c r="F193" s="103"/>
      <c r="G193" s="103" t="str">
        <f>IFERROR(__xludf.DUMMYFUNCTION("""COMPUTED_VALUE"""),"Negative")</f>
        <v>Negative</v>
      </c>
      <c r="H193" s="131" t="str">
        <f>IFERROR(__xludf.DUMMYFUNCTION("""COMPUTED_VALUE"""),"Negative")</f>
        <v>Negative</v>
      </c>
      <c r="I193" s="468">
        <f>IFERROR(__xludf.DUMMYFUNCTION("""COMPUTED_VALUE"""),44524.0)</f>
        <v>44524</v>
      </c>
      <c r="J193" s="470">
        <f>IFERROR(__xludf.DUMMYFUNCTION("""COMPUTED_VALUE"""),0.3179282407407407)</f>
        <v>0.3179282407</v>
      </c>
      <c r="K193" s="16"/>
      <c r="L193" s="8"/>
      <c r="M193" s="69"/>
      <c r="N193" s="69">
        <f>IFERROR(__xludf.DUMMYFUNCTION("""COMPUTED_VALUE"""),1.0)</f>
        <v>1</v>
      </c>
      <c r="O193" s="69" t="str">
        <f t="shared" si="3"/>
        <v/>
      </c>
      <c r="P193" s="471">
        <f>IFERROR(__xludf.DUMMYFUNCTION("""COMPUTED_VALUE"""),19.0)</f>
        <v>19</v>
      </c>
      <c r="Q193" s="274" t="b">
        <f>VLOOKUP($B193,'Run Reconcile'!B$2:O2488,14,FALSE)</f>
        <v>1</v>
      </c>
      <c r="R193" s="472" t="str">
        <f t="array" ref="R193">IF($Q193, INDEX('Run Reconcile'!A$2:A2488,MATCH(B193,'Run Reconcile'!B$2:B2488,0),1),IFERROR(0/0,""))</f>
        <v>RUN-FLMP_2021-11-05_APS-065</v>
      </c>
      <c r="S193" s="473" t="str">
        <f t="shared" ref="S193:T193" si="390">IF(COUNTIF(W$2:W2488, $A193) &gt; 0,TRUE,IFERROR(0/0,""))</f>
        <v/>
      </c>
      <c r="T193" s="473" t="str">
        <f t="shared" si="390"/>
        <v/>
      </c>
      <c r="U193" s="275" t="str">
        <f t="array" ref="U193">IF(ISBLANK($R193), INDEX('Run Reconcile'!A$2:A2488, MATCH($B193, 'Run Reconcile'!B$2:B2488, 0)+Z193, 1), IFERROR(0/0,""))
</f>
        <v/>
      </c>
      <c r="V193" s="474" t="str">
        <f t="shared" si="5"/>
        <v>RUN-FLMP_2021-11-05_APS-065</v>
      </c>
      <c r="Y193" s="89" t="str">
        <f t="shared" si="6"/>
        <v/>
      </c>
      <c r="Z193" s="60" t="str">
        <f t="shared" si="7"/>
        <v/>
      </c>
      <c r="AA193" s="60" t="str">
        <f t="shared" si="8"/>
        <v/>
      </c>
      <c r="AB193" s="60" t="str">
        <f t="shared" si="9"/>
        <v/>
      </c>
      <c r="AC193" s="30" t="str">
        <f t="shared" ref="AC193:AD193" si="391">IF(_xlfn.ISFORMULA(S193),IFERROR(0/0,""),TRUE)</f>
        <v/>
      </c>
      <c r="AD193" s="30" t="str">
        <f t="shared" si="391"/>
        <v/>
      </c>
      <c r="AE193" s="475" t="str">
        <f>IFERROR(__xludf.DUMMYFUNCTION("""COMPUTED_VALUE"""),"FLSP")</f>
        <v>FLSP</v>
      </c>
      <c r="AF193" s="476"/>
      <c r="AG193" s="474" t="s">
        <v>99</v>
      </c>
      <c r="AH193" s="138" t="str">
        <f t="shared" si="11"/>
        <v/>
      </c>
    </row>
    <row r="194">
      <c r="A194" s="103" t="str">
        <f>IFERROR(__xludf.DUMMYFUNCTION("""COMPUTED_VALUE"""),"MA1369")</f>
        <v>MA1369</v>
      </c>
      <c r="B194" s="468">
        <f>IFERROR(__xludf.DUMMYFUNCTION("""COMPUTED_VALUE"""),44508.0)</f>
        <v>44508</v>
      </c>
      <c r="C194" s="469">
        <f>IFERROR(__xludf.DUMMYFUNCTION("""COMPUTED_VALUE"""),0.3013194444444444)</f>
        <v>0.3013194444</v>
      </c>
      <c r="D194" s="103" t="str">
        <f>IFERROR(__xludf.DUMMYFUNCTION("""COMPUTED_VALUE"""),"SpFLMP659315")</f>
        <v>SpFLMP659315</v>
      </c>
      <c r="E194" s="103"/>
      <c r="F194" s="103"/>
      <c r="G194" s="103" t="str">
        <f>IFERROR(__xludf.DUMMYFUNCTION("""COMPUTED_VALUE"""),"Negative")</f>
        <v>Negative</v>
      </c>
      <c r="H194" s="131" t="str">
        <f>IFERROR(__xludf.DUMMYFUNCTION("""COMPUTED_VALUE"""),"Negative")</f>
        <v>Negative</v>
      </c>
      <c r="I194" s="468">
        <f>IFERROR(__xludf.DUMMYFUNCTION("""COMPUTED_VALUE"""),44508.0)</f>
        <v>44508</v>
      </c>
      <c r="J194" s="470">
        <f>IFERROR(__xludf.DUMMYFUNCTION("""COMPUTED_VALUE"""),0.4173611111111111)</f>
        <v>0.4173611111</v>
      </c>
      <c r="K194" s="16"/>
      <c r="L194" s="8"/>
      <c r="M194" s="69"/>
      <c r="N194" s="69">
        <f>IFERROR(__xludf.DUMMYFUNCTION("""COMPUTED_VALUE"""),4.0)</f>
        <v>4</v>
      </c>
      <c r="O194" s="69" t="b">
        <f t="shared" si="3"/>
        <v>1</v>
      </c>
      <c r="P194" s="471">
        <f>IFERROR(__xludf.DUMMYFUNCTION("""COMPUTED_VALUE"""),0.0)</f>
        <v>0</v>
      </c>
      <c r="Q194" s="274" t="b">
        <f>VLOOKUP($B194,'Run Reconcile'!B$2:O2488,14,FALSE)</f>
        <v>1</v>
      </c>
      <c r="R194" s="472" t="str">
        <f t="array" ref="R194">IF($Q194, INDEX('Run Reconcile'!A$2:A2488,MATCH(B194,'Run Reconcile'!B$2:B2488,0),1),IFERROR(0/0,""))</f>
        <v>RUN-FLMP_2021-11-08_APS-066</v>
      </c>
      <c r="S194" s="473" t="str">
        <f t="shared" ref="S194:T194" si="392">IF(COUNTIF(W$2:W2488, $A194) &gt; 0,TRUE,IFERROR(0/0,""))</f>
        <v/>
      </c>
      <c r="T194" s="473" t="str">
        <f t="shared" si="392"/>
        <v/>
      </c>
      <c r="U194" s="275" t="str">
        <f t="array" ref="U194">IF(ISBLANK($R194), INDEX('Run Reconcile'!A$2:A2488, MATCH($B194, 'Run Reconcile'!B$2:B2488, 0)+Z194, 1), IFERROR(0/0,""))
</f>
        <v/>
      </c>
      <c r="V194" s="474" t="str">
        <f t="shared" si="5"/>
        <v>RUN-FLMP_2021-11-08_APS-066</v>
      </c>
      <c r="Y194" s="89" t="str">
        <f t="shared" si="6"/>
        <v/>
      </c>
      <c r="Z194" s="60" t="str">
        <f t="shared" si="7"/>
        <v/>
      </c>
      <c r="AA194" s="60" t="str">
        <f t="shared" si="8"/>
        <v/>
      </c>
      <c r="AB194" s="60" t="str">
        <f t="shared" si="9"/>
        <v/>
      </c>
      <c r="AC194" s="30" t="str">
        <f t="shared" ref="AC194:AD194" si="393">IF(_xlfn.ISFORMULA(S194),IFERROR(0/0,""),TRUE)</f>
        <v/>
      </c>
      <c r="AD194" s="30" t="str">
        <f t="shared" si="393"/>
        <v/>
      </c>
      <c r="AE194" s="475" t="str">
        <f>IFERROR(__xludf.DUMMYFUNCTION("""COMPUTED_VALUE"""),"FLSP")</f>
        <v>FLSP</v>
      </c>
      <c r="AF194" s="476"/>
      <c r="AG194" s="474" t="s">
        <v>100</v>
      </c>
      <c r="AH194" s="138" t="str">
        <f t="shared" si="11"/>
        <v/>
      </c>
    </row>
    <row r="195">
      <c r="A195" s="103" t="str">
        <f>IFERROR(__xludf.DUMMYFUNCTION("""COMPUTED_VALUE"""),"MA1348")</f>
        <v>MA1348</v>
      </c>
      <c r="B195" s="468">
        <f>IFERROR(__xludf.DUMMYFUNCTION("""COMPUTED_VALUE"""),44508.0)</f>
        <v>44508</v>
      </c>
      <c r="C195" s="469">
        <f>IFERROR(__xludf.DUMMYFUNCTION("""COMPUTED_VALUE"""),0.37752314814814814)</f>
        <v>0.3775231481</v>
      </c>
      <c r="D195" s="103" t="str">
        <f>IFERROR(__xludf.DUMMYFUNCTION("""COMPUTED_VALUE"""),"SpFLMP496039")</f>
        <v>SpFLMP496039</v>
      </c>
      <c r="E195" s="103"/>
      <c r="F195" s="103"/>
      <c r="G195" s="103" t="str">
        <f>IFERROR(__xludf.DUMMYFUNCTION("""COMPUTED_VALUE"""),"Negative")</f>
        <v>Negative</v>
      </c>
      <c r="H195" s="131" t="str">
        <f>IFERROR(__xludf.DUMMYFUNCTION("""COMPUTED_VALUE"""),"Negative")</f>
        <v>Negative</v>
      </c>
      <c r="I195" s="468">
        <f>IFERROR(__xludf.DUMMYFUNCTION("""COMPUTED_VALUE"""),44508.0)</f>
        <v>44508</v>
      </c>
      <c r="J195" s="470">
        <f>IFERROR(__xludf.DUMMYFUNCTION("""COMPUTED_VALUE"""),0.4173611111111111)</f>
        <v>0.4173611111</v>
      </c>
      <c r="K195" s="16"/>
      <c r="L195" s="8"/>
      <c r="M195" s="69"/>
      <c r="N195" s="69">
        <f>IFERROR(__xludf.DUMMYFUNCTION("""COMPUTED_VALUE"""),1.0)</f>
        <v>1</v>
      </c>
      <c r="O195" s="69" t="str">
        <f t="shared" si="3"/>
        <v/>
      </c>
      <c r="P195" s="471">
        <f>IFERROR(__xludf.DUMMYFUNCTION("""COMPUTED_VALUE"""),0.0)</f>
        <v>0</v>
      </c>
      <c r="Q195" s="274" t="b">
        <f>VLOOKUP($B195,'Run Reconcile'!B$2:O2488,14,FALSE)</f>
        <v>1</v>
      </c>
      <c r="R195" s="472" t="str">
        <f t="array" ref="R195">IF($Q195, INDEX('Run Reconcile'!A$2:A2488,MATCH(B195,'Run Reconcile'!B$2:B2488,0),1),IFERROR(0/0,""))</f>
        <v>RUN-FLMP_2021-11-08_APS-066</v>
      </c>
      <c r="S195" s="473" t="str">
        <f t="shared" ref="S195:T195" si="394">IF(COUNTIF(W$2:W2488, $A195) &gt; 0,TRUE,IFERROR(0/0,""))</f>
        <v/>
      </c>
      <c r="T195" s="473" t="str">
        <f t="shared" si="394"/>
        <v/>
      </c>
      <c r="U195" s="275" t="str">
        <f t="array" ref="U195">IF(ISBLANK($R195), INDEX('Run Reconcile'!A$2:A2488, MATCH($B195, 'Run Reconcile'!B$2:B2488, 0)+Z195, 1), IFERROR(0/0,""))
</f>
        <v/>
      </c>
      <c r="V195" s="474" t="str">
        <f t="shared" si="5"/>
        <v>RUN-FLMP_2021-11-08_APS-066</v>
      </c>
      <c r="Y195" s="89" t="str">
        <f t="shared" si="6"/>
        <v/>
      </c>
      <c r="Z195" s="60" t="str">
        <f t="shared" si="7"/>
        <v/>
      </c>
      <c r="AA195" s="60" t="str">
        <f t="shared" si="8"/>
        <v/>
      </c>
      <c r="AB195" s="60" t="str">
        <f t="shared" si="9"/>
        <v/>
      </c>
      <c r="AC195" s="30" t="str">
        <f t="shared" ref="AC195:AD195" si="395">IF(_xlfn.ISFORMULA(S195),IFERROR(0/0,""),TRUE)</f>
        <v/>
      </c>
      <c r="AD195" s="30" t="str">
        <f t="shared" si="395"/>
        <v/>
      </c>
      <c r="AE195" s="475" t="str">
        <f>IFERROR(__xludf.DUMMYFUNCTION("""COMPUTED_VALUE"""),"FLSP")</f>
        <v>FLSP</v>
      </c>
      <c r="AF195" s="476"/>
      <c r="AG195" s="474" t="s">
        <v>100</v>
      </c>
      <c r="AH195" s="138" t="str">
        <f t="shared" si="11"/>
        <v/>
      </c>
    </row>
    <row r="196">
      <c r="A196" s="103" t="str">
        <f>IFERROR(__xludf.DUMMYFUNCTION("""COMPUTED_VALUE"""),"MA1326")</f>
        <v>MA1326</v>
      </c>
      <c r="B196" s="468">
        <f>IFERROR(__xludf.DUMMYFUNCTION("""COMPUTED_VALUE"""),44510.0)</f>
        <v>44510</v>
      </c>
      <c r="C196" s="469">
        <f>IFERROR(__xludf.DUMMYFUNCTION("""COMPUTED_VALUE"""),0.3410185185185185)</f>
        <v>0.3410185185</v>
      </c>
      <c r="D196" s="103" t="str">
        <f>IFERROR(__xludf.DUMMYFUNCTION("""COMPUTED_VALUE"""),"SpFLMP659315")</f>
        <v>SpFLMP659315</v>
      </c>
      <c r="E196" s="103"/>
      <c r="F196" s="103"/>
      <c r="G196" s="103" t="str">
        <f>IFERROR(__xludf.DUMMYFUNCTION("""COMPUTED_VALUE"""),"Negative")</f>
        <v>Negative</v>
      </c>
      <c r="H196" s="131" t="str">
        <f>IFERROR(__xludf.DUMMYFUNCTION("""COMPUTED_VALUE"""),"Negative")</f>
        <v>Negative</v>
      </c>
      <c r="I196" s="468">
        <f>IFERROR(__xludf.DUMMYFUNCTION("""COMPUTED_VALUE"""),44510.0)</f>
        <v>44510</v>
      </c>
      <c r="J196" s="470">
        <f>IFERROR(__xludf.DUMMYFUNCTION("""COMPUTED_VALUE"""),0.40599537037037037)</f>
        <v>0.4059953704</v>
      </c>
      <c r="K196" s="16"/>
      <c r="L196" s="8"/>
      <c r="M196" s="69"/>
      <c r="N196" s="69">
        <f>IFERROR(__xludf.DUMMYFUNCTION("""COMPUTED_VALUE"""),4.0)</f>
        <v>4</v>
      </c>
      <c r="O196" s="69" t="b">
        <f t="shared" si="3"/>
        <v>1</v>
      </c>
      <c r="P196" s="471">
        <f>IFERROR(__xludf.DUMMYFUNCTION("""COMPUTED_VALUE"""),0.0)</f>
        <v>0</v>
      </c>
      <c r="Q196" s="274" t="b">
        <f>VLOOKUP($B196,'Run Reconcile'!B$2:O2488,14,FALSE)</f>
        <v>1</v>
      </c>
      <c r="R196" s="472" t="str">
        <f t="array" ref="R196">IF($Q196, INDEX('Run Reconcile'!A$2:A2488,MATCH(B196,'Run Reconcile'!B$2:B2488,0),1),IFERROR(0/0,""))</f>
        <v>RUN-FLMP_2021-11-10_APS-067</v>
      </c>
      <c r="S196" s="473" t="str">
        <f t="shared" ref="S196:T196" si="396">IF(COUNTIF(W$2:W2488, $A196) &gt; 0,TRUE,IFERROR(0/0,""))</f>
        <v/>
      </c>
      <c r="T196" s="473" t="str">
        <f t="shared" si="396"/>
        <v/>
      </c>
      <c r="U196" s="275" t="str">
        <f t="array" ref="U196">IF(ISBLANK($R196), INDEX('Run Reconcile'!A$2:A2488, MATCH($B196, 'Run Reconcile'!B$2:B2488, 0)+Z196, 1), IFERROR(0/0,""))
</f>
        <v/>
      </c>
      <c r="V196" s="474" t="str">
        <f t="shared" si="5"/>
        <v>RUN-FLMP_2021-11-10_APS-067</v>
      </c>
      <c r="Y196" s="89" t="str">
        <f t="shared" si="6"/>
        <v/>
      </c>
      <c r="Z196" s="60" t="str">
        <f t="shared" si="7"/>
        <v/>
      </c>
      <c r="AA196" s="60" t="str">
        <f t="shared" si="8"/>
        <v/>
      </c>
      <c r="AB196" s="60" t="str">
        <f t="shared" si="9"/>
        <v/>
      </c>
      <c r="AC196" s="30" t="str">
        <f t="shared" ref="AC196:AD196" si="397">IF(_xlfn.ISFORMULA(S196),IFERROR(0/0,""),TRUE)</f>
        <v/>
      </c>
      <c r="AD196" s="30" t="str">
        <f t="shared" si="397"/>
        <v/>
      </c>
      <c r="AE196" s="475" t="str">
        <f>IFERROR(__xludf.DUMMYFUNCTION("""COMPUTED_VALUE"""),"FLSP")</f>
        <v>FLSP</v>
      </c>
      <c r="AF196" s="476"/>
      <c r="AG196" s="474" t="s">
        <v>101</v>
      </c>
      <c r="AH196" s="138" t="str">
        <f t="shared" si="11"/>
        <v/>
      </c>
    </row>
    <row r="197">
      <c r="A197" s="103" t="str">
        <f>IFERROR(__xludf.DUMMYFUNCTION("""COMPUTED_VALUE"""),"MA1470")</f>
        <v>MA1470</v>
      </c>
      <c r="B197" s="468">
        <f>IFERROR(__xludf.DUMMYFUNCTION("""COMPUTED_VALUE"""),44510.0)</f>
        <v>44510</v>
      </c>
      <c r="C197" s="469">
        <f>IFERROR(__xludf.DUMMYFUNCTION("""COMPUTED_VALUE"""),0.3650347222222222)</f>
        <v>0.3650347222</v>
      </c>
      <c r="D197" s="103" t="str">
        <f>IFERROR(__xludf.DUMMYFUNCTION("""COMPUTED_VALUE"""),"SpFLMP496039")</f>
        <v>SpFLMP496039</v>
      </c>
      <c r="E197" s="103"/>
      <c r="F197" s="103"/>
      <c r="G197" s="103" t="str">
        <f>IFERROR(__xludf.DUMMYFUNCTION("""COMPUTED_VALUE"""),"Negative")</f>
        <v>Negative</v>
      </c>
      <c r="H197" s="131" t="str">
        <f>IFERROR(__xludf.DUMMYFUNCTION("""COMPUTED_VALUE"""),"Negative")</f>
        <v>Negative</v>
      </c>
      <c r="I197" s="468">
        <f>IFERROR(__xludf.DUMMYFUNCTION("""COMPUTED_VALUE"""),44510.0)</f>
        <v>44510</v>
      </c>
      <c r="J197" s="470">
        <f>IFERROR(__xludf.DUMMYFUNCTION("""COMPUTED_VALUE"""),0.40600694444444446)</f>
        <v>0.4060069444</v>
      </c>
      <c r="K197" s="16"/>
      <c r="L197" s="8"/>
      <c r="M197" s="69"/>
      <c r="N197" s="69">
        <f>IFERROR(__xludf.DUMMYFUNCTION("""COMPUTED_VALUE"""),1.0)</f>
        <v>1</v>
      </c>
      <c r="O197" s="69" t="str">
        <f t="shared" si="3"/>
        <v/>
      </c>
      <c r="P197" s="471">
        <f>IFERROR(__xludf.DUMMYFUNCTION("""COMPUTED_VALUE"""),0.0)</f>
        <v>0</v>
      </c>
      <c r="Q197" s="274" t="b">
        <f>VLOOKUP($B197,'Run Reconcile'!B$2:O2488,14,FALSE)</f>
        <v>1</v>
      </c>
      <c r="R197" s="472" t="str">
        <f t="array" ref="R197">IF($Q197, INDEX('Run Reconcile'!A$2:A2488,MATCH(B197,'Run Reconcile'!B$2:B2488,0),1),IFERROR(0/0,""))</f>
        <v>RUN-FLMP_2021-11-10_APS-067</v>
      </c>
      <c r="S197" s="473" t="str">
        <f t="shared" ref="S197:T197" si="398">IF(COUNTIF(W$2:W2488, $A197) &gt; 0,TRUE,IFERROR(0/0,""))</f>
        <v/>
      </c>
      <c r="T197" s="473" t="str">
        <f t="shared" si="398"/>
        <v/>
      </c>
      <c r="U197" s="275" t="str">
        <f t="array" ref="U197">IF(ISBLANK($R197), INDEX('Run Reconcile'!A$2:A2488, MATCH($B197, 'Run Reconcile'!B$2:B2488, 0)+Z197, 1), IFERROR(0/0,""))
</f>
        <v/>
      </c>
      <c r="V197" s="474" t="str">
        <f t="shared" si="5"/>
        <v>RUN-FLMP_2021-11-10_APS-067</v>
      </c>
      <c r="Y197" s="89" t="str">
        <f t="shared" si="6"/>
        <v/>
      </c>
      <c r="Z197" s="60" t="str">
        <f t="shared" si="7"/>
        <v/>
      </c>
      <c r="AA197" s="60" t="str">
        <f t="shared" si="8"/>
        <v/>
      </c>
      <c r="AB197" s="60" t="str">
        <f t="shared" si="9"/>
        <v/>
      </c>
      <c r="AC197" s="30" t="str">
        <f t="shared" ref="AC197:AD197" si="399">IF(_xlfn.ISFORMULA(S197),IFERROR(0/0,""),TRUE)</f>
        <v/>
      </c>
      <c r="AD197" s="30" t="str">
        <f t="shared" si="399"/>
        <v/>
      </c>
      <c r="AE197" s="475" t="str">
        <f>IFERROR(__xludf.DUMMYFUNCTION("""COMPUTED_VALUE"""),"FLSP")</f>
        <v>FLSP</v>
      </c>
      <c r="AF197" s="476"/>
      <c r="AG197" s="474" t="s">
        <v>101</v>
      </c>
      <c r="AH197" s="138" t="str">
        <f t="shared" si="11"/>
        <v/>
      </c>
    </row>
    <row r="198">
      <c r="A198" s="103" t="str">
        <f>IFERROR(__xludf.DUMMYFUNCTION("""COMPUTED_VALUE"""),"MA1387")</f>
        <v>MA1387</v>
      </c>
      <c r="B198" s="468">
        <f>IFERROR(__xludf.DUMMYFUNCTION("""COMPUTED_VALUE"""),44512.0)</f>
        <v>44512</v>
      </c>
      <c r="C198" s="469">
        <f>IFERROR(__xludf.DUMMYFUNCTION("""COMPUTED_VALUE"""),0.36592592592592593)</f>
        <v>0.3659259259</v>
      </c>
      <c r="D198" s="103" t="str">
        <f>IFERROR(__xludf.DUMMYFUNCTION("""COMPUTED_VALUE"""),"SpFLMP496039")</f>
        <v>SpFLMP496039</v>
      </c>
      <c r="E198" s="103"/>
      <c r="F198" s="103"/>
      <c r="G198" s="103" t="str">
        <f>IFERROR(__xludf.DUMMYFUNCTION("""COMPUTED_VALUE"""),"Negative")</f>
        <v>Negative</v>
      </c>
      <c r="H198" s="131" t="str">
        <f>IFERROR(__xludf.DUMMYFUNCTION("""COMPUTED_VALUE"""),"Negative")</f>
        <v>Negative</v>
      </c>
      <c r="I198" s="468">
        <f>IFERROR(__xludf.DUMMYFUNCTION("""COMPUTED_VALUE"""),44524.0)</f>
        <v>44524</v>
      </c>
      <c r="J198" s="470">
        <f>IFERROR(__xludf.DUMMYFUNCTION("""COMPUTED_VALUE"""),0.31809027777777776)</f>
        <v>0.3180902778</v>
      </c>
      <c r="K198" s="16"/>
      <c r="L198" s="8"/>
      <c r="M198" s="69"/>
      <c r="N198" s="69">
        <f>IFERROR(__xludf.DUMMYFUNCTION("""COMPUTED_VALUE"""),1.0)</f>
        <v>1</v>
      </c>
      <c r="O198" s="69" t="b">
        <f t="shared" si="3"/>
        <v>1</v>
      </c>
      <c r="P198" s="471">
        <f>IFERROR(__xludf.DUMMYFUNCTION("""COMPUTED_VALUE"""),12.0)</f>
        <v>12</v>
      </c>
      <c r="Q198" s="274" t="b">
        <f>VLOOKUP($B198,'Run Reconcile'!B$2:O2488,14,FALSE)</f>
        <v>1</v>
      </c>
      <c r="R198" s="472" t="str">
        <f t="array" ref="R198">IF($Q198, INDEX('Run Reconcile'!A$2:A2488,MATCH(B198,'Run Reconcile'!B$2:B2488,0),1),IFERROR(0/0,""))</f>
        <v>RUN-FLMP_2021-11-12_RFR-003</v>
      </c>
      <c r="S198" s="473" t="str">
        <f t="shared" ref="S198:T198" si="400">IF(COUNTIF(W$2:W2488, $A198) &gt; 0,TRUE,IFERROR(0/0,""))</f>
        <v/>
      </c>
      <c r="T198" s="473" t="str">
        <f t="shared" si="400"/>
        <v/>
      </c>
      <c r="U198" s="275" t="str">
        <f t="array" ref="U198">IF(ISBLANK($R198), INDEX('Run Reconcile'!A$2:A2488, MATCH($B198, 'Run Reconcile'!B$2:B2488, 0)+Z198, 1), IFERROR(0/0,""))
</f>
        <v/>
      </c>
      <c r="V198" s="474" t="str">
        <f t="shared" si="5"/>
        <v>RUN-FLMP_2021-11-12_RFR-003</v>
      </c>
      <c r="Y198" s="89" t="str">
        <f t="shared" si="6"/>
        <v/>
      </c>
      <c r="Z198" s="60" t="str">
        <f t="shared" si="7"/>
        <v/>
      </c>
      <c r="AA198" s="60" t="str">
        <f t="shared" si="8"/>
        <v/>
      </c>
      <c r="AB198" s="60" t="str">
        <f t="shared" si="9"/>
        <v/>
      </c>
      <c r="AC198" s="30" t="str">
        <f t="shared" ref="AC198:AD198" si="401">IF(_xlfn.ISFORMULA(S198),IFERROR(0/0,""),TRUE)</f>
        <v/>
      </c>
      <c r="AD198" s="30" t="str">
        <f t="shared" si="401"/>
        <v/>
      </c>
      <c r="AE198" s="475" t="str">
        <f>IFERROR(__xludf.DUMMYFUNCTION("""COMPUTED_VALUE"""),"FLSP")</f>
        <v>FLSP</v>
      </c>
      <c r="AF198" s="476"/>
      <c r="AG198" s="474" t="s">
        <v>102</v>
      </c>
      <c r="AH198" s="138" t="str">
        <f t="shared" si="11"/>
        <v/>
      </c>
    </row>
    <row r="199">
      <c r="A199" s="103" t="str">
        <f>IFERROR(__xludf.DUMMYFUNCTION("""COMPUTED_VALUE"""),"MA1471")</f>
        <v>MA1471</v>
      </c>
      <c r="B199" s="468">
        <f>IFERROR(__xludf.DUMMYFUNCTION("""COMPUTED_VALUE"""),44512.0)</f>
        <v>44512</v>
      </c>
      <c r="C199" s="469">
        <f>IFERROR(__xludf.DUMMYFUNCTION("""COMPUTED_VALUE"""),0.36792824074074076)</f>
        <v>0.3679282407</v>
      </c>
      <c r="D199" s="103" t="str">
        <f>IFERROR(__xludf.DUMMYFUNCTION("""COMPUTED_VALUE"""),"SpFLMP496039")</f>
        <v>SpFLMP496039</v>
      </c>
      <c r="E199" s="103"/>
      <c r="F199" s="103"/>
      <c r="G199" s="103" t="str">
        <f>IFERROR(__xludf.DUMMYFUNCTION("""COMPUTED_VALUE"""),"Negative")</f>
        <v>Negative</v>
      </c>
      <c r="H199" s="131" t="str">
        <f>IFERROR(__xludf.DUMMYFUNCTION("""COMPUTED_VALUE"""),"Negative")</f>
        <v>Negative</v>
      </c>
      <c r="I199" s="468">
        <f>IFERROR(__xludf.DUMMYFUNCTION("""COMPUTED_VALUE"""),44524.0)</f>
        <v>44524</v>
      </c>
      <c r="J199" s="470">
        <f>IFERROR(__xludf.DUMMYFUNCTION("""COMPUTED_VALUE"""),0.31810185185185186)</f>
        <v>0.3181018519</v>
      </c>
      <c r="K199" s="16"/>
      <c r="L199" s="8"/>
      <c r="M199" s="69"/>
      <c r="N199" s="69">
        <f>IFERROR(__xludf.DUMMYFUNCTION("""COMPUTED_VALUE"""),4.0)</f>
        <v>4</v>
      </c>
      <c r="O199" s="69" t="str">
        <f t="shared" si="3"/>
        <v/>
      </c>
      <c r="P199" s="471">
        <f>IFERROR(__xludf.DUMMYFUNCTION("""COMPUTED_VALUE"""),12.0)</f>
        <v>12</v>
      </c>
      <c r="Q199" s="274" t="b">
        <f>VLOOKUP($B199,'Run Reconcile'!B$2:O2488,14,FALSE)</f>
        <v>1</v>
      </c>
      <c r="R199" s="472" t="str">
        <f t="array" ref="R199">IF($Q199, INDEX('Run Reconcile'!A$2:A2488,MATCH(B199,'Run Reconcile'!B$2:B2488,0),1),IFERROR(0/0,""))</f>
        <v>RUN-FLMP_2021-11-12_RFR-003</v>
      </c>
      <c r="S199" s="473" t="str">
        <f t="shared" ref="S199:T199" si="402">IF(COUNTIF(W$2:W2488, $A199) &gt; 0,TRUE,IFERROR(0/0,""))</f>
        <v/>
      </c>
      <c r="T199" s="473" t="str">
        <f t="shared" si="402"/>
        <v/>
      </c>
      <c r="U199" s="275" t="str">
        <f t="array" ref="U199">IF(ISBLANK($R199), INDEX('Run Reconcile'!A$2:A2488, MATCH($B199, 'Run Reconcile'!B$2:B2488, 0)+Z199, 1), IFERROR(0/0,""))
</f>
        <v/>
      </c>
      <c r="V199" s="474" t="str">
        <f t="shared" si="5"/>
        <v>RUN-FLMP_2021-11-12_RFR-003</v>
      </c>
      <c r="Y199" s="89" t="str">
        <f t="shared" si="6"/>
        <v/>
      </c>
      <c r="Z199" s="60" t="str">
        <f t="shared" si="7"/>
        <v/>
      </c>
      <c r="AA199" s="60" t="str">
        <f t="shared" si="8"/>
        <v/>
      </c>
      <c r="AB199" s="60" t="str">
        <f t="shared" si="9"/>
        <v/>
      </c>
      <c r="AC199" s="30" t="str">
        <f t="shared" ref="AC199:AD199" si="403">IF(_xlfn.ISFORMULA(S199),IFERROR(0/0,""),TRUE)</f>
        <v/>
      </c>
      <c r="AD199" s="30" t="str">
        <f t="shared" si="403"/>
        <v/>
      </c>
      <c r="AE199" s="475" t="str">
        <f>IFERROR(__xludf.DUMMYFUNCTION("""COMPUTED_VALUE"""),"FLSP")</f>
        <v>FLSP</v>
      </c>
      <c r="AF199" s="476"/>
      <c r="AG199" s="474" t="s">
        <v>102</v>
      </c>
      <c r="AH199" s="138" t="str">
        <f t="shared" si="11"/>
        <v/>
      </c>
    </row>
    <row r="200">
      <c r="A200" s="103" t="str">
        <f>IFERROR(__xludf.DUMMYFUNCTION("""COMPUTED_VALUE"""),"MA1322")</f>
        <v>MA1322</v>
      </c>
      <c r="B200" s="468">
        <f>IFERROR(__xludf.DUMMYFUNCTION("""COMPUTED_VALUE"""),44515.0)</f>
        <v>44515</v>
      </c>
      <c r="C200" s="469">
        <f>IFERROR(__xludf.DUMMYFUNCTION("""COMPUTED_VALUE"""),0.3553935185185185)</f>
        <v>0.3553935185</v>
      </c>
      <c r="D200" s="103" t="str">
        <f>IFERROR(__xludf.DUMMYFUNCTION("""COMPUTED_VALUE"""),"SpFLMP659315")</f>
        <v>SpFLMP659315</v>
      </c>
      <c r="E200" s="103"/>
      <c r="F200" s="103"/>
      <c r="G200" s="103" t="str">
        <f>IFERROR(__xludf.DUMMYFUNCTION("""COMPUTED_VALUE"""),"Negative")</f>
        <v>Negative</v>
      </c>
      <c r="H200" s="131" t="str">
        <f>IFERROR(__xludf.DUMMYFUNCTION("""COMPUTED_VALUE"""),"Negative")</f>
        <v>Negative</v>
      </c>
      <c r="I200" s="468">
        <f>IFERROR(__xludf.DUMMYFUNCTION("""COMPUTED_VALUE"""),44524.0)</f>
        <v>44524</v>
      </c>
      <c r="J200" s="470">
        <f>IFERROR(__xludf.DUMMYFUNCTION("""COMPUTED_VALUE"""),0.31810185185185186)</f>
        <v>0.3181018519</v>
      </c>
      <c r="K200" s="16"/>
      <c r="L200" s="8"/>
      <c r="M200" s="69"/>
      <c r="N200" s="69">
        <f>IFERROR(__xludf.DUMMYFUNCTION("""COMPUTED_VALUE"""),4.0)</f>
        <v>4</v>
      </c>
      <c r="O200" s="69" t="b">
        <f t="shared" si="3"/>
        <v>1</v>
      </c>
      <c r="P200" s="471">
        <f>IFERROR(__xludf.DUMMYFUNCTION("""COMPUTED_VALUE"""),9.0)</f>
        <v>9</v>
      </c>
      <c r="Q200" s="274" t="b">
        <f>VLOOKUP($B200,'Run Reconcile'!B$2:O2488,14,FALSE)</f>
        <v>1</v>
      </c>
      <c r="R200" s="472" t="str">
        <f t="array" ref="R200">IF($Q200, INDEX('Run Reconcile'!A$2:A2488,MATCH(B200,'Run Reconcile'!B$2:B2488,0),1),IFERROR(0/0,""))</f>
        <v>RUN-FLMP_2021-11-15_APS-068</v>
      </c>
      <c r="S200" s="473" t="str">
        <f t="shared" ref="S200:T200" si="404">IF(COUNTIF(W$2:W2488, $A200) &gt; 0,TRUE,IFERROR(0/0,""))</f>
        <v/>
      </c>
      <c r="T200" s="473" t="str">
        <f t="shared" si="404"/>
        <v/>
      </c>
      <c r="U200" s="275" t="str">
        <f t="array" ref="U200">IF(ISBLANK($R200), INDEX('Run Reconcile'!A$2:A2488, MATCH($B200, 'Run Reconcile'!B$2:B2488, 0)+Z200, 1), IFERROR(0/0,""))
</f>
        <v/>
      </c>
      <c r="V200" s="474" t="str">
        <f t="shared" si="5"/>
        <v>RUN-FLMP_2021-11-15_APS-068</v>
      </c>
      <c r="Y200" s="89" t="str">
        <f t="shared" si="6"/>
        <v/>
      </c>
      <c r="Z200" s="60" t="str">
        <f t="shared" si="7"/>
        <v/>
      </c>
      <c r="AA200" s="60" t="str">
        <f t="shared" si="8"/>
        <v/>
      </c>
      <c r="AB200" s="60" t="str">
        <f t="shared" si="9"/>
        <v/>
      </c>
      <c r="AC200" s="30" t="str">
        <f t="shared" ref="AC200:AD200" si="405">IF(_xlfn.ISFORMULA(S200),IFERROR(0/0,""),TRUE)</f>
        <v/>
      </c>
      <c r="AD200" s="30" t="str">
        <f t="shared" si="405"/>
        <v/>
      </c>
      <c r="AE200" s="475" t="str">
        <f>IFERROR(__xludf.DUMMYFUNCTION("""COMPUTED_VALUE"""),"FLSP")</f>
        <v>FLSP</v>
      </c>
      <c r="AF200" s="476"/>
      <c r="AG200" s="474" t="s">
        <v>103</v>
      </c>
      <c r="AH200" s="138" t="str">
        <f t="shared" si="11"/>
        <v/>
      </c>
    </row>
    <row r="201">
      <c r="A201" s="103" t="str">
        <f>IFERROR(__xludf.DUMMYFUNCTION("""COMPUTED_VALUE"""),"MA1339")</f>
        <v>MA1339</v>
      </c>
      <c r="B201" s="468">
        <f>IFERROR(__xludf.DUMMYFUNCTION("""COMPUTED_VALUE"""),44515.0)</f>
        <v>44515</v>
      </c>
      <c r="C201" s="469">
        <f>IFERROR(__xludf.DUMMYFUNCTION("""COMPUTED_VALUE"""),0.38125)</f>
        <v>0.38125</v>
      </c>
      <c r="D201" s="103" t="str">
        <f>IFERROR(__xludf.DUMMYFUNCTION("""COMPUTED_VALUE"""),"SpFLMP496039")</f>
        <v>SpFLMP496039</v>
      </c>
      <c r="E201" s="103"/>
      <c r="F201" s="103"/>
      <c r="G201" s="103" t="str">
        <f>IFERROR(__xludf.DUMMYFUNCTION("""COMPUTED_VALUE"""),"Negative")</f>
        <v>Negative</v>
      </c>
      <c r="H201" s="131" t="str">
        <f>IFERROR(__xludf.DUMMYFUNCTION("""COMPUTED_VALUE"""),"Negative")</f>
        <v>Negative</v>
      </c>
      <c r="I201" s="468">
        <f>IFERROR(__xludf.DUMMYFUNCTION("""COMPUTED_VALUE"""),44524.0)</f>
        <v>44524</v>
      </c>
      <c r="J201" s="470">
        <f>IFERROR(__xludf.DUMMYFUNCTION("""COMPUTED_VALUE"""),0.31810185185185186)</f>
        <v>0.3181018519</v>
      </c>
      <c r="K201" s="16"/>
      <c r="L201" s="8"/>
      <c r="M201" s="69"/>
      <c r="N201" s="69">
        <f>IFERROR(__xludf.DUMMYFUNCTION("""COMPUTED_VALUE"""),1.0)</f>
        <v>1</v>
      </c>
      <c r="O201" s="69" t="str">
        <f t="shared" si="3"/>
        <v/>
      </c>
      <c r="P201" s="471">
        <f>IFERROR(__xludf.DUMMYFUNCTION("""COMPUTED_VALUE"""),9.0)</f>
        <v>9</v>
      </c>
      <c r="Q201" s="274" t="b">
        <f>VLOOKUP($B201,'Run Reconcile'!B$2:O2488,14,FALSE)</f>
        <v>1</v>
      </c>
      <c r="R201" s="472" t="str">
        <f t="array" ref="R201">IF($Q201, INDEX('Run Reconcile'!A$2:A2488,MATCH(B201,'Run Reconcile'!B$2:B2488,0),1),IFERROR(0/0,""))</f>
        <v>RUN-FLMP_2021-11-15_APS-068</v>
      </c>
      <c r="S201" s="473" t="str">
        <f t="shared" ref="S201:T201" si="406">IF(COUNTIF(W$2:W2488, $A201) &gt; 0,TRUE,IFERROR(0/0,""))</f>
        <v/>
      </c>
      <c r="T201" s="473" t="str">
        <f t="shared" si="406"/>
        <v/>
      </c>
      <c r="U201" s="275" t="str">
        <f t="array" ref="U201">IF(ISBLANK($R201), INDEX('Run Reconcile'!A$2:A2488, MATCH($B201, 'Run Reconcile'!B$2:B2488, 0)+Z201, 1), IFERROR(0/0,""))
</f>
        <v/>
      </c>
      <c r="V201" s="474" t="str">
        <f t="shared" si="5"/>
        <v>RUN-FLMP_2021-11-15_APS-068</v>
      </c>
      <c r="Y201" s="89" t="str">
        <f t="shared" si="6"/>
        <v/>
      </c>
      <c r="Z201" s="60" t="str">
        <f t="shared" si="7"/>
        <v/>
      </c>
      <c r="AA201" s="60" t="str">
        <f t="shared" si="8"/>
        <v/>
      </c>
      <c r="AB201" s="60" t="str">
        <f t="shared" si="9"/>
        <v/>
      </c>
      <c r="AC201" s="30" t="str">
        <f t="shared" ref="AC201:AD201" si="407">IF(_xlfn.ISFORMULA(S201),IFERROR(0/0,""),TRUE)</f>
        <v/>
      </c>
      <c r="AD201" s="30" t="str">
        <f t="shared" si="407"/>
        <v/>
      </c>
      <c r="AE201" s="475" t="str">
        <f>IFERROR(__xludf.DUMMYFUNCTION("""COMPUTED_VALUE"""),"FLSP")</f>
        <v>FLSP</v>
      </c>
      <c r="AF201" s="476"/>
      <c r="AG201" s="474" t="s">
        <v>103</v>
      </c>
      <c r="AH201" s="138" t="str">
        <f t="shared" si="11"/>
        <v/>
      </c>
    </row>
    <row r="202">
      <c r="A202" s="103" t="str">
        <f>IFERROR(__xludf.DUMMYFUNCTION("""COMPUTED_VALUE"""),"MA1350")</f>
        <v>MA1350</v>
      </c>
      <c r="B202" s="468">
        <f>IFERROR(__xludf.DUMMYFUNCTION("""COMPUTED_VALUE"""),44517.0)</f>
        <v>44517</v>
      </c>
      <c r="C202" s="469">
        <f>IFERROR(__xludf.DUMMYFUNCTION("""COMPUTED_VALUE"""),0.3025)</f>
        <v>0.3025</v>
      </c>
      <c r="D202" s="103" t="str">
        <f>IFERROR(__xludf.DUMMYFUNCTION("""COMPUTED_VALUE"""),"SpFLMP659315")</f>
        <v>SpFLMP659315</v>
      </c>
      <c r="E202" s="103"/>
      <c r="F202" s="103"/>
      <c r="G202" s="103" t="str">
        <f>IFERROR(__xludf.DUMMYFUNCTION("""COMPUTED_VALUE"""),"Negative")</f>
        <v>Negative</v>
      </c>
      <c r="H202" s="131" t="str">
        <f>IFERROR(__xludf.DUMMYFUNCTION("""COMPUTED_VALUE"""),"Negative")</f>
        <v>Negative</v>
      </c>
      <c r="I202" s="468">
        <f>IFERROR(__xludf.DUMMYFUNCTION("""COMPUTED_VALUE"""),44519.0)</f>
        <v>44519</v>
      </c>
      <c r="J202" s="470">
        <f>IFERROR(__xludf.DUMMYFUNCTION("""COMPUTED_VALUE"""),0.4005787037037037)</f>
        <v>0.4005787037</v>
      </c>
      <c r="K202" s="16"/>
      <c r="L202" s="8"/>
      <c r="M202" s="69"/>
      <c r="N202" s="69">
        <f>IFERROR(__xludf.DUMMYFUNCTION("""COMPUTED_VALUE"""),4.0)</f>
        <v>4</v>
      </c>
      <c r="O202" s="69" t="b">
        <f t="shared" si="3"/>
        <v>1</v>
      </c>
      <c r="P202" s="471">
        <f>IFERROR(__xludf.DUMMYFUNCTION("""COMPUTED_VALUE"""),2.0)</f>
        <v>2</v>
      </c>
      <c r="Q202" s="274" t="b">
        <f>VLOOKUP($B202,'Run Reconcile'!B$2:O2488,14,FALSE)</f>
        <v>1</v>
      </c>
      <c r="R202" s="472" t="str">
        <f t="array" ref="R202">IF($Q202, INDEX('Run Reconcile'!A$2:A2488,MATCH(B202,'Run Reconcile'!B$2:B2488,0),1),IFERROR(0/0,""))</f>
        <v>RUN-FLMP_2021-11-17_APS-069</v>
      </c>
      <c r="S202" s="473" t="str">
        <f t="shared" ref="S202:T202" si="408">IF(COUNTIF(W$2:W2488, $A202) &gt; 0,TRUE,IFERROR(0/0,""))</f>
        <v/>
      </c>
      <c r="T202" s="473" t="str">
        <f t="shared" si="408"/>
        <v/>
      </c>
      <c r="U202" s="275" t="str">
        <f t="array" ref="U202">IF(ISBLANK($R202), INDEX('Run Reconcile'!A$2:A2488, MATCH($B202, 'Run Reconcile'!B$2:B2488, 0)+Z202, 1), IFERROR(0/0,""))
</f>
        <v/>
      </c>
      <c r="V202" s="474" t="str">
        <f t="shared" si="5"/>
        <v>RUN-FLMP_2021-11-17_APS-069</v>
      </c>
      <c r="Y202" s="89" t="str">
        <f t="shared" si="6"/>
        <v/>
      </c>
      <c r="Z202" s="60" t="str">
        <f t="shared" si="7"/>
        <v/>
      </c>
      <c r="AA202" s="60" t="str">
        <f t="shared" si="8"/>
        <v/>
      </c>
      <c r="AB202" s="60" t="str">
        <f t="shared" si="9"/>
        <v/>
      </c>
      <c r="AC202" s="30" t="str">
        <f t="shared" ref="AC202:AD202" si="409">IF(_xlfn.ISFORMULA(S202),IFERROR(0/0,""),TRUE)</f>
        <v/>
      </c>
      <c r="AD202" s="30" t="str">
        <f t="shared" si="409"/>
        <v/>
      </c>
      <c r="AE202" s="475" t="str">
        <f>IFERROR(__xludf.DUMMYFUNCTION("""COMPUTED_VALUE"""),"FLSP")</f>
        <v>FLSP</v>
      </c>
      <c r="AF202" s="476"/>
      <c r="AG202" s="474" t="s">
        <v>104</v>
      </c>
      <c r="AH202" s="138" t="str">
        <f t="shared" si="11"/>
        <v/>
      </c>
    </row>
    <row r="203">
      <c r="A203" s="103" t="str">
        <f>IFERROR(__xludf.DUMMYFUNCTION("""COMPUTED_VALUE"""),"MA1368")</f>
        <v>MA1368</v>
      </c>
      <c r="B203" s="468">
        <f>IFERROR(__xludf.DUMMYFUNCTION("""COMPUTED_VALUE"""),44517.0)</f>
        <v>44517</v>
      </c>
      <c r="C203" s="469">
        <f>IFERROR(__xludf.DUMMYFUNCTION("""COMPUTED_VALUE"""),0.3658796296296296)</f>
        <v>0.3658796296</v>
      </c>
      <c r="D203" s="103" t="str">
        <f>IFERROR(__xludf.DUMMYFUNCTION("""COMPUTED_VALUE"""),"SpFLMP496039")</f>
        <v>SpFLMP496039</v>
      </c>
      <c r="E203" s="103"/>
      <c r="F203" s="103"/>
      <c r="G203" s="103" t="str">
        <f>IFERROR(__xludf.DUMMYFUNCTION("""COMPUTED_VALUE"""),"Negative")</f>
        <v>Negative</v>
      </c>
      <c r="H203" s="131" t="str">
        <f>IFERROR(__xludf.DUMMYFUNCTION("""COMPUTED_VALUE"""),"Negative")</f>
        <v>Negative</v>
      </c>
      <c r="I203" s="468">
        <f>IFERROR(__xludf.DUMMYFUNCTION("""COMPUTED_VALUE"""),44519.0)</f>
        <v>44519</v>
      </c>
      <c r="J203" s="470">
        <f>IFERROR(__xludf.DUMMYFUNCTION("""COMPUTED_VALUE"""),0.4005787037037037)</f>
        <v>0.4005787037</v>
      </c>
      <c r="K203" s="16"/>
      <c r="L203" s="8"/>
      <c r="M203" s="69"/>
      <c r="N203" s="69">
        <f>IFERROR(__xludf.DUMMYFUNCTION("""COMPUTED_VALUE"""),1.0)</f>
        <v>1</v>
      </c>
      <c r="O203" s="69" t="str">
        <f t="shared" si="3"/>
        <v/>
      </c>
      <c r="P203" s="471">
        <f>IFERROR(__xludf.DUMMYFUNCTION("""COMPUTED_VALUE"""),2.0)</f>
        <v>2</v>
      </c>
      <c r="Q203" s="274" t="b">
        <f>VLOOKUP($B203,'Run Reconcile'!B$2:O2488,14,FALSE)</f>
        <v>1</v>
      </c>
      <c r="R203" s="472" t="str">
        <f t="array" ref="R203">IF($Q203, INDEX('Run Reconcile'!A$2:A2488,MATCH(B203,'Run Reconcile'!B$2:B2488,0),1),IFERROR(0/0,""))</f>
        <v>RUN-FLMP_2021-11-17_APS-069</v>
      </c>
      <c r="S203" s="473" t="str">
        <f t="shared" ref="S203:T203" si="410">IF(COUNTIF(W$2:W2488, $A203) &gt; 0,TRUE,IFERROR(0/0,""))</f>
        <v/>
      </c>
      <c r="T203" s="473" t="str">
        <f t="shared" si="410"/>
        <v/>
      </c>
      <c r="U203" s="275" t="str">
        <f t="array" ref="U203">IF(ISBLANK($R203), INDEX('Run Reconcile'!A$2:A2488, MATCH($B203, 'Run Reconcile'!B$2:B2488, 0)+Z203, 1), IFERROR(0/0,""))
</f>
        <v/>
      </c>
      <c r="V203" s="474" t="str">
        <f t="shared" si="5"/>
        <v>RUN-FLMP_2021-11-17_APS-069</v>
      </c>
      <c r="Y203" s="89" t="str">
        <f t="shared" si="6"/>
        <v/>
      </c>
      <c r="Z203" s="60" t="str">
        <f t="shared" si="7"/>
        <v/>
      </c>
      <c r="AA203" s="60" t="str">
        <f t="shared" si="8"/>
        <v/>
      </c>
      <c r="AB203" s="60" t="str">
        <f t="shared" si="9"/>
        <v/>
      </c>
      <c r="AC203" s="30" t="str">
        <f t="shared" ref="AC203:AD203" si="411">IF(_xlfn.ISFORMULA(S203),IFERROR(0/0,""),TRUE)</f>
        <v/>
      </c>
      <c r="AD203" s="30" t="str">
        <f t="shared" si="411"/>
        <v/>
      </c>
      <c r="AE203" s="475" t="str">
        <f>IFERROR(__xludf.DUMMYFUNCTION("""COMPUTED_VALUE"""),"FLSP")</f>
        <v>FLSP</v>
      </c>
      <c r="AF203" s="476"/>
      <c r="AG203" s="474" t="s">
        <v>104</v>
      </c>
      <c r="AH203" s="138" t="str">
        <f t="shared" si="11"/>
        <v/>
      </c>
    </row>
    <row r="204">
      <c r="A204" s="103" t="str">
        <f>IFERROR(__xludf.DUMMYFUNCTION("""COMPUTED_VALUE"""),"MA1372")</f>
        <v>MA1372</v>
      </c>
      <c r="B204" s="468">
        <f>IFERROR(__xludf.DUMMYFUNCTION("""COMPUTED_VALUE"""),44519.0)</f>
        <v>44519</v>
      </c>
      <c r="C204" s="469">
        <f>IFERROR(__xludf.DUMMYFUNCTION("""COMPUTED_VALUE"""),0.3552199074074074)</f>
        <v>0.3552199074</v>
      </c>
      <c r="D204" s="103" t="str">
        <f>IFERROR(__xludf.DUMMYFUNCTION("""COMPUTED_VALUE"""),"SpFLMP684798")</f>
        <v>SpFLMP684798</v>
      </c>
      <c r="E204" s="103"/>
      <c r="F204" s="103"/>
      <c r="G204" s="103" t="str">
        <f>IFERROR(__xludf.DUMMYFUNCTION("""COMPUTED_VALUE"""),"Negative")</f>
        <v>Negative</v>
      </c>
      <c r="H204" s="131" t="str">
        <f>IFERROR(__xludf.DUMMYFUNCTION("""COMPUTED_VALUE"""),"Negative")</f>
        <v>Negative</v>
      </c>
      <c r="I204" s="468">
        <f>IFERROR(__xludf.DUMMYFUNCTION("""COMPUTED_VALUE"""),44519.0)</f>
        <v>44519</v>
      </c>
      <c r="J204" s="470">
        <f>IFERROR(__xludf.DUMMYFUNCTION("""COMPUTED_VALUE"""),0.4005787037037037)</f>
        <v>0.4005787037</v>
      </c>
      <c r="K204" s="16"/>
      <c r="L204" s="8"/>
      <c r="M204" s="69"/>
      <c r="N204" s="69">
        <f>IFERROR(__xludf.DUMMYFUNCTION("""COMPUTED_VALUE"""),4.0)</f>
        <v>4</v>
      </c>
      <c r="O204" s="69" t="b">
        <f t="shared" si="3"/>
        <v>1</v>
      </c>
      <c r="P204" s="471">
        <f>IFERROR(__xludf.DUMMYFUNCTION("""COMPUTED_VALUE"""),0.0)</f>
        <v>0</v>
      </c>
      <c r="Q204" s="274" t="b">
        <f>VLOOKUP($B204,'Run Reconcile'!B$2:O2488,14,FALSE)</f>
        <v>1</v>
      </c>
      <c r="R204" s="472" t="str">
        <f t="array" ref="R204">IF($Q204, INDEX('Run Reconcile'!A$2:A2488,MATCH(B204,'Run Reconcile'!B$2:B2488,0),1),IFERROR(0/0,""))</f>
        <v>RUN-FLMP_2021-11-19_APS-070</v>
      </c>
      <c r="S204" s="473" t="str">
        <f t="shared" ref="S204:T204" si="412">IF(COUNTIF(W$2:W2488, $A204) &gt; 0,TRUE,IFERROR(0/0,""))</f>
        <v/>
      </c>
      <c r="T204" s="473" t="str">
        <f t="shared" si="412"/>
        <v/>
      </c>
      <c r="U204" s="275" t="str">
        <f t="array" ref="U204">IF(ISBLANK($R204), INDEX('Run Reconcile'!A$2:A2488, MATCH($B204, 'Run Reconcile'!B$2:B2488, 0)+Z204, 1), IFERROR(0/0,""))
</f>
        <v/>
      </c>
      <c r="V204" s="474" t="str">
        <f t="shared" si="5"/>
        <v>RUN-FLMP_2021-11-19_APS-070</v>
      </c>
      <c r="Y204" s="89" t="str">
        <f t="shared" si="6"/>
        <v/>
      </c>
      <c r="Z204" s="60" t="str">
        <f t="shared" si="7"/>
        <v/>
      </c>
      <c r="AA204" s="60" t="str">
        <f t="shared" si="8"/>
        <v/>
      </c>
      <c r="AB204" s="60" t="str">
        <f t="shared" si="9"/>
        <v/>
      </c>
      <c r="AC204" s="30" t="str">
        <f t="shared" ref="AC204:AD204" si="413">IF(_xlfn.ISFORMULA(S204),IFERROR(0/0,""),TRUE)</f>
        <v/>
      </c>
      <c r="AD204" s="30" t="str">
        <f t="shared" si="413"/>
        <v/>
      </c>
      <c r="AE204" s="475" t="str">
        <f>IFERROR(__xludf.DUMMYFUNCTION("""COMPUTED_VALUE"""),"FLSP")</f>
        <v>FLSP</v>
      </c>
      <c r="AF204" s="476"/>
      <c r="AG204" s="474" t="s">
        <v>105</v>
      </c>
      <c r="AH204" s="138" t="str">
        <f t="shared" si="11"/>
        <v/>
      </c>
    </row>
    <row r="205">
      <c r="A205" s="103" t="str">
        <f>IFERROR(__xludf.DUMMYFUNCTION("""COMPUTED_VALUE"""),"MA1354")</f>
        <v>MA1354</v>
      </c>
      <c r="B205" s="468">
        <f>IFERROR(__xludf.DUMMYFUNCTION("""COMPUTED_VALUE"""),44519.0)</f>
        <v>44519</v>
      </c>
      <c r="C205" s="469">
        <f>IFERROR(__xludf.DUMMYFUNCTION("""COMPUTED_VALUE"""),0.39091435185185186)</f>
        <v>0.3909143519</v>
      </c>
      <c r="D205" s="103" t="str">
        <f>IFERROR(__xludf.DUMMYFUNCTION("""COMPUTED_VALUE"""),"SpFLMP496039")</f>
        <v>SpFLMP496039</v>
      </c>
      <c r="E205" s="103"/>
      <c r="F205" s="103"/>
      <c r="G205" s="103" t="str">
        <f>IFERROR(__xludf.DUMMYFUNCTION("""COMPUTED_VALUE"""),"Negative")</f>
        <v>Negative</v>
      </c>
      <c r="H205" s="131" t="str">
        <f>IFERROR(__xludf.DUMMYFUNCTION("""COMPUTED_VALUE"""),"Negative")</f>
        <v>Negative</v>
      </c>
      <c r="I205" s="468">
        <f>IFERROR(__xludf.DUMMYFUNCTION("""COMPUTED_VALUE"""),44519.0)</f>
        <v>44519</v>
      </c>
      <c r="J205" s="470">
        <f>IFERROR(__xludf.DUMMYFUNCTION("""COMPUTED_VALUE"""),0.4005787037037037)</f>
        <v>0.4005787037</v>
      </c>
      <c r="K205" s="16"/>
      <c r="L205" s="8"/>
      <c r="M205" s="69"/>
      <c r="N205" s="69">
        <f>IFERROR(__xludf.DUMMYFUNCTION("""COMPUTED_VALUE"""),1.0)</f>
        <v>1</v>
      </c>
      <c r="O205" s="69" t="str">
        <f t="shared" si="3"/>
        <v/>
      </c>
      <c r="P205" s="471">
        <f>IFERROR(__xludf.DUMMYFUNCTION("""COMPUTED_VALUE"""),0.0)</f>
        <v>0</v>
      </c>
      <c r="Q205" s="274" t="b">
        <f>VLOOKUP($B205,'Run Reconcile'!B$2:O2488,14,FALSE)</f>
        <v>1</v>
      </c>
      <c r="R205" s="472" t="str">
        <f t="array" ref="R205">IF($Q205, INDEX('Run Reconcile'!A$2:A2488,MATCH(B205,'Run Reconcile'!B$2:B2488,0),1),IFERROR(0/0,""))</f>
        <v>RUN-FLMP_2021-11-19_APS-070</v>
      </c>
      <c r="S205" s="473" t="str">
        <f t="shared" ref="S205:T205" si="414">IF(COUNTIF(W$2:W2488, $A205) &gt; 0,TRUE,IFERROR(0/0,""))</f>
        <v/>
      </c>
      <c r="T205" s="473" t="str">
        <f t="shared" si="414"/>
        <v/>
      </c>
      <c r="U205" s="275" t="str">
        <f t="array" ref="U205">IF(ISBLANK($R205), INDEX('Run Reconcile'!A$2:A2488, MATCH($B205, 'Run Reconcile'!B$2:B2488, 0)+Z205, 1), IFERROR(0/0,""))
</f>
        <v/>
      </c>
      <c r="V205" s="474" t="str">
        <f t="shared" si="5"/>
        <v>RUN-FLMP_2021-11-19_APS-070</v>
      </c>
      <c r="Y205" s="89" t="str">
        <f t="shared" si="6"/>
        <v/>
      </c>
      <c r="Z205" s="60" t="str">
        <f t="shared" si="7"/>
        <v/>
      </c>
      <c r="AA205" s="60" t="str">
        <f t="shared" si="8"/>
        <v/>
      </c>
      <c r="AB205" s="60" t="str">
        <f t="shared" si="9"/>
        <v/>
      </c>
      <c r="AC205" s="30" t="str">
        <f t="shared" ref="AC205:AD205" si="415">IF(_xlfn.ISFORMULA(S205),IFERROR(0/0,""),TRUE)</f>
        <v/>
      </c>
      <c r="AD205" s="30" t="str">
        <f t="shared" si="415"/>
        <v/>
      </c>
      <c r="AE205" s="475" t="str">
        <f>IFERROR(__xludf.DUMMYFUNCTION("""COMPUTED_VALUE"""),"FLSP")</f>
        <v>FLSP</v>
      </c>
      <c r="AF205" s="476"/>
      <c r="AG205" s="474" t="s">
        <v>105</v>
      </c>
      <c r="AH205" s="138" t="str">
        <f t="shared" si="11"/>
        <v/>
      </c>
    </row>
    <row r="206">
      <c r="A206" s="103" t="str">
        <f>IFERROR(__xludf.DUMMYFUNCTION("""COMPUTED_VALUE"""),"MA1371")</f>
        <v>MA1371</v>
      </c>
      <c r="B206" s="468">
        <f>IFERROR(__xludf.DUMMYFUNCTION("""COMPUTED_VALUE"""),44526.0)</f>
        <v>44526</v>
      </c>
      <c r="C206" s="469">
        <f>IFERROR(__xludf.DUMMYFUNCTION("""COMPUTED_VALUE"""),0.6359722222222223)</f>
        <v>0.6359722222</v>
      </c>
      <c r="D206" s="103" t="str">
        <f>IFERROR(__xludf.DUMMYFUNCTION("""COMPUTED_VALUE"""),"SpFLMP659315")</f>
        <v>SpFLMP659315</v>
      </c>
      <c r="E206" s="103"/>
      <c r="F206" s="103"/>
      <c r="G206" s="103" t="str">
        <f>IFERROR(__xludf.DUMMYFUNCTION("""COMPUTED_VALUE"""),"Negative")</f>
        <v>Negative</v>
      </c>
      <c r="H206" s="131" t="str">
        <f>IFERROR(__xludf.DUMMYFUNCTION("""COMPUTED_VALUE"""),"Negative")</f>
        <v>Negative</v>
      </c>
      <c r="I206" s="468">
        <f>IFERROR(__xludf.DUMMYFUNCTION("""COMPUTED_VALUE"""),44528.0)</f>
        <v>44528</v>
      </c>
      <c r="J206" s="470">
        <f>IFERROR(__xludf.DUMMYFUNCTION("""COMPUTED_VALUE"""),0.5675925925925925)</f>
        <v>0.5675925926</v>
      </c>
      <c r="K206" s="16"/>
      <c r="L206" s="8"/>
      <c r="M206" s="69"/>
      <c r="N206" s="69">
        <f>IFERROR(__xludf.DUMMYFUNCTION("""COMPUTED_VALUE"""),4.0)</f>
        <v>4</v>
      </c>
      <c r="O206" s="69" t="b">
        <f t="shared" si="3"/>
        <v>1</v>
      </c>
      <c r="P206" s="471">
        <f>IFERROR(__xludf.DUMMYFUNCTION("""COMPUTED_VALUE"""),2.0)</f>
        <v>2</v>
      </c>
      <c r="Q206" s="274" t="b">
        <f>VLOOKUP($B206,'Run Reconcile'!B$2:O2488,14,FALSE)</f>
        <v>1</v>
      </c>
      <c r="R206" s="472" t="str">
        <f t="array" ref="R206">IF($Q206, INDEX('Run Reconcile'!A$2:A2488,MATCH(B206,'Run Reconcile'!B$2:B2488,0),1),IFERROR(0/0,""))</f>
        <v>RUN-FLMP_2021-11-26_RFR-004</v>
      </c>
      <c r="S206" s="473" t="str">
        <f t="shared" ref="S206:T206" si="416">IF(COUNTIF(W$2:W2488, $A206) &gt; 0,TRUE,IFERROR(0/0,""))</f>
        <v/>
      </c>
      <c r="T206" s="473" t="str">
        <f t="shared" si="416"/>
        <v/>
      </c>
      <c r="U206" s="275" t="str">
        <f t="array" ref="U206">IF(ISBLANK($R206), INDEX('Run Reconcile'!A$2:A2488, MATCH($B206, 'Run Reconcile'!B$2:B2488, 0)+Z206, 1), IFERROR(0/0,""))
</f>
        <v/>
      </c>
      <c r="V206" s="474" t="str">
        <f t="shared" si="5"/>
        <v>RUN-FLMP_2021-11-26_RFR-004</v>
      </c>
      <c r="Y206" s="89" t="str">
        <f t="shared" si="6"/>
        <v/>
      </c>
      <c r="Z206" s="60" t="str">
        <f t="shared" si="7"/>
        <v/>
      </c>
      <c r="AA206" s="60" t="str">
        <f t="shared" si="8"/>
        <v/>
      </c>
      <c r="AB206" s="60" t="str">
        <f t="shared" si="9"/>
        <v/>
      </c>
      <c r="AC206" s="30" t="str">
        <f t="shared" ref="AC206:AD206" si="417">IF(_xlfn.ISFORMULA(S206),IFERROR(0/0,""),TRUE)</f>
        <v/>
      </c>
      <c r="AD206" s="30" t="str">
        <f t="shared" si="417"/>
        <v/>
      </c>
      <c r="AE206" s="475" t="str">
        <f>IFERROR(__xludf.DUMMYFUNCTION("""COMPUTED_VALUE"""),"FLSP")</f>
        <v>FLSP</v>
      </c>
      <c r="AF206" s="476"/>
      <c r="AG206" s="474" t="s">
        <v>106</v>
      </c>
      <c r="AH206" s="138" t="str">
        <f t="shared" si="11"/>
        <v/>
      </c>
    </row>
    <row r="207">
      <c r="A207" s="103" t="str">
        <f>IFERROR(__xludf.DUMMYFUNCTION("""COMPUTED_VALUE"""),"MA1323")</f>
        <v>MA1323</v>
      </c>
      <c r="B207" s="468">
        <f>IFERROR(__xludf.DUMMYFUNCTION("""COMPUTED_VALUE"""),44526.0)</f>
        <v>44526</v>
      </c>
      <c r="C207" s="469">
        <f>IFERROR(__xludf.DUMMYFUNCTION("""COMPUTED_VALUE"""),0.7202546296296296)</f>
        <v>0.7202546296</v>
      </c>
      <c r="D207" s="103" t="str">
        <f>IFERROR(__xludf.DUMMYFUNCTION("""COMPUTED_VALUE"""),"SpFLMP659315")</f>
        <v>SpFLMP659315</v>
      </c>
      <c r="E207" s="103"/>
      <c r="F207" s="103"/>
      <c r="G207" s="103" t="str">
        <f>IFERROR(__xludf.DUMMYFUNCTION("""COMPUTED_VALUE"""),"Negative")</f>
        <v>Negative</v>
      </c>
      <c r="H207" s="131" t="str">
        <f>IFERROR(__xludf.DUMMYFUNCTION("""COMPUTED_VALUE"""),"Negative")</f>
        <v>Negative</v>
      </c>
      <c r="I207" s="468">
        <f>IFERROR(__xludf.DUMMYFUNCTION("""COMPUTED_VALUE"""),44528.0)</f>
        <v>44528</v>
      </c>
      <c r="J207" s="470">
        <f>IFERROR(__xludf.DUMMYFUNCTION("""COMPUTED_VALUE"""),0.5675925925925925)</f>
        <v>0.5675925926</v>
      </c>
      <c r="K207" s="16"/>
      <c r="L207" s="8"/>
      <c r="M207" s="69"/>
      <c r="N207" s="69">
        <f>IFERROR(__xludf.DUMMYFUNCTION("""COMPUTED_VALUE"""),2.0)</f>
        <v>2</v>
      </c>
      <c r="O207" s="69" t="str">
        <f t="shared" si="3"/>
        <v/>
      </c>
      <c r="P207" s="471">
        <f>IFERROR(__xludf.DUMMYFUNCTION("""COMPUTED_VALUE"""),2.0)</f>
        <v>2</v>
      </c>
      <c r="Q207" s="274" t="b">
        <f>VLOOKUP($B207,'Run Reconcile'!B$2:O2488,14,FALSE)</f>
        <v>1</v>
      </c>
      <c r="R207" s="472" t="str">
        <f t="array" ref="R207">IF($Q207, INDEX('Run Reconcile'!A$2:A2488,MATCH(B207,'Run Reconcile'!B$2:B2488,0),1),IFERROR(0/0,""))</f>
        <v>RUN-FLMP_2021-11-26_RFR-004</v>
      </c>
      <c r="S207" s="473" t="str">
        <f t="shared" ref="S207:T207" si="418">IF(COUNTIF(W$2:W2488, $A207) &gt; 0,TRUE,IFERROR(0/0,""))</f>
        <v/>
      </c>
      <c r="T207" s="473" t="str">
        <f t="shared" si="418"/>
        <v/>
      </c>
      <c r="U207" s="275" t="str">
        <f t="array" ref="U207">IF(ISBLANK($R207), INDEX('Run Reconcile'!A$2:A2488, MATCH($B207, 'Run Reconcile'!B$2:B2488, 0)+Z207, 1), IFERROR(0/0,""))
</f>
        <v/>
      </c>
      <c r="V207" s="474" t="str">
        <f t="shared" si="5"/>
        <v>RUN-FLMP_2021-11-26_RFR-004</v>
      </c>
      <c r="Y207" s="89" t="str">
        <f t="shared" si="6"/>
        <v/>
      </c>
      <c r="Z207" s="60" t="str">
        <f t="shared" si="7"/>
        <v/>
      </c>
      <c r="AA207" s="60" t="str">
        <f t="shared" si="8"/>
        <v/>
      </c>
      <c r="AB207" s="60" t="str">
        <f t="shared" si="9"/>
        <v/>
      </c>
      <c r="AC207" s="30" t="str">
        <f t="shared" ref="AC207:AD207" si="419">IF(_xlfn.ISFORMULA(S207),IFERROR(0/0,""),TRUE)</f>
        <v/>
      </c>
      <c r="AD207" s="30" t="str">
        <f t="shared" si="419"/>
        <v/>
      </c>
      <c r="AE207" s="475" t="str">
        <f>IFERROR(__xludf.DUMMYFUNCTION("""COMPUTED_VALUE"""),"FLSP")</f>
        <v>FLSP</v>
      </c>
      <c r="AF207" s="476"/>
      <c r="AG207" s="474" t="s">
        <v>106</v>
      </c>
      <c r="AH207" s="138" t="str">
        <f t="shared" si="11"/>
        <v/>
      </c>
    </row>
    <row r="208">
      <c r="A208" s="103" t="str">
        <f>IFERROR(__xludf.DUMMYFUNCTION("""COMPUTED_VALUE"""),"FLT149")</f>
        <v>FLT149</v>
      </c>
      <c r="B208" s="468">
        <f>IFERROR(__xludf.DUMMYFUNCTION("""COMPUTED_VALUE"""),44528.0)</f>
        <v>44528</v>
      </c>
      <c r="C208" s="469">
        <f>IFERROR(__xludf.DUMMYFUNCTION("""COMPUTED_VALUE"""),0.38112268518518516)</f>
        <v>0.3811226852</v>
      </c>
      <c r="D208" s="103" t="str">
        <f>IFERROR(__xludf.DUMMYFUNCTION("""COMPUTED_VALUE"""),"SpFLMP174318")</f>
        <v>SpFLMP174318</v>
      </c>
      <c r="E208" s="103"/>
      <c r="F208" s="103"/>
      <c r="G208" s="103" t="str">
        <f>IFERROR(__xludf.DUMMYFUNCTION("""COMPUTED_VALUE"""),"Negative")</f>
        <v>Negative</v>
      </c>
      <c r="H208" s="131" t="str">
        <f>IFERROR(__xludf.DUMMYFUNCTION("""COMPUTED_VALUE"""),"Negative")</f>
        <v>Negative</v>
      </c>
      <c r="I208" s="468">
        <f>IFERROR(__xludf.DUMMYFUNCTION("""COMPUTED_VALUE"""),44528.0)</f>
        <v>44528</v>
      </c>
      <c r="J208" s="470">
        <f>IFERROR(__xludf.DUMMYFUNCTION("""COMPUTED_VALUE"""),0.8134722222222223)</f>
        <v>0.8134722222</v>
      </c>
      <c r="K208" s="16"/>
      <c r="L208" s="8"/>
      <c r="M208" s="69"/>
      <c r="N208" s="69">
        <f>IFERROR(__xludf.DUMMYFUNCTION("""COMPUTED_VALUE"""),4.0)</f>
        <v>4</v>
      </c>
      <c r="O208" s="69" t="b">
        <f t="shared" si="3"/>
        <v>1</v>
      </c>
      <c r="P208" s="471">
        <f>IFERROR(__xludf.DUMMYFUNCTION("""COMPUTED_VALUE"""),0.0)</f>
        <v>0</v>
      </c>
      <c r="Q208" s="274" t="str">
        <f>VLOOKUP($B208,'Run Reconcile'!B$2:O2488,14,FALSE)</f>
        <v/>
      </c>
      <c r="R208" s="472" t="str">
        <f t="array" ref="R208">IF($Q208, INDEX('Run Reconcile'!A$2:A2488,MATCH(B208,'Run Reconcile'!B$2:B2488,0),1),IFERROR(0/0,""))</f>
        <v/>
      </c>
      <c r="S208" s="473" t="str">
        <f t="shared" ref="S208:T208" si="420">IF(COUNTIF(W$2:W2488, $A208) &gt; 0,TRUE,IFERROR(0/0,""))</f>
        <v/>
      </c>
      <c r="T208" s="473" t="str">
        <f t="shared" si="420"/>
        <v/>
      </c>
      <c r="U208" s="275" t="str">
        <f t="array" ref="U208">IF(ISBLANK($R208), INDEX('Run Reconcile'!A$2:A2488, MATCH($B208, 'Run Reconcile'!B$2:B2488, 0)+Z208, 1), IFERROR(0/0,""))
</f>
        <v>RUN-FLMP_2021-11-28_RFR-006</v>
      </c>
      <c r="V208" s="474" t="str">
        <f t="shared" si="5"/>
        <v>RUN-FLMP_2021-11-28_RFR-006</v>
      </c>
      <c r="Y208" s="89" t="str">
        <f t="shared" si="6"/>
        <v/>
      </c>
      <c r="Z208" s="60" t="str">
        <f t="shared" si="7"/>
        <v/>
      </c>
      <c r="AA208" s="60" t="str">
        <f t="shared" si="8"/>
        <v/>
      </c>
      <c r="AB208" s="60" t="str">
        <f t="shared" si="9"/>
        <v/>
      </c>
      <c r="AC208" s="30" t="str">
        <f t="shared" ref="AC208:AD208" si="421">IF(_xlfn.ISFORMULA(S208),IFERROR(0/0,""),TRUE)</f>
        <v/>
      </c>
      <c r="AD208" s="30" t="str">
        <f t="shared" si="421"/>
        <v/>
      </c>
      <c r="AE208" s="475" t="str">
        <f>IFERROR(__xludf.DUMMYFUNCTION("""COMPUTED_VALUE"""),"FLSP")</f>
        <v>FLSP</v>
      </c>
      <c r="AF208" s="476"/>
      <c r="AG208" s="474" t="s">
        <v>107</v>
      </c>
      <c r="AH208" s="138" t="str">
        <f t="shared" si="11"/>
        <v/>
      </c>
    </row>
    <row r="209">
      <c r="A209" s="103" t="str">
        <f>IFERROR(__xludf.DUMMYFUNCTION("""COMPUTED_VALUE"""),"FLT1521")</f>
        <v>FLT1521</v>
      </c>
      <c r="B209" s="468">
        <f>IFERROR(__xludf.DUMMYFUNCTION("""COMPUTED_VALUE"""),44528.0)</f>
        <v>44528</v>
      </c>
      <c r="C209" s="469">
        <f>IFERROR(__xludf.DUMMYFUNCTION("""COMPUTED_VALUE"""),0.46847222222222223)</f>
        <v>0.4684722222</v>
      </c>
      <c r="D209" s="103" t="str">
        <f>IFERROR(__xludf.DUMMYFUNCTION("""COMPUTED_VALUE"""),"SpFLMP418927")</f>
        <v>SpFLMP418927</v>
      </c>
      <c r="E209" s="103"/>
      <c r="F209" s="103"/>
      <c r="G209" s="103" t="str">
        <f>IFERROR(__xludf.DUMMYFUNCTION("""COMPUTED_VALUE"""),"Negative")</f>
        <v>Negative</v>
      </c>
      <c r="H209" s="131" t="str">
        <f>IFERROR(__xludf.DUMMYFUNCTION("""COMPUTED_VALUE"""),"Negative")</f>
        <v>Negative</v>
      </c>
      <c r="I209" s="468">
        <f>IFERROR(__xludf.DUMMYFUNCTION("""COMPUTED_VALUE"""),44528.0)</f>
        <v>44528</v>
      </c>
      <c r="J209" s="470">
        <f>IFERROR(__xludf.DUMMYFUNCTION("""COMPUTED_VALUE"""),0.8134722222222223)</f>
        <v>0.8134722222</v>
      </c>
      <c r="K209" s="16"/>
      <c r="L209" s="8"/>
      <c r="M209" s="69"/>
      <c r="N209" s="69">
        <f>IFERROR(__xludf.DUMMYFUNCTION("""COMPUTED_VALUE"""),3.0)</f>
        <v>3</v>
      </c>
      <c r="O209" s="69" t="str">
        <f t="shared" si="3"/>
        <v/>
      </c>
      <c r="P209" s="471">
        <f>IFERROR(__xludf.DUMMYFUNCTION("""COMPUTED_VALUE"""),0.0)</f>
        <v>0</v>
      </c>
      <c r="Q209" s="274" t="str">
        <f>VLOOKUP($B209,'Run Reconcile'!B$2:O2488,14,FALSE)</f>
        <v/>
      </c>
      <c r="R209" s="472" t="str">
        <f t="array" ref="R209">IF($Q209, INDEX('Run Reconcile'!A$2:A2488,MATCH(B209,'Run Reconcile'!B$2:B2488,0),1),IFERROR(0/0,""))</f>
        <v/>
      </c>
      <c r="S209" s="473" t="str">
        <f t="shared" ref="S209:T209" si="422">IF(COUNTIF(W$2:W2488, $A209) &gt; 0,TRUE,IFERROR(0/0,""))</f>
        <v/>
      </c>
      <c r="T209" s="473" t="str">
        <f t="shared" si="422"/>
        <v/>
      </c>
      <c r="U209" s="275" t="str">
        <f t="array" ref="U209">IF(ISBLANK($R209), INDEX('Run Reconcile'!A$2:A2488, MATCH($B209, 'Run Reconcile'!B$2:B2488, 0)+Z209, 1), IFERROR(0/0,""))
</f>
        <v>RUN-FLMP_2021-11-28_RFR-006</v>
      </c>
      <c r="V209" s="474" t="str">
        <f t="shared" si="5"/>
        <v>RUN-FLMP_2021-11-28_RFR-006</v>
      </c>
      <c r="Y209" s="89" t="str">
        <f t="shared" si="6"/>
        <v/>
      </c>
      <c r="Z209" s="60" t="str">
        <f t="shared" si="7"/>
        <v/>
      </c>
      <c r="AA209" s="60" t="str">
        <f t="shared" si="8"/>
        <v/>
      </c>
      <c r="AB209" s="60" t="str">
        <f t="shared" si="9"/>
        <v/>
      </c>
      <c r="AC209" s="30" t="str">
        <f t="shared" ref="AC209:AD209" si="423">IF(_xlfn.ISFORMULA(S209),IFERROR(0/0,""),TRUE)</f>
        <v/>
      </c>
      <c r="AD209" s="30" t="str">
        <f t="shared" si="423"/>
        <v/>
      </c>
      <c r="AE209" s="475" t="str">
        <f>IFERROR(__xludf.DUMMYFUNCTION("""COMPUTED_VALUE"""),"FLSP")</f>
        <v>FLSP</v>
      </c>
      <c r="AF209" s="476"/>
      <c r="AG209" s="474" t="s">
        <v>107</v>
      </c>
      <c r="AH209" s="138" t="str">
        <f t="shared" si="11"/>
        <v/>
      </c>
    </row>
    <row r="210">
      <c r="A210" s="103" t="str">
        <f>IFERROR(__xludf.DUMMYFUNCTION("""COMPUTED_VALUE"""),"FLT19")</f>
        <v>FLT19</v>
      </c>
      <c r="B210" s="468">
        <f>IFERROR(__xludf.DUMMYFUNCTION("""COMPUTED_VALUE"""),44528.0)</f>
        <v>44528</v>
      </c>
      <c r="C210" s="469">
        <f>IFERROR(__xludf.DUMMYFUNCTION("""COMPUTED_VALUE"""),0.49063657407407407)</f>
        <v>0.4906365741</v>
      </c>
      <c r="D210" s="103" t="str">
        <f>IFERROR(__xludf.DUMMYFUNCTION("""COMPUTED_VALUE"""),"SpFLMP273885")</f>
        <v>SpFLMP273885</v>
      </c>
      <c r="E210" s="103"/>
      <c r="F210" s="103"/>
      <c r="G210" s="103" t="str">
        <f>IFERROR(__xludf.DUMMYFUNCTION("""COMPUTED_VALUE"""),"Negative")</f>
        <v>Negative</v>
      </c>
      <c r="H210" s="131" t="str">
        <f>IFERROR(__xludf.DUMMYFUNCTION("""COMPUTED_VALUE"""),"Negative")</f>
        <v>Negative</v>
      </c>
      <c r="I210" s="468">
        <f>IFERROR(__xludf.DUMMYFUNCTION("""COMPUTED_VALUE"""),44528.0)</f>
        <v>44528</v>
      </c>
      <c r="J210" s="470">
        <f>IFERROR(__xludf.DUMMYFUNCTION("""COMPUTED_VALUE"""),0.8134722222222223)</f>
        <v>0.8134722222</v>
      </c>
      <c r="K210" s="16"/>
      <c r="L210" s="8"/>
      <c r="M210" s="69"/>
      <c r="N210" s="69">
        <f>IFERROR(__xludf.DUMMYFUNCTION("""COMPUTED_VALUE"""),4.0)</f>
        <v>4</v>
      </c>
      <c r="O210" s="69" t="str">
        <f t="shared" si="3"/>
        <v/>
      </c>
      <c r="P210" s="471">
        <f>IFERROR(__xludf.DUMMYFUNCTION("""COMPUTED_VALUE"""),0.0)</f>
        <v>0</v>
      </c>
      <c r="Q210" s="274" t="str">
        <f>VLOOKUP($B210,'Run Reconcile'!B$2:O2488,14,FALSE)</f>
        <v/>
      </c>
      <c r="R210" s="472" t="str">
        <f t="array" ref="R210">IF($Q210, INDEX('Run Reconcile'!A$2:A2488,MATCH(B210,'Run Reconcile'!B$2:B2488,0),1),IFERROR(0/0,""))</f>
        <v/>
      </c>
      <c r="S210" s="473" t="str">
        <f t="shared" ref="S210:T210" si="424">IF(COUNTIF(W$2:W2488, $A210) &gt; 0,TRUE,IFERROR(0/0,""))</f>
        <v/>
      </c>
      <c r="T210" s="473" t="str">
        <f t="shared" si="424"/>
        <v/>
      </c>
      <c r="U210" s="275" t="str">
        <f t="array" ref="U210">IF(ISBLANK($R210), INDEX('Run Reconcile'!A$2:A2488, MATCH($B210, 'Run Reconcile'!B$2:B2488, 0)+Z210, 1), IFERROR(0/0,""))
</f>
        <v>RUN-FLMP_2021-11-28_RFR-006</v>
      </c>
      <c r="V210" s="474" t="str">
        <f t="shared" si="5"/>
        <v>RUN-FLMP_2021-11-28_RFR-006</v>
      </c>
      <c r="Y210" s="89" t="str">
        <f t="shared" si="6"/>
        <v/>
      </c>
      <c r="Z210" s="60" t="str">
        <f t="shared" si="7"/>
        <v/>
      </c>
      <c r="AA210" s="60" t="str">
        <f t="shared" si="8"/>
        <v/>
      </c>
      <c r="AB210" s="60" t="str">
        <f t="shared" si="9"/>
        <v/>
      </c>
      <c r="AC210" s="30" t="str">
        <f t="shared" ref="AC210:AD210" si="425">IF(_xlfn.ISFORMULA(S210),IFERROR(0/0,""),TRUE)</f>
        <v/>
      </c>
      <c r="AD210" s="30" t="str">
        <f t="shared" si="425"/>
        <v/>
      </c>
      <c r="AE210" s="475" t="str">
        <f>IFERROR(__xludf.DUMMYFUNCTION("""COMPUTED_VALUE"""),"FLSP")</f>
        <v>FLSP</v>
      </c>
      <c r="AF210" s="476"/>
      <c r="AG210" s="474" t="s">
        <v>107</v>
      </c>
      <c r="AH210" s="138" t="str">
        <f t="shared" si="11"/>
        <v/>
      </c>
    </row>
    <row r="211">
      <c r="A211" s="103" t="str">
        <f>IFERROR(__xludf.DUMMYFUNCTION("""COMPUTED_VALUE"""),"FLE365")</f>
        <v>FLE365</v>
      </c>
      <c r="B211" s="468">
        <f>IFERROR(__xludf.DUMMYFUNCTION("""COMPUTED_VALUE"""),44528.0)</f>
        <v>44528</v>
      </c>
      <c r="C211" s="469">
        <f>IFERROR(__xludf.DUMMYFUNCTION("""COMPUTED_VALUE"""),0.528425925925926)</f>
        <v>0.5284259259</v>
      </c>
      <c r="D211" s="103" t="str">
        <f>IFERROR(__xludf.DUMMYFUNCTION("""COMPUTED_VALUE"""),"SpFLMP259015")</f>
        <v>SpFLMP259015</v>
      </c>
      <c r="E211" s="103"/>
      <c r="F211" s="103"/>
      <c r="G211" s="103" t="str">
        <f>IFERROR(__xludf.DUMMYFUNCTION("""COMPUTED_VALUE"""),"Negative")</f>
        <v>Negative</v>
      </c>
      <c r="H211" s="131" t="str">
        <f>IFERROR(__xludf.DUMMYFUNCTION("""COMPUTED_VALUE"""),"Negative")</f>
        <v>Negative</v>
      </c>
      <c r="I211" s="468">
        <f>IFERROR(__xludf.DUMMYFUNCTION("""COMPUTED_VALUE"""),44528.0)</f>
        <v>44528</v>
      </c>
      <c r="J211" s="470">
        <f>IFERROR(__xludf.DUMMYFUNCTION("""COMPUTED_VALUE"""),0.8134722222222223)</f>
        <v>0.8134722222</v>
      </c>
      <c r="K211" s="16"/>
      <c r="L211" s="8"/>
      <c r="M211" s="69"/>
      <c r="N211" s="69">
        <f>IFERROR(__xludf.DUMMYFUNCTION("""COMPUTED_VALUE"""),4.0)</f>
        <v>4</v>
      </c>
      <c r="O211" s="69" t="str">
        <f t="shared" si="3"/>
        <v/>
      </c>
      <c r="P211" s="471">
        <f>IFERROR(__xludf.DUMMYFUNCTION("""COMPUTED_VALUE"""),0.0)</f>
        <v>0</v>
      </c>
      <c r="Q211" s="274" t="str">
        <f>VLOOKUP($B211,'Run Reconcile'!B$2:O2488,14,FALSE)</f>
        <v/>
      </c>
      <c r="R211" s="472" t="str">
        <f t="array" ref="R211">IF($Q211, INDEX('Run Reconcile'!A$2:A2488,MATCH(B211,'Run Reconcile'!B$2:B2488,0),1),IFERROR(0/0,""))</f>
        <v/>
      </c>
      <c r="S211" s="473" t="str">
        <f t="shared" ref="S211:T211" si="426">IF(COUNTIF(W$2:W2488, $A211) &gt; 0,TRUE,IFERROR(0/0,""))</f>
        <v/>
      </c>
      <c r="T211" s="473" t="str">
        <f t="shared" si="426"/>
        <v/>
      </c>
      <c r="U211" s="275" t="str">
        <f t="array" ref="U211">IF(ISBLANK($R211), INDEX('Run Reconcile'!A$2:A2488, MATCH($B211, 'Run Reconcile'!B$2:B2488, 0)+Z211, 1), IFERROR(0/0,""))
</f>
        <v>RUN-FLMP_2021-11-28_RFR-006</v>
      </c>
      <c r="V211" s="474" t="str">
        <f t="shared" si="5"/>
        <v>RUN-FLMP_2021-11-28_RFR-006</v>
      </c>
      <c r="Y211" s="89" t="str">
        <f t="shared" si="6"/>
        <v/>
      </c>
      <c r="Z211" s="60" t="str">
        <f t="shared" si="7"/>
        <v/>
      </c>
      <c r="AA211" s="60" t="str">
        <f t="shared" si="8"/>
        <v/>
      </c>
      <c r="AB211" s="60" t="str">
        <f t="shared" si="9"/>
        <v/>
      </c>
      <c r="AC211" s="30" t="str">
        <f t="shared" ref="AC211:AD211" si="427">IF(_xlfn.ISFORMULA(S211),IFERROR(0/0,""),TRUE)</f>
        <v/>
      </c>
      <c r="AD211" s="30" t="str">
        <f t="shared" si="427"/>
        <v/>
      </c>
      <c r="AE211" s="475" t="str">
        <f>IFERROR(__xludf.DUMMYFUNCTION("""COMPUTED_VALUE"""),"FLSP")</f>
        <v>FLSP</v>
      </c>
      <c r="AF211" s="476"/>
      <c r="AG211" s="474" t="s">
        <v>107</v>
      </c>
      <c r="AH211" s="138" t="str">
        <f t="shared" si="11"/>
        <v/>
      </c>
    </row>
    <row r="212">
      <c r="A212" s="103" t="str">
        <f>IFERROR(__xludf.DUMMYFUNCTION("""COMPUTED_VALUE"""),"FLT1540")</f>
        <v>FLT1540</v>
      </c>
      <c r="B212" s="468">
        <f>IFERROR(__xludf.DUMMYFUNCTION("""COMPUTED_VALUE"""),44528.0)</f>
        <v>44528</v>
      </c>
      <c r="C212" s="469">
        <f>IFERROR(__xludf.DUMMYFUNCTION("""COMPUTED_VALUE"""),0.5303125)</f>
        <v>0.5303125</v>
      </c>
      <c r="D212" s="103" t="str">
        <f>IFERROR(__xludf.DUMMYFUNCTION("""COMPUTED_VALUE"""),"SpFLMP259015")</f>
        <v>SpFLMP259015</v>
      </c>
      <c r="E212" s="103"/>
      <c r="F212" s="103"/>
      <c r="G212" s="103" t="str">
        <f>IFERROR(__xludf.DUMMYFUNCTION("""COMPUTED_VALUE"""),"Negative")</f>
        <v>Negative</v>
      </c>
      <c r="H212" s="131" t="str">
        <f>IFERROR(__xludf.DUMMYFUNCTION("""COMPUTED_VALUE"""),"Negative")</f>
        <v>Negative</v>
      </c>
      <c r="I212" s="468">
        <f>IFERROR(__xludf.DUMMYFUNCTION("""COMPUTED_VALUE"""),44528.0)</f>
        <v>44528</v>
      </c>
      <c r="J212" s="470">
        <f>IFERROR(__xludf.DUMMYFUNCTION("""COMPUTED_VALUE"""),0.8134722222222223)</f>
        <v>0.8134722222</v>
      </c>
      <c r="K212" s="16"/>
      <c r="L212" s="8"/>
      <c r="M212" s="69"/>
      <c r="N212" s="69">
        <f>IFERROR(__xludf.DUMMYFUNCTION("""COMPUTED_VALUE"""),4.0)</f>
        <v>4</v>
      </c>
      <c r="O212" s="69" t="str">
        <f t="shared" si="3"/>
        <v/>
      </c>
      <c r="P212" s="471">
        <f>IFERROR(__xludf.DUMMYFUNCTION("""COMPUTED_VALUE"""),0.0)</f>
        <v>0</v>
      </c>
      <c r="Q212" s="274" t="str">
        <f>VLOOKUP($B212,'Run Reconcile'!B$2:O2488,14,FALSE)</f>
        <v/>
      </c>
      <c r="R212" s="472" t="str">
        <f t="array" ref="R212">IF($Q212, INDEX('Run Reconcile'!A$2:A2488,MATCH(B212,'Run Reconcile'!B$2:B2488,0),1),IFERROR(0/0,""))</f>
        <v/>
      </c>
      <c r="S212" s="473" t="str">
        <f t="shared" ref="S212:T212" si="428">IF(COUNTIF(W$2:W2488, $A212) &gt; 0,TRUE,IFERROR(0/0,""))</f>
        <v/>
      </c>
      <c r="T212" s="473" t="str">
        <f t="shared" si="428"/>
        <v/>
      </c>
      <c r="U212" s="275" t="str">
        <f t="array" ref="U212">IF(ISBLANK($R212), INDEX('Run Reconcile'!A$2:A2488, MATCH($B212, 'Run Reconcile'!B$2:B2488, 0)+Z212, 1), IFERROR(0/0,""))
</f>
        <v>RUN-FLMP_2021-11-28_RFR-006</v>
      </c>
      <c r="V212" s="474" t="str">
        <f t="shared" si="5"/>
        <v>RUN-FLMP_2021-11-28_RFR-006</v>
      </c>
      <c r="Y212" s="89" t="str">
        <f t="shared" si="6"/>
        <v/>
      </c>
      <c r="Z212" s="60" t="str">
        <f t="shared" si="7"/>
        <v/>
      </c>
      <c r="AA212" s="60" t="str">
        <f t="shared" si="8"/>
        <v/>
      </c>
      <c r="AB212" s="60" t="str">
        <f t="shared" si="9"/>
        <v/>
      </c>
      <c r="AC212" s="30" t="str">
        <f t="shared" ref="AC212:AD212" si="429">IF(_xlfn.ISFORMULA(S212),IFERROR(0/0,""),TRUE)</f>
        <v/>
      </c>
      <c r="AD212" s="30" t="str">
        <f t="shared" si="429"/>
        <v/>
      </c>
      <c r="AE212" s="475" t="str">
        <f>IFERROR(__xludf.DUMMYFUNCTION("""COMPUTED_VALUE"""),"FLSP")</f>
        <v>FLSP</v>
      </c>
      <c r="AF212" s="476"/>
      <c r="AG212" s="474" t="s">
        <v>107</v>
      </c>
      <c r="AH212" s="138" t="str">
        <f t="shared" si="11"/>
        <v/>
      </c>
    </row>
    <row r="213">
      <c r="A213" s="103" t="str">
        <f>IFERROR(__xludf.DUMMYFUNCTION("""COMPUTED_VALUE"""),"FLT1134")</f>
        <v>FLT1134</v>
      </c>
      <c r="B213" s="468">
        <f>IFERROR(__xludf.DUMMYFUNCTION("""COMPUTED_VALUE"""),44528.0)</f>
        <v>44528</v>
      </c>
      <c r="C213" s="469">
        <f>IFERROR(__xludf.DUMMYFUNCTION("""COMPUTED_VALUE"""),0.557025462962963)</f>
        <v>0.557025463</v>
      </c>
      <c r="D213" s="103" t="str">
        <f>IFERROR(__xludf.DUMMYFUNCTION("""COMPUTED_VALUE"""),"SpFLMP125859")</f>
        <v>SpFLMP125859</v>
      </c>
      <c r="E213" s="103"/>
      <c r="F213" s="103"/>
      <c r="G213" s="103" t="str">
        <f>IFERROR(__xludf.DUMMYFUNCTION("""COMPUTED_VALUE"""),"Negative")</f>
        <v>Negative</v>
      </c>
      <c r="H213" s="131" t="str">
        <f>IFERROR(__xludf.DUMMYFUNCTION("""COMPUTED_VALUE"""),"Negative")</f>
        <v>Negative</v>
      </c>
      <c r="I213" s="468">
        <f>IFERROR(__xludf.DUMMYFUNCTION("""COMPUTED_VALUE"""),44528.0)</f>
        <v>44528</v>
      </c>
      <c r="J213" s="470">
        <f>IFERROR(__xludf.DUMMYFUNCTION("""COMPUTED_VALUE"""),0.8134722222222223)</f>
        <v>0.8134722222</v>
      </c>
      <c r="K213" s="16"/>
      <c r="L213" s="8"/>
      <c r="M213" s="69"/>
      <c r="N213" s="69">
        <f>IFERROR(__xludf.DUMMYFUNCTION("""COMPUTED_VALUE"""),4.0)</f>
        <v>4</v>
      </c>
      <c r="O213" s="69" t="str">
        <f t="shared" si="3"/>
        <v/>
      </c>
      <c r="P213" s="471">
        <f>IFERROR(__xludf.DUMMYFUNCTION("""COMPUTED_VALUE"""),0.0)</f>
        <v>0</v>
      </c>
      <c r="Q213" s="274" t="str">
        <f>VLOOKUP($B213,'Run Reconcile'!B$2:O2488,14,FALSE)</f>
        <v/>
      </c>
      <c r="R213" s="472" t="str">
        <f t="array" ref="R213">IF($Q213, INDEX('Run Reconcile'!A$2:A2488,MATCH(B213,'Run Reconcile'!B$2:B2488,0),1),IFERROR(0/0,""))</f>
        <v/>
      </c>
      <c r="S213" s="473" t="str">
        <f t="shared" ref="S213:T213" si="430">IF(COUNTIF(W$2:W2488, $A213) &gt; 0,TRUE,IFERROR(0/0,""))</f>
        <v/>
      </c>
      <c r="T213" s="473" t="str">
        <f t="shared" si="430"/>
        <v/>
      </c>
      <c r="U213" s="275" t="str">
        <f t="array" ref="U213">IF(ISBLANK($R213), INDEX('Run Reconcile'!A$2:A2488, MATCH($B213, 'Run Reconcile'!B$2:B2488, 0)+Z213, 1), IFERROR(0/0,""))
</f>
        <v>RUN-FLMP_2021-11-28_RFR-006</v>
      </c>
      <c r="V213" s="474" t="str">
        <f t="shared" si="5"/>
        <v>RUN-FLMP_2021-11-28_RFR-006</v>
      </c>
      <c r="Y213" s="89" t="str">
        <f t="shared" si="6"/>
        <v/>
      </c>
      <c r="Z213" s="60" t="str">
        <f t="shared" si="7"/>
        <v/>
      </c>
      <c r="AA213" s="60" t="str">
        <f t="shared" si="8"/>
        <v/>
      </c>
      <c r="AB213" s="60" t="str">
        <f t="shared" si="9"/>
        <v/>
      </c>
      <c r="AC213" s="30" t="str">
        <f t="shared" ref="AC213:AD213" si="431">IF(_xlfn.ISFORMULA(S213),IFERROR(0/0,""),TRUE)</f>
        <v/>
      </c>
      <c r="AD213" s="30" t="str">
        <f t="shared" si="431"/>
        <v/>
      </c>
      <c r="AE213" s="475" t="str">
        <f>IFERROR(__xludf.DUMMYFUNCTION("""COMPUTED_VALUE"""),"FLSP")</f>
        <v>FLSP</v>
      </c>
      <c r="AF213" s="476"/>
      <c r="AG213" s="474" t="s">
        <v>107</v>
      </c>
      <c r="AH213" s="138" t="str">
        <f t="shared" si="11"/>
        <v/>
      </c>
    </row>
    <row r="214">
      <c r="A214" s="103" t="str">
        <f>IFERROR(__xludf.DUMMYFUNCTION("""COMPUTED_VALUE"""),"FLT129")</f>
        <v>FLT129</v>
      </c>
      <c r="B214" s="468">
        <f>IFERROR(__xludf.DUMMYFUNCTION("""COMPUTED_VALUE"""),44528.0)</f>
        <v>44528</v>
      </c>
      <c r="C214" s="469">
        <f>IFERROR(__xludf.DUMMYFUNCTION("""COMPUTED_VALUE"""),0.570162037037037)</f>
        <v>0.570162037</v>
      </c>
      <c r="D214" s="103" t="str">
        <f>IFERROR(__xludf.DUMMYFUNCTION("""COMPUTED_VALUE"""),"SpFLMP268514")</f>
        <v>SpFLMP268514</v>
      </c>
      <c r="E214" s="103"/>
      <c r="F214" s="103"/>
      <c r="G214" s="103" t="str">
        <f>IFERROR(__xludf.DUMMYFUNCTION("""COMPUTED_VALUE"""),"Negative")</f>
        <v>Negative</v>
      </c>
      <c r="H214" s="131" t="str">
        <f>IFERROR(__xludf.DUMMYFUNCTION("""COMPUTED_VALUE"""),"Negative")</f>
        <v>Negative</v>
      </c>
      <c r="I214" s="468">
        <f>IFERROR(__xludf.DUMMYFUNCTION("""COMPUTED_VALUE"""),44528.0)</f>
        <v>44528</v>
      </c>
      <c r="J214" s="470">
        <f>IFERROR(__xludf.DUMMYFUNCTION("""COMPUTED_VALUE"""),0.81625)</f>
        <v>0.81625</v>
      </c>
      <c r="K214" s="16"/>
      <c r="L214" s="8"/>
      <c r="M214" s="69"/>
      <c r="N214" s="69">
        <f>IFERROR(__xludf.DUMMYFUNCTION("""COMPUTED_VALUE"""),4.0)</f>
        <v>4</v>
      </c>
      <c r="O214" s="69" t="str">
        <f t="shared" si="3"/>
        <v/>
      </c>
      <c r="P214" s="471">
        <f>IFERROR(__xludf.DUMMYFUNCTION("""COMPUTED_VALUE"""),0.0)</f>
        <v>0</v>
      </c>
      <c r="Q214" s="274" t="str">
        <f>VLOOKUP($B214,'Run Reconcile'!B$2:O2488,14,FALSE)</f>
        <v/>
      </c>
      <c r="R214" s="472" t="str">
        <f t="array" ref="R214">IF($Q214, INDEX('Run Reconcile'!A$2:A2488,MATCH(B214,'Run Reconcile'!B$2:B2488,0),1),IFERROR(0/0,""))</f>
        <v/>
      </c>
      <c r="S214" s="473" t="str">
        <f t="shared" ref="S214:T214" si="432">IF(COUNTIF(W$2:W2488, $A214) &gt; 0,TRUE,IFERROR(0/0,""))</f>
        <v/>
      </c>
      <c r="T214" s="473" t="str">
        <f t="shared" si="432"/>
        <v/>
      </c>
      <c r="U214" s="275" t="str">
        <f t="array" ref="U214">IF(ISBLANK($R214), INDEX('Run Reconcile'!A$2:A2488, MATCH($B214, 'Run Reconcile'!B$2:B2488, 0)+Z214, 1), IFERROR(0/0,""))
</f>
        <v>RUN-FLMP_2021-11-28_RFR-006</v>
      </c>
      <c r="V214" s="474" t="str">
        <f t="shared" si="5"/>
        <v>RUN-FLMP_2021-11-28_RFR-006</v>
      </c>
      <c r="Y214" s="89" t="str">
        <f t="shared" si="6"/>
        <v/>
      </c>
      <c r="Z214" s="60" t="str">
        <f t="shared" si="7"/>
        <v/>
      </c>
      <c r="AA214" s="60" t="str">
        <f t="shared" si="8"/>
        <v/>
      </c>
      <c r="AB214" s="60" t="str">
        <f t="shared" si="9"/>
        <v/>
      </c>
      <c r="AC214" s="30" t="str">
        <f t="shared" ref="AC214:AD214" si="433">IF(_xlfn.ISFORMULA(S214),IFERROR(0/0,""),TRUE)</f>
        <v/>
      </c>
      <c r="AD214" s="30" t="str">
        <f t="shared" si="433"/>
        <v/>
      </c>
      <c r="AE214" s="475" t="str">
        <f>IFERROR(__xludf.DUMMYFUNCTION("""COMPUTED_VALUE"""),"FLSP")</f>
        <v>FLSP</v>
      </c>
      <c r="AF214" s="476"/>
      <c r="AG214" s="474" t="s">
        <v>107</v>
      </c>
      <c r="AH214" s="138" t="str">
        <f t="shared" si="11"/>
        <v/>
      </c>
    </row>
    <row r="215">
      <c r="A215" s="103" t="str">
        <f>IFERROR(__xludf.DUMMYFUNCTION("""COMPUTED_VALUE"""),"FLT163")</f>
        <v>FLT163</v>
      </c>
      <c r="B215" s="468">
        <f>IFERROR(__xludf.DUMMYFUNCTION("""COMPUTED_VALUE"""),44528.0)</f>
        <v>44528</v>
      </c>
      <c r="C215" s="469">
        <f>IFERROR(__xludf.DUMMYFUNCTION("""COMPUTED_VALUE"""),0.580775462962963)</f>
        <v>0.580775463</v>
      </c>
      <c r="D215" s="103" t="str">
        <f>IFERROR(__xludf.DUMMYFUNCTION("""COMPUTED_VALUE"""),"SpFLMP683385")</f>
        <v>SpFLMP683385</v>
      </c>
      <c r="E215" s="103"/>
      <c r="F215" s="103"/>
      <c r="G215" s="103" t="str">
        <f>IFERROR(__xludf.DUMMYFUNCTION("""COMPUTED_VALUE"""),"Negative")</f>
        <v>Negative</v>
      </c>
      <c r="H215" s="131" t="str">
        <f>IFERROR(__xludf.DUMMYFUNCTION("""COMPUTED_VALUE"""),"Negative")</f>
        <v>Negative</v>
      </c>
      <c r="I215" s="468">
        <f>IFERROR(__xludf.DUMMYFUNCTION("""COMPUTED_VALUE"""),44528.0)</f>
        <v>44528</v>
      </c>
      <c r="J215" s="470">
        <f>IFERROR(__xludf.DUMMYFUNCTION("""COMPUTED_VALUE"""),0.8134722222222223)</f>
        <v>0.8134722222</v>
      </c>
      <c r="K215" s="16"/>
      <c r="L215" s="8"/>
      <c r="M215" s="69"/>
      <c r="N215" s="69">
        <f>IFERROR(__xludf.DUMMYFUNCTION("""COMPUTED_VALUE"""),3.0)</f>
        <v>3</v>
      </c>
      <c r="O215" s="69" t="str">
        <f t="shared" si="3"/>
        <v/>
      </c>
      <c r="P215" s="471">
        <f>IFERROR(__xludf.DUMMYFUNCTION("""COMPUTED_VALUE"""),0.0)</f>
        <v>0</v>
      </c>
      <c r="Q215" s="274" t="str">
        <f>VLOOKUP($B215,'Run Reconcile'!B$2:O2488,14,FALSE)</f>
        <v/>
      </c>
      <c r="R215" s="472" t="str">
        <f t="array" ref="R215">IF($Q215, INDEX('Run Reconcile'!A$2:A2488,MATCH(B215,'Run Reconcile'!B$2:B2488,0),1),IFERROR(0/0,""))</f>
        <v/>
      </c>
      <c r="S215" s="473" t="str">
        <f t="shared" ref="S215:T215" si="434">IF(COUNTIF(W$2:W2488, $A215) &gt; 0,TRUE,IFERROR(0/0,""))</f>
        <v/>
      </c>
      <c r="T215" s="473" t="str">
        <f t="shared" si="434"/>
        <v/>
      </c>
      <c r="U215" s="275" t="str">
        <f t="array" ref="U215">IF(ISBLANK($R215), INDEX('Run Reconcile'!A$2:A2488, MATCH($B215, 'Run Reconcile'!B$2:B2488, 0)+Z215, 1), IFERROR(0/0,""))
</f>
        <v>RUN-FLMP_2021-11-28_RFR-006</v>
      </c>
      <c r="V215" s="474" t="str">
        <f t="shared" si="5"/>
        <v>RUN-FLMP_2021-11-28_RFR-006</v>
      </c>
      <c r="Y215" s="89" t="str">
        <f t="shared" si="6"/>
        <v/>
      </c>
      <c r="Z215" s="60" t="str">
        <f t="shared" si="7"/>
        <v/>
      </c>
      <c r="AA215" s="60" t="str">
        <f t="shared" si="8"/>
        <v/>
      </c>
      <c r="AB215" s="60" t="str">
        <f t="shared" si="9"/>
        <v/>
      </c>
      <c r="AC215" s="30" t="str">
        <f t="shared" ref="AC215:AD215" si="435">IF(_xlfn.ISFORMULA(S215),IFERROR(0/0,""),TRUE)</f>
        <v/>
      </c>
      <c r="AD215" s="30" t="str">
        <f t="shared" si="435"/>
        <v/>
      </c>
      <c r="AE215" s="475" t="str">
        <f>IFERROR(__xludf.DUMMYFUNCTION("""COMPUTED_VALUE"""),"FLSP")</f>
        <v>FLSP</v>
      </c>
      <c r="AF215" s="476"/>
      <c r="AG215" s="474" t="s">
        <v>107</v>
      </c>
      <c r="AH215" s="138" t="str">
        <f t="shared" si="11"/>
        <v/>
      </c>
    </row>
    <row r="216">
      <c r="A216" s="103" t="str">
        <f>IFERROR(__xludf.DUMMYFUNCTION("""COMPUTED_VALUE"""),"FLB6851")</f>
        <v>FLB6851</v>
      </c>
      <c r="B216" s="468">
        <f>IFERROR(__xludf.DUMMYFUNCTION("""COMPUTED_VALUE"""),44528.0)</f>
        <v>44528</v>
      </c>
      <c r="C216" s="469">
        <f>IFERROR(__xludf.DUMMYFUNCTION("""COMPUTED_VALUE"""),0.6153009259259259)</f>
        <v>0.6153009259</v>
      </c>
      <c r="D216" s="103" t="str">
        <f>IFERROR(__xludf.DUMMYFUNCTION("""COMPUTED_VALUE"""),"SpFLMP604497")</f>
        <v>SpFLMP604497</v>
      </c>
      <c r="E216" s="103"/>
      <c r="F216" s="103"/>
      <c r="G216" s="103" t="str">
        <f>IFERROR(__xludf.DUMMYFUNCTION("""COMPUTED_VALUE"""),"Negative")</f>
        <v>Negative</v>
      </c>
      <c r="H216" s="131" t="str">
        <f>IFERROR(__xludf.DUMMYFUNCTION("""COMPUTED_VALUE"""),"Negative")</f>
        <v>Negative</v>
      </c>
      <c r="I216" s="468">
        <f>IFERROR(__xludf.DUMMYFUNCTION("""COMPUTED_VALUE"""),44528.0)</f>
        <v>44528</v>
      </c>
      <c r="J216" s="470">
        <f>IFERROR(__xludf.DUMMYFUNCTION("""COMPUTED_VALUE"""),0.8134722222222223)</f>
        <v>0.8134722222</v>
      </c>
      <c r="K216" s="16"/>
      <c r="L216" s="8"/>
      <c r="M216" s="69"/>
      <c r="N216" s="69">
        <f>IFERROR(__xludf.DUMMYFUNCTION("""COMPUTED_VALUE"""),3.0)</f>
        <v>3</v>
      </c>
      <c r="O216" s="69" t="str">
        <f t="shared" si="3"/>
        <v/>
      </c>
      <c r="P216" s="471">
        <f>IFERROR(__xludf.DUMMYFUNCTION("""COMPUTED_VALUE"""),0.0)</f>
        <v>0</v>
      </c>
      <c r="Q216" s="274" t="str">
        <f>VLOOKUP($B216,'Run Reconcile'!B$2:O2488,14,FALSE)</f>
        <v/>
      </c>
      <c r="R216" s="472" t="str">
        <f t="array" ref="R216">IF($Q216, INDEX('Run Reconcile'!A$2:A2488,MATCH(B216,'Run Reconcile'!B$2:B2488,0),1),IFERROR(0/0,""))</f>
        <v/>
      </c>
      <c r="S216" s="473" t="str">
        <f t="shared" ref="S216:T216" si="436">IF(COUNTIF(W$2:W2488, $A216) &gt; 0,TRUE,IFERROR(0/0,""))</f>
        <v/>
      </c>
      <c r="T216" s="473" t="str">
        <f t="shared" si="436"/>
        <v/>
      </c>
      <c r="U216" s="275" t="str">
        <f t="array" ref="U216">IF(ISBLANK($R216), INDEX('Run Reconcile'!A$2:A2488, MATCH($B216, 'Run Reconcile'!B$2:B2488, 0)+Z216, 1), IFERROR(0/0,""))
</f>
        <v>RUN-FLMP_2021-11-28_RFR-006</v>
      </c>
      <c r="V216" s="474" t="str">
        <f t="shared" si="5"/>
        <v>RUN-FLMP_2021-11-28_RFR-006</v>
      </c>
      <c r="W216" s="103" t="s">
        <v>1312</v>
      </c>
      <c r="Y216" s="89">
        <f t="shared" si="6"/>
        <v>1</v>
      </c>
      <c r="Z216" s="60" t="str">
        <f t="shared" si="7"/>
        <v/>
      </c>
      <c r="AA216" s="60" t="str">
        <f t="shared" si="8"/>
        <v/>
      </c>
      <c r="AB216" s="60" t="str">
        <f t="shared" si="9"/>
        <v/>
      </c>
      <c r="AC216" s="30" t="str">
        <f t="shared" ref="AC216:AD216" si="437">IF(_xlfn.ISFORMULA(S216),IFERROR(0/0,""),TRUE)</f>
        <v/>
      </c>
      <c r="AD216" s="30" t="str">
        <f t="shared" si="437"/>
        <v/>
      </c>
      <c r="AE216" s="475" t="str">
        <f>IFERROR(__xludf.DUMMYFUNCTION("""COMPUTED_VALUE"""),"FLSP")</f>
        <v>FLSP</v>
      </c>
      <c r="AF216" s="476"/>
      <c r="AG216" s="474" t="s">
        <v>107</v>
      </c>
      <c r="AH216" s="138" t="str">
        <f t="shared" si="11"/>
        <v/>
      </c>
    </row>
    <row r="217">
      <c r="A217" s="103" t="str">
        <f>IFERROR(__xludf.DUMMYFUNCTION("""COMPUTED_VALUE"""),"FLT1421")</f>
        <v>FLT1421</v>
      </c>
      <c r="B217" s="468">
        <f>IFERROR(__xludf.DUMMYFUNCTION("""COMPUTED_VALUE"""),44528.0)</f>
        <v>44528</v>
      </c>
      <c r="C217" s="469">
        <f>IFERROR(__xludf.DUMMYFUNCTION("""COMPUTED_VALUE"""),0.6476967592592593)</f>
        <v>0.6476967593</v>
      </c>
      <c r="D217" s="103" t="str">
        <f>IFERROR(__xludf.DUMMYFUNCTION("""COMPUTED_VALUE"""),"SpFLMP965392")</f>
        <v>SpFLMP965392</v>
      </c>
      <c r="E217" s="103"/>
      <c r="F217" s="103"/>
      <c r="G217" s="103" t="str">
        <f>IFERROR(__xludf.DUMMYFUNCTION("""COMPUTED_VALUE"""),"Negative")</f>
        <v>Negative</v>
      </c>
      <c r="H217" s="131" t="str">
        <f>IFERROR(__xludf.DUMMYFUNCTION("""COMPUTED_VALUE"""),"Negative")</f>
        <v>Negative</v>
      </c>
      <c r="I217" s="468">
        <f>IFERROR(__xludf.DUMMYFUNCTION("""COMPUTED_VALUE"""),44528.0)</f>
        <v>44528</v>
      </c>
      <c r="J217" s="470">
        <f>IFERROR(__xludf.DUMMYFUNCTION("""COMPUTED_VALUE"""),0.8134722222222223)</f>
        <v>0.8134722222</v>
      </c>
      <c r="K217" s="16"/>
      <c r="L217" s="8"/>
      <c r="M217" s="69"/>
      <c r="N217" s="69">
        <f>IFERROR(__xludf.DUMMYFUNCTION("""COMPUTED_VALUE"""),4.0)</f>
        <v>4</v>
      </c>
      <c r="O217" s="69" t="str">
        <f t="shared" si="3"/>
        <v/>
      </c>
      <c r="P217" s="471">
        <f>IFERROR(__xludf.DUMMYFUNCTION("""COMPUTED_VALUE"""),0.0)</f>
        <v>0</v>
      </c>
      <c r="Q217" s="274" t="str">
        <f>VLOOKUP($B217,'Run Reconcile'!B$2:O2488,14,FALSE)</f>
        <v/>
      </c>
      <c r="R217" s="472" t="str">
        <f t="array" ref="R217">IF($Q217, INDEX('Run Reconcile'!A$2:A2488,MATCH(B217,'Run Reconcile'!B$2:B2488,0),1),IFERROR(0/0,""))</f>
        <v/>
      </c>
      <c r="S217" s="473" t="str">
        <f t="shared" ref="S217:T217" si="438">IF(COUNTIF(W$2:W2488, $A217) &gt; 0,TRUE,IFERROR(0/0,""))</f>
        <v/>
      </c>
      <c r="T217" s="473" t="str">
        <f t="shared" si="438"/>
        <v/>
      </c>
      <c r="U217" s="275" t="str">
        <f t="array" ref="U217">IF(ISBLANK($R217), INDEX('Run Reconcile'!A$2:A2488, MATCH($B217, 'Run Reconcile'!B$2:B2488, 0)+Z217, 1), IFERROR(0/0,""))
</f>
        <v>RUN-FLMP_2021-11-28_RFR-006</v>
      </c>
      <c r="V217" s="474" t="str">
        <f t="shared" si="5"/>
        <v>RUN-FLMP_2021-11-28_RFR-006</v>
      </c>
      <c r="Y217" s="89" t="str">
        <f t="shared" si="6"/>
        <v/>
      </c>
      <c r="Z217" s="60" t="str">
        <f t="shared" si="7"/>
        <v/>
      </c>
      <c r="AA217" s="60" t="str">
        <f t="shared" si="8"/>
        <v/>
      </c>
      <c r="AB217" s="60" t="str">
        <f t="shared" si="9"/>
        <v/>
      </c>
      <c r="AC217" s="30" t="str">
        <f t="shared" ref="AC217:AD217" si="439">IF(_xlfn.ISFORMULA(S217),IFERROR(0/0,""),TRUE)</f>
        <v/>
      </c>
      <c r="AD217" s="30" t="str">
        <f t="shared" si="439"/>
        <v/>
      </c>
      <c r="AE217" s="475" t="str">
        <f>IFERROR(__xludf.DUMMYFUNCTION("""COMPUTED_VALUE"""),"FLSP")</f>
        <v>FLSP</v>
      </c>
      <c r="AF217" s="476"/>
      <c r="AG217" s="474" t="s">
        <v>107</v>
      </c>
      <c r="AH217" s="138" t="str">
        <f t="shared" si="11"/>
        <v/>
      </c>
    </row>
    <row r="218">
      <c r="A218" s="477" t="str">
        <f>IFERROR(__xludf.DUMMYFUNCTION("""COMPUTED_VALUE"""),"FLT122")</f>
        <v>FLT122</v>
      </c>
      <c r="B218" s="478">
        <f>IFERROR(__xludf.DUMMYFUNCTION("""COMPUTED_VALUE"""),44528.0)</f>
        <v>44528</v>
      </c>
      <c r="C218" s="479">
        <f>IFERROR(__xludf.DUMMYFUNCTION("""COMPUTED_VALUE"""),0.6856134259259259)</f>
        <v>0.6856134259</v>
      </c>
      <c r="D218" s="477" t="str">
        <f>IFERROR(__xludf.DUMMYFUNCTION("""COMPUTED_VALUE"""),"SpFLMP683554")</f>
        <v>SpFLMP683554</v>
      </c>
      <c r="E218" s="477"/>
      <c r="F218" s="477"/>
      <c r="G218" s="477" t="str">
        <f>IFERROR(__xludf.DUMMYFUNCTION("""COMPUTED_VALUE"""),"Negative")</f>
        <v>Negative</v>
      </c>
      <c r="H218" s="480" t="str">
        <f>IFERROR(__xludf.DUMMYFUNCTION("""COMPUTED_VALUE"""),"Negative")</f>
        <v>Negative</v>
      </c>
      <c r="I218" s="478">
        <f>IFERROR(__xludf.DUMMYFUNCTION("""COMPUTED_VALUE"""),44529.0)</f>
        <v>44529</v>
      </c>
      <c r="J218" s="481">
        <f>IFERROR(__xludf.DUMMYFUNCTION("""COMPUTED_VALUE"""),0.5047800925925926)</f>
        <v>0.5047800926</v>
      </c>
      <c r="K218" s="156"/>
      <c r="L218" s="19"/>
      <c r="M218" s="482"/>
      <c r="N218" s="482">
        <f>IFERROR(__xludf.DUMMYFUNCTION("""COMPUTED_VALUE"""),3.0)</f>
        <v>3</v>
      </c>
      <c r="O218" s="482" t="str">
        <f t="shared" si="3"/>
        <v/>
      </c>
      <c r="P218" s="483">
        <f>IFERROR(__xludf.DUMMYFUNCTION("""COMPUTED_VALUE"""),1.0)</f>
        <v>1</v>
      </c>
      <c r="Q218" s="352" t="str">
        <f>VLOOKUP($B218,'Run Reconcile'!B$2:O2488,14,FALSE)</f>
        <v/>
      </c>
      <c r="R218" s="484" t="str">
        <f t="array" ref="R218">IF($Q218, INDEX('Run Reconcile'!A$2:A2488,MATCH(B218,'Run Reconcile'!B$2:B2488,0),1),IFERROR(0/0,""))</f>
        <v/>
      </c>
      <c r="S218" s="485" t="b">
        <f t="shared" ref="S218:T218" si="440">IF(COUNTIF(W$2:W2488, $A218) &gt; 0,TRUE,IFERROR(0/0,""))</f>
        <v>1</v>
      </c>
      <c r="T218" s="485" t="str">
        <f t="shared" si="440"/>
        <v/>
      </c>
      <c r="U218" s="353" t="str">
        <f t="array" ref="U218">IF(ISBLANK($R218), INDEX('Run Reconcile'!A$2:A2488, MATCH($B218, 'Run Reconcile'!B$2:B2488, 0)+Z218, 1), IFERROR(0/0,""))
</f>
        <v>RUN-FLMP_2021-11-29_RFR-007</v>
      </c>
      <c r="V218" s="486" t="str">
        <f t="shared" si="5"/>
        <v>RUN-FLMP_2021-11-29_RFR-007</v>
      </c>
      <c r="W218" s="19"/>
      <c r="X218" s="19"/>
      <c r="Y218" s="195" t="str">
        <f t="shared" si="6"/>
        <v/>
      </c>
      <c r="Z218" s="487">
        <f t="shared" si="7"/>
        <v>1</v>
      </c>
      <c r="AA218" s="487">
        <f t="shared" si="8"/>
        <v>1</v>
      </c>
      <c r="AB218" s="487" t="str">
        <f t="shared" si="9"/>
        <v/>
      </c>
      <c r="AC218" s="158" t="str">
        <f t="shared" ref="AC218:AD218" si="441">IF(_xlfn.ISFORMULA(S218),IFERROR(0/0,""),TRUE)</f>
        <v/>
      </c>
      <c r="AD218" s="158" t="str">
        <f t="shared" si="441"/>
        <v/>
      </c>
      <c r="AE218" s="488" t="str">
        <f>IFERROR(__xludf.DUMMYFUNCTION("""COMPUTED_VALUE"""),"FLSP")</f>
        <v>FLSP</v>
      </c>
      <c r="AF218" s="489"/>
      <c r="AG218" s="486" t="s">
        <v>108</v>
      </c>
      <c r="AH218" s="490" t="str">
        <f t="shared" si="11"/>
        <v/>
      </c>
      <c r="AI218" s="19"/>
      <c r="AJ218" s="19"/>
      <c r="AK218" s="19"/>
      <c r="AL218" s="19"/>
      <c r="AM218" s="19"/>
    </row>
    <row r="219">
      <c r="A219" s="103" t="str">
        <f>IFERROR(__xludf.DUMMYFUNCTION("""COMPUTED_VALUE"""),"FLT1564")</f>
        <v>FLT1564</v>
      </c>
      <c r="B219" s="468">
        <f>IFERROR(__xludf.DUMMYFUNCTION("""COMPUTED_VALUE"""),44529.0)</f>
        <v>44529</v>
      </c>
      <c r="C219" s="469">
        <f>IFERROR(__xludf.DUMMYFUNCTION("""COMPUTED_VALUE"""),0.35561342592592593)</f>
        <v>0.3556134259</v>
      </c>
      <c r="D219" s="103" t="str">
        <f>IFERROR(__xludf.DUMMYFUNCTION("""COMPUTED_VALUE"""),"SpFLMP659315")</f>
        <v>SpFLMP659315</v>
      </c>
      <c r="E219" s="103"/>
      <c r="F219" s="103"/>
      <c r="G219" s="103" t="str">
        <f>IFERROR(__xludf.DUMMYFUNCTION("""COMPUTED_VALUE"""),"Negative")</f>
        <v>Negative</v>
      </c>
      <c r="H219" s="131" t="str">
        <f>IFERROR(__xludf.DUMMYFUNCTION("""COMPUTED_VALUE"""),"Negative")</f>
        <v>Negative</v>
      </c>
      <c r="I219" s="468">
        <f>IFERROR(__xludf.DUMMYFUNCTION("""COMPUTED_VALUE"""),44529.0)</f>
        <v>44529</v>
      </c>
      <c r="J219" s="470">
        <f>IFERROR(__xludf.DUMMYFUNCTION("""COMPUTED_VALUE"""),0.5047800925925926)</f>
        <v>0.5047800926</v>
      </c>
      <c r="K219" s="16"/>
      <c r="L219" s="8"/>
      <c r="M219" s="69"/>
      <c r="N219" s="69">
        <f>IFERROR(__xludf.DUMMYFUNCTION("""COMPUTED_VALUE"""),4.0)</f>
        <v>4</v>
      </c>
      <c r="O219" s="69" t="b">
        <f t="shared" si="3"/>
        <v>1</v>
      </c>
      <c r="P219" s="471">
        <f>IFERROR(__xludf.DUMMYFUNCTION("""COMPUTED_VALUE"""),0.0)</f>
        <v>0</v>
      </c>
      <c r="Q219" s="274" t="str">
        <f>VLOOKUP($B219,'Run Reconcile'!B$2:O2488,14,FALSE)</f>
        <v/>
      </c>
      <c r="R219" s="472" t="str">
        <f t="array" ref="R219">IF($Q219, INDEX('Run Reconcile'!A$2:A2488,MATCH(B219,'Run Reconcile'!B$2:B2488,0),1),IFERROR(0/0,""))</f>
        <v/>
      </c>
      <c r="S219" s="473" t="str">
        <f t="shared" ref="S219:T219" si="442">IF(COUNTIF(W$2:W2488, $A219) &gt; 0,TRUE,IFERROR(0/0,""))</f>
        <v/>
      </c>
      <c r="T219" s="473" t="str">
        <f t="shared" si="442"/>
        <v/>
      </c>
      <c r="U219" s="275" t="str">
        <f t="array" ref="U219">IF(ISBLANK($R219), INDEX('Run Reconcile'!A$2:A2488, MATCH($B219, 'Run Reconcile'!B$2:B2488, 0)+Z219, 1), IFERROR(0/0,""))
</f>
        <v>RUN-FLMP_2021-11-29_RFR-007</v>
      </c>
      <c r="V219" s="474" t="str">
        <f t="shared" si="5"/>
        <v>RUN-FLMP_2021-11-29_RFR-007</v>
      </c>
      <c r="Y219" s="89" t="str">
        <f t="shared" si="6"/>
        <v/>
      </c>
      <c r="Z219" s="60" t="str">
        <f t="shared" si="7"/>
        <v/>
      </c>
      <c r="AA219" s="60" t="str">
        <f t="shared" si="8"/>
        <v/>
      </c>
      <c r="AB219" s="60" t="str">
        <f t="shared" si="9"/>
        <v/>
      </c>
      <c r="AC219" s="30" t="str">
        <f t="shared" ref="AC219:AD219" si="443">IF(_xlfn.ISFORMULA(S219),IFERROR(0/0,""),TRUE)</f>
        <v/>
      </c>
      <c r="AD219" s="30" t="str">
        <f t="shared" si="443"/>
        <v/>
      </c>
      <c r="AE219" s="475" t="str">
        <f>IFERROR(__xludf.DUMMYFUNCTION("""COMPUTED_VALUE"""),"FLSP")</f>
        <v>FLSP</v>
      </c>
      <c r="AF219" s="476"/>
      <c r="AG219" s="474" t="s">
        <v>108</v>
      </c>
      <c r="AH219" s="138" t="str">
        <f t="shared" si="11"/>
        <v/>
      </c>
    </row>
    <row r="220">
      <c r="A220" s="103" t="str">
        <f>IFERROR(__xludf.DUMMYFUNCTION("""COMPUTED_VALUE"""),"FLT126")</f>
        <v>FLT126</v>
      </c>
      <c r="B220" s="468">
        <f>IFERROR(__xludf.DUMMYFUNCTION("""COMPUTED_VALUE"""),44529.0)</f>
        <v>44529</v>
      </c>
      <c r="C220" s="469">
        <f>IFERROR(__xludf.DUMMYFUNCTION("""COMPUTED_VALUE"""),0.4051851851851852)</f>
        <v>0.4051851852</v>
      </c>
      <c r="D220" s="103" t="str">
        <f>IFERROR(__xludf.DUMMYFUNCTION("""COMPUTED_VALUE"""),"SpFLMP659315")</f>
        <v>SpFLMP659315</v>
      </c>
      <c r="E220" s="103"/>
      <c r="F220" s="103"/>
      <c r="G220" s="103" t="str">
        <f>IFERROR(__xludf.DUMMYFUNCTION("""COMPUTED_VALUE"""),"Negative")</f>
        <v>Negative</v>
      </c>
      <c r="H220" s="131" t="str">
        <f>IFERROR(__xludf.DUMMYFUNCTION("""COMPUTED_VALUE"""),"Negative")</f>
        <v>Negative</v>
      </c>
      <c r="I220" s="468">
        <f>IFERROR(__xludf.DUMMYFUNCTION("""COMPUTED_VALUE"""),44529.0)</f>
        <v>44529</v>
      </c>
      <c r="J220" s="470">
        <f>IFERROR(__xludf.DUMMYFUNCTION("""COMPUTED_VALUE"""),0.5047800925925926)</f>
        <v>0.5047800926</v>
      </c>
      <c r="K220" s="16"/>
      <c r="L220" s="8"/>
      <c r="M220" s="69"/>
      <c r="N220" s="69">
        <f>IFERROR(__xludf.DUMMYFUNCTION("""COMPUTED_VALUE"""),1.0)</f>
        <v>1</v>
      </c>
      <c r="O220" s="69" t="str">
        <f t="shared" si="3"/>
        <v/>
      </c>
      <c r="P220" s="471">
        <f>IFERROR(__xludf.DUMMYFUNCTION("""COMPUTED_VALUE"""),0.0)</f>
        <v>0</v>
      </c>
      <c r="Q220" s="274" t="str">
        <f>VLOOKUP($B220,'Run Reconcile'!B$2:O2488,14,FALSE)</f>
        <v/>
      </c>
      <c r="R220" s="472" t="str">
        <f t="array" ref="R220">IF($Q220, INDEX('Run Reconcile'!A$2:A2488,MATCH(B220,'Run Reconcile'!B$2:B2488,0),1),IFERROR(0/0,""))</f>
        <v/>
      </c>
      <c r="S220" s="473" t="str">
        <f t="shared" ref="S220:T220" si="444">IF(COUNTIF(W$2:W2488, $A220) &gt; 0,TRUE,IFERROR(0/0,""))</f>
        <v/>
      </c>
      <c r="T220" s="473" t="str">
        <f t="shared" si="444"/>
        <v/>
      </c>
      <c r="U220" s="275" t="str">
        <f t="array" ref="U220">IF(ISBLANK($R220), INDEX('Run Reconcile'!A$2:A2488, MATCH($B220, 'Run Reconcile'!B$2:B2488, 0)+Z220, 1), IFERROR(0/0,""))
</f>
        <v>RUN-FLMP_2021-11-29_RFR-007</v>
      </c>
      <c r="V220" s="474" t="str">
        <f t="shared" si="5"/>
        <v>RUN-FLMP_2021-11-29_RFR-007</v>
      </c>
      <c r="Y220" s="89" t="str">
        <f t="shared" si="6"/>
        <v/>
      </c>
      <c r="Z220" s="60" t="str">
        <f t="shared" si="7"/>
        <v/>
      </c>
      <c r="AA220" s="60" t="str">
        <f t="shared" si="8"/>
        <v/>
      </c>
      <c r="AB220" s="60" t="str">
        <f t="shared" si="9"/>
        <v/>
      </c>
      <c r="AC220" s="30" t="str">
        <f t="shared" ref="AC220:AD220" si="445">IF(_xlfn.ISFORMULA(S220),IFERROR(0/0,""),TRUE)</f>
        <v/>
      </c>
      <c r="AD220" s="30" t="str">
        <f t="shared" si="445"/>
        <v/>
      </c>
      <c r="AE220" s="475" t="str">
        <f>IFERROR(__xludf.DUMMYFUNCTION("""COMPUTED_VALUE"""),"FLSP")</f>
        <v>FLSP</v>
      </c>
      <c r="AF220" s="476"/>
      <c r="AG220" s="474" t="s">
        <v>108</v>
      </c>
      <c r="AH220" s="138" t="str">
        <f t="shared" si="11"/>
        <v/>
      </c>
    </row>
    <row r="221">
      <c r="A221" s="103" t="str">
        <f>IFERROR(__xludf.DUMMYFUNCTION("""COMPUTED_VALUE"""),"FLT1425")</f>
        <v>FLT1425</v>
      </c>
      <c r="B221" s="468">
        <f>IFERROR(__xludf.DUMMYFUNCTION("""COMPUTED_VALUE"""),44530.0)</f>
        <v>44530</v>
      </c>
      <c r="C221" s="469">
        <f>IFERROR(__xludf.DUMMYFUNCTION("""COMPUTED_VALUE"""),0.37732638888888886)</f>
        <v>0.3773263889</v>
      </c>
      <c r="D221" s="103" t="str">
        <f>IFERROR(__xludf.DUMMYFUNCTION("""COMPUTED_VALUE"""),"SpFLMP659315")</f>
        <v>SpFLMP659315</v>
      </c>
      <c r="E221" s="103"/>
      <c r="F221" s="103"/>
      <c r="G221" s="103" t="str">
        <f>IFERROR(__xludf.DUMMYFUNCTION("""COMPUTED_VALUE"""),"Negative")</f>
        <v>Negative</v>
      </c>
      <c r="H221" s="131" t="str">
        <f>IFERROR(__xludf.DUMMYFUNCTION("""COMPUTED_VALUE"""),"Negative")</f>
        <v>Negative</v>
      </c>
      <c r="I221" s="468">
        <f>IFERROR(__xludf.DUMMYFUNCTION("""COMPUTED_VALUE"""),44530.0)</f>
        <v>44530</v>
      </c>
      <c r="J221" s="470">
        <f>IFERROR(__xludf.DUMMYFUNCTION("""COMPUTED_VALUE"""),0.4247916666666667)</f>
        <v>0.4247916667</v>
      </c>
      <c r="K221" s="16"/>
      <c r="L221" s="8" t="str">
        <f>IFERROR(__xludf.DUMMYFUNCTION("""COMPUTED_VALUE"""),"name email fix")</f>
        <v>name email fix</v>
      </c>
      <c r="M221" s="69"/>
      <c r="N221" s="69">
        <f>IFERROR(__xludf.DUMMYFUNCTION("""COMPUTED_VALUE"""),1.0)</f>
        <v>1</v>
      </c>
      <c r="O221" s="69" t="b">
        <f t="shared" si="3"/>
        <v>1</v>
      </c>
      <c r="P221" s="471">
        <f>IFERROR(__xludf.DUMMYFUNCTION("""COMPUTED_VALUE"""),0.0)</f>
        <v>0</v>
      </c>
      <c r="Q221" s="274" t="b">
        <f>VLOOKUP($B221,'Run Reconcile'!B$2:O2488,14,FALSE)</f>
        <v>1</v>
      </c>
      <c r="R221" s="472" t="str">
        <f t="array" ref="R221">IF($Q221, INDEX('Run Reconcile'!A$2:A2488,MATCH(B221,'Run Reconcile'!B$2:B2488,0),1),IFERROR(0/0,""))</f>
        <v>RUN-FLMP_2021-11-30_APS-071</v>
      </c>
      <c r="S221" s="473" t="str">
        <f t="shared" ref="S221:T221" si="446">IF(COUNTIF(W$2:W2488, $A221) &gt; 0,TRUE,IFERROR(0/0,""))</f>
        <v/>
      </c>
      <c r="T221" s="473" t="str">
        <f t="shared" si="446"/>
        <v/>
      </c>
      <c r="U221" s="275" t="str">
        <f t="array" ref="U221">IF(ISBLANK($R221), INDEX('Run Reconcile'!A$2:A2488, MATCH($B221, 'Run Reconcile'!B$2:B2488, 0)+Z221, 1), IFERROR(0/0,""))
</f>
        <v/>
      </c>
      <c r="V221" s="474" t="str">
        <f t="shared" si="5"/>
        <v>RUN-FLMP_2021-11-30_APS-071</v>
      </c>
      <c r="Y221" s="89" t="str">
        <f t="shared" si="6"/>
        <v/>
      </c>
      <c r="Z221" s="60" t="str">
        <f t="shared" si="7"/>
        <v/>
      </c>
      <c r="AA221" s="60" t="str">
        <f t="shared" si="8"/>
        <v/>
      </c>
      <c r="AB221" s="60" t="str">
        <f t="shared" si="9"/>
        <v/>
      </c>
      <c r="AC221" s="30" t="str">
        <f t="shared" ref="AC221:AD221" si="447">IF(_xlfn.ISFORMULA(S221),IFERROR(0/0,""),TRUE)</f>
        <v/>
      </c>
      <c r="AD221" s="30" t="str">
        <f t="shared" si="447"/>
        <v/>
      </c>
      <c r="AE221" s="475" t="str">
        <f>IFERROR(__xludf.DUMMYFUNCTION("""COMPUTED_VALUE"""),"FLSP")</f>
        <v>FLSP</v>
      </c>
      <c r="AF221" s="476"/>
      <c r="AG221" s="474" t="s">
        <v>109</v>
      </c>
      <c r="AH221" s="138" t="str">
        <f t="shared" si="11"/>
        <v/>
      </c>
    </row>
    <row r="222">
      <c r="A222" s="103" t="str">
        <f>IFERROR(__xludf.DUMMYFUNCTION("""COMPUTED_VALUE"""),"FLT1141")</f>
        <v>FLT1141</v>
      </c>
      <c r="B222" s="468">
        <f>IFERROR(__xludf.DUMMYFUNCTION("""COMPUTED_VALUE"""),44530.0)</f>
        <v>44530</v>
      </c>
      <c r="C222" s="469">
        <f>IFERROR(__xludf.DUMMYFUNCTION("""COMPUTED_VALUE"""),0.378587962962963)</f>
        <v>0.378587963</v>
      </c>
      <c r="D222" s="103" t="str">
        <f>IFERROR(__xludf.DUMMYFUNCTION("""COMPUTED_VALUE"""),"SpFLMP496039")</f>
        <v>SpFLMP496039</v>
      </c>
      <c r="E222" s="103"/>
      <c r="F222" s="103"/>
      <c r="G222" s="103" t="str">
        <f>IFERROR(__xludf.DUMMYFUNCTION("""COMPUTED_VALUE"""),"Negative")</f>
        <v>Negative</v>
      </c>
      <c r="H222" s="131" t="str">
        <f>IFERROR(__xludf.DUMMYFUNCTION("""COMPUTED_VALUE"""),"Negative")</f>
        <v>Negative</v>
      </c>
      <c r="I222" s="468">
        <f>IFERROR(__xludf.DUMMYFUNCTION("""COMPUTED_VALUE"""),44530.0)</f>
        <v>44530</v>
      </c>
      <c r="J222" s="470">
        <f>IFERROR(__xludf.DUMMYFUNCTION("""COMPUTED_VALUE"""),0.4247916666666667)</f>
        <v>0.4247916667</v>
      </c>
      <c r="K222" s="16"/>
      <c r="L222" s="8"/>
      <c r="M222" s="69"/>
      <c r="N222" s="69">
        <f>IFERROR(__xludf.DUMMYFUNCTION("""COMPUTED_VALUE"""),1.0)</f>
        <v>1</v>
      </c>
      <c r="O222" s="69" t="str">
        <f t="shared" si="3"/>
        <v/>
      </c>
      <c r="P222" s="471">
        <f>IFERROR(__xludf.DUMMYFUNCTION("""COMPUTED_VALUE"""),0.0)</f>
        <v>0</v>
      </c>
      <c r="Q222" s="274" t="b">
        <f>VLOOKUP($B222,'Run Reconcile'!B$2:O2488,14,FALSE)</f>
        <v>1</v>
      </c>
      <c r="R222" s="472" t="str">
        <f t="array" ref="R222">IF($Q222, INDEX('Run Reconcile'!A$2:A2488,MATCH(B222,'Run Reconcile'!B$2:B2488,0),1),IFERROR(0/0,""))</f>
        <v>RUN-FLMP_2021-11-30_APS-071</v>
      </c>
      <c r="S222" s="473" t="str">
        <f t="shared" ref="S222:T222" si="448">IF(COUNTIF(W$2:W2488, $A222) &gt; 0,TRUE,IFERROR(0/0,""))</f>
        <v/>
      </c>
      <c r="T222" s="473" t="str">
        <f t="shared" si="448"/>
        <v/>
      </c>
      <c r="U222" s="275" t="str">
        <f t="array" ref="U222">IF(ISBLANK($R222), INDEX('Run Reconcile'!A$2:A2488, MATCH($B222, 'Run Reconcile'!B$2:B2488, 0)+Z222, 1), IFERROR(0/0,""))
</f>
        <v/>
      </c>
      <c r="V222" s="474" t="str">
        <f t="shared" si="5"/>
        <v>RUN-FLMP_2021-11-30_APS-071</v>
      </c>
      <c r="Y222" s="89" t="str">
        <f t="shared" si="6"/>
        <v/>
      </c>
      <c r="Z222" s="60" t="str">
        <f t="shared" si="7"/>
        <v/>
      </c>
      <c r="AA222" s="60" t="str">
        <f t="shared" si="8"/>
        <v/>
      </c>
      <c r="AB222" s="60" t="str">
        <f t="shared" si="9"/>
        <v/>
      </c>
      <c r="AC222" s="30" t="str">
        <f t="shared" ref="AC222:AD222" si="449">IF(_xlfn.ISFORMULA(S222),IFERROR(0/0,""),TRUE)</f>
        <v/>
      </c>
      <c r="AD222" s="30" t="str">
        <f t="shared" si="449"/>
        <v/>
      </c>
      <c r="AE222" s="475" t="str">
        <f>IFERROR(__xludf.DUMMYFUNCTION("""COMPUTED_VALUE"""),"FLSP")</f>
        <v>FLSP</v>
      </c>
      <c r="AF222" s="476"/>
      <c r="AG222" s="474" t="s">
        <v>109</v>
      </c>
      <c r="AH222" s="138" t="str">
        <f t="shared" si="11"/>
        <v/>
      </c>
    </row>
    <row r="223">
      <c r="A223" s="103" t="str">
        <f>IFERROR(__xludf.DUMMYFUNCTION("""COMPUTED_VALUE"""),"FLT188")</f>
        <v>FLT188</v>
      </c>
      <c r="B223" s="468">
        <f>IFERROR(__xludf.DUMMYFUNCTION("""COMPUTED_VALUE"""),44532.0)</f>
        <v>44532</v>
      </c>
      <c r="C223" s="469">
        <f>IFERROR(__xludf.DUMMYFUNCTION("""COMPUTED_VALUE"""),0.29638888888888887)</f>
        <v>0.2963888889</v>
      </c>
      <c r="D223" s="103" t="str">
        <f>IFERROR(__xludf.DUMMYFUNCTION("""COMPUTED_VALUE"""),"SpFLMP273885")</f>
        <v>SpFLMP273885</v>
      </c>
      <c r="E223" s="103"/>
      <c r="F223" s="103"/>
      <c r="G223" s="103" t="str">
        <f>IFERROR(__xludf.DUMMYFUNCTION("""COMPUTED_VALUE"""),"Negative")</f>
        <v>Negative</v>
      </c>
      <c r="H223" s="131" t="str">
        <f>IFERROR(__xludf.DUMMYFUNCTION("""COMPUTED_VALUE"""),"Negative")</f>
        <v>Negative</v>
      </c>
      <c r="I223" s="468">
        <f>IFERROR(__xludf.DUMMYFUNCTION("""COMPUTED_VALUE"""),44532.0)</f>
        <v>44532</v>
      </c>
      <c r="J223" s="470">
        <f>IFERROR(__xludf.DUMMYFUNCTION("""COMPUTED_VALUE"""),0.5924537037037036)</f>
        <v>0.5924537037</v>
      </c>
      <c r="K223" s="16"/>
      <c r="L223" s="8"/>
      <c r="M223" s="69"/>
      <c r="N223" s="69">
        <f>IFERROR(__xludf.DUMMYFUNCTION("""COMPUTED_VALUE"""),3.0)</f>
        <v>3</v>
      </c>
      <c r="O223" s="69" t="b">
        <f t="shared" si="3"/>
        <v>1</v>
      </c>
      <c r="P223" s="471">
        <f>IFERROR(__xludf.DUMMYFUNCTION("""COMPUTED_VALUE"""),0.0)</f>
        <v>0</v>
      </c>
      <c r="Q223" s="274" t="b">
        <f>VLOOKUP($B223,'Run Reconcile'!B$2:O2488,14,FALSE)</f>
        <v>1</v>
      </c>
      <c r="R223" s="472" t="str">
        <f t="array" ref="R223">IF($Q223, INDEX('Run Reconcile'!A$2:A2488,MATCH(B223,'Run Reconcile'!B$2:B2488,0),1),IFERROR(0/0,""))</f>
        <v>RUN-FLMP_2021-12-02_APS-072</v>
      </c>
      <c r="S223" s="473" t="str">
        <f t="shared" ref="S223:T223" si="450">IF(COUNTIF(W$2:W2488, $A223) &gt; 0,TRUE,IFERROR(0/0,""))</f>
        <v/>
      </c>
      <c r="T223" s="473" t="str">
        <f t="shared" si="450"/>
        <v/>
      </c>
      <c r="U223" s="275" t="str">
        <f t="array" ref="U223">IF(ISBLANK($R223), INDEX('Run Reconcile'!A$2:A2488, MATCH($B223, 'Run Reconcile'!B$2:B2488, 0)+Z223, 1), IFERROR(0/0,""))
</f>
        <v/>
      </c>
      <c r="V223" s="474" t="str">
        <f t="shared" si="5"/>
        <v>RUN-FLMP_2021-12-02_APS-072</v>
      </c>
      <c r="Y223" s="89" t="str">
        <f t="shared" si="6"/>
        <v/>
      </c>
      <c r="Z223" s="60" t="str">
        <f t="shared" si="7"/>
        <v/>
      </c>
      <c r="AA223" s="60" t="str">
        <f t="shared" si="8"/>
        <v/>
      </c>
      <c r="AB223" s="60" t="str">
        <f t="shared" si="9"/>
        <v/>
      </c>
      <c r="AC223" s="30" t="str">
        <f t="shared" ref="AC223:AD223" si="451">IF(_xlfn.ISFORMULA(S223),IFERROR(0/0,""),TRUE)</f>
        <v/>
      </c>
      <c r="AD223" s="30" t="str">
        <f t="shared" si="451"/>
        <v/>
      </c>
      <c r="AE223" s="475" t="str">
        <f>IFERROR(__xludf.DUMMYFUNCTION("""COMPUTED_VALUE"""),"FLSP")</f>
        <v>FLSP</v>
      </c>
      <c r="AF223" s="476"/>
      <c r="AG223" s="474" t="s">
        <v>110</v>
      </c>
      <c r="AH223" s="138" t="str">
        <f t="shared" si="11"/>
        <v/>
      </c>
    </row>
    <row r="224">
      <c r="A224" s="103" t="str">
        <f>IFERROR(__xludf.DUMMYFUNCTION("""COMPUTED_VALUE"""),"FLT15691")</f>
        <v>FLT15691</v>
      </c>
      <c r="B224" s="468">
        <f>IFERROR(__xludf.DUMMYFUNCTION("""COMPUTED_VALUE"""),44532.0)</f>
        <v>44532</v>
      </c>
      <c r="C224" s="469">
        <f>IFERROR(__xludf.DUMMYFUNCTION("""COMPUTED_VALUE"""),0.39988425925925924)</f>
        <v>0.3998842593</v>
      </c>
      <c r="D224" s="103" t="str">
        <f>IFERROR(__xludf.DUMMYFUNCTION("""COMPUTED_VALUE"""),"SpFLMP496039")</f>
        <v>SpFLMP496039</v>
      </c>
      <c r="E224" s="103"/>
      <c r="F224" s="103"/>
      <c r="G224" s="103" t="str">
        <f>IFERROR(__xludf.DUMMYFUNCTION("""COMPUTED_VALUE"""),"Negative")</f>
        <v>Negative</v>
      </c>
      <c r="H224" s="131" t="str">
        <f>IFERROR(__xludf.DUMMYFUNCTION("""COMPUTED_VALUE"""),"Negative")</f>
        <v>Negative</v>
      </c>
      <c r="I224" s="468">
        <f>IFERROR(__xludf.DUMMYFUNCTION("""COMPUTED_VALUE"""),44532.0)</f>
        <v>44532</v>
      </c>
      <c r="J224" s="470">
        <f>IFERROR(__xludf.DUMMYFUNCTION("""COMPUTED_VALUE"""),0.5924537037037036)</f>
        <v>0.5924537037</v>
      </c>
      <c r="K224" s="16"/>
      <c r="L224" s="8"/>
      <c r="M224" s="69"/>
      <c r="N224" s="69">
        <f>IFERROR(__xludf.DUMMYFUNCTION("""COMPUTED_VALUE"""),1.0)</f>
        <v>1</v>
      </c>
      <c r="O224" s="69" t="str">
        <f t="shared" si="3"/>
        <v/>
      </c>
      <c r="P224" s="471">
        <f>IFERROR(__xludf.DUMMYFUNCTION("""COMPUTED_VALUE"""),0.0)</f>
        <v>0</v>
      </c>
      <c r="Q224" s="274" t="b">
        <f>VLOOKUP($B224,'Run Reconcile'!B$2:O2488,14,FALSE)</f>
        <v>1</v>
      </c>
      <c r="R224" s="472" t="str">
        <f t="array" ref="R224">IF($Q224, INDEX('Run Reconcile'!A$2:A2488,MATCH(B224,'Run Reconcile'!B$2:B2488,0),1),IFERROR(0/0,""))</f>
        <v>RUN-FLMP_2021-12-02_APS-072</v>
      </c>
      <c r="S224" s="473" t="str">
        <f t="shared" ref="S224:T224" si="452">IF(COUNTIF(W$2:W2488, $A224) &gt; 0,TRUE,IFERROR(0/0,""))</f>
        <v/>
      </c>
      <c r="T224" s="473" t="str">
        <f t="shared" si="452"/>
        <v/>
      </c>
      <c r="U224" s="275" t="str">
        <f t="array" ref="U224">IF(ISBLANK($R224), INDEX('Run Reconcile'!A$2:A2488, MATCH($B224, 'Run Reconcile'!B$2:B2488, 0)+Z224, 1), IFERROR(0/0,""))
</f>
        <v/>
      </c>
      <c r="V224" s="474" t="str">
        <f t="shared" si="5"/>
        <v>RUN-FLMP_2021-12-02_APS-072</v>
      </c>
      <c r="Y224" s="89" t="str">
        <f t="shared" si="6"/>
        <v/>
      </c>
      <c r="Z224" s="60" t="str">
        <f t="shared" si="7"/>
        <v/>
      </c>
      <c r="AA224" s="60" t="str">
        <f t="shared" si="8"/>
        <v/>
      </c>
      <c r="AB224" s="60" t="str">
        <f t="shared" si="9"/>
        <v/>
      </c>
      <c r="AC224" s="30" t="str">
        <f t="shared" ref="AC224:AD224" si="453">IF(_xlfn.ISFORMULA(S224),IFERROR(0/0,""),TRUE)</f>
        <v/>
      </c>
      <c r="AD224" s="30" t="str">
        <f t="shared" si="453"/>
        <v/>
      </c>
      <c r="AE224" s="475" t="str">
        <f>IFERROR(__xludf.DUMMYFUNCTION("""COMPUTED_VALUE"""),"FLSP")</f>
        <v>FLSP</v>
      </c>
      <c r="AF224" s="476"/>
      <c r="AG224" s="474" t="s">
        <v>110</v>
      </c>
      <c r="AH224" s="138" t="str">
        <f t="shared" si="11"/>
        <v/>
      </c>
    </row>
    <row r="225">
      <c r="A225" s="103" t="str">
        <f>IFERROR(__xludf.DUMMYFUNCTION("""COMPUTED_VALUE"""),"FLT11091")</f>
        <v>FLT11091</v>
      </c>
      <c r="B225" s="468">
        <f>IFERROR(__xludf.DUMMYFUNCTION("""COMPUTED_VALUE"""),44532.0)</f>
        <v>44532</v>
      </c>
      <c r="C225" s="469">
        <f>IFERROR(__xludf.DUMMYFUNCTION("""COMPUTED_VALUE"""),0.4004861111111111)</f>
        <v>0.4004861111</v>
      </c>
      <c r="D225" s="103" t="str">
        <f>IFERROR(__xludf.DUMMYFUNCTION("""COMPUTED_VALUE"""),"SpFLMP496039")</f>
        <v>SpFLMP496039</v>
      </c>
      <c r="E225" s="103"/>
      <c r="F225" s="103"/>
      <c r="G225" s="103" t="str">
        <f>IFERROR(__xludf.DUMMYFUNCTION("""COMPUTED_VALUE"""),"Negative")</f>
        <v>Negative</v>
      </c>
      <c r="H225" s="131" t="str">
        <f>IFERROR(__xludf.DUMMYFUNCTION("""COMPUTED_VALUE"""),"Negative")</f>
        <v>Negative</v>
      </c>
      <c r="I225" s="468">
        <f>IFERROR(__xludf.DUMMYFUNCTION("""COMPUTED_VALUE"""),44532.0)</f>
        <v>44532</v>
      </c>
      <c r="J225" s="470">
        <f>IFERROR(__xludf.DUMMYFUNCTION("""COMPUTED_VALUE"""),0.5924652777777778)</f>
        <v>0.5924652778</v>
      </c>
      <c r="K225" s="16"/>
      <c r="L225" s="8"/>
      <c r="M225" s="69"/>
      <c r="N225" s="69">
        <f>IFERROR(__xludf.DUMMYFUNCTION("""COMPUTED_VALUE"""),4.0)</f>
        <v>4</v>
      </c>
      <c r="O225" s="69" t="str">
        <f t="shared" si="3"/>
        <v/>
      </c>
      <c r="P225" s="471">
        <f>IFERROR(__xludf.DUMMYFUNCTION("""COMPUTED_VALUE"""),0.0)</f>
        <v>0</v>
      </c>
      <c r="Q225" s="274" t="b">
        <f>VLOOKUP($B225,'Run Reconcile'!B$2:O2488,14,FALSE)</f>
        <v>1</v>
      </c>
      <c r="R225" s="472" t="str">
        <f t="array" ref="R225">IF($Q225, INDEX('Run Reconcile'!A$2:A2488,MATCH(B225,'Run Reconcile'!B$2:B2488,0),1),IFERROR(0/0,""))</f>
        <v>RUN-FLMP_2021-12-02_APS-072</v>
      </c>
      <c r="S225" s="473" t="str">
        <f t="shared" ref="S225:T225" si="454">IF(COUNTIF(W$2:W2488, $A225) &gt; 0,TRUE,IFERROR(0/0,""))</f>
        <v/>
      </c>
      <c r="T225" s="473" t="str">
        <f t="shared" si="454"/>
        <v/>
      </c>
      <c r="U225" s="275" t="str">
        <f t="array" ref="U225">IF(ISBLANK($R225), INDEX('Run Reconcile'!A$2:A2488, MATCH($B225, 'Run Reconcile'!B$2:B2488, 0)+Z225, 1), IFERROR(0/0,""))
</f>
        <v/>
      </c>
      <c r="V225" s="474" t="str">
        <f t="shared" si="5"/>
        <v>RUN-FLMP_2021-12-02_APS-072</v>
      </c>
      <c r="Y225" s="89" t="str">
        <f t="shared" si="6"/>
        <v/>
      </c>
      <c r="Z225" s="60" t="str">
        <f t="shared" si="7"/>
        <v/>
      </c>
      <c r="AA225" s="60" t="str">
        <f t="shared" si="8"/>
        <v/>
      </c>
      <c r="AB225" s="60" t="str">
        <f t="shared" si="9"/>
        <v/>
      </c>
      <c r="AC225" s="30" t="str">
        <f t="shared" ref="AC225:AD225" si="455">IF(_xlfn.ISFORMULA(S225),IFERROR(0/0,""),TRUE)</f>
        <v/>
      </c>
      <c r="AD225" s="30" t="str">
        <f t="shared" si="455"/>
        <v/>
      </c>
      <c r="AE225" s="475" t="str">
        <f>IFERROR(__xludf.DUMMYFUNCTION("""COMPUTED_VALUE"""),"FLSP")</f>
        <v>FLSP</v>
      </c>
      <c r="AF225" s="476"/>
      <c r="AG225" s="474" t="s">
        <v>110</v>
      </c>
      <c r="AH225" s="138" t="str">
        <f t="shared" si="11"/>
        <v/>
      </c>
    </row>
    <row r="226">
      <c r="A226" s="103" t="str">
        <f>IFERROR(__xludf.DUMMYFUNCTION("""COMPUTED_VALUE"""),"FLE405")</f>
        <v>FLE405</v>
      </c>
      <c r="B226" s="468">
        <f>IFERROR(__xludf.DUMMYFUNCTION("""COMPUTED_VALUE"""),44536.0)</f>
        <v>44536</v>
      </c>
      <c r="C226" s="469">
        <f>IFERROR(__xludf.DUMMYFUNCTION("""COMPUTED_VALUE"""),0.31167824074074074)</f>
        <v>0.3116782407</v>
      </c>
      <c r="D226" s="103" t="str">
        <f>IFERROR(__xludf.DUMMYFUNCTION("""COMPUTED_VALUE"""),"SpFLMP273885")</f>
        <v>SpFLMP273885</v>
      </c>
      <c r="E226" s="103"/>
      <c r="F226" s="103"/>
      <c r="G226" s="103" t="str">
        <f>IFERROR(__xludf.DUMMYFUNCTION("""COMPUTED_VALUE"""),"Negative")</f>
        <v>Negative</v>
      </c>
      <c r="H226" s="131" t="str">
        <f>IFERROR(__xludf.DUMMYFUNCTION("""COMPUTED_VALUE"""),"Negative")</f>
        <v>Negative</v>
      </c>
      <c r="I226" s="468">
        <f>IFERROR(__xludf.DUMMYFUNCTION("""COMPUTED_VALUE"""),44536.0)</f>
        <v>44536</v>
      </c>
      <c r="J226" s="470">
        <f>IFERROR(__xludf.DUMMYFUNCTION("""COMPUTED_VALUE"""),0.5066666666666667)</f>
        <v>0.5066666667</v>
      </c>
      <c r="K226" s="16"/>
      <c r="L226" s="8"/>
      <c r="M226" s="69"/>
      <c r="N226" s="69">
        <f>IFERROR(__xludf.DUMMYFUNCTION("""COMPUTED_VALUE"""),4.0)</f>
        <v>4</v>
      </c>
      <c r="O226" s="69" t="b">
        <f t="shared" si="3"/>
        <v>1</v>
      </c>
      <c r="P226" s="471">
        <f>IFERROR(__xludf.DUMMYFUNCTION("""COMPUTED_VALUE"""),0.0)</f>
        <v>0</v>
      </c>
      <c r="Q226" s="274" t="str">
        <f>VLOOKUP($B226,'Run Reconcile'!B$2:O2488,14,FALSE)</f>
        <v/>
      </c>
      <c r="R226" s="472" t="str">
        <f t="array" ref="R226">IF($Q226, INDEX('Run Reconcile'!A$2:A2488,MATCH(B226,'Run Reconcile'!B$2:B2488,0),1),IFERROR(0/0,""))</f>
        <v/>
      </c>
      <c r="S226" s="473" t="str">
        <f t="shared" ref="S226:T226" si="456">IF(COUNTIF(W$2:W2488, $A226) &gt; 0,TRUE,IFERROR(0/0,""))</f>
        <v/>
      </c>
      <c r="T226" s="473" t="str">
        <f t="shared" si="456"/>
        <v/>
      </c>
      <c r="U226" s="275" t="str">
        <f t="array" ref="U226">IF(ISBLANK($R226), INDEX('Run Reconcile'!A$2:A2488, MATCH($B226, 'Run Reconcile'!B$2:B2488, 0)+Z226, 1), IFERROR(0/0,""))
</f>
        <v>RUN-FLMP_2021-12-06_RFR-009</v>
      </c>
      <c r="V226" s="474" t="str">
        <f t="shared" si="5"/>
        <v>RUN-FLMP_2021-12-06_RFR-009</v>
      </c>
      <c r="W226" s="103"/>
      <c r="Y226" s="89" t="str">
        <f t="shared" si="6"/>
        <v/>
      </c>
      <c r="Z226" s="60" t="str">
        <f t="shared" si="7"/>
        <v/>
      </c>
      <c r="AA226" s="60" t="str">
        <f t="shared" si="8"/>
        <v/>
      </c>
      <c r="AB226" s="60" t="str">
        <f t="shared" si="9"/>
        <v/>
      </c>
      <c r="AC226" s="30" t="str">
        <f t="shared" ref="AC226:AD226" si="457">IF(_xlfn.ISFORMULA(S226),IFERROR(0/0,""),TRUE)</f>
        <v/>
      </c>
      <c r="AD226" s="30" t="str">
        <f t="shared" si="457"/>
        <v/>
      </c>
      <c r="AE226" s="475" t="str">
        <f>IFERROR(__xludf.DUMMYFUNCTION("""COMPUTED_VALUE"""),"FLSP")</f>
        <v>FLSP</v>
      </c>
      <c r="AF226" s="476"/>
      <c r="AG226" s="474" t="s">
        <v>111</v>
      </c>
      <c r="AH226" s="138" t="str">
        <f t="shared" si="11"/>
        <v/>
      </c>
    </row>
    <row r="227">
      <c r="A227" s="103" t="str">
        <f>IFERROR(__xludf.DUMMYFUNCTION("""COMPUTED_VALUE"""),"FLT1517")</f>
        <v>FLT1517</v>
      </c>
      <c r="B227" s="468">
        <f>IFERROR(__xludf.DUMMYFUNCTION("""COMPUTED_VALUE"""),44536.0)</f>
        <v>44536</v>
      </c>
      <c r="C227" s="469">
        <f>IFERROR(__xludf.DUMMYFUNCTION("""COMPUTED_VALUE"""),0.3872453703703704)</f>
        <v>0.3872453704</v>
      </c>
      <c r="D227" s="103" t="str">
        <f>IFERROR(__xludf.DUMMYFUNCTION("""COMPUTED_VALUE"""),"SpFLMP496039")</f>
        <v>SpFLMP496039</v>
      </c>
      <c r="E227" s="103"/>
      <c r="F227" s="103"/>
      <c r="G227" s="103" t="str">
        <f>IFERROR(__xludf.DUMMYFUNCTION("""COMPUTED_VALUE"""),"Negative")</f>
        <v>Negative</v>
      </c>
      <c r="H227" s="131" t="str">
        <f>IFERROR(__xludf.DUMMYFUNCTION("""COMPUTED_VALUE"""),"Negative")</f>
        <v>Negative</v>
      </c>
      <c r="I227" s="468">
        <f>IFERROR(__xludf.DUMMYFUNCTION("""COMPUTED_VALUE"""),44536.0)</f>
        <v>44536</v>
      </c>
      <c r="J227" s="470">
        <f>IFERROR(__xludf.DUMMYFUNCTION("""COMPUTED_VALUE"""),0.5066666666666667)</f>
        <v>0.5066666667</v>
      </c>
      <c r="K227" s="16"/>
      <c r="L227" s="8"/>
      <c r="M227" s="69"/>
      <c r="N227" s="69">
        <f>IFERROR(__xludf.DUMMYFUNCTION("""COMPUTED_VALUE"""),1.0)</f>
        <v>1</v>
      </c>
      <c r="O227" s="69" t="str">
        <f t="shared" si="3"/>
        <v/>
      </c>
      <c r="P227" s="471">
        <f>IFERROR(__xludf.DUMMYFUNCTION("""COMPUTED_VALUE"""),0.0)</f>
        <v>0</v>
      </c>
      <c r="Q227" s="274" t="str">
        <f>VLOOKUP($B227,'Run Reconcile'!B$2:O2488,14,FALSE)</f>
        <v/>
      </c>
      <c r="R227" s="472" t="str">
        <f t="array" ref="R227">IF($Q227, INDEX('Run Reconcile'!A$2:A2488,MATCH(B227,'Run Reconcile'!B$2:B2488,0),1),IFERROR(0/0,""))</f>
        <v/>
      </c>
      <c r="S227" s="473" t="str">
        <f t="shared" ref="S227:T227" si="458">IF(COUNTIF(W$2:W2488, $A227) &gt; 0,TRUE,IFERROR(0/0,""))</f>
        <v/>
      </c>
      <c r="T227" s="473" t="str">
        <f t="shared" si="458"/>
        <v/>
      </c>
      <c r="U227" s="275" t="str">
        <f t="array" ref="U227">IF(ISBLANK($R227), INDEX('Run Reconcile'!A$2:A2488, MATCH($B227, 'Run Reconcile'!B$2:B2488, 0)+Z227, 1), IFERROR(0/0,""))
</f>
        <v>RUN-FLMP_2021-12-06_RFR-009</v>
      </c>
      <c r="V227" s="474" t="str">
        <f t="shared" si="5"/>
        <v>RUN-FLMP_2021-12-06_RFR-009</v>
      </c>
      <c r="Y227" s="89" t="str">
        <f t="shared" si="6"/>
        <v/>
      </c>
      <c r="Z227" s="60" t="str">
        <f t="shared" si="7"/>
        <v/>
      </c>
      <c r="AA227" s="60" t="str">
        <f t="shared" si="8"/>
        <v/>
      </c>
      <c r="AB227" s="60" t="str">
        <f t="shared" si="9"/>
        <v/>
      </c>
      <c r="AC227" s="30" t="str">
        <f t="shared" ref="AC227:AD227" si="459">IF(_xlfn.ISFORMULA(S227),IFERROR(0/0,""),TRUE)</f>
        <v/>
      </c>
      <c r="AD227" s="30" t="str">
        <f t="shared" si="459"/>
        <v/>
      </c>
      <c r="AE227" s="475" t="str">
        <f>IFERROR(__xludf.DUMMYFUNCTION("""COMPUTED_VALUE"""),"FLSP")</f>
        <v>FLSP</v>
      </c>
      <c r="AF227" s="476"/>
      <c r="AG227" s="474" t="s">
        <v>111</v>
      </c>
      <c r="AH227" s="138" t="str">
        <f t="shared" si="11"/>
        <v/>
      </c>
    </row>
    <row r="228">
      <c r="A228" s="103" t="str">
        <f>IFERROR(__xludf.DUMMYFUNCTION("""COMPUTED_VALUE"""),"FLT195")</f>
        <v>FLT195</v>
      </c>
      <c r="B228" s="468">
        <f>IFERROR(__xludf.DUMMYFUNCTION("""COMPUTED_VALUE"""),44536.0)</f>
        <v>44536</v>
      </c>
      <c r="C228" s="469">
        <f>IFERROR(__xludf.DUMMYFUNCTION("""COMPUTED_VALUE"""),0.38775462962962964)</f>
        <v>0.3877546296</v>
      </c>
      <c r="D228" s="103" t="str">
        <f>IFERROR(__xludf.DUMMYFUNCTION("""COMPUTED_VALUE"""),"SpFLMP496039")</f>
        <v>SpFLMP496039</v>
      </c>
      <c r="E228" s="103"/>
      <c r="F228" s="103"/>
      <c r="G228" s="103" t="str">
        <f>IFERROR(__xludf.DUMMYFUNCTION("""COMPUTED_VALUE"""),"Negative")</f>
        <v>Negative</v>
      </c>
      <c r="H228" s="131" t="str">
        <f>IFERROR(__xludf.DUMMYFUNCTION("""COMPUTED_VALUE"""),"Negative")</f>
        <v>Negative</v>
      </c>
      <c r="I228" s="468">
        <f>IFERROR(__xludf.DUMMYFUNCTION("""COMPUTED_VALUE"""),44536.0)</f>
        <v>44536</v>
      </c>
      <c r="J228" s="470">
        <f>IFERROR(__xludf.DUMMYFUNCTION("""COMPUTED_VALUE"""),0.5066666666666667)</f>
        <v>0.5066666667</v>
      </c>
      <c r="K228" s="16"/>
      <c r="L228" s="8"/>
      <c r="M228" s="69"/>
      <c r="N228" s="69">
        <f>IFERROR(__xludf.DUMMYFUNCTION("""COMPUTED_VALUE"""),4.0)</f>
        <v>4</v>
      </c>
      <c r="O228" s="69" t="str">
        <f t="shared" si="3"/>
        <v/>
      </c>
      <c r="P228" s="471">
        <f>IFERROR(__xludf.DUMMYFUNCTION("""COMPUTED_VALUE"""),0.0)</f>
        <v>0</v>
      </c>
      <c r="Q228" s="274" t="str">
        <f>VLOOKUP($B228,'Run Reconcile'!B$2:O2488,14,FALSE)</f>
        <v/>
      </c>
      <c r="R228" s="472" t="str">
        <f t="array" ref="R228">IF($Q228, INDEX('Run Reconcile'!A$2:A2488,MATCH(B228,'Run Reconcile'!B$2:B2488,0),1),IFERROR(0/0,""))</f>
        <v/>
      </c>
      <c r="S228" s="473" t="str">
        <f t="shared" ref="S228:T228" si="460">IF(COUNTIF(W$2:W2488, $A228) &gt; 0,TRUE,IFERROR(0/0,""))</f>
        <v/>
      </c>
      <c r="T228" s="473" t="str">
        <f t="shared" si="460"/>
        <v/>
      </c>
      <c r="U228" s="275" t="str">
        <f t="array" ref="U228">IF(ISBLANK($R228), INDEX('Run Reconcile'!A$2:A2488, MATCH($B228, 'Run Reconcile'!B$2:B2488, 0)+Z228, 1), IFERROR(0/0,""))
</f>
        <v>RUN-FLMP_2021-12-06_RFR-009</v>
      </c>
      <c r="V228" s="474" t="str">
        <f t="shared" si="5"/>
        <v>RUN-FLMP_2021-12-06_RFR-009</v>
      </c>
      <c r="Y228" s="89" t="str">
        <f t="shared" si="6"/>
        <v/>
      </c>
      <c r="Z228" s="60" t="str">
        <f t="shared" si="7"/>
        <v/>
      </c>
      <c r="AA228" s="60" t="str">
        <f t="shared" si="8"/>
        <v/>
      </c>
      <c r="AB228" s="60" t="str">
        <f t="shared" si="9"/>
        <v/>
      </c>
      <c r="AC228" s="30" t="str">
        <f t="shared" ref="AC228:AD228" si="461">IF(_xlfn.ISFORMULA(S228),IFERROR(0/0,""),TRUE)</f>
        <v/>
      </c>
      <c r="AD228" s="30" t="str">
        <f t="shared" si="461"/>
        <v/>
      </c>
      <c r="AE228" s="475" t="str">
        <f>IFERROR(__xludf.DUMMYFUNCTION("""COMPUTED_VALUE"""),"FLSP")</f>
        <v>FLSP</v>
      </c>
      <c r="AF228" s="476"/>
      <c r="AG228" s="474" t="s">
        <v>111</v>
      </c>
      <c r="AH228" s="138" t="str">
        <f t="shared" si="11"/>
        <v/>
      </c>
    </row>
    <row r="229">
      <c r="A229" s="103" t="str">
        <f>IFERROR(__xludf.DUMMYFUNCTION("""COMPUTED_VALUE"""),"FLB6832")</f>
        <v>FLB6832</v>
      </c>
      <c r="B229" s="468">
        <f>IFERROR(__xludf.DUMMYFUNCTION("""COMPUTED_VALUE"""),44536.0)</f>
        <v>44536</v>
      </c>
      <c r="C229" s="469">
        <f>IFERROR(__xludf.DUMMYFUNCTION("""COMPUTED_VALUE"""),0.5042361111111111)</f>
        <v>0.5042361111</v>
      </c>
      <c r="D229" s="103" t="str">
        <f>IFERROR(__xludf.DUMMYFUNCTION("""COMPUTED_VALUE"""),"SpFLMP659315")</f>
        <v>SpFLMP659315</v>
      </c>
      <c r="E229" s="103"/>
      <c r="F229" s="103"/>
      <c r="G229" s="103" t="str">
        <f>IFERROR(__xludf.DUMMYFUNCTION("""COMPUTED_VALUE"""),"Negative")</f>
        <v>Negative</v>
      </c>
      <c r="H229" s="131" t="str">
        <f>IFERROR(__xludf.DUMMYFUNCTION("""COMPUTED_VALUE"""),"Negative")</f>
        <v>Negative</v>
      </c>
      <c r="I229" s="468">
        <f>IFERROR(__xludf.DUMMYFUNCTION("""COMPUTED_VALUE"""),44536.0)</f>
        <v>44536</v>
      </c>
      <c r="J229" s="470">
        <f>IFERROR(__xludf.DUMMYFUNCTION("""COMPUTED_VALUE"""),0.5074074074074074)</f>
        <v>0.5074074074</v>
      </c>
      <c r="K229" s="16"/>
      <c r="L229" s="8"/>
      <c r="M229" s="69"/>
      <c r="N229" s="69">
        <f>IFERROR(__xludf.DUMMYFUNCTION("""COMPUTED_VALUE"""),3.0)</f>
        <v>3</v>
      </c>
      <c r="O229" s="69" t="str">
        <f t="shared" si="3"/>
        <v/>
      </c>
      <c r="P229" s="471">
        <f>IFERROR(__xludf.DUMMYFUNCTION("""COMPUTED_VALUE"""),0.0)</f>
        <v>0</v>
      </c>
      <c r="Q229" s="274" t="str">
        <f>VLOOKUP($B229,'Run Reconcile'!B$2:O2488,14,FALSE)</f>
        <v/>
      </c>
      <c r="R229" s="472" t="str">
        <f t="array" ref="R229">IF($Q229, INDEX('Run Reconcile'!A$2:A2488,MATCH(B229,'Run Reconcile'!B$2:B2488,0),1),IFERROR(0/0,""))</f>
        <v/>
      </c>
      <c r="S229" s="473" t="str">
        <f t="shared" ref="S229:T229" si="462">IF(COUNTIF(W$2:W2488, $A229) &gt; 0,TRUE,IFERROR(0/0,""))</f>
        <v/>
      </c>
      <c r="T229" s="473" t="str">
        <f t="shared" si="462"/>
        <v/>
      </c>
      <c r="U229" s="275" t="str">
        <f t="array" ref="U229">IF(ISBLANK($R229), INDEX('Run Reconcile'!A$2:A2488, MATCH($B229, 'Run Reconcile'!B$2:B2488, 0)+Z229, 1), IFERROR(0/0,""))
</f>
        <v>RUN-FLMP_2021-12-06_RFR-009</v>
      </c>
      <c r="V229" s="474" t="str">
        <f t="shared" si="5"/>
        <v>RUN-FLMP_2021-12-06_RFR-009</v>
      </c>
      <c r="Y229" s="89" t="str">
        <f t="shared" si="6"/>
        <v/>
      </c>
      <c r="Z229" s="60" t="str">
        <f t="shared" si="7"/>
        <v/>
      </c>
      <c r="AA229" s="60" t="str">
        <f t="shared" si="8"/>
        <v/>
      </c>
      <c r="AB229" s="60" t="str">
        <f t="shared" si="9"/>
        <v/>
      </c>
      <c r="AC229" s="30" t="str">
        <f t="shared" ref="AC229:AD229" si="463">IF(_xlfn.ISFORMULA(S229),IFERROR(0/0,""),TRUE)</f>
        <v/>
      </c>
      <c r="AD229" s="30" t="str">
        <f t="shared" si="463"/>
        <v/>
      </c>
      <c r="AE229" s="475" t="str">
        <f>IFERROR(__xludf.DUMMYFUNCTION("""COMPUTED_VALUE"""),"FLSP")</f>
        <v>FLSP</v>
      </c>
      <c r="AF229" s="476"/>
      <c r="AG229" s="474" t="s">
        <v>111</v>
      </c>
      <c r="AH229" s="138" t="str">
        <f t="shared" si="11"/>
        <v/>
      </c>
    </row>
    <row r="230">
      <c r="A230" s="103" t="str">
        <f>IFERROR(__xludf.DUMMYFUNCTION("""COMPUTED_VALUE"""),"FLE484")</f>
        <v>FLE484</v>
      </c>
      <c r="B230" s="468">
        <f>IFERROR(__xludf.DUMMYFUNCTION("""COMPUTED_VALUE"""),44536.0)</f>
        <v>44536</v>
      </c>
      <c r="C230" s="469">
        <f>IFERROR(__xludf.DUMMYFUNCTION("""COMPUTED_VALUE"""),0.78625)</f>
        <v>0.78625</v>
      </c>
      <c r="D230" s="103" t="str">
        <f>IFERROR(__xludf.DUMMYFUNCTION("""COMPUTED_VALUE"""),"SpFLMP125859")</f>
        <v>SpFLMP125859</v>
      </c>
      <c r="E230" s="103"/>
      <c r="F230" s="103"/>
      <c r="G230" s="103" t="str">
        <f>IFERROR(__xludf.DUMMYFUNCTION("""COMPUTED_VALUE"""),"Negative")</f>
        <v>Negative</v>
      </c>
      <c r="H230" s="131" t="str">
        <f>IFERROR(__xludf.DUMMYFUNCTION("""COMPUTED_VALUE"""),"Negative")</f>
        <v>Negative</v>
      </c>
      <c r="I230" s="468">
        <f>IFERROR(__xludf.DUMMYFUNCTION("""COMPUTED_VALUE"""),44537.0)</f>
        <v>44537</v>
      </c>
      <c r="J230" s="470">
        <f>IFERROR(__xludf.DUMMYFUNCTION("""COMPUTED_VALUE"""),0.4251388888888889)</f>
        <v>0.4251388889</v>
      </c>
      <c r="K230" s="16"/>
      <c r="L230" s="8"/>
      <c r="M230" s="69"/>
      <c r="N230" s="69">
        <f>IFERROR(__xludf.DUMMYFUNCTION("""COMPUTED_VALUE"""),4.0)</f>
        <v>4</v>
      </c>
      <c r="O230" s="69" t="str">
        <f t="shared" si="3"/>
        <v/>
      </c>
      <c r="P230" s="471">
        <f>IFERROR(__xludf.DUMMYFUNCTION("""COMPUTED_VALUE"""),1.0)</f>
        <v>1</v>
      </c>
      <c r="Q230" s="274" t="str">
        <f>VLOOKUP($B230,'Run Reconcile'!B$2:O2488,14,FALSE)</f>
        <v/>
      </c>
      <c r="R230" s="472" t="str">
        <f t="array" ref="R230">IF($Q230, INDEX('Run Reconcile'!A$2:A2488,MATCH(B230,'Run Reconcile'!B$2:B2488,0),1),IFERROR(0/0,""))</f>
        <v/>
      </c>
      <c r="S230" s="473" t="b">
        <f t="shared" ref="S230:T230" si="464">IF(COUNTIF(W$2:W2488, $A230) &gt; 0,TRUE,IFERROR(0/0,""))</f>
        <v>1</v>
      </c>
      <c r="T230" s="473" t="str">
        <f t="shared" si="464"/>
        <v/>
      </c>
      <c r="U230" s="275" t="str">
        <f t="array" ref="U230">IF(ISBLANK($R230), INDEX('Run Reconcile'!A$2:A2488, MATCH($B230, 'Run Reconcile'!B$2:B2488, 0)+Z230, 1), IFERROR(0/0,""))
</f>
        <v>RUN-FLMP_2021-12-07_RFR-011</v>
      </c>
      <c r="V230" s="474" t="str">
        <f t="shared" si="5"/>
        <v>RUN-FLMP_2021-12-07_RFR-011</v>
      </c>
      <c r="W230" s="103" t="s">
        <v>1313</v>
      </c>
      <c r="Y230" s="89">
        <f t="shared" si="6"/>
        <v>1</v>
      </c>
      <c r="Z230" s="60">
        <f t="shared" si="7"/>
        <v>1</v>
      </c>
      <c r="AA230" s="60">
        <f t="shared" si="8"/>
        <v>1</v>
      </c>
      <c r="AB230" s="60" t="str">
        <f t="shared" si="9"/>
        <v/>
      </c>
      <c r="AC230" s="30" t="str">
        <f t="shared" ref="AC230:AD230" si="465">IF(_xlfn.ISFORMULA(S230),IFERROR(0/0,""),TRUE)</f>
        <v/>
      </c>
      <c r="AD230" s="30" t="str">
        <f t="shared" si="465"/>
        <v/>
      </c>
      <c r="AE230" s="475" t="str">
        <f>IFERROR(__xludf.DUMMYFUNCTION("""COMPUTED_VALUE"""),"FLSP")</f>
        <v>FLSP</v>
      </c>
      <c r="AF230" s="476"/>
      <c r="AG230" s="474" t="s">
        <v>112</v>
      </c>
      <c r="AH230" s="138" t="str">
        <f t="shared" si="11"/>
        <v/>
      </c>
    </row>
    <row r="231">
      <c r="A231" s="103" t="str">
        <f>IFERROR(__xludf.DUMMYFUNCTION("""COMPUTED_VALUE"""),"MA1327")</f>
        <v>MA1327</v>
      </c>
      <c r="B231" s="468">
        <f>IFERROR(__xludf.DUMMYFUNCTION("""COMPUTED_VALUE"""),44537.0)</f>
        <v>44537</v>
      </c>
      <c r="C231" s="469">
        <f>IFERROR(__xludf.DUMMYFUNCTION("""COMPUTED_VALUE"""),0.22436342592592592)</f>
        <v>0.2243634259</v>
      </c>
      <c r="D231" s="103" t="str">
        <f>IFERROR(__xludf.DUMMYFUNCTION("""COMPUTED_VALUE"""),"SpFLMP659315")</f>
        <v>SpFLMP659315</v>
      </c>
      <c r="E231" s="103"/>
      <c r="F231" s="103"/>
      <c r="G231" s="103" t="str">
        <f>IFERROR(__xludf.DUMMYFUNCTION("""COMPUTED_VALUE"""),"Negative")</f>
        <v>Negative</v>
      </c>
      <c r="H231" s="131" t="str">
        <f>IFERROR(__xludf.DUMMYFUNCTION("""COMPUTED_VALUE"""),"Negative")</f>
        <v>Negative</v>
      </c>
      <c r="I231" s="468">
        <f>IFERROR(__xludf.DUMMYFUNCTION("""COMPUTED_VALUE"""),44537.0)</f>
        <v>44537</v>
      </c>
      <c r="J231" s="470">
        <f>IFERROR(__xludf.DUMMYFUNCTION("""COMPUTED_VALUE"""),0.25950231481481484)</f>
        <v>0.2595023148</v>
      </c>
      <c r="K231" s="16"/>
      <c r="L231" s="8" t="str">
        <f>IFERROR(__xludf.DUMMYFUNCTION("""COMPUTED_VALUE"""),"name email fix")</f>
        <v>name email fix</v>
      </c>
      <c r="M231" s="69"/>
      <c r="N231" s="69">
        <f>IFERROR(__xludf.DUMMYFUNCTION("""COMPUTED_VALUE"""),1.0)</f>
        <v>1</v>
      </c>
      <c r="O231" s="69" t="b">
        <f t="shared" si="3"/>
        <v>1</v>
      </c>
      <c r="P231" s="471">
        <f>IFERROR(__xludf.DUMMYFUNCTION("""COMPUTED_VALUE"""),0.0)</f>
        <v>0</v>
      </c>
      <c r="Q231" s="274" t="str">
        <f>VLOOKUP($B231,'Run Reconcile'!B$2:O2488,14,FALSE)</f>
        <v/>
      </c>
      <c r="R231" s="472" t="str">
        <f t="array" ref="R231">IF($Q231, INDEX('Run Reconcile'!A$2:A2488,MATCH(B231,'Run Reconcile'!B$2:B2488,0),1),IFERROR(0/0,""))</f>
        <v/>
      </c>
      <c r="S231" s="473" t="str">
        <f t="shared" ref="S231:T231" si="466">IF(COUNTIF(W$2:W2488, $A231) &gt; 0,TRUE,IFERROR(0/0,""))</f>
        <v/>
      </c>
      <c r="T231" s="473" t="str">
        <f t="shared" si="466"/>
        <v/>
      </c>
      <c r="U231" s="275" t="str">
        <f t="array" ref="U231">IF(ISBLANK($R231), INDEX('Run Reconcile'!A$2:A2488, MATCH($B231, 'Run Reconcile'!B$2:B2488, 0)+Z231, 1), IFERROR(0/0,""))
</f>
        <v>RUN-FLMP_2021-12-07_RFR-011</v>
      </c>
      <c r="V231" s="474" t="str">
        <f t="shared" si="5"/>
        <v>RUN-FLMP_2021-12-07_RFR-011</v>
      </c>
      <c r="Y231" s="89" t="str">
        <f t="shared" si="6"/>
        <v/>
      </c>
      <c r="Z231" s="60" t="str">
        <f t="shared" si="7"/>
        <v/>
      </c>
      <c r="AA231" s="60" t="str">
        <f t="shared" si="8"/>
        <v/>
      </c>
      <c r="AB231" s="60" t="str">
        <f t="shared" si="9"/>
        <v/>
      </c>
      <c r="AC231" s="30" t="str">
        <f t="shared" ref="AC231:AD231" si="467">IF(_xlfn.ISFORMULA(S231),IFERROR(0/0,""),TRUE)</f>
        <v/>
      </c>
      <c r="AD231" s="30" t="str">
        <f t="shared" si="467"/>
        <v/>
      </c>
      <c r="AE231" s="475" t="str">
        <f>IFERROR(__xludf.DUMMYFUNCTION("""COMPUTED_VALUE"""),"FLSP")</f>
        <v>FLSP</v>
      </c>
      <c r="AF231" s="476"/>
      <c r="AG231" s="474" t="s">
        <v>112</v>
      </c>
      <c r="AH231" s="138" t="str">
        <f t="shared" si="11"/>
        <v/>
      </c>
    </row>
    <row r="232">
      <c r="A232" s="103" t="str">
        <f>IFERROR(__xludf.DUMMYFUNCTION("""COMPUTED_VALUE"""),"FLB6877")</f>
        <v>FLB6877</v>
      </c>
      <c r="B232" s="468">
        <f>IFERROR(__xludf.DUMMYFUNCTION("""COMPUTED_VALUE"""),44537.0)</f>
        <v>44537</v>
      </c>
      <c r="C232" s="469">
        <f>IFERROR(__xludf.DUMMYFUNCTION("""COMPUTED_VALUE"""),0.32459490740740743)</f>
        <v>0.3245949074</v>
      </c>
      <c r="D232" s="103" t="str">
        <f>IFERROR(__xludf.DUMMYFUNCTION("""COMPUTED_VALUE"""),"SpFLMP777132")</f>
        <v>SpFLMP777132</v>
      </c>
      <c r="E232" s="103"/>
      <c r="F232" s="103"/>
      <c r="G232" s="103" t="str">
        <f>IFERROR(__xludf.DUMMYFUNCTION("""COMPUTED_VALUE"""),"Negative")</f>
        <v>Negative</v>
      </c>
      <c r="H232" s="131" t="str">
        <f>IFERROR(__xludf.DUMMYFUNCTION("""COMPUTED_VALUE"""),"Negative")</f>
        <v>Negative</v>
      </c>
      <c r="I232" s="468">
        <f>IFERROR(__xludf.DUMMYFUNCTION("""COMPUTED_VALUE"""),44537.0)</f>
        <v>44537</v>
      </c>
      <c r="J232" s="470">
        <f>IFERROR(__xludf.DUMMYFUNCTION("""COMPUTED_VALUE"""),0.4251388888888889)</f>
        <v>0.4251388889</v>
      </c>
      <c r="K232" s="16"/>
      <c r="L232" s="8"/>
      <c r="M232" s="69"/>
      <c r="N232" s="69">
        <f>IFERROR(__xludf.DUMMYFUNCTION("""COMPUTED_VALUE"""),4.0)</f>
        <v>4</v>
      </c>
      <c r="O232" s="69" t="str">
        <f t="shared" si="3"/>
        <v/>
      </c>
      <c r="P232" s="471">
        <f>IFERROR(__xludf.DUMMYFUNCTION("""COMPUTED_VALUE"""),0.0)</f>
        <v>0</v>
      </c>
      <c r="Q232" s="274" t="str">
        <f>VLOOKUP($B232,'Run Reconcile'!B$2:O2488,14,FALSE)</f>
        <v/>
      </c>
      <c r="R232" s="472" t="str">
        <f t="array" ref="R232">IF($Q232, INDEX('Run Reconcile'!A$2:A2488,MATCH(B232,'Run Reconcile'!B$2:B2488,0),1),IFERROR(0/0,""))</f>
        <v/>
      </c>
      <c r="S232" s="473" t="str">
        <f t="shared" ref="S232:T232" si="468">IF(COUNTIF(W$2:W2488, $A232) &gt; 0,TRUE,IFERROR(0/0,""))</f>
        <v/>
      </c>
      <c r="T232" s="473" t="str">
        <f t="shared" si="468"/>
        <v/>
      </c>
      <c r="U232" s="275" t="str">
        <f t="array" ref="U232">IF(ISBLANK($R232), INDEX('Run Reconcile'!A$2:A2488, MATCH($B232, 'Run Reconcile'!B$2:B2488, 0)+Z232, 1), IFERROR(0/0,""))
</f>
        <v>RUN-FLMP_2021-12-07_RFR-011</v>
      </c>
      <c r="V232" s="474" t="str">
        <f t="shared" si="5"/>
        <v>RUN-FLMP_2021-12-07_RFR-011</v>
      </c>
      <c r="Y232" s="89" t="str">
        <f t="shared" si="6"/>
        <v/>
      </c>
      <c r="Z232" s="60" t="str">
        <f t="shared" si="7"/>
        <v/>
      </c>
      <c r="AA232" s="60" t="str">
        <f t="shared" si="8"/>
        <v/>
      </c>
      <c r="AB232" s="60" t="str">
        <f t="shared" si="9"/>
        <v/>
      </c>
      <c r="AC232" s="30" t="str">
        <f t="shared" ref="AC232:AD232" si="469">IF(_xlfn.ISFORMULA(S232),IFERROR(0/0,""),TRUE)</f>
        <v/>
      </c>
      <c r="AD232" s="30" t="str">
        <f t="shared" si="469"/>
        <v/>
      </c>
      <c r="AE232" s="475" t="str">
        <f>IFERROR(__xludf.DUMMYFUNCTION("""COMPUTED_VALUE"""),"FLSP")</f>
        <v>FLSP</v>
      </c>
      <c r="AF232" s="476"/>
      <c r="AG232" s="474" t="s">
        <v>112</v>
      </c>
      <c r="AH232" s="138" t="str">
        <f t="shared" si="11"/>
        <v/>
      </c>
    </row>
    <row r="233">
      <c r="A233" s="103" t="str">
        <f>IFERROR(__xludf.DUMMYFUNCTION("""COMPUTED_VALUE"""),"FLT15")</f>
        <v>FLT15</v>
      </c>
      <c r="B233" s="468">
        <f>IFERROR(__xludf.DUMMYFUNCTION("""COMPUTED_VALUE"""),44537.0)</f>
        <v>44537</v>
      </c>
      <c r="C233" s="469">
        <f>IFERROR(__xludf.DUMMYFUNCTION("""COMPUTED_VALUE"""),0.3421180555555556)</f>
        <v>0.3421180556</v>
      </c>
      <c r="D233" s="103" t="str">
        <f>IFERROR(__xludf.DUMMYFUNCTION("""COMPUTED_VALUE"""),"SpFLMP965392")</f>
        <v>SpFLMP965392</v>
      </c>
      <c r="E233" s="103"/>
      <c r="F233" s="103"/>
      <c r="G233" s="103" t="str">
        <f>IFERROR(__xludf.DUMMYFUNCTION("""COMPUTED_VALUE"""),"Negative")</f>
        <v>Negative</v>
      </c>
      <c r="H233" s="131" t="str">
        <f>IFERROR(__xludf.DUMMYFUNCTION("""COMPUTED_VALUE"""),"Negative")</f>
        <v>Negative</v>
      </c>
      <c r="I233" s="468">
        <f>IFERROR(__xludf.DUMMYFUNCTION("""COMPUTED_VALUE"""),44537.0)</f>
        <v>44537</v>
      </c>
      <c r="J233" s="470">
        <f>IFERROR(__xludf.DUMMYFUNCTION("""COMPUTED_VALUE"""),0.4251388888888889)</f>
        <v>0.4251388889</v>
      </c>
      <c r="K233" s="16"/>
      <c r="L233" s="8"/>
      <c r="M233" s="69"/>
      <c r="N233" s="69">
        <f>IFERROR(__xludf.DUMMYFUNCTION("""COMPUTED_VALUE"""),3.0)</f>
        <v>3</v>
      </c>
      <c r="O233" s="69" t="str">
        <f t="shared" si="3"/>
        <v/>
      </c>
      <c r="P233" s="471">
        <f>IFERROR(__xludf.DUMMYFUNCTION("""COMPUTED_VALUE"""),0.0)</f>
        <v>0</v>
      </c>
      <c r="Q233" s="274" t="str">
        <f>VLOOKUP($B233,'Run Reconcile'!B$2:O2488,14,FALSE)</f>
        <v/>
      </c>
      <c r="R233" s="472" t="str">
        <f t="array" ref="R233">IF($Q233, INDEX('Run Reconcile'!A$2:A2488,MATCH(B233,'Run Reconcile'!B$2:B2488,0),1),IFERROR(0/0,""))</f>
        <v/>
      </c>
      <c r="S233" s="473" t="str">
        <f t="shared" ref="S233:T233" si="470">IF(COUNTIF(W$2:W2488, $A233) &gt; 0,TRUE,IFERROR(0/0,""))</f>
        <v/>
      </c>
      <c r="T233" s="473" t="str">
        <f t="shared" si="470"/>
        <v/>
      </c>
      <c r="U233" s="275" t="str">
        <f t="array" ref="U233">IF(ISBLANK($R233), INDEX('Run Reconcile'!A$2:A2488, MATCH($B233, 'Run Reconcile'!B$2:B2488, 0)+Z233, 1), IFERROR(0/0,""))
</f>
        <v>RUN-FLMP_2021-12-07_RFR-011</v>
      </c>
      <c r="V233" s="474" t="str">
        <f t="shared" si="5"/>
        <v>RUN-FLMP_2021-12-07_RFR-011</v>
      </c>
      <c r="Y233" s="89" t="str">
        <f t="shared" si="6"/>
        <v/>
      </c>
      <c r="Z233" s="60" t="str">
        <f t="shared" si="7"/>
        <v/>
      </c>
      <c r="AA233" s="60" t="str">
        <f t="shared" si="8"/>
        <v/>
      </c>
      <c r="AB233" s="60" t="str">
        <f t="shared" si="9"/>
        <v/>
      </c>
      <c r="AC233" s="30" t="str">
        <f t="shared" ref="AC233:AD233" si="471">IF(_xlfn.ISFORMULA(S233),IFERROR(0/0,""),TRUE)</f>
        <v/>
      </c>
      <c r="AD233" s="30" t="str">
        <f t="shared" si="471"/>
        <v/>
      </c>
      <c r="AE233" s="475" t="str">
        <f>IFERROR(__xludf.DUMMYFUNCTION("""COMPUTED_VALUE"""),"FLSP")</f>
        <v>FLSP</v>
      </c>
      <c r="AF233" s="476"/>
      <c r="AG233" s="474" t="s">
        <v>112</v>
      </c>
      <c r="AH233" s="138" t="str">
        <f t="shared" si="11"/>
        <v/>
      </c>
    </row>
    <row r="234">
      <c r="A234" s="103" t="str">
        <f>IFERROR(__xludf.DUMMYFUNCTION("""COMPUTED_VALUE"""),"FL11026")</f>
        <v>FL11026</v>
      </c>
      <c r="B234" s="468">
        <f>IFERROR(__xludf.DUMMYFUNCTION("""COMPUTED_VALUE"""),44537.0)</f>
        <v>44537</v>
      </c>
      <c r="C234" s="469">
        <f>IFERROR(__xludf.DUMMYFUNCTION("""COMPUTED_VALUE"""),0.37324074074074076)</f>
        <v>0.3732407407</v>
      </c>
      <c r="D234" s="103" t="str">
        <f>IFERROR(__xludf.DUMMYFUNCTION("""COMPUTED_VALUE"""),"SpFLMP259015")</f>
        <v>SpFLMP259015</v>
      </c>
      <c r="E234" s="103"/>
      <c r="F234" s="103"/>
      <c r="G234" s="103" t="str">
        <f>IFERROR(__xludf.DUMMYFUNCTION("""COMPUTED_VALUE"""),"Negative")</f>
        <v>Negative</v>
      </c>
      <c r="H234" s="131" t="str">
        <f>IFERROR(__xludf.DUMMYFUNCTION("""COMPUTED_VALUE"""),"Negative")</f>
        <v>Negative</v>
      </c>
      <c r="I234" s="468">
        <f>IFERROR(__xludf.DUMMYFUNCTION("""COMPUTED_VALUE"""),44537.0)</f>
        <v>44537</v>
      </c>
      <c r="J234" s="470">
        <f>IFERROR(__xludf.DUMMYFUNCTION("""COMPUTED_VALUE"""),0.4251388888888889)</f>
        <v>0.4251388889</v>
      </c>
      <c r="K234" s="16"/>
      <c r="L234" s="8"/>
      <c r="M234" s="69"/>
      <c r="N234" s="69">
        <f>IFERROR(__xludf.DUMMYFUNCTION("""COMPUTED_VALUE"""),2.0)</f>
        <v>2</v>
      </c>
      <c r="O234" s="69" t="str">
        <f t="shared" si="3"/>
        <v/>
      </c>
      <c r="P234" s="471">
        <f>IFERROR(__xludf.DUMMYFUNCTION("""COMPUTED_VALUE"""),0.0)</f>
        <v>0</v>
      </c>
      <c r="Q234" s="274" t="str">
        <f>VLOOKUP($B234,'Run Reconcile'!B$2:O2488,14,FALSE)</f>
        <v/>
      </c>
      <c r="R234" s="472" t="str">
        <f t="array" ref="R234">IF($Q234, INDEX('Run Reconcile'!A$2:A2488,MATCH(B234,'Run Reconcile'!B$2:B2488,0),1),IFERROR(0/0,""))</f>
        <v/>
      </c>
      <c r="S234" s="473" t="str">
        <f t="shared" ref="S234:T234" si="472">IF(COUNTIF(W$2:W2488, $A234) &gt; 0,TRUE,IFERROR(0/0,""))</f>
        <v/>
      </c>
      <c r="T234" s="473" t="str">
        <f t="shared" si="472"/>
        <v/>
      </c>
      <c r="U234" s="275" t="str">
        <f t="array" ref="U234">IF(ISBLANK($R234), INDEX('Run Reconcile'!A$2:A2488, MATCH($B234, 'Run Reconcile'!B$2:B2488, 0)+Z234, 1), IFERROR(0/0,""))
</f>
        <v>RUN-FLMP_2021-12-07_RFR-011</v>
      </c>
      <c r="V234" s="474" t="str">
        <f t="shared" si="5"/>
        <v>RUN-FLMP_2021-12-07_RFR-011</v>
      </c>
      <c r="Y234" s="89" t="str">
        <f t="shared" si="6"/>
        <v/>
      </c>
      <c r="Z234" s="60" t="str">
        <f t="shared" si="7"/>
        <v/>
      </c>
      <c r="AA234" s="60" t="str">
        <f t="shared" si="8"/>
        <v/>
      </c>
      <c r="AB234" s="60" t="str">
        <f t="shared" si="9"/>
        <v/>
      </c>
      <c r="AC234" s="30" t="str">
        <f t="shared" ref="AC234:AD234" si="473">IF(_xlfn.ISFORMULA(S234),IFERROR(0/0,""),TRUE)</f>
        <v/>
      </c>
      <c r="AD234" s="30" t="str">
        <f t="shared" si="473"/>
        <v/>
      </c>
      <c r="AE234" s="475" t="str">
        <f>IFERROR(__xludf.DUMMYFUNCTION("""COMPUTED_VALUE"""),"FLSP")</f>
        <v>FLSP</v>
      </c>
      <c r="AF234" s="476"/>
      <c r="AG234" s="474" t="s">
        <v>112</v>
      </c>
      <c r="AH234" s="138" t="str">
        <f t="shared" si="11"/>
        <v/>
      </c>
    </row>
    <row r="235">
      <c r="A235" s="103" t="str">
        <f>IFERROR(__xludf.DUMMYFUNCTION("""COMPUTED_VALUE"""),"FLT1138")</f>
        <v>FLT1138</v>
      </c>
      <c r="B235" s="468">
        <f>IFERROR(__xludf.DUMMYFUNCTION("""COMPUTED_VALUE"""),44539.0)</f>
        <v>44539</v>
      </c>
      <c r="C235" s="469">
        <f>IFERROR(__xludf.DUMMYFUNCTION("""COMPUTED_VALUE"""),0.3669560185185185)</f>
        <v>0.3669560185</v>
      </c>
      <c r="D235" s="103" t="str">
        <f>IFERROR(__xludf.DUMMYFUNCTION("""COMPUTED_VALUE"""),"SpFLMP496039")</f>
        <v>SpFLMP496039</v>
      </c>
      <c r="E235" s="103"/>
      <c r="F235" s="103"/>
      <c r="G235" s="103" t="str">
        <f>IFERROR(__xludf.DUMMYFUNCTION("""COMPUTED_VALUE"""),"Negative")</f>
        <v>Negative</v>
      </c>
      <c r="H235" s="131" t="str">
        <f>IFERROR(__xludf.DUMMYFUNCTION("""COMPUTED_VALUE"""),"Negative")</f>
        <v>Negative</v>
      </c>
      <c r="I235" s="468">
        <f>IFERROR(__xludf.DUMMYFUNCTION("""COMPUTED_VALUE"""),44539.0)</f>
        <v>44539</v>
      </c>
      <c r="J235" s="470">
        <f>IFERROR(__xludf.DUMMYFUNCTION("""COMPUTED_VALUE"""),0.415)</f>
        <v>0.415</v>
      </c>
      <c r="K235" s="16"/>
      <c r="L235" s="8"/>
      <c r="M235" s="69"/>
      <c r="N235" s="69">
        <f>IFERROR(__xludf.DUMMYFUNCTION("""COMPUTED_VALUE"""),1.0)</f>
        <v>1</v>
      </c>
      <c r="O235" s="69" t="b">
        <f t="shared" si="3"/>
        <v>1</v>
      </c>
      <c r="P235" s="471">
        <f>IFERROR(__xludf.DUMMYFUNCTION("""COMPUTED_VALUE"""),0.0)</f>
        <v>0</v>
      </c>
      <c r="Q235" s="274" t="str">
        <f>VLOOKUP($B235,'Run Reconcile'!B$2:O2488,14,FALSE)</f>
        <v/>
      </c>
      <c r="R235" s="472" t="str">
        <f t="array" ref="R235">IF($Q235, INDEX('Run Reconcile'!A$2:A2488,MATCH(B235,'Run Reconcile'!B$2:B2488,0),1),IFERROR(0/0,""))</f>
        <v/>
      </c>
      <c r="S235" s="473" t="str">
        <f t="shared" ref="S235:T235" si="474">IF(COUNTIF(W$2:W2488, $A235) &gt; 0,TRUE,IFERROR(0/0,""))</f>
        <v/>
      </c>
      <c r="T235" s="473" t="str">
        <f t="shared" si="474"/>
        <v/>
      </c>
      <c r="U235" s="275" t="str">
        <f t="array" ref="U235">IF(ISBLANK($R235), INDEX('Run Reconcile'!A$2:A2488, MATCH($B235, 'Run Reconcile'!B$2:B2488, 0)+Z235, 1), IFERROR(0/0,""))
</f>
        <v>RUN-FLMP_2021-12-09_RFR-012</v>
      </c>
      <c r="V235" s="474" t="str">
        <f t="shared" si="5"/>
        <v>RUN-FLMP_2021-12-09_RFR-012</v>
      </c>
      <c r="Y235" s="89" t="str">
        <f t="shared" si="6"/>
        <v/>
      </c>
      <c r="Z235" s="60" t="str">
        <f t="shared" si="7"/>
        <v/>
      </c>
      <c r="AA235" s="60" t="str">
        <f t="shared" si="8"/>
        <v/>
      </c>
      <c r="AB235" s="60" t="str">
        <f t="shared" si="9"/>
        <v/>
      </c>
      <c r="AC235" s="30" t="str">
        <f t="shared" ref="AC235:AD235" si="475">IF(_xlfn.ISFORMULA(S235),IFERROR(0/0,""),TRUE)</f>
        <v/>
      </c>
      <c r="AD235" s="30" t="str">
        <f t="shared" si="475"/>
        <v/>
      </c>
      <c r="AE235" s="475" t="str">
        <f>IFERROR(__xludf.DUMMYFUNCTION("""COMPUTED_VALUE"""),"FLSP")</f>
        <v>FLSP</v>
      </c>
      <c r="AF235" s="476"/>
      <c r="AG235" s="474" t="s">
        <v>113</v>
      </c>
      <c r="AH235" s="138" t="str">
        <f t="shared" si="11"/>
        <v/>
      </c>
    </row>
    <row r="236">
      <c r="A236" s="103" t="str">
        <f>IFERROR(__xludf.DUMMYFUNCTION("""COMPUTED_VALUE"""),"FLT1473")</f>
        <v>FLT1473</v>
      </c>
      <c r="B236" s="468">
        <f>IFERROR(__xludf.DUMMYFUNCTION("""COMPUTED_VALUE"""),44539.0)</f>
        <v>44539</v>
      </c>
      <c r="C236" s="469">
        <f>IFERROR(__xludf.DUMMYFUNCTION("""COMPUTED_VALUE"""),0.3726157407407407)</f>
        <v>0.3726157407</v>
      </c>
      <c r="D236" s="103" t="str">
        <f>IFERROR(__xludf.DUMMYFUNCTION("""COMPUTED_VALUE"""),"SpFLMP659315")</f>
        <v>SpFLMP659315</v>
      </c>
      <c r="E236" s="103"/>
      <c r="F236" s="103"/>
      <c r="G236" s="103" t="str">
        <f>IFERROR(__xludf.DUMMYFUNCTION("""COMPUTED_VALUE"""),"Negative")</f>
        <v>Negative</v>
      </c>
      <c r="H236" s="131" t="str">
        <f>IFERROR(__xludf.DUMMYFUNCTION("""COMPUTED_VALUE"""),"Negative")</f>
        <v>Negative</v>
      </c>
      <c r="I236" s="468">
        <f>IFERROR(__xludf.DUMMYFUNCTION("""COMPUTED_VALUE"""),44539.0)</f>
        <v>44539</v>
      </c>
      <c r="J236" s="470">
        <f>IFERROR(__xludf.DUMMYFUNCTION("""COMPUTED_VALUE"""),0.415)</f>
        <v>0.415</v>
      </c>
      <c r="K236" s="16"/>
      <c r="L236" s="8"/>
      <c r="M236" s="69"/>
      <c r="N236" s="69">
        <f>IFERROR(__xludf.DUMMYFUNCTION("""COMPUTED_VALUE"""),4.0)</f>
        <v>4</v>
      </c>
      <c r="O236" s="69" t="str">
        <f t="shared" si="3"/>
        <v/>
      </c>
      <c r="P236" s="471">
        <f>IFERROR(__xludf.DUMMYFUNCTION("""COMPUTED_VALUE"""),0.0)</f>
        <v>0</v>
      </c>
      <c r="Q236" s="274" t="str">
        <f>VLOOKUP($B236,'Run Reconcile'!B$2:O2488,14,FALSE)</f>
        <v/>
      </c>
      <c r="R236" s="472" t="str">
        <f t="array" ref="R236">IF($Q236, INDEX('Run Reconcile'!A$2:A2488,MATCH(B236,'Run Reconcile'!B$2:B2488,0),1),IFERROR(0/0,""))</f>
        <v/>
      </c>
      <c r="S236" s="473" t="str">
        <f t="shared" ref="S236:T236" si="476">IF(COUNTIF(W$2:W2488, $A236) &gt; 0,TRUE,IFERROR(0/0,""))</f>
        <v/>
      </c>
      <c r="T236" s="473" t="str">
        <f t="shared" si="476"/>
        <v/>
      </c>
      <c r="U236" s="275" t="str">
        <f t="array" ref="U236">IF(ISBLANK($R236), INDEX('Run Reconcile'!A$2:A2488, MATCH($B236, 'Run Reconcile'!B$2:B2488, 0)+Z236, 1), IFERROR(0/0,""))
</f>
        <v>RUN-FLMP_2021-12-09_RFR-012</v>
      </c>
      <c r="V236" s="474" t="str">
        <f t="shared" si="5"/>
        <v>RUN-FLMP_2021-12-09_RFR-012</v>
      </c>
      <c r="Y236" s="89" t="str">
        <f t="shared" si="6"/>
        <v/>
      </c>
      <c r="Z236" s="60" t="str">
        <f t="shared" si="7"/>
        <v/>
      </c>
      <c r="AA236" s="60" t="str">
        <f t="shared" si="8"/>
        <v/>
      </c>
      <c r="AB236" s="60" t="str">
        <f t="shared" si="9"/>
        <v/>
      </c>
      <c r="AC236" s="30" t="str">
        <f t="shared" ref="AC236:AD236" si="477">IF(_xlfn.ISFORMULA(S236),IFERROR(0/0,""),TRUE)</f>
        <v/>
      </c>
      <c r="AD236" s="30" t="str">
        <f t="shared" si="477"/>
        <v/>
      </c>
      <c r="AE236" s="475" t="str">
        <f>IFERROR(__xludf.DUMMYFUNCTION("""COMPUTED_VALUE"""),"FLSP")</f>
        <v>FLSP</v>
      </c>
      <c r="AF236" s="476"/>
      <c r="AG236" s="474" t="s">
        <v>113</v>
      </c>
      <c r="AH236" s="138" t="str">
        <f t="shared" si="11"/>
        <v/>
      </c>
    </row>
    <row r="237">
      <c r="A237" s="103" t="str">
        <f>IFERROR(__xludf.DUMMYFUNCTION("""COMPUTED_VALUE"""),"FLT1457")</f>
        <v>FLT1457</v>
      </c>
      <c r="B237" s="468">
        <f>IFERROR(__xludf.DUMMYFUNCTION("""COMPUTED_VALUE"""),44540.0)</f>
        <v>44540</v>
      </c>
      <c r="C237" s="469">
        <f>IFERROR(__xludf.DUMMYFUNCTION("""COMPUTED_VALUE"""),0.3807175925925926)</f>
        <v>0.3807175926</v>
      </c>
      <c r="D237" s="103" t="str">
        <f>IFERROR(__xludf.DUMMYFUNCTION("""COMPUTED_VALUE"""),"SpFLMP496039")</f>
        <v>SpFLMP496039</v>
      </c>
      <c r="E237" s="103"/>
      <c r="F237" s="103"/>
      <c r="G237" s="103" t="str">
        <f>IFERROR(__xludf.DUMMYFUNCTION("""COMPUTED_VALUE"""),"Negative")</f>
        <v>Negative</v>
      </c>
      <c r="H237" s="131" t="str">
        <f>IFERROR(__xludf.DUMMYFUNCTION("""COMPUTED_VALUE"""),"Negative")</f>
        <v>Negative</v>
      </c>
      <c r="I237" s="468">
        <f>IFERROR(__xludf.DUMMYFUNCTION("""COMPUTED_VALUE"""),44541.0)</f>
        <v>44541</v>
      </c>
      <c r="J237" s="470">
        <f>IFERROR(__xludf.DUMMYFUNCTION("""COMPUTED_VALUE"""),0.3693402777777778)</f>
        <v>0.3693402778</v>
      </c>
      <c r="K237" s="16"/>
      <c r="L237" s="8" t="str">
        <f>IFERROR(__xludf.DUMMYFUNCTION("""COMPUTED_VALUE"""),"name email fix")</f>
        <v>name email fix</v>
      </c>
      <c r="M237" s="69"/>
      <c r="N237" s="69">
        <f>IFERROR(__xludf.DUMMYFUNCTION("""COMPUTED_VALUE"""),1.0)</f>
        <v>1</v>
      </c>
      <c r="O237" s="69" t="b">
        <f t="shared" si="3"/>
        <v>1</v>
      </c>
      <c r="P237" s="471">
        <f>IFERROR(__xludf.DUMMYFUNCTION("""COMPUTED_VALUE"""),1.0)</f>
        <v>1</v>
      </c>
      <c r="Q237" s="274" t="b">
        <f>VLOOKUP($B237,'Run Reconcile'!B$2:O2488,14,FALSE)</f>
        <v>1</v>
      </c>
      <c r="R237" s="472" t="str">
        <f t="array" ref="R237">IF($Q237, INDEX('Run Reconcile'!A$2:A2488,MATCH(B237,'Run Reconcile'!B$2:B2488,0),1),IFERROR(0/0,""))</f>
        <v>RUN-FLMP_2021-12-10_RFR-013</v>
      </c>
      <c r="S237" s="473" t="str">
        <f t="shared" ref="S237:T237" si="478">IF(COUNTIF(W$2:W2488, $A237) &gt; 0,TRUE,IFERROR(0/0,""))</f>
        <v/>
      </c>
      <c r="T237" s="473" t="str">
        <f t="shared" si="478"/>
        <v/>
      </c>
      <c r="U237" s="275" t="str">
        <f t="array" ref="U237">IF(ISBLANK($R237), INDEX('Run Reconcile'!A$2:A2488, MATCH($B237, 'Run Reconcile'!B$2:B2488, 0)+Z237, 1), IFERROR(0/0,""))
</f>
        <v/>
      </c>
      <c r="V237" s="474" t="str">
        <f t="shared" si="5"/>
        <v>RUN-FLMP_2021-12-10_RFR-013</v>
      </c>
      <c r="Y237" s="89" t="str">
        <f t="shared" si="6"/>
        <v/>
      </c>
      <c r="Z237" s="60" t="str">
        <f t="shared" si="7"/>
        <v/>
      </c>
      <c r="AA237" s="60" t="str">
        <f t="shared" si="8"/>
        <v/>
      </c>
      <c r="AB237" s="60" t="str">
        <f t="shared" si="9"/>
        <v/>
      </c>
      <c r="AC237" s="30" t="str">
        <f t="shared" ref="AC237:AD237" si="479">IF(_xlfn.ISFORMULA(S237),IFERROR(0/0,""),TRUE)</f>
        <v/>
      </c>
      <c r="AD237" s="30" t="str">
        <f t="shared" si="479"/>
        <v/>
      </c>
      <c r="AE237" s="475" t="str">
        <f>IFERROR(__xludf.DUMMYFUNCTION("""COMPUTED_VALUE"""),"FLSP")</f>
        <v>FLSP</v>
      </c>
      <c r="AF237" s="476"/>
      <c r="AG237" s="474" t="s">
        <v>114</v>
      </c>
      <c r="AH237" s="138" t="str">
        <f t="shared" si="11"/>
        <v/>
      </c>
    </row>
    <row r="238">
      <c r="A238" s="103" t="str">
        <f>IFERROR(__xludf.DUMMYFUNCTION("""COMPUTED_VALUE"""),"FLT16")</f>
        <v>FLT16</v>
      </c>
      <c r="B238" s="468">
        <f>IFERROR(__xludf.DUMMYFUNCTION("""COMPUTED_VALUE"""),44540.0)</f>
        <v>44540</v>
      </c>
      <c r="C238" s="469">
        <f>IFERROR(__xludf.DUMMYFUNCTION("""COMPUTED_VALUE"""),0.38104166666666667)</f>
        <v>0.3810416667</v>
      </c>
      <c r="D238" s="103" t="str">
        <f>IFERROR(__xludf.DUMMYFUNCTION("""COMPUTED_VALUE"""),"SpFLMP496039")</f>
        <v>SpFLMP496039</v>
      </c>
      <c r="E238" s="103"/>
      <c r="F238" s="103"/>
      <c r="G238" s="103" t="str">
        <f>IFERROR(__xludf.DUMMYFUNCTION("""COMPUTED_VALUE"""),"Negative")</f>
        <v>Negative</v>
      </c>
      <c r="H238" s="131" t="str">
        <f>IFERROR(__xludf.DUMMYFUNCTION("""COMPUTED_VALUE"""),"Negative")</f>
        <v>Negative</v>
      </c>
      <c r="I238" s="468">
        <f>IFERROR(__xludf.DUMMYFUNCTION("""COMPUTED_VALUE"""),44541.0)</f>
        <v>44541</v>
      </c>
      <c r="J238" s="470">
        <f>IFERROR(__xludf.DUMMYFUNCTION("""COMPUTED_VALUE"""),0.3693402777777778)</f>
        <v>0.3693402778</v>
      </c>
      <c r="K238" s="16"/>
      <c r="L238" s="8"/>
      <c r="M238" s="69"/>
      <c r="N238" s="69">
        <f>IFERROR(__xludf.DUMMYFUNCTION("""COMPUTED_VALUE"""),1.0)</f>
        <v>1</v>
      </c>
      <c r="O238" s="69" t="str">
        <f t="shared" si="3"/>
        <v/>
      </c>
      <c r="P238" s="471">
        <f>IFERROR(__xludf.DUMMYFUNCTION("""COMPUTED_VALUE"""),1.0)</f>
        <v>1</v>
      </c>
      <c r="Q238" s="274" t="b">
        <f>VLOOKUP($B238,'Run Reconcile'!B$2:O2488,14,FALSE)</f>
        <v>1</v>
      </c>
      <c r="R238" s="472" t="str">
        <f t="array" ref="R238">IF($Q238, INDEX('Run Reconcile'!A$2:A2488,MATCH(B238,'Run Reconcile'!B$2:B2488,0),1),IFERROR(0/0,""))</f>
        <v>RUN-FLMP_2021-12-10_RFR-013</v>
      </c>
      <c r="S238" s="473" t="str">
        <f t="shared" ref="S238:T238" si="480">IF(COUNTIF(W$2:W2488, $A238) &gt; 0,TRUE,IFERROR(0/0,""))</f>
        <v/>
      </c>
      <c r="T238" s="473" t="str">
        <f t="shared" si="480"/>
        <v/>
      </c>
      <c r="U238" s="275" t="str">
        <f t="array" ref="U238">IF(ISBLANK($R238), INDEX('Run Reconcile'!A$2:A2488, MATCH($B238, 'Run Reconcile'!B$2:B2488, 0)+Z238, 1), IFERROR(0/0,""))
</f>
        <v/>
      </c>
      <c r="V238" s="474" t="str">
        <f t="shared" si="5"/>
        <v>RUN-FLMP_2021-12-10_RFR-013</v>
      </c>
      <c r="Y238" s="89" t="str">
        <f t="shared" si="6"/>
        <v/>
      </c>
      <c r="Z238" s="60" t="str">
        <f t="shared" si="7"/>
        <v/>
      </c>
      <c r="AA238" s="60" t="str">
        <f t="shared" si="8"/>
        <v/>
      </c>
      <c r="AB238" s="60" t="str">
        <f t="shared" si="9"/>
        <v/>
      </c>
      <c r="AC238" s="30" t="str">
        <f t="shared" ref="AC238:AD238" si="481">IF(_xlfn.ISFORMULA(S238),IFERROR(0/0,""),TRUE)</f>
        <v/>
      </c>
      <c r="AD238" s="30" t="str">
        <f t="shared" si="481"/>
        <v/>
      </c>
      <c r="AE238" s="475" t="str">
        <f>IFERROR(__xludf.DUMMYFUNCTION("""COMPUTED_VALUE"""),"FLSP")</f>
        <v>FLSP</v>
      </c>
      <c r="AF238" s="476"/>
      <c r="AG238" s="474" t="s">
        <v>114</v>
      </c>
      <c r="AH238" s="138" t="str">
        <f t="shared" si="11"/>
        <v/>
      </c>
    </row>
    <row r="239">
      <c r="A239" s="103" t="str">
        <f>IFERROR(__xludf.DUMMYFUNCTION("""COMPUTED_VALUE"""),"FLT137")</f>
        <v>FLT137</v>
      </c>
      <c r="B239" s="468">
        <f>IFERROR(__xludf.DUMMYFUNCTION("""COMPUTED_VALUE"""),44540.0)</f>
        <v>44540</v>
      </c>
      <c r="C239" s="469">
        <f>IFERROR(__xludf.DUMMYFUNCTION("""COMPUTED_VALUE"""),0.3818634259259259)</f>
        <v>0.3818634259</v>
      </c>
      <c r="D239" s="103" t="str">
        <f>IFERROR(__xludf.DUMMYFUNCTION("""COMPUTED_VALUE"""),"SpFLMP496039")</f>
        <v>SpFLMP496039</v>
      </c>
      <c r="E239" s="103"/>
      <c r="F239" s="103"/>
      <c r="G239" s="103" t="str">
        <f>IFERROR(__xludf.DUMMYFUNCTION("""COMPUTED_VALUE"""),"Negative")</f>
        <v>Negative</v>
      </c>
      <c r="H239" s="131" t="str">
        <f>IFERROR(__xludf.DUMMYFUNCTION("""COMPUTED_VALUE"""),"Negative")</f>
        <v>Negative</v>
      </c>
      <c r="I239" s="468">
        <f>IFERROR(__xludf.DUMMYFUNCTION("""COMPUTED_VALUE"""),44541.0)</f>
        <v>44541</v>
      </c>
      <c r="J239" s="470">
        <f>IFERROR(__xludf.DUMMYFUNCTION("""COMPUTED_VALUE"""),0.3693402777777778)</f>
        <v>0.3693402778</v>
      </c>
      <c r="K239" s="16"/>
      <c r="L239" s="8"/>
      <c r="M239" s="69"/>
      <c r="N239" s="69">
        <f>IFERROR(__xludf.DUMMYFUNCTION("""COMPUTED_VALUE"""),1.0)</f>
        <v>1</v>
      </c>
      <c r="O239" s="69" t="str">
        <f t="shared" si="3"/>
        <v/>
      </c>
      <c r="P239" s="471">
        <f>IFERROR(__xludf.DUMMYFUNCTION("""COMPUTED_VALUE"""),1.0)</f>
        <v>1</v>
      </c>
      <c r="Q239" s="274" t="b">
        <f>VLOOKUP($B239,'Run Reconcile'!B$2:O2488,14,FALSE)</f>
        <v>1</v>
      </c>
      <c r="R239" s="472" t="str">
        <f t="array" ref="R239">IF($Q239, INDEX('Run Reconcile'!A$2:A2488,MATCH(B239,'Run Reconcile'!B$2:B2488,0),1),IFERROR(0/0,""))</f>
        <v>RUN-FLMP_2021-12-10_RFR-013</v>
      </c>
      <c r="S239" s="473" t="str">
        <f t="shared" ref="S239:T239" si="482">IF(COUNTIF(W$2:W2488, $A239) &gt; 0,TRUE,IFERROR(0/0,""))</f>
        <v/>
      </c>
      <c r="T239" s="473" t="str">
        <f t="shared" si="482"/>
        <v/>
      </c>
      <c r="U239" s="275" t="str">
        <f t="array" ref="U239">IF(ISBLANK($R239), INDEX('Run Reconcile'!A$2:A2488, MATCH($B239, 'Run Reconcile'!B$2:B2488, 0)+Z239, 1), IFERROR(0/0,""))
</f>
        <v/>
      </c>
      <c r="V239" s="474" t="str">
        <f t="shared" si="5"/>
        <v>RUN-FLMP_2021-12-10_RFR-013</v>
      </c>
      <c r="Y239" s="89" t="str">
        <f t="shared" si="6"/>
        <v/>
      </c>
      <c r="Z239" s="60" t="str">
        <f t="shared" si="7"/>
        <v/>
      </c>
      <c r="AA239" s="60" t="str">
        <f t="shared" si="8"/>
        <v/>
      </c>
      <c r="AB239" s="60" t="str">
        <f t="shared" si="9"/>
        <v/>
      </c>
      <c r="AC239" s="30" t="str">
        <f t="shared" ref="AC239:AD239" si="483">IF(_xlfn.ISFORMULA(S239),IFERROR(0/0,""),TRUE)</f>
        <v/>
      </c>
      <c r="AD239" s="30" t="str">
        <f t="shared" si="483"/>
        <v/>
      </c>
      <c r="AE239" s="475" t="str">
        <f>IFERROR(__xludf.DUMMYFUNCTION("""COMPUTED_VALUE"""),"FLSP")</f>
        <v>FLSP</v>
      </c>
      <c r="AF239" s="476"/>
      <c r="AG239" s="474" t="s">
        <v>114</v>
      </c>
      <c r="AH239" s="138" t="str">
        <f t="shared" si="11"/>
        <v/>
      </c>
    </row>
    <row r="240">
      <c r="A240" s="103" t="str">
        <f>IFERROR(__xludf.DUMMYFUNCTION("""COMPUTED_VALUE"""),"MA1380")</f>
        <v>MA1380</v>
      </c>
      <c r="B240" s="468">
        <f>IFERROR(__xludf.DUMMYFUNCTION("""COMPUTED_VALUE"""),44541.0)</f>
        <v>44541</v>
      </c>
      <c r="C240" s="469">
        <f>IFERROR(__xludf.DUMMYFUNCTION("""COMPUTED_VALUE"""),0.3905324074074074)</f>
        <v>0.3905324074</v>
      </c>
      <c r="D240" s="103" t="str">
        <f>IFERROR(__xludf.DUMMYFUNCTION("""COMPUTED_VALUE"""),"SpFLMP659315")</f>
        <v>SpFLMP659315</v>
      </c>
      <c r="E240" s="103"/>
      <c r="F240" s="103"/>
      <c r="G240" s="103" t="str">
        <f>IFERROR(__xludf.DUMMYFUNCTION("""COMPUTED_VALUE"""),"Negative")</f>
        <v>Negative</v>
      </c>
      <c r="H240" s="131" t="str">
        <f>IFERROR(__xludf.DUMMYFUNCTION("""COMPUTED_VALUE"""),"Negative")</f>
        <v>Negative</v>
      </c>
      <c r="I240" s="468">
        <f>IFERROR(__xludf.DUMMYFUNCTION("""COMPUTED_VALUE"""),44543.0)</f>
        <v>44543</v>
      </c>
      <c r="J240" s="470">
        <f>IFERROR(__xludf.DUMMYFUNCTION("""COMPUTED_VALUE"""),0.43622685185185184)</f>
        <v>0.4362268519</v>
      </c>
      <c r="K240" s="16"/>
      <c r="L240" s="8"/>
      <c r="M240" s="69"/>
      <c r="N240" s="69">
        <f>IFERROR(__xludf.DUMMYFUNCTION("""COMPUTED_VALUE"""),4.0)</f>
        <v>4</v>
      </c>
      <c r="O240" s="69" t="b">
        <f t="shared" si="3"/>
        <v>1</v>
      </c>
      <c r="P240" s="471">
        <f>IFERROR(__xludf.DUMMYFUNCTION("""COMPUTED_VALUE"""),2.0)</f>
        <v>2</v>
      </c>
      <c r="Q240" s="274" t="b">
        <f>VLOOKUP($B240,'Run Reconcile'!B$2:O2488,14,FALSE)</f>
        <v>1</v>
      </c>
      <c r="R240" s="472" t="str">
        <f t="array" ref="R240">IF($Q240, INDEX('Run Reconcile'!A$2:A2488,MATCH(B240,'Run Reconcile'!B$2:B2488,0),1),IFERROR(0/0,""))</f>
        <v>RUN-FLMP_2021-12-11_RFR-015</v>
      </c>
      <c r="S240" s="473" t="str">
        <f t="shared" ref="S240:T240" si="484">IF(COUNTIF(W$2:W2488, $A240) &gt; 0,TRUE,IFERROR(0/0,""))</f>
        <v/>
      </c>
      <c r="T240" s="473" t="str">
        <f t="shared" si="484"/>
        <v/>
      </c>
      <c r="U240" s="275" t="str">
        <f t="array" ref="U240">IF(ISBLANK($R240), INDEX('Run Reconcile'!A$2:A2488, MATCH($B240, 'Run Reconcile'!B$2:B2488, 0)+Z240, 1), IFERROR(0/0,""))
</f>
        <v/>
      </c>
      <c r="V240" s="474" t="str">
        <f t="shared" si="5"/>
        <v>RUN-FLMP_2021-12-11_RFR-015</v>
      </c>
      <c r="Y240" s="89" t="str">
        <f t="shared" si="6"/>
        <v/>
      </c>
      <c r="Z240" s="60" t="str">
        <f t="shared" si="7"/>
        <v/>
      </c>
      <c r="AA240" s="60" t="str">
        <f t="shared" si="8"/>
        <v/>
      </c>
      <c r="AB240" s="60" t="str">
        <f t="shared" si="9"/>
        <v/>
      </c>
      <c r="AC240" s="30" t="str">
        <f t="shared" ref="AC240:AD240" si="485">IF(_xlfn.ISFORMULA(S240),IFERROR(0/0,""),TRUE)</f>
        <v/>
      </c>
      <c r="AD240" s="30" t="str">
        <f t="shared" si="485"/>
        <v/>
      </c>
      <c r="AE240" s="475" t="str">
        <f>IFERROR(__xludf.DUMMYFUNCTION("""COMPUTED_VALUE"""),"FLSP")</f>
        <v>FLSP</v>
      </c>
      <c r="AF240" s="476"/>
      <c r="AG240" s="474" t="s">
        <v>115</v>
      </c>
      <c r="AH240" s="138" t="str">
        <f t="shared" si="11"/>
        <v/>
      </c>
    </row>
    <row r="241">
      <c r="A241" s="103" t="str">
        <f>IFERROR(__xludf.DUMMYFUNCTION("""COMPUTED_VALUE"""),"MA1329")</f>
        <v>MA1329</v>
      </c>
      <c r="B241" s="468">
        <f>IFERROR(__xludf.DUMMYFUNCTION("""COMPUTED_VALUE"""),44541.0)</f>
        <v>44541</v>
      </c>
      <c r="C241" s="469">
        <f>IFERROR(__xludf.DUMMYFUNCTION("""COMPUTED_VALUE"""),0.46054398148148146)</f>
        <v>0.4605439815</v>
      </c>
      <c r="D241" s="103" t="str">
        <f>IFERROR(__xludf.DUMMYFUNCTION("""COMPUTED_VALUE"""),"SpFLMP120998")</f>
        <v>SpFLMP120998</v>
      </c>
      <c r="E241" s="103"/>
      <c r="F241" s="103"/>
      <c r="G241" s="103" t="str">
        <f>IFERROR(__xludf.DUMMYFUNCTION("""COMPUTED_VALUE"""),"Negative")</f>
        <v>Negative</v>
      </c>
      <c r="H241" s="131" t="str">
        <f>IFERROR(__xludf.DUMMYFUNCTION("""COMPUTED_VALUE"""),"Negative")</f>
        <v>Negative</v>
      </c>
      <c r="I241" s="468">
        <f>IFERROR(__xludf.DUMMYFUNCTION("""COMPUTED_VALUE"""),44543.0)</f>
        <v>44543</v>
      </c>
      <c r="J241" s="470">
        <f>IFERROR(__xludf.DUMMYFUNCTION("""COMPUTED_VALUE"""),0.43622685185185184)</f>
        <v>0.4362268519</v>
      </c>
      <c r="K241" s="16"/>
      <c r="L241" s="8"/>
      <c r="M241" s="69"/>
      <c r="N241" s="69">
        <f>IFERROR(__xludf.DUMMYFUNCTION("""COMPUTED_VALUE"""),1.0)</f>
        <v>1</v>
      </c>
      <c r="O241" s="69" t="str">
        <f t="shared" si="3"/>
        <v/>
      </c>
      <c r="P241" s="471">
        <f>IFERROR(__xludf.DUMMYFUNCTION("""COMPUTED_VALUE"""),2.0)</f>
        <v>2</v>
      </c>
      <c r="Q241" s="274" t="b">
        <f>VLOOKUP($B241,'Run Reconcile'!B$2:O2488,14,FALSE)</f>
        <v>1</v>
      </c>
      <c r="R241" s="472" t="str">
        <f t="array" ref="R241">IF($Q241, INDEX('Run Reconcile'!A$2:A2488,MATCH(B241,'Run Reconcile'!B$2:B2488,0),1),IFERROR(0/0,""))</f>
        <v>RUN-FLMP_2021-12-11_RFR-015</v>
      </c>
      <c r="S241" s="473" t="str">
        <f t="shared" ref="S241:T241" si="486">IF(COUNTIF(W$2:W2488, $A241) &gt; 0,TRUE,IFERROR(0/0,""))</f>
        <v/>
      </c>
      <c r="T241" s="473" t="str">
        <f t="shared" si="486"/>
        <v/>
      </c>
      <c r="U241" s="275" t="str">
        <f t="array" ref="U241">IF(ISBLANK($R241), INDEX('Run Reconcile'!A$2:A2488, MATCH($B241, 'Run Reconcile'!B$2:B2488, 0)+Z241, 1), IFERROR(0/0,""))
</f>
        <v/>
      </c>
      <c r="V241" s="474" t="str">
        <f t="shared" si="5"/>
        <v>RUN-FLMP_2021-12-11_RFR-015</v>
      </c>
      <c r="Y241" s="89" t="str">
        <f t="shared" si="6"/>
        <v/>
      </c>
      <c r="Z241" s="60" t="str">
        <f t="shared" si="7"/>
        <v/>
      </c>
      <c r="AA241" s="60" t="str">
        <f t="shared" si="8"/>
        <v/>
      </c>
      <c r="AB241" s="60" t="str">
        <f t="shared" si="9"/>
        <v/>
      </c>
      <c r="AC241" s="30" t="str">
        <f t="shared" ref="AC241:AD241" si="487">IF(_xlfn.ISFORMULA(S241),IFERROR(0/0,""),TRUE)</f>
        <v/>
      </c>
      <c r="AD241" s="30" t="str">
        <f t="shared" si="487"/>
        <v/>
      </c>
      <c r="AE241" s="475" t="str">
        <f>IFERROR(__xludf.DUMMYFUNCTION("""COMPUTED_VALUE"""),"FLSP")</f>
        <v>FLSP</v>
      </c>
      <c r="AF241" s="476"/>
      <c r="AG241" s="474" t="s">
        <v>115</v>
      </c>
      <c r="AH241" s="138" t="str">
        <f t="shared" si="11"/>
        <v/>
      </c>
    </row>
    <row r="242">
      <c r="A242" s="103" t="str">
        <f>IFERROR(__xludf.DUMMYFUNCTION("""COMPUTED_VALUE"""),"FLB6878")</f>
        <v>FLB6878</v>
      </c>
      <c r="B242" s="468">
        <f>IFERROR(__xludf.DUMMYFUNCTION("""COMPUTED_VALUE"""),44543.0)</f>
        <v>44543</v>
      </c>
      <c r="C242" s="469">
        <f>IFERROR(__xludf.DUMMYFUNCTION("""COMPUTED_VALUE"""),0.32090277777777776)</f>
        <v>0.3209027778</v>
      </c>
      <c r="D242" s="103" t="str">
        <f>IFERROR(__xludf.DUMMYFUNCTION("""COMPUTED_VALUE"""),"SpFLMP683385")</f>
        <v>SpFLMP683385</v>
      </c>
      <c r="E242" s="103"/>
      <c r="F242" s="103"/>
      <c r="G242" s="103" t="str">
        <f>IFERROR(__xludf.DUMMYFUNCTION("""COMPUTED_VALUE"""),"Negative")</f>
        <v>Negative</v>
      </c>
      <c r="H242" s="131" t="str">
        <f>IFERROR(__xludf.DUMMYFUNCTION("""COMPUTED_VALUE"""),"Negative")</f>
        <v>Negative</v>
      </c>
      <c r="I242" s="468">
        <f>IFERROR(__xludf.DUMMYFUNCTION("""COMPUTED_VALUE"""),44543.0)</f>
        <v>44543</v>
      </c>
      <c r="J242" s="470">
        <f>IFERROR(__xludf.DUMMYFUNCTION("""COMPUTED_VALUE"""),0.43604166666666666)</f>
        <v>0.4360416667</v>
      </c>
      <c r="K242" s="16"/>
      <c r="L242" s="8"/>
      <c r="M242" s="69"/>
      <c r="N242" s="69">
        <f>IFERROR(__xludf.DUMMYFUNCTION("""COMPUTED_VALUE"""),4.0)</f>
        <v>4</v>
      </c>
      <c r="O242" s="69" t="b">
        <f t="shared" si="3"/>
        <v>1</v>
      </c>
      <c r="P242" s="471">
        <f>IFERROR(__xludf.DUMMYFUNCTION("""COMPUTED_VALUE"""),0.0)</f>
        <v>0</v>
      </c>
      <c r="Q242" s="274" t="b">
        <f>VLOOKUP($B242,'Run Reconcile'!B$2:O2488,14,FALSE)</f>
        <v>1</v>
      </c>
      <c r="R242" s="472" t="str">
        <f t="array" ref="R242">IF($Q242, INDEX('Run Reconcile'!A$2:A2488,MATCH(B242,'Run Reconcile'!B$2:B2488,0),1),IFERROR(0/0,""))</f>
        <v>RUN-FLMP_2021-12-13_RFR-016</v>
      </c>
      <c r="S242" s="473" t="str">
        <f t="shared" ref="S242:T242" si="488">IF(COUNTIF(W$2:W2488, $A242) &gt; 0,TRUE,IFERROR(0/0,""))</f>
        <v/>
      </c>
      <c r="T242" s="473" t="str">
        <f t="shared" si="488"/>
        <v/>
      </c>
      <c r="U242" s="275" t="str">
        <f t="array" ref="U242">IF(ISBLANK($R242), INDEX('Run Reconcile'!A$2:A2488, MATCH($B242, 'Run Reconcile'!B$2:B2488, 0)+Z242, 1), IFERROR(0/0,""))
</f>
        <v/>
      </c>
      <c r="V242" s="474" t="str">
        <f t="shared" si="5"/>
        <v>RUN-FLMP_2021-12-13_RFR-016</v>
      </c>
      <c r="Y242" s="89" t="str">
        <f t="shared" si="6"/>
        <v/>
      </c>
      <c r="Z242" s="60" t="str">
        <f t="shared" si="7"/>
        <v/>
      </c>
      <c r="AA242" s="60" t="str">
        <f t="shared" si="8"/>
        <v/>
      </c>
      <c r="AB242" s="60" t="str">
        <f t="shared" si="9"/>
        <v/>
      </c>
      <c r="AC242" s="30" t="str">
        <f t="shared" ref="AC242:AD242" si="489">IF(_xlfn.ISFORMULA(S242),IFERROR(0/0,""),TRUE)</f>
        <v/>
      </c>
      <c r="AD242" s="30" t="str">
        <f t="shared" si="489"/>
        <v/>
      </c>
      <c r="AE242" s="475" t="str">
        <f>IFERROR(__xludf.DUMMYFUNCTION("""COMPUTED_VALUE"""),"FLSP")</f>
        <v>FLSP</v>
      </c>
      <c r="AF242" s="476"/>
      <c r="AG242" s="474" t="s">
        <v>116</v>
      </c>
      <c r="AH242" s="138" t="str">
        <f t="shared" si="11"/>
        <v/>
      </c>
    </row>
    <row r="243">
      <c r="A243" s="103" t="str">
        <f>IFERROR(__xludf.DUMMYFUNCTION("""COMPUTED_VALUE"""),"FLT1171")</f>
        <v>FLT1171</v>
      </c>
      <c r="B243" s="468">
        <f>IFERROR(__xludf.DUMMYFUNCTION("""COMPUTED_VALUE"""),44543.0)</f>
        <v>44543</v>
      </c>
      <c r="C243" s="469">
        <f>IFERROR(__xludf.DUMMYFUNCTION("""COMPUTED_VALUE"""),0.36524305555555553)</f>
        <v>0.3652430556</v>
      </c>
      <c r="D243" s="103" t="str">
        <f>IFERROR(__xludf.DUMMYFUNCTION("""COMPUTED_VALUE"""),"SpFLMP684798")</f>
        <v>SpFLMP684798</v>
      </c>
      <c r="E243" s="103"/>
      <c r="F243" s="103"/>
      <c r="G243" s="103" t="str">
        <f>IFERROR(__xludf.DUMMYFUNCTION("""COMPUTED_VALUE"""),"Negative")</f>
        <v>Negative</v>
      </c>
      <c r="H243" s="131" t="str">
        <f>IFERROR(__xludf.DUMMYFUNCTION("""COMPUTED_VALUE"""),"Negative")</f>
        <v>Negative</v>
      </c>
      <c r="I243" s="468">
        <f>IFERROR(__xludf.DUMMYFUNCTION("""COMPUTED_VALUE"""),44543.0)</f>
        <v>44543</v>
      </c>
      <c r="J243" s="470">
        <f>IFERROR(__xludf.DUMMYFUNCTION("""COMPUTED_VALUE"""),0.43604166666666666)</f>
        <v>0.4360416667</v>
      </c>
      <c r="K243" s="16"/>
      <c r="L243" s="8"/>
      <c r="M243" s="69"/>
      <c r="N243" s="69">
        <f>IFERROR(__xludf.DUMMYFUNCTION("""COMPUTED_VALUE"""),3.0)</f>
        <v>3</v>
      </c>
      <c r="O243" s="69" t="str">
        <f t="shared" si="3"/>
        <v/>
      </c>
      <c r="P243" s="471">
        <f>IFERROR(__xludf.DUMMYFUNCTION("""COMPUTED_VALUE"""),0.0)</f>
        <v>0</v>
      </c>
      <c r="Q243" s="274" t="b">
        <f>VLOOKUP($B243,'Run Reconcile'!B$2:O2488,14,FALSE)</f>
        <v>1</v>
      </c>
      <c r="R243" s="472" t="str">
        <f t="array" ref="R243">IF($Q243, INDEX('Run Reconcile'!A$2:A2488,MATCH(B243,'Run Reconcile'!B$2:B2488,0),1),IFERROR(0/0,""))</f>
        <v>RUN-FLMP_2021-12-13_RFR-016</v>
      </c>
      <c r="S243" s="473" t="str">
        <f t="shared" ref="S243:T243" si="490">IF(COUNTIF(W$2:W2488, $A243) &gt; 0,TRUE,IFERROR(0/0,""))</f>
        <v/>
      </c>
      <c r="T243" s="473" t="str">
        <f t="shared" si="490"/>
        <v/>
      </c>
      <c r="U243" s="275" t="str">
        <f t="array" ref="U243">IF(ISBLANK($R243), INDEX('Run Reconcile'!A$2:A2488, MATCH($B243, 'Run Reconcile'!B$2:B2488, 0)+Z243, 1), IFERROR(0/0,""))
</f>
        <v/>
      </c>
      <c r="V243" s="474" t="str">
        <f t="shared" si="5"/>
        <v>RUN-FLMP_2021-12-13_RFR-016</v>
      </c>
      <c r="Y243" s="89" t="str">
        <f t="shared" si="6"/>
        <v/>
      </c>
      <c r="Z243" s="60" t="str">
        <f t="shared" si="7"/>
        <v/>
      </c>
      <c r="AA243" s="60" t="str">
        <f t="shared" si="8"/>
        <v/>
      </c>
      <c r="AB243" s="60" t="str">
        <f t="shared" si="9"/>
        <v/>
      </c>
      <c r="AC243" s="30" t="str">
        <f t="shared" ref="AC243:AD243" si="491">IF(_xlfn.ISFORMULA(S243),IFERROR(0/0,""),TRUE)</f>
        <v/>
      </c>
      <c r="AD243" s="30" t="str">
        <f t="shared" si="491"/>
        <v/>
      </c>
      <c r="AE243" s="475" t="str">
        <f>IFERROR(__xludf.DUMMYFUNCTION("""COMPUTED_VALUE"""),"FLSP")</f>
        <v>FLSP</v>
      </c>
      <c r="AF243" s="476"/>
      <c r="AG243" s="474" t="s">
        <v>116</v>
      </c>
      <c r="AH243" s="138" t="str">
        <f t="shared" si="11"/>
        <v/>
      </c>
    </row>
    <row r="244">
      <c r="A244" s="103" t="str">
        <f>IFERROR(__xludf.DUMMYFUNCTION("""COMPUTED_VALUE"""),"FLT1148")</f>
        <v>FLT1148</v>
      </c>
      <c r="B244" s="468">
        <f>IFERROR(__xludf.DUMMYFUNCTION("""COMPUTED_VALUE"""),44543.0)</f>
        <v>44543</v>
      </c>
      <c r="C244" s="469">
        <f>IFERROR(__xludf.DUMMYFUNCTION("""COMPUTED_VALUE"""),0.41239583333333335)</f>
        <v>0.4123958333</v>
      </c>
      <c r="D244" s="103" t="str">
        <f>IFERROR(__xludf.DUMMYFUNCTION("""COMPUTED_VALUE"""),"SpFLMP496039")</f>
        <v>SpFLMP496039</v>
      </c>
      <c r="E244" s="103"/>
      <c r="F244" s="103"/>
      <c r="G244" s="103" t="str">
        <f>IFERROR(__xludf.DUMMYFUNCTION("""COMPUTED_VALUE"""),"Negative")</f>
        <v>Negative</v>
      </c>
      <c r="H244" s="131" t="str">
        <f>IFERROR(__xludf.DUMMYFUNCTION("""COMPUTED_VALUE"""),"Negative")</f>
        <v>Negative</v>
      </c>
      <c r="I244" s="468">
        <f>IFERROR(__xludf.DUMMYFUNCTION("""COMPUTED_VALUE"""),44543.0)</f>
        <v>44543</v>
      </c>
      <c r="J244" s="470">
        <f>IFERROR(__xludf.DUMMYFUNCTION("""COMPUTED_VALUE"""),0.43604166666666666)</f>
        <v>0.4360416667</v>
      </c>
      <c r="K244" s="16"/>
      <c r="L244" s="8"/>
      <c r="M244" s="69"/>
      <c r="N244" s="69">
        <f>IFERROR(__xludf.DUMMYFUNCTION("""COMPUTED_VALUE"""),1.0)</f>
        <v>1</v>
      </c>
      <c r="O244" s="69" t="str">
        <f t="shared" si="3"/>
        <v/>
      </c>
      <c r="P244" s="471">
        <f>IFERROR(__xludf.DUMMYFUNCTION("""COMPUTED_VALUE"""),0.0)</f>
        <v>0</v>
      </c>
      <c r="Q244" s="274" t="b">
        <f>VLOOKUP($B244,'Run Reconcile'!B$2:O2488,14,FALSE)</f>
        <v>1</v>
      </c>
      <c r="R244" s="472" t="str">
        <f t="array" ref="R244">IF($Q244, INDEX('Run Reconcile'!A$2:A2488,MATCH(B244,'Run Reconcile'!B$2:B2488,0),1),IFERROR(0/0,""))</f>
        <v>RUN-FLMP_2021-12-13_RFR-016</v>
      </c>
      <c r="S244" s="473" t="str">
        <f t="shared" ref="S244:T244" si="492">IF(COUNTIF(W$2:W2488, $A244) &gt; 0,TRUE,IFERROR(0/0,""))</f>
        <v/>
      </c>
      <c r="T244" s="473" t="str">
        <f t="shared" si="492"/>
        <v/>
      </c>
      <c r="U244" s="275" t="str">
        <f t="array" ref="U244">IF(ISBLANK($R244), INDEX('Run Reconcile'!A$2:A2488, MATCH($B244, 'Run Reconcile'!B$2:B2488, 0)+Z244, 1), IFERROR(0/0,""))
</f>
        <v/>
      </c>
      <c r="V244" s="474" t="str">
        <f t="shared" si="5"/>
        <v>RUN-FLMP_2021-12-13_RFR-016</v>
      </c>
      <c r="Y244" s="89" t="str">
        <f t="shared" si="6"/>
        <v/>
      </c>
      <c r="Z244" s="60" t="str">
        <f t="shared" si="7"/>
        <v/>
      </c>
      <c r="AA244" s="60" t="str">
        <f t="shared" si="8"/>
        <v/>
      </c>
      <c r="AB244" s="60" t="str">
        <f t="shared" si="9"/>
        <v/>
      </c>
      <c r="AC244" s="30" t="str">
        <f t="shared" ref="AC244:AD244" si="493">IF(_xlfn.ISFORMULA(S244),IFERROR(0/0,""),TRUE)</f>
        <v/>
      </c>
      <c r="AD244" s="30" t="str">
        <f t="shared" si="493"/>
        <v/>
      </c>
      <c r="AE244" s="475" t="str">
        <f>IFERROR(__xludf.DUMMYFUNCTION("""COMPUTED_VALUE"""),"FLSP")</f>
        <v>FLSP</v>
      </c>
      <c r="AF244" s="476"/>
      <c r="AG244" s="474" t="s">
        <v>116</v>
      </c>
      <c r="AH244" s="138" t="str">
        <f t="shared" si="11"/>
        <v/>
      </c>
    </row>
    <row r="245">
      <c r="A245" s="477" t="str">
        <f>IFERROR(__xludf.DUMMYFUNCTION("""COMPUTED_VALUE"""),"FLT1565")</f>
        <v>FLT1565</v>
      </c>
      <c r="B245" s="478">
        <f>IFERROR(__xludf.DUMMYFUNCTION("""COMPUTED_VALUE"""),44544.0)</f>
        <v>44544</v>
      </c>
      <c r="C245" s="479">
        <f>IFERROR(__xludf.DUMMYFUNCTION("""COMPUTED_VALUE"""),0.2945023148148148)</f>
        <v>0.2945023148</v>
      </c>
      <c r="D245" s="477" t="str">
        <f>IFERROR(__xludf.DUMMYFUNCTION("""COMPUTED_VALUE"""),"SpFLMP777132")</f>
        <v>SpFLMP777132</v>
      </c>
      <c r="E245" s="477"/>
      <c r="F245" s="477"/>
      <c r="G245" s="477" t="str">
        <f>IFERROR(__xludf.DUMMYFUNCTION("""COMPUTED_VALUE"""),"Negative")</f>
        <v>Negative</v>
      </c>
      <c r="H245" s="480" t="str">
        <f>IFERROR(__xludf.DUMMYFUNCTION("""COMPUTED_VALUE"""),"Negative")</f>
        <v>Negative</v>
      </c>
      <c r="I245" s="478">
        <f>IFERROR(__xludf.DUMMYFUNCTION("""COMPUTED_VALUE"""),44544.0)</f>
        <v>44544</v>
      </c>
      <c r="J245" s="481">
        <f>IFERROR(__xludf.DUMMYFUNCTION("""COMPUTED_VALUE"""),0.42672453703703705)</f>
        <v>0.426724537</v>
      </c>
      <c r="K245" s="156"/>
      <c r="L245" s="19"/>
      <c r="M245" s="482"/>
      <c r="N245" s="482">
        <f>IFERROR(__xludf.DUMMYFUNCTION("""COMPUTED_VALUE"""),4.0)</f>
        <v>4</v>
      </c>
      <c r="O245" s="482" t="b">
        <f t="shared" si="3"/>
        <v>1</v>
      </c>
      <c r="P245" s="483">
        <f>IFERROR(__xludf.DUMMYFUNCTION("""COMPUTED_VALUE"""),0.0)</f>
        <v>0</v>
      </c>
      <c r="Q245" s="352" t="str">
        <f>VLOOKUP($B245,'Run Reconcile'!B$2:O2488,14,FALSE)</f>
        <v/>
      </c>
      <c r="R245" s="484" t="str">
        <f t="array" ref="R245">IF($Q245, INDEX('Run Reconcile'!A$2:A2488,MATCH(B245,'Run Reconcile'!B$2:B2488,0),1),IFERROR(0/0,""))</f>
        <v/>
      </c>
      <c r="S245" s="485" t="str">
        <f t="shared" ref="S245:T245" si="494">IF(COUNTIF(W$2:W2488, $A245) &gt; 0,TRUE,IFERROR(0/0,""))</f>
        <v/>
      </c>
      <c r="T245" s="485" t="str">
        <f t="shared" si="494"/>
        <v/>
      </c>
      <c r="U245" s="353" t="str">
        <f t="array" ref="U245">IF(ISBLANK($R245), INDEX('Run Reconcile'!A$2:A2488, MATCH($B245, 'Run Reconcile'!B$2:B2488, 0)+Z245, 1), IFERROR(0/0,""))
</f>
        <v>RUN-FLMP_2021-12-14_RFR-017</v>
      </c>
      <c r="V245" s="486" t="str">
        <f t="shared" si="5"/>
        <v>RUN-FLMP_2021-12-14_RFR-017</v>
      </c>
      <c r="W245" s="19"/>
      <c r="X245" s="477"/>
      <c r="Y245" s="195" t="str">
        <f t="shared" si="6"/>
        <v/>
      </c>
      <c r="Z245" s="487" t="str">
        <f t="shared" si="7"/>
        <v/>
      </c>
      <c r="AA245" s="487" t="str">
        <f t="shared" si="8"/>
        <v/>
      </c>
      <c r="AB245" s="487" t="str">
        <f t="shared" si="9"/>
        <v/>
      </c>
      <c r="AC245" s="158" t="str">
        <f t="shared" ref="AC245:AD245" si="495">IF(_xlfn.ISFORMULA(S245),IFERROR(0/0,""),TRUE)</f>
        <v/>
      </c>
      <c r="AD245" s="158" t="str">
        <f t="shared" si="495"/>
        <v/>
      </c>
      <c r="AE245" s="488" t="str">
        <f>IFERROR(__xludf.DUMMYFUNCTION("""COMPUTED_VALUE"""),"FLSP")</f>
        <v>FLSP</v>
      </c>
      <c r="AF245" s="489"/>
      <c r="AG245" s="486" t="s">
        <v>118</v>
      </c>
      <c r="AH245" s="490" t="str">
        <f t="shared" si="11"/>
        <v/>
      </c>
      <c r="AI245" s="19"/>
      <c r="AJ245" s="19"/>
      <c r="AK245" s="19"/>
      <c r="AL245" s="19"/>
      <c r="AM245" s="19"/>
    </row>
    <row r="246">
      <c r="A246" s="103" t="str">
        <f>IFERROR(__xludf.DUMMYFUNCTION("""COMPUTED_VALUE"""),"FLE232")</f>
        <v>FLE232</v>
      </c>
      <c r="B246" s="468">
        <f>IFERROR(__xludf.DUMMYFUNCTION("""COMPUTED_VALUE"""),44544.0)</f>
        <v>44544</v>
      </c>
      <c r="C246" s="469">
        <f>IFERROR(__xludf.DUMMYFUNCTION("""COMPUTED_VALUE"""),0.35716435185185186)</f>
        <v>0.3571643519</v>
      </c>
      <c r="D246" s="103" t="str">
        <f>IFERROR(__xludf.DUMMYFUNCTION("""COMPUTED_VALUE"""),"SpFLMP684798")</f>
        <v>SpFLMP684798</v>
      </c>
      <c r="E246" s="103"/>
      <c r="F246" s="103"/>
      <c r="G246" s="103" t="str">
        <f>IFERROR(__xludf.DUMMYFUNCTION("""COMPUTED_VALUE"""),"Negative")</f>
        <v>Negative</v>
      </c>
      <c r="H246" s="131" t="str">
        <f>IFERROR(__xludf.DUMMYFUNCTION("""COMPUTED_VALUE"""),"Negative")</f>
        <v>Negative</v>
      </c>
      <c r="I246" s="468">
        <f>IFERROR(__xludf.DUMMYFUNCTION("""COMPUTED_VALUE"""),44544.0)</f>
        <v>44544</v>
      </c>
      <c r="J246" s="470">
        <f>IFERROR(__xludf.DUMMYFUNCTION("""COMPUTED_VALUE"""),0.42672453703703705)</f>
        <v>0.426724537</v>
      </c>
      <c r="K246" s="16"/>
      <c r="L246" s="8"/>
      <c r="M246" s="69"/>
      <c r="N246" s="69">
        <f>IFERROR(__xludf.DUMMYFUNCTION("""COMPUTED_VALUE"""),2.0)</f>
        <v>2</v>
      </c>
      <c r="O246" s="69" t="str">
        <f t="shared" si="3"/>
        <v/>
      </c>
      <c r="P246" s="471">
        <f>IFERROR(__xludf.DUMMYFUNCTION("""COMPUTED_VALUE"""),0.0)</f>
        <v>0</v>
      </c>
      <c r="Q246" s="274" t="str">
        <f>VLOOKUP($B246,'Run Reconcile'!B$2:O2488,14,FALSE)</f>
        <v/>
      </c>
      <c r="R246" s="472" t="str">
        <f t="array" ref="R246">IF($Q246, INDEX('Run Reconcile'!A$2:A2488,MATCH(B246,'Run Reconcile'!B$2:B2488,0),1),IFERROR(0/0,""))</f>
        <v/>
      </c>
      <c r="S246" s="473" t="str">
        <f t="shared" ref="S246:T246" si="496">IF(COUNTIF(W$2:W2488, $A246) &gt; 0,TRUE,IFERROR(0/0,""))</f>
        <v/>
      </c>
      <c r="T246" s="473" t="str">
        <f t="shared" si="496"/>
        <v/>
      </c>
      <c r="U246" s="275" t="str">
        <f t="array" ref="U246">IF(ISBLANK($R246), INDEX('Run Reconcile'!A$2:A2488, MATCH($B246, 'Run Reconcile'!B$2:B2488, 0)+Z246, 1), IFERROR(0/0,""))
</f>
        <v>RUN-FLMP_2021-12-14_RFR-017</v>
      </c>
      <c r="V246" s="474" t="str">
        <f t="shared" si="5"/>
        <v>RUN-FLMP_2021-12-14_RFR-017</v>
      </c>
      <c r="X246" s="103"/>
      <c r="Y246" s="89" t="str">
        <f t="shared" si="6"/>
        <v/>
      </c>
      <c r="Z246" s="60" t="str">
        <f t="shared" si="7"/>
        <v/>
      </c>
      <c r="AA246" s="60" t="str">
        <f t="shared" si="8"/>
        <v/>
      </c>
      <c r="AB246" s="60" t="str">
        <f t="shared" si="9"/>
        <v/>
      </c>
      <c r="AC246" s="30" t="str">
        <f t="shared" ref="AC246:AD246" si="497">IF(_xlfn.ISFORMULA(S246),IFERROR(0/0,""),TRUE)</f>
        <v/>
      </c>
      <c r="AD246" s="30" t="str">
        <f t="shared" si="497"/>
        <v/>
      </c>
      <c r="AE246" s="475" t="str">
        <f>IFERROR(__xludf.DUMMYFUNCTION("""COMPUTED_VALUE"""),"FLSP")</f>
        <v>FLSP</v>
      </c>
      <c r="AF246" s="476"/>
      <c r="AG246" s="474" t="s">
        <v>118</v>
      </c>
      <c r="AH246" s="138" t="str">
        <f t="shared" si="11"/>
        <v/>
      </c>
    </row>
    <row r="247">
      <c r="A247" s="103" t="str">
        <f>IFERROR(__xludf.DUMMYFUNCTION("""COMPUTED_VALUE"""),"FLE302")</f>
        <v>FLE302</v>
      </c>
      <c r="B247" s="468">
        <f>IFERROR(__xludf.DUMMYFUNCTION("""COMPUTED_VALUE"""),44544.0)</f>
        <v>44544</v>
      </c>
      <c r="C247" s="469">
        <f>IFERROR(__xludf.DUMMYFUNCTION("""COMPUTED_VALUE"""),0.35769675925925926)</f>
        <v>0.3576967593</v>
      </c>
      <c r="D247" s="103" t="str">
        <f>IFERROR(__xludf.DUMMYFUNCTION("""COMPUTED_VALUE"""),"SpFLMP684798")</f>
        <v>SpFLMP684798</v>
      </c>
      <c r="E247" s="103"/>
      <c r="F247" s="103"/>
      <c r="G247" s="103" t="str">
        <f>IFERROR(__xludf.DUMMYFUNCTION("""COMPUTED_VALUE"""),"Negative")</f>
        <v>Negative</v>
      </c>
      <c r="H247" s="131" t="str">
        <f>IFERROR(__xludf.DUMMYFUNCTION("""COMPUTED_VALUE"""),"Negative")</f>
        <v>Negative</v>
      </c>
      <c r="I247" s="468">
        <f>IFERROR(__xludf.DUMMYFUNCTION("""COMPUTED_VALUE"""),44544.0)</f>
        <v>44544</v>
      </c>
      <c r="J247" s="470">
        <f>IFERROR(__xludf.DUMMYFUNCTION("""COMPUTED_VALUE"""),0.4267361111111111)</f>
        <v>0.4267361111</v>
      </c>
      <c r="K247" s="16"/>
      <c r="L247" s="8"/>
      <c r="M247" s="69"/>
      <c r="N247" s="69">
        <f>IFERROR(__xludf.DUMMYFUNCTION("""COMPUTED_VALUE"""),2.0)</f>
        <v>2</v>
      </c>
      <c r="O247" s="69" t="str">
        <f t="shared" si="3"/>
        <v/>
      </c>
      <c r="P247" s="471">
        <f>IFERROR(__xludf.DUMMYFUNCTION("""COMPUTED_VALUE"""),0.0)</f>
        <v>0</v>
      </c>
      <c r="Q247" s="274" t="str">
        <f>VLOOKUP($B247,'Run Reconcile'!B$2:O2488,14,FALSE)</f>
        <v/>
      </c>
      <c r="R247" s="472" t="str">
        <f t="array" ref="R247">IF($Q247, INDEX('Run Reconcile'!A$2:A2488,MATCH(B247,'Run Reconcile'!B$2:B2488,0),1),IFERROR(0/0,""))</f>
        <v/>
      </c>
      <c r="S247" s="473" t="str">
        <f t="shared" ref="S247:T247" si="498">IF(COUNTIF(W$2:W2488, $A247) &gt; 0,TRUE,IFERROR(0/0,""))</f>
        <v/>
      </c>
      <c r="T247" s="473" t="str">
        <f t="shared" si="498"/>
        <v/>
      </c>
      <c r="U247" s="275" t="str">
        <f t="array" ref="U247">IF(ISBLANK($R247), INDEX('Run Reconcile'!A$2:A2488, MATCH($B247, 'Run Reconcile'!B$2:B2488, 0)+Z247, 1), IFERROR(0/0,""))
</f>
        <v>RUN-FLMP_2021-12-14_RFR-017</v>
      </c>
      <c r="V247" s="474" t="str">
        <f t="shared" si="5"/>
        <v>RUN-FLMP_2021-12-14_RFR-017</v>
      </c>
      <c r="X247" s="103"/>
      <c r="Y247" s="89" t="str">
        <f t="shared" si="6"/>
        <v/>
      </c>
      <c r="Z247" s="60" t="str">
        <f t="shared" si="7"/>
        <v/>
      </c>
      <c r="AA247" s="60" t="str">
        <f t="shared" si="8"/>
        <v/>
      </c>
      <c r="AB247" s="60" t="str">
        <f t="shared" si="9"/>
        <v/>
      </c>
      <c r="AC247" s="30" t="str">
        <f t="shared" ref="AC247:AD247" si="499">IF(_xlfn.ISFORMULA(S247),IFERROR(0/0,""),TRUE)</f>
        <v/>
      </c>
      <c r="AD247" s="30" t="str">
        <f t="shared" si="499"/>
        <v/>
      </c>
      <c r="AE247" s="475" t="str">
        <f>IFERROR(__xludf.DUMMYFUNCTION("""COMPUTED_VALUE"""),"FLSP")</f>
        <v>FLSP</v>
      </c>
      <c r="AF247" s="476"/>
      <c r="AG247" s="474" t="s">
        <v>118</v>
      </c>
      <c r="AH247" s="138" t="str">
        <f t="shared" si="11"/>
        <v/>
      </c>
    </row>
    <row r="248">
      <c r="A248" s="103" t="str">
        <f>IFERROR(__xludf.DUMMYFUNCTION("""COMPUTED_VALUE"""),"FLT1539")</f>
        <v>FLT1539</v>
      </c>
      <c r="B248" s="468">
        <f>IFERROR(__xludf.DUMMYFUNCTION("""COMPUTED_VALUE"""),44544.0)</f>
        <v>44544</v>
      </c>
      <c r="C248" s="469">
        <f>IFERROR(__xludf.DUMMYFUNCTION("""COMPUTED_VALUE"""),0.3587268518518518)</f>
        <v>0.3587268519</v>
      </c>
      <c r="D248" s="103" t="str">
        <f>IFERROR(__xludf.DUMMYFUNCTION("""COMPUTED_VALUE"""),"SpFLMP259015")</f>
        <v>SpFLMP259015</v>
      </c>
      <c r="E248" s="103"/>
      <c r="F248" s="103"/>
      <c r="G248" s="103" t="str">
        <f>IFERROR(__xludf.DUMMYFUNCTION("""COMPUTED_VALUE"""),"Negative")</f>
        <v>Negative</v>
      </c>
      <c r="H248" s="131" t="str">
        <f>IFERROR(__xludf.DUMMYFUNCTION("""COMPUTED_VALUE"""),"Negative")</f>
        <v>Negative</v>
      </c>
      <c r="I248" s="468">
        <f>IFERROR(__xludf.DUMMYFUNCTION("""COMPUTED_VALUE"""),44544.0)</f>
        <v>44544</v>
      </c>
      <c r="J248" s="470">
        <f>IFERROR(__xludf.DUMMYFUNCTION("""COMPUTED_VALUE"""),0.4267361111111111)</f>
        <v>0.4267361111</v>
      </c>
      <c r="K248" s="16"/>
      <c r="L248" s="8"/>
      <c r="M248" s="69"/>
      <c r="N248" s="69">
        <f>IFERROR(__xludf.DUMMYFUNCTION("""COMPUTED_VALUE"""),2.0)</f>
        <v>2</v>
      </c>
      <c r="O248" s="69" t="str">
        <f t="shared" si="3"/>
        <v/>
      </c>
      <c r="P248" s="471">
        <f>IFERROR(__xludf.DUMMYFUNCTION("""COMPUTED_VALUE"""),0.0)</f>
        <v>0</v>
      </c>
      <c r="Q248" s="274" t="str">
        <f>VLOOKUP($B248,'Run Reconcile'!B$2:O2488,14,FALSE)</f>
        <v/>
      </c>
      <c r="R248" s="472" t="str">
        <f t="array" ref="R248">IF($Q248, INDEX('Run Reconcile'!A$2:A2488,MATCH(B248,'Run Reconcile'!B$2:B2488,0),1),IFERROR(0/0,""))</f>
        <v/>
      </c>
      <c r="S248" s="473" t="str">
        <f t="shared" ref="S248:T248" si="500">IF(COUNTIF(W$2:W2488, $A248) &gt; 0,TRUE,IFERROR(0/0,""))</f>
        <v/>
      </c>
      <c r="T248" s="473" t="str">
        <f t="shared" si="500"/>
        <v/>
      </c>
      <c r="U248" s="275" t="str">
        <f t="array" ref="U248">IF(ISBLANK($R248), INDEX('Run Reconcile'!A$2:A2488, MATCH($B248, 'Run Reconcile'!B$2:B2488, 0)+Z248, 1), IFERROR(0/0,""))
</f>
        <v>RUN-FLMP_2021-12-14_RFR-017</v>
      </c>
      <c r="V248" s="474" t="str">
        <f t="shared" si="5"/>
        <v>RUN-FLMP_2021-12-14_RFR-017</v>
      </c>
      <c r="X248" s="103"/>
      <c r="Y248" s="89" t="str">
        <f t="shared" si="6"/>
        <v/>
      </c>
      <c r="Z248" s="60" t="str">
        <f t="shared" si="7"/>
        <v/>
      </c>
      <c r="AA248" s="60" t="str">
        <f t="shared" si="8"/>
        <v/>
      </c>
      <c r="AB248" s="60" t="str">
        <f t="shared" si="9"/>
        <v/>
      </c>
      <c r="AC248" s="30" t="str">
        <f t="shared" ref="AC248:AD248" si="501">IF(_xlfn.ISFORMULA(S248),IFERROR(0/0,""),TRUE)</f>
        <v/>
      </c>
      <c r="AD248" s="30" t="str">
        <f t="shared" si="501"/>
        <v/>
      </c>
      <c r="AE248" s="475" t="str">
        <f>IFERROR(__xludf.DUMMYFUNCTION("""COMPUTED_VALUE"""),"FLSP")</f>
        <v>FLSP</v>
      </c>
      <c r="AF248" s="476"/>
      <c r="AG248" s="474" t="s">
        <v>118</v>
      </c>
      <c r="AH248" s="138" t="str">
        <f t="shared" si="11"/>
        <v/>
      </c>
    </row>
    <row r="249">
      <c r="A249" s="103" t="str">
        <f>IFERROR(__xludf.DUMMYFUNCTION("""COMPUTED_VALUE"""),"MAX475")</f>
        <v>MAX475</v>
      </c>
      <c r="B249" s="468">
        <f>IFERROR(__xludf.DUMMYFUNCTION("""COMPUTED_VALUE"""),44544.0)</f>
        <v>44544</v>
      </c>
      <c r="C249" s="469">
        <f>IFERROR(__xludf.DUMMYFUNCTION("""COMPUTED_VALUE"""),0.6230787037037037)</f>
        <v>0.6230787037</v>
      </c>
      <c r="D249" s="103" t="str">
        <f>IFERROR(__xludf.DUMMYFUNCTION("""COMPUTED_VALUE"""),"SpFLMP120998")</f>
        <v>SpFLMP120998</v>
      </c>
      <c r="E249" s="103"/>
      <c r="F249" s="103"/>
      <c r="G249" s="103" t="str">
        <f>IFERROR(__xludf.DUMMYFUNCTION("""COMPUTED_VALUE"""),"Negative")</f>
        <v>Negative</v>
      </c>
      <c r="H249" s="131" t="str">
        <f>IFERROR(__xludf.DUMMYFUNCTION("""COMPUTED_VALUE"""),"Negative")</f>
        <v>Negative</v>
      </c>
      <c r="I249" s="468">
        <f>IFERROR(__xludf.DUMMYFUNCTION("""COMPUTED_VALUE"""),44549.0)</f>
        <v>44549</v>
      </c>
      <c r="J249" s="470">
        <f>IFERROR(__xludf.DUMMYFUNCTION("""COMPUTED_VALUE"""),0.36104166666666665)</f>
        <v>0.3610416667</v>
      </c>
      <c r="K249" s="16"/>
      <c r="L249" s="8"/>
      <c r="M249" s="69"/>
      <c r="N249" s="69">
        <f>IFERROR(__xludf.DUMMYFUNCTION("""COMPUTED_VALUE"""),1.0)</f>
        <v>1</v>
      </c>
      <c r="O249" s="69" t="str">
        <f t="shared" si="3"/>
        <v/>
      </c>
      <c r="P249" s="471">
        <f>IFERROR(__xludf.DUMMYFUNCTION("""COMPUTED_VALUE"""),5.0)</f>
        <v>5</v>
      </c>
      <c r="Q249" s="274" t="str">
        <f>VLOOKUP($B249,'Run Reconcile'!B$2:O2488,14,FALSE)</f>
        <v/>
      </c>
      <c r="R249" s="472" t="str">
        <f t="array" ref="R249">IF($Q249, INDEX('Run Reconcile'!A$2:A2488,MATCH(B249,'Run Reconcile'!B$2:B2488,0),1),IFERROR(0/0,""))</f>
        <v/>
      </c>
      <c r="S249" s="473" t="str">
        <f t="shared" ref="S249:T249" si="502">IF(COUNTIF(W$2:W2488, $A249) &gt; 0,TRUE,IFERROR(0/0,""))</f>
        <v/>
      </c>
      <c r="T249" s="473" t="b">
        <f t="shared" si="502"/>
        <v>1</v>
      </c>
      <c r="U249" s="138" t="str">
        <f t="array" ref="U249">IF(ISBLANK($R249), INDEX('Run Reconcile'!A$2:A2488, MATCH($B249, 'Run Reconcile'!B$2:B2488, 0)+Z249, 1), IFERROR(0/0,""))
</f>
        <v>RUN-FLMP_2021-12-14_APS-073</v>
      </c>
      <c r="V249" s="475" t="str">
        <f t="shared" si="5"/>
        <v>RUN-FLMP_2021-12-14_APS-073</v>
      </c>
      <c r="X249" s="103" t="s">
        <v>1314</v>
      </c>
      <c r="Y249" s="89">
        <f t="shared" si="6"/>
        <v>1</v>
      </c>
      <c r="Z249" s="60">
        <f t="shared" si="7"/>
        <v>1</v>
      </c>
      <c r="AA249" s="60" t="str">
        <f t="shared" si="8"/>
        <v/>
      </c>
      <c r="AB249" s="60">
        <f t="shared" si="9"/>
        <v>1</v>
      </c>
      <c r="AC249" s="30" t="str">
        <f t="shared" ref="AC249:AD249" si="503">IF(_xlfn.ISFORMULA(S249),IFERROR(0/0,""),TRUE)</f>
        <v/>
      </c>
      <c r="AD249" s="30" t="str">
        <f t="shared" si="503"/>
        <v/>
      </c>
      <c r="AE249" s="475" t="str">
        <f>IFERROR(__xludf.DUMMYFUNCTION("""COMPUTED_VALUE"""),"FLSP")</f>
        <v>FLSP</v>
      </c>
      <c r="AF249" s="476"/>
      <c r="AG249" s="474" t="s">
        <v>117</v>
      </c>
      <c r="AH249" s="138" t="str">
        <f t="shared" si="11"/>
        <v/>
      </c>
    </row>
    <row r="250">
      <c r="A250" s="103" t="str">
        <f>IFERROR(__xludf.DUMMYFUNCTION("""COMPUTED_VALUE"""),"MAX478")</f>
        <v>MAX478</v>
      </c>
      <c r="B250" s="468">
        <f>IFERROR(__xludf.DUMMYFUNCTION("""COMPUTED_VALUE"""),44544.0)</f>
        <v>44544</v>
      </c>
      <c r="C250" s="469">
        <f>IFERROR(__xludf.DUMMYFUNCTION("""COMPUTED_VALUE"""),0.6338657407407408)</f>
        <v>0.6338657407</v>
      </c>
      <c r="D250" s="103" t="str">
        <f>IFERROR(__xludf.DUMMYFUNCTION("""COMPUTED_VALUE"""),"SpFLMP659315")</f>
        <v>SpFLMP659315</v>
      </c>
      <c r="E250" s="103"/>
      <c r="F250" s="103"/>
      <c r="G250" s="103" t="str">
        <f>IFERROR(__xludf.DUMMYFUNCTION("""COMPUTED_VALUE"""),"Negative")</f>
        <v>Negative</v>
      </c>
      <c r="H250" s="131" t="str">
        <f>IFERROR(__xludf.DUMMYFUNCTION("""COMPUTED_VALUE"""),"Negative")</f>
        <v>Negative</v>
      </c>
      <c r="I250" s="468">
        <f>IFERROR(__xludf.DUMMYFUNCTION("""COMPUTED_VALUE"""),44549.0)</f>
        <v>44549</v>
      </c>
      <c r="J250" s="470">
        <f>IFERROR(__xludf.DUMMYFUNCTION("""COMPUTED_VALUE"""),0.36104166666666665)</f>
        <v>0.3610416667</v>
      </c>
      <c r="K250" s="16"/>
      <c r="L250" s="8"/>
      <c r="M250" s="69"/>
      <c r="N250" s="69">
        <f>IFERROR(__xludf.DUMMYFUNCTION("""COMPUTED_VALUE"""),2.0)</f>
        <v>2</v>
      </c>
      <c r="O250" s="69" t="str">
        <f t="shared" si="3"/>
        <v/>
      </c>
      <c r="P250" s="471">
        <f>IFERROR(__xludf.DUMMYFUNCTION("""COMPUTED_VALUE"""),5.0)</f>
        <v>5</v>
      </c>
      <c r="Q250" s="274" t="str">
        <f>VLOOKUP($B250,'Run Reconcile'!B$2:O2488,14,FALSE)</f>
        <v/>
      </c>
      <c r="R250" s="472" t="str">
        <f t="array" ref="R250">IF($Q250, INDEX('Run Reconcile'!A$2:A2488,MATCH(B250,'Run Reconcile'!B$2:B2488,0),1),IFERROR(0/0,""))</f>
        <v/>
      </c>
      <c r="S250" s="473" t="str">
        <f t="shared" ref="S250:T250" si="504">IF(COUNTIF(W$2:W2488, $A250) &gt; 0,TRUE,IFERROR(0/0,""))</f>
        <v/>
      </c>
      <c r="T250" s="473" t="b">
        <f t="shared" si="504"/>
        <v>1</v>
      </c>
      <c r="U250" s="275" t="str">
        <f t="array" ref="U250">IF(ISBLANK($R250), INDEX('Run Reconcile'!A$2:A2488, MATCH($B250, 'Run Reconcile'!B$2:B2488, 0)+Z250, 1), IFERROR(0/0,""))
</f>
        <v>RUN-FLMP_2021-12-14_APS-073</v>
      </c>
      <c r="V250" s="474" t="str">
        <f t="shared" si="5"/>
        <v>RUN-FLMP_2021-12-14_APS-073</v>
      </c>
      <c r="X250" s="103" t="s">
        <v>1315</v>
      </c>
      <c r="Y250" s="89">
        <f t="shared" si="6"/>
        <v>1</v>
      </c>
      <c r="Z250" s="60">
        <f t="shared" si="7"/>
        <v>1</v>
      </c>
      <c r="AA250" s="60" t="str">
        <f t="shared" si="8"/>
        <v/>
      </c>
      <c r="AB250" s="60">
        <f t="shared" si="9"/>
        <v>1</v>
      </c>
      <c r="AC250" s="30" t="str">
        <f t="shared" ref="AC250:AD250" si="505">IF(_xlfn.ISFORMULA(S250),IFERROR(0/0,""),TRUE)</f>
        <v/>
      </c>
      <c r="AD250" s="30" t="str">
        <f t="shared" si="505"/>
        <v/>
      </c>
      <c r="AE250" s="475" t="str">
        <f>IFERROR(__xludf.DUMMYFUNCTION("""COMPUTED_VALUE"""),"FLSP")</f>
        <v>FLSP</v>
      </c>
      <c r="AF250" s="476"/>
      <c r="AG250" s="474" t="s">
        <v>117</v>
      </c>
      <c r="AH250" s="138" t="str">
        <f t="shared" si="11"/>
        <v/>
      </c>
    </row>
    <row r="251">
      <c r="A251" s="103" t="str">
        <f>IFERROR(__xludf.DUMMYFUNCTION("""COMPUTED_VALUE"""),"MAX365")</f>
        <v>MAX365</v>
      </c>
      <c r="B251" s="468">
        <f>IFERROR(__xludf.DUMMYFUNCTION("""COMPUTED_VALUE"""),44544.0)</f>
        <v>44544</v>
      </c>
      <c r="C251" s="469">
        <f>IFERROR(__xludf.DUMMYFUNCTION("""COMPUTED_VALUE"""),0.635162037037037)</f>
        <v>0.635162037</v>
      </c>
      <c r="D251" s="103" t="str">
        <f>IFERROR(__xludf.DUMMYFUNCTION("""COMPUTED_VALUE"""),"SpFLMP659315")</f>
        <v>SpFLMP659315</v>
      </c>
      <c r="E251" s="103"/>
      <c r="F251" s="103"/>
      <c r="G251" s="103" t="str">
        <f>IFERROR(__xludf.DUMMYFUNCTION("""COMPUTED_VALUE"""),"Negative")</f>
        <v>Negative</v>
      </c>
      <c r="H251" s="131" t="str">
        <f>IFERROR(__xludf.DUMMYFUNCTION("""COMPUTED_VALUE"""),"Negative")</f>
        <v>Negative</v>
      </c>
      <c r="I251" s="468">
        <f>IFERROR(__xludf.DUMMYFUNCTION("""COMPUTED_VALUE"""),44549.0)</f>
        <v>44549</v>
      </c>
      <c r="J251" s="470">
        <f>IFERROR(__xludf.DUMMYFUNCTION("""COMPUTED_VALUE"""),0.36104166666666665)</f>
        <v>0.3610416667</v>
      </c>
      <c r="K251" s="16"/>
      <c r="L251" s="8"/>
      <c r="M251" s="69"/>
      <c r="N251" s="69">
        <f>IFERROR(__xludf.DUMMYFUNCTION("""COMPUTED_VALUE"""),2.0)</f>
        <v>2</v>
      </c>
      <c r="O251" s="69" t="str">
        <f t="shared" si="3"/>
        <v/>
      </c>
      <c r="P251" s="471">
        <f>IFERROR(__xludf.DUMMYFUNCTION("""COMPUTED_VALUE"""),5.0)</f>
        <v>5</v>
      </c>
      <c r="Q251" s="274" t="str">
        <f>VLOOKUP($B251,'Run Reconcile'!B$2:O2488,14,FALSE)</f>
        <v/>
      </c>
      <c r="R251" s="472" t="str">
        <f t="array" ref="R251">IF($Q251, INDEX('Run Reconcile'!A$2:A2488,MATCH(B251,'Run Reconcile'!B$2:B2488,0),1),IFERROR(0/0,""))</f>
        <v/>
      </c>
      <c r="S251" s="473" t="str">
        <f t="shared" ref="S251:T251" si="506">IF(COUNTIF(W$2:W2488, $A251) &gt; 0,TRUE,IFERROR(0/0,""))</f>
        <v/>
      </c>
      <c r="T251" s="473" t="b">
        <f t="shared" si="506"/>
        <v>1</v>
      </c>
      <c r="U251" s="275" t="str">
        <f t="array" ref="U251">IF(ISBLANK($R251), INDEX('Run Reconcile'!A$2:A2488, MATCH($B251, 'Run Reconcile'!B$2:B2488, 0)+Z251, 1), IFERROR(0/0,""))
</f>
        <v>RUN-FLMP_2021-12-14_APS-073</v>
      </c>
      <c r="V251" s="474" t="str">
        <f t="shared" si="5"/>
        <v>RUN-FLMP_2021-12-14_APS-073</v>
      </c>
      <c r="X251" s="103" t="s">
        <v>1316</v>
      </c>
      <c r="Y251" s="89">
        <f t="shared" si="6"/>
        <v>1</v>
      </c>
      <c r="Z251" s="60">
        <f t="shared" si="7"/>
        <v>1</v>
      </c>
      <c r="AA251" s="60" t="str">
        <f t="shared" si="8"/>
        <v/>
      </c>
      <c r="AB251" s="60">
        <f t="shared" si="9"/>
        <v>1</v>
      </c>
      <c r="AC251" s="30" t="str">
        <f t="shared" ref="AC251:AD251" si="507">IF(_xlfn.ISFORMULA(S251),IFERROR(0/0,""),TRUE)</f>
        <v/>
      </c>
      <c r="AD251" s="30" t="str">
        <f t="shared" si="507"/>
        <v/>
      </c>
      <c r="AE251" s="475" t="str">
        <f>IFERROR(__xludf.DUMMYFUNCTION("""COMPUTED_VALUE"""),"FLSP")</f>
        <v>FLSP</v>
      </c>
      <c r="AF251" s="476"/>
      <c r="AG251" s="474" t="s">
        <v>117</v>
      </c>
      <c r="AH251" s="138" t="str">
        <f t="shared" si="11"/>
        <v/>
      </c>
    </row>
    <row r="252">
      <c r="A252" s="477" t="str">
        <f>IFERROR(__xludf.DUMMYFUNCTION("""COMPUTED_VALUE"""),"MA1482")</f>
        <v>MA1482</v>
      </c>
      <c r="B252" s="478">
        <f>IFERROR(__xludf.DUMMYFUNCTION("""COMPUTED_VALUE"""),44546.0)</f>
        <v>44546</v>
      </c>
      <c r="C252" s="479">
        <f>IFERROR(__xludf.DUMMYFUNCTION("""COMPUTED_VALUE"""),0.35614583333333333)</f>
        <v>0.3561458333</v>
      </c>
      <c r="D252" s="477" t="str">
        <f>IFERROR(__xludf.DUMMYFUNCTION("""COMPUTED_VALUE"""),"SpFLMP659315")</f>
        <v>SpFLMP659315</v>
      </c>
      <c r="E252" s="477"/>
      <c r="F252" s="477"/>
      <c r="G252" s="477" t="str">
        <f>IFERROR(__xludf.DUMMYFUNCTION("""COMPUTED_VALUE"""),"Negative")</f>
        <v>Negative</v>
      </c>
      <c r="H252" s="480" t="str">
        <f>IFERROR(__xludf.DUMMYFUNCTION("""COMPUTED_VALUE"""),"Negative")</f>
        <v>Negative</v>
      </c>
      <c r="I252" s="478">
        <f>IFERROR(__xludf.DUMMYFUNCTION("""COMPUTED_VALUE"""),44546.0)</f>
        <v>44546</v>
      </c>
      <c r="J252" s="481">
        <f>IFERROR(__xludf.DUMMYFUNCTION("""COMPUTED_VALUE"""),0.40547453703703706)</f>
        <v>0.405474537</v>
      </c>
      <c r="K252" s="156"/>
      <c r="L252" s="19"/>
      <c r="M252" s="482"/>
      <c r="N252" s="482">
        <f>IFERROR(__xludf.DUMMYFUNCTION("""COMPUTED_VALUE"""),4.0)</f>
        <v>4</v>
      </c>
      <c r="O252" s="482" t="b">
        <f t="shared" si="3"/>
        <v>1</v>
      </c>
      <c r="P252" s="483">
        <f>IFERROR(__xludf.DUMMYFUNCTION("""COMPUTED_VALUE"""),0.0)</f>
        <v>0</v>
      </c>
      <c r="Q252" s="352" t="b">
        <f>VLOOKUP($B252,'Run Reconcile'!B$2:O2488,14,FALSE)</f>
        <v>1</v>
      </c>
      <c r="R252" s="484" t="str">
        <f t="array" ref="R252">IF($Q252, INDEX('Run Reconcile'!A$2:A2488,MATCH(B252,'Run Reconcile'!B$2:B2488,0),1),IFERROR(0/0,""))</f>
        <v>RUN-FLMP_2021-12-16_RFR-018</v>
      </c>
      <c r="S252" s="485" t="str">
        <f t="shared" ref="S252:T252" si="508">IF(COUNTIF(W$2:W2488, $A252) &gt; 0,TRUE,IFERROR(0/0,""))</f>
        <v/>
      </c>
      <c r="T252" s="485" t="str">
        <f t="shared" si="508"/>
        <v/>
      </c>
      <c r="U252" s="353" t="str">
        <f t="array" ref="U252">IF(ISBLANK($R252), INDEX('Run Reconcile'!A$2:A2488, MATCH($B252, 'Run Reconcile'!B$2:B2488, 0)+Z252, 1), IFERROR(0/0,""))
</f>
        <v/>
      </c>
      <c r="V252" s="486" t="str">
        <f t="shared" si="5"/>
        <v>RUN-FLMP_2021-12-16_RFR-018</v>
      </c>
      <c r="W252" s="19"/>
      <c r="X252" s="477"/>
      <c r="Y252" s="195" t="str">
        <f t="shared" si="6"/>
        <v/>
      </c>
      <c r="Z252" s="487" t="str">
        <f t="shared" si="7"/>
        <v/>
      </c>
      <c r="AA252" s="487" t="str">
        <f t="shared" si="8"/>
        <v/>
      </c>
      <c r="AB252" s="487" t="str">
        <f t="shared" si="9"/>
        <v/>
      </c>
      <c r="AC252" s="158" t="str">
        <f t="shared" ref="AC252:AD252" si="509">IF(_xlfn.ISFORMULA(S252),IFERROR(0/0,""),TRUE)</f>
        <v/>
      </c>
      <c r="AD252" s="158" t="str">
        <f t="shared" si="509"/>
        <v/>
      </c>
      <c r="AE252" s="488" t="str">
        <f>IFERROR(__xludf.DUMMYFUNCTION("""COMPUTED_VALUE"""),"FLSP")</f>
        <v>FLSP</v>
      </c>
      <c r="AF252" s="489"/>
      <c r="AG252" s="486" t="s">
        <v>119</v>
      </c>
      <c r="AH252" s="490" t="str">
        <f t="shared" si="11"/>
        <v/>
      </c>
      <c r="AI252" s="19"/>
      <c r="AJ252" s="19"/>
      <c r="AK252" s="19"/>
      <c r="AL252" s="19"/>
      <c r="AM252" s="19"/>
    </row>
    <row r="253">
      <c r="A253" s="103" t="str">
        <f>IFERROR(__xludf.DUMMYFUNCTION("""COMPUTED_VALUE"""),"MA1378")</f>
        <v>MA1378</v>
      </c>
      <c r="B253" s="468">
        <f>IFERROR(__xludf.DUMMYFUNCTION("""COMPUTED_VALUE"""),44546.0)</f>
        <v>44546</v>
      </c>
      <c r="C253" s="469">
        <f>IFERROR(__xludf.DUMMYFUNCTION("""COMPUTED_VALUE"""),0.3648958333333333)</f>
        <v>0.3648958333</v>
      </c>
      <c r="D253" s="103" t="str">
        <f>IFERROR(__xludf.DUMMYFUNCTION("""COMPUTED_VALUE"""),"SpFLMP496039")</f>
        <v>SpFLMP496039</v>
      </c>
      <c r="E253" s="103"/>
      <c r="F253" s="103"/>
      <c r="G253" s="103" t="str">
        <f>IFERROR(__xludf.DUMMYFUNCTION("""COMPUTED_VALUE"""),"Negative")</f>
        <v>Negative</v>
      </c>
      <c r="H253" s="131" t="str">
        <f>IFERROR(__xludf.DUMMYFUNCTION("""COMPUTED_VALUE"""),"Negative")</f>
        <v>Negative</v>
      </c>
      <c r="I253" s="468">
        <f>IFERROR(__xludf.DUMMYFUNCTION("""COMPUTED_VALUE"""),44546.0)</f>
        <v>44546</v>
      </c>
      <c r="J253" s="470">
        <f>IFERROR(__xludf.DUMMYFUNCTION("""COMPUTED_VALUE"""),0.40547453703703706)</f>
        <v>0.405474537</v>
      </c>
      <c r="K253" s="16"/>
      <c r="L253" s="8"/>
      <c r="M253" s="69"/>
      <c r="N253" s="69">
        <f>IFERROR(__xludf.DUMMYFUNCTION("""COMPUTED_VALUE"""),1.0)</f>
        <v>1</v>
      </c>
      <c r="O253" s="69" t="str">
        <f t="shared" si="3"/>
        <v/>
      </c>
      <c r="P253" s="471">
        <f>IFERROR(__xludf.DUMMYFUNCTION("""COMPUTED_VALUE"""),0.0)</f>
        <v>0</v>
      </c>
      <c r="Q253" s="274" t="b">
        <f>VLOOKUP($B253,'Run Reconcile'!B$2:O2488,14,FALSE)</f>
        <v>1</v>
      </c>
      <c r="R253" s="472" t="str">
        <f t="array" ref="R253">IF($Q253, INDEX('Run Reconcile'!A$2:A2488,MATCH(B253,'Run Reconcile'!B$2:B2488,0),1),IFERROR(0/0,""))</f>
        <v>RUN-FLMP_2021-12-16_RFR-018</v>
      </c>
      <c r="S253" s="473" t="str">
        <f t="shared" ref="S253:T253" si="510">IF(COUNTIF(W$2:W2488, $A253) &gt; 0,TRUE,IFERROR(0/0,""))</f>
        <v/>
      </c>
      <c r="T253" s="473" t="str">
        <f t="shared" si="510"/>
        <v/>
      </c>
      <c r="U253" s="275" t="str">
        <f t="array" ref="U253">IF(ISBLANK($R253), INDEX('Run Reconcile'!A$2:A2488, MATCH($B253, 'Run Reconcile'!B$2:B2488, 0)+Z253, 1), IFERROR(0/0,""))
</f>
        <v/>
      </c>
      <c r="V253" s="474" t="str">
        <f t="shared" si="5"/>
        <v>RUN-FLMP_2021-12-16_RFR-018</v>
      </c>
      <c r="X253" s="103"/>
      <c r="Y253" s="89" t="str">
        <f t="shared" si="6"/>
        <v/>
      </c>
      <c r="Z253" s="60" t="str">
        <f t="shared" si="7"/>
        <v/>
      </c>
      <c r="AA253" s="60" t="str">
        <f t="shared" si="8"/>
        <v/>
      </c>
      <c r="AB253" s="60" t="str">
        <f t="shared" si="9"/>
        <v/>
      </c>
      <c r="AC253" s="30" t="str">
        <f t="shared" ref="AC253:AD253" si="511">IF(_xlfn.ISFORMULA(S253),IFERROR(0/0,""),TRUE)</f>
        <v/>
      </c>
      <c r="AD253" s="30" t="str">
        <f t="shared" si="511"/>
        <v/>
      </c>
      <c r="AE253" s="475" t="str">
        <f>IFERROR(__xludf.DUMMYFUNCTION("""COMPUTED_VALUE"""),"FLSP")</f>
        <v>FLSP</v>
      </c>
      <c r="AF253" s="476"/>
      <c r="AG253" s="474" t="s">
        <v>119</v>
      </c>
      <c r="AH253" s="138" t="str">
        <f t="shared" si="11"/>
        <v/>
      </c>
    </row>
    <row r="254">
      <c r="A254" s="477" t="str">
        <f>IFERROR(__xludf.DUMMYFUNCTION("""COMPUTED_VALUE"""),"MA1463")</f>
        <v>MA1463</v>
      </c>
      <c r="B254" s="478">
        <f>IFERROR(__xludf.DUMMYFUNCTION("""COMPUTED_VALUE"""),44548.0)</f>
        <v>44548</v>
      </c>
      <c r="C254" s="479">
        <f>IFERROR(__xludf.DUMMYFUNCTION("""COMPUTED_VALUE"""),0.29943287037037036)</f>
        <v>0.2994328704</v>
      </c>
      <c r="D254" s="477" t="str">
        <f>IFERROR(__xludf.DUMMYFUNCTION("""COMPUTED_VALUE"""),"SpFLMP659315")</f>
        <v>SpFLMP659315</v>
      </c>
      <c r="E254" s="477"/>
      <c r="F254" s="477"/>
      <c r="G254" s="477" t="str">
        <f>IFERROR(__xludf.DUMMYFUNCTION("""COMPUTED_VALUE"""),"Positive")</f>
        <v>Positive</v>
      </c>
      <c r="H254" s="480" t="str">
        <f>IFERROR(__xludf.DUMMYFUNCTION("""COMPUTED_VALUE"""),"Positive")</f>
        <v>Positive</v>
      </c>
      <c r="I254" s="478">
        <f>IFERROR(__xludf.DUMMYFUNCTION("""COMPUTED_VALUE"""),44548.0)</f>
        <v>44548</v>
      </c>
      <c r="J254" s="481">
        <f>IFERROR(__xludf.DUMMYFUNCTION("""COMPUTED_VALUE"""),0.39408564814814817)</f>
        <v>0.3940856481</v>
      </c>
      <c r="K254" s="156"/>
      <c r="L254" s="19"/>
      <c r="M254" s="482"/>
      <c r="N254" s="482">
        <f>IFERROR(__xludf.DUMMYFUNCTION("""COMPUTED_VALUE"""),2.0)</f>
        <v>2</v>
      </c>
      <c r="O254" s="482" t="b">
        <f t="shared" si="3"/>
        <v>1</v>
      </c>
      <c r="P254" s="483">
        <f>IFERROR(__xludf.DUMMYFUNCTION("""COMPUTED_VALUE"""),0.0)</f>
        <v>0</v>
      </c>
      <c r="Q254" s="352" t="str">
        <f>VLOOKUP($B254,'Run Reconcile'!B$2:O2488,14,FALSE)</f>
        <v/>
      </c>
      <c r="R254" s="484" t="str">
        <f t="array" ref="R254">IF($Q254, INDEX('Run Reconcile'!A$2:A2488,MATCH(B254,'Run Reconcile'!B$2:B2488,0),1),IFERROR(0/0,""))</f>
        <v/>
      </c>
      <c r="S254" s="485" t="str">
        <f t="shared" ref="S254:T254" si="512">IF(COUNTIF(W$2:W2488, $A254) &gt; 0,TRUE,IFERROR(0/0,""))</f>
        <v/>
      </c>
      <c r="T254" s="485" t="str">
        <f t="shared" si="512"/>
        <v/>
      </c>
      <c r="U254" s="353" t="str">
        <f t="array" ref="U254">IF(ISBLANK($R254), INDEX('Run Reconcile'!A$2:A2488, MATCH($B254, 'Run Reconcile'!B$2:B2488, 0)+Z254, 1), IFERROR(0/0,""))
</f>
        <v>RUN-FLMP_2021-12-18_RFR-019</v>
      </c>
      <c r="V254" s="486" t="str">
        <f t="shared" si="5"/>
        <v>RUN-FLMP_2021-12-18_RFR-019</v>
      </c>
      <c r="W254" s="19"/>
      <c r="X254" s="477"/>
      <c r="Y254" s="195" t="str">
        <f t="shared" si="6"/>
        <v/>
      </c>
      <c r="Z254" s="487" t="str">
        <f t="shared" si="7"/>
        <v/>
      </c>
      <c r="AA254" s="487" t="str">
        <f t="shared" si="8"/>
        <v/>
      </c>
      <c r="AB254" s="487" t="str">
        <f t="shared" si="9"/>
        <v/>
      </c>
      <c r="AC254" s="158" t="str">
        <f t="shared" ref="AC254:AD254" si="513">IF(_xlfn.ISFORMULA(S254),IFERROR(0/0,""),TRUE)</f>
        <v/>
      </c>
      <c r="AD254" s="158" t="str">
        <f t="shared" si="513"/>
        <v/>
      </c>
      <c r="AE254" s="488" t="str">
        <f>IFERROR(__xludf.DUMMYFUNCTION("""COMPUTED_VALUE"""),"FLSP")</f>
        <v>FLSP</v>
      </c>
      <c r="AF254" s="489"/>
      <c r="AG254" s="486" t="s">
        <v>120</v>
      </c>
      <c r="AH254" s="490" t="str">
        <f t="shared" si="11"/>
        <v/>
      </c>
      <c r="AI254" s="19"/>
      <c r="AJ254" s="19"/>
      <c r="AK254" s="19"/>
      <c r="AL254" s="19"/>
      <c r="AM254" s="19"/>
    </row>
    <row r="255">
      <c r="A255" s="103" t="str">
        <f>IFERROR(__xludf.DUMMYFUNCTION("""COMPUTED_VALUE"""),"MA1375")</f>
        <v>MA1375</v>
      </c>
      <c r="B255" s="468">
        <f>IFERROR(__xludf.DUMMYFUNCTION("""COMPUTED_VALUE"""),44548.0)</f>
        <v>44548</v>
      </c>
      <c r="C255" s="469">
        <f>IFERROR(__xludf.DUMMYFUNCTION("""COMPUTED_VALUE"""),0.3056597222222222)</f>
        <v>0.3056597222</v>
      </c>
      <c r="D255" s="103" t="str">
        <f>IFERROR(__xludf.DUMMYFUNCTION("""COMPUTED_VALUE"""),"SpFLMP659315")</f>
        <v>SpFLMP659315</v>
      </c>
      <c r="E255" s="103"/>
      <c r="F255" s="103"/>
      <c r="G255" s="103" t="str">
        <f>IFERROR(__xludf.DUMMYFUNCTION("""COMPUTED_VALUE"""),"Negative")</f>
        <v>Negative</v>
      </c>
      <c r="H255" s="131" t="str">
        <f>IFERROR(__xludf.DUMMYFUNCTION("""COMPUTED_VALUE"""),"Negative")</f>
        <v>Negative</v>
      </c>
      <c r="I255" s="468">
        <f>IFERROR(__xludf.DUMMYFUNCTION("""COMPUTED_VALUE"""),44548.0)</f>
        <v>44548</v>
      </c>
      <c r="J255" s="470">
        <f>IFERROR(__xludf.DUMMYFUNCTION("""COMPUTED_VALUE"""),0.39394675925925926)</f>
        <v>0.3939467593</v>
      </c>
      <c r="K255" s="16"/>
      <c r="L255" s="8"/>
      <c r="M255" s="69"/>
      <c r="N255" s="69">
        <f>IFERROR(__xludf.DUMMYFUNCTION("""COMPUTED_VALUE"""),2.0)</f>
        <v>2</v>
      </c>
      <c r="O255" s="69" t="str">
        <f t="shared" si="3"/>
        <v/>
      </c>
      <c r="P255" s="471">
        <f>IFERROR(__xludf.DUMMYFUNCTION("""COMPUTED_VALUE"""),0.0)</f>
        <v>0</v>
      </c>
      <c r="Q255" s="274" t="str">
        <f>VLOOKUP($B255,'Run Reconcile'!B$2:O2488,14,FALSE)</f>
        <v/>
      </c>
      <c r="R255" s="472" t="str">
        <f t="array" ref="R255">IF($Q255, INDEX('Run Reconcile'!A$2:A2488,MATCH(B255,'Run Reconcile'!B$2:B2488,0),1),IFERROR(0/0,""))</f>
        <v/>
      </c>
      <c r="S255" s="473" t="str">
        <f t="shared" ref="S255:T255" si="514">IF(COUNTIF(W$2:W2488, $A255) &gt; 0,TRUE,IFERROR(0/0,""))</f>
        <v/>
      </c>
      <c r="T255" s="473" t="str">
        <f t="shared" si="514"/>
        <v/>
      </c>
      <c r="U255" s="275" t="str">
        <f t="array" ref="U255">IF(ISBLANK($R255), INDEX('Run Reconcile'!A$2:A2488, MATCH($B255, 'Run Reconcile'!B$2:B2488, 0)+Z255, 1), IFERROR(0/0,""))
</f>
        <v>RUN-FLMP_2021-12-18_RFR-019</v>
      </c>
      <c r="V255" s="474" t="str">
        <f t="shared" si="5"/>
        <v>RUN-FLMP_2021-12-18_RFR-019</v>
      </c>
      <c r="X255" s="103"/>
      <c r="Y255" s="89" t="str">
        <f t="shared" si="6"/>
        <v/>
      </c>
      <c r="Z255" s="60" t="str">
        <f t="shared" si="7"/>
        <v/>
      </c>
      <c r="AA255" s="60" t="str">
        <f t="shared" si="8"/>
        <v/>
      </c>
      <c r="AB255" s="60" t="str">
        <f t="shared" si="9"/>
        <v/>
      </c>
      <c r="AC255" s="30" t="str">
        <f t="shared" ref="AC255:AD255" si="515">IF(_xlfn.ISFORMULA(S255),IFERROR(0/0,""),TRUE)</f>
        <v/>
      </c>
      <c r="AD255" s="30" t="str">
        <f t="shared" si="515"/>
        <v/>
      </c>
      <c r="AE255" s="475" t="str">
        <f>IFERROR(__xludf.DUMMYFUNCTION("""COMPUTED_VALUE"""),"FLSP")</f>
        <v>FLSP</v>
      </c>
      <c r="AF255" s="476"/>
      <c r="AG255" s="474" t="s">
        <v>120</v>
      </c>
      <c r="AH255" s="138" t="str">
        <f t="shared" si="11"/>
        <v/>
      </c>
    </row>
    <row r="256">
      <c r="A256" s="103" t="str">
        <f>IFERROR(__xludf.DUMMYFUNCTION("""COMPUTED_VALUE"""),"MA1215")</f>
        <v>MA1215</v>
      </c>
      <c r="B256" s="468">
        <f>IFERROR(__xludf.DUMMYFUNCTION("""COMPUTED_VALUE"""),44548.0)</f>
        <v>44548</v>
      </c>
      <c r="C256" s="469">
        <f>IFERROR(__xludf.DUMMYFUNCTION("""COMPUTED_VALUE"""),0.3919097222222222)</f>
        <v>0.3919097222</v>
      </c>
      <c r="D256" s="103" t="str">
        <f>IFERROR(__xludf.DUMMYFUNCTION("""COMPUTED_VALUE"""),"SpFLMP659315")</f>
        <v>SpFLMP659315</v>
      </c>
      <c r="E256" s="103"/>
      <c r="F256" s="103"/>
      <c r="G256" s="103" t="str">
        <f>IFERROR(__xludf.DUMMYFUNCTION("""COMPUTED_VALUE"""),"Positive")</f>
        <v>Positive</v>
      </c>
      <c r="H256" s="131" t="str">
        <f>IFERROR(__xludf.DUMMYFUNCTION("""COMPUTED_VALUE"""),"Positive")</f>
        <v>Positive</v>
      </c>
      <c r="I256" s="468">
        <f>IFERROR(__xludf.DUMMYFUNCTION("""COMPUTED_VALUE"""),44549.0)</f>
        <v>44549</v>
      </c>
      <c r="J256" s="470">
        <f>IFERROR(__xludf.DUMMYFUNCTION("""COMPUTED_VALUE"""),0.3618865740740741)</f>
        <v>0.3618865741</v>
      </c>
      <c r="K256" s="16"/>
      <c r="L256" s="8" t="str">
        <f>IFERROR(__xludf.DUMMYFUNCTION("""COMPUTED_VALUE"""),"name email fix")</f>
        <v>name email fix</v>
      </c>
      <c r="M256" s="69"/>
      <c r="N256" s="69">
        <f>IFERROR(__xludf.DUMMYFUNCTION("""COMPUTED_VALUE"""),1.0)</f>
        <v>1</v>
      </c>
      <c r="O256" s="69" t="str">
        <f t="shared" si="3"/>
        <v/>
      </c>
      <c r="P256" s="471">
        <f>IFERROR(__xludf.DUMMYFUNCTION("""COMPUTED_VALUE"""),1.0)</f>
        <v>1</v>
      </c>
      <c r="Q256" s="274" t="str">
        <f>VLOOKUP($B256,'Run Reconcile'!B$2:O2488,14,FALSE)</f>
        <v/>
      </c>
      <c r="R256" s="472" t="str">
        <f t="array" ref="R256">IF($Q256, INDEX('Run Reconcile'!A$2:A2488,MATCH(B256,'Run Reconcile'!B$2:B2488,0),1),IFERROR(0/0,""))</f>
        <v/>
      </c>
      <c r="S256" s="473" t="str">
        <f t="shared" ref="S256:T256" si="516">IF(COUNTIF(W$2:W2488, $A256) &gt; 0,TRUE,IFERROR(0/0,""))</f>
        <v/>
      </c>
      <c r="T256" s="473" t="b">
        <f t="shared" si="516"/>
        <v>1</v>
      </c>
      <c r="U256" s="275" t="str">
        <f t="array" ref="U256">IF(ISBLANK($R256), INDEX('Run Reconcile'!A$2:A2488, MATCH($B256, 'Run Reconcile'!B$2:B2488, 0)+Z256, 1), IFERROR(0/0,""))
</f>
        <v>RUN-FLMP_2021-12-18_RFR-020</v>
      </c>
      <c r="V256" s="474" t="str">
        <f t="shared" si="5"/>
        <v>RUN-FLMP_2021-12-18_RFR-020</v>
      </c>
      <c r="X256" s="103" t="s">
        <v>1317</v>
      </c>
      <c r="Y256" s="89">
        <f t="shared" si="6"/>
        <v>1</v>
      </c>
      <c r="Z256" s="60">
        <f t="shared" si="7"/>
        <v>1</v>
      </c>
      <c r="AA256" s="60" t="str">
        <f t="shared" si="8"/>
        <v/>
      </c>
      <c r="AB256" s="60">
        <f t="shared" si="9"/>
        <v>1</v>
      </c>
      <c r="AC256" s="30" t="str">
        <f t="shared" ref="AC256:AD256" si="517">IF(_xlfn.ISFORMULA(S256),IFERROR(0/0,""),TRUE)</f>
        <v/>
      </c>
      <c r="AD256" s="30" t="str">
        <f t="shared" si="517"/>
        <v/>
      </c>
      <c r="AE256" s="475" t="str">
        <f>IFERROR(__xludf.DUMMYFUNCTION("""COMPUTED_VALUE"""),"FLSP")</f>
        <v>FLSP</v>
      </c>
      <c r="AF256" s="476"/>
      <c r="AG256" s="474" t="s">
        <v>121</v>
      </c>
      <c r="AH256" s="138" t="str">
        <f t="shared" si="11"/>
        <v/>
      </c>
    </row>
    <row r="257">
      <c r="A257" s="103" t="str">
        <f>IFERROR(__xludf.DUMMYFUNCTION("""COMPUTED_VALUE"""),"MA1345")</f>
        <v>MA1345</v>
      </c>
      <c r="B257" s="468">
        <f>IFERROR(__xludf.DUMMYFUNCTION("""COMPUTED_VALUE"""),44548.0)</f>
        <v>44548</v>
      </c>
      <c r="C257" s="469">
        <f>IFERROR(__xludf.DUMMYFUNCTION("""COMPUTED_VALUE"""),0.3922800925925926)</f>
        <v>0.3922800926</v>
      </c>
      <c r="D257" s="103" t="str">
        <f>IFERROR(__xludf.DUMMYFUNCTION("""COMPUTED_VALUE"""),"SpFLMP659315")</f>
        <v>SpFLMP659315</v>
      </c>
      <c r="E257" s="103"/>
      <c r="F257" s="103"/>
      <c r="G257" s="103" t="str">
        <f>IFERROR(__xludf.DUMMYFUNCTION("""COMPUTED_VALUE"""),"Negative")</f>
        <v>Negative</v>
      </c>
      <c r="H257" s="131" t="str">
        <f>IFERROR(__xludf.DUMMYFUNCTION("""COMPUTED_VALUE"""),"Negative")</f>
        <v>Negative</v>
      </c>
      <c r="I257" s="468">
        <f>IFERROR(__xludf.DUMMYFUNCTION("""COMPUTED_VALUE"""),44549.0)</f>
        <v>44549</v>
      </c>
      <c r="J257" s="470">
        <f>IFERROR(__xludf.DUMMYFUNCTION("""COMPUTED_VALUE"""),0.3618865740740741)</f>
        <v>0.3618865741</v>
      </c>
      <c r="K257" s="16"/>
      <c r="L257" s="8"/>
      <c r="M257" s="69"/>
      <c r="N257" s="69">
        <f>IFERROR(__xludf.DUMMYFUNCTION("""COMPUTED_VALUE"""),1.0)</f>
        <v>1</v>
      </c>
      <c r="O257" s="69" t="str">
        <f t="shared" si="3"/>
        <v/>
      </c>
      <c r="P257" s="471">
        <f>IFERROR(__xludf.DUMMYFUNCTION("""COMPUTED_VALUE"""),1.0)</f>
        <v>1</v>
      </c>
      <c r="Q257" s="274" t="str">
        <f>VLOOKUP($B257,'Run Reconcile'!B$2:O2488,14,FALSE)</f>
        <v/>
      </c>
      <c r="R257" s="472" t="str">
        <f t="array" ref="R257">IF($Q257, INDEX('Run Reconcile'!A$2:A2488,MATCH(B257,'Run Reconcile'!B$2:B2488,0),1),IFERROR(0/0,""))</f>
        <v/>
      </c>
      <c r="S257" s="473" t="str">
        <f t="shared" ref="S257:T257" si="518">IF(COUNTIF(W$2:W2488, $A257) &gt; 0,TRUE,IFERROR(0/0,""))</f>
        <v/>
      </c>
      <c r="T257" s="473" t="b">
        <f t="shared" si="518"/>
        <v>1</v>
      </c>
      <c r="U257" s="275" t="str">
        <f t="array" ref="U257">IF(ISBLANK($R257), INDEX('Run Reconcile'!A$2:A2488, MATCH($B257, 'Run Reconcile'!B$2:B2488, 0)+Z257, 1), IFERROR(0/0,""))
</f>
        <v>RUN-FLMP_2021-12-18_RFR-020</v>
      </c>
      <c r="V257" s="474" t="str">
        <f t="shared" si="5"/>
        <v>RUN-FLMP_2021-12-18_RFR-020</v>
      </c>
      <c r="X257" s="103" t="s">
        <v>1318</v>
      </c>
      <c r="Y257" s="89">
        <f t="shared" si="6"/>
        <v>1</v>
      </c>
      <c r="Z257" s="60">
        <f t="shared" si="7"/>
        <v>1</v>
      </c>
      <c r="AA257" s="60" t="str">
        <f t="shared" si="8"/>
        <v/>
      </c>
      <c r="AB257" s="60">
        <f t="shared" si="9"/>
        <v>1</v>
      </c>
      <c r="AC257" s="30" t="str">
        <f t="shared" ref="AC257:AD257" si="519">IF(_xlfn.ISFORMULA(S257),IFERROR(0/0,""),TRUE)</f>
        <v/>
      </c>
      <c r="AD257" s="30" t="str">
        <f t="shared" si="519"/>
        <v/>
      </c>
      <c r="AE257" s="475" t="str">
        <f>IFERROR(__xludf.DUMMYFUNCTION("""COMPUTED_VALUE"""),"FLSP")</f>
        <v>FLSP</v>
      </c>
      <c r="AF257" s="476"/>
      <c r="AG257" s="474" t="s">
        <v>121</v>
      </c>
      <c r="AH257" s="138" t="str">
        <f t="shared" si="11"/>
        <v/>
      </c>
    </row>
    <row r="258">
      <c r="A258" s="103" t="str">
        <f>IFERROR(__xludf.DUMMYFUNCTION("""COMPUTED_VALUE"""),"MA1466")</f>
        <v>MA1466</v>
      </c>
      <c r="B258" s="468">
        <f>IFERROR(__xludf.DUMMYFUNCTION("""COMPUTED_VALUE"""),44548.0)</f>
        <v>44548</v>
      </c>
      <c r="C258" s="469">
        <f>IFERROR(__xludf.DUMMYFUNCTION("""COMPUTED_VALUE"""),0.41572916666666665)</f>
        <v>0.4157291667</v>
      </c>
      <c r="D258" s="103" t="str">
        <f>IFERROR(__xludf.DUMMYFUNCTION("""COMPUTED_VALUE"""),"SpFLMP120998")</f>
        <v>SpFLMP120998</v>
      </c>
      <c r="E258" s="103"/>
      <c r="F258" s="103"/>
      <c r="G258" s="103" t="str">
        <f>IFERROR(__xludf.DUMMYFUNCTION("""COMPUTED_VALUE"""),"Negative")</f>
        <v>Negative</v>
      </c>
      <c r="H258" s="131" t="str">
        <f>IFERROR(__xludf.DUMMYFUNCTION("""COMPUTED_VALUE"""),"Negative")</f>
        <v>Negative</v>
      </c>
      <c r="I258" s="468">
        <f>IFERROR(__xludf.DUMMYFUNCTION("""COMPUTED_VALUE"""),44548.0)</f>
        <v>44548</v>
      </c>
      <c r="J258" s="470">
        <f>IFERROR(__xludf.DUMMYFUNCTION("""COMPUTED_VALUE"""),0.5427893518518518)</f>
        <v>0.5427893519</v>
      </c>
      <c r="K258" s="16"/>
      <c r="L258" s="8"/>
      <c r="M258" s="69"/>
      <c r="N258" s="69">
        <f>IFERROR(__xludf.DUMMYFUNCTION("""COMPUTED_VALUE"""),1.0)</f>
        <v>1</v>
      </c>
      <c r="O258" s="69" t="str">
        <f t="shared" si="3"/>
        <v/>
      </c>
      <c r="P258" s="471">
        <f>IFERROR(__xludf.DUMMYFUNCTION("""COMPUTED_VALUE"""),0.0)</f>
        <v>0</v>
      </c>
      <c r="Q258" s="274" t="str">
        <f>VLOOKUP($B258,'Run Reconcile'!B$2:O2488,14,FALSE)</f>
        <v/>
      </c>
      <c r="R258" s="472" t="str">
        <f t="array" ref="R258">IF($Q258, INDEX('Run Reconcile'!A$2:A2488,MATCH(B258,'Run Reconcile'!B$2:B2488,0),1),IFERROR(0/0,""))</f>
        <v/>
      </c>
      <c r="S258" s="473" t="str">
        <f t="shared" ref="S258:T258" si="520">IF(COUNTIF(W$2:W2488, $A258) &gt; 0,TRUE,IFERROR(0/0,""))</f>
        <v/>
      </c>
      <c r="T258" s="473" t="b">
        <f t="shared" si="520"/>
        <v>1</v>
      </c>
      <c r="U258" s="491" t="str">
        <f t="array" ref="U258">IF(ISBLANK($R258), INDEX('Run Reconcile'!A$2:A2488, MATCH($B258, 'Run Reconcile'!B$2:B2488, 0)+Z258, 1), IFERROR(0/0,""))
</f>
        <v>RUN-FLMP_2021-12-18_RFR-021</v>
      </c>
      <c r="V258" s="474" t="str">
        <f t="shared" si="5"/>
        <v>RUN-FLMP_2021-12-18_RFR-021</v>
      </c>
      <c r="X258" s="110" t="s">
        <v>1319</v>
      </c>
      <c r="Y258" s="115">
        <v>2.0</v>
      </c>
      <c r="Z258" s="60">
        <f t="shared" si="7"/>
        <v>2</v>
      </c>
      <c r="AA258" s="60" t="str">
        <f t="shared" si="8"/>
        <v/>
      </c>
      <c r="AB258" s="60">
        <f t="shared" si="9"/>
        <v>2</v>
      </c>
      <c r="AC258" s="30" t="str">
        <f t="shared" ref="AC258:AD258" si="521">IF(_xlfn.ISFORMULA(S258),IFERROR(0/0,""),TRUE)</f>
        <v/>
      </c>
      <c r="AD258" s="30" t="str">
        <f t="shared" si="521"/>
        <v/>
      </c>
      <c r="AE258" s="475" t="str">
        <f>IFERROR(__xludf.DUMMYFUNCTION("""COMPUTED_VALUE"""),"FLSP")</f>
        <v>FLSP</v>
      </c>
      <c r="AF258" s="476"/>
      <c r="AG258" s="474" t="s">
        <v>122</v>
      </c>
      <c r="AH258" s="138" t="str">
        <f t="shared" si="11"/>
        <v/>
      </c>
    </row>
    <row r="259">
      <c r="A259" s="103" t="str">
        <f>IFERROR(__xludf.DUMMYFUNCTION("""COMPUTED_VALUE"""),"MA1340")</f>
        <v>MA1340</v>
      </c>
      <c r="B259" s="468">
        <f>IFERROR(__xludf.DUMMYFUNCTION("""COMPUTED_VALUE"""),44548.0)</f>
        <v>44548</v>
      </c>
      <c r="C259" s="469">
        <f>IFERROR(__xludf.DUMMYFUNCTION("""COMPUTED_VALUE"""),0.4187037037037037)</f>
        <v>0.4187037037</v>
      </c>
      <c r="D259" s="103" t="str">
        <f>IFERROR(__xludf.DUMMYFUNCTION("""COMPUTED_VALUE"""),"SpFLMP659315")</f>
        <v>SpFLMP659315</v>
      </c>
      <c r="E259" s="103"/>
      <c r="F259" s="103"/>
      <c r="G259" s="103" t="str">
        <f>IFERROR(__xludf.DUMMYFUNCTION("""COMPUTED_VALUE"""),"Negative")</f>
        <v>Negative</v>
      </c>
      <c r="H259" s="131" t="str">
        <f>IFERROR(__xludf.DUMMYFUNCTION("""COMPUTED_VALUE"""),"Negative")</f>
        <v>Negative</v>
      </c>
      <c r="I259" s="468">
        <f>IFERROR(__xludf.DUMMYFUNCTION("""COMPUTED_VALUE"""),44548.0)</f>
        <v>44548</v>
      </c>
      <c r="J259" s="470">
        <f>IFERROR(__xludf.DUMMYFUNCTION("""COMPUTED_VALUE"""),0.5427893518518518)</f>
        <v>0.5427893519</v>
      </c>
      <c r="K259" s="16"/>
      <c r="L259" s="8"/>
      <c r="M259" s="69"/>
      <c r="N259" s="69">
        <f>IFERROR(__xludf.DUMMYFUNCTION("""COMPUTED_VALUE"""),1.0)</f>
        <v>1</v>
      </c>
      <c r="O259" s="69" t="str">
        <f t="shared" si="3"/>
        <v/>
      </c>
      <c r="P259" s="471">
        <f>IFERROR(__xludf.DUMMYFUNCTION("""COMPUTED_VALUE"""),0.0)</f>
        <v>0</v>
      </c>
      <c r="Q259" s="274" t="str">
        <f>VLOOKUP($B259,'Run Reconcile'!B$2:O2488,14,FALSE)</f>
        <v/>
      </c>
      <c r="R259" s="472" t="str">
        <f t="array" ref="R259">IF($Q259, INDEX('Run Reconcile'!A$2:A2488,MATCH(B259,'Run Reconcile'!B$2:B2488,0),1),IFERROR(0/0,""))</f>
        <v/>
      </c>
      <c r="S259" s="473" t="str">
        <f t="shared" ref="S259:T259" si="522">IF(COUNTIF(W$2:W2488, $A259) &gt; 0,TRUE,IFERROR(0/0,""))</f>
        <v/>
      </c>
      <c r="T259" s="473" t="b">
        <f t="shared" si="522"/>
        <v>1</v>
      </c>
      <c r="U259" s="491" t="str">
        <f t="array" ref="U259">IF(ISBLANK($R259), INDEX('Run Reconcile'!A$2:A2488, MATCH($B259, 'Run Reconcile'!B$2:B2488, 0)+Z259, 1), IFERROR(0/0,""))
</f>
        <v>RUN-FLMP_2021-12-18_RFR-021</v>
      </c>
      <c r="V259" s="474" t="str">
        <f t="shared" si="5"/>
        <v>RUN-FLMP_2021-12-18_RFR-021</v>
      </c>
      <c r="X259" s="110" t="s">
        <v>1320</v>
      </c>
      <c r="Y259" s="115">
        <v>2.0</v>
      </c>
      <c r="Z259" s="60">
        <f t="shared" si="7"/>
        <v>2</v>
      </c>
      <c r="AA259" s="60" t="str">
        <f t="shared" si="8"/>
        <v/>
      </c>
      <c r="AB259" s="60">
        <f t="shared" si="9"/>
        <v>2</v>
      </c>
      <c r="AC259" s="30" t="str">
        <f t="shared" ref="AC259:AD259" si="523">IF(_xlfn.ISFORMULA(S259),IFERROR(0/0,""),TRUE)</f>
        <v/>
      </c>
      <c r="AD259" s="30" t="str">
        <f t="shared" si="523"/>
        <v/>
      </c>
      <c r="AE259" s="475" t="str">
        <f>IFERROR(__xludf.DUMMYFUNCTION("""COMPUTED_VALUE"""),"FLSP")</f>
        <v>FLSP</v>
      </c>
      <c r="AF259" s="476"/>
      <c r="AG259" s="474" t="s">
        <v>122</v>
      </c>
      <c r="AH259" s="138" t="str">
        <f t="shared" si="11"/>
        <v/>
      </c>
    </row>
    <row r="260">
      <c r="A260" s="103" t="str">
        <f>IFERROR(__xludf.DUMMYFUNCTION("""COMPUTED_VALUE"""),"MA1474")</f>
        <v>MA1474</v>
      </c>
      <c r="B260" s="468">
        <f>IFERROR(__xludf.DUMMYFUNCTION("""COMPUTED_VALUE"""),44549.0)</f>
        <v>44549</v>
      </c>
      <c r="C260" s="469">
        <f>IFERROR(__xludf.DUMMYFUNCTION("""COMPUTED_VALUE"""),0.3217361111111111)</f>
        <v>0.3217361111</v>
      </c>
      <c r="D260" s="103" t="str">
        <f>IFERROR(__xludf.DUMMYFUNCTION("""COMPUTED_VALUE"""),"SpFLMP684798")</f>
        <v>SpFLMP684798</v>
      </c>
      <c r="E260" s="103"/>
      <c r="F260" s="103"/>
      <c r="G260" s="103" t="str">
        <f>IFERROR(__xludf.DUMMYFUNCTION("""COMPUTED_VALUE"""),"Negative")</f>
        <v>Negative</v>
      </c>
      <c r="H260" s="131" t="str">
        <f>IFERROR(__xludf.DUMMYFUNCTION("""COMPUTED_VALUE"""),"Negative")</f>
        <v>Negative</v>
      </c>
      <c r="I260" s="468">
        <f>IFERROR(__xludf.DUMMYFUNCTION("""COMPUTED_VALUE"""),44549.0)</f>
        <v>44549</v>
      </c>
      <c r="J260" s="470">
        <f>IFERROR(__xludf.DUMMYFUNCTION("""COMPUTED_VALUE"""),0.4151388888888889)</f>
        <v>0.4151388889</v>
      </c>
      <c r="K260" s="16"/>
      <c r="L260" s="8"/>
      <c r="M260" s="69"/>
      <c r="N260" s="69">
        <f>IFERROR(__xludf.DUMMYFUNCTION("""COMPUTED_VALUE"""),1.0)</f>
        <v>1</v>
      </c>
      <c r="O260" s="69" t="b">
        <f t="shared" si="3"/>
        <v>1</v>
      </c>
      <c r="P260" s="471">
        <f>IFERROR(__xludf.DUMMYFUNCTION("""COMPUTED_VALUE"""),0.0)</f>
        <v>0</v>
      </c>
      <c r="Q260" s="274" t="str">
        <f>VLOOKUP($B260,'Run Reconcile'!B$2:O2488,14,FALSE)</f>
        <v/>
      </c>
      <c r="R260" s="472" t="str">
        <f t="array" ref="R260">IF($Q260, INDEX('Run Reconcile'!A$2:A2488,MATCH(B260,'Run Reconcile'!B$2:B2488,0),1),IFERROR(0/0,""))</f>
        <v/>
      </c>
      <c r="S260" s="473" t="str">
        <f t="shared" ref="S260:T260" si="524">IF(COUNTIF(W$2:W2488, $A260) &gt; 0,TRUE,IFERROR(0/0,""))</f>
        <v/>
      </c>
      <c r="T260" s="473" t="str">
        <f t="shared" si="524"/>
        <v/>
      </c>
      <c r="U260" s="275" t="str">
        <f t="array" ref="U260">IF(ISBLANK($R260), INDEX('Run Reconcile'!A$2:A2488, MATCH($B260, 'Run Reconcile'!B$2:B2488, 0)+Z260, 1), IFERROR(0/0,""))
</f>
        <v>RUN-FLMP_2021-12-19_RFR-022</v>
      </c>
      <c r="V260" s="474" t="str">
        <f t="shared" si="5"/>
        <v>RUN-FLMP_2021-12-19_RFR-022</v>
      </c>
      <c r="Y260" s="89" t="str">
        <f t="shared" ref="Y260:Y346" si="527">IF(AND(ISBLANK(W260),ISBLANK(X260)),IFERROR(0/0,""),1)</f>
        <v/>
      </c>
      <c r="Z260" s="60" t="str">
        <f t="shared" si="7"/>
        <v/>
      </c>
      <c r="AA260" s="60" t="str">
        <f t="shared" si="8"/>
        <v/>
      </c>
      <c r="AB260" s="60" t="str">
        <f t="shared" si="9"/>
        <v/>
      </c>
      <c r="AC260" s="30" t="str">
        <f t="shared" ref="AC260:AD260" si="525">IF(_xlfn.ISFORMULA(S260),IFERROR(0/0,""),TRUE)</f>
        <v/>
      </c>
      <c r="AD260" s="30" t="str">
        <f t="shared" si="525"/>
        <v/>
      </c>
      <c r="AE260" s="475" t="str">
        <f>IFERROR(__xludf.DUMMYFUNCTION("""COMPUTED_VALUE"""),"FLSP")</f>
        <v>FLSP</v>
      </c>
      <c r="AF260" s="476"/>
      <c r="AG260" s="474" t="s">
        <v>123</v>
      </c>
      <c r="AH260" s="138" t="str">
        <f t="shared" si="11"/>
        <v/>
      </c>
    </row>
    <row r="261">
      <c r="A261" s="103" t="str">
        <f>IFERROR(__xludf.DUMMYFUNCTION("""COMPUTED_VALUE"""),"MA1347")</f>
        <v>MA1347</v>
      </c>
      <c r="B261" s="468">
        <f>IFERROR(__xludf.DUMMYFUNCTION("""COMPUTED_VALUE"""),44549.0)</f>
        <v>44549</v>
      </c>
      <c r="C261" s="469">
        <f>IFERROR(__xludf.DUMMYFUNCTION("""COMPUTED_VALUE"""),0.32233796296296297)</f>
        <v>0.322337963</v>
      </c>
      <c r="D261" s="103" t="str">
        <f>IFERROR(__xludf.DUMMYFUNCTION("""COMPUTED_VALUE"""),"SpFLMP684798")</f>
        <v>SpFLMP684798</v>
      </c>
      <c r="E261" s="103"/>
      <c r="F261" s="103"/>
      <c r="G261" s="103" t="str">
        <f>IFERROR(__xludf.DUMMYFUNCTION("""COMPUTED_VALUE"""),"Negative")</f>
        <v>Negative</v>
      </c>
      <c r="H261" s="131" t="str">
        <f>IFERROR(__xludf.DUMMYFUNCTION("""COMPUTED_VALUE"""),"Negative")</f>
        <v>Negative</v>
      </c>
      <c r="I261" s="468">
        <f>IFERROR(__xludf.DUMMYFUNCTION("""COMPUTED_VALUE"""),44549.0)</f>
        <v>44549</v>
      </c>
      <c r="J261" s="470">
        <f>IFERROR(__xludf.DUMMYFUNCTION("""COMPUTED_VALUE"""),0.4151388888888889)</f>
        <v>0.4151388889</v>
      </c>
      <c r="K261" s="16"/>
      <c r="L261" s="8"/>
      <c r="M261" s="69"/>
      <c r="N261" s="69">
        <f>IFERROR(__xludf.DUMMYFUNCTION("""COMPUTED_VALUE"""),1.0)</f>
        <v>1</v>
      </c>
      <c r="O261" s="69" t="str">
        <f t="shared" si="3"/>
        <v/>
      </c>
      <c r="P261" s="471">
        <f>IFERROR(__xludf.DUMMYFUNCTION("""COMPUTED_VALUE"""),0.0)</f>
        <v>0</v>
      </c>
      <c r="Q261" s="274" t="str">
        <f>VLOOKUP($B261,'Run Reconcile'!B$2:O2488,14,FALSE)</f>
        <v/>
      </c>
      <c r="R261" s="472" t="str">
        <f t="array" ref="R261">IF($Q261, INDEX('Run Reconcile'!A$2:A2488,MATCH(B261,'Run Reconcile'!B$2:B2488,0),1),IFERROR(0/0,""))</f>
        <v/>
      </c>
      <c r="S261" s="473" t="str">
        <f t="shared" ref="S261:T261" si="526">IF(COUNTIF(W$2:W2488, $A261) &gt; 0,TRUE,IFERROR(0/0,""))</f>
        <v/>
      </c>
      <c r="T261" s="473" t="str">
        <f t="shared" si="526"/>
        <v/>
      </c>
      <c r="U261" s="275" t="str">
        <f t="array" ref="U261">IF(ISBLANK($R261), INDEX('Run Reconcile'!A$2:A2488, MATCH($B261, 'Run Reconcile'!B$2:B2488, 0)+Z261, 1), IFERROR(0/0,""))
</f>
        <v>RUN-FLMP_2021-12-19_RFR-022</v>
      </c>
      <c r="V261" s="474" t="str">
        <f t="shared" si="5"/>
        <v>RUN-FLMP_2021-12-19_RFR-022</v>
      </c>
      <c r="Y261" s="89" t="str">
        <f t="shared" si="527"/>
        <v/>
      </c>
      <c r="Z261" s="60" t="str">
        <f t="shared" si="7"/>
        <v/>
      </c>
      <c r="AA261" s="60" t="str">
        <f t="shared" si="8"/>
        <v/>
      </c>
      <c r="AB261" s="60" t="str">
        <f t="shared" si="9"/>
        <v/>
      </c>
      <c r="AC261" s="30" t="str">
        <f t="shared" ref="AC261:AD261" si="528">IF(_xlfn.ISFORMULA(S261),IFERROR(0/0,""),TRUE)</f>
        <v/>
      </c>
      <c r="AD261" s="30" t="str">
        <f t="shared" si="528"/>
        <v/>
      </c>
      <c r="AE261" s="475" t="str">
        <f>IFERROR(__xludf.DUMMYFUNCTION("""COMPUTED_VALUE"""),"FLSP")</f>
        <v>FLSP</v>
      </c>
      <c r="AF261" s="476"/>
      <c r="AG261" s="474" t="s">
        <v>123</v>
      </c>
      <c r="AH261" s="138" t="str">
        <f t="shared" si="11"/>
        <v/>
      </c>
    </row>
    <row r="262">
      <c r="A262" s="103" t="str">
        <f>IFERROR(__xludf.DUMMYFUNCTION("""COMPUTED_VALUE"""),"MA1363")</f>
        <v>MA1363</v>
      </c>
      <c r="B262" s="468">
        <f>IFERROR(__xludf.DUMMYFUNCTION("""COMPUTED_VALUE"""),44549.0)</f>
        <v>44549</v>
      </c>
      <c r="C262" s="469">
        <f>IFERROR(__xludf.DUMMYFUNCTION("""COMPUTED_VALUE"""),0.32278935185185187)</f>
        <v>0.3227893519</v>
      </c>
      <c r="D262" s="103" t="str">
        <f>IFERROR(__xludf.DUMMYFUNCTION("""COMPUTED_VALUE"""),"SpFLMP684798")</f>
        <v>SpFLMP684798</v>
      </c>
      <c r="E262" s="103"/>
      <c r="F262" s="103"/>
      <c r="G262" s="103" t="str">
        <f>IFERROR(__xludf.DUMMYFUNCTION("""COMPUTED_VALUE"""),"Negative")</f>
        <v>Negative</v>
      </c>
      <c r="H262" s="131" t="str">
        <f>IFERROR(__xludf.DUMMYFUNCTION("""COMPUTED_VALUE"""),"Negative")</f>
        <v>Negative</v>
      </c>
      <c r="I262" s="468">
        <f>IFERROR(__xludf.DUMMYFUNCTION("""COMPUTED_VALUE"""),44549.0)</f>
        <v>44549</v>
      </c>
      <c r="J262" s="470">
        <f>IFERROR(__xludf.DUMMYFUNCTION("""COMPUTED_VALUE"""),0.4151388888888889)</f>
        <v>0.4151388889</v>
      </c>
      <c r="K262" s="16"/>
      <c r="L262" s="8"/>
      <c r="M262" s="69"/>
      <c r="N262" s="69">
        <f>IFERROR(__xludf.DUMMYFUNCTION("""COMPUTED_VALUE"""),1.0)</f>
        <v>1</v>
      </c>
      <c r="O262" s="69" t="str">
        <f t="shared" si="3"/>
        <v/>
      </c>
      <c r="P262" s="471">
        <f>IFERROR(__xludf.DUMMYFUNCTION("""COMPUTED_VALUE"""),0.0)</f>
        <v>0</v>
      </c>
      <c r="Q262" s="274" t="str">
        <f>VLOOKUP($B262,'Run Reconcile'!B$2:O2488,14,FALSE)</f>
        <v/>
      </c>
      <c r="R262" s="472" t="str">
        <f t="array" ref="R262">IF($Q262, INDEX('Run Reconcile'!A$2:A2488,MATCH(B262,'Run Reconcile'!B$2:B2488,0),1),IFERROR(0/0,""))</f>
        <v/>
      </c>
      <c r="S262" s="473" t="str">
        <f t="shared" ref="S262:T262" si="529">IF(COUNTIF(W$2:W2488, $A262) &gt; 0,TRUE,IFERROR(0/0,""))</f>
        <v/>
      </c>
      <c r="T262" s="473" t="str">
        <f t="shared" si="529"/>
        <v/>
      </c>
      <c r="U262" s="275" t="str">
        <f t="array" ref="U262">IF(ISBLANK($R262), INDEX('Run Reconcile'!A$2:A2488, MATCH($B262, 'Run Reconcile'!B$2:B2488, 0)+Z262, 1), IFERROR(0/0,""))
</f>
        <v>RUN-FLMP_2021-12-19_RFR-022</v>
      </c>
      <c r="V262" s="474" t="str">
        <f t="shared" si="5"/>
        <v>RUN-FLMP_2021-12-19_RFR-022</v>
      </c>
      <c r="Y262" s="89" t="str">
        <f t="shared" si="527"/>
        <v/>
      </c>
      <c r="Z262" s="60" t="str">
        <f t="shared" si="7"/>
        <v/>
      </c>
      <c r="AA262" s="60" t="str">
        <f t="shared" si="8"/>
        <v/>
      </c>
      <c r="AB262" s="60" t="str">
        <f t="shared" si="9"/>
        <v/>
      </c>
      <c r="AC262" s="30" t="str">
        <f t="shared" ref="AC262:AD262" si="530">IF(_xlfn.ISFORMULA(S262),IFERROR(0/0,""),TRUE)</f>
        <v/>
      </c>
      <c r="AD262" s="30" t="str">
        <f t="shared" si="530"/>
        <v/>
      </c>
      <c r="AE262" s="475" t="str">
        <f>IFERROR(__xludf.DUMMYFUNCTION("""COMPUTED_VALUE"""),"FLSP")</f>
        <v>FLSP</v>
      </c>
      <c r="AF262" s="476"/>
      <c r="AG262" s="474" t="s">
        <v>123</v>
      </c>
      <c r="AH262" s="138" t="str">
        <f t="shared" si="11"/>
        <v/>
      </c>
    </row>
    <row r="263">
      <c r="A263" s="103" t="str">
        <f>IFERROR(__xludf.DUMMYFUNCTION("""COMPUTED_VALUE"""),"FLT1530")</f>
        <v>FLT1530</v>
      </c>
      <c r="B263" s="468">
        <f>IFERROR(__xludf.DUMMYFUNCTION("""COMPUTED_VALUE"""),44549.0)</f>
        <v>44549</v>
      </c>
      <c r="C263" s="469">
        <f>IFERROR(__xludf.DUMMYFUNCTION("""COMPUTED_VALUE"""),0.3256597222222222)</f>
        <v>0.3256597222</v>
      </c>
      <c r="D263" s="103" t="str">
        <f>IFERROR(__xludf.DUMMYFUNCTION("""COMPUTED_VALUE"""),"SpFLMP604497")</f>
        <v>SpFLMP604497</v>
      </c>
      <c r="E263" s="103"/>
      <c r="F263" s="103"/>
      <c r="G263" s="103" t="str">
        <f>IFERROR(__xludf.DUMMYFUNCTION("""COMPUTED_VALUE"""),"Null")</f>
        <v>Null</v>
      </c>
      <c r="H263" s="131" t="str">
        <f>IFERROR(__xludf.DUMMYFUNCTION("""COMPUTED_VALUE"""),"Negative")</f>
        <v>Negative</v>
      </c>
      <c r="I263" s="468"/>
      <c r="J263" s="16"/>
      <c r="K263" s="16">
        <f>IFERROR(__xludf.DUMMYFUNCTION("""COMPUTED_VALUE"""),2.0)</f>
        <v>2</v>
      </c>
      <c r="L263" s="8"/>
      <c r="M263" s="69"/>
      <c r="N263" s="69">
        <f>IFERROR(__xludf.DUMMYFUNCTION("""COMPUTED_VALUE"""),4.0)</f>
        <v>4</v>
      </c>
      <c r="O263" s="69" t="str">
        <f t="shared" si="3"/>
        <v/>
      </c>
      <c r="P263" s="471">
        <f>IFERROR(__xludf.DUMMYFUNCTION("""COMPUTED_VALUE"""),-1.0)</f>
        <v>-1</v>
      </c>
      <c r="Q263" s="274" t="str">
        <f>VLOOKUP($B263,'Run Reconcile'!B$2:O2488,14,FALSE)</f>
        <v/>
      </c>
      <c r="R263" s="472" t="str">
        <f t="array" ref="R263">IF($Q263, INDEX('Run Reconcile'!A$2:A2488,MATCH(B263,'Run Reconcile'!B$2:B2488,0),1),IFERROR(0/0,""))</f>
        <v/>
      </c>
      <c r="S263" s="473" t="str">
        <f t="shared" ref="S263:T263" si="531">IF(COUNTIF(W$2:W2488, $A263) &gt; 0,TRUE,IFERROR(0/0,""))</f>
        <v/>
      </c>
      <c r="T263" s="473" t="b">
        <f t="shared" si="531"/>
        <v>1</v>
      </c>
      <c r="U263" s="275" t="str">
        <f t="array" ref="U263">IF(ISBLANK($R263), INDEX('Run Reconcile'!A$2:A2488, MATCH($B263, 'Run Reconcile'!B$2:B2488, 0)+Z263, 1), IFERROR(0/0,""))
</f>
        <v>RUN-FLMP_2021-12-19_RFR-023</v>
      </c>
      <c r="V263" s="474" t="str">
        <f t="shared" si="5"/>
        <v>RUN-FLMP_2021-12-19_RFR-023</v>
      </c>
      <c r="X263" s="103" t="s">
        <v>1321</v>
      </c>
      <c r="Y263" s="89">
        <f t="shared" si="527"/>
        <v>1</v>
      </c>
      <c r="Z263" s="60">
        <f t="shared" si="7"/>
        <v>1</v>
      </c>
      <c r="AA263" s="60" t="str">
        <f t="shared" si="8"/>
        <v/>
      </c>
      <c r="AB263" s="60">
        <f t="shared" si="9"/>
        <v>1</v>
      </c>
      <c r="AC263" s="30" t="str">
        <f t="shared" ref="AC263:AD263" si="532">IF(_xlfn.ISFORMULA(S263),IFERROR(0/0,""),TRUE)</f>
        <v/>
      </c>
      <c r="AD263" s="30" t="str">
        <f t="shared" si="532"/>
        <v/>
      </c>
      <c r="AE263" s="475" t="str">
        <f>IFERROR(__xludf.DUMMYFUNCTION("""COMPUTED_VALUE"""),"FLSP")</f>
        <v>FLSP</v>
      </c>
      <c r="AF263" s="476"/>
      <c r="AG263" s="474" t="s">
        <v>124</v>
      </c>
      <c r="AH263" s="138" t="str">
        <f t="shared" si="11"/>
        <v/>
      </c>
    </row>
    <row r="264">
      <c r="A264" s="103" t="str">
        <f>IFERROR(__xludf.DUMMYFUNCTION("""COMPUTED_VALUE"""),"MA1467")</f>
        <v>MA1467</v>
      </c>
      <c r="B264" s="468">
        <f>IFERROR(__xludf.DUMMYFUNCTION("""COMPUTED_VALUE"""),44550.0)</f>
        <v>44550</v>
      </c>
      <c r="C264" s="469">
        <f>IFERROR(__xludf.DUMMYFUNCTION("""COMPUTED_VALUE"""),0.27490740740740743)</f>
        <v>0.2749074074</v>
      </c>
      <c r="D264" s="103" t="str">
        <f>IFERROR(__xludf.DUMMYFUNCTION("""COMPUTED_VALUE"""),"SpFLMP684798")</f>
        <v>SpFLMP684798</v>
      </c>
      <c r="E264" s="103"/>
      <c r="F264" s="103"/>
      <c r="G264" s="103" t="str">
        <f>IFERROR(__xludf.DUMMYFUNCTION("""COMPUTED_VALUE"""),"Negative")</f>
        <v>Negative</v>
      </c>
      <c r="H264" s="131" t="str">
        <f>IFERROR(__xludf.DUMMYFUNCTION("""COMPUTED_VALUE"""),"Negative")</f>
        <v>Negative</v>
      </c>
      <c r="I264" s="468">
        <f>IFERROR(__xludf.DUMMYFUNCTION("""COMPUTED_VALUE"""),44550.0)</f>
        <v>44550</v>
      </c>
      <c r="J264" s="470">
        <f>IFERROR(__xludf.DUMMYFUNCTION("""COMPUTED_VALUE"""),0.38481481481481483)</f>
        <v>0.3848148148</v>
      </c>
      <c r="K264" s="16"/>
      <c r="L264" s="8"/>
      <c r="M264" s="69"/>
      <c r="N264" s="69">
        <f>IFERROR(__xludf.DUMMYFUNCTION("""COMPUTED_VALUE"""),1.0)</f>
        <v>1</v>
      </c>
      <c r="O264" s="69" t="b">
        <f t="shared" si="3"/>
        <v>1</v>
      </c>
      <c r="P264" s="471">
        <f>IFERROR(__xludf.DUMMYFUNCTION("""COMPUTED_VALUE"""),0.0)</f>
        <v>0</v>
      </c>
      <c r="Q264" s="274" t="str">
        <f>VLOOKUP($B264,'Run Reconcile'!B$2:O2488,14,FALSE)</f>
        <v/>
      </c>
      <c r="R264" s="472" t="str">
        <f t="array" ref="R264">IF($Q264, INDEX('Run Reconcile'!A$2:A2488,MATCH(B264,'Run Reconcile'!B$2:B2488,0),1),IFERROR(0/0,""))</f>
        <v/>
      </c>
      <c r="S264" s="473" t="str">
        <f t="shared" ref="S264:T264" si="533">IF(COUNTIF(W$2:W2488, $A264) &gt; 0,TRUE,IFERROR(0/0,""))</f>
        <v/>
      </c>
      <c r="T264" s="473" t="str">
        <f t="shared" si="533"/>
        <v/>
      </c>
      <c r="U264" s="275" t="str">
        <f t="array" ref="U264">IF(ISBLANK($R264), INDEX('Run Reconcile'!A$2:A2488, MATCH($B264, 'Run Reconcile'!B$2:B2488, 0)+Z264, 1), IFERROR(0/0,""))
</f>
        <v>RUN-FLMP_2021-12-20_RFR-024</v>
      </c>
      <c r="V264" s="474" t="str">
        <f t="shared" si="5"/>
        <v>RUN-FLMP_2021-12-20_RFR-024</v>
      </c>
      <c r="Y264" s="89" t="str">
        <f t="shared" si="527"/>
        <v/>
      </c>
      <c r="Z264" s="60" t="str">
        <f t="shared" si="7"/>
        <v/>
      </c>
      <c r="AA264" s="60" t="str">
        <f t="shared" si="8"/>
        <v/>
      </c>
      <c r="AB264" s="60" t="str">
        <f t="shared" si="9"/>
        <v/>
      </c>
      <c r="AC264" s="30" t="str">
        <f t="shared" ref="AC264:AD264" si="534">IF(_xlfn.ISFORMULA(S264),IFERROR(0/0,""),TRUE)</f>
        <v/>
      </c>
      <c r="AD264" s="30" t="str">
        <f t="shared" si="534"/>
        <v/>
      </c>
      <c r="AE264" s="475" t="str">
        <f>IFERROR(__xludf.DUMMYFUNCTION("""COMPUTED_VALUE"""),"FLSP")</f>
        <v>FLSP</v>
      </c>
      <c r="AF264" s="476"/>
      <c r="AG264" s="474" t="s">
        <v>125</v>
      </c>
      <c r="AH264" s="138" t="str">
        <f t="shared" si="11"/>
        <v/>
      </c>
    </row>
    <row r="265">
      <c r="A265" s="103" t="str">
        <f>IFERROR(__xludf.DUMMYFUNCTION("""COMPUTED_VALUE"""),"MA1370")</f>
        <v>MA1370</v>
      </c>
      <c r="B265" s="468">
        <f>IFERROR(__xludf.DUMMYFUNCTION("""COMPUTED_VALUE"""),44550.0)</f>
        <v>44550</v>
      </c>
      <c r="C265" s="469">
        <f>IFERROR(__xludf.DUMMYFUNCTION("""COMPUTED_VALUE"""),0.2763888888888889)</f>
        <v>0.2763888889</v>
      </c>
      <c r="D265" s="103" t="str">
        <f>IFERROR(__xludf.DUMMYFUNCTION("""COMPUTED_VALUE"""),"SpFLMP684798")</f>
        <v>SpFLMP684798</v>
      </c>
      <c r="E265" s="103"/>
      <c r="F265" s="103"/>
      <c r="G265" s="103" t="str">
        <f>IFERROR(__xludf.DUMMYFUNCTION("""COMPUTED_VALUE"""),"Negative")</f>
        <v>Negative</v>
      </c>
      <c r="H265" s="131" t="str">
        <f>IFERROR(__xludf.DUMMYFUNCTION("""COMPUTED_VALUE"""),"Negative")</f>
        <v>Negative</v>
      </c>
      <c r="I265" s="468">
        <f>IFERROR(__xludf.DUMMYFUNCTION("""COMPUTED_VALUE"""),44550.0)</f>
        <v>44550</v>
      </c>
      <c r="J265" s="470">
        <f>IFERROR(__xludf.DUMMYFUNCTION("""COMPUTED_VALUE"""),0.38481481481481483)</f>
        <v>0.3848148148</v>
      </c>
      <c r="K265" s="16"/>
      <c r="L265" s="8"/>
      <c r="M265" s="69"/>
      <c r="N265" s="69">
        <f>IFERROR(__xludf.DUMMYFUNCTION("""COMPUTED_VALUE"""),1.0)</f>
        <v>1</v>
      </c>
      <c r="O265" s="69" t="str">
        <f t="shared" si="3"/>
        <v/>
      </c>
      <c r="P265" s="471">
        <f>IFERROR(__xludf.DUMMYFUNCTION("""COMPUTED_VALUE"""),0.0)</f>
        <v>0</v>
      </c>
      <c r="Q265" s="274" t="str">
        <f>VLOOKUP($B265,'Run Reconcile'!B$2:O2488,14,FALSE)</f>
        <v/>
      </c>
      <c r="R265" s="472" t="str">
        <f t="array" ref="R265">IF($Q265, INDEX('Run Reconcile'!A$2:A2488,MATCH(B265,'Run Reconcile'!B$2:B2488,0),1),IFERROR(0/0,""))</f>
        <v/>
      </c>
      <c r="S265" s="473" t="str">
        <f t="shared" ref="S265:T265" si="535">IF(COUNTIF(W$2:W2488, $A265) &gt; 0,TRUE,IFERROR(0/0,""))</f>
        <v/>
      </c>
      <c r="T265" s="473" t="str">
        <f t="shared" si="535"/>
        <v/>
      </c>
      <c r="U265" s="275" t="str">
        <f t="array" ref="U265">IF(ISBLANK($R265), INDEX('Run Reconcile'!A$2:A2488, MATCH($B265, 'Run Reconcile'!B$2:B2488, 0)+Z265, 1), IFERROR(0/0,""))
</f>
        <v>RUN-FLMP_2021-12-20_RFR-024</v>
      </c>
      <c r="V265" s="474" t="str">
        <f t="shared" si="5"/>
        <v>RUN-FLMP_2021-12-20_RFR-024</v>
      </c>
      <c r="Y265" s="89" t="str">
        <f t="shared" si="527"/>
        <v/>
      </c>
      <c r="Z265" s="60" t="str">
        <f t="shared" si="7"/>
        <v/>
      </c>
      <c r="AA265" s="60" t="str">
        <f t="shared" si="8"/>
        <v/>
      </c>
      <c r="AB265" s="60" t="str">
        <f t="shared" si="9"/>
        <v/>
      </c>
      <c r="AC265" s="30" t="str">
        <f t="shared" ref="AC265:AD265" si="536">IF(_xlfn.ISFORMULA(S265),IFERROR(0/0,""),TRUE)</f>
        <v/>
      </c>
      <c r="AD265" s="30" t="str">
        <f t="shared" si="536"/>
        <v/>
      </c>
      <c r="AE265" s="475" t="str">
        <f>IFERROR(__xludf.DUMMYFUNCTION("""COMPUTED_VALUE"""),"FLSP")</f>
        <v>FLSP</v>
      </c>
      <c r="AF265" s="476"/>
      <c r="AG265" s="474" t="s">
        <v>125</v>
      </c>
      <c r="AH265" s="138" t="str">
        <f t="shared" si="11"/>
        <v/>
      </c>
    </row>
    <row r="266">
      <c r="A266" s="103" t="str">
        <f>IFERROR(__xludf.DUMMYFUNCTION("""COMPUTED_VALUE"""),"MA1211")</f>
        <v>MA1211</v>
      </c>
      <c r="B266" s="468">
        <f>IFERROR(__xludf.DUMMYFUNCTION("""COMPUTED_VALUE"""),44550.0)</f>
        <v>44550</v>
      </c>
      <c r="C266" s="469">
        <f>IFERROR(__xludf.DUMMYFUNCTION("""COMPUTED_VALUE"""),0.2833101851851852)</f>
        <v>0.2833101852</v>
      </c>
      <c r="D266" s="103" t="str">
        <f>IFERROR(__xludf.DUMMYFUNCTION("""COMPUTED_VALUE"""),"SpFLMP684798")</f>
        <v>SpFLMP684798</v>
      </c>
      <c r="E266" s="103"/>
      <c r="F266" s="103"/>
      <c r="G266" s="103" t="str">
        <f>IFERROR(__xludf.DUMMYFUNCTION("""COMPUTED_VALUE"""),"Negative")</f>
        <v>Negative</v>
      </c>
      <c r="H266" s="131" t="str">
        <f>IFERROR(__xludf.DUMMYFUNCTION("""COMPUTED_VALUE"""),"Negative")</f>
        <v>Negative</v>
      </c>
      <c r="I266" s="468">
        <f>IFERROR(__xludf.DUMMYFUNCTION("""COMPUTED_VALUE"""),44550.0)</f>
        <v>44550</v>
      </c>
      <c r="J266" s="470">
        <f>IFERROR(__xludf.DUMMYFUNCTION("""COMPUTED_VALUE"""),0.38481481481481483)</f>
        <v>0.3848148148</v>
      </c>
      <c r="K266" s="16"/>
      <c r="L266" s="8"/>
      <c r="M266" s="69"/>
      <c r="N266" s="69">
        <f>IFERROR(__xludf.DUMMYFUNCTION("""COMPUTED_VALUE"""),1.0)</f>
        <v>1</v>
      </c>
      <c r="O266" s="69" t="str">
        <f t="shared" si="3"/>
        <v/>
      </c>
      <c r="P266" s="471">
        <f>IFERROR(__xludf.DUMMYFUNCTION("""COMPUTED_VALUE"""),0.0)</f>
        <v>0</v>
      </c>
      <c r="Q266" s="274" t="str">
        <f>VLOOKUP($B266,'Run Reconcile'!B$2:O2488,14,FALSE)</f>
        <v/>
      </c>
      <c r="R266" s="472" t="str">
        <f t="array" ref="R266">IF($Q266, INDEX('Run Reconcile'!A$2:A2488,MATCH(B266,'Run Reconcile'!B$2:B2488,0),1),IFERROR(0/0,""))</f>
        <v/>
      </c>
      <c r="S266" s="473" t="str">
        <f t="shared" ref="S266:T266" si="537">IF(COUNTIF(W$2:W2488, $A266) &gt; 0,TRUE,IFERROR(0/0,""))</f>
        <v/>
      </c>
      <c r="T266" s="473" t="str">
        <f t="shared" si="537"/>
        <v/>
      </c>
      <c r="U266" s="275" t="str">
        <f t="array" ref="U266">IF(ISBLANK($R266), INDEX('Run Reconcile'!A$2:A2488, MATCH($B266, 'Run Reconcile'!B$2:B2488, 0)+Z266, 1), IFERROR(0/0,""))
</f>
        <v>RUN-FLMP_2021-12-20_RFR-024</v>
      </c>
      <c r="V266" s="474" t="str">
        <f t="shared" si="5"/>
        <v>RUN-FLMP_2021-12-20_RFR-024</v>
      </c>
      <c r="Y266" s="89" t="str">
        <f t="shared" si="527"/>
        <v/>
      </c>
      <c r="Z266" s="60" t="str">
        <f t="shared" si="7"/>
        <v/>
      </c>
      <c r="AA266" s="60" t="str">
        <f t="shared" si="8"/>
        <v/>
      </c>
      <c r="AB266" s="60" t="str">
        <f t="shared" si="9"/>
        <v/>
      </c>
      <c r="AC266" s="30" t="str">
        <f t="shared" ref="AC266:AD266" si="538">IF(_xlfn.ISFORMULA(S266),IFERROR(0/0,""),TRUE)</f>
        <v/>
      </c>
      <c r="AD266" s="30" t="str">
        <f t="shared" si="538"/>
        <v/>
      </c>
      <c r="AE266" s="475" t="str">
        <f>IFERROR(__xludf.DUMMYFUNCTION("""COMPUTED_VALUE"""),"FLSP")</f>
        <v>FLSP</v>
      </c>
      <c r="AF266" s="476"/>
      <c r="AG266" s="474" t="s">
        <v>125</v>
      </c>
      <c r="AH266" s="138" t="str">
        <f t="shared" si="11"/>
        <v/>
      </c>
    </row>
    <row r="267">
      <c r="A267" s="103" t="str">
        <f>IFERROR(__xludf.DUMMYFUNCTION("""COMPUTED_VALUE"""),"MA1487")</f>
        <v>MA1487</v>
      </c>
      <c r="B267" s="468">
        <f>IFERROR(__xludf.DUMMYFUNCTION("""COMPUTED_VALUE"""),44550.0)</f>
        <v>44550</v>
      </c>
      <c r="C267" s="469">
        <f>IFERROR(__xludf.DUMMYFUNCTION("""COMPUTED_VALUE"""),0.3761574074074074)</f>
        <v>0.3761574074</v>
      </c>
      <c r="D267" s="103" t="str">
        <f>IFERROR(__xludf.DUMMYFUNCTION("""COMPUTED_VALUE"""),"SpFLMP120998")</f>
        <v>SpFLMP120998</v>
      </c>
      <c r="E267" s="103"/>
      <c r="F267" s="103"/>
      <c r="G267" s="103" t="str">
        <f>IFERROR(__xludf.DUMMYFUNCTION("""COMPUTED_VALUE"""),"Negative")</f>
        <v>Negative</v>
      </c>
      <c r="H267" s="131" t="str">
        <f>IFERROR(__xludf.DUMMYFUNCTION("""COMPUTED_VALUE"""),"Negative")</f>
        <v>Negative</v>
      </c>
      <c r="I267" s="468">
        <f>IFERROR(__xludf.DUMMYFUNCTION("""COMPUTED_VALUE"""),44550.0)</f>
        <v>44550</v>
      </c>
      <c r="J267" s="470">
        <f>IFERROR(__xludf.DUMMYFUNCTION("""COMPUTED_VALUE"""),0.5558449074074074)</f>
        <v>0.5558449074</v>
      </c>
      <c r="K267" s="16"/>
      <c r="L267" s="8"/>
      <c r="M267" s="69"/>
      <c r="N267" s="69">
        <f>IFERROR(__xludf.DUMMYFUNCTION("""COMPUTED_VALUE"""),1.0)</f>
        <v>1</v>
      </c>
      <c r="O267" s="69" t="str">
        <f t="shared" si="3"/>
        <v/>
      </c>
      <c r="P267" s="471">
        <f>IFERROR(__xludf.DUMMYFUNCTION("""COMPUTED_VALUE"""),0.0)</f>
        <v>0</v>
      </c>
      <c r="Q267" s="274" t="str">
        <f>VLOOKUP($B267,'Run Reconcile'!B$2:O2488,14,FALSE)</f>
        <v/>
      </c>
      <c r="R267" s="472" t="str">
        <f t="array" ref="R267">IF($Q267, INDEX('Run Reconcile'!A$2:A2488,MATCH(B267,'Run Reconcile'!B$2:B2488,0),1),IFERROR(0/0,""))</f>
        <v/>
      </c>
      <c r="S267" s="473" t="str">
        <f t="shared" ref="S267:T267" si="539">IF(COUNTIF(W$2:W2488, $A267) &gt; 0,TRUE,IFERROR(0/0,""))</f>
        <v/>
      </c>
      <c r="T267" s="473" t="b">
        <f t="shared" si="539"/>
        <v>1</v>
      </c>
      <c r="U267" s="275" t="str">
        <f t="array" ref="U267">IF(ISBLANK($R267), INDEX('Run Reconcile'!A$2:A2488, MATCH($B267, 'Run Reconcile'!B$2:B2488, 0)+Z267, 1), IFERROR(0/0,""))
</f>
        <v>RUN-FLMP_2021-12-20_RFR-026</v>
      </c>
      <c r="V267" s="474" t="str">
        <f t="shared" si="5"/>
        <v>RUN-FLMP_2021-12-20_RFR-026</v>
      </c>
      <c r="X267" s="103" t="s">
        <v>1322</v>
      </c>
      <c r="Y267" s="89">
        <f t="shared" si="527"/>
        <v>1</v>
      </c>
      <c r="Z267" s="60">
        <f t="shared" si="7"/>
        <v>1</v>
      </c>
      <c r="AA267" s="60" t="str">
        <f t="shared" si="8"/>
        <v/>
      </c>
      <c r="AB267" s="60">
        <f t="shared" si="9"/>
        <v>1</v>
      </c>
      <c r="AC267" s="30" t="str">
        <f t="shared" ref="AC267:AD267" si="540">IF(_xlfn.ISFORMULA(S267),IFERROR(0/0,""),TRUE)</f>
        <v/>
      </c>
      <c r="AD267" s="30" t="str">
        <f t="shared" si="540"/>
        <v/>
      </c>
      <c r="AE267" s="475" t="str">
        <f>IFERROR(__xludf.DUMMYFUNCTION("""COMPUTED_VALUE"""),"FLSP")</f>
        <v>FLSP</v>
      </c>
      <c r="AF267" s="476"/>
      <c r="AG267" s="474" t="s">
        <v>126</v>
      </c>
      <c r="AH267" s="138" t="str">
        <f t="shared" si="11"/>
        <v/>
      </c>
    </row>
    <row r="268">
      <c r="A268" s="103" t="str">
        <f>IFERROR(__xludf.DUMMYFUNCTION("""COMPUTED_VALUE"""),"MA1346")</f>
        <v>MA1346</v>
      </c>
      <c r="B268" s="468">
        <f>IFERROR(__xludf.DUMMYFUNCTION("""COMPUTED_VALUE"""),44550.0)</f>
        <v>44550</v>
      </c>
      <c r="C268" s="469">
        <f>IFERROR(__xludf.DUMMYFUNCTION("""COMPUTED_VALUE"""),0.38005787037037037)</f>
        <v>0.3800578704</v>
      </c>
      <c r="D268" s="103" t="str">
        <f>IFERROR(__xludf.DUMMYFUNCTION("""COMPUTED_VALUE"""),"SpFLMP496039")</f>
        <v>SpFLMP496039</v>
      </c>
      <c r="E268" s="103"/>
      <c r="F268" s="103"/>
      <c r="G268" s="103" t="str">
        <f>IFERROR(__xludf.DUMMYFUNCTION("""COMPUTED_VALUE"""),"Negative")</f>
        <v>Negative</v>
      </c>
      <c r="H268" s="131" t="str">
        <f>IFERROR(__xludf.DUMMYFUNCTION("""COMPUTED_VALUE"""),"Negative")</f>
        <v>Negative</v>
      </c>
      <c r="I268" s="468">
        <f>IFERROR(__xludf.DUMMYFUNCTION("""COMPUTED_VALUE"""),44550.0)</f>
        <v>44550</v>
      </c>
      <c r="J268" s="470">
        <f>IFERROR(__xludf.DUMMYFUNCTION("""COMPUTED_VALUE"""),0.5558449074074074)</f>
        <v>0.5558449074</v>
      </c>
      <c r="K268" s="16"/>
      <c r="L268" s="8"/>
      <c r="M268" s="69"/>
      <c r="N268" s="69">
        <f>IFERROR(__xludf.DUMMYFUNCTION("""COMPUTED_VALUE"""),1.0)</f>
        <v>1</v>
      </c>
      <c r="O268" s="69" t="str">
        <f t="shared" si="3"/>
        <v/>
      </c>
      <c r="P268" s="471">
        <f>IFERROR(__xludf.DUMMYFUNCTION("""COMPUTED_VALUE"""),0.0)</f>
        <v>0</v>
      </c>
      <c r="Q268" s="274" t="str">
        <f>VLOOKUP($B268,'Run Reconcile'!B$2:O2488,14,FALSE)</f>
        <v/>
      </c>
      <c r="R268" s="472" t="str">
        <f t="array" ref="R268">IF($Q268, INDEX('Run Reconcile'!A$2:A2488,MATCH(B268,'Run Reconcile'!B$2:B2488,0),1),IFERROR(0/0,""))</f>
        <v/>
      </c>
      <c r="S268" s="473" t="str">
        <f t="shared" ref="S268:T268" si="541">IF(COUNTIF(W$2:W2488, $A268) &gt; 0,TRUE,IFERROR(0/0,""))</f>
        <v/>
      </c>
      <c r="T268" s="473" t="b">
        <f t="shared" si="541"/>
        <v>1</v>
      </c>
      <c r="U268" s="275" t="str">
        <f t="array" ref="U268">IF(ISBLANK($R268), INDEX('Run Reconcile'!A$2:A2488, MATCH($B268, 'Run Reconcile'!B$2:B2488, 0)+Z268, 1), IFERROR(0/0,""))
</f>
        <v>RUN-FLMP_2021-12-20_RFR-026</v>
      </c>
      <c r="V268" s="474" t="str">
        <f t="shared" si="5"/>
        <v>RUN-FLMP_2021-12-20_RFR-026</v>
      </c>
      <c r="X268" s="103" t="s">
        <v>1103</v>
      </c>
      <c r="Y268" s="89">
        <f t="shared" si="527"/>
        <v>1</v>
      </c>
      <c r="Z268" s="60">
        <f t="shared" si="7"/>
        <v>1</v>
      </c>
      <c r="AA268" s="60" t="str">
        <f t="shared" si="8"/>
        <v/>
      </c>
      <c r="AB268" s="60">
        <f t="shared" si="9"/>
        <v>1</v>
      </c>
      <c r="AC268" s="30" t="str">
        <f t="shared" ref="AC268:AD268" si="542">IF(_xlfn.ISFORMULA(S268),IFERROR(0/0,""),TRUE)</f>
        <v/>
      </c>
      <c r="AD268" s="30" t="str">
        <f t="shared" si="542"/>
        <v/>
      </c>
      <c r="AE268" s="475" t="str">
        <f>IFERROR(__xludf.DUMMYFUNCTION("""COMPUTED_VALUE"""),"FLSP")</f>
        <v>FLSP</v>
      </c>
      <c r="AF268" s="476"/>
      <c r="AG268" s="474" t="s">
        <v>126</v>
      </c>
      <c r="AH268" s="138" t="str">
        <f t="shared" si="11"/>
        <v/>
      </c>
    </row>
    <row r="269">
      <c r="A269" s="103" t="str">
        <f>IFERROR(__xludf.DUMMYFUNCTION("""COMPUTED_VALUE"""),"MA1341")</f>
        <v>MA1341</v>
      </c>
      <c r="B269" s="468">
        <f>IFERROR(__xludf.DUMMYFUNCTION("""COMPUTED_VALUE"""),44551.0)</f>
        <v>44551</v>
      </c>
      <c r="C269" s="469">
        <f>IFERROR(__xludf.DUMMYFUNCTION("""COMPUTED_VALUE"""),0.30701388888888886)</f>
        <v>0.3070138889</v>
      </c>
      <c r="D269" s="103" t="str">
        <f>IFERROR(__xludf.DUMMYFUNCTION("""COMPUTED_VALUE"""),"SpFLMP659315")</f>
        <v>SpFLMP659315</v>
      </c>
      <c r="E269" s="103"/>
      <c r="F269" s="103"/>
      <c r="G269" s="103" t="str">
        <f>IFERROR(__xludf.DUMMYFUNCTION("""COMPUTED_VALUE"""),"Negative")</f>
        <v>Negative</v>
      </c>
      <c r="H269" s="131" t="str">
        <f>IFERROR(__xludf.DUMMYFUNCTION("""COMPUTED_VALUE"""),"Negative")</f>
        <v>Negative</v>
      </c>
      <c r="I269" s="468">
        <f>IFERROR(__xludf.DUMMYFUNCTION("""COMPUTED_VALUE"""),44551.0)</f>
        <v>44551</v>
      </c>
      <c r="J269" s="470">
        <f>IFERROR(__xludf.DUMMYFUNCTION("""COMPUTED_VALUE"""),0.3917939814814815)</f>
        <v>0.3917939815</v>
      </c>
      <c r="K269" s="16"/>
      <c r="L269" s="8"/>
      <c r="M269" s="69"/>
      <c r="N269" s="69">
        <f>IFERROR(__xludf.DUMMYFUNCTION("""COMPUTED_VALUE"""),1.0)</f>
        <v>1</v>
      </c>
      <c r="O269" s="69" t="b">
        <f t="shared" si="3"/>
        <v>1</v>
      </c>
      <c r="P269" s="471">
        <f>IFERROR(__xludf.DUMMYFUNCTION("""COMPUTED_VALUE"""),0.0)</f>
        <v>0</v>
      </c>
      <c r="Q269" s="274" t="str">
        <f>VLOOKUP($B269,'Run Reconcile'!B$2:O2488,14,FALSE)</f>
        <v/>
      </c>
      <c r="R269" s="472" t="str">
        <f t="array" ref="R269">IF($Q269, INDEX('Run Reconcile'!A$2:A2488,MATCH(B269,'Run Reconcile'!B$2:B2488,0),1),IFERROR(0/0,""))</f>
        <v/>
      </c>
      <c r="S269" s="473" t="str">
        <f t="shared" ref="S269:T269" si="543">IF(COUNTIF(W$2:W2488, $A269) &gt; 0,TRUE,IFERROR(0/0,""))</f>
        <v/>
      </c>
      <c r="T269" s="473" t="str">
        <f t="shared" si="543"/>
        <v/>
      </c>
      <c r="U269" s="275" t="str">
        <f t="array" ref="U269">IF(ISBLANK($R269), INDEX('Run Reconcile'!A$2:A2488, MATCH($B269, 'Run Reconcile'!B$2:B2488, 0)+Z269, 1), IFERROR(0/0,""))
</f>
        <v>RUN-FLMP_2021-12-21_RFR-028</v>
      </c>
      <c r="V269" s="474" t="str">
        <f t="shared" si="5"/>
        <v>RUN-FLMP_2021-12-21_RFR-028</v>
      </c>
      <c r="Y269" s="89" t="str">
        <f t="shared" si="527"/>
        <v/>
      </c>
      <c r="Z269" s="60" t="str">
        <f t="shared" si="7"/>
        <v/>
      </c>
      <c r="AA269" s="60" t="str">
        <f t="shared" si="8"/>
        <v/>
      </c>
      <c r="AB269" s="60" t="str">
        <f t="shared" si="9"/>
        <v/>
      </c>
      <c r="AC269" s="30" t="str">
        <f t="shared" ref="AC269:AD269" si="544">IF(_xlfn.ISFORMULA(S269),IFERROR(0/0,""),TRUE)</f>
        <v/>
      </c>
      <c r="AD269" s="30" t="str">
        <f t="shared" si="544"/>
        <v/>
      </c>
      <c r="AE269" s="475" t="str">
        <f>IFERROR(__xludf.DUMMYFUNCTION("""COMPUTED_VALUE"""),"FLSP")</f>
        <v>FLSP</v>
      </c>
      <c r="AF269" s="476"/>
      <c r="AG269" s="474" t="s">
        <v>127</v>
      </c>
      <c r="AH269" s="138" t="str">
        <f t="shared" si="11"/>
        <v/>
      </c>
    </row>
    <row r="270">
      <c r="A270" s="103" t="str">
        <f>IFERROR(__xludf.DUMMYFUNCTION("""COMPUTED_VALUE"""),"FLM275")</f>
        <v>FLM275</v>
      </c>
      <c r="B270" s="468">
        <f>IFERROR(__xludf.DUMMYFUNCTION("""COMPUTED_VALUE"""),44551.0)</f>
        <v>44551</v>
      </c>
      <c r="C270" s="469">
        <f>IFERROR(__xludf.DUMMYFUNCTION("""COMPUTED_VALUE"""),0.3274074074074074)</f>
        <v>0.3274074074</v>
      </c>
      <c r="D270" s="103" t="str">
        <f>IFERROR(__xludf.DUMMYFUNCTION("""COMPUTED_VALUE"""),"SpFLMP496039")</f>
        <v>SpFLMP496039</v>
      </c>
      <c r="E270" s="103"/>
      <c r="F270" s="103"/>
      <c r="G270" s="103" t="str">
        <f>IFERROR(__xludf.DUMMYFUNCTION("""COMPUTED_VALUE"""),"Negative")</f>
        <v>Negative</v>
      </c>
      <c r="H270" s="131" t="str">
        <f>IFERROR(__xludf.DUMMYFUNCTION("""COMPUTED_VALUE"""),"Negative")</f>
        <v>Negative</v>
      </c>
      <c r="I270" s="468">
        <f>IFERROR(__xludf.DUMMYFUNCTION("""COMPUTED_VALUE"""),44551.0)</f>
        <v>44551</v>
      </c>
      <c r="J270" s="470">
        <f>IFERROR(__xludf.DUMMYFUNCTION("""COMPUTED_VALUE"""),0.5454629629629629)</f>
        <v>0.545462963</v>
      </c>
      <c r="K270" s="16"/>
      <c r="L270" s="8"/>
      <c r="M270" s="69"/>
      <c r="N270" s="69">
        <f>IFERROR(__xludf.DUMMYFUNCTION("""COMPUTED_VALUE"""),1.0)</f>
        <v>1</v>
      </c>
      <c r="O270" s="69" t="str">
        <f t="shared" si="3"/>
        <v/>
      </c>
      <c r="P270" s="471">
        <f>IFERROR(__xludf.DUMMYFUNCTION("""COMPUTED_VALUE"""),0.0)</f>
        <v>0</v>
      </c>
      <c r="Q270" s="274" t="str">
        <f>VLOOKUP($B270,'Run Reconcile'!B$2:O2488,14,FALSE)</f>
        <v/>
      </c>
      <c r="R270" s="472" t="str">
        <f t="array" ref="R270">IF($Q270, INDEX('Run Reconcile'!A$2:A2488,MATCH(B270,'Run Reconcile'!B$2:B2488,0),1),IFERROR(0/0,""))</f>
        <v/>
      </c>
      <c r="S270" s="473" t="str">
        <f t="shared" ref="S270:T270" si="545">IF(COUNTIF(W$2:W2488, $A270) &gt; 0,TRUE,IFERROR(0/0,""))</f>
        <v/>
      </c>
      <c r="T270" s="473" t="b">
        <f t="shared" si="545"/>
        <v>1</v>
      </c>
      <c r="U270" s="275" t="str">
        <f t="array" ref="U270">IF(ISBLANK($R270), INDEX('Run Reconcile'!A$2:A2488, MATCH($B270, 'Run Reconcile'!B$2:B2488, 0)+Z270, 1), IFERROR(0/0,""))
</f>
        <v>RUN-FLMP_2021-12-21_RFR-029</v>
      </c>
      <c r="V270" s="474" t="str">
        <f t="shared" si="5"/>
        <v>RUN-FLMP_2021-12-21_RFR-029</v>
      </c>
      <c r="X270" s="103" t="s">
        <v>1323</v>
      </c>
      <c r="Y270" s="89">
        <f t="shared" si="527"/>
        <v>1</v>
      </c>
      <c r="Z270" s="60">
        <f t="shared" si="7"/>
        <v>1</v>
      </c>
      <c r="AA270" s="60" t="str">
        <f t="shared" si="8"/>
        <v/>
      </c>
      <c r="AB270" s="60">
        <f t="shared" si="9"/>
        <v>1</v>
      </c>
      <c r="AC270" s="30" t="str">
        <f t="shared" ref="AC270:AD270" si="546">IF(_xlfn.ISFORMULA(S270),IFERROR(0/0,""),TRUE)</f>
        <v/>
      </c>
      <c r="AD270" s="30" t="str">
        <f t="shared" si="546"/>
        <v/>
      </c>
      <c r="AE270" s="475" t="str">
        <f>IFERROR(__xludf.DUMMYFUNCTION("""COMPUTED_VALUE"""),"FLSP")</f>
        <v>FLSP</v>
      </c>
      <c r="AF270" s="476"/>
      <c r="AG270" s="474" t="s">
        <v>128</v>
      </c>
      <c r="AH270" s="138" t="str">
        <f t="shared" si="11"/>
        <v/>
      </c>
    </row>
    <row r="271">
      <c r="A271" s="103" t="str">
        <f>IFERROR(__xludf.DUMMYFUNCTION("""COMPUTED_VALUE"""),"MA646")</f>
        <v>MA646</v>
      </c>
      <c r="B271" s="468">
        <f>IFERROR(__xludf.DUMMYFUNCTION("""COMPUTED_VALUE"""),44551.0)</f>
        <v>44551</v>
      </c>
      <c r="C271" s="469">
        <f>IFERROR(__xludf.DUMMYFUNCTION("""COMPUTED_VALUE"""),0.33113425925925927)</f>
        <v>0.3311342593</v>
      </c>
      <c r="D271" s="103" t="str">
        <f>IFERROR(__xludf.DUMMYFUNCTION("""COMPUTED_VALUE"""),"SpFLMP659315")</f>
        <v>SpFLMP659315</v>
      </c>
      <c r="E271" s="103"/>
      <c r="F271" s="103"/>
      <c r="G271" s="103" t="str">
        <f>IFERROR(__xludf.DUMMYFUNCTION("""COMPUTED_VALUE"""),"Negative")</f>
        <v>Negative</v>
      </c>
      <c r="H271" s="131" t="str">
        <f>IFERROR(__xludf.DUMMYFUNCTION("""COMPUTED_VALUE"""),"Negative")</f>
        <v>Negative</v>
      </c>
      <c r="I271" s="468">
        <f>IFERROR(__xludf.DUMMYFUNCTION("""COMPUTED_VALUE"""),44551.0)</f>
        <v>44551</v>
      </c>
      <c r="J271" s="470">
        <f>IFERROR(__xludf.DUMMYFUNCTION("""COMPUTED_VALUE"""),0.3918055555555556)</f>
        <v>0.3918055556</v>
      </c>
      <c r="K271" s="16"/>
      <c r="L271" s="8"/>
      <c r="M271" s="69"/>
      <c r="N271" s="69">
        <f>IFERROR(__xludf.DUMMYFUNCTION("""COMPUTED_VALUE"""),1.0)</f>
        <v>1</v>
      </c>
      <c r="O271" s="69" t="str">
        <f t="shared" si="3"/>
        <v/>
      </c>
      <c r="P271" s="471">
        <f>IFERROR(__xludf.DUMMYFUNCTION("""COMPUTED_VALUE"""),0.0)</f>
        <v>0</v>
      </c>
      <c r="Q271" s="274" t="str">
        <f>VLOOKUP($B271,'Run Reconcile'!B$2:O2488,14,FALSE)</f>
        <v/>
      </c>
      <c r="R271" s="472" t="str">
        <f t="array" ref="R271">IF($Q271, INDEX('Run Reconcile'!A$2:A2488,MATCH(B271,'Run Reconcile'!B$2:B2488,0),1),IFERROR(0/0,""))</f>
        <v/>
      </c>
      <c r="S271" s="473" t="str">
        <f t="shared" ref="S271:T271" si="547">IF(COUNTIF(W$2:W2488, $A271) &gt; 0,TRUE,IFERROR(0/0,""))</f>
        <v/>
      </c>
      <c r="T271" s="473" t="str">
        <f t="shared" si="547"/>
        <v/>
      </c>
      <c r="U271" s="275" t="str">
        <f t="array" ref="U271">IF(ISBLANK($R271), INDEX('Run Reconcile'!A$2:A2488, MATCH($B271, 'Run Reconcile'!B$2:B2488, 0)+Z271, 1), IFERROR(0/0,""))
</f>
        <v>RUN-FLMP_2021-12-21_RFR-028</v>
      </c>
      <c r="V271" s="474" t="str">
        <f t="shared" si="5"/>
        <v>RUN-FLMP_2021-12-21_RFR-028</v>
      </c>
      <c r="Y271" s="89" t="str">
        <f t="shared" si="527"/>
        <v/>
      </c>
      <c r="Z271" s="60" t="str">
        <f t="shared" si="7"/>
        <v/>
      </c>
      <c r="AA271" s="60" t="str">
        <f t="shared" si="8"/>
        <v/>
      </c>
      <c r="AB271" s="60" t="str">
        <f t="shared" si="9"/>
        <v/>
      </c>
      <c r="AC271" s="30" t="str">
        <f t="shared" ref="AC271:AD271" si="548">IF(_xlfn.ISFORMULA(S271),IFERROR(0/0,""),TRUE)</f>
        <v/>
      </c>
      <c r="AD271" s="30" t="str">
        <f t="shared" si="548"/>
        <v/>
      </c>
      <c r="AE271" s="475" t="str">
        <f>IFERROR(__xludf.DUMMYFUNCTION("""COMPUTED_VALUE"""),"FLSP")</f>
        <v>FLSP</v>
      </c>
      <c r="AF271" s="476"/>
      <c r="AG271" s="474" t="s">
        <v>127</v>
      </c>
      <c r="AH271" s="138" t="str">
        <f t="shared" si="11"/>
        <v/>
      </c>
    </row>
    <row r="272">
      <c r="A272" s="103" t="str">
        <f>IFERROR(__xludf.DUMMYFUNCTION("""COMPUTED_VALUE"""),"MA1330")</f>
        <v>MA1330</v>
      </c>
      <c r="B272" s="468">
        <f>IFERROR(__xludf.DUMMYFUNCTION("""COMPUTED_VALUE"""),44551.0)</f>
        <v>44551</v>
      </c>
      <c r="C272" s="469">
        <f>IFERROR(__xludf.DUMMYFUNCTION("""COMPUTED_VALUE"""),0.3315972222222222)</f>
        <v>0.3315972222</v>
      </c>
      <c r="D272" s="103" t="str">
        <f>IFERROR(__xludf.DUMMYFUNCTION("""COMPUTED_VALUE"""),"SpFLMP659315")</f>
        <v>SpFLMP659315</v>
      </c>
      <c r="E272" s="103"/>
      <c r="F272" s="103"/>
      <c r="G272" s="103" t="str">
        <f>IFERROR(__xludf.DUMMYFUNCTION("""COMPUTED_VALUE"""),"Negative")</f>
        <v>Negative</v>
      </c>
      <c r="H272" s="131" t="str">
        <f>IFERROR(__xludf.DUMMYFUNCTION("""COMPUTED_VALUE"""),"Negative")</f>
        <v>Negative</v>
      </c>
      <c r="I272" s="468">
        <f>IFERROR(__xludf.DUMMYFUNCTION("""COMPUTED_VALUE"""),44551.0)</f>
        <v>44551</v>
      </c>
      <c r="J272" s="470">
        <f>IFERROR(__xludf.DUMMYFUNCTION("""COMPUTED_VALUE"""),0.3918055555555556)</f>
        <v>0.3918055556</v>
      </c>
      <c r="K272" s="16"/>
      <c r="L272" s="8"/>
      <c r="M272" s="69"/>
      <c r="N272" s="69">
        <f>IFERROR(__xludf.DUMMYFUNCTION("""COMPUTED_VALUE"""),1.0)</f>
        <v>1</v>
      </c>
      <c r="O272" s="69" t="str">
        <f t="shared" si="3"/>
        <v/>
      </c>
      <c r="P272" s="471">
        <f>IFERROR(__xludf.DUMMYFUNCTION("""COMPUTED_VALUE"""),0.0)</f>
        <v>0</v>
      </c>
      <c r="Q272" s="274" t="str">
        <f>VLOOKUP($B272,'Run Reconcile'!B$2:O2488,14,FALSE)</f>
        <v/>
      </c>
      <c r="R272" s="472" t="str">
        <f t="array" ref="R272">IF($Q272, INDEX('Run Reconcile'!A$2:A2488,MATCH(B272,'Run Reconcile'!B$2:B2488,0),1),IFERROR(0/0,""))</f>
        <v/>
      </c>
      <c r="S272" s="473" t="str">
        <f t="shared" ref="S272:T272" si="549">IF(COUNTIF(W$2:W2488, $A272) &gt; 0,TRUE,IFERROR(0/0,""))</f>
        <v/>
      </c>
      <c r="T272" s="473" t="str">
        <f t="shared" si="549"/>
        <v/>
      </c>
      <c r="U272" s="275" t="str">
        <f t="array" ref="U272">IF(ISBLANK($R272), INDEX('Run Reconcile'!A$2:A2488, MATCH($B272, 'Run Reconcile'!B$2:B2488, 0)+Z272, 1), IFERROR(0/0,""))
</f>
        <v>RUN-FLMP_2021-12-21_RFR-028</v>
      </c>
      <c r="V272" s="474" t="str">
        <f t="shared" si="5"/>
        <v>RUN-FLMP_2021-12-21_RFR-028</v>
      </c>
      <c r="Y272" s="89" t="str">
        <f t="shared" si="527"/>
        <v/>
      </c>
      <c r="Z272" s="60" t="str">
        <f t="shared" si="7"/>
        <v/>
      </c>
      <c r="AA272" s="60" t="str">
        <f t="shared" si="8"/>
        <v/>
      </c>
      <c r="AB272" s="60" t="str">
        <f t="shared" si="9"/>
        <v/>
      </c>
      <c r="AC272" s="30" t="str">
        <f t="shared" ref="AC272:AD272" si="550">IF(_xlfn.ISFORMULA(S272),IFERROR(0/0,""),TRUE)</f>
        <v/>
      </c>
      <c r="AD272" s="30" t="str">
        <f t="shared" si="550"/>
        <v/>
      </c>
      <c r="AE272" s="475" t="str">
        <f>IFERROR(__xludf.DUMMYFUNCTION("""COMPUTED_VALUE"""),"FLSP")</f>
        <v>FLSP</v>
      </c>
      <c r="AF272" s="476"/>
      <c r="AG272" s="474" t="s">
        <v>127</v>
      </c>
      <c r="AH272" s="138" t="str">
        <f t="shared" si="11"/>
        <v/>
      </c>
    </row>
    <row r="273">
      <c r="A273" s="103" t="str">
        <f>IFERROR(__xludf.DUMMYFUNCTION("""COMPUTED_VALUE"""),"MA1353")</f>
        <v>MA1353</v>
      </c>
      <c r="B273" s="468">
        <f>IFERROR(__xludf.DUMMYFUNCTION("""COMPUTED_VALUE"""),44551.0)</f>
        <v>44551</v>
      </c>
      <c r="C273" s="469">
        <f>IFERROR(__xludf.DUMMYFUNCTION("""COMPUTED_VALUE"""),0.3321296296296296)</f>
        <v>0.3321296296</v>
      </c>
      <c r="D273" s="103" t="str">
        <f>IFERROR(__xludf.DUMMYFUNCTION("""COMPUTED_VALUE"""),"SpFLMP659315")</f>
        <v>SpFLMP659315</v>
      </c>
      <c r="E273" s="103"/>
      <c r="F273" s="103"/>
      <c r="G273" s="103" t="str">
        <f>IFERROR(__xludf.DUMMYFUNCTION("""COMPUTED_VALUE"""),"Negative")</f>
        <v>Negative</v>
      </c>
      <c r="H273" s="131" t="str">
        <f>IFERROR(__xludf.DUMMYFUNCTION("""COMPUTED_VALUE"""),"Negative")</f>
        <v>Negative</v>
      </c>
      <c r="I273" s="468">
        <f>IFERROR(__xludf.DUMMYFUNCTION("""COMPUTED_VALUE"""),44551.0)</f>
        <v>44551</v>
      </c>
      <c r="J273" s="470">
        <f>IFERROR(__xludf.DUMMYFUNCTION("""COMPUTED_VALUE"""),0.3918055555555556)</f>
        <v>0.3918055556</v>
      </c>
      <c r="K273" s="16"/>
      <c r="L273" s="8"/>
      <c r="M273" s="69"/>
      <c r="N273" s="69">
        <f>IFERROR(__xludf.DUMMYFUNCTION("""COMPUTED_VALUE"""),1.0)</f>
        <v>1</v>
      </c>
      <c r="O273" s="69" t="str">
        <f t="shared" si="3"/>
        <v/>
      </c>
      <c r="P273" s="471">
        <f>IFERROR(__xludf.DUMMYFUNCTION("""COMPUTED_VALUE"""),0.0)</f>
        <v>0</v>
      </c>
      <c r="Q273" s="274" t="str">
        <f>VLOOKUP($B273,'Run Reconcile'!B$2:O2488,14,FALSE)</f>
        <v/>
      </c>
      <c r="R273" s="472" t="str">
        <f t="array" ref="R273">IF($Q273, INDEX('Run Reconcile'!A$2:A2488,MATCH(B273,'Run Reconcile'!B$2:B2488,0),1),IFERROR(0/0,""))</f>
        <v/>
      </c>
      <c r="S273" s="473" t="str">
        <f t="shared" ref="S273:T273" si="551">IF(COUNTIF(W$2:W2488, $A273) &gt; 0,TRUE,IFERROR(0/0,""))</f>
        <v/>
      </c>
      <c r="T273" s="473" t="str">
        <f t="shared" si="551"/>
        <v/>
      </c>
      <c r="U273" s="275" t="str">
        <f t="array" ref="U273">IF(ISBLANK($R273), INDEX('Run Reconcile'!A$2:A2488, MATCH($B273, 'Run Reconcile'!B$2:B2488, 0)+Z273, 1), IFERROR(0/0,""))
</f>
        <v>RUN-FLMP_2021-12-21_RFR-028</v>
      </c>
      <c r="V273" s="474" t="str">
        <f t="shared" si="5"/>
        <v>RUN-FLMP_2021-12-21_RFR-028</v>
      </c>
      <c r="Y273" s="89" t="str">
        <f t="shared" si="527"/>
        <v/>
      </c>
      <c r="Z273" s="60" t="str">
        <f t="shared" si="7"/>
        <v/>
      </c>
      <c r="AA273" s="60" t="str">
        <f t="shared" si="8"/>
        <v/>
      </c>
      <c r="AB273" s="60" t="str">
        <f t="shared" si="9"/>
        <v/>
      </c>
      <c r="AC273" s="30" t="str">
        <f t="shared" ref="AC273:AD273" si="552">IF(_xlfn.ISFORMULA(S273),IFERROR(0/0,""),TRUE)</f>
        <v/>
      </c>
      <c r="AD273" s="30" t="str">
        <f t="shared" si="552"/>
        <v/>
      </c>
      <c r="AE273" s="475" t="str">
        <f>IFERROR(__xludf.DUMMYFUNCTION("""COMPUTED_VALUE"""),"FLSP")</f>
        <v>FLSP</v>
      </c>
      <c r="AF273" s="476"/>
      <c r="AG273" s="474" t="s">
        <v>127</v>
      </c>
      <c r="AH273" s="138" t="str">
        <f t="shared" si="11"/>
        <v/>
      </c>
    </row>
    <row r="274">
      <c r="A274" s="103" t="str">
        <f>IFERROR(__xludf.DUMMYFUNCTION("""COMPUTED_VALUE"""),"MA1355")</f>
        <v>MA1355</v>
      </c>
      <c r="B274" s="468">
        <f>IFERROR(__xludf.DUMMYFUNCTION("""COMPUTED_VALUE"""),44551.0)</f>
        <v>44551</v>
      </c>
      <c r="C274" s="469">
        <f>IFERROR(__xludf.DUMMYFUNCTION("""COMPUTED_VALUE"""),0.3879282407407407)</f>
        <v>0.3879282407</v>
      </c>
      <c r="D274" s="103" t="str">
        <f>IFERROR(__xludf.DUMMYFUNCTION("""COMPUTED_VALUE"""),"SpFLMP120998")</f>
        <v>SpFLMP120998</v>
      </c>
      <c r="E274" s="103"/>
      <c r="F274" s="103"/>
      <c r="G274" s="103" t="str">
        <f>IFERROR(__xludf.DUMMYFUNCTION("""COMPUTED_VALUE"""),"Negative")</f>
        <v>Negative</v>
      </c>
      <c r="H274" s="131" t="str">
        <f>IFERROR(__xludf.DUMMYFUNCTION("""COMPUTED_VALUE"""),"Negative")</f>
        <v>Negative</v>
      </c>
      <c r="I274" s="468">
        <f>IFERROR(__xludf.DUMMYFUNCTION("""COMPUTED_VALUE"""),44551.0)</f>
        <v>44551</v>
      </c>
      <c r="J274" s="470">
        <f>IFERROR(__xludf.DUMMYFUNCTION("""COMPUTED_VALUE"""),0.5454629629629629)</f>
        <v>0.545462963</v>
      </c>
      <c r="K274" s="16"/>
      <c r="L274" s="8"/>
      <c r="M274" s="69"/>
      <c r="N274" s="69">
        <f>IFERROR(__xludf.DUMMYFUNCTION("""COMPUTED_VALUE"""),1.0)</f>
        <v>1</v>
      </c>
      <c r="O274" s="69" t="str">
        <f t="shared" si="3"/>
        <v/>
      </c>
      <c r="P274" s="471">
        <f>IFERROR(__xludf.DUMMYFUNCTION("""COMPUTED_VALUE"""),0.0)</f>
        <v>0</v>
      </c>
      <c r="Q274" s="274" t="str">
        <f>VLOOKUP($B274,'Run Reconcile'!B$2:O2488,14,FALSE)</f>
        <v/>
      </c>
      <c r="R274" s="472" t="str">
        <f t="array" ref="R274">IF($Q274, INDEX('Run Reconcile'!A$2:A2488,MATCH(B274,'Run Reconcile'!B$2:B2488,0),1),IFERROR(0/0,""))</f>
        <v/>
      </c>
      <c r="S274" s="473" t="str">
        <f t="shared" ref="S274:T274" si="553">IF(COUNTIF(W$2:W2488, $A274) &gt; 0,TRUE,IFERROR(0/0,""))</f>
        <v/>
      </c>
      <c r="T274" s="473" t="b">
        <f t="shared" si="553"/>
        <v>1</v>
      </c>
      <c r="U274" s="275" t="str">
        <f t="array" ref="U274">IF(ISBLANK($R274), INDEX('Run Reconcile'!A$2:A2488, MATCH($B274, 'Run Reconcile'!B$2:B2488, 0)+Z274, 1), IFERROR(0/0,""))
</f>
        <v>RUN-FLMP_2021-12-21_RFR-029</v>
      </c>
      <c r="V274" s="474" t="str">
        <f t="shared" si="5"/>
        <v>RUN-FLMP_2021-12-21_RFR-029</v>
      </c>
      <c r="X274" s="103" t="s">
        <v>1324</v>
      </c>
      <c r="Y274" s="89">
        <f t="shared" si="527"/>
        <v>1</v>
      </c>
      <c r="Z274" s="60">
        <f t="shared" si="7"/>
        <v>1</v>
      </c>
      <c r="AA274" s="60" t="str">
        <f t="shared" si="8"/>
        <v/>
      </c>
      <c r="AB274" s="60">
        <f t="shared" si="9"/>
        <v>1</v>
      </c>
      <c r="AC274" s="30" t="str">
        <f t="shared" ref="AC274:AD274" si="554">IF(_xlfn.ISFORMULA(S274),IFERROR(0/0,""),TRUE)</f>
        <v/>
      </c>
      <c r="AD274" s="30" t="str">
        <f t="shared" si="554"/>
        <v/>
      </c>
      <c r="AE274" s="475" t="str">
        <f>IFERROR(__xludf.DUMMYFUNCTION("""COMPUTED_VALUE"""),"FLSP")</f>
        <v>FLSP</v>
      </c>
      <c r="AF274" s="476"/>
      <c r="AG274" s="474" t="s">
        <v>128</v>
      </c>
      <c r="AH274" s="138" t="str">
        <f t="shared" si="11"/>
        <v/>
      </c>
    </row>
    <row r="275">
      <c r="A275" s="103" t="str">
        <f>IFERROR(__xludf.DUMMYFUNCTION("""COMPUTED_VALUE"""),"FLM247")</f>
        <v>FLM247</v>
      </c>
      <c r="B275" s="468">
        <f>IFERROR(__xludf.DUMMYFUNCTION("""COMPUTED_VALUE"""),44552.0)</f>
        <v>44552</v>
      </c>
      <c r="C275" s="469">
        <f>IFERROR(__xludf.DUMMYFUNCTION("""COMPUTED_VALUE"""),0.3751388888888889)</f>
        <v>0.3751388889</v>
      </c>
      <c r="D275" s="103" t="str">
        <f>IFERROR(__xludf.DUMMYFUNCTION("""COMPUTED_VALUE"""),"SpFLMP496039")</f>
        <v>SpFLMP496039</v>
      </c>
      <c r="E275" s="103"/>
      <c r="F275" s="103"/>
      <c r="G275" s="103" t="str">
        <f>IFERROR(__xludf.DUMMYFUNCTION("""COMPUTED_VALUE"""),"Negative")</f>
        <v>Negative</v>
      </c>
      <c r="H275" s="131" t="str">
        <f>IFERROR(__xludf.DUMMYFUNCTION("""COMPUTED_VALUE"""),"Negative")</f>
        <v>Negative</v>
      </c>
      <c r="I275" s="468">
        <f>IFERROR(__xludf.DUMMYFUNCTION("""COMPUTED_VALUE"""),44552.0)</f>
        <v>44552</v>
      </c>
      <c r="J275" s="470">
        <f>IFERROR(__xludf.DUMMYFUNCTION("""COMPUTED_VALUE"""),0.6134953703703704)</f>
        <v>0.6134953704</v>
      </c>
      <c r="K275" s="16"/>
      <c r="L275" s="8"/>
      <c r="M275" s="69"/>
      <c r="N275" s="69">
        <f>IFERROR(__xludf.DUMMYFUNCTION("""COMPUTED_VALUE"""),1.0)</f>
        <v>1</v>
      </c>
      <c r="O275" s="69" t="b">
        <f t="shared" si="3"/>
        <v>1</v>
      </c>
      <c r="P275" s="471">
        <f>IFERROR(__xludf.DUMMYFUNCTION("""COMPUTED_VALUE"""),0.0)</f>
        <v>0</v>
      </c>
      <c r="Q275" s="274" t="str">
        <f>VLOOKUP($B275,'Run Reconcile'!B$2:O2488,14,FALSE)</f>
        <v/>
      </c>
      <c r="R275" s="472" t="str">
        <f t="array" ref="R275">IF($Q275, INDEX('Run Reconcile'!A$2:A2488,MATCH(B275,'Run Reconcile'!B$2:B2488,0),1),IFERROR(0/0,""))</f>
        <v/>
      </c>
      <c r="S275" s="473" t="str">
        <f t="shared" ref="S275:T275" si="555">IF(COUNTIF(W$2:W2488, $A275) &gt; 0,TRUE,IFERROR(0/0,""))</f>
        <v/>
      </c>
      <c r="T275" s="473" t="str">
        <f t="shared" si="555"/>
        <v/>
      </c>
      <c r="U275" s="275" t="str">
        <f t="array" ref="U275">IF(ISBLANK($R275), INDEX('Run Reconcile'!A$2:A2488, MATCH($B275, 'Run Reconcile'!B$2:B2488, 0)+Z275, 1), IFERROR(0/0,""))
</f>
        <v>RUN-FLMP_2021-12-22_RFR-030</v>
      </c>
      <c r="V275" s="474" t="str">
        <f t="shared" si="5"/>
        <v>RUN-FLMP_2021-12-22_RFR-030</v>
      </c>
      <c r="Y275" s="89" t="str">
        <f t="shared" si="527"/>
        <v/>
      </c>
      <c r="Z275" s="60" t="str">
        <f t="shared" si="7"/>
        <v/>
      </c>
      <c r="AA275" s="60" t="str">
        <f t="shared" si="8"/>
        <v/>
      </c>
      <c r="AB275" s="60" t="str">
        <f t="shared" si="9"/>
        <v/>
      </c>
      <c r="AC275" s="30" t="str">
        <f t="shared" ref="AC275:AD275" si="556">IF(_xlfn.ISFORMULA(S275),IFERROR(0/0,""),TRUE)</f>
        <v/>
      </c>
      <c r="AD275" s="30" t="str">
        <f t="shared" si="556"/>
        <v/>
      </c>
      <c r="AE275" s="475" t="str">
        <f>IFERROR(__xludf.DUMMYFUNCTION("""COMPUTED_VALUE"""),"FLSP")</f>
        <v>FLSP</v>
      </c>
      <c r="AF275" s="476"/>
      <c r="AG275" s="474" t="s">
        <v>129</v>
      </c>
      <c r="AH275" s="138" t="str">
        <f t="shared" si="11"/>
        <v/>
      </c>
    </row>
    <row r="276">
      <c r="A276" s="103" t="str">
        <f>IFERROR(__xludf.DUMMYFUNCTION("""COMPUTED_VALUE"""),"MAX418")</f>
        <v>MAX418</v>
      </c>
      <c r="B276" s="468">
        <f>IFERROR(__xludf.DUMMYFUNCTION("""COMPUTED_VALUE"""),44552.0)</f>
        <v>44552</v>
      </c>
      <c r="C276" s="469">
        <f>IFERROR(__xludf.DUMMYFUNCTION("""COMPUTED_VALUE"""),0.4080324074074074)</f>
        <v>0.4080324074</v>
      </c>
      <c r="D276" s="103" t="str">
        <f>IFERROR(__xludf.DUMMYFUNCTION("""COMPUTED_VALUE"""),"SpFLMP659315")</f>
        <v>SpFLMP659315</v>
      </c>
      <c r="E276" s="103"/>
      <c r="F276" s="103"/>
      <c r="G276" s="103" t="str">
        <f>IFERROR(__xludf.DUMMYFUNCTION("""COMPUTED_VALUE"""),"Negative")</f>
        <v>Negative</v>
      </c>
      <c r="H276" s="131" t="str">
        <f>IFERROR(__xludf.DUMMYFUNCTION("""COMPUTED_VALUE"""),"Negative")</f>
        <v>Negative</v>
      </c>
      <c r="I276" s="468">
        <f>IFERROR(__xludf.DUMMYFUNCTION("""COMPUTED_VALUE"""),44552.0)</f>
        <v>44552</v>
      </c>
      <c r="J276" s="470">
        <f>IFERROR(__xludf.DUMMYFUNCTION("""COMPUTED_VALUE"""),0.6134953703703704)</f>
        <v>0.6134953704</v>
      </c>
      <c r="K276" s="16"/>
      <c r="L276" s="8"/>
      <c r="M276" s="69"/>
      <c r="N276" s="69">
        <f>IFERROR(__xludf.DUMMYFUNCTION("""COMPUTED_VALUE"""),1.0)</f>
        <v>1</v>
      </c>
      <c r="O276" s="69" t="str">
        <f t="shared" si="3"/>
        <v/>
      </c>
      <c r="P276" s="471">
        <f>IFERROR(__xludf.DUMMYFUNCTION("""COMPUTED_VALUE"""),0.0)</f>
        <v>0</v>
      </c>
      <c r="Q276" s="274" t="str">
        <f>VLOOKUP($B276,'Run Reconcile'!B$2:O2488,14,FALSE)</f>
        <v/>
      </c>
      <c r="R276" s="472" t="str">
        <f t="array" ref="R276">IF($Q276, INDEX('Run Reconcile'!A$2:A2488,MATCH(B276,'Run Reconcile'!B$2:B2488,0),1),IFERROR(0/0,""))</f>
        <v/>
      </c>
      <c r="S276" s="473" t="str">
        <f t="shared" ref="S276:T276" si="557">IF(COUNTIF(W$2:W2488, $A276) &gt; 0,TRUE,IFERROR(0/0,""))</f>
        <v/>
      </c>
      <c r="T276" s="473" t="str">
        <f t="shared" si="557"/>
        <v/>
      </c>
      <c r="U276" s="275" t="str">
        <f t="array" ref="U276">IF(ISBLANK($R276), INDEX('Run Reconcile'!A$2:A2488, MATCH($B276, 'Run Reconcile'!B$2:B2488, 0)+Z276, 1), IFERROR(0/0,""))
</f>
        <v>RUN-FLMP_2021-12-22_RFR-030</v>
      </c>
      <c r="V276" s="474" t="str">
        <f t="shared" si="5"/>
        <v>RUN-FLMP_2021-12-22_RFR-030</v>
      </c>
      <c r="Y276" s="89" t="str">
        <f t="shared" si="527"/>
        <v/>
      </c>
      <c r="Z276" s="60" t="str">
        <f t="shared" si="7"/>
        <v/>
      </c>
      <c r="AA276" s="60" t="str">
        <f t="shared" si="8"/>
        <v/>
      </c>
      <c r="AB276" s="60" t="str">
        <f t="shared" si="9"/>
        <v/>
      </c>
      <c r="AC276" s="30" t="str">
        <f t="shared" ref="AC276:AD276" si="558">IF(_xlfn.ISFORMULA(S276),IFERROR(0/0,""),TRUE)</f>
        <v/>
      </c>
      <c r="AD276" s="30" t="str">
        <f t="shared" si="558"/>
        <v/>
      </c>
      <c r="AE276" s="475" t="str">
        <f>IFERROR(__xludf.DUMMYFUNCTION("""COMPUTED_VALUE"""),"FLSP")</f>
        <v>FLSP</v>
      </c>
      <c r="AF276" s="476"/>
      <c r="AG276" s="474" t="s">
        <v>129</v>
      </c>
      <c r="AH276" s="138" t="str">
        <f t="shared" si="11"/>
        <v/>
      </c>
    </row>
    <row r="277">
      <c r="A277" s="103" t="str">
        <f>IFERROR(__xludf.DUMMYFUNCTION("""COMPUTED_VALUE"""),"MA1328")</f>
        <v>MA1328</v>
      </c>
      <c r="B277" s="468">
        <f>IFERROR(__xludf.DUMMYFUNCTION("""COMPUTED_VALUE"""),44552.0)</f>
        <v>44552</v>
      </c>
      <c r="C277" s="469">
        <f>IFERROR(__xludf.DUMMYFUNCTION("""COMPUTED_VALUE"""),0.4093981481481481)</f>
        <v>0.4093981481</v>
      </c>
      <c r="D277" s="103" t="str">
        <f>IFERROR(__xludf.DUMMYFUNCTION("""COMPUTED_VALUE"""),"SpFLMP659315")</f>
        <v>SpFLMP659315</v>
      </c>
      <c r="E277" s="103"/>
      <c r="F277" s="103"/>
      <c r="G277" s="103" t="str">
        <f>IFERROR(__xludf.DUMMYFUNCTION("""COMPUTED_VALUE"""),"Negative")</f>
        <v>Negative</v>
      </c>
      <c r="H277" s="131" t="str">
        <f>IFERROR(__xludf.DUMMYFUNCTION("""COMPUTED_VALUE"""),"Negative")</f>
        <v>Negative</v>
      </c>
      <c r="I277" s="468">
        <f>IFERROR(__xludf.DUMMYFUNCTION("""COMPUTED_VALUE"""),44552.0)</f>
        <v>44552</v>
      </c>
      <c r="J277" s="470">
        <f>IFERROR(__xludf.DUMMYFUNCTION("""COMPUTED_VALUE"""),0.6134953703703704)</f>
        <v>0.6134953704</v>
      </c>
      <c r="K277" s="16"/>
      <c r="L277" s="8"/>
      <c r="M277" s="69"/>
      <c r="N277" s="69">
        <f>IFERROR(__xludf.DUMMYFUNCTION("""COMPUTED_VALUE"""),1.0)</f>
        <v>1</v>
      </c>
      <c r="O277" s="69" t="str">
        <f t="shared" si="3"/>
        <v/>
      </c>
      <c r="P277" s="471">
        <f>IFERROR(__xludf.DUMMYFUNCTION("""COMPUTED_VALUE"""),0.0)</f>
        <v>0</v>
      </c>
      <c r="Q277" s="274" t="str">
        <f>VLOOKUP($B277,'Run Reconcile'!B$2:O2488,14,FALSE)</f>
        <v/>
      </c>
      <c r="R277" s="472" t="str">
        <f t="array" ref="R277">IF($Q277, INDEX('Run Reconcile'!A$2:A2488,MATCH(B277,'Run Reconcile'!B$2:B2488,0),1),IFERROR(0/0,""))</f>
        <v/>
      </c>
      <c r="S277" s="473" t="str">
        <f t="shared" ref="S277:T277" si="559">IF(COUNTIF(W$2:W2488, $A277) &gt; 0,TRUE,IFERROR(0/0,""))</f>
        <v/>
      </c>
      <c r="T277" s="473" t="str">
        <f t="shared" si="559"/>
        <v/>
      </c>
      <c r="U277" s="275" t="str">
        <f t="array" ref="U277">IF(ISBLANK($R277), INDEX('Run Reconcile'!A$2:A2488, MATCH($B277, 'Run Reconcile'!B$2:B2488, 0)+Z277, 1), IFERROR(0/0,""))
</f>
        <v>RUN-FLMP_2021-12-22_RFR-030</v>
      </c>
      <c r="V277" s="474" t="str">
        <f t="shared" si="5"/>
        <v>RUN-FLMP_2021-12-22_RFR-030</v>
      </c>
      <c r="Y277" s="89" t="str">
        <f t="shared" si="527"/>
        <v/>
      </c>
      <c r="Z277" s="60" t="str">
        <f t="shared" si="7"/>
        <v/>
      </c>
      <c r="AA277" s="60" t="str">
        <f t="shared" si="8"/>
        <v/>
      </c>
      <c r="AB277" s="60" t="str">
        <f t="shared" si="9"/>
        <v/>
      </c>
      <c r="AC277" s="30" t="str">
        <f t="shared" ref="AC277:AD277" si="560">IF(_xlfn.ISFORMULA(S277),IFERROR(0/0,""),TRUE)</f>
        <v/>
      </c>
      <c r="AD277" s="30" t="str">
        <f t="shared" si="560"/>
        <v/>
      </c>
      <c r="AE277" s="475" t="str">
        <f>IFERROR(__xludf.DUMMYFUNCTION("""COMPUTED_VALUE"""),"FLSP")</f>
        <v>FLSP</v>
      </c>
      <c r="AF277" s="476"/>
      <c r="AG277" s="474" t="s">
        <v>129</v>
      </c>
      <c r="AH277" s="138" t="str">
        <f t="shared" si="11"/>
        <v/>
      </c>
    </row>
    <row r="278">
      <c r="A278" s="103" t="str">
        <f>IFERROR(__xludf.DUMMYFUNCTION("""COMPUTED_VALUE"""),"MA1360")</f>
        <v>MA1360</v>
      </c>
      <c r="B278" s="468">
        <f>IFERROR(__xludf.DUMMYFUNCTION("""COMPUTED_VALUE"""),44552.0)</f>
        <v>44552</v>
      </c>
      <c r="C278" s="469">
        <f>IFERROR(__xludf.DUMMYFUNCTION("""COMPUTED_VALUE"""),0.41006944444444443)</f>
        <v>0.4100694444</v>
      </c>
      <c r="D278" s="103" t="str">
        <f>IFERROR(__xludf.DUMMYFUNCTION("""COMPUTED_VALUE"""),"SpFLMP659315")</f>
        <v>SpFLMP659315</v>
      </c>
      <c r="E278" s="103"/>
      <c r="F278" s="103"/>
      <c r="G278" s="103" t="str">
        <f>IFERROR(__xludf.DUMMYFUNCTION("""COMPUTED_VALUE"""),"Negative")</f>
        <v>Negative</v>
      </c>
      <c r="H278" s="131" t="str">
        <f>IFERROR(__xludf.DUMMYFUNCTION("""COMPUTED_VALUE"""),"Negative")</f>
        <v>Negative</v>
      </c>
      <c r="I278" s="468">
        <f>IFERROR(__xludf.DUMMYFUNCTION("""COMPUTED_VALUE"""),44552.0)</f>
        <v>44552</v>
      </c>
      <c r="J278" s="470">
        <f>IFERROR(__xludf.DUMMYFUNCTION("""COMPUTED_VALUE"""),0.6134953703703704)</f>
        <v>0.6134953704</v>
      </c>
      <c r="K278" s="16"/>
      <c r="L278" s="8"/>
      <c r="M278" s="69"/>
      <c r="N278" s="69">
        <f>IFERROR(__xludf.DUMMYFUNCTION("""COMPUTED_VALUE"""),1.0)</f>
        <v>1</v>
      </c>
      <c r="O278" s="69" t="str">
        <f t="shared" si="3"/>
        <v/>
      </c>
      <c r="P278" s="471">
        <f>IFERROR(__xludf.DUMMYFUNCTION("""COMPUTED_VALUE"""),0.0)</f>
        <v>0</v>
      </c>
      <c r="Q278" s="274" t="str">
        <f>VLOOKUP($B278,'Run Reconcile'!B$2:O2488,14,FALSE)</f>
        <v/>
      </c>
      <c r="R278" s="472" t="str">
        <f t="array" ref="R278">IF($Q278, INDEX('Run Reconcile'!A$2:A2488,MATCH(B278,'Run Reconcile'!B$2:B2488,0),1),IFERROR(0/0,""))</f>
        <v/>
      </c>
      <c r="S278" s="473" t="str">
        <f t="shared" ref="S278:T278" si="561">IF(COUNTIF(W$2:W2488, $A278) &gt; 0,TRUE,IFERROR(0/0,""))</f>
        <v/>
      </c>
      <c r="T278" s="473" t="str">
        <f t="shared" si="561"/>
        <v/>
      </c>
      <c r="U278" s="275" t="str">
        <f t="array" ref="U278">IF(ISBLANK($R278), INDEX('Run Reconcile'!A$2:A2488, MATCH($B278, 'Run Reconcile'!B$2:B2488, 0)+Z278, 1), IFERROR(0/0,""))
</f>
        <v>RUN-FLMP_2021-12-22_RFR-030</v>
      </c>
      <c r="V278" s="474" t="str">
        <f t="shared" si="5"/>
        <v>RUN-FLMP_2021-12-22_RFR-030</v>
      </c>
      <c r="Y278" s="89" t="str">
        <f t="shared" si="527"/>
        <v/>
      </c>
      <c r="Z278" s="60" t="str">
        <f t="shared" si="7"/>
        <v/>
      </c>
      <c r="AA278" s="60" t="str">
        <f t="shared" si="8"/>
        <v/>
      </c>
      <c r="AB278" s="60" t="str">
        <f t="shared" si="9"/>
        <v/>
      </c>
      <c r="AC278" s="30" t="str">
        <f t="shared" ref="AC278:AD278" si="562">IF(_xlfn.ISFORMULA(S278),IFERROR(0/0,""),TRUE)</f>
        <v/>
      </c>
      <c r="AD278" s="30" t="str">
        <f t="shared" si="562"/>
        <v/>
      </c>
      <c r="AE278" s="475" t="str">
        <f>IFERROR(__xludf.DUMMYFUNCTION("""COMPUTED_VALUE"""),"FLSP")</f>
        <v>FLSP</v>
      </c>
      <c r="AF278" s="476"/>
      <c r="AG278" s="474" t="s">
        <v>129</v>
      </c>
      <c r="AH278" s="138" t="str">
        <f t="shared" si="11"/>
        <v/>
      </c>
    </row>
    <row r="279">
      <c r="A279" s="103" t="str">
        <f>IFERROR(__xludf.DUMMYFUNCTION("""COMPUTED_VALUE"""),"MA1499")</f>
        <v>MA1499</v>
      </c>
      <c r="B279" s="468">
        <f>IFERROR(__xludf.DUMMYFUNCTION("""COMPUTED_VALUE"""),44552.0)</f>
        <v>44552</v>
      </c>
      <c r="C279" s="469">
        <f>IFERROR(__xludf.DUMMYFUNCTION("""COMPUTED_VALUE"""),0.4109837962962963)</f>
        <v>0.4109837963</v>
      </c>
      <c r="D279" s="103" t="str">
        <f>IFERROR(__xludf.DUMMYFUNCTION("""COMPUTED_VALUE"""),"SpFLMP659315")</f>
        <v>SpFLMP659315</v>
      </c>
      <c r="E279" s="103"/>
      <c r="F279" s="103"/>
      <c r="G279" s="103" t="str">
        <f>IFERROR(__xludf.DUMMYFUNCTION("""COMPUTED_VALUE"""),"Negative")</f>
        <v>Negative</v>
      </c>
      <c r="H279" s="131" t="str">
        <f>IFERROR(__xludf.DUMMYFUNCTION("""COMPUTED_VALUE"""),"Negative")</f>
        <v>Negative</v>
      </c>
      <c r="I279" s="468">
        <f>IFERROR(__xludf.DUMMYFUNCTION("""COMPUTED_VALUE"""),44552.0)</f>
        <v>44552</v>
      </c>
      <c r="J279" s="470">
        <f>IFERROR(__xludf.DUMMYFUNCTION("""COMPUTED_VALUE"""),0.6134953703703704)</f>
        <v>0.6134953704</v>
      </c>
      <c r="K279" s="16"/>
      <c r="L279" s="8"/>
      <c r="M279" s="69"/>
      <c r="N279" s="69">
        <f>IFERROR(__xludf.DUMMYFUNCTION("""COMPUTED_VALUE"""),1.0)</f>
        <v>1</v>
      </c>
      <c r="O279" s="69" t="str">
        <f t="shared" si="3"/>
        <v/>
      </c>
      <c r="P279" s="471">
        <f>IFERROR(__xludf.DUMMYFUNCTION("""COMPUTED_VALUE"""),0.0)</f>
        <v>0</v>
      </c>
      <c r="Q279" s="274" t="str">
        <f>VLOOKUP($B279,'Run Reconcile'!B$2:O2488,14,FALSE)</f>
        <v/>
      </c>
      <c r="R279" s="472" t="str">
        <f t="array" ref="R279">IF($Q279, INDEX('Run Reconcile'!A$2:A2488,MATCH(B279,'Run Reconcile'!B$2:B2488,0),1),IFERROR(0/0,""))</f>
        <v/>
      </c>
      <c r="S279" s="473" t="str">
        <f t="shared" ref="S279:T279" si="563">IF(COUNTIF(W$2:W2488, $A279) &gt; 0,TRUE,IFERROR(0/0,""))</f>
        <v/>
      </c>
      <c r="T279" s="473" t="str">
        <f t="shared" si="563"/>
        <v/>
      </c>
      <c r="U279" s="275" t="str">
        <f t="array" ref="U279">IF(ISBLANK($R279), INDEX('Run Reconcile'!A$2:A2488, MATCH($B279, 'Run Reconcile'!B$2:B2488, 0)+Z279, 1), IFERROR(0/0,""))
</f>
        <v>RUN-FLMP_2021-12-22_RFR-030</v>
      </c>
      <c r="V279" s="474" t="str">
        <f t="shared" si="5"/>
        <v>RUN-FLMP_2021-12-22_RFR-030</v>
      </c>
      <c r="Y279" s="89" t="str">
        <f t="shared" si="527"/>
        <v/>
      </c>
      <c r="Z279" s="60" t="str">
        <f t="shared" si="7"/>
        <v/>
      </c>
      <c r="AA279" s="60" t="str">
        <f t="shared" si="8"/>
        <v/>
      </c>
      <c r="AB279" s="60" t="str">
        <f t="shared" si="9"/>
        <v/>
      </c>
      <c r="AC279" s="30" t="str">
        <f t="shared" ref="AC279:AD279" si="564">IF(_xlfn.ISFORMULA(S279),IFERROR(0/0,""),TRUE)</f>
        <v/>
      </c>
      <c r="AD279" s="30" t="str">
        <f t="shared" si="564"/>
        <v/>
      </c>
      <c r="AE279" s="475" t="str">
        <f>IFERROR(__xludf.DUMMYFUNCTION("""COMPUTED_VALUE"""),"FLSP")</f>
        <v>FLSP</v>
      </c>
      <c r="AF279" s="476"/>
      <c r="AG279" s="474" t="s">
        <v>129</v>
      </c>
      <c r="AH279" s="138" t="str">
        <f t="shared" si="11"/>
        <v/>
      </c>
    </row>
    <row r="280">
      <c r="A280" s="103" t="str">
        <f>IFERROR(__xludf.DUMMYFUNCTION("""COMPUTED_VALUE"""),"MAX474")</f>
        <v>MAX474</v>
      </c>
      <c r="B280" s="468">
        <f>IFERROR(__xludf.DUMMYFUNCTION("""COMPUTED_VALUE"""),44552.0)</f>
        <v>44552</v>
      </c>
      <c r="C280" s="469">
        <f>IFERROR(__xludf.DUMMYFUNCTION("""COMPUTED_VALUE"""),0.7559837962962963)</f>
        <v>0.7559837963</v>
      </c>
      <c r="D280" s="103" t="str">
        <f>IFERROR(__xludf.DUMMYFUNCTION("""COMPUTED_VALUE"""),"SpFLMP659315")</f>
        <v>SpFLMP659315</v>
      </c>
      <c r="E280" s="103"/>
      <c r="F280" s="103"/>
      <c r="G280" s="103" t="str">
        <f>IFERROR(__xludf.DUMMYFUNCTION("""COMPUTED_VALUE"""),"Negative")</f>
        <v>Negative</v>
      </c>
      <c r="H280" s="131" t="str">
        <f>IFERROR(__xludf.DUMMYFUNCTION("""COMPUTED_VALUE"""),"Negative")</f>
        <v>Negative</v>
      </c>
      <c r="I280" s="468">
        <f>IFERROR(__xludf.DUMMYFUNCTION("""COMPUTED_VALUE"""),44552.0)</f>
        <v>44552</v>
      </c>
      <c r="J280" s="470">
        <f>IFERROR(__xludf.DUMMYFUNCTION("""COMPUTED_VALUE"""),0.7979398148148148)</f>
        <v>0.7979398148</v>
      </c>
      <c r="K280" s="16"/>
      <c r="L280" s="8"/>
      <c r="M280" s="69"/>
      <c r="N280" s="69">
        <f>IFERROR(__xludf.DUMMYFUNCTION("""COMPUTED_VALUE"""),1.0)</f>
        <v>1</v>
      </c>
      <c r="O280" s="69" t="str">
        <f t="shared" si="3"/>
        <v/>
      </c>
      <c r="P280" s="471">
        <f>IFERROR(__xludf.DUMMYFUNCTION("""COMPUTED_VALUE"""),0.0)</f>
        <v>0</v>
      </c>
      <c r="Q280" s="274" t="str">
        <f>VLOOKUP($B280,'Run Reconcile'!B$2:O2488,14,FALSE)</f>
        <v/>
      </c>
      <c r="R280" s="472" t="str">
        <f t="array" ref="R280">IF($Q280, INDEX('Run Reconcile'!A$2:A2488,MATCH(B280,'Run Reconcile'!B$2:B2488,0),1),IFERROR(0/0,""))</f>
        <v/>
      </c>
      <c r="S280" s="473" t="str">
        <f t="shared" ref="S280:T280" si="565">IF(COUNTIF(W$2:W2488, $A280) &gt; 0,TRUE,IFERROR(0/0,""))</f>
        <v/>
      </c>
      <c r="T280" s="473" t="b">
        <f t="shared" si="565"/>
        <v>1</v>
      </c>
      <c r="U280" s="275" t="str">
        <f t="array" ref="U280">IF(ISBLANK($R280), INDEX('Run Reconcile'!A$2:A2488, MATCH($B280, 'Run Reconcile'!B$2:B2488, 0)+Z280, 1), IFERROR(0/0,""))
</f>
        <v>RUN-FLMP_2021-12-22_RFR-031</v>
      </c>
      <c r="V280" s="474" t="str">
        <f t="shared" si="5"/>
        <v>RUN-FLMP_2021-12-22_RFR-031</v>
      </c>
      <c r="X280" s="103" t="s">
        <v>1325</v>
      </c>
      <c r="Y280" s="89">
        <f t="shared" si="527"/>
        <v>1</v>
      </c>
      <c r="Z280" s="60">
        <f t="shared" si="7"/>
        <v>1</v>
      </c>
      <c r="AA280" s="60" t="str">
        <f t="shared" si="8"/>
        <v/>
      </c>
      <c r="AB280" s="60">
        <f t="shared" si="9"/>
        <v>1</v>
      </c>
      <c r="AC280" s="30" t="str">
        <f t="shared" ref="AC280:AD280" si="566">IF(_xlfn.ISFORMULA(S280),IFERROR(0/0,""),TRUE)</f>
        <v/>
      </c>
      <c r="AD280" s="30" t="str">
        <f t="shared" si="566"/>
        <v/>
      </c>
      <c r="AE280" s="475" t="str">
        <f>IFERROR(__xludf.DUMMYFUNCTION("""COMPUTED_VALUE"""),"FLSP")</f>
        <v>FLSP</v>
      </c>
      <c r="AF280" s="476"/>
      <c r="AG280" s="474" t="s">
        <v>130</v>
      </c>
      <c r="AH280" s="138" t="str">
        <f t="shared" si="11"/>
        <v/>
      </c>
    </row>
    <row r="281">
      <c r="A281" s="103" t="str">
        <f>IFERROR(__xludf.DUMMYFUNCTION("""COMPUTED_VALUE"""),"FLM276")</f>
        <v>FLM276</v>
      </c>
      <c r="B281" s="468">
        <f>IFERROR(__xludf.DUMMYFUNCTION("""COMPUTED_VALUE"""),44552.0)</f>
        <v>44552</v>
      </c>
      <c r="C281" s="469">
        <f>IFERROR(__xludf.DUMMYFUNCTION("""COMPUTED_VALUE"""),0.7594791666666667)</f>
        <v>0.7594791667</v>
      </c>
      <c r="D281" s="103" t="str">
        <f>IFERROR(__xludf.DUMMYFUNCTION("""COMPUTED_VALUE"""),"SpFLMP659315")</f>
        <v>SpFLMP659315</v>
      </c>
      <c r="E281" s="103"/>
      <c r="F281" s="103"/>
      <c r="G281" s="103" t="str">
        <f>IFERROR(__xludf.DUMMYFUNCTION("""COMPUTED_VALUE"""),"Positive")</f>
        <v>Positive</v>
      </c>
      <c r="H281" s="131" t="str">
        <f>IFERROR(__xludf.DUMMYFUNCTION("""COMPUTED_VALUE"""),"Positive")</f>
        <v>Positive</v>
      </c>
      <c r="I281" s="468">
        <f>IFERROR(__xludf.DUMMYFUNCTION("""COMPUTED_VALUE"""),44552.0)</f>
        <v>44552</v>
      </c>
      <c r="J281" s="470">
        <f>IFERROR(__xludf.DUMMYFUNCTION("""COMPUTED_VALUE"""),0.7982060185185185)</f>
        <v>0.7982060185</v>
      </c>
      <c r="K281" s="16"/>
      <c r="L281" s="8" t="str">
        <f>IFERROR(__xludf.DUMMYFUNCTION("""COMPUTED_VALUE"""),"name email fix")</f>
        <v>name email fix</v>
      </c>
      <c r="M281" s="69"/>
      <c r="N281" s="69">
        <f>IFERROR(__xludf.DUMMYFUNCTION("""COMPUTED_VALUE"""),1.0)</f>
        <v>1</v>
      </c>
      <c r="O281" s="69" t="str">
        <f t="shared" si="3"/>
        <v/>
      </c>
      <c r="P281" s="471">
        <f>IFERROR(__xludf.DUMMYFUNCTION("""COMPUTED_VALUE"""),0.0)</f>
        <v>0</v>
      </c>
      <c r="Q281" s="274" t="str">
        <f>VLOOKUP($B281,'Run Reconcile'!B$2:O2488,14,FALSE)</f>
        <v/>
      </c>
      <c r="R281" s="472" t="str">
        <f t="array" ref="R281">IF($Q281, INDEX('Run Reconcile'!A$2:A2488,MATCH(B281,'Run Reconcile'!B$2:B2488,0),1),IFERROR(0/0,""))</f>
        <v/>
      </c>
      <c r="S281" s="473" t="str">
        <f t="shared" ref="S281:T281" si="567">IF(COUNTIF(W$2:W2488, $A281) &gt; 0,TRUE,IFERROR(0/0,""))</f>
        <v/>
      </c>
      <c r="T281" s="473" t="b">
        <f t="shared" si="567"/>
        <v>1</v>
      </c>
      <c r="U281" s="275" t="str">
        <f t="array" ref="U281">IF(ISBLANK($R281), INDEX('Run Reconcile'!A$2:A2488, MATCH($B281, 'Run Reconcile'!B$2:B2488, 0)+Z281, 1), IFERROR(0/0,""))
</f>
        <v>RUN-FLMP_2021-12-22_RFR-031</v>
      </c>
      <c r="V281" s="474" t="str">
        <f t="shared" si="5"/>
        <v>RUN-FLMP_2021-12-22_RFR-031</v>
      </c>
      <c r="X281" s="103" t="s">
        <v>1106</v>
      </c>
      <c r="Y281" s="89">
        <f t="shared" si="527"/>
        <v>1</v>
      </c>
      <c r="Z281" s="60">
        <f t="shared" si="7"/>
        <v>1</v>
      </c>
      <c r="AA281" s="60" t="str">
        <f t="shared" si="8"/>
        <v/>
      </c>
      <c r="AB281" s="60">
        <f t="shared" si="9"/>
        <v>1</v>
      </c>
      <c r="AC281" s="30" t="str">
        <f t="shared" ref="AC281:AD281" si="568">IF(_xlfn.ISFORMULA(S281),IFERROR(0/0,""),TRUE)</f>
        <v/>
      </c>
      <c r="AD281" s="30" t="str">
        <f t="shared" si="568"/>
        <v/>
      </c>
      <c r="AE281" s="475" t="str">
        <f>IFERROR(__xludf.DUMMYFUNCTION("""COMPUTED_VALUE"""),"FLSP")</f>
        <v>FLSP</v>
      </c>
      <c r="AF281" s="476"/>
      <c r="AG281" s="474" t="s">
        <v>130</v>
      </c>
      <c r="AH281" s="138" t="str">
        <f t="shared" si="11"/>
        <v/>
      </c>
    </row>
    <row r="282">
      <c r="A282" s="103" t="str">
        <f>IFERROR(__xludf.DUMMYFUNCTION("""COMPUTED_VALUE"""),"MA1494")</f>
        <v>MA1494</v>
      </c>
      <c r="B282" s="468">
        <f>IFERROR(__xludf.DUMMYFUNCTION("""COMPUTED_VALUE"""),44553.0)</f>
        <v>44553</v>
      </c>
      <c r="C282" s="469">
        <f>IFERROR(__xludf.DUMMYFUNCTION("""COMPUTED_VALUE"""),0.3460648148148148)</f>
        <v>0.3460648148</v>
      </c>
      <c r="D282" s="103" t="str">
        <f>IFERROR(__xludf.DUMMYFUNCTION("""COMPUTED_VALUE"""),"SpFLMP684798")</f>
        <v>SpFLMP684798</v>
      </c>
      <c r="E282" s="103"/>
      <c r="F282" s="103"/>
      <c r="G282" s="103" t="str">
        <f>IFERROR(__xludf.DUMMYFUNCTION("""COMPUTED_VALUE"""),"Negative")</f>
        <v>Negative</v>
      </c>
      <c r="H282" s="131" t="str">
        <f>IFERROR(__xludf.DUMMYFUNCTION("""COMPUTED_VALUE"""),"Negative")</f>
        <v>Negative</v>
      </c>
      <c r="I282" s="468">
        <f>IFERROR(__xludf.DUMMYFUNCTION("""COMPUTED_VALUE"""),44553.0)</f>
        <v>44553</v>
      </c>
      <c r="J282" s="470">
        <f>IFERROR(__xludf.DUMMYFUNCTION("""COMPUTED_VALUE"""),0.6457291666666667)</f>
        <v>0.6457291667</v>
      </c>
      <c r="K282" s="16"/>
      <c r="L282" s="8"/>
      <c r="M282" s="69"/>
      <c r="N282" s="69">
        <f>IFERROR(__xludf.DUMMYFUNCTION("""COMPUTED_VALUE"""),1.0)</f>
        <v>1</v>
      </c>
      <c r="O282" s="69" t="b">
        <f t="shared" si="3"/>
        <v>1</v>
      </c>
      <c r="P282" s="471">
        <f>IFERROR(__xludf.DUMMYFUNCTION("""COMPUTED_VALUE"""),0.0)</f>
        <v>0</v>
      </c>
      <c r="Q282" s="274" t="b">
        <f>VLOOKUP($B282,'Run Reconcile'!B$2:O2488,14,FALSE)</f>
        <v>1</v>
      </c>
      <c r="R282" s="472" t="str">
        <f t="array" ref="R282">IF($Q282, INDEX('Run Reconcile'!A$2:A2488,MATCH(B282,'Run Reconcile'!B$2:B2488,0),1),IFERROR(0/0,""))</f>
        <v>RUN-FLMP_2021-12-23_RFR-032</v>
      </c>
      <c r="S282" s="473" t="str">
        <f t="shared" ref="S282:T282" si="569">IF(COUNTIF(W$2:W2488, $A282) &gt; 0,TRUE,IFERROR(0/0,""))</f>
        <v/>
      </c>
      <c r="T282" s="473" t="str">
        <f t="shared" si="569"/>
        <v/>
      </c>
      <c r="U282" s="275" t="str">
        <f t="array" ref="U282">IF(ISBLANK($R282), INDEX('Run Reconcile'!A$2:A2488, MATCH($B282, 'Run Reconcile'!B$2:B2488, 0)+Z282, 1), IFERROR(0/0,""))
</f>
        <v/>
      </c>
      <c r="V282" s="474" t="str">
        <f t="shared" si="5"/>
        <v>RUN-FLMP_2021-12-23_RFR-032</v>
      </c>
      <c r="Y282" s="89" t="str">
        <f t="shared" si="527"/>
        <v/>
      </c>
      <c r="Z282" s="60" t="str">
        <f t="shared" si="7"/>
        <v/>
      </c>
      <c r="AA282" s="60" t="str">
        <f t="shared" si="8"/>
        <v/>
      </c>
      <c r="AB282" s="60" t="str">
        <f t="shared" si="9"/>
        <v/>
      </c>
      <c r="AC282" s="30" t="str">
        <f t="shared" ref="AC282:AD282" si="570">IF(_xlfn.ISFORMULA(S282),IFERROR(0/0,""),TRUE)</f>
        <v/>
      </c>
      <c r="AD282" s="30" t="str">
        <f t="shared" si="570"/>
        <v/>
      </c>
      <c r="AE282" s="475" t="str">
        <f>IFERROR(__xludf.DUMMYFUNCTION("""COMPUTED_VALUE"""),"FLSP")</f>
        <v>FLSP</v>
      </c>
      <c r="AF282" s="476"/>
      <c r="AG282" s="474" t="s">
        <v>131</v>
      </c>
      <c r="AH282" s="138" t="str">
        <f t="shared" si="11"/>
        <v/>
      </c>
    </row>
    <row r="283">
      <c r="A283" s="103" t="str">
        <f>IFERROR(__xludf.DUMMYFUNCTION("""COMPUTED_VALUE"""),"MA1343")</f>
        <v>MA1343</v>
      </c>
      <c r="B283" s="468">
        <f>IFERROR(__xludf.DUMMYFUNCTION("""COMPUTED_VALUE"""),44553.0)</f>
        <v>44553</v>
      </c>
      <c r="C283" s="469">
        <f>IFERROR(__xludf.DUMMYFUNCTION("""COMPUTED_VALUE"""),0.3466898148148148)</f>
        <v>0.3466898148</v>
      </c>
      <c r="D283" s="103" t="str">
        <f>IFERROR(__xludf.DUMMYFUNCTION("""COMPUTED_VALUE"""),"SpFLMP684798")</f>
        <v>SpFLMP684798</v>
      </c>
      <c r="E283" s="103"/>
      <c r="F283" s="103"/>
      <c r="G283" s="103" t="str">
        <f>IFERROR(__xludf.DUMMYFUNCTION("""COMPUTED_VALUE"""),"Negative")</f>
        <v>Negative</v>
      </c>
      <c r="H283" s="131" t="str">
        <f>IFERROR(__xludf.DUMMYFUNCTION("""COMPUTED_VALUE"""),"Negative")</f>
        <v>Negative</v>
      </c>
      <c r="I283" s="468">
        <f>IFERROR(__xludf.DUMMYFUNCTION("""COMPUTED_VALUE"""),44553.0)</f>
        <v>44553</v>
      </c>
      <c r="J283" s="470">
        <f>IFERROR(__xludf.DUMMYFUNCTION("""COMPUTED_VALUE"""),0.6457291666666667)</f>
        <v>0.6457291667</v>
      </c>
      <c r="K283" s="16"/>
      <c r="L283" s="8"/>
      <c r="M283" s="69"/>
      <c r="N283" s="69">
        <f>IFERROR(__xludf.DUMMYFUNCTION("""COMPUTED_VALUE"""),2.0)</f>
        <v>2</v>
      </c>
      <c r="O283" s="69" t="str">
        <f t="shared" si="3"/>
        <v/>
      </c>
      <c r="P283" s="471">
        <f>IFERROR(__xludf.DUMMYFUNCTION("""COMPUTED_VALUE"""),0.0)</f>
        <v>0</v>
      </c>
      <c r="Q283" s="274" t="b">
        <f>VLOOKUP($B283,'Run Reconcile'!B$2:O2488,14,FALSE)</f>
        <v>1</v>
      </c>
      <c r="R283" s="472" t="str">
        <f t="array" ref="R283">IF($Q283, INDEX('Run Reconcile'!A$2:A2488,MATCH(B283,'Run Reconcile'!B$2:B2488,0),1),IFERROR(0/0,""))</f>
        <v>RUN-FLMP_2021-12-23_RFR-032</v>
      </c>
      <c r="S283" s="473" t="str">
        <f t="shared" ref="S283:T283" si="571">IF(COUNTIF(W$2:W2488, $A283) &gt; 0,TRUE,IFERROR(0/0,""))</f>
        <v/>
      </c>
      <c r="T283" s="473" t="str">
        <f t="shared" si="571"/>
        <v/>
      </c>
      <c r="U283" s="275" t="str">
        <f t="array" ref="U283">IF(ISBLANK($R283), INDEX('Run Reconcile'!A$2:A2488, MATCH($B283, 'Run Reconcile'!B$2:B2488, 0)+Z283, 1), IFERROR(0/0,""))
</f>
        <v/>
      </c>
      <c r="V283" s="474" t="str">
        <f t="shared" si="5"/>
        <v>RUN-FLMP_2021-12-23_RFR-032</v>
      </c>
      <c r="Y283" s="89" t="str">
        <f t="shared" si="527"/>
        <v/>
      </c>
      <c r="Z283" s="60" t="str">
        <f t="shared" si="7"/>
        <v/>
      </c>
      <c r="AA283" s="60" t="str">
        <f t="shared" si="8"/>
        <v/>
      </c>
      <c r="AB283" s="60" t="str">
        <f t="shared" si="9"/>
        <v/>
      </c>
      <c r="AC283" s="30" t="str">
        <f t="shared" ref="AC283:AD283" si="572">IF(_xlfn.ISFORMULA(S283),IFERROR(0/0,""),TRUE)</f>
        <v/>
      </c>
      <c r="AD283" s="30" t="str">
        <f t="shared" si="572"/>
        <v/>
      </c>
      <c r="AE283" s="475" t="str">
        <f>IFERROR(__xludf.DUMMYFUNCTION("""COMPUTED_VALUE"""),"FLSP")</f>
        <v>FLSP</v>
      </c>
      <c r="AF283" s="476"/>
      <c r="AG283" s="474" t="s">
        <v>131</v>
      </c>
      <c r="AH283" s="138" t="str">
        <f t="shared" si="11"/>
        <v/>
      </c>
    </row>
    <row r="284">
      <c r="A284" s="103" t="str">
        <f>IFERROR(__xludf.DUMMYFUNCTION("""COMPUTED_VALUE"""),"MA1362")</f>
        <v>MA1362</v>
      </c>
      <c r="B284" s="468">
        <f>IFERROR(__xludf.DUMMYFUNCTION("""COMPUTED_VALUE"""),44553.0)</f>
        <v>44553</v>
      </c>
      <c r="C284" s="469">
        <f>IFERROR(__xludf.DUMMYFUNCTION("""COMPUTED_VALUE"""),0.37064814814814817)</f>
        <v>0.3706481481</v>
      </c>
      <c r="D284" s="103" t="str">
        <f>IFERROR(__xludf.DUMMYFUNCTION("""COMPUTED_VALUE"""),"SpFLMP659315")</f>
        <v>SpFLMP659315</v>
      </c>
      <c r="E284" s="103"/>
      <c r="F284" s="103"/>
      <c r="G284" s="103" t="str">
        <f>IFERROR(__xludf.DUMMYFUNCTION("""COMPUTED_VALUE"""),"Positive")</f>
        <v>Positive</v>
      </c>
      <c r="H284" s="131" t="str">
        <f>IFERROR(__xludf.DUMMYFUNCTION("""COMPUTED_VALUE"""),"Positive")</f>
        <v>Positive</v>
      </c>
      <c r="I284" s="468">
        <f>IFERROR(__xludf.DUMMYFUNCTION("""COMPUTED_VALUE"""),44553.0)</f>
        <v>44553</v>
      </c>
      <c r="J284" s="470">
        <f>IFERROR(__xludf.DUMMYFUNCTION("""COMPUTED_VALUE"""),0.6457291666666667)</f>
        <v>0.6457291667</v>
      </c>
      <c r="K284" s="16"/>
      <c r="L284" s="8" t="str">
        <f>IFERROR(__xludf.DUMMYFUNCTION("""COMPUTED_VALUE"""),"name email fix")</f>
        <v>name email fix</v>
      </c>
      <c r="M284" s="69"/>
      <c r="N284" s="69">
        <f>IFERROR(__xludf.DUMMYFUNCTION("""COMPUTED_VALUE"""),1.0)</f>
        <v>1</v>
      </c>
      <c r="O284" s="69" t="str">
        <f t="shared" si="3"/>
        <v/>
      </c>
      <c r="P284" s="471">
        <f>IFERROR(__xludf.DUMMYFUNCTION("""COMPUTED_VALUE"""),0.0)</f>
        <v>0</v>
      </c>
      <c r="Q284" s="274" t="b">
        <f>VLOOKUP($B284,'Run Reconcile'!B$2:O2488,14,FALSE)</f>
        <v>1</v>
      </c>
      <c r="R284" s="472" t="str">
        <f t="array" ref="R284">IF($Q284, INDEX('Run Reconcile'!A$2:A2488,MATCH(B284,'Run Reconcile'!B$2:B2488,0),1),IFERROR(0/0,""))</f>
        <v>RUN-FLMP_2021-12-23_RFR-032</v>
      </c>
      <c r="S284" s="473" t="str">
        <f t="shared" ref="S284:T284" si="573">IF(COUNTIF(W$2:W2488, $A284) &gt; 0,TRUE,IFERROR(0/0,""))</f>
        <v/>
      </c>
      <c r="T284" s="473" t="str">
        <f t="shared" si="573"/>
        <v/>
      </c>
      <c r="U284" s="275" t="str">
        <f t="array" ref="U284">IF(ISBLANK($R284), INDEX('Run Reconcile'!A$2:A2488, MATCH($B284, 'Run Reconcile'!B$2:B2488, 0)+Z284, 1), IFERROR(0/0,""))
</f>
        <v/>
      </c>
      <c r="V284" s="474" t="str">
        <f t="shared" si="5"/>
        <v>RUN-FLMP_2021-12-23_RFR-032</v>
      </c>
      <c r="Y284" s="89" t="str">
        <f t="shared" si="527"/>
        <v/>
      </c>
      <c r="Z284" s="60" t="str">
        <f t="shared" si="7"/>
        <v/>
      </c>
      <c r="AA284" s="60" t="str">
        <f t="shared" si="8"/>
        <v/>
      </c>
      <c r="AB284" s="60" t="str">
        <f t="shared" si="9"/>
        <v/>
      </c>
      <c r="AC284" s="30" t="str">
        <f t="shared" ref="AC284:AD284" si="574">IF(_xlfn.ISFORMULA(S284),IFERROR(0/0,""),TRUE)</f>
        <v/>
      </c>
      <c r="AD284" s="30" t="str">
        <f t="shared" si="574"/>
        <v/>
      </c>
      <c r="AE284" s="475" t="str">
        <f>IFERROR(__xludf.DUMMYFUNCTION("""COMPUTED_VALUE"""),"FLSP")</f>
        <v>FLSP</v>
      </c>
      <c r="AF284" s="476"/>
      <c r="AG284" s="474" t="s">
        <v>131</v>
      </c>
      <c r="AH284" s="138" t="str">
        <f t="shared" si="11"/>
        <v/>
      </c>
    </row>
    <row r="285">
      <c r="A285" s="103" t="str">
        <f>IFERROR(__xludf.DUMMYFUNCTION("""COMPUTED_VALUE"""),"FLM245")</f>
        <v>FLM245</v>
      </c>
      <c r="B285" s="468">
        <f>IFERROR(__xludf.DUMMYFUNCTION("""COMPUTED_VALUE"""),44553.0)</f>
        <v>44553</v>
      </c>
      <c r="C285" s="469">
        <f>IFERROR(__xludf.DUMMYFUNCTION("""COMPUTED_VALUE"""),0.3750925925925926)</f>
        <v>0.3750925926</v>
      </c>
      <c r="D285" s="103" t="str">
        <f>IFERROR(__xludf.DUMMYFUNCTION("""COMPUTED_VALUE"""),"SpFLMP496039")</f>
        <v>SpFLMP496039</v>
      </c>
      <c r="E285" s="103"/>
      <c r="F285" s="103"/>
      <c r="G285" s="103" t="str">
        <f>IFERROR(__xludf.DUMMYFUNCTION("""COMPUTED_VALUE"""),"Negative")</f>
        <v>Negative</v>
      </c>
      <c r="H285" s="131" t="str">
        <f>IFERROR(__xludf.DUMMYFUNCTION("""COMPUTED_VALUE"""),"Negative")</f>
        <v>Negative</v>
      </c>
      <c r="I285" s="468">
        <f>IFERROR(__xludf.DUMMYFUNCTION("""COMPUTED_VALUE"""),44553.0)</f>
        <v>44553</v>
      </c>
      <c r="J285" s="470">
        <f>IFERROR(__xludf.DUMMYFUNCTION("""COMPUTED_VALUE"""),0.6457291666666667)</f>
        <v>0.6457291667</v>
      </c>
      <c r="K285" s="16"/>
      <c r="L285" s="8"/>
      <c r="M285" s="69"/>
      <c r="N285" s="69">
        <f>IFERROR(__xludf.DUMMYFUNCTION("""COMPUTED_VALUE"""),1.0)</f>
        <v>1</v>
      </c>
      <c r="O285" s="69" t="str">
        <f t="shared" si="3"/>
        <v/>
      </c>
      <c r="P285" s="471">
        <f>IFERROR(__xludf.DUMMYFUNCTION("""COMPUTED_VALUE"""),0.0)</f>
        <v>0</v>
      </c>
      <c r="Q285" s="274" t="b">
        <f>VLOOKUP($B285,'Run Reconcile'!B$2:O2488,14,FALSE)</f>
        <v>1</v>
      </c>
      <c r="R285" s="472" t="str">
        <f t="array" ref="R285">IF($Q285, INDEX('Run Reconcile'!A$2:A2488,MATCH(B285,'Run Reconcile'!B$2:B2488,0),1),IFERROR(0/0,""))</f>
        <v>RUN-FLMP_2021-12-23_RFR-032</v>
      </c>
      <c r="S285" s="473" t="str">
        <f t="shared" ref="S285:T285" si="575">IF(COUNTIF(W$2:W2488, $A285) &gt; 0,TRUE,IFERROR(0/0,""))</f>
        <v/>
      </c>
      <c r="T285" s="473" t="str">
        <f t="shared" si="575"/>
        <v/>
      </c>
      <c r="U285" s="275" t="str">
        <f t="array" ref="U285">IF(ISBLANK($R285), INDEX('Run Reconcile'!A$2:A2488, MATCH($B285, 'Run Reconcile'!B$2:B2488, 0)+Z285, 1), IFERROR(0/0,""))
</f>
        <v/>
      </c>
      <c r="V285" s="474" t="str">
        <f t="shared" si="5"/>
        <v>RUN-FLMP_2021-12-23_RFR-032</v>
      </c>
      <c r="Y285" s="89" t="str">
        <f t="shared" si="527"/>
        <v/>
      </c>
      <c r="Z285" s="60" t="str">
        <f t="shared" si="7"/>
        <v/>
      </c>
      <c r="AA285" s="60" t="str">
        <f t="shared" si="8"/>
        <v/>
      </c>
      <c r="AB285" s="60" t="str">
        <f t="shared" si="9"/>
        <v/>
      </c>
      <c r="AC285" s="30" t="str">
        <f t="shared" ref="AC285:AD285" si="576">IF(_xlfn.ISFORMULA(S285),IFERROR(0/0,""),TRUE)</f>
        <v/>
      </c>
      <c r="AD285" s="30" t="str">
        <f t="shared" si="576"/>
        <v/>
      </c>
      <c r="AE285" s="475" t="str">
        <f>IFERROR(__xludf.DUMMYFUNCTION("""COMPUTED_VALUE"""),"FLSP")</f>
        <v>FLSP</v>
      </c>
      <c r="AF285" s="476"/>
      <c r="AG285" s="474" t="s">
        <v>131</v>
      </c>
      <c r="AH285" s="138" t="str">
        <f t="shared" si="11"/>
        <v/>
      </c>
    </row>
    <row r="286">
      <c r="A286" s="103" t="str">
        <f>IFERROR(__xludf.DUMMYFUNCTION("""COMPUTED_VALUE"""),"MA1325")</f>
        <v>MA1325</v>
      </c>
      <c r="B286" s="468">
        <f>IFERROR(__xludf.DUMMYFUNCTION("""COMPUTED_VALUE"""),44554.0)</f>
        <v>44554</v>
      </c>
      <c r="C286" s="469">
        <f>IFERROR(__xludf.DUMMYFUNCTION("""COMPUTED_VALUE"""),0.3094212962962963)</f>
        <v>0.3094212963</v>
      </c>
      <c r="D286" s="103" t="str">
        <f>IFERROR(__xludf.DUMMYFUNCTION("""COMPUTED_VALUE"""),"SpFLMP659315")</f>
        <v>SpFLMP659315</v>
      </c>
      <c r="E286" s="103"/>
      <c r="F286" s="103"/>
      <c r="G286" s="103" t="str">
        <f>IFERROR(__xludf.DUMMYFUNCTION("""COMPUTED_VALUE"""),"Positive")</f>
        <v>Positive</v>
      </c>
      <c r="H286" s="131" t="str">
        <f>IFERROR(__xludf.DUMMYFUNCTION("""COMPUTED_VALUE"""),"Positive")</f>
        <v>Positive</v>
      </c>
      <c r="I286" s="468">
        <f>IFERROR(__xludf.DUMMYFUNCTION("""COMPUTED_VALUE"""),44554.0)</f>
        <v>44554</v>
      </c>
      <c r="J286" s="470">
        <f>IFERROR(__xludf.DUMMYFUNCTION("""COMPUTED_VALUE"""),0.39295138888888886)</f>
        <v>0.3929513889</v>
      </c>
      <c r="K286" s="16"/>
      <c r="L286" s="8" t="str">
        <f>IFERROR(__xludf.DUMMYFUNCTION("""COMPUTED_VALUE"""),"name email fix")</f>
        <v>name email fix</v>
      </c>
      <c r="M286" s="69"/>
      <c r="N286" s="69">
        <f>IFERROR(__xludf.DUMMYFUNCTION("""COMPUTED_VALUE"""),1.0)</f>
        <v>1</v>
      </c>
      <c r="O286" s="69" t="b">
        <f t="shared" si="3"/>
        <v>1</v>
      </c>
      <c r="P286" s="471">
        <f>IFERROR(__xludf.DUMMYFUNCTION("""COMPUTED_VALUE"""),0.0)</f>
        <v>0</v>
      </c>
      <c r="Q286" s="274" t="str">
        <f>VLOOKUP($B286,'Run Reconcile'!B$2:O2488,14,FALSE)</f>
        <v/>
      </c>
      <c r="R286" s="472" t="str">
        <f t="array" ref="R286">IF($Q286, INDEX('Run Reconcile'!A$2:A2488,MATCH(B286,'Run Reconcile'!B$2:B2488,0),1),IFERROR(0/0,""))</f>
        <v/>
      </c>
      <c r="S286" s="473" t="str">
        <f t="shared" ref="S286:T286" si="577">IF(COUNTIF(W$2:W2488, $A286) &gt; 0,TRUE,IFERROR(0/0,""))</f>
        <v/>
      </c>
      <c r="T286" s="473" t="str">
        <f t="shared" si="577"/>
        <v/>
      </c>
      <c r="U286" s="275" t="str">
        <f t="array" ref="U286">IF(ISBLANK($R286), INDEX('Run Reconcile'!A$2:A2488, MATCH($B286, 'Run Reconcile'!B$2:B2488, 0)+Z286, 1), IFERROR(0/0,""))
</f>
        <v>RUN-FLMP_2021-12-24_RFR-033</v>
      </c>
      <c r="V286" s="474" t="str">
        <f t="shared" si="5"/>
        <v>RUN-FLMP_2021-12-24_RFR-033</v>
      </c>
      <c r="Y286" s="89" t="str">
        <f t="shared" si="527"/>
        <v/>
      </c>
      <c r="Z286" s="60" t="str">
        <f t="shared" si="7"/>
        <v/>
      </c>
      <c r="AA286" s="60" t="str">
        <f t="shared" si="8"/>
        <v/>
      </c>
      <c r="AB286" s="60" t="str">
        <f t="shared" si="9"/>
        <v/>
      </c>
      <c r="AC286" s="30" t="str">
        <f t="shared" ref="AC286:AD286" si="578">IF(_xlfn.ISFORMULA(S286),IFERROR(0/0,""),TRUE)</f>
        <v/>
      </c>
      <c r="AD286" s="30" t="str">
        <f t="shared" si="578"/>
        <v/>
      </c>
      <c r="AE286" s="475" t="str">
        <f>IFERROR(__xludf.DUMMYFUNCTION("""COMPUTED_VALUE"""),"FLSP")</f>
        <v>FLSP</v>
      </c>
      <c r="AF286" s="476"/>
      <c r="AG286" s="474" t="s">
        <v>133</v>
      </c>
      <c r="AH286" s="138" t="str">
        <f t="shared" si="11"/>
        <v/>
      </c>
    </row>
    <row r="287">
      <c r="A287" s="103" t="str">
        <f>IFERROR(__xludf.DUMMYFUNCTION("""COMPUTED_VALUE"""),"MA1333")</f>
        <v>MA1333</v>
      </c>
      <c r="B287" s="468">
        <f>IFERROR(__xludf.DUMMYFUNCTION("""COMPUTED_VALUE"""),44554.0)</f>
        <v>44554</v>
      </c>
      <c r="C287" s="469">
        <f>IFERROR(__xludf.DUMMYFUNCTION("""COMPUTED_VALUE"""),0.3097685185185185)</f>
        <v>0.3097685185</v>
      </c>
      <c r="D287" s="103" t="str">
        <f>IFERROR(__xludf.DUMMYFUNCTION("""COMPUTED_VALUE"""),"SpFLMP684798")</f>
        <v>SpFLMP684798</v>
      </c>
      <c r="E287" s="103"/>
      <c r="F287" s="103"/>
      <c r="G287" s="103" t="str">
        <f>IFERROR(__xludf.DUMMYFUNCTION("""COMPUTED_VALUE"""),"Negative")</f>
        <v>Negative</v>
      </c>
      <c r="H287" s="131" t="str">
        <f>IFERROR(__xludf.DUMMYFUNCTION("""COMPUTED_VALUE"""),"Negative")</f>
        <v>Negative</v>
      </c>
      <c r="I287" s="468">
        <f>IFERROR(__xludf.DUMMYFUNCTION("""COMPUTED_VALUE"""),44554.0)</f>
        <v>44554</v>
      </c>
      <c r="J287" s="470">
        <f>IFERROR(__xludf.DUMMYFUNCTION("""COMPUTED_VALUE"""),0.39295138888888886)</f>
        <v>0.3929513889</v>
      </c>
      <c r="K287" s="16"/>
      <c r="L287" s="8"/>
      <c r="M287" s="69"/>
      <c r="N287" s="69">
        <f>IFERROR(__xludf.DUMMYFUNCTION("""COMPUTED_VALUE"""),3.0)</f>
        <v>3</v>
      </c>
      <c r="O287" s="69" t="str">
        <f t="shared" si="3"/>
        <v/>
      </c>
      <c r="P287" s="471">
        <f>IFERROR(__xludf.DUMMYFUNCTION("""COMPUTED_VALUE"""),0.0)</f>
        <v>0</v>
      </c>
      <c r="Q287" s="274" t="str">
        <f>VLOOKUP($B287,'Run Reconcile'!B$2:O2488,14,FALSE)</f>
        <v/>
      </c>
      <c r="R287" s="472" t="str">
        <f t="array" ref="R287">IF($Q287, INDEX('Run Reconcile'!A$2:A2488,MATCH(B287,'Run Reconcile'!B$2:B2488,0),1),IFERROR(0/0,""))</f>
        <v/>
      </c>
      <c r="S287" s="473" t="str">
        <f t="shared" ref="S287:T287" si="579">IF(COUNTIF(W$2:W2488, $A287) &gt; 0,TRUE,IFERROR(0/0,""))</f>
        <v/>
      </c>
      <c r="T287" s="473" t="str">
        <f t="shared" si="579"/>
        <v/>
      </c>
      <c r="U287" s="275" t="str">
        <f t="array" ref="U287">IF(ISBLANK($R287), INDEX('Run Reconcile'!A$2:A2488, MATCH($B287, 'Run Reconcile'!B$2:B2488, 0)+Z287, 1), IFERROR(0/0,""))
</f>
        <v>RUN-FLMP_2021-12-24_RFR-033</v>
      </c>
      <c r="V287" s="474" t="str">
        <f t="shared" si="5"/>
        <v>RUN-FLMP_2021-12-24_RFR-033</v>
      </c>
      <c r="Y287" s="89" t="str">
        <f t="shared" si="527"/>
        <v/>
      </c>
      <c r="Z287" s="60" t="str">
        <f t="shared" si="7"/>
        <v/>
      </c>
      <c r="AA287" s="60" t="str">
        <f t="shared" si="8"/>
        <v/>
      </c>
      <c r="AB287" s="60" t="str">
        <f t="shared" si="9"/>
        <v/>
      </c>
      <c r="AC287" s="30" t="str">
        <f t="shared" ref="AC287:AD287" si="580">IF(_xlfn.ISFORMULA(S287),IFERROR(0/0,""),TRUE)</f>
        <v/>
      </c>
      <c r="AD287" s="30" t="str">
        <f t="shared" si="580"/>
        <v/>
      </c>
      <c r="AE287" s="475" t="str">
        <f>IFERROR(__xludf.DUMMYFUNCTION("""COMPUTED_VALUE"""),"FLSP")</f>
        <v>FLSP</v>
      </c>
      <c r="AF287" s="476"/>
      <c r="AG287" s="474" t="s">
        <v>133</v>
      </c>
      <c r="AH287" s="138" t="str">
        <f t="shared" si="11"/>
        <v/>
      </c>
    </row>
    <row r="288">
      <c r="A288" s="103" t="str">
        <f>IFERROR(__xludf.DUMMYFUNCTION("""COMPUTED_VALUE"""),"MAX448")</f>
        <v>MAX448</v>
      </c>
      <c r="B288" s="468">
        <f>IFERROR(__xludf.DUMMYFUNCTION("""COMPUTED_VALUE"""),44554.0)</f>
        <v>44554</v>
      </c>
      <c r="C288" s="469">
        <f>IFERROR(__xludf.DUMMYFUNCTION("""COMPUTED_VALUE"""),0.3098263888888889)</f>
        <v>0.3098263889</v>
      </c>
      <c r="D288" s="103" t="str">
        <f>IFERROR(__xludf.DUMMYFUNCTION("""COMPUTED_VALUE"""),"SpFLMP659315")</f>
        <v>SpFLMP659315</v>
      </c>
      <c r="E288" s="103"/>
      <c r="F288" s="103"/>
      <c r="G288" s="103" t="str">
        <f>IFERROR(__xludf.DUMMYFUNCTION("""COMPUTED_VALUE"""),"Negative")</f>
        <v>Negative</v>
      </c>
      <c r="H288" s="131" t="str">
        <f>IFERROR(__xludf.DUMMYFUNCTION("""COMPUTED_VALUE"""),"Negative")</f>
        <v>Negative</v>
      </c>
      <c r="I288" s="468">
        <f>IFERROR(__xludf.DUMMYFUNCTION("""COMPUTED_VALUE"""),44554.0)</f>
        <v>44554</v>
      </c>
      <c r="J288" s="470">
        <f>IFERROR(__xludf.DUMMYFUNCTION("""COMPUTED_VALUE"""),0.39295138888888886)</f>
        <v>0.3929513889</v>
      </c>
      <c r="K288" s="16"/>
      <c r="L288" s="8"/>
      <c r="M288" s="69"/>
      <c r="N288" s="69">
        <f>IFERROR(__xludf.DUMMYFUNCTION("""COMPUTED_VALUE"""),1.0)</f>
        <v>1</v>
      </c>
      <c r="O288" s="69" t="str">
        <f t="shared" si="3"/>
        <v/>
      </c>
      <c r="P288" s="471">
        <f>IFERROR(__xludf.DUMMYFUNCTION("""COMPUTED_VALUE"""),0.0)</f>
        <v>0</v>
      </c>
      <c r="Q288" s="274" t="str">
        <f>VLOOKUP($B288,'Run Reconcile'!B$2:O2488,14,FALSE)</f>
        <v/>
      </c>
      <c r="R288" s="472" t="str">
        <f t="array" ref="R288">IF($Q288, INDEX('Run Reconcile'!A$2:A2488,MATCH(B288,'Run Reconcile'!B$2:B2488,0),1),IFERROR(0/0,""))</f>
        <v/>
      </c>
      <c r="S288" s="473" t="str">
        <f t="shared" ref="S288:T288" si="581">IF(COUNTIF(W$2:W2488, $A288) &gt; 0,TRUE,IFERROR(0/0,""))</f>
        <v/>
      </c>
      <c r="T288" s="473" t="str">
        <f t="shared" si="581"/>
        <v/>
      </c>
      <c r="U288" s="275" t="str">
        <f t="array" ref="U288">IF(ISBLANK($R288), INDEX('Run Reconcile'!A$2:A2488, MATCH($B288, 'Run Reconcile'!B$2:B2488, 0)+Z288, 1), IFERROR(0/0,""))
</f>
        <v>RUN-FLMP_2021-12-24_RFR-033</v>
      </c>
      <c r="V288" s="474" t="str">
        <f t="shared" si="5"/>
        <v>RUN-FLMP_2021-12-24_RFR-033</v>
      </c>
      <c r="Y288" s="89" t="str">
        <f t="shared" si="527"/>
        <v/>
      </c>
      <c r="Z288" s="60" t="str">
        <f t="shared" si="7"/>
        <v/>
      </c>
      <c r="AA288" s="60" t="str">
        <f t="shared" si="8"/>
        <v/>
      </c>
      <c r="AB288" s="60" t="str">
        <f t="shared" si="9"/>
        <v/>
      </c>
      <c r="AC288" s="30" t="str">
        <f t="shared" ref="AC288:AD288" si="582">IF(_xlfn.ISFORMULA(S288),IFERROR(0/0,""),TRUE)</f>
        <v/>
      </c>
      <c r="AD288" s="30" t="str">
        <f t="shared" si="582"/>
        <v/>
      </c>
      <c r="AE288" s="475" t="str">
        <f>IFERROR(__xludf.DUMMYFUNCTION("""COMPUTED_VALUE"""),"FLSP")</f>
        <v>FLSP</v>
      </c>
      <c r="AF288" s="476"/>
      <c r="AG288" s="474" t="s">
        <v>133</v>
      </c>
      <c r="AH288" s="138" t="str">
        <f t="shared" si="11"/>
        <v/>
      </c>
    </row>
    <row r="289">
      <c r="A289" s="103" t="str">
        <f>IFERROR(__xludf.DUMMYFUNCTION("""COMPUTED_VALUE"""),"FLB6853")</f>
        <v>FLB6853</v>
      </c>
      <c r="B289" s="468">
        <f>IFERROR(__xludf.DUMMYFUNCTION("""COMPUTED_VALUE"""),44554.0)</f>
        <v>44554</v>
      </c>
      <c r="C289" s="469">
        <f>IFERROR(__xludf.DUMMYFUNCTION("""COMPUTED_VALUE"""),0.3725462962962963)</f>
        <v>0.3725462963</v>
      </c>
      <c r="D289" s="103" t="str">
        <f>IFERROR(__xludf.DUMMYFUNCTION("""COMPUTED_VALUE"""),"SpFLMP684798")</f>
        <v>SpFLMP684798</v>
      </c>
      <c r="E289" s="103"/>
      <c r="F289" s="103"/>
      <c r="G289" s="103" t="str">
        <f>IFERROR(__xludf.DUMMYFUNCTION("""COMPUTED_VALUE"""),"Negative")</f>
        <v>Negative</v>
      </c>
      <c r="H289" s="131" t="str">
        <f>IFERROR(__xludf.DUMMYFUNCTION("""COMPUTED_VALUE"""),"Negative")</f>
        <v>Negative</v>
      </c>
      <c r="I289" s="468">
        <f>IFERROR(__xludf.DUMMYFUNCTION("""COMPUTED_VALUE"""),44554.0)</f>
        <v>44554</v>
      </c>
      <c r="J289" s="470">
        <f>IFERROR(__xludf.DUMMYFUNCTION("""COMPUTED_VALUE"""),0.4217708333333333)</f>
        <v>0.4217708333</v>
      </c>
      <c r="K289" s="16"/>
      <c r="L289" s="8"/>
      <c r="M289" s="69"/>
      <c r="N289" s="69">
        <f>IFERROR(__xludf.DUMMYFUNCTION("""COMPUTED_VALUE"""),4.0)</f>
        <v>4</v>
      </c>
      <c r="O289" s="69" t="str">
        <f t="shared" si="3"/>
        <v/>
      </c>
      <c r="P289" s="471">
        <f>IFERROR(__xludf.DUMMYFUNCTION("""COMPUTED_VALUE"""),0.0)</f>
        <v>0</v>
      </c>
      <c r="Q289" s="274" t="str">
        <f>VLOOKUP($B289,'Run Reconcile'!B$2:O2488,14,FALSE)</f>
        <v/>
      </c>
      <c r="R289" s="472" t="str">
        <f t="array" ref="R289">IF($Q289, INDEX('Run Reconcile'!A$2:A2488,MATCH(B289,'Run Reconcile'!B$2:B2488,0),1),IFERROR(0/0,""))</f>
        <v/>
      </c>
      <c r="S289" s="473" t="str">
        <f t="shared" ref="S289:T289" si="583">IF(COUNTIF(W$2:W2488, $A289) &gt; 0,TRUE,IFERROR(0/0,""))</f>
        <v/>
      </c>
      <c r="T289" s="473" t="b">
        <f t="shared" si="583"/>
        <v>1</v>
      </c>
      <c r="U289" s="18" t="str">
        <f t="array" ref="U289">IF(ISBLANK($R289), INDEX('Run Reconcile'!A$2:A2488, MATCH($B289, 'Run Reconcile'!B$2:B2488, 0)+Z289, 1), IFERROR(0/0,""))
</f>
        <v>RUN-FLMP_2021-12-24_APS-074</v>
      </c>
      <c r="V289" s="474" t="str">
        <f t="shared" si="5"/>
        <v>RUN-FLMP_2021-12-24_APS-074</v>
      </c>
      <c r="X289" s="103" t="s">
        <v>1326</v>
      </c>
      <c r="Y289" s="89">
        <f t="shared" si="527"/>
        <v>1</v>
      </c>
      <c r="Z289" s="60">
        <f t="shared" si="7"/>
        <v>1</v>
      </c>
      <c r="AA289" s="60" t="str">
        <f t="shared" si="8"/>
        <v/>
      </c>
      <c r="AB289" s="60">
        <f t="shared" si="9"/>
        <v>1</v>
      </c>
      <c r="AC289" s="30" t="str">
        <f t="shared" ref="AC289:AD289" si="584">IF(_xlfn.ISFORMULA(S289),IFERROR(0/0,""),TRUE)</f>
        <v/>
      </c>
      <c r="AD289" s="30" t="str">
        <f t="shared" si="584"/>
        <v/>
      </c>
      <c r="AE289" s="475" t="str">
        <f>IFERROR(__xludf.DUMMYFUNCTION("""COMPUTED_VALUE"""),"CRLN")</f>
        <v>CRLN</v>
      </c>
      <c r="AF289" s="476"/>
      <c r="AG289" s="474" t="s">
        <v>132</v>
      </c>
      <c r="AH289" s="138" t="str">
        <f t="shared" si="11"/>
        <v/>
      </c>
    </row>
    <row r="290">
      <c r="A290" s="103" t="str">
        <f>IFERROR(__xludf.DUMMYFUNCTION("""COMPUTED_VALUE"""),"MAX311")</f>
        <v>MAX311</v>
      </c>
      <c r="B290" s="468">
        <f>IFERROR(__xludf.DUMMYFUNCTION("""COMPUTED_VALUE"""),44555.0)</f>
        <v>44555</v>
      </c>
      <c r="C290" s="469">
        <f>IFERROR(__xludf.DUMMYFUNCTION("""COMPUTED_VALUE"""),0.35530092592592594)</f>
        <v>0.3553009259</v>
      </c>
      <c r="D290" s="103" t="str">
        <f>IFERROR(__xludf.DUMMYFUNCTION("""COMPUTED_VALUE"""),"SpFLMP659315")</f>
        <v>SpFLMP659315</v>
      </c>
      <c r="E290" s="103"/>
      <c r="F290" s="103"/>
      <c r="G290" s="103" t="str">
        <f>IFERROR(__xludf.DUMMYFUNCTION("""COMPUTED_VALUE"""),"Positive")</f>
        <v>Positive</v>
      </c>
      <c r="H290" s="131" t="str">
        <f>IFERROR(__xludf.DUMMYFUNCTION("""COMPUTED_VALUE"""),"Positive")</f>
        <v>Positive</v>
      </c>
      <c r="I290" s="468">
        <f>IFERROR(__xludf.DUMMYFUNCTION("""COMPUTED_VALUE"""),44555.0)</f>
        <v>44555</v>
      </c>
      <c r="J290" s="470">
        <f>IFERROR(__xludf.DUMMYFUNCTION("""COMPUTED_VALUE"""),0.7082407407407407)</f>
        <v>0.7082407407</v>
      </c>
      <c r="K290" s="16"/>
      <c r="L290" s="8" t="str">
        <f>IFERROR(__xludf.DUMMYFUNCTION("""COMPUTED_VALUE"""),"name email fix")</f>
        <v>name email fix</v>
      </c>
      <c r="M290" s="69"/>
      <c r="N290" s="69">
        <f>IFERROR(__xludf.DUMMYFUNCTION("""COMPUTED_VALUE"""),1.0)</f>
        <v>1</v>
      </c>
      <c r="O290" s="69" t="b">
        <f t="shared" si="3"/>
        <v>1</v>
      </c>
      <c r="P290" s="471">
        <f>IFERROR(__xludf.DUMMYFUNCTION("""COMPUTED_VALUE"""),0.0)</f>
        <v>0</v>
      </c>
      <c r="Q290" s="274" t="b">
        <f>VLOOKUP($B290,'Run Reconcile'!B$2:O2488,14,FALSE)</f>
        <v>1</v>
      </c>
      <c r="R290" s="472" t="str">
        <f t="array" ref="R290">IF($Q290, INDEX('Run Reconcile'!A$2:A2488,MATCH(B290,'Run Reconcile'!B$2:B2488,0),1),IFERROR(0/0,""))</f>
        <v>RUN-FLMP_2021-12-25_RFR-034</v>
      </c>
      <c r="S290" s="473" t="str">
        <f t="shared" ref="S290:T290" si="585">IF(COUNTIF(W$2:W2488, $A290) &gt; 0,TRUE,IFERROR(0/0,""))</f>
        <v/>
      </c>
      <c r="T290" s="473" t="str">
        <f t="shared" si="585"/>
        <v/>
      </c>
      <c r="U290" s="275" t="str">
        <f t="array" ref="U290">IF(ISBLANK($R290), INDEX('Run Reconcile'!A$2:A2488, MATCH($B290, 'Run Reconcile'!B$2:B2488, 0)+Z290, 1), IFERROR(0/0,""))
</f>
        <v/>
      </c>
      <c r="V290" s="474" t="str">
        <f t="shared" si="5"/>
        <v>RUN-FLMP_2021-12-25_RFR-034</v>
      </c>
      <c r="Y290" s="89" t="str">
        <f t="shared" si="527"/>
        <v/>
      </c>
      <c r="Z290" s="60" t="str">
        <f t="shared" si="7"/>
        <v/>
      </c>
      <c r="AA290" s="60" t="str">
        <f t="shared" si="8"/>
        <v/>
      </c>
      <c r="AB290" s="60" t="str">
        <f t="shared" si="9"/>
        <v/>
      </c>
      <c r="AC290" s="30" t="str">
        <f t="shared" ref="AC290:AD290" si="586">IF(_xlfn.ISFORMULA(S290),IFERROR(0/0,""),TRUE)</f>
        <v/>
      </c>
      <c r="AD290" s="30" t="str">
        <f t="shared" si="586"/>
        <v/>
      </c>
      <c r="AE290" s="475" t="str">
        <f>IFERROR(__xludf.DUMMYFUNCTION("""COMPUTED_VALUE"""),"FLSP")</f>
        <v>FLSP</v>
      </c>
      <c r="AF290" s="476"/>
      <c r="AG290" s="474" t="s">
        <v>134</v>
      </c>
      <c r="AH290" s="138" t="str">
        <f t="shared" si="11"/>
        <v/>
      </c>
    </row>
    <row r="291">
      <c r="A291" s="103" t="str">
        <f>IFERROR(__xludf.DUMMYFUNCTION("""COMPUTED_VALUE"""),"MAX430")</f>
        <v>MAX430</v>
      </c>
      <c r="B291" s="468">
        <f>IFERROR(__xludf.DUMMYFUNCTION("""COMPUTED_VALUE"""),44555.0)</f>
        <v>44555</v>
      </c>
      <c r="C291" s="469">
        <f>IFERROR(__xludf.DUMMYFUNCTION("""COMPUTED_VALUE"""),0.3556944444444444)</f>
        <v>0.3556944444</v>
      </c>
      <c r="D291" s="103" t="str">
        <f>IFERROR(__xludf.DUMMYFUNCTION("""COMPUTED_VALUE"""),"SpFLMP659315")</f>
        <v>SpFLMP659315</v>
      </c>
      <c r="E291" s="103"/>
      <c r="F291" s="103"/>
      <c r="G291" s="103" t="str">
        <f>IFERROR(__xludf.DUMMYFUNCTION("""COMPUTED_VALUE"""),"Positive")</f>
        <v>Positive</v>
      </c>
      <c r="H291" s="131" t="str">
        <f>IFERROR(__xludf.DUMMYFUNCTION("""COMPUTED_VALUE"""),"Positive")</f>
        <v>Positive</v>
      </c>
      <c r="I291" s="468">
        <f>IFERROR(__xludf.DUMMYFUNCTION("""COMPUTED_VALUE"""),44555.0)</f>
        <v>44555</v>
      </c>
      <c r="J291" s="470">
        <f>IFERROR(__xludf.DUMMYFUNCTION("""COMPUTED_VALUE"""),0.7082407407407407)</f>
        <v>0.7082407407</v>
      </c>
      <c r="K291" s="16"/>
      <c r="L291" s="8" t="str">
        <f>IFERROR(__xludf.DUMMYFUNCTION("""COMPUTED_VALUE"""),"name email fix")</f>
        <v>name email fix</v>
      </c>
      <c r="M291" s="69"/>
      <c r="N291" s="69">
        <f>IFERROR(__xludf.DUMMYFUNCTION("""COMPUTED_VALUE"""),1.0)</f>
        <v>1</v>
      </c>
      <c r="O291" s="69" t="str">
        <f t="shared" si="3"/>
        <v/>
      </c>
      <c r="P291" s="471">
        <f>IFERROR(__xludf.DUMMYFUNCTION("""COMPUTED_VALUE"""),0.0)</f>
        <v>0</v>
      </c>
      <c r="Q291" s="274" t="b">
        <f>VLOOKUP($B291,'Run Reconcile'!B$2:O2488,14,FALSE)</f>
        <v>1</v>
      </c>
      <c r="R291" s="472" t="str">
        <f t="array" ref="R291">IF($Q291, INDEX('Run Reconcile'!A$2:A2488,MATCH(B291,'Run Reconcile'!B$2:B2488,0),1),IFERROR(0/0,""))</f>
        <v>RUN-FLMP_2021-12-25_RFR-034</v>
      </c>
      <c r="S291" s="473" t="str">
        <f t="shared" ref="S291:T291" si="587">IF(COUNTIF(W$2:W2488, $A291) &gt; 0,TRUE,IFERROR(0/0,""))</f>
        <v/>
      </c>
      <c r="T291" s="473" t="str">
        <f t="shared" si="587"/>
        <v/>
      </c>
      <c r="U291" s="275" t="str">
        <f t="array" ref="U291">IF(ISBLANK($R291), INDEX('Run Reconcile'!A$2:A2488, MATCH($B291, 'Run Reconcile'!B$2:B2488, 0)+Z291, 1), IFERROR(0/0,""))
</f>
        <v/>
      </c>
      <c r="V291" s="474" t="str">
        <f t="shared" si="5"/>
        <v>RUN-FLMP_2021-12-25_RFR-034</v>
      </c>
      <c r="Y291" s="89" t="str">
        <f t="shared" si="527"/>
        <v/>
      </c>
      <c r="Z291" s="60" t="str">
        <f t="shared" si="7"/>
        <v/>
      </c>
      <c r="AA291" s="60" t="str">
        <f t="shared" si="8"/>
        <v/>
      </c>
      <c r="AB291" s="60" t="str">
        <f t="shared" si="9"/>
        <v/>
      </c>
      <c r="AC291" s="30" t="str">
        <f t="shared" ref="AC291:AD291" si="588">IF(_xlfn.ISFORMULA(S291),IFERROR(0/0,""),TRUE)</f>
        <v/>
      </c>
      <c r="AD291" s="30" t="str">
        <f t="shared" si="588"/>
        <v/>
      </c>
      <c r="AE291" s="475" t="str">
        <f>IFERROR(__xludf.DUMMYFUNCTION("""COMPUTED_VALUE"""),"FLSP")</f>
        <v>FLSP</v>
      </c>
      <c r="AF291" s="476"/>
      <c r="AG291" s="474" t="s">
        <v>134</v>
      </c>
      <c r="AH291" s="138" t="str">
        <f t="shared" si="11"/>
        <v/>
      </c>
    </row>
    <row r="292">
      <c r="A292" s="103" t="str">
        <f>IFERROR(__xludf.DUMMYFUNCTION("""COMPUTED_VALUE"""),"MA1335")</f>
        <v>MA1335</v>
      </c>
      <c r="B292" s="468">
        <f>IFERROR(__xludf.DUMMYFUNCTION("""COMPUTED_VALUE"""),44556.0)</f>
        <v>44556</v>
      </c>
      <c r="C292" s="469">
        <f>IFERROR(__xludf.DUMMYFUNCTION("""COMPUTED_VALUE"""),0.16767361111111112)</f>
        <v>0.1676736111</v>
      </c>
      <c r="D292" s="103" t="str">
        <f>IFERROR(__xludf.DUMMYFUNCTION("""COMPUTED_VALUE"""),"SpFLMP659315")</f>
        <v>SpFLMP659315</v>
      </c>
      <c r="E292" s="103"/>
      <c r="F292" s="103"/>
      <c r="G292" s="103" t="str">
        <f>IFERROR(__xludf.DUMMYFUNCTION("""COMPUTED_VALUE"""),"Negative")</f>
        <v>Negative</v>
      </c>
      <c r="H292" s="131" t="str">
        <f>IFERROR(__xludf.DUMMYFUNCTION("""COMPUTED_VALUE"""),"Negative")</f>
        <v>Negative</v>
      </c>
      <c r="I292" s="468">
        <f>IFERROR(__xludf.DUMMYFUNCTION("""COMPUTED_VALUE"""),44556.0)</f>
        <v>44556</v>
      </c>
      <c r="J292" s="470">
        <f>IFERROR(__xludf.DUMMYFUNCTION("""COMPUTED_VALUE"""),0.16814814814814816)</f>
        <v>0.1681481481</v>
      </c>
      <c r="K292" s="16"/>
      <c r="L292" s="8"/>
      <c r="M292" s="69"/>
      <c r="N292" s="69">
        <f>IFERROR(__xludf.DUMMYFUNCTION("""COMPUTED_VALUE"""),3.0)</f>
        <v>3</v>
      </c>
      <c r="O292" s="69" t="b">
        <f t="shared" si="3"/>
        <v>1</v>
      </c>
      <c r="P292" s="471">
        <f>IFERROR(__xludf.DUMMYFUNCTION("""COMPUTED_VALUE"""),0.0)</f>
        <v>0</v>
      </c>
      <c r="Q292" s="274" t="str">
        <f>VLOOKUP($B292,'Run Reconcile'!B$2:O2488,14,FALSE)</f>
        <v/>
      </c>
      <c r="R292" s="472" t="str">
        <f t="array" ref="R292">IF($Q292, INDEX('Run Reconcile'!A$2:A2488,MATCH(B292,'Run Reconcile'!B$2:B2488,0),1),IFERROR(0/0,""))</f>
        <v/>
      </c>
      <c r="S292" s="473" t="str">
        <f t="shared" ref="S292:T292" si="589">IF(COUNTIF(W$2:W2488, $A292) &gt; 0,TRUE,IFERROR(0/0,""))</f>
        <v/>
      </c>
      <c r="T292" s="473" t="b">
        <f t="shared" si="589"/>
        <v>1</v>
      </c>
      <c r="U292" s="492" t="str">
        <f t="array" ref="U292">IF(ISBLANK($R292), INDEX('Run Reconcile'!A$2:A2488, MATCH($B292, 'Run Reconcile'!B$2:B2488, 0)+Z292, 1), IFERROR(0/0,""))
</f>
        <v>RUN-FLMP_2021-12-26_APS-075</v>
      </c>
      <c r="V292" s="474" t="str">
        <f t="shared" si="5"/>
        <v>RUN-FLMP_2021-12-26_APS-075</v>
      </c>
      <c r="X292" s="103" t="s">
        <v>1327</v>
      </c>
      <c r="Y292" s="89">
        <f t="shared" si="527"/>
        <v>1</v>
      </c>
      <c r="Z292" s="60">
        <f t="shared" si="7"/>
        <v>1</v>
      </c>
      <c r="AA292" s="60" t="str">
        <f t="shared" si="8"/>
        <v/>
      </c>
      <c r="AB292" s="60">
        <f t="shared" si="9"/>
        <v>1</v>
      </c>
      <c r="AC292" s="30" t="str">
        <f t="shared" ref="AC292:AD292" si="590">IF(_xlfn.ISFORMULA(S292),IFERROR(0/0,""),TRUE)</f>
        <v/>
      </c>
      <c r="AD292" s="30" t="str">
        <f t="shared" si="590"/>
        <v/>
      </c>
      <c r="AE292" s="475" t="str">
        <f>IFERROR(__xludf.DUMMYFUNCTION("""COMPUTED_VALUE"""),"FLSP")</f>
        <v>FLSP</v>
      </c>
      <c r="AF292" s="476"/>
      <c r="AG292" s="474" t="s">
        <v>135</v>
      </c>
      <c r="AH292" s="138" t="str">
        <f t="shared" si="11"/>
        <v/>
      </c>
    </row>
    <row r="293">
      <c r="A293" s="103" t="str">
        <f>IFERROR(__xludf.DUMMYFUNCTION("""COMPUTED_VALUE"""),"MAX371")</f>
        <v>MAX371</v>
      </c>
      <c r="B293" s="468">
        <f>IFERROR(__xludf.DUMMYFUNCTION("""COMPUTED_VALUE"""),44556.0)</f>
        <v>44556</v>
      </c>
      <c r="C293" s="469">
        <f>IFERROR(__xludf.DUMMYFUNCTION("""COMPUTED_VALUE"""),0.2064814814814815)</f>
        <v>0.2064814815</v>
      </c>
      <c r="D293" s="103" t="str">
        <f>IFERROR(__xludf.DUMMYFUNCTION("""COMPUTED_VALUE"""),"SpFLMP659315")</f>
        <v>SpFLMP659315</v>
      </c>
      <c r="E293" s="103"/>
      <c r="F293" s="103"/>
      <c r="G293" s="103" t="str">
        <f>IFERROR(__xludf.DUMMYFUNCTION("""COMPUTED_VALUE"""),"Positive")</f>
        <v>Positive</v>
      </c>
      <c r="H293" s="131" t="str">
        <f>IFERROR(__xludf.DUMMYFUNCTION("""COMPUTED_VALUE"""),"Positive")</f>
        <v>Positive</v>
      </c>
      <c r="I293" s="468">
        <f>IFERROR(__xludf.DUMMYFUNCTION("""COMPUTED_VALUE"""),44556.0)</f>
        <v>44556</v>
      </c>
      <c r="J293" s="470">
        <f>IFERROR(__xludf.DUMMYFUNCTION("""COMPUTED_VALUE"""),0.20700231481481482)</f>
        <v>0.2070023148</v>
      </c>
      <c r="K293" s="16"/>
      <c r="L293" s="8" t="str">
        <f>IFERROR(__xludf.DUMMYFUNCTION("""COMPUTED_VALUE"""),"name email fix")</f>
        <v>name email fix</v>
      </c>
      <c r="M293" s="69"/>
      <c r="N293" s="69">
        <f>IFERROR(__xludf.DUMMYFUNCTION("""COMPUTED_VALUE"""),1.0)</f>
        <v>1</v>
      </c>
      <c r="O293" s="69" t="str">
        <f t="shared" si="3"/>
        <v/>
      </c>
      <c r="P293" s="471">
        <f>IFERROR(__xludf.DUMMYFUNCTION("""COMPUTED_VALUE"""),0.0)</f>
        <v>0</v>
      </c>
      <c r="Q293" s="274" t="str">
        <f>VLOOKUP($B293,'Run Reconcile'!B$2:O2488,14,FALSE)</f>
        <v/>
      </c>
      <c r="R293" s="472" t="str">
        <f t="array" ref="R293">IF($Q293, INDEX('Run Reconcile'!A$2:A2488,MATCH(B293,'Run Reconcile'!B$2:B2488,0),1),IFERROR(0/0,""))</f>
        <v/>
      </c>
      <c r="S293" s="473" t="str">
        <f t="shared" ref="S293:T293" si="591">IF(COUNTIF(W$2:W2488, $A293) &gt; 0,TRUE,IFERROR(0/0,""))</f>
        <v/>
      </c>
      <c r="T293" s="473" t="str">
        <f t="shared" si="591"/>
        <v/>
      </c>
      <c r="U293" s="275" t="str">
        <f t="array" ref="U293">IF(ISBLANK($R293), INDEX('Run Reconcile'!A$2:A2488, MATCH($B293, 'Run Reconcile'!B$2:B2488, 0)+Z293, 1), IFERROR(0/0,""))
</f>
        <v>RUN-FLMP_2021-12-26_RFR-035</v>
      </c>
      <c r="V293" s="474" t="str">
        <f t="shared" si="5"/>
        <v>RUN-FLMP_2021-12-26_RFR-035</v>
      </c>
      <c r="Y293" s="89" t="str">
        <f t="shared" si="527"/>
        <v/>
      </c>
      <c r="Z293" s="60" t="str">
        <f t="shared" si="7"/>
        <v/>
      </c>
      <c r="AA293" s="60" t="str">
        <f t="shared" si="8"/>
        <v/>
      </c>
      <c r="AB293" s="60" t="str">
        <f t="shared" si="9"/>
        <v/>
      </c>
      <c r="AC293" s="30" t="str">
        <f t="shared" ref="AC293:AD293" si="592">IF(_xlfn.ISFORMULA(S293),IFERROR(0/0,""),TRUE)</f>
        <v/>
      </c>
      <c r="AD293" s="30" t="str">
        <f t="shared" si="592"/>
        <v/>
      </c>
      <c r="AE293" s="475" t="str">
        <f>IFERROR(__xludf.DUMMYFUNCTION("""COMPUTED_VALUE"""),"FLSP")</f>
        <v>FLSP</v>
      </c>
      <c r="AF293" s="476"/>
      <c r="AG293" s="474" t="s">
        <v>136</v>
      </c>
      <c r="AH293" s="138" t="str">
        <f t="shared" si="11"/>
        <v/>
      </c>
    </row>
    <row r="294">
      <c r="A294" s="477" t="str">
        <f>IFERROR(__xludf.DUMMYFUNCTION("""COMPUTED_VALUE"""),"MA1207")</f>
        <v>MA1207</v>
      </c>
      <c r="B294" s="478">
        <f>IFERROR(__xludf.DUMMYFUNCTION("""COMPUTED_VALUE"""),44557.0)</f>
        <v>44557</v>
      </c>
      <c r="C294" s="479">
        <f>IFERROR(__xludf.DUMMYFUNCTION("""COMPUTED_VALUE"""),0.3638194444444444)</f>
        <v>0.3638194444</v>
      </c>
      <c r="D294" s="477" t="str">
        <f>IFERROR(__xludf.DUMMYFUNCTION("""COMPUTED_VALUE"""),"SpFLMP684798")</f>
        <v>SpFLMP684798</v>
      </c>
      <c r="E294" s="477"/>
      <c r="F294" s="477"/>
      <c r="G294" s="477" t="str">
        <f>IFERROR(__xludf.DUMMYFUNCTION("""COMPUTED_VALUE"""),"Negative")</f>
        <v>Negative</v>
      </c>
      <c r="H294" s="480" t="str">
        <f>IFERROR(__xludf.DUMMYFUNCTION("""COMPUTED_VALUE"""),"Negative")</f>
        <v>Negative</v>
      </c>
      <c r="I294" s="478">
        <f>IFERROR(__xludf.DUMMYFUNCTION("""COMPUTED_VALUE"""),44557.0)</f>
        <v>44557</v>
      </c>
      <c r="J294" s="481">
        <f>IFERROR(__xludf.DUMMYFUNCTION("""COMPUTED_VALUE"""),0.42864583333333334)</f>
        <v>0.4286458333</v>
      </c>
      <c r="K294" s="156"/>
      <c r="L294" s="19"/>
      <c r="M294" s="482"/>
      <c r="N294" s="482">
        <f>IFERROR(__xludf.DUMMYFUNCTION("""COMPUTED_VALUE"""),3.0)</f>
        <v>3</v>
      </c>
      <c r="O294" s="482" t="b">
        <f t="shared" si="3"/>
        <v>1</v>
      </c>
      <c r="P294" s="483">
        <f>IFERROR(__xludf.DUMMYFUNCTION("""COMPUTED_VALUE"""),0.0)</f>
        <v>0</v>
      </c>
      <c r="Q294" s="352" t="str">
        <f>VLOOKUP($B294,'Run Reconcile'!B$2:O2488,14,FALSE)</f>
        <v/>
      </c>
      <c r="R294" s="484" t="str">
        <f t="array" ref="R294">IF($Q294, INDEX('Run Reconcile'!A$2:A2488,MATCH(B294,'Run Reconcile'!B$2:B2488,0),1),IFERROR(0/0,""))</f>
        <v/>
      </c>
      <c r="S294" s="485" t="str">
        <f t="shared" ref="S294:T294" si="593">IF(COUNTIF(W$2:W2488, $A294) &gt; 0,TRUE,IFERROR(0/0,""))</f>
        <v/>
      </c>
      <c r="T294" s="485" t="str">
        <f t="shared" si="593"/>
        <v/>
      </c>
      <c r="U294" s="353" t="str">
        <f t="array" ref="U294">IF(ISBLANK($R294), INDEX('Run Reconcile'!A$2:A2488, MATCH($B294, 'Run Reconcile'!B$2:B2488, 0)+Z294, 1), IFERROR(0/0,""))
</f>
        <v>RUN-FLMP_2021-12-27_RFR-036</v>
      </c>
      <c r="V294" s="486" t="str">
        <f t="shared" si="5"/>
        <v>RUN-FLMP_2021-12-27_RFR-036</v>
      </c>
      <c r="W294" s="19"/>
      <c r="X294" s="19"/>
      <c r="Y294" s="89" t="str">
        <f t="shared" si="527"/>
        <v/>
      </c>
      <c r="Z294" s="60" t="str">
        <f t="shared" si="7"/>
        <v/>
      </c>
      <c r="AA294" s="60" t="str">
        <f t="shared" si="8"/>
        <v/>
      </c>
      <c r="AB294" s="60" t="str">
        <f t="shared" si="9"/>
        <v/>
      </c>
      <c r="AC294" s="158" t="str">
        <f t="shared" ref="AC294:AD294" si="594">IF(_xlfn.ISFORMULA(S294),IFERROR(0/0,""),TRUE)</f>
        <v/>
      </c>
      <c r="AD294" s="158" t="str">
        <f t="shared" si="594"/>
        <v/>
      </c>
      <c r="AE294" s="488" t="str">
        <f>IFERROR(__xludf.DUMMYFUNCTION("""COMPUTED_VALUE"""),"FLSP")</f>
        <v>FLSP</v>
      </c>
      <c r="AF294" s="489"/>
      <c r="AG294" s="486" t="s">
        <v>137</v>
      </c>
      <c r="AH294" s="138" t="str">
        <f t="shared" si="11"/>
        <v/>
      </c>
      <c r="AI294" s="19"/>
      <c r="AJ294" s="19"/>
      <c r="AK294" s="19"/>
      <c r="AL294" s="19"/>
      <c r="AM294" s="19"/>
    </row>
    <row r="295">
      <c r="A295" s="103" t="str">
        <f>IFERROR(__xludf.DUMMYFUNCTION("""COMPUTED_VALUE"""),"MAX471")</f>
        <v>MAX471</v>
      </c>
      <c r="B295" s="468">
        <f>IFERROR(__xludf.DUMMYFUNCTION("""COMPUTED_VALUE"""),44557.0)</f>
        <v>44557</v>
      </c>
      <c r="C295" s="469">
        <f>IFERROR(__xludf.DUMMYFUNCTION("""COMPUTED_VALUE"""),0.38016203703703705)</f>
        <v>0.380162037</v>
      </c>
      <c r="D295" s="103" t="str">
        <f>IFERROR(__xludf.DUMMYFUNCTION("""COMPUTED_VALUE"""),"SpFLMP496039")</f>
        <v>SpFLMP496039</v>
      </c>
      <c r="E295" s="103"/>
      <c r="F295" s="103"/>
      <c r="G295" s="103" t="str">
        <f>IFERROR(__xludf.DUMMYFUNCTION("""COMPUTED_VALUE"""),"Negative")</f>
        <v>Negative</v>
      </c>
      <c r="H295" s="131" t="str">
        <f>IFERROR(__xludf.DUMMYFUNCTION("""COMPUTED_VALUE"""),"Negative")</f>
        <v>Negative</v>
      </c>
      <c r="I295" s="468">
        <f>IFERROR(__xludf.DUMMYFUNCTION("""COMPUTED_VALUE"""),44557.0)</f>
        <v>44557</v>
      </c>
      <c r="J295" s="470">
        <f>IFERROR(__xludf.DUMMYFUNCTION("""COMPUTED_VALUE"""),0.42864583333333334)</f>
        <v>0.4286458333</v>
      </c>
      <c r="K295" s="16"/>
      <c r="L295" s="8"/>
      <c r="M295" s="69"/>
      <c r="N295" s="69">
        <f>IFERROR(__xludf.DUMMYFUNCTION("""COMPUTED_VALUE"""),1.0)</f>
        <v>1</v>
      </c>
      <c r="O295" s="69" t="str">
        <f t="shared" si="3"/>
        <v/>
      </c>
      <c r="P295" s="471">
        <f>IFERROR(__xludf.DUMMYFUNCTION("""COMPUTED_VALUE"""),0.0)</f>
        <v>0</v>
      </c>
      <c r="Q295" s="274" t="str">
        <f>VLOOKUP($B295,'Run Reconcile'!B$2:O2488,14,FALSE)</f>
        <v/>
      </c>
      <c r="R295" s="472" t="str">
        <f t="array" ref="R295">IF($Q295, INDEX('Run Reconcile'!A$2:A2488,MATCH(B295,'Run Reconcile'!B$2:B2488,0),1),IFERROR(0/0,""))</f>
        <v/>
      </c>
      <c r="S295" s="473" t="str">
        <f t="shared" ref="S295:T295" si="595">IF(COUNTIF(W$2:W2488, $A295) &gt; 0,TRUE,IFERROR(0/0,""))</f>
        <v/>
      </c>
      <c r="T295" s="473" t="str">
        <f t="shared" si="595"/>
        <v/>
      </c>
      <c r="U295" s="275" t="str">
        <f t="array" ref="U295">IF(ISBLANK($R295), INDEX('Run Reconcile'!A$2:A2488, MATCH($B295, 'Run Reconcile'!B$2:B2488, 0)+Z295, 1), IFERROR(0/0,""))
</f>
        <v>RUN-FLMP_2021-12-27_RFR-036</v>
      </c>
      <c r="V295" s="474" t="str">
        <f t="shared" si="5"/>
        <v>RUN-FLMP_2021-12-27_RFR-036</v>
      </c>
      <c r="Y295" s="89" t="str">
        <f t="shared" si="527"/>
        <v/>
      </c>
      <c r="Z295" s="60" t="str">
        <f t="shared" si="7"/>
        <v/>
      </c>
      <c r="AA295" s="60" t="str">
        <f t="shared" si="8"/>
        <v/>
      </c>
      <c r="AB295" s="60" t="str">
        <f t="shared" si="9"/>
        <v/>
      </c>
      <c r="AC295" s="30" t="str">
        <f t="shared" ref="AC295:AD295" si="596">IF(_xlfn.ISFORMULA(S295),IFERROR(0/0,""),TRUE)</f>
        <v/>
      </c>
      <c r="AD295" s="30" t="str">
        <f t="shared" si="596"/>
        <v/>
      </c>
      <c r="AE295" s="475" t="str">
        <f>IFERROR(__xludf.DUMMYFUNCTION("""COMPUTED_VALUE"""),"FLSP")</f>
        <v>FLSP</v>
      </c>
      <c r="AF295" s="476"/>
      <c r="AG295" s="474" t="s">
        <v>137</v>
      </c>
      <c r="AH295" s="138" t="str">
        <f t="shared" si="11"/>
        <v/>
      </c>
    </row>
    <row r="296">
      <c r="A296" s="103" t="str">
        <f>IFERROR(__xludf.DUMMYFUNCTION("""COMPUTED_VALUE"""),"MAX470")</f>
        <v>MAX470</v>
      </c>
      <c r="B296" s="468">
        <f>IFERROR(__xludf.DUMMYFUNCTION("""COMPUTED_VALUE"""),44557.0)</f>
        <v>44557</v>
      </c>
      <c r="C296" s="469">
        <f>IFERROR(__xludf.DUMMYFUNCTION("""COMPUTED_VALUE"""),0.3894212962962963)</f>
        <v>0.3894212963</v>
      </c>
      <c r="D296" s="103" t="str">
        <f>IFERROR(__xludf.DUMMYFUNCTION("""COMPUTED_VALUE"""),"SpFLMP120998")</f>
        <v>SpFLMP120998</v>
      </c>
      <c r="E296" s="103"/>
      <c r="F296" s="103"/>
      <c r="G296" s="103" t="str">
        <f>IFERROR(__xludf.DUMMYFUNCTION("""COMPUTED_VALUE"""),"Negative")</f>
        <v>Negative</v>
      </c>
      <c r="H296" s="131" t="str">
        <f>IFERROR(__xludf.DUMMYFUNCTION("""COMPUTED_VALUE"""),"Negative")</f>
        <v>Negative</v>
      </c>
      <c r="I296" s="468">
        <f>IFERROR(__xludf.DUMMYFUNCTION("""COMPUTED_VALUE"""),44557.0)</f>
        <v>44557</v>
      </c>
      <c r="J296" s="470">
        <f>IFERROR(__xludf.DUMMYFUNCTION("""COMPUTED_VALUE"""),0.42864583333333334)</f>
        <v>0.4286458333</v>
      </c>
      <c r="K296" s="16"/>
      <c r="L296" s="8"/>
      <c r="M296" s="69"/>
      <c r="N296" s="69">
        <f>IFERROR(__xludf.DUMMYFUNCTION("""COMPUTED_VALUE"""),1.0)</f>
        <v>1</v>
      </c>
      <c r="O296" s="69" t="str">
        <f t="shared" si="3"/>
        <v/>
      </c>
      <c r="P296" s="471">
        <f>IFERROR(__xludf.DUMMYFUNCTION("""COMPUTED_VALUE"""),0.0)</f>
        <v>0</v>
      </c>
      <c r="Q296" s="274" t="str">
        <f>VLOOKUP($B296,'Run Reconcile'!B$2:O2488,14,FALSE)</f>
        <v/>
      </c>
      <c r="R296" s="472" t="str">
        <f t="array" ref="R296">IF($Q296, INDEX('Run Reconcile'!A$2:A2488,MATCH(B296,'Run Reconcile'!B$2:B2488,0),1),IFERROR(0/0,""))</f>
        <v/>
      </c>
      <c r="S296" s="473" t="str">
        <f t="shared" ref="S296:T296" si="597">IF(COUNTIF(W$2:W2488, $A296) &gt; 0,TRUE,IFERROR(0/0,""))</f>
        <v/>
      </c>
      <c r="T296" s="473" t="str">
        <f t="shared" si="597"/>
        <v/>
      </c>
      <c r="U296" s="275" t="str">
        <f t="array" ref="U296">IF(ISBLANK($R296), INDEX('Run Reconcile'!A$2:A2488, MATCH($B296, 'Run Reconcile'!B$2:B2488, 0)+Z296, 1), IFERROR(0/0,""))
</f>
        <v>RUN-FLMP_2021-12-27_RFR-036</v>
      </c>
      <c r="V296" s="474" t="str">
        <f t="shared" si="5"/>
        <v>RUN-FLMP_2021-12-27_RFR-036</v>
      </c>
      <c r="Y296" s="89" t="str">
        <f t="shared" si="527"/>
        <v/>
      </c>
      <c r="Z296" s="60" t="str">
        <f t="shared" si="7"/>
        <v/>
      </c>
      <c r="AA296" s="60" t="str">
        <f t="shared" si="8"/>
        <v/>
      </c>
      <c r="AB296" s="60" t="str">
        <f t="shared" si="9"/>
        <v/>
      </c>
      <c r="AC296" s="30" t="str">
        <f t="shared" ref="AC296:AD296" si="598">IF(_xlfn.ISFORMULA(S296),IFERROR(0/0,""),TRUE)</f>
        <v/>
      </c>
      <c r="AD296" s="30" t="str">
        <f t="shared" si="598"/>
        <v/>
      </c>
      <c r="AE296" s="475" t="str">
        <f>IFERROR(__xludf.DUMMYFUNCTION("""COMPUTED_VALUE"""),"FLSP")</f>
        <v>FLSP</v>
      </c>
      <c r="AF296" s="476"/>
      <c r="AG296" s="474" t="s">
        <v>137</v>
      </c>
      <c r="AH296" s="138" t="str">
        <f t="shared" si="11"/>
        <v/>
      </c>
    </row>
    <row r="297">
      <c r="A297" s="103" t="str">
        <f>IFERROR(__xludf.DUMMYFUNCTION("""COMPUTED_VALUE"""),"MAX350")</f>
        <v>MAX350</v>
      </c>
      <c r="B297" s="468">
        <f>IFERROR(__xludf.DUMMYFUNCTION("""COMPUTED_VALUE"""),44557.0)</f>
        <v>44557</v>
      </c>
      <c r="C297" s="469">
        <f>IFERROR(__xludf.DUMMYFUNCTION("""COMPUTED_VALUE"""),0.7083333333333334)</f>
        <v>0.7083333333</v>
      </c>
      <c r="D297" s="103" t="str">
        <f>IFERROR(__xludf.DUMMYFUNCTION("""COMPUTED_VALUE"""),"SpFLMP659315")</f>
        <v>SpFLMP659315</v>
      </c>
      <c r="E297" s="103"/>
      <c r="F297" s="103"/>
      <c r="G297" s="103" t="str">
        <f>IFERROR(__xludf.DUMMYFUNCTION("""COMPUTED_VALUE"""),"Negative")</f>
        <v>Negative</v>
      </c>
      <c r="H297" s="131" t="str">
        <f>IFERROR(__xludf.DUMMYFUNCTION("""COMPUTED_VALUE"""),"Negative")</f>
        <v>Negative</v>
      </c>
      <c r="I297" s="468">
        <f>IFERROR(__xludf.DUMMYFUNCTION("""COMPUTED_VALUE"""),44558.0)</f>
        <v>44558</v>
      </c>
      <c r="J297" s="470">
        <f>IFERROR(__xludf.DUMMYFUNCTION("""COMPUTED_VALUE"""),0.3503125)</f>
        <v>0.3503125</v>
      </c>
      <c r="K297" s="16"/>
      <c r="L297" s="8" t="str">
        <f>IFERROR(__xludf.DUMMYFUNCTION("""COMPUTED_VALUE"""),"name email fix, change collect time to day before per run sheet")</f>
        <v>name email fix, change collect time to day before per run sheet</v>
      </c>
      <c r="M297" s="69"/>
      <c r="N297" s="69">
        <f>IFERROR(__xludf.DUMMYFUNCTION("""COMPUTED_VALUE"""),1.0)</f>
        <v>1</v>
      </c>
      <c r="O297" s="69" t="str">
        <f t="shared" si="3"/>
        <v/>
      </c>
      <c r="P297" s="471">
        <f>IFERROR(__xludf.DUMMYFUNCTION("""COMPUTED_VALUE"""),1.0)</f>
        <v>1</v>
      </c>
      <c r="Q297" s="274" t="str">
        <f>VLOOKUP($B297,'Run Reconcile'!B$2:O2488,14,FALSE)</f>
        <v/>
      </c>
      <c r="R297" s="472" t="str">
        <f t="array" ref="R297">IF($Q297, INDEX('Run Reconcile'!A$2:A2488,MATCH(B297,'Run Reconcile'!B$2:B2488,0),1),IFERROR(0/0,""))</f>
        <v/>
      </c>
      <c r="S297" s="473" t="str">
        <f t="shared" ref="S297:T297" si="599">IF(COUNTIF(W$2:W2488, $A297) &gt; 0,TRUE,IFERROR(0/0,""))</f>
        <v/>
      </c>
      <c r="T297" s="473" t="b">
        <f t="shared" si="599"/>
        <v>1</v>
      </c>
      <c r="U297" s="275" t="str">
        <f t="array" ref="U297">IF(ISBLANK($R297), INDEX('Run Reconcile'!A$2:A2488, MATCH($B297, 'Run Reconcile'!B$2:B2488, 0)+Z297, 1), IFERROR(0/0,""))
</f>
        <v>RUN-FLMP_2021-12-27_RFR-037</v>
      </c>
      <c r="V297" s="474" t="str">
        <f t="shared" si="5"/>
        <v>RUN-FLMP_2021-12-27_RFR-037</v>
      </c>
      <c r="X297" s="8" t="s">
        <v>1328</v>
      </c>
      <c r="Y297" s="89">
        <f t="shared" si="527"/>
        <v>1</v>
      </c>
      <c r="Z297" s="60">
        <f t="shared" si="7"/>
        <v>1</v>
      </c>
      <c r="AA297" s="60" t="str">
        <f t="shared" si="8"/>
        <v/>
      </c>
      <c r="AB297" s="60">
        <f t="shared" si="9"/>
        <v>1</v>
      </c>
      <c r="AC297" s="30" t="str">
        <f t="shared" ref="AC297:AD297" si="600">IF(_xlfn.ISFORMULA(S297),IFERROR(0/0,""),TRUE)</f>
        <v/>
      </c>
      <c r="AD297" s="30" t="str">
        <f t="shared" si="600"/>
        <v/>
      </c>
      <c r="AE297" s="475" t="str">
        <f>IFERROR(__xludf.DUMMYFUNCTION("""COMPUTED_VALUE"""),"FLSP")</f>
        <v>FLSP</v>
      </c>
      <c r="AF297" s="476"/>
      <c r="AG297" s="474" t="s">
        <v>138</v>
      </c>
      <c r="AH297" s="138" t="str">
        <f t="shared" si="11"/>
        <v/>
      </c>
    </row>
    <row r="298">
      <c r="A298" s="103" t="str">
        <f>IFERROR(__xludf.DUMMYFUNCTION("""COMPUTED_VALUE"""),"MAX383")</f>
        <v>MAX383</v>
      </c>
      <c r="B298" s="468">
        <f>IFERROR(__xludf.DUMMYFUNCTION("""COMPUTED_VALUE"""),44557.0)</f>
        <v>44557</v>
      </c>
      <c r="C298" s="469">
        <f>IFERROR(__xludf.DUMMYFUNCTION("""COMPUTED_VALUE"""),0.7090277777777778)</f>
        <v>0.7090277778</v>
      </c>
      <c r="D298" s="103" t="str">
        <f>IFERROR(__xludf.DUMMYFUNCTION("""COMPUTED_VALUE"""),"SpFLMP659315")</f>
        <v>SpFLMP659315</v>
      </c>
      <c r="E298" s="103"/>
      <c r="F298" s="103"/>
      <c r="G298" s="103" t="str">
        <f>IFERROR(__xludf.DUMMYFUNCTION("""COMPUTED_VALUE"""),"Negative")</f>
        <v>Negative</v>
      </c>
      <c r="H298" s="131" t="str">
        <f>IFERROR(__xludf.DUMMYFUNCTION("""COMPUTED_VALUE"""),"Negative")</f>
        <v>Negative</v>
      </c>
      <c r="I298" s="468">
        <f>IFERROR(__xludf.DUMMYFUNCTION("""COMPUTED_VALUE"""),44558.0)</f>
        <v>44558</v>
      </c>
      <c r="J298" s="470">
        <f>IFERROR(__xludf.DUMMYFUNCTION("""COMPUTED_VALUE"""),0.35030092592592593)</f>
        <v>0.3503009259</v>
      </c>
      <c r="K298" s="16"/>
      <c r="L298" s="8" t="str">
        <f>IFERROR(__xludf.DUMMYFUNCTION("""COMPUTED_VALUE"""),"name email fix, change collect time to day before per run sheet")</f>
        <v>name email fix, change collect time to day before per run sheet</v>
      </c>
      <c r="M298" s="69"/>
      <c r="N298" s="69">
        <f>IFERROR(__xludf.DUMMYFUNCTION("""COMPUTED_VALUE"""),1.0)</f>
        <v>1</v>
      </c>
      <c r="O298" s="69" t="str">
        <f t="shared" si="3"/>
        <v/>
      </c>
      <c r="P298" s="471">
        <f>IFERROR(__xludf.DUMMYFUNCTION("""COMPUTED_VALUE"""),1.0)</f>
        <v>1</v>
      </c>
      <c r="Q298" s="274" t="str">
        <f>VLOOKUP($B298,'Run Reconcile'!B$2:O2488,14,FALSE)</f>
        <v/>
      </c>
      <c r="R298" s="472" t="str">
        <f t="array" ref="R298">IF($Q298, INDEX('Run Reconcile'!A$2:A2488,MATCH(B298,'Run Reconcile'!B$2:B2488,0),1),IFERROR(0/0,""))</f>
        <v/>
      </c>
      <c r="S298" s="473" t="str">
        <f t="shared" ref="S298:T298" si="601">IF(COUNTIF(W$2:W2488, $A298) &gt; 0,TRUE,IFERROR(0/0,""))</f>
        <v/>
      </c>
      <c r="T298" s="473" t="b">
        <f t="shared" si="601"/>
        <v>1</v>
      </c>
      <c r="U298" s="275" t="str">
        <f t="array" ref="U298">IF(ISBLANK($R298), INDEX('Run Reconcile'!A$2:A2488, MATCH($B298, 'Run Reconcile'!B$2:B2488, 0)+Z298, 1), IFERROR(0/0,""))
</f>
        <v>RUN-FLMP_2021-12-27_RFR-037</v>
      </c>
      <c r="V298" s="474" t="str">
        <f t="shared" si="5"/>
        <v>RUN-FLMP_2021-12-27_RFR-037</v>
      </c>
      <c r="X298" s="8" t="s">
        <v>1329</v>
      </c>
      <c r="Y298" s="89">
        <f t="shared" si="527"/>
        <v>1</v>
      </c>
      <c r="Z298" s="60">
        <f t="shared" si="7"/>
        <v>1</v>
      </c>
      <c r="AA298" s="60" t="str">
        <f t="shared" si="8"/>
        <v/>
      </c>
      <c r="AB298" s="60">
        <f t="shared" si="9"/>
        <v>1</v>
      </c>
      <c r="AC298" s="30" t="str">
        <f t="shared" ref="AC298:AD298" si="602">IF(_xlfn.ISFORMULA(S298),IFERROR(0/0,""),TRUE)</f>
        <v/>
      </c>
      <c r="AD298" s="30" t="str">
        <f t="shared" si="602"/>
        <v/>
      </c>
      <c r="AE298" s="475" t="str">
        <f>IFERROR(__xludf.DUMMYFUNCTION("""COMPUTED_VALUE"""),"FLSP")</f>
        <v>FLSP</v>
      </c>
      <c r="AF298" s="476"/>
      <c r="AG298" s="474" t="s">
        <v>138</v>
      </c>
      <c r="AH298" s="138" t="str">
        <f t="shared" si="11"/>
        <v/>
      </c>
    </row>
    <row r="299">
      <c r="A299" s="477" t="str">
        <f>IFERROR(__xludf.DUMMYFUNCTION("""COMPUTED_VALUE"""),"MAX388")</f>
        <v>MAX388</v>
      </c>
      <c r="B299" s="478">
        <f>IFERROR(__xludf.DUMMYFUNCTION("""COMPUTED_VALUE"""),44558.0)</f>
        <v>44558</v>
      </c>
      <c r="C299" s="479">
        <f>IFERROR(__xludf.DUMMYFUNCTION("""COMPUTED_VALUE"""),0.34681712962962963)</f>
        <v>0.3468171296</v>
      </c>
      <c r="D299" s="477" t="str">
        <f>IFERROR(__xludf.DUMMYFUNCTION("""COMPUTED_VALUE"""),"SpFLMP659315")</f>
        <v>SpFLMP659315</v>
      </c>
      <c r="E299" s="477"/>
      <c r="F299" s="477"/>
      <c r="G299" s="477" t="str">
        <f>IFERROR(__xludf.DUMMYFUNCTION("""COMPUTED_VALUE"""),"Negative")</f>
        <v>Negative</v>
      </c>
      <c r="H299" s="480" t="str">
        <f>IFERROR(__xludf.DUMMYFUNCTION("""COMPUTED_VALUE"""),"Negative")</f>
        <v>Negative</v>
      </c>
      <c r="I299" s="478">
        <f>IFERROR(__xludf.DUMMYFUNCTION("""COMPUTED_VALUE"""),44559.0)</f>
        <v>44559</v>
      </c>
      <c r="J299" s="481">
        <f>IFERROR(__xludf.DUMMYFUNCTION("""COMPUTED_VALUE"""),0.24052083333333332)</f>
        <v>0.2405208333</v>
      </c>
      <c r="K299" s="156"/>
      <c r="L299" s="19" t="str">
        <f>IFERROR(__xludf.DUMMYFUNCTION("""COMPUTED_VALUE"""),"name email fix")</f>
        <v>name email fix</v>
      </c>
      <c r="M299" s="482"/>
      <c r="N299" s="482">
        <f>IFERROR(__xludf.DUMMYFUNCTION("""COMPUTED_VALUE"""),1.0)</f>
        <v>1</v>
      </c>
      <c r="O299" s="482" t="b">
        <f t="shared" si="3"/>
        <v>1</v>
      </c>
      <c r="P299" s="483">
        <f>IFERROR(__xludf.DUMMYFUNCTION("""COMPUTED_VALUE"""),1.0)</f>
        <v>1</v>
      </c>
      <c r="Q299" s="352" t="str">
        <f>VLOOKUP($B299,'Run Reconcile'!B$2:O2488,14,FALSE)</f>
        <v/>
      </c>
      <c r="R299" s="484" t="str">
        <f t="array" ref="R299">IF($Q299, INDEX('Run Reconcile'!A$2:A2488,MATCH(B299,'Run Reconcile'!B$2:B2488,0),1),IFERROR(0/0,""))</f>
        <v/>
      </c>
      <c r="S299" s="485" t="str">
        <f t="shared" ref="S299:T299" si="603">IF(COUNTIF(W$2:W2488, $A299) &gt; 0,TRUE,IFERROR(0/0,""))</f>
        <v/>
      </c>
      <c r="T299" s="485" t="str">
        <f t="shared" si="603"/>
        <v/>
      </c>
      <c r="U299" s="353" t="str">
        <f t="array" ref="U299">IF(ISBLANK($R299), INDEX('Run Reconcile'!A$2:A2488, MATCH($B299, 'Run Reconcile'!B$2:B2488, 0)+Z299, 1), IFERROR(0/0,""))
</f>
        <v>RUN-FLMP_2021-12-28_RFR-038</v>
      </c>
      <c r="V299" s="486" t="str">
        <f t="shared" si="5"/>
        <v>RUN-FLMP_2021-12-28_RFR-038</v>
      </c>
      <c r="W299" s="19"/>
      <c r="X299" s="19"/>
      <c r="Y299" s="89" t="str">
        <f t="shared" si="527"/>
        <v/>
      </c>
      <c r="Z299" s="60" t="str">
        <f t="shared" si="7"/>
        <v/>
      </c>
      <c r="AA299" s="60" t="str">
        <f t="shared" si="8"/>
        <v/>
      </c>
      <c r="AB299" s="60" t="str">
        <f t="shared" si="9"/>
        <v/>
      </c>
      <c r="AC299" s="158" t="str">
        <f t="shared" ref="AC299:AD299" si="604">IF(_xlfn.ISFORMULA(S299),IFERROR(0/0,""),TRUE)</f>
        <v/>
      </c>
      <c r="AD299" s="158" t="str">
        <f t="shared" si="604"/>
        <v/>
      </c>
      <c r="AE299" s="488" t="str">
        <f>IFERROR(__xludf.DUMMYFUNCTION("""COMPUTED_VALUE"""),"FLSP")</f>
        <v>FLSP</v>
      </c>
      <c r="AF299" s="489"/>
      <c r="AG299" s="486" t="s">
        <v>140</v>
      </c>
      <c r="AH299" s="138" t="str">
        <f t="shared" si="11"/>
        <v/>
      </c>
      <c r="AI299" s="19"/>
      <c r="AJ299" s="19"/>
      <c r="AK299" s="19"/>
      <c r="AL299" s="19"/>
      <c r="AM299" s="19"/>
    </row>
    <row r="300">
      <c r="A300" s="103" t="str">
        <f>IFERROR(__xludf.DUMMYFUNCTION("""COMPUTED_VALUE"""),"MA1377")</f>
        <v>MA1377</v>
      </c>
      <c r="B300" s="468">
        <f>IFERROR(__xludf.DUMMYFUNCTION("""COMPUTED_VALUE"""),44558.0)</f>
        <v>44558</v>
      </c>
      <c r="C300" s="469">
        <f>IFERROR(__xludf.DUMMYFUNCTION("""COMPUTED_VALUE"""),0.3589699074074074)</f>
        <v>0.3589699074</v>
      </c>
      <c r="D300" s="103" t="str">
        <f>IFERROR(__xludf.DUMMYFUNCTION("""COMPUTED_VALUE"""),"SpFLMP684798")</f>
        <v>SpFLMP684798</v>
      </c>
      <c r="E300" s="103"/>
      <c r="F300" s="103"/>
      <c r="G300" s="103" t="str">
        <f>IFERROR(__xludf.DUMMYFUNCTION("""COMPUTED_VALUE"""),"Negative")</f>
        <v>Negative</v>
      </c>
      <c r="H300" s="131" t="str">
        <f>IFERROR(__xludf.DUMMYFUNCTION("""COMPUTED_VALUE"""),"Negative")</f>
        <v>Negative</v>
      </c>
      <c r="I300" s="468">
        <f>IFERROR(__xludf.DUMMYFUNCTION("""COMPUTED_VALUE"""),44559.0)</f>
        <v>44559</v>
      </c>
      <c r="J300" s="470">
        <f>IFERROR(__xludf.DUMMYFUNCTION("""COMPUTED_VALUE"""),0.42238425925925926)</f>
        <v>0.4223842593</v>
      </c>
      <c r="K300" s="16"/>
      <c r="L300" s="8"/>
      <c r="M300" s="69"/>
      <c r="N300" s="69">
        <f>IFERROR(__xludf.DUMMYFUNCTION("""COMPUTED_VALUE"""),3.0)</f>
        <v>3</v>
      </c>
      <c r="O300" s="69" t="str">
        <f t="shared" si="3"/>
        <v/>
      </c>
      <c r="P300" s="471">
        <f>IFERROR(__xludf.DUMMYFUNCTION("""COMPUTED_VALUE"""),1.0)</f>
        <v>1</v>
      </c>
      <c r="Q300" s="274" t="str">
        <f>VLOOKUP($B300,'Run Reconcile'!B$2:O2488,14,FALSE)</f>
        <v/>
      </c>
      <c r="R300" s="472" t="str">
        <f t="array" ref="R300">IF($Q300, INDEX('Run Reconcile'!A$2:A2488,MATCH(B300,'Run Reconcile'!B$2:B2488,0),1),IFERROR(0/0,""))</f>
        <v/>
      </c>
      <c r="S300" s="473" t="str">
        <f t="shared" ref="S300:T300" si="605">IF(COUNTIF(W$2:W2488, $A300) &gt; 0,TRUE,IFERROR(0/0,""))</f>
        <v/>
      </c>
      <c r="T300" s="473" t="b">
        <f t="shared" si="605"/>
        <v>1</v>
      </c>
      <c r="U300" s="450" t="str">
        <f t="array" ref="U300">IF(ISBLANK($R300), INDEX('Run Reconcile'!A$2:A2488, MATCH($B300, 'Run Reconcile'!B$2:B2488, 0)+Z300, 1), IFERROR(0/0,""))
</f>
        <v>RUN-FLMP_2021-12-28_APS-076</v>
      </c>
      <c r="V300" s="474" t="str">
        <f t="shared" si="5"/>
        <v>RUN-FLMP_2021-12-28_APS-076</v>
      </c>
      <c r="X300" s="103" t="s">
        <v>1330</v>
      </c>
      <c r="Y300" s="89">
        <f t="shared" si="527"/>
        <v>1</v>
      </c>
      <c r="Z300" s="60">
        <f t="shared" si="7"/>
        <v>1</v>
      </c>
      <c r="AA300" s="60" t="str">
        <f t="shared" si="8"/>
        <v/>
      </c>
      <c r="AB300" s="60">
        <f t="shared" si="9"/>
        <v>1</v>
      </c>
      <c r="AC300" s="30" t="str">
        <f t="shared" ref="AC300:AD300" si="606">IF(_xlfn.ISFORMULA(S300),IFERROR(0/0,""),TRUE)</f>
        <v/>
      </c>
      <c r="AD300" s="30" t="str">
        <f t="shared" si="606"/>
        <v/>
      </c>
      <c r="AE300" s="475" t="str">
        <f>IFERROR(__xludf.DUMMYFUNCTION("""COMPUTED_VALUE"""),"FLSP")</f>
        <v>FLSP</v>
      </c>
      <c r="AF300" s="476"/>
      <c r="AG300" s="474" t="s">
        <v>139</v>
      </c>
      <c r="AH300" s="138" t="str">
        <f t="shared" si="11"/>
        <v/>
      </c>
    </row>
    <row r="301">
      <c r="A301" s="103" t="str">
        <f>IFERROR(__xludf.DUMMYFUNCTION("""COMPUTED_VALUE"""),"MAX447")</f>
        <v>MAX447</v>
      </c>
      <c r="B301" s="468">
        <f>IFERROR(__xludf.DUMMYFUNCTION("""COMPUTED_VALUE"""),44558.0)</f>
        <v>44558</v>
      </c>
      <c r="C301" s="469">
        <f>IFERROR(__xludf.DUMMYFUNCTION("""COMPUTED_VALUE"""),0.36724537037037036)</f>
        <v>0.3672453704</v>
      </c>
      <c r="D301" s="103" t="str">
        <f>IFERROR(__xludf.DUMMYFUNCTION("""COMPUTED_VALUE"""),"SpFLMP496039")</f>
        <v>SpFLMP496039</v>
      </c>
      <c r="E301" s="103"/>
      <c r="F301" s="103"/>
      <c r="G301" s="103" t="str">
        <f>IFERROR(__xludf.DUMMYFUNCTION("""COMPUTED_VALUE"""),"Negative")</f>
        <v>Negative</v>
      </c>
      <c r="H301" s="131" t="str">
        <f>IFERROR(__xludf.DUMMYFUNCTION("""COMPUTED_VALUE"""),"Negative")</f>
        <v>Negative</v>
      </c>
      <c r="I301" s="468">
        <f>IFERROR(__xludf.DUMMYFUNCTION("""COMPUTED_VALUE"""),44559.0)</f>
        <v>44559</v>
      </c>
      <c r="J301" s="470">
        <f>IFERROR(__xludf.DUMMYFUNCTION("""COMPUTED_VALUE"""),0.42238425925925926)</f>
        <v>0.4223842593</v>
      </c>
      <c r="K301" s="16"/>
      <c r="L301" s="8"/>
      <c r="M301" s="69"/>
      <c r="N301" s="69">
        <f>IFERROR(__xludf.DUMMYFUNCTION("""COMPUTED_VALUE"""),1.0)</f>
        <v>1</v>
      </c>
      <c r="O301" s="69" t="str">
        <f t="shared" si="3"/>
        <v/>
      </c>
      <c r="P301" s="471">
        <f>IFERROR(__xludf.DUMMYFUNCTION("""COMPUTED_VALUE"""),1.0)</f>
        <v>1</v>
      </c>
      <c r="Q301" s="274" t="str">
        <f>VLOOKUP($B301,'Run Reconcile'!B$2:O2488,14,FALSE)</f>
        <v/>
      </c>
      <c r="R301" s="472" t="str">
        <f t="array" ref="R301">IF($Q301, INDEX('Run Reconcile'!A$2:A2488,MATCH(B301,'Run Reconcile'!B$2:B2488,0),1),IFERROR(0/0,""))</f>
        <v/>
      </c>
      <c r="S301" s="473" t="str">
        <f t="shared" ref="S301:T301" si="607">IF(COUNTIF(W$2:W2488, $A301) &gt; 0,TRUE,IFERROR(0/0,""))</f>
        <v/>
      </c>
      <c r="T301" s="473" t="b">
        <f t="shared" si="607"/>
        <v>1</v>
      </c>
      <c r="U301" s="450" t="str">
        <f t="array" ref="U301">IF(ISBLANK($R301), INDEX('Run Reconcile'!A$2:A2488, MATCH($B301, 'Run Reconcile'!B$2:B2488, 0)+Z301, 1), IFERROR(0/0,""))
</f>
        <v>RUN-FLMP_2021-12-28_APS-076</v>
      </c>
      <c r="V301" s="474" t="str">
        <f t="shared" si="5"/>
        <v>RUN-FLMP_2021-12-28_APS-076</v>
      </c>
      <c r="X301" s="103" t="s">
        <v>1331</v>
      </c>
      <c r="Y301" s="89">
        <f t="shared" si="527"/>
        <v>1</v>
      </c>
      <c r="Z301" s="60">
        <f t="shared" si="7"/>
        <v>1</v>
      </c>
      <c r="AA301" s="60" t="str">
        <f t="shared" si="8"/>
        <v/>
      </c>
      <c r="AB301" s="60">
        <f t="shared" si="9"/>
        <v>1</v>
      </c>
      <c r="AC301" s="30" t="str">
        <f t="shared" ref="AC301:AD301" si="608">IF(_xlfn.ISFORMULA(S301),IFERROR(0/0,""),TRUE)</f>
        <v/>
      </c>
      <c r="AD301" s="30" t="str">
        <f t="shared" si="608"/>
        <v/>
      </c>
      <c r="AE301" s="475" t="str">
        <f>IFERROR(__xludf.DUMMYFUNCTION("""COMPUTED_VALUE"""),"FLSP")</f>
        <v>FLSP</v>
      </c>
      <c r="AF301" s="476"/>
      <c r="AG301" s="474" t="s">
        <v>139</v>
      </c>
      <c r="AH301" s="138" t="str">
        <f t="shared" si="11"/>
        <v/>
      </c>
    </row>
    <row r="302">
      <c r="A302" s="103" t="str">
        <f>IFERROR(__xludf.DUMMYFUNCTION("""COMPUTED_VALUE"""),"MA1486")</f>
        <v>MA1486</v>
      </c>
      <c r="B302" s="468">
        <f>IFERROR(__xludf.DUMMYFUNCTION("""COMPUTED_VALUE"""),44558.0)</f>
        <v>44558</v>
      </c>
      <c r="C302" s="469">
        <f>IFERROR(__xludf.DUMMYFUNCTION("""COMPUTED_VALUE"""),0.3781365740740741)</f>
        <v>0.3781365741</v>
      </c>
      <c r="D302" s="103" t="str">
        <f>IFERROR(__xludf.DUMMYFUNCTION("""COMPUTED_VALUE"""),"SpFLMP120998")</f>
        <v>SpFLMP120998</v>
      </c>
      <c r="E302" s="103"/>
      <c r="F302" s="103"/>
      <c r="G302" s="103" t="str">
        <f>IFERROR(__xludf.DUMMYFUNCTION("""COMPUTED_VALUE"""),"Negative")</f>
        <v>Negative</v>
      </c>
      <c r="H302" s="131" t="str">
        <f>IFERROR(__xludf.DUMMYFUNCTION("""COMPUTED_VALUE"""),"Negative")</f>
        <v>Negative</v>
      </c>
      <c r="I302" s="468">
        <f>IFERROR(__xludf.DUMMYFUNCTION("""COMPUTED_VALUE"""),44559.0)</f>
        <v>44559</v>
      </c>
      <c r="J302" s="470">
        <f>IFERROR(__xludf.DUMMYFUNCTION("""COMPUTED_VALUE"""),0.42239583333333336)</f>
        <v>0.4223958333</v>
      </c>
      <c r="K302" s="16"/>
      <c r="L302" s="8"/>
      <c r="M302" s="69"/>
      <c r="N302" s="69">
        <f>IFERROR(__xludf.DUMMYFUNCTION("""COMPUTED_VALUE"""),1.0)</f>
        <v>1</v>
      </c>
      <c r="O302" s="69" t="str">
        <f t="shared" si="3"/>
        <v/>
      </c>
      <c r="P302" s="471">
        <f>IFERROR(__xludf.DUMMYFUNCTION("""COMPUTED_VALUE"""),1.0)</f>
        <v>1</v>
      </c>
      <c r="Q302" s="274" t="str">
        <f>VLOOKUP($B302,'Run Reconcile'!B$2:O2488,14,FALSE)</f>
        <v/>
      </c>
      <c r="R302" s="472" t="str">
        <f t="array" ref="R302">IF($Q302, INDEX('Run Reconcile'!A$2:A2488,MATCH(B302,'Run Reconcile'!B$2:B2488,0),1),IFERROR(0/0,""))</f>
        <v/>
      </c>
      <c r="S302" s="473" t="str">
        <f t="shared" ref="S302:T302" si="609">IF(COUNTIF(W$2:W2488, $A302) &gt; 0,TRUE,IFERROR(0/0,""))</f>
        <v/>
      </c>
      <c r="T302" s="473" t="b">
        <f t="shared" si="609"/>
        <v>1</v>
      </c>
      <c r="U302" s="450" t="str">
        <f t="array" ref="U302">IF(ISBLANK($R302), INDEX('Run Reconcile'!A$2:A2488, MATCH($B302, 'Run Reconcile'!B$2:B2488, 0)+Z302, 1), IFERROR(0/0,""))
</f>
        <v>RUN-FLMP_2021-12-28_APS-076</v>
      </c>
      <c r="V302" s="474" t="str">
        <f t="shared" si="5"/>
        <v>RUN-FLMP_2021-12-28_APS-076</v>
      </c>
      <c r="X302" s="103" t="s">
        <v>1332</v>
      </c>
      <c r="Y302" s="89">
        <f t="shared" si="527"/>
        <v>1</v>
      </c>
      <c r="Z302" s="60">
        <f t="shared" si="7"/>
        <v>1</v>
      </c>
      <c r="AA302" s="60" t="str">
        <f t="shared" si="8"/>
        <v/>
      </c>
      <c r="AB302" s="60">
        <f t="shared" si="9"/>
        <v>1</v>
      </c>
      <c r="AC302" s="30" t="str">
        <f t="shared" ref="AC302:AD302" si="610">IF(_xlfn.ISFORMULA(S302),IFERROR(0/0,""),TRUE)</f>
        <v/>
      </c>
      <c r="AD302" s="30" t="str">
        <f t="shared" si="610"/>
        <v/>
      </c>
      <c r="AE302" s="475" t="str">
        <f>IFERROR(__xludf.DUMMYFUNCTION("""COMPUTED_VALUE"""),"FLSP")</f>
        <v>FLSP</v>
      </c>
      <c r="AF302" s="476"/>
      <c r="AG302" s="474" t="s">
        <v>139</v>
      </c>
      <c r="AH302" s="138" t="str">
        <f t="shared" si="11"/>
        <v/>
      </c>
    </row>
    <row r="303">
      <c r="A303" s="477" t="str">
        <f>IFERROR(__xludf.DUMMYFUNCTION("""COMPUTED_VALUE"""),"MA1338")</f>
        <v>MA1338</v>
      </c>
      <c r="B303" s="478">
        <f>IFERROR(__xludf.DUMMYFUNCTION("""COMPUTED_VALUE"""),44559.0)</f>
        <v>44559</v>
      </c>
      <c r="C303" s="479">
        <f>IFERROR(__xludf.DUMMYFUNCTION("""COMPUTED_VALUE"""),0.33949074074074076)</f>
        <v>0.3394907407</v>
      </c>
      <c r="D303" s="477" t="str">
        <f>IFERROR(__xludf.DUMMYFUNCTION("""COMPUTED_VALUE"""),"SpFLMP659315")</f>
        <v>SpFLMP659315</v>
      </c>
      <c r="E303" s="477"/>
      <c r="F303" s="477"/>
      <c r="G303" s="477" t="str">
        <f>IFERROR(__xludf.DUMMYFUNCTION("""COMPUTED_VALUE"""),"Negative")</f>
        <v>Negative</v>
      </c>
      <c r="H303" s="480" t="str">
        <f>IFERROR(__xludf.DUMMYFUNCTION("""COMPUTED_VALUE"""),"Negative")</f>
        <v>Negative</v>
      </c>
      <c r="I303" s="478">
        <f>IFERROR(__xludf.DUMMYFUNCTION("""COMPUTED_VALUE"""),44559.0)</f>
        <v>44559</v>
      </c>
      <c r="J303" s="481">
        <f>IFERROR(__xludf.DUMMYFUNCTION("""COMPUTED_VALUE"""),0.42238425925925926)</f>
        <v>0.4223842593</v>
      </c>
      <c r="K303" s="156"/>
      <c r="L303" s="19" t="str">
        <f>IFERROR(__xludf.DUMMYFUNCTION("""COMPUTED_VALUE"""),"name email fix")</f>
        <v>name email fix</v>
      </c>
      <c r="M303" s="482"/>
      <c r="N303" s="482">
        <f>IFERROR(__xludf.DUMMYFUNCTION("""COMPUTED_VALUE"""),1.0)</f>
        <v>1</v>
      </c>
      <c r="O303" s="482" t="b">
        <f t="shared" si="3"/>
        <v>1</v>
      </c>
      <c r="P303" s="483">
        <f>IFERROR(__xludf.DUMMYFUNCTION("""COMPUTED_VALUE"""),0.0)</f>
        <v>0</v>
      </c>
      <c r="Q303" s="352" t="str">
        <f>VLOOKUP($B303,'Run Reconcile'!B$2:O2488,14,FALSE)</f>
        <v/>
      </c>
      <c r="R303" s="484" t="str">
        <f t="array" ref="R303">IF($Q303, INDEX('Run Reconcile'!A$2:A2488,MATCH(B303,'Run Reconcile'!B$2:B2488,0),1),IFERROR(0/0,""))</f>
        <v/>
      </c>
      <c r="S303" s="485" t="str">
        <f t="shared" ref="S303:T303" si="611">IF(COUNTIF(W$2:W2488, $A303) &gt; 0,TRUE,IFERROR(0/0,""))</f>
        <v/>
      </c>
      <c r="T303" s="485" t="str">
        <f t="shared" si="611"/>
        <v/>
      </c>
      <c r="U303" s="353" t="str">
        <f t="array" ref="U303">IF(ISBLANK($R303), INDEX('Run Reconcile'!A$2:A2488, MATCH($B303, 'Run Reconcile'!B$2:B2488, 0)+Z303, 1), IFERROR(0/0,""))
</f>
        <v>RUN-FLMP_2021-12-29_RFR-039</v>
      </c>
      <c r="V303" s="486" t="str">
        <f t="shared" si="5"/>
        <v>RUN-FLMP_2021-12-29_RFR-039</v>
      </c>
      <c r="W303" s="19"/>
      <c r="X303" s="19"/>
      <c r="Y303" s="89" t="str">
        <f t="shared" si="527"/>
        <v/>
      </c>
      <c r="Z303" s="60" t="str">
        <f t="shared" si="7"/>
        <v/>
      </c>
      <c r="AA303" s="60" t="str">
        <f t="shared" si="8"/>
        <v/>
      </c>
      <c r="AB303" s="60" t="str">
        <f t="shared" si="9"/>
        <v/>
      </c>
      <c r="AC303" s="158" t="str">
        <f t="shared" ref="AC303:AD303" si="612">IF(_xlfn.ISFORMULA(S303),IFERROR(0/0,""),TRUE)</f>
        <v/>
      </c>
      <c r="AD303" s="158" t="str">
        <f t="shared" si="612"/>
        <v/>
      </c>
      <c r="AE303" s="488" t="str">
        <f>IFERROR(__xludf.DUMMYFUNCTION("""COMPUTED_VALUE"""),"FLSP")</f>
        <v>FLSP</v>
      </c>
      <c r="AF303" s="489"/>
      <c r="AG303" s="486" t="s">
        <v>142</v>
      </c>
      <c r="AH303" s="138" t="str">
        <f t="shared" si="11"/>
        <v/>
      </c>
      <c r="AI303" s="19"/>
      <c r="AJ303" s="19"/>
      <c r="AK303" s="19"/>
      <c r="AL303" s="19"/>
      <c r="AM303" s="19"/>
    </row>
    <row r="304">
      <c r="A304" s="103" t="str">
        <f>IFERROR(__xludf.DUMMYFUNCTION("""COMPUTED_VALUE"""),"MA1361")</f>
        <v>MA1361</v>
      </c>
      <c r="B304" s="468">
        <f>IFERROR(__xludf.DUMMYFUNCTION("""COMPUTED_VALUE"""),44559.0)</f>
        <v>44559</v>
      </c>
      <c r="C304" s="469">
        <f>IFERROR(__xludf.DUMMYFUNCTION("""COMPUTED_VALUE"""),0.3399074074074074)</f>
        <v>0.3399074074</v>
      </c>
      <c r="D304" s="103" t="str">
        <f>IFERROR(__xludf.DUMMYFUNCTION("""COMPUTED_VALUE"""),"SpFLMP659315")</f>
        <v>SpFLMP659315</v>
      </c>
      <c r="E304" s="103"/>
      <c r="F304" s="103"/>
      <c r="G304" s="103" t="str">
        <f>IFERROR(__xludf.DUMMYFUNCTION("""COMPUTED_VALUE"""),"Negative")</f>
        <v>Negative</v>
      </c>
      <c r="H304" s="131" t="str">
        <f>IFERROR(__xludf.DUMMYFUNCTION("""COMPUTED_VALUE"""),"Negative")</f>
        <v>Negative</v>
      </c>
      <c r="I304" s="468">
        <f>IFERROR(__xludf.DUMMYFUNCTION("""COMPUTED_VALUE"""),44559.0)</f>
        <v>44559</v>
      </c>
      <c r="J304" s="470">
        <f>IFERROR(__xludf.DUMMYFUNCTION("""COMPUTED_VALUE"""),0.42238425925925926)</f>
        <v>0.4223842593</v>
      </c>
      <c r="K304" s="16"/>
      <c r="L304" s="8"/>
      <c r="M304" s="69"/>
      <c r="N304" s="69">
        <f>IFERROR(__xludf.DUMMYFUNCTION("""COMPUTED_VALUE"""),3.0)</f>
        <v>3</v>
      </c>
      <c r="O304" s="69" t="str">
        <f t="shared" si="3"/>
        <v/>
      </c>
      <c r="P304" s="471">
        <f>IFERROR(__xludf.DUMMYFUNCTION("""COMPUTED_VALUE"""),0.0)</f>
        <v>0</v>
      </c>
      <c r="Q304" s="274" t="str">
        <f>VLOOKUP($B304,'Run Reconcile'!B$2:O2488,14,FALSE)</f>
        <v/>
      </c>
      <c r="R304" s="472" t="str">
        <f t="array" ref="R304">IF($Q304, INDEX('Run Reconcile'!A$2:A2488,MATCH(B304,'Run Reconcile'!B$2:B2488,0),1),IFERROR(0/0,""))</f>
        <v/>
      </c>
      <c r="S304" s="473" t="str">
        <f t="shared" ref="S304:T304" si="613">IF(COUNTIF(W$2:W2488, $A304) &gt; 0,TRUE,IFERROR(0/0,""))</f>
        <v/>
      </c>
      <c r="T304" s="473" t="str">
        <f t="shared" si="613"/>
        <v/>
      </c>
      <c r="U304" s="275" t="str">
        <f t="array" ref="U304">IF(ISBLANK($R304), INDEX('Run Reconcile'!A$2:A2488, MATCH($B304, 'Run Reconcile'!B$2:B2488, 0)+Z304, 1), IFERROR(0/0,""))
</f>
        <v>RUN-FLMP_2021-12-29_RFR-039</v>
      </c>
      <c r="V304" s="474" t="str">
        <f t="shared" si="5"/>
        <v>RUN-FLMP_2021-12-29_RFR-039</v>
      </c>
      <c r="Y304" s="89" t="str">
        <f t="shared" si="527"/>
        <v/>
      </c>
      <c r="Z304" s="60" t="str">
        <f t="shared" si="7"/>
        <v/>
      </c>
      <c r="AA304" s="60" t="str">
        <f t="shared" si="8"/>
        <v/>
      </c>
      <c r="AB304" s="60" t="str">
        <f t="shared" si="9"/>
        <v/>
      </c>
      <c r="AC304" s="30" t="str">
        <f t="shared" ref="AC304:AD304" si="614">IF(_xlfn.ISFORMULA(S304),IFERROR(0/0,""),TRUE)</f>
        <v/>
      </c>
      <c r="AD304" s="30" t="str">
        <f t="shared" si="614"/>
        <v/>
      </c>
      <c r="AE304" s="475" t="str">
        <f>IFERROR(__xludf.DUMMYFUNCTION("""COMPUTED_VALUE"""),"FLSP")</f>
        <v>FLSP</v>
      </c>
      <c r="AF304" s="476"/>
      <c r="AG304" s="474" t="s">
        <v>142</v>
      </c>
      <c r="AH304" s="138" t="str">
        <f t="shared" si="11"/>
        <v/>
      </c>
    </row>
    <row r="305">
      <c r="A305" s="103" t="str">
        <f>IFERROR(__xludf.DUMMYFUNCTION("""COMPUTED_VALUE"""),"MAX262")</f>
        <v>MAX262</v>
      </c>
      <c r="B305" s="468">
        <f>IFERROR(__xludf.DUMMYFUNCTION("""COMPUTED_VALUE"""),44559.0)</f>
        <v>44559</v>
      </c>
      <c r="C305" s="469">
        <f>IFERROR(__xludf.DUMMYFUNCTION("""COMPUTED_VALUE"""),0.3650925925925926)</f>
        <v>0.3650925926</v>
      </c>
      <c r="D305" s="103" t="str">
        <f>IFERROR(__xludf.DUMMYFUNCTION("""COMPUTED_VALUE"""),"SpFLMP496039")</f>
        <v>SpFLMP496039</v>
      </c>
      <c r="E305" s="103"/>
      <c r="F305" s="103"/>
      <c r="G305" s="103" t="str">
        <f>IFERROR(__xludf.DUMMYFUNCTION("""COMPUTED_VALUE"""),"Negative")</f>
        <v>Negative</v>
      </c>
      <c r="H305" s="131" t="str">
        <f>IFERROR(__xludf.DUMMYFUNCTION("""COMPUTED_VALUE"""),"Negative")</f>
        <v>Negative</v>
      </c>
      <c r="I305" s="468">
        <f>IFERROR(__xludf.DUMMYFUNCTION("""COMPUTED_VALUE"""),44559.0)</f>
        <v>44559</v>
      </c>
      <c r="J305" s="470">
        <f>IFERROR(__xludf.DUMMYFUNCTION("""COMPUTED_VALUE"""),0.42238425925925926)</f>
        <v>0.4223842593</v>
      </c>
      <c r="K305" s="16"/>
      <c r="L305" s="8"/>
      <c r="M305" s="69"/>
      <c r="N305" s="69">
        <f>IFERROR(__xludf.DUMMYFUNCTION("""COMPUTED_VALUE"""),1.0)</f>
        <v>1</v>
      </c>
      <c r="O305" s="69" t="str">
        <f t="shared" si="3"/>
        <v/>
      </c>
      <c r="P305" s="471">
        <f>IFERROR(__xludf.DUMMYFUNCTION("""COMPUTED_VALUE"""),0.0)</f>
        <v>0</v>
      </c>
      <c r="Q305" s="274" t="str">
        <f>VLOOKUP($B305,'Run Reconcile'!B$2:O2488,14,FALSE)</f>
        <v/>
      </c>
      <c r="R305" s="472" t="str">
        <f t="array" ref="R305">IF($Q305, INDEX('Run Reconcile'!A$2:A2488,MATCH(B305,'Run Reconcile'!B$2:B2488,0),1),IFERROR(0/0,""))</f>
        <v/>
      </c>
      <c r="S305" s="473" t="str">
        <f t="shared" ref="S305:T305" si="615">IF(COUNTIF(W$2:W2488, $A305) &gt; 0,TRUE,IFERROR(0/0,""))</f>
        <v/>
      </c>
      <c r="T305" s="473" t="str">
        <f t="shared" si="615"/>
        <v/>
      </c>
      <c r="U305" s="275" t="str">
        <f t="array" ref="U305">IF(ISBLANK($R305), INDEX('Run Reconcile'!A$2:A2488, MATCH($B305, 'Run Reconcile'!B$2:B2488, 0)+Z305, 1), IFERROR(0/0,""))
</f>
        <v>RUN-FLMP_2021-12-29_RFR-039</v>
      </c>
      <c r="V305" s="474" t="str">
        <f t="shared" si="5"/>
        <v>RUN-FLMP_2021-12-29_RFR-039</v>
      </c>
      <c r="Y305" s="89" t="str">
        <f t="shared" si="527"/>
        <v/>
      </c>
      <c r="Z305" s="60" t="str">
        <f t="shared" si="7"/>
        <v/>
      </c>
      <c r="AA305" s="60" t="str">
        <f t="shared" si="8"/>
        <v/>
      </c>
      <c r="AB305" s="60" t="str">
        <f t="shared" si="9"/>
        <v/>
      </c>
      <c r="AC305" s="30" t="str">
        <f t="shared" ref="AC305:AD305" si="616">IF(_xlfn.ISFORMULA(S305),IFERROR(0/0,""),TRUE)</f>
        <v/>
      </c>
      <c r="AD305" s="30" t="str">
        <f t="shared" si="616"/>
        <v/>
      </c>
      <c r="AE305" s="475" t="str">
        <f>IFERROR(__xludf.DUMMYFUNCTION("""COMPUTED_VALUE"""),"FLSP")</f>
        <v>FLSP</v>
      </c>
      <c r="AF305" s="476"/>
      <c r="AG305" s="474" t="s">
        <v>142</v>
      </c>
      <c r="AH305" s="138" t="str">
        <f t="shared" si="11"/>
        <v/>
      </c>
    </row>
    <row r="306">
      <c r="A306" s="103" t="str">
        <f>IFERROR(__xludf.DUMMYFUNCTION("""COMPUTED_VALUE"""),"MAX304")</f>
        <v>MAX304</v>
      </c>
      <c r="B306" s="468">
        <f>IFERROR(__xludf.DUMMYFUNCTION("""COMPUTED_VALUE"""),44559.0)</f>
        <v>44559</v>
      </c>
      <c r="C306" s="469">
        <f>IFERROR(__xludf.DUMMYFUNCTION("""COMPUTED_VALUE"""),0.3861805555555556)</f>
        <v>0.3861805556</v>
      </c>
      <c r="D306" s="103" t="str">
        <f>IFERROR(__xludf.DUMMYFUNCTION("""COMPUTED_VALUE"""),"SpFLMP120998")</f>
        <v>SpFLMP120998</v>
      </c>
      <c r="E306" s="103"/>
      <c r="F306" s="103"/>
      <c r="G306" s="103" t="str">
        <f>IFERROR(__xludf.DUMMYFUNCTION("""COMPUTED_VALUE"""),"Negative")</f>
        <v>Negative</v>
      </c>
      <c r="H306" s="131" t="str">
        <f>IFERROR(__xludf.DUMMYFUNCTION("""COMPUTED_VALUE"""),"Negative")</f>
        <v>Negative</v>
      </c>
      <c r="I306" s="468">
        <f>IFERROR(__xludf.DUMMYFUNCTION("""COMPUTED_VALUE"""),44559.0)</f>
        <v>44559</v>
      </c>
      <c r="J306" s="470">
        <f>IFERROR(__xludf.DUMMYFUNCTION("""COMPUTED_VALUE"""),0.42238425925925926)</f>
        <v>0.4223842593</v>
      </c>
      <c r="K306" s="16"/>
      <c r="L306" s="8"/>
      <c r="M306" s="69"/>
      <c r="N306" s="69">
        <f>IFERROR(__xludf.DUMMYFUNCTION("""COMPUTED_VALUE"""),1.0)</f>
        <v>1</v>
      </c>
      <c r="O306" s="69" t="str">
        <f t="shared" si="3"/>
        <v/>
      </c>
      <c r="P306" s="471">
        <f>IFERROR(__xludf.DUMMYFUNCTION("""COMPUTED_VALUE"""),0.0)</f>
        <v>0</v>
      </c>
      <c r="Q306" s="274" t="str">
        <f>VLOOKUP($B306,'Run Reconcile'!B$2:O2488,14,FALSE)</f>
        <v/>
      </c>
      <c r="R306" s="472" t="str">
        <f t="array" ref="R306">IF($Q306, INDEX('Run Reconcile'!A$2:A2488,MATCH(B306,'Run Reconcile'!B$2:B2488,0),1),IFERROR(0/0,""))</f>
        <v/>
      </c>
      <c r="S306" s="473" t="str">
        <f t="shared" ref="S306:T306" si="617">IF(COUNTIF(W$2:W2488, $A306) &gt; 0,TRUE,IFERROR(0/0,""))</f>
        <v/>
      </c>
      <c r="T306" s="473" t="str">
        <f t="shared" si="617"/>
        <v/>
      </c>
      <c r="U306" s="275" t="str">
        <f t="array" ref="U306">IF(ISBLANK($R306), INDEX('Run Reconcile'!A$2:A2488, MATCH($B306, 'Run Reconcile'!B$2:B2488, 0)+Z306, 1), IFERROR(0/0,""))
</f>
        <v>RUN-FLMP_2021-12-29_RFR-039</v>
      </c>
      <c r="V306" s="474" t="str">
        <f t="shared" si="5"/>
        <v>RUN-FLMP_2021-12-29_RFR-039</v>
      </c>
      <c r="Y306" s="89" t="str">
        <f t="shared" si="527"/>
        <v/>
      </c>
      <c r="Z306" s="60" t="str">
        <f t="shared" si="7"/>
        <v/>
      </c>
      <c r="AA306" s="60" t="str">
        <f t="shared" si="8"/>
        <v/>
      </c>
      <c r="AB306" s="60" t="str">
        <f t="shared" si="9"/>
        <v/>
      </c>
      <c r="AC306" s="30" t="str">
        <f t="shared" ref="AC306:AD306" si="618">IF(_xlfn.ISFORMULA(S306),IFERROR(0/0,""),TRUE)</f>
        <v/>
      </c>
      <c r="AD306" s="30" t="str">
        <f t="shared" si="618"/>
        <v/>
      </c>
      <c r="AE306" s="475" t="str">
        <f>IFERROR(__xludf.DUMMYFUNCTION("""COMPUTED_VALUE"""),"FLSP")</f>
        <v>FLSP</v>
      </c>
      <c r="AF306" s="476"/>
      <c r="AG306" s="474" t="s">
        <v>142</v>
      </c>
      <c r="AH306" s="138" t="str">
        <f t="shared" si="11"/>
        <v/>
      </c>
    </row>
    <row r="307">
      <c r="A307" s="103" t="str">
        <f>IFERROR(__xludf.DUMMYFUNCTION("""COMPUTED_VALUE"""),"MAX398")</f>
        <v>MAX398</v>
      </c>
      <c r="B307" s="468">
        <f>IFERROR(__xludf.DUMMYFUNCTION("""COMPUTED_VALUE"""),44559.0)</f>
        <v>44559</v>
      </c>
      <c r="C307" s="469">
        <f>IFERROR(__xludf.DUMMYFUNCTION("""COMPUTED_VALUE"""),0.5398495370370371)</f>
        <v>0.539849537</v>
      </c>
      <c r="D307" s="103" t="str">
        <f>IFERROR(__xludf.DUMMYFUNCTION("""COMPUTED_VALUE"""),"SpFLMP659315")</f>
        <v>SpFLMP659315</v>
      </c>
      <c r="E307" s="103"/>
      <c r="F307" s="103"/>
      <c r="G307" s="103" t="str">
        <f>IFERROR(__xludf.DUMMYFUNCTION("""COMPUTED_VALUE"""),"Null")</f>
        <v>Null</v>
      </c>
      <c r="H307" s="131" t="str">
        <f>IFERROR(__xludf.DUMMYFUNCTION("""COMPUTED_VALUE"""),"Negative")</f>
        <v>Negative</v>
      </c>
      <c r="I307" s="468">
        <f>IFERROR(__xludf.DUMMYFUNCTION("""COMPUTED_VALUE"""),44886.0)</f>
        <v>44886</v>
      </c>
      <c r="J307" s="470">
        <f>IFERROR(__xludf.DUMMYFUNCTION("""COMPUTED_VALUE"""),0.5893402777777778)</f>
        <v>0.5893402778</v>
      </c>
      <c r="K307" s="16">
        <f>IFERROR(__xludf.DUMMYFUNCTION("""COMPUTED_VALUE"""),2.0)</f>
        <v>2</v>
      </c>
      <c r="L307" s="8" t="str">
        <f>IFERROR(__xludf.DUMMYFUNCTION("""COMPUTED_VALUE"""),"review with RFR")</f>
        <v>review with RFR</v>
      </c>
      <c r="M307" s="69"/>
      <c r="N307" s="69">
        <f>IFERROR(__xludf.DUMMYFUNCTION("""COMPUTED_VALUE"""),1.0)</f>
        <v>1</v>
      </c>
      <c r="O307" s="69" t="str">
        <f t="shared" si="3"/>
        <v/>
      </c>
      <c r="P307" s="471">
        <f>IFERROR(__xludf.DUMMYFUNCTION("""COMPUTED_VALUE"""),327.0)</f>
        <v>327</v>
      </c>
      <c r="Q307" s="274" t="str">
        <f>VLOOKUP($B307,'Run Reconcile'!B$2:O2488,14,FALSE)</f>
        <v/>
      </c>
      <c r="R307" s="472" t="str">
        <f t="array" ref="R307">IF($Q307, INDEX('Run Reconcile'!A$2:A2488,MATCH(B307,'Run Reconcile'!B$2:B2488,0),1),IFERROR(0/0,""))</f>
        <v/>
      </c>
      <c r="S307" s="473" t="str">
        <f t="shared" ref="S307:T307" si="619">IF(COUNTIF(W$2:W2488, $A307) &gt; 0,TRUE,IFERROR(0/0,""))</f>
        <v/>
      </c>
      <c r="T307" s="473" t="b">
        <f t="shared" si="619"/>
        <v>1</v>
      </c>
      <c r="U307" s="18" t="str">
        <f t="array" ref="U307">IF(ISBLANK($R307), INDEX('Run Reconcile'!A$2:A2488, MATCH($B307, 'Run Reconcile'!B$2:B2488, 0)+Z307, 1), IFERROR(0/0,""))
</f>
        <v>RUN-FLMP_2021-12-29_APS-077</v>
      </c>
      <c r="V307" s="474" t="str">
        <f t="shared" si="5"/>
        <v>RUN-FLMP_2021-12-29_APS-077</v>
      </c>
      <c r="X307" s="103" t="s">
        <v>1333</v>
      </c>
      <c r="Y307" s="89">
        <f t="shared" si="527"/>
        <v>1</v>
      </c>
      <c r="Z307" s="60">
        <f t="shared" si="7"/>
        <v>1</v>
      </c>
      <c r="AA307" s="60" t="str">
        <f t="shared" si="8"/>
        <v/>
      </c>
      <c r="AB307" s="60">
        <f t="shared" si="9"/>
        <v>1</v>
      </c>
      <c r="AC307" s="30" t="str">
        <f t="shared" ref="AC307:AD307" si="620">IF(_xlfn.ISFORMULA(S307),IFERROR(0/0,""),TRUE)</f>
        <v/>
      </c>
      <c r="AD307" s="30" t="str">
        <f t="shared" si="620"/>
        <v/>
      </c>
      <c r="AE307" s="475" t="str">
        <f>IFERROR(__xludf.DUMMYFUNCTION("""COMPUTED_VALUE"""),"FLSP")</f>
        <v>FLSP</v>
      </c>
      <c r="AF307" s="476"/>
      <c r="AG307" s="474" t="s">
        <v>1334</v>
      </c>
      <c r="AH307" s="138" t="b">
        <f t="shared" si="11"/>
        <v>0</v>
      </c>
      <c r="AI307" s="18" t="s">
        <v>1335</v>
      </c>
    </row>
    <row r="308">
      <c r="A308" s="103" t="str">
        <f>IFERROR(__xludf.DUMMYFUNCTION("""COMPUTED_VALUE"""),"MAX280")</f>
        <v>MAX280</v>
      </c>
      <c r="B308" s="468">
        <f>IFERROR(__xludf.DUMMYFUNCTION("""COMPUTED_VALUE"""),44559.0)</f>
        <v>44559</v>
      </c>
      <c r="C308" s="469">
        <f>IFERROR(__xludf.DUMMYFUNCTION("""COMPUTED_VALUE"""),0.5400925925925926)</f>
        <v>0.5400925926</v>
      </c>
      <c r="D308" s="103" t="str">
        <f>IFERROR(__xludf.DUMMYFUNCTION("""COMPUTED_VALUE"""),"SpFLMP659315")</f>
        <v>SpFLMP659315</v>
      </c>
      <c r="E308" s="103"/>
      <c r="F308" s="103"/>
      <c r="G308" s="103" t="str">
        <f>IFERROR(__xludf.DUMMYFUNCTION("""COMPUTED_VALUE"""),"Null")</f>
        <v>Null</v>
      </c>
      <c r="H308" s="131" t="str">
        <f>IFERROR(__xludf.DUMMYFUNCTION("""COMPUTED_VALUE"""),"Negative")</f>
        <v>Negative</v>
      </c>
      <c r="I308" s="468">
        <f>IFERROR(__xludf.DUMMYFUNCTION("""COMPUTED_VALUE"""),44886.0)</f>
        <v>44886</v>
      </c>
      <c r="J308" s="470">
        <f>IFERROR(__xludf.DUMMYFUNCTION("""COMPUTED_VALUE"""),0.5893402777777778)</f>
        <v>0.5893402778</v>
      </c>
      <c r="K308" s="16">
        <f>IFERROR(__xludf.DUMMYFUNCTION("""COMPUTED_VALUE"""),2.0)</f>
        <v>2</v>
      </c>
      <c r="L308" s="8" t="str">
        <f>IFERROR(__xludf.DUMMYFUNCTION("""COMPUTED_VALUE"""),"review with RFR")</f>
        <v>review with RFR</v>
      </c>
      <c r="M308" s="69"/>
      <c r="N308" s="69">
        <f>IFERROR(__xludf.DUMMYFUNCTION("""COMPUTED_VALUE"""),1.0)</f>
        <v>1</v>
      </c>
      <c r="O308" s="69" t="str">
        <f t="shared" si="3"/>
        <v/>
      </c>
      <c r="P308" s="471">
        <f>IFERROR(__xludf.DUMMYFUNCTION("""COMPUTED_VALUE"""),327.0)</f>
        <v>327</v>
      </c>
      <c r="Q308" s="274" t="str">
        <f>VLOOKUP($B308,'Run Reconcile'!B$2:O2488,14,FALSE)</f>
        <v/>
      </c>
      <c r="R308" s="472" t="str">
        <f t="array" ref="R308">IF($Q308, INDEX('Run Reconcile'!A$2:A2488,MATCH(B308,'Run Reconcile'!B$2:B2488,0),1),IFERROR(0/0,""))</f>
        <v/>
      </c>
      <c r="S308" s="473" t="str">
        <f t="shared" ref="S308:T308" si="621">IF(COUNTIF(W$2:W2488, $A308) &gt; 0,TRUE,IFERROR(0/0,""))</f>
        <v/>
      </c>
      <c r="T308" s="473" t="b">
        <f t="shared" si="621"/>
        <v>1</v>
      </c>
      <c r="U308" s="18" t="str">
        <f t="array" ref="U308">IF(ISBLANK($R308), INDEX('Run Reconcile'!A$2:A2488, MATCH($B308, 'Run Reconcile'!B$2:B2488, 0)+Z308, 1), IFERROR(0/0,""))
</f>
        <v>RUN-FLMP_2021-12-29_APS-077</v>
      </c>
      <c r="V308" s="474" t="str">
        <f t="shared" si="5"/>
        <v>RUN-FLMP_2021-12-29_APS-077</v>
      </c>
      <c r="X308" s="103" t="s">
        <v>1336</v>
      </c>
      <c r="Y308" s="89">
        <f t="shared" si="527"/>
        <v>1</v>
      </c>
      <c r="Z308" s="60">
        <f t="shared" si="7"/>
        <v>1</v>
      </c>
      <c r="AA308" s="60" t="str">
        <f t="shared" si="8"/>
        <v/>
      </c>
      <c r="AB308" s="60">
        <f t="shared" si="9"/>
        <v>1</v>
      </c>
      <c r="AC308" s="30" t="str">
        <f t="shared" ref="AC308:AD308" si="622">IF(_xlfn.ISFORMULA(S308),IFERROR(0/0,""),TRUE)</f>
        <v/>
      </c>
      <c r="AD308" s="30" t="str">
        <f t="shared" si="622"/>
        <v/>
      </c>
      <c r="AE308" s="475" t="str">
        <f>IFERROR(__xludf.DUMMYFUNCTION("""COMPUTED_VALUE"""),"FLSP")</f>
        <v>FLSP</v>
      </c>
      <c r="AF308" s="476"/>
      <c r="AG308" s="474" t="s">
        <v>1334</v>
      </c>
      <c r="AH308" s="138" t="b">
        <f t="shared" si="11"/>
        <v>0</v>
      </c>
    </row>
    <row r="309">
      <c r="A309" s="103" t="str">
        <f>IFERROR(__xludf.DUMMYFUNCTION("""COMPUTED_VALUE"""),"MAX364")</f>
        <v>MAX364</v>
      </c>
      <c r="B309" s="468">
        <f>IFERROR(__xludf.DUMMYFUNCTION("""COMPUTED_VALUE"""),44559.0)</f>
        <v>44559</v>
      </c>
      <c r="C309" s="469">
        <f>IFERROR(__xludf.DUMMYFUNCTION("""COMPUTED_VALUE"""),0.5404629629629629)</f>
        <v>0.540462963</v>
      </c>
      <c r="D309" s="103" t="str">
        <f>IFERROR(__xludf.DUMMYFUNCTION("""COMPUTED_VALUE"""),"SpFLMP659315")</f>
        <v>SpFLMP659315</v>
      </c>
      <c r="E309" s="103"/>
      <c r="F309" s="103"/>
      <c r="G309" s="103" t="str">
        <f>IFERROR(__xludf.DUMMYFUNCTION("""COMPUTED_VALUE"""),"Null")</f>
        <v>Null</v>
      </c>
      <c r="H309" s="131" t="str">
        <f>IFERROR(__xludf.DUMMYFUNCTION("""COMPUTED_VALUE"""),"Negative")</f>
        <v>Negative</v>
      </c>
      <c r="I309" s="468">
        <f>IFERROR(__xludf.DUMMYFUNCTION("""COMPUTED_VALUE"""),44886.0)</f>
        <v>44886</v>
      </c>
      <c r="J309" s="470">
        <f>IFERROR(__xludf.DUMMYFUNCTION("""COMPUTED_VALUE"""),0.5893402777777778)</f>
        <v>0.5893402778</v>
      </c>
      <c r="K309" s="16">
        <f>IFERROR(__xludf.DUMMYFUNCTION("""COMPUTED_VALUE"""),2.0)</f>
        <v>2</v>
      </c>
      <c r="L309" s="8" t="str">
        <f>IFERROR(__xludf.DUMMYFUNCTION("""COMPUTED_VALUE"""),"Note and Tube ID swapped")</f>
        <v>Note and Tube ID swapped</v>
      </c>
      <c r="M309" s="69"/>
      <c r="N309" s="69">
        <f>IFERROR(__xludf.DUMMYFUNCTION("""COMPUTED_VALUE"""),1.0)</f>
        <v>1</v>
      </c>
      <c r="O309" s="69" t="str">
        <f t="shared" si="3"/>
        <v/>
      </c>
      <c r="P309" s="471">
        <f>IFERROR(__xludf.DUMMYFUNCTION("""COMPUTED_VALUE"""),327.0)</f>
        <v>327</v>
      </c>
      <c r="Q309" s="274" t="str">
        <f>VLOOKUP($B309,'Run Reconcile'!B$2:O2488,14,FALSE)</f>
        <v/>
      </c>
      <c r="R309" s="472" t="str">
        <f t="array" ref="R309">IF($Q309, INDEX('Run Reconcile'!A$2:A2488,MATCH(B309,'Run Reconcile'!B$2:B2488,0),1),IFERROR(0/0,""))</f>
        <v/>
      </c>
      <c r="S309" s="473" t="str">
        <f t="shared" ref="S309:T309" si="623">IF(COUNTIF(W$2:W2488, $A309) &gt; 0,TRUE,IFERROR(0/0,""))</f>
        <v/>
      </c>
      <c r="T309" s="473" t="b">
        <f t="shared" si="623"/>
        <v>1</v>
      </c>
      <c r="U309" s="18" t="str">
        <f t="array" ref="U309">IF(ISBLANK($R309), INDEX('Run Reconcile'!A$2:A2488, MATCH($B309, 'Run Reconcile'!B$2:B2488, 0)+Z309, 1), IFERROR(0/0,""))
</f>
        <v>RUN-FLMP_2021-12-29_APS-077</v>
      </c>
      <c r="V309" s="474" t="str">
        <f t="shared" si="5"/>
        <v>RUN-FLMP_2021-12-29_APS-077</v>
      </c>
      <c r="X309" s="493" t="s">
        <v>1337</v>
      </c>
      <c r="Y309" s="89">
        <f t="shared" si="527"/>
        <v>1</v>
      </c>
      <c r="Z309" s="60">
        <f t="shared" si="7"/>
        <v>1</v>
      </c>
      <c r="AA309" s="60" t="str">
        <f t="shared" si="8"/>
        <v/>
      </c>
      <c r="AB309" s="60">
        <f t="shared" si="9"/>
        <v>1</v>
      </c>
      <c r="AC309" s="30" t="str">
        <f t="shared" ref="AC309:AD309" si="624">IF(_xlfn.ISFORMULA(S309),IFERROR(0/0,""),TRUE)</f>
        <v/>
      </c>
      <c r="AD309" s="30" t="str">
        <f t="shared" si="624"/>
        <v/>
      </c>
      <c r="AE309" s="475" t="str">
        <f>IFERROR(__xludf.DUMMYFUNCTION("""COMPUTED_VALUE"""),"FLSP")</f>
        <v>FLSP</v>
      </c>
      <c r="AF309" s="476"/>
      <c r="AG309" s="474" t="s">
        <v>1334</v>
      </c>
      <c r="AH309" s="138" t="b">
        <f t="shared" si="11"/>
        <v>0</v>
      </c>
    </row>
    <row r="310">
      <c r="A310" s="103" t="str">
        <f>IFERROR(__xludf.DUMMYFUNCTION("""COMPUTED_VALUE"""),"MAX287")</f>
        <v>MAX287</v>
      </c>
      <c r="B310" s="468">
        <f>IFERROR(__xludf.DUMMYFUNCTION("""COMPUTED_VALUE"""),44559.0)</f>
        <v>44559</v>
      </c>
      <c r="C310" s="469">
        <f>IFERROR(__xludf.DUMMYFUNCTION("""COMPUTED_VALUE"""),0.5407638888888889)</f>
        <v>0.5407638889</v>
      </c>
      <c r="D310" s="103" t="str">
        <f>IFERROR(__xludf.DUMMYFUNCTION("""COMPUTED_VALUE"""),"SpFLMP659315")</f>
        <v>SpFLMP659315</v>
      </c>
      <c r="E310" s="103"/>
      <c r="F310" s="103"/>
      <c r="G310" s="103" t="str">
        <f>IFERROR(__xludf.DUMMYFUNCTION("""COMPUTED_VALUE"""),"Null")</f>
        <v>Null</v>
      </c>
      <c r="H310" s="131" t="str">
        <f>IFERROR(__xludf.DUMMYFUNCTION("""COMPUTED_VALUE"""),"Negative")</f>
        <v>Negative</v>
      </c>
      <c r="I310" s="468">
        <f>IFERROR(__xludf.DUMMYFUNCTION("""COMPUTED_VALUE"""),44886.0)</f>
        <v>44886</v>
      </c>
      <c r="J310" s="470">
        <f>IFERROR(__xludf.DUMMYFUNCTION("""COMPUTED_VALUE"""),0.5893402777777778)</f>
        <v>0.5893402778</v>
      </c>
      <c r="K310" s="16">
        <f>IFERROR(__xludf.DUMMYFUNCTION("""COMPUTED_VALUE"""),2.0)</f>
        <v>2</v>
      </c>
      <c r="L310" s="8" t="str">
        <f>IFERROR(__xludf.DUMMYFUNCTION("""COMPUTED_VALUE"""),"review with RFR")</f>
        <v>review with RFR</v>
      </c>
      <c r="M310" s="69"/>
      <c r="N310" s="69">
        <f>IFERROR(__xludf.DUMMYFUNCTION("""COMPUTED_VALUE"""),1.0)</f>
        <v>1</v>
      </c>
      <c r="O310" s="69" t="str">
        <f t="shared" si="3"/>
        <v/>
      </c>
      <c r="P310" s="471">
        <f>IFERROR(__xludf.DUMMYFUNCTION("""COMPUTED_VALUE"""),327.0)</f>
        <v>327</v>
      </c>
      <c r="Q310" s="274" t="str">
        <f>VLOOKUP($B310,'Run Reconcile'!B$2:O2488,14,FALSE)</f>
        <v/>
      </c>
      <c r="R310" s="472" t="str">
        <f t="array" ref="R310">IF($Q310, INDEX('Run Reconcile'!A$2:A2488,MATCH(B310,'Run Reconcile'!B$2:B2488,0),1),IFERROR(0/0,""))</f>
        <v/>
      </c>
      <c r="S310" s="473" t="str">
        <f t="shared" ref="S310:T310" si="625">IF(COUNTIF(W$2:W2488, $A310) &gt; 0,TRUE,IFERROR(0/0,""))</f>
        <v/>
      </c>
      <c r="T310" s="473" t="b">
        <f t="shared" si="625"/>
        <v>1</v>
      </c>
      <c r="U310" s="18" t="str">
        <f t="array" ref="U310">IF(ISBLANK($R310), INDEX('Run Reconcile'!A$2:A2488, MATCH($B310, 'Run Reconcile'!B$2:B2488, 0)+Z310, 1), IFERROR(0/0,""))
</f>
        <v>RUN-FLMP_2021-12-29_APS-077</v>
      </c>
      <c r="V310" s="474" t="str">
        <f t="shared" si="5"/>
        <v>RUN-FLMP_2021-12-29_APS-077</v>
      </c>
      <c r="X310" s="103" t="s">
        <v>1338</v>
      </c>
      <c r="Y310" s="89">
        <f t="shared" si="527"/>
        <v>1</v>
      </c>
      <c r="Z310" s="60">
        <f t="shared" si="7"/>
        <v>1</v>
      </c>
      <c r="AA310" s="60" t="str">
        <f t="shared" si="8"/>
        <v/>
      </c>
      <c r="AB310" s="60">
        <f t="shared" si="9"/>
        <v>1</v>
      </c>
      <c r="AC310" s="30" t="str">
        <f t="shared" ref="AC310:AD310" si="626">IF(_xlfn.ISFORMULA(S310),IFERROR(0/0,""),TRUE)</f>
        <v/>
      </c>
      <c r="AD310" s="30" t="str">
        <f t="shared" si="626"/>
        <v/>
      </c>
      <c r="AE310" s="475" t="str">
        <f>IFERROR(__xludf.DUMMYFUNCTION("""COMPUTED_VALUE"""),"FLSP")</f>
        <v>FLSP</v>
      </c>
      <c r="AF310" s="476"/>
      <c r="AG310" s="474" t="s">
        <v>1334</v>
      </c>
      <c r="AH310" s="138" t="b">
        <f t="shared" si="11"/>
        <v>0</v>
      </c>
    </row>
    <row r="311">
      <c r="A311" s="103" t="str">
        <f>IFERROR(__xludf.DUMMYFUNCTION("""COMPUTED_VALUE"""),"MA1337")</f>
        <v>MA1337</v>
      </c>
      <c r="B311" s="468">
        <f>IFERROR(__xludf.DUMMYFUNCTION("""COMPUTED_VALUE"""),44560.0)</f>
        <v>44560</v>
      </c>
      <c r="C311" s="469">
        <f>IFERROR(__xludf.DUMMYFUNCTION("""COMPUTED_VALUE"""),0.3622916666666667)</f>
        <v>0.3622916667</v>
      </c>
      <c r="D311" s="103" t="str">
        <f>IFERROR(__xludf.DUMMYFUNCTION("""COMPUTED_VALUE"""),"SpFLMP659315")</f>
        <v>SpFLMP659315</v>
      </c>
      <c r="E311" s="103"/>
      <c r="F311" s="103"/>
      <c r="G311" s="103" t="str">
        <f>IFERROR(__xludf.DUMMYFUNCTION("""COMPUTED_VALUE"""),"Negative")</f>
        <v>Negative</v>
      </c>
      <c r="H311" s="131" t="str">
        <f>IFERROR(__xludf.DUMMYFUNCTION("""COMPUTED_VALUE"""),"Negative")</f>
        <v>Negative</v>
      </c>
      <c r="I311" s="468">
        <f>IFERROR(__xludf.DUMMYFUNCTION("""COMPUTED_VALUE"""),44560.0)</f>
        <v>44560</v>
      </c>
      <c r="J311" s="470">
        <f>IFERROR(__xludf.DUMMYFUNCTION("""COMPUTED_VALUE"""),0.41575231481481484)</f>
        <v>0.4157523148</v>
      </c>
      <c r="K311" s="16"/>
      <c r="L311" s="8" t="str">
        <f>IFERROR(__xludf.DUMMYFUNCTION("""COMPUTED_VALUE"""),"name email fix")</f>
        <v>name email fix</v>
      </c>
      <c r="M311" s="69"/>
      <c r="N311" s="69">
        <f>IFERROR(__xludf.DUMMYFUNCTION("""COMPUTED_VALUE"""),1.0)</f>
        <v>1</v>
      </c>
      <c r="O311" s="69" t="b">
        <f t="shared" si="3"/>
        <v>1</v>
      </c>
      <c r="P311" s="471">
        <f>IFERROR(__xludf.DUMMYFUNCTION("""COMPUTED_VALUE"""),0.0)</f>
        <v>0</v>
      </c>
      <c r="Q311" s="274" t="b">
        <f>VLOOKUP($B311,'Run Reconcile'!B$2:O2488,14,FALSE)</f>
        <v>1</v>
      </c>
      <c r="R311" s="472" t="str">
        <f t="array" ref="R311">IF($Q311, INDEX('Run Reconcile'!A$2:A2488,MATCH(B311,'Run Reconcile'!B$2:B2488,0),1),IFERROR(0/0,""))</f>
        <v>RUN-FLMP_2021-12-30_RFR-040</v>
      </c>
      <c r="S311" s="473" t="str">
        <f t="shared" ref="S311:T311" si="627">IF(COUNTIF(W$2:W2488, $A311) &gt; 0,TRUE,IFERROR(0/0,""))</f>
        <v/>
      </c>
      <c r="T311" s="473" t="str">
        <f t="shared" si="627"/>
        <v/>
      </c>
      <c r="U311" s="275" t="str">
        <f t="array" ref="U311">IF(ISBLANK($R311), INDEX('Run Reconcile'!A$2:A2488, MATCH($B311, 'Run Reconcile'!B$2:B2488, 0)+Z311, 1), IFERROR(0/0,""))
</f>
        <v/>
      </c>
      <c r="V311" s="474" t="str">
        <f t="shared" si="5"/>
        <v>RUN-FLMP_2021-12-30_RFR-040</v>
      </c>
      <c r="Y311" s="89" t="str">
        <f t="shared" si="527"/>
        <v/>
      </c>
      <c r="Z311" s="60" t="str">
        <f t="shared" si="7"/>
        <v/>
      </c>
      <c r="AA311" s="60" t="str">
        <f t="shared" si="8"/>
        <v/>
      </c>
      <c r="AB311" s="60" t="str">
        <f t="shared" si="9"/>
        <v/>
      </c>
      <c r="AC311" s="30" t="str">
        <f t="shared" ref="AC311:AD311" si="628">IF(_xlfn.ISFORMULA(S311),IFERROR(0/0,""),TRUE)</f>
        <v/>
      </c>
      <c r="AD311" s="30" t="str">
        <f t="shared" si="628"/>
        <v/>
      </c>
      <c r="AE311" s="475" t="str">
        <f>IFERROR(__xludf.DUMMYFUNCTION("""COMPUTED_VALUE"""),"FLSP")</f>
        <v>FLSP</v>
      </c>
      <c r="AF311" s="476"/>
      <c r="AG311" s="474" t="s">
        <v>143</v>
      </c>
      <c r="AH311" s="138" t="str">
        <f t="shared" si="11"/>
        <v/>
      </c>
    </row>
    <row r="312">
      <c r="A312" s="103" t="str">
        <f>IFERROR(__xludf.DUMMYFUNCTION("""COMPUTED_VALUE"""),"MA1479")</f>
        <v>MA1479</v>
      </c>
      <c r="B312" s="468">
        <f>IFERROR(__xludf.DUMMYFUNCTION("""COMPUTED_VALUE"""),44560.0)</f>
        <v>44560</v>
      </c>
      <c r="C312" s="469">
        <f>IFERROR(__xludf.DUMMYFUNCTION("""COMPUTED_VALUE"""),0.3626273148148148)</f>
        <v>0.3626273148</v>
      </c>
      <c r="D312" s="103" t="str">
        <f>IFERROR(__xludf.DUMMYFUNCTION("""COMPUTED_VALUE"""),"SpFLMP659315")</f>
        <v>SpFLMP659315</v>
      </c>
      <c r="E312" s="103"/>
      <c r="F312" s="103"/>
      <c r="G312" s="103" t="str">
        <f>IFERROR(__xludf.DUMMYFUNCTION("""COMPUTED_VALUE"""),"Negative")</f>
        <v>Negative</v>
      </c>
      <c r="H312" s="131" t="str">
        <f>IFERROR(__xludf.DUMMYFUNCTION("""COMPUTED_VALUE"""),"Negative")</f>
        <v>Negative</v>
      </c>
      <c r="I312" s="468">
        <f>IFERROR(__xludf.DUMMYFUNCTION("""COMPUTED_VALUE"""),44560.0)</f>
        <v>44560</v>
      </c>
      <c r="J312" s="470">
        <f>IFERROR(__xludf.DUMMYFUNCTION("""COMPUTED_VALUE"""),0.41575231481481484)</f>
        <v>0.4157523148</v>
      </c>
      <c r="K312" s="16"/>
      <c r="L312" s="8"/>
      <c r="M312" s="69"/>
      <c r="N312" s="69">
        <f>IFERROR(__xludf.DUMMYFUNCTION("""COMPUTED_VALUE"""),3.0)</f>
        <v>3</v>
      </c>
      <c r="O312" s="69" t="str">
        <f t="shared" si="3"/>
        <v/>
      </c>
      <c r="P312" s="471">
        <f>IFERROR(__xludf.DUMMYFUNCTION("""COMPUTED_VALUE"""),0.0)</f>
        <v>0</v>
      </c>
      <c r="Q312" s="274" t="b">
        <f>VLOOKUP($B312,'Run Reconcile'!B$2:O2488,14,FALSE)</f>
        <v>1</v>
      </c>
      <c r="R312" s="472" t="str">
        <f t="array" ref="R312">IF($Q312, INDEX('Run Reconcile'!A$2:A2488,MATCH(B312,'Run Reconcile'!B$2:B2488,0),1),IFERROR(0/0,""))</f>
        <v>RUN-FLMP_2021-12-30_RFR-040</v>
      </c>
      <c r="S312" s="473" t="str">
        <f t="shared" ref="S312:T312" si="629">IF(COUNTIF(W$2:W2488, $A312) &gt; 0,TRUE,IFERROR(0/0,""))</f>
        <v/>
      </c>
      <c r="T312" s="473" t="str">
        <f t="shared" si="629"/>
        <v/>
      </c>
      <c r="U312" s="275" t="str">
        <f t="array" ref="U312">IF(ISBLANK($R312), INDEX('Run Reconcile'!A$2:A2488, MATCH($B312, 'Run Reconcile'!B$2:B2488, 0)+Z312, 1), IFERROR(0/0,""))
</f>
        <v/>
      </c>
      <c r="V312" s="474" t="str">
        <f t="shared" si="5"/>
        <v>RUN-FLMP_2021-12-30_RFR-040</v>
      </c>
      <c r="Y312" s="89" t="str">
        <f t="shared" si="527"/>
        <v/>
      </c>
      <c r="Z312" s="60" t="str">
        <f t="shared" si="7"/>
        <v/>
      </c>
      <c r="AA312" s="60" t="str">
        <f t="shared" si="8"/>
        <v/>
      </c>
      <c r="AB312" s="60" t="str">
        <f t="shared" si="9"/>
        <v/>
      </c>
      <c r="AC312" s="30" t="str">
        <f t="shared" ref="AC312:AD312" si="630">IF(_xlfn.ISFORMULA(S312),IFERROR(0/0,""),TRUE)</f>
        <v/>
      </c>
      <c r="AD312" s="30" t="str">
        <f t="shared" si="630"/>
        <v/>
      </c>
      <c r="AE312" s="475" t="str">
        <f>IFERROR(__xludf.DUMMYFUNCTION("""COMPUTED_VALUE"""),"FLSP")</f>
        <v>FLSP</v>
      </c>
      <c r="AF312" s="476"/>
      <c r="AG312" s="474" t="s">
        <v>143</v>
      </c>
      <c r="AH312" s="138" t="str">
        <f t="shared" si="11"/>
        <v/>
      </c>
    </row>
    <row r="313">
      <c r="A313" s="103" t="str">
        <f>IFERROR(__xludf.DUMMYFUNCTION("""COMPUTED_VALUE"""),"MAX415")</f>
        <v>MAX415</v>
      </c>
      <c r="B313" s="468">
        <f>IFERROR(__xludf.DUMMYFUNCTION("""COMPUTED_VALUE"""),44560.0)</f>
        <v>44560</v>
      </c>
      <c r="C313" s="469">
        <f>IFERROR(__xludf.DUMMYFUNCTION("""COMPUTED_VALUE"""),0.36983796296296295)</f>
        <v>0.369837963</v>
      </c>
      <c r="D313" s="103" t="str">
        <f>IFERROR(__xludf.DUMMYFUNCTION("""COMPUTED_VALUE"""),"SpFLMP496039")</f>
        <v>SpFLMP496039</v>
      </c>
      <c r="E313" s="103"/>
      <c r="F313" s="103"/>
      <c r="G313" s="103" t="str">
        <f>IFERROR(__xludf.DUMMYFUNCTION("""COMPUTED_VALUE"""),"Negative")</f>
        <v>Negative</v>
      </c>
      <c r="H313" s="131" t="str">
        <f>IFERROR(__xludf.DUMMYFUNCTION("""COMPUTED_VALUE"""),"Negative")</f>
        <v>Negative</v>
      </c>
      <c r="I313" s="468">
        <f>IFERROR(__xludf.DUMMYFUNCTION("""COMPUTED_VALUE"""),44560.0)</f>
        <v>44560</v>
      </c>
      <c r="J313" s="470">
        <f>IFERROR(__xludf.DUMMYFUNCTION("""COMPUTED_VALUE"""),0.41575231481481484)</f>
        <v>0.4157523148</v>
      </c>
      <c r="K313" s="16"/>
      <c r="L313" s="8"/>
      <c r="M313" s="69"/>
      <c r="N313" s="69">
        <f>IFERROR(__xludf.DUMMYFUNCTION("""COMPUTED_VALUE"""),1.0)</f>
        <v>1</v>
      </c>
      <c r="O313" s="69" t="str">
        <f t="shared" si="3"/>
        <v/>
      </c>
      <c r="P313" s="471">
        <f>IFERROR(__xludf.DUMMYFUNCTION("""COMPUTED_VALUE"""),0.0)</f>
        <v>0</v>
      </c>
      <c r="Q313" s="274" t="b">
        <f>VLOOKUP($B313,'Run Reconcile'!B$2:O2488,14,FALSE)</f>
        <v>1</v>
      </c>
      <c r="R313" s="472" t="str">
        <f t="array" ref="R313">IF($Q313, INDEX('Run Reconcile'!A$2:A2488,MATCH(B313,'Run Reconcile'!B$2:B2488,0),1),IFERROR(0/0,""))</f>
        <v>RUN-FLMP_2021-12-30_RFR-040</v>
      </c>
      <c r="S313" s="473" t="str">
        <f t="shared" ref="S313:T313" si="631">IF(COUNTIF(W$2:W2488, $A313) &gt; 0,TRUE,IFERROR(0/0,""))</f>
        <v/>
      </c>
      <c r="T313" s="473" t="str">
        <f t="shared" si="631"/>
        <v/>
      </c>
      <c r="U313" s="275" t="str">
        <f t="array" ref="U313">IF(ISBLANK($R313), INDEX('Run Reconcile'!A$2:A2488, MATCH($B313, 'Run Reconcile'!B$2:B2488, 0)+Z313, 1), IFERROR(0/0,""))
</f>
        <v/>
      </c>
      <c r="V313" s="474" t="str">
        <f t="shared" si="5"/>
        <v>RUN-FLMP_2021-12-30_RFR-040</v>
      </c>
      <c r="Y313" s="89" t="str">
        <f t="shared" si="527"/>
        <v/>
      </c>
      <c r="Z313" s="60" t="str">
        <f t="shared" si="7"/>
        <v/>
      </c>
      <c r="AA313" s="60" t="str">
        <f t="shared" si="8"/>
        <v/>
      </c>
      <c r="AB313" s="60" t="str">
        <f t="shared" si="9"/>
        <v/>
      </c>
      <c r="AC313" s="30" t="str">
        <f t="shared" ref="AC313:AD313" si="632">IF(_xlfn.ISFORMULA(S313),IFERROR(0/0,""),TRUE)</f>
        <v/>
      </c>
      <c r="AD313" s="30" t="str">
        <f t="shared" si="632"/>
        <v/>
      </c>
      <c r="AE313" s="475" t="str">
        <f>IFERROR(__xludf.DUMMYFUNCTION("""COMPUTED_VALUE"""),"FLSP")</f>
        <v>FLSP</v>
      </c>
      <c r="AF313" s="476"/>
      <c r="AG313" s="474" t="s">
        <v>143</v>
      </c>
      <c r="AH313" s="138" t="str">
        <f t="shared" si="11"/>
        <v/>
      </c>
    </row>
    <row r="314">
      <c r="A314" s="103" t="str">
        <f>IFERROR(__xludf.DUMMYFUNCTION("""COMPUTED_VALUE"""),"MAX351")</f>
        <v>MAX351</v>
      </c>
      <c r="B314" s="468">
        <f>IFERROR(__xludf.DUMMYFUNCTION("""COMPUTED_VALUE"""),44560.0)</f>
        <v>44560</v>
      </c>
      <c r="C314" s="469">
        <f>IFERROR(__xludf.DUMMYFUNCTION("""COMPUTED_VALUE"""),0.3784837962962963)</f>
        <v>0.3784837963</v>
      </c>
      <c r="D314" s="103" t="str">
        <f>IFERROR(__xludf.DUMMYFUNCTION("""COMPUTED_VALUE"""),"SpFLMP120998")</f>
        <v>SpFLMP120998</v>
      </c>
      <c r="E314" s="103"/>
      <c r="F314" s="103"/>
      <c r="G314" s="103" t="str">
        <f>IFERROR(__xludf.DUMMYFUNCTION("""COMPUTED_VALUE"""),"Negative")</f>
        <v>Negative</v>
      </c>
      <c r="H314" s="131" t="str">
        <f>IFERROR(__xludf.DUMMYFUNCTION("""COMPUTED_VALUE"""),"Negative")</f>
        <v>Negative</v>
      </c>
      <c r="I314" s="468">
        <f>IFERROR(__xludf.DUMMYFUNCTION("""COMPUTED_VALUE"""),44560.0)</f>
        <v>44560</v>
      </c>
      <c r="J314" s="470">
        <f>IFERROR(__xludf.DUMMYFUNCTION("""COMPUTED_VALUE"""),0.41575231481481484)</f>
        <v>0.4157523148</v>
      </c>
      <c r="K314" s="16"/>
      <c r="L314" s="8"/>
      <c r="M314" s="69"/>
      <c r="N314" s="69">
        <f>IFERROR(__xludf.DUMMYFUNCTION("""COMPUTED_VALUE"""),1.0)</f>
        <v>1</v>
      </c>
      <c r="O314" s="69" t="str">
        <f t="shared" si="3"/>
        <v/>
      </c>
      <c r="P314" s="471">
        <f>IFERROR(__xludf.DUMMYFUNCTION("""COMPUTED_VALUE"""),0.0)</f>
        <v>0</v>
      </c>
      <c r="Q314" s="274" t="b">
        <f>VLOOKUP($B314,'Run Reconcile'!B$2:O2488,14,FALSE)</f>
        <v>1</v>
      </c>
      <c r="R314" s="472" t="str">
        <f t="array" ref="R314">IF($Q314, INDEX('Run Reconcile'!A$2:A2488,MATCH(B314,'Run Reconcile'!B$2:B2488,0),1),IFERROR(0/0,""))</f>
        <v>RUN-FLMP_2021-12-30_RFR-040</v>
      </c>
      <c r="S314" s="473" t="str">
        <f t="shared" ref="S314:T314" si="633">IF(COUNTIF(W$2:W2488, $A314) &gt; 0,TRUE,IFERROR(0/0,""))</f>
        <v/>
      </c>
      <c r="T314" s="473" t="str">
        <f t="shared" si="633"/>
        <v/>
      </c>
      <c r="U314" s="275" t="str">
        <f t="array" ref="U314">IF(ISBLANK($R314), INDEX('Run Reconcile'!A$2:A2488, MATCH($B314, 'Run Reconcile'!B$2:B2488, 0)+Z314, 1), IFERROR(0/0,""))
</f>
        <v/>
      </c>
      <c r="V314" s="474" t="str">
        <f t="shared" si="5"/>
        <v>RUN-FLMP_2021-12-30_RFR-040</v>
      </c>
      <c r="Y314" s="89" t="str">
        <f t="shared" si="527"/>
        <v/>
      </c>
      <c r="Z314" s="60" t="str">
        <f t="shared" si="7"/>
        <v/>
      </c>
      <c r="AA314" s="60" t="str">
        <f t="shared" si="8"/>
        <v/>
      </c>
      <c r="AB314" s="60" t="str">
        <f t="shared" si="9"/>
        <v/>
      </c>
      <c r="AC314" s="30" t="str">
        <f t="shared" ref="AC314:AD314" si="634">IF(_xlfn.ISFORMULA(S314),IFERROR(0/0,""),TRUE)</f>
        <v/>
      </c>
      <c r="AD314" s="30" t="str">
        <f t="shared" si="634"/>
        <v/>
      </c>
      <c r="AE314" s="475" t="str">
        <f>IFERROR(__xludf.DUMMYFUNCTION("""COMPUTED_VALUE"""),"FLSP")</f>
        <v>FLSP</v>
      </c>
      <c r="AF314" s="476"/>
      <c r="AG314" s="474" t="s">
        <v>143</v>
      </c>
      <c r="AH314" s="138" t="str">
        <f t="shared" si="11"/>
        <v/>
      </c>
    </row>
    <row r="315">
      <c r="A315" s="103" t="str">
        <f>IFERROR(__xludf.DUMMYFUNCTION("""COMPUTED_VALUE"""),"MA1351")</f>
        <v>MA1351</v>
      </c>
      <c r="B315" s="468">
        <f>IFERROR(__xludf.DUMMYFUNCTION("""COMPUTED_VALUE"""),44561.0)</f>
        <v>44561</v>
      </c>
      <c r="C315" s="469">
        <f>IFERROR(__xludf.DUMMYFUNCTION("""COMPUTED_VALUE"""),0.3710300925925926)</f>
        <v>0.3710300926</v>
      </c>
      <c r="D315" s="103" t="str">
        <f>IFERROR(__xludf.DUMMYFUNCTION("""COMPUTED_VALUE"""),"SpFLMP659315")</f>
        <v>SpFLMP659315</v>
      </c>
      <c r="E315" s="103"/>
      <c r="F315" s="103"/>
      <c r="G315" s="103" t="str">
        <f>IFERROR(__xludf.DUMMYFUNCTION("""COMPUTED_VALUE"""),"Negative")</f>
        <v>Negative</v>
      </c>
      <c r="H315" s="131" t="str">
        <f>IFERROR(__xludf.DUMMYFUNCTION("""COMPUTED_VALUE"""),"Negative")</f>
        <v>Negative</v>
      </c>
      <c r="I315" s="468">
        <f>IFERROR(__xludf.DUMMYFUNCTION("""COMPUTED_VALUE"""),44561.0)</f>
        <v>44561</v>
      </c>
      <c r="J315" s="470">
        <f>IFERROR(__xludf.DUMMYFUNCTION("""COMPUTED_VALUE"""),0.7201967592592593)</f>
        <v>0.7201967593</v>
      </c>
      <c r="K315" s="16"/>
      <c r="L315" s="8"/>
      <c r="M315" s="69"/>
      <c r="N315" s="69">
        <f>IFERROR(__xludf.DUMMYFUNCTION("""COMPUTED_VALUE"""),4.0)</f>
        <v>4</v>
      </c>
      <c r="O315" s="69" t="b">
        <f t="shared" si="3"/>
        <v>1</v>
      </c>
      <c r="P315" s="471">
        <f>IFERROR(__xludf.DUMMYFUNCTION("""COMPUTED_VALUE"""),0.0)</f>
        <v>0</v>
      </c>
      <c r="Q315" s="274" t="str">
        <f>VLOOKUP($B315,'Run Reconcile'!B$2:O2488,14,FALSE)</f>
        <v/>
      </c>
      <c r="R315" s="472" t="str">
        <f t="array" ref="R315">IF($Q315, INDEX('Run Reconcile'!A$2:A2488,MATCH(B315,'Run Reconcile'!B$2:B2488,0),1),IFERROR(0/0,""))</f>
        <v/>
      </c>
      <c r="S315" s="473" t="str">
        <f t="shared" ref="S315:T315" si="635">IF(COUNTIF(W$2:W2488, $A315) &gt; 0,TRUE,IFERROR(0/0,""))</f>
        <v/>
      </c>
      <c r="T315" s="473" t="str">
        <f t="shared" si="635"/>
        <v/>
      </c>
      <c r="U315" s="275" t="str">
        <f t="array" ref="U315">IF(ISBLANK($R315), INDEX('Run Reconcile'!A$2:A2488, MATCH($B315, 'Run Reconcile'!B$2:B2488, 0)+Z315, 1), IFERROR(0/0,""))
</f>
        <v>RUN-FLMP_2021-12-31_RFR-042</v>
      </c>
      <c r="V315" s="474" t="str">
        <f t="shared" si="5"/>
        <v>RUN-FLMP_2021-12-31_RFR-042</v>
      </c>
      <c r="Y315" s="89" t="str">
        <f t="shared" si="527"/>
        <v/>
      </c>
      <c r="Z315" s="60" t="str">
        <f t="shared" si="7"/>
        <v/>
      </c>
      <c r="AA315" s="60" t="str">
        <f t="shared" si="8"/>
        <v/>
      </c>
      <c r="AB315" s="60" t="str">
        <f t="shared" si="9"/>
        <v/>
      </c>
      <c r="AC315" s="30" t="str">
        <f t="shared" ref="AC315:AD315" si="636">IF(_xlfn.ISFORMULA(S315),IFERROR(0/0,""),TRUE)</f>
        <v/>
      </c>
      <c r="AD315" s="30" t="str">
        <f t="shared" si="636"/>
        <v/>
      </c>
      <c r="AE315" s="475" t="str">
        <f>IFERROR(__xludf.DUMMYFUNCTION("""COMPUTED_VALUE"""),"FLSP")</f>
        <v>FLSP</v>
      </c>
      <c r="AF315" s="476"/>
      <c r="AG315" s="474" t="s">
        <v>144</v>
      </c>
      <c r="AH315" s="138" t="str">
        <f t="shared" si="11"/>
        <v/>
      </c>
    </row>
    <row r="316">
      <c r="A316" s="103" t="str">
        <f>IFERROR(__xludf.DUMMYFUNCTION("""COMPUTED_VALUE"""),"MA1358")</f>
        <v>MA1358</v>
      </c>
      <c r="B316" s="468">
        <f>IFERROR(__xludf.DUMMYFUNCTION("""COMPUTED_VALUE"""),44561.0)</f>
        <v>44561</v>
      </c>
      <c r="C316" s="469">
        <f>IFERROR(__xludf.DUMMYFUNCTION("""COMPUTED_VALUE"""),0.3722685185185185)</f>
        <v>0.3722685185</v>
      </c>
      <c r="D316" s="103" t="str">
        <f>IFERROR(__xludf.DUMMYFUNCTION("""COMPUTED_VALUE"""),"SpFLMP604497")</f>
        <v>SpFLMP604497</v>
      </c>
      <c r="E316" s="103"/>
      <c r="F316" s="103"/>
      <c r="G316" s="103" t="str">
        <f>IFERROR(__xludf.DUMMYFUNCTION("""COMPUTED_VALUE"""),"Negative")</f>
        <v>Negative</v>
      </c>
      <c r="H316" s="131" t="str">
        <f>IFERROR(__xludf.DUMMYFUNCTION("""COMPUTED_VALUE"""),"Negative")</f>
        <v>Negative</v>
      </c>
      <c r="I316" s="468">
        <f>IFERROR(__xludf.DUMMYFUNCTION("""COMPUTED_VALUE"""),44561.0)</f>
        <v>44561</v>
      </c>
      <c r="J316" s="470">
        <f>IFERROR(__xludf.DUMMYFUNCTION("""COMPUTED_VALUE"""),0.7201967592592593)</f>
        <v>0.7201967593</v>
      </c>
      <c r="K316" s="16"/>
      <c r="L316" s="8"/>
      <c r="M316" s="69"/>
      <c r="N316" s="69">
        <f>IFERROR(__xludf.DUMMYFUNCTION("""COMPUTED_VALUE"""),2.0)</f>
        <v>2</v>
      </c>
      <c r="O316" s="69" t="str">
        <f t="shared" si="3"/>
        <v/>
      </c>
      <c r="P316" s="471">
        <f>IFERROR(__xludf.DUMMYFUNCTION("""COMPUTED_VALUE"""),0.0)</f>
        <v>0</v>
      </c>
      <c r="Q316" s="274" t="str">
        <f>VLOOKUP($B316,'Run Reconcile'!B$2:O2488,14,FALSE)</f>
        <v/>
      </c>
      <c r="R316" s="472" t="str">
        <f t="array" ref="R316">IF($Q316, INDEX('Run Reconcile'!A$2:A2488,MATCH(B316,'Run Reconcile'!B$2:B2488,0),1),IFERROR(0/0,""))</f>
        <v/>
      </c>
      <c r="S316" s="473" t="str">
        <f t="shared" ref="S316:T316" si="637">IF(COUNTIF(W$2:W2488, $A316) &gt; 0,TRUE,IFERROR(0/0,""))</f>
        <v/>
      </c>
      <c r="T316" s="473" t="str">
        <f t="shared" si="637"/>
        <v/>
      </c>
      <c r="U316" s="275" t="str">
        <f t="array" ref="U316">IF(ISBLANK($R316), INDEX('Run Reconcile'!A$2:A2488, MATCH($B316, 'Run Reconcile'!B$2:B2488, 0)+Z316, 1), IFERROR(0/0,""))
</f>
        <v>RUN-FLMP_2021-12-31_RFR-042</v>
      </c>
      <c r="V316" s="474" t="str">
        <f t="shared" si="5"/>
        <v>RUN-FLMP_2021-12-31_RFR-042</v>
      </c>
      <c r="Y316" s="89" t="str">
        <f t="shared" si="527"/>
        <v/>
      </c>
      <c r="Z316" s="60" t="str">
        <f t="shared" si="7"/>
        <v/>
      </c>
      <c r="AA316" s="60" t="str">
        <f t="shared" si="8"/>
        <v/>
      </c>
      <c r="AB316" s="60" t="str">
        <f t="shared" si="9"/>
        <v/>
      </c>
      <c r="AC316" s="30" t="str">
        <f t="shared" ref="AC316:AD316" si="638">IF(_xlfn.ISFORMULA(S316),IFERROR(0/0,""),TRUE)</f>
        <v/>
      </c>
      <c r="AD316" s="30" t="str">
        <f t="shared" si="638"/>
        <v/>
      </c>
      <c r="AE316" s="475" t="str">
        <f>IFERROR(__xludf.DUMMYFUNCTION("""COMPUTED_VALUE"""),"FLSP")</f>
        <v>FLSP</v>
      </c>
      <c r="AF316" s="476"/>
      <c r="AG316" s="474" t="s">
        <v>144</v>
      </c>
      <c r="AH316" s="138" t="str">
        <f t="shared" si="11"/>
        <v/>
      </c>
    </row>
    <row r="317">
      <c r="A317" s="103" t="str">
        <f>IFERROR(__xludf.DUMMYFUNCTION("""COMPUTED_VALUE"""),"MA1367")</f>
        <v>MA1367</v>
      </c>
      <c r="B317" s="468">
        <f>IFERROR(__xludf.DUMMYFUNCTION("""COMPUTED_VALUE"""),44561.0)</f>
        <v>44561</v>
      </c>
      <c r="C317" s="469">
        <f>IFERROR(__xludf.DUMMYFUNCTION("""COMPUTED_VALUE"""),0.37310185185185185)</f>
        <v>0.3731018519</v>
      </c>
      <c r="D317" s="103" t="str">
        <f>IFERROR(__xludf.DUMMYFUNCTION("""COMPUTED_VALUE"""),"SpFLMP604497")</f>
        <v>SpFLMP604497</v>
      </c>
      <c r="E317" s="103"/>
      <c r="F317" s="103"/>
      <c r="G317" s="103" t="str">
        <f>IFERROR(__xludf.DUMMYFUNCTION("""COMPUTED_VALUE"""),"Negative")</f>
        <v>Negative</v>
      </c>
      <c r="H317" s="131" t="str">
        <f>IFERROR(__xludf.DUMMYFUNCTION("""COMPUTED_VALUE"""),"Negative")</f>
        <v>Negative</v>
      </c>
      <c r="I317" s="468">
        <f>IFERROR(__xludf.DUMMYFUNCTION("""COMPUTED_VALUE"""),44561.0)</f>
        <v>44561</v>
      </c>
      <c r="J317" s="470">
        <f>IFERROR(__xludf.DUMMYFUNCTION("""COMPUTED_VALUE"""),0.7201967592592593)</f>
        <v>0.7201967593</v>
      </c>
      <c r="K317" s="16"/>
      <c r="L317" s="8"/>
      <c r="M317" s="69"/>
      <c r="N317" s="69">
        <f>IFERROR(__xludf.DUMMYFUNCTION("""COMPUTED_VALUE"""),2.0)</f>
        <v>2</v>
      </c>
      <c r="O317" s="69" t="str">
        <f t="shared" si="3"/>
        <v/>
      </c>
      <c r="P317" s="471">
        <f>IFERROR(__xludf.DUMMYFUNCTION("""COMPUTED_VALUE"""),0.0)</f>
        <v>0</v>
      </c>
      <c r="Q317" s="274" t="str">
        <f>VLOOKUP($B317,'Run Reconcile'!B$2:O2488,14,FALSE)</f>
        <v/>
      </c>
      <c r="R317" s="472" t="str">
        <f t="array" ref="R317">IF($Q317, INDEX('Run Reconcile'!A$2:A2488,MATCH(B317,'Run Reconcile'!B$2:B2488,0),1),IFERROR(0/0,""))</f>
        <v/>
      </c>
      <c r="S317" s="473" t="str">
        <f t="shared" ref="S317:T317" si="639">IF(COUNTIF(W$2:W2488, $A317) &gt; 0,TRUE,IFERROR(0/0,""))</f>
        <v/>
      </c>
      <c r="T317" s="473" t="str">
        <f t="shared" si="639"/>
        <v/>
      </c>
      <c r="U317" s="275" t="str">
        <f t="array" ref="U317">IF(ISBLANK($R317), INDEX('Run Reconcile'!A$2:A2488, MATCH($B317, 'Run Reconcile'!B$2:B2488, 0)+Z317, 1), IFERROR(0/0,""))
</f>
        <v>RUN-FLMP_2021-12-31_RFR-042</v>
      </c>
      <c r="V317" s="474" t="str">
        <f t="shared" si="5"/>
        <v>RUN-FLMP_2021-12-31_RFR-042</v>
      </c>
      <c r="Y317" s="89" t="str">
        <f t="shared" si="527"/>
        <v/>
      </c>
      <c r="Z317" s="60" t="str">
        <f t="shared" si="7"/>
        <v/>
      </c>
      <c r="AA317" s="60" t="str">
        <f t="shared" si="8"/>
        <v/>
      </c>
      <c r="AB317" s="60" t="str">
        <f t="shared" si="9"/>
        <v/>
      </c>
      <c r="AC317" s="30" t="str">
        <f t="shared" ref="AC317:AD317" si="640">IF(_xlfn.ISFORMULA(S317),IFERROR(0/0,""),TRUE)</f>
        <v/>
      </c>
      <c r="AD317" s="30" t="str">
        <f t="shared" si="640"/>
        <v/>
      </c>
      <c r="AE317" s="475" t="str">
        <f>IFERROR(__xludf.DUMMYFUNCTION("""COMPUTED_VALUE"""),"FLSP")</f>
        <v>FLSP</v>
      </c>
      <c r="AF317" s="476"/>
      <c r="AG317" s="474" t="s">
        <v>144</v>
      </c>
      <c r="AH317" s="138" t="str">
        <f t="shared" si="11"/>
        <v/>
      </c>
    </row>
    <row r="318">
      <c r="A318" s="103" t="str">
        <f>IFERROR(__xludf.DUMMYFUNCTION("""COMPUTED_VALUE"""),"MAX434")</f>
        <v>MAX434</v>
      </c>
      <c r="B318" s="468">
        <f>IFERROR(__xludf.DUMMYFUNCTION("""COMPUTED_VALUE"""),44561.0)</f>
        <v>44561</v>
      </c>
      <c r="C318" s="469">
        <f>IFERROR(__xludf.DUMMYFUNCTION("""COMPUTED_VALUE"""),0.5029861111111111)</f>
        <v>0.5029861111</v>
      </c>
      <c r="D318" s="103" t="str">
        <f>IFERROR(__xludf.DUMMYFUNCTION("""COMPUTED_VALUE"""),"SpFLMP659315")</f>
        <v>SpFLMP659315</v>
      </c>
      <c r="E318" s="103"/>
      <c r="F318" s="103"/>
      <c r="G318" s="103" t="str">
        <f>IFERROR(__xludf.DUMMYFUNCTION("""COMPUTED_VALUE"""),"Negative")</f>
        <v>Negative</v>
      </c>
      <c r="H318" s="131" t="str">
        <f>IFERROR(__xludf.DUMMYFUNCTION("""COMPUTED_VALUE"""),"Negative")</f>
        <v>Negative</v>
      </c>
      <c r="I318" s="468">
        <f>IFERROR(__xludf.DUMMYFUNCTION("""COMPUTED_VALUE"""),44561.0)</f>
        <v>44561</v>
      </c>
      <c r="J318" s="470">
        <f>IFERROR(__xludf.DUMMYFUNCTION("""COMPUTED_VALUE"""),0.7201967592592593)</f>
        <v>0.7201967593</v>
      </c>
      <c r="K318" s="16"/>
      <c r="L318" s="8"/>
      <c r="M318" s="69"/>
      <c r="N318" s="69">
        <f>IFERROR(__xludf.DUMMYFUNCTION("""COMPUTED_VALUE"""),1.0)</f>
        <v>1</v>
      </c>
      <c r="O318" s="69" t="str">
        <f t="shared" si="3"/>
        <v/>
      </c>
      <c r="P318" s="471">
        <f>IFERROR(__xludf.DUMMYFUNCTION("""COMPUTED_VALUE"""),0.0)</f>
        <v>0</v>
      </c>
      <c r="Q318" s="274" t="str">
        <f>VLOOKUP($B318,'Run Reconcile'!B$2:O2488,14,FALSE)</f>
        <v/>
      </c>
      <c r="R318" s="472" t="str">
        <f t="array" ref="R318">IF($Q318, INDEX('Run Reconcile'!A$2:A2488,MATCH(B318,'Run Reconcile'!B$2:B2488,0),1),IFERROR(0/0,""))</f>
        <v/>
      </c>
      <c r="S318" s="473" t="str">
        <f t="shared" ref="S318:T318" si="641">IF(COUNTIF(W$2:W2488, $A318) &gt; 0,TRUE,IFERROR(0/0,""))</f>
        <v/>
      </c>
      <c r="T318" s="473" t="str">
        <f t="shared" si="641"/>
        <v/>
      </c>
      <c r="U318" s="275" t="str">
        <f t="array" ref="U318">IF(ISBLANK($R318), INDEX('Run Reconcile'!A$2:A2488, MATCH($B318, 'Run Reconcile'!B$2:B2488, 0)+Z318, 1), IFERROR(0/0,""))
</f>
        <v>RUN-FLMP_2021-12-31_RFR-042</v>
      </c>
      <c r="V318" s="474" t="str">
        <f t="shared" si="5"/>
        <v>RUN-FLMP_2021-12-31_RFR-042</v>
      </c>
      <c r="Y318" s="89" t="str">
        <f t="shared" si="527"/>
        <v/>
      </c>
      <c r="Z318" s="60" t="str">
        <f t="shared" si="7"/>
        <v/>
      </c>
      <c r="AA318" s="60" t="str">
        <f t="shared" si="8"/>
        <v/>
      </c>
      <c r="AB318" s="60" t="str">
        <f t="shared" si="9"/>
        <v/>
      </c>
      <c r="AC318" s="30" t="str">
        <f t="shared" ref="AC318:AD318" si="642">IF(_xlfn.ISFORMULA(S318),IFERROR(0/0,""),TRUE)</f>
        <v/>
      </c>
      <c r="AD318" s="30" t="str">
        <f t="shared" si="642"/>
        <v/>
      </c>
      <c r="AE318" s="475" t="str">
        <f>IFERROR(__xludf.DUMMYFUNCTION("""COMPUTED_VALUE"""),"FLSP")</f>
        <v>FLSP</v>
      </c>
      <c r="AF318" s="476"/>
      <c r="AG318" s="474" t="s">
        <v>144</v>
      </c>
      <c r="AH318" s="138" t="str">
        <f t="shared" si="11"/>
        <v/>
      </c>
    </row>
    <row r="319">
      <c r="A319" s="103" t="str">
        <f>IFERROR(__xludf.DUMMYFUNCTION("""COMPUTED_VALUE"""),"MAX255")</f>
        <v>MAX255</v>
      </c>
      <c r="B319" s="468">
        <f>IFERROR(__xludf.DUMMYFUNCTION("""COMPUTED_VALUE"""),44561.0)</f>
        <v>44561</v>
      </c>
      <c r="C319" s="469">
        <f>IFERROR(__xludf.DUMMYFUNCTION("""COMPUTED_VALUE"""),0.5036342592592593)</f>
        <v>0.5036342593</v>
      </c>
      <c r="D319" s="103" t="str">
        <f>IFERROR(__xludf.DUMMYFUNCTION("""COMPUTED_VALUE"""),"SpFLMP659315")</f>
        <v>SpFLMP659315</v>
      </c>
      <c r="E319" s="103"/>
      <c r="F319" s="103"/>
      <c r="G319" s="103" t="str">
        <f>IFERROR(__xludf.DUMMYFUNCTION("""COMPUTED_VALUE"""),"Negative")</f>
        <v>Negative</v>
      </c>
      <c r="H319" s="131" t="str">
        <f>IFERROR(__xludf.DUMMYFUNCTION("""COMPUTED_VALUE"""),"Negative")</f>
        <v>Negative</v>
      </c>
      <c r="I319" s="468">
        <f>IFERROR(__xludf.DUMMYFUNCTION("""COMPUTED_VALUE"""),44561.0)</f>
        <v>44561</v>
      </c>
      <c r="J319" s="470">
        <f>IFERROR(__xludf.DUMMYFUNCTION("""COMPUTED_VALUE"""),0.7201967592592593)</f>
        <v>0.7201967593</v>
      </c>
      <c r="K319" s="16"/>
      <c r="L319" s="8"/>
      <c r="M319" s="69"/>
      <c r="N319" s="69">
        <f>IFERROR(__xludf.DUMMYFUNCTION("""COMPUTED_VALUE"""),1.0)</f>
        <v>1</v>
      </c>
      <c r="O319" s="69" t="str">
        <f t="shared" si="3"/>
        <v/>
      </c>
      <c r="P319" s="471">
        <f>IFERROR(__xludf.DUMMYFUNCTION("""COMPUTED_VALUE"""),0.0)</f>
        <v>0</v>
      </c>
      <c r="Q319" s="274" t="str">
        <f>VLOOKUP($B319,'Run Reconcile'!B$2:O2488,14,FALSE)</f>
        <v/>
      </c>
      <c r="R319" s="472" t="str">
        <f t="array" ref="R319">IF($Q319, INDEX('Run Reconcile'!A$2:A2488,MATCH(B319,'Run Reconcile'!B$2:B2488,0),1),IFERROR(0/0,""))</f>
        <v/>
      </c>
      <c r="S319" s="473" t="str">
        <f t="shared" ref="S319:T319" si="643">IF(COUNTIF(W$2:W2488, $A319) &gt; 0,TRUE,IFERROR(0/0,""))</f>
        <v/>
      </c>
      <c r="T319" s="473" t="str">
        <f t="shared" si="643"/>
        <v/>
      </c>
      <c r="U319" s="275" t="str">
        <f t="array" ref="U319">IF(ISBLANK($R319), INDEX('Run Reconcile'!A$2:A2488, MATCH($B319, 'Run Reconcile'!B$2:B2488, 0)+Z319, 1), IFERROR(0/0,""))
</f>
        <v>RUN-FLMP_2021-12-31_RFR-042</v>
      </c>
      <c r="V319" s="474" t="str">
        <f t="shared" si="5"/>
        <v>RUN-FLMP_2021-12-31_RFR-042</v>
      </c>
      <c r="Y319" s="89" t="str">
        <f t="shared" si="527"/>
        <v/>
      </c>
      <c r="Z319" s="60" t="str">
        <f t="shared" si="7"/>
        <v/>
      </c>
      <c r="AA319" s="60" t="str">
        <f t="shared" si="8"/>
        <v/>
      </c>
      <c r="AB319" s="60" t="str">
        <f t="shared" si="9"/>
        <v/>
      </c>
      <c r="AC319" s="30" t="str">
        <f t="shared" ref="AC319:AD319" si="644">IF(_xlfn.ISFORMULA(S319),IFERROR(0/0,""),TRUE)</f>
        <v/>
      </c>
      <c r="AD319" s="30" t="str">
        <f t="shared" si="644"/>
        <v/>
      </c>
      <c r="AE319" s="475" t="str">
        <f>IFERROR(__xludf.DUMMYFUNCTION("""COMPUTED_VALUE"""),"FLSP")</f>
        <v>FLSP</v>
      </c>
      <c r="AF319" s="476"/>
      <c r="AG319" s="474" t="s">
        <v>144</v>
      </c>
      <c r="AH319" s="138" t="str">
        <f t="shared" si="11"/>
        <v/>
      </c>
    </row>
    <row r="320">
      <c r="A320" s="103" t="str">
        <f>IFERROR(__xludf.DUMMYFUNCTION("""COMPUTED_VALUE"""),"MAX288FIX")</f>
        <v>MAX288FIX</v>
      </c>
      <c r="B320" s="468">
        <f>IFERROR(__xludf.DUMMYFUNCTION("""COMPUTED_VALUE"""),44561.0)</f>
        <v>44561</v>
      </c>
      <c r="C320" s="469">
        <f>IFERROR(__xludf.DUMMYFUNCTION("""COMPUTED_VALUE"""),0.720925925925926)</f>
        <v>0.7209259259</v>
      </c>
      <c r="D320" s="103" t="str">
        <f>IFERROR(__xludf.DUMMYFUNCTION("""COMPUTED_VALUE"""),"SpFLMP659315")</f>
        <v>SpFLMP659315</v>
      </c>
      <c r="E320" s="103"/>
      <c r="F320" s="103"/>
      <c r="G320" s="103" t="str">
        <f>IFERROR(__xludf.DUMMYFUNCTION("""COMPUTED_VALUE"""),"Positive")</f>
        <v>Positive</v>
      </c>
      <c r="H320" s="131" t="str">
        <f>IFERROR(__xludf.DUMMYFUNCTION("""COMPUTED_VALUE"""),"Positive")</f>
        <v>Positive</v>
      </c>
      <c r="I320" s="468">
        <f>IFERROR(__xludf.DUMMYFUNCTION("""COMPUTED_VALUE"""),44561.0)</f>
        <v>44561</v>
      </c>
      <c r="J320" s="470">
        <f>IFERROR(__xludf.DUMMYFUNCTION("""COMPUTED_VALUE"""),0.7218055555555556)</f>
        <v>0.7218055556</v>
      </c>
      <c r="K320" s="16"/>
      <c r="L320" s="8"/>
      <c r="M320" s="69"/>
      <c r="N320" s="69">
        <f>IFERROR(__xludf.DUMMYFUNCTION("""COMPUTED_VALUE"""),1.0)</f>
        <v>1</v>
      </c>
      <c r="O320" s="69" t="str">
        <f t="shared" si="3"/>
        <v/>
      </c>
      <c r="P320" s="471">
        <f>IFERROR(__xludf.DUMMYFUNCTION("""COMPUTED_VALUE"""),0.0)</f>
        <v>0</v>
      </c>
      <c r="Q320" s="274" t="str">
        <f>VLOOKUP($B320,'Run Reconcile'!B$2:O2488,14,FALSE)</f>
        <v/>
      </c>
      <c r="R320" s="472" t="str">
        <f t="array" ref="R320">IF($Q320, INDEX('Run Reconcile'!A$2:A2488,MATCH(B320,'Run Reconcile'!B$2:B2488,0),1),IFERROR(0/0,""))</f>
        <v/>
      </c>
      <c r="S320" s="473" t="str">
        <f t="shared" ref="S320:T320" si="645">IF(COUNTIF(W$2:W2488, $A320) &gt; 0,TRUE,IFERROR(0/0,""))</f>
        <v/>
      </c>
      <c r="T320" s="473" t="str">
        <f t="shared" si="645"/>
        <v/>
      </c>
      <c r="U320" s="275" t="str">
        <f t="array" ref="U320">IF(ISBLANK($R320), INDEX('Run Reconcile'!A$2:A2488, MATCH($B320, 'Run Reconcile'!B$2:B2488, 0)+Z320, 1), IFERROR(0/0,""))
</f>
        <v>RUN-FLMP_2021-12-31_RFR-042</v>
      </c>
      <c r="V320" s="474" t="str">
        <f t="shared" si="5"/>
        <v>RUN-FLMP_2021-12-31_RFR-042</v>
      </c>
      <c r="Y320" s="89" t="str">
        <f t="shared" si="527"/>
        <v/>
      </c>
      <c r="Z320" s="60" t="str">
        <f t="shared" si="7"/>
        <v/>
      </c>
      <c r="AA320" s="60" t="str">
        <f t="shared" si="8"/>
        <v/>
      </c>
      <c r="AB320" s="60" t="str">
        <f t="shared" si="9"/>
        <v/>
      </c>
      <c r="AC320" s="30" t="str">
        <f t="shared" ref="AC320:AD320" si="646">IF(_xlfn.ISFORMULA(S320),IFERROR(0/0,""),TRUE)</f>
        <v/>
      </c>
      <c r="AD320" s="30" t="str">
        <f t="shared" si="646"/>
        <v/>
      </c>
      <c r="AE320" s="475" t="str">
        <f>IFERROR(__xludf.DUMMYFUNCTION("""COMPUTED_VALUE"""),"FLSP")</f>
        <v>FLSP</v>
      </c>
      <c r="AF320" s="476"/>
      <c r="AG320" s="474" t="s">
        <v>144</v>
      </c>
      <c r="AH320" s="138" t="str">
        <f t="shared" si="11"/>
        <v/>
      </c>
    </row>
    <row r="321">
      <c r="A321" s="103" t="str">
        <f>IFERROR(__xludf.DUMMYFUNCTION("""COMPUTED_VALUE"""),"MAX340")</f>
        <v>MAX340</v>
      </c>
      <c r="B321" s="468">
        <f>IFERROR(__xludf.DUMMYFUNCTION("""COMPUTED_VALUE"""),44561.0)</f>
        <v>44561</v>
      </c>
      <c r="C321" s="469">
        <f>IFERROR(__xludf.DUMMYFUNCTION("""COMPUTED_VALUE"""),0.730625)</f>
        <v>0.730625</v>
      </c>
      <c r="D321" s="103" t="str">
        <f>IFERROR(__xludf.DUMMYFUNCTION("""COMPUTED_VALUE"""),"SpFLMP659315")</f>
        <v>SpFLMP659315</v>
      </c>
      <c r="E321" s="103"/>
      <c r="F321" s="103"/>
      <c r="G321" s="103" t="str">
        <f>IFERROR(__xludf.DUMMYFUNCTION("""COMPUTED_VALUE"""),"Negative")</f>
        <v>Negative</v>
      </c>
      <c r="H321" s="131" t="str">
        <f>IFERROR(__xludf.DUMMYFUNCTION("""COMPUTED_VALUE"""),"Negative")</f>
        <v>Negative</v>
      </c>
      <c r="I321" s="468">
        <f>IFERROR(__xludf.DUMMYFUNCTION("""COMPUTED_VALUE"""),44561.0)</f>
        <v>44561</v>
      </c>
      <c r="J321" s="470">
        <f>IFERROR(__xludf.DUMMYFUNCTION("""COMPUTED_VALUE"""),0.8211921296296296)</f>
        <v>0.8211921296</v>
      </c>
      <c r="K321" s="16"/>
      <c r="L321" s="8"/>
      <c r="M321" s="69"/>
      <c r="N321" s="69">
        <f>IFERROR(__xludf.DUMMYFUNCTION("""COMPUTED_VALUE"""),1.0)</f>
        <v>1</v>
      </c>
      <c r="O321" s="69" t="str">
        <f t="shared" si="3"/>
        <v/>
      </c>
      <c r="P321" s="471">
        <f>IFERROR(__xludf.DUMMYFUNCTION("""COMPUTED_VALUE"""),0.0)</f>
        <v>0</v>
      </c>
      <c r="Q321" s="274" t="str">
        <f>VLOOKUP($B321,'Run Reconcile'!B$2:O2488,14,FALSE)</f>
        <v/>
      </c>
      <c r="R321" s="472" t="str">
        <f t="array" ref="R321">IF($Q321, INDEX('Run Reconcile'!A$2:A2488,MATCH(B321,'Run Reconcile'!B$2:B2488,0),1),IFERROR(0/0,""))</f>
        <v/>
      </c>
      <c r="S321" s="473" t="str">
        <f t="shared" ref="S321:T321" si="647">IF(COUNTIF(W$2:W2488, $A321) &gt; 0,TRUE,IFERROR(0/0,""))</f>
        <v/>
      </c>
      <c r="T321" s="473" t="b">
        <f t="shared" si="647"/>
        <v>1</v>
      </c>
      <c r="U321" s="275" t="str">
        <f t="array" ref="U321">IF(ISBLANK($R321), INDEX('Run Reconcile'!A$2:A2488, MATCH($B321, 'Run Reconcile'!B$2:B2488, 0)+Z321, 1), IFERROR(0/0,""))
</f>
        <v>RUN-FLMP_2021-12-31_RFR-043</v>
      </c>
      <c r="V321" s="474" t="str">
        <f t="shared" si="5"/>
        <v>RUN-FLMP_2021-12-31_RFR-043</v>
      </c>
      <c r="X321" s="103" t="s">
        <v>1339</v>
      </c>
      <c r="Y321" s="89">
        <f t="shared" si="527"/>
        <v>1</v>
      </c>
      <c r="Z321" s="60">
        <f t="shared" si="7"/>
        <v>1</v>
      </c>
      <c r="AA321" s="60" t="str">
        <f t="shared" si="8"/>
        <v/>
      </c>
      <c r="AB321" s="60">
        <f t="shared" si="9"/>
        <v>1</v>
      </c>
      <c r="AC321" s="30" t="str">
        <f t="shared" ref="AC321:AD321" si="648">IF(_xlfn.ISFORMULA(S321),IFERROR(0/0,""),TRUE)</f>
        <v/>
      </c>
      <c r="AD321" s="30" t="str">
        <f t="shared" si="648"/>
        <v/>
      </c>
      <c r="AE321" s="475" t="str">
        <f>IFERROR(__xludf.DUMMYFUNCTION("""COMPUTED_VALUE"""),"FLSP")</f>
        <v>FLSP</v>
      </c>
      <c r="AF321" s="476"/>
      <c r="AG321" s="474" t="s">
        <v>145</v>
      </c>
      <c r="AH321" s="138" t="str">
        <f t="shared" si="11"/>
        <v/>
      </c>
    </row>
    <row r="322">
      <c r="A322" s="103" t="str">
        <f>IFERROR(__xludf.DUMMYFUNCTION("""COMPUTED_VALUE"""),"MAX347")</f>
        <v>MAX347</v>
      </c>
      <c r="B322" s="468">
        <f>IFERROR(__xludf.DUMMYFUNCTION("""COMPUTED_VALUE"""),44561.0)</f>
        <v>44561</v>
      </c>
      <c r="C322" s="469">
        <f>IFERROR(__xludf.DUMMYFUNCTION("""COMPUTED_VALUE"""),0.7309143518518518)</f>
        <v>0.7309143519</v>
      </c>
      <c r="D322" s="103" t="str">
        <f>IFERROR(__xludf.DUMMYFUNCTION("""COMPUTED_VALUE"""),"SpFLMP659315")</f>
        <v>SpFLMP659315</v>
      </c>
      <c r="E322" s="103"/>
      <c r="F322" s="103"/>
      <c r="G322" s="103" t="str">
        <f>IFERROR(__xludf.DUMMYFUNCTION("""COMPUTED_VALUE"""),"Positive")</f>
        <v>Positive</v>
      </c>
      <c r="H322" s="131" t="str">
        <f>IFERROR(__xludf.DUMMYFUNCTION("""COMPUTED_VALUE"""),"Positive")</f>
        <v>Positive</v>
      </c>
      <c r="I322" s="468">
        <f>IFERROR(__xludf.DUMMYFUNCTION("""COMPUTED_VALUE"""),44561.0)</f>
        <v>44561</v>
      </c>
      <c r="J322" s="470">
        <f>IFERROR(__xludf.DUMMYFUNCTION("""COMPUTED_VALUE"""),0.8211921296296296)</f>
        <v>0.8211921296</v>
      </c>
      <c r="K322" s="16"/>
      <c r="L322" s="8"/>
      <c r="M322" s="69"/>
      <c r="N322" s="69">
        <f>IFERROR(__xludf.DUMMYFUNCTION("""COMPUTED_VALUE"""),1.0)</f>
        <v>1</v>
      </c>
      <c r="O322" s="69" t="str">
        <f t="shared" si="3"/>
        <v/>
      </c>
      <c r="P322" s="471">
        <f>IFERROR(__xludf.DUMMYFUNCTION("""COMPUTED_VALUE"""),0.0)</f>
        <v>0</v>
      </c>
      <c r="Q322" s="274" t="str">
        <f>VLOOKUP($B322,'Run Reconcile'!B$2:O2488,14,FALSE)</f>
        <v/>
      </c>
      <c r="R322" s="472" t="str">
        <f t="array" ref="R322">IF($Q322, INDEX('Run Reconcile'!A$2:A2488,MATCH(B322,'Run Reconcile'!B$2:B2488,0),1),IFERROR(0/0,""))</f>
        <v/>
      </c>
      <c r="S322" s="473" t="str">
        <f t="shared" ref="S322:T322" si="649">IF(COUNTIF(W$2:W2488, $A322) &gt; 0,TRUE,IFERROR(0/0,""))</f>
        <v/>
      </c>
      <c r="T322" s="473" t="b">
        <f t="shared" si="649"/>
        <v>1</v>
      </c>
      <c r="U322" s="275" t="str">
        <f t="array" ref="U322">IF(ISBLANK($R322), INDEX('Run Reconcile'!A$2:A2488, MATCH($B322, 'Run Reconcile'!B$2:B2488, 0)+Z322, 1), IFERROR(0/0,""))
</f>
        <v>RUN-FLMP_2021-12-31_RFR-043</v>
      </c>
      <c r="V322" s="474" t="str">
        <f t="shared" si="5"/>
        <v>RUN-FLMP_2021-12-31_RFR-043</v>
      </c>
      <c r="X322" s="103" t="s">
        <v>1132</v>
      </c>
      <c r="Y322" s="89">
        <f t="shared" si="527"/>
        <v>1</v>
      </c>
      <c r="Z322" s="60">
        <f t="shared" si="7"/>
        <v>1</v>
      </c>
      <c r="AA322" s="60" t="str">
        <f t="shared" si="8"/>
        <v/>
      </c>
      <c r="AB322" s="60">
        <f t="shared" si="9"/>
        <v>1</v>
      </c>
      <c r="AC322" s="30" t="str">
        <f t="shared" ref="AC322:AD322" si="650">IF(_xlfn.ISFORMULA(S322),IFERROR(0/0,""),TRUE)</f>
        <v/>
      </c>
      <c r="AD322" s="30" t="str">
        <f t="shared" si="650"/>
        <v/>
      </c>
      <c r="AE322" s="475" t="str">
        <f>IFERROR(__xludf.DUMMYFUNCTION("""COMPUTED_VALUE"""),"FLSP")</f>
        <v>FLSP</v>
      </c>
      <c r="AF322" s="476"/>
      <c r="AG322" s="474" t="s">
        <v>145</v>
      </c>
      <c r="AH322" s="138" t="str">
        <f t="shared" si="11"/>
        <v/>
      </c>
    </row>
    <row r="323">
      <c r="A323" s="103" t="str">
        <f>IFERROR(__xludf.DUMMYFUNCTION("""COMPUTED_VALUE"""),"MA63")</f>
        <v>MA63</v>
      </c>
      <c r="B323" s="468">
        <f>IFERROR(__xludf.DUMMYFUNCTION("""COMPUTED_VALUE"""),44562.0)</f>
        <v>44562</v>
      </c>
      <c r="C323" s="469">
        <f>IFERROR(__xludf.DUMMYFUNCTION("""COMPUTED_VALUE"""),0.5235763888888889)</f>
        <v>0.5235763889</v>
      </c>
      <c r="D323" s="103" t="str">
        <f>IFERROR(__xludf.DUMMYFUNCTION("""COMPUTED_VALUE"""),"SpFLMP659315")</f>
        <v>SpFLMP659315</v>
      </c>
      <c r="E323" s="103"/>
      <c r="F323" s="103"/>
      <c r="G323" s="103" t="str">
        <f>IFERROR(__xludf.DUMMYFUNCTION("""COMPUTED_VALUE"""),"Null")</f>
        <v>Null</v>
      </c>
      <c r="H323" s="131" t="str">
        <f>IFERROR(__xludf.DUMMYFUNCTION("""COMPUTED_VALUE"""),"Positive")</f>
        <v>Positive</v>
      </c>
      <c r="I323" s="468">
        <f>IFERROR(__xludf.DUMMYFUNCTION("""COMPUTED_VALUE"""),44886.0)</f>
        <v>44886</v>
      </c>
      <c r="J323" s="470">
        <f>IFERROR(__xludf.DUMMYFUNCTION("""COMPUTED_VALUE"""),0.5893402777777778)</f>
        <v>0.5893402778</v>
      </c>
      <c r="K323" s="16">
        <f>IFERROR(__xludf.DUMMYFUNCTION("""COMPUTED_VALUE"""),3.0)</f>
        <v>3</v>
      </c>
      <c r="L323" s="8" t="str">
        <f>IFERROR(__xludf.DUMMYFUNCTION("""COMPUTED_VALUE"""),"from RFR audit")</f>
        <v>from RFR audit</v>
      </c>
      <c r="M323" s="69"/>
      <c r="N323" s="69">
        <f>IFERROR(__xludf.DUMMYFUNCTION("""COMPUTED_VALUE"""),1.0)</f>
        <v>1</v>
      </c>
      <c r="O323" s="69" t="b">
        <f t="shared" si="3"/>
        <v>1</v>
      </c>
      <c r="P323" s="471">
        <f>IFERROR(__xludf.DUMMYFUNCTION("""COMPUTED_VALUE"""),324.0)</f>
        <v>324</v>
      </c>
      <c r="Q323" s="274" t="str">
        <f>VLOOKUP($B323,'Run Reconcile'!B$2:O2488,14,FALSE)</f>
        <v/>
      </c>
      <c r="R323" s="472" t="str">
        <f t="array" ref="R323">IF($Q323, INDEX('Run Reconcile'!A$2:A2488,MATCH(B323,'Run Reconcile'!B$2:B2488,0),1),IFERROR(0/0,""))</f>
        <v/>
      </c>
      <c r="S323" s="473" t="str">
        <f t="shared" ref="S323:T323" si="651">IF(COUNTIF(W$2:W2488, $A323) &gt; 0,TRUE,IFERROR(0/0,""))</f>
        <v/>
      </c>
      <c r="T323" s="473" t="str">
        <f t="shared" si="651"/>
        <v/>
      </c>
      <c r="U323" s="275" t="str">
        <f t="array" ref="U323">IF(ISBLANK($R323), INDEX('Run Reconcile'!A$2:A2488, MATCH($B323, 'Run Reconcile'!B$2:B2488, 0)+Z323, 1), IFERROR(0/0,""))
</f>
        <v>RUN-FLMP_2022-01-01_RFR-044</v>
      </c>
      <c r="V323" s="474" t="str">
        <f t="shared" si="5"/>
        <v>RUN-FLMP_2022-01-01_RFR-044</v>
      </c>
      <c r="Y323" s="89" t="str">
        <f t="shared" si="527"/>
        <v/>
      </c>
      <c r="Z323" s="60" t="str">
        <f t="shared" si="7"/>
        <v/>
      </c>
      <c r="AA323" s="60" t="str">
        <f t="shared" si="8"/>
        <v/>
      </c>
      <c r="AB323" s="60" t="str">
        <f t="shared" si="9"/>
        <v/>
      </c>
      <c r="AC323" s="30" t="str">
        <f t="shared" ref="AC323:AD323" si="652">IF(_xlfn.ISFORMULA(S323),IFERROR(0/0,""),TRUE)</f>
        <v/>
      </c>
      <c r="AD323" s="30" t="str">
        <f t="shared" si="652"/>
        <v/>
      </c>
      <c r="AE323" s="475" t="str">
        <f>IFERROR(__xludf.DUMMYFUNCTION("""COMPUTED_VALUE"""),"FLSP")</f>
        <v>FLSP</v>
      </c>
      <c r="AF323" s="476"/>
      <c r="AG323" s="474" t="s">
        <v>146</v>
      </c>
      <c r="AH323" s="138" t="str">
        <f t="shared" si="11"/>
        <v/>
      </c>
    </row>
    <row r="324">
      <c r="A324" s="103" t="str">
        <f>IFERROR(__xludf.DUMMYFUNCTION("""COMPUTED_VALUE"""),"MA92")</f>
        <v>MA92</v>
      </c>
      <c r="B324" s="468">
        <f>IFERROR(__xludf.DUMMYFUNCTION("""COMPUTED_VALUE"""),44562.0)</f>
        <v>44562</v>
      </c>
      <c r="C324" s="469">
        <f>IFERROR(__xludf.DUMMYFUNCTION("""COMPUTED_VALUE"""),0.5242824074074074)</f>
        <v>0.5242824074</v>
      </c>
      <c r="D324" s="103" t="str">
        <f>IFERROR(__xludf.DUMMYFUNCTION("""COMPUTED_VALUE"""),"SpFLMP659315")</f>
        <v>SpFLMP659315</v>
      </c>
      <c r="E324" s="103"/>
      <c r="F324" s="103"/>
      <c r="G324" s="103" t="str">
        <f>IFERROR(__xludf.DUMMYFUNCTION("""COMPUTED_VALUE"""),"Null")</f>
        <v>Null</v>
      </c>
      <c r="H324" s="131" t="str">
        <f>IFERROR(__xludf.DUMMYFUNCTION("""COMPUTED_VALUE"""),"Positive")</f>
        <v>Positive</v>
      </c>
      <c r="I324" s="468">
        <f>IFERROR(__xludf.DUMMYFUNCTION("""COMPUTED_VALUE"""),44886.0)</f>
        <v>44886</v>
      </c>
      <c r="J324" s="470">
        <f>IFERROR(__xludf.DUMMYFUNCTION("""COMPUTED_VALUE"""),0.5893402777777778)</f>
        <v>0.5893402778</v>
      </c>
      <c r="K324" s="16">
        <f>IFERROR(__xludf.DUMMYFUNCTION("""COMPUTED_VALUE"""),3.0)</f>
        <v>3</v>
      </c>
      <c r="L324" s="8" t="str">
        <f>IFERROR(__xludf.DUMMYFUNCTION("""COMPUTED_VALUE"""),"from RFR audit")</f>
        <v>from RFR audit</v>
      </c>
      <c r="M324" s="69"/>
      <c r="N324" s="69">
        <f>IFERROR(__xludf.DUMMYFUNCTION("""COMPUTED_VALUE"""),1.0)</f>
        <v>1</v>
      </c>
      <c r="O324" s="69" t="str">
        <f t="shared" si="3"/>
        <v/>
      </c>
      <c r="P324" s="471">
        <f>IFERROR(__xludf.DUMMYFUNCTION("""COMPUTED_VALUE"""),324.0)</f>
        <v>324</v>
      </c>
      <c r="Q324" s="274" t="str">
        <f>VLOOKUP($B324,'Run Reconcile'!B$2:O2488,14,FALSE)</f>
        <v/>
      </c>
      <c r="R324" s="472" t="str">
        <f t="array" ref="R324">IF($Q324, INDEX('Run Reconcile'!A$2:A2488,MATCH(B324,'Run Reconcile'!B$2:B2488,0),1),IFERROR(0/0,""))</f>
        <v/>
      </c>
      <c r="S324" s="473" t="str">
        <f t="shared" ref="S324:T324" si="653">IF(COUNTIF(W$2:W2488, $A324) &gt; 0,TRUE,IFERROR(0/0,""))</f>
        <v/>
      </c>
      <c r="T324" s="473" t="str">
        <f t="shared" si="653"/>
        <v/>
      </c>
      <c r="U324" s="275" t="str">
        <f t="array" ref="U324">IF(ISBLANK($R324), INDEX('Run Reconcile'!A$2:A2488, MATCH($B324, 'Run Reconcile'!B$2:B2488, 0)+Z324, 1), IFERROR(0/0,""))
</f>
        <v>RUN-FLMP_2022-01-01_RFR-044</v>
      </c>
      <c r="V324" s="474" t="str">
        <f t="shared" si="5"/>
        <v>RUN-FLMP_2022-01-01_RFR-044</v>
      </c>
      <c r="Y324" s="89" t="str">
        <f t="shared" si="527"/>
        <v/>
      </c>
      <c r="Z324" s="60" t="str">
        <f t="shared" si="7"/>
        <v/>
      </c>
      <c r="AA324" s="60" t="str">
        <f t="shared" si="8"/>
        <v/>
      </c>
      <c r="AB324" s="60" t="str">
        <f t="shared" si="9"/>
        <v/>
      </c>
      <c r="AC324" s="30" t="str">
        <f t="shared" ref="AC324:AD324" si="654">IF(_xlfn.ISFORMULA(S324),IFERROR(0/0,""),TRUE)</f>
        <v/>
      </c>
      <c r="AD324" s="30" t="str">
        <f t="shared" si="654"/>
        <v/>
      </c>
      <c r="AE324" s="475" t="str">
        <f>IFERROR(__xludf.DUMMYFUNCTION("""COMPUTED_VALUE"""),"FLSP")</f>
        <v>FLSP</v>
      </c>
      <c r="AF324" s="476"/>
      <c r="AG324" s="474" t="s">
        <v>146</v>
      </c>
      <c r="AH324" s="138" t="str">
        <f t="shared" si="11"/>
        <v/>
      </c>
    </row>
    <row r="325">
      <c r="A325" s="103" t="str">
        <f>IFERROR(__xludf.DUMMYFUNCTION("""COMPUTED_VALUE"""),"FLB6854")</f>
        <v>FLB6854</v>
      </c>
      <c r="B325" s="468">
        <f>IFERROR(__xludf.DUMMYFUNCTION("""COMPUTED_VALUE"""),44563.0)</f>
        <v>44563</v>
      </c>
      <c r="C325" s="469">
        <f>IFERROR(__xludf.DUMMYFUNCTION("""COMPUTED_VALUE"""),0.4171990740740741)</f>
        <v>0.4171990741</v>
      </c>
      <c r="D325" s="103" t="str">
        <f>IFERROR(__xludf.DUMMYFUNCTION("""COMPUTED_VALUE"""),"SpFLMP946259")</f>
        <v>SpFLMP946259</v>
      </c>
      <c r="E325" s="103"/>
      <c r="F325" s="103"/>
      <c r="G325" s="103" t="str">
        <f>IFERROR(__xludf.DUMMYFUNCTION("""COMPUTED_VALUE"""),"Negative")</f>
        <v>Negative</v>
      </c>
      <c r="H325" s="131" t="str">
        <f>IFERROR(__xludf.DUMMYFUNCTION("""COMPUTED_VALUE"""),"Negative")</f>
        <v>Negative</v>
      </c>
      <c r="I325" s="468">
        <f>IFERROR(__xludf.DUMMYFUNCTION("""COMPUTED_VALUE"""),44563.0)</f>
        <v>44563</v>
      </c>
      <c r="J325" s="470">
        <f>IFERROR(__xludf.DUMMYFUNCTION("""COMPUTED_VALUE"""),0.8255787037037037)</f>
        <v>0.8255787037</v>
      </c>
      <c r="K325" s="16"/>
      <c r="L325" s="8"/>
      <c r="M325" s="69"/>
      <c r="N325" s="69">
        <f>IFERROR(__xludf.DUMMYFUNCTION("""COMPUTED_VALUE"""),1.0)</f>
        <v>1</v>
      </c>
      <c r="O325" s="69" t="b">
        <f t="shared" si="3"/>
        <v>1</v>
      </c>
      <c r="P325" s="471">
        <f>IFERROR(__xludf.DUMMYFUNCTION("""COMPUTED_VALUE"""),0.0)</f>
        <v>0</v>
      </c>
      <c r="Q325" s="274" t="b">
        <f>VLOOKUP($B325,'Run Reconcile'!B$2:O2488,14,FALSE)</f>
        <v>1</v>
      </c>
      <c r="R325" s="472" t="str">
        <f t="array" ref="R325">IF($Q325, INDEX('Run Reconcile'!A$2:A2488,MATCH(B325,'Run Reconcile'!B$2:B2488,0),1),IFERROR(0/0,""))</f>
        <v>RUN-FLMP_2022-01-02_RFR-046</v>
      </c>
      <c r="S325" s="473" t="str">
        <f t="shared" ref="S325:T325" si="655">IF(COUNTIF(W$2:W2488, $A325) &gt; 0,TRUE,IFERROR(0/0,""))</f>
        <v/>
      </c>
      <c r="T325" s="473" t="str">
        <f t="shared" si="655"/>
        <v/>
      </c>
      <c r="U325" s="275" t="str">
        <f t="array" ref="U325">IF(ISBLANK($R325), INDEX('Run Reconcile'!A$2:A2488, MATCH($B325, 'Run Reconcile'!B$2:B2488, 0)+Z325, 1), IFERROR(0/0,""))
</f>
        <v/>
      </c>
      <c r="V325" s="474" t="str">
        <f t="shared" si="5"/>
        <v>RUN-FLMP_2022-01-02_RFR-046</v>
      </c>
      <c r="Y325" s="89" t="str">
        <f t="shared" si="527"/>
        <v/>
      </c>
      <c r="Z325" s="60" t="str">
        <f t="shared" si="7"/>
        <v/>
      </c>
      <c r="AA325" s="60" t="str">
        <f t="shared" si="8"/>
        <v/>
      </c>
      <c r="AB325" s="60" t="str">
        <f t="shared" si="9"/>
        <v/>
      </c>
      <c r="AC325" s="30" t="str">
        <f t="shared" ref="AC325:AD325" si="656">IF(_xlfn.ISFORMULA(S325),IFERROR(0/0,""),TRUE)</f>
        <v/>
      </c>
      <c r="AD325" s="30" t="str">
        <f t="shared" si="656"/>
        <v/>
      </c>
      <c r="AE325" s="475" t="str">
        <f>IFERROR(__xludf.DUMMYFUNCTION("""COMPUTED_VALUE"""),"CRLN")</f>
        <v>CRLN</v>
      </c>
      <c r="AF325" s="476"/>
      <c r="AG325" s="474" t="s">
        <v>147</v>
      </c>
      <c r="AH325" s="138" t="str">
        <f t="shared" si="11"/>
        <v/>
      </c>
    </row>
    <row r="326">
      <c r="A326" s="103" t="str">
        <f>IFERROR(__xludf.DUMMYFUNCTION("""COMPUTED_VALUE"""),"FLT1525")</f>
        <v>FLT1525</v>
      </c>
      <c r="B326" s="468">
        <f>IFERROR(__xludf.DUMMYFUNCTION("""COMPUTED_VALUE"""),44563.0)</f>
        <v>44563</v>
      </c>
      <c r="C326" s="469">
        <f>IFERROR(__xludf.DUMMYFUNCTION("""COMPUTED_VALUE"""),0.45064814814814813)</f>
        <v>0.4506481481</v>
      </c>
      <c r="D326" s="103" t="str">
        <f>IFERROR(__xludf.DUMMYFUNCTION("""COMPUTED_VALUE"""),"SpFLMP268514")</f>
        <v>SpFLMP268514</v>
      </c>
      <c r="E326" s="103"/>
      <c r="F326" s="103"/>
      <c r="G326" s="103" t="str">
        <f>IFERROR(__xludf.DUMMYFUNCTION("""COMPUTED_VALUE"""),"Negative")</f>
        <v>Negative</v>
      </c>
      <c r="H326" s="131" t="str">
        <f>IFERROR(__xludf.DUMMYFUNCTION("""COMPUTED_VALUE"""),"Negative")</f>
        <v>Negative</v>
      </c>
      <c r="I326" s="468">
        <f>IFERROR(__xludf.DUMMYFUNCTION("""COMPUTED_VALUE"""),44563.0)</f>
        <v>44563</v>
      </c>
      <c r="J326" s="470">
        <f>IFERROR(__xludf.DUMMYFUNCTION("""COMPUTED_VALUE"""),0.8255787037037037)</f>
        <v>0.8255787037</v>
      </c>
      <c r="K326" s="16"/>
      <c r="L326" s="8"/>
      <c r="M326" s="69"/>
      <c r="N326" s="69">
        <f>IFERROR(__xludf.DUMMYFUNCTION("""COMPUTED_VALUE"""),3.0)</f>
        <v>3</v>
      </c>
      <c r="O326" s="69" t="str">
        <f t="shared" si="3"/>
        <v/>
      </c>
      <c r="P326" s="471">
        <f>IFERROR(__xludf.DUMMYFUNCTION("""COMPUTED_VALUE"""),0.0)</f>
        <v>0</v>
      </c>
      <c r="Q326" s="274" t="b">
        <f>VLOOKUP($B326,'Run Reconcile'!B$2:O2488,14,FALSE)</f>
        <v>1</v>
      </c>
      <c r="R326" s="472" t="str">
        <f t="array" ref="R326">IF($Q326, INDEX('Run Reconcile'!A$2:A2488,MATCH(B326,'Run Reconcile'!B$2:B2488,0),1),IFERROR(0/0,""))</f>
        <v>RUN-FLMP_2022-01-02_RFR-046</v>
      </c>
      <c r="S326" s="473" t="str">
        <f t="shared" ref="S326:T326" si="657">IF(COUNTIF(W$2:W2488, $A326) &gt; 0,TRUE,IFERROR(0/0,""))</f>
        <v/>
      </c>
      <c r="T326" s="473" t="str">
        <f t="shared" si="657"/>
        <v/>
      </c>
      <c r="U326" s="275" t="str">
        <f t="array" ref="U326">IF(ISBLANK($R326), INDEX('Run Reconcile'!A$2:A2488, MATCH($B326, 'Run Reconcile'!B$2:B2488, 0)+Z326, 1), IFERROR(0/0,""))
</f>
        <v/>
      </c>
      <c r="V326" s="474" t="str">
        <f t="shared" si="5"/>
        <v>RUN-FLMP_2022-01-02_RFR-046</v>
      </c>
      <c r="Y326" s="89" t="str">
        <f t="shared" si="527"/>
        <v/>
      </c>
      <c r="Z326" s="60" t="str">
        <f t="shared" si="7"/>
        <v/>
      </c>
      <c r="AA326" s="60" t="str">
        <f t="shared" si="8"/>
        <v/>
      </c>
      <c r="AB326" s="60" t="str">
        <f t="shared" si="9"/>
        <v/>
      </c>
      <c r="AC326" s="30" t="str">
        <f t="shared" ref="AC326:AD326" si="658">IF(_xlfn.ISFORMULA(S326),IFERROR(0/0,""),TRUE)</f>
        <v/>
      </c>
      <c r="AD326" s="30" t="str">
        <f t="shared" si="658"/>
        <v/>
      </c>
      <c r="AE326" s="475" t="str">
        <f>IFERROR(__xludf.DUMMYFUNCTION("""COMPUTED_VALUE"""),"CRLN")</f>
        <v>CRLN</v>
      </c>
      <c r="AF326" s="476"/>
      <c r="AG326" s="474" t="s">
        <v>147</v>
      </c>
      <c r="AH326" s="138" t="str">
        <f t="shared" si="11"/>
        <v/>
      </c>
    </row>
    <row r="327">
      <c r="A327" s="103" t="str">
        <f>IFERROR(__xludf.DUMMYFUNCTION("""COMPUTED_VALUE"""),"FLB6863")</f>
        <v>FLB6863</v>
      </c>
      <c r="B327" s="468">
        <f>IFERROR(__xludf.DUMMYFUNCTION("""COMPUTED_VALUE"""),44563.0)</f>
        <v>44563</v>
      </c>
      <c r="C327" s="469">
        <f>IFERROR(__xludf.DUMMYFUNCTION("""COMPUTED_VALUE"""),0.46414351851851854)</f>
        <v>0.4641435185</v>
      </c>
      <c r="D327" s="103" t="str">
        <f>IFERROR(__xludf.DUMMYFUNCTION("""COMPUTED_VALUE"""),"SpFLMP946259")</f>
        <v>SpFLMP946259</v>
      </c>
      <c r="E327" s="103"/>
      <c r="F327" s="103"/>
      <c r="G327" s="103" t="str">
        <f>IFERROR(__xludf.DUMMYFUNCTION("""COMPUTED_VALUE"""),"Negative")</f>
        <v>Negative</v>
      </c>
      <c r="H327" s="131" t="str">
        <f>IFERROR(__xludf.DUMMYFUNCTION("""COMPUTED_VALUE"""),"Negative")</f>
        <v>Negative</v>
      </c>
      <c r="I327" s="468">
        <f>IFERROR(__xludf.DUMMYFUNCTION("""COMPUTED_VALUE"""),44563.0)</f>
        <v>44563</v>
      </c>
      <c r="J327" s="470">
        <f>IFERROR(__xludf.DUMMYFUNCTION("""COMPUTED_VALUE"""),0.8255787037037037)</f>
        <v>0.8255787037</v>
      </c>
      <c r="K327" s="16"/>
      <c r="L327" s="8"/>
      <c r="M327" s="69"/>
      <c r="N327" s="69">
        <f>IFERROR(__xludf.DUMMYFUNCTION("""COMPUTED_VALUE"""),2.0)</f>
        <v>2</v>
      </c>
      <c r="O327" s="69" t="str">
        <f t="shared" si="3"/>
        <v/>
      </c>
      <c r="P327" s="471">
        <f>IFERROR(__xludf.DUMMYFUNCTION("""COMPUTED_VALUE"""),0.0)</f>
        <v>0</v>
      </c>
      <c r="Q327" s="274" t="b">
        <f>VLOOKUP($B327,'Run Reconcile'!B$2:O2488,14,FALSE)</f>
        <v>1</v>
      </c>
      <c r="R327" s="472" t="str">
        <f t="array" ref="R327">IF($Q327, INDEX('Run Reconcile'!A$2:A2488,MATCH(B327,'Run Reconcile'!B$2:B2488,0),1),IFERROR(0/0,""))</f>
        <v>RUN-FLMP_2022-01-02_RFR-046</v>
      </c>
      <c r="S327" s="473" t="str">
        <f t="shared" ref="S327:T327" si="659">IF(COUNTIF(W$2:W2488, $A327) &gt; 0,TRUE,IFERROR(0/0,""))</f>
        <v/>
      </c>
      <c r="T327" s="473" t="str">
        <f t="shared" si="659"/>
        <v/>
      </c>
      <c r="U327" s="275" t="str">
        <f t="array" ref="U327">IF(ISBLANK($R327), INDEX('Run Reconcile'!A$2:A2488, MATCH($B327, 'Run Reconcile'!B$2:B2488, 0)+Z327, 1), IFERROR(0/0,""))
</f>
        <v/>
      </c>
      <c r="V327" s="474" t="str">
        <f t="shared" si="5"/>
        <v>RUN-FLMP_2022-01-02_RFR-046</v>
      </c>
      <c r="Y327" s="89" t="str">
        <f t="shared" si="527"/>
        <v/>
      </c>
      <c r="Z327" s="60" t="str">
        <f t="shared" si="7"/>
        <v/>
      </c>
      <c r="AA327" s="60" t="str">
        <f t="shared" si="8"/>
        <v/>
      </c>
      <c r="AB327" s="60" t="str">
        <f t="shared" si="9"/>
        <v/>
      </c>
      <c r="AC327" s="30" t="str">
        <f t="shared" ref="AC327:AD327" si="660">IF(_xlfn.ISFORMULA(S327),IFERROR(0/0,""),TRUE)</f>
        <v/>
      </c>
      <c r="AD327" s="30" t="str">
        <f t="shared" si="660"/>
        <v/>
      </c>
      <c r="AE327" s="475" t="str">
        <f>IFERROR(__xludf.DUMMYFUNCTION("""COMPUTED_VALUE"""),"CRLN")</f>
        <v>CRLN</v>
      </c>
      <c r="AF327" s="476"/>
      <c r="AG327" s="474" t="s">
        <v>147</v>
      </c>
      <c r="AH327" s="138" t="str">
        <f t="shared" si="11"/>
        <v/>
      </c>
    </row>
    <row r="328">
      <c r="A328" s="103" t="str">
        <f>IFERROR(__xludf.DUMMYFUNCTION("""COMPUTED_VALUE"""),"FLB6834")</f>
        <v>FLB6834</v>
      </c>
      <c r="B328" s="468">
        <f>IFERROR(__xludf.DUMMYFUNCTION("""COMPUTED_VALUE"""),44563.0)</f>
        <v>44563</v>
      </c>
      <c r="C328" s="469">
        <f>IFERROR(__xludf.DUMMYFUNCTION("""COMPUTED_VALUE"""),0.4778125)</f>
        <v>0.4778125</v>
      </c>
      <c r="D328" s="103" t="str">
        <f>IFERROR(__xludf.DUMMYFUNCTION("""COMPUTED_VALUE"""),"SpFLMP596479")</f>
        <v>SpFLMP596479</v>
      </c>
      <c r="E328" s="103"/>
      <c r="F328" s="103"/>
      <c r="G328" s="103" t="str">
        <f>IFERROR(__xludf.DUMMYFUNCTION("""COMPUTED_VALUE"""),"Negative")</f>
        <v>Negative</v>
      </c>
      <c r="H328" s="131" t="str">
        <f>IFERROR(__xludf.DUMMYFUNCTION("""COMPUTED_VALUE"""),"Negative")</f>
        <v>Negative</v>
      </c>
      <c r="I328" s="468">
        <f>IFERROR(__xludf.DUMMYFUNCTION("""COMPUTED_VALUE"""),44563.0)</f>
        <v>44563</v>
      </c>
      <c r="J328" s="470">
        <f>IFERROR(__xludf.DUMMYFUNCTION("""COMPUTED_VALUE"""),0.8255787037037037)</f>
        <v>0.8255787037</v>
      </c>
      <c r="K328" s="16"/>
      <c r="L328" s="8"/>
      <c r="M328" s="69"/>
      <c r="N328" s="69">
        <f>IFERROR(__xludf.DUMMYFUNCTION("""COMPUTED_VALUE"""),3.0)</f>
        <v>3</v>
      </c>
      <c r="O328" s="69" t="str">
        <f t="shared" si="3"/>
        <v/>
      </c>
      <c r="P328" s="471">
        <f>IFERROR(__xludf.DUMMYFUNCTION("""COMPUTED_VALUE"""),0.0)</f>
        <v>0</v>
      </c>
      <c r="Q328" s="274" t="b">
        <f>VLOOKUP($B328,'Run Reconcile'!B$2:O2488,14,FALSE)</f>
        <v>1</v>
      </c>
      <c r="R328" s="472" t="str">
        <f t="array" ref="R328">IF($Q328, INDEX('Run Reconcile'!A$2:A2488,MATCH(B328,'Run Reconcile'!B$2:B2488,0),1),IFERROR(0/0,""))</f>
        <v>RUN-FLMP_2022-01-02_RFR-046</v>
      </c>
      <c r="S328" s="473" t="str">
        <f t="shared" ref="S328:T328" si="661">IF(COUNTIF(W$2:W2488, $A328) &gt; 0,TRUE,IFERROR(0/0,""))</f>
        <v/>
      </c>
      <c r="T328" s="473" t="str">
        <f t="shared" si="661"/>
        <v/>
      </c>
      <c r="U328" s="275" t="str">
        <f t="array" ref="U328">IF(ISBLANK($R328), INDEX('Run Reconcile'!A$2:A2488, MATCH($B328, 'Run Reconcile'!B$2:B2488, 0)+Z328, 1), IFERROR(0/0,""))
</f>
        <v/>
      </c>
      <c r="V328" s="474" t="str">
        <f t="shared" si="5"/>
        <v>RUN-FLMP_2022-01-02_RFR-046</v>
      </c>
      <c r="Y328" s="89" t="str">
        <f t="shared" si="527"/>
        <v/>
      </c>
      <c r="Z328" s="60" t="str">
        <f t="shared" si="7"/>
        <v/>
      </c>
      <c r="AA328" s="60" t="str">
        <f t="shared" si="8"/>
        <v/>
      </c>
      <c r="AB328" s="60" t="str">
        <f t="shared" si="9"/>
        <v/>
      </c>
      <c r="AC328" s="30" t="str">
        <f t="shared" ref="AC328:AD328" si="662">IF(_xlfn.ISFORMULA(S328),IFERROR(0/0,""),TRUE)</f>
        <v/>
      </c>
      <c r="AD328" s="30" t="str">
        <f t="shared" si="662"/>
        <v/>
      </c>
      <c r="AE328" s="475" t="str">
        <f>IFERROR(__xludf.DUMMYFUNCTION("""COMPUTED_VALUE"""),"CRLN")</f>
        <v>CRLN</v>
      </c>
      <c r="AF328" s="476"/>
      <c r="AG328" s="474" t="s">
        <v>147</v>
      </c>
      <c r="AH328" s="138" t="str">
        <f t="shared" si="11"/>
        <v/>
      </c>
    </row>
    <row r="329">
      <c r="A329" s="103" t="str">
        <f>IFERROR(__xludf.DUMMYFUNCTION("""COMPUTED_VALUE"""),"FLT1433")</f>
        <v>FLT1433</v>
      </c>
      <c r="B329" s="468">
        <f>IFERROR(__xludf.DUMMYFUNCTION("""COMPUTED_VALUE"""),44563.0)</f>
        <v>44563</v>
      </c>
      <c r="C329" s="469">
        <f>IFERROR(__xludf.DUMMYFUNCTION("""COMPUTED_VALUE"""),0.5042592592592593)</f>
        <v>0.5042592593</v>
      </c>
      <c r="D329" s="103" t="str">
        <f>IFERROR(__xludf.DUMMYFUNCTION("""COMPUTED_VALUE"""),"SpFLMP125859")</f>
        <v>SpFLMP125859</v>
      </c>
      <c r="E329" s="103"/>
      <c r="F329" s="103"/>
      <c r="G329" s="103" t="str">
        <f>IFERROR(__xludf.DUMMYFUNCTION("""COMPUTED_VALUE"""),"Positive")</f>
        <v>Positive</v>
      </c>
      <c r="H329" s="131" t="str">
        <f>IFERROR(__xludf.DUMMYFUNCTION("""COMPUTED_VALUE"""),"Positive")</f>
        <v>Positive</v>
      </c>
      <c r="I329" s="468">
        <f>IFERROR(__xludf.DUMMYFUNCTION("""COMPUTED_VALUE"""),44563.0)</f>
        <v>44563</v>
      </c>
      <c r="J329" s="470">
        <f>IFERROR(__xludf.DUMMYFUNCTION("""COMPUTED_VALUE"""),0.8255902777777778)</f>
        <v>0.8255902778</v>
      </c>
      <c r="K329" s="16"/>
      <c r="L329" s="8"/>
      <c r="M329" s="69"/>
      <c r="N329" s="69">
        <f>IFERROR(__xludf.DUMMYFUNCTION("""COMPUTED_VALUE"""),4.0)</f>
        <v>4</v>
      </c>
      <c r="O329" s="69" t="str">
        <f t="shared" si="3"/>
        <v/>
      </c>
      <c r="P329" s="471">
        <f>IFERROR(__xludf.DUMMYFUNCTION("""COMPUTED_VALUE"""),0.0)</f>
        <v>0</v>
      </c>
      <c r="Q329" s="274" t="b">
        <f>VLOOKUP($B329,'Run Reconcile'!B$2:O2488,14,FALSE)</f>
        <v>1</v>
      </c>
      <c r="R329" s="472" t="str">
        <f t="array" ref="R329">IF($Q329, INDEX('Run Reconcile'!A$2:A2488,MATCH(B329,'Run Reconcile'!B$2:B2488,0),1),IFERROR(0/0,""))</f>
        <v>RUN-FLMP_2022-01-02_RFR-046</v>
      </c>
      <c r="S329" s="473" t="str">
        <f t="shared" ref="S329:T329" si="663">IF(COUNTIF(W$2:W2488, $A329) &gt; 0,TRUE,IFERROR(0/0,""))</f>
        <v/>
      </c>
      <c r="T329" s="473" t="str">
        <f t="shared" si="663"/>
        <v/>
      </c>
      <c r="U329" s="275" t="str">
        <f t="array" ref="U329">IF(ISBLANK($R329), INDEX('Run Reconcile'!A$2:A2488, MATCH($B329, 'Run Reconcile'!B$2:B2488, 0)+Z329, 1), IFERROR(0/0,""))
</f>
        <v/>
      </c>
      <c r="V329" s="474" t="str">
        <f t="shared" si="5"/>
        <v>RUN-FLMP_2022-01-02_RFR-046</v>
      </c>
      <c r="Y329" s="89" t="str">
        <f t="shared" si="527"/>
        <v/>
      </c>
      <c r="Z329" s="60" t="str">
        <f t="shared" si="7"/>
        <v/>
      </c>
      <c r="AA329" s="60" t="str">
        <f t="shared" si="8"/>
        <v/>
      </c>
      <c r="AB329" s="60" t="str">
        <f t="shared" si="9"/>
        <v/>
      </c>
      <c r="AC329" s="30" t="str">
        <f t="shared" ref="AC329:AD329" si="664">IF(_xlfn.ISFORMULA(S329),IFERROR(0/0,""),TRUE)</f>
        <v/>
      </c>
      <c r="AD329" s="30" t="str">
        <f t="shared" si="664"/>
        <v/>
      </c>
      <c r="AE329" s="475" t="str">
        <f>IFERROR(__xludf.DUMMYFUNCTION("""COMPUTED_VALUE"""),"CRLN")</f>
        <v>CRLN</v>
      </c>
      <c r="AF329" s="476"/>
      <c r="AG329" s="474" t="s">
        <v>147</v>
      </c>
      <c r="AH329" s="138" t="str">
        <f t="shared" si="11"/>
        <v/>
      </c>
    </row>
    <row r="330">
      <c r="A330" s="103" t="str">
        <f>IFERROR(__xludf.DUMMYFUNCTION("""COMPUTED_VALUE"""),"FLB6345")</f>
        <v>FLB6345</v>
      </c>
      <c r="B330" s="468">
        <f>IFERROR(__xludf.DUMMYFUNCTION("""COMPUTED_VALUE"""),44563.0)</f>
        <v>44563</v>
      </c>
      <c r="C330" s="469">
        <f>IFERROR(__xludf.DUMMYFUNCTION("""COMPUTED_VALUE"""),0.5467592592592593)</f>
        <v>0.5467592593</v>
      </c>
      <c r="D330" s="103" t="str">
        <f>IFERROR(__xludf.DUMMYFUNCTION("""COMPUTED_VALUE"""),"SpFLMP649771")</f>
        <v>SpFLMP649771</v>
      </c>
      <c r="E330" s="103"/>
      <c r="F330" s="103"/>
      <c r="G330" s="103" t="str">
        <f>IFERROR(__xludf.DUMMYFUNCTION("""COMPUTED_VALUE"""),"Negative")</f>
        <v>Negative</v>
      </c>
      <c r="H330" s="131" t="str">
        <f>IFERROR(__xludf.DUMMYFUNCTION("""COMPUTED_VALUE"""),"Negative")</f>
        <v>Negative</v>
      </c>
      <c r="I330" s="468">
        <f>IFERROR(__xludf.DUMMYFUNCTION("""COMPUTED_VALUE"""),44563.0)</f>
        <v>44563</v>
      </c>
      <c r="J330" s="470">
        <f>IFERROR(__xludf.DUMMYFUNCTION("""COMPUTED_VALUE"""),0.8255787037037037)</f>
        <v>0.8255787037</v>
      </c>
      <c r="K330" s="16"/>
      <c r="L330" s="8"/>
      <c r="M330" s="69"/>
      <c r="N330" s="69">
        <f>IFERROR(__xludf.DUMMYFUNCTION("""COMPUTED_VALUE"""),3.0)</f>
        <v>3</v>
      </c>
      <c r="O330" s="69" t="str">
        <f t="shared" si="3"/>
        <v/>
      </c>
      <c r="P330" s="471">
        <f>IFERROR(__xludf.DUMMYFUNCTION("""COMPUTED_VALUE"""),0.0)</f>
        <v>0</v>
      </c>
      <c r="Q330" s="274" t="b">
        <f>VLOOKUP($B330,'Run Reconcile'!B$2:O2488,14,FALSE)</f>
        <v>1</v>
      </c>
      <c r="R330" s="472" t="str">
        <f t="array" ref="R330">IF($Q330, INDEX('Run Reconcile'!A$2:A2488,MATCH(B330,'Run Reconcile'!B$2:B2488,0),1),IFERROR(0/0,""))</f>
        <v>RUN-FLMP_2022-01-02_RFR-046</v>
      </c>
      <c r="S330" s="473" t="str">
        <f t="shared" ref="S330:T330" si="665">IF(COUNTIF(W$2:W2488, $A330) &gt; 0,TRUE,IFERROR(0/0,""))</f>
        <v/>
      </c>
      <c r="T330" s="473" t="str">
        <f t="shared" si="665"/>
        <v/>
      </c>
      <c r="U330" s="275" t="str">
        <f t="array" ref="U330">IF(ISBLANK($R330), INDEX('Run Reconcile'!A$2:A2488, MATCH($B330, 'Run Reconcile'!B$2:B2488, 0)+Z330, 1), IFERROR(0/0,""))
</f>
        <v/>
      </c>
      <c r="V330" s="474" t="str">
        <f t="shared" si="5"/>
        <v>RUN-FLMP_2022-01-02_RFR-046</v>
      </c>
      <c r="Y330" s="89" t="str">
        <f t="shared" si="527"/>
        <v/>
      </c>
      <c r="Z330" s="60" t="str">
        <f t="shared" si="7"/>
        <v/>
      </c>
      <c r="AA330" s="60" t="str">
        <f t="shared" si="8"/>
        <v/>
      </c>
      <c r="AB330" s="60" t="str">
        <f t="shared" si="9"/>
        <v/>
      </c>
      <c r="AC330" s="30" t="str">
        <f t="shared" ref="AC330:AD330" si="666">IF(_xlfn.ISFORMULA(S330),IFERROR(0/0,""),TRUE)</f>
        <v/>
      </c>
      <c r="AD330" s="30" t="str">
        <f t="shared" si="666"/>
        <v/>
      </c>
      <c r="AE330" s="475" t="str">
        <f>IFERROR(__xludf.DUMMYFUNCTION("""COMPUTED_VALUE"""),"CRLN")</f>
        <v>CRLN</v>
      </c>
      <c r="AF330" s="476"/>
      <c r="AG330" s="474" t="s">
        <v>147</v>
      </c>
      <c r="AH330" s="138" t="str">
        <f t="shared" si="11"/>
        <v/>
      </c>
    </row>
    <row r="331">
      <c r="A331" s="103" t="str">
        <f>IFERROR(__xludf.DUMMYFUNCTION("""COMPUTED_VALUE"""),"FLT11")</f>
        <v>FLT11</v>
      </c>
      <c r="B331" s="468">
        <f>IFERROR(__xludf.DUMMYFUNCTION("""COMPUTED_VALUE"""),44563.0)</f>
        <v>44563</v>
      </c>
      <c r="C331" s="469">
        <f>IFERROR(__xludf.DUMMYFUNCTION("""COMPUTED_VALUE"""),0.5510416666666667)</f>
        <v>0.5510416667</v>
      </c>
      <c r="D331" s="103" t="str">
        <f>IFERROR(__xludf.DUMMYFUNCTION("""COMPUTED_VALUE"""),"SpFLMP273885")</f>
        <v>SpFLMP273885</v>
      </c>
      <c r="E331" s="103"/>
      <c r="F331" s="103"/>
      <c r="G331" s="103" t="str">
        <f>IFERROR(__xludf.DUMMYFUNCTION("""COMPUTED_VALUE"""),"Negative")</f>
        <v>Negative</v>
      </c>
      <c r="H331" s="131" t="str">
        <f>IFERROR(__xludf.DUMMYFUNCTION("""COMPUTED_VALUE"""),"Negative")</f>
        <v>Negative</v>
      </c>
      <c r="I331" s="468">
        <f>IFERROR(__xludf.DUMMYFUNCTION("""COMPUTED_VALUE"""),44563.0)</f>
        <v>44563</v>
      </c>
      <c r="J331" s="470">
        <f>IFERROR(__xludf.DUMMYFUNCTION("""COMPUTED_VALUE"""),0.8255787037037037)</f>
        <v>0.8255787037</v>
      </c>
      <c r="K331" s="16"/>
      <c r="L331" s="8"/>
      <c r="M331" s="69"/>
      <c r="N331" s="69">
        <f>IFERROR(__xludf.DUMMYFUNCTION("""COMPUTED_VALUE"""),3.0)</f>
        <v>3</v>
      </c>
      <c r="O331" s="69" t="str">
        <f t="shared" si="3"/>
        <v/>
      </c>
      <c r="P331" s="471">
        <f>IFERROR(__xludf.DUMMYFUNCTION("""COMPUTED_VALUE"""),0.0)</f>
        <v>0</v>
      </c>
      <c r="Q331" s="274" t="b">
        <f>VLOOKUP($B331,'Run Reconcile'!B$2:O2488,14,FALSE)</f>
        <v>1</v>
      </c>
      <c r="R331" s="472" t="str">
        <f t="array" ref="R331">IF($Q331, INDEX('Run Reconcile'!A$2:A2488,MATCH(B331,'Run Reconcile'!B$2:B2488,0),1),IFERROR(0/0,""))</f>
        <v>RUN-FLMP_2022-01-02_RFR-046</v>
      </c>
      <c r="S331" s="473" t="str">
        <f t="shared" ref="S331:T331" si="667">IF(COUNTIF(W$2:W2488, $A331) &gt; 0,TRUE,IFERROR(0/0,""))</f>
        <v/>
      </c>
      <c r="T331" s="473" t="str">
        <f t="shared" si="667"/>
        <v/>
      </c>
      <c r="U331" s="275" t="str">
        <f t="array" ref="U331">IF(ISBLANK($R331), INDEX('Run Reconcile'!A$2:A2488, MATCH($B331, 'Run Reconcile'!B$2:B2488, 0)+Z331, 1), IFERROR(0/0,""))
</f>
        <v/>
      </c>
      <c r="V331" s="474" t="str">
        <f t="shared" si="5"/>
        <v>RUN-FLMP_2022-01-02_RFR-046</v>
      </c>
      <c r="Y331" s="89" t="str">
        <f t="shared" si="527"/>
        <v/>
      </c>
      <c r="Z331" s="60" t="str">
        <f t="shared" si="7"/>
        <v/>
      </c>
      <c r="AA331" s="60" t="str">
        <f t="shared" si="8"/>
        <v/>
      </c>
      <c r="AB331" s="60" t="str">
        <f t="shared" si="9"/>
        <v/>
      </c>
      <c r="AC331" s="30" t="str">
        <f t="shared" ref="AC331:AD331" si="668">IF(_xlfn.ISFORMULA(S331),IFERROR(0/0,""),TRUE)</f>
        <v/>
      </c>
      <c r="AD331" s="30" t="str">
        <f t="shared" si="668"/>
        <v/>
      </c>
      <c r="AE331" s="475" t="str">
        <f>IFERROR(__xludf.DUMMYFUNCTION("""COMPUTED_VALUE"""),"CRLN")</f>
        <v>CRLN</v>
      </c>
      <c r="AF331" s="476"/>
      <c r="AG331" s="474" t="s">
        <v>147</v>
      </c>
      <c r="AH331" s="138" t="str">
        <f t="shared" si="11"/>
        <v/>
      </c>
    </row>
    <row r="332">
      <c r="A332" s="103" t="str">
        <f>IFERROR(__xludf.DUMMYFUNCTION("""COMPUTED_VALUE"""),"FLB6845")</f>
        <v>FLB6845</v>
      </c>
      <c r="B332" s="468">
        <f>IFERROR(__xludf.DUMMYFUNCTION("""COMPUTED_VALUE"""),44563.0)</f>
        <v>44563</v>
      </c>
      <c r="C332" s="469">
        <f>IFERROR(__xludf.DUMMYFUNCTION("""COMPUTED_VALUE"""),0.6414004629629629)</f>
        <v>0.641400463</v>
      </c>
      <c r="D332" s="103" t="str">
        <f>IFERROR(__xludf.DUMMYFUNCTION("""COMPUTED_VALUE"""),"SpFLMP812292")</f>
        <v>SpFLMP812292</v>
      </c>
      <c r="E332" s="103"/>
      <c r="F332" s="103"/>
      <c r="G332" s="103" t="str">
        <f>IFERROR(__xludf.DUMMYFUNCTION("""COMPUTED_VALUE"""),"Positive")</f>
        <v>Positive</v>
      </c>
      <c r="H332" s="131" t="str">
        <f>IFERROR(__xludf.DUMMYFUNCTION("""COMPUTED_VALUE"""),"Positive")</f>
        <v>Positive</v>
      </c>
      <c r="I332" s="468">
        <f>IFERROR(__xludf.DUMMYFUNCTION("""COMPUTED_VALUE"""),44563.0)</f>
        <v>44563</v>
      </c>
      <c r="J332" s="470">
        <f>IFERROR(__xludf.DUMMYFUNCTION("""COMPUTED_VALUE"""),0.8255902777777778)</f>
        <v>0.8255902778</v>
      </c>
      <c r="K332" s="16"/>
      <c r="L332" s="8"/>
      <c r="M332" s="69"/>
      <c r="N332" s="69">
        <f>IFERROR(__xludf.DUMMYFUNCTION("""COMPUTED_VALUE"""),3.0)</f>
        <v>3</v>
      </c>
      <c r="O332" s="69" t="str">
        <f t="shared" si="3"/>
        <v/>
      </c>
      <c r="P332" s="471">
        <f>IFERROR(__xludf.DUMMYFUNCTION("""COMPUTED_VALUE"""),0.0)</f>
        <v>0</v>
      </c>
      <c r="Q332" s="274" t="b">
        <f>VLOOKUP($B332,'Run Reconcile'!B$2:O2488,14,FALSE)</f>
        <v>1</v>
      </c>
      <c r="R332" s="472" t="str">
        <f t="array" ref="R332">IF($Q332, INDEX('Run Reconcile'!A$2:A2488,MATCH(B332,'Run Reconcile'!B$2:B2488,0),1),IFERROR(0/0,""))</f>
        <v>RUN-FLMP_2022-01-02_RFR-046</v>
      </c>
      <c r="S332" s="473" t="str">
        <f t="shared" ref="S332:T332" si="669">IF(COUNTIF(W$2:W2488, $A332) &gt; 0,TRUE,IFERROR(0/0,""))</f>
        <v/>
      </c>
      <c r="T332" s="473" t="str">
        <f t="shared" si="669"/>
        <v/>
      </c>
      <c r="U332" s="275" t="str">
        <f t="array" ref="U332">IF(ISBLANK($R332), INDEX('Run Reconcile'!A$2:A2488, MATCH($B332, 'Run Reconcile'!B$2:B2488, 0)+Z332, 1), IFERROR(0/0,""))
</f>
        <v/>
      </c>
      <c r="V332" s="474" t="str">
        <f t="shared" si="5"/>
        <v>RUN-FLMP_2022-01-02_RFR-046</v>
      </c>
      <c r="Y332" s="89" t="str">
        <f t="shared" si="527"/>
        <v/>
      </c>
      <c r="Z332" s="60" t="str">
        <f t="shared" si="7"/>
        <v/>
      </c>
      <c r="AA332" s="60" t="str">
        <f t="shared" si="8"/>
        <v/>
      </c>
      <c r="AB332" s="60" t="str">
        <f t="shared" si="9"/>
        <v/>
      </c>
      <c r="AC332" s="30" t="str">
        <f t="shared" ref="AC332:AD332" si="670">IF(_xlfn.ISFORMULA(S332),IFERROR(0/0,""),TRUE)</f>
        <v/>
      </c>
      <c r="AD332" s="30" t="str">
        <f t="shared" si="670"/>
        <v/>
      </c>
      <c r="AE332" s="475" t="str">
        <f>IFERROR(__xludf.DUMMYFUNCTION("""COMPUTED_VALUE"""),"CRLN")</f>
        <v>CRLN</v>
      </c>
      <c r="AF332" s="476"/>
      <c r="AG332" s="474" t="s">
        <v>147</v>
      </c>
      <c r="AH332" s="138" t="str">
        <f t="shared" si="11"/>
        <v/>
      </c>
    </row>
    <row r="333">
      <c r="A333" s="103" t="str">
        <f>IFERROR(__xludf.DUMMYFUNCTION("""COMPUTED_VALUE"""),"FLB6875")</f>
        <v>FLB6875</v>
      </c>
      <c r="B333" s="468">
        <f>IFERROR(__xludf.DUMMYFUNCTION("""COMPUTED_VALUE"""),44563.0)</f>
        <v>44563</v>
      </c>
      <c r="C333" s="469">
        <f>IFERROR(__xludf.DUMMYFUNCTION("""COMPUTED_VALUE"""),0.6874189814814815)</f>
        <v>0.6874189815</v>
      </c>
      <c r="D333" s="103" t="str">
        <f>IFERROR(__xludf.DUMMYFUNCTION("""COMPUTED_VALUE"""),"SpFLMP604497")</f>
        <v>SpFLMP604497</v>
      </c>
      <c r="E333" s="103"/>
      <c r="F333" s="103"/>
      <c r="G333" s="103" t="str">
        <f>IFERROR(__xludf.DUMMYFUNCTION("""COMPUTED_VALUE"""),"Negative")</f>
        <v>Negative</v>
      </c>
      <c r="H333" s="131" t="str">
        <f>IFERROR(__xludf.DUMMYFUNCTION("""COMPUTED_VALUE"""),"Negative")</f>
        <v>Negative</v>
      </c>
      <c r="I333" s="468">
        <f>IFERROR(__xludf.DUMMYFUNCTION("""COMPUTED_VALUE"""),44563.0)</f>
        <v>44563</v>
      </c>
      <c r="J333" s="470">
        <f>IFERROR(__xludf.DUMMYFUNCTION("""COMPUTED_VALUE"""),0.8255787037037037)</f>
        <v>0.8255787037</v>
      </c>
      <c r="K333" s="16"/>
      <c r="L333" s="8"/>
      <c r="M333" s="69"/>
      <c r="N333" s="69">
        <f>IFERROR(__xludf.DUMMYFUNCTION("""COMPUTED_VALUE"""),3.0)</f>
        <v>3</v>
      </c>
      <c r="O333" s="69" t="str">
        <f t="shared" si="3"/>
        <v/>
      </c>
      <c r="P333" s="471">
        <f>IFERROR(__xludf.DUMMYFUNCTION("""COMPUTED_VALUE"""),0.0)</f>
        <v>0</v>
      </c>
      <c r="Q333" s="274" t="b">
        <f>VLOOKUP($B333,'Run Reconcile'!B$2:O2488,14,FALSE)</f>
        <v>1</v>
      </c>
      <c r="R333" s="472" t="str">
        <f t="array" ref="R333">IF($Q333, INDEX('Run Reconcile'!A$2:A2488,MATCH(B333,'Run Reconcile'!B$2:B2488,0),1),IFERROR(0/0,""))</f>
        <v>RUN-FLMP_2022-01-02_RFR-046</v>
      </c>
      <c r="S333" s="473" t="str">
        <f t="shared" ref="S333:T333" si="671">IF(COUNTIF(W$2:W2488, $A333) &gt; 0,TRUE,IFERROR(0/0,""))</f>
        <v/>
      </c>
      <c r="T333" s="473" t="str">
        <f t="shared" si="671"/>
        <v/>
      </c>
      <c r="U333" s="275" t="str">
        <f t="array" ref="U333">IF(ISBLANK($R333), INDEX('Run Reconcile'!A$2:A2488, MATCH($B333, 'Run Reconcile'!B$2:B2488, 0)+Z333, 1), IFERROR(0/0,""))
</f>
        <v/>
      </c>
      <c r="V333" s="474" t="str">
        <f t="shared" si="5"/>
        <v>RUN-FLMP_2022-01-02_RFR-046</v>
      </c>
      <c r="Y333" s="89" t="str">
        <f t="shared" si="527"/>
        <v/>
      </c>
      <c r="Z333" s="60" t="str">
        <f t="shared" si="7"/>
        <v/>
      </c>
      <c r="AA333" s="60" t="str">
        <f t="shared" si="8"/>
        <v/>
      </c>
      <c r="AB333" s="60" t="str">
        <f t="shared" si="9"/>
        <v/>
      </c>
      <c r="AC333" s="30" t="str">
        <f t="shared" ref="AC333:AD333" si="672">IF(_xlfn.ISFORMULA(S333),IFERROR(0/0,""),TRUE)</f>
        <v/>
      </c>
      <c r="AD333" s="30" t="str">
        <f t="shared" si="672"/>
        <v/>
      </c>
      <c r="AE333" s="475" t="str">
        <f>IFERROR(__xludf.DUMMYFUNCTION("""COMPUTED_VALUE"""),"CRLN")</f>
        <v>CRLN</v>
      </c>
      <c r="AF333" s="476"/>
      <c r="AG333" s="474" t="s">
        <v>147</v>
      </c>
      <c r="AH333" s="138" t="str">
        <f t="shared" si="11"/>
        <v/>
      </c>
    </row>
    <row r="334">
      <c r="A334" s="103" t="str">
        <f>IFERROR(__xludf.DUMMYFUNCTION("""COMPUTED_VALUE"""),"FLB6861")</f>
        <v>FLB6861</v>
      </c>
      <c r="B334" s="468">
        <f>IFERROR(__xludf.DUMMYFUNCTION("""COMPUTED_VALUE"""),44563.0)</f>
        <v>44563</v>
      </c>
      <c r="C334" s="469">
        <f>IFERROR(__xludf.DUMMYFUNCTION("""COMPUTED_VALUE"""),0.6881018518518518)</f>
        <v>0.6881018519</v>
      </c>
      <c r="D334" s="103" t="str">
        <f>IFERROR(__xludf.DUMMYFUNCTION("""COMPUTED_VALUE"""),"SpFLMP518914")</f>
        <v>SpFLMP518914</v>
      </c>
      <c r="E334" s="103"/>
      <c r="F334" s="103"/>
      <c r="G334" s="103" t="str">
        <f>IFERROR(__xludf.DUMMYFUNCTION("""COMPUTED_VALUE"""),"Negative")</f>
        <v>Negative</v>
      </c>
      <c r="H334" s="131" t="str">
        <f>IFERROR(__xludf.DUMMYFUNCTION("""COMPUTED_VALUE"""),"Negative")</f>
        <v>Negative</v>
      </c>
      <c r="I334" s="468">
        <f>IFERROR(__xludf.DUMMYFUNCTION("""COMPUTED_VALUE"""),44563.0)</f>
        <v>44563</v>
      </c>
      <c r="J334" s="470">
        <f>IFERROR(__xludf.DUMMYFUNCTION("""COMPUTED_VALUE"""),0.8255902777777778)</f>
        <v>0.8255902778</v>
      </c>
      <c r="K334" s="16"/>
      <c r="L334" s="8"/>
      <c r="M334" s="69"/>
      <c r="N334" s="69">
        <f>IFERROR(__xludf.DUMMYFUNCTION("""COMPUTED_VALUE"""),2.0)</f>
        <v>2</v>
      </c>
      <c r="O334" s="69" t="str">
        <f t="shared" si="3"/>
        <v/>
      </c>
      <c r="P334" s="471">
        <f>IFERROR(__xludf.DUMMYFUNCTION("""COMPUTED_VALUE"""),0.0)</f>
        <v>0</v>
      </c>
      <c r="Q334" s="274" t="b">
        <f>VLOOKUP($B334,'Run Reconcile'!B$2:O2488,14,FALSE)</f>
        <v>1</v>
      </c>
      <c r="R334" s="472" t="str">
        <f t="array" ref="R334">IF($Q334, INDEX('Run Reconcile'!A$2:A2488,MATCH(B334,'Run Reconcile'!B$2:B2488,0),1),IFERROR(0/0,""))</f>
        <v>RUN-FLMP_2022-01-02_RFR-046</v>
      </c>
      <c r="S334" s="473" t="str">
        <f t="shared" ref="S334:T334" si="673">IF(COUNTIF(W$2:W2488, $A334) &gt; 0,TRUE,IFERROR(0/0,""))</f>
        <v/>
      </c>
      <c r="T334" s="473" t="str">
        <f t="shared" si="673"/>
        <v/>
      </c>
      <c r="U334" s="275" t="str">
        <f t="array" ref="U334">IF(ISBLANK($R334), INDEX('Run Reconcile'!A$2:A2488, MATCH($B334, 'Run Reconcile'!B$2:B2488, 0)+Z334, 1), IFERROR(0/0,""))
</f>
        <v/>
      </c>
      <c r="V334" s="474" t="str">
        <f t="shared" si="5"/>
        <v>RUN-FLMP_2022-01-02_RFR-046</v>
      </c>
      <c r="Y334" s="89" t="str">
        <f t="shared" si="527"/>
        <v/>
      </c>
      <c r="Z334" s="60" t="str">
        <f t="shared" si="7"/>
        <v/>
      </c>
      <c r="AA334" s="60" t="str">
        <f t="shared" si="8"/>
        <v/>
      </c>
      <c r="AB334" s="60" t="str">
        <f t="shared" si="9"/>
        <v/>
      </c>
      <c r="AC334" s="30" t="str">
        <f t="shared" ref="AC334:AD334" si="674">IF(_xlfn.ISFORMULA(S334),IFERROR(0/0,""),TRUE)</f>
        <v/>
      </c>
      <c r="AD334" s="30" t="str">
        <f t="shared" si="674"/>
        <v/>
      </c>
      <c r="AE334" s="475" t="str">
        <f>IFERROR(__xludf.DUMMYFUNCTION("""COMPUTED_VALUE"""),"CRLN")</f>
        <v>CRLN</v>
      </c>
      <c r="AF334" s="476"/>
      <c r="AG334" s="474" t="s">
        <v>147</v>
      </c>
      <c r="AH334" s="138" t="str">
        <f t="shared" si="11"/>
        <v/>
      </c>
    </row>
    <row r="335">
      <c r="A335" s="103" t="str">
        <f>IFERROR(__xludf.DUMMYFUNCTION("""COMPUTED_VALUE"""),"FL11022")</f>
        <v>FL11022</v>
      </c>
      <c r="B335" s="468">
        <f>IFERROR(__xludf.DUMMYFUNCTION("""COMPUTED_VALUE"""),44563.0)</f>
        <v>44563</v>
      </c>
      <c r="C335" s="469">
        <f>IFERROR(__xludf.DUMMYFUNCTION("""COMPUTED_VALUE"""),0.7153587962962963)</f>
        <v>0.7153587963</v>
      </c>
      <c r="D335" s="103" t="str">
        <f>IFERROR(__xludf.DUMMYFUNCTION("""COMPUTED_VALUE"""),"SpFLMP777132")</f>
        <v>SpFLMP777132</v>
      </c>
      <c r="E335" s="103"/>
      <c r="F335" s="103"/>
      <c r="G335" s="103" t="str">
        <f>IFERROR(__xludf.DUMMYFUNCTION("""COMPUTED_VALUE"""),"Negative")</f>
        <v>Negative</v>
      </c>
      <c r="H335" s="131" t="str">
        <f>IFERROR(__xludf.DUMMYFUNCTION("""COMPUTED_VALUE"""),"Negative")</f>
        <v>Negative</v>
      </c>
      <c r="I335" s="468">
        <f>IFERROR(__xludf.DUMMYFUNCTION("""COMPUTED_VALUE"""),44563.0)</f>
        <v>44563</v>
      </c>
      <c r="J335" s="470">
        <f>IFERROR(__xludf.DUMMYFUNCTION("""COMPUTED_VALUE"""),0.8255902777777778)</f>
        <v>0.8255902778</v>
      </c>
      <c r="K335" s="16"/>
      <c r="L335" s="8"/>
      <c r="M335" s="69"/>
      <c r="N335" s="69">
        <f>IFERROR(__xludf.DUMMYFUNCTION("""COMPUTED_VALUE"""),4.0)</f>
        <v>4</v>
      </c>
      <c r="O335" s="69" t="str">
        <f t="shared" si="3"/>
        <v/>
      </c>
      <c r="P335" s="471">
        <f>IFERROR(__xludf.DUMMYFUNCTION("""COMPUTED_VALUE"""),0.0)</f>
        <v>0</v>
      </c>
      <c r="Q335" s="274" t="b">
        <f>VLOOKUP($B335,'Run Reconcile'!B$2:O2488,14,FALSE)</f>
        <v>1</v>
      </c>
      <c r="R335" s="472" t="str">
        <f t="array" ref="R335">IF($Q335, INDEX('Run Reconcile'!A$2:A2488,MATCH(B335,'Run Reconcile'!B$2:B2488,0),1),IFERROR(0/0,""))</f>
        <v>RUN-FLMP_2022-01-02_RFR-046</v>
      </c>
      <c r="S335" s="473" t="str">
        <f t="shared" ref="S335:T335" si="675">IF(COUNTIF(W$2:W2488, $A335) &gt; 0,TRUE,IFERROR(0/0,""))</f>
        <v/>
      </c>
      <c r="T335" s="473" t="str">
        <f t="shared" si="675"/>
        <v/>
      </c>
      <c r="U335" s="275" t="str">
        <f t="array" ref="U335">IF(ISBLANK($R335), INDEX('Run Reconcile'!A$2:A2488, MATCH($B335, 'Run Reconcile'!B$2:B2488, 0)+Z335, 1), IFERROR(0/0,""))
</f>
        <v/>
      </c>
      <c r="V335" s="474" t="str">
        <f t="shared" si="5"/>
        <v>RUN-FLMP_2022-01-02_RFR-046</v>
      </c>
      <c r="Y335" s="89" t="str">
        <f t="shared" si="527"/>
        <v/>
      </c>
      <c r="Z335" s="60" t="str">
        <f t="shared" si="7"/>
        <v/>
      </c>
      <c r="AA335" s="60" t="str">
        <f t="shared" si="8"/>
        <v/>
      </c>
      <c r="AB335" s="60" t="str">
        <f t="shared" si="9"/>
        <v/>
      </c>
      <c r="AC335" s="30" t="str">
        <f t="shared" ref="AC335:AD335" si="676">IF(_xlfn.ISFORMULA(S335),IFERROR(0/0,""),TRUE)</f>
        <v/>
      </c>
      <c r="AD335" s="30" t="str">
        <f t="shared" si="676"/>
        <v/>
      </c>
      <c r="AE335" s="475" t="str">
        <f>IFERROR(__xludf.DUMMYFUNCTION("""COMPUTED_VALUE"""),"CRLN")</f>
        <v>CRLN</v>
      </c>
      <c r="AF335" s="476"/>
      <c r="AG335" s="474" t="s">
        <v>147</v>
      </c>
      <c r="AH335" s="138" t="str">
        <f t="shared" si="11"/>
        <v/>
      </c>
    </row>
    <row r="336">
      <c r="A336" s="103" t="str">
        <f>IFERROR(__xludf.DUMMYFUNCTION("""COMPUTED_VALUE"""),"FLE264")</f>
        <v>FLE264</v>
      </c>
      <c r="B336" s="468">
        <f>IFERROR(__xludf.DUMMYFUNCTION("""COMPUTED_VALUE"""),44563.0)</f>
        <v>44563</v>
      </c>
      <c r="C336" s="469">
        <f>IFERROR(__xludf.DUMMYFUNCTION("""COMPUTED_VALUE"""),0.7852430555555555)</f>
        <v>0.7852430556</v>
      </c>
      <c r="D336" s="103" t="str">
        <f>IFERROR(__xludf.DUMMYFUNCTION("""COMPUTED_VALUE"""),"SpFLMP659315")</f>
        <v>SpFLMP659315</v>
      </c>
      <c r="E336" s="103"/>
      <c r="F336" s="103"/>
      <c r="G336" s="103" t="str">
        <f>IFERROR(__xludf.DUMMYFUNCTION("""COMPUTED_VALUE"""),"Negative")</f>
        <v>Negative</v>
      </c>
      <c r="H336" s="131" t="str">
        <f>IFERROR(__xludf.DUMMYFUNCTION("""COMPUTED_VALUE"""),"Negative")</f>
        <v>Negative</v>
      </c>
      <c r="I336" s="468">
        <f>IFERROR(__xludf.DUMMYFUNCTION("""COMPUTED_VALUE"""),44563.0)</f>
        <v>44563</v>
      </c>
      <c r="J336" s="470">
        <f>IFERROR(__xludf.DUMMYFUNCTION("""COMPUTED_VALUE"""),0.8255902777777778)</f>
        <v>0.8255902778</v>
      </c>
      <c r="K336" s="16"/>
      <c r="L336" s="8"/>
      <c r="M336" s="69"/>
      <c r="N336" s="69">
        <f>IFERROR(__xludf.DUMMYFUNCTION("""COMPUTED_VALUE"""),3.0)</f>
        <v>3</v>
      </c>
      <c r="O336" s="69" t="str">
        <f t="shared" si="3"/>
        <v/>
      </c>
      <c r="P336" s="471">
        <f>IFERROR(__xludf.DUMMYFUNCTION("""COMPUTED_VALUE"""),0.0)</f>
        <v>0</v>
      </c>
      <c r="Q336" s="274" t="b">
        <f>VLOOKUP($B336,'Run Reconcile'!B$2:O2488,14,FALSE)</f>
        <v>1</v>
      </c>
      <c r="R336" s="472" t="str">
        <f t="array" ref="R336">IF($Q336, INDEX('Run Reconcile'!A$2:A2488,MATCH(B336,'Run Reconcile'!B$2:B2488,0),1),IFERROR(0/0,""))</f>
        <v>RUN-FLMP_2022-01-02_RFR-046</v>
      </c>
      <c r="S336" s="473" t="str">
        <f t="shared" ref="S336:T336" si="677">IF(COUNTIF(W$2:W2488, $A336) &gt; 0,TRUE,IFERROR(0/0,""))</f>
        <v/>
      </c>
      <c r="T336" s="473" t="str">
        <f t="shared" si="677"/>
        <v/>
      </c>
      <c r="U336" s="275" t="str">
        <f t="array" ref="U336">IF(ISBLANK($R336), INDEX('Run Reconcile'!A$2:A2488, MATCH($B336, 'Run Reconcile'!B$2:B2488, 0)+Z336, 1), IFERROR(0/0,""))
</f>
        <v/>
      </c>
      <c r="V336" s="474" t="str">
        <f t="shared" si="5"/>
        <v>RUN-FLMP_2022-01-02_RFR-046</v>
      </c>
      <c r="Y336" s="89" t="str">
        <f t="shared" si="527"/>
        <v/>
      </c>
      <c r="Z336" s="60" t="str">
        <f t="shared" si="7"/>
        <v/>
      </c>
      <c r="AA336" s="60" t="str">
        <f t="shared" si="8"/>
        <v/>
      </c>
      <c r="AB336" s="60" t="str">
        <f t="shared" si="9"/>
        <v/>
      </c>
      <c r="AC336" s="30" t="str">
        <f t="shared" ref="AC336:AD336" si="678">IF(_xlfn.ISFORMULA(S336),IFERROR(0/0,""),TRUE)</f>
        <v/>
      </c>
      <c r="AD336" s="30" t="str">
        <f t="shared" si="678"/>
        <v/>
      </c>
      <c r="AE336" s="475" t="str">
        <f>IFERROR(__xludf.DUMMYFUNCTION("""COMPUTED_VALUE"""),"CRLN")</f>
        <v>CRLN</v>
      </c>
      <c r="AF336" s="476"/>
      <c r="AG336" s="474" t="s">
        <v>147</v>
      </c>
      <c r="AH336" s="138" t="str">
        <f t="shared" si="11"/>
        <v/>
      </c>
    </row>
    <row r="337">
      <c r="A337" s="103" t="str">
        <f>IFERROR(__xludf.DUMMYFUNCTION("""COMPUTED_VALUE"""),"FLT1570")</f>
        <v>FLT1570</v>
      </c>
      <c r="B337" s="468">
        <f>IFERROR(__xludf.DUMMYFUNCTION("""COMPUTED_VALUE"""),44564.0)</f>
        <v>44564</v>
      </c>
      <c r="C337" s="469">
        <f>IFERROR(__xludf.DUMMYFUNCTION("""COMPUTED_VALUE"""),0.30346064814814816)</f>
        <v>0.3034606481</v>
      </c>
      <c r="D337" s="103" t="str">
        <f>IFERROR(__xludf.DUMMYFUNCTION("""COMPUTED_VALUE"""),"SpFLMP125859")</f>
        <v>SpFLMP125859</v>
      </c>
      <c r="E337" s="103"/>
      <c r="F337" s="103"/>
      <c r="G337" s="103" t="str">
        <f>IFERROR(__xludf.DUMMYFUNCTION("""COMPUTED_VALUE"""),"Negative")</f>
        <v>Negative</v>
      </c>
      <c r="H337" s="131" t="str">
        <f>IFERROR(__xludf.DUMMYFUNCTION("""COMPUTED_VALUE"""),"Negative")</f>
        <v>Negative</v>
      </c>
      <c r="I337" s="468">
        <f>IFERROR(__xludf.DUMMYFUNCTION("""COMPUTED_VALUE"""),44564.0)</f>
        <v>44564</v>
      </c>
      <c r="J337" s="470">
        <f>IFERROR(__xludf.DUMMYFUNCTION("""COMPUTED_VALUE"""),0.4257986111111111)</f>
        <v>0.4257986111</v>
      </c>
      <c r="K337" s="16"/>
      <c r="L337" s="8"/>
      <c r="M337" s="69"/>
      <c r="N337" s="69">
        <f>IFERROR(__xludf.DUMMYFUNCTION("""COMPUTED_VALUE"""),1.0)</f>
        <v>1</v>
      </c>
      <c r="O337" s="69" t="b">
        <f t="shared" si="3"/>
        <v>1</v>
      </c>
      <c r="P337" s="471">
        <f>IFERROR(__xludf.DUMMYFUNCTION("""COMPUTED_VALUE"""),0.0)</f>
        <v>0</v>
      </c>
      <c r="Q337" s="274" t="str">
        <f>VLOOKUP($B337,'Run Reconcile'!B$2:O2488,14,FALSE)</f>
        <v/>
      </c>
      <c r="R337" s="472" t="str">
        <f t="array" ref="R337">IF($Q337, INDEX('Run Reconcile'!A$2:A2488,MATCH(B337,'Run Reconcile'!B$2:B2488,0),1),IFERROR(0/0,""))</f>
        <v/>
      </c>
      <c r="S337" s="473" t="str">
        <f t="shared" ref="S337:T337" si="679">IF(COUNTIF(W$2:W2488, $A337) &gt; 0,TRUE,IFERROR(0/0,""))</f>
        <v/>
      </c>
      <c r="T337" s="473" t="str">
        <f t="shared" si="679"/>
        <v/>
      </c>
      <c r="U337" s="275" t="str">
        <f t="array" ref="U337">IF(ISBLANK($R337), INDEX('Run Reconcile'!A$2:A2488, MATCH($B337, 'Run Reconcile'!B$2:B2488, 0)+Z337, 1), IFERROR(0/0,""))
</f>
        <v>RUN-FLMP_2022-01-03_RFR-047</v>
      </c>
      <c r="V337" s="474" t="str">
        <f t="shared" si="5"/>
        <v>RUN-FLMP_2022-01-03_RFR-047</v>
      </c>
      <c r="Y337" s="89" t="str">
        <f t="shared" si="527"/>
        <v/>
      </c>
      <c r="Z337" s="60" t="str">
        <f t="shared" si="7"/>
        <v/>
      </c>
      <c r="AA337" s="60" t="str">
        <f t="shared" si="8"/>
        <v/>
      </c>
      <c r="AB337" s="60" t="str">
        <f t="shared" si="9"/>
        <v/>
      </c>
      <c r="AC337" s="30" t="str">
        <f t="shared" ref="AC337:AD337" si="680">IF(_xlfn.ISFORMULA(S337),IFERROR(0/0,""),TRUE)</f>
        <v/>
      </c>
      <c r="AD337" s="30" t="str">
        <f t="shared" si="680"/>
        <v/>
      </c>
      <c r="AE337" s="475" t="str">
        <f>IFERROR(__xludf.DUMMYFUNCTION("""COMPUTED_VALUE"""),"CRLN")</f>
        <v>CRLN</v>
      </c>
      <c r="AF337" s="476"/>
      <c r="AG337" s="474" t="s">
        <v>149</v>
      </c>
      <c r="AH337" s="138" t="str">
        <f t="shared" si="11"/>
        <v/>
      </c>
    </row>
    <row r="338">
      <c r="A338" s="103" t="str">
        <f>IFERROR(__xludf.DUMMYFUNCTION("""COMPUTED_VALUE"""),"FLT14")</f>
        <v>FLT14</v>
      </c>
      <c r="B338" s="468">
        <f>IFERROR(__xludf.DUMMYFUNCTION("""COMPUTED_VALUE"""),44564.0)</f>
        <v>44564</v>
      </c>
      <c r="C338" s="469">
        <f>IFERROR(__xludf.DUMMYFUNCTION("""COMPUTED_VALUE"""),0.3040509259259259)</f>
        <v>0.3040509259</v>
      </c>
      <c r="D338" s="103" t="str">
        <f>IFERROR(__xludf.DUMMYFUNCTION("""COMPUTED_VALUE"""),"SpFLMP125859")</f>
        <v>SpFLMP125859</v>
      </c>
      <c r="E338" s="103"/>
      <c r="F338" s="103"/>
      <c r="G338" s="103" t="str">
        <f>IFERROR(__xludf.DUMMYFUNCTION("""COMPUTED_VALUE"""),"Negative")</f>
        <v>Negative</v>
      </c>
      <c r="H338" s="131" t="str">
        <f>IFERROR(__xludf.DUMMYFUNCTION("""COMPUTED_VALUE"""),"Negative")</f>
        <v>Negative</v>
      </c>
      <c r="I338" s="468">
        <f>IFERROR(__xludf.DUMMYFUNCTION("""COMPUTED_VALUE"""),44564.0)</f>
        <v>44564</v>
      </c>
      <c r="J338" s="470">
        <f>IFERROR(__xludf.DUMMYFUNCTION("""COMPUTED_VALUE"""),0.4257986111111111)</f>
        <v>0.4257986111</v>
      </c>
      <c r="K338" s="16"/>
      <c r="L338" s="8"/>
      <c r="M338" s="69"/>
      <c r="N338" s="69">
        <f>IFERROR(__xludf.DUMMYFUNCTION("""COMPUTED_VALUE"""),1.0)</f>
        <v>1</v>
      </c>
      <c r="O338" s="69" t="str">
        <f t="shared" si="3"/>
        <v/>
      </c>
      <c r="P338" s="471">
        <f>IFERROR(__xludf.DUMMYFUNCTION("""COMPUTED_VALUE"""),0.0)</f>
        <v>0</v>
      </c>
      <c r="Q338" s="274" t="str">
        <f>VLOOKUP($B338,'Run Reconcile'!B$2:O2488,14,FALSE)</f>
        <v/>
      </c>
      <c r="R338" s="472" t="str">
        <f t="array" ref="R338">IF($Q338, INDEX('Run Reconcile'!A$2:A2488,MATCH(B338,'Run Reconcile'!B$2:B2488,0),1),IFERROR(0/0,""))</f>
        <v/>
      </c>
      <c r="S338" s="473" t="str">
        <f t="shared" ref="S338:T338" si="681">IF(COUNTIF(W$2:W2488, $A338) &gt; 0,TRUE,IFERROR(0/0,""))</f>
        <v/>
      </c>
      <c r="T338" s="473" t="str">
        <f t="shared" si="681"/>
        <v/>
      </c>
      <c r="U338" s="275" t="str">
        <f t="array" ref="U338">IF(ISBLANK($R338), INDEX('Run Reconcile'!A$2:A2488, MATCH($B338, 'Run Reconcile'!B$2:B2488, 0)+Z338, 1), IFERROR(0/0,""))
</f>
        <v>RUN-FLMP_2022-01-03_RFR-047</v>
      </c>
      <c r="V338" s="474" t="str">
        <f t="shared" si="5"/>
        <v>RUN-FLMP_2022-01-03_RFR-047</v>
      </c>
      <c r="Y338" s="89" t="str">
        <f t="shared" si="527"/>
        <v/>
      </c>
      <c r="Z338" s="60" t="str">
        <f t="shared" si="7"/>
        <v/>
      </c>
      <c r="AA338" s="60" t="str">
        <f t="shared" si="8"/>
        <v/>
      </c>
      <c r="AB338" s="60" t="str">
        <f t="shared" si="9"/>
        <v/>
      </c>
      <c r="AC338" s="30" t="str">
        <f t="shared" ref="AC338:AD338" si="682">IF(_xlfn.ISFORMULA(S338),IFERROR(0/0,""),TRUE)</f>
        <v/>
      </c>
      <c r="AD338" s="30" t="str">
        <f t="shared" si="682"/>
        <v/>
      </c>
      <c r="AE338" s="475" t="str">
        <f>IFERROR(__xludf.DUMMYFUNCTION("""COMPUTED_VALUE"""),"CRLN")</f>
        <v>CRLN</v>
      </c>
      <c r="AF338" s="476"/>
      <c r="AG338" s="474" t="s">
        <v>149</v>
      </c>
      <c r="AH338" s="138" t="str">
        <f t="shared" si="11"/>
        <v/>
      </c>
    </row>
    <row r="339">
      <c r="A339" s="103" t="str">
        <f>IFERROR(__xludf.DUMMYFUNCTION("""COMPUTED_VALUE"""),"FL11017")</f>
        <v>FL11017</v>
      </c>
      <c r="B339" s="468">
        <f>IFERROR(__xludf.DUMMYFUNCTION("""COMPUTED_VALUE"""),44564.0)</f>
        <v>44564</v>
      </c>
      <c r="C339" s="469">
        <f>IFERROR(__xludf.DUMMYFUNCTION("""COMPUTED_VALUE"""),0.3045833333333333)</f>
        <v>0.3045833333</v>
      </c>
      <c r="D339" s="103" t="str">
        <f>IFERROR(__xludf.DUMMYFUNCTION("""COMPUTED_VALUE"""),"SpFLMP125859")</f>
        <v>SpFLMP125859</v>
      </c>
      <c r="E339" s="103"/>
      <c r="F339" s="103"/>
      <c r="G339" s="103" t="str">
        <f>IFERROR(__xludf.DUMMYFUNCTION("""COMPUTED_VALUE"""),"Positive")</f>
        <v>Positive</v>
      </c>
      <c r="H339" s="131" t="str">
        <f>IFERROR(__xludf.DUMMYFUNCTION("""COMPUTED_VALUE"""),"Positive")</f>
        <v>Positive</v>
      </c>
      <c r="I339" s="468">
        <f>IFERROR(__xludf.DUMMYFUNCTION("""COMPUTED_VALUE"""),44564.0)</f>
        <v>44564</v>
      </c>
      <c r="J339" s="470">
        <f>IFERROR(__xludf.DUMMYFUNCTION("""COMPUTED_VALUE"""),0.4255555555555556)</f>
        <v>0.4255555556</v>
      </c>
      <c r="K339" s="16"/>
      <c r="L339" s="8" t="str">
        <f>IFERROR(__xludf.DUMMYFUNCTION("""COMPUTED_VALUE"""),"RT Jan26 Change name from Jason to Julia because Jason appeared twice and both tested neg by antigen OLD NOTE review with RFR, why 2 with Jason?")</f>
        <v>RT Jan26 Change name from Jason to Julia because Jason appeared twice and both tested neg by antigen OLD NOTE review with RFR, why 2 with Jason?</v>
      </c>
      <c r="M339" s="69"/>
      <c r="N339" s="69">
        <f>IFERROR(__xludf.DUMMYFUNCTION("""COMPUTED_VALUE"""),1.0)</f>
        <v>1</v>
      </c>
      <c r="O339" s="69" t="str">
        <f t="shared" si="3"/>
        <v/>
      </c>
      <c r="P339" s="471">
        <f>IFERROR(__xludf.DUMMYFUNCTION("""COMPUTED_VALUE"""),0.0)</f>
        <v>0</v>
      </c>
      <c r="Q339" s="274" t="str">
        <f>VLOOKUP($B339,'Run Reconcile'!B$2:O2488,14,FALSE)</f>
        <v/>
      </c>
      <c r="R339" s="472" t="str">
        <f t="array" ref="R339">IF($Q339, INDEX('Run Reconcile'!A$2:A2488,MATCH(B339,'Run Reconcile'!B$2:B2488,0),1),IFERROR(0/0,""))</f>
        <v/>
      </c>
      <c r="S339" s="473" t="str">
        <f t="shared" ref="S339:T339" si="683">IF(COUNTIF(W$2:W2488, $A339) &gt; 0,TRUE,IFERROR(0/0,""))</f>
        <v/>
      </c>
      <c r="T339" s="473" t="str">
        <f t="shared" si="683"/>
        <v/>
      </c>
      <c r="U339" s="275" t="str">
        <f t="array" ref="U339">IF(ISBLANK($R339), INDEX('Run Reconcile'!A$2:A2488, MATCH($B339, 'Run Reconcile'!B$2:B2488, 0)+Z339, 1), IFERROR(0/0,""))
</f>
        <v>RUN-FLMP_2022-01-03_RFR-047</v>
      </c>
      <c r="V339" s="474" t="str">
        <f t="shared" si="5"/>
        <v>RUN-FLMP_2022-01-03_RFR-047</v>
      </c>
      <c r="Y339" s="89" t="str">
        <f t="shared" si="527"/>
        <v/>
      </c>
      <c r="Z339" s="60" t="str">
        <f t="shared" si="7"/>
        <v/>
      </c>
      <c r="AA339" s="60" t="str">
        <f t="shared" si="8"/>
        <v/>
      </c>
      <c r="AB339" s="60" t="str">
        <f t="shared" si="9"/>
        <v/>
      </c>
      <c r="AC339" s="30" t="str">
        <f t="shared" ref="AC339:AD339" si="684">IF(_xlfn.ISFORMULA(S339),IFERROR(0/0,""),TRUE)</f>
        <v/>
      </c>
      <c r="AD339" s="30" t="str">
        <f t="shared" si="684"/>
        <v/>
      </c>
      <c r="AE339" s="475" t="str">
        <f>IFERROR(__xludf.DUMMYFUNCTION("""COMPUTED_VALUE"""),"CRLN")</f>
        <v>CRLN</v>
      </c>
      <c r="AF339" s="476"/>
      <c r="AG339" s="474" t="s">
        <v>149</v>
      </c>
      <c r="AH339" s="138" t="str">
        <f t="shared" si="11"/>
        <v/>
      </c>
    </row>
    <row r="340">
      <c r="A340" s="103" t="str">
        <f>IFERROR(__xludf.DUMMYFUNCTION("""COMPUTED_VALUE"""),"FLT1128")</f>
        <v>FLT1128</v>
      </c>
      <c r="B340" s="468">
        <f>IFERROR(__xludf.DUMMYFUNCTION("""COMPUTED_VALUE"""),44564.0)</f>
        <v>44564</v>
      </c>
      <c r="C340" s="469">
        <f>IFERROR(__xludf.DUMMYFUNCTION("""COMPUTED_VALUE"""),0.3050231481481481)</f>
        <v>0.3050231481</v>
      </c>
      <c r="D340" s="103" t="str">
        <f>IFERROR(__xludf.DUMMYFUNCTION("""COMPUTED_VALUE"""),"SpFLMP125859")</f>
        <v>SpFLMP125859</v>
      </c>
      <c r="E340" s="103"/>
      <c r="F340" s="103"/>
      <c r="G340" s="103" t="str">
        <f>IFERROR(__xludf.DUMMYFUNCTION("""COMPUTED_VALUE"""),"Positive")</f>
        <v>Positive</v>
      </c>
      <c r="H340" s="131" t="str">
        <f>IFERROR(__xludf.DUMMYFUNCTION("""COMPUTED_VALUE"""),"Positive")</f>
        <v>Positive</v>
      </c>
      <c r="I340" s="468">
        <f>IFERROR(__xludf.DUMMYFUNCTION("""COMPUTED_VALUE"""),44564.0)</f>
        <v>44564</v>
      </c>
      <c r="J340" s="470">
        <f>IFERROR(__xludf.DUMMYFUNCTION("""COMPUTED_VALUE"""),0.4255555555555556)</f>
        <v>0.4255555556</v>
      </c>
      <c r="K340" s="16"/>
      <c r="L340" s="8" t="str">
        <f>IFERROR(__xludf.DUMMYFUNCTION("""COMPUTED_VALUE"""),"review with RFR, why 2 with Jason?")</f>
        <v>review with RFR, why 2 with Jason?</v>
      </c>
      <c r="M340" s="69"/>
      <c r="N340" s="69">
        <f>IFERROR(__xludf.DUMMYFUNCTION("""COMPUTED_VALUE"""),1.0)</f>
        <v>1</v>
      </c>
      <c r="O340" s="69" t="str">
        <f t="shared" si="3"/>
        <v/>
      </c>
      <c r="P340" s="471">
        <f>IFERROR(__xludf.DUMMYFUNCTION("""COMPUTED_VALUE"""),0.0)</f>
        <v>0</v>
      </c>
      <c r="Q340" s="274" t="str">
        <f>VLOOKUP($B340,'Run Reconcile'!B$2:O2488,14,FALSE)</f>
        <v/>
      </c>
      <c r="R340" s="472" t="str">
        <f t="array" ref="R340">IF($Q340, INDEX('Run Reconcile'!A$2:A2488,MATCH(B340,'Run Reconcile'!B$2:B2488,0),1),IFERROR(0/0,""))</f>
        <v/>
      </c>
      <c r="S340" s="473" t="str">
        <f t="shared" ref="S340:T340" si="685">IF(COUNTIF(W$2:W2488, $A340) &gt; 0,TRUE,IFERROR(0/0,""))</f>
        <v/>
      </c>
      <c r="T340" s="473" t="str">
        <f t="shared" si="685"/>
        <v/>
      </c>
      <c r="U340" s="275" t="str">
        <f t="array" ref="U340">IF(ISBLANK($R340), INDEX('Run Reconcile'!A$2:A2488, MATCH($B340, 'Run Reconcile'!B$2:B2488, 0)+Z340, 1), IFERROR(0/0,""))
</f>
        <v>RUN-FLMP_2022-01-03_RFR-047</v>
      </c>
      <c r="V340" s="474" t="str">
        <f t="shared" si="5"/>
        <v>RUN-FLMP_2022-01-03_RFR-047</v>
      </c>
      <c r="Y340" s="89" t="str">
        <f t="shared" si="527"/>
        <v/>
      </c>
      <c r="Z340" s="60" t="str">
        <f t="shared" si="7"/>
        <v/>
      </c>
      <c r="AA340" s="60" t="str">
        <f t="shared" si="8"/>
        <v/>
      </c>
      <c r="AB340" s="60" t="str">
        <f t="shared" si="9"/>
        <v/>
      </c>
      <c r="AC340" s="30" t="str">
        <f t="shared" ref="AC340:AD340" si="686">IF(_xlfn.ISFORMULA(S340),IFERROR(0/0,""),TRUE)</f>
        <v/>
      </c>
      <c r="AD340" s="30" t="str">
        <f t="shared" si="686"/>
        <v/>
      </c>
      <c r="AE340" s="475" t="str">
        <f>IFERROR(__xludf.DUMMYFUNCTION("""COMPUTED_VALUE"""),"CRLN")</f>
        <v>CRLN</v>
      </c>
      <c r="AF340" s="476"/>
      <c r="AG340" s="474" t="s">
        <v>149</v>
      </c>
      <c r="AH340" s="138" t="str">
        <f t="shared" si="11"/>
        <v/>
      </c>
    </row>
    <row r="341">
      <c r="A341" s="103" t="str">
        <f>IFERROR(__xludf.DUMMYFUNCTION("""COMPUTED_VALUE"""),"FLB6342")</f>
        <v>FLB6342</v>
      </c>
      <c r="B341" s="468">
        <f>IFERROR(__xludf.DUMMYFUNCTION("""COMPUTED_VALUE"""),44564.0)</f>
        <v>44564</v>
      </c>
      <c r="C341" s="469">
        <f>IFERROR(__xludf.DUMMYFUNCTION("""COMPUTED_VALUE"""),0.34087962962962964)</f>
        <v>0.3408796296</v>
      </c>
      <c r="D341" s="103" t="str">
        <f>IFERROR(__xludf.DUMMYFUNCTION("""COMPUTED_VALUE"""),"SpFLMP259015")</f>
        <v>SpFLMP259015</v>
      </c>
      <c r="E341" s="103"/>
      <c r="F341" s="103"/>
      <c r="G341" s="103" t="str">
        <f>IFERROR(__xludf.DUMMYFUNCTION("""COMPUTED_VALUE"""),"Negative")</f>
        <v>Negative</v>
      </c>
      <c r="H341" s="131" t="str">
        <f>IFERROR(__xludf.DUMMYFUNCTION("""COMPUTED_VALUE"""),"Negative")</f>
        <v>Negative</v>
      </c>
      <c r="I341" s="468">
        <f>IFERROR(__xludf.DUMMYFUNCTION("""COMPUTED_VALUE"""),44564.0)</f>
        <v>44564</v>
      </c>
      <c r="J341" s="470">
        <f>IFERROR(__xludf.DUMMYFUNCTION("""COMPUTED_VALUE"""),0.4257986111111111)</f>
        <v>0.4257986111</v>
      </c>
      <c r="K341" s="16"/>
      <c r="L341" s="8"/>
      <c r="M341" s="69"/>
      <c r="N341" s="69">
        <f>IFERROR(__xludf.DUMMYFUNCTION("""COMPUTED_VALUE"""),4.0)</f>
        <v>4</v>
      </c>
      <c r="O341" s="69" t="str">
        <f t="shared" si="3"/>
        <v/>
      </c>
      <c r="P341" s="471">
        <f>IFERROR(__xludf.DUMMYFUNCTION("""COMPUTED_VALUE"""),0.0)</f>
        <v>0</v>
      </c>
      <c r="Q341" s="274" t="str">
        <f>VLOOKUP($B341,'Run Reconcile'!B$2:O2488,14,FALSE)</f>
        <v/>
      </c>
      <c r="R341" s="472" t="str">
        <f t="array" ref="R341">IF($Q341, INDEX('Run Reconcile'!A$2:A2488,MATCH(B341,'Run Reconcile'!B$2:B2488,0),1),IFERROR(0/0,""))</f>
        <v/>
      </c>
      <c r="S341" s="473" t="str">
        <f t="shared" ref="S341:T341" si="687">IF(COUNTIF(W$2:W2488, $A341) &gt; 0,TRUE,IFERROR(0/0,""))</f>
        <v/>
      </c>
      <c r="T341" s="473" t="str">
        <f t="shared" si="687"/>
        <v/>
      </c>
      <c r="U341" s="275" t="str">
        <f t="array" ref="U341">IF(ISBLANK($R341), INDEX('Run Reconcile'!A$2:A2488, MATCH($B341, 'Run Reconcile'!B$2:B2488, 0)+Z341, 1), IFERROR(0/0,""))
</f>
        <v>RUN-FLMP_2022-01-03_RFR-047</v>
      </c>
      <c r="V341" s="474" t="str">
        <f t="shared" si="5"/>
        <v>RUN-FLMP_2022-01-03_RFR-047</v>
      </c>
      <c r="Y341" s="89" t="str">
        <f t="shared" si="527"/>
        <v/>
      </c>
      <c r="Z341" s="60" t="str">
        <f t="shared" si="7"/>
        <v/>
      </c>
      <c r="AA341" s="60" t="str">
        <f t="shared" si="8"/>
        <v/>
      </c>
      <c r="AB341" s="60" t="str">
        <f t="shared" si="9"/>
        <v/>
      </c>
      <c r="AC341" s="30" t="str">
        <f t="shared" ref="AC341:AD341" si="688">IF(_xlfn.ISFORMULA(S341),IFERROR(0/0,""),TRUE)</f>
        <v/>
      </c>
      <c r="AD341" s="30" t="str">
        <f t="shared" si="688"/>
        <v/>
      </c>
      <c r="AE341" s="475" t="str">
        <f>IFERROR(__xludf.DUMMYFUNCTION("""COMPUTED_VALUE"""),"CRLN")</f>
        <v>CRLN</v>
      </c>
      <c r="AF341" s="476"/>
      <c r="AG341" s="474" t="s">
        <v>149</v>
      </c>
      <c r="AH341" s="138" t="str">
        <f t="shared" si="11"/>
        <v/>
      </c>
    </row>
    <row r="342">
      <c r="A342" s="103" t="str">
        <f>IFERROR(__xludf.DUMMYFUNCTION("""COMPUTED_VALUE"""),"FL11024")</f>
        <v>FL11024</v>
      </c>
      <c r="B342" s="468">
        <f>IFERROR(__xludf.DUMMYFUNCTION("""COMPUTED_VALUE"""),44564.0)</f>
        <v>44564</v>
      </c>
      <c r="C342" s="469">
        <f>IFERROR(__xludf.DUMMYFUNCTION("""COMPUTED_VALUE"""),0.3569212962962963)</f>
        <v>0.3569212963</v>
      </c>
      <c r="D342" s="103" t="str">
        <f>IFERROR(__xludf.DUMMYFUNCTION("""COMPUTED_VALUE"""),"SpFLMP170622")</f>
        <v>SpFLMP170622</v>
      </c>
      <c r="E342" s="103"/>
      <c r="F342" s="103"/>
      <c r="G342" s="103" t="str">
        <f>IFERROR(__xludf.DUMMYFUNCTION("""COMPUTED_VALUE"""),"Negative")</f>
        <v>Negative</v>
      </c>
      <c r="H342" s="131" t="str">
        <f>IFERROR(__xludf.DUMMYFUNCTION("""COMPUTED_VALUE"""),"Negative")</f>
        <v>Negative</v>
      </c>
      <c r="I342" s="468">
        <f>IFERROR(__xludf.DUMMYFUNCTION("""COMPUTED_VALUE"""),44564.0)</f>
        <v>44564</v>
      </c>
      <c r="J342" s="470">
        <f>IFERROR(__xludf.DUMMYFUNCTION("""COMPUTED_VALUE"""),0.4257986111111111)</f>
        <v>0.4257986111</v>
      </c>
      <c r="K342" s="16"/>
      <c r="L342" s="8"/>
      <c r="M342" s="69"/>
      <c r="N342" s="69">
        <f>IFERROR(__xludf.DUMMYFUNCTION("""COMPUTED_VALUE"""),2.0)</f>
        <v>2</v>
      </c>
      <c r="O342" s="69" t="str">
        <f t="shared" si="3"/>
        <v/>
      </c>
      <c r="P342" s="471">
        <f>IFERROR(__xludf.DUMMYFUNCTION("""COMPUTED_VALUE"""),0.0)</f>
        <v>0</v>
      </c>
      <c r="Q342" s="274" t="str">
        <f>VLOOKUP($B342,'Run Reconcile'!B$2:O2488,14,FALSE)</f>
        <v/>
      </c>
      <c r="R342" s="472" t="str">
        <f t="array" ref="R342">IF($Q342, INDEX('Run Reconcile'!A$2:A2488,MATCH(B342,'Run Reconcile'!B$2:B2488,0),1),IFERROR(0/0,""))</f>
        <v/>
      </c>
      <c r="S342" s="473" t="str">
        <f t="shared" ref="S342:T342" si="689">IF(COUNTIF(W$2:W2488, $A342) &gt; 0,TRUE,IFERROR(0/0,""))</f>
        <v/>
      </c>
      <c r="T342" s="473" t="str">
        <f t="shared" si="689"/>
        <v/>
      </c>
      <c r="U342" s="275" t="str">
        <f t="array" ref="U342">IF(ISBLANK($R342), INDEX('Run Reconcile'!A$2:A2488, MATCH($B342, 'Run Reconcile'!B$2:B2488, 0)+Z342, 1), IFERROR(0/0,""))
</f>
        <v>RUN-FLMP_2022-01-03_RFR-047</v>
      </c>
      <c r="V342" s="474" t="str">
        <f t="shared" si="5"/>
        <v>RUN-FLMP_2022-01-03_RFR-047</v>
      </c>
      <c r="Y342" s="89" t="str">
        <f t="shared" si="527"/>
        <v/>
      </c>
      <c r="Z342" s="60" t="str">
        <f t="shared" si="7"/>
        <v/>
      </c>
      <c r="AA342" s="60" t="str">
        <f t="shared" si="8"/>
        <v/>
      </c>
      <c r="AB342" s="60" t="str">
        <f t="shared" si="9"/>
        <v/>
      </c>
      <c r="AC342" s="30" t="str">
        <f t="shared" ref="AC342:AD342" si="690">IF(_xlfn.ISFORMULA(S342),IFERROR(0/0,""),TRUE)</f>
        <v/>
      </c>
      <c r="AD342" s="30" t="str">
        <f t="shared" si="690"/>
        <v/>
      </c>
      <c r="AE342" s="475" t="str">
        <f>IFERROR(__xludf.DUMMYFUNCTION("""COMPUTED_VALUE"""),"CRLN")</f>
        <v>CRLN</v>
      </c>
      <c r="AF342" s="476"/>
      <c r="AG342" s="474" t="s">
        <v>149</v>
      </c>
      <c r="AH342" s="138" t="str">
        <f t="shared" si="11"/>
        <v/>
      </c>
    </row>
    <row r="343">
      <c r="A343" s="459" t="str">
        <f>IFERROR(__xludf.DUMMYFUNCTION("""COMPUTED_VALUE"""),"FL11014")</f>
        <v>FL11014</v>
      </c>
      <c r="B343" s="494">
        <f>IFERROR(__xludf.DUMMYFUNCTION("""COMPUTED_VALUE"""),44564.0)</f>
        <v>44564</v>
      </c>
      <c r="C343" s="495">
        <f>IFERROR(__xludf.DUMMYFUNCTION("""COMPUTED_VALUE"""),0.35920138888888886)</f>
        <v>0.3592013889</v>
      </c>
      <c r="D343" s="459" t="str">
        <f>IFERROR(__xludf.DUMMYFUNCTION("""COMPUTED_VALUE"""),"SpFLMP418927")</f>
        <v>SpFLMP418927</v>
      </c>
      <c r="E343" s="459"/>
      <c r="F343" s="459"/>
      <c r="G343" s="459" t="str">
        <f>IFERROR(__xludf.DUMMYFUNCTION("""COMPUTED_VALUE"""),"Negative")</f>
        <v>Negative</v>
      </c>
      <c r="H343" s="496" t="str">
        <f>IFERROR(__xludf.DUMMYFUNCTION("""COMPUTED_VALUE"""),"Negative")</f>
        <v>Negative</v>
      </c>
      <c r="I343" s="494">
        <f>IFERROR(__xludf.DUMMYFUNCTION("""COMPUTED_VALUE"""),44564.0)</f>
        <v>44564</v>
      </c>
      <c r="J343" s="497">
        <f>IFERROR(__xludf.DUMMYFUNCTION("""COMPUTED_VALUE"""),0.44666666666666666)</f>
        <v>0.4466666667</v>
      </c>
      <c r="K343" s="16"/>
      <c r="L343" s="8"/>
      <c r="M343" s="69"/>
      <c r="N343" s="69">
        <f>IFERROR(__xludf.DUMMYFUNCTION("""COMPUTED_VALUE"""),3.0)</f>
        <v>3</v>
      </c>
      <c r="O343" s="69" t="str">
        <f t="shared" si="3"/>
        <v/>
      </c>
      <c r="P343" s="471">
        <f>IFERROR(__xludf.DUMMYFUNCTION("""COMPUTED_VALUE"""),0.0)</f>
        <v>0</v>
      </c>
      <c r="Q343" s="274" t="str">
        <f>VLOOKUP($B343,'Run Reconcile'!B$2:O2488,14,FALSE)</f>
        <v/>
      </c>
      <c r="R343" s="472" t="str">
        <f t="array" ref="R343">IF($Q343, INDEX('Run Reconcile'!A$2:A2488,MATCH(B343,'Run Reconcile'!B$2:B2488,0),1),IFERROR(0/0,""))</f>
        <v/>
      </c>
      <c r="S343" s="473" t="str">
        <f t="shared" ref="S343:T343" si="691">IF(COUNTIF(W$2:W2488, $A343) &gt; 0,TRUE,IFERROR(0/0,""))</f>
        <v/>
      </c>
      <c r="T343" s="473" t="b">
        <f t="shared" si="691"/>
        <v>1</v>
      </c>
      <c r="U343" s="8" t="str">
        <f t="array" ref="U343">IF(ISBLANK($R343), INDEX('Run Reconcile'!A$2:A2488, MATCH($B343, 'Run Reconcile'!B$2:B2488, 0)+Z343, 1), IFERROR(0/0,""))
</f>
        <v>RUN-FLMP_2022-01-03_APS-078</v>
      </c>
      <c r="V343" s="474" t="str">
        <f t="shared" si="5"/>
        <v>RUN-FLMP_2022-01-03_APS-078</v>
      </c>
      <c r="X343" s="459" t="s">
        <v>1340</v>
      </c>
      <c r="Y343" s="89">
        <f t="shared" si="527"/>
        <v>1</v>
      </c>
      <c r="Z343" s="60">
        <f t="shared" si="7"/>
        <v>1</v>
      </c>
      <c r="AA343" s="60" t="str">
        <f t="shared" si="8"/>
        <v/>
      </c>
      <c r="AB343" s="60">
        <f t="shared" si="9"/>
        <v>1</v>
      </c>
      <c r="AC343" s="30" t="str">
        <f t="shared" ref="AC343:AD343" si="692">IF(_xlfn.ISFORMULA(S343),IFERROR(0/0,""),TRUE)</f>
        <v/>
      </c>
      <c r="AD343" s="30" t="str">
        <f t="shared" si="692"/>
        <v/>
      </c>
      <c r="AE343" s="475" t="str">
        <f>IFERROR(__xludf.DUMMYFUNCTION("""COMPUTED_VALUE"""),"CRLN")</f>
        <v>CRLN</v>
      </c>
      <c r="AF343" s="476"/>
      <c r="AG343" s="474" t="s">
        <v>148</v>
      </c>
      <c r="AH343" s="138" t="str">
        <f t="shared" si="11"/>
        <v/>
      </c>
    </row>
    <row r="344">
      <c r="A344" s="103" t="str">
        <f>IFERROR(__xludf.DUMMYFUNCTION("""COMPUTED_VALUE"""),"FLB7370")</f>
        <v>FLB7370</v>
      </c>
      <c r="B344" s="468">
        <f>IFERROR(__xludf.DUMMYFUNCTION("""COMPUTED_VALUE"""),44564.0)</f>
        <v>44564</v>
      </c>
      <c r="C344" s="469">
        <f>IFERROR(__xludf.DUMMYFUNCTION("""COMPUTED_VALUE"""),0.3675462962962963)</f>
        <v>0.3675462963</v>
      </c>
      <c r="D344" s="103" t="str">
        <f>IFERROR(__xludf.DUMMYFUNCTION("""COMPUTED_VALUE"""),"SpFLMP496039")</f>
        <v>SpFLMP496039</v>
      </c>
      <c r="E344" s="103"/>
      <c r="F344" s="103"/>
      <c r="G344" s="103" t="str">
        <f>IFERROR(__xludf.DUMMYFUNCTION("""COMPUTED_VALUE"""),"Negative")</f>
        <v>Negative</v>
      </c>
      <c r="H344" s="131" t="str">
        <f>IFERROR(__xludf.DUMMYFUNCTION("""COMPUTED_VALUE"""),"Negative")</f>
        <v>Negative</v>
      </c>
      <c r="I344" s="468">
        <f>IFERROR(__xludf.DUMMYFUNCTION("""COMPUTED_VALUE"""),44564.0)</f>
        <v>44564</v>
      </c>
      <c r="J344" s="470">
        <f>IFERROR(__xludf.DUMMYFUNCTION("""COMPUTED_VALUE"""),0.4257986111111111)</f>
        <v>0.4257986111</v>
      </c>
      <c r="K344" s="16"/>
      <c r="L344" s="8"/>
      <c r="M344" s="69"/>
      <c r="N344" s="69">
        <f>IFERROR(__xludf.DUMMYFUNCTION("""COMPUTED_VALUE"""),1.0)</f>
        <v>1</v>
      </c>
      <c r="O344" s="69" t="str">
        <f t="shared" si="3"/>
        <v/>
      </c>
      <c r="P344" s="471">
        <f>IFERROR(__xludf.DUMMYFUNCTION("""COMPUTED_VALUE"""),0.0)</f>
        <v>0</v>
      </c>
      <c r="Q344" s="274" t="str">
        <f>VLOOKUP($B344,'Run Reconcile'!B$2:O2488,14,FALSE)</f>
        <v/>
      </c>
      <c r="R344" s="472" t="str">
        <f t="array" ref="R344">IF($Q344, INDEX('Run Reconcile'!A$2:A2488,MATCH(B344,'Run Reconcile'!B$2:B2488,0),1),IFERROR(0/0,""))</f>
        <v/>
      </c>
      <c r="S344" s="473" t="str">
        <f t="shared" ref="S344:S1493" si="694">IF(COUNTIF(W$2:W2488, $A344) &gt; 0,TRUE,IFERROR(0/0,""))</f>
        <v/>
      </c>
      <c r="T344" s="492" t="b">
        <v>1</v>
      </c>
      <c r="U344" s="8" t="str">
        <f t="array" ref="U344">IF(ISBLANK($R344), INDEX('Run Reconcile'!A$2:A2488, MATCH($B344, 'Run Reconcile'!B$2:B2488, 0)+Z344, 1), IFERROR(0/0,""))
</f>
        <v>RUN-FLMP_2022-01-03_APS-078</v>
      </c>
      <c r="V344" s="474" t="str">
        <f t="shared" si="5"/>
        <v>RUN-FLMP_2022-01-03_APS-078</v>
      </c>
      <c r="X344" s="103" t="s">
        <v>1341</v>
      </c>
      <c r="Y344" s="89">
        <f t="shared" si="527"/>
        <v>1</v>
      </c>
      <c r="Z344" s="60">
        <f t="shared" si="7"/>
        <v>1</v>
      </c>
      <c r="AA344" s="60" t="str">
        <f t="shared" si="8"/>
        <v/>
      </c>
      <c r="AB344" s="60">
        <f t="shared" si="9"/>
        <v>1</v>
      </c>
      <c r="AC344" s="30" t="str">
        <f t="shared" ref="AC344:AD344" si="693">IF(_xlfn.ISFORMULA(S344),IFERROR(0/0,""),TRUE)</f>
        <v/>
      </c>
      <c r="AD344" s="30" t="b">
        <f t="shared" si="693"/>
        <v>1</v>
      </c>
      <c r="AE344" s="475" t="str">
        <f>IFERROR(__xludf.DUMMYFUNCTION("""COMPUTED_VALUE"""),"CRLN")</f>
        <v>CRLN</v>
      </c>
      <c r="AF344" s="476"/>
      <c r="AG344" s="474" t="s">
        <v>148</v>
      </c>
      <c r="AH344" s="138" t="str">
        <f t="shared" si="11"/>
        <v/>
      </c>
    </row>
    <row r="345">
      <c r="A345" s="459" t="str">
        <f>IFERROR(__xludf.DUMMYFUNCTION("""COMPUTED_VALUE"""),"FLB7379")</f>
        <v>FLB7379</v>
      </c>
      <c r="B345" s="494">
        <f>IFERROR(__xludf.DUMMYFUNCTION("""COMPUTED_VALUE"""),44564.0)</f>
        <v>44564</v>
      </c>
      <c r="C345" s="495">
        <f>IFERROR(__xludf.DUMMYFUNCTION("""COMPUTED_VALUE"""),0.3758564814814815)</f>
        <v>0.3758564815</v>
      </c>
      <c r="D345" s="459" t="str">
        <f>IFERROR(__xludf.DUMMYFUNCTION("""COMPUTED_VALUE"""),"SpFLMP120998")</f>
        <v>SpFLMP120998</v>
      </c>
      <c r="E345" s="459"/>
      <c r="F345" s="459"/>
      <c r="G345" s="459" t="str">
        <f>IFERROR(__xludf.DUMMYFUNCTION("""COMPUTED_VALUE"""),"Negative")</f>
        <v>Negative</v>
      </c>
      <c r="H345" s="496" t="str">
        <f>IFERROR(__xludf.DUMMYFUNCTION("""COMPUTED_VALUE"""),"Negative")</f>
        <v>Negative</v>
      </c>
      <c r="I345" s="494">
        <f>IFERROR(__xludf.DUMMYFUNCTION("""COMPUTED_VALUE"""),44564.0)</f>
        <v>44564</v>
      </c>
      <c r="J345" s="497">
        <f>IFERROR(__xludf.DUMMYFUNCTION("""COMPUTED_VALUE"""),0.44666666666666666)</f>
        <v>0.4466666667</v>
      </c>
      <c r="K345" s="16"/>
      <c r="L345" s="8"/>
      <c r="M345" s="69"/>
      <c r="N345" s="69">
        <f>IFERROR(__xludf.DUMMYFUNCTION("""COMPUTED_VALUE"""),1.0)</f>
        <v>1</v>
      </c>
      <c r="O345" s="69" t="str">
        <f t="shared" si="3"/>
        <v/>
      </c>
      <c r="P345" s="471">
        <f>IFERROR(__xludf.DUMMYFUNCTION("""COMPUTED_VALUE"""),0.0)</f>
        <v>0</v>
      </c>
      <c r="Q345" s="274" t="str">
        <f>VLOOKUP($B345,'Run Reconcile'!B$2:O2488,14,FALSE)</f>
        <v/>
      </c>
      <c r="R345" s="472" t="str">
        <f t="array" ref="R345">IF($Q345, INDEX('Run Reconcile'!A$2:A2488,MATCH(B345,'Run Reconcile'!B$2:B2488,0),1),IFERROR(0/0,""))</f>
        <v/>
      </c>
      <c r="S345" s="473" t="str">
        <f t="shared" si="694"/>
        <v/>
      </c>
      <c r="T345" s="473" t="b">
        <f>IF(COUNTIF(X$2:X2488, $A345) &gt; 0,TRUE,IFERROR(0/0,""))</f>
        <v>1</v>
      </c>
      <c r="U345" s="8" t="str">
        <f t="array" ref="U345">IF(ISBLANK($R345), INDEX('Run Reconcile'!A$2:A2488, MATCH($B345, 'Run Reconcile'!B$2:B2488, 0)+Z345, 1), IFERROR(0/0,""))
</f>
        <v>RUN-FLMP_2022-01-03_APS-078</v>
      </c>
      <c r="V345" s="474" t="str">
        <f t="shared" si="5"/>
        <v>RUN-FLMP_2022-01-03_APS-078</v>
      </c>
      <c r="X345" s="110" t="s">
        <v>1342</v>
      </c>
      <c r="Y345" s="89">
        <f t="shared" si="527"/>
        <v>1</v>
      </c>
      <c r="Z345" s="60">
        <f t="shared" si="7"/>
        <v>1</v>
      </c>
      <c r="AA345" s="60" t="str">
        <f t="shared" si="8"/>
        <v/>
      </c>
      <c r="AB345" s="60">
        <f t="shared" si="9"/>
        <v>1</v>
      </c>
      <c r="AC345" s="30" t="str">
        <f t="shared" ref="AC345:AD345" si="695">IF(_xlfn.ISFORMULA(S345),IFERROR(0/0,""),TRUE)</f>
        <v/>
      </c>
      <c r="AD345" s="30" t="str">
        <f t="shared" si="695"/>
        <v/>
      </c>
      <c r="AE345" s="475" t="str">
        <f>IFERROR(__xludf.DUMMYFUNCTION("""COMPUTED_VALUE"""),"FLSP")</f>
        <v>FLSP</v>
      </c>
      <c r="AF345" s="476"/>
      <c r="AG345" s="474" t="s">
        <v>148</v>
      </c>
      <c r="AH345" s="138" t="str">
        <f t="shared" si="11"/>
        <v/>
      </c>
    </row>
    <row r="346">
      <c r="A346" s="103" t="str">
        <f>IFERROR(__xludf.DUMMYFUNCTION("""COMPUTED_VALUE"""),"FLT113")</f>
        <v>FLT113</v>
      </c>
      <c r="B346" s="468">
        <f>IFERROR(__xludf.DUMMYFUNCTION("""COMPUTED_VALUE"""),44564.0)</f>
        <v>44564</v>
      </c>
      <c r="C346" s="469">
        <f>IFERROR(__xludf.DUMMYFUNCTION("""COMPUTED_VALUE"""),0.4008449074074074)</f>
        <v>0.4008449074</v>
      </c>
      <c r="D346" s="103" t="str">
        <f>IFERROR(__xludf.DUMMYFUNCTION("""COMPUTED_VALUE"""),"SpFLMP600756")</f>
        <v>SpFLMP600756</v>
      </c>
      <c r="E346" s="103"/>
      <c r="F346" s="103"/>
      <c r="G346" s="103" t="str">
        <f>IFERROR(__xludf.DUMMYFUNCTION("""COMPUTED_VALUE"""),"Negative")</f>
        <v>Negative</v>
      </c>
      <c r="H346" s="131" t="str">
        <f>IFERROR(__xludf.DUMMYFUNCTION("""COMPUTED_VALUE"""),"Negative")</f>
        <v>Negative</v>
      </c>
      <c r="I346" s="468">
        <f>IFERROR(__xludf.DUMMYFUNCTION("""COMPUTED_VALUE"""),44564.0)</f>
        <v>44564</v>
      </c>
      <c r="J346" s="470">
        <f>IFERROR(__xludf.DUMMYFUNCTION("""COMPUTED_VALUE"""),0.4257986111111111)</f>
        <v>0.4257986111</v>
      </c>
      <c r="K346" s="16"/>
      <c r="L346" s="8"/>
      <c r="M346" s="69"/>
      <c r="N346" s="69">
        <f>IFERROR(__xludf.DUMMYFUNCTION("""COMPUTED_VALUE"""),1.0)</f>
        <v>1</v>
      </c>
      <c r="O346" s="69" t="str">
        <f t="shared" si="3"/>
        <v/>
      </c>
      <c r="P346" s="471">
        <f>IFERROR(__xludf.DUMMYFUNCTION("""COMPUTED_VALUE"""),0.0)</f>
        <v>0</v>
      </c>
      <c r="Q346" s="274" t="str">
        <f>VLOOKUP($B346,'Run Reconcile'!B$2:O2488,14,FALSE)</f>
        <v/>
      </c>
      <c r="R346" s="472" t="str">
        <f t="array" ref="R346">IF($Q346, INDEX('Run Reconcile'!A$2:A2488,MATCH(B346,'Run Reconcile'!B$2:B2488,0),1),IFERROR(0/0,""))</f>
        <v/>
      </c>
      <c r="S346" s="473" t="str">
        <f t="shared" si="694"/>
        <v/>
      </c>
      <c r="T346" s="492" t="b">
        <v>1</v>
      </c>
      <c r="U346" s="8" t="str">
        <f t="array" ref="U346">IF(ISBLANK($R346), INDEX('Run Reconcile'!A$2:A2488, MATCH($B346, 'Run Reconcile'!B$2:B2488, 0)+Z346, 1), IFERROR(0/0,""))
</f>
        <v>RUN-FLMP_2022-01-03_APS-078</v>
      </c>
      <c r="V346" s="474" t="str">
        <f t="shared" si="5"/>
        <v>RUN-FLMP_2022-01-03_APS-078</v>
      </c>
      <c r="X346" s="8" t="s">
        <v>1343</v>
      </c>
      <c r="Y346" s="89">
        <f t="shared" si="527"/>
        <v>1</v>
      </c>
      <c r="Z346" s="60">
        <f t="shared" si="7"/>
        <v>1</v>
      </c>
      <c r="AA346" s="60" t="str">
        <f t="shared" si="8"/>
        <v/>
      </c>
      <c r="AB346" s="60">
        <f t="shared" si="9"/>
        <v>1</v>
      </c>
      <c r="AC346" s="30" t="str">
        <f t="shared" ref="AC346:AD346" si="696">IF(_xlfn.ISFORMULA(S346),IFERROR(0/0,""),TRUE)</f>
        <v/>
      </c>
      <c r="AD346" s="30" t="b">
        <f t="shared" si="696"/>
        <v>1</v>
      </c>
      <c r="AE346" s="475" t="str">
        <f>IFERROR(__xludf.DUMMYFUNCTION("""COMPUTED_VALUE"""),"CRLN")</f>
        <v>CRLN</v>
      </c>
      <c r="AF346" s="476"/>
      <c r="AG346" s="474" t="s">
        <v>148</v>
      </c>
      <c r="AH346" s="138" t="str">
        <f t="shared" si="11"/>
        <v/>
      </c>
    </row>
    <row r="347">
      <c r="A347" s="498" t="str">
        <f>IFERROR(__xludf.DUMMYFUNCTION("""COMPUTED_VALUE"""),"FLB6876")</f>
        <v>FLB6876</v>
      </c>
      <c r="B347" s="499">
        <f>IFERROR(__xludf.DUMMYFUNCTION("""COMPUTED_VALUE"""),44564.0)</f>
        <v>44564</v>
      </c>
      <c r="C347" s="500">
        <f>IFERROR(__xludf.DUMMYFUNCTION("""COMPUTED_VALUE"""),0.7540509259259259)</f>
        <v>0.7540509259</v>
      </c>
      <c r="D347" s="498" t="str">
        <f>IFERROR(__xludf.DUMMYFUNCTION("""COMPUTED_VALUE"""),"SpFLMP518914")</f>
        <v>SpFLMP518914</v>
      </c>
      <c r="E347" s="498"/>
      <c r="F347" s="498"/>
      <c r="G347" s="498" t="str">
        <f>IFERROR(__xludf.DUMMYFUNCTION("""COMPUTED_VALUE"""),"Negative")</f>
        <v>Negative</v>
      </c>
      <c r="H347" s="501" t="str">
        <f>IFERROR(__xludf.DUMMYFUNCTION("""COMPUTED_VALUE"""),"Negative")</f>
        <v>Negative</v>
      </c>
      <c r="I347" s="499">
        <f>IFERROR(__xludf.DUMMYFUNCTION("""COMPUTED_VALUE"""),44565.0)</f>
        <v>44565</v>
      </c>
      <c r="J347" s="502">
        <f>IFERROR(__xludf.DUMMYFUNCTION("""COMPUTED_VALUE"""),0.4567013888888889)</f>
        <v>0.4567013889</v>
      </c>
      <c r="K347" s="16"/>
      <c r="L347" s="8"/>
      <c r="M347" s="69"/>
      <c r="N347" s="69">
        <f>IFERROR(__xludf.DUMMYFUNCTION("""COMPUTED_VALUE"""),4.0)</f>
        <v>4</v>
      </c>
      <c r="O347" s="69" t="str">
        <f t="shared" si="3"/>
        <v/>
      </c>
      <c r="P347" s="471">
        <f>IFERROR(__xludf.DUMMYFUNCTION("""COMPUTED_VALUE"""),1.0)</f>
        <v>1</v>
      </c>
      <c r="Q347" s="274" t="str">
        <f>VLOOKUP($B347,'Run Reconcile'!B$2:O2488,14,FALSE)</f>
        <v/>
      </c>
      <c r="R347" s="472" t="str">
        <f t="array" ref="R347">IF($Q347, INDEX('Run Reconcile'!A$2:A2488,MATCH(B347,'Run Reconcile'!B$2:B2488,0),1),IFERROR(0/0,""))</f>
        <v/>
      </c>
      <c r="S347" s="503" t="b">
        <f t="shared" si="694"/>
        <v>1</v>
      </c>
      <c r="T347" s="473" t="str">
        <f t="shared" ref="T347:T1493" si="698">IF(COUNTIF(X$2:X2488, $A347) &gt; 0,TRUE,IFERROR(0/0,""))</f>
        <v/>
      </c>
      <c r="U347" s="275" t="str">
        <f t="array" ref="U347">IF(ISBLANK($R347), INDEX('Run Reconcile'!A$2:A2488, MATCH($B347, 'Run Reconcile'!B$2:B2488, 0)+Z347, 1), IFERROR(0/0,""))
</f>
        <v>RUN-FLMP_2022-01-04_RFR-049</v>
      </c>
      <c r="V347" s="474" t="str">
        <f t="shared" si="5"/>
        <v>RUN-FLMP_2022-01-04_RFR-049</v>
      </c>
      <c r="W347" s="498" t="s">
        <v>1344</v>
      </c>
      <c r="Y347" s="21">
        <v>2.0</v>
      </c>
      <c r="Z347" s="60">
        <f t="shared" si="7"/>
        <v>2</v>
      </c>
      <c r="AA347" s="60">
        <f t="shared" si="8"/>
        <v>2</v>
      </c>
      <c r="AB347" s="60" t="str">
        <f t="shared" si="9"/>
        <v/>
      </c>
      <c r="AC347" s="30" t="str">
        <f t="shared" ref="AC347:AD347" si="697">IF(_xlfn.ISFORMULA(S347),IFERROR(0/0,""),TRUE)</f>
        <v/>
      </c>
      <c r="AD347" s="30" t="str">
        <f t="shared" si="697"/>
        <v/>
      </c>
      <c r="AE347" s="475" t="str">
        <f>IFERROR(__xludf.DUMMYFUNCTION("""COMPUTED_VALUE"""),"CRLN")</f>
        <v>CRLN</v>
      </c>
      <c r="AF347" s="476"/>
      <c r="AG347" s="474" t="s">
        <v>150</v>
      </c>
      <c r="AH347" s="138" t="str">
        <f t="shared" si="11"/>
        <v/>
      </c>
    </row>
    <row r="348">
      <c r="A348" s="498" t="str">
        <f>IFERROR(__xludf.DUMMYFUNCTION("""COMPUTED_VALUE"""),"FLB5848")</f>
        <v>FLB5848</v>
      </c>
      <c r="B348" s="499">
        <f>IFERROR(__xludf.DUMMYFUNCTION("""COMPUTED_VALUE"""),44564.0)</f>
        <v>44564</v>
      </c>
      <c r="C348" s="500">
        <f>IFERROR(__xludf.DUMMYFUNCTION("""COMPUTED_VALUE"""),0.7615972222222223)</f>
        <v>0.7615972222</v>
      </c>
      <c r="D348" s="498" t="str">
        <f>IFERROR(__xludf.DUMMYFUNCTION("""COMPUTED_VALUE"""),"SpFLMP572444")</f>
        <v>SpFLMP572444</v>
      </c>
      <c r="E348" s="498"/>
      <c r="F348" s="498"/>
      <c r="G348" s="498" t="str">
        <f>IFERROR(__xludf.DUMMYFUNCTION("""COMPUTED_VALUE"""),"Negative")</f>
        <v>Negative</v>
      </c>
      <c r="H348" s="501" t="str">
        <f>IFERROR(__xludf.DUMMYFUNCTION("""COMPUTED_VALUE"""),"Negative")</f>
        <v>Negative</v>
      </c>
      <c r="I348" s="499">
        <f>IFERROR(__xludf.DUMMYFUNCTION("""COMPUTED_VALUE"""),44565.0)</f>
        <v>44565</v>
      </c>
      <c r="J348" s="502">
        <f>IFERROR(__xludf.DUMMYFUNCTION("""COMPUTED_VALUE"""),0.4567013888888889)</f>
        <v>0.4567013889</v>
      </c>
      <c r="K348" s="16"/>
      <c r="L348" s="8"/>
      <c r="M348" s="69"/>
      <c r="N348" s="69">
        <f>IFERROR(__xludf.DUMMYFUNCTION("""COMPUTED_VALUE"""),4.0)</f>
        <v>4</v>
      </c>
      <c r="O348" s="69" t="str">
        <f t="shared" si="3"/>
        <v/>
      </c>
      <c r="P348" s="471">
        <f>IFERROR(__xludf.DUMMYFUNCTION("""COMPUTED_VALUE"""),1.0)</f>
        <v>1</v>
      </c>
      <c r="Q348" s="274" t="str">
        <f>VLOOKUP($B348,'Run Reconcile'!B$2:O2488,14,FALSE)</f>
        <v/>
      </c>
      <c r="R348" s="472" t="str">
        <f t="array" ref="R348">IF($Q348, INDEX('Run Reconcile'!A$2:A2488,MATCH(B348,'Run Reconcile'!B$2:B2488,0),1),IFERROR(0/0,""))</f>
        <v/>
      </c>
      <c r="S348" s="503" t="b">
        <f t="shared" si="694"/>
        <v>1</v>
      </c>
      <c r="T348" s="473" t="str">
        <f t="shared" si="698"/>
        <v/>
      </c>
      <c r="U348" s="275" t="str">
        <f t="array" ref="U348">IF(ISBLANK($R348), INDEX('Run Reconcile'!A$2:A2488, MATCH($B348, 'Run Reconcile'!B$2:B2488, 0)+Z348, 1), IFERROR(0/0,""))
</f>
        <v>RUN-FLMP_2022-01-04_RFR-049</v>
      </c>
      <c r="V348" s="474" t="str">
        <f t="shared" si="5"/>
        <v>RUN-FLMP_2022-01-04_RFR-049</v>
      </c>
      <c r="W348" s="498" t="s">
        <v>1345</v>
      </c>
      <c r="Y348" s="21">
        <v>2.0</v>
      </c>
      <c r="Z348" s="60">
        <f t="shared" si="7"/>
        <v>2</v>
      </c>
      <c r="AA348" s="60">
        <f t="shared" si="8"/>
        <v>2</v>
      </c>
      <c r="AB348" s="60" t="str">
        <f t="shared" si="9"/>
        <v/>
      </c>
      <c r="AC348" s="30" t="str">
        <f t="shared" ref="AC348:AD348" si="699">IF(_xlfn.ISFORMULA(S348),IFERROR(0/0,""),TRUE)</f>
        <v/>
      </c>
      <c r="AD348" s="30" t="str">
        <f t="shared" si="699"/>
        <v/>
      </c>
      <c r="AE348" s="475" t="str">
        <f>IFERROR(__xludf.DUMMYFUNCTION("""COMPUTED_VALUE"""),"CRLN")</f>
        <v>CRLN</v>
      </c>
      <c r="AF348" s="476"/>
      <c r="AG348" s="474" t="s">
        <v>150</v>
      </c>
      <c r="AH348" s="138" t="str">
        <f t="shared" si="11"/>
        <v/>
      </c>
    </row>
    <row r="349">
      <c r="A349" s="103" t="str">
        <f>IFERROR(__xludf.DUMMYFUNCTION("""COMPUTED_VALUE"""),"FLT1519")</f>
        <v>FLT1519</v>
      </c>
      <c r="B349" s="468">
        <f>IFERROR(__xludf.DUMMYFUNCTION("""COMPUTED_VALUE"""),44565.0)</f>
        <v>44565</v>
      </c>
      <c r="C349" s="469">
        <f>IFERROR(__xludf.DUMMYFUNCTION("""COMPUTED_VALUE"""),0.3030671296296296)</f>
        <v>0.3030671296</v>
      </c>
      <c r="D349" s="103" t="str">
        <f>IFERROR(__xludf.DUMMYFUNCTION("""COMPUTED_VALUE"""),"SpFLMP690282")</f>
        <v>SpFLMP690282</v>
      </c>
      <c r="E349" s="103"/>
      <c r="F349" s="103"/>
      <c r="G349" s="103" t="str">
        <f>IFERROR(__xludf.DUMMYFUNCTION("""COMPUTED_VALUE"""),"Negative")</f>
        <v>Negative</v>
      </c>
      <c r="H349" s="131" t="str">
        <f>IFERROR(__xludf.DUMMYFUNCTION("""COMPUTED_VALUE"""),"Negative")</f>
        <v>Negative</v>
      </c>
      <c r="I349" s="468">
        <f>IFERROR(__xludf.DUMMYFUNCTION("""COMPUTED_VALUE"""),44565.0)</f>
        <v>44565</v>
      </c>
      <c r="J349" s="470">
        <f>IFERROR(__xludf.DUMMYFUNCTION("""COMPUTED_VALUE"""),0.4567013888888889)</f>
        <v>0.4567013889</v>
      </c>
      <c r="K349" s="16"/>
      <c r="L349" s="8"/>
      <c r="M349" s="69"/>
      <c r="N349" s="69">
        <f>IFERROR(__xludf.DUMMYFUNCTION("""COMPUTED_VALUE"""),2.0)</f>
        <v>2</v>
      </c>
      <c r="O349" s="69" t="b">
        <f t="shared" si="3"/>
        <v>1</v>
      </c>
      <c r="P349" s="471">
        <f>IFERROR(__xludf.DUMMYFUNCTION("""COMPUTED_VALUE"""),0.0)</f>
        <v>0</v>
      </c>
      <c r="Q349" s="274" t="str">
        <f>VLOOKUP($B349,'Run Reconcile'!B$2:O2488,14,FALSE)</f>
        <v/>
      </c>
      <c r="R349" s="472" t="str">
        <f t="array" ref="R349">IF($Q349, INDEX('Run Reconcile'!A$2:A2488,MATCH(B349,'Run Reconcile'!B$2:B2488,0),1),IFERROR(0/0,""))</f>
        <v/>
      </c>
      <c r="S349" s="473" t="str">
        <f t="shared" si="694"/>
        <v/>
      </c>
      <c r="T349" s="473" t="str">
        <f t="shared" si="698"/>
        <v/>
      </c>
      <c r="U349" s="275" t="str">
        <f t="array" ref="U349">IF(ISBLANK($R349), INDEX('Run Reconcile'!A$2:A2488, MATCH($B349, 'Run Reconcile'!B$2:B2488, 0)+Z349, 1), IFERROR(0/0,""))
</f>
        <v>RUN-FLMP_2022-01-04_RFR-049</v>
      </c>
      <c r="V349" s="474" t="str">
        <f t="shared" si="5"/>
        <v>RUN-FLMP_2022-01-04_RFR-049</v>
      </c>
      <c r="Y349" s="89" t="str">
        <f t="shared" ref="Y349:Y427" si="701">IF(AND(ISBLANK(W349),ISBLANK(X349)),IFERROR(0/0,""),1)</f>
        <v/>
      </c>
      <c r="Z349" s="60" t="str">
        <f t="shared" si="7"/>
        <v/>
      </c>
      <c r="AA349" s="60" t="str">
        <f t="shared" si="8"/>
        <v/>
      </c>
      <c r="AB349" s="60" t="str">
        <f t="shared" si="9"/>
        <v/>
      </c>
      <c r="AC349" s="30" t="str">
        <f t="shared" ref="AC349:AD349" si="700">IF(_xlfn.ISFORMULA(S349),IFERROR(0/0,""),TRUE)</f>
        <v/>
      </c>
      <c r="AD349" s="30" t="str">
        <f t="shared" si="700"/>
        <v/>
      </c>
      <c r="AE349" s="475" t="str">
        <f>IFERROR(__xludf.DUMMYFUNCTION("""COMPUTED_VALUE"""),"CRLN")</f>
        <v>CRLN</v>
      </c>
      <c r="AF349" s="476"/>
      <c r="AG349" s="474" t="s">
        <v>150</v>
      </c>
      <c r="AH349" s="138" t="str">
        <f t="shared" si="11"/>
        <v/>
      </c>
    </row>
    <row r="350">
      <c r="A350" s="103" t="str">
        <f>IFERROR(__xludf.DUMMYFUNCTION("""COMPUTED_VALUE"""),"FLB7360")</f>
        <v>FLB7360</v>
      </c>
      <c r="B350" s="468">
        <f>IFERROR(__xludf.DUMMYFUNCTION("""COMPUTED_VALUE"""),44565.0)</f>
        <v>44565</v>
      </c>
      <c r="C350" s="469">
        <f>IFERROR(__xludf.DUMMYFUNCTION("""COMPUTED_VALUE"""),0.3304166666666667)</f>
        <v>0.3304166667</v>
      </c>
      <c r="D350" s="103" t="str">
        <f>IFERROR(__xludf.DUMMYFUNCTION("""COMPUTED_VALUE"""),"SpFLMP685536")</f>
        <v>SpFLMP685536</v>
      </c>
      <c r="E350" s="103"/>
      <c r="F350" s="103"/>
      <c r="G350" s="103" t="str">
        <f>IFERROR(__xludf.DUMMYFUNCTION("""COMPUTED_VALUE"""),"Negative")</f>
        <v>Negative</v>
      </c>
      <c r="H350" s="131" t="str">
        <f>IFERROR(__xludf.DUMMYFUNCTION("""COMPUTED_VALUE"""),"Negative")</f>
        <v>Negative</v>
      </c>
      <c r="I350" s="468">
        <f>IFERROR(__xludf.DUMMYFUNCTION("""COMPUTED_VALUE"""),44565.0)</f>
        <v>44565</v>
      </c>
      <c r="J350" s="470">
        <f>IFERROR(__xludf.DUMMYFUNCTION("""COMPUTED_VALUE"""),0.4567013888888889)</f>
        <v>0.4567013889</v>
      </c>
      <c r="K350" s="16"/>
      <c r="L350" s="8"/>
      <c r="M350" s="69"/>
      <c r="N350" s="69">
        <f>IFERROR(__xludf.DUMMYFUNCTION("""COMPUTED_VALUE"""),3.0)</f>
        <v>3</v>
      </c>
      <c r="O350" s="69" t="str">
        <f t="shared" si="3"/>
        <v/>
      </c>
      <c r="P350" s="471">
        <f>IFERROR(__xludf.DUMMYFUNCTION("""COMPUTED_VALUE"""),0.0)</f>
        <v>0</v>
      </c>
      <c r="Q350" s="274" t="str">
        <f>VLOOKUP($B350,'Run Reconcile'!B$2:O2488,14,FALSE)</f>
        <v/>
      </c>
      <c r="R350" s="472" t="str">
        <f t="array" ref="R350">IF($Q350, INDEX('Run Reconcile'!A$2:A2488,MATCH(B350,'Run Reconcile'!B$2:B2488,0),1),IFERROR(0/0,""))</f>
        <v/>
      </c>
      <c r="S350" s="473" t="str">
        <f t="shared" si="694"/>
        <v/>
      </c>
      <c r="T350" s="473" t="str">
        <f t="shared" si="698"/>
        <v/>
      </c>
      <c r="U350" s="275" t="str">
        <f t="array" ref="U350">IF(ISBLANK($R350), INDEX('Run Reconcile'!A$2:A2488, MATCH($B350, 'Run Reconcile'!B$2:B2488, 0)+Z350, 1), IFERROR(0/0,""))
</f>
        <v>RUN-FLMP_2022-01-04_RFR-049</v>
      </c>
      <c r="V350" s="474" t="str">
        <f t="shared" si="5"/>
        <v>RUN-FLMP_2022-01-04_RFR-049</v>
      </c>
      <c r="Y350" s="89" t="str">
        <f t="shared" si="701"/>
        <v/>
      </c>
      <c r="Z350" s="60" t="str">
        <f t="shared" si="7"/>
        <v/>
      </c>
      <c r="AA350" s="60" t="str">
        <f t="shared" si="8"/>
        <v/>
      </c>
      <c r="AB350" s="60" t="str">
        <f t="shared" si="9"/>
        <v/>
      </c>
      <c r="AC350" s="30" t="str">
        <f t="shared" ref="AC350:AD350" si="702">IF(_xlfn.ISFORMULA(S350),IFERROR(0/0,""),TRUE)</f>
        <v/>
      </c>
      <c r="AD350" s="30" t="str">
        <f t="shared" si="702"/>
        <v/>
      </c>
      <c r="AE350" s="475" t="str">
        <f>IFERROR(__xludf.DUMMYFUNCTION("""COMPUTED_VALUE"""),"CRLN")</f>
        <v>CRLN</v>
      </c>
      <c r="AF350" s="476"/>
      <c r="AG350" s="474" t="s">
        <v>150</v>
      </c>
      <c r="AH350" s="138" t="str">
        <f t="shared" si="11"/>
        <v/>
      </c>
    </row>
    <row r="351">
      <c r="A351" s="103" t="str">
        <f>IFERROR(__xludf.DUMMYFUNCTION("""COMPUTED_VALUE"""),"FLT1516")</f>
        <v>FLT1516</v>
      </c>
      <c r="B351" s="468">
        <f>IFERROR(__xludf.DUMMYFUNCTION("""COMPUTED_VALUE"""),44565.0)</f>
        <v>44565</v>
      </c>
      <c r="C351" s="469">
        <f>IFERROR(__xludf.DUMMYFUNCTION("""COMPUTED_VALUE"""),0.35462962962962963)</f>
        <v>0.3546296296</v>
      </c>
      <c r="D351" s="103" t="str">
        <f>IFERROR(__xludf.DUMMYFUNCTION("""COMPUTED_VALUE"""),"SpFLMP604497")</f>
        <v>SpFLMP604497</v>
      </c>
      <c r="E351" s="103"/>
      <c r="F351" s="103"/>
      <c r="G351" s="103" t="str">
        <f>IFERROR(__xludf.DUMMYFUNCTION("""COMPUTED_VALUE"""),"Negative")</f>
        <v>Negative</v>
      </c>
      <c r="H351" s="131" t="str">
        <f>IFERROR(__xludf.DUMMYFUNCTION("""COMPUTED_VALUE"""),"Negative")</f>
        <v>Negative</v>
      </c>
      <c r="I351" s="468">
        <f>IFERROR(__xludf.DUMMYFUNCTION("""COMPUTED_VALUE"""),44565.0)</f>
        <v>44565</v>
      </c>
      <c r="J351" s="470">
        <f>IFERROR(__xludf.DUMMYFUNCTION("""COMPUTED_VALUE"""),0.456712962962963)</f>
        <v>0.456712963</v>
      </c>
      <c r="K351" s="16"/>
      <c r="L351" s="8"/>
      <c r="M351" s="69"/>
      <c r="N351" s="69">
        <f>IFERROR(__xludf.DUMMYFUNCTION("""COMPUTED_VALUE"""),4.0)</f>
        <v>4</v>
      </c>
      <c r="O351" s="69" t="str">
        <f t="shared" si="3"/>
        <v/>
      </c>
      <c r="P351" s="471">
        <f>IFERROR(__xludf.DUMMYFUNCTION("""COMPUTED_VALUE"""),0.0)</f>
        <v>0</v>
      </c>
      <c r="Q351" s="274" t="str">
        <f>VLOOKUP($B351,'Run Reconcile'!B$2:O2488,14,FALSE)</f>
        <v/>
      </c>
      <c r="R351" s="472" t="str">
        <f t="array" ref="R351">IF($Q351, INDEX('Run Reconcile'!A$2:A2488,MATCH(B351,'Run Reconcile'!B$2:B2488,0),1),IFERROR(0/0,""))</f>
        <v/>
      </c>
      <c r="S351" s="473" t="str">
        <f t="shared" si="694"/>
        <v/>
      </c>
      <c r="T351" s="473" t="str">
        <f t="shared" si="698"/>
        <v/>
      </c>
      <c r="U351" s="275" t="str">
        <f t="array" ref="U351">IF(ISBLANK($R351), INDEX('Run Reconcile'!A$2:A2488, MATCH($B351, 'Run Reconcile'!B$2:B2488, 0)+Z351, 1), IFERROR(0/0,""))
</f>
        <v>RUN-FLMP_2022-01-04_RFR-049</v>
      </c>
      <c r="V351" s="474" t="str">
        <f t="shared" si="5"/>
        <v>RUN-FLMP_2022-01-04_RFR-049</v>
      </c>
      <c r="Y351" s="89" t="str">
        <f t="shared" si="701"/>
        <v/>
      </c>
      <c r="Z351" s="60" t="str">
        <f t="shared" si="7"/>
        <v/>
      </c>
      <c r="AA351" s="60" t="str">
        <f t="shared" si="8"/>
        <v/>
      </c>
      <c r="AB351" s="60" t="str">
        <f t="shared" si="9"/>
        <v/>
      </c>
      <c r="AC351" s="30" t="str">
        <f t="shared" ref="AC351:AD351" si="703">IF(_xlfn.ISFORMULA(S351),IFERROR(0/0,""),TRUE)</f>
        <v/>
      </c>
      <c r="AD351" s="30" t="str">
        <f t="shared" si="703"/>
        <v/>
      </c>
      <c r="AE351" s="475" t="str">
        <f>IFERROR(__xludf.DUMMYFUNCTION("""COMPUTED_VALUE"""),"CRLN")</f>
        <v>CRLN</v>
      </c>
      <c r="AF351" s="476"/>
      <c r="AG351" s="474" t="s">
        <v>150</v>
      </c>
      <c r="AH351" s="138" t="str">
        <f t="shared" si="11"/>
        <v/>
      </c>
    </row>
    <row r="352">
      <c r="A352" s="103" t="str">
        <f>IFERROR(__xludf.DUMMYFUNCTION("""COMPUTED_VALUE"""),"FLT133")</f>
        <v>FLT133</v>
      </c>
      <c r="B352" s="468">
        <f>IFERROR(__xludf.DUMMYFUNCTION("""COMPUTED_VALUE"""),44565.0)</f>
        <v>44565</v>
      </c>
      <c r="C352" s="469">
        <f>IFERROR(__xludf.DUMMYFUNCTION("""COMPUTED_VALUE"""),0.3578587962962963)</f>
        <v>0.3578587963</v>
      </c>
      <c r="D352" s="103" t="str">
        <f>IFERROR(__xludf.DUMMYFUNCTION("""COMPUTED_VALUE"""),"SpFLMP777132")</f>
        <v>SpFLMP777132</v>
      </c>
      <c r="E352" s="103"/>
      <c r="F352" s="103"/>
      <c r="G352" s="103" t="str">
        <f>IFERROR(__xludf.DUMMYFUNCTION("""COMPUTED_VALUE"""),"Negative")</f>
        <v>Negative</v>
      </c>
      <c r="H352" s="131" t="str">
        <f>IFERROR(__xludf.DUMMYFUNCTION("""COMPUTED_VALUE"""),"Negative")</f>
        <v>Negative</v>
      </c>
      <c r="I352" s="468">
        <f>IFERROR(__xludf.DUMMYFUNCTION("""COMPUTED_VALUE"""),44565.0)</f>
        <v>44565</v>
      </c>
      <c r="J352" s="470">
        <f>IFERROR(__xludf.DUMMYFUNCTION("""COMPUTED_VALUE"""),0.456712962962963)</f>
        <v>0.456712963</v>
      </c>
      <c r="K352" s="16"/>
      <c r="L352" s="8"/>
      <c r="M352" s="69"/>
      <c r="N352" s="69">
        <f>IFERROR(__xludf.DUMMYFUNCTION("""COMPUTED_VALUE"""),2.0)</f>
        <v>2</v>
      </c>
      <c r="O352" s="69" t="str">
        <f t="shared" si="3"/>
        <v/>
      </c>
      <c r="P352" s="471">
        <f>IFERROR(__xludf.DUMMYFUNCTION("""COMPUTED_VALUE"""),0.0)</f>
        <v>0</v>
      </c>
      <c r="Q352" s="274" t="str">
        <f>VLOOKUP($B352,'Run Reconcile'!B$2:O2488,14,FALSE)</f>
        <v/>
      </c>
      <c r="R352" s="472" t="str">
        <f t="array" ref="R352">IF($Q352, INDEX('Run Reconcile'!A$2:A2488,MATCH(B352,'Run Reconcile'!B$2:B2488,0),1),IFERROR(0/0,""))</f>
        <v/>
      </c>
      <c r="S352" s="473" t="str">
        <f t="shared" si="694"/>
        <v/>
      </c>
      <c r="T352" s="473" t="str">
        <f t="shared" si="698"/>
        <v/>
      </c>
      <c r="U352" s="275" t="str">
        <f t="array" ref="U352">IF(ISBLANK($R352), INDEX('Run Reconcile'!A$2:A2488, MATCH($B352, 'Run Reconcile'!B$2:B2488, 0)+Z352, 1), IFERROR(0/0,""))
</f>
        <v>RUN-FLMP_2022-01-04_RFR-049</v>
      </c>
      <c r="V352" s="474" t="str">
        <f t="shared" si="5"/>
        <v>RUN-FLMP_2022-01-04_RFR-049</v>
      </c>
      <c r="Y352" s="89" t="str">
        <f t="shared" si="701"/>
        <v/>
      </c>
      <c r="Z352" s="60" t="str">
        <f t="shared" si="7"/>
        <v/>
      </c>
      <c r="AA352" s="60" t="str">
        <f t="shared" si="8"/>
        <v/>
      </c>
      <c r="AB352" s="60" t="str">
        <f t="shared" si="9"/>
        <v/>
      </c>
      <c r="AC352" s="30" t="str">
        <f t="shared" ref="AC352:AD352" si="704">IF(_xlfn.ISFORMULA(S352),IFERROR(0/0,""),TRUE)</f>
        <v/>
      </c>
      <c r="AD352" s="30" t="str">
        <f t="shared" si="704"/>
        <v/>
      </c>
      <c r="AE352" s="475" t="str">
        <f>IFERROR(__xludf.DUMMYFUNCTION("""COMPUTED_VALUE"""),"CRLN")</f>
        <v>CRLN</v>
      </c>
      <c r="AF352" s="476"/>
      <c r="AG352" s="474" t="s">
        <v>150</v>
      </c>
      <c r="AH352" s="138" t="str">
        <f t="shared" si="11"/>
        <v/>
      </c>
    </row>
    <row r="353">
      <c r="A353" s="103" t="str">
        <f>IFERROR(__xludf.DUMMYFUNCTION("""COMPUTED_VALUE"""),"FLB7284")</f>
        <v>FLB7284</v>
      </c>
      <c r="B353" s="468">
        <f>IFERROR(__xludf.DUMMYFUNCTION("""COMPUTED_VALUE"""),44565.0)</f>
        <v>44565</v>
      </c>
      <c r="C353" s="469">
        <f>IFERROR(__xludf.DUMMYFUNCTION("""COMPUTED_VALUE"""),0.3712152777777778)</f>
        <v>0.3712152778</v>
      </c>
      <c r="D353" s="103" t="str">
        <f>IFERROR(__xludf.DUMMYFUNCTION("""COMPUTED_VALUE"""),"SpFLMP496039")</f>
        <v>SpFLMP496039</v>
      </c>
      <c r="E353" s="103"/>
      <c r="F353" s="103"/>
      <c r="G353" s="103" t="str">
        <f>IFERROR(__xludf.DUMMYFUNCTION("""COMPUTED_VALUE"""),"Negative")</f>
        <v>Negative</v>
      </c>
      <c r="H353" s="131" t="str">
        <f>IFERROR(__xludf.DUMMYFUNCTION("""COMPUTED_VALUE"""),"Negative")</f>
        <v>Negative</v>
      </c>
      <c r="I353" s="468">
        <f>IFERROR(__xludf.DUMMYFUNCTION("""COMPUTED_VALUE"""),44565.0)</f>
        <v>44565</v>
      </c>
      <c r="J353" s="470">
        <f>IFERROR(__xludf.DUMMYFUNCTION("""COMPUTED_VALUE"""),0.456712962962963)</f>
        <v>0.456712963</v>
      </c>
      <c r="K353" s="16"/>
      <c r="L353" s="8"/>
      <c r="M353" s="69"/>
      <c r="N353" s="69">
        <f>IFERROR(__xludf.DUMMYFUNCTION("""COMPUTED_VALUE"""),1.0)</f>
        <v>1</v>
      </c>
      <c r="O353" s="69" t="str">
        <f t="shared" si="3"/>
        <v/>
      </c>
      <c r="P353" s="471">
        <f>IFERROR(__xludf.DUMMYFUNCTION("""COMPUTED_VALUE"""),0.0)</f>
        <v>0</v>
      </c>
      <c r="Q353" s="274" t="str">
        <f>VLOOKUP($B353,'Run Reconcile'!B$2:O2488,14,FALSE)</f>
        <v/>
      </c>
      <c r="R353" s="472" t="str">
        <f t="array" ref="R353">IF($Q353, INDEX('Run Reconcile'!A$2:A2488,MATCH(B353,'Run Reconcile'!B$2:B2488,0),1),IFERROR(0/0,""))</f>
        <v/>
      </c>
      <c r="S353" s="473" t="str">
        <f t="shared" si="694"/>
        <v/>
      </c>
      <c r="T353" s="473" t="str">
        <f t="shared" si="698"/>
        <v/>
      </c>
      <c r="U353" s="275" t="str">
        <f t="array" ref="U353">IF(ISBLANK($R353), INDEX('Run Reconcile'!A$2:A2488, MATCH($B353, 'Run Reconcile'!B$2:B2488, 0)+Z353, 1), IFERROR(0/0,""))
</f>
        <v>RUN-FLMP_2022-01-04_RFR-049</v>
      </c>
      <c r="V353" s="474" t="str">
        <f t="shared" si="5"/>
        <v>RUN-FLMP_2022-01-04_RFR-049</v>
      </c>
      <c r="Y353" s="89" t="str">
        <f t="shared" si="701"/>
        <v/>
      </c>
      <c r="Z353" s="60" t="str">
        <f t="shared" si="7"/>
        <v/>
      </c>
      <c r="AA353" s="60" t="str">
        <f t="shared" si="8"/>
        <v/>
      </c>
      <c r="AB353" s="60" t="str">
        <f t="shared" si="9"/>
        <v/>
      </c>
      <c r="AC353" s="30" t="str">
        <f t="shared" ref="AC353:AD353" si="705">IF(_xlfn.ISFORMULA(S353),IFERROR(0/0,""),TRUE)</f>
        <v/>
      </c>
      <c r="AD353" s="30" t="str">
        <f t="shared" si="705"/>
        <v/>
      </c>
      <c r="AE353" s="475" t="str">
        <f>IFERROR(__xludf.DUMMYFUNCTION("""COMPUTED_VALUE"""),"CRLN")</f>
        <v>CRLN</v>
      </c>
      <c r="AF353" s="476"/>
      <c r="AG353" s="474" t="s">
        <v>150</v>
      </c>
      <c r="AH353" s="138" t="str">
        <f t="shared" si="11"/>
        <v/>
      </c>
    </row>
    <row r="354">
      <c r="A354" s="103" t="str">
        <f>IFERROR(__xludf.DUMMYFUNCTION("""COMPUTED_VALUE"""),"FLE300")</f>
        <v>FLE300</v>
      </c>
      <c r="B354" s="468">
        <f>IFERROR(__xludf.DUMMYFUNCTION("""COMPUTED_VALUE"""),44565.0)</f>
        <v>44565</v>
      </c>
      <c r="C354" s="469">
        <f>IFERROR(__xludf.DUMMYFUNCTION("""COMPUTED_VALUE"""),0.45489583333333333)</f>
        <v>0.4548958333</v>
      </c>
      <c r="D354" s="103" t="str">
        <f>IFERROR(__xludf.DUMMYFUNCTION("""COMPUTED_VALUE"""),"SpFLMP659315")</f>
        <v>SpFLMP659315</v>
      </c>
      <c r="E354" s="103"/>
      <c r="F354" s="103"/>
      <c r="G354" s="103" t="str">
        <f>IFERROR(__xludf.DUMMYFUNCTION("""COMPUTED_VALUE"""),"Null")</f>
        <v>Null</v>
      </c>
      <c r="H354" s="131" t="str">
        <f>IFERROR(__xludf.DUMMYFUNCTION("""COMPUTED_VALUE"""),"Negative")</f>
        <v>Negative</v>
      </c>
      <c r="I354" s="468">
        <f>IFERROR(__xludf.DUMMYFUNCTION("""COMPUTED_VALUE"""),44583.0)</f>
        <v>44583</v>
      </c>
      <c r="J354" s="470">
        <f>IFERROR(__xludf.DUMMYFUNCTION("""COMPUTED_VALUE"""),0.3554513888888889)</f>
        <v>0.3554513889</v>
      </c>
      <c r="K354" s="16">
        <f>IFERROR(__xludf.DUMMYFUNCTION("""COMPUTED_VALUE"""),2.1)</f>
        <v>2.1</v>
      </c>
      <c r="L354" s="8"/>
      <c r="M354" s="69"/>
      <c r="N354" s="69">
        <f>IFERROR(__xludf.DUMMYFUNCTION("""COMPUTED_VALUE"""),4.0)</f>
        <v>4</v>
      </c>
      <c r="O354" s="69" t="str">
        <f t="shared" si="3"/>
        <v/>
      </c>
      <c r="P354" s="471">
        <f>IFERROR(__xludf.DUMMYFUNCTION("""COMPUTED_VALUE"""),18.0)</f>
        <v>18</v>
      </c>
      <c r="Q354" s="274" t="str">
        <f>VLOOKUP($B354,'Run Reconcile'!B$2:O2488,14,FALSE)</f>
        <v/>
      </c>
      <c r="R354" s="472" t="str">
        <f t="array" ref="R354">IF($Q354, INDEX('Run Reconcile'!A$2:A2488,MATCH(B354,'Run Reconcile'!B$2:B2488,0),1),IFERROR(0/0,""))</f>
        <v/>
      </c>
      <c r="S354" s="473" t="str">
        <f t="shared" si="694"/>
        <v/>
      </c>
      <c r="T354" s="473" t="str">
        <f t="shared" si="698"/>
        <v/>
      </c>
      <c r="U354" s="275" t="str">
        <f t="array" ref="U354">IF(ISBLANK($R354), INDEX('Run Reconcile'!A$2:A2488, MATCH($B354, 'Run Reconcile'!B$2:B2488, 0)+Z354, 1), IFERROR(0/0,""))
</f>
        <v>RUN-FLMP_2022-01-04_RFR-049</v>
      </c>
      <c r="V354" s="474" t="str">
        <f t="shared" si="5"/>
        <v>RUN-FLMP_2022-01-04_RFR-049</v>
      </c>
      <c r="Y354" s="89" t="str">
        <f t="shared" si="701"/>
        <v/>
      </c>
      <c r="Z354" s="60" t="str">
        <f t="shared" si="7"/>
        <v/>
      </c>
      <c r="AA354" s="60" t="str">
        <f t="shared" si="8"/>
        <v/>
      </c>
      <c r="AB354" s="60" t="str">
        <f t="shared" si="9"/>
        <v/>
      </c>
      <c r="AC354" s="30" t="str">
        <f t="shared" ref="AC354:AD354" si="706">IF(_xlfn.ISFORMULA(S354),IFERROR(0/0,""),TRUE)</f>
        <v/>
      </c>
      <c r="AD354" s="30" t="str">
        <f t="shared" si="706"/>
        <v/>
      </c>
      <c r="AE354" s="475" t="str">
        <f>IFERROR(__xludf.DUMMYFUNCTION("""COMPUTED_VALUE"""),"CRLN")</f>
        <v>CRLN</v>
      </c>
      <c r="AF354" s="476"/>
      <c r="AG354" s="474" t="s">
        <v>150</v>
      </c>
      <c r="AH354" s="138" t="str">
        <f t="shared" si="11"/>
        <v/>
      </c>
    </row>
    <row r="355">
      <c r="A355" s="103" t="str">
        <f>IFERROR(__xludf.DUMMYFUNCTION("""COMPUTED_VALUE"""),"FLB6849")</f>
        <v>FLB6849</v>
      </c>
      <c r="B355" s="468">
        <f>IFERROR(__xludf.DUMMYFUNCTION("""COMPUTED_VALUE"""),44566.0)</f>
        <v>44566</v>
      </c>
      <c r="C355" s="469">
        <f>IFERROR(__xludf.DUMMYFUNCTION("""COMPUTED_VALUE"""),0.6553125)</f>
        <v>0.6553125</v>
      </c>
      <c r="D355" s="103" t="str">
        <f>IFERROR(__xludf.DUMMYFUNCTION("""COMPUTED_VALUE"""),"SpFLMP213396")</f>
        <v>SpFLMP213396</v>
      </c>
      <c r="E355" s="103"/>
      <c r="F355" s="103"/>
      <c r="G355" s="103" t="str">
        <f>IFERROR(__xludf.DUMMYFUNCTION("""COMPUTED_VALUE"""),"Positive")</f>
        <v>Positive</v>
      </c>
      <c r="H355" s="131" t="str">
        <f>IFERROR(__xludf.DUMMYFUNCTION("""COMPUTED_VALUE"""),"Positive")</f>
        <v>Positive</v>
      </c>
      <c r="I355" s="468">
        <f>IFERROR(__xludf.DUMMYFUNCTION("""COMPUTED_VALUE"""),44567.0)</f>
        <v>44567</v>
      </c>
      <c r="J355" s="470">
        <f>IFERROR(__xludf.DUMMYFUNCTION("""COMPUTED_VALUE"""),0.4442361111111111)</f>
        <v>0.4442361111</v>
      </c>
      <c r="K355" s="16"/>
      <c r="L355" s="8"/>
      <c r="M355" s="69"/>
      <c r="N355" s="69">
        <f>IFERROR(__xludf.DUMMYFUNCTION("""COMPUTED_VALUE"""),1.0)</f>
        <v>1</v>
      </c>
      <c r="O355" s="69" t="b">
        <f t="shared" si="3"/>
        <v>1</v>
      </c>
      <c r="P355" s="471">
        <f>IFERROR(__xludf.DUMMYFUNCTION("""COMPUTED_VALUE"""),1.0)</f>
        <v>1</v>
      </c>
      <c r="Q355" s="274" t="str">
        <f>VLOOKUP($B355,'Run Reconcile'!B$2:O2488,14,FALSE)</f>
        <v/>
      </c>
      <c r="R355" s="472" t="str">
        <f t="array" ref="R355">IF($Q355, INDEX('Run Reconcile'!A$2:A2488,MATCH(B355,'Run Reconcile'!B$2:B2488,0),1),IFERROR(0/0,""))</f>
        <v/>
      </c>
      <c r="S355" s="473" t="b">
        <f t="shared" si="694"/>
        <v>1</v>
      </c>
      <c r="T355" s="473" t="str">
        <f t="shared" si="698"/>
        <v/>
      </c>
      <c r="U355" s="275" t="str">
        <f t="array" ref="U355">IF(ISBLANK($R355), INDEX('Run Reconcile'!A$2:A2488, MATCH($B355, 'Run Reconcile'!B$2:B2488, 0)+Z355, 1), IFERROR(0/0,""))
</f>
        <v>RUN-FLMP_2022-01-06_RFR-050</v>
      </c>
      <c r="V355" s="474" t="str">
        <f t="shared" si="5"/>
        <v>RUN-FLMP_2022-01-06_RFR-050</v>
      </c>
      <c r="W355" s="8" t="s">
        <v>1148</v>
      </c>
      <c r="Y355" s="89">
        <f t="shared" si="701"/>
        <v>1</v>
      </c>
      <c r="Z355" s="60">
        <f t="shared" si="7"/>
        <v>1</v>
      </c>
      <c r="AA355" s="60">
        <f t="shared" si="8"/>
        <v>1</v>
      </c>
      <c r="AB355" s="60" t="str">
        <f t="shared" si="9"/>
        <v/>
      </c>
      <c r="AC355" s="30" t="str">
        <f t="shared" ref="AC355:AD355" si="707">IF(_xlfn.ISFORMULA(S355),IFERROR(0/0,""),TRUE)</f>
        <v/>
      </c>
      <c r="AD355" s="30" t="str">
        <f t="shared" si="707"/>
        <v/>
      </c>
      <c r="AE355" s="475" t="str">
        <f>IFERROR(__xludf.DUMMYFUNCTION("""COMPUTED_VALUE"""),"CRLN")</f>
        <v>CRLN</v>
      </c>
      <c r="AF355" s="476"/>
      <c r="AG355" s="474" t="s">
        <v>151</v>
      </c>
      <c r="AH355" s="138" t="str">
        <f t="shared" si="11"/>
        <v/>
      </c>
    </row>
    <row r="356">
      <c r="A356" s="103" t="str">
        <f>IFERROR(__xludf.DUMMYFUNCTION("""COMPUTED_VALUE"""),"FLB5119")</f>
        <v>FLB5119</v>
      </c>
      <c r="B356" s="468">
        <f>IFERROR(__xludf.DUMMYFUNCTION("""COMPUTED_VALUE"""),44566.0)</f>
        <v>44566</v>
      </c>
      <c r="C356" s="469">
        <f>IFERROR(__xludf.DUMMYFUNCTION("""COMPUTED_VALUE"""),0.6583912037037037)</f>
        <v>0.6583912037</v>
      </c>
      <c r="D356" s="103" t="str">
        <f>IFERROR(__xludf.DUMMYFUNCTION("""COMPUTED_VALUE"""),"SpFLMP213396")</f>
        <v>SpFLMP213396</v>
      </c>
      <c r="E356" s="103"/>
      <c r="F356" s="103"/>
      <c r="G356" s="103" t="str">
        <f>IFERROR(__xludf.DUMMYFUNCTION("""COMPUTED_VALUE"""),"Negative")</f>
        <v>Negative</v>
      </c>
      <c r="H356" s="131" t="str">
        <f>IFERROR(__xludf.DUMMYFUNCTION("""COMPUTED_VALUE"""),"Negative")</f>
        <v>Negative</v>
      </c>
      <c r="I356" s="468">
        <f>IFERROR(__xludf.DUMMYFUNCTION("""COMPUTED_VALUE"""),44567.0)</f>
        <v>44567</v>
      </c>
      <c r="J356" s="470">
        <f>IFERROR(__xludf.DUMMYFUNCTION("""COMPUTED_VALUE"""),0.4491087962962963)</f>
        <v>0.4491087963</v>
      </c>
      <c r="K356" s="16"/>
      <c r="L356" s="8"/>
      <c r="M356" s="69"/>
      <c r="N356" s="69">
        <f>IFERROR(__xludf.DUMMYFUNCTION("""COMPUTED_VALUE"""),1.0)</f>
        <v>1</v>
      </c>
      <c r="O356" s="69" t="str">
        <f t="shared" si="3"/>
        <v/>
      </c>
      <c r="P356" s="471">
        <f>IFERROR(__xludf.DUMMYFUNCTION("""COMPUTED_VALUE"""),1.0)</f>
        <v>1</v>
      </c>
      <c r="Q356" s="274" t="str">
        <f>VLOOKUP($B356,'Run Reconcile'!B$2:O2488,14,FALSE)</f>
        <v/>
      </c>
      <c r="R356" s="472" t="str">
        <f t="array" ref="R356">IF($Q356, INDEX('Run Reconcile'!A$2:A2488,MATCH(B356,'Run Reconcile'!B$2:B2488,0),1),IFERROR(0/0,""))</f>
        <v/>
      </c>
      <c r="S356" s="473" t="b">
        <f t="shared" si="694"/>
        <v>1</v>
      </c>
      <c r="T356" s="473" t="str">
        <f t="shared" si="698"/>
        <v/>
      </c>
      <c r="U356" s="275" t="str">
        <f t="array" ref="U356">IF(ISBLANK($R356), INDEX('Run Reconcile'!A$2:A2488, MATCH($B356, 'Run Reconcile'!B$2:B2488, 0)+Z356, 1), IFERROR(0/0,""))
</f>
        <v>RUN-FLMP_2022-01-06_RFR-050</v>
      </c>
      <c r="V356" s="474" t="str">
        <f t="shared" si="5"/>
        <v>RUN-FLMP_2022-01-06_RFR-050</v>
      </c>
      <c r="W356" s="8" t="s">
        <v>1346</v>
      </c>
      <c r="Y356" s="89">
        <f t="shared" si="701"/>
        <v>1</v>
      </c>
      <c r="Z356" s="60">
        <f t="shared" si="7"/>
        <v>1</v>
      </c>
      <c r="AA356" s="60">
        <f t="shared" si="8"/>
        <v>1</v>
      </c>
      <c r="AB356" s="60" t="str">
        <f t="shared" si="9"/>
        <v/>
      </c>
      <c r="AC356" s="30" t="str">
        <f t="shared" ref="AC356:AD356" si="708">IF(_xlfn.ISFORMULA(S356),IFERROR(0/0,""),TRUE)</f>
        <v/>
      </c>
      <c r="AD356" s="30" t="str">
        <f t="shared" si="708"/>
        <v/>
      </c>
      <c r="AE356" s="475" t="str">
        <f>IFERROR(__xludf.DUMMYFUNCTION("""COMPUTED_VALUE"""),"CRLN")</f>
        <v>CRLN</v>
      </c>
      <c r="AF356" s="476"/>
      <c r="AG356" s="474" t="s">
        <v>151</v>
      </c>
      <c r="AH356" s="138" t="str">
        <f t="shared" si="11"/>
        <v/>
      </c>
    </row>
    <row r="357">
      <c r="A357" s="103" t="str">
        <f>IFERROR(__xludf.DUMMYFUNCTION("""COMPUTED_VALUE"""),"FLT12")</f>
        <v>FLT12</v>
      </c>
      <c r="B357" s="468">
        <f>IFERROR(__xludf.DUMMYFUNCTION("""COMPUTED_VALUE"""),44566.0)</f>
        <v>44566</v>
      </c>
      <c r="C357" s="469">
        <f>IFERROR(__xludf.DUMMYFUNCTION("""COMPUTED_VALUE"""),0.661238425925926)</f>
        <v>0.6612384259</v>
      </c>
      <c r="D357" s="103" t="str">
        <f>IFERROR(__xludf.DUMMYFUNCTION("""COMPUTED_VALUE"""),"SpFLMP393935")</f>
        <v>SpFLMP393935</v>
      </c>
      <c r="E357" s="103"/>
      <c r="F357" s="103"/>
      <c r="G357" s="103" t="str">
        <f>IFERROR(__xludf.DUMMYFUNCTION("""COMPUTED_VALUE"""),"Negative")</f>
        <v>Negative</v>
      </c>
      <c r="H357" s="131" t="str">
        <f>IFERROR(__xludf.DUMMYFUNCTION("""COMPUTED_VALUE"""),"Negative")</f>
        <v>Negative</v>
      </c>
      <c r="I357" s="468">
        <f>IFERROR(__xludf.DUMMYFUNCTION("""COMPUTED_VALUE"""),44567.0)</f>
        <v>44567</v>
      </c>
      <c r="J357" s="470">
        <f>IFERROR(__xludf.DUMMYFUNCTION("""COMPUTED_VALUE"""),0.4491087962962963)</f>
        <v>0.4491087963</v>
      </c>
      <c r="K357" s="16"/>
      <c r="L357" s="8"/>
      <c r="M357" s="69"/>
      <c r="N357" s="69">
        <f>IFERROR(__xludf.DUMMYFUNCTION("""COMPUTED_VALUE"""),1.0)</f>
        <v>1</v>
      </c>
      <c r="O357" s="69" t="str">
        <f t="shared" si="3"/>
        <v/>
      </c>
      <c r="P357" s="471">
        <f>IFERROR(__xludf.DUMMYFUNCTION("""COMPUTED_VALUE"""),1.0)</f>
        <v>1</v>
      </c>
      <c r="Q357" s="274" t="str">
        <f>VLOOKUP($B357,'Run Reconcile'!B$2:O2488,14,FALSE)</f>
        <v/>
      </c>
      <c r="R357" s="472" t="str">
        <f t="array" ref="R357">IF($Q357, INDEX('Run Reconcile'!A$2:A2488,MATCH(B357,'Run Reconcile'!B$2:B2488,0),1),IFERROR(0/0,""))</f>
        <v/>
      </c>
      <c r="S357" s="473" t="b">
        <f t="shared" si="694"/>
        <v>1</v>
      </c>
      <c r="T357" s="473" t="str">
        <f t="shared" si="698"/>
        <v/>
      </c>
      <c r="U357" s="275" t="str">
        <f t="array" ref="U357">IF(ISBLANK($R357), INDEX('Run Reconcile'!A$2:A2488, MATCH($B357, 'Run Reconcile'!B$2:B2488, 0)+Z357, 1), IFERROR(0/0,""))
</f>
        <v>RUN-FLMP_2022-01-06_RFR-050</v>
      </c>
      <c r="V357" s="474" t="str">
        <f t="shared" si="5"/>
        <v>RUN-FLMP_2022-01-06_RFR-050</v>
      </c>
      <c r="W357" s="8" t="s">
        <v>1347</v>
      </c>
      <c r="Y357" s="89">
        <f t="shared" si="701"/>
        <v>1</v>
      </c>
      <c r="Z357" s="60">
        <f t="shared" si="7"/>
        <v>1</v>
      </c>
      <c r="AA357" s="60">
        <f t="shared" si="8"/>
        <v>1</v>
      </c>
      <c r="AB357" s="60" t="str">
        <f t="shared" si="9"/>
        <v/>
      </c>
      <c r="AC357" s="30" t="str">
        <f t="shared" ref="AC357:AD357" si="709">IF(_xlfn.ISFORMULA(S357),IFERROR(0/0,""),TRUE)</f>
        <v/>
      </c>
      <c r="AD357" s="30" t="str">
        <f t="shared" si="709"/>
        <v/>
      </c>
      <c r="AE357" s="475" t="str">
        <f>IFERROR(__xludf.DUMMYFUNCTION("""COMPUTED_VALUE"""),"CRLN")</f>
        <v>CRLN</v>
      </c>
      <c r="AF357" s="476"/>
      <c r="AG357" s="474" t="s">
        <v>151</v>
      </c>
      <c r="AH357" s="138" t="str">
        <f t="shared" si="11"/>
        <v/>
      </c>
    </row>
    <row r="358">
      <c r="A358" s="103" t="str">
        <f>IFERROR(__xludf.DUMMYFUNCTION("""COMPUTED_VALUE"""),"FLB7136")</f>
        <v>FLB7136</v>
      </c>
      <c r="B358" s="468">
        <f>IFERROR(__xludf.DUMMYFUNCTION("""COMPUTED_VALUE"""),44566.0)</f>
        <v>44566</v>
      </c>
      <c r="C358" s="469">
        <f>IFERROR(__xludf.DUMMYFUNCTION("""COMPUTED_VALUE"""),0.6912847222222223)</f>
        <v>0.6912847222</v>
      </c>
      <c r="D358" s="103" t="str">
        <f>IFERROR(__xludf.DUMMYFUNCTION("""COMPUTED_VALUE"""),"SpFLMP493054")</f>
        <v>SpFLMP493054</v>
      </c>
      <c r="E358" s="103"/>
      <c r="F358" s="103"/>
      <c r="G358" s="103" t="str">
        <f>IFERROR(__xludf.DUMMYFUNCTION("""COMPUTED_VALUE"""),"Negative")</f>
        <v>Negative</v>
      </c>
      <c r="H358" s="131" t="str">
        <f>IFERROR(__xludf.DUMMYFUNCTION("""COMPUTED_VALUE"""),"Negative")</f>
        <v>Negative</v>
      </c>
      <c r="I358" s="468">
        <f>IFERROR(__xludf.DUMMYFUNCTION("""COMPUTED_VALUE"""),44567.0)</f>
        <v>44567</v>
      </c>
      <c r="J358" s="470">
        <f>IFERROR(__xludf.DUMMYFUNCTION("""COMPUTED_VALUE"""),0.4491087962962963)</f>
        <v>0.4491087963</v>
      </c>
      <c r="K358" s="16"/>
      <c r="L358" s="8"/>
      <c r="M358" s="69"/>
      <c r="N358" s="69">
        <f>IFERROR(__xludf.DUMMYFUNCTION("""COMPUTED_VALUE"""),1.0)</f>
        <v>1</v>
      </c>
      <c r="O358" s="69" t="str">
        <f t="shared" si="3"/>
        <v/>
      </c>
      <c r="P358" s="471">
        <f>IFERROR(__xludf.DUMMYFUNCTION("""COMPUTED_VALUE"""),1.0)</f>
        <v>1</v>
      </c>
      <c r="Q358" s="274" t="str">
        <f>VLOOKUP($B358,'Run Reconcile'!B$2:O2488,14,FALSE)</f>
        <v/>
      </c>
      <c r="R358" s="472" t="str">
        <f t="array" ref="R358">IF($Q358, INDEX('Run Reconcile'!A$2:A2488,MATCH(B358,'Run Reconcile'!B$2:B2488,0),1),IFERROR(0/0,""))</f>
        <v/>
      </c>
      <c r="S358" s="473" t="b">
        <f t="shared" si="694"/>
        <v>1</v>
      </c>
      <c r="T358" s="473" t="str">
        <f t="shared" si="698"/>
        <v/>
      </c>
      <c r="U358" s="275" t="str">
        <f t="array" ref="U358">IF(ISBLANK($R358), INDEX('Run Reconcile'!A$2:A2488, MATCH($B358, 'Run Reconcile'!B$2:B2488, 0)+Z358, 1), IFERROR(0/0,""))
</f>
        <v>RUN-FLMP_2022-01-06_RFR-050</v>
      </c>
      <c r="V358" s="474" t="str">
        <f t="shared" si="5"/>
        <v>RUN-FLMP_2022-01-06_RFR-050</v>
      </c>
      <c r="W358" s="8" t="s">
        <v>1348</v>
      </c>
      <c r="Y358" s="89">
        <f t="shared" si="701"/>
        <v>1</v>
      </c>
      <c r="Z358" s="60">
        <f t="shared" si="7"/>
        <v>1</v>
      </c>
      <c r="AA358" s="60">
        <f t="shared" si="8"/>
        <v>1</v>
      </c>
      <c r="AB358" s="60" t="str">
        <f t="shared" si="9"/>
        <v/>
      </c>
      <c r="AC358" s="30" t="str">
        <f t="shared" ref="AC358:AD358" si="710">IF(_xlfn.ISFORMULA(S358),IFERROR(0/0,""),TRUE)</f>
        <v/>
      </c>
      <c r="AD358" s="30" t="str">
        <f t="shared" si="710"/>
        <v/>
      </c>
      <c r="AE358" s="475" t="str">
        <f>IFERROR(__xludf.DUMMYFUNCTION("""COMPUTED_VALUE"""),"CRLN")</f>
        <v>CRLN</v>
      </c>
      <c r="AF358" s="476"/>
      <c r="AG358" s="474" t="s">
        <v>151</v>
      </c>
      <c r="AH358" s="138" t="str">
        <f t="shared" si="11"/>
        <v/>
      </c>
    </row>
    <row r="359">
      <c r="A359" s="103" t="str">
        <f>IFERROR(__xludf.DUMMYFUNCTION("""COMPUTED_VALUE"""),"FLB6343")</f>
        <v>FLB6343</v>
      </c>
      <c r="B359" s="468">
        <f>IFERROR(__xludf.DUMMYFUNCTION("""COMPUTED_VALUE"""),44566.0)</f>
        <v>44566</v>
      </c>
      <c r="C359" s="469">
        <f>IFERROR(__xludf.DUMMYFUNCTION("""COMPUTED_VALUE"""),0.7654282407407408)</f>
        <v>0.7654282407</v>
      </c>
      <c r="D359" s="103" t="str">
        <f>IFERROR(__xludf.DUMMYFUNCTION("""COMPUTED_VALUE"""),"SpFLMP572444")</f>
        <v>SpFLMP572444</v>
      </c>
      <c r="E359" s="103"/>
      <c r="F359" s="103"/>
      <c r="G359" s="103" t="str">
        <f>IFERROR(__xludf.DUMMYFUNCTION("""COMPUTED_VALUE"""),"Negative")</f>
        <v>Negative</v>
      </c>
      <c r="H359" s="131" t="str">
        <f>IFERROR(__xludf.DUMMYFUNCTION("""COMPUTED_VALUE"""),"Negative")</f>
        <v>Negative</v>
      </c>
      <c r="I359" s="468">
        <f>IFERROR(__xludf.DUMMYFUNCTION("""COMPUTED_VALUE"""),44567.0)</f>
        <v>44567</v>
      </c>
      <c r="J359" s="470">
        <f>IFERROR(__xludf.DUMMYFUNCTION("""COMPUTED_VALUE"""),0.4491203703703704)</f>
        <v>0.4491203704</v>
      </c>
      <c r="K359" s="16"/>
      <c r="L359" s="8"/>
      <c r="M359" s="69"/>
      <c r="N359" s="69">
        <f>IFERROR(__xludf.DUMMYFUNCTION("""COMPUTED_VALUE"""),4.0)</f>
        <v>4</v>
      </c>
      <c r="O359" s="69" t="str">
        <f t="shared" si="3"/>
        <v/>
      </c>
      <c r="P359" s="471">
        <f>IFERROR(__xludf.DUMMYFUNCTION("""COMPUTED_VALUE"""),1.0)</f>
        <v>1</v>
      </c>
      <c r="Q359" s="274" t="str">
        <f>VLOOKUP($B359,'Run Reconcile'!B$2:O2488,14,FALSE)</f>
        <v/>
      </c>
      <c r="R359" s="472" t="str">
        <f t="array" ref="R359">IF($Q359, INDEX('Run Reconcile'!A$2:A2488,MATCH(B359,'Run Reconcile'!B$2:B2488,0),1),IFERROR(0/0,""))</f>
        <v/>
      </c>
      <c r="S359" s="473" t="b">
        <f t="shared" si="694"/>
        <v>1</v>
      </c>
      <c r="T359" s="473" t="str">
        <f t="shared" si="698"/>
        <v/>
      </c>
      <c r="U359" s="275" t="str">
        <f t="array" ref="U359">IF(ISBLANK($R359), INDEX('Run Reconcile'!A$2:A2488, MATCH($B359, 'Run Reconcile'!B$2:B2488, 0)+Z359, 1), IFERROR(0/0,""))
</f>
        <v>RUN-FLMP_2022-01-06_RFR-050</v>
      </c>
      <c r="V359" s="474" t="str">
        <f t="shared" si="5"/>
        <v>RUN-FLMP_2022-01-06_RFR-050</v>
      </c>
      <c r="W359" s="8" t="s">
        <v>1349</v>
      </c>
      <c r="Y359" s="89">
        <f t="shared" si="701"/>
        <v>1</v>
      </c>
      <c r="Z359" s="60">
        <f t="shared" si="7"/>
        <v>1</v>
      </c>
      <c r="AA359" s="60">
        <f t="shared" si="8"/>
        <v>1</v>
      </c>
      <c r="AB359" s="60" t="str">
        <f t="shared" si="9"/>
        <v/>
      </c>
      <c r="AC359" s="30" t="str">
        <f t="shared" ref="AC359:AD359" si="711">IF(_xlfn.ISFORMULA(S359),IFERROR(0/0,""),TRUE)</f>
        <v/>
      </c>
      <c r="AD359" s="30" t="str">
        <f t="shared" si="711"/>
        <v/>
      </c>
      <c r="AE359" s="475" t="str">
        <f>IFERROR(__xludf.DUMMYFUNCTION("""COMPUTED_VALUE"""),"CRLN")</f>
        <v>CRLN</v>
      </c>
      <c r="AF359" s="476"/>
      <c r="AG359" s="474" t="s">
        <v>151</v>
      </c>
      <c r="AH359" s="138" t="str">
        <f t="shared" si="11"/>
        <v/>
      </c>
    </row>
    <row r="360">
      <c r="A360" s="103" t="str">
        <f>IFERROR(__xludf.DUMMYFUNCTION("""COMPUTED_VALUE"""),"FLT1127")</f>
        <v>FLT1127</v>
      </c>
      <c r="B360" s="468">
        <f>IFERROR(__xludf.DUMMYFUNCTION("""COMPUTED_VALUE"""),44567.0)</f>
        <v>44567</v>
      </c>
      <c r="C360" s="469">
        <f>IFERROR(__xludf.DUMMYFUNCTION("""COMPUTED_VALUE"""),0.32425925925925925)</f>
        <v>0.3242592593</v>
      </c>
      <c r="D360" s="103" t="str">
        <f>IFERROR(__xludf.DUMMYFUNCTION("""COMPUTED_VALUE"""),"SpFLMP309785")</f>
        <v>SpFLMP309785</v>
      </c>
      <c r="E360" s="103"/>
      <c r="F360" s="103"/>
      <c r="G360" s="103" t="str">
        <f>IFERROR(__xludf.DUMMYFUNCTION("""COMPUTED_VALUE"""),"Negative")</f>
        <v>Negative</v>
      </c>
      <c r="H360" s="131" t="str">
        <f>IFERROR(__xludf.DUMMYFUNCTION("""COMPUTED_VALUE"""),"Negative")</f>
        <v>Negative</v>
      </c>
      <c r="I360" s="468">
        <f>IFERROR(__xludf.DUMMYFUNCTION("""COMPUTED_VALUE"""),44567.0)</f>
        <v>44567</v>
      </c>
      <c r="J360" s="470">
        <f>IFERROR(__xludf.DUMMYFUNCTION("""COMPUTED_VALUE"""),0.4491203703703704)</f>
        <v>0.4491203704</v>
      </c>
      <c r="K360" s="16"/>
      <c r="L360" s="8"/>
      <c r="M360" s="69"/>
      <c r="N360" s="69">
        <f>IFERROR(__xludf.DUMMYFUNCTION("""COMPUTED_VALUE"""),4.0)</f>
        <v>4</v>
      </c>
      <c r="O360" s="69" t="b">
        <f t="shared" si="3"/>
        <v>1</v>
      </c>
      <c r="P360" s="471">
        <f>IFERROR(__xludf.DUMMYFUNCTION("""COMPUTED_VALUE"""),0.0)</f>
        <v>0</v>
      </c>
      <c r="Q360" s="274" t="str">
        <f>VLOOKUP($B360,'Run Reconcile'!B$2:O2488,14,FALSE)</f>
        <v/>
      </c>
      <c r="R360" s="472" t="str">
        <f t="array" ref="R360">IF($Q360, INDEX('Run Reconcile'!A$2:A2488,MATCH(B360,'Run Reconcile'!B$2:B2488,0),1),IFERROR(0/0,""))</f>
        <v/>
      </c>
      <c r="S360" s="473" t="str">
        <f t="shared" si="694"/>
        <v/>
      </c>
      <c r="T360" s="473" t="str">
        <f t="shared" si="698"/>
        <v/>
      </c>
      <c r="U360" s="275" t="str">
        <f t="array" ref="U360">IF(ISBLANK($R360), INDEX('Run Reconcile'!A$2:A2488, MATCH($B360, 'Run Reconcile'!B$2:B2488, 0)+Z360, 1), IFERROR(0/0,""))
</f>
        <v>RUN-FLMP_2022-01-06_RFR-050</v>
      </c>
      <c r="V360" s="474" t="str">
        <f t="shared" si="5"/>
        <v>RUN-FLMP_2022-01-06_RFR-050</v>
      </c>
      <c r="Y360" s="89" t="str">
        <f t="shared" si="701"/>
        <v/>
      </c>
      <c r="Z360" s="60" t="str">
        <f t="shared" si="7"/>
        <v/>
      </c>
      <c r="AA360" s="60" t="str">
        <f t="shared" si="8"/>
        <v/>
      </c>
      <c r="AB360" s="60" t="str">
        <f t="shared" si="9"/>
        <v/>
      </c>
      <c r="AC360" s="30" t="str">
        <f t="shared" ref="AC360:AD360" si="712">IF(_xlfn.ISFORMULA(S360),IFERROR(0/0,""),TRUE)</f>
        <v/>
      </c>
      <c r="AD360" s="30" t="str">
        <f t="shared" si="712"/>
        <v/>
      </c>
      <c r="AE360" s="475" t="str">
        <f>IFERROR(__xludf.DUMMYFUNCTION("""COMPUTED_VALUE"""),"CRLN")</f>
        <v>CRLN</v>
      </c>
      <c r="AF360" s="476"/>
      <c r="AG360" s="474" t="s">
        <v>151</v>
      </c>
      <c r="AH360" s="138" t="str">
        <f t="shared" si="11"/>
        <v/>
      </c>
    </row>
    <row r="361">
      <c r="A361" s="103" t="str">
        <f>IFERROR(__xludf.DUMMYFUNCTION("""COMPUTED_VALUE"""),"FLB5889")</f>
        <v>FLB5889</v>
      </c>
      <c r="B361" s="468">
        <f>IFERROR(__xludf.DUMMYFUNCTION("""COMPUTED_VALUE"""),44567.0)</f>
        <v>44567</v>
      </c>
      <c r="C361" s="469">
        <f>IFERROR(__xludf.DUMMYFUNCTION("""COMPUTED_VALUE"""),0.3404861111111111)</f>
        <v>0.3404861111</v>
      </c>
      <c r="D361" s="103" t="str">
        <f>IFERROR(__xludf.DUMMYFUNCTION("""COMPUTED_VALUE"""),"SpFLMP683385")</f>
        <v>SpFLMP683385</v>
      </c>
      <c r="E361" s="103"/>
      <c r="F361" s="103"/>
      <c r="G361" s="103" t="str">
        <f>IFERROR(__xludf.DUMMYFUNCTION("""COMPUTED_VALUE"""),"Positive")</f>
        <v>Positive</v>
      </c>
      <c r="H361" s="131" t="str">
        <f>IFERROR(__xludf.DUMMYFUNCTION("""COMPUTED_VALUE"""),"Positive")</f>
        <v>Positive</v>
      </c>
      <c r="I361" s="468">
        <f>IFERROR(__xludf.DUMMYFUNCTION("""COMPUTED_VALUE"""),44567.0)</f>
        <v>44567</v>
      </c>
      <c r="J361" s="470">
        <f>IFERROR(__xludf.DUMMYFUNCTION("""COMPUTED_VALUE"""),0.4442361111111111)</f>
        <v>0.4442361111</v>
      </c>
      <c r="K361" s="16"/>
      <c r="L361" s="8"/>
      <c r="M361" s="69"/>
      <c r="N361" s="69">
        <f>IFERROR(__xludf.DUMMYFUNCTION("""COMPUTED_VALUE"""),1.0)</f>
        <v>1</v>
      </c>
      <c r="O361" s="69" t="str">
        <f t="shared" si="3"/>
        <v/>
      </c>
      <c r="P361" s="471">
        <f>IFERROR(__xludf.DUMMYFUNCTION("""COMPUTED_VALUE"""),0.0)</f>
        <v>0</v>
      </c>
      <c r="Q361" s="274" t="str">
        <f>VLOOKUP($B361,'Run Reconcile'!B$2:O2488,14,FALSE)</f>
        <v/>
      </c>
      <c r="R361" s="472" t="str">
        <f t="array" ref="R361">IF($Q361, INDEX('Run Reconcile'!A$2:A2488,MATCH(B361,'Run Reconcile'!B$2:B2488,0),1),IFERROR(0/0,""))</f>
        <v/>
      </c>
      <c r="S361" s="473" t="str">
        <f t="shared" si="694"/>
        <v/>
      </c>
      <c r="T361" s="473" t="str">
        <f t="shared" si="698"/>
        <v/>
      </c>
      <c r="U361" s="275" t="str">
        <f t="array" ref="U361">IF(ISBLANK($R361), INDEX('Run Reconcile'!A$2:A2488, MATCH($B361, 'Run Reconcile'!B$2:B2488, 0)+Z361, 1), IFERROR(0/0,""))
</f>
        <v>RUN-FLMP_2022-01-06_RFR-050</v>
      </c>
      <c r="V361" s="474" t="str">
        <f t="shared" si="5"/>
        <v>RUN-FLMP_2022-01-06_RFR-050</v>
      </c>
      <c r="Y361" s="89" t="str">
        <f t="shared" si="701"/>
        <v/>
      </c>
      <c r="Z361" s="60" t="str">
        <f t="shared" si="7"/>
        <v/>
      </c>
      <c r="AA361" s="60" t="str">
        <f t="shared" si="8"/>
        <v/>
      </c>
      <c r="AB361" s="60" t="str">
        <f t="shared" si="9"/>
        <v/>
      </c>
      <c r="AC361" s="30" t="str">
        <f t="shared" ref="AC361:AD361" si="713">IF(_xlfn.ISFORMULA(S361),IFERROR(0/0,""),TRUE)</f>
        <v/>
      </c>
      <c r="AD361" s="30" t="str">
        <f t="shared" si="713"/>
        <v/>
      </c>
      <c r="AE361" s="475" t="str">
        <f>IFERROR(__xludf.DUMMYFUNCTION("""COMPUTED_VALUE"""),"CRLN")</f>
        <v>CRLN</v>
      </c>
      <c r="AF361" s="476"/>
      <c r="AG361" s="474" t="s">
        <v>151</v>
      </c>
      <c r="AH361" s="138" t="str">
        <f t="shared" si="11"/>
        <v/>
      </c>
    </row>
    <row r="362">
      <c r="A362" s="103" t="str">
        <f>IFERROR(__xludf.DUMMYFUNCTION("""COMPUTED_VALUE"""),"FLB5830")</f>
        <v>FLB5830</v>
      </c>
      <c r="B362" s="468">
        <f>IFERROR(__xludf.DUMMYFUNCTION("""COMPUTED_VALUE"""),44567.0)</f>
        <v>44567</v>
      </c>
      <c r="C362" s="469">
        <f>IFERROR(__xludf.DUMMYFUNCTION("""COMPUTED_VALUE"""),0.34108796296296295)</f>
        <v>0.341087963</v>
      </c>
      <c r="D362" s="103" t="str">
        <f>IFERROR(__xludf.DUMMYFUNCTION("""COMPUTED_VALUE"""),"SpFLMP683385")</f>
        <v>SpFLMP683385</v>
      </c>
      <c r="E362" s="103"/>
      <c r="F362" s="103"/>
      <c r="G362" s="103" t="str">
        <f>IFERROR(__xludf.DUMMYFUNCTION("""COMPUTED_VALUE"""),"Positive")</f>
        <v>Positive</v>
      </c>
      <c r="H362" s="131" t="str">
        <f>IFERROR(__xludf.DUMMYFUNCTION("""COMPUTED_VALUE"""),"Positive")</f>
        <v>Positive</v>
      </c>
      <c r="I362" s="468">
        <f>IFERROR(__xludf.DUMMYFUNCTION("""COMPUTED_VALUE"""),44567.0)</f>
        <v>44567</v>
      </c>
      <c r="J362" s="470">
        <f>IFERROR(__xludf.DUMMYFUNCTION("""COMPUTED_VALUE"""),0.4442476851851852)</f>
        <v>0.4442476852</v>
      </c>
      <c r="K362" s="16"/>
      <c r="L362" s="8"/>
      <c r="M362" s="69"/>
      <c r="N362" s="69">
        <f>IFERROR(__xludf.DUMMYFUNCTION("""COMPUTED_VALUE"""),1.0)</f>
        <v>1</v>
      </c>
      <c r="O362" s="69" t="str">
        <f t="shared" si="3"/>
        <v/>
      </c>
      <c r="P362" s="471">
        <f>IFERROR(__xludf.DUMMYFUNCTION("""COMPUTED_VALUE"""),0.0)</f>
        <v>0</v>
      </c>
      <c r="Q362" s="274" t="str">
        <f>VLOOKUP($B362,'Run Reconcile'!B$2:O2488,14,FALSE)</f>
        <v/>
      </c>
      <c r="R362" s="472" t="str">
        <f t="array" ref="R362">IF($Q362, INDEX('Run Reconcile'!A$2:A2488,MATCH(B362,'Run Reconcile'!B$2:B2488,0),1),IFERROR(0/0,""))</f>
        <v/>
      </c>
      <c r="S362" s="473" t="str">
        <f t="shared" si="694"/>
        <v/>
      </c>
      <c r="T362" s="473" t="str">
        <f t="shared" si="698"/>
        <v/>
      </c>
      <c r="U362" s="275" t="str">
        <f t="array" ref="U362">IF(ISBLANK($R362), INDEX('Run Reconcile'!A$2:A2488, MATCH($B362, 'Run Reconcile'!B$2:B2488, 0)+Z362, 1), IFERROR(0/0,""))
</f>
        <v>RUN-FLMP_2022-01-06_RFR-050</v>
      </c>
      <c r="V362" s="474" t="str">
        <f t="shared" si="5"/>
        <v>RUN-FLMP_2022-01-06_RFR-050</v>
      </c>
      <c r="Y362" s="89" t="str">
        <f t="shared" si="701"/>
        <v/>
      </c>
      <c r="Z362" s="60" t="str">
        <f t="shared" si="7"/>
        <v/>
      </c>
      <c r="AA362" s="60" t="str">
        <f t="shared" si="8"/>
        <v/>
      </c>
      <c r="AB362" s="60" t="str">
        <f t="shared" si="9"/>
        <v/>
      </c>
      <c r="AC362" s="30" t="str">
        <f t="shared" ref="AC362:AD362" si="714">IF(_xlfn.ISFORMULA(S362),IFERROR(0/0,""),TRUE)</f>
        <v/>
      </c>
      <c r="AD362" s="30" t="str">
        <f t="shared" si="714"/>
        <v/>
      </c>
      <c r="AE362" s="475" t="str">
        <f>IFERROR(__xludf.DUMMYFUNCTION("""COMPUTED_VALUE"""),"CRLN")</f>
        <v>CRLN</v>
      </c>
      <c r="AF362" s="476"/>
      <c r="AG362" s="474" t="s">
        <v>151</v>
      </c>
      <c r="AH362" s="138" t="str">
        <f t="shared" si="11"/>
        <v/>
      </c>
    </row>
    <row r="363">
      <c r="A363" s="103" t="str">
        <f>IFERROR(__xludf.DUMMYFUNCTION("""COMPUTED_VALUE"""),"FLT1159")</f>
        <v>FLT1159</v>
      </c>
      <c r="B363" s="468">
        <f>IFERROR(__xludf.DUMMYFUNCTION("""COMPUTED_VALUE"""),44567.0)</f>
        <v>44567</v>
      </c>
      <c r="C363" s="469">
        <f>IFERROR(__xludf.DUMMYFUNCTION("""COMPUTED_VALUE"""),0.3418865740740741)</f>
        <v>0.3418865741</v>
      </c>
      <c r="D363" s="103" t="str">
        <f>IFERROR(__xludf.DUMMYFUNCTION("""COMPUTED_VALUE"""),"SpFLMP600756")</f>
        <v>SpFLMP600756</v>
      </c>
      <c r="E363" s="103"/>
      <c r="F363" s="103"/>
      <c r="G363" s="103" t="str">
        <f>IFERROR(__xludf.DUMMYFUNCTION("""COMPUTED_VALUE"""),"Negative")</f>
        <v>Negative</v>
      </c>
      <c r="H363" s="131" t="str">
        <f>IFERROR(__xludf.DUMMYFUNCTION("""COMPUTED_VALUE"""),"Negative")</f>
        <v>Negative</v>
      </c>
      <c r="I363" s="468">
        <f>IFERROR(__xludf.DUMMYFUNCTION("""COMPUTED_VALUE"""),44567.0)</f>
        <v>44567</v>
      </c>
      <c r="J363" s="470">
        <f>IFERROR(__xludf.DUMMYFUNCTION("""COMPUTED_VALUE"""),0.4491203703703704)</f>
        <v>0.4491203704</v>
      </c>
      <c r="K363" s="16"/>
      <c r="L363" s="8"/>
      <c r="M363" s="69"/>
      <c r="N363" s="69">
        <f>IFERROR(__xludf.DUMMYFUNCTION("""COMPUTED_VALUE"""),2.0)</f>
        <v>2</v>
      </c>
      <c r="O363" s="69" t="str">
        <f t="shared" si="3"/>
        <v/>
      </c>
      <c r="P363" s="471">
        <f>IFERROR(__xludf.DUMMYFUNCTION("""COMPUTED_VALUE"""),0.0)</f>
        <v>0</v>
      </c>
      <c r="Q363" s="274" t="str">
        <f>VLOOKUP($B363,'Run Reconcile'!B$2:O2488,14,FALSE)</f>
        <v/>
      </c>
      <c r="R363" s="472" t="str">
        <f t="array" ref="R363">IF($Q363, INDEX('Run Reconcile'!A$2:A2488,MATCH(B363,'Run Reconcile'!B$2:B2488,0),1),IFERROR(0/0,""))</f>
        <v/>
      </c>
      <c r="S363" s="473" t="str">
        <f t="shared" si="694"/>
        <v/>
      </c>
      <c r="T363" s="473" t="str">
        <f t="shared" si="698"/>
        <v/>
      </c>
      <c r="U363" s="275" t="str">
        <f t="array" ref="U363">IF(ISBLANK($R363), INDEX('Run Reconcile'!A$2:A2488, MATCH($B363, 'Run Reconcile'!B$2:B2488, 0)+Z363, 1), IFERROR(0/0,""))
</f>
        <v>RUN-FLMP_2022-01-06_RFR-050</v>
      </c>
      <c r="V363" s="474" t="str">
        <f t="shared" si="5"/>
        <v>RUN-FLMP_2022-01-06_RFR-050</v>
      </c>
      <c r="Y363" s="89" t="str">
        <f t="shared" si="701"/>
        <v/>
      </c>
      <c r="Z363" s="60" t="str">
        <f t="shared" si="7"/>
        <v/>
      </c>
      <c r="AA363" s="60" t="str">
        <f t="shared" si="8"/>
        <v/>
      </c>
      <c r="AB363" s="60" t="str">
        <f t="shared" si="9"/>
        <v/>
      </c>
      <c r="AC363" s="30" t="str">
        <f t="shared" ref="AC363:AD363" si="715">IF(_xlfn.ISFORMULA(S363),IFERROR(0/0,""),TRUE)</f>
        <v/>
      </c>
      <c r="AD363" s="30" t="str">
        <f t="shared" si="715"/>
        <v/>
      </c>
      <c r="AE363" s="475" t="str">
        <f>IFERROR(__xludf.DUMMYFUNCTION("""COMPUTED_VALUE"""),"CRLN")</f>
        <v>CRLN</v>
      </c>
      <c r="AF363" s="476"/>
      <c r="AG363" s="474" t="s">
        <v>151</v>
      </c>
      <c r="AH363" s="138" t="str">
        <f t="shared" si="11"/>
        <v/>
      </c>
    </row>
    <row r="364">
      <c r="A364" s="103" t="str">
        <f>IFERROR(__xludf.DUMMYFUNCTION("""COMPUTED_VALUE"""),"FLT1136")</f>
        <v>FLT1136</v>
      </c>
      <c r="B364" s="468">
        <f>IFERROR(__xludf.DUMMYFUNCTION("""COMPUTED_VALUE"""),44567.0)</f>
        <v>44567</v>
      </c>
      <c r="C364" s="469">
        <f>IFERROR(__xludf.DUMMYFUNCTION("""COMPUTED_VALUE"""),0.34261574074074075)</f>
        <v>0.3426157407</v>
      </c>
      <c r="D364" s="103" t="str">
        <f>IFERROR(__xludf.DUMMYFUNCTION("""COMPUTED_VALUE"""),"SpFLMP683385")</f>
        <v>SpFLMP683385</v>
      </c>
      <c r="E364" s="103"/>
      <c r="F364" s="103"/>
      <c r="G364" s="103" t="str">
        <f>IFERROR(__xludf.DUMMYFUNCTION("""COMPUTED_VALUE"""),"Positive")</f>
        <v>Positive</v>
      </c>
      <c r="H364" s="131" t="str">
        <f>IFERROR(__xludf.DUMMYFUNCTION("""COMPUTED_VALUE"""),"Positive")</f>
        <v>Positive</v>
      </c>
      <c r="I364" s="468">
        <f>IFERROR(__xludf.DUMMYFUNCTION("""COMPUTED_VALUE"""),44567.0)</f>
        <v>44567</v>
      </c>
      <c r="J364" s="470">
        <f>IFERROR(__xludf.DUMMYFUNCTION("""COMPUTED_VALUE"""),0.4442476851851852)</f>
        <v>0.4442476852</v>
      </c>
      <c r="K364" s="16"/>
      <c r="L364" s="8"/>
      <c r="M364" s="69"/>
      <c r="N364" s="69">
        <f>IFERROR(__xludf.DUMMYFUNCTION("""COMPUTED_VALUE"""),1.0)</f>
        <v>1</v>
      </c>
      <c r="O364" s="69" t="str">
        <f t="shared" si="3"/>
        <v/>
      </c>
      <c r="P364" s="471">
        <f>IFERROR(__xludf.DUMMYFUNCTION("""COMPUTED_VALUE"""),0.0)</f>
        <v>0</v>
      </c>
      <c r="Q364" s="274" t="str">
        <f>VLOOKUP($B364,'Run Reconcile'!B$2:O2488,14,FALSE)</f>
        <v/>
      </c>
      <c r="R364" s="472" t="str">
        <f t="array" ref="R364">IF($Q364, INDEX('Run Reconcile'!A$2:A2488,MATCH(B364,'Run Reconcile'!B$2:B2488,0),1),IFERROR(0/0,""))</f>
        <v/>
      </c>
      <c r="S364" s="473" t="str">
        <f t="shared" si="694"/>
        <v/>
      </c>
      <c r="T364" s="473" t="str">
        <f t="shared" si="698"/>
        <v/>
      </c>
      <c r="U364" s="275" t="str">
        <f t="array" ref="U364">IF(ISBLANK($R364), INDEX('Run Reconcile'!A$2:A2488, MATCH($B364, 'Run Reconcile'!B$2:B2488, 0)+Z364, 1), IFERROR(0/0,""))
</f>
        <v>RUN-FLMP_2022-01-06_RFR-050</v>
      </c>
      <c r="V364" s="474" t="str">
        <f t="shared" si="5"/>
        <v>RUN-FLMP_2022-01-06_RFR-050</v>
      </c>
      <c r="Y364" s="89" t="str">
        <f t="shared" si="701"/>
        <v/>
      </c>
      <c r="Z364" s="60" t="str">
        <f t="shared" si="7"/>
        <v/>
      </c>
      <c r="AA364" s="60" t="str">
        <f t="shared" si="8"/>
        <v/>
      </c>
      <c r="AB364" s="60" t="str">
        <f t="shared" si="9"/>
        <v/>
      </c>
      <c r="AC364" s="30" t="str">
        <f t="shared" ref="AC364:AD364" si="716">IF(_xlfn.ISFORMULA(S364),IFERROR(0/0,""),TRUE)</f>
        <v/>
      </c>
      <c r="AD364" s="30" t="str">
        <f t="shared" si="716"/>
        <v/>
      </c>
      <c r="AE364" s="475" t="str">
        <f>IFERROR(__xludf.DUMMYFUNCTION("""COMPUTED_VALUE"""),"CRLN")</f>
        <v>CRLN</v>
      </c>
      <c r="AF364" s="476"/>
      <c r="AG364" s="474" t="s">
        <v>151</v>
      </c>
      <c r="AH364" s="138" t="str">
        <f t="shared" si="11"/>
        <v/>
      </c>
    </row>
    <row r="365">
      <c r="A365" s="103" t="str">
        <f>IFERROR(__xludf.DUMMYFUNCTION("""COMPUTED_VALUE"""),"FLB5852")</f>
        <v>FLB5852</v>
      </c>
      <c r="B365" s="468">
        <f>IFERROR(__xludf.DUMMYFUNCTION("""COMPUTED_VALUE"""),44567.0)</f>
        <v>44567</v>
      </c>
      <c r="C365" s="469">
        <f>IFERROR(__xludf.DUMMYFUNCTION("""COMPUTED_VALUE"""),0.3440625)</f>
        <v>0.3440625</v>
      </c>
      <c r="D365" s="103" t="str">
        <f>IFERROR(__xludf.DUMMYFUNCTION("""COMPUTED_VALUE"""),"SpFLMP683385")</f>
        <v>SpFLMP683385</v>
      </c>
      <c r="E365" s="103"/>
      <c r="F365" s="103"/>
      <c r="G365" s="103" t="str">
        <f>IFERROR(__xludf.DUMMYFUNCTION("""COMPUTED_VALUE"""),"Negative")</f>
        <v>Negative</v>
      </c>
      <c r="H365" s="131" t="str">
        <f>IFERROR(__xludf.DUMMYFUNCTION("""COMPUTED_VALUE"""),"Negative")</f>
        <v>Negative</v>
      </c>
      <c r="I365" s="468">
        <f>IFERROR(__xludf.DUMMYFUNCTION("""COMPUTED_VALUE"""),44567.0)</f>
        <v>44567</v>
      </c>
      <c r="J365" s="470">
        <f>IFERROR(__xludf.DUMMYFUNCTION("""COMPUTED_VALUE"""),0.4491203703703704)</f>
        <v>0.4491203704</v>
      </c>
      <c r="K365" s="16"/>
      <c r="L365" s="8"/>
      <c r="M365" s="69"/>
      <c r="N365" s="69">
        <f>IFERROR(__xludf.DUMMYFUNCTION("""COMPUTED_VALUE"""),1.0)</f>
        <v>1</v>
      </c>
      <c r="O365" s="69" t="str">
        <f t="shared" si="3"/>
        <v/>
      </c>
      <c r="P365" s="471">
        <f>IFERROR(__xludf.DUMMYFUNCTION("""COMPUTED_VALUE"""),0.0)</f>
        <v>0</v>
      </c>
      <c r="Q365" s="274" t="str">
        <f>VLOOKUP($B365,'Run Reconcile'!B$2:O2488,14,FALSE)</f>
        <v/>
      </c>
      <c r="R365" s="472" t="str">
        <f t="array" ref="R365">IF($Q365, INDEX('Run Reconcile'!A$2:A2488,MATCH(B365,'Run Reconcile'!B$2:B2488,0),1),IFERROR(0/0,""))</f>
        <v/>
      </c>
      <c r="S365" s="473" t="str">
        <f t="shared" si="694"/>
        <v/>
      </c>
      <c r="T365" s="473" t="str">
        <f t="shared" si="698"/>
        <v/>
      </c>
      <c r="U365" s="275" t="str">
        <f t="array" ref="U365">IF(ISBLANK($R365), INDEX('Run Reconcile'!A$2:A2488, MATCH($B365, 'Run Reconcile'!B$2:B2488, 0)+Z365, 1), IFERROR(0/0,""))
</f>
        <v>RUN-FLMP_2022-01-06_RFR-050</v>
      </c>
      <c r="V365" s="474" t="str">
        <f t="shared" si="5"/>
        <v>RUN-FLMP_2022-01-06_RFR-050</v>
      </c>
      <c r="Y365" s="89" t="str">
        <f t="shared" si="701"/>
        <v/>
      </c>
      <c r="Z365" s="60" t="str">
        <f t="shared" si="7"/>
        <v/>
      </c>
      <c r="AA365" s="60" t="str">
        <f t="shared" si="8"/>
        <v/>
      </c>
      <c r="AB365" s="60" t="str">
        <f t="shared" si="9"/>
        <v/>
      </c>
      <c r="AC365" s="30" t="str">
        <f t="shared" ref="AC365:AD365" si="717">IF(_xlfn.ISFORMULA(S365),IFERROR(0/0,""),TRUE)</f>
        <v/>
      </c>
      <c r="AD365" s="30" t="str">
        <f t="shared" si="717"/>
        <v/>
      </c>
      <c r="AE365" s="475" t="str">
        <f>IFERROR(__xludf.DUMMYFUNCTION("""COMPUTED_VALUE"""),"CRLN")</f>
        <v>CRLN</v>
      </c>
      <c r="AF365" s="476"/>
      <c r="AG365" s="474" t="s">
        <v>151</v>
      </c>
      <c r="AH365" s="138" t="str">
        <f t="shared" si="11"/>
        <v/>
      </c>
    </row>
    <row r="366">
      <c r="A366" s="103" t="str">
        <f>IFERROR(__xludf.DUMMYFUNCTION("""COMPUTED_VALUE"""),"FLB5966")</f>
        <v>FLB5966</v>
      </c>
      <c r="B366" s="468">
        <f>IFERROR(__xludf.DUMMYFUNCTION("""COMPUTED_VALUE"""),44567.0)</f>
        <v>44567</v>
      </c>
      <c r="C366" s="469">
        <f>IFERROR(__xludf.DUMMYFUNCTION("""COMPUTED_VALUE"""),0.3499074074074074)</f>
        <v>0.3499074074</v>
      </c>
      <c r="D366" s="103" t="str">
        <f>IFERROR(__xludf.DUMMYFUNCTION("""COMPUTED_VALUE"""),"SpFLMP273885")</f>
        <v>SpFLMP273885</v>
      </c>
      <c r="E366" s="103"/>
      <c r="F366" s="103"/>
      <c r="G366" s="103" t="str">
        <f>IFERROR(__xludf.DUMMYFUNCTION("""COMPUTED_VALUE"""),"Negative")</f>
        <v>Negative</v>
      </c>
      <c r="H366" s="131" t="str">
        <f>IFERROR(__xludf.DUMMYFUNCTION("""COMPUTED_VALUE"""),"Negative")</f>
        <v>Negative</v>
      </c>
      <c r="I366" s="468">
        <f>IFERROR(__xludf.DUMMYFUNCTION("""COMPUTED_VALUE"""),44567.0)</f>
        <v>44567</v>
      </c>
      <c r="J366" s="470">
        <f>IFERROR(__xludf.DUMMYFUNCTION("""COMPUTED_VALUE"""),0.4491203703703704)</f>
        <v>0.4491203704</v>
      </c>
      <c r="K366" s="16"/>
      <c r="L366" s="8"/>
      <c r="M366" s="69"/>
      <c r="N366" s="69">
        <f>IFERROR(__xludf.DUMMYFUNCTION("""COMPUTED_VALUE"""),3.0)</f>
        <v>3</v>
      </c>
      <c r="O366" s="69" t="str">
        <f t="shared" si="3"/>
        <v/>
      </c>
      <c r="P366" s="471">
        <f>IFERROR(__xludf.DUMMYFUNCTION("""COMPUTED_VALUE"""),0.0)</f>
        <v>0</v>
      </c>
      <c r="Q366" s="274" t="str">
        <f>VLOOKUP($B366,'Run Reconcile'!B$2:O2488,14,FALSE)</f>
        <v/>
      </c>
      <c r="R366" s="472" t="str">
        <f t="array" ref="R366">IF($Q366, INDEX('Run Reconcile'!A$2:A2488,MATCH(B366,'Run Reconcile'!B$2:B2488,0),1),IFERROR(0/0,""))</f>
        <v/>
      </c>
      <c r="S366" s="473" t="str">
        <f t="shared" si="694"/>
        <v/>
      </c>
      <c r="T366" s="473" t="str">
        <f t="shared" si="698"/>
        <v/>
      </c>
      <c r="U366" s="275" t="str">
        <f t="array" ref="U366">IF(ISBLANK($R366), INDEX('Run Reconcile'!A$2:A2488, MATCH($B366, 'Run Reconcile'!B$2:B2488, 0)+Z366, 1), IFERROR(0/0,""))
</f>
        <v>RUN-FLMP_2022-01-06_RFR-050</v>
      </c>
      <c r="V366" s="474" t="str">
        <f t="shared" si="5"/>
        <v>RUN-FLMP_2022-01-06_RFR-050</v>
      </c>
      <c r="Y366" s="89" t="str">
        <f t="shared" si="701"/>
        <v/>
      </c>
      <c r="Z366" s="60" t="str">
        <f t="shared" si="7"/>
        <v/>
      </c>
      <c r="AA366" s="60" t="str">
        <f t="shared" si="8"/>
        <v/>
      </c>
      <c r="AB366" s="60" t="str">
        <f t="shared" si="9"/>
        <v/>
      </c>
      <c r="AC366" s="30" t="str">
        <f t="shared" ref="AC366:AD366" si="718">IF(_xlfn.ISFORMULA(S366),IFERROR(0/0,""),TRUE)</f>
        <v/>
      </c>
      <c r="AD366" s="30" t="str">
        <f t="shared" si="718"/>
        <v/>
      </c>
      <c r="AE366" s="475" t="str">
        <f>IFERROR(__xludf.DUMMYFUNCTION("""COMPUTED_VALUE"""),"CRLN")</f>
        <v>CRLN</v>
      </c>
      <c r="AF366" s="476"/>
      <c r="AG366" s="474" t="s">
        <v>151</v>
      </c>
      <c r="AH366" s="138" t="str">
        <f t="shared" si="11"/>
        <v/>
      </c>
    </row>
    <row r="367">
      <c r="A367" s="103" t="str">
        <f>IFERROR(__xludf.DUMMYFUNCTION("""COMPUTED_VALUE"""),"FLB6872")</f>
        <v>FLB6872</v>
      </c>
      <c r="B367" s="468">
        <f>IFERROR(__xludf.DUMMYFUNCTION("""COMPUTED_VALUE"""),44567.0)</f>
        <v>44567</v>
      </c>
      <c r="C367" s="469">
        <f>IFERROR(__xludf.DUMMYFUNCTION("""COMPUTED_VALUE"""),0.35119212962962965)</f>
        <v>0.3511921296</v>
      </c>
      <c r="D367" s="103" t="str">
        <f>IFERROR(__xludf.DUMMYFUNCTION("""COMPUTED_VALUE"""),"SpFLMP596479")</f>
        <v>SpFLMP596479</v>
      </c>
      <c r="E367" s="103"/>
      <c r="F367" s="103"/>
      <c r="G367" s="103" t="str">
        <f>IFERROR(__xludf.DUMMYFUNCTION("""COMPUTED_VALUE"""),"Negative")</f>
        <v>Negative</v>
      </c>
      <c r="H367" s="131" t="str">
        <f>IFERROR(__xludf.DUMMYFUNCTION("""COMPUTED_VALUE"""),"Negative")</f>
        <v>Negative</v>
      </c>
      <c r="I367" s="468">
        <f>IFERROR(__xludf.DUMMYFUNCTION("""COMPUTED_VALUE"""),44567.0)</f>
        <v>44567</v>
      </c>
      <c r="J367" s="470">
        <f>IFERROR(__xludf.DUMMYFUNCTION("""COMPUTED_VALUE"""),0.4491203703703704)</f>
        <v>0.4491203704</v>
      </c>
      <c r="K367" s="16"/>
      <c r="L367" s="8"/>
      <c r="M367" s="69"/>
      <c r="N367" s="69">
        <f>IFERROR(__xludf.DUMMYFUNCTION("""COMPUTED_VALUE"""),3.0)</f>
        <v>3</v>
      </c>
      <c r="O367" s="69" t="str">
        <f t="shared" si="3"/>
        <v/>
      </c>
      <c r="P367" s="471">
        <f>IFERROR(__xludf.DUMMYFUNCTION("""COMPUTED_VALUE"""),0.0)</f>
        <v>0</v>
      </c>
      <c r="Q367" s="274" t="str">
        <f>VLOOKUP($B367,'Run Reconcile'!B$2:O2488,14,FALSE)</f>
        <v/>
      </c>
      <c r="R367" s="472" t="str">
        <f t="array" ref="R367">IF($Q367, INDEX('Run Reconcile'!A$2:A2488,MATCH(B367,'Run Reconcile'!B$2:B2488,0),1),IFERROR(0/0,""))</f>
        <v/>
      </c>
      <c r="S367" s="473" t="str">
        <f t="shared" si="694"/>
        <v/>
      </c>
      <c r="T367" s="473" t="str">
        <f t="shared" si="698"/>
        <v/>
      </c>
      <c r="U367" s="275" t="str">
        <f t="array" ref="U367">IF(ISBLANK($R367), INDEX('Run Reconcile'!A$2:A2488, MATCH($B367, 'Run Reconcile'!B$2:B2488, 0)+Z367, 1), IFERROR(0/0,""))
</f>
        <v>RUN-FLMP_2022-01-06_RFR-050</v>
      </c>
      <c r="V367" s="474" t="str">
        <f t="shared" si="5"/>
        <v>RUN-FLMP_2022-01-06_RFR-050</v>
      </c>
      <c r="Y367" s="89" t="str">
        <f t="shared" si="701"/>
        <v/>
      </c>
      <c r="Z367" s="60" t="str">
        <f t="shared" si="7"/>
        <v/>
      </c>
      <c r="AA367" s="60" t="str">
        <f t="shared" si="8"/>
        <v/>
      </c>
      <c r="AB367" s="60" t="str">
        <f t="shared" si="9"/>
        <v/>
      </c>
      <c r="AC367" s="30" t="str">
        <f t="shared" ref="AC367:AD367" si="719">IF(_xlfn.ISFORMULA(S367),IFERROR(0/0,""),TRUE)</f>
        <v/>
      </c>
      <c r="AD367" s="30" t="str">
        <f t="shared" si="719"/>
        <v/>
      </c>
      <c r="AE367" s="475" t="str">
        <f>IFERROR(__xludf.DUMMYFUNCTION("""COMPUTED_VALUE"""),"CRLN")</f>
        <v>CRLN</v>
      </c>
      <c r="AF367" s="476"/>
      <c r="AG367" s="474" t="s">
        <v>151</v>
      </c>
      <c r="AH367" s="138" t="str">
        <f t="shared" si="11"/>
        <v/>
      </c>
    </row>
    <row r="368">
      <c r="A368" s="103" t="str">
        <f>IFERROR(__xludf.DUMMYFUNCTION("""COMPUTED_VALUE"""),"FLT1515")</f>
        <v>FLT1515</v>
      </c>
      <c r="B368" s="468">
        <f>IFERROR(__xludf.DUMMYFUNCTION("""COMPUTED_VALUE"""),44567.0)</f>
        <v>44567</v>
      </c>
      <c r="C368" s="469">
        <f>IFERROR(__xludf.DUMMYFUNCTION("""COMPUTED_VALUE"""),0.3547800925925926)</f>
        <v>0.3547800926</v>
      </c>
      <c r="D368" s="103" t="str">
        <f>IFERROR(__xludf.DUMMYFUNCTION("""COMPUTED_VALUE"""),"SpFLMP604497")</f>
        <v>SpFLMP604497</v>
      </c>
      <c r="E368" s="103"/>
      <c r="F368" s="103"/>
      <c r="G368" s="103" t="str">
        <f>IFERROR(__xludf.DUMMYFUNCTION("""COMPUTED_VALUE"""),"Negative")</f>
        <v>Negative</v>
      </c>
      <c r="H368" s="131" t="str">
        <f>IFERROR(__xludf.DUMMYFUNCTION("""COMPUTED_VALUE"""),"Negative")</f>
        <v>Negative</v>
      </c>
      <c r="I368" s="468">
        <f>IFERROR(__xludf.DUMMYFUNCTION("""COMPUTED_VALUE"""),44567.0)</f>
        <v>44567</v>
      </c>
      <c r="J368" s="470">
        <f>IFERROR(__xludf.DUMMYFUNCTION("""COMPUTED_VALUE"""),0.4491203703703704)</f>
        <v>0.4491203704</v>
      </c>
      <c r="K368" s="16"/>
      <c r="L368" s="8"/>
      <c r="M368" s="69"/>
      <c r="N368" s="69">
        <f>IFERROR(__xludf.DUMMYFUNCTION("""COMPUTED_VALUE"""),4.0)</f>
        <v>4</v>
      </c>
      <c r="O368" s="69" t="str">
        <f t="shared" si="3"/>
        <v/>
      </c>
      <c r="P368" s="471">
        <f>IFERROR(__xludf.DUMMYFUNCTION("""COMPUTED_VALUE"""),0.0)</f>
        <v>0</v>
      </c>
      <c r="Q368" s="274" t="str">
        <f>VLOOKUP($B368,'Run Reconcile'!B$2:O2488,14,FALSE)</f>
        <v/>
      </c>
      <c r="R368" s="472" t="str">
        <f t="array" ref="R368">IF($Q368, INDEX('Run Reconcile'!A$2:A2488,MATCH(B368,'Run Reconcile'!B$2:B2488,0),1),IFERROR(0/0,""))</f>
        <v/>
      </c>
      <c r="S368" s="473" t="str">
        <f t="shared" si="694"/>
        <v/>
      </c>
      <c r="T368" s="473" t="str">
        <f t="shared" si="698"/>
        <v/>
      </c>
      <c r="U368" s="275" t="str">
        <f t="array" ref="U368">IF(ISBLANK($R368), INDEX('Run Reconcile'!A$2:A2488, MATCH($B368, 'Run Reconcile'!B$2:B2488, 0)+Z368, 1), IFERROR(0/0,""))
</f>
        <v>RUN-FLMP_2022-01-06_RFR-050</v>
      </c>
      <c r="V368" s="474" t="str">
        <f t="shared" si="5"/>
        <v>RUN-FLMP_2022-01-06_RFR-050</v>
      </c>
      <c r="Y368" s="89" t="str">
        <f t="shared" si="701"/>
        <v/>
      </c>
      <c r="Z368" s="60" t="str">
        <f t="shared" si="7"/>
        <v/>
      </c>
      <c r="AA368" s="60" t="str">
        <f t="shared" si="8"/>
        <v/>
      </c>
      <c r="AB368" s="60" t="str">
        <f t="shared" si="9"/>
        <v/>
      </c>
      <c r="AC368" s="30" t="str">
        <f t="shared" ref="AC368:AD368" si="720">IF(_xlfn.ISFORMULA(S368),IFERROR(0/0,""),TRUE)</f>
        <v/>
      </c>
      <c r="AD368" s="30" t="str">
        <f t="shared" si="720"/>
        <v/>
      </c>
      <c r="AE368" s="475" t="str">
        <f>IFERROR(__xludf.DUMMYFUNCTION("""COMPUTED_VALUE"""),"CRLN")</f>
        <v>CRLN</v>
      </c>
      <c r="AF368" s="476"/>
      <c r="AG368" s="474" t="s">
        <v>151</v>
      </c>
      <c r="AH368" s="138" t="str">
        <f t="shared" si="11"/>
        <v/>
      </c>
    </row>
    <row r="369">
      <c r="A369" s="103" t="str">
        <f>IFERROR(__xludf.DUMMYFUNCTION("""COMPUTED_VALUE"""),"FLE239")</f>
        <v>FLE239</v>
      </c>
      <c r="B369" s="468">
        <f>IFERROR(__xludf.DUMMYFUNCTION("""COMPUTED_VALUE"""),44567.0)</f>
        <v>44567</v>
      </c>
      <c r="C369" s="469">
        <f>IFERROR(__xludf.DUMMYFUNCTION("""COMPUTED_VALUE"""),0.36417824074074073)</f>
        <v>0.3641782407</v>
      </c>
      <c r="D369" s="103" t="str">
        <f>IFERROR(__xludf.DUMMYFUNCTION("""COMPUTED_VALUE"""),"SpFLMP659315")</f>
        <v>SpFLMP659315</v>
      </c>
      <c r="E369" s="103"/>
      <c r="F369" s="103"/>
      <c r="G369" s="103" t="str">
        <f>IFERROR(__xludf.DUMMYFUNCTION("""COMPUTED_VALUE"""),"Negative")</f>
        <v>Negative</v>
      </c>
      <c r="H369" s="131" t="str">
        <f>IFERROR(__xludf.DUMMYFUNCTION("""COMPUTED_VALUE"""),"Negative")</f>
        <v>Negative</v>
      </c>
      <c r="I369" s="468">
        <f>IFERROR(__xludf.DUMMYFUNCTION("""COMPUTED_VALUE"""),44567.0)</f>
        <v>44567</v>
      </c>
      <c r="J369" s="470">
        <f>IFERROR(__xludf.DUMMYFUNCTION("""COMPUTED_VALUE"""),0.4491203703703704)</f>
        <v>0.4491203704</v>
      </c>
      <c r="K369" s="16"/>
      <c r="L369" s="8"/>
      <c r="M369" s="69"/>
      <c r="N369" s="69">
        <f>IFERROR(__xludf.DUMMYFUNCTION("""COMPUTED_VALUE"""),4.0)</f>
        <v>4</v>
      </c>
      <c r="O369" s="69" t="str">
        <f t="shared" si="3"/>
        <v/>
      </c>
      <c r="P369" s="471">
        <f>IFERROR(__xludf.DUMMYFUNCTION("""COMPUTED_VALUE"""),0.0)</f>
        <v>0</v>
      </c>
      <c r="Q369" s="274" t="str">
        <f>VLOOKUP($B369,'Run Reconcile'!B$2:O2488,14,FALSE)</f>
        <v/>
      </c>
      <c r="R369" s="472" t="str">
        <f t="array" ref="R369">IF($Q369, INDEX('Run Reconcile'!A$2:A2488,MATCH(B369,'Run Reconcile'!B$2:B2488,0),1),IFERROR(0/0,""))</f>
        <v/>
      </c>
      <c r="S369" s="473" t="str">
        <f t="shared" si="694"/>
        <v/>
      </c>
      <c r="T369" s="473" t="str">
        <f t="shared" si="698"/>
        <v/>
      </c>
      <c r="U369" s="275" t="str">
        <f t="array" ref="U369">IF(ISBLANK($R369), INDEX('Run Reconcile'!A$2:A2488, MATCH($B369, 'Run Reconcile'!B$2:B2488, 0)+Z369, 1), IFERROR(0/0,""))
</f>
        <v>RUN-FLMP_2022-01-06_RFR-050</v>
      </c>
      <c r="V369" s="474" t="str">
        <f t="shared" si="5"/>
        <v>RUN-FLMP_2022-01-06_RFR-050</v>
      </c>
      <c r="Y369" s="89" t="str">
        <f t="shared" si="701"/>
        <v/>
      </c>
      <c r="Z369" s="60" t="str">
        <f t="shared" si="7"/>
        <v/>
      </c>
      <c r="AA369" s="60" t="str">
        <f t="shared" si="8"/>
        <v/>
      </c>
      <c r="AB369" s="60" t="str">
        <f t="shared" si="9"/>
        <v/>
      </c>
      <c r="AC369" s="30" t="str">
        <f t="shared" ref="AC369:AD369" si="721">IF(_xlfn.ISFORMULA(S369),IFERROR(0/0,""),TRUE)</f>
        <v/>
      </c>
      <c r="AD369" s="30" t="str">
        <f t="shared" si="721"/>
        <v/>
      </c>
      <c r="AE369" s="475" t="str">
        <f>IFERROR(__xludf.DUMMYFUNCTION("""COMPUTED_VALUE"""),"CRLN")</f>
        <v>CRLN</v>
      </c>
      <c r="AF369" s="476"/>
      <c r="AG369" s="474" t="s">
        <v>151</v>
      </c>
      <c r="AH369" s="138" t="str">
        <f t="shared" si="11"/>
        <v/>
      </c>
    </row>
    <row r="370">
      <c r="A370" s="103" t="str">
        <f>IFERROR(__xludf.DUMMYFUNCTION("""COMPUTED_VALUE"""),"FLB7362")</f>
        <v>FLB7362</v>
      </c>
      <c r="B370" s="468">
        <f>IFERROR(__xludf.DUMMYFUNCTION("""COMPUTED_VALUE"""),44567.0)</f>
        <v>44567</v>
      </c>
      <c r="C370" s="469">
        <f>IFERROR(__xludf.DUMMYFUNCTION("""COMPUTED_VALUE"""),0.36453703703703705)</f>
        <v>0.364537037</v>
      </c>
      <c r="D370" s="103" t="str">
        <f>IFERROR(__xludf.DUMMYFUNCTION("""COMPUTED_VALUE"""),"SpFLMP659315")</f>
        <v>SpFLMP659315</v>
      </c>
      <c r="E370" s="103"/>
      <c r="F370" s="103"/>
      <c r="G370" s="103" t="str">
        <f>IFERROR(__xludf.DUMMYFUNCTION("""COMPUTED_VALUE"""),"Negative")</f>
        <v>Negative</v>
      </c>
      <c r="H370" s="131" t="str">
        <f>IFERROR(__xludf.DUMMYFUNCTION("""COMPUTED_VALUE"""),"Negative")</f>
        <v>Negative</v>
      </c>
      <c r="I370" s="468">
        <f>IFERROR(__xludf.DUMMYFUNCTION("""COMPUTED_VALUE"""),44567.0)</f>
        <v>44567</v>
      </c>
      <c r="J370" s="470">
        <f>IFERROR(__xludf.DUMMYFUNCTION("""COMPUTED_VALUE"""),0.4491203703703704)</f>
        <v>0.4491203704</v>
      </c>
      <c r="K370" s="16"/>
      <c r="L370" s="8"/>
      <c r="M370" s="69"/>
      <c r="N370" s="69">
        <f>IFERROR(__xludf.DUMMYFUNCTION("""COMPUTED_VALUE"""),4.0)</f>
        <v>4</v>
      </c>
      <c r="O370" s="69" t="str">
        <f t="shared" si="3"/>
        <v/>
      </c>
      <c r="P370" s="471">
        <f>IFERROR(__xludf.DUMMYFUNCTION("""COMPUTED_VALUE"""),0.0)</f>
        <v>0</v>
      </c>
      <c r="Q370" s="274" t="str">
        <f>VLOOKUP($B370,'Run Reconcile'!B$2:O2488,14,FALSE)</f>
        <v/>
      </c>
      <c r="R370" s="472" t="str">
        <f t="array" ref="R370">IF($Q370, INDEX('Run Reconcile'!A$2:A2488,MATCH(B370,'Run Reconcile'!B$2:B2488,0),1),IFERROR(0/0,""))</f>
        <v/>
      </c>
      <c r="S370" s="473" t="str">
        <f t="shared" si="694"/>
        <v/>
      </c>
      <c r="T370" s="473" t="str">
        <f t="shared" si="698"/>
        <v/>
      </c>
      <c r="U370" s="275" t="str">
        <f t="array" ref="U370">IF(ISBLANK($R370), INDEX('Run Reconcile'!A$2:A2488, MATCH($B370, 'Run Reconcile'!B$2:B2488, 0)+Z370, 1), IFERROR(0/0,""))
</f>
        <v>RUN-FLMP_2022-01-06_RFR-050</v>
      </c>
      <c r="V370" s="474" t="str">
        <f t="shared" si="5"/>
        <v>RUN-FLMP_2022-01-06_RFR-050</v>
      </c>
      <c r="Y370" s="89" t="str">
        <f t="shared" si="701"/>
        <v/>
      </c>
      <c r="Z370" s="60" t="str">
        <f t="shared" si="7"/>
        <v/>
      </c>
      <c r="AA370" s="60" t="str">
        <f t="shared" si="8"/>
        <v/>
      </c>
      <c r="AB370" s="60" t="str">
        <f t="shared" si="9"/>
        <v/>
      </c>
      <c r="AC370" s="30" t="str">
        <f t="shared" ref="AC370:AD370" si="722">IF(_xlfn.ISFORMULA(S370),IFERROR(0/0,""),TRUE)</f>
        <v/>
      </c>
      <c r="AD370" s="30" t="str">
        <f t="shared" si="722"/>
        <v/>
      </c>
      <c r="AE370" s="475" t="str">
        <f>IFERROR(__xludf.DUMMYFUNCTION("""COMPUTED_VALUE"""),"FLSP")</f>
        <v>FLSP</v>
      </c>
      <c r="AF370" s="476"/>
      <c r="AG370" s="474" t="s">
        <v>151</v>
      </c>
      <c r="AH370" s="138" t="str">
        <f t="shared" si="11"/>
        <v/>
      </c>
    </row>
    <row r="371">
      <c r="A371" s="103" t="str">
        <f>IFERROR(__xludf.DUMMYFUNCTION("""COMPUTED_VALUE"""),"FLT1492")</f>
        <v>FLT1492</v>
      </c>
      <c r="B371" s="468">
        <f>IFERROR(__xludf.DUMMYFUNCTION("""COMPUTED_VALUE"""),44567.0)</f>
        <v>44567</v>
      </c>
      <c r="C371" s="469">
        <f>IFERROR(__xludf.DUMMYFUNCTION("""COMPUTED_VALUE"""),0.36559027777777775)</f>
        <v>0.3655902778</v>
      </c>
      <c r="D371" s="103" t="str">
        <f>IFERROR(__xludf.DUMMYFUNCTION("""COMPUTED_VALUE"""),"SpFLMP946259")</f>
        <v>SpFLMP946259</v>
      </c>
      <c r="E371" s="103"/>
      <c r="F371" s="103"/>
      <c r="G371" s="103" t="str">
        <f>IFERROR(__xludf.DUMMYFUNCTION("""COMPUTED_VALUE"""),"Negative")</f>
        <v>Negative</v>
      </c>
      <c r="H371" s="131" t="str">
        <f>IFERROR(__xludf.DUMMYFUNCTION("""COMPUTED_VALUE"""),"Negative")</f>
        <v>Negative</v>
      </c>
      <c r="I371" s="468">
        <f>IFERROR(__xludf.DUMMYFUNCTION("""COMPUTED_VALUE"""),44567.0)</f>
        <v>44567</v>
      </c>
      <c r="J371" s="470">
        <f>IFERROR(__xludf.DUMMYFUNCTION("""COMPUTED_VALUE"""),0.4491203703703704)</f>
        <v>0.4491203704</v>
      </c>
      <c r="K371" s="16"/>
      <c r="L371" s="8"/>
      <c r="M371" s="69"/>
      <c r="N371" s="69">
        <f>IFERROR(__xludf.DUMMYFUNCTION("""COMPUTED_VALUE"""),2.0)</f>
        <v>2</v>
      </c>
      <c r="O371" s="69" t="str">
        <f t="shared" si="3"/>
        <v/>
      </c>
      <c r="P371" s="471">
        <f>IFERROR(__xludf.DUMMYFUNCTION("""COMPUTED_VALUE"""),0.0)</f>
        <v>0</v>
      </c>
      <c r="Q371" s="274" t="str">
        <f>VLOOKUP($B371,'Run Reconcile'!B$2:O2488,14,FALSE)</f>
        <v/>
      </c>
      <c r="R371" s="472" t="str">
        <f t="array" ref="R371">IF($Q371, INDEX('Run Reconcile'!A$2:A2488,MATCH(B371,'Run Reconcile'!B$2:B2488,0),1),IFERROR(0/0,""))</f>
        <v/>
      </c>
      <c r="S371" s="473" t="str">
        <f t="shared" si="694"/>
        <v/>
      </c>
      <c r="T371" s="473" t="str">
        <f t="shared" si="698"/>
        <v/>
      </c>
      <c r="U371" s="275" t="str">
        <f t="array" ref="U371">IF(ISBLANK($R371), INDEX('Run Reconcile'!A$2:A2488, MATCH($B371, 'Run Reconcile'!B$2:B2488, 0)+Z371, 1), IFERROR(0/0,""))
</f>
        <v>RUN-FLMP_2022-01-06_RFR-050</v>
      </c>
      <c r="V371" s="474" t="str">
        <f t="shared" si="5"/>
        <v>RUN-FLMP_2022-01-06_RFR-050</v>
      </c>
      <c r="Y371" s="89" t="str">
        <f t="shared" si="701"/>
        <v/>
      </c>
      <c r="Z371" s="60" t="str">
        <f t="shared" si="7"/>
        <v/>
      </c>
      <c r="AA371" s="60" t="str">
        <f t="shared" si="8"/>
        <v/>
      </c>
      <c r="AB371" s="60" t="str">
        <f t="shared" si="9"/>
        <v/>
      </c>
      <c r="AC371" s="30" t="str">
        <f t="shared" ref="AC371:AD371" si="723">IF(_xlfn.ISFORMULA(S371),IFERROR(0/0,""),TRUE)</f>
        <v/>
      </c>
      <c r="AD371" s="30" t="str">
        <f t="shared" si="723"/>
        <v/>
      </c>
      <c r="AE371" s="475" t="str">
        <f>IFERROR(__xludf.DUMMYFUNCTION("""COMPUTED_VALUE"""),"CRLN")</f>
        <v>CRLN</v>
      </c>
      <c r="AF371" s="476"/>
      <c r="AG371" s="474" t="s">
        <v>151</v>
      </c>
      <c r="AH371" s="138" t="str">
        <f t="shared" si="11"/>
        <v/>
      </c>
    </row>
    <row r="372">
      <c r="A372" s="103" t="str">
        <f>IFERROR(__xludf.DUMMYFUNCTION("""COMPUTED_VALUE"""),"FLE259")</f>
        <v>FLE259</v>
      </c>
      <c r="B372" s="468">
        <f>IFERROR(__xludf.DUMMYFUNCTION("""COMPUTED_VALUE"""),44567.0)</f>
        <v>44567</v>
      </c>
      <c r="C372" s="469">
        <f>IFERROR(__xludf.DUMMYFUNCTION("""COMPUTED_VALUE"""),0.3727199074074074)</f>
        <v>0.3727199074</v>
      </c>
      <c r="D372" s="103" t="str">
        <f>IFERROR(__xludf.DUMMYFUNCTION("""COMPUTED_VALUE"""),"SpFLMP496039")</f>
        <v>SpFLMP496039</v>
      </c>
      <c r="E372" s="103"/>
      <c r="F372" s="103"/>
      <c r="G372" s="103" t="str">
        <f>IFERROR(__xludf.DUMMYFUNCTION("""COMPUTED_VALUE"""),"Negative")</f>
        <v>Negative</v>
      </c>
      <c r="H372" s="131" t="str">
        <f>IFERROR(__xludf.DUMMYFUNCTION("""COMPUTED_VALUE"""),"Negative")</f>
        <v>Negative</v>
      </c>
      <c r="I372" s="468">
        <f>IFERROR(__xludf.DUMMYFUNCTION("""COMPUTED_VALUE"""),44567.0)</f>
        <v>44567</v>
      </c>
      <c r="J372" s="470">
        <f>IFERROR(__xludf.DUMMYFUNCTION("""COMPUTED_VALUE"""),0.47528935185185184)</f>
        <v>0.4752893519</v>
      </c>
      <c r="K372" s="16"/>
      <c r="L372" s="8"/>
      <c r="M372" s="69"/>
      <c r="N372" s="69">
        <f>IFERROR(__xludf.DUMMYFUNCTION("""COMPUTED_VALUE"""),1.0)</f>
        <v>1</v>
      </c>
      <c r="O372" s="69" t="str">
        <f t="shared" si="3"/>
        <v/>
      </c>
      <c r="P372" s="471">
        <f>IFERROR(__xludf.DUMMYFUNCTION("""COMPUTED_VALUE"""),0.0)</f>
        <v>0</v>
      </c>
      <c r="Q372" s="274" t="str">
        <f>VLOOKUP($B372,'Run Reconcile'!B$2:O2488,14,FALSE)</f>
        <v/>
      </c>
      <c r="R372" s="472" t="str">
        <f t="array" ref="R372">IF($Q372, INDEX('Run Reconcile'!A$2:A2488,MATCH(B372,'Run Reconcile'!B$2:B2488,0),1),IFERROR(0/0,""))</f>
        <v/>
      </c>
      <c r="S372" s="473" t="str">
        <f t="shared" si="694"/>
        <v/>
      </c>
      <c r="T372" s="473" t="str">
        <f t="shared" si="698"/>
        <v/>
      </c>
      <c r="U372" s="275" t="str">
        <f t="array" ref="U372">IF(ISBLANK($R372), INDEX('Run Reconcile'!A$2:A2488, MATCH($B372, 'Run Reconcile'!B$2:B2488, 0)+Z372, 1), IFERROR(0/0,""))
</f>
        <v>RUN-FLMP_2022-01-06_RFR-050</v>
      </c>
      <c r="V372" s="474" t="str">
        <f t="shared" si="5"/>
        <v>RUN-FLMP_2022-01-06_RFR-050</v>
      </c>
      <c r="Y372" s="89" t="str">
        <f t="shared" si="701"/>
        <v/>
      </c>
      <c r="Z372" s="60" t="str">
        <f t="shared" si="7"/>
        <v/>
      </c>
      <c r="AA372" s="60" t="str">
        <f t="shared" si="8"/>
        <v/>
      </c>
      <c r="AB372" s="60" t="str">
        <f t="shared" si="9"/>
        <v/>
      </c>
      <c r="AC372" s="30" t="str">
        <f t="shared" ref="AC372:AD372" si="724">IF(_xlfn.ISFORMULA(S372),IFERROR(0/0,""),TRUE)</f>
        <v/>
      </c>
      <c r="AD372" s="30" t="str">
        <f t="shared" si="724"/>
        <v/>
      </c>
      <c r="AE372" s="475" t="str">
        <f>IFERROR(__xludf.DUMMYFUNCTION("""COMPUTED_VALUE"""),"CRLN")</f>
        <v>CRLN</v>
      </c>
      <c r="AF372" s="476"/>
      <c r="AG372" s="474" t="s">
        <v>151</v>
      </c>
      <c r="AH372" s="138" t="str">
        <f t="shared" si="11"/>
        <v/>
      </c>
    </row>
    <row r="373">
      <c r="A373" s="103" t="str">
        <f>IFERROR(__xludf.DUMMYFUNCTION("""COMPUTED_VALUE"""),"FLT1424")</f>
        <v>FLT1424</v>
      </c>
      <c r="B373" s="468">
        <f>IFERROR(__xludf.DUMMYFUNCTION("""COMPUTED_VALUE"""),44569.0)</f>
        <v>44569</v>
      </c>
      <c r="C373" s="469">
        <f>IFERROR(__xludf.DUMMYFUNCTION("""COMPUTED_VALUE"""),0.3592939814814815)</f>
        <v>0.3592939815</v>
      </c>
      <c r="D373" s="103" t="str">
        <f>IFERROR(__xludf.DUMMYFUNCTION("""COMPUTED_VALUE"""),"SpFLMP342787")</f>
        <v>SpFLMP342787</v>
      </c>
      <c r="E373" s="103"/>
      <c r="F373" s="103"/>
      <c r="G373" s="103" t="str">
        <f>IFERROR(__xludf.DUMMYFUNCTION("""COMPUTED_VALUE"""),"Negative")</f>
        <v>Negative</v>
      </c>
      <c r="H373" s="131" t="str">
        <f>IFERROR(__xludf.DUMMYFUNCTION("""COMPUTED_VALUE"""),"Negative")</f>
        <v>Negative</v>
      </c>
      <c r="I373" s="468">
        <f>IFERROR(__xludf.DUMMYFUNCTION("""COMPUTED_VALUE"""),44569.0)</f>
        <v>44569</v>
      </c>
      <c r="J373" s="470">
        <f>IFERROR(__xludf.DUMMYFUNCTION("""COMPUTED_VALUE"""),0.44178240740740743)</f>
        <v>0.4417824074</v>
      </c>
      <c r="K373" s="16"/>
      <c r="L373" s="8"/>
      <c r="M373" s="69"/>
      <c r="N373" s="69">
        <f>IFERROR(__xludf.DUMMYFUNCTION("""COMPUTED_VALUE"""),1.0)</f>
        <v>1</v>
      </c>
      <c r="O373" s="69" t="b">
        <f t="shared" si="3"/>
        <v>1</v>
      </c>
      <c r="P373" s="471">
        <f>IFERROR(__xludf.DUMMYFUNCTION("""COMPUTED_VALUE"""),0.0)</f>
        <v>0</v>
      </c>
      <c r="Q373" s="274" t="str">
        <f>VLOOKUP($B373,'Run Reconcile'!B$2:O2488,14,FALSE)</f>
        <v/>
      </c>
      <c r="R373" s="472" t="str">
        <f t="array" ref="R373">IF($Q373, INDEX('Run Reconcile'!A$2:A2488,MATCH(B373,'Run Reconcile'!B$2:B2488,0),1),IFERROR(0/0,""))</f>
        <v/>
      </c>
      <c r="S373" s="473" t="str">
        <f t="shared" si="694"/>
        <v/>
      </c>
      <c r="T373" s="473" t="str">
        <f t="shared" si="698"/>
        <v/>
      </c>
      <c r="U373" s="275" t="str">
        <f t="array" ref="U373">IF(ISBLANK($R373), INDEX('Run Reconcile'!A$2:A2488, MATCH($B373, 'Run Reconcile'!B$2:B2488, 0)+Z373, 1), IFERROR(0/0,""))
</f>
        <v>RUN-FLMP_2022-01-08_RFR-052</v>
      </c>
      <c r="V373" s="474" t="str">
        <f t="shared" si="5"/>
        <v>RUN-FLMP_2022-01-08_RFR-052</v>
      </c>
      <c r="Y373" s="89" t="str">
        <f t="shared" si="701"/>
        <v/>
      </c>
      <c r="Z373" s="60" t="str">
        <f t="shared" si="7"/>
        <v/>
      </c>
      <c r="AA373" s="60" t="str">
        <f t="shared" si="8"/>
        <v/>
      </c>
      <c r="AB373" s="60" t="str">
        <f t="shared" si="9"/>
        <v/>
      </c>
      <c r="AC373" s="30" t="str">
        <f t="shared" ref="AC373:AD373" si="725">IF(_xlfn.ISFORMULA(S373),IFERROR(0/0,""),TRUE)</f>
        <v/>
      </c>
      <c r="AD373" s="30" t="str">
        <f t="shared" si="725"/>
        <v/>
      </c>
      <c r="AE373" s="475" t="str">
        <f>IFERROR(__xludf.DUMMYFUNCTION("""COMPUTED_VALUE"""),"FLSP")</f>
        <v>FLSP</v>
      </c>
      <c r="AF373" s="476"/>
      <c r="AG373" s="474" t="s">
        <v>152</v>
      </c>
      <c r="AH373" s="138" t="str">
        <f t="shared" si="11"/>
        <v/>
      </c>
    </row>
    <row r="374">
      <c r="A374" s="103" t="str">
        <f>IFERROR(__xludf.DUMMYFUNCTION("""COMPUTED_VALUE"""),"FLT1501")</f>
        <v>FLT1501</v>
      </c>
      <c r="B374" s="468">
        <f>IFERROR(__xludf.DUMMYFUNCTION("""COMPUTED_VALUE"""),44569.0)</f>
        <v>44569</v>
      </c>
      <c r="C374" s="469">
        <f>IFERROR(__xludf.DUMMYFUNCTION("""COMPUTED_VALUE"""),0.35986111111111113)</f>
        <v>0.3598611111</v>
      </c>
      <c r="D374" s="103" t="str">
        <f>IFERROR(__xludf.DUMMYFUNCTION("""COMPUTED_VALUE"""),"SpFLMP342787")</f>
        <v>SpFLMP342787</v>
      </c>
      <c r="E374" s="103"/>
      <c r="F374" s="103"/>
      <c r="G374" s="103" t="str">
        <f>IFERROR(__xludf.DUMMYFUNCTION("""COMPUTED_VALUE"""),"Negative")</f>
        <v>Negative</v>
      </c>
      <c r="H374" s="131" t="str">
        <f>IFERROR(__xludf.DUMMYFUNCTION("""COMPUTED_VALUE"""),"Negative")</f>
        <v>Negative</v>
      </c>
      <c r="I374" s="468">
        <f>IFERROR(__xludf.DUMMYFUNCTION("""COMPUTED_VALUE"""),44569.0)</f>
        <v>44569</v>
      </c>
      <c r="J374" s="470">
        <f>IFERROR(__xludf.DUMMYFUNCTION("""COMPUTED_VALUE"""),0.44178240740740743)</f>
        <v>0.4417824074</v>
      </c>
      <c r="K374" s="16"/>
      <c r="L374" s="8"/>
      <c r="M374" s="69"/>
      <c r="N374" s="69">
        <f>IFERROR(__xludf.DUMMYFUNCTION("""COMPUTED_VALUE"""),1.0)</f>
        <v>1</v>
      </c>
      <c r="O374" s="69" t="str">
        <f t="shared" si="3"/>
        <v/>
      </c>
      <c r="P374" s="471">
        <f>IFERROR(__xludf.DUMMYFUNCTION("""COMPUTED_VALUE"""),0.0)</f>
        <v>0</v>
      </c>
      <c r="Q374" s="274" t="str">
        <f>VLOOKUP($B374,'Run Reconcile'!B$2:O2488,14,FALSE)</f>
        <v/>
      </c>
      <c r="R374" s="472" t="str">
        <f t="array" ref="R374">IF($Q374, INDEX('Run Reconcile'!A$2:A2488,MATCH(B374,'Run Reconcile'!B$2:B2488,0),1),IFERROR(0/0,""))</f>
        <v/>
      </c>
      <c r="S374" s="473" t="str">
        <f t="shared" si="694"/>
        <v/>
      </c>
      <c r="T374" s="473" t="str">
        <f t="shared" si="698"/>
        <v/>
      </c>
      <c r="U374" s="275" t="str">
        <f t="array" ref="U374">IF(ISBLANK($R374), INDEX('Run Reconcile'!A$2:A2488, MATCH($B374, 'Run Reconcile'!B$2:B2488, 0)+Z374, 1), IFERROR(0/0,""))
</f>
        <v>RUN-FLMP_2022-01-08_RFR-052</v>
      </c>
      <c r="V374" s="474" t="str">
        <f t="shared" si="5"/>
        <v>RUN-FLMP_2022-01-08_RFR-052</v>
      </c>
      <c r="Y374" s="89" t="str">
        <f t="shared" si="701"/>
        <v/>
      </c>
      <c r="Z374" s="60" t="str">
        <f t="shared" si="7"/>
        <v/>
      </c>
      <c r="AA374" s="60" t="str">
        <f t="shared" si="8"/>
        <v/>
      </c>
      <c r="AB374" s="60" t="str">
        <f t="shared" si="9"/>
        <v/>
      </c>
      <c r="AC374" s="30" t="str">
        <f t="shared" ref="AC374:AD374" si="726">IF(_xlfn.ISFORMULA(S374),IFERROR(0/0,""),TRUE)</f>
        <v/>
      </c>
      <c r="AD374" s="30" t="str">
        <f t="shared" si="726"/>
        <v/>
      </c>
      <c r="AE374" s="475" t="str">
        <f>IFERROR(__xludf.DUMMYFUNCTION("""COMPUTED_VALUE"""),"FLSP")</f>
        <v>FLSP</v>
      </c>
      <c r="AF374" s="476"/>
      <c r="AG374" s="474" t="s">
        <v>152</v>
      </c>
      <c r="AH374" s="138" t="str">
        <f t="shared" si="11"/>
        <v/>
      </c>
    </row>
    <row r="375">
      <c r="A375" s="103" t="str">
        <f>IFERROR(__xludf.DUMMYFUNCTION("""COMPUTED_VALUE"""),"FLT1155")</f>
        <v>FLT1155</v>
      </c>
      <c r="B375" s="468">
        <f>IFERROR(__xludf.DUMMYFUNCTION("""COMPUTED_VALUE"""),44569.0)</f>
        <v>44569</v>
      </c>
      <c r="C375" s="469">
        <f>IFERROR(__xludf.DUMMYFUNCTION("""COMPUTED_VALUE"""),0.3602430555555556)</f>
        <v>0.3602430556</v>
      </c>
      <c r="D375" s="103" t="str">
        <f>IFERROR(__xludf.DUMMYFUNCTION("""COMPUTED_VALUE"""),"SpFLMP342787")</f>
        <v>SpFLMP342787</v>
      </c>
      <c r="E375" s="103"/>
      <c r="F375" s="103"/>
      <c r="G375" s="103" t="str">
        <f>IFERROR(__xludf.DUMMYFUNCTION("""COMPUTED_VALUE"""),"Negative")</f>
        <v>Negative</v>
      </c>
      <c r="H375" s="131" t="str">
        <f>IFERROR(__xludf.DUMMYFUNCTION("""COMPUTED_VALUE"""),"Negative")</f>
        <v>Negative</v>
      </c>
      <c r="I375" s="468">
        <f>IFERROR(__xludf.DUMMYFUNCTION("""COMPUTED_VALUE"""),44569.0)</f>
        <v>44569</v>
      </c>
      <c r="J375" s="470">
        <f>IFERROR(__xludf.DUMMYFUNCTION("""COMPUTED_VALUE"""),0.44179398148148147)</f>
        <v>0.4417939815</v>
      </c>
      <c r="K375" s="16"/>
      <c r="L375" s="8"/>
      <c r="M375" s="69"/>
      <c r="N375" s="69">
        <f>IFERROR(__xludf.DUMMYFUNCTION("""COMPUTED_VALUE"""),1.0)</f>
        <v>1</v>
      </c>
      <c r="O375" s="69" t="str">
        <f t="shared" si="3"/>
        <v/>
      </c>
      <c r="P375" s="471">
        <f>IFERROR(__xludf.DUMMYFUNCTION("""COMPUTED_VALUE"""),0.0)</f>
        <v>0</v>
      </c>
      <c r="Q375" s="274" t="str">
        <f>VLOOKUP($B375,'Run Reconcile'!B$2:O2488,14,FALSE)</f>
        <v/>
      </c>
      <c r="R375" s="472" t="str">
        <f t="array" ref="R375">IF($Q375, INDEX('Run Reconcile'!A$2:A2488,MATCH(B375,'Run Reconcile'!B$2:B2488,0),1),IFERROR(0/0,""))</f>
        <v/>
      </c>
      <c r="S375" s="473" t="str">
        <f t="shared" si="694"/>
        <v/>
      </c>
      <c r="T375" s="473" t="str">
        <f t="shared" si="698"/>
        <v/>
      </c>
      <c r="U375" s="275" t="str">
        <f t="array" ref="U375">IF(ISBLANK($R375), INDEX('Run Reconcile'!A$2:A2488, MATCH($B375, 'Run Reconcile'!B$2:B2488, 0)+Z375, 1), IFERROR(0/0,""))
</f>
        <v>RUN-FLMP_2022-01-08_RFR-052</v>
      </c>
      <c r="V375" s="474" t="str">
        <f t="shared" si="5"/>
        <v>RUN-FLMP_2022-01-08_RFR-052</v>
      </c>
      <c r="Y375" s="89" t="str">
        <f t="shared" si="701"/>
        <v/>
      </c>
      <c r="Z375" s="60" t="str">
        <f t="shared" si="7"/>
        <v/>
      </c>
      <c r="AA375" s="60" t="str">
        <f t="shared" si="8"/>
        <v/>
      </c>
      <c r="AB375" s="60" t="str">
        <f t="shared" si="9"/>
        <v/>
      </c>
      <c r="AC375" s="30" t="str">
        <f t="shared" ref="AC375:AD375" si="727">IF(_xlfn.ISFORMULA(S375),IFERROR(0/0,""),TRUE)</f>
        <v/>
      </c>
      <c r="AD375" s="30" t="str">
        <f t="shared" si="727"/>
        <v/>
      </c>
      <c r="AE375" s="475" t="str">
        <f>IFERROR(__xludf.DUMMYFUNCTION("""COMPUTED_VALUE"""),"FLSP")</f>
        <v>FLSP</v>
      </c>
      <c r="AF375" s="476"/>
      <c r="AG375" s="474" t="s">
        <v>152</v>
      </c>
      <c r="AH375" s="138" t="str">
        <f t="shared" si="11"/>
        <v/>
      </c>
    </row>
    <row r="376">
      <c r="A376" s="103" t="str">
        <f>IFERROR(__xludf.DUMMYFUNCTION("""COMPUTED_VALUE"""),"FLT1475")</f>
        <v>FLT1475</v>
      </c>
      <c r="B376" s="468">
        <f>IFERROR(__xludf.DUMMYFUNCTION("""COMPUTED_VALUE"""),44569.0)</f>
        <v>44569</v>
      </c>
      <c r="C376" s="469">
        <f>IFERROR(__xludf.DUMMYFUNCTION("""COMPUTED_VALUE"""),0.3605555555555556)</f>
        <v>0.3605555556</v>
      </c>
      <c r="D376" s="103" t="str">
        <f>IFERROR(__xludf.DUMMYFUNCTION("""COMPUTED_VALUE"""),"SpFLMP342787")</f>
        <v>SpFLMP342787</v>
      </c>
      <c r="E376" s="103"/>
      <c r="F376" s="103"/>
      <c r="G376" s="103" t="str">
        <f>IFERROR(__xludf.DUMMYFUNCTION("""COMPUTED_VALUE"""),"Positive")</f>
        <v>Positive</v>
      </c>
      <c r="H376" s="131" t="str">
        <f>IFERROR(__xludf.DUMMYFUNCTION("""COMPUTED_VALUE"""),"Positive")</f>
        <v>Positive</v>
      </c>
      <c r="I376" s="468">
        <f>IFERROR(__xludf.DUMMYFUNCTION("""COMPUTED_VALUE"""),44569.0)</f>
        <v>44569</v>
      </c>
      <c r="J376" s="470">
        <f>IFERROR(__xludf.DUMMYFUNCTION("""COMPUTED_VALUE"""),0.44179398148148147)</f>
        <v>0.4417939815</v>
      </c>
      <c r="K376" s="16"/>
      <c r="L376" s="8"/>
      <c r="M376" s="69"/>
      <c r="N376" s="69">
        <f>IFERROR(__xludf.DUMMYFUNCTION("""COMPUTED_VALUE"""),1.0)</f>
        <v>1</v>
      </c>
      <c r="O376" s="69" t="str">
        <f t="shared" si="3"/>
        <v/>
      </c>
      <c r="P376" s="471">
        <f>IFERROR(__xludf.DUMMYFUNCTION("""COMPUTED_VALUE"""),0.0)</f>
        <v>0</v>
      </c>
      <c r="Q376" s="274" t="str">
        <f>VLOOKUP($B376,'Run Reconcile'!B$2:O2488,14,FALSE)</f>
        <v/>
      </c>
      <c r="R376" s="472" t="str">
        <f t="array" ref="R376">IF($Q376, INDEX('Run Reconcile'!A$2:A2488,MATCH(B376,'Run Reconcile'!B$2:B2488,0),1),IFERROR(0/0,""))</f>
        <v/>
      </c>
      <c r="S376" s="473" t="str">
        <f t="shared" si="694"/>
        <v/>
      </c>
      <c r="T376" s="473" t="str">
        <f t="shared" si="698"/>
        <v/>
      </c>
      <c r="U376" s="275" t="str">
        <f t="array" ref="U376">IF(ISBLANK($R376), INDEX('Run Reconcile'!A$2:A2488, MATCH($B376, 'Run Reconcile'!B$2:B2488, 0)+Z376, 1), IFERROR(0/0,""))
</f>
        <v>RUN-FLMP_2022-01-08_RFR-052</v>
      </c>
      <c r="V376" s="474" t="str">
        <f t="shared" si="5"/>
        <v>RUN-FLMP_2022-01-08_RFR-052</v>
      </c>
      <c r="Y376" s="89" t="str">
        <f t="shared" si="701"/>
        <v/>
      </c>
      <c r="Z376" s="60" t="str">
        <f t="shared" si="7"/>
        <v/>
      </c>
      <c r="AA376" s="60" t="str">
        <f t="shared" si="8"/>
        <v/>
      </c>
      <c r="AB376" s="60" t="str">
        <f t="shared" si="9"/>
        <v/>
      </c>
      <c r="AC376" s="30" t="str">
        <f t="shared" ref="AC376:AD376" si="728">IF(_xlfn.ISFORMULA(S376),IFERROR(0/0,""),TRUE)</f>
        <v/>
      </c>
      <c r="AD376" s="30" t="str">
        <f t="shared" si="728"/>
        <v/>
      </c>
      <c r="AE376" s="475" t="str">
        <f>IFERROR(__xludf.DUMMYFUNCTION("""COMPUTED_VALUE"""),"FLSP")</f>
        <v>FLSP</v>
      </c>
      <c r="AF376" s="476"/>
      <c r="AG376" s="474" t="s">
        <v>152</v>
      </c>
      <c r="AH376" s="138" t="str">
        <f t="shared" si="11"/>
        <v/>
      </c>
    </row>
    <row r="377">
      <c r="A377" s="103" t="str">
        <f>IFERROR(__xludf.DUMMYFUNCTION("""COMPUTED_VALUE"""),"MA772")</f>
        <v>MA772</v>
      </c>
      <c r="B377" s="468">
        <f>IFERROR(__xludf.DUMMYFUNCTION("""COMPUTED_VALUE"""),44569.0)</f>
        <v>44569</v>
      </c>
      <c r="C377" s="469">
        <f>IFERROR(__xludf.DUMMYFUNCTION("""COMPUTED_VALUE"""),0.38318287037037035)</f>
        <v>0.3831828704</v>
      </c>
      <c r="D377" s="103" t="str">
        <f>IFERROR(__xludf.DUMMYFUNCTION("""COMPUTED_VALUE"""),"SpFLMP684798")</f>
        <v>SpFLMP684798</v>
      </c>
      <c r="E377" s="103"/>
      <c r="F377" s="103"/>
      <c r="G377" s="103" t="str">
        <f>IFERROR(__xludf.DUMMYFUNCTION("""COMPUTED_VALUE"""),"Negative")</f>
        <v>Negative</v>
      </c>
      <c r="H377" s="131" t="str">
        <f>IFERROR(__xludf.DUMMYFUNCTION("""COMPUTED_VALUE"""),"Negative")</f>
        <v>Negative</v>
      </c>
      <c r="I377" s="468">
        <f>IFERROR(__xludf.DUMMYFUNCTION("""COMPUTED_VALUE"""),44569.0)</f>
        <v>44569</v>
      </c>
      <c r="J377" s="470">
        <f>IFERROR(__xludf.DUMMYFUNCTION("""COMPUTED_VALUE"""),0.44179398148148147)</f>
        <v>0.4417939815</v>
      </c>
      <c r="K377" s="16"/>
      <c r="L377" s="8"/>
      <c r="M377" s="69"/>
      <c r="N377" s="69">
        <f>IFERROR(__xludf.DUMMYFUNCTION("""COMPUTED_VALUE"""),4.0)</f>
        <v>4</v>
      </c>
      <c r="O377" s="69" t="str">
        <f t="shared" si="3"/>
        <v/>
      </c>
      <c r="P377" s="471">
        <f>IFERROR(__xludf.DUMMYFUNCTION("""COMPUTED_VALUE"""),0.0)</f>
        <v>0</v>
      </c>
      <c r="Q377" s="274" t="str">
        <f>VLOOKUP($B377,'Run Reconcile'!B$2:O2488,14,FALSE)</f>
        <v/>
      </c>
      <c r="R377" s="472" t="str">
        <f t="array" ref="R377">IF($Q377, INDEX('Run Reconcile'!A$2:A2488,MATCH(B377,'Run Reconcile'!B$2:B2488,0),1),IFERROR(0/0,""))</f>
        <v/>
      </c>
      <c r="S377" s="473" t="str">
        <f t="shared" si="694"/>
        <v/>
      </c>
      <c r="T377" s="473" t="str">
        <f t="shared" si="698"/>
        <v/>
      </c>
      <c r="U377" s="275" t="str">
        <f t="array" ref="U377">IF(ISBLANK($R377), INDEX('Run Reconcile'!A$2:A2488, MATCH($B377, 'Run Reconcile'!B$2:B2488, 0)+Z377, 1), IFERROR(0/0,""))
</f>
        <v>RUN-FLMP_2022-01-08_RFR-052</v>
      </c>
      <c r="V377" s="474" t="str">
        <f t="shared" si="5"/>
        <v>RUN-FLMP_2022-01-08_RFR-052</v>
      </c>
      <c r="Y377" s="89" t="str">
        <f t="shared" si="701"/>
        <v/>
      </c>
      <c r="Z377" s="60" t="str">
        <f t="shared" si="7"/>
        <v/>
      </c>
      <c r="AA377" s="60" t="str">
        <f t="shared" si="8"/>
        <v/>
      </c>
      <c r="AB377" s="60" t="str">
        <f t="shared" si="9"/>
        <v/>
      </c>
      <c r="AC377" s="30" t="str">
        <f t="shared" ref="AC377:AD377" si="729">IF(_xlfn.ISFORMULA(S377),IFERROR(0/0,""),TRUE)</f>
        <v/>
      </c>
      <c r="AD377" s="30" t="str">
        <f t="shared" si="729"/>
        <v/>
      </c>
      <c r="AE377" s="475" t="str">
        <f>IFERROR(__xludf.DUMMYFUNCTION("""COMPUTED_VALUE"""),"CRLN")</f>
        <v>CRLN</v>
      </c>
      <c r="AF377" s="476"/>
      <c r="AG377" s="474" t="s">
        <v>152</v>
      </c>
      <c r="AH377" s="138" t="str">
        <f t="shared" si="11"/>
        <v/>
      </c>
    </row>
    <row r="378">
      <c r="A378" s="103" t="str">
        <f>IFERROR(__xludf.DUMMYFUNCTION("""COMPUTED_VALUE"""),"FLE240")</f>
        <v>FLE240</v>
      </c>
      <c r="B378" s="468">
        <f>IFERROR(__xludf.DUMMYFUNCTION("""COMPUTED_VALUE"""),44569.0)</f>
        <v>44569</v>
      </c>
      <c r="C378" s="469">
        <f>IFERROR(__xludf.DUMMYFUNCTION("""COMPUTED_VALUE"""),0.3867476851851852)</f>
        <v>0.3867476852</v>
      </c>
      <c r="D378" s="103" t="str">
        <f>IFERROR(__xludf.DUMMYFUNCTION("""COMPUTED_VALUE"""),"SpFLMP684798")</f>
        <v>SpFLMP684798</v>
      </c>
      <c r="E378" s="103"/>
      <c r="F378" s="103"/>
      <c r="G378" s="103" t="str">
        <f>IFERROR(__xludf.DUMMYFUNCTION("""COMPUTED_VALUE"""),"Negative")</f>
        <v>Negative</v>
      </c>
      <c r="H378" s="131" t="str">
        <f>IFERROR(__xludf.DUMMYFUNCTION("""COMPUTED_VALUE"""),"Negative")</f>
        <v>Negative</v>
      </c>
      <c r="I378" s="468">
        <f>IFERROR(__xludf.DUMMYFUNCTION("""COMPUTED_VALUE"""),44569.0)</f>
        <v>44569</v>
      </c>
      <c r="J378" s="470">
        <f>IFERROR(__xludf.DUMMYFUNCTION("""COMPUTED_VALUE"""),0.44179398148148147)</f>
        <v>0.4417939815</v>
      </c>
      <c r="K378" s="16"/>
      <c r="L378" s="8"/>
      <c r="M378" s="69"/>
      <c r="N378" s="69">
        <f>IFERROR(__xludf.DUMMYFUNCTION("""COMPUTED_VALUE"""),4.0)</f>
        <v>4</v>
      </c>
      <c r="O378" s="69" t="str">
        <f t="shared" si="3"/>
        <v/>
      </c>
      <c r="P378" s="471">
        <f>IFERROR(__xludf.DUMMYFUNCTION("""COMPUTED_VALUE"""),0.0)</f>
        <v>0</v>
      </c>
      <c r="Q378" s="274" t="str">
        <f>VLOOKUP($B378,'Run Reconcile'!B$2:O2488,14,FALSE)</f>
        <v/>
      </c>
      <c r="R378" s="472" t="str">
        <f t="array" ref="R378">IF($Q378, INDEX('Run Reconcile'!A$2:A2488,MATCH(B378,'Run Reconcile'!B$2:B2488,0),1),IFERROR(0/0,""))</f>
        <v/>
      </c>
      <c r="S378" s="473" t="str">
        <f t="shared" si="694"/>
        <v/>
      </c>
      <c r="T378" s="473" t="str">
        <f t="shared" si="698"/>
        <v/>
      </c>
      <c r="U378" s="275" t="str">
        <f t="array" ref="U378">IF(ISBLANK($R378), INDEX('Run Reconcile'!A$2:A2488, MATCH($B378, 'Run Reconcile'!B$2:B2488, 0)+Z378, 1), IFERROR(0/0,""))
</f>
        <v>RUN-FLMP_2022-01-08_RFR-052</v>
      </c>
      <c r="V378" s="474" t="str">
        <f t="shared" si="5"/>
        <v>RUN-FLMP_2022-01-08_RFR-052</v>
      </c>
      <c r="Y378" s="89" t="str">
        <f t="shared" si="701"/>
        <v/>
      </c>
      <c r="Z378" s="60" t="str">
        <f t="shared" si="7"/>
        <v/>
      </c>
      <c r="AA378" s="60" t="str">
        <f t="shared" si="8"/>
        <v/>
      </c>
      <c r="AB378" s="60" t="str">
        <f t="shared" si="9"/>
        <v/>
      </c>
      <c r="AC378" s="30" t="str">
        <f t="shared" ref="AC378:AD378" si="730">IF(_xlfn.ISFORMULA(S378),IFERROR(0/0,""),TRUE)</f>
        <v/>
      </c>
      <c r="AD378" s="30" t="str">
        <f t="shared" si="730"/>
        <v/>
      </c>
      <c r="AE378" s="475" t="str">
        <f>IFERROR(__xludf.DUMMYFUNCTION("""COMPUTED_VALUE"""),"CRLN")</f>
        <v>CRLN</v>
      </c>
      <c r="AF378" s="476"/>
      <c r="AG378" s="474" t="s">
        <v>152</v>
      </c>
      <c r="AH378" s="138" t="str">
        <f t="shared" si="11"/>
        <v/>
      </c>
    </row>
    <row r="379">
      <c r="A379" s="103" t="str">
        <f>IFERROR(__xludf.DUMMYFUNCTION("""COMPUTED_VALUE"""),"FLT1505")</f>
        <v>FLT1505</v>
      </c>
      <c r="B379" s="468">
        <f>IFERROR(__xludf.DUMMYFUNCTION("""COMPUTED_VALUE"""),44569.0)</f>
        <v>44569</v>
      </c>
      <c r="C379" s="469">
        <f>IFERROR(__xludf.DUMMYFUNCTION("""COMPUTED_VALUE"""),0.39494212962962966)</f>
        <v>0.3949421296</v>
      </c>
      <c r="D379" s="103" t="str">
        <f>IFERROR(__xludf.DUMMYFUNCTION("""COMPUTED_VALUE"""),"SpFLMP604497")</f>
        <v>SpFLMP604497</v>
      </c>
      <c r="E379" s="103"/>
      <c r="F379" s="103"/>
      <c r="G379" s="103" t="str">
        <f>IFERROR(__xludf.DUMMYFUNCTION("""COMPUTED_VALUE"""),"Negative")</f>
        <v>Negative</v>
      </c>
      <c r="H379" s="131" t="str">
        <f>IFERROR(__xludf.DUMMYFUNCTION("""COMPUTED_VALUE"""),"Negative")</f>
        <v>Negative</v>
      </c>
      <c r="I379" s="468">
        <f>IFERROR(__xludf.DUMMYFUNCTION("""COMPUTED_VALUE"""),44569.0)</f>
        <v>44569</v>
      </c>
      <c r="J379" s="470">
        <f>IFERROR(__xludf.DUMMYFUNCTION("""COMPUTED_VALUE"""),0.44179398148148147)</f>
        <v>0.4417939815</v>
      </c>
      <c r="K379" s="16"/>
      <c r="L379" s="8"/>
      <c r="M379" s="69"/>
      <c r="N379" s="69">
        <f>IFERROR(__xludf.DUMMYFUNCTION("""COMPUTED_VALUE"""),3.0)</f>
        <v>3</v>
      </c>
      <c r="O379" s="69" t="str">
        <f t="shared" si="3"/>
        <v/>
      </c>
      <c r="P379" s="471">
        <f>IFERROR(__xludf.DUMMYFUNCTION("""COMPUTED_VALUE"""),0.0)</f>
        <v>0</v>
      </c>
      <c r="Q379" s="274" t="str">
        <f>VLOOKUP($B379,'Run Reconcile'!B$2:O2488,14,FALSE)</f>
        <v/>
      </c>
      <c r="R379" s="472" t="str">
        <f t="array" ref="R379">IF($Q379, INDEX('Run Reconcile'!A$2:A2488,MATCH(B379,'Run Reconcile'!B$2:B2488,0),1),IFERROR(0/0,""))</f>
        <v/>
      </c>
      <c r="S379" s="473" t="str">
        <f t="shared" si="694"/>
        <v/>
      </c>
      <c r="T379" s="473" t="str">
        <f t="shared" si="698"/>
        <v/>
      </c>
      <c r="U379" s="275" t="str">
        <f t="array" ref="U379">IF(ISBLANK($R379), INDEX('Run Reconcile'!A$2:A2488, MATCH($B379, 'Run Reconcile'!B$2:B2488, 0)+Z379, 1), IFERROR(0/0,""))
</f>
        <v>RUN-FLMP_2022-01-08_RFR-052</v>
      </c>
      <c r="V379" s="474" t="str">
        <f t="shared" si="5"/>
        <v>RUN-FLMP_2022-01-08_RFR-052</v>
      </c>
      <c r="Y379" s="89" t="str">
        <f t="shared" si="701"/>
        <v/>
      </c>
      <c r="Z379" s="60" t="str">
        <f t="shared" si="7"/>
        <v/>
      </c>
      <c r="AA379" s="60" t="str">
        <f t="shared" si="8"/>
        <v/>
      </c>
      <c r="AB379" s="60" t="str">
        <f t="shared" si="9"/>
        <v/>
      </c>
      <c r="AC379" s="30" t="str">
        <f t="shared" ref="AC379:AD379" si="731">IF(_xlfn.ISFORMULA(S379),IFERROR(0/0,""),TRUE)</f>
        <v/>
      </c>
      <c r="AD379" s="30" t="str">
        <f t="shared" si="731"/>
        <v/>
      </c>
      <c r="AE379" s="475" t="str">
        <f>IFERROR(__xludf.DUMMYFUNCTION("""COMPUTED_VALUE"""),"CRLN")</f>
        <v>CRLN</v>
      </c>
      <c r="AF379" s="476"/>
      <c r="AG379" s="474" t="s">
        <v>152</v>
      </c>
      <c r="AH379" s="138" t="str">
        <f t="shared" si="11"/>
        <v/>
      </c>
    </row>
    <row r="380">
      <c r="A380" s="477" t="str">
        <f>IFERROR(__xludf.DUMMYFUNCTION("""COMPUTED_VALUE"""),"FLE895")</f>
        <v>FLE895</v>
      </c>
      <c r="B380" s="478">
        <f>IFERROR(__xludf.DUMMYFUNCTION("""COMPUTED_VALUE"""),44570.0)</f>
        <v>44570</v>
      </c>
      <c r="C380" s="479">
        <f>IFERROR(__xludf.DUMMYFUNCTION("""COMPUTED_VALUE"""),0.540162037037037)</f>
        <v>0.540162037</v>
      </c>
      <c r="D380" s="477" t="str">
        <f>IFERROR(__xludf.DUMMYFUNCTION("""COMPUTED_VALUE"""),"SpFLMP125859")</f>
        <v>SpFLMP125859</v>
      </c>
      <c r="E380" s="477"/>
      <c r="F380" s="477"/>
      <c r="G380" s="477" t="str">
        <f>IFERROR(__xludf.DUMMYFUNCTION("""COMPUTED_VALUE"""),"Positive")</f>
        <v>Positive</v>
      </c>
      <c r="H380" s="504" t="str">
        <f>IFERROR(__xludf.DUMMYFUNCTION("""COMPUTED_VALUE"""),"Positive")</f>
        <v>Positive</v>
      </c>
      <c r="I380" s="478">
        <f>IFERROR(__xludf.DUMMYFUNCTION("""COMPUTED_VALUE"""),44571.0)</f>
        <v>44571</v>
      </c>
      <c r="J380" s="481">
        <f>IFERROR(__xludf.DUMMYFUNCTION("""COMPUTED_VALUE"""),0.4724537037037037)</f>
        <v>0.4724537037</v>
      </c>
      <c r="K380" s="156"/>
      <c r="L380" s="19"/>
      <c r="M380" s="482"/>
      <c r="N380" s="482">
        <f>IFERROR(__xludf.DUMMYFUNCTION("""COMPUTED_VALUE"""),1.0)</f>
        <v>1</v>
      </c>
      <c r="O380" s="482" t="b">
        <f t="shared" si="3"/>
        <v>1</v>
      </c>
      <c r="P380" s="483">
        <f>IFERROR(__xludf.DUMMYFUNCTION("""COMPUTED_VALUE"""),1.0)</f>
        <v>1</v>
      </c>
      <c r="Q380" s="352" t="str">
        <f>VLOOKUP($B380,'Run Reconcile'!B$2:O2488,14,FALSE)</f>
        <v/>
      </c>
      <c r="R380" s="484" t="str">
        <f t="array" ref="R380">IF($Q380, INDEX('Run Reconcile'!A$2:A2488,MATCH(B380,'Run Reconcile'!B$2:B2488,0),1),IFERROR(0/0,""))</f>
        <v/>
      </c>
      <c r="S380" s="485" t="b">
        <f t="shared" si="694"/>
        <v>1</v>
      </c>
      <c r="T380" s="485" t="str">
        <f t="shared" si="698"/>
        <v/>
      </c>
      <c r="U380" s="353" t="str">
        <f t="array" ref="U380">IF(ISBLANK($R380), INDEX('Run Reconcile'!A$2:A2488, MATCH($B380, 'Run Reconcile'!B$2:B2488, 0)+Z380, 1), IFERROR(0/0,""))
</f>
        <v>RUN-FLMP_2022-01-10_RFR-053</v>
      </c>
      <c r="V380" s="486" t="str">
        <f t="shared" si="5"/>
        <v>RUN-FLMP_2022-01-10_RFR-053</v>
      </c>
      <c r="W380" s="19" t="s">
        <v>1161</v>
      </c>
      <c r="X380" s="19"/>
      <c r="Y380" s="89">
        <f t="shared" si="701"/>
        <v>1</v>
      </c>
      <c r="Z380" s="60">
        <f t="shared" si="7"/>
        <v>1</v>
      </c>
      <c r="AA380" s="60">
        <f t="shared" si="8"/>
        <v>1</v>
      </c>
      <c r="AB380" s="60" t="str">
        <f t="shared" si="9"/>
        <v/>
      </c>
      <c r="AC380" s="158" t="str">
        <f t="shared" ref="AC380:AD380" si="732">IF(_xlfn.ISFORMULA(S380),IFERROR(0/0,""),TRUE)</f>
        <v/>
      </c>
      <c r="AD380" s="158" t="str">
        <f t="shared" si="732"/>
        <v/>
      </c>
      <c r="AE380" s="488" t="str">
        <f>IFERROR(__xludf.DUMMYFUNCTION("""COMPUTED_VALUE"""),"CRLN")</f>
        <v>CRLN</v>
      </c>
      <c r="AF380" s="489"/>
      <c r="AG380" s="486" t="s">
        <v>153</v>
      </c>
      <c r="AH380" s="138" t="str">
        <f t="shared" si="11"/>
        <v/>
      </c>
      <c r="AI380" s="19"/>
      <c r="AJ380" s="19"/>
      <c r="AK380" s="19"/>
      <c r="AL380" s="19"/>
      <c r="AM380" s="19"/>
    </row>
    <row r="381">
      <c r="A381" s="103" t="str">
        <f>IFERROR(__xludf.DUMMYFUNCTION("""COMPUTED_VALUE"""),"FLE885")</f>
        <v>FLE885</v>
      </c>
      <c r="B381" s="468">
        <f>IFERROR(__xludf.DUMMYFUNCTION("""COMPUTED_VALUE"""),44570.0)</f>
        <v>44570</v>
      </c>
      <c r="C381" s="469">
        <f>IFERROR(__xludf.DUMMYFUNCTION("""COMPUTED_VALUE"""),0.5405555555555556)</f>
        <v>0.5405555556</v>
      </c>
      <c r="D381" s="103" t="str">
        <f>IFERROR(__xludf.DUMMYFUNCTION("""COMPUTED_VALUE"""),"SpFLMP125859")</f>
        <v>SpFLMP125859</v>
      </c>
      <c r="E381" s="103"/>
      <c r="F381" s="103"/>
      <c r="G381" s="103" t="str">
        <f>IFERROR(__xludf.DUMMYFUNCTION("""COMPUTED_VALUE"""),"Positive")</f>
        <v>Positive</v>
      </c>
      <c r="H381" s="505" t="str">
        <f>IFERROR(__xludf.DUMMYFUNCTION("""COMPUTED_VALUE"""),"Positive")</f>
        <v>Positive</v>
      </c>
      <c r="I381" s="468">
        <f>IFERROR(__xludf.DUMMYFUNCTION("""COMPUTED_VALUE"""),44571.0)</f>
        <v>44571</v>
      </c>
      <c r="J381" s="470">
        <f>IFERROR(__xludf.DUMMYFUNCTION("""COMPUTED_VALUE"""),0.4724537037037037)</f>
        <v>0.4724537037</v>
      </c>
      <c r="K381" s="16"/>
      <c r="L381" s="8"/>
      <c r="M381" s="69"/>
      <c r="N381" s="69">
        <f>IFERROR(__xludf.DUMMYFUNCTION("""COMPUTED_VALUE"""),1.0)</f>
        <v>1</v>
      </c>
      <c r="O381" s="69" t="str">
        <f t="shared" si="3"/>
        <v/>
      </c>
      <c r="P381" s="471">
        <f>IFERROR(__xludf.DUMMYFUNCTION("""COMPUTED_VALUE"""),1.0)</f>
        <v>1</v>
      </c>
      <c r="Q381" s="274" t="str">
        <f>VLOOKUP($B381,'Run Reconcile'!B$2:O2488,14,FALSE)</f>
        <v/>
      </c>
      <c r="R381" s="472" t="str">
        <f t="array" ref="R381">IF($Q381, INDEX('Run Reconcile'!A$2:A2488,MATCH(B381,'Run Reconcile'!B$2:B2488,0),1),IFERROR(0/0,""))</f>
        <v/>
      </c>
      <c r="S381" s="473" t="b">
        <f t="shared" si="694"/>
        <v>1</v>
      </c>
      <c r="T381" s="473" t="str">
        <f t="shared" si="698"/>
        <v/>
      </c>
      <c r="U381" s="275" t="str">
        <f t="array" ref="U381">IF(ISBLANK($R381), INDEX('Run Reconcile'!A$2:A2488, MATCH($B381, 'Run Reconcile'!B$2:B2488, 0)+Z381, 1), IFERROR(0/0,""))
</f>
        <v>RUN-FLMP_2022-01-10_RFR-053</v>
      </c>
      <c r="V381" s="474" t="str">
        <f t="shared" si="5"/>
        <v>RUN-FLMP_2022-01-10_RFR-053</v>
      </c>
      <c r="W381" s="8" t="s">
        <v>1160</v>
      </c>
      <c r="Y381" s="89">
        <f t="shared" si="701"/>
        <v>1</v>
      </c>
      <c r="Z381" s="60">
        <f t="shared" si="7"/>
        <v>1</v>
      </c>
      <c r="AA381" s="60">
        <f t="shared" si="8"/>
        <v>1</v>
      </c>
      <c r="AB381" s="60" t="str">
        <f t="shared" si="9"/>
        <v/>
      </c>
      <c r="AC381" s="30" t="str">
        <f t="shared" ref="AC381:AD381" si="733">IF(_xlfn.ISFORMULA(S381),IFERROR(0/0,""),TRUE)</f>
        <v/>
      </c>
      <c r="AD381" s="30" t="str">
        <f t="shared" si="733"/>
        <v/>
      </c>
      <c r="AE381" s="475" t="str">
        <f>IFERROR(__xludf.DUMMYFUNCTION("""COMPUTED_VALUE"""),"CRLN")</f>
        <v>CRLN</v>
      </c>
      <c r="AF381" s="476"/>
      <c r="AG381" s="474" t="s">
        <v>153</v>
      </c>
      <c r="AH381" s="138" t="str">
        <f t="shared" si="11"/>
        <v/>
      </c>
    </row>
    <row r="382">
      <c r="A382" s="103" t="str">
        <f>IFERROR(__xludf.DUMMYFUNCTION("""COMPUTED_VALUE"""),"FLE810")</f>
        <v>FLE810</v>
      </c>
      <c r="B382" s="468">
        <f>IFERROR(__xludf.DUMMYFUNCTION("""COMPUTED_VALUE"""),44570.0)</f>
        <v>44570</v>
      </c>
      <c r="C382" s="469">
        <f>IFERROR(__xludf.DUMMYFUNCTION("""COMPUTED_VALUE"""),0.5409375)</f>
        <v>0.5409375</v>
      </c>
      <c r="D382" s="103" t="str">
        <f>IFERROR(__xludf.DUMMYFUNCTION("""COMPUTED_VALUE"""),"SpFLMP125859")</f>
        <v>SpFLMP125859</v>
      </c>
      <c r="E382" s="103"/>
      <c r="F382" s="103"/>
      <c r="G382" s="103" t="str">
        <f>IFERROR(__xludf.DUMMYFUNCTION("""COMPUTED_VALUE"""),"Positive")</f>
        <v>Positive</v>
      </c>
      <c r="H382" s="505" t="str">
        <f>IFERROR(__xludf.DUMMYFUNCTION("""COMPUTED_VALUE"""),"Positive")</f>
        <v>Positive</v>
      </c>
      <c r="I382" s="468">
        <f>IFERROR(__xludf.DUMMYFUNCTION("""COMPUTED_VALUE"""),44571.0)</f>
        <v>44571</v>
      </c>
      <c r="J382" s="470">
        <f>IFERROR(__xludf.DUMMYFUNCTION("""COMPUTED_VALUE"""),0.4724537037037037)</f>
        <v>0.4724537037</v>
      </c>
      <c r="K382" s="16"/>
      <c r="L382" s="8"/>
      <c r="M382" s="69"/>
      <c r="N382" s="69">
        <f>IFERROR(__xludf.DUMMYFUNCTION("""COMPUTED_VALUE"""),1.0)</f>
        <v>1</v>
      </c>
      <c r="O382" s="69" t="str">
        <f t="shared" si="3"/>
        <v/>
      </c>
      <c r="P382" s="471">
        <f>IFERROR(__xludf.DUMMYFUNCTION("""COMPUTED_VALUE"""),1.0)</f>
        <v>1</v>
      </c>
      <c r="Q382" s="274" t="str">
        <f>VLOOKUP($B382,'Run Reconcile'!B$2:O2488,14,FALSE)</f>
        <v/>
      </c>
      <c r="R382" s="472" t="str">
        <f t="array" ref="R382">IF($Q382, INDEX('Run Reconcile'!A$2:A2488,MATCH(B382,'Run Reconcile'!B$2:B2488,0),1),IFERROR(0/0,""))</f>
        <v/>
      </c>
      <c r="S382" s="473" t="b">
        <f t="shared" si="694"/>
        <v>1</v>
      </c>
      <c r="T382" s="473" t="str">
        <f t="shared" si="698"/>
        <v/>
      </c>
      <c r="U382" s="275" t="str">
        <f t="array" ref="U382">IF(ISBLANK($R382), INDEX('Run Reconcile'!A$2:A2488, MATCH($B382, 'Run Reconcile'!B$2:B2488, 0)+Z382, 1), IFERROR(0/0,""))
</f>
        <v>RUN-FLMP_2022-01-10_RFR-053</v>
      </c>
      <c r="V382" s="474" t="str">
        <f t="shared" si="5"/>
        <v>RUN-FLMP_2022-01-10_RFR-053</v>
      </c>
      <c r="W382" s="8" t="s">
        <v>1158</v>
      </c>
      <c r="Y382" s="89">
        <f t="shared" si="701"/>
        <v>1</v>
      </c>
      <c r="Z382" s="60">
        <f t="shared" si="7"/>
        <v>1</v>
      </c>
      <c r="AA382" s="60">
        <f t="shared" si="8"/>
        <v>1</v>
      </c>
      <c r="AB382" s="60" t="str">
        <f t="shared" si="9"/>
        <v/>
      </c>
      <c r="AC382" s="30" t="str">
        <f t="shared" ref="AC382:AD382" si="734">IF(_xlfn.ISFORMULA(S382),IFERROR(0/0,""),TRUE)</f>
        <v/>
      </c>
      <c r="AD382" s="30" t="str">
        <f t="shared" si="734"/>
        <v/>
      </c>
      <c r="AE382" s="475" t="str">
        <f>IFERROR(__xludf.DUMMYFUNCTION("""COMPUTED_VALUE"""),"CRLN")</f>
        <v>CRLN</v>
      </c>
      <c r="AF382" s="476"/>
      <c r="AG382" s="474" t="s">
        <v>153</v>
      </c>
      <c r="AH382" s="138" t="str">
        <f t="shared" si="11"/>
        <v/>
      </c>
    </row>
    <row r="383">
      <c r="A383" s="103" t="str">
        <f>IFERROR(__xludf.DUMMYFUNCTION("""COMPUTED_VALUE"""),"FLE812")</f>
        <v>FLE812</v>
      </c>
      <c r="B383" s="468">
        <f>IFERROR(__xludf.DUMMYFUNCTION("""COMPUTED_VALUE"""),44570.0)</f>
        <v>44570</v>
      </c>
      <c r="C383" s="469">
        <f>IFERROR(__xludf.DUMMYFUNCTION("""COMPUTED_VALUE"""),0.5412847222222222)</f>
        <v>0.5412847222</v>
      </c>
      <c r="D383" s="103" t="str">
        <f>IFERROR(__xludf.DUMMYFUNCTION("""COMPUTED_VALUE"""),"SpFLMP125859")</f>
        <v>SpFLMP125859</v>
      </c>
      <c r="E383" s="103"/>
      <c r="F383" s="103"/>
      <c r="G383" s="103" t="str">
        <f>IFERROR(__xludf.DUMMYFUNCTION("""COMPUTED_VALUE"""),"Positive")</f>
        <v>Positive</v>
      </c>
      <c r="H383" s="505" t="str">
        <f>IFERROR(__xludf.DUMMYFUNCTION("""COMPUTED_VALUE"""),"Positive")</f>
        <v>Positive</v>
      </c>
      <c r="I383" s="468">
        <f>IFERROR(__xludf.DUMMYFUNCTION("""COMPUTED_VALUE"""),44571.0)</f>
        <v>44571</v>
      </c>
      <c r="J383" s="470">
        <f>IFERROR(__xludf.DUMMYFUNCTION("""COMPUTED_VALUE"""),0.4724537037037037)</f>
        <v>0.4724537037</v>
      </c>
      <c r="K383" s="16"/>
      <c r="L383" s="8"/>
      <c r="M383" s="69"/>
      <c r="N383" s="69">
        <f>IFERROR(__xludf.DUMMYFUNCTION("""COMPUTED_VALUE"""),1.0)</f>
        <v>1</v>
      </c>
      <c r="O383" s="69" t="str">
        <f t="shared" si="3"/>
        <v/>
      </c>
      <c r="P383" s="471">
        <f>IFERROR(__xludf.DUMMYFUNCTION("""COMPUTED_VALUE"""),1.0)</f>
        <v>1</v>
      </c>
      <c r="Q383" s="274" t="str">
        <f>VLOOKUP($B383,'Run Reconcile'!B$2:O2488,14,FALSE)</f>
        <v/>
      </c>
      <c r="R383" s="472" t="str">
        <f t="array" ref="R383">IF($Q383, INDEX('Run Reconcile'!A$2:A2488,MATCH(B383,'Run Reconcile'!B$2:B2488,0),1),IFERROR(0/0,""))</f>
        <v/>
      </c>
      <c r="S383" s="473" t="b">
        <f t="shared" si="694"/>
        <v>1</v>
      </c>
      <c r="T383" s="473" t="str">
        <f t="shared" si="698"/>
        <v/>
      </c>
      <c r="U383" s="275" t="str">
        <f t="array" ref="U383">IF(ISBLANK($R383), INDEX('Run Reconcile'!A$2:A2488, MATCH($B383, 'Run Reconcile'!B$2:B2488, 0)+Z383, 1), IFERROR(0/0,""))
</f>
        <v>RUN-FLMP_2022-01-10_RFR-053</v>
      </c>
      <c r="V383" s="474" t="str">
        <f t="shared" si="5"/>
        <v>RUN-FLMP_2022-01-10_RFR-053</v>
      </c>
      <c r="W383" s="8" t="s">
        <v>1159</v>
      </c>
      <c r="Y383" s="89">
        <f t="shared" si="701"/>
        <v>1</v>
      </c>
      <c r="Z383" s="60">
        <f t="shared" si="7"/>
        <v>1</v>
      </c>
      <c r="AA383" s="60">
        <f t="shared" si="8"/>
        <v>1</v>
      </c>
      <c r="AB383" s="60" t="str">
        <f t="shared" si="9"/>
        <v/>
      </c>
      <c r="AC383" s="30" t="str">
        <f t="shared" ref="AC383:AD383" si="735">IF(_xlfn.ISFORMULA(S383),IFERROR(0/0,""),TRUE)</f>
        <v/>
      </c>
      <c r="AD383" s="30" t="str">
        <f t="shared" si="735"/>
        <v/>
      </c>
      <c r="AE383" s="475" t="str">
        <f>IFERROR(__xludf.DUMMYFUNCTION("""COMPUTED_VALUE"""),"CRLN")</f>
        <v>CRLN</v>
      </c>
      <c r="AF383" s="476"/>
      <c r="AG383" s="474" t="s">
        <v>153</v>
      </c>
      <c r="AH383" s="138" t="str">
        <f t="shared" si="11"/>
        <v/>
      </c>
    </row>
    <row r="384">
      <c r="A384" s="103" t="str">
        <f>IFERROR(__xludf.DUMMYFUNCTION("""COMPUTED_VALUE"""),"FLB5850")</f>
        <v>FLB5850</v>
      </c>
      <c r="B384" s="468">
        <f>IFERROR(__xludf.DUMMYFUNCTION("""COMPUTED_VALUE"""),44570.0)</f>
        <v>44570</v>
      </c>
      <c r="C384" s="469">
        <f>IFERROR(__xludf.DUMMYFUNCTION("""COMPUTED_VALUE"""),0.609988425925926)</f>
        <v>0.6099884259</v>
      </c>
      <c r="D384" s="103" t="str">
        <f>IFERROR(__xludf.DUMMYFUNCTION("""COMPUTED_VALUE"""),"SpFLMP596479")</f>
        <v>SpFLMP596479</v>
      </c>
      <c r="E384" s="103"/>
      <c r="F384" s="103"/>
      <c r="G384" s="103" t="str">
        <f>IFERROR(__xludf.DUMMYFUNCTION("""COMPUTED_VALUE"""),"Negative")</f>
        <v>Negative</v>
      </c>
      <c r="H384" s="131" t="str">
        <f>IFERROR(__xludf.DUMMYFUNCTION("""COMPUTED_VALUE"""),"Negative")</f>
        <v>Negative</v>
      </c>
      <c r="I384" s="468">
        <f>IFERROR(__xludf.DUMMYFUNCTION("""COMPUTED_VALUE"""),44571.0)</f>
        <v>44571</v>
      </c>
      <c r="J384" s="470">
        <f>IFERROR(__xludf.DUMMYFUNCTION("""COMPUTED_VALUE"""),0.5280439814814815)</f>
        <v>0.5280439815</v>
      </c>
      <c r="K384" s="16"/>
      <c r="L384" s="8"/>
      <c r="M384" s="69"/>
      <c r="N384" s="69">
        <f>IFERROR(__xludf.DUMMYFUNCTION("""COMPUTED_VALUE"""),3.0)</f>
        <v>3</v>
      </c>
      <c r="O384" s="69" t="str">
        <f t="shared" si="3"/>
        <v/>
      </c>
      <c r="P384" s="471">
        <f>IFERROR(__xludf.DUMMYFUNCTION("""COMPUTED_VALUE"""),1.0)</f>
        <v>1</v>
      </c>
      <c r="Q384" s="274" t="str">
        <f>VLOOKUP($B384,'Run Reconcile'!B$2:O2488,14,FALSE)</f>
        <v/>
      </c>
      <c r="R384" s="472" t="str">
        <f t="array" ref="R384">IF($Q384, INDEX('Run Reconcile'!A$2:A2488,MATCH(B384,'Run Reconcile'!B$2:B2488,0),1),IFERROR(0/0,""))</f>
        <v/>
      </c>
      <c r="S384" s="473" t="b">
        <f t="shared" si="694"/>
        <v>1</v>
      </c>
      <c r="T384" s="473" t="str">
        <f t="shared" si="698"/>
        <v/>
      </c>
      <c r="U384" s="275" t="str">
        <f t="array" ref="U384">IF(ISBLANK($R384), INDEX('Run Reconcile'!A$2:A2488, MATCH($B384, 'Run Reconcile'!B$2:B2488, 0)+Z384, 1), IFERROR(0/0,""))
</f>
        <v>RUN-FLMP_2022-01-10_RFR-053</v>
      </c>
      <c r="V384" s="474" t="str">
        <f t="shared" si="5"/>
        <v>RUN-FLMP_2022-01-10_RFR-053</v>
      </c>
      <c r="W384" s="8" t="s">
        <v>1350</v>
      </c>
      <c r="Y384" s="89">
        <f t="shared" si="701"/>
        <v>1</v>
      </c>
      <c r="Z384" s="60">
        <f t="shared" si="7"/>
        <v>1</v>
      </c>
      <c r="AA384" s="60">
        <f t="shared" si="8"/>
        <v>1</v>
      </c>
      <c r="AB384" s="60" t="str">
        <f t="shared" si="9"/>
        <v/>
      </c>
      <c r="AC384" s="30" t="str">
        <f t="shared" ref="AC384:AD384" si="736">IF(_xlfn.ISFORMULA(S384),IFERROR(0/0,""),TRUE)</f>
        <v/>
      </c>
      <c r="AD384" s="30" t="str">
        <f t="shared" si="736"/>
        <v/>
      </c>
      <c r="AE384" s="475" t="str">
        <f>IFERROR(__xludf.DUMMYFUNCTION("""COMPUTED_VALUE"""),"CRLN")</f>
        <v>CRLN</v>
      </c>
      <c r="AF384" s="476"/>
      <c r="AG384" s="474" t="s">
        <v>153</v>
      </c>
      <c r="AH384" s="138" t="str">
        <f t="shared" si="11"/>
        <v/>
      </c>
    </row>
    <row r="385">
      <c r="A385" s="103" t="str">
        <f>IFERROR(__xludf.DUMMYFUNCTION("""COMPUTED_VALUE"""),"FLB6848")</f>
        <v>FLB6848</v>
      </c>
      <c r="B385" s="468">
        <f>IFERROR(__xludf.DUMMYFUNCTION("""COMPUTED_VALUE"""),44570.0)</f>
        <v>44570</v>
      </c>
      <c r="C385" s="469">
        <f>IFERROR(__xludf.DUMMYFUNCTION("""COMPUTED_VALUE"""),0.6676851851851852)</f>
        <v>0.6676851852</v>
      </c>
      <c r="D385" s="103" t="str">
        <f>IFERROR(__xludf.DUMMYFUNCTION("""COMPUTED_VALUE"""),"SpFLMP572444")</f>
        <v>SpFLMP572444</v>
      </c>
      <c r="E385" s="103"/>
      <c r="F385" s="103"/>
      <c r="G385" s="103" t="str">
        <f>IFERROR(__xludf.DUMMYFUNCTION("""COMPUTED_VALUE"""),"Negative")</f>
        <v>Negative</v>
      </c>
      <c r="H385" s="131" t="str">
        <f>IFERROR(__xludf.DUMMYFUNCTION("""COMPUTED_VALUE"""),"Negative")</f>
        <v>Negative</v>
      </c>
      <c r="I385" s="468">
        <f>IFERROR(__xludf.DUMMYFUNCTION("""COMPUTED_VALUE"""),44571.0)</f>
        <v>44571</v>
      </c>
      <c r="J385" s="470">
        <f>IFERROR(__xludf.DUMMYFUNCTION("""COMPUTED_VALUE"""),0.4867824074074074)</f>
        <v>0.4867824074</v>
      </c>
      <c r="K385" s="16"/>
      <c r="L385" s="8"/>
      <c r="M385" s="69"/>
      <c r="N385" s="69">
        <f>IFERROR(__xludf.DUMMYFUNCTION("""COMPUTED_VALUE"""),4.0)</f>
        <v>4</v>
      </c>
      <c r="O385" s="69" t="str">
        <f t="shared" si="3"/>
        <v/>
      </c>
      <c r="P385" s="471">
        <f>IFERROR(__xludf.DUMMYFUNCTION("""COMPUTED_VALUE"""),1.0)</f>
        <v>1</v>
      </c>
      <c r="Q385" s="274" t="str">
        <f>VLOOKUP($B385,'Run Reconcile'!B$2:O2488,14,FALSE)</f>
        <v/>
      </c>
      <c r="R385" s="472" t="str">
        <f t="array" ref="R385">IF($Q385, INDEX('Run Reconcile'!A$2:A2488,MATCH(B385,'Run Reconcile'!B$2:B2488,0),1),IFERROR(0/0,""))</f>
        <v/>
      </c>
      <c r="S385" s="473" t="b">
        <f t="shared" si="694"/>
        <v>1</v>
      </c>
      <c r="T385" s="473" t="str">
        <f t="shared" si="698"/>
        <v/>
      </c>
      <c r="U385" s="275" t="str">
        <f t="array" ref="U385">IF(ISBLANK($R385), INDEX('Run Reconcile'!A$2:A2488, MATCH($B385, 'Run Reconcile'!B$2:B2488, 0)+Z385, 1), IFERROR(0/0,""))
</f>
        <v>RUN-FLMP_2022-01-10_RFR-053</v>
      </c>
      <c r="V385" s="474" t="str">
        <f t="shared" si="5"/>
        <v>RUN-FLMP_2022-01-10_RFR-053</v>
      </c>
      <c r="W385" s="8" t="s">
        <v>1351</v>
      </c>
      <c r="Y385" s="89">
        <f t="shared" si="701"/>
        <v>1</v>
      </c>
      <c r="Z385" s="60">
        <f t="shared" si="7"/>
        <v>1</v>
      </c>
      <c r="AA385" s="60">
        <f t="shared" si="8"/>
        <v>1</v>
      </c>
      <c r="AB385" s="60" t="str">
        <f t="shared" si="9"/>
        <v/>
      </c>
      <c r="AC385" s="30" t="str">
        <f t="shared" ref="AC385:AD385" si="737">IF(_xlfn.ISFORMULA(S385),IFERROR(0/0,""),TRUE)</f>
        <v/>
      </c>
      <c r="AD385" s="30" t="str">
        <f t="shared" si="737"/>
        <v/>
      </c>
      <c r="AE385" s="475" t="str">
        <f>IFERROR(__xludf.DUMMYFUNCTION("""COMPUTED_VALUE"""),"CRLN")</f>
        <v>CRLN</v>
      </c>
      <c r="AF385" s="476"/>
      <c r="AG385" s="474" t="s">
        <v>153</v>
      </c>
      <c r="AH385" s="138" t="str">
        <f t="shared" si="11"/>
        <v/>
      </c>
    </row>
    <row r="386">
      <c r="A386" s="103" t="str">
        <f>IFERROR(__xludf.DUMMYFUNCTION("""COMPUTED_VALUE"""),"FLT1395")</f>
        <v>FLT1395</v>
      </c>
      <c r="B386" s="468">
        <f>IFERROR(__xludf.DUMMYFUNCTION("""COMPUTED_VALUE"""),44570.0)</f>
        <v>44570</v>
      </c>
      <c r="C386" s="469">
        <f>IFERROR(__xludf.DUMMYFUNCTION("""COMPUTED_VALUE"""),0.689699074074074)</f>
        <v>0.6896990741</v>
      </c>
      <c r="D386" s="103" t="str">
        <f>IFERROR(__xludf.DUMMYFUNCTION("""COMPUTED_VALUE"""),"SpFLMP493054")</f>
        <v>SpFLMP493054</v>
      </c>
      <c r="E386" s="103"/>
      <c r="F386" s="103"/>
      <c r="G386" s="103" t="str">
        <f>IFERROR(__xludf.DUMMYFUNCTION("""COMPUTED_VALUE"""),"Negative")</f>
        <v>Negative</v>
      </c>
      <c r="H386" s="131" t="str">
        <f>IFERROR(__xludf.DUMMYFUNCTION("""COMPUTED_VALUE"""),"Negative")</f>
        <v>Negative</v>
      </c>
      <c r="I386" s="468">
        <f>IFERROR(__xludf.DUMMYFUNCTION("""COMPUTED_VALUE"""),44571.0)</f>
        <v>44571</v>
      </c>
      <c r="J386" s="470">
        <f>IFERROR(__xludf.DUMMYFUNCTION("""COMPUTED_VALUE"""),0.4867824074074074)</f>
        <v>0.4867824074</v>
      </c>
      <c r="K386" s="16"/>
      <c r="L386" s="8"/>
      <c r="M386" s="69"/>
      <c r="N386" s="69">
        <f>IFERROR(__xludf.DUMMYFUNCTION("""COMPUTED_VALUE"""),1.0)</f>
        <v>1</v>
      </c>
      <c r="O386" s="69" t="str">
        <f t="shared" si="3"/>
        <v/>
      </c>
      <c r="P386" s="471">
        <f>IFERROR(__xludf.DUMMYFUNCTION("""COMPUTED_VALUE"""),1.0)</f>
        <v>1</v>
      </c>
      <c r="Q386" s="274" t="str">
        <f>VLOOKUP($B386,'Run Reconcile'!B$2:O2488,14,FALSE)</f>
        <v/>
      </c>
      <c r="R386" s="472" t="str">
        <f t="array" ref="R386">IF($Q386, INDEX('Run Reconcile'!A$2:A2488,MATCH(B386,'Run Reconcile'!B$2:B2488,0),1),IFERROR(0/0,""))</f>
        <v/>
      </c>
      <c r="S386" s="473" t="b">
        <f t="shared" si="694"/>
        <v>1</v>
      </c>
      <c r="T386" s="473" t="str">
        <f t="shared" si="698"/>
        <v/>
      </c>
      <c r="U386" s="275" t="str">
        <f t="array" ref="U386">IF(ISBLANK($R386), INDEX('Run Reconcile'!A$2:A2488, MATCH($B386, 'Run Reconcile'!B$2:B2488, 0)+Z386, 1), IFERROR(0/0,""))
</f>
        <v>RUN-FLMP_2022-01-10_RFR-053</v>
      </c>
      <c r="V386" s="474" t="str">
        <f t="shared" si="5"/>
        <v>RUN-FLMP_2022-01-10_RFR-053</v>
      </c>
      <c r="W386" s="8" t="s">
        <v>1352</v>
      </c>
      <c r="Y386" s="89">
        <f t="shared" si="701"/>
        <v>1</v>
      </c>
      <c r="Z386" s="60">
        <f t="shared" si="7"/>
        <v>1</v>
      </c>
      <c r="AA386" s="60">
        <f t="shared" si="8"/>
        <v>1</v>
      </c>
      <c r="AB386" s="60" t="str">
        <f t="shared" si="9"/>
        <v/>
      </c>
      <c r="AC386" s="30" t="str">
        <f t="shared" ref="AC386:AD386" si="738">IF(_xlfn.ISFORMULA(S386),IFERROR(0/0,""),TRUE)</f>
        <v/>
      </c>
      <c r="AD386" s="30" t="str">
        <f t="shared" si="738"/>
        <v/>
      </c>
      <c r="AE386" s="475" t="str">
        <f>IFERROR(__xludf.DUMMYFUNCTION("""COMPUTED_VALUE"""),"CRLN")</f>
        <v>CRLN</v>
      </c>
      <c r="AF386" s="476"/>
      <c r="AG386" s="474" t="s">
        <v>153</v>
      </c>
      <c r="AH386" s="138" t="str">
        <f t="shared" si="11"/>
        <v/>
      </c>
    </row>
    <row r="387">
      <c r="A387" s="103" t="str">
        <f>IFERROR(__xludf.DUMMYFUNCTION("""COMPUTED_VALUE"""),"FLT1119")</f>
        <v>FLT1119</v>
      </c>
      <c r="B387" s="468">
        <f>IFERROR(__xludf.DUMMYFUNCTION("""COMPUTED_VALUE"""),44570.0)</f>
        <v>44570</v>
      </c>
      <c r="C387" s="469">
        <f>IFERROR(__xludf.DUMMYFUNCTION("""COMPUTED_VALUE"""),0.7316666666666667)</f>
        <v>0.7316666667</v>
      </c>
      <c r="D387" s="103" t="str">
        <f>IFERROR(__xludf.DUMMYFUNCTION("""COMPUTED_VALUE"""),"SpFLMP518914")</f>
        <v>SpFLMP518914</v>
      </c>
      <c r="E387" s="103"/>
      <c r="F387" s="103"/>
      <c r="G387" s="103" t="str">
        <f>IFERROR(__xludf.DUMMYFUNCTION("""COMPUTED_VALUE"""),"Negative")</f>
        <v>Negative</v>
      </c>
      <c r="H387" s="131" t="str">
        <f>IFERROR(__xludf.DUMMYFUNCTION("""COMPUTED_VALUE"""),"Negative")</f>
        <v>Negative</v>
      </c>
      <c r="I387" s="468">
        <f>IFERROR(__xludf.DUMMYFUNCTION("""COMPUTED_VALUE"""),44571.0)</f>
        <v>44571</v>
      </c>
      <c r="J387" s="470">
        <f>IFERROR(__xludf.DUMMYFUNCTION("""COMPUTED_VALUE"""),0.4867824074074074)</f>
        <v>0.4867824074</v>
      </c>
      <c r="K387" s="16"/>
      <c r="L387" s="8"/>
      <c r="M387" s="69"/>
      <c r="N387" s="69">
        <f>IFERROR(__xludf.DUMMYFUNCTION("""COMPUTED_VALUE"""),2.0)</f>
        <v>2</v>
      </c>
      <c r="O387" s="69" t="str">
        <f t="shared" si="3"/>
        <v/>
      </c>
      <c r="P387" s="471">
        <f>IFERROR(__xludf.DUMMYFUNCTION("""COMPUTED_VALUE"""),1.0)</f>
        <v>1</v>
      </c>
      <c r="Q387" s="274" t="str">
        <f>VLOOKUP($B387,'Run Reconcile'!B$2:O2488,14,FALSE)</f>
        <v/>
      </c>
      <c r="R387" s="472" t="str">
        <f t="array" ref="R387">IF($Q387, INDEX('Run Reconcile'!A$2:A2488,MATCH(B387,'Run Reconcile'!B$2:B2488,0),1),IFERROR(0/0,""))</f>
        <v/>
      </c>
      <c r="S387" s="473" t="b">
        <f t="shared" si="694"/>
        <v>1</v>
      </c>
      <c r="T387" s="473" t="str">
        <f t="shared" si="698"/>
        <v/>
      </c>
      <c r="U387" s="275" t="str">
        <f t="array" ref="U387">IF(ISBLANK($R387), INDEX('Run Reconcile'!A$2:A2488, MATCH($B387, 'Run Reconcile'!B$2:B2488, 0)+Z387, 1), IFERROR(0/0,""))
</f>
        <v>RUN-FLMP_2022-01-10_RFR-053</v>
      </c>
      <c r="V387" s="474" t="str">
        <f t="shared" si="5"/>
        <v>RUN-FLMP_2022-01-10_RFR-053</v>
      </c>
      <c r="W387" s="8" t="s">
        <v>1353</v>
      </c>
      <c r="Y387" s="89">
        <f t="shared" si="701"/>
        <v>1</v>
      </c>
      <c r="Z387" s="60">
        <f t="shared" si="7"/>
        <v>1</v>
      </c>
      <c r="AA387" s="60">
        <f t="shared" si="8"/>
        <v>1</v>
      </c>
      <c r="AB387" s="60" t="str">
        <f t="shared" si="9"/>
        <v/>
      </c>
      <c r="AC387" s="30" t="str">
        <f t="shared" ref="AC387:AD387" si="739">IF(_xlfn.ISFORMULA(S387),IFERROR(0/0,""),TRUE)</f>
        <v/>
      </c>
      <c r="AD387" s="30" t="str">
        <f t="shared" si="739"/>
        <v/>
      </c>
      <c r="AE387" s="475" t="str">
        <f>IFERROR(__xludf.DUMMYFUNCTION("""COMPUTED_VALUE"""),"CRLN")</f>
        <v>CRLN</v>
      </c>
      <c r="AF387" s="476"/>
      <c r="AG387" s="474" t="s">
        <v>153</v>
      </c>
      <c r="AH387" s="138" t="str">
        <f t="shared" si="11"/>
        <v/>
      </c>
    </row>
    <row r="388">
      <c r="A388" s="103" t="str">
        <f>IFERROR(__xludf.DUMMYFUNCTION("""COMPUTED_VALUE"""),"FLT1439")</f>
        <v>FLT1439</v>
      </c>
      <c r="B388" s="468">
        <f>IFERROR(__xludf.DUMMYFUNCTION("""COMPUTED_VALUE"""),44570.0)</f>
        <v>44570</v>
      </c>
      <c r="C388" s="469">
        <f>IFERROR(__xludf.DUMMYFUNCTION("""COMPUTED_VALUE"""),0.7323032407407407)</f>
        <v>0.7323032407</v>
      </c>
      <c r="D388" s="103" t="str">
        <f>IFERROR(__xludf.DUMMYFUNCTION("""COMPUTED_VALUE"""),"SpFLMP518914")</f>
        <v>SpFLMP518914</v>
      </c>
      <c r="E388" s="103"/>
      <c r="F388" s="103"/>
      <c r="G388" s="103" t="str">
        <f>IFERROR(__xludf.DUMMYFUNCTION("""COMPUTED_VALUE"""),"Negative")</f>
        <v>Negative</v>
      </c>
      <c r="H388" s="131" t="str">
        <f>IFERROR(__xludf.DUMMYFUNCTION("""COMPUTED_VALUE"""),"Negative")</f>
        <v>Negative</v>
      </c>
      <c r="I388" s="468">
        <f>IFERROR(__xludf.DUMMYFUNCTION("""COMPUTED_VALUE"""),44571.0)</f>
        <v>44571</v>
      </c>
      <c r="J388" s="470">
        <f>IFERROR(__xludf.DUMMYFUNCTION("""COMPUTED_VALUE"""),0.5280439814814815)</f>
        <v>0.5280439815</v>
      </c>
      <c r="K388" s="16"/>
      <c r="L388" s="8"/>
      <c r="M388" s="69"/>
      <c r="N388" s="69">
        <f>IFERROR(__xludf.DUMMYFUNCTION("""COMPUTED_VALUE"""),2.0)</f>
        <v>2</v>
      </c>
      <c r="O388" s="69" t="str">
        <f t="shared" si="3"/>
        <v/>
      </c>
      <c r="P388" s="471">
        <f>IFERROR(__xludf.DUMMYFUNCTION("""COMPUTED_VALUE"""),1.0)</f>
        <v>1</v>
      </c>
      <c r="Q388" s="274" t="str">
        <f>VLOOKUP($B388,'Run Reconcile'!B$2:O2488,14,FALSE)</f>
        <v/>
      </c>
      <c r="R388" s="472" t="str">
        <f t="array" ref="R388">IF($Q388, INDEX('Run Reconcile'!A$2:A2488,MATCH(B388,'Run Reconcile'!B$2:B2488,0),1),IFERROR(0/0,""))</f>
        <v/>
      </c>
      <c r="S388" s="473" t="b">
        <f t="shared" si="694"/>
        <v>1</v>
      </c>
      <c r="T388" s="473" t="str">
        <f t="shared" si="698"/>
        <v/>
      </c>
      <c r="U388" s="275" t="str">
        <f t="array" ref="U388">IF(ISBLANK($R388), INDEX('Run Reconcile'!A$2:A2488, MATCH($B388, 'Run Reconcile'!B$2:B2488, 0)+Z388, 1), IFERROR(0/0,""))
</f>
        <v>RUN-FLMP_2022-01-10_RFR-053</v>
      </c>
      <c r="V388" s="474" t="str">
        <f t="shared" si="5"/>
        <v>RUN-FLMP_2022-01-10_RFR-053</v>
      </c>
      <c r="W388" s="8" t="s">
        <v>1354</v>
      </c>
      <c r="Y388" s="89">
        <f t="shared" si="701"/>
        <v>1</v>
      </c>
      <c r="Z388" s="60">
        <f t="shared" si="7"/>
        <v>1</v>
      </c>
      <c r="AA388" s="60">
        <f t="shared" si="8"/>
        <v>1</v>
      </c>
      <c r="AB388" s="60" t="str">
        <f t="shared" si="9"/>
        <v/>
      </c>
      <c r="AC388" s="30" t="str">
        <f t="shared" ref="AC388:AD388" si="740">IF(_xlfn.ISFORMULA(S388),IFERROR(0/0,""),TRUE)</f>
        <v/>
      </c>
      <c r="AD388" s="30" t="str">
        <f t="shared" si="740"/>
        <v/>
      </c>
      <c r="AE388" s="475" t="str">
        <f>IFERROR(__xludf.DUMMYFUNCTION("""COMPUTED_VALUE"""),"CRLN")</f>
        <v>CRLN</v>
      </c>
      <c r="AF388" s="476"/>
      <c r="AG388" s="474" t="s">
        <v>153</v>
      </c>
      <c r="AH388" s="138" t="str">
        <f t="shared" si="11"/>
        <v/>
      </c>
    </row>
    <row r="389">
      <c r="A389" s="103" t="str">
        <f>IFERROR(__xludf.DUMMYFUNCTION("""COMPUTED_VALUE"""),"FLT1400")</f>
        <v>FLT1400</v>
      </c>
      <c r="B389" s="468">
        <f>IFERROR(__xludf.DUMMYFUNCTION("""COMPUTED_VALUE"""),44570.0)</f>
        <v>44570</v>
      </c>
      <c r="C389" s="469">
        <f>IFERROR(__xludf.DUMMYFUNCTION("""COMPUTED_VALUE"""),0.7543171296296296)</f>
        <v>0.7543171296</v>
      </c>
      <c r="D389" s="103" t="str">
        <f>IFERROR(__xludf.DUMMYFUNCTION("""COMPUTED_VALUE"""),"SpFLMP649771")</f>
        <v>SpFLMP649771</v>
      </c>
      <c r="E389" s="103"/>
      <c r="F389" s="103"/>
      <c r="G389" s="103" t="str">
        <f>IFERROR(__xludf.DUMMYFUNCTION("""COMPUTED_VALUE"""),"Positive")</f>
        <v>Positive</v>
      </c>
      <c r="H389" s="505" t="str">
        <f>IFERROR(__xludf.DUMMYFUNCTION("""COMPUTED_VALUE"""),"Positive")</f>
        <v>Positive</v>
      </c>
      <c r="I389" s="468">
        <f>IFERROR(__xludf.DUMMYFUNCTION("""COMPUTED_VALUE"""),44571.0)</f>
        <v>44571</v>
      </c>
      <c r="J389" s="470">
        <f>IFERROR(__xludf.DUMMYFUNCTION("""COMPUTED_VALUE"""),0.4724537037037037)</f>
        <v>0.4724537037</v>
      </c>
      <c r="K389" s="16"/>
      <c r="L389" s="8"/>
      <c r="M389" s="69"/>
      <c r="N389" s="69">
        <f>IFERROR(__xludf.DUMMYFUNCTION("""COMPUTED_VALUE"""),1.0)</f>
        <v>1</v>
      </c>
      <c r="O389" s="69" t="str">
        <f t="shared" si="3"/>
        <v/>
      </c>
      <c r="P389" s="471">
        <f>IFERROR(__xludf.DUMMYFUNCTION("""COMPUTED_VALUE"""),1.0)</f>
        <v>1</v>
      </c>
      <c r="Q389" s="274" t="str">
        <f>VLOOKUP($B389,'Run Reconcile'!B$2:O2488,14,FALSE)</f>
        <v/>
      </c>
      <c r="R389" s="472" t="str">
        <f t="array" ref="R389">IF($Q389, INDEX('Run Reconcile'!A$2:A2488,MATCH(B389,'Run Reconcile'!B$2:B2488,0),1),IFERROR(0/0,""))</f>
        <v/>
      </c>
      <c r="S389" s="473" t="b">
        <f t="shared" si="694"/>
        <v>1</v>
      </c>
      <c r="T389" s="473" t="str">
        <f t="shared" si="698"/>
        <v/>
      </c>
      <c r="U389" s="275" t="str">
        <f t="array" ref="U389">IF(ISBLANK($R389), INDEX('Run Reconcile'!A$2:A2488, MATCH($B389, 'Run Reconcile'!B$2:B2488, 0)+Z389, 1), IFERROR(0/0,""))
</f>
        <v>RUN-FLMP_2022-01-10_RFR-053</v>
      </c>
      <c r="V389" s="474" t="str">
        <f t="shared" si="5"/>
        <v>RUN-FLMP_2022-01-10_RFR-053</v>
      </c>
      <c r="W389" s="8" t="s">
        <v>1163</v>
      </c>
      <c r="Y389" s="89">
        <f t="shared" si="701"/>
        <v>1</v>
      </c>
      <c r="Z389" s="60">
        <f t="shared" si="7"/>
        <v>1</v>
      </c>
      <c r="AA389" s="60">
        <f t="shared" si="8"/>
        <v>1</v>
      </c>
      <c r="AB389" s="60" t="str">
        <f t="shared" si="9"/>
        <v/>
      </c>
      <c r="AC389" s="30" t="str">
        <f t="shared" ref="AC389:AD389" si="741">IF(_xlfn.ISFORMULA(S389),IFERROR(0/0,""),TRUE)</f>
        <v/>
      </c>
      <c r="AD389" s="30" t="str">
        <f t="shared" si="741"/>
        <v/>
      </c>
      <c r="AE389" s="475" t="str">
        <f>IFERROR(__xludf.DUMMYFUNCTION("""COMPUTED_VALUE"""),"CRLN")</f>
        <v>CRLN</v>
      </c>
      <c r="AF389" s="476"/>
      <c r="AG389" s="474" t="s">
        <v>153</v>
      </c>
      <c r="AH389" s="138" t="str">
        <f t="shared" si="11"/>
        <v/>
      </c>
    </row>
    <row r="390">
      <c r="A390" s="103" t="str">
        <f>IFERROR(__xludf.DUMMYFUNCTION("""COMPUTED_VALUE"""),"FLT1465")</f>
        <v>FLT1465</v>
      </c>
      <c r="B390" s="468">
        <f>IFERROR(__xludf.DUMMYFUNCTION("""COMPUTED_VALUE"""),44570.0)</f>
        <v>44570</v>
      </c>
      <c r="C390" s="469">
        <f>IFERROR(__xludf.DUMMYFUNCTION("""COMPUTED_VALUE"""),0.7574768518518519)</f>
        <v>0.7574768519</v>
      </c>
      <c r="D390" s="103" t="str">
        <f>IFERROR(__xludf.DUMMYFUNCTION("""COMPUTED_VALUE"""),"SpFLMP935298")</f>
        <v>SpFLMP935298</v>
      </c>
      <c r="E390" s="103"/>
      <c r="F390" s="103"/>
      <c r="G390" s="103" t="str">
        <f>IFERROR(__xludf.DUMMYFUNCTION("""COMPUTED_VALUE"""),"Positive")</f>
        <v>Positive</v>
      </c>
      <c r="H390" s="505" t="str">
        <f>IFERROR(__xludf.DUMMYFUNCTION("""COMPUTED_VALUE"""),"Positive")</f>
        <v>Positive</v>
      </c>
      <c r="I390" s="468">
        <f>IFERROR(__xludf.DUMMYFUNCTION("""COMPUTED_VALUE"""),44571.0)</f>
        <v>44571</v>
      </c>
      <c r="J390" s="470">
        <f>IFERROR(__xludf.DUMMYFUNCTION("""COMPUTED_VALUE"""),0.4724537037037037)</f>
        <v>0.4724537037</v>
      </c>
      <c r="K390" s="16"/>
      <c r="L390" s="8"/>
      <c r="M390" s="69"/>
      <c r="N390" s="69">
        <f>IFERROR(__xludf.DUMMYFUNCTION("""COMPUTED_VALUE"""),1.0)</f>
        <v>1</v>
      </c>
      <c r="O390" s="69" t="str">
        <f t="shared" si="3"/>
        <v/>
      </c>
      <c r="P390" s="471">
        <f>IFERROR(__xludf.DUMMYFUNCTION("""COMPUTED_VALUE"""),1.0)</f>
        <v>1</v>
      </c>
      <c r="Q390" s="274" t="str">
        <f>VLOOKUP($B390,'Run Reconcile'!B$2:O2488,14,FALSE)</f>
        <v/>
      </c>
      <c r="R390" s="472" t="str">
        <f t="array" ref="R390">IF($Q390, INDEX('Run Reconcile'!A$2:A2488,MATCH(B390,'Run Reconcile'!B$2:B2488,0),1),IFERROR(0/0,""))</f>
        <v/>
      </c>
      <c r="S390" s="473" t="b">
        <f t="shared" si="694"/>
        <v>1</v>
      </c>
      <c r="T390" s="473" t="str">
        <f t="shared" si="698"/>
        <v/>
      </c>
      <c r="U390" s="275" t="str">
        <f t="array" ref="U390">IF(ISBLANK($R390), INDEX('Run Reconcile'!A$2:A2488, MATCH($B390, 'Run Reconcile'!B$2:B2488, 0)+Z390, 1), IFERROR(0/0,""))
</f>
        <v>RUN-FLMP_2022-01-10_RFR-053</v>
      </c>
      <c r="V390" s="474" t="str">
        <f t="shared" si="5"/>
        <v>RUN-FLMP_2022-01-10_RFR-053</v>
      </c>
      <c r="W390" s="8" t="s">
        <v>1164</v>
      </c>
      <c r="Y390" s="89">
        <f t="shared" si="701"/>
        <v>1</v>
      </c>
      <c r="Z390" s="60">
        <f t="shared" si="7"/>
        <v>1</v>
      </c>
      <c r="AA390" s="60">
        <f t="shared" si="8"/>
        <v>1</v>
      </c>
      <c r="AB390" s="60" t="str">
        <f t="shared" si="9"/>
        <v/>
      </c>
      <c r="AC390" s="30" t="str">
        <f t="shared" ref="AC390:AD390" si="742">IF(_xlfn.ISFORMULA(S390),IFERROR(0/0,""),TRUE)</f>
        <v/>
      </c>
      <c r="AD390" s="30" t="str">
        <f t="shared" si="742"/>
        <v/>
      </c>
      <c r="AE390" s="475" t="str">
        <f>IFERROR(__xludf.DUMMYFUNCTION("""COMPUTED_VALUE"""),"CRLN")</f>
        <v>CRLN</v>
      </c>
      <c r="AF390" s="476"/>
      <c r="AG390" s="474" t="s">
        <v>153</v>
      </c>
      <c r="AH390" s="138" t="str">
        <f t="shared" si="11"/>
        <v/>
      </c>
    </row>
    <row r="391">
      <c r="A391" s="103" t="str">
        <f>IFERROR(__xludf.DUMMYFUNCTION("""COMPUTED_VALUE"""),"FLB5838")</f>
        <v>FLB5838</v>
      </c>
      <c r="B391" s="468">
        <f>IFERROR(__xludf.DUMMYFUNCTION("""COMPUTED_VALUE"""),44570.0)</f>
        <v>44570</v>
      </c>
      <c r="C391" s="469">
        <f>IFERROR(__xludf.DUMMYFUNCTION("""COMPUTED_VALUE"""),0.7629398148148148)</f>
        <v>0.7629398148</v>
      </c>
      <c r="D391" s="103" t="str">
        <f>IFERROR(__xludf.DUMMYFUNCTION("""COMPUTED_VALUE"""),"SpFLMP418927")</f>
        <v>SpFLMP418927</v>
      </c>
      <c r="E391" s="103"/>
      <c r="F391" s="103"/>
      <c r="G391" s="103" t="str">
        <f>IFERROR(__xludf.DUMMYFUNCTION("""COMPUTED_VALUE"""),"Positive")</f>
        <v>Positive</v>
      </c>
      <c r="H391" s="505" t="str">
        <f>IFERROR(__xludf.DUMMYFUNCTION("""COMPUTED_VALUE"""),"Positive")</f>
        <v>Positive</v>
      </c>
      <c r="I391" s="468">
        <f>IFERROR(__xludf.DUMMYFUNCTION("""COMPUTED_VALUE"""),44571.0)</f>
        <v>44571</v>
      </c>
      <c r="J391" s="470">
        <f>IFERROR(__xludf.DUMMYFUNCTION("""COMPUTED_VALUE"""),0.4724537037037037)</f>
        <v>0.4724537037</v>
      </c>
      <c r="K391" s="16"/>
      <c r="L391" s="8"/>
      <c r="M391" s="69"/>
      <c r="N391" s="69">
        <f>IFERROR(__xludf.DUMMYFUNCTION("""COMPUTED_VALUE"""),3.0)</f>
        <v>3</v>
      </c>
      <c r="O391" s="69" t="str">
        <f t="shared" si="3"/>
        <v/>
      </c>
      <c r="P391" s="471">
        <f>IFERROR(__xludf.DUMMYFUNCTION("""COMPUTED_VALUE"""),1.0)</f>
        <v>1</v>
      </c>
      <c r="Q391" s="274" t="str">
        <f>VLOOKUP($B391,'Run Reconcile'!B$2:O2488,14,FALSE)</f>
        <v/>
      </c>
      <c r="R391" s="472" t="str">
        <f t="array" ref="R391">IF($Q391, INDEX('Run Reconcile'!A$2:A2488,MATCH(B391,'Run Reconcile'!B$2:B2488,0),1),IFERROR(0/0,""))</f>
        <v/>
      </c>
      <c r="S391" s="473" t="b">
        <f t="shared" si="694"/>
        <v>1</v>
      </c>
      <c r="T391" s="473" t="str">
        <f t="shared" si="698"/>
        <v/>
      </c>
      <c r="U391" s="275" t="str">
        <f t="array" ref="U391">IF(ISBLANK($R391), INDEX('Run Reconcile'!A$2:A2488, MATCH($B391, 'Run Reconcile'!B$2:B2488, 0)+Z391, 1), IFERROR(0/0,""))
</f>
        <v>RUN-FLMP_2022-01-10_RFR-053</v>
      </c>
      <c r="V391" s="474" t="str">
        <f t="shared" si="5"/>
        <v>RUN-FLMP_2022-01-10_RFR-053</v>
      </c>
      <c r="W391" s="8" t="s">
        <v>1153</v>
      </c>
      <c r="Y391" s="89">
        <f t="shared" si="701"/>
        <v>1</v>
      </c>
      <c r="Z391" s="60">
        <f t="shared" si="7"/>
        <v>1</v>
      </c>
      <c r="AA391" s="60">
        <f t="shared" si="8"/>
        <v>1</v>
      </c>
      <c r="AB391" s="60" t="str">
        <f t="shared" si="9"/>
        <v/>
      </c>
      <c r="AC391" s="30" t="str">
        <f t="shared" ref="AC391:AD391" si="743">IF(_xlfn.ISFORMULA(S391),IFERROR(0/0,""),TRUE)</f>
        <v/>
      </c>
      <c r="AD391" s="30" t="str">
        <f t="shared" si="743"/>
        <v/>
      </c>
      <c r="AE391" s="475" t="str">
        <f>IFERROR(__xludf.DUMMYFUNCTION("""COMPUTED_VALUE"""),"CRLN")</f>
        <v>CRLN</v>
      </c>
      <c r="AF391" s="476"/>
      <c r="AG391" s="474" t="s">
        <v>153</v>
      </c>
      <c r="AH391" s="138" t="str">
        <f t="shared" si="11"/>
        <v/>
      </c>
    </row>
    <row r="392">
      <c r="A392" s="103" t="str">
        <f>IFERROR(__xludf.DUMMYFUNCTION("""COMPUTED_VALUE"""),"FLT1177")</f>
        <v>FLT1177</v>
      </c>
      <c r="B392" s="468">
        <f>IFERROR(__xludf.DUMMYFUNCTION("""COMPUTED_VALUE"""),44570.0)</f>
        <v>44570</v>
      </c>
      <c r="C392" s="469">
        <f>IFERROR(__xludf.DUMMYFUNCTION("""COMPUTED_VALUE"""),0.7658333333333334)</f>
        <v>0.7658333333</v>
      </c>
      <c r="D392" s="103" t="str">
        <f>IFERROR(__xludf.DUMMYFUNCTION("""COMPUTED_VALUE"""),"SpFLMP668449")</f>
        <v>SpFLMP668449</v>
      </c>
      <c r="E392" s="103"/>
      <c r="F392" s="103"/>
      <c r="G392" s="103" t="str">
        <f>IFERROR(__xludf.DUMMYFUNCTION("""COMPUTED_VALUE"""),"Negative")</f>
        <v>Negative</v>
      </c>
      <c r="H392" s="131" t="str">
        <f>IFERROR(__xludf.DUMMYFUNCTION("""COMPUTED_VALUE"""),"Negative")</f>
        <v>Negative</v>
      </c>
      <c r="I392" s="468">
        <f>IFERROR(__xludf.DUMMYFUNCTION("""COMPUTED_VALUE"""),44571.0)</f>
        <v>44571</v>
      </c>
      <c r="J392" s="470">
        <f>IFERROR(__xludf.DUMMYFUNCTION("""COMPUTED_VALUE"""),0.4867939814814815)</f>
        <v>0.4867939815</v>
      </c>
      <c r="K392" s="16"/>
      <c r="L392" s="8"/>
      <c r="M392" s="69"/>
      <c r="N392" s="69">
        <f>IFERROR(__xludf.DUMMYFUNCTION("""COMPUTED_VALUE"""),3.0)</f>
        <v>3</v>
      </c>
      <c r="O392" s="69" t="str">
        <f t="shared" si="3"/>
        <v/>
      </c>
      <c r="P392" s="471">
        <f>IFERROR(__xludf.DUMMYFUNCTION("""COMPUTED_VALUE"""),1.0)</f>
        <v>1</v>
      </c>
      <c r="Q392" s="274" t="str">
        <f>VLOOKUP($B392,'Run Reconcile'!B$2:O2488,14,FALSE)</f>
        <v/>
      </c>
      <c r="R392" s="472" t="str">
        <f t="array" ref="R392">IF($Q392, INDEX('Run Reconcile'!A$2:A2488,MATCH(B392,'Run Reconcile'!B$2:B2488,0),1),IFERROR(0/0,""))</f>
        <v/>
      </c>
      <c r="S392" s="473" t="b">
        <f t="shared" si="694"/>
        <v>1</v>
      </c>
      <c r="T392" s="473" t="str">
        <f t="shared" si="698"/>
        <v/>
      </c>
      <c r="U392" s="275" t="str">
        <f t="array" ref="U392">IF(ISBLANK($R392), INDEX('Run Reconcile'!A$2:A2488, MATCH($B392, 'Run Reconcile'!B$2:B2488, 0)+Z392, 1), IFERROR(0/0,""))
</f>
        <v>RUN-FLMP_2022-01-10_RFR-053</v>
      </c>
      <c r="V392" s="474" t="str">
        <f t="shared" si="5"/>
        <v>RUN-FLMP_2022-01-10_RFR-053</v>
      </c>
      <c r="W392" s="8" t="s">
        <v>1355</v>
      </c>
      <c r="Y392" s="89">
        <f t="shared" si="701"/>
        <v>1</v>
      </c>
      <c r="Z392" s="60">
        <f t="shared" si="7"/>
        <v>1</v>
      </c>
      <c r="AA392" s="60">
        <f t="shared" si="8"/>
        <v>1</v>
      </c>
      <c r="AB392" s="60" t="str">
        <f t="shared" si="9"/>
        <v/>
      </c>
      <c r="AC392" s="30" t="str">
        <f t="shared" ref="AC392:AD392" si="744">IF(_xlfn.ISFORMULA(S392),IFERROR(0/0,""),TRUE)</f>
        <v/>
      </c>
      <c r="AD392" s="30" t="str">
        <f t="shared" si="744"/>
        <v/>
      </c>
      <c r="AE392" s="475" t="str">
        <f>IFERROR(__xludf.DUMMYFUNCTION("""COMPUTED_VALUE"""),"CRLN")</f>
        <v>CRLN</v>
      </c>
      <c r="AF392" s="476"/>
      <c r="AG392" s="474" t="s">
        <v>153</v>
      </c>
      <c r="AH392" s="138" t="str">
        <f t="shared" si="11"/>
        <v/>
      </c>
    </row>
    <row r="393">
      <c r="A393" s="103" t="str">
        <f>IFERROR(__xludf.DUMMYFUNCTION("""COMPUTED_VALUE"""),"FLB5843")</f>
        <v>FLB5843</v>
      </c>
      <c r="B393" s="468">
        <f>IFERROR(__xludf.DUMMYFUNCTION("""COMPUTED_VALUE"""),44570.0)</f>
        <v>44570</v>
      </c>
      <c r="C393" s="469">
        <f>IFERROR(__xludf.DUMMYFUNCTION("""COMPUTED_VALUE"""),0.7983333333333333)</f>
        <v>0.7983333333</v>
      </c>
      <c r="D393" s="103" t="str">
        <f>IFERROR(__xludf.DUMMYFUNCTION("""COMPUTED_VALUE"""),"SpFLMP777132")</f>
        <v>SpFLMP777132</v>
      </c>
      <c r="E393" s="103"/>
      <c r="F393" s="103"/>
      <c r="G393" s="103" t="str">
        <f>IFERROR(__xludf.DUMMYFUNCTION("""COMPUTED_VALUE"""),"Negative")</f>
        <v>Negative</v>
      </c>
      <c r="H393" s="131" t="str">
        <f>IFERROR(__xludf.DUMMYFUNCTION("""COMPUTED_VALUE"""),"Negative")</f>
        <v>Negative</v>
      </c>
      <c r="I393" s="468">
        <f>IFERROR(__xludf.DUMMYFUNCTION("""COMPUTED_VALUE"""),44571.0)</f>
        <v>44571</v>
      </c>
      <c r="J393" s="470">
        <f>IFERROR(__xludf.DUMMYFUNCTION("""COMPUTED_VALUE"""),0.4867939814814815)</f>
        <v>0.4867939815</v>
      </c>
      <c r="K393" s="16"/>
      <c r="L393" s="8"/>
      <c r="M393" s="69"/>
      <c r="N393" s="69">
        <f>IFERROR(__xludf.DUMMYFUNCTION("""COMPUTED_VALUE"""),4.0)</f>
        <v>4</v>
      </c>
      <c r="O393" s="69" t="str">
        <f t="shared" si="3"/>
        <v/>
      </c>
      <c r="P393" s="471">
        <f>IFERROR(__xludf.DUMMYFUNCTION("""COMPUTED_VALUE"""),1.0)</f>
        <v>1</v>
      </c>
      <c r="Q393" s="274" t="str">
        <f>VLOOKUP($B393,'Run Reconcile'!B$2:O2488,14,FALSE)</f>
        <v/>
      </c>
      <c r="R393" s="472" t="str">
        <f t="array" ref="R393">IF($Q393, INDEX('Run Reconcile'!A$2:A2488,MATCH(B393,'Run Reconcile'!B$2:B2488,0),1),IFERROR(0/0,""))</f>
        <v/>
      </c>
      <c r="S393" s="473" t="b">
        <f t="shared" si="694"/>
        <v>1</v>
      </c>
      <c r="T393" s="473" t="str">
        <f t="shared" si="698"/>
        <v/>
      </c>
      <c r="U393" s="275" t="str">
        <f t="array" ref="U393">IF(ISBLANK($R393), INDEX('Run Reconcile'!A$2:A2488, MATCH($B393, 'Run Reconcile'!B$2:B2488, 0)+Z393, 1), IFERROR(0/0,""))
</f>
        <v>RUN-FLMP_2022-01-10_RFR-053</v>
      </c>
      <c r="V393" s="474" t="str">
        <f t="shared" si="5"/>
        <v>RUN-FLMP_2022-01-10_RFR-053</v>
      </c>
      <c r="W393" s="8" t="s">
        <v>1356</v>
      </c>
      <c r="Y393" s="89">
        <f t="shared" si="701"/>
        <v>1</v>
      </c>
      <c r="Z393" s="60">
        <f t="shared" si="7"/>
        <v>1</v>
      </c>
      <c r="AA393" s="60">
        <f t="shared" si="8"/>
        <v>1</v>
      </c>
      <c r="AB393" s="60" t="str">
        <f t="shared" si="9"/>
        <v/>
      </c>
      <c r="AC393" s="30" t="str">
        <f t="shared" ref="AC393:AD393" si="745">IF(_xlfn.ISFORMULA(S393),IFERROR(0/0,""),TRUE)</f>
        <v/>
      </c>
      <c r="AD393" s="30" t="str">
        <f t="shared" si="745"/>
        <v/>
      </c>
      <c r="AE393" s="475" t="str">
        <f>IFERROR(__xludf.DUMMYFUNCTION("""COMPUTED_VALUE"""),"CRLN")</f>
        <v>CRLN</v>
      </c>
      <c r="AF393" s="476"/>
      <c r="AG393" s="474" t="s">
        <v>153</v>
      </c>
      <c r="AH393" s="138" t="str">
        <f t="shared" si="11"/>
        <v/>
      </c>
    </row>
    <row r="394">
      <c r="A394" s="103" t="str">
        <f>IFERROR(__xludf.DUMMYFUNCTION("""COMPUTED_VALUE"""),"FLT1463")</f>
        <v>FLT1463</v>
      </c>
      <c r="B394" s="468">
        <f>IFERROR(__xludf.DUMMYFUNCTION("""COMPUTED_VALUE"""),44570.0)</f>
        <v>44570</v>
      </c>
      <c r="C394" s="469">
        <f>IFERROR(__xludf.DUMMYFUNCTION("""COMPUTED_VALUE"""),0.8176157407407407)</f>
        <v>0.8176157407</v>
      </c>
      <c r="D394" s="103" t="str">
        <f>IFERROR(__xludf.DUMMYFUNCTION("""COMPUTED_VALUE"""),"SpFLMP544731")</f>
        <v>SpFLMP544731</v>
      </c>
      <c r="E394" s="103"/>
      <c r="F394" s="103"/>
      <c r="G394" s="103" t="str">
        <f>IFERROR(__xludf.DUMMYFUNCTION("""COMPUTED_VALUE"""),"Negative")</f>
        <v>Negative</v>
      </c>
      <c r="H394" s="131" t="str">
        <f>IFERROR(__xludf.DUMMYFUNCTION("""COMPUTED_VALUE"""),"Negative")</f>
        <v>Negative</v>
      </c>
      <c r="I394" s="468">
        <f>IFERROR(__xludf.DUMMYFUNCTION("""COMPUTED_VALUE"""),44571.0)</f>
        <v>44571</v>
      </c>
      <c r="J394" s="470">
        <f>IFERROR(__xludf.DUMMYFUNCTION("""COMPUTED_VALUE"""),0.4867939814814815)</f>
        <v>0.4867939815</v>
      </c>
      <c r="K394" s="16"/>
      <c r="L394" s="8"/>
      <c r="M394" s="69"/>
      <c r="N394" s="69">
        <f>IFERROR(__xludf.DUMMYFUNCTION("""COMPUTED_VALUE"""),1.0)</f>
        <v>1</v>
      </c>
      <c r="O394" s="69" t="str">
        <f t="shared" si="3"/>
        <v/>
      </c>
      <c r="P394" s="471">
        <f>IFERROR(__xludf.DUMMYFUNCTION("""COMPUTED_VALUE"""),1.0)</f>
        <v>1</v>
      </c>
      <c r="Q394" s="274" t="str">
        <f>VLOOKUP($B394,'Run Reconcile'!B$2:O2488,14,FALSE)</f>
        <v/>
      </c>
      <c r="R394" s="472" t="str">
        <f t="array" ref="R394">IF($Q394, INDEX('Run Reconcile'!A$2:A2488,MATCH(B394,'Run Reconcile'!B$2:B2488,0),1),IFERROR(0/0,""))</f>
        <v/>
      </c>
      <c r="S394" s="473" t="b">
        <f t="shared" si="694"/>
        <v>1</v>
      </c>
      <c r="T394" s="473" t="str">
        <f t="shared" si="698"/>
        <v/>
      </c>
      <c r="U394" s="275" t="str">
        <f t="array" ref="U394">IF(ISBLANK($R394), INDEX('Run Reconcile'!A$2:A2488, MATCH($B394, 'Run Reconcile'!B$2:B2488, 0)+Z394, 1), IFERROR(0/0,""))
</f>
        <v>RUN-FLMP_2022-01-10_RFR-053</v>
      </c>
      <c r="V394" s="474" t="str">
        <f t="shared" si="5"/>
        <v>RUN-FLMP_2022-01-10_RFR-053</v>
      </c>
      <c r="W394" s="8" t="s">
        <v>1357</v>
      </c>
      <c r="Y394" s="89">
        <f t="shared" si="701"/>
        <v>1</v>
      </c>
      <c r="Z394" s="60">
        <f t="shared" si="7"/>
        <v>1</v>
      </c>
      <c r="AA394" s="60">
        <f t="shared" si="8"/>
        <v>1</v>
      </c>
      <c r="AB394" s="60" t="str">
        <f t="shared" si="9"/>
        <v/>
      </c>
      <c r="AC394" s="30" t="str">
        <f t="shared" ref="AC394:AD394" si="746">IF(_xlfn.ISFORMULA(S394),IFERROR(0/0,""),TRUE)</f>
        <v/>
      </c>
      <c r="AD394" s="30" t="str">
        <f t="shared" si="746"/>
        <v/>
      </c>
      <c r="AE394" s="475" t="str">
        <f>IFERROR(__xludf.DUMMYFUNCTION("""COMPUTED_VALUE"""),"CRLN")</f>
        <v>CRLN</v>
      </c>
      <c r="AF394" s="476"/>
      <c r="AG394" s="474" t="s">
        <v>153</v>
      </c>
      <c r="AH394" s="138" t="str">
        <f t="shared" si="11"/>
        <v/>
      </c>
    </row>
    <row r="395">
      <c r="A395" s="103" t="str">
        <f>IFERROR(__xludf.DUMMYFUNCTION("""COMPUTED_VALUE"""),"FLT1476")</f>
        <v>FLT1476</v>
      </c>
      <c r="B395" s="468">
        <f>IFERROR(__xludf.DUMMYFUNCTION("""COMPUTED_VALUE"""),44570.0)</f>
        <v>44570</v>
      </c>
      <c r="C395" s="469">
        <f>IFERROR(__xludf.DUMMYFUNCTION("""COMPUTED_VALUE"""),0.8424074074074074)</f>
        <v>0.8424074074</v>
      </c>
      <c r="D395" s="103" t="str">
        <f>IFERROR(__xludf.DUMMYFUNCTION("""COMPUTED_VALUE"""),"SpFLMP268514")</f>
        <v>SpFLMP268514</v>
      </c>
      <c r="E395" s="103"/>
      <c r="F395" s="103"/>
      <c r="G395" s="103" t="str">
        <f>IFERROR(__xludf.DUMMYFUNCTION("""COMPUTED_VALUE"""),"Negative")</f>
        <v>Negative</v>
      </c>
      <c r="H395" s="131" t="str">
        <f>IFERROR(__xludf.DUMMYFUNCTION("""COMPUTED_VALUE"""),"Negative")</f>
        <v>Negative</v>
      </c>
      <c r="I395" s="468">
        <f>IFERROR(__xludf.DUMMYFUNCTION("""COMPUTED_VALUE"""),44571.0)</f>
        <v>44571</v>
      </c>
      <c r="J395" s="470">
        <f>IFERROR(__xludf.DUMMYFUNCTION("""COMPUTED_VALUE"""),0.4867939814814815)</f>
        <v>0.4867939815</v>
      </c>
      <c r="K395" s="16"/>
      <c r="L395" s="8"/>
      <c r="M395" s="69"/>
      <c r="N395" s="69">
        <f>IFERROR(__xludf.DUMMYFUNCTION("""COMPUTED_VALUE"""),4.0)</f>
        <v>4</v>
      </c>
      <c r="O395" s="69" t="str">
        <f t="shared" si="3"/>
        <v/>
      </c>
      <c r="P395" s="471">
        <f>IFERROR(__xludf.DUMMYFUNCTION("""COMPUTED_VALUE"""),1.0)</f>
        <v>1</v>
      </c>
      <c r="Q395" s="274" t="str">
        <f>VLOOKUP($B395,'Run Reconcile'!B$2:O2488,14,FALSE)</f>
        <v/>
      </c>
      <c r="R395" s="472" t="str">
        <f t="array" ref="R395">IF($Q395, INDEX('Run Reconcile'!A$2:A2488,MATCH(B395,'Run Reconcile'!B$2:B2488,0),1),IFERROR(0/0,""))</f>
        <v/>
      </c>
      <c r="S395" s="473" t="b">
        <f t="shared" si="694"/>
        <v>1</v>
      </c>
      <c r="T395" s="473" t="str">
        <f t="shared" si="698"/>
        <v/>
      </c>
      <c r="U395" s="275" t="str">
        <f t="array" ref="U395">IF(ISBLANK($R395), INDEX('Run Reconcile'!A$2:A2488, MATCH($B395, 'Run Reconcile'!B$2:B2488, 0)+Z395, 1), IFERROR(0/0,""))
</f>
        <v>RUN-FLMP_2022-01-10_RFR-053</v>
      </c>
      <c r="V395" s="474" t="str">
        <f t="shared" si="5"/>
        <v>RUN-FLMP_2022-01-10_RFR-053</v>
      </c>
      <c r="W395" s="8" t="s">
        <v>1358</v>
      </c>
      <c r="Y395" s="89">
        <f t="shared" si="701"/>
        <v>1</v>
      </c>
      <c r="Z395" s="60">
        <f t="shared" si="7"/>
        <v>1</v>
      </c>
      <c r="AA395" s="60">
        <f t="shared" si="8"/>
        <v>1</v>
      </c>
      <c r="AB395" s="60" t="str">
        <f t="shared" si="9"/>
        <v/>
      </c>
      <c r="AC395" s="30" t="str">
        <f t="shared" ref="AC395:AD395" si="747">IF(_xlfn.ISFORMULA(S395),IFERROR(0/0,""),TRUE)</f>
        <v/>
      </c>
      <c r="AD395" s="30" t="str">
        <f t="shared" si="747"/>
        <v/>
      </c>
      <c r="AE395" s="475" t="str">
        <f>IFERROR(__xludf.DUMMYFUNCTION("""COMPUTED_VALUE"""),"CRLN")</f>
        <v>CRLN</v>
      </c>
      <c r="AF395" s="476"/>
      <c r="AG395" s="474" t="s">
        <v>153</v>
      </c>
      <c r="AH395" s="138" t="str">
        <f t="shared" si="11"/>
        <v/>
      </c>
    </row>
    <row r="396">
      <c r="A396" s="103" t="str">
        <f>IFERROR(__xludf.DUMMYFUNCTION("""COMPUTED_VALUE"""),"FLT1440")</f>
        <v>FLT1440</v>
      </c>
      <c r="B396" s="468">
        <f>IFERROR(__xludf.DUMMYFUNCTION("""COMPUTED_VALUE"""),44570.0)</f>
        <v>44570</v>
      </c>
      <c r="C396" s="469">
        <f>IFERROR(__xludf.DUMMYFUNCTION("""COMPUTED_VALUE"""),0.8436226851851852)</f>
        <v>0.8436226852</v>
      </c>
      <c r="D396" s="103" t="str">
        <f>IFERROR(__xludf.DUMMYFUNCTION("""COMPUTED_VALUE"""),"SpFLMP756302")</f>
        <v>SpFLMP756302</v>
      </c>
      <c r="E396" s="103"/>
      <c r="F396" s="103"/>
      <c r="G396" s="103" t="str">
        <f>IFERROR(__xludf.DUMMYFUNCTION("""COMPUTED_VALUE"""),"Negative")</f>
        <v>Negative</v>
      </c>
      <c r="H396" s="131" t="str">
        <f>IFERROR(__xludf.DUMMYFUNCTION("""COMPUTED_VALUE"""),"Negative")</f>
        <v>Negative</v>
      </c>
      <c r="I396" s="468">
        <f>IFERROR(__xludf.DUMMYFUNCTION("""COMPUTED_VALUE"""),44571.0)</f>
        <v>44571</v>
      </c>
      <c r="J396" s="470">
        <f>IFERROR(__xludf.DUMMYFUNCTION("""COMPUTED_VALUE"""),0.4867939814814815)</f>
        <v>0.4867939815</v>
      </c>
      <c r="K396" s="16"/>
      <c r="L396" s="8"/>
      <c r="M396" s="69"/>
      <c r="N396" s="69">
        <f>IFERROR(__xludf.DUMMYFUNCTION("""COMPUTED_VALUE"""),1.0)</f>
        <v>1</v>
      </c>
      <c r="O396" s="69" t="str">
        <f t="shared" si="3"/>
        <v/>
      </c>
      <c r="P396" s="471">
        <f>IFERROR(__xludf.DUMMYFUNCTION("""COMPUTED_VALUE"""),1.0)</f>
        <v>1</v>
      </c>
      <c r="Q396" s="274" t="str">
        <f>VLOOKUP($B396,'Run Reconcile'!B$2:O2488,14,FALSE)</f>
        <v/>
      </c>
      <c r="R396" s="472" t="str">
        <f t="array" ref="R396">IF($Q396, INDEX('Run Reconcile'!A$2:A2488,MATCH(B396,'Run Reconcile'!B$2:B2488,0),1),IFERROR(0/0,""))</f>
        <v/>
      </c>
      <c r="S396" s="473" t="b">
        <f t="shared" si="694"/>
        <v>1</v>
      </c>
      <c r="T396" s="473" t="str">
        <f t="shared" si="698"/>
        <v/>
      </c>
      <c r="U396" s="275" t="str">
        <f t="array" ref="U396">IF(ISBLANK($R396), INDEX('Run Reconcile'!A$2:A2488, MATCH($B396, 'Run Reconcile'!B$2:B2488, 0)+Z396, 1), IFERROR(0/0,""))
</f>
        <v>RUN-FLMP_2022-01-10_RFR-053</v>
      </c>
      <c r="V396" s="474" t="str">
        <f t="shared" si="5"/>
        <v>RUN-FLMP_2022-01-10_RFR-053</v>
      </c>
      <c r="W396" s="8" t="s">
        <v>1359</v>
      </c>
      <c r="Y396" s="89">
        <f t="shared" si="701"/>
        <v>1</v>
      </c>
      <c r="Z396" s="60">
        <f t="shared" si="7"/>
        <v>1</v>
      </c>
      <c r="AA396" s="60">
        <f t="shared" si="8"/>
        <v>1</v>
      </c>
      <c r="AB396" s="60" t="str">
        <f t="shared" si="9"/>
        <v/>
      </c>
      <c r="AC396" s="30" t="str">
        <f t="shared" ref="AC396:AD396" si="748">IF(_xlfn.ISFORMULA(S396),IFERROR(0/0,""),TRUE)</f>
        <v/>
      </c>
      <c r="AD396" s="30" t="str">
        <f t="shared" si="748"/>
        <v/>
      </c>
      <c r="AE396" s="475" t="str">
        <f>IFERROR(__xludf.DUMMYFUNCTION("""COMPUTED_VALUE"""),"CRLN")</f>
        <v>CRLN</v>
      </c>
      <c r="AF396" s="476"/>
      <c r="AG396" s="474" t="s">
        <v>153</v>
      </c>
      <c r="AH396" s="138" t="str">
        <f t="shared" si="11"/>
        <v/>
      </c>
    </row>
    <row r="397">
      <c r="A397" s="103" t="str">
        <f>IFERROR(__xludf.DUMMYFUNCTION("""COMPUTED_VALUE"""),"FLT1178")</f>
        <v>FLT1178</v>
      </c>
      <c r="B397" s="468">
        <f>IFERROR(__xludf.DUMMYFUNCTION("""COMPUTED_VALUE"""),44570.0)</f>
        <v>44570</v>
      </c>
      <c r="C397" s="469">
        <f>IFERROR(__xludf.DUMMYFUNCTION("""COMPUTED_VALUE"""),0.9296643518518518)</f>
        <v>0.9296643519</v>
      </c>
      <c r="D397" s="103" t="str">
        <f>IFERROR(__xludf.DUMMYFUNCTION("""COMPUTED_VALUE"""),"SpFLMP470379")</f>
        <v>SpFLMP470379</v>
      </c>
      <c r="E397" s="103"/>
      <c r="F397" s="103"/>
      <c r="G397" s="103" t="str">
        <f>IFERROR(__xludf.DUMMYFUNCTION("""COMPUTED_VALUE"""),"Negative")</f>
        <v>Negative</v>
      </c>
      <c r="H397" s="131" t="str">
        <f>IFERROR(__xludf.DUMMYFUNCTION("""COMPUTED_VALUE"""),"Negative")</f>
        <v>Negative</v>
      </c>
      <c r="I397" s="468">
        <f>IFERROR(__xludf.DUMMYFUNCTION("""COMPUTED_VALUE"""),44571.0)</f>
        <v>44571</v>
      </c>
      <c r="J397" s="470">
        <f>IFERROR(__xludf.DUMMYFUNCTION("""COMPUTED_VALUE"""),0.4867939814814815)</f>
        <v>0.4867939815</v>
      </c>
      <c r="K397" s="16"/>
      <c r="L397" s="8"/>
      <c r="M397" s="69"/>
      <c r="N397" s="69">
        <f>IFERROR(__xludf.DUMMYFUNCTION("""COMPUTED_VALUE"""),1.0)</f>
        <v>1</v>
      </c>
      <c r="O397" s="69" t="str">
        <f t="shared" si="3"/>
        <v/>
      </c>
      <c r="P397" s="471">
        <f>IFERROR(__xludf.DUMMYFUNCTION("""COMPUTED_VALUE"""),1.0)</f>
        <v>1</v>
      </c>
      <c r="Q397" s="274" t="str">
        <f>VLOOKUP($B397,'Run Reconcile'!B$2:O2488,14,FALSE)</f>
        <v/>
      </c>
      <c r="R397" s="472" t="str">
        <f t="array" ref="R397">IF($Q397, INDEX('Run Reconcile'!A$2:A2488,MATCH(B397,'Run Reconcile'!B$2:B2488,0),1),IFERROR(0/0,""))</f>
        <v/>
      </c>
      <c r="S397" s="473" t="b">
        <f t="shared" si="694"/>
        <v>1</v>
      </c>
      <c r="T397" s="473" t="str">
        <f t="shared" si="698"/>
        <v/>
      </c>
      <c r="U397" s="275" t="str">
        <f t="array" ref="U397">IF(ISBLANK($R397), INDEX('Run Reconcile'!A$2:A2488, MATCH($B397, 'Run Reconcile'!B$2:B2488, 0)+Z397, 1), IFERROR(0/0,""))
</f>
        <v>RUN-FLMP_2022-01-10_RFR-053</v>
      </c>
      <c r="V397" s="474" t="str">
        <f t="shared" si="5"/>
        <v>RUN-FLMP_2022-01-10_RFR-053</v>
      </c>
      <c r="W397" s="8" t="s">
        <v>1360</v>
      </c>
      <c r="Y397" s="89">
        <f t="shared" si="701"/>
        <v>1</v>
      </c>
      <c r="Z397" s="60">
        <f t="shared" si="7"/>
        <v>1</v>
      </c>
      <c r="AA397" s="60">
        <f t="shared" si="8"/>
        <v>1</v>
      </c>
      <c r="AB397" s="60" t="str">
        <f t="shared" si="9"/>
        <v/>
      </c>
      <c r="AC397" s="30" t="str">
        <f t="shared" ref="AC397:AD397" si="749">IF(_xlfn.ISFORMULA(S397),IFERROR(0/0,""),TRUE)</f>
        <v/>
      </c>
      <c r="AD397" s="30" t="str">
        <f t="shared" si="749"/>
        <v/>
      </c>
      <c r="AE397" s="475" t="str">
        <f>IFERROR(__xludf.DUMMYFUNCTION("""COMPUTED_VALUE"""),"CRLN")</f>
        <v>CRLN</v>
      </c>
      <c r="AF397" s="476"/>
      <c r="AG397" s="474" t="s">
        <v>153</v>
      </c>
      <c r="AH397" s="138" t="str">
        <f t="shared" si="11"/>
        <v/>
      </c>
    </row>
    <row r="398">
      <c r="A398" s="103" t="str">
        <f>IFERROR(__xludf.DUMMYFUNCTION("""COMPUTED_VALUE"""),"FLB5818")</f>
        <v>FLB5818</v>
      </c>
      <c r="B398" s="468">
        <f>IFERROR(__xludf.DUMMYFUNCTION("""COMPUTED_VALUE"""),44571.0)</f>
        <v>44571</v>
      </c>
      <c r="C398" s="469">
        <f>IFERROR(__xludf.DUMMYFUNCTION("""COMPUTED_VALUE"""),0.0)</f>
        <v>0</v>
      </c>
      <c r="D398" s="103" t="str">
        <f>IFERROR(__xludf.DUMMYFUNCTION("""COMPUTED_VALUE"""),"SpFLMP496039")</f>
        <v>SpFLMP496039</v>
      </c>
      <c r="E398" s="103"/>
      <c r="F398" s="103"/>
      <c r="G398" s="103"/>
      <c r="H398" s="505" t="str">
        <f>IFERROR(__xludf.DUMMYFUNCTION("""COMPUTED_VALUE"""),"Negative")</f>
        <v>Negative</v>
      </c>
      <c r="I398" s="468"/>
      <c r="J398" s="16"/>
      <c r="K398" s="16">
        <f>IFERROR(__xludf.DUMMYFUNCTION("""COMPUTED_VALUE"""),5.0)</f>
        <v>5</v>
      </c>
      <c r="L398" s="151" t="str">
        <f>IFERROR(__xludf.DUMMYFUNCTION("""COMPUTED_VALUE"""),"Added Row from Staff Notes paper and staff reprot")</f>
        <v>Added Row from Staff Notes paper and staff reprot</v>
      </c>
      <c r="M398" s="69"/>
      <c r="N398" s="69">
        <f>IFERROR(__xludf.DUMMYFUNCTION("""COMPUTED_VALUE"""),2.0)</f>
        <v>2</v>
      </c>
      <c r="O398" s="69" t="b">
        <f t="shared" si="3"/>
        <v>1</v>
      </c>
      <c r="P398" s="471">
        <f>IFERROR(__xludf.DUMMYFUNCTION("""COMPUTED_VALUE"""),-1.0)</f>
        <v>-1</v>
      </c>
      <c r="Q398" s="274" t="b">
        <f>VLOOKUP($B398,'Run Reconcile'!B$2:O2488,14,FALSE)</f>
        <v>1</v>
      </c>
      <c r="R398" s="472" t="str">
        <f t="array" ref="R398">IF($Q398, INDEX('Run Reconcile'!A$2:A2488,MATCH(B398,'Run Reconcile'!B$2:B2488,0),1),IFERROR(0/0,""))</f>
        <v>RUN-FLMP_2022-01-10_RFR-053</v>
      </c>
      <c r="S398" s="473" t="str">
        <f t="shared" si="694"/>
        <v/>
      </c>
      <c r="T398" s="473" t="str">
        <f t="shared" si="698"/>
        <v/>
      </c>
      <c r="U398" s="275" t="str">
        <f t="array" ref="U398">IF(ISBLANK($R398), INDEX('Run Reconcile'!A$2:A2488, MATCH($B398, 'Run Reconcile'!B$2:B2488, 0)+Z398, 1), IFERROR(0/0,""))
</f>
        <v/>
      </c>
      <c r="V398" s="474" t="str">
        <f t="shared" si="5"/>
        <v>RUN-FLMP_2022-01-10_RFR-053</v>
      </c>
      <c r="Y398" s="89" t="str">
        <f t="shared" si="701"/>
        <v/>
      </c>
      <c r="Z398" s="60" t="str">
        <f t="shared" si="7"/>
        <v/>
      </c>
      <c r="AA398" s="60" t="str">
        <f t="shared" si="8"/>
        <v/>
      </c>
      <c r="AB398" s="60" t="str">
        <f t="shared" si="9"/>
        <v/>
      </c>
      <c r="AC398" s="30" t="str">
        <f t="shared" ref="AC398:AD398" si="750">IF(_xlfn.ISFORMULA(S398),IFERROR(0/0,""),TRUE)</f>
        <v/>
      </c>
      <c r="AD398" s="30" t="str">
        <f t="shared" si="750"/>
        <v/>
      </c>
      <c r="AE398" s="475" t="str">
        <f>IFERROR(__xludf.DUMMYFUNCTION("""COMPUTED_VALUE"""),"CRLN")</f>
        <v>CRLN</v>
      </c>
      <c r="AF398" s="476"/>
      <c r="AG398" s="474" t="s">
        <v>153</v>
      </c>
      <c r="AH398" s="138" t="str">
        <f t="shared" si="11"/>
        <v/>
      </c>
    </row>
    <row r="399">
      <c r="A399" s="103" t="str">
        <f>IFERROR(__xludf.DUMMYFUNCTION("""COMPUTED_VALUE"""),"FLB7375")</f>
        <v>FLB7375</v>
      </c>
      <c r="B399" s="468">
        <f>IFERROR(__xludf.DUMMYFUNCTION("""COMPUTED_VALUE"""),44571.0)</f>
        <v>44571</v>
      </c>
      <c r="C399" s="469">
        <f>IFERROR(__xludf.DUMMYFUNCTION("""COMPUTED_VALUE"""),0.0)</f>
        <v>0</v>
      </c>
      <c r="D399" s="103" t="str">
        <f>IFERROR(__xludf.DUMMYFUNCTION("""COMPUTED_VALUE"""),"SpFLMP496039")</f>
        <v>SpFLMP496039</v>
      </c>
      <c r="E399" s="103"/>
      <c r="F399" s="103"/>
      <c r="G399" s="103"/>
      <c r="H399" s="131" t="str">
        <f>IFERROR(__xludf.DUMMYFUNCTION("""COMPUTED_VALUE"""),"Positive")</f>
        <v>Positive</v>
      </c>
      <c r="I399" s="468"/>
      <c r="J399" s="16"/>
      <c r="K399" s="16">
        <f>IFERROR(__xludf.DUMMYFUNCTION("""COMPUTED_VALUE"""),5.0)</f>
        <v>5</v>
      </c>
      <c r="L399" s="8" t="str">
        <f>IFERROR(__xludf.DUMMYFUNCTION("""COMPUTED_VALUE"""),"Added Row from Staff Notes paper and staff reprot, confirmed by text message this tube was positive")</f>
        <v>Added Row from Staff Notes paper and staff reprot, confirmed by text message this tube was positive</v>
      </c>
      <c r="M399" s="69"/>
      <c r="N399" s="69">
        <f>IFERROR(__xludf.DUMMYFUNCTION("""COMPUTED_VALUE"""),2.0)</f>
        <v>2</v>
      </c>
      <c r="O399" s="69" t="str">
        <f t="shared" si="3"/>
        <v/>
      </c>
      <c r="P399" s="471">
        <f>IFERROR(__xludf.DUMMYFUNCTION("""COMPUTED_VALUE"""),-1.0)</f>
        <v>-1</v>
      </c>
      <c r="Q399" s="274" t="b">
        <f>VLOOKUP($B399,'Run Reconcile'!B$2:O2488,14,FALSE)</f>
        <v>1</v>
      </c>
      <c r="R399" s="472" t="str">
        <f t="array" ref="R399">IF($Q399, INDEX('Run Reconcile'!A$2:A2488,MATCH(B399,'Run Reconcile'!B$2:B2488,0),1),IFERROR(0/0,""))</f>
        <v>RUN-FLMP_2022-01-10_RFR-053</v>
      </c>
      <c r="S399" s="473" t="str">
        <f t="shared" si="694"/>
        <v/>
      </c>
      <c r="T399" s="473" t="str">
        <f t="shared" si="698"/>
        <v/>
      </c>
      <c r="U399" s="275" t="str">
        <f t="array" ref="U399">IF(ISBLANK($R399), INDEX('Run Reconcile'!A$2:A2488, MATCH($B399, 'Run Reconcile'!B$2:B2488, 0)+Z399, 1), IFERROR(0/0,""))
</f>
        <v/>
      </c>
      <c r="V399" s="474" t="str">
        <f t="shared" si="5"/>
        <v>RUN-FLMP_2022-01-10_RFR-053</v>
      </c>
      <c r="Y399" s="89" t="str">
        <f t="shared" si="701"/>
        <v/>
      </c>
      <c r="Z399" s="60" t="str">
        <f t="shared" si="7"/>
        <v/>
      </c>
      <c r="AA399" s="60" t="str">
        <f t="shared" si="8"/>
        <v/>
      </c>
      <c r="AB399" s="60" t="str">
        <f t="shared" si="9"/>
        <v/>
      </c>
      <c r="AC399" s="30" t="str">
        <f t="shared" ref="AC399:AD399" si="751">IF(_xlfn.ISFORMULA(S399),IFERROR(0/0,""),TRUE)</f>
        <v/>
      </c>
      <c r="AD399" s="30" t="str">
        <f t="shared" si="751"/>
        <v/>
      </c>
      <c r="AE399" s="475" t="str">
        <f>IFERROR(__xludf.DUMMYFUNCTION("""COMPUTED_VALUE"""),"CRLN")</f>
        <v>CRLN</v>
      </c>
      <c r="AF399" s="476"/>
      <c r="AG399" s="474" t="s">
        <v>153</v>
      </c>
      <c r="AH399" s="138" t="str">
        <f t="shared" si="11"/>
        <v/>
      </c>
    </row>
    <row r="400">
      <c r="A400" s="103" t="str">
        <f>IFERROR(__xludf.DUMMYFUNCTION("""COMPUTED_VALUE"""),"FLT1137")</f>
        <v>FLT1137</v>
      </c>
      <c r="B400" s="468">
        <f>IFERROR(__xludf.DUMMYFUNCTION("""COMPUTED_VALUE"""),44571.0)</f>
        <v>44571</v>
      </c>
      <c r="C400" s="469">
        <f>IFERROR(__xludf.DUMMYFUNCTION("""COMPUTED_VALUE"""),0.2989699074074074)</f>
        <v>0.2989699074</v>
      </c>
      <c r="D400" s="103" t="str">
        <f>IFERROR(__xludf.DUMMYFUNCTION("""COMPUTED_VALUE"""),"SpFLMP690282")</f>
        <v>SpFLMP690282</v>
      </c>
      <c r="E400" s="103"/>
      <c r="F400" s="103"/>
      <c r="G400" s="103" t="str">
        <f>IFERROR(__xludf.DUMMYFUNCTION("""COMPUTED_VALUE"""),"Negative")</f>
        <v>Negative</v>
      </c>
      <c r="H400" s="131" t="str">
        <f>IFERROR(__xludf.DUMMYFUNCTION("""COMPUTED_VALUE"""),"Negative")</f>
        <v>Negative</v>
      </c>
      <c r="I400" s="468">
        <f>IFERROR(__xludf.DUMMYFUNCTION("""COMPUTED_VALUE"""),44571.0)</f>
        <v>44571</v>
      </c>
      <c r="J400" s="470">
        <f>IFERROR(__xludf.DUMMYFUNCTION("""COMPUTED_VALUE"""),0.4867939814814815)</f>
        <v>0.4867939815</v>
      </c>
      <c r="K400" s="16"/>
      <c r="L400" s="8"/>
      <c r="M400" s="69"/>
      <c r="N400" s="69">
        <f>IFERROR(__xludf.DUMMYFUNCTION("""COMPUTED_VALUE"""),2.0)</f>
        <v>2</v>
      </c>
      <c r="O400" s="69" t="str">
        <f t="shared" si="3"/>
        <v/>
      </c>
      <c r="P400" s="471">
        <f>IFERROR(__xludf.DUMMYFUNCTION("""COMPUTED_VALUE"""),0.0)</f>
        <v>0</v>
      </c>
      <c r="Q400" s="274" t="b">
        <f>VLOOKUP($B400,'Run Reconcile'!B$2:O2488,14,FALSE)</f>
        <v>1</v>
      </c>
      <c r="R400" s="472" t="str">
        <f t="array" ref="R400">IF($Q400, INDEX('Run Reconcile'!A$2:A2488,MATCH(B400,'Run Reconcile'!B$2:B2488,0),1),IFERROR(0/0,""))</f>
        <v>RUN-FLMP_2022-01-10_RFR-053</v>
      </c>
      <c r="S400" s="473" t="str">
        <f t="shared" si="694"/>
        <v/>
      </c>
      <c r="T400" s="473" t="str">
        <f t="shared" si="698"/>
        <v/>
      </c>
      <c r="U400" s="275" t="str">
        <f t="array" ref="U400">IF(ISBLANK($R400), INDEX('Run Reconcile'!A$2:A2488, MATCH($B400, 'Run Reconcile'!B$2:B2488, 0)+Z400, 1), IFERROR(0/0,""))
</f>
        <v/>
      </c>
      <c r="V400" s="474" t="str">
        <f t="shared" si="5"/>
        <v>RUN-FLMP_2022-01-10_RFR-053</v>
      </c>
      <c r="Y400" s="89" t="str">
        <f t="shared" si="701"/>
        <v/>
      </c>
      <c r="Z400" s="60" t="str">
        <f t="shared" si="7"/>
        <v/>
      </c>
      <c r="AA400" s="60" t="str">
        <f t="shared" si="8"/>
        <v/>
      </c>
      <c r="AB400" s="60" t="str">
        <f t="shared" si="9"/>
        <v/>
      </c>
      <c r="AC400" s="30" t="str">
        <f t="shared" ref="AC400:AD400" si="752">IF(_xlfn.ISFORMULA(S400),IFERROR(0/0,""),TRUE)</f>
        <v/>
      </c>
      <c r="AD400" s="30" t="str">
        <f t="shared" si="752"/>
        <v/>
      </c>
      <c r="AE400" s="475" t="str">
        <f>IFERROR(__xludf.DUMMYFUNCTION("""COMPUTED_VALUE"""),"CRLN")</f>
        <v>CRLN</v>
      </c>
      <c r="AF400" s="476"/>
      <c r="AG400" s="474" t="s">
        <v>153</v>
      </c>
      <c r="AH400" s="138" t="str">
        <f t="shared" si="11"/>
        <v/>
      </c>
    </row>
    <row r="401">
      <c r="A401" s="103" t="str">
        <f>IFERROR(__xludf.DUMMYFUNCTION("""COMPUTED_VALUE"""),"FLB7416")</f>
        <v>FLB7416</v>
      </c>
      <c r="B401" s="468">
        <f>IFERROR(__xludf.DUMMYFUNCTION("""COMPUTED_VALUE"""),44571.0)</f>
        <v>44571</v>
      </c>
      <c r="C401" s="469">
        <f>IFERROR(__xludf.DUMMYFUNCTION("""COMPUTED_VALUE"""),0.30368055555555556)</f>
        <v>0.3036805556</v>
      </c>
      <c r="D401" s="103" t="str">
        <f>IFERROR(__xludf.DUMMYFUNCTION("""COMPUTED_VALUE"""),"SpFLMP393935")</f>
        <v>SpFLMP393935</v>
      </c>
      <c r="E401" s="103"/>
      <c r="F401" s="103"/>
      <c r="G401" s="103" t="str">
        <f>IFERROR(__xludf.DUMMYFUNCTION("""COMPUTED_VALUE"""),"Negative")</f>
        <v>Negative</v>
      </c>
      <c r="H401" s="131" t="str">
        <f>IFERROR(__xludf.DUMMYFUNCTION("""COMPUTED_VALUE"""),"Negative")</f>
        <v>Negative</v>
      </c>
      <c r="I401" s="468">
        <f>IFERROR(__xludf.DUMMYFUNCTION("""COMPUTED_VALUE"""),44571.0)</f>
        <v>44571</v>
      </c>
      <c r="J401" s="470">
        <f>IFERROR(__xludf.DUMMYFUNCTION("""COMPUTED_VALUE"""),0.4867939814814815)</f>
        <v>0.4867939815</v>
      </c>
      <c r="K401" s="16"/>
      <c r="L401" s="8"/>
      <c r="M401" s="69"/>
      <c r="N401" s="69">
        <f>IFERROR(__xludf.DUMMYFUNCTION("""COMPUTED_VALUE"""),1.0)</f>
        <v>1</v>
      </c>
      <c r="O401" s="69" t="str">
        <f t="shared" si="3"/>
        <v/>
      </c>
      <c r="P401" s="471">
        <f>IFERROR(__xludf.DUMMYFUNCTION("""COMPUTED_VALUE"""),0.0)</f>
        <v>0</v>
      </c>
      <c r="Q401" s="274" t="b">
        <f>VLOOKUP($B401,'Run Reconcile'!B$2:O2488,14,FALSE)</f>
        <v>1</v>
      </c>
      <c r="R401" s="472" t="str">
        <f t="array" ref="R401">IF($Q401, INDEX('Run Reconcile'!A$2:A2488,MATCH(B401,'Run Reconcile'!B$2:B2488,0),1),IFERROR(0/0,""))</f>
        <v>RUN-FLMP_2022-01-10_RFR-053</v>
      </c>
      <c r="S401" s="473" t="str">
        <f t="shared" si="694"/>
        <v/>
      </c>
      <c r="T401" s="473" t="str">
        <f t="shared" si="698"/>
        <v/>
      </c>
      <c r="U401" s="275" t="str">
        <f t="array" ref="U401">IF(ISBLANK($R401), INDEX('Run Reconcile'!A$2:A2488, MATCH($B401, 'Run Reconcile'!B$2:B2488, 0)+Z401, 1), IFERROR(0/0,""))
</f>
        <v/>
      </c>
      <c r="V401" s="474" t="str">
        <f t="shared" si="5"/>
        <v>RUN-FLMP_2022-01-10_RFR-053</v>
      </c>
      <c r="Y401" s="89" t="str">
        <f t="shared" si="701"/>
        <v/>
      </c>
      <c r="Z401" s="60" t="str">
        <f t="shared" si="7"/>
        <v/>
      </c>
      <c r="AA401" s="60" t="str">
        <f t="shared" si="8"/>
        <v/>
      </c>
      <c r="AB401" s="60" t="str">
        <f t="shared" si="9"/>
        <v/>
      </c>
      <c r="AC401" s="30" t="str">
        <f t="shared" ref="AC401:AD401" si="753">IF(_xlfn.ISFORMULA(S401),IFERROR(0/0,""),TRUE)</f>
        <v/>
      </c>
      <c r="AD401" s="30" t="str">
        <f t="shared" si="753"/>
        <v/>
      </c>
      <c r="AE401" s="475" t="str">
        <f>IFERROR(__xludf.DUMMYFUNCTION("""COMPUTED_VALUE"""),"CRLN")</f>
        <v>CRLN</v>
      </c>
      <c r="AF401" s="476"/>
      <c r="AG401" s="474" t="s">
        <v>153</v>
      </c>
      <c r="AH401" s="138" t="str">
        <f t="shared" si="11"/>
        <v/>
      </c>
    </row>
    <row r="402">
      <c r="A402" s="103" t="str">
        <f>IFERROR(__xludf.DUMMYFUNCTION("""COMPUTED_VALUE"""),"FLB6348")</f>
        <v>FLB6348</v>
      </c>
      <c r="B402" s="468">
        <f>IFERROR(__xludf.DUMMYFUNCTION("""COMPUTED_VALUE"""),44571.0)</f>
        <v>44571</v>
      </c>
      <c r="C402" s="469">
        <f>IFERROR(__xludf.DUMMYFUNCTION("""COMPUTED_VALUE"""),0.31030092592592595)</f>
        <v>0.3103009259</v>
      </c>
      <c r="D402" s="103" t="str">
        <f>IFERROR(__xludf.DUMMYFUNCTION("""COMPUTED_VALUE"""),"SpFLMP965392")</f>
        <v>SpFLMP965392</v>
      </c>
      <c r="E402" s="103"/>
      <c r="F402" s="103"/>
      <c r="G402" s="103" t="str">
        <f>IFERROR(__xludf.DUMMYFUNCTION("""COMPUTED_VALUE"""),"Negative")</f>
        <v>Negative</v>
      </c>
      <c r="H402" s="131" t="str">
        <f>IFERROR(__xludf.DUMMYFUNCTION("""COMPUTED_VALUE"""),"Negative")</f>
        <v>Negative</v>
      </c>
      <c r="I402" s="468">
        <f>IFERROR(__xludf.DUMMYFUNCTION("""COMPUTED_VALUE"""),44571.0)</f>
        <v>44571</v>
      </c>
      <c r="J402" s="470">
        <f>IFERROR(__xludf.DUMMYFUNCTION("""COMPUTED_VALUE"""),0.4867939814814815)</f>
        <v>0.4867939815</v>
      </c>
      <c r="K402" s="16"/>
      <c r="L402" s="8"/>
      <c r="M402" s="69"/>
      <c r="N402" s="69">
        <f>IFERROR(__xludf.DUMMYFUNCTION("""COMPUTED_VALUE"""),4.0)</f>
        <v>4</v>
      </c>
      <c r="O402" s="69" t="str">
        <f t="shared" si="3"/>
        <v/>
      </c>
      <c r="P402" s="471">
        <f>IFERROR(__xludf.DUMMYFUNCTION("""COMPUTED_VALUE"""),0.0)</f>
        <v>0</v>
      </c>
      <c r="Q402" s="274" t="b">
        <f>VLOOKUP($B402,'Run Reconcile'!B$2:O2488,14,FALSE)</f>
        <v>1</v>
      </c>
      <c r="R402" s="472" t="str">
        <f t="array" ref="R402">IF($Q402, INDEX('Run Reconcile'!A$2:A2488,MATCH(B402,'Run Reconcile'!B$2:B2488,0),1),IFERROR(0/0,""))</f>
        <v>RUN-FLMP_2022-01-10_RFR-053</v>
      </c>
      <c r="S402" s="473" t="str">
        <f t="shared" si="694"/>
        <v/>
      </c>
      <c r="T402" s="473" t="str">
        <f t="shared" si="698"/>
        <v/>
      </c>
      <c r="U402" s="275" t="str">
        <f t="array" ref="U402">IF(ISBLANK($R402), INDEX('Run Reconcile'!A$2:A2488, MATCH($B402, 'Run Reconcile'!B$2:B2488, 0)+Z402, 1), IFERROR(0/0,""))
</f>
        <v/>
      </c>
      <c r="V402" s="474" t="str">
        <f t="shared" si="5"/>
        <v>RUN-FLMP_2022-01-10_RFR-053</v>
      </c>
      <c r="Y402" s="89" t="str">
        <f t="shared" si="701"/>
        <v/>
      </c>
      <c r="Z402" s="60" t="str">
        <f t="shared" si="7"/>
        <v/>
      </c>
      <c r="AA402" s="60" t="str">
        <f t="shared" si="8"/>
        <v/>
      </c>
      <c r="AB402" s="60" t="str">
        <f t="shared" si="9"/>
        <v/>
      </c>
      <c r="AC402" s="30" t="str">
        <f t="shared" ref="AC402:AD402" si="754">IF(_xlfn.ISFORMULA(S402),IFERROR(0/0,""),TRUE)</f>
        <v/>
      </c>
      <c r="AD402" s="30" t="str">
        <f t="shared" si="754"/>
        <v/>
      </c>
      <c r="AE402" s="475" t="str">
        <f>IFERROR(__xludf.DUMMYFUNCTION("""COMPUTED_VALUE"""),"CRLN")</f>
        <v>CRLN</v>
      </c>
      <c r="AF402" s="476"/>
      <c r="AG402" s="474" t="s">
        <v>153</v>
      </c>
      <c r="AH402" s="138" t="str">
        <f t="shared" si="11"/>
        <v/>
      </c>
    </row>
    <row r="403">
      <c r="A403" s="103" t="str">
        <f>IFERROR(__xludf.DUMMYFUNCTION("""COMPUTED_VALUE"""),"FLT1168")</f>
        <v>FLT1168</v>
      </c>
      <c r="B403" s="468">
        <f>IFERROR(__xludf.DUMMYFUNCTION("""COMPUTED_VALUE"""),44571.0)</f>
        <v>44571</v>
      </c>
      <c r="C403" s="469">
        <f>IFERROR(__xludf.DUMMYFUNCTION("""COMPUTED_VALUE"""),0.3206481481481481)</f>
        <v>0.3206481481</v>
      </c>
      <c r="D403" s="103" t="str">
        <f>IFERROR(__xludf.DUMMYFUNCTION("""COMPUTED_VALUE"""),"SpFLMP314549")</f>
        <v>SpFLMP314549</v>
      </c>
      <c r="E403" s="103"/>
      <c r="F403" s="103"/>
      <c r="G403" s="103" t="str">
        <f>IFERROR(__xludf.DUMMYFUNCTION("""COMPUTED_VALUE"""),"Negative")</f>
        <v>Negative</v>
      </c>
      <c r="H403" s="131" t="str">
        <f>IFERROR(__xludf.DUMMYFUNCTION("""COMPUTED_VALUE"""),"Negative")</f>
        <v>Negative</v>
      </c>
      <c r="I403" s="468">
        <f>IFERROR(__xludf.DUMMYFUNCTION("""COMPUTED_VALUE"""),44571.0)</f>
        <v>44571</v>
      </c>
      <c r="J403" s="470">
        <f>IFERROR(__xludf.DUMMYFUNCTION("""COMPUTED_VALUE"""),0.4867939814814815)</f>
        <v>0.4867939815</v>
      </c>
      <c r="K403" s="16"/>
      <c r="L403" s="8"/>
      <c r="M403" s="69"/>
      <c r="N403" s="69">
        <f>IFERROR(__xludf.DUMMYFUNCTION("""COMPUTED_VALUE"""),1.0)</f>
        <v>1</v>
      </c>
      <c r="O403" s="69" t="str">
        <f t="shared" si="3"/>
        <v/>
      </c>
      <c r="P403" s="471">
        <f>IFERROR(__xludf.DUMMYFUNCTION("""COMPUTED_VALUE"""),0.0)</f>
        <v>0</v>
      </c>
      <c r="Q403" s="274" t="b">
        <f>VLOOKUP($B403,'Run Reconcile'!B$2:O2488,14,FALSE)</f>
        <v>1</v>
      </c>
      <c r="R403" s="472" t="str">
        <f t="array" ref="R403">IF($Q403, INDEX('Run Reconcile'!A$2:A2488,MATCH(B403,'Run Reconcile'!B$2:B2488,0),1),IFERROR(0/0,""))</f>
        <v>RUN-FLMP_2022-01-10_RFR-053</v>
      </c>
      <c r="S403" s="473" t="str">
        <f t="shared" si="694"/>
        <v/>
      </c>
      <c r="T403" s="473" t="str">
        <f t="shared" si="698"/>
        <v/>
      </c>
      <c r="U403" s="275" t="str">
        <f t="array" ref="U403">IF(ISBLANK($R403), INDEX('Run Reconcile'!A$2:A2488, MATCH($B403, 'Run Reconcile'!B$2:B2488, 0)+Z403, 1), IFERROR(0/0,""))
</f>
        <v/>
      </c>
      <c r="V403" s="474" t="str">
        <f t="shared" si="5"/>
        <v>RUN-FLMP_2022-01-10_RFR-053</v>
      </c>
      <c r="Y403" s="89" t="str">
        <f t="shared" si="701"/>
        <v/>
      </c>
      <c r="Z403" s="60" t="str">
        <f t="shared" si="7"/>
        <v/>
      </c>
      <c r="AA403" s="60" t="str">
        <f t="shared" si="8"/>
        <v/>
      </c>
      <c r="AB403" s="60" t="str">
        <f t="shared" si="9"/>
        <v/>
      </c>
      <c r="AC403" s="30" t="str">
        <f t="shared" ref="AC403:AD403" si="755">IF(_xlfn.ISFORMULA(S403),IFERROR(0/0,""),TRUE)</f>
        <v/>
      </c>
      <c r="AD403" s="30" t="str">
        <f t="shared" si="755"/>
        <v/>
      </c>
      <c r="AE403" s="475" t="str">
        <f>IFERROR(__xludf.DUMMYFUNCTION("""COMPUTED_VALUE"""),"CRLN")</f>
        <v>CRLN</v>
      </c>
      <c r="AF403" s="476"/>
      <c r="AG403" s="474" t="s">
        <v>153</v>
      </c>
      <c r="AH403" s="138" t="str">
        <f t="shared" si="11"/>
        <v/>
      </c>
    </row>
    <row r="404">
      <c r="A404" s="103" t="str">
        <f>IFERROR(__xludf.DUMMYFUNCTION("""COMPUTED_VALUE"""),"FLB6341")</f>
        <v>FLB6341</v>
      </c>
      <c r="B404" s="468">
        <f>IFERROR(__xludf.DUMMYFUNCTION("""COMPUTED_VALUE"""),44571.0)</f>
        <v>44571</v>
      </c>
      <c r="C404" s="469">
        <f>IFERROR(__xludf.DUMMYFUNCTION("""COMPUTED_VALUE"""),0.32285879629629627)</f>
        <v>0.3228587963</v>
      </c>
      <c r="D404" s="103" t="str">
        <f>IFERROR(__xludf.DUMMYFUNCTION("""COMPUTED_VALUE"""),"SpFLMP939619")</f>
        <v>SpFLMP939619</v>
      </c>
      <c r="E404" s="103"/>
      <c r="F404" s="103"/>
      <c r="G404" s="103" t="str">
        <f>IFERROR(__xludf.DUMMYFUNCTION("""COMPUTED_VALUE"""),"Negative")</f>
        <v>Negative</v>
      </c>
      <c r="H404" s="131" t="str">
        <f>IFERROR(__xludf.DUMMYFUNCTION("""COMPUTED_VALUE"""),"Negative")</f>
        <v>Negative</v>
      </c>
      <c r="I404" s="468">
        <f>IFERROR(__xludf.DUMMYFUNCTION("""COMPUTED_VALUE"""),44571.0)</f>
        <v>44571</v>
      </c>
      <c r="J404" s="470">
        <f>IFERROR(__xludf.DUMMYFUNCTION("""COMPUTED_VALUE"""),0.4867939814814815)</f>
        <v>0.4867939815</v>
      </c>
      <c r="K404" s="16"/>
      <c r="L404" s="8"/>
      <c r="M404" s="69"/>
      <c r="N404" s="69">
        <f>IFERROR(__xludf.DUMMYFUNCTION("""COMPUTED_VALUE"""),1.0)</f>
        <v>1</v>
      </c>
      <c r="O404" s="69" t="str">
        <f t="shared" si="3"/>
        <v/>
      </c>
      <c r="P404" s="471">
        <f>IFERROR(__xludf.DUMMYFUNCTION("""COMPUTED_VALUE"""),0.0)</f>
        <v>0</v>
      </c>
      <c r="Q404" s="274" t="b">
        <f>VLOOKUP($B404,'Run Reconcile'!B$2:O2488,14,FALSE)</f>
        <v>1</v>
      </c>
      <c r="R404" s="472" t="str">
        <f t="array" ref="R404">IF($Q404, INDEX('Run Reconcile'!A$2:A2488,MATCH(B404,'Run Reconcile'!B$2:B2488,0),1),IFERROR(0/0,""))</f>
        <v>RUN-FLMP_2022-01-10_RFR-053</v>
      </c>
      <c r="S404" s="473" t="str">
        <f t="shared" si="694"/>
        <v/>
      </c>
      <c r="T404" s="473" t="str">
        <f t="shared" si="698"/>
        <v/>
      </c>
      <c r="U404" s="275" t="str">
        <f t="array" ref="U404">IF(ISBLANK($R404), INDEX('Run Reconcile'!A$2:A2488, MATCH($B404, 'Run Reconcile'!B$2:B2488, 0)+Z404, 1), IFERROR(0/0,""))
</f>
        <v/>
      </c>
      <c r="V404" s="474" t="str">
        <f t="shared" si="5"/>
        <v>RUN-FLMP_2022-01-10_RFR-053</v>
      </c>
      <c r="Y404" s="89" t="str">
        <f t="shared" si="701"/>
        <v/>
      </c>
      <c r="Z404" s="60" t="str">
        <f t="shared" si="7"/>
        <v/>
      </c>
      <c r="AA404" s="60" t="str">
        <f t="shared" si="8"/>
        <v/>
      </c>
      <c r="AB404" s="60" t="str">
        <f t="shared" si="9"/>
        <v/>
      </c>
      <c r="AC404" s="30" t="str">
        <f t="shared" ref="AC404:AD404" si="756">IF(_xlfn.ISFORMULA(S404),IFERROR(0/0,""),TRUE)</f>
        <v/>
      </c>
      <c r="AD404" s="30" t="str">
        <f t="shared" si="756"/>
        <v/>
      </c>
      <c r="AE404" s="475" t="str">
        <f>IFERROR(__xludf.DUMMYFUNCTION("""COMPUTED_VALUE"""),"CRLN")</f>
        <v>CRLN</v>
      </c>
      <c r="AF404" s="476"/>
      <c r="AG404" s="474" t="s">
        <v>153</v>
      </c>
      <c r="AH404" s="138" t="str">
        <f t="shared" si="11"/>
        <v/>
      </c>
    </row>
    <row r="405">
      <c r="A405" s="103" t="str">
        <f>IFERROR(__xludf.DUMMYFUNCTION("""COMPUTED_VALUE"""),"FLB5890")</f>
        <v>FLB5890</v>
      </c>
      <c r="B405" s="468">
        <f>IFERROR(__xludf.DUMMYFUNCTION("""COMPUTED_VALUE"""),44571.0)</f>
        <v>44571</v>
      </c>
      <c r="C405" s="469">
        <f>IFERROR(__xludf.DUMMYFUNCTION("""COMPUTED_VALUE"""),0.3372222222222222)</f>
        <v>0.3372222222</v>
      </c>
      <c r="D405" s="103" t="str">
        <f>IFERROR(__xludf.DUMMYFUNCTION("""COMPUTED_VALUE"""),"SpFLMP170622")</f>
        <v>SpFLMP170622</v>
      </c>
      <c r="E405" s="103"/>
      <c r="F405" s="103"/>
      <c r="G405" s="103" t="str">
        <f>IFERROR(__xludf.DUMMYFUNCTION("""COMPUTED_VALUE"""),"Negative")</f>
        <v>Negative</v>
      </c>
      <c r="H405" s="131" t="str">
        <f>IFERROR(__xludf.DUMMYFUNCTION("""COMPUTED_VALUE"""),"Negative")</f>
        <v>Negative</v>
      </c>
      <c r="I405" s="468">
        <f>IFERROR(__xludf.DUMMYFUNCTION("""COMPUTED_VALUE"""),44571.0)</f>
        <v>44571</v>
      </c>
      <c r="J405" s="470">
        <f>IFERROR(__xludf.DUMMYFUNCTION("""COMPUTED_VALUE"""),0.4867939814814815)</f>
        <v>0.4867939815</v>
      </c>
      <c r="K405" s="16"/>
      <c r="L405" s="8"/>
      <c r="M405" s="69"/>
      <c r="N405" s="69">
        <f>IFERROR(__xludf.DUMMYFUNCTION("""COMPUTED_VALUE"""),1.0)</f>
        <v>1</v>
      </c>
      <c r="O405" s="69" t="str">
        <f t="shared" si="3"/>
        <v/>
      </c>
      <c r="P405" s="471">
        <f>IFERROR(__xludf.DUMMYFUNCTION("""COMPUTED_VALUE"""),0.0)</f>
        <v>0</v>
      </c>
      <c r="Q405" s="274" t="b">
        <f>VLOOKUP($B405,'Run Reconcile'!B$2:O2488,14,FALSE)</f>
        <v>1</v>
      </c>
      <c r="R405" s="472" t="str">
        <f t="array" ref="R405">IF($Q405, INDEX('Run Reconcile'!A$2:A2488,MATCH(B405,'Run Reconcile'!B$2:B2488,0),1),IFERROR(0/0,""))</f>
        <v>RUN-FLMP_2022-01-10_RFR-053</v>
      </c>
      <c r="S405" s="473" t="str">
        <f t="shared" si="694"/>
        <v/>
      </c>
      <c r="T405" s="473" t="str">
        <f t="shared" si="698"/>
        <v/>
      </c>
      <c r="U405" s="275" t="str">
        <f t="array" ref="U405">IF(ISBLANK($R405), INDEX('Run Reconcile'!A$2:A2488, MATCH($B405, 'Run Reconcile'!B$2:B2488, 0)+Z405, 1), IFERROR(0/0,""))
</f>
        <v/>
      </c>
      <c r="V405" s="474" t="str">
        <f t="shared" si="5"/>
        <v>RUN-FLMP_2022-01-10_RFR-053</v>
      </c>
      <c r="Y405" s="89" t="str">
        <f t="shared" si="701"/>
        <v/>
      </c>
      <c r="Z405" s="60" t="str">
        <f t="shared" si="7"/>
        <v/>
      </c>
      <c r="AA405" s="60" t="str">
        <f t="shared" si="8"/>
        <v/>
      </c>
      <c r="AB405" s="60" t="str">
        <f t="shared" si="9"/>
        <v/>
      </c>
      <c r="AC405" s="30" t="str">
        <f t="shared" ref="AC405:AD405" si="757">IF(_xlfn.ISFORMULA(S405),IFERROR(0/0,""),TRUE)</f>
        <v/>
      </c>
      <c r="AD405" s="30" t="str">
        <f t="shared" si="757"/>
        <v/>
      </c>
      <c r="AE405" s="475" t="str">
        <f>IFERROR(__xludf.DUMMYFUNCTION("""COMPUTED_VALUE"""),"CRLN")</f>
        <v>CRLN</v>
      </c>
      <c r="AF405" s="476"/>
      <c r="AG405" s="474" t="s">
        <v>153</v>
      </c>
      <c r="AH405" s="138" t="str">
        <f t="shared" si="11"/>
        <v/>
      </c>
    </row>
    <row r="406">
      <c r="A406" s="103" t="str">
        <f>IFERROR(__xludf.DUMMYFUNCTION("""COMPUTED_VALUE"""),"FLT1407")</f>
        <v>FLT1407</v>
      </c>
      <c r="B406" s="468">
        <f>IFERROR(__xludf.DUMMYFUNCTION("""COMPUTED_VALUE"""),44571.0)</f>
        <v>44571</v>
      </c>
      <c r="C406" s="469">
        <f>IFERROR(__xludf.DUMMYFUNCTION("""COMPUTED_VALUE"""),0.3384259259259259)</f>
        <v>0.3384259259</v>
      </c>
      <c r="D406" s="103" t="str">
        <f>IFERROR(__xludf.DUMMYFUNCTION("""COMPUTED_VALUE"""),"SpFLMP273885")</f>
        <v>SpFLMP273885</v>
      </c>
      <c r="E406" s="103"/>
      <c r="F406" s="103"/>
      <c r="G406" s="103" t="str">
        <f>IFERROR(__xludf.DUMMYFUNCTION("""COMPUTED_VALUE"""),"Negative")</f>
        <v>Negative</v>
      </c>
      <c r="H406" s="131" t="str">
        <f>IFERROR(__xludf.DUMMYFUNCTION("""COMPUTED_VALUE"""),"Negative")</f>
        <v>Negative</v>
      </c>
      <c r="I406" s="468">
        <f>IFERROR(__xludf.DUMMYFUNCTION("""COMPUTED_VALUE"""),44571.0)</f>
        <v>44571</v>
      </c>
      <c r="J406" s="470">
        <f>IFERROR(__xludf.DUMMYFUNCTION("""COMPUTED_VALUE"""),0.48680555555555555)</f>
        <v>0.4868055556</v>
      </c>
      <c r="K406" s="16"/>
      <c r="L406" s="8"/>
      <c r="M406" s="69"/>
      <c r="N406" s="69">
        <f>IFERROR(__xludf.DUMMYFUNCTION("""COMPUTED_VALUE"""),3.0)</f>
        <v>3</v>
      </c>
      <c r="O406" s="69" t="str">
        <f t="shared" si="3"/>
        <v/>
      </c>
      <c r="P406" s="471">
        <f>IFERROR(__xludf.DUMMYFUNCTION("""COMPUTED_VALUE"""),0.0)</f>
        <v>0</v>
      </c>
      <c r="Q406" s="274" t="b">
        <f>VLOOKUP($B406,'Run Reconcile'!B$2:O2488,14,FALSE)</f>
        <v>1</v>
      </c>
      <c r="R406" s="472" t="str">
        <f t="array" ref="R406">IF($Q406, INDEX('Run Reconcile'!A$2:A2488,MATCH(B406,'Run Reconcile'!B$2:B2488,0),1),IFERROR(0/0,""))</f>
        <v>RUN-FLMP_2022-01-10_RFR-053</v>
      </c>
      <c r="S406" s="473" t="str">
        <f t="shared" si="694"/>
        <v/>
      </c>
      <c r="T406" s="473" t="str">
        <f t="shared" si="698"/>
        <v/>
      </c>
      <c r="U406" s="275" t="str">
        <f t="array" ref="U406">IF(ISBLANK($R406), INDEX('Run Reconcile'!A$2:A2488, MATCH($B406, 'Run Reconcile'!B$2:B2488, 0)+Z406, 1), IFERROR(0/0,""))
</f>
        <v/>
      </c>
      <c r="V406" s="474" t="str">
        <f t="shared" si="5"/>
        <v>RUN-FLMP_2022-01-10_RFR-053</v>
      </c>
      <c r="Y406" s="89" t="str">
        <f t="shared" si="701"/>
        <v/>
      </c>
      <c r="Z406" s="60" t="str">
        <f t="shared" si="7"/>
        <v/>
      </c>
      <c r="AA406" s="60" t="str">
        <f t="shared" si="8"/>
        <v/>
      </c>
      <c r="AB406" s="60" t="str">
        <f t="shared" si="9"/>
        <v/>
      </c>
      <c r="AC406" s="30" t="str">
        <f t="shared" ref="AC406:AD406" si="758">IF(_xlfn.ISFORMULA(S406),IFERROR(0/0,""),TRUE)</f>
        <v/>
      </c>
      <c r="AD406" s="30" t="str">
        <f t="shared" si="758"/>
        <v/>
      </c>
      <c r="AE406" s="475" t="str">
        <f>IFERROR(__xludf.DUMMYFUNCTION("""COMPUTED_VALUE"""),"CRLN")</f>
        <v>CRLN</v>
      </c>
      <c r="AF406" s="476"/>
      <c r="AG406" s="474" t="s">
        <v>153</v>
      </c>
      <c r="AH406" s="138" t="str">
        <f t="shared" si="11"/>
        <v/>
      </c>
    </row>
    <row r="407">
      <c r="A407" s="103" t="str">
        <f>IFERROR(__xludf.DUMMYFUNCTION("""COMPUTED_VALUE"""),"FLE296")</f>
        <v>FLE296</v>
      </c>
      <c r="B407" s="468">
        <f>IFERROR(__xludf.DUMMYFUNCTION("""COMPUTED_VALUE"""),44571.0)</f>
        <v>44571</v>
      </c>
      <c r="C407" s="469">
        <f>IFERROR(__xludf.DUMMYFUNCTION("""COMPUTED_VALUE"""),0.33939814814814817)</f>
        <v>0.3393981481</v>
      </c>
      <c r="D407" s="103" t="str">
        <f>IFERROR(__xludf.DUMMYFUNCTION("""COMPUTED_VALUE"""),"SpFLMP342787")</f>
        <v>SpFLMP342787</v>
      </c>
      <c r="E407" s="103"/>
      <c r="F407" s="103"/>
      <c r="G407" s="103" t="str">
        <f>IFERROR(__xludf.DUMMYFUNCTION("""COMPUTED_VALUE"""),"Positive")</f>
        <v>Positive</v>
      </c>
      <c r="H407" s="505" t="str">
        <f>IFERROR(__xludf.DUMMYFUNCTION("""COMPUTED_VALUE"""),"Positive")</f>
        <v>Positive</v>
      </c>
      <c r="I407" s="468">
        <f>IFERROR(__xludf.DUMMYFUNCTION("""COMPUTED_VALUE"""),44571.0)</f>
        <v>44571</v>
      </c>
      <c r="J407" s="470">
        <f>IFERROR(__xludf.DUMMYFUNCTION("""COMPUTED_VALUE"""),0.4724537037037037)</f>
        <v>0.4724537037</v>
      </c>
      <c r="K407" s="16"/>
      <c r="L407" s="8"/>
      <c r="M407" s="69"/>
      <c r="N407" s="69">
        <f>IFERROR(__xludf.DUMMYFUNCTION("""COMPUTED_VALUE"""),1.0)</f>
        <v>1</v>
      </c>
      <c r="O407" s="69" t="str">
        <f t="shared" si="3"/>
        <v/>
      </c>
      <c r="P407" s="471">
        <f>IFERROR(__xludf.DUMMYFUNCTION("""COMPUTED_VALUE"""),0.0)</f>
        <v>0</v>
      </c>
      <c r="Q407" s="274" t="b">
        <f>VLOOKUP($B407,'Run Reconcile'!B$2:O2488,14,FALSE)</f>
        <v>1</v>
      </c>
      <c r="R407" s="472" t="str">
        <f t="array" ref="R407">IF($Q407, INDEX('Run Reconcile'!A$2:A2488,MATCH(B407,'Run Reconcile'!B$2:B2488,0),1),IFERROR(0/0,""))</f>
        <v>RUN-FLMP_2022-01-10_RFR-053</v>
      </c>
      <c r="S407" s="473" t="str">
        <f t="shared" si="694"/>
        <v/>
      </c>
      <c r="T407" s="473" t="str">
        <f t="shared" si="698"/>
        <v/>
      </c>
      <c r="U407" s="275" t="str">
        <f t="array" ref="U407">IF(ISBLANK($R407), INDEX('Run Reconcile'!A$2:A2488, MATCH($B407, 'Run Reconcile'!B$2:B2488, 0)+Z407, 1), IFERROR(0/0,""))
</f>
        <v/>
      </c>
      <c r="V407" s="474" t="str">
        <f t="shared" si="5"/>
        <v>RUN-FLMP_2022-01-10_RFR-053</v>
      </c>
      <c r="Y407" s="89" t="str">
        <f t="shared" si="701"/>
        <v/>
      </c>
      <c r="Z407" s="60" t="str">
        <f t="shared" si="7"/>
        <v/>
      </c>
      <c r="AA407" s="60" t="str">
        <f t="shared" si="8"/>
        <v/>
      </c>
      <c r="AB407" s="60" t="str">
        <f t="shared" si="9"/>
        <v/>
      </c>
      <c r="AC407" s="30" t="str">
        <f t="shared" ref="AC407:AD407" si="759">IF(_xlfn.ISFORMULA(S407),IFERROR(0/0,""),TRUE)</f>
        <v/>
      </c>
      <c r="AD407" s="30" t="str">
        <f t="shared" si="759"/>
        <v/>
      </c>
      <c r="AE407" s="475" t="str">
        <f>IFERROR(__xludf.DUMMYFUNCTION("""COMPUTED_VALUE"""),"FLSP")</f>
        <v>FLSP</v>
      </c>
      <c r="AF407" s="476"/>
      <c r="AG407" s="474" t="s">
        <v>153</v>
      </c>
      <c r="AH407" s="138" t="str">
        <f t="shared" si="11"/>
        <v/>
      </c>
    </row>
    <row r="408">
      <c r="A408" s="103" t="str">
        <f>IFERROR(__xludf.DUMMYFUNCTION("""COMPUTED_VALUE"""),"FLB5866")</f>
        <v>FLB5866</v>
      </c>
      <c r="B408" s="468">
        <f>IFERROR(__xludf.DUMMYFUNCTION("""COMPUTED_VALUE"""),44571.0)</f>
        <v>44571</v>
      </c>
      <c r="C408" s="469">
        <f>IFERROR(__xludf.DUMMYFUNCTION("""COMPUTED_VALUE"""),0.3410185185185185)</f>
        <v>0.3410185185</v>
      </c>
      <c r="D408" s="103" t="str">
        <f>IFERROR(__xludf.DUMMYFUNCTION("""COMPUTED_VALUE"""),"SpFLMP342787")</f>
        <v>SpFLMP342787</v>
      </c>
      <c r="E408" s="103"/>
      <c r="F408" s="103"/>
      <c r="G408" s="103" t="str">
        <f>IFERROR(__xludf.DUMMYFUNCTION("""COMPUTED_VALUE"""),"Positive")</f>
        <v>Positive</v>
      </c>
      <c r="H408" s="505" t="str">
        <f>IFERROR(__xludf.DUMMYFUNCTION("""COMPUTED_VALUE"""),"Positive")</f>
        <v>Positive</v>
      </c>
      <c r="I408" s="468">
        <f>IFERROR(__xludf.DUMMYFUNCTION("""COMPUTED_VALUE"""),44571.0)</f>
        <v>44571</v>
      </c>
      <c r="J408" s="470">
        <f>IFERROR(__xludf.DUMMYFUNCTION("""COMPUTED_VALUE"""),0.4724537037037037)</f>
        <v>0.4724537037</v>
      </c>
      <c r="K408" s="16"/>
      <c r="L408" s="8"/>
      <c r="M408" s="69"/>
      <c r="N408" s="69">
        <f>IFERROR(__xludf.DUMMYFUNCTION("""COMPUTED_VALUE"""),1.0)</f>
        <v>1</v>
      </c>
      <c r="O408" s="69" t="str">
        <f t="shared" si="3"/>
        <v/>
      </c>
      <c r="P408" s="471">
        <f>IFERROR(__xludf.DUMMYFUNCTION("""COMPUTED_VALUE"""),0.0)</f>
        <v>0</v>
      </c>
      <c r="Q408" s="274" t="b">
        <f>VLOOKUP($B408,'Run Reconcile'!B$2:O2488,14,FALSE)</f>
        <v>1</v>
      </c>
      <c r="R408" s="472" t="str">
        <f t="array" ref="R408">IF($Q408, INDEX('Run Reconcile'!A$2:A2488,MATCH(B408,'Run Reconcile'!B$2:B2488,0),1),IFERROR(0/0,""))</f>
        <v>RUN-FLMP_2022-01-10_RFR-053</v>
      </c>
      <c r="S408" s="473" t="str">
        <f t="shared" si="694"/>
        <v/>
      </c>
      <c r="T408" s="473" t="str">
        <f t="shared" si="698"/>
        <v/>
      </c>
      <c r="U408" s="275" t="str">
        <f t="array" ref="U408">IF(ISBLANK($R408), INDEX('Run Reconcile'!A$2:A2488, MATCH($B408, 'Run Reconcile'!B$2:B2488, 0)+Z408, 1), IFERROR(0/0,""))
</f>
        <v/>
      </c>
      <c r="V408" s="474" t="str">
        <f t="shared" si="5"/>
        <v>RUN-FLMP_2022-01-10_RFR-053</v>
      </c>
      <c r="Y408" s="89" t="str">
        <f t="shared" si="701"/>
        <v/>
      </c>
      <c r="Z408" s="60" t="str">
        <f t="shared" si="7"/>
        <v/>
      </c>
      <c r="AA408" s="60" t="str">
        <f t="shared" si="8"/>
        <v/>
      </c>
      <c r="AB408" s="60" t="str">
        <f t="shared" si="9"/>
        <v/>
      </c>
      <c r="AC408" s="30" t="str">
        <f t="shared" ref="AC408:AD408" si="760">IF(_xlfn.ISFORMULA(S408),IFERROR(0/0,""),TRUE)</f>
        <v/>
      </c>
      <c r="AD408" s="30" t="str">
        <f t="shared" si="760"/>
        <v/>
      </c>
      <c r="AE408" s="475" t="str">
        <f>IFERROR(__xludf.DUMMYFUNCTION("""COMPUTED_VALUE"""),"FLSP")</f>
        <v>FLSP</v>
      </c>
      <c r="AF408" s="476"/>
      <c r="AG408" s="474" t="s">
        <v>153</v>
      </c>
      <c r="AH408" s="138" t="str">
        <f t="shared" si="11"/>
        <v/>
      </c>
    </row>
    <row r="409">
      <c r="A409" s="103" t="str">
        <f>IFERROR(__xludf.DUMMYFUNCTION("""COMPUTED_VALUE"""),"FLT1578")</f>
        <v>FLT1578</v>
      </c>
      <c r="B409" s="468">
        <f>IFERROR(__xludf.DUMMYFUNCTION("""COMPUTED_VALUE"""),44571.0)</f>
        <v>44571</v>
      </c>
      <c r="C409" s="469">
        <f>IFERROR(__xludf.DUMMYFUNCTION("""COMPUTED_VALUE"""),0.3501273148148148)</f>
        <v>0.3501273148</v>
      </c>
      <c r="D409" s="103" t="str">
        <f>IFERROR(__xludf.DUMMYFUNCTION("""COMPUTED_VALUE"""),"SpFLMP170622")</f>
        <v>SpFLMP170622</v>
      </c>
      <c r="E409" s="103"/>
      <c r="F409" s="103"/>
      <c r="G409" s="103" t="str">
        <f>IFERROR(__xludf.DUMMYFUNCTION("""COMPUTED_VALUE"""),"Negative")</f>
        <v>Negative</v>
      </c>
      <c r="H409" s="131" t="str">
        <f>IFERROR(__xludf.DUMMYFUNCTION("""COMPUTED_VALUE"""),"Negative")</f>
        <v>Negative</v>
      </c>
      <c r="I409" s="468">
        <f>IFERROR(__xludf.DUMMYFUNCTION("""COMPUTED_VALUE"""),44571.0)</f>
        <v>44571</v>
      </c>
      <c r="J409" s="470">
        <f>IFERROR(__xludf.DUMMYFUNCTION("""COMPUTED_VALUE"""),0.4867939814814815)</f>
        <v>0.4867939815</v>
      </c>
      <c r="K409" s="16"/>
      <c r="L409" s="8"/>
      <c r="M409" s="69"/>
      <c r="N409" s="69">
        <f>IFERROR(__xludf.DUMMYFUNCTION("""COMPUTED_VALUE"""),2.0)</f>
        <v>2</v>
      </c>
      <c r="O409" s="69" t="str">
        <f t="shared" si="3"/>
        <v/>
      </c>
      <c r="P409" s="471">
        <f>IFERROR(__xludf.DUMMYFUNCTION("""COMPUTED_VALUE"""),0.0)</f>
        <v>0</v>
      </c>
      <c r="Q409" s="274" t="b">
        <f>VLOOKUP($B409,'Run Reconcile'!B$2:O2488,14,FALSE)</f>
        <v>1</v>
      </c>
      <c r="R409" s="472" t="str">
        <f t="array" ref="R409">IF($Q409, INDEX('Run Reconcile'!A$2:A2488,MATCH(B409,'Run Reconcile'!B$2:B2488,0),1),IFERROR(0/0,""))</f>
        <v>RUN-FLMP_2022-01-10_RFR-053</v>
      </c>
      <c r="S409" s="473" t="str">
        <f t="shared" si="694"/>
        <v/>
      </c>
      <c r="T409" s="473" t="str">
        <f t="shared" si="698"/>
        <v/>
      </c>
      <c r="U409" s="275" t="str">
        <f t="array" ref="U409">IF(ISBLANK($R409), INDEX('Run Reconcile'!A$2:A2488, MATCH($B409, 'Run Reconcile'!B$2:B2488, 0)+Z409, 1), IFERROR(0/0,""))
</f>
        <v/>
      </c>
      <c r="V409" s="474" t="str">
        <f t="shared" si="5"/>
        <v>RUN-FLMP_2022-01-10_RFR-053</v>
      </c>
      <c r="Y409" s="89" t="str">
        <f t="shared" si="701"/>
        <v/>
      </c>
      <c r="Z409" s="60" t="str">
        <f t="shared" si="7"/>
        <v/>
      </c>
      <c r="AA409" s="60" t="str">
        <f t="shared" si="8"/>
        <v/>
      </c>
      <c r="AB409" s="60" t="str">
        <f t="shared" si="9"/>
        <v/>
      </c>
      <c r="AC409" s="30" t="str">
        <f t="shared" ref="AC409:AD409" si="761">IF(_xlfn.ISFORMULA(S409),IFERROR(0/0,""),TRUE)</f>
        <v/>
      </c>
      <c r="AD409" s="30" t="str">
        <f t="shared" si="761"/>
        <v/>
      </c>
      <c r="AE409" s="475" t="str">
        <f>IFERROR(__xludf.DUMMYFUNCTION("""COMPUTED_VALUE"""),"CRLN")</f>
        <v>CRLN</v>
      </c>
      <c r="AF409" s="476"/>
      <c r="AG409" s="474" t="s">
        <v>153</v>
      </c>
      <c r="AH409" s="138" t="str">
        <f t="shared" si="11"/>
        <v/>
      </c>
    </row>
    <row r="410">
      <c r="A410" s="103" t="str">
        <f>IFERROR(__xludf.DUMMYFUNCTION("""COMPUTED_VALUE"""),"FLT1106")</f>
        <v>FLT1106</v>
      </c>
      <c r="B410" s="468">
        <f>IFERROR(__xludf.DUMMYFUNCTION("""COMPUTED_VALUE"""),44571.0)</f>
        <v>44571</v>
      </c>
      <c r="C410" s="469">
        <f>IFERROR(__xludf.DUMMYFUNCTION("""COMPUTED_VALUE"""),0.3503935185185185)</f>
        <v>0.3503935185</v>
      </c>
      <c r="D410" s="103" t="str">
        <f>IFERROR(__xludf.DUMMYFUNCTION("""COMPUTED_VALUE"""),"SpFLMP309785")</f>
        <v>SpFLMP309785</v>
      </c>
      <c r="E410" s="103"/>
      <c r="F410" s="103"/>
      <c r="G410" s="103" t="str">
        <f>IFERROR(__xludf.DUMMYFUNCTION("""COMPUTED_VALUE"""),"Negative")</f>
        <v>Negative</v>
      </c>
      <c r="H410" s="131" t="str">
        <f>IFERROR(__xludf.DUMMYFUNCTION("""COMPUTED_VALUE"""),"Negative")</f>
        <v>Negative</v>
      </c>
      <c r="I410" s="468">
        <f>IFERROR(__xludf.DUMMYFUNCTION("""COMPUTED_VALUE"""),44571.0)</f>
        <v>44571</v>
      </c>
      <c r="J410" s="470">
        <f>IFERROR(__xludf.DUMMYFUNCTION("""COMPUTED_VALUE"""),0.5280439814814815)</f>
        <v>0.5280439815</v>
      </c>
      <c r="K410" s="16"/>
      <c r="L410" s="8"/>
      <c r="M410" s="69"/>
      <c r="N410" s="69">
        <f>IFERROR(__xludf.DUMMYFUNCTION("""COMPUTED_VALUE"""),4.0)</f>
        <v>4</v>
      </c>
      <c r="O410" s="69" t="str">
        <f t="shared" si="3"/>
        <v/>
      </c>
      <c r="P410" s="471">
        <f>IFERROR(__xludf.DUMMYFUNCTION("""COMPUTED_VALUE"""),0.0)</f>
        <v>0</v>
      </c>
      <c r="Q410" s="274" t="b">
        <f>VLOOKUP($B410,'Run Reconcile'!B$2:O2488,14,FALSE)</f>
        <v>1</v>
      </c>
      <c r="R410" s="472" t="str">
        <f t="array" ref="R410">IF($Q410, INDEX('Run Reconcile'!A$2:A2488,MATCH(B410,'Run Reconcile'!B$2:B2488,0),1),IFERROR(0/0,""))</f>
        <v>RUN-FLMP_2022-01-10_RFR-053</v>
      </c>
      <c r="S410" s="473" t="str">
        <f t="shared" si="694"/>
        <v/>
      </c>
      <c r="T410" s="473" t="str">
        <f t="shared" si="698"/>
        <v/>
      </c>
      <c r="U410" s="275" t="str">
        <f t="array" ref="U410">IF(ISBLANK($R410), INDEX('Run Reconcile'!A$2:A2488, MATCH($B410, 'Run Reconcile'!B$2:B2488, 0)+Z410, 1), IFERROR(0/0,""))
</f>
        <v/>
      </c>
      <c r="V410" s="474" t="str">
        <f t="shared" si="5"/>
        <v>RUN-FLMP_2022-01-10_RFR-053</v>
      </c>
      <c r="Y410" s="89" t="str">
        <f t="shared" si="701"/>
        <v/>
      </c>
      <c r="Z410" s="60" t="str">
        <f t="shared" si="7"/>
        <v/>
      </c>
      <c r="AA410" s="60" t="str">
        <f t="shared" si="8"/>
        <v/>
      </c>
      <c r="AB410" s="60" t="str">
        <f t="shared" si="9"/>
        <v/>
      </c>
      <c r="AC410" s="30" t="str">
        <f t="shared" ref="AC410:AD410" si="762">IF(_xlfn.ISFORMULA(S410),IFERROR(0/0,""),TRUE)</f>
        <v/>
      </c>
      <c r="AD410" s="30" t="str">
        <f t="shared" si="762"/>
        <v/>
      </c>
      <c r="AE410" s="475" t="str">
        <f>IFERROR(__xludf.DUMMYFUNCTION("""COMPUTED_VALUE"""),"CRLN")</f>
        <v>CRLN</v>
      </c>
      <c r="AF410" s="476"/>
      <c r="AG410" s="474" t="s">
        <v>153</v>
      </c>
      <c r="AH410" s="138" t="str">
        <f t="shared" si="11"/>
        <v/>
      </c>
    </row>
    <row r="411">
      <c r="A411" s="103" t="str">
        <f>IFERROR(__xludf.DUMMYFUNCTION("""COMPUTED_VALUE"""),"FLT1435")</f>
        <v>FLT1435</v>
      </c>
      <c r="B411" s="468">
        <f>IFERROR(__xludf.DUMMYFUNCTION("""COMPUTED_VALUE"""),44571.0)</f>
        <v>44571</v>
      </c>
      <c r="C411" s="469">
        <f>IFERROR(__xludf.DUMMYFUNCTION("""COMPUTED_VALUE"""),0.3532060185185185)</f>
        <v>0.3532060185</v>
      </c>
      <c r="D411" s="103" t="str">
        <f>IFERROR(__xludf.DUMMYFUNCTION("""COMPUTED_VALUE"""),"SpFLMP604497")</f>
        <v>SpFLMP604497</v>
      </c>
      <c r="E411" s="103"/>
      <c r="F411" s="103"/>
      <c r="G411" s="103" t="str">
        <f>IFERROR(__xludf.DUMMYFUNCTION("""COMPUTED_VALUE"""),"Negative")</f>
        <v>Negative</v>
      </c>
      <c r="H411" s="131" t="str">
        <f>IFERROR(__xludf.DUMMYFUNCTION("""COMPUTED_VALUE"""),"Negative")</f>
        <v>Negative</v>
      </c>
      <c r="I411" s="468">
        <f>IFERROR(__xludf.DUMMYFUNCTION("""COMPUTED_VALUE"""),44571.0)</f>
        <v>44571</v>
      </c>
      <c r="J411" s="470">
        <f>IFERROR(__xludf.DUMMYFUNCTION("""COMPUTED_VALUE"""),0.48680555555555555)</f>
        <v>0.4868055556</v>
      </c>
      <c r="K411" s="16"/>
      <c r="L411" s="8"/>
      <c r="M411" s="69"/>
      <c r="N411" s="69">
        <f>IFERROR(__xludf.DUMMYFUNCTION("""COMPUTED_VALUE"""),4.0)</f>
        <v>4</v>
      </c>
      <c r="O411" s="69" t="str">
        <f t="shared" si="3"/>
        <v/>
      </c>
      <c r="P411" s="471">
        <f>IFERROR(__xludf.DUMMYFUNCTION("""COMPUTED_VALUE"""),0.0)</f>
        <v>0</v>
      </c>
      <c r="Q411" s="274" t="b">
        <f>VLOOKUP($B411,'Run Reconcile'!B$2:O2488,14,FALSE)</f>
        <v>1</v>
      </c>
      <c r="R411" s="472" t="str">
        <f t="array" ref="R411">IF($Q411, INDEX('Run Reconcile'!A$2:A2488,MATCH(B411,'Run Reconcile'!B$2:B2488,0),1),IFERROR(0/0,""))</f>
        <v>RUN-FLMP_2022-01-10_RFR-053</v>
      </c>
      <c r="S411" s="473" t="str">
        <f t="shared" si="694"/>
        <v/>
      </c>
      <c r="T411" s="473" t="str">
        <f t="shared" si="698"/>
        <v/>
      </c>
      <c r="U411" s="275" t="str">
        <f t="array" ref="U411">IF(ISBLANK($R411), INDEX('Run Reconcile'!A$2:A2488, MATCH($B411, 'Run Reconcile'!B$2:B2488, 0)+Z411, 1), IFERROR(0/0,""))
</f>
        <v/>
      </c>
      <c r="V411" s="474" t="str">
        <f t="shared" si="5"/>
        <v>RUN-FLMP_2022-01-10_RFR-053</v>
      </c>
      <c r="Y411" s="89" t="str">
        <f t="shared" si="701"/>
        <v/>
      </c>
      <c r="Z411" s="60" t="str">
        <f t="shared" si="7"/>
        <v/>
      </c>
      <c r="AA411" s="60" t="str">
        <f t="shared" si="8"/>
        <v/>
      </c>
      <c r="AB411" s="60" t="str">
        <f t="shared" si="9"/>
        <v/>
      </c>
      <c r="AC411" s="30" t="str">
        <f t="shared" ref="AC411:AD411" si="763">IF(_xlfn.ISFORMULA(S411),IFERROR(0/0,""),TRUE)</f>
        <v/>
      </c>
      <c r="AD411" s="30" t="str">
        <f t="shared" si="763"/>
        <v/>
      </c>
      <c r="AE411" s="475" t="str">
        <f>IFERROR(__xludf.DUMMYFUNCTION("""COMPUTED_VALUE"""),"CRLN")</f>
        <v>CRLN</v>
      </c>
      <c r="AF411" s="476"/>
      <c r="AG411" s="474" t="s">
        <v>153</v>
      </c>
      <c r="AH411" s="138" t="str">
        <f t="shared" si="11"/>
        <v/>
      </c>
    </row>
    <row r="412">
      <c r="A412" s="103" t="str">
        <f>IFERROR(__xludf.DUMMYFUNCTION("""COMPUTED_VALUE"""),"FLT1161")</f>
        <v>FLT1161</v>
      </c>
      <c r="B412" s="468">
        <f>IFERROR(__xludf.DUMMYFUNCTION("""COMPUTED_VALUE"""),44571.0)</f>
        <v>44571</v>
      </c>
      <c r="C412" s="469">
        <f>IFERROR(__xludf.DUMMYFUNCTION("""COMPUTED_VALUE"""),0.3553935185185185)</f>
        <v>0.3553935185</v>
      </c>
      <c r="D412" s="103" t="str">
        <f>IFERROR(__xludf.DUMMYFUNCTION("""COMPUTED_VALUE"""),"SpFLMP600756")</f>
        <v>SpFLMP600756</v>
      </c>
      <c r="E412" s="103"/>
      <c r="F412" s="103"/>
      <c r="G412" s="103" t="str">
        <f>IFERROR(__xludf.DUMMYFUNCTION("""COMPUTED_VALUE"""),"Positive")</f>
        <v>Positive</v>
      </c>
      <c r="H412" s="505" t="str">
        <f>IFERROR(__xludf.DUMMYFUNCTION("""COMPUTED_VALUE"""),"Positive")</f>
        <v>Positive</v>
      </c>
      <c r="I412" s="468">
        <f>IFERROR(__xludf.DUMMYFUNCTION("""COMPUTED_VALUE"""),44571.0)</f>
        <v>44571</v>
      </c>
      <c r="J412" s="470">
        <f>IFERROR(__xludf.DUMMYFUNCTION("""COMPUTED_VALUE"""),0.4724537037037037)</f>
        <v>0.4724537037</v>
      </c>
      <c r="K412" s="16"/>
      <c r="L412" s="8"/>
      <c r="M412" s="69"/>
      <c r="N412" s="69">
        <f>IFERROR(__xludf.DUMMYFUNCTION("""COMPUTED_VALUE"""),3.0)</f>
        <v>3</v>
      </c>
      <c r="O412" s="69" t="str">
        <f t="shared" si="3"/>
        <v/>
      </c>
      <c r="P412" s="471">
        <f>IFERROR(__xludf.DUMMYFUNCTION("""COMPUTED_VALUE"""),0.0)</f>
        <v>0</v>
      </c>
      <c r="Q412" s="274" t="b">
        <f>VLOOKUP($B412,'Run Reconcile'!B$2:O2488,14,FALSE)</f>
        <v>1</v>
      </c>
      <c r="R412" s="472" t="str">
        <f t="array" ref="R412">IF($Q412, INDEX('Run Reconcile'!A$2:A2488,MATCH(B412,'Run Reconcile'!B$2:B2488,0),1),IFERROR(0/0,""))</f>
        <v>RUN-FLMP_2022-01-10_RFR-053</v>
      </c>
      <c r="S412" s="473" t="str">
        <f t="shared" si="694"/>
        <v/>
      </c>
      <c r="T412" s="473" t="str">
        <f t="shared" si="698"/>
        <v/>
      </c>
      <c r="U412" s="275" t="str">
        <f t="array" ref="U412">IF(ISBLANK($R412), INDEX('Run Reconcile'!A$2:A2488, MATCH($B412, 'Run Reconcile'!B$2:B2488, 0)+Z412, 1), IFERROR(0/0,""))
</f>
        <v/>
      </c>
      <c r="V412" s="474" t="str">
        <f t="shared" si="5"/>
        <v>RUN-FLMP_2022-01-10_RFR-053</v>
      </c>
      <c r="Y412" s="89" t="str">
        <f t="shared" si="701"/>
        <v/>
      </c>
      <c r="Z412" s="60" t="str">
        <f t="shared" si="7"/>
        <v/>
      </c>
      <c r="AA412" s="60" t="str">
        <f t="shared" si="8"/>
        <v/>
      </c>
      <c r="AB412" s="60" t="str">
        <f t="shared" si="9"/>
        <v/>
      </c>
      <c r="AC412" s="30" t="str">
        <f t="shared" ref="AC412:AD412" si="764">IF(_xlfn.ISFORMULA(S412),IFERROR(0/0,""),TRUE)</f>
        <v/>
      </c>
      <c r="AD412" s="30" t="str">
        <f t="shared" si="764"/>
        <v/>
      </c>
      <c r="AE412" s="475" t="str">
        <f>IFERROR(__xludf.DUMMYFUNCTION("""COMPUTED_VALUE"""),"CRLN")</f>
        <v>CRLN</v>
      </c>
      <c r="AF412" s="476"/>
      <c r="AG412" s="474" t="s">
        <v>153</v>
      </c>
      <c r="AH412" s="138" t="str">
        <f t="shared" si="11"/>
        <v/>
      </c>
    </row>
    <row r="413">
      <c r="A413" s="103" t="str">
        <f>IFERROR(__xludf.DUMMYFUNCTION("""COMPUTED_VALUE"""),"FLT1405")</f>
        <v>FLT1405</v>
      </c>
      <c r="B413" s="468">
        <f>IFERROR(__xludf.DUMMYFUNCTION("""COMPUTED_VALUE"""),44571.0)</f>
        <v>44571</v>
      </c>
      <c r="C413" s="469">
        <f>IFERROR(__xludf.DUMMYFUNCTION("""COMPUTED_VALUE"""),0.3556597222222222)</f>
        <v>0.3556597222</v>
      </c>
      <c r="D413" s="103" t="str">
        <f>IFERROR(__xludf.DUMMYFUNCTION("""COMPUTED_VALUE"""),"SpFLMP946259")</f>
        <v>SpFLMP946259</v>
      </c>
      <c r="E413" s="103"/>
      <c r="F413" s="103"/>
      <c r="G413" s="103" t="str">
        <f>IFERROR(__xludf.DUMMYFUNCTION("""COMPUTED_VALUE"""),"Negative")</f>
        <v>Negative</v>
      </c>
      <c r="H413" s="131" t="str">
        <f>IFERROR(__xludf.DUMMYFUNCTION("""COMPUTED_VALUE"""),"Negative")</f>
        <v>Negative</v>
      </c>
      <c r="I413" s="468">
        <f>IFERROR(__xludf.DUMMYFUNCTION("""COMPUTED_VALUE"""),44571.0)</f>
        <v>44571</v>
      </c>
      <c r="J413" s="470">
        <f>IFERROR(__xludf.DUMMYFUNCTION("""COMPUTED_VALUE"""),0.48680555555555555)</f>
        <v>0.4868055556</v>
      </c>
      <c r="K413" s="16"/>
      <c r="L413" s="8"/>
      <c r="M413" s="69"/>
      <c r="N413" s="69">
        <f>IFERROR(__xludf.DUMMYFUNCTION("""COMPUTED_VALUE"""),2.0)</f>
        <v>2</v>
      </c>
      <c r="O413" s="69" t="str">
        <f t="shared" si="3"/>
        <v/>
      </c>
      <c r="P413" s="471">
        <f>IFERROR(__xludf.DUMMYFUNCTION("""COMPUTED_VALUE"""),0.0)</f>
        <v>0</v>
      </c>
      <c r="Q413" s="274" t="b">
        <f>VLOOKUP($B413,'Run Reconcile'!B$2:O2488,14,FALSE)</f>
        <v>1</v>
      </c>
      <c r="R413" s="472" t="str">
        <f t="array" ref="R413">IF($Q413, INDEX('Run Reconcile'!A$2:A2488,MATCH(B413,'Run Reconcile'!B$2:B2488,0),1),IFERROR(0/0,""))</f>
        <v>RUN-FLMP_2022-01-10_RFR-053</v>
      </c>
      <c r="S413" s="473" t="str">
        <f t="shared" si="694"/>
        <v/>
      </c>
      <c r="T413" s="473" t="str">
        <f t="shared" si="698"/>
        <v/>
      </c>
      <c r="U413" s="275" t="str">
        <f t="array" ref="U413">IF(ISBLANK($R413), INDEX('Run Reconcile'!A$2:A2488, MATCH($B413, 'Run Reconcile'!B$2:B2488, 0)+Z413, 1), IFERROR(0/0,""))
</f>
        <v/>
      </c>
      <c r="V413" s="474" t="str">
        <f t="shared" si="5"/>
        <v>RUN-FLMP_2022-01-10_RFR-053</v>
      </c>
      <c r="Y413" s="89" t="str">
        <f t="shared" si="701"/>
        <v/>
      </c>
      <c r="Z413" s="60" t="str">
        <f t="shared" si="7"/>
        <v/>
      </c>
      <c r="AA413" s="60" t="str">
        <f t="shared" si="8"/>
        <v/>
      </c>
      <c r="AB413" s="60" t="str">
        <f t="shared" si="9"/>
        <v/>
      </c>
      <c r="AC413" s="30" t="str">
        <f t="shared" ref="AC413:AD413" si="765">IF(_xlfn.ISFORMULA(S413),IFERROR(0/0,""),TRUE)</f>
        <v/>
      </c>
      <c r="AD413" s="30" t="str">
        <f t="shared" si="765"/>
        <v/>
      </c>
      <c r="AE413" s="475" t="str">
        <f>IFERROR(__xludf.DUMMYFUNCTION("""COMPUTED_VALUE"""),"CRLN")</f>
        <v>CRLN</v>
      </c>
      <c r="AF413" s="476"/>
      <c r="AG413" s="474" t="s">
        <v>153</v>
      </c>
      <c r="AH413" s="138" t="str">
        <f t="shared" si="11"/>
        <v/>
      </c>
    </row>
    <row r="414">
      <c r="A414" s="103" t="str">
        <f>IFERROR(__xludf.DUMMYFUNCTION("""COMPUTED_VALUE"""),"FLE258")</f>
        <v>FLE258</v>
      </c>
      <c r="B414" s="468">
        <f>IFERROR(__xludf.DUMMYFUNCTION("""COMPUTED_VALUE"""),44571.0)</f>
        <v>44571</v>
      </c>
      <c r="C414" s="469">
        <f>IFERROR(__xludf.DUMMYFUNCTION("""COMPUTED_VALUE"""),0.3584375)</f>
        <v>0.3584375</v>
      </c>
      <c r="D414" s="103" t="str">
        <f>IFERROR(__xludf.DUMMYFUNCTION("""COMPUTED_VALUE"""),"SpFLMP342787")</f>
        <v>SpFLMP342787</v>
      </c>
      <c r="E414" s="103"/>
      <c r="F414" s="103"/>
      <c r="G414" s="103" t="str">
        <f>IFERROR(__xludf.DUMMYFUNCTION("""COMPUTED_VALUE"""),"Positive")</f>
        <v>Positive</v>
      </c>
      <c r="H414" s="505" t="str">
        <f>IFERROR(__xludf.DUMMYFUNCTION("""COMPUTED_VALUE"""),"Positive")</f>
        <v>Positive</v>
      </c>
      <c r="I414" s="468">
        <f>IFERROR(__xludf.DUMMYFUNCTION("""COMPUTED_VALUE"""),44571.0)</f>
        <v>44571</v>
      </c>
      <c r="J414" s="470">
        <f>IFERROR(__xludf.DUMMYFUNCTION("""COMPUTED_VALUE"""),0.4724652777777778)</f>
        <v>0.4724652778</v>
      </c>
      <c r="K414" s="16"/>
      <c r="L414" s="8"/>
      <c r="M414" s="69"/>
      <c r="N414" s="69">
        <f>IFERROR(__xludf.DUMMYFUNCTION("""COMPUTED_VALUE"""),1.0)</f>
        <v>1</v>
      </c>
      <c r="O414" s="69" t="str">
        <f t="shared" si="3"/>
        <v/>
      </c>
      <c r="P414" s="471">
        <f>IFERROR(__xludf.DUMMYFUNCTION("""COMPUTED_VALUE"""),0.0)</f>
        <v>0</v>
      </c>
      <c r="Q414" s="274" t="b">
        <f>VLOOKUP($B414,'Run Reconcile'!B$2:O2488,14,FALSE)</f>
        <v>1</v>
      </c>
      <c r="R414" s="472" t="str">
        <f t="array" ref="R414">IF($Q414, INDEX('Run Reconcile'!A$2:A2488,MATCH(B414,'Run Reconcile'!B$2:B2488,0),1),IFERROR(0/0,""))</f>
        <v>RUN-FLMP_2022-01-10_RFR-053</v>
      </c>
      <c r="S414" s="473" t="str">
        <f t="shared" si="694"/>
        <v/>
      </c>
      <c r="T414" s="473" t="str">
        <f t="shared" si="698"/>
        <v/>
      </c>
      <c r="U414" s="275" t="str">
        <f t="array" ref="U414">IF(ISBLANK($R414), INDEX('Run Reconcile'!A$2:A2488, MATCH($B414, 'Run Reconcile'!B$2:B2488, 0)+Z414, 1), IFERROR(0/0,""))
</f>
        <v/>
      </c>
      <c r="V414" s="474" t="str">
        <f t="shared" si="5"/>
        <v>RUN-FLMP_2022-01-10_RFR-053</v>
      </c>
      <c r="Y414" s="89" t="str">
        <f t="shared" si="701"/>
        <v/>
      </c>
      <c r="Z414" s="60" t="str">
        <f t="shared" si="7"/>
        <v/>
      </c>
      <c r="AA414" s="60" t="str">
        <f t="shared" si="8"/>
        <v/>
      </c>
      <c r="AB414" s="60" t="str">
        <f t="shared" si="9"/>
        <v/>
      </c>
      <c r="AC414" s="30" t="str">
        <f t="shared" ref="AC414:AD414" si="766">IF(_xlfn.ISFORMULA(S414),IFERROR(0/0,""),TRUE)</f>
        <v/>
      </c>
      <c r="AD414" s="30" t="str">
        <f t="shared" si="766"/>
        <v/>
      </c>
      <c r="AE414" s="475" t="str">
        <f>IFERROR(__xludf.DUMMYFUNCTION("""COMPUTED_VALUE"""),"FLSP")</f>
        <v>FLSP</v>
      </c>
      <c r="AF414" s="476"/>
      <c r="AG414" s="474" t="s">
        <v>153</v>
      </c>
      <c r="AH414" s="138" t="str">
        <f t="shared" si="11"/>
        <v/>
      </c>
    </row>
    <row r="415">
      <c r="A415" s="103" t="str">
        <f>IFERROR(__xludf.DUMMYFUNCTION("""COMPUTED_VALUE"""),"FLT1165")</f>
        <v>FLT1165</v>
      </c>
      <c r="B415" s="468">
        <f>IFERROR(__xludf.DUMMYFUNCTION("""COMPUTED_VALUE"""),44571.0)</f>
        <v>44571</v>
      </c>
      <c r="C415" s="469">
        <f>IFERROR(__xludf.DUMMYFUNCTION("""COMPUTED_VALUE"""),0.35898148148148146)</f>
        <v>0.3589814815</v>
      </c>
      <c r="D415" s="103" t="str">
        <f>IFERROR(__xludf.DUMMYFUNCTION("""COMPUTED_VALUE"""),"SpFLMP946259")</f>
        <v>SpFLMP946259</v>
      </c>
      <c r="E415" s="103"/>
      <c r="F415" s="103"/>
      <c r="G415" s="103" t="str">
        <f>IFERROR(__xludf.DUMMYFUNCTION("""COMPUTED_VALUE"""),"Negative")</f>
        <v>Negative</v>
      </c>
      <c r="H415" s="131" t="str">
        <f>IFERROR(__xludf.DUMMYFUNCTION("""COMPUTED_VALUE"""),"Negative")</f>
        <v>Negative</v>
      </c>
      <c r="I415" s="468">
        <f>IFERROR(__xludf.DUMMYFUNCTION("""COMPUTED_VALUE"""),44571.0)</f>
        <v>44571</v>
      </c>
      <c r="J415" s="470">
        <f>IFERROR(__xludf.DUMMYFUNCTION("""COMPUTED_VALUE"""),0.507199074074074)</f>
        <v>0.5071990741</v>
      </c>
      <c r="K415" s="16"/>
      <c r="L415" s="8"/>
      <c r="M415" s="69"/>
      <c r="N415" s="69">
        <f>IFERROR(__xludf.DUMMYFUNCTION("""COMPUTED_VALUE"""),2.0)</f>
        <v>2</v>
      </c>
      <c r="O415" s="69" t="str">
        <f t="shared" si="3"/>
        <v/>
      </c>
      <c r="P415" s="471">
        <f>IFERROR(__xludf.DUMMYFUNCTION("""COMPUTED_VALUE"""),0.0)</f>
        <v>0</v>
      </c>
      <c r="Q415" s="274" t="b">
        <f>VLOOKUP($B415,'Run Reconcile'!B$2:O2488,14,FALSE)</f>
        <v>1</v>
      </c>
      <c r="R415" s="472" t="str">
        <f t="array" ref="R415">IF($Q415, INDEX('Run Reconcile'!A$2:A2488,MATCH(B415,'Run Reconcile'!B$2:B2488,0),1),IFERROR(0/0,""))</f>
        <v>RUN-FLMP_2022-01-10_RFR-053</v>
      </c>
      <c r="S415" s="473" t="str">
        <f t="shared" si="694"/>
        <v/>
      </c>
      <c r="T415" s="473" t="str">
        <f t="shared" si="698"/>
        <v/>
      </c>
      <c r="U415" s="275" t="str">
        <f t="array" ref="U415">IF(ISBLANK($R415), INDEX('Run Reconcile'!A$2:A2488, MATCH($B415, 'Run Reconcile'!B$2:B2488, 0)+Z415, 1), IFERROR(0/0,""))
</f>
        <v/>
      </c>
      <c r="V415" s="474" t="str">
        <f t="shared" si="5"/>
        <v>RUN-FLMP_2022-01-10_RFR-053</v>
      </c>
      <c r="Y415" s="89" t="str">
        <f t="shared" si="701"/>
        <v/>
      </c>
      <c r="Z415" s="60" t="str">
        <f t="shared" si="7"/>
        <v/>
      </c>
      <c r="AA415" s="60" t="str">
        <f t="shared" si="8"/>
        <v/>
      </c>
      <c r="AB415" s="60" t="str">
        <f t="shared" si="9"/>
        <v/>
      </c>
      <c r="AC415" s="30" t="str">
        <f t="shared" ref="AC415:AD415" si="767">IF(_xlfn.ISFORMULA(S415),IFERROR(0/0,""),TRUE)</f>
        <v/>
      </c>
      <c r="AD415" s="30" t="str">
        <f t="shared" si="767"/>
        <v/>
      </c>
      <c r="AE415" s="475" t="str">
        <f>IFERROR(__xludf.DUMMYFUNCTION("""COMPUTED_VALUE"""),"CRLN")</f>
        <v>CRLN</v>
      </c>
      <c r="AF415" s="476"/>
      <c r="AG415" s="474" t="s">
        <v>153</v>
      </c>
      <c r="AH415" s="138" t="str">
        <f t="shared" si="11"/>
        <v/>
      </c>
    </row>
    <row r="416">
      <c r="A416" s="103" t="str">
        <f>IFERROR(__xludf.DUMMYFUNCTION("""COMPUTED_VALUE"""),"FLB5872")</f>
        <v>FLB5872</v>
      </c>
      <c r="B416" s="468">
        <f>IFERROR(__xludf.DUMMYFUNCTION("""COMPUTED_VALUE"""),44571.0)</f>
        <v>44571</v>
      </c>
      <c r="C416" s="469">
        <f>IFERROR(__xludf.DUMMYFUNCTION("""COMPUTED_VALUE"""),0.35922453703703705)</f>
        <v>0.359224537</v>
      </c>
      <c r="D416" s="103" t="str">
        <f>IFERROR(__xludf.DUMMYFUNCTION("""COMPUTED_VALUE"""),"SpFLMP737812")</f>
        <v>SpFLMP737812</v>
      </c>
      <c r="E416" s="103"/>
      <c r="F416" s="103"/>
      <c r="G416" s="103" t="str">
        <f>IFERROR(__xludf.DUMMYFUNCTION("""COMPUTED_VALUE"""),"Negative")</f>
        <v>Negative</v>
      </c>
      <c r="H416" s="131" t="str">
        <f>IFERROR(__xludf.DUMMYFUNCTION("""COMPUTED_VALUE"""),"Negative")</f>
        <v>Negative</v>
      </c>
      <c r="I416" s="468">
        <f>IFERROR(__xludf.DUMMYFUNCTION("""COMPUTED_VALUE"""),44571.0)</f>
        <v>44571</v>
      </c>
      <c r="J416" s="470">
        <f>IFERROR(__xludf.DUMMYFUNCTION("""COMPUTED_VALUE"""),0.48680555555555555)</f>
        <v>0.4868055556</v>
      </c>
      <c r="K416" s="16"/>
      <c r="L416" s="8"/>
      <c r="M416" s="69"/>
      <c r="N416" s="69">
        <f>IFERROR(__xludf.DUMMYFUNCTION("""COMPUTED_VALUE"""),2.0)</f>
        <v>2</v>
      </c>
      <c r="O416" s="69" t="str">
        <f t="shared" si="3"/>
        <v/>
      </c>
      <c r="P416" s="471">
        <f>IFERROR(__xludf.DUMMYFUNCTION("""COMPUTED_VALUE"""),0.0)</f>
        <v>0</v>
      </c>
      <c r="Q416" s="274" t="b">
        <f>VLOOKUP($B416,'Run Reconcile'!B$2:O2488,14,FALSE)</f>
        <v>1</v>
      </c>
      <c r="R416" s="472" t="str">
        <f t="array" ref="R416">IF($Q416, INDEX('Run Reconcile'!A$2:A2488,MATCH(B416,'Run Reconcile'!B$2:B2488,0),1),IFERROR(0/0,""))</f>
        <v>RUN-FLMP_2022-01-10_RFR-053</v>
      </c>
      <c r="S416" s="473" t="str">
        <f t="shared" si="694"/>
        <v/>
      </c>
      <c r="T416" s="473" t="str">
        <f t="shared" si="698"/>
        <v/>
      </c>
      <c r="U416" s="275" t="str">
        <f t="array" ref="U416">IF(ISBLANK($R416), INDEX('Run Reconcile'!A$2:A2488, MATCH($B416, 'Run Reconcile'!B$2:B2488, 0)+Z416, 1), IFERROR(0/0,""))
</f>
        <v/>
      </c>
      <c r="V416" s="474" t="str">
        <f t="shared" si="5"/>
        <v>RUN-FLMP_2022-01-10_RFR-053</v>
      </c>
      <c r="Y416" s="89" t="str">
        <f t="shared" si="701"/>
        <v/>
      </c>
      <c r="Z416" s="60" t="str">
        <f t="shared" si="7"/>
        <v/>
      </c>
      <c r="AA416" s="60" t="str">
        <f t="shared" si="8"/>
        <v/>
      </c>
      <c r="AB416" s="60" t="str">
        <f t="shared" si="9"/>
        <v/>
      </c>
      <c r="AC416" s="30" t="str">
        <f t="shared" ref="AC416:AD416" si="768">IF(_xlfn.ISFORMULA(S416),IFERROR(0/0,""),TRUE)</f>
        <v/>
      </c>
      <c r="AD416" s="30" t="str">
        <f t="shared" si="768"/>
        <v/>
      </c>
      <c r="AE416" s="475" t="str">
        <f>IFERROR(__xludf.DUMMYFUNCTION("""COMPUTED_VALUE"""),"CRLN")</f>
        <v>CRLN</v>
      </c>
      <c r="AF416" s="476"/>
      <c r="AG416" s="474" t="s">
        <v>153</v>
      </c>
      <c r="AH416" s="138" t="str">
        <f t="shared" si="11"/>
        <v/>
      </c>
    </row>
    <row r="417">
      <c r="A417" s="103" t="str">
        <f>IFERROR(__xludf.DUMMYFUNCTION("""COMPUTED_VALUE"""),"FLE237")</f>
        <v>FLE237</v>
      </c>
      <c r="B417" s="468">
        <f>IFERROR(__xludf.DUMMYFUNCTION("""COMPUTED_VALUE"""),44571.0)</f>
        <v>44571</v>
      </c>
      <c r="C417" s="469">
        <f>IFERROR(__xludf.DUMMYFUNCTION("""COMPUTED_VALUE"""),0.368275462962963)</f>
        <v>0.368275463</v>
      </c>
      <c r="D417" s="103" t="str">
        <f>IFERROR(__xludf.DUMMYFUNCTION("""COMPUTED_VALUE"""),"SpFLMP496039")</f>
        <v>SpFLMP496039</v>
      </c>
      <c r="E417" s="103"/>
      <c r="F417" s="103"/>
      <c r="G417" s="103" t="str">
        <f>IFERROR(__xludf.DUMMYFUNCTION("""COMPUTED_VALUE"""),"Negative")</f>
        <v>Negative</v>
      </c>
      <c r="H417" s="131" t="str">
        <f>IFERROR(__xludf.DUMMYFUNCTION("""COMPUTED_VALUE"""),"Negative")</f>
        <v>Negative</v>
      </c>
      <c r="I417" s="468">
        <f>IFERROR(__xludf.DUMMYFUNCTION("""COMPUTED_VALUE"""),44571.0)</f>
        <v>44571</v>
      </c>
      <c r="J417" s="470">
        <f>IFERROR(__xludf.DUMMYFUNCTION("""COMPUTED_VALUE"""),0.48680555555555555)</f>
        <v>0.4868055556</v>
      </c>
      <c r="K417" s="16"/>
      <c r="L417" s="8"/>
      <c r="M417" s="69"/>
      <c r="N417" s="69">
        <f>IFERROR(__xludf.DUMMYFUNCTION("""COMPUTED_VALUE"""),1.0)</f>
        <v>1</v>
      </c>
      <c r="O417" s="69" t="str">
        <f t="shared" si="3"/>
        <v/>
      </c>
      <c r="P417" s="471">
        <f>IFERROR(__xludf.DUMMYFUNCTION("""COMPUTED_VALUE"""),0.0)</f>
        <v>0</v>
      </c>
      <c r="Q417" s="274" t="b">
        <f>VLOOKUP($B417,'Run Reconcile'!B$2:O2488,14,FALSE)</f>
        <v>1</v>
      </c>
      <c r="R417" s="472" t="str">
        <f t="array" ref="R417">IF($Q417, INDEX('Run Reconcile'!A$2:A2488,MATCH(B417,'Run Reconcile'!B$2:B2488,0),1),IFERROR(0/0,""))</f>
        <v>RUN-FLMP_2022-01-10_RFR-053</v>
      </c>
      <c r="S417" s="473" t="str">
        <f t="shared" si="694"/>
        <v/>
      </c>
      <c r="T417" s="473" t="str">
        <f t="shared" si="698"/>
        <v/>
      </c>
      <c r="U417" s="275" t="str">
        <f t="array" ref="U417">IF(ISBLANK($R417), INDEX('Run Reconcile'!A$2:A2488, MATCH($B417, 'Run Reconcile'!B$2:B2488, 0)+Z417, 1), IFERROR(0/0,""))
</f>
        <v/>
      </c>
      <c r="V417" s="474" t="str">
        <f t="shared" si="5"/>
        <v>RUN-FLMP_2022-01-10_RFR-053</v>
      </c>
      <c r="Y417" s="89" t="str">
        <f t="shared" si="701"/>
        <v/>
      </c>
      <c r="Z417" s="60" t="str">
        <f t="shared" si="7"/>
        <v/>
      </c>
      <c r="AA417" s="60" t="str">
        <f t="shared" si="8"/>
        <v/>
      </c>
      <c r="AB417" s="60" t="str">
        <f t="shared" si="9"/>
        <v/>
      </c>
      <c r="AC417" s="30" t="str">
        <f t="shared" ref="AC417:AD417" si="769">IF(_xlfn.ISFORMULA(S417),IFERROR(0/0,""),TRUE)</f>
        <v/>
      </c>
      <c r="AD417" s="30" t="str">
        <f t="shared" si="769"/>
        <v/>
      </c>
      <c r="AE417" s="475" t="str">
        <f>IFERROR(__xludf.DUMMYFUNCTION("""COMPUTED_VALUE"""),"CRLN")</f>
        <v>CRLN</v>
      </c>
      <c r="AF417" s="476"/>
      <c r="AG417" s="474" t="s">
        <v>153</v>
      </c>
      <c r="AH417" s="138" t="str">
        <f t="shared" si="11"/>
        <v/>
      </c>
    </row>
    <row r="418">
      <c r="A418" s="103" t="str">
        <f>IFERROR(__xludf.DUMMYFUNCTION("""COMPUTED_VALUE"""),"FLT169")</f>
        <v>FLT169</v>
      </c>
      <c r="B418" s="468">
        <f>IFERROR(__xludf.DUMMYFUNCTION("""COMPUTED_VALUE"""),44571.0)</f>
        <v>44571</v>
      </c>
      <c r="C418" s="469">
        <f>IFERROR(__xludf.DUMMYFUNCTION("""COMPUTED_VALUE"""),0.3700347222222222)</f>
        <v>0.3700347222</v>
      </c>
      <c r="D418" s="103" t="str">
        <f>IFERROR(__xludf.DUMMYFUNCTION("""COMPUTED_VALUE"""),"SpFLMP684798")</f>
        <v>SpFLMP684798</v>
      </c>
      <c r="E418" s="103"/>
      <c r="F418" s="103"/>
      <c r="G418" s="103" t="str">
        <f>IFERROR(__xludf.DUMMYFUNCTION("""COMPUTED_VALUE"""),"Null")</f>
        <v>Null</v>
      </c>
      <c r="H418" s="131" t="str">
        <f>IFERROR(__xludf.DUMMYFUNCTION("""COMPUTED_VALUE"""),"Negative")</f>
        <v>Negative</v>
      </c>
      <c r="I418" s="468"/>
      <c r="J418" s="16"/>
      <c r="K418" s="16">
        <f>IFERROR(__xludf.DUMMYFUNCTION("""COMPUTED_VALUE"""),2.0)</f>
        <v>2</v>
      </c>
      <c r="L418" s="8" t="str">
        <f>IFERROR(__xludf.DUMMYFUNCTION("""COMPUTED_VALUE"""),"Replicate tube ID with correct tube ID in Note, result Neg in daily results report")</f>
        <v>Replicate tube ID with correct tube ID in Note, result Neg in daily results report</v>
      </c>
      <c r="M418" s="69"/>
      <c r="N418" s="69">
        <f>IFERROR(__xludf.DUMMYFUNCTION("""COMPUTED_VALUE"""),3.0)</f>
        <v>3</v>
      </c>
      <c r="O418" s="69" t="str">
        <f t="shared" si="3"/>
        <v/>
      </c>
      <c r="P418" s="471">
        <f>IFERROR(__xludf.DUMMYFUNCTION("""COMPUTED_VALUE"""),-1.0)</f>
        <v>-1</v>
      </c>
      <c r="Q418" s="274" t="b">
        <f>VLOOKUP($B418,'Run Reconcile'!B$2:O2488,14,FALSE)</f>
        <v>1</v>
      </c>
      <c r="R418" s="472" t="str">
        <f t="array" ref="R418">IF($Q418, INDEX('Run Reconcile'!A$2:A2488,MATCH(B418,'Run Reconcile'!B$2:B2488,0),1),IFERROR(0/0,""))</f>
        <v>RUN-FLMP_2022-01-10_RFR-053</v>
      </c>
      <c r="S418" s="473" t="str">
        <f t="shared" si="694"/>
        <v/>
      </c>
      <c r="T418" s="473" t="str">
        <f t="shared" si="698"/>
        <v/>
      </c>
      <c r="U418" s="275" t="str">
        <f t="array" ref="U418">IF(ISBLANK($R418), INDEX('Run Reconcile'!A$2:A2488, MATCH($B418, 'Run Reconcile'!B$2:B2488, 0)+Z418, 1), IFERROR(0/0,""))
</f>
        <v/>
      </c>
      <c r="V418" s="474" t="str">
        <f t="shared" si="5"/>
        <v>RUN-FLMP_2022-01-10_RFR-053</v>
      </c>
      <c r="Y418" s="89" t="str">
        <f t="shared" si="701"/>
        <v/>
      </c>
      <c r="Z418" s="60" t="str">
        <f t="shared" si="7"/>
        <v/>
      </c>
      <c r="AA418" s="60" t="str">
        <f t="shared" si="8"/>
        <v/>
      </c>
      <c r="AB418" s="60" t="str">
        <f t="shared" si="9"/>
        <v/>
      </c>
      <c r="AC418" s="30" t="str">
        <f t="shared" ref="AC418:AD418" si="770">IF(_xlfn.ISFORMULA(S418),IFERROR(0/0,""),TRUE)</f>
        <v/>
      </c>
      <c r="AD418" s="30" t="str">
        <f t="shared" si="770"/>
        <v/>
      </c>
      <c r="AE418" s="475" t="str">
        <f>IFERROR(__xludf.DUMMYFUNCTION("""COMPUTED_VALUE"""),"CRLN")</f>
        <v>CRLN</v>
      </c>
      <c r="AF418" s="476"/>
      <c r="AG418" s="474" t="s">
        <v>153</v>
      </c>
      <c r="AH418" s="138" t="str">
        <f t="shared" si="11"/>
        <v/>
      </c>
    </row>
    <row r="419">
      <c r="A419" s="103" t="str">
        <f>IFERROR(__xludf.DUMMYFUNCTION("""COMPUTED_VALUE"""),"FLT1495")</f>
        <v>FLT1495</v>
      </c>
      <c r="B419" s="468">
        <f>IFERROR(__xludf.DUMMYFUNCTION("""COMPUTED_VALUE"""),44571.0)</f>
        <v>44571</v>
      </c>
      <c r="C419" s="469">
        <f>IFERROR(__xludf.DUMMYFUNCTION("""COMPUTED_VALUE"""),0.3728240740740741)</f>
        <v>0.3728240741</v>
      </c>
      <c r="D419" s="103" t="str">
        <f>IFERROR(__xludf.DUMMYFUNCTION("""COMPUTED_VALUE"""),"SpFLMP213396")</f>
        <v>SpFLMP213396</v>
      </c>
      <c r="E419" s="103"/>
      <c r="F419" s="103"/>
      <c r="G419" s="103" t="str">
        <f>IFERROR(__xludf.DUMMYFUNCTION("""COMPUTED_VALUE"""),"Positive")</f>
        <v>Positive</v>
      </c>
      <c r="H419" s="505" t="str">
        <f>IFERROR(__xludf.DUMMYFUNCTION("""COMPUTED_VALUE"""),"Positive")</f>
        <v>Positive</v>
      </c>
      <c r="I419" s="468">
        <f>IFERROR(__xludf.DUMMYFUNCTION("""COMPUTED_VALUE"""),44571.0)</f>
        <v>44571</v>
      </c>
      <c r="J419" s="470">
        <f>IFERROR(__xludf.DUMMYFUNCTION("""COMPUTED_VALUE"""),0.4724652777777778)</f>
        <v>0.4724652778</v>
      </c>
      <c r="K419" s="16"/>
      <c r="L419" s="8"/>
      <c r="M419" s="69"/>
      <c r="N419" s="69">
        <f>IFERROR(__xludf.DUMMYFUNCTION("""COMPUTED_VALUE"""),1.0)</f>
        <v>1</v>
      </c>
      <c r="O419" s="69" t="str">
        <f t="shared" si="3"/>
        <v/>
      </c>
      <c r="P419" s="471">
        <f>IFERROR(__xludf.DUMMYFUNCTION("""COMPUTED_VALUE"""),0.0)</f>
        <v>0</v>
      </c>
      <c r="Q419" s="274" t="b">
        <f>VLOOKUP($B419,'Run Reconcile'!B$2:O2488,14,FALSE)</f>
        <v>1</v>
      </c>
      <c r="R419" s="472" t="str">
        <f t="array" ref="R419">IF($Q419, INDEX('Run Reconcile'!A$2:A2488,MATCH(B419,'Run Reconcile'!B$2:B2488,0),1),IFERROR(0/0,""))</f>
        <v>RUN-FLMP_2022-01-10_RFR-053</v>
      </c>
      <c r="S419" s="473" t="str">
        <f t="shared" si="694"/>
        <v/>
      </c>
      <c r="T419" s="473" t="str">
        <f t="shared" si="698"/>
        <v/>
      </c>
      <c r="U419" s="275" t="str">
        <f t="array" ref="U419">IF(ISBLANK($R419), INDEX('Run Reconcile'!A$2:A2488, MATCH($B419, 'Run Reconcile'!B$2:B2488, 0)+Z419, 1), IFERROR(0/0,""))
</f>
        <v/>
      </c>
      <c r="V419" s="474" t="str">
        <f t="shared" si="5"/>
        <v>RUN-FLMP_2022-01-10_RFR-053</v>
      </c>
      <c r="Y419" s="89" t="str">
        <f t="shared" si="701"/>
        <v/>
      </c>
      <c r="Z419" s="60" t="str">
        <f t="shared" si="7"/>
        <v/>
      </c>
      <c r="AA419" s="60" t="str">
        <f t="shared" si="8"/>
        <v/>
      </c>
      <c r="AB419" s="60" t="str">
        <f t="shared" si="9"/>
        <v/>
      </c>
      <c r="AC419" s="30" t="str">
        <f t="shared" ref="AC419:AD419" si="771">IF(_xlfn.ISFORMULA(S419),IFERROR(0/0,""),TRUE)</f>
        <v/>
      </c>
      <c r="AD419" s="30" t="str">
        <f t="shared" si="771"/>
        <v/>
      </c>
      <c r="AE419" s="475" t="str">
        <f>IFERROR(__xludf.DUMMYFUNCTION("""COMPUTED_VALUE"""),"CRLN")</f>
        <v>CRLN</v>
      </c>
      <c r="AF419" s="476"/>
      <c r="AG419" s="474" t="s">
        <v>153</v>
      </c>
      <c r="AH419" s="138" t="str">
        <f t="shared" si="11"/>
        <v/>
      </c>
    </row>
    <row r="420">
      <c r="A420" s="103" t="str">
        <f>IFERROR(__xludf.DUMMYFUNCTION("""COMPUTED_VALUE"""),"FLT1472")</f>
        <v>FLT1472</v>
      </c>
      <c r="B420" s="468">
        <f>IFERROR(__xludf.DUMMYFUNCTION("""COMPUTED_VALUE"""),44571.0)</f>
        <v>44571</v>
      </c>
      <c r="C420" s="469">
        <f>IFERROR(__xludf.DUMMYFUNCTION("""COMPUTED_VALUE"""),0.3746527777777778)</f>
        <v>0.3746527778</v>
      </c>
      <c r="D420" s="103" t="str">
        <f>IFERROR(__xludf.DUMMYFUNCTION("""COMPUTED_VALUE"""),"SpFLMP213396")</f>
        <v>SpFLMP213396</v>
      </c>
      <c r="E420" s="103"/>
      <c r="F420" s="103"/>
      <c r="G420" s="103" t="str">
        <f>IFERROR(__xludf.DUMMYFUNCTION("""COMPUTED_VALUE"""),"Inconclusive")</f>
        <v>Inconclusive</v>
      </c>
      <c r="H420" s="131" t="str">
        <f>IFERROR(__xludf.DUMMYFUNCTION("""COMPUTED_VALUE"""),"Inconclusive")</f>
        <v>Inconclusive</v>
      </c>
      <c r="I420" s="468">
        <f>IFERROR(__xludf.DUMMYFUNCTION("""COMPUTED_VALUE"""),44571.0)</f>
        <v>44571</v>
      </c>
      <c r="J420" s="470">
        <f>IFERROR(__xludf.DUMMYFUNCTION("""COMPUTED_VALUE"""),0.5082638888888888)</f>
        <v>0.5082638889</v>
      </c>
      <c r="K420" s="16"/>
      <c r="L420" s="8"/>
      <c r="M420" s="69"/>
      <c r="N420" s="69">
        <f>IFERROR(__xludf.DUMMYFUNCTION("""COMPUTED_VALUE"""),1.0)</f>
        <v>1</v>
      </c>
      <c r="O420" s="69" t="str">
        <f t="shared" si="3"/>
        <v/>
      </c>
      <c r="P420" s="471">
        <f>IFERROR(__xludf.DUMMYFUNCTION("""COMPUTED_VALUE"""),0.0)</f>
        <v>0</v>
      </c>
      <c r="Q420" s="274" t="b">
        <f>VLOOKUP($B420,'Run Reconcile'!B$2:O2488,14,FALSE)</f>
        <v>1</v>
      </c>
      <c r="R420" s="472" t="str">
        <f t="array" ref="R420">IF($Q420, INDEX('Run Reconcile'!A$2:A2488,MATCH(B420,'Run Reconcile'!B$2:B2488,0),1),IFERROR(0/0,""))</f>
        <v>RUN-FLMP_2022-01-10_RFR-053</v>
      </c>
      <c r="S420" s="473" t="str">
        <f t="shared" si="694"/>
        <v/>
      </c>
      <c r="T420" s="473" t="str">
        <f t="shared" si="698"/>
        <v/>
      </c>
      <c r="U420" s="275" t="str">
        <f t="array" ref="U420">IF(ISBLANK($R420), INDEX('Run Reconcile'!A$2:A2488, MATCH($B420, 'Run Reconcile'!B$2:B2488, 0)+Z420, 1), IFERROR(0/0,""))
</f>
        <v/>
      </c>
      <c r="V420" s="474" t="str">
        <f t="shared" si="5"/>
        <v>RUN-FLMP_2022-01-10_RFR-053</v>
      </c>
      <c r="Y420" s="89" t="str">
        <f t="shared" si="701"/>
        <v/>
      </c>
      <c r="Z420" s="60" t="str">
        <f t="shared" si="7"/>
        <v/>
      </c>
      <c r="AA420" s="60" t="str">
        <f t="shared" si="8"/>
        <v/>
      </c>
      <c r="AB420" s="60" t="str">
        <f t="shared" si="9"/>
        <v/>
      </c>
      <c r="AC420" s="30" t="str">
        <f t="shared" ref="AC420:AD420" si="772">IF(_xlfn.ISFORMULA(S420),IFERROR(0/0,""),TRUE)</f>
        <v/>
      </c>
      <c r="AD420" s="30" t="str">
        <f t="shared" si="772"/>
        <v/>
      </c>
      <c r="AE420" s="475" t="str">
        <f>IFERROR(__xludf.DUMMYFUNCTION("""COMPUTED_VALUE"""),"CRLN")</f>
        <v>CRLN</v>
      </c>
      <c r="AF420" s="476"/>
      <c r="AG420" s="474" t="s">
        <v>153</v>
      </c>
      <c r="AH420" s="138" t="str">
        <f t="shared" si="11"/>
        <v/>
      </c>
    </row>
    <row r="421">
      <c r="A421" s="103" t="str">
        <f>IFERROR(__xludf.DUMMYFUNCTION("""COMPUTED_VALUE"""),"FLT1469")</f>
        <v>FLT1469</v>
      </c>
      <c r="B421" s="468">
        <f>IFERROR(__xludf.DUMMYFUNCTION("""COMPUTED_VALUE"""),44571.0)</f>
        <v>44571</v>
      </c>
      <c r="C421" s="469">
        <f>IFERROR(__xludf.DUMMYFUNCTION("""COMPUTED_VALUE"""),0.37574074074074076)</f>
        <v>0.3757407407</v>
      </c>
      <c r="D421" s="103" t="str">
        <f>IFERROR(__xludf.DUMMYFUNCTION("""COMPUTED_VALUE"""),"SpFLMP213396")</f>
        <v>SpFLMP213396</v>
      </c>
      <c r="E421" s="103"/>
      <c r="F421" s="103"/>
      <c r="G421" s="103" t="str">
        <f>IFERROR(__xludf.DUMMYFUNCTION("""COMPUTED_VALUE"""),"Negative")</f>
        <v>Negative</v>
      </c>
      <c r="H421" s="131" t="str">
        <f>IFERROR(__xludf.DUMMYFUNCTION("""COMPUTED_VALUE"""),"Negative")</f>
        <v>Negative</v>
      </c>
      <c r="I421" s="468">
        <f>IFERROR(__xludf.DUMMYFUNCTION("""COMPUTED_VALUE"""),44571.0)</f>
        <v>44571</v>
      </c>
      <c r="J421" s="470">
        <f>IFERROR(__xludf.DUMMYFUNCTION("""COMPUTED_VALUE"""),0.48680555555555555)</f>
        <v>0.4868055556</v>
      </c>
      <c r="K421" s="16"/>
      <c r="L421" s="8"/>
      <c r="M421" s="69"/>
      <c r="N421" s="69">
        <f>IFERROR(__xludf.DUMMYFUNCTION("""COMPUTED_VALUE"""),1.0)</f>
        <v>1</v>
      </c>
      <c r="O421" s="69" t="str">
        <f t="shared" si="3"/>
        <v/>
      </c>
      <c r="P421" s="471">
        <f>IFERROR(__xludf.DUMMYFUNCTION("""COMPUTED_VALUE"""),0.0)</f>
        <v>0</v>
      </c>
      <c r="Q421" s="274" t="b">
        <f>VLOOKUP($B421,'Run Reconcile'!B$2:O2488,14,FALSE)</f>
        <v>1</v>
      </c>
      <c r="R421" s="472" t="str">
        <f t="array" ref="R421">IF($Q421, INDEX('Run Reconcile'!A$2:A2488,MATCH(B421,'Run Reconcile'!B$2:B2488,0),1),IFERROR(0/0,""))</f>
        <v>RUN-FLMP_2022-01-10_RFR-053</v>
      </c>
      <c r="S421" s="473" t="str">
        <f t="shared" si="694"/>
        <v/>
      </c>
      <c r="T421" s="473" t="str">
        <f t="shared" si="698"/>
        <v/>
      </c>
      <c r="U421" s="275" t="str">
        <f t="array" ref="U421">IF(ISBLANK($R421), INDEX('Run Reconcile'!A$2:A2488, MATCH($B421, 'Run Reconcile'!B$2:B2488, 0)+Z421, 1), IFERROR(0/0,""))
</f>
        <v/>
      </c>
      <c r="V421" s="474" t="str">
        <f t="shared" si="5"/>
        <v>RUN-FLMP_2022-01-10_RFR-053</v>
      </c>
      <c r="Y421" s="89" t="str">
        <f t="shared" si="701"/>
        <v/>
      </c>
      <c r="Z421" s="60" t="str">
        <f t="shared" si="7"/>
        <v/>
      </c>
      <c r="AA421" s="60" t="str">
        <f t="shared" si="8"/>
        <v/>
      </c>
      <c r="AB421" s="60" t="str">
        <f t="shared" si="9"/>
        <v/>
      </c>
      <c r="AC421" s="30" t="str">
        <f t="shared" ref="AC421:AD421" si="773">IF(_xlfn.ISFORMULA(S421),IFERROR(0/0,""),TRUE)</f>
        <v/>
      </c>
      <c r="AD421" s="30" t="str">
        <f t="shared" si="773"/>
        <v/>
      </c>
      <c r="AE421" s="475" t="str">
        <f>IFERROR(__xludf.DUMMYFUNCTION("""COMPUTED_VALUE"""),"CRLN")</f>
        <v>CRLN</v>
      </c>
      <c r="AF421" s="476"/>
      <c r="AG421" s="474" t="s">
        <v>153</v>
      </c>
      <c r="AH421" s="138" t="str">
        <f t="shared" si="11"/>
        <v/>
      </c>
    </row>
    <row r="422">
      <c r="A422" s="506" t="str">
        <f>IFERROR(__xludf.DUMMYFUNCTION("""COMPUTED_VALUE"""),"FLT1510")</f>
        <v>FLT1510</v>
      </c>
      <c r="B422" s="507">
        <f>IFERROR(__xludf.DUMMYFUNCTION("""COMPUTED_VALUE"""),44571.0)</f>
        <v>44571</v>
      </c>
      <c r="C422" s="508">
        <f>IFERROR(__xludf.DUMMYFUNCTION("""COMPUTED_VALUE"""),0.6582986111111111)</f>
        <v>0.6582986111</v>
      </c>
      <c r="D422" s="506" t="str">
        <f>IFERROR(__xludf.DUMMYFUNCTION("""COMPUTED_VALUE"""),"SpFLMP600756")</f>
        <v>SpFLMP600756</v>
      </c>
      <c r="E422" s="506"/>
      <c r="F422" s="506"/>
      <c r="G422" s="506" t="str">
        <f>IFERROR(__xludf.DUMMYFUNCTION("""COMPUTED_VALUE"""),"Negative")</f>
        <v>Negative</v>
      </c>
      <c r="H422" s="509" t="str">
        <f>IFERROR(__xludf.DUMMYFUNCTION("""COMPUTED_VALUE"""),"Negative")</f>
        <v>Negative</v>
      </c>
      <c r="I422" s="507">
        <f>IFERROR(__xludf.DUMMYFUNCTION("""COMPUTED_VALUE"""),44571.0)</f>
        <v>44571</v>
      </c>
      <c r="J422" s="510">
        <f>IFERROR(__xludf.DUMMYFUNCTION("""COMPUTED_VALUE"""),0.8319328703703703)</f>
        <v>0.8319328704</v>
      </c>
      <c r="K422" s="156"/>
      <c r="L422" s="19"/>
      <c r="M422" s="482"/>
      <c r="N422" s="482">
        <f>IFERROR(__xludf.DUMMYFUNCTION("""COMPUTED_VALUE"""),1.0)</f>
        <v>1</v>
      </c>
      <c r="O422" s="482" t="str">
        <f t="shared" si="3"/>
        <v/>
      </c>
      <c r="P422" s="483">
        <f>IFERROR(__xludf.DUMMYFUNCTION("""COMPUTED_VALUE"""),0.0)</f>
        <v>0</v>
      </c>
      <c r="Q422" s="352"/>
      <c r="R422" s="484" t="str">
        <f t="array" ref="R422">IF($Q422, INDEX('Run Reconcile'!A$2:A2488,MATCH(B422,'Run Reconcile'!B$2:B2488,0),1),IFERROR(0/0,""))</f>
        <v/>
      </c>
      <c r="S422" s="485" t="str">
        <f t="shared" si="694"/>
        <v/>
      </c>
      <c r="T422" s="485" t="b">
        <f t="shared" si="698"/>
        <v>1</v>
      </c>
      <c r="U422" s="353" t="str">
        <f t="array" ref="U422">IF(ISBLANK($R422), INDEX('Run Reconcile'!A$2:A2488, MATCH($B422, 'Run Reconcile'!B$2:B2488, 0)+Z422, 1), IFERROR(0/0,""))
</f>
        <v>RUN-FLMP_2022-01-10_RFR-055</v>
      </c>
      <c r="V422" s="486" t="str">
        <f t="shared" si="5"/>
        <v>RUN-FLMP_2022-01-10_RFR-055</v>
      </c>
      <c r="W422" s="19"/>
      <c r="X422" s="506" t="s">
        <v>1361</v>
      </c>
      <c r="Y422" s="89">
        <f t="shared" si="701"/>
        <v>1</v>
      </c>
      <c r="Z422" s="60">
        <f t="shared" si="7"/>
        <v>1</v>
      </c>
      <c r="AA422" s="60" t="str">
        <f t="shared" si="8"/>
        <v/>
      </c>
      <c r="AB422" s="60">
        <f t="shared" si="9"/>
        <v>1</v>
      </c>
      <c r="AC422" s="158" t="str">
        <f t="shared" ref="AC422:AD422" si="774">IF(_xlfn.ISFORMULA(S422),IFERROR(0/0,""),TRUE)</f>
        <v/>
      </c>
      <c r="AD422" s="158" t="str">
        <f t="shared" si="774"/>
        <v/>
      </c>
      <c r="AE422" s="488" t="str">
        <f>IFERROR(__xludf.DUMMYFUNCTION("""COMPUTED_VALUE"""),"CRLN")</f>
        <v>CRLN</v>
      </c>
      <c r="AF422" s="489"/>
      <c r="AG422" s="486" t="s">
        <v>154</v>
      </c>
      <c r="AH422" s="138" t="str">
        <f t="shared" si="11"/>
        <v/>
      </c>
      <c r="AI422" s="19"/>
      <c r="AJ422" s="19"/>
      <c r="AK422" s="19"/>
      <c r="AL422" s="19"/>
      <c r="AM422" s="19"/>
    </row>
    <row r="423">
      <c r="A423" s="459" t="str">
        <f>IFERROR(__xludf.DUMMYFUNCTION("""COMPUTED_VALUE"""),"FLT1434")</f>
        <v>FLT1434</v>
      </c>
      <c r="B423" s="494">
        <f>IFERROR(__xludf.DUMMYFUNCTION("""COMPUTED_VALUE"""),44571.0)</f>
        <v>44571</v>
      </c>
      <c r="C423" s="495">
        <f>IFERROR(__xludf.DUMMYFUNCTION("""COMPUTED_VALUE"""),0.6599189814814815)</f>
        <v>0.6599189815</v>
      </c>
      <c r="D423" s="459" t="str">
        <f>IFERROR(__xludf.DUMMYFUNCTION("""COMPUTED_VALUE"""),"SpFLMP600756")</f>
        <v>SpFLMP600756</v>
      </c>
      <c r="E423" s="459"/>
      <c r="F423" s="459"/>
      <c r="G423" s="459" t="str">
        <f>IFERROR(__xludf.DUMMYFUNCTION("""COMPUTED_VALUE"""),"Positive")</f>
        <v>Positive</v>
      </c>
      <c r="H423" s="496" t="str">
        <f>IFERROR(__xludf.DUMMYFUNCTION("""COMPUTED_VALUE"""),"Positive")</f>
        <v>Positive</v>
      </c>
      <c r="I423" s="494">
        <f>IFERROR(__xludf.DUMMYFUNCTION("""COMPUTED_VALUE"""),44571.0)</f>
        <v>44571</v>
      </c>
      <c r="J423" s="497">
        <f>IFERROR(__xludf.DUMMYFUNCTION("""COMPUTED_VALUE"""),0.8319328703703703)</f>
        <v>0.8319328704</v>
      </c>
      <c r="K423" s="16"/>
      <c r="L423" s="8"/>
      <c r="M423" s="69"/>
      <c r="N423" s="69">
        <f>IFERROR(__xludf.DUMMYFUNCTION("""COMPUTED_VALUE"""),1.0)</f>
        <v>1</v>
      </c>
      <c r="O423" s="69" t="str">
        <f t="shared" si="3"/>
        <v/>
      </c>
      <c r="P423" s="471">
        <f>IFERROR(__xludf.DUMMYFUNCTION("""COMPUTED_VALUE"""),0.0)</f>
        <v>0</v>
      </c>
      <c r="Q423" s="274"/>
      <c r="R423" s="472" t="str">
        <f t="array" ref="R423">IF($Q423, INDEX('Run Reconcile'!A$2:A2488,MATCH(B423,'Run Reconcile'!B$2:B2488,0),1),IFERROR(0/0,""))</f>
        <v/>
      </c>
      <c r="S423" s="473" t="str">
        <f t="shared" si="694"/>
        <v/>
      </c>
      <c r="T423" s="473" t="b">
        <f t="shared" si="698"/>
        <v>1</v>
      </c>
      <c r="U423" s="275" t="str">
        <f t="array" ref="U423">IF(ISBLANK($R423), INDEX('Run Reconcile'!A$2:A2488, MATCH($B423, 'Run Reconcile'!B$2:B2488, 0)+Z423, 1), IFERROR(0/0,""))
</f>
        <v>RUN-FLMP_2022-01-10_RFR-055</v>
      </c>
      <c r="V423" s="474" t="str">
        <f t="shared" si="5"/>
        <v>RUN-FLMP_2022-01-10_RFR-055</v>
      </c>
      <c r="X423" s="459" t="s">
        <v>1170</v>
      </c>
      <c r="Y423" s="89">
        <f t="shared" si="701"/>
        <v>1</v>
      </c>
      <c r="Z423" s="60">
        <f t="shared" si="7"/>
        <v>1</v>
      </c>
      <c r="AA423" s="60" t="str">
        <f t="shared" si="8"/>
        <v/>
      </c>
      <c r="AB423" s="60">
        <f t="shared" si="9"/>
        <v>1</v>
      </c>
      <c r="AC423" s="30" t="str">
        <f t="shared" ref="AC423:AD423" si="775">IF(_xlfn.ISFORMULA(S423),IFERROR(0/0,""),TRUE)</f>
        <v/>
      </c>
      <c r="AD423" s="30" t="str">
        <f t="shared" si="775"/>
        <v/>
      </c>
      <c r="AE423" s="475" t="str">
        <f>IFERROR(__xludf.DUMMYFUNCTION("""COMPUTED_VALUE"""),"CRLN")</f>
        <v>CRLN</v>
      </c>
      <c r="AF423" s="476"/>
      <c r="AG423" s="474" t="s">
        <v>154</v>
      </c>
      <c r="AH423" s="138" t="str">
        <f t="shared" si="11"/>
        <v/>
      </c>
    </row>
    <row r="424">
      <c r="A424" s="459" t="str">
        <f>IFERROR(__xludf.DUMMYFUNCTION("""COMPUTED_VALUE"""),"FLE244")</f>
        <v>FLE244</v>
      </c>
      <c r="B424" s="494">
        <f>IFERROR(__xludf.DUMMYFUNCTION("""COMPUTED_VALUE"""),44571.0)</f>
        <v>44571</v>
      </c>
      <c r="C424" s="495">
        <f>IFERROR(__xludf.DUMMYFUNCTION("""COMPUTED_VALUE"""),0.7369444444444444)</f>
        <v>0.7369444444</v>
      </c>
      <c r="D424" s="459" t="str">
        <f>IFERROR(__xludf.DUMMYFUNCTION("""COMPUTED_VALUE"""),"SpFLMP600756")</f>
        <v>SpFLMP600756</v>
      </c>
      <c r="E424" s="459"/>
      <c r="F424" s="459"/>
      <c r="G424" s="459" t="str">
        <f>IFERROR(__xludf.DUMMYFUNCTION("""COMPUTED_VALUE"""),"Negative")</f>
        <v>Negative</v>
      </c>
      <c r="H424" s="496" t="str">
        <f>IFERROR(__xludf.DUMMYFUNCTION("""COMPUTED_VALUE"""),"Negative")</f>
        <v>Negative</v>
      </c>
      <c r="I424" s="494">
        <f>IFERROR(__xludf.DUMMYFUNCTION("""COMPUTED_VALUE"""),44571.0)</f>
        <v>44571</v>
      </c>
      <c r="J424" s="497">
        <f>IFERROR(__xludf.DUMMYFUNCTION("""COMPUTED_VALUE"""),0.8319328703703703)</f>
        <v>0.8319328704</v>
      </c>
      <c r="K424" s="16"/>
      <c r="L424" s="8"/>
      <c r="M424" s="69"/>
      <c r="N424" s="69">
        <f>IFERROR(__xludf.DUMMYFUNCTION("""COMPUTED_VALUE"""),1.0)</f>
        <v>1</v>
      </c>
      <c r="O424" s="69" t="str">
        <f t="shared" si="3"/>
        <v/>
      </c>
      <c r="P424" s="471">
        <f>IFERROR(__xludf.DUMMYFUNCTION("""COMPUTED_VALUE"""),0.0)</f>
        <v>0</v>
      </c>
      <c r="Q424" s="274"/>
      <c r="R424" s="472" t="str">
        <f t="array" ref="R424">IF($Q424, INDEX('Run Reconcile'!A$2:A2488,MATCH(B424,'Run Reconcile'!B$2:B2488,0),1),IFERROR(0/0,""))</f>
        <v/>
      </c>
      <c r="S424" s="473" t="str">
        <f t="shared" si="694"/>
        <v/>
      </c>
      <c r="T424" s="473" t="b">
        <f t="shared" si="698"/>
        <v>1</v>
      </c>
      <c r="U424" s="275" t="str">
        <f t="array" ref="U424">IF(ISBLANK($R424), INDEX('Run Reconcile'!A$2:A2488, MATCH($B424, 'Run Reconcile'!B$2:B2488, 0)+Z424, 1), IFERROR(0/0,""))
</f>
        <v>RUN-FLMP_2022-01-10_RFR-055</v>
      </c>
      <c r="V424" s="474" t="str">
        <f t="shared" si="5"/>
        <v>RUN-FLMP_2022-01-10_RFR-055</v>
      </c>
      <c r="X424" s="459" t="s">
        <v>1362</v>
      </c>
      <c r="Y424" s="89">
        <f t="shared" si="701"/>
        <v>1</v>
      </c>
      <c r="Z424" s="60">
        <f t="shared" si="7"/>
        <v>1</v>
      </c>
      <c r="AA424" s="60" t="str">
        <f t="shared" si="8"/>
        <v/>
      </c>
      <c r="AB424" s="60">
        <f t="shared" si="9"/>
        <v>1</v>
      </c>
      <c r="AC424" s="30" t="str">
        <f t="shared" ref="AC424:AD424" si="776">IF(_xlfn.ISFORMULA(S424),IFERROR(0/0,""),TRUE)</f>
        <v/>
      </c>
      <c r="AD424" s="30" t="str">
        <f t="shared" si="776"/>
        <v/>
      </c>
      <c r="AE424" s="475" t="str">
        <f>IFERROR(__xludf.DUMMYFUNCTION("""COMPUTED_VALUE"""),"CRLN")</f>
        <v>CRLN</v>
      </c>
      <c r="AF424" s="476"/>
      <c r="AG424" s="474" t="s">
        <v>154</v>
      </c>
      <c r="AH424" s="138" t="str">
        <f t="shared" si="11"/>
        <v/>
      </c>
    </row>
    <row r="425">
      <c r="A425" s="477" t="str">
        <f>IFERROR(__xludf.DUMMYFUNCTION("""COMPUTED_VALUE"""),"MA1431")</f>
        <v>MA1431</v>
      </c>
      <c r="B425" s="478">
        <f>IFERROR(__xludf.DUMMYFUNCTION("""COMPUTED_VALUE"""),44572.0)</f>
        <v>44572</v>
      </c>
      <c r="C425" s="479">
        <f>IFERROR(__xludf.DUMMYFUNCTION("""COMPUTED_VALUE"""),0.36324074074074075)</f>
        <v>0.3632407407</v>
      </c>
      <c r="D425" s="477" t="str">
        <f>IFERROR(__xludf.DUMMYFUNCTION("""COMPUTED_VALUE"""),"SpFLMP684798")</f>
        <v>SpFLMP684798</v>
      </c>
      <c r="E425" s="477"/>
      <c r="F425" s="477"/>
      <c r="G425" s="477" t="str">
        <f>IFERROR(__xludf.DUMMYFUNCTION("""COMPUTED_VALUE"""),"Negative")</f>
        <v>Negative</v>
      </c>
      <c r="H425" s="480" t="str">
        <f>IFERROR(__xludf.DUMMYFUNCTION("""COMPUTED_VALUE"""),"Negative")</f>
        <v>Negative</v>
      </c>
      <c r="I425" s="478">
        <f>IFERROR(__xludf.DUMMYFUNCTION("""COMPUTED_VALUE"""),44576.0)</f>
        <v>44576</v>
      </c>
      <c r="J425" s="481">
        <f>IFERROR(__xludf.DUMMYFUNCTION("""COMPUTED_VALUE"""),0.551712962962963)</f>
        <v>0.551712963</v>
      </c>
      <c r="K425" s="156"/>
      <c r="L425" s="19"/>
      <c r="M425" s="482"/>
      <c r="N425" s="482">
        <f>IFERROR(__xludf.DUMMYFUNCTION("""COMPUTED_VALUE"""),4.0)</f>
        <v>4</v>
      </c>
      <c r="O425" s="482" t="b">
        <f t="shared" si="3"/>
        <v>1</v>
      </c>
      <c r="P425" s="483">
        <f>IFERROR(__xludf.DUMMYFUNCTION("""COMPUTED_VALUE"""),4.0)</f>
        <v>4</v>
      </c>
      <c r="Q425" s="352" t="str">
        <f>VLOOKUP($B425,'Run Reconcile'!B$2:O2488,14,FALSE)</f>
        <v/>
      </c>
      <c r="R425" s="484" t="str">
        <f t="array" ref="R425">IF($Q425, INDEX('Run Reconcile'!A$2:A2488,MATCH(B425,'Run Reconcile'!B$2:B2488,0),1),IFERROR(0/0,""))</f>
        <v/>
      </c>
      <c r="S425" s="485" t="str">
        <f t="shared" si="694"/>
        <v/>
      </c>
      <c r="T425" s="485" t="b">
        <f t="shared" si="698"/>
        <v>1</v>
      </c>
      <c r="U425" s="19" t="str">
        <f t="array" ref="U425">IF(ISBLANK($R425), INDEX('Run Reconcile'!A$2:A2488, MATCH($B425, 'Run Reconcile'!B$2:B2488, 0)+Z425, 1), IFERROR(0/0,""))
</f>
        <v>RUN-FLMP_2022-01-11_APS-079</v>
      </c>
      <c r="V425" s="486" t="str">
        <f t="shared" si="5"/>
        <v>RUN-FLMP_2022-01-11_APS-079</v>
      </c>
      <c r="W425" s="19"/>
      <c r="X425" s="19" t="s">
        <v>1363</v>
      </c>
      <c r="Y425" s="195">
        <f t="shared" si="701"/>
        <v>1</v>
      </c>
      <c r="Z425" s="487">
        <f t="shared" si="7"/>
        <v>1</v>
      </c>
      <c r="AA425" s="487" t="str">
        <f t="shared" si="8"/>
        <v/>
      </c>
      <c r="AB425" s="487">
        <f t="shared" si="9"/>
        <v>1</v>
      </c>
      <c r="AC425" s="158" t="str">
        <f t="shared" ref="AC425:AD425" si="777">IF(_xlfn.ISFORMULA(S425),IFERROR(0/0,""),TRUE)</f>
        <v/>
      </c>
      <c r="AD425" s="158" t="str">
        <f t="shared" si="777"/>
        <v/>
      </c>
      <c r="AE425" s="488" t="str">
        <f>IFERROR(__xludf.DUMMYFUNCTION("""COMPUTED_VALUE"""),"CRLN")</f>
        <v>CRLN</v>
      </c>
      <c r="AF425" s="489"/>
      <c r="AG425" s="486" t="s">
        <v>155</v>
      </c>
      <c r="AH425" s="490" t="str">
        <f t="shared" si="11"/>
        <v/>
      </c>
      <c r="AI425" s="19"/>
      <c r="AJ425" s="19"/>
      <c r="AK425" s="19"/>
      <c r="AL425" s="19"/>
      <c r="AM425" s="19"/>
    </row>
    <row r="426">
      <c r="A426" s="103" t="str">
        <f>IFERROR(__xludf.DUMMYFUNCTION("""COMPUTED_VALUE"""),"MA682")</f>
        <v>MA682</v>
      </c>
      <c r="B426" s="468">
        <f>IFERROR(__xludf.DUMMYFUNCTION("""COMPUTED_VALUE"""),44572.0)</f>
        <v>44572</v>
      </c>
      <c r="C426" s="469">
        <f>IFERROR(__xludf.DUMMYFUNCTION("""COMPUTED_VALUE"""),0.3716550925925926)</f>
        <v>0.3716550926</v>
      </c>
      <c r="D426" s="103" t="str">
        <f>IFERROR(__xludf.DUMMYFUNCTION("""COMPUTED_VALUE"""),"SpFLMP496039")</f>
        <v>SpFLMP496039</v>
      </c>
      <c r="E426" s="103"/>
      <c r="F426" s="103"/>
      <c r="G426" s="103" t="str">
        <f>IFERROR(__xludf.DUMMYFUNCTION("""COMPUTED_VALUE"""),"Negative")</f>
        <v>Negative</v>
      </c>
      <c r="H426" s="131" t="str">
        <f>IFERROR(__xludf.DUMMYFUNCTION("""COMPUTED_VALUE"""),"Negative")</f>
        <v>Negative</v>
      </c>
      <c r="I426" s="468">
        <f>IFERROR(__xludf.DUMMYFUNCTION("""COMPUTED_VALUE"""),44576.0)</f>
        <v>44576</v>
      </c>
      <c r="J426" s="470">
        <f>IFERROR(__xludf.DUMMYFUNCTION("""COMPUTED_VALUE"""),0.551712962962963)</f>
        <v>0.551712963</v>
      </c>
      <c r="K426" s="16"/>
      <c r="L426" s="8"/>
      <c r="M426" s="69"/>
      <c r="N426" s="69">
        <f>IFERROR(__xludf.DUMMYFUNCTION("""COMPUTED_VALUE"""),1.0)</f>
        <v>1</v>
      </c>
      <c r="O426" s="69" t="str">
        <f t="shared" si="3"/>
        <v/>
      </c>
      <c r="P426" s="471">
        <f>IFERROR(__xludf.DUMMYFUNCTION("""COMPUTED_VALUE"""),4.0)</f>
        <v>4</v>
      </c>
      <c r="Q426" s="274" t="str">
        <f>VLOOKUP($B426,'Run Reconcile'!B$2:O2488,14,FALSE)</f>
        <v/>
      </c>
      <c r="R426" s="472" t="str">
        <f t="array" ref="R426">IF($Q426, INDEX('Run Reconcile'!A$2:A2488,MATCH(B426,'Run Reconcile'!B$2:B2488,0),1),IFERROR(0/0,""))</f>
        <v/>
      </c>
      <c r="S426" s="473" t="str">
        <f t="shared" si="694"/>
        <v/>
      </c>
      <c r="T426" s="473" t="b">
        <f t="shared" si="698"/>
        <v>1</v>
      </c>
      <c r="U426" s="8" t="str">
        <f t="array" ref="U426">IF(ISBLANK($R426), INDEX('Run Reconcile'!A$2:A2488, MATCH($B426, 'Run Reconcile'!B$2:B2488, 0)+Z426, 1), IFERROR(0/0,""))
</f>
        <v>RUN-FLMP_2022-01-11_APS-079</v>
      </c>
      <c r="V426" s="474" t="str">
        <f t="shared" si="5"/>
        <v>RUN-FLMP_2022-01-11_APS-079</v>
      </c>
      <c r="X426" s="8" t="s">
        <v>1364</v>
      </c>
      <c r="Y426" s="89">
        <f t="shared" si="701"/>
        <v>1</v>
      </c>
      <c r="Z426" s="60">
        <f t="shared" si="7"/>
        <v>1</v>
      </c>
      <c r="AA426" s="60" t="str">
        <f t="shared" si="8"/>
        <v/>
      </c>
      <c r="AB426" s="60">
        <f t="shared" si="9"/>
        <v>1</v>
      </c>
      <c r="AC426" s="30" t="str">
        <f t="shared" ref="AC426:AD426" si="778">IF(_xlfn.ISFORMULA(S426),IFERROR(0/0,""),TRUE)</f>
        <v/>
      </c>
      <c r="AD426" s="30" t="str">
        <f t="shared" si="778"/>
        <v/>
      </c>
      <c r="AE426" s="475" t="str">
        <f>IFERROR(__xludf.DUMMYFUNCTION("""COMPUTED_VALUE"""),"CRLN")</f>
        <v>CRLN</v>
      </c>
      <c r="AF426" s="476"/>
      <c r="AG426" s="474" t="s">
        <v>155</v>
      </c>
      <c r="AH426" s="138" t="str">
        <f t="shared" si="11"/>
        <v/>
      </c>
    </row>
    <row r="427">
      <c r="A427" s="454" t="str">
        <f>IFERROR(__xludf.DUMMYFUNCTION("""COMPUTED_VALUE"""),"MA26")</f>
        <v>MA26</v>
      </c>
      <c r="B427" s="511">
        <f>IFERROR(__xludf.DUMMYFUNCTION("""COMPUTED_VALUE"""),44572.0)</f>
        <v>44572</v>
      </c>
      <c r="C427" s="512">
        <f>IFERROR(__xludf.DUMMYFUNCTION("""COMPUTED_VALUE"""),0.6732986111111111)</f>
        <v>0.6732986111</v>
      </c>
      <c r="D427" s="454" t="str">
        <f>IFERROR(__xludf.DUMMYFUNCTION("""COMPUTED_VALUE"""),"SpFLMP120998")</f>
        <v>SpFLMP120998</v>
      </c>
      <c r="E427" s="454"/>
      <c r="F427" s="454"/>
      <c r="G427" s="454" t="str">
        <f>IFERROR(__xludf.DUMMYFUNCTION("""COMPUTED_VALUE"""),"Positive")</f>
        <v>Positive</v>
      </c>
      <c r="H427" s="505" t="str">
        <f>IFERROR(__xludf.DUMMYFUNCTION("""COMPUTED_VALUE"""),"Positive")</f>
        <v>Positive</v>
      </c>
      <c r="I427" s="511">
        <f>IFERROR(__xludf.DUMMYFUNCTION("""COMPUTED_VALUE"""),44576.0)</f>
        <v>44576</v>
      </c>
      <c r="J427" s="513">
        <f>IFERROR(__xludf.DUMMYFUNCTION("""COMPUTED_VALUE"""),0.552037037037037)</f>
        <v>0.552037037</v>
      </c>
      <c r="K427" s="59"/>
      <c r="L427" s="151"/>
      <c r="M427" s="71"/>
      <c r="N427" s="71">
        <f>IFERROR(__xludf.DUMMYFUNCTION("""COMPUTED_VALUE"""),1.0)</f>
        <v>1</v>
      </c>
      <c r="O427" s="71" t="str">
        <f t="shared" si="3"/>
        <v/>
      </c>
      <c r="P427" s="471">
        <f>IFERROR(__xludf.DUMMYFUNCTION("""COMPUTED_VALUE"""),4.0)</f>
        <v>4</v>
      </c>
      <c r="Q427" s="514" t="str">
        <f>VLOOKUP($B427,'Run Reconcile'!B$2:O2488,14,FALSE)</f>
        <v/>
      </c>
      <c r="R427" s="515" t="str">
        <f t="array" ref="R427">IF($Q427, INDEX('Run Reconcile'!A$2:A2488,MATCH(B427,'Run Reconcile'!B$2:B2488,0),1),IFERROR(0/0,""))</f>
        <v/>
      </c>
      <c r="S427" s="516" t="str">
        <f t="shared" si="694"/>
        <v/>
      </c>
      <c r="T427" s="516" t="str">
        <f t="shared" si="698"/>
        <v/>
      </c>
      <c r="U427" s="151" t="str">
        <f t="array" ref="U427">IF(ISBLANK($R427), INDEX('Run Reconcile'!A$2:A2488, MATCH($B427, 'Run Reconcile'!B$2:B2488, 0)+Z427, 1), IFERROR(0/0,""))
</f>
        <v>RUN-FLMP_2022-01-11_RFR-059</v>
      </c>
      <c r="V427" s="517" t="str">
        <f t="shared" si="5"/>
        <v>RUN-FLMP_2022-01-11_RFR-059</v>
      </c>
      <c r="Y427" s="89" t="str">
        <f t="shared" si="701"/>
        <v/>
      </c>
      <c r="Z427" s="60" t="str">
        <f t="shared" si="7"/>
        <v/>
      </c>
      <c r="AA427" s="60" t="str">
        <f t="shared" si="8"/>
        <v/>
      </c>
      <c r="AB427" s="60" t="str">
        <f t="shared" si="9"/>
        <v/>
      </c>
      <c r="AC427" s="30" t="str">
        <f t="shared" ref="AC427:AD427" si="779">IF(_xlfn.ISFORMULA(S427),IFERROR(0/0,""),TRUE)</f>
        <v/>
      </c>
      <c r="AD427" s="30" t="str">
        <f t="shared" si="779"/>
        <v/>
      </c>
      <c r="AE427" s="475" t="str">
        <f>IFERROR(__xludf.DUMMYFUNCTION("""COMPUTED_VALUE"""),"FLSP")</f>
        <v>FLSP</v>
      </c>
      <c r="AF427" s="476"/>
      <c r="AG427" s="517" t="s">
        <v>156</v>
      </c>
      <c r="AH427" s="138" t="str">
        <f t="shared" si="11"/>
        <v/>
      </c>
    </row>
    <row r="428">
      <c r="A428" s="477" t="str">
        <f>IFERROR(__xludf.DUMMYFUNCTION("""COMPUTED_VALUE"""),"FLT1180")</f>
        <v>FLT1180</v>
      </c>
      <c r="B428" s="478">
        <f>IFERROR(__xludf.DUMMYFUNCTION("""COMPUTED_VALUE"""),44573.0)</f>
        <v>44573</v>
      </c>
      <c r="C428" s="479">
        <f>IFERROR(__xludf.DUMMYFUNCTION("""COMPUTED_VALUE"""),0.6168981481481481)</f>
        <v>0.6168981481</v>
      </c>
      <c r="D428" s="477" t="str">
        <f>IFERROR(__xludf.DUMMYFUNCTION("""COMPUTED_VALUE"""),"SpFLMP493054")</f>
        <v>SpFLMP493054</v>
      </c>
      <c r="E428" s="477"/>
      <c r="F428" s="477"/>
      <c r="G428" s="477" t="str">
        <f>IFERROR(__xludf.DUMMYFUNCTION("""COMPUTED_VALUE"""),"Negative")</f>
        <v>Negative</v>
      </c>
      <c r="H428" s="480" t="str">
        <f>IFERROR(__xludf.DUMMYFUNCTION("""COMPUTED_VALUE"""),"Negative")</f>
        <v>Negative</v>
      </c>
      <c r="I428" s="478">
        <f>IFERROR(__xludf.DUMMYFUNCTION("""COMPUTED_VALUE"""),44574.0)</f>
        <v>44574</v>
      </c>
      <c r="J428" s="481">
        <f>IFERROR(__xludf.DUMMYFUNCTION("""COMPUTED_VALUE"""),0.44807870370370373)</f>
        <v>0.4480787037</v>
      </c>
      <c r="K428" s="156"/>
      <c r="L428" s="19"/>
      <c r="M428" s="482"/>
      <c r="N428" s="482">
        <f>IFERROR(__xludf.DUMMYFUNCTION("""COMPUTED_VALUE"""),1.0)</f>
        <v>1</v>
      </c>
      <c r="O428" s="482" t="b">
        <f t="shared" si="3"/>
        <v>1</v>
      </c>
      <c r="P428" s="483">
        <f>IFERROR(__xludf.DUMMYFUNCTION("""COMPUTED_VALUE"""),1.0)</f>
        <v>1</v>
      </c>
      <c r="Q428" s="352" t="str">
        <f>VLOOKUP($B428,'Run Reconcile'!B$2:O2488,14,FALSE)</f>
        <v/>
      </c>
      <c r="R428" s="484" t="str">
        <f t="array" ref="R428">IF($Q428, INDEX('Run Reconcile'!A$2:A2488,MATCH(B428,'Run Reconcile'!B$2:B2488,0),1),IFERROR(0/0,""))</f>
        <v/>
      </c>
      <c r="S428" s="485" t="b">
        <f t="shared" si="694"/>
        <v>1</v>
      </c>
      <c r="T428" s="485" t="str">
        <f t="shared" si="698"/>
        <v/>
      </c>
      <c r="U428" s="19" t="str">
        <f t="array" ref="U428">IF(ISBLANK($R428), INDEX('Run Reconcile'!A$2:A2488, MATCH($B428, 'Run Reconcile'!B$2:B2488, 0)+Z428, 1), IFERROR(0/0,""))
</f>
        <v>RUN-FLMP_2022-01-13_RFR-057</v>
      </c>
      <c r="V428" s="486" t="str">
        <f t="shared" si="5"/>
        <v>RUN-FLMP_2022-01-13_RFR-057</v>
      </c>
      <c r="W428" s="19" t="s">
        <v>1365</v>
      </c>
      <c r="X428" s="19"/>
      <c r="Y428" s="21">
        <v>2.0</v>
      </c>
      <c r="Z428" s="60">
        <f t="shared" si="7"/>
        <v>2</v>
      </c>
      <c r="AA428" s="60">
        <f t="shared" si="8"/>
        <v>2</v>
      </c>
      <c r="AB428" s="60" t="str">
        <f t="shared" si="9"/>
        <v/>
      </c>
      <c r="AC428" s="158" t="str">
        <f t="shared" ref="AC428:AD428" si="780">IF(_xlfn.ISFORMULA(S428),IFERROR(0/0,""),TRUE)</f>
        <v/>
      </c>
      <c r="AD428" s="158" t="str">
        <f t="shared" si="780"/>
        <v/>
      </c>
      <c r="AE428" s="488" t="str">
        <f>IFERROR(__xludf.DUMMYFUNCTION("""COMPUTED_VALUE"""),"CRLN")</f>
        <v>CRLN</v>
      </c>
      <c r="AF428" s="489"/>
      <c r="AG428" s="486" t="s">
        <v>158</v>
      </c>
      <c r="AH428" s="138" t="str">
        <f t="shared" si="11"/>
        <v/>
      </c>
      <c r="AI428" s="19"/>
      <c r="AJ428" s="19"/>
      <c r="AK428" s="19"/>
      <c r="AL428" s="19"/>
      <c r="AM428" s="19"/>
    </row>
    <row r="429">
      <c r="A429" s="103" t="str">
        <f>IFERROR(__xludf.DUMMYFUNCTION("""COMPUTED_VALUE"""),"FLT1450")</f>
        <v>FLT1450</v>
      </c>
      <c r="B429" s="468">
        <f>IFERROR(__xludf.DUMMYFUNCTION("""COMPUTED_VALUE"""),44573.0)</f>
        <v>44573</v>
      </c>
      <c r="C429" s="469">
        <f>IFERROR(__xludf.DUMMYFUNCTION("""COMPUTED_VALUE"""),0.7403240740740741)</f>
        <v>0.7403240741</v>
      </c>
      <c r="D429" s="103" t="str">
        <f>IFERROR(__xludf.DUMMYFUNCTION("""COMPUTED_VALUE"""),"SpFLMP483153")</f>
        <v>SpFLMP483153</v>
      </c>
      <c r="E429" s="103"/>
      <c r="F429" s="103"/>
      <c r="G429" s="103" t="str">
        <f>IFERROR(__xludf.DUMMYFUNCTION("""COMPUTED_VALUE"""),"Negative")</f>
        <v>Negative</v>
      </c>
      <c r="H429" s="131" t="str">
        <f>IFERROR(__xludf.DUMMYFUNCTION("""COMPUTED_VALUE"""),"Negative")</f>
        <v>Negative</v>
      </c>
      <c r="I429" s="468">
        <f>IFERROR(__xludf.DUMMYFUNCTION("""COMPUTED_VALUE"""),44574.0)</f>
        <v>44574</v>
      </c>
      <c r="J429" s="470">
        <f>IFERROR(__xludf.DUMMYFUNCTION("""COMPUTED_VALUE"""),0.44807870370370373)</f>
        <v>0.4480787037</v>
      </c>
      <c r="K429" s="16"/>
      <c r="L429" s="8"/>
      <c r="M429" s="69"/>
      <c r="N429" s="69">
        <f>IFERROR(__xludf.DUMMYFUNCTION("""COMPUTED_VALUE"""),1.0)</f>
        <v>1</v>
      </c>
      <c r="O429" s="69" t="str">
        <f t="shared" si="3"/>
        <v/>
      </c>
      <c r="P429" s="471">
        <f>IFERROR(__xludf.DUMMYFUNCTION("""COMPUTED_VALUE"""),1.0)</f>
        <v>1</v>
      </c>
      <c r="Q429" s="274" t="str">
        <f>VLOOKUP($B429,'Run Reconcile'!B$2:O2488,14,FALSE)</f>
        <v/>
      </c>
      <c r="R429" s="472" t="str">
        <f t="array" ref="R429">IF($Q429, INDEX('Run Reconcile'!A$2:A2488,MATCH(B429,'Run Reconcile'!B$2:B2488,0),1),IFERROR(0/0,""))</f>
        <v/>
      </c>
      <c r="S429" s="473" t="b">
        <f t="shared" si="694"/>
        <v>1</v>
      </c>
      <c r="T429" s="473" t="str">
        <f t="shared" si="698"/>
        <v/>
      </c>
      <c r="U429" s="8" t="str">
        <f t="array" ref="U429">IF(ISBLANK($R429), INDEX('Run Reconcile'!A$2:A2488, MATCH($B429, 'Run Reconcile'!B$2:B2488, 0)+Z429, 1), IFERROR(0/0,""))
</f>
        <v>RUN-FLMP_2022-01-13_RFR-057</v>
      </c>
      <c r="V429" s="474" t="str">
        <f t="shared" si="5"/>
        <v>RUN-FLMP_2022-01-13_RFR-057</v>
      </c>
      <c r="W429" s="8" t="s">
        <v>1366</v>
      </c>
      <c r="Y429" s="21">
        <v>2.0</v>
      </c>
      <c r="Z429" s="60">
        <f t="shared" si="7"/>
        <v>2</v>
      </c>
      <c r="AA429" s="60">
        <f t="shared" si="8"/>
        <v>2</v>
      </c>
      <c r="AB429" s="60" t="str">
        <f t="shared" si="9"/>
        <v/>
      </c>
      <c r="AC429" s="30" t="str">
        <f t="shared" ref="AC429:AD429" si="781">IF(_xlfn.ISFORMULA(S429),IFERROR(0/0,""),TRUE)</f>
        <v/>
      </c>
      <c r="AD429" s="30" t="str">
        <f t="shared" si="781"/>
        <v/>
      </c>
      <c r="AE429" s="475" t="str">
        <f>IFERROR(__xludf.DUMMYFUNCTION("""COMPUTED_VALUE"""),"CRLN")</f>
        <v>CRLN</v>
      </c>
      <c r="AF429" s="476"/>
      <c r="AG429" s="474" t="s">
        <v>158</v>
      </c>
      <c r="AH429" s="138" t="str">
        <f t="shared" si="11"/>
        <v/>
      </c>
    </row>
    <row r="430">
      <c r="A430" s="103" t="str">
        <f>IFERROR(__xludf.DUMMYFUNCTION("""COMPUTED_VALUE"""),"FLT1478")</f>
        <v>FLT1478</v>
      </c>
      <c r="B430" s="468">
        <f>IFERROR(__xludf.DUMMYFUNCTION("""COMPUTED_VALUE"""),44573.0)</f>
        <v>44573</v>
      </c>
      <c r="C430" s="469">
        <f>IFERROR(__xludf.DUMMYFUNCTION("""COMPUTED_VALUE"""),0.7427083333333333)</f>
        <v>0.7427083333</v>
      </c>
      <c r="D430" s="103" t="str">
        <f>IFERROR(__xludf.DUMMYFUNCTION("""COMPUTED_VALUE"""),"SpFLMP904576")</f>
        <v>SpFLMP904576</v>
      </c>
      <c r="E430" s="103"/>
      <c r="F430" s="103"/>
      <c r="G430" s="103" t="str">
        <f>IFERROR(__xludf.DUMMYFUNCTION("""COMPUTED_VALUE"""),"Negative")</f>
        <v>Negative</v>
      </c>
      <c r="H430" s="131" t="str">
        <f>IFERROR(__xludf.DUMMYFUNCTION("""COMPUTED_VALUE"""),"Negative")</f>
        <v>Negative</v>
      </c>
      <c r="I430" s="468">
        <f>IFERROR(__xludf.DUMMYFUNCTION("""COMPUTED_VALUE"""),44574.0)</f>
        <v>44574</v>
      </c>
      <c r="J430" s="470">
        <f>IFERROR(__xludf.DUMMYFUNCTION("""COMPUTED_VALUE"""),0.44807870370370373)</f>
        <v>0.4480787037</v>
      </c>
      <c r="K430" s="16"/>
      <c r="L430" s="8"/>
      <c r="M430" s="69"/>
      <c r="N430" s="69">
        <f>IFERROR(__xludf.DUMMYFUNCTION("""COMPUTED_VALUE"""),2.0)</f>
        <v>2</v>
      </c>
      <c r="O430" s="69" t="str">
        <f t="shared" si="3"/>
        <v/>
      </c>
      <c r="P430" s="471">
        <f>IFERROR(__xludf.DUMMYFUNCTION("""COMPUTED_VALUE"""),1.0)</f>
        <v>1</v>
      </c>
      <c r="Q430" s="274" t="str">
        <f>VLOOKUP($B430,'Run Reconcile'!B$2:O2488,14,FALSE)</f>
        <v/>
      </c>
      <c r="R430" s="472" t="str">
        <f t="array" ref="R430">IF($Q430, INDEX('Run Reconcile'!A$2:A2488,MATCH(B430,'Run Reconcile'!B$2:B2488,0),1),IFERROR(0/0,""))</f>
        <v/>
      </c>
      <c r="S430" s="473" t="b">
        <f t="shared" si="694"/>
        <v>1</v>
      </c>
      <c r="T430" s="473" t="str">
        <f t="shared" si="698"/>
        <v/>
      </c>
      <c r="U430" s="8" t="str">
        <f t="array" ref="U430">IF(ISBLANK($R430), INDEX('Run Reconcile'!A$2:A2488, MATCH($B430, 'Run Reconcile'!B$2:B2488, 0)+Z430, 1), IFERROR(0/0,""))
</f>
        <v>RUN-FLMP_2022-01-13_RFR-057</v>
      </c>
      <c r="V430" s="474" t="str">
        <f t="shared" si="5"/>
        <v>RUN-FLMP_2022-01-13_RFR-057</v>
      </c>
      <c r="W430" s="8" t="s">
        <v>1367</v>
      </c>
      <c r="Y430" s="21">
        <v>2.0</v>
      </c>
      <c r="Z430" s="60">
        <f t="shared" si="7"/>
        <v>2</v>
      </c>
      <c r="AA430" s="60">
        <f t="shared" si="8"/>
        <v>2</v>
      </c>
      <c r="AB430" s="60" t="str">
        <f t="shared" si="9"/>
        <v/>
      </c>
      <c r="AC430" s="30" t="str">
        <f t="shared" ref="AC430:AD430" si="782">IF(_xlfn.ISFORMULA(S430),IFERROR(0/0,""),TRUE)</f>
        <v/>
      </c>
      <c r="AD430" s="30" t="str">
        <f t="shared" si="782"/>
        <v/>
      </c>
      <c r="AE430" s="475" t="str">
        <f>IFERROR(__xludf.DUMMYFUNCTION("""COMPUTED_VALUE"""),"CRLN")</f>
        <v>CRLN</v>
      </c>
      <c r="AF430" s="476"/>
      <c r="AG430" s="474" t="s">
        <v>158</v>
      </c>
      <c r="AH430" s="138" t="str">
        <f t="shared" si="11"/>
        <v/>
      </c>
    </row>
    <row r="431">
      <c r="A431" s="459" t="str">
        <f>IFERROR(__xludf.DUMMYFUNCTION("""COMPUTED_VALUE"""),"MA51")</f>
        <v>MA51</v>
      </c>
      <c r="B431" s="494">
        <f>IFERROR(__xludf.DUMMYFUNCTION("""COMPUTED_VALUE"""),44573.0)</f>
        <v>44573</v>
      </c>
      <c r="C431" s="495">
        <f>IFERROR(__xludf.DUMMYFUNCTION("""COMPUTED_VALUE"""),0.8036574074074074)</f>
        <v>0.8036574074</v>
      </c>
      <c r="D431" s="459" t="str">
        <f>IFERROR(__xludf.DUMMYFUNCTION("""COMPUTED_VALUE"""),"SpFLMP870846")</f>
        <v>SpFLMP870846</v>
      </c>
      <c r="E431" s="459"/>
      <c r="F431" s="459"/>
      <c r="G431" s="459" t="str">
        <f>IFERROR(__xludf.DUMMYFUNCTION("""COMPUTED_VALUE"""),"Negative")</f>
        <v>Negative</v>
      </c>
      <c r="H431" s="496" t="str">
        <f>IFERROR(__xludf.DUMMYFUNCTION("""COMPUTED_VALUE"""),"Negative")</f>
        <v>Negative</v>
      </c>
      <c r="I431" s="494">
        <f>IFERROR(__xludf.DUMMYFUNCTION("""COMPUTED_VALUE"""),44574.0)</f>
        <v>44574</v>
      </c>
      <c r="J431" s="497">
        <f>IFERROR(__xludf.DUMMYFUNCTION("""COMPUTED_VALUE"""),0.40879629629629627)</f>
        <v>0.4087962963</v>
      </c>
      <c r="K431" s="117"/>
      <c r="L431" s="110"/>
      <c r="M431" s="518"/>
      <c r="N431" s="518">
        <f>IFERROR(__xludf.DUMMYFUNCTION("""COMPUTED_VALUE"""),1.0)</f>
        <v>1</v>
      </c>
      <c r="O431" s="518" t="str">
        <f t="shared" si="3"/>
        <v/>
      </c>
      <c r="P431" s="471">
        <f>IFERROR(__xludf.DUMMYFUNCTION("""COMPUTED_VALUE"""),1.0)</f>
        <v>1</v>
      </c>
      <c r="Q431" s="519" t="str">
        <f>VLOOKUP($B431,'Run Reconcile'!B$2:O2488,14,FALSE)</f>
        <v/>
      </c>
      <c r="R431" s="520" t="str">
        <f t="array" ref="R431">IF($Q431, INDEX('Run Reconcile'!A$2:A2488,MATCH(B431,'Run Reconcile'!B$2:B2488,0),1),IFERROR(0/0,""))</f>
        <v/>
      </c>
      <c r="S431" s="521" t="b">
        <f t="shared" si="694"/>
        <v>1</v>
      </c>
      <c r="T431" s="521" t="str">
        <f t="shared" si="698"/>
        <v/>
      </c>
      <c r="U431" s="110" t="str">
        <f t="array" ref="U431">IF(ISBLANK($R431), INDEX('Run Reconcile'!A$2:A2488, MATCH($B431, 'Run Reconcile'!B$2:B2488, 0)+Z431, 1), IFERROR(0/0,""))
</f>
        <v>RUN-FLMP_2022-01-13_RFR-056</v>
      </c>
      <c r="V431" s="474" t="str">
        <f t="shared" si="5"/>
        <v>RUN-FLMP_2022-01-13_RFR-056</v>
      </c>
      <c r="W431" s="8" t="s">
        <v>1368</v>
      </c>
      <c r="Y431" s="89">
        <f t="shared" ref="Y431:Y432" si="784">IF(AND(ISBLANK(W431),ISBLANK(X431)),IFERROR(0/0,""),1)</f>
        <v>1</v>
      </c>
      <c r="Z431" s="60">
        <f t="shared" si="7"/>
        <v>1</v>
      </c>
      <c r="AA431" s="60">
        <f t="shared" si="8"/>
        <v>1</v>
      </c>
      <c r="AB431" s="60" t="str">
        <f t="shared" si="9"/>
        <v/>
      </c>
      <c r="AC431" s="30" t="str">
        <f t="shared" ref="AC431:AD431" si="783">IF(_xlfn.ISFORMULA(S431),IFERROR(0/0,""),TRUE)</f>
        <v/>
      </c>
      <c r="AD431" s="30" t="str">
        <f t="shared" si="783"/>
        <v/>
      </c>
      <c r="AE431" s="475" t="str">
        <f>IFERROR(__xludf.DUMMYFUNCTION("""COMPUTED_VALUE"""),"FLSP")</f>
        <v>FLSP</v>
      </c>
      <c r="AF431" s="476"/>
      <c r="AG431" s="474" t="s">
        <v>157</v>
      </c>
      <c r="AH431" s="138" t="str">
        <f t="shared" si="11"/>
        <v/>
      </c>
    </row>
    <row r="432">
      <c r="A432" s="459" t="str">
        <f>IFERROR(__xludf.DUMMYFUNCTION("""COMPUTED_VALUE"""),"MA8")</f>
        <v>MA8</v>
      </c>
      <c r="B432" s="494">
        <f>IFERROR(__xludf.DUMMYFUNCTION("""COMPUTED_VALUE"""),44573.0)</f>
        <v>44573</v>
      </c>
      <c r="C432" s="495">
        <f>IFERROR(__xludf.DUMMYFUNCTION("""COMPUTED_VALUE"""),0.8039930555555556)</f>
        <v>0.8039930556</v>
      </c>
      <c r="D432" s="459" t="str">
        <f>IFERROR(__xludf.DUMMYFUNCTION("""COMPUTED_VALUE"""),"SpFLMP870846")</f>
        <v>SpFLMP870846</v>
      </c>
      <c r="E432" s="459"/>
      <c r="F432" s="459"/>
      <c r="G432" s="459" t="str">
        <f>IFERROR(__xludf.DUMMYFUNCTION("""COMPUTED_VALUE"""),"Negative")</f>
        <v>Negative</v>
      </c>
      <c r="H432" s="496" t="str">
        <f>IFERROR(__xludf.DUMMYFUNCTION("""COMPUTED_VALUE"""),"Negative")</f>
        <v>Negative</v>
      </c>
      <c r="I432" s="494">
        <f>IFERROR(__xludf.DUMMYFUNCTION("""COMPUTED_VALUE"""),44574.0)</f>
        <v>44574</v>
      </c>
      <c r="J432" s="497">
        <f>IFERROR(__xludf.DUMMYFUNCTION("""COMPUTED_VALUE"""),0.40879629629629627)</f>
        <v>0.4087962963</v>
      </c>
      <c r="K432" s="117"/>
      <c r="L432" s="110"/>
      <c r="M432" s="518"/>
      <c r="N432" s="518">
        <f>IFERROR(__xludf.DUMMYFUNCTION("""COMPUTED_VALUE"""),1.0)</f>
        <v>1</v>
      </c>
      <c r="O432" s="518" t="str">
        <f t="shared" si="3"/>
        <v/>
      </c>
      <c r="P432" s="471">
        <f>IFERROR(__xludf.DUMMYFUNCTION("""COMPUTED_VALUE"""),1.0)</f>
        <v>1</v>
      </c>
      <c r="Q432" s="519" t="str">
        <f>VLOOKUP($B432,'Run Reconcile'!B$2:O2488,14,FALSE)</f>
        <v/>
      </c>
      <c r="R432" s="520" t="str">
        <f t="array" ref="R432">IF($Q432, INDEX('Run Reconcile'!A$2:A2488,MATCH(B432,'Run Reconcile'!B$2:B2488,0),1),IFERROR(0/0,""))</f>
        <v/>
      </c>
      <c r="S432" s="521" t="b">
        <f t="shared" si="694"/>
        <v>1</v>
      </c>
      <c r="T432" s="521" t="str">
        <f t="shared" si="698"/>
        <v/>
      </c>
      <c r="U432" s="110" t="str">
        <f t="array" ref="U432">IF(ISBLANK($R432), INDEX('Run Reconcile'!A$2:A2488, MATCH($B432, 'Run Reconcile'!B$2:B2488, 0)+Z432, 1), IFERROR(0/0,""))
</f>
        <v>RUN-FLMP_2022-01-13_RFR-056</v>
      </c>
      <c r="V432" s="474" t="str">
        <f t="shared" si="5"/>
        <v>RUN-FLMP_2022-01-13_RFR-056</v>
      </c>
      <c r="W432" s="8" t="s">
        <v>1369</v>
      </c>
      <c r="Y432" s="89">
        <f t="shared" si="784"/>
        <v>1</v>
      </c>
      <c r="Z432" s="60">
        <f t="shared" si="7"/>
        <v>1</v>
      </c>
      <c r="AA432" s="60">
        <f t="shared" si="8"/>
        <v>1</v>
      </c>
      <c r="AB432" s="60" t="str">
        <f t="shared" si="9"/>
        <v/>
      </c>
      <c r="AC432" s="30" t="str">
        <f t="shared" ref="AC432:AD432" si="785">IF(_xlfn.ISFORMULA(S432),IFERROR(0/0,""),TRUE)</f>
        <v/>
      </c>
      <c r="AD432" s="30" t="str">
        <f t="shared" si="785"/>
        <v/>
      </c>
      <c r="AE432" s="475" t="str">
        <f>IFERROR(__xludf.DUMMYFUNCTION("""COMPUTED_VALUE"""),"FLSP")</f>
        <v>FLSP</v>
      </c>
      <c r="AF432" s="476"/>
      <c r="AG432" s="474" t="s">
        <v>157</v>
      </c>
      <c r="AH432" s="138" t="str">
        <f t="shared" si="11"/>
        <v/>
      </c>
    </row>
    <row r="433">
      <c r="A433" s="103" t="str">
        <f>IFERROR(__xludf.DUMMYFUNCTION("""COMPUTED_VALUE"""),"FLT1491")</f>
        <v>FLT1491</v>
      </c>
      <c r="B433" s="468">
        <f>IFERROR(__xludf.DUMMYFUNCTION("""COMPUTED_VALUE"""),44573.0)</f>
        <v>44573</v>
      </c>
      <c r="C433" s="469">
        <f>IFERROR(__xludf.DUMMYFUNCTION("""COMPUTED_VALUE"""),0.8382986111111111)</f>
        <v>0.8382986111</v>
      </c>
      <c r="D433" s="103" t="str">
        <f>IFERROR(__xludf.DUMMYFUNCTION("""COMPUTED_VALUE"""),"SpFLMP518914")</f>
        <v>SpFLMP518914</v>
      </c>
      <c r="E433" s="103"/>
      <c r="F433" s="103"/>
      <c r="G433" s="103" t="str">
        <f>IFERROR(__xludf.DUMMYFUNCTION("""COMPUTED_VALUE"""),"Negative")</f>
        <v>Negative</v>
      </c>
      <c r="H433" s="131" t="str">
        <f>IFERROR(__xludf.DUMMYFUNCTION("""COMPUTED_VALUE"""),"Negative")</f>
        <v>Negative</v>
      </c>
      <c r="I433" s="468">
        <f>IFERROR(__xludf.DUMMYFUNCTION("""COMPUTED_VALUE"""),44574.0)</f>
        <v>44574</v>
      </c>
      <c r="J433" s="470">
        <f>IFERROR(__xludf.DUMMYFUNCTION("""COMPUTED_VALUE"""),0.44807870370370373)</f>
        <v>0.4480787037</v>
      </c>
      <c r="K433" s="16"/>
      <c r="L433" s="8"/>
      <c r="M433" s="69"/>
      <c r="N433" s="69">
        <f>IFERROR(__xludf.DUMMYFUNCTION("""COMPUTED_VALUE"""),1.0)</f>
        <v>1</v>
      </c>
      <c r="O433" s="69" t="str">
        <f t="shared" si="3"/>
        <v/>
      </c>
      <c r="P433" s="471">
        <f>IFERROR(__xludf.DUMMYFUNCTION("""COMPUTED_VALUE"""),1.0)</f>
        <v>1</v>
      </c>
      <c r="Q433" s="274" t="str">
        <f>VLOOKUP($B433,'Run Reconcile'!B$2:O2488,14,FALSE)</f>
        <v/>
      </c>
      <c r="R433" s="472" t="str">
        <f t="array" ref="R433">IF($Q433, INDEX('Run Reconcile'!A$2:A2488,MATCH(B433,'Run Reconcile'!B$2:B2488,0),1),IFERROR(0/0,""))</f>
        <v/>
      </c>
      <c r="S433" s="473" t="b">
        <f t="shared" si="694"/>
        <v>1</v>
      </c>
      <c r="T433" s="473" t="str">
        <f t="shared" si="698"/>
        <v/>
      </c>
      <c r="U433" s="8" t="str">
        <f t="array" ref="U433">IF(ISBLANK($R433), INDEX('Run Reconcile'!A$2:A2488, MATCH($B433, 'Run Reconcile'!B$2:B2488, 0)+Z433, 1), IFERROR(0/0,""))
</f>
        <v>RUN-FLMP_2022-01-13_RFR-057</v>
      </c>
      <c r="V433" s="474" t="str">
        <f t="shared" si="5"/>
        <v>RUN-FLMP_2022-01-13_RFR-057</v>
      </c>
      <c r="W433" s="8" t="s">
        <v>1370</v>
      </c>
      <c r="Y433" s="21">
        <v>2.0</v>
      </c>
      <c r="Z433" s="60">
        <f t="shared" si="7"/>
        <v>2</v>
      </c>
      <c r="AA433" s="60">
        <f t="shared" si="8"/>
        <v>2</v>
      </c>
      <c r="AB433" s="60" t="str">
        <f t="shared" si="9"/>
        <v/>
      </c>
      <c r="AC433" s="30" t="str">
        <f t="shared" ref="AC433:AD433" si="786">IF(_xlfn.ISFORMULA(S433),IFERROR(0/0,""),TRUE)</f>
        <v/>
      </c>
      <c r="AD433" s="30" t="str">
        <f t="shared" si="786"/>
        <v/>
      </c>
      <c r="AE433" s="475" t="str">
        <f>IFERROR(__xludf.DUMMYFUNCTION("""COMPUTED_VALUE"""),"CRLN")</f>
        <v>CRLN</v>
      </c>
      <c r="AF433" s="476"/>
      <c r="AG433" s="474" t="s">
        <v>158</v>
      </c>
      <c r="AH433" s="138" t="str">
        <f t="shared" si="11"/>
        <v/>
      </c>
    </row>
    <row r="434">
      <c r="A434" s="103" t="str">
        <f>IFERROR(__xludf.DUMMYFUNCTION("""COMPUTED_VALUE"""),"FLT1157")</f>
        <v>FLT1157</v>
      </c>
      <c r="B434" s="468">
        <f>IFERROR(__xludf.DUMMYFUNCTION("""COMPUTED_VALUE"""),44573.0)</f>
        <v>44573</v>
      </c>
      <c r="C434" s="469">
        <f>IFERROR(__xludf.DUMMYFUNCTION("""COMPUTED_VALUE"""),0.8398148148148148)</f>
        <v>0.8398148148</v>
      </c>
      <c r="D434" s="103" t="str">
        <f>IFERROR(__xludf.DUMMYFUNCTION("""COMPUTED_VALUE"""),"SpFLMP518914")</f>
        <v>SpFLMP518914</v>
      </c>
      <c r="E434" s="103"/>
      <c r="F434" s="103"/>
      <c r="G434" s="103" t="str">
        <f>IFERROR(__xludf.DUMMYFUNCTION("""COMPUTED_VALUE"""),"Negative")</f>
        <v>Negative</v>
      </c>
      <c r="H434" s="131" t="str">
        <f>IFERROR(__xludf.DUMMYFUNCTION("""COMPUTED_VALUE"""),"Negative")</f>
        <v>Negative</v>
      </c>
      <c r="I434" s="468">
        <f>IFERROR(__xludf.DUMMYFUNCTION("""COMPUTED_VALUE"""),44574.0)</f>
        <v>44574</v>
      </c>
      <c r="J434" s="470">
        <f>IFERROR(__xludf.DUMMYFUNCTION("""COMPUTED_VALUE"""),0.44807870370370373)</f>
        <v>0.4480787037</v>
      </c>
      <c r="K434" s="16"/>
      <c r="L434" s="8"/>
      <c r="M434" s="69"/>
      <c r="N434" s="69">
        <f>IFERROR(__xludf.DUMMYFUNCTION("""COMPUTED_VALUE"""),2.0)</f>
        <v>2</v>
      </c>
      <c r="O434" s="69" t="str">
        <f t="shared" si="3"/>
        <v/>
      </c>
      <c r="P434" s="471">
        <f>IFERROR(__xludf.DUMMYFUNCTION("""COMPUTED_VALUE"""),1.0)</f>
        <v>1</v>
      </c>
      <c r="Q434" s="274" t="str">
        <f>VLOOKUP($B434,'Run Reconcile'!B$2:O2488,14,FALSE)</f>
        <v/>
      </c>
      <c r="R434" s="472" t="str">
        <f t="array" ref="R434">IF($Q434, INDEX('Run Reconcile'!A$2:A2488,MATCH(B434,'Run Reconcile'!B$2:B2488,0),1),IFERROR(0/0,""))</f>
        <v/>
      </c>
      <c r="S434" s="473" t="b">
        <f t="shared" si="694"/>
        <v>1</v>
      </c>
      <c r="T434" s="473" t="str">
        <f t="shared" si="698"/>
        <v/>
      </c>
      <c r="U434" s="8" t="str">
        <f t="array" ref="U434">IF(ISBLANK($R434), INDEX('Run Reconcile'!A$2:A2488, MATCH($B434, 'Run Reconcile'!B$2:B2488, 0)+Z434, 1), IFERROR(0/0,""))
</f>
        <v>RUN-FLMP_2022-01-13_RFR-057</v>
      </c>
      <c r="V434" s="474" t="str">
        <f t="shared" si="5"/>
        <v>RUN-FLMP_2022-01-13_RFR-057</v>
      </c>
      <c r="W434" s="8" t="s">
        <v>1371</v>
      </c>
      <c r="Y434" s="21">
        <v>2.0</v>
      </c>
      <c r="Z434" s="60">
        <f t="shared" si="7"/>
        <v>2</v>
      </c>
      <c r="AA434" s="60">
        <f t="shared" si="8"/>
        <v>2</v>
      </c>
      <c r="AB434" s="60" t="str">
        <f t="shared" si="9"/>
        <v/>
      </c>
      <c r="AC434" s="30" t="str">
        <f t="shared" ref="AC434:AD434" si="787">IF(_xlfn.ISFORMULA(S434),IFERROR(0/0,""),TRUE)</f>
        <v/>
      </c>
      <c r="AD434" s="30" t="str">
        <f t="shared" si="787"/>
        <v/>
      </c>
      <c r="AE434" s="475" t="str">
        <f>IFERROR(__xludf.DUMMYFUNCTION("""COMPUTED_VALUE"""),"CRLN")</f>
        <v>CRLN</v>
      </c>
      <c r="AF434" s="476"/>
      <c r="AG434" s="474" t="s">
        <v>158</v>
      </c>
      <c r="AH434" s="138" t="str">
        <f t="shared" si="11"/>
        <v/>
      </c>
    </row>
    <row r="435">
      <c r="A435" s="103" t="str">
        <f>IFERROR(__xludf.DUMMYFUNCTION("""COMPUTED_VALUE"""),"FLT1125")</f>
        <v>FLT1125</v>
      </c>
      <c r="B435" s="468">
        <f>IFERROR(__xludf.DUMMYFUNCTION("""COMPUTED_VALUE"""),44573.0)</f>
        <v>44573</v>
      </c>
      <c r="C435" s="469">
        <f>IFERROR(__xludf.DUMMYFUNCTION("""COMPUTED_VALUE"""),0.854363425925926)</f>
        <v>0.8543634259</v>
      </c>
      <c r="D435" s="103" t="str">
        <f>IFERROR(__xludf.DUMMYFUNCTION("""COMPUTED_VALUE"""),"SpFLMP518914")</f>
        <v>SpFLMP518914</v>
      </c>
      <c r="E435" s="103"/>
      <c r="F435" s="103"/>
      <c r="G435" s="103" t="str">
        <f>IFERROR(__xludf.DUMMYFUNCTION("""COMPUTED_VALUE"""),"Negative")</f>
        <v>Negative</v>
      </c>
      <c r="H435" s="131" t="str">
        <f>IFERROR(__xludf.DUMMYFUNCTION("""COMPUTED_VALUE"""),"Negative")</f>
        <v>Negative</v>
      </c>
      <c r="I435" s="468">
        <f>IFERROR(__xludf.DUMMYFUNCTION("""COMPUTED_VALUE"""),44574.0)</f>
        <v>44574</v>
      </c>
      <c r="J435" s="470">
        <f>IFERROR(__xludf.DUMMYFUNCTION("""COMPUTED_VALUE"""),0.48118055555555556)</f>
        <v>0.4811805556</v>
      </c>
      <c r="K435" s="16"/>
      <c r="L435" s="8"/>
      <c r="M435" s="69"/>
      <c r="N435" s="69">
        <f>IFERROR(__xludf.DUMMYFUNCTION("""COMPUTED_VALUE"""),2.0)</f>
        <v>2</v>
      </c>
      <c r="O435" s="69" t="str">
        <f t="shared" si="3"/>
        <v/>
      </c>
      <c r="P435" s="471">
        <f>IFERROR(__xludf.DUMMYFUNCTION("""COMPUTED_VALUE"""),1.0)</f>
        <v>1</v>
      </c>
      <c r="Q435" s="274" t="str">
        <f>VLOOKUP($B435,'Run Reconcile'!B$2:O2488,14,FALSE)</f>
        <v/>
      </c>
      <c r="R435" s="472" t="str">
        <f t="array" ref="R435">IF($Q435, INDEX('Run Reconcile'!A$2:A2488,MATCH(B435,'Run Reconcile'!B$2:B2488,0),1),IFERROR(0/0,""))</f>
        <v/>
      </c>
      <c r="S435" s="473" t="b">
        <f t="shared" si="694"/>
        <v>1</v>
      </c>
      <c r="T435" s="473" t="str">
        <f t="shared" si="698"/>
        <v/>
      </c>
      <c r="U435" s="8" t="str">
        <f t="array" ref="U435">IF(ISBLANK($R435), INDEX('Run Reconcile'!A$2:A2488, MATCH($B435, 'Run Reconcile'!B$2:B2488, 0)+Z435, 1), IFERROR(0/0,""))
</f>
        <v>RUN-FLMP_2022-01-13_RFR-057</v>
      </c>
      <c r="V435" s="474" t="str">
        <f t="shared" si="5"/>
        <v>RUN-FLMP_2022-01-13_RFR-057</v>
      </c>
      <c r="W435" s="8" t="s">
        <v>1372</v>
      </c>
      <c r="Y435" s="21">
        <v>2.0</v>
      </c>
      <c r="Z435" s="60">
        <f t="shared" si="7"/>
        <v>2</v>
      </c>
      <c r="AA435" s="60">
        <f t="shared" si="8"/>
        <v>2</v>
      </c>
      <c r="AB435" s="60" t="str">
        <f t="shared" si="9"/>
        <v/>
      </c>
      <c r="AC435" s="30" t="str">
        <f t="shared" ref="AC435:AD435" si="788">IF(_xlfn.ISFORMULA(S435),IFERROR(0/0,""),TRUE)</f>
        <v/>
      </c>
      <c r="AD435" s="30" t="str">
        <f t="shared" si="788"/>
        <v/>
      </c>
      <c r="AE435" s="475" t="str">
        <f>IFERROR(__xludf.DUMMYFUNCTION("""COMPUTED_VALUE"""),"CRLN")</f>
        <v>CRLN</v>
      </c>
      <c r="AF435" s="476"/>
      <c r="AG435" s="474" t="s">
        <v>158</v>
      </c>
      <c r="AH435" s="138" t="str">
        <f t="shared" si="11"/>
        <v/>
      </c>
    </row>
    <row r="436">
      <c r="A436" s="103" t="str">
        <f>IFERROR(__xludf.DUMMYFUNCTION("""COMPUTED_VALUE"""),"FLT1474")</f>
        <v>FLT1474</v>
      </c>
      <c r="B436" s="468">
        <f>IFERROR(__xludf.DUMMYFUNCTION("""COMPUTED_VALUE"""),44573.0)</f>
        <v>44573</v>
      </c>
      <c r="C436" s="469">
        <f>IFERROR(__xludf.DUMMYFUNCTION("""COMPUTED_VALUE"""),0.947488425925926)</f>
        <v>0.9474884259</v>
      </c>
      <c r="D436" s="103" t="str">
        <f>IFERROR(__xludf.DUMMYFUNCTION("""COMPUTED_VALUE"""),"SpFLMP268514")</f>
        <v>SpFLMP268514</v>
      </c>
      <c r="E436" s="103"/>
      <c r="F436" s="103"/>
      <c r="G436" s="103" t="str">
        <f>IFERROR(__xludf.DUMMYFUNCTION("""COMPUTED_VALUE"""),"Negative")</f>
        <v>Negative</v>
      </c>
      <c r="H436" s="131" t="str">
        <f>IFERROR(__xludf.DUMMYFUNCTION("""COMPUTED_VALUE"""),"Negative")</f>
        <v>Negative</v>
      </c>
      <c r="I436" s="468">
        <f>IFERROR(__xludf.DUMMYFUNCTION("""COMPUTED_VALUE"""),44574.0)</f>
        <v>44574</v>
      </c>
      <c r="J436" s="470">
        <f>IFERROR(__xludf.DUMMYFUNCTION("""COMPUTED_VALUE"""),0.44807870370370373)</f>
        <v>0.4480787037</v>
      </c>
      <c r="K436" s="16"/>
      <c r="L436" s="8"/>
      <c r="M436" s="69"/>
      <c r="N436" s="69">
        <f>IFERROR(__xludf.DUMMYFUNCTION("""COMPUTED_VALUE"""),4.0)</f>
        <v>4</v>
      </c>
      <c r="O436" s="69" t="str">
        <f t="shared" si="3"/>
        <v/>
      </c>
      <c r="P436" s="471">
        <f>IFERROR(__xludf.DUMMYFUNCTION("""COMPUTED_VALUE"""),1.0)</f>
        <v>1</v>
      </c>
      <c r="Q436" s="274" t="str">
        <f>VLOOKUP($B436,'Run Reconcile'!B$2:O2488,14,FALSE)</f>
        <v/>
      </c>
      <c r="R436" s="472" t="str">
        <f t="array" ref="R436">IF($Q436, INDEX('Run Reconcile'!A$2:A2488,MATCH(B436,'Run Reconcile'!B$2:B2488,0),1),IFERROR(0/0,""))</f>
        <v/>
      </c>
      <c r="S436" s="473" t="b">
        <f t="shared" si="694"/>
        <v>1</v>
      </c>
      <c r="T436" s="473" t="str">
        <f t="shared" si="698"/>
        <v/>
      </c>
      <c r="U436" s="8" t="str">
        <f t="array" ref="U436">IF(ISBLANK($R436), INDEX('Run Reconcile'!A$2:A2488, MATCH($B436, 'Run Reconcile'!B$2:B2488, 0)+Z436, 1), IFERROR(0/0,""))
</f>
        <v>RUN-FLMP_2022-01-13_RFR-057</v>
      </c>
      <c r="V436" s="474" t="str">
        <f t="shared" si="5"/>
        <v>RUN-FLMP_2022-01-13_RFR-057</v>
      </c>
      <c r="W436" s="8" t="s">
        <v>1373</v>
      </c>
      <c r="Y436" s="21">
        <v>2.0</v>
      </c>
      <c r="Z436" s="60">
        <f t="shared" si="7"/>
        <v>2</v>
      </c>
      <c r="AA436" s="60">
        <f t="shared" si="8"/>
        <v>2</v>
      </c>
      <c r="AB436" s="60" t="str">
        <f t="shared" si="9"/>
        <v/>
      </c>
      <c r="AC436" s="30" t="str">
        <f t="shared" ref="AC436:AD436" si="789">IF(_xlfn.ISFORMULA(S436),IFERROR(0/0,""),TRUE)</f>
        <v/>
      </c>
      <c r="AD436" s="30" t="str">
        <f t="shared" si="789"/>
        <v/>
      </c>
      <c r="AE436" s="475" t="str">
        <f>IFERROR(__xludf.DUMMYFUNCTION("""COMPUTED_VALUE"""),"CRLN")</f>
        <v>CRLN</v>
      </c>
      <c r="AF436" s="476"/>
      <c r="AG436" s="474" t="s">
        <v>158</v>
      </c>
      <c r="AH436" s="138" t="str">
        <f t="shared" si="11"/>
        <v/>
      </c>
    </row>
    <row r="437">
      <c r="A437" s="477" t="str">
        <f>IFERROR(__xludf.DUMMYFUNCTION("""COMPUTED_VALUE"""),"FLT1160")</f>
        <v>FLT1160</v>
      </c>
      <c r="B437" s="478">
        <f>IFERROR(__xludf.DUMMYFUNCTION("""COMPUTED_VALUE"""),44574.0)</f>
        <v>44574</v>
      </c>
      <c r="C437" s="479">
        <f>IFERROR(__xludf.DUMMYFUNCTION("""COMPUTED_VALUE"""),0.22252314814814814)</f>
        <v>0.2225231481</v>
      </c>
      <c r="D437" s="477" t="str">
        <f>IFERROR(__xludf.DUMMYFUNCTION("""COMPUTED_VALUE"""),"SpFLMP470379")</f>
        <v>SpFLMP470379</v>
      </c>
      <c r="E437" s="477"/>
      <c r="F437" s="477"/>
      <c r="G437" s="477" t="str">
        <f>IFERROR(__xludf.DUMMYFUNCTION("""COMPUTED_VALUE"""),"Negative")</f>
        <v>Negative</v>
      </c>
      <c r="H437" s="480" t="str">
        <f>IFERROR(__xludf.DUMMYFUNCTION("""COMPUTED_VALUE"""),"Negative")</f>
        <v>Negative</v>
      </c>
      <c r="I437" s="478">
        <f>IFERROR(__xludf.DUMMYFUNCTION("""COMPUTED_VALUE"""),44574.0)</f>
        <v>44574</v>
      </c>
      <c r="J437" s="481">
        <f>IFERROR(__xludf.DUMMYFUNCTION("""COMPUTED_VALUE"""),0.44807870370370373)</f>
        <v>0.4480787037</v>
      </c>
      <c r="K437" s="156"/>
      <c r="L437" s="19"/>
      <c r="M437" s="482"/>
      <c r="N437" s="482">
        <f>IFERROR(__xludf.DUMMYFUNCTION("""COMPUTED_VALUE"""),1.0)</f>
        <v>1</v>
      </c>
      <c r="O437" s="482" t="b">
        <f t="shared" si="3"/>
        <v>1</v>
      </c>
      <c r="P437" s="483">
        <f>IFERROR(__xludf.DUMMYFUNCTION("""COMPUTED_VALUE"""),0.0)</f>
        <v>0</v>
      </c>
      <c r="Q437" s="352" t="str">
        <f>VLOOKUP($B437,'Run Reconcile'!B$2:O2488,14,FALSE)</f>
        <v/>
      </c>
      <c r="R437" s="484" t="str">
        <f t="array" ref="R437">IF($Q437, INDEX('Run Reconcile'!A$2:A2488,MATCH(B437,'Run Reconcile'!B$2:B2488,0),1),IFERROR(0/0,""))</f>
        <v/>
      </c>
      <c r="S437" s="485" t="str">
        <f t="shared" si="694"/>
        <v/>
      </c>
      <c r="T437" s="485" t="b">
        <f t="shared" si="698"/>
        <v>1</v>
      </c>
      <c r="U437" s="19" t="str">
        <f t="array" ref="U437">IF(ISBLANK($R437), INDEX('Run Reconcile'!A$2:A2488, MATCH($B437, 'Run Reconcile'!B$2:B2488, 0)+Z437, 1), IFERROR(0/0,""))
</f>
        <v>RUN-FLMP_2022-01-13_RFR-057</v>
      </c>
      <c r="V437" s="486" t="str">
        <f t="shared" si="5"/>
        <v>RUN-FLMP_2022-01-13_RFR-057</v>
      </c>
      <c r="W437" s="19"/>
      <c r="X437" s="19" t="s">
        <v>1374</v>
      </c>
      <c r="Y437" s="156">
        <f t="shared" ref="Y437:Y492" si="791">IF(AND(ISBLANK(W437),ISBLANK(X437)),IFERROR(0/0,""),1)</f>
        <v>1</v>
      </c>
      <c r="Z437" s="487">
        <f t="shared" si="7"/>
        <v>1</v>
      </c>
      <c r="AA437" s="487" t="str">
        <f t="shared" si="8"/>
        <v/>
      </c>
      <c r="AB437" s="487">
        <f t="shared" si="9"/>
        <v>1</v>
      </c>
      <c r="AC437" s="158" t="str">
        <f t="shared" ref="AC437:AD437" si="790">IF(_xlfn.ISFORMULA(S437),IFERROR(0/0,""),TRUE)</f>
        <v/>
      </c>
      <c r="AD437" s="158" t="str">
        <f t="shared" si="790"/>
        <v/>
      </c>
      <c r="AE437" s="488" t="str">
        <f>IFERROR(__xludf.DUMMYFUNCTION("""COMPUTED_VALUE"""),"CRLN")</f>
        <v>CRLN</v>
      </c>
      <c r="AF437" s="489"/>
      <c r="AG437" s="486" t="s">
        <v>158</v>
      </c>
      <c r="AH437" s="490" t="str">
        <f t="shared" si="11"/>
        <v/>
      </c>
      <c r="AI437" s="19"/>
      <c r="AJ437" s="19"/>
      <c r="AK437" s="19"/>
      <c r="AL437" s="19"/>
      <c r="AM437" s="19"/>
    </row>
    <row r="438">
      <c r="A438" s="103" t="str">
        <f>IFERROR(__xludf.DUMMYFUNCTION("""COMPUTED_VALUE"""),"FLT1126")</f>
        <v>FLT1126</v>
      </c>
      <c r="B438" s="468">
        <f>IFERROR(__xludf.DUMMYFUNCTION("""COMPUTED_VALUE"""),44574.0)</f>
        <v>44574</v>
      </c>
      <c r="C438" s="469">
        <f>IFERROR(__xludf.DUMMYFUNCTION("""COMPUTED_VALUE"""),0.2899305555555556)</f>
        <v>0.2899305556</v>
      </c>
      <c r="D438" s="103" t="str">
        <f>IFERROR(__xludf.DUMMYFUNCTION("""COMPUTED_VALUE"""),"SpFLMP690282")</f>
        <v>SpFLMP690282</v>
      </c>
      <c r="E438" s="103"/>
      <c r="F438" s="103"/>
      <c r="G438" s="103" t="str">
        <f>IFERROR(__xludf.DUMMYFUNCTION("""COMPUTED_VALUE"""),"Negative")</f>
        <v>Negative</v>
      </c>
      <c r="H438" s="131" t="str">
        <f>IFERROR(__xludf.DUMMYFUNCTION("""COMPUTED_VALUE"""),"Negative")</f>
        <v>Negative</v>
      </c>
      <c r="I438" s="468">
        <f>IFERROR(__xludf.DUMMYFUNCTION("""COMPUTED_VALUE"""),44574.0)</f>
        <v>44574</v>
      </c>
      <c r="J438" s="470">
        <f>IFERROR(__xludf.DUMMYFUNCTION("""COMPUTED_VALUE"""),0.44807870370370373)</f>
        <v>0.4480787037</v>
      </c>
      <c r="K438" s="16"/>
      <c r="L438" s="8"/>
      <c r="M438" s="69"/>
      <c r="N438" s="69">
        <f>IFERROR(__xludf.DUMMYFUNCTION("""COMPUTED_VALUE"""),2.0)</f>
        <v>2</v>
      </c>
      <c r="O438" s="69" t="str">
        <f t="shared" si="3"/>
        <v/>
      </c>
      <c r="P438" s="471">
        <f>IFERROR(__xludf.DUMMYFUNCTION("""COMPUTED_VALUE"""),0.0)</f>
        <v>0</v>
      </c>
      <c r="Q438" s="274" t="str">
        <f>VLOOKUP($B438,'Run Reconcile'!B$2:O2488,14,FALSE)</f>
        <v/>
      </c>
      <c r="R438" s="472" t="str">
        <f t="array" ref="R438">IF($Q438, INDEX('Run Reconcile'!A$2:A2488,MATCH(B438,'Run Reconcile'!B$2:B2488,0),1),IFERROR(0/0,""))</f>
        <v/>
      </c>
      <c r="S438" s="473" t="str">
        <f t="shared" si="694"/>
        <v/>
      </c>
      <c r="T438" s="473" t="b">
        <f t="shared" si="698"/>
        <v>1</v>
      </c>
      <c r="U438" s="8" t="str">
        <f t="array" ref="U438">IF(ISBLANK($R438), INDEX('Run Reconcile'!A$2:A2488, MATCH($B438, 'Run Reconcile'!B$2:B2488, 0)+Z438, 1), IFERROR(0/0,""))
</f>
        <v>RUN-FLMP_2022-01-13_RFR-057</v>
      </c>
      <c r="V438" s="474" t="str">
        <f t="shared" si="5"/>
        <v>RUN-FLMP_2022-01-13_RFR-057</v>
      </c>
      <c r="X438" s="8" t="s">
        <v>1375</v>
      </c>
      <c r="Y438" s="89">
        <f t="shared" si="791"/>
        <v>1</v>
      </c>
      <c r="Z438" s="60">
        <f t="shared" si="7"/>
        <v>1</v>
      </c>
      <c r="AA438" s="60" t="str">
        <f t="shared" si="8"/>
        <v/>
      </c>
      <c r="AB438" s="60">
        <f t="shared" si="9"/>
        <v>1</v>
      </c>
      <c r="AC438" s="30" t="str">
        <f t="shared" ref="AC438:AD438" si="792">IF(_xlfn.ISFORMULA(S438),IFERROR(0/0,""),TRUE)</f>
        <v/>
      </c>
      <c r="AD438" s="30" t="str">
        <f t="shared" si="792"/>
        <v/>
      </c>
      <c r="AE438" s="475" t="str">
        <f>IFERROR(__xludf.DUMMYFUNCTION("""COMPUTED_VALUE"""),"CRLN")</f>
        <v>CRLN</v>
      </c>
      <c r="AF438" s="476"/>
      <c r="AG438" s="474" t="s">
        <v>158</v>
      </c>
      <c r="AH438" s="138" t="str">
        <f t="shared" si="11"/>
        <v/>
      </c>
    </row>
    <row r="439">
      <c r="A439" s="103" t="str">
        <f>IFERROR(__xludf.DUMMYFUNCTION("""COMPUTED_VALUE"""),"FLE933")</f>
        <v>FLE933</v>
      </c>
      <c r="B439" s="468">
        <f>IFERROR(__xludf.DUMMYFUNCTION("""COMPUTED_VALUE"""),44574.0)</f>
        <v>44574</v>
      </c>
      <c r="C439" s="469">
        <f>IFERROR(__xludf.DUMMYFUNCTION("""COMPUTED_VALUE"""),0.30712962962962964)</f>
        <v>0.3071296296</v>
      </c>
      <c r="D439" s="103" t="str">
        <f>IFERROR(__xludf.DUMMYFUNCTION("""COMPUTED_VALUE"""),"SpFLMP399694")</f>
        <v>SpFLMP399694</v>
      </c>
      <c r="E439" s="103"/>
      <c r="F439" s="103"/>
      <c r="G439" s="103" t="str">
        <f>IFERROR(__xludf.DUMMYFUNCTION("""COMPUTED_VALUE"""),"Negative")</f>
        <v>Negative</v>
      </c>
      <c r="H439" s="131" t="str">
        <f>IFERROR(__xludf.DUMMYFUNCTION("""COMPUTED_VALUE"""),"Negative")</f>
        <v>Negative</v>
      </c>
      <c r="I439" s="468">
        <f>IFERROR(__xludf.DUMMYFUNCTION("""COMPUTED_VALUE"""),44574.0)</f>
        <v>44574</v>
      </c>
      <c r="J439" s="470">
        <f>IFERROR(__xludf.DUMMYFUNCTION("""COMPUTED_VALUE"""),0.44807870370370373)</f>
        <v>0.4480787037</v>
      </c>
      <c r="K439" s="16"/>
      <c r="L439" s="8"/>
      <c r="M439" s="69"/>
      <c r="N439" s="69">
        <f>IFERROR(__xludf.DUMMYFUNCTION("""COMPUTED_VALUE"""),2.0)</f>
        <v>2</v>
      </c>
      <c r="O439" s="69" t="str">
        <f t="shared" si="3"/>
        <v/>
      </c>
      <c r="P439" s="471">
        <f>IFERROR(__xludf.DUMMYFUNCTION("""COMPUTED_VALUE"""),0.0)</f>
        <v>0</v>
      </c>
      <c r="Q439" s="274" t="str">
        <f>VLOOKUP($B439,'Run Reconcile'!B$2:O2488,14,FALSE)</f>
        <v/>
      </c>
      <c r="R439" s="472" t="str">
        <f t="array" ref="R439">IF($Q439, INDEX('Run Reconcile'!A$2:A2488,MATCH(B439,'Run Reconcile'!B$2:B2488,0),1),IFERROR(0/0,""))</f>
        <v/>
      </c>
      <c r="S439" s="473" t="str">
        <f t="shared" si="694"/>
        <v/>
      </c>
      <c r="T439" s="473" t="b">
        <f t="shared" si="698"/>
        <v>1</v>
      </c>
      <c r="U439" s="8" t="str">
        <f t="array" ref="U439">IF(ISBLANK($R439), INDEX('Run Reconcile'!A$2:A2488, MATCH($B439, 'Run Reconcile'!B$2:B2488, 0)+Z439, 1), IFERROR(0/0,""))
</f>
        <v>RUN-FLMP_2022-01-13_RFR-057</v>
      </c>
      <c r="V439" s="474" t="str">
        <f t="shared" si="5"/>
        <v>RUN-FLMP_2022-01-13_RFR-057</v>
      </c>
      <c r="X439" s="8" t="s">
        <v>1376</v>
      </c>
      <c r="Y439" s="89">
        <f t="shared" si="791"/>
        <v>1</v>
      </c>
      <c r="Z439" s="60">
        <f t="shared" si="7"/>
        <v>1</v>
      </c>
      <c r="AA439" s="60" t="str">
        <f t="shared" si="8"/>
        <v/>
      </c>
      <c r="AB439" s="60">
        <f t="shared" si="9"/>
        <v>1</v>
      </c>
      <c r="AC439" s="30" t="str">
        <f t="shared" ref="AC439:AD439" si="793">IF(_xlfn.ISFORMULA(S439),IFERROR(0/0,""),TRUE)</f>
        <v/>
      </c>
      <c r="AD439" s="30" t="str">
        <f t="shared" si="793"/>
        <v/>
      </c>
      <c r="AE439" s="475" t="str">
        <f>IFERROR(__xludf.DUMMYFUNCTION("""COMPUTED_VALUE"""),"CRLN")</f>
        <v>CRLN</v>
      </c>
      <c r="AF439" s="476"/>
      <c r="AG439" s="474" t="s">
        <v>158</v>
      </c>
      <c r="AH439" s="138" t="str">
        <f t="shared" si="11"/>
        <v/>
      </c>
    </row>
    <row r="440">
      <c r="A440" s="103" t="str">
        <f>IFERROR(__xludf.DUMMYFUNCTION("""COMPUTED_VALUE"""),"FLE891")</f>
        <v>FLE891</v>
      </c>
      <c r="B440" s="468">
        <f>IFERROR(__xludf.DUMMYFUNCTION("""COMPUTED_VALUE"""),44574.0)</f>
        <v>44574</v>
      </c>
      <c r="C440" s="469">
        <f>IFERROR(__xludf.DUMMYFUNCTION("""COMPUTED_VALUE"""),0.3075925925925926)</f>
        <v>0.3075925926</v>
      </c>
      <c r="D440" s="103" t="str">
        <f>IFERROR(__xludf.DUMMYFUNCTION("""COMPUTED_VALUE"""),"SpFLMP170622")</f>
        <v>SpFLMP170622</v>
      </c>
      <c r="E440" s="103"/>
      <c r="F440" s="103"/>
      <c r="G440" s="103" t="str">
        <f>IFERROR(__xludf.DUMMYFUNCTION("""COMPUTED_VALUE"""),"Negative")</f>
        <v>Negative</v>
      </c>
      <c r="H440" s="131" t="str">
        <f>IFERROR(__xludf.DUMMYFUNCTION("""COMPUTED_VALUE"""),"Negative")</f>
        <v>Negative</v>
      </c>
      <c r="I440" s="468">
        <f>IFERROR(__xludf.DUMMYFUNCTION("""COMPUTED_VALUE"""),44574.0)</f>
        <v>44574</v>
      </c>
      <c r="J440" s="470">
        <f>IFERROR(__xludf.DUMMYFUNCTION("""COMPUTED_VALUE"""),0.44807870370370373)</f>
        <v>0.4480787037</v>
      </c>
      <c r="K440" s="16"/>
      <c r="L440" s="8"/>
      <c r="M440" s="69"/>
      <c r="N440" s="69">
        <f>IFERROR(__xludf.DUMMYFUNCTION("""COMPUTED_VALUE"""),4.0)</f>
        <v>4</v>
      </c>
      <c r="O440" s="69" t="str">
        <f t="shared" si="3"/>
        <v/>
      </c>
      <c r="P440" s="471">
        <f>IFERROR(__xludf.DUMMYFUNCTION("""COMPUTED_VALUE"""),0.0)</f>
        <v>0</v>
      </c>
      <c r="Q440" s="274" t="str">
        <f>VLOOKUP($B440,'Run Reconcile'!B$2:O2488,14,FALSE)</f>
        <v/>
      </c>
      <c r="R440" s="472" t="str">
        <f t="array" ref="R440">IF($Q440, INDEX('Run Reconcile'!A$2:A2488,MATCH(B440,'Run Reconcile'!B$2:B2488,0),1),IFERROR(0/0,""))</f>
        <v/>
      </c>
      <c r="S440" s="473" t="str">
        <f t="shared" si="694"/>
        <v/>
      </c>
      <c r="T440" s="473" t="b">
        <f t="shared" si="698"/>
        <v>1</v>
      </c>
      <c r="U440" s="8" t="str">
        <f t="array" ref="U440">IF(ISBLANK($R440), INDEX('Run Reconcile'!A$2:A2488, MATCH($B440, 'Run Reconcile'!B$2:B2488, 0)+Z440, 1), IFERROR(0/0,""))
</f>
        <v>RUN-FLMP_2022-01-13_RFR-057</v>
      </c>
      <c r="V440" s="474" t="str">
        <f t="shared" si="5"/>
        <v>RUN-FLMP_2022-01-13_RFR-057</v>
      </c>
      <c r="X440" s="8" t="s">
        <v>1377</v>
      </c>
      <c r="Y440" s="89">
        <f t="shared" si="791"/>
        <v>1</v>
      </c>
      <c r="Z440" s="60">
        <f t="shared" si="7"/>
        <v>1</v>
      </c>
      <c r="AA440" s="60" t="str">
        <f t="shared" si="8"/>
        <v/>
      </c>
      <c r="AB440" s="60">
        <f t="shared" si="9"/>
        <v>1</v>
      </c>
      <c r="AC440" s="30" t="str">
        <f t="shared" ref="AC440:AD440" si="794">IF(_xlfn.ISFORMULA(S440),IFERROR(0/0,""),TRUE)</f>
        <v/>
      </c>
      <c r="AD440" s="30" t="str">
        <f t="shared" si="794"/>
        <v/>
      </c>
      <c r="AE440" s="475" t="str">
        <f>IFERROR(__xludf.DUMMYFUNCTION("""COMPUTED_VALUE"""),"CRLN")</f>
        <v>CRLN</v>
      </c>
      <c r="AF440" s="476"/>
      <c r="AG440" s="474" t="s">
        <v>158</v>
      </c>
      <c r="AH440" s="138" t="str">
        <f t="shared" si="11"/>
        <v/>
      </c>
    </row>
    <row r="441">
      <c r="A441" s="103" t="str">
        <f>IFERROR(__xludf.DUMMYFUNCTION("""COMPUTED_VALUE"""),"FLT1468")</f>
        <v>FLT1468</v>
      </c>
      <c r="B441" s="468">
        <f>IFERROR(__xludf.DUMMYFUNCTION("""COMPUTED_VALUE"""),44574.0)</f>
        <v>44574</v>
      </c>
      <c r="C441" s="469">
        <f>IFERROR(__xludf.DUMMYFUNCTION("""COMPUTED_VALUE"""),0.3108796296296296)</f>
        <v>0.3108796296</v>
      </c>
      <c r="D441" s="103" t="str">
        <f>IFERROR(__xludf.DUMMYFUNCTION("""COMPUTED_VALUE"""),"SpFLMP965392")</f>
        <v>SpFLMP965392</v>
      </c>
      <c r="E441" s="103"/>
      <c r="F441" s="103"/>
      <c r="G441" s="103" t="str">
        <f>IFERROR(__xludf.DUMMYFUNCTION("""COMPUTED_VALUE"""),"Negative")</f>
        <v>Negative</v>
      </c>
      <c r="H441" s="131" t="str">
        <f>IFERROR(__xludf.DUMMYFUNCTION("""COMPUTED_VALUE"""),"Negative")</f>
        <v>Negative</v>
      </c>
      <c r="I441" s="468">
        <f>IFERROR(__xludf.DUMMYFUNCTION("""COMPUTED_VALUE"""),44574.0)</f>
        <v>44574</v>
      </c>
      <c r="J441" s="470">
        <f>IFERROR(__xludf.DUMMYFUNCTION("""COMPUTED_VALUE"""),0.44807870370370373)</f>
        <v>0.4480787037</v>
      </c>
      <c r="K441" s="16"/>
      <c r="L441" s="8"/>
      <c r="M441" s="69"/>
      <c r="N441" s="69">
        <f>IFERROR(__xludf.DUMMYFUNCTION("""COMPUTED_VALUE"""),4.0)</f>
        <v>4</v>
      </c>
      <c r="O441" s="69" t="str">
        <f t="shared" si="3"/>
        <v/>
      </c>
      <c r="P441" s="471">
        <f>IFERROR(__xludf.DUMMYFUNCTION("""COMPUTED_VALUE"""),0.0)</f>
        <v>0</v>
      </c>
      <c r="Q441" s="274" t="str">
        <f>VLOOKUP($B441,'Run Reconcile'!B$2:O2488,14,FALSE)</f>
        <v/>
      </c>
      <c r="R441" s="472" t="str">
        <f t="array" ref="R441">IF($Q441, INDEX('Run Reconcile'!A$2:A2488,MATCH(B441,'Run Reconcile'!B$2:B2488,0),1),IFERROR(0/0,""))</f>
        <v/>
      </c>
      <c r="S441" s="473" t="str">
        <f t="shared" si="694"/>
        <v/>
      </c>
      <c r="T441" s="473" t="b">
        <f t="shared" si="698"/>
        <v>1</v>
      </c>
      <c r="U441" s="8" t="str">
        <f t="array" ref="U441">IF(ISBLANK($R441), INDEX('Run Reconcile'!A$2:A2488, MATCH($B441, 'Run Reconcile'!B$2:B2488, 0)+Z441, 1), IFERROR(0/0,""))
</f>
        <v>RUN-FLMP_2022-01-13_RFR-057</v>
      </c>
      <c r="V441" s="474" t="str">
        <f t="shared" si="5"/>
        <v>RUN-FLMP_2022-01-13_RFR-057</v>
      </c>
      <c r="X441" s="8" t="s">
        <v>1378</v>
      </c>
      <c r="Y441" s="89">
        <f t="shared" si="791"/>
        <v>1</v>
      </c>
      <c r="Z441" s="60">
        <f t="shared" si="7"/>
        <v>1</v>
      </c>
      <c r="AA441" s="60" t="str">
        <f t="shared" si="8"/>
        <v/>
      </c>
      <c r="AB441" s="60">
        <f t="shared" si="9"/>
        <v>1</v>
      </c>
      <c r="AC441" s="30" t="str">
        <f t="shared" ref="AC441:AD441" si="795">IF(_xlfn.ISFORMULA(S441),IFERROR(0/0,""),TRUE)</f>
        <v/>
      </c>
      <c r="AD441" s="30" t="str">
        <f t="shared" si="795"/>
        <v/>
      </c>
      <c r="AE441" s="475" t="str">
        <f>IFERROR(__xludf.DUMMYFUNCTION("""COMPUTED_VALUE"""),"CRLN")</f>
        <v>CRLN</v>
      </c>
      <c r="AF441" s="476"/>
      <c r="AG441" s="474" t="s">
        <v>158</v>
      </c>
      <c r="AH441" s="138" t="str">
        <f t="shared" si="11"/>
        <v/>
      </c>
    </row>
    <row r="442">
      <c r="A442" s="103" t="str">
        <f>IFERROR(__xludf.DUMMYFUNCTION("""COMPUTED_VALUE"""),"FLE842")</f>
        <v>FLE842</v>
      </c>
      <c r="B442" s="468">
        <f>IFERROR(__xludf.DUMMYFUNCTION("""COMPUTED_VALUE"""),44574.0)</f>
        <v>44574</v>
      </c>
      <c r="C442" s="469">
        <f>IFERROR(__xludf.DUMMYFUNCTION("""COMPUTED_VALUE"""),0.31148148148148147)</f>
        <v>0.3114814815</v>
      </c>
      <c r="D442" s="103" t="str">
        <f>IFERROR(__xludf.DUMMYFUNCTION("""COMPUTED_VALUE"""),"SpFLMP170622")</f>
        <v>SpFLMP170622</v>
      </c>
      <c r="E442" s="103"/>
      <c r="F442" s="103"/>
      <c r="G442" s="103" t="str">
        <f>IFERROR(__xludf.DUMMYFUNCTION("""COMPUTED_VALUE"""),"Negative")</f>
        <v>Negative</v>
      </c>
      <c r="H442" s="131" t="str">
        <f>IFERROR(__xludf.DUMMYFUNCTION("""COMPUTED_VALUE"""),"Negative")</f>
        <v>Negative</v>
      </c>
      <c r="I442" s="468">
        <f>IFERROR(__xludf.DUMMYFUNCTION("""COMPUTED_VALUE"""),44574.0)</f>
        <v>44574</v>
      </c>
      <c r="J442" s="470">
        <f>IFERROR(__xludf.DUMMYFUNCTION("""COMPUTED_VALUE"""),0.44807870370370373)</f>
        <v>0.4480787037</v>
      </c>
      <c r="K442" s="16"/>
      <c r="L442" s="8"/>
      <c r="M442" s="69"/>
      <c r="N442" s="69">
        <f>IFERROR(__xludf.DUMMYFUNCTION("""COMPUTED_VALUE"""),4.0)</f>
        <v>4</v>
      </c>
      <c r="O442" s="69" t="str">
        <f t="shared" si="3"/>
        <v/>
      </c>
      <c r="P442" s="471">
        <f>IFERROR(__xludf.DUMMYFUNCTION("""COMPUTED_VALUE"""),0.0)</f>
        <v>0</v>
      </c>
      <c r="Q442" s="274" t="str">
        <f>VLOOKUP($B442,'Run Reconcile'!B$2:O2488,14,FALSE)</f>
        <v/>
      </c>
      <c r="R442" s="472" t="str">
        <f t="array" ref="R442">IF($Q442, INDEX('Run Reconcile'!A$2:A2488,MATCH(B442,'Run Reconcile'!B$2:B2488,0),1),IFERROR(0/0,""))</f>
        <v/>
      </c>
      <c r="S442" s="473" t="str">
        <f t="shared" si="694"/>
        <v/>
      </c>
      <c r="T442" s="473" t="b">
        <f t="shared" si="698"/>
        <v>1</v>
      </c>
      <c r="U442" s="8" t="str">
        <f t="array" ref="U442">IF(ISBLANK($R442), INDEX('Run Reconcile'!A$2:A2488, MATCH($B442, 'Run Reconcile'!B$2:B2488, 0)+Z442, 1), IFERROR(0/0,""))
</f>
        <v>RUN-FLMP_2022-01-13_RFR-057</v>
      </c>
      <c r="V442" s="474" t="str">
        <f t="shared" si="5"/>
        <v>RUN-FLMP_2022-01-13_RFR-057</v>
      </c>
      <c r="X442" s="8" t="s">
        <v>1379</v>
      </c>
      <c r="Y442" s="89">
        <f t="shared" si="791"/>
        <v>1</v>
      </c>
      <c r="Z442" s="60">
        <f t="shared" si="7"/>
        <v>1</v>
      </c>
      <c r="AA442" s="60" t="str">
        <f t="shared" si="8"/>
        <v/>
      </c>
      <c r="AB442" s="60">
        <f t="shared" si="9"/>
        <v>1</v>
      </c>
      <c r="AC442" s="30" t="str">
        <f t="shared" ref="AC442:AD442" si="796">IF(_xlfn.ISFORMULA(S442),IFERROR(0/0,""),TRUE)</f>
        <v/>
      </c>
      <c r="AD442" s="30" t="str">
        <f t="shared" si="796"/>
        <v/>
      </c>
      <c r="AE442" s="475" t="str">
        <f>IFERROR(__xludf.DUMMYFUNCTION("""COMPUTED_VALUE"""),"CRLN")</f>
        <v>CRLN</v>
      </c>
      <c r="AF442" s="476"/>
      <c r="AG442" s="474" t="s">
        <v>158</v>
      </c>
      <c r="AH442" s="138" t="str">
        <f t="shared" si="11"/>
        <v/>
      </c>
    </row>
    <row r="443">
      <c r="A443" s="103" t="str">
        <f>IFERROR(__xludf.DUMMYFUNCTION("""COMPUTED_VALUE"""),"FLB6879")</f>
        <v>FLB6879</v>
      </c>
      <c r="B443" s="468">
        <f>IFERROR(__xludf.DUMMYFUNCTION("""COMPUTED_VALUE"""),44574.0)</f>
        <v>44574</v>
      </c>
      <c r="C443" s="469">
        <f>IFERROR(__xludf.DUMMYFUNCTION("""COMPUTED_VALUE"""),0.3180208333333333)</f>
        <v>0.3180208333</v>
      </c>
      <c r="D443" s="103" t="str">
        <f>IFERROR(__xludf.DUMMYFUNCTION("""COMPUTED_VALUE"""),"SpFLMP939619")</f>
        <v>SpFLMP939619</v>
      </c>
      <c r="E443" s="103"/>
      <c r="F443" s="103"/>
      <c r="G443" s="103" t="str">
        <f>IFERROR(__xludf.DUMMYFUNCTION("""COMPUTED_VALUE"""),"Negative")</f>
        <v>Negative</v>
      </c>
      <c r="H443" s="131" t="str">
        <f>IFERROR(__xludf.DUMMYFUNCTION("""COMPUTED_VALUE"""),"Negative")</f>
        <v>Negative</v>
      </c>
      <c r="I443" s="468">
        <f>IFERROR(__xludf.DUMMYFUNCTION("""COMPUTED_VALUE"""),44574.0)</f>
        <v>44574</v>
      </c>
      <c r="J443" s="470">
        <f>IFERROR(__xludf.DUMMYFUNCTION("""COMPUTED_VALUE"""),0.44807870370370373)</f>
        <v>0.4480787037</v>
      </c>
      <c r="K443" s="16"/>
      <c r="L443" s="8"/>
      <c r="M443" s="69"/>
      <c r="N443" s="69">
        <f>IFERROR(__xludf.DUMMYFUNCTION("""COMPUTED_VALUE"""),1.0)</f>
        <v>1</v>
      </c>
      <c r="O443" s="69" t="str">
        <f t="shared" si="3"/>
        <v/>
      </c>
      <c r="P443" s="471">
        <f>IFERROR(__xludf.DUMMYFUNCTION("""COMPUTED_VALUE"""),0.0)</f>
        <v>0</v>
      </c>
      <c r="Q443" s="274" t="str">
        <f>VLOOKUP($B443,'Run Reconcile'!B$2:O2488,14,FALSE)</f>
        <v/>
      </c>
      <c r="R443" s="472" t="str">
        <f t="array" ref="R443">IF($Q443, INDEX('Run Reconcile'!A$2:A2488,MATCH(B443,'Run Reconcile'!B$2:B2488,0),1),IFERROR(0/0,""))</f>
        <v/>
      </c>
      <c r="S443" s="473" t="str">
        <f t="shared" si="694"/>
        <v/>
      </c>
      <c r="T443" s="473" t="b">
        <f t="shared" si="698"/>
        <v>1</v>
      </c>
      <c r="U443" s="8" t="str">
        <f t="array" ref="U443">IF(ISBLANK($R443), INDEX('Run Reconcile'!A$2:A2488, MATCH($B443, 'Run Reconcile'!B$2:B2488, 0)+Z443, 1), IFERROR(0/0,""))
</f>
        <v>RUN-FLMP_2022-01-13_RFR-057</v>
      </c>
      <c r="V443" s="474" t="str">
        <f t="shared" si="5"/>
        <v>RUN-FLMP_2022-01-13_RFR-057</v>
      </c>
      <c r="X443" s="8" t="s">
        <v>1380</v>
      </c>
      <c r="Y443" s="89">
        <f t="shared" si="791"/>
        <v>1</v>
      </c>
      <c r="Z443" s="60">
        <f t="shared" si="7"/>
        <v>1</v>
      </c>
      <c r="AA443" s="60" t="str">
        <f t="shared" si="8"/>
        <v/>
      </c>
      <c r="AB443" s="60">
        <f t="shared" si="9"/>
        <v>1</v>
      </c>
      <c r="AC443" s="30" t="str">
        <f t="shared" ref="AC443:AD443" si="797">IF(_xlfn.ISFORMULA(S443),IFERROR(0/0,""),TRUE)</f>
        <v/>
      </c>
      <c r="AD443" s="30" t="str">
        <f t="shared" si="797"/>
        <v/>
      </c>
      <c r="AE443" s="475" t="str">
        <f>IFERROR(__xludf.DUMMYFUNCTION("""COMPUTED_VALUE"""),"CRLN")</f>
        <v>CRLN</v>
      </c>
      <c r="AF443" s="476"/>
      <c r="AG443" s="474" t="s">
        <v>158</v>
      </c>
      <c r="AH443" s="138" t="str">
        <f t="shared" si="11"/>
        <v/>
      </c>
    </row>
    <row r="444">
      <c r="A444" s="103" t="str">
        <f>IFERROR(__xludf.DUMMYFUNCTION("""COMPUTED_VALUE"""),"FLB5883")</f>
        <v>FLB5883</v>
      </c>
      <c r="B444" s="468">
        <f>IFERROR(__xludf.DUMMYFUNCTION("""COMPUTED_VALUE"""),44574.0)</f>
        <v>44574</v>
      </c>
      <c r="C444" s="469">
        <f>IFERROR(__xludf.DUMMYFUNCTION("""COMPUTED_VALUE"""),0.3260300925925926)</f>
        <v>0.3260300926</v>
      </c>
      <c r="D444" s="103" t="str">
        <f>IFERROR(__xludf.DUMMYFUNCTION("""COMPUTED_VALUE"""),"SpFLMP777132")</f>
        <v>SpFLMP777132</v>
      </c>
      <c r="E444" s="103"/>
      <c r="F444" s="103"/>
      <c r="G444" s="103" t="str">
        <f>IFERROR(__xludf.DUMMYFUNCTION("""COMPUTED_VALUE"""),"Negative")</f>
        <v>Negative</v>
      </c>
      <c r="H444" s="131" t="str">
        <f>IFERROR(__xludf.DUMMYFUNCTION("""COMPUTED_VALUE"""),"Negative")</f>
        <v>Negative</v>
      </c>
      <c r="I444" s="468">
        <f>IFERROR(__xludf.DUMMYFUNCTION("""COMPUTED_VALUE"""),44574.0)</f>
        <v>44574</v>
      </c>
      <c r="J444" s="470">
        <f>IFERROR(__xludf.DUMMYFUNCTION("""COMPUTED_VALUE"""),0.48118055555555556)</f>
        <v>0.4811805556</v>
      </c>
      <c r="K444" s="16"/>
      <c r="L444" s="8"/>
      <c r="M444" s="69"/>
      <c r="N444" s="69">
        <f>IFERROR(__xludf.DUMMYFUNCTION("""COMPUTED_VALUE"""),4.0)</f>
        <v>4</v>
      </c>
      <c r="O444" s="69" t="str">
        <f t="shared" si="3"/>
        <v/>
      </c>
      <c r="P444" s="471">
        <f>IFERROR(__xludf.DUMMYFUNCTION("""COMPUTED_VALUE"""),0.0)</f>
        <v>0</v>
      </c>
      <c r="Q444" s="274" t="str">
        <f>VLOOKUP($B444,'Run Reconcile'!B$2:O2488,14,FALSE)</f>
        <v/>
      </c>
      <c r="R444" s="472" t="str">
        <f t="array" ref="R444">IF($Q444, INDEX('Run Reconcile'!A$2:A2488,MATCH(B444,'Run Reconcile'!B$2:B2488,0),1),IFERROR(0/0,""))</f>
        <v/>
      </c>
      <c r="S444" s="473" t="str">
        <f t="shared" si="694"/>
        <v/>
      </c>
      <c r="T444" s="473" t="b">
        <f t="shared" si="698"/>
        <v>1</v>
      </c>
      <c r="U444" s="8" t="str">
        <f t="array" ref="U444">IF(ISBLANK($R444), INDEX('Run Reconcile'!A$2:A2488, MATCH($B444, 'Run Reconcile'!B$2:B2488, 0)+Z444, 1), IFERROR(0/0,""))
</f>
        <v>RUN-FLMP_2022-01-13_RFR-057</v>
      </c>
      <c r="V444" s="474" t="str">
        <f t="shared" si="5"/>
        <v>RUN-FLMP_2022-01-13_RFR-057</v>
      </c>
      <c r="X444" s="8" t="s">
        <v>1381</v>
      </c>
      <c r="Y444" s="89">
        <f t="shared" si="791"/>
        <v>1</v>
      </c>
      <c r="Z444" s="60">
        <f t="shared" si="7"/>
        <v>1</v>
      </c>
      <c r="AA444" s="60" t="str">
        <f t="shared" si="8"/>
        <v/>
      </c>
      <c r="AB444" s="60">
        <f t="shared" si="9"/>
        <v>1</v>
      </c>
      <c r="AC444" s="30" t="str">
        <f t="shared" ref="AC444:AD444" si="798">IF(_xlfn.ISFORMULA(S444),IFERROR(0/0,""),TRUE)</f>
        <v/>
      </c>
      <c r="AD444" s="30" t="str">
        <f t="shared" si="798"/>
        <v/>
      </c>
      <c r="AE444" s="475" t="str">
        <f>IFERROR(__xludf.DUMMYFUNCTION("""COMPUTED_VALUE"""),"CRLN")</f>
        <v>CRLN</v>
      </c>
      <c r="AF444" s="476"/>
      <c r="AG444" s="474" t="s">
        <v>158</v>
      </c>
      <c r="AH444" s="138" t="str">
        <f t="shared" si="11"/>
        <v/>
      </c>
    </row>
    <row r="445">
      <c r="A445" s="103" t="str">
        <f>IFERROR(__xludf.DUMMYFUNCTION("""COMPUTED_VALUE"""),"FLT1169")</f>
        <v>FLT1169</v>
      </c>
      <c r="B445" s="468">
        <f>IFERROR(__xludf.DUMMYFUNCTION("""COMPUTED_VALUE"""),44574.0)</f>
        <v>44574</v>
      </c>
      <c r="C445" s="469">
        <f>IFERROR(__xludf.DUMMYFUNCTION("""COMPUTED_VALUE"""),0.32658564814814817)</f>
        <v>0.3265856481</v>
      </c>
      <c r="D445" s="103" t="str">
        <f>IFERROR(__xludf.DUMMYFUNCTION("""COMPUTED_VALUE"""),"SpFLMP683554")</f>
        <v>SpFLMP683554</v>
      </c>
      <c r="E445" s="103"/>
      <c r="F445" s="103"/>
      <c r="G445" s="103" t="str">
        <f>IFERROR(__xludf.DUMMYFUNCTION("""COMPUTED_VALUE"""),"Negative")</f>
        <v>Negative</v>
      </c>
      <c r="H445" s="131" t="str">
        <f>IFERROR(__xludf.DUMMYFUNCTION("""COMPUTED_VALUE"""),"Negative")</f>
        <v>Negative</v>
      </c>
      <c r="I445" s="468">
        <f>IFERROR(__xludf.DUMMYFUNCTION("""COMPUTED_VALUE"""),44574.0)</f>
        <v>44574</v>
      </c>
      <c r="J445" s="470">
        <f>IFERROR(__xludf.DUMMYFUNCTION("""COMPUTED_VALUE"""),0.44809027777777777)</f>
        <v>0.4480902778</v>
      </c>
      <c r="K445" s="16"/>
      <c r="L445" s="8"/>
      <c r="M445" s="69"/>
      <c r="N445" s="69">
        <f>IFERROR(__xludf.DUMMYFUNCTION("""COMPUTED_VALUE"""),2.0)</f>
        <v>2</v>
      </c>
      <c r="O445" s="69" t="str">
        <f t="shared" si="3"/>
        <v/>
      </c>
      <c r="P445" s="471">
        <f>IFERROR(__xludf.DUMMYFUNCTION("""COMPUTED_VALUE"""),0.0)</f>
        <v>0</v>
      </c>
      <c r="Q445" s="274" t="str">
        <f>VLOOKUP($B445,'Run Reconcile'!B$2:O2488,14,FALSE)</f>
        <v/>
      </c>
      <c r="R445" s="472" t="str">
        <f t="array" ref="R445">IF($Q445, INDEX('Run Reconcile'!A$2:A2488,MATCH(B445,'Run Reconcile'!B$2:B2488,0),1),IFERROR(0/0,""))</f>
        <v/>
      </c>
      <c r="S445" s="473" t="str">
        <f t="shared" si="694"/>
        <v/>
      </c>
      <c r="T445" s="473" t="b">
        <f t="shared" si="698"/>
        <v>1</v>
      </c>
      <c r="U445" s="8" t="str">
        <f t="array" ref="U445">IF(ISBLANK($R445), INDEX('Run Reconcile'!A$2:A2488, MATCH($B445, 'Run Reconcile'!B$2:B2488, 0)+Z445, 1), IFERROR(0/0,""))
</f>
        <v>RUN-FLMP_2022-01-13_RFR-057</v>
      </c>
      <c r="V445" s="474" t="str">
        <f t="shared" si="5"/>
        <v>RUN-FLMP_2022-01-13_RFR-057</v>
      </c>
      <c r="X445" s="8" t="s">
        <v>1382</v>
      </c>
      <c r="Y445" s="89">
        <f t="shared" si="791"/>
        <v>1</v>
      </c>
      <c r="Z445" s="60">
        <f t="shared" si="7"/>
        <v>1</v>
      </c>
      <c r="AA445" s="60" t="str">
        <f t="shared" si="8"/>
        <v/>
      </c>
      <c r="AB445" s="60">
        <f t="shared" si="9"/>
        <v>1</v>
      </c>
      <c r="AC445" s="30" t="str">
        <f t="shared" ref="AC445:AD445" si="799">IF(_xlfn.ISFORMULA(S445),IFERROR(0/0,""),TRUE)</f>
        <v/>
      </c>
      <c r="AD445" s="30" t="str">
        <f t="shared" si="799"/>
        <v/>
      </c>
      <c r="AE445" s="475" t="str">
        <f>IFERROR(__xludf.DUMMYFUNCTION("""COMPUTED_VALUE"""),"CRLN")</f>
        <v>CRLN</v>
      </c>
      <c r="AF445" s="476"/>
      <c r="AG445" s="474" t="s">
        <v>158</v>
      </c>
      <c r="AH445" s="138" t="str">
        <f t="shared" si="11"/>
        <v/>
      </c>
    </row>
    <row r="446">
      <c r="A446" s="103" t="str">
        <f>IFERROR(__xludf.DUMMYFUNCTION("""COMPUTED_VALUE"""),"FLT1441")</f>
        <v>FLT1441</v>
      </c>
      <c r="B446" s="468">
        <f>IFERROR(__xludf.DUMMYFUNCTION("""COMPUTED_VALUE"""),44574.0)</f>
        <v>44574</v>
      </c>
      <c r="C446" s="469">
        <f>IFERROR(__xludf.DUMMYFUNCTION("""COMPUTED_VALUE"""),0.32752314814814815)</f>
        <v>0.3275231481</v>
      </c>
      <c r="D446" s="103" t="str">
        <f>IFERROR(__xludf.DUMMYFUNCTION("""COMPUTED_VALUE"""),"SpFLMP544731")</f>
        <v>SpFLMP544731</v>
      </c>
      <c r="E446" s="103"/>
      <c r="F446" s="103"/>
      <c r="G446" s="103" t="str">
        <f>IFERROR(__xludf.DUMMYFUNCTION("""COMPUTED_VALUE"""),"Negative")</f>
        <v>Negative</v>
      </c>
      <c r="H446" s="131" t="str">
        <f>IFERROR(__xludf.DUMMYFUNCTION("""COMPUTED_VALUE"""),"Negative")</f>
        <v>Negative</v>
      </c>
      <c r="I446" s="468">
        <f>IFERROR(__xludf.DUMMYFUNCTION("""COMPUTED_VALUE"""),44578.0)</f>
        <v>44578</v>
      </c>
      <c r="J446" s="470">
        <f>IFERROR(__xludf.DUMMYFUNCTION("""COMPUTED_VALUE"""),0.8699305555555555)</f>
        <v>0.8699305556</v>
      </c>
      <c r="K446" s="16"/>
      <c r="L446" s="8"/>
      <c r="M446" s="69"/>
      <c r="N446" s="69">
        <f>IFERROR(__xludf.DUMMYFUNCTION("""COMPUTED_VALUE"""),1.0)</f>
        <v>1</v>
      </c>
      <c r="O446" s="69" t="str">
        <f t="shared" si="3"/>
        <v/>
      </c>
      <c r="P446" s="471">
        <f>IFERROR(__xludf.DUMMYFUNCTION("""COMPUTED_VALUE"""),4.0)</f>
        <v>4</v>
      </c>
      <c r="Q446" s="274" t="str">
        <f>VLOOKUP($B446,'Run Reconcile'!B$2:O2488,14,FALSE)</f>
        <v/>
      </c>
      <c r="R446" s="472" t="str">
        <f t="array" ref="R446">IF($Q446, INDEX('Run Reconcile'!A$2:A2488,MATCH(B446,'Run Reconcile'!B$2:B2488,0),1),IFERROR(0/0,""))</f>
        <v/>
      </c>
      <c r="S446" s="473" t="str">
        <f t="shared" si="694"/>
        <v/>
      </c>
      <c r="T446" s="473" t="b">
        <f t="shared" si="698"/>
        <v>1</v>
      </c>
      <c r="U446" s="8" t="str">
        <f t="array" ref="U446">IF(ISBLANK($R446), INDEX('Run Reconcile'!A$2:A2488, MATCH($B446, 'Run Reconcile'!B$2:B2488, 0)+Z446, 1), IFERROR(0/0,""))
</f>
        <v>RUN-FLMP_2022-01-13_RFR-057</v>
      </c>
      <c r="V446" s="474" t="str">
        <f t="shared" si="5"/>
        <v>RUN-FLMP_2022-01-13_RFR-057</v>
      </c>
      <c r="X446" s="8" t="s">
        <v>1383</v>
      </c>
      <c r="Y446" s="89">
        <f t="shared" si="791"/>
        <v>1</v>
      </c>
      <c r="Z446" s="60">
        <f t="shared" si="7"/>
        <v>1</v>
      </c>
      <c r="AA446" s="60" t="str">
        <f t="shared" si="8"/>
        <v/>
      </c>
      <c r="AB446" s="60">
        <f t="shared" si="9"/>
        <v>1</v>
      </c>
      <c r="AC446" s="30" t="str">
        <f t="shared" ref="AC446:AD446" si="800">IF(_xlfn.ISFORMULA(S446),IFERROR(0/0,""),TRUE)</f>
        <v/>
      </c>
      <c r="AD446" s="30" t="str">
        <f t="shared" si="800"/>
        <v/>
      </c>
      <c r="AE446" s="475" t="str">
        <f>IFERROR(__xludf.DUMMYFUNCTION("""COMPUTED_VALUE"""),"CRLN")</f>
        <v>CRLN</v>
      </c>
      <c r="AF446" s="476"/>
      <c r="AG446" s="474" t="s">
        <v>158</v>
      </c>
      <c r="AH446" s="138" t="str">
        <f t="shared" si="11"/>
        <v/>
      </c>
    </row>
    <row r="447">
      <c r="A447" s="103" t="str">
        <f>IFERROR(__xludf.DUMMYFUNCTION("""COMPUTED_VALUE"""),"FLT1167")</f>
        <v>FLT1167</v>
      </c>
      <c r="B447" s="468">
        <f>IFERROR(__xludf.DUMMYFUNCTION("""COMPUTED_VALUE"""),44574.0)</f>
        <v>44574</v>
      </c>
      <c r="C447" s="469">
        <f>IFERROR(__xludf.DUMMYFUNCTION("""COMPUTED_VALUE"""),0.33471064814814816)</f>
        <v>0.3347106481</v>
      </c>
      <c r="D447" s="103" t="str">
        <f>IFERROR(__xludf.DUMMYFUNCTION("""COMPUTED_VALUE"""),"SpFLMP314549")</f>
        <v>SpFLMP314549</v>
      </c>
      <c r="E447" s="103"/>
      <c r="F447" s="103"/>
      <c r="G447" s="103" t="str">
        <f>IFERROR(__xludf.DUMMYFUNCTION("""COMPUTED_VALUE"""),"Negative")</f>
        <v>Negative</v>
      </c>
      <c r="H447" s="131" t="str">
        <f>IFERROR(__xludf.DUMMYFUNCTION("""COMPUTED_VALUE"""),"Negative")</f>
        <v>Negative</v>
      </c>
      <c r="I447" s="468">
        <f>IFERROR(__xludf.DUMMYFUNCTION("""COMPUTED_VALUE"""),44574.0)</f>
        <v>44574</v>
      </c>
      <c r="J447" s="470">
        <f>IFERROR(__xludf.DUMMYFUNCTION("""COMPUTED_VALUE"""),0.44809027777777777)</f>
        <v>0.4480902778</v>
      </c>
      <c r="K447" s="16"/>
      <c r="L447" s="8"/>
      <c r="M447" s="69"/>
      <c r="N447" s="69">
        <f>IFERROR(__xludf.DUMMYFUNCTION("""COMPUTED_VALUE"""),1.0)</f>
        <v>1</v>
      </c>
      <c r="O447" s="69" t="str">
        <f t="shared" si="3"/>
        <v/>
      </c>
      <c r="P447" s="471">
        <f>IFERROR(__xludf.DUMMYFUNCTION("""COMPUTED_VALUE"""),0.0)</f>
        <v>0</v>
      </c>
      <c r="Q447" s="274" t="str">
        <f>VLOOKUP($B447,'Run Reconcile'!B$2:O2488,14,FALSE)</f>
        <v/>
      </c>
      <c r="R447" s="472" t="str">
        <f t="array" ref="R447">IF($Q447, INDEX('Run Reconcile'!A$2:A2488,MATCH(B447,'Run Reconcile'!B$2:B2488,0),1),IFERROR(0/0,""))</f>
        <v/>
      </c>
      <c r="S447" s="473" t="str">
        <f t="shared" si="694"/>
        <v/>
      </c>
      <c r="T447" s="473" t="b">
        <f t="shared" si="698"/>
        <v>1</v>
      </c>
      <c r="U447" s="8" t="str">
        <f t="array" ref="U447">IF(ISBLANK($R447), INDEX('Run Reconcile'!A$2:A2488, MATCH($B447, 'Run Reconcile'!B$2:B2488, 0)+Z447, 1), IFERROR(0/0,""))
</f>
        <v>RUN-FLMP_2022-01-13_RFR-057</v>
      </c>
      <c r="V447" s="474" t="str">
        <f t="shared" si="5"/>
        <v>RUN-FLMP_2022-01-13_RFR-057</v>
      </c>
      <c r="X447" s="8" t="s">
        <v>1384</v>
      </c>
      <c r="Y447" s="89">
        <f t="shared" si="791"/>
        <v>1</v>
      </c>
      <c r="Z447" s="60">
        <f t="shared" si="7"/>
        <v>1</v>
      </c>
      <c r="AA447" s="60" t="str">
        <f t="shared" si="8"/>
        <v/>
      </c>
      <c r="AB447" s="60">
        <f t="shared" si="9"/>
        <v>1</v>
      </c>
      <c r="AC447" s="30" t="str">
        <f t="shared" ref="AC447:AD447" si="801">IF(_xlfn.ISFORMULA(S447),IFERROR(0/0,""),TRUE)</f>
        <v/>
      </c>
      <c r="AD447" s="30" t="str">
        <f t="shared" si="801"/>
        <v/>
      </c>
      <c r="AE447" s="475" t="str">
        <f>IFERROR(__xludf.DUMMYFUNCTION("""COMPUTED_VALUE"""),"CRLN")</f>
        <v>CRLN</v>
      </c>
      <c r="AF447" s="476"/>
      <c r="AG447" s="474" t="s">
        <v>158</v>
      </c>
      <c r="AH447" s="138" t="str">
        <f t="shared" si="11"/>
        <v/>
      </c>
    </row>
    <row r="448">
      <c r="A448" s="103" t="str">
        <f>IFERROR(__xludf.DUMMYFUNCTION("""COMPUTED_VALUE"""),"FLB5829")</f>
        <v>FLB5829</v>
      </c>
      <c r="B448" s="468">
        <f>IFERROR(__xludf.DUMMYFUNCTION("""COMPUTED_VALUE"""),44574.0)</f>
        <v>44574</v>
      </c>
      <c r="C448" s="469">
        <f>IFERROR(__xludf.DUMMYFUNCTION("""COMPUTED_VALUE"""),0.3446180555555556)</f>
        <v>0.3446180556</v>
      </c>
      <c r="D448" s="103" t="str">
        <f>IFERROR(__xludf.DUMMYFUNCTION("""COMPUTED_VALUE"""),"SpFLMP737812")</f>
        <v>SpFLMP737812</v>
      </c>
      <c r="E448" s="103"/>
      <c r="F448" s="103"/>
      <c r="G448" s="103" t="str">
        <f>IFERROR(__xludf.DUMMYFUNCTION("""COMPUTED_VALUE"""),"Negative")</f>
        <v>Negative</v>
      </c>
      <c r="H448" s="131" t="str">
        <f>IFERROR(__xludf.DUMMYFUNCTION("""COMPUTED_VALUE"""),"Negative")</f>
        <v>Negative</v>
      </c>
      <c r="I448" s="468">
        <f>IFERROR(__xludf.DUMMYFUNCTION("""COMPUTED_VALUE"""),44574.0)</f>
        <v>44574</v>
      </c>
      <c r="J448" s="470">
        <f>IFERROR(__xludf.DUMMYFUNCTION("""COMPUTED_VALUE"""),0.44809027777777777)</f>
        <v>0.4480902778</v>
      </c>
      <c r="K448" s="16"/>
      <c r="L448" s="8"/>
      <c r="M448" s="69"/>
      <c r="N448" s="69">
        <f>IFERROR(__xludf.DUMMYFUNCTION("""COMPUTED_VALUE"""),4.0)</f>
        <v>4</v>
      </c>
      <c r="O448" s="69" t="str">
        <f t="shared" si="3"/>
        <v/>
      </c>
      <c r="P448" s="471">
        <f>IFERROR(__xludf.DUMMYFUNCTION("""COMPUTED_VALUE"""),0.0)</f>
        <v>0</v>
      </c>
      <c r="Q448" s="274" t="str">
        <f>VLOOKUP($B448,'Run Reconcile'!B$2:O2488,14,FALSE)</f>
        <v/>
      </c>
      <c r="R448" s="472" t="str">
        <f t="array" ref="R448">IF($Q448, INDEX('Run Reconcile'!A$2:A2488,MATCH(B448,'Run Reconcile'!B$2:B2488,0),1),IFERROR(0/0,""))</f>
        <v/>
      </c>
      <c r="S448" s="473" t="str">
        <f t="shared" si="694"/>
        <v/>
      </c>
      <c r="T448" s="473" t="b">
        <f t="shared" si="698"/>
        <v>1</v>
      </c>
      <c r="U448" s="8" t="str">
        <f t="array" ref="U448">IF(ISBLANK($R448), INDEX('Run Reconcile'!A$2:A2488, MATCH($B448, 'Run Reconcile'!B$2:B2488, 0)+Z448, 1), IFERROR(0/0,""))
</f>
        <v>RUN-FLMP_2022-01-13_RFR-057</v>
      </c>
      <c r="V448" s="474" t="str">
        <f t="shared" si="5"/>
        <v>RUN-FLMP_2022-01-13_RFR-057</v>
      </c>
      <c r="X448" s="8" t="s">
        <v>1385</v>
      </c>
      <c r="Y448" s="89">
        <f t="shared" si="791"/>
        <v>1</v>
      </c>
      <c r="Z448" s="60">
        <f t="shared" si="7"/>
        <v>1</v>
      </c>
      <c r="AA448" s="60" t="str">
        <f t="shared" si="8"/>
        <v/>
      </c>
      <c r="AB448" s="60">
        <f t="shared" si="9"/>
        <v>1</v>
      </c>
      <c r="AC448" s="30" t="str">
        <f t="shared" ref="AC448:AD448" si="802">IF(_xlfn.ISFORMULA(S448),IFERROR(0/0,""),TRUE)</f>
        <v/>
      </c>
      <c r="AD448" s="30" t="str">
        <f t="shared" si="802"/>
        <v/>
      </c>
      <c r="AE448" s="475" t="str">
        <f>IFERROR(__xludf.DUMMYFUNCTION("""COMPUTED_VALUE"""),"CRLN")</f>
        <v>CRLN</v>
      </c>
      <c r="AF448" s="476"/>
      <c r="AG448" s="474" t="s">
        <v>158</v>
      </c>
      <c r="AH448" s="138" t="str">
        <f t="shared" si="11"/>
        <v/>
      </c>
    </row>
    <row r="449">
      <c r="A449" s="103" t="str">
        <f>IFERROR(__xludf.DUMMYFUNCTION("""COMPUTED_VALUE"""),"FLT1403")</f>
        <v>FLT1403</v>
      </c>
      <c r="B449" s="468">
        <f>IFERROR(__xludf.DUMMYFUNCTION("""COMPUTED_VALUE"""),44574.0)</f>
        <v>44574</v>
      </c>
      <c r="C449" s="469">
        <f>IFERROR(__xludf.DUMMYFUNCTION("""COMPUTED_VALUE"""),0.34855324074074073)</f>
        <v>0.3485532407</v>
      </c>
      <c r="D449" s="103" t="str">
        <f>IFERROR(__xludf.DUMMYFUNCTION("""COMPUTED_VALUE"""),"SpFLMP572444")</f>
        <v>SpFLMP572444</v>
      </c>
      <c r="E449" s="103"/>
      <c r="F449" s="103"/>
      <c r="G449" s="103" t="str">
        <f>IFERROR(__xludf.DUMMYFUNCTION("""COMPUTED_VALUE"""),"Negative")</f>
        <v>Negative</v>
      </c>
      <c r="H449" s="131" t="str">
        <f>IFERROR(__xludf.DUMMYFUNCTION("""COMPUTED_VALUE"""),"Negative")</f>
        <v>Negative</v>
      </c>
      <c r="I449" s="468">
        <f>IFERROR(__xludf.DUMMYFUNCTION("""COMPUTED_VALUE"""),44574.0)</f>
        <v>44574</v>
      </c>
      <c r="J449" s="470">
        <f>IFERROR(__xludf.DUMMYFUNCTION("""COMPUTED_VALUE"""),0.44809027777777777)</f>
        <v>0.4480902778</v>
      </c>
      <c r="K449" s="16"/>
      <c r="L449" s="8"/>
      <c r="M449" s="69"/>
      <c r="N449" s="69">
        <f>IFERROR(__xludf.DUMMYFUNCTION("""COMPUTED_VALUE"""),4.0)</f>
        <v>4</v>
      </c>
      <c r="O449" s="69" t="str">
        <f t="shared" si="3"/>
        <v/>
      </c>
      <c r="P449" s="471">
        <f>IFERROR(__xludf.DUMMYFUNCTION("""COMPUTED_VALUE"""),0.0)</f>
        <v>0</v>
      </c>
      <c r="Q449" s="274" t="str">
        <f>VLOOKUP($B449,'Run Reconcile'!B$2:O2488,14,FALSE)</f>
        <v/>
      </c>
      <c r="R449" s="472" t="str">
        <f t="array" ref="R449">IF($Q449, INDEX('Run Reconcile'!A$2:A2488,MATCH(B449,'Run Reconcile'!B$2:B2488,0),1),IFERROR(0/0,""))</f>
        <v/>
      </c>
      <c r="S449" s="473" t="str">
        <f t="shared" si="694"/>
        <v/>
      </c>
      <c r="T449" s="473" t="b">
        <f t="shared" si="698"/>
        <v>1</v>
      </c>
      <c r="U449" s="8" t="str">
        <f t="array" ref="U449">IF(ISBLANK($R449), INDEX('Run Reconcile'!A$2:A2488, MATCH($B449, 'Run Reconcile'!B$2:B2488, 0)+Z449, 1), IFERROR(0/0,""))
</f>
        <v>RUN-FLMP_2022-01-13_RFR-057</v>
      </c>
      <c r="V449" s="474" t="str">
        <f t="shared" si="5"/>
        <v>RUN-FLMP_2022-01-13_RFR-057</v>
      </c>
      <c r="X449" s="8" t="s">
        <v>1386</v>
      </c>
      <c r="Y449" s="89">
        <f t="shared" si="791"/>
        <v>1</v>
      </c>
      <c r="Z449" s="60">
        <f t="shared" si="7"/>
        <v>1</v>
      </c>
      <c r="AA449" s="60" t="str">
        <f t="shared" si="8"/>
        <v/>
      </c>
      <c r="AB449" s="60">
        <f t="shared" si="9"/>
        <v>1</v>
      </c>
      <c r="AC449" s="30" t="str">
        <f t="shared" ref="AC449:AD449" si="803">IF(_xlfn.ISFORMULA(S449),IFERROR(0/0,""),TRUE)</f>
        <v/>
      </c>
      <c r="AD449" s="30" t="str">
        <f t="shared" si="803"/>
        <v/>
      </c>
      <c r="AE449" s="475" t="str">
        <f>IFERROR(__xludf.DUMMYFUNCTION("""COMPUTED_VALUE"""),"CRLN")</f>
        <v>CRLN</v>
      </c>
      <c r="AF449" s="476"/>
      <c r="AG449" s="474" t="s">
        <v>158</v>
      </c>
      <c r="AH449" s="138" t="str">
        <f t="shared" si="11"/>
        <v/>
      </c>
    </row>
    <row r="450">
      <c r="A450" s="103" t="str">
        <f>IFERROR(__xludf.DUMMYFUNCTION("""COMPUTED_VALUE"""),"FLE316")</f>
        <v>FLE316</v>
      </c>
      <c r="B450" s="468">
        <f>IFERROR(__xludf.DUMMYFUNCTION("""COMPUTED_VALUE"""),44574.0)</f>
        <v>44574</v>
      </c>
      <c r="C450" s="469">
        <f>IFERROR(__xludf.DUMMYFUNCTION("""COMPUTED_VALUE"""),0.3492013888888889)</f>
        <v>0.3492013889</v>
      </c>
      <c r="D450" s="103" t="str">
        <f>IFERROR(__xludf.DUMMYFUNCTION("""COMPUTED_VALUE"""),"SpFLMP684798")</f>
        <v>SpFLMP684798</v>
      </c>
      <c r="E450" s="103"/>
      <c r="F450" s="103"/>
      <c r="G450" s="103" t="str">
        <f>IFERROR(__xludf.DUMMYFUNCTION("""COMPUTED_VALUE"""),"Negative")</f>
        <v>Negative</v>
      </c>
      <c r="H450" s="131" t="str">
        <f>IFERROR(__xludf.DUMMYFUNCTION("""COMPUTED_VALUE"""),"Negative")</f>
        <v>Negative</v>
      </c>
      <c r="I450" s="468">
        <f>IFERROR(__xludf.DUMMYFUNCTION("""COMPUTED_VALUE"""),44574.0)</f>
        <v>44574</v>
      </c>
      <c r="J450" s="470">
        <f>IFERROR(__xludf.DUMMYFUNCTION("""COMPUTED_VALUE"""),0.44809027777777777)</f>
        <v>0.4480902778</v>
      </c>
      <c r="K450" s="16"/>
      <c r="L450" s="8"/>
      <c r="M450" s="69"/>
      <c r="N450" s="69">
        <f>IFERROR(__xludf.DUMMYFUNCTION("""COMPUTED_VALUE"""),4.0)</f>
        <v>4</v>
      </c>
      <c r="O450" s="69" t="str">
        <f t="shared" si="3"/>
        <v/>
      </c>
      <c r="P450" s="471">
        <f>IFERROR(__xludf.DUMMYFUNCTION("""COMPUTED_VALUE"""),0.0)</f>
        <v>0</v>
      </c>
      <c r="Q450" s="274" t="str">
        <f>VLOOKUP($B450,'Run Reconcile'!B$2:O2488,14,FALSE)</f>
        <v/>
      </c>
      <c r="R450" s="472" t="str">
        <f t="array" ref="R450">IF($Q450, INDEX('Run Reconcile'!A$2:A2488,MATCH(B450,'Run Reconcile'!B$2:B2488,0),1),IFERROR(0/0,""))</f>
        <v/>
      </c>
      <c r="S450" s="473" t="str">
        <f t="shared" si="694"/>
        <v/>
      </c>
      <c r="T450" s="473" t="b">
        <f t="shared" si="698"/>
        <v>1</v>
      </c>
      <c r="U450" s="8" t="str">
        <f t="array" ref="U450">IF(ISBLANK($R450), INDEX('Run Reconcile'!A$2:A2488, MATCH($B450, 'Run Reconcile'!B$2:B2488, 0)+Z450, 1), IFERROR(0/0,""))
</f>
        <v>RUN-FLMP_2022-01-13_RFR-057</v>
      </c>
      <c r="V450" s="474" t="str">
        <f t="shared" si="5"/>
        <v>RUN-FLMP_2022-01-13_RFR-057</v>
      </c>
      <c r="X450" s="8" t="s">
        <v>1387</v>
      </c>
      <c r="Y450" s="89">
        <f t="shared" si="791"/>
        <v>1</v>
      </c>
      <c r="Z450" s="60">
        <f t="shared" si="7"/>
        <v>1</v>
      </c>
      <c r="AA450" s="60" t="str">
        <f t="shared" si="8"/>
        <v/>
      </c>
      <c r="AB450" s="60">
        <f t="shared" si="9"/>
        <v>1</v>
      </c>
      <c r="AC450" s="30" t="str">
        <f t="shared" ref="AC450:AD450" si="804">IF(_xlfn.ISFORMULA(S450),IFERROR(0/0,""),TRUE)</f>
        <v/>
      </c>
      <c r="AD450" s="30" t="str">
        <f t="shared" si="804"/>
        <v/>
      </c>
      <c r="AE450" s="475" t="str">
        <f>IFERROR(__xludf.DUMMYFUNCTION("""COMPUTED_VALUE"""),"CRLN")</f>
        <v>CRLN</v>
      </c>
      <c r="AF450" s="476"/>
      <c r="AG450" s="474" t="s">
        <v>158</v>
      </c>
      <c r="AH450" s="138" t="str">
        <f t="shared" si="11"/>
        <v/>
      </c>
    </row>
    <row r="451">
      <c r="A451" s="103" t="str">
        <f>IFERROR(__xludf.DUMMYFUNCTION("""COMPUTED_VALUE"""),"FLB7154")</f>
        <v>FLB7154</v>
      </c>
      <c r="B451" s="468">
        <f>IFERROR(__xludf.DUMMYFUNCTION("""COMPUTED_VALUE"""),44574.0)</f>
        <v>44574</v>
      </c>
      <c r="C451" s="469">
        <f>IFERROR(__xludf.DUMMYFUNCTION("""COMPUTED_VALUE"""),0.3498263888888889)</f>
        <v>0.3498263889</v>
      </c>
      <c r="D451" s="103" t="str">
        <f>IFERROR(__xludf.DUMMYFUNCTION("""COMPUTED_VALUE"""),"SpFLMP685536")</f>
        <v>SpFLMP685536</v>
      </c>
      <c r="E451" s="103"/>
      <c r="F451" s="103"/>
      <c r="G451" s="103" t="str">
        <f>IFERROR(__xludf.DUMMYFUNCTION("""COMPUTED_VALUE"""),"Negative")</f>
        <v>Negative</v>
      </c>
      <c r="H451" s="131" t="str">
        <f>IFERROR(__xludf.DUMMYFUNCTION("""COMPUTED_VALUE"""),"Negative")</f>
        <v>Negative</v>
      </c>
      <c r="I451" s="468">
        <f>IFERROR(__xludf.DUMMYFUNCTION("""COMPUTED_VALUE"""),44574.0)</f>
        <v>44574</v>
      </c>
      <c r="J451" s="470">
        <f>IFERROR(__xludf.DUMMYFUNCTION("""COMPUTED_VALUE"""),0.44809027777777777)</f>
        <v>0.4480902778</v>
      </c>
      <c r="K451" s="16"/>
      <c r="L451" s="8"/>
      <c r="M451" s="69"/>
      <c r="N451" s="69">
        <f>IFERROR(__xludf.DUMMYFUNCTION("""COMPUTED_VALUE"""),4.0)</f>
        <v>4</v>
      </c>
      <c r="O451" s="69" t="str">
        <f t="shared" si="3"/>
        <v/>
      </c>
      <c r="P451" s="471">
        <f>IFERROR(__xludf.DUMMYFUNCTION("""COMPUTED_VALUE"""),0.0)</f>
        <v>0</v>
      </c>
      <c r="Q451" s="274" t="str">
        <f>VLOOKUP($B451,'Run Reconcile'!B$2:O2488,14,FALSE)</f>
        <v/>
      </c>
      <c r="R451" s="472" t="str">
        <f t="array" ref="R451">IF($Q451, INDEX('Run Reconcile'!A$2:A2488,MATCH(B451,'Run Reconcile'!B$2:B2488,0),1),IFERROR(0/0,""))</f>
        <v/>
      </c>
      <c r="S451" s="473" t="str">
        <f t="shared" si="694"/>
        <v/>
      </c>
      <c r="T451" s="473" t="b">
        <f t="shared" si="698"/>
        <v>1</v>
      </c>
      <c r="U451" s="8" t="str">
        <f t="array" ref="U451">IF(ISBLANK($R451), INDEX('Run Reconcile'!A$2:A2488, MATCH($B451, 'Run Reconcile'!B$2:B2488, 0)+Z451, 1), IFERROR(0/0,""))
</f>
        <v>RUN-FLMP_2022-01-13_RFR-057</v>
      </c>
      <c r="V451" s="474" t="str">
        <f t="shared" si="5"/>
        <v>RUN-FLMP_2022-01-13_RFR-057</v>
      </c>
      <c r="X451" s="8" t="s">
        <v>1388</v>
      </c>
      <c r="Y451" s="89">
        <f t="shared" si="791"/>
        <v>1</v>
      </c>
      <c r="Z451" s="60">
        <f t="shared" si="7"/>
        <v>1</v>
      </c>
      <c r="AA451" s="60" t="str">
        <f t="shared" si="8"/>
        <v/>
      </c>
      <c r="AB451" s="60">
        <f t="shared" si="9"/>
        <v>1</v>
      </c>
      <c r="AC451" s="30" t="str">
        <f t="shared" ref="AC451:AD451" si="805">IF(_xlfn.ISFORMULA(S451),IFERROR(0/0,""),TRUE)</f>
        <v/>
      </c>
      <c r="AD451" s="30" t="str">
        <f t="shared" si="805"/>
        <v/>
      </c>
      <c r="AE451" s="475" t="str">
        <f>IFERROR(__xludf.DUMMYFUNCTION("""COMPUTED_VALUE"""),"CRLN")</f>
        <v>CRLN</v>
      </c>
      <c r="AF451" s="476"/>
      <c r="AG451" s="474" t="s">
        <v>158</v>
      </c>
      <c r="AH451" s="138" t="str">
        <f t="shared" si="11"/>
        <v/>
      </c>
    </row>
    <row r="452">
      <c r="A452" s="103" t="str">
        <f>IFERROR(__xludf.DUMMYFUNCTION("""COMPUTED_VALUE"""),"FLT1113")</f>
        <v>FLT1113</v>
      </c>
      <c r="B452" s="468">
        <f>IFERROR(__xludf.DUMMYFUNCTION("""COMPUTED_VALUE"""),44574.0)</f>
        <v>44574</v>
      </c>
      <c r="C452" s="469">
        <f>IFERROR(__xludf.DUMMYFUNCTION("""COMPUTED_VALUE"""),0.35376157407407405)</f>
        <v>0.3537615741</v>
      </c>
      <c r="D452" s="103" t="str">
        <f>IFERROR(__xludf.DUMMYFUNCTION("""COMPUTED_VALUE"""),"SpFLMP309785")</f>
        <v>SpFLMP309785</v>
      </c>
      <c r="E452" s="103"/>
      <c r="F452" s="103"/>
      <c r="G452" s="103" t="str">
        <f>IFERROR(__xludf.DUMMYFUNCTION("""COMPUTED_VALUE"""),"Negative")</f>
        <v>Negative</v>
      </c>
      <c r="H452" s="131" t="str">
        <f>IFERROR(__xludf.DUMMYFUNCTION("""COMPUTED_VALUE"""),"Negative")</f>
        <v>Negative</v>
      </c>
      <c r="I452" s="468">
        <f>IFERROR(__xludf.DUMMYFUNCTION("""COMPUTED_VALUE"""),44574.0)</f>
        <v>44574</v>
      </c>
      <c r="J452" s="470">
        <f>IFERROR(__xludf.DUMMYFUNCTION("""COMPUTED_VALUE"""),0.48118055555555556)</f>
        <v>0.4811805556</v>
      </c>
      <c r="K452" s="16"/>
      <c r="L452" s="8"/>
      <c r="M452" s="69"/>
      <c r="N452" s="69">
        <f>IFERROR(__xludf.DUMMYFUNCTION("""COMPUTED_VALUE"""),4.0)</f>
        <v>4</v>
      </c>
      <c r="O452" s="69" t="str">
        <f t="shared" si="3"/>
        <v/>
      </c>
      <c r="P452" s="471">
        <f>IFERROR(__xludf.DUMMYFUNCTION("""COMPUTED_VALUE"""),0.0)</f>
        <v>0</v>
      </c>
      <c r="Q452" s="274" t="str">
        <f>VLOOKUP($B452,'Run Reconcile'!B$2:O2488,14,FALSE)</f>
        <v/>
      </c>
      <c r="R452" s="472" t="str">
        <f t="array" ref="R452">IF($Q452, INDEX('Run Reconcile'!A$2:A2488,MATCH(B452,'Run Reconcile'!B$2:B2488,0),1),IFERROR(0/0,""))</f>
        <v/>
      </c>
      <c r="S452" s="473" t="str">
        <f t="shared" si="694"/>
        <v/>
      </c>
      <c r="T452" s="473" t="b">
        <f t="shared" si="698"/>
        <v>1</v>
      </c>
      <c r="U452" s="8" t="str">
        <f t="array" ref="U452">IF(ISBLANK($R452), INDEX('Run Reconcile'!A$2:A2488, MATCH($B452, 'Run Reconcile'!B$2:B2488, 0)+Z452, 1), IFERROR(0/0,""))
</f>
        <v>RUN-FLMP_2022-01-13_RFR-057</v>
      </c>
      <c r="V452" s="474" t="str">
        <f t="shared" si="5"/>
        <v>RUN-FLMP_2022-01-13_RFR-057</v>
      </c>
      <c r="X452" s="8" t="s">
        <v>1389</v>
      </c>
      <c r="Y452" s="89">
        <f t="shared" si="791"/>
        <v>1</v>
      </c>
      <c r="Z452" s="60">
        <f t="shared" si="7"/>
        <v>1</v>
      </c>
      <c r="AA452" s="60" t="str">
        <f t="shared" si="8"/>
        <v/>
      </c>
      <c r="AB452" s="60">
        <f t="shared" si="9"/>
        <v>1</v>
      </c>
      <c r="AC452" s="30" t="str">
        <f t="shared" ref="AC452:AD452" si="806">IF(_xlfn.ISFORMULA(S452),IFERROR(0/0,""),TRUE)</f>
        <v/>
      </c>
      <c r="AD452" s="30" t="str">
        <f t="shared" si="806"/>
        <v/>
      </c>
      <c r="AE452" s="475" t="str">
        <f>IFERROR(__xludf.DUMMYFUNCTION("""COMPUTED_VALUE"""),"CRLN")</f>
        <v>CRLN</v>
      </c>
      <c r="AF452" s="476"/>
      <c r="AG452" s="474" t="s">
        <v>158</v>
      </c>
      <c r="AH452" s="138" t="str">
        <f t="shared" si="11"/>
        <v/>
      </c>
    </row>
    <row r="453">
      <c r="A453" s="103" t="str">
        <f>IFERROR(__xludf.DUMMYFUNCTION("""COMPUTED_VALUE"""),"FLT1179")</f>
        <v>FLT1179</v>
      </c>
      <c r="B453" s="468">
        <f>IFERROR(__xludf.DUMMYFUNCTION("""COMPUTED_VALUE"""),44574.0)</f>
        <v>44574</v>
      </c>
      <c r="C453" s="469">
        <f>IFERROR(__xludf.DUMMYFUNCTION("""COMPUTED_VALUE"""),0.3552314814814815)</f>
        <v>0.3552314815</v>
      </c>
      <c r="D453" s="103" t="str">
        <f>IFERROR(__xludf.DUMMYFUNCTION("""COMPUTED_VALUE"""),"SpFLMP604497")</f>
        <v>SpFLMP604497</v>
      </c>
      <c r="E453" s="103"/>
      <c r="F453" s="103"/>
      <c r="G453" s="103" t="str">
        <f>IFERROR(__xludf.DUMMYFUNCTION("""COMPUTED_VALUE"""),"Negative")</f>
        <v>Negative</v>
      </c>
      <c r="H453" s="131" t="str">
        <f>IFERROR(__xludf.DUMMYFUNCTION("""COMPUTED_VALUE"""),"Negative")</f>
        <v>Negative</v>
      </c>
      <c r="I453" s="468">
        <f>IFERROR(__xludf.DUMMYFUNCTION("""COMPUTED_VALUE"""),44574.0)</f>
        <v>44574</v>
      </c>
      <c r="J453" s="470">
        <f>IFERROR(__xludf.DUMMYFUNCTION("""COMPUTED_VALUE"""),0.44809027777777777)</f>
        <v>0.4480902778</v>
      </c>
      <c r="K453" s="16"/>
      <c r="L453" s="8"/>
      <c r="M453" s="69"/>
      <c r="N453" s="69">
        <f>IFERROR(__xludf.DUMMYFUNCTION("""COMPUTED_VALUE"""),4.0)</f>
        <v>4</v>
      </c>
      <c r="O453" s="69" t="str">
        <f t="shared" si="3"/>
        <v/>
      </c>
      <c r="P453" s="471">
        <f>IFERROR(__xludf.DUMMYFUNCTION("""COMPUTED_VALUE"""),0.0)</f>
        <v>0</v>
      </c>
      <c r="Q453" s="274" t="str">
        <f>VLOOKUP($B453,'Run Reconcile'!B$2:O2488,14,FALSE)</f>
        <v/>
      </c>
      <c r="R453" s="472" t="str">
        <f t="array" ref="R453">IF($Q453, INDEX('Run Reconcile'!A$2:A2488,MATCH(B453,'Run Reconcile'!B$2:B2488,0),1),IFERROR(0/0,""))</f>
        <v/>
      </c>
      <c r="S453" s="473" t="str">
        <f t="shared" si="694"/>
        <v/>
      </c>
      <c r="T453" s="473" t="b">
        <f t="shared" si="698"/>
        <v>1</v>
      </c>
      <c r="U453" s="8" t="str">
        <f t="array" ref="U453">IF(ISBLANK($R453), INDEX('Run Reconcile'!A$2:A2488, MATCH($B453, 'Run Reconcile'!B$2:B2488, 0)+Z453, 1), IFERROR(0/0,""))
</f>
        <v>RUN-FLMP_2022-01-13_RFR-057</v>
      </c>
      <c r="V453" s="474" t="str">
        <f t="shared" si="5"/>
        <v>RUN-FLMP_2022-01-13_RFR-057</v>
      </c>
      <c r="X453" s="8" t="s">
        <v>1390</v>
      </c>
      <c r="Y453" s="89">
        <f t="shared" si="791"/>
        <v>1</v>
      </c>
      <c r="Z453" s="60">
        <f t="shared" si="7"/>
        <v>1</v>
      </c>
      <c r="AA453" s="60" t="str">
        <f t="shared" si="8"/>
        <v/>
      </c>
      <c r="AB453" s="60">
        <f t="shared" si="9"/>
        <v>1</v>
      </c>
      <c r="AC453" s="30" t="str">
        <f t="shared" ref="AC453:AD453" si="807">IF(_xlfn.ISFORMULA(S453),IFERROR(0/0,""),TRUE)</f>
        <v/>
      </c>
      <c r="AD453" s="30" t="str">
        <f t="shared" si="807"/>
        <v/>
      </c>
      <c r="AE453" s="475" t="str">
        <f>IFERROR(__xludf.DUMMYFUNCTION("""COMPUTED_VALUE"""),"CRLN")</f>
        <v>CRLN</v>
      </c>
      <c r="AF453" s="476"/>
      <c r="AG453" s="474" t="s">
        <v>158</v>
      </c>
      <c r="AH453" s="138" t="str">
        <f t="shared" si="11"/>
        <v/>
      </c>
    </row>
    <row r="454">
      <c r="A454" s="103" t="str">
        <f>IFERROR(__xludf.DUMMYFUNCTION("""COMPUTED_VALUE"""),"FLB6880")</f>
        <v>FLB6880</v>
      </c>
      <c r="B454" s="468">
        <f>IFERROR(__xludf.DUMMYFUNCTION("""COMPUTED_VALUE"""),44574.0)</f>
        <v>44574</v>
      </c>
      <c r="C454" s="469">
        <f>IFERROR(__xludf.DUMMYFUNCTION("""COMPUTED_VALUE"""),0.359375)</f>
        <v>0.359375</v>
      </c>
      <c r="D454" s="103" t="str">
        <f>IFERROR(__xludf.DUMMYFUNCTION("""COMPUTED_VALUE"""),"SpFLMP596479")</f>
        <v>SpFLMP596479</v>
      </c>
      <c r="E454" s="103"/>
      <c r="F454" s="103"/>
      <c r="G454" s="103" t="str">
        <f>IFERROR(__xludf.DUMMYFUNCTION("""COMPUTED_VALUE"""),"Negative")</f>
        <v>Negative</v>
      </c>
      <c r="H454" s="131" t="str">
        <f>IFERROR(__xludf.DUMMYFUNCTION("""COMPUTED_VALUE"""),"Negative")</f>
        <v>Negative</v>
      </c>
      <c r="I454" s="468">
        <f>IFERROR(__xludf.DUMMYFUNCTION("""COMPUTED_VALUE"""),44574.0)</f>
        <v>44574</v>
      </c>
      <c r="J454" s="470">
        <f>IFERROR(__xludf.DUMMYFUNCTION("""COMPUTED_VALUE"""),0.48118055555555556)</f>
        <v>0.4811805556</v>
      </c>
      <c r="K454" s="16"/>
      <c r="L454" s="8"/>
      <c r="M454" s="69"/>
      <c r="N454" s="69">
        <f>IFERROR(__xludf.DUMMYFUNCTION("""COMPUTED_VALUE"""),3.0)</f>
        <v>3</v>
      </c>
      <c r="O454" s="69" t="str">
        <f t="shared" si="3"/>
        <v/>
      </c>
      <c r="P454" s="471">
        <f>IFERROR(__xludf.DUMMYFUNCTION("""COMPUTED_VALUE"""),0.0)</f>
        <v>0</v>
      </c>
      <c r="Q454" s="274" t="str">
        <f>VLOOKUP($B454,'Run Reconcile'!B$2:O2488,14,FALSE)</f>
        <v/>
      </c>
      <c r="R454" s="472" t="str">
        <f t="array" ref="R454">IF($Q454, INDEX('Run Reconcile'!A$2:A2488,MATCH(B454,'Run Reconcile'!B$2:B2488,0),1),IFERROR(0/0,""))</f>
        <v/>
      </c>
      <c r="S454" s="473" t="str">
        <f t="shared" si="694"/>
        <v/>
      </c>
      <c r="T454" s="473" t="b">
        <f t="shared" si="698"/>
        <v>1</v>
      </c>
      <c r="U454" s="8" t="str">
        <f t="array" ref="U454">IF(ISBLANK($R454), INDEX('Run Reconcile'!A$2:A2488, MATCH($B454, 'Run Reconcile'!B$2:B2488, 0)+Z454, 1), IFERROR(0/0,""))
</f>
        <v>RUN-FLMP_2022-01-13_RFR-057</v>
      </c>
      <c r="V454" s="474" t="str">
        <f t="shared" si="5"/>
        <v>RUN-FLMP_2022-01-13_RFR-057</v>
      </c>
      <c r="X454" s="8" t="s">
        <v>1391</v>
      </c>
      <c r="Y454" s="89">
        <f t="shared" si="791"/>
        <v>1</v>
      </c>
      <c r="Z454" s="60">
        <f t="shared" si="7"/>
        <v>1</v>
      </c>
      <c r="AA454" s="60" t="str">
        <f t="shared" si="8"/>
        <v/>
      </c>
      <c r="AB454" s="60">
        <f t="shared" si="9"/>
        <v>1</v>
      </c>
      <c r="AC454" s="30" t="str">
        <f t="shared" ref="AC454:AD454" si="808">IF(_xlfn.ISFORMULA(S454),IFERROR(0/0,""),TRUE)</f>
        <v/>
      </c>
      <c r="AD454" s="30" t="str">
        <f t="shared" si="808"/>
        <v/>
      </c>
      <c r="AE454" s="475" t="str">
        <f>IFERROR(__xludf.DUMMYFUNCTION("""COMPUTED_VALUE"""),"CRLN")</f>
        <v>CRLN</v>
      </c>
      <c r="AF454" s="476"/>
      <c r="AG454" s="474" t="s">
        <v>158</v>
      </c>
      <c r="AH454" s="138" t="str">
        <f t="shared" si="11"/>
        <v/>
      </c>
    </row>
    <row r="455">
      <c r="A455" s="103" t="str">
        <f>IFERROR(__xludf.DUMMYFUNCTION("""COMPUTED_VALUE"""),"FLB5865")</f>
        <v>FLB5865</v>
      </c>
      <c r="B455" s="468">
        <f>IFERROR(__xludf.DUMMYFUNCTION("""COMPUTED_VALUE"""),44574.0)</f>
        <v>44574</v>
      </c>
      <c r="C455" s="469">
        <f>IFERROR(__xludf.DUMMYFUNCTION("""COMPUTED_VALUE"""),0.36670138888888887)</f>
        <v>0.3667013889</v>
      </c>
      <c r="D455" s="103" t="str">
        <f>IFERROR(__xludf.DUMMYFUNCTION("""COMPUTED_VALUE"""),"SpFLMP496039")</f>
        <v>SpFLMP496039</v>
      </c>
      <c r="E455" s="103"/>
      <c r="F455" s="103"/>
      <c r="G455" s="103" t="str">
        <f>IFERROR(__xludf.DUMMYFUNCTION("""COMPUTED_VALUE"""),"Negative")</f>
        <v>Negative</v>
      </c>
      <c r="H455" s="131" t="str">
        <f>IFERROR(__xludf.DUMMYFUNCTION("""COMPUTED_VALUE"""),"Negative")</f>
        <v>Negative</v>
      </c>
      <c r="I455" s="468">
        <f>IFERROR(__xludf.DUMMYFUNCTION("""COMPUTED_VALUE"""),44574.0)</f>
        <v>44574</v>
      </c>
      <c r="J455" s="470">
        <f>IFERROR(__xludf.DUMMYFUNCTION("""COMPUTED_VALUE"""),0.44809027777777777)</f>
        <v>0.4480902778</v>
      </c>
      <c r="K455" s="16"/>
      <c r="L455" s="8"/>
      <c r="M455" s="69"/>
      <c r="N455" s="69">
        <f>IFERROR(__xludf.DUMMYFUNCTION("""COMPUTED_VALUE"""),2.0)</f>
        <v>2</v>
      </c>
      <c r="O455" s="69" t="str">
        <f t="shared" si="3"/>
        <v/>
      </c>
      <c r="P455" s="471">
        <f>IFERROR(__xludf.DUMMYFUNCTION("""COMPUTED_VALUE"""),0.0)</f>
        <v>0</v>
      </c>
      <c r="Q455" s="274" t="str">
        <f>VLOOKUP($B455,'Run Reconcile'!B$2:O2488,14,FALSE)</f>
        <v/>
      </c>
      <c r="R455" s="472" t="str">
        <f t="array" ref="R455">IF($Q455, INDEX('Run Reconcile'!A$2:A2488,MATCH(B455,'Run Reconcile'!B$2:B2488,0),1),IFERROR(0/0,""))</f>
        <v/>
      </c>
      <c r="S455" s="473" t="str">
        <f t="shared" si="694"/>
        <v/>
      </c>
      <c r="T455" s="473" t="b">
        <f t="shared" si="698"/>
        <v>1</v>
      </c>
      <c r="U455" s="8" t="str">
        <f t="array" ref="U455">IF(ISBLANK($R455), INDEX('Run Reconcile'!A$2:A2488, MATCH($B455, 'Run Reconcile'!B$2:B2488, 0)+Z455, 1), IFERROR(0/0,""))
</f>
        <v>RUN-FLMP_2022-01-13_RFR-057</v>
      </c>
      <c r="V455" s="474" t="str">
        <f t="shared" si="5"/>
        <v>RUN-FLMP_2022-01-13_RFR-057</v>
      </c>
      <c r="X455" s="8" t="s">
        <v>1392</v>
      </c>
      <c r="Y455" s="89">
        <f t="shared" si="791"/>
        <v>1</v>
      </c>
      <c r="Z455" s="60">
        <f t="shared" si="7"/>
        <v>1</v>
      </c>
      <c r="AA455" s="60" t="str">
        <f t="shared" si="8"/>
        <v/>
      </c>
      <c r="AB455" s="60">
        <f t="shared" si="9"/>
        <v>1</v>
      </c>
      <c r="AC455" s="30" t="str">
        <f t="shared" ref="AC455:AD455" si="809">IF(_xlfn.ISFORMULA(S455),IFERROR(0/0,""),TRUE)</f>
        <v/>
      </c>
      <c r="AD455" s="30" t="str">
        <f t="shared" si="809"/>
        <v/>
      </c>
      <c r="AE455" s="475" t="str">
        <f>IFERROR(__xludf.DUMMYFUNCTION("""COMPUTED_VALUE"""),"CRLN")</f>
        <v>CRLN</v>
      </c>
      <c r="AF455" s="476"/>
      <c r="AG455" s="474" t="s">
        <v>158</v>
      </c>
      <c r="AH455" s="138" t="str">
        <f t="shared" si="11"/>
        <v/>
      </c>
    </row>
    <row r="456">
      <c r="A456" s="103" t="str">
        <f>IFERROR(__xludf.DUMMYFUNCTION("""COMPUTED_VALUE"""),"FLB7356")</f>
        <v>FLB7356</v>
      </c>
      <c r="B456" s="468">
        <f>IFERROR(__xludf.DUMMYFUNCTION("""COMPUTED_VALUE"""),44574.0)</f>
        <v>44574</v>
      </c>
      <c r="C456" s="469">
        <f>IFERROR(__xludf.DUMMYFUNCTION("""COMPUTED_VALUE"""),0.3670949074074074)</f>
        <v>0.3670949074</v>
      </c>
      <c r="D456" s="103" t="str">
        <f>IFERROR(__xludf.DUMMYFUNCTION("""COMPUTED_VALUE"""),"SpFLMP273885")</f>
        <v>SpFLMP273885</v>
      </c>
      <c r="E456" s="103"/>
      <c r="F456" s="103"/>
      <c r="G456" s="103" t="str">
        <f>IFERROR(__xludf.DUMMYFUNCTION("""COMPUTED_VALUE"""),"Negative")</f>
        <v>Negative</v>
      </c>
      <c r="H456" s="131" t="str">
        <f>IFERROR(__xludf.DUMMYFUNCTION("""COMPUTED_VALUE"""),"Negative")</f>
        <v>Negative</v>
      </c>
      <c r="I456" s="468">
        <f>IFERROR(__xludf.DUMMYFUNCTION("""COMPUTED_VALUE"""),44574.0)</f>
        <v>44574</v>
      </c>
      <c r="J456" s="470">
        <f>IFERROR(__xludf.DUMMYFUNCTION("""COMPUTED_VALUE"""),0.44809027777777777)</f>
        <v>0.4480902778</v>
      </c>
      <c r="K456" s="16"/>
      <c r="L456" s="8"/>
      <c r="M456" s="69"/>
      <c r="N456" s="69">
        <f>IFERROR(__xludf.DUMMYFUNCTION("""COMPUTED_VALUE"""),2.0)</f>
        <v>2</v>
      </c>
      <c r="O456" s="69" t="str">
        <f t="shared" si="3"/>
        <v/>
      </c>
      <c r="P456" s="471">
        <f>IFERROR(__xludf.DUMMYFUNCTION("""COMPUTED_VALUE"""),0.0)</f>
        <v>0</v>
      </c>
      <c r="Q456" s="274" t="str">
        <f>VLOOKUP($B456,'Run Reconcile'!B$2:O2488,14,FALSE)</f>
        <v/>
      </c>
      <c r="R456" s="472" t="str">
        <f t="array" ref="R456">IF($Q456, INDEX('Run Reconcile'!A$2:A2488,MATCH(B456,'Run Reconcile'!B$2:B2488,0),1),IFERROR(0/0,""))</f>
        <v/>
      </c>
      <c r="S456" s="473" t="str">
        <f t="shared" si="694"/>
        <v/>
      </c>
      <c r="T456" s="473" t="b">
        <f t="shared" si="698"/>
        <v>1</v>
      </c>
      <c r="U456" s="8" t="str">
        <f t="array" ref="U456">IF(ISBLANK($R456), INDEX('Run Reconcile'!A$2:A2488, MATCH($B456, 'Run Reconcile'!B$2:B2488, 0)+Z456, 1), IFERROR(0/0,""))
</f>
        <v>RUN-FLMP_2022-01-13_RFR-057</v>
      </c>
      <c r="V456" s="474" t="str">
        <f t="shared" si="5"/>
        <v>RUN-FLMP_2022-01-13_RFR-057</v>
      </c>
      <c r="X456" s="8" t="s">
        <v>1393</v>
      </c>
      <c r="Y456" s="89">
        <f t="shared" si="791"/>
        <v>1</v>
      </c>
      <c r="Z456" s="60">
        <f t="shared" si="7"/>
        <v>1</v>
      </c>
      <c r="AA456" s="60" t="str">
        <f t="shared" si="8"/>
        <v/>
      </c>
      <c r="AB456" s="60">
        <f t="shared" si="9"/>
        <v>1</v>
      </c>
      <c r="AC456" s="30" t="str">
        <f t="shared" ref="AC456:AD456" si="810">IF(_xlfn.ISFORMULA(S456),IFERROR(0/0,""),TRUE)</f>
        <v/>
      </c>
      <c r="AD456" s="30" t="str">
        <f t="shared" si="810"/>
        <v/>
      </c>
      <c r="AE456" s="475" t="str">
        <f>IFERROR(__xludf.DUMMYFUNCTION("""COMPUTED_VALUE"""),"CRLN")</f>
        <v>CRLN</v>
      </c>
      <c r="AF456" s="476"/>
      <c r="AG456" s="474" t="s">
        <v>158</v>
      </c>
      <c r="AH456" s="138" t="str">
        <f t="shared" si="11"/>
        <v/>
      </c>
    </row>
    <row r="457">
      <c r="A457" s="103" t="str">
        <f>IFERROR(__xludf.DUMMYFUNCTION("""COMPUTED_VALUE"""),"FLB5881")</f>
        <v>FLB5881</v>
      </c>
      <c r="B457" s="468">
        <f>IFERROR(__xludf.DUMMYFUNCTION("""COMPUTED_VALUE"""),44574.0)</f>
        <v>44574</v>
      </c>
      <c r="C457" s="469">
        <f>IFERROR(__xludf.DUMMYFUNCTION("""COMPUTED_VALUE"""),0.3678587962962963)</f>
        <v>0.3678587963</v>
      </c>
      <c r="D457" s="103" t="str">
        <f>IFERROR(__xludf.DUMMYFUNCTION("""COMPUTED_VALUE"""),"SpFLMP496039")</f>
        <v>SpFLMP496039</v>
      </c>
      <c r="E457" s="103"/>
      <c r="F457" s="103"/>
      <c r="G457" s="103" t="str">
        <f>IFERROR(__xludf.DUMMYFUNCTION("""COMPUTED_VALUE"""),"Negative")</f>
        <v>Negative</v>
      </c>
      <c r="H457" s="131" t="str">
        <f>IFERROR(__xludf.DUMMYFUNCTION("""COMPUTED_VALUE"""),"Negative")</f>
        <v>Negative</v>
      </c>
      <c r="I457" s="468">
        <f>IFERROR(__xludf.DUMMYFUNCTION("""COMPUTED_VALUE"""),44574.0)</f>
        <v>44574</v>
      </c>
      <c r="J457" s="470">
        <f>IFERROR(__xludf.DUMMYFUNCTION("""COMPUTED_VALUE"""),0.44809027777777777)</f>
        <v>0.4480902778</v>
      </c>
      <c r="K457" s="16"/>
      <c r="L457" s="8"/>
      <c r="M457" s="69"/>
      <c r="N457" s="69">
        <f>IFERROR(__xludf.DUMMYFUNCTION("""COMPUTED_VALUE"""),1.0)</f>
        <v>1</v>
      </c>
      <c r="O457" s="69" t="str">
        <f t="shared" si="3"/>
        <v/>
      </c>
      <c r="P457" s="471">
        <f>IFERROR(__xludf.DUMMYFUNCTION("""COMPUTED_VALUE"""),0.0)</f>
        <v>0</v>
      </c>
      <c r="Q457" s="274" t="str">
        <f>VLOOKUP($B457,'Run Reconcile'!B$2:O2488,14,FALSE)</f>
        <v/>
      </c>
      <c r="R457" s="472" t="str">
        <f t="array" ref="R457">IF($Q457, INDEX('Run Reconcile'!A$2:A2488,MATCH(B457,'Run Reconcile'!B$2:B2488,0),1),IFERROR(0/0,""))</f>
        <v/>
      </c>
      <c r="S457" s="473" t="str">
        <f t="shared" si="694"/>
        <v/>
      </c>
      <c r="T457" s="473" t="b">
        <f t="shared" si="698"/>
        <v>1</v>
      </c>
      <c r="U457" s="8" t="str">
        <f t="array" ref="U457">IF(ISBLANK($R457), INDEX('Run Reconcile'!A$2:A2488, MATCH($B457, 'Run Reconcile'!B$2:B2488, 0)+Z457, 1), IFERROR(0/0,""))
</f>
        <v>RUN-FLMP_2022-01-13_RFR-057</v>
      </c>
      <c r="V457" s="474" t="str">
        <f t="shared" si="5"/>
        <v>RUN-FLMP_2022-01-13_RFR-057</v>
      </c>
      <c r="X457" s="8" t="s">
        <v>1394</v>
      </c>
      <c r="Y457" s="89">
        <f t="shared" si="791"/>
        <v>1</v>
      </c>
      <c r="Z457" s="60">
        <f t="shared" si="7"/>
        <v>1</v>
      </c>
      <c r="AA457" s="60" t="str">
        <f t="shared" si="8"/>
        <v/>
      </c>
      <c r="AB457" s="60">
        <f t="shared" si="9"/>
        <v>1</v>
      </c>
      <c r="AC457" s="30" t="str">
        <f t="shared" ref="AC457:AD457" si="811">IF(_xlfn.ISFORMULA(S457),IFERROR(0/0,""),TRUE)</f>
        <v/>
      </c>
      <c r="AD457" s="30" t="str">
        <f t="shared" si="811"/>
        <v/>
      </c>
      <c r="AE457" s="475" t="str">
        <f>IFERROR(__xludf.DUMMYFUNCTION("""COMPUTED_VALUE"""),"CRLN")</f>
        <v>CRLN</v>
      </c>
      <c r="AF457" s="476"/>
      <c r="AG457" s="474" t="s">
        <v>158</v>
      </c>
      <c r="AH457" s="138" t="str">
        <f t="shared" si="11"/>
        <v/>
      </c>
    </row>
    <row r="458">
      <c r="A458" s="103" t="str">
        <f>IFERROR(__xludf.DUMMYFUNCTION("""COMPUTED_VALUE"""),"FLT1408")</f>
        <v>FLT1408</v>
      </c>
      <c r="B458" s="468">
        <f>IFERROR(__xludf.DUMMYFUNCTION("""COMPUTED_VALUE"""),44574.0)</f>
        <v>44574</v>
      </c>
      <c r="C458" s="469">
        <f>IFERROR(__xludf.DUMMYFUNCTION("""COMPUTED_VALUE"""),0.37028935185185186)</f>
        <v>0.3702893519</v>
      </c>
      <c r="D458" s="103" t="str">
        <f>IFERROR(__xludf.DUMMYFUNCTION("""COMPUTED_VALUE"""),"SpFLMP668449")</f>
        <v>SpFLMP668449</v>
      </c>
      <c r="E458" s="103"/>
      <c r="F458" s="103"/>
      <c r="G458" s="103" t="str">
        <f>IFERROR(__xludf.DUMMYFUNCTION("""COMPUTED_VALUE"""),"Negative")</f>
        <v>Negative</v>
      </c>
      <c r="H458" s="131" t="str">
        <f>IFERROR(__xludf.DUMMYFUNCTION("""COMPUTED_VALUE"""),"Negative")</f>
        <v>Negative</v>
      </c>
      <c r="I458" s="468">
        <f>IFERROR(__xludf.DUMMYFUNCTION("""COMPUTED_VALUE"""),44574.0)</f>
        <v>44574</v>
      </c>
      <c r="J458" s="470">
        <f>IFERROR(__xludf.DUMMYFUNCTION("""COMPUTED_VALUE"""),0.44809027777777777)</f>
        <v>0.4480902778</v>
      </c>
      <c r="K458" s="16"/>
      <c r="L458" s="8"/>
      <c r="M458" s="69"/>
      <c r="N458" s="69">
        <f>IFERROR(__xludf.DUMMYFUNCTION("""COMPUTED_VALUE"""),3.0)</f>
        <v>3</v>
      </c>
      <c r="O458" s="69" t="str">
        <f t="shared" si="3"/>
        <v/>
      </c>
      <c r="P458" s="471">
        <f>IFERROR(__xludf.DUMMYFUNCTION("""COMPUTED_VALUE"""),0.0)</f>
        <v>0</v>
      </c>
      <c r="Q458" s="274" t="str">
        <f>VLOOKUP($B458,'Run Reconcile'!B$2:O2488,14,FALSE)</f>
        <v/>
      </c>
      <c r="R458" s="472" t="str">
        <f t="array" ref="R458">IF($Q458, INDEX('Run Reconcile'!A$2:A2488,MATCH(B458,'Run Reconcile'!B$2:B2488,0),1),IFERROR(0/0,""))</f>
        <v/>
      </c>
      <c r="S458" s="473" t="str">
        <f t="shared" si="694"/>
        <v/>
      </c>
      <c r="T458" s="473" t="b">
        <f t="shared" si="698"/>
        <v>1</v>
      </c>
      <c r="U458" s="8" t="str">
        <f t="array" ref="U458">IF(ISBLANK($R458), INDEX('Run Reconcile'!A$2:A2488, MATCH($B458, 'Run Reconcile'!B$2:B2488, 0)+Z458, 1), IFERROR(0/0,""))
</f>
        <v>RUN-FLMP_2022-01-13_RFR-057</v>
      </c>
      <c r="V458" s="474" t="str">
        <f t="shared" si="5"/>
        <v>RUN-FLMP_2022-01-13_RFR-057</v>
      </c>
      <c r="X458" s="8" t="s">
        <v>1395</v>
      </c>
      <c r="Y458" s="89">
        <f t="shared" si="791"/>
        <v>1</v>
      </c>
      <c r="Z458" s="60">
        <f t="shared" si="7"/>
        <v>1</v>
      </c>
      <c r="AA458" s="60" t="str">
        <f t="shared" si="8"/>
        <v/>
      </c>
      <c r="AB458" s="60">
        <f t="shared" si="9"/>
        <v>1</v>
      </c>
      <c r="AC458" s="30" t="str">
        <f t="shared" ref="AC458:AD458" si="812">IF(_xlfn.ISFORMULA(S458),IFERROR(0/0,""),TRUE)</f>
        <v/>
      </c>
      <c r="AD458" s="30" t="str">
        <f t="shared" si="812"/>
        <v/>
      </c>
      <c r="AE458" s="475" t="str">
        <f>IFERROR(__xludf.DUMMYFUNCTION("""COMPUTED_VALUE"""),"CRLN")</f>
        <v>CRLN</v>
      </c>
      <c r="AF458" s="476"/>
      <c r="AG458" s="474" t="s">
        <v>158</v>
      </c>
      <c r="AH458" s="138" t="str">
        <f t="shared" si="11"/>
        <v/>
      </c>
    </row>
    <row r="459">
      <c r="A459" s="103" t="str">
        <f>IFERROR(__xludf.DUMMYFUNCTION("""COMPUTED_VALUE"""),"FLT1466")</f>
        <v>FLT1466</v>
      </c>
      <c r="B459" s="468">
        <f>IFERROR(__xludf.DUMMYFUNCTION("""COMPUTED_VALUE"""),44574.0)</f>
        <v>44574</v>
      </c>
      <c r="C459" s="469">
        <f>IFERROR(__xludf.DUMMYFUNCTION("""COMPUTED_VALUE"""),0.4674074074074074)</f>
        <v>0.4674074074</v>
      </c>
      <c r="D459" s="103" t="str">
        <f>IFERROR(__xludf.DUMMYFUNCTION("""COMPUTED_VALUE"""),"SpFLMP684798")</f>
        <v>SpFLMP684798</v>
      </c>
      <c r="E459" s="103"/>
      <c r="F459" s="103"/>
      <c r="G459" s="103" t="str">
        <f>IFERROR(__xludf.DUMMYFUNCTION("""COMPUTED_VALUE"""),"Negative")</f>
        <v>Negative</v>
      </c>
      <c r="H459" s="131" t="str">
        <f>IFERROR(__xludf.DUMMYFUNCTION("""COMPUTED_VALUE"""),"Negative")</f>
        <v>Negative</v>
      </c>
      <c r="I459" s="468">
        <f>IFERROR(__xludf.DUMMYFUNCTION("""COMPUTED_VALUE"""),44574.0)</f>
        <v>44574</v>
      </c>
      <c r="J459" s="470">
        <f>IFERROR(__xludf.DUMMYFUNCTION("""COMPUTED_VALUE"""),0.4829513888888889)</f>
        <v>0.4829513889</v>
      </c>
      <c r="K459" s="16"/>
      <c r="L459" s="8"/>
      <c r="M459" s="69"/>
      <c r="N459" s="69">
        <f>IFERROR(__xludf.DUMMYFUNCTION("""COMPUTED_VALUE"""),2.0)</f>
        <v>2</v>
      </c>
      <c r="O459" s="69" t="str">
        <f t="shared" si="3"/>
        <v/>
      </c>
      <c r="P459" s="471">
        <f>IFERROR(__xludf.DUMMYFUNCTION("""COMPUTED_VALUE"""),0.0)</f>
        <v>0</v>
      </c>
      <c r="Q459" s="274" t="str">
        <f>VLOOKUP($B459,'Run Reconcile'!B$2:O2488,14,FALSE)</f>
        <v/>
      </c>
      <c r="R459" s="472" t="str">
        <f t="array" ref="R459">IF($Q459, INDEX('Run Reconcile'!A$2:A2488,MATCH(B459,'Run Reconcile'!B$2:B2488,0),1),IFERROR(0/0,""))</f>
        <v/>
      </c>
      <c r="S459" s="473" t="str">
        <f t="shared" si="694"/>
        <v/>
      </c>
      <c r="T459" s="473" t="b">
        <f t="shared" si="698"/>
        <v>1</v>
      </c>
      <c r="U459" s="8" t="str">
        <f t="array" ref="U459">IF(ISBLANK($R459), INDEX('Run Reconcile'!A$2:A2488, MATCH($B459, 'Run Reconcile'!B$2:B2488, 0)+Z459, 1), IFERROR(0/0,""))
</f>
        <v>RUN-FLMP_2022-01-13_RFR-057</v>
      </c>
      <c r="V459" s="474" t="str">
        <f t="shared" si="5"/>
        <v>RUN-FLMP_2022-01-13_RFR-057</v>
      </c>
      <c r="X459" s="8" t="s">
        <v>687</v>
      </c>
      <c r="Y459" s="89">
        <f t="shared" si="791"/>
        <v>1</v>
      </c>
      <c r="Z459" s="60">
        <f t="shared" si="7"/>
        <v>1</v>
      </c>
      <c r="AA459" s="60" t="str">
        <f t="shared" si="8"/>
        <v/>
      </c>
      <c r="AB459" s="60">
        <f t="shared" si="9"/>
        <v>1</v>
      </c>
      <c r="AC459" s="30" t="str">
        <f t="shared" ref="AC459:AD459" si="813">IF(_xlfn.ISFORMULA(S459),IFERROR(0/0,""),TRUE)</f>
        <v/>
      </c>
      <c r="AD459" s="30" t="str">
        <f t="shared" si="813"/>
        <v/>
      </c>
      <c r="AE459" s="475" t="str">
        <f>IFERROR(__xludf.DUMMYFUNCTION("""COMPUTED_VALUE"""),"CRLN")</f>
        <v>CRLN</v>
      </c>
      <c r="AF459" s="476"/>
      <c r="AG459" s="474" t="s">
        <v>158</v>
      </c>
      <c r="AH459" s="138" t="str">
        <f t="shared" si="11"/>
        <v/>
      </c>
    </row>
    <row r="460">
      <c r="A460" s="477" t="str">
        <f>IFERROR(__xludf.DUMMYFUNCTION("""COMPUTED_VALUE"""),"FLB7408")</f>
        <v>FLB7408</v>
      </c>
      <c r="B460" s="478">
        <f>IFERROR(__xludf.DUMMYFUNCTION("""COMPUTED_VALUE"""),44576.0)</f>
        <v>44576</v>
      </c>
      <c r="C460" s="479">
        <f>IFERROR(__xludf.DUMMYFUNCTION("""COMPUTED_VALUE"""),0.2985185185185185)</f>
        <v>0.2985185185</v>
      </c>
      <c r="D460" s="477" t="str">
        <f>IFERROR(__xludf.DUMMYFUNCTION("""COMPUTED_VALUE"""),"SpFLMP604497")</f>
        <v>SpFLMP604497</v>
      </c>
      <c r="E460" s="477"/>
      <c r="F460" s="477"/>
      <c r="G460" s="477" t="str">
        <f>IFERROR(__xludf.DUMMYFUNCTION("""COMPUTED_VALUE"""),"Negative")</f>
        <v>Negative</v>
      </c>
      <c r="H460" s="480" t="str">
        <f>IFERROR(__xludf.DUMMYFUNCTION("""COMPUTED_VALUE"""),"Negative")</f>
        <v>Negative</v>
      </c>
      <c r="I460" s="478">
        <f>IFERROR(__xludf.DUMMYFUNCTION("""COMPUTED_VALUE"""),44576.0)</f>
        <v>44576</v>
      </c>
      <c r="J460" s="481">
        <f>IFERROR(__xludf.DUMMYFUNCTION("""COMPUTED_VALUE"""),0.5189699074074074)</f>
        <v>0.5189699074</v>
      </c>
      <c r="K460" s="156"/>
      <c r="L460" s="19"/>
      <c r="M460" s="482"/>
      <c r="N460" s="482">
        <f>IFERROR(__xludf.DUMMYFUNCTION("""COMPUTED_VALUE"""),3.0)</f>
        <v>3</v>
      </c>
      <c r="O460" s="482" t="b">
        <f t="shared" si="3"/>
        <v>1</v>
      </c>
      <c r="P460" s="483">
        <f>IFERROR(__xludf.DUMMYFUNCTION("""COMPUTED_VALUE"""),0.0)</f>
        <v>0</v>
      </c>
      <c r="Q460" s="352" t="b">
        <f>VLOOKUP($B460,'Run Reconcile'!B$2:O2488,14,FALSE)</f>
        <v>1</v>
      </c>
      <c r="R460" s="484" t="str">
        <f t="array" ref="R460">IF($Q460, INDEX('Run Reconcile'!A$2:A2488,MATCH(B460,'Run Reconcile'!B$2:B2488,0),1),IFERROR(0/0,""))</f>
        <v>RUN-FLMP_2022-01-15_RFR-060</v>
      </c>
      <c r="S460" s="485" t="str">
        <f t="shared" si="694"/>
        <v/>
      </c>
      <c r="T460" s="485" t="str">
        <f t="shared" si="698"/>
        <v/>
      </c>
      <c r="U460" s="353" t="str">
        <f t="array" ref="U460">IF(ISBLANK($R460), INDEX('Run Reconcile'!A$2:A2488, MATCH($B460, 'Run Reconcile'!B$2:B2488, 0)+Z460, 1), IFERROR(0/0,""))
</f>
        <v/>
      </c>
      <c r="V460" s="486" t="str">
        <f t="shared" si="5"/>
        <v>RUN-FLMP_2022-01-15_RFR-060</v>
      </c>
      <c r="W460" s="19"/>
      <c r="X460" s="19"/>
      <c r="Y460" s="89" t="str">
        <f t="shared" si="791"/>
        <v/>
      </c>
      <c r="Z460" s="60" t="str">
        <f t="shared" si="7"/>
        <v/>
      </c>
      <c r="AA460" s="60" t="str">
        <f t="shared" si="8"/>
        <v/>
      </c>
      <c r="AB460" s="60" t="str">
        <f t="shared" si="9"/>
        <v/>
      </c>
      <c r="AC460" s="158" t="str">
        <f t="shared" ref="AC460:AD460" si="814">IF(_xlfn.ISFORMULA(S460),IFERROR(0/0,""),TRUE)</f>
        <v/>
      </c>
      <c r="AD460" s="158" t="str">
        <f t="shared" si="814"/>
        <v/>
      </c>
      <c r="AE460" s="488" t="str">
        <f>IFERROR(__xludf.DUMMYFUNCTION("""COMPUTED_VALUE"""),"CRLN")</f>
        <v>CRLN</v>
      </c>
      <c r="AF460" s="489"/>
      <c r="AG460" s="486" t="s">
        <v>159</v>
      </c>
      <c r="AH460" s="138" t="str">
        <f t="shared" si="11"/>
        <v/>
      </c>
      <c r="AI460" s="19"/>
      <c r="AJ460" s="19"/>
      <c r="AK460" s="19"/>
      <c r="AL460" s="19"/>
      <c r="AM460" s="19"/>
    </row>
    <row r="461">
      <c r="A461" s="103" t="str">
        <f>IFERROR(__xludf.DUMMYFUNCTION("""COMPUTED_VALUE"""),"FLB5887")</f>
        <v>FLB5887</v>
      </c>
      <c r="B461" s="468">
        <f>IFERROR(__xludf.DUMMYFUNCTION("""COMPUTED_VALUE"""),44576.0)</f>
        <v>44576</v>
      </c>
      <c r="C461" s="469">
        <f>IFERROR(__xludf.DUMMYFUNCTION("""COMPUTED_VALUE"""),0.3201273148148148)</f>
        <v>0.3201273148</v>
      </c>
      <c r="D461" s="103" t="str">
        <f>IFERROR(__xludf.DUMMYFUNCTION("""COMPUTED_VALUE"""),"SpFLMP737812")</f>
        <v>SpFLMP737812</v>
      </c>
      <c r="E461" s="103"/>
      <c r="F461" s="103"/>
      <c r="G461" s="103" t="str">
        <f>IFERROR(__xludf.DUMMYFUNCTION("""COMPUTED_VALUE"""),"Negative")</f>
        <v>Negative</v>
      </c>
      <c r="H461" s="131" t="str">
        <f>IFERROR(__xludf.DUMMYFUNCTION("""COMPUTED_VALUE"""),"Negative")</f>
        <v>Negative</v>
      </c>
      <c r="I461" s="468">
        <f>IFERROR(__xludf.DUMMYFUNCTION("""COMPUTED_VALUE"""),44576.0)</f>
        <v>44576</v>
      </c>
      <c r="J461" s="470">
        <f>IFERROR(__xludf.DUMMYFUNCTION("""COMPUTED_VALUE"""),0.5189699074074074)</f>
        <v>0.5189699074</v>
      </c>
      <c r="K461" s="16"/>
      <c r="L461" s="8"/>
      <c r="M461" s="69"/>
      <c r="N461" s="69">
        <f>IFERROR(__xludf.DUMMYFUNCTION("""COMPUTED_VALUE"""),2.0)</f>
        <v>2</v>
      </c>
      <c r="O461" s="69" t="str">
        <f t="shared" si="3"/>
        <v/>
      </c>
      <c r="P461" s="471">
        <f>IFERROR(__xludf.DUMMYFUNCTION("""COMPUTED_VALUE"""),0.0)</f>
        <v>0</v>
      </c>
      <c r="Q461" s="274" t="b">
        <f>VLOOKUP($B461,'Run Reconcile'!B$2:O2488,14,FALSE)</f>
        <v>1</v>
      </c>
      <c r="R461" s="472" t="str">
        <f t="array" ref="R461">IF($Q461, INDEX('Run Reconcile'!A$2:A2488,MATCH(B461,'Run Reconcile'!B$2:B2488,0),1),IFERROR(0/0,""))</f>
        <v>RUN-FLMP_2022-01-15_RFR-060</v>
      </c>
      <c r="S461" s="473" t="str">
        <f t="shared" si="694"/>
        <v/>
      </c>
      <c r="T461" s="473" t="str">
        <f t="shared" si="698"/>
        <v/>
      </c>
      <c r="U461" s="275" t="str">
        <f t="array" ref="U461">IF(ISBLANK($R461), INDEX('Run Reconcile'!A$2:A2488, MATCH($B461, 'Run Reconcile'!B$2:B2488, 0)+Z461, 1), IFERROR(0/0,""))
</f>
        <v/>
      </c>
      <c r="V461" s="474" t="str">
        <f t="shared" si="5"/>
        <v>RUN-FLMP_2022-01-15_RFR-060</v>
      </c>
      <c r="Y461" s="89" t="str">
        <f t="shared" si="791"/>
        <v/>
      </c>
      <c r="Z461" s="60" t="str">
        <f t="shared" si="7"/>
        <v/>
      </c>
      <c r="AA461" s="60" t="str">
        <f t="shared" si="8"/>
        <v/>
      </c>
      <c r="AB461" s="60" t="str">
        <f t="shared" si="9"/>
        <v/>
      </c>
      <c r="AC461" s="30" t="str">
        <f t="shared" ref="AC461:AD461" si="815">IF(_xlfn.ISFORMULA(S461),IFERROR(0/0,""),TRUE)</f>
        <v/>
      </c>
      <c r="AD461" s="30" t="str">
        <f t="shared" si="815"/>
        <v/>
      </c>
      <c r="AE461" s="475" t="str">
        <f>IFERROR(__xludf.DUMMYFUNCTION("""COMPUTED_VALUE"""),"CRLN")</f>
        <v>CRLN</v>
      </c>
      <c r="AF461" s="476"/>
      <c r="AG461" s="474" t="s">
        <v>159</v>
      </c>
      <c r="AH461" s="138" t="str">
        <f t="shared" si="11"/>
        <v/>
      </c>
    </row>
    <row r="462">
      <c r="A462" s="103" t="str">
        <f>IFERROR(__xludf.DUMMYFUNCTION("""COMPUTED_VALUE"""),"FLE283")</f>
        <v>FLE283</v>
      </c>
      <c r="B462" s="468">
        <f>IFERROR(__xludf.DUMMYFUNCTION("""COMPUTED_VALUE"""),44576.0)</f>
        <v>44576</v>
      </c>
      <c r="C462" s="469">
        <f>IFERROR(__xludf.DUMMYFUNCTION("""COMPUTED_VALUE"""),0.339375)</f>
        <v>0.339375</v>
      </c>
      <c r="D462" s="103" t="str">
        <f>IFERROR(__xludf.DUMMYFUNCTION("""COMPUTED_VALUE"""),"SpFLMP684798")</f>
        <v>SpFLMP684798</v>
      </c>
      <c r="E462" s="103"/>
      <c r="F462" s="103"/>
      <c r="G462" s="103" t="str">
        <f>IFERROR(__xludf.DUMMYFUNCTION("""COMPUTED_VALUE"""),"Negative")</f>
        <v>Negative</v>
      </c>
      <c r="H462" s="131" t="str">
        <f>IFERROR(__xludf.DUMMYFUNCTION("""COMPUTED_VALUE"""),"Negative")</f>
        <v>Negative</v>
      </c>
      <c r="I462" s="468">
        <f>IFERROR(__xludf.DUMMYFUNCTION("""COMPUTED_VALUE"""),44576.0)</f>
        <v>44576</v>
      </c>
      <c r="J462" s="470">
        <f>IFERROR(__xludf.DUMMYFUNCTION("""COMPUTED_VALUE"""),0.5189699074074074)</f>
        <v>0.5189699074</v>
      </c>
      <c r="K462" s="16"/>
      <c r="L462" s="8"/>
      <c r="M462" s="69"/>
      <c r="N462" s="69">
        <f>IFERROR(__xludf.DUMMYFUNCTION("""COMPUTED_VALUE"""),4.0)</f>
        <v>4</v>
      </c>
      <c r="O462" s="69" t="str">
        <f t="shared" si="3"/>
        <v/>
      </c>
      <c r="P462" s="471">
        <f>IFERROR(__xludf.DUMMYFUNCTION("""COMPUTED_VALUE"""),0.0)</f>
        <v>0</v>
      </c>
      <c r="Q462" s="274" t="b">
        <f>VLOOKUP($B462,'Run Reconcile'!B$2:O2488,14,FALSE)</f>
        <v>1</v>
      </c>
      <c r="R462" s="472" t="str">
        <f t="array" ref="R462">IF($Q462, INDEX('Run Reconcile'!A$2:A2488,MATCH(B462,'Run Reconcile'!B$2:B2488,0),1),IFERROR(0/0,""))</f>
        <v>RUN-FLMP_2022-01-15_RFR-060</v>
      </c>
      <c r="S462" s="473" t="str">
        <f t="shared" si="694"/>
        <v/>
      </c>
      <c r="T462" s="473" t="str">
        <f t="shared" si="698"/>
        <v/>
      </c>
      <c r="U462" s="275" t="str">
        <f t="array" ref="U462">IF(ISBLANK($R462), INDEX('Run Reconcile'!A$2:A2488, MATCH($B462, 'Run Reconcile'!B$2:B2488, 0)+Z462, 1), IFERROR(0/0,""))
</f>
        <v/>
      </c>
      <c r="V462" s="474" t="str">
        <f t="shared" si="5"/>
        <v>RUN-FLMP_2022-01-15_RFR-060</v>
      </c>
      <c r="Y462" s="89" t="str">
        <f t="shared" si="791"/>
        <v/>
      </c>
      <c r="Z462" s="60" t="str">
        <f t="shared" si="7"/>
        <v/>
      </c>
      <c r="AA462" s="60" t="str">
        <f t="shared" si="8"/>
        <v/>
      </c>
      <c r="AB462" s="60" t="str">
        <f t="shared" si="9"/>
        <v/>
      </c>
      <c r="AC462" s="30" t="str">
        <f t="shared" ref="AC462:AD462" si="816">IF(_xlfn.ISFORMULA(S462),IFERROR(0/0,""),TRUE)</f>
        <v/>
      </c>
      <c r="AD462" s="30" t="str">
        <f t="shared" si="816"/>
        <v/>
      </c>
      <c r="AE462" s="475" t="str">
        <f>IFERROR(__xludf.DUMMYFUNCTION("""COMPUTED_VALUE"""),"CRLN")</f>
        <v>CRLN</v>
      </c>
      <c r="AF462" s="476"/>
      <c r="AG462" s="474" t="s">
        <v>159</v>
      </c>
      <c r="AH462" s="138" t="str">
        <f t="shared" si="11"/>
        <v/>
      </c>
    </row>
    <row r="463">
      <c r="A463" s="103" t="str">
        <f>IFERROR(__xludf.DUMMYFUNCTION("""COMPUTED_VALUE"""),"MA30")</f>
        <v>MA30</v>
      </c>
      <c r="B463" s="468">
        <f>IFERROR(__xludf.DUMMYFUNCTION("""COMPUTED_VALUE"""),44576.0)</f>
        <v>44576</v>
      </c>
      <c r="C463" s="469">
        <f>IFERROR(__xludf.DUMMYFUNCTION("""COMPUTED_VALUE"""),0.4596064814814815)</f>
        <v>0.4596064815</v>
      </c>
      <c r="D463" s="103" t="str">
        <f>IFERROR(__xludf.DUMMYFUNCTION("""COMPUTED_VALUE"""),"SpFLMP659315")</f>
        <v>SpFLMP659315</v>
      </c>
      <c r="E463" s="103"/>
      <c r="F463" s="103"/>
      <c r="G463" s="103" t="str">
        <f>IFERROR(__xludf.DUMMYFUNCTION("""COMPUTED_VALUE"""),"Negative")</f>
        <v>Negative</v>
      </c>
      <c r="H463" s="131" t="str">
        <f>IFERROR(__xludf.DUMMYFUNCTION("""COMPUTED_VALUE"""),"Negative")</f>
        <v>Negative</v>
      </c>
      <c r="I463" s="468">
        <f>IFERROR(__xludf.DUMMYFUNCTION("""COMPUTED_VALUE"""),44576.0)</f>
        <v>44576</v>
      </c>
      <c r="J463" s="470">
        <f>IFERROR(__xludf.DUMMYFUNCTION("""COMPUTED_VALUE"""),0.5189814814814815)</f>
        <v>0.5189814815</v>
      </c>
      <c r="K463" s="16"/>
      <c r="L463" s="8"/>
      <c r="M463" s="69"/>
      <c r="N463" s="69">
        <f>IFERROR(__xludf.DUMMYFUNCTION("""COMPUTED_VALUE"""),1.0)</f>
        <v>1</v>
      </c>
      <c r="O463" s="69" t="str">
        <f t="shared" si="3"/>
        <v/>
      </c>
      <c r="P463" s="471">
        <f>IFERROR(__xludf.DUMMYFUNCTION("""COMPUTED_VALUE"""),0.0)</f>
        <v>0</v>
      </c>
      <c r="Q463" s="274" t="b">
        <f>VLOOKUP($B463,'Run Reconcile'!B$2:O2488,14,FALSE)</f>
        <v>1</v>
      </c>
      <c r="R463" s="472" t="str">
        <f t="array" ref="R463">IF($Q463, INDEX('Run Reconcile'!A$2:A2488,MATCH(B463,'Run Reconcile'!B$2:B2488,0),1),IFERROR(0/0,""))</f>
        <v>RUN-FLMP_2022-01-15_RFR-060</v>
      </c>
      <c r="S463" s="473" t="str">
        <f t="shared" si="694"/>
        <v/>
      </c>
      <c r="T463" s="473" t="str">
        <f t="shared" si="698"/>
        <v/>
      </c>
      <c r="U463" s="275" t="str">
        <f t="array" ref="U463">IF(ISBLANK($R463), INDEX('Run Reconcile'!A$2:A2488, MATCH($B463, 'Run Reconcile'!B$2:B2488, 0)+Z463, 1), IFERROR(0/0,""))
</f>
        <v/>
      </c>
      <c r="V463" s="474" t="str">
        <f t="shared" si="5"/>
        <v>RUN-FLMP_2022-01-15_RFR-060</v>
      </c>
      <c r="Y463" s="89" t="str">
        <f t="shared" si="791"/>
        <v/>
      </c>
      <c r="Z463" s="60" t="str">
        <f t="shared" si="7"/>
        <v/>
      </c>
      <c r="AA463" s="60" t="str">
        <f t="shared" si="8"/>
        <v/>
      </c>
      <c r="AB463" s="60" t="str">
        <f t="shared" si="9"/>
        <v/>
      </c>
      <c r="AC463" s="30" t="str">
        <f t="shared" ref="AC463:AD463" si="817">IF(_xlfn.ISFORMULA(S463),IFERROR(0/0,""),TRUE)</f>
        <v/>
      </c>
      <c r="AD463" s="30" t="str">
        <f t="shared" si="817"/>
        <v/>
      </c>
      <c r="AE463" s="475" t="str">
        <f>IFERROR(__xludf.DUMMYFUNCTION("""COMPUTED_VALUE"""),"FLSP")</f>
        <v>FLSP</v>
      </c>
      <c r="AF463" s="476"/>
      <c r="AG463" s="474" t="s">
        <v>159</v>
      </c>
      <c r="AH463" s="138" t="str">
        <f t="shared" si="11"/>
        <v/>
      </c>
    </row>
    <row r="464">
      <c r="A464" s="103" t="str">
        <f>IFERROR(__xludf.DUMMYFUNCTION("""COMPUTED_VALUE"""),"MA75")</f>
        <v>MA75</v>
      </c>
      <c r="B464" s="468">
        <f>IFERROR(__xludf.DUMMYFUNCTION("""COMPUTED_VALUE"""),44577.0)</f>
        <v>44577</v>
      </c>
      <c r="C464" s="469">
        <f>IFERROR(__xludf.DUMMYFUNCTION("""COMPUTED_VALUE"""),0.4759953703703704)</f>
        <v>0.4759953704</v>
      </c>
      <c r="D464" s="103" t="str">
        <f>IFERROR(__xludf.DUMMYFUNCTION("""COMPUTED_VALUE"""),"SpFLMP255929")</f>
        <v>SpFLMP255929</v>
      </c>
      <c r="E464" s="103"/>
      <c r="F464" s="103"/>
      <c r="G464" s="103" t="str">
        <f>IFERROR(__xludf.DUMMYFUNCTION("""COMPUTED_VALUE"""),"Negative")</f>
        <v>Negative</v>
      </c>
      <c r="H464" s="131" t="str">
        <f>IFERROR(__xludf.DUMMYFUNCTION("""COMPUTED_VALUE"""),"Negative")</f>
        <v>Negative</v>
      </c>
      <c r="I464" s="468">
        <f>IFERROR(__xludf.DUMMYFUNCTION("""COMPUTED_VALUE"""),44578.0)</f>
        <v>44578</v>
      </c>
      <c r="J464" s="470">
        <f>IFERROR(__xludf.DUMMYFUNCTION("""COMPUTED_VALUE"""),0.8473726851851852)</f>
        <v>0.8473726852</v>
      </c>
      <c r="K464" s="16"/>
      <c r="L464" s="8"/>
      <c r="M464" s="69"/>
      <c r="N464" s="69">
        <f>IFERROR(__xludf.DUMMYFUNCTION("""COMPUTED_VALUE"""),1.0)</f>
        <v>1</v>
      </c>
      <c r="O464" s="69" t="b">
        <f t="shared" si="3"/>
        <v>1</v>
      </c>
      <c r="P464" s="471">
        <f>IFERROR(__xludf.DUMMYFUNCTION("""COMPUTED_VALUE"""),1.0)</f>
        <v>1</v>
      </c>
      <c r="Q464" s="274" t="b">
        <f>VLOOKUP($B464,'Run Reconcile'!B$2:O2488,14,FALSE)</f>
        <v>1</v>
      </c>
      <c r="R464" s="472" t="str">
        <f t="array" ref="R464">IF($Q464, INDEX('Run Reconcile'!A$2:A2488,MATCH(B464,'Run Reconcile'!B$2:B2488,0),1),IFERROR(0/0,""))</f>
        <v>RUN-FLMP_2022-01-16_APS-080</v>
      </c>
      <c r="S464" s="473" t="str">
        <f t="shared" si="694"/>
        <v/>
      </c>
      <c r="T464" s="473" t="str">
        <f t="shared" si="698"/>
        <v/>
      </c>
      <c r="U464" s="275" t="str">
        <f t="array" ref="U464">IF(ISBLANK($R464), INDEX('Run Reconcile'!A$2:A2488, MATCH($B464, 'Run Reconcile'!B$2:B2488, 0)+Z464, 1), IFERROR(0/0,""))
</f>
        <v/>
      </c>
      <c r="V464" s="475" t="str">
        <f t="shared" si="5"/>
        <v>RUN-FLMP_2022-01-16_APS-080</v>
      </c>
      <c r="Y464" s="89" t="str">
        <f t="shared" si="791"/>
        <v/>
      </c>
      <c r="Z464" s="60" t="str">
        <f t="shared" si="7"/>
        <v/>
      </c>
      <c r="AA464" s="60" t="str">
        <f t="shared" si="8"/>
        <v/>
      </c>
      <c r="AB464" s="60" t="str">
        <f t="shared" si="9"/>
        <v/>
      </c>
      <c r="AC464" s="30" t="str">
        <f t="shared" ref="AC464:AD464" si="818">IF(_xlfn.ISFORMULA(S464),IFERROR(0/0,""),TRUE)</f>
        <v/>
      </c>
      <c r="AD464" s="30" t="str">
        <f t="shared" si="818"/>
        <v/>
      </c>
      <c r="AE464" s="475" t="str">
        <f>IFERROR(__xludf.DUMMYFUNCTION("""COMPUTED_VALUE"""),"FLSP")</f>
        <v>FLSP</v>
      </c>
      <c r="AF464" s="476"/>
      <c r="AG464" s="475" t="s">
        <v>160</v>
      </c>
      <c r="AH464" s="138" t="str">
        <f t="shared" si="11"/>
        <v/>
      </c>
    </row>
    <row r="465">
      <c r="A465" s="103" t="str">
        <f>IFERROR(__xludf.DUMMYFUNCTION("""COMPUTED_VALUE"""),"MA100")</f>
        <v>MA100</v>
      </c>
      <c r="B465" s="468">
        <f>IFERROR(__xludf.DUMMYFUNCTION("""COMPUTED_VALUE"""),44577.0)</f>
        <v>44577</v>
      </c>
      <c r="C465" s="469">
        <f>IFERROR(__xludf.DUMMYFUNCTION("""COMPUTED_VALUE"""),0.47783564814814816)</f>
        <v>0.4778356481</v>
      </c>
      <c r="D465" s="103" t="str">
        <f>IFERROR(__xludf.DUMMYFUNCTION("""COMPUTED_VALUE"""),"SpFLMP870846")</f>
        <v>SpFLMP870846</v>
      </c>
      <c r="E465" s="103"/>
      <c r="F465" s="103"/>
      <c r="G465" s="103" t="str">
        <f>IFERROR(__xludf.DUMMYFUNCTION("""COMPUTED_VALUE"""),"Negative")</f>
        <v>Negative</v>
      </c>
      <c r="H465" s="131" t="str">
        <f>IFERROR(__xludf.DUMMYFUNCTION("""COMPUTED_VALUE"""),"Negative")</f>
        <v>Negative</v>
      </c>
      <c r="I465" s="468">
        <f>IFERROR(__xludf.DUMMYFUNCTION("""COMPUTED_VALUE"""),44578.0)</f>
        <v>44578</v>
      </c>
      <c r="J465" s="470">
        <f>IFERROR(__xludf.DUMMYFUNCTION("""COMPUTED_VALUE"""),0.8473726851851852)</f>
        <v>0.8473726852</v>
      </c>
      <c r="K465" s="16"/>
      <c r="L465" s="8"/>
      <c r="M465" s="69"/>
      <c r="N465" s="69">
        <f>IFERROR(__xludf.DUMMYFUNCTION("""COMPUTED_VALUE"""),1.0)</f>
        <v>1</v>
      </c>
      <c r="O465" s="69" t="str">
        <f t="shared" si="3"/>
        <v/>
      </c>
      <c r="P465" s="471">
        <f>IFERROR(__xludf.DUMMYFUNCTION("""COMPUTED_VALUE"""),1.0)</f>
        <v>1</v>
      </c>
      <c r="Q465" s="274" t="b">
        <f>VLOOKUP($B465,'Run Reconcile'!B$2:O2488,14,FALSE)</f>
        <v>1</v>
      </c>
      <c r="R465" s="472" t="str">
        <f t="array" ref="R465">IF($Q465, INDEX('Run Reconcile'!A$2:A2488,MATCH(B465,'Run Reconcile'!B$2:B2488,0),1),IFERROR(0/0,""))</f>
        <v>RUN-FLMP_2022-01-16_APS-080</v>
      </c>
      <c r="S465" s="473" t="str">
        <f t="shared" si="694"/>
        <v/>
      </c>
      <c r="T465" s="473" t="str">
        <f t="shared" si="698"/>
        <v/>
      </c>
      <c r="U465" s="275" t="str">
        <f t="array" ref="U465">IF(ISBLANK($R465), INDEX('Run Reconcile'!A$2:A2488, MATCH($B465, 'Run Reconcile'!B$2:B2488, 0)+Z465, 1), IFERROR(0/0,""))
</f>
        <v/>
      </c>
      <c r="V465" s="475" t="str">
        <f t="shared" si="5"/>
        <v>RUN-FLMP_2022-01-16_APS-080</v>
      </c>
      <c r="Y465" s="89" t="str">
        <f t="shared" si="791"/>
        <v/>
      </c>
      <c r="Z465" s="60" t="str">
        <f t="shared" si="7"/>
        <v/>
      </c>
      <c r="AA465" s="60" t="str">
        <f t="shared" si="8"/>
        <v/>
      </c>
      <c r="AB465" s="60" t="str">
        <f t="shared" si="9"/>
        <v/>
      </c>
      <c r="AC465" s="30" t="str">
        <f t="shared" ref="AC465:AD465" si="819">IF(_xlfn.ISFORMULA(S465),IFERROR(0/0,""),TRUE)</f>
        <v/>
      </c>
      <c r="AD465" s="30" t="str">
        <f t="shared" si="819"/>
        <v/>
      </c>
      <c r="AE465" s="475" t="str">
        <f>IFERROR(__xludf.DUMMYFUNCTION("""COMPUTED_VALUE"""),"FLSP")</f>
        <v>FLSP</v>
      </c>
      <c r="AF465" s="476"/>
      <c r="AG465" s="475" t="s">
        <v>160</v>
      </c>
      <c r="AH465" s="138" t="str">
        <f t="shared" si="11"/>
        <v/>
      </c>
    </row>
    <row r="466">
      <c r="A466" s="103" t="str">
        <f>IFERROR(__xludf.DUMMYFUNCTION("""COMPUTED_VALUE"""),"MA78")</f>
        <v>MA78</v>
      </c>
      <c r="B466" s="468">
        <f>IFERROR(__xludf.DUMMYFUNCTION("""COMPUTED_VALUE"""),44577.0)</f>
        <v>44577</v>
      </c>
      <c r="C466" s="469">
        <f>IFERROR(__xludf.DUMMYFUNCTION("""COMPUTED_VALUE"""),0.47791666666666666)</f>
        <v>0.4779166667</v>
      </c>
      <c r="D466" s="103" t="str">
        <f>IFERROR(__xludf.DUMMYFUNCTION("""COMPUTED_VALUE"""),"SpFLMP659315")</f>
        <v>SpFLMP659315</v>
      </c>
      <c r="E466" s="103"/>
      <c r="F466" s="103"/>
      <c r="G466" s="103" t="str">
        <f>IFERROR(__xludf.DUMMYFUNCTION("""COMPUTED_VALUE"""),"Negative")</f>
        <v>Negative</v>
      </c>
      <c r="H466" s="131" t="str">
        <f>IFERROR(__xludf.DUMMYFUNCTION("""COMPUTED_VALUE"""),"Negative")</f>
        <v>Negative</v>
      </c>
      <c r="I466" s="468">
        <f>IFERROR(__xludf.DUMMYFUNCTION("""COMPUTED_VALUE"""),44578.0)</f>
        <v>44578</v>
      </c>
      <c r="J466" s="470">
        <f>IFERROR(__xludf.DUMMYFUNCTION("""COMPUTED_VALUE"""),0.8473726851851852)</f>
        <v>0.8473726852</v>
      </c>
      <c r="K466" s="16"/>
      <c r="L466" s="8" t="str">
        <f>IFERROR(__xludf.DUMMYFUNCTION("""COMPUTED_VALUE"""),"name email fix")</f>
        <v>name email fix</v>
      </c>
      <c r="M466" s="69"/>
      <c r="N466" s="69">
        <f>IFERROR(__xludf.DUMMYFUNCTION("""COMPUTED_VALUE"""),1.0)</f>
        <v>1</v>
      </c>
      <c r="O466" s="69" t="str">
        <f t="shared" si="3"/>
        <v/>
      </c>
      <c r="P466" s="471">
        <f>IFERROR(__xludf.DUMMYFUNCTION("""COMPUTED_VALUE"""),1.0)</f>
        <v>1</v>
      </c>
      <c r="Q466" s="274" t="b">
        <f>VLOOKUP($B466,'Run Reconcile'!B$2:O2488,14,FALSE)</f>
        <v>1</v>
      </c>
      <c r="R466" s="472" t="str">
        <f t="array" ref="R466">IF($Q466, INDEX('Run Reconcile'!A$2:A2488,MATCH(B466,'Run Reconcile'!B$2:B2488,0),1),IFERROR(0/0,""))</f>
        <v>RUN-FLMP_2022-01-16_APS-080</v>
      </c>
      <c r="S466" s="473" t="str">
        <f t="shared" si="694"/>
        <v/>
      </c>
      <c r="T466" s="473" t="str">
        <f t="shared" si="698"/>
        <v/>
      </c>
      <c r="U466" s="275" t="str">
        <f t="array" ref="U466">IF(ISBLANK($R466), INDEX('Run Reconcile'!A$2:A2488, MATCH($B466, 'Run Reconcile'!B$2:B2488, 0)+Z466, 1), IFERROR(0/0,""))
</f>
        <v/>
      </c>
      <c r="V466" s="475" t="str">
        <f t="shared" si="5"/>
        <v>RUN-FLMP_2022-01-16_APS-080</v>
      </c>
      <c r="Y466" s="89" t="str">
        <f t="shared" si="791"/>
        <v/>
      </c>
      <c r="Z466" s="60" t="str">
        <f t="shared" si="7"/>
        <v/>
      </c>
      <c r="AA466" s="60" t="str">
        <f t="shared" si="8"/>
        <v/>
      </c>
      <c r="AB466" s="60" t="str">
        <f t="shared" si="9"/>
        <v/>
      </c>
      <c r="AC466" s="30" t="str">
        <f t="shared" ref="AC466:AD466" si="820">IF(_xlfn.ISFORMULA(S466),IFERROR(0/0,""),TRUE)</f>
        <v/>
      </c>
      <c r="AD466" s="30" t="str">
        <f t="shared" si="820"/>
        <v/>
      </c>
      <c r="AE466" s="475" t="str">
        <f>IFERROR(__xludf.DUMMYFUNCTION("""COMPUTED_VALUE"""),"CRLN")</f>
        <v>CRLN</v>
      </c>
      <c r="AF466" s="476"/>
      <c r="AG466" s="475" t="s">
        <v>160</v>
      </c>
      <c r="AH466" s="138" t="str">
        <f t="shared" si="11"/>
        <v/>
      </c>
    </row>
    <row r="467">
      <c r="A467" s="103" t="str">
        <f>IFERROR(__xludf.DUMMYFUNCTION("""COMPUTED_VALUE"""),"MA59")</f>
        <v>MA59</v>
      </c>
      <c r="B467" s="468">
        <f>IFERROR(__xludf.DUMMYFUNCTION("""COMPUTED_VALUE"""),44577.0)</f>
        <v>44577</v>
      </c>
      <c r="C467" s="469">
        <f>IFERROR(__xludf.DUMMYFUNCTION("""COMPUTED_VALUE"""),0.4799537037037037)</f>
        <v>0.4799537037</v>
      </c>
      <c r="D467" s="103" t="str">
        <f>IFERROR(__xludf.DUMMYFUNCTION("""COMPUTED_VALUE"""),"SpFLMP255929")</f>
        <v>SpFLMP255929</v>
      </c>
      <c r="E467" s="103"/>
      <c r="F467" s="103"/>
      <c r="G467" s="103" t="str">
        <f>IFERROR(__xludf.DUMMYFUNCTION("""COMPUTED_VALUE"""),"Negative")</f>
        <v>Negative</v>
      </c>
      <c r="H467" s="131" t="str">
        <f>IFERROR(__xludf.DUMMYFUNCTION("""COMPUTED_VALUE"""),"Negative")</f>
        <v>Negative</v>
      </c>
      <c r="I467" s="468">
        <f>IFERROR(__xludf.DUMMYFUNCTION("""COMPUTED_VALUE"""),44578.0)</f>
        <v>44578</v>
      </c>
      <c r="J467" s="470">
        <f>IFERROR(__xludf.DUMMYFUNCTION("""COMPUTED_VALUE"""),0.8473842592592593)</f>
        <v>0.8473842593</v>
      </c>
      <c r="K467" s="16"/>
      <c r="L467" s="8"/>
      <c r="M467" s="69"/>
      <c r="N467" s="69">
        <f>IFERROR(__xludf.DUMMYFUNCTION("""COMPUTED_VALUE"""),1.0)</f>
        <v>1</v>
      </c>
      <c r="O467" s="69" t="str">
        <f t="shared" si="3"/>
        <v/>
      </c>
      <c r="P467" s="471">
        <f>IFERROR(__xludf.DUMMYFUNCTION("""COMPUTED_VALUE"""),1.0)</f>
        <v>1</v>
      </c>
      <c r="Q467" s="274" t="b">
        <f>VLOOKUP($B467,'Run Reconcile'!B$2:O2488,14,FALSE)</f>
        <v>1</v>
      </c>
      <c r="R467" s="472" t="str">
        <f t="array" ref="R467">IF($Q467, INDEX('Run Reconcile'!A$2:A2488,MATCH(B467,'Run Reconcile'!B$2:B2488,0),1),IFERROR(0/0,""))</f>
        <v>RUN-FLMP_2022-01-16_APS-080</v>
      </c>
      <c r="S467" s="473" t="str">
        <f t="shared" si="694"/>
        <v/>
      </c>
      <c r="T467" s="473" t="str">
        <f t="shared" si="698"/>
        <v/>
      </c>
      <c r="U467" s="275" t="str">
        <f t="array" ref="U467">IF(ISBLANK($R467), INDEX('Run Reconcile'!A$2:A2488, MATCH($B467, 'Run Reconcile'!B$2:B2488, 0)+Z467, 1), IFERROR(0/0,""))
</f>
        <v/>
      </c>
      <c r="V467" s="475" t="str">
        <f t="shared" si="5"/>
        <v>RUN-FLMP_2022-01-16_APS-080</v>
      </c>
      <c r="Y467" s="89" t="str">
        <f t="shared" si="791"/>
        <v/>
      </c>
      <c r="Z467" s="60" t="str">
        <f t="shared" si="7"/>
        <v/>
      </c>
      <c r="AA467" s="60" t="str">
        <f t="shared" si="8"/>
        <v/>
      </c>
      <c r="AB467" s="60" t="str">
        <f t="shared" si="9"/>
        <v/>
      </c>
      <c r="AC467" s="30" t="str">
        <f t="shared" ref="AC467:AD467" si="821">IF(_xlfn.ISFORMULA(S467),IFERROR(0/0,""),TRUE)</f>
        <v/>
      </c>
      <c r="AD467" s="30" t="str">
        <f t="shared" si="821"/>
        <v/>
      </c>
      <c r="AE467" s="475" t="str">
        <f>IFERROR(__xludf.DUMMYFUNCTION("""COMPUTED_VALUE"""),"FLSP")</f>
        <v>FLSP</v>
      </c>
      <c r="AF467" s="476"/>
      <c r="AG467" s="475" t="s">
        <v>160</v>
      </c>
      <c r="AH467" s="138" t="str">
        <f t="shared" si="11"/>
        <v/>
      </c>
    </row>
    <row r="468">
      <c r="A468" s="103" t="str">
        <f>IFERROR(__xludf.DUMMYFUNCTION("""COMPUTED_VALUE"""),"FLB7387")</f>
        <v>FLB7387</v>
      </c>
      <c r="B468" s="468">
        <f>IFERROR(__xludf.DUMMYFUNCTION("""COMPUTED_VALUE"""),44577.0)</f>
        <v>44577</v>
      </c>
      <c r="C468" s="469">
        <f>IFERROR(__xludf.DUMMYFUNCTION("""COMPUTED_VALUE"""),0.4992824074074074)</f>
        <v>0.4992824074</v>
      </c>
      <c r="D468" s="103" t="str">
        <f>IFERROR(__xludf.DUMMYFUNCTION("""COMPUTED_VALUE"""),"SpFLMP483153")</f>
        <v>SpFLMP483153</v>
      </c>
      <c r="E468" s="103"/>
      <c r="F468" s="103"/>
      <c r="G468" s="103" t="str">
        <f>IFERROR(__xludf.DUMMYFUNCTION("""COMPUTED_VALUE"""),"Negative")</f>
        <v>Negative</v>
      </c>
      <c r="H468" s="131" t="str">
        <f>IFERROR(__xludf.DUMMYFUNCTION("""COMPUTED_VALUE"""),"Negative")</f>
        <v>Negative</v>
      </c>
      <c r="I468" s="468">
        <f>IFERROR(__xludf.DUMMYFUNCTION("""COMPUTED_VALUE"""),44578.0)</f>
        <v>44578</v>
      </c>
      <c r="J468" s="470">
        <f>IFERROR(__xludf.DUMMYFUNCTION("""COMPUTED_VALUE"""),0.8699305555555555)</f>
        <v>0.8699305556</v>
      </c>
      <c r="K468" s="16"/>
      <c r="L468" s="8"/>
      <c r="M468" s="69"/>
      <c r="N468" s="69">
        <f>IFERROR(__xludf.DUMMYFUNCTION("""COMPUTED_VALUE"""),1.0)</f>
        <v>1</v>
      </c>
      <c r="O468" s="69" t="str">
        <f t="shared" si="3"/>
        <v/>
      </c>
      <c r="P468" s="471">
        <f>IFERROR(__xludf.DUMMYFUNCTION("""COMPUTED_VALUE"""),1.0)</f>
        <v>1</v>
      </c>
      <c r="Q468" s="274" t="b">
        <f>VLOOKUP($B468,'Run Reconcile'!B$2:O2488,14,FALSE)</f>
        <v>1</v>
      </c>
      <c r="R468" s="472" t="str">
        <f t="array" ref="R468">IF($Q468, INDEX('Run Reconcile'!A$2:A2488,MATCH(B468,'Run Reconcile'!B$2:B2488,0),1),IFERROR(0/0,""))</f>
        <v>RUN-FLMP_2022-01-16_APS-080</v>
      </c>
      <c r="S468" s="473" t="str">
        <f t="shared" si="694"/>
        <v/>
      </c>
      <c r="T468" s="473" t="str">
        <f t="shared" si="698"/>
        <v/>
      </c>
      <c r="U468" s="275" t="str">
        <f t="array" ref="U468">IF(ISBLANK($R468), INDEX('Run Reconcile'!A$2:A2488, MATCH($B468, 'Run Reconcile'!B$2:B2488, 0)+Z468, 1), IFERROR(0/0,""))
</f>
        <v/>
      </c>
      <c r="V468" s="475" t="str">
        <f t="shared" si="5"/>
        <v>RUN-FLMP_2022-01-16_APS-080</v>
      </c>
      <c r="Y468" s="89" t="str">
        <f t="shared" si="791"/>
        <v/>
      </c>
      <c r="Z468" s="60" t="str">
        <f t="shared" si="7"/>
        <v/>
      </c>
      <c r="AA468" s="60" t="str">
        <f t="shared" si="8"/>
        <v/>
      </c>
      <c r="AB468" s="60" t="str">
        <f t="shared" si="9"/>
        <v/>
      </c>
      <c r="AC468" s="30" t="str">
        <f t="shared" ref="AC468:AD468" si="822">IF(_xlfn.ISFORMULA(S468),IFERROR(0/0,""),TRUE)</f>
        <v/>
      </c>
      <c r="AD468" s="30" t="str">
        <f t="shared" si="822"/>
        <v/>
      </c>
      <c r="AE468" s="475" t="str">
        <f>IFERROR(__xludf.DUMMYFUNCTION("""COMPUTED_VALUE"""),"CRLN")</f>
        <v>CRLN</v>
      </c>
      <c r="AF468" s="476"/>
      <c r="AG468" s="475" t="s">
        <v>160</v>
      </c>
      <c r="AH468" s="138" t="str">
        <f t="shared" si="11"/>
        <v/>
      </c>
    </row>
    <row r="469">
      <c r="A469" s="477" t="str">
        <f>IFERROR(__xludf.DUMMYFUNCTION("""COMPUTED_VALUE"""),"FLE946")</f>
        <v>FLE946</v>
      </c>
      <c r="B469" s="478">
        <f>IFERROR(__xludf.DUMMYFUNCTION("""COMPUTED_VALUE"""),44578.0)</f>
        <v>44578</v>
      </c>
      <c r="C469" s="479">
        <f>IFERROR(__xludf.DUMMYFUNCTION("""COMPUTED_VALUE"""),0.3444097222222222)</f>
        <v>0.3444097222</v>
      </c>
      <c r="D469" s="477" t="str">
        <f>IFERROR(__xludf.DUMMYFUNCTION("""COMPUTED_VALUE"""),"SpFLMP170622")</f>
        <v>SpFLMP170622</v>
      </c>
      <c r="E469" s="477"/>
      <c r="F469" s="477"/>
      <c r="G469" s="477" t="str">
        <f>IFERROR(__xludf.DUMMYFUNCTION("""COMPUTED_VALUE"""),"Negative")</f>
        <v>Negative</v>
      </c>
      <c r="H469" s="480" t="str">
        <f>IFERROR(__xludf.DUMMYFUNCTION("""COMPUTED_VALUE"""),"Negative")</f>
        <v>Negative</v>
      </c>
      <c r="I469" s="478">
        <f>IFERROR(__xludf.DUMMYFUNCTION("""COMPUTED_VALUE"""),44578.0)</f>
        <v>44578</v>
      </c>
      <c r="J469" s="481">
        <f>IFERROR(__xludf.DUMMYFUNCTION("""COMPUTED_VALUE"""),0.8699421296296296)</f>
        <v>0.8699421296</v>
      </c>
      <c r="K469" s="156"/>
      <c r="L469" s="19"/>
      <c r="M469" s="482"/>
      <c r="N469" s="482">
        <f>IFERROR(__xludf.DUMMYFUNCTION("""COMPUTED_VALUE"""),4.0)</f>
        <v>4</v>
      </c>
      <c r="O469" s="482" t="b">
        <f t="shared" si="3"/>
        <v>1</v>
      </c>
      <c r="P469" s="483">
        <f>IFERROR(__xludf.DUMMYFUNCTION("""COMPUTED_VALUE"""),0.0)</f>
        <v>0</v>
      </c>
      <c r="Q469" s="352" t="str">
        <f>VLOOKUP($B469,'Run Reconcile'!B$2:O2488,14,FALSE)</f>
        <v/>
      </c>
      <c r="R469" s="484" t="str">
        <f t="array" ref="R469">IF($Q469, INDEX('Run Reconcile'!A$2:A2488,MATCH(B469,'Run Reconcile'!B$2:B2488,0),1),IFERROR(0/0,""))</f>
        <v/>
      </c>
      <c r="S469" s="485" t="str">
        <f t="shared" si="694"/>
        <v/>
      </c>
      <c r="T469" s="485" t="b">
        <f t="shared" si="698"/>
        <v>1</v>
      </c>
      <c r="U469" s="353" t="str">
        <f t="array" ref="U469">IF(ISBLANK($R469), INDEX('Run Reconcile'!A$2:A2488, MATCH($B469, 'Run Reconcile'!B$2:B2488, 0)+Z469, 1), IFERROR(0/0,""))
</f>
        <v>RUN-FLMP_2022-01-17_RFR-063</v>
      </c>
      <c r="V469" s="486" t="str">
        <f t="shared" si="5"/>
        <v>RUN-FLMP_2022-01-17_RFR-063</v>
      </c>
      <c r="W469" s="19"/>
      <c r="X469" s="19" t="s">
        <v>1396</v>
      </c>
      <c r="Y469" s="89">
        <f t="shared" si="791"/>
        <v>1</v>
      </c>
      <c r="Z469" s="60">
        <f t="shared" si="7"/>
        <v>1</v>
      </c>
      <c r="AA469" s="60" t="str">
        <f t="shared" si="8"/>
        <v/>
      </c>
      <c r="AB469" s="60">
        <f t="shared" si="9"/>
        <v>1</v>
      </c>
      <c r="AC469" s="158" t="str">
        <f t="shared" ref="AC469:AD469" si="823">IF(_xlfn.ISFORMULA(S469),IFERROR(0/0,""),TRUE)</f>
        <v/>
      </c>
      <c r="AD469" s="158" t="str">
        <f t="shared" si="823"/>
        <v/>
      </c>
      <c r="AE469" s="488" t="str">
        <f>IFERROR(__xludf.DUMMYFUNCTION("""COMPUTED_VALUE"""),"CRLN")</f>
        <v>CRLN</v>
      </c>
      <c r="AF469" s="489"/>
      <c r="AG469" s="486" t="s">
        <v>162</v>
      </c>
      <c r="AH469" s="138" t="str">
        <f t="shared" si="11"/>
        <v/>
      </c>
      <c r="AI469" s="19"/>
      <c r="AJ469" s="19"/>
      <c r="AK469" s="19"/>
      <c r="AL469" s="19"/>
      <c r="AM469" s="19"/>
    </row>
    <row r="470">
      <c r="A470" s="103" t="str">
        <f>IFERROR(__xludf.DUMMYFUNCTION("""COMPUTED_VALUE"""),"FLE887")</f>
        <v>FLE887</v>
      </c>
      <c r="B470" s="468">
        <f>IFERROR(__xludf.DUMMYFUNCTION("""COMPUTED_VALUE"""),44578.0)</f>
        <v>44578</v>
      </c>
      <c r="C470" s="469">
        <f>IFERROR(__xludf.DUMMYFUNCTION("""COMPUTED_VALUE"""),0.34957175925925926)</f>
        <v>0.3495717593</v>
      </c>
      <c r="D470" s="103" t="str">
        <f>IFERROR(__xludf.DUMMYFUNCTION("""COMPUTED_VALUE"""),"SpFLMP170622")</f>
        <v>SpFLMP170622</v>
      </c>
      <c r="E470" s="103"/>
      <c r="F470" s="103"/>
      <c r="G470" s="103" t="str">
        <f>IFERROR(__xludf.DUMMYFUNCTION("""COMPUTED_VALUE"""),"Negative")</f>
        <v>Negative</v>
      </c>
      <c r="H470" s="131" t="str">
        <f>IFERROR(__xludf.DUMMYFUNCTION("""COMPUTED_VALUE"""),"Negative")</f>
        <v>Negative</v>
      </c>
      <c r="I470" s="468">
        <f>IFERROR(__xludf.DUMMYFUNCTION("""COMPUTED_VALUE"""),44578.0)</f>
        <v>44578</v>
      </c>
      <c r="J470" s="470">
        <f>IFERROR(__xludf.DUMMYFUNCTION("""COMPUTED_VALUE"""),0.8699421296296296)</f>
        <v>0.8699421296</v>
      </c>
      <c r="K470" s="16"/>
      <c r="L470" s="8"/>
      <c r="M470" s="69"/>
      <c r="N470" s="69">
        <f>IFERROR(__xludf.DUMMYFUNCTION("""COMPUTED_VALUE"""),4.0)</f>
        <v>4</v>
      </c>
      <c r="O470" s="69" t="str">
        <f t="shared" si="3"/>
        <v/>
      </c>
      <c r="P470" s="471">
        <f>IFERROR(__xludf.DUMMYFUNCTION("""COMPUTED_VALUE"""),0.0)</f>
        <v>0</v>
      </c>
      <c r="Q470" s="274" t="str">
        <f>VLOOKUP($B470,'Run Reconcile'!B$2:O2488,14,FALSE)</f>
        <v/>
      </c>
      <c r="R470" s="472" t="str">
        <f t="array" ref="R470">IF($Q470, INDEX('Run Reconcile'!A$2:A2488,MATCH(B470,'Run Reconcile'!B$2:B2488,0),1),IFERROR(0/0,""))</f>
        <v/>
      </c>
      <c r="S470" s="473" t="str">
        <f t="shared" si="694"/>
        <v/>
      </c>
      <c r="T470" s="473" t="b">
        <f t="shared" si="698"/>
        <v>1</v>
      </c>
      <c r="U470" s="275" t="str">
        <f t="array" ref="U470">IF(ISBLANK($R470), INDEX('Run Reconcile'!A$2:A2488, MATCH($B470, 'Run Reconcile'!B$2:B2488, 0)+Z470, 1), IFERROR(0/0,""))
</f>
        <v>RUN-FLMP_2022-01-17_RFR-063</v>
      </c>
      <c r="V470" s="474" t="str">
        <f t="shared" si="5"/>
        <v>RUN-FLMP_2022-01-17_RFR-063</v>
      </c>
      <c r="X470" s="8" t="s">
        <v>1397</v>
      </c>
      <c r="Y470" s="89">
        <f t="shared" si="791"/>
        <v>1</v>
      </c>
      <c r="Z470" s="60">
        <f t="shared" si="7"/>
        <v>1</v>
      </c>
      <c r="AA470" s="60" t="str">
        <f t="shared" si="8"/>
        <v/>
      </c>
      <c r="AB470" s="60">
        <f t="shared" si="9"/>
        <v>1</v>
      </c>
      <c r="AC470" s="30" t="str">
        <f t="shared" ref="AC470:AD470" si="824">IF(_xlfn.ISFORMULA(S470),IFERROR(0/0,""),TRUE)</f>
        <v/>
      </c>
      <c r="AD470" s="30" t="str">
        <f t="shared" si="824"/>
        <v/>
      </c>
      <c r="AE470" s="475" t="str">
        <f>IFERROR(__xludf.DUMMYFUNCTION("""COMPUTED_VALUE"""),"CRLN")</f>
        <v>CRLN</v>
      </c>
      <c r="AF470" s="476"/>
      <c r="AG470" s="474" t="s">
        <v>162</v>
      </c>
      <c r="AH470" s="138" t="str">
        <f t="shared" si="11"/>
        <v/>
      </c>
    </row>
    <row r="471">
      <c r="A471" s="103" t="str">
        <f>IFERROR(__xludf.DUMMYFUNCTION("""COMPUTED_VALUE"""),"FLB5836")</f>
        <v>FLB5836</v>
      </c>
      <c r="B471" s="468">
        <f>IFERROR(__xludf.DUMMYFUNCTION("""COMPUTED_VALUE"""),44578.0)</f>
        <v>44578</v>
      </c>
      <c r="C471" s="469">
        <f>IFERROR(__xludf.DUMMYFUNCTION("""COMPUTED_VALUE"""),0.4183101851851852)</f>
        <v>0.4183101852</v>
      </c>
      <c r="D471" s="103" t="str">
        <f>IFERROR(__xludf.DUMMYFUNCTION("""COMPUTED_VALUE"""),"SpFLMP228238")</f>
        <v>SpFLMP228238</v>
      </c>
      <c r="E471" s="103"/>
      <c r="F471" s="103"/>
      <c r="G471" s="103" t="str">
        <f>IFERROR(__xludf.DUMMYFUNCTION("""COMPUTED_VALUE"""),"Negative")</f>
        <v>Negative</v>
      </c>
      <c r="H471" s="131" t="str">
        <f>IFERROR(__xludf.DUMMYFUNCTION("""COMPUTED_VALUE"""),"Negative")</f>
        <v>Negative</v>
      </c>
      <c r="I471" s="468">
        <f>IFERROR(__xludf.DUMMYFUNCTION("""COMPUTED_VALUE"""),44578.0)</f>
        <v>44578</v>
      </c>
      <c r="J471" s="470">
        <f>IFERROR(__xludf.DUMMYFUNCTION("""COMPUTED_VALUE"""),0.8699421296296296)</f>
        <v>0.8699421296</v>
      </c>
      <c r="K471" s="16"/>
      <c r="L471" s="8"/>
      <c r="M471" s="69"/>
      <c r="N471" s="69">
        <f>IFERROR(__xludf.DUMMYFUNCTION("""COMPUTED_VALUE"""),4.0)</f>
        <v>4</v>
      </c>
      <c r="O471" s="69" t="str">
        <f t="shared" si="3"/>
        <v/>
      </c>
      <c r="P471" s="471">
        <f>IFERROR(__xludf.DUMMYFUNCTION("""COMPUTED_VALUE"""),0.0)</f>
        <v>0</v>
      </c>
      <c r="Q471" s="274" t="str">
        <f>VLOOKUP($B471,'Run Reconcile'!B$2:O2488,14,FALSE)</f>
        <v/>
      </c>
      <c r="R471" s="472" t="str">
        <f t="array" ref="R471">IF($Q471, INDEX('Run Reconcile'!A$2:A2488,MATCH(B471,'Run Reconcile'!B$2:B2488,0),1),IFERROR(0/0,""))</f>
        <v/>
      </c>
      <c r="S471" s="473" t="str">
        <f t="shared" si="694"/>
        <v/>
      </c>
      <c r="T471" s="473" t="b">
        <f t="shared" si="698"/>
        <v>1</v>
      </c>
      <c r="U471" s="275" t="str">
        <f t="array" ref="U471">IF(ISBLANK($R471), INDEX('Run Reconcile'!A$2:A2488, MATCH($B471, 'Run Reconcile'!B$2:B2488, 0)+Z471, 1), IFERROR(0/0,""))
</f>
        <v>RUN-FLMP_2022-01-17_RFR-063</v>
      </c>
      <c r="V471" s="474" t="str">
        <f t="shared" si="5"/>
        <v>RUN-FLMP_2022-01-17_RFR-063</v>
      </c>
      <c r="X471" s="8" t="s">
        <v>1398</v>
      </c>
      <c r="Y471" s="89">
        <f t="shared" si="791"/>
        <v>1</v>
      </c>
      <c r="Z471" s="60">
        <f t="shared" si="7"/>
        <v>1</v>
      </c>
      <c r="AA471" s="60" t="str">
        <f t="shared" si="8"/>
        <v/>
      </c>
      <c r="AB471" s="60">
        <f t="shared" si="9"/>
        <v>1</v>
      </c>
      <c r="AC471" s="30" t="str">
        <f t="shared" ref="AC471:AD471" si="825">IF(_xlfn.ISFORMULA(S471),IFERROR(0/0,""),TRUE)</f>
        <v/>
      </c>
      <c r="AD471" s="30" t="str">
        <f t="shared" si="825"/>
        <v/>
      </c>
      <c r="AE471" s="475" t="str">
        <f>IFERROR(__xludf.DUMMYFUNCTION("""COMPUTED_VALUE"""),"CRLN")</f>
        <v>CRLN</v>
      </c>
      <c r="AF471" s="476"/>
      <c r="AG471" s="474" t="s">
        <v>162</v>
      </c>
      <c r="AH471" s="138" t="str">
        <f t="shared" si="11"/>
        <v/>
      </c>
    </row>
    <row r="472">
      <c r="A472" s="103" t="str">
        <f>IFERROR(__xludf.DUMMYFUNCTION("""COMPUTED_VALUE"""),"FLB6850")</f>
        <v>FLB6850</v>
      </c>
      <c r="B472" s="468">
        <f>IFERROR(__xludf.DUMMYFUNCTION("""COMPUTED_VALUE"""),44578.0)</f>
        <v>44578</v>
      </c>
      <c r="C472" s="469">
        <f>IFERROR(__xludf.DUMMYFUNCTION("""COMPUTED_VALUE"""),0.42875)</f>
        <v>0.42875</v>
      </c>
      <c r="D472" s="103" t="str">
        <f>IFERROR(__xludf.DUMMYFUNCTION("""COMPUTED_VALUE"""),"SpFLMP649771")</f>
        <v>SpFLMP649771</v>
      </c>
      <c r="E472" s="103"/>
      <c r="F472" s="103"/>
      <c r="G472" s="103" t="str">
        <f>IFERROR(__xludf.DUMMYFUNCTION("""COMPUTED_VALUE"""),"Positive")</f>
        <v>Positive</v>
      </c>
      <c r="H472" s="505" t="str">
        <f>IFERROR(__xludf.DUMMYFUNCTION("""COMPUTED_VALUE"""),"Positive")</f>
        <v>Positive</v>
      </c>
      <c r="I472" s="468">
        <f>IFERROR(__xludf.DUMMYFUNCTION("""COMPUTED_VALUE"""),44578.0)</f>
        <v>44578</v>
      </c>
      <c r="J472" s="470">
        <f>IFERROR(__xludf.DUMMYFUNCTION("""COMPUTED_VALUE"""),0.8699305555555555)</f>
        <v>0.8699305556</v>
      </c>
      <c r="K472" s="16"/>
      <c r="L472" s="8"/>
      <c r="M472" s="69"/>
      <c r="N472" s="69">
        <f>IFERROR(__xludf.DUMMYFUNCTION("""COMPUTED_VALUE"""),1.0)</f>
        <v>1</v>
      </c>
      <c r="O472" s="69" t="str">
        <f t="shared" si="3"/>
        <v/>
      </c>
      <c r="P472" s="471">
        <f>IFERROR(__xludf.DUMMYFUNCTION("""COMPUTED_VALUE"""),0.0)</f>
        <v>0</v>
      </c>
      <c r="Q472" s="274" t="str">
        <f>VLOOKUP($B472,'Run Reconcile'!B$2:O2488,14,FALSE)</f>
        <v/>
      </c>
      <c r="R472" s="472" t="str">
        <f t="array" ref="R472">IF($Q472, INDEX('Run Reconcile'!A$2:A2488,MATCH(B472,'Run Reconcile'!B$2:B2488,0),1),IFERROR(0/0,""))</f>
        <v/>
      </c>
      <c r="S472" s="473" t="str">
        <f t="shared" si="694"/>
        <v/>
      </c>
      <c r="T472" s="473" t="b">
        <f t="shared" si="698"/>
        <v>1</v>
      </c>
      <c r="U472" s="275" t="str">
        <f t="array" ref="U472">IF(ISBLANK($R472), INDEX('Run Reconcile'!A$2:A2488, MATCH($B472, 'Run Reconcile'!B$2:B2488, 0)+Z472, 1), IFERROR(0/0,""))
</f>
        <v>RUN-FLMP_2022-01-17_RFR-063</v>
      </c>
      <c r="V472" s="474" t="str">
        <f t="shared" si="5"/>
        <v>RUN-FLMP_2022-01-17_RFR-063</v>
      </c>
      <c r="X472" s="8" t="s">
        <v>1179</v>
      </c>
      <c r="Y472" s="89">
        <f t="shared" si="791"/>
        <v>1</v>
      </c>
      <c r="Z472" s="60">
        <f t="shared" si="7"/>
        <v>1</v>
      </c>
      <c r="AA472" s="60" t="str">
        <f t="shared" si="8"/>
        <v/>
      </c>
      <c r="AB472" s="60">
        <f t="shared" si="9"/>
        <v>1</v>
      </c>
      <c r="AC472" s="30" t="str">
        <f t="shared" ref="AC472:AD472" si="826">IF(_xlfn.ISFORMULA(S472),IFERROR(0/0,""),TRUE)</f>
        <v/>
      </c>
      <c r="AD472" s="30" t="str">
        <f t="shared" si="826"/>
        <v/>
      </c>
      <c r="AE472" s="475" t="str">
        <f>IFERROR(__xludf.DUMMYFUNCTION("""COMPUTED_VALUE"""),"CRLN")</f>
        <v>CRLN</v>
      </c>
      <c r="AF472" s="476"/>
      <c r="AG472" s="474" t="s">
        <v>162</v>
      </c>
      <c r="AH472" s="138" t="str">
        <f t="shared" si="11"/>
        <v/>
      </c>
    </row>
    <row r="473">
      <c r="A473" s="103" t="str">
        <f>IFERROR(__xludf.DUMMYFUNCTION("""COMPUTED_VALUE"""),"FLT1172")</f>
        <v>FLT1172</v>
      </c>
      <c r="B473" s="468">
        <f>IFERROR(__xludf.DUMMYFUNCTION("""COMPUTED_VALUE"""),44578.0)</f>
        <v>44578</v>
      </c>
      <c r="C473" s="469">
        <f>IFERROR(__xludf.DUMMYFUNCTION("""COMPUTED_VALUE"""),0.42949074074074073)</f>
        <v>0.4294907407</v>
      </c>
      <c r="D473" s="103" t="str">
        <f>IFERROR(__xludf.DUMMYFUNCTION("""COMPUTED_VALUE"""),"SpFLMP649771")</f>
        <v>SpFLMP649771</v>
      </c>
      <c r="E473" s="103"/>
      <c r="F473" s="103"/>
      <c r="G473" s="103" t="str">
        <f>IFERROR(__xludf.DUMMYFUNCTION("""COMPUTED_VALUE"""),"Positive")</f>
        <v>Positive</v>
      </c>
      <c r="H473" s="505" t="str">
        <f>IFERROR(__xludf.DUMMYFUNCTION("""COMPUTED_VALUE"""),"Positive")</f>
        <v>Positive</v>
      </c>
      <c r="I473" s="468">
        <f>IFERROR(__xludf.DUMMYFUNCTION("""COMPUTED_VALUE"""),44578.0)</f>
        <v>44578</v>
      </c>
      <c r="J473" s="470">
        <f>IFERROR(__xludf.DUMMYFUNCTION("""COMPUTED_VALUE"""),0.8910763888888888)</f>
        <v>0.8910763889</v>
      </c>
      <c r="K473" s="16"/>
      <c r="L473" s="8"/>
      <c r="M473" s="69"/>
      <c r="N473" s="69">
        <f>IFERROR(__xludf.DUMMYFUNCTION("""COMPUTED_VALUE"""),1.0)</f>
        <v>1</v>
      </c>
      <c r="O473" s="69" t="str">
        <f t="shared" si="3"/>
        <v/>
      </c>
      <c r="P473" s="471">
        <f>IFERROR(__xludf.DUMMYFUNCTION("""COMPUTED_VALUE"""),0.0)</f>
        <v>0</v>
      </c>
      <c r="Q473" s="274" t="str">
        <f>VLOOKUP($B473,'Run Reconcile'!B$2:O2488,14,FALSE)</f>
        <v/>
      </c>
      <c r="R473" s="472" t="str">
        <f t="array" ref="R473">IF($Q473, INDEX('Run Reconcile'!A$2:A2488,MATCH(B473,'Run Reconcile'!B$2:B2488,0),1),IFERROR(0/0,""))</f>
        <v/>
      </c>
      <c r="S473" s="473" t="str">
        <f t="shared" si="694"/>
        <v/>
      </c>
      <c r="T473" s="473" t="b">
        <f t="shared" si="698"/>
        <v>1</v>
      </c>
      <c r="U473" s="275" t="str">
        <f t="array" ref="U473">IF(ISBLANK($R473), INDEX('Run Reconcile'!A$2:A2488, MATCH($B473, 'Run Reconcile'!B$2:B2488, 0)+Z473, 1), IFERROR(0/0,""))
</f>
        <v>RUN-FLMP_2022-01-17_RFR-063</v>
      </c>
      <c r="V473" s="474" t="str">
        <f t="shared" si="5"/>
        <v>RUN-FLMP_2022-01-17_RFR-063</v>
      </c>
      <c r="X473" s="8" t="s">
        <v>1182</v>
      </c>
      <c r="Y473" s="89">
        <f t="shared" si="791"/>
        <v>1</v>
      </c>
      <c r="Z473" s="60">
        <f t="shared" si="7"/>
        <v>1</v>
      </c>
      <c r="AA473" s="60" t="str">
        <f t="shared" si="8"/>
        <v/>
      </c>
      <c r="AB473" s="60">
        <f t="shared" si="9"/>
        <v>1</v>
      </c>
      <c r="AC473" s="30" t="str">
        <f t="shared" ref="AC473:AD473" si="827">IF(_xlfn.ISFORMULA(S473),IFERROR(0/0,""),TRUE)</f>
        <v/>
      </c>
      <c r="AD473" s="30" t="str">
        <f t="shared" si="827"/>
        <v/>
      </c>
      <c r="AE473" s="475" t="str">
        <f>IFERROR(__xludf.DUMMYFUNCTION("""COMPUTED_VALUE"""),"CRLN")</f>
        <v>CRLN</v>
      </c>
      <c r="AF473" s="476"/>
      <c r="AG473" s="474" t="s">
        <v>162</v>
      </c>
      <c r="AH473" s="138" t="str">
        <f t="shared" si="11"/>
        <v/>
      </c>
    </row>
    <row r="474">
      <c r="A474" s="103" t="str">
        <f>IFERROR(__xludf.DUMMYFUNCTION("""COMPUTED_VALUE"""),"FLT1443")</f>
        <v>FLT1443</v>
      </c>
      <c r="B474" s="468">
        <f>IFERROR(__xludf.DUMMYFUNCTION("""COMPUTED_VALUE"""),44578.0)</f>
        <v>44578</v>
      </c>
      <c r="C474" s="469">
        <f>IFERROR(__xludf.DUMMYFUNCTION("""COMPUTED_VALUE"""),0.4311921296296296)</f>
        <v>0.4311921296</v>
      </c>
      <c r="D474" s="103" t="str">
        <f>IFERROR(__xludf.DUMMYFUNCTION("""COMPUTED_VALUE"""),"SpFLMP470379")</f>
        <v>SpFLMP470379</v>
      </c>
      <c r="E474" s="103"/>
      <c r="F474" s="103"/>
      <c r="G474" s="103" t="str">
        <f>IFERROR(__xludf.DUMMYFUNCTION("""COMPUTED_VALUE"""),"Negative")</f>
        <v>Negative</v>
      </c>
      <c r="H474" s="131" t="str">
        <f>IFERROR(__xludf.DUMMYFUNCTION("""COMPUTED_VALUE"""),"Negative")</f>
        <v>Negative</v>
      </c>
      <c r="I474" s="468">
        <f>IFERROR(__xludf.DUMMYFUNCTION("""COMPUTED_VALUE"""),44578.0)</f>
        <v>44578</v>
      </c>
      <c r="J474" s="470">
        <f>IFERROR(__xludf.DUMMYFUNCTION("""COMPUTED_VALUE"""),0.8699421296296296)</f>
        <v>0.8699421296</v>
      </c>
      <c r="K474" s="16"/>
      <c r="L474" s="8"/>
      <c r="M474" s="69"/>
      <c r="N474" s="69">
        <f>IFERROR(__xludf.DUMMYFUNCTION("""COMPUTED_VALUE"""),1.0)</f>
        <v>1</v>
      </c>
      <c r="O474" s="69" t="str">
        <f t="shared" si="3"/>
        <v/>
      </c>
      <c r="P474" s="471">
        <f>IFERROR(__xludf.DUMMYFUNCTION("""COMPUTED_VALUE"""),0.0)</f>
        <v>0</v>
      </c>
      <c r="Q474" s="274" t="str">
        <f>VLOOKUP($B474,'Run Reconcile'!B$2:O2488,14,FALSE)</f>
        <v/>
      </c>
      <c r="R474" s="472" t="str">
        <f t="array" ref="R474">IF($Q474, INDEX('Run Reconcile'!A$2:A2488,MATCH(B474,'Run Reconcile'!B$2:B2488,0),1),IFERROR(0/0,""))</f>
        <v/>
      </c>
      <c r="S474" s="473" t="str">
        <f t="shared" si="694"/>
        <v/>
      </c>
      <c r="T474" s="473" t="b">
        <f t="shared" si="698"/>
        <v>1</v>
      </c>
      <c r="U474" s="275" t="str">
        <f t="array" ref="U474">IF(ISBLANK($R474), INDEX('Run Reconcile'!A$2:A2488, MATCH($B474, 'Run Reconcile'!B$2:B2488, 0)+Z474, 1), IFERROR(0/0,""))
</f>
        <v>RUN-FLMP_2022-01-17_RFR-063</v>
      </c>
      <c r="V474" s="474" t="str">
        <f t="shared" si="5"/>
        <v>RUN-FLMP_2022-01-17_RFR-063</v>
      </c>
      <c r="X474" s="8" t="s">
        <v>1399</v>
      </c>
      <c r="Y474" s="89">
        <f t="shared" si="791"/>
        <v>1</v>
      </c>
      <c r="Z474" s="60">
        <f t="shared" si="7"/>
        <v>1</v>
      </c>
      <c r="AA474" s="60" t="str">
        <f t="shared" si="8"/>
        <v/>
      </c>
      <c r="AB474" s="60">
        <f t="shared" si="9"/>
        <v>1</v>
      </c>
      <c r="AC474" s="30" t="str">
        <f t="shared" ref="AC474:AD474" si="828">IF(_xlfn.ISFORMULA(S474),IFERROR(0/0,""),TRUE)</f>
        <v/>
      </c>
      <c r="AD474" s="30" t="str">
        <f t="shared" si="828"/>
        <v/>
      </c>
      <c r="AE474" s="475" t="str">
        <f>IFERROR(__xludf.DUMMYFUNCTION("""COMPUTED_VALUE"""),"CRLN")</f>
        <v>CRLN</v>
      </c>
      <c r="AF474" s="476"/>
      <c r="AG474" s="474" t="s">
        <v>162</v>
      </c>
      <c r="AH474" s="138" t="str">
        <f t="shared" si="11"/>
        <v/>
      </c>
    </row>
    <row r="475">
      <c r="A475" s="103" t="str">
        <f>IFERROR(__xludf.DUMMYFUNCTION("""COMPUTED_VALUE"""),"FLT1129")</f>
        <v>FLT1129</v>
      </c>
      <c r="B475" s="468">
        <f>IFERROR(__xludf.DUMMYFUNCTION("""COMPUTED_VALUE"""),44578.0)</f>
        <v>44578</v>
      </c>
      <c r="C475" s="469">
        <f>IFERROR(__xludf.DUMMYFUNCTION("""COMPUTED_VALUE"""),0.4324884259259259)</f>
        <v>0.4324884259</v>
      </c>
      <c r="D475" s="103" t="str">
        <f>IFERROR(__xludf.DUMMYFUNCTION("""COMPUTED_VALUE"""),"SpFLMP649771")</f>
        <v>SpFLMP649771</v>
      </c>
      <c r="E475" s="103"/>
      <c r="F475" s="103"/>
      <c r="G475" s="103" t="str">
        <f>IFERROR(__xludf.DUMMYFUNCTION("""COMPUTED_VALUE"""),"Positive")</f>
        <v>Positive</v>
      </c>
      <c r="H475" s="505" t="str">
        <f>IFERROR(__xludf.DUMMYFUNCTION("""COMPUTED_VALUE"""),"Positive")</f>
        <v>Positive</v>
      </c>
      <c r="I475" s="468">
        <f>IFERROR(__xludf.DUMMYFUNCTION("""COMPUTED_VALUE"""),44578.0)</f>
        <v>44578</v>
      </c>
      <c r="J475" s="470">
        <f>IFERROR(__xludf.DUMMYFUNCTION("""COMPUTED_VALUE"""),0.8699305555555555)</f>
        <v>0.8699305556</v>
      </c>
      <c r="K475" s="16"/>
      <c r="L475" s="8"/>
      <c r="M475" s="69"/>
      <c r="N475" s="69">
        <f>IFERROR(__xludf.DUMMYFUNCTION("""COMPUTED_VALUE"""),1.0)</f>
        <v>1</v>
      </c>
      <c r="O475" s="69" t="str">
        <f t="shared" si="3"/>
        <v/>
      </c>
      <c r="P475" s="471">
        <f>IFERROR(__xludf.DUMMYFUNCTION("""COMPUTED_VALUE"""),0.0)</f>
        <v>0</v>
      </c>
      <c r="Q475" s="274" t="str">
        <f>VLOOKUP($B475,'Run Reconcile'!B$2:O2488,14,FALSE)</f>
        <v/>
      </c>
      <c r="R475" s="472" t="str">
        <f t="array" ref="R475">IF($Q475, INDEX('Run Reconcile'!A$2:A2488,MATCH(B475,'Run Reconcile'!B$2:B2488,0),1),IFERROR(0/0,""))</f>
        <v/>
      </c>
      <c r="S475" s="473" t="str">
        <f t="shared" si="694"/>
        <v/>
      </c>
      <c r="T475" s="473" t="b">
        <f t="shared" si="698"/>
        <v>1</v>
      </c>
      <c r="U475" s="275" t="str">
        <f t="array" ref="U475">IF(ISBLANK($R475), INDEX('Run Reconcile'!A$2:A2488, MATCH($B475, 'Run Reconcile'!B$2:B2488, 0)+Z475, 1), IFERROR(0/0,""))
</f>
        <v>RUN-FLMP_2022-01-17_RFR-063</v>
      </c>
      <c r="V475" s="474" t="str">
        <f t="shared" si="5"/>
        <v>RUN-FLMP_2022-01-17_RFR-063</v>
      </c>
      <c r="X475" s="8" t="s">
        <v>1181</v>
      </c>
      <c r="Y475" s="89">
        <f t="shared" si="791"/>
        <v>1</v>
      </c>
      <c r="Z475" s="60">
        <f t="shared" si="7"/>
        <v>1</v>
      </c>
      <c r="AA475" s="60" t="str">
        <f t="shared" si="8"/>
        <v/>
      </c>
      <c r="AB475" s="60">
        <f t="shared" si="9"/>
        <v>1</v>
      </c>
      <c r="AC475" s="30" t="str">
        <f t="shared" ref="AC475:AD475" si="829">IF(_xlfn.ISFORMULA(S475),IFERROR(0/0,""),TRUE)</f>
        <v/>
      </c>
      <c r="AD475" s="30" t="str">
        <f t="shared" si="829"/>
        <v/>
      </c>
      <c r="AE475" s="475" t="str">
        <f>IFERROR(__xludf.DUMMYFUNCTION("""COMPUTED_VALUE"""),"CRLN")</f>
        <v>CRLN</v>
      </c>
      <c r="AF475" s="476"/>
      <c r="AG475" s="474" t="s">
        <v>162</v>
      </c>
      <c r="AH475" s="138" t="str">
        <f t="shared" si="11"/>
        <v/>
      </c>
    </row>
    <row r="476">
      <c r="A476" s="103" t="str">
        <f>IFERROR(__xludf.DUMMYFUNCTION("""COMPUTED_VALUE"""),"FLB6842")</f>
        <v>FLB6842</v>
      </c>
      <c r="B476" s="468">
        <f>IFERROR(__xludf.DUMMYFUNCTION("""COMPUTED_VALUE"""),44578.0)</f>
        <v>44578</v>
      </c>
      <c r="C476" s="469">
        <f>IFERROR(__xludf.DUMMYFUNCTION("""COMPUTED_VALUE"""),0.4374884259259259)</f>
        <v>0.4374884259</v>
      </c>
      <c r="D476" s="103" t="str">
        <f>IFERROR(__xludf.DUMMYFUNCTION("""COMPUTED_VALUE"""),"SpFLMP596479")</f>
        <v>SpFLMP596479</v>
      </c>
      <c r="E476" s="103"/>
      <c r="F476" s="103"/>
      <c r="G476" s="103" t="str">
        <f>IFERROR(__xludf.DUMMYFUNCTION("""COMPUTED_VALUE"""),"Negative")</f>
        <v>Negative</v>
      </c>
      <c r="H476" s="131" t="str">
        <f>IFERROR(__xludf.DUMMYFUNCTION("""COMPUTED_VALUE"""),"Negative")</f>
        <v>Negative</v>
      </c>
      <c r="I476" s="468">
        <f>IFERROR(__xludf.DUMMYFUNCTION("""COMPUTED_VALUE"""),44578.0)</f>
        <v>44578</v>
      </c>
      <c r="J476" s="470">
        <f>IFERROR(__xludf.DUMMYFUNCTION("""COMPUTED_VALUE"""),0.8699421296296296)</f>
        <v>0.8699421296</v>
      </c>
      <c r="K476" s="16"/>
      <c r="L476" s="8"/>
      <c r="M476" s="69"/>
      <c r="N476" s="69">
        <f>IFERROR(__xludf.DUMMYFUNCTION("""COMPUTED_VALUE"""),3.0)</f>
        <v>3</v>
      </c>
      <c r="O476" s="69" t="str">
        <f t="shared" si="3"/>
        <v/>
      </c>
      <c r="P476" s="471">
        <f>IFERROR(__xludf.DUMMYFUNCTION("""COMPUTED_VALUE"""),0.0)</f>
        <v>0</v>
      </c>
      <c r="Q476" s="274" t="str">
        <f>VLOOKUP($B476,'Run Reconcile'!B$2:O2488,14,FALSE)</f>
        <v/>
      </c>
      <c r="R476" s="472" t="str">
        <f t="array" ref="R476">IF($Q476, INDEX('Run Reconcile'!A$2:A2488,MATCH(B476,'Run Reconcile'!B$2:B2488,0),1),IFERROR(0/0,""))</f>
        <v/>
      </c>
      <c r="S476" s="473" t="str">
        <f t="shared" si="694"/>
        <v/>
      </c>
      <c r="T476" s="473" t="b">
        <f t="shared" si="698"/>
        <v>1</v>
      </c>
      <c r="U476" s="275" t="str">
        <f t="array" ref="U476">IF(ISBLANK($R476), INDEX('Run Reconcile'!A$2:A2488, MATCH($B476, 'Run Reconcile'!B$2:B2488, 0)+Z476, 1), IFERROR(0/0,""))
</f>
        <v>RUN-FLMP_2022-01-17_RFR-063</v>
      </c>
      <c r="V476" s="474" t="str">
        <f t="shared" si="5"/>
        <v>RUN-FLMP_2022-01-17_RFR-063</v>
      </c>
      <c r="X476" s="8" t="s">
        <v>1400</v>
      </c>
      <c r="Y476" s="89">
        <f t="shared" si="791"/>
        <v>1</v>
      </c>
      <c r="Z476" s="60">
        <f t="shared" si="7"/>
        <v>1</v>
      </c>
      <c r="AA476" s="60" t="str">
        <f t="shared" si="8"/>
        <v/>
      </c>
      <c r="AB476" s="60">
        <f t="shared" si="9"/>
        <v>1</v>
      </c>
      <c r="AC476" s="30" t="str">
        <f t="shared" ref="AC476:AD476" si="830">IF(_xlfn.ISFORMULA(S476),IFERROR(0/0,""),TRUE)</f>
        <v/>
      </c>
      <c r="AD476" s="30" t="str">
        <f t="shared" si="830"/>
        <v/>
      </c>
      <c r="AE476" s="475" t="str">
        <f>IFERROR(__xludf.DUMMYFUNCTION("""COMPUTED_VALUE"""),"CRLN")</f>
        <v>CRLN</v>
      </c>
      <c r="AF476" s="476"/>
      <c r="AG476" s="474" t="s">
        <v>162</v>
      </c>
      <c r="AH476" s="138" t="str">
        <f t="shared" si="11"/>
        <v/>
      </c>
    </row>
    <row r="477">
      <c r="A477" s="103" t="str">
        <f>IFERROR(__xludf.DUMMYFUNCTION("""COMPUTED_VALUE"""),"FLT1482")</f>
        <v>FLT1482</v>
      </c>
      <c r="B477" s="468">
        <f>IFERROR(__xludf.DUMMYFUNCTION("""COMPUTED_VALUE"""),44578.0)</f>
        <v>44578</v>
      </c>
      <c r="C477" s="469">
        <f>IFERROR(__xludf.DUMMYFUNCTION("""COMPUTED_VALUE"""),0.43818287037037035)</f>
        <v>0.4381828704</v>
      </c>
      <c r="D477" s="103" t="str">
        <f>IFERROR(__xludf.DUMMYFUNCTION("""COMPUTED_VALUE"""),"SpFLMP544731")</f>
        <v>SpFLMP544731</v>
      </c>
      <c r="E477" s="103"/>
      <c r="F477" s="103"/>
      <c r="G477" s="103" t="str">
        <f>IFERROR(__xludf.DUMMYFUNCTION("""COMPUTED_VALUE"""),"Negative")</f>
        <v>Negative</v>
      </c>
      <c r="H477" s="131" t="str">
        <f>IFERROR(__xludf.DUMMYFUNCTION("""COMPUTED_VALUE"""),"Negative")</f>
        <v>Negative</v>
      </c>
      <c r="I477" s="468">
        <f>IFERROR(__xludf.DUMMYFUNCTION("""COMPUTED_VALUE"""),44578.0)</f>
        <v>44578</v>
      </c>
      <c r="J477" s="470">
        <f>IFERROR(__xludf.DUMMYFUNCTION("""COMPUTED_VALUE"""),0.8699421296296296)</f>
        <v>0.8699421296</v>
      </c>
      <c r="K477" s="16"/>
      <c r="L477" s="8"/>
      <c r="M477" s="69"/>
      <c r="N477" s="69">
        <f>IFERROR(__xludf.DUMMYFUNCTION("""COMPUTED_VALUE"""),1.0)</f>
        <v>1</v>
      </c>
      <c r="O477" s="69" t="str">
        <f t="shared" si="3"/>
        <v/>
      </c>
      <c r="P477" s="471">
        <f>IFERROR(__xludf.DUMMYFUNCTION("""COMPUTED_VALUE"""),0.0)</f>
        <v>0</v>
      </c>
      <c r="Q477" s="274" t="str">
        <f>VLOOKUP($B477,'Run Reconcile'!B$2:O2488,14,FALSE)</f>
        <v/>
      </c>
      <c r="R477" s="472" t="str">
        <f t="array" ref="R477">IF($Q477, INDEX('Run Reconcile'!A$2:A2488,MATCH(B477,'Run Reconcile'!B$2:B2488,0),1),IFERROR(0/0,""))</f>
        <v/>
      </c>
      <c r="S477" s="473" t="str">
        <f t="shared" si="694"/>
        <v/>
      </c>
      <c r="T477" s="473" t="b">
        <f t="shared" si="698"/>
        <v>1</v>
      </c>
      <c r="U477" s="275" t="str">
        <f t="array" ref="U477">IF(ISBLANK($R477), INDEX('Run Reconcile'!A$2:A2488, MATCH($B477, 'Run Reconcile'!B$2:B2488, 0)+Z477, 1), IFERROR(0/0,""))
</f>
        <v>RUN-FLMP_2022-01-17_RFR-063</v>
      </c>
      <c r="V477" s="474" t="str">
        <f t="shared" si="5"/>
        <v>RUN-FLMP_2022-01-17_RFR-063</v>
      </c>
      <c r="X477" s="8" t="s">
        <v>1401</v>
      </c>
      <c r="Y477" s="89">
        <f t="shared" si="791"/>
        <v>1</v>
      </c>
      <c r="Z477" s="60">
        <f t="shared" si="7"/>
        <v>1</v>
      </c>
      <c r="AA477" s="60" t="str">
        <f t="shared" si="8"/>
        <v/>
      </c>
      <c r="AB477" s="60">
        <f t="shared" si="9"/>
        <v>1</v>
      </c>
      <c r="AC477" s="30" t="str">
        <f t="shared" ref="AC477:AD477" si="831">IF(_xlfn.ISFORMULA(S477),IFERROR(0/0,""),TRUE)</f>
        <v/>
      </c>
      <c r="AD477" s="30" t="str">
        <f t="shared" si="831"/>
        <v/>
      </c>
      <c r="AE477" s="475" t="str">
        <f>IFERROR(__xludf.DUMMYFUNCTION("""COMPUTED_VALUE"""),"CRLN")</f>
        <v>CRLN</v>
      </c>
      <c r="AF477" s="476"/>
      <c r="AG477" s="474" t="s">
        <v>162</v>
      </c>
      <c r="AH477" s="138" t="str">
        <f t="shared" si="11"/>
        <v/>
      </c>
    </row>
    <row r="478">
      <c r="A478" s="103" t="str">
        <f>IFERROR(__xludf.DUMMYFUNCTION("""COMPUTED_VALUE"""),"FLB5837")</f>
        <v>FLB5837</v>
      </c>
      <c r="B478" s="468">
        <f>IFERROR(__xludf.DUMMYFUNCTION("""COMPUTED_VALUE"""),44578.0)</f>
        <v>44578</v>
      </c>
      <c r="C478" s="469">
        <f>IFERROR(__xludf.DUMMYFUNCTION("""COMPUTED_VALUE"""),0.44460648148148146)</f>
        <v>0.4446064815</v>
      </c>
      <c r="D478" s="103" t="str">
        <f>IFERROR(__xludf.DUMMYFUNCTION("""COMPUTED_VALUE"""),"SpFLMP418927")</f>
        <v>SpFLMP418927</v>
      </c>
      <c r="E478" s="103"/>
      <c r="F478" s="103"/>
      <c r="G478" s="103" t="str">
        <f>IFERROR(__xludf.DUMMYFUNCTION("""COMPUTED_VALUE"""),"Positive")</f>
        <v>Positive</v>
      </c>
      <c r="H478" s="505" t="str">
        <f>IFERROR(__xludf.DUMMYFUNCTION("""COMPUTED_VALUE"""),"Positive")</f>
        <v>Positive</v>
      </c>
      <c r="I478" s="468">
        <f>IFERROR(__xludf.DUMMYFUNCTION("""COMPUTED_VALUE"""),44578.0)</f>
        <v>44578</v>
      </c>
      <c r="J478" s="470">
        <f>IFERROR(__xludf.DUMMYFUNCTION("""COMPUTED_VALUE"""),0.8699305555555555)</f>
        <v>0.8699305556</v>
      </c>
      <c r="K478" s="16"/>
      <c r="L478" s="8"/>
      <c r="M478" s="69"/>
      <c r="N478" s="69">
        <f>IFERROR(__xludf.DUMMYFUNCTION("""COMPUTED_VALUE"""),3.0)</f>
        <v>3</v>
      </c>
      <c r="O478" s="69" t="str">
        <f t="shared" si="3"/>
        <v/>
      </c>
      <c r="P478" s="471">
        <f>IFERROR(__xludf.DUMMYFUNCTION("""COMPUTED_VALUE"""),0.0)</f>
        <v>0</v>
      </c>
      <c r="Q478" s="274" t="str">
        <f>VLOOKUP($B478,'Run Reconcile'!B$2:O2488,14,FALSE)</f>
        <v/>
      </c>
      <c r="R478" s="472" t="str">
        <f t="array" ref="R478">IF($Q478, INDEX('Run Reconcile'!A$2:A2488,MATCH(B478,'Run Reconcile'!B$2:B2488,0),1),IFERROR(0/0,""))</f>
        <v/>
      </c>
      <c r="S478" s="473" t="str">
        <f t="shared" si="694"/>
        <v/>
      </c>
      <c r="T478" s="473" t="b">
        <f t="shared" si="698"/>
        <v>1</v>
      </c>
      <c r="U478" s="275" t="str">
        <f t="array" ref="U478">IF(ISBLANK($R478), INDEX('Run Reconcile'!A$2:A2488, MATCH($B478, 'Run Reconcile'!B$2:B2488, 0)+Z478, 1), IFERROR(0/0,""))
</f>
        <v>RUN-FLMP_2022-01-17_RFR-063</v>
      </c>
      <c r="V478" s="474" t="str">
        <f t="shared" si="5"/>
        <v>RUN-FLMP_2022-01-17_RFR-063</v>
      </c>
      <c r="X478" s="8" t="s">
        <v>1177</v>
      </c>
      <c r="Y478" s="89">
        <f t="shared" si="791"/>
        <v>1</v>
      </c>
      <c r="Z478" s="60">
        <f t="shared" si="7"/>
        <v>1</v>
      </c>
      <c r="AA478" s="60" t="str">
        <f t="shared" si="8"/>
        <v/>
      </c>
      <c r="AB478" s="60">
        <f t="shared" si="9"/>
        <v>1</v>
      </c>
      <c r="AC478" s="30" t="str">
        <f t="shared" ref="AC478:AD478" si="832">IF(_xlfn.ISFORMULA(S478),IFERROR(0/0,""),TRUE)</f>
        <v/>
      </c>
      <c r="AD478" s="30" t="str">
        <f t="shared" si="832"/>
        <v/>
      </c>
      <c r="AE478" s="475" t="str">
        <f>IFERROR(__xludf.DUMMYFUNCTION("""COMPUTED_VALUE"""),"CRLN")</f>
        <v>CRLN</v>
      </c>
      <c r="AF478" s="476"/>
      <c r="AG478" s="474" t="s">
        <v>162</v>
      </c>
      <c r="AH478" s="138" t="str">
        <f t="shared" si="11"/>
        <v/>
      </c>
    </row>
    <row r="479">
      <c r="A479" s="103" t="str">
        <f>IFERROR(__xludf.DUMMYFUNCTION("""COMPUTED_VALUE"""),"FLE248")</f>
        <v>FLE248</v>
      </c>
      <c r="B479" s="468">
        <f>IFERROR(__xludf.DUMMYFUNCTION("""COMPUTED_VALUE"""),44578.0)</f>
        <v>44578</v>
      </c>
      <c r="C479" s="469">
        <f>IFERROR(__xludf.DUMMYFUNCTION("""COMPUTED_VALUE"""),0.4657175925925926)</f>
        <v>0.4657175926</v>
      </c>
      <c r="D479" s="103" t="str">
        <f>IFERROR(__xludf.DUMMYFUNCTION("""COMPUTED_VALUE"""),"SpFLMP600756")</f>
        <v>SpFLMP600756</v>
      </c>
      <c r="E479" s="103"/>
      <c r="F479" s="103"/>
      <c r="G479" s="103" t="str">
        <f>IFERROR(__xludf.DUMMYFUNCTION("""COMPUTED_VALUE"""),"Negative")</f>
        <v>Negative</v>
      </c>
      <c r="H479" s="131" t="str">
        <f>IFERROR(__xludf.DUMMYFUNCTION("""COMPUTED_VALUE"""),"Negative")</f>
        <v>Negative</v>
      </c>
      <c r="I479" s="468">
        <f>IFERROR(__xludf.DUMMYFUNCTION("""COMPUTED_VALUE"""),44578.0)</f>
        <v>44578</v>
      </c>
      <c r="J479" s="470">
        <f>IFERROR(__xludf.DUMMYFUNCTION("""COMPUTED_VALUE"""),0.8699421296296296)</f>
        <v>0.8699421296</v>
      </c>
      <c r="K479" s="16"/>
      <c r="L479" s="8"/>
      <c r="M479" s="69"/>
      <c r="N479" s="69">
        <f>IFERROR(__xludf.DUMMYFUNCTION("""COMPUTED_VALUE"""),1.0)</f>
        <v>1</v>
      </c>
      <c r="O479" s="69" t="str">
        <f t="shared" si="3"/>
        <v/>
      </c>
      <c r="P479" s="471">
        <f>IFERROR(__xludf.DUMMYFUNCTION("""COMPUTED_VALUE"""),0.0)</f>
        <v>0</v>
      </c>
      <c r="Q479" s="274" t="str">
        <f>VLOOKUP($B479,'Run Reconcile'!B$2:O2488,14,FALSE)</f>
        <v/>
      </c>
      <c r="R479" s="472" t="str">
        <f t="array" ref="R479">IF($Q479, INDEX('Run Reconcile'!A$2:A2488,MATCH(B479,'Run Reconcile'!B$2:B2488,0),1),IFERROR(0/0,""))</f>
        <v/>
      </c>
      <c r="S479" s="473" t="str">
        <f t="shared" si="694"/>
        <v/>
      </c>
      <c r="T479" s="473" t="b">
        <f t="shared" si="698"/>
        <v>1</v>
      </c>
      <c r="U479" s="275" t="str">
        <f t="array" ref="U479">IF(ISBLANK($R479), INDEX('Run Reconcile'!A$2:A2488, MATCH($B479, 'Run Reconcile'!B$2:B2488, 0)+Z479, 1), IFERROR(0/0,""))
</f>
        <v>RUN-FLMP_2022-01-17_RFR-063</v>
      </c>
      <c r="V479" s="474" t="str">
        <f t="shared" si="5"/>
        <v>RUN-FLMP_2022-01-17_RFR-063</v>
      </c>
      <c r="X479" s="8" t="s">
        <v>1402</v>
      </c>
      <c r="Y479" s="89">
        <f t="shared" si="791"/>
        <v>1</v>
      </c>
      <c r="Z479" s="60">
        <f t="shared" si="7"/>
        <v>1</v>
      </c>
      <c r="AA479" s="60" t="str">
        <f t="shared" si="8"/>
        <v/>
      </c>
      <c r="AB479" s="60">
        <f t="shared" si="9"/>
        <v>1</v>
      </c>
      <c r="AC479" s="30" t="str">
        <f t="shared" ref="AC479:AD479" si="833">IF(_xlfn.ISFORMULA(S479),IFERROR(0/0,""),TRUE)</f>
        <v/>
      </c>
      <c r="AD479" s="30" t="str">
        <f t="shared" si="833"/>
        <v/>
      </c>
      <c r="AE479" s="475" t="str">
        <f>IFERROR(__xludf.DUMMYFUNCTION("""COMPUTED_VALUE"""),"CRLN")</f>
        <v>CRLN</v>
      </c>
      <c r="AF479" s="476"/>
      <c r="AG479" s="474" t="s">
        <v>162</v>
      </c>
      <c r="AH479" s="138" t="str">
        <f t="shared" si="11"/>
        <v/>
      </c>
    </row>
    <row r="480">
      <c r="A480" s="103" t="str">
        <f>IFERROR(__xludf.DUMMYFUNCTION("""COMPUTED_VALUE"""),"FLE292")</f>
        <v>FLE292</v>
      </c>
      <c r="B480" s="468">
        <f>IFERROR(__xludf.DUMMYFUNCTION("""COMPUTED_VALUE"""),44578.0)</f>
        <v>44578</v>
      </c>
      <c r="C480" s="469">
        <f>IFERROR(__xludf.DUMMYFUNCTION("""COMPUTED_VALUE"""),0.46728009259259257)</f>
        <v>0.4672800926</v>
      </c>
      <c r="D480" s="103" t="str">
        <f>IFERROR(__xludf.DUMMYFUNCTION("""COMPUTED_VALUE"""),"SpFLMP600756")</f>
        <v>SpFLMP600756</v>
      </c>
      <c r="E480" s="103"/>
      <c r="F480" s="103"/>
      <c r="G480" s="103" t="str">
        <f>IFERROR(__xludf.DUMMYFUNCTION("""COMPUTED_VALUE"""),"Negative")</f>
        <v>Negative</v>
      </c>
      <c r="H480" s="131" t="str">
        <f>IFERROR(__xludf.DUMMYFUNCTION("""COMPUTED_VALUE"""),"Negative")</f>
        <v>Negative</v>
      </c>
      <c r="I480" s="468">
        <f>IFERROR(__xludf.DUMMYFUNCTION("""COMPUTED_VALUE"""),44578.0)</f>
        <v>44578</v>
      </c>
      <c r="J480" s="470">
        <f>IFERROR(__xludf.DUMMYFUNCTION("""COMPUTED_VALUE"""),0.8699421296296296)</f>
        <v>0.8699421296</v>
      </c>
      <c r="K480" s="16"/>
      <c r="L480" s="8"/>
      <c r="M480" s="69"/>
      <c r="N480" s="69">
        <f>IFERROR(__xludf.DUMMYFUNCTION("""COMPUTED_VALUE"""),2.0)</f>
        <v>2</v>
      </c>
      <c r="O480" s="69" t="str">
        <f t="shared" si="3"/>
        <v/>
      </c>
      <c r="P480" s="471">
        <f>IFERROR(__xludf.DUMMYFUNCTION("""COMPUTED_VALUE"""),0.0)</f>
        <v>0</v>
      </c>
      <c r="Q480" s="274" t="str">
        <f>VLOOKUP($B480,'Run Reconcile'!B$2:O2488,14,FALSE)</f>
        <v/>
      </c>
      <c r="R480" s="472" t="str">
        <f t="array" ref="R480">IF($Q480, INDEX('Run Reconcile'!A$2:A2488,MATCH(B480,'Run Reconcile'!B$2:B2488,0),1),IFERROR(0/0,""))</f>
        <v/>
      </c>
      <c r="S480" s="473" t="str">
        <f t="shared" si="694"/>
        <v/>
      </c>
      <c r="T480" s="473" t="b">
        <f t="shared" si="698"/>
        <v>1</v>
      </c>
      <c r="U480" s="275" t="str">
        <f t="array" ref="U480">IF(ISBLANK($R480), INDEX('Run Reconcile'!A$2:A2488, MATCH($B480, 'Run Reconcile'!B$2:B2488, 0)+Z480, 1), IFERROR(0/0,""))
</f>
        <v>RUN-FLMP_2022-01-17_RFR-063</v>
      </c>
      <c r="V480" s="474" t="str">
        <f t="shared" si="5"/>
        <v>RUN-FLMP_2022-01-17_RFR-063</v>
      </c>
      <c r="X480" s="8" t="s">
        <v>1403</v>
      </c>
      <c r="Y480" s="89">
        <f t="shared" si="791"/>
        <v>1</v>
      </c>
      <c r="Z480" s="60">
        <f t="shared" si="7"/>
        <v>1</v>
      </c>
      <c r="AA480" s="60" t="str">
        <f t="shared" si="8"/>
        <v/>
      </c>
      <c r="AB480" s="60">
        <f t="shared" si="9"/>
        <v>1</v>
      </c>
      <c r="AC480" s="30" t="str">
        <f t="shared" ref="AC480:AD480" si="834">IF(_xlfn.ISFORMULA(S480),IFERROR(0/0,""),TRUE)</f>
        <v/>
      </c>
      <c r="AD480" s="30" t="str">
        <f t="shared" si="834"/>
        <v/>
      </c>
      <c r="AE480" s="475" t="str">
        <f>IFERROR(__xludf.DUMMYFUNCTION("""COMPUTED_VALUE"""),"CRLN")</f>
        <v>CRLN</v>
      </c>
      <c r="AF480" s="476"/>
      <c r="AG480" s="474" t="s">
        <v>162</v>
      </c>
      <c r="AH480" s="138" t="str">
        <f t="shared" si="11"/>
        <v/>
      </c>
    </row>
    <row r="481">
      <c r="A481" s="103" t="str">
        <f>IFERROR(__xludf.DUMMYFUNCTION("""COMPUTED_VALUE"""),"FLB7383")</f>
        <v>FLB7383</v>
      </c>
      <c r="B481" s="468">
        <f>IFERROR(__xludf.DUMMYFUNCTION("""COMPUTED_VALUE"""),44578.0)</f>
        <v>44578</v>
      </c>
      <c r="C481" s="469">
        <f>IFERROR(__xludf.DUMMYFUNCTION("""COMPUTED_VALUE"""),0.4814699074074074)</f>
        <v>0.4814699074</v>
      </c>
      <c r="D481" s="103" t="str">
        <f>IFERROR(__xludf.DUMMYFUNCTION("""COMPUTED_VALUE"""),"SpFLMP572444")</f>
        <v>SpFLMP572444</v>
      </c>
      <c r="E481" s="103"/>
      <c r="F481" s="103"/>
      <c r="G481" s="103" t="str">
        <f>IFERROR(__xludf.DUMMYFUNCTION("""COMPUTED_VALUE"""),"Negative")</f>
        <v>Negative</v>
      </c>
      <c r="H481" s="131" t="str">
        <f>IFERROR(__xludf.DUMMYFUNCTION("""COMPUTED_VALUE"""),"Negative")</f>
        <v>Negative</v>
      </c>
      <c r="I481" s="468">
        <f>IFERROR(__xludf.DUMMYFUNCTION("""COMPUTED_VALUE"""),44578.0)</f>
        <v>44578</v>
      </c>
      <c r="J481" s="470">
        <f>IFERROR(__xludf.DUMMYFUNCTION("""COMPUTED_VALUE"""),0.8699421296296296)</f>
        <v>0.8699421296</v>
      </c>
      <c r="K481" s="16"/>
      <c r="L481" s="8"/>
      <c r="M481" s="69"/>
      <c r="N481" s="69">
        <f>IFERROR(__xludf.DUMMYFUNCTION("""COMPUTED_VALUE"""),3.0)</f>
        <v>3</v>
      </c>
      <c r="O481" s="69" t="str">
        <f t="shared" si="3"/>
        <v/>
      </c>
      <c r="P481" s="471">
        <f>IFERROR(__xludf.DUMMYFUNCTION("""COMPUTED_VALUE"""),0.0)</f>
        <v>0</v>
      </c>
      <c r="Q481" s="274" t="str">
        <f>VLOOKUP($B481,'Run Reconcile'!B$2:O2488,14,FALSE)</f>
        <v/>
      </c>
      <c r="R481" s="472" t="str">
        <f t="array" ref="R481">IF($Q481, INDEX('Run Reconcile'!A$2:A2488,MATCH(B481,'Run Reconcile'!B$2:B2488,0),1),IFERROR(0/0,""))</f>
        <v/>
      </c>
      <c r="S481" s="473" t="str">
        <f t="shared" si="694"/>
        <v/>
      </c>
      <c r="T481" s="473" t="b">
        <f t="shared" si="698"/>
        <v>1</v>
      </c>
      <c r="U481" s="275" t="str">
        <f t="array" ref="U481">IF(ISBLANK($R481), INDEX('Run Reconcile'!A$2:A2488, MATCH($B481, 'Run Reconcile'!B$2:B2488, 0)+Z481, 1), IFERROR(0/0,""))
</f>
        <v>RUN-FLMP_2022-01-17_RFR-063</v>
      </c>
      <c r="V481" s="474" t="str">
        <f t="shared" si="5"/>
        <v>RUN-FLMP_2022-01-17_RFR-063</v>
      </c>
      <c r="X481" s="8" t="s">
        <v>1404</v>
      </c>
      <c r="Y481" s="89">
        <f t="shared" si="791"/>
        <v>1</v>
      </c>
      <c r="Z481" s="60">
        <f t="shared" si="7"/>
        <v>1</v>
      </c>
      <c r="AA481" s="60" t="str">
        <f t="shared" si="8"/>
        <v/>
      </c>
      <c r="AB481" s="60">
        <f t="shared" si="9"/>
        <v>1</v>
      </c>
      <c r="AC481" s="30" t="str">
        <f t="shared" ref="AC481:AD481" si="835">IF(_xlfn.ISFORMULA(S481),IFERROR(0/0,""),TRUE)</f>
        <v/>
      </c>
      <c r="AD481" s="30" t="str">
        <f t="shared" si="835"/>
        <v/>
      </c>
      <c r="AE481" s="475" t="str">
        <f>IFERROR(__xludf.DUMMYFUNCTION("""COMPUTED_VALUE"""),"CRLN")</f>
        <v>CRLN</v>
      </c>
      <c r="AF481" s="476"/>
      <c r="AG481" s="474" t="s">
        <v>162</v>
      </c>
      <c r="AH481" s="138" t="str">
        <f t="shared" si="11"/>
        <v/>
      </c>
    </row>
    <row r="482">
      <c r="A482" s="103" t="str">
        <f>IFERROR(__xludf.DUMMYFUNCTION("""COMPUTED_VALUE"""),"FLT1488")</f>
        <v>FLT1488</v>
      </c>
      <c r="B482" s="468">
        <f>IFERROR(__xludf.DUMMYFUNCTION("""COMPUTED_VALUE"""),44578.0)</f>
        <v>44578</v>
      </c>
      <c r="C482" s="469">
        <f>IFERROR(__xludf.DUMMYFUNCTION("""COMPUTED_VALUE"""),0.4882175925925926)</f>
        <v>0.4882175926</v>
      </c>
      <c r="D482" s="103" t="str">
        <f>IFERROR(__xludf.DUMMYFUNCTION("""COMPUTED_VALUE"""),"SpFLMP657198")</f>
        <v>SpFLMP657198</v>
      </c>
      <c r="E482" s="103"/>
      <c r="F482" s="103"/>
      <c r="G482" s="103" t="str">
        <f>IFERROR(__xludf.DUMMYFUNCTION("""COMPUTED_VALUE"""),"Negative")</f>
        <v>Negative</v>
      </c>
      <c r="H482" s="131" t="str">
        <f>IFERROR(__xludf.DUMMYFUNCTION("""COMPUTED_VALUE"""),"Negative")</f>
        <v>Negative</v>
      </c>
      <c r="I482" s="468">
        <f>IFERROR(__xludf.DUMMYFUNCTION("""COMPUTED_VALUE"""),44578.0)</f>
        <v>44578</v>
      </c>
      <c r="J482" s="470">
        <f>IFERROR(__xludf.DUMMYFUNCTION("""COMPUTED_VALUE"""),0.8699421296296296)</f>
        <v>0.8699421296</v>
      </c>
      <c r="K482" s="16"/>
      <c r="L482" s="8"/>
      <c r="M482" s="69"/>
      <c r="N482" s="69">
        <f>IFERROR(__xludf.DUMMYFUNCTION("""COMPUTED_VALUE"""),1.0)</f>
        <v>1</v>
      </c>
      <c r="O482" s="69" t="str">
        <f t="shared" si="3"/>
        <v/>
      </c>
      <c r="P482" s="471">
        <f>IFERROR(__xludf.DUMMYFUNCTION("""COMPUTED_VALUE"""),0.0)</f>
        <v>0</v>
      </c>
      <c r="Q482" s="274" t="str">
        <f>VLOOKUP($B482,'Run Reconcile'!B$2:O2488,14,FALSE)</f>
        <v/>
      </c>
      <c r="R482" s="472" t="str">
        <f t="array" ref="R482">IF($Q482, INDEX('Run Reconcile'!A$2:A2488,MATCH(B482,'Run Reconcile'!B$2:B2488,0),1),IFERROR(0/0,""))</f>
        <v/>
      </c>
      <c r="S482" s="473" t="str">
        <f t="shared" si="694"/>
        <v/>
      </c>
      <c r="T482" s="473" t="b">
        <f t="shared" si="698"/>
        <v>1</v>
      </c>
      <c r="U482" s="275" t="str">
        <f t="array" ref="U482">IF(ISBLANK($R482), INDEX('Run Reconcile'!A$2:A2488, MATCH($B482, 'Run Reconcile'!B$2:B2488, 0)+Z482, 1), IFERROR(0/0,""))
</f>
        <v>RUN-FLMP_2022-01-17_RFR-063</v>
      </c>
      <c r="V482" s="474" t="str">
        <f t="shared" si="5"/>
        <v>RUN-FLMP_2022-01-17_RFR-063</v>
      </c>
      <c r="X482" s="8" t="s">
        <v>1405</v>
      </c>
      <c r="Y482" s="89">
        <f t="shared" si="791"/>
        <v>1</v>
      </c>
      <c r="Z482" s="60">
        <f t="shared" si="7"/>
        <v>1</v>
      </c>
      <c r="AA482" s="60" t="str">
        <f t="shared" si="8"/>
        <v/>
      </c>
      <c r="AB482" s="60">
        <f t="shared" si="9"/>
        <v>1</v>
      </c>
      <c r="AC482" s="30" t="str">
        <f t="shared" ref="AC482:AD482" si="836">IF(_xlfn.ISFORMULA(S482),IFERROR(0/0,""),TRUE)</f>
        <v/>
      </c>
      <c r="AD482" s="30" t="str">
        <f t="shared" si="836"/>
        <v/>
      </c>
      <c r="AE482" s="475" t="str">
        <f>IFERROR(__xludf.DUMMYFUNCTION("""COMPUTED_VALUE"""),"CRLN")</f>
        <v>CRLN</v>
      </c>
      <c r="AF482" s="476"/>
      <c r="AG482" s="474" t="s">
        <v>162</v>
      </c>
      <c r="AH482" s="138" t="str">
        <f t="shared" si="11"/>
        <v/>
      </c>
    </row>
    <row r="483">
      <c r="A483" s="498" t="str">
        <f>IFERROR(__xludf.DUMMYFUNCTION("""COMPUTED_VALUE"""),"MA115")</f>
        <v>MA115</v>
      </c>
      <c r="B483" s="499">
        <f>IFERROR(__xludf.DUMMYFUNCTION("""COMPUTED_VALUE"""),44578.0)</f>
        <v>44578</v>
      </c>
      <c r="C483" s="500">
        <f>IFERROR(__xludf.DUMMYFUNCTION("""COMPUTED_VALUE"""),0.4935648148148148)</f>
        <v>0.4935648148</v>
      </c>
      <c r="D483" s="498" t="str">
        <f>IFERROR(__xludf.DUMMYFUNCTION("""COMPUTED_VALUE"""),"SpFLMP255929")</f>
        <v>SpFLMP255929</v>
      </c>
      <c r="E483" s="498"/>
      <c r="F483" s="498"/>
      <c r="G483" s="498" t="str">
        <f>IFERROR(__xludf.DUMMYFUNCTION("""COMPUTED_VALUE"""),"Negative")</f>
        <v>Negative</v>
      </c>
      <c r="H483" s="501" t="str">
        <f>IFERROR(__xludf.DUMMYFUNCTION("""COMPUTED_VALUE"""),"Negative")</f>
        <v>Negative</v>
      </c>
      <c r="I483" s="499">
        <f>IFERROR(__xludf.DUMMYFUNCTION("""COMPUTED_VALUE"""),44578.0)</f>
        <v>44578</v>
      </c>
      <c r="J483" s="502">
        <f>IFERROR(__xludf.DUMMYFUNCTION("""COMPUTED_VALUE"""),0.5997222222222223)</f>
        <v>0.5997222222</v>
      </c>
      <c r="K483" s="522"/>
      <c r="L483" s="523"/>
      <c r="M483" s="524"/>
      <c r="N483" s="524">
        <f>IFERROR(__xludf.DUMMYFUNCTION("""COMPUTED_VALUE"""),1.0)</f>
        <v>1</v>
      </c>
      <c r="O483" s="524" t="str">
        <f t="shared" si="3"/>
        <v/>
      </c>
      <c r="P483" s="471">
        <f>IFERROR(__xludf.DUMMYFUNCTION("""COMPUTED_VALUE"""),0.0)</f>
        <v>0</v>
      </c>
      <c r="Q483" s="525" t="str">
        <f>VLOOKUP($B483,'Run Reconcile'!B$2:O2488,14,FALSE)</f>
        <v/>
      </c>
      <c r="R483" s="526" t="str">
        <f t="array" ref="R483">IF($Q483, INDEX('Run Reconcile'!A$2:A2488,MATCH(B483,'Run Reconcile'!B$2:B2488,0),1),IFERROR(0/0,""))</f>
        <v/>
      </c>
      <c r="S483" s="503" t="str">
        <f t="shared" si="694"/>
        <v/>
      </c>
      <c r="T483" s="503" t="str">
        <f t="shared" si="698"/>
        <v/>
      </c>
      <c r="U483" s="527" t="str">
        <f t="array" ref="U483">IF(ISBLANK($R483), INDEX('Run Reconcile'!A$2:A2488, MATCH($B483, 'Run Reconcile'!B$2:B2488, 0)+Z483, 1), IFERROR(0/0,""))
</f>
        <v>RUN-FLMP_2022-01-17_RFR-061</v>
      </c>
      <c r="V483" s="528" t="str">
        <f t="shared" si="5"/>
        <v>RUN-FLMP_2022-01-17_RFR-061</v>
      </c>
      <c r="Y483" s="89" t="str">
        <f t="shared" si="791"/>
        <v/>
      </c>
      <c r="Z483" s="60" t="str">
        <f t="shared" si="7"/>
        <v/>
      </c>
      <c r="AA483" s="60" t="str">
        <f t="shared" si="8"/>
        <v/>
      </c>
      <c r="AB483" s="60" t="str">
        <f t="shared" si="9"/>
        <v/>
      </c>
      <c r="AC483" s="30" t="str">
        <f t="shared" ref="AC483:AD483" si="837">IF(_xlfn.ISFORMULA(S483),IFERROR(0/0,""),TRUE)</f>
        <v/>
      </c>
      <c r="AD483" s="30" t="str">
        <f t="shared" si="837"/>
        <v/>
      </c>
      <c r="AE483" s="475" t="str">
        <f>IFERROR(__xludf.DUMMYFUNCTION("""COMPUTED_VALUE"""),"FLSP")</f>
        <v>FLSP</v>
      </c>
      <c r="AF483" s="476"/>
      <c r="AG483" s="528" t="s">
        <v>161</v>
      </c>
      <c r="AH483" s="138" t="str">
        <f t="shared" si="11"/>
        <v/>
      </c>
    </row>
    <row r="484">
      <c r="A484" s="498" t="str">
        <f>IFERROR(__xludf.DUMMYFUNCTION("""COMPUTED_VALUE"""),"MA43")</f>
        <v>MA43</v>
      </c>
      <c r="B484" s="499">
        <f>IFERROR(__xludf.DUMMYFUNCTION("""COMPUTED_VALUE"""),44578.0)</f>
        <v>44578</v>
      </c>
      <c r="C484" s="500">
        <f>IFERROR(__xludf.DUMMYFUNCTION("""COMPUTED_VALUE"""),0.4938425925925926)</f>
        <v>0.4938425926</v>
      </c>
      <c r="D484" s="498" t="str">
        <f>IFERROR(__xludf.DUMMYFUNCTION("""COMPUTED_VALUE"""),"SpFLMP255929")</f>
        <v>SpFLMP255929</v>
      </c>
      <c r="E484" s="498"/>
      <c r="F484" s="498"/>
      <c r="G484" s="498" t="str">
        <f>IFERROR(__xludf.DUMMYFUNCTION("""COMPUTED_VALUE"""),"Negative")</f>
        <v>Negative</v>
      </c>
      <c r="H484" s="501" t="str">
        <f>IFERROR(__xludf.DUMMYFUNCTION("""COMPUTED_VALUE"""),"Negative")</f>
        <v>Negative</v>
      </c>
      <c r="I484" s="499">
        <f>IFERROR(__xludf.DUMMYFUNCTION("""COMPUTED_VALUE"""),44578.0)</f>
        <v>44578</v>
      </c>
      <c r="J484" s="502">
        <f>IFERROR(__xludf.DUMMYFUNCTION("""COMPUTED_VALUE"""),0.5997222222222223)</f>
        <v>0.5997222222</v>
      </c>
      <c r="K484" s="522"/>
      <c r="L484" s="523"/>
      <c r="M484" s="524"/>
      <c r="N484" s="524">
        <f>IFERROR(__xludf.DUMMYFUNCTION("""COMPUTED_VALUE"""),1.0)</f>
        <v>1</v>
      </c>
      <c r="O484" s="524" t="str">
        <f t="shared" si="3"/>
        <v/>
      </c>
      <c r="P484" s="471">
        <f>IFERROR(__xludf.DUMMYFUNCTION("""COMPUTED_VALUE"""),0.0)</f>
        <v>0</v>
      </c>
      <c r="Q484" s="525" t="str">
        <f>VLOOKUP($B484,'Run Reconcile'!B$2:O2488,14,FALSE)</f>
        <v/>
      </c>
      <c r="R484" s="526" t="str">
        <f t="array" ref="R484">IF($Q484, INDEX('Run Reconcile'!A$2:A2488,MATCH(B484,'Run Reconcile'!B$2:B2488,0),1),IFERROR(0/0,""))</f>
        <v/>
      </c>
      <c r="S484" s="503" t="str">
        <f t="shared" si="694"/>
        <v/>
      </c>
      <c r="T484" s="503" t="str">
        <f t="shared" si="698"/>
        <v/>
      </c>
      <c r="U484" s="527" t="str">
        <f t="array" ref="U484">IF(ISBLANK($R484), INDEX('Run Reconcile'!A$2:A2488, MATCH($B484, 'Run Reconcile'!B$2:B2488, 0)+Z484, 1), IFERROR(0/0,""))
</f>
        <v>RUN-FLMP_2022-01-17_RFR-061</v>
      </c>
      <c r="V484" s="528" t="str">
        <f t="shared" si="5"/>
        <v>RUN-FLMP_2022-01-17_RFR-061</v>
      </c>
      <c r="Y484" s="89" t="str">
        <f t="shared" si="791"/>
        <v/>
      </c>
      <c r="Z484" s="60" t="str">
        <f t="shared" si="7"/>
        <v/>
      </c>
      <c r="AA484" s="60" t="str">
        <f t="shared" si="8"/>
        <v/>
      </c>
      <c r="AB484" s="60" t="str">
        <f t="shared" si="9"/>
        <v/>
      </c>
      <c r="AC484" s="30" t="str">
        <f t="shared" ref="AC484:AD484" si="838">IF(_xlfn.ISFORMULA(S484),IFERROR(0/0,""),TRUE)</f>
        <v/>
      </c>
      <c r="AD484" s="30" t="str">
        <f t="shared" si="838"/>
        <v/>
      </c>
      <c r="AE484" s="475" t="str">
        <f>IFERROR(__xludf.DUMMYFUNCTION("""COMPUTED_VALUE"""),"FLSP")</f>
        <v>FLSP</v>
      </c>
      <c r="AF484" s="476"/>
      <c r="AG484" s="528" t="s">
        <v>161</v>
      </c>
      <c r="AH484" s="138" t="str">
        <f t="shared" si="11"/>
        <v/>
      </c>
    </row>
    <row r="485">
      <c r="A485" s="498" t="str">
        <f>IFERROR(__xludf.DUMMYFUNCTION("""COMPUTED_VALUE"""),"MA32")</f>
        <v>MA32</v>
      </c>
      <c r="B485" s="499">
        <f>IFERROR(__xludf.DUMMYFUNCTION("""COMPUTED_VALUE"""),44578.0)</f>
        <v>44578</v>
      </c>
      <c r="C485" s="500">
        <f>IFERROR(__xludf.DUMMYFUNCTION("""COMPUTED_VALUE"""),0.4942361111111111)</f>
        <v>0.4942361111</v>
      </c>
      <c r="D485" s="498" t="str">
        <f>IFERROR(__xludf.DUMMYFUNCTION("""COMPUTED_VALUE"""),"SpFLMP255929")</f>
        <v>SpFLMP255929</v>
      </c>
      <c r="E485" s="498"/>
      <c r="F485" s="498"/>
      <c r="G485" s="498" t="str">
        <f>IFERROR(__xludf.DUMMYFUNCTION("""COMPUTED_VALUE"""),"Negative")</f>
        <v>Negative</v>
      </c>
      <c r="H485" s="501" t="str">
        <f>IFERROR(__xludf.DUMMYFUNCTION("""COMPUTED_VALUE"""),"Negative")</f>
        <v>Negative</v>
      </c>
      <c r="I485" s="499">
        <f>IFERROR(__xludf.DUMMYFUNCTION("""COMPUTED_VALUE"""),44578.0)</f>
        <v>44578</v>
      </c>
      <c r="J485" s="502">
        <f>IFERROR(__xludf.DUMMYFUNCTION("""COMPUTED_VALUE"""),0.5997222222222223)</f>
        <v>0.5997222222</v>
      </c>
      <c r="K485" s="522"/>
      <c r="L485" s="523"/>
      <c r="M485" s="524"/>
      <c r="N485" s="524">
        <f>IFERROR(__xludf.DUMMYFUNCTION("""COMPUTED_VALUE"""),1.0)</f>
        <v>1</v>
      </c>
      <c r="O485" s="524" t="str">
        <f t="shared" si="3"/>
        <v/>
      </c>
      <c r="P485" s="471">
        <f>IFERROR(__xludf.DUMMYFUNCTION("""COMPUTED_VALUE"""),0.0)</f>
        <v>0</v>
      </c>
      <c r="Q485" s="525" t="str">
        <f>VLOOKUP($B485,'Run Reconcile'!B$2:O2488,14,FALSE)</f>
        <v/>
      </c>
      <c r="R485" s="526" t="str">
        <f t="array" ref="R485">IF($Q485, INDEX('Run Reconcile'!A$2:A2488,MATCH(B485,'Run Reconcile'!B$2:B2488,0),1),IFERROR(0/0,""))</f>
        <v/>
      </c>
      <c r="S485" s="503" t="str">
        <f t="shared" si="694"/>
        <v/>
      </c>
      <c r="T485" s="503" t="str">
        <f t="shared" si="698"/>
        <v/>
      </c>
      <c r="U485" s="527" t="str">
        <f t="array" ref="U485">IF(ISBLANK($R485), INDEX('Run Reconcile'!A$2:A2488, MATCH($B485, 'Run Reconcile'!B$2:B2488, 0)+Z485, 1), IFERROR(0/0,""))
</f>
        <v>RUN-FLMP_2022-01-17_RFR-061</v>
      </c>
      <c r="V485" s="528" t="str">
        <f t="shared" si="5"/>
        <v>RUN-FLMP_2022-01-17_RFR-061</v>
      </c>
      <c r="Y485" s="89" t="str">
        <f t="shared" si="791"/>
        <v/>
      </c>
      <c r="Z485" s="60" t="str">
        <f t="shared" si="7"/>
        <v/>
      </c>
      <c r="AA485" s="60" t="str">
        <f t="shared" si="8"/>
        <v/>
      </c>
      <c r="AB485" s="60" t="str">
        <f t="shared" si="9"/>
        <v/>
      </c>
      <c r="AC485" s="30" t="str">
        <f t="shared" ref="AC485:AD485" si="839">IF(_xlfn.ISFORMULA(S485),IFERROR(0/0,""),TRUE)</f>
        <v/>
      </c>
      <c r="AD485" s="30" t="str">
        <f t="shared" si="839"/>
        <v/>
      </c>
      <c r="AE485" s="475" t="str">
        <f>IFERROR(__xludf.DUMMYFUNCTION("""COMPUTED_VALUE"""),"FLSP")</f>
        <v>FLSP</v>
      </c>
      <c r="AF485" s="476"/>
      <c r="AG485" s="528" t="s">
        <v>161</v>
      </c>
      <c r="AH485" s="138" t="str">
        <f t="shared" si="11"/>
        <v/>
      </c>
    </row>
    <row r="486">
      <c r="A486" s="498" t="str">
        <f>IFERROR(__xludf.DUMMYFUNCTION("""COMPUTED_VALUE"""),"MA23")</f>
        <v>MA23</v>
      </c>
      <c r="B486" s="499">
        <f>IFERROR(__xludf.DUMMYFUNCTION("""COMPUTED_VALUE"""),44578.0)</f>
        <v>44578</v>
      </c>
      <c r="C486" s="500">
        <f>IFERROR(__xludf.DUMMYFUNCTION("""COMPUTED_VALUE"""),0.4948611111111111)</f>
        <v>0.4948611111</v>
      </c>
      <c r="D486" s="498" t="str">
        <f>IFERROR(__xludf.DUMMYFUNCTION("""COMPUTED_VALUE"""),"SpFLMP255929")</f>
        <v>SpFLMP255929</v>
      </c>
      <c r="E486" s="498"/>
      <c r="F486" s="498"/>
      <c r="G486" s="498" t="str">
        <f>IFERROR(__xludf.DUMMYFUNCTION("""COMPUTED_VALUE"""),"Negative")</f>
        <v>Negative</v>
      </c>
      <c r="H486" s="501" t="str">
        <f>IFERROR(__xludf.DUMMYFUNCTION("""COMPUTED_VALUE"""),"Negative")</f>
        <v>Negative</v>
      </c>
      <c r="I486" s="499">
        <f>IFERROR(__xludf.DUMMYFUNCTION("""COMPUTED_VALUE"""),44578.0)</f>
        <v>44578</v>
      </c>
      <c r="J486" s="502">
        <f>IFERROR(__xludf.DUMMYFUNCTION("""COMPUTED_VALUE"""),0.5997222222222223)</f>
        <v>0.5997222222</v>
      </c>
      <c r="K486" s="522"/>
      <c r="L486" s="523"/>
      <c r="M486" s="524"/>
      <c r="N486" s="524">
        <f>IFERROR(__xludf.DUMMYFUNCTION("""COMPUTED_VALUE"""),1.0)</f>
        <v>1</v>
      </c>
      <c r="O486" s="524" t="str">
        <f t="shared" si="3"/>
        <v/>
      </c>
      <c r="P486" s="471">
        <f>IFERROR(__xludf.DUMMYFUNCTION("""COMPUTED_VALUE"""),0.0)</f>
        <v>0</v>
      </c>
      <c r="Q486" s="525" t="str">
        <f>VLOOKUP($B486,'Run Reconcile'!B$2:O2488,14,FALSE)</f>
        <v/>
      </c>
      <c r="R486" s="526" t="str">
        <f t="array" ref="R486">IF($Q486, INDEX('Run Reconcile'!A$2:A2488,MATCH(B486,'Run Reconcile'!B$2:B2488,0),1),IFERROR(0/0,""))</f>
        <v/>
      </c>
      <c r="S486" s="503" t="str">
        <f t="shared" si="694"/>
        <v/>
      </c>
      <c r="T486" s="503" t="str">
        <f t="shared" si="698"/>
        <v/>
      </c>
      <c r="U486" s="527" t="str">
        <f t="array" ref="U486">IF(ISBLANK($R486), INDEX('Run Reconcile'!A$2:A2488, MATCH($B486, 'Run Reconcile'!B$2:B2488, 0)+Z486, 1), IFERROR(0/0,""))
</f>
        <v>RUN-FLMP_2022-01-17_RFR-061</v>
      </c>
      <c r="V486" s="528" t="str">
        <f t="shared" si="5"/>
        <v>RUN-FLMP_2022-01-17_RFR-061</v>
      </c>
      <c r="Y486" s="89" t="str">
        <f t="shared" si="791"/>
        <v/>
      </c>
      <c r="Z486" s="60" t="str">
        <f t="shared" si="7"/>
        <v/>
      </c>
      <c r="AA486" s="60" t="str">
        <f t="shared" si="8"/>
        <v/>
      </c>
      <c r="AB486" s="60" t="str">
        <f t="shared" si="9"/>
        <v/>
      </c>
      <c r="AC486" s="30" t="str">
        <f t="shared" ref="AC486:AD486" si="840">IF(_xlfn.ISFORMULA(S486),IFERROR(0/0,""),TRUE)</f>
        <v/>
      </c>
      <c r="AD486" s="30" t="str">
        <f t="shared" si="840"/>
        <v/>
      </c>
      <c r="AE486" s="475" t="str">
        <f>IFERROR(__xludf.DUMMYFUNCTION("""COMPUTED_VALUE"""),"FLSP")</f>
        <v>FLSP</v>
      </c>
      <c r="AF486" s="476"/>
      <c r="AG486" s="528" t="s">
        <v>161</v>
      </c>
      <c r="AH486" s="138" t="str">
        <f t="shared" si="11"/>
        <v/>
      </c>
    </row>
    <row r="487">
      <c r="A487" s="103" t="str">
        <f>IFERROR(__xludf.DUMMYFUNCTION("""COMPUTED_VALUE"""),"FLT1174")</f>
        <v>FLT1174</v>
      </c>
      <c r="B487" s="468">
        <f>IFERROR(__xludf.DUMMYFUNCTION("""COMPUTED_VALUE"""),44578.0)</f>
        <v>44578</v>
      </c>
      <c r="C487" s="469">
        <f>IFERROR(__xludf.DUMMYFUNCTION("""COMPUTED_VALUE"""),0.5012615740740741)</f>
        <v>0.5012615741</v>
      </c>
      <c r="D487" s="103" t="str">
        <f>IFERROR(__xludf.DUMMYFUNCTION("""COMPUTED_VALUE"""),"SpFLMP939619")</f>
        <v>SpFLMP939619</v>
      </c>
      <c r="E487" s="103"/>
      <c r="F487" s="103"/>
      <c r="G487" s="103" t="str">
        <f>IFERROR(__xludf.DUMMYFUNCTION("""COMPUTED_VALUE"""),"Negative")</f>
        <v>Negative</v>
      </c>
      <c r="H487" s="131" t="str">
        <f>IFERROR(__xludf.DUMMYFUNCTION("""COMPUTED_VALUE"""),"Negative")</f>
        <v>Negative</v>
      </c>
      <c r="I487" s="468">
        <f>IFERROR(__xludf.DUMMYFUNCTION("""COMPUTED_VALUE"""),44578.0)</f>
        <v>44578</v>
      </c>
      <c r="J487" s="470">
        <f>IFERROR(__xludf.DUMMYFUNCTION("""COMPUTED_VALUE"""),0.8699421296296296)</f>
        <v>0.8699421296</v>
      </c>
      <c r="K487" s="16"/>
      <c r="L487" s="8"/>
      <c r="M487" s="69"/>
      <c r="N487" s="69">
        <f>IFERROR(__xludf.DUMMYFUNCTION("""COMPUTED_VALUE"""),1.0)</f>
        <v>1</v>
      </c>
      <c r="O487" s="69" t="str">
        <f t="shared" si="3"/>
        <v/>
      </c>
      <c r="P487" s="471">
        <f>IFERROR(__xludf.DUMMYFUNCTION("""COMPUTED_VALUE"""),0.0)</f>
        <v>0</v>
      </c>
      <c r="Q487" s="274" t="str">
        <f>VLOOKUP($B487,'Run Reconcile'!B$2:O2488,14,FALSE)</f>
        <v/>
      </c>
      <c r="R487" s="472" t="str">
        <f t="array" ref="R487">IF($Q487, INDEX('Run Reconcile'!A$2:A2488,MATCH(B487,'Run Reconcile'!B$2:B2488,0),1),IFERROR(0/0,""))</f>
        <v/>
      </c>
      <c r="S487" s="473" t="str">
        <f t="shared" si="694"/>
        <v/>
      </c>
      <c r="T487" s="473" t="b">
        <f t="shared" si="698"/>
        <v>1</v>
      </c>
      <c r="U487" s="275" t="str">
        <f t="array" ref="U487">IF(ISBLANK($R487), INDEX('Run Reconcile'!A$2:A2488, MATCH($B487, 'Run Reconcile'!B$2:B2488, 0)+Z487, 1), IFERROR(0/0,""))
</f>
        <v>RUN-FLMP_2022-01-17_RFR-063</v>
      </c>
      <c r="V487" s="474" t="str">
        <f t="shared" si="5"/>
        <v>RUN-FLMP_2022-01-17_RFR-063</v>
      </c>
      <c r="X487" s="8" t="s">
        <v>1406</v>
      </c>
      <c r="Y487" s="89">
        <f t="shared" si="791"/>
        <v>1</v>
      </c>
      <c r="Z487" s="60">
        <f t="shared" si="7"/>
        <v>1</v>
      </c>
      <c r="AA487" s="60" t="str">
        <f t="shared" si="8"/>
        <v/>
      </c>
      <c r="AB487" s="60">
        <f t="shared" si="9"/>
        <v>1</v>
      </c>
      <c r="AC487" s="30" t="str">
        <f t="shared" ref="AC487:AD487" si="841">IF(_xlfn.ISFORMULA(S487),IFERROR(0/0,""),TRUE)</f>
        <v/>
      </c>
      <c r="AD487" s="30" t="str">
        <f t="shared" si="841"/>
        <v/>
      </c>
      <c r="AE487" s="475" t="str">
        <f>IFERROR(__xludf.DUMMYFUNCTION("""COMPUTED_VALUE"""),"CRLN")</f>
        <v>CRLN</v>
      </c>
      <c r="AF487" s="476"/>
      <c r="AG487" s="474" t="s">
        <v>162</v>
      </c>
      <c r="AH487" s="138" t="str">
        <f t="shared" si="11"/>
        <v/>
      </c>
    </row>
    <row r="488">
      <c r="A488" s="103" t="str">
        <f>IFERROR(__xludf.DUMMYFUNCTION("""COMPUTED_VALUE"""),"FL11020")</f>
        <v>FL11020</v>
      </c>
      <c r="B488" s="468">
        <f>IFERROR(__xludf.DUMMYFUNCTION("""COMPUTED_VALUE"""),44578.0)</f>
        <v>44578</v>
      </c>
      <c r="C488" s="469">
        <f>IFERROR(__xludf.DUMMYFUNCTION("""COMPUTED_VALUE"""),0.5260185185185186)</f>
        <v>0.5260185185</v>
      </c>
      <c r="D488" s="103" t="str">
        <f>IFERROR(__xludf.DUMMYFUNCTION("""COMPUTED_VALUE"""),"SpFLMP690282")</f>
        <v>SpFLMP690282</v>
      </c>
      <c r="E488" s="103"/>
      <c r="F488" s="103"/>
      <c r="G488" s="103" t="str">
        <f>IFERROR(__xludf.DUMMYFUNCTION("""COMPUTED_VALUE"""),"Negative")</f>
        <v>Negative</v>
      </c>
      <c r="H488" s="131" t="str">
        <f>IFERROR(__xludf.DUMMYFUNCTION("""COMPUTED_VALUE"""),"Negative")</f>
        <v>Negative</v>
      </c>
      <c r="I488" s="468">
        <f>IFERROR(__xludf.DUMMYFUNCTION("""COMPUTED_VALUE"""),44578.0)</f>
        <v>44578</v>
      </c>
      <c r="J488" s="470">
        <f>IFERROR(__xludf.DUMMYFUNCTION("""COMPUTED_VALUE"""),0.8699421296296296)</f>
        <v>0.8699421296</v>
      </c>
      <c r="K488" s="16"/>
      <c r="L488" s="8"/>
      <c r="M488" s="69"/>
      <c r="N488" s="69">
        <f>IFERROR(__xludf.DUMMYFUNCTION("""COMPUTED_VALUE"""),2.0)</f>
        <v>2</v>
      </c>
      <c r="O488" s="69" t="str">
        <f t="shared" si="3"/>
        <v/>
      </c>
      <c r="P488" s="471">
        <f>IFERROR(__xludf.DUMMYFUNCTION("""COMPUTED_VALUE"""),0.0)</f>
        <v>0</v>
      </c>
      <c r="Q488" s="274" t="str">
        <f>VLOOKUP($B488,'Run Reconcile'!B$2:O2488,14,FALSE)</f>
        <v/>
      </c>
      <c r="R488" s="472" t="str">
        <f t="array" ref="R488">IF($Q488, INDEX('Run Reconcile'!A$2:A2488,MATCH(B488,'Run Reconcile'!B$2:B2488,0),1),IFERROR(0/0,""))</f>
        <v/>
      </c>
      <c r="S488" s="473" t="str">
        <f t="shared" si="694"/>
        <v/>
      </c>
      <c r="T488" s="473" t="b">
        <f t="shared" si="698"/>
        <v>1</v>
      </c>
      <c r="U488" s="275" t="str">
        <f t="array" ref="U488">IF(ISBLANK($R488), INDEX('Run Reconcile'!A$2:A2488, MATCH($B488, 'Run Reconcile'!B$2:B2488, 0)+Z488, 1), IFERROR(0/0,""))
</f>
        <v>RUN-FLMP_2022-01-17_RFR-063</v>
      </c>
      <c r="V488" s="474" t="str">
        <f t="shared" si="5"/>
        <v>RUN-FLMP_2022-01-17_RFR-063</v>
      </c>
      <c r="X488" s="8" t="s">
        <v>1407</v>
      </c>
      <c r="Y488" s="89">
        <f t="shared" si="791"/>
        <v>1</v>
      </c>
      <c r="Z488" s="60">
        <f t="shared" si="7"/>
        <v>1</v>
      </c>
      <c r="AA488" s="60" t="str">
        <f t="shared" si="8"/>
        <v/>
      </c>
      <c r="AB488" s="60">
        <f t="shared" si="9"/>
        <v>1</v>
      </c>
      <c r="AC488" s="30" t="str">
        <f t="shared" ref="AC488:AD488" si="842">IF(_xlfn.ISFORMULA(S488),IFERROR(0/0,""),TRUE)</f>
        <v/>
      </c>
      <c r="AD488" s="30" t="str">
        <f t="shared" si="842"/>
        <v/>
      </c>
      <c r="AE488" s="475" t="str">
        <f>IFERROR(__xludf.DUMMYFUNCTION("""COMPUTED_VALUE"""),"CRLN")</f>
        <v>CRLN</v>
      </c>
      <c r="AF488" s="476"/>
      <c r="AG488" s="474" t="s">
        <v>162</v>
      </c>
      <c r="AH488" s="138" t="str">
        <f t="shared" si="11"/>
        <v/>
      </c>
    </row>
    <row r="489">
      <c r="A489" s="103" t="str">
        <f>IFERROR(__xludf.DUMMYFUNCTION("""COMPUTED_VALUE"""),"FLB5401")</f>
        <v>FLB5401</v>
      </c>
      <c r="B489" s="468">
        <f>IFERROR(__xludf.DUMMYFUNCTION("""COMPUTED_VALUE"""),44578.0)</f>
        <v>44578</v>
      </c>
      <c r="C489" s="469">
        <f>IFERROR(__xludf.DUMMYFUNCTION("""COMPUTED_VALUE"""),0.536412037037037)</f>
        <v>0.536412037</v>
      </c>
      <c r="D489" s="103" t="str">
        <f>IFERROR(__xludf.DUMMYFUNCTION("""COMPUTED_VALUE"""),"SpFLMP777132")</f>
        <v>SpFLMP777132</v>
      </c>
      <c r="E489" s="103"/>
      <c r="F489" s="103"/>
      <c r="G489" s="103" t="str">
        <f>IFERROR(__xludf.DUMMYFUNCTION("""COMPUTED_VALUE"""),"Negative")</f>
        <v>Negative</v>
      </c>
      <c r="H489" s="131" t="str">
        <f>IFERROR(__xludf.DUMMYFUNCTION("""COMPUTED_VALUE"""),"Negative")</f>
        <v>Negative</v>
      </c>
      <c r="I489" s="468">
        <f>IFERROR(__xludf.DUMMYFUNCTION("""COMPUTED_VALUE"""),44578.0)</f>
        <v>44578</v>
      </c>
      <c r="J489" s="470">
        <f>IFERROR(__xludf.DUMMYFUNCTION("""COMPUTED_VALUE"""),0.8699421296296296)</f>
        <v>0.8699421296</v>
      </c>
      <c r="K489" s="16"/>
      <c r="L489" s="8"/>
      <c r="M489" s="69"/>
      <c r="N489" s="69">
        <f>IFERROR(__xludf.DUMMYFUNCTION("""COMPUTED_VALUE"""),4.0)</f>
        <v>4</v>
      </c>
      <c r="O489" s="69" t="str">
        <f t="shared" si="3"/>
        <v/>
      </c>
      <c r="P489" s="471">
        <f>IFERROR(__xludf.DUMMYFUNCTION("""COMPUTED_VALUE"""),0.0)</f>
        <v>0</v>
      </c>
      <c r="Q489" s="274" t="str">
        <f>VLOOKUP($B489,'Run Reconcile'!B$2:O2488,14,FALSE)</f>
        <v/>
      </c>
      <c r="R489" s="472" t="str">
        <f t="array" ref="R489">IF($Q489, INDEX('Run Reconcile'!A$2:A2488,MATCH(B489,'Run Reconcile'!B$2:B2488,0),1),IFERROR(0/0,""))</f>
        <v/>
      </c>
      <c r="S489" s="473" t="str">
        <f t="shared" si="694"/>
        <v/>
      </c>
      <c r="T489" s="473" t="b">
        <f t="shared" si="698"/>
        <v>1</v>
      </c>
      <c r="U489" s="275" t="str">
        <f t="array" ref="U489">IF(ISBLANK($R489), INDEX('Run Reconcile'!A$2:A2488, MATCH($B489, 'Run Reconcile'!B$2:B2488, 0)+Z489, 1), IFERROR(0/0,""))
</f>
        <v>RUN-FLMP_2022-01-17_RFR-063</v>
      </c>
      <c r="V489" s="474" t="str">
        <f t="shared" si="5"/>
        <v>RUN-FLMP_2022-01-17_RFR-063</v>
      </c>
      <c r="X489" s="8" t="s">
        <v>1408</v>
      </c>
      <c r="Y489" s="89">
        <f t="shared" si="791"/>
        <v>1</v>
      </c>
      <c r="Z489" s="60">
        <f t="shared" si="7"/>
        <v>1</v>
      </c>
      <c r="AA489" s="60" t="str">
        <f t="shared" si="8"/>
        <v/>
      </c>
      <c r="AB489" s="60">
        <f t="shared" si="9"/>
        <v>1</v>
      </c>
      <c r="AC489" s="30" t="str">
        <f t="shared" ref="AC489:AD489" si="843">IF(_xlfn.ISFORMULA(S489),IFERROR(0/0,""),TRUE)</f>
        <v/>
      </c>
      <c r="AD489" s="30" t="str">
        <f t="shared" si="843"/>
        <v/>
      </c>
      <c r="AE489" s="475" t="str">
        <f>IFERROR(__xludf.DUMMYFUNCTION("""COMPUTED_VALUE"""),"CRLN")</f>
        <v>CRLN</v>
      </c>
      <c r="AF489" s="476"/>
      <c r="AG489" s="474" t="s">
        <v>162</v>
      </c>
      <c r="AH489" s="138" t="str">
        <f t="shared" si="11"/>
        <v/>
      </c>
    </row>
    <row r="490">
      <c r="A490" s="103" t="str">
        <f>IFERROR(__xludf.DUMMYFUNCTION("""COMPUTED_VALUE"""),"FLE851")</f>
        <v>FLE851</v>
      </c>
      <c r="B490" s="468">
        <f>IFERROR(__xludf.DUMMYFUNCTION("""COMPUTED_VALUE"""),44578.0)</f>
        <v>44578</v>
      </c>
      <c r="C490" s="469">
        <f>IFERROR(__xludf.DUMMYFUNCTION("""COMPUTED_VALUE"""),0.5593055555555555)</f>
        <v>0.5593055556</v>
      </c>
      <c r="D490" s="103" t="str">
        <f>IFERROR(__xludf.DUMMYFUNCTION("""COMPUTED_VALUE"""),"SpFLMP946259")</f>
        <v>SpFLMP946259</v>
      </c>
      <c r="E490" s="103"/>
      <c r="F490" s="103"/>
      <c r="G490" s="103" t="str">
        <f>IFERROR(__xludf.DUMMYFUNCTION("""COMPUTED_VALUE"""),"Negative")</f>
        <v>Negative</v>
      </c>
      <c r="H490" s="131" t="str">
        <f>IFERROR(__xludf.DUMMYFUNCTION("""COMPUTED_VALUE"""),"Negative")</f>
        <v>Negative</v>
      </c>
      <c r="I490" s="468">
        <f>IFERROR(__xludf.DUMMYFUNCTION("""COMPUTED_VALUE"""),44578.0)</f>
        <v>44578</v>
      </c>
      <c r="J490" s="470">
        <f>IFERROR(__xludf.DUMMYFUNCTION("""COMPUTED_VALUE"""),0.8942824074074074)</f>
        <v>0.8942824074</v>
      </c>
      <c r="K490" s="16"/>
      <c r="L490" s="8"/>
      <c r="M490" s="69"/>
      <c r="N490" s="69">
        <f>IFERROR(__xludf.DUMMYFUNCTION("""COMPUTED_VALUE"""),2.0)</f>
        <v>2</v>
      </c>
      <c r="O490" s="69" t="str">
        <f t="shared" si="3"/>
        <v/>
      </c>
      <c r="P490" s="471">
        <f>IFERROR(__xludf.DUMMYFUNCTION("""COMPUTED_VALUE"""),0.0)</f>
        <v>0</v>
      </c>
      <c r="Q490" s="274" t="str">
        <f>VLOOKUP($B490,'Run Reconcile'!B$2:O2488,14,FALSE)</f>
        <v/>
      </c>
      <c r="R490" s="472" t="str">
        <f t="array" ref="R490">IF($Q490, INDEX('Run Reconcile'!A$2:A2488,MATCH(B490,'Run Reconcile'!B$2:B2488,0),1),IFERROR(0/0,""))</f>
        <v/>
      </c>
      <c r="S490" s="473" t="str">
        <f t="shared" si="694"/>
        <v/>
      </c>
      <c r="T490" s="473" t="b">
        <f t="shared" si="698"/>
        <v>1</v>
      </c>
      <c r="U490" s="275" t="str">
        <f t="array" ref="U490">IF(ISBLANK($R490), INDEX('Run Reconcile'!A$2:A2488, MATCH($B490, 'Run Reconcile'!B$2:B2488, 0)+Z490, 1), IFERROR(0/0,""))
</f>
        <v>RUN-FLMP_2022-01-17_RFR-063</v>
      </c>
      <c r="V490" s="474" t="str">
        <f t="shared" si="5"/>
        <v>RUN-FLMP_2022-01-17_RFR-063</v>
      </c>
      <c r="X490" s="8" t="s">
        <v>1409</v>
      </c>
      <c r="Y490" s="89">
        <f t="shared" si="791"/>
        <v>1</v>
      </c>
      <c r="Z490" s="60">
        <f t="shared" si="7"/>
        <v>1</v>
      </c>
      <c r="AA490" s="60" t="str">
        <f t="shared" si="8"/>
        <v/>
      </c>
      <c r="AB490" s="60">
        <f t="shared" si="9"/>
        <v>1</v>
      </c>
      <c r="AC490" s="30" t="str">
        <f t="shared" ref="AC490:AD490" si="844">IF(_xlfn.ISFORMULA(S490),IFERROR(0/0,""),TRUE)</f>
        <v/>
      </c>
      <c r="AD490" s="30" t="str">
        <f t="shared" si="844"/>
        <v/>
      </c>
      <c r="AE490" s="475" t="str">
        <f>IFERROR(__xludf.DUMMYFUNCTION("""COMPUTED_VALUE"""),"CRLN")</f>
        <v>CRLN</v>
      </c>
      <c r="AF490" s="476"/>
      <c r="AG490" s="474" t="s">
        <v>162</v>
      </c>
      <c r="AH490" s="138" t="str">
        <f t="shared" si="11"/>
        <v/>
      </c>
    </row>
    <row r="491">
      <c r="A491" s="103" t="str">
        <f>IFERROR(__xludf.DUMMYFUNCTION("""COMPUTED_VALUE"""),"FLB7156")</f>
        <v>FLB7156</v>
      </c>
      <c r="B491" s="468">
        <f>IFERROR(__xludf.DUMMYFUNCTION("""COMPUTED_VALUE"""),44578.0)</f>
        <v>44578</v>
      </c>
      <c r="C491" s="469">
        <f>IFERROR(__xludf.DUMMYFUNCTION("""COMPUTED_VALUE"""),0.5683680555555556)</f>
        <v>0.5683680556</v>
      </c>
      <c r="D491" s="103" t="str">
        <f>IFERROR(__xludf.DUMMYFUNCTION("""COMPUTED_VALUE"""),"SpFLMP125859")</f>
        <v>SpFLMP125859</v>
      </c>
      <c r="E491" s="103"/>
      <c r="F491" s="103"/>
      <c r="G491" s="103" t="str">
        <f>IFERROR(__xludf.DUMMYFUNCTION("""COMPUTED_VALUE"""),"Positive")</f>
        <v>Positive</v>
      </c>
      <c r="H491" s="505" t="str">
        <f>IFERROR(__xludf.DUMMYFUNCTION("""COMPUTED_VALUE"""),"Positive")</f>
        <v>Positive</v>
      </c>
      <c r="I491" s="468">
        <f>IFERROR(__xludf.DUMMYFUNCTION("""COMPUTED_VALUE"""),44578.0)</f>
        <v>44578</v>
      </c>
      <c r="J491" s="470">
        <f>IFERROR(__xludf.DUMMYFUNCTION("""COMPUTED_VALUE"""),0.8699305555555555)</f>
        <v>0.8699305556</v>
      </c>
      <c r="K491" s="16"/>
      <c r="L491" s="8"/>
      <c r="M491" s="69"/>
      <c r="N491" s="69">
        <f>IFERROR(__xludf.DUMMYFUNCTION("""COMPUTED_VALUE"""),4.0)</f>
        <v>4</v>
      </c>
      <c r="O491" s="69" t="str">
        <f t="shared" si="3"/>
        <v/>
      </c>
      <c r="P491" s="471">
        <f>IFERROR(__xludf.DUMMYFUNCTION("""COMPUTED_VALUE"""),0.0)</f>
        <v>0</v>
      </c>
      <c r="Q491" s="274" t="str">
        <f>VLOOKUP($B491,'Run Reconcile'!B$2:O2488,14,FALSE)</f>
        <v/>
      </c>
      <c r="R491" s="472" t="str">
        <f t="array" ref="R491">IF($Q491, INDEX('Run Reconcile'!A$2:A2488,MATCH(B491,'Run Reconcile'!B$2:B2488,0),1),IFERROR(0/0,""))</f>
        <v/>
      </c>
      <c r="S491" s="473" t="str">
        <f t="shared" si="694"/>
        <v/>
      </c>
      <c r="T491" s="473" t="b">
        <f t="shared" si="698"/>
        <v>1</v>
      </c>
      <c r="U491" s="275" t="str">
        <f t="array" ref="U491">IF(ISBLANK($R491), INDEX('Run Reconcile'!A$2:A2488, MATCH($B491, 'Run Reconcile'!B$2:B2488, 0)+Z491, 1), IFERROR(0/0,""))
</f>
        <v>RUN-FLMP_2022-01-17_RFR-063</v>
      </c>
      <c r="V491" s="474" t="str">
        <f t="shared" si="5"/>
        <v>RUN-FLMP_2022-01-17_RFR-063</v>
      </c>
      <c r="X491" s="8" t="s">
        <v>1180</v>
      </c>
      <c r="Y491" s="89">
        <f t="shared" si="791"/>
        <v>1</v>
      </c>
      <c r="Z491" s="60">
        <f t="shared" si="7"/>
        <v>1</v>
      </c>
      <c r="AA491" s="60" t="str">
        <f t="shared" si="8"/>
        <v/>
      </c>
      <c r="AB491" s="60">
        <f t="shared" si="9"/>
        <v>1</v>
      </c>
      <c r="AC491" s="30" t="str">
        <f t="shared" ref="AC491:AD491" si="845">IF(_xlfn.ISFORMULA(S491),IFERROR(0/0,""),TRUE)</f>
        <v/>
      </c>
      <c r="AD491" s="30" t="str">
        <f t="shared" si="845"/>
        <v/>
      </c>
      <c r="AE491" s="475" t="str">
        <f>IFERROR(__xludf.DUMMYFUNCTION("""COMPUTED_VALUE"""),"CRLN")</f>
        <v>CRLN</v>
      </c>
      <c r="AF491" s="476"/>
      <c r="AG491" s="474" t="s">
        <v>162</v>
      </c>
      <c r="AH491" s="138" t="str">
        <f t="shared" si="11"/>
        <v/>
      </c>
    </row>
    <row r="492">
      <c r="A492" s="103" t="str">
        <f>IFERROR(__xludf.DUMMYFUNCTION("""COMPUTED_VALUE"""),"FLT1500")</f>
        <v>FLT1500</v>
      </c>
      <c r="B492" s="468">
        <f>IFERROR(__xludf.DUMMYFUNCTION("""COMPUTED_VALUE"""),44578.0)</f>
        <v>44578</v>
      </c>
      <c r="C492" s="469">
        <f>IFERROR(__xludf.DUMMYFUNCTION("""COMPUTED_VALUE"""),0.5789120370370371)</f>
        <v>0.578912037</v>
      </c>
      <c r="D492" s="103" t="str">
        <f>IFERROR(__xludf.DUMMYFUNCTION("""COMPUTED_VALUE"""),"SpFLMP314549")</f>
        <v>SpFLMP314549</v>
      </c>
      <c r="E492" s="103"/>
      <c r="F492" s="103"/>
      <c r="G492" s="103" t="str">
        <f>IFERROR(__xludf.DUMMYFUNCTION("""COMPUTED_VALUE"""),"Negative")</f>
        <v>Negative</v>
      </c>
      <c r="H492" s="131" t="str">
        <f>IFERROR(__xludf.DUMMYFUNCTION("""COMPUTED_VALUE"""),"Negative")</f>
        <v>Negative</v>
      </c>
      <c r="I492" s="468">
        <f>IFERROR(__xludf.DUMMYFUNCTION("""COMPUTED_VALUE"""),44578.0)</f>
        <v>44578</v>
      </c>
      <c r="J492" s="470">
        <f>IFERROR(__xludf.DUMMYFUNCTION("""COMPUTED_VALUE"""),0.8699537037037037)</f>
        <v>0.8699537037</v>
      </c>
      <c r="K492" s="16"/>
      <c r="L492" s="8"/>
      <c r="M492" s="69"/>
      <c r="N492" s="69">
        <f>IFERROR(__xludf.DUMMYFUNCTION("""COMPUTED_VALUE"""),1.0)</f>
        <v>1</v>
      </c>
      <c r="O492" s="69" t="str">
        <f t="shared" si="3"/>
        <v/>
      </c>
      <c r="P492" s="471">
        <f>IFERROR(__xludf.DUMMYFUNCTION("""COMPUTED_VALUE"""),0.0)</f>
        <v>0</v>
      </c>
      <c r="Q492" s="274" t="str">
        <f>VLOOKUP($B492,'Run Reconcile'!B$2:O2488,14,FALSE)</f>
        <v/>
      </c>
      <c r="R492" s="472" t="str">
        <f t="array" ref="R492">IF($Q492, INDEX('Run Reconcile'!A$2:A2488,MATCH(B492,'Run Reconcile'!B$2:B2488,0),1),IFERROR(0/0,""))</f>
        <v/>
      </c>
      <c r="S492" s="473" t="str">
        <f t="shared" si="694"/>
        <v/>
      </c>
      <c r="T492" s="473" t="b">
        <f t="shared" si="698"/>
        <v>1</v>
      </c>
      <c r="U492" s="275" t="str">
        <f t="array" ref="U492">IF(ISBLANK($R492), INDEX('Run Reconcile'!A$2:A2488, MATCH($B492, 'Run Reconcile'!B$2:B2488, 0)+Z492, 1), IFERROR(0/0,""))
</f>
        <v>RUN-FLMP_2022-01-17_RFR-063</v>
      </c>
      <c r="V492" s="474" t="str">
        <f t="shared" si="5"/>
        <v>RUN-FLMP_2022-01-17_RFR-063</v>
      </c>
      <c r="X492" s="8" t="s">
        <v>1410</v>
      </c>
      <c r="Y492" s="89">
        <f t="shared" si="791"/>
        <v>1</v>
      </c>
      <c r="Z492" s="60">
        <f t="shared" si="7"/>
        <v>1</v>
      </c>
      <c r="AA492" s="60" t="str">
        <f t="shared" si="8"/>
        <v/>
      </c>
      <c r="AB492" s="60">
        <f t="shared" si="9"/>
        <v>1</v>
      </c>
      <c r="AC492" s="30" t="str">
        <f t="shared" ref="AC492:AD492" si="846">IF(_xlfn.ISFORMULA(S492),IFERROR(0/0,""),TRUE)</f>
        <v/>
      </c>
      <c r="AD492" s="30" t="str">
        <f t="shared" si="846"/>
        <v/>
      </c>
      <c r="AE492" s="475" t="str">
        <f>IFERROR(__xludf.DUMMYFUNCTION("""COMPUTED_VALUE"""),"CRLN")</f>
        <v>CRLN</v>
      </c>
      <c r="AF492" s="476"/>
      <c r="AG492" s="474" t="s">
        <v>162</v>
      </c>
      <c r="AH492" s="138" t="str">
        <f t="shared" si="11"/>
        <v/>
      </c>
    </row>
    <row r="493">
      <c r="A493" s="459" t="str">
        <f>IFERROR(__xludf.DUMMYFUNCTION("""COMPUTED_VALUE"""),"FLB7404")</f>
        <v>FLB7404</v>
      </c>
      <c r="B493" s="494">
        <f>IFERROR(__xludf.DUMMYFUNCTION("""COMPUTED_VALUE"""),44578.0)</f>
        <v>44578</v>
      </c>
      <c r="C493" s="495">
        <f>IFERROR(__xludf.DUMMYFUNCTION("""COMPUTED_VALUE"""),0.5889351851851852)</f>
        <v>0.5889351852</v>
      </c>
      <c r="D493" s="459" t="str">
        <f>IFERROR(__xludf.DUMMYFUNCTION("""COMPUTED_VALUE"""),"SpFLMP342787")</f>
        <v>SpFLMP342787</v>
      </c>
      <c r="E493" s="459"/>
      <c r="F493" s="459"/>
      <c r="G493" s="459" t="str">
        <f>IFERROR(__xludf.DUMMYFUNCTION("""COMPUTED_VALUE"""),"Positive")</f>
        <v>Positive</v>
      </c>
      <c r="H493" s="496" t="str">
        <f>IFERROR(__xludf.DUMMYFUNCTION("""COMPUTED_VALUE"""),"Positive")</f>
        <v>Positive</v>
      </c>
      <c r="I493" s="494">
        <f>IFERROR(__xludf.DUMMYFUNCTION("""COMPUTED_VALUE"""),44579.0)</f>
        <v>44579</v>
      </c>
      <c r="J493" s="497">
        <f>IFERROR(__xludf.DUMMYFUNCTION("""COMPUTED_VALUE"""),0.2937037037037037)</f>
        <v>0.2937037037</v>
      </c>
      <c r="K493" s="117"/>
      <c r="L493" s="110"/>
      <c r="M493" s="518"/>
      <c r="N493" s="518">
        <f>IFERROR(__xludf.DUMMYFUNCTION("""COMPUTED_VALUE"""),1.0)</f>
        <v>1</v>
      </c>
      <c r="O493" s="518" t="str">
        <f t="shared" si="3"/>
        <v/>
      </c>
      <c r="P493" s="471">
        <f>IFERROR(__xludf.DUMMYFUNCTION("""COMPUTED_VALUE"""),1.0)</f>
        <v>1</v>
      </c>
      <c r="Q493" s="519" t="str">
        <f>VLOOKUP($B493,'Run Reconcile'!B$2:O2488,14,FALSE)</f>
        <v/>
      </c>
      <c r="R493" s="520" t="str">
        <f t="array" ref="R493">IF($Q493, INDEX('Run Reconcile'!A$2:A2488,MATCH(B493,'Run Reconcile'!B$2:B2488,0),1),IFERROR(0/0,""))</f>
        <v/>
      </c>
      <c r="S493" s="521" t="b">
        <f t="shared" si="694"/>
        <v>1</v>
      </c>
      <c r="T493" s="521" t="str">
        <f t="shared" si="698"/>
        <v/>
      </c>
      <c r="U493" s="491" t="str">
        <f t="array" ref="U493">IF(ISBLANK($R493), INDEX('Run Reconcile'!A$2:A2488, MATCH($B493, 'Run Reconcile'!B$2:B2488, 0)+Z493, 1), IFERROR(0/0,""))
</f>
        <v>RUN-FLMP_2022-01-18_RFR-065</v>
      </c>
      <c r="V493" s="529" t="str">
        <f t="shared" si="5"/>
        <v>RUN-FLMP_2022-01-18_RFR-065</v>
      </c>
      <c r="W493" s="8" t="s">
        <v>1183</v>
      </c>
      <c r="Y493" s="21">
        <v>2.0</v>
      </c>
      <c r="Z493" s="60">
        <f t="shared" si="7"/>
        <v>2</v>
      </c>
      <c r="AA493" s="60">
        <f t="shared" si="8"/>
        <v>2</v>
      </c>
      <c r="AB493" s="60" t="str">
        <f t="shared" si="9"/>
        <v/>
      </c>
      <c r="AC493" s="30" t="str">
        <f t="shared" ref="AC493:AD493" si="847">IF(_xlfn.ISFORMULA(S493),IFERROR(0/0,""),TRUE)</f>
        <v/>
      </c>
      <c r="AD493" s="30" t="str">
        <f t="shared" si="847"/>
        <v/>
      </c>
      <c r="AE493" s="475" t="str">
        <f>IFERROR(__xludf.DUMMYFUNCTION("""COMPUTED_VALUE"""),"FLSP")</f>
        <v>FLSP</v>
      </c>
      <c r="AF493" s="476"/>
      <c r="AG493" s="529" t="s">
        <v>163</v>
      </c>
      <c r="AH493" s="138" t="str">
        <f t="shared" si="11"/>
        <v/>
      </c>
    </row>
    <row r="494">
      <c r="A494" s="459" t="str">
        <f>IFERROR(__xludf.DUMMYFUNCTION("""COMPUTED_VALUE"""),"FLE255")</f>
        <v>FLE255</v>
      </c>
      <c r="B494" s="494">
        <f>IFERROR(__xludf.DUMMYFUNCTION("""COMPUTED_VALUE"""),44578.0)</f>
        <v>44578</v>
      </c>
      <c r="C494" s="495">
        <f>IFERROR(__xludf.DUMMYFUNCTION("""COMPUTED_VALUE"""),0.5896296296296296)</f>
        <v>0.5896296296</v>
      </c>
      <c r="D494" s="459" t="str">
        <f>IFERROR(__xludf.DUMMYFUNCTION("""COMPUTED_VALUE"""),"SpFLMP342787")</f>
        <v>SpFLMP342787</v>
      </c>
      <c r="E494" s="459"/>
      <c r="F494" s="459"/>
      <c r="G494" s="459" t="str">
        <f>IFERROR(__xludf.DUMMYFUNCTION("""COMPUTED_VALUE"""),"Positive")</f>
        <v>Positive</v>
      </c>
      <c r="H494" s="496" t="str">
        <f>IFERROR(__xludf.DUMMYFUNCTION("""COMPUTED_VALUE"""),"Positive")</f>
        <v>Positive</v>
      </c>
      <c r="I494" s="494">
        <f>IFERROR(__xludf.DUMMYFUNCTION("""COMPUTED_VALUE"""),44579.0)</f>
        <v>44579</v>
      </c>
      <c r="J494" s="497">
        <f>IFERROR(__xludf.DUMMYFUNCTION("""COMPUTED_VALUE"""),0.2937152777777778)</f>
        <v>0.2937152778</v>
      </c>
      <c r="K494" s="117"/>
      <c r="L494" s="110"/>
      <c r="M494" s="518"/>
      <c r="N494" s="518">
        <f>IFERROR(__xludf.DUMMYFUNCTION("""COMPUTED_VALUE"""),1.0)</f>
        <v>1</v>
      </c>
      <c r="O494" s="518" t="str">
        <f t="shared" si="3"/>
        <v/>
      </c>
      <c r="P494" s="471">
        <f>IFERROR(__xludf.DUMMYFUNCTION("""COMPUTED_VALUE"""),1.0)</f>
        <v>1</v>
      </c>
      <c r="Q494" s="519" t="str">
        <f>VLOOKUP($B494,'Run Reconcile'!B$2:O2488,14,FALSE)</f>
        <v/>
      </c>
      <c r="R494" s="520" t="str">
        <f t="array" ref="R494">IF($Q494, INDEX('Run Reconcile'!A$2:A2488,MATCH(B494,'Run Reconcile'!B$2:B2488,0),1),IFERROR(0/0,""))</f>
        <v/>
      </c>
      <c r="S494" s="521" t="b">
        <f t="shared" si="694"/>
        <v>1</v>
      </c>
      <c r="T494" s="521" t="str">
        <f t="shared" si="698"/>
        <v/>
      </c>
      <c r="U494" s="491" t="str">
        <f t="array" ref="U494">IF(ISBLANK($R494), INDEX('Run Reconcile'!A$2:A2488, MATCH($B494, 'Run Reconcile'!B$2:B2488, 0)+Z494, 1), IFERROR(0/0,""))
</f>
        <v>RUN-FLMP_2022-01-18_RFR-065</v>
      </c>
      <c r="V494" s="529" t="str">
        <f t="shared" si="5"/>
        <v>RUN-FLMP_2022-01-18_RFR-065</v>
      </c>
      <c r="W494" s="8" t="s">
        <v>1186</v>
      </c>
      <c r="Y494" s="21">
        <v>2.0</v>
      </c>
      <c r="Z494" s="60">
        <f t="shared" si="7"/>
        <v>2</v>
      </c>
      <c r="AA494" s="60">
        <f t="shared" si="8"/>
        <v>2</v>
      </c>
      <c r="AB494" s="60" t="str">
        <f t="shared" si="9"/>
        <v/>
      </c>
      <c r="AC494" s="30" t="str">
        <f t="shared" ref="AC494:AD494" si="848">IF(_xlfn.ISFORMULA(S494),IFERROR(0/0,""),TRUE)</f>
        <v/>
      </c>
      <c r="AD494" s="30" t="str">
        <f t="shared" si="848"/>
        <v/>
      </c>
      <c r="AE494" s="475" t="str">
        <f>IFERROR(__xludf.DUMMYFUNCTION("""COMPUTED_VALUE"""),"FLSP")</f>
        <v>FLSP</v>
      </c>
      <c r="AF494" s="476"/>
      <c r="AG494" s="529" t="s">
        <v>163</v>
      </c>
      <c r="AH494" s="138" t="str">
        <f t="shared" si="11"/>
        <v/>
      </c>
    </row>
    <row r="495">
      <c r="A495" s="459" t="str">
        <f>IFERROR(__xludf.DUMMYFUNCTION("""COMPUTED_VALUE"""),"FLE318")</f>
        <v>FLE318</v>
      </c>
      <c r="B495" s="494">
        <f>IFERROR(__xludf.DUMMYFUNCTION("""COMPUTED_VALUE"""),44578.0)</f>
        <v>44578</v>
      </c>
      <c r="C495" s="495">
        <f>IFERROR(__xludf.DUMMYFUNCTION("""COMPUTED_VALUE"""),0.5933449074074074)</f>
        <v>0.5933449074</v>
      </c>
      <c r="D495" s="459" t="str">
        <f>IFERROR(__xludf.DUMMYFUNCTION("""COMPUTED_VALUE"""),"SpFLMP342787")</f>
        <v>SpFLMP342787</v>
      </c>
      <c r="E495" s="459"/>
      <c r="F495" s="459"/>
      <c r="G495" s="459" t="str">
        <f>IFERROR(__xludf.DUMMYFUNCTION("""COMPUTED_VALUE"""),"Positive")</f>
        <v>Positive</v>
      </c>
      <c r="H495" s="496" t="str">
        <f>IFERROR(__xludf.DUMMYFUNCTION("""COMPUTED_VALUE"""),"Positive")</f>
        <v>Positive</v>
      </c>
      <c r="I495" s="494">
        <f>IFERROR(__xludf.DUMMYFUNCTION("""COMPUTED_VALUE"""),44579.0)</f>
        <v>44579</v>
      </c>
      <c r="J495" s="497">
        <f>IFERROR(__xludf.DUMMYFUNCTION("""COMPUTED_VALUE"""),0.2937152777777778)</f>
        <v>0.2937152778</v>
      </c>
      <c r="K495" s="117"/>
      <c r="L495" s="110"/>
      <c r="M495" s="518"/>
      <c r="N495" s="518">
        <f>IFERROR(__xludf.DUMMYFUNCTION("""COMPUTED_VALUE"""),1.0)</f>
        <v>1</v>
      </c>
      <c r="O495" s="518" t="str">
        <f t="shared" si="3"/>
        <v/>
      </c>
      <c r="P495" s="471">
        <f>IFERROR(__xludf.DUMMYFUNCTION("""COMPUTED_VALUE"""),1.0)</f>
        <v>1</v>
      </c>
      <c r="Q495" s="519" t="str">
        <f>VLOOKUP($B495,'Run Reconcile'!B$2:O2488,14,FALSE)</f>
        <v/>
      </c>
      <c r="R495" s="520" t="str">
        <f t="array" ref="R495">IF($Q495, INDEX('Run Reconcile'!A$2:A2488,MATCH(B495,'Run Reconcile'!B$2:B2488,0),1),IFERROR(0/0,""))</f>
        <v/>
      </c>
      <c r="S495" s="521" t="b">
        <f t="shared" si="694"/>
        <v>1</v>
      </c>
      <c r="T495" s="521" t="str">
        <f t="shared" si="698"/>
        <v/>
      </c>
      <c r="U495" s="491" t="str">
        <f t="array" ref="U495">IF(ISBLANK($R495), INDEX('Run Reconcile'!A$2:A2488, MATCH($B495, 'Run Reconcile'!B$2:B2488, 0)+Z495, 1), IFERROR(0/0,""))
</f>
        <v>RUN-FLMP_2022-01-18_RFR-065</v>
      </c>
      <c r="V495" s="529" t="str">
        <f t="shared" si="5"/>
        <v>RUN-FLMP_2022-01-18_RFR-065</v>
      </c>
      <c r="W495" s="8" t="s">
        <v>1187</v>
      </c>
      <c r="Y495" s="21">
        <v>2.0</v>
      </c>
      <c r="Z495" s="60">
        <f t="shared" si="7"/>
        <v>2</v>
      </c>
      <c r="AA495" s="60">
        <f t="shared" si="8"/>
        <v>2</v>
      </c>
      <c r="AB495" s="60" t="str">
        <f t="shared" si="9"/>
        <v/>
      </c>
      <c r="AC495" s="30" t="str">
        <f t="shared" ref="AC495:AD495" si="849">IF(_xlfn.ISFORMULA(S495),IFERROR(0/0,""),TRUE)</f>
        <v/>
      </c>
      <c r="AD495" s="30" t="str">
        <f t="shared" si="849"/>
        <v/>
      </c>
      <c r="AE495" s="475" t="str">
        <f>IFERROR(__xludf.DUMMYFUNCTION("""COMPUTED_VALUE"""),"FLSP")</f>
        <v>FLSP</v>
      </c>
      <c r="AF495" s="476"/>
      <c r="AG495" s="529" t="s">
        <v>163</v>
      </c>
      <c r="AH495" s="138" t="str">
        <f t="shared" si="11"/>
        <v/>
      </c>
    </row>
    <row r="496">
      <c r="A496" s="103" t="str">
        <f>IFERROR(__xludf.DUMMYFUNCTION("""COMPUTED_VALUE"""),"FLB7377")</f>
        <v>FLB7377</v>
      </c>
      <c r="B496" s="468">
        <f>IFERROR(__xludf.DUMMYFUNCTION("""COMPUTED_VALUE"""),44578.0)</f>
        <v>44578</v>
      </c>
      <c r="C496" s="469">
        <f>IFERROR(__xludf.DUMMYFUNCTION("""COMPUTED_VALUE"""),0.5937037037037037)</f>
        <v>0.5937037037</v>
      </c>
      <c r="D496" s="103" t="str">
        <f>IFERROR(__xludf.DUMMYFUNCTION("""COMPUTED_VALUE"""),"SpFLMP604497")</f>
        <v>SpFLMP604497</v>
      </c>
      <c r="E496" s="103"/>
      <c r="F496" s="103"/>
      <c r="G496" s="103" t="str">
        <f>IFERROR(__xludf.DUMMYFUNCTION("""COMPUTED_VALUE"""),"Negative")</f>
        <v>Negative</v>
      </c>
      <c r="H496" s="131" t="str">
        <f>IFERROR(__xludf.DUMMYFUNCTION("""COMPUTED_VALUE"""),"Negative")</f>
        <v>Negative</v>
      </c>
      <c r="I496" s="468">
        <f>IFERROR(__xludf.DUMMYFUNCTION("""COMPUTED_VALUE"""),44578.0)</f>
        <v>44578</v>
      </c>
      <c r="J496" s="470">
        <f>IFERROR(__xludf.DUMMYFUNCTION("""COMPUTED_VALUE"""),0.8699537037037037)</f>
        <v>0.8699537037</v>
      </c>
      <c r="K496" s="16"/>
      <c r="L496" s="8"/>
      <c r="M496" s="69"/>
      <c r="N496" s="69">
        <f>IFERROR(__xludf.DUMMYFUNCTION("""COMPUTED_VALUE"""),4.0)</f>
        <v>4</v>
      </c>
      <c r="O496" s="69" t="str">
        <f t="shared" si="3"/>
        <v/>
      </c>
      <c r="P496" s="471">
        <f>IFERROR(__xludf.DUMMYFUNCTION("""COMPUTED_VALUE"""),0.0)</f>
        <v>0</v>
      </c>
      <c r="Q496" s="274" t="str">
        <f>VLOOKUP($B496,'Run Reconcile'!B$2:O2488,14,FALSE)</f>
        <v/>
      </c>
      <c r="R496" s="472" t="str">
        <f t="array" ref="R496">IF($Q496, INDEX('Run Reconcile'!A$2:A2488,MATCH(B496,'Run Reconcile'!B$2:B2488,0),1),IFERROR(0/0,""))</f>
        <v/>
      </c>
      <c r="S496" s="473" t="str">
        <f t="shared" si="694"/>
        <v/>
      </c>
      <c r="T496" s="473" t="b">
        <f t="shared" si="698"/>
        <v>1</v>
      </c>
      <c r="U496" s="275" t="str">
        <f t="array" ref="U496">IF(ISBLANK($R496), INDEX('Run Reconcile'!A$2:A2488, MATCH($B496, 'Run Reconcile'!B$2:B2488, 0)+Z496, 1), IFERROR(0/0,""))
</f>
        <v>RUN-FLMP_2022-01-17_RFR-063</v>
      </c>
      <c r="V496" s="474" t="str">
        <f t="shared" si="5"/>
        <v>RUN-FLMP_2022-01-17_RFR-063</v>
      </c>
      <c r="X496" s="8" t="s">
        <v>1411</v>
      </c>
      <c r="Y496" s="89">
        <f>IF(AND(ISBLANK(W496),ISBLANK(X496)),IFERROR(0/0,""),1)</f>
        <v>1</v>
      </c>
      <c r="Z496" s="60">
        <f t="shared" si="7"/>
        <v>1</v>
      </c>
      <c r="AA496" s="60" t="str">
        <f t="shared" si="8"/>
        <v/>
      </c>
      <c r="AB496" s="60">
        <f t="shared" si="9"/>
        <v>1</v>
      </c>
      <c r="AC496" s="30" t="str">
        <f t="shared" ref="AC496:AD496" si="850">IF(_xlfn.ISFORMULA(S496),IFERROR(0/0,""),TRUE)</f>
        <v/>
      </c>
      <c r="AD496" s="30" t="str">
        <f t="shared" si="850"/>
        <v/>
      </c>
      <c r="AE496" s="475" t="str">
        <f>IFERROR(__xludf.DUMMYFUNCTION("""COMPUTED_VALUE"""),"CRLN")</f>
        <v>CRLN</v>
      </c>
      <c r="AF496" s="476"/>
      <c r="AG496" s="474" t="s">
        <v>162</v>
      </c>
      <c r="AH496" s="138" t="str">
        <f t="shared" si="11"/>
        <v/>
      </c>
    </row>
    <row r="497">
      <c r="A497" s="459" t="str">
        <f>IFERROR(__xludf.DUMMYFUNCTION("""COMPUTED_VALUE"""),"FLE251")</f>
        <v>FLE251</v>
      </c>
      <c r="B497" s="494">
        <f>IFERROR(__xludf.DUMMYFUNCTION("""COMPUTED_VALUE"""),44578.0)</f>
        <v>44578</v>
      </c>
      <c r="C497" s="495">
        <f>IFERROR(__xludf.DUMMYFUNCTION("""COMPUTED_VALUE"""),0.5940277777777778)</f>
        <v>0.5940277778</v>
      </c>
      <c r="D497" s="459" t="str">
        <f>IFERROR(__xludf.DUMMYFUNCTION("""COMPUTED_VALUE"""),"SpFLMP342787")</f>
        <v>SpFLMP342787</v>
      </c>
      <c r="E497" s="459"/>
      <c r="F497" s="459"/>
      <c r="G497" s="459" t="str">
        <f>IFERROR(__xludf.DUMMYFUNCTION("""COMPUTED_VALUE"""),"Positive")</f>
        <v>Positive</v>
      </c>
      <c r="H497" s="496" t="str">
        <f>IFERROR(__xludf.DUMMYFUNCTION("""COMPUTED_VALUE"""),"Positive")</f>
        <v>Positive</v>
      </c>
      <c r="I497" s="494">
        <f>IFERROR(__xludf.DUMMYFUNCTION("""COMPUTED_VALUE"""),44579.0)</f>
        <v>44579</v>
      </c>
      <c r="J497" s="497">
        <f>IFERROR(__xludf.DUMMYFUNCTION("""COMPUTED_VALUE"""),0.2937152777777778)</f>
        <v>0.2937152778</v>
      </c>
      <c r="K497" s="117"/>
      <c r="L497" s="110"/>
      <c r="M497" s="518"/>
      <c r="N497" s="518">
        <f>IFERROR(__xludf.DUMMYFUNCTION("""COMPUTED_VALUE"""),1.0)</f>
        <v>1</v>
      </c>
      <c r="O497" s="518" t="str">
        <f t="shared" si="3"/>
        <v/>
      </c>
      <c r="P497" s="471">
        <f>IFERROR(__xludf.DUMMYFUNCTION("""COMPUTED_VALUE"""),1.0)</f>
        <v>1</v>
      </c>
      <c r="Q497" s="519" t="str">
        <f>VLOOKUP($B497,'Run Reconcile'!B$2:O2488,14,FALSE)</f>
        <v/>
      </c>
      <c r="R497" s="520" t="str">
        <f t="array" ref="R497">IF($Q497, INDEX('Run Reconcile'!A$2:A2488,MATCH(B497,'Run Reconcile'!B$2:B2488,0),1),IFERROR(0/0,""))</f>
        <v/>
      </c>
      <c r="S497" s="521" t="b">
        <f t="shared" si="694"/>
        <v>1</v>
      </c>
      <c r="T497" s="521" t="str">
        <f t="shared" si="698"/>
        <v/>
      </c>
      <c r="U497" s="491" t="str">
        <f t="array" ref="U497">IF(ISBLANK($R497), INDEX('Run Reconcile'!A$2:A2488, MATCH($B497, 'Run Reconcile'!B$2:B2488, 0)+Z497, 1), IFERROR(0/0,""))
</f>
        <v>RUN-FLMP_2022-01-18_RFR-065</v>
      </c>
      <c r="V497" s="529" t="str">
        <f t="shared" si="5"/>
        <v>RUN-FLMP_2022-01-18_RFR-065</v>
      </c>
      <c r="W497" s="8" t="s">
        <v>1185</v>
      </c>
      <c r="Y497" s="21">
        <v>2.0</v>
      </c>
      <c r="Z497" s="60">
        <f t="shared" si="7"/>
        <v>2</v>
      </c>
      <c r="AA497" s="60">
        <f t="shared" si="8"/>
        <v>2</v>
      </c>
      <c r="AB497" s="60" t="str">
        <f t="shared" si="9"/>
        <v/>
      </c>
      <c r="AC497" s="30" t="str">
        <f t="shared" ref="AC497:AD497" si="851">IF(_xlfn.ISFORMULA(S497),IFERROR(0/0,""),TRUE)</f>
        <v/>
      </c>
      <c r="AD497" s="30" t="str">
        <f t="shared" si="851"/>
        <v/>
      </c>
      <c r="AE497" s="475" t="str">
        <f>IFERROR(__xludf.DUMMYFUNCTION("""COMPUTED_VALUE"""),"FLSP")</f>
        <v>FLSP</v>
      </c>
      <c r="AF497" s="476"/>
      <c r="AG497" s="529" t="s">
        <v>163</v>
      </c>
      <c r="AH497" s="138" t="str">
        <f t="shared" si="11"/>
        <v/>
      </c>
    </row>
    <row r="498">
      <c r="A498" s="103" t="str">
        <f>IFERROR(__xludf.DUMMYFUNCTION("""COMPUTED_VALUE"""),"FLT1483")</f>
        <v>FLT1483</v>
      </c>
      <c r="B498" s="468">
        <f>IFERROR(__xludf.DUMMYFUNCTION("""COMPUTED_VALUE"""),44578.0)</f>
        <v>44578</v>
      </c>
      <c r="C498" s="469">
        <f>IFERROR(__xludf.DUMMYFUNCTION("""COMPUTED_VALUE"""),0.6049074074074074)</f>
        <v>0.6049074074</v>
      </c>
      <c r="D498" s="103" t="str">
        <f>IFERROR(__xludf.DUMMYFUNCTION("""COMPUTED_VALUE"""),"SpFLMP493054")</f>
        <v>SpFLMP493054</v>
      </c>
      <c r="E498" s="103"/>
      <c r="F498" s="103"/>
      <c r="G498" s="103" t="str">
        <f>IFERROR(__xludf.DUMMYFUNCTION("""COMPUTED_VALUE"""),"Negative")</f>
        <v>Negative</v>
      </c>
      <c r="H498" s="131" t="str">
        <f>IFERROR(__xludf.DUMMYFUNCTION("""COMPUTED_VALUE"""),"Negative")</f>
        <v>Negative</v>
      </c>
      <c r="I498" s="468">
        <f>IFERROR(__xludf.DUMMYFUNCTION("""COMPUTED_VALUE"""),44578.0)</f>
        <v>44578</v>
      </c>
      <c r="J498" s="470">
        <f>IFERROR(__xludf.DUMMYFUNCTION("""COMPUTED_VALUE"""),0.8699537037037037)</f>
        <v>0.8699537037</v>
      </c>
      <c r="K498" s="16"/>
      <c r="L498" s="8"/>
      <c r="M498" s="69"/>
      <c r="N498" s="69">
        <f>IFERROR(__xludf.DUMMYFUNCTION("""COMPUTED_VALUE"""),1.0)</f>
        <v>1</v>
      </c>
      <c r="O498" s="69" t="str">
        <f t="shared" si="3"/>
        <v/>
      </c>
      <c r="P498" s="471">
        <f>IFERROR(__xludf.DUMMYFUNCTION("""COMPUTED_VALUE"""),0.0)</f>
        <v>0</v>
      </c>
      <c r="Q498" s="274" t="str">
        <f>VLOOKUP($B498,'Run Reconcile'!B$2:O2488,14,FALSE)</f>
        <v/>
      </c>
      <c r="R498" s="472" t="str">
        <f t="array" ref="R498">IF($Q498, INDEX('Run Reconcile'!A$2:A2488,MATCH(B498,'Run Reconcile'!B$2:B2488,0),1),IFERROR(0/0,""))</f>
        <v/>
      </c>
      <c r="S498" s="473" t="str">
        <f t="shared" si="694"/>
        <v/>
      </c>
      <c r="T498" s="473" t="b">
        <f t="shared" si="698"/>
        <v>1</v>
      </c>
      <c r="U498" s="275" t="str">
        <f t="array" ref="U498">IF(ISBLANK($R498), INDEX('Run Reconcile'!A$2:A2488, MATCH($B498, 'Run Reconcile'!B$2:B2488, 0)+Z498, 1), IFERROR(0/0,""))
</f>
        <v>RUN-FLMP_2022-01-17_RFR-063</v>
      </c>
      <c r="V498" s="474" t="str">
        <f t="shared" si="5"/>
        <v>RUN-FLMP_2022-01-17_RFR-063</v>
      </c>
      <c r="X498" s="8" t="s">
        <v>1412</v>
      </c>
      <c r="Y498" s="89">
        <f t="shared" ref="Y498:Y509" si="853">IF(AND(ISBLANK(W498),ISBLANK(X498)),IFERROR(0/0,""),1)</f>
        <v>1</v>
      </c>
      <c r="Z498" s="60">
        <f t="shared" si="7"/>
        <v>1</v>
      </c>
      <c r="AA498" s="60" t="str">
        <f t="shared" si="8"/>
        <v/>
      </c>
      <c r="AB498" s="60">
        <f t="shared" si="9"/>
        <v>1</v>
      </c>
      <c r="AC498" s="30" t="str">
        <f t="shared" ref="AC498:AD498" si="852">IF(_xlfn.ISFORMULA(S498),IFERROR(0/0,""),TRUE)</f>
        <v/>
      </c>
      <c r="AD498" s="30" t="str">
        <f t="shared" si="852"/>
        <v/>
      </c>
      <c r="AE498" s="475" t="str">
        <f>IFERROR(__xludf.DUMMYFUNCTION("""COMPUTED_VALUE"""),"CRLN")</f>
        <v>CRLN</v>
      </c>
      <c r="AF498" s="476"/>
      <c r="AG498" s="474" t="s">
        <v>162</v>
      </c>
      <c r="AH498" s="138" t="str">
        <f t="shared" si="11"/>
        <v/>
      </c>
    </row>
    <row r="499">
      <c r="A499" s="103" t="str">
        <f>IFERROR(__xludf.DUMMYFUNCTION("""COMPUTED_VALUE"""),"FLT1562")</f>
        <v>FLT1562</v>
      </c>
      <c r="B499" s="468">
        <f>IFERROR(__xludf.DUMMYFUNCTION("""COMPUTED_VALUE"""),44578.0)</f>
        <v>44578</v>
      </c>
      <c r="C499" s="469">
        <f>IFERROR(__xludf.DUMMYFUNCTION("""COMPUTED_VALUE"""),0.6291782407407407)</f>
        <v>0.6291782407</v>
      </c>
      <c r="D499" s="103" t="str">
        <f>IFERROR(__xludf.DUMMYFUNCTION("""COMPUTED_VALUE"""),"SpFLMP259015")</f>
        <v>SpFLMP259015</v>
      </c>
      <c r="E499" s="103"/>
      <c r="F499" s="103"/>
      <c r="G499" s="103" t="str">
        <f>IFERROR(__xludf.DUMMYFUNCTION("""COMPUTED_VALUE"""),"Negative")</f>
        <v>Negative</v>
      </c>
      <c r="H499" s="131" t="str">
        <f>IFERROR(__xludf.DUMMYFUNCTION("""COMPUTED_VALUE"""),"Negative")</f>
        <v>Negative</v>
      </c>
      <c r="I499" s="468">
        <f>IFERROR(__xludf.DUMMYFUNCTION("""COMPUTED_VALUE"""),44578.0)</f>
        <v>44578</v>
      </c>
      <c r="J499" s="470">
        <f>IFERROR(__xludf.DUMMYFUNCTION("""COMPUTED_VALUE"""),0.8699537037037037)</f>
        <v>0.8699537037</v>
      </c>
      <c r="K499" s="16"/>
      <c r="L499" s="8"/>
      <c r="M499" s="69"/>
      <c r="N499" s="69">
        <f>IFERROR(__xludf.DUMMYFUNCTION("""COMPUTED_VALUE"""),4.0)</f>
        <v>4</v>
      </c>
      <c r="O499" s="69" t="str">
        <f t="shared" si="3"/>
        <v/>
      </c>
      <c r="P499" s="471">
        <f>IFERROR(__xludf.DUMMYFUNCTION("""COMPUTED_VALUE"""),0.0)</f>
        <v>0</v>
      </c>
      <c r="Q499" s="274" t="str">
        <f>VLOOKUP($B499,'Run Reconcile'!B$2:O2488,14,FALSE)</f>
        <v/>
      </c>
      <c r="R499" s="472" t="str">
        <f t="array" ref="R499">IF($Q499, INDEX('Run Reconcile'!A$2:A2488,MATCH(B499,'Run Reconcile'!B$2:B2488,0),1),IFERROR(0/0,""))</f>
        <v/>
      </c>
      <c r="S499" s="473" t="str">
        <f t="shared" si="694"/>
        <v/>
      </c>
      <c r="T499" s="473" t="b">
        <f t="shared" si="698"/>
        <v>1</v>
      </c>
      <c r="U499" s="275" t="str">
        <f t="array" ref="U499">IF(ISBLANK($R499), INDEX('Run Reconcile'!A$2:A2488, MATCH($B499, 'Run Reconcile'!B$2:B2488, 0)+Z499, 1), IFERROR(0/0,""))
</f>
        <v>RUN-FLMP_2022-01-17_RFR-063</v>
      </c>
      <c r="V499" s="474" t="str">
        <f t="shared" si="5"/>
        <v>RUN-FLMP_2022-01-17_RFR-063</v>
      </c>
      <c r="X499" s="8" t="s">
        <v>1413</v>
      </c>
      <c r="Y499" s="89">
        <f t="shared" si="853"/>
        <v>1</v>
      </c>
      <c r="Z499" s="60">
        <f t="shared" si="7"/>
        <v>1</v>
      </c>
      <c r="AA499" s="60" t="str">
        <f t="shared" si="8"/>
        <v/>
      </c>
      <c r="AB499" s="60">
        <f t="shared" si="9"/>
        <v>1</v>
      </c>
      <c r="AC499" s="30" t="str">
        <f t="shared" ref="AC499:AD499" si="854">IF(_xlfn.ISFORMULA(S499),IFERROR(0/0,""),TRUE)</f>
        <v/>
      </c>
      <c r="AD499" s="30" t="str">
        <f t="shared" si="854"/>
        <v/>
      </c>
      <c r="AE499" s="475" t="str">
        <f>IFERROR(__xludf.DUMMYFUNCTION("""COMPUTED_VALUE"""),"CRLN")</f>
        <v>CRLN</v>
      </c>
      <c r="AF499" s="476"/>
      <c r="AG499" s="474" t="s">
        <v>162</v>
      </c>
      <c r="AH499" s="138" t="str">
        <f t="shared" si="11"/>
        <v/>
      </c>
    </row>
    <row r="500">
      <c r="A500" s="103" t="str">
        <f>IFERROR(__xludf.DUMMYFUNCTION("""COMPUTED_VALUE"""),"FLT1576")</f>
        <v>FLT1576</v>
      </c>
      <c r="B500" s="468">
        <f>IFERROR(__xludf.DUMMYFUNCTION("""COMPUTED_VALUE"""),44578.0)</f>
        <v>44578</v>
      </c>
      <c r="C500" s="469">
        <f>IFERROR(__xludf.DUMMYFUNCTION("""COMPUTED_VALUE"""),0.6299074074074074)</f>
        <v>0.6299074074</v>
      </c>
      <c r="D500" s="103" t="str">
        <f>IFERROR(__xludf.DUMMYFUNCTION("""COMPUTED_VALUE"""),"SpFLMP259015")</f>
        <v>SpFLMP259015</v>
      </c>
      <c r="E500" s="103"/>
      <c r="F500" s="103"/>
      <c r="G500" s="103" t="str">
        <f>IFERROR(__xludf.DUMMYFUNCTION("""COMPUTED_VALUE"""),"Negative")</f>
        <v>Negative</v>
      </c>
      <c r="H500" s="131" t="str">
        <f>IFERROR(__xludf.DUMMYFUNCTION("""COMPUTED_VALUE"""),"Negative")</f>
        <v>Negative</v>
      </c>
      <c r="I500" s="468">
        <f>IFERROR(__xludf.DUMMYFUNCTION("""COMPUTED_VALUE"""),44578.0)</f>
        <v>44578</v>
      </c>
      <c r="J500" s="470">
        <f>IFERROR(__xludf.DUMMYFUNCTION("""COMPUTED_VALUE"""),0.8699537037037037)</f>
        <v>0.8699537037</v>
      </c>
      <c r="K500" s="16"/>
      <c r="L500" s="8"/>
      <c r="M500" s="69"/>
      <c r="N500" s="69">
        <f>IFERROR(__xludf.DUMMYFUNCTION("""COMPUTED_VALUE"""),2.0)</f>
        <v>2</v>
      </c>
      <c r="O500" s="69" t="str">
        <f t="shared" si="3"/>
        <v/>
      </c>
      <c r="P500" s="471">
        <f>IFERROR(__xludf.DUMMYFUNCTION("""COMPUTED_VALUE"""),0.0)</f>
        <v>0</v>
      </c>
      <c r="Q500" s="274" t="str">
        <f>VLOOKUP($B500,'Run Reconcile'!B$2:O2488,14,FALSE)</f>
        <v/>
      </c>
      <c r="R500" s="472" t="str">
        <f t="array" ref="R500">IF($Q500, INDEX('Run Reconcile'!A$2:A2488,MATCH(B500,'Run Reconcile'!B$2:B2488,0),1),IFERROR(0/0,""))</f>
        <v/>
      </c>
      <c r="S500" s="473" t="str">
        <f t="shared" si="694"/>
        <v/>
      </c>
      <c r="T500" s="473" t="b">
        <f t="shared" si="698"/>
        <v>1</v>
      </c>
      <c r="U500" s="275" t="str">
        <f t="array" ref="U500">IF(ISBLANK($R500), INDEX('Run Reconcile'!A$2:A2488, MATCH($B500, 'Run Reconcile'!B$2:B2488, 0)+Z500, 1), IFERROR(0/0,""))
</f>
        <v>RUN-FLMP_2022-01-17_RFR-063</v>
      </c>
      <c r="V500" s="474" t="str">
        <f t="shared" si="5"/>
        <v>RUN-FLMP_2022-01-17_RFR-063</v>
      </c>
      <c r="X500" s="8" t="s">
        <v>1414</v>
      </c>
      <c r="Y500" s="89">
        <f t="shared" si="853"/>
        <v>1</v>
      </c>
      <c r="Z500" s="60">
        <f t="shared" si="7"/>
        <v>1</v>
      </c>
      <c r="AA500" s="60" t="str">
        <f t="shared" si="8"/>
        <v/>
      </c>
      <c r="AB500" s="60">
        <f t="shared" si="9"/>
        <v>1</v>
      </c>
      <c r="AC500" s="30" t="str">
        <f t="shared" ref="AC500:AD500" si="855">IF(_xlfn.ISFORMULA(S500),IFERROR(0/0,""),TRUE)</f>
        <v/>
      </c>
      <c r="AD500" s="30" t="str">
        <f t="shared" si="855"/>
        <v/>
      </c>
      <c r="AE500" s="475" t="str">
        <f>IFERROR(__xludf.DUMMYFUNCTION("""COMPUTED_VALUE"""),"CRLN")</f>
        <v>CRLN</v>
      </c>
      <c r="AF500" s="476"/>
      <c r="AG500" s="474" t="s">
        <v>162</v>
      </c>
      <c r="AH500" s="138" t="str">
        <f t="shared" si="11"/>
        <v/>
      </c>
    </row>
    <row r="501">
      <c r="A501" s="103" t="str">
        <f>IFERROR(__xludf.DUMMYFUNCTION("""COMPUTED_VALUE"""),"FLT1173")</f>
        <v>FLT1173</v>
      </c>
      <c r="B501" s="468">
        <f>IFERROR(__xludf.DUMMYFUNCTION("""COMPUTED_VALUE"""),44578.0)</f>
        <v>44578</v>
      </c>
      <c r="C501" s="469">
        <f>IFERROR(__xludf.DUMMYFUNCTION("""COMPUTED_VALUE"""),0.6471412037037036)</f>
        <v>0.6471412037</v>
      </c>
      <c r="D501" s="103" t="str">
        <f>IFERROR(__xludf.DUMMYFUNCTION("""COMPUTED_VALUE"""),"SpFLMP518914")</f>
        <v>SpFLMP518914</v>
      </c>
      <c r="E501" s="103"/>
      <c r="F501" s="103"/>
      <c r="G501" s="103" t="str">
        <f>IFERROR(__xludf.DUMMYFUNCTION("""COMPUTED_VALUE"""),"Negative")</f>
        <v>Negative</v>
      </c>
      <c r="H501" s="131" t="str">
        <f>IFERROR(__xludf.DUMMYFUNCTION("""COMPUTED_VALUE"""),"Negative")</f>
        <v>Negative</v>
      </c>
      <c r="I501" s="468">
        <f>IFERROR(__xludf.DUMMYFUNCTION("""COMPUTED_VALUE"""),44578.0)</f>
        <v>44578</v>
      </c>
      <c r="J501" s="470">
        <f>IFERROR(__xludf.DUMMYFUNCTION("""COMPUTED_VALUE"""),0.8699537037037037)</f>
        <v>0.8699537037</v>
      </c>
      <c r="K501" s="16"/>
      <c r="L501" s="8"/>
      <c r="M501" s="69"/>
      <c r="N501" s="69">
        <f>IFERROR(__xludf.DUMMYFUNCTION("""COMPUTED_VALUE"""),2.0)</f>
        <v>2</v>
      </c>
      <c r="O501" s="69" t="str">
        <f t="shared" si="3"/>
        <v/>
      </c>
      <c r="P501" s="471">
        <f>IFERROR(__xludf.DUMMYFUNCTION("""COMPUTED_VALUE"""),0.0)</f>
        <v>0</v>
      </c>
      <c r="Q501" s="274" t="str">
        <f>VLOOKUP($B501,'Run Reconcile'!B$2:O2488,14,FALSE)</f>
        <v/>
      </c>
      <c r="R501" s="472" t="str">
        <f t="array" ref="R501">IF($Q501, INDEX('Run Reconcile'!A$2:A2488,MATCH(B501,'Run Reconcile'!B$2:B2488,0),1),IFERROR(0/0,""))</f>
        <v/>
      </c>
      <c r="S501" s="473" t="str">
        <f t="shared" si="694"/>
        <v/>
      </c>
      <c r="T501" s="473" t="b">
        <f t="shared" si="698"/>
        <v>1</v>
      </c>
      <c r="U501" s="275" t="str">
        <f t="array" ref="U501">IF(ISBLANK($R501), INDEX('Run Reconcile'!A$2:A2488, MATCH($B501, 'Run Reconcile'!B$2:B2488, 0)+Z501, 1), IFERROR(0/0,""))
</f>
        <v>RUN-FLMP_2022-01-17_RFR-063</v>
      </c>
      <c r="V501" s="474" t="str">
        <f t="shared" si="5"/>
        <v>RUN-FLMP_2022-01-17_RFR-063</v>
      </c>
      <c r="X501" s="8" t="s">
        <v>1415</v>
      </c>
      <c r="Y501" s="89">
        <f t="shared" si="853"/>
        <v>1</v>
      </c>
      <c r="Z501" s="60">
        <f t="shared" si="7"/>
        <v>1</v>
      </c>
      <c r="AA501" s="60" t="str">
        <f t="shared" si="8"/>
        <v/>
      </c>
      <c r="AB501" s="60">
        <f t="shared" si="9"/>
        <v>1</v>
      </c>
      <c r="AC501" s="30" t="str">
        <f t="shared" ref="AC501:AD501" si="856">IF(_xlfn.ISFORMULA(S501),IFERROR(0/0,""),TRUE)</f>
        <v/>
      </c>
      <c r="AD501" s="30" t="str">
        <f t="shared" si="856"/>
        <v/>
      </c>
      <c r="AE501" s="475" t="str">
        <f>IFERROR(__xludf.DUMMYFUNCTION("""COMPUTED_VALUE"""),"CRLN")</f>
        <v>CRLN</v>
      </c>
      <c r="AF501" s="476"/>
      <c r="AG501" s="474" t="s">
        <v>162</v>
      </c>
      <c r="AH501" s="138" t="str">
        <f t="shared" si="11"/>
        <v/>
      </c>
    </row>
    <row r="502">
      <c r="A502" s="103" t="str">
        <f>IFERROR(__xludf.DUMMYFUNCTION("""COMPUTED_VALUE"""),"FLT1493")</f>
        <v>FLT1493</v>
      </c>
      <c r="B502" s="468">
        <f>IFERROR(__xludf.DUMMYFUNCTION("""COMPUTED_VALUE"""),44578.0)</f>
        <v>44578</v>
      </c>
      <c r="C502" s="469">
        <f>IFERROR(__xludf.DUMMYFUNCTION("""COMPUTED_VALUE"""),0.6516203703703703)</f>
        <v>0.6516203704</v>
      </c>
      <c r="D502" s="103" t="str">
        <f>IFERROR(__xludf.DUMMYFUNCTION("""COMPUTED_VALUE"""),"SpFLMP273885")</f>
        <v>SpFLMP273885</v>
      </c>
      <c r="E502" s="103"/>
      <c r="F502" s="103"/>
      <c r="G502" s="103" t="str">
        <f>IFERROR(__xludf.DUMMYFUNCTION("""COMPUTED_VALUE"""),"Negative")</f>
        <v>Negative</v>
      </c>
      <c r="H502" s="131" t="str">
        <f>IFERROR(__xludf.DUMMYFUNCTION("""COMPUTED_VALUE"""),"Negative")</f>
        <v>Negative</v>
      </c>
      <c r="I502" s="468">
        <f>IFERROR(__xludf.DUMMYFUNCTION("""COMPUTED_VALUE"""),44578.0)</f>
        <v>44578</v>
      </c>
      <c r="J502" s="470">
        <f>IFERROR(__xludf.DUMMYFUNCTION("""COMPUTED_VALUE"""),0.8699537037037037)</f>
        <v>0.8699537037</v>
      </c>
      <c r="K502" s="16"/>
      <c r="L502" s="8"/>
      <c r="M502" s="69"/>
      <c r="N502" s="69">
        <f>IFERROR(__xludf.DUMMYFUNCTION("""COMPUTED_VALUE"""),4.0)</f>
        <v>4</v>
      </c>
      <c r="O502" s="69" t="str">
        <f t="shared" si="3"/>
        <v/>
      </c>
      <c r="P502" s="471">
        <f>IFERROR(__xludf.DUMMYFUNCTION("""COMPUTED_VALUE"""),0.0)</f>
        <v>0</v>
      </c>
      <c r="Q502" s="274" t="str">
        <f>VLOOKUP($B502,'Run Reconcile'!B$2:O2488,14,FALSE)</f>
        <v/>
      </c>
      <c r="R502" s="472" t="str">
        <f t="array" ref="R502">IF($Q502, INDEX('Run Reconcile'!A$2:A2488,MATCH(B502,'Run Reconcile'!B$2:B2488,0),1),IFERROR(0/0,""))</f>
        <v/>
      </c>
      <c r="S502" s="473" t="str">
        <f t="shared" si="694"/>
        <v/>
      </c>
      <c r="T502" s="473" t="b">
        <f t="shared" si="698"/>
        <v>1</v>
      </c>
      <c r="U502" s="275" t="str">
        <f t="array" ref="U502">IF(ISBLANK($R502), INDEX('Run Reconcile'!A$2:A2488, MATCH($B502, 'Run Reconcile'!B$2:B2488, 0)+Z502, 1), IFERROR(0/0,""))
</f>
        <v>RUN-FLMP_2022-01-17_RFR-063</v>
      </c>
      <c r="V502" s="474" t="str">
        <f t="shared" si="5"/>
        <v>RUN-FLMP_2022-01-17_RFR-063</v>
      </c>
      <c r="X502" s="8" t="s">
        <v>1416</v>
      </c>
      <c r="Y502" s="89">
        <f t="shared" si="853"/>
        <v>1</v>
      </c>
      <c r="Z502" s="60">
        <f t="shared" si="7"/>
        <v>1</v>
      </c>
      <c r="AA502" s="60" t="str">
        <f t="shared" si="8"/>
        <v/>
      </c>
      <c r="AB502" s="60">
        <f t="shared" si="9"/>
        <v>1</v>
      </c>
      <c r="AC502" s="30" t="str">
        <f t="shared" ref="AC502:AD502" si="857">IF(_xlfn.ISFORMULA(S502),IFERROR(0/0,""),TRUE)</f>
        <v/>
      </c>
      <c r="AD502" s="30" t="str">
        <f t="shared" si="857"/>
        <v/>
      </c>
      <c r="AE502" s="475" t="str">
        <f>IFERROR(__xludf.DUMMYFUNCTION("""COMPUTED_VALUE"""),"CRLN")</f>
        <v>CRLN</v>
      </c>
      <c r="AF502" s="476"/>
      <c r="AG502" s="474" t="s">
        <v>162</v>
      </c>
      <c r="AH502" s="138" t="str">
        <f t="shared" si="11"/>
        <v/>
      </c>
    </row>
    <row r="503">
      <c r="A503" s="103" t="str">
        <f>IFERROR(__xludf.DUMMYFUNCTION("""COMPUTED_VALUE"""),"FLT1496")</f>
        <v>FLT1496</v>
      </c>
      <c r="B503" s="468">
        <f>IFERROR(__xludf.DUMMYFUNCTION("""COMPUTED_VALUE"""),44578.0)</f>
        <v>44578</v>
      </c>
      <c r="C503" s="469">
        <f>IFERROR(__xludf.DUMMYFUNCTION("""COMPUTED_VALUE"""),0.6593402777777778)</f>
        <v>0.6593402778</v>
      </c>
      <c r="D503" s="103" t="str">
        <f>IFERROR(__xludf.DUMMYFUNCTION("""COMPUTED_VALUE"""),"SpFLMP965392")</f>
        <v>SpFLMP965392</v>
      </c>
      <c r="E503" s="103"/>
      <c r="F503" s="103"/>
      <c r="G503" s="103" t="str">
        <f>IFERROR(__xludf.DUMMYFUNCTION("""COMPUTED_VALUE"""),"Negative")</f>
        <v>Negative</v>
      </c>
      <c r="H503" s="131" t="str">
        <f>IFERROR(__xludf.DUMMYFUNCTION("""COMPUTED_VALUE"""),"Negative")</f>
        <v>Negative</v>
      </c>
      <c r="I503" s="468">
        <f>IFERROR(__xludf.DUMMYFUNCTION("""COMPUTED_VALUE"""),44578.0)</f>
        <v>44578</v>
      </c>
      <c r="J503" s="470">
        <f>IFERROR(__xludf.DUMMYFUNCTION("""COMPUTED_VALUE"""),0.8699537037037037)</f>
        <v>0.8699537037</v>
      </c>
      <c r="K503" s="16"/>
      <c r="L503" s="8"/>
      <c r="M503" s="69"/>
      <c r="N503" s="69">
        <f>IFERROR(__xludf.DUMMYFUNCTION("""COMPUTED_VALUE"""),4.0)</f>
        <v>4</v>
      </c>
      <c r="O503" s="69" t="str">
        <f t="shared" si="3"/>
        <v/>
      </c>
      <c r="P503" s="471">
        <f>IFERROR(__xludf.DUMMYFUNCTION("""COMPUTED_VALUE"""),0.0)</f>
        <v>0</v>
      </c>
      <c r="Q503" s="274" t="str">
        <f>VLOOKUP($B503,'Run Reconcile'!B$2:O2488,14,FALSE)</f>
        <v/>
      </c>
      <c r="R503" s="472" t="str">
        <f t="array" ref="R503">IF($Q503, INDEX('Run Reconcile'!A$2:A2488,MATCH(B503,'Run Reconcile'!B$2:B2488,0),1),IFERROR(0/0,""))</f>
        <v/>
      </c>
      <c r="S503" s="473" t="str">
        <f t="shared" si="694"/>
        <v/>
      </c>
      <c r="T503" s="473" t="b">
        <f t="shared" si="698"/>
        <v>1</v>
      </c>
      <c r="U503" s="275" t="str">
        <f t="array" ref="U503">IF(ISBLANK($R503), INDEX('Run Reconcile'!A$2:A2488, MATCH($B503, 'Run Reconcile'!B$2:B2488, 0)+Z503, 1), IFERROR(0/0,""))
</f>
        <v>RUN-FLMP_2022-01-17_RFR-063</v>
      </c>
      <c r="V503" s="474" t="str">
        <f t="shared" si="5"/>
        <v>RUN-FLMP_2022-01-17_RFR-063</v>
      </c>
      <c r="X503" s="8" t="s">
        <v>1417</v>
      </c>
      <c r="Y503" s="89">
        <f t="shared" si="853"/>
        <v>1</v>
      </c>
      <c r="Z503" s="60">
        <f t="shared" si="7"/>
        <v>1</v>
      </c>
      <c r="AA503" s="60" t="str">
        <f t="shared" si="8"/>
        <v/>
      </c>
      <c r="AB503" s="60">
        <f t="shared" si="9"/>
        <v>1</v>
      </c>
      <c r="AC503" s="30" t="str">
        <f t="shared" ref="AC503:AD503" si="858">IF(_xlfn.ISFORMULA(S503),IFERROR(0/0,""),TRUE)</f>
        <v/>
      </c>
      <c r="AD503" s="30" t="str">
        <f t="shared" si="858"/>
        <v/>
      </c>
      <c r="AE503" s="475" t="str">
        <f>IFERROR(__xludf.DUMMYFUNCTION("""COMPUTED_VALUE"""),"CRLN")</f>
        <v>CRLN</v>
      </c>
      <c r="AF503" s="476"/>
      <c r="AG503" s="474" t="s">
        <v>162</v>
      </c>
      <c r="AH503" s="138" t="str">
        <f t="shared" si="11"/>
        <v/>
      </c>
    </row>
    <row r="504">
      <c r="A504" s="103" t="str">
        <f>IFERROR(__xludf.DUMMYFUNCTION("""COMPUTED_VALUE"""),"FLE850")</f>
        <v>FLE850</v>
      </c>
      <c r="B504" s="468">
        <f>IFERROR(__xludf.DUMMYFUNCTION("""COMPUTED_VALUE"""),44578.0)</f>
        <v>44578</v>
      </c>
      <c r="C504" s="469">
        <f>IFERROR(__xludf.DUMMYFUNCTION("""COMPUTED_VALUE"""),0.6622685185185185)</f>
        <v>0.6622685185</v>
      </c>
      <c r="D504" s="103" t="str">
        <f>IFERROR(__xludf.DUMMYFUNCTION("""COMPUTED_VALUE"""),"SpFLMP668449")</f>
        <v>SpFLMP668449</v>
      </c>
      <c r="E504" s="103"/>
      <c r="F504" s="103"/>
      <c r="G504" s="103" t="str">
        <f>IFERROR(__xludf.DUMMYFUNCTION("""COMPUTED_VALUE"""),"Negative")</f>
        <v>Negative</v>
      </c>
      <c r="H504" s="131" t="str">
        <f>IFERROR(__xludf.DUMMYFUNCTION("""COMPUTED_VALUE"""),"Negative")</f>
        <v>Negative</v>
      </c>
      <c r="I504" s="468">
        <f>IFERROR(__xludf.DUMMYFUNCTION("""COMPUTED_VALUE"""),44578.0)</f>
        <v>44578</v>
      </c>
      <c r="J504" s="470">
        <f>IFERROR(__xludf.DUMMYFUNCTION("""COMPUTED_VALUE"""),0.8699537037037037)</f>
        <v>0.8699537037</v>
      </c>
      <c r="K504" s="16"/>
      <c r="L504" s="8"/>
      <c r="M504" s="69"/>
      <c r="N504" s="69">
        <f>IFERROR(__xludf.DUMMYFUNCTION("""COMPUTED_VALUE"""),4.0)</f>
        <v>4</v>
      </c>
      <c r="O504" s="69" t="str">
        <f t="shared" si="3"/>
        <v/>
      </c>
      <c r="P504" s="471">
        <f>IFERROR(__xludf.DUMMYFUNCTION("""COMPUTED_VALUE"""),0.0)</f>
        <v>0</v>
      </c>
      <c r="Q504" s="274" t="str">
        <f>VLOOKUP($B504,'Run Reconcile'!B$2:O2488,14,FALSE)</f>
        <v/>
      </c>
      <c r="R504" s="472" t="str">
        <f t="array" ref="R504">IF($Q504, INDEX('Run Reconcile'!A$2:A2488,MATCH(B504,'Run Reconcile'!B$2:B2488,0),1),IFERROR(0/0,""))</f>
        <v/>
      </c>
      <c r="S504" s="473" t="str">
        <f t="shared" si="694"/>
        <v/>
      </c>
      <c r="T504" s="473" t="b">
        <f t="shared" si="698"/>
        <v>1</v>
      </c>
      <c r="U504" s="275" t="str">
        <f t="array" ref="U504">IF(ISBLANK($R504), INDEX('Run Reconcile'!A$2:A2488, MATCH($B504, 'Run Reconcile'!B$2:B2488, 0)+Z504, 1), IFERROR(0/0,""))
</f>
        <v>RUN-FLMP_2022-01-17_RFR-063</v>
      </c>
      <c r="V504" s="474" t="str">
        <f t="shared" si="5"/>
        <v>RUN-FLMP_2022-01-17_RFR-063</v>
      </c>
      <c r="X504" s="8" t="s">
        <v>1418</v>
      </c>
      <c r="Y504" s="89">
        <f t="shared" si="853"/>
        <v>1</v>
      </c>
      <c r="Z504" s="60">
        <f t="shared" si="7"/>
        <v>1</v>
      </c>
      <c r="AA504" s="60" t="str">
        <f t="shared" si="8"/>
        <v/>
      </c>
      <c r="AB504" s="60">
        <f t="shared" si="9"/>
        <v>1</v>
      </c>
      <c r="AC504" s="30" t="str">
        <f t="shared" ref="AC504:AD504" si="859">IF(_xlfn.ISFORMULA(S504),IFERROR(0/0,""),TRUE)</f>
        <v/>
      </c>
      <c r="AD504" s="30" t="str">
        <f t="shared" si="859"/>
        <v/>
      </c>
      <c r="AE504" s="475" t="str">
        <f>IFERROR(__xludf.DUMMYFUNCTION("""COMPUTED_VALUE"""),"CRLN")</f>
        <v>CRLN</v>
      </c>
      <c r="AF504" s="476"/>
      <c r="AG504" s="474" t="s">
        <v>162</v>
      </c>
      <c r="AH504" s="138" t="str">
        <f t="shared" si="11"/>
        <v/>
      </c>
    </row>
    <row r="505">
      <c r="A505" s="103" t="str">
        <f>IFERROR(__xludf.DUMMYFUNCTION("""COMPUTED_VALUE"""),"FLE948")</f>
        <v>FLE948</v>
      </c>
      <c r="B505" s="468">
        <f>IFERROR(__xludf.DUMMYFUNCTION("""COMPUTED_VALUE"""),44578.0)</f>
        <v>44578</v>
      </c>
      <c r="C505" s="469">
        <f>IFERROR(__xludf.DUMMYFUNCTION("""COMPUTED_VALUE"""),0.6626620370370371)</f>
        <v>0.662662037</v>
      </c>
      <c r="D505" s="103" t="str">
        <f>IFERROR(__xludf.DUMMYFUNCTION("""COMPUTED_VALUE"""),"SpFLMP668449")</f>
        <v>SpFLMP668449</v>
      </c>
      <c r="E505" s="103"/>
      <c r="F505" s="103"/>
      <c r="G505" s="103" t="str">
        <f>IFERROR(__xludf.DUMMYFUNCTION("""COMPUTED_VALUE"""),"Negative")</f>
        <v>Negative</v>
      </c>
      <c r="H505" s="131" t="str">
        <f>IFERROR(__xludf.DUMMYFUNCTION("""COMPUTED_VALUE"""),"Negative")</f>
        <v>Negative</v>
      </c>
      <c r="I505" s="468">
        <f>IFERROR(__xludf.DUMMYFUNCTION("""COMPUTED_VALUE"""),44578.0)</f>
        <v>44578</v>
      </c>
      <c r="J505" s="470">
        <f>IFERROR(__xludf.DUMMYFUNCTION("""COMPUTED_VALUE"""),0.8699537037037037)</f>
        <v>0.8699537037</v>
      </c>
      <c r="K505" s="16"/>
      <c r="L505" s="8"/>
      <c r="M505" s="69"/>
      <c r="N505" s="69">
        <f>IFERROR(__xludf.DUMMYFUNCTION("""COMPUTED_VALUE"""),1.0)</f>
        <v>1</v>
      </c>
      <c r="O505" s="69" t="str">
        <f t="shared" si="3"/>
        <v/>
      </c>
      <c r="P505" s="471">
        <f>IFERROR(__xludf.DUMMYFUNCTION("""COMPUTED_VALUE"""),0.0)</f>
        <v>0</v>
      </c>
      <c r="Q505" s="274" t="str">
        <f>VLOOKUP($B505,'Run Reconcile'!B$2:O2488,14,FALSE)</f>
        <v/>
      </c>
      <c r="R505" s="472" t="str">
        <f t="array" ref="R505">IF($Q505, INDEX('Run Reconcile'!A$2:A2488,MATCH(B505,'Run Reconcile'!B$2:B2488,0),1),IFERROR(0/0,""))</f>
        <v/>
      </c>
      <c r="S505" s="473" t="str">
        <f t="shared" si="694"/>
        <v/>
      </c>
      <c r="T505" s="473" t="b">
        <f t="shared" si="698"/>
        <v>1</v>
      </c>
      <c r="U505" s="275" t="str">
        <f t="array" ref="U505">IF(ISBLANK($R505), INDEX('Run Reconcile'!A$2:A2488, MATCH($B505, 'Run Reconcile'!B$2:B2488, 0)+Z505, 1), IFERROR(0/0,""))
</f>
        <v>RUN-FLMP_2022-01-17_RFR-063</v>
      </c>
      <c r="V505" s="474" t="str">
        <f t="shared" si="5"/>
        <v>RUN-FLMP_2022-01-17_RFR-063</v>
      </c>
      <c r="X505" s="8" t="s">
        <v>1419</v>
      </c>
      <c r="Y505" s="89">
        <f t="shared" si="853"/>
        <v>1</v>
      </c>
      <c r="Z505" s="60">
        <f t="shared" si="7"/>
        <v>1</v>
      </c>
      <c r="AA505" s="60" t="str">
        <f t="shared" si="8"/>
        <v/>
      </c>
      <c r="AB505" s="60">
        <f t="shared" si="9"/>
        <v>1</v>
      </c>
      <c r="AC505" s="30" t="str">
        <f t="shared" ref="AC505:AD505" si="860">IF(_xlfn.ISFORMULA(S505),IFERROR(0/0,""),TRUE)</f>
        <v/>
      </c>
      <c r="AD505" s="30" t="str">
        <f t="shared" si="860"/>
        <v/>
      </c>
      <c r="AE505" s="475" t="str">
        <f>IFERROR(__xludf.DUMMYFUNCTION("""COMPUTED_VALUE"""),"CRLN")</f>
        <v>CRLN</v>
      </c>
      <c r="AF505" s="476"/>
      <c r="AG505" s="474" t="s">
        <v>162</v>
      </c>
      <c r="AH505" s="138" t="str">
        <f t="shared" si="11"/>
        <v/>
      </c>
    </row>
    <row r="506">
      <c r="A506" s="103" t="str">
        <f>IFERROR(__xludf.DUMMYFUNCTION("""COMPUTED_VALUE"""),"FLT1392")</f>
        <v>FLT1392</v>
      </c>
      <c r="B506" s="468">
        <f>IFERROR(__xludf.DUMMYFUNCTION("""COMPUTED_VALUE"""),44578.0)</f>
        <v>44578</v>
      </c>
      <c r="C506" s="469">
        <f>IFERROR(__xludf.DUMMYFUNCTION("""COMPUTED_VALUE"""),0.6647800925925926)</f>
        <v>0.6647800926</v>
      </c>
      <c r="D506" s="103" t="str">
        <f>IFERROR(__xludf.DUMMYFUNCTION("""COMPUTED_VALUE"""),"SpFLMP309785")</f>
        <v>SpFLMP309785</v>
      </c>
      <c r="E506" s="103"/>
      <c r="F506" s="103"/>
      <c r="G506" s="103" t="str">
        <f>IFERROR(__xludf.DUMMYFUNCTION("""COMPUTED_VALUE"""),"Negative")</f>
        <v>Negative</v>
      </c>
      <c r="H506" s="131" t="str">
        <f>IFERROR(__xludf.DUMMYFUNCTION("""COMPUTED_VALUE"""),"Negative")</f>
        <v>Negative</v>
      </c>
      <c r="I506" s="468">
        <f>IFERROR(__xludf.DUMMYFUNCTION("""COMPUTED_VALUE"""),44578.0)</f>
        <v>44578</v>
      </c>
      <c r="J506" s="470">
        <f>IFERROR(__xludf.DUMMYFUNCTION("""COMPUTED_VALUE"""),0.8699537037037037)</f>
        <v>0.8699537037</v>
      </c>
      <c r="K506" s="16"/>
      <c r="L506" s="8"/>
      <c r="M506" s="69"/>
      <c r="N506" s="69">
        <f>IFERROR(__xludf.DUMMYFUNCTION("""COMPUTED_VALUE"""),4.0)</f>
        <v>4</v>
      </c>
      <c r="O506" s="69" t="str">
        <f t="shared" si="3"/>
        <v/>
      </c>
      <c r="P506" s="471">
        <f>IFERROR(__xludf.DUMMYFUNCTION("""COMPUTED_VALUE"""),0.0)</f>
        <v>0</v>
      </c>
      <c r="Q506" s="274" t="str">
        <f>VLOOKUP($B506,'Run Reconcile'!B$2:O2488,14,FALSE)</f>
        <v/>
      </c>
      <c r="R506" s="472" t="str">
        <f t="array" ref="R506">IF($Q506, INDEX('Run Reconcile'!A$2:A2488,MATCH(B506,'Run Reconcile'!B$2:B2488,0),1),IFERROR(0/0,""))</f>
        <v/>
      </c>
      <c r="S506" s="473" t="str">
        <f t="shared" si="694"/>
        <v/>
      </c>
      <c r="T506" s="473" t="b">
        <f t="shared" si="698"/>
        <v>1</v>
      </c>
      <c r="U506" s="275" t="str">
        <f t="array" ref="U506">IF(ISBLANK($R506), INDEX('Run Reconcile'!A$2:A2488, MATCH($B506, 'Run Reconcile'!B$2:B2488, 0)+Z506, 1), IFERROR(0/0,""))
</f>
        <v>RUN-FLMP_2022-01-17_RFR-063</v>
      </c>
      <c r="V506" s="474" t="str">
        <f t="shared" si="5"/>
        <v>RUN-FLMP_2022-01-17_RFR-063</v>
      </c>
      <c r="X506" s="8" t="s">
        <v>1420</v>
      </c>
      <c r="Y506" s="89">
        <f t="shared" si="853"/>
        <v>1</v>
      </c>
      <c r="Z506" s="60">
        <f t="shared" si="7"/>
        <v>1</v>
      </c>
      <c r="AA506" s="60" t="str">
        <f t="shared" si="8"/>
        <v/>
      </c>
      <c r="AB506" s="60">
        <f t="shared" si="9"/>
        <v>1</v>
      </c>
      <c r="AC506" s="30" t="str">
        <f t="shared" ref="AC506:AD506" si="861">IF(_xlfn.ISFORMULA(S506),IFERROR(0/0,""),TRUE)</f>
        <v/>
      </c>
      <c r="AD506" s="30" t="str">
        <f t="shared" si="861"/>
        <v/>
      </c>
      <c r="AE506" s="475" t="str">
        <f>IFERROR(__xludf.DUMMYFUNCTION("""COMPUTED_VALUE"""),"CRLN")</f>
        <v>CRLN</v>
      </c>
      <c r="AF506" s="476"/>
      <c r="AG506" s="474" t="s">
        <v>162</v>
      </c>
      <c r="AH506" s="138" t="str">
        <f t="shared" si="11"/>
        <v/>
      </c>
    </row>
    <row r="507">
      <c r="A507" s="103" t="str">
        <f>IFERROR(__xludf.DUMMYFUNCTION("""COMPUTED_VALUE"""),"FLT1164")</f>
        <v>FLT1164</v>
      </c>
      <c r="B507" s="468">
        <f>IFERROR(__xludf.DUMMYFUNCTION("""COMPUTED_VALUE"""),44578.0)</f>
        <v>44578</v>
      </c>
      <c r="C507" s="469">
        <f>IFERROR(__xludf.DUMMYFUNCTION("""COMPUTED_VALUE"""),0.6683333333333333)</f>
        <v>0.6683333333</v>
      </c>
      <c r="D507" s="103" t="str">
        <f>IFERROR(__xludf.DUMMYFUNCTION("""COMPUTED_VALUE"""),"SpFLMP268514")</f>
        <v>SpFLMP268514</v>
      </c>
      <c r="E507" s="103"/>
      <c r="F507" s="103"/>
      <c r="G507" s="103" t="str">
        <f>IFERROR(__xludf.DUMMYFUNCTION("""COMPUTED_VALUE"""),"Negative")</f>
        <v>Negative</v>
      </c>
      <c r="H507" s="131" t="str">
        <f>IFERROR(__xludf.DUMMYFUNCTION("""COMPUTED_VALUE"""),"Negative")</f>
        <v>Negative</v>
      </c>
      <c r="I507" s="468">
        <f>IFERROR(__xludf.DUMMYFUNCTION("""COMPUTED_VALUE"""),44578.0)</f>
        <v>44578</v>
      </c>
      <c r="J507" s="470">
        <f>IFERROR(__xludf.DUMMYFUNCTION("""COMPUTED_VALUE"""),0.8699652777777778)</f>
        <v>0.8699652778</v>
      </c>
      <c r="K507" s="16"/>
      <c r="L507" s="8"/>
      <c r="M507" s="69"/>
      <c r="N507" s="69">
        <f>IFERROR(__xludf.DUMMYFUNCTION("""COMPUTED_VALUE"""),4.0)</f>
        <v>4</v>
      </c>
      <c r="O507" s="69" t="str">
        <f t="shared" si="3"/>
        <v/>
      </c>
      <c r="P507" s="471">
        <f>IFERROR(__xludf.DUMMYFUNCTION("""COMPUTED_VALUE"""),0.0)</f>
        <v>0</v>
      </c>
      <c r="Q507" s="274" t="str">
        <f>VLOOKUP($B507,'Run Reconcile'!B$2:O2488,14,FALSE)</f>
        <v/>
      </c>
      <c r="R507" s="472" t="str">
        <f t="array" ref="R507">IF($Q507, INDEX('Run Reconcile'!A$2:A2488,MATCH(B507,'Run Reconcile'!B$2:B2488,0),1),IFERROR(0/0,""))</f>
        <v/>
      </c>
      <c r="S507" s="473" t="str">
        <f t="shared" si="694"/>
        <v/>
      </c>
      <c r="T507" s="473" t="b">
        <f t="shared" si="698"/>
        <v>1</v>
      </c>
      <c r="U507" s="275" t="str">
        <f t="array" ref="U507">IF(ISBLANK($R507), INDEX('Run Reconcile'!A$2:A2488, MATCH($B507, 'Run Reconcile'!B$2:B2488, 0)+Z507, 1), IFERROR(0/0,""))
</f>
        <v>RUN-FLMP_2022-01-17_RFR-063</v>
      </c>
      <c r="V507" s="474" t="str">
        <f t="shared" si="5"/>
        <v>RUN-FLMP_2022-01-17_RFR-063</v>
      </c>
      <c r="X507" s="8" t="s">
        <v>1421</v>
      </c>
      <c r="Y507" s="89">
        <f t="shared" si="853"/>
        <v>1</v>
      </c>
      <c r="Z507" s="60">
        <f t="shared" si="7"/>
        <v>1</v>
      </c>
      <c r="AA507" s="60" t="str">
        <f t="shared" si="8"/>
        <v/>
      </c>
      <c r="AB507" s="60">
        <f t="shared" si="9"/>
        <v>1</v>
      </c>
      <c r="AC507" s="30" t="str">
        <f t="shared" ref="AC507:AD507" si="862">IF(_xlfn.ISFORMULA(S507),IFERROR(0/0,""),TRUE)</f>
        <v/>
      </c>
      <c r="AD507" s="30" t="str">
        <f t="shared" si="862"/>
        <v/>
      </c>
      <c r="AE507" s="475" t="str">
        <f>IFERROR(__xludf.DUMMYFUNCTION("""COMPUTED_VALUE"""),"CRLN")</f>
        <v>CRLN</v>
      </c>
      <c r="AF507" s="476"/>
      <c r="AG507" s="474" t="s">
        <v>162</v>
      </c>
      <c r="AH507" s="138" t="str">
        <f t="shared" si="11"/>
        <v/>
      </c>
    </row>
    <row r="508">
      <c r="A508" s="103" t="str">
        <f>IFERROR(__xludf.DUMMYFUNCTION("""COMPUTED_VALUE"""),"FLE203")</f>
        <v>FLE203</v>
      </c>
      <c r="B508" s="468">
        <f>IFERROR(__xludf.DUMMYFUNCTION("""COMPUTED_VALUE"""),44578.0)</f>
        <v>44578</v>
      </c>
      <c r="C508" s="469">
        <f>IFERROR(__xludf.DUMMYFUNCTION("""COMPUTED_VALUE"""),0.6893402777777777)</f>
        <v>0.6893402778</v>
      </c>
      <c r="D508" s="103" t="str">
        <f>IFERROR(__xludf.DUMMYFUNCTION("""COMPUTED_VALUE"""),"SpFLMP684798")</f>
        <v>SpFLMP684798</v>
      </c>
      <c r="E508" s="103"/>
      <c r="F508" s="103"/>
      <c r="G508" s="103" t="str">
        <f>IFERROR(__xludf.DUMMYFUNCTION("""COMPUTED_VALUE"""),"Negative")</f>
        <v>Negative</v>
      </c>
      <c r="H508" s="131" t="str">
        <f>IFERROR(__xludf.DUMMYFUNCTION("""COMPUTED_VALUE"""),"Negative")</f>
        <v>Negative</v>
      </c>
      <c r="I508" s="468">
        <f>IFERROR(__xludf.DUMMYFUNCTION("""COMPUTED_VALUE"""),44578.0)</f>
        <v>44578</v>
      </c>
      <c r="J508" s="470">
        <f>IFERROR(__xludf.DUMMYFUNCTION("""COMPUTED_VALUE"""),0.8699652777777778)</f>
        <v>0.8699652778</v>
      </c>
      <c r="K508" s="16"/>
      <c r="L508" s="8"/>
      <c r="M508" s="69"/>
      <c r="N508" s="69">
        <f>IFERROR(__xludf.DUMMYFUNCTION("""COMPUTED_VALUE"""),3.0)</f>
        <v>3</v>
      </c>
      <c r="O508" s="69" t="str">
        <f t="shared" si="3"/>
        <v/>
      </c>
      <c r="P508" s="471">
        <f>IFERROR(__xludf.DUMMYFUNCTION("""COMPUTED_VALUE"""),0.0)</f>
        <v>0</v>
      </c>
      <c r="Q508" s="274" t="str">
        <f>VLOOKUP($B508,'Run Reconcile'!B$2:O2488,14,FALSE)</f>
        <v/>
      </c>
      <c r="R508" s="472" t="str">
        <f t="array" ref="R508">IF($Q508, INDEX('Run Reconcile'!A$2:A2488,MATCH(B508,'Run Reconcile'!B$2:B2488,0),1),IFERROR(0/0,""))</f>
        <v/>
      </c>
      <c r="S508" s="473" t="str">
        <f t="shared" si="694"/>
        <v/>
      </c>
      <c r="T508" s="473" t="b">
        <f t="shared" si="698"/>
        <v>1</v>
      </c>
      <c r="U508" s="275" t="str">
        <f t="array" ref="U508">IF(ISBLANK($R508), INDEX('Run Reconcile'!A$2:A2488, MATCH($B508, 'Run Reconcile'!B$2:B2488, 0)+Z508, 1), IFERROR(0/0,""))
</f>
        <v>RUN-FLMP_2022-01-17_RFR-063</v>
      </c>
      <c r="V508" s="474" t="str">
        <f t="shared" si="5"/>
        <v>RUN-FLMP_2022-01-17_RFR-063</v>
      </c>
      <c r="X508" s="8" t="s">
        <v>1422</v>
      </c>
      <c r="Y508" s="89">
        <f t="shared" si="853"/>
        <v>1</v>
      </c>
      <c r="Z508" s="60">
        <f t="shared" si="7"/>
        <v>1</v>
      </c>
      <c r="AA508" s="60" t="str">
        <f t="shared" si="8"/>
        <v/>
      </c>
      <c r="AB508" s="60">
        <f t="shared" si="9"/>
        <v>1</v>
      </c>
      <c r="AC508" s="30" t="str">
        <f t="shared" ref="AC508:AD508" si="863">IF(_xlfn.ISFORMULA(S508),IFERROR(0/0,""),TRUE)</f>
        <v/>
      </c>
      <c r="AD508" s="30" t="str">
        <f t="shared" si="863"/>
        <v/>
      </c>
      <c r="AE508" s="475" t="str">
        <f>IFERROR(__xludf.DUMMYFUNCTION("""COMPUTED_VALUE"""),"CRLN")</f>
        <v>CRLN</v>
      </c>
      <c r="AF508" s="476"/>
      <c r="AG508" s="474" t="s">
        <v>162</v>
      </c>
      <c r="AH508" s="138" t="str">
        <f t="shared" si="11"/>
        <v/>
      </c>
    </row>
    <row r="509">
      <c r="A509" s="103" t="str">
        <f>IFERROR(__xludf.DUMMYFUNCTION("""COMPUTED_VALUE"""),"FLB4955")</f>
        <v>FLB4955</v>
      </c>
      <c r="B509" s="468">
        <f>IFERROR(__xludf.DUMMYFUNCTION("""COMPUTED_VALUE"""),44578.0)</f>
        <v>44578</v>
      </c>
      <c r="C509" s="469">
        <f>IFERROR(__xludf.DUMMYFUNCTION("""COMPUTED_VALUE"""),0.7501851851851852)</f>
        <v>0.7501851852</v>
      </c>
      <c r="D509" s="103" t="str">
        <f>IFERROR(__xludf.DUMMYFUNCTION("""COMPUTED_VALUE"""),"SpFLMP496039")</f>
        <v>SpFLMP496039</v>
      </c>
      <c r="E509" s="103"/>
      <c r="F509" s="103"/>
      <c r="G509" s="103" t="str">
        <f>IFERROR(__xludf.DUMMYFUNCTION("""COMPUTED_VALUE"""),"Negative")</f>
        <v>Negative</v>
      </c>
      <c r="H509" s="131" t="str">
        <f>IFERROR(__xludf.DUMMYFUNCTION("""COMPUTED_VALUE"""),"Negative")</f>
        <v>Negative</v>
      </c>
      <c r="I509" s="468">
        <f>IFERROR(__xludf.DUMMYFUNCTION("""COMPUTED_VALUE"""),44578.0)</f>
        <v>44578</v>
      </c>
      <c r="J509" s="470">
        <f>IFERROR(__xludf.DUMMYFUNCTION("""COMPUTED_VALUE"""),0.8699652777777778)</f>
        <v>0.8699652778</v>
      </c>
      <c r="K509" s="16"/>
      <c r="L509" s="8"/>
      <c r="M509" s="69"/>
      <c r="N509" s="69">
        <f>IFERROR(__xludf.DUMMYFUNCTION("""COMPUTED_VALUE"""),1.0)</f>
        <v>1</v>
      </c>
      <c r="O509" s="69" t="str">
        <f t="shared" si="3"/>
        <v/>
      </c>
      <c r="P509" s="471">
        <f>IFERROR(__xludf.DUMMYFUNCTION("""COMPUTED_VALUE"""),0.0)</f>
        <v>0</v>
      </c>
      <c r="Q509" s="274" t="str">
        <f>VLOOKUP($B509,'Run Reconcile'!B$2:O2488,14,FALSE)</f>
        <v/>
      </c>
      <c r="R509" s="472" t="str">
        <f t="array" ref="R509">IF($Q509, INDEX('Run Reconcile'!A$2:A2488,MATCH(B509,'Run Reconcile'!B$2:B2488,0),1),IFERROR(0/0,""))</f>
        <v/>
      </c>
      <c r="S509" s="473" t="str">
        <f t="shared" si="694"/>
        <v/>
      </c>
      <c r="T509" s="473" t="b">
        <f t="shared" si="698"/>
        <v>1</v>
      </c>
      <c r="U509" s="275" t="str">
        <f t="array" ref="U509">IF(ISBLANK($R509), INDEX('Run Reconcile'!A$2:A2488, MATCH($B509, 'Run Reconcile'!B$2:B2488, 0)+Z509, 1), IFERROR(0/0,""))
</f>
        <v>RUN-FLMP_2022-01-17_RFR-063</v>
      </c>
      <c r="V509" s="474" t="str">
        <f t="shared" si="5"/>
        <v>RUN-FLMP_2022-01-17_RFR-063</v>
      </c>
      <c r="X509" s="8" t="s">
        <v>1423</v>
      </c>
      <c r="Y509" s="89">
        <f t="shared" si="853"/>
        <v>1</v>
      </c>
      <c r="Z509" s="60">
        <f t="shared" si="7"/>
        <v>1</v>
      </c>
      <c r="AA509" s="60" t="str">
        <f t="shared" si="8"/>
        <v/>
      </c>
      <c r="AB509" s="60">
        <f t="shared" si="9"/>
        <v>1</v>
      </c>
      <c r="AC509" s="30" t="str">
        <f t="shared" ref="AC509:AD509" si="864">IF(_xlfn.ISFORMULA(S509),IFERROR(0/0,""),TRUE)</f>
        <v/>
      </c>
      <c r="AD509" s="30" t="str">
        <f t="shared" si="864"/>
        <v/>
      </c>
      <c r="AE509" s="475" t="str">
        <f>IFERROR(__xludf.DUMMYFUNCTION("""COMPUTED_VALUE"""),"CRLN")</f>
        <v>CRLN</v>
      </c>
      <c r="AF509" s="476"/>
      <c r="AG509" s="474" t="s">
        <v>162</v>
      </c>
      <c r="AH509" s="138" t="str">
        <f t="shared" si="11"/>
        <v/>
      </c>
    </row>
    <row r="510">
      <c r="A510" s="459" t="str">
        <f>IFERROR(__xludf.DUMMYFUNCTION("""COMPUTED_VALUE"""),"FLT1494")</f>
        <v>FLT1494</v>
      </c>
      <c r="B510" s="494">
        <f>IFERROR(__xludf.DUMMYFUNCTION("""COMPUTED_VALUE"""),44578.0)</f>
        <v>44578</v>
      </c>
      <c r="C510" s="495">
        <f>IFERROR(__xludf.DUMMYFUNCTION("""COMPUTED_VALUE"""),0.7827430555555556)</f>
        <v>0.7827430556</v>
      </c>
      <c r="D510" s="459" t="str">
        <f>IFERROR(__xludf.DUMMYFUNCTION("""COMPUTED_VALUE"""),"SpFLMP904576")</f>
        <v>SpFLMP904576</v>
      </c>
      <c r="E510" s="459"/>
      <c r="F510" s="459"/>
      <c r="G510" s="459" t="str">
        <f>IFERROR(__xludf.DUMMYFUNCTION("""COMPUTED_VALUE"""),"Negative")</f>
        <v>Negative</v>
      </c>
      <c r="H510" s="496" t="str">
        <f>IFERROR(__xludf.DUMMYFUNCTION("""COMPUTED_VALUE"""),"Negative")</f>
        <v>Negative</v>
      </c>
      <c r="I510" s="494">
        <f>IFERROR(__xludf.DUMMYFUNCTION("""COMPUTED_VALUE"""),44579.0)</f>
        <v>44579</v>
      </c>
      <c r="J510" s="497">
        <f>IFERROR(__xludf.DUMMYFUNCTION("""COMPUTED_VALUE"""),0.2937152777777778)</f>
        <v>0.2937152778</v>
      </c>
      <c r="K510" s="117"/>
      <c r="L510" s="110"/>
      <c r="M510" s="518"/>
      <c r="N510" s="518">
        <f>IFERROR(__xludf.DUMMYFUNCTION("""COMPUTED_VALUE"""),3.0)</f>
        <v>3</v>
      </c>
      <c r="O510" s="518" t="str">
        <f t="shared" si="3"/>
        <v/>
      </c>
      <c r="P510" s="471">
        <f>IFERROR(__xludf.DUMMYFUNCTION("""COMPUTED_VALUE"""),1.0)</f>
        <v>1</v>
      </c>
      <c r="Q510" s="519" t="str">
        <f>VLOOKUP($B510,'Run Reconcile'!B$2:O2488,14,FALSE)</f>
        <v/>
      </c>
      <c r="R510" s="520" t="str">
        <f t="array" ref="R510">IF($Q510, INDEX('Run Reconcile'!A$2:A2488,MATCH(B510,'Run Reconcile'!B$2:B2488,0),1),IFERROR(0/0,""))</f>
        <v/>
      </c>
      <c r="S510" s="521" t="b">
        <f t="shared" si="694"/>
        <v>1</v>
      </c>
      <c r="T510" s="521" t="str">
        <f t="shared" si="698"/>
        <v/>
      </c>
      <c r="U510" s="491" t="str">
        <f t="array" ref="U510">IF(ISBLANK($R510), INDEX('Run Reconcile'!A$2:A2488, MATCH($B510, 'Run Reconcile'!B$2:B2488, 0)+Z510, 1), IFERROR(0/0,""))
</f>
        <v>RUN-FLMP_2022-01-18_RFR-065</v>
      </c>
      <c r="V510" s="529" t="str">
        <f t="shared" si="5"/>
        <v>RUN-FLMP_2022-01-18_RFR-065</v>
      </c>
      <c r="W510" s="8" t="s">
        <v>1424</v>
      </c>
      <c r="Y510" s="21">
        <v>2.0</v>
      </c>
      <c r="Z510" s="60">
        <f t="shared" si="7"/>
        <v>2</v>
      </c>
      <c r="AA510" s="60">
        <f t="shared" si="8"/>
        <v>2</v>
      </c>
      <c r="AB510" s="60" t="str">
        <f t="shared" si="9"/>
        <v/>
      </c>
      <c r="AC510" s="30" t="str">
        <f t="shared" ref="AC510:AD510" si="865">IF(_xlfn.ISFORMULA(S510),IFERROR(0/0,""),TRUE)</f>
        <v/>
      </c>
      <c r="AD510" s="30" t="str">
        <f t="shared" si="865"/>
        <v/>
      </c>
      <c r="AE510" s="475" t="str">
        <f>IFERROR(__xludf.DUMMYFUNCTION("""COMPUTED_VALUE"""),"CRLN")</f>
        <v>CRLN</v>
      </c>
      <c r="AF510" s="476"/>
      <c r="AG510" s="529" t="s">
        <v>163</v>
      </c>
      <c r="AH510" s="138" t="str">
        <f t="shared" si="11"/>
        <v/>
      </c>
    </row>
    <row r="511">
      <c r="A511" s="477" t="str">
        <f>IFERROR(__xludf.DUMMYFUNCTION("""COMPUTED_VALUE"""),"FL1166")</f>
        <v>FL1166</v>
      </c>
      <c r="B511" s="478">
        <f>IFERROR(__xludf.DUMMYFUNCTION("""COMPUTED_VALUE"""),44579.0)</f>
        <v>44579</v>
      </c>
      <c r="C511" s="479">
        <f>IFERROR(__xludf.DUMMYFUNCTION("""COMPUTED_VALUE"""),0.5350925925925926)</f>
        <v>0.5350925926</v>
      </c>
      <c r="D511" s="477" t="str">
        <f>IFERROR(__xludf.DUMMYFUNCTION("""COMPUTED_VALUE"""),"SpFLMP683554")</f>
        <v>SpFLMP683554</v>
      </c>
      <c r="E511" s="477"/>
      <c r="F511" s="477"/>
      <c r="G511" s="477" t="str">
        <f>IFERROR(__xludf.DUMMYFUNCTION("""COMPUTED_VALUE"""),"Negative")</f>
        <v>Negative</v>
      </c>
      <c r="H511" s="480" t="str">
        <f>IFERROR(__xludf.DUMMYFUNCTION("""COMPUTED_VALUE"""),"Negative")</f>
        <v>Negative</v>
      </c>
      <c r="I511" s="478">
        <f>IFERROR(__xludf.DUMMYFUNCTION("""COMPUTED_VALUE"""),44579.0)</f>
        <v>44579</v>
      </c>
      <c r="J511" s="481">
        <f>IFERROR(__xludf.DUMMYFUNCTION("""COMPUTED_VALUE"""),0.8023842592592593)</f>
        <v>0.8023842593</v>
      </c>
      <c r="K511" s="156"/>
      <c r="L511" s="19" t="str">
        <f>IFERROR(__xludf.DUMMYFUNCTION("""COMPUTED_VALUE"""),"conclude collect and result date is bug in app")</f>
        <v>conclude collect and result date is bug in app</v>
      </c>
      <c r="M511" s="482"/>
      <c r="N511" s="482">
        <f>IFERROR(__xludf.DUMMYFUNCTION("""COMPUTED_VALUE"""),1.0)</f>
        <v>1</v>
      </c>
      <c r="O511" s="482" t="b">
        <f t="shared" si="3"/>
        <v>1</v>
      </c>
      <c r="P511" s="483">
        <f>IFERROR(__xludf.DUMMYFUNCTION("""COMPUTED_VALUE"""),0.0)</f>
        <v>0</v>
      </c>
      <c r="Q511" s="352" t="str">
        <f>VLOOKUP($B511,'Run Reconcile'!B$2:O2488,14,FALSE)</f>
        <v/>
      </c>
      <c r="R511" s="484" t="str">
        <f t="array" ref="R511">IF($Q511, INDEX('Run Reconcile'!A$2:A2488,MATCH(B511,'Run Reconcile'!B$2:B2488,0),1),IFERROR(0/0,""))</f>
        <v/>
      </c>
      <c r="S511" s="485" t="str">
        <f t="shared" si="694"/>
        <v/>
      </c>
      <c r="T511" s="485" t="b">
        <f t="shared" si="698"/>
        <v>1</v>
      </c>
      <c r="U511" s="353" t="str">
        <f t="array" ref="U511">IF(ISBLANK($R511), INDEX('Run Reconcile'!A$2:A2488, MATCH($B511, 'Run Reconcile'!B$2:B2488, 0)+Z511, 1), IFERROR(0/0,""))
</f>
        <v>RUN-FLMP_2022-01-18_RFR-066</v>
      </c>
      <c r="V511" s="486" t="str">
        <f t="shared" si="5"/>
        <v>RUN-FLMP_2022-01-18_RFR-066</v>
      </c>
      <c r="W511" s="19"/>
      <c r="X511" s="19" t="s">
        <v>1425</v>
      </c>
      <c r="Y511" s="89">
        <f t="shared" ref="Y511:Y1183" si="867">IF(AND(ISBLANK(W511),ISBLANK(X511)),IFERROR(0/0,""),1)</f>
        <v>1</v>
      </c>
      <c r="Z511" s="60">
        <f t="shared" si="7"/>
        <v>1</v>
      </c>
      <c r="AA511" s="60" t="str">
        <f t="shared" si="8"/>
        <v/>
      </c>
      <c r="AB511" s="60">
        <f t="shared" si="9"/>
        <v>1</v>
      </c>
      <c r="AC511" s="158" t="str">
        <f t="shared" ref="AC511:AD511" si="866">IF(_xlfn.ISFORMULA(S511),IFERROR(0/0,""),TRUE)</f>
        <v/>
      </c>
      <c r="AD511" s="158" t="str">
        <f t="shared" si="866"/>
        <v/>
      </c>
      <c r="AE511" s="488" t="str">
        <f>IFERROR(__xludf.DUMMYFUNCTION("""COMPUTED_VALUE"""),"CRLN")</f>
        <v>CRLN</v>
      </c>
      <c r="AF511" s="489"/>
      <c r="AG511" s="486" t="s">
        <v>164</v>
      </c>
      <c r="AH511" s="138" t="str">
        <f t="shared" si="11"/>
        <v/>
      </c>
      <c r="AI511" s="19"/>
      <c r="AJ511" s="19"/>
      <c r="AK511" s="19"/>
      <c r="AL511" s="19"/>
      <c r="AM511" s="19"/>
    </row>
    <row r="512">
      <c r="A512" s="477" t="str">
        <f>IFERROR(__xludf.DUMMYFUNCTION("""COMPUTED_VALUE"""),"FLT1499")</f>
        <v>FLT1499</v>
      </c>
      <c r="B512" s="478">
        <f>IFERROR(__xludf.DUMMYFUNCTION("""COMPUTED_VALUE"""),44580.0)</f>
        <v>44580</v>
      </c>
      <c r="C512" s="479">
        <f>IFERROR(__xludf.DUMMYFUNCTION("""COMPUTED_VALUE"""),0.6359259259259259)</f>
        <v>0.6359259259</v>
      </c>
      <c r="D512" s="477" t="str">
        <f>IFERROR(__xludf.DUMMYFUNCTION("""COMPUTED_VALUE"""),"SpFLMP273885")</f>
        <v>SpFLMP273885</v>
      </c>
      <c r="E512" s="477"/>
      <c r="F512" s="477"/>
      <c r="G512" s="477" t="str">
        <f>IFERROR(__xludf.DUMMYFUNCTION("""COMPUTED_VALUE"""),"Negative")</f>
        <v>Negative</v>
      </c>
      <c r="H512" s="480" t="str">
        <f>IFERROR(__xludf.DUMMYFUNCTION("""COMPUTED_VALUE"""),"Negative")</f>
        <v>Negative</v>
      </c>
      <c r="I512" s="478">
        <f>IFERROR(__xludf.DUMMYFUNCTION("""COMPUTED_VALUE"""),44581.0)</f>
        <v>44581</v>
      </c>
      <c r="J512" s="481">
        <f>IFERROR(__xludf.DUMMYFUNCTION("""COMPUTED_VALUE"""),0.45371527777777776)</f>
        <v>0.4537152778</v>
      </c>
      <c r="K512" s="156"/>
      <c r="L512" s="19"/>
      <c r="M512" s="482"/>
      <c r="N512" s="482">
        <f>IFERROR(__xludf.DUMMYFUNCTION("""COMPUTED_VALUE"""),3.0)</f>
        <v>3</v>
      </c>
      <c r="O512" s="482" t="b">
        <f t="shared" si="3"/>
        <v>1</v>
      </c>
      <c r="P512" s="483">
        <f>IFERROR(__xludf.DUMMYFUNCTION("""COMPUTED_VALUE"""),1.0)</f>
        <v>1</v>
      </c>
      <c r="Q512" s="352" t="str">
        <f>VLOOKUP($B512,'Run Reconcile'!B$2:O2488,14,FALSE)</f>
        <v/>
      </c>
      <c r="R512" s="484" t="str">
        <f t="array" ref="R512">IF($Q512, INDEX('Run Reconcile'!A$2:A2488,MATCH(B512,'Run Reconcile'!B$2:B2488,0),1),IFERROR(0/0,""))</f>
        <v/>
      </c>
      <c r="S512" s="485" t="b">
        <f t="shared" si="694"/>
        <v>1</v>
      </c>
      <c r="T512" s="485" t="str">
        <f t="shared" si="698"/>
        <v/>
      </c>
      <c r="U512" s="353" t="str">
        <f t="array" ref="U512">IF(ISBLANK($R512), INDEX('Run Reconcile'!A$2:A2488, MATCH($B512, 'Run Reconcile'!B$2:B2488, 0)+Z512, 1), IFERROR(0/0,""))
</f>
        <v>RUN-FLMP_2022-01-20_RFR-067</v>
      </c>
      <c r="V512" s="486" t="str">
        <f t="shared" si="5"/>
        <v>RUN-FLMP_2022-01-20_RFR-067</v>
      </c>
      <c r="W512" s="19" t="s">
        <v>1426</v>
      </c>
      <c r="X512" s="19"/>
      <c r="Y512" s="89">
        <f t="shared" si="867"/>
        <v>1</v>
      </c>
      <c r="Z512" s="60">
        <f t="shared" si="7"/>
        <v>1</v>
      </c>
      <c r="AA512" s="60">
        <f t="shared" si="8"/>
        <v>1</v>
      </c>
      <c r="AB512" s="60" t="str">
        <f t="shared" si="9"/>
        <v/>
      </c>
      <c r="AC512" s="158" t="str">
        <f t="shared" ref="AC512:AD512" si="868">IF(_xlfn.ISFORMULA(S512),IFERROR(0/0,""),TRUE)</f>
        <v/>
      </c>
      <c r="AD512" s="158" t="str">
        <f t="shared" si="868"/>
        <v/>
      </c>
      <c r="AE512" s="488" t="str">
        <f>IFERROR(__xludf.DUMMYFUNCTION("""COMPUTED_VALUE"""),"CRLN")</f>
        <v>CRLN</v>
      </c>
      <c r="AF512" s="489"/>
      <c r="AG512" s="486" t="s">
        <v>165</v>
      </c>
      <c r="AH512" s="138" t="str">
        <f t="shared" si="11"/>
        <v/>
      </c>
      <c r="AI512" s="19"/>
      <c r="AJ512" s="19"/>
      <c r="AK512" s="19"/>
      <c r="AL512" s="19"/>
      <c r="AM512" s="19"/>
    </row>
    <row r="513">
      <c r="A513" s="103" t="str">
        <f>IFERROR(__xludf.DUMMYFUNCTION("""COMPUTED_VALUE"""),"FLT1462")</f>
        <v>FLT1462</v>
      </c>
      <c r="B513" s="468">
        <f>IFERROR(__xludf.DUMMYFUNCTION("""COMPUTED_VALUE"""),44580.0)</f>
        <v>44580</v>
      </c>
      <c r="C513" s="469">
        <f>IFERROR(__xludf.DUMMYFUNCTION("""COMPUTED_VALUE"""),0.7259027777777778)</f>
        <v>0.7259027778</v>
      </c>
      <c r="D513" s="103" t="str">
        <f>IFERROR(__xludf.DUMMYFUNCTION("""COMPUTED_VALUE"""),"SpFLMP518914")</f>
        <v>SpFLMP518914</v>
      </c>
      <c r="E513" s="103"/>
      <c r="F513" s="103"/>
      <c r="G513" s="103" t="str">
        <f>IFERROR(__xludf.DUMMYFUNCTION("""COMPUTED_VALUE"""),"Negative")</f>
        <v>Negative</v>
      </c>
      <c r="H513" s="131" t="str">
        <f>IFERROR(__xludf.DUMMYFUNCTION("""COMPUTED_VALUE"""),"Negative")</f>
        <v>Negative</v>
      </c>
      <c r="I513" s="468">
        <f>IFERROR(__xludf.DUMMYFUNCTION("""COMPUTED_VALUE"""),44581.0)</f>
        <v>44581</v>
      </c>
      <c r="J513" s="470">
        <f>IFERROR(__xludf.DUMMYFUNCTION("""COMPUTED_VALUE"""),0.4621412037037037)</f>
        <v>0.4621412037</v>
      </c>
      <c r="K513" s="16"/>
      <c r="L513" s="8"/>
      <c r="M513" s="69"/>
      <c r="N513" s="69">
        <f>IFERROR(__xludf.DUMMYFUNCTION("""COMPUTED_VALUE"""),1.0)</f>
        <v>1</v>
      </c>
      <c r="O513" s="69" t="str">
        <f t="shared" si="3"/>
        <v/>
      </c>
      <c r="P513" s="471">
        <f>IFERROR(__xludf.DUMMYFUNCTION("""COMPUTED_VALUE"""),1.0)</f>
        <v>1</v>
      </c>
      <c r="Q513" s="274" t="str">
        <f>VLOOKUP($B513,'Run Reconcile'!B$2:O2488,14,FALSE)</f>
        <v/>
      </c>
      <c r="R513" s="472" t="str">
        <f t="array" ref="R513">IF($Q513, INDEX('Run Reconcile'!A$2:A2488,MATCH(B513,'Run Reconcile'!B$2:B2488,0),1),IFERROR(0/0,""))</f>
        <v/>
      </c>
      <c r="S513" s="473" t="b">
        <f t="shared" si="694"/>
        <v>1</v>
      </c>
      <c r="T513" s="473" t="str">
        <f t="shared" si="698"/>
        <v/>
      </c>
      <c r="U513" s="275" t="str">
        <f t="array" ref="U513">IF(ISBLANK($R513), INDEX('Run Reconcile'!A$2:A2488, MATCH($B513, 'Run Reconcile'!B$2:B2488, 0)+Z513, 1), IFERROR(0/0,""))
</f>
        <v>RUN-FLMP_2022-01-20_RFR-067</v>
      </c>
      <c r="V513" s="474" t="str">
        <f t="shared" si="5"/>
        <v>RUN-FLMP_2022-01-20_RFR-067</v>
      </c>
      <c r="W513" s="8" t="s">
        <v>1427</v>
      </c>
      <c r="Y513" s="89">
        <f t="shared" si="867"/>
        <v>1</v>
      </c>
      <c r="Z513" s="60">
        <f t="shared" si="7"/>
        <v>1</v>
      </c>
      <c r="AA513" s="60">
        <f t="shared" si="8"/>
        <v>1</v>
      </c>
      <c r="AB513" s="60" t="str">
        <f t="shared" si="9"/>
        <v/>
      </c>
      <c r="AC513" s="30" t="str">
        <f t="shared" ref="AC513:AD513" si="869">IF(_xlfn.ISFORMULA(S513),IFERROR(0/0,""),TRUE)</f>
        <v/>
      </c>
      <c r="AD513" s="30" t="str">
        <f t="shared" si="869"/>
        <v/>
      </c>
      <c r="AE513" s="475" t="str">
        <f>IFERROR(__xludf.DUMMYFUNCTION("""COMPUTED_VALUE"""),"CRLN")</f>
        <v>CRLN</v>
      </c>
      <c r="AF513" s="476"/>
      <c r="AG513" s="474" t="s">
        <v>165</v>
      </c>
      <c r="AH513" s="138" t="str">
        <f t="shared" si="11"/>
        <v/>
      </c>
    </row>
    <row r="514">
      <c r="A514" s="103" t="str">
        <f>IFERROR(__xludf.DUMMYFUNCTION("""COMPUTED_VALUE"""),"FLE838")</f>
        <v>FLE838</v>
      </c>
      <c r="B514" s="468">
        <f>IFERROR(__xludf.DUMMYFUNCTION("""COMPUTED_VALUE"""),44580.0)</f>
        <v>44580</v>
      </c>
      <c r="C514" s="469">
        <f>IFERROR(__xludf.DUMMYFUNCTION("""COMPUTED_VALUE"""),0.8186805555555555)</f>
        <v>0.8186805556</v>
      </c>
      <c r="D514" s="103" t="str">
        <f>IFERROR(__xludf.DUMMYFUNCTION("""COMPUTED_VALUE"""),"SpFLMP399694")</f>
        <v>SpFLMP399694</v>
      </c>
      <c r="E514" s="103"/>
      <c r="F514" s="103"/>
      <c r="G514" s="103" t="str">
        <f>IFERROR(__xludf.DUMMYFUNCTION("""COMPUTED_VALUE"""),"Negative")</f>
        <v>Negative</v>
      </c>
      <c r="H514" s="131" t="str">
        <f>IFERROR(__xludf.DUMMYFUNCTION("""COMPUTED_VALUE"""),"Negative")</f>
        <v>Negative</v>
      </c>
      <c r="I514" s="468">
        <f>IFERROR(__xludf.DUMMYFUNCTION("""COMPUTED_VALUE"""),44581.0)</f>
        <v>44581</v>
      </c>
      <c r="J514" s="470">
        <f>IFERROR(__xludf.DUMMYFUNCTION("""COMPUTED_VALUE"""),0.8375694444444445)</f>
        <v>0.8375694444</v>
      </c>
      <c r="K514" s="16"/>
      <c r="L514" s="8"/>
      <c r="M514" s="69"/>
      <c r="N514" s="69">
        <f>IFERROR(__xludf.DUMMYFUNCTION("""COMPUTED_VALUE"""),4.0)</f>
        <v>4</v>
      </c>
      <c r="O514" s="69" t="str">
        <f t="shared" si="3"/>
        <v/>
      </c>
      <c r="P514" s="471">
        <f>IFERROR(__xludf.DUMMYFUNCTION("""COMPUTED_VALUE"""),1.0)</f>
        <v>1</v>
      </c>
      <c r="Q514" s="274" t="str">
        <f>VLOOKUP($B514,'Run Reconcile'!B$2:O2488,14,FALSE)</f>
        <v/>
      </c>
      <c r="R514" s="472" t="str">
        <f t="array" ref="R514">IF($Q514, INDEX('Run Reconcile'!A$2:A2488,MATCH(B514,'Run Reconcile'!B$2:B2488,0),1),IFERROR(0/0,""))</f>
        <v/>
      </c>
      <c r="S514" s="473" t="b">
        <f t="shared" si="694"/>
        <v>1</v>
      </c>
      <c r="T514" s="473" t="str">
        <f t="shared" si="698"/>
        <v/>
      </c>
      <c r="U514" s="275" t="str">
        <f t="array" ref="U514">IF(ISBLANK($R514), INDEX('Run Reconcile'!A$2:A2488, MATCH($B514, 'Run Reconcile'!B$2:B2488, 0)+Z514, 1), IFERROR(0/0,""))
</f>
        <v>RUN-FLMP_2022-01-20_RFR-067</v>
      </c>
      <c r="V514" s="474" t="str">
        <f t="shared" si="5"/>
        <v>RUN-FLMP_2022-01-20_RFR-067</v>
      </c>
      <c r="W514" s="8" t="s">
        <v>1188</v>
      </c>
      <c r="Y514" s="89">
        <f t="shared" si="867"/>
        <v>1</v>
      </c>
      <c r="Z514" s="60">
        <f t="shared" si="7"/>
        <v>1</v>
      </c>
      <c r="AA514" s="60">
        <f t="shared" si="8"/>
        <v>1</v>
      </c>
      <c r="AB514" s="60" t="str">
        <f t="shared" si="9"/>
        <v/>
      </c>
      <c r="AC514" s="30" t="str">
        <f t="shared" ref="AC514:AD514" si="870">IF(_xlfn.ISFORMULA(S514),IFERROR(0/0,""),TRUE)</f>
        <v/>
      </c>
      <c r="AD514" s="30" t="str">
        <f t="shared" si="870"/>
        <v/>
      </c>
      <c r="AE514" s="475" t="str">
        <f>IFERROR(__xludf.DUMMYFUNCTION("""COMPUTED_VALUE"""),"CRLN")</f>
        <v>CRLN</v>
      </c>
      <c r="AF514" s="476"/>
      <c r="AG514" s="474" t="s">
        <v>165</v>
      </c>
      <c r="AH514" s="138" t="str">
        <f t="shared" si="11"/>
        <v/>
      </c>
    </row>
    <row r="515">
      <c r="A515" s="103" t="str">
        <f>IFERROR(__xludf.DUMMYFUNCTION("""COMPUTED_VALUE"""),"FLT1506")</f>
        <v>FLT1506</v>
      </c>
      <c r="B515" s="468">
        <f>IFERROR(__xludf.DUMMYFUNCTION("""COMPUTED_VALUE"""),44580.0)</f>
        <v>44580</v>
      </c>
      <c r="C515" s="469">
        <f>IFERROR(__xludf.DUMMYFUNCTION("""COMPUTED_VALUE"""),0.8479282407407407)</f>
        <v>0.8479282407</v>
      </c>
      <c r="D515" s="103" t="str">
        <f>IFERROR(__xludf.DUMMYFUNCTION("""COMPUTED_VALUE"""),"SpFLMP904576")</f>
        <v>SpFLMP904576</v>
      </c>
      <c r="E515" s="103"/>
      <c r="F515" s="103"/>
      <c r="G515" s="103" t="str">
        <f>IFERROR(__xludf.DUMMYFUNCTION("""COMPUTED_VALUE"""),"Negative")</f>
        <v>Negative</v>
      </c>
      <c r="H515" s="131" t="str">
        <f>IFERROR(__xludf.DUMMYFUNCTION("""COMPUTED_VALUE"""),"Negative")</f>
        <v>Negative</v>
      </c>
      <c r="I515" s="468">
        <f>IFERROR(__xludf.DUMMYFUNCTION("""COMPUTED_VALUE"""),44581.0)</f>
        <v>44581</v>
      </c>
      <c r="J515" s="470">
        <f>IFERROR(__xludf.DUMMYFUNCTION("""COMPUTED_VALUE"""),0.45371527777777776)</f>
        <v>0.4537152778</v>
      </c>
      <c r="K515" s="16"/>
      <c r="L515" s="8"/>
      <c r="M515" s="69"/>
      <c r="N515" s="69">
        <f>IFERROR(__xludf.DUMMYFUNCTION("""COMPUTED_VALUE"""),3.0)</f>
        <v>3</v>
      </c>
      <c r="O515" s="69" t="str">
        <f t="shared" si="3"/>
        <v/>
      </c>
      <c r="P515" s="471">
        <f>IFERROR(__xludf.DUMMYFUNCTION("""COMPUTED_VALUE"""),1.0)</f>
        <v>1</v>
      </c>
      <c r="Q515" s="274" t="str">
        <f>VLOOKUP($B515,'Run Reconcile'!B$2:O2488,14,FALSE)</f>
        <v/>
      </c>
      <c r="R515" s="472" t="str">
        <f t="array" ref="R515">IF($Q515, INDEX('Run Reconcile'!A$2:A2488,MATCH(B515,'Run Reconcile'!B$2:B2488,0),1),IFERROR(0/0,""))</f>
        <v/>
      </c>
      <c r="S515" s="473" t="b">
        <f t="shared" si="694"/>
        <v>1</v>
      </c>
      <c r="T515" s="473" t="str">
        <f t="shared" si="698"/>
        <v/>
      </c>
      <c r="U515" s="275" t="str">
        <f t="array" ref="U515">IF(ISBLANK($R515), INDEX('Run Reconcile'!A$2:A2488, MATCH($B515, 'Run Reconcile'!B$2:B2488, 0)+Z515, 1), IFERROR(0/0,""))
</f>
        <v>RUN-FLMP_2022-01-20_RFR-067</v>
      </c>
      <c r="V515" s="474" t="str">
        <f t="shared" si="5"/>
        <v>RUN-FLMP_2022-01-20_RFR-067</v>
      </c>
      <c r="W515" s="8" t="s">
        <v>1428</v>
      </c>
      <c r="Y515" s="89">
        <f t="shared" si="867"/>
        <v>1</v>
      </c>
      <c r="Z515" s="60">
        <f t="shared" si="7"/>
        <v>1</v>
      </c>
      <c r="AA515" s="60">
        <f t="shared" si="8"/>
        <v>1</v>
      </c>
      <c r="AB515" s="60" t="str">
        <f t="shared" si="9"/>
        <v/>
      </c>
      <c r="AC515" s="30" t="str">
        <f t="shared" ref="AC515:AD515" si="871">IF(_xlfn.ISFORMULA(S515),IFERROR(0/0,""),TRUE)</f>
        <v/>
      </c>
      <c r="AD515" s="30" t="str">
        <f t="shared" si="871"/>
        <v/>
      </c>
      <c r="AE515" s="475" t="str">
        <f>IFERROR(__xludf.DUMMYFUNCTION("""COMPUTED_VALUE"""),"CRLN")</f>
        <v>CRLN</v>
      </c>
      <c r="AF515" s="476"/>
      <c r="AG515" s="474" t="s">
        <v>165</v>
      </c>
      <c r="AH515" s="138" t="str">
        <f t="shared" si="11"/>
        <v/>
      </c>
    </row>
    <row r="516">
      <c r="A516" s="103" t="str">
        <f>IFERROR(__xludf.DUMMYFUNCTION("""COMPUTED_VALUE"""),"FLT1481")</f>
        <v>FLT1481</v>
      </c>
      <c r="B516" s="468">
        <f>IFERROR(__xludf.DUMMYFUNCTION("""COMPUTED_VALUE"""),44580.0)</f>
        <v>44580</v>
      </c>
      <c r="C516" s="469">
        <f>IFERROR(__xludf.DUMMYFUNCTION("""COMPUTED_VALUE"""),0.8688888888888889)</f>
        <v>0.8688888889</v>
      </c>
      <c r="D516" s="103" t="str">
        <f>IFERROR(__xludf.DUMMYFUNCTION("""COMPUTED_VALUE"""),"SpFLMP518914")</f>
        <v>SpFLMP518914</v>
      </c>
      <c r="E516" s="103"/>
      <c r="F516" s="103"/>
      <c r="G516" s="103" t="str">
        <f>IFERROR(__xludf.DUMMYFUNCTION("""COMPUTED_VALUE"""),"Negative")</f>
        <v>Negative</v>
      </c>
      <c r="H516" s="131" t="str">
        <f>IFERROR(__xludf.DUMMYFUNCTION("""COMPUTED_VALUE"""),"Negative")</f>
        <v>Negative</v>
      </c>
      <c r="I516" s="468">
        <f>IFERROR(__xludf.DUMMYFUNCTION("""COMPUTED_VALUE"""),44581.0)</f>
        <v>44581</v>
      </c>
      <c r="J516" s="470">
        <f>IFERROR(__xludf.DUMMYFUNCTION("""COMPUTED_VALUE"""),0.45371527777777776)</f>
        <v>0.4537152778</v>
      </c>
      <c r="K516" s="16"/>
      <c r="L516" s="8"/>
      <c r="M516" s="69"/>
      <c r="N516" s="69">
        <f>IFERROR(__xludf.DUMMYFUNCTION("""COMPUTED_VALUE"""),2.0)</f>
        <v>2</v>
      </c>
      <c r="O516" s="69" t="str">
        <f t="shared" si="3"/>
        <v/>
      </c>
      <c r="P516" s="471">
        <f>IFERROR(__xludf.DUMMYFUNCTION("""COMPUTED_VALUE"""),1.0)</f>
        <v>1</v>
      </c>
      <c r="Q516" s="274" t="str">
        <f>VLOOKUP($B516,'Run Reconcile'!B$2:O2488,14,FALSE)</f>
        <v/>
      </c>
      <c r="R516" s="472" t="str">
        <f t="array" ref="R516">IF($Q516, INDEX('Run Reconcile'!A$2:A2488,MATCH(B516,'Run Reconcile'!B$2:B2488,0),1),IFERROR(0/0,""))</f>
        <v/>
      </c>
      <c r="S516" s="473" t="b">
        <f t="shared" si="694"/>
        <v>1</v>
      </c>
      <c r="T516" s="473" t="str">
        <f t="shared" si="698"/>
        <v/>
      </c>
      <c r="U516" s="275" t="str">
        <f t="array" ref="U516">IF(ISBLANK($R516), INDEX('Run Reconcile'!A$2:A2488, MATCH($B516, 'Run Reconcile'!B$2:B2488, 0)+Z516, 1), IFERROR(0/0,""))
</f>
        <v>RUN-FLMP_2022-01-20_RFR-067</v>
      </c>
      <c r="V516" s="474" t="str">
        <f t="shared" si="5"/>
        <v>RUN-FLMP_2022-01-20_RFR-067</v>
      </c>
      <c r="W516" s="8" t="s">
        <v>1429</v>
      </c>
      <c r="Y516" s="89">
        <f t="shared" si="867"/>
        <v>1</v>
      </c>
      <c r="Z516" s="60">
        <f t="shared" si="7"/>
        <v>1</v>
      </c>
      <c r="AA516" s="60">
        <f t="shared" si="8"/>
        <v>1</v>
      </c>
      <c r="AB516" s="60" t="str">
        <f t="shared" si="9"/>
        <v/>
      </c>
      <c r="AC516" s="30" t="str">
        <f t="shared" ref="AC516:AD516" si="872">IF(_xlfn.ISFORMULA(S516),IFERROR(0/0,""),TRUE)</f>
        <v/>
      </c>
      <c r="AD516" s="30" t="str">
        <f t="shared" si="872"/>
        <v/>
      </c>
      <c r="AE516" s="475" t="str">
        <f>IFERROR(__xludf.DUMMYFUNCTION("""COMPUTED_VALUE"""),"CRLN")</f>
        <v>CRLN</v>
      </c>
      <c r="AF516" s="476"/>
      <c r="AG516" s="474" t="s">
        <v>165</v>
      </c>
      <c r="AH516" s="138" t="str">
        <f t="shared" si="11"/>
        <v/>
      </c>
    </row>
    <row r="517">
      <c r="A517" s="103" t="str">
        <f>IFERROR(__xludf.DUMMYFUNCTION("""COMPUTED_VALUE"""),"FLT1436")</f>
        <v>FLT1436</v>
      </c>
      <c r="B517" s="468">
        <f>IFERROR(__xludf.DUMMYFUNCTION("""COMPUTED_VALUE"""),44581.0)</f>
        <v>44581</v>
      </c>
      <c r="C517" s="469">
        <f>IFERROR(__xludf.DUMMYFUNCTION("""COMPUTED_VALUE"""),0.014490740740740742)</f>
        <v>0.01449074074</v>
      </c>
      <c r="D517" s="103" t="str">
        <f>IFERROR(__xludf.DUMMYFUNCTION("""COMPUTED_VALUE"""),"SpFLMP268514")</f>
        <v>SpFLMP268514</v>
      </c>
      <c r="E517" s="103"/>
      <c r="F517" s="103"/>
      <c r="G517" s="103" t="str">
        <f>IFERROR(__xludf.DUMMYFUNCTION("""COMPUTED_VALUE"""),"Negative")</f>
        <v>Negative</v>
      </c>
      <c r="H517" s="131" t="str">
        <f>IFERROR(__xludf.DUMMYFUNCTION("""COMPUTED_VALUE"""),"Negative")</f>
        <v>Negative</v>
      </c>
      <c r="I517" s="468">
        <f>IFERROR(__xludf.DUMMYFUNCTION("""COMPUTED_VALUE"""),44581.0)</f>
        <v>44581</v>
      </c>
      <c r="J517" s="470">
        <f>IFERROR(__xludf.DUMMYFUNCTION("""COMPUTED_VALUE"""),0.45371527777777776)</f>
        <v>0.4537152778</v>
      </c>
      <c r="K517" s="16"/>
      <c r="L517" s="8"/>
      <c r="M517" s="69"/>
      <c r="N517" s="69">
        <f>IFERROR(__xludf.DUMMYFUNCTION("""COMPUTED_VALUE"""),3.0)</f>
        <v>3</v>
      </c>
      <c r="O517" s="69" t="b">
        <f t="shared" si="3"/>
        <v>1</v>
      </c>
      <c r="P517" s="471">
        <f>IFERROR(__xludf.DUMMYFUNCTION("""COMPUTED_VALUE"""),0.0)</f>
        <v>0</v>
      </c>
      <c r="Q517" s="274" t="str">
        <f>VLOOKUP($B517,'Run Reconcile'!B$2:O2488,14,FALSE)</f>
        <v/>
      </c>
      <c r="R517" s="472" t="str">
        <f t="array" ref="R517">IF($Q517, INDEX('Run Reconcile'!A$2:A2488,MATCH(B517,'Run Reconcile'!B$2:B2488,0),1),IFERROR(0/0,""))</f>
        <v/>
      </c>
      <c r="S517" s="473" t="str">
        <f t="shared" si="694"/>
        <v/>
      </c>
      <c r="T517" s="473" t="str">
        <f t="shared" si="698"/>
        <v/>
      </c>
      <c r="U517" s="275" t="str">
        <f t="array" ref="U517">IF(ISBLANK($R517), INDEX('Run Reconcile'!A$2:A2488, MATCH($B517, 'Run Reconcile'!B$2:B2488, 0)+Z517, 1), IFERROR(0/0,""))
</f>
        <v>RUN-FLMP_2022-01-20_RFR-067</v>
      </c>
      <c r="V517" s="474" t="str">
        <f t="shared" si="5"/>
        <v>RUN-FLMP_2022-01-20_RFR-067</v>
      </c>
      <c r="Y517" s="89" t="str">
        <f t="shared" si="867"/>
        <v/>
      </c>
      <c r="Z517" s="60" t="str">
        <f t="shared" si="7"/>
        <v/>
      </c>
      <c r="AA517" s="60" t="str">
        <f t="shared" si="8"/>
        <v/>
      </c>
      <c r="AB517" s="60" t="str">
        <f t="shared" si="9"/>
        <v/>
      </c>
      <c r="AC517" s="30" t="str">
        <f t="shared" ref="AC517:AD517" si="873">IF(_xlfn.ISFORMULA(S517),IFERROR(0/0,""),TRUE)</f>
        <v/>
      </c>
      <c r="AD517" s="30" t="str">
        <f t="shared" si="873"/>
        <v/>
      </c>
      <c r="AE517" s="475" t="str">
        <f>IFERROR(__xludf.DUMMYFUNCTION("""COMPUTED_VALUE"""),"CRLN")</f>
        <v>CRLN</v>
      </c>
      <c r="AF517" s="476"/>
      <c r="AG517" s="474" t="s">
        <v>165</v>
      </c>
      <c r="AH517" s="138" t="str">
        <f t="shared" si="11"/>
        <v/>
      </c>
    </row>
    <row r="518">
      <c r="A518" s="103" t="str">
        <f>IFERROR(__xludf.DUMMYFUNCTION("""COMPUTED_VALUE"""),"FLT1426")</f>
        <v>FLT1426</v>
      </c>
      <c r="B518" s="468">
        <f>IFERROR(__xludf.DUMMYFUNCTION("""COMPUTED_VALUE"""),44581.0)</f>
        <v>44581</v>
      </c>
      <c r="C518" s="469">
        <f>IFERROR(__xludf.DUMMYFUNCTION("""COMPUTED_VALUE"""),0.22221064814814814)</f>
        <v>0.2222106481</v>
      </c>
      <c r="D518" s="103" t="str">
        <f>IFERROR(__xludf.DUMMYFUNCTION("""COMPUTED_VALUE"""),"SpFLMP470379")</f>
        <v>SpFLMP470379</v>
      </c>
      <c r="E518" s="103"/>
      <c r="F518" s="103"/>
      <c r="G518" s="103" t="str">
        <f>IFERROR(__xludf.DUMMYFUNCTION("""COMPUTED_VALUE"""),"Negative")</f>
        <v>Negative</v>
      </c>
      <c r="H518" s="131" t="str">
        <f>IFERROR(__xludf.DUMMYFUNCTION("""COMPUTED_VALUE"""),"Negative")</f>
        <v>Negative</v>
      </c>
      <c r="I518" s="468">
        <f>IFERROR(__xludf.DUMMYFUNCTION("""COMPUTED_VALUE"""),44581.0)</f>
        <v>44581</v>
      </c>
      <c r="J518" s="470">
        <f>IFERROR(__xludf.DUMMYFUNCTION("""COMPUTED_VALUE"""),0.45371527777777776)</f>
        <v>0.4537152778</v>
      </c>
      <c r="K518" s="16"/>
      <c r="L518" s="8"/>
      <c r="M518" s="69"/>
      <c r="N518" s="69">
        <f>IFERROR(__xludf.DUMMYFUNCTION("""COMPUTED_VALUE"""),1.0)</f>
        <v>1</v>
      </c>
      <c r="O518" s="69" t="str">
        <f t="shared" si="3"/>
        <v/>
      </c>
      <c r="P518" s="471">
        <f>IFERROR(__xludf.DUMMYFUNCTION("""COMPUTED_VALUE"""),0.0)</f>
        <v>0</v>
      </c>
      <c r="Q518" s="274" t="str">
        <f>VLOOKUP($B518,'Run Reconcile'!B$2:O2488,14,FALSE)</f>
        <v/>
      </c>
      <c r="R518" s="472" t="str">
        <f t="array" ref="R518">IF($Q518, INDEX('Run Reconcile'!A$2:A2488,MATCH(B518,'Run Reconcile'!B$2:B2488,0),1),IFERROR(0/0,""))</f>
        <v/>
      </c>
      <c r="S518" s="473" t="str">
        <f t="shared" si="694"/>
        <v/>
      </c>
      <c r="T518" s="473" t="str">
        <f t="shared" si="698"/>
        <v/>
      </c>
      <c r="U518" s="275" t="str">
        <f t="array" ref="U518">IF(ISBLANK($R518), INDEX('Run Reconcile'!A$2:A2488, MATCH($B518, 'Run Reconcile'!B$2:B2488, 0)+Z518, 1), IFERROR(0/0,""))
</f>
        <v>RUN-FLMP_2022-01-20_RFR-067</v>
      </c>
      <c r="V518" s="474" t="str">
        <f t="shared" si="5"/>
        <v>RUN-FLMP_2022-01-20_RFR-067</v>
      </c>
      <c r="Y518" s="89" t="str">
        <f t="shared" si="867"/>
        <v/>
      </c>
      <c r="Z518" s="60" t="str">
        <f t="shared" si="7"/>
        <v/>
      </c>
      <c r="AA518" s="60" t="str">
        <f t="shared" si="8"/>
        <v/>
      </c>
      <c r="AB518" s="60" t="str">
        <f t="shared" si="9"/>
        <v/>
      </c>
      <c r="AC518" s="30" t="str">
        <f t="shared" ref="AC518:AD518" si="874">IF(_xlfn.ISFORMULA(S518),IFERROR(0/0,""),TRUE)</f>
        <v/>
      </c>
      <c r="AD518" s="30" t="str">
        <f t="shared" si="874"/>
        <v/>
      </c>
      <c r="AE518" s="475" t="str">
        <f>IFERROR(__xludf.DUMMYFUNCTION("""COMPUTED_VALUE"""),"CRLN")</f>
        <v>CRLN</v>
      </c>
      <c r="AF518" s="476"/>
      <c r="AG518" s="474" t="s">
        <v>165</v>
      </c>
      <c r="AH518" s="138" t="str">
        <f t="shared" si="11"/>
        <v/>
      </c>
    </row>
    <row r="519">
      <c r="A519" s="103" t="str">
        <f>IFERROR(__xludf.DUMMYFUNCTION("""COMPUTED_VALUE"""),"FLE889")</f>
        <v>FLE889</v>
      </c>
      <c r="B519" s="468">
        <f>IFERROR(__xludf.DUMMYFUNCTION("""COMPUTED_VALUE"""),44581.0)</f>
        <v>44581</v>
      </c>
      <c r="C519" s="469">
        <f>IFERROR(__xludf.DUMMYFUNCTION("""COMPUTED_VALUE"""),0.27902777777777776)</f>
        <v>0.2790277778</v>
      </c>
      <c r="D519" s="103" t="str">
        <f>IFERROR(__xludf.DUMMYFUNCTION("""COMPUTED_VALUE"""),"SpFLMP690282")</f>
        <v>SpFLMP690282</v>
      </c>
      <c r="E519" s="103"/>
      <c r="F519" s="103"/>
      <c r="G519" s="103" t="str">
        <f>IFERROR(__xludf.DUMMYFUNCTION("""COMPUTED_VALUE"""),"Negative")</f>
        <v>Negative</v>
      </c>
      <c r="H519" s="131" t="str">
        <f>IFERROR(__xludf.DUMMYFUNCTION("""COMPUTED_VALUE"""),"Negative")</f>
        <v>Negative</v>
      </c>
      <c r="I519" s="468">
        <f>IFERROR(__xludf.DUMMYFUNCTION("""COMPUTED_VALUE"""),44581.0)</f>
        <v>44581</v>
      </c>
      <c r="J519" s="470">
        <f>IFERROR(__xludf.DUMMYFUNCTION("""COMPUTED_VALUE"""),0.45371527777777776)</f>
        <v>0.4537152778</v>
      </c>
      <c r="K519" s="16"/>
      <c r="L519" s="8"/>
      <c r="M519" s="69"/>
      <c r="N519" s="69">
        <f>IFERROR(__xludf.DUMMYFUNCTION("""COMPUTED_VALUE"""),2.0)</f>
        <v>2</v>
      </c>
      <c r="O519" s="69" t="str">
        <f t="shared" si="3"/>
        <v/>
      </c>
      <c r="P519" s="471">
        <f>IFERROR(__xludf.DUMMYFUNCTION("""COMPUTED_VALUE"""),0.0)</f>
        <v>0</v>
      </c>
      <c r="Q519" s="274" t="str">
        <f>VLOOKUP($B519,'Run Reconcile'!B$2:O2488,14,FALSE)</f>
        <v/>
      </c>
      <c r="R519" s="472" t="str">
        <f t="array" ref="R519">IF($Q519, INDEX('Run Reconcile'!A$2:A2488,MATCH(B519,'Run Reconcile'!B$2:B2488,0),1),IFERROR(0/0,""))</f>
        <v/>
      </c>
      <c r="S519" s="473" t="str">
        <f t="shared" si="694"/>
        <v/>
      </c>
      <c r="T519" s="473" t="str">
        <f t="shared" si="698"/>
        <v/>
      </c>
      <c r="U519" s="275" t="str">
        <f t="array" ref="U519">IF(ISBLANK($R519), INDEX('Run Reconcile'!A$2:A2488, MATCH($B519, 'Run Reconcile'!B$2:B2488, 0)+Z519, 1), IFERROR(0/0,""))
</f>
        <v>RUN-FLMP_2022-01-20_RFR-067</v>
      </c>
      <c r="V519" s="474" t="str">
        <f t="shared" si="5"/>
        <v>RUN-FLMP_2022-01-20_RFR-067</v>
      </c>
      <c r="Y519" s="89" t="str">
        <f t="shared" si="867"/>
        <v/>
      </c>
      <c r="Z519" s="60" t="str">
        <f t="shared" si="7"/>
        <v/>
      </c>
      <c r="AA519" s="60" t="str">
        <f t="shared" si="8"/>
        <v/>
      </c>
      <c r="AB519" s="60" t="str">
        <f t="shared" si="9"/>
        <v/>
      </c>
      <c r="AC519" s="30" t="str">
        <f t="shared" ref="AC519:AD519" si="875">IF(_xlfn.ISFORMULA(S519),IFERROR(0/0,""),TRUE)</f>
        <v/>
      </c>
      <c r="AD519" s="30" t="str">
        <f t="shared" si="875"/>
        <v/>
      </c>
      <c r="AE519" s="475" t="str">
        <f>IFERROR(__xludf.DUMMYFUNCTION("""COMPUTED_VALUE"""),"CRLN")</f>
        <v>CRLN</v>
      </c>
      <c r="AF519" s="476"/>
      <c r="AG519" s="474" t="s">
        <v>165</v>
      </c>
      <c r="AH519" s="138" t="str">
        <f t="shared" si="11"/>
        <v/>
      </c>
    </row>
    <row r="520">
      <c r="A520" s="103" t="str">
        <f>IFERROR(__xludf.DUMMYFUNCTION("""COMPUTED_VALUE"""),"FLT1393")</f>
        <v>FLT1393</v>
      </c>
      <c r="B520" s="468">
        <f>IFERROR(__xludf.DUMMYFUNCTION("""COMPUTED_VALUE"""),44581.0)</f>
        <v>44581</v>
      </c>
      <c r="C520" s="469">
        <f>IFERROR(__xludf.DUMMYFUNCTION("""COMPUTED_VALUE"""),0.28739583333333335)</f>
        <v>0.2873958333</v>
      </c>
      <c r="D520" s="103" t="str">
        <f>IFERROR(__xludf.DUMMYFUNCTION("""COMPUTED_VALUE"""),"SpFLMP965392")</f>
        <v>SpFLMP965392</v>
      </c>
      <c r="E520" s="103"/>
      <c r="F520" s="103"/>
      <c r="G520" s="103" t="str">
        <f>IFERROR(__xludf.DUMMYFUNCTION("""COMPUTED_VALUE"""),"Negative")</f>
        <v>Negative</v>
      </c>
      <c r="H520" s="131" t="str">
        <f>IFERROR(__xludf.DUMMYFUNCTION("""COMPUTED_VALUE"""),"Negative")</f>
        <v>Negative</v>
      </c>
      <c r="I520" s="468">
        <f>IFERROR(__xludf.DUMMYFUNCTION("""COMPUTED_VALUE"""),44581.0)</f>
        <v>44581</v>
      </c>
      <c r="J520" s="470">
        <f>IFERROR(__xludf.DUMMYFUNCTION("""COMPUTED_VALUE"""),0.45371527777777776)</f>
        <v>0.4537152778</v>
      </c>
      <c r="K520" s="16"/>
      <c r="L520" s="8"/>
      <c r="M520" s="69"/>
      <c r="N520" s="69">
        <f>IFERROR(__xludf.DUMMYFUNCTION("""COMPUTED_VALUE"""),3.0)</f>
        <v>3</v>
      </c>
      <c r="O520" s="69" t="str">
        <f t="shared" si="3"/>
        <v/>
      </c>
      <c r="P520" s="471">
        <f>IFERROR(__xludf.DUMMYFUNCTION("""COMPUTED_VALUE"""),0.0)</f>
        <v>0</v>
      </c>
      <c r="Q520" s="274" t="str">
        <f>VLOOKUP($B520,'Run Reconcile'!B$2:O2488,14,FALSE)</f>
        <v/>
      </c>
      <c r="R520" s="472" t="str">
        <f t="array" ref="R520">IF($Q520, INDEX('Run Reconcile'!A$2:A2488,MATCH(B520,'Run Reconcile'!B$2:B2488,0),1),IFERROR(0/0,""))</f>
        <v/>
      </c>
      <c r="S520" s="473" t="str">
        <f t="shared" si="694"/>
        <v/>
      </c>
      <c r="T520" s="473" t="str">
        <f t="shared" si="698"/>
        <v/>
      </c>
      <c r="U520" s="275" t="str">
        <f t="array" ref="U520">IF(ISBLANK($R520), INDEX('Run Reconcile'!A$2:A2488, MATCH($B520, 'Run Reconcile'!B$2:B2488, 0)+Z520, 1), IFERROR(0/0,""))
</f>
        <v>RUN-FLMP_2022-01-20_RFR-067</v>
      </c>
      <c r="V520" s="474" t="str">
        <f t="shared" si="5"/>
        <v>RUN-FLMP_2022-01-20_RFR-067</v>
      </c>
      <c r="Y520" s="89" t="str">
        <f t="shared" si="867"/>
        <v/>
      </c>
      <c r="Z520" s="60" t="str">
        <f t="shared" si="7"/>
        <v/>
      </c>
      <c r="AA520" s="60" t="str">
        <f t="shared" si="8"/>
        <v/>
      </c>
      <c r="AB520" s="60" t="str">
        <f t="shared" si="9"/>
        <v/>
      </c>
      <c r="AC520" s="30" t="str">
        <f t="shared" ref="AC520:AD520" si="876">IF(_xlfn.ISFORMULA(S520),IFERROR(0/0,""),TRUE)</f>
        <v/>
      </c>
      <c r="AD520" s="30" t="str">
        <f t="shared" si="876"/>
        <v/>
      </c>
      <c r="AE520" s="475" t="str">
        <f>IFERROR(__xludf.DUMMYFUNCTION("""COMPUTED_VALUE"""),"CRLN")</f>
        <v>CRLN</v>
      </c>
      <c r="AF520" s="476"/>
      <c r="AG520" s="474" t="s">
        <v>165</v>
      </c>
      <c r="AH520" s="138" t="str">
        <f t="shared" si="11"/>
        <v/>
      </c>
    </row>
    <row r="521">
      <c r="A521" s="103" t="str">
        <f>IFERROR(__xludf.DUMMYFUNCTION("""COMPUTED_VALUE"""),"FLB5404")</f>
        <v>FLB5404</v>
      </c>
      <c r="B521" s="468">
        <f>IFERROR(__xludf.DUMMYFUNCTION("""COMPUTED_VALUE"""),44581.0)</f>
        <v>44581</v>
      </c>
      <c r="C521" s="469">
        <f>IFERROR(__xludf.DUMMYFUNCTION("""COMPUTED_VALUE"""),0.30561342592592594)</f>
        <v>0.3056134259</v>
      </c>
      <c r="D521" s="103" t="str">
        <f>IFERROR(__xludf.DUMMYFUNCTION("""COMPUTED_VALUE"""),"SpFLMP228238")</f>
        <v>SpFLMP228238</v>
      </c>
      <c r="E521" s="103"/>
      <c r="F521" s="103"/>
      <c r="G521" s="103" t="str">
        <f>IFERROR(__xludf.DUMMYFUNCTION("""COMPUTED_VALUE"""),"Negative")</f>
        <v>Negative</v>
      </c>
      <c r="H521" s="131" t="str">
        <f>IFERROR(__xludf.DUMMYFUNCTION("""COMPUTED_VALUE"""),"Negative")</f>
        <v>Negative</v>
      </c>
      <c r="I521" s="468">
        <f>IFERROR(__xludf.DUMMYFUNCTION("""COMPUTED_VALUE"""),44581.0)</f>
        <v>44581</v>
      </c>
      <c r="J521" s="470">
        <f>IFERROR(__xludf.DUMMYFUNCTION("""COMPUTED_VALUE"""),0.45371527777777776)</f>
        <v>0.4537152778</v>
      </c>
      <c r="K521" s="16"/>
      <c r="L521" s="8"/>
      <c r="M521" s="69"/>
      <c r="N521" s="69">
        <f>IFERROR(__xludf.DUMMYFUNCTION("""COMPUTED_VALUE"""),3.0)</f>
        <v>3</v>
      </c>
      <c r="O521" s="69" t="str">
        <f t="shared" si="3"/>
        <v/>
      </c>
      <c r="P521" s="471">
        <f>IFERROR(__xludf.DUMMYFUNCTION("""COMPUTED_VALUE"""),0.0)</f>
        <v>0</v>
      </c>
      <c r="Q521" s="274" t="str">
        <f>VLOOKUP($B521,'Run Reconcile'!B$2:O2488,14,FALSE)</f>
        <v/>
      </c>
      <c r="R521" s="472" t="str">
        <f t="array" ref="R521">IF($Q521, INDEX('Run Reconcile'!A$2:A2488,MATCH(B521,'Run Reconcile'!B$2:B2488,0),1),IFERROR(0/0,""))</f>
        <v/>
      </c>
      <c r="S521" s="473" t="str">
        <f t="shared" si="694"/>
        <v/>
      </c>
      <c r="T521" s="473" t="str">
        <f t="shared" si="698"/>
        <v/>
      </c>
      <c r="U521" s="275" t="str">
        <f t="array" ref="U521">IF(ISBLANK($R521), INDEX('Run Reconcile'!A$2:A2488, MATCH($B521, 'Run Reconcile'!B$2:B2488, 0)+Z521, 1), IFERROR(0/0,""))
</f>
        <v>RUN-FLMP_2022-01-20_RFR-067</v>
      </c>
      <c r="V521" s="474" t="str">
        <f t="shared" si="5"/>
        <v>RUN-FLMP_2022-01-20_RFR-067</v>
      </c>
      <c r="Y521" s="89" t="str">
        <f t="shared" si="867"/>
        <v/>
      </c>
      <c r="Z521" s="60" t="str">
        <f t="shared" si="7"/>
        <v/>
      </c>
      <c r="AA521" s="60" t="str">
        <f t="shared" si="8"/>
        <v/>
      </c>
      <c r="AB521" s="60" t="str">
        <f t="shared" si="9"/>
        <v/>
      </c>
      <c r="AC521" s="30" t="str">
        <f t="shared" ref="AC521:AD521" si="877">IF(_xlfn.ISFORMULA(S521),IFERROR(0/0,""),TRUE)</f>
        <v/>
      </c>
      <c r="AD521" s="30" t="str">
        <f t="shared" si="877"/>
        <v/>
      </c>
      <c r="AE521" s="475" t="str">
        <f>IFERROR(__xludf.DUMMYFUNCTION("""COMPUTED_VALUE"""),"CRLN")</f>
        <v>CRLN</v>
      </c>
      <c r="AF521" s="476"/>
      <c r="AG521" s="474" t="s">
        <v>165</v>
      </c>
      <c r="AH521" s="138" t="str">
        <f t="shared" si="11"/>
        <v/>
      </c>
    </row>
    <row r="522">
      <c r="A522" s="103" t="str">
        <f>IFERROR(__xludf.DUMMYFUNCTION("""COMPUTED_VALUE"""),"FLB5409")</f>
        <v>FLB5409</v>
      </c>
      <c r="B522" s="468">
        <f>IFERROR(__xludf.DUMMYFUNCTION("""COMPUTED_VALUE"""),44581.0)</f>
        <v>44581</v>
      </c>
      <c r="C522" s="469">
        <f>IFERROR(__xludf.DUMMYFUNCTION("""COMPUTED_VALUE"""),0.3061226851851852)</f>
        <v>0.3061226852</v>
      </c>
      <c r="D522" s="103" t="str">
        <f>IFERROR(__xludf.DUMMYFUNCTION("""COMPUTED_VALUE"""),"SpFLMP228238")</f>
        <v>SpFLMP228238</v>
      </c>
      <c r="E522" s="103"/>
      <c r="F522" s="103"/>
      <c r="G522" s="103" t="str">
        <f>IFERROR(__xludf.DUMMYFUNCTION("""COMPUTED_VALUE"""),"Negative")</f>
        <v>Negative</v>
      </c>
      <c r="H522" s="131" t="str">
        <f>IFERROR(__xludf.DUMMYFUNCTION("""COMPUTED_VALUE"""),"Negative")</f>
        <v>Negative</v>
      </c>
      <c r="I522" s="468">
        <f>IFERROR(__xludf.DUMMYFUNCTION("""COMPUTED_VALUE"""),44581.0)</f>
        <v>44581</v>
      </c>
      <c r="J522" s="470">
        <f>IFERROR(__xludf.DUMMYFUNCTION("""COMPUTED_VALUE"""),0.45371527777777776)</f>
        <v>0.4537152778</v>
      </c>
      <c r="K522" s="16"/>
      <c r="L522" s="8"/>
      <c r="M522" s="69"/>
      <c r="N522" s="69">
        <f>IFERROR(__xludf.DUMMYFUNCTION("""COMPUTED_VALUE"""),1.0)</f>
        <v>1</v>
      </c>
      <c r="O522" s="69" t="str">
        <f t="shared" si="3"/>
        <v/>
      </c>
      <c r="P522" s="471">
        <f>IFERROR(__xludf.DUMMYFUNCTION("""COMPUTED_VALUE"""),0.0)</f>
        <v>0</v>
      </c>
      <c r="Q522" s="274" t="str">
        <f>VLOOKUP($B522,'Run Reconcile'!B$2:O2488,14,FALSE)</f>
        <v/>
      </c>
      <c r="R522" s="472" t="str">
        <f t="array" ref="R522">IF($Q522, INDEX('Run Reconcile'!A$2:A2488,MATCH(B522,'Run Reconcile'!B$2:B2488,0),1),IFERROR(0/0,""))</f>
        <v/>
      </c>
      <c r="S522" s="473" t="str">
        <f t="shared" si="694"/>
        <v/>
      </c>
      <c r="T522" s="473" t="str">
        <f t="shared" si="698"/>
        <v/>
      </c>
      <c r="U522" s="275" t="str">
        <f t="array" ref="U522">IF(ISBLANK($R522), INDEX('Run Reconcile'!A$2:A2488, MATCH($B522, 'Run Reconcile'!B$2:B2488, 0)+Z522, 1), IFERROR(0/0,""))
</f>
        <v>RUN-FLMP_2022-01-20_RFR-067</v>
      </c>
      <c r="V522" s="474" t="str">
        <f t="shared" si="5"/>
        <v>RUN-FLMP_2022-01-20_RFR-067</v>
      </c>
      <c r="Y522" s="89" t="str">
        <f t="shared" si="867"/>
        <v/>
      </c>
      <c r="Z522" s="60" t="str">
        <f t="shared" si="7"/>
        <v/>
      </c>
      <c r="AA522" s="60" t="str">
        <f t="shared" si="8"/>
        <v/>
      </c>
      <c r="AB522" s="60" t="str">
        <f t="shared" si="9"/>
        <v/>
      </c>
      <c r="AC522" s="30" t="str">
        <f t="shared" ref="AC522:AD522" si="878">IF(_xlfn.ISFORMULA(S522),IFERROR(0/0,""),TRUE)</f>
        <v/>
      </c>
      <c r="AD522" s="30" t="str">
        <f t="shared" si="878"/>
        <v/>
      </c>
      <c r="AE522" s="475" t="str">
        <f>IFERROR(__xludf.DUMMYFUNCTION("""COMPUTED_VALUE"""),"CRLN")</f>
        <v>CRLN</v>
      </c>
      <c r="AF522" s="476"/>
      <c r="AG522" s="474" t="s">
        <v>165</v>
      </c>
      <c r="AH522" s="138" t="str">
        <f t="shared" si="11"/>
        <v/>
      </c>
    </row>
    <row r="523">
      <c r="A523" s="103" t="str">
        <f>IFERROR(__xludf.DUMMYFUNCTION("""COMPUTED_VALUE"""),"FLT1428")</f>
        <v>FLT1428</v>
      </c>
      <c r="B523" s="468">
        <f>IFERROR(__xludf.DUMMYFUNCTION("""COMPUTED_VALUE"""),44581.0)</f>
        <v>44581</v>
      </c>
      <c r="C523" s="469">
        <f>IFERROR(__xludf.DUMMYFUNCTION("""COMPUTED_VALUE"""),0.3255208333333333)</f>
        <v>0.3255208333</v>
      </c>
      <c r="D523" s="103" t="str">
        <f>IFERROR(__xludf.DUMMYFUNCTION("""COMPUTED_VALUE"""),"SpFLMP314549")</f>
        <v>SpFLMP314549</v>
      </c>
      <c r="E523" s="103"/>
      <c r="F523" s="103"/>
      <c r="G523" s="103" t="str">
        <f>IFERROR(__xludf.DUMMYFUNCTION("""COMPUTED_VALUE"""),"Negative")</f>
        <v>Negative</v>
      </c>
      <c r="H523" s="131" t="str">
        <f>IFERROR(__xludf.DUMMYFUNCTION("""COMPUTED_VALUE"""),"Negative")</f>
        <v>Negative</v>
      </c>
      <c r="I523" s="468">
        <f>IFERROR(__xludf.DUMMYFUNCTION("""COMPUTED_VALUE"""),44581.0)</f>
        <v>44581</v>
      </c>
      <c r="J523" s="470">
        <f>IFERROR(__xludf.DUMMYFUNCTION("""COMPUTED_VALUE"""),0.45371527777777776)</f>
        <v>0.4537152778</v>
      </c>
      <c r="K523" s="16"/>
      <c r="L523" s="8"/>
      <c r="M523" s="69"/>
      <c r="N523" s="69">
        <f>IFERROR(__xludf.DUMMYFUNCTION("""COMPUTED_VALUE"""),1.0)</f>
        <v>1</v>
      </c>
      <c r="O523" s="69" t="str">
        <f t="shared" si="3"/>
        <v/>
      </c>
      <c r="P523" s="471">
        <f>IFERROR(__xludf.DUMMYFUNCTION("""COMPUTED_VALUE"""),0.0)</f>
        <v>0</v>
      </c>
      <c r="Q523" s="274" t="str">
        <f>VLOOKUP($B523,'Run Reconcile'!B$2:O2488,14,FALSE)</f>
        <v/>
      </c>
      <c r="R523" s="472" t="str">
        <f t="array" ref="R523">IF($Q523, INDEX('Run Reconcile'!A$2:A2488,MATCH(B523,'Run Reconcile'!B$2:B2488,0),1),IFERROR(0/0,""))</f>
        <v/>
      </c>
      <c r="S523" s="473" t="str">
        <f t="shared" si="694"/>
        <v/>
      </c>
      <c r="T523" s="473" t="str">
        <f t="shared" si="698"/>
        <v/>
      </c>
      <c r="U523" s="275" t="str">
        <f t="array" ref="U523">IF(ISBLANK($R523), INDEX('Run Reconcile'!A$2:A2488, MATCH($B523, 'Run Reconcile'!B$2:B2488, 0)+Z523, 1), IFERROR(0/0,""))
</f>
        <v>RUN-FLMP_2022-01-20_RFR-067</v>
      </c>
      <c r="V523" s="474" t="str">
        <f t="shared" si="5"/>
        <v>RUN-FLMP_2022-01-20_RFR-067</v>
      </c>
      <c r="Y523" s="89" t="str">
        <f t="shared" si="867"/>
        <v/>
      </c>
      <c r="Z523" s="60" t="str">
        <f t="shared" si="7"/>
        <v/>
      </c>
      <c r="AA523" s="60" t="str">
        <f t="shared" si="8"/>
        <v/>
      </c>
      <c r="AB523" s="60" t="str">
        <f t="shared" si="9"/>
        <v/>
      </c>
      <c r="AC523" s="30" t="str">
        <f t="shared" ref="AC523:AD523" si="879">IF(_xlfn.ISFORMULA(S523),IFERROR(0/0,""),TRUE)</f>
        <v/>
      </c>
      <c r="AD523" s="30" t="str">
        <f t="shared" si="879"/>
        <v/>
      </c>
      <c r="AE523" s="475" t="str">
        <f>IFERROR(__xludf.DUMMYFUNCTION("""COMPUTED_VALUE"""),"CRLN")</f>
        <v>CRLN</v>
      </c>
      <c r="AF523" s="476"/>
      <c r="AG523" s="474" t="s">
        <v>165</v>
      </c>
      <c r="AH523" s="138" t="str">
        <f t="shared" si="11"/>
        <v/>
      </c>
    </row>
    <row r="524">
      <c r="A524" s="103" t="str">
        <f>IFERROR(__xludf.DUMMYFUNCTION("""COMPUTED_VALUE"""),"FLE309")</f>
        <v>FLE309</v>
      </c>
      <c r="B524" s="468">
        <f>IFERROR(__xludf.DUMMYFUNCTION("""COMPUTED_VALUE"""),44581.0)</f>
        <v>44581</v>
      </c>
      <c r="C524" s="469">
        <f>IFERROR(__xludf.DUMMYFUNCTION("""COMPUTED_VALUE"""),0.32744212962962965)</f>
        <v>0.3274421296</v>
      </c>
      <c r="D524" s="103" t="str">
        <f>IFERROR(__xludf.DUMMYFUNCTION("""COMPUTED_VALUE"""),"SpFLMP684798")</f>
        <v>SpFLMP684798</v>
      </c>
      <c r="E524" s="103"/>
      <c r="F524" s="103"/>
      <c r="G524" s="103" t="str">
        <f>IFERROR(__xludf.DUMMYFUNCTION("""COMPUTED_VALUE"""),"Negative")</f>
        <v>Negative</v>
      </c>
      <c r="H524" s="131" t="str">
        <f>IFERROR(__xludf.DUMMYFUNCTION("""COMPUTED_VALUE"""),"Negative")</f>
        <v>Negative</v>
      </c>
      <c r="I524" s="468">
        <f>IFERROR(__xludf.DUMMYFUNCTION("""COMPUTED_VALUE"""),44581.0)</f>
        <v>44581</v>
      </c>
      <c r="J524" s="470">
        <f>IFERROR(__xludf.DUMMYFUNCTION("""COMPUTED_VALUE"""),0.45371527777777776)</f>
        <v>0.4537152778</v>
      </c>
      <c r="K524" s="16"/>
      <c r="L524" s="8"/>
      <c r="M524" s="69"/>
      <c r="N524" s="69">
        <f>IFERROR(__xludf.DUMMYFUNCTION("""COMPUTED_VALUE"""),3.0)</f>
        <v>3</v>
      </c>
      <c r="O524" s="69" t="str">
        <f t="shared" si="3"/>
        <v/>
      </c>
      <c r="P524" s="471">
        <f>IFERROR(__xludf.DUMMYFUNCTION("""COMPUTED_VALUE"""),0.0)</f>
        <v>0</v>
      </c>
      <c r="Q524" s="274" t="str">
        <f>VLOOKUP($B524,'Run Reconcile'!B$2:O2488,14,FALSE)</f>
        <v/>
      </c>
      <c r="R524" s="472" t="str">
        <f t="array" ref="R524">IF($Q524, INDEX('Run Reconcile'!A$2:A2488,MATCH(B524,'Run Reconcile'!B$2:B2488,0),1),IFERROR(0/0,""))</f>
        <v/>
      </c>
      <c r="S524" s="473" t="str">
        <f t="shared" si="694"/>
        <v/>
      </c>
      <c r="T524" s="473" t="str">
        <f t="shared" si="698"/>
        <v/>
      </c>
      <c r="U524" s="275" t="str">
        <f t="array" ref="U524">IF(ISBLANK($R524), INDEX('Run Reconcile'!A$2:A2488, MATCH($B524, 'Run Reconcile'!B$2:B2488, 0)+Z524, 1), IFERROR(0/0,""))
</f>
        <v>RUN-FLMP_2022-01-20_RFR-067</v>
      </c>
      <c r="V524" s="474" t="str">
        <f t="shared" si="5"/>
        <v>RUN-FLMP_2022-01-20_RFR-067</v>
      </c>
      <c r="Y524" s="89" t="str">
        <f t="shared" si="867"/>
        <v/>
      </c>
      <c r="Z524" s="60" t="str">
        <f t="shared" si="7"/>
        <v/>
      </c>
      <c r="AA524" s="60" t="str">
        <f t="shared" si="8"/>
        <v/>
      </c>
      <c r="AB524" s="60" t="str">
        <f t="shared" si="9"/>
        <v/>
      </c>
      <c r="AC524" s="30" t="str">
        <f t="shared" ref="AC524:AD524" si="880">IF(_xlfn.ISFORMULA(S524),IFERROR(0/0,""),TRUE)</f>
        <v/>
      </c>
      <c r="AD524" s="30" t="str">
        <f t="shared" si="880"/>
        <v/>
      </c>
      <c r="AE524" s="475" t="str">
        <f>IFERROR(__xludf.DUMMYFUNCTION("""COMPUTED_VALUE"""),"CRLN")</f>
        <v>CRLN</v>
      </c>
      <c r="AF524" s="476"/>
      <c r="AG524" s="474" t="s">
        <v>165</v>
      </c>
      <c r="AH524" s="138" t="str">
        <f t="shared" si="11"/>
        <v/>
      </c>
    </row>
    <row r="525">
      <c r="A525" s="103" t="str">
        <f>IFERROR(__xludf.DUMMYFUNCTION("""COMPUTED_VALUE"""),"FLT1489")</f>
        <v>FLT1489</v>
      </c>
      <c r="B525" s="468">
        <f>IFERROR(__xludf.DUMMYFUNCTION("""COMPUTED_VALUE"""),44581.0)</f>
        <v>44581</v>
      </c>
      <c r="C525" s="469">
        <f>IFERROR(__xludf.DUMMYFUNCTION("""COMPUTED_VALUE"""),0.3292013888888889)</f>
        <v>0.3292013889</v>
      </c>
      <c r="D525" s="103" t="str">
        <f>IFERROR(__xludf.DUMMYFUNCTION("""COMPUTED_VALUE"""),"SpFLMP683554")</f>
        <v>SpFLMP683554</v>
      </c>
      <c r="E525" s="103"/>
      <c r="F525" s="103"/>
      <c r="G525" s="103" t="str">
        <f>IFERROR(__xludf.DUMMYFUNCTION("""COMPUTED_VALUE"""),"Negative")</f>
        <v>Negative</v>
      </c>
      <c r="H525" s="131" t="str">
        <f>IFERROR(__xludf.DUMMYFUNCTION("""COMPUTED_VALUE"""),"Negative")</f>
        <v>Negative</v>
      </c>
      <c r="I525" s="468">
        <f>IFERROR(__xludf.DUMMYFUNCTION("""COMPUTED_VALUE"""),44581.0)</f>
        <v>44581</v>
      </c>
      <c r="J525" s="470">
        <f>IFERROR(__xludf.DUMMYFUNCTION("""COMPUTED_VALUE"""),0.7115162037037037)</f>
        <v>0.7115162037</v>
      </c>
      <c r="K525" s="16"/>
      <c r="L525" s="8"/>
      <c r="M525" s="69"/>
      <c r="N525" s="69">
        <f>IFERROR(__xludf.DUMMYFUNCTION("""COMPUTED_VALUE"""),1.0)</f>
        <v>1</v>
      </c>
      <c r="O525" s="69" t="str">
        <f t="shared" si="3"/>
        <v/>
      </c>
      <c r="P525" s="471">
        <f>IFERROR(__xludf.DUMMYFUNCTION("""COMPUTED_VALUE"""),0.0)</f>
        <v>0</v>
      </c>
      <c r="Q525" s="274" t="str">
        <f>VLOOKUP($B525,'Run Reconcile'!B$2:O2488,14,FALSE)</f>
        <v/>
      </c>
      <c r="R525" s="472" t="str">
        <f t="array" ref="R525">IF($Q525, INDEX('Run Reconcile'!A$2:A2488,MATCH(B525,'Run Reconcile'!B$2:B2488,0),1),IFERROR(0/0,""))</f>
        <v/>
      </c>
      <c r="S525" s="473" t="str">
        <f t="shared" si="694"/>
        <v/>
      </c>
      <c r="T525" s="473" t="str">
        <f t="shared" si="698"/>
        <v/>
      </c>
      <c r="U525" s="275" t="str">
        <f t="array" ref="U525">IF(ISBLANK($R525), INDEX('Run Reconcile'!A$2:A2488, MATCH($B525, 'Run Reconcile'!B$2:B2488, 0)+Z525, 1), IFERROR(0/0,""))
</f>
        <v>RUN-FLMP_2022-01-20_RFR-067</v>
      </c>
      <c r="V525" s="474" t="str">
        <f t="shared" si="5"/>
        <v>RUN-FLMP_2022-01-20_RFR-067</v>
      </c>
      <c r="Y525" s="89" t="str">
        <f t="shared" si="867"/>
        <v/>
      </c>
      <c r="Z525" s="60" t="str">
        <f t="shared" si="7"/>
        <v/>
      </c>
      <c r="AA525" s="60" t="str">
        <f t="shared" si="8"/>
        <v/>
      </c>
      <c r="AB525" s="60" t="str">
        <f t="shared" si="9"/>
        <v/>
      </c>
      <c r="AC525" s="30" t="str">
        <f t="shared" ref="AC525:AD525" si="881">IF(_xlfn.ISFORMULA(S525),IFERROR(0/0,""),TRUE)</f>
        <v/>
      </c>
      <c r="AD525" s="30" t="str">
        <f t="shared" si="881"/>
        <v/>
      </c>
      <c r="AE525" s="475" t="str">
        <f>IFERROR(__xludf.DUMMYFUNCTION("""COMPUTED_VALUE"""),"CRLN")</f>
        <v>CRLN</v>
      </c>
      <c r="AF525" s="476"/>
      <c r="AG525" s="474" t="s">
        <v>165</v>
      </c>
      <c r="AH525" s="138" t="str">
        <f t="shared" si="11"/>
        <v/>
      </c>
    </row>
    <row r="526">
      <c r="A526" s="103" t="str">
        <f>IFERROR(__xludf.DUMMYFUNCTION("""COMPUTED_VALUE"""),"FLT1431")</f>
        <v>FLT1431</v>
      </c>
      <c r="B526" s="468">
        <f>IFERROR(__xludf.DUMMYFUNCTION("""COMPUTED_VALUE"""),44581.0)</f>
        <v>44581</v>
      </c>
      <c r="C526" s="469">
        <f>IFERROR(__xludf.DUMMYFUNCTION("""COMPUTED_VALUE"""),0.3297685185185185)</f>
        <v>0.3297685185</v>
      </c>
      <c r="D526" s="103" t="str">
        <f>IFERROR(__xludf.DUMMYFUNCTION("""COMPUTED_VALUE"""),"SpFLMP939619")</f>
        <v>SpFLMP939619</v>
      </c>
      <c r="E526" s="103"/>
      <c r="F526" s="103"/>
      <c r="G526" s="103" t="str">
        <f>IFERROR(__xludf.DUMMYFUNCTION("""COMPUTED_VALUE"""),"Negative")</f>
        <v>Negative</v>
      </c>
      <c r="H526" s="131" t="str">
        <f>IFERROR(__xludf.DUMMYFUNCTION("""COMPUTED_VALUE"""),"Negative")</f>
        <v>Negative</v>
      </c>
      <c r="I526" s="468">
        <f>IFERROR(__xludf.DUMMYFUNCTION("""COMPUTED_VALUE"""),44581.0)</f>
        <v>44581</v>
      </c>
      <c r="J526" s="470">
        <f>IFERROR(__xludf.DUMMYFUNCTION("""COMPUTED_VALUE"""),0.45371527777777776)</f>
        <v>0.4537152778</v>
      </c>
      <c r="K526" s="16"/>
      <c r="L526" s="8"/>
      <c r="M526" s="69"/>
      <c r="N526" s="69">
        <f>IFERROR(__xludf.DUMMYFUNCTION("""COMPUTED_VALUE"""),1.0)</f>
        <v>1</v>
      </c>
      <c r="O526" s="69" t="str">
        <f t="shared" si="3"/>
        <v/>
      </c>
      <c r="P526" s="471">
        <f>IFERROR(__xludf.DUMMYFUNCTION("""COMPUTED_VALUE"""),0.0)</f>
        <v>0</v>
      </c>
      <c r="Q526" s="274" t="str">
        <f>VLOOKUP($B526,'Run Reconcile'!B$2:O2488,14,FALSE)</f>
        <v/>
      </c>
      <c r="R526" s="472" t="str">
        <f t="array" ref="R526">IF($Q526, INDEX('Run Reconcile'!A$2:A2488,MATCH(B526,'Run Reconcile'!B$2:B2488,0),1),IFERROR(0/0,""))</f>
        <v/>
      </c>
      <c r="S526" s="473" t="str">
        <f t="shared" si="694"/>
        <v/>
      </c>
      <c r="T526" s="473" t="str">
        <f t="shared" si="698"/>
        <v/>
      </c>
      <c r="U526" s="275" t="str">
        <f t="array" ref="U526">IF(ISBLANK($R526), INDEX('Run Reconcile'!A$2:A2488, MATCH($B526, 'Run Reconcile'!B$2:B2488, 0)+Z526, 1), IFERROR(0/0,""))
</f>
        <v>RUN-FLMP_2022-01-20_RFR-067</v>
      </c>
      <c r="V526" s="474" t="str">
        <f t="shared" si="5"/>
        <v>RUN-FLMP_2022-01-20_RFR-067</v>
      </c>
      <c r="Y526" s="89" t="str">
        <f t="shared" si="867"/>
        <v/>
      </c>
      <c r="Z526" s="60" t="str">
        <f t="shared" si="7"/>
        <v/>
      </c>
      <c r="AA526" s="60" t="str">
        <f t="shared" si="8"/>
        <v/>
      </c>
      <c r="AB526" s="60" t="str">
        <f t="shared" si="9"/>
        <v/>
      </c>
      <c r="AC526" s="30" t="str">
        <f t="shared" ref="AC526:AD526" si="882">IF(_xlfn.ISFORMULA(S526),IFERROR(0/0,""),TRUE)</f>
        <v/>
      </c>
      <c r="AD526" s="30" t="str">
        <f t="shared" si="882"/>
        <v/>
      </c>
      <c r="AE526" s="475" t="str">
        <f>IFERROR(__xludf.DUMMYFUNCTION("""COMPUTED_VALUE"""),"CRLN")</f>
        <v>CRLN</v>
      </c>
      <c r="AF526" s="476"/>
      <c r="AG526" s="474" t="s">
        <v>165</v>
      </c>
      <c r="AH526" s="138" t="str">
        <f t="shared" si="11"/>
        <v/>
      </c>
    </row>
    <row r="527">
      <c r="A527" s="103" t="str">
        <f>IFERROR(__xludf.DUMMYFUNCTION("""COMPUTED_VALUE"""),"FLT1156")</f>
        <v>FLT1156</v>
      </c>
      <c r="B527" s="468">
        <f>IFERROR(__xludf.DUMMYFUNCTION("""COMPUTED_VALUE"""),44581.0)</f>
        <v>44581</v>
      </c>
      <c r="C527" s="469">
        <f>IFERROR(__xludf.DUMMYFUNCTION("""COMPUTED_VALUE"""),0.3299768518518518)</f>
        <v>0.3299768519</v>
      </c>
      <c r="D527" s="103" t="str">
        <f>IFERROR(__xludf.DUMMYFUNCTION("""COMPUTED_VALUE"""),"SpFLMP544731")</f>
        <v>SpFLMP544731</v>
      </c>
      <c r="E527" s="103"/>
      <c r="F527" s="103"/>
      <c r="G527" s="103" t="str">
        <f>IFERROR(__xludf.DUMMYFUNCTION("""COMPUTED_VALUE"""),"Negative")</f>
        <v>Negative</v>
      </c>
      <c r="H527" s="131" t="str">
        <f>IFERROR(__xludf.DUMMYFUNCTION("""COMPUTED_VALUE"""),"Negative")</f>
        <v>Negative</v>
      </c>
      <c r="I527" s="468">
        <f>IFERROR(__xludf.DUMMYFUNCTION("""COMPUTED_VALUE"""),44581.0)</f>
        <v>44581</v>
      </c>
      <c r="J527" s="470">
        <f>IFERROR(__xludf.DUMMYFUNCTION("""COMPUTED_VALUE"""),0.45372685185185185)</f>
        <v>0.4537268519</v>
      </c>
      <c r="K527" s="16"/>
      <c r="L527" s="8"/>
      <c r="M527" s="69"/>
      <c r="N527" s="69">
        <f>IFERROR(__xludf.DUMMYFUNCTION("""COMPUTED_VALUE"""),1.0)</f>
        <v>1</v>
      </c>
      <c r="O527" s="69" t="str">
        <f t="shared" si="3"/>
        <v/>
      </c>
      <c r="P527" s="471">
        <f>IFERROR(__xludf.DUMMYFUNCTION("""COMPUTED_VALUE"""),0.0)</f>
        <v>0</v>
      </c>
      <c r="Q527" s="274" t="str">
        <f>VLOOKUP($B527,'Run Reconcile'!B$2:O2488,14,FALSE)</f>
        <v/>
      </c>
      <c r="R527" s="472" t="str">
        <f t="array" ref="R527">IF($Q527, INDEX('Run Reconcile'!A$2:A2488,MATCH(B527,'Run Reconcile'!B$2:B2488,0),1),IFERROR(0/0,""))</f>
        <v/>
      </c>
      <c r="S527" s="473" t="str">
        <f t="shared" si="694"/>
        <v/>
      </c>
      <c r="T527" s="473" t="str">
        <f t="shared" si="698"/>
        <v/>
      </c>
      <c r="U527" s="275" t="str">
        <f t="array" ref="U527">IF(ISBLANK($R527), INDEX('Run Reconcile'!A$2:A2488, MATCH($B527, 'Run Reconcile'!B$2:B2488, 0)+Z527, 1), IFERROR(0/0,""))
</f>
        <v>RUN-FLMP_2022-01-20_RFR-067</v>
      </c>
      <c r="V527" s="474" t="str">
        <f t="shared" si="5"/>
        <v>RUN-FLMP_2022-01-20_RFR-067</v>
      </c>
      <c r="Y527" s="89" t="str">
        <f t="shared" si="867"/>
        <v/>
      </c>
      <c r="Z527" s="60" t="str">
        <f t="shared" si="7"/>
        <v/>
      </c>
      <c r="AA527" s="60" t="str">
        <f t="shared" si="8"/>
        <v/>
      </c>
      <c r="AB527" s="60" t="str">
        <f t="shared" si="9"/>
        <v/>
      </c>
      <c r="AC527" s="30" t="str">
        <f t="shared" ref="AC527:AD527" si="883">IF(_xlfn.ISFORMULA(S527),IFERROR(0/0,""),TRUE)</f>
        <v/>
      </c>
      <c r="AD527" s="30" t="str">
        <f t="shared" si="883"/>
        <v/>
      </c>
      <c r="AE527" s="475" t="str">
        <f>IFERROR(__xludf.DUMMYFUNCTION("""COMPUTED_VALUE"""),"CRLN")</f>
        <v>CRLN</v>
      </c>
      <c r="AF527" s="476"/>
      <c r="AG527" s="474" t="s">
        <v>165</v>
      </c>
      <c r="AH527" s="138" t="str">
        <f t="shared" si="11"/>
        <v/>
      </c>
    </row>
    <row r="528">
      <c r="A528" s="103" t="str">
        <f>IFERROR(__xludf.DUMMYFUNCTION("""COMPUTED_VALUE"""),"FLE936")</f>
        <v>FLE936</v>
      </c>
      <c r="B528" s="468">
        <f>IFERROR(__xludf.DUMMYFUNCTION("""COMPUTED_VALUE"""),44581.0)</f>
        <v>44581</v>
      </c>
      <c r="C528" s="469">
        <f>IFERROR(__xludf.DUMMYFUNCTION("""COMPUTED_VALUE"""),0.33197916666666666)</f>
        <v>0.3319791667</v>
      </c>
      <c r="D528" s="103" t="str">
        <f>IFERROR(__xludf.DUMMYFUNCTION("""COMPUTED_VALUE"""),"SpFLMP170622")</f>
        <v>SpFLMP170622</v>
      </c>
      <c r="E528" s="103"/>
      <c r="F528" s="103"/>
      <c r="G528" s="103" t="str">
        <f>IFERROR(__xludf.DUMMYFUNCTION("""COMPUTED_VALUE"""),"Negative")</f>
        <v>Negative</v>
      </c>
      <c r="H528" s="131" t="str">
        <f>IFERROR(__xludf.DUMMYFUNCTION("""COMPUTED_VALUE"""),"Negative")</f>
        <v>Negative</v>
      </c>
      <c r="I528" s="468">
        <f>IFERROR(__xludf.DUMMYFUNCTION("""COMPUTED_VALUE"""),44581.0)</f>
        <v>44581</v>
      </c>
      <c r="J528" s="470">
        <f>IFERROR(__xludf.DUMMYFUNCTION("""COMPUTED_VALUE"""),0.45372685185185185)</f>
        <v>0.4537268519</v>
      </c>
      <c r="K528" s="16"/>
      <c r="L528" s="8"/>
      <c r="M528" s="69"/>
      <c r="N528" s="69">
        <f>IFERROR(__xludf.DUMMYFUNCTION("""COMPUTED_VALUE"""),4.0)</f>
        <v>4</v>
      </c>
      <c r="O528" s="69" t="str">
        <f t="shared" si="3"/>
        <v/>
      </c>
      <c r="P528" s="471">
        <f>IFERROR(__xludf.DUMMYFUNCTION("""COMPUTED_VALUE"""),0.0)</f>
        <v>0</v>
      </c>
      <c r="Q528" s="274" t="str">
        <f>VLOOKUP($B528,'Run Reconcile'!B$2:O2488,14,FALSE)</f>
        <v/>
      </c>
      <c r="R528" s="472" t="str">
        <f t="array" ref="R528">IF($Q528, INDEX('Run Reconcile'!A$2:A2488,MATCH(B528,'Run Reconcile'!B$2:B2488,0),1),IFERROR(0/0,""))</f>
        <v/>
      </c>
      <c r="S528" s="473" t="str">
        <f t="shared" si="694"/>
        <v/>
      </c>
      <c r="T528" s="473" t="str">
        <f t="shared" si="698"/>
        <v/>
      </c>
      <c r="U528" s="275" t="str">
        <f t="array" ref="U528">IF(ISBLANK($R528), INDEX('Run Reconcile'!A$2:A2488, MATCH($B528, 'Run Reconcile'!B$2:B2488, 0)+Z528, 1), IFERROR(0/0,""))
</f>
        <v>RUN-FLMP_2022-01-20_RFR-067</v>
      </c>
      <c r="V528" s="474" t="str">
        <f t="shared" si="5"/>
        <v>RUN-FLMP_2022-01-20_RFR-067</v>
      </c>
      <c r="Y528" s="89" t="str">
        <f t="shared" si="867"/>
        <v/>
      </c>
      <c r="Z528" s="60" t="str">
        <f t="shared" si="7"/>
        <v/>
      </c>
      <c r="AA528" s="60" t="str">
        <f t="shared" si="8"/>
        <v/>
      </c>
      <c r="AB528" s="60" t="str">
        <f t="shared" si="9"/>
        <v/>
      </c>
      <c r="AC528" s="30" t="str">
        <f t="shared" ref="AC528:AD528" si="884">IF(_xlfn.ISFORMULA(S528),IFERROR(0/0,""),TRUE)</f>
        <v/>
      </c>
      <c r="AD528" s="30" t="str">
        <f t="shared" si="884"/>
        <v/>
      </c>
      <c r="AE528" s="475" t="str">
        <f>IFERROR(__xludf.DUMMYFUNCTION("""COMPUTED_VALUE"""),"CRLN")</f>
        <v>CRLN</v>
      </c>
      <c r="AF528" s="476"/>
      <c r="AG528" s="474" t="s">
        <v>165</v>
      </c>
      <c r="AH528" s="138" t="str">
        <f t="shared" si="11"/>
        <v/>
      </c>
    </row>
    <row r="529">
      <c r="A529" s="103" t="str">
        <f>IFERROR(__xludf.DUMMYFUNCTION("""COMPUTED_VALUE"""),"FLE862")</f>
        <v>FLE862</v>
      </c>
      <c r="B529" s="468">
        <f>IFERROR(__xludf.DUMMYFUNCTION("""COMPUTED_VALUE"""),44581.0)</f>
        <v>44581</v>
      </c>
      <c r="C529" s="469">
        <f>IFERROR(__xludf.DUMMYFUNCTION("""COMPUTED_VALUE"""),0.3323611111111111)</f>
        <v>0.3323611111</v>
      </c>
      <c r="D529" s="103" t="str">
        <f>IFERROR(__xludf.DUMMYFUNCTION("""COMPUTED_VALUE"""),"SpFLMP259015")</f>
        <v>SpFLMP259015</v>
      </c>
      <c r="E529" s="103"/>
      <c r="F529" s="103"/>
      <c r="G529" s="103" t="str">
        <f>IFERROR(__xludf.DUMMYFUNCTION("""COMPUTED_VALUE"""),"Negative")</f>
        <v>Negative</v>
      </c>
      <c r="H529" s="131" t="str">
        <f>IFERROR(__xludf.DUMMYFUNCTION("""COMPUTED_VALUE"""),"Negative")</f>
        <v>Negative</v>
      </c>
      <c r="I529" s="468">
        <f>IFERROR(__xludf.DUMMYFUNCTION("""COMPUTED_VALUE"""),44581.0)</f>
        <v>44581</v>
      </c>
      <c r="J529" s="470">
        <f>IFERROR(__xludf.DUMMYFUNCTION("""COMPUTED_VALUE"""),0.45372685185185185)</f>
        <v>0.4537268519</v>
      </c>
      <c r="K529" s="16"/>
      <c r="L529" s="8"/>
      <c r="M529" s="69"/>
      <c r="N529" s="69">
        <f>IFERROR(__xludf.DUMMYFUNCTION("""COMPUTED_VALUE"""),3.0)</f>
        <v>3</v>
      </c>
      <c r="O529" s="69" t="str">
        <f t="shared" si="3"/>
        <v/>
      </c>
      <c r="P529" s="471">
        <f>IFERROR(__xludf.DUMMYFUNCTION("""COMPUTED_VALUE"""),0.0)</f>
        <v>0</v>
      </c>
      <c r="Q529" s="274" t="str">
        <f>VLOOKUP($B529,'Run Reconcile'!B$2:O2488,14,FALSE)</f>
        <v/>
      </c>
      <c r="R529" s="472" t="str">
        <f t="array" ref="R529">IF($Q529, INDEX('Run Reconcile'!A$2:A2488,MATCH(B529,'Run Reconcile'!B$2:B2488,0),1),IFERROR(0/0,""))</f>
        <v/>
      </c>
      <c r="S529" s="473" t="str">
        <f t="shared" si="694"/>
        <v/>
      </c>
      <c r="T529" s="473" t="str">
        <f t="shared" si="698"/>
        <v/>
      </c>
      <c r="U529" s="275" t="str">
        <f t="array" ref="U529">IF(ISBLANK($R529), INDEX('Run Reconcile'!A$2:A2488, MATCH($B529, 'Run Reconcile'!B$2:B2488, 0)+Z529, 1), IFERROR(0/0,""))
</f>
        <v>RUN-FLMP_2022-01-20_RFR-067</v>
      </c>
      <c r="V529" s="474" t="str">
        <f t="shared" si="5"/>
        <v>RUN-FLMP_2022-01-20_RFR-067</v>
      </c>
      <c r="Y529" s="89" t="str">
        <f t="shared" si="867"/>
        <v/>
      </c>
      <c r="Z529" s="60" t="str">
        <f t="shared" si="7"/>
        <v/>
      </c>
      <c r="AA529" s="60" t="str">
        <f t="shared" si="8"/>
        <v/>
      </c>
      <c r="AB529" s="60" t="str">
        <f t="shared" si="9"/>
        <v/>
      </c>
      <c r="AC529" s="30" t="str">
        <f t="shared" ref="AC529:AD529" si="885">IF(_xlfn.ISFORMULA(S529),IFERROR(0/0,""),TRUE)</f>
        <v/>
      </c>
      <c r="AD529" s="30" t="str">
        <f t="shared" si="885"/>
        <v/>
      </c>
      <c r="AE529" s="475" t="str">
        <f>IFERROR(__xludf.DUMMYFUNCTION("""COMPUTED_VALUE"""),"CRLN")</f>
        <v>CRLN</v>
      </c>
      <c r="AF529" s="476"/>
      <c r="AG529" s="474" t="s">
        <v>165</v>
      </c>
      <c r="AH529" s="138" t="str">
        <f t="shared" si="11"/>
        <v/>
      </c>
    </row>
    <row r="530">
      <c r="A530" s="103" t="str">
        <f>IFERROR(__xludf.DUMMYFUNCTION("""COMPUTED_VALUE"""),"FLE875")</f>
        <v>FLE875</v>
      </c>
      <c r="B530" s="468">
        <f>IFERROR(__xludf.DUMMYFUNCTION("""COMPUTED_VALUE"""),44581.0)</f>
        <v>44581</v>
      </c>
      <c r="C530" s="469">
        <f>IFERROR(__xludf.DUMMYFUNCTION("""COMPUTED_VALUE"""),0.33447916666666666)</f>
        <v>0.3344791667</v>
      </c>
      <c r="D530" s="103" t="str">
        <f>IFERROR(__xludf.DUMMYFUNCTION("""COMPUTED_VALUE"""),"SpFLMP170622")</f>
        <v>SpFLMP170622</v>
      </c>
      <c r="E530" s="103"/>
      <c r="F530" s="103"/>
      <c r="G530" s="103" t="str">
        <f>IFERROR(__xludf.DUMMYFUNCTION("""COMPUTED_VALUE"""),"Negative")</f>
        <v>Negative</v>
      </c>
      <c r="H530" s="131" t="str">
        <f>IFERROR(__xludf.DUMMYFUNCTION("""COMPUTED_VALUE"""),"Negative")</f>
        <v>Negative</v>
      </c>
      <c r="I530" s="468">
        <f>IFERROR(__xludf.DUMMYFUNCTION("""COMPUTED_VALUE"""),44581.0)</f>
        <v>44581</v>
      </c>
      <c r="J530" s="470">
        <f>IFERROR(__xludf.DUMMYFUNCTION("""COMPUTED_VALUE"""),0.45372685185185185)</f>
        <v>0.4537268519</v>
      </c>
      <c r="K530" s="16"/>
      <c r="L530" s="8"/>
      <c r="M530" s="69"/>
      <c r="N530" s="69">
        <f>IFERROR(__xludf.DUMMYFUNCTION("""COMPUTED_VALUE"""),4.0)</f>
        <v>4</v>
      </c>
      <c r="O530" s="69" t="str">
        <f t="shared" si="3"/>
        <v/>
      </c>
      <c r="P530" s="471">
        <f>IFERROR(__xludf.DUMMYFUNCTION("""COMPUTED_VALUE"""),0.0)</f>
        <v>0</v>
      </c>
      <c r="Q530" s="274" t="str">
        <f>VLOOKUP($B530,'Run Reconcile'!B$2:O2488,14,FALSE)</f>
        <v/>
      </c>
      <c r="R530" s="472" t="str">
        <f t="array" ref="R530">IF($Q530, INDEX('Run Reconcile'!A$2:A2488,MATCH(B530,'Run Reconcile'!B$2:B2488,0),1),IFERROR(0/0,""))</f>
        <v/>
      </c>
      <c r="S530" s="473" t="str">
        <f t="shared" si="694"/>
        <v/>
      </c>
      <c r="T530" s="473" t="str">
        <f t="shared" si="698"/>
        <v/>
      </c>
      <c r="U530" s="275" t="str">
        <f t="array" ref="U530">IF(ISBLANK($R530), INDEX('Run Reconcile'!A$2:A2488, MATCH($B530, 'Run Reconcile'!B$2:B2488, 0)+Z530, 1), IFERROR(0/0,""))
</f>
        <v>RUN-FLMP_2022-01-20_RFR-067</v>
      </c>
      <c r="V530" s="474" t="str">
        <f t="shared" si="5"/>
        <v>RUN-FLMP_2022-01-20_RFR-067</v>
      </c>
      <c r="Y530" s="89" t="str">
        <f t="shared" si="867"/>
        <v/>
      </c>
      <c r="Z530" s="60" t="str">
        <f t="shared" si="7"/>
        <v/>
      </c>
      <c r="AA530" s="60" t="str">
        <f t="shared" si="8"/>
        <v/>
      </c>
      <c r="AB530" s="60" t="str">
        <f t="shared" si="9"/>
        <v/>
      </c>
      <c r="AC530" s="30" t="str">
        <f t="shared" ref="AC530:AD530" si="886">IF(_xlfn.ISFORMULA(S530),IFERROR(0/0,""),TRUE)</f>
        <v/>
      </c>
      <c r="AD530" s="30" t="str">
        <f t="shared" si="886"/>
        <v/>
      </c>
      <c r="AE530" s="475" t="str">
        <f>IFERROR(__xludf.DUMMYFUNCTION("""COMPUTED_VALUE"""),"CRLN")</f>
        <v>CRLN</v>
      </c>
      <c r="AF530" s="476"/>
      <c r="AG530" s="474" t="s">
        <v>165</v>
      </c>
      <c r="AH530" s="138" t="str">
        <f t="shared" si="11"/>
        <v/>
      </c>
    </row>
    <row r="531">
      <c r="A531" s="103" t="str">
        <f>IFERROR(__xludf.DUMMYFUNCTION("""COMPUTED_VALUE"""),"FLB5840")</f>
        <v>FLB5840</v>
      </c>
      <c r="B531" s="468">
        <f>IFERROR(__xludf.DUMMYFUNCTION("""COMPUTED_VALUE"""),44581.0)</f>
        <v>44581</v>
      </c>
      <c r="C531" s="469">
        <f>IFERROR(__xludf.DUMMYFUNCTION("""COMPUTED_VALUE"""),0.34239583333333334)</f>
        <v>0.3423958333</v>
      </c>
      <c r="D531" s="103" t="str">
        <f>IFERROR(__xludf.DUMMYFUNCTION("""COMPUTED_VALUE"""),"SpFLMP737812")</f>
        <v>SpFLMP737812</v>
      </c>
      <c r="E531" s="103"/>
      <c r="F531" s="103"/>
      <c r="G531" s="103" t="str">
        <f>IFERROR(__xludf.DUMMYFUNCTION("""COMPUTED_VALUE"""),"Negative")</f>
        <v>Negative</v>
      </c>
      <c r="H531" s="131" t="str">
        <f>IFERROR(__xludf.DUMMYFUNCTION("""COMPUTED_VALUE"""),"Negative")</f>
        <v>Negative</v>
      </c>
      <c r="I531" s="468">
        <f>IFERROR(__xludf.DUMMYFUNCTION("""COMPUTED_VALUE"""),44581.0)</f>
        <v>44581</v>
      </c>
      <c r="J531" s="470">
        <f>IFERROR(__xludf.DUMMYFUNCTION("""COMPUTED_VALUE"""),0.45372685185185185)</f>
        <v>0.4537268519</v>
      </c>
      <c r="K531" s="16"/>
      <c r="L531" s="8"/>
      <c r="M531" s="69"/>
      <c r="N531" s="69">
        <f>IFERROR(__xludf.DUMMYFUNCTION("""COMPUTED_VALUE"""),5.0)</f>
        <v>5</v>
      </c>
      <c r="O531" s="69" t="str">
        <f t="shared" si="3"/>
        <v/>
      </c>
      <c r="P531" s="471">
        <f>IFERROR(__xludf.DUMMYFUNCTION("""COMPUTED_VALUE"""),0.0)</f>
        <v>0</v>
      </c>
      <c r="Q531" s="274" t="str">
        <f>VLOOKUP($B531,'Run Reconcile'!B$2:O2488,14,FALSE)</f>
        <v/>
      </c>
      <c r="R531" s="472" t="str">
        <f t="array" ref="R531">IF($Q531, INDEX('Run Reconcile'!A$2:A2488,MATCH(B531,'Run Reconcile'!B$2:B2488,0),1),IFERROR(0/0,""))</f>
        <v/>
      </c>
      <c r="S531" s="473" t="str">
        <f t="shared" si="694"/>
        <v/>
      </c>
      <c r="T531" s="473" t="str">
        <f t="shared" si="698"/>
        <v/>
      </c>
      <c r="U531" s="275" t="str">
        <f t="array" ref="U531">IF(ISBLANK($R531), INDEX('Run Reconcile'!A$2:A2488, MATCH($B531, 'Run Reconcile'!B$2:B2488, 0)+Z531, 1), IFERROR(0/0,""))
</f>
        <v>RUN-FLMP_2022-01-20_RFR-067</v>
      </c>
      <c r="V531" s="474" t="str">
        <f t="shared" si="5"/>
        <v>RUN-FLMP_2022-01-20_RFR-067</v>
      </c>
      <c r="Y531" s="89" t="str">
        <f t="shared" si="867"/>
        <v/>
      </c>
      <c r="Z531" s="60" t="str">
        <f t="shared" si="7"/>
        <v/>
      </c>
      <c r="AA531" s="60" t="str">
        <f t="shared" si="8"/>
        <v/>
      </c>
      <c r="AB531" s="60" t="str">
        <f t="shared" si="9"/>
        <v/>
      </c>
      <c r="AC531" s="30" t="str">
        <f t="shared" ref="AC531:AD531" si="887">IF(_xlfn.ISFORMULA(S531),IFERROR(0/0,""),TRUE)</f>
        <v/>
      </c>
      <c r="AD531" s="30" t="str">
        <f t="shared" si="887"/>
        <v/>
      </c>
      <c r="AE531" s="475" t="str">
        <f>IFERROR(__xludf.DUMMYFUNCTION("""COMPUTED_VALUE"""),"CRLN")</f>
        <v>CRLN</v>
      </c>
      <c r="AF531" s="476"/>
      <c r="AG531" s="474" t="s">
        <v>165</v>
      </c>
      <c r="AH531" s="138" t="str">
        <f t="shared" si="11"/>
        <v/>
      </c>
    </row>
    <row r="532">
      <c r="A532" s="103" t="str">
        <f>IFERROR(__xludf.DUMMYFUNCTION("""COMPUTED_VALUE"""),"FLT1447")</f>
        <v>FLT1447</v>
      </c>
      <c r="B532" s="468">
        <f>IFERROR(__xludf.DUMMYFUNCTION("""COMPUTED_VALUE"""),44581.0)</f>
        <v>44581</v>
      </c>
      <c r="C532" s="469">
        <f>IFERROR(__xludf.DUMMYFUNCTION("""COMPUTED_VALUE"""),0.3449421296296296)</f>
        <v>0.3449421296</v>
      </c>
      <c r="D532" s="103" t="str">
        <f>IFERROR(__xludf.DUMMYFUNCTION("""COMPUTED_VALUE"""),"SpFLMP604497")</f>
        <v>SpFLMP604497</v>
      </c>
      <c r="E532" s="103"/>
      <c r="F532" s="103"/>
      <c r="G532" s="103" t="str">
        <f>IFERROR(__xludf.DUMMYFUNCTION("""COMPUTED_VALUE"""),"Negative")</f>
        <v>Negative</v>
      </c>
      <c r="H532" s="131" t="str">
        <f>IFERROR(__xludf.DUMMYFUNCTION("""COMPUTED_VALUE"""),"Negative")</f>
        <v>Negative</v>
      </c>
      <c r="I532" s="468">
        <f>IFERROR(__xludf.DUMMYFUNCTION("""COMPUTED_VALUE"""),44581.0)</f>
        <v>44581</v>
      </c>
      <c r="J532" s="470">
        <f>IFERROR(__xludf.DUMMYFUNCTION("""COMPUTED_VALUE"""),0.45372685185185185)</f>
        <v>0.4537268519</v>
      </c>
      <c r="K532" s="16"/>
      <c r="L532" s="8"/>
      <c r="M532" s="69"/>
      <c r="N532" s="69">
        <f>IFERROR(__xludf.DUMMYFUNCTION("""COMPUTED_VALUE"""),4.0)</f>
        <v>4</v>
      </c>
      <c r="O532" s="69" t="str">
        <f t="shared" si="3"/>
        <v/>
      </c>
      <c r="P532" s="471">
        <f>IFERROR(__xludf.DUMMYFUNCTION("""COMPUTED_VALUE"""),0.0)</f>
        <v>0</v>
      </c>
      <c r="Q532" s="274" t="str">
        <f>VLOOKUP($B532,'Run Reconcile'!B$2:O2488,14,FALSE)</f>
        <v/>
      </c>
      <c r="R532" s="472" t="str">
        <f t="array" ref="R532">IF($Q532, INDEX('Run Reconcile'!A$2:A2488,MATCH(B532,'Run Reconcile'!B$2:B2488,0),1),IFERROR(0/0,""))</f>
        <v/>
      </c>
      <c r="S532" s="473" t="str">
        <f t="shared" si="694"/>
        <v/>
      </c>
      <c r="T532" s="473" t="str">
        <f t="shared" si="698"/>
        <v/>
      </c>
      <c r="U532" s="275" t="str">
        <f t="array" ref="U532">IF(ISBLANK($R532), INDEX('Run Reconcile'!A$2:A2488, MATCH($B532, 'Run Reconcile'!B$2:B2488, 0)+Z532, 1), IFERROR(0/0,""))
</f>
        <v>RUN-FLMP_2022-01-20_RFR-067</v>
      </c>
      <c r="V532" s="474" t="str">
        <f t="shared" si="5"/>
        <v>RUN-FLMP_2022-01-20_RFR-067</v>
      </c>
      <c r="Y532" s="89" t="str">
        <f t="shared" si="867"/>
        <v/>
      </c>
      <c r="Z532" s="60" t="str">
        <f t="shared" si="7"/>
        <v/>
      </c>
      <c r="AA532" s="60" t="str">
        <f t="shared" si="8"/>
        <v/>
      </c>
      <c r="AB532" s="60" t="str">
        <f t="shared" si="9"/>
        <v/>
      </c>
      <c r="AC532" s="30" t="str">
        <f t="shared" ref="AC532:AD532" si="888">IF(_xlfn.ISFORMULA(S532),IFERROR(0/0,""),TRUE)</f>
        <v/>
      </c>
      <c r="AD532" s="30" t="str">
        <f t="shared" si="888"/>
        <v/>
      </c>
      <c r="AE532" s="475" t="str">
        <f>IFERROR(__xludf.DUMMYFUNCTION("""COMPUTED_VALUE"""),"CRLN")</f>
        <v>CRLN</v>
      </c>
      <c r="AF532" s="476"/>
      <c r="AG532" s="474" t="s">
        <v>165</v>
      </c>
      <c r="AH532" s="138" t="str">
        <f t="shared" si="11"/>
        <v/>
      </c>
    </row>
    <row r="533">
      <c r="A533" s="103" t="str">
        <f>IFERROR(__xludf.DUMMYFUNCTION("""COMPUTED_VALUE"""),"FLB7397")</f>
        <v>FLB7397</v>
      </c>
      <c r="B533" s="468">
        <f>IFERROR(__xludf.DUMMYFUNCTION("""COMPUTED_VALUE"""),44581.0)</f>
        <v>44581</v>
      </c>
      <c r="C533" s="469">
        <f>IFERROR(__xludf.DUMMYFUNCTION("""COMPUTED_VALUE"""),0.345)</f>
        <v>0.345</v>
      </c>
      <c r="D533" s="103" t="str">
        <f>IFERROR(__xludf.DUMMYFUNCTION("""COMPUTED_VALUE"""),"SpFLMP572444")</f>
        <v>SpFLMP572444</v>
      </c>
      <c r="E533" s="103"/>
      <c r="F533" s="103"/>
      <c r="G533" s="103" t="str">
        <f>IFERROR(__xludf.DUMMYFUNCTION("""COMPUTED_VALUE"""),"Negative")</f>
        <v>Negative</v>
      </c>
      <c r="H533" s="131" t="str">
        <f>IFERROR(__xludf.DUMMYFUNCTION("""COMPUTED_VALUE"""),"Negative")</f>
        <v>Negative</v>
      </c>
      <c r="I533" s="468">
        <f>IFERROR(__xludf.DUMMYFUNCTION("""COMPUTED_VALUE"""),44581.0)</f>
        <v>44581</v>
      </c>
      <c r="J533" s="470">
        <f>IFERROR(__xludf.DUMMYFUNCTION("""COMPUTED_VALUE"""),0.45372685185185185)</f>
        <v>0.4537268519</v>
      </c>
      <c r="K533" s="16"/>
      <c r="L533" s="8"/>
      <c r="M533" s="69"/>
      <c r="N533" s="69">
        <f>IFERROR(__xludf.DUMMYFUNCTION("""COMPUTED_VALUE"""),4.0)</f>
        <v>4</v>
      </c>
      <c r="O533" s="69" t="str">
        <f t="shared" si="3"/>
        <v/>
      </c>
      <c r="P533" s="471">
        <f>IFERROR(__xludf.DUMMYFUNCTION("""COMPUTED_VALUE"""),0.0)</f>
        <v>0</v>
      </c>
      <c r="Q533" s="274" t="str">
        <f>VLOOKUP($B533,'Run Reconcile'!B$2:O2488,14,FALSE)</f>
        <v/>
      </c>
      <c r="R533" s="472" t="str">
        <f t="array" ref="R533">IF($Q533, INDEX('Run Reconcile'!A$2:A2488,MATCH(B533,'Run Reconcile'!B$2:B2488,0),1),IFERROR(0/0,""))</f>
        <v/>
      </c>
      <c r="S533" s="473" t="str">
        <f t="shared" si="694"/>
        <v/>
      </c>
      <c r="T533" s="473" t="str">
        <f t="shared" si="698"/>
        <v/>
      </c>
      <c r="U533" s="275" t="str">
        <f t="array" ref="U533">IF(ISBLANK($R533), INDEX('Run Reconcile'!A$2:A2488, MATCH($B533, 'Run Reconcile'!B$2:B2488, 0)+Z533, 1), IFERROR(0/0,""))
</f>
        <v>RUN-FLMP_2022-01-20_RFR-067</v>
      </c>
      <c r="V533" s="474" t="str">
        <f t="shared" si="5"/>
        <v>RUN-FLMP_2022-01-20_RFR-067</v>
      </c>
      <c r="Y533" s="89" t="str">
        <f t="shared" si="867"/>
        <v/>
      </c>
      <c r="Z533" s="60" t="str">
        <f t="shared" si="7"/>
        <v/>
      </c>
      <c r="AA533" s="60" t="str">
        <f t="shared" si="8"/>
        <v/>
      </c>
      <c r="AB533" s="60" t="str">
        <f t="shared" si="9"/>
        <v/>
      </c>
      <c r="AC533" s="30" t="str">
        <f t="shared" ref="AC533:AD533" si="889">IF(_xlfn.ISFORMULA(S533),IFERROR(0/0,""),TRUE)</f>
        <v/>
      </c>
      <c r="AD533" s="30" t="str">
        <f t="shared" si="889"/>
        <v/>
      </c>
      <c r="AE533" s="475" t="str">
        <f>IFERROR(__xludf.DUMMYFUNCTION("""COMPUTED_VALUE"""),"CRLN")</f>
        <v>CRLN</v>
      </c>
      <c r="AF533" s="476"/>
      <c r="AG533" s="474" t="s">
        <v>165</v>
      </c>
      <c r="AH533" s="138" t="str">
        <f t="shared" si="11"/>
        <v/>
      </c>
    </row>
    <row r="534">
      <c r="A534" s="103" t="str">
        <f>IFERROR(__xludf.DUMMYFUNCTION("""COMPUTED_VALUE"""),"FLT1526")</f>
        <v>FLT1526</v>
      </c>
      <c r="B534" s="468">
        <f>IFERROR(__xludf.DUMMYFUNCTION("""COMPUTED_VALUE"""),44581.0)</f>
        <v>44581</v>
      </c>
      <c r="C534" s="469">
        <f>IFERROR(__xludf.DUMMYFUNCTION("""COMPUTED_VALUE"""),0.3454050925925926)</f>
        <v>0.3454050926</v>
      </c>
      <c r="D534" s="103" t="str">
        <f>IFERROR(__xludf.DUMMYFUNCTION("""COMPUTED_VALUE"""),"SpFLMP309785")</f>
        <v>SpFLMP309785</v>
      </c>
      <c r="E534" s="103"/>
      <c r="F534" s="103"/>
      <c r="G534" s="103" t="str">
        <f>IFERROR(__xludf.DUMMYFUNCTION("""COMPUTED_VALUE"""),"Negative")</f>
        <v>Negative</v>
      </c>
      <c r="H534" s="131" t="str">
        <f>IFERROR(__xludf.DUMMYFUNCTION("""COMPUTED_VALUE"""),"Negative")</f>
        <v>Negative</v>
      </c>
      <c r="I534" s="468">
        <f>IFERROR(__xludf.DUMMYFUNCTION("""COMPUTED_VALUE"""),44581.0)</f>
        <v>44581</v>
      </c>
      <c r="J534" s="470">
        <f>IFERROR(__xludf.DUMMYFUNCTION("""COMPUTED_VALUE"""),0.45372685185185185)</f>
        <v>0.4537268519</v>
      </c>
      <c r="K534" s="16"/>
      <c r="L534" s="8"/>
      <c r="M534" s="69"/>
      <c r="N534" s="69">
        <f>IFERROR(__xludf.DUMMYFUNCTION("""COMPUTED_VALUE"""),4.0)</f>
        <v>4</v>
      </c>
      <c r="O534" s="69" t="str">
        <f t="shared" si="3"/>
        <v/>
      </c>
      <c r="P534" s="471">
        <f>IFERROR(__xludf.DUMMYFUNCTION("""COMPUTED_VALUE"""),0.0)</f>
        <v>0</v>
      </c>
      <c r="Q534" s="274" t="str">
        <f>VLOOKUP($B534,'Run Reconcile'!B$2:O2488,14,FALSE)</f>
        <v/>
      </c>
      <c r="R534" s="472" t="str">
        <f t="array" ref="R534">IF($Q534, INDEX('Run Reconcile'!A$2:A2488,MATCH(B534,'Run Reconcile'!B$2:B2488,0),1),IFERROR(0/0,""))</f>
        <v/>
      </c>
      <c r="S534" s="473" t="str">
        <f t="shared" si="694"/>
        <v/>
      </c>
      <c r="T534" s="473" t="str">
        <f t="shared" si="698"/>
        <v/>
      </c>
      <c r="U534" s="275" t="str">
        <f t="array" ref="U534">IF(ISBLANK($R534), INDEX('Run Reconcile'!A$2:A2488, MATCH($B534, 'Run Reconcile'!B$2:B2488, 0)+Z534, 1), IFERROR(0/0,""))
</f>
        <v>RUN-FLMP_2022-01-20_RFR-067</v>
      </c>
      <c r="V534" s="474" t="str">
        <f t="shared" si="5"/>
        <v>RUN-FLMP_2022-01-20_RFR-067</v>
      </c>
      <c r="Y534" s="89" t="str">
        <f t="shared" si="867"/>
        <v/>
      </c>
      <c r="Z534" s="60" t="str">
        <f t="shared" si="7"/>
        <v/>
      </c>
      <c r="AA534" s="60" t="str">
        <f t="shared" si="8"/>
        <v/>
      </c>
      <c r="AB534" s="60" t="str">
        <f t="shared" si="9"/>
        <v/>
      </c>
      <c r="AC534" s="30" t="str">
        <f t="shared" ref="AC534:AD534" si="890">IF(_xlfn.ISFORMULA(S534),IFERROR(0/0,""),TRUE)</f>
        <v/>
      </c>
      <c r="AD534" s="30" t="str">
        <f t="shared" si="890"/>
        <v/>
      </c>
      <c r="AE534" s="475" t="str">
        <f>IFERROR(__xludf.DUMMYFUNCTION("""COMPUTED_VALUE"""),"CRLN")</f>
        <v>CRLN</v>
      </c>
      <c r="AF534" s="476"/>
      <c r="AG534" s="474" t="s">
        <v>165</v>
      </c>
      <c r="AH534" s="138" t="str">
        <f t="shared" si="11"/>
        <v/>
      </c>
    </row>
    <row r="535">
      <c r="A535" s="459" t="str">
        <f>IFERROR(__xludf.DUMMYFUNCTION("""COMPUTED_VALUE"""),"FLE924")</f>
        <v>FLE924</v>
      </c>
      <c r="B535" s="494">
        <f>IFERROR(__xludf.DUMMYFUNCTION("""COMPUTED_VALUE"""),44581.0)</f>
        <v>44581</v>
      </c>
      <c r="C535" s="495">
        <f>IFERROR(__xludf.DUMMYFUNCTION("""COMPUTED_VALUE"""),0.3458333333333333)</f>
        <v>0.3458333333</v>
      </c>
      <c r="D535" s="459" t="str">
        <f>IFERROR(__xludf.DUMMYFUNCTION("""COMPUTED_VALUE"""),"SpFLMP946259")</f>
        <v>SpFLMP946259</v>
      </c>
      <c r="E535" s="459"/>
      <c r="F535" s="459"/>
      <c r="G535" s="459" t="str">
        <f>IFERROR(__xludf.DUMMYFUNCTION("""COMPUTED_VALUE"""),"Negative")</f>
        <v>Negative</v>
      </c>
      <c r="H535" s="496" t="str">
        <f>IFERROR(__xludf.DUMMYFUNCTION("""COMPUTED_VALUE"""),"Negative")</f>
        <v>Negative</v>
      </c>
      <c r="I535" s="494">
        <f>IFERROR(__xludf.DUMMYFUNCTION("""COMPUTED_VALUE"""),44581.0)</f>
        <v>44581</v>
      </c>
      <c r="J535" s="497">
        <f>IFERROR(__xludf.DUMMYFUNCTION("""COMPUTED_VALUE"""),0.8375694444444445)</f>
        <v>0.8375694444</v>
      </c>
      <c r="K535" s="16"/>
      <c r="L535" s="8"/>
      <c r="M535" s="69"/>
      <c r="N535" s="69">
        <f>IFERROR(__xludf.DUMMYFUNCTION("""COMPUTED_VALUE"""),2.0)</f>
        <v>2</v>
      </c>
      <c r="O535" s="69" t="str">
        <f t="shared" si="3"/>
        <v/>
      </c>
      <c r="P535" s="471">
        <f>IFERROR(__xludf.DUMMYFUNCTION("""COMPUTED_VALUE"""),0.0)</f>
        <v>0</v>
      </c>
      <c r="Q535" s="274" t="str">
        <f>VLOOKUP($B535,'Run Reconcile'!B$2:O2488,14,FALSE)</f>
        <v/>
      </c>
      <c r="R535" s="472" t="str">
        <f t="array" ref="R535">IF($Q535, INDEX('Run Reconcile'!A$2:A2488,MATCH(B535,'Run Reconcile'!B$2:B2488,0),1),IFERROR(0/0,""))</f>
        <v/>
      </c>
      <c r="S535" s="473" t="str">
        <f t="shared" si="694"/>
        <v/>
      </c>
      <c r="T535" s="473" t="str">
        <f t="shared" si="698"/>
        <v/>
      </c>
      <c r="U535" s="275" t="str">
        <f t="array" ref="U535">IF(ISBLANK($R535), INDEX('Run Reconcile'!A$2:A2488, MATCH($B535, 'Run Reconcile'!B$2:B2488, 0)+Z535, 1), IFERROR(0/0,""))
</f>
        <v>RUN-FLMP_2022-01-20_RFR-067</v>
      </c>
      <c r="V535" s="474" t="str">
        <f t="shared" si="5"/>
        <v>RUN-FLMP_2022-01-20_RFR-067</v>
      </c>
      <c r="Y535" s="89" t="str">
        <f t="shared" si="867"/>
        <v/>
      </c>
      <c r="Z535" s="60" t="str">
        <f t="shared" si="7"/>
        <v/>
      </c>
      <c r="AA535" s="60" t="str">
        <f t="shared" si="8"/>
        <v/>
      </c>
      <c r="AB535" s="60" t="str">
        <f t="shared" si="9"/>
        <v/>
      </c>
      <c r="AC535" s="30" t="str">
        <f t="shared" ref="AC535:AD535" si="891">IF(_xlfn.ISFORMULA(S535),IFERROR(0/0,""),TRUE)</f>
        <v/>
      </c>
      <c r="AD535" s="30" t="str">
        <f t="shared" si="891"/>
        <v/>
      </c>
      <c r="AE535" s="475" t="str">
        <f>IFERROR(__xludf.DUMMYFUNCTION("""COMPUTED_VALUE"""),"CRLN")</f>
        <v>CRLN</v>
      </c>
      <c r="AF535" s="476"/>
      <c r="AG535" s="474" t="s">
        <v>165</v>
      </c>
      <c r="AH535" s="138" t="str">
        <f t="shared" si="11"/>
        <v/>
      </c>
    </row>
    <row r="536">
      <c r="A536" s="103" t="str">
        <f>IFERROR(__xludf.DUMMYFUNCTION("""COMPUTED_VALUE"""),"FLB5816")</f>
        <v>FLB5816</v>
      </c>
      <c r="B536" s="468">
        <f>IFERROR(__xludf.DUMMYFUNCTION("""COMPUTED_VALUE"""),44581.0)</f>
        <v>44581</v>
      </c>
      <c r="C536" s="469">
        <f>IFERROR(__xludf.DUMMYFUNCTION("""COMPUTED_VALUE"""),0.3512962962962963)</f>
        <v>0.3512962963</v>
      </c>
      <c r="D536" s="103" t="str">
        <f>IFERROR(__xludf.DUMMYFUNCTION("""COMPUTED_VALUE"""),"SpFLMP342787")</f>
        <v>SpFLMP342787</v>
      </c>
      <c r="E536" s="103"/>
      <c r="F536" s="103"/>
      <c r="G536" s="103" t="str">
        <f>IFERROR(__xludf.DUMMYFUNCTION("""COMPUTED_VALUE"""),"Negative")</f>
        <v>Negative</v>
      </c>
      <c r="H536" s="131" t="str">
        <f>IFERROR(__xludf.DUMMYFUNCTION("""COMPUTED_VALUE"""),"Negative")</f>
        <v>Negative</v>
      </c>
      <c r="I536" s="468">
        <f>IFERROR(__xludf.DUMMYFUNCTION("""COMPUTED_VALUE"""),44581.0)</f>
        <v>44581</v>
      </c>
      <c r="J536" s="470">
        <f>IFERROR(__xludf.DUMMYFUNCTION("""COMPUTED_VALUE"""),0.45372685185185185)</f>
        <v>0.4537268519</v>
      </c>
      <c r="K536" s="16"/>
      <c r="L536" s="8"/>
      <c r="M536" s="69"/>
      <c r="N536" s="69">
        <f>IFERROR(__xludf.DUMMYFUNCTION("""COMPUTED_VALUE"""),1.0)</f>
        <v>1</v>
      </c>
      <c r="O536" s="69" t="str">
        <f t="shared" si="3"/>
        <v/>
      </c>
      <c r="P536" s="471">
        <f>IFERROR(__xludf.DUMMYFUNCTION("""COMPUTED_VALUE"""),0.0)</f>
        <v>0</v>
      </c>
      <c r="Q536" s="274" t="str">
        <f>VLOOKUP($B536,'Run Reconcile'!B$2:O2488,14,FALSE)</f>
        <v/>
      </c>
      <c r="R536" s="472" t="str">
        <f t="array" ref="R536">IF($Q536, INDEX('Run Reconcile'!A$2:A2488,MATCH(B536,'Run Reconcile'!B$2:B2488,0),1),IFERROR(0/0,""))</f>
        <v/>
      </c>
      <c r="S536" s="473" t="str">
        <f t="shared" si="694"/>
        <v/>
      </c>
      <c r="T536" s="473" t="str">
        <f t="shared" si="698"/>
        <v/>
      </c>
      <c r="U536" s="275" t="str">
        <f t="array" ref="U536">IF(ISBLANK($R536), INDEX('Run Reconcile'!A$2:A2488, MATCH($B536, 'Run Reconcile'!B$2:B2488, 0)+Z536, 1), IFERROR(0/0,""))
</f>
        <v>RUN-FLMP_2022-01-20_RFR-067</v>
      </c>
      <c r="V536" s="474" t="str">
        <f t="shared" si="5"/>
        <v>RUN-FLMP_2022-01-20_RFR-067</v>
      </c>
      <c r="Y536" s="89" t="str">
        <f t="shared" si="867"/>
        <v/>
      </c>
      <c r="Z536" s="60" t="str">
        <f t="shared" si="7"/>
        <v/>
      </c>
      <c r="AA536" s="60" t="str">
        <f t="shared" si="8"/>
        <v/>
      </c>
      <c r="AB536" s="60" t="str">
        <f t="shared" si="9"/>
        <v/>
      </c>
      <c r="AC536" s="30" t="str">
        <f t="shared" ref="AC536:AD536" si="892">IF(_xlfn.ISFORMULA(S536),IFERROR(0/0,""),TRUE)</f>
        <v/>
      </c>
      <c r="AD536" s="30" t="str">
        <f t="shared" si="892"/>
        <v/>
      </c>
      <c r="AE536" s="475" t="str">
        <f>IFERROR(__xludf.DUMMYFUNCTION("""COMPUTED_VALUE"""),"FLSP")</f>
        <v>FLSP</v>
      </c>
      <c r="AF536" s="476"/>
      <c r="AG536" s="474" t="s">
        <v>165</v>
      </c>
      <c r="AH536" s="138" t="str">
        <f t="shared" si="11"/>
        <v/>
      </c>
    </row>
    <row r="537">
      <c r="A537" s="103" t="str">
        <f>IFERROR(__xludf.DUMMYFUNCTION("""COMPUTED_VALUE"""),"FLB4917")</f>
        <v>FLB4917</v>
      </c>
      <c r="B537" s="468">
        <f>IFERROR(__xludf.DUMMYFUNCTION("""COMPUTED_VALUE"""),44581.0)</f>
        <v>44581</v>
      </c>
      <c r="C537" s="469">
        <f>IFERROR(__xludf.DUMMYFUNCTION("""COMPUTED_VALUE"""),0.3527314814814815)</f>
        <v>0.3527314815</v>
      </c>
      <c r="D537" s="103" t="str">
        <f>IFERROR(__xludf.DUMMYFUNCTION("""COMPUTED_VALUE"""),"SpFLMP496039")</f>
        <v>SpFLMP496039</v>
      </c>
      <c r="E537" s="103"/>
      <c r="F537" s="103"/>
      <c r="G537" s="103" t="str">
        <f>IFERROR(__xludf.DUMMYFUNCTION("""COMPUTED_VALUE"""),"Negative")</f>
        <v>Negative</v>
      </c>
      <c r="H537" s="131" t="str">
        <f>IFERROR(__xludf.DUMMYFUNCTION("""COMPUTED_VALUE"""),"Negative")</f>
        <v>Negative</v>
      </c>
      <c r="I537" s="468">
        <f>IFERROR(__xludf.DUMMYFUNCTION("""COMPUTED_VALUE"""),44581.0)</f>
        <v>44581</v>
      </c>
      <c r="J537" s="470">
        <f>IFERROR(__xludf.DUMMYFUNCTION("""COMPUTED_VALUE"""),0.45372685185185185)</f>
        <v>0.4537268519</v>
      </c>
      <c r="K537" s="16"/>
      <c r="L537" s="8"/>
      <c r="M537" s="69"/>
      <c r="N537" s="69">
        <f>IFERROR(__xludf.DUMMYFUNCTION("""COMPUTED_VALUE"""),1.0)</f>
        <v>1</v>
      </c>
      <c r="O537" s="69" t="str">
        <f t="shared" si="3"/>
        <v/>
      </c>
      <c r="P537" s="471">
        <f>IFERROR(__xludf.DUMMYFUNCTION("""COMPUTED_VALUE"""),0.0)</f>
        <v>0</v>
      </c>
      <c r="Q537" s="274" t="str">
        <f>VLOOKUP($B537,'Run Reconcile'!B$2:O2488,14,FALSE)</f>
        <v/>
      </c>
      <c r="R537" s="472" t="str">
        <f t="array" ref="R537">IF($Q537, INDEX('Run Reconcile'!A$2:A2488,MATCH(B537,'Run Reconcile'!B$2:B2488,0),1),IFERROR(0/0,""))</f>
        <v/>
      </c>
      <c r="S537" s="473" t="str">
        <f t="shared" si="694"/>
        <v/>
      </c>
      <c r="T537" s="473" t="str">
        <f t="shared" si="698"/>
        <v/>
      </c>
      <c r="U537" s="275" t="str">
        <f t="array" ref="U537">IF(ISBLANK($R537), INDEX('Run Reconcile'!A$2:A2488, MATCH($B537, 'Run Reconcile'!B$2:B2488, 0)+Z537, 1), IFERROR(0/0,""))
</f>
        <v>RUN-FLMP_2022-01-20_RFR-067</v>
      </c>
      <c r="V537" s="474" t="str">
        <f t="shared" si="5"/>
        <v>RUN-FLMP_2022-01-20_RFR-067</v>
      </c>
      <c r="Y537" s="89" t="str">
        <f t="shared" si="867"/>
        <v/>
      </c>
      <c r="Z537" s="60" t="str">
        <f t="shared" si="7"/>
        <v/>
      </c>
      <c r="AA537" s="60" t="str">
        <f t="shared" si="8"/>
        <v/>
      </c>
      <c r="AB537" s="60" t="str">
        <f t="shared" si="9"/>
        <v/>
      </c>
      <c r="AC537" s="30" t="str">
        <f t="shared" ref="AC537:AD537" si="893">IF(_xlfn.ISFORMULA(S537),IFERROR(0/0,""),TRUE)</f>
        <v/>
      </c>
      <c r="AD537" s="30" t="str">
        <f t="shared" si="893"/>
        <v/>
      </c>
      <c r="AE537" s="475" t="str">
        <f>IFERROR(__xludf.DUMMYFUNCTION("""COMPUTED_VALUE"""),"CRLN")</f>
        <v>CRLN</v>
      </c>
      <c r="AF537" s="476"/>
      <c r="AG537" s="474" t="s">
        <v>165</v>
      </c>
      <c r="AH537" s="138" t="str">
        <f t="shared" si="11"/>
        <v/>
      </c>
    </row>
    <row r="538">
      <c r="A538" s="103" t="str">
        <f>IFERROR(__xludf.DUMMYFUNCTION("""COMPUTED_VALUE"""),"FLB5875")</f>
        <v>FLB5875</v>
      </c>
      <c r="B538" s="468">
        <f>IFERROR(__xludf.DUMMYFUNCTION("""COMPUTED_VALUE"""),44581.0)</f>
        <v>44581</v>
      </c>
      <c r="C538" s="469">
        <f>IFERROR(__xludf.DUMMYFUNCTION("""COMPUTED_VALUE"""),0.35310185185185183)</f>
        <v>0.3531018519</v>
      </c>
      <c r="D538" s="103" t="str">
        <f>IFERROR(__xludf.DUMMYFUNCTION("""COMPUTED_VALUE"""),"SpFLMP496039")</f>
        <v>SpFLMP496039</v>
      </c>
      <c r="E538" s="103"/>
      <c r="F538" s="103"/>
      <c r="G538" s="103" t="str">
        <f>IFERROR(__xludf.DUMMYFUNCTION("""COMPUTED_VALUE"""),"Negative")</f>
        <v>Negative</v>
      </c>
      <c r="H538" s="131" t="str">
        <f>IFERROR(__xludf.DUMMYFUNCTION("""COMPUTED_VALUE"""),"Negative")</f>
        <v>Negative</v>
      </c>
      <c r="I538" s="468">
        <f>IFERROR(__xludf.DUMMYFUNCTION("""COMPUTED_VALUE"""),44581.0)</f>
        <v>44581</v>
      </c>
      <c r="J538" s="470">
        <f>IFERROR(__xludf.DUMMYFUNCTION("""COMPUTED_VALUE"""),0.45372685185185185)</f>
        <v>0.4537268519</v>
      </c>
      <c r="K538" s="16"/>
      <c r="L538" s="8"/>
      <c r="M538" s="69"/>
      <c r="N538" s="69">
        <f>IFERROR(__xludf.DUMMYFUNCTION("""COMPUTED_VALUE"""),2.0)</f>
        <v>2</v>
      </c>
      <c r="O538" s="69" t="str">
        <f t="shared" si="3"/>
        <v/>
      </c>
      <c r="P538" s="471">
        <f>IFERROR(__xludf.DUMMYFUNCTION("""COMPUTED_VALUE"""),0.0)</f>
        <v>0</v>
      </c>
      <c r="Q538" s="274" t="str">
        <f>VLOOKUP($B538,'Run Reconcile'!B$2:O2488,14,FALSE)</f>
        <v/>
      </c>
      <c r="R538" s="472" t="str">
        <f t="array" ref="R538">IF($Q538, INDEX('Run Reconcile'!A$2:A2488,MATCH(B538,'Run Reconcile'!B$2:B2488,0),1),IFERROR(0/0,""))</f>
        <v/>
      </c>
      <c r="S538" s="473" t="str">
        <f t="shared" si="694"/>
        <v/>
      </c>
      <c r="T538" s="473" t="str">
        <f t="shared" si="698"/>
        <v/>
      </c>
      <c r="U538" s="275" t="str">
        <f t="array" ref="U538">IF(ISBLANK($R538), INDEX('Run Reconcile'!A$2:A2488, MATCH($B538, 'Run Reconcile'!B$2:B2488, 0)+Z538, 1), IFERROR(0/0,""))
</f>
        <v>RUN-FLMP_2022-01-20_RFR-067</v>
      </c>
      <c r="V538" s="474" t="str">
        <f t="shared" si="5"/>
        <v>RUN-FLMP_2022-01-20_RFR-067</v>
      </c>
      <c r="Y538" s="89" t="str">
        <f t="shared" si="867"/>
        <v/>
      </c>
      <c r="Z538" s="60" t="str">
        <f t="shared" si="7"/>
        <v/>
      </c>
      <c r="AA538" s="60" t="str">
        <f t="shared" si="8"/>
        <v/>
      </c>
      <c r="AB538" s="60" t="str">
        <f t="shared" si="9"/>
        <v/>
      </c>
      <c r="AC538" s="30" t="str">
        <f t="shared" ref="AC538:AD538" si="894">IF(_xlfn.ISFORMULA(S538),IFERROR(0/0,""),TRUE)</f>
        <v/>
      </c>
      <c r="AD538" s="30" t="str">
        <f t="shared" si="894"/>
        <v/>
      </c>
      <c r="AE538" s="475" t="str">
        <f>IFERROR(__xludf.DUMMYFUNCTION("""COMPUTED_VALUE"""),"CRLN")</f>
        <v>CRLN</v>
      </c>
      <c r="AF538" s="476"/>
      <c r="AG538" s="474" t="s">
        <v>165</v>
      </c>
      <c r="AH538" s="138" t="str">
        <f t="shared" si="11"/>
        <v/>
      </c>
    </row>
    <row r="539">
      <c r="A539" s="103" t="str">
        <f>IFERROR(__xludf.DUMMYFUNCTION("""COMPUTED_VALUE"""),"FLB5722")</f>
        <v>FLB5722</v>
      </c>
      <c r="B539" s="468">
        <f>IFERROR(__xludf.DUMMYFUNCTION("""COMPUTED_VALUE"""),44581.0)</f>
        <v>44581</v>
      </c>
      <c r="C539" s="469">
        <f>IFERROR(__xludf.DUMMYFUNCTION("""COMPUTED_VALUE"""),0.35335648148148147)</f>
        <v>0.3533564815</v>
      </c>
      <c r="D539" s="103" t="str">
        <f>IFERROR(__xludf.DUMMYFUNCTION("""COMPUTED_VALUE"""),"SpFLMP600756")</f>
        <v>SpFLMP600756</v>
      </c>
      <c r="E539" s="103"/>
      <c r="F539" s="103"/>
      <c r="G539" s="103" t="str">
        <f>IFERROR(__xludf.DUMMYFUNCTION("""COMPUTED_VALUE"""),"Negative")</f>
        <v>Negative</v>
      </c>
      <c r="H539" s="131" t="str">
        <f>IFERROR(__xludf.DUMMYFUNCTION("""COMPUTED_VALUE"""),"Negative")</f>
        <v>Negative</v>
      </c>
      <c r="I539" s="468">
        <f>IFERROR(__xludf.DUMMYFUNCTION("""COMPUTED_VALUE"""),44581.0)</f>
        <v>44581</v>
      </c>
      <c r="J539" s="470">
        <f>IFERROR(__xludf.DUMMYFUNCTION("""COMPUTED_VALUE"""),0.45372685185185185)</f>
        <v>0.4537268519</v>
      </c>
      <c r="K539" s="16"/>
      <c r="L539" s="8"/>
      <c r="M539" s="69"/>
      <c r="N539" s="69">
        <f>IFERROR(__xludf.DUMMYFUNCTION("""COMPUTED_VALUE"""),2.0)</f>
        <v>2</v>
      </c>
      <c r="O539" s="69" t="str">
        <f t="shared" si="3"/>
        <v/>
      </c>
      <c r="P539" s="471">
        <f>IFERROR(__xludf.DUMMYFUNCTION("""COMPUTED_VALUE"""),0.0)</f>
        <v>0</v>
      </c>
      <c r="Q539" s="274" t="str">
        <f>VLOOKUP($B539,'Run Reconcile'!B$2:O2488,14,FALSE)</f>
        <v/>
      </c>
      <c r="R539" s="472" t="str">
        <f t="array" ref="R539">IF($Q539, INDEX('Run Reconcile'!A$2:A2488,MATCH(B539,'Run Reconcile'!B$2:B2488,0),1),IFERROR(0/0,""))</f>
        <v/>
      </c>
      <c r="S539" s="473" t="str">
        <f t="shared" si="694"/>
        <v/>
      </c>
      <c r="T539" s="473" t="str">
        <f t="shared" si="698"/>
        <v/>
      </c>
      <c r="U539" s="275" t="str">
        <f t="array" ref="U539">IF(ISBLANK($R539), INDEX('Run Reconcile'!A$2:A2488, MATCH($B539, 'Run Reconcile'!B$2:B2488, 0)+Z539, 1), IFERROR(0/0,""))
</f>
        <v>RUN-FLMP_2022-01-20_RFR-067</v>
      </c>
      <c r="V539" s="474" t="str">
        <f t="shared" si="5"/>
        <v>RUN-FLMP_2022-01-20_RFR-067</v>
      </c>
      <c r="Y539" s="89" t="str">
        <f t="shared" si="867"/>
        <v/>
      </c>
      <c r="Z539" s="60" t="str">
        <f t="shared" si="7"/>
        <v/>
      </c>
      <c r="AA539" s="60" t="str">
        <f t="shared" si="8"/>
        <v/>
      </c>
      <c r="AB539" s="60" t="str">
        <f t="shared" si="9"/>
        <v/>
      </c>
      <c r="AC539" s="30" t="str">
        <f t="shared" ref="AC539:AD539" si="895">IF(_xlfn.ISFORMULA(S539),IFERROR(0/0,""),TRUE)</f>
        <v/>
      </c>
      <c r="AD539" s="30" t="str">
        <f t="shared" si="895"/>
        <v/>
      </c>
      <c r="AE539" s="475" t="str">
        <f>IFERROR(__xludf.DUMMYFUNCTION("""COMPUTED_VALUE"""),"CRLN")</f>
        <v>CRLN</v>
      </c>
      <c r="AF539" s="476"/>
      <c r="AG539" s="474" t="s">
        <v>165</v>
      </c>
      <c r="AH539" s="138" t="str">
        <f t="shared" si="11"/>
        <v/>
      </c>
    </row>
    <row r="540">
      <c r="A540" s="103" t="str">
        <f>IFERROR(__xludf.DUMMYFUNCTION("""COMPUTED_VALUE"""),"FLB5832")</f>
        <v>FLB5832</v>
      </c>
      <c r="B540" s="468">
        <f>IFERROR(__xludf.DUMMYFUNCTION("""COMPUTED_VALUE"""),44581.0)</f>
        <v>44581</v>
      </c>
      <c r="C540" s="469">
        <f>IFERROR(__xludf.DUMMYFUNCTION("""COMPUTED_VALUE"""),0.3600462962962963)</f>
        <v>0.3600462963</v>
      </c>
      <c r="D540" s="103" t="str">
        <f>IFERROR(__xludf.DUMMYFUNCTION("""COMPUTED_VALUE"""),"SpFLMP271329")</f>
        <v>SpFLMP271329</v>
      </c>
      <c r="E540" s="103"/>
      <c r="F540" s="103"/>
      <c r="G540" s="103" t="str">
        <f>IFERROR(__xludf.DUMMYFUNCTION("""COMPUTED_VALUE"""),"Negative")</f>
        <v>Negative</v>
      </c>
      <c r="H540" s="131" t="str">
        <f>IFERROR(__xludf.DUMMYFUNCTION("""COMPUTED_VALUE"""),"Negative")</f>
        <v>Negative</v>
      </c>
      <c r="I540" s="468">
        <f>IFERROR(__xludf.DUMMYFUNCTION("""COMPUTED_VALUE"""),44581.0)</f>
        <v>44581</v>
      </c>
      <c r="J540" s="470">
        <f>IFERROR(__xludf.DUMMYFUNCTION("""COMPUTED_VALUE"""),0.45372685185185185)</f>
        <v>0.4537268519</v>
      </c>
      <c r="K540" s="16"/>
      <c r="L540" s="8"/>
      <c r="M540" s="69"/>
      <c r="N540" s="69">
        <f>IFERROR(__xludf.DUMMYFUNCTION("""COMPUTED_VALUE"""),1.0)</f>
        <v>1</v>
      </c>
      <c r="O540" s="69" t="str">
        <f t="shared" si="3"/>
        <v/>
      </c>
      <c r="P540" s="471">
        <f>IFERROR(__xludf.DUMMYFUNCTION("""COMPUTED_VALUE"""),0.0)</f>
        <v>0</v>
      </c>
      <c r="Q540" s="274" t="str">
        <f>VLOOKUP($B540,'Run Reconcile'!B$2:O2488,14,FALSE)</f>
        <v/>
      </c>
      <c r="R540" s="472" t="str">
        <f t="array" ref="R540">IF($Q540, INDEX('Run Reconcile'!A$2:A2488,MATCH(B540,'Run Reconcile'!B$2:B2488,0),1),IFERROR(0/0,""))</f>
        <v/>
      </c>
      <c r="S540" s="473" t="str">
        <f t="shared" si="694"/>
        <v/>
      </c>
      <c r="T540" s="473" t="str">
        <f t="shared" si="698"/>
        <v/>
      </c>
      <c r="U540" s="275" t="str">
        <f t="array" ref="U540">IF(ISBLANK($R540), INDEX('Run Reconcile'!A$2:A2488, MATCH($B540, 'Run Reconcile'!B$2:B2488, 0)+Z540, 1), IFERROR(0/0,""))
</f>
        <v>RUN-FLMP_2022-01-20_RFR-067</v>
      </c>
      <c r="V540" s="474" t="str">
        <f t="shared" si="5"/>
        <v>RUN-FLMP_2022-01-20_RFR-067</v>
      </c>
      <c r="Y540" s="89" t="str">
        <f t="shared" si="867"/>
        <v/>
      </c>
      <c r="Z540" s="60" t="str">
        <f t="shared" si="7"/>
        <v/>
      </c>
      <c r="AA540" s="60" t="str">
        <f t="shared" si="8"/>
        <v/>
      </c>
      <c r="AB540" s="60" t="str">
        <f t="shared" si="9"/>
        <v/>
      </c>
      <c r="AC540" s="30" t="str">
        <f t="shared" ref="AC540:AD540" si="896">IF(_xlfn.ISFORMULA(S540),IFERROR(0/0,""),TRUE)</f>
        <v/>
      </c>
      <c r="AD540" s="30" t="str">
        <f t="shared" si="896"/>
        <v/>
      </c>
      <c r="AE540" s="475" t="str">
        <f>IFERROR(__xludf.DUMMYFUNCTION("""COMPUTED_VALUE"""),"CRLN")</f>
        <v>CRLN</v>
      </c>
      <c r="AF540" s="476"/>
      <c r="AG540" s="474" t="s">
        <v>165</v>
      </c>
      <c r="AH540" s="138" t="str">
        <f t="shared" si="11"/>
        <v/>
      </c>
    </row>
    <row r="541">
      <c r="A541" s="103" t="str">
        <f>IFERROR(__xludf.DUMMYFUNCTION("""COMPUTED_VALUE"""),"FLE874")</f>
        <v>FLE874</v>
      </c>
      <c r="B541" s="468">
        <f>IFERROR(__xludf.DUMMYFUNCTION("""COMPUTED_VALUE"""),44581.0)</f>
        <v>44581</v>
      </c>
      <c r="C541" s="469">
        <f>IFERROR(__xludf.DUMMYFUNCTION("""COMPUTED_VALUE"""),0.3752314814814815)</f>
        <v>0.3752314815</v>
      </c>
      <c r="D541" s="103" t="str">
        <f>IFERROR(__xludf.DUMMYFUNCTION("""COMPUTED_VALUE"""),"SpFLMP596479")</f>
        <v>SpFLMP596479</v>
      </c>
      <c r="E541" s="103"/>
      <c r="F541" s="103"/>
      <c r="G541" s="103" t="str">
        <f>IFERROR(__xludf.DUMMYFUNCTION("""COMPUTED_VALUE"""),"Negative")</f>
        <v>Negative</v>
      </c>
      <c r="H541" s="131" t="str">
        <f>IFERROR(__xludf.DUMMYFUNCTION("""COMPUTED_VALUE"""),"Negative")</f>
        <v>Negative</v>
      </c>
      <c r="I541" s="468">
        <f>IFERROR(__xludf.DUMMYFUNCTION("""COMPUTED_VALUE"""),44581.0)</f>
        <v>44581</v>
      </c>
      <c r="J541" s="470">
        <f>IFERROR(__xludf.DUMMYFUNCTION("""COMPUTED_VALUE"""),0.45372685185185185)</f>
        <v>0.4537268519</v>
      </c>
      <c r="K541" s="16"/>
      <c r="L541" s="8"/>
      <c r="M541" s="69"/>
      <c r="N541" s="69">
        <f>IFERROR(__xludf.DUMMYFUNCTION("""COMPUTED_VALUE"""),3.0)</f>
        <v>3</v>
      </c>
      <c r="O541" s="69" t="str">
        <f t="shared" si="3"/>
        <v/>
      </c>
      <c r="P541" s="471">
        <f>IFERROR(__xludf.DUMMYFUNCTION("""COMPUTED_VALUE"""),0.0)</f>
        <v>0</v>
      </c>
      <c r="Q541" s="274" t="str">
        <f>VLOOKUP($B541,'Run Reconcile'!B$2:O2488,14,FALSE)</f>
        <v/>
      </c>
      <c r="R541" s="472" t="str">
        <f t="array" ref="R541">IF($Q541, INDEX('Run Reconcile'!A$2:A2488,MATCH(B541,'Run Reconcile'!B$2:B2488,0),1),IFERROR(0/0,""))</f>
        <v/>
      </c>
      <c r="S541" s="473" t="str">
        <f t="shared" si="694"/>
        <v/>
      </c>
      <c r="T541" s="473" t="str">
        <f t="shared" si="698"/>
        <v/>
      </c>
      <c r="U541" s="275" t="str">
        <f t="array" ref="U541">IF(ISBLANK($R541), INDEX('Run Reconcile'!A$2:A2488, MATCH($B541, 'Run Reconcile'!B$2:B2488, 0)+Z541, 1), IFERROR(0/0,""))
</f>
        <v>RUN-FLMP_2022-01-20_RFR-067</v>
      </c>
      <c r="V541" s="474" t="str">
        <f t="shared" si="5"/>
        <v>RUN-FLMP_2022-01-20_RFR-067</v>
      </c>
      <c r="Y541" s="89" t="str">
        <f t="shared" si="867"/>
        <v/>
      </c>
      <c r="Z541" s="60" t="str">
        <f t="shared" si="7"/>
        <v/>
      </c>
      <c r="AA541" s="60" t="str">
        <f t="shared" si="8"/>
        <v/>
      </c>
      <c r="AB541" s="60" t="str">
        <f t="shared" si="9"/>
        <v/>
      </c>
      <c r="AC541" s="30" t="str">
        <f t="shared" ref="AC541:AD541" si="897">IF(_xlfn.ISFORMULA(S541),IFERROR(0/0,""),TRUE)</f>
        <v/>
      </c>
      <c r="AD541" s="30" t="str">
        <f t="shared" si="897"/>
        <v/>
      </c>
      <c r="AE541" s="475" t="str">
        <f>IFERROR(__xludf.DUMMYFUNCTION("""COMPUTED_VALUE"""),"CRLN")</f>
        <v>CRLN</v>
      </c>
      <c r="AF541" s="476"/>
      <c r="AG541" s="474" t="s">
        <v>165</v>
      </c>
      <c r="AH541" s="138" t="str">
        <f t="shared" si="11"/>
        <v/>
      </c>
    </row>
    <row r="542">
      <c r="A542" s="103" t="str">
        <f>IFERROR(__xludf.DUMMYFUNCTION("""COMPUTED_VALUE"""),"FLB5403")</f>
        <v>FLB5403</v>
      </c>
      <c r="B542" s="468">
        <f>IFERROR(__xludf.DUMMYFUNCTION("""COMPUTED_VALUE"""),44581.0)</f>
        <v>44581</v>
      </c>
      <c r="C542" s="469">
        <f>IFERROR(__xludf.DUMMYFUNCTION("""COMPUTED_VALUE"""),0.43387731481481484)</f>
        <v>0.4338773148</v>
      </c>
      <c r="D542" s="103" t="str">
        <f>IFERROR(__xludf.DUMMYFUNCTION("""COMPUTED_VALUE"""),"SpFLMP684798")</f>
        <v>SpFLMP684798</v>
      </c>
      <c r="E542" s="103"/>
      <c r="F542" s="103"/>
      <c r="G542" s="103" t="str">
        <f>IFERROR(__xludf.DUMMYFUNCTION("""COMPUTED_VALUE"""),"Negative")</f>
        <v>Negative</v>
      </c>
      <c r="H542" s="131" t="str">
        <f>IFERROR(__xludf.DUMMYFUNCTION("""COMPUTED_VALUE"""),"Negative")</f>
        <v>Negative</v>
      </c>
      <c r="I542" s="468">
        <f>IFERROR(__xludf.DUMMYFUNCTION("""COMPUTED_VALUE"""),44581.0)</f>
        <v>44581</v>
      </c>
      <c r="J542" s="470">
        <f>IFERROR(__xludf.DUMMYFUNCTION("""COMPUTED_VALUE"""),0.4621412037037037)</f>
        <v>0.4621412037</v>
      </c>
      <c r="K542" s="16"/>
      <c r="L542" s="8"/>
      <c r="M542" s="69"/>
      <c r="N542" s="69">
        <f>IFERROR(__xludf.DUMMYFUNCTION("""COMPUTED_VALUE"""),4.0)</f>
        <v>4</v>
      </c>
      <c r="O542" s="69" t="str">
        <f t="shared" si="3"/>
        <v/>
      </c>
      <c r="P542" s="471">
        <f>IFERROR(__xludf.DUMMYFUNCTION("""COMPUTED_VALUE"""),0.0)</f>
        <v>0</v>
      </c>
      <c r="Q542" s="274" t="str">
        <f>VLOOKUP($B542,'Run Reconcile'!B$2:O2488,14,FALSE)</f>
        <v/>
      </c>
      <c r="R542" s="472" t="str">
        <f t="array" ref="R542">IF($Q542, INDEX('Run Reconcile'!A$2:A2488,MATCH(B542,'Run Reconcile'!B$2:B2488,0),1),IFERROR(0/0,""))</f>
        <v/>
      </c>
      <c r="S542" s="473" t="str">
        <f t="shared" si="694"/>
        <v/>
      </c>
      <c r="T542" s="473" t="str">
        <f t="shared" si="698"/>
        <v/>
      </c>
      <c r="U542" s="275" t="str">
        <f t="array" ref="U542">IF(ISBLANK($R542), INDEX('Run Reconcile'!A$2:A2488, MATCH($B542, 'Run Reconcile'!B$2:B2488, 0)+Z542, 1), IFERROR(0/0,""))
</f>
        <v>RUN-FLMP_2022-01-20_RFR-067</v>
      </c>
      <c r="V542" s="474" t="str">
        <f t="shared" si="5"/>
        <v>RUN-FLMP_2022-01-20_RFR-067</v>
      </c>
      <c r="Y542" s="89" t="str">
        <f t="shared" si="867"/>
        <v/>
      </c>
      <c r="Z542" s="60" t="str">
        <f t="shared" si="7"/>
        <v/>
      </c>
      <c r="AA542" s="60" t="str">
        <f t="shared" si="8"/>
        <v/>
      </c>
      <c r="AB542" s="60" t="str">
        <f t="shared" si="9"/>
        <v/>
      </c>
      <c r="AC542" s="30" t="str">
        <f t="shared" ref="AC542:AD542" si="898">IF(_xlfn.ISFORMULA(S542),IFERROR(0/0,""),TRUE)</f>
        <v/>
      </c>
      <c r="AD542" s="30" t="str">
        <f t="shared" si="898"/>
        <v/>
      </c>
      <c r="AE542" s="475" t="str">
        <f>IFERROR(__xludf.DUMMYFUNCTION("""COMPUTED_VALUE"""),"CRLN")</f>
        <v>CRLN</v>
      </c>
      <c r="AF542" s="476"/>
      <c r="AG542" s="474" t="s">
        <v>165</v>
      </c>
      <c r="AH542" s="138" t="str">
        <f t="shared" si="11"/>
        <v/>
      </c>
    </row>
    <row r="543">
      <c r="A543" s="498" t="str">
        <f>IFERROR(__xludf.DUMMYFUNCTION("""COMPUTED_VALUE"""),"MA33")</f>
        <v>MA33</v>
      </c>
      <c r="B543" s="499">
        <f>IFERROR(__xludf.DUMMYFUNCTION("""COMPUTED_VALUE"""),44581.0)</f>
        <v>44581</v>
      </c>
      <c r="C543" s="500">
        <f>IFERROR(__xludf.DUMMYFUNCTION("""COMPUTED_VALUE"""),0.7015856481481482)</f>
        <v>0.7015856481</v>
      </c>
      <c r="D543" s="498" t="str">
        <f>IFERROR(__xludf.DUMMYFUNCTION("""COMPUTED_VALUE"""),"SpFLMP120998")</f>
        <v>SpFLMP120998</v>
      </c>
      <c r="E543" s="498"/>
      <c r="F543" s="498"/>
      <c r="G543" s="498" t="str">
        <f>IFERROR(__xludf.DUMMYFUNCTION("""COMPUTED_VALUE"""),"Null")</f>
        <v>Null</v>
      </c>
      <c r="H543" s="501" t="str">
        <f>IFERROR(__xludf.DUMMYFUNCTION("""COMPUTED_VALUE"""),"Negative")</f>
        <v>Negative</v>
      </c>
      <c r="I543" s="499">
        <f>IFERROR(__xludf.DUMMYFUNCTION("""COMPUTED_VALUE"""),44581.0)</f>
        <v>44581</v>
      </c>
      <c r="J543" s="502">
        <f>IFERROR(__xludf.DUMMYFUNCTION("""COMPUTED_VALUE"""),0.7585995370370371)</f>
        <v>0.758599537</v>
      </c>
      <c r="K543" s="522">
        <f>IFERROR(__xludf.DUMMYFUNCTION("""COMPUTED_VALUE"""),2.0)</f>
        <v>2</v>
      </c>
      <c r="L543" s="523" t="str">
        <f>IFERROR(__xludf.DUMMYFUNCTION("""COMPUTED_VALUE"""),"think has other tube ID from photo in LUM spot in RFR")</f>
        <v>think has other tube ID from photo in LUM spot in RFR</v>
      </c>
      <c r="M543" s="69"/>
      <c r="N543" s="69">
        <f>IFERROR(__xludf.DUMMYFUNCTION("""COMPUTED_VALUE"""),1.0)</f>
        <v>1</v>
      </c>
      <c r="O543" s="69" t="str">
        <f t="shared" si="3"/>
        <v/>
      </c>
      <c r="P543" s="471">
        <f>IFERROR(__xludf.DUMMYFUNCTION("""COMPUTED_VALUE"""),0.0)</f>
        <v>0</v>
      </c>
      <c r="Q543" s="274" t="str">
        <f>VLOOKUP($B543,'Run Reconcile'!B$2:O2488,14,FALSE)</f>
        <v/>
      </c>
      <c r="R543" s="472" t="str">
        <f t="array" ref="R543">IF($Q543, INDEX('Run Reconcile'!A$2:A2488,MATCH(B543,'Run Reconcile'!B$2:B2488,0),1),IFERROR(0/0,""))</f>
        <v/>
      </c>
      <c r="S543" s="473" t="str">
        <f t="shared" si="694"/>
        <v/>
      </c>
      <c r="T543" s="473" t="b">
        <f t="shared" si="698"/>
        <v>1</v>
      </c>
      <c r="U543" s="275" t="str">
        <f t="array" ref="U543">IF(ISBLANK($R543), INDEX('Run Reconcile'!A$2:A2488, MATCH($B543, 'Run Reconcile'!B$2:B2488, 0)+Z543, 1), IFERROR(0/0,""))
</f>
        <v>RUN-FLMP_2022-01-20_RFR-070</v>
      </c>
      <c r="V543" s="474" t="str">
        <f t="shared" si="5"/>
        <v>RUN-FLMP_2022-01-20_RFR-070</v>
      </c>
      <c r="X543" s="8" t="s">
        <v>1430</v>
      </c>
      <c r="Y543" s="89">
        <f t="shared" si="867"/>
        <v>1</v>
      </c>
      <c r="Z543" s="60">
        <f t="shared" si="7"/>
        <v>1</v>
      </c>
      <c r="AA543" s="60" t="str">
        <f t="shared" si="8"/>
        <v/>
      </c>
      <c r="AB543" s="60">
        <f t="shared" si="9"/>
        <v>1</v>
      </c>
      <c r="AC543" s="30" t="str">
        <f t="shared" ref="AC543:AD543" si="899">IF(_xlfn.ISFORMULA(S543),IFERROR(0/0,""),TRUE)</f>
        <v/>
      </c>
      <c r="AD543" s="30" t="str">
        <f t="shared" si="899"/>
        <v/>
      </c>
      <c r="AE543" s="475" t="str">
        <f>IFERROR(__xludf.DUMMYFUNCTION("""COMPUTED_VALUE"""),"FLSP")</f>
        <v>FLSP</v>
      </c>
      <c r="AF543" s="476"/>
      <c r="AG543" s="474" t="s">
        <v>165</v>
      </c>
      <c r="AH543" s="138" t="b">
        <f t="shared" si="11"/>
        <v>0</v>
      </c>
    </row>
    <row r="544">
      <c r="A544" s="103" t="str">
        <f>IFERROR(__xludf.DUMMYFUNCTION("""COMPUTED_VALUE"""),"MA2")</f>
        <v>MA2</v>
      </c>
      <c r="B544" s="468">
        <f>IFERROR(__xludf.DUMMYFUNCTION("""COMPUTED_VALUE"""),44581.0)</f>
        <v>44581</v>
      </c>
      <c r="C544" s="469">
        <f>IFERROR(__xludf.DUMMYFUNCTION("""COMPUTED_VALUE"""),0.7571064814814815)</f>
        <v>0.7571064815</v>
      </c>
      <c r="D544" s="103" t="str">
        <f>IFERROR(__xludf.DUMMYFUNCTION("""COMPUTED_VALUE"""),"SpFLMP120998")</f>
        <v>SpFLMP120998</v>
      </c>
      <c r="E544" s="103"/>
      <c r="F544" s="103"/>
      <c r="G544" s="103" t="str">
        <f>IFERROR(__xludf.DUMMYFUNCTION("""COMPUTED_VALUE"""),"Negative")</f>
        <v>Negative</v>
      </c>
      <c r="H544" s="131" t="str">
        <f>IFERROR(__xludf.DUMMYFUNCTION("""COMPUTED_VALUE"""),"Negative")</f>
        <v>Negative</v>
      </c>
      <c r="I544" s="468">
        <f>IFERROR(__xludf.DUMMYFUNCTION("""COMPUTED_VALUE"""),44581.0)</f>
        <v>44581</v>
      </c>
      <c r="J544" s="470">
        <f>IFERROR(__xludf.DUMMYFUNCTION("""COMPUTED_VALUE"""),0.8030208333333333)</f>
        <v>0.8030208333</v>
      </c>
      <c r="K544" s="16"/>
      <c r="L544" s="8"/>
      <c r="M544" s="69"/>
      <c r="N544" s="69">
        <f>IFERROR(__xludf.DUMMYFUNCTION("""COMPUTED_VALUE"""),1.0)</f>
        <v>1</v>
      </c>
      <c r="O544" s="69" t="str">
        <f t="shared" si="3"/>
        <v/>
      </c>
      <c r="P544" s="471">
        <f>IFERROR(__xludf.DUMMYFUNCTION("""COMPUTED_VALUE"""),0.0)</f>
        <v>0</v>
      </c>
      <c r="Q544" s="274" t="str">
        <f>VLOOKUP($B544,'Run Reconcile'!B$2:O2488,14,FALSE)</f>
        <v/>
      </c>
      <c r="R544" s="472" t="str">
        <f t="array" ref="R544">IF($Q544, INDEX('Run Reconcile'!A$2:A2488,MATCH(B544,'Run Reconcile'!B$2:B2488,0),1),IFERROR(0/0,""))</f>
        <v/>
      </c>
      <c r="S544" s="473" t="str">
        <f t="shared" si="694"/>
        <v/>
      </c>
      <c r="T544" s="473" t="b">
        <f t="shared" si="698"/>
        <v>1</v>
      </c>
      <c r="U544" s="275" t="str">
        <f t="array" ref="U544">IF(ISBLANK($R544), INDEX('Run Reconcile'!A$2:A2488, MATCH($B544, 'Run Reconcile'!B$2:B2488, 0)+Z544, 1), IFERROR(0/0,""))
</f>
        <v>RUN-FLMP_2022-01-20_RFR-070</v>
      </c>
      <c r="V544" s="474" t="str">
        <f t="shared" si="5"/>
        <v>RUN-FLMP_2022-01-20_RFR-070</v>
      </c>
      <c r="X544" s="8" t="s">
        <v>1431</v>
      </c>
      <c r="Y544" s="89">
        <f t="shared" si="867"/>
        <v>1</v>
      </c>
      <c r="Z544" s="60">
        <f t="shared" si="7"/>
        <v>1</v>
      </c>
      <c r="AA544" s="60" t="str">
        <f t="shared" si="8"/>
        <v/>
      </c>
      <c r="AB544" s="60">
        <f t="shared" si="9"/>
        <v>1</v>
      </c>
      <c r="AC544" s="30" t="str">
        <f t="shared" ref="AC544:AD544" si="900">IF(_xlfn.ISFORMULA(S544),IFERROR(0/0,""),TRUE)</f>
        <v/>
      </c>
      <c r="AD544" s="30" t="str">
        <f t="shared" si="900"/>
        <v/>
      </c>
      <c r="AE544" s="475" t="str">
        <f>IFERROR(__xludf.DUMMYFUNCTION("""COMPUTED_VALUE"""),"FLSP")</f>
        <v>FLSP</v>
      </c>
      <c r="AF544" s="476"/>
      <c r="AG544" s="474" t="s">
        <v>165</v>
      </c>
      <c r="AH544" s="138" t="b">
        <f t="shared" si="11"/>
        <v>0</v>
      </c>
    </row>
    <row r="545">
      <c r="A545" s="103" t="str">
        <f>IFERROR(__xludf.DUMMYFUNCTION("""COMPUTED_VALUE"""),"MA29")</f>
        <v>MA29</v>
      </c>
      <c r="B545" s="468">
        <f>IFERROR(__xludf.DUMMYFUNCTION("""COMPUTED_VALUE"""),44581.0)</f>
        <v>44581</v>
      </c>
      <c r="C545" s="469">
        <f>IFERROR(__xludf.DUMMYFUNCTION("""COMPUTED_VALUE"""),0.7574189814814815)</f>
        <v>0.7574189815</v>
      </c>
      <c r="D545" s="103" t="str">
        <f>IFERROR(__xludf.DUMMYFUNCTION("""COMPUTED_VALUE"""),"SpFLMP870846")</f>
        <v>SpFLMP870846</v>
      </c>
      <c r="E545" s="103"/>
      <c r="F545" s="103"/>
      <c r="G545" s="103" t="str">
        <f>IFERROR(__xludf.DUMMYFUNCTION("""COMPUTED_VALUE"""),"Negative")</f>
        <v>Negative</v>
      </c>
      <c r="H545" s="131" t="str">
        <f>IFERROR(__xludf.DUMMYFUNCTION("""COMPUTED_VALUE"""),"Negative")</f>
        <v>Negative</v>
      </c>
      <c r="I545" s="468">
        <f>IFERROR(__xludf.DUMMYFUNCTION("""COMPUTED_VALUE"""),44581.0)</f>
        <v>44581</v>
      </c>
      <c r="J545" s="470">
        <f>IFERROR(__xludf.DUMMYFUNCTION("""COMPUTED_VALUE"""),0.8030208333333333)</f>
        <v>0.8030208333</v>
      </c>
      <c r="K545" s="16"/>
      <c r="L545" s="8"/>
      <c r="M545" s="69"/>
      <c r="N545" s="69">
        <f>IFERROR(__xludf.DUMMYFUNCTION("""COMPUTED_VALUE"""),1.0)</f>
        <v>1</v>
      </c>
      <c r="O545" s="69" t="str">
        <f t="shared" si="3"/>
        <v/>
      </c>
      <c r="P545" s="471">
        <f>IFERROR(__xludf.DUMMYFUNCTION("""COMPUTED_VALUE"""),0.0)</f>
        <v>0</v>
      </c>
      <c r="Q545" s="274" t="str">
        <f>VLOOKUP($B545,'Run Reconcile'!B$2:O2488,14,FALSE)</f>
        <v/>
      </c>
      <c r="R545" s="472" t="str">
        <f t="array" ref="R545">IF($Q545, INDEX('Run Reconcile'!A$2:A2488,MATCH(B545,'Run Reconcile'!B$2:B2488,0),1),IFERROR(0/0,""))</f>
        <v/>
      </c>
      <c r="S545" s="473" t="str">
        <f t="shared" si="694"/>
        <v/>
      </c>
      <c r="T545" s="473" t="b">
        <f t="shared" si="698"/>
        <v>1</v>
      </c>
      <c r="U545" s="275" t="str">
        <f t="array" ref="U545">IF(ISBLANK($R545), INDEX('Run Reconcile'!A$2:A2488, MATCH($B545, 'Run Reconcile'!B$2:B2488, 0)+Z545, 1), IFERROR(0/0,""))
</f>
        <v>RUN-FLMP_2022-01-20_RFR-070</v>
      </c>
      <c r="V545" s="474" t="str">
        <f t="shared" si="5"/>
        <v>RUN-FLMP_2022-01-20_RFR-070</v>
      </c>
      <c r="X545" s="8" t="s">
        <v>1432</v>
      </c>
      <c r="Y545" s="89">
        <f t="shared" si="867"/>
        <v>1</v>
      </c>
      <c r="Z545" s="60">
        <f t="shared" si="7"/>
        <v>1</v>
      </c>
      <c r="AA545" s="60" t="str">
        <f t="shared" si="8"/>
        <v/>
      </c>
      <c r="AB545" s="60">
        <f t="shared" si="9"/>
        <v>1</v>
      </c>
      <c r="AC545" s="30" t="str">
        <f t="shared" ref="AC545:AD545" si="901">IF(_xlfn.ISFORMULA(S545),IFERROR(0/0,""),TRUE)</f>
        <v/>
      </c>
      <c r="AD545" s="30" t="str">
        <f t="shared" si="901"/>
        <v/>
      </c>
      <c r="AE545" s="475" t="str">
        <f>IFERROR(__xludf.DUMMYFUNCTION("""COMPUTED_VALUE"""),"FLSP")</f>
        <v>FLSP</v>
      </c>
      <c r="AF545" s="476"/>
      <c r="AG545" s="474" t="s">
        <v>165</v>
      </c>
      <c r="AH545" s="138" t="b">
        <f t="shared" si="11"/>
        <v>0</v>
      </c>
    </row>
    <row r="546">
      <c r="A546" s="477" t="str">
        <f>IFERROR(__xludf.DUMMYFUNCTION("""COMPUTED_VALUE"""),"MA19")</f>
        <v>MA19</v>
      </c>
      <c r="B546" s="478">
        <f>IFERROR(__xludf.DUMMYFUNCTION("""COMPUTED_VALUE"""),44583.0)</f>
        <v>44583</v>
      </c>
      <c r="C546" s="479">
        <f>IFERROR(__xludf.DUMMYFUNCTION("""COMPUTED_VALUE"""),0.4000694444444444)</f>
        <v>0.4000694444</v>
      </c>
      <c r="D546" s="477" t="str">
        <f>IFERROR(__xludf.DUMMYFUNCTION("""COMPUTED_VALUE"""),"SpFLMP120998")</f>
        <v>SpFLMP120998</v>
      </c>
      <c r="E546" s="477"/>
      <c r="F546" s="477"/>
      <c r="G546" s="477" t="str">
        <f>IFERROR(__xludf.DUMMYFUNCTION("""COMPUTED_VALUE"""),"Negative")</f>
        <v>Negative</v>
      </c>
      <c r="H546" s="480" t="str">
        <f>IFERROR(__xludf.DUMMYFUNCTION("""COMPUTED_VALUE"""),"Negative")</f>
        <v>Negative</v>
      </c>
      <c r="I546" s="478">
        <f>IFERROR(__xludf.DUMMYFUNCTION("""COMPUTED_VALUE"""),44583.0)</f>
        <v>44583</v>
      </c>
      <c r="J546" s="481">
        <f>IFERROR(__xludf.DUMMYFUNCTION("""COMPUTED_VALUE"""),0.43756944444444446)</f>
        <v>0.4375694444</v>
      </c>
      <c r="K546" s="156"/>
      <c r="L546" s="19"/>
      <c r="M546" s="482"/>
      <c r="N546" s="482">
        <f>IFERROR(__xludf.DUMMYFUNCTION("""COMPUTED_VALUE"""),1.0)</f>
        <v>1</v>
      </c>
      <c r="O546" s="482" t="b">
        <f t="shared" si="3"/>
        <v>1</v>
      </c>
      <c r="P546" s="483">
        <f>IFERROR(__xludf.DUMMYFUNCTION("""COMPUTED_VALUE"""),0.0)</f>
        <v>0</v>
      </c>
      <c r="Q546" s="352" t="b">
        <f>VLOOKUP($B546,'Run Reconcile'!B$2:O2488,14,FALSE)</f>
        <v>1</v>
      </c>
      <c r="R546" s="484" t="str">
        <f t="array" ref="R546">IF($Q546, INDEX('Run Reconcile'!A$2:A2488,MATCH(B546,'Run Reconcile'!B$2:B2488,0),1),IFERROR(0/0,""))</f>
        <v>RUN-FLMP_2022-01-22_RFR-071</v>
      </c>
      <c r="S546" s="485" t="str">
        <f t="shared" si="694"/>
        <v/>
      </c>
      <c r="T546" s="485" t="str">
        <f t="shared" si="698"/>
        <v/>
      </c>
      <c r="U546" s="353" t="str">
        <f t="array" ref="U546">IF(ISBLANK($R546), INDEX('Run Reconcile'!A$2:A2488, MATCH($B546, 'Run Reconcile'!B$2:B2488, 0)+Z546, 1), IFERROR(0/0,""))
</f>
        <v/>
      </c>
      <c r="V546" s="486" t="str">
        <f t="shared" si="5"/>
        <v>RUN-FLMP_2022-01-22_RFR-071</v>
      </c>
      <c r="W546" s="19"/>
      <c r="X546" s="19"/>
      <c r="Y546" s="89" t="str">
        <f t="shared" si="867"/>
        <v/>
      </c>
      <c r="Z546" s="60" t="str">
        <f t="shared" si="7"/>
        <v/>
      </c>
      <c r="AA546" s="60" t="str">
        <f t="shared" si="8"/>
        <v/>
      </c>
      <c r="AB546" s="60" t="str">
        <f t="shared" si="9"/>
        <v/>
      </c>
      <c r="AC546" s="158" t="str">
        <f t="shared" ref="AC546:AD546" si="902">IF(_xlfn.ISFORMULA(S546),IFERROR(0/0,""),TRUE)</f>
        <v/>
      </c>
      <c r="AD546" s="158" t="str">
        <f t="shared" si="902"/>
        <v/>
      </c>
      <c r="AE546" s="488" t="str">
        <f>IFERROR(__xludf.DUMMYFUNCTION("""COMPUTED_VALUE"""),"FLSP")</f>
        <v>FLSP</v>
      </c>
      <c r="AF546" s="489"/>
      <c r="AG546" s="486" t="s">
        <v>167</v>
      </c>
      <c r="AH546" s="138" t="str">
        <f t="shared" si="11"/>
        <v/>
      </c>
      <c r="AI546" s="19"/>
      <c r="AJ546" s="19"/>
      <c r="AK546" s="19"/>
      <c r="AL546" s="19"/>
      <c r="AM546" s="19"/>
    </row>
    <row r="547">
      <c r="A547" s="103" t="str">
        <f>IFERROR(__xludf.DUMMYFUNCTION("""COMPUTED_VALUE"""),"MA41")</f>
        <v>MA41</v>
      </c>
      <c r="B547" s="468">
        <f>IFERROR(__xludf.DUMMYFUNCTION("""COMPUTED_VALUE"""),44583.0)</f>
        <v>44583</v>
      </c>
      <c r="C547" s="469">
        <f>IFERROR(__xludf.DUMMYFUNCTION("""COMPUTED_VALUE"""),0.40045138888888887)</f>
        <v>0.4004513889</v>
      </c>
      <c r="D547" s="103" t="str">
        <f>IFERROR(__xludf.DUMMYFUNCTION("""COMPUTED_VALUE"""),"SpFLMP120998")</f>
        <v>SpFLMP120998</v>
      </c>
      <c r="E547" s="103"/>
      <c r="F547" s="103"/>
      <c r="G547" s="103" t="str">
        <f>IFERROR(__xludf.DUMMYFUNCTION("""COMPUTED_VALUE"""),"Negative")</f>
        <v>Negative</v>
      </c>
      <c r="H547" s="131" t="str">
        <f>IFERROR(__xludf.DUMMYFUNCTION("""COMPUTED_VALUE"""),"Negative")</f>
        <v>Negative</v>
      </c>
      <c r="I547" s="468">
        <f>IFERROR(__xludf.DUMMYFUNCTION("""COMPUTED_VALUE"""),44583.0)</f>
        <v>44583</v>
      </c>
      <c r="J547" s="470">
        <f>IFERROR(__xludf.DUMMYFUNCTION("""COMPUTED_VALUE"""),0.43756944444444446)</f>
        <v>0.4375694444</v>
      </c>
      <c r="K547" s="16"/>
      <c r="L547" s="8"/>
      <c r="M547" s="69"/>
      <c r="N547" s="69">
        <f>IFERROR(__xludf.DUMMYFUNCTION("""COMPUTED_VALUE"""),1.0)</f>
        <v>1</v>
      </c>
      <c r="O547" s="69" t="str">
        <f t="shared" si="3"/>
        <v/>
      </c>
      <c r="P547" s="471">
        <f>IFERROR(__xludf.DUMMYFUNCTION("""COMPUTED_VALUE"""),0.0)</f>
        <v>0</v>
      </c>
      <c r="Q547" s="274" t="b">
        <f>VLOOKUP($B547,'Run Reconcile'!B$2:O2488,14,FALSE)</f>
        <v>1</v>
      </c>
      <c r="R547" s="472" t="str">
        <f t="array" ref="R547">IF($Q547, INDEX('Run Reconcile'!A$2:A2488,MATCH(B547,'Run Reconcile'!B$2:B2488,0),1),IFERROR(0/0,""))</f>
        <v>RUN-FLMP_2022-01-22_RFR-071</v>
      </c>
      <c r="S547" s="473" t="str">
        <f t="shared" si="694"/>
        <v/>
      </c>
      <c r="T547" s="473" t="str">
        <f t="shared" si="698"/>
        <v/>
      </c>
      <c r="U547" s="275" t="str">
        <f t="array" ref="U547">IF(ISBLANK($R547), INDEX('Run Reconcile'!A$2:A2488, MATCH($B547, 'Run Reconcile'!B$2:B2488, 0)+Z547, 1), IFERROR(0/0,""))
</f>
        <v/>
      </c>
      <c r="V547" s="474" t="str">
        <f t="shared" si="5"/>
        <v>RUN-FLMP_2022-01-22_RFR-071</v>
      </c>
      <c r="Y547" s="89" t="str">
        <f t="shared" si="867"/>
        <v/>
      </c>
      <c r="Z547" s="60" t="str">
        <f t="shared" si="7"/>
        <v/>
      </c>
      <c r="AA547" s="60" t="str">
        <f t="shared" si="8"/>
        <v/>
      </c>
      <c r="AB547" s="60" t="str">
        <f t="shared" si="9"/>
        <v/>
      </c>
      <c r="AC547" s="30" t="str">
        <f t="shared" ref="AC547:AD547" si="903">IF(_xlfn.ISFORMULA(S547),IFERROR(0/0,""),TRUE)</f>
        <v/>
      </c>
      <c r="AD547" s="30" t="str">
        <f t="shared" si="903"/>
        <v/>
      </c>
      <c r="AE547" s="475" t="str">
        <f>IFERROR(__xludf.DUMMYFUNCTION("""COMPUTED_VALUE"""),"FLSP")</f>
        <v>FLSP</v>
      </c>
      <c r="AF547" s="476"/>
      <c r="AG547" s="474" t="s">
        <v>167</v>
      </c>
      <c r="AH547" s="138" t="str">
        <f t="shared" si="11"/>
        <v/>
      </c>
    </row>
    <row r="548">
      <c r="A548" s="103" t="str">
        <f>IFERROR(__xludf.DUMMYFUNCTION("""COMPUTED_VALUE"""),"MA86")</f>
        <v>MA86</v>
      </c>
      <c r="B548" s="468">
        <f>IFERROR(__xludf.DUMMYFUNCTION("""COMPUTED_VALUE"""),44583.0)</f>
        <v>44583</v>
      </c>
      <c r="C548" s="469">
        <f>IFERROR(__xludf.DUMMYFUNCTION("""COMPUTED_VALUE"""),0.40077546296296296)</f>
        <v>0.400775463</v>
      </c>
      <c r="D548" s="103" t="str">
        <f>IFERROR(__xludf.DUMMYFUNCTION("""COMPUTED_VALUE"""),"SpFLMP120998")</f>
        <v>SpFLMP120998</v>
      </c>
      <c r="E548" s="103"/>
      <c r="F548" s="103"/>
      <c r="G548" s="103" t="str">
        <f>IFERROR(__xludf.DUMMYFUNCTION("""COMPUTED_VALUE"""),"Negative")</f>
        <v>Negative</v>
      </c>
      <c r="H548" s="131" t="str">
        <f>IFERROR(__xludf.DUMMYFUNCTION("""COMPUTED_VALUE"""),"Negative")</f>
        <v>Negative</v>
      </c>
      <c r="I548" s="468">
        <f>IFERROR(__xludf.DUMMYFUNCTION("""COMPUTED_VALUE"""),44583.0)</f>
        <v>44583</v>
      </c>
      <c r="J548" s="470">
        <f>IFERROR(__xludf.DUMMYFUNCTION("""COMPUTED_VALUE"""),0.43756944444444446)</f>
        <v>0.4375694444</v>
      </c>
      <c r="K548" s="16"/>
      <c r="L548" s="8"/>
      <c r="M548" s="69"/>
      <c r="N548" s="69">
        <f>IFERROR(__xludf.DUMMYFUNCTION("""COMPUTED_VALUE"""),1.0)</f>
        <v>1</v>
      </c>
      <c r="O548" s="69" t="str">
        <f t="shared" si="3"/>
        <v/>
      </c>
      <c r="P548" s="471">
        <f>IFERROR(__xludf.DUMMYFUNCTION("""COMPUTED_VALUE"""),0.0)</f>
        <v>0</v>
      </c>
      <c r="Q548" s="274" t="b">
        <f>VLOOKUP($B548,'Run Reconcile'!B$2:O2488,14,FALSE)</f>
        <v>1</v>
      </c>
      <c r="R548" s="472" t="str">
        <f t="array" ref="R548">IF($Q548, INDEX('Run Reconcile'!A$2:A2488,MATCH(B548,'Run Reconcile'!B$2:B2488,0),1),IFERROR(0/0,""))</f>
        <v>RUN-FLMP_2022-01-22_RFR-071</v>
      </c>
      <c r="S548" s="473" t="str">
        <f t="shared" si="694"/>
        <v/>
      </c>
      <c r="T548" s="473" t="str">
        <f t="shared" si="698"/>
        <v/>
      </c>
      <c r="U548" s="275" t="str">
        <f t="array" ref="U548">IF(ISBLANK($R548), INDEX('Run Reconcile'!A$2:A2488, MATCH($B548, 'Run Reconcile'!B$2:B2488, 0)+Z548, 1), IFERROR(0/0,""))
</f>
        <v/>
      </c>
      <c r="V548" s="474" t="str">
        <f t="shared" si="5"/>
        <v>RUN-FLMP_2022-01-22_RFR-071</v>
      </c>
      <c r="Y548" s="89" t="str">
        <f t="shared" si="867"/>
        <v/>
      </c>
      <c r="Z548" s="60" t="str">
        <f t="shared" si="7"/>
        <v/>
      </c>
      <c r="AA548" s="60" t="str">
        <f t="shared" si="8"/>
        <v/>
      </c>
      <c r="AB548" s="60" t="str">
        <f t="shared" si="9"/>
        <v/>
      </c>
      <c r="AC548" s="30" t="str">
        <f t="shared" ref="AC548:AD548" si="904">IF(_xlfn.ISFORMULA(S548),IFERROR(0/0,""),TRUE)</f>
        <v/>
      </c>
      <c r="AD548" s="30" t="str">
        <f t="shared" si="904"/>
        <v/>
      </c>
      <c r="AE548" s="475" t="str">
        <f>IFERROR(__xludf.DUMMYFUNCTION("""COMPUTED_VALUE"""),"FLSP")</f>
        <v>FLSP</v>
      </c>
      <c r="AF548" s="476"/>
      <c r="AG548" s="474" t="s">
        <v>167</v>
      </c>
      <c r="AH548" s="138" t="str">
        <f t="shared" si="11"/>
        <v/>
      </c>
    </row>
    <row r="549">
      <c r="A549" s="477" t="str">
        <f>IFERROR(__xludf.DUMMYFUNCTION("""COMPUTED_VALUE"""),"FLB5726")</f>
        <v>FLB5726</v>
      </c>
      <c r="B549" s="478">
        <f>IFERROR(__xludf.DUMMYFUNCTION("""COMPUTED_VALUE"""),44584.0)</f>
        <v>44584</v>
      </c>
      <c r="C549" s="479">
        <f>IFERROR(__xludf.DUMMYFUNCTION("""COMPUTED_VALUE"""),0.46739583333333334)</f>
        <v>0.4673958333</v>
      </c>
      <c r="D549" s="477" t="str">
        <f>IFERROR(__xludf.DUMMYFUNCTION("""COMPUTED_VALUE"""),"SpFLMP271329")</f>
        <v>SpFLMP271329</v>
      </c>
      <c r="E549" s="477"/>
      <c r="F549" s="477"/>
      <c r="G549" s="477" t="str">
        <f>IFERROR(__xludf.DUMMYFUNCTION("""COMPUTED_VALUE"""),"Negative")</f>
        <v>Negative</v>
      </c>
      <c r="H549" s="480" t="str">
        <f>IFERROR(__xludf.DUMMYFUNCTION("""COMPUTED_VALUE"""),"Negative")</f>
        <v>Negative</v>
      </c>
      <c r="I549" s="478">
        <f>IFERROR(__xludf.DUMMYFUNCTION("""COMPUTED_VALUE"""),44585.0)</f>
        <v>44585</v>
      </c>
      <c r="J549" s="481">
        <f>IFERROR(__xludf.DUMMYFUNCTION("""COMPUTED_VALUE"""),0.46748842592592593)</f>
        <v>0.4674884259</v>
      </c>
      <c r="K549" s="156"/>
      <c r="L549" s="19"/>
      <c r="M549" s="482"/>
      <c r="N549" s="482">
        <f>IFERROR(__xludf.DUMMYFUNCTION("""COMPUTED_VALUE"""),1.0)</f>
        <v>1</v>
      </c>
      <c r="O549" s="482" t="b">
        <f t="shared" si="3"/>
        <v>1</v>
      </c>
      <c r="P549" s="483">
        <f>IFERROR(__xludf.DUMMYFUNCTION("""COMPUTED_VALUE"""),1.0)</f>
        <v>1</v>
      </c>
      <c r="Q549" s="352" t="str">
        <f>VLOOKUP($B549,'Run Reconcile'!B$2:O2488,14,FALSE)</f>
        <v/>
      </c>
      <c r="R549" s="484" t="str">
        <f t="array" ref="R549">IF($Q549, INDEX('Run Reconcile'!A$2:A2488,MATCH(B549,'Run Reconcile'!B$2:B2488,0),1),IFERROR(0/0,""))</f>
        <v/>
      </c>
      <c r="S549" s="485" t="b">
        <f t="shared" si="694"/>
        <v>1</v>
      </c>
      <c r="T549" s="485" t="str">
        <f t="shared" si="698"/>
        <v/>
      </c>
      <c r="U549" s="353" t="str">
        <f t="array" ref="U549">IF(ISBLANK($R549), INDEX('Run Reconcile'!A$2:A2488, MATCH($B549, 'Run Reconcile'!B$2:B2488, 0)+Z549, 1), IFERROR(0/0,""))
</f>
        <v>RUN-FLMP_2022-01-24_RFR-072</v>
      </c>
      <c r="V549" s="486" t="str">
        <f t="shared" si="5"/>
        <v>RUN-FLMP_2022-01-24_RFR-072</v>
      </c>
      <c r="W549" s="19" t="s">
        <v>1433</v>
      </c>
      <c r="X549" s="19"/>
      <c r="Y549" s="89">
        <f t="shared" si="867"/>
        <v>1</v>
      </c>
      <c r="Z549" s="60">
        <f t="shared" si="7"/>
        <v>1</v>
      </c>
      <c r="AA549" s="60">
        <f t="shared" si="8"/>
        <v>1</v>
      </c>
      <c r="AB549" s="60" t="str">
        <f t="shared" si="9"/>
        <v/>
      </c>
      <c r="AC549" s="158" t="str">
        <f t="shared" ref="AC549:AD549" si="905">IF(_xlfn.ISFORMULA(S549),IFERROR(0/0,""),TRUE)</f>
        <v/>
      </c>
      <c r="AD549" s="158" t="str">
        <f t="shared" si="905"/>
        <v/>
      </c>
      <c r="AE549" s="488" t="str">
        <f>IFERROR(__xludf.DUMMYFUNCTION("""COMPUTED_VALUE"""),"CRLN")</f>
        <v>CRLN</v>
      </c>
      <c r="AF549" s="489"/>
      <c r="AG549" s="486" t="s">
        <v>168</v>
      </c>
      <c r="AH549" s="138" t="str">
        <f t="shared" si="11"/>
        <v/>
      </c>
      <c r="AI549" s="19"/>
      <c r="AJ549" s="19"/>
      <c r="AK549" s="19"/>
      <c r="AL549" s="19"/>
      <c r="AM549" s="19"/>
    </row>
    <row r="550">
      <c r="A550" s="103" t="str">
        <f>IFERROR(__xludf.DUMMYFUNCTION("""COMPUTED_VALUE"""),"FLB7347")</f>
        <v>FLB7347</v>
      </c>
      <c r="B550" s="468">
        <f>IFERROR(__xludf.DUMMYFUNCTION("""COMPUTED_VALUE"""),44584.0)</f>
        <v>44584</v>
      </c>
      <c r="C550" s="469">
        <f>IFERROR(__xludf.DUMMYFUNCTION("""COMPUTED_VALUE"""),0.6593287037037037)</f>
        <v>0.6593287037</v>
      </c>
      <c r="D550" s="103" t="str">
        <f>IFERROR(__xludf.DUMMYFUNCTION("""COMPUTED_VALUE"""),"SpFLMP572444")</f>
        <v>SpFLMP572444</v>
      </c>
      <c r="E550" s="103"/>
      <c r="F550" s="103"/>
      <c r="G550" s="103" t="str">
        <f>IFERROR(__xludf.DUMMYFUNCTION("""COMPUTED_VALUE"""),"Negative")</f>
        <v>Negative</v>
      </c>
      <c r="H550" s="131" t="str">
        <f>IFERROR(__xludf.DUMMYFUNCTION("""COMPUTED_VALUE"""),"Negative")</f>
        <v>Negative</v>
      </c>
      <c r="I550" s="468">
        <f>IFERROR(__xludf.DUMMYFUNCTION("""COMPUTED_VALUE"""),44585.0)</f>
        <v>44585</v>
      </c>
      <c r="J550" s="470">
        <f>IFERROR(__xludf.DUMMYFUNCTION("""COMPUTED_VALUE"""),0.47021990740740743)</f>
        <v>0.4702199074</v>
      </c>
      <c r="K550" s="16"/>
      <c r="L550" s="8"/>
      <c r="M550" s="69"/>
      <c r="N550" s="69">
        <f>IFERROR(__xludf.DUMMYFUNCTION("""COMPUTED_VALUE"""),4.0)</f>
        <v>4</v>
      </c>
      <c r="O550" s="69" t="str">
        <f t="shared" si="3"/>
        <v/>
      </c>
      <c r="P550" s="471">
        <f>IFERROR(__xludf.DUMMYFUNCTION("""COMPUTED_VALUE"""),1.0)</f>
        <v>1</v>
      </c>
      <c r="Q550" s="274" t="str">
        <f>VLOOKUP($B550,'Run Reconcile'!B$2:O2488,14,FALSE)</f>
        <v/>
      </c>
      <c r="R550" s="472" t="str">
        <f t="array" ref="R550">IF($Q550, INDEX('Run Reconcile'!A$2:A2488,MATCH(B550,'Run Reconcile'!B$2:B2488,0),1),IFERROR(0/0,""))</f>
        <v/>
      </c>
      <c r="S550" s="473" t="b">
        <f t="shared" si="694"/>
        <v>1</v>
      </c>
      <c r="T550" s="473" t="str">
        <f t="shared" si="698"/>
        <v/>
      </c>
      <c r="U550" s="275" t="str">
        <f t="array" ref="U550">IF(ISBLANK($R550), INDEX('Run Reconcile'!A$2:A2488, MATCH($B550, 'Run Reconcile'!B$2:B2488, 0)+Z550, 1), IFERROR(0/0,""))
</f>
        <v>RUN-FLMP_2022-01-24_RFR-072</v>
      </c>
      <c r="V550" s="474" t="str">
        <f t="shared" si="5"/>
        <v>RUN-FLMP_2022-01-24_RFR-072</v>
      </c>
      <c r="W550" s="8" t="s">
        <v>1434</v>
      </c>
      <c r="Y550" s="89">
        <f t="shared" si="867"/>
        <v>1</v>
      </c>
      <c r="Z550" s="60">
        <f t="shared" si="7"/>
        <v>1</v>
      </c>
      <c r="AA550" s="60">
        <f t="shared" si="8"/>
        <v>1</v>
      </c>
      <c r="AB550" s="60" t="str">
        <f t="shared" si="9"/>
        <v/>
      </c>
      <c r="AC550" s="30" t="str">
        <f t="shared" ref="AC550:AD550" si="906">IF(_xlfn.ISFORMULA(S550),IFERROR(0/0,""),TRUE)</f>
        <v/>
      </c>
      <c r="AD550" s="30" t="str">
        <f t="shared" si="906"/>
        <v/>
      </c>
      <c r="AE550" s="475" t="str">
        <f>IFERROR(__xludf.DUMMYFUNCTION("""COMPUTED_VALUE"""),"CRLN")</f>
        <v>CRLN</v>
      </c>
      <c r="AF550" s="476"/>
      <c r="AG550" s="474" t="s">
        <v>168</v>
      </c>
      <c r="AH550" s="138" t="str">
        <f t="shared" si="11"/>
        <v/>
      </c>
    </row>
    <row r="551">
      <c r="A551" s="103" t="str">
        <f>IFERROR(__xludf.DUMMYFUNCTION("""COMPUTED_VALUE"""),"FLT1430")</f>
        <v>FLT1430</v>
      </c>
      <c r="B551" s="468">
        <f>IFERROR(__xludf.DUMMYFUNCTION("""COMPUTED_VALUE"""),44584.0)</f>
        <v>44584</v>
      </c>
      <c r="C551" s="469">
        <f>IFERROR(__xludf.DUMMYFUNCTION("""COMPUTED_VALUE"""),0.7070949074074074)</f>
        <v>0.7070949074</v>
      </c>
      <c r="D551" s="103" t="str">
        <f>IFERROR(__xludf.DUMMYFUNCTION("""COMPUTED_VALUE"""),"SpFLMP518914")</f>
        <v>SpFLMP518914</v>
      </c>
      <c r="E551" s="103"/>
      <c r="F551" s="103"/>
      <c r="G551" s="103" t="str">
        <f>IFERROR(__xludf.DUMMYFUNCTION("""COMPUTED_VALUE"""),"Negative")</f>
        <v>Negative</v>
      </c>
      <c r="H551" s="131" t="str">
        <f>IFERROR(__xludf.DUMMYFUNCTION("""COMPUTED_VALUE"""),"Negative")</f>
        <v>Negative</v>
      </c>
      <c r="I551" s="468">
        <f>IFERROR(__xludf.DUMMYFUNCTION("""COMPUTED_VALUE"""),44585.0)</f>
        <v>44585</v>
      </c>
      <c r="J551" s="470">
        <f>IFERROR(__xludf.DUMMYFUNCTION("""COMPUTED_VALUE"""),0.4668981481481482)</f>
        <v>0.4668981481</v>
      </c>
      <c r="K551" s="16"/>
      <c r="L551" s="8"/>
      <c r="M551" s="69"/>
      <c r="N551" s="69">
        <f>IFERROR(__xludf.DUMMYFUNCTION("""COMPUTED_VALUE"""),1.0)</f>
        <v>1</v>
      </c>
      <c r="O551" s="69" t="str">
        <f t="shared" si="3"/>
        <v/>
      </c>
      <c r="P551" s="471">
        <f>IFERROR(__xludf.DUMMYFUNCTION("""COMPUTED_VALUE"""),1.0)</f>
        <v>1</v>
      </c>
      <c r="Q551" s="274" t="str">
        <f>VLOOKUP($B551,'Run Reconcile'!B$2:O2488,14,FALSE)</f>
        <v/>
      </c>
      <c r="R551" s="472" t="str">
        <f t="array" ref="R551">IF($Q551, INDEX('Run Reconcile'!A$2:A2488,MATCH(B551,'Run Reconcile'!B$2:B2488,0),1),IFERROR(0/0,""))</f>
        <v/>
      </c>
      <c r="S551" s="473" t="b">
        <f t="shared" si="694"/>
        <v>1</v>
      </c>
      <c r="T551" s="473" t="str">
        <f t="shared" si="698"/>
        <v/>
      </c>
      <c r="U551" s="275" t="str">
        <f t="array" ref="U551">IF(ISBLANK($R551), INDEX('Run Reconcile'!A$2:A2488, MATCH($B551, 'Run Reconcile'!B$2:B2488, 0)+Z551, 1), IFERROR(0/0,""))
</f>
        <v>RUN-FLMP_2022-01-24_RFR-072</v>
      </c>
      <c r="V551" s="474" t="str">
        <f t="shared" si="5"/>
        <v>RUN-FLMP_2022-01-24_RFR-072</v>
      </c>
      <c r="W551" s="8" t="s">
        <v>1435</v>
      </c>
      <c r="Y551" s="89">
        <f t="shared" si="867"/>
        <v>1</v>
      </c>
      <c r="Z551" s="60">
        <f t="shared" si="7"/>
        <v>1</v>
      </c>
      <c r="AA551" s="60">
        <f t="shared" si="8"/>
        <v>1</v>
      </c>
      <c r="AB551" s="60" t="str">
        <f t="shared" si="9"/>
        <v/>
      </c>
      <c r="AC551" s="30" t="str">
        <f t="shared" ref="AC551:AD551" si="907">IF(_xlfn.ISFORMULA(S551),IFERROR(0/0,""),TRUE)</f>
        <v/>
      </c>
      <c r="AD551" s="30" t="str">
        <f t="shared" si="907"/>
        <v/>
      </c>
      <c r="AE551" s="475" t="str">
        <f>IFERROR(__xludf.DUMMYFUNCTION("""COMPUTED_VALUE"""),"CRLN")</f>
        <v>CRLN</v>
      </c>
      <c r="AF551" s="476"/>
      <c r="AG551" s="474" t="s">
        <v>168</v>
      </c>
      <c r="AH551" s="138" t="str">
        <f t="shared" si="11"/>
        <v/>
      </c>
    </row>
    <row r="552">
      <c r="A552" s="103" t="str">
        <f>IFERROR(__xludf.DUMMYFUNCTION("""COMPUTED_VALUE"""),"FLT1467")</f>
        <v>FLT1467</v>
      </c>
      <c r="B552" s="468">
        <f>IFERROR(__xludf.DUMMYFUNCTION("""COMPUTED_VALUE"""),44584.0)</f>
        <v>44584</v>
      </c>
      <c r="C552" s="469">
        <f>IFERROR(__xludf.DUMMYFUNCTION("""COMPUTED_VALUE"""),0.7092013888888888)</f>
        <v>0.7092013889</v>
      </c>
      <c r="D552" s="103" t="str">
        <f>IFERROR(__xludf.DUMMYFUNCTION("""COMPUTED_VALUE"""),"SpFLMP518914")</f>
        <v>SpFLMP518914</v>
      </c>
      <c r="E552" s="103"/>
      <c r="F552" s="103"/>
      <c r="G552" s="103" t="str">
        <f>IFERROR(__xludf.DUMMYFUNCTION("""COMPUTED_VALUE"""),"Negative")</f>
        <v>Negative</v>
      </c>
      <c r="H552" s="131" t="str">
        <f>IFERROR(__xludf.DUMMYFUNCTION("""COMPUTED_VALUE"""),"Negative")</f>
        <v>Negative</v>
      </c>
      <c r="I552" s="468">
        <f>IFERROR(__xludf.DUMMYFUNCTION("""COMPUTED_VALUE"""),44585.0)</f>
        <v>44585</v>
      </c>
      <c r="J552" s="470">
        <f>IFERROR(__xludf.DUMMYFUNCTION("""COMPUTED_VALUE"""),0.47020833333333334)</f>
        <v>0.4702083333</v>
      </c>
      <c r="K552" s="16"/>
      <c r="L552" s="8"/>
      <c r="M552" s="69"/>
      <c r="N552" s="69">
        <f>IFERROR(__xludf.DUMMYFUNCTION("""COMPUTED_VALUE"""),2.0)</f>
        <v>2</v>
      </c>
      <c r="O552" s="69" t="str">
        <f t="shared" si="3"/>
        <v/>
      </c>
      <c r="P552" s="471">
        <f>IFERROR(__xludf.DUMMYFUNCTION("""COMPUTED_VALUE"""),1.0)</f>
        <v>1</v>
      </c>
      <c r="Q552" s="274" t="str">
        <f>VLOOKUP($B552,'Run Reconcile'!B$2:O2488,14,FALSE)</f>
        <v/>
      </c>
      <c r="R552" s="472" t="str">
        <f t="array" ref="R552">IF($Q552, INDEX('Run Reconcile'!A$2:A2488,MATCH(B552,'Run Reconcile'!B$2:B2488,0),1),IFERROR(0/0,""))</f>
        <v/>
      </c>
      <c r="S552" s="473" t="b">
        <f t="shared" si="694"/>
        <v>1</v>
      </c>
      <c r="T552" s="473" t="str">
        <f t="shared" si="698"/>
        <v/>
      </c>
      <c r="U552" s="275" t="str">
        <f t="array" ref="U552">IF(ISBLANK($R552), INDEX('Run Reconcile'!A$2:A2488, MATCH($B552, 'Run Reconcile'!B$2:B2488, 0)+Z552, 1), IFERROR(0/0,""))
</f>
        <v>RUN-FLMP_2022-01-24_RFR-072</v>
      </c>
      <c r="V552" s="474" t="str">
        <f t="shared" si="5"/>
        <v>RUN-FLMP_2022-01-24_RFR-072</v>
      </c>
      <c r="W552" s="8" t="s">
        <v>1436</v>
      </c>
      <c r="Y552" s="89">
        <f t="shared" si="867"/>
        <v>1</v>
      </c>
      <c r="Z552" s="60">
        <f t="shared" si="7"/>
        <v>1</v>
      </c>
      <c r="AA552" s="60">
        <f t="shared" si="8"/>
        <v>1</v>
      </c>
      <c r="AB552" s="60" t="str">
        <f t="shared" si="9"/>
        <v/>
      </c>
      <c r="AC552" s="30" t="str">
        <f t="shared" ref="AC552:AD552" si="908">IF(_xlfn.ISFORMULA(S552),IFERROR(0/0,""),TRUE)</f>
        <v/>
      </c>
      <c r="AD552" s="30" t="str">
        <f t="shared" si="908"/>
        <v/>
      </c>
      <c r="AE552" s="475" t="str">
        <f>IFERROR(__xludf.DUMMYFUNCTION("""COMPUTED_VALUE"""),"CRLN")</f>
        <v>CRLN</v>
      </c>
      <c r="AF552" s="476"/>
      <c r="AG552" s="474" t="s">
        <v>168</v>
      </c>
      <c r="AH552" s="138" t="str">
        <f t="shared" si="11"/>
        <v/>
      </c>
    </row>
    <row r="553">
      <c r="A553" s="103" t="str">
        <f>IFERROR(__xludf.DUMMYFUNCTION("""COMPUTED_VALUE"""),"FLB5821")</f>
        <v>FLB5821</v>
      </c>
      <c r="B553" s="468">
        <f>IFERROR(__xludf.DUMMYFUNCTION("""COMPUTED_VALUE"""),44584.0)</f>
        <v>44584</v>
      </c>
      <c r="C553" s="469">
        <f>IFERROR(__xludf.DUMMYFUNCTION("""COMPUTED_VALUE"""),0.7832986111111111)</f>
        <v>0.7832986111</v>
      </c>
      <c r="D553" s="103" t="str">
        <f>IFERROR(__xludf.DUMMYFUNCTION("""COMPUTED_VALUE"""),"SpFLMP228238")</f>
        <v>SpFLMP228238</v>
      </c>
      <c r="E553" s="103"/>
      <c r="F553" s="103"/>
      <c r="G553" s="103" t="str">
        <f>IFERROR(__xludf.DUMMYFUNCTION("""COMPUTED_VALUE"""),"Negative")</f>
        <v>Negative</v>
      </c>
      <c r="H553" s="131" t="str">
        <f>IFERROR(__xludf.DUMMYFUNCTION("""COMPUTED_VALUE"""),"Negative")</f>
        <v>Negative</v>
      </c>
      <c r="I553" s="468">
        <f>IFERROR(__xludf.DUMMYFUNCTION("""COMPUTED_VALUE"""),44585.0)</f>
        <v>44585</v>
      </c>
      <c r="J553" s="470">
        <f>IFERROR(__xludf.DUMMYFUNCTION("""COMPUTED_VALUE"""),0.47306712962962966)</f>
        <v>0.4730671296</v>
      </c>
      <c r="K553" s="16"/>
      <c r="L553" s="8"/>
      <c r="M553" s="69"/>
      <c r="N553" s="69">
        <f>IFERROR(__xludf.DUMMYFUNCTION("""COMPUTED_VALUE"""),3.0)</f>
        <v>3</v>
      </c>
      <c r="O553" s="69" t="str">
        <f t="shared" si="3"/>
        <v/>
      </c>
      <c r="P553" s="471">
        <f>IFERROR(__xludf.DUMMYFUNCTION("""COMPUTED_VALUE"""),1.0)</f>
        <v>1</v>
      </c>
      <c r="Q553" s="274" t="str">
        <f>VLOOKUP($B553,'Run Reconcile'!B$2:O2488,14,FALSE)</f>
        <v/>
      </c>
      <c r="R553" s="472" t="str">
        <f t="array" ref="R553">IF($Q553, INDEX('Run Reconcile'!A$2:A2488,MATCH(B553,'Run Reconcile'!B$2:B2488,0),1),IFERROR(0/0,""))</f>
        <v/>
      </c>
      <c r="S553" s="473" t="b">
        <f t="shared" si="694"/>
        <v>1</v>
      </c>
      <c r="T553" s="473" t="str">
        <f t="shared" si="698"/>
        <v/>
      </c>
      <c r="U553" s="275" t="str">
        <f t="array" ref="U553">IF(ISBLANK($R553), INDEX('Run Reconcile'!A$2:A2488, MATCH($B553, 'Run Reconcile'!B$2:B2488, 0)+Z553, 1), IFERROR(0/0,""))
</f>
        <v>RUN-FLMP_2022-01-24_RFR-072</v>
      </c>
      <c r="V553" s="474" t="str">
        <f t="shared" si="5"/>
        <v>RUN-FLMP_2022-01-24_RFR-072</v>
      </c>
      <c r="W553" s="8" t="s">
        <v>1437</v>
      </c>
      <c r="Y553" s="89">
        <f t="shared" si="867"/>
        <v>1</v>
      </c>
      <c r="Z553" s="60">
        <f t="shared" si="7"/>
        <v>1</v>
      </c>
      <c r="AA553" s="60">
        <f t="shared" si="8"/>
        <v>1</v>
      </c>
      <c r="AB553" s="60" t="str">
        <f t="shared" si="9"/>
        <v/>
      </c>
      <c r="AC553" s="30" t="str">
        <f t="shared" ref="AC553:AD553" si="909">IF(_xlfn.ISFORMULA(S553),IFERROR(0/0,""),TRUE)</f>
        <v/>
      </c>
      <c r="AD553" s="30" t="str">
        <f t="shared" si="909"/>
        <v/>
      </c>
      <c r="AE553" s="475" t="str">
        <f>IFERROR(__xludf.DUMMYFUNCTION("""COMPUTED_VALUE"""),"CRLN")</f>
        <v>CRLN</v>
      </c>
      <c r="AF553" s="476"/>
      <c r="AG553" s="474" t="s">
        <v>168</v>
      </c>
      <c r="AH553" s="138" t="str">
        <f t="shared" si="11"/>
        <v/>
      </c>
    </row>
    <row r="554">
      <c r="A554" s="103" t="str">
        <f>IFERROR(__xludf.DUMMYFUNCTION("""COMPUTED_VALUE"""),"FLT1404")</f>
        <v>FLT1404</v>
      </c>
      <c r="B554" s="468">
        <f>IFERROR(__xludf.DUMMYFUNCTION("""COMPUTED_VALUE"""),44584.0)</f>
        <v>44584</v>
      </c>
      <c r="C554" s="469">
        <f>IFERROR(__xludf.DUMMYFUNCTION("""COMPUTED_VALUE"""),0.8174421296296296)</f>
        <v>0.8174421296</v>
      </c>
      <c r="D554" s="103" t="str">
        <f>IFERROR(__xludf.DUMMYFUNCTION("""COMPUTED_VALUE"""),"SpFLMP228238")</f>
        <v>SpFLMP228238</v>
      </c>
      <c r="E554" s="103"/>
      <c r="F554" s="103"/>
      <c r="G554" s="103" t="str">
        <f>IFERROR(__xludf.DUMMYFUNCTION("""COMPUTED_VALUE"""),"Negative")</f>
        <v>Negative</v>
      </c>
      <c r="H554" s="131" t="str">
        <f>IFERROR(__xludf.DUMMYFUNCTION("""COMPUTED_VALUE"""),"Negative")</f>
        <v>Negative</v>
      </c>
      <c r="I554" s="468">
        <f>IFERROR(__xludf.DUMMYFUNCTION("""COMPUTED_VALUE"""),44585.0)</f>
        <v>44585</v>
      </c>
      <c r="J554" s="470">
        <f>IFERROR(__xludf.DUMMYFUNCTION("""COMPUTED_VALUE"""),0.47306712962962966)</f>
        <v>0.4730671296</v>
      </c>
      <c r="K554" s="16"/>
      <c r="L554" s="8"/>
      <c r="M554" s="69"/>
      <c r="N554" s="69">
        <f>IFERROR(__xludf.DUMMYFUNCTION("""COMPUTED_VALUE"""),2.0)</f>
        <v>2</v>
      </c>
      <c r="O554" s="69" t="str">
        <f t="shared" si="3"/>
        <v/>
      </c>
      <c r="P554" s="471">
        <f>IFERROR(__xludf.DUMMYFUNCTION("""COMPUTED_VALUE"""),1.0)</f>
        <v>1</v>
      </c>
      <c r="Q554" s="274" t="str">
        <f>VLOOKUP($B554,'Run Reconcile'!B$2:O2488,14,FALSE)</f>
        <v/>
      </c>
      <c r="R554" s="472" t="str">
        <f t="array" ref="R554">IF($Q554, INDEX('Run Reconcile'!A$2:A2488,MATCH(B554,'Run Reconcile'!B$2:B2488,0),1),IFERROR(0/0,""))</f>
        <v/>
      </c>
      <c r="S554" s="473" t="b">
        <f t="shared" si="694"/>
        <v>1</v>
      </c>
      <c r="T554" s="473" t="str">
        <f t="shared" si="698"/>
        <v/>
      </c>
      <c r="U554" s="275" t="str">
        <f t="array" ref="U554">IF(ISBLANK($R554), INDEX('Run Reconcile'!A$2:A2488, MATCH($B554, 'Run Reconcile'!B$2:B2488, 0)+Z554, 1), IFERROR(0/0,""))
</f>
        <v>RUN-FLMP_2022-01-24_RFR-072</v>
      </c>
      <c r="V554" s="474" t="str">
        <f t="shared" si="5"/>
        <v>RUN-FLMP_2022-01-24_RFR-072</v>
      </c>
      <c r="W554" s="8" t="s">
        <v>1438</v>
      </c>
      <c r="Y554" s="89">
        <f t="shared" si="867"/>
        <v>1</v>
      </c>
      <c r="Z554" s="60">
        <f t="shared" si="7"/>
        <v>1</v>
      </c>
      <c r="AA554" s="60">
        <f t="shared" si="8"/>
        <v>1</v>
      </c>
      <c r="AB554" s="60" t="str">
        <f t="shared" si="9"/>
        <v/>
      </c>
      <c r="AC554" s="30" t="str">
        <f t="shared" ref="AC554:AD554" si="910">IF(_xlfn.ISFORMULA(S554),IFERROR(0/0,""),TRUE)</f>
        <v/>
      </c>
      <c r="AD554" s="30" t="str">
        <f t="shared" si="910"/>
        <v/>
      </c>
      <c r="AE554" s="475" t="str">
        <f>IFERROR(__xludf.DUMMYFUNCTION("""COMPUTED_VALUE"""),"CRLN")</f>
        <v>CRLN</v>
      </c>
      <c r="AF554" s="476"/>
      <c r="AG554" s="474" t="s">
        <v>168</v>
      </c>
      <c r="AH554" s="138" t="str">
        <f t="shared" si="11"/>
        <v/>
      </c>
    </row>
    <row r="555">
      <c r="A555" s="477" t="str">
        <f>IFERROR(__xludf.DUMMYFUNCTION("""COMPUTED_VALUE"""),"FLB4790")</f>
        <v>FLB4790</v>
      </c>
      <c r="B555" s="478">
        <f>IFERROR(__xludf.DUMMYFUNCTION("""COMPUTED_VALUE"""),44585.0)</f>
        <v>44585</v>
      </c>
      <c r="C555" s="479">
        <f>IFERROR(__xludf.DUMMYFUNCTION("""COMPUTED_VALUE"""),0.22219907407407408)</f>
        <v>0.2221990741</v>
      </c>
      <c r="D555" s="477" t="str">
        <f>IFERROR(__xludf.DUMMYFUNCTION("""COMPUTED_VALUE"""),"SpFLMP470379")</f>
        <v>SpFLMP470379</v>
      </c>
      <c r="E555" s="477"/>
      <c r="F555" s="477"/>
      <c r="G555" s="477" t="str">
        <f>IFERROR(__xludf.DUMMYFUNCTION("""COMPUTED_VALUE"""),"Negative")</f>
        <v>Negative</v>
      </c>
      <c r="H555" s="480" t="str">
        <f>IFERROR(__xludf.DUMMYFUNCTION("""COMPUTED_VALUE"""),"Negative")</f>
        <v>Negative</v>
      </c>
      <c r="I555" s="478">
        <f>IFERROR(__xludf.DUMMYFUNCTION("""COMPUTED_VALUE"""),44585.0)</f>
        <v>44585</v>
      </c>
      <c r="J555" s="481">
        <f>IFERROR(__xludf.DUMMYFUNCTION("""COMPUTED_VALUE"""),0.48431712962962964)</f>
        <v>0.4843171296</v>
      </c>
      <c r="K555" s="156"/>
      <c r="L555" s="19"/>
      <c r="M555" s="482"/>
      <c r="N555" s="482">
        <f>IFERROR(__xludf.DUMMYFUNCTION("""COMPUTED_VALUE"""),1.0)</f>
        <v>1</v>
      </c>
      <c r="O555" s="482" t="b">
        <f t="shared" si="3"/>
        <v>1</v>
      </c>
      <c r="P555" s="483">
        <f>IFERROR(__xludf.DUMMYFUNCTION("""COMPUTED_VALUE"""),0.0)</f>
        <v>0</v>
      </c>
      <c r="Q555" s="352" t="str">
        <f>VLOOKUP($B555,'Run Reconcile'!B$2:O2488,14,FALSE)</f>
        <v/>
      </c>
      <c r="R555" s="484" t="str">
        <f t="array" ref="R555">IF($Q555, INDEX('Run Reconcile'!A$2:A2488,MATCH(B555,'Run Reconcile'!B$2:B2488,0),1),IFERROR(0/0,""))</f>
        <v/>
      </c>
      <c r="S555" s="485" t="str">
        <f t="shared" si="694"/>
        <v/>
      </c>
      <c r="T555" s="485" t="str">
        <f t="shared" si="698"/>
        <v/>
      </c>
      <c r="U555" s="353" t="str">
        <f t="array" ref="U555">IF(ISBLANK($R555), INDEX('Run Reconcile'!A$2:A2488, MATCH($B555, 'Run Reconcile'!B$2:B2488, 0)+Z555, 1), IFERROR(0/0,""))
</f>
        <v>RUN-FLMP_2022-01-24_RFR-072</v>
      </c>
      <c r="V555" s="486" t="str">
        <f t="shared" si="5"/>
        <v>RUN-FLMP_2022-01-24_RFR-072</v>
      </c>
      <c r="W555" s="19"/>
      <c r="X555" s="19"/>
      <c r="Y555" s="89" t="str">
        <f t="shared" si="867"/>
        <v/>
      </c>
      <c r="Z555" s="60" t="str">
        <f t="shared" si="7"/>
        <v/>
      </c>
      <c r="AA555" s="60" t="str">
        <f t="shared" si="8"/>
        <v/>
      </c>
      <c r="AB555" s="60" t="str">
        <f t="shared" si="9"/>
        <v/>
      </c>
      <c r="AC555" s="158" t="str">
        <f t="shared" ref="AC555:AD555" si="911">IF(_xlfn.ISFORMULA(S555),IFERROR(0/0,""),TRUE)</f>
        <v/>
      </c>
      <c r="AD555" s="158" t="str">
        <f t="shared" si="911"/>
        <v/>
      </c>
      <c r="AE555" s="488" t="str">
        <f>IFERROR(__xludf.DUMMYFUNCTION("""COMPUTED_VALUE"""),"CRLN")</f>
        <v>CRLN</v>
      </c>
      <c r="AF555" s="489"/>
      <c r="AG555" s="486" t="s">
        <v>168</v>
      </c>
      <c r="AH555" s="138" t="str">
        <f t="shared" si="11"/>
        <v/>
      </c>
      <c r="AI555" s="19"/>
      <c r="AJ555" s="19"/>
      <c r="AK555" s="19"/>
      <c r="AL555" s="19"/>
      <c r="AM555" s="19"/>
    </row>
    <row r="556">
      <c r="A556" s="103" t="str">
        <f>IFERROR(__xludf.DUMMYFUNCTION("""COMPUTED_VALUE"""),"FLB5775")</f>
        <v>FLB5775</v>
      </c>
      <c r="B556" s="468">
        <f>IFERROR(__xludf.DUMMYFUNCTION("""COMPUTED_VALUE"""),44585.0)</f>
        <v>44585</v>
      </c>
      <c r="C556" s="469">
        <f>IFERROR(__xludf.DUMMYFUNCTION("""COMPUTED_VALUE"""),0.2875347222222222)</f>
        <v>0.2875347222</v>
      </c>
      <c r="D556" s="103" t="str">
        <f>IFERROR(__xludf.DUMMYFUNCTION("""COMPUTED_VALUE"""),"SpFLMP690282")</f>
        <v>SpFLMP690282</v>
      </c>
      <c r="E556" s="103"/>
      <c r="F556" s="103"/>
      <c r="G556" s="103" t="str">
        <f>IFERROR(__xludf.DUMMYFUNCTION("""COMPUTED_VALUE"""),"Negative")</f>
        <v>Negative</v>
      </c>
      <c r="H556" s="131" t="str">
        <f>IFERROR(__xludf.DUMMYFUNCTION("""COMPUTED_VALUE"""),"Negative")</f>
        <v>Negative</v>
      </c>
      <c r="I556" s="468">
        <f>IFERROR(__xludf.DUMMYFUNCTION("""COMPUTED_VALUE"""),44585.0)</f>
        <v>44585</v>
      </c>
      <c r="J556" s="470">
        <f>IFERROR(__xludf.DUMMYFUNCTION("""COMPUTED_VALUE"""),0.4668865740740741)</f>
        <v>0.4668865741</v>
      </c>
      <c r="K556" s="16"/>
      <c r="L556" s="8"/>
      <c r="M556" s="69"/>
      <c r="N556" s="69">
        <f>IFERROR(__xludf.DUMMYFUNCTION("""COMPUTED_VALUE"""),2.0)</f>
        <v>2</v>
      </c>
      <c r="O556" s="69" t="str">
        <f t="shared" si="3"/>
        <v/>
      </c>
      <c r="P556" s="471">
        <f>IFERROR(__xludf.DUMMYFUNCTION("""COMPUTED_VALUE"""),0.0)</f>
        <v>0</v>
      </c>
      <c r="Q556" s="274" t="str">
        <f>VLOOKUP($B556,'Run Reconcile'!B$2:O2488,14,FALSE)</f>
        <v/>
      </c>
      <c r="R556" s="472" t="str">
        <f t="array" ref="R556">IF($Q556, INDEX('Run Reconcile'!A$2:A2488,MATCH(B556,'Run Reconcile'!B$2:B2488,0),1),IFERROR(0/0,""))</f>
        <v/>
      </c>
      <c r="S556" s="473" t="str">
        <f t="shared" si="694"/>
        <v/>
      </c>
      <c r="T556" s="473" t="str">
        <f t="shared" si="698"/>
        <v/>
      </c>
      <c r="U556" s="275" t="str">
        <f t="array" ref="U556">IF(ISBLANK($R556), INDEX('Run Reconcile'!A$2:A2488, MATCH($B556, 'Run Reconcile'!B$2:B2488, 0)+Z556, 1), IFERROR(0/0,""))
</f>
        <v>RUN-FLMP_2022-01-24_RFR-072</v>
      </c>
      <c r="V556" s="474" t="str">
        <f t="shared" si="5"/>
        <v>RUN-FLMP_2022-01-24_RFR-072</v>
      </c>
      <c r="Y556" s="89" t="str">
        <f t="shared" si="867"/>
        <v/>
      </c>
      <c r="Z556" s="60" t="str">
        <f t="shared" si="7"/>
        <v/>
      </c>
      <c r="AA556" s="60" t="str">
        <f t="shared" si="8"/>
        <v/>
      </c>
      <c r="AB556" s="60" t="str">
        <f t="shared" si="9"/>
        <v/>
      </c>
      <c r="AC556" s="30" t="str">
        <f t="shared" ref="AC556:AD556" si="912">IF(_xlfn.ISFORMULA(S556),IFERROR(0/0,""),TRUE)</f>
        <v/>
      </c>
      <c r="AD556" s="30" t="str">
        <f t="shared" si="912"/>
        <v/>
      </c>
      <c r="AE556" s="475" t="str">
        <f>IFERROR(__xludf.DUMMYFUNCTION("""COMPUTED_VALUE"""),"CRLN")</f>
        <v>CRLN</v>
      </c>
      <c r="AF556" s="476"/>
      <c r="AG556" s="474" t="s">
        <v>168</v>
      </c>
      <c r="AH556" s="138" t="str">
        <f t="shared" si="11"/>
        <v/>
      </c>
    </row>
    <row r="557">
      <c r="A557" s="103" t="str">
        <f>IFERROR(__xludf.DUMMYFUNCTION("""COMPUTED_VALUE"""),"FLB5805")</f>
        <v>FLB5805</v>
      </c>
      <c r="B557" s="468">
        <f>IFERROR(__xludf.DUMMYFUNCTION("""COMPUTED_VALUE"""),44585.0)</f>
        <v>44585</v>
      </c>
      <c r="C557" s="469">
        <f>IFERROR(__xludf.DUMMYFUNCTION("""COMPUTED_VALUE"""),0.29766203703703703)</f>
        <v>0.297662037</v>
      </c>
      <c r="D557" s="103" t="str">
        <f>IFERROR(__xludf.DUMMYFUNCTION("""COMPUTED_VALUE"""),"SpFLMP683554")</f>
        <v>SpFLMP683554</v>
      </c>
      <c r="E557" s="103"/>
      <c r="F557" s="103"/>
      <c r="G557" s="103" t="str">
        <f>IFERROR(__xludf.DUMMYFUNCTION("""COMPUTED_VALUE"""),"Negative")</f>
        <v>Negative</v>
      </c>
      <c r="H557" s="131" t="str">
        <f>IFERROR(__xludf.DUMMYFUNCTION("""COMPUTED_VALUE"""),"Negative")</f>
        <v>Negative</v>
      </c>
      <c r="I557" s="468">
        <f>IFERROR(__xludf.DUMMYFUNCTION("""COMPUTED_VALUE"""),44585.0)</f>
        <v>44585</v>
      </c>
      <c r="J557" s="470">
        <f>IFERROR(__xludf.DUMMYFUNCTION("""COMPUTED_VALUE"""),0.47305555555555556)</f>
        <v>0.4730555556</v>
      </c>
      <c r="K557" s="16"/>
      <c r="L557" s="8"/>
      <c r="M557" s="69"/>
      <c r="N557" s="69">
        <f>IFERROR(__xludf.DUMMYFUNCTION("""COMPUTED_VALUE"""),1.0)</f>
        <v>1</v>
      </c>
      <c r="O557" s="69" t="str">
        <f t="shared" si="3"/>
        <v/>
      </c>
      <c r="P557" s="471">
        <f>IFERROR(__xludf.DUMMYFUNCTION("""COMPUTED_VALUE"""),0.0)</f>
        <v>0</v>
      </c>
      <c r="Q557" s="274" t="str">
        <f>VLOOKUP($B557,'Run Reconcile'!B$2:O2488,14,FALSE)</f>
        <v/>
      </c>
      <c r="R557" s="472" t="str">
        <f t="array" ref="R557">IF($Q557, INDEX('Run Reconcile'!A$2:A2488,MATCH(B557,'Run Reconcile'!B$2:B2488,0),1),IFERROR(0/0,""))</f>
        <v/>
      </c>
      <c r="S557" s="473" t="str">
        <f t="shared" si="694"/>
        <v/>
      </c>
      <c r="T557" s="473" t="str">
        <f t="shared" si="698"/>
        <v/>
      </c>
      <c r="U557" s="275" t="str">
        <f t="array" ref="U557">IF(ISBLANK($R557), INDEX('Run Reconcile'!A$2:A2488, MATCH($B557, 'Run Reconcile'!B$2:B2488, 0)+Z557, 1), IFERROR(0/0,""))
</f>
        <v>RUN-FLMP_2022-01-24_RFR-072</v>
      </c>
      <c r="V557" s="474" t="str">
        <f t="shared" si="5"/>
        <v>RUN-FLMP_2022-01-24_RFR-072</v>
      </c>
      <c r="Y557" s="89" t="str">
        <f t="shared" si="867"/>
        <v/>
      </c>
      <c r="Z557" s="60" t="str">
        <f t="shared" si="7"/>
        <v/>
      </c>
      <c r="AA557" s="60" t="str">
        <f t="shared" si="8"/>
        <v/>
      </c>
      <c r="AB557" s="60" t="str">
        <f t="shared" si="9"/>
        <v/>
      </c>
      <c r="AC557" s="30" t="str">
        <f t="shared" ref="AC557:AD557" si="913">IF(_xlfn.ISFORMULA(S557),IFERROR(0/0,""),TRUE)</f>
        <v/>
      </c>
      <c r="AD557" s="30" t="str">
        <f t="shared" si="913"/>
        <v/>
      </c>
      <c r="AE557" s="475" t="str">
        <f>IFERROR(__xludf.DUMMYFUNCTION("""COMPUTED_VALUE"""),"CRLN")</f>
        <v>CRLN</v>
      </c>
      <c r="AF557" s="476"/>
      <c r="AG557" s="474" t="s">
        <v>168</v>
      </c>
      <c r="AH557" s="138" t="str">
        <f t="shared" si="11"/>
        <v/>
      </c>
    </row>
    <row r="558">
      <c r="A558" s="103" t="str">
        <f>IFERROR(__xludf.DUMMYFUNCTION("""COMPUTED_VALUE"""),"FLB5790")</f>
        <v>FLB5790</v>
      </c>
      <c r="B558" s="468">
        <f>IFERROR(__xludf.DUMMYFUNCTION("""COMPUTED_VALUE"""),44585.0)</f>
        <v>44585</v>
      </c>
      <c r="C558" s="469">
        <f>IFERROR(__xludf.DUMMYFUNCTION("""COMPUTED_VALUE"""),0.2988425925925926)</f>
        <v>0.2988425926</v>
      </c>
      <c r="D558" s="103" t="str">
        <f>IFERROR(__xludf.DUMMYFUNCTION("""COMPUTED_VALUE"""),"SpFLMP777132")</f>
        <v>SpFLMP777132</v>
      </c>
      <c r="E558" s="103"/>
      <c r="F558" s="103"/>
      <c r="G558" s="103" t="str">
        <f>IFERROR(__xludf.DUMMYFUNCTION("""COMPUTED_VALUE"""),"Negative")</f>
        <v>Negative</v>
      </c>
      <c r="H558" s="131" t="str">
        <f>IFERROR(__xludf.DUMMYFUNCTION("""COMPUTED_VALUE"""),"Negative")</f>
        <v>Negative</v>
      </c>
      <c r="I558" s="468">
        <f>IFERROR(__xludf.DUMMYFUNCTION("""COMPUTED_VALUE"""),44585.0)</f>
        <v>44585</v>
      </c>
      <c r="J558" s="470">
        <f>IFERROR(__xludf.DUMMYFUNCTION("""COMPUTED_VALUE"""),0.48431712962962964)</f>
        <v>0.4843171296</v>
      </c>
      <c r="K558" s="16"/>
      <c r="L558" s="8"/>
      <c r="M558" s="69"/>
      <c r="N558" s="69">
        <f>IFERROR(__xludf.DUMMYFUNCTION("""COMPUTED_VALUE"""),4.0)</f>
        <v>4</v>
      </c>
      <c r="O558" s="69" t="str">
        <f t="shared" si="3"/>
        <v/>
      </c>
      <c r="P558" s="471">
        <f>IFERROR(__xludf.DUMMYFUNCTION("""COMPUTED_VALUE"""),0.0)</f>
        <v>0</v>
      </c>
      <c r="Q558" s="274" t="str">
        <f>VLOOKUP($B558,'Run Reconcile'!B$2:O2488,14,FALSE)</f>
        <v/>
      </c>
      <c r="R558" s="472" t="str">
        <f t="array" ref="R558">IF($Q558, INDEX('Run Reconcile'!A$2:A2488,MATCH(B558,'Run Reconcile'!B$2:B2488,0),1),IFERROR(0/0,""))</f>
        <v/>
      </c>
      <c r="S558" s="473" t="str">
        <f t="shared" si="694"/>
        <v/>
      </c>
      <c r="T558" s="473" t="str">
        <f t="shared" si="698"/>
        <v/>
      </c>
      <c r="U558" s="275" t="str">
        <f t="array" ref="U558">IF(ISBLANK($R558), INDEX('Run Reconcile'!A$2:A2488, MATCH($B558, 'Run Reconcile'!B$2:B2488, 0)+Z558, 1), IFERROR(0/0,""))
</f>
        <v>RUN-FLMP_2022-01-24_RFR-072</v>
      </c>
      <c r="V558" s="474" t="str">
        <f t="shared" si="5"/>
        <v>RUN-FLMP_2022-01-24_RFR-072</v>
      </c>
      <c r="Y558" s="89" t="str">
        <f t="shared" si="867"/>
        <v/>
      </c>
      <c r="Z558" s="60" t="str">
        <f t="shared" si="7"/>
        <v/>
      </c>
      <c r="AA558" s="60" t="str">
        <f t="shared" si="8"/>
        <v/>
      </c>
      <c r="AB558" s="60" t="str">
        <f t="shared" si="9"/>
        <v/>
      </c>
      <c r="AC558" s="30" t="str">
        <f t="shared" ref="AC558:AD558" si="914">IF(_xlfn.ISFORMULA(S558),IFERROR(0/0,""),TRUE)</f>
        <v/>
      </c>
      <c r="AD558" s="30" t="str">
        <f t="shared" si="914"/>
        <v/>
      </c>
      <c r="AE558" s="475" t="str">
        <f>IFERROR(__xludf.DUMMYFUNCTION("""COMPUTED_VALUE"""),"CRLN")</f>
        <v>CRLN</v>
      </c>
      <c r="AF558" s="476"/>
      <c r="AG558" s="474" t="s">
        <v>168</v>
      </c>
      <c r="AH558" s="138" t="str">
        <f t="shared" si="11"/>
        <v/>
      </c>
    </row>
    <row r="559">
      <c r="A559" s="103" t="str">
        <f>IFERROR(__xludf.DUMMYFUNCTION("""COMPUTED_VALUE"""),"FLB5789")</f>
        <v>FLB5789</v>
      </c>
      <c r="B559" s="468">
        <f>IFERROR(__xludf.DUMMYFUNCTION("""COMPUTED_VALUE"""),44585.0)</f>
        <v>44585</v>
      </c>
      <c r="C559" s="469">
        <f>IFERROR(__xludf.DUMMYFUNCTION("""COMPUTED_VALUE"""),0.3087962962962963)</f>
        <v>0.3087962963</v>
      </c>
      <c r="D559" s="103" t="str">
        <f>IFERROR(__xludf.DUMMYFUNCTION("""COMPUTED_VALUE"""),"SpFLMP965392")</f>
        <v>SpFLMP965392</v>
      </c>
      <c r="E559" s="103"/>
      <c r="F559" s="103"/>
      <c r="G559" s="103" t="str">
        <f>IFERROR(__xludf.DUMMYFUNCTION("""COMPUTED_VALUE"""),"Negative")</f>
        <v>Negative</v>
      </c>
      <c r="H559" s="131" t="str">
        <f>IFERROR(__xludf.DUMMYFUNCTION("""COMPUTED_VALUE"""),"Negative")</f>
        <v>Negative</v>
      </c>
      <c r="I559" s="468">
        <f>IFERROR(__xludf.DUMMYFUNCTION("""COMPUTED_VALUE"""),44585.0)</f>
        <v>44585</v>
      </c>
      <c r="J559" s="470">
        <f>IFERROR(__xludf.DUMMYFUNCTION("""COMPUTED_VALUE"""),0.47305555555555556)</f>
        <v>0.4730555556</v>
      </c>
      <c r="K559" s="16"/>
      <c r="L559" s="8"/>
      <c r="M559" s="69"/>
      <c r="N559" s="69">
        <f>IFERROR(__xludf.DUMMYFUNCTION("""COMPUTED_VALUE"""),4.0)</f>
        <v>4</v>
      </c>
      <c r="O559" s="69" t="str">
        <f t="shared" si="3"/>
        <v/>
      </c>
      <c r="P559" s="471">
        <f>IFERROR(__xludf.DUMMYFUNCTION("""COMPUTED_VALUE"""),0.0)</f>
        <v>0</v>
      </c>
      <c r="Q559" s="274" t="str">
        <f>VLOOKUP($B559,'Run Reconcile'!B$2:O2488,14,FALSE)</f>
        <v/>
      </c>
      <c r="R559" s="472" t="str">
        <f t="array" ref="R559">IF($Q559, INDEX('Run Reconcile'!A$2:A2488,MATCH(B559,'Run Reconcile'!B$2:B2488,0),1),IFERROR(0/0,""))</f>
        <v/>
      </c>
      <c r="S559" s="473" t="str">
        <f t="shared" si="694"/>
        <v/>
      </c>
      <c r="T559" s="473" t="str">
        <f t="shared" si="698"/>
        <v/>
      </c>
      <c r="U559" s="275" t="str">
        <f t="array" ref="U559">IF(ISBLANK($R559), INDEX('Run Reconcile'!A$2:A2488, MATCH($B559, 'Run Reconcile'!B$2:B2488, 0)+Z559, 1), IFERROR(0/0,""))
</f>
        <v>RUN-FLMP_2022-01-24_RFR-072</v>
      </c>
      <c r="V559" s="474" t="str">
        <f t="shared" si="5"/>
        <v>RUN-FLMP_2022-01-24_RFR-072</v>
      </c>
      <c r="Y559" s="89" t="str">
        <f t="shared" si="867"/>
        <v/>
      </c>
      <c r="Z559" s="60" t="str">
        <f t="shared" si="7"/>
        <v/>
      </c>
      <c r="AA559" s="60" t="str">
        <f t="shared" si="8"/>
        <v/>
      </c>
      <c r="AB559" s="60" t="str">
        <f t="shared" si="9"/>
        <v/>
      </c>
      <c r="AC559" s="30" t="str">
        <f t="shared" ref="AC559:AD559" si="915">IF(_xlfn.ISFORMULA(S559),IFERROR(0/0,""),TRUE)</f>
        <v/>
      </c>
      <c r="AD559" s="30" t="str">
        <f t="shared" si="915"/>
        <v/>
      </c>
      <c r="AE559" s="475" t="str">
        <f>IFERROR(__xludf.DUMMYFUNCTION("""COMPUTED_VALUE"""),"CRLN")</f>
        <v>CRLN</v>
      </c>
      <c r="AF559" s="476"/>
      <c r="AG559" s="474" t="s">
        <v>168</v>
      </c>
      <c r="AH559" s="138" t="str">
        <f t="shared" si="11"/>
        <v/>
      </c>
    </row>
    <row r="560">
      <c r="A560" s="103" t="str">
        <f>IFERROR(__xludf.DUMMYFUNCTION("""COMPUTED_VALUE"""),"FLB5826")</f>
        <v>FLB5826</v>
      </c>
      <c r="B560" s="468">
        <f>IFERROR(__xludf.DUMMYFUNCTION("""COMPUTED_VALUE"""),44585.0)</f>
        <v>44585</v>
      </c>
      <c r="C560" s="469">
        <f>IFERROR(__xludf.DUMMYFUNCTION("""COMPUTED_VALUE"""),0.31592592592592594)</f>
        <v>0.3159259259</v>
      </c>
      <c r="D560" s="103" t="str">
        <f>IFERROR(__xludf.DUMMYFUNCTION("""COMPUTED_VALUE"""),"SpFLMP596479")</f>
        <v>SpFLMP596479</v>
      </c>
      <c r="E560" s="103"/>
      <c r="F560" s="103"/>
      <c r="G560" s="103" t="str">
        <f>IFERROR(__xludf.DUMMYFUNCTION("""COMPUTED_VALUE"""),"Negative")</f>
        <v>Negative</v>
      </c>
      <c r="H560" s="131" t="str">
        <f>IFERROR(__xludf.DUMMYFUNCTION("""COMPUTED_VALUE"""),"Negative")</f>
        <v>Negative</v>
      </c>
      <c r="I560" s="468">
        <f>IFERROR(__xludf.DUMMYFUNCTION("""COMPUTED_VALUE"""),44585.0)</f>
        <v>44585</v>
      </c>
      <c r="J560" s="470">
        <f>IFERROR(__xludf.DUMMYFUNCTION("""COMPUTED_VALUE"""),0.47305555555555556)</f>
        <v>0.4730555556</v>
      </c>
      <c r="K560" s="16"/>
      <c r="L560" s="8"/>
      <c r="M560" s="69"/>
      <c r="N560" s="69">
        <f>IFERROR(__xludf.DUMMYFUNCTION("""COMPUTED_VALUE"""),3.0)</f>
        <v>3</v>
      </c>
      <c r="O560" s="69" t="str">
        <f t="shared" si="3"/>
        <v/>
      </c>
      <c r="P560" s="471">
        <f>IFERROR(__xludf.DUMMYFUNCTION("""COMPUTED_VALUE"""),0.0)</f>
        <v>0</v>
      </c>
      <c r="Q560" s="274" t="str">
        <f>VLOOKUP($B560,'Run Reconcile'!B$2:O2488,14,FALSE)</f>
        <v/>
      </c>
      <c r="R560" s="472" t="str">
        <f t="array" ref="R560">IF($Q560, INDEX('Run Reconcile'!A$2:A2488,MATCH(B560,'Run Reconcile'!B$2:B2488,0),1),IFERROR(0/0,""))</f>
        <v/>
      </c>
      <c r="S560" s="473" t="str">
        <f t="shared" si="694"/>
        <v/>
      </c>
      <c r="T560" s="473" t="str">
        <f t="shared" si="698"/>
        <v/>
      </c>
      <c r="U560" s="275" t="str">
        <f t="array" ref="U560">IF(ISBLANK($R560), INDEX('Run Reconcile'!A$2:A2488, MATCH($B560, 'Run Reconcile'!B$2:B2488, 0)+Z560, 1), IFERROR(0/0,""))
</f>
        <v>RUN-FLMP_2022-01-24_RFR-072</v>
      </c>
      <c r="V560" s="474" t="str">
        <f t="shared" si="5"/>
        <v>RUN-FLMP_2022-01-24_RFR-072</v>
      </c>
      <c r="Y560" s="89" t="str">
        <f t="shared" si="867"/>
        <v/>
      </c>
      <c r="Z560" s="60" t="str">
        <f t="shared" si="7"/>
        <v/>
      </c>
      <c r="AA560" s="60" t="str">
        <f t="shared" si="8"/>
        <v/>
      </c>
      <c r="AB560" s="60" t="str">
        <f t="shared" si="9"/>
        <v/>
      </c>
      <c r="AC560" s="30" t="str">
        <f t="shared" ref="AC560:AD560" si="916">IF(_xlfn.ISFORMULA(S560),IFERROR(0/0,""),TRUE)</f>
        <v/>
      </c>
      <c r="AD560" s="30" t="str">
        <f t="shared" si="916"/>
        <v/>
      </c>
      <c r="AE560" s="475" t="str">
        <f>IFERROR(__xludf.DUMMYFUNCTION("""COMPUTED_VALUE"""),"CRLN")</f>
        <v>CRLN</v>
      </c>
      <c r="AF560" s="476"/>
      <c r="AG560" s="474" t="s">
        <v>168</v>
      </c>
      <c r="AH560" s="138" t="str">
        <f t="shared" si="11"/>
        <v/>
      </c>
    </row>
    <row r="561">
      <c r="A561" s="103" t="str">
        <f>IFERROR(__xludf.DUMMYFUNCTION("""COMPUTED_VALUE"""),"FLE876")</f>
        <v>FLE876</v>
      </c>
      <c r="B561" s="468">
        <f>IFERROR(__xludf.DUMMYFUNCTION("""COMPUTED_VALUE"""),44585.0)</f>
        <v>44585</v>
      </c>
      <c r="C561" s="469">
        <f>IFERROR(__xludf.DUMMYFUNCTION("""COMPUTED_VALUE"""),0.3211574074074074)</f>
        <v>0.3211574074</v>
      </c>
      <c r="D561" s="103" t="str">
        <f>IFERROR(__xludf.DUMMYFUNCTION("""COMPUTED_VALUE"""),"SpFLMP259015")</f>
        <v>SpFLMP259015</v>
      </c>
      <c r="E561" s="103"/>
      <c r="F561" s="103"/>
      <c r="G561" s="103" t="str">
        <f>IFERROR(__xludf.DUMMYFUNCTION("""COMPUTED_VALUE"""),"Negative")</f>
        <v>Negative</v>
      </c>
      <c r="H561" s="131" t="str">
        <f>IFERROR(__xludf.DUMMYFUNCTION("""COMPUTED_VALUE"""),"Negative")</f>
        <v>Negative</v>
      </c>
      <c r="I561" s="468">
        <f>IFERROR(__xludf.DUMMYFUNCTION("""COMPUTED_VALUE"""),44585.0)</f>
        <v>44585</v>
      </c>
      <c r="J561" s="470">
        <f>IFERROR(__xludf.DUMMYFUNCTION("""COMPUTED_VALUE"""),0.4843287037037037)</f>
        <v>0.4843287037</v>
      </c>
      <c r="K561" s="16"/>
      <c r="L561" s="8"/>
      <c r="M561" s="69"/>
      <c r="N561" s="69">
        <f>IFERROR(__xludf.DUMMYFUNCTION("""COMPUTED_VALUE"""),4.0)</f>
        <v>4</v>
      </c>
      <c r="O561" s="69" t="str">
        <f t="shared" si="3"/>
        <v/>
      </c>
      <c r="P561" s="471">
        <f>IFERROR(__xludf.DUMMYFUNCTION("""COMPUTED_VALUE"""),0.0)</f>
        <v>0</v>
      </c>
      <c r="Q561" s="274" t="str">
        <f>VLOOKUP($B561,'Run Reconcile'!B$2:O2488,14,FALSE)</f>
        <v/>
      </c>
      <c r="R561" s="472" t="str">
        <f t="array" ref="R561">IF($Q561, INDEX('Run Reconcile'!A$2:A2488,MATCH(B561,'Run Reconcile'!B$2:B2488,0),1),IFERROR(0/0,""))</f>
        <v/>
      </c>
      <c r="S561" s="473" t="str">
        <f t="shared" si="694"/>
        <v/>
      </c>
      <c r="T561" s="473" t="str">
        <f t="shared" si="698"/>
        <v/>
      </c>
      <c r="U561" s="275" t="str">
        <f t="array" ref="U561">IF(ISBLANK($R561), INDEX('Run Reconcile'!A$2:A2488, MATCH($B561, 'Run Reconcile'!B$2:B2488, 0)+Z561, 1), IFERROR(0/0,""))
</f>
        <v>RUN-FLMP_2022-01-24_RFR-072</v>
      </c>
      <c r="V561" s="474" t="str">
        <f t="shared" si="5"/>
        <v>RUN-FLMP_2022-01-24_RFR-072</v>
      </c>
      <c r="Y561" s="89" t="str">
        <f t="shared" si="867"/>
        <v/>
      </c>
      <c r="Z561" s="60" t="str">
        <f t="shared" si="7"/>
        <v/>
      </c>
      <c r="AA561" s="60" t="str">
        <f t="shared" si="8"/>
        <v/>
      </c>
      <c r="AB561" s="60" t="str">
        <f t="shared" si="9"/>
        <v/>
      </c>
      <c r="AC561" s="30" t="str">
        <f t="shared" ref="AC561:AD561" si="917">IF(_xlfn.ISFORMULA(S561),IFERROR(0/0,""),TRUE)</f>
        <v/>
      </c>
      <c r="AD561" s="30" t="str">
        <f t="shared" si="917"/>
        <v/>
      </c>
      <c r="AE561" s="475" t="str">
        <f>IFERROR(__xludf.DUMMYFUNCTION("""COMPUTED_VALUE"""),"CRLN")</f>
        <v>CRLN</v>
      </c>
      <c r="AF561" s="476"/>
      <c r="AG561" s="474" t="s">
        <v>168</v>
      </c>
      <c r="AH561" s="138" t="str">
        <f t="shared" si="11"/>
        <v/>
      </c>
    </row>
    <row r="562">
      <c r="A562" s="103" t="str">
        <f>IFERROR(__xludf.DUMMYFUNCTION("""COMPUTED_VALUE"""),"FLB7287")</f>
        <v>FLB7287</v>
      </c>
      <c r="B562" s="468">
        <f>IFERROR(__xludf.DUMMYFUNCTION("""COMPUTED_VALUE"""),44585.0)</f>
        <v>44585</v>
      </c>
      <c r="C562" s="469">
        <f>IFERROR(__xludf.DUMMYFUNCTION("""COMPUTED_VALUE"""),0.32186342592592593)</f>
        <v>0.3218634259</v>
      </c>
      <c r="D562" s="103" t="str">
        <f>IFERROR(__xludf.DUMMYFUNCTION("""COMPUTED_VALUE"""),"SpFLMP273885")</f>
        <v>SpFLMP273885</v>
      </c>
      <c r="E562" s="103"/>
      <c r="F562" s="103"/>
      <c r="G562" s="103" t="str">
        <f>IFERROR(__xludf.DUMMYFUNCTION("""COMPUTED_VALUE"""),"Negative")</f>
        <v>Negative</v>
      </c>
      <c r="H562" s="131" t="str">
        <f>IFERROR(__xludf.DUMMYFUNCTION("""COMPUTED_VALUE"""),"Negative")</f>
        <v>Negative</v>
      </c>
      <c r="I562" s="468">
        <f>IFERROR(__xludf.DUMMYFUNCTION("""COMPUTED_VALUE"""),44585.0)</f>
        <v>44585</v>
      </c>
      <c r="J562" s="470">
        <f>IFERROR(__xludf.DUMMYFUNCTION("""COMPUTED_VALUE"""),0.47305555555555556)</f>
        <v>0.4730555556</v>
      </c>
      <c r="K562" s="16"/>
      <c r="L562" s="8"/>
      <c r="M562" s="69"/>
      <c r="N562" s="69">
        <f>IFERROR(__xludf.DUMMYFUNCTION("""COMPUTED_VALUE"""),4.0)</f>
        <v>4</v>
      </c>
      <c r="O562" s="69" t="str">
        <f t="shared" si="3"/>
        <v/>
      </c>
      <c r="P562" s="471">
        <f>IFERROR(__xludf.DUMMYFUNCTION("""COMPUTED_VALUE"""),0.0)</f>
        <v>0</v>
      </c>
      <c r="Q562" s="274" t="str">
        <f>VLOOKUP($B562,'Run Reconcile'!B$2:O2488,14,FALSE)</f>
        <v/>
      </c>
      <c r="R562" s="472" t="str">
        <f t="array" ref="R562">IF($Q562, INDEX('Run Reconcile'!A$2:A2488,MATCH(B562,'Run Reconcile'!B$2:B2488,0),1),IFERROR(0/0,""))</f>
        <v/>
      </c>
      <c r="S562" s="473" t="str">
        <f t="shared" si="694"/>
        <v/>
      </c>
      <c r="T562" s="473" t="str">
        <f t="shared" si="698"/>
        <v/>
      </c>
      <c r="U562" s="275" t="str">
        <f t="array" ref="U562">IF(ISBLANK($R562), INDEX('Run Reconcile'!A$2:A2488, MATCH($B562, 'Run Reconcile'!B$2:B2488, 0)+Z562, 1), IFERROR(0/0,""))
</f>
        <v>RUN-FLMP_2022-01-24_RFR-072</v>
      </c>
      <c r="V562" s="474" t="str">
        <f t="shared" si="5"/>
        <v>RUN-FLMP_2022-01-24_RFR-072</v>
      </c>
      <c r="Y562" s="89" t="str">
        <f t="shared" si="867"/>
        <v/>
      </c>
      <c r="Z562" s="60" t="str">
        <f t="shared" si="7"/>
        <v/>
      </c>
      <c r="AA562" s="60" t="str">
        <f t="shared" si="8"/>
        <v/>
      </c>
      <c r="AB562" s="60" t="str">
        <f t="shared" si="9"/>
        <v/>
      </c>
      <c r="AC562" s="30" t="str">
        <f t="shared" ref="AC562:AD562" si="918">IF(_xlfn.ISFORMULA(S562),IFERROR(0/0,""),TRUE)</f>
        <v/>
      </c>
      <c r="AD562" s="30" t="str">
        <f t="shared" si="918"/>
        <v/>
      </c>
      <c r="AE562" s="475" t="str">
        <f>IFERROR(__xludf.DUMMYFUNCTION("""COMPUTED_VALUE"""),"CRLN")</f>
        <v>CRLN</v>
      </c>
      <c r="AF562" s="476"/>
      <c r="AG562" s="474" t="s">
        <v>168</v>
      </c>
      <c r="AH562" s="138" t="str">
        <f t="shared" si="11"/>
        <v/>
      </c>
    </row>
    <row r="563">
      <c r="A563" s="103" t="str">
        <f>IFERROR(__xludf.DUMMYFUNCTION("""COMPUTED_VALUE"""),"FLB5892")</f>
        <v>FLB5892</v>
      </c>
      <c r="B563" s="468">
        <f>IFERROR(__xludf.DUMMYFUNCTION("""COMPUTED_VALUE"""),44585.0)</f>
        <v>44585</v>
      </c>
      <c r="C563" s="469">
        <f>IFERROR(__xludf.DUMMYFUNCTION("""COMPUTED_VALUE"""),0.32307870370370373)</f>
        <v>0.3230787037</v>
      </c>
      <c r="D563" s="103" t="str">
        <f>IFERROR(__xludf.DUMMYFUNCTION("""COMPUTED_VALUE"""),"SpFLMP904576")</f>
        <v>SpFLMP904576</v>
      </c>
      <c r="E563" s="103"/>
      <c r="F563" s="103"/>
      <c r="G563" s="103" t="str">
        <f>IFERROR(__xludf.DUMMYFUNCTION("""COMPUTED_VALUE"""),"Negative")</f>
        <v>Negative</v>
      </c>
      <c r="H563" s="131" t="str">
        <f>IFERROR(__xludf.DUMMYFUNCTION("""COMPUTED_VALUE"""),"Negative")</f>
        <v>Negative</v>
      </c>
      <c r="I563" s="468">
        <f>IFERROR(__xludf.DUMMYFUNCTION("""COMPUTED_VALUE"""),44585.0)</f>
        <v>44585</v>
      </c>
      <c r="J563" s="470">
        <f>IFERROR(__xludf.DUMMYFUNCTION("""COMPUTED_VALUE"""),0.4843287037037037)</f>
        <v>0.4843287037</v>
      </c>
      <c r="K563" s="16"/>
      <c r="L563" s="8"/>
      <c r="M563" s="69"/>
      <c r="N563" s="69">
        <f>IFERROR(__xludf.DUMMYFUNCTION("""COMPUTED_VALUE"""),3.0)</f>
        <v>3</v>
      </c>
      <c r="O563" s="69" t="str">
        <f t="shared" si="3"/>
        <v/>
      </c>
      <c r="P563" s="471">
        <f>IFERROR(__xludf.DUMMYFUNCTION("""COMPUTED_VALUE"""),0.0)</f>
        <v>0</v>
      </c>
      <c r="Q563" s="274" t="str">
        <f>VLOOKUP($B563,'Run Reconcile'!B$2:O2488,14,FALSE)</f>
        <v/>
      </c>
      <c r="R563" s="472" t="str">
        <f t="array" ref="R563">IF($Q563, INDEX('Run Reconcile'!A$2:A2488,MATCH(B563,'Run Reconcile'!B$2:B2488,0),1),IFERROR(0/0,""))</f>
        <v/>
      </c>
      <c r="S563" s="473" t="str">
        <f t="shared" si="694"/>
        <v/>
      </c>
      <c r="T563" s="473" t="str">
        <f t="shared" si="698"/>
        <v/>
      </c>
      <c r="U563" s="275" t="str">
        <f t="array" ref="U563">IF(ISBLANK($R563), INDEX('Run Reconcile'!A$2:A2488, MATCH($B563, 'Run Reconcile'!B$2:B2488, 0)+Z563, 1), IFERROR(0/0,""))
</f>
        <v>RUN-FLMP_2022-01-24_RFR-072</v>
      </c>
      <c r="V563" s="474" t="str">
        <f t="shared" si="5"/>
        <v>RUN-FLMP_2022-01-24_RFR-072</v>
      </c>
      <c r="Y563" s="89" t="str">
        <f t="shared" si="867"/>
        <v/>
      </c>
      <c r="Z563" s="60" t="str">
        <f t="shared" si="7"/>
        <v/>
      </c>
      <c r="AA563" s="60" t="str">
        <f t="shared" si="8"/>
        <v/>
      </c>
      <c r="AB563" s="60" t="str">
        <f t="shared" si="9"/>
        <v/>
      </c>
      <c r="AC563" s="30" t="str">
        <f t="shared" ref="AC563:AD563" si="919">IF(_xlfn.ISFORMULA(S563),IFERROR(0/0,""),TRUE)</f>
        <v/>
      </c>
      <c r="AD563" s="30" t="str">
        <f t="shared" si="919"/>
        <v/>
      </c>
      <c r="AE563" s="475" t="str">
        <f>IFERROR(__xludf.DUMMYFUNCTION("""COMPUTED_VALUE"""),"CRLN")</f>
        <v>CRLN</v>
      </c>
      <c r="AF563" s="476"/>
      <c r="AG563" s="474" t="s">
        <v>168</v>
      </c>
      <c r="AH563" s="138" t="str">
        <f t="shared" si="11"/>
        <v/>
      </c>
    </row>
    <row r="564">
      <c r="A564" s="103" t="str">
        <f>IFERROR(__xludf.DUMMYFUNCTION("""COMPUTED_VALUE"""),"FLT1158")</f>
        <v>FLT1158</v>
      </c>
      <c r="B564" s="468">
        <f>IFERROR(__xludf.DUMMYFUNCTION("""COMPUTED_VALUE"""),44585.0)</f>
        <v>44585</v>
      </c>
      <c r="C564" s="469">
        <f>IFERROR(__xludf.DUMMYFUNCTION("""COMPUTED_VALUE"""),0.3280324074074074)</f>
        <v>0.3280324074</v>
      </c>
      <c r="D564" s="103" t="str">
        <f>IFERROR(__xludf.DUMMYFUNCTION("""COMPUTED_VALUE"""),"SpFLMP544731")</f>
        <v>SpFLMP544731</v>
      </c>
      <c r="E564" s="103"/>
      <c r="F564" s="103"/>
      <c r="G564" s="103" t="str">
        <f>IFERROR(__xludf.DUMMYFUNCTION("""COMPUTED_VALUE"""),"Negative")</f>
        <v>Negative</v>
      </c>
      <c r="H564" s="131" t="str">
        <f>IFERROR(__xludf.DUMMYFUNCTION("""COMPUTED_VALUE"""),"Negative")</f>
        <v>Negative</v>
      </c>
      <c r="I564" s="468">
        <f>IFERROR(__xludf.DUMMYFUNCTION("""COMPUTED_VALUE"""),44585.0)</f>
        <v>44585</v>
      </c>
      <c r="J564" s="470">
        <f>IFERROR(__xludf.DUMMYFUNCTION("""COMPUTED_VALUE"""),0.47305555555555556)</f>
        <v>0.4730555556</v>
      </c>
      <c r="K564" s="16"/>
      <c r="L564" s="8"/>
      <c r="M564" s="69"/>
      <c r="N564" s="69">
        <f>IFERROR(__xludf.DUMMYFUNCTION("""COMPUTED_VALUE"""),1.0)</f>
        <v>1</v>
      </c>
      <c r="O564" s="69" t="str">
        <f t="shared" si="3"/>
        <v/>
      </c>
      <c r="P564" s="471">
        <f>IFERROR(__xludf.DUMMYFUNCTION("""COMPUTED_VALUE"""),0.0)</f>
        <v>0</v>
      </c>
      <c r="Q564" s="274" t="str">
        <f>VLOOKUP($B564,'Run Reconcile'!B$2:O2488,14,FALSE)</f>
        <v/>
      </c>
      <c r="R564" s="472" t="str">
        <f t="array" ref="R564">IF($Q564, INDEX('Run Reconcile'!A$2:A2488,MATCH(B564,'Run Reconcile'!B$2:B2488,0),1),IFERROR(0/0,""))</f>
        <v/>
      </c>
      <c r="S564" s="473" t="str">
        <f t="shared" si="694"/>
        <v/>
      </c>
      <c r="T564" s="473" t="str">
        <f t="shared" si="698"/>
        <v/>
      </c>
      <c r="U564" s="275" t="str">
        <f t="array" ref="U564">IF(ISBLANK($R564), INDEX('Run Reconcile'!A$2:A2488, MATCH($B564, 'Run Reconcile'!B$2:B2488, 0)+Z564, 1), IFERROR(0/0,""))
</f>
        <v>RUN-FLMP_2022-01-24_RFR-072</v>
      </c>
      <c r="V564" s="474" t="str">
        <f t="shared" si="5"/>
        <v>RUN-FLMP_2022-01-24_RFR-072</v>
      </c>
      <c r="Y564" s="89" t="str">
        <f t="shared" si="867"/>
        <v/>
      </c>
      <c r="Z564" s="60" t="str">
        <f t="shared" si="7"/>
        <v/>
      </c>
      <c r="AA564" s="60" t="str">
        <f t="shared" si="8"/>
        <v/>
      </c>
      <c r="AB564" s="60" t="str">
        <f t="shared" si="9"/>
        <v/>
      </c>
      <c r="AC564" s="30" t="str">
        <f t="shared" ref="AC564:AD564" si="920">IF(_xlfn.ISFORMULA(S564),IFERROR(0/0,""),TRUE)</f>
        <v/>
      </c>
      <c r="AD564" s="30" t="str">
        <f t="shared" si="920"/>
        <v/>
      </c>
      <c r="AE564" s="475" t="str">
        <f>IFERROR(__xludf.DUMMYFUNCTION("""COMPUTED_VALUE"""),"CRLN")</f>
        <v>CRLN</v>
      </c>
      <c r="AF564" s="476"/>
      <c r="AG564" s="474" t="s">
        <v>168</v>
      </c>
      <c r="AH564" s="138" t="str">
        <f t="shared" si="11"/>
        <v/>
      </c>
    </row>
    <row r="565">
      <c r="A565" s="103" t="str">
        <f>IFERROR(__xludf.DUMMYFUNCTION("""COMPUTED_VALUE"""),"FLB5768")</f>
        <v>FLB5768</v>
      </c>
      <c r="B565" s="468">
        <f>IFERROR(__xludf.DUMMYFUNCTION("""COMPUTED_VALUE"""),44585.0)</f>
        <v>44585</v>
      </c>
      <c r="C565" s="469">
        <f>IFERROR(__xludf.DUMMYFUNCTION("""COMPUTED_VALUE"""),0.3288773148148148)</f>
        <v>0.3288773148</v>
      </c>
      <c r="D565" s="103" t="str">
        <f>IFERROR(__xludf.DUMMYFUNCTION("""COMPUTED_VALUE"""),"SpFLMP309785")</f>
        <v>SpFLMP309785</v>
      </c>
      <c r="E565" s="103"/>
      <c r="F565" s="103"/>
      <c r="G565" s="103" t="str">
        <f>IFERROR(__xludf.DUMMYFUNCTION("""COMPUTED_VALUE"""),"Negative")</f>
        <v>Negative</v>
      </c>
      <c r="H565" s="131" t="str">
        <f>IFERROR(__xludf.DUMMYFUNCTION("""COMPUTED_VALUE"""),"Negative")</f>
        <v>Negative</v>
      </c>
      <c r="I565" s="468">
        <f>IFERROR(__xludf.DUMMYFUNCTION("""COMPUTED_VALUE"""),44585.0)</f>
        <v>44585</v>
      </c>
      <c r="J565" s="470">
        <f>IFERROR(__xludf.DUMMYFUNCTION("""COMPUTED_VALUE"""),0.47305555555555556)</f>
        <v>0.4730555556</v>
      </c>
      <c r="K565" s="16"/>
      <c r="L565" s="8"/>
      <c r="M565" s="69"/>
      <c r="N565" s="69">
        <f>IFERROR(__xludf.DUMMYFUNCTION("""COMPUTED_VALUE"""),4.0)</f>
        <v>4</v>
      </c>
      <c r="O565" s="69" t="str">
        <f t="shared" si="3"/>
        <v/>
      </c>
      <c r="P565" s="471">
        <f>IFERROR(__xludf.DUMMYFUNCTION("""COMPUTED_VALUE"""),0.0)</f>
        <v>0</v>
      </c>
      <c r="Q565" s="274" t="str">
        <f>VLOOKUP($B565,'Run Reconcile'!B$2:O2488,14,FALSE)</f>
        <v/>
      </c>
      <c r="R565" s="472" t="str">
        <f t="array" ref="R565">IF($Q565, INDEX('Run Reconcile'!A$2:A2488,MATCH(B565,'Run Reconcile'!B$2:B2488,0),1),IFERROR(0/0,""))</f>
        <v/>
      </c>
      <c r="S565" s="473" t="str">
        <f t="shared" si="694"/>
        <v/>
      </c>
      <c r="T565" s="473" t="str">
        <f t="shared" si="698"/>
        <v/>
      </c>
      <c r="U565" s="275" t="str">
        <f t="array" ref="U565">IF(ISBLANK($R565), INDEX('Run Reconcile'!A$2:A2488, MATCH($B565, 'Run Reconcile'!B$2:B2488, 0)+Z565, 1), IFERROR(0/0,""))
</f>
        <v>RUN-FLMP_2022-01-24_RFR-072</v>
      </c>
      <c r="V565" s="474" t="str">
        <f t="shared" si="5"/>
        <v>RUN-FLMP_2022-01-24_RFR-072</v>
      </c>
      <c r="Y565" s="89" t="str">
        <f t="shared" si="867"/>
        <v/>
      </c>
      <c r="Z565" s="60" t="str">
        <f t="shared" si="7"/>
        <v/>
      </c>
      <c r="AA565" s="60" t="str">
        <f t="shared" si="8"/>
        <v/>
      </c>
      <c r="AB565" s="60" t="str">
        <f t="shared" si="9"/>
        <v/>
      </c>
      <c r="AC565" s="30" t="str">
        <f t="shared" ref="AC565:AD565" si="921">IF(_xlfn.ISFORMULA(S565),IFERROR(0/0,""),TRUE)</f>
        <v/>
      </c>
      <c r="AD565" s="30" t="str">
        <f t="shared" si="921"/>
        <v/>
      </c>
      <c r="AE565" s="475" t="str">
        <f>IFERROR(__xludf.DUMMYFUNCTION("""COMPUTED_VALUE"""),"CRLN")</f>
        <v>CRLN</v>
      </c>
      <c r="AF565" s="476"/>
      <c r="AG565" s="474" t="s">
        <v>168</v>
      </c>
      <c r="AH565" s="138" t="str">
        <f t="shared" si="11"/>
        <v/>
      </c>
    </row>
    <row r="566">
      <c r="A566" s="103" t="str">
        <f>IFERROR(__xludf.DUMMYFUNCTION("""COMPUTED_VALUE"""),"FLE947")</f>
        <v>FLE947</v>
      </c>
      <c r="B566" s="468">
        <f>IFERROR(__xludf.DUMMYFUNCTION("""COMPUTED_VALUE"""),44585.0)</f>
        <v>44585</v>
      </c>
      <c r="C566" s="469">
        <f>IFERROR(__xludf.DUMMYFUNCTION("""COMPUTED_VALUE"""),0.32936342592592593)</f>
        <v>0.3293634259</v>
      </c>
      <c r="D566" s="103" t="str">
        <f>IFERROR(__xludf.DUMMYFUNCTION("""COMPUTED_VALUE"""),"SpFLMP939619")</f>
        <v>SpFLMP939619</v>
      </c>
      <c r="E566" s="103"/>
      <c r="F566" s="103"/>
      <c r="G566" s="103" t="str">
        <f>IFERROR(__xludf.DUMMYFUNCTION("""COMPUTED_VALUE"""),"Negative")</f>
        <v>Negative</v>
      </c>
      <c r="H566" s="131" t="str">
        <f>IFERROR(__xludf.DUMMYFUNCTION("""COMPUTED_VALUE"""),"Negative")</f>
        <v>Negative</v>
      </c>
      <c r="I566" s="468">
        <f>IFERROR(__xludf.DUMMYFUNCTION("""COMPUTED_VALUE"""),44585.0)</f>
        <v>44585</v>
      </c>
      <c r="J566" s="470">
        <f>IFERROR(__xludf.DUMMYFUNCTION("""COMPUTED_VALUE"""),0.48431712962962964)</f>
        <v>0.4843171296</v>
      </c>
      <c r="K566" s="16"/>
      <c r="L566" s="8"/>
      <c r="M566" s="69"/>
      <c r="N566" s="69">
        <f>IFERROR(__xludf.DUMMYFUNCTION("""COMPUTED_VALUE"""),1.0)</f>
        <v>1</v>
      </c>
      <c r="O566" s="69" t="str">
        <f t="shared" si="3"/>
        <v/>
      </c>
      <c r="P566" s="471">
        <f>IFERROR(__xludf.DUMMYFUNCTION("""COMPUTED_VALUE"""),0.0)</f>
        <v>0</v>
      </c>
      <c r="Q566" s="274" t="str">
        <f>VLOOKUP($B566,'Run Reconcile'!B$2:O2488,14,FALSE)</f>
        <v/>
      </c>
      <c r="R566" s="472" t="str">
        <f t="array" ref="R566">IF($Q566, INDEX('Run Reconcile'!A$2:A2488,MATCH(B566,'Run Reconcile'!B$2:B2488,0),1),IFERROR(0/0,""))</f>
        <v/>
      </c>
      <c r="S566" s="473" t="str">
        <f t="shared" si="694"/>
        <v/>
      </c>
      <c r="T566" s="473" t="str">
        <f t="shared" si="698"/>
        <v/>
      </c>
      <c r="U566" s="275" t="str">
        <f t="array" ref="U566">IF(ISBLANK($R566), INDEX('Run Reconcile'!A$2:A2488, MATCH($B566, 'Run Reconcile'!B$2:B2488, 0)+Z566, 1), IFERROR(0/0,""))
</f>
        <v>RUN-FLMP_2022-01-24_RFR-072</v>
      </c>
      <c r="V566" s="474" t="str">
        <f t="shared" si="5"/>
        <v>RUN-FLMP_2022-01-24_RFR-072</v>
      </c>
      <c r="Y566" s="89" t="str">
        <f t="shared" si="867"/>
        <v/>
      </c>
      <c r="Z566" s="60" t="str">
        <f t="shared" si="7"/>
        <v/>
      </c>
      <c r="AA566" s="60" t="str">
        <f t="shared" si="8"/>
        <v/>
      </c>
      <c r="AB566" s="60" t="str">
        <f t="shared" si="9"/>
        <v/>
      </c>
      <c r="AC566" s="30" t="str">
        <f t="shared" ref="AC566:AD566" si="922">IF(_xlfn.ISFORMULA(S566),IFERROR(0/0,""),TRUE)</f>
        <v/>
      </c>
      <c r="AD566" s="30" t="str">
        <f t="shared" si="922"/>
        <v/>
      </c>
      <c r="AE566" s="475" t="str">
        <f>IFERROR(__xludf.DUMMYFUNCTION("""COMPUTED_VALUE"""),"CRLN")</f>
        <v>CRLN</v>
      </c>
      <c r="AF566" s="476"/>
      <c r="AG566" s="474" t="s">
        <v>168</v>
      </c>
      <c r="AH566" s="138" t="str">
        <f t="shared" si="11"/>
        <v/>
      </c>
    </row>
    <row r="567">
      <c r="A567" s="103" t="str">
        <f>IFERROR(__xludf.DUMMYFUNCTION("""COMPUTED_VALUE"""),"FLE968")</f>
        <v>FLE968</v>
      </c>
      <c r="B567" s="468">
        <f>IFERROR(__xludf.DUMMYFUNCTION("""COMPUTED_VALUE"""),44585.0)</f>
        <v>44585</v>
      </c>
      <c r="C567" s="469">
        <f>IFERROR(__xludf.DUMMYFUNCTION("""COMPUTED_VALUE"""),0.35086805555555556)</f>
        <v>0.3508680556</v>
      </c>
      <c r="D567" s="103" t="str">
        <f>IFERROR(__xludf.DUMMYFUNCTION("""COMPUTED_VALUE"""),"SpFLMP684798")</f>
        <v>SpFLMP684798</v>
      </c>
      <c r="E567" s="103"/>
      <c r="F567" s="103"/>
      <c r="G567" s="103" t="str">
        <f>IFERROR(__xludf.DUMMYFUNCTION("""COMPUTED_VALUE"""),"Negative")</f>
        <v>Negative</v>
      </c>
      <c r="H567" s="131" t="str">
        <f>IFERROR(__xludf.DUMMYFUNCTION("""COMPUTED_VALUE"""),"Negative")</f>
        <v>Negative</v>
      </c>
      <c r="I567" s="468">
        <f>IFERROR(__xludf.DUMMYFUNCTION("""COMPUTED_VALUE"""),44585.0)</f>
        <v>44585</v>
      </c>
      <c r="J567" s="470">
        <f>IFERROR(__xludf.DUMMYFUNCTION("""COMPUTED_VALUE"""),0.46550925925925923)</f>
        <v>0.4655092593</v>
      </c>
      <c r="K567" s="16"/>
      <c r="L567" s="8"/>
      <c r="M567" s="69"/>
      <c r="N567" s="69">
        <f>IFERROR(__xludf.DUMMYFUNCTION("""COMPUTED_VALUE"""),4.0)</f>
        <v>4</v>
      </c>
      <c r="O567" s="69" t="str">
        <f t="shared" si="3"/>
        <v/>
      </c>
      <c r="P567" s="471">
        <f>IFERROR(__xludf.DUMMYFUNCTION("""COMPUTED_VALUE"""),0.0)</f>
        <v>0</v>
      </c>
      <c r="Q567" s="274" t="str">
        <f>VLOOKUP($B567,'Run Reconcile'!B$2:O2488,14,FALSE)</f>
        <v/>
      </c>
      <c r="R567" s="472" t="str">
        <f t="array" ref="R567">IF($Q567, INDEX('Run Reconcile'!A$2:A2488,MATCH(B567,'Run Reconcile'!B$2:B2488,0),1),IFERROR(0/0,""))</f>
        <v/>
      </c>
      <c r="S567" s="473" t="str">
        <f t="shared" si="694"/>
        <v/>
      </c>
      <c r="T567" s="473" t="str">
        <f t="shared" si="698"/>
        <v/>
      </c>
      <c r="U567" s="275" t="str">
        <f t="array" ref="U567">IF(ISBLANK($R567), INDEX('Run Reconcile'!A$2:A2488, MATCH($B567, 'Run Reconcile'!B$2:B2488, 0)+Z567, 1), IFERROR(0/0,""))
</f>
        <v>RUN-FLMP_2022-01-24_RFR-072</v>
      </c>
      <c r="V567" s="474" t="str">
        <f t="shared" si="5"/>
        <v>RUN-FLMP_2022-01-24_RFR-072</v>
      </c>
      <c r="Y567" s="89" t="str">
        <f t="shared" si="867"/>
        <v/>
      </c>
      <c r="Z567" s="60" t="str">
        <f t="shared" si="7"/>
        <v/>
      </c>
      <c r="AA567" s="60" t="str">
        <f t="shared" si="8"/>
        <v/>
      </c>
      <c r="AB567" s="60" t="str">
        <f t="shared" si="9"/>
        <v/>
      </c>
      <c r="AC567" s="30" t="str">
        <f t="shared" ref="AC567:AD567" si="923">IF(_xlfn.ISFORMULA(S567),IFERROR(0/0,""),TRUE)</f>
        <v/>
      </c>
      <c r="AD567" s="30" t="str">
        <f t="shared" si="923"/>
        <v/>
      </c>
      <c r="AE567" s="475" t="str">
        <f>IFERROR(__xludf.DUMMYFUNCTION("""COMPUTED_VALUE"""),"CRLN")</f>
        <v>CRLN</v>
      </c>
      <c r="AF567" s="476"/>
      <c r="AG567" s="474" t="s">
        <v>168</v>
      </c>
      <c r="AH567" s="138" t="str">
        <f t="shared" si="11"/>
        <v/>
      </c>
    </row>
    <row r="568">
      <c r="A568" s="103" t="str">
        <f>IFERROR(__xludf.DUMMYFUNCTION("""COMPUTED_VALUE"""),"FLB5392")</f>
        <v>FLB5392</v>
      </c>
      <c r="B568" s="468">
        <f>IFERROR(__xludf.DUMMYFUNCTION("""COMPUTED_VALUE"""),44585.0)</f>
        <v>44585</v>
      </c>
      <c r="C568" s="469">
        <f>IFERROR(__xludf.DUMMYFUNCTION("""COMPUTED_VALUE"""),0.3523611111111111)</f>
        <v>0.3523611111</v>
      </c>
      <c r="D568" s="103" t="str">
        <f>IFERROR(__xludf.DUMMYFUNCTION("""COMPUTED_VALUE"""),"SpFLMP600756")</f>
        <v>SpFLMP600756</v>
      </c>
      <c r="E568" s="103"/>
      <c r="F568" s="103"/>
      <c r="G568" s="103" t="str">
        <f>IFERROR(__xludf.DUMMYFUNCTION("""COMPUTED_VALUE"""),"Negative")</f>
        <v>Negative</v>
      </c>
      <c r="H568" s="131" t="str">
        <f>IFERROR(__xludf.DUMMYFUNCTION("""COMPUTED_VALUE"""),"Negative")</f>
        <v>Negative</v>
      </c>
      <c r="I568" s="468">
        <f>IFERROR(__xludf.DUMMYFUNCTION("""COMPUTED_VALUE"""),44585.0)</f>
        <v>44585</v>
      </c>
      <c r="J568" s="470">
        <f>IFERROR(__xludf.DUMMYFUNCTION("""COMPUTED_VALUE"""),0.47021990740740743)</f>
        <v>0.4702199074</v>
      </c>
      <c r="K568" s="16"/>
      <c r="L568" s="8"/>
      <c r="M568" s="69"/>
      <c r="N568" s="69">
        <f>IFERROR(__xludf.DUMMYFUNCTION("""COMPUTED_VALUE"""),2.0)</f>
        <v>2</v>
      </c>
      <c r="O568" s="69" t="str">
        <f t="shared" si="3"/>
        <v/>
      </c>
      <c r="P568" s="471">
        <f>IFERROR(__xludf.DUMMYFUNCTION("""COMPUTED_VALUE"""),0.0)</f>
        <v>0</v>
      </c>
      <c r="Q568" s="274" t="str">
        <f>VLOOKUP($B568,'Run Reconcile'!B$2:O2488,14,FALSE)</f>
        <v/>
      </c>
      <c r="R568" s="472" t="str">
        <f t="array" ref="R568">IF($Q568, INDEX('Run Reconcile'!A$2:A2488,MATCH(B568,'Run Reconcile'!B$2:B2488,0),1),IFERROR(0/0,""))</f>
        <v/>
      </c>
      <c r="S568" s="473" t="str">
        <f t="shared" si="694"/>
        <v/>
      </c>
      <c r="T568" s="473" t="str">
        <f t="shared" si="698"/>
        <v/>
      </c>
      <c r="U568" s="275" t="str">
        <f t="array" ref="U568">IF(ISBLANK($R568), INDEX('Run Reconcile'!A$2:A2488, MATCH($B568, 'Run Reconcile'!B$2:B2488, 0)+Z568, 1), IFERROR(0/0,""))
</f>
        <v>RUN-FLMP_2022-01-24_RFR-072</v>
      </c>
      <c r="V568" s="474" t="str">
        <f t="shared" si="5"/>
        <v>RUN-FLMP_2022-01-24_RFR-072</v>
      </c>
      <c r="Y568" s="89" t="str">
        <f t="shared" si="867"/>
        <v/>
      </c>
      <c r="Z568" s="60" t="str">
        <f t="shared" si="7"/>
        <v/>
      </c>
      <c r="AA568" s="60" t="str">
        <f t="shared" si="8"/>
        <v/>
      </c>
      <c r="AB568" s="60" t="str">
        <f t="shared" si="9"/>
        <v/>
      </c>
      <c r="AC568" s="30" t="str">
        <f t="shared" ref="AC568:AD568" si="924">IF(_xlfn.ISFORMULA(S568),IFERROR(0/0,""),TRUE)</f>
        <v/>
      </c>
      <c r="AD568" s="30" t="str">
        <f t="shared" si="924"/>
        <v/>
      </c>
      <c r="AE568" s="475" t="str">
        <f>IFERROR(__xludf.DUMMYFUNCTION("""COMPUTED_VALUE"""),"CRLN")</f>
        <v>CRLN</v>
      </c>
      <c r="AF568" s="476"/>
      <c r="AG568" s="474" t="s">
        <v>168</v>
      </c>
      <c r="AH568" s="138" t="str">
        <f t="shared" si="11"/>
        <v/>
      </c>
    </row>
    <row r="569">
      <c r="A569" s="103" t="str">
        <f>IFERROR(__xludf.DUMMYFUNCTION("""COMPUTED_VALUE"""),"FLB7428")</f>
        <v>FLB7428</v>
      </c>
      <c r="B569" s="468">
        <f>IFERROR(__xludf.DUMMYFUNCTION("""COMPUTED_VALUE"""),44585.0)</f>
        <v>44585</v>
      </c>
      <c r="C569" s="469">
        <f>IFERROR(__xludf.DUMMYFUNCTION("""COMPUTED_VALUE"""),0.3568634259259259)</f>
        <v>0.3568634259</v>
      </c>
      <c r="D569" s="103" t="str">
        <f>IFERROR(__xludf.DUMMYFUNCTION("""COMPUTED_VALUE"""),"SpFLMP604497")</f>
        <v>SpFLMP604497</v>
      </c>
      <c r="E569" s="103"/>
      <c r="F569" s="103"/>
      <c r="G569" s="103" t="str">
        <f>IFERROR(__xludf.DUMMYFUNCTION("""COMPUTED_VALUE"""),"Negative")</f>
        <v>Negative</v>
      </c>
      <c r="H569" s="131" t="str">
        <f>IFERROR(__xludf.DUMMYFUNCTION("""COMPUTED_VALUE"""),"Negative")</f>
        <v>Negative</v>
      </c>
      <c r="I569" s="468">
        <f>IFERROR(__xludf.DUMMYFUNCTION("""COMPUTED_VALUE"""),44585.0)</f>
        <v>44585</v>
      </c>
      <c r="J569" s="470">
        <f>IFERROR(__xludf.DUMMYFUNCTION("""COMPUTED_VALUE"""),0.47021990740740743)</f>
        <v>0.4702199074</v>
      </c>
      <c r="K569" s="16"/>
      <c r="L569" s="8"/>
      <c r="M569" s="69"/>
      <c r="N569" s="69">
        <f>IFERROR(__xludf.DUMMYFUNCTION("""COMPUTED_VALUE"""),4.0)</f>
        <v>4</v>
      </c>
      <c r="O569" s="69" t="str">
        <f t="shared" si="3"/>
        <v/>
      </c>
      <c r="P569" s="471">
        <f>IFERROR(__xludf.DUMMYFUNCTION("""COMPUTED_VALUE"""),0.0)</f>
        <v>0</v>
      </c>
      <c r="Q569" s="274" t="str">
        <f>VLOOKUP($B569,'Run Reconcile'!B$2:O2488,14,FALSE)</f>
        <v/>
      </c>
      <c r="R569" s="472" t="str">
        <f t="array" ref="R569">IF($Q569, INDEX('Run Reconcile'!A$2:A2488,MATCH(B569,'Run Reconcile'!B$2:B2488,0),1),IFERROR(0/0,""))</f>
        <v/>
      </c>
      <c r="S569" s="473" t="str">
        <f t="shared" si="694"/>
        <v/>
      </c>
      <c r="T569" s="473" t="str">
        <f t="shared" si="698"/>
        <v/>
      </c>
      <c r="U569" s="275" t="str">
        <f t="array" ref="U569">IF(ISBLANK($R569), INDEX('Run Reconcile'!A$2:A2488, MATCH($B569, 'Run Reconcile'!B$2:B2488, 0)+Z569, 1), IFERROR(0/0,""))
</f>
        <v>RUN-FLMP_2022-01-24_RFR-072</v>
      </c>
      <c r="V569" s="474" t="str">
        <f t="shared" si="5"/>
        <v>RUN-FLMP_2022-01-24_RFR-072</v>
      </c>
      <c r="Y569" s="89" t="str">
        <f t="shared" si="867"/>
        <v/>
      </c>
      <c r="Z569" s="60" t="str">
        <f t="shared" si="7"/>
        <v/>
      </c>
      <c r="AA569" s="60" t="str">
        <f t="shared" si="8"/>
        <v/>
      </c>
      <c r="AB569" s="60" t="str">
        <f t="shared" si="9"/>
        <v/>
      </c>
      <c r="AC569" s="30" t="str">
        <f t="shared" ref="AC569:AD569" si="925">IF(_xlfn.ISFORMULA(S569),IFERROR(0/0,""),TRUE)</f>
        <v/>
      </c>
      <c r="AD569" s="30" t="str">
        <f t="shared" si="925"/>
        <v/>
      </c>
      <c r="AE569" s="475" t="str">
        <f>IFERROR(__xludf.DUMMYFUNCTION("""COMPUTED_VALUE"""),"CRLN")</f>
        <v>CRLN</v>
      </c>
      <c r="AF569" s="476"/>
      <c r="AG569" s="474" t="s">
        <v>168</v>
      </c>
      <c r="AH569" s="138" t="str">
        <f t="shared" si="11"/>
        <v/>
      </c>
    </row>
    <row r="570">
      <c r="A570" s="103" t="str">
        <f>IFERROR(__xludf.DUMMYFUNCTION("""COMPUTED_VALUE"""),"FLB7371")</f>
        <v>FLB7371</v>
      </c>
      <c r="B570" s="468">
        <f>IFERROR(__xludf.DUMMYFUNCTION("""COMPUTED_VALUE"""),44585.0)</f>
        <v>44585</v>
      </c>
      <c r="C570" s="469">
        <f>IFERROR(__xludf.DUMMYFUNCTION("""COMPUTED_VALUE"""),0.3575231481481482)</f>
        <v>0.3575231481</v>
      </c>
      <c r="D570" s="103" t="str">
        <f>IFERROR(__xludf.DUMMYFUNCTION("""COMPUTED_VALUE"""),"SpFLMP314549")</f>
        <v>SpFLMP314549</v>
      </c>
      <c r="E570" s="103"/>
      <c r="F570" s="103"/>
      <c r="G570" s="103" t="str">
        <f>IFERROR(__xludf.DUMMYFUNCTION("""COMPUTED_VALUE"""),"Negative")</f>
        <v>Negative</v>
      </c>
      <c r="H570" s="131" t="str">
        <f>IFERROR(__xludf.DUMMYFUNCTION("""COMPUTED_VALUE"""),"Negative")</f>
        <v>Negative</v>
      </c>
      <c r="I570" s="468">
        <f>IFERROR(__xludf.DUMMYFUNCTION("""COMPUTED_VALUE"""),44585.0)</f>
        <v>44585</v>
      </c>
      <c r="J570" s="470">
        <f>IFERROR(__xludf.DUMMYFUNCTION("""COMPUTED_VALUE"""),0.47305555555555556)</f>
        <v>0.4730555556</v>
      </c>
      <c r="K570" s="16"/>
      <c r="L570" s="8"/>
      <c r="M570" s="69"/>
      <c r="N570" s="69">
        <f>IFERROR(__xludf.DUMMYFUNCTION("""COMPUTED_VALUE"""),1.0)</f>
        <v>1</v>
      </c>
      <c r="O570" s="69" t="str">
        <f t="shared" si="3"/>
        <v/>
      </c>
      <c r="P570" s="471">
        <f>IFERROR(__xludf.DUMMYFUNCTION("""COMPUTED_VALUE"""),0.0)</f>
        <v>0</v>
      </c>
      <c r="Q570" s="274" t="str">
        <f>VLOOKUP($B570,'Run Reconcile'!B$2:O2488,14,FALSE)</f>
        <v/>
      </c>
      <c r="R570" s="472" t="str">
        <f t="array" ref="R570">IF($Q570, INDEX('Run Reconcile'!A$2:A2488,MATCH(B570,'Run Reconcile'!B$2:B2488,0),1),IFERROR(0/0,""))</f>
        <v/>
      </c>
      <c r="S570" s="473" t="str">
        <f t="shared" si="694"/>
        <v/>
      </c>
      <c r="T570" s="473" t="str">
        <f t="shared" si="698"/>
        <v/>
      </c>
      <c r="U570" s="275" t="str">
        <f t="array" ref="U570">IF(ISBLANK($R570), INDEX('Run Reconcile'!A$2:A2488, MATCH($B570, 'Run Reconcile'!B$2:B2488, 0)+Z570, 1), IFERROR(0/0,""))
</f>
        <v>RUN-FLMP_2022-01-24_RFR-072</v>
      </c>
      <c r="V570" s="474" t="str">
        <f t="shared" si="5"/>
        <v>RUN-FLMP_2022-01-24_RFR-072</v>
      </c>
      <c r="Y570" s="89" t="str">
        <f t="shared" si="867"/>
        <v/>
      </c>
      <c r="Z570" s="60" t="str">
        <f t="shared" si="7"/>
        <v/>
      </c>
      <c r="AA570" s="60" t="str">
        <f t="shared" si="8"/>
        <v/>
      </c>
      <c r="AB570" s="60" t="str">
        <f t="shared" si="9"/>
        <v/>
      </c>
      <c r="AC570" s="30" t="str">
        <f t="shared" ref="AC570:AD570" si="926">IF(_xlfn.ISFORMULA(S570),IFERROR(0/0,""),TRUE)</f>
        <v/>
      </c>
      <c r="AD570" s="30" t="str">
        <f t="shared" si="926"/>
        <v/>
      </c>
      <c r="AE570" s="475" t="str">
        <f>IFERROR(__xludf.DUMMYFUNCTION("""COMPUTED_VALUE"""),"CRLN")</f>
        <v>CRLN</v>
      </c>
      <c r="AF570" s="476"/>
      <c r="AG570" s="474" t="s">
        <v>168</v>
      </c>
      <c r="AH570" s="138" t="str">
        <f t="shared" si="11"/>
        <v/>
      </c>
    </row>
    <row r="571">
      <c r="A571" s="103" t="str">
        <f>IFERROR(__xludf.DUMMYFUNCTION("""COMPUTED_VALUE"""),"FLB5846")</f>
        <v>FLB5846</v>
      </c>
      <c r="B571" s="468">
        <f>IFERROR(__xludf.DUMMYFUNCTION("""COMPUTED_VALUE"""),44585.0)</f>
        <v>44585</v>
      </c>
      <c r="C571" s="469">
        <f>IFERROR(__xludf.DUMMYFUNCTION("""COMPUTED_VALUE"""),0.36368055555555556)</f>
        <v>0.3636805556</v>
      </c>
      <c r="D571" s="103" t="str">
        <f>IFERROR(__xludf.DUMMYFUNCTION("""COMPUTED_VALUE"""),"SpFLMP946259")</f>
        <v>SpFLMP946259</v>
      </c>
      <c r="E571" s="103"/>
      <c r="F571" s="103"/>
      <c r="G571" s="103" t="str">
        <f>IFERROR(__xludf.DUMMYFUNCTION("""COMPUTED_VALUE"""),"Negative")</f>
        <v>Negative</v>
      </c>
      <c r="H571" s="131" t="str">
        <f>IFERROR(__xludf.DUMMYFUNCTION("""COMPUTED_VALUE"""),"Negative")</f>
        <v>Negative</v>
      </c>
      <c r="I571" s="468">
        <f>IFERROR(__xludf.DUMMYFUNCTION("""COMPUTED_VALUE"""),44585.0)</f>
        <v>44585</v>
      </c>
      <c r="J571" s="470">
        <f>IFERROR(__xludf.DUMMYFUNCTION("""COMPUTED_VALUE"""),0.4668981481481482)</f>
        <v>0.4668981481</v>
      </c>
      <c r="K571" s="16"/>
      <c r="L571" s="8"/>
      <c r="M571" s="69"/>
      <c r="N571" s="69">
        <f>IFERROR(__xludf.DUMMYFUNCTION("""COMPUTED_VALUE"""),2.0)</f>
        <v>2</v>
      </c>
      <c r="O571" s="69" t="str">
        <f t="shared" si="3"/>
        <v/>
      </c>
      <c r="P571" s="471">
        <f>IFERROR(__xludf.DUMMYFUNCTION("""COMPUTED_VALUE"""),0.0)</f>
        <v>0</v>
      </c>
      <c r="Q571" s="274" t="str">
        <f>VLOOKUP($B571,'Run Reconcile'!B$2:O2488,14,FALSE)</f>
        <v/>
      </c>
      <c r="R571" s="472" t="str">
        <f t="array" ref="R571">IF($Q571, INDEX('Run Reconcile'!A$2:A2488,MATCH(B571,'Run Reconcile'!B$2:B2488,0),1),IFERROR(0/0,""))</f>
        <v/>
      </c>
      <c r="S571" s="473" t="str">
        <f t="shared" si="694"/>
        <v/>
      </c>
      <c r="T571" s="473" t="str">
        <f t="shared" si="698"/>
        <v/>
      </c>
      <c r="U571" s="275" t="str">
        <f t="array" ref="U571">IF(ISBLANK($R571), INDEX('Run Reconcile'!A$2:A2488, MATCH($B571, 'Run Reconcile'!B$2:B2488, 0)+Z571, 1), IFERROR(0/0,""))
</f>
        <v>RUN-FLMP_2022-01-24_RFR-072</v>
      </c>
      <c r="V571" s="474" t="str">
        <f t="shared" si="5"/>
        <v>RUN-FLMP_2022-01-24_RFR-072</v>
      </c>
      <c r="Y571" s="89" t="str">
        <f t="shared" si="867"/>
        <v/>
      </c>
      <c r="Z571" s="60" t="str">
        <f t="shared" si="7"/>
        <v/>
      </c>
      <c r="AA571" s="60" t="str">
        <f t="shared" si="8"/>
        <v/>
      </c>
      <c r="AB571" s="60" t="str">
        <f t="shared" si="9"/>
        <v/>
      </c>
      <c r="AC571" s="30" t="str">
        <f t="shared" ref="AC571:AD571" si="927">IF(_xlfn.ISFORMULA(S571),IFERROR(0/0,""),TRUE)</f>
        <v/>
      </c>
      <c r="AD571" s="30" t="str">
        <f t="shared" si="927"/>
        <v/>
      </c>
      <c r="AE571" s="475" t="str">
        <f>IFERROR(__xludf.DUMMYFUNCTION("""COMPUTED_VALUE"""),"CRLN")</f>
        <v>CRLN</v>
      </c>
      <c r="AF571" s="476"/>
      <c r="AG571" s="474" t="s">
        <v>168</v>
      </c>
      <c r="AH571" s="138" t="str">
        <f t="shared" si="11"/>
        <v/>
      </c>
    </row>
    <row r="572">
      <c r="A572" s="103" t="str">
        <f>IFERROR(__xludf.DUMMYFUNCTION("""COMPUTED_VALUE"""),"FLB7179")</f>
        <v>FLB7179</v>
      </c>
      <c r="B572" s="468">
        <f>IFERROR(__xludf.DUMMYFUNCTION("""COMPUTED_VALUE"""),44585.0)</f>
        <v>44585</v>
      </c>
      <c r="C572" s="469">
        <f>IFERROR(__xludf.DUMMYFUNCTION("""COMPUTED_VALUE"""),0.3704513888888889)</f>
        <v>0.3704513889</v>
      </c>
      <c r="D572" s="103" t="str">
        <f>IFERROR(__xludf.DUMMYFUNCTION("""COMPUTED_VALUE"""),"SpFLMP268514")</f>
        <v>SpFLMP268514</v>
      </c>
      <c r="E572" s="103"/>
      <c r="F572" s="103"/>
      <c r="G572" s="103" t="str">
        <f>IFERROR(__xludf.DUMMYFUNCTION("""COMPUTED_VALUE"""),"Negative")</f>
        <v>Negative</v>
      </c>
      <c r="H572" s="131" t="str">
        <f>IFERROR(__xludf.DUMMYFUNCTION("""COMPUTED_VALUE"""),"Negative")</f>
        <v>Negative</v>
      </c>
      <c r="I572" s="468">
        <f>IFERROR(__xludf.DUMMYFUNCTION("""COMPUTED_VALUE"""),44585.0)</f>
        <v>44585</v>
      </c>
      <c r="J572" s="470">
        <f>IFERROR(__xludf.DUMMYFUNCTION("""COMPUTED_VALUE"""),0.48431712962962964)</f>
        <v>0.4843171296</v>
      </c>
      <c r="K572" s="16"/>
      <c r="L572" s="8"/>
      <c r="M572" s="69"/>
      <c r="N572" s="69">
        <f>IFERROR(__xludf.DUMMYFUNCTION("""COMPUTED_VALUE"""),1.0)</f>
        <v>1</v>
      </c>
      <c r="O572" s="69" t="str">
        <f t="shared" si="3"/>
        <v/>
      </c>
      <c r="P572" s="471">
        <f>IFERROR(__xludf.DUMMYFUNCTION("""COMPUTED_VALUE"""),0.0)</f>
        <v>0</v>
      </c>
      <c r="Q572" s="274" t="str">
        <f>VLOOKUP($B572,'Run Reconcile'!B$2:O2488,14,FALSE)</f>
        <v/>
      </c>
      <c r="R572" s="472" t="str">
        <f t="array" ref="R572">IF($Q572, INDEX('Run Reconcile'!A$2:A2488,MATCH(B572,'Run Reconcile'!B$2:B2488,0),1),IFERROR(0/0,""))</f>
        <v/>
      </c>
      <c r="S572" s="473" t="str">
        <f t="shared" si="694"/>
        <v/>
      </c>
      <c r="T572" s="473" t="str">
        <f t="shared" si="698"/>
        <v/>
      </c>
      <c r="U572" s="275" t="str">
        <f t="array" ref="U572">IF(ISBLANK($R572), INDEX('Run Reconcile'!A$2:A2488, MATCH($B572, 'Run Reconcile'!B$2:B2488, 0)+Z572, 1), IFERROR(0/0,""))
</f>
        <v>RUN-FLMP_2022-01-24_RFR-072</v>
      </c>
      <c r="V572" s="474" t="str">
        <f t="shared" si="5"/>
        <v>RUN-FLMP_2022-01-24_RFR-072</v>
      </c>
      <c r="Y572" s="89" t="str">
        <f t="shared" si="867"/>
        <v/>
      </c>
      <c r="Z572" s="60" t="str">
        <f t="shared" si="7"/>
        <v/>
      </c>
      <c r="AA572" s="60" t="str">
        <f t="shared" si="8"/>
        <v/>
      </c>
      <c r="AB572" s="60" t="str">
        <f t="shared" si="9"/>
        <v/>
      </c>
      <c r="AC572" s="30" t="str">
        <f t="shared" ref="AC572:AD572" si="928">IF(_xlfn.ISFORMULA(S572),IFERROR(0/0,""),TRUE)</f>
        <v/>
      </c>
      <c r="AD572" s="30" t="str">
        <f t="shared" si="928"/>
        <v/>
      </c>
      <c r="AE572" s="475" t="str">
        <f>IFERROR(__xludf.DUMMYFUNCTION("""COMPUTED_VALUE"""),"CRLN")</f>
        <v>CRLN</v>
      </c>
      <c r="AF572" s="476"/>
      <c r="AG572" s="474" t="s">
        <v>168</v>
      </c>
      <c r="AH572" s="138" t="str">
        <f t="shared" si="11"/>
        <v/>
      </c>
    </row>
    <row r="573">
      <c r="A573" s="103" t="str">
        <f>IFERROR(__xludf.DUMMYFUNCTION("""COMPUTED_VALUE"""),"FLB7131")</f>
        <v>FLB7131</v>
      </c>
      <c r="B573" s="468">
        <f>IFERROR(__xludf.DUMMYFUNCTION("""COMPUTED_VALUE"""),44585.0)</f>
        <v>44585</v>
      </c>
      <c r="C573" s="469">
        <f>IFERROR(__xludf.DUMMYFUNCTION("""COMPUTED_VALUE"""),0.37049768518518517)</f>
        <v>0.3704976852</v>
      </c>
      <c r="D573" s="103" t="str">
        <f>IFERROR(__xludf.DUMMYFUNCTION("""COMPUTED_VALUE"""),"SpFLMP668449")</f>
        <v>SpFLMP668449</v>
      </c>
      <c r="E573" s="103"/>
      <c r="F573" s="103"/>
      <c r="G573" s="103" t="str">
        <f>IFERROR(__xludf.DUMMYFUNCTION("""COMPUTED_VALUE"""),"Negative")</f>
        <v>Negative</v>
      </c>
      <c r="H573" s="131" t="str">
        <f>IFERROR(__xludf.DUMMYFUNCTION("""COMPUTED_VALUE"""),"Negative")</f>
        <v>Negative</v>
      </c>
      <c r="I573" s="468">
        <f>IFERROR(__xludf.DUMMYFUNCTION("""COMPUTED_VALUE"""),44585.0)</f>
        <v>44585</v>
      </c>
      <c r="J573" s="470">
        <f>IFERROR(__xludf.DUMMYFUNCTION("""COMPUTED_VALUE"""),0.47021990740740743)</f>
        <v>0.4702199074</v>
      </c>
      <c r="K573" s="16"/>
      <c r="L573" s="8"/>
      <c r="M573" s="69"/>
      <c r="N573" s="69">
        <f>IFERROR(__xludf.DUMMYFUNCTION("""COMPUTED_VALUE"""),2.0)</f>
        <v>2</v>
      </c>
      <c r="O573" s="69" t="str">
        <f t="shared" si="3"/>
        <v/>
      </c>
      <c r="P573" s="471">
        <f>IFERROR(__xludf.DUMMYFUNCTION("""COMPUTED_VALUE"""),0.0)</f>
        <v>0</v>
      </c>
      <c r="Q573" s="274" t="str">
        <f>VLOOKUP($B573,'Run Reconcile'!B$2:O2488,14,FALSE)</f>
        <v/>
      </c>
      <c r="R573" s="472" t="str">
        <f t="array" ref="R573">IF($Q573, INDEX('Run Reconcile'!A$2:A2488,MATCH(B573,'Run Reconcile'!B$2:B2488,0),1),IFERROR(0/0,""))</f>
        <v/>
      </c>
      <c r="S573" s="473" t="str">
        <f t="shared" si="694"/>
        <v/>
      </c>
      <c r="T573" s="473" t="str">
        <f t="shared" si="698"/>
        <v/>
      </c>
      <c r="U573" s="275" t="str">
        <f t="array" ref="U573">IF(ISBLANK($R573), INDEX('Run Reconcile'!A$2:A2488, MATCH($B573, 'Run Reconcile'!B$2:B2488, 0)+Z573, 1), IFERROR(0/0,""))
</f>
        <v>RUN-FLMP_2022-01-24_RFR-072</v>
      </c>
      <c r="V573" s="474" t="str">
        <f t="shared" si="5"/>
        <v>RUN-FLMP_2022-01-24_RFR-072</v>
      </c>
      <c r="Y573" s="89" t="str">
        <f t="shared" si="867"/>
        <v/>
      </c>
      <c r="Z573" s="60" t="str">
        <f t="shared" si="7"/>
        <v/>
      </c>
      <c r="AA573" s="60" t="str">
        <f t="shared" si="8"/>
        <v/>
      </c>
      <c r="AB573" s="60" t="str">
        <f t="shared" si="9"/>
        <v/>
      </c>
      <c r="AC573" s="30" t="str">
        <f t="shared" ref="AC573:AD573" si="929">IF(_xlfn.ISFORMULA(S573),IFERROR(0/0,""),TRUE)</f>
        <v/>
      </c>
      <c r="AD573" s="30" t="str">
        <f t="shared" si="929"/>
        <v/>
      </c>
      <c r="AE573" s="475" t="str">
        <f>IFERROR(__xludf.DUMMYFUNCTION("""COMPUTED_VALUE"""),"CRLN")</f>
        <v>CRLN</v>
      </c>
      <c r="AF573" s="476"/>
      <c r="AG573" s="474" t="s">
        <v>168</v>
      </c>
      <c r="AH573" s="138" t="str">
        <f t="shared" si="11"/>
        <v/>
      </c>
    </row>
    <row r="574">
      <c r="A574" s="477" t="str">
        <f>IFERROR(__xludf.DUMMYFUNCTION("""COMPUTED_VALUE"""),"FLB5807")</f>
        <v>FLB5807</v>
      </c>
      <c r="B574" s="478">
        <f>IFERROR(__xludf.DUMMYFUNCTION("""COMPUTED_VALUE"""),44586.0)</f>
        <v>44586</v>
      </c>
      <c r="C574" s="479">
        <f>IFERROR(__xludf.DUMMYFUNCTION("""COMPUTED_VALUE"""),0.3150925925925926)</f>
        <v>0.3150925926</v>
      </c>
      <c r="D574" s="477" t="str">
        <f>IFERROR(__xludf.DUMMYFUNCTION("""COMPUTED_VALUE"""),"SpFLMP777132")</f>
        <v>SpFLMP777132</v>
      </c>
      <c r="E574" s="477"/>
      <c r="F574" s="477"/>
      <c r="G574" s="477" t="str">
        <f>IFERROR(__xludf.DUMMYFUNCTION("""COMPUTED_VALUE"""),"Negative")</f>
        <v>Negative</v>
      </c>
      <c r="H574" s="480" t="str">
        <f>IFERROR(__xludf.DUMMYFUNCTION("""COMPUTED_VALUE"""),"Negative")</f>
        <v>Negative</v>
      </c>
      <c r="I574" s="478">
        <f>IFERROR(__xludf.DUMMYFUNCTION("""COMPUTED_VALUE"""),44586.0)</f>
        <v>44586</v>
      </c>
      <c r="J574" s="481">
        <f>IFERROR(__xludf.DUMMYFUNCTION("""COMPUTED_VALUE"""),0.3930092592592593)</f>
        <v>0.3930092593</v>
      </c>
      <c r="K574" s="156"/>
      <c r="L574" s="19"/>
      <c r="M574" s="482"/>
      <c r="N574" s="482">
        <f>IFERROR(__xludf.DUMMYFUNCTION("""COMPUTED_VALUE"""),1.0)</f>
        <v>1</v>
      </c>
      <c r="O574" s="482" t="b">
        <f t="shared" si="3"/>
        <v>1</v>
      </c>
      <c r="P574" s="483">
        <f>IFERROR(__xludf.DUMMYFUNCTION("""COMPUTED_VALUE"""),0.0)</f>
        <v>0</v>
      </c>
      <c r="Q574" s="352" t="str">
        <f>VLOOKUP($B574,'Run Reconcile'!B$2:O2488,14,FALSE)</f>
        <v/>
      </c>
      <c r="R574" s="484" t="str">
        <f t="array" ref="R574">IF($Q574, INDEX('Run Reconcile'!A$2:A2488,MATCH(B574,'Run Reconcile'!B$2:B2488,0),1),IFERROR(0/0,""))</f>
        <v/>
      </c>
      <c r="S574" s="485" t="str">
        <f t="shared" si="694"/>
        <v/>
      </c>
      <c r="T574" s="485" t="str">
        <f t="shared" si="698"/>
        <v/>
      </c>
      <c r="U574" s="353" t="str">
        <f t="array" ref="U574">IF(ISBLANK($R574), INDEX('Run Reconcile'!A$2:A2488, MATCH($B574, 'Run Reconcile'!B$2:B2488, 0)+Z574, 1), IFERROR(0/0,""))
</f>
        <v>RUN-FLMP_2022-01-25_RFR-074</v>
      </c>
      <c r="V574" s="486" t="str">
        <f t="shared" si="5"/>
        <v>RUN-FLMP_2022-01-25_RFR-074</v>
      </c>
      <c r="W574" s="19"/>
      <c r="X574" s="19"/>
      <c r="Y574" s="89" t="str">
        <f t="shared" si="867"/>
        <v/>
      </c>
      <c r="Z574" s="60" t="str">
        <f t="shared" si="7"/>
        <v/>
      </c>
      <c r="AA574" s="60" t="str">
        <f t="shared" si="8"/>
        <v/>
      </c>
      <c r="AB574" s="60" t="str">
        <f t="shared" si="9"/>
        <v/>
      </c>
      <c r="AC574" s="158" t="str">
        <f t="shared" ref="AC574:AD574" si="930">IF(_xlfn.ISFORMULA(S574),IFERROR(0/0,""),TRUE)</f>
        <v/>
      </c>
      <c r="AD574" s="158" t="str">
        <f t="shared" si="930"/>
        <v/>
      </c>
      <c r="AE574" s="488" t="str">
        <f>IFERROR(__xludf.DUMMYFUNCTION("""COMPUTED_VALUE"""),"CRLN")</f>
        <v>CRLN</v>
      </c>
      <c r="AF574" s="489"/>
      <c r="AG574" s="486" t="s">
        <v>169</v>
      </c>
      <c r="AH574" s="138" t="str">
        <f t="shared" si="11"/>
        <v/>
      </c>
      <c r="AI574" s="19"/>
      <c r="AJ574" s="19"/>
      <c r="AK574" s="19"/>
      <c r="AL574" s="19"/>
      <c r="AM574" s="19"/>
    </row>
    <row r="575">
      <c r="A575" s="103" t="str">
        <f>IFERROR(__xludf.DUMMYFUNCTION("""COMPUTED_VALUE"""),"FLB5771")</f>
        <v>FLB5771</v>
      </c>
      <c r="B575" s="468">
        <f>IFERROR(__xludf.DUMMYFUNCTION("""COMPUTED_VALUE"""),44586.0)</f>
        <v>44586</v>
      </c>
      <c r="C575" s="469">
        <f>IFERROR(__xludf.DUMMYFUNCTION("""COMPUTED_VALUE"""),0.3155208333333333)</f>
        <v>0.3155208333</v>
      </c>
      <c r="D575" s="103" t="str">
        <f>IFERROR(__xludf.DUMMYFUNCTION("""COMPUTED_VALUE"""),"SpFLMP777132")</f>
        <v>SpFLMP777132</v>
      </c>
      <c r="E575" s="103"/>
      <c r="F575" s="103"/>
      <c r="G575" s="103" t="str">
        <f>IFERROR(__xludf.DUMMYFUNCTION("""COMPUTED_VALUE"""),"Negative")</f>
        <v>Negative</v>
      </c>
      <c r="H575" s="131" t="str">
        <f>IFERROR(__xludf.DUMMYFUNCTION("""COMPUTED_VALUE"""),"Negative")</f>
        <v>Negative</v>
      </c>
      <c r="I575" s="468">
        <f>IFERROR(__xludf.DUMMYFUNCTION("""COMPUTED_VALUE"""),44586.0)</f>
        <v>44586</v>
      </c>
      <c r="J575" s="470">
        <f>IFERROR(__xludf.DUMMYFUNCTION("""COMPUTED_VALUE"""),0.3930092592592593)</f>
        <v>0.3930092593</v>
      </c>
      <c r="K575" s="16"/>
      <c r="L575" s="8"/>
      <c r="M575" s="69"/>
      <c r="N575" s="69">
        <f>IFERROR(__xludf.DUMMYFUNCTION("""COMPUTED_VALUE"""),1.0)</f>
        <v>1</v>
      </c>
      <c r="O575" s="69" t="str">
        <f t="shared" si="3"/>
        <v/>
      </c>
      <c r="P575" s="471">
        <f>IFERROR(__xludf.DUMMYFUNCTION("""COMPUTED_VALUE"""),0.0)</f>
        <v>0</v>
      </c>
      <c r="Q575" s="274" t="str">
        <f>VLOOKUP($B575,'Run Reconcile'!B$2:O2488,14,FALSE)</f>
        <v/>
      </c>
      <c r="R575" s="472" t="str">
        <f t="array" ref="R575">IF($Q575, INDEX('Run Reconcile'!A$2:A2488,MATCH(B575,'Run Reconcile'!B$2:B2488,0),1),IFERROR(0/0,""))</f>
        <v/>
      </c>
      <c r="S575" s="473" t="str">
        <f t="shared" si="694"/>
        <v/>
      </c>
      <c r="T575" s="473" t="str">
        <f t="shared" si="698"/>
        <v/>
      </c>
      <c r="U575" s="275" t="str">
        <f t="array" ref="U575">IF(ISBLANK($R575), INDEX('Run Reconcile'!A$2:A2488, MATCH($B575, 'Run Reconcile'!B$2:B2488, 0)+Z575, 1), IFERROR(0/0,""))
</f>
        <v>RUN-FLMP_2022-01-25_RFR-074</v>
      </c>
      <c r="V575" s="474" t="str">
        <f t="shared" si="5"/>
        <v>RUN-FLMP_2022-01-25_RFR-074</v>
      </c>
      <c r="Y575" s="89" t="str">
        <f t="shared" si="867"/>
        <v/>
      </c>
      <c r="Z575" s="60" t="str">
        <f t="shared" si="7"/>
        <v/>
      </c>
      <c r="AA575" s="60" t="str">
        <f t="shared" si="8"/>
        <v/>
      </c>
      <c r="AB575" s="60" t="str">
        <f t="shared" si="9"/>
        <v/>
      </c>
      <c r="AC575" s="30" t="str">
        <f t="shared" ref="AC575:AD575" si="931">IF(_xlfn.ISFORMULA(S575),IFERROR(0/0,""),TRUE)</f>
        <v/>
      </c>
      <c r="AD575" s="30" t="str">
        <f t="shared" si="931"/>
        <v/>
      </c>
      <c r="AE575" s="475" t="str">
        <f>IFERROR(__xludf.DUMMYFUNCTION("""COMPUTED_VALUE"""),"CRLN")</f>
        <v>CRLN</v>
      </c>
      <c r="AF575" s="476"/>
      <c r="AG575" s="474" t="s">
        <v>169</v>
      </c>
      <c r="AH575" s="138" t="str">
        <f t="shared" si="11"/>
        <v/>
      </c>
    </row>
    <row r="576">
      <c r="A576" s="103" t="str">
        <f>IFERROR(__xludf.DUMMYFUNCTION("""COMPUTED_VALUE"""),"FLB5803")</f>
        <v>FLB5803</v>
      </c>
      <c r="B576" s="468">
        <f>IFERROR(__xludf.DUMMYFUNCTION("""COMPUTED_VALUE"""),44586.0)</f>
        <v>44586</v>
      </c>
      <c r="C576" s="469">
        <f>IFERROR(__xludf.DUMMYFUNCTION("""COMPUTED_VALUE"""),0.3158796296296296)</f>
        <v>0.3158796296</v>
      </c>
      <c r="D576" s="103" t="str">
        <f>IFERROR(__xludf.DUMMYFUNCTION("""COMPUTED_VALUE"""),"SpFLMP777132")</f>
        <v>SpFLMP777132</v>
      </c>
      <c r="E576" s="103"/>
      <c r="F576" s="103"/>
      <c r="G576" s="103" t="str">
        <f>IFERROR(__xludf.DUMMYFUNCTION("""COMPUTED_VALUE"""),"Negative")</f>
        <v>Negative</v>
      </c>
      <c r="H576" s="131" t="str">
        <f>IFERROR(__xludf.DUMMYFUNCTION("""COMPUTED_VALUE"""),"Negative")</f>
        <v>Negative</v>
      </c>
      <c r="I576" s="468">
        <f>IFERROR(__xludf.DUMMYFUNCTION("""COMPUTED_VALUE"""),44586.0)</f>
        <v>44586</v>
      </c>
      <c r="J576" s="470">
        <f>IFERROR(__xludf.DUMMYFUNCTION("""COMPUTED_VALUE"""),0.3930092592592593)</f>
        <v>0.3930092593</v>
      </c>
      <c r="K576" s="16"/>
      <c r="L576" s="8"/>
      <c r="M576" s="69"/>
      <c r="N576" s="69">
        <f>IFERROR(__xludf.DUMMYFUNCTION("""COMPUTED_VALUE"""),1.0)</f>
        <v>1</v>
      </c>
      <c r="O576" s="69" t="str">
        <f t="shared" si="3"/>
        <v/>
      </c>
      <c r="P576" s="471">
        <f>IFERROR(__xludf.DUMMYFUNCTION("""COMPUTED_VALUE"""),0.0)</f>
        <v>0</v>
      </c>
      <c r="Q576" s="274" t="str">
        <f>VLOOKUP($B576,'Run Reconcile'!B$2:O2488,14,FALSE)</f>
        <v/>
      </c>
      <c r="R576" s="472" t="str">
        <f t="array" ref="R576">IF($Q576, INDEX('Run Reconcile'!A$2:A2488,MATCH(B576,'Run Reconcile'!B$2:B2488,0),1),IFERROR(0/0,""))</f>
        <v/>
      </c>
      <c r="S576" s="473" t="str">
        <f t="shared" si="694"/>
        <v/>
      </c>
      <c r="T576" s="473" t="str">
        <f t="shared" si="698"/>
        <v/>
      </c>
      <c r="U576" s="275" t="str">
        <f t="array" ref="U576">IF(ISBLANK($R576), INDEX('Run Reconcile'!A$2:A2488, MATCH($B576, 'Run Reconcile'!B$2:B2488, 0)+Z576, 1), IFERROR(0/0,""))
</f>
        <v>RUN-FLMP_2022-01-25_RFR-074</v>
      </c>
      <c r="V576" s="474" t="str">
        <f t="shared" si="5"/>
        <v>RUN-FLMP_2022-01-25_RFR-074</v>
      </c>
      <c r="Y576" s="89" t="str">
        <f t="shared" si="867"/>
        <v/>
      </c>
      <c r="Z576" s="60" t="str">
        <f t="shared" si="7"/>
        <v/>
      </c>
      <c r="AA576" s="60" t="str">
        <f t="shared" si="8"/>
        <v/>
      </c>
      <c r="AB576" s="60" t="str">
        <f t="shared" si="9"/>
        <v/>
      </c>
      <c r="AC576" s="30" t="str">
        <f t="shared" ref="AC576:AD576" si="932">IF(_xlfn.ISFORMULA(S576),IFERROR(0/0,""),TRUE)</f>
        <v/>
      </c>
      <c r="AD576" s="30" t="str">
        <f t="shared" si="932"/>
        <v/>
      </c>
      <c r="AE576" s="475" t="str">
        <f>IFERROR(__xludf.DUMMYFUNCTION("""COMPUTED_VALUE"""),"CRLN")</f>
        <v>CRLN</v>
      </c>
      <c r="AF576" s="476"/>
      <c r="AG576" s="474" t="s">
        <v>169</v>
      </c>
      <c r="AH576" s="138" t="str">
        <f t="shared" si="11"/>
        <v/>
      </c>
    </row>
    <row r="577">
      <c r="A577" s="103" t="str">
        <f>IFERROR(__xludf.DUMMYFUNCTION("""COMPUTED_VALUE"""),"FLE865")</f>
        <v>FLE865</v>
      </c>
      <c r="B577" s="468">
        <f>IFERROR(__xludf.DUMMYFUNCTION("""COMPUTED_VALUE"""),44586.0)</f>
        <v>44586</v>
      </c>
      <c r="C577" s="469">
        <f>IFERROR(__xludf.DUMMYFUNCTION("""COMPUTED_VALUE"""),0.32327546296296295)</f>
        <v>0.323275463</v>
      </c>
      <c r="D577" s="103" t="str">
        <f>IFERROR(__xludf.DUMMYFUNCTION("""COMPUTED_VALUE"""),"SpFLMP939619")</f>
        <v>SpFLMP939619</v>
      </c>
      <c r="E577" s="103"/>
      <c r="F577" s="103"/>
      <c r="G577" s="103" t="str">
        <f>IFERROR(__xludf.DUMMYFUNCTION("""COMPUTED_VALUE"""),"Negative")</f>
        <v>Negative</v>
      </c>
      <c r="H577" s="131" t="str">
        <f>IFERROR(__xludf.DUMMYFUNCTION("""COMPUTED_VALUE"""),"Negative")</f>
        <v>Negative</v>
      </c>
      <c r="I577" s="468">
        <f>IFERROR(__xludf.DUMMYFUNCTION("""COMPUTED_VALUE"""),44586.0)</f>
        <v>44586</v>
      </c>
      <c r="J577" s="470">
        <f>IFERROR(__xludf.DUMMYFUNCTION("""COMPUTED_VALUE"""),0.3930092592592593)</f>
        <v>0.3930092593</v>
      </c>
      <c r="K577" s="16"/>
      <c r="L577" s="8"/>
      <c r="M577" s="69"/>
      <c r="N577" s="69">
        <f>IFERROR(__xludf.DUMMYFUNCTION("""COMPUTED_VALUE"""),1.0)</f>
        <v>1</v>
      </c>
      <c r="O577" s="69" t="str">
        <f t="shared" si="3"/>
        <v/>
      </c>
      <c r="P577" s="471">
        <f>IFERROR(__xludf.DUMMYFUNCTION("""COMPUTED_VALUE"""),0.0)</f>
        <v>0</v>
      </c>
      <c r="Q577" s="274" t="str">
        <f>VLOOKUP($B577,'Run Reconcile'!B$2:O2488,14,FALSE)</f>
        <v/>
      </c>
      <c r="R577" s="472" t="str">
        <f t="array" ref="R577">IF($Q577, INDEX('Run Reconcile'!A$2:A2488,MATCH(B577,'Run Reconcile'!B$2:B2488,0),1),IFERROR(0/0,""))</f>
        <v/>
      </c>
      <c r="S577" s="473" t="str">
        <f t="shared" si="694"/>
        <v/>
      </c>
      <c r="T577" s="473" t="str">
        <f t="shared" si="698"/>
        <v/>
      </c>
      <c r="U577" s="275" t="str">
        <f t="array" ref="U577">IF(ISBLANK($R577), INDEX('Run Reconcile'!A$2:A2488, MATCH($B577, 'Run Reconcile'!B$2:B2488, 0)+Z577, 1), IFERROR(0/0,""))
</f>
        <v>RUN-FLMP_2022-01-25_RFR-074</v>
      </c>
      <c r="V577" s="474" t="str">
        <f t="shared" si="5"/>
        <v>RUN-FLMP_2022-01-25_RFR-074</v>
      </c>
      <c r="Y577" s="89" t="str">
        <f t="shared" si="867"/>
        <v/>
      </c>
      <c r="Z577" s="60" t="str">
        <f t="shared" si="7"/>
        <v/>
      </c>
      <c r="AA577" s="60" t="str">
        <f t="shared" si="8"/>
        <v/>
      </c>
      <c r="AB577" s="60" t="str">
        <f t="shared" si="9"/>
        <v/>
      </c>
      <c r="AC577" s="30" t="str">
        <f t="shared" ref="AC577:AD577" si="933">IF(_xlfn.ISFORMULA(S577),IFERROR(0/0,""),TRUE)</f>
        <v/>
      </c>
      <c r="AD577" s="30" t="str">
        <f t="shared" si="933"/>
        <v/>
      </c>
      <c r="AE577" s="475" t="str">
        <f>IFERROR(__xludf.DUMMYFUNCTION("""COMPUTED_VALUE"""),"CRLN")</f>
        <v>CRLN</v>
      </c>
      <c r="AF577" s="476"/>
      <c r="AG577" s="474" t="s">
        <v>169</v>
      </c>
      <c r="AH577" s="138" t="str">
        <f t="shared" si="11"/>
        <v/>
      </c>
    </row>
    <row r="578">
      <c r="A578" s="459" t="str">
        <f>IFERROR(__xludf.DUMMYFUNCTION("""COMPUTED_VALUE"""),"FLB5397")</f>
        <v>FLB5397</v>
      </c>
      <c r="B578" s="494">
        <f>IFERROR(__xludf.DUMMYFUNCTION("""COMPUTED_VALUE"""),44586.0)</f>
        <v>44586</v>
      </c>
      <c r="C578" s="495">
        <f>IFERROR(__xludf.DUMMYFUNCTION("""COMPUTED_VALUE"""),0.4669212962962963)</f>
        <v>0.4669212963</v>
      </c>
      <c r="D578" s="459" t="str">
        <f>IFERROR(__xludf.DUMMYFUNCTION("""COMPUTED_VALUE"""),"SpFLMP170622")</f>
        <v>SpFLMP170622</v>
      </c>
      <c r="E578" s="459"/>
      <c r="F578" s="459"/>
      <c r="G578" s="459" t="str">
        <f>IFERROR(__xludf.DUMMYFUNCTION("""COMPUTED_VALUE"""),"Negative")</f>
        <v>Negative</v>
      </c>
      <c r="H578" s="496" t="str">
        <f>IFERROR(__xludf.DUMMYFUNCTION("""COMPUTED_VALUE"""),"Negative")</f>
        <v>Negative</v>
      </c>
      <c r="I578" s="494">
        <f>IFERROR(__xludf.DUMMYFUNCTION("""COMPUTED_VALUE"""),44587.0)</f>
        <v>44587</v>
      </c>
      <c r="J578" s="497">
        <f>IFERROR(__xludf.DUMMYFUNCTION("""COMPUTED_VALUE"""),0.38494212962962965)</f>
        <v>0.3849421296</v>
      </c>
      <c r="K578" s="16"/>
      <c r="L578" s="8"/>
      <c r="M578" s="69"/>
      <c r="N578" s="69">
        <f>IFERROR(__xludf.DUMMYFUNCTION("""COMPUTED_VALUE"""),2.0)</f>
        <v>2</v>
      </c>
      <c r="O578" s="69" t="str">
        <f t="shared" si="3"/>
        <v/>
      </c>
      <c r="P578" s="471">
        <f>IFERROR(__xludf.DUMMYFUNCTION("""COMPUTED_VALUE"""),1.0)</f>
        <v>1</v>
      </c>
      <c r="Q578" s="274" t="str">
        <f>VLOOKUP($B578,'Run Reconcile'!B$2:O2488,14,FALSE)</f>
        <v/>
      </c>
      <c r="R578" s="472" t="str">
        <f t="array" ref="R578">IF($Q578, INDEX('Run Reconcile'!A$2:A2488,MATCH(B578,'Run Reconcile'!B$2:B2488,0),1),IFERROR(0/0,""))</f>
        <v/>
      </c>
      <c r="S578" s="473" t="b">
        <f t="shared" si="694"/>
        <v>1</v>
      </c>
      <c r="T578" s="473" t="str">
        <f t="shared" si="698"/>
        <v/>
      </c>
      <c r="U578" s="275" t="str">
        <f t="array" ref="U578">IF(ISBLANK($R578), INDEX('Run Reconcile'!A$2:A2488, MATCH($B578, 'Run Reconcile'!B$2:B2488, 0)+Z578, 1), IFERROR(0/0,""))
</f>
        <v>RUN-FLMP_2022-01-26_RFR-075</v>
      </c>
      <c r="V578" s="474" t="str">
        <f t="shared" si="5"/>
        <v>RUN-FLMP_2022-01-26_RFR-075</v>
      </c>
      <c r="W578" s="8" t="s">
        <v>1439</v>
      </c>
      <c r="Y578" s="89">
        <f t="shared" si="867"/>
        <v>1</v>
      </c>
      <c r="Z578" s="60">
        <f t="shared" si="7"/>
        <v>1</v>
      </c>
      <c r="AA578" s="60">
        <f t="shared" si="8"/>
        <v>1</v>
      </c>
      <c r="AB578" s="60" t="str">
        <f t="shared" si="9"/>
        <v/>
      </c>
      <c r="AC578" s="30" t="str">
        <f t="shared" ref="AC578:AD578" si="934">IF(_xlfn.ISFORMULA(S578),IFERROR(0/0,""),TRUE)</f>
        <v/>
      </c>
      <c r="AD578" s="30" t="str">
        <f t="shared" si="934"/>
        <v/>
      </c>
      <c r="AE578" s="475" t="str">
        <f>IFERROR(__xludf.DUMMYFUNCTION("""COMPUTED_VALUE"""),"CRLN")</f>
        <v>CRLN</v>
      </c>
      <c r="AF578" s="476"/>
      <c r="AG578" s="474" t="s">
        <v>170</v>
      </c>
      <c r="AH578" s="138" t="str">
        <f t="shared" si="11"/>
        <v/>
      </c>
    </row>
    <row r="579">
      <c r="A579" s="506" t="str">
        <f>IFERROR(__xludf.DUMMYFUNCTION("""COMPUTED_VALUE"""),"FLT111")</f>
        <v>FLT111</v>
      </c>
      <c r="B579" s="507">
        <f>IFERROR(__xludf.DUMMYFUNCTION("""COMPUTED_VALUE"""),44587.0)</f>
        <v>44587</v>
      </c>
      <c r="C579" s="508">
        <f>IFERROR(__xludf.DUMMYFUNCTION("""COMPUTED_VALUE"""),0.30788194444444444)</f>
        <v>0.3078819444</v>
      </c>
      <c r="D579" s="506" t="str">
        <f>IFERROR(__xludf.DUMMYFUNCTION("""COMPUTED_VALUE"""),"SpFLMP684798")</f>
        <v>SpFLMP684798</v>
      </c>
      <c r="E579" s="506"/>
      <c r="F579" s="506"/>
      <c r="G579" s="506" t="str">
        <f>IFERROR(__xludf.DUMMYFUNCTION("""COMPUTED_VALUE"""),"Negative")</f>
        <v>Negative</v>
      </c>
      <c r="H579" s="509" t="str">
        <f>IFERROR(__xludf.DUMMYFUNCTION("""COMPUTED_VALUE"""),"Negative")</f>
        <v>Negative</v>
      </c>
      <c r="I579" s="507">
        <f>IFERROR(__xludf.DUMMYFUNCTION("""COMPUTED_VALUE"""),44587.0)</f>
        <v>44587</v>
      </c>
      <c r="J579" s="510">
        <f>IFERROR(__xludf.DUMMYFUNCTION("""COMPUTED_VALUE"""),0.38494212962962965)</f>
        <v>0.3849421296</v>
      </c>
      <c r="K579" s="156"/>
      <c r="L579" s="19"/>
      <c r="M579" s="482"/>
      <c r="N579" s="482">
        <f>IFERROR(__xludf.DUMMYFUNCTION("""COMPUTED_VALUE"""),4.0)</f>
        <v>4</v>
      </c>
      <c r="O579" s="482" t="b">
        <f t="shared" si="3"/>
        <v>1</v>
      </c>
      <c r="P579" s="483">
        <f>IFERROR(__xludf.DUMMYFUNCTION("""COMPUTED_VALUE"""),0.0)</f>
        <v>0</v>
      </c>
      <c r="Q579" s="352" t="str">
        <f>VLOOKUP($B579,'Run Reconcile'!B$2:O2488,14,FALSE)</f>
        <v/>
      </c>
      <c r="R579" s="484" t="str">
        <f t="array" ref="R579">IF($Q579, INDEX('Run Reconcile'!A$2:A2488,MATCH(B579,'Run Reconcile'!B$2:B2488,0),1),IFERROR(0/0,""))</f>
        <v/>
      </c>
      <c r="S579" s="485" t="str">
        <f t="shared" si="694"/>
        <v/>
      </c>
      <c r="T579" s="485" t="str">
        <f t="shared" si="698"/>
        <v/>
      </c>
      <c r="U579" s="353" t="str">
        <f t="array" ref="U579">IF(ISBLANK($R579), INDEX('Run Reconcile'!A$2:A2488, MATCH($B579, 'Run Reconcile'!B$2:B2488, 0)+Z579, 1), IFERROR(0/0,""))
</f>
        <v>RUN-FLMP_2022-01-26_RFR-075</v>
      </c>
      <c r="V579" s="486" t="str">
        <f t="shared" si="5"/>
        <v>RUN-FLMP_2022-01-26_RFR-075</v>
      </c>
      <c r="W579" s="19"/>
      <c r="X579" s="19"/>
      <c r="Y579" s="89" t="str">
        <f t="shared" si="867"/>
        <v/>
      </c>
      <c r="Z579" s="60" t="str">
        <f t="shared" si="7"/>
        <v/>
      </c>
      <c r="AA579" s="60" t="str">
        <f t="shared" si="8"/>
        <v/>
      </c>
      <c r="AB579" s="60" t="str">
        <f t="shared" si="9"/>
        <v/>
      </c>
      <c r="AC579" s="158" t="str">
        <f t="shared" ref="AC579:AD579" si="935">IF(_xlfn.ISFORMULA(S579),IFERROR(0/0,""),TRUE)</f>
        <v/>
      </c>
      <c r="AD579" s="158" t="str">
        <f t="shared" si="935"/>
        <v/>
      </c>
      <c r="AE579" s="488" t="str">
        <f>IFERROR(__xludf.DUMMYFUNCTION("""COMPUTED_VALUE"""),"CRLN")</f>
        <v>CRLN</v>
      </c>
      <c r="AF579" s="489"/>
      <c r="AG579" s="486" t="s">
        <v>170</v>
      </c>
      <c r="AH579" s="138" t="str">
        <f t="shared" si="11"/>
        <v/>
      </c>
      <c r="AI579" s="19"/>
      <c r="AJ579" s="19"/>
      <c r="AK579" s="19"/>
      <c r="AL579" s="19"/>
      <c r="AM579" s="19"/>
    </row>
    <row r="580">
      <c r="A580" s="103" t="str">
        <f>IFERROR(__xludf.DUMMYFUNCTION("""COMPUTED_VALUE"""),"FLT1484")</f>
        <v>FLT1484</v>
      </c>
      <c r="B580" s="468">
        <f>IFERROR(__xludf.DUMMYFUNCTION("""COMPUTED_VALUE"""),44587.0)</f>
        <v>44587</v>
      </c>
      <c r="C580" s="469">
        <f>IFERROR(__xludf.DUMMYFUNCTION("""COMPUTED_VALUE"""),0.8534027777777777)</f>
        <v>0.8534027778</v>
      </c>
      <c r="D580" s="103" t="str">
        <f>IFERROR(__xludf.DUMMYFUNCTION("""COMPUTED_VALUE"""),"SpFLMP228238")</f>
        <v>SpFLMP228238</v>
      </c>
      <c r="E580" s="103"/>
      <c r="F580" s="103"/>
      <c r="G580" s="103" t="str">
        <f>IFERROR(__xludf.DUMMYFUNCTION("""COMPUTED_VALUE"""),"Negative")</f>
        <v>Negative</v>
      </c>
      <c r="H580" s="131" t="str">
        <f>IFERROR(__xludf.DUMMYFUNCTION("""COMPUTED_VALUE"""),"Negative")</f>
        <v>Negative</v>
      </c>
      <c r="I580" s="468">
        <f>IFERROR(__xludf.DUMMYFUNCTION("""COMPUTED_VALUE"""),44588.0)</f>
        <v>44588</v>
      </c>
      <c r="J580" s="470">
        <f>IFERROR(__xludf.DUMMYFUNCTION("""COMPUTED_VALUE"""),0.44837962962962963)</f>
        <v>0.4483796296</v>
      </c>
      <c r="K580" s="16"/>
      <c r="L580" s="8"/>
      <c r="M580" s="69"/>
      <c r="N580" s="69">
        <f>IFERROR(__xludf.DUMMYFUNCTION("""COMPUTED_VALUE"""),2.0)</f>
        <v>2</v>
      </c>
      <c r="O580" s="69" t="str">
        <f t="shared" si="3"/>
        <v/>
      </c>
      <c r="P580" s="471">
        <f>IFERROR(__xludf.DUMMYFUNCTION("""COMPUTED_VALUE"""),1.0)</f>
        <v>1</v>
      </c>
      <c r="Q580" s="274" t="str">
        <f>VLOOKUP($B580,'Run Reconcile'!B$2:O2488,14,FALSE)</f>
        <v/>
      </c>
      <c r="R580" s="472" t="str">
        <f t="array" ref="R580">IF($Q580, INDEX('Run Reconcile'!A$2:A2488,MATCH(B580,'Run Reconcile'!B$2:B2488,0),1),IFERROR(0/0,""))</f>
        <v/>
      </c>
      <c r="S580" s="473" t="b">
        <f t="shared" si="694"/>
        <v>1</v>
      </c>
      <c r="T580" s="473" t="str">
        <f t="shared" si="698"/>
        <v/>
      </c>
      <c r="U580" s="275" t="str">
        <f t="array" ref="U580">IF(ISBLANK($R580), INDEX('Run Reconcile'!A$2:A2488, MATCH($B580, 'Run Reconcile'!B$2:B2488, 0)+Z580, 1), IFERROR(0/0,""))
</f>
        <v>RUN-FLMP_2022-01-27_APS-081</v>
      </c>
      <c r="V580" s="474" t="str">
        <f t="shared" si="5"/>
        <v>RUN-FLMP_2022-01-27_APS-081</v>
      </c>
      <c r="W580" s="8" t="s">
        <v>1440</v>
      </c>
      <c r="Y580" s="89">
        <f t="shared" si="867"/>
        <v>1</v>
      </c>
      <c r="Z580" s="60">
        <f t="shared" si="7"/>
        <v>1</v>
      </c>
      <c r="AA580" s="60">
        <f t="shared" si="8"/>
        <v>1</v>
      </c>
      <c r="AB580" s="60" t="str">
        <f t="shared" si="9"/>
        <v/>
      </c>
      <c r="AC580" s="30" t="str">
        <f t="shared" ref="AC580:AD580" si="936">IF(_xlfn.ISFORMULA(S580),IFERROR(0/0,""),TRUE)</f>
        <v/>
      </c>
      <c r="AD580" s="30" t="str">
        <f t="shared" si="936"/>
        <v/>
      </c>
      <c r="AE580" s="475" t="str">
        <f>IFERROR(__xludf.DUMMYFUNCTION("""COMPUTED_VALUE"""),"CRLN")</f>
        <v>CRLN</v>
      </c>
      <c r="AF580" s="476"/>
      <c r="AG580" s="474" t="s">
        <v>171</v>
      </c>
      <c r="AH580" s="138" t="str">
        <f t="shared" si="11"/>
        <v/>
      </c>
    </row>
    <row r="581">
      <c r="A581" s="103" t="str">
        <f>IFERROR(__xludf.DUMMYFUNCTION("""COMPUTED_VALUE"""),"FLB7151")</f>
        <v>FLB7151</v>
      </c>
      <c r="B581" s="468">
        <f>IFERROR(__xludf.DUMMYFUNCTION("""COMPUTED_VALUE"""),44587.0)</f>
        <v>44587</v>
      </c>
      <c r="C581" s="469">
        <f>IFERROR(__xludf.DUMMYFUNCTION("""COMPUTED_VALUE"""),0.91375)</f>
        <v>0.91375</v>
      </c>
      <c r="D581" s="103" t="str">
        <f>IFERROR(__xludf.DUMMYFUNCTION("""COMPUTED_VALUE"""),"SpFLMP904576")</f>
        <v>SpFLMP904576</v>
      </c>
      <c r="E581" s="103"/>
      <c r="F581" s="103"/>
      <c r="G581" s="103" t="str">
        <f>IFERROR(__xludf.DUMMYFUNCTION("""COMPUTED_VALUE"""),"Negative")</f>
        <v>Negative</v>
      </c>
      <c r="H581" s="131" t="str">
        <f>IFERROR(__xludf.DUMMYFUNCTION("""COMPUTED_VALUE"""),"Negative")</f>
        <v>Negative</v>
      </c>
      <c r="I581" s="468">
        <f>IFERROR(__xludf.DUMMYFUNCTION("""COMPUTED_VALUE"""),44588.0)</f>
        <v>44588</v>
      </c>
      <c r="J581" s="470">
        <f>IFERROR(__xludf.DUMMYFUNCTION("""COMPUTED_VALUE"""),0.44837962962962963)</f>
        <v>0.4483796296</v>
      </c>
      <c r="K581" s="16"/>
      <c r="L581" s="8"/>
      <c r="M581" s="69"/>
      <c r="N581" s="69">
        <f>IFERROR(__xludf.DUMMYFUNCTION("""COMPUTED_VALUE"""),3.0)</f>
        <v>3</v>
      </c>
      <c r="O581" s="69" t="str">
        <f t="shared" si="3"/>
        <v/>
      </c>
      <c r="P581" s="471">
        <f>IFERROR(__xludf.DUMMYFUNCTION("""COMPUTED_VALUE"""),1.0)</f>
        <v>1</v>
      </c>
      <c r="Q581" s="274" t="str">
        <f>VLOOKUP($B581,'Run Reconcile'!B$2:O2488,14,FALSE)</f>
        <v/>
      </c>
      <c r="R581" s="472" t="str">
        <f t="array" ref="R581">IF($Q581, INDEX('Run Reconcile'!A$2:A2488,MATCH(B581,'Run Reconcile'!B$2:B2488,0),1),IFERROR(0/0,""))</f>
        <v/>
      </c>
      <c r="S581" s="473" t="b">
        <f t="shared" si="694"/>
        <v>1</v>
      </c>
      <c r="T581" s="473" t="str">
        <f t="shared" si="698"/>
        <v/>
      </c>
      <c r="U581" s="275" t="str">
        <f t="array" ref="U581">IF(ISBLANK($R581), INDEX('Run Reconcile'!A$2:A2488, MATCH($B581, 'Run Reconcile'!B$2:B2488, 0)+Z581, 1), IFERROR(0/0,""))
</f>
        <v>RUN-FLMP_2022-01-27_APS-081</v>
      </c>
      <c r="V581" s="474" t="str">
        <f t="shared" si="5"/>
        <v>RUN-FLMP_2022-01-27_APS-081</v>
      </c>
      <c r="W581" s="8" t="s">
        <v>1441</v>
      </c>
      <c r="Y581" s="89">
        <f t="shared" si="867"/>
        <v>1</v>
      </c>
      <c r="Z581" s="60">
        <f t="shared" si="7"/>
        <v>1</v>
      </c>
      <c r="AA581" s="60">
        <f t="shared" si="8"/>
        <v>1</v>
      </c>
      <c r="AB581" s="60" t="str">
        <f t="shared" si="9"/>
        <v/>
      </c>
      <c r="AC581" s="30" t="str">
        <f t="shared" ref="AC581:AD581" si="937">IF(_xlfn.ISFORMULA(S581),IFERROR(0/0,""),TRUE)</f>
        <v/>
      </c>
      <c r="AD581" s="30" t="str">
        <f t="shared" si="937"/>
        <v/>
      </c>
      <c r="AE581" s="475" t="str">
        <f>IFERROR(__xludf.DUMMYFUNCTION("""COMPUTED_VALUE"""),"CRLN")</f>
        <v>CRLN</v>
      </c>
      <c r="AF581" s="476"/>
      <c r="AG581" s="474" t="s">
        <v>171</v>
      </c>
      <c r="AH581" s="138" t="str">
        <f t="shared" si="11"/>
        <v/>
      </c>
    </row>
    <row r="582">
      <c r="A582" s="103" t="str">
        <f>IFERROR(__xludf.DUMMYFUNCTION("""COMPUTED_VALUE"""),"FLB5750")</f>
        <v>FLB5750</v>
      </c>
      <c r="B582" s="468">
        <f>IFERROR(__xludf.DUMMYFUNCTION("""COMPUTED_VALUE"""),44587.0)</f>
        <v>44587</v>
      </c>
      <c r="C582" s="469">
        <f>IFERROR(__xludf.DUMMYFUNCTION("""COMPUTED_VALUE"""),0.9699421296296297)</f>
        <v>0.9699421296</v>
      </c>
      <c r="D582" s="103" t="str">
        <f>IFERROR(__xludf.DUMMYFUNCTION("""COMPUTED_VALUE"""),"SpFLMP683554")</f>
        <v>SpFLMP683554</v>
      </c>
      <c r="E582" s="103"/>
      <c r="F582" s="103"/>
      <c r="G582" s="103" t="str">
        <f>IFERROR(__xludf.DUMMYFUNCTION("""COMPUTED_VALUE"""),"Negative")</f>
        <v>Negative</v>
      </c>
      <c r="H582" s="131" t="str">
        <f>IFERROR(__xludf.DUMMYFUNCTION("""COMPUTED_VALUE"""),"Negative")</f>
        <v>Negative</v>
      </c>
      <c r="I582" s="468">
        <f>IFERROR(__xludf.DUMMYFUNCTION("""COMPUTED_VALUE"""),44588.0)</f>
        <v>44588</v>
      </c>
      <c r="J582" s="470">
        <f>IFERROR(__xludf.DUMMYFUNCTION("""COMPUTED_VALUE"""),0.44837962962962963)</f>
        <v>0.4483796296</v>
      </c>
      <c r="K582" s="16"/>
      <c r="L582" s="8"/>
      <c r="M582" s="69"/>
      <c r="N582" s="69">
        <f>IFERROR(__xludf.DUMMYFUNCTION("""COMPUTED_VALUE"""),1.0)</f>
        <v>1</v>
      </c>
      <c r="O582" s="69" t="str">
        <f t="shared" si="3"/>
        <v/>
      </c>
      <c r="P582" s="471">
        <f>IFERROR(__xludf.DUMMYFUNCTION("""COMPUTED_VALUE"""),1.0)</f>
        <v>1</v>
      </c>
      <c r="Q582" s="274" t="str">
        <f>VLOOKUP($B582,'Run Reconcile'!B$2:O2488,14,FALSE)</f>
        <v/>
      </c>
      <c r="R582" s="472" t="str">
        <f t="array" ref="R582">IF($Q582, INDEX('Run Reconcile'!A$2:A2488,MATCH(B582,'Run Reconcile'!B$2:B2488,0),1),IFERROR(0/0,""))</f>
        <v/>
      </c>
      <c r="S582" s="473" t="b">
        <f t="shared" si="694"/>
        <v>1</v>
      </c>
      <c r="T582" s="473" t="str">
        <f t="shared" si="698"/>
        <v/>
      </c>
      <c r="U582" s="275" t="str">
        <f t="array" ref="U582">IF(ISBLANK($R582), INDEX('Run Reconcile'!A$2:A2488, MATCH($B582, 'Run Reconcile'!B$2:B2488, 0)+Z582, 1), IFERROR(0/0,""))
</f>
        <v>RUN-FLMP_2022-01-27_APS-081</v>
      </c>
      <c r="V582" s="474" t="str">
        <f t="shared" si="5"/>
        <v>RUN-FLMP_2022-01-27_APS-081</v>
      </c>
      <c r="W582" s="8" t="s">
        <v>1442</v>
      </c>
      <c r="Y582" s="89">
        <f t="shared" si="867"/>
        <v>1</v>
      </c>
      <c r="Z582" s="60">
        <f t="shared" si="7"/>
        <v>1</v>
      </c>
      <c r="AA582" s="60">
        <f t="shared" si="8"/>
        <v>1</v>
      </c>
      <c r="AB582" s="60" t="str">
        <f t="shared" si="9"/>
        <v/>
      </c>
      <c r="AC582" s="30" t="str">
        <f t="shared" ref="AC582:AD582" si="938">IF(_xlfn.ISFORMULA(S582),IFERROR(0/0,""),TRUE)</f>
        <v/>
      </c>
      <c r="AD582" s="30" t="str">
        <f t="shared" si="938"/>
        <v/>
      </c>
      <c r="AE582" s="475" t="str">
        <f>IFERROR(__xludf.DUMMYFUNCTION("""COMPUTED_VALUE"""),"CRLN")</f>
        <v>CRLN</v>
      </c>
      <c r="AF582" s="476"/>
      <c r="AG582" s="474" t="s">
        <v>171</v>
      </c>
      <c r="AH582" s="138" t="str">
        <f t="shared" si="11"/>
        <v/>
      </c>
    </row>
    <row r="583">
      <c r="A583" s="477" t="str">
        <f>IFERROR(__xludf.DUMMYFUNCTION("""COMPUTED_VALUE"""),"FLE894")</f>
        <v>FLE894</v>
      </c>
      <c r="B583" s="478">
        <f>IFERROR(__xludf.DUMMYFUNCTION("""COMPUTED_VALUE"""),44588.0)</f>
        <v>44588</v>
      </c>
      <c r="C583" s="479">
        <f>IFERROR(__xludf.DUMMYFUNCTION("""COMPUTED_VALUE"""),0.2806134259259259)</f>
        <v>0.2806134259</v>
      </c>
      <c r="D583" s="477" t="str">
        <f>IFERROR(__xludf.DUMMYFUNCTION("""COMPUTED_VALUE"""),"SpFLMP690282")</f>
        <v>SpFLMP690282</v>
      </c>
      <c r="E583" s="477"/>
      <c r="F583" s="477"/>
      <c r="G583" s="477" t="str">
        <f>IFERROR(__xludf.DUMMYFUNCTION("""COMPUTED_VALUE"""),"Negative")</f>
        <v>Negative</v>
      </c>
      <c r="H583" s="480" t="str">
        <f>IFERROR(__xludf.DUMMYFUNCTION("""COMPUTED_VALUE"""),"Negative")</f>
        <v>Negative</v>
      </c>
      <c r="I583" s="478">
        <f>IFERROR(__xludf.DUMMYFUNCTION("""COMPUTED_VALUE"""),44588.0)</f>
        <v>44588</v>
      </c>
      <c r="J583" s="481">
        <f>IFERROR(__xludf.DUMMYFUNCTION("""COMPUTED_VALUE"""),0.44837962962962963)</f>
        <v>0.4483796296</v>
      </c>
      <c r="K583" s="156"/>
      <c r="L583" s="19"/>
      <c r="M583" s="482"/>
      <c r="N583" s="482">
        <f>IFERROR(__xludf.DUMMYFUNCTION("""COMPUTED_VALUE"""),2.0)</f>
        <v>2</v>
      </c>
      <c r="O583" s="482" t="b">
        <f t="shared" si="3"/>
        <v>1</v>
      </c>
      <c r="P583" s="483">
        <f>IFERROR(__xludf.DUMMYFUNCTION("""COMPUTED_VALUE"""),0.0)</f>
        <v>0</v>
      </c>
      <c r="Q583" s="352" t="b">
        <f>VLOOKUP($B583,'Run Reconcile'!B$2:O2488,14,FALSE)</f>
        <v>1</v>
      </c>
      <c r="R583" s="484" t="str">
        <f t="array" ref="R583">IF($Q583, INDEX('Run Reconcile'!A$2:A2488,MATCH(B583,'Run Reconcile'!B$2:B2488,0),1),IFERROR(0/0,""))</f>
        <v>RUN-FLMP_2022-01-27_APS-081</v>
      </c>
      <c r="S583" s="485" t="str">
        <f t="shared" si="694"/>
        <v/>
      </c>
      <c r="T583" s="485" t="str">
        <f t="shared" si="698"/>
        <v/>
      </c>
      <c r="U583" s="353" t="str">
        <f t="array" ref="U583">IF(ISBLANK($R583), INDEX('Run Reconcile'!A$2:A2488, MATCH($B583, 'Run Reconcile'!B$2:B2488, 0)+Z583, 1), IFERROR(0/0,""))
</f>
        <v/>
      </c>
      <c r="V583" s="486" t="str">
        <f t="shared" si="5"/>
        <v>RUN-FLMP_2022-01-27_APS-081</v>
      </c>
      <c r="W583" s="19"/>
      <c r="X583" s="19"/>
      <c r="Y583" s="89" t="str">
        <f t="shared" si="867"/>
        <v/>
      </c>
      <c r="Z583" s="60" t="str">
        <f t="shared" si="7"/>
        <v/>
      </c>
      <c r="AA583" s="60" t="str">
        <f t="shared" si="8"/>
        <v/>
      </c>
      <c r="AB583" s="60" t="str">
        <f t="shared" si="9"/>
        <v/>
      </c>
      <c r="AC583" s="158" t="str">
        <f t="shared" ref="AC583:AD583" si="939">IF(_xlfn.ISFORMULA(S583),IFERROR(0/0,""),TRUE)</f>
        <v/>
      </c>
      <c r="AD583" s="158" t="str">
        <f t="shared" si="939"/>
        <v/>
      </c>
      <c r="AE583" s="488" t="str">
        <f>IFERROR(__xludf.DUMMYFUNCTION("""COMPUTED_VALUE"""),"CRLN")</f>
        <v>CRLN</v>
      </c>
      <c r="AF583" s="489"/>
      <c r="AG583" s="486" t="s">
        <v>171</v>
      </c>
      <c r="AH583" s="138" t="str">
        <f t="shared" si="11"/>
        <v/>
      </c>
      <c r="AI583" s="19"/>
      <c r="AJ583" s="19"/>
      <c r="AK583" s="19"/>
      <c r="AL583" s="19"/>
      <c r="AM583" s="19"/>
    </row>
    <row r="584">
      <c r="A584" s="103" t="str">
        <f>IFERROR(__xludf.DUMMYFUNCTION("""COMPUTED_VALUE"""),"FLB7182")</f>
        <v>FLB7182</v>
      </c>
      <c r="B584" s="468">
        <f>IFERROR(__xludf.DUMMYFUNCTION("""COMPUTED_VALUE"""),44588.0)</f>
        <v>44588</v>
      </c>
      <c r="C584" s="469">
        <f>IFERROR(__xludf.DUMMYFUNCTION("""COMPUTED_VALUE"""),0.2873148148148148)</f>
        <v>0.2873148148</v>
      </c>
      <c r="D584" s="103" t="str">
        <f>IFERROR(__xludf.DUMMYFUNCTION("""COMPUTED_VALUE"""),"SpFLMP777132")</f>
        <v>SpFLMP777132</v>
      </c>
      <c r="E584" s="103"/>
      <c r="F584" s="103"/>
      <c r="G584" s="103" t="str">
        <f>IFERROR(__xludf.DUMMYFUNCTION("""COMPUTED_VALUE"""),"Negative")</f>
        <v>Negative</v>
      </c>
      <c r="H584" s="131" t="str">
        <f>IFERROR(__xludf.DUMMYFUNCTION("""COMPUTED_VALUE"""),"Negative")</f>
        <v>Negative</v>
      </c>
      <c r="I584" s="468">
        <f>IFERROR(__xludf.DUMMYFUNCTION("""COMPUTED_VALUE"""),44588.0)</f>
        <v>44588</v>
      </c>
      <c r="J584" s="470">
        <f>IFERROR(__xludf.DUMMYFUNCTION("""COMPUTED_VALUE"""),0.4483912037037037)</f>
        <v>0.4483912037</v>
      </c>
      <c r="K584" s="16"/>
      <c r="L584" s="8"/>
      <c r="M584" s="69"/>
      <c r="N584" s="69">
        <f>IFERROR(__xludf.DUMMYFUNCTION("""COMPUTED_VALUE"""),4.0)</f>
        <v>4</v>
      </c>
      <c r="O584" s="69" t="str">
        <f t="shared" si="3"/>
        <v/>
      </c>
      <c r="P584" s="471">
        <f>IFERROR(__xludf.DUMMYFUNCTION("""COMPUTED_VALUE"""),0.0)</f>
        <v>0</v>
      </c>
      <c r="Q584" s="274" t="b">
        <f>VLOOKUP($B584,'Run Reconcile'!B$2:O2488,14,FALSE)</f>
        <v>1</v>
      </c>
      <c r="R584" s="472" t="str">
        <f t="array" ref="R584">IF($Q584, INDEX('Run Reconcile'!A$2:A2488,MATCH(B584,'Run Reconcile'!B$2:B2488,0),1),IFERROR(0/0,""))</f>
        <v>RUN-FLMP_2022-01-27_APS-081</v>
      </c>
      <c r="S584" s="473" t="str">
        <f t="shared" si="694"/>
        <v/>
      </c>
      <c r="T584" s="473" t="str">
        <f t="shared" si="698"/>
        <v/>
      </c>
      <c r="U584" s="275" t="str">
        <f t="array" ref="U584">IF(ISBLANK($R584), INDEX('Run Reconcile'!A$2:A2488, MATCH($B584, 'Run Reconcile'!B$2:B2488, 0)+Z584, 1), IFERROR(0/0,""))
</f>
        <v/>
      </c>
      <c r="V584" s="474" t="str">
        <f t="shared" si="5"/>
        <v>RUN-FLMP_2022-01-27_APS-081</v>
      </c>
      <c r="Y584" s="89" t="str">
        <f t="shared" si="867"/>
        <v/>
      </c>
      <c r="Z584" s="60" t="str">
        <f t="shared" si="7"/>
        <v/>
      </c>
      <c r="AA584" s="60" t="str">
        <f t="shared" si="8"/>
        <v/>
      </c>
      <c r="AB584" s="60" t="str">
        <f t="shared" si="9"/>
        <v/>
      </c>
      <c r="AC584" s="30" t="str">
        <f t="shared" ref="AC584:AD584" si="940">IF(_xlfn.ISFORMULA(S584),IFERROR(0/0,""),TRUE)</f>
        <v/>
      </c>
      <c r="AD584" s="30" t="str">
        <f t="shared" si="940"/>
        <v/>
      </c>
      <c r="AE584" s="475" t="str">
        <f>IFERROR(__xludf.DUMMYFUNCTION("""COMPUTED_VALUE"""),"CRLN")</f>
        <v>CRLN</v>
      </c>
      <c r="AF584" s="476"/>
      <c r="AG584" s="474" t="s">
        <v>171</v>
      </c>
      <c r="AH584" s="138" t="str">
        <f t="shared" si="11"/>
        <v/>
      </c>
    </row>
    <row r="585">
      <c r="A585" s="103" t="str">
        <f>IFERROR(__xludf.DUMMYFUNCTION("""COMPUTED_VALUE"""),"FLT1504")</f>
        <v>FLT1504</v>
      </c>
      <c r="B585" s="468">
        <f>IFERROR(__xludf.DUMMYFUNCTION("""COMPUTED_VALUE"""),44588.0)</f>
        <v>44588</v>
      </c>
      <c r="C585" s="469">
        <f>IFERROR(__xludf.DUMMYFUNCTION("""COMPUTED_VALUE"""),0.3074884259259259)</f>
        <v>0.3074884259</v>
      </c>
      <c r="D585" s="103" t="str">
        <f>IFERROR(__xludf.DUMMYFUNCTION("""COMPUTED_VALUE"""),"SpFLMP228238")</f>
        <v>SpFLMP228238</v>
      </c>
      <c r="E585" s="103"/>
      <c r="F585" s="103"/>
      <c r="G585" s="103" t="str">
        <f>IFERROR(__xludf.DUMMYFUNCTION("""COMPUTED_VALUE"""),"Negative")</f>
        <v>Negative</v>
      </c>
      <c r="H585" s="131" t="str">
        <f>IFERROR(__xludf.DUMMYFUNCTION("""COMPUTED_VALUE"""),"Negative")</f>
        <v>Negative</v>
      </c>
      <c r="I585" s="468">
        <f>IFERROR(__xludf.DUMMYFUNCTION("""COMPUTED_VALUE"""),44588.0)</f>
        <v>44588</v>
      </c>
      <c r="J585" s="470">
        <f>IFERROR(__xludf.DUMMYFUNCTION("""COMPUTED_VALUE"""),0.4483912037037037)</f>
        <v>0.4483912037</v>
      </c>
      <c r="K585" s="16"/>
      <c r="L585" s="8"/>
      <c r="M585" s="69"/>
      <c r="N585" s="69">
        <f>IFERROR(__xludf.DUMMYFUNCTION("""COMPUTED_VALUE"""),2.0)</f>
        <v>2</v>
      </c>
      <c r="O585" s="69" t="str">
        <f t="shared" si="3"/>
        <v/>
      </c>
      <c r="P585" s="471">
        <f>IFERROR(__xludf.DUMMYFUNCTION("""COMPUTED_VALUE"""),0.0)</f>
        <v>0</v>
      </c>
      <c r="Q585" s="274" t="b">
        <f>VLOOKUP($B585,'Run Reconcile'!B$2:O2488,14,FALSE)</f>
        <v>1</v>
      </c>
      <c r="R585" s="472" t="str">
        <f t="array" ref="R585">IF($Q585, INDEX('Run Reconcile'!A$2:A2488,MATCH(B585,'Run Reconcile'!B$2:B2488,0),1),IFERROR(0/0,""))</f>
        <v>RUN-FLMP_2022-01-27_APS-081</v>
      </c>
      <c r="S585" s="473" t="str">
        <f t="shared" si="694"/>
        <v/>
      </c>
      <c r="T585" s="473" t="str">
        <f t="shared" si="698"/>
        <v/>
      </c>
      <c r="U585" s="275" t="str">
        <f t="array" ref="U585">IF(ISBLANK($R585), INDEX('Run Reconcile'!A$2:A2488, MATCH($B585, 'Run Reconcile'!B$2:B2488, 0)+Z585, 1), IFERROR(0/0,""))
</f>
        <v/>
      </c>
      <c r="V585" s="474" t="str">
        <f t="shared" si="5"/>
        <v>RUN-FLMP_2022-01-27_APS-081</v>
      </c>
      <c r="Y585" s="89" t="str">
        <f t="shared" si="867"/>
        <v/>
      </c>
      <c r="Z585" s="60" t="str">
        <f t="shared" si="7"/>
        <v/>
      </c>
      <c r="AA585" s="60" t="str">
        <f t="shared" si="8"/>
        <v/>
      </c>
      <c r="AB585" s="60" t="str">
        <f t="shared" si="9"/>
        <v/>
      </c>
      <c r="AC585" s="30" t="str">
        <f t="shared" ref="AC585:AD585" si="941">IF(_xlfn.ISFORMULA(S585),IFERROR(0/0,""),TRUE)</f>
        <v/>
      </c>
      <c r="AD585" s="30" t="str">
        <f t="shared" si="941"/>
        <v/>
      </c>
      <c r="AE585" s="475" t="str">
        <f>IFERROR(__xludf.DUMMYFUNCTION("""COMPUTED_VALUE"""),"CRLN")</f>
        <v>CRLN</v>
      </c>
      <c r="AF585" s="476"/>
      <c r="AG585" s="474" t="s">
        <v>171</v>
      </c>
      <c r="AH585" s="138" t="str">
        <f t="shared" si="11"/>
        <v/>
      </c>
    </row>
    <row r="586">
      <c r="A586" s="103" t="str">
        <f>IFERROR(__xludf.DUMMYFUNCTION("""COMPUTED_VALUE"""),"FLT1477")</f>
        <v>FLT1477</v>
      </c>
      <c r="B586" s="468">
        <f>IFERROR(__xludf.DUMMYFUNCTION("""COMPUTED_VALUE"""),44588.0)</f>
        <v>44588</v>
      </c>
      <c r="C586" s="469">
        <f>IFERROR(__xludf.DUMMYFUNCTION("""COMPUTED_VALUE"""),0.31030092592592595)</f>
        <v>0.3103009259</v>
      </c>
      <c r="D586" s="103" t="str">
        <f>IFERROR(__xludf.DUMMYFUNCTION("""COMPUTED_VALUE"""),"SpFLMP965392")</f>
        <v>SpFLMP965392</v>
      </c>
      <c r="E586" s="103"/>
      <c r="F586" s="103"/>
      <c r="G586" s="103" t="str">
        <f>IFERROR(__xludf.DUMMYFUNCTION("""COMPUTED_VALUE"""),"Negative")</f>
        <v>Negative</v>
      </c>
      <c r="H586" s="131" t="str">
        <f>IFERROR(__xludf.DUMMYFUNCTION("""COMPUTED_VALUE"""),"Negative")</f>
        <v>Negative</v>
      </c>
      <c r="I586" s="468">
        <f>IFERROR(__xludf.DUMMYFUNCTION("""COMPUTED_VALUE"""),44588.0)</f>
        <v>44588</v>
      </c>
      <c r="J586" s="470">
        <f>IFERROR(__xludf.DUMMYFUNCTION("""COMPUTED_VALUE"""),0.4483912037037037)</f>
        <v>0.4483912037</v>
      </c>
      <c r="K586" s="16"/>
      <c r="L586" s="8"/>
      <c r="M586" s="69"/>
      <c r="N586" s="69">
        <f>IFERROR(__xludf.DUMMYFUNCTION("""COMPUTED_VALUE"""),4.0)</f>
        <v>4</v>
      </c>
      <c r="O586" s="69" t="str">
        <f t="shared" si="3"/>
        <v/>
      </c>
      <c r="P586" s="471">
        <f>IFERROR(__xludf.DUMMYFUNCTION("""COMPUTED_VALUE"""),0.0)</f>
        <v>0</v>
      </c>
      <c r="Q586" s="274" t="b">
        <f>VLOOKUP($B586,'Run Reconcile'!B$2:O2488,14,FALSE)</f>
        <v>1</v>
      </c>
      <c r="R586" s="472" t="str">
        <f t="array" ref="R586">IF($Q586, INDEX('Run Reconcile'!A$2:A2488,MATCH(B586,'Run Reconcile'!B$2:B2488,0),1),IFERROR(0/0,""))</f>
        <v>RUN-FLMP_2022-01-27_APS-081</v>
      </c>
      <c r="S586" s="473" t="str">
        <f t="shared" si="694"/>
        <v/>
      </c>
      <c r="T586" s="473" t="str">
        <f t="shared" si="698"/>
        <v/>
      </c>
      <c r="U586" s="275" t="str">
        <f t="array" ref="U586">IF(ISBLANK($R586), INDEX('Run Reconcile'!A$2:A2488, MATCH($B586, 'Run Reconcile'!B$2:B2488, 0)+Z586, 1), IFERROR(0/0,""))
</f>
        <v/>
      </c>
      <c r="V586" s="474" t="str">
        <f t="shared" si="5"/>
        <v>RUN-FLMP_2022-01-27_APS-081</v>
      </c>
      <c r="Y586" s="89" t="str">
        <f t="shared" si="867"/>
        <v/>
      </c>
      <c r="Z586" s="60" t="str">
        <f t="shared" si="7"/>
        <v/>
      </c>
      <c r="AA586" s="60" t="str">
        <f t="shared" si="8"/>
        <v/>
      </c>
      <c r="AB586" s="60" t="str">
        <f t="shared" si="9"/>
        <v/>
      </c>
      <c r="AC586" s="30" t="str">
        <f t="shared" ref="AC586:AD586" si="942">IF(_xlfn.ISFORMULA(S586),IFERROR(0/0,""),TRUE)</f>
        <v/>
      </c>
      <c r="AD586" s="30" t="str">
        <f t="shared" si="942"/>
        <v/>
      </c>
      <c r="AE586" s="475" t="str">
        <f>IFERROR(__xludf.DUMMYFUNCTION("""COMPUTED_VALUE"""),"CRLN")</f>
        <v>CRLN</v>
      </c>
      <c r="AF586" s="476"/>
      <c r="AG586" s="474" t="s">
        <v>171</v>
      </c>
      <c r="AH586" s="138" t="str">
        <f t="shared" si="11"/>
        <v/>
      </c>
    </row>
    <row r="587">
      <c r="A587" s="103" t="str">
        <f>IFERROR(__xludf.DUMMYFUNCTION("""COMPUTED_VALUE"""),"FL7386")</f>
        <v>FL7386</v>
      </c>
      <c r="B587" s="468">
        <f>IFERROR(__xludf.DUMMYFUNCTION("""COMPUTED_VALUE"""),44588.0)</f>
        <v>44588</v>
      </c>
      <c r="C587" s="469">
        <f>IFERROR(__xludf.DUMMYFUNCTION("""COMPUTED_VALUE"""),0.31653935185185184)</f>
        <v>0.3165393519</v>
      </c>
      <c r="D587" s="103" t="str">
        <f>IFERROR(__xludf.DUMMYFUNCTION("""COMPUTED_VALUE"""),"SpFLMP273885")</f>
        <v>SpFLMP273885</v>
      </c>
      <c r="E587" s="103"/>
      <c r="F587" s="103"/>
      <c r="G587" s="103" t="str">
        <f>IFERROR(__xludf.DUMMYFUNCTION("""COMPUTED_VALUE"""),"Negative")</f>
        <v>Negative</v>
      </c>
      <c r="H587" s="131" t="str">
        <f>IFERROR(__xludf.DUMMYFUNCTION("""COMPUTED_VALUE"""),"Negative")</f>
        <v>Negative</v>
      </c>
      <c r="I587" s="468">
        <f>IFERROR(__xludf.DUMMYFUNCTION("""COMPUTED_VALUE"""),44588.0)</f>
        <v>44588</v>
      </c>
      <c r="J587" s="470">
        <f>IFERROR(__xludf.DUMMYFUNCTION("""COMPUTED_VALUE"""),0.4483912037037037)</f>
        <v>0.4483912037</v>
      </c>
      <c r="K587" s="16"/>
      <c r="L587" s="8"/>
      <c r="M587" s="69"/>
      <c r="N587" s="69">
        <f>IFERROR(__xludf.DUMMYFUNCTION("""COMPUTED_VALUE"""),4.0)</f>
        <v>4</v>
      </c>
      <c r="O587" s="69" t="str">
        <f t="shared" si="3"/>
        <v/>
      </c>
      <c r="P587" s="471">
        <f>IFERROR(__xludf.DUMMYFUNCTION("""COMPUTED_VALUE"""),0.0)</f>
        <v>0</v>
      </c>
      <c r="Q587" s="274" t="b">
        <f>VLOOKUP($B587,'Run Reconcile'!B$2:O2488,14,FALSE)</f>
        <v>1</v>
      </c>
      <c r="R587" s="472" t="str">
        <f t="array" ref="R587">IF($Q587, INDEX('Run Reconcile'!A$2:A2488,MATCH(B587,'Run Reconcile'!B$2:B2488,0),1),IFERROR(0/0,""))</f>
        <v>RUN-FLMP_2022-01-27_APS-081</v>
      </c>
      <c r="S587" s="473" t="str">
        <f t="shared" si="694"/>
        <v/>
      </c>
      <c r="T587" s="473" t="str">
        <f t="shared" si="698"/>
        <v/>
      </c>
      <c r="U587" s="275" t="str">
        <f t="array" ref="U587">IF(ISBLANK($R587), INDEX('Run Reconcile'!A$2:A2488, MATCH($B587, 'Run Reconcile'!B$2:B2488, 0)+Z587, 1), IFERROR(0/0,""))
</f>
        <v/>
      </c>
      <c r="V587" s="474" t="str">
        <f t="shared" si="5"/>
        <v>RUN-FLMP_2022-01-27_APS-081</v>
      </c>
      <c r="Y587" s="89" t="str">
        <f t="shared" si="867"/>
        <v/>
      </c>
      <c r="Z587" s="60" t="str">
        <f t="shared" si="7"/>
        <v/>
      </c>
      <c r="AA587" s="60" t="str">
        <f t="shared" si="8"/>
        <v/>
      </c>
      <c r="AB587" s="60" t="str">
        <f t="shared" si="9"/>
        <v/>
      </c>
      <c r="AC587" s="30" t="str">
        <f t="shared" ref="AC587:AD587" si="943">IF(_xlfn.ISFORMULA(S587),IFERROR(0/0,""),TRUE)</f>
        <v/>
      </c>
      <c r="AD587" s="30" t="str">
        <f t="shared" si="943"/>
        <v/>
      </c>
      <c r="AE587" s="475" t="str">
        <f>IFERROR(__xludf.DUMMYFUNCTION("""COMPUTED_VALUE"""),"CRLN")</f>
        <v>CRLN</v>
      </c>
      <c r="AF587" s="476"/>
      <c r="AG587" s="474" t="s">
        <v>171</v>
      </c>
      <c r="AH587" s="138" t="str">
        <f t="shared" si="11"/>
        <v/>
      </c>
    </row>
    <row r="588">
      <c r="A588" s="103" t="str">
        <f>IFERROR(__xludf.DUMMYFUNCTION("""COMPUTED_VALUE"""),"FLB5758")</f>
        <v>FLB5758</v>
      </c>
      <c r="B588" s="468">
        <f>IFERROR(__xludf.DUMMYFUNCTION("""COMPUTED_VALUE"""),44588.0)</f>
        <v>44588</v>
      </c>
      <c r="C588" s="469">
        <f>IFERROR(__xludf.DUMMYFUNCTION("""COMPUTED_VALUE"""),0.31877314814814817)</f>
        <v>0.3187731481</v>
      </c>
      <c r="D588" s="103" t="str">
        <f>IFERROR(__xludf.DUMMYFUNCTION("""COMPUTED_VALUE"""),"SpFLMP309785")</f>
        <v>SpFLMP309785</v>
      </c>
      <c r="E588" s="103"/>
      <c r="F588" s="103"/>
      <c r="G588" s="103" t="str">
        <f>IFERROR(__xludf.DUMMYFUNCTION("""COMPUTED_VALUE"""),"Negative")</f>
        <v>Negative</v>
      </c>
      <c r="H588" s="131" t="str">
        <f>IFERROR(__xludf.DUMMYFUNCTION("""COMPUTED_VALUE"""),"Negative")</f>
        <v>Negative</v>
      </c>
      <c r="I588" s="468">
        <f>IFERROR(__xludf.DUMMYFUNCTION("""COMPUTED_VALUE"""),44588.0)</f>
        <v>44588</v>
      </c>
      <c r="J588" s="470">
        <f>IFERROR(__xludf.DUMMYFUNCTION("""COMPUTED_VALUE"""),0.4483912037037037)</f>
        <v>0.4483912037</v>
      </c>
      <c r="K588" s="16"/>
      <c r="L588" s="8"/>
      <c r="M588" s="69"/>
      <c r="N588" s="69">
        <f>IFERROR(__xludf.DUMMYFUNCTION("""COMPUTED_VALUE"""),4.0)</f>
        <v>4</v>
      </c>
      <c r="O588" s="69" t="str">
        <f t="shared" si="3"/>
        <v/>
      </c>
      <c r="P588" s="471">
        <f>IFERROR(__xludf.DUMMYFUNCTION("""COMPUTED_VALUE"""),0.0)</f>
        <v>0</v>
      </c>
      <c r="Q588" s="274" t="b">
        <f>VLOOKUP($B588,'Run Reconcile'!B$2:O2488,14,FALSE)</f>
        <v>1</v>
      </c>
      <c r="R588" s="472" t="str">
        <f t="array" ref="R588">IF($Q588, INDEX('Run Reconcile'!A$2:A2488,MATCH(B588,'Run Reconcile'!B$2:B2488,0),1),IFERROR(0/0,""))</f>
        <v>RUN-FLMP_2022-01-27_APS-081</v>
      </c>
      <c r="S588" s="473" t="str">
        <f t="shared" si="694"/>
        <v/>
      </c>
      <c r="T588" s="473" t="str">
        <f t="shared" si="698"/>
        <v/>
      </c>
      <c r="U588" s="275" t="str">
        <f t="array" ref="U588">IF(ISBLANK($R588), INDEX('Run Reconcile'!A$2:A2488, MATCH($B588, 'Run Reconcile'!B$2:B2488, 0)+Z588, 1), IFERROR(0/0,""))
</f>
        <v/>
      </c>
      <c r="V588" s="474" t="str">
        <f t="shared" si="5"/>
        <v>RUN-FLMP_2022-01-27_APS-081</v>
      </c>
      <c r="Y588" s="89" t="str">
        <f t="shared" si="867"/>
        <v/>
      </c>
      <c r="Z588" s="60" t="str">
        <f t="shared" si="7"/>
        <v/>
      </c>
      <c r="AA588" s="60" t="str">
        <f t="shared" si="8"/>
        <v/>
      </c>
      <c r="AB588" s="60" t="str">
        <f t="shared" si="9"/>
        <v/>
      </c>
      <c r="AC588" s="30" t="str">
        <f t="shared" ref="AC588:AD588" si="944">IF(_xlfn.ISFORMULA(S588),IFERROR(0/0,""),TRUE)</f>
        <v/>
      </c>
      <c r="AD588" s="30" t="str">
        <f t="shared" si="944"/>
        <v/>
      </c>
      <c r="AE588" s="475" t="str">
        <f>IFERROR(__xludf.DUMMYFUNCTION("""COMPUTED_VALUE"""),"CRLN")</f>
        <v>CRLN</v>
      </c>
      <c r="AF588" s="476"/>
      <c r="AG588" s="474" t="s">
        <v>171</v>
      </c>
      <c r="AH588" s="138" t="str">
        <f t="shared" si="11"/>
        <v/>
      </c>
    </row>
    <row r="589">
      <c r="A589" s="103" t="str">
        <f>IFERROR(__xludf.DUMMYFUNCTION("""COMPUTED_VALUE"""),"FLE866")</f>
        <v>FLE866</v>
      </c>
      <c r="B589" s="468">
        <f>IFERROR(__xludf.DUMMYFUNCTION("""COMPUTED_VALUE"""),44588.0)</f>
        <v>44588</v>
      </c>
      <c r="C589" s="469">
        <f>IFERROR(__xludf.DUMMYFUNCTION("""COMPUTED_VALUE"""),0.3227314814814815)</f>
        <v>0.3227314815</v>
      </c>
      <c r="D589" s="103" t="str">
        <f>IFERROR(__xludf.DUMMYFUNCTION("""COMPUTED_VALUE"""),"SpFLMP939619")</f>
        <v>SpFLMP939619</v>
      </c>
      <c r="E589" s="103"/>
      <c r="F589" s="103"/>
      <c r="G589" s="103" t="str">
        <f>IFERROR(__xludf.DUMMYFUNCTION("""COMPUTED_VALUE"""),"Negative")</f>
        <v>Negative</v>
      </c>
      <c r="H589" s="131" t="str">
        <f>IFERROR(__xludf.DUMMYFUNCTION("""COMPUTED_VALUE"""),"Negative")</f>
        <v>Negative</v>
      </c>
      <c r="I589" s="468">
        <f>IFERROR(__xludf.DUMMYFUNCTION("""COMPUTED_VALUE"""),44588.0)</f>
        <v>44588</v>
      </c>
      <c r="J589" s="470">
        <f>IFERROR(__xludf.DUMMYFUNCTION("""COMPUTED_VALUE"""),0.4483912037037037)</f>
        <v>0.4483912037</v>
      </c>
      <c r="K589" s="16"/>
      <c r="L589" s="8"/>
      <c r="M589" s="69"/>
      <c r="N589" s="69">
        <f>IFERROR(__xludf.DUMMYFUNCTION("""COMPUTED_VALUE"""),1.0)</f>
        <v>1</v>
      </c>
      <c r="O589" s="69" t="str">
        <f t="shared" si="3"/>
        <v/>
      </c>
      <c r="P589" s="471">
        <f>IFERROR(__xludf.DUMMYFUNCTION("""COMPUTED_VALUE"""),0.0)</f>
        <v>0</v>
      </c>
      <c r="Q589" s="274" t="b">
        <f>VLOOKUP($B589,'Run Reconcile'!B$2:O2488,14,FALSE)</f>
        <v>1</v>
      </c>
      <c r="R589" s="472" t="str">
        <f t="array" ref="R589">IF($Q589, INDEX('Run Reconcile'!A$2:A2488,MATCH(B589,'Run Reconcile'!B$2:B2488,0),1),IFERROR(0/0,""))</f>
        <v>RUN-FLMP_2022-01-27_APS-081</v>
      </c>
      <c r="S589" s="473" t="str">
        <f t="shared" si="694"/>
        <v/>
      </c>
      <c r="T589" s="473" t="str">
        <f t="shared" si="698"/>
        <v/>
      </c>
      <c r="U589" s="275" t="str">
        <f t="array" ref="U589">IF(ISBLANK($R589), INDEX('Run Reconcile'!A$2:A2488, MATCH($B589, 'Run Reconcile'!B$2:B2488, 0)+Z589, 1), IFERROR(0/0,""))
</f>
        <v/>
      </c>
      <c r="V589" s="474" t="str">
        <f t="shared" si="5"/>
        <v>RUN-FLMP_2022-01-27_APS-081</v>
      </c>
      <c r="Y589" s="89" t="str">
        <f t="shared" si="867"/>
        <v/>
      </c>
      <c r="Z589" s="60" t="str">
        <f t="shared" si="7"/>
        <v/>
      </c>
      <c r="AA589" s="60" t="str">
        <f t="shared" si="8"/>
        <v/>
      </c>
      <c r="AB589" s="60" t="str">
        <f t="shared" si="9"/>
        <v/>
      </c>
      <c r="AC589" s="30" t="str">
        <f t="shared" ref="AC589:AD589" si="945">IF(_xlfn.ISFORMULA(S589),IFERROR(0/0,""),TRUE)</f>
        <v/>
      </c>
      <c r="AD589" s="30" t="str">
        <f t="shared" si="945"/>
        <v/>
      </c>
      <c r="AE589" s="475" t="str">
        <f>IFERROR(__xludf.DUMMYFUNCTION("""COMPUTED_VALUE"""),"CRLN")</f>
        <v>CRLN</v>
      </c>
      <c r="AF589" s="476"/>
      <c r="AG589" s="474" t="s">
        <v>171</v>
      </c>
      <c r="AH589" s="138" t="str">
        <f t="shared" si="11"/>
        <v/>
      </c>
    </row>
    <row r="590">
      <c r="A590" s="103" t="str">
        <f>IFERROR(__xludf.DUMMYFUNCTION("""COMPUTED_VALUE"""),"FLE859")</f>
        <v>FLE859</v>
      </c>
      <c r="B590" s="468">
        <f>IFERROR(__xludf.DUMMYFUNCTION("""COMPUTED_VALUE"""),44588.0)</f>
        <v>44588</v>
      </c>
      <c r="C590" s="469">
        <f>IFERROR(__xludf.DUMMYFUNCTION("""COMPUTED_VALUE"""),0.324537037037037)</f>
        <v>0.324537037</v>
      </c>
      <c r="D590" s="103" t="str">
        <f>IFERROR(__xludf.DUMMYFUNCTION("""COMPUTED_VALUE"""),"SpFLMP399694")</f>
        <v>SpFLMP399694</v>
      </c>
      <c r="E590" s="103"/>
      <c r="F590" s="103"/>
      <c r="G590" s="103" t="str">
        <f>IFERROR(__xludf.DUMMYFUNCTION("""COMPUTED_VALUE"""),"Negative")</f>
        <v>Negative</v>
      </c>
      <c r="H590" s="131" t="str">
        <f>IFERROR(__xludf.DUMMYFUNCTION("""COMPUTED_VALUE"""),"Negative")</f>
        <v>Negative</v>
      </c>
      <c r="I590" s="468">
        <f>IFERROR(__xludf.DUMMYFUNCTION("""COMPUTED_VALUE"""),44588.0)</f>
        <v>44588</v>
      </c>
      <c r="J590" s="470">
        <f>IFERROR(__xludf.DUMMYFUNCTION("""COMPUTED_VALUE"""),0.4722222222222222)</f>
        <v>0.4722222222</v>
      </c>
      <c r="K590" s="16"/>
      <c r="L590" s="8"/>
      <c r="M590" s="69"/>
      <c r="N590" s="69">
        <f>IFERROR(__xludf.DUMMYFUNCTION("""COMPUTED_VALUE"""),3.0)</f>
        <v>3</v>
      </c>
      <c r="O590" s="69" t="str">
        <f t="shared" si="3"/>
        <v/>
      </c>
      <c r="P590" s="471">
        <f>IFERROR(__xludf.DUMMYFUNCTION("""COMPUTED_VALUE"""),0.0)</f>
        <v>0</v>
      </c>
      <c r="Q590" s="274" t="b">
        <f>VLOOKUP($B590,'Run Reconcile'!B$2:O2488,14,FALSE)</f>
        <v>1</v>
      </c>
      <c r="R590" s="472" t="str">
        <f t="array" ref="R590">IF($Q590, INDEX('Run Reconcile'!A$2:A2488,MATCH(B590,'Run Reconcile'!B$2:B2488,0),1),IFERROR(0/0,""))</f>
        <v>RUN-FLMP_2022-01-27_APS-081</v>
      </c>
      <c r="S590" s="473" t="str">
        <f t="shared" si="694"/>
        <v/>
      </c>
      <c r="T590" s="473" t="str">
        <f t="shared" si="698"/>
        <v/>
      </c>
      <c r="U590" s="275" t="str">
        <f t="array" ref="U590">IF(ISBLANK($R590), INDEX('Run Reconcile'!A$2:A2488, MATCH($B590, 'Run Reconcile'!B$2:B2488, 0)+Z590, 1), IFERROR(0/0,""))
</f>
        <v/>
      </c>
      <c r="V590" s="474" t="str">
        <f t="shared" si="5"/>
        <v>RUN-FLMP_2022-01-27_APS-081</v>
      </c>
      <c r="Y590" s="89" t="str">
        <f t="shared" si="867"/>
        <v/>
      </c>
      <c r="Z590" s="60" t="str">
        <f t="shared" si="7"/>
        <v/>
      </c>
      <c r="AA590" s="60" t="str">
        <f t="shared" si="8"/>
        <v/>
      </c>
      <c r="AB590" s="60" t="str">
        <f t="shared" si="9"/>
        <v/>
      </c>
      <c r="AC590" s="30" t="str">
        <f t="shared" ref="AC590:AD590" si="946">IF(_xlfn.ISFORMULA(S590),IFERROR(0/0,""),TRUE)</f>
        <v/>
      </c>
      <c r="AD590" s="30" t="str">
        <f t="shared" si="946"/>
        <v/>
      </c>
      <c r="AE590" s="475" t="str">
        <f>IFERROR(__xludf.DUMMYFUNCTION("""COMPUTED_VALUE"""),"CRLN")</f>
        <v>CRLN</v>
      </c>
      <c r="AF590" s="476"/>
      <c r="AG590" s="474" t="s">
        <v>171</v>
      </c>
      <c r="AH590" s="138" t="str">
        <f t="shared" si="11"/>
        <v/>
      </c>
    </row>
    <row r="591">
      <c r="A591" s="103" t="str">
        <f>IFERROR(__xludf.DUMMYFUNCTION("""COMPUTED_VALUE"""),"FLB5877")</f>
        <v>FLB5877</v>
      </c>
      <c r="B591" s="468">
        <f>IFERROR(__xludf.DUMMYFUNCTION("""COMPUTED_VALUE"""),44588.0)</f>
        <v>44588</v>
      </c>
      <c r="C591" s="469">
        <f>IFERROR(__xludf.DUMMYFUNCTION("""COMPUTED_VALUE"""),0.3259837962962963)</f>
        <v>0.3259837963</v>
      </c>
      <c r="D591" s="103" t="str">
        <f>IFERROR(__xludf.DUMMYFUNCTION("""COMPUTED_VALUE"""),"SpFLMP170622")</f>
        <v>SpFLMP170622</v>
      </c>
      <c r="E591" s="103"/>
      <c r="F591" s="103"/>
      <c r="G591" s="103" t="str">
        <f>IFERROR(__xludf.DUMMYFUNCTION("""COMPUTED_VALUE"""),"Negative")</f>
        <v>Negative</v>
      </c>
      <c r="H591" s="131" t="str">
        <f>IFERROR(__xludf.DUMMYFUNCTION("""COMPUTED_VALUE"""),"Negative")</f>
        <v>Negative</v>
      </c>
      <c r="I591" s="468">
        <f>IFERROR(__xludf.DUMMYFUNCTION("""COMPUTED_VALUE"""),44588.0)</f>
        <v>44588</v>
      </c>
      <c r="J591" s="470">
        <f>IFERROR(__xludf.DUMMYFUNCTION("""COMPUTED_VALUE"""),0.4483912037037037)</f>
        <v>0.4483912037</v>
      </c>
      <c r="K591" s="16"/>
      <c r="L591" s="8"/>
      <c r="M591" s="69"/>
      <c r="N591" s="69">
        <f>IFERROR(__xludf.DUMMYFUNCTION("""COMPUTED_VALUE"""),4.0)</f>
        <v>4</v>
      </c>
      <c r="O591" s="69" t="str">
        <f t="shared" si="3"/>
        <v/>
      </c>
      <c r="P591" s="471">
        <f>IFERROR(__xludf.DUMMYFUNCTION("""COMPUTED_VALUE"""),0.0)</f>
        <v>0</v>
      </c>
      <c r="Q591" s="274" t="b">
        <f>VLOOKUP($B591,'Run Reconcile'!B$2:O2488,14,FALSE)</f>
        <v>1</v>
      </c>
      <c r="R591" s="472" t="str">
        <f t="array" ref="R591">IF($Q591, INDEX('Run Reconcile'!A$2:A2488,MATCH(B591,'Run Reconcile'!B$2:B2488,0),1),IFERROR(0/0,""))</f>
        <v>RUN-FLMP_2022-01-27_APS-081</v>
      </c>
      <c r="S591" s="473" t="str">
        <f t="shared" si="694"/>
        <v/>
      </c>
      <c r="T591" s="473" t="str">
        <f t="shared" si="698"/>
        <v/>
      </c>
      <c r="U591" s="275" t="str">
        <f t="array" ref="U591">IF(ISBLANK($R591), INDEX('Run Reconcile'!A$2:A2488, MATCH($B591, 'Run Reconcile'!B$2:B2488, 0)+Z591, 1), IFERROR(0/0,""))
</f>
        <v/>
      </c>
      <c r="V591" s="474" t="str">
        <f t="shared" si="5"/>
        <v>RUN-FLMP_2022-01-27_APS-081</v>
      </c>
      <c r="Y591" s="89" t="str">
        <f t="shared" si="867"/>
        <v/>
      </c>
      <c r="Z591" s="60" t="str">
        <f t="shared" si="7"/>
        <v/>
      </c>
      <c r="AA591" s="60" t="str">
        <f t="shared" si="8"/>
        <v/>
      </c>
      <c r="AB591" s="60" t="str">
        <f t="shared" si="9"/>
        <v/>
      </c>
      <c r="AC591" s="30" t="str">
        <f t="shared" ref="AC591:AD591" si="947">IF(_xlfn.ISFORMULA(S591),IFERROR(0/0,""),TRUE)</f>
        <v/>
      </c>
      <c r="AD591" s="30" t="str">
        <f t="shared" si="947"/>
        <v/>
      </c>
      <c r="AE591" s="475" t="str">
        <f>IFERROR(__xludf.DUMMYFUNCTION("""COMPUTED_VALUE"""),"CRLN")</f>
        <v>CRLN</v>
      </c>
      <c r="AF591" s="476"/>
      <c r="AG591" s="474" t="s">
        <v>171</v>
      </c>
      <c r="AH591" s="138" t="str">
        <f t="shared" si="11"/>
        <v/>
      </c>
    </row>
    <row r="592">
      <c r="A592" s="103" t="str">
        <f>IFERROR(__xludf.DUMMYFUNCTION("""COMPUTED_VALUE"""),"FLB5815")</f>
        <v>FLB5815</v>
      </c>
      <c r="B592" s="468">
        <f>IFERROR(__xludf.DUMMYFUNCTION("""COMPUTED_VALUE"""),44588.0)</f>
        <v>44588</v>
      </c>
      <c r="C592" s="469">
        <f>IFERROR(__xludf.DUMMYFUNCTION("""COMPUTED_VALUE"""),0.32837962962962963)</f>
        <v>0.3283796296</v>
      </c>
      <c r="D592" s="103" t="str">
        <f>IFERROR(__xludf.DUMMYFUNCTION("""COMPUTED_VALUE"""),"SpFLMP170622")</f>
        <v>SpFLMP170622</v>
      </c>
      <c r="E592" s="103"/>
      <c r="F592" s="103"/>
      <c r="G592" s="103" t="str">
        <f>IFERROR(__xludf.DUMMYFUNCTION("""COMPUTED_VALUE"""),"Negative")</f>
        <v>Negative</v>
      </c>
      <c r="H592" s="131" t="str">
        <f>IFERROR(__xludf.DUMMYFUNCTION("""COMPUTED_VALUE"""),"Negative")</f>
        <v>Negative</v>
      </c>
      <c r="I592" s="468">
        <f>IFERROR(__xludf.DUMMYFUNCTION("""COMPUTED_VALUE"""),44588.0)</f>
        <v>44588</v>
      </c>
      <c r="J592" s="470">
        <f>IFERROR(__xludf.DUMMYFUNCTION("""COMPUTED_VALUE"""),0.4483912037037037)</f>
        <v>0.4483912037</v>
      </c>
      <c r="K592" s="16"/>
      <c r="L592" s="8"/>
      <c r="M592" s="69"/>
      <c r="N592" s="69">
        <f>IFERROR(__xludf.DUMMYFUNCTION("""COMPUTED_VALUE"""),4.0)</f>
        <v>4</v>
      </c>
      <c r="O592" s="69" t="str">
        <f t="shared" si="3"/>
        <v/>
      </c>
      <c r="P592" s="471">
        <f>IFERROR(__xludf.DUMMYFUNCTION("""COMPUTED_VALUE"""),0.0)</f>
        <v>0</v>
      </c>
      <c r="Q592" s="274" t="b">
        <f>VLOOKUP($B592,'Run Reconcile'!B$2:O2488,14,FALSE)</f>
        <v>1</v>
      </c>
      <c r="R592" s="472" t="str">
        <f t="array" ref="R592">IF($Q592, INDEX('Run Reconcile'!A$2:A2488,MATCH(B592,'Run Reconcile'!B$2:B2488,0),1),IFERROR(0/0,""))</f>
        <v>RUN-FLMP_2022-01-27_APS-081</v>
      </c>
      <c r="S592" s="473" t="str">
        <f t="shared" si="694"/>
        <v/>
      </c>
      <c r="T592" s="473" t="str">
        <f t="shared" si="698"/>
        <v/>
      </c>
      <c r="U592" s="275" t="str">
        <f t="array" ref="U592">IF(ISBLANK($R592), INDEX('Run Reconcile'!A$2:A2488, MATCH($B592, 'Run Reconcile'!B$2:B2488, 0)+Z592, 1), IFERROR(0/0,""))
</f>
        <v/>
      </c>
      <c r="V592" s="474" t="str">
        <f t="shared" si="5"/>
        <v>RUN-FLMP_2022-01-27_APS-081</v>
      </c>
      <c r="Y592" s="89" t="str">
        <f t="shared" si="867"/>
        <v/>
      </c>
      <c r="Z592" s="60" t="str">
        <f t="shared" si="7"/>
        <v/>
      </c>
      <c r="AA592" s="60" t="str">
        <f t="shared" si="8"/>
        <v/>
      </c>
      <c r="AB592" s="60" t="str">
        <f t="shared" si="9"/>
        <v/>
      </c>
      <c r="AC592" s="30" t="str">
        <f t="shared" ref="AC592:AD592" si="948">IF(_xlfn.ISFORMULA(S592),IFERROR(0/0,""),TRUE)</f>
        <v/>
      </c>
      <c r="AD592" s="30" t="str">
        <f t="shared" si="948"/>
        <v/>
      </c>
      <c r="AE592" s="475" t="str">
        <f>IFERROR(__xludf.DUMMYFUNCTION("""COMPUTED_VALUE"""),"CRLN")</f>
        <v>CRLN</v>
      </c>
      <c r="AF592" s="476"/>
      <c r="AG592" s="474" t="s">
        <v>171</v>
      </c>
      <c r="AH592" s="138" t="str">
        <f t="shared" si="11"/>
        <v/>
      </c>
    </row>
    <row r="593">
      <c r="A593" s="103" t="str">
        <f>IFERROR(__xludf.DUMMYFUNCTION("""COMPUTED_VALUE"""),"FLB7142")</f>
        <v>FLB7142</v>
      </c>
      <c r="B593" s="468">
        <f>IFERROR(__xludf.DUMMYFUNCTION("""COMPUTED_VALUE"""),44588.0)</f>
        <v>44588</v>
      </c>
      <c r="C593" s="469">
        <f>IFERROR(__xludf.DUMMYFUNCTION("""COMPUTED_VALUE"""),0.32966435185185183)</f>
        <v>0.3296643519</v>
      </c>
      <c r="D593" s="103" t="str">
        <f>IFERROR(__xludf.DUMMYFUNCTION("""COMPUTED_VALUE"""),"SpFLMP268514")</f>
        <v>SpFLMP268514</v>
      </c>
      <c r="E593" s="103"/>
      <c r="F593" s="103"/>
      <c r="G593" s="103" t="str">
        <f>IFERROR(__xludf.DUMMYFUNCTION("""COMPUTED_VALUE"""),"Negative")</f>
        <v>Negative</v>
      </c>
      <c r="H593" s="131" t="str">
        <f>IFERROR(__xludf.DUMMYFUNCTION("""COMPUTED_VALUE"""),"Negative")</f>
        <v>Negative</v>
      </c>
      <c r="I593" s="468">
        <f>IFERROR(__xludf.DUMMYFUNCTION("""COMPUTED_VALUE"""),44588.0)</f>
        <v>44588</v>
      </c>
      <c r="J593" s="470">
        <f>IFERROR(__xludf.DUMMYFUNCTION("""COMPUTED_VALUE"""),0.4483912037037037)</f>
        <v>0.4483912037</v>
      </c>
      <c r="K593" s="16"/>
      <c r="L593" s="8"/>
      <c r="M593" s="69"/>
      <c r="N593" s="69">
        <f>IFERROR(__xludf.DUMMYFUNCTION("""COMPUTED_VALUE"""),3.0)</f>
        <v>3</v>
      </c>
      <c r="O593" s="69" t="str">
        <f t="shared" si="3"/>
        <v/>
      </c>
      <c r="P593" s="471">
        <f>IFERROR(__xludf.DUMMYFUNCTION("""COMPUTED_VALUE"""),0.0)</f>
        <v>0</v>
      </c>
      <c r="Q593" s="274" t="b">
        <f>VLOOKUP($B593,'Run Reconcile'!B$2:O2488,14,FALSE)</f>
        <v>1</v>
      </c>
      <c r="R593" s="472" t="str">
        <f t="array" ref="R593">IF($Q593, INDEX('Run Reconcile'!A$2:A2488,MATCH(B593,'Run Reconcile'!B$2:B2488,0),1),IFERROR(0/0,""))</f>
        <v>RUN-FLMP_2022-01-27_APS-081</v>
      </c>
      <c r="S593" s="473" t="str">
        <f t="shared" si="694"/>
        <v/>
      </c>
      <c r="T593" s="473" t="str">
        <f t="shared" si="698"/>
        <v/>
      </c>
      <c r="U593" s="275" t="str">
        <f t="array" ref="U593">IF(ISBLANK($R593), INDEX('Run Reconcile'!A$2:A2488, MATCH($B593, 'Run Reconcile'!B$2:B2488, 0)+Z593, 1), IFERROR(0/0,""))
</f>
        <v/>
      </c>
      <c r="V593" s="474" t="str">
        <f t="shared" si="5"/>
        <v>RUN-FLMP_2022-01-27_APS-081</v>
      </c>
      <c r="Y593" s="89" t="str">
        <f t="shared" si="867"/>
        <v/>
      </c>
      <c r="Z593" s="60" t="str">
        <f t="shared" si="7"/>
        <v/>
      </c>
      <c r="AA593" s="60" t="str">
        <f t="shared" si="8"/>
        <v/>
      </c>
      <c r="AB593" s="60" t="str">
        <f t="shared" si="9"/>
        <v/>
      </c>
      <c r="AC593" s="30" t="str">
        <f t="shared" ref="AC593:AD593" si="949">IF(_xlfn.ISFORMULA(S593),IFERROR(0/0,""),TRUE)</f>
        <v/>
      </c>
      <c r="AD593" s="30" t="str">
        <f t="shared" si="949"/>
        <v/>
      </c>
      <c r="AE593" s="475" t="str">
        <f>IFERROR(__xludf.DUMMYFUNCTION("""COMPUTED_VALUE"""),"CRLN")</f>
        <v>CRLN</v>
      </c>
      <c r="AF593" s="476"/>
      <c r="AG593" s="474" t="s">
        <v>171</v>
      </c>
      <c r="AH593" s="138" t="str">
        <f t="shared" si="11"/>
        <v/>
      </c>
    </row>
    <row r="594">
      <c r="A594" s="103" t="str">
        <f>IFERROR(__xludf.DUMMYFUNCTION("""COMPUTED_VALUE"""),"MA1336")</f>
        <v>MA1336</v>
      </c>
      <c r="B594" s="468">
        <f>IFERROR(__xludf.DUMMYFUNCTION("""COMPUTED_VALUE"""),44588.0)</f>
        <v>44588</v>
      </c>
      <c r="C594" s="469">
        <f>IFERROR(__xludf.DUMMYFUNCTION("""COMPUTED_VALUE"""),0.33069444444444446)</f>
        <v>0.3306944444</v>
      </c>
      <c r="D594" s="103" t="str">
        <f>IFERROR(__xludf.DUMMYFUNCTION("""COMPUTED_VALUE"""),"SpFLMP659315")</f>
        <v>SpFLMP659315</v>
      </c>
      <c r="E594" s="103"/>
      <c r="F594" s="103"/>
      <c r="G594" s="103" t="str">
        <f>IFERROR(__xludf.DUMMYFUNCTION("""COMPUTED_VALUE"""),"Negative")</f>
        <v>Negative</v>
      </c>
      <c r="H594" s="131" t="str">
        <f>IFERROR(__xludf.DUMMYFUNCTION("""COMPUTED_VALUE"""),"Negative")</f>
        <v>Negative</v>
      </c>
      <c r="I594" s="468">
        <f>IFERROR(__xludf.DUMMYFUNCTION("""COMPUTED_VALUE"""),44604.0)</f>
        <v>44604</v>
      </c>
      <c r="J594" s="470">
        <f>IFERROR(__xludf.DUMMYFUNCTION("""COMPUTED_VALUE"""),0.5025925925925926)</f>
        <v>0.5025925926</v>
      </c>
      <c r="K594" s="16"/>
      <c r="L594" s="8"/>
      <c r="M594" s="69"/>
      <c r="N594" s="69">
        <f>IFERROR(__xludf.DUMMYFUNCTION("""COMPUTED_VALUE"""),1.0)</f>
        <v>1</v>
      </c>
      <c r="O594" s="69" t="str">
        <f t="shared" si="3"/>
        <v/>
      </c>
      <c r="P594" s="471">
        <f>IFERROR(__xludf.DUMMYFUNCTION("""COMPUTED_VALUE"""),16.0)</f>
        <v>16</v>
      </c>
      <c r="Q594" s="274" t="b">
        <f>VLOOKUP($B594,'Run Reconcile'!B$2:O2488,14,FALSE)</f>
        <v>1</v>
      </c>
      <c r="R594" s="472" t="str">
        <f t="array" ref="R594">IF($Q594, INDEX('Run Reconcile'!A$2:A2488,MATCH(B594,'Run Reconcile'!B$2:B2488,0),1),IFERROR(0/0,""))</f>
        <v>RUN-FLMP_2022-01-27_APS-081</v>
      </c>
      <c r="S594" s="473" t="str">
        <f t="shared" si="694"/>
        <v/>
      </c>
      <c r="T594" s="473" t="str">
        <f t="shared" si="698"/>
        <v/>
      </c>
      <c r="U594" s="275" t="str">
        <f t="array" ref="U594">IF(ISBLANK($R594), INDEX('Run Reconcile'!A$2:A2488, MATCH($B594, 'Run Reconcile'!B$2:B2488, 0)+Z594, 1), IFERROR(0/0,""))
</f>
        <v/>
      </c>
      <c r="V594" s="474" t="str">
        <f t="shared" si="5"/>
        <v>RUN-FLMP_2022-01-27_APS-081</v>
      </c>
      <c r="Y594" s="89" t="str">
        <f t="shared" si="867"/>
        <v/>
      </c>
      <c r="Z594" s="60" t="str">
        <f t="shared" si="7"/>
        <v/>
      </c>
      <c r="AA594" s="60" t="str">
        <f t="shared" si="8"/>
        <v/>
      </c>
      <c r="AB594" s="60" t="str">
        <f t="shared" si="9"/>
        <v/>
      </c>
      <c r="AC594" s="30" t="str">
        <f t="shared" ref="AC594:AD594" si="950">IF(_xlfn.ISFORMULA(S594),IFERROR(0/0,""),TRUE)</f>
        <v/>
      </c>
      <c r="AD594" s="30" t="str">
        <f t="shared" si="950"/>
        <v/>
      </c>
      <c r="AE594" s="475" t="str">
        <f>IFERROR(__xludf.DUMMYFUNCTION("""COMPUTED_VALUE"""),"CRLN")</f>
        <v>CRLN</v>
      </c>
      <c r="AF594" s="476"/>
      <c r="AG594" s="474" t="s">
        <v>171</v>
      </c>
      <c r="AH594" s="138" t="str">
        <f t="shared" si="11"/>
        <v/>
      </c>
    </row>
    <row r="595">
      <c r="A595" s="103" t="str">
        <f>IFERROR(__xludf.DUMMYFUNCTION("""COMPUTED_VALUE"""),"MA1364")</f>
        <v>MA1364</v>
      </c>
      <c r="B595" s="468">
        <f>IFERROR(__xludf.DUMMYFUNCTION("""COMPUTED_VALUE"""),44588.0)</f>
        <v>44588</v>
      </c>
      <c r="C595" s="469">
        <f>IFERROR(__xludf.DUMMYFUNCTION("""COMPUTED_VALUE"""),0.3309490740740741)</f>
        <v>0.3309490741</v>
      </c>
      <c r="D595" s="103" t="str">
        <f>IFERROR(__xludf.DUMMYFUNCTION("""COMPUTED_VALUE"""),"SpFLMP659315")</f>
        <v>SpFLMP659315</v>
      </c>
      <c r="E595" s="103"/>
      <c r="F595" s="103"/>
      <c r="G595" s="103" t="str">
        <f>IFERROR(__xludf.DUMMYFUNCTION("""COMPUTED_VALUE"""),"Null")</f>
        <v>Null</v>
      </c>
      <c r="H595" s="131" t="str">
        <f>IFERROR(__xludf.DUMMYFUNCTION("""COMPUTED_VALUE"""),"Negative")</f>
        <v>Negative</v>
      </c>
      <c r="I595" s="468"/>
      <c r="J595" s="16"/>
      <c r="K595" s="16">
        <f>IFERROR(__xludf.DUMMYFUNCTION("""COMPUTED_VALUE"""),2.0)</f>
        <v>2</v>
      </c>
      <c r="L595" s="8" t="str">
        <f>IFERROR(__xludf.DUMMYFUNCTION("""COMPUTED_VALUE"""),"neg result reported in daily results report")</f>
        <v>neg result reported in daily results report</v>
      </c>
      <c r="M595" s="69"/>
      <c r="N595" s="69">
        <f>IFERROR(__xludf.DUMMYFUNCTION("""COMPUTED_VALUE"""),1.0)</f>
        <v>1</v>
      </c>
      <c r="O595" s="69" t="str">
        <f t="shared" si="3"/>
        <v/>
      </c>
      <c r="P595" s="471">
        <f>IFERROR(__xludf.DUMMYFUNCTION("""COMPUTED_VALUE"""),-1.0)</f>
        <v>-1</v>
      </c>
      <c r="Q595" s="274" t="b">
        <f>VLOOKUP($B595,'Run Reconcile'!B$2:O2488,14,FALSE)</f>
        <v>1</v>
      </c>
      <c r="R595" s="472" t="str">
        <f t="array" ref="R595">IF($Q595, INDEX('Run Reconcile'!A$2:A2488,MATCH(B595,'Run Reconcile'!B$2:B2488,0),1),IFERROR(0/0,""))</f>
        <v>RUN-FLMP_2022-01-27_APS-081</v>
      </c>
      <c r="S595" s="473" t="str">
        <f t="shared" si="694"/>
        <v/>
      </c>
      <c r="T595" s="473" t="str">
        <f t="shared" si="698"/>
        <v/>
      </c>
      <c r="U595" s="275" t="str">
        <f t="array" ref="U595">IF(ISBLANK($R595), INDEX('Run Reconcile'!A$2:A2488, MATCH($B595, 'Run Reconcile'!B$2:B2488, 0)+Z595, 1), IFERROR(0/0,""))
</f>
        <v/>
      </c>
      <c r="V595" s="474" t="str">
        <f t="shared" si="5"/>
        <v>RUN-FLMP_2022-01-27_APS-081</v>
      </c>
      <c r="Y595" s="89" t="str">
        <f t="shared" si="867"/>
        <v/>
      </c>
      <c r="Z595" s="60" t="str">
        <f t="shared" si="7"/>
        <v/>
      </c>
      <c r="AA595" s="60" t="str">
        <f t="shared" si="8"/>
        <v/>
      </c>
      <c r="AB595" s="60" t="str">
        <f t="shared" si="9"/>
        <v/>
      </c>
      <c r="AC595" s="30" t="str">
        <f t="shared" ref="AC595:AD595" si="951">IF(_xlfn.ISFORMULA(S595),IFERROR(0/0,""),TRUE)</f>
        <v/>
      </c>
      <c r="AD595" s="30" t="str">
        <f t="shared" si="951"/>
        <v/>
      </c>
      <c r="AE595" s="475" t="str">
        <f>IFERROR(__xludf.DUMMYFUNCTION("""COMPUTED_VALUE"""),"CRLN")</f>
        <v>CRLN</v>
      </c>
      <c r="AF595" s="476"/>
      <c r="AG595" s="474" t="s">
        <v>171</v>
      </c>
      <c r="AH595" s="138" t="str">
        <f t="shared" si="11"/>
        <v/>
      </c>
    </row>
    <row r="596">
      <c r="A596" s="103" t="str">
        <f>IFERROR(__xludf.DUMMYFUNCTION("""COMPUTED_VALUE"""),"FLT192")</f>
        <v>FLT192</v>
      </c>
      <c r="B596" s="468">
        <f>IFERROR(__xludf.DUMMYFUNCTION("""COMPUTED_VALUE"""),44588.0)</f>
        <v>44588</v>
      </c>
      <c r="C596" s="469">
        <f>IFERROR(__xludf.DUMMYFUNCTION("""COMPUTED_VALUE"""),0.3318402777777778)</f>
        <v>0.3318402778</v>
      </c>
      <c r="D596" s="103" t="str">
        <f>IFERROR(__xludf.DUMMYFUNCTION("""COMPUTED_VALUE"""),"SpFLMP659315")</f>
        <v>SpFLMP659315</v>
      </c>
      <c r="E596" s="103"/>
      <c r="F596" s="103"/>
      <c r="G596" s="103" t="str">
        <f>IFERROR(__xludf.DUMMYFUNCTION("""COMPUTED_VALUE"""),"Negative")</f>
        <v>Negative</v>
      </c>
      <c r="H596" s="131" t="str">
        <f>IFERROR(__xludf.DUMMYFUNCTION("""COMPUTED_VALUE"""),"Negative")</f>
        <v>Negative</v>
      </c>
      <c r="I596" s="468">
        <f>IFERROR(__xludf.DUMMYFUNCTION("""COMPUTED_VALUE"""),44588.0)</f>
        <v>44588</v>
      </c>
      <c r="J596" s="470">
        <f>IFERROR(__xludf.DUMMYFUNCTION("""COMPUTED_VALUE"""),0.4483912037037037)</f>
        <v>0.4483912037</v>
      </c>
      <c r="K596" s="16"/>
      <c r="L596" s="8"/>
      <c r="M596" s="69"/>
      <c r="N596" s="69">
        <f>IFERROR(__xludf.DUMMYFUNCTION("""COMPUTED_VALUE"""),3.0)</f>
        <v>3</v>
      </c>
      <c r="O596" s="69" t="str">
        <f t="shared" si="3"/>
        <v/>
      </c>
      <c r="P596" s="471">
        <f>IFERROR(__xludf.DUMMYFUNCTION("""COMPUTED_VALUE"""),0.0)</f>
        <v>0</v>
      </c>
      <c r="Q596" s="274" t="b">
        <f>VLOOKUP($B596,'Run Reconcile'!B$2:O2488,14,FALSE)</f>
        <v>1</v>
      </c>
      <c r="R596" s="472" t="str">
        <f t="array" ref="R596">IF($Q596, INDEX('Run Reconcile'!A$2:A2488,MATCH(B596,'Run Reconcile'!B$2:B2488,0),1),IFERROR(0/0,""))</f>
        <v>RUN-FLMP_2022-01-27_APS-081</v>
      </c>
      <c r="S596" s="473" t="str">
        <f t="shared" si="694"/>
        <v/>
      </c>
      <c r="T596" s="473" t="str">
        <f t="shared" si="698"/>
        <v/>
      </c>
      <c r="U596" s="275" t="str">
        <f t="array" ref="U596">IF(ISBLANK($R596), INDEX('Run Reconcile'!A$2:A2488, MATCH($B596, 'Run Reconcile'!B$2:B2488, 0)+Z596, 1), IFERROR(0/0,""))
</f>
        <v/>
      </c>
      <c r="V596" s="474" t="str">
        <f t="shared" si="5"/>
        <v>RUN-FLMP_2022-01-27_APS-081</v>
      </c>
      <c r="Y596" s="89" t="str">
        <f t="shared" si="867"/>
        <v/>
      </c>
      <c r="Z596" s="60" t="str">
        <f t="shared" si="7"/>
        <v/>
      </c>
      <c r="AA596" s="60" t="str">
        <f t="shared" si="8"/>
        <v/>
      </c>
      <c r="AB596" s="60" t="str">
        <f t="shared" si="9"/>
        <v/>
      </c>
      <c r="AC596" s="30" t="str">
        <f t="shared" ref="AC596:AD596" si="952">IF(_xlfn.ISFORMULA(S596),IFERROR(0/0,""),TRUE)</f>
        <v/>
      </c>
      <c r="AD596" s="30" t="str">
        <f t="shared" si="952"/>
        <v/>
      </c>
      <c r="AE596" s="475" t="str">
        <f>IFERROR(__xludf.DUMMYFUNCTION("""COMPUTED_VALUE"""),"CRLN")</f>
        <v>CRLN</v>
      </c>
      <c r="AF596" s="476"/>
      <c r="AG596" s="474" t="s">
        <v>171</v>
      </c>
      <c r="AH596" s="138" t="str">
        <f t="shared" si="11"/>
        <v/>
      </c>
    </row>
    <row r="597">
      <c r="A597" s="103" t="str">
        <f>IFERROR(__xludf.DUMMYFUNCTION("""COMPUTED_VALUE"""),"FLT1163")</f>
        <v>FLT1163</v>
      </c>
      <c r="B597" s="468">
        <f>IFERROR(__xludf.DUMMYFUNCTION("""COMPUTED_VALUE"""),44588.0)</f>
        <v>44588</v>
      </c>
      <c r="C597" s="469">
        <f>IFERROR(__xludf.DUMMYFUNCTION("""COMPUTED_VALUE"""),0.33800925925925923)</f>
        <v>0.3380092593</v>
      </c>
      <c r="D597" s="103" t="str">
        <f>IFERROR(__xludf.DUMMYFUNCTION("""COMPUTED_VALUE"""),"SpFLMP544731")</f>
        <v>SpFLMP544731</v>
      </c>
      <c r="E597" s="103"/>
      <c r="F597" s="103"/>
      <c r="G597" s="103" t="str">
        <f>IFERROR(__xludf.DUMMYFUNCTION("""COMPUTED_VALUE"""),"Negative")</f>
        <v>Negative</v>
      </c>
      <c r="H597" s="131" t="str">
        <f>IFERROR(__xludf.DUMMYFUNCTION("""COMPUTED_VALUE"""),"Negative")</f>
        <v>Negative</v>
      </c>
      <c r="I597" s="468">
        <f>IFERROR(__xludf.DUMMYFUNCTION("""COMPUTED_VALUE"""),44588.0)</f>
        <v>44588</v>
      </c>
      <c r="J597" s="470">
        <f>IFERROR(__xludf.DUMMYFUNCTION("""COMPUTED_VALUE"""),0.4483912037037037)</f>
        <v>0.4483912037</v>
      </c>
      <c r="K597" s="16"/>
      <c r="L597" s="8"/>
      <c r="M597" s="69"/>
      <c r="N597" s="69">
        <f>IFERROR(__xludf.DUMMYFUNCTION("""COMPUTED_VALUE"""),1.0)</f>
        <v>1</v>
      </c>
      <c r="O597" s="69" t="str">
        <f t="shared" si="3"/>
        <v/>
      </c>
      <c r="P597" s="471">
        <f>IFERROR(__xludf.DUMMYFUNCTION("""COMPUTED_VALUE"""),0.0)</f>
        <v>0</v>
      </c>
      <c r="Q597" s="274" t="b">
        <f>VLOOKUP($B597,'Run Reconcile'!B$2:O2488,14,FALSE)</f>
        <v>1</v>
      </c>
      <c r="R597" s="472" t="str">
        <f t="array" ref="R597">IF($Q597, INDEX('Run Reconcile'!A$2:A2488,MATCH(B597,'Run Reconcile'!B$2:B2488,0),1),IFERROR(0/0,""))</f>
        <v>RUN-FLMP_2022-01-27_APS-081</v>
      </c>
      <c r="S597" s="473" t="str">
        <f t="shared" si="694"/>
        <v/>
      </c>
      <c r="T597" s="473" t="str">
        <f t="shared" si="698"/>
        <v/>
      </c>
      <c r="U597" s="275" t="str">
        <f t="array" ref="U597">IF(ISBLANK($R597), INDEX('Run Reconcile'!A$2:A2488, MATCH($B597, 'Run Reconcile'!B$2:B2488, 0)+Z597, 1), IFERROR(0/0,""))
</f>
        <v/>
      </c>
      <c r="V597" s="474" t="str">
        <f t="shared" si="5"/>
        <v>RUN-FLMP_2022-01-27_APS-081</v>
      </c>
      <c r="Y597" s="89" t="str">
        <f t="shared" si="867"/>
        <v/>
      </c>
      <c r="Z597" s="60" t="str">
        <f t="shared" si="7"/>
        <v/>
      </c>
      <c r="AA597" s="60" t="str">
        <f t="shared" si="8"/>
        <v/>
      </c>
      <c r="AB597" s="60" t="str">
        <f t="shared" si="9"/>
        <v/>
      </c>
      <c r="AC597" s="30" t="str">
        <f t="shared" ref="AC597:AD597" si="953">IF(_xlfn.ISFORMULA(S597),IFERROR(0/0,""),TRUE)</f>
        <v/>
      </c>
      <c r="AD597" s="30" t="str">
        <f t="shared" si="953"/>
        <v/>
      </c>
      <c r="AE597" s="475" t="str">
        <f>IFERROR(__xludf.DUMMYFUNCTION("""COMPUTED_VALUE"""),"CRLN")</f>
        <v>CRLN</v>
      </c>
      <c r="AF597" s="476"/>
      <c r="AG597" s="474" t="s">
        <v>171</v>
      </c>
      <c r="AH597" s="138" t="str">
        <f t="shared" si="11"/>
        <v/>
      </c>
    </row>
    <row r="598">
      <c r="A598" s="103" t="str">
        <f>IFERROR(__xludf.DUMMYFUNCTION("""COMPUTED_VALUE"""),"FLB5884")</f>
        <v>FLB5884</v>
      </c>
      <c r="B598" s="468">
        <f>IFERROR(__xludf.DUMMYFUNCTION("""COMPUTED_VALUE"""),44588.0)</f>
        <v>44588</v>
      </c>
      <c r="C598" s="469">
        <f>IFERROR(__xludf.DUMMYFUNCTION("""COMPUTED_VALUE"""),0.3436111111111111)</f>
        <v>0.3436111111</v>
      </c>
      <c r="D598" s="103" t="str">
        <f>IFERROR(__xludf.DUMMYFUNCTION("""COMPUTED_VALUE"""),"SpFLMP600756")</f>
        <v>SpFLMP600756</v>
      </c>
      <c r="E598" s="103"/>
      <c r="F598" s="103"/>
      <c r="G598" s="103" t="str">
        <f>IFERROR(__xludf.DUMMYFUNCTION("""COMPUTED_VALUE"""),"Negative")</f>
        <v>Negative</v>
      </c>
      <c r="H598" s="131" t="str">
        <f>IFERROR(__xludf.DUMMYFUNCTION("""COMPUTED_VALUE"""),"Negative")</f>
        <v>Negative</v>
      </c>
      <c r="I598" s="468">
        <f>IFERROR(__xludf.DUMMYFUNCTION("""COMPUTED_VALUE"""),44588.0)</f>
        <v>44588</v>
      </c>
      <c r="J598" s="470">
        <f>IFERROR(__xludf.DUMMYFUNCTION("""COMPUTED_VALUE"""),0.4483912037037037)</f>
        <v>0.4483912037</v>
      </c>
      <c r="K598" s="16"/>
      <c r="L598" s="8"/>
      <c r="M598" s="69"/>
      <c r="N598" s="69">
        <f>IFERROR(__xludf.DUMMYFUNCTION("""COMPUTED_VALUE"""),2.0)</f>
        <v>2</v>
      </c>
      <c r="O598" s="69" t="str">
        <f t="shared" si="3"/>
        <v/>
      </c>
      <c r="P598" s="471">
        <f>IFERROR(__xludf.DUMMYFUNCTION("""COMPUTED_VALUE"""),0.0)</f>
        <v>0</v>
      </c>
      <c r="Q598" s="274" t="b">
        <f>VLOOKUP($B598,'Run Reconcile'!B$2:O2488,14,FALSE)</f>
        <v>1</v>
      </c>
      <c r="R598" s="472" t="str">
        <f t="array" ref="R598">IF($Q598, INDEX('Run Reconcile'!A$2:A2488,MATCH(B598,'Run Reconcile'!B$2:B2488,0),1),IFERROR(0/0,""))</f>
        <v>RUN-FLMP_2022-01-27_APS-081</v>
      </c>
      <c r="S598" s="473" t="str">
        <f t="shared" si="694"/>
        <v/>
      </c>
      <c r="T598" s="473" t="str">
        <f t="shared" si="698"/>
        <v/>
      </c>
      <c r="U598" s="275" t="str">
        <f t="array" ref="U598">IF(ISBLANK($R598), INDEX('Run Reconcile'!A$2:A2488, MATCH($B598, 'Run Reconcile'!B$2:B2488, 0)+Z598, 1), IFERROR(0/0,""))
</f>
        <v/>
      </c>
      <c r="V598" s="474" t="str">
        <f t="shared" si="5"/>
        <v>RUN-FLMP_2022-01-27_APS-081</v>
      </c>
      <c r="Y598" s="89" t="str">
        <f t="shared" si="867"/>
        <v/>
      </c>
      <c r="Z598" s="60" t="str">
        <f t="shared" si="7"/>
        <v/>
      </c>
      <c r="AA598" s="60" t="str">
        <f t="shared" si="8"/>
        <v/>
      </c>
      <c r="AB598" s="60" t="str">
        <f t="shared" si="9"/>
        <v/>
      </c>
      <c r="AC598" s="30" t="str">
        <f t="shared" ref="AC598:AD598" si="954">IF(_xlfn.ISFORMULA(S598),IFERROR(0/0,""),TRUE)</f>
        <v/>
      </c>
      <c r="AD598" s="30" t="str">
        <f t="shared" si="954"/>
        <v/>
      </c>
      <c r="AE598" s="475" t="str">
        <f>IFERROR(__xludf.DUMMYFUNCTION("""COMPUTED_VALUE"""),"CRLN")</f>
        <v>CRLN</v>
      </c>
      <c r="AF598" s="476"/>
      <c r="AG598" s="474" t="s">
        <v>171</v>
      </c>
      <c r="AH598" s="138" t="str">
        <f t="shared" si="11"/>
        <v/>
      </c>
    </row>
    <row r="599">
      <c r="A599" s="103" t="str">
        <f>IFERROR(__xludf.DUMMYFUNCTION("""COMPUTED_VALUE"""),"FLT1486")</f>
        <v>FLT1486</v>
      </c>
      <c r="B599" s="468">
        <f>IFERROR(__xludf.DUMMYFUNCTION("""COMPUTED_VALUE"""),44588.0)</f>
        <v>44588</v>
      </c>
      <c r="C599" s="469">
        <f>IFERROR(__xludf.DUMMYFUNCTION("""COMPUTED_VALUE"""),0.34443287037037035)</f>
        <v>0.3444328704</v>
      </c>
      <c r="D599" s="103" t="str">
        <f>IFERROR(__xludf.DUMMYFUNCTION("""COMPUTED_VALUE"""),"SpFLMP518914")</f>
        <v>SpFLMP518914</v>
      </c>
      <c r="E599" s="103"/>
      <c r="F599" s="103"/>
      <c r="G599" s="103" t="str">
        <f>IFERROR(__xludf.DUMMYFUNCTION("""COMPUTED_VALUE"""),"Negative")</f>
        <v>Negative</v>
      </c>
      <c r="H599" s="131" t="str">
        <f>IFERROR(__xludf.DUMMYFUNCTION("""COMPUTED_VALUE"""),"Negative")</f>
        <v>Negative</v>
      </c>
      <c r="I599" s="468">
        <f>IFERROR(__xludf.DUMMYFUNCTION("""COMPUTED_VALUE"""),44588.0)</f>
        <v>44588</v>
      </c>
      <c r="J599" s="470">
        <f>IFERROR(__xludf.DUMMYFUNCTION("""COMPUTED_VALUE"""),0.44840277777777776)</f>
        <v>0.4484027778</v>
      </c>
      <c r="K599" s="16"/>
      <c r="L599" s="8"/>
      <c r="M599" s="69"/>
      <c r="N599" s="69">
        <f>IFERROR(__xludf.DUMMYFUNCTION("""COMPUTED_VALUE"""),2.0)</f>
        <v>2</v>
      </c>
      <c r="O599" s="69" t="str">
        <f t="shared" si="3"/>
        <v/>
      </c>
      <c r="P599" s="471">
        <f>IFERROR(__xludf.DUMMYFUNCTION("""COMPUTED_VALUE"""),0.0)</f>
        <v>0</v>
      </c>
      <c r="Q599" s="274" t="b">
        <f>VLOOKUP($B599,'Run Reconcile'!B$2:O2488,14,FALSE)</f>
        <v>1</v>
      </c>
      <c r="R599" s="472" t="str">
        <f t="array" ref="R599">IF($Q599, INDEX('Run Reconcile'!A$2:A2488,MATCH(B599,'Run Reconcile'!B$2:B2488,0),1),IFERROR(0/0,""))</f>
        <v>RUN-FLMP_2022-01-27_APS-081</v>
      </c>
      <c r="S599" s="473" t="str">
        <f t="shared" si="694"/>
        <v/>
      </c>
      <c r="T599" s="473" t="str">
        <f t="shared" si="698"/>
        <v/>
      </c>
      <c r="U599" s="275" t="str">
        <f t="array" ref="U599">IF(ISBLANK($R599), INDEX('Run Reconcile'!A$2:A2488, MATCH($B599, 'Run Reconcile'!B$2:B2488, 0)+Z599, 1), IFERROR(0/0,""))
</f>
        <v/>
      </c>
      <c r="V599" s="474" t="str">
        <f t="shared" si="5"/>
        <v>RUN-FLMP_2022-01-27_APS-081</v>
      </c>
      <c r="Y599" s="89" t="str">
        <f t="shared" si="867"/>
        <v/>
      </c>
      <c r="Z599" s="60" t="str">
        <f t="shared" si="7"/>
        <v/>
      </c>
      <c r="AA599" s="60" t="str">
        <f t="shared" si="8"/>
        <v/>
      </c>
      <c r="AB599" s="60" t="str">
        <f t="shared" si="9"/>
        <v/>
      </c>
      <c r="AC599" s="30" t="str">
        <f t="shared" ref="AC599:AD599" si="955">IF(_xlfn.ISFORMULA(S599),IFERROR(0/0,""),TRUE)</f>
        <v/>
      </c>
      <c r="AD599" s="30" t="str">
        <f t="shared" si="955"/>
        <v/>
      </c>
      <c r="AE599" s="475" t="str">
        <f>IFERROR(__xludf.DUMMYFUNCTION("""COMPUTED_VALUE"""),"CRLN")</f>
        <v>CRLN</v>
      </c>
      <c r="AF599" s="476"/>
      <c r="AG599" s="474" t="s">
        <v>171</v>
      </c>
      <c r="AH599" s="138" t="str">
        <f t="shared" si="11"/>
        <v/>
      </c>
    </row>
    <row r="600">
      <c r="A600" s="103" t="str">
        <f>IFERROR(__xludf.DUMMYFUNCTION("""COMPUTED_VALUE"""),"FLB7406")</f>
        <v>FLB7406</v>
      </c>
      <c r="B600" s="468">
        <f>IFERROR(__xludf.DUMMYFUNCTION("""COMPUTED_VALUE"""),44588.0)</f>
        <v>44588</v>
      </c>
      <c r="C600" s="469">
        <f>IFERROR(__xludf.DUMMYFUNCTION("""COMPUTED_VALUE"""),0.35180555555555554)</f>
        <v>0.3518055556</v>
      </c>
      <c r="D600" s="103" t="str">
        <f>IFERROR(__xludf.DUMMYFUNCTION("""COMPUTED_VALUE"""),"SpFLMP604497")</f>
        <v>SpFLMP604497</v>
      </c>
      <c r="E600" s="103"/>
      <c r="F600" s="103"/>
      <c r="G600" s="103" t="str">
        <f>IFERROR(__xludf.DUMMYFUNCTION("""COMPUTED_VALUE"""),"Negative")</f>
        <v>Negative</v>
      </c>
      <c r="H600" s="131" t="str">
        <f>IFERROR(__xludf.DUMMYFUNCTION("""COMPUTED_VALUE"""),"Negative")</f>
        <v>Negative</v>
      </c>
      <c r="I600" s="468">
        <f>IFERROR(__xludf.DUMMYFUNCTION("""COMPUTED_VALUE"""),44588.0)</f>
        <v>44588</v>
      </c>
      <c r="J600" s="470">
        <f>IFERROR(__xludf.DUMMYFUNCTION("""COMPUTED_VALUE"""),0.44840277777777776)</f>
        <v>0.4484027778</v>
      </c>
      <c r="K600" s="16"/>
      <c r="L600" s="8"/>
      <c r="M600" s="69"/>
      <c r="N600" s="69">
        <f>IFERROR(__xludf.DUMMYFUNCTION("""COMPUTED_VALUE"""),4.0)</f>
        <v>4</v>
      </c>
      <c r="O600" s="69" t="str">
        <f t="shared" si="3"/>
        <v/>
      </c>
      <c r="P600" s="471">
        <f>IFERROR(__xludf.DUMMYFUNCTION("""COMPUTED_VALUE"""),0.0)</f>
        <v>0</v>
      </c>
      <c r="Q600" s="274" t="b">
        <f>VLOOKUP($B600,'Run Reconcile'!B$2:O2488,14,FALSE)</f>
        <v>1</v>
      </c>
      <c r="R600" s="472" t="str">
        <f t="array" ref="R600">IF($Q600, INDEX('Run Reconcile'!A$2:A2488,MATCH(B600,'Run Reconcile'!B$2:B2488,0),1),IFERROR(0/0,""))</f>
        <v>RUN-FLMP_2022-01-27_APS-081</v>
      </c>
      <c r="S600" s="473" t="str">
        <f t="shared" si="694"/>
        <v/>
      </c>
      <c r="T600" s="473" t="str">
        <f t="shared" si="698"/>
        <v/>
      </c>
      <c r="U600" s="275" t="str">
        <f t="array" ref="U600">IF(ISBLANK($R600), INDEX('Run Reconcile'!A$2:A2488, MATCH($B600, 'Run Reconcile'!B$2:B2488, 0)+Z600, 1), IFERROR(0/0,""))
</f>
        <v/>
      </c>
      <c r="V600" s="474" t="str">
        <f t="shared" si="5"/>
        <v>RUN-FLMP_2022-01-27_APS-081</v>
      </c>
      <c r="Y600" s="89" t="str">
        <f t="shared" si="867"/>
        <v/>
      </c>
      <c r="Z600" s="60" t="str">
        <f t="shared" si="7"/>
        <v/>
      </c>
      <c r="AA600" s="60" t="str">
        <f t="shared" si="8"/>
        <v/>
      </c>
      <c r="AB600" s="60" t="str">
        <f t="shared" si="9"/>
        <v/>
      </c>
      <c r="AC600" s="30" t="str">
        <f t="shared" ref="AC600:AD600" si="956">IF(_xlfn.ISFORMULA(S600),IFERROR(0/0,""),TRUE)</f>
        <v/>
      </c>
      <c r="AD600" s="30" t="str">
        <f t="shared" si="956"/>
        <v/>
      </c>
      <c r="AE600" s="475" t="str">
        <f>IFERROR(__xludf.DUMMYFUNCTION("""COMPUTED_VALUE"""),"CRLN")</f>
        <v>CRLN</v>
      </c>
      <c r="AF600" s="476"/>
      <c r="AG600" s="474" t="s">
        <v>171</v>
      </c>
      <c r="AH600" s="138" t="str">
        <f t="shared" si="11"/>
        <v/>
      </c>
    </row>
    <row r="601">
      <c r="A601" s="103" t="str">
        <f>IFERROR(__xludf.DUMMYFUNCTION("""COMPUTED_VALUE"""),"FLB5844")</f>
        <v>FLB5844</v>
      </c>
      <c r="B601" s="468">
        <f>IFERROR(__xludf.DUMMYFUNCTION("""COMPUTED_VALUE"""),44588.0)</f>
        <v>44588</v>
      </c>
      <c r="C601" s="469">
        <f>IFERROR(__xludf.DUMMYFUNCTION("""COMPUTED_VALUE"""),0.3534837962962963)</f>
        <v>0.3534837963</v>
      </c>
      <c r="D601" s="103" t="str">
        <f>IFERROR(__xludf.DUMMYFUNCTION("""COMPUTED_VALUE"""),"SpFLMP685536")</f>
        <v>SpFLMP685536</v>
      </c>
      <c r="E601" s="103"/>
      <c r="F601" s="103"/>
      <c r="G601" s="103" t="str">
        <f>IFERROR(__xludf.DUMMYFUNCTION("""COMPUTED_VALUE"""),"Negative")</f>
        <v>Negative</v>
      </c>
      <c r="H601" s="131" t="str">
        <f>IFERROR(__xludf.DUMMYFUNCTION("""COMPUTED_VALUE"""),"Negative")</f>
        <v>Negative</v>
      </c>
      <c r="I601" s="468">
        <f>IFERROR(__xludf.DUMMYFUNCTION("""COMPUTED_VALUE"""),44588.0)</f>
        <v>44588</v>
      </c>
      <c r="J601" s="470">
        <f>IFERROR(__xludf.DUMMYFUNCTION("""COMPUTED_VALUE"""),0.44840277777777776)</f>
        <v>0.4484027778</v>
      </c>
      <c r="K601" s="16"/>
      <c r="L601" s="8"/>
      <c r="M601" s="69"/>
      <c r="N601" s="69">
        <f>IFERROR(__xludf.DUMMYFUNCTION("""COMPUTED_VALUE"""),4.0)</f>
        <v>4</v>
      </c>
      <c r="O601" s="69" t="str">
        <f t="shared" si="3"/>
        <v/>
      </c>
      <c r="P601" s="471">
        <f>IFERROR(__xludf.DUMMYFUNCTION("""COMPUTED_VALUE"""),0.0)</f>
        <v>0</v>
      </c>
      <c r="Q601" s="274" t="b">
        <f>VLOOKUP($B601,'Run Reconcile'!B$2:O2488,14,FALSE)</f>
        <v>1</v>
      </c>
      <c r="R601" s="472" t="str">
        <f t="array" ref="R601">IF($Q601, INDEX('Run Reconcile'!A$2:A2488,MATCH(B601,'Run Reconcile'!B$2:B2488,0),1),IFERROR(0/0,""))</f>
        <v>RUN-FLMP_2022-01-27_APS-081</v>
      </c>
      <c r="S601" s="473" t="str">
        <f t="shared" si="694"/>
        <v/>
      </c>
      <c r="T601" s="473" t="str">
        <f t="shared" si="698"/>
        <v/>
      </c>
      <c r="U601" s="275" t="str">
        <f t="array" ref="U601">IF(ISBLANK($R601), INDEX('Run Reconcile'!A$2:A2488, MATCH($B601, 'Run Reconcile'!B$2:B2488, 0)+Z601, 1), IFERROR(0/0,""))
</f>
        <v/>
      </c>
      <c r="V601" s="474" t="str">
        <f t="shared" si="5"/>
        <v>RUN-FLMP_2022-01-27_APS-081</v>
      </c>
      <c r="Y601" s="89" t="str">
        <f t="shared" si="867"/>
        <v/>
      </c>
      <c r="Z601" s="60" t="str">
        <f t="shared" si="7"/>
        <v/>
      </c>
      <c r="AA601" s="60" t="str">
        <f t="shared" si="8"/>
        <v/>
      </c>
      <c r="AB601" s="60" t="str">
        <f t="shared" si="9"/>
        <v/>
      </c>
      <c r="AC601" s="30" t="str">
        <f t="shared" ref="AC601:AD601" si="957">IF(_xlfn.ISFORMULA(S601),IFERROR(0/0,""),TRUE)</f>
        <v/>
      </c>
      <c r="AD601" s="30" t="str">
        <f t="shared" si="957"/>
        <v/>
      </c>
      <c r="AE601" s="475" t="str">
        <f>IFERROR(__xludf.DUMMYFUNCTION("""COMPUTED_VALUE"""),"CRLN")</f>
        <v>CRLN</v>
      </c>
      <c r="AF601" s="476"/>
      <c r="AG601" s="474" t="s">
        <v>171</v>
      </c>
      <c r="AH601" s="138" t="str">
        <f t="shared" si="11"/>
        <v/>
      </c>
    </row>
    <row r="602">
      <c r="A602" s="103" t="str">
        <f>IFERROR(__xludf.DUMMYFUNCTION("""COMPUTED_VALUE"""),"FLE945")</f>
        <v>FLE945</v>
      </c>
      <c r="B602" s="468">
        <f>IFERROR(__xludf.DUMMYFUNCTION("""COMPUTED_VALUE"""),44588.0)</f>
        <v>44588</v>
      </c>
      <c r="C602" s="469">
        <f>IFERROR(__xludf.DUMMYFUNCTION("""COMPUTED_VALUE"""),0.35608796296296297)</f>
        <v>0.356087963</v>
      </c>
      <c r="D602" s="103" t="str">
        <f>IFERROR(__xludf.DUMMYFUNCTION("""COMPUTED_VALUE"""),"SpFLMP946259")</f>
        <v>SpFLMP946259</v>
      </c>
      <c r="E602" s="103"/>
      <c r="F602" s="103"/>
      <c r="G602" s="103" t="str">
        <f>IFERROR(__xludf.DUMMYFUNCTION("""COMPUTED_VALUE"""),"Negative")</f>
        <v>Negative</v>
      </c>
      <c r="H602" s="131" t="str">
        <f>IFERROR(__xludf.DUMMYFUNCTION("""COMPUTED_VALUE"""),"Negative")</f>
        <v>Negative</v>
      </c>
      <c r="I602" s="468">
        <f>IFERROR(__xludf.DUMMYFUNCTION("""COMPUTED_VALUE"""),44588.0)</f>
        <v>44588</v>
      </c>
      <c r="J602" s="470">
        <f>IFERROR(__xludf.DUMMYFUNCTION("""COMPUTED_VALUE"""),0.44840277777777776)</f>
        <v>0.4484027778</v>
      </c>
      <c r="K602" s="16"/>
      <c r="L602" s="8"/>
      <c r="M602" s="69"/>
      <c r="N602" s="69">
        <f>IFERROR(__xludf.DUMMYFUNCTION("""COMPUTED_VALUE"""),2.0)</f>
        <v>2</v>
      </c>
      <c r="O602" s="69" t="str">
        <f t="shared" si="3"/>
        <v/>
      </c>
      <c r="P602" s="471">
        <f>IFERROR(__xludf.DUMMYFUNCTION("""COMPUTED_VALUE"""),0.0)</f>
        <v>0</v>
      </c>
      <c r="Q602" s="274" t="b">
        <f>VLOOKUP($B602,'Run Reconcile'!B$2:O2488,14,FALSE)</f>
        <v>1</v>
      </c>
      <c r="R602" s="472" t="str">
        <f t="array" ref="R602">IF($Q602, INDEX('Run Reconcile'!A$2:A2488,MATCH(B602,'Run Reconcile'!B$2:B2488,0),1),IFERROR(0/0,""))</f>
        <v>RUN-FLMP_2022-01-27_APS-081</v>
      </c>
      <c r="S602" s="473" t="str">
        <f t="shared" si="694"/>
        <v/>
      </c>
      <c r="T602" s="473" t="str">
        <f t="shared" si="698"/>
        <v/>
      </c>
      <c r="U602" s="275" t="str">
        <f t="array" ref="U602">IF(ISBLANK($R602), INDEX('Run Reconcile'!A$2:A2488, MATCH($B602, 'Run Reconcile'!B$2:B2488, 0)+Z602, 1), IFERROR(0/0,""))
</f>
        <v/>
      </c>
      <c r="V602" s="474" t="str">
        <f t="shared" si="5"/>
        <v>RUN-FLMP_2022-01-27_APS-081</v>
      </c>
      <c r="Y602" s="89" t="str">
        <f t="shared" si="867"/>
        <v/>
      </c>
      <c r="Z602" s="60" t="str">
        <f t="shared" si="7"/>
        <v/>
      </c>
      <c r="AA602" s="60" t="str">
        <f t="shared" si="8"/>
        <v/>
      </c>
      <c r="AB602" s="60" t="str">
        <f t="shared" si="9"/>
        <v/>
      </c>
      <c r="AC602" s="30" t="str">
        <f t="shared" ref="AC602:AD602" si="958">IF(_xlfn.ISFORMULA(S602),IFERROR(0/0,""),TRUE)</f>
        <v/>
      </c>
      <c r="AD602" s="30" t="str">
        <f t="shared" si="958"/>
        <v/>
      </c>
      <c r="AE602" s="475" t="str">
        <f>IFERROR(__xludf.DUMMYFUNCTION("""COMPUTED_VALUE"""),"CRLN")</f>
        <v>CRLN</v>
      </c>
      <c r="AF602" s="476"/>
      <c r="AG602" s="474" t="s">
        <v>171</v>
      </c>
      <c r="AH602" s="138" t="str">
        <f t="shared" si="11"/>
        <v/>
      </c>
    </row>
    <row r="603">
      <c r="A603" s="103" t="str">
        <f>IFERROR(__xludf.DUMMYFUNCTION("""COMPUTED_VALUE"""),"FLE929")</f>
        <v>FLE929</v>
      </c>
      <c r="B603" s="468">
        <f>IFERROR(__xludf.DUMMYFUNCTION("""COMPUTED_VALUE"""),44588.0)</f>
        <v>44588</v>
      </c>
      <c r="C603" s="469">
        <f>IFERROR(__xludf.DUMMYFUNCTION("""COMPUTED_VALUE"""),0.35618055555555556)</f>
        <v>0.3561805556</v>
      </c>
      <c r="D603" s="103" t="str">
        <f>IFERROR(__xludf.DUMMYFUNCTION("""COMPUTED_VALUE"""),"SpFLMP259015")</f>
        <v>SpFLMP259015</v>
      </c>
      <c r="E603" s="103"/>
      <c r="F603" s="103"/>
      <c r="G603" s="103" t="str">
        <f>IFERROR(__xludf.DUMMYFUNCTION("""COMPUTED_VALUE"""),"Negative")</f>
        <v>Negative</v>
      </c>
      <c r="H603" s="131" t="str">
        <f>IFERROR(__xludf.DUMMYFUNCTION("""COMPUTED_VALUE"""),"Negative")</f>
        <v>Negative</v>
      </c>
      <c r="I603" s="468">
        <f>IFERROR(__xludf.DUMMYFUNCTION("""COMPUTED_VALUE"""),44588.0)</f>
        <v>44588</v>
      </c>
      <c r="J603" s="470">
        <f>IFERROR(__xludf.DUMMYFUNCTION("""COMPUTED_VALUE"""),0.44840277777777776)</f>
        <v>0.4484027778</v>
      </c>
      <c r="K603" s="16"/>
      <c r="L603" s="8"/>
      <c r="M603" s="69"/>
      <c r="N603" s="69">
        <f>IFERROR(__xludf.DUMMYFUNCTION("""COMPUTED_VALUE"""),4.0)</f>
        <v>4</v>
      </c>
      <c r="O603" s="69" t="str">
        <f t="shared" si="3"/>
        <v/>
      </c>
      <c r="P603" s="471">
        <f>IFERROR(__xludf.DUMMYFUNCTION("""COMPUTED_VALUE"""),0.0)</f>
        <v>0</v>
      </c>
      <c r="Q603" s="274" t="b">
        <f>VLOOKUP($B603,'Run Reconcile'!B$2:O2488,14,FALSE)</f>
        <v>1</v>
      </c>
      <c r="R603" s="472" t="str">
        <f t="array" ref="R603">IF($Q603, INDEX('Run Reconcile'!A$2:A2488,MATCH(B603,'Run Reconcile'!B$2:B2488,0),1),IFERROR(0/0,""))</f>
        <v>RUN-FLMP_2022-01-27_APS-081</v>
      </c>
      <c r="S603" s="473" t="str">
        <f t="shared" si="694"/>
        <v/>
      </c>
      <c r="T603" s="473" t="str">
        <f t="shared" si="698"/>
        <v/>
      </c>
      <c r="U603" s="275" t="str">
        <f t="array" ref="U603">IF(ISBLANK($R603), INDEX('Run Reconcile'!A$2:A2488, MATCH($B603, 'Run Reconcile'!B$2:B2488, 0)+Z603, 1), IFERROR(0/0,""))
</f>
        <v/>
      </c>
      <c r="V603" s="474" t="str">
        <f t="shared" si="5"/>
        <v>RUN-FLMP_2022-01-27_APS-081</v>
      </c>
      <c r="Y603" s="89" t="str">
        <f t="shared" si="867"/>
        <v/>
      </c>
      <c r="Z603" s="60" t="str">
        <f t="shared" si="7"/>
        <v/>
      </c>
      <c r="AA603" s="60" t="str">
        <f t="shared" si="8"/>
        <v/>
      </c>
      <c r="AB603" s="60" t="str">
        <f t="shared" si="9"/>
        <v/>
      </c>
      <c r="AC603" s="30" t="str">
        <f t="shared" ref="AC603:AD603" si="959">IF(_xlfn.ISFORMULA(S603),IFERROR(0/0,""),TRUE)</f>
        <v/>
      </c>
      <c r="AD603" s="30" t="str">
        <f t="shared" si="959"/>
        <v/>
      </c>
      <c r="AE603" s="475" t="str">
        <f>IFERROR(__xludf.DUMMYFUNCTION("""COMPUTED_VALUE"""),"CRLN")</f>
        <v>CRLN</v>
      </c>
      <c r="AF603" s="476"/>
      <c r="AG603" s="474" t="s">
        <v>171</v>
      </c>
      <c r="AH603" s="138" t="str">
        <f t="shared" si="11"/>
        <v/>
      </c>
    </row>
    <row r="604">
      <c r="A604" s="103" t="str">
        <f>IFERROR(__xludf.DUMMYFUNCTION("""COMPUTED_VALUE"""),"FLB5819")</f>
        <v>FLB5819</v>
      </c>
      <c r="B604" s="468">
        <f>IFERROR(__xludf.DUMMYFUNCTION("""COMPUTED_VALUE"""),44588.0)</f>
        <v>44588</v>
      </c>
      <c r="C604" s="469">
        <f>IFERROR(__xludf.DUMMYFUNCTION("""COMPUTED_VALUE"""),0.36333333333333334)</f>
        <v>0.3633333333</v>
      </c>
      <c r="D604" s="103" t="str">
        <f>IFERROR(__xludf.DUMMYFUNCTION("""COMPUTED_VALUE"""),"SpFLMP496039")</f>
        <v>SpFLMP496039</v>
      </c>
      <c r="E604" s="103"/>
      <c r="F604" s="103"/>
      <c r="G604" s="103" t="str">
        <f>IFERROR(__xludf.DUMMYFUNCTION("""COMPUTED_VALUE"""),"Negative")</f>
        <v>Negative</v>
      </c>
      <c r="H604" s="131" t="str">
        <f>IFERROR(__xludf.DUMMYFUNCTION("""COMPUTED_VALUE"""),"Negative")</f>
        <v>Negative</v>
      </c>
      <c r="I604" s="468">
        <f>IFERROR(__xludf.DUMMYFUNCTION("""COMPUTED_VALUE"""),44588.0)</f>
        <v>44588</v>
      </c>
      <c r="J604" s="470">
        <f>IFERROR(__xludf.DUMMYFUNCTION("""COMPUTED_VALUE"""),0.44840277777777776)</f>
        <v>0.4484027778</v>
      </c>
      <c r="K604" s="16"/>
      <c r="L604" s="8"/>
      <c r="M604" s="69"/>
      <c r="N604" s="69">
        <f>IFERROR(__xludf.DUMMYFUNCTION("""COMPUTED_VALUE"""),1.0)</f>
        <v>1</v>
      </c>
      <c r="O604" s="69" t="str">
        <f t="shared" si="3"/>
        <v/>
      </c>
      <c r="P604" s="471">
        <f>IFERROR(__xludf.DUMMYFUNCTION("""COMPUTED_VALUE"""),0.0)</f>
        <v>0</v>
      </c>
      <c r="Q604" s="274" t="b">
        <f>VLOOKUP($B604,'Run Reconcile'!B$2:O2488,14,FALSE)</f>
        <v>1</v>
      </c>
      <c r="R604" s="472" t="str">
        <f t="array" ref="R604">IF($Q604, INDEX('Run Reconcile'!A$2:A2488,MATCH(B604,'Run Reconcile'!B$2:B2488,0),1),IFERROR(0/0,""))</f>
        <v>RUN-FLMP_2022-01-27_APS-081</v>
      </c>
      <c r="S604" s="473" t="str">
        <f t="shared" si="694"/>
        <v/>
      </c>
      <c r="T604" s="473" t="str">
        <f t="shared" si="698"/>
        <v/>
      </c>
      <c r="U604" s="275" t="str">
        <f t="array" ref="U604">IF(ISBLANK($R604), INDEX('Run Reconcile'!A$2:A2488, MATCH($B604, 'Run Reconcile'!B$2:B2488, 0)+Z604, 1), IFERROR(0/0,""))
</f>
        <v/>
      </c>
      <c r="V604" s="474" t="str">
        <f t="shared" si="5"/>
        <v>RUN-FLMP_2022-01-27_APS-081</v>
      </c>
      <c r="Y604" s="89" t="str">
        <f t="shared" si="867"/>
        <v/>
      </c>
      <c r="Z604" s="60" t="str">
        <f t="shared" si="7"/>
        <v/>
      </c>
      <c r="AA604" s="60" t="str">
        <f t="shared" si="8"/>
        <v/>
      </c>
      <c r="AB604" s="60" t="str">
        <f t="shared" si="9"/>
        <v/>
      </c>
      <c r="AC604" s="30" t="str">
        <f t="shared" ref="AC604:AD604" si="960">IF(_xlfn.ISFORMULA(S604),IFERROR(0/0,""),TRUE)</f>
        <v/>
      </c>
      <c r="AD604" s="30" t="str">
        <f t="shared" si="960"/>
        <v/>
      </c>
      <c r="AE604" s="475" t="str">
        <f>IFERROR(__xludf.DUMMYFUNCTION("""COMPUTED_VALUE"""),"CRLN")</f>
        <v>CRLN</v>
      </c>
      <c r="AF604" s="476"/>
      <c r="AG604" s="474" t="s">
        <v>171</v>
      </c>
      <c r="AH604" s="138" t="str">
        <f t="shared" si="11"/>
        <v/>
      </c>
    </row>
    <row r="605">
      <c r="A605" s="103" t="str">
        <f>IFERROR(__xludf.DUMMYFUNCTION("""COMPUTED_VALUE"""),"FLB4906")</f>
        <v>FLB4906</v>
      </c>
      <c r="B605" s="468">
        <f>IFERROR(__xludf.DUMMYFUNCTION("""COMPUTED_VALUE"""),44588.0)</f>
        <v>44588</v>
      </c>
      <c r="C605" s="469">
        <f>IFERROR(__xludf.DUMMYFUNCTION("""COMPUTED_VALUE"""),0.3645717592592593)</f>
        <v>0.3645717593</v>
      </c>
      <c r="D605" s="103" t="str">
        <f>IFERROR(__xludf.DUMMYFUNCTION("""COMPUTED_VALUE"""),"SpFLMP496039")</f>
        <v>SpFLMP496039</v>
      </c>
      <c r="E605" s="103"/>
      <c r="F605" s="103"/>
      <c r="G605" s="103" t="str">
        <f>IFERROR(__xludf.DUMMYFUNCTION("""COMPUTED_VALUE"""),"Negative")</f>
        <v>Negative</v>
      </c>
      <c r="H605" s="131" t="str">
        <f>IFERROR(__xludf.DUMMYFUNCTION("""COMPUTED_VALUE"""),"Negative")</f>
        <v>Negative</v>
      </c>
      <c r="I605" s="468">
        <f>IFERROR(__xludf.DUMMYFUNCTION("""COMPUTED_VALUE"""),44588.0)</f>
        <v>44588</v>
      </c>
      <c r="J605" s="470">
        <f>IFERROR(__xludf.DUMMYFUNCTION("""COMPUTED_VALUE"""),0.4722222222222222)</f>
        <v>0.4722222222</v>
      </c>
      <c r="K605" s="16"/>
      <c r="L605" s="8"/>
      <c r="M605" s="69"/>
      <c r="N605" s="69">
        <f>IFERROR(__xludf.DUMMYFUNCTION("""COMPUTED_VALUE"""),1.0)</f>
        <v>1</v>
      </c>
      <c r="O605" s="69" t="str">
        <f t="shared" si="3"/>
        <v/>
      </c>
      <c r="P605" s="471">
        <f>IFERROR(__xludf.DUMMYFUNCTION("""COMPUTED_VALUE"""),0.0)</f>
        <v>0</v>
      </c>
      <c r="Q605" s="274" t="b">
        <f>VLOOKUP($B605,'Run Reconcile'!B$2:O2488,14,FALSE)</f>
        <v>1</v>
      </c>
      <c r="R605" s="472" t="str">
        <f t="array" ref="R605">IF($Q605, INDEX('Run Reconcile'!A$2:A2488,MATCH(B605,'Run Reconcile'!B$2:B2488,0),1),IFERROR(0/0,""))</f>
        <v>RUN-FLMP_2022-01-27_APS-081</v>
      </c>
      <c r="S605" s="473" t="str">
        <f t="shared" si="694"/>
        <v/>
      </c>
      <c r="T605" s="473" t="str">
        <f t="shared" si="698"/>
        <v/>
      </c>
      <c r="U605" s="275" t="str">
        <f t="array" ref="U605">IF(ISBLANK($R605), INDEX('Run Reconcile'!A$2:A2488, MATCH($B605, 'Run Reconcile'!B$2:B2488, 0)+Z605, 1), IFERROR(0/0,""))
</f>
        <v/>
      </c>
      <c r="V605" s="474" t="str">
        <f t="shared" si="5"/>
        <v>RUN-FLMP_2022-01-27_APS-081</v>
      </c>
      <c r="Y605" s="89" t="str">
        <f t="shared" si="867"/>
        <v/>
      </c>
      <c r="Z605" s="60" t="str">
        <f t="shared" si="7"/>
        <v/>
      </c>
      <c r="AA605" s="60" t="str">
        <f t="shared" si="8"/>
        <v/>
      </c>
      <c r="AB605" s="60" t="str">
        <f t="shared" si="9"/>
        <v/>
      </c>
      <c r="AC605" s="30" t="str">
        <f t="shared" ref="AC605:AD605" si="961">IF(_xlfn.ISFORMULA(S605),IFERROR(0/0,""),TRUE)</f>
        <v/>
      </c>
      <c r="AD605" s="30" t="str">
        <f t="shared" si="961"/>
        <v/>
      </c>
      <c r="AE605" s="475" t="str">
        <f>IFERROR(__xludf.DUMMYFUNCTION("""COMPUTED_VALUE"""),"CRLN")</f>
        <v>CRLN</v>
      </c>
      <c r="AF605" s="476"/>
      <c r="AG605" s="474" t="s">
        <v>171</v>
      </c>
      <c r="AH605" s="138" t="str">
        <f t="shared" si="11"/>
        <v/>
      </c>
    </row>
    <row r="606">
      <c r="A606" s="103" t="str">
        <f>IFERROR(__xludf.DUMMYFUNCTION("""COMPUTED_VALUE"""),"FLE896")</f>
        <v>FLE896</v>
      </c>
      <c r="B606" s="468">
        <f>IFERROR(__xludf.DUMMYFUNCTION("""COMPUTED_VALUE"""),44588.0)</f>
        <v>44588</v>
      </c>
      <c r="C606" s="469">
        <f>IFERROR(__xludf.DUMMYFUNCTION("""COMPUTED_VALUE"""),0.3684027777777778)</f>
        <v>0.3684027778</v>
      </c>
      <c r="D606" s="103" t="str">
        <f>IFERROR(__xludf.DUMMYFUNCTION("""COMPUTED_VALUE"""),"SpFLMP314549")</f>
        <v>SpFLMP314549</v>
      </c>
      <c r="E606" s="103"/>
      <c r="F606" s="103"/>
      <c r="G606" s="103" t="str">
        <f>IFERROR(__xludf.DUMMYFUNCTION("""COMPUTED_VALUE"""),"Negative")</f>
        <v>Negative</v>
      </c>
      <c r="H606" s="131" t="str">
        <f>IFERROR(__xludf.DUMMYFUNCTION("""COMPUTED_VALUE"""),"Negative")</f>
        <v>Negative</v>
      </c>
      <c r="I606" s="468">
        <f>IFERROR(__xludf.DUMMYFUNCTION("""COMPUTED_VALUE"""),44588.0)</f>
        <v>44588</v>
      </c>
      <c r="J606" s="470">
        <f>IFERROR(__xludf.DUMMYFUNCTION("""COMPUTED_VALUE"""),0.44840277777777776)</f>
        <v>0.4484027778</v>
      </c>
      <c r="K606" s="16"/>
      <c r="L606" s="8"/>
      <c r="M606" s="69"/>
      <c r="N606" s="69">
        <f>IFERROR(__xludf.DUMMYFUNCTION("""COMPUTED_VALUE"""),1.0)</f>
        <v>1</v>
      </c>
      <c r="O606" s="69" t="str">
        <f t="shared" si="3"/>
        <v/>
      </c>
      <c r="P606" s="471">
        <f>IFERROR(__xludf.DUMMYFUNCTION("""COMPUTED_VALUE"""),0.0)</f>
        <v>0</v>
      </c>
      <c r="Q606" s="274" t="b">
        <f>VLOOKUP($B606,'Run Reconcile'!B$2:O2488,14,FALSE)</f>
        <v>1</v>
      </c>
      <c r="R606" s="472" t="str">
        <f t="array" ref="R606">IF($Q606, INDEX('Run Reconcile'!A$2:A2488,MATCH(B606,'Run Reconcile'!B$2:B2488,0),1),IFERROR(0/0,""))</f>
        <v>RUN-FLMP_2022-01-27_APS-081</v>
      </c>
      <c r="S606" s="473" t="str">
        <f t="shared" si="694"/>
        <v/>
      </c>
      <c r="T606" s="473" t="str">
        <f t="shared" si="698"/>
        <v/>
      </c>
      <c r="U606" s="275" t="str">
        <f t="array" ref="U606">IF(ISBLANK($R606), INDEX('Run Reconcile'!A$2:A2488, MATCH($B606, 'Run Reconcile'!B$2:B2488, 0)+Z606, 1), IFERROR(0/0,""))
</f>
        <v/>
      </c>
      <c r="V606" s="474" t="str">
        <f t="shared" si="5"/>
        <v>RUN-FLMP_2022-01-27_APS-081</v>
      </c>
      <c r="Y606" s="89" t="str">
        <f t="shared" si="867"/>
        <v/>
      </c>
      <c r="Z606" s="60" t="str">
        <f t="shared" si="7"/>
        <v/>
      </c>
      <c r="AA606" s="60" t="str">
        <f t="shared" si="8"/>
        <v/>
      </c>
      <c r="AB606" s="60" t="str">
        <f t="shared" si="9"/>
        <v/>
      </c>
      <c r="AC606" s="30" t="str">
        <f t="shared" ref="AC606:AD606" si="962">IF(_xlfn.ISFORMULA(S606),IFERROR(0/0,""),TRUE)</f>
        <v/>
      </c>
      <c r="AD606" s="30" t="str">
        <f t="shared" si="962"/>
        <v/>
      </c>
      <c r="AE606" s="475" t="str">
        <f>IFERROR(__xludf.DUMMYFUNCTION("""COMPUTED_VALUE"""),"CRLN")</f>
        <v>CRLN</v>
      </c>
      <c r="AF606" s="476"/>
      <c r="AG606" s="474" t="s">
        <v>171</v>
      </c>
      <c r="AH606" s="138" t="str">
        <f t="shared" si="11"/>
        <v/>
      </c>
    </row>
    <row r="607">
      <c r="A607" s="103" t="str">
        <f>IFERROR(__xludf.DUMMYFUNCTION("""COMPUTED_VALUE"""),"FLB5874")</f>
        <v>FLB5874</v>
      </c>
      <c r="B607" s="468">
        <f>IFERROR(__xludf.DUMMYFUNCTION("""COMPUTED_VALUE"""),44588.0)</f>
        <v>44588</v>
      </c>
      <c r="C607" s="469">
        <f>IFERROR(__xludf.DUMMYFUNCTION("""COMPUTED_VALUE"""),0.37440972222222224)</f>
        <v>0.3744097222</v>
      </c>
      <c r="D607" s="103" t="str">
        <f>IFERROR(__xludf.DUMMYFUNCTION("""COMPUTED_VALUE"""),"SpFLMP596479")</f>
        <v>SpFLMP596479</v>
      </c>
      <c r="E607" s="103"/>
      <c r="F607" s="103"/>
      <c r="G607" s="103" t="str">
        <f>IFERROR(__xludf.DUMMYFUNCTION("""COMPUTED_VALUE"""),"Negative")</f>
        <v>Negative</v>
      </c>
      <c r="H607" s="131" t="str">
        <f>IFERROR(__xludf.DUMMYFUNCTION("""COMPUTED_VALUE"""),"Negative")</f>
        <v>Negative</v>
      </c>
      <c r="I607" s="468">
        <f>IFERROR(__xludf.DUMMYFUNCTION("""COMPUTED_VALUE"""),44588.0)</f>
        <v>44588</v>
      </c>
      <c r="J607" s="470">
        <f>IFERROR(__xludf.DUMMYFUNCTION("""COMPUTED_VALUE"""),0.44840277777777776)</f>
        <v>0.4484027778</v>
      </c>
      <c r="K607" s="16"/>
      <c r="L607" s="8"/>
      <c r="M607" s="69"/>
      <c r="N607" s="69">
        <f>IFERROR(__xludf.DUMMYFUNCTION("""COMPUTED_VALUE"""),3.0)</f>
        <v>3</v>
      </c>
      <c r="O607" s="69" t="str">
        <f t="shared" si="3"/>
        <v/>
      </c>
      <c r="P607" s="471">
        <f>IFERROR(__xludf.DUMMYFUNCTION("""COMPUTED_VALUE"""),0.0)</f>
        <v>0</v>
      </c>
      <c r="Q607" s="274" t="b">
        <f>VLOOKUP($B607,'Run Reconcile'!B$2:O2488,14,FALSE)</f>
        <v>1</v>
      </c>
      <c r="R607" s="472" t="str">
        <f t="array" ref="R607">IF($Q607, INDEX('Run Reconcile'!A$2:A2488,MATCH(B607,'Run Reconcile'!B$2:B2488,0),1),IFERROR(0/0,""))</f>
        <v>RUN-FLMP_2022-01-27_APS-081</v>
      </c>
      <c r="S607" s="473" t="str">
        <f t="shared" si="694"/>
        <v/>
      </c>
      <c r="T607" s="473" t="str">
        <f t="shared" si="698"/>
        <v/>
      </c>
      <c r="U607" s="275" t="str">
        <f t="array" ref="U607">IF(ISBLANK($R607), INDEX('Run Reconcile'!A$2:A2488, MATCH($B607, 'Run Reconcile'!B$2:B2488, 0)+Z607, 1), IFERROR(0/0,""))
</f>
        <v/>
      </c>
      <c r="V607" s="474" t="str">
        <f t="shared" si="5"/>
        <v>RUN-FLMP_2022-01-27_APS-081</v>
      </c>
      <c r="Y607" s="89" t="str">
        <f t="shared" si="867"/>
        <v/>
      </c>
      <c r="Z607" s="60" t="str">
        <f t="shared" si="7"/>
        <v/>
      </c>
      <c r="AA607" s="60" t="str">
        <f t="shared" si="8"/>
        <v/>
      </c>
      <c r="AB607" s="60" t="str">
        <f t="shared" si="9"/>
        <v/>
      </c>
      <c r="AC607" s="30" t="str">
        <f t="shared" ref="AC607:AD607" si="963">IF(_xlfn.ISFORMULA(S607),IFERROR(0/0,""),TRUE)</f>
        <v/>
      </c>
      <c r="AD607" s="30" t="str">
        <f t="shared" si="963"/>
        <v/>
      </c>
      <c r="AE607" s="475" t="str">
        <f>IFERROR(__xludf.DUMMYFUNCTION("""COMPUTED_VALUE"""),"CRLN")</f>
        <v>CRLN</v>
      </c>
      <c r="AF607" s="476"/>
      <c r="AG607" s="474" t="s">
        <v>171</v>
      </c>
      <c r="AH607" s="138" t="str">
        <f t="shared" si="11"/>
        <v/>
      </c>
    </row>
    <row r="608">
      <c r="A608" s="477" t="str">
        <f>IFERROR(__xludf.DUMMYFUNCTION("""COMPUTED_VALUE"""),"MAX344")</f>
        <v>MAX344</v>
      </c>
      <c r="B608" s="478">
        <f>IFERROR(__xludf.DUMMYFUNCTION("""COMPUTED_VALUE"""),44590.0)</f>
        <v>44590</v>
      </c>
      <c r="C608" s="479">
        <f>IFERROR(__xludf.DUMMYFUNCTION("""COMPUTED_VALUE"""),0.3192476851851852)</f>
        <v>0.3192476852</v>
      </c>
      <c r="D608" s="477" t="str">
        <f>IFERROR(__xludf.DUMMYFUNCTION("""COMPUTED_VALUE"""),"SpFLMP604497")</f>
        <v>SpFLMP604497</v>
      </c>
      <c r="E608" s="477"/>
      <c r="F608" s="477"/>
      <c r="G608" s="477" t="str">
        <f>IFERROR(__xludf.DUMMYFUNCTION("""COMPUTED_VALUE"""),"Negative")</f>
        <v>Negative</v>
      </c>
      <c r="H608" s="480" t="str">
        <f>IFERROR(__xludf.DUMMYFUNCTION("""COMPUTED_VALUE"""),"Negative")</f>
        <v>Negative</v>
      </c>
      <c r="I608" s="478">
        <f>IFERROR(__xludf.DUMMYFUNCTION("""COMPUTED_VALUE"""),44592.0)</f>
        <v>44592</v>
      </c>
      <c r="J608" s="481">
        <f>IFERROR(__xludf.DUMMYFUNCTION("""COMPUTED_VALUE"""),0.4073148148148148)</f>
        <v>0.4073148148</v>
      </c>
      <c r="K608" s="156"/>
      <c r="L608" s="19"/>
      <c r="M608" s="482"/>
      <c r="N608" s="482">
        <f>IFERROR(__xludf.DUMMYFUNCTION("""COMPUTED_VALUE"""),3.0)</f>
        <v>3</v>
      </c>
      <c r="O608" s="482" t="b">
        <f t="shared" si="3"/>
        <v>1</v>
      </c>
      <c r="P608" s="483">
        <f>IFERROR(__xludf.DUMMYFUNCTION("""COMPUTED_VALUE"""),2.0)</f>
        <v>2</v>
      </c>
      <c r="Q608" s="352" t="b">
        <f>VLOOKUP($B608,'Run Reconcile'!B$2:O2488,14,FALSE)</f>
        <v>1</v>
      </c>
      <c r="R608" s="484" t="str">
        <f t="array" ref="R608">IF($Q608, INDEX('Run Reconcile'!A$2:A2488,MATCH(B608,'Run Reconcile'!B$2:B2488,0),1),IFERROR(0/0,""))</f>
        <v>RUN-FLMP_2022-01-29_APS-082</v>
      </c>
      <c r="S608" s="485" t="str">
        <f t="shared" si="694"/>
        <v/>
      </c>
      <c r="T608" s="485" t="str">
        <f t="shared" si="698"/>
        <v/>
      </c>
      <c r="U608" s="353" t="str">
        <f t="array" ref="U608">IF(ISBLANK($R608), INDEX('Run Reconcile'!A$2:A2488, MATCH($B608, 'Run Reconcile'!B$2:B2488, 0)+Z608, 1), IFERROR(0/0,""))
</f>
        <v/>
      </c>
      <c r="V608" s="486" t="str">
        <f t="shared" si="5"/>
        <v>RUN-FLMP_2022-01-29_APS-082</v>
      </c>
      <c r="W608" s="19"/>
      <c r="X608" s="19"/>
      <c r="Y608" s="89" t="str">
        <f t="shared" si="867"/>
        <v/>
      </c>
      <c r="Z608" s="60" t="str">
        <f t="shared" si="7"/>
        <v/>
      </c>
      <c r="AA608" s="60" t="str">
        <f t="shared" si="8"/>
        <v/>
      </c>
      <c r="AB608" s="60" t="str">
        <f t="shared" si="9"/>
        <v/>
      </c>
      <c r="AC608" s="158" t="str">
        <f t="shared" ref="AC608:AD608" si="964">IF(_xlfn.ISFORMULA(S608),IFERROR(0/0,""),TRUE)</f>
        <v/>
      </c>
      <c r="AD608" s="158" t="str">
        <f t="shared" si="964"/>
        <v/>
      </c>
      <c r="AE608" s="488" t="str">
        <f>IFERROR(__xludf.DUMMYFUNCTION("""COMPUTED_VALUE"""),"CRLN")</f>
        <v>CRLN</v>
      </c>
      <c r="AF608" s="489"/>
      <c r="AG608" s="486" t="s">
        <v>172</v>
      </c>
      <c r="AH608" s="138" t="str">
        <f t="shared" si="11"/>
        <v/>
      </c>
      <c r="AI608" s="19"/>
      <c r="AJ608" s="19"/>
      <c r="AK608" s="19"/>
      <c r="AL608" s="19"/>
      <c r="AM608" s="19"/>
    </row>
    <row r="609">
      <c r="A609" s="103" t="str">
        <f>IFERROR(__xludf.DUMMYFUNCTION("""COMPUTED_VALUE"""),"MA901")</f>
        <v>MA901</v>
      </c>
      <c r="B609" s="468">
        <f>IFERROR(__xludf.DUMMYFUNCTION("""COMPUTED_VALUE"""),44590.0)</f>
        <v>44590</v>
      </c>
      <c r="C609" s="469">
        <f>IFERROR(__xludf.DUMMYFUNCTION("""COMPUTED_VALUE"""),0.4229513888888889)</f>
        <v>0.4229513889</v>
      </c>
      <c r="D609" s="103" t="str">
        <f>IFERROR(__xludf.DUMMYFUNCTION("""COMPUTED_VALUE"""),"SpFLMP684798")</f>
        <v>SpFLMP684798</v>
      </c>
      <c r="E609" s="103"/>
      <c r="F609" s="103"/>
      <c r="G609" s="103" t="str">
        <f>IFERROR(__xludf.DUMMYFUNCTION("""COMPUTED_VALUE"""),"Negative")</f>
        <v>Negative</v>
      </c>
      <c r="H609" s="131" t="str">
        <f>IFERROR(__xludf.DUMMYFUNCTION("""COMPUTED_VALUE"""),"Negative")</f>
        <v>Negative</v>
      </c>
      <c r="I609" s="468">
        <f>IFERROR(__xludf.DUMMYFUNCTION("""COMPUTED_VALUE"""),44592.0)</f>
        <v>44592</v>
      </c>
      <c r="J609" s="470">
        <f>IFERROR(__xludf.DUMMYFUNCTION("""COMPUTED_VALUE"""),0.4073263888888889)</f>
        <v>0.4073263889</v>
      </c>
      <c r="K609" s="16"/>
      <c r="L609" s="8"/>
      <c r="M609" s="69"/>
      <c r="N609" s="69">
        <f>IFERROR(__xludf.DUMMYFUNCTION("""COMPUTED_VALUE"""),3.0)</f>
        <v>3</v>
      </c>
      <c r="O609" s="69" t="str">
        <f t="shared" si="3"/>
        <v/>
      </c>
      <c r="P609" s="471">
        <f>IFERROR(__xludf.DUMMYFUNCTION("""COMPUTED_VALUE"""),2.0)</f>
        <v>2</v>
      </c>
      <c r="Q609" s="274" t="b">
        <f>VLOOKUP($B609,'Run Reconcile'!B$2:O2488,14,FALSE)</f>
        <v>1</v>
      </c>
      <c r="R609" s="472" t="str">
        <f t="array" ref="R609">IF($Q609, INDEX('Run Reconcile'!A$2:A2488,MATCH(B609,'Run Reconcile'!B$2:B2488,0),1),IFERROR(0/0,""))</f>
        <v>RUN-FLMP_2022-01-29_APS-082</v>
      </c>
      <c r="S609" s="473" t="str">
        <f t="shared" si="694"/>
        <v/>
      </c>
      <c r="T609" s="473" t="str">
        <f t="shared" si="698"/>
        <v/>
      </c>
      <c r="U609" s="275" t="str">
        <f t="array" ref="U609">IF(ISBLANK($R609), INDEX('Run Reconcile'!A$2:A2488, MATCH($B609, 'Run Reconcile'!B$2:B2488, 0)+Z609, 1), IFERROR(0/0,""))
</f>
        <v/>
      </c>
      <c r="V609" s="474" t="str">
        <f t="shared" si="5"/>
        <v>RUN-FLMP_2022-01-29_APS-082</v>
      </c>
      <c r="Y609" s="89" t="str">
        <f t="shared" si="867"/>
        <v/>
      </c>
      <c r="Z609" s="60" t="str">
        <f t="shared" si="7"/>
        <v/>
      </c>
      <c r="AA609" s="60" t="str">
        <f t="shared" si="8"/>
        <v/>
      </c>
      <c r="AB609" s="60" t="str">
        <f t="shared" si="9"/>
        <v/>
      </c>
      <c r="AC609" s="30" t="str">
        <f t="shared" ref="AC609:AD609" si="965">IF(_xlfn.ISFORMULA(S609),IFERROR(0/0,""),TRUE)</f>
        <v/>
      </c>
      <c r="AD609" s="30" t="str">
        <f t="shared" si="965"/>
        <v/>
      </c>
      <c r="AE609" s="475" t="str">
        <f>IFERROR(__xludf.DUMMYFUNCTION("""COMPUTED_VALUE"""),"CRLN")</f>
        <v>CRLN</v>
      </c>
      <c r="AF609" s="476"/>
      <c r="AG609" s="474" t="s">
        <v>172</v>
      </c>
      <c r="AH609" s="138" t="str">
        <f t="shared" si="11"/>
        <v/>
      </c>
    </row>
    <row r="610">
      <c r="A610" s="103" t="str">
        <f>IFERROR(__xludf.DUMMYFUNCTION("""COMPUTED_VALUE"""),"MA58")</f>
        <v>MA58</v>
      </c>
      <c r="B610" s="468">
        <f>IFERROR(__xludf.DUMMYFUNCTION("""COMPUTED_VALUE"""),44590.0)</f>
        <v>44590</v>
      </c>
      <c r="C610" s="469">
        <f>IFERROR(__xludf.DUMMYFUNCTION("""COMPUTED_VALUE"""),0.4587847222222222)</f>
        <v>0.4587847222</v>
      </c>
      <c r="D610" s="103" t="str">
        <f>IFERROR(__xludf.DUMMYFUNCTION("""COMPUTED_VALUE"""),"SpFLMP659315")</f>
        <v>SpFLMP659315</v>
      </c>
      <c r="E610" s="103"/>
      <c r="F610" s="103"/>
      <c r="G610" s="103" t="str">
        <f>IFERROR(__xludf.DUMMYFUNCTION("""COMPUTED_VALUE"""),"Negative")</f>
        <v>Negative</v>
      </c>
      <c r="H610" s="131" t="str">
        <f>IFERROR(__xludf.DUMMYFUNCTION("""COMPUTED_VALUE"""),"Negative")</f>
        <v>Negative</v>
      </c>
      <c r="I610" s="468">
        <f>IFERROR(__xludf.DUMMYFUNCTION("""COMPUTED_VALUE"""),44592.0)</f>
        <v>44592</v>
      </c>
      <c r="J610" s="470">
        <f>IFERROR(__xludf.DUMMYFUNCTION("""COMPUTED_VALUE"""),0.4073263888888889)</f>
        <v>0.4073263889</v>
      </c>
      <c r="K610" s="16"/>
      <c r="L610" s="8"/>
      <c r="M610" s="69"/>
      <c r="N610" s="69">
        <f>IFERROR(__xludf.DUMMYFUNCTION("""COMPUTED_VALUE"""),2.0)</f>
        <v>2</v>
      </c>
      <c r="O610" s="69" t="str">
        <f t="shared" si="3"/>
        <v/>
      </c>
      <c r="P610" s="471">
        <f>IFERROR(__xludf.DUMMYFUNCTION("""COMPUTED_VALUE"""),2.0)</f>
        <v>2</v>
      </c>
      <c r="Q610" s="274" t="b">
        <f>VLOOKUP($B610,'Run Reconcile'!B$2:O2488,14,FALSE)</f>
        <v>1</v>
      </c>
      <c r="R610" s="472" t="str">
        <f t="array" ref="R610">IF($Q610, INDEX('Run Reconcile'!A$2:A2488,MATCH(B610,'Run Reconcile'!B$2:B2488,0),1),IFERROR(0/0,""))</f>
        <v>RUN-FLMP_2022-01-29_APS-082</v>
      </c>
      <c r="S610" s="473" t="str">
        <f t="shared" si="694"/>
        <v/>
      </c>
      <c r="T610" s="473" t="str">
        <f t="shared" si="698"/>
        <v/>
      </c>
      <c r="U610" s="275" t="str">
        <f t="array" ref="U610">IF(ISBLANK($R610), INDEX('Run Reconcile'!A$2:A2488, MATCH($B610, 'Run Reconcile'!B$2:B2488, 0)+Z610, 1), IFERROR(0/0,""))
</f>
        <v/>
      </c>
      <c r="V610" s="474" t="str">
        <f t="shared" si="5"/>
        <v>RUN-FLMP_2022-01-29_APS-082</v>
      </c>
      <c r="Y610" s="89" t="str">
        <f t="shared" si="867"/>
        <v/>
      </c>
      <c r="Z610" s="60" t="str">
        <f t="shared" si="7"/>
        <v/>
      </c>
      <c r="AA610" s="60" t="str">
        <f t="shared" si="8"/>
        <v/>
      </c>
      <c r="AB610" s="60" t="str">
        <f t="shared" si="9"/>
        <v/>
      </c>
      <c r="AC610" s="30" t="str">
        <f t="shared" ref="AC610:AD610" si="966">IF(_xlfn.ISFORMULA(S610),IFERROR(0/0,""),TRUE)</f>
        <v/>
      </c>
      <c r="AD610" s="30" t="str">
        <f t="shared" si="966"/>
        <v/>
      </c>
      <c r="AE610" s="475" t="str">
        <f>IFERROR(__xludf.DUMMYFUNCTION("""COMPUTED_VALUE"""),"CRLN")</f>
        <v>CRLN</v>
      </c>
      <c r="AF610" s="476"/>
      <c r="AG610" s="474" t="s">
        <v>172</v>
      </c>
      <c r="AH610" s="138" t="str">
        <f t="shared" si="11"/>
        <v/>
      </c>
    </row>
    <row r="611">
      <c r="A611" s="103" t="str">
        <f>IFERROR(__xludf.DUMMYFUNCTION("""COMPUTED_VALUE"""),"MA98")</f>
        <v>MA98</v>
      </c>
      <c r="B611" s="468">
        <f>IFERROR(__xludf.DUMMYFUNCTION("""COMPUTED_VALUE"""),44590.0)</f>
        <v>44590</v>
      </c>
      <c r="C611" s="469">
        <f>IFERROR(__xludf.DUMMYFUNCTION("""COMPUTED_VALUE"""),0.45944444444444443)</f>
        <v>0.4594444444</v>
      </c>
      <c r="D611" s="103" t="str">
        <f>IFERROR(__xludf.DUMMYFUNCTION("""COMPUTED_VALUE"""),"SpFLMP659315")</f>
        <v>SpFLMP659315</v>
      </c>
      <c r="E611" s="103"/>
      <c r="F611" s="103"/>
      <c r="G611" s="103" t="str">
        <f>IFERROR(__xludf.DUMMYFUNCTION("""COMPUTED_VALUE"""),"Negative")</f>
        <v>Negative</v>
      </c>
      <c r="H611" s="131" t="str">
        <f>IFERROR(__xludf.DUMMYFUNCTION("""COMPUTED_VALUE"""),"Negative")</f>
        <v>Negative</v>
      </c>
      <c r="I611" s="468">
        <f>IFERROR(__xludf.DUMMYFUNCTION("""COMPUTED_VALUE"""),44592.0)</f>
        <v>44592</v>
      </c>
      <c r="J611" s="470">
        <f>IFERROR(__xludf.DUMMYFUNCTION("""COMPUTED_VALUE"""),0.4073263888888889)</f>
        <v>0.4073263889</v>
      </c>
      <c r="K611" s="16"/>
      <c r="L611" s="8"/>
      <c r="M611" s="69"/>
      <c r="N611" s="69">
        <f>IFERROR(__xludf.DUMMYFUNCTION("""COMPUTED_VALUE"""),1.0)</f>
        <v>1</v>
      </c>
      <c r="O611" s="69" t="str">
        <f t="shared" si="3"/>
        <v/>
      </c>
      <c r="P611" s="471">
        <f>IFERROR(__xludf.DUMMYFUNCTION("""COMPUTED_VALUE"""),2.0)</f>
        <v>2</v>
      </c>
      <c r="Q611" s="274" t="b">
        <f>VLOOKUP($B611,'Run Reconcile'!B$2:O2488,14,FALSE)</f>
        <v>1</v>
      </c>
      <c r="R611" s="472" t="str">
        <f t="array" ref="R611">IF($Q611, INDEX('Run Reconcile'!A$2:A2488,MATCH(B611,'Run Reconcile'!B$2:B2488,0),1),IFERROR(0/0,""))</f>
        <v>RUN-FLMP_2022-01-29_APS-082</v>
      </c>
      <c r="S611" s="473" t="str">
        <f t="shared" si="694"/>
        <v/>
      </c>
      <c r="T611" s="473" t="str">
        <f t="shared" si="698"/>
        <v/>
      </c>
      <c r="U611" s="275" t="str">
        <f t="array" ref="U611">IF(ISBLANK($R611), INDEX('Run Reconcile'!A$2:A2488, MATCH($B611, 'Run Reconcile'!B$2:B2488, 0)+Z611, 1), IFERROR(0/0,""))
</f>
        <v/>
      </c>
      <c r="V611" s="474" t="str">
        <f t="shared" si="5"/>
        <v>RUN-FLMP_2022-01-29_APS-082</v>
      </c>
      <c r="Y611" s="89" t="str">
        <f t="shared" si="867"/>
        <v/>
      </c>
      <c r="Z611" s="60" t="str">
        <f t="shared" si="7"/>
        <v/>
      </c>
      <c r="AA611" s="60" t="str">
        <f t="shared" si="8"/>
        <v/>
      </c>
      <c r="AB611" s="60" t="str">
        <f t="shared" si="9"/>
        <v/>
      </c>
      <c r="AC611" s="30" t="str">
        <f t="shared" ref="AC611:AD611" si="967">IF(_xlfn.ISFORMULA(S611),IFERROR(0/0,""),TRUE)</f>
        <v/>
      </c>
      <c r="AD611" s="30" t="str">
        <f t="shared" si="967"/>
        <v/>
      </c>
      <c r="AE611" s="475" t="str">
        <f>IFERROR(__xludf.DUMMYFUNCTION("""COMPUTED_VALUE"""),"FLSP")</f>
        <v>FLSP</v>
      </c>
      <c r="AF611" s="476"/>
      <c r="AG611" s="474" t="s">
        <v>172</v>
      </c>
      <c r="AH611" s="138" t="str">
        <f t="shared" si="11"/>
        <v/>
      </c>
    </row>
    <row r="612">
      <c r="A612" s="103" t="str">
        <f>IFERROR(__xludf.DUMMYFUNCTION("""COMPUTED_VALUE"""),"MA22")</f>
        <v>MA22</v>
      </c>
      <c r="B612" s="468">
        <f>IFERROR(__xludf.DUMMYFUNCTION("""COMPUTED_VALUE"""),44590.0)</f>
        <v>44590</v>
      </c>
      <c r="C612" s="469">
        <f>IFERROR(__xludf.DUMMYFUNCTION("""COMPUTED_VALUE"""),0.4605324074074074)</f>
        <v>0.4605324074</v>
      </c>
      <c r="D612" s="103" t="str">
        <f>IFERROR(__xludf.DUMMYFUNCTION("""COMPUTED_VALUE"""),"SpFLMP659315")</f>
        <v>SpFLMP659315</v>
      </c>
      <c r="E612" s="103"/>
      <c r="F612" s="103"/>
      <c r="G612" s="103" t="str">
        <f>IFERROR(__xludf.DUMMYFUNCTION("""COMPUTED_VALUE"""),"Negative")</f>
        <v>Negative</v>
      </c>
      <c r="H612" s="131" t="str">
        <f>IFERROR(__xludf.DUMMYFUNCTION("""COMPUTED_VALUE"""),"Negative")</f>
        <v>Negative</v>
      </c>
      <c r="I612" s="468">
        <f>IFERROR(__xludf.DUMMYFUNCTION("""COMPUTED_VALUE"""),44592.0)</f>
        <v>44592</v>
      </c>
      <c r="J612" s="470">
        <f>IFERROR(__xludf.DUMMYFUNCTION("""COMPUTED_VALUE"""),0.4073263888888889)</f>
        <v>0.4073263889</v>
      </c>
      <c r="K612" s="16"/>
      <c r="L612" s="8"/>
      <c r="M612" s="69"/>
      <c r="N612" s="69">
        <f>IFERROR(__xludf.DUMMYFUNCTION("""COMPUTED_VALUE"""),2.0)</f>
        <v>2</v>
      </c>
      <c r="O612" s="69" t="str">
        <f t="shared" si="3"/>
        <v/>
      </c>
      <c r="P612" s="471">
        <f>IFERROR(__xludf.DUMMYFUNCTION("""COMPUTED_VALUE"""),2.0)</f>
        <v>2</v>
      </c>
      <c r="Q612" s="274" t="b">
        <f>VLOOKUP($B612,'Run Reconcile'!B$2:O2488,14,FALSE)</f>
        <v>1</v>
      </c>
      <c r="R612" s="472" t="str">
        <f t="array" ref="R612">IF($Q612, INDEX('Run Reconcile'!A$2:A2488,MATCH(B612,'Run Reconcile'!B$2:B2488,0),1),IFERROR(0/0,""))</f>
        <v>RUN-FLMP_2022-01-29_APS-082</v>
      </c>
      <c r="S612" s="473" t="str">
        <f t="shared" si="694"/>
        <v/>
      </c>
      <c r="T612" s="473" t="str">
        <f t="shared" si="698"/>
        <v/>
      </c>
      <c r="U612" s="275" t="str">
        <f t="array" ref="U612">IF(ISBLANK($R612), INDEX('Run Reconcile'!A$2:A2488, MATCH($B612, 'Run Reconcile'!B$2:B2488, 0)+Z612, 1), IFERROR(0/0,""))
</f>
        <v/>
      </c>
      <c r="V612" s="474" t="str">
        <f t="shared" si="5"/>
        <v>RUN-FLMP_2022-01-29_APS-082</v>
      </c>
      <c r="Y612" s="89" t="str">
        <f t="shared" si="867"/>
        <v/>
      </c>
      <c r="Z612" s="60" t="str">
        <f t="shared" si="7"/>
        <v/>
      </c>
      <c r="AA612" s="60" t="str">
        <f t="shared" si="8"/>
        <v/>
      </c>
      <c r="AB612" s="60" t="str">
        <f t="shared" si="9"/>
        <v/>
      </c>
      <c r="AC612" s="30" t="str">
        <f t="shared" ref="AC612:AD612" si="968">IF(_xlfn.ISFORMULA(S612),IFERROR(0/0,""),TRUE)</f>
        <v/>
      </c>
      <c r="AD612" s="30" t="str">
        <f t="shared" si="968"/>
        <v/>
      </c>
      <c r="AE612" s="475" t="str">
        <f>IFERROR(__xludf.DUMMYFUNCTION("""COMPUTED_VALUE"""),"FLSP")</f>
        <v>FLSP</v>
      </c>
      <c r="AF612" s="476"/>
      <c r="AG612" s="474" t="s">
        <v>172</v>
      </c>
      <c r="AH612" s="138" t="str">
        <f t="shared" si="11"/>
        <v/>
      </c>
    </row>
    <row r="613">
      <c r="A613" s="103" t="str">
        <f>IFERROR(__xludf.DUMMYFUNCTION("""COMPUTED_VALUE"""),"MA116")</f>
        <v>MA116</v>
      </c>
      <c r="B613" s="468">
        <f>IFERROR(__xludf.DUMMYFUNCTION("""COMPUTED_VALUE"""),44590.0)</f>
        <v>44590</v>
      </c>
      <c r="C613" s="469">
        <f>IFERROR(__xludf.DUMMYFUNCTION("""COMPUTED_VALUE"""),0.4639351851851852)</f>
        <v>0.4639351852</v>
      </c>
      <c r="D613" s="103" t="str">
        <f>IFERROR(__xludf.DUMMYFUNCTION("""COMPUTED_VALUE"""),"SpFLMP275681")</f>
        <v>SpFLMP275681</v>
      </c>
      <c r="E613" s="103"/>
      <c r="F613" s="103"/>
      <c r="G613" s="103" t="str">
        <f>IFERROR(__xludf.DUMMYFUNCTION("""COMPUTED_VALUE"""),"Negative")</f>
        <v>Negative</v>
      </c>
      <c r="H613" s="131" t="str">
        <f>IFERROR(__xludf.DUMMYFUNCTION("""COMPUTED_VALUE"""),"Negative")</f>
        <v>Negative</v>
      </c>
      <c r="I613" s="468">
        <f>IFERROR(__xludf.DUMMYFUNCTION("""COMPUTED_VALUE"""),44592.0)</f>
        <v>44592</v>
      </c>
      <c r="J613" s="470">
        <f>IFERROR(__xludf.DUMMYFUNCTION("""COMPUTED_VALUE"""),0.4073263888888889)</f>
        <v>0.4073263889</v>
      </c>
      <c r="K613" s="16"/>
      <c r="L613" s="8"/>
      <c r="M613" s="69"/>
      <c r="N613" s="69">
        <f>IFERROR(__xludf.DUMMYFUNCTION("""COMPUTED_VALUE"""),1.0)</f>
        <v>1</v>
      </c>
      <c r="O613" s="69" t="str">
        <f t="shared" si="3"/>
        <v/>
      </c>
      <c r="P613" s="471">
        <f>IFERROR(__xludf.DUMMYFUNCTION("""COMPUTED_VALUE"""),2.0)</f>
        <v>2</v>
      </c>
      <c r="Q613" s="274" t="b">
        <f>VLOOKUP($B613,'Run Reconcile'!B$2:O2488,14,FALSE)</f>
        <v>1</v>
      </c>
      <c r="R613" s="472" t="str">
        <f t="array" ref="R613">IF($Q613, INDEX('Run Reconcile'!A$2:A2488,MATCH(B613,'Run Reconcile'!B$2:B2488,0),1),IFERROR(0/0,""))</f>
        <v>RUN-FLMP_2022-01-29_APS-082</v>
      </c>
      <c r="S613" s="473" t="str">
        <f t="shared" si="694"/>
        <v/>
      </c>
      <c r="T613" s="473" t="str">
        <f t="shared" si="698"/>
        <v/>
      </c>
      <c r="U613" s="275" t="str">
        <f t="array" ref="U613">IF(ISBLANK($R613), INDEX('Run Reconcile'!A$2:A2488, MATCH($B613, 'Run Reconcile'!B$2:B2488, 0)+Z613, 1), IFERROR(0/0,""))
</f>
        <v/>
      </c>
      <c r="V613" s="474" t="str">
        <f t="shared" si="5"/>
        <v>RUN-FLMP_2022-01-29_APS-082</v>
      </c>
      <c r="Y613" s="89" t="str">
        <f t="shared" si="867"/>
        <v/>
      </c>
      <c r="Z613" s="60" t="str">
        <f t="shared" si="7"/>
        <v/>
      </c>
      <c r="AA613" s="60" t="str">
        <f t="shared" si="8"/>
        <v/>
      </c>
      <c r="AB613" s="60" t="str">
        <f t="shared" si="9"/>
        <v/>
      </c>
      <c r="AC613" s="30" t="str">
        <f t="shared" ref="AC613:AD613" si="969">IF(_xlfn.ISFORMULA(S613),IFERROR(0/0,""),TRUE)</f>
        <v/>
      </c>
      <c r="AD613" s="30" t="str">
        <f t="shared" si="969"/>
        <v/>
      </c>
      <c r="AE613" s="475" t="str">
        <f>IFERROR(__xludf.DUMMYFUNCTION("""COMPUTED_VALUE"""),"FLSP")</f>
        <v>FLSP</v>
      </c>
      <c r="AF613" s="476"/>
      <c r="AG613" s="474" t="s">
        <v>172</v>
      </c>
      <c r="AH613" s="138" t="str">
        <f t="shared" si="11"/>
        <v/>
      </c>
    </row>
    <row r="614">
      <c r="A614" s="477" t="str">
        <f>IFERROR(__xludf.DUMMYFUNCTION("""COMPUTED_VALUE"""),"FLB5806")</f>
        <v>FLB5806</v>
      </c>
      <c r="B614" s="478">
        <f>IFERROR(__xludf.DUMMYFUNCTION("""COMPUTED_VALUE"""),44591.0)</f>
        <v>44591</v>
      </c>
      <c r="C614" s="479">
        <f>IFERROR(__xludf.DUMMYFUNCTION("""COMPUTED_VALUE"""),0.7687268518518519)</f>
        <v>0.7687268519</v>
      </c>
      <c r="D614" s="477" t="str">
        <f>IFERROR(__xludf.DUMMYFUNCTION("""COMPUTED_VALUE"""),"SpFLMP683554")</f>
        <v>SpFLMP683554</v>
      </c>
      <c r="E614" s="477"/>
      <c r="F614" s="477"/>
      <c r="G614" s="477" t="str">
        <f>IFERROR(__xludf.DUMMYFUNCTION("""COMPUTED_VALUE"""),"Negative")</f>
        <v>Negative</v>
      </c>
      <c r="H614" s="480" t="str">
        <f>IFERROR(__xludf.DUMMYFUNCTION("""COMPUTED_VALUE"""),"Negative")</f>
        <v>Negative</v>
      </c>
      <c r="I614" s="478">
        <f>IFERROR(__xludf.DUMMYFUNCTION("""COMPUTED_VALUE"""),44592.0)</f>
        <v>44592</v>
      </c>
      <c r="J614" s="481">
        <f>IFERROR(__xludf.DUMMYFUNCTION("""COMPUTED_VALUE"""),0.4445138888888889)</f>
        <v>0.4445138889</v>
      </c>
      <c r="K614" s="156"/>
      <c r="L614" s="19"/>
      <c r="M614" s="482"/>
      <c r="N614" s="482">
        <f>IFERROR(__xludf.DUMMYFUNCTION("""COMPUTED_VALUE"""),1.0)</f>
        <v>1</v>
      </c>
      <c r="O614" s="482" t="b">
        <f t="shared" si="3"/>
        <v>1</v>
      </c>
      <c r="P614" s="483">
        <f>IFERROR(__xludf.DUMMYFUNCTION("""COMPUTED_VALUE"""),1.0)</f>
        <v>1</v>
      </c>
      <c r="Q614" s="352" t="str">
        <f>VLOOKUP($B614,'Run Reconcile'!B$2:O2488,14,FALSE)</f>
        <v/>
      </c>
      <c r="R614" s="484" t="str">
        <f t="array" ref="R614">IF($Q614, INDEX('Run Reconcile'!A$2:A2488,MATCH(B614,'Run Reconcile'!B$2:B2488,0),1),IFERROR(0/0,""))</f>
        <v/>
      </c>
      <c r="S614" s="485" t="b">
        <f t="shared" si="694"/>
        <v>1</v>
      </c>
      <c r="T614" s="485" t="str">
        <f t="shared" si="698"/>
        <v/>
      </c>
      <c r="U614" s="353" t="str">
        <f t="array" ref="U614">IF(ISBLANK($R614), INDEX('Run Reconcile'!A$2:A2488, MATCH($B614, 'Run Reconcile'!B$2:B2488, 0)+Z614, 1), IFERROR(0/0,""))
</f>
        <v>RUN-FLMP_2022-01-31_RFR-076</v>
      </c>
      <c r="V614" s="486" t="str">
        <f t="shared" si="5"/>
        <v>RUN-FLMP_2022-01-31_RFR-076</v>
      </c>
      <c r="W614" s="19" t="s">
        <v>1443</v>
      </c>
      <c r="X614" s="19"/>
      <c r="Y614" s="89">
        <f t="shared" si="867"/>
        <v>1</v>
      </c>
      <c r="Z614" s="60">
        <f t="shared" si="7"/>
        <v>1</v>
      </c>
      <c r="AA614" s="60">
        <f t="shared" si="8"/>
        <v>1</v>
      </c>
      <c r="AB614" s="60" t="str">
        <f t="shared" si="9"/>
        <v/>
      </c>
      <c r="AC614" s="158" t="str">
        <f t="shared" ref="AC614:AD614" si="970">IF(_xlfn.ISFORMULA(S614),IFERROR(0/0,""),TRUE)</f>
        <v/>
      </c>
      <c r="AD614" s="158" t="str">
        <f t="shared" si="970"/>
        <v/>
      </c>
      <c r="AE614" s="488" t="str">
        <f>IFERROR(__xludf.DUMMYFUNCTION("""COMPUTED_VALUE"""),"CRLN")</f>
        <v>CRLN</v>
      </c>
      <c r="AF614" s="489"/>
      <c r="AG614" s="486" t="s">
        <v>173</v>
      </c>
      <c r="AH614" s="138" t="str">
        <f t="shared" si="11"/>
        <v/>
      </c>
      <c r="AI614" s="19"/>
      <c r="AJ614" s="19"/>
      <c r="AK614" s="19"/>
      <c r="AL614" s="19"/>
      <c r="AM614" s="19"/>
    </row>
    <row r="615">
      <c r="A615" s="103" t="str">
        <f>IFERROR(__xludf.DUMMYFUNCTION("""COMPUTED_VALUE"""),"FLE927")</f>
        <v>FLE927</v>
      </c>
      <c r="B615" s="468">
        <f>IFERROR(__xludf.DUMMYFUNCTION("""COMPUTED_VALUE"""),44591.0)</f>
        <v>44591</v>
      </c>
      <c r="C615" s="469">
        <f>IFERROR(__xludf.DUMMYFUNCTION("""COMPUTED_VALUE"""),0.7804861111111111)</f>
        <v>0.7804861111</v>
      </c>
      <c r="D615" s="103" t="str">
        <f>IFERROR(__xludf.DUMMYFUNCTION("""COMPUTED_VALUE"""),"SpFLMP946259")</f>
        <v>SpFLMP946259</v>
      </c>
      <c r="E615" s="103"/>
      <c r="F615" s="103"/>
      <c r="G615" s="103" t="str">
        <f>IFERROR(__xludf.DUMMYFUNCTION("""COMPUTED_VALUE"""),"Negative")</f>
        <v>Negative</v>
      </c>
      <c r="H615" s="131" t="str">
        <f>IFERROR(__xludf.DUMMYFUNCTION("""COMPUTED_VALUE"""),"Negative")</f>
        <v>Negative</v>
      </c>
      <c r="I615" s="468">
        <f>IFERROR(__xludf.DUMMYFUNCTION("""COMPUTED_VALUE"""),44592.0)</f>
        <v>44592</v>
      </c>
      <c r="J615" s="470">
        <f>IFERROR(__xludf.DUMMYFUNCTION("""COMPUTED_VALUE"""),0.4445138888888889)</f>
        <v>0.4445138889</v>
      </c>
      <c r="K615" s="16"/>
      <c r="L615" s="8"/>
      <c r="M615" s="69"/>
      <c r="N615" s="69">
        <f>IFERROR(__xludf.DUMMYFUNCTION("""COMPUTED_VALUE"""),2.0)</f>
        <v>2</v>
      </c>
      <c r="O615" s="69" t="str">
        <f t="shared" si="3"/>
        <v/>
      </c>
      <c r="P615" s="471">
        <f>IFERROR(__xludf.DUMMYFUNCTION("""COMPUTED_VALUE"""),1.0)</f>
        <v>1</v>
      </c>
      <c r="Q615" s="274" t="str">
        <f>VLOOKUP($B615,'Run Reconcile'!B$2:O2488,14,FALSE)</f>
        <v/>
      </c>
      <c r="R615" s="472" t="str">
        <f t="array" ref="R615">IF($Q615, INDEX('Run Reconcile'!A$2:A2488,MATCH(B615,'Run Reconcile'!B$2:B2488,0),1),IFERROR(0/0,""))</f>
        <v/>
      </c>
      <c r="S615" s="473" t="b">
        <f t="shared" si="694"/>
        <v>1</v>
      </c>
      <c r="T615" s="473" t="str">
        <f t="shared" si="698"/>
        <v/>
      </c>
      <c r="U615" s="275" t="str">
        <f t="array" ref="U615">IF(ISBLANK($R615), INDEX('Run Reconcile'!A$2:A2488, MATCH($B615, 'Run Reconcile'!B$2:B2488, 0)+Z615, 1), IFERROR(0/0,""))
</f>
        <v>RUN-FLMP_2022-01-31_RFR-076</v>
      </c>
      <c r="V615" s="474" t="str">
        <f t="shared" si="5"/>
        <v>RUN-FLMP_2022-01-31_RFR-076</v>
      </c>
      <c r="W615" s="8" t="s">
        <v>1444</v>
      </c>
      <c r="Y615" s="89">
        <f t="shared" si="867"/>
        <v>1</v>
      </c>
      <c r="Z615" s="60">
        <f t="shared" si="7"/>
        <v>1</v>
      </c>
      <c r="AA615" s="60">
        <f t="shared" si="8"/>
        <v>1</v>
      </c>
      <c r="AB615" s="60" t="str">
        <f t="shared" si="9"/>
        <v/>
      </c>
      <c r="AC615" s="30" t="str">
        <f t="shared" ref="AC615:AD615" si="971">IF(_xlfn.ISFORMULA(S615),IFERROR(0/0,""),TRUE)</f>
        <v/>
      </c>
      <c r="AD615" s="30" t="str">
        <f t="shared" si="971"/>
        <v/>
      </c>
      <c r="AE615" s="475" t="str">
        <f>IFERROR(__xludf.DUMMYFUNCTION("""COMPUTED_VALUE"""),"CRLN")</f>
        <v>CRLN</v>
      </c>
      <c r="AF615" s="476"/>
      <c r="AG615" s="474" t="s">
        <v>173</v>
      </c>
      <c r="AH615" s="138" t="str">
        <f t="shared" si="11"/>
        <v/>
      </c>
    </row>
    <row r="616">
      <c r="A616" s="477" t="str">
        <f>IFERROR(__xludf.DUMMYFUNCTION("""COMPUTED_VALUE"""),"FLB4926")</f>
        <v>FLB4926</v>
      </c>
      <c r="B616" s="478">
        <f>IFERROR(__xludf.DUMMYFUNCTION("""COMPUTED_VALUE"""),44592.0)</f>
        <v>44592</v>
      </c>
      <c r="C616" s="479">
        <f>IFERROR(__xludf.DUMMYFUNCTION("""COMPUTED_VALUE"""),0.21752314814814816)</f>
        <v>0.2175231481</v>
      </c>
      <c r="D616" s="477" t="str">
        <f>IFERROR(__xludf.DUMMYFUNCTION("""COMPUTED_VALUE"""),"SpFLMP470379")</f>
        <v>SpFLMP470379</v>
      </c>
      <c r="E616" s="477"/>
      <c r="F616" s="477"/>
      <c r="G616" s="477" t="str">
        <f>IFERROR(__xludf.DUMMYFUNCTION("""COMPUTED_VALUE"""),"Negative")</f>
        <v>Negative</v>
      </c>
      <c r="H616" s="480" t="str">
        <f>IFERROR(__xludf.DUMMYFUNCTION("""COMPUTED_VALUE"""),"Negative")</f>
        <v>Negative</v>
      </c>
      <c r="I616" s="478">
        <f>IFERROR(__xludf.DUMMYFUNCTION("""COMPUTED_VALUE"""),44592.0)</f>
        <v>44592</v>
      </c>
      <c r="J616" s="481">
        <f>IFERROR(__xludf.DUMMYFUNCTION("""COMPUTED_VALUE"""),0.4445138888888889)</f>
        <v>0.4445138889</v>
      </c>
      <c r="K616" s="156"/>
      <c r="L616" s="19"/>
      <c r="M616" s="482"/>
      <c r="N616" s="482">
        <f>IFERROR(__xludf.DUMMYFUNCTION("""COMPUTED_VALUE"""),1.0)</f>
        <v>1</v>
      </c>
      <c r="O616" s="482" t="b">
        <f t="shared" si="3"/>
        <v>1</v>
      </c>
      <c r="P616" s="483">
        <f>IFERROR(__xludf.DUMMYFUNCTION("""COMPUTED_VALUE"""),0.0)</f>
        <v>0</v>
      </c>
      <c r="Q616" s="352" t="str">
        <f>VLOOKUP($B616,'Run Reconcile'!B$2:O2488,14,FALSE)</f>
        <v/>
      </c>
      <c r="R616" s="484" t="str">
        <f t="array" ref="R616">IF($Q616, INDEX('Run Reconcile'!A$2:A2488,MATCH(B616,'Run Reconcile'!B$2:B2488,0),1),IFERROR(0/0,""))</f>
        <v/>
      </c>
      <c r="S616" s="485" t="str">
        <f t="shared" si="694"/>
        <v/>
      </c>
      <c r="T616" s="485" t="str">
        <f t="shared" si="698"/>
        <v/>
      </c>
      <c r="U616" s="353" t="str">
        <f t="array" ref="U616">IF(ISBLANK($R616), INDEX('Run Reconcile'!A$2:A2488, MATCH($B616, 'Run Reconcile'!B$2:B2488, 0)+Z616, 1), IFERROR(0/0,""))
</f>
        <v>RUN-FLMP_2022-01-31_RFR-076</v>
      </c>
      <c r="V616" s="486" t="str">
        <f t="shared" si="5"/>
        <v>RUN-FLMP_2022-01-31_RFR-076</v>
      </c>
      <c r="W616" s="19"/>
      <c r="X616" s="19"/>
      <c r="Y616" s="89" t="str">
        <f t="shared" si="867"/>
        <v/>
      </c>
      <c r="Z616" s="60" t="str">
        <f t="shared" si="7"/>
        <v/>
      </c>
      <c r="AA616" s="60" t="str">
        <f t="shared" si="8"/>
        <v/>
      </c>
      <c r="AB616" s="60" t="str">
        <f t="shared" si="9"/>
        <v/>
      </c>
      <c r="AC616" s="158" t="str">
        <f t="shared" ref="AC616:AD616" si="972">IF(_xlfn.ISFORMULA(S616),IFERROR(0/0,""),TRUE)</f>
        <v/>
      </c>
      <c r="AD616" s="158" t="str">
        <f t="shared" si="972"/>
        <v/>
      </c>
      <c r="AE616" s="488" t="str">
        <f>IFERROR(__xludf.DUMMYFUNCTION("""COMPUTED_VALUE"""),"CRLN")</f>
        <v>CRLN</v>
      </c>
      <c r="AF616" s="489"/>
      <c r="AG616" s="486" t="s">
        <v>173</v>
      </c>
      <c r="AH616" s="138" t="str">
        <f t="shared" si="11"/>
        <v/>
      </c>
      <c r="AI616" s="19"/>
      <c r="AJ616" s="19"/>
      <c r="AK616" s="19"/>
      <c r="AL616" s="19"/>
      <c r="AM616" s="19"/>
    </row>
    <row r="617">
      <c r="A617" s="103" t="str">
        <f>IFERROR(__xludf.DUMMYFUNCTION("""COMPUTED_VALUE"""),"FLB5749")</f>
        <v>FLB5749</v>
      </c>
      <c r="B617" s="468">
        <f>IFERROR(__xludf.DUMMYFUNCTION("""COMPUTED_VALUE"""),44592.0)</f>
        <v>44592</v>
      </c>
      <c r="C617" s="469">
        <f>IFERROR(__xludf.DUMMYFUNCTION("""COMPUTED_VALUE"""),0.2950925925925926)</f>
        <v>0.2950925926</v>
      </c>
      <c r="D617" s="103" t="str">
        <f>IFERROR(__xludf.DUMMYFUNCTION("""COMPUTED_VALUE"""),"SpFLMP690282")</f>
        <v>SpFLMP690282</v>
      </c>
      <c r="E617" s="103"/>
      <c r="F617" s="103"/>
      <c r="G617" s="103" t="str">
        <f>IFERROR(__xludf.DUMMYFUNCTION("""COMPUTED_VALUE"""),"Negative")</f>
        <v>Negative</v>
      </c>
      <c r="H617" s="131" t="str">
        <f>IFERROR(__xludf.DUMMYFUNCTION("""COMPUTED_VALUE"""),"Negative")</f>
        <v>Negative</v>
      </c>
      <c r="I617" s="468">
        <f>IFERROR(__xludf.DUMMYFUNCTION("""COMPUTED_VALUE"""),44592.0)</f>
        <v>44592</v>
      </c>
      <c r="J617" s="470">
        <f>IFERROR(__xludf.DUMMYFUNCTION("""COMPUTED_VALUE"""),0.4445138888888889)</f>
        <v>0.4445138889</v>
      </c>
      <c r="K617" s="16"/>
      <c r="L617" s="8"/>
      <c r="M617" s="69"/>
      <c r="N617" s="69">
        <f>IFERROR(__xludf.DUMMYFUNCTION("""COMPUTED_VALUE"""),2.0)</f>
        <v>2</v>
      </c>
      <c r="O617" s="69" t="str">
        <f t="shared" si="3"/>
        <v/>
      </c>
      <c r="P617" s="471">
        <f>IFERROR(__xludf.DUMMYFUNCTION("""COMPUTED_VALUE"""),0.0)</f>
        <v>0</v>
      </c>
      <c r="Q617" s="274" t="str">
        <f>VLOOKUP($B617,'Run Reconcile'!B$2:O2488,14,FALSE)</f>
        <v/>
      </c>
      <c r="R617" s="472" t="str">
        <f t="array" ref="R617">IF($Q617, INDEX('Run Reconcile'!A$2:A2488,MATCH(B617,'Run Reconcile'!B$2:B2488,0),1),IFERROR(0/0,""))</f>
        <v/>
      </c>
      <c r="S617" s="473" t="str">
        <f t="shared" si="694"/>
        <v/>
      </c>
      <c r="T617" s="473" t="str">
        <f t="shared" si="698"/>
        <v/>
      </c>
      <c r="U617" s="275" t="str">
        <f t="array" ref="U617">IF(ISBLANK($R617), INDEX('Run Reconcile'!A$2:A2488, MATCH($B617, 'Run Reconcile'!B$2:B2488, 0)+Z617, 1), IFERROR(0/0,""))
</f>
        <v>RUN-FLMP_2022-01-31_RFR-076</v>
      </c>
      <c r="V617" s="474" t="str">
        <f t="shared" si="5"/>
        <v>RUN-FLMP_2022-01-31_RFR-076</v>
      </c>
      <c r="Y617" s="89" t="str">
        <f t="shared" si="867"/>
        <v/>
      </c>
      <c r="Z617" s="60" t="str">
        <f t="shared" si="7"/>
        <v/>
      </c>
      <c r="AA617" s="60" t="str">
        <f t="shared" si="8"/>
        <v/>
      </c>
      <c r="AB617" s="60" t="str">
        <f t="shared" si="9"/>
        <v/>
      </c>
      <c r="AC617" s="30" t="str">
        <f t="shared" ref="AC617:AD617" si="973">IF(_xlfn.ISFORMULA(S617),IFERROR(0/0,""),TRUE)</f>
        <v/>
      </c>
      <c r="AD617" s="30" t="str">
        <f t="shared" si="973"/>
        <v/>
      </c>
      <c r="AE617" s="475" t="str">
        <f>IFERROR(__xludf.DUMMYFUNCTION("""COMPUTED_VALUE"""),"CRLN")</f>
        <v>CRLN</v>
      </c>
      <c r="AF617" s="476"/>
      <c r="AG617" s="474" t="s">
        <v>173</v>
      </c>
      <c r="AH617" s="138" t="str">
        <f t="shared" si="11"/>
        <v/>
      </c>
    </row>
    <row r="618">
      <c r="A618" s="103" t="str">
        <f>IFERROR(__xludf.DUMMYFUNCTION("""COMPUTED_VALUE"""),"FLE939")</f>
        <v>FLE939</v>
      </c>
      <c r="B618" s="468">
        <f>IFERROR(__xludf.DUMMYFUNCTION("""COMPUTED_VALUE"""),44592.0)</f>
        <v>44592</v>
      </c>
      <c r="C618" s="469">
        <f>IFERROR(__xludf.DUMMYFUNCTION("""COMPUTED_VALUE"""),0.3210763888888889)</f>
        <v>0.3210763889</v>
      </c>
      <c r="D618" s="103" t="str">
        <f>IFERROR(__xludf.DUMMYFUNCTION("""COMPUTED_VALUE"""),"SpFLMP939619")</f>
        <v>SpFLMP939619</v>
      </c>
      <c r="E618" s="103"/>
      <c r="F618" s="103"/>
      <c r="G618" s="103" t="str">
        <f>IFERROR(__xludf.DUMMYFUNCTION("""COMPUTED_VALUE"""),"Negative")</f>
        <v>Negative</v>
      </c>
      <c r="H618" s="131" t="str">
        <f>IFERROR(__xludf.DUMMYFUNCTION("""COMPUTED_VALUE"""),"Negative")</f>
        <v>Negative</v>
      </c>
      <c r="I618" s="468">
        <f>IFERROR(__xludf.DUMMYFUNCTION("""COMPUTED_VALUE"""),44592.0)</f>
        <v>44592</v>
      </c>
      <c r="J618" s="470">
        <f>IFERROR(__xludf.DUMMYFUNCTION("""COMPUTED_VALUE"""),0.4445138888888889)</f>
        <v>0.4445138889</v>
      </c>
      <c r="K618" s="16"/>
      <c r="L618" s="8"/>
      <c r="M618" s="69"/>
      <c r="N618" s="69">
        <f>IFERROR(__xludf.DUMMYFUNCTION("""COMPUTED_VALUE"""),1.0)</f>
        <v>1</v>
      </c>
      <c r="O618" s="69" t="str">
        <f t="shared" si="3"/>
        <v/>
      </c>
      <c r="P618" s="471">
        <f>IFERROR(__xludf.DUMMYFUNCTION("""COMPUTED_VALUE"""),0.0)</f>
        <v>0</v>
      </c>
      <c r="Q618" s="274" t="str">
        <f>VLOOKUP($B618,'Run Reconcile'!B$2:O2488,14,FALSE)</f>
        <v/>
      </c>
      <c r="R618" s="472" t="str">
        <f t="array" ref="R618">IF($Q618, INDEX('Run Reconcile'!A$2:A2488,MATCH(B618,'Run Reconcile'!B$2:B2488,0),1),IFERROR(0/0,""))</f>
        <v/>
      </c>
      <c r="S618" s="473" t="str">
        <f t="shared" si="694"/>
        <v/>
      </c>
      <c r="T618" s="473" t="str">
        <f t="shared" si="698"/>
        <v/>
      </c>
      <c r="U618" s="275" t="str">
        <f t="array" ref="U618">IF(ISBLANK($R618), INDEX('Run Reconcile'!A$2:A2488, MATCH($B618, 'Run Reconcile'!B$2:B2488, 0)+Z618, 1), IFERROR(0/0,""))
</f>
        <v>RUN-FLMP_2022-01-31_RFR-076</v>
      </c>
      <c r="V618" s="474" t="str">
        <f t="shared" si="5"/>
        <v>RUN-FLMP_2022-01-31_RFR-076</v>
      </c>
      <c r="Y618" s="89" t="str">
        <f t="shared" si="867"/>
        <v/>
      </c>
      <c r="Z618" s="60" t="str">
        <f t="shared" si="7"/>
        <v/>
      </c>
      <c r="AA618" s="60" t="str">
        <f t="shared" si="8"/>
        <v/>
      </c>
      <c r="AB618" s="60" t="str">
        <f t="shared" si="9"/>
        <v/>
      </c>
      <c r="AC618" s="30" t="str">
        <f t="shared" ref="AC618:AD618" si="974">IF(_xlfn.ISFORMULA(S618),IFERROR(0/0,""),TRUE)</f>
        <v/>
      </c>
      <c r="AD618" s="30" t="str">
        <f t="shared" si="974"/>
        <v/>
      </c>
      <c r="AE618" s="475" t="str">
        <f>IFERROR(__xludf.DUMMYFUNCTION("""COMPUTED_VALUE"""),"CRLN")</f>
        <v>CRLN</v>
      </c>
      <c r="AF618" s="476"/>
      <c r="AG618" s="474" t="s">
        <v>173</v>
      </c>
      <c r="AH618" s="138" t="str">
        <f t="shared" si="11"/>
        <v/>
      </c>
    </row>
    <row r="619">
      <c r="A619" s="103" t="str">
        <f>IFERROR(__xludf.DUMMYFUNCTION("""COMPUTED_VALUE"""),"FLB5873")</f>
        <v>FLB5873</v>
      </c>
      <c r="B619" s="468">
        <f>IFERROR(__xludf.DUMMYFUNCTION("""COMPUTED_VALUE"""),44592.0)</f>
        <v>44592</v>
      </c>
      <c r="C619" s="469">
        <f>IFERROR(__xludf.DUMMYFUNCTION("""COMPUTED_VALUE"""),0.32158564814814816)</f>
        <v>0.3215856481</v>
      </c>
      <c r="D619" s="103" t="str">
        <f>IFERROR(__xludf.DUMMYFUNCTION("""COMPUTED_VALUE"""),"SpFLMP904576")</f>
        <v>SpFLMP904576</v>
      </c>
      <c r="E619" s="103"/>
      <c r="F619" s="103"/>
      <c r="G619" s="103" t="str">
        <f>IFERROR(__xludf.DUMMYFUNCTION("""COMPUTED_VALUE"""),"Negative")</f>
        <v>Negative</v>
      </c>
      <c r="H619" s="131" t="str">
        <f>IFERROR(__xludf.DUMMYFUNCTION("""COMPUTED_VALUE"""),"Negative")</f>
        <v>Negative</v>
      </c>
      <c r="I619" s="468">
        <f>IFERROR(__xludf.DUMMYFUNCTION("""COMPUTED_VALUE"""),44592.0)</f>
        <v>44592</v>
      </c>
      <c r="J619" s="470">
        <f>IFERROR(__xludf.DUMMYFUNCTION("""COMPUTED_VALUE"""),0.4445138888888889)</f>
        <v>0.4445138889</v>
      </c>
      <c r="K619" s="16"/>
      <c r="L619" s="8"/>
      <c r="M619" s="69"/>
      <c r="N619" s="69">
        <f>IFERROR(__xludf.DUMMYFUNCTION("""COMPUTED_VALUE"""),3.0)</f>
        <v>3</v>
      </c>
      <c r="O619" s="69" t="str">
        <f t="shared" si="3"/>
        <v/>
      </c>
      <c r="P619" s="471">
        <f>IFERROR(__xludf.DUMMYFUNCTION("""COMPUTED_VALUE"""),0.0)</f>
        <v>0</v>
      </c>
      <c r="Q619" s="274" t="str">
        <f>VLOOKUP($B619,'Run Reconcile'!B$2:O2488,14,FALSE)</f>
        <v/>
      </c>
      <c r="R619" s="472" t="str">
        <f t="array" ref="R619">IF($Q619, INDEX('Run Reconcile'!A$2:A2488,MATCH(B619,'Run Reconcile'!B$2:B2488,0),1),IFERROR(0/0,""))</f>
        <v/>
      </c>
      <c r="S619" s="473" t="str">
        <f t="shared" si="694"/>
        <v/>
      </c>
      <c r="T619" s="473" t="str">
        <f t="shared" si="698"/>
        <v/>
      </c>
      <c r="U619" s="275" t="str">
        <f t="array" ref="U619">IF(ISBLANK($R619), INDEX('Run Reconcile'!A$2:A2488, MATCH($B619, 'Run Reconcile'!B$2:B2488, 0)+Z619, 1), IFERROR(0/0,""))
</f>
        <v>RUN-FLMP_2022-01-31_RFR-076</v>
      </c>
      <c r="V619" s="474" t="str">
        <f t="shared" si="5"/>
        <v>RUN-FLMP_2022-01-31_RFR-076</v>
      </c>
      <c r="Y619" s="89" t="str">
        <f t="shared" si="867"/>
        <v/>
      </c>
      <c r="Z619" s="60" t="str">
        <f t="shared" si="7"/>
        <v/>
      </c>
      <c r="AA619" s="60" t="str">
        <f t="shared" si="8"/>
        <v/>
      </c>
      <c r="AB619" s="60" t="str">
        <f t="shared" si="9"/>
        <v/>
      </c>
      <c r="AC619" s="30" t="str">
        <f t="shared" ref="AC619:AD619" si="975">IF(_xlfn.ISFORMULA(S619),IFERROR(0/0,""),TRUE)</f>
        <v/>
      </c>
      <c r="AD619" s="30" t="str">
        <f t="shared" si="975"/>
        <v/>
      </c>
      <c r="AE619" s="475" t="str">
        <f>IFERROR(__xludf.DUMMYFUNCTION("""COMPUTED_VALUE"""),"CRLN")</f>
        <v>CRLN</v>
      </c>
      <c r="AF619" s="476"/>
      <c r="AG619" s="474" t="s">
        <v>173</v>
      </c>
      <c r="AH619" s="138" t="str">
        <f t="shared" si="11"/>
        <v/>
      </c>
    </row>
    <row r="620">
      <c r="A620" s="103" t="str">
        <f>IFERROR(__xludf.DUMMYFUNCTION("""COMPUTED_VALUE"""),"FLB5839")</f>
        <v>FLB5839</v>
      </c>
      <c r="B620" s="468">
        <f>IFERROR(__xludf.DUMMYFUNCTION("""COMPUTED_VALUE"""),44592.0)</f>
        <v>44592</v>
      </c>
      <c r="C620" s="469">
        <f>IFERROR(__xludf.DUMMYFUNCTION("""COMPUTED_VALUE"""),0.32310185185185186)</f>
        <v>0.3231018519</v>
      </c>
      <c r="D620" s="103" t="str">
        <f>IFERROR(__xludf.DUMMYFUNCTION("""COMPUTED_VALUE"""),"SpFLMP170622")</f>
        <v>SpFLMP170622</v>
      </c>
      <c r="E620" s="103"/>
      <c r="F620" s="103"/>
      <c r="G620" s="103" t="str">
        <f>IFERROR(__xludf.DUMMYFUNCTION("""COMPUTED_VALUE"""),"Negative")</f>
        <v>Negative</v>
      </c>
      <c r="H620" s="131" t="str">
        <f>IFERROR(__xludf.DUMMYFUNCTION("""COMPUTED_VALUE"""),"Negative")</f>
        <v>Negative</v>
      </c>
      <c r="I620" s="468">
        <f>IFERROR(__xludf.DUMMYFUNCTION("""COMPUTED_VALUE"""),44592.0)</f>
        <v>44592</v>
      </c>
      <c r="J620" s="470">
        <f>IFERROR(__xludf.DUMMYFUNCTION("""COMPUTED_VALUE"""),0.4445138888888889)</f>
        <v>0.4445138889</v>
      </c>
      <c r="K620" s="16"/>
      <c r="L620" s="8"/>
      <c r="M620" s="69"/>
      <c r="N620" s="69">
        <f>IFERROR(__xludf.DUMMYFUNCTION("""COMPUTED_VALUE"""),4.0)</f>
        <v>4</v>
      </c>
      <c r="O620" s="69" t="str">
        <f t="shared" si="3"/>
        <v/>
      </c>
      <c r="P620" s="471">
        <f>IFERROR(__xludf.DUMMYFUNCTION("""COMPUTED_VALUE"""),0.0)</f>
        <v>0</v>
      </c>
      <c r="Q620" s="274" t="str">
        <f>VLOOKUP($B620,'Run Reconcile'!B$2:O2488,14,FALSE)</f>
        <v/>
      </c>
      <c r="R620" s="472" t="str">
        <f t="array" ref="R620">IF($Q620, INDEX('Run Reconcile'!A$2:A2488,MATCH(B620,'Run Reconcile'!B$2:B2488,0),1),IFERROR(0/0,""))</f>
        <v/>
      </c>
      <c r="S620" s="473" t="str">
        <f t="shared" si="694"/>
        <v/>
      </c>
      <c r="T620" s="473" t="str">
        <f t="shared" si="698"/>
        <v/>
      </c>
      <c r="U620" s="275" t="str">
        <f t="array" ref="U620">IF(ISBLANK($R620), INDEX('Run Reconcile'!A$2:A2488, MATCH($B620, 'Run Reconcile'!B$2:B2488, 0)+Z620, 1), IFERROR(0/0,""))
</f>
        <v>RUN-FLMP_2022-01-31_RFR-076</v>
      </c>
      <c r="V620" s="474" t="str">
        <f t="shared" si="5"/>
        <v>RUN-FLMP_2022-01-31_RFR-076</v>
      </c>
      <c r="Y620" s="89" t="str">
        <f t="shared" si="867"/>
        <v/>
      </c>
      <c r="Z620" s="60" t="str">
        <f t="shared" si="7"/>
        <v/>
      </c>
      <c r="AA620" s="60" t="str">
        <f t="shared" si="8"/>
        <v/>
      </c>
      <c r="AB620" s="60" t="str">
        <f t="shared" si="9"/>
        <v/>
      </c>
      <c r="AC620" s="30" t="str">
        <f t="shared" ref="AC620:AD620" si="976">IF(_xlfn.ISFORMULA(S620),IFERROR(0/0,""),TRUE)</f>
        <v/>
      </c>
      <c r="AD620" s="30" t="str">
        <f t="shared" si="976"/>
        <v/>
      </c>
      <c r="AE620" s="475" t="str">
        <f>IFERROR(__xludf.DUMMYFUNCTION("""COMPUTED_VALUE"""),"CRLN")</f>
        <v>CRLN</v>
      </c>
      <c r="AF620" s="476"/>
      <c r="AG620" s="474" t="s">
        <v>173</v>
      </c>
      <c r="AH620" s="138" t="str">
        <f t="shared" si="11"/>
        <v/>
      </c>
    </row>
    <row r="621">
      <c r="A621" s="103" t="str">
        <f>IFERROR(__xludf.DUMMYFUNCTION("""COMPUTED_VALUE"""),"FLB5772")</f>
        <v>FLB5772</v>
      </c>
      <c r="B621" s="468">
        <f>IFERROR(__xludf.DUMMYFUNCTION("""COMPUTED_VALUE"""),44592.0)</f>
        <v>44592</v>
      </c>
      <c r="C621" s="469">
        <f>IFERROR(__xludf.DUMMYFUNCTION("""COMPUTED_VALUE"""),0.32384259259259257)</f>
        <v>0.3238425926</v>
      </c>
      <c r="D621" s="103" t="str">
        <f>IFERROR(__xludf.DUMMYFUNCTION("""COMPUTED_VALUE"""),"SpFLMP309785")</f>
        <v>SpFLMP309785</v>
      </c>
      <c r="E621" s="103"/>
      <c r="F621" s="103"/>
      <c r="G621" s="103" t="str">
        <f>IFERROR(__xludf.DUMMYFUNCTION("""COMPUTED_VALUE"""),"Negative")</f>
        <v>Negative</v>
      </c>
      <c r="H621" s="131" t="str">
        <f>IFERROR(__xludf.DUMMYFUNCTION("""COMPUTED_VALUE"""),"Negative")</f>
        <v>Negative</v>
      </c>
      <c r="I621" s="468">
        <f>IFERROR(__xludf.DUMMYFUNCTION("""COMPUTED_VALUE"""),44592.0)</f>
        <v>44592</v>
      </c>
      <c r="J621" s="470">
        <f>IFERROR(__xludf.DUMMYFUNCTION("""COMPUTED_VALUE"""),0.48091435185185183)</f>
        <v>0.4809143519</v>
      </c>
      <c r="K621" s="16"/>
      <c r="L621" s="8"/>
      <c r="M621" s="69"/>
      <c r="N621" s="69">
        <f>IFERROR(__xludf.DUMMYFUNCTION("""COMPUTED_VALUE"""),4.0)</f>
        <v>4</v>
      </c>
      <c r="O621" s="69" t="str">
        <f t="shared" si="3"/>
        <v/>
      </c>
      <c r="P621" s="471">
        <f>IFERROR(__xludf.DUMMYFUNCTION("""COMPUTED_VALUE"""),0.0)</f>
        <v>0</v>
      </c>
      <c r="Q621" s="274" t="str">
        <f>VLOOKUP($B621,'Run Reconcile'!B$2:O2488,14,FALSE)</f>
        <v/>
      </c>
      <c r="R621" s="472" t="str">
        <f t="array" ref="R621">IF($Q621, INDEX('Run Reconcile'!A$2:A2488,MATCH(B621,'Run Reconcile'!B$2:B2488,0),1),IFERROR(0/0,""))</f>
        <v/>
      </c>
      <c r="S621" s="473" t="str">
        <f t="shared" si="694"/>
        <v/>
      </c>
      <c r="T621" s="473" t="str">
        <f t="shared" si="698"/>
        <v/>
      </c>
      <c r="U621" s="275" t="str">
        <f t="array" ref="U621">IF(ISBLANK($R621), INDEX('Run Reconcile'!A$2:A2488, MATCH($B621, 'Run Reconcile'!B$2:B2488, 0)+Z621, 1), IFERROR(0/0,""))
</f>
        <v>RUN-FLMP_2022-01-31_RFR-076</v>
      </c>
      <c r="V621" s="474" t="str">
        <f t="shared" si="5"/>
        <v>RUN-FLMP_2022-01-31_RFR-076</v>
      </c>
      <c r="Y621" s="89" t="str">
        <f t="shared" si="867"/>
        <v/>
      </c>
      <c r="Z621" s="60" t="str">
        <f t="shared" si="7"/>
        <v/>
      </c>
      <c r="AA621" s="60" t="str">
        <f t="shared" si="8"/>
        <v/>
      </c>
      <c r="AB621" s="60" t="str">
        <f t="shared" si="9"/>
        <v/>
      </c>
      <c r="AC621" s="30" t="str">
        <f t="shared" ref="AC621:AD621" si="977">IF(_xlfn.ISFORMULA(S621),IFERROR(0/0,""),TRUE)</f>
        <v/>
      </c>
      <c r="AD621" s="30" t="str">
        <f t="shared" si="977"/>
        <v/>
      </c>
      <c r="AE621" s="475" t="str">
        <f>IFERROR(__xludf.DUMMYFUNCTION("""COMPUTED_VALUE"""),"CRLN")</f>
        <v>CRLN</v>
      </c>
      <c r="AF621" s="476"/>
      <c r="AG621" s="474" t="s">
        <v>173</v>
      </c>
      <c r="AH621" s="138" t="str">
        <f t="shared" si="11"/>
        <v/>
      </c>
    </row>
    <row r="622">
      <c r="A622" s="103" t="str">
        <f>IFERROR(__xludf.DUMMYFUNCTION("""COMPUTED_VALUE"""),"FLB5899")</f>
        <v>FLB5899</v>
      </c>
      <c r="B622" s="468">
        <f>IFERROR(__xludf.DUMMYFUNCTION("""COMPUTED_VALUE"""),44592.0)</f>
        <v>44592</v>
      </c>
      <c r="C622" s="469">
        <f>IFERROR(__xludf.DUMMYFUNCTION("""COMPUTED_VALUE"""),0.3243402777777778)</f>
        <v>0.3243402778</v>
      </c>
      <c r="D622" s="103" t="str">
        <f>IFERROR(__xludf.DUMMYFUNCTION("""COMPUTED_VALUE"""),"SpFLMP170622")</f>
        <v>SpFLMP170622</v>
      </c>
      <c r="E622" s="103"/>
      <c r="F622" s="103"/>
      <c r="G622" s="103" t="str">
        <f>IFERROR(__xludf.DUMMYFUNCTION("""COMPUTED_VALUE"""),"Negative")</f>
        <v>Negative</v>
      </c>
      <c r="H622" s="131" t="str">
        <f>IFERROR(__xludf.DUMMYFUNCTION("""COMPUTED_VALUE"""),"Negative")</f>
        <v>Negative</v>
      </c>
      <c r="I622" s="468">
        <f>IFERROR(__xludf.DUMMYFUNCTION("""COMPUTED_VALUE"""),44592.0)</f>
        <v>44592</v>
      </c>
      <c r="J622" s="470">
        <f>IFERROR(__xludf.DUMMYFUNCTION("""COMPUTED_VALUE"""),0.4445138888888889)</f>
        <v>0.4445138889</v>
      </c>
      <c r="K622" s="16"/>
      <c r="L622" s="8"/>
      <c r="M622" s="69"/>
      <c r="N622" s="69">
        <f>IFERROR(__xludf.DUMMYFUNCTION("""COMPUTED_VALUE"""),4.0)</f>
        <v>4</v>
      </c>
      <c r="O622" s="69" t="str">
        <f t="shared" si="3"/>
        <v/>
      </c>
      <c r="P622" s="471">
        <f>IFERROR(__xludf.DUMMYFUNCTION("""COMPUTED_VALUE"""),0.0)</f>
        <v>0</v>
      </c>
      <c r="Q622" s="274" t="str">
        <f>VLOOKUP($B622,'Run Reconcile'!B$2:O2488,14,FALSE)</f>
        <v/>
      </c>
      <c r="R622" s="472" t="str">
        <f t="array" ref="R622">IF($Q622, INDEX('Run Reconcile'!A$2:A2488,MATCH(B622,'Run Reconcile'!B$2:B2488,0),1),IFERROR(0/0,""))</f>
        <v/>
      </c>
      <c r="S622" s="473" t="str">
        <f t="shared" si="694"/>
        <v/>
      </c>
      <c r="T622" s="473" t="str">
        <f t="shared" si="698"/>
        <v/>
      </c>
      <c r="U622" s="275" t="str">
        <f t="array" ref="U622">IF(ISBLANK($R622), INDEX('Run Reconcile'!A$2:A2488, MATCH($B622, 'Run Reconcile'!B$2:B2488, 0)+Z622, 1), IFERROR(0/0,""))
</f>
        <v>RUN-FLMP_2022-01-31_RFR-076</v>
      </c>
      <c r="V622" s="474" t="str">
        <f t="shared" si="5"/>
        <v>RUN-FLMP_2022-01-31_RFR-076</v>
      </c>
      <c r="Y622" s="89" t="str">
        <f t="shared" si="867"/>
        <v/>
      </c>
      <c r="Z622" s="60" t="str">
        <f t="shared" si="7"/>
        <v/>
      </c>
      <c r="AA622" s="60" t="str">
        <f t="shared" si="8"/>
        <v/>
      </c>
      <c r="AB622" s="60" t="str">
        <f t="shared" si="9"/>
        <v/>
      </c>
      <c r="AC622" s="30" t="str">
        <f t="shared" ref="AC622:AD622" si="978">IF(_xlfn.ISFORMULA(S622),IFERROR(0/0,""),TRUE)</f>
        <v/>
      </c>
      <c r="AD622" s="30" t="str">
        <f t="shared" si="978"/>
        <v/>
      </c>
      <c r="AE622" s="475" t="str">
        <f>IFERROR(__xludf.DUMMYFUNCTION("""COMPUTED_VALUE"""),"CRLN")</f>
        <v>CRLN</v>
      </c>
      <c r="AF622" s="476"/>
      <c r="AG622" s="474" t="s">
        <v>173</v>
      </c>
      <c r="AH622" s="138" t="str">
        <f t="shared" si="11"/>
        <v/>
      </c>
    </row>
    <row r="623">
      <c r="A623" s="103" t="str">
        <f>IFERROR(__xludf.DUMMYFUNCTION("""COMPUTED_VALUE"""),"FLT1396")</f>
        <v>FLT1396</v>
      </c>
      <c r="B623" s="468">
        <f>IFERROR(__xludf.DUMMYFUNCTION("""COMPUTED_VALUE"""),44592.0)</f>
        <v>44592</v>
      </c>
      <c r="C623" s="469">
        <f>IFERROR(__xludf.DUMMYFUNCTION("""COMPUTED_VALUE"""),0.32600694444444445)</f>
        <v>0.3260069444</v>
      </c>
      <c r="D623" s="103" t="str">
        <f>IFERROR(__xludf.DUMMYFUNCTION("""COMPUTED_VALUE"""),"SpFLMP228238")</f>
        <v>SpFLMP228238</v>
      </c>
      <c r="E623" s="103"/>
      <c r="F623" s="103"/>
      <c r="G623" s="103" t="str">
        <f>IFERROR(__xludf.DUMMYFUNCTION("""COMPUTED_VALUE"""),"Negative")</f>
        <v>Negative</v>
      </c>
      <c r="H623" s="131" t="str">
        <f>IFERROR(__xludf.DUMMYFUNCTION("""COMPUTED_VALUE"""),"Negative")</f>
        <v>Negative</v>
      </c>
      <c r="I623" s="468">
        <f>IFERROR(__xludf.DUMMYFUNCTION("""COMPUTED_VALUE"""),44592.0)</f>
        <v>44592</v>
      </c>
      <c r="J623" s="470">
        <f>IFERROR(__xludf.DUMMYFUNCTION("""COMPUTED_VALUE"""),0.4445138888888889)</f>
        <v>0.4445138889</v>
      </c>
      <c r="K623" s="16"/>
      <c r="L623" s="8"/>
      <c r="M623" s="69"/>
      <c r="N623" s="69">
        <f>IFERROR(__xludf.DUMMYFUNCTION("""COMPUTED_VALUE"""),4.0)</f>
        <v>4</v>
      </c>
      <c r="O623" s="69" t="str">
        <f t="shared" si="3"/>
        <v/>
      </c>
      <c r="P623" s="471">
        <f>IFERROR(__xludf.DUMMYFUNCTION("""COMPUTED_VALUE"""),0.0)</f>
        <v>0</v>
      </c>
      <c r="Q623" s="274" t="str">
        <f>VLOOKUP($B623,'Run Reconcile'!B$2:O2488,14,FALSE)</f>
        <v/>
      </c>
      <c r="R623" s="472" t="str">
        <f t="array" ref="R623">IF($Q623, INDEX('Run Reconcile'!A$2:A2488,MATCH(B623,'Run Reconcile'!B$2:B2488,0),1),IFERROR(0/0,""))</f>
        <v/>
      </c>
      <c r="S623" s="473" t="str">
        <f t="shared" si="694"/>
        <v/>
      </c>
      <c r="T623" s="473" t="str">
        <f t="shared" si="698"/>
        <v/>
      </c>
      <c r="U623" s="275" t="str">
        <f t="array" ref="U623">IF(ISBLANK($R623), INDEX('Run Reconcile'!A$2:A2488, MATCH($B623, 'Run Reconcile'!B$2:B2488, 0)+Z623, 1), IFERROR(0/0,""))
</f>
        <v>RUN-FLMP_2022-01-31_RFR-076</v>
      </c>
      <c r="V623" s="474" t="str">
        <f t="shared" si="5"/>
        <v>RUN-FLMP_2022-01-31_RFR-076</v>
      </c>
      <c r="Y623" s="89" t="str">
        <f t="shared" si="867"/>
        <v/>
      </c>
      <c r="Z623" s="60" t="str">
        <f t="shared" si="7"/>
        <v/>
      </c>
      <c r="AA623" s="60" t="str">
        <f t="shared" si="8"/>
        <v/>
      </c>
      <c r="AB623" s="60" t="str">
        <f t="shared" si="9"/>
        <v/>
      </c>
      <c r="AC623" s="30" t="str">
        <f t="shared" ref="AC623:AD623" si="979">IF(_xlfn.ISFORMULA(S623),IFERROR(0/0,""),TRUE)</f>
        <v/>
      </c>
      <c r="AD623" s="30" t="str">
        <f t="shared" si="979"/>
        <v/>
      </c>
      <c r="AE623" s="475" t="str">
        <f>IFERROR(__xludf.DUMMYFUNCTION("""COMPUTED_VALUE"""),"CRLN")</f>
        <v>CRLN</v>
      </c>
      <c r="AF623" s="476"/>
      <c r="AG623" s="474" t="s">
        <v>173</v>
      </c>
      <c r="AH623" s="138" t="str">
        <f t="shared" si="11"/>
        <v/>
      </c>
    </row>
    <row r="624">
      <c r="A624" s="103" t="str">
        <f>IFERROR(__xludf.DUMMYFUNCTION("""COMPUTED_VALUE"""),"FLB5886")</f>
        <v>FLB5886</v>
      </c>
      <c r="B624" s="468">
        <f>IFERROR(__xludf.DUMMYFUNCTION("""COMPUTED_VALUE"""),44592.0)</f>
        <v>44592</v>
      </c>
      <c r="C624" s="469">
        <f>IFERROR(__xludf.DUMMYFUNCTION("""COMPUTED_VALUE"""),0.3289930555555556)</f>
        <v>0.3289930556</v>
      </c>
      <c r="D624" s="103" t="str">
        <f>IFERROR(__xludf.DUMMYFUNCTION("""COMPUTED_VALUE"""),"SpFLMP777132")</f>
        <v>SpFLMP777132</v>
      </c>
      <c r="E624" s="103"/>
      <c r="F624" s="103"/>
      <c r="G624" s="103" t="str">
        <f>IFERROR(__xludf.DUMMYFUNCTION("""COMPUTED_VALUE"""),"Negative")</f>
        <v>Negative</v>
      </c>
      <c r="H624" s="131" t="str">
        <f>IFERROR(__xludf.DUMMYFUNCTION("""COMPUTED_VALUE"""),"Negative")</f>
        <v>Negative</v>
      </c>
      <c r="I624" s="468">
        <f>IFERROR(__xludf.DUMMYFUNCTION("""COMPUTED_VALUE"""),44592.0)</f>
        <v>44592</v>
      </c>
      <c r="J624" s="470">
        <f>IFERROR(__xludf.DUMMYFUNCTION("""COMPUTED_VALUE"""),0.4445138888888889)</f>
        <v>0.4445138889</v>
      </c>
      <c r="K624" s="16"/>
      <c r="L624" s="8"/>
      <c r="M624" s="69"/>
      <c r="N624" s="69">
        <f>IFERROR(__xludf.DUMMYFUNCTION("""COMPUTED_VALUE"""),4.0)</f>
        <v>4</v>
      </c>
      <c r="O624" s="69" t="str">
        <f t="shared" si="3"/>
        <v/>
      </c>
      <c r="P624" s="471">
        <f>IFERROR(__xludf.DUMMYFUNCTION("""COMPUTED_VALUE"""),0.0)</f>
        <v>0</v>
      </c>
      <c r="Q624" s="274" t="str">
        <f>VLOOKUP($B624,'Run Reconcile'!B$2:O2488,14,FALSE)</f>
        <v/>
      </c>
      <c r="R624" s="472" t="str">
        <f t="array" ref="R624">IF($Q624, INDEX('Run Reconcile'!A$2:A2488,MATCH(B624,'Run Reconcile'!B$2:B2488,0),1),IFERROR(0/0,""))</f>
        <v/>
      </c>
      <c r="S624" s="473" t="str">
        <f t="shared" si="694"/>
        <v/>
      </c>
      <c r="T624" s="473" t="str">
        <f t="shared" si="698"/>
        <v/>
      </c>
      <c r="U624" s="275" t="str">
        <f t="array" ref="U624">IF(ISBLANK($R624), INDEX('Run Reconcile'!A$2:A2488, MATCH($B624, 'Run Reconcile'!B$2:B2488, 0)+Z624, 1), IFERROR(0/0,""))
</f>
        <v>RUN-FLMP_2022-01-31_RFR-076</v>
      </c>
      <c r="V624" s="474" t="str">
        <f t="shared" si="5"/>
        <v>RUN-FLMP_2022-01-31_RFR-076</v>
      </c>
      <c r="Y624" s="89" t="str">
        <f t="shared" si="867"/>
        <v/>
      </c>
      <c r="Z624" s="60" t="str">
        <f t="shared" si="7"/>
        <v/>
      </c>
      <c r="AA624" s="60" t="str">
        <f t="shared" si="8"/>
        <v/>
      </c>
      <c r="AB624" s="60" t="str">
        <f t="shared" si="9"/>
        <v/>
      </c>
      <c r="AC624" s="30" t="str">
        <f t="shared" ref="AC624:AD624" si="980">IF(_xlfn.ISFORMULA(S624),IFERROR(0/0,""),TRUE)</f>
        <v/>
      </c>
      <c r="AD624" s="30" t="str">
        <f t="shared" si="980"/>
        <v/>
      </c>
      <c r="AE624" s="475" t="str">
        <f>IFERROR(__xludf.DUMMYFUNCTION("""COMPUTED_VALUE"""),"CRLN")</f>
        <v>CRLN</v>
      </c>
      <c r="AF624" s="476"/>
      <c r="AG624" s="474" t="s">
        <v>173</v>
      </c>
      <c r="AH624" s="138" t="str">
        <f t="shared" si="11"/>
        <v/>
      </c>
    </row>
    <row r="625">
      <c r="A625" s="103" t="str">
        <f>IFERROR(__xludf.DUMMYFUNCTION("""COMPUTED_VALUE"""),"FLB5744")</f>
        <v>FLB5744</v>
      </c>
      <c r="B625" s="468">
        <f>IFERROR(__xludf.DUMMYFUNCTION("""COMPUTED_VALUE"""),44592.0)</f>
        <v>44592</v>
      </c>
      <c r="C625" s="469">
        <f>IFERROR(__xludf.DUMMYFUNCTION("""COMPUTED_VALUE"""),0.32958333333333334)</f>
        <v>0.3295833333</v>
      </c>
      <c r="D625" s="103" t="str">
        <f>IFERROR(__xludf.DUMMYFUNCTION("""COMPUTED_VALUE"""),"SpFLMP965392")</f>
        <v>SpFLMP965392</v>
      </c>
      <c r="E625" s="103"/>
      <c r="F625" s="103"/>
      <c r="G625" s="103" t="str">
        <f>IFERROR(__xludf.DUMMYFUNCTION("""COMPUTED_VALUE"""),"Negative")</f>
        <v>Negative</v>
      </c>
      <c r="H625" s="131" t="str">
        <f>IFERROR(__xludf.DUMMYFUNCTION("""COMPUTED_VALUE"""),"Negative")</f>
        <v>Negative</v>
      </c>
      <c r="I625" s="468">
        <f>IFERROR(__xludf.DUMMYFUNCTION("""COMPUTED_VALUE"""),44592.0)</f>
        <v>44592</v>
      </c>
      <c r="J625" s="470">
        <f>IFERROR(__xludf.DUMMYFUNCTION("""COMPUTED_VALUE"""),0.4445138888888889)</f>
        <v>0.4445138889</v>
      </c>
      <c r="K625" s="16"/>
      <c r="L625" s="8"/>
      <c r="M625" s="69"/>
      <c r="N625" s="69">
        <f>IFERROR(__xludf.DUMMYFUNCTION("""COMPUTED_VALUE"""),4.0)</f>
        <v>4</v>
      </c>
      <c r="O625" s="69" t="str">
        <f t="shared" si="3"/>
        <v/>
      </c>
      <c r="P625" s="471">
        <f>IFERROR(__xludf.DUMMYFUNCTION("""COMPUTED_VALUE"""),0.0)</f>
        <v>0</v>
      </c>
      <c r="Q625" s="274" t="str">
        <f>VLOOKUP($B625,'Run Reconcile'!B$2:O2488,14,FALSE)</f>
        <v/>
      </c>
      <c r="R625" s="472" t="str">
        <f t="array" ref="R625">IF($Q625, INDEX('Run Reconcile'!A$2:A2488,MATCH(B625,'Run Reconcile'!B$2:B2488,0),1),IFERROR(0/0,""))</f>
        <v/>
      </c>
      <c r="S625" s="473" t="str">
        <f t="shared" si="694"/>
        <v/>
      </c>
      <c r="T625" s="473" t="str">
        <f t="shared" si="698"/>
        <v/>
      </c>
      <c r="U625" s="275" t="str">
        <f t="array" ref="U625">IF(ISBLANK($R625), INDEX('Run Reconcile'!A$2:A2488, MATCH($B625, 'Run Reconcile'!B$2:B2488, 0)+Z625, 1), IFERROR(0/0,""))
</f>
        <v>RUN-FLMP_2022-01-31_RFR-076</v>
      </c>
      <c r="V625" s="474" t="str">
        <f t="shared" si="5"/>
        <v>RUN-FLMP_2022-01-31_RFR-076</v>
      </c>
      <c r="Y625" s="89" t="str">
        <f t="shared" si="867"/>
        <v/>
      </c>
      <c r="Z625" s="60" t="str">
        <f t="shared" si="7"/>
        <v/>
      </c>
      <c r="AA625" s="60" t="str">
        <f t="shared" si="8"/>
        <v/>
      </c>
      <c r="AB625" s="60" t="str">
        <f t="shared" si="9"/>
        <v/>
      </c>
      <c r="AC625" s="30" t="str">
        <f t="shared" ref="AC625:AD625" si="981">IF(_xlfn.ISFORMULA(S625),IFERROR(0/0,""),TRUE)</f>
        <v/>
      </c>
      <c r="AD625" s="30" t="str">
        <f t="shared" si="981"/>
        <v/>
      </c>
      <c r="AE625" s="475" t="str">
        <f>IFERROR(__xludf.DUMMYFUNCTION("""COMPUTED_VALUE"""),"CRLN")</f>
        <v>CRLN</v>
      </c>
      <c r="AF625" s="476"/>
      <c r="AG625" s="474" t="s">
        <v>173</v>
      </c>
      <c r="AH625" s="138" t="str">
        <f t="shared" si="11"/>
        <v/>
      </c>
    </row>
    <row r="626">
      <c r="A626" s="103" t="str">
        <f>IFERROR(__xludf.DUMMYFUNCTION("""COMPUTED_VALUE"""),"FLB5860")</f>
        <v>FLB5860</v>
      </c>
      <c r="B626" s="468">
        <f>IFERROR(__xludf.DUMMYFUNCTION("""COMPUTED_VALUE"""),44592.0)</f>
        <v>44592</v>
      </c>
      <c r="C626" s="469">
        <f>IFERROR(__xludf.DUMMYFUNCTION("""COMPUTED_VALUE"""),0.3385300925925926)</f>
        <v>0.3385300926</v>
      </c>
      <c r="D626" s="103" t="str">
        <f>IFERROR(__xludf.DUMMYFUNCTION("""COMPUTED_VALUE"""),"SpFLMP600756")</f>
        <v>SpFLMP600756</v>
      </c>
      <c r="E626" s="103"/>
      <c r="F626" s="103"/>
      <c r="G626" s="103" t="str">
        <f>IFERROR(__xludf.DUMMYFUNCTION("""COMPUTED_VALUE"""),"Negative")</f>
        <v>Negative</v>
      </c>
      <c r="H626" s="131" t="str">
        <f>IFERROR(__xludf.DUMMYFUNCTION("""COMPUTED_VALUE"""),"Negative")</f>
        <v>Negative</v>
      </c>
      <c r="I626" s="468">
        <f>IFERROR(__xludf.DUMMYFUNCTION("""COMPUTED_VALUE"""),44592.0)</f>
        <v>44592</v>
      </c>
      <c r="J626" s="470">
        <f>IFERROR(__xludf.DUMMYFUNCTION("""COMPUTED_VALUE"""),0.44452546296296297)</f>
        <v>0.444525463</v>
      </c>
      <c r="K626" s="16"/>
      <c r="L626" s="8"/>
      <c r="M626" s="69"/>
      <c r="N626" s="69">
        <f>IFERROR(__xludf.DUMMYFUNCTION("""COMPUTED_VALUE"""),2.0)</f>
        <v>2</v>
      </c>
      <c r="O626" s="69" t="str">
        <f t="shared" si="3"/>
        <v/>
      </c>
      <c r="P626" s="471">
        <f>IFERROR(__xludf.DUMMYFUNCTION("""COMPUTED_VALUE"""),0.0)</f>
        <v>0</v>
      </c>
      <c r="Q626" s="274" t="str">
        <f>VLOOKUP($B626,'Run Reconcile'!B$2:O2488,14,FALSE)</f>
        <v/>
      </c>
      <c r="R626" s="472" t="str">
        <f t="array" ref="R626">IF($Q626, INDEX('Run Reconcile'!A$2:A2488,MATCH(B626,'Run Reconcile'!B$2:B2488,0),1),IFERROR(0/0,""))</f>
        <v/>
      </c>
      <c r="S626" s="473" t="str">
        <f t="shared" si="694"/>
        <v/>
      </c>
      <c r="T626" s="473" t="str">
        <f t="shared" si="698"/>
        <v/>
      </c>
      <c r="U626" s="275" t="str">
        <f t="array" ref="U626">IF(ISBLANK($R626), INDEX('Run Reconcile'!A$2:A2488, MATCH($B626, 'Run Reconcile'!B$2:B2488, 0)+Z626, 1), IFERROR(0/0,""))
</f>
        <v>RUN-FLMP_2022-01-31_RFR-076</v>
      </c>
      <c r="V626" s="474" t="str">
        <f t="shared" si="5"/>
        <v>RUN-FLMP_2022-01-31_RFR-076</v>
      </c>
      <c r="Y626" s="89" t="str">
        <f t="shared" si="867"/>
        <v/>
      </c>
      <c r="Z626" s="60" t="str">
        <f t="shared" si="7"/>
        <v/>
      </c>
      <c r="AA626" s="60" t="str">
        <f t="shared" si="8"/>
        <v/>
      </c>
      <c r="AB626" s="60" t="str">
        <f t="shared" si="9"/>
        <v/>
      </c>
      <c r="AC626" s="30" t="str">
        <f t="shared" ref="AC626:AD626" si="982">IF(_xlfn.ISFORMULA(S626),IFERROR(0/0,""),TRUE)</f>
        <v/>
      </c>
      <c r="AD626" s="30" t="str">
        <f t="shared" si="982"/>
        <v/>
      </c>
      <c r="AE626" s="475" t="str">
        <f>IFERROR(__xludf.DUMMYFUNCTION("""COMPUTED_VALUE"""),"CRLN")</f>
        <v>CRLN</v>
      </c>
      <c r="AF626" s="476"/>
      <c r="AG626" s="474" t="s">
        <v>173</v>
      </c>
      <c r="AH626" s="138" t="str">
        <f t="shared" si="11"/>
        <v/>
      </c>
    </row>
    <row r="627">
      <c r="A627" s="103" t="str">
        <f>IFERROR(__xludf.DUMMYFUNCTION("""COMPUTED_VALUE"""),"FLB7381")</f>
        <v>FLB7381</v>
      </c>
      <c r="B627" s="468">
        <f>IFERROR(__xludf.DUMMYFUNCTION("""COMPUTED_VALUE"""),44592.0)</f>
        <v>44592</v>
      </c>
      <c r="C627" s="469">
        <f>IFERROR(__xludf.DUMMYFUNCTION("""COMPUTED_VALUE"""),0.34155092592592595)</f>
        <v>0.3415509259</v>
      </c>
      <c r="D627" s="103" t="str">
        <f>IFERROR(__xludf.DUMMYFUNCTION("""COMPUTED_VALUE"""),"SpFLMP314549")</f>
        <v>SpFLMP314549</v>
      </c>
      <c r="E627" s="103"/>
      <c r="F627" s="103"/>
      <c r="G627" s="103" t="str">
        <f>IFERROR(__xludf.DUMMYFUNCTION("""COMPUTED_VALUE"""),"Negative")</f>
        <v>Negative</v>
      </c>
      <c r="H627" s="131" t="str">
        <f>IFERROR(__xludf.DUMMYFUNCTION("""COMPUTED_VALUE"""),"Negative")</f>
        <v>Negative</v>
      </c>
      <c r="I627" s="468">
        <f>IFERROR(__xludf.DUMMYFUNCTION("""COMPUTED_VALUE"""),44592.0)</f>
        <v>44592</v>
      </c>
      <c r="J627" s="470">
        <f>IFERROR(__xludf.DUMMYFUNCTION("""COMPUTED_VALUE"""),0.44452546296296297)</f>
        <v>0.444525463</v>
      </c>
      <c r="K627" s="16"/>
      <c r="L627" s="8"/>
      <c r="M627" s="69"/>
      <c r="N627" s="69">
        <f>IFERROR(__xludf.DUMMYFUNCTION("""COMPUTED_VALUE"""),1.0)</f>
        <v>1</v>
      </c>
      <c r="O627" s="69" t="str">
        <f t="shared" si="3"/>
        <v/>
      </c>
      <c r="P627" s="471">
        <f>IFERROR(__xludf.DUMMYFUNCTION("""COMPUTED_VALUE"""),0.0)</f>
        <v>0</v>
      </c>
      <c r="Q627" s="274" t="str">
        <f>VLOOKUP($B627,'Run Reconcile'!B$2:O2488,14,FALSE)</f>
        <v/>
      </c>
      <c r="R627" s="472" t="str">
        <f t="array" ref="R627">IF($Q627, INDEX('Run Reconcile'!A$2:A2488,MATCH(B627,'Run Reconcile'!B$2:B2488,0),1),IFERROR(0/0,""))</f>
        <v/>
      </c>
      <c r="S627" s="473" t="str">
        <f t="shared" si="694"/>
        <v/>
      </c>
      <c r="T627" s="473" t="str">
        <f t="shared" si="698"/>
        <v/>
      </c>
      <c r="U627" s="275" t="str">
        <f t="array" ref="U627">IF(ISBLANK($R627), INDEX('Run Reconcile'!A$2:A2488, MATCH($B627, 'Run Reconcile'!B$2:B2488, 0)+Z627, 1), IFERROR(0/0,""))
</f>
        <v>RUN-FLMP_2022-01-31_RFR-076</v>
      </c>
      <c r="V627" s="474" t="str">
        <f t="shared" si="5"/>
        <v>RUN-FLMP_2022-01-31_RFR-076</v>
      </c>
      <c r="Y627" s="89" t="str">
        <f t="shared" si="867"/>
        <v/>
      </c>
      <c r="Z627" s="60" t="str">
        <f t="shared" si="7"/>
        <v/>
      </c>
      <c r="AA627" s="60" t="str">
        <f t="shared" si="8"/>
        <v/>
      </c>
      <c r="AB627" s="60" t="str">
        <f t="shared" si="9"/>
        <v/>
      </c>
      <c r="AC627" s="30" t="str">
        <f t="shared" ref="AC627:AD627" si="983">IF(_xlfn.ISFORMULA(S627),IFERROR(0/0,""),TRUE)</f>
        <v/>
      </c>
      <c r="AD627" s="30" t="str">
        <f t="shared" si="983"/>
        <v/>
      </c>
      <c r="AE627" s="475" t="str">
        <f>IFERROR(__xludf.DUMMYFUNCTION("""COMPUTED_VALUE"""),"CRLN")</f>
        <v>CRLN</v>
      </c>
      <c r="AF627" s="476"/>
      <c r="AG627" s="474" t="s">
        <v>173</v>
      </c>
      <c r="AH627" s="138" t="str">
        <f t="shared" si="11"/>
        <v/>
      </c>
    </row>
    <row r="628">
      <c r="A628" s="103" t="str">
        <f>IFERROR(__xludf.DUMMYFUNCTION("""COMPUTED_VALUE"""),"FLB7392")</f>
        <v>FLB7392</v>
      </c>
      <c r="B628" s="468">
        <f>IFERROR(__xludf.DUMMYFUNCTION("""COMPUTED_VALUE"""),44592.0)</f>
        <v>44592</v>
      </c>
      <c r="C628" s="469">
        <f>IFERROR(__xludf.DUMMYFUNCTION("""COMPUTED_VALUE"""),0.3478587962962963)</f>
        <v>0.3478587963</v>
      </c>
      <c r="D628" s="103" t="str">
        <f>IFERROR(__xludf.DUMMYFUNCTION("""COMPUTED_VALUE"""),"SpFLMP273885")</f>
        <v>SpFLMP273885</v>
      </c>
      <c r="E628" s="103"/>
      <c r="F628" s="103"/>
      <c r="G628" s="103" t="str">
        <f>IFERROR(__xludf.DUMMYFUNCTION("""COMPUTED_VALUE"""),"Negative")</f>
        <v>Negative</v>
      </c>
      <c r="H628" s="131" t="str">
        <f>IFERROR(__xludf.DUMMYFUNCTION("""COMPUTED_VALUE"""),"Negative")</f>
        <v>Negative</v>
      </c>
      <c r="I628" s="468">
        <f>IFERROR(__xludf.DUMMYFUNCTION("""COMPUTED_VALUE"""),44592.0)</f>
        <v>44592</v>
      </c>
      <c r="J628" s="470">
        <f>IFERROR(__xludf.DUMMYFUNCTION("""COMPUTED_VALUE"""),0.44452546296296297)</f>
        <v>0.444525463</v>
      </c>
      <c r="K628" s="16"/>
      <c r="L628" s="8"/>
      <c r="M628" s="69"/>
      <c r="N628" s="69">
        <f>IFERROR(__xludf.DUMMYFUNCTION("""COMPUTED_VALUE"""),3.0)</f>
        <v>3</v>
      </c>
      <c r="O628" s="69" t="str">
        <f t="shared" si="3"/>
        <v/>
      </c>
      <c r="P628" s="471">
        <f>IFERROR(__xludf.DUMMYFUNCTION("""COMPUTED_VALUE"""),0.0)</f>
        <v>0</v>
      </c>
      <c r="Q628" s="274" t="str">
        <f>VLOOKUP($B628,'Run Reconcile'!B$2:O2488,14,FALSE)</f>
        <v/>
      </c>
      <c r="R628" s="472" t="str">
        <f t="array" ref="R628">IF($Q628, INDEX('Run Reconcile'!A$2:A2488,MATCH(B628,'Run Reconcile'!B$2:B2488,0),1),IFERROR(0/0,""))</f>
        <v/>
      </c>
      <c r="S628" s="473" t="str">
        <f t="shared" si="694"/>
        <v/>
      </c>
      <c r="T628" s="473" t="str">
        <f t="shared" si="698"/>
        <v/>
      </c>
      <c r="U628" s="275" t="str">
        <f t="array" ref="U628">IF(ISBLANK($R628), INDEX('Run Reconcile'!A$2:A2488, MATCH($B628, 'Run Reconcile'!B$2:B2488, 0)+Z628, 1), IFERROR(0/0,""))
</f>
        <v>RUN-FLMP_2022-01-31_RFR-076</v>
      </c>
      <c r="V628" s="474" t="str">
        <f t="shared" si="5"/>
        <v>RUN-FLMP_2022-01-31_RFR-076</v>
      </c>
      <c r="Y628" s="89" t="str">
        <f t="shared" si="867"/>
        <v/>
      </c>
      <c r="Z628" s="60" t="str">
        <f t="shared" si="7"/>
        <v/>
      </c>
      <c r="AA628" s="60" t="str">
        <f t="shared" si="8"/>
        <v/>
      </c>
      <c r="AB628" s="60" t="str">
        <f t="shared" si="9"/>
        <v/>
      </c>
      <c r="AC628" s="30" t="str">
        <f t="shared" ref="AC628:AD628" si="984">IF(_xlfn.ISFORMULA(S628),IFERROR(0/0,""),TRUE)</f>
        <v/>
      </c>
      <c r="AD628" s="30" t="str">
        <f t="shared" si="984"/>
        <v/>
      </c>
      <c r="AE628" s="475" t="str">
        <f>IFERROR(__xludf.DUMMYFUNCTION("""COMPUTED_VALUE"""),"CRLN")</f>
        <v>CRLN</v>
      </c>
      <c r="AF628" s="476"/>
      <c r="AG628" s="474" t="s">
        <v>173</v>
      </c>
      <c r="AH628" s="138" t="str">
        <f t="shared" si="11"/>
        <v/>
      </c>
    </row>
    <row r="629">
      <c r="A629" s="103" t="str">
        <f>IFERROR(__xludf.DUMMYFUNCTION("""COMPUTED_VALUE"""),"FLE905")</f>
        <v>FLE905</v>
      </c>
      <c r="B629" s="468">
        <f>IFERROR(__xludf.DUMMYFUNCTION("""COMPUTED_VALUE"""),44592.0)</f>
        <v>44592</v>
      </c>
      <c r="C629" s="469">
        <f>IFERROR(__xludf.DUMMYFUNCTION("""COMPUTED_VALUE"""),0.35208333333333336)</f>
        <v>0.3520833333</v>
      </c>
      <c r="D629" s="103" t="str">
        <f>IFERROR(__xludf.DUMMYFUNCTION("""COMPUTED_VALUE"""),"SpFLMP259015")</f>
        <v>SpFLMP259015</v>
      </c>
      <c r="E629" s="103"/>
      <c r="F629" s="103"/>
      <c r="G629" s="103" t="str">
        <f>IFERROR(__xludf.DUMMYFUNCTION("""COMPUTED_VALUE"""),"Negative")</f>
        <v>Negative</v>
      </c>
      <c r="H629" s="131" t="str">
        <f>IFERROR(__xludf.DUMMYFUNCTION("""COMPUTED_VALUE"""),"Negative")</f>
        <v>Negative</v>
      </c>
      <c r="I629" s="468">
        <f>IFERROR(__xludf.DUMMYFUNCTION("""COMPUTED_VALUE"""),44592.0)</f>
        <v>44592</v>
      </c>
      <c r="J629" s="470">
        <f>IFERROR(__xludf.DUMMYFUNCTION("""COMPUTED_VALUE"""),0.4731712962962963)</f>
        <v>0.4731712963</v>
      </c>
      <c r="K629" s="16"/>
      <c r="L629" s="8"/>
      <c r="M629" s="69"/>
      <c r="N629" s="69">
        <f>IFERROR(__xludf.DUMMYFUNCTION("""COMPUTED_VALUE"""),4.0)</f>
        <v>4</v>
      </c>
      <c r="O629" s="69" t="str">
        <f t="shared" si="3"/>
        <v/>
      </c>
      <c r="P629" s="471">
        <f>IFERROR(__xludf.DUMMYFUNCTION("""COMPUTED_VALUE"""),0.0)</f>
        <v>0</v>
      </c>
      <c r="Q629" s="274" t="str">
        <f>VLOOKUP($B629,'Run Reconcile'!B$2:O2488,14,FALSE)</f>
        <v/>
      </c>
      <c r="R629" s="472" t="str">
        <f t="array" ref="R629">IF($Q629, INDEX('Run Reconcile'!A$2:A2488,MATCH(B629,'Run Reconcile'!B$2:B2488,0),1),IFERROR(0/0,""))</f>
        <v/>
      </c>
      <c r="S629" s="473" t="str">
        <f t="shared" si="694"/>
        <v/>
      </c>
      <c r="T629" s="473" t="str">
        <f t="shared" si="698"/>
        <v/>
      </c>
      <c r="U629" s="275" t="str">
        <f t="array" ref="U629">IF(ISBLANK($R629), INDEX('Run Reconcile'!A$2:A2488, MATCH($B629, 'Run Reconcile'!B$2:B2488, 0)+Z629, 1), IFERROR(0/0,""))
</f>
        <v>RUN-FLMP_2022-01-31_RFR-076</v>
      </c>
      <c r="V629" s="474" t="str">
        <f t="shared" si="5"/>
        <v>RUN-FLMP_2022-01-31_RFR-076</v>
      </c>
      <c r="Y629" s="89" t="str">
        <f t="shared" si="867"/>
        <v/>
      </c>
      <c r="Z629" s="60" t="str">
        <f t="shared" si="7"/>
        <v/>
      </c>
      <c r="AA629" s="60" t="str">
        <f t="shared" si="8"/>
        <v/>
      </c>
      <c r="AB629" s="60" t="str">
        <f t="shared" si="9"/>
        <v/>
      </c>
      <c r="AC629" s="30" t="str">
        <f t="shared" ref="AC629:AD629" si="985">IF(_xlfn.ISFORMULA(S629),IFERROR(0/0,""),TRUE)</f>
        <v/>
      </c>
      <c r="AD629" s="30" t="str">
        <f t="shared" si="985"/>
        <v/>
      </c>
      <c r="AE629" s="475" t="str">
        <f>IFERROR(__xludf.DUMMYFUNCTION("""COMPUTED_VALUE"""),"CRLN")</f>
        <v>CRLN</v>
      </c>
      <c r="AF629" s="476"/>
      <c r="AG629" s="474" t="s">
        <v>173</v>
      </c>
      <c r="AH629" s="138" t="str">
        <f t="shared" si="11"/>
        <v/>
      </c>
    </row>
    <row r="630">
      <c r="A630" s="103" t="str">
        <f>IFERROR(__xludf.DUMMYFUNCTION("""COMPUTED_VALUE"""),"FLT1509")</f>
        <v>FLT1509</v>
      </c>
      <c r="B630" s="468">
        <f>IFERROR(__xludf.DUMMYFUNCTION("""COMPUTED_VALUE"""),44592.0)</f>
        <v>44592</v>
      </c>
      <c r="C630" s="469">
        <f>IFERROR(__xludf.DUMMYFUNCTION("""COMPUTED_VALUE"""),0.3522337962962963)</f>
        <v>0.3522337963</v>
      </c>
      <c r="D630" s="103" t="str">
        <f>IFERROR(__xludf.DUMMYFUNCTION("""COMPUTED_VALUE"""),"SpFLMP518914")</f>
        <v>SpFLMP518914</v>
      </c>
      <c r="E630" s="103"/>
      <c r="F630" s="103"/>
      <c r="G630" s="103" t="str">
        <f>IFERROR(__xludf.DUMMYFUNCTION("""COMPUTED_VALUE"""),"Negative")</f>
        <v>Negative</v>
      </c>
      <c r="H630" s="131" t="str">
        <f>IFERROR(__xludf.DUMMYFUNCTION("""COMPUTED_VALUE"""),"Negative")</f>
        <v>Negative</v>
      </c>
      <c r="I630" s="468">
        <f>IFERROR(__xludf.DUMMYFUNCTION("""COMPUTED_VALUE"""),44592.0)</f>
        <v>44592</v>
      </c>
      <c r="J630" s="470">
        <f>IFERROR(__xludf.DUMMYFUNCTION("""COMPUTED_VALUE"""),0.44452546296296297)</f>
        <v>0.444525463</v>
      </c>
      <c r="K630" s="16"/>
      <c r="L630" s="8"/>
      <c r="M630" s="69"/>
      <c r="N630" s="69">
        <f>IFERROR(__xludf.DUMMYFUNCTION("""COMPUTED_VALUE"""),2.0)</f>
        <v>2</v>
      </c>
      <c r="O630" s="69" t="str">
        <f t="shared" si="3"/>
        <v/>
      </c>
      <c r="P630" s="471">
        <f>IFERROR(__xludf.DUMMYFUNCTION("""COMPUTED_VALUE"""),0.0)</f>
        <v>0</v>
      </c>
      <c r="Q630" s="274" t="str">
        <f>VLOOKUP($B630,'Run Reconcile'!B$2:O2488,14,FALSE)</f>
        <v/>
      </c>
      <c r="R630" s="472" t="str">
        <f t="array" ref="R630">IF($Q630, INDEX('Run Reconcile'!A$2:A2488,MATCH(B630,'Run Reconcile'!B$2:B2488,0),1),IFERROR(0/0,""))</f>
        <v/>
      </c>
      <c r="S630" s="473" t="str">
        <f t="shared" si="694"/>
        <v/>
      </c>
      <c r="T630" s="473" t="str">
        <f t="shared" si="698"/>
        <v/>
      </c>
      <c r="U630" s="275" t="str">
        <f t="array" ref="U630">IF(ISBLANK($R630), INDEX('Run Reconcile'!A$2:A2488, MATCH($B630, 'Run Reconcile'!B$2:B2488, 0)+Z630, 1), IFERROR(0/0,""))
</f>
        <v>RUN-FLMP_2022-01-31_RFR-076</v>
      </c>
      <c r="V630" s="474" t="str">
        <f t="shared" si="5"/>
        <v>RUN-FLMP_2022-01-31_RFR-076</v>
      </c>
      <c r="Y630" s="89" t="str">
        <f t="shared" si="867"/>
        <v/>
      </c>
      <c r="Z630" s="60" t="str">
        <f t="shared" si="7"/>
        <v/>
      </c>
      <c r="AA630" s="60" t="str">
        <f t="shared" si="8"/>
        <v/>
      </c>
      <c r="AB630" s="60" t="str">
        <f t="shared" si="9"/>
        <v/>
      </c>
      <c r="AC630" s="30" t="str">
        <f t="shared" ref="AC630:AD630" si="986">IF(_xlfn.ISFORMULA(S630),IFERROR(0/0,""),TRUE)</f>
        <v/>
      </c>
      <c r="AD630" s="30" t="str">
        <f t="shared" si="986"/>
        <v/>
      </c>
      <c r="AE630" s="475" t="str">
        <f>IFERROR(__xludf.DUMMYFUNCTION("""COMPUTED_VALUE"""),"CRLN")</f>
        <v>CRLN</v>
      </c>
      <c r="AF630" s="476"/>
      <c r="AG630" s="474" t="s">
        <v>173</v>
      </c>
      <c r="AH630" s="138" t="str">
        <f t="shared" si="11"/>
        <v/>
      </c>
    </row>
    <row r="631">
      <c r="A631" s="103" t="str">
        <f>IFERROR(__xludf.DUMMYFUNCTION("""COMPUTED_VALUE"""),"FLB5987")</f>
        <v>FLB5987</v>
      </c>
      <c r="B631" s="468">
        <f>IFERROR(__xludf.DUMMYFUNCTION("""COMPUTED_VALUE"""),44592.0)</f>
        <v>44592</v>
      </c>
      <c r="C631" s="469">
        <f>IFERROR(__xludf.DUMMYFUNCTION("""COMPUTED_VALUE"""),0.3544097222222222)</f>
        <v>0.3544097222</v>
      </c>
      <c r="D631" s="103" t="str">
        <f>IFERROR(__xludf.DUMMYFUNCTION("""COMPUTED_VALUE"""),"SpFLMP604497")</f>
        <v>SpFLMP604497</v>
      </c>
      <c r="E631" s="103"/>
      <c r="F631" s="103"/>
      <c r="G631" s="103" t="str">
        <f>IFERROR(__xludf.DUMMYFUNCTION("""COMPUTED_VALUE"""),"Negative")</f>
        <v>Negative</v>
      </c>
      <c r="H631" s="131" t="str">
        <f>IFERROR(__xludf.DUMMYFUNCTION("""COMPUTED_VALUE"""),"Negative")</f>
        <v>Negative</v>
      </c>
      <c r="I631" s="468">
        <f>IFERROR(__xludf.DUMMYFUNCTION("""COMPUTED_VALUE"""),44592.0)</f>
        <v>44592</v>
      </c>
      <c r="J631" s="470">
        <f>IFERROR(__xludf.DUMMYFUNCTION("""COMPUTED_VALUE"""),0.44452546296296297)</f>
        <v>0.444525463</v>
      </c>
      <c r="K631" s="16"/>
      <c r="L631" s="8"/>
      <c r="M631" s="69"/>
      <c r="N631" s="69">
        <f>IFERROR(__xludf.DUMMYFUNCTION("""COMPUTED_VALUE"""),4.0)</f>
        <v>4</v>
      </c>
      <c r="O631" s="69" t="str">
        <f t="shared" si="3"/>
        <v/>
      </c>
      <c r="P631" s="471">
        <f>IFERROR(__xludf.DUMMYFUNCTION("""COMPUTED_VALUE"""),0.0)</f>
        <v>0</v>
      </c>
      <c r="Q631" s="274" t="str">
        <f>VLOOKUP($B631,'Run Reconcile'!B$2:O2488,14,FALSE)</f>
        <v/>
      </c>
      <c r="R631" s="472" t="str">
        <f t="array" ref="R631">IF($Q631, INDEX('Run Reconcile'!A$2:A2488,MATCH(B631,'Run Reconcile'!B$2:B2488,0),1),IFERROR(0/0,""))</f>
        <v/>
      </c>
      <c r="S631" s="473" t="str">
        <f t="shared" si="694"/>
        <v/>
      </c>
      <c r="T631" s="473" t="str">
        <f t="shared" si="698"/>
        <v/>
      </c>
      <c r="U631" s="275" t="str">
        <f t="array" ref="U631">IF(ISBLANK($R631), INDEX('Run Reconcile'!A$2:A2488, MATCH($B631, 'Run Reconcile'!B$2:B2488, 0)+Z631, 1), IFERROR(0/0,""))
</f>
        <v>RUN-FLMP_2022-01-31_RFR-076</v>
      </c>
      <c r="V631" s="474" t="str">
        <f t="shared" si="5"/>
        <v>RUN-FLMP_2022-01-31_RFR-076</v>
      </c>
      <c r="Y631" s="89" t="str">
        <f t="shared" si="867"/>
        <v/>
      </c>
      <c r="Z631" s="60" t="str">
        <f t="shared" si="7"/>
        <v/>
      </c>
      <c r="AA631" s="60" t="str">
        <f t="shared" si="8"/>
        <v/>
      </c>
      <c r="AB631" s="60" t="str">
        <f t="shared" si="9"/>
        <v/>
      </c>
      <c r="AC631" s="30" t="str">
        <f t="shared" ref="AC631:AD631" si="987">IF(_xlfn.ISFORMULA(S631),IFERROR(0/0,""),TRUE)</f>
        <v/>
      </c>
      <c r="AD631" s="30" t="str">
        <f t="shared" si="987"/>
        <v/>
      </c>
      <c r="AE631" s="475" t="str">
        <f>IFERROR(__xludf.DUMMYFUNCTION("""COMPUTED_VALUE"""),"CRLN")</f>
        <v>CRLN</v>
      </c>
      <c r="AF631" s="476"/>
      <c r="AG631" s="474" t="s">
        <v>173</v>
      </c>
      <c r="AH631" s="138" t="str">
        <f t="shared" si="11"/>
        <v/>
      </c>
    </row>
    <row r="632">
      <c r="A632" s="103" t="str">
        <f>IFERROR(__xludf.DUMMYFUNCTION("""COMPUTED_VALUE"""),"FLT1410")</f>
        <v>FLT1410</v>
      </c>
      <c r="B632" s="468">
        <f>IFERROR(__xludf.DUMMYFUNCTION("""COMPUTED_VALUE"""),44592.0)</f>
        <v>44592</v>
      </c>
      <c r="C632" s="469">
        <f>IFERROR(__xludf.DUMMYFUNCTION("""COMPUTED_VALUE"""),0.3581712962962963)</f>
        <v>0.3581712963</v>
      </c>
      <c r="D632" s="103" t="str">
        <f>IFERROR(__xludf.DUMMYFUNCTION("""COMPUTED_VALUE"""),"SpFLMP544731")</f>
        <v>SpFLMP544731</v>
      </c>
      <c r="E632" s="103"/>
      <c r="F632" s="103"/>
      <c r="G632" s="103" t="str">
        <f>IFERROR(__xludf.DUMMYFUNCTION("""COMPUTED_VALUE"""),"Negative")</f>
        <v>Negative</v>
      </c>
      <c r="H632" s="131" t="str">
        <f>IFERROR(__xludf.DUMMYFUNCTION("""COMPUTED_VALUE"""),"Negative")</f>
        <v>Negative</v>
      </c>
      <c r="I632" s="468">
        <f>IFERROR(__xludf.DUMMYFUNCTION("""COMPUTED_VALUE"""),44592.0)</f>
        <v>44592</v>
      </c>
      <c r="J632" s="470">
        <f>IFERROR(__xludf.DUMMYFUNCTION("""COMPUTED_VALUE"""),0.44452546296296297)</f>
        <v>0.444525463</v>
      </c>
      <c r="K632" s="16"/>
      <c r="L632" s="8"/>
      <c r="M632" s="69"/>
      <c r="N632" s="69">
        <f>IFERROR(__xludf.DUMMYFUNCTION("""COMPUTED_VALUE"""),1.0)</f>
        <v>1</v>
      </c>
      <c r="O632" s="69" t="str">
        <f t="shared" si="3"/>
        <v/>
      </c>
      <c r="P632" s="471">
        <f>IFERROR(__xludf.DUMMYFUNCTION("""COMPUTED_VALUE"""),0.0)</f>
        <v>0</v>
      </c>
      <c r="Q632" s="274" t="str">
        <f>VLOOKUP($B632,'Run Reconcile'!B$2:O2488,14,FALSE)</f>
        <v/>
      </c>
      <c r="R632" s="472" t="str">
        <f t="array" ref="R632">IF($Q632, INDEX('Run Reconcile'!A$2:A2488,MATCH(B632,'Run Reconcile'!B$2:B2488,0),1),IFERROR(0/0,""))</f>
        <v/>
      </c>
      <c r="S632" s="473" t="str">
        <f t="shared" si="694"/>
        <v/>
      </c>
      <c r="T632" s="473" t="str">
        <f t="shared" si="698"/>
        <v/>
      </c>
      <c r="U632" s="275" t="str">
        <f t="array" ref="U632">IF(ISBLANK($R632), INDEX('Run Reconcile'!A$2:A2488, MATCH($B632, 'Run Reconcile'!B$2:B2488, 0)+Z632, 1), IFERROR(0/0,""))
</f>
        <v>RUN-FLMP_2022-01-31_RFR-076</v>
      </c>
      <c r="V632" s="474" t="str">
        <f t="shared" si="5"/>
        <v>RUN-FLMP_2022-01-31_RFR-076</v>
      </c>
      <c r="Y632" s="89" t="str">
        <f t="shared" si="867"/>
        <v/>
      </c>
      <c r="Z632" s="60" t="str">
        <f t="shared" si="7"/>
        <v/>
      </c>
      <c r="AA632" s="60" t="str">
        <f t="shared" si="8"/>
        <v/>
      </c>
      <c r="AB632" s="60" t="str">
        <f t="shared" si="9"/>
        <v/>
      </c>
      <c r="AC632" s="30" t="str">
        <f t="shared" ref="AC632:AD632" si="988">IF(_xlfn.ISFORMULA(S632),IFERROR(0/0,""),TRUE)</f>
        <v/>
      </c>
      <c r="AD632" s="30" t="str">
        <f t="shared" si="988"/>
        <v/>
      </c>
      <c r="AE632" s="475" t="str">
        <f>IFERROR(__xludf.DUMMYFUNCTION("""COMPUTED_VALUE"""),"CRLN")</f>
        <v>CRLN</v>
      </c>
      <c r="AF632" s="476"/>
      <c r="AG632" s="474" t="s">
        <v>173</v>
      </c>
      <c r="AH632" s="138" t="str">
        <f t="shared" si="11"/>
        <v/>
      </c>
    </row>
    <row r="633">
      <c r="A633" s="103" t="str">
        <f>IFERROR(__xludf.DUMMYFUNCTION("""COMPUTED_VALUE"""),"FLT1437")</f>
        <v>FLT1437</v>
      </c>
      <c r="B633" s="468">
        <f>IFERROR(__xludf.DUMMYFUNCTION("""COMPUTED_VALUE"""),44592.0)</f>
        <v>44592</v>
      </c>
      <c r="C633" s="469">
        <f>IFERROR(__xludf.DUMMYFUNCTION("""COMPUTED_VALUE"""),0.3607523148148148)</f>
        <v>0.3607523148</v>
      </c>
      <c r="D633" s="103" t="str">
        <f>IFERROR(__xludf.DUMMYFUNCTION("""COMPUTED_VALUE"""),"SpFLMP518914")</f>
        <v>SpFLMP518914</v>
      </c>
      <c r="E633" s="103"/>
      <c r="F633" s="103"/>
      <c r="G633" s="103" t="str">
        <f>IFERROR(__xludf.DUMMYFUNCTION("""COMPUTED_VALUE"""),"Negative")</f>
        <v>Negative</v>
      </c>
      <c r="H633" s="131" t="str">
        <f>IFERROR(__xludf.DUMMYFUNCTION("""COMPUTED_VALUE"""),"Negative")</f>
        <v>Negative</v>
      </c>
      <c r="I633" s="468">
        <f>IFERROR(__xludf.DUMMYFUNCTION("""COMPUTED_VALUE"""),44592.0)</f>
        <v>44592</v>
      </c>
      <c r="J633" s="470">
        <f>IFERROR(__xludf.DUMMYFUNCTION("""COMPUTED_VALUE"""),0.4731712962962963)</f>
        <v>0.4731712963</v>
      </c>
      <c r="K633" s="16"/>
      <c r="L633" s="8"/>
      <c r="M633" s="69"/>
      <c r="N633" s="69">
        <f>IFERROR(__xludf.DUMMYFUNCTION("""COMPUTED_VALUE"""),1.0)</f>
        <v>1</v>
      </c>
      <c r="O633" s="69" t="str">
        <f t="shared" si="3"/>
        <v/>
      </c>
      <c r="P633" s="471">
        <f>IFERROR(__xludf.DUMMYFUNCTION("""COMPUTED_VALUE"""),0.0)</f>
        <v>0</v>
      </c>
      <c r="Q633" s="274" t="str">
        <f>VLOOKUP($B633,'Run Reconcile'!B$2:O2488,14,FALSE)</f>
        <v/>
      </c>
      <c r="R633" s="472" t="str">
        <f t="array" ref="R633">IF($Q633, INDEX('Run Reconcile'!A$2:A2488,MATCH(B633,'Run Reconcile'!B$2:B2488,0),1),IFERROR(0/0,""))</f>
        <v/>
      </c>
      <c r="S633" s="473" t="str">
        <f t="shared" si="694"/>
        <v/>
      </c>
      <c r="T633" s="473" t="str">
        <f t="shared" si="698"/>
        <v/>
      </c>
      <c r="U633" s="275" t="str">
        <f t="array" ref="U633">IF(ISBLANK($R633), INDEX('Run Reconcile'!A$2:A2488, MATCH($B633, 'Run Reconcile'!B$2:B2488, 0)+Z633, 1), IFERROR(0/0,""))
</f>
        <v>RUN-FLMP_2022-01-31_RFR-076</v>
      </c>
      <c r="V633" s="474" t="str">
        <f t="shared" si="5"/>
        <v>RUN-FLMP_2022-01-31_RFR-076</v>
      </c>
      <c r="Y633" s="89" t="str">
        <f t="shared" si="867"/>
        <v/>
      </c>
      <c r="Z633" s="60" t="str">
        <f t="shared" si="7"/>
        <v/>
      </c>
      <c r="AA633" s="60" t="str">
        <f t="shared" si="8"/>
        <v/>
      </c>
      <c r="AB633" s="60" t="str">
        <f t="shared" si="9"/>
        <v/>
      </c>
      <c r="AC633" s="30" t="str">
        <f t="shared" ref="AC633:AD633" si="989">IF(_xlfn.ISFORMULA(S633),IFERROR(0/0,""),TRUE)</f>
        <v/>
      </c>
      <c r="AD633" s="30" t="str">
        <f t="shared" si="989"/>
        <v/>
      </c>
      <c r="AE633" s="475" t="str">
        <f>IFERROR(__xludf.DUMMYFUNCTION("""COMPUTED_VALUE"""),"CRLN")</f>
        <v>CRLN</v>
      </c>
      <c r="AF633" s="476"/>
      <c r="AG633" s="474" t="s">
        <v>173</v>
      </c>
      <c r="AH633" s="138" t="str">
        <f t="shared" si="11"/>
        <v/>
      </c>
    </row>
    <row r="634">
      <c r="A634" s="103" t="str">
        <f>IFERROR(__xludf.DUMMYFUNCTION("""COMPUTED_VALUE"""),"FLB4903")</f>
        <v>FLB4903</v>
      </c>
      <c r="B634" s="468">
        <f>IFERROR(__xludf.DUMMYFUNCTION("""COMPUTED_VALUE"""),44592.0)</f>
        <v>44592</v>
      </c>
      <c r="C634" s="469">
        <f>IFERROR(__xludf.DUMMYFUNCTION("""COMPUTED_VALUE"""),0.3649074074074074)</f>
        <v>0.3649074074</v>
      </c>
      <c r="D634" s="103" t="str">
        <f>IFERROR(__xludf.DUMMYFUNCTION("""COMPUTED_VALUE"""),"SpFLMP496039")</f>
        <v>SpFLMP496039</v>
      </c>
      <c r="E634" s="103"/>
      <c r="F634" s="103"/>
      <c r="G634" s="103" t="str">
        <f>IFERROR(__xludf.DUMMYFUNCTION("""COMPUTED_VALUE"""),"Negative")</f>
        <v>Negative</v>
      </c>
      <c r="H634" s="131" t="str">
        <f>IFERROR(__xludf.DUMMYFUNCTION("""COMPUTED_VALUE"""),"Negative")</f>
        <v>Negative</v>
      </c>
      <c r="I634" s="468">
        <f>IFERROR(__xludf.DUMMYFUNCTION("""COMPUTED_VALUE"""),44592.0)</f>
        <v>44592</v>
      </c>
      <c r="J634" s="470">
        <f>IFERROR(__xludf.DUMMYFUNCTION("""COMPUTED_VALUE"""),0.44452546296296297)</f>
        <v>0.444525463</v>
      </c>
      <c r="K634" s="16"/>
      <c r="L634" s="8"/>
      <c r="M634" s="69"/>
      <c r="N634" s="69">
        <f>IFERROR(__xludf.DUMMYFUNCTION("""COMPUTED_VALUE"""),1.0)</f>
        <v>1</v>
      </c>
      <c r="O634" s="69" t="str">
        <f t="shared" si="3"/>
        <v/>
      </c>
      <c r="P634" s="471">
        <f>IFERROR(__xludf.DUMMYFUNCTION("""COMPUTED_VALUE"""),0.0)</f>
        <v>0</v>
      </c>
      <c r="Q634" s="274" t="str">
        <f>VLOOKUP($B634,'Run Reconcile'!B$2:O2488,14,FALSE)</f>
        <v/>
      </c>
      <c r="R634" s="472" t="str">
        <f t="array" ref="R634">IF($Q634, INDEX('Run Reconcile'!A$2:A2488,MATCH(B634,'Run Reconcile'!B$2:B2488,0),1),IFERROR(0/0,""))</f>
        <v/>
      </c>
      <c r="S634" s="473" t="str">
        <f t="shared" si="694"/>
        <v/>
      </c>
      <c r="T634" s="473" t="str">
        <f t="shared" si="698"/>
        <v/>
      </c>
      <c r="U634" s="275" t="str">
        <f t="array" ref="U634">IF(ISBLANK($R634), INDEX('Run Reconcile'!A$2:A2488, MATCH($B634, 'Run Reconcile'!B$2:B2488, 0)+Z634, 1), IFERROR(0/0,""))
</f>
        <v>RUN-FLMP_2022-01-31_RFR-076</v>
      </c>
      <c r="V634" s="474" t="str">
        <f t="shared" si="5"/>
        <v>RUN-FLMP_2022-01-31_RFR-076</v>
      </c>
      <c r="Y634" s="89" t="str">
        <f t="shared" si="867"/>
        <v/>
      </c>
      <c r="Z634" s="60" t="str">
        <f t="shared" si="7"/>
        <v/>
      </c>
      <c r="AA634" s="60" t="str">
        <f t="shared" si="8"/>
        <v/>
      </c>
      <c r="AB634" s="60" t="str">
        <f t="shared" si="9"/>
        <v/>
      </c>
      <c r="AC634" s="30" t="str">
        <f t="shared" ref="AC634:AD634" si="990">IF(_xlfn.ISFORMULA(S634),IFERROR(0/0,""),TRUE)</f>
        <v/>
      </c>
      <c r="AD634" s="30" t="str">
        <f t="shared" si="990"/>
        <v/>
      </c>
      <c r="AE634" s="475" t="str">
        <f>IFERROR(__xludf.DUMMYFUNCTION("""COMPUTED_VALUE"""),"CRLN")</f>
        <v>CRLN</v>
      </c>
      <c r="AF634" s="476"/>
      <c r="AG634" s="474" t="s">
        <v>173</v>
      </c>
      <c r="AH634" s="138" t="str">
        <f t="shared" si="11"/>
        <v/>
      </c>
    </row>
    <row r="635">
      <c r="A635" s="103" t="str">
        <f>IFERROR(__xludf.DUMMYFUNCTION("""COMPUTED_VALUE"""),"FLE281")</f>
        <v>FLE281</v>
      </c>
      <c r="B635" s="468">
        <f>IFERROR(__xludf.DUMMYFUNCTION("""COMPUTED_VALUE"""),44592.0)</f>
        <v>44592</v>
      </c>
      <c r="C635" s="469">
        <f>IFERROR(__xludf.DUMMYFUNCTION("""COMPUTED_VALUE"""),0.36974537037037036)</f>
        <v>0.3697453704</v>
      </c>
      <c r="D635" s="103" t="str">
        <f>IFERROR(__xludf.DUMMYFUNCTION("""COMPUTED_VALUE"""),"SpFLMP684798")</f>
        <v>SpFLMP684798</v>
      </c>
      <c r="E635" s="103"/>
      <c r="F635" s="103"/>
      <c r="G635" s="103" t="str">
        <f>IFERROR(__xludf.DUMMYFUNCTION("""COMPUTED_VALUE"""),"Negative")</f>
        <v>Negative</v>
      </c>
      <c r="H635" s="131" t="str">
        <f>IFERROR(__xludf.DUMMYFUNCTION("""COMPUTED_VALUE"""),"Negative")</f>
        <v>Negative</v>
      </c>
      <c r="I635" s="468">
        <f>IFERROR(__xludf.DUMMYFUNCTION("""COMPUTED_VALUE"""),44592.0)</f>
        <v>44592</v>
      </c>
      <c r="J635" s="470">
        <f>IFERROR(__xludf.DUMMYFUNCTION("""COMPUTED_VALUE"""),0.44452546296296297)</f>
        <v>0.444525463</v>
      </c>
      <c r="K635" s="16"/>
      <c r="L635" s="8"/>
      <c r="M635" s="69"/>
      <c r="N635" s="69">
        <f>IFERROR(__xludf.DUMMYFUNCTION("""COMPUTED_VALUE"""),3.0)</f>
        <v>3</v>
      </c>
      <c r="O635" s="69" t="str">
        <f t="shared" si="3"/>
        <v/>
      </c>
      <c r="P635" s="471">
        <f>IFERROR(__xludf.DUMMYFUNCTION("""COMPUTED_VALUE"""),0.0)</f>
        <v>0</v>
      </c>
      <c r="Q635" s="274" t="str">
        <f>VLOOKUP($B635,'Run Reconcile'!B$2:O2488,14,FALSE)</f>
        <v/>
      </c>
      <c r="R635" s="472" t="str">
        <f t="array" ref="R635">IF($Q635, INDEX('Run Reconcile'!A$2:A2488,MATCH(B635,'Run Reconcile'!B$2:B2488,0),1),IFERROR(0/0,""))</f>
        <v/>
      </c>
      <c r="S635" s="473" t="str">
        <f t="shared" si="694"/>
        <v/>
      </c>
      <c r="T635" s="473" t="str">
        <f t="shared" si="698"/>
        <v/>
      </c>
      <c r="U635" s="275" t="str">
        <f t="array" ref="U635">IF(ISBLANK($R635), INDEX('Run Reconcile'!A$2:A2488, MATCH($B635, 'Run Reconcile'!B$2:B2488, 0)+Z635, 1), IFERROR(0/0,""))
</f>
        <v>RUN-FLMP_2022-01-31_RFR-076</v>
      </c>
      <c r="V635" s="474" t="str">
        <f t="shared" si="5"/>
        <v>RUN-FLMP_2022-01-31_RFR-076</v>
      </c>
      <c r="Y635" s="89" t="str">
        <f t="shared" si="867"/>
        <v/>
      </c>
      <c r="Z635" s="60" t="str">
        <f t="shared" si="7"/>
        <v/>
      </c>
      <c r="AA635" s="60" t="str">
        <f t="shared" si="8"/>
        <v/>
      </c>
      <c r="AB635" s="60" t="str">
        <f t="shared" si="9"/>
        <v/>
      </c>
      <c r="AC635" s="30" t="str">
        <f t="shared" ref="AC635:AD635" si="991">IF(_xlfn.ISFORMULA(S635),IFERROR(0/0,""),TRUE)</f>
        <v/>
      </c>
      <c r="AD635" s="30" t="str">
        <f t="shared" si="991"/>
        <v/>
      </c>
      <c r="AE635" s="475" t="str">
        <f>IFERROR(__xludf.DUMMYFUNCTION("""COMPUTED_VALUE"""),"CRLN")</f>
        <v>CRLN</v>
      </c>
      <c r="AF635" s="476"/>
      <c r="AG635" s="474" t="s">
        <v>173</v>
      </c>
      <c r="AH635" s="138" t="str">
        <f t="shared" si="11"/>
        <v/>
      </c>
    </row>
    <row r="636">
      <c r="A636" s="103" t="str">
        <f>IFERROR(__xludf.DUMMYFUNCTION("""COMPUTED_VALUE"""),"FLB5876")</f>
        <v>FLB5876</v>
      </c>
      <c r="B636" s="468">
        <f>IFERROR(__xludf.DUMMYFUNCTION("""COMPUTED_VALUE"""),44592.0)</f>
        <v>44592</v>
      </c>
      <c r="C636" s="469">
        <f>IFERROR(__xludf.DUMMYFUNCTION("""COMPUTED_VALUE"""),0.37346064814814817)</f>
        <v>0.3734606481</v>
      </c>
      <c r="D636" s="103" t="str">
        <f>IFERROR(__xludf.DUMMYFUNCTION("""COMPUTED_VALUE"""),"SpFLMP596479")</f>
        <v>SpFLMP596479</v>
      </c>
      <c r="E636" s="103"/>
      <c r="F636" s="103"/>
      <c r="G636" s="103" t="str">
        <f>IFERROR(__xludf.DUMMYFUNCTION("""COMPUTED_VALUE"""),"Negative")</f>
        <v>Negative</v>
      </c>
      <c r="H636" s="131" t="str">
        <f>IFERROR(__xludf.DUMMYFUNCTION("""COMPUTED_VALUE"""),"Negative")</f>
        <v>Negative</v>
      </c>
      <c r="I636" s="468">
        <f>IFERROR(__xludf.DUMMYFUNCTION("""COMPUTED_VALUE"""),44592.0)</f>
        <v>44592</v>
      </c>
      <c r="J636" s="470">
        <f>IFERROR(__xludf.DUMMYFUNCTION("""COMPUTED_VALUE"""),0.44452546296296297)</f>
        <v>0.444525463</v>
      </c>
      <c r="K636" s="16"/>
      <c r="L636" s="8"/>
      <c r="M636" s="69"/>
      <c r="N636" s="69">
        <f>IFERROR(__xludf.DUMMYFUNCTION("""COMPUTED_VALUE"""),3.0)</f>
        <v>3</v>
      </c>
      <c r="O636" s="69" t="str">
        <f t="shared" si="3"/>
        <v/>
      </c>
      <c r="P636" s="471">
        <f>IFERROR(__xludf.DUMMYFUNCTION("""COMPUTED_VALUE"""),0.0)</f>
        <v>0</v>
      </c>
      <c r="Q636" s="274" t="str">
        <f>VLOOKUP($B636,'Run Reconcile'!B$2:O2488,14,FALSE)</f>
        <v/>
      </c>
      <c r="R636" s="472" t="str">
        <f t="array" ref="R636">IF($Q636, INDEX('Run Reconcile'!A$2:A2488,MATCH(B636,'Run Reconcile'!B$2:B2488,0),1),IFERROR(0/0,""))</f>
        <v/>
      </c>
      <c r="S636" s="473" t="str">
        <f t="shared" si="694"/>
        <v/>
      </c>
      <c r="T636" s="473" t="str">
        <f t="shared" si="698"/>
        <v/>
      </c>
      <c r="U636" s="275" t="str">
        <f t="array" ref="U636">IF(ISBLANK($R636), INDEX('Run Reconcile'!A$2:A2488, MATCH($B636, 'Run Reconcile'!B$2:B2488, 0)+Z636, 1), IFERROR(0/0,""))
</f>
        <v>RUN-FLMP_2022-01-31_RFR-076</v>
      </c>
      <c r="V636" s="474" t="str">
        <f t="shared" si="5"/>
        <v>RUN-FLMP_2022-01-31_RFR-076</v>
      </c>
      <c r="Y636" s="89" t="str">
        <f t="shared" si="867"/>
        <v/>
      </c>
      <c r="Z636" s="60" t="str">
        <f t="shared" si="7"/>
        <v/>
      </c>
      <c r="AA636" s="60" t="str">
        <f t="shared" si="8"/>
        <v/>
      </c>
      <c r="AB636" s="60" t="str">
        <f t="shared" si="9"/>
        <v/>
      </c>
      <c r="AC636" s="30" t="str">
        <f t="shared" ref="AC636:AD636" si="992">IF(_xlfn.ISFORMULA(S636),IFERROR(0/0,""),TRUE)</f>
        <v/>
      </c>
      <c r="AD636" s="30" t="str">
        <f t="shared" si="992"/>
        <v/>
      </c>
      <c r="AE636" s="475" t="str">
        <f>IFERROR(__xludf.DUMMYFUNCTION("""COMPUTED_VALUE"""),"CRLN")</f>
        <v>CRLN</v>
      </c>
      <c r="AF636" s="476"/>
      <c r="AG636" s="474" t="s">
        <v>173</v>
      </c>
      <c r="AH636" s="138" t="str">
        <f t="shared" si="11"/>
        <v/>
      </c>
    </row>
    <row r="637">
      <c r="A637" s="477" t="str">
        <f>IFERROR(__xludf.DUMMYFUNCTION("""COMPUTED_VALUE"""),"MA1331")</f>
        <v>MA1331</v>
      </c>
      <c r="B637" s="478">
        <f>IFERROR(__xludf.DUMMYFUNCTION("""COMPUTED_VALUE"""),44594.0)</f>
        <v>44594</v>
      </c>
      <c r="C637" s="479">
        <f>IFERROR(__xludf.DUMMYFUNCTION("""COMPUTED_VALUE"""),0.33545138888888887)</f>
        <v>0.3354513889</v>
      </c>
      <c r="D637" s="477" t="str">
        <f>IFERROR(__xludf.DUMMYFUNCTION("""COMPUTED_VALUE"""),"SpFLMP684798")</f>
        <v>SpFLMP684798</v>
      </c>
      <c r="E637" s="477"/>
      <c r="F637" s="477"/>
      <c r="G637" s="477" t="str">
        <f>IFERROR(__xludf.DUMMYFUNCTION("""COMPUTED_VALUE"""),"Negative")</f>
        <v>Negative</v>
      </c>
      <c r="H637" s="480" t="str">
        <f>IFERROR(__xludf.DUMMYFUNCTION("""COMPUTED_VALUE"""),"Negative")</f>
        <v>Negative</v>
      </c>
      <c r="I637" s="478">
        <f>IFERROR(__xludf.DUMMYFUNCTION("""COMPUTED_VALUE"""),44594.0)</f>
        <v>44594</v>
      </c>
      <c r="J637" s="481">
        <f>IFERROR(__xludf.DUMMYFUNCTION("""COMPUTED_VALUE"""),0.4023148148148148)</f>
        <v>0.4023148148</v>
      </c>
      <c r="K637" s="156"/>
      <c r="L637" s="19"/>
      <c r="M637" s="482"/>
      <c r="N637" s="482">
        <f>IFERROR(__xludf.DUMMYFUNCTION("""COMPUTED_VALUE"""),3.0)</f>
        <v>3</v>
      </c>
      <c r="O637" s="482" t="b">
        <f t="shared" si="3"/>
        <v>1</v>
      </c>
      <c r="P637" s="483">
        <f>IFERROR(__xludf.DUMMYFUNCTION("""COMPUTED_VALUE"""),0.0)</f>
        <v>0</v>
      </c>
      <c r="Q637" s="352" t="str">
        <f>VLOOKUP($B637,'Run Reconcile'!B$2:O2488,14,FALSE)</f>
        <v/>
      </c>
      <c r="R637" s="484" t="str">
        <f t="array" ref="R637">IF($Q637, INDEX('Run Reconcile'!A$2:A2488,MATCH(B637,'Run Reconcile'!B$2:B2488,0),1),IFERROR(0/0,""))</f>
        <v/>
      </c>
      <c r="S637" s="485" t="str">
        <f t="shared" si="694"/>
        <v/>
      </c>
      <c r="T637" s="485" t="str">
        <f t="shared" si="698"/>
        <v/>
      </c>
      <c r="U637" s="353" t="str">
        <f t="array" ref="U637">IF(ISBLANK($R637), INDEX('Run Reconcile'!A$2:A2488, MATCH($B637, 'Run Reconcile'!B$2:B2488, 0)+Z637, 1), IFERROR(0/0,""))
</f>
        <v>RUN-FLMP_2022-02-02_RFR-078</v>
      </c>
      <c r="V637" s="486" t="str">
        <f t="shared" si="5"/>
        <v>RUN-FLMP_2022-02-02_RFR-078</v>
      </c>
      <c r="W637" s="19"/>
      <c r="X637" s="19"/>
      <c r="Y637" s="89" t="str">
        <f t="shared" si="867"/>
        <v/>
      </c>
      <c r="Z637" s="60" t="str">
        <f t="shared" si="7"/>
        <v/>
      </c>
      <c r="AA637" s="60" t="str">
        <f t="shared" si="8"/>
        <v/>
      </c>
      <c r="AB637" s="60" t="str">
        <f t="shared" si="9"/>
        <v/>
      </c>
      <c r="AC637" s="158" t="str">
        <f t="shared" ref="AC637:AD637" si="993">IF(_xlfn.ISFORMULA(S637),IFERROR(0/0,""),TRUE)</f>
        <v/>
      </c>
      <c r="AD637" s="158" t="str">
        <f t="shared" si="993"/>
        <v/>
      </c>
      <c r="AE637" s="488" t="str">
        <f>IFERROR(__xludf.DUMMYFUNCTION("""COMPUTED_VALUE"""),"CRLN")</f>
        <v>CRLN</v>
      </c>
      <c r="AF637" s="489"/>
      <c r="AG637" s="486" t="s">
        <v>174</v>
      </c>
      <c r="AH637" s="138" t="str">
        <f t="shared" si="11"/>
        <v/>
      </c>
      <c r="AI637" s="19"/>
      <c r="AJ637" s="19"/>
      <c r="AK637" s="19"/>
      <c r="AL637" s="19"/>
      <c r="AM637" s="19"/>
    </row>
    <row r="638">
      <c r="A638" s="103" t="str">
        <f>IFERROR(__xludf.DUMMYFUNCTION("""COMPUTED_VALUE"""),"MAX343")</f>
        <v>MAX343</v>
      </c>
      <c r="B638" s="468">
        <f>IFERROR(__xludf.DUMMYFUNCTION("""COMPUTED_VALUE"""),44594.0)</f>
        <v>44594</v>
      </c>
      <c r="C638" s="469">
        <f>IFERROR(__xludf.DUMMYFUNCTION("""COMPUTED_VALUE"""),0.3386226851851852)</f>
        <v>0.3386226852</v>
      </c>
      <c r="D638" s="103" t="str">
        <f>IFERROR(__xludf.DUMMYFUNCTION("""COMPUTED_VALUE"""),"SpFLMP496039")</f>
        <v>SpFLMP496039</v>
      </c>
      <c r="E638" s="103"/>
      <c r="F638" s="103"/>
      <c r="G638" s="103" t="str">
        <f>IFERROR(__xludf.DUMMYFUNCTION("""COMPUTED_VALUE"""),"Negative")</f>
        <v>Negative</v>
      </c>
      <c r="H638" s="131" t="str">
        <f>IFERROR(__xludf.DUMMYFUNCTION("""COMPUTED_VALUE"""),"Negative")</f>
        <v>Negative</v>
      </c>
      <c r="I638" s="468">
        <f>IFERROR(__xludf.DUMMYFUNCTION("""COMPUTED_VALUE"""),44594.0)</f>
        <v>44594</v>
      </c>
      <c r="J638" s="470">
        <f>IFERROR(__xludf.DUMMYFUNCTION("""COMPUTED_VALUE"""),0.4023263888888889)</f>
        <v>0.4023263889</v>
      </c>
      <c r="K638" s="16"/>
      <c r="L638" s="8"/>
      <c r="M638" s="69"/>
      <c r="N638" s="69">
        <f>IFERROR(__xludf.DUMMYFUNCTION("""COMPUTED_VALUE"""),2.0)</f>
        <v>2</v>
      </c>
      <c r="O638" s="69" t="str">
        <f t="shared" si="3"/>
        <v/>
      </c>
      <c r="P638" s="471">
        <f>IFERROR(__xludf.DUMMYFUNCTION("""COMPUTED_VALUE"""),0.0)</f>
        <v>0</v>
      </c>
      <c r="Q638" s="274" t="str">
        <f>VLOOKUP($B638,'Run Reconcile'!B$2:O2488,14,FALSE)</f>
        <v/>
      </c>
      <c r="R638" s="472" t="str">
        <f t="array" ref="R638">IF($Q638, INDEX('Run Reconcile'!A$2:A2488,MATCH(B638,'Run Reconcile'!B$2:B2488,0),1),IFERROR(0/0,""))</f>
        <v/>
      </c>
      <c r="S638" s="473" t="str">
        <f t="shared" si="694"/>
        <v/>
      </c>
      <c r="T638" s="473" t="str">
        <f t="shared" si="698"/>
        <v/>
      </c>
      <c r="U638" s="275" t="str">
        <f t="array" ref="U638">IF(ISBLANK($R638), INDEX('Run Reconcile'!A$2:A2488, MATCH($B638, 'Run Reconcile'!B$2:B2488, 0)+Z638, 1), IFERROR(0/0,""))
</f>
        <v>RUN-FLMP_2022-02-02_RFR-078</v>
      </c>
      <c r="V638" s="474" t="str">
        <f t="shared" si="5"/>
        <v>RUN-FLMP_2022-02-02_RFR-078</v>
      </c>
      <c r="Y638" s="89" t="str">
        <f t="shared" si="867"/>
        <v/>
      </c>
      <c r="Z638" s="60" t="str">
        <f t="shared" si="7"/>
        <v/>
      </c>
      <c r="AA638" s="60" t="str">
        <f t="shared" si="8"/>
        <v/>
      </c>
      <c r="AB638" s="60" t="str">
        <f t="shared" si="9"/>
        <v/>
      </c>
      <c r="AC638" s="30" t="str">
        <f t="shared" ref="AC638:AD638" si="994">IF(_xlfn.ISFORMULA(S638),IFERROR(0/0,""),TRUE)</f>
        <v/>
      </c>
      <c r="AD638" s="30" t="str">
        <f t="shared" si="994"/>
        <v/>
      </c>
      <c r="AE638" s="475" t="str">
        <f>IFERROR(__xludf.DUMMYFUNCTION("""COMPUTED_VALUE"""),"CRLN")</f>
        <v>CRLN</v>
      </c>
      <c r="AF638" s="476"/>
      <c r="AG638" s="474" t="s">
        <v>174</v>
      </c>
      <c r="AH638" s="138" t="str">
        <f t="shared" si="11"/>
        <v/>
      </c>
    </row>
    <row r="639">
      <c r="A639" s="103" t="str">
        <f>IFERROR(__xludf.DUMMYFUNCTION("""COMPUTED_VALUE"""),"MA922")</f>
        <v>MA922</v>
      </c>
      <c r="B639" s="468">
        <f>IFERROR(__xludf.DUMMYFUNCTION("""COMPUTED_VALUE"""),44594.0)</f>
        <v>44594</v>
      </c>
      <c r="C639" s="469">
        <f>IFERROR(__xludf.DUMMYFUNCTION("""COMPUTED_VALUE"""),0.3663194444444444)</f>
        <v>0.3663194444</v>
      </c>
      <c r="D639" s="103" t="str">
        <f>IFERROR(__xludf.DUMMYFUNCTION("""COMPUTED_VALUE"""),"SpFLMP496039")</f>
        <v>SpFLMP496039</v>
      </c>
      <c r="E639" s="103"/>
      <c r="F639" s="103"/>
      <c r="G639" s="103" t="str">
        <f>IFERROR(__xludf.DUMMYFUNCTION("""COMPUTED_VALUE"""),"Negative")</f>
        <v>Negative</v>
      </c>
      <c r="H639" s="131" t="str">
        <f>IFERROR(__xludf.DUMMYFUNCTION("""COMPUTED_VALUE"""),"Negative")</f>
        <v>Negative</v>
      </c>
      <c r="I639" s="468">
        <f>IFERROR(__xludf.DUMMYFUNCTION("""COMPUTED_VALUE"""),44594.0)</f>
        <v>44594</v>
      </c>
      <c r="J639" s="470">
        <f>IFERROR(__xludf.DUMMYFUNCTION("""COMPUTED_VALUE"""),0.4023263888888889)</f>
        <v>0.4023263889</v>
      </c>
      <c r="K639" s="16"/>
      <c r="L639" s="8"/>
      <c r="M639" s="69"/>
      <c r="N639" s="69">
        <f>IFERROR(__xludf.DUMMYFUNCTION("""COMPUTED_VALUE"""),1.0)</f>
        <v>1</v>
      </c>
      <c r="O639" s="69" t="str">
        <f t="shared" si="3"/>
        <v/>
      </c>
      <c r="P639" s="471">
        <f>IFERROR(__xludf.DUMMYFUNCTION("""COMPUTED_VALUE"""),0.0)</f>
        <v>0</v>
      </c>
      <c r="Q639" s="274" t="str">
        <f>VLOOKUP($B639,'Run Reconcile'!B$2:O2488,14,FALSE)</f>
        <v/>
      </c>
      <c r="R639" s="472" t="str">
        <f t="array" ref="R639">IF($Q639, INDEX('Run Reconcile'!A$2:A2488,MATCH(B639,'Run Reconcile'!B$2:B2488,0),1),IFERROR(0/0,""))</f>
        <v/>
      </c>
      <c r="S639" s="473" t="str">
        <f t="shared" si="694"/>
        <v/>
      </c>
      <c r="T639" s="473" t="str">
        <f t="shared" si="698"/>
        <v/>
      </c>
      <c r="U639" s="275" t="str">
        <f t="array" ref="U639">IF(ISBLANK($R639), INDEX('Run Reconcile'!A$2:A2488, MATCH($B639, 'Run Reconcile'!B$2:B2488, 0)+Z639, 1), IFERROR(0/0,""))
</f>
        <v>RUN-FLMP_2022-02-02_RFR-078</v>
      </c>
      <c r="V639" s="474" t="str">
        <f t="shared" si="5"/>
        <v>RUN-FLMP_2022-02-02_RFR-078</v>
      </c>
      <c r="Y639" s="89" t="str">
        <f t="shared" si="867"/>
        <v/>
      </c>
      <c r="Z639" s="60" t="str">
        <f t="shared" si="7"/>
        <v/>
      </c>
      <c r="AA639" s="60" t="str">
        <f t="shared" si="8"/>
        <v/>
      </c>
      <c r="AB639" s="60" t="str">
        <f t="shared" si="9"/>
        <v/>
      </c>
      <c r="AC639" s="30" t="str">
        <f t="shared" ref="AC639:AD639" si="995">IF(_xlfn.ISFORMULA(S639),IFERROR(0/0,""),TRUE)</f>
        <v/>
      </c>
      <c r="AD639" s="30" t="str">
        <f t="shared" si="995"/>
        <v/>
      </c>
      <c r="AE639" s="475" t="str">
        <f>IFERROR(__xludf.DUMMYFUNCTION("""COMPUTED_VALUE"""),"CRLN")</f>
        <v>CRLN</v>
      </c>
      <c r="AF639" s="476"/>
      <c r="AG639" s="474" t="s">
        <v>174</v>
      </c>
      <c r="AH639" s="138" t="str">
        <f t="shared" si="11"/>
        <v/>
      </c>
    </row>
    <row r="640">
      <c r="A640" s="103" t="str">
        <f>IFERROR(__xludf.DUMMYFUNCTION("""COMPUTED_VALUE"""),"FLT1449")</f>
        <v>FLT1449</v>
      </c>
      <c r="B640" s="468">
        <f>IFERROR(__xludf.DUMMYFUNCTION("""COMPUTED_VALUE"""),44594.0)</f>
        <v>44594</v>
      </c>
      <c r="C640" s="469">
        <f>IFERROR(__xludf.DUMMYFUNCTION("""COMPUTED_VALUE"""),0.7847106481481482)</f>
        <v>0.7847106481</v>
      </c>
      <c r="D640" s="103" t="str">
        <f>IFERROR(__xludf.DUMMYFUNCTION("""COMPUTED_VALUE"""),"SpFLMP518914")</f>
        <v>SpFLMP518914</v>
      </c>
      <c r="E640" s="103"/>
      <c r="F640" s="103"/>
      <c r="G640" s="103" t="str">
        <f>IFERROR(__xludf.DUMMYFUNCTION("""COMPUTED_VALUE"""),"Negative")</f>
        <v>Negative</v>
      </c>
      <c r="H640" s="131" t="str">
        <f>IFERROR(__xludf.DUMMYFUNCTION("""COMPUTED_VALUE"""),"Negative")</f>
        <v>Negative</v>
      </c>
      <c r="I640" s="468">
        <f>IFERROR(__xludf.DUMMYFUNCTION("""COMPUTED_VALUE"""),44595.0)</f>
        <v>44595</v>
      </c>
      <c r="J640" s="470">
        <f>IFERROR(__xludf.DUMMYFUNCTION("""COMPUTED_VALUE"""),0.44091435185185185)</f>
        <v>0.4409143519</v>
      </c>
      <c r="K640" s="16"/>
      <c r="L640" s="8"/>
      <c r="M640" s="69"/>
      <c r="N640" s="69">
        <f>IFERROR(__xludf.DUMMYFUNCTION("""COMPUTED_VALUE"""),1.0)</f>
        <v>1</v>
      </c>
      <c r="O640" s="69" t="str">
        <f t="shared" si="3"/>
        <v/>
      </c>
      <c r="P640" s="471">
        <f>IFERROR(__xludf.DUMMYFUNCTION("""COMPUTED_VALUE"""),1.0)</f>
        <v>1</v>
      </c>
      <c r="Q640" s="274" t="str">
        <f>VLOOKUP($B640,'Run Reconcile'!B$2:O2488,14,FALSE)</f>
        <v/>
      </c>
      <c r="R640" s="472" t="str">
        <f t="array" ref="R640">IF($Q640, INDEX('Run Reconcile'!A$2:A2488,MATCH(B640,'Run Reconcile'!B$2:B2488,0),1),IFERROR(0/0,""))</f>
        <v/>
      </c>
      <c r="S640" s="473" t="b">
        <f t="shared" si="694"/>
        <v>1</v>
      </c>
      <c r="T640" s="473" t="str">
        <f t="shared" si="698"/>
        <v/>
      </c>
      <c r="U640" s="275" t="str">
        <f t="array" ref="U640">IF(ISBLANK($R640), INDEX('Run Reconcile'!A$2:A2488, MATCH($B640, 'Run Reconcile'!B$2:B2488, 0)+Z640, 1), IFERROR(0/0,""))
</f>
        <v>RUN-FLMP_2022-02-03_RFR-079</v>
      </c>
      <c r="V640" s="474" t="str">
        <f t="shared" si="5"/>
        <v>RUN-FLMP_2022-02-03_RFR-079</v>
      </c>
      <c r="W640" s="8" t="s">
        <v>1445</v>
      </c>
      <c r="Y640" s="89">
        <f t="shared" si="867"/>
        <v>1</v>
      </c>
      <c r="Z640" s="60">
        <f t="shared" si="7"/>
        <v>1</v>
      </c>
      <c r="AA640" s="60">
        <f t="shared" si="8"/>
        <v>1</v>
      </c>
      <c r="AB640" s="60" t="str">
        <f t="shared" si="9"/>
        <v/>
      </c>
      <c r="AC640" s="30" t="str">
        <f t="shared" ref="AC640:AD640" si="996">IF(_xlfn.ISFORMULA(S640),IFERROR(0/0,""),TRUE)</f>
        <v/>
      </c>
      <c r="AD640" s="30" t="str">
        <f t="shared" si="996"/>
        <v/>
      </c>
      <c r="AE640" s="475" t="str">
        <f>IFERROR(__xludf.DUMMYFUNCTION("""COMPUTED_VALUE"""),"CRLN")</f>
        <v>CRLN</v>
      </c>
      <c r="AF640" s="476"/>
      <c r="AG640" s="474" t="s">
        <v>175</v>
      </c>
      <c r="AH640" s="138" t="str">
        <f t="shared" si="11"/>
        <v/>
      </c>
    </row>
    <row r="641">
      <c r="A641" s="103" t="str">
        <f>IFERROR(__xludf.DUMMYFUNCTION("""COMPUTED_VALUE"""),"FLB5879")</f>
        <v>FLB5879</v>
      </c>
      <c r="B641" s="468">
        <f>IFERROR(__xludf.DUMMYFUNCTION("""COMPUTED_VALUE"""),44594.0)</f>
        <v>44594</v>
      </c>
      <c r="C641" s="469">
        <f>IFERROR(__xludf.DUMMYFUNCTION("""COMPUTED_VALUE"""),0.8837731481481481)</f>
        <v>0.8837731481</v>
      </c>
      <c r="D641" s="103" t="str">
        <f>IFERROR(__xludf.DUMMYFUNCTION("""COMPUTED_VALUE"""),"SpFLMP268514")</f>
        <v>SpFLMP268514</v>
      </c>
      <c r="E641" s="103"/>
      <c r="F641" s="103"/>
      <c r="G641" s="103" t="str">
        <f>IFERROR(__xludf.DUMMYFUNCTION("""COMPUTED_VALUE"""),"Negative")</f>
        <v>Negative</v>
      </c>
      <c r="H641" s="131" t="str">
        <f>IFERROR(__xludf.DUMMYFUNCTION("""COMPUTED_VALUE"""),"Negative")</f>
        <v>Negative</v>
      </c>
      <c r="I641" s="468">
        <f>IFERROR(__xludf.DUMMYFUNCTION("""COMPUTED_VALUE"""),44595.0)</f>
        <v>44595</v>
      </c>
      <c r="J641" s="470">
        <f>IFERROR(__xludf.DUMMYFUNCTION("""COMPUTED_VALUE"""),0.44092592592592594)</f>
        <v>0.4409259259</v>
      </c>
      <c r="K641" s="16"/>
      <c r="L641" s="8"/>
      <c r="M641" s="69"/>
      <c r="N641" s="69">
        <f>IFERROR(__xludf.DUMMYFUNCTION("""COMPUTED_VALUE"""),4.0)</f>
        <v>4</v>
      </c>
      <c r="O641" s="69" t="str">
        <f t="shared" si="3"/>
        <v/>
      </c>
      <c r="P641" s="471">
        <f>IFERROR(__xludf.DUMMYFUNCTION("""COMPUTED_VALUE"""),1.0)</f>
        <v>1</v>
      </c>
      <c r="Q641" s="274" t="str">
        <f>VLOOKUP($B641,'Run Reconcile'!B$2:O2488,14,FALSE)</f>
        <v/>
      </c>
      <c r="R641" s="472" t="str">
        <f t="array" ref="R641">IF($Q641, INDEX('Run Reconcile'!A$2:A2488,MATCH(B641,'Run Reconcile'!B$2:B2488,0),1),IFERROR(0/0,""))</f>
        <v/>
      </c>
      <c r="S641" s="473" t="b">
        <f t="shared" si="694"/>
        <v>1</v>
      </c>
      <c r="T641" s="473" t="str">
        <f t="shared" si="698"/>
        <v/>
      </c>
      <c r="U641" s="275" t="str">
        <f t="array" ref="U641">IF(ISBLANK($R641), INDEX('Run Reconcile'!A$2:A2488, MATCH($B641, 'Run Reconcile'!B$2:B2488, 0)+Z641, 1), IFERROR(0/0,""))
</f>
        <v>RUN-FLMP_2022-02-03_RFR-079</v>
      </c>
      <c r="V641" s="474" t="str">
        <f t="shared" si="5"/>
        <v>RUN-FLMP_2022-02-03_RFR-079</v>
      </c>
      <c r="W641" s="8" t="s">
        <v>1446</v>
      </c>
      <c r="Y641" s="89">
        <f t="shared" si="867"/>
        <v>1</v>
      </c>
      <c r="Z641" s="60">
        <f t="shared" si="7"/>
        <v>1</v>
      </c>
      <c r="AA641" s="60">
        <f t="shared" si="8"/>
        <v>1</v>
      </c>
      <c r="AB641" s="60" t="str">
        <f t="shared" si="9"/>
        <v/>
      </c>
      <c r="AC641" s="30" t="str">
        <f t="shared" ref="AC641:AD641" si="997">IF(_xlfn.ISFORMULA(S641),IFERROR(0/0,""),TRUE)</f>
        <v/>
      </c>
      <c r="AD641" s="30" t="str">
        <f t="shared" si="997"/>
        <v/>
      </c>
      <c r="AE641" s="475" t="str">
        <f>IFERROR(__xludf.DUMMYFUNCTION("""COMPUTED_VALUE"""),"CRLN")</f>
        <v>CRLN</v>
      </c>
      <c r="AF641" s="476"/>
      <c r="AG641" s="474" t="s">
        <v>175</v>
      </c>
      <c r="AH641" s="138" t="str">
        <f t="shared" si="11"/>
        <v/>
      </c>
    </row>
    <row r="642">
      <c r="A642" s="477" t="str">
        <f>IFERROR(__xludf.DUMMYFUNCTION("""COMPUTED_VALUE"""),"FLB4961")</f>
        <v>FLB4961</v>
      </c>
      <c r="B642" s="478">
        <f>IFERROR(__xludf.DUMMYFUNCTION("""COMPUTED_VALUE"""),44595.0)</f>
        <v>44595</v>
      </c>
      <c r="C642" s="479">
        <f>IFERROR(__xludf.DUMMYFUNCTION("""COMPUTED_VALUE"""),0.22355324074074073)</f>
        <v>0.2235532407</v>
      </c>
      <c r="D642" s="477" t="str">
        <f>IFERROR(__xludf.DUMMYFUNCTION("""COMPUTED_VALUE"""),"SpFLMP470379")</f>
        <v>SpFLMP470379</v>
      </c>
      <c r="E642" s="477"/>
      <c r="F642" s="477"/>
      <c r="G642" s="477" t="str">
        <f>IFERROR(__xludf.DUMMYFUNCTION("""COMPUTED_VALUE"""),"Negative")</f>
        <v>Negative</v>
      </c>
      <c r="H642" s="480" t="str">
        <f>IFERROR(__xludf.DUMMYFUNCTION("""COMPUTED_VALUE"""),"Negative")</f>
        <v>Negative</v>
      </c>
      <c r="I642" s="478">
        <f>IFERROR(__xludf.DUMMYFUNCTION("""COMPUTED_VALUE"""),44595.0)</f>
        <v>44595</v>
      </c>
      <c r="J642" s="481">
        <f>IFERROR(__xludf.DUMMYFUNCTION("""COMPUTED_VALUE"""),0.44092592592592594)</f>
        <v>0.4409259259</v>
      </c>
      <c r="K642" s="156"/>
      <c r="L642" s="19"/>
      <c r="M642" s="482"/>
      <c r="N642" s="482">
        <f>IFERROR(__xludf.DUMMYFUNCTION("""COMPUTED_VALUE"""),1.0)</f>
        <v>1</v>
      </c>
      <c r="O642" s="482" t="b">
        <f t="shared" si="3"/>
        <v>1</v>
      </c>
      <c r="P642" s="483">
        <f>IFERROR(__xludf.DUMMYFUNCTION("""COMPUTED_VALUE"""),0.0)</f>
        <v>0</v>
      </c>
      <c r="Q642" s="352" t="str">
        <f>VLOOKUP($B642,'Run Reconcile'!B$2:O2488,14,FALSE)</f>
        <v/>
      </c>
      <c r="R642" s="484" t="str">
        <f t="array" ref="R642">IF($Q642, INDEX('Run Reconcile'!A$2:A2488,MATCH(B642,'Run Reconcile'!B$2:B2488,0),1),IFERROR(0/0,""))</f>
        <v/>
      </c>
      <c r="S642" s="485" t="str">
        <f t="shared" si="694"/>
        <v/>
      </c>
      <c r="T642" s="485" t="str">
        <f t="shared" si="698"/>
        <v/>
      </c>
      <c r="U642" s="353" t="str">
        <f t="array" ref="U642">IF(ISBLANK($R642), INDEX('Run Reconcile'!A$2:A2488, MATCH($B642, 'Run Reconcile'!B$2:B2488, 0)+Z642, 1), IFERROR(0/0,""))
</f>
        <v>RUN-FLMP_2022-02-03_RFR-079</v>
      </c>
      <c r="V642" s="486" t="str">
        <f t="shared" si="5"/>
        <v>RUN-FLMP_2022-02-03_RFR-079</v>
      </c>
      <c r="W642" s="19"/>
      <c r="X642" s="19"/>
      <c r="Y642" s="89" t="str">
        <f t="shared" si="867"/>
        <v/>
      </c>
      <c r="Z642" s="60" t="str">
        <f t="shared" si="7"/>
        <v/>
      </c>
      <c r="AA642" s="60" t="str">
        <f t="shared" si="8"/>
        <v/>
      </c>
      <c r="AB642" s="60" t="str">
        <f t="shared" si="9"/>
        <v/>
      </c>
      <c r="AC642" s="158" t="str">
        <f t="shared" ref="AC642:AD642" si="998">IF(_xlfn.ISFORMULA(S642),IFERROR(0/0,""),TRUE)</f>
        <v/>
      </c>
      <c r="AD642" s="158" t="str">
        <f t="shared" si="998"/>
        <v/>
      </c>
      <c r="AE642" s="488" t="str">
        <f>IFERROR(__xludf.DUMMYFUNCTION("""COMPUTED_VALUE"""),"CRLN")</f>
        <v>CRLN</v>
      </c>
      <c r="AF642" s="489"/>
      <c r="AG642" s="486" t="s">
        <v>175</v>
      </c>
      <c r="AH642" s="138" t="str">
        <f t="shared" si="11"/>
        <v/>
      </c>
      <c r="AI642" s="19"/>
      <c r="AJ642" s="19"/>
      <c r="AK642" s="19"/>
      <c r="AL642" s="19"/>
      <c r="AM642" s="19"/>
    </row>
    <row r="643">
      <c r="A643" s="103" t="str">
        <f>IFERROR(__xludf.DUMMYFUNCTION("""COMPUTED_VALUE"""),"FLB5788")</f>
        <v>FLB5788</v>
      </c>
      <c r="B643" s="468">
        <f>IFERROR(__xludf.DUMMYFUNCTION("""COMPUTED_VALUE"""),44595.0)</f>
        <v>44595</v>
      </c>
      <c r="C643" s="469">
        <f>IFERROR(__xludf.DUMMYFUNCTION("""COMPUTED_VALUE"""),0.30194444444444446)</f>
        <v>0.3019444444</v>
      </c>
      <c r="D643" s="103" t="str">
        <f>IFERROR(__xludf.DUMMYFUNCTION("""COMPUTED_VALUE"""),"SpFLMP690282")</f>
        <v>SpFLMP690282</v>
      </c>
      <c r="E643" s="103"/>
      <c r="F643" s="103"/>
      <c r="G643" s="103" t="str">
        <f>IFERROR(__xludf.DUMMYFUNCTION("""COMPUTED_VALUE"""),"Negative")</f>
        <v>Negative</v>
      </c>
      <c r="H643" s="131" t="str">
        <f>IFERROR(__xludf.DUMMYFUNCTION("""COMPUTED_VALUE"""),"Negative")</f>
        <v>Negative</v>
      </c>
      <c r="I643" s="468">
        <f>IFERROR(__xludf.DUMMYFUNCTION("""COMPUTED_VALUE"""),44595.0)</f>
        <v>44595</v>
      </c>
      <c r="J643" s="470">
        <f>IFERROR(__xludf.DUMMYFUNCTION("""COMPUTED_VALUE"""),0.44092592592592594)</f>
        <v>0.4409259259</v>
      </c>
      <c r="K643" s="16"/>
      <c r="L643" s="8"/>
      <c r="M643" s="69"/>
      <c r="N643" s="69">
        <f>IFERROR(__xludf.DUMMYFUNCTION("""COMPUTED_VALUE"""),2.0)</f>
        <v>2</v>
      </c>
      <c r="O643" s="69" t="str">
        <f t="shared" si="3"/>
        <v/>
      </c>
      <c r="P643" s="471">
        <f>IFERROR(__xludf.DUMMYFUNCTION("""COMPUTED_VALUE"""),0.0)</f>
        <v>0</v>
      </c>
      <c r="Q643" s="274" t="str">
        <f>VLOOKUP($B643,'Run Reconcile'!B$2:O2488,14,FALSE)</f>
        <v/>
      </c>
      <c r="R643" s="472" t="str">
        <f t="array" ref="R643">IF($Q643, INDEX('Run Reconcile'!A$2:A2488,MATCH(B643,'Run Reconcile'!B$2:B2488,0),1),IFERROR(0/0,""))</f>
        <v/>
      </c>
      <c r="S643" s="473" t="str">
        <f t="shared" si="694"/>
        <v/>
      </c>
      <c r="T643" s="473" t="str">
        <f t="shared" si="698"/>
        <v/>
      </c>
      <c r="U643" s="275" t="str">
        <f t="array" ref="U643">IF(ISBLANK($R643), INDEX('Run Reconcile'!A$2:A2488, MATCH($B643, 'Run Reconcile'!B$2:B2488, 0)+Z643, 1), IFERROR(0/0,""))
</f>
        <v>RUN-FLMP_2022-02-03_RFR-079</v>
      </c>
      <c r="V643" s="474" t="str">
        <f t="shared" si="5"/>
        <v>RUN-FLMP_2022-02-03_RFR-079</v>
      </c>
      <c r="Y643" s="89" t="str">
        <f t="shared" si="867"/>
        <v/>
      </c>
      <c r="Z643" s="60" t="str">
        <f t="shared" si="7"/>
        <v/>
      </c>
      <c r="AA643" s="60" t="str">
        <f t="shared" si="8"/>
        <v/>
      </c>
      <c r="AB643" s="60" t="str">
        <f t="shared" si="9"/>
        <v/>
      </c>
      <c r="AC643" s="30" t="str">
        <f t="shared" ref="AC643:AD643" si="999">IF(_xlfn.ISFORMULA(S643),IFERROR(0/0,""),TRUE)</f>
        <v/>
      </c>
      <c r="AD643" s="30" t="str">
        <f t="shared" si="999"/>
        <v/>
      </c>
      <c r="AE643" s="475" t="str">
        <f>IFERROR(__xludf.DUMMYFUNCTION("""COMPUTED_VALUE"""),"CRLN")</f>
        <v>CRLN</v>
      </c>
      <c r="AF643" s="476"/>
      <c r="AG643" s="474" t="s">
        <v>175</v>
      </c>
      <c r="AH643" s="138" t="str">
        <f t="shared" si="11"/>
        <v/>
      </c>
    </row>
    <row r="644">
      <c r="A644" s="103" t="str">
        <f>IFERROR(__xludf.DUMMYFUNCTION("""COMPUTED_VALUE"""),"FLB5436")</f>
        <v>FLB5436</v>
      </c>
      <c r="B644" s="468">
        <f>IFERROR(__xludf.DUMMYFUNCTION("""COMPUTED_VALUE"""),44595.0)</f>
        <v>44595</v>
      </c>
      <c r="C644" s="469">
        <f>IFERROR(__xludf.DUMMYFUNCTION("""COMPUTED_VALUE"""),0.31700231481481483)</f>
        <v>0.3170023148</v>
      </c>
      <c r="D644" s="103" t="str">
        <f>IFERROR(__xludf.DUMMYFUNCTION("""COMPUTED_VALUE"""),"SpFLMP683554")</f>
        <v>SpFLMP683554</v>
      </c>
      <c r="E644" s="103"/>
      <c r="F644" s="103"/>
      <c r="G644" s="103" t="str">
        <f>IFERROR(__xludf.DUMMYFUNCTION("""COMPUTED_VALUE"""),"Negative")</f>
        <v>Negative</v>
      </c>
      <c r="H644" s="131" t="str">
        <f>IFERROR(__xludf.DUMMYFUNCTION("""COMPUTED_VALUE"""),"Negative")</f>
        <v>Negative</v>
      </c>
      <c r="I644" s="468">
        <f>IFERROR(__xludf.DUMMYFUNCTION("""COMPUTED_VALUE"""),44595.0)</f>
        <v>44595</v>
      </c>
      <c r="J644" s="470">
        <f>IFERROR(__xludf.DUMMYFUNCTION("""COMPUTED_VALUE"""),0.44092592592592594)</f>
        <v>0.4409259259</v>
      </c>
      <c r="K644" s="16"/>
      <c r="L644" s="8"/>
      <c r="M644" s="69"/>
      <c r="N644" s="69">
        <f>IFERROR(__xludf.DUMMYFUNCTION("""COMPUTED_VALUE"""),1.0)</f>
        <v>1</v>
      </c>
      <c r="O644" s="69" t="str">
        <f t="shared" si="3"/>
        <v/>
      </c>
      <c r="P644" s="471">
        <f>IFERROR(__xludf.DUMMYFUNCTION("""COMPUTED_VALUE"""),0.0)</f>
        <v>0</v>
      </c>
      <c r="Q644" s="274" t="str">
        <f>VLOOKUP($B644,'Run Reconcile'!B$2:O2488,14,FALSE)</f>
        <v/>
      </c>
      <c r="R644" s="472" t="str">
        <f t="array" ref="R644">IF($Q644, INDEX('Run Reconcile'!A$2:A2488,MATCH(B644,'Run Reconcile'!B$2:B2488,0),1),IFERROR(0/0,""))</f>
        <v/>
      </c>
      <c r="S644" s="473" t="str">
        <f t="shared" si="694"/>
        <v/>
      </c>
      <c r="T644" s="473" t="str">
        <f t="shared" si="698"/>
        <v/>
      </c>
      <c r="U644" s="275" t="str">
        <f t="array" ref="U644">IF(ISBLANK($R644), INDEX('Run Reconcile'!A$2:A2488, MATCH($B644, 'Run Reconcile'!B$2:B2488, 0)+Z644, 1), IFERROR(0/0,""))
</f>
        <v>RUN-FLMP_2022-02-03_RFR-079</v>
      </c>
      <c r="V644" s="474" t="str">
        <f t="shared" si="5"/>
        <v>RUN-FLMP_2022-02-03_RFR-079</v>
      </c>
      <c r="Y644" s="89" t="str">
        <f t="shared" si="867"/>
        <v/>
      </c>
      <c r="Z644" s="60" t="str">
        <f t="shared" si="7"/>
        <v/>
      </c>
      <c r="AA644" s="60" t="str">
        <f t="shared" si="8"/>
        <v/>
      </c>
      <c r="AB644" s="60" t="str">
        <f t="shared" si="9"/>
        <v/>
      </c>
      <c r="AC644" s="30" t="str">
        <f t="shared" ref="AC644:AD644" si="1000">IF(_xlfn.ISFORMULA(S644),IFERROR(0/0,""),TRUE)</f>
        <v/>
      </c>
      <c r="AD644" s="30" t="str">
        <f t="shared" si="1000"/>
        <v/>
      </c>
      <c r="AE644" s="475" t="str">
        <f>IFERROR(__xludf.DUMMYFUNCTION("""COMPUTED_VALUE"""),"CRLN")</f>
        <v>CRLN</v>
      </c>
      <c r="AF644" s="476"/>
      <c r="AG644" s="474" t="s">
        <v>175</v>
      </c>
      <c r="AH644" s="138" t="str">
        <f t="shared" si="11"/>
        <v/>
      </c>
    </row>
    <row r="645">
      <c r="A645" s="103" t="str">
        <f>IFERROR(__xludf.DUMMYFUNCTION("""COMPUTED_VALUE"""),"FLB5861")</f>
        <v>FLB5861</v>
      </c>
      <c r="B645" s="468">
        <f>IFERROR(__xludf.DUMMYFUNCTION("""COMPUTED_VALUE"""),44595.0)</f>
        <v>44595</v>
      </c>
      <c r="C645" s="469">
        <f>IFERROR(__xludf.DUMMYFUNCTION("""COMPUTED_VALUE"""),0.3210763888888889)</f>
        <v>0.3210763889</v>
      </c>
      <c r="D645" s="103" t="str">
        <f>IFERROR(__xludf.DUMMYFUNCTION("""COMPUTED_VALUE"""),"SpFLMP399694")</f>
        <v>SpFLMP399694</v>
      </c>
      <c r="E645" s="103"/>
      <c r="F645" s="103"/>
      <c r="G645" s="103" t="str">
        <f>IFERROR(__xludf.DUMMYFUNCTION("""COMPUTED_VALUE"""),"Negative")</f>
        <v>Negative</v>
      </c>
      <c r="H645" s="131" t="str">
        <f>IFERROR(__xludf.DUMMYFUNCTION("""COMPUTED_VALUE"""),"Negative")</f>
        <v>Negative</v>
      </c>
      <c r="I645" s="468">
        <f>IFERROR(__xludf.DUMMYFUNCTION("""COMPUTED_VALUE"""),44595.0)</f>
        <v>44595</v>
      </c>
      <c r="J645" s="470">
        <f>IFERROR(__xludf.DUMMYFUNCTION("""COMPUTED_VALUE"""),0.44092592592592594)</f>
        <v>0.4409259259</v>
      </c>
      <c r="K645" s="16"/>
      <c r="L645" s="8"/>
      <c r="M645" s="69"/>
      <c r="N645" s="69">
        <f>IFERROR(__xludf.DUMMYFUNCTION("""COMPUTED_VALUE"""),3.0)</f>
        <v>3</v>
      </c>
      <c r="O645" s="69" t="str">
        <f t="shared" si="3"/>
        <v/>
      </c>
      <c r="P645" s="471">
        <f>IFERROR(__xludf.DUMMYFUNCTION("""COMPUTED_VALUE"""),0.0)</f>
        <v>0</v>
      </c>
      <c r="Q645" s="274" t="str">
        <f>VLOOKUP($B645,'Run Reconcile'!B$2:O2488,14,FALSE)</f>
        <v/>
      </c>
      <c r="R645" s="472" t="str">
        <f t="array" ref="R645">IF($Q645, INDEX('Run Reconcile'!A$2:A2488,MATCH(B645,'Run Reconcile'!B$2:B2488,0),1),IFERROR(0/0,""))</f>
        <v/>
      </c>
      <c r="S645" s="473" t="str">
        <f t="shared" si="694"/>
        <v/>
      </c>
      <c r="T645" s="473" t="str">
        <f t="shared" si="698"/>
        <v/>
      </c>
      <c r="U645" s="275" t="str">
        <f t="array" ref="U645">IF(ISBLANK($R645), INDEX('Run Reconcile'!A$2:A2488, MATCH($B645, 'Run Reconcile'!B$2:B2488, 0)+Z645, 1), IFERROR(0/0,""))
</f>
        <v>RUN-FLMP_2022-02-03_RFR-079</v>
      </c>
      <c r="V645" s="474" t="str">
        <f t="shared" si="5"/>
        <v>RUN-FLMP_2022-02-03_RFR-079</v>
      </c>
      <c r="Y645" s="89" t="str">
        <f t="shared" si="867"/>
        <v/>
      </c>
      <c r="Z645" s="60" t="str">
        <f t="shared" si="7"/>
        <v/>
      </c>
      <c r="AA645" s="60" t="str">
        <f t="shared" si="8"/>
        <v/>
      </c>
      <c r="AB645" s="60" t="str">
        <f t="shared" si="9"/>
        <v/>
      </c>
      <c r="AC645" s="30" t="str">
        <f t="shared" ref="AC645:AD645" si="1001">IF(_xlfn.ISFORMULA(S645),IFERROR(0/0,""),TRUE)</f>
        <v/>
      </c>
      <c r="AD645" s="30" t="str">
        <f t="shared" si="1001"/>
        <v/>
      </c>
      <c r="AE645" s="475" t="str">
        <f>IFERROR(__xludf.DUMMYFUNCTION("""COMPUTED_VALUE"""),"CRLN")</f>
        <v>CRLN</v>
      </c>
      <c r="AF645" s="476"/>
      <c r="AG645" s="474" t="s">
        <v>175</v>
      </c>
      <c r="AH645" s="138" t="str">
        <f t="shared" si="11"/>
        <v/>
      </c>
    </row>
    <row r="646">
      <c r="A646" s="103" t="str">
        <f>IFERROR(__xludf.DUMMYFUNCTION("""COMPUTED_VALUE"""),"FLB5406")</f>
        <v>FLB5406</v>
      </c>
      <c r="B646" s="468">
        <f>IFERROR(__xludf.DUMMYFUNCTION("""COMPUTED_VALUE"""),44595.0)</f>
        <v>44595</v>
      </c>
      <c r="C646" s="469">
        <f>IFERROR(__xludf.DUMMYFUNCTION("""COMPUTED_VALUE"""),0.3227777777777778)</f>
        <v>0.3227777778</v>
      </c>
      <c r="D646" s="103" t="str">
        <f>IFERROR(__xludf.DUMMYFUNCTION("""COMPUTED_VALUE"""),"SpFLMP170622")</f>
        <v>SpFLMP170622</v>
      </c>
      <c r="E646" s="103"/>
      <c r="F646" s="103"/>
      <c r="G646" s="103" t="str">
        <f>IFERROR(__xludf.DUMMYFUNCTION("""COMPUTED_VALUE"""),"Negative")</f>
        <v>Negative</v>
      </c>
      <c r="H646" s="131" t="str">
        <f>IFERROR(__xludf.DUMMYFUNCTION("""COMPUTED_VALUE"""),"Negative")</f>
        <v>Negative</v>
      </c>
      <c r="I646" s="468">
        <f>IFERROR(__xludf.DUMMYFUNCTION("""COMPUTED_VALUE"""),44595.0)</f>
        <v>44595</v>
      </c>
      <c r="J646" s="470">
        <f>IFERROR(__xludf.DUMMYFUNCTION("""COMPUTED_VALUE"""),0.44092592592592594)</f>
        <v>0.4409259259</v>
      </c>
      <c r="K646" s="16"/>
      <c r="L646" s="8"/>
      <c r="M646" s="69"/>
      <c r="N646" s="69">
        <f>IFERROR(__xludf.DUMMYFUNCTION("""COMPUTED_VALUE"""),4.0)</f>
        <v>4</v>
      </c>
      <c r="O646" s="69" t="str">
        <f t="shared" si="3"/>
        <v/>
      </c>
      <c r="P646" s="471">
        <f>IFERROR(__xludf.DUMMYFUNCTION("""COMPUTED_VALUE"""),0.0)</f>
        <v>0</v>
      </c>
      <c r="Q646" s="274" t="str">
        <f>VLOOKUP($B646,'Run Reconcile'!B$2:O2488,14,FALSE)</f>
        <v/>
      </c>
      <c r="R646" s="472" t="str">
        <f t="array" ref="R646">IF($Q646, INDEX('Run Reconcile'!A$2:A2488,MATCH(B646,'Run Reconcile'!B$2:B2488,0),1),IFERROR(0/0,""))</f>
        <v/>
      </c>
      <c r="S646" s="473" t="str">
        <f t="shared" si="694"/>
        <v/>
      </c>
      <c r="T646" s="473" t="str">
        <f t="shared" si="698"/>
        <v/>
      </c>
      <c r="U646" s="275" t="str">
        <f t="array" ref="U646">IF(ISBLANK($R646), INDEX('Run Reconcile'!A$2:A2488, MATCH($B646, 'Run Reconcile'!B$2:B2488, 0)+Z646, 1), IFERROR(0/0,""))
</f>
        <v>RUN-FLMP_2022-02-03_RFR-079</v>
      </c>
      <c r="V646" s="474" t="str">
        <f t="shared" si="5"/>
        <v>RUN-FLMP_2022-02-03_RFR-079</v>
      </c>
      <c r="Y646" s="89" t="str">
        <f t="shared" si="867"/>
        <v/>
      </c>
      <c r="Z646" s="60" t="str">
        <f t="shared" si="7"/>
        <v/>
      </c>
      <c r="AA646" s="60" t="str">
        <f t="shared" si="8"/>
        <v/>
      </c>
      <c r="AB646" s="60" t="str">
        <f t="shared" si="9"/>
        <v/>
      </c>
      <c r="AC646" s="30" t="str">
        <f t="shared" ref="AC646:AD646" si="1002">IF(_xlfn.ISFORMULA(S646),IFERROR(0/0,""),TRUE)</f>
        <v/>
      </c>
      <c r="AD646" s="30" t="str">
        <f t="shared" si="1002"/>
        <v/>
      </c>
      <c r="AE646" s="475" t="str">
        <f>IFERROR(__xludf.DUMMYFUNCTION("""COMPUTED_VALUE"""),"CRLN")</f>
        <v>CRLN</v>
      </c>
      <c r="AF646" s="476"/>
      <c r="AG646" s="474" t="s">
        <v>175</v>
      </c>
      <c r="AH646" s="138" t="str">
        <f t="shared" si="11"/>
        <v/>
      </c>
    </row>
    <row r="647">
      <c r="A647" s="103" t="str">
        <f>IFERROR(__xludf.DUMMYFUNCTION("""COMPUTED_VALUE"""),"FLB5888")</f>
        <v>FLB5888</v>
      </c>
      <c r="B647" s="468">
        <f>IFERROR(__xludf.DUMMYFUNCTION("""COMPUTED_VALUE"""),44595.0)</f>
        <v>44595</v>
      </c>
      <c r="C647" s="469">
        <f>IFERROR(__xludf.DUMMYFUNCTION("""COMPUTED_VALUE"""),0.3235763888888889)</f>
        <v>0.3235763889</v>
      </c>
      <c r="D647" s="103" t="str">
        <f>IFERROR(__xludf.DUMMYFUNCTION("""COMPUTED_VALUE"""),"SpFLMP170622")</f>
        <v>SpFLMP170622</v>
      </c>
      <c r="E647" s="103"/>
      <c r="F647" s="103"/>
      <c r="G647" s="103" t="str">
        <f>IFERROR(__xludf.DUMMYFUNCTION("""COMPUTED_VALUE"""),"Negative")</f>
        <v>Negative</v>
      </c>
      <c r="H647" s="131" t="str">
        <f>IFERROR(__xludf.DUMMYFUNCTION("""COMPUTED_VALUE"""),"Negative")</f>
        <v>Negative</v>
      </c>
      <c r="I647" s="468">
        <f>IFERROR(__xludf.DUMMYFUNCTION("""COMPUTED_VALUE"""),44595.0)</f>
        <v>44595</v>
      </c>
      <c r="J647" s="470">
        <f>IFERROR(__xludf.DUMMYFUNCTION("""COMPUTED_VALUE"""),0.44092592592592594)</f>
        <v>0.4409259259</v>
      </c>
      <c r="K647" s="16"/>
      <c r="L647" s="8"/>
      <c r="M647" s="69"/>
      <c r="N647" s="69">
        <f>IFERROR(__xludf.DUMMYFUNCTION("""COMPUTED_VALUE"""),4.0)</f>
        <v>4</v>
      </c>
      <c r="O647" s="69" t="str">
        <f t="shared" si="3"/>
        <v/>
      </c>
      <c r="P647" s="471">
        <f>IFERROR(__xludf.DUMMYFUNCTION("""COMPUTED_VALUE"""),0.0)</f>
        <v>0</v>
      </c>
      <c r="Q647" s="274" t="str">
        <f>VLOOKUP($B647,'Run Reconcile'!B$2:O2488,14,FALSE)</f>
        <v/>
      </c>
      <c r="R647" s="472" t="str">
        <f t="array" ref="R647">IF($Q647, INDEX('Run Reconcile'!A$2:A2488,MATCH(B647,'Run Reconcile'!B$2:B2488,0),1),IFERROR(0/0,""))</f>
        <v/>
      </c>
      <c r="S647" s="473" t="str">
        <f t="shared" si="694"/>
        <v/>
      </c>
      <c r="T647" s="473" t="str">
        <f t="shared" si="698"/>
        <v/>
      </c>
      <c r="U647" s="275" t="str">
        <f t="array" ref="U647">IF(ISBLANK($R647), INDEX('Run Reconcile'!A$2:A2488, MATCH($B647, 'Run Reconcile'!B$2:B2488, 0)+Z647, 1), IFERROR(0/0,""))
</f>
        <v>RUN-FLMP_2022-02-03_RFR-079</v>
      </c>
      <c r="V647" s="474" t="str">
        <f t="shared" si="5"/>
        <v>RUN-FLMP_2022-02-03_RFR-079</v>
      </c>
      <c r="Y647" s="89" t="str">
        <f t="shared" si="867"/>
        <v/>
      </c>
      <c r="Z647" s="60" t="str">
        <f t="shared" si="7"/>
        <v/>
      </c>
      <c r="AA647" s="60" t="str">
        <f t="shared" si="8"/>
        <v/>
      </c>
      <c r="AB647" s="60" t="str">
        <f t="shared" si="9"/>
        <v/>
      </c>
      <c r="AC647" s="30" t="str">
        <f t="shared" ref="AC647:AD647" si="1003">IF(_xlfn.ISFORMULA(S647),IFERROR(0/0,""),TRUE)</f>
        <v/>
      </c>
      <c r="AD647" s="30" t="str">
        <f t="shared" si="1003"/>
        <v/>
      </c>
      <c r="AE647" s="475" t="str">
        <f>IFERROR(__xludf.DUMMYFUNCTION("""COMPUTED_VALUE"""),"CRLN")</f>
        <v>CRLN</v>
      </c>
      <c r="AF647" s="476"/>
      <c r="AG647" s="474" t="s">
        <v>175</v>
      </c>
      <c r="AH647" s="138" t="str">
        <f t="shared" si="11"/>
        <v/>
      </c>
    </row>
    <row r="648">
      <c r="A648" s="103" t="str">
        <f>IFERROR(__xludf.DUMMYFUNCTION("""COMPUTED_VALUE"""),"FLB5853")</f>
        <v>FLB5853</v>
      </c>
      <c r="B648" s="468">
        <f>IFERROR(__xludf.DUMMYFUNCTION("""COMPUTED_VALUE"""),44595.0)</f>
        <v>44595</v>
      </c>
      <c r="C648" s="469">
        <f>IFERROR(__xludf.DUMMYFUNCTION("""COMPUTED_VALUE"""),0.3247800925925926)</f>
        <v>0.3247800926</v>
      </c>
      <c r="D648" s="103" t="str">
        <f>IFERROR(__xludf.DUMMYFUNCTION("""COMPUTED_VALUE"""),"SpFLMP228238")</f>
        <v>SpFLMP228238</v>
      </c>
      <c r="E648" s="103"/>
      <c r="F648" s="103"/>
      <c r="G648" s="103" t="str">
        <f>IFERROR(__xludf.DUMMYFUNCTION("""COMPUTED_VALUE"""),"Negative")</f>
        <v>Negative</v>
      </c>
      <c r="H648" s="131" t="str">
        <f>IFERROR(__xludf.DUMMYFUNCTION("""COMPUTED_VALUE"""),"Negative")</f>
        <v>Negative</v>
      </c>
      <c r="I648" s="468">
        <f>IFERROR(__xludf.DUMMYFUNCTION("""COMPUTED_VALUE"""),44595.0)</f>
        <v>44595</v>
      </c>
      <c r="J648" s="470">
        <f>IFERROR(__xludf.DUMMYFUNCTION("""COMPUTED_VALUE"""),0.44092592592592594)</f>
        <v>0.4409259259</v>
      </c>
      <c r="K648" s="16"/>
      <c r="L648" s="8"/>
      <c r="M648" s="69"/>
      <c r="N648" s="69">
        <f>IFERROR(__xludf.DUMMYFUNCTION("""COMPUTED_VALUE"""),3.0)</f>
        <v>3</v>
      </c>
      <c r="O648" s="69" t="str">
        <f t="shared" si="3"/>
        <v/>
      </c>
      <c r="P648" s="471">
        <f>IFERROR(__xludf.DUMMYFUNCTION("""COMPUTED_VALUE"""),0.0)</f>
        <v>0</v>
      </c>
      <c r="Q648" s="274" t="str">
        <f>VLOOKUP($B648,'Run Reconcile'!B$2:O2488,14,FALSE)</f>
        <v/>
      </c>
      <c r="R648" s="472" t="str">
        <f t="array" ref="R648">IF($Q648, INDEX('Run Reconcile'!A$2:A2488,MATCH(B648,'Run Reconcile'!B$2:B2488,0),1),IFERROR(0/0,""))</f>
        <v/>
      </c>
      <c r="S648" s="473" t="str">
        <f t="shared" si="694"/>
        <v/>
      </c>
      <c r="T648" s="473" t="str">
        <f t="shared" si="698"/>
        <v/>
      </c>
      <c r="U648" s="275" t="str">
        <f t="array" ref="U648">IF(ISBLANK($R648), INDEX('Run Reconcile'!A$2:A2488, MATCH($B648, 'Run Reconcile'!B$2:B2488, 0)+Z648, 1), IFERROR(0/0,""))
</f>
        <v>RUN-FLMP_2022-02-03_RFR-079</v>
      </c>
      <c r="V648" s="474" t="str">
        <f t="shared" si="5"/>
        <v>RUN-FLMP_2022-02-03_RFR-079</v>
      </c>
      <c r="Y648" s="89" t="str">
        <f t="shared" si="867"/>
        <v/>
      </c>
      <c r="Z648" s="60" t="str">
        <f t="shared" si="7"/>
        <v/>
      </c>
      <c r="AA648" s="60" t="str">
        <f t="shared" si="8"/>
        <v/>
      </c>
      <c r="AB648" s="60" t="str">
        <f t="shared" si="9"/>
        <v/>
      </c>
      <c r="AC648" s="30" t="str">
        <f t="shared" ref="AC648:AD648" si="1004">IF(_xlfn.ISFORMULA(S648),IFERROR(0/0,""),TRUE)</f>
        <v/>
      </c>
      <c r="AD648" s="30" t="str">
        <f t="shared" si="1004"/>
        <v/>
      </c>
      <c r="AE648" s="475" t="str">
        <f>IFERROR(__xludf.DUMMYFUNCTION("""COMPUTED_VALUE"""),"CRLN")</f>
        <v>CRLN</v>
      </c>
      <c r="AF648" s="476"/>
      <c r="AG648" s="474" t="s">
        <v>175</v>
      </c>
      <c r="AH648" s="138" t="str">
        <f t="shared" si="11"/>
        <v/>
      </c>
    </row>
    <row r="649">
      <c r="A649" s="103" t="str">
        <f>IFERROR(__xludf.DUMMYFUNCTION("""COMPUTED_VALUE"""),"FLB5804")</f>
        <v>FLB5804</v>
      </c>
      <c r="B649" s="468">
        <f>IFERROR(__xludf.DUMMYFUNCTION("""COMPUTED_VALUE"""),44595.0)</f>
        <v>44595</v>
      </c>
      <c r="C649" s="469">
        <f>IFERROR(__xludf.DUMMYFUNCTION("""COMPUTED_VALUE"""),0.32515046296296296)</f>
        <v>0.325150463</v>
      </c>
      <c r="D649" s="103" t="str">
        <f>IFERROR(__xludf.DUMMYFUNCTION("""COMPUTED_VALUE"""),"SpFLMP309785")</f>
        <v>SpFLMP309785</v>
      </c>
      <c r="E649" s="103"/>
      <c r="F649" s="103"/>
      <c r="G649" s="103" t="str">
        <f>IFERROR(__xludf.DUMMYFUNCTION("""COMPUTED_VALUE"""),"Negative")</f>
        <v>Negative</v>
      </c>
      <c r="H649" s="131" t="str">
        <f>IFERROR(__xludf.DUMMYFUNCTION("""COMPUTED_VALUE"""),"Negative")</f>
        <v>Negative</v>
      </c>
      <c r="I649" s="468">
        <f>IFERROR(__xludf.DUMMYFUNCTION("""COMPUTED_VALUE"""),44595.0)</f>
        <v>44595</v>
      </c>
      <c r="J649" s="470">
        <f>IFERROR(__xludf.DUMMYFUNCTION("""COMPUTED_VALUE"""),0.44092592592592594)</f>
        <v>0.4409259259</v>
      </c>
      <c r="K649" s="16"/>
      <c r="L649" s="8"/>
      <c r="M649" s="69"/>
      <c r="N649" s="69">
        <f>IFERROR(__xludf.DUMMYFUNCTION("""COMPUTED_VALUE"""),4.0)</f>
        <v>4</v>
      </c>
      <c r="O649" s="69" t="str">
        <f t="shared" si="3"/>
        <v/>
      </c>
      <c r="P649" s="471">
        <f>IFERROR(__xludf.DUMMYFUNCTION("""COMPUTED_VALUE"""),0.0)</f>
        <v>0</v>
      </c>
      <c r="Q649" s="274" t="str">
        <f>VLOOKUP($B649,'Run Reconcile'!B$2:O2488,14,FALSE)</f>
        <v/>
      </c>
      <c r="R649" s="472" t="str">
        <f t="array" ref="R649">IF($Q649, INDEX('Run Reconcile'!A$2:A2488,MATCH(B649,'Run Reconcile'!B$2:B2488,0),1),IFERROR(0/0,""))</f>
        <v/>
      </c>
      <c r="S649" s="473" t="str">
        <f t="shared" si="694"/>
        <v/>
      </c>
      <c r="T649" s="473" t="str">
        <f t="shared" si="698"/>
        <v/>
      </c>
      <c r="U649" s="275" t="str">
        <f t="array" ref="U649">IF(ISBLANK($R649), INDEX('Run Reconcile'!A$2:A2488, MATCH($B649, 'Run Reconcile'!B$2:B2488, 0)+Z649, 1), IFERROR(0/0,""))
</f>
        <v>RUN-FLMP_2022-02-03_RFR-079</v>
      </c>
      <c r="V649" s="474" t="str">
        <f t="shared" si="5"/>
        <v>RUN-FLMP_2022-02-03_RFR-079</v>
      </c>
      <c r="Y649" s="89" t="str">
        <f t="shared" si="867"/>
        <v/>
      </c>
      <c r="Z649" s="60" t="str">
        <f t="shared" si="7"/>
        <v/>
      </c>
      <c r="AA649" s="60" t="str">
        <f t="shared" si="8"/>
        <v/>
      </c>
      <c r="AB649" s="60" t="str">
        <f t="shared" si="9"/>
        <v/>
      </c>
      <c r="AC649" s="30" t="str">
        <f t="shared" ref="AC649:AD649" si="1005">IF(_xlfn.ISFORMULA(S649),IFERROR(0/0,""),TRUE)</f>
        <v/>
      </c>
      <c r="AD649" s="30" t="str">
        <f t="shared" si="1005"/>
        <v/>
      </c>
      <c r="AE649" s="475" t="str">
        <f>IFERROR(__xludf.DUMMYFUNCTION("""COMPUTED_VALUE"""),"CRLN")</f>
        <v>CRLN</v>
      </c>
      <c r="AF649" s="476"/>
      <c r="AG649" s="474" t="s">
        <v>175</v>
      </c>
      <c r="AH649" s="138" t="str">
        <f t="shared" si="11"/>
        <v/>
      </c>
    </row>
    <row r="650">
      <c r="A650" s="103" t="str">
        <f>IFERROR(__xludf.DUMMYFUNCTION("""COMPUTED_VALUE"""),"FLB5721")</f>
        <v>FLB5721</v>
      </c>
      <c r="B650" s="468">
        <f>IFERROR(__xludf.DUMMYFUNCTION("""COMPUTED_VALUE"""),44595.0)</f>
        <v>44595</v>
      </c>
      <c r="C650" s="469">
        <f>IFERROR(__xludf.DUMMYFUNCTION("""COMPUTED_VALUE"""),0.3251851851851852)</f>
        <v>0.3251851852</v>
      </c>
      <c r="D650" s="103" t="str">
        <f>IFERROR(__xludf.DUMMYFUNCTION("""COMPUTED_VALUE"""),"SpFLMP939619")</f>
        <v>SpFLMP939619</v>
      </c>
      <c r="E650" s="103"/>
      <c r="F650" s="103"/>
      <c r="G650" s="103" t="str">
        <f>IFERROR(__xludf.DUMMYFUNCTION("""COMPUTED_VALUE"""),"Negative")</f>
        <v>Negative</v>
      </c>
      <c r="H650" s="131" t="str">
        <f>IFERROR(__xludf.DUMMYFUNCTION("""COMPUTED_VALUE"""),"Negative")</f>
        <v>Negative</v>
      </c>
      <c r="I650" s="468">
        <f>IFERROR(__xludf.DUMMYFUNCTION("""COMPUTED_VALUE"""),44595.0)</f>
        <v>44595</v>
      </c>
      <c r="J650" s="470">
        <f>IFERROR(__xludf.DUMMYFUNCTION("""COMPUTED_VALUE"""),0.44092592592592594)</f>
        <v>0.4409259259</v>
      </c>
      <c r="K650" s="16"/>
      <c r="L650" s="8"/>
      <c r="M650" s="69"/>
      <c r="N650" s="69">
        <f>IFERROR(__xludf.DUMMYFUNCTION("""COMPUTED_VALUE"""),1.0)</f>
        <v>1</v>
      </c>
      <c r="O650" s="69" t="str">
        <f t="shared" si="3"/>
        <v/>
      </c>
      <c r="P650" s="471">
        <f>IFERROR(__xludf.DUMMYFUNCTION("""COMPUTED_VALUE"""),0.0)</f>
        <v>0</v>
      </c>
      <c r="Q650" s="274" t="str">
        <f>VLOOKUP($B650,'Run Reconcile'!B$2:O2488,14,FALSE)</f>
        <v/>
      </c>
      <c r="R650" s="472" t="str">
        <f t="array" ref="R650">IF($Q650, INDEX('Run Reconcile'!A$2:A2488,MATCH(B650,'Run Reconcile'!B$2:B2488,0),1),IFERROR(0/0,""))</f>
        <v/>
      </c>
      <c r="S650" s="473" t="str">
        <f t="shared" si="694"/>
        <v/>
      </c>
      <c r="T650" s="473" t="str">
        <f t="shared" si="698"/>
        <v/>
      </c>
      <c r="U650" s="275" t="str">
        <f t="array" ref="U650">IF(ISBLANK($R650), INDEX('Run Reconcile'!A$2:A2488, MATCH($B650, 'Run Reconcile'!B$2:B2488, 0)+Z650, 1), IFERROR(0/0,""))
</f>
        <v>RUN-FLMP_2022-02-03_RFR-079</v>
      </c>
      <c r="V650" s="474" t="str">
        <f t="shared" si="5"/>
        <v>RUN-FLMP_2022-02-03_RFR-079</v>
      </c>
      <c r="Y650" s="89" t="str">
        <f t="shared" si="867"/>
        <v/>
      </c>
      <c r="Z650" s="60" t="str">
        <f t="shared" si="7"/>
        <v/>
      </c>
      <c r="AA650" s="60" t="str">
        <f t="shared" si="8"/>
        <v/>
      </c>
      <c r="AB650" s="60" t="str">
        <f t="shared" si="9"/>
        <v/>
      </c>
      <c r="AC650" s="30" t="str">
        <f t="shared" ref="AC650:AD650" si="1006">IF(_xlfn.ISFORMULA(S650),IFERROR(0/0,""),TRUE)</f>
        <v/>
      </c>
      <c r="AD650" s="30" t="str">
        <f t="shared" si="1006"/>
        <v/>
      </c>
      <c r="AE650" s="475" t="str">
        <f>IFERROR(__xludf.DUMMYFUNCTION("""COMPUTED_VALUE"""),"CRLN")</f>
        <v>CRLN</v>
      </c>
      <c r="AF650" s="476"/>
      <c r="AG650" s="474" t="s">
        <v>175</v>
      </c>
      <c r="AH650" s="138" t="str">
        <f t="shared" si="11"/>
        <v/>
      </c>
    </row>
    <row r="651">
      <c r="A651" s="103" t="str">
        <f>IFERROR(__xludf.DUMMYFUNCTION("""COMPUTED_VALUE"""),"FLB5851")</f>
        <v>FLB5851</v>
      </c>
      <c r="B651" s="468">
        <f>IFERROR(__xludf.DUMMYFUNCTION("""COMPUTED_VALUE"""),44595.0)</f>
        <v>44595</v>
      </c>
      <c r="C651" s="469">
        <f>IFERROR(__xludf.DUMMYFUNCTION("""COMPUTED_VALUE"""),0.3278125)</f>
        <v>0.3278125</v>
      </c>
      <c r="D651" s="103" t="str">
        <f>IFERROR(__xludf.DUMMYFUNCTION("""COMPUTED_VALUE"""),"SpFLMP259015")</f>
        <v>SpFLMP259015</v>
      </c>
      <c r="E651" s="103"/>
      <c r="F651" s="103"/>
      <c r="G651" s="103" t="str">
        <f>IFERROR(__xludf.DUMMYFUNCTION("""COMPUTED_VALUE"""),"Negative")</f>
        <v>Negative</v>
      </c>
      <c r="H651" s="131" t="str">
        <f>IFERROR(__xludf.DUMMYFUNCTION("""COMPUTED_VALUE"""),"Negative")</f>
        <v>Negative</v>
      </c>
      <c r="I651" s="468">
        <f>IFERROR(__xludf.DUMMYFUNCTION("""COMPUTED_VALUE"""),44595.0)</f>
        <v>44595</v>
      </c>
      <c r="J651" s="470">
        <f>IFERROR(__xludf.DUMMYFUNCTION("""COMPUTED_VALUE"""),0.44092592592592594)</f>
        <v>0.4409259259</v>
      </c>
      <c r="K651" s="16"/>
      <c r="L651" s="8"/>
      <c r="M651" s="69"/>
      <c r="N651" s="69">
        <f>IFERROR(__xludf.DUMMYFUNCTION("""COMPUTED_VALUE"""),4.0)</f>
        <v>4</v>
      </c>
      <c r="O651" s="69" t="str">
        <f t="shared" si="3"/>
        <v/>
      </c>
      <c r="P651" s="471">
        <f>IFERROR(__xludf.DUMMYFUNCTION("""COMPUTED_VALUE"""),0.0)</f>
        <v>0</v>
      </c>
      <c r="Q651" s="274" t="str">
        <f>VLOOKUP($B651,'Run Reconcile'!B$2:O2488,14,FALSE)</f>
        <v/>
      </c>
      <c r="R651" s="472" t="str">
        <f t="array" ref="R651">IF($Q651, INDEX('Run Reconcile'!A$2:A2488,MATCH(B651,'Run Reconcile'!B$2:B2488,0),1),IFERROR(0/0,""))</f>
        <v/>
      </c>
      <c r="S651" s="473" t="str">
        <f t="shared" si="694"/>
        <v/>
      </c>
      <c r="T651" s="473" t="str">
        <f t="shared" si="698"/>
        <v/>
      </c>
      <c r="U651" s="275" t="str">
        <f t="array" ref="U651">IF(ISBLANK($R651), INDEX('Run Reconcile'!A$2:A2488, MATCH($B651, 'Run Reconcile'!B$2:B2488, 0)+Z651, 1), IFERROR(0/0,""))
</f>
        <v>RUN-FLMP_2022-02-03_RFR-079</v>
      </c>
      <c r="V651" s="474" t="str">
        <f t="shared" si="5"/>
        <v>RUN-FLMP_2022-02-03_RFR-079</v>
      </c>
      <c r="Y651" s="89" t="str">
        <f t="shared" si="867"/>
        <v/>
      </c>
      <c r="Z651" s="60" t="str">
        <f t="shared" si="7"/>
        <v/>
      </c>
      <c r="AA651" s="60" t="str">
        <f t="shared" si="8"/>
        <v/>
      </c>
      <c r="AB651" s="60" t="str">
        <f t="shared" si="9"/>
        <v/>
      </c>
      <c r="AC651" s="30" t="str">
        <f t="shared" ref="AC651:AD651" si="1007">IF(_xlfn.ISFORMULA(S651),IFERROR(0/0,""),TRUE)</f>
        <v/>
      </c>
      <c r="AD651" s="30" t="str">
        <f t="shared" si="1007"/>
        <v/>
      </c>
      <c r="AE651" s="475" t="str">
        <f>IFERROR(__xludf.DUMMYFUNCTION("""COMPUTED_VALUE"""),"CRLN")</f>
        <v>CRLN</v>
      </c>
      <c r="AF651" s="476"/>
      <c r="AG651" s="474" t="s">
        <v>175</v>
      </c>
      <c r="AH651" s="138" t="str">
        <f t="shared" si="11"/>
        <v/>
      </c>
    </row>
    <row r="652">
      <c r="A652" s="103" t="str">
        <f>IFERROR(__xludf.DUMMYFUNCTION("""COMPUTED_VALUE"""),"FLB5808")</f>
        <v>FLB5808</v>
      </c>
      <c r="B652" s="468">
        <f>IFERROR(__xludf.DUMMYFUNCTION("""COMPUTED_VALUE"""),44595.0)</f>
        <v>44595</v>
      </c>
      <c r="C652" s="469">
        <f>IFERROR(__xludf.DUMMYFUNCTION("""COMPUTED_VALUE"""),0.3281712962962963)</f>
        <v>0.3281712963</v>
      </c>
      <c r="D652" s="103" t="str">
        <f>IFERROR(__xludf.DUMMYFUNCTION("""COMPUTED_VALUE"""),"SpFLMP965392")</f>
        <v>SpFLMP965392</v>
      </c>
      <c r="E652" s="103"/>
      <c r="F652" s="103"/>
      <c r="G652" s="103" t="str">
        <f>IFERROR(__xludf.DUMMYFUNCTION("""COMPUTED_VALUE"""),"Negative")</f>
        <v>Negative</v>
      </c>
      <c r="H652" s="131" t="str">
        <f>IFERROR(__xludf.DUMMYFUNCTION("""COMPUTED_VALUE"""),"Negative")</f>
        <v>Negative</v>
      </c>
      <c r="I652" s="468">
        <f>IFERROR(__xludf.DUMMYFUNCTION("""COMPUTED_VALUE"""),44595.0)</f>
        <v>44595</v>
      </c>
      <c r="J652" s="470">
        <f>IFERROR(__xludf.DUMMYFUNCTION("""COMPUTED_VALUE"""),0.44092592592592594)</f>
        <v>0.4409259259</v>
      </c>
      <c r="K652" s="16"/>
      <c r="L652" s="8"/>
      <c r="M652" s="69"/>
      <c r="N652" s="69">
        <f>IFERROR(__xludf.DUMMYFUNCTION("""COMPUTED_VALUE"""),4.0)</f>
        <v>4</v>
      </c>
      <c r="O652" s="69" t="str">
        <f t="shared" si="3"/>
        <v/>
      </c>
      <c r="P652" s="471">
        <f>IFERROR(__xludf.DUMMYFUNCTION("""COMPUTED_VALUE"""),0.0)</f>
        <v>0</v>
      </c>
      <c r="Q652" s="274" t="str">
        <f>VLOOKUP($B652,'Run Reconcile'!B$2:O2488,14,FALSE)</f>
        <v/>
      </c>
      <c r="R652" s="472" t="str">
        <f t="array" ref="R652">IF($Q652, INDEX('Run Reconcile'!A$2:A2488,MATCH(B652,'Run Reconcile'!B$2:B2488,0),1),IFERROR(0/0,""))</f>
        <v/>
      </c>
      <c r="S652" s="473" t="str">
        <f t="shared" si="694"/>
        <v/>
      </c>
      <c r="T652" s="473" t="str">
        <f t="shared" si="698"/>
        <v/>
      </c>
      <c r="U652" s="275" t="str">
        <f t="array" ref="U652">IF(ISBLANK($R652), INDEX('Run Reconcile'!A$2:A2488, MATCH($B652, 'Run Reconcile'!B$2:B2488, 0)+Z652, 1), IFERROR(0/0,""))
</f>
        <v>RUN-FLMP_2022-02-03_RFR-079</v>
      </c>
      <c r="V652" s="474" t="str">
        <f t="shared" si="5"/>
        <v>RUN-FLMP_2022-02-03_RFR-079</v>
      </c>
      <c r="Y652" s="89" t="str">
        <f t="shared" si="867"/>
        <v/>
      </c>
      <c r="Z652" s="60" t="str">
        <f t="shared" si="7"/>
        <v/>
      </c>
      <c r="AA652" s="60" t="str">
        <f t="shared" si="8"/>
        <v/>
      </c>
      <c r="AB652" s="60" t="str">
        <f t="shared" si="9"/>
        <v/>
      </c>
      <c r="AC652" s="30" t="str">
        <f t="shared" ref="AC652:AD652" si="1008">IF(_xlfn.ISFORMULA(S652),IFERROR(0/0,""),TRUE)</f>
        <v/>
      </c>
      <c r="AD652" s="30" t="str">
        <f t="shared" si="1008"/>
        <v/>
      </c>
      <c r="AE652" s="475" t="str">
        <f>IFERROR(__xludf.DUMMYFUNCTION("""COMPUTED_VALUE"""),"CRLN")</f>
        <v>CRLN</v>
      </c>
      <c r="AF652" s="476"/>
      <c r="AG652" s="474" t="s">
        <v>175</v>
      </c>
      <c r="AH652" s="138" t="str">
        <f t="shared" si="11"/>
        <v/>
      </c>
    </row>
    <row r="653">
      <c r="A653" s="103" t="str">
        <f>IFERROR(__xludf.DUMMYFUNCTION("""COMPUTED_VALUE"""),"FLB5780")</f>
        <v>FLB5780</v>
      </c>
      <c r="B653" s="468">
        <f>IFERROR(__xludf.DUMMYFUNCTION("""COMPUTED_VALUE"""),44595.0)</f>
        <v>44595</v>
      </c>
      <c r="C653" s="469">
        <f>IFERROR(__xludf.DUMMYFUNCTION("""COMPUTED_VALUE"""),0.32840277777777777)</f>
        <v>0.3284027778</v>
      </c>
      <c r="D653" s="103" t="str">
        <f>IFERROR(__xludf.DUMMYFUNCTION("""COMPUTED_VALUE"""),"SpFLMP259015")</f>
        <v>SpFLMP259015</v>
      </c>
      <c r="E653" s="103"/>
      <c r="F653" s="103"/>
      <c r="G653" s="103" t="str">
        <f>IFERROR(__xludf.DUMMYFUNCTION("""COMPUTED_VALUE"""),"Negative")</f>
        <v>Negative</v>
      </c>
      <c r="H653" s="131" t="str">
        <f>IFERROR(__xludf.DUMMYFUNCTION("""COMPUTED_VALUE"""),"Negative")</f>
        <v>Negative</v>
      </c>
      <c r="I653" s="468">
        <f>IFERROR(__xludf.DUMMYFUNCTION("""COMPUTED_VALUE"""),44595.0)</f>
        <v>44595</v>
      </c>
      <c r="J653" s="470">
        <f>IFERROR(__xludf.DUMMYFUNCTION("""COMPUTED_VALUE"""),0.44092592592592594)</f>
        <v>0.4409259259</v>
      </c>
      <c r="K653" s="16"/>
      <c r="L653" s="8"/>
      <c r="M653" s="69"/>
      <c r="N653" s="69">
        <f>IFERROR(__xludf.DUMMYFUNCTION("""COMPUTED_VALUE"""),2.0)</f>
        <v>2</v>
      </c>
      <c r="O653" s="69" t="str">
        <f t="shared" si="3"/>
        <v/>
      </c>
      <c r="P653" s="471">
        <f>IFERROR(__xludf.DUMMYFUNCTION("""COMPUTED_VALUE"""),0.0)</f>
        <v>0</v>
      </c>
      <c r="Q653" s="274" t="str">
        <f>VLOOKUP($B653,'Run Reconcile'!B$2:O2488,14,FALSE)</f>
        <v/>
      </c>
      <c r="R653" s="472" t="str">
        <f t="array" ref="R653">IF($Q653, INDEX('Run Reconcile'!A$2:A2488,MATCH(B653,'Run Reconcile'!B$2:B2488,0),1),IFERROR(0/0,""))</f>
        <v/>
      </c>
      <c r="S653" s="473" t="str">
        <f t="shared" si="694"/>
        <v/>
      </c>
      <c r="T653" s="473" t="str">
        <f t="shared" si="698"/>
        <v/>
      </c>
      <c r="U653" s="275" t="str">
        <f t="array" ref="U653">IF(ISBLANK($R653), INDEX('Run Reconcile'!A$2:A2488, MATCH($B653, 'Run Reconcile'!B$2:B2488, 0)+Z653, 1), IFERROR(0/0,""))
</f>
        <v>RUN-FLMP_2022-02-03_RFR-079</v>
      </c>
      <c r="V653" s="474" t="str">
        <f t="shared" si="5"/>
        <v>RUN-FLMP_2022-02-03_RFR-079</v>
      </c>
      <c r="Y653" s="89" t="str">
        <f t="shared" si="867"/>
        <v/>
      </c>
      <c r="Z653" s="60" t="str">
        <f t="shared" si="7"/>
        <v/>
      </c>
      <c r="AA653" s="60" t="str">
        <f t="shared" si="8"/>
        <v/>
      </c>
      <c r="AB653" s="60" t="str">
        <f t="shared" si="9"/>
        <v/>
      </c>
      <c r="AC653" s="30" t="str">
        <f t="shared" ref="AC653:AD653" si="1009">IF(_xlfn.ISFORMULA(S653),IFERROR(0/0,""),TRUE)</f>
        <v/>
      </c>
      <c r="AD653" s="30" t="str">
        <f t="shared" si="1009"/>
        <v/>
      </c>
      <c r="AE653" s="475" t="str">
        <f>IFERROR(__xludf.DUMMYFUNCTION("""COMPUTED_VALUE"""),"CRLN")</f>
        <v>CRLN</v>
      </c>
      <c r="AF653" s="476"/>
      <c r="AG653" s="474" t="s">
        <v>175</v>
      </c>
      <c r="AH653" s="138" t="str">
        <f t="shared" si="11"/>
        <v/>
      </c>
    </row>
    <row r="654">
      <c r="A654" s="103" t="str">
        <f>IFERROR(__xludf.DUMMYFUNCTION("""COMPUTED_VALUE"""),"FLT1445")</f>
        <v>FLT1445</v>
      </c>
      <c r="B654" s="468">
        <f>IFERROR(__xludf.DUMMYFUNCTION("""COMPUTED_VALUE"""),44595.0)</f>
        <v>44595</v>
      </c>
      <c r="C654" s="469">
        <f>IFERROR(__xludf.DUMMYFUNCTION("""COMPUTED_VALUE"""),0.32905092592592594)</f>
        <v>0.3290509259</v>
      </c>
      <c r="D654" s="103" t="str">
        <f>IFERROR(__xludf.DUMMYFUNCTION("""COMPUTED_VALUE"""),"SpFLMP544731")</f>
        <v>SpFLMP544731</v>
      </c>
      <c r="E654" s="103"/>
      <c r="F654" s="103"/>
      <c r="G654" s="103" t="str">
        <f>IFERROR(__xludf.DUMMYFUNCTION("""COMPUTED_VALUE"""),"Negative")</f>
        <v>Negative</v>
      </c>
      <c r="H654" s="131" t="str">
        <f>IFERROR(__xludf.DUMMYFUNCTION("""COMPUTED_VALUE"""),"Negative")</f>
        <v>Negative</v>
      </c>
      <c r="I654" s="468">
        <f>IFERROR(__xludf.DUMMYFUNCTION("""COMPUTED_VALUE"""),44595.0)</f>
        <v>44595</v>
      </c>
      <c r="J654" s="470">
        <f>IFERROR(__xludf.DUMMYFUNCTION("""COMPUTED_VALUE"""),0.44092592592592594)</f>
        <v>0.4409259259</v>
      </c>
      <c r="K654" s="16"/>
      <c r="L654" s="8"/>
      <c r="M654" s="69"/>
      <c r="N654" s="69">
        <f>IFERROR(__xludf.DUMMYFUNCTION("""COMPUTED_VALUE"""),1.0)</f>
        <v>1</v>
      </c>
      <c r="O654" s="69" t="str">
        <f t="shared" si="3"/>
        <v/>
      </c>
      <c r="P654" s="471">
        <f>IFERROR(__xludf.DUMMYFUNCTION("""COMPUTED_VALUE"""),0.0)</f>
        <v>0</v>
      </c>
      <c r="Q654" s="274" t="str">
        <f>VLOOKUP($B654,'Run Reconcile'!B$2:O2488,14,FALSE)</f>
        <v/>
      </c>
      <c r="R654" s="472" t="str">
        <f t="array" ref="R654">IF($Q654, INDEX('Run Reconcile'!A$2:A2488,MATCH(B654,'Run Reconcile'!B$2:B2488,0),1),IFERROR(0/0,""))</f>
        <v/>
      </c>
      <c r="S654" s="473" t="str">
        <f t="shared" si="694"/>
        <v/>
      </c>
      <c r="T654" s="473" t="str">
        <f t="shared" si="698"/>
        <v/>
      </c>
      <c r="U654" s="275" t="str">
        <f t="array" ref="U654">IF(ISBLANK($R654), INDEX('Run Reconcile'!A$2:A2488, MATCH($B654, 'Run Reconcile'!B$2:B2488, 0)+Z654, 1), IFERROR(0/0,""))
</f>
        <v>RUN-FLMP_2022-02-03_RFR-079</v>
      </c>
      <c r="V654" s="474" t="str">
        <f t="shared" si="5"/>
        <v>RUN-FLMP_2022-02-03_RFR-079</v>
      </c>
      <c r="Y654" s="89" t="str">
        <f t="shared" si="867"/>
        <v/>
      </c>
      <c r="Z654" s="60" t="str">
        <f t="shared" si="7"/>
        <v/>
      </c>
      <c r="AA654" s="60" t="str">
        <f t="shared" si="8"/>
        <v/>
      </c>
      <c r="AB654" s="60" t="str">
        <f t="shared" si="9"/>
        <v/>
      </c>
      <c r="AC654" s="30" t="str">
        <f t="shared" ref="AC654:AD654" si="1010">IF(_xlfn.ISFORMULA(S654),IFERROR(0/0,""),TRUE)</f>
        <v/>
      </c>
      <c r="AD654" s="30" t="str">
        <f t="shared" si="1010"/>
        <v/>
      </c>
      <c r="AE654" s="475" t="str">
        <f>IFERROR(__xludf.DUMMYFUNCTION("""COMPUTED_VALUE"""),"CRLN")</f>
        <v>CRLN</v>
      </c>
      <c r="AF654" s="476"/>
      <c r="AG654" s="474" t="s">
        <v>175</v>
      </c>
      <c r="AH654" s="138" t="str">
        <f t="shared" si="11"/>
        <v/>
      </c>
    </row>
    <row r="655">
      <c r="A655" s="103" t="str">
        <f>IFERROR(__xludf.DUMMYFUNCTION("""COMPUTED_VALUE"""),"FLB7412")</f>
        <v>FLB7412</v>
      </c>
      <c r="B655" s="468">
        <f>IFERROR(__xludf.DUMMYFUNCTION("""COMPUTED_VALUE"""),44595.0)</f>
        <v>44595</v>
      </c>
      <c r="C655" s="469">
        <f>IFERROR(__xludf.DUMMYFUNCTION("""COMPUTED_VALUE"""),0.3292939814814815)</f>
        <v>0.3292939815</v>
      </c>
      <c r="D655" s="103" t="str">
        <f>IFERROR(__xludf.DUMMYFUNCTION("""COMPUTED_VALUE"""),"SpFLMP314549")</f>
        <v>SpFLMP314549</v>
      </c>
      <c r="E655" s="103"/>
      <c r="F655" s="103"/>
      <c r="G655" s="103" t="str">
        <f>IFERROR(__xludf.DUMMYFUNCTION("""COMPUTED_VALUE"""),"Negative")</f>
        <v>Negative</v>
      </c>
      <c r="H655" s="131" t="str">
        <f>IFERROR(__xludf.DUMMYFUNCTION("""COMPUTED_VALUE"""),"Negative")</f>
        <v>Negative</v>
      </c>
      <c r="I655" s="468">
        <f>IFERROR(__xludf.DUMMYFUNCTION("""COMPUTED_VALUE"""),44595.0)</f>
        <v>44595</v>
      </c>
      <c r="J655" s="470">
        <f>IFERROR(__xludf.DUMMYFUNCTION("""COMPUTED_VALUE"""),0.44092592592592594)</f>
        <v>0.4409259259</v>
      </c>
      <c r="K655" s="16"/>
      <c r="L655" s="8"/>
      <c r="M655" s="69"/>
      <c r="N655" s="69">
        <f>IFERROR(__xludf.DUMMYFUNCTION("""COMPUTED_VALUE"""),1.0)</f>
        <v>1</v>
      </c>
      <c r="O655" s="69" t="str">
        <f t="shared" si="3"/>
        <v/>
      </c>
      <c r="P655" s="471">
        <f>IFERROR(__xludf.DUMMYFUNCTION("""COMPUTED_VALUE"""),0.0)</f>
        <v>0</v>
      </c>
      <c r="Q655" s="274" t="str">
        <f>VLOOKUP($B655,'Run Reconcile'!B$2:O2488,14,FALSE)</f>
        <v/>
      </c>
      <c r="R655" s="472" t="str">
        <f t="array" ref="R655">IF($Q655, INDEX('Run Reconcile'!A$2:A2488,MATCH(B655,'Run Reconcile'!B$2:B2488,0),1),IFERROR(0/0,""))</f>
        <v/>
      </c>
      <c r="S655" s="473" t="str">
        <f t="shared" si="694"/>
        <v/>
      </c>
      <c r="T655" s="473" t="str">
        <f t="shared" si="698"/>
        <v/>
      </c>
      <c r="U655" s="275" t="str">
        <f t="array" ref="U655">IF(ISBLANK($R655), INDEX('Run Reconcile'!A$2:A2488, MATCH($B655, 'Run Reconcile'!B$2:B2488, 0)+Z655, 1), IFERROR(0/0,""))
</f>
        <v>RUN-FLMP_2022-02-03_RFR-079</v>
      </c>
      <c r="V655" s="474" t="str">
        <f t="shared" si="5"/>
        <v>RUN-FLMP_2022-02-03_RFR-079</v>
      </c>
      <c r="Y655" s="89" t="str">
        <f t="shared" si="867"/>
        <v/>
      </c>
      <c r="Z655" s="60" t="str">
        <f t="shared" si="7"/>
        <v/>
      </c>
      <c r="AA655" s="60" t="str">
        <f t="shared" si="8"/>
        <v/>
      </c>
      <c r="AB655" s="60" t="str">
        <f t="shared" si="9"/>
        <v/>
      </c>
      <c r="AC655" s="30" t="str">
        <f t="shared" ref="AC655:AD655" si="1011">IF(_xlfn.ISFORMULA(S655),IFERROR(0/0,""),TRUE)</f>
        <v/>
      </c>
      <c r="AD655" s="30" t="str">
        <f t="shared" si="1011"/>
        <v/>
      </c>
      <c r="AE655" s="475" t="str">
        <f>IFERROR(__xludf.DUMMYFUNCTION("""COMPUTED_VALUE"""),"CRLN")</f>
        <v>CRLN</v>
      </c>
      <c r="AF655" s="476"/>
      <c r="AG655" s="474" t="s">
        <v>175</v>
      </c>
      <c r="AH655" s="138" t="str">
        <f t="shared" si="11"/>
        <v/>
      </c>
    </row>
    <row r="656">
      <c r="A656" s="103" t="str">
        <f>IFERROR(__xludf.DUMMYFUNCTION("""COMPUTED_VALUE"""),"FLT1170")</f>
        <v>FLT1170</v>
      </c>
      <c r="B656" s="468">
        <f>IFERROR(__xludf.DUMMYFUNCTION("""COMPUTED_VALUE"""),44595.0)</f>
        <v>44595</v>
      </c>
      <c r="C656" s="469">
        <f>IFERROR(__xludf.DUMMYFUNCTION("""COMPUTED_VALUE"""),0.3310648148148148)</f>
        <v>0.3310648148</v>
      </c>
      <c r="D656" s="103" t="str">
        <f>IFERROR(__xludf.DUMMYFUNCTION("""COMPUTED_VALUE"""),"SpFLMP904576")</f>
        <v>SpFLMP904576</v>
      </c>
      <c r="E656" s="103"/>
      <c r="F656" s="103"/>
      <c r="G656" s="103" t="str">
        <f>IFERROR(__xludf.DUMMYFUNCTION("""COMPUTED_VALUE"""),"Negative")</f>
        <v>Negative</v>
      </c>
      <c r="H656" s="131" t="str">
        <f>IFERROR(__xludf.DUMMYFUNCTION("""COMPUTED_VALUE"""),"Negative")</f>
        <v>Negative</v>
      </c>
      <c r="I656" s="468">
        <f>IFERROR(__xludf.DUMMYFUNCTION("""COMPUTED_VALUE"""),44595.0)</f>
        <v>44595</v>
      </c>
      <c r="J656" s="470">
        <f>IFERROR(__xludf.DUMMYFUNCTION("""COMPUTED_VALUE"""),0.44092592592592594)</f>
        <v>0.4409259259</v>
      </c>
      <c r="K656" s="16"/>
      <c r="L656" s="8"/>
      <c r="M656" s="69"/>
      <c r="N656" s="69">
        <f>IFERROR(__xludf.DUMMYFUNCTION("""COMPUTED_VALUE"""),3.0)</f>
        <v>3</v>
      </c>
      <c r="O656" s="69" t="str">
        <f t="shared" si="3"/>
        <v/>
      </c>
      <c r="P656" s="471">
        <f>IFERROR(__xludf.DUMMYFUNCTION("""COMPUTED_VALUE"""),0.0)</f>
        <v>0</v>
      </c>
      <c r="Q656" s="274" t="str">
        <f>VLOOKUP($B656,'Run Reconcile'!B$2:O2488,14,FALSE)</f>
        <v/>
      </c>
      <c r="R656" s="472" t="str">
        <f t="array" ref="R656">IF($Q656, INDEX('Run Reconcile'!A$2:A2488,MATCH(B656,'Run Reconcile'!B$2:B2488,0),1),IFERROR(0/0,""))</f>
        <v/>
      </c>
      <c r="S656" s="473" t="str">
        <f t="shared" si="694"/>
        <v/>
      </c>
      <c r="T656" s="473" t="str">
        <f t="shared" si="698"/>
        <v/>
      </c>
      <c r="U656" s="275" t="str">
        <f t="array" ref="U656">IF(ISBLANK($R656), INDEX('Run Reconcile'!A$2:A2488, MATCH($B656, 'Run Reconcile'!B$2:B2488, 0)+Z656, 1), IFERROR(0/0,""))
</f>
        <v>RUN-FLMP_2022-02-03_RFR-079</v>
      </c>
      <c r="V656" s="474" t="str">
        <f t="shared" si="5"/>
        <v>RUN-FLMP_2022-02-03_RFR-079</v>
      </c>
      <c r="Y656" s="89" t="str">
        <f t="shared" si="867"/>
        <v/>
      </c>
      <c r="Z656" s="60" t="str">
        <f t="shared" si="7"/>
        <v/>
      </c>
      <c r="AA656" s="60" t="str">
        <f t="shared" si="8"/>
        <v/>
      </c>
      <c r="AB656" s="60" t="str">
        <f t="shared" si="9"/>
        <v/>
      </c>
      <c r="AC656" s="30" t="str">
        <f t="shared" ref="AC656:AD656" si="1012">IF(_xlfn.ISFORMULA(S656),IFERROR(0/0,""),TRUE)</f>
        <v/>
      </c>
      <c r="AD656" s="30" t="str">
        <f t="shared" si="1012"/>
        <v/>
      </c>
      <c r="AE656" s="475" t="str">
        <f>IFERROR(__xludf.DUMMYFUNCTION("""COMPUTED_VALUE"""),"CRLN")</f>
        <v>CRLN</v>
      </c>
      <c r="AF656" s="476"/>
      <c r="AG656" s="474" t="s">
        <v>175</v>
      </c>
      <c r="AH656" s="138" t="str">
        <f t="shared" si="11"/>
        <v/>
      </c>
    </row>
    <row r="657">
      <c r="A657" s="103" t="str">
        <f>IFERROR(__xludf.DUMMYFUNCTION("""COMPUTED_VALUE"""),"FLE310")</f>
        <v>FLE310</v>
      </c>
      <c r="B657" s="468">
        <f>IFERROR(__xludf.DUMMYFUNCTION("""COMPUTED_VALUE"""),44595.0)</f>
        <v>44595</v>
      </c>
      <c r="C657" s="469">
        <f>IFERROR(__xludf.DUMMYFUNCTION("""COMPUTED_VALUE"""),0.3323263888888889)</f>
        <v>0.3323263889</v>
      </c>
      <c r="D657" s="103" t="str">
        <f>IFERROR(__xludf.DUMMYFUNCTION("""COMPUTED_VALUE"""),"SpFLMP684798")</f>
        <v>SpFLMP684798</v>
      </c>
      <c r="E657" s="103"/>
      <c r="F657" s="103"/>
      <c r="G657" s="103" t="str">
        <f>IFERROR(__xludf.DUMMYFUNCTION("""COMPUTED_VALUE"""),"Negative")</f>
        <v>Negative</v>
      </c>
      <c r="H657" s="131" t="str">
        <f>IFERROR(__xludf.DUMMYFUNCTION("""COMPUTED_VALUE"""),"Negative")</f>
        <v>Negative</v>
      </c>
      <c r="I657" s="468">
        <f>IFERROR(__xludf.DUMMYFUNCTION("""COMPUTED_VALUE"""),44595.0)</f>
        <v>44595</v>
      </c>
      <c r="J657" s="470">
        <f>IFERROR(__xludf.DUMMYFUNCTION("""COMPUTED_VALUE"""),0.44092592592592594)</f>
        <v>0.4409259259</v>
      </c>
      <c r="K657" s="16"/>
      <c r="L657" s="8"/>
      <c r="M657" s="69"/>
      <c r="N657" s="69">
        <f>IFERROR(__xludf.DUMMYFUNCTION("""COMPUTED_VALUE"""),4.0)</f>
        <v>4</v>
      </c>
      <c r="O657" s="69" t="str">
        <f t="shared" si="3"/>
        <v/>
      </c>
      <c r="P657" s="471">
        <f>IFERROR(__xludf.DUMMYFUNCTION("""COMPUTED_VALUE"""),0.0)</f>
        <v>0</v>
      </c>
      <c r="Q657" s="274" t="str">
        <f>VLOOKUP($B657,'Run Reconcile'!B$2:O2488,14,FALSE)</f>
        <v/>
      </c>
      <c r="R657" s="472" t="str">
        <f t="array" ref="R657">IF($Q657, INDEX('Run Reconcile'!A$2:A2488,MATCH(B657,'Run Reconcile'!B$2:B2488,0),1),IFERROR(0/0,""))</f>
        <v/>
      </c>
      <c r="S657" s="473" t="str">
        <f t="shared" si="694"/>
        <v/>
      </c>
      <c r="T657" s="473" t="str">
        <f t="shared" si="698"/>
        <v/>
      </c>
      <c r="U657" s="275" t="str">
        <f t="array" ref="U657">IF(ISBLANK($R657), INDEX('Run Reconcile'!A$2:A2488, MATCH($B657, 'Run Reconcile'!B$2:B2488, 0)+Z657, 1), IFERROR(0/0,""))
</f>
        <v>RUN-FLMP_2022-02-03_RFR-079</v>
      </c>
      <c r="V657" s="474" t="str">
        <f t="shared" si="5"/>
        <v>RUN-FLMP_2022-02-03_RFR-079</v>
      </c>
      <c r="Y657" s="89" t="str">
        <f t="shared" si="867"/>
        <v/>
      </c>
      <c r="Z657" s="60" t="str">
        <f t="shared" si="7"/>
        <v/>
      </c>
      <c r="AA657" s="60" t="str">
        <f t="shared" si="8"/>
        <v/>
      </c>
      <c r="AB657" s="60" t="str">
        <f t="shared" si="9"/>
        <v/>
      </c>
      <c r="AC657" s="30" t="str">
        <f t="shared" ref="AC657:AD657" si="1013">IF(_xlfn.ISFORMULA(S657),IFERROR(0/0,""),TRUE)</f>
        <v/>
      </c>
      <c r="AD657" s="30" t="str">
        <f t="shared" si="1013"/>
        <v/>
      </c>
      <c r="AE657" s="475" t="str">
        <f>IFERROR(__xludf.DUMMYFUNCTION("""COMPUTED_VALUE"""),"CRLN")</f>
        <v>CRLN</v>
      </c>
      <c r="AF657" s="476"/>
      <c r="AG657" s="474" t="s">
        <v>175</v>
      </c>
      <c r="AH657" s="138" t="str">
        <f t="shared" si="11"/>
        <v/>
      </c>
    </row>
    <row r="658">
      <c r="A658" s="103" t="str">
        <f>IFERROR(__xludf.DUMMYFUNCTION("""COMPUTED_VALUE"""),"FLB7184")</f>
        <v>FLB7184</v>
      </c>
      <c r="B658" s="468">
        <f>IFERROR(__xludf.DUMMYFUNCTION("""COMPUTED_VALUE"""),44595.0)</f>
        <v>44595</v>
      </c>
      <c r="C658" s="469">
        <f>IFERROR(__xludf.DUMMYFUNCTION("""COMPUTED_VALUE"""),0.33695601851851853)</f>
        <v>0.3369560185</v>
      </c>
      <c r="D658" s="103" t="str">
        <f>IFERROR(__xludf.DUMMYFUNCTION("""COMPUTED_VALUE"""),"SpFLMP777132")</f>
        <v>SpFLMP777132</v>
      </c>
      <c r="E658" s="103"/>
      <c r="F658" s="103"/>
      <c r="G658" s="103" t="str">
        <f>IFERROR(__xludf.DUMMYFUNCTION("""COMPUTED_VALUE"""),"Negative")</f>
        <v>Negative</v>
      </c>
      <c r="H658" s="131" t="str">
        <f>IFERROR(__xludf.DUMMYFUNCTION("""COMPUTED_VALUE"""),"Negative")</f>
        <v>Negative</v>
      </c>
      <c r="I658" s="468">
        <f>IFERROR(__xludf.DUMMYFUNCTION("""COMPUTED_VALUE"""),44595.0)</f>
        <v>44595</v>
      </c>
      <c r="J658" s="470">
        <f>IFERROR(__xludf.DUMMYFUNCTION("""COMPUTED_VALUE"""),0.44092592592592594)</f>
        <v>0.4409259259</v>
      </c>
      <c r="K658" s="16"/>
      <c r="L658" s="8"/>
      <c r="M658" s="69"/>
      <c r="N658" s="69">
        <f>IFERROR(__xludf.DUMMYFUNCTION("""COMPUTED_VALUE"""),4.0)</f>
        <v>4</v>
      </c>
      <c r="O658" s="69" t="str">
        <f t="shared" si="3"/>
        <v/>
      </c>
      <c r="P658" s="471">
        <f>IFERROR(__xludf.DUMMYFUNCTION("""COMPUTED_VALUE"""),0.0)</f>
        <v>0</v>
      </c>
      <c r="Q658" s="274" t="str">
        <f>VLOOKUP($B658,'Run Reconcile'!B$2:O2488,14,FALSE)</f>
        <v/>
      </c>
      <c r="R658" s="472" t="str">
        <f t="array" ref="R658">IF($Q658, INDEX('Run Reconcile'!A$2:A2488,MATCH(B658,'Run Reconcile'!B$2:B2488,0),1),IFERROR(0/0,""))</f>
        <v/>
      </c>
      <c r="S658" s="473" t="str">
        <f t="shared" si="694"/>
        <v/>
      </c>
      <c r="T658" s="473" t="str">
        <f t="shared" si="698"/>
        <v/>
      </c>
      <c r="U658" s="275" t="str">
        <f t="array" ref="U658">IF(ISBLANK($R658), INDEX('Run Reconcile'!A$2:A2488, MATCH($B658, 'Run Reconcile'!B$2:B2488, 0)+Z658, 1), IFERROR(0/0,""))
</f>
        <v>RUN-FLMP_2022-02-03_RFR-079</v>
      </c>
      <c r="V658" s="474" t="str">
        <f t="shared" si="5"/>
        <v>RUN-FLMP_2022-02-03_RFR-079</v>
      </c>
      <c r="Y658" s="89" t="str">
        <f t="shared" si="867"/>
        <v/>
      </c>
      <c r="Z658" s="60" t="str">
        <f t="shared" si="7"/>
        <v/>
      </c>
      <c r="AA658" s="60" t="str">
        <f t="shared" si="8"/>
        <v/>
      </c>
      <c r="AB658" s="60" t="str">
        <f t="shared" si="9"/>
        <v/>
      </c>
      <c r="AC658" s="30" t="str">
        <f t="shared" ref="AC658:AD658" si="1014">IF(_xlfn.ISFORMULA(S658),IFERROR(0/0,""),TRUE)</f>
        <v/>
      </c>
      <c r="AD658" s="30" t="str">
        <f t="shared" si="1014"/>
        <v/>
      </c>
      <c r="AE658" s="475" t="str">
        <f>IFERROR(__xludf.DUMMYFUNCTION("""COMPUTED_VALUE"""),"CRLN")</f>
        <v>CRLN</v>
      </c>
      <c r="AF658" s="476"/>
      <c r="AG658" s="474" t="s">
        <v>175</v>
      </c>
      <c r="AH658" s="138" t="str">
        <f t="shared" si="11"/>
        <v/>
      </c>
    </row>
    <row r="659">
      <c r="A659" s="103" t="str">
        <f>IFERROR(__xludf.DUMMYFUNCTION("""COMPUTED_VALUE"""),"FLB5864")</f>
        <v>FLB5864</v>
      </c>
      <c r="B659" s="468">
        <f>IFERROR(__xludf.DUMMYFUNCTION("""COMPUTED_VALUE"""),44595.0)</f>
        <v>44595</v>
      </c>
      <c r="C659" s="469">
        <f>IFERROR(__xludf.DUMMYFUNCTION("""COMPUTED_VALUE"""),0.34296296296296297)</f>
        <v>0.342962963</v>
      </c>
      <c r="D659" s="103" t="str">
        <f>IFERROR(__xludf.DUMMYFUNCTION("""COMPUTED_VALUE"""),"SpFLMP685536")</f>
        <v>SpFLMP685536</v>
      </c>
      <c r="E659" s="103"/>
      <c r="F659" s="103"/>
      <c r="G659" s="103" t="str">
        <f>IFERROR(__xludf.DUMMYFUNCTION("""COMPUTED_VALUE"""),"Negative")</f>
        <v>Negative</v>
      </c>
      <c r="H659" s="131" t="str">
        <f>IFERROR(__xludf.DUMMYFUNCTION("""COMPUTED_VALUE"""),"Negative")</f>
        <v>Negative</v>
      </c>
      <c r="I659" s="468">
        <f>IFERROR(__xludf.DUMMYFUNCTION("""COMPUTED_VALUE"""),44595.0)</f>
        <v>44595</v>
      </c>
      <c r="J659" s="470">
        <f>IFERROR(__xludf.DUMMYFUNCTION("""COMPUTED_VALUE"""),0.44092592592592594)</f>
        <v>0.4409259259</v>
      </c>
      <c r="K659" s="16"/>
      <c r="L659" s="8"/>
      <c r="M659" s="69"/>
      <c r="N659" s="69">
        <f>IFERROR(__xludf.DUMMYFUNCTION("""COMPUTED_VALUE"""),3.0)</f>
        <v>3</v>
      </c>
      <c r="O659" s="69" t="str">
        <f t="shared" si="3"/>
        <v/>
      </c>
      <c r="P659" s="471">
        <f>IFERROR(__xludf.DUMMYFUNCTION("""COMPUTED_VALUE"""),0.0)</f>
        <v>0</v>
      </c>
      <c r="Q659" s="274" t="str">
        <f>VLOOKUP($B659,'Run Reconcile'!B$2:O2488,14,FALSE)</f>
        <v/>
      </c>
      <c r="R659" s="472" t="str">
        <f t="array" ref="R659">IF($Q659, INDEX('Run Reconcile'!A$2:A2488,MATCH(B659,'Run Reconcile'!B$2:B2488,0),1),IFERROR(0/0,""))</f>
        <v/>
      </c>
      <c r="S659" s="473" t="str">
        <f t="shared" si="694"/>
        <v/>
      </c>
      <c r="T659" s="473" t="str">
        <f t="shared" si="698"/>
        <v/>
      </c>
      <c r="U659" s="275" t="str">
        <f t="array" ref="U659">IF(ISBLANK($R659), INDEX('Run Reconcile'!A$2:A2488, MATCH($B659, 'Run Reconcile'!B$2:B2488, 0)+Z659, 1), IFERROR(0/0,""))
</f>
        <v>RUN-FLMP_2022-02-03_RFR-079</v>
      </c>
      <c r="V659" s="474" t="str">
        <f t="shared" si="5"/>
        <v>RUN-FLMP_2022-02-03_RFR-079</v>
      </c>
      <c r="Y659" s="89" t="str">
        <f t="shared" si="867"/>
        <v/>
      </c>
      <c r="Z659" s="60" t="str">
        <f t="shared" si="7"/>
        <v/>
      </c>
      <c r="AA659" s="60" t="str">
        <f t="shared" si="8"/>
        <v/>
      </c>
      <c r="AB659" s="60" t="str">
        <f t="shared" si="9"/>
        <v/>
      </c>
      <c r="AC659" s="30" t="str">
        <f t="shared" ref="AC659:AD659" si="1015">IF(_xlfn.ISFORMULA(S659),IFERROR(0/0,""),TRUE)</f>
        <v/>
      </c>
      <c r="AD659" s="30" t="str">
        <f t="shared" si="1015"/>
        <v/>
      </c>
      <c r="AE659" s="475" t="str">
        <f>IFERROR(__xludf.DUMMYFUNCTION("""COMPUTED_VALUE"""),"CRLN")</f>
        <v>CRLN</v>
      </c>
      <c r="AF659" s="476"/>
      <c r="AG659" s="474" t="s">
        <v>175</v>
      </c>
      <c r="AH659" s="138" t="str">
        <f t="shared" si="11"/>
        <v/>
      </c>
    </row>
    <row r="660">
      <c r="A660" s="103" t="str">
        <f>IFERROR(__xludf.DUMMYFUNCTION("""COMPUTED_VALUE"""),"FLB5825")</f>
        <v>FLB5825</v>
      </c>
      <c r="B660" s="468">
        <f>IFERROR(__xludf.DUMMYFUNCTION("""COMPUTED_VALUE"""),44595.0)</f>
        <v>44595</v>
      </c>
      <c r="C660" s="469">
        <f>IFERROR(__xludf.DUMMYFUNCTION("""COMPUTED_VALUE"""),0.3445138888888889)</f>
        <v>0.3445138889</v>
      </c>
      <c r="D660" s="103" t="str">
        <f>IFERROR(__xludf.DUMMYFUNCTION("""COMPUTED_VALUE"""),"SpFLMP600756")</f>
        <v>SpFLMP600756</v>
      </c>
      <c r="E660" s="103"/>
      <c r="F660" s="103"/>
      <c r="G660" s="103" t="str">
        <f>IFERROR(__xludf.DUMMYFUNCTION("""COMPUTED_VALUE"""),"Negative")</f>
        <v>Negative</v>
      </c>
      <c r="H660" s="131" t="str">
        <f>IFERROR(__xludf.DUMMYFUNCTION("""COMPUTED_VALUE"""),"Negative")</f>
        <v>Negative</v>
      </c>
      <c r="I660" s="468">
        <f>IFERROR(__xludf.DUMMYFUNCTION("""COMPUTED_VALUE"""),44595.0)</f>
        <v>44595</v>
      </c>
      <c r="J660" s="470">
        <f>IFERROR(__xludf.DUMMYFUNCTION("""COMPUTED_VALUE"""),0.44092592592592594)</f>
        <v>0.4409259259</v>
      </c>
      <c r="K660" s="16"/>
      <c r="L660" s="8"/>
      <c r="M660" s="69"/>
      <c r="N660" s="69">
        <f>IFERROR(__xludf.DUMMYFUNCTION("""COMPUTED_VALUE"""),1.0)</f>
        <v>1</v>
      </c>
      <c r="O660" s="69" t="str">
        <f t="shared" si="3"/>
        <v/>
      </c>
      <c r="P660" s="471">
        <f>IFERROR(__xludf.DUMMYFUNCTION("""COMPUTED_VALUE"""),0.0)</f>
        <v>0</v>
      </c>
      <c r="Q660" s="274" t="str">
        <f>VLOOKUP($B660,'Run Reconcile'!B$2:O2488,14,FALSE)</f>
        <v/>
      </c>
      <c r="R660" s="472" t="str">
        <f t="array" ref="R660">IF($Q660, INDEX('Run Reconcile'!A$2:A2488,MATCH(B660,'Run Reconcile'!B$2:B2488,0),1),IFERROR(0/0,""))</f>
        <v/>
      </c>
      <c r="S660" s="473" t="str">
        <f t="shared" si="694"/>
        <v/>
      </c>
      <c r="T660" s="473" t="str">
        <f t="shared" si="698"/>
        <v/>
      </c>
      <c r="U660" s="275" t="str">
        <f t="array" ref="U660">IF(ISBLANK($R660), INDEX('Run Reconcile'!A$2:A2488, MATCH($B660, 'Run Reconcile'!B$2:B2488, 0)+Z660, 1), IFERROR(0/0,""))
</f>
        <v>RUN-FLMP_2022-02-03_RFR-079</v>
      </c>
      <c r="V660" s="474" t="str">
        <f t="shared" si="5"/>
        <v>RUN-FLMP_2022-02-03_RFR-079</v>
      </c>
      <c r="Y660" s="89" t="str">
        <f t="shared" si="867"/>
        <v/>
      </c>
      <c r="Z660" s="60" t="str">
        <f t="shared" si="7"/>
        <v/>
      </c>
      <c r="AA660" s="60" t="str">
        <f t="shared" si="8"/>
        <v/>
      </c>
      <c r="AB660" s="60" t="str">
        <f t="shared" si="9"/>
        <v/>
      </c>
      <c r="AC660" s="30" t="str">
        <f t="shared" ref="AC660:AD660" si="1016">IF(_xlfn.ISFORMULA(S660),IFERROR(0/0,""),TRUE)</f>
        <v/>
      </c>
      <c r="AD660" s="30" t="str">
        <f t="shared" si="1016"/>
        <v/>
      </c>
      <c r="AE660" s="475" t="str">
        <f>IFERROR(__xludf.DUMMYFUNCTION("""COMPUTED_VALUE"""),"CRLN")</f>
        <v>CRLN</v>
      </c>
      <c r="AF660" s="476"/>
      <c r="AG660" s="474" t="s">
        <v>175</v>
      </c>
      <c r="AH660" s="138" t="str">
        <f t="shared" si="11"/>
        <v/>
      </c>
    </row>
    <row r="661">
      <c r="A661" s="103" t="str">
        <f>IFERROR(__xludf.DUMMYFUNCTION("""COMPUTED_VALUE"""),"FLB5801")</f>
        <v>FLB5801</v>
      </c>
      <c r="B661" s="468">
        <f>IFERROR(__xludf.DUMMYFUNCTION("""COMPUTED_VALUE"""),44595.0)</f>
        <v>44595</v>
      </c>
      <c r="C661" s="469">
        <f>IFERROR(__xludf.DUMMYFUNCTION("""COMPUTED_VALUE"""),0.3468287037037037)</f>
        <v>0.3468287037</v>
      </c>
      <c r="D661" s="103" t="str">
        <f>IFERROR(__xludf.DUMMYFUNCTION("""COMPUTED_VALUE"""),"SpFLMP271329")</f>
        <v>SpFLMP271329</v>
      </c>
      <c r="E661" s="103"/>
      <c r="F661" s="103"/>
      <c r="G661" s="103" t="str">
        <f>IFERROR(__xludf.DUMMYFUNCTION("""COMPUTED_VALUE"""),"Negative")</f>
        <v>Negative</v>
      </c>
      <c r="H661" s="131" t="str">
        <f>IFERROR(__xludf.DUMMYFUNCTION("""COMPUTED_VALUE"""),"Negative")</f>
        <v>Negative</v>
      </c>
      <c r="I661" s="468">
        <f>IFERROR(__xludf.DUMMYFUNCTION("""COMPUTED_VALUE"""),44595.0)</f>
        <v>44595</v>
      </c>
      <c r="J661" s="470">
        <f>IFERROR(__xludf.DUMMYFUNCTION("""COMPUTED_VALUE"""),0.44092592592592594)</f>
        <v>0.4409259259</v>
      </c>
      <c r="K661" s="16"/>
      <c r="L661" s="8"/>
      <c r="M661" s="69"/>
      <c r="N661" s="69">
        <f>IFERROR(__xludf.DUMMYFUNCTION("""COMPUTED_VALUE"""),1.0)</f>
        <v>1</v>
      </c>
      <c r="O661" s="69" t="str">
        <f t="shared" si="3"/>
        <v/>
      </c>
      <c r="P661" s="471">
        <f>IFERROR(__xludf.DUMMYFUNCTION("""COMPUTED_VALUE"""),0.0)</f>
        <v>0</v>
      </c>
      <c r="Q661" s="274" t="str">
        <f>VLOOKUP($B661,'Run Reconcile'!B$2:O2488,14,FALSE)</f>
        <v/>
      </c>
      <c r="R661" s="472" t="str">
        <f t="array" ref="R661">IF($Q661, INDEX('Run Reconcile'!A$2:A2488,MATCH(B661,'Run Reconcile'!B$2:B2488,0),1),IFERROR(0/0,""))</f>
        <v/>
      </c>
      <c r="S661" s="473" t="str">
        <f t="shared" si="694"/>
        <v/>
      </c>
      <c r="T661" s="473" t="str">
        <f t="shared" si="698"/>
        <v/>
      </c>
      <c r="U661" s="275" t="str">
        <f t="array" ref="U661">IF(ISBLANK($R661), INDEX('Run Reconcile'!A$2:A2488, MATCH($B661, 'Run Reconcile'!B$2:B2488, 0)+Z661, 1), IFERROR(0/0,""))
</f>
        <v>RUN-FLMP_2022-02-03_RFR-079</v>
      </c>
      <c r="V661" s="474" t="str">
        <f t="shared" si="5"/>
        <v>RUN-FLMP_2022-02-03_RFR-079</v>
      </c>
      <c r="Y661" s="89" t="str">
        <f t="shared" si="867"/>
        <v/>
      </c>
      <c r="Z661" s="60" t="str">
        <f t="shared" si="7"/>
        <v/>
      </c>
      <c r="AA661" s="60" t="str">
        <f t="shared" si="8"/>
        <v/>
      </c>
      <c r="AB661" s="60" t="str">
        <f t="shared" si="9"/>
        <v/>
      </c>
      <c r="AC661" s="30" t="str">
        <f t="shared" ref="AC661:AD661" si="1017">IF(_xlfn.ISFORMULA(S661),IFERROR(0/0,""),TRUE)</f>
        <v/>
      </c>
      <c r="AD661" s="30" t="str">
        <f t="shared" si="1017"/>
        <v/>
      </c>
      <c r="AE661" s="475" t="str">
        <f>IFERROR(__xludf.DUMMYFUNCTION("""COMPUTED_VALUE"""),"CRLN")</f>
        <v>CRLN</v>
      </c>
      <c r="AF661" s="476"/>
      <c r="AG661" s="474" t="s">
        <v>175</v>
      </c>
      <c r="AH661" s="138" t="str">
        <f t="shared" si="11"/>
        <v/>
      </c>
    </row>
    <row r="662">
      <c r="A662" s="103" t="str">
        <f>IFERROR(__xludf.DUMMYFUNCTION("""COMPUTED_VALUE"""),"FLB5745")</f>
        <v>FLB5745</v>
      </c>
      <c r="B662" s="468">
        <f>IFERROR(__xludf.DUMMYFUNCTION("""COMPUTED_VALUE"""),44595.0)</f>
        <v>44595</v>
      </c>
      <c r="C662" s="469">
        <f>IFERROR(__xludf.DUMMYFUNCTION("""COMPUTED_VALUE"""),0.3537268518518519)</f>
        <v>0.3537268519</v>
      </c>
      <c r="D662" s="103" t="str">
        <f>IFERROR(__xludf.DUMMYFUNCTION("""COMPUTED_VALUE"""),"SpFLMP946259")</f>
        <v>SpFLMP946259</v>
      </c>
      <c r="E662" s="103"/>
      <c r="F662" s="103"/>
      <c r="G662" s="103" t="str">
        <f>IFERROR(__xludf.DUMMYFUNCTION("""COMPUTED_VALUE"""),"Negative")</f>
        <v>Negative</v>
      </c>
      <c r="H662" s="131" t="str">
        <f>IFERROR(__xludf.DUMMYFUNCTION("""COMPUTED_VALUE"""),"Negative")</f>
        <v>Negative</v>
      </c>
      <c r="I662" s="468">
        <f>IFERROR(__xludf.DUMMYFUNCTION("""COMPUTED_VALUE"""),44595.0)</f>
        <v>44595</v>
      </c>
      <c r="J662" s="470">
        <f>IFERROR(__xludf.DUMMYFUNCTION("""COMPUTED_VALUE"""),0.44092592592592594)</f>
        <v>0.4409259259</v>
      </c>
      <c r="K662" s="16"/>
      <c r="L662" s="8"/>
      <c r="M662" s="69"/>
      <c r="N662" s="69">
        <f>IFERROR(__xludf.DUMMYFUNCTION("""COMPUTED_VALUE"""),2.0)</f>
        <v>2</v>
      </c>
      <c r="O662" s="69" t="str">
        <f t="shared" si="3"/>
        <v/>
      </c>
      <c r="P662" s="471">
        <f>IFERROR(__xludf.DUMMYFUNCTION("""COMPUTED_VALUE"""),0.0)</f>
        <v>0</v>
      </c>
      <c r="Q662" s="274" t="str">
        <f>VLOOKUP($B662,'Run Reconcile'!B$2:O2488,14,FALSE)</f>
        <v/>
      </c>
      <c r="R662" s="472" t="str">
        <f t="array" ref="R662">IF($Q662, INDEX('Run Reconcile'!A$2:A2488,MATCH(B662,'Run Reconcile'!B$2:B2488,0),1),IFERROR(0/0,""))</f>
        <v/>
      </c>
      <c r="S662" s="473" t="str">
        <f t="shared" si="694"/>
        <v/>
      </c>
      <c r="T662" s="473" t="str">
        <f t="shared" si="698"/>
        <v/>
      </c>
      <c r="U662" s="275" t="str">
        <f t="array" ref="U662">IF(ISBLANK($R662), INDEX('Run Reconcile'!A$2:A2488, MATCH($B662, 'Run Reconcile'!B$2:B2488, 0)+Z662, 1), IFERROR(0/0,""))
</f>
        <v>RUN-FLMP_2022-02-03_RFR-079</v>
      </c>
      <c r="V662" s="474" t="str">
        <f t="shared" si="5"/>
        <v>RUN-FLMP_2022-02-03_RFR-079</v>
      </c>
      <c r="Y662" s="89" t="str">
        <f t="shared" si="867"/>
        <v/>
      </c>
      <c r="Z662" s="60" t="str">
        <f t="shared" si="7"/>
        <v/>
      </c>
      <c r="AA662" s="60" t="str">
        <f t="shared" si="8"/>
        <v/>
      </c>
      <c r="AB662" s="60" t="str">
        <f t="shared" si="9"/>
        <v/>
      </c>
      <c r="AC662" s="30" t="str">
        <f t="shared" ref="AC662:AD662" si="1018">IF(_xlfn.ISFORMULA(S662),IFERROR(0/0,""),TRUE)</f>
        <v/>
      </c>
      <c r="AD662" s="30" t="str">
        <f t="shared" si="1018"/>
        <v/>
      </c>
      <c r="AE662" s="475" t="str">
        <f>IFERROR(__xludf.DUMMYFUNCTION("""COMPUTED_VALUE"""),"CRLN")</f>
        <v>CRLN</v>
      </c>
      <c r="AF662" s="476"/>
      <c r="AG662" s="474" t="s">
        <v>175</v>
      </c>
      <c r="AH662" s="138" t="str">
        <f t="shared" si="11"/>
        <v/>
      </c>
    </row>
    <row r="663">
      <c r="A663" s="103" t="str">
        <f>IFERROR(__xludf.DUMMYFUNCTION("""COMPUTED_VALUE"""),"FLB5845")</f>
        <v>FLB5845</v>
      </c>
      <c r="B663" s="468">
        <f>IFERROR(__xludf.DUMMYFUNCTION("""COMPUTED_VALUE"""),44595.0)</f>
        <v>44595</v>
      </c>
      <c r="C663" s="469">
        <f>IFERROR(__xludf.DUMMYFUNCTION("""COMPUTED_VALUE"""),0.35659722222222223)</f>
        <v>0.3565972222</v>
      </c>
      <c r="D663" s="103" t="str">
        <f>IFERROR(__xludf.DUMMYFUNCTION("""COMPUTED_VALUE"""),"SpFLMP604497")</f>
        <v>SpFLMP604497</v>
      </c>
      <c r="E663" s="103"/>
      <c r="F663" s="103"/>
      <c r="G663" s="103" t="str">
        <f>IFERROR(__xludf.DUMMYFUNCTION("""COMPUTED_VALUE"""),"Negative")</f>
        <v>Negative</v>
      </c>
      <c r="H663" s="131" t="str">
        <f>IFERROR(__xludf.DUMMYFUNCTION("""COMPUTED_VALUE"""),"Negative")</f>
        <v>Negative</v>
      </c>
      <c r="I663" s="468">
        <f>IFERROR(__xludf.DUMMYFUNCTION("""COMPUTED_VALUE"""),44595.0)</f>
        <v>44595</v>
      </c>
      <c r="J663" s="470">
        <f>IFERROR(__xludf.DUMMYFUNCTION("""COMPUTED_VALUE"""),0.44092592592592594)</f>
        <v>0.4409259259</v>
      </c>
      <c r="K663" s="16"/>
      <c r="L663" s="8"/>
      <c r="M663" s="69"/>
      <c r="N663" s="69">
        <f>IFERROR(__xludf.DUMMYFUNCTION("""COMPUTED_VALUE"""),4.0)</f>
        <v>4</v>
      </c>
      <c r="O663" s="69" t="str">
        <f t="shared" si="3"/>
        <v/>
      </c>
      <c r="P663" s="471">
        <f>IFERROR(__xludf.DUMMYFUNCTION("""COMPUTED_VALUE"""),0.0)</f>
        <v>0</v>
      </c>
      <c r="Q663" s="274" t="str">
        <f>VLOOKUP($B663,'Run Reconcile'!B$2:O2488,14,FALSE)</f>
        <v/>
      </c>
      <c r="R663" s="472" t="str">
        <f t="array" ref="R663">IF($Q663, INDEX('Run Reconcile'!A$2:A2488,MATCH(B663,'Run Reconcile'!B$2:B2488,0),1),IFERROR(0/0,""))</f>
        <v/>
      </c>
      <c r="S663" s="473" t="str">
        <f t="shared" si="694"/>
        <v/>
      </c>
      <c r="T663" s="473" t="str">
        <f t="shared" si="698"/>
        <v/>
      </c>
      <c r="U663" s="275" t="str">
        <f t="array" ref="U663">IF(ISBLANK($R663), INDEX('Run Reconcile'!A$2:A2488, MATCH($B663, 'Run Reconcile'!B$2:B2488, 0)+Z663, 1), IFERROR(0/0,""))
</f>
        <v>RUN-FLMP_2022-02-03_RFR-079</v>
      </c>
      <c r="V663" s="474" t="str">
        <f t="shared" si="5"/>
        <v>RUN-FLMP_2022-02-03_RFR-079</v>
      </c>
      <c r="Y663" s="89" t="str">
        <f t="shared" si="867"/>
        <v/>
      </c>
      <c r="Z663" s="60" t="str">
        <f t="shared" si="7"/>
        <v/>
      </c>
      <c r="AA663" s="60" t="str">
        <f t="shared" si="8"/>
        <v/>
      </c>
      <c r="AB663" s="60" t="str">
        <f t="shared" si="9"/>
        <v/>
      </c>
      <c r="AC663" s="30" t="str">
        <f t="shared" ref="AC663:AD663" si="1019">IF(_xlfn.ISFORMULA(S663),IFERROR(0/0,""),TRUE)</f>
        <v/>
      </c>
      <c r="AD663" s="30" t="str">
        <f t="shared" si="1019"/>
        <v/>
      </c>
      <c r="AE663" s="475" t="str">
        <f>IFERROR(__xludf.DUMMYFUNCTION("""COMPUTED_VALUE"""),"CRLN")</f>
        <v>CRLN</v>
      </c>
      <c r="AF663" s="476"/>
      <c r="AG663" s="474" t="s">
        <v>175</v>
      </c>
      <c r="AH663" s="138" t="str">
        <f t="shared" si="11"/>
        <v/>
      </c>
    </row>
    <row r="664">
      <c r="A664" s="103" t="str">
        <f>IFERROR(__xludf.DUMMYFUNCTION("""COMPUTED_VALUE"""),"FLE864")</f>
        <v>FLE864</v>
      </c>
      <c r="B664" s="468">
        <f>IFERROR(__xludf.DUMMYFUNCTION("""COMPUTED_VALUE"""),44595.0)</f>
        <v>44595</v>
      </c>
      <c r="C664" s="469">
        <f>IFERROR(__xludf.DUMMYFUNCTION("""COMPUTED_VALUE"""),0.36288194444444444)</f>
        <v>0.3628819444</v>
      </c>
      <c r="D664" s="103" t="str">
        <f>IFERROR(__xludf.DUMMYFUNCTION("""COMPUTED_VALUE"""),"SpFLMP596479")</f>
        <v>SpFLMP596479</v>
      </c>
      <c r="E664" s="103"/>
      <c r="F664" s="103"/>
      <c r="G664" s="103" t="str">
        <f>IFERROR(__xludf.DUMMYFUNCTION("""COMPUTED_VALUE"""),"Negative")</f>
        <v>Negative</v>
      </c>
      <c r="H664" s="131" t="str">
        <f>IFERROR(__xludf.DUMMYFUNCTION("""COMPUTED_VALUE"""),"Negative")</f>
        <v>Negative</v>
      </c>
      <c r="I664" s="468">
        <f>IFERROR(__xludf.DUMMYFUNCTION("""COMPUTED_VALUE"""),44595.0)</f>
        <v>44595</v>
      </c>
      <c r="J664" s="470">
        <f>IFERROR(__xludf.DUMMYFUNCTION("""COMPUTED_VALUE"""),0.44092592592592594)</f>
        <v>0.4409259259</v>
      </c>
      <c r="K664" s="16"/>
      <c r="L664" s="8"/>
      <c r="M664" s="69"/>
      <c r="N664" s="69">
        <f>IFERROR(__xludf.DUMMYFUNCTION("""COMPUTED_VALUE"""),3.0)</f>
        <v>3</v>
      </c>
      <c r="O664" s="69" t="str">
        <f t="shared" si="3"/>
        <v/>
      </c>
      <c r="P664" s="471">
        <f>IFERROR(__xludf.DUMMYFUNCTION("""COMPUTED_VALUE"""),0.0)</f>
        <v>0</v>
      </c>
      <c r="Q664" s="274" t="str">
        <f>VLOOKUP($B664,'Run Reconcile'!B$2:O2488,14,FALSE)</f>
        <v/>
      </c>
      <c r="R664" s="472" t="str">
        <f t="array" ref="R664">IF($Q664, INDEX('Run Reconcile'!A$2:A2488,MATCH(B664,'Run Reconcile'!B$2:B2488,0),1),IFERROR(0/0,""))</f>
        <v/>
      </c>
      <c r="S664" s="473" t="str">
        <f t="shared" si="694"/>
        <v/>
      </c>
      <c r="T664" s="473" t="str">
        <f t="shared" si="698"/>
        <v/>
      </c>
      <c r="U664" s="275" t="str">
        <f t="array" ref="U664">IF(ISBLANK($R664), INDEX('Run Reconcile'!A$2:A2488, MATCH($B664, 'Run Reconcile'!B$2:B2488, 0)+Z664, 1), IFERROR(0/0,""))
</f>
        <v>RUN-FLMP_2022-02-03_RFR-079</v>
      </c>
      <c r="V664" s="474" t="str">
        <f t="shared" si="5"/>
        <v>RUN-FLMP_2022-02-03_RFR-079</v>
      </c>
      <c r="Y664" s="89" t="str">
        <f t="shared" si="867"/>
        <v/>
      </c>
      <c r="Z664" s="60" t="str">
        <f t="shared" si="7"/>
        <v/>
      </c>
      <c r="AA664" s="60" t="str">
        <f t="shared" si="8"/>
        <v/>
      </c>
      <c r="AB664" s="60" t="str">
        <f t="shared" si="9"/>
        <v/>
      </c>
      <c r="AC664" s="30" t="str">
        <f t="shared" ref="AC664:AD664" si="1020">IF(_xlfn.ISFORMULA(S664),IFERROR(0/0,""),TRUE)</f>
        <v/>
      </c>
      <c r="AD664" s="30" t="str">
        <f t="shared" si="1020"/>
        <v/>
      </c>
      <c r="AE664" s="475" t="str">
        <f>IFERROR(__xludf.DUMMYFUNCTION("""COMPUTED_VALUE"""),"CRLN")</f>
        <v>CRLN</v>
      </c>
      <c r="AF664" s="476"/>
      <c r="AG664" s="474" t="s">
        <v>175</v>
      </c>
      <c r="AH664" s="138" t="str">
        <f t="shared" si="11"/>
        <v/>
      </c>
    </row>
    <row r="665">
      <c r="A665" s="103" t="str">
        <f>IFERROR(__xludf.DUMMYFUNCTION("""COMPUTED_VALUE"""),"FLT1152")</f>
        <v>FLT1152</v>
      </c>
      <c r="B665" s="468">
        <f>IFERROR(__xludf.DUMMYFUNCTION("""COMPUTED_VALUE"""),44595.0)</f>
        <v>44595</v>
      </c>
      <c r="C665" s="469">
        <f>IFERROR(__xludf.DUMMYFUNCTION("""COMPUTED_VALUE"""),0.3634375)</f>
        <v>0.3634375</v>
      </c>
      <c r="D665" s="103" t="str">
        <f>IFERROR(__xludf.DUMMYFUNCTION("""COMPUTED_VALUE"""),"SpFLMP518914")</f>
        <v>SpFLMP518914</v>
      </c>
      <c r="E665" s="103"/>
      <c r="F665" s="103"/>
      <c r="G665" s="103" t="str">
        <f>IFERROR(__xludf.DUMMYFUNCTION("""COMPUTED_VALUE"""),"Negative")</f>
        <v>Negative</v>
      </c>
      <c r="H665" s="131" t="str">
        <f>IFERROR(__xludf.DUMMYFUNCTION("""COMPUTED_VALUE"""),"Negative")</f>
        <v>Negative</v>
      </c>
      <c r="I665" s="468">
        <f>IFERROR(__xludf.DUMMYFUNCTION("""COMPUTED_VALUE"""),44595.0)</f>
        <v>44595</v>
      </c>
      <c r="J665" s="470">
        <f>IFERROR(__xludf.DUMMYFUNCTION("""COMPUTED_VALUE"""),0.44092592592592594)</f>
        <v>0.4409259259</v>
      </c>
      <c r="K665" s="16"/>
      <c r="L665" s="8"/>
      <c r="M665" s="69"/>
      <c r="N665" s="69">
        <f>IFERROR(__xludf.DUMMYFUNCTION("""COMPUTED_VALUE"""),2.0)</f>
        <v>2</v>
      </c>
      <c r="O665" s="69" t="str">
        <f t="shared" si="3"/>
        <v/>
      </c>
      <c r="P665" s="471">
        <f>IFERROR(__xludf.DUMMYFUNCTION("""COMPUTED_VALUE"""),0.0)</f>
        <v>0</v>
      </c>
      <c r="Q665" s="274" t="str">
        <f>VLOOKUP($B665,'Run Reconcile'!B$2:O2488,14,FALSE)</f>
        <v/>
      </c>
      <c r="R665" s="472" t="str">
        <f t="array" ref="R665">IF($Q665, INDEX('Run Reconcile'!A$2:A2488,MATCH(B665,'Run Reconcile'!B$2:B2488,0),1),IFERROR(0/0,""))</f>
        <v/>
      </c>
      <c r="S665" s="473" t="str">
        <f t="shared" si="694"/>
        <v/>
      </c>
      <c r="T665" s="473" t="str">
        <f t="shared" si="698"/>
        <v/>
      </c>
      <c r="U665" s="275" t="str">
        <f t="array" ref="U665">IF(ISBLANK($R665), INDEX('Run Reconcile'!A$2:A2488, MATCH($B665, 'Run Reconcile'!B$2:B2488, 0)+Z665, 1), IFERROR(0/0,""))
</f>
        <v>RUN-FLMP_2022-02-03_RFR-079</v>
      </c>
      <c r="V665" s="474" t="str">
        <f t="shared" si="5"/>
        <v>RUN-FLMP_2022-02-03_RFR-079</v>
      </c>
      <c r="Y665" s="89" t="str">
        <f t="shared" si="867"/>
        <v/>
      </c>
      <c r="Z665" s="60" t="str">
        <f t="shared" si="7"/>
        <v/>
      </c>
      <c r="AA665" s="60" t="str">
        <f t="shared" si="8"/>
        <v/>
      </c>
      <c r="AB665" s="60" t="str">
        <f t="shared" si="9"/>
        <v/>
      </c>
      <c r="AC665" s="30" t="str">
        <f t="shared" ref="AC665:AD665" si="1021">IF(_xlfn.ISFORMULA(S665),IFERROR(0/0,""),TRUE)</f>
        <v/>
      </c>
      <c r="AD665" s="30" t="str">
        <f t="shared" si="1021"/>
        <v/>
      </c>
      <c r="AE665" s="475" t="str">
        <f>IFERROR(__xludf.DUMMYFUNCTION("""COMPUTED_VALUE"""),"CRLN")</f>
        <v>CRLN</v>
      </c>
      <c r="AF665" s="476"/>
      <c r="AG665" s="474" t="s">
        <v>175</v>
      </c>
      <c r="AH665" s="138" t="str">
        <f t="shared" si="11"/>
        <v/>
      </c>
    </row>
    <row r="666">
      <c r="A666" s="103" t="str">
        <f>IFERROR(__xludf.DUMMYFUNCTION("""COMPUTED_VALUE"""),"FLB4897")</f>
        <v>FLB4897</v>
      </c>
      <c r="B666" s="468">
        <f>IFERROR(__xludf.DUMMYFUNCTION("""COMPUTED_VALUE"""),44595.0)</f>
        <v>44595</v>
      </c>
      <c r="C666" s="469">
        <f>IFERROR(__xludf.DUMMYFUNCTION("""COMPUTED_VALUE"""),0.3654398148148148)</f>
        <v>0.3654398148</v>
      </c>
      <c r="D666" s="103" t="str">
        <f>IFERROR(__xludf.DUMMYFUNCTION("""COMPUTED_VALUE"""),"SpFLMP496039")</f>
        <v>SpFLMP496039</v>
      </c>
      <c r="E666" s="103"/>
      <c r="F666" s="103"/>
      <c r="G666" s="103" t="str">
        <f>IFERROR(__xludf.DUMMYFUNCTION("""COMPUTED_VALUE"""),"Negative")</f>
        <v>Negative</v>
      </c>
      <c r="H666" s="131" t="str">
        <f>IFERROR(__xludf.DUMMYFUNCTION("""COMPUTED_VALUE"""),"Negative")</f>
        <v>Negative</v>
      </c>
      <c r="I666" s="468">
        <f>IFERROR(__xludf.DUMMYFUNCTION("""COMPUTED_VALUE"""),44595.0)</f>
        <v>44595</v>
      </c>
      <c r="J666" s="470">
        <f>IFERROR(__xludf.DUMMYFUNCTION("""COMPUTED_VALUE"""),0.44092592592592594)</f>
        <v>0.4409259259</v>
      </c>
      <c r="K666" s="16"/>
      <c r="L666" s="8"/>
      <c r="M666" s="69"/>
      <c r="N666" s="69">
        <f>IFERROR(__xludf.DUMMYFUNCTION("""COMPUTED_VALUE"""),1.0)</f>
        <v>1</v>
      </c>
      <c r="O666" s="69" t="str">
        <f t="shared" si="3"/>
        <v/>
      </c>
      <c r="P666" s="471">
        <f>IFERROR(__xludf.DUMMYFUNCTION("""COMPUTED_VALUE"""),0.0)</f>
        <v>0</v>
      </c>
      <c r="Q666" s="274" t="str">
        <f>VLOOKUP($B666,'Run Reconcile'!B$2:O2488,14,FALSE)</f>
        <v/>
      </c>
      <c r="R666" s="472" t="str">
        <f t="array" ref="R666">IF($Q666, INDEX('Run Reconcile'!A$2:A2488,MATCH(B666,'Run Reconcile'!B$2:B2488,0),1),IFERROR(0/0,""))</f>
        <v/>
      </c>
      <c r="S666" s="473" t="str">
        <f t="shared" si="694"/>
        <v/>
      </c>
      <c r="T666" s="473" t="str">
        <f t="shared" si="698"/>
        <v/>
      </c>
      <c r="U666" s="275" t="str">
        <f t="array" ref="U666">IF(ISBLANK($R666), INDEX('Run Reconcile'!A$2:A2488, MATCH($B666, 'Run Reconcile'!B$2:B2488, 0)+Z666, 1), IFERROR(0/0,""))
</f>
        <v>RUN-FLMP_2022-02-03_RFR-079</v>
      </c>
      <c r="V666" s="474" t="str">
        <f t="shared" si="5"/>
        <v>RUN-FLMP_2022-02-03_RFR-079</v>
      </c>
      <c r="Y666" s="89" t="str">
        <f t="shared" si="867"/>
        <v/>
      </c>
      <c r="Z666" s="60" t="str">
        <f t="shared" si="7"/>
        <v/>
      </c>
      <c r="AA666" s="60" t="str">
        <f t="shared" si="8"/>
        <v/>
      </c>
      <c r="AB666" s="60" t="str">
        <f t="shared" si="9"/>
        <v/>
      </c>
      <c r="AC666" s="30" t="str">
        <f t="shared" ref="AC666:AD666" si="1022">IF(_xlfn.ISFORMULA(S666),IFERROR(0/0,""),TRUE)</f>
        <v/>
      </c>
      <c r="AD666" s="30" t="str">
        <f t="shared" si="1022"/>
        <v/>
      </c>
      <c r="AE666" s="475" t="str">
        <f>IFERROR(__xludf.DUMMYFUNCTION("""COMPUTED_VALUE"""),"CRLN")</f>
        <v>CRLN</v>
      </c>
      <c r="AF666" s="476"/>
      <c r="AG666" s="474" t="s">
        <v>175</v>
      </c>
      <c r="AH666" s="138" t="str">
        <f t="shared" si="11"/>
        <v/>
      </c>
    </row>
    <row r="667">
      <c r="A667" s="103" t="str">
        <f>IFERROR(__xludf.DUMMYFUNCTION("""COMPUTED_VALUE"""),"FLT1151")</f>
        <v>FLT1151</v>
      </c>
      <c r="B667" s="468">
        <f>IFERROR(__xludf.DUMMYFUNCTION("""COMPUTED_VALUE"""),44595.0)</f>
        <v>44595</v>
      </c>
      <c r="C667" s="469">
        <f>IFERROR(__xludf.DUMMYFUNCTION("""COMPUTED_VALUE"""),0.36680555555555555)</f>
        <v>0.3668055556</v>
      </c>
      <c r="D667" s="103" t="str">
        <f>IFERROR(__xludf.DUMMYFUNCTION("""COMPUTED_VALUE"""),"SpFLMP668449")</f>
        <v>SpFLMP668449</v>
      </c>
      <c r="E667" s="103"/>
      <c r="F667" s="103"/>
      <c r="G667" s="103" t="str">
        <f>IFERROR(__xludf.DUMMYFUNCTION("""COMPUTED_VALUE"""),"Negative")</f>
        <v>Negative</v>
      </c>
      <c r="H667" s="131" t="str">
        <f>IFERROR(__xludf.DUMMYFUNCTION("""COMPUTED_VALUE"""),"Negative")</f>
        <v>Negative</v>
      </c>
      <c r="I667" s="468">
        <f>IFERROR(__xludf.DUMMYFUNCTION("""COMPUTED_VALUE"""),44595.0)</f>
        <v>44595</v>
      </c>
      <c r="J667" s="470">
        <f>IFERROR(__xludf.DUMMYFUNCTION("""COMPUTED_VALUE"""),0.4409375)</f>
        <v>0.4409375</v>
      </c>
      <c r="K667" s="16"/>
      <c r="L667" s="8"/>
      <c r="M667" s="69"/>
      <c r="N667" s="69">
        <f>IFERROR(__xludf.DUMMYFUNCTION("""COMPUTED_VALUE"""),3.0)</f>
        <v>3</v>
      </c>
      <c r="O667" s="69" t="str">
        <f t="shared" si="3"/>
        <v/>
      </c>
      <c r="P667" s="471">
        <f>IFERROR(__xludf.DUMMYFUNCTION("""COMPUTED_VALUE"""),0.0)</f>
        <v>0</v>
      </c>
      <c r="Q667" s="274" t="str">
        <f>VLOOKUP($B667,'Run Reconcile'!B$2:O2488,14,FALSE)</f>
        <v/>
      </c>
      <c r="R667" s="472" t="str">
        <f t="array" ref="R667">IF($Q667, INDEX('Run Reconcile'!A$2:A2488,MATCH(B667,'Run Reconcile'!B$2:B2488,0),1),IFERROR(0/0,""))</f>
        <v/>
      </c>
      <c r="S667" s="473" t="str">
        <f t="shared" si="694"/>
        <v/>
      </c>
      <c r="T667" s="473" t="str">
        <f t="shared" si="698"/>
        <v/>
      </c>
      <c r="U667" s="275" t="str">
        <f t="array" ref="U667">IF(ISBLANK($R667), INDEX('Run Reconcile'!A$2:A2488, MATCH($B667, 'Run Reconcile'!B$2:B2488, 0)+Z667, 1), IFERROR(0/0,""))
</f>
        <v>RUN-FLMP_2022-02-03_RFR-079</v>
      </c>
      <c r="V667" s="474" t="str">
        <f t="shared" si="5"/>
        <v>RUN-FLMP_2022-02-03_RFR-079</v>
      </c>
      <c r="Y667" s="89" t="str">
        <f t="shared" si="867"/>
        <v/>
      </c>
      <c r="Z667" s="60" t="str">
        <f t="shared" si="7"/>
        <v/>
      </c>
      <c r="AA667" s="60" t="str">
        <f t="shared" si="8"/>
        <v/>
      </c>
      <c r="AB667" s="60" t="str">
        <f t="shared" si="9"/>
        <v/>
      </c>
      <c r="AC667" s="30" t="str">
        <f t="shared" ref="AC667:AD667" si="1023">IF(_xlfn.ISFORMULA(S667),IFERROR(0/0,""),TRUE)</f>
        <v/>
      </c>
      <c r="AD667" s="30" t="str">
        <f t="shared" si="1023"/>
        <v/>
      </c>
      <c r="AE667" s="475" t="str">
        <f>IFERROR(__xludf.DUMMYFUNCTION("""COMPUTED_VALUE"""),"CRLN")</f>
        <v>CRLN</v>
      </c>
      <c r="AF667" s="476"/>
      <c r="AG667" s="474" t="s">
        <v>175</v>
      </c>
      <c r="AH667" s="138" t="str">
        <f t="shared" si="11"/>
        <v/>
      </c>
    </row>
    <row r="668">
      <c r="A668" s="103" t="str">
        <f>IFERROR(__xludf.DUMMYFUNCTION("""COMPUTED_VALUE"""),"FLB5785")</f>
        <v>FLB5785</v>
      </c>
      <c r="B668" s="468">
        <f>IFERROR(__xludf.DUMMYFUNCTION("""COMPUTED_VALUE"""),44595.0)</f>
        <v>44595</v>
      </c>
      <c r="C668" s="469">
        <f>IFERROR(__xludf.DUMMYFUNCTION("""COMPUTED_VALUE"""),0.3801736111111111)</f>
        <v>0.3801736111</v>
      </c>
      <c r="D668" s="103" t="str">
        <f>IFERROR(__xludf.DUMMYFUNCTION("""COMPUTED_VALUE"""),"SpFLMP684798")</f>
        <v>SpFLMP684798</v>
      </c>
      <c r="E668" s="103"/>
      <c r="F668" s="103"/>
      <c r="G668" s="103" t="str">
        <f>IFERROR(__xludf.DUMMYFUNCTION("""COMPUTED_VALUE"""),"Negative")</f>
        <v>Negative</v>
      </c>
      <c r="H668" s="131" t="str">
        <f>IFERROR(__xludf.DUMMYFUNCTION("""COMPUTED_VALUE"""),"Negative")</f>
        <v>Negative</v>
      </c>
      <c r="I668" s="468">
        <f>IFERROR(__xludf.DUMMYFUNCTION("""COMPUTED_VALUE"""),44595.0)</f>
        <v>44595</v>
      </c>
      <c r="J668" s="470">
        <f>IFERROR(__xludf.DUMMYFUNCTION("""COMPUTED_VALUE"""),0.4409375)</f>
        <v>0.4409375</v>
      </c>
      <c r="K668" s="16"/>
      <c r="L668" s="8"/>
      <c r="M668" s="69"/>
      <c r="N668" s="69">
        <f>IFERROR(__xludf.DUMMYFUNCTION("""COMPUTED_VALUE"""),2.0)</f>
        <v>2</v>
      </c>
      <c r="O668" s="69" t="str">
        <f t="shared" si="3"/>
        <v/>
      </c>
      <c r="P668" s="471">
        <f>IFERROR(__xludf.DUMMYFUNCTION("""COMPUTED_VALUE"""),0.0)</f>
        <v>0</v>
      </c>
      <c r="Q668" s="274" t="str">
        <f>VLOOKUP($B668,'Run Reconcile'!B$2:O2488,14,FALSE)</f>
        <v/>
      </c>
      <c r="R668" s="472" t="str">
        <f t="array" ref="R668">IF($Q668, INDEX('Run Reconcile'!A$2:A2488,MATCH(B668,'Run Reconcile'!B$2:B2488,0),1),IFERROR(0/0,""))</f>
        <v/>
      </c>
      <c r="S668" s="473" t="str">
        <f t="shared" si="694"/>
        <v/>
      </c>
      <c r="T668" s="473" t="str">
        <f t="shared" si="698"/>
        <v/>
      </c>
      <c r="U668" s="275" t="str">
        <f t="array" ref="U668">IF(ISBLANK($R668), INDEX('Run Reconcile'!A$2:A2488, MATCH($B668, 'Run Reconcile'!B$2:B2488, 0)+Z668, 1), IFERROR(0/0,""))
</f>
        <v>RUN-FLMP_2022-02-03_RFR-079</v>
      </c>
      <c r="V668" s="474" t="str">
        <f t="shared" si="5"/>
        <v>RUN-FLMP_2022-02-03_RFR-079</v>
      </c>
      <c r="Y668" s="89" t="str">
        <f t="shared" si="867"/>
        <v/>
      </c>
      <c r="Z668" s="60" t="str">
        <f t="shared" si="7"/>
        <v/>
      </c>
      <c r="AA668" s="60" t="str">
        <f t="shared" si="8"/>
        <v/>
      </c>
      <c r="AB668" s="60" t="str">
        <f t="shared" si="9"/>
        <v/>
      </c>
      <c r="AC668" s="30" t="str">
        <f t="shared" ref="AC668:AD668" si="1024">IF(_xlfn.ISFORMULA(S668),IFERROR(0/0,""),TRUE)</f>
        <v/>
      </c>
      <c r="AD668" s="30" t="str">
        <f t="shared" si="1024"/>
        <v/>
      </c>
      <c r="AE668" s="475" t="str">
        <f>IFERROR(__xludf.DUMMYFUNCTION("""COMPUTED_VALUE"""),"CRLN")</f>
        <v>CRLN</v>
      </c>
      <c r="AF668" s="476"/>
      <c r="AG668" s="474" t="s">
        <v>175</v>
      </c>
      <c r="AH668" s="138" t="str">
        <f t="shared" si="11"/>
        <v/>
      </c>
    </row>
    <row r="669">
      <c r="A669" s="103" t="str">
        <f>IFERROR(__xludf.DUMMYFUNCTION("""COMPUTED_VALUE"""),"MA381")</f>
        <v>MA381</v>
      </c>
      <c r="B669" s="468">
        <f>IFERROR(__xludf.DUMMYFUNCTION("""COMPUTED_VALUE"""),44597.0)</f>
        <v>44597</v>
      </c>
      <c r="C669" s="469">
        <f>IFERROR(__xludf.DUMMYFUNCTION("""COMPUTED_VALUE"""),0.31528935185185186)</f>
        <v>0.3152893519</v>
      </c>
      <c r="D669" s="103" t="str">
        <f>IFERROR(__xludf.DUMMYFUNCTION("""COMPUTED_VALUE"""),"SpFLMP604497")</f>
        <v>SpFLMP604497</v>
      </c>
      <c r="E669" s="103"/>
      <c r="F669" s="103"/>
      <c r="G669" s="103" t="str">
        <f>IFERROR(__xludf.DUMMYFUNCTION("""COMPUTED_VALUE"""),"Negative")</f>
        <v>Negative</v>
      </c>
      <c r="H669" s="131" t="str">
        <f>IFERROR(__xludf.DUMMYFUNCTION("""COMPUTED_VALUE"""),"Negative")</f>
        <v>Negative</v>
      </c>
      <c r="I669" s="468">
        <f>IFERROR(__xludf.DUMMYFUNCTION("""COMPUTED_VALUE"""),44597.0)</f>
        <v>44597</v>
      </c>
      <c r="J669" s="470">
        <f>IFERROR(__xludf.DUMMYFUNCTION("""COMPUTED_VALUE"""),0.6685416666666667)</f>
        <v>0.6685416667</v>
      </c>
      <c r="K669" s="16"/>
      <c r="L669" s="8"/>
      <c r="M669" s="69"/>
      <c r="N669" s="69">
        <f>IFERROR(__xludf.DUMMYFUNCTION("""COMPUTED_VALUE"""),3.0)</f>
        <v>3</v>
      </c>
      <c r="O669" s="69" t="b">
        <f t="shared" si="3"/>
        <v>1</v>
      </c>
      <c r="P669" s="471">
        <f>IFERROR(__xludf.DUMMYFUNCTION("""COMPUTED_VALUE"""),0.0)</f>
        <v>0</v>
      </c>
      <c r="Q669" s="274" t="b">
        <f>VLOOKUP($B669,'Run Reconcile'!B$2:O2488,14,FALSE)</f>
        <v>1</v>
      </c>
      <c r="R669" s="472" t="str">
        <f t="array" ref="R669">IF($Q669, INDEX('Run Reconcile'!A$2:A2488,MATCH(B669,'Run Reconcile'!B$2:B2488,0),1),IFERROR(0/0,""))</f>
        <v>RUN-FLMP_2022-02-05_APS-083</v>
      </c>
      <c r="S669" s="473" t="str">
        <f t="shared" si="694"/>
        <v/>
      </c>
      <c r="T669" s="473" t="str">
        <f t="shared" si="698"/>
        <v/>
      </c>
      <c r="U669" s="275" t="str">
        <f t="array" ref="U669">IF(ISBLANK($R669), INDEX('Run Reconcile'!A$2:A2488, MATCH($B669, 'Run Reconcile'!B$2:B2488, 0)+Z669, 1), IFERROR(0/0,""))
</f>
        <v/>
      </c>
      <c r="V669" s="474" t="str">
        <f t="shared" si="5"/>
        <v>RUN-FLMP_2022-02-05_APS-083</v>
      </c>
      <c r="W669" s="103"/>
      <c r="Y669" s="89" t="str">
        <f t="shared" si="867"/>
        <v/>
      </c>
      <c r="Z669" s="60" t="str">
        <f t="shared" si="7"/>
        <v/>
      </c>
      <c r="AA669" s="60" t="str">
        <f t="shared" si="8"/>
        <v/>
      </c>
      <c r="AB669" s="60" t="str">
        <f t="shared" si="9"/>
        <v/>
      </c>
      <c r="AC669" s="30" t="str">
        <f t="shared" ref="AC669:AD669" si="1025">IF(_xlfn.ISFORMULA(S669),IFERROR(0/0,""),TRUE)</f>
        <v/>
      </c>
      <c r="AD669" s="30" t="str">
        <f t="shared" si="1025"/>
        <v/>
      </c>
      <c r="AE669" s="475" t="str">
        <f>IFERROR(__xludf.DUMMYFUNCTION("""COMPUTED_VALUE"""),"CRLN")</f>
        <v>CRLN</v>
      </c>
      <c r="AF669" s="476"/>
      <c r="AG669" s="474" t="s">
        <v>176</v>
      </c>
      <c r="AH669" s="138" t="str">
        <f t="shared" si="11"/>
        <v/>
      </c>
    </row>
    <row r="670">
      <c r="A670" s="103" t="str">
        <f>IFERROR(__xludf.DUMMYFUNCTION("""COMPUTED_VALUE"""),"MA1332")</f>
        <v>MA1332</v>
      </c>
      <c r="B670" s="468">
        <f>IFERROR(__xludf.DUMMYFUNCTION("""COMPUTED_VALUE"""),44597.0)</f>
        <v>44597</v>
      </c>
      <c r="C670" s="469">
        <f>IFERROR(__xludf.DUMMYFUNCTION("""COMPUTED_VALUE"""),0.5971412037037037)</f>
        <v>0.5971412037</v>
      </c>
      <c r="D670" s="103" t="str">
        <f>IFERROR(__xludf.DUMMYFUNCTION("""COMPUTED_VALUE"""),"SpFLMP684798")</f>
        <v>SpFLMP684798</v>
      </c>
      <c r="E670" s="103"/>
      <c r="F670" s="103"/>
      <c r="G670" s="103" t="str">
        <f>IFERROR(__xludf.DUMMYFUNCTION("""COMPUTED_VALUE"""),"Negative")</f>
        <v>Negative</v>
      </c>
      <c r="H670" s="131" t="str">
        <f>IFERROR(__xludf.DUMMYFUNCTION("""COMPUTED_VALUE"""),"Negative")</f>
        <v>Negative</v>
      </c>
      <c r="I670" s="468">
        <f>IFERROR(__xludf.DUMMYFUNCTION("""COMPUTED_VALUE"""),44597.0)</f>
        <v>44597</v>
      </c>
      <c r="J670" s="470">
        <f>IFERROR(__xludf.DUMMYFUNCTION("""COMPUTED_VALUE"""),0.6685416666666667)</f>
        <v>0.6685416667</v>
      </c>
      <c r="K670" s="16"/>
      <c r="L670" s="8"/>
      <c r="M670" s="69"/>
      <c r="N670" s="69">
        <f>IFERROR(__xludf.DUMMYFUNCTION("""COMPUTED_VALUE"""),1.0)</f>
        <v>1</v>
      </c>
      <c r="O670" s="69" t="str">
        <f t="shared" si="3"/>
        <v/>
      </c>
      <c r="P670" s="471">
        <f>IFERROR(__xludf.DUMMYFUNCTION("""COMPUTED_VALUE"""),0.0)</f>
        <v>0</v>
      </c>
      <c r="Q670" s="274" t="b">
        <f>VLOOKUP($B670,'Run Reconcile'!B$2:O2488,14,FALSE)</f>
        <v>1</v>
      </c>
      <c r="R670" s="472" t="str">
        <f t="array" ref="R670">IF($Q670, INDEX('Run Reconcile'!A$2:A2488,MATCH(B670,'Run Reconcile'!B$2:B2488,0),1),IFERROR(0/0,""))</f>
        <v>RUN-FLMP_2022-02-05_APS-083</v>
      </c>
      <c r="S670" s="473" t="str">
        <f t="shared" si="694"/>
        <v/>
      </c>
      <c r="T670" s="473" t="str">
        <f t="shared" si="698"/>
        <v/>
      </c>
      <c r="U670" s="275" t="str">
        <f t="array" ref="U670">IF(ISBLANK($R670), INDEX('Run Reconcile'!A$2:A2488, MATCH($B670, 'Run Reconcile'!B$2:B2488, 0)+Z670, 1), IFERROR(0/0,""))
</f>
        <v/>
      </c>
      <c r="V670" s="474" t="str">
        <f t="shared" si="5"/>
        <v>RUN-FLMP_2022-02-05_APS-083</v>
      </c>
      <c r="W670" s="103"/>
      <c r="Y670" s="89" t="str">
        <f t="shared" si="867"/>
        <v/>
      </c>
      <c r="Z670" s="60" t="str">
        <f t="shared" si="7"/>
        <v/>
      </c>
      <c r="AA670" s="60" t="str">
        <f t="shared" si="8"/>
        <v/>
      </c>
      <c r="AB670" s="60" t="str">
        <f t="shared" si="9"/>
        <v/>
      </c>
      <c r="AC670" s="30" t="str">
        <f t="shared" ref="AC670:AD670" si="1026">IF(_xlfn.ISFORMULA(S670),IFERROR(0/0,""),TRUE)</f>
        <v/>
      </c>
      <c r="AD670" s="30" t="str">
        <f t="shared" si="1026"/>
        <v/>
      </c>
      <c r="AE670" s="475" t="str">
        <f>IFERROR(__xludf.DUMMYFUNCTION("""COMPUTED_VALUE"""),"CRLN")</f>
        <v>CRLN</v>
      </c>
      <c r="AF670" s="476"/>
      <c r="AG670" s="474" t="s">
        <v>176</v>
      </c>
      <c r="AH670" s="138" t="str">
        <f t="shared" si="11"/>
        <v/>
      </c>
    </row>
    <row r="671">
      <c r="A671" s="103" t="str">
        <f>IFERROR(__xludf.DUMMYFUNCTION("""COMPUTED_VALUE"""),"MA766")</f>
        <v>MA766</v>
      </c>
      <c r="B671" s="468">
        <f>IFERROR(__xludf.DUMMYFUNCTION("""COMPUTED_VALUE"""),44597.0)</f>
        <v>44597</v>
      </c>
      <c r="C671" s="469">
        <f>IFERROR(__xludf.DUMMYFUNCTION("""COMPUTED_VALUE"""),0.6315277777777778)</f>
        <v>0.6315277778</v>
      </c>
      <c r="D671" s="103" t="str">
        <f>IFERROR(__xludf.DUMMYFUNCTION("""COMPUTED_VALUE"""),"SpFLMP659315")</f>
        <v>SpFLMP659315</v>
      </c>
      <c r="E671" s="103"/>
      <c r="F671" s="103"/>
      <c r="G671" s="103" t="str">
        <f>IFERROR(__xludf.DUMMYFUNCTION("""COMPUTED_VALUE"""),"Negative")</f>
        <v>Negative</v>
      </c>
      <c r="H671" s="131" t="str">
        <f>IFERROR(__xludf.DUMMYFUNCTION("""COMPUTED_VALUE"""),"Negative")</f>
        <v>Negative</v>
      </c>
      <c r="I671" s="468">
        <f>IFERROR(__xludf.DUMMYFUNCTION("""COMPUTED_VALUE"""),44597.0)</f>
        <v>44597</v>
      </c>
      <c r="J671" s="470">
        <f>IFERROR(__xludf.DUMMYFUNCTION("""COMPUTED_VALUE"""),0.6685416666666667)</f>
        <v>0.6685416667</v>
      </c>
      <c r="K671" s="16"/>
      <c r="L671" s="8" t="str">
        <f>IFERROR(__xludf.DUMMYFUNCTION("""COMPUTED_VALUE"""),"name email fix")</f>
        <v>name email fix</v>
      </c>
      <c r="M671" s="69"/>
      <c r="N671" s="69">
        <f>IFERROR(__xludf.DUMMYFUNCTION("""COMPUTED_VALUE"""),1.0)</f>
        <v>1</v>
      </c>
      <c r="O671" s="69" t="str">
        <f t="shared" si="3"/>
        <v/>
      </c>
      <c r="P671" s="471">
        <f>IFERROR(__xludf.DUMMYFUNCTION("""COMPUTED_VALUE"""),0.0)</f>
        <v>0</v>
      </c>
      <c r="Q671" s="274" t="b">
        <f>VLOOKUP($B671,'Run Reconcile'!B$2:O2488,14,FALSE)</f>
        <v>1</v>
      </c>
      <c r="R671" s="472" t="str">
        <f t="array" ref="R671">IF($Q671, INDEX('Run Reconcile'!A$2:A2488,MATCH(B671,'Run Reconcile'!B$2:B2488,0),1),IFERROR(0/0,""))</f>
        <v>RUN-FLMP_2022-02-05_APS-083</v>
      </c>
      <c r="S671" s="473" t="str">
        <f t="shared" si="694"/>
        <v/>
      </c>
      <c r="T671" s="473" t="str">
        <f t="shared" si="698"/>
        <v/>
      </c>
      <c r="U671" s="275" t="str">
        <f t="array" ref="U671">IF(ISBLANK($R671), INDEX('Run Reconcile'!A$2:A2488, MATCH($B671, 'Run Reconcile'!B$2:B2488, 0)+Z671, 1), IFERROR(0/0,""))
</f>
        <v/>
      </c>
      <c r="V671" s="474" t="str">
        <f t="shared" si="5"/>
        <v>RUN-FLMP_2022-02-05_APS-083</v>
      </c>
      <c r="W671" s="103"/>
      <c r="Y671" s="89" t="str">
        <f t="shared" si="867"/>
        <v/>
      </c>
      <c r="Z671" s="60" t="str">
        <f t="shared" si="7"/>
        <v/>
      </c>
      <c r="AA671" s="60" t="str">
        <f t="shared" si="8"/>
        <v/>
      </c>
      <c r="AB671" s="60" t="str">
        <f t="shared" si="9"/>
        <v/>
      </c>
      <c r="AC671" s="30" t="str">
        <f t="shared" ref="AC671:AD671" si="1027">IF(_xlfn.ISFORMULA(S671),IFERROR(0/0,""),TRUE)</f>
        <v/>
      </c>
      <c r="AD671" s="30" t="str">
        <f t="shared" si="1027"/>
        <v/>
      </c>
      <c r="AE671" s="475" t="str">
        <f>IFERROR(__xludf.DUMMYFUNCTION("""COMPUTED_VALUE"""),"CRLN")</f>
        <v>CRLN</v>
      </c>
      <c r="AF671" s="476"/>
      <c r="AG671" s="474" t="s">
        <v>176</v>
      </c>
      <c r="AH671" s="138" t="str">
        <f t="shared" si="11"/>
        <v/>
      </c>
    </row>
    <row r="672">
      <c r="A672" s="103" t="str">
        <f>IFERROR(__xludf.DUMMYFUNCTION("""COMPUTED_VALUE"""),"MA1085")</f>
        <v>MA1085</v>
      </c>
      <c r="B672" s="468">
        <f>IFERROR(__xludf.DUMMYFUNCTION("""COMPUTED_VALUE"""),44597.0)</f>
        <v>44597</v>
      </c>
      <c r="C672" s="469">
        <f>IFERROR(__xludf.DUMMYFUNCTION("""COMPUTED_VALUE"""),0.631875)</f>
        <v>0.631875</v>
      </c>
      <c r="D672" s="103" t="str">
        <f>IFERROR(__xludf.DUMMYFUNCTION("""COMPUTED_VALUE"""),"SpFLMP659315")</f>
        <v>SpFLMP659315</v>
      </c>
      <c r="E672" s="103"/>
      <c r="F672" s="103"/>
      <c r="G672" s="103" t="str">
        <f>IFERROR(__xludf.DUMMYFUNCTION("""COMPUTED_VALUE"""),"Negative")</f>
        <v>Negative</v>
      </c>
      <c r="H672" s="131" t="str">
        <f>IFERROR(__xludf.DUMMYFUNCTION("""COMPUTED_VALUE"""),"Negative")</f>
        <v>Negative</v>
      </c>
      <c r="I672" s="468">
        <f>IFERROR(__xludf.DUMMYFUNCTION("""COMPUTED_VALUE"""),44597.0)</f>
        <v>44597</v>
      </c>
      <c r="J672" s="470">
        <f>IFERROR(__xludf.DUMMYFUNCTION("""COMPUTED_VALUE"""),0.6685416666666667)</f>
        <v>0.6685416667</v>
      </c>
      <c r="K672" s="16"/>
      <c r="L672" s="8"/>
      <c r="M672" s="69"/>
      <c r="N672" s="69">
        <f>IFERROR(__xludf.DUMMYFUNCTION("""COMPUTED_VALUE"""),1.0)</f>
        <v>1</v>
      </c>
      <c r="O672" s="69" t="str">
        <f t="shared" si="3"/>
        <v/>
      </c>
      <c r="P672" s="471">
        <f>IFERROR(__xludf.DUMMYFUNCTION("""COMPUTED_VALUE"""),0.0)</f>
        <v>0</v>
      </c>
      <c r="Q672" s="274" t="b">
        <f>VLOOKUP($B672,'Run Reconcile'!B$2:O2488,14,FALSE)</f>
        <v>1</v>
      </c>
      <c r="R672" s="472" t="str">
        <f t="array" ref="R672">IF($Q672, INDEX('Run Reconcile'!A$2:A2488,MATCH(B672,'Run Reconcile'!B$2:B2488,0),1),IFERROR(0/0,""))</f>
        <v>RUN-FLMP_2022-02-05_APS-083</v>
      </c>
      <c r="S672" s="473" t="str">
        <f t="shared" si="694"/>
        <v/>
      </c>
      <c r="T672" s="473" t="str">
        <f t="shared" si="698"/>
        <v/>
      </c>
      <c r="U672" s="275" t="str">
        <f t="array" ref="U672">IF(ISBLANK($R672), INDEX('Run Reconcile'!A$2:A2488, MATCH($B672, 'Run Reconcile'!B$2:B2488, 0)+Z672, 1), IFERROR(0/0,""))
</f>
        <v/>
      </c>
      <c r="V672" s="474" t="str">
        <f t="shared" si="5"/>
        <v>RUN-FLMP_2022-02-05_APS-083</v>
      </c>
      <c r="W672" s="103"/>
      <c r="Y672" s="89" t="str">
        <f t="shared" si="867"/>
        <v/>
      </c>
      <c r="Z672" s="60" t="str">
        <f t="shared" si="7"/>
        <v/>
      </c>
      <c r="AA672" s="60" t="str">
        <f t="shared" si="8"/>
        <v/>
      </c>
      <c r="AB672" s="60" t="str">
        <f t="shared" si="9"/>
        <v/>
      </c>
      <c r="AC672" s="30" t="str">
        <f t="shared" ref="AC672:AD672" si="1028">IF(_xlfn.ISFORMULA(S672),IFERROR(0/0,""),TRUE)</f>
        <v/>
      </c>
      <c r="AD672" s="30" t="str">
        <f t="shared" si="1028"/>
        <v/>
      </c>
      <c r="AE672" s="475" t="str">
        <f>IFERROR(__xludf.DUMMYFUNCTION("""COMPUTED_VALUE"""),"FLSP")</f>
        <v>FLSP</v>
      </c>
      <c r="AF672" s="476"/>
      <c r="AG672" s="474" t="s">
        <v>176</v>
      </c>
      <c r="AH672" s="138" t="str">
        <f t="shared" si="11"/>
        <v/>
      </c>
    </row>
    <row r="673">
      <c r="A673" s="103" t="str">
        <f>IFERROR(__xludf.DUMMYFUNCTION("""COMPUTED_VALUE"""),"FLB5748")</f>
        <v>FLB5748</v>
      </c>
      <c r="B673" s="468">
        <f>IFERROR(__xludf.DUMMYFUNCTION("""COMPUTED_VALUE"""),44598.0)</f>
        <v>44598</v>
      </c>
      <c r="C673" s="469">
        <f>IFERROR(__xludf.DUMMYFUNCTION("""COMPUTED_VALUE"""),0.47501157407407407)</f>
        <v>0.4750115741</v>
      </c>
      <c r="D673" s="103" t="str">
        <f>IFERROR(__xludf.DUMMYFUNCTION("""COMPUTED_VALUE"""),"SpFLMP271329")</f>
        <v>SpFLMP271329</v>
      </c>
      <c r="E673" s="103"/>
      <c r="F673" s="103"/>
      <c r="G673" s="103" t="str">
        <f>IFERROR(__xludf.DUMMYFUNCTION("""COMPUTED_VALUE"""),"Negative")</f>
        <v>Negative</v>
      </c>
      <c r="H673" s="131" t="str">
        <f>IFERROR(__xludf.DUMMYFUNCTION("""COMPUTED_VALUE"""),"Negative")</f>
        <v>Negative</v>
      </c>
      <c r="I673" s="468">
        <f>IFERROR(__xludf.DUMMYFUNCTION("""COMPUTED_VALUE"""),44599.0)</f>
        <v>44599</v>
      </c>
      <c r="J673" s="470">
        <f>IFERROR(__xludf.DUMMYFUNCTION("""COMPUTED_VALUE"""),0.4410648148148148)</f>
        <v>0.4410648148</v>
      </c>
      <c r="K673" s="16"/>
      <c r="L673" s="8"/>
      <c r="M673" s="69"/>
      <c r="N673" s="69">
        <f>IFERROR(__xludf.DUMMYFUNCTION("""COMPUTED_VALUE"""),1.0)</f>
        <v>1</v>
      </c>
      <c r="O673" s="69" t="b">
        <f t="shared" si="3"/>
        <v>1</v>
      </c>
      <c r="P673" s="471">
        <f>IFERROR(__xludf.DUMMYFUNCTION("""COMPUTED_VALUE"""),1.0)</f>
        <v>1</v>
      </c>
      <c r="Q673" s="274" t="str">
        <f>VLOOKUP($B673,'Run Reconcile'!B$2:O2488,14,FALSE)</f>
        <v/>
      </c>
      <c r="R673" s="472" t="str">
        <f t="array" ref="R673">IF($Q673, INDEX('Run Reconcile'!A$2:A2488,MATCH(B673,'Run Reconcile'!B$2:B2488,0),1),IFERROR(0/0,""))</f>
        <v/>
      </c>
      <c r="S673" s="473" t="b">
        <f t="shared" si="694"/>
        <v>1</v>
      </c>
      <c r="T673" s="473" t="str">
        <f t="shared" si="698"/>
        <v/>
      </c>
      <c r="U673" s="275" t="str">
        <f t="array" ref="U673">IF(ISBLANK($R673), INDEX('Run Reconcile'!A$2:A2488, MATCH($B673, 'Run Reconcile'!B$2:B2488, 0)+Z673, 1), IFERROR(0/0,""))
</f>
        <v>RUN-FLMP_2022-02-07_RFR-083</v>
      </c>
      <c r="V673" s="474" t="str">
        <f t="shared" si="5"/>
        <v>RUN-FLMP_2022-02-07_RFR-083</v>
      </c>
      <c r="W673" s="8" t="s">
        <v>1447</v>
      </c>
      <c r="Y673" s="89">
        <f t="shared" si="867"/>
        <v>1</v>
      </c>
      <c r="Z673" s="60">
        <f t="shared" si="7"/>
        <v>1</v>
      </c>
      <c r="AA673" s="60">
        <f t="shared" si="8"/>
        <v>1</v>
      </c>
      <c r="AB673" s="60" t="str">
        <f t="shared" si="9"/>
        <v/>
      </c>
      <c r="AC673" s="30" t="str">
        <f t="shared" ref="AC673:AD673" si="1029">IF(_xlfn.ISFORMULA(S673),IFERROR(0/0,""),TRUE)</f>
        <v/>
      </c>
      <c r="AD673" s="30" t="str">
        <f t="shared" si="1029"/>
        <v/>
      </c>
      <c r="AE673" s="475" t="str">
        <f>IFERROR(__xludf.DUMMYFUNCTION("""COMPUTED_VALUE"""),"CRLN")</f>
        <v>CRLN</v>
      </c>
      <c r="AF673" s="476"/>
      <c r="AG673" s="474" t="s">
        <v>177</v>
      </c>
      <c r="AH673" s="138" t="str">
        <f t="shared" si="11"/>
        <v/>
      </c>
    </row>
    <row r="674">
      <c r="A674" s="103" t="str">
        <f>IFERROR(__xludf.DUMMYFUNCTION("""COMPUTED_VALUE"""),"FLB6841")</f>
        <v>FLB6841</v>
      </c>
      <c r="B674" s="468">
        <f>IFERROR(__xludf.DUMMYFUNCTION("""COMPUTED_VALUE"""),44598.0)</f>
        <v>44598</v>
      </c>
      <c r="C674" s="469">
        <f>IFERROR(__xludf.DUMMYFUNCTION("""COMPUTED_VALUE"""),0.6424305555555555)</f>
        <v>0.6424305556</v>
      </c>
      <c r="D674" s="103" t="str">
        <f>IFERROR(__xludf.DUMMYFUNCTION("""COMPUTED_VALUE"""),"SpFLMP572444")</f>
        <v>SpFLMP572444</v>
      </c>
      <c r="E674" s="103"/>
      <c r="F674" s="103"/>
      <c r="G674" s="103" t="str">
        <f>IFERROR(__xludf.DUMMYFUNCTION("""COMPUTED_VALUE"""),"Negative")</f>
        <v>Negative</v>
      </c>
      <c r="H674" s="131" t="str">
        <f>IFERROR(__xludf.DUMMYFUNCTION("""COMPUTED_VALUE"""),"Negative")</f>
        <v>Negative</v>
      </c>
      <c r="I674" s="468">
        <f>IFERROR(__xludf.DUMMYFUNCTION("""COMPUTED_VALUE"""),44599.0)</f>
        <v>44599</v>
      </c>
      <c r="J674" s="470">
        <f>IFERROR(__xludf.DUMMYFUNCTION("""COMPUTED_VALUE"""),0.4410763888888889)</f>
        <v>0.4410763889</v>
      </c>
      <c r="K674" s="16"/>
      <c r="L674" s="8"/>
      <c r="M674" s="69"/>
      <c r="N674" s="69">
        <f>IFERROR(__xludf.DUMMYFUNCTION("""COMPUTED_VALUE"""),4.0)</f>
        <v>4</v>
      </c>
      <c r="O674" s="69" t="str">
        <f t="shared" si="3"/>
        <v/>
      </c>
      <c r="P674" s="471">
        <f>IFERROR(__xludf.DUMMYFUNCTION("""COMPUTED_VALUE"""),1.0)</f>
        <v>1</v>
      </c>
      <c r="Q674" s="274" t="str">
        <f>VLOOKUP($B674,'Run Reconcile'!B$2:O2488,14,FALSE)</f>
        <v/>
      </c>
      <c r="R674" s="472" t="str">
        <f t="array" ref="R674">IF($Q674, INDEX('Run Reconcile'!A$2:A2488,MATCH(B674,'Run Reconcile'!B$2:B2488,0),1),IFERROR(0/0,""))</f>
        <v/>
      </c>
      <c r="S674" s="473" t="b">
        <f t="shared" si="694"/>
        <v>1</v>
      </c>
      <c r="T674" s="473" t="str">
        <f t="shared" si="698"/>
        <v/>
      </c>
      <c r="U674" s="275" t="str">
        <f t="array" ref="U674">IF(ISBLANK($R674), INDEX('Run Reconcile'!A$2:A2488, MATCH($B674, 'Run Reconcile'!B$2:B2488, 0)+Z674, 1), IFERROR(0/0,""))
</f>
        <v>RUN-FLMP_2022-02-07_RFR-083</v>
      </c>
      <c r="V674" s="474" t="str">
        <f t="shared" si="5"/>
        <v>RUN-FLMP_2022-02-07_RFR-083</v>
      </c>
      <c r="W674" s="8" t="s">
        <v>1448</v>
      </c>
      <c r="Y674" s="89">
        <f t="shared" si="867"/>
        <v>1</v>
      </c>
      <c r="Z674" s="60">
        <f t="shared" si="7"/>
        <v>1</v>
      </c>
      <c r="AA674" s="60">
        <f t="shared" si="8"/>
        <v>1</v>
      </c>
      <c r="AB674" s="60" t="str">
        <f t="shared" si="9"/>
        <v/>
      </c>
      <c r="AC674" s="30" t="str">
        <f t="shared" ref="AC674:AD674" si="1030">IF(_xlfn.ISFORMULA(S674),IFERROR(0/0,""),TRUE)</f>
        <v/>
      </c>
      <c r="AD674" s="30" t="str">
        <f t="shared" si="1030"/>
        <v/>
      </c>
      <c r="AE674" s="475" t="str">
        <f>IFERROR(__xludf.DUMMYFUNCTION("""COMPUTED_VALUE"""),"CRLN")</f>
        <v>CRLN</v>
      </c>
      <c r="AF674" s="476"/>
      <c r="AG674" s="474" t="s">
        <v>177</v>
      </c>
      <c r="AH674" s="138" t="str">
        <f t="shared" si="11"/>
        <v/>
      </c>
    </row>
    <row r="675">
      <c r="A675" s="103" t="str">
        <f>IFERROR(__xludf.DUMMYFUNCTION("""COMPUTED_VALUE"""),"FLB5774")</f>
        <v>FLB5774</v>
      </c>
      <c r="B675" s="468">
        <f>IFERROR(__xludf.DUMMYFUNCTION("""COMPUTED_VALUE"""),44599.0)</f>
        <v>44599</v>
      </c>
      <c r="C675" s="469">
        <f>IFERROR(__xludf.DUMMYFUNCTION("""COMPUTED_VALUE"""),0.0)</f>
        <v>0</v>
      </c>
      <c r="D675" s="103" t="str">
        <f>IFERROR(__xludf.DUMMYFUNCTION("""COMPUTED_VALUE"""),"SpFLMP946259")</f>
        <v>SpFLMP946259</v>
      </c>
      <c r="E675" s="103"/>
      <c r="F675" s="103"/>
      <c r="G675" s="103" t="str">
        <f>IFERROR(__xludf.DUMMYFUNCTION("""COMPUTED_VALUE"""),"Negative")</f>
        <v>Negative</v>
      </c>
      <c r="H675" s="131" t="str">
        <f>IFERROR(__xludf.DUMMYFUNCTION("""COMPUTED_VALUE"""),"Negative")</f>
        <v>Negative</v>
      </c>
      <c r="I675" s="468">
        <f>IFERROR(__xludf.DUMMYFUNCTION("""COMPUTED_VALUE"""),44599.0)</f>
        <v>44599</v>
      </c>
      <c r="J675" s="470">
        <f>IFERROR(__xludf.DUMMYFUNCTION("""COMPUTED_VALUE"""),0.0)</f>
        <v>0</v>
      </c>
      <c r="K675" s="16"/>
      <c r="L675" s="8" t="str">
        <f>IFERROR(__xludf.DUMMYFUNCTION("""COMPUTED_VALUE"""),"added tube from daily results report")</f>
        <v>added tube from daily results report</v>
      </c>
      <c r="M675" s="69"/>
      <c r="N675" s="69">
        <f>IFERROR(__xludf.DUMMYFUNCTION("""COMPUTED_VALUE"""),2.0)</f>
        <v>2</v>
      </c>
      <c r="O675" s="69" t="b">
        <f t="shared" si="3"/>
        <v>1</v>
      </c>
      <c r="P675" s="471">
        <f>IFERROR(__xludf.DUMMYFUNCTION("""COMPUTED_VALUE"""),0.0)</f>
        <v>0</v>
      </c>
      <c r="Q675" s="274" t="str">
        <f>VLOOKUP($B675,'Run Reconcile'!B$2:O2488,14,FALSE)</f>
        <v/>
      </c>
      <c r="R675" s="472" t="str">
        <f t="array" ref="R675">IF($Q675, INDEX('Run Reconcile'!A$2:A2488,MATCH(B675,'Run Reconcile'!B$2:B2488,0),1),IFERROR(0/0,""))</f>
        <v/>
      </c>
      <c r="S675" s="473" t="str">
        <f t="shared" si="694"/>
        <v/>
      </c>
      <c r="T675" s="473" t="str">
        <f t="shared" si="698"/>
        <v/>
      </c>
      <c r="U675" s="275" t="str">
        <f t="array" ref="U675">IF(ISBLANK($R675), INDEX('Run Reconcile'!A$2:A2488, MATCH($B675, 'Run Reconcile'!B$2:B2488, 0)+Z675, 1), IFERROR(0/0,""))
</f>
        <v>RUN-FLMP_2022-02-07_RFR-083</v>
      </c>
      <c r="V675" s="474" t="str">
        <f t="shared" si="5"/>
        <v>RUN-FLMP_2022-02-07_RFR-083</v>
      </c>
      <c r="Y675" s="89" t="str">
        <f t="shared" si="867"/>
        <v/>
      </c>
      <c r="Z675" s="60" t="str">
        <f t="shared" si="7"/>
        <v/>
      </c>
      <c r="AA675" s="60" t="str">
        <f t="shared" si="8"/>
        <v/>
      </c>
      <c r="AB675" s="60" t="str">
        <f t="shared" si="9"/>
        <v/>
      </c>
      <c r="AC675" s="30" t="str">
        <f t="shared" ref="AC675:AD675" si="1031">IF(_xlfn.ISFORMULA(S675),IFERROR(0/0,""),TRUE)</f>
        <v/>
      </c>
      <c r="AD675" s="30" t="str">
        <f t="shared" si="1031"/>
        <v/>
      </c>
      <c r="AE675" s="475" t="str">
        <f>IFERROR(__xludf.DUMMYFUNCTION("""COMPUTED_VALUE"""),"CRLN")</f>
        <v>CRLN</v>
      </c>
      <c r="AF675" s="476"/>
      <c r="AG675" s="474" t="s">
        <v>177</v>
      </c>
      <c r="AH675" s="138" t="str">
        <f t="shared" si="11"/>
        <v/>
      </c>
    </row>
    <row r="676">
      <c r="A676" s="103" t="str">
        <f>IFERROR(__xludf.DUMMYFUNCTION("""COMPUTED_VALUE"""),"FLB5731")</f>
        <v>FLB5731</v>
      </c>
      <c r="B676" s="468">
        <f>IFERROR(__xludf.DUMMYFUNCTION("""COMPUTED_VALUE"""),44599.0)</f>
        <v>44599</v>
      </c>
      <c r="C676" s="469">
        <f>IFERROR(__xludf.DUMMYFUNCTION("""COMPUTED_VALUE"""),0.24938657407407408)</f>
        <v>0.2493865741</v>
      </c>
      <c r="D676" s="103" t="str">
        <f>IFERROR(__xludf.DUMMYFUNCTION("""COMPUTED_VALUE"""),"SpFLMP470379")</f>
        <v>SpFLMP470379</v>
      </c>
      <c r="E676" s="103"/>
      <c r="F676" s="103"/>
      <c r="G676" s="103" t="str">
        <f>IFERROR(__xludf.DUMMYFUNCTION("""COMPUTED_VALUE"""),"Negative")</f>
        <v>Negative</v>
      </c>
      <c r="H676" s="131" t="str">
        <f>IFERROR(__xludf.DUMMYFUNCTION("""COMPUTED_VALUE"""),"Negative")</f>
        <v>Negative</v>
      </c>
      <c r="I676" s="468">
        <f>IFERROR(__xludf.DUMMYFUNCTION("""COMPUTED_VALUE"""),44599.0)</f>
        <v>44599</v>
      </c>
      <c r="J676" s="470">
        <f>IFERROR(__xludf.DUMMYFUNCTION("""COMPUTED_VALUE"""),0.4410763888888889)</f>
        <v>0.4410763889</v>
      </c>
      <c r="K676" s="16"/>
      <c r="L676" s="8"/>
      <c r="M676" s="69"/>
      <c r="N676" s="69">
        <f>IFERROR(__xludf.DUMMYFUNCTION("""COMPUTED_VALUE"""),1.0)</f>
        <v>1</v>
      </c>
      <c r="O676" s="69" t="str">
        <f t="shared" si="3"/>
        <v/>
      </c>
      <c r="P676" s="471">
        <f>IFERROR(__xludf.DUMMYFUNCTION("""COMPUTED_VALUE"""),0.0)</f>
        <v>0</v>
      </c>
      <c r="Q676" s="274" t="str">
        <f>VLOOKUP($B676,'Run Reconcile'!B$2:O2488,14,FALSE)</f>
        <v/>
      </c>
      <c r="R676" s="472" t="str">
        <f t="array" ref="R676">IF($Q676, INDEX('Run Reconcile'!A$2:A2488,MATCH(B676,'Run Reconcile'!B$2:B2488,0),1),IFERROR(0/0,""))</f>
        <v/>
      </c>
      <c r="S676" s="473" t="str">
        <f t="shared" si="694"/>
        <v/>
      </c>
      <c r="T676" s="473" t="str">
        <f t="shared" si="698"/>
        <v/>
      </c>
      <c r="U676" s="275" t="str">
        <f t="array" ref="U676">IF(ISBLANK($R676), INDEX('Run Reconcile'!A$2:A2488, MATCH($B676, 'Run Reconcile'!B$2:B2488, 0)+Z676, 1), IFERROR(0/0,""))
</f>
        <v>RUN-FLMP_2022-02-07_RFR-083</v>
      </c>
      <c r="V676" s="474" t="str">
        <f t="shared" si="5"/>
        <v>RUN-FLMP_2022-02-07_RFR-083</v>
      </c>
      <c r="Y676" s="89" t="str">
        <f t="shared" si="867"/>
        <v/>
      </c>
      <c r="Z676" s="60" t="str">
        <f t="shared" si="7"/>
        <v/>
      </c>
      <c r="AA676" s="60" t="str">
        <f t="shared" si="8"/>
        <v/>
      </c>
      <c r="AB676" s="60" t="str">
        <f t="shared" si="9"/>
        <v/>
      </c>
      <c r="AC676" s="30" t="str">
        <f t="shared" ref="AC676:AD676" si="1032">IF(_xlfn.ISFORMULA(S676),IFERROR(0/0,""),TRUE)</f>
        <v/>
      </c>
      <c r="AD676" s="30" t="str">
        <f t="shared" si="1032"/>
        <v/>
      </c>
      <c r="AE676" s="475" t="str">
        <f>IFERROR(__xludf.DUMMYFUNCTION("""COMPUTED_VALUE"""),"CRLN")</f>
        <v>CRLN</v>
      </c>
      <c r="AF676" s="476"/>
      <c r="AG676" s="474" t="s">
        <v>177</v>
      </c>
      <c r="AH676" s="138" t="str">
        <f t="shared" si="11"/>
        <v/>
      </c>
    </row>
    <row r="677">
      <c r="A677" s="103" t="str">
        <f>IFERROR(__xludf.DUMMYFUNCTION("""COMPUTED_VALUE"""),"FLB5794")</f>
        <v>FLB5794</v>
      </c>
      <c r="B677" s="468">
        <f>IFERROR(__xludf.DUMMYFUNCTION("""COMPUTED_VALUE"""),44599.0)</f>
        <v>44599</v>
      </c>
      <c r="C677" s="469">
        <f>IFERROR(__xludf.DUMMYFUNCTION("""COMPUTED_VALUE"""),0.29064814814814816)</f>
        <v>0.2906481481</v>
      </c>
      <c r="D677" s="103" t="str">
        <f>IFERROR(__xludf.DUMMYFUNCTION("""COMPUTED_VALUE"""),"SpFLMP690282")</f>
        <v>SpFLMP690282</v>
      </c>
      <c r="E677" s="103"/>
      <c r="F677" s="103"/>
      <c r="G677" s="103" t="str">
        <f>IFERROR(__xludf.DUMMYFUNCTION("""COMPUTED_VALUE"""),"Negative")</f>
        <v>Negative</v>
      </c>
      <c r="H677" s="131" t="str">
        <f>IFERROR(__xludf.DUMMYFUNCTION("""COMPUTED_VALUE"""),"Negative")</f>
        <v>Negative</v>
      </c>
      <c r="I677" s="468">
        <f>IFERROR(__xludf.DUMMYFUNCTION("""COMPUTED_VALUE"""),44599.0)</f>
        <v>44599</v>
      </c>
      <c r="J677" s="470">
        <f>IFERROR(__xludf.DUMMYFUNCTION("""COMPUTED_VALUE"""),0.4410763888888889)</f>
        <v>0.4410763889</v>
      </c>
      <c r="K677" s="16"/>
      <c r="L677" s="8"/>
      <c r="M677" s="69"/>
      <c r="N677" s="69">
        <f>IFERROR(__xludf.DUMMYFUNCTION("""COMPUTED_VALUE"""),2.0)</f>
        <v>2</v>
      </c>
      <c r="O677" s="69" t="str">
        <f t="shared" si="3"/>
        <v/>
      </c>
      <c r="P677" s="471">
        <f>IFERROR(__xludf.DUMMYFUNCTION("""COMPUTED_VALUE"""),0.0)</f>
        <v>0</v>
      </c>
      <c r="Q677" s="274" t="str">
        <f>VLOOKUP($B677,'Run Reconcile'!B$2:O2488,14,FALSE)</f>
        <v/>
      </c>
      <c r="R677" s="472" t="str">
        <f t="array" ref="R677">IF($Q677, INDEX('Run Reconcile'!A$2:A2488,MATCH(B677,'Run Reconcile'!B$2:B2488,0),1),IFERROR(0/0,""))</f>
        <v/>
      </c>
      <c r="S677" s="473" t="str">
        <f t="shared" si="694"/>
        <v/>
      </c>
      <c r="T677" s="473" t="str">
        <f t="shared" si="698"/>
        <v/>
      </c>
      <c r="U677" s="275" t="str">
        <f t="array" ref="U677">IF(ISBLANK($R677), INDEX('Run Reconcile'!A$2:A2488, MATCH($B677, 'Run Reconcile'!B$2:B2488, 0)+Z677, 1), IFERROR(0/0,""))
</f>
        <v>RUN-FLMP_2022-02-07_RFR-083</v>
      </c>
      <c r="V677" s="474" t="str">
        <f t="shared" si="5"/>
        <v>RUN-FLMP_2022-02-07_RFR-083</v>
      </c>
      <c r="Y677" s="89" t="str">
        <f t="shared" si="867"/>
        <v/>
      </c>
      <c r="Z677" s="60" t="str">
        <f t="shared" si="7"/>
        <v/>
      </c>
      <c r="AA677" s="60" t="str">
        <f t="shared" si="8"/>
        <v/>
      </c>
      <c r="AB677" s="60" t="str">
        <f t="shared" si="9"/>
        <v/>
      </c>
      <c r="AC677" s="30" t="str">
        <f t="shared" ref="AC677:AD677" si="1033">IF(_xlfn.ISFORMULA(S677),IFERROR(0/0,""),TRUE)</f>
        <v/>
      </c>
      <c r="AD677" s="30" t="str">
        <f t="shared" si="1033"/>
        <v/>
      </c>
      <c r="AE677" s="475" t="str">
        <f>IFERROR(__xludf.DUMMYFUNCTION("""COMPUTED_VALUE"""),"CRLN")</f>
        <v>CRLN</v>
      </c>
      <c r="AF677" s="476"/>
      <c r="AG677" s="474" t="s">
        <v>177</v>
      </c>
      <c r="AH677" s="138" t="str">
        <f t="shared" si="11"/>
        <v/>
      </c>
    </row>
    <row r="678">
      <c r="A678" s="103" t="str">
        <f>IFERROR(__xludf.DUMMYFUNCTION("""COMPUTED_VALUE"""),"FLB5728")</f>
        <v>FLB5728</v>
      </c>
      <c r="B678" s="468">
        <f>IFERROR(__xludf.DUMMYFUNCTION("""COMPUTED_VALUE"""),44599.0)</f>
        <v>44599</v>
      </c>
      <c r="C678" s="469">
        <f>IFERROR(__xludf.DUMMYFUNCTION("""COMPUTED_VALUE"""),0.30756944444444445)</f>
        <v>0.3075694444</v>
      </c>
      <c r="D678" s="103" t="str">
        <f>IFERROR(__xludf.DUMMYFUNCTION("""COMPUTED_VALUE"""),"SpFLMP683554")</f>
        <v>SpFLMP683554</v>
      </c>
      <c r="E678" s="103"/>
      <c r="F678" s="103"/>
      <c r="G678" s="103" t="str">
        <f>IFERROR(__xludf.DUMMYFUNCTION("""COMPUTED_VALUE"""),"Negative")</f>
        <v>Negative</v>
      </c>
      <c r="H678" s="131" t="str">
        <f>IFERROR(__xludf.DUMMYFUNCTION("""COMPUTED_VALUE"""),"Negative")</f>
        <v>Negative</v>
      </c>
      <c r="I678" s="468">
        <f>IFERROR(__xludf.DUMMYFUNCTION("""COMPUTED_VALUE"""),44599.0)</f>
        <v>44599</v>
      </c>
      <c r="J678" s="470">
        <f>IFERROR(__xludf.DUMMYFUNCTION("""COMPUTED_VALUE"""),0.4410763888888889)</f>
        <v>0.4410763889</v>
      </c>
      <c r="K678" s="16"/>
      <c r="L678" s="8"/>
      <c r="M678" s="69"/>
      <c r="N678" s="69">
        <f>IFERROR(__xludf.DUMMYFUNCTION("""COMPUTED_VALUE"""),1.0)</f>
        <v>1</v>
      </c>
      <c r="O678" s="69" t="str">
        <f t="shared" si="3"/>
        <v/>
      </c>
      <c r="P678" s="471">
        <f>IFERROR(__xludf.DUMMYFUNCTION("""COMPUTED_VALUE"""),0.0)</f>
        <v>0</v>
      </c>
      <c r="Q678" s="274" t="str">
        <f>VLOOKUP($B678,'Run Reconcile'!B$2:O2488,14,FALSE)</f>
        <v/>
      </c>
      <c r="R678" s="472" t="str">
        <f t="array" ref="R678">IF($Q678, INDEX('Run Reconcile'!A$2:A2488,MATCH(B678,'Run Reconcile'!B$2:B2488,0),1),IFERROR(0/0,""))</f>
        <v/>
      </c>
      <c r="S678" s="473" t="str">
        <f t="shared" si="694"/>
        <v/>
      </c>
      <c r="T678" s="473" t="str">
        <f t="shared" si="698"/>
        <v/>
      </c>
      <c r="U678" s="275" t="str">
        <f t="array" ref="U678">IF(ISBLANK($R678), INDEX('Run Reconcile'!A$2:A2488, MATCH($B678, 'Run Reconcile'!B$2:B2488, 0)+Z678, 1), IFERROR(0/0,""))
</f>
        <v>RUN-FLMP_2022-02-07_RFR-083</v>
      </c>
      <c r="V678" s="474" t="str">
        <f t="shared" si="5"/>
        <v>RUN-FLMP_2022-02-07_RFR-083</v>
      </c>
      <c r="Y678" s="89" t="str">
        <f t="shared" si="867"/>
        <v/>
      </c>
      <c r="Z678" s="60" t="str">
        <f t="shared" si="7"/>
        <v/>
      </c>
      <c r="AA678" s="60" t="str">
        <f t="shared" si="8"/>
        <v/>
      </c>
      <c r="AB678" s="60" t="str">
        <f t="shared" si="9"/>
        <v/>
      </c>
      <c r="AC678" s="30" t="str">
        <f t="shared" ref="AC678:AD678" si="1034">IF(_xlfn.ISFORMULA(S678),IFERROR(0/0,""),TRUE)</f>
        <v/>
      </c>
      <c r="AD678" s="30" t="str">
        <f t="shared" si="1034"/>
        <v/>
      </c>
      <c r="AE678" s="475" t="str">
        <f>IFERROR(__xludf.DUMMYFUNCTION("""COMPUTED_VALUE"""),"CRLN")</f>
        <v>CRLN</v>
      </c>
      <c r="AF678" s="476"/>
      <c r="AG678" s="474" t="s">
        <v>177</v>
      </c>
      <c r="AH678" s="138" t="str">
        <f t="shared" si="11"/>
        <v/>
      </c>
    </row>
    <row r="679">
      <c r="A679" s="103" t="str">
        <f>IFERROR(__xludf.DUMMYFUNCTION("""COMPUTED_VALUE"""),"FLB5828")</f>
        <v>FLB5828</v>
      </c>
      <c r="B679" s="468">
        <f>IFERROR(__xludf.DUMMYFUNCTION("""COMPUTED_VALUE"""),44599.0)</f>
        <v>44599</v>
      </c>
      <c r="C679" s="469">
        <f>IFERROR(__xludf.DUMMYFUNCTION("""COMPUTED_VALUE"""),0.30799768518518517)</f>
        <v>0.3079976852</v>
      </c>
      <c r="D679" s="103" t="str">
        <f>IFERROR(__xludf.DUMMYFUNCTION("""COMPUTED_VALUE"""),"SpFLMP170622")</f>
        <v>SpFLMP170622</v>
      </c>
      <c r="E679" s="103"/>
      <c r="F679" s="103"/>
      <c r="G679" s="103" t="str">
        <f>IFERROR(__xludf.DUMMYFUNCTION("""COMPUTED_VALUE"""),"Negative")</f>
        <v>Negative</v>
      </c>
      <c r="H679" s="131" t="str">
        <f>IFERROR(__xludf.DUMMYFUNCTION("""COMPUTED_VALUE"""),"Negative")</f>
        <v>Negative</v>
      </c>
      <c r="I679" s="468">
        <f>IFERROR(__xludf.DUMMYFUNCTION("""COMPUTED_VALUE"""),44599.0)</f>
        <v>44599</v>
      </c>
      <c r="J679" s="470">
        <f>IFERROR(__xludf.DUMMYFUNCTION("""COMPUTED_VALUE"""),0.4410763888888889)</f>
        <v>0.4410763889</v>
      </c>
      <c r="K679" s="16"/>
      <c r="L679" s="8"/>
      <c r="M679" s="69"/>
      <c r="N679" s="69">
        <f>IFERROR(__xludf.DUMMYFUNCTION("""COMPUTED_VALUE"""),4.0)</f>
        <v>4</v>
      </c>
      <c r="O679" s="69" t="str">
        <f t="shared" si="3"/>
        <v/>
      </c>
      <c r="P679" s="471">
        <f>IFERROR(__xludf.DUMMYFUNCTION("""COMPUTED_VALUE"""),0.0)</f>
        <v>0</v>
      </c>
      <c r="Q679" s="274" t="str">
        <f>VLOOKUP($B679,'Run Reconcile'!B$2:O2488,14,FALSE)</f>
        <v/>
      </c>
      <c r="R679" s="472" t="str">
        <f t="array" ref="R679">IF($Q679, INDEX('Run Reconcile'!A$2:A2488,MATCH(B679,'Run Reconcile'!B$2:B2488,0),1),IFERROR(0/0,""))</f>
        <v/>
      </c>
      <c r="S679" s="473" t="str">
        <f t="shared" si="694"/>
        <v/>
      </c>
      <c r="T679" s="473" t="str">
        <f t="shared" si="698"/>
        <v/>
      </c>
      <c r="U679" s="275" t="str">
        <f t="array" ref="U679">IF(ISBLANK($R679), INDEX('Run Reconcile'!A$2:A2488, MATCH($B679, 'Run Reconcile'!B$2:B2488, 0)+Z679, 1), IFERROR(0/0,""))
</f>
        <v>RUN-FLMP_2022-02-07_RFR-083</v>
      </c>
      <c r="V679" s="474" t="str">
        <f t="shared" si="5"/>
        <v>RUN-FLMP_2022-02-07_RFR-083</v>
      </c>
      <c r="Y679" s="89" t="str">
        <f t="shared" si="867"/>
        <v/>
      </c>
      <c r="Z679" s="60" t="str">
        <f t="shared" si="7"/>
        <v/>
      </c>
      <c r="AA679" s="60" t="str">
        <f t="shared" si="8"/>
        <v/>
      </c>
      <c r="AB679" s="60" t="str">
        <f t="shared" si="9"/>
        <v/>
      </c>
      <c r="AC679" s="30" t="str">
        <f t="shared" ref="AC679:AD679" si="1035">IF(_xlfn.ISFORMULA(S679),IFERROR(0/0,""),TRUE)</f>
        <v/>
      </c>
      <c r="AD679" s="30" t="str">
        <f t="shared" si="1035"/>
        <v/>
      </c>
      <c r="AE679" s="475" t="str">
        <f>IFERROR(__xludf.DUMMYFUNCTION("""COMPUTED_VALUE"""),"CRLN")</f>
        <v>CRLN</v>
      </c>
      <c r="AF679" s="476"/>
      <c r="AG679" s="474" t="s">
        <v>177</v>
      </c>
      <c r="AH679" s="138" t="str">
        <f t="shared" si="11"/>
        <v/>
      </c>
    </row>
    <row r="680">
      <c r="A680" s="103" t="str">
        <f>IFERROR(__xludf.DUMMYFUNCTION("""COMPUTED_VALUE"""),"FLB5859")</f>
        <v>FLB5859</v>
      </c>
      <c r="B680" s="468">
        <f>IFERROR(__xludf.DUMMYFUNCTION("""COMPUTED_VALUE"""),44599.0)</f>
        <v>44599</v>
      </c>
      <c r="C680" s="469">
        <f>IFERROR(__xludf.DUMMYFUNCTION("""COMPUTED_VALUE"""),0.30952546296296296)</f>
        <v>0.309525463</v>
      </c>
      <c r="D680" s="103" t="str">
        <f>IFERROR(__xludf.DUMMYFUNCTION("""COMPUTED_VALUE"""),"SpFLMP228238")</f>
        <v>SpFLMP228238</v>
      </c>
      <c r="E680" s="103"/>
      <c r="F680" s="103"/>
      <c r="G680" s="103" t="str">
        <f>IFERROR(__xludf.DUMMYFUNCTION("""COMPUTED_VALUE"""),"Null")</f>
        <v>Null</v>
      </c>
      <c r="H680" s="131" t="str">
        <f>IFERROR(__xludf.DUMMYFUNCTION("""COMPUTED_VALUE"""),"Negative")</f>
        <v>Negative</v>
      </c>
      <c r="I680" s="468">
        <f>IFERROR(__xludf.DUMMYFUNCTION("""COMPUTED_VALUE"""),44621.0)</f>
        <v>44621</v>
      </c>
      <c r="J680" s="470">
        <f>IFERROR(__xludf.DUMMYFUNCTION("""COMPUTED_VALUE"""),0.5284375)</f>
        <v>0.5284375</v>
      </c>
      <c r="K680" s="16">
        <f>IFERROR(__xludf.DUMMYFUNCTION("""COMPUTED_VALUE"""),2.0)</f>
        <v>2</v>
      </c>
      <c r="L680" s="8" t="str">
        <f>IFERROR(__xludf.DUMMYFUNCTION("""COMPUTED_VALUE"""),"tube marked as neg in rdaily results report")</f>
        <v>tube marked as neg in rdaily results report</v>
      </c>
      <c r="M680" s="69"/>
      <c r="N680" s="69">
        <f>IFERROR(__xludf.DUMMYFUNCTION("""COMPUTED_VALUE"""),3.0)</f>
        <v>3</v>
      </c>
      <c r="O680" s="69" t="str">
        <f t="shared" si="3"/>
        <v/>
      </c>
      <c r="P680" s="471">
        <f>IFERROR(__xludf.DUMMYFUNCTION("""COMPUTED_VALUE"""),22.0)</f>
        <v>22</v>
      </c>
      <c r="Q680" s="274" t="str">
        <f>VLOOKUP($B680,'Run Reconcile'!B$2:O2488,14,FALSE)</f>
        <v/>
      </c>
      <c r="R680" s="472" t="str">
        <f t="array" ref="R680">IF($Q680, INDEX('Run Reconcile'!A$2:A2488,MATCH(B680,'Run Reconcile'!B$2:B2488,0),1),IFERROR(0/0,""))</f>
        <v/>
      </c>
      <c r="S680" s="473" t="str">
        <f t="shared" si="694"/>
        <v/>
      </c>
      <c r="T680" s="473" t="str">
        <f t="shared" si="698"/>
        <v/>
      </c>
      <c r="U680" s="275" t="str">
        <f t="array" ref="U680">IF(ISBLANK($R680), INDEX('Run Reconcile'!A$2:A2488, MATCH($B680, 'Run Reconcile'!B$2:B2488, 0)+Z680, 1), IFERROR(0/0,""))
</f>
        <v>RUN-FLMP_2022-02-07_RFR-083</v>
      </c>
      <c r="V680" s="474" t="str">
        <f t="shared" si="5"/>
        <v>RUN-FLMP_2022-02-07_RFR-083</v>
      </c>
      <c r="Y680" s="89" t="str">
        <f t="shared" si="867"/>
        <v/>
      </c>
      <c r="Z680" s="60" t="str">
        <f t="shared" si="7"/>
        <v/>
      </c>
      <c r="AA680" s="60" t="str">
        <f t="shared" si="8"/>
        <v/>
      </c>
      <c r="AB680" s="60" t="str">
        <f t="shared" si="9"/>
        <v/>
      </c>
      <c r="AC680" s="30" t="str">
        <f t="shared" ref="AC680:AD680" si="1036">IF(_xlfn.ISFORMULA(S680),IFERROR(0/0,""),TRUE)</f>
        <v/>
      </c>
      <c r="AD680" s="30" t="str">
        <f t="shared" si="1036"/>
        <v/>
      </c>
      <c r="AE680" s="475" t="str">
        <f>IFERROR(__xludf.DUMMYFUNCTION("""COMPUTED_VALUE"""),"CRLN")</f>
        <v>CRLN</v>
      </c>
      <c r="AF680" s="476"/>
      <c r="AG680" s="474" t="s">
        <v>177</v>
      </c>
      <c r="AH680" s="138" t="str">
        <f t="shared" si="11"/>
        <v/>
      </c>
    </row>
    <row r="681">
      <c r="A681" s="103" t="str">
        <f>IFERROR(__xludf.DUMMYFUNCTION("""COMPUTED_VALUE"""),"FLB4898")</f>
        <v>FLB4898</v>
      </c>
      <c r="B681" s="468">
        <f>IFERROR(__xludf.DUMMYFUNCTION("""COMPUTED_VALUE"""),44599.0)</f>
        <v>44599</v>
      </c>
      <c r="C681" s="469">
        <f>IFERROR(__xludf.DUMMYFUNCTION("""COMPUTED_VALUE"""),0.31122685185185184)</f>
        <v>0.3112268519</v>
      </c>
      <c r="D681" s="103" t="str">
        <f>IFERROR(__xludf.DUMMYFUNCTION("""COMPUTED_VALUE"""),"SpFLMP777132")</f>
        <v>SpFLMP777132</v>
      </c>
      <c r="E681" s="103"/>
      <c r="F681" s="103"/>
      <c r="G681" s="103" t="str">
        <f>IFERROR(__xludf.DUMMYFUNCTION("""COMPUTED_VALUE"""),"Negative")</f>
        <v>Negative</v>
      </c>
      <c r="H681" s="131" t="str">
        <f>IFERROR(__xludf.DUMMYFUNCTION("""COMPUTED_VALUE"""),"Negative")</f>
        <v>Negative</v>
      </c>
      <c r="I681" s="468">
        <f>IFERROR(__xludf.DUMMYFUNCTION("""COMPUTED_VALUE"""),44599.0)</f>
        <v>44599</v>
      </c>
      <c r="J681" s="470">
        <f>IFERROR(__xludf.DUMMYFUNCTION("""COMPUTED_VALUE"""),0.4410763888888889)</f>
        <v>0.4410763889</v>
      </c>
      <c r="K681" s="16"/>
      <c r="L681" s="8"/>
      <c r="M681" s="69"/>
      <c r="N681" s="69">
        <f>IFERROR(__xludf.DUMMYFUNCTION("""COMPUTED_VALUE"""),4.0)</f>
        <v>4</v>
      </c>
      <c r="O681" s="69" t="str">
        <f t="shared" si="3"/>
        <v/>
      </c>
      <c r="P681" s="471">
        <f>IFERROR(__xludf.DUMMYFUNCTION("""COMPUTED_VALUE"""),0.0)</f>
        <v>0</v>
      </c>
      <c r="Q681" s="274" t="str">
        <f>VLOOKUP($B681,'Run Reconcile'!B$2:O2488,14,FALSE)</f>
        <v/>
      </c>
      <c r="R681" s="472" t="str">
        <f t="array" ref="R681">IF($Q681, INDEX('Run Reconcile'!A$2:A2488,MATCH(B681,'Run Reconcile'!B$2:B2488,0),1),IFERROR(0/0,""))</f>
        <v/>
      </c>
      <c r="S681" s="473" t="str">
        <f t="shared" si="694"/>
        <v/>
      </c>
      <c r="T681" s="473" t="str">
        <f t="shared" si="698"/>
        <v/>
      </c>
      <c r="U681" s="275" t="str">
        <f t="array" ref="U681">IF(ISBLANK($R681), INDEX('Run Reconcile'!A$2:A2488, MATCH($B681, 'Run Reconcile'!B$2:B2488, 0)+Z681, 1), IFERROR(0/0,""))
</f>
        <v>RUN-FLMP_2022-02-07_RFR-083</v>
      </c>
      <c r="V681" s="474" t="str">
        <f t="shared" si="5"/>
        <v>RUN-FLMP_2022-02-07_RFR-083</v>
      </c>
      <c r="Y681" s="89" t="str">
        <f t="shared" si="867"/>
        <v/>
      </c>
      <c r="Z681" s="60" t="str">
        <f t="shared" si="7"/>
        <v/>
      </c>
      <c r="AA681" s="60" t="str">
        <f t="shared" si="8"/>
        <v/>
      </c>
      <c r="AB681" s="60" t="str">
        <f t="shared" si="9"/>
        <v/>
      </c>
      <c r="AC681" s="30" t="str">
        <f t="shared" ref="AC681:AD681" si="1037">IF(_xlfn.ISFORMULA(S681),IFERROR(0/0,""),TRUE)</f>
        <v/>
      </c>
      <c r="AD681" s="30" t="str">
        <f t="shared" si="1037"/>
        <v/>
      </c>
      <c r="AE681" s="475" t="str">
        <f>IFERROR(__xludf.DUMMYFUNCTION("""COMPUTED_VALUE"""),"CRLN")</f>
        <v>CRLN</v>
      </c>
      <c r="AF681" s="476"/>
      <c r="AG681" s="474" t="s">
        <v>177</v>
      </c>
      <c r="AH681" s="138" t="str">
        <f t="shared" si="11"/>
        <v/>
      </c>
    </row>
    <row r="682">
      <c r="A682" s="103" t="str">
        <f>IFERROR(__xludf.DUMMYFUNCTION("""COMPUTED_VALUE"""),"FL5738")</f>
        <v>FL5738</v>
      </c>
      <c r="B682" s="468">
        <f>IFERROR(__xludf.DUMMYFUNCTION("""COMPUTED_VALUE"""),44599.0)</f>
        <v>44599</v>
      </c>
      <c r="C682" s="469">
        <f>IFERROR(__xludf.DUMMYFUNCTION("""COMPUTED_VALUE"""),0.3240277777777778)</f>
        <v>0.3240277778</v>
      </c>
      <c r="D682" s="103" t="str">
        <f>IFERROR(__xludf.DUMMYFUNCTION("""COMPUTED_VALUE"""),"SpFLMP259015")</f>
        <v>SpFLMP259015</v>
      </c>
      <c r="E682" s="103"/>
      <c r="F682" s="103"/>
      <c r="G682" s="103" t="str">
        <f>IFERROR(__xludf.DUMMYFUNCTION("""COMPUTED_VALUE"""),"Null")</f>
        <v>Null</v>
      </c>
      <c r="H682" s="131" t="str">
        <f>IFERROR(__xludf.DUMMYFUNCTION("""COMPUTED_VALUE"""),"Negative")</f>
        <v>Negative</v>
      </c>
      <c r="I682" s="468"/>
      <c r="J682" s="16"/>
      <c r="K682" s="16">
        <f>IFERROR(__xludf.DUMMYFUNCTION("""COMPUTED_VALUE"""),2.0)</f>
        <v>2</v>
      </c>
      <c r="L682" s="8" t="str">
        <f>IFERROR(__xludf.DUMMYFUNCTION("""COMPUTED_VALUE"""),"tube marked as neg in rdaily results report")</f>
        <v>tube marked as neg in rdaily results report</v>
      </c>
      <c r="M682" s="69"/>
      <c r="N682" s="69">
        <f>IFERROR(__xludf.DUMMYFUNCTION("""COMPUTED_VALUE"""),2.0)</f>
        <v>2</v>
      </c>
      <c r="O682" s="69" t="str">
        <f t="shared" si="3"/>
        <v/>
      </c>
      <c r="P682" s="471">
        <f>IFERROR(__xludf.DUMMYFUNCTION("""COMPUTED_VALUE"""),-1.0)</f>
        <v>-1</v>
      </c>
      <c r="Q682" s="274" t="str">
        <f>VLOOKUP($B682,'Run Reconcile'!B$2:O2488,14,FALSE)</f>
        <v/>
      </c>
      <c r="R682" s="472" t="str">
        <f t="array" ref="R682">IF($Q682, INDEX('Run Reconcile'!A$2:A2488,MATCH(B682,'Run Reconcile'!B$2:B2488,0),1),IFERROR(0/0,""))</f>
        <v/>
      </c>
      <c r="S682" s="473" t="str">
        <f t="shared" si="694"/>
        <v/>
      </c>
      <c r="T682" s="473" t="str">
        <f t="shared" si="698"/>
        <v/>
      </c>
      <c r="U682" s="275" t="str">
        <f t="array" ref="U682">IF(ISBLANK($R682), INDEX('Run Reconcile'!A$2:A2488, MATCH($B682, 'Run Reconcile'!B$2:B2488, 0)+Z682, 1), IFERROR(0/0,""))
</f>
        <v>RUN-FLMP_2022-02-07_RFR-083</v>
      </c>
      <c r="V682" s="474" t="str">
        <f t="shared" si="5"/>
        <v>RUN-FLMP_2022-02-07_RFR-083</v>
      </c>
      <c r="Y682" s="89" t="str">
        <f t="shared" si="867"/>
        <v/>
      </c>
      <c r="Z682" s="60" t="str">
        <f t="shared" si="7"/>
        <v/>
      </c>
      <c r="AA682" s="60" t="str">
        <f t="shared" si="8"/>
        <v/>
      </c>
      <c r="AB682" s="60" t="str">
        <f t="shared" si="9"/>
        <v/>
      </c>
      <c r="AC682" s="30" t="str">
        <f t="shared" ref="AC682:AD682" si="1038">IF(_xlfn.ISFORMULA(S682),IFERROR(0/0,""),TRUE)</f>
        <v/>
      </c>
      <c r="AD682" s="30" t="str">
        <f t="shared" si="1038"/>
        <v/>
      </c>
      <c r="AE682" s="475" t="str">
        <f>IFERROR(__xludf.DUMMYFUNCTION("""COMPUTED_VALUE"""),"CRLN")</f>
        <v>CRLN</v>
      </c>
      <c r="AF682" s="476"/>
      <c r="AG682" s="474" t="s">
        <v>177</v>
      </c>
      <c r="AH682" s="138" t="str">
        <f t="shared" si="11"/>
        <v/>
      </c>
    </row>
    <row r="683">
      <c r="A683" s="103" t="str">
        <f>IFERROR(__xludf.DUMMYFUNCTION("""COMPUTED_VALUE"""),"FLB5743")</f>
        <v>FLB5743</v>
      </c>
      <c r="B683" s="468">
        <f>IFERROR(__xludf.DUMMYFUNCTION("""COMPUTED_VALUE"""),44599.0)</f>
        <v>44599</v>
      </c>
      <c r="C683" s="469">
        <f>IFERROR(__xludf.DUMMYFUNCTION("""COMPUTED_VALUE"""),0.32564814814814813)</f>
        <v>0.3256481481</v>
      </c>
      <c r="D683" s="103" t="str">
        <f>IFERROR(__xludf.DUMMYFUNCTION("""COMPUTED_VALUE"""),"SpFLMP939619")</f>
        <v>SpFLMP939619</v>
      </c>
      <c r="E683" s="103"/>
      <c r="F683" s="103"/>
      <c r="G683" s="103" t="str">
        <f>IFERROR(__xludf.DUMMYFUNCTION("""COMPUTED_VALUE"""),"Negative")</f>
        <v>Negative</v>
      </c>
      <c r="H683" s="131" t="str">
        <f>IFERROR(__xludf.DUMMYFUNCTION("""COMPUTED_VALUE"""),"Negative")</f>
        <v>Negative</v>
      </c>
      <c r="I683" s="468">
        <f>IFERROR(__xludf.DUMMYFUNCTION("""COMPUTED_VALUE"""),44599.0)</f>
        <v>44599</v>
      </c>
      <c r="J683" s="470">
        <f>IFERROR(__xludf.DUMMYFUNCTION("""COMPUTED_VALUE"""),0.4410763888888889)</f>
        <v>0.4410763889</v>
      </c>
      <c r="K683" s="16"/>
      <c r="L683" s="8"/>
      <c r="M683" s="69"/>
      <c r="N683" s="69">
        <f>IFERROR(__xludf.DUMMYFUNCTION("""COMPUTED_VALUE"""),1.0)</f>
        <v>1</v>
      </c>
      <c r="O683" s="69" t="str">
        <f t="shared" si="3"/>
        <v/>
      </c>
      <c r="P683" s="471">
        <f>IFERROR(__xludf.DUMMYFUNCTION("""COMPUTED_VALUE"""),0.0)</f>
        <v>0</v>
      </c>
      <c r="Q683" s="274" t="str">
        <f>VLOOKUP($B683,'Run Reconcile'!B$2:O2488,14,FALSE)</f>
        <v/>
      </c>
      <c r="R683" s="472" t="str">
        <f t="array" ref="R683">IF($Q683, INDEX('Run Reconcile'!A$2:A2488,MATCH(B683,'Run Reconcile'!B$2:B2488,0),1),IFERROR(0/0,""))</f>
        <v/>
      </c>
      <c r="S683" s="473" t="str">
        <f t="shared" si="694"/>
        <v/>
      </c>
      <c r="T683" s="473" t="str">
        <f t="shared" si="698"/>
        <v/>
      </c>
      <c r="U683" s="275" t="str">
        <f t="array" ref="U683">IF(ISBLANK($R683), INDEX('Run Reconcile'!A$2:A2488, MATCH($B683, 'Run Reconcile'!B$2:B2488, 0)+Z683, 1), IFERROR(0/0,""))
</f>
        <v>RUN-FLMP_2022-02-07_RFR-083</v>
      </c>
      <c r="V683" s="474" t="str">
        <f t="shared" si="5"/>
        <v>RUN-FLMP_2022-02-07_RFR-083</v>
      </c>
      <c r="Y683" s="89" t="str">
        <f t="shared" si="867"/>
        <v/>
      </c>
      <c r="Z683" s="60" t="str">
        <f t="shared" si="7"/>
        <v/>
      </c>
      <c r="AA683" s="60" t="str">
        <f t="shared" si="8"/>
        <v/>
      </c>
      <c r="AB683" s="60" t="str">
        <f t="shared" si="9"/>
        <v/>
      </c>
      <c r="AC683" s="30" t="str">
        <f t="shared" ref="AC683:AD683" si="1039">IF(_xlfn.ISFORMULA(S683),IFERROR(0/0,""),TRUE)</f>
        <v/>
      </c>
      <c r="AD683" s="30" t="str">
        <f t="shared" si="1039"/>
        <v/>
      </c>
      <c r="AE683" s="475" t="str">
        <f>IFERROR(__xludf.DUMMYFUNCTION("""COMPUTED_VALUE"""),"CRLN")</f>
        <v>CRLN</v>
      </c>
      <c r="AF683" s="476"/>
      <c r="AG683" s="474" t="s">
        <v>177</v>
      </c>
      <c r="AH683" s="138" t="str">
        <f t="shared" si="11"/>
        <v/>
      </c>
    </row>
    <row r="684">
      <c r="A684" s="103" t="str">
        <f>IFERROR(__xludf.DUMMYFUNCTION("""COMPUTED_VALUE"""),"FLB6330")</f>
        <v>FLB6330</v>
      </c>
      <c r="B684" s="468">
        <f>IFERROR(__xludf.DUMMYFUNCTION("""COMPUTED_VALUE"""),44599.0)</f>
        <v>44599</v>
      </c>
      <c r="C684" s="469">
        <f>IFERROR(__xludf.DUMMYFUNCTION("""COMPUTED_VALUE"""),0.3271296296296296)</f>
        <v>0.3271296296</v>
      </c>
      <c r="D684" s="103" t="str">
        <f>IFERROR(__xludf.DUMMYFUNCTION("""COMPUTED_VALUE"""),"SpFLMP259015")</f>
        <v>SpFLMP259015</v>
      </c>
      <c r="E684" s="103"/>
      <c r="F684" s="103"/>
      <c r="G684" s="103" t="str">
        <f>IFERROR(__xludf.DUMMYFUNCTION("""COMPUTED_VALUE"""),"Negative")</f>
        <v>Negative</v>
      </c>
      <c r="H684" s="131" t="str">
        <f>IFERROR(__xludf.DUMMYFUNCTION("""COMPUTED_VALUE"""),"Negative")</f>
        <v>Negative</v>
      </c>
      <c r="I684" s="468">
        <f>IFERROR(__xludf.DUMMYFUNCTION("""COMPUTED_VALUE"""),44599.0)</f>
        <v>44599</v>
      </c>
      <c r="J684" s="470">
        <f>IFERROR(__xludf.DUMMYFUNCTION("""COMPUTED_VALUE"""),0.44680555555555557)</f>
        <v>0.4468055556</v>
      </c>
      <c r="K684" s="16"/>
      <c r="L684" s="8"/>
      <c r="M684" s="69"/>
      <c r="N684" s="69">
        <f>IFERROR(__xludf.DUMMYFUNCTION("""COMPUTED_VALUE"""),4.0)</f>
        <v>4</v>
      </c>
      <c r="O684" s="69" t="str">
        <f t="shared" si="3"/>
        <v/>
      </c>
      <c r="P684" s="471">
        <f>IFERROR(__xludf.DUMMYFUNCTION("""COMPUTED_VALUE"""),0.0)</f>
        <v>0</v>
      </c>
      <c r="Q684" s="274" t="str">
        <f>VLOOKUP($B684,'Run Reconcile'!B$2:O2488,14,FALSE)</f>
        <v/>
      </c>
      <c r="R684" s="472" t="str">
        <f t="array" ref="R684">IF($Q684, INDEX('Run Reconcile'!A$2:A2488,MATCH(B684,'Run Reconcile'!B$2:B2488,0),1),IFERROR(0/0,""))</f>
        <v/>
      </c>
      <c r="S684" s="473" t="str">
        <f t="shared" si="694"/>
        <v/>
      </c>
      <c r="T684" s="473" t="str">
        <f t="shared" si="698"/>
        <v/>
      </c>
      <c r="U684" s="275" t="str">
        <f t="array" ref="U684">IF(ISBLANK($R684), INDEX('Run Reconcile'!A$2:A2488, MATCH($B684, 'Run Reconcile'!B$2:B2488, 0)+Z684, 1), IFERROR(0/0,""))
</f>
        <v>RUN-FLMP_2022-02-07_RFR-083</v>
      </c>
      <c r="V684" s="474" t="str">
        <f t="shared" si="5"/>
        <v>RUN-FLMP_2022-02-07_RFR-083</v>
      </c>
      <c r="Y684" s="89" t="str">
        <f t="shared" si="867"/>
        <v/>
      </c>
      <c r="Z684" s="60" t="str">
        <f t="shared" si="7"/>
        <v/>
      </c>
      <c r="AA684" s="60" t="str">
        <f t="shared" si="8"/>
        <v/>
      </c>
      <c r="AB684" s="60" t="str">
        <f t="shared" si="9"/>
        <v/>
      </c>
      <c r="AC684" s="30" t="str">
        <f t="shared" ref="AC684:AD684" si="1040">IF(_xlfn.ISFORMULA(S684),IFERROR(0/0,""),TRUE)</f>
        <v/>
      </c>
      <c r="AD684" s="30" t="str">
        <f t="shared" si="1040"/>
        <v/>
      </c>
      <c r="AE684" s="475" t="str">
        <f>IFERROR(__xludf.DUMMYFUNCTION("""COMPUTED_VALUE"""),"CRLN")</f>
        <v>CRLN</v>
      </c>
      <c r="AF684" s="476"/>
      <c r="AG684" s="474" t="s">
        <v>177</v>
      </c>
      <c r="AH684" s="138" t="str">
        <f t="shared" si="11"/>
        <v/>
      </c>
    </row>
    <row r="685">
      <c r="A685" s="103" t="str">
        <f>IFERROR(__xludf.DUMMYFUNCTION("""COMPUTED_VALUE"""),"FLT1480")</f>
        <v>FLT1480</v>
      </c>
      <c r="B685" s="468">
        <f>IFERROR(__xludf.DUMMYFUNCTION("""COMPUTED_VALUE"""),44599.0)</f>
        <v>44599</v>
      </c>
      <c r="C685" s="469">
        <f>IFERROR(__xludf.DUMMYFUNCTION("""COMPUTED_VALUE"""),0.32819444444444446)</f>
        <v>0.3281944444</v>
      </c>
      <c r="D685" s="103" t="str">
        <f>IFERROR(__xludf.DUMMYFUNCTION("""COMPUTED_VALUE"""),"SpFLMP544731")</f>
        <v>SpFLMP544731</v>
      </c>
      <c r="E685" s="103"/>
      <c r="F685" s="103"/>
      <c r="G685" s="103" t="str">
        <f>IFERROR(__xludf.DUMMYFUNCTION("""COMPUTED_VALUE"""),"Negative")</f>
        <v>Negative</v>
      </c>
      <c r="H685" s="131" t="str">
        <f>IFERROR(__xludf.DUMMYFUNCTION("""COMPUTED_VALUE"""),"Negative")</f>
        <v>Negative</v>
      </c>
      <c r="I685" s="468">
        <f>IFERROR(__xludf.DUMMYFUNCTION("""COMPUTED_VALUE"""),44599.0)</f>
        <v>44599</v>
      </c>
      <c r="J685" s="470">
        <f>IFERROR(__xludf.DUMMYFUNCTION("""COMPUTED_VALUE"""),0.4410763888888889)</f>
        <v>0.4410763889</v>
      </c>
      <c r="K685" s="16"/>
      <c r="L685" s="8"/>
      <c r="M685" s="69"/>
      <c r="N685" s="69">
        <f>IFERROR(__xludf.DUMMYFUNCTION("""COMPUTED_VALUE"""),1.0)</f>
        <v>1</v>
      </c>
      <c r="O685" s="69" t="str">
        <f t="shared" si="3"/>
        <v/>
      </c>
      <c r="P685" s="471">
        <f>IFERROR(__xludf.DUMMYFUNCTION("""COMPUTED_VALUE"""),0.0)</f>
        <v>0</v>
      </c>
      <c r="Q685" s="274" t="str">
        <f>VLOOKUP($B685,'Run Reconcile'!B$2:O2488,14,FALSE)</f>
        <v/>
      </c>
      <c r="R685" s="472" t="str">
        <f t="array" ref="R685">IF($Q685, INDEX('Run Reconcile'!A$2:A2488,MATCH(B685,'Run Reconcile'!B$2:B2488,0),1),IFERROR(0/0,""))</f>
        <v/>
      </c>
      <c r="S685" s="473" t="str">
        <f t="shared" si="694"/>
        <v/>
      </c>
      <c r="T685" s="473" t="str">
        <f t="shared" si="698"/>
        <v/>
      </c>
      <c r="U685" s="275" t="str">
        <f t="array" ref="U685">IF(ISBLANK($R685), INDEX('Run Reconcile'!A$2:A2488, MATCH($B685, 'Run Reconcile'!B$2:B2488, 0)+Z685, 1), IFERROR(0/0,""))
</f>
        <v>RUN-FLMP_2022-02-07_RFR-083</v>
      </c>
      <c r="V685" s="474" t="str">
        <f t="shared" si="5"/>
        <v>RUN-FLMP_2022-02-07_RFR-083</v>
      </c>
      <c r="Y685" s="89" t="str">
        <f t="shared" si="867"/>
        <v/>
      </c>
      <c r="Z685" s="60" t="str">
        <f t="shared" si="7"/>
        <v/>
      </c>
      <c r="AA685" s="60" t="str">
        <f t="shared" si="8"/>
        <v/>
      </c>
      <c r="AB685" s="60" t="str">
        <f t="shared" si="9"/>
        <v/>
      </c>
      <c r="AC685" s="30" t="str">
        <f t="shared" ref="AC685:AD685" si="1041">IF(_xlfn.ISFORMULA(S685),IFERROR(0/0,""),TRUE)</f>
        <v/>
      </c>
      <c r="AD685" s="30" t="str">
        <f t="shared" si="1041"/>
        <v/>
      </c>
      <c r="AE685" s="475" t="str">
        <f>IFERROR(__xludf.DUMMYFUNCTION("""COMPUTED_VALUE"""),"CRLN")</f>
        <v>CRLN</v>
      </c>
      <c r="AF685" s="476"/>
      <c r="AG685" s="474" t="s">
        <v>177</v>
      </c>
      <c r="AH685" s="138" t="str">
        <f t="shared" si="11"/>
        <v/>
      </c>
    </row>
    <row r="686">
      <c r="A686" s="103" t="str">
        <f>IFERROR(__xludf.DUMMYFUNCTION("""COMPUTED_VALUE"""),"FLB5757")</f>
        <v>FLB5757</v>
      </c>
      <c r="B686" s="468">
        <f>IFERROR(__xludf.DUMMYFUNCTION("""COMPUTED_VALUE"""),44599.0)</f>
        <v>44599</v>
      </c>
      <c r="C686" s="469">
        <f>IFERROR(__xludf.DUMMYFUNCTION("""COMPUTED_VALUE"""),0.32925925925925925)</f>
        <v>0.3292592593</v>
      </c>
      <c r="D686" s="103" t="str">
        <f>IFERROR(__xludf.DUMMYFUNCTION("""COMPUTED_VALUE"""),"SpFLMP273885")</f>
        <v>SpFLMP273885</v>
      </c>
      <c r="E686" s="103"/>
      <c r="F686" s="103"/>
      <c r="G686" s="103" t="str">
        <f>IFERROR(__xludf.DUMMYFUNCTION("""COMPUTED_VALUE"""),"Negative")</f>
        <v>Negative</v>
      </c>
      <c r="H686" s="131" t="str">
        <f>IFERROR(__xludf.DUMMYFUNCTION("""COMPUTED_VALUE"""),"Negative")</f>
        <v>Negative</v>
      </c>
      <c r="I686" s="468">
        <f>IFERROR(__xludf.DUMMYFUNCTION("""COMPUTED_VALUE"""),44599.0)</f>
        <v>44599</v>
      </c>
      <c r="J686" s="470">
        <f>IFERROR(__xludf.DUMMYFUNCTION("""COMPUTED_VALUE"""),0.7658680555555556)</f>
        <v>0.7658680556</v>
      </c>
      <c r="K686" s="16"/>
      <c r="L686" s="8"/>
      <c r="M686" s="69"/>
      <c r="N686" s="69">
        <f>IFERROR(__xludf.DUMMYFUNCTION("""COMPUTED_VALUE"""),3.0)</f>
        <v>3</v>
      </c>
      <c r="O686" s="69" t="str">
        <f t="shared" si="3"/>
        <v/>
      </c>
      <c r="P686" s="471">
        <f>IFERROR(__xludf.DUMMYFUNCTION("""COMPUTED_VALUE"""),0.0)</f>
        <v>0</v>
      </c>
      <c r="Q686" s="274" t="str">
        <f>VLOOKUP($B686,'Run Reconcile'!B$2:O2488,14,FALSE)</f>
        <v/>
      </c>
      <c r="R686" s="472" t="str">
        <f t="array" ref="R686">IF($Q686, INDEX('Run Reconcile'!A$2:A2488,MATCH(B686,'Run Reconcile'!B$2:B2488,0),1),IFERROR(0/0,""))</f>
        <v/>
      </c>
      <c r="S686" s="473" t="str">
        <f t="shared" si="694"/>
        <v/>
      </c>
      <c r="T686" s="473" t="str">
        <f t="shared" si="698"/>
        <v/>
      </c>
      <c r="U686" s="275" t="str">
        <f t="array" ref="U686">IF(ISBLANK($R686), INDEX('Run Reconcile'!A$2:A2488, MATCH($B686, 'Run Reconcile'!B$2:B2488, 0)+Z686, 1), IFERROR(0/0,""))
</f>
        <v>RUN-FLMP_2022-02-07_RFR-083</v>
      </c>
      <c r="V686" s="474" t="str">
        <f t="shared" si="5"/>
        <v>RUN-FLMP_2022-02-07_RFR-083</v>
      </c>
      <c r="Y686" s="89" t="str">
        <f t="shared" si="867"/>
        <v/>
      </c>
      <c r="Z686" s="60" t="str">
        <f t="shared" si="7"/>
        <v/>
      </c>
      <c r="AA686" s="60" t="str">
        <f t="shared" si="8"/>
        <v/>
      </c>
      <c r="AB686" s="60" t="str">
        <f t="shared" si="9"/>
        <v/>
      </c>
      <c r="AC686" s="30" t="str">
        <f t="shared" ref="AC686:AD686" si="1042">IF(_xlfn.ISFORMULA(S686),IFERROR(0/0,""),TRUE)</f>
        <v/>
      </c>
      <c r="AD686" s="30" t="str">
        <f t="shared" si="1042"/>
        <v/>
      </c>
      <c r="AE686" s="475" t="str">
        <f>IFERROR(__xludf.DUMMYFUNCTION("""COMPUTED_VALUE"""),"CRLN")</f>
        <v>CRLN</v>
      </c>
      <c r="AF686" s="476"/>
      <c r="AG686" s="474" t="s">
        <v>177</v>
      </c>
      <c r="AH686" s="138" t="str">
        <f t="shared" si="11"/>
        <v/>
      </c>
    </row>
    <row r="687">
      <c r="A687" s="103" t="str">
        <f>IFERROR(__xludf.DUMMYFUNCTION("""COMPUTED_VALUE"""),"FLB7394")</f>
        <v>FLB7394</v>
      </c>
      <c r="B687" s="468">
        <f>IFERROR(__xludf.DUMMYFUNCTION("""COMPUTED_VALUE"""),44599.0)</f>
        <v>44599</v>
      </c>
      <c r="C687" s="469">
        <f>IFERROR(__xludf.DUMMYFUNCTION("""COMPUTED_VALUE"""),0.3299537037037037)</f>
        <v>0.3299537037</v>
      </c>
      <c r="D687" s="103" t="str">
        <f>IFERROR(__xludf.DUMMYFUNCTION("""COMPUTED_VALUE"""),"SpFLMP314549")</f>
        <v>SpFLMP314549</v>
      </c>
      <c r="E687" s="103"/>
      <c r="F687" s="103"/>
      <c r="G687" s="103" t="str">
        <f>IFERROR(__xludf.DUMMYFUNCTION("""COMPUTED_VALUE"""),"Negative")</f>
        <v>Negative</v>
      </c>
      <c r="H687" s="131" t="str">
        <f>IFERROR(__xludf.DUMMYFUNCTION("""COMPUTED_VALUE"""),"Negative")</f>
        <v>Negative</v>
      </c>
      <c r="I687" s="468">
        <f>IFERROR(__xludf.DUMMYFUNCTION("""COMPUTED_VALUE"""),44599.0)</f>
        <v>44599</v>
      </c>
      <c r="J687" s="470">
        <f>IFERROR(__xludf.DUMMYFUNCTION("""COMPUTED_VALUE"""),0.4410763888888889)</f>
        <v>0.4410763889</v>
      </c>
      <c r="K687" s="16"/>
      <c r="L687" s="8"/>
      <c r="M687" s="69"/>
      <c r="N687" s="69">
        <f>IFERROR(__xludf.DUMMYFUNCTION("""COMPUTED_VALUE"""),1.0)</f>
        <v>1</v>
      </c>
      <c r="O687" s="69" t="str">
        <f t="shared" si="3"/>
        <v/>
      </c>
      <c r="P687" s="471">
        <f>IFERROR(__xludf.DUMMYFUNCTION("""COMPUTED_VALUE"""),0.0)</f>
        <v>0</v>
      </c>
      <c r="Q687" s="274" t="str">
        <f>VLOOKUP($B687,'Run Reconcile'!B$2:O2488,14,FALSE)</f>
        <v/>
      </c>
      <c r="R687" s="472" t="str">
        <f t="array" ref="R687">IF($Q687, INDEX('Run Reconcile'!A$2:A2488,MATCH(B687,'Run Reconcile'!B$2:B2488,0),1),IFERROR(0/0,""))</f>
        <v/>
      </c>
      <c r="S687" s="473" t="str">
        <f t="shared" si="694"/>
        <v/>
      </c>
      <c r="T687" s="473" t="str">
        <f t="shared" si="698"/>
        <v/>
      </c>
      <c r="U687" s="275" t="str">
        <f t="array" ref="U687">IF(ISBLANK($R687), INDEX('Run Reconcile'!A$2:A2488, MATCH($B687, 'Run Reconcile'!B$2:B2488, 0)+Z687, 1), IFERROR(0/0,""))
</f>
        <v>RUN-FLMP_2022-02-07_RFR-083</v>
      </c>
      <c r="V687" s="474" t="str">
        <f t="shared" si="5"/>
        <v>RUN-FLMP_2022-02-07_RFR-083</v>
      </c>
      <c r="Y687" s="89" t="str">
        <f t="shared" si="867"/>
        <v/>
      </c>
      <c r="Z687" s="60" t="str">
        <f t="shared" si="7"/>
        <v/>
      </c>
      <c r="AA687" s="60" t="str">
        <f t="shared" si="8"/>
        <v/>
      </c>
      <c r="AB687" s="60" t="str">
        <f t="shared" si="9"/>
        <v/>
      </c>
      <c r="AC687" s="30" t="str">
        <f t="shared" ref="AC687:AD687" si="1043">IF(_xlfn.ISFORMULA(S687),IFERROR(0/0,""),TRUE)</f>
        <v/>
      </c>
      <c r="AD687" s="30" t="str">
        <f t="shared" si="1043"/>
        <v/>
      </c>
      <c r="AE687" s="475" t="str">
        <f>IFERROR(__xludf.DUMMYFUNCTION("""COMPUTED_VALUE"""),"CRLN")</f>
        <v>CRLN</v>
      </c>
      <c r="AF687" s="476"/>
      <c r="AG687" s="474" t="s">
        <v>177</v>
      </c>
      <c r="AH687" s="138" t="str">
        <f t="shared" si="11"/>
        <v/>
      </c>
    </row>
    <row r="688">
      <c r="A688" s="103" t="str">
        <f>IFERROR(__xludf.DUMMYFUNCTION("""COMPUTED_VALUE"""),"FLB5833")</f>
        <v>FLB5833</v>
      </c>
      <c r="B688" s="468">
        <f>IFERROR(__xludf.DUMMYFUNCTION("""COMPUTED_VALUE"""),44599.0)</f>
        <v>44599</v>
      </c>
      <c r="C688" s="469">
        <f>IFERROR(__xludf.DUMMYFUNCTION("""COMPUTED_VALUE"""),0.33836805555555555)</f>
        <v>0.3383680556</v>
      </c>
      <c r="D688" s="103" t="str">
        <f>IFERROR(__xludf.DUMMYFUNCTION("""COMPUTED_VALUE"""),"SpFLMP904576")</f>
        <v>SpFLMP904576</v>
      </c>
      <c r="E688" s="103"/>
      <c r="F688" s="103"/>
      <c r="G688" s="103" t="str">
        <f>IFERROR(__xludf.DUMMYFUNCTION("""COMPUTED_VALUE"""),"Negative")</f>
        <v>Negative</v>
      </c>
      <c r="H688" s="131" t="str">
        <f>IFERROR(__xludf.DUMMYFUNCTION("""COMPUTED_VALUE"""),"Negative")</f>
        <v>Negative</v>
      </c>
      <c r="I688" s="468">
        <f>IFERROR(__xludf.DUMMYFUNCTION("""COMPUTED_VALUE"""),44599.0)</f>
        <v>44599</v>
      </c>
      <c r="J688" s="470">
        <f>IFERROR(__xludf.DUMMYFUNCTION("""COMPUTED_VALUE"""),0.4410763888888889)</f>
        <v>0.4410763889</v>
      </c>
      <c r="K688" s="16"/>
      <c r="L688" s="8"/>
      <c r="M688" s="69"/>
      <c r="N688" s="69">
        <f>IFERROR(__xludf.DUMMYFUNCTION("""COMPUTED_VALUE"""),3.0)</f>
        <v>3</v>
      </c>
      <c r="O688" s="69" t="str">
        <f t="shared" si="3"/>
        <v/>
      </c>
      <c r="P688" s="471">
        <f>IFERROR(__xludf.DUMMYFUNCTION("""COMPUTED_VALUE"""),0.0)</f>
        <v>0</v>
      </c>
      <c r="Q688" s="274" t="str">
        <f>VLOOKUP($B688,'Run Reconcile'!B$2:O2488,14,FALSE)</f>
        <v/>
      </c>
      <c r="R688" s="472" t="str">
        <f t="array" ref="R688">IF($Q688, INDEX('Run Reconcile'!A$2:A2488,MATCH(B688,'Run Reconcile'!B$2:B2488,0),1),IFERROR(0/0,""))</f>
        <v/>
      </c>
      <c r="S688" s="473" t="str">
        <f t="shared" si="694"/>
        <v/>
      </c>
      <c r="T688" s="473" t="str">
        <f t="shared" si="698"/>
        <v/>
      </c>
      <c r="U688" s="275" t="str">
        <f t="array" ref="U688">IF(ISBLANK($R688), INDEX('Run Reconcile'!A$2:A2488, MATCH($B688, 'Run Reconcile'!B$2:B2488, 0)+Z688, 1), IFERROR(0/0,""))
</f>
        <v>RUN-FLMP_2022-02-07_RFR-083</v>
      </c>
      <c r="V688" s="474" t="str">
        <f t="shared" si="5"/>
        <v>RUN-FLMP_2022-02-07_RFR-083</v>
      </c>
      <c r="Y688" s="89" t="str">
        <f t="shared" si="867"/>
        <v/>
      </c>
      <c r="Z688" s="60" t="str">
        <f t="shared" si="7"/>
        <v/>
      </c>
      <c r="AA688" s="60" t="str">
        <f t="shared" si="8"/>
        <v/>
      </c>
      <c r="AB688" s="60" t="str">
        <f t="shared" si="9"/>
        <v/>
      </c>
      <c r="AC688" s="30" t="str">
        <f t="shared" ref="AC688:AD688" si="1044">IF(_xlfn.ISFORMULA(S688),IFERROR(0/0,""),TRUE)</f>
        <v/>
      </c>
      <c r="AD688" s="30" t="str">
        <f t="shared" si="1044"/>
        <v/>
      </c>
      <c r="AE688" s="475" t="str">
        <f>IFERROR(__xludf.DUMMYFUNCTION("""COMPUTED_VALUE"""),"CRLN")</f>
        <v>CRLN</v>
      </c>
      <c r="AF688" s="476"/>
      <c r="AG688" s="474" t="s">
        <v>177</v>
      </c>
      <c r="AH688" s="138" t="str">
        <f t="shared" si="11"/>
        <v/>
      </c>
    </row>
    <row r="689">
      <c r="A689" s="103" t="str">
        <f>IFERROR(__xludf.DUMMYFUNCTION("""COMPUTED_VALUE"""),"FLB5813")</f>
        <v>FLB5813</v>
      </c>
      <c r="B689" s="468">
        <f>IFERROR(__xludf.DUMMYFUNCTION("""COMPUTED_VALUE"""),44599.0)</f>
        <v>44599</v>
      </c>
      <c r="C689" s="469">
        <f>IFERROR(__xludf.DUMMYFUNCTION("""COMPUTED_VALUE"""),0.34271990740740743)</f>
        <v>0.3427199074</v>
      </c>
      <c r="D689" s="103" t="str">
        <f>IFERROR(__xludf.DUMMYFUNCTION("""COMPUTED_VALUE"""),"SpFLMP525199")</f>
        <v>SpFLMP525199</v>
      </c>
      <c r="E689" s="103"/>
      <c r="F689" s="103"/>
      <c r="G689" s="103" t="str">
        <f>IFERROR(__xludf.DUMMYFUNCTION("""COMPUTED_VALUE"""),"Negative")</f>
        <v>Negative</v>
      </c>
      <c r="H689" s="131" t="str">
        <f>IFERROR(__xludf.DUMMYFUNCTION("""COMPUTED_VALUE"""),"Negative")</f>
        <v>Negative</v>
      </c>
      <c r="I689" s="468">
        <f>IFERROR(__xludf.DUMMYFUNCTION("""COMPUTED_VALUE"""),44599.0)</f>
        <v>44599</v>
      </c>
      <c r="J689" s="470">
        <f>IFERROR(__xludf.DUMMYFUNCTION("""COMPUTED_VALUE"""),0.4410763888888889)</f>
        <v>0.4410763889</v>
      </c>
      <c r="K689" s="16"/>
      <c r="L689" s="8"/>
      <c r="M689" s="69"/>
      <c r="N689" s="69">
        <f>IFERROR(__xludf.DUMMYFUNCTION("""COMPUTED_VALUE"""),3.0)</f>
        <v>3</v>
      </c>
      <c r="O689" s="69" t="str">
        <f t="shared" si="3"/>
        <v/>
      </c>
      <c r="P689" s="471">
        <f>IFERROR(__xludf.DUMMYFUNCTION("""COMPUTED_VALUE"""),0.0)</f>
        <v>0</v>
      </c>
      <c r="Q689" s="274" t="str">
        <f>VLOOKUP($B689,'Run Reconcile'!B$2:O2488,14,FALSE)</f>
        <v/>
      </c>
      <c r="R689" s="472" t="str">
        <f t="array" ref="R689">IF($Q689, INDEX('Run Reconcile'!A$2:A2488,MATCH(B689,'Run Reconcile'!B$2:B2488,0),1),IFERROR(0/0,""))</f>
        <v/>
      </c>
      <c r="S689" s="473" t="str">
        <f t="shared" si="694"/>
        <v/>
      </c>
      <c r="T689" s="473" t="str">
        <f t="shared" si="698"/>
        <v/>
      </c>
      <c r="U689" s="275" t="str">
        <f t="array" ref="U689">IF(ISBLANK($R689), INDEX('Run Reconcile'!A$2:A2488, MATCH($B689, 'Run Reconcile'!B$2:B2488, 0)+Z689, 1), IFERROR(0/0,""))
</f>
        <v>RUN-FLMP_2022-02-07_RFR-083</v>
      </c>
      <c r="V689" s="474" t="str">
        <f t="shared" si="5"/>
        <v>RUN-FLMP_2022-02-07_RFR-083</v>
      </c>
      <c r="Y689" s="89" t="str">
        <f t="shared" si="867"/>
        <v/>
      </c>
      <c r="Z689" s="60" t="str">
        <f t="shared" si="7"/>
        <v/>
      </c>
      <c r="AA689" s="60" t="str">
        <f t="shared" si="8"/>
        <v/>
      </c>
      <c r="AB689" s="60" t="str">
        <f t="shared" si="9"/>
        <v/>
      </c>
      <c r="AC689" s="30" t="str">
        <f t="shared" ref="AC689:AD689" si="1045">IF(_xlfn.ISFORMULA(S689),IFERROR(0/0,""),TRUE)</f>
        <v/>
      </c>
      <c r="AD689" s="30" t="str">
        <f t="shared" si="1045"/>
        <v/>
      </c>
      <c r="AE689" s="475" t="str">
        <f>IFERROR(__xludf.DUMMYFUNCTION("""COMPUTED_VALUE"""),"CRLN")</f>
        <v>CRLN</v>
      </c>
      <c r="AF689" s="476"/>
      <c r="AG689" s="474" t="s">
        <v>177</v>
      </c>
      <c r="AH689" s="138" t="str">
        <f t="shared" si="11"/>
        <v/>
      </c>
    </row>
    <row r="690">
      <c r="A690" s="103" t="str">
        <f>IFERROR(__xludf.DUMMYFUNCTION("""COMPUTED_VALUE"""),"FLB5770")</f>
        <v>FLB5770</v>
      </c>
      <c r="B690" s="468">
        <f>IFERROR(__xludf.DUMMYFUNCTION("""COMPUTED_VALUE"""),44599.0)</f>
        <v>44599</v>
      </c>
      <c r="C690" s="469">
        <f>IFERROR(__xludf.DUMMYFUNCTION("""COMPUTED_VALUE"""),0.3460185185185185)</f>
        <v>0.3460185185</v>
      </c>
      <c r="D690" s="103" t="str">
        <f>IFERROR(__xludf.DUMMYFUNCTION("""COMPUTED_VALUE"""),"SpFLMP600756")</f>
        <v>SpFLMP600756</v>
      </c>
      <c r="E690" s="103"/>
      <c r="F690" s="103"/>
      <c r="G690" s="103" t="str">
        <f>IFERROR(__xludf.DUMMYFUNCTION("""COMPUTED_VALUE"""),"Negative")</f>
        <v>Negative</v>
      </c>
      <c r="H690" s="131" t="str">
        <f>IFERROR(__xludf.DUMMYFUNCTION("""COMPUTED_VALUE"""),"Negative")</f>
        <v>Negative</v>
      </c>
      <c r="I690" s="468">
        <f>IFERROR(__xludf.DUMMYFUNCTION("""COMPUTED_VALUE"""),44599.0)</f>
        <v>44599</v>
      </c>
      <c r="J690" s="470">
        <f>IFERROR(__xludf.DUMMYFUNCTION("""COMPUTED_VALUE"""),0.4410763888888889)</f>
        <v>0.4410763889</v>
      </c>
      <c r="K690" s="16"/>
      <c r="L690" s="8"/>
      <c r="M690" s="69"/>
      <c r="N690" s="69">
        <f>IFERROR(__xludf.DUMMYFUNCTION("""COMPUTED_VALUE"""),2.0)</f>
        <v>2</v>
      </c>
      <c r="O690" s="69" t="str">
        <f t="shared" si="3"/>
        <v/>
      </c>
      <c r="P690" s="471">
        <f>IFERROR(__xludf.DUMMYFUNCTION("""COMPUTED_VALUE"""),0.0)</f>
        <v>0</v>
      </c>
      <c r="Q690" s="274" t="str">
        <f>VLOOKUP($B690,'Run Reconcile'!B$2:O2488,14,FALSE)</f>
        <v/>
      </c>
      <c r="R690" s="472" t="str">
        <f t="array" ref="R690">IF($Q690, INDEX('Run Reconcile'!A$2:A2488,MATCH(B690,'Run Reconcile'!B$2:B2488,0),1),IFERROR(0/0,""))</f>
        <v/>
      </c>
      <c r="S690" s="473" t="str">
        <f t="shared" si="694"/>
        <v/>
      </c>
      <c r="T690" s="473" t="str">
        <f t="shared" si="698"/>
        <v/>
      </c>
      <c r="U690" s="275" t="str">
        <f t="array" ref="U690">IF(ISBLANK($R690), INDEX('Run Reconcile'!A$2:A2488, MATCH($B690, 'Run Reconcile'!B$2:B2488, 0)+Z690, 1), IFERROR(0/0,""))
</f>
        <v>RUN-FLMP_2022-02-07_RFR-083</v>
      </c>
      <c r="V690" s="474" t="str">
        <f t="shared" si="5"/>
        <v>RUN-FLMP_2022-02-07_RFR-083</v>
      </c>
      <c r="Y690" s="89" t="str">
        <f t="shared" si="867"/>
        <v/>
      </c>
      <c r="Z690" s="60" t="str">
        <f t="shared" si="7"/>
        <v/>
      </c>
      <c r="AA690" s="60" t="str">
        <f t="shared" si="8"/>
        <v/>
      </c>
      <c r="AB690" s="60" t="str">
        <f t="shared" si="9"/>
        <v/>
      </c>
      <c r="AC690" s="30" t="str">
        <f t="shared" ref="AC690:AD690" si="1046">IF(_xlfn.ISFORMULA(S690),IFERROR(0/0,""),TRUE)</f>
        <v/>
      </c>
      <c r="AD690" s="30" t="str">
        <f t="shared" si="1046"/>
        <v/>
      </c>
      <c r="AE690" s="475" t="str">
        <f>IFERROR(__xludf.DUMMYFUNCTION("""COMPUTED_VALUE"""),"CRLN")</f>
        <v>CRLN</v>
      </c>
      <c r="AF690" s="476"/>
      <c r="AG690" s="474" t="s">
        <v>177</v>
      </c>
      <c r="AH690" s="138" t="str">
        <f t="shared" si="11"/>
        <v/>
      </c>
    </row>
    <row r="691">
      <c r="A691" s="103" t="str">
        <f>IFERROR(__xludf.DUMMYFUNCTION("""COMPUTED_VALUE"""),"FLT1121")</f>
        <v>FLT1121</v>
      </c>
      <c r="B691" s="468">
        <f>IFERROR(__xludf.DUMMYFUNCTION("""COMPUTED_VALUE"""),44599.0)</f>
        <v>44599</v>
      </c>
      <c r="C691" s="469">
        <f>IFERROR(__xludf.DUMMYFUNCTION("""COMPUTED_VALUE"""),0.35399305555555555)</f>
        <v>0.3539930556</v>
      </c>
      <c r="D691" s="103" t="str">
        <f>IFERROR(__xludf.DUMMYFUNCTION("""COMPUTED_VALUE"""),"SpFLMP309785")</f>
        <v>SpFLMP309785</v>
      </c>
      <c r="E691" s="103"/>
      <c r="F691" s="103"/>
      <c r="G691" s="103" t="str">
        <f>IFERROR(__xludf.DUMMYFUNCTION("""COMPUTED_VALUE"""),"Negative")</f>
        <v>Negative</v>
      </c>
      <c r="H691" s="131" t="str">
        <f>IFERROR(__xludf.DUMMYFUNCTION("""COMPUTED_VALUE"""),"Negative")</f>
        <v>Negative</v>
      </c>
      <c r="I691" s="468">
        <f>IFERROR(__xludf.DUMMYFUNCTION("""COMPUTED_VALUE"""),44599.0)</f>
        <v>44599</v>
      </c>
      <c r="J691" s="470">
        <f>IFERROR(__xludf.DUMMYFUNCTION("""COMPUTED_VALUE"""),0.4410763888888889)</f>
        <v>0.4410763889</v>
      </c>
      <c r="K691" s="16"/>
      <c r="L691" s="8"/>
      <c r="M691" s="69"/>
      <c r="N691" s="69">
        <f>IFERROR(__xludf.DUMMYFUNCTION("""COMPUTED_VALUE"""),4.0)</f>
        <v>4</v>
      </c>
      <c r="O691" s="69" t="str">
        <f t="shared" si="3"/>
        <v/>
      </c>
      <c r="P691" s="471">
        <f>IFERROR(__xludf.DUMMYFUNCTION("""COMPUTED_VALUE"""),0.0)</f>
        <v>0</v>
      </c>
      <c r="Q691" s="274" t="str">
        <f>VLOOKUP($B691,'Run Reconcile'!B$2:O2488,14,FALSE)</f>
        <v/>
      </c>
      <c r="R691" s="472" t="str">
        <f t="array" ref="R691">IF($Q691, INDEX('Run Reconcile'!A$2:A2488,MATCH(B691,'Run Reconcile'!B$2:B2488,0),1),IFERROR(0/0,""))</f>
        <v/>
      </c>
      <c r="S691" s="473" t="str">
        <f t="shared" si="694"/>
        <v/>
      </c>
      <c r="T691" s="473" t="str">
        <f t="shared" si="698"/>
        <v/>
      </c>
      <c r="U691" s="275" t="str">
        <f t="array" ref="U691">IF(ISBLANK($R691), INDEX('Run Reconcile'!A$2:A2488, MATCH($B691, 'Run Reconcile'!B$2:B2488, 0)+Z691, 1), IFERROR(0/0,""))
</f>
        <v>RUN-FLMP_2022-02-07_RFR-083</v>
      </c>
      <c r="V691" s="474" t="str">
        <f t="shared" si="5"/>
        <v>RUN-FLMP_2022-02-07_RFR-083</v>
      </c>
      <c r="Y691" s="89" t="str">
        <f t="shared" si="867"/>
        <v/>
      </c>
      <c r="Z691" s="60" t="str">
        <f t="shared" si="7"/>
        <v/>
      </c>
      <c r="AA691" s="60" t="str">
        <f t="shared" si="8"/>
        <v/>
      </c>
      <c r="AB691" s="60" t="str">
        <f t="shared" si="9"/>
        <v/>
      </c>
      <c r="AC691" s="30" t="str">
        <f t="shared" ref="AC691:AD691" si="1047">IF(_xlfn.ISFORMULA(S691),IFERROR(0/0,""),TRUE)</f>
        <v/>
      </c>
      <c r="AD691" s="30" t="str">
        <f t="shared" si="1047"/>
        <v/>
      </c>
      <c r="AE691" s="475" t="str">
        <f>IFERROR(__xludf.DUMMYFUNCTION("""COMPUTED_VALUE"""),"CRLN")</f>
        <v>CRLN</v>
      </c>
      <c r="AF691" s="476"/>
      <c r="AG691" s="474" t="s">
        <v>177</v>
      </c>
      <c r="AH691" s="138" t="str">
        <f t="shared" si="11"/>
        <v/>
      </c>
    </row>
    <row r="692">
      <c r="A692" s="103" t="str">
        <f>IFERROR(__xludf.DUMMYFUNCTION("""COMPUTED_VALUE"""),"FLE308")</f>
        <v>FLE308</v>
      </c>
      <c r="B692" s="468">
        <f>IFERROR(__xludf.DUMMYFUNCTION("""COMPUTED_VALUE"""),44599.0)</f>
        <v>44599</v>
      </c>
      <c r="C692" s="469">
        <f>IFERROR(__xludf.DUMMYFUNCTION("""COMPUTED_VALUE"""),0.35832175925925924)</f>
        <v>0.3583217593</v>
      </c>
      <c r="D692" s="103" t="str">
        <f>IFERROR(__xludf.DUMMYFUNCTION("""COMPUTED_VALUE"""),"SpFLMP659315")</f>
        <v>SpFLMP659315</v>
      </c>
      <c r="E692" s="103"/>
      <c r="F692" s="103"/>
      <c r="G692" s="103" t="str">
        <f>IFERROR(__xludf.DUMMYFUNCTION("""COMPUTED_VALUE"""),"Negative")</f>
        <v>Negative</v>
      </c>
      <c r="H692" s="131" t="str">
        <f>IFERROR(__xludf.DUMMYFUNCTION("""COMPUTED_VALUE"""),"Negative")</f>
        <v>Negative</v>
      </c>
      <c r="I692" s="468">
        <f>IFERROR(__xludf.DUMMYFUNCTION("""COMPUTED_VALUE"""),44599.0)</f>
        <v>44599</v>
      </c>
      <c r="J692" s="470">
        <f>IFERROR(__xludf.DUMMYFUNCTION("""COMPUTED_VALUE"""),0.4410763888888889)</f>
        <v>0.4410763889</v>
      </c>
      <c r="K692" s="16"/>
      <c r="L692" s="8"/>
      <c r="M692" s="69"/>
      <c r="N692" s="69">
        <f>IFERROR(__xludf.DUMMYFUNCTION("""COMPUTED_VALUE"""),4.0)</f>
        <v>4</v>
      </c>
      <c r="O692" s="69" t="str">
        <f t="shared" si="3"/>
        <v/>
      </c>
      <c r="P692" s="471">
        <f>IFERROR(__xludf.DUMMYFUNCTION("""COMPUTED_VALUE"""),0.0)</f>
        <v>0</v>
      </c>
      <c r="Q692" s="274" t="str">
        <f>VLOOKUP($B692,'Run Reconcile'!B$2:O2488,14,FALSE)</f>
        <v/>
      </c>
      <c r="R692" s="472" t="str">
        <f t="array" ref="R692">IF($Q692, INDEX('Run Reconcile'!A$2:A2488,MATCH(B692,'Run Reconcile'!B$2:B2488,0),1),IFERROR(0/0,""))</f>
        <v/>
      </c>
      <c r="S692" s="473" t="str">
        <f t="shared" si="694"/>
        <v/>
      </c>
      <c r="T692" s="473" t="str">
        <f t="shared" si="698"/>
        <v/>
      </c>
      <c r="U692" s="275" t="str">
        <f t="array" ref="U692">IF(ISBLANK($R692), INDEX('Run Reconcile'!A$2:A2488, MATCH($B692, 'Run Reconcile'!B$2:B2488, 0)+Z692, 1), IFERROR(0/0,""))
</f>
        <v>RUN-FLMP_2022-02-07_RFR-083</v>
      </c>
      <c r="V692" s="474" t="str">
        <f t="shared" si="5"/>
        <v>RUN-FLMP_2022-02-07_RFR-083</v>
      </c>
      <c r="Y692" s="89" t="str">
        <f t="shared" si="867"/>
        <v/>
      </c>
      <c r="Z692" s="60" t="str">
        <f t="shared" si="7"/>
        <v/>
      </c>
      <c r="AA692" s="60" t="str">
        <f t="shared" si="8"/>
        <v/>
      </c>
      <c r="AB692" s="60" t="str">
        <f t="shared" si="9"/>
        <v/>
      </c>
      <c r="AC692" s="30" t="str">
        <f t="shared" ref="AC692:AD692" si="1048">IF(_xlfn.ISFORMULA(S692),IFERROR(0/0,""),TRUE)</f>
        <v/>
      </c>
      <c r="AD692" s="30" t="str">
        <f t="shared" si="1048"/>
        <v/>
      </c>
      <c r="AE692" s="475" t="str">
        <f>IFERROR(__xludf.DUMMYFUNCTION("""COMPUTED_VALUE"""),"CRLN")</f>
        <v>CRLN</v>
      </c>
      <c r="AF692" s="476"/>
      <c r="AG692" s="474" t="s">
        <v>177</v>
      </c>
      <c r="AH692" s="138" t="str">
        <f t="shared" si="11"/>
        <v/>
      </c>
    </row>
    <row r="693">
      <c r="A693" s="103" t="str">
        <f>IFERROR(__xludf.DUMMYFUNCTION("""COMPUTED_VALUE"""),"FLB5984")</f>
        <v>FLB5984</v>
      </c>
      <c r="B693" s="468">
        <f>IFERROR(__xludf.DUMMYFUNCTION("""COMPUTED_VALUE"""),44599.0)</f>
        <v>44599</v>
      </c>
      <c r="C693" s="469">
        <f>IFERROR(__xludf.DUMMYFUNCTION("""COMPUTED_VALUE"""),0.3607986111111111)</f>
        <v>0.3607986111</v>
      </c>
      <c r="D693" s="103" t="str">
        <f>IFERROR(__xludf.DUMMYFUNCTION("""COMPUTED_VALUE"""),"SpFLMP170622")</f>
        <v>SpFLMP170622</v>
      </c>
      <c r="E693" s="103"/>
      <c r="F693" s="103"/>
      <c r="G693" s="103" t="str">
        <f>IFERROR(__xludf.DUMMYFUNCTION("""COMPUTED_VALUE"""),"Negative")</f>
        <v>Negative</v>
      </c>
      <c r="H693" s="131" t="str">
        <f>IFERROR(__xludf.DUMMYFUNCTION("""COMPUTED_VALUE"""),"Negative")</f>
        <v>Negative</v>
      </c>
      <c r="I693" s="468">
        <f>IFERROR(__xludf.DUMMYFUNCTION("""COMPUTED_VALUE"""),44599.0)</f>
        <v>44599</v>
      </c>
      <c r="J693" s="470">
        <f>IFERROR(__xludf.DUMMYFUNCTION("""COMPUTED_VALUE"""),0.46686342592592595)</f>
        <v>0.4668634259</v>
      </c>
      <c r="K693" s="16"/>
      <c r="L693" s="8"/>
      <c r="M693" s="69"/>
      <c r="N693" s="69">
        <f>IFERROR(__xludf.DUMMYFUNCTION("""COMPUTED_VALUE"""),2.0)</f>
        <v>2</v>
      </c>
      <c r="O693" s="69" t="str">
        <f t="shared" si="3"/>
        <v/>
      </c>
      <c r="P693" s="471">
        <f>IFERROR(__xludf.DUMMYFUNCTION("""COMPUTED_VALUE"""),0.0)</f>
        <v>0</v>
      </c>
      <c r="Q693" s="274" t="str">
        <f>VLOOKUP($B693,'Run Reconcile'!B$2:O2488,14,FALSE)</f>
        <v/>
      </c>
      <c r="R693" s="472" t="str">
        <f t="array" ref="R693">IF($Q693, INDEX('Run Reconcile'!A$2:A2488,MATCH(B693,'Run Reconcile'!B$2:B2488,0),1),IFERROR(0/0,""))</f>
        <v/>
      </c>
      <c r="S693" s="473" t="str">
        <f t="shared" si="694"/>
        <v/>
      </c>
      <c r="T693" s="473" t="str">
        <f t="shared" si="698"/>
        <v/>
      </c>
      <c r="U693" s="275" t="str">
        <f t="array" ref="U693">IF(ISBLANK($R693), INDEX('Run Reconcile'!A$2:A2488, MATCH($B693, 'Run Reconcile'!B$2:B2488, 0)+Z693, 1), IFERROR(0/0,""))
</f>
        <v>RUN-FLMP_2022-02-07_RFR-083</v>
      </c>
      <c r="V693" s="474" t="str">
        <f t="shared" si="5"/>
        <v>RUN-FLMP_2022-02-07_RFR-083</v>
      </c>
      <c r="Y693" s="89" t="str">
        <f t="shared" si="867"/>
        <v/>
      </c>
      <c r="Z693" s="60" t="str">
        <f t="shared" si="7"/>
        <v/>
      </c>
      <c r="AA693" s="60" t="str">
        <f t="shared" si="8"/>
        <v/>
      </c>
      <c r="AB693" s="60" t="str">
        <f t="shared" si="9"/>
        <v/>
      </c>
      <c r="AC693" s="30" t="str">
        <f t="shared" ref="AC693:AD693" si="1049">IF(_xlfn.ISFORMULA(S693),IFERROR(0/0,""),TRUE)</f>
        <v/>
      </c>
      <c r="AD693" s="30" t="str">
        <f t="shared" si="1049"/>
        <v/>
      </c>
      <c r="AE693" s="475" t="str">
        <f>IFERROR(__xludf.DUMMYFUNCTION("""COMPUTED_VALUE"""),"CRLN")</f>
        <v>CRLN</v>
      </c>
      <c r="AF693" s="476"/>
      <c r="AG693" s="474" t="s">
        <v>177</v>
      </c>
      <c r="AH693" s="138" t="str">
        <f t="shared" si="11"/>
        <v/>
      </c>
    </row>
    <row r="694">
      <c r="A694" s="103" t="str">
        <f>IFERROR(__xludf.DUMMYFUNCTION("""COMPUTED_VALUE"""),"FLB5880")</f>
        <v>FLB5880</v>
      </c>
      <c r="B694" s="468">
        <f>IFERROR(__xludf.DUMMYFUNCTION("""COMPUTED_VALUE"""),44599.0)</f>
        <v>44599</v>
      </c>
      <c r="C694" s="469">
        <f>IFERROR(__xludf.DUMMYFUNCTION("""COMPUTED_VALUE"""),0.36131944444444447)</f>
        <v>0.3613194444</v>
      </c>
      <c r="D694" s="103" t="str">
        <f>IFERROR(__xludf.DUMMYFUNCTION("""COMPUTED_VALUE"""),"SpFLMP518914")</f>
        <v>SpFLMP518914</v>
      </c>
      <c r="E694" s="103"/>
      <c r="F694" s="103"/>
      <c r="G694" s="103" t="str">
        <f>IFERROR(__xludf.DUMMYFUNCTION("""COMPUTED_VALUE"""),"Negative")</f>
        <v>Negative</v>
      </c>
      <c r="H694" s="131" t="str">
        <f>IFERROR(__xludf.DUMMYFUNCTION("""COMPUTED_VALUE"""),"Negative")</f>
        <v>Negative</v>
      </c>
      <c r="I694" s="468">
        <f>IFERROR(__xludf.DUMMYFUNCTION("""COMPUTED_VALUE"""),44599.0)</f>
        <v>44599</v>
      </c>
      <c r="J694" s="470">
        <f>IFERROR(__xludf.DUMMYFUNCTION("""COMPUTED_VALUE"""),0.4410763888888889)</f>
        <v>0.4410763889</v>
      </c>
      <c r="K694" s="16"/>
      <c r="L694" s="8"/>
      <c r="M694" s="69"/>
      <c r="N694" s="69">
        <f>IFERROR(__xludf.DUMMYFUNCTION("""COMPUTED_VALUE"""),2.0)</f>
        <v>2</v>
      </c>
      <c r="O694" s="69" t="str">
        <f t="shared" si="3"/>
        <v/>
      </c>
      <c r="P694" s="471">
        <f>IFERROR(__xludf.DUMMYFUNCTION("""COMPUTED_VALUE"""),0.0)</f>
        <v>0</v>
      </c>
      <c r="Q694" s="274" t="str">
        <f>VLOOKUP($B694,'Run Reconcile'!B$2:O2488,14,FALSE)</f>
        <v/>
      </c>
      <c r="R694" s="472" t="str">
        <f t="array" ref="R694">IF($Q694, INDEX('Run Reconcile'!A$2:A2488,MATCH(B694,'Run Reconcile'!B$2:B2488,0),1),IFERROR(0/0,""))</f>
        <v/>
      </c>
      <c r="S694" s="473" t="str">
        <f t="shared" si="694"/>
        <v/>
      </c>
      <c r="T694" s="473" t="str">
        <f t="shared" si="698"/>
        <v/>
      </c>
      <c r="U694" s="275" t="str">
        <f t="array" ref="U694">IF(ISBLANK($R694), INDEX('Run Reconcile'!A$2:A2488, MATCH($B694, 'Run Reconcile'!B$2:B2488, 0)+Z694, 1), IFERROR(0/0,""))
</f>
        <v>RUN-FLMP_2022-02-07_RFR-083</v>
      </c>
      <c r="V694" s="474" t="str">
        <f t="shared" si="5"/>
        <v>RUN-FLMP_2022-02-07_RFR-083</v>
      </c>
      <c r="Y694" s="89" t="str">
        <f t="shared" si="867"/>
        <v/>
      </c>
      <c r="Z694" s="60" t="str">
        <f t="shared" si="7"/>
        <v/>
      </c>
      <c r="AA694" s="60" t="str">
        <f t="shared" si="8"/>
        <v/>
      </c>
      <c r="AB694" s="60" t="str">
        <f t="shared" si="9"/>
        <v/>
      </c>
      <c r="AC694" s="30" t="str">
        <f t="shared" ref="AC694:AD694" si="1050">IF(_xlfn.ISFORMULA(S694),IFERROR(0/0,""),TRUE)</f>
        <v/>
      </c>
      <c r="AD694" s="30" t="str">
        <f t="shared" si="1050"/>
        <v/>
      </c>
      <c r="AE694" s="475" t="str">
        <f>IFERROR(__xludf.DUMMYFUNCTION("""COMPUTED_VALUE"""),"CRLN")</f>
        <v>CRLN</v>
      </c>
      <c r="AF694" s="476"/>
      <c r="AG694" s="474" t="s">
        <v>177</v>
      </c>
      <c r="AH694" s="138" t="str">
        <f t="shared" si="11"/>
        <v/>
      </c>
    </row>
    <row r="695">
      <c r="A695" s="103" t="str">
        <f>IFERROR(__xludf.DUMMYFUNCTION("""COMPUTED_VALUE"""),"FLB5742")</f>
        <v>FLB5742</v>
      </c>
      <c r="B695" s="468">
        <f>IFERROR(__xludf.DUMMYFUNCTION("""COMPUTED_VALUE"""),44599.0)</f>
        <v>44599</v>
      </c>
      <c r="C695" s="469">
        <f>IFERROR(__xludf.DUMMYFUNCTION("""COMPUTED_VALUE"""),0.3616550925925926)</f>
        <v>0.3616550926</v>
      </c>
      <c r="D695" s="103" t="str">
        <f>IFERROR(__xludf.DUMMYFUNCTION("""COMPUTED_VALUE"""),"SpFLMP518914")</f>
        <v>SpFLMP518914</v>
      </c>
      <c r="E695" s="103"/>
      <c r="F695" s="103"/>
      <c r="G695" s="103" t="str">
        <f>IFERROR(__xludf.DUMMYFUNCTION("""COMPUTED_VALUE"""),"Negative")</f>
        <v>Negative</v>
      </c>
      <c r="H695" s="131" t="str">
        <f>IFERROR(__xludf.DUMMYFUNCTION("""COMPUTED_VALUE"""),"Negative")</f>
        <v>Negative</v>
      </c>
      <c r="I695" s="468">
        <f>IFERROR(__xludf.DUMMYFUNCTION("""COMPUTED_VALUE"""),44599.0)</f>
        <v>44599</v>
      </c>
      <c r="J695" s="470">
        <f>IFERROR(__xludf.DUMMYFUNCTION("""COMPUTED_VALUE"""),0.4410763888888889)</f>
        <v>0.4410763889</v>
      </c>
      <c r="K695" s="16"/>
      <c r="L695" s="8"/>
      <c r="M695" s="69"/>
      <c r="N695" s="69">
        <f>IFERROR(__xludf.DUMMYFUNCTION("""COMPUTED_VALUE"""),1.0)</f>
        <v>1</v>
      </c>
      <c r="O695" s="69" t="str">
        <f t="shared" si="3"/>
        <v/>
      </c>
      <c r="P695" s="471">
        <f>IFERROR(__xludf.DUMMYFUNCTION("""COMPUTED_VALUE"""),0.0)</f>
        <v>0</v>
      </c>
      <c r="Q695" s="274" t="str">
        <f>VLOOKUP($B695,'Run Reconcile'!B$2:O2488,14,FALSE)</f>
        <v/>
      </c>
      <c r="R695" s="472" t="str">
        <f t="array" ref="R695">IF($Q695, INDEX('Run Reconcile'!A$2:A2488,MATCH(B695,'Run Reconcile'!B$2:B2488,0),1),IFERROR(0/0,""))</f>
        <v/>
      </c>
      <c r="S695" s="473" t="str">
        <f t="shared" si="694"/>
        <v/>
      </c>
      <c r="T695" s="473" t="str">
        <f t="shared" si="698"/>
        <v/>
      </c>
      <c r="U695" s="275" t="str">
        <f t="array" ref="U695">IF(ISBLANK($R695), INDEX('Run Reconcile'!A$2:A2488, MATCH($B695, 'Run Reconcile'!B$2:B2488, 0)+Z695, 1), IFERROR(0/0,""))
</f>
        <v>RUN-FLMP_2022-02-07_RFR-083</v>
      </c>
      <c r="V695" s="474" t="str">
        <f t="shared" si="5"/>
        <v>RUN-FLMP_2022-02-07_RFR-083</v>
      </c>
      <c r="Y695" s="89" t="str">
        <f t="shared" si="867"/>
        <v/>
      </c>
      <c r="Z695" s="60" t="str">
        <f t="shared" si="7"/>
        <v/>
      </c>
      <c r="AA695" s="60" t="str">
        <f t="shared" si="8"/>
        <v/>
      </c>
      <c r="AB695" s="60" t="str">
        <f t="shared" si="9"/>
        <v/>
      </c>
      <c r="AC695" s="30" t="str">
        <f t="shared" ref="AC695:AD695" si="1051">IF(_xlfn.ISFORMULA(S695),IFERROR(0/0,""),TRUE)</f>
        <v/>
      </c>
      <c r="AD695" s="30" t="str">
        <f t="shared" si="1051"/>
        <v/>
      </c>
      <c r="AE695" s="475" t="str">
        <f>IFERROR(__xludf.DUMMYFUNCTION("""COMPUTED_VALUE"""),"CRLN")</f>
        <v>CRLN</v>
      </c>
      <c r="AF695" s="476"/>
      <c r="AG695" s="474" t="s">
        <v>177</v>
      </c>
      <c r="AH695" s="138" t="str">
        <f t="shared" si="11"/>
        <v/>
      </c>
    </row>
    <row r="696">
      <c r="A696" s="103" t="str">
        <f>IFERROR(__xludf.DUMMYFUNCTION("""COMPUTED_VALUE"""),"FLB4918")</f>
        <v>FLB4918</v>
      </c>
      <c r="B696" s="468">
        <f>IFERROR(__xludf.DUMMYFUNCTION("""COMPUTED_VALUE"""),44599.0)</f>
        <v>44599</v>
      </c>
      <c r="C696" s="469">
        <f>IFERROR(__xludf.DUMMYFUNCTION("""COMPUTED_VALUE"""),0.36571759259259257)</f>
        <v>0.3657175926</v>
      </c>
      <c r="D696" s="103" t="str">
        <f>IFERROR(__xludf.DUMMYFUNCTION("""COMPUTED_VALUE"""),"SpFLMP496039")</f>
        <v>SpFLMP496039</v>
      </c>
      <c r="E696" s="103"/>
      <c r="F696" s="103"/>
      <c r="G696" s="103" t="str">
        <f>IFERROR(__xludf.DUMMYFUNCTION("""COMPUTED_VALUE"""),"Negative")</f>
        <v>Negative</v>
      </c>
      <c r="H696" s="131" t="str">
        <f>IFERROR(__xludf.DUMMYFUNCTION("""COMPUTED_VALUE"""),"Negative")</f>
        <v>Negative</v>
      </c>
      <c r="I696" s="468">
        <f>IFERROR(__xludf.DUMMYFUNCTION("""COMPUTED_VALUE"""),44599.0)</f>
        <v>44599</v>
      </c>
      <c r="J696" s="470">
        <f>IFERROR(__xludf.DUMMYFUNCTION("""COMPUTED_VALUE"""),0.4410763888888889)</f>
        <v>0.4410763889</v>
      </c>
      <c r="K696" s="16"/>
      <c r="L696" s="8"/>
      <c r="M696" s="69"/>
      <c r="N696" s="69">
        <f>IFERROR(__xludf.DUMMYFUNCTION("""COMPUTED_VALUE"""),1.0)</f>
        <v>1</v>
      </c>
      <c r="O696" s="69" t="str">
        <f t="shared" si="3"/>
        <v/>
      </c>
      <c r="P696" s="471">
        <f>IFERROR(__xludf.DUMMYFUNCTION("""COMPUTED_VALUE"""),0.0)</f>
        <v>0</v>
      </c>
      <c r="Q696" s="274" t="str">
        <f>VLOOKUP($B696,'Run Reconcile'!B$2:O2488,14,FALSE)</f>
        <v/>
      </c>
      <c r="R696" s="472" t="str">
        <f t="array" ref="R696">IF($Q696, INDEX('Run Reconcile'!A$2:A2488,MATCH(B696,'Run Reconcile'!B$2:B2488,0),1),IFERROR(0/0,""))</f>
        <v/>
      </c>
      <c r="S696" s="473" t="str">
        <f t="shared" si="694"/>
        <v/>
      </c>
      <c r="T696" s="473" t="str">
        <f t="shared" si="698"/>
        <v/>
      </c>
      <c r="U696" s="275" t="str">
        <f t="array" ref="U696">IF(ISBLANK($R696), INDEX('Run Reconcile'!A$2:A2488, MATCH($B696, 'Run Reconcile'!B$2:B2488, 0)+Z696, 1), IFERROR(0/0,""))
</f>
        <v>RUN-FLMP_2022-02-07_RFR-083</v>
      </c>
      <c r="V696" s="474" t="str">
        <f t="shared" si="5"/>
        <v>RUN-FLMP_2022-02-07_RFR-083</v>
      </c>
      <c r="Y696" s="89" t="str">
        <f t="shared" si="867"/>
        <v/>
      </c>
      <c r="Z696" s="60" t="str">
        <f t="shared" si="7"/>
        <v/>
      </c>
      <c r="AA696" s="60" t="str">
        <f t="shared" si="8"/>
        <v/>
      </c>
      <c r="AB696" s="60" t="str">
        <f t="shared" si="9"/>
        <v/>
      </c>
      <c r="AC696" s="30" t="str">
        <f t="shared" ref="AC696:AD696" si="1052">IF(_xlfn.ISFORMULA(S696),IFERROR(0/0,""),TRUE)</f>
        <v/>
      </c>
      <c r="AD696" s="30" t="str">
        <f t="shared" si="1052"/>
        <v/>
      </c>
      <c r="AE696" s="475" t="str">
        <f>IFERROR(__xludf.DUMMYFUNCTION("""COMPUTED_VALUE"""),"CRLN")</f>
        <v>CRLN</v>
      </c>
      <c r="AF696" s="476"/>
      <c r="AG696" s="474" t="s">
        <v>177</v>
      </c>
      <c r="AH696" s="138" t="str">
        <f t="shared" si="11"/>
        <v/>
      </c>
    </row>
    <row r="697">
      <c r="A697" s="103" t="str">
        <f>IFERROR(__xludf.DUMMYFUNCTION("""COMPUTED_VALUE"""),"FLB7174")</f>
        <v>FLB7174</v>
      </c>
      <c r="B697" s="468">
        <f>IFERROR(__xludf.DUMMYFUNCTION("""COMPUTED_VALUE"""),44599.0)</f>
        <v>44599</v>
      </c>
      <c r="C697" s="469">
        <f>IFERROR(__xludf.DUMMYFUNCTION("""COMPUTED_VALUE"""),0.3660763888888889)</f>
        <v>0.3660763889</v>
      </c>
      <c r="D697" s="103" t="str">
        <f>IFERROR(__xludf.DUMMYFUNCTION("""COMPUTED_VALUE"""),"SpFLMP965392")</f>
        <v>SpFLMP965392</v>
      </c>
      <c r="E697" s="103"/>
      <c r="F697" s="103"/>
      <c r="G697" s="103" t="str">
        <f>IFERROR(__xludf.DUMMYFUNCTION("""COMPUTED_VALUE"""),"Negative")</f>
        <v>Negative</v>
      </c>
      <c r="H697" s="131" t="str">
        <f>IFERROR(__xludf.DUMMYFUNCTION("""COMPUTED_VALUE"""),"Negative")</f>
        <v>Negative</v>
      </c>
      <c r="I697" s="468">
        <f>IFERROR(__xludf.DUMMYFUNCTION("""COMPUTED_VALUE"""),44599.0)</f>
        <v>44599</v>
      </c>
      <c r="J697" s="470">
        <f>IFERROR(__xludf.DUMMYFUNCTION("""COMPUTED_VALUE"""),0.4410763888888889)</f>
        <v>0.4410763889</v>
      </c>
      <c r="K697" s="16"/>
      <c r="L697" s="8"/>
      <c r="M697" s="69"/>
      <c r="N697" s="69">
        <f>IFERROR(__xludf.DUMMYFUNCTION("""COMPUTED_VALUE"""),4.0)</f>
        <v>4</v>
      </c>
      <c r="O697" s="69" t="str">
        <f t="shared" si="3"/>
        <v/>
      </c>
      <c r="P697" s="471">
        <f>IFERROR(__xludf.DUMMYFUNCTION("""COMPUTED_VALUE"""),0.0)</f>
        <v>0</v>
      </c>
      <c r="Q697" s="274" t="str">
        <f>VLOOKUP($B697,'Run Reconcile'!B$2:O2488,14,FALSE)</f>
        <v/>
      </c>
      <c r="R697" s="472" t="str">
        <f t="array" ref="R697">IF($Q697, INDEX('Run Reconcile'!A$2:A2488,MATCH(B697,'Run Reconcile'!B$2:B2488,0),1),IFERROR(0/0,""))</f>
        <v/>
      </c>
      <c r="S697" s="473" t="str">
        <f t="shared" si="694"/>
        <v/>
      </c>
      <c r="T697" s="473" t="str">
        <f t="shared" si="698"/>
        <v/>
      </c>
      <c r="U697" s="275" t="str">
        <f t="array" ref="U697">IF(ISBLANK($R697), INDEX('Run Reconcile'!A$2:A2488, MATCH($B697, 'Run Reconcile'!B$2:B2488, 0)+Z697, 1), IFERROR(0/0,""))
</f>
        <v>RUN-FLMP_2022-02-07_RFR-083</v>
      </c>
      <c r="V697" s="474" t="str">
        <f t="shared" si="5"/>
        <v>RUN-FLMP_2022-02-07_RFR-083</v>
      </c>
      <c r="Y697" s="89" t="str">
        <f t="shared" si="867"/>
        <v/>
      </c>
      <c r="Z697" s="60" t="str">
        <f t="shared" si="7"/>
        <v/>
      </c>
      <c r="AA697" s="60" t="str">
        <f t="shared" si="8"/>
        <v/>
      </c>
      <c r="AB697" s="60" t="str">
        <f t="shared" si="9"/>
        <v/>
      </c>
      <c r="AC697" s="30" t="str">
        <f t="shared" ref="AC697:AD697" si="1053">IF(_xlfn.ISFORMULA(S697),IFERROR(0/0,""),TRUE)</f>
        <v/>
      </c>
      <c r="AD697" s="30" t="str">
        <f t="shared" si="1053"/>
        <v/>
      </c>
      <c r="AE697" s="475" t="str">
        <f>IFERROR(__xludf.DUMMYFUNCTION("""COMPUTED_VALUE"""),"CRLN")</f>
        <v>CRLN</v>
      </c>
      <c r="AF697" s="476"/>
      <c r="AG697" s="474" t="s">
        <v>177</v>
      </c>
      <c r="AH697" s="138" t="str">
        <f t="shared" si="11"/>
        <v/>
      </c>
    </row>
    <row r="698">
      <c r="A698" s="103" t="str">
        <f>IFERROR(__xludf.DUMMYFUNCTION("""COMPUTED_VALUE"""),"FLE934")</f>
        <v>FLE934</v>
      </c>
      <c r="B698" s="468">
        <f>IFERROR(__xludf.DUMMYFUNCTION("""COMPUTED_VALUE"""),44599.0)</f>
        <v>44599</v>
      </c>
      <c r="C698" s="469">
        <f>IFERROR(__xludf.DUMMYFUNCTION("""COMPUTED_VALUE"""),0.36658564814814815)</f>
        <v>0.3665856481</v>
      </c>
      <c r="D698" s="103" t="str">
        <f>IFERROR(__xludf.DUMMYFUNCTION("""COMPUTED_VALUE"""),"SpFLMP668449")</f>
        <v>SpFLMP668449</v>
      </c>
      <c r="E698" s="103"/>
      <c r="F698" s="103"/>
      <c r="G698" s="103" t="str">
        <f>IFERROR(__xludf.DUMMYFUNCTION("""COMPUTED_VALUE"""),"Negative")</f>
        <v>Negative</v>
      </c>
      <c r="H698" s="131" t="str">
        <f>IFERROR(__xludf.DUMMYFUNCTION("""COMPUTED_VALUE"""),"Negative")</f>
        <v>Negative</v>
      </c>
      <c r="I698" s="468">
        <f>IFERROR(__xludf.DUMMYFUNCTION("""COMPUTED_VALUE"""),44599.0)</f>
        <v>44599</v>
      </c>
      <c r="J698" s="470">
        <f>IFERROR(__xludf.DUMMYFUNCTION("""COMPUTED_VALUE"""),0.4410763888888889)</f>
        <v>0.4410763889</v>
      </c>
      <c r="K698" s="16"/>
      <c r="L698" s="8"/>
      <c r="M698" s="69"/>
      <c r="N698" s="69">
        <f>IFERROR(__xludf.DUMMYFUNCTION("""COMPUTED_VALUE"""),3.0)</f>
        <v>3</v>
      </c>
      <c r="O698" s="69" t="str">
        <f t="shared" si="3"/>
        <v/>
      </c>
      <c r="P698" s="471">
        <f>IFERROR(__xludf.DUMMYFUNCTION("""COMPUTED_VALUE"""),0.0)</f>
        <v>0</v>
      </c>
      <c r="Q698" s="274" t="str">
        <f>VLOOKUP($B698,'Run Reconcile'!B$2:O2488,14,FALSE)</f>
        <v/>
      </c>
      <c r="R698" s="472" t="str">
        <f t="array" ref="R698">IF($Q698, INDEX('Run Reconcile'!A$2:A2488,MATCH(B698,'Run Reconcile'!B$2:B2488,0),1),IFERROR(0/0,""))</f>
        <v/>
      </c>
      <c r="S698" s="473" t="str">
        <f t="shared" si="694"/>
        <v/>
      </c>
      <c r="T698" s="473" t="str">
        <f t="shared" si="698"/>
        <v/>
      </c>
      <c r="U698" s="275" t="str">
        <f t="array" ref="U698">IF(ISBLANK($R698), INDEX('Run Reconcile'!A$2:A2488, MATCH($B698, 'Run Reconcile'!B$2:B2488, 0)+Z698, 1), IFERROR(0/0,""))
</f>
        <v>RUN-FLMP_2022-02-07_RFR-083</v>
      </c>
      <c r="V698" s="474" t="str">
        <f t="shared" si="5"/>
        <v>RUN-FLMP_2022-02-07_RFR-083</v>
      </c>
      <c r="Y698" s="89" t="str">
        <f t="shared" si="867"/>
        <v/>
      </c>
      <c r="Z698" s="60" t="str">
        <f t="shared" si="7"/>
        <v/>
      </c>
      <c r="AA698" s="60" t="str">
        <f t="shared" si="8"/>
        <v/>
      </c>
      <c r="AB698" s="60" t="str">
        <f t="shared" si="9"/>
        <v/>
      </c>
      <c r="AC698" s="30" t="str">
        <f t="shared" ref="AC698:AD698" si="1054">IF(_xlfn.ISFORMULA(S698),IFERROR(0/0,""),TRUE)</f>
        <v/>
      </c>
      <c r="AD698" s="30" t="str">
        <f t="shared" si="1054"/>
        <v/>
      </c>
      <c r="AE698" s="475" t="str">
        <f>IFERROR(__xludf.DUMMYFUNCTION("""COMPUTED_VALUE"""),"CRLN")</f>
        <v>CRLN</v>
      </c>
      <c r="AF698" s="476"/>
      <c r="AG698" s="474" t="s">
        <v>177</v>
      </c>
      <c r="AH698" s="138" t="str">
        <f t="shared" si="11"/>
        <v/>
      </c>
    </row>
    <row r="699">
      <c r="A699" s="103" t="str">
        <f>IFERROR(__xludf.DUMMYFUNCTION("""COMPUTED_VALUE"""),"FLB5817")</f>
        <v>FLB5817</v>
      </c>
      <c r="B699" s="468">
        <f>IFERROR(__xludf.DUMMYFUNCTION("""COMPUTED_VALUE"""),44599.0)</f>
        <v>44599</v>
      </c>
      <c r="C699" s="469">
        <f>IFERROR(__xludf.DUMMYFUNCTION("""COMPUTED_VALUE"""),0.3677314814814815)</f>
        <v>0.3677314815</v>
      </c>
      <c r="D699" s="103" t="str">
        <f>IFERROR(__xludf.DUMMYFUNCTION("""COMPUTED_VALUE"""),"SpFLMP268514")</f>
        <v>SpFLMP268514</v>
      </c>
      <c r="E699" s="103"/>
      <c r="F699" s="103"/>
      <c r="G699" s="103" t="str">
        <f>IFERROR(__xludf.DUMMYFUNCTION("""COMPUTED_VALUE"""),"Negative")</f>
        <v>Negative</v>
      </c>
      <c r="H699" s="131" t="str">
        <f>IFERROR(__xludf.DUMMYFUNCTION("""COMPUTED_VALUE"""),"Negative")</f>
        <v>Negative</v>
      </c>
      <c r="I699" s="468">
        <f>IFERROR(__xludf.DUMMYFUNCTION("""COMPUTED_VALUE"""),44599.0)</f>
        <v>44599</v>
      </c>
      <c r="J699" s="470">
        <f>IFERROR(__xludf.DUMMYFUNCTION("""COMPUTED_VALUE"""),0.4410763888888889)</f>
        <v>0.4410763889</v>
      </c>
      <c r="K699" s="16"/>
      <c r="L699" s="8"/>
      <c r="M699" s="69"/>
      <c r="N699" s="69">
        <f>IFERROR(__xludf.DUMMYFUNCTION("""COMPUTED_VALUE"""),2.0)</f>
        <v>2</v>
      </c>
      <c r="O699" s="69" t="str">
        <f t="shared" si="3"/>
        <v/>
      </c>
      <c r="P699" s="471">
        <f>IFERROR(__xludf.DUMMYFUNCTION("""COMPUTED_VALUE"""),0.0)</f>
        <v>0</v>
      </c>
      <c r="Q699" s="274" t="str">
        <f>VLOOKUP($B699,'Run Reconcile'!B$2:O2488,14,FALSE)</f>
        <v/>
      </c>
      <c r="R699" s="472" t="str">
        <f t="array" ref="R699">IF($Q699, INDEX('Run Reconcile'!A$2:A2488,MATCH(B699,'Run Reconcile'!B$2:B2488,0),1),IFERROR(0/0,""))</f>
        <v/>
      </c>
      <c r="S699" s="473" t="str">
        <f t="shared" si="694"/>
        <v/>
      </c>
      <c r="T699" s="473" t="str">
        <f t="shared" si="698"/>
        <v/>
      </c>
      <c r="U699" s="275" t="str">
        <f t="array" ref="U699">IF(ISBLANK($R699), INDEX('Run Reconcile'!A$2:A2488, MATCH($B699, 'Run Reconcile'!B$2:B2488, 0)+Z699, 1), IFERROR(0/0,""))
</f>
        <v>RUN-FLMP_2022-02-07_RFR-083</v>
      </c>
      <c r="V699" s="474" t="str">
        <f t="shared" si="5"/>
        <v>RUN-FLMP_2022-02-07_RFR-083</v>
      </c>
      <c r="Y699" s="89" t="str">
        <f t="shared" si="867"/>
        <v/>
      </c>
      <c r="Z699" s="60" t="str">
        <f t="shared" si="7"/>
        <v/>
      </c>
      <c r="AA699" s="60" t="str">
        <f t="shared" si="8"/>
        <v/>
      </c>
      <c r="AB699" s="60" t="str">
        <f t="shared" si="9"/>
        <v/>
      </c>
      <c r="AC699" s="30" t="str">
        <f t="shared" ref="AC699:AD699" si="1055">IF(_xlfn.ISFORMULA(S699),IFERROR(0/0,""),TRUE)</f>
        <v/>
      </c>
      <c r="AD699" s="30" t="str">
        <f t="shared" si="1055"/>
        <v/>
      </c>
      <c r="AE699" s="475" t="str">
        <f>IFERROR(__xludf.DUMMYFUNCTION("""COMPUTED_VALUE"""),"CRLN")</f>
        <v>CRLN</v>
      </c>
      <c r="AF699" s="476"/>
      <c r="AG699" s="474" t="s">
        <v>177</v>
      </c>
      <c r="AH699" s="138" t="str">
        <f t="shared" si="11"/>
        <v/>
      </c>
    </row>
    <row r="700">
      <c r="A700" s="103" t="str">
        <f>IFERROR(__xludf.DUMMYFUNCTION("""COMPUTED_VALUE"""),"FLB5811")</f>
        <v>FLB5811</v>
      </c>
      <c r="B700" s="468">
        <f>IFERROR(__xludf.DUMMYFUNCTION("""COMPUTED_VALUE"""),44599.0)</f>
        <v>44599</v>
      </c>
      <c r="C700" s="469">
        <f>IFERROR(__xludf.DUMMYFUNCTION("""COMPUTED_VALUE"""),0.3740625)</f>
        <v>0.3740625</v>
      </c>
      <c r="D700" s="103" t="str">
        <f>IFERROR(__xludf.DUMMYFUNCTION("""COMPUTED_VALUE"""),"SpFLMP518914")</f>
        <v>SpFLMP518914</v>
      </c>
      <c r="E700" s="103"/>
      <c r="F700" s="103"/>
      <c r="G700" s="103" t="str">
        <f>IFERROR(__xludf.DUMMYFUNCTION("""COMPUTED_VALUE"""),"Negative")</f>
        <v>Negative</v>
      </c>
      <c r="H700" s="131" t="str">
        <f>IFERROR(__xludf.DUMMYFUNCTION("""COMPUTED_VALUE"""),"Negative")</f>
        <v>Negative</v>
      </c>
      <c r="I700" s="468">
        <f>IFERROR(__xludf.DUMMYFUNCTION("""COMPUTED_VALUE"""),44599.0)</f>
        <v>44599</v>
      </c>
      <c r="J700" s="470">
        <f>IFERROR(__xludf.DUMMYFUNCTION("""COMPUTED_VALUE"""),0.4410763888888889)</f>
        <v>0.4410763889</v>
      </c>
      <c r="K700" s="16"/>
      <c r="L700" s="8"/>
      <c r="M700" s="69"/>
      <c r="N700" s="69">
        <f>IFERROR(__xludf.DUMMYFUNCTION("""COMPUTED_VALUE"""),1.0)</f>
        <v>1</v>
      </c>
      <c r="O700" s="69" t="str">
        <f t="shared" si="3"/>
        <v/>
      </c>
      <c r="P700" s="471">
        <f>IFERROR(__xludf.DUMMYFUNCTION("""COMPUTED_VALUE"""),0.0)</f>
        <v>0</v>
      </c>
      <c r="Q700" s="274" t="str">
        <f>VLOOKUP($B700,'Run Reconcile'!B$2:O2488,14,FALSE)</f>
        <v/>
      </c>
      <c r="R700" s="472" t="str">
        <f t="array" ref="R700">IF($Q700, INDEX('Run Reconcile'!A$2:A2488,MATCH(B700,'Run Reconcile'!B$2:B2488,0),1),IFERROR(0/0,""))</f>
        <v/>
      </c>
      <c r="S700" s="473" t="str">
        <f t="shared" si="694"/>
        <v/>
      </c>
      <c r="T700" s="473" t="str">
        <f t="shared" si="698"/>
        <v/>
      </c>
      <c r="U700" s="275" t="str">
        <f t="array" ref="U700">IF(ISBLANK($R700), INDEX('Run Reconcile'!A$2:A2488, MATCH($B700, 'Run Reconcile'!B$2:B2488, 0)+Z700, 1), IFERROR(0/0,""))
</f>
        <v>RUN-FLMP_2022-02-07_RFR-083</v>
      </c>
      <c r="V700" s="474" t="str">
        <f t="shared" si="5"/>
        <v>RUN-FLMP_2022-02-07_RFR-083</v>
      </c>
      <c r="Y700" s="89" t="str">
        <f t="shared" si="867"/>
        <v/>
      </c>
      <c r="Z700" s="60" t="str">
        <f t="shared" si="7"/>
        <v/>
      </c>
      <c r="AA700" s="60" t="str">
        <f t="shared" si="8"/>
        <v/>
      </c>
      <c r="AB700" s="60" t="str">
        <f t="shared" si="9"/>
        <v/>
      </c>
      <c r="AC700" s="30" t="str">
        <f t="shared" ref="AC700:AD700" si="1056">IF(_xlfn.ISFORMULA(S700),IFERROR(0/0,""),TRUE)</f>
        <v/>
      </c>
      <c r="AD700" s="30" t="str">
        <f t="shared" si="1056"/>
        <v/>
      </c>
      <c r="AE700" s="475" t="str">
        <f>IFERROR(__xludf.DUMMYFUNCTION("""COMPUTED_VALUE"""),"CRLN")</f>
        <v>CRLN</v>
      </c>
      <c r="AF700" s="476"/>
      <c r="AG700" s="474" t="s">
        <v>177</v>
      </c>
      <c r="AH700" s="138" t="str">
        <f t="shared" si="11"/>
        <v/>
      </c>
    </row>
    <row r="701">
      <c r="A701" s="477" t="str">
        <f>IFERROR(__xludf.DUMMYFUNCTION("""COMPUTED_VALUE"""),"FLB5793")</f>
        <v>FLB5793</v>
      </c>
      <c r="B701" s="478">
        <f>IFERROR(__xludf.DUMMYFUNCTION("""COMPUTED_VALUE"""),44601.0)</f>
        <v>44601</v>
      </c>
      <c r="C701" s="479">
        <f>IFERROR(__xludf.DUMMYFUNCTION("""COMPUTED_VALUE"""),0.7367013888888889)</f>
        <v>0.7367013889</v>
      </c>
      <c r="D701" s="477" t="str">
        <f>IFERROR(__xludf.DUMMYFUNCTION("""COMPUTED_VALUE"""),"SpFLMP683554")</f>
        <v>SpFLMP683554</v>
      </c>
      <c r="E701" s="477"/>
      <c r="F701" s="477"/>
      <c r="G701" s="477" t="str">
        <f>IFERROR(__xludf.DUMMYFUNCTION("""COMPUTED_VALUE"""),"Negative")</f>
        <v>Negative</v>
      </c>
      <c r="H701" s="480" t="str">
        <f>IFERROR(__xludf.DUMMYFUNCTION("""COMPUTED_VALUE"""),"Negative")</f>
        <v>Negative</v>
      </c>
      <c r="I701" s="478">
        <f>IFERROR(__xludf.DUMMYFUNCTION("""COMPUTED_VALUE"""),44602.0)</f>
        <v>44602</v>
      </c>
      <c r="J701" s="481">
        <f>IFERROR(__xludf.DUMMYFUNCTION("""COMPUTED_VALUE"""),0.4455208333333333)</f>
        <v>0.4455208333</v>
      </c>
      <c r="K701" s="156"/>
      <c r="L701" s="19"/>
      <c r="M701" s="482"/>
      <c r="N701" s="482">
        <f>IFERROR(__xludf.DUMMYFUNCTION("""COMPUTED_VALUE"""),1.0)</f>
        <v>1</v>
      </c>
      <c r="O701" s="482" t="b">
        <f t="shared" si="3"/>
        <v>1</v>
      </c>
      <c r="P701" s="483">
        <f>IFERROR(__xludf.DUMMYFUNCTION("""COMPUTED_VALUE"""),1.0)</f>
        <v>1</v>
      </c>
      <c r="Q701" s="352" t="str">
        <f>VLOOKUP($B701,'Run Reconcile'!B$2:O2488,14,FALSE)</f>
        <v/>
      </c>
      <c r="R701" s="484" t="str">
        <f t="array" ref="R701">IF($Q701, INDEX('Run Reconcile'!A$2:A2488,MATCH(B701,'Run Reconcile'!B$2:B2488,0),1),IFERROR(0/0,""))</f>
        <v/>
      </c>
      <c r="S701" s="485" t="b">
        <f t="shared" si="694"/>
        <v>1</v>
      </c>
      <c r="T701" s="485" t="str">
        <f t="shared" si="698"/>
        <v/>
      </c>
      <c r="U701" s="353" t="str">
        <f t="array" ref="U701">IF(ISBLANK($R701), INDEX('Run Reconcile'!A$2:A2488, MATCH($B701, 'Run Reconcile'!B$2:B2488, 0)+Z701, 1), IFERROR(0/0,""))
</f>
        <v>RUN-FLMP_2022-02-10_RFR-085</v>
      </c>
      <c r="V701" s="486" t="str">
        <f t="shared" si="5"/>
        <v>RUN-FLMP_2022-02-10_RFR-085</v>
      </c>
      <c r="W701" s="19" t="s">
        <v>1449</v>
      </c>
      <c r="X701" s="19"/>
      <c r="Y701" s="89">
        <f t="shared" si="867"/>
        <v>1</v>
      </c>
      <c r="Z701" s="60">
        <f t="shared" si="7"/>
        <v>1</v>
      </c>
      <c r="AA701" s="60">
        <f t="shared" si="8"/>
        <v>1</v>
      </c>
      <c r="AB701" s="60" t="str">
        <f t="shared" si="9"/>
        <v/>
      </c>
      <c r="AC701" s="158" t="str">
        <f t="shared" ref="AC701:AD701" si="1057">IF(_xlfn.ISFORMULA(S701),IFERROR(0/0,""),TRUE)</f>
        <v/>
      </c>
      <c r="AD701" s="158" t="str">
        <f t="shared" si="1057"/>
        <v/>
      </c>
      <c r="AE701" s="488" t="str">
        <f>IFERROR(__xludf.DUMMYFUNCTION("""COMPUTED_VALUE"""),"CRLN")</f>
        <v>CRLN</v>
      </c>
      <c r="AF701" s="489"/>
      <c r="AG701" s="486" t="s">
        <v>178</v>
      </c>
      <c r="AH701" s="138" t="str">
        <f t="shared" si="11"/>
        <v/>
      </c>
      <c r="AI701" s="19"/>
      <c r="AJ701" s="19"/>
      <c r="AK701" s="19"/>
      <c r="AL701" s="19"/>
      <c r="AM701" s="19"/>
    </row>
    <row r="702">
      <c r="A702" s="103" t="str">
        <f>IFERROR(__xludf.DUMMYFUNCTION("""COMPUTED_VALUE"""),"FLB5783")</f>
        <v>FLB5783</v>
      </c>
      <c r="B702" s="468">
        <f>IFERROR(__xludf.DUMMYFUNCTION("""COMPUTED_VALUE"""),44602.0)</f>
        <v>44602</v>
      </c>
      <c r="C702" s="469">
        <f>IFERROR(__xludf.DUMMYFUNCTION("""COMPUTED_VALUE"""),0.22148148148148147)</f>
        <v>0.2214814815</v>
      </c>
      <c r="D702" s="103" t="str">
        <f>IFERROR(__xludf.DUMMYFUNCTION("""COMPUTED_VALUE"""),"SpFLMP470379")</f>
        <v>SpFLMP470379</v>
      </c>
      <c r="E702" s="103"/>
      <c r="F702" s="103"/>
      <c r="G702" s="103" t="str">
        <f>IFERROR(__xludf.DUMMYFUNCTION("""COMPUTED_VALUE"""),"Negative")</f>
        <v>Negative</v>
      </c>
      <c r="H702" s="131" t="str">
        <f>IFERROR(__xludf.DUMMYFUNCTION("""COMPUTED_VALUE"""),"Negative")</f>
        <v>Negative</v>
      </c>
      <c r="I702" s="468">
        <f>IFERROR(__xludf.DUMMYFUNCTION("""COMPUTED_VALUE"""),44602.0)</f>
        <v>44602</v>
      </c>
      <c r="J702" s="470">
        <f>IFERROR(__xludf.DUMMYFUNCTION("""COMPUTED_VALUE"""),0.4455208333333333)</f>
        <v>0.4455208333</v>
      </c>
      <c r="K702" s="16"/>
      <c r="L702" s="8"/>
      <c r="M702" s="69"/>
      <c r="N702" s="69">
        <f>IFERROR(__xludf.DUMMYFUNCTION("""COMPUTED_VALUE"""),1.0)</f>
        <v>1</v>
      </c>
      <c r="O702" s="69" t="b">
        <f t="shared" si="3"/>
        <v>1</v>
      </c>
      <c r="P702" s="471">
        <f>IFERROR(__xludf.DUMMYFUNCTION("""COMPUTED_VALUE"""),0.0)</f>
        <v>0</v>
      </c>
      <c r="Q702" s="274" t="str">
        <f>VLOOKUP($B702,'Run Reconcile'!B$2:O2488,14,FALSE)</f>
        <v/>
      </c>
      <c r="R702" s="472" t="str">
        <f t="array" ref="R702">IF($Q702, INDEX('Run Reconcile'!A$2:A2488,MATCH(B702,'Run Reconcile'!B$2:B2488,0),1),IFERROR(0/0,""))</f>
        <v/>
      </c>
      <c r="S702" s="473" t="str">
        <f t="shared" si="694"/>
        <v/>
      </c>
      <c r="T702" s="473" t="str">
        <f t="shared" si="698"/>
        <v/>
      </c>
      <c r="U702" s="275" t="str">
        <f t="array" ref="U702">IF(ISBLANK($R702), INDEX('Run Reconcile'!A$2:A2488, MATCH($B702, 'Run Reconcile'!B$2:B2488, 0)+Z702, 1), IFERROR(0/0,""))
</f>
        <v>RUN-FLMP_2022-02-10_RFR-085</v>
      </c>
      <c r="V702" s="474" t="str">
        <f t="shared" si="5"/>
        <v>RUN-FLMP_2022-02-10_RFR-085</v>
      </c>
      <c r="Y702" s="89" t="str">
        <f t="shared" si="867"/>
        <v/>
      </c>
      <c r="Z702" s="60" t="str">
        <f t="shared" si="7"/>
        <v/>
      </c>
      <c r="AA702" s="60" t="str">
        <f t="shared" si="8"/>
        <v/>
      </c>
      <c r="AB702" s="60" t="str">
        <f t="shared" si="9"/>
        <v/>
      </c>
      <c r="AC702" s="30" t="str">
        <f t="shared" ref="AC702:AD702" si="1058">IF(_xlfn.ISFORMULA(S702),IFERROR(0/0,""),TRUE)</f>
        <v/>
      </c>
      <c r="AD702" s="30" t="str">
        <f t="shared" si="1058"/>
        <v/>
      </c>
      <c r="AE702" s="475" t="str">
        <f>IFERROR(__xludf.DUMMYFUNCTION("""COMPUTED_VALUE"""),"CRLN")</f>
        <v>CRLN</v>
      </c>
      <c r="AF702" s="476"/>
      <c r="AG702" s="474" t="s">
        <v>178</v>
      </c>
      <c r="AH702" s="138" t="str">
        <f t="shared" si="11"/>
        <v/>
      </c>
    </row>
    <row r="703">
      <c r="A703" s="103" t="str">
        <f>IFERROR(__xludf.DUMMYFUNCTION("""COMPUTED_VALUE"""),"FLB4927")</f>
        <v>FLB4927</v>
      </c>
      <c r="B703" s="468">
        <f>IFERROR(__xludf.DUMMYFUNCTION("""COMPUTED_VALUE"""),44602.0)</f>
        <v>44602</v>
      </c>
      <c r="C703" s="469">
        <f>IFERROR(__xludf.DUMMYFUNCTION("""COMPUTED_VALUE"""),0.2919097222222222)</f>
        <v>0.2919097222</v>
      </c>
      <c r="D703" s="103" t="str">
        <f>IFERROR(__xludf.DUMMYFUNCTION("""COMPUTED_VALUE"""),"SpFLMP690282")</f>
        <v>SpFLMP690282</v>
      </c>
      <c r="E703" s="103"/>
      <c r="F703" s="103"/>
      <c r="G703" s="103" t="str">
        <f>IFERROR(__xludf.DUMMYFUNCTION("""COMPUTED_VALUE"""),"Negative")</f>
        <v>Negative</v>
      </c>
      <c r="H703" s="131" t="str">
        <f>IFERROR(__xludf.DUMMYFUNCTION("""COMPUTED_VALUE"""),"Negative")</f>
        <v>Negative</v>
      </c>
      <c r="I703" s="468">
        <f>IFERROR(__xludf.DUMMYFUNCTION("""COMPUTED_VALUE"""),44602.0)</f>
        <v>44602</v>
      </c>
      <c r="J703" s="470">
        <f>IFERROR(__xludf.DUMMYFUNCTION("""COMPUTED_VALUE"""),0.4455208333333333)</f>
        <v>0.4455208333</v>
      </c>
      <c r="K703" s="16"/>
      <c r="L703" s="8"/>
      <c r="M703" s="69"/>
      <c r="N703" s="69">
        <f>IFERROR(__xludf.DUMMYFUNCTION("""COMPUTED_VALUE"""),2.0)</f>
        <v>2</v>
      </c>
      <c r="O703" s="69" t="str">
        <f t="shared" si="3"/>
        <v/>
      </c>
      <c r="P703" s="471">
        <f>IFERROR(__xludf.DUMMYFUNCTION("""COMPUTED_VALUE"""),0.0)</f>
        <v>0</v>
      </c>
      <c r="Q703" s="274" t="str">
        <f>VLOOKUP($B703,'Run Reconcile'!B$2:O2488,14,FALSE)</f>
        <v/>
      </c>
      <c r="R703" s="472" t="str">
        <f t="array" ref="R703">IF($Q703, INDEX('Run Reconcile'!A$2:A2488,MATCH(B703,'Run Reconcile'!B$2:B2488,0),1),IFERROR(0/0,""))</f>
        <v/>
      </c>
      <c r="S703" s="473" t="str">
        <f t="shared" si="694"/>
        <v/>
      </c>
      <c r="T703" s="473" t="str">
        <f t="shared" si="698"/>
        <v/>
      </c>
      <c r="U703" s="275" t="str">
        <f t="array" ref="U703">IF(ISBLANK($R703), INDEX('Run Reconcile'!A$2:A2488, MATCH($B703, 'Run Reconcile'!B$2:B2488, 0)+Z703, 1), IFERROR(0/0,""))
</f>
        <v>RUN-FLMP_2022-02-10_RFR-085</v>
      </c>
      <c r="V703" s="474" t="str">
        <f t="shared" si="5"/>
        <v>RUN-FLMP_2022-02-10_RFR-085</v>
      </c>
      <c r="Y703" s="89" t="str">
        <f t="shared" si="867"/>
        <v/>
      </c>
      <c r="Z703" s="60" t="str">
        <f t="shared" si="7"/>
        <v/>
      </c>
      <c r="AA703" s="60" t="str">
        <f t="shared" si="8"/>
        <v/>
      </c>
      <c r="AB703" s="60" t="str">
        <f t="shared" si="9"/>
        <v/>
      </c>
      <c r="AC703" s="30" t="str">
        <f t="shared" ref="AC703:AD703" si="1059">IF(_xlfn.ISFORMULA(S703),IFERROR(0/0,""),TRUE)</f>
        <v/>
      </c>
      <c r="AD703" s="30" t="str">
        <f t="shared" si="1059"/>
        <v/>
      </c>
      <c r="AE703" s="475" t="str">
        <f>IFERROR(__xludf.DUMMYFUNCTION("""COMPUTED_VALUE"""),"CRLN")</f>
        <v>CRLN</v>
      </c>
      <c r="AF703" s="476"/>
      <c r="AG703" s="474" t="s">
        <v>178</v>
      </c>
      <c r="AH703" s="138" t="str">
        <f t="shared" si="11"/>
        <v/>
      </c>
    </row>
    <row r="704">
      <c r="A704" s="103" t="str">
        <f>IFERROR(__xludf.DUMMYFUNCTION("""COMPUTED_VALUE"""),"FLB5732")</f>
        <v>FLB5732</v>
      </c>
      <c r="B704" s="468">
        <f>IFERROR(__xludf.DUMMYFUNCTION("""COMPUTED_VALUE"""),44602.0)</f>
        <v>44602</v>
      </c>
      <c r="C704" s="469">
        <f>IFERROR(__xludf.DUMMYFUNCTION("""COMPUTED_VALUE"""),0.3112037037037037)</f>
        <v>0.3112037037</v>
      </c>
      <c r="D704" s="103" t="str">
        <f>IFERROR(__xludf.DUMMYFUNCTION("""COMPUTED_VALUE"""),"SpFLMP965392")</f>
        <v>SpFLMP965392</v>
      </c>
      <c r="E704" s="103"/>
      <c r="F704" s="103"/>
      <c r="G704" s="103" t="str">
        <f>IFERROR(__xludf.DUMMYFUNCTION("""COMPUTED_VALUE"""),"Negative")</f>
        <v>Negative</v>
      </c>
      <c r="H704" s="131" t="str">
        <f>IFERROR(__xludf.DUMMYFUNCTION("""COMPUTED_VALUE"""),"Negative")</f>
        <v>Negative</v>
      </c>
      <c r="I704" s="468">
        <f>IFERROR(__xludf.DUMMYFUNCTION("""COMPUTED_VALUE"""),44602.0)</f>
        <v>44602</v>
      </c>
      <c r="J704" s="470">
        <f>IFERROR(__xludf.DUMMYFUNCTION("""COMPUTED_VALUE"""),0.4455208333333333)</f>
        <v>0.4455208333</v>
      </c>
      <c r="K704" s="16"/>
      <c r="L704" s="8"/>
      <c r="M704" s="69"/>
      <c r="N704" s="69">
        <f>IFERROR(__xludf.DUMMYFUNCTION("""COMPUTED_VALUE"""),4.0)</f>
        <v>4</v>
      </c>
      <c r="O704" s="69" t="str">
        <f t="shared" si="3"/>
        <v/>
      </c>
      <c r="P704" s="471">
        <f>IFERROR(__xludf.DUMMYFUNCTION("""COMPUTED_VALUE"""),0.0)</f>
        <v>0</v>
      </c>
      <c r="Q704" s="274" t="str">
        <f>VLOOKUP($B704,'Run Reconcile'!B$2:O2488,14,FALSE)</f>
        <v/>
      </c>
      <c r="R704" s="472" t="str">
        <f t="array" ref="R704">IF($Q704, INDEX('Run Reconcile'!A$2:A2488,MATCH(B704,'Run Reconcile'!B$2:B2488,0),1),IFERROR(0/0,""))</f>
        <v/>
      </c>
      <c r="S704" s="473" t="str">
        <f t="shared" si="694"/>
        <v/>
      </c>
      <c r="T704" s="473" t="str">
        <f t="shared" si="698"/>
        <v/>
      </c>
      <c r="U704" s="275" t="str">
        <f t="array" ref="U704">IF(ISBLANK($R704), INDEX('Run Reconcile'!A$2:A2488, MATCH($B704, 'Run Reconcile'!B$2:B2488, 0)+Z704, 1), IFERROR(0/0,""))
</f>
        <v>RUN-FLMP_2022-02-10_RFR-085</v>
      </c>
      <c r="V704" s="474" t="str">
        <f t="shared" si="5"/>
        <v>RUN-FLMP_2022-02-10_RFR-085</v>
      </c>
      <c r="Y704" s="89" t="str">
        <f t="shared" si="867"/>
        <v/>
      </c>
      <c r="Z704" s="60" t="str">
        <f t="shared" si="7"/>
        <v/>
      </c>
      <c r="AA704" s="60" t="str">
        <f t="shared" si="8"/>
        <v/>
      </c>
      <c r="AB704" s="60" t="str">
        <f t="shared" si="9"/>
        <v/>
      </c>
      <c r="AC704" s="30" t="str">
        <f t="shared" ref="AC704:AD704" si="1060">IF(_xlfn.ISFORMULA(S704),IFERROR(0/0,""),TRUE)</f>
        <v/>
      </c>
      <c r="AD704" s="30" t="str">
        <f t="shared" si="1060"/>
        <v/>
      </c>
      <c r="AE704" s="475" t="str">
        <f>IFERROR(__xludf.DUMMYFUNCTION("""COMPUTED_VALUE"""),"CRLN")</f>
        <v>CRLN</v>
      </c>
      <c r="AF704" s="476"/>
      <c r="AG704" s="474" t="s">
        <v>178</v>
      </c>
      <c r="AH704" s="138" t="str">
        <f t="shared" si="11"/>
        <v/>
      </c>
    </row>
    <row r="705">
      <c r="A705" s="103" t="str">
        <f>IFERROR(__xludf.DUMMYFUNCTION("""COMPUTED_VALUE"""),"FLB5967")</f>
        <v>FLB5967</v>
      </c>
      <c r="B705" s="468">
        <f>IFERROR(__xludf.DUMMYFUNCTION("""COMPUTED_VALUE"""),44602.0)</f>
        <v>44602</v>
      </c>
      <c r="C705" s="469">
        <f>IFERROR(__xludf.DUMMYFUNCTION("""COMPUTED_VALUE"""),0.3119560185185185)</f>
        <v>0.3119560185</v>
      </c>
      <c r="D705" s="103" t="str">
        <f>IFERROR(__xludf.DUMMYFUNCTION("""COMPUTED_VALUE"""),"SpFLMP259015")</f>
        <v>SpFLMP259015</v>
      </c>
      <c r="E705" s="103"/>
      <c r="F705" s="103"/>
      <c r="G705" s="103" t="str">
        <f>IFERROR(__xludf.DUMMYFUNCTION("""COMPUTED_VALUE"""),"Negative")</f>
        <v>Negative</v>
      </c>
      <c r="H705" s="131" t="str">
        <f>IFERROR(__xludf.DUMMYFUNCTION("""COMPUTED_VALUE"""),"Negative")</f>
        <v>Negative</v>
      </c>
      <c r="I705" s="468">
        <f>IFERROR(__xludf.DUMMYFUNCTION("""COMPUTED_VALUE"""),44602.0)</f>
        <v>44602</v>
      </c>
      <c r="J705" s="470">
        <f>IFERROR(__xludf.DUMMYFUNCTION("""COMPUTED_VALUE"""),0.4455208333333333)</f>
        <v>0.4455208333</v>
      </c>
      <c r="K705" s="16"/>
      <c r="L705" s="8"/>
      <c r="M705" s="69"/>
      <c r="N705" s="69">
        <f>IFERROR(__xludf.DUMMYFUNCTION("""COMPUTED_VALUE"""),4.0)</f>
        <v>4</v>
      </c>
      <c r="O705" s="69" t="str">
        <f t="shared" si="3"/>
        <v/>
      </c>
      <c r="P705" s="471">
        <f>IFERROR(__xludf.DUMMYFUNCTION("""COMPUTED_VALUE"""),0.0)</f>
        <v>0</v>
      </c>
      <c r="Q705" s="274" t="str">
        <f>VLOOKUP($B705,'Run Reconcile'!B$2:O2488,14,FALSE)</f>
        <v/>
      </c>
      <c r="R705" s="472" t="str">
        <f t="array" ref="R705">IF($Q705, INDEX('Run Reconcile'!A$2:A2488,MATCH(B705,'Run Reconcile'!B$2:B2488,0),1),IFERROR(0/0,""))</f>
        <v/>
      </c>
      <c r="S705" s="473" t="str">
        <f t="shared" si="694"/>
        <v/>
      </c>
      <c r="T705" s="473" t="str">
        <f t="shared" si="698"/>
        <v/>
      </c>
      <c r="U705" s="275" t="str">
        <f t="array" ref="U705">IF(ISBLANK($R705), INDEX('Run Reconcile'!A$2:A2488, MATCH($B705, 'Run Reconcile'!B$2:B2488, 0)+Z705, 1), IFERROR(0/0,""))
</f>
        <v>RUN-FLMP_2022-02-10_RFR-085</v>
      </c>
      <c r="V705" s="474" t="str">
        <f t="shared" si="5"/>
        <v>RUN-FLMP_2022-02-10_RFR-085</v>
      </c>
      <c r="Y705" s="89" t="str">
        <f t="shared" si="867"/>
        <v/>
      </c>
      <c r="Z705" s="60" t="str">
        <f t="shared" si="7"/>
        <v/>
      </c>
      <c r="AA705" s="60" t="str">
        <f t="shared" si="8"/>
        <v/>
      </c>
      <c r="AB705" s="60" t="str">
        <f t="shared" si="9"/>
        <v/>
      </c>
      <c r="AC705" s="30" t="str">
        <f t="shared" ref="AC705:AD705" si="1061">IF(_xlfn.ISFORMULA(S705),IFERROR(0/0,""),TRUE)</f>
        <v/>
      </c>
      <c r="AD705" s="30" t="str">
        <f t="shared" si="1061"/>
        <v/>
      </c>
      <c r="AE705" s="475" t="str">
        <f>IFERROR(__xludf.DUMMYFUNCTION("""COMPUTED_VALUE"""),"CRLN")</f>
        <v>CRLN</v>
      </c>
      <c r="AF705" s="476"/>
      <c r="AG705" s="474" t="s">
        <v>178</v>
      </c>
      <c r="AH705" s="138" t="str">
        <f t="shared" si="11"/>
        <v/>
      </c>
    </row>
    <row r="706">
      <c r="A706" s="103" t="str">
        <f>IFERROR(__xludf.DUMMYFUNCTION("""COMPUTED_VALUE"""),"FLB7159")</f>
        <v>FLB7159</v>
      </c>
      <c r="B706" s="468">
        <f>IFERROR(__xludf.DUMMYFUNCTION("""COMPUTED_VALUE"""),44602.0)</f>
        <v>44602</v>
      </c>
      <c r="C706" s="469">
        <f>IFERROR(__xludf.DUMMYFUNCTION("""COMPUTED_VALUE"""),0.3123958333333333)</f>
        <v>0.3123958333</v>
      </c>
      <c r="D706" s="103" t="str">
        <f>IFERROR(__xludf.DUMMYFUNCTION("""COMPUTED_VALUE"""),"SpFLMP259015")</f>
        <v>SpFLMP259015</v>
      </c>
      <c r="E706" s="103"/>
      <c r="F706" s="103"/>
      <c r="G706" s="103" t="str">
        <f>IFERROR(__xludf.DUMMYFUNCTION("""COMPUTED_VALUE"""),"Negative")</f>
        <v>Negative</v>
      </c>
      <c r="H706" s="131" t="str">
        <f>IFERROR(__xludf.DUMMYFUNCTION("""COMPUTED_VALUE"""),"Negative")</f>
        <v>Negative</v>
      </c>
      <c r="I706" s="468">
        <f>IFERROR(__xludf.DUMMYFUNCTION("""COMPUTED_VALUE"""),44602.0)</f>
        <v>44602</v>
      </c>
      <c r="J706" s="470">
        <f>IFERROR(__xludf.DUMMYFUNCTION("""COMPUTED_VALUE"""),0.4455208333333333)</f>
        <v>0.4455208333</v>
      </c>
      <c r="K706" s="16"/>
      <c r="L706" s="8"/>
      <c r="M706" s="69"/>
      <c r="N706" s="69">
        <f>IFERROR(__xludf.DUMMYFUNCTION("""COMPUTED_VALUE"""),2.0)</f>
        <v>2</v>
      </c>
      <c r="O706" s="69" t="str">
        <f t="shared" si="3"/>
        <v/>
      </c>
      <c r="P706" s="471">
        <f>IFERROR(__xludf.DUMMYFUNCTION("""COMPUTED_VALUE"""),0.0)</f>
        <v>0</v>
      </c>
      <c r="Q706" s="274" t="str">
        <f>VLOOKUP($B706,'Run Reconcile'!B$2:O2488,14,FALSE)</f>
        <v/>
      </c>
      <c r="R706" s="472" t="str">
        <f t="array" ref="R706">IF($Q706, INDEX('Run Reconcile'!A$2:A2488,MATCH(B706,'Run Reconcile'!B$2:B2488,0),1),IFERROR(0/0,""))</f>
        <v/>
      </c>
      <c r="S706" s="473" t="str">
        <f t="shared" si="694"/>
        <v/>
      </c>
      <c r="T706" s="473" t="str">
        <f t="shared" si="698"/>
        <v/>
      </c>
      <c r="U706" s="275" t="str">
        <f t="array" ref="U706">IF(ISBLANK($R706), INDEX('Run Reconcile'!A$2:A2488, MATCH($B706, 'Run Reconcile'!B$2:B2488, 0)+Z706, 1), IFERROR(0/0,""))
</f>
        <v>RUN-FLMP_2022-02-10_RFR-085</v>
      </c>
      <c r="V706" s="474" t="str">
        <f t="shared" si="5"/>
        <v>RUN-FLMP_2022-02-10_RFR-085</v>
      </c>
      <c r="Y706" s="89" t="str">
        <f t="shared" si="867"/>
        <v/>
      </c>
      <c r="Z706" s="60" t="str">
        <f t="shared" si="7"/>
        <v/>
      </c>
      <c r="AA706" s="60" t="str">
        <f t="shared" si="8"/>
        <v/>
      </c>
      <c r="AB706" s="60" t="str">
        <f t="shared" si="9"/>
        <v/>
      </c>
      <c r="AC706" s="30" t="str">
        <f t="shared" ref="AC706:AD706" si="1062">IF(_xlfn.ISFORMULA(S706),IFERROR(0/0,""),TRUE)</f>
        <v/>
      </c>
      <c r="AD706" s="30" t="str">
        <f t="shared" si="1062"/>
        <v/>
      </c>
      <c r="AE706" s="475" t="str">
        <f>IFERROR(__xludf.DUMMYFUNCTION("""COMPUTED_VALUE"""),"CRLN")</f>
        <v>CRLN</v>
      </c>
      <c r="AF706" s="476"/>
      <c r="AG706" s="474" t="s">
        <v>178</v>
      </c>
      <c r="AH706" s="138" t="str">
        <f t="shared" si="11"/>
        <v/>
      </c>
    </row>
    <row r="707">
      <c r="A707" s="103" t="str">
        <f>IFERROR(__xludf.DUMMYFUNCTION("""COMPUTED_VALUE"""),"FLB4896")</f>
        <v>FLB4896</v>
      </c>
      <c r="B707" s="468">
        <f>IFERROR(__xludf.DUMMYFUNCTION("""COMPUTED_VALUE"""),44602.0)</f>
        <v>44602</v>
      </c>
      <c r="C707" s="469">
        <f>IFERROR(__xludf.DUMMYFUNCTION("""COMPUTED_VALUE"""),0.3155439814814815)</f>
        <v>0.3155439815</v>
      </c>
      <c r="D707" s="103" t="str">
        <f>IFERROR(__xludf.DUMMYFUNCTION("""COMPUTED_VALUE"""),"SpFLMP777132")</f>
        <v>SpFLMP777132</v>
      </c>
      <c r="E707" s="103"/>
      <c r="F707" s="103"/>
      <c r="G707" s="103" t="str">
        <f>IFERROR(__xludf.DUMMYFUNCTION("""COMPUTED_VALUE"""),"Negative")</f>
        <v>Negative</v>
      </c>
      <c r="H707" s="131" t="str">
        <f>IFERROR(__xludf.DUMMYFUNCTION("""COMPUTED_VALUE"""),"Negative")</f>
        <v>Negative</v>
      </c>
      <c r="I707" s="468">
        <f>IFERROR(__xludf.DUMMYFUNCTION("""COMPUTED_VALUE"""),44602.0)</f>
        <v>44602</v>
      </c>
      <c r="J707" s="470">
        <f>IFERROR(__xludf.DUMMYFUNCTION("""COMPUTED_VALUE"""),0.4455208333333333)</f>
        <v>0.4455208333</v>
      </c>
      <c r="K707" s="16"/>
      <c r="L707" s="8"/>
      <c r="M707" s="69"/>
      <c r="N707" s="69">
        <f>IFERROR(__xludf.DUMMYFUNCTION("""COMPUTED_VALUE"""),4.0)</f>
        <v>4</v>
      </c>
      <c r="O707" s="69" t="str">
        <f t="shared" si="3"/>
        <v/>
      </c>
      <c r="P707" s="471">
        <f>IFERROR(__xludf.DUMMYFUNCTION("""COMPUTED_VALUE"""),0.0)</f>
        <v>0</v>
      </c>
      <c r="Q707" s="274" t="str">
        <f>VLOOKUP($B707,'Run Reconcile'!B$2:O2488,14,FALSE)</f>
        <v/>
      </c>
      <c r="R707" s="472" t="str">
        <f t="array" ref="R707">IF($Q707, INDEX('Run Reconcile'!A$2:A2488,MATCH(B707,'Run Reconcile'!B$2:B2488,0),1),IFERROR(0/0,""))</f>
        <v/>
      </c>
      <c r="S707" s="473" t="str">
        <f t="shared" si="694"/>
        <v/>
      </c>
      <c r="T707" s="473" t="str">
        <f t="shared" si="698"/>
        <v/>
      </c>
      <c r="U707" s="275" t="str">
        <f t="array" ref="U707">IF(ISBLANK($R707), INDEX('Run Reconcile'!A$2:A2488, MATCH($B707, 'Run Reconcile'!B$2:B2488, 0)+Z707, 1), IFERROR(0/0,""))
</f>
        <v>RUN-FLMP_2022-02-10_RFR-085</v>
      </c>
      <c r="V707" s="474" t="str">
        <f t="shared" si="5"/>
        <v>RUN-FLMP_2022-02-10_RFR-085</v>
      </c>
      <c r="Y707" s="89" t="str">
        <f t="shared" si="867"/>
        <v/>
      </c>
      <c r="Z707" s="60" t="str">
        <f t="shared" si="7"/>
        <v/>
      </c>
      <c r="AA707" s="60" t="str">
        <f t="shared" si="8"/>
        <v/>
      </c>
      <c r="AB707" s="60" t="str">
        <f t="shared" si="9"/>
        <v/>
      </c>
      <c r="AC707" s="30" t="str">
        <f t="shared" ref="AC707:AD707" si="1063">IF(_xlfn.ISFORMULA(S707),IFERROR(0/0,""),TRUE)</f>
        <v/>
      </c>
      <c r="AD707" s="30" t="str">
        <f t="shared" si="1063"/>
        <v/>
      </c>
      <c r="AE707" s="475" t="str">
        <f>IFERROR(__xludf.DUMMYFUNCTION("""COMPUTED_VALUE"""),"CRLN")</f>
        <v>CRLN</v>
      </c>
      <c r="AF707" s="476"/>
      <c r="AG707" s="474" t="s">
        <v>178</v>
      </c>
      <c r="AH707" s="138" t="str">
        <f t="shared" si="11"/>
        <v/>
      </c>
    </row>
    <row r="708">
      <c r="A708" s="103" t="str">
        <f>IFERROR(__xludf.DUMMYFUNCTION("""COMPUTED_VALUE"""),"FLB5798")</f>
        <v>FLB5798</v>
      </c>
      <c r="B708" s="468">
        <f>IFERROR(__xludf.DUMMYFUNCTION("""COMPUTED_VALUE"""),44602.0)</f>
        <v>44602</v>
      </c>
      <c r="C708" s="469">
        <f>IFERROR(__xludf.DUMMYFUNCTION("""COMPUTED_VALUE"""),0.3175925925925926)</f>
        <v>0.3175925926</v>
      </c>
      <c r="D708" s="103" t="str">
        <f>IFERROR(__xludf.DUMMYFUNCTION("""COMPUTED_VALUE"""),"SpFLMP273885")</f>
        <v>SpFLMP273885</v>
      </c>
      <c r="E708" s="103"/>
      <c r="F708" s="103"/>
      <c r="G708" s="103" t="str">
        <f>IFERROR(__xludf.DUMMYFUNCTION("""COMPUTED_VALUE"""),"Negative")</f>
        <v>Negative</v>
      </c>
      <c r="H708" s="131" t="str">
        <f>IFERROR(__xludf.DUMMYFUNCTION("""COMPUTED_VALUE"""),"Negative")</f>
        <v>Negative</v>
      </c>
      <c r="I708" s="468">
        <f>IFERROR(__xludf.DUMMYFUNCTION("""COMPUTED_VALUE"""),44602.0)</f>
        <v>44602</v>
      </c>
      <c r="J708" s="470">
        <f>IFERROR(__xludf.DUMMYFUNCTION("""COMPUTED_VALUE"""),0.4455208333333333)</f>
        <v>0.4455208333</v>
      </c>
      <c r="K708" s="16"/>
      <c r="L708" s="8"/>
      <c r="M708" s="69"/>
      <c r="N708" s="69">
        <f>IFERROR(__xludf.DUMMYFUNCTION("""COMPUTED_VALUE"""),5.0)</f>
        <v>5</v>
      </c>
      <c r="O708" s="69" t="str">
        <f t="shared" si="3"/>
        <v/>
      </c>
      <c r="P708" s="471">
        <f>IFERROR(__xludf.DUMMYFUNCTION("""COMPUTED_VALUE"""),0.0)</f>
        <v>0</v>
      </c>
      <c r="Q708" s="274" t="str">
        <f>VLOOKUP($B708,'Run Reconcile'!B$2:O2488,14,FALSE)</f>
        <v/>
      </c>
      <c r="R708" s="472" t="str">
        <f t="array" ref="R708">IF($Q708, INDEX('Run Reconcile'!A$2:A2488,MATCH(B708,'Run Reconcile'!B$2:B2488,0),1),IFERROR(0/0,""))</f>
        <v/>
      </c>
      <c r="S708" s="473" t="str">
        <f t="shared" si="694"/>
        <v/>
      </c>
      <c r="T708" s="473" t="str">
        <f t="shared" si="698"/>
        <v/>
      </c>
      <c r="U708" s="275" t="str">
        <f t="array" ref="U708">IF(ISBLANK($R708), INDEX('Run Reconcile'!A$2:A2488, MATCH($B708, 'Run Reconcile'!B$2:B2488, 0)+Z708, 1), IFERROR(0/0,""))
</f>
        <v>RUN-FLMP_2022-02-10_RFR-085</v>
      </c>
      <c r="V708" s="474" t="str">
        <f t="shared" si="5"/>
        <v>RUN-FLMP_2022-02-10_RFR-085</v>
      </c>
      <c r="Y708" s="89" t="str">
        <f t="shared" si="867"/>
        <v/>
      </c>
      <c r="Z708" s="60" t="str">
        <f t="shared" si="7"/>
        <v/>
      </c>
      <c r="AA708" s="60" t="str">
        <f t="shared" si="8"/>
        <v/>
      </c>
      <c r="AB708" s="60" t="str">
        <f t="shared" si="9"/>
        <v/>
      </c>
      <c r="AC708" s="30" t="str">
        <f t="shared" ref="AC708:AD708" si="1064">IF(_xlfn.ISFORMULA(S708),IFERROR(0/0,""),TRUE)</f>
        <v/>
      </c>
      <c r="AD708" s="30" t="str">
        <f t="shared" si="1064"/>
        <v/>
      </c>
      <c r="AE708" s="475" t="str">
        <f>IFERROR(__xludf.DUMMYFUNCTION("""COMPUTED_VALUE"""),"CRLN")</f>
        <v>CRLN</v>
      </c>
      <c r="AF708" s="476"/>
      <c r="AG708" s="474" t="s">
        <v>178</v>
      </c>
      <c r="AH708" s="138" t="str">
        <f t="shared" si="11"/>
        <v/>
      </c>
    </row>
    <row r="709">
      <c r="A709" s="103" t="str">
        <f>IFERROR(__xludf.DUMMYFUNCTION("""COMPUTED_VALUE"""),"FLT1176")</f>
        <v>FLT1176</v>
      </c>
      <c r="B709" s="468">
        <f>IFERROR(__xludf.DUMMYFUNCTION("""COMPUTED_VALUE"""),44602.0)</f>
        <v>44602</v>
      </c>
      <c r="C709" s="469">
        <f>IFERROR(__xludf.DUMMYFUNCTION("""COMPUTED_VALUE"""),0.3198611111111111)</f>
        <v>0.3198611111</v>
      </c>
      <c r="D709" s="103" t="str">
        <f>IFERROR(__xludf.DUMMYFUNCTION("""COMPUTED_VALUE"""),"SpFLMP544731")</f>
        <v>SpFLMP544731</v>
      </c>
      <c r="E709" s="103"/>
      <c r="F709" s="103"/>
      <c r="G709" s="103" t="str">
        <f>IFERROR(__xludf.DUMMYFUNCTION("""COMPUTED_VALUE"""),"Negative")</f>
        <v>Negative</v>
      </c>
      <c r="H709" s="131" t="str">
        <f>IFERROR(__xludf.DUMMYFUNCTION("""COMPUTED_VALUE"""),"Negative")</f>
        <v>Negative</v>
      </c>
      <c r="I709" s="468">
        <f>IFERROR(__xludf.DUMMYFUNCTION("""COMPUTED_VALUE"""),44602.0)</f>
        <v>44602</v>
      </c>
      <c r="J709" s="470">
        <f>IFERROR(__xludf.DUMMYFUNCTION("""COMPUTED_VALUE"""),0.4455208333333333)</f>
        <v>0.4455208333</v>
      </c>
      <c r="K709" s="16"/>
      <c r="L709" s="8"/>
      <c r="M709" s="69"/>
      <c r="N709" s="69">
        <f>IFERROR(__xludf.DUMMYFUNCTION("""COMPUTED_VALUE"""),1.0)</f>
        <v>1</v>
      </c>
      <c r="O709" s="69" t="str">
        <f t="shared" si="3"/>
        <v/>
      </c>
      <c r="P709" s="471">
        <f>IFERROR(__xludf.DUMMYFUNCTION("""COMPUTED_VALUE"""),0.0)</f>
        <v>0</v>
      </c>
      <c r="Q709" s="274" t="str">
        <f>VLOOKUP($B709,'Run Reconcile'!B$2:O2488,14,FALSE)</f>
        <v/>
      </c>
      <c r="R709" s="472" t="str">
        <f t="array" ref="R709">IF($Q709, INDEX('Run Reconcile'!A$2:A2488,MATCH(B709,'Run Reconcile'!B$2:B2488,0),1),IFERROR(0/0,""))</f>
        <v/>
      </c>
      <c r="S709" s="473" t="str">
        <f t="shared" si="694"/>
        <v/>
      </c>
      <c r="T709" s="473" t="str">
        <f t="shared" si="698"/>
        <v/>
      </c>
      <c r="U709" s="275" t="str">
        <f t="array" ref="U709">IF(ISBLANK($R709), INDEX('Run Reconcile'!A$2:A2488, MATCH($B709, 'Run Reconcile'!B$2:B2488, 0)+Z709, 1), IFERROR(0/0,""))
</f>
        <v>RUN-FLMP_2022-02-10_RFR-085</v>
      </c>
      <c r="V709" s="474" t="str">
        <f t="shared" si="5"/>
        <v>RUN-FLMP_2022-02-10_RFR-085</v>
      </c>
      <c r="Y709" s="89" t="str">
        <f t="shared" si="867"/>
        <v/>
      </c>
      <c r="Z709" s="60" t="str">
        <f t="shared" si="7"/>
        <v/>
      </c>
      <c r="AA709" s="60" t="str">
        <f t="shared" si="8"/>
        <v/>
      </c>
      <c r="AB709" s="60" t="str">
        <f t="shared" si="9"/>
        <v/>
      </c>
      <c r="AC709" s="30" t="str">
        <f t="shared" ref="AC709:AD709" si="1065">IF(_xlfn.ISFORMULA(S709),IFERROR(0/0,""),TRUE)</f>
        <v/>
      </c>
      <c r="AD709" s="30" t="str">
        <f t="shared" si="1065"/>
        <v/>
      </c>
      <c r="AE709" s="475" t="str">
        <f>IFERROR(__xludf.DUMMYFUNCTION("""COMPUTED_VALUE"""),"CRLN")</f>
        <v>CRLN</v>
      </c>
      <c r="AF709" s="476"/>
      <c r="AG709" s="474" t="s">
        <v>178</v>
      </c>
      <c r="AH709" s="138" t="str">
        <f t="shared" si="11"/>
        <v/>
      </c>
    </row>
    <row r="710">
      <c r="A710" s="103" t="str">
        <f>IFERROR(__xludf.DUMMYFUNCTION("""COMPUTED_VALUE"""),"FLB5868")</f>
        <v>FLB5868</v>
      </c>
      <c r="B710" s="468">
        <f>IFERROR(__xludf.DUMMYFUNCTION("""COMPUTED_VALUE"""),44602.0)</f>
        <v>44602</v>
      </c>
      <c r="C710" s="469">
        <f>IFERROR(__xludf.DUMMYFUNCTION("""COMPUTED_VALUE"""),0.3232523148148148)</f>
        <v>0.3232523148</v>
      </c>
      <c r="D710" s="103" t="str">
        <f>IFERROR(__xludf.DUMMYFUNCTION("""COMPUTED_VALUE"""),"SpFLMP904576")</f>
        <v>SpFLMP904576</v>
      </c>
      <c r="E710" s="103"/>
      <c r="F710" s="103"/>
      <c r="G710" s="103" t="str">
        <f>IFERROR(__xludf.DUMMYFUNCTION("""COMPUTED_VALUE"""),"Negative")</f>
        <v>Negative</v>
      </c>
      <c r="H710" s="131" t="str">
        <f>IFERROR(__xludf.DUMMYFUNCTION("""COMPUTED_VALUE"""),"Negative")</f>
        <v>Negative</v>
      </c>
      <c r="I710" s="468">
        <f>IFERROR(__xludf.DUMMYFUNCTION("""COMPUTED_VALUE"""),44602.0)</f>
        <v>44602</v>
      </c>
      <c r="J710" s="470">
        <f>IFERROR(__xludf.DUMMYFUNCTION("""COMPUTED_VALUE"""),0.4455208333333333)</f>
        <v>0.4455208333</v>
      </c>
      <c r="K710" s="16"/>
      <c r="L710" s="8"/>
      <c r="M710" s="69"/>
      <c r="N710" s="69">
        <f>IFERROR(__xludf.DUMMYFUNCTION("""COMPUTED_VALUE"""),3.0)</f>
        <v>3</v>
      </c>
      <c r="O710" s="69" t="str">
        <f t="shared" si="3"/>
        <v/>
      </c>
      <c r="P710" s="471">
        <f>IFERROR(__xludf.DUMMYFUNCTION("""COMPUTED_VALUE"""),0.0)</f>
        <v>0</v>
      </c>
      <c r="Q710" s="274" t="str">
        <f>VLOOKUP($B710,'Run Reconcile'!B$2:O2488,14,FALSE)</f>
        <v/>
      </c>
      <c r="R710" s="472" t="str">
        <f t="array" ref="R710">IF($Q710, INDEX('Run Reconcile'!A$2:A2488,MATCH(B710,'Run Reconcile'!B$2:B2488,0),1),IFERROR(0/0,""))</f>
        <v/>
      </c>
      <c r="S710" s="473" t="str">
        <f t="shared" si="694"/>
        <v/>
      </c>
      <c r="T710" s="473" t="str">
        <f t="shared" si="698"/>
        <v/>
      </c>
      <c r="U710" s="275" t="str">
        <f t="array" ref="U710">IF(ISBLANK($R710), INDEX('Run Reconcile'!A$2:A2488, MATCH($B710, 'Run Reconcile'!B$2:B2488, 0)+Z710, 1), IFERROR(0/0,""))
</f>
        <v>RUN-FLMP_2022-02-10_RFR-085</v>
      </c>
      <c r="V710" s="474" t="str">
        <f t="shared" si="5"/>
        <v>RUN-FLMP_2022-02-10_RFR-085</v>
      </c>
      <c r="Y710" s="89" t="str">
        <f t="shared" si="867"/>
        <v/>
      </c>
      <c r="Z710" s="60" t="str">
        <f t="shared" si="7"/>
        <v/>
      </c>
      <c r="AA710" s="60" t="str">
        <f t="shared" si="8"/>
        <v/>
      </c>
      <c r="AB710" s="60" t="str">
        <f t="shared" si="9"/>
        <v/>
      </c>
      <c r="AC710" s="30" t="str">
        <f t="shared" ref="AC710:AD710" si="1066">IF(_xlfn.ISFORMULA(S710),IFERROR(0/0,""),TRUE)</f>
        <v/>
      </c>
      <c r="AD710" s="30" t="str">
        <f t="shared" si="1066"/>
        <v/>
      </c>
      <c r="AE710" s="475" t="str">
        <f>IFERROR(__xludf.DUMMYFUNCTION("""COMPUTED_VALUE"""),"CRLN")</f>
        <v>CRLN</v>
      </c>
      <c r="AF710" s="476"/>
      <c r="AG710" s="474" t="s">
        <v>178</v>
      </c>
      <c r="AH710" s="138" t="str">
        <f t="shared" si="11"/>
        <v/>
      </c>
    </row>
    <row r="711">
      <c r="A711" s="103" t="str">
        <f>IFERROR(__xludf.DUMMYFUNCTION("""COMPUTED_VALUE"""),"FLT1487")</f>
        <v>FLT1487</v>
      </c>
      <c r="B711" s="468">
        <f>IFERROR(__xludf.DUMMYFUNCTION("""COMPUTED_VALUE"""),44602.0)</f>
        <v>44602</v>
      </c>
      <c r="C711" s="469">
        <f>IFERROR(__xludf.DUMMYFUNCTION("""COMPUTED_VALUE"""),0.326724537037037)</f>
        <v>0.326724537</v>
      </c>
      <c r="D711" s="103" t="str">
        <f>IFERROR(__xludf.DUMMYFUNCTION("""COMPUTED_VALUE"""),"SpFLMP668449")</f>
        <v>SpFLMP668449</v>
      </c>
      <c r="E711" s="103"/>
      <c r="F711" s="103"/>
      <c r="G711" s="103" t="str">
        <f>IFERROR(__xludf.DUMMYFUNCTION("""COMPUTED_VALUE"""),"Negative")</f>
        <v>Negative</v>
      </c>
      <c r="H711" s="131" t="str">
        <f>IFERROR(__xludf.DUMMYFUNCTION("""COMPUTED_VALUE"""),"Negative")</f>
        <v>Negative</v>
      </c>
      <c r="I711" s="468">
        <f>IFERROR(__xludf.DUMMYFUNCTION("""COMPUTED_VALUE"""),44602.0)</f>
        <v>44602</v>
      </c>
      <c r="J711" s="470">
        <f>IFERROR(__xludf.DUMMYFUNCTION("""COMPUTED_VALUE"""),0.4455208333333333)</f>
        <v>0.4455208333</v>
      </c>
      <c r="K711" s="16"/>
      <c r="L711" s="8"/>
      <c r="M711" s="69"/>
      <c r="N711" s="69">
        <f>IFERROR(__xludf.DUMMYFUNCTION("""COMPUTED_VALUE"""),4.0)</f>
        <v>4</v>
      </c>
      <c r="O711" s="69" t="str">
        <f t="shared" si="3"/>
        <v/>
      </c>
      <c r="P711" s="471">
        <f>IFERROR(__xludf.DUMMYFUNCTION("""COMPUTED_VALUE"""),0.0)</f>
        <v>0</v>
      </c>
      <c r="Q711" s="274" t="str">
        <f>VLOOKUP($B711,'Run Reconcile'!B$2:O2488,14,FALSE)</f>
        <v/>
      </c>
      <c r="R711" s="472" t="str">
        <f t="array" ref="R711">IF($Q711, INDEX('Run Reconcile'!A$2:A2488,MATCH(B711,'Run Reconcile'!B$2:B2488,0),1),IFERROR(0/0,""))</f>
        <v/>
      </c>
      <c r="S711" s="473" t="str">
        <f t="shared" si="694"/>
        <v/>
      </c>
      <c r="T711" s="473" t="str">
        <f t="shared" si="698"/>
        <v/>
      </c>
      <c r="U711" s="275" t="str">
        <f t="array" ref="U711">IF(ISBLANK($R711), INDEX('Run Reconcile'!A$2:A2488, MATCH($B711, 'Run Reconcile'!B$2:B2488, 0)+Z711, 1), IFERROR(0/0,""))
</f>
        <v>RUN-FLMP_2022-02-10_RFR-085</v>
      </c>
      <c r="V711" s="474" t="str">
        <f t="shared" si="5"/>
        <v>RUN-FLMP_2022-02-10_RFR-085</v>
      </c>
      <c r="Y711" s="89" t="str">
        <f t="shared" si="867"/>
        <v/>
      </c>
      <c r="Z711" s="60" t="str">
        <f t="shared" si="7"/>
        <v/>
      </c>
      <c r="AA711" s="60" t="str">
        <f t="shared" si="8"/>
        <v/>
      </c>
      <c r="AB711" s="60" t="str">
        <f t="shared" si="9"/>
        <v/>
      </c>
      <c r="AC711" s="30" t="str">
        <f t="shared" ref="AC711:AD711" si="1067">IF(_xlfn.ISFORMULA(S711),IFERROR(0/0,""),TRUE)</f>
        <v/>
      </c>
      <c r="AD711" s="30" t="str">
        <f t="shared" si="1067"/>
        <v/>
      </c>
      <c r="AE711" s="475" t="str">
        <f>IFERROR(__xludf.DUMMYFUNCTION("""COMPUTED_VALUE"""),"CRLN")</f>
        <v>CRLN</v>
      </c>
      <c r="AF711" s="476"/>
      <c r="AG711" s="474" t="s">
        <v>178</v>
      </c>
      <c r="AH711" s="138" t="str">
        <f t="shared" si="11"/>
        <v/>
      </c>
    </row>
    <row r="712">
      <c r="A712" s="103" t="str">
        <f>IFERROR(__xludf.DUMMYFUNCTION("""COMPUTED_VALUE"""),"FLT1124")</f>
        <v>FLT1124</v>
      </c>
      <c r="B712" s="468">
        <f>IFERROR(__xludf.DUMMYFUNCTION("""COMPUTED_VALUE"""),44602.0)</f>
        <v>44602</v>
      </c>
      <c r="C712" s="469">
        <f>IFERROR(__xludf.DUMMYFUNCTION("""COMPUTED_VALUE"""),0.32875)</f>
        <v>0.32875</v>
      </c>
      <c r="D712" s="103" t="str">
        <f>IFERROR(__xludf.DUMMYFUNCTION("""COMPUTED_VALUE"""),"SpFLMP309785")</f>
        <v>SpFLMP309785</v>
      </c>
      <c r="E712" s="103"/>
      <c r="F712" s="103"/>
      <c r="G712" s="103" t="str">
        <f>IFERROR(__xludf.DUMMYFUNCTION("""COMPUTED_VALUE"""),"Negative")</f>
        <v>Negative</v>
      </c>
      <c r="H712" s="131" t="str">
        <f>IFERROR(__xludf.DUMMYFUNCTION("""COMPUTED_VALUE"""),"Negative")</f>
        <v>Negative</v>
      </c>
      <c r="I712" s="468">
        <f>IFERROR(__xludf.DUMMYFUNCTION("""COMPUTED_VALUE"""),44602.0)</f>
        <v>44602</v>
      </c>
      <c r="J712" s="470">
        <f>IFERROR(__xludf.DUMMYFUNCTION("""COMPUTED_VALUE"""),0.4455208333333333)</f>
        <v>0.4455208333</v>
      </c>
      <c r="K712" s="16"/>
      <c r="L712" s="8"/>
      <c r="M712" s="69"/>
      <c r="N712" s="69">
        <f>IFERROR(__xludf.DUMMYFUNCTION("""COMPUTED_VALUE"""),4.0)</f>
        <v>4</v>
      </c>
      <c r="O712" s="69" t="str">
        <f t="shared" si="3"/>
        <v/>
      </c>
      <c r="P712" s="471">
        <f>IFERROR(__xludf.DUMMYFUNCTION("""COMPUTED_VALUE"""),0.0)</f>
        <v>0</v>
      </c>
      <c r="Q712" s="274" t="str">
        <f>VLOOKUP($B712,'Run Reconcile'!B$2:O2488,14,FALSE)</f>
        <v/>
      </c>
      <c r="R712" s="472" t="str">
        <f t="array" ref="R712">IF($Q712, INDEX('Run Reconcile'!A$2:A2488,MATCH(B712,'Run Reconcile'!B$2:B2488,0),1),IFERROR(0/0,""))</f>
        <v/>
      </c>
      <c r="S712" s="473" t="str">
        <f t="shared" si="694"/>
        <v/>
      </c>
      <c r="T712" s="473" t="str">
        <f t="shared" si="698"/>
        <v/>
      </c>
      <c r="U712" s="275" t="str">
        <f t="array" ref="U712">IF(ISBLANK($R712), INDEX('Run Reconcile'!A$2:A2488, MATCH($B712, 'Run Reconcile'!B$2:B2488, 0)+Z712, 1), IFERROR(0/0,""))
</f>
        <v>RUN-FLMP_2022-02-10_RFR-085</v>
      </c>
      <c r="V712" s="474" t="str">
        <f t="shared" si="5"/>
        <v>RUN-FLMP_2022-02-10_RFR-085</v>
      </c>
      <c r="Y712" s="89" t="str">
        <f t="shared" si="867"/>
        <v/>
      </c>
      <c r="Z712" s="60" t="str">
        <f t="shared" si="7"/>
        <v/>
      </c>
      <c r="AA712" s="60" t="str">
        <f t="shared" si="8"/>
        <v/>
      </c>
      <c r="AB712" s="60" t="str">
        <f t="shared" si="9"/>
        <v/>
      </c>
      <c r="AC712" s="30" t="str">
        <f t="shared" ref="AC712:AD712" si="1068">IF(_xlfn.ISFORMULA(S712),IFERROR(0/0,""),TRUE)</f>
        <v/>
      </c>
      <c r="AD712" s="30" t="str">
        <f t="shared" si="1068"/>
        <v/>
      </c>
      <c r="AE712" s="475" t="str">
        <f>IFERROR(__xludf.DUMMYFUNCTION("""COMPUTED_VALUE"""),"CRLN")</f>
        <v>CRLN</v>
      </c>
      <c r="AF712" s="476"/>
      <c r="AG712" s="474" t="s">
        <v>178</v>
      </c>
      <c r="AH712" s="138" t="str">
        <f t="shared" si="11"/>
        <v/>
      </c>
    </row>
    <row r="713">
      <c r="A713" s="103" t="str">
        <f>IFERROR(__xludf.DUMMYFUNCTION("""COMPUTED_VALUE"""),"FLB5752")</f>
        <v>FLB5752</v>
      </c>
      <c r="B713" s="468">
        <f>IFERROR(__xludf.DUMMYFUNCTION("""COMPUTED_VALUE"""),44602.0)</f>
        <v>44602</v>
      </c>
      <c r="C713" s="469">
        <f>IFERROR(__xludf.DUMMYFUNCTION("""COMPUTED_VALUE"""),0.33144675925925926)</f>
        <v>0.3314467593</v>
      </c>
      <c r="D713" s="103" t="str">
        <f>IFERROR(__xludf.DUMMYFUNCTION("""COMPUTED_VALUE"""),"SpFLMP939619")</f>
        <v>SpFLMP939619</v>
      </c>
      <c r="E713" s="103"/>
      <c r="F713" s="103"/>
      <c r="G713" s="103" t="str">
        <f>IFERROR(__xludf.DUMMYFUNCTION("""COMPUTED_VALUE"""),"Negative")</f>
        <v>Negative</v>
      </c>
      <c r="H713" s="131" t="str">
        <f>IFERROR(__xludf.DUMMYFUNCTION("""COMPUTED_VALUE"""),"Negative")</f>
        <v>Negative</v>
      </c>
      <c r="I713" s="468">
        <f>IFERROR(__xludf.DUMMYFUNCTION("""COMPUTED_VALUE"""),44602.0)</f>
        <v>44602</v>
      </c>
      <c r="J713" s="470">
        <f>IFERROR(__xludf.DUMMYFUNCTION("""COMPUTED_VALUE"""),0.4455208333333333)</f>
        <v>0.4455208333</v>
      </c>
      <c r="K713" s="16"/>
      <c r="L713" s="8"/>
      <c r="M713" s="69"/>
      <c r="N713" s="69">
        <f>IFERROR(__xludf.DUMMYFUNCTION("""COMPUTED_VALUE"""),1.0)</f>
        <v>1</v>
      </c>
      <c r="O713" s="69" t="str">
        <f t="shared" si="3"/>
        <v/>
      </c>
      <c r="P713" s="471">
        <f>IFERROR(__xludf.DUMMYFUNCTION("""COMPUTED_VALUE"""),0.0)</f>
        <v>0</v>
      </c>
      <c r="Q713" s="274" t="str">
        <f>VLOOKUP($B713,'Run Reconcile'!B$2:O2488,14,FALSE)</f>
        <v/>
      </c>
      <c r="R713" s="472" t="str">
        <f t="array" ref="R713">IF($Q713, INDEX('Run Reconcile'!A$2:A2488,MATCH(B713,'Run Reconcile'!B$2:B2488,0),1),IFERROR(0/0,""))</f>
        <v/>
      </c>
      <c r="S713" s="473" t="str">
        <f t="shared" si="694"/>
        <v/>
      </c>
      <c r="T713" s="473" t="str">
        <f t="shared" si="698"/>
        <v/>
      </c>
      <c r="U713" s="275" t="str">
        <f t="array" ref="U713">IF(ISBLANK($R713), INDEX('Run Reconcile'!A$2:A2488, MATCH($B713, 'Run Reconcile'!B$2:B2488, 0)+Z713, 1), IFERROR(0/0,""))
</f>
        <v>RUN-FLMP_2022-02-10_RFR-085</v>
      </c>
      <c r="V713" s="474" t="str">
        <f t="shared" si="5"/>
        <v>RUN-FLMP_2022-02-10_RFR-085</v>
      </c>
      <c r="Y713" s="89" t="str">
        <f t="shared" si="867"/>
        <v/>
      </c>
      <c r="Z713" s="60" t="str">
        <f t="shared" si="7"/>
        <v/>
      </c>
      <c r="AA713" s="60" t="str">
        <f t="shared" si="8"/>
        <v/>
      </c>
      <c r="AB713" s="60" t="str">
        <f t="shared" si="9"/>
        <v/>
      </c>
      <c r="AC713" s="30" t="str">
        <f t="shared" ref="AC713:AD713" si="1069">IF(_xlfn.ISFORMULA(S713),IFERROR(0/0,""),TRUE)</f>
        <v/>
      </c>
      <c r="AD713" s="30" t="str">
        <f t="shared" si="1069"/>
        <v/>
      </c>
      <c r="AE713" s="475" t="str">
        <f>IFERROR(__xludf.DUMMYFUNCTION("""COMPUTED_VALUE"""),"CRLN")</f>
        <v>CRLN</v>
      </c>
      <c r="AF713" s="476"/>
      <c r="AG713" s="474" t="s">
        <v>178</v>
      </c>
      <c r="AH713" s="138" t="str">
        <f t="shared" si="11"/>
        <v/>
      </c>
    </row>
    <row r="714">
      <c r="A714" s="103" t="str">
        <f>IFERROR(__xludf.DUMMYFUNCTION("""COMPUTED_VALUE"""),"FLB5402")</f>
        <v>FLB5402</v>
      </c>
      <c r="B714" s="468">
        <f>IFERROR(__xludf.DUMMYFUNCTION("""COMPUTED_VALUE"""),44602.0)</f>
        <v>44602</v>
      </c>
      <c r="C714" s="469">
        <f>IFERROR(__xludf.DUMMYFUNCTION("""COMPUTED_VALUE"""),0.3332060185185185)</f>
        <v>0.3332060185</v>
      </c>
      <c r="D714" s="103" t="str">
        <f>IFERROR(__xludf.DUMMYFUNCTION("""COMPUTED_VALUE"""),"SpFLMP604497")</f>
        <v>SpFLMP604497</v>
      </c>
      <c r="E714" s="103"/>
      <c r="F714" s="103"/>
      <c r="G714" s="103" t="str">
        <f>IFERROR(__xludf.DUMMYFUNCTION("""COMPUTED_VALUE"""),"Negative")</f>
        <v>Negative</v>
      </c>
      <c r="H714" s="131" t="str">
        <f>IFERROR(__xludf.DUMMYFUNCTION("""COMPUTED_VALUE"""),"Negative")</f>
        <v>Negative</v>
      </c>
      <c r="I714" s="468">
        <f>IFERROR(__xludf.DUMMYFUNCTION("""COMPUTED_VALUE"""),44602.0)</f>
        <v>44602</v>
      </c>
      <c r="J714" s="470">
        <f>IFERROR(__xludf.DUMMYFUNCTION("""COMPUTED_VALUE"""),0.4455208333333333)</f>
        <v>0.4455208333</v>
      </c>
      <c r="K714" s="16"/>
      <c r="L714" s="8"/>
      <c r="M714" s="69"/>
      <c r="N714" s="69">
        <f>IFERROR(__xludf.DUMMYFUNCTION("""COMPUTED_VALUE"""),4.0)</f>
        <v>4</v>
      </c>
      <c r="O714" s="69" t="str">
        <f t="shared" si="3"/>
        <v/>
      </c>
      <c r="P714" s="471">
        <f>IFERROR(__xludf.DUMMYFUNCTION("""COMPUTED_VALUE"""),0.0)</f>
        <v>0</v>
      </c>
      <c r="Q714" s="274" t="str">
        <f>VLOOKUP($B714,'Run Reconcile'!B$2:O2488,14,FALSE)</f>
        <v/>
      </c>
      <c r="R714" s="472" t="str">
        <f t="array" ref="R714">IF($Q714, INDEX('Run Reconcile'!A$2:A2488,MATCH(B714,'Run Reconcile'!B$2:B2488,0),1),IFERROR(0/0,""))</f>
        <v/>
      </c>
      <c r="S714" s="473" t="str">
        <f t="shared" si="694"/>
        <v/>
      </c>
      <c r="T714" s="473" t="str">
        <f t="shared" si="698"/>
        <v/>
      </c>
      <c r="U714" s="275" t="str">
        <f t="array" ref="U714">IF(ISBLANK($R714), INDEX('Run Reconcile'!A$2:A2488, MATCH($B714, 'Run Reconcile'!B$2:B2488, 0)+Z714, 1), IFERROR(0/0,""))
</f>
        <v>RUN-FLMP_2022-02-10_RFR-085</v>
      </c>
      <c r="V714" s="474" t="str">
        <f t="shared" si="5"/>
        <v>RUN-FLMP_2022-02-10_RFR-085</v>
      </c>
      <c r="Y714" s="89" t="str">
        <f t="shared" si="867"/>
        <v/>
      </c>
      <c r="Z714" s="60" t="str">
        <f t="shared" si="7"/>
        <v/>
      </c>
      <c r="AA714" s="60" t="str">
        <f t="shared" si="8"/>
        <v/>
      </c>
      <c r="AB714" s="60" t="str">
        <f t="shared" si="9"/>
        <v/>
      </c>
      <c r="AC714" s="30" t="str">
        <f t="shared" ref="AC714:AD714" si="1070">IF(_xlfn.ISFORMULA(S714),IFERROR(0/0,""),TRUE)</f>
        <v/>
      </c>
      <c r="AD714" s="30" t="str">
        <f t="shared" si="1070"/>
        <v/>
      </c>
      <c r="AE714" s="475" t="str">
        <f>IFERROR(__xludf.DUMMYFUNCTION("""COMPUTED_VALUE"""),"CRLN")</f>
        <v>CRLN</v>
      </c>
      <c r="AF714" s="476"/>
      <c r="AG714" s="474" t="s">
        <v>178</v>
      </c>
      <c r="AH714" s="138" t="str">
        <f t="shared" si="11"/>
        <v/>
      </c>
    </row>
    <row r="715">
      <c r="A715" s="103" t="str">
        <f>IFERROR(__xludf.DUMMYFUNCTION("""COMPUTED_VALUE"""),"FLE246")</f>
        <v>FLE246</v>
      </c>
      <c r="B715" s="468">
        <f>IFERROR(__xludf.DUMMYFUNCTION("""COMPUTED_VALUE"""),44602.0)</f>
        <v>44602</v>
      </c>
      <c r="C715" s="469">
        <f>IFERROR(__xludf.DUMMYFUNCTION("""COMPUTED_VALUE"""),0.33446759259259257)</f>
        <v>0.3344675926</v>
      </c>
      <c r="D715" s="103" t="str">
        <f>IFERROR(__xludf.DUMMYFUNCTION("""COMPUTED_VALUE"""),"SpFLMP684798")</f>
        <v>SpFLMP684798</v>
      </c>
      <c r="E715" s="103"/>
      <c r="F715" s="103"/>
      <c r="G715" s="103" t="str">
        <f>IFERROR(__xludf.DUMMYFUNCTION("""COMPUTED_VALUE"""),"Negative")</f>
        <v>Negative</v>
      </c>
      <c r="H715" s="131" t="str">
        <f>IFERROR(__xludf.DUMMYFUNCTION("""COMPUTED_VALUE"""),"Negative")</f>
        <v>Negative</v>
      </c>
      <c r="I715" s="468">
        <f>IFERROR(__xludf.DUMMYFUNCTION("""COMPUTED_VALUE"""),44602.0)</f>
        <v>44602</v>
      </c>
      <c r="J715" s="470">
        <f>IFERROR(__xludf.DUMMYFUNCTION("""COMPUTED_VALUE"""),0.4455208333333333)</f>
        <v>0.4455208333</v>
      </c>
      <c r="K715" s="16"/>
      <c r="L715" s="8"/>
      <c r="M715" s="69"/>
      <c r="N715" s="69">
        <f>IFERROR(__xludf.DUMMYFUNCTION("""COMPUTED_VALUE"""),4.0)</f>
        <v>4</v>
      </c>
      <c r="O715" s="69" t="str">
        <f t="shared" si="3"/>
        <v/>
      </c>
      <c r="P715" s="471">
        <f>IFERROR(__xludf.DUMMYFUNCTION("""COMPUTED_VALUE"""),0.0)</f>
        <v>0</v>
      </c>
      <c r="Q715" s="274" t="str">
        <f>VLOOKUP($B715,'Run Reconcile'!B$2:O2488,14,FALSE)</f>
        <v/>
      </c>
      <c r="R715" s="472" t="str">
        <f t="array" ref="R715">IF($Q715, INDEX('Run Reconcile'!A$2:A2488,MATCH(B715,'Run Reconcile'!B$2:B2488,0),1),IFERROR(0/0,""))</f>
        <v/>
      </c>
      <c r="S715" s="473" t="str">
        <f t="shared" si="694"/>
        <v/>
      </c>
      <c r="T715" s="473" t="str">
        <f t="shared" si="698"/>
        <v/>
      </c>
      <c r="U715" s="275" t="str">
        <f t="array" ref="U715">IF(ISBLANK($R715), INDEX('Run Reconcile'!A$2:A2488, MATCH($B715, 'Run Reconcile'!B$2:B2488, 0)+Z715, 1), IFERROR(0/0,""))
</f>
        <v>RUN-FLMP_2022-02-10_RFR-085</v>
      </c>
      <c r="V715" s="474" t="str">
        <f t="shared" si="5"/>
        <v>RUN-FLMP_2022-02-10_RFR-085</v>
      </c>
      <c r="Y715" s="89" t="str">
        <f t="shared" si="867"/>
        <v/>
      </c>
      <c r="Z715" s="60" t="str">
        <f t="shared" si="7"/>
        <v/>
      </c>
      <c r="AA715" s="60" t="str">
        <f t="shared" si="8"/>
        <v/>
      </c>
      <c r="AB715" s="60" t="str">
        <f t="shared" si="9"/>
        <v/>
      </c>
      <c r="AC715" s="30" t="str">
        <f t="shared" ref="AC715:AD715" si="1071">IF(_xlfn.ISFORMULA(S715),IFERROR(0/0,""),TRUE)</f>
        <v/>
      </c>
      <c r="AD715" s="30" t="str">
        <f t="shared" si="1071"/>
        <v/>
      </c>
      <c r="AE715" s="475" t="str">
        <f>IFERROR(__xludf.DUMMYFUNCTION("""COMPUTED_VALUE"""),"CRLN")</f>
        <v>CRLN</v>
      </c>
      <c r="AF715" s="476"/>
      <c r="AG715" s="474" t="s">
        <v>178</v>
      </c>
      <c r="AH715" s="138" t="str">
        <f t="shared" si="11"/>
        <v/>
      </c>
    </row>
    <row r="716">
      <c r="A716" s="103" t="str">
        <f>IFERROR(__xludf.DUMMYFUNCTION("""COMPUTED_VALUE"""),"FLB5870")</f>
        <v>FLB5870</v>
      </c>
      <c r="B716" s="468">
        <f>IFERROR(__xludf.DUMMYFUNCTION("""COMPUTED_VALUE"""),44602.0)</f>
        <v>44602</v>
      </c>
      <c r="C716" s="469">
        <f>IFERROR(__xludf.DUMMYFUNCTION("""COMPUTED_VALUE"""),0.3430787037037037)</f>
        <v>0.3430787037</v>
      </c>
      <c r="D716" s="103" t="str">
        <f>IFERROR(__xludf.DUMMYFUNCTION("""COMPUTED_VALUE"""),"SpFLMP685536")</f>
        <v>SpFLMP685536</v>
      </c>
      <c r="E716" s="103"/>
      <c r="F716" s="103"/>
      <c r="G716" s="103" t="str">
        <f>IFERROR(__xludf.DUMMYFUNCTION("""COMPUTED_VALUE"""),"Negative")</f>
        <v>Negative</v>
      </c>
      <c r="H716" s="131" t="str">
        <f>IFERROR(__xludf.DUMMYFUNCTION("""COMPUTED_VALUE"""),"Negative")</f>
        <v>Negative</v>
      </c>
      <c r="I716" s="468">
        <f>IFERROR(__xludf.DUMMYFUNCTION("""COMPUTED_VALUE"""),44602.0)</f>
        <v>44602</v>
      </c>
      <c r="J716" s="470">
        <f>IFERROR(__xludf.DUMMYFUNCTION("""COMPUTED_VALUE"""),0.4702314814814815)</f>
        <v>0.4702314815</v>
      </c>
      <c r="K716" s="16"/>
      <c r="L716" s="8"/>
      <c r="M716" s="69"/>
      <c r="N716" s="69">
        <f>IFERROR(__xludf.DUMMYFUNCTION("""COMPUTED_VALUE"""),3.0)</f>
        <v>3</v>
      </c>
      <c r="O716" s="69" t="str">
        <f t="shared" si="3"/>
        <v/>
      </c>
      <c r="P716" s="471">
        <f>IFERROR(__xludf.DUMMYFUNCTION("""COMPUTED_VALUE"""),0.0)</f>
        <v>0</v>
      </c>
      <c r="Q716" s="274" t="str">
        <f>VLOOKUP($B716,'Run Reconcile'!B$2:O2488,14,FALSE)</f>
        <v/>
      </c>
      <c r="R716" s="472" t="str">
        <f t="array" ref="R716">IF($Q716, INDEX('Run Reconcile'!A$2:A2488,MATCH(B716,'Run Reconcile'!B$2:B2488,0),1),IFERROR(0/0,""))</f>
        <v/>
      </c>
      <c r="S716" s="473" t="str">
        <f t="shared" si="694"/>
        <v/>
      </c>
      <c r="T716" s="473" t="str">
        <f t="shared" si="698"/>
        <v/>
      </c>
      <c r="U716" s="275" t="str">
        <f t="array" ref="U716">IF(ISBLANK($R716), INDEX('Run Reconcile'!A$2:A2488, MATCH($B716, 'Run Reconcile'!B$2:B2488, 0)+Z716, 1), IFERROR(0/0,""))
</f>
        <v>RUN-FLMP_2022-02-10_RFR-085</v>
      </c>
      <c r="V716" s="474" t="str">
        <f t="shared" si="5"/>
        <v>RUN-FLMP_2022-02-10_RFR-085</v>
      </c>
      <c r="Y716" s="89" t="str">
        <f t="shared" si="867"/>
        <v/>
      </c>
      <c r="Z716" s="60" t="str">
        <f t="shared" si="7"/>
        <v/>
      </c>
      <c r="AA716" s="60" t="str">
        <f t="shared" si="8"/>
        <v/>
      </c>
      <c r="AB716" s="60" t="str">
        <f t="shared" si="9"/>
        <v/>
      </c>
      <c r="AC716" s="30" t="str">
        <f t="shared" ref="AC716:AD716" si="1072">IF(_xlfn.ISFORMULA(S716),IFERROR(0/0,""),TRUE)</f>
        <v/>
      </c>
      <c r="AD716" s="30" t="str">
        <f t="shared" si="1072"/>
        <v/>
      </c>
      <c r="AE716" s="475" t="str">
        <f>IFERROR(__xludf.DUMMYFUNCTION("""COMPUTED_VALUE"""),"CRLN")</f>
        <v>CRLN</v>
      </c>
      <c r="AF716" s="476"/>
      <c r="AG716" s="474" t="s">
        <v>178</v>
      </c>
      <c r="AH716" s="138" t="str">
        <f t="shared" si="11"/>
        <v/>
      </c>
    </row>
    <row r="717">
      <c r="A717" s="103" t="str">
        <f>IFERROR(__xludf.DUMMYFUNCTION("""COMPUTED_VALUE"""),"FLE811")</f>
        <v>FLE811</v>
      </c>
      <c r="B717" s="468">
        <f>IFERROR(__xludf.DUMMYFUNCTION("""COMPUTED_VALUE"""),44602.0)</f>
        <v>44602</v>
      </c>
      <c r="C717" s="469">
        <f>IFERROR(__xludf.DUMMYFUNCTION("""COMPUTED_VALUE"""),0.345)</f>
        <v>0.345</v>
      </c>
      <c r="D717" s="103" t="str">
        <f>IFERROR(__xludf.DUMMYFUNCTION("""COMPUTED_VALUE"""),"SpFLMP314549")</f>
        <v>SpFLMP314549</v>
      </c>
      <c r="E717" s="103"/>
      <c r="F717" s="103"/>
      <c r="G717" s="103" t="str">
        <f>IFERROR(__xludf.DUMMYFUNCTION("""COMPUTED_VALUE"""),"Negative")</f>
        <v>Negative</v>
      </c>
      <c r="H717" s="131" t="str">
        <f>IFERROR(__xludf.DUMMYFUNCTION("""COMPUTED_VALUE"""),"Negative")</f>
        <v>Negative</v>
      </c>
      <c r="I717" s="468">
        <f>IFERROR(__xludf.DUMMYFUNCTION("""COMPUTED_VALUE"""),44602.0)</f>
        <v>44602</v>
      </c>
      <c r="J717" s="470">
        <f>IFERROR(__xludf.DUMMYFUNCTION("""COMPUTED_VALUE"""),0.4455208333333333)</f>
        <v>0.4455208333</v>
      </c>
      <c r="K717" s="16"/>
      <c r="L717" s="8"/>
      <c r="M717" s="69"/>
      <c r="N717" s="69">
        <f>IFERROR(__xludf.DUMMYFUNCTION("""COMPUTED_VALUE"""),1.0)</f>
        <v>1</v>
      </c>
      <c r="O717" s="69" t="str">
        <f t="shared" si="3"/>
        <v/>
      </c>
      <c r="P717" s="471">
        <f>IFERROR(__xludf.DUMMYFUNCTION("""COMPUTED_VALUE"""),0.0)</f>
        <v>0</v>
      </c>
      <c r="Q717" s="274" t="str">
        <f>VLOOKUP($B717,'Run Reconcile'!B$2:O2488,14,FALSE)</f>
        <v/>
      </c>
      <c r="R717" s="472" t="str">
        <f t="array" ref="R717">IF($Q717, INDEX('Run Reconcile'!A$2:A2488,MATCH(B717,'Run Reconcile'!B$2:B2488,0),1),IFERROR(0/0,""))</f>
        <v/>
      </c>
      <c r="S717" s="473" t="str">
        <f t="shared" si="694"/>
        <v/>
      </c>
      <c r="T717" s="473" t="str">
        <f t="shared" si="698"/>
        <v/>
      </c>
      <c r="U717" s="275" t="str">
        <f t="array" ref="U717">IF(ISBLANK($R717), INDEX('Run Reconcile'!A$2:A2488, MATCH($B717, 'Run Reconcile'!B$2:B2488, 0)+Z717, 1), IFERROR(0/0,""))
</f>
        <v>RUN-FLMP_2022-02-10_RFR-085</v>
      </c>
      <c r="V717" s="474" t="str">
        <f t="shared" si="5"/>
        <v>RUN-FLMP_2022-02-10_RFR-085</v>
      </c>
      <c r="Y717" s="89" t="str">
        <f t="shared" si="867"/>
        <v/>
      </c>
      <c r="Z717" s="60" t="str">
        <f t="shared" si="7"/>
        <v/>
      </c>
      <c r="AA717" s="60" t="str">
        <f t="shared" si="8"/>
        <v/>
      </c>
      <c r="AB717" s="60" t="str">
        <f t="shared" si="9"/>
        <v/>
      </c>
      <c r="AC717" s="30" t="str">
        <f t="shared" ref="AC717:AD717" si="1073">IF(_xlfn.ISFORMULA(S717),IFERROR(0/0,""),TRUE)</f>
        <v/>
      </c>
      <c r="AD717" s="30" t="str">
        <f t="shared" si="1073"/>
        <v/>
      </c>
      <c r="AE717" s="475" t="str">
        <f>IFERROR(__xludf.DUMMYFUNCTION("""COMPUTED_VALUE"""),"CRLN")</f>
        <v>CRLN</v>
      </c>
      <c r="AF717" s="476"/>
      <c r="AG717" s="474" t="s">
        <v>178</v>
      </c>
      <c r="AH717" s="138" t="str">
        <f t="shared" si="11"/>
        <v/>
      </c>
    </row>
    <row r="718">
      <c r="A718" s="103" t="str">
        <f>IFERROR(__xludf.DUMMYFUNCTION("""COMPUTED_VALUE"""),"FLE854")</f>
        <v>FLE854</v>
      </c>
      <c r="B718" s="468">
        <f>IFERROR(__xludf.DUMMYFUNCTION("""COMPUTED_VALUE"""),44602.0)</f>
        <v>44602</v>
      </c>
      <c r="C718" s="469">
        <f>IFERROR(__xludf.DUMMYFUNCTION("""COMPUTED_VALUE"""),0.34506944444444443)</f>
        <v>0.3450694444</v>
      </c>
      <c r="D718" s="103" t="str">
        <f>IFERROR(__xludf.DUMMYFUNCTION("""COMPUTED_VALUE"""),"SpFLMP399694")</f>
        <v>SpFLMP399694</v>
      </c>
      <c r="E718" s="103"/>
      <c r="F718" s="103"/>
      <c r="G718" s="103" t="str">
        <f>IFERROR(__xludf.DUMMYFUNCTION("""COMPUTED_VALUE"""),"Negative")</f>
        <v>Negative</v>
      </c>
      <c r="H718" s="131" t="str">
        <f>IFERROR(__xludf.DUMMYFUNCTION("""COMPUTED_VALUE"""),"Negative")</f>
        <v>Negative</v>
      </c>
      <c r="I718" s="468">
        <f>IFERROR(__xludf.DUMMYFUNCTION("""COMPUTED_VALUE"""),44602.0)</f>
        <v>44602</v>
      </c>
      <c r="J718" s="470">
        <f>IFERROR(__xludf.DUMMYFUNCTION("""COMPUTED_VALUE"""),0.4455208333333333)</f>
        <v>0.4455208333</v>
      </c>
      <c r="K718" s="16"/>
      <c r="L718" s="8"/>
      <c r="M718" s="69"/>
      <c r="N718" s="69">
        <f>IFERROR(__xludf.DUMMYFUNCTION("""COMPUTED_VALUE"""),4.0)</f>
        <v>4</v>
      </c>
      <c r="O718" s="69" t="str">
        <f t="shared" si="3"/>
        <v/>
      </c>
      <c r="P718" s="471">
        <f>IFERROR(__xludf.DUMMYFUNCTION("""COMPUTED_VALUE"""),0.0)</f>
        <v>0</v>
      </c>
      <c r="Q718" s="274" t="str">
        <f>VLOOKUP($B718,'Run Reconcile'!B$2:O2488,14,FALSE)</f>
        <v/>
      </c>
      <c r="R718" s="472" t="str">
        <f t="array" ref="R718">IF($Q718, INDEX('Run Reconcile'!A$2:A2488,MATCH(B718,'Run Reconcile'!B$2:B2488,0),1),IFERROR(0/0,""))</f>
        <v/>
      </c>
      <c r="S718" s="473" t="str">
        <f t="shared" si="694"/>
        <v/>
      </c>
      <c r="T718" s="473" t="str">
        <f t="shared" si="698"/>
        <v/>
      </c>
      <c r="U718" s="275" t="str">
        <f t="array" ref="U718">IF(ISBLANK($R718), INDEX('Run Reconcile'!A$2:A2488, MATCH($B718, 'Run Reconcile'!B$2:B2488, 0)+Z718, 1), IFERROR(0/0,""))
</f>
        <v>RUN-FLMP_2022-02-10_RFR-085</v>
      </c>
      <c r="V718" s="474" t="str">
        <f t="shared" si="5"/>
        <v>RUN-FLMP_2022-02-10_RFR-085</v>
      </c>
      <c r="Y718" s="89" t="str">
        <f t="shared" si="867"/>
        <v/>
      </c>
      <c r="Z718" s="60" t="str">
        <f t="shared" si="7"/>
        <v/>
      </c>
      <c r="AA718" s="60" t="str">
        <f t="shared" si="8"/>
        <v/>
      </c>
      <c r="AB718" s="60" t="str">
        <f t="shared" si="9"/>
        <v/>
      </c>
      <c r="AC718" s="30" t="str">
        <f t="shared" ref="AC718:AD718" si="1074">IF(_xlfn.ISFORMULA(S718),IFERROR(0/0,""),TRUE)</f>
        <v/>
      </c>
      <c r="AD718" s="30" t="str">
        <f t="shared" si="1074"/>
        <v/>
      </c>
      <c r="AE718" s="475" t="str">
        <f>IFERROR(__xludf.DUMMYFUNCTION("""COMPUTED_VALUE"""),"CRLN")</f>
        <v>CRLN</v>
      </c>
      <c r="AF718" s="476"/>
      <c r="AG718" s="474" t="s">
        <v>178</v>
      </c>
      <c r="AH718" s="138" t="str">
        <f t="shared" si="11"/>
        <v/>
      </c>
    </row>
    <row r="719">
      <c r="A719" s="103" t="str">
        <f>IFERROR(__xludf.DUMMYFUNCTION("""COMPUTED_VALUE"""),"FLB5400")</f>
        <v>FLB5400</v>
      </c>
      <c r="B719" s="468">
        <f>IFERROR(__xludf.DUMMYFUNCTION("""COMPUTED_VALUE"""),44602.0)</f>
        <v>44602</v>
      </c>
      <c r="C719" s="469">
        <f>IFERROR(__xludf.DUMMYFUNCTION("""COMPUTED_VALUE"""),0.35704861111111114)</f>
        <v>0.3570486111</v>
      </c>
      <c r="D719" s="103" t="str">
        <f>IFERROR(__xludf.DUMMYFUNCTION("""COMPUTED_VALUE"""),"SpFLMP170622")</f>
        <v>SpFLMP170622</v>
      </c>
      <c r="E719" s="103"/>
      <c r="F719" s="103"/>
      <c r="G719" s="103" t="str">
        <f>IFERROR(__xludf.DUMMYFUNCTION("""COMPUTED_VALUE"""),"Negative")</f>
        <v>Negative</v>
      </c>
      <c r="H719" s="131" t="str">
        <f>IFERROR(__xludf.DUMMYFUNCTION("""COMPUTED_VALUE"""),"Negative")</f>
        <v>Negative</v>
      </c>
      <c r="I719" s="468">
        <f>IFERROR(__xludf.DUMMYFUNCTION("""COMPUTED_VALUE"""),44602.0)</f>
        <v>44602</v>
      </c>
      <c r="J719" s="470">
        <f>IFERROR(__xludf.DUMMYFUNCTION("""COMPUTED_VALUE"""),0.4455208333333333)</f>
        <v>0.4455208333</v>
      </c>
      <c r="K719" s="16"/>
      <c r="L719" s="8"/>
      <c r="M719" s="69"/>
      <c r="N719" s="69">
        <f>IFERROR(__xludf.DUMMYFUNCTION("""COMPUTED_VALUE"""),4.0)</f>
        <v>4</v>
      </c>
      <c r="O719" s="69" t="str">
        <f t="shared" si="3"/>
        <v/>
      </c>
      <c r="P719" s="471">
        <f>IFERROR(__xludf.DUMMYFUNCTION("""COMPUTED_VALUE"""),0.0)</f>
        <v>0</v>
      </c>
      <c r="Q719" s="274" t="str">
        <f>VLOOKUP($B719,'Run Reconcile'!B$2:O2488,14,FALSE)</f>
        <v/>
      </c>
      <c r="R719" s="472" t="str">
        <f t="array" ref="R719">IF($Q719, INDEX('Run Reconcile'!A$2:A2488,MATCH(B719,'Run Reconcile'!B$2:B2488,0),1),IFERROR(0/0,""))</f>
        <v/>
      </c>
      <c r="S719" s="473" t="str">
        <f t="shared" si="694"/>
        <v/>
      </c>
      <c r="T719" s="473" t="str">
        <f t="shared" si="698"/>
        <v/>
      </c>
      <c r="U719" s="275" t="str">
        <f t="array" ref="U719">IF(ISBLANK($R719), INDEX('Run Reconcile'!A$2:A2488, MATCH($B719, 'Run Reconcile'!B$2:B2488, 0)+Z719, 1), IFERROR(0/0,""))
</f>
        <v>RUN-FLMP_2022-02-10_RFR-085</v>
      </c>
      <c r="V719" s="474" t="str">
        <f t="shared" si="5"/>
        <v>RUN-FLMP_2022-02-10_RFR-085</v>
      </c>
      <c r="Y719" s="89" t="str">
        <f t="shared" si="867"/>
        <v/>
      </c>
      <c r="Z719" s="60" t="str">
        <f t="shared" si="7"/>
        <v/>
      </c>
      <c r="AA719" s="60" t="str">
        <f t="shared" si="8"/>
        <v/>
      </c>
      <c r="AB719" s="60" t="str">
        <f t="shared" si="9"/>
        <v/>
      </c>
      <c r="AC719" s="30" t="str">
        <f t="shared" ref="AC719:AD719" si="1075">IF(_xlfn.ISFORMULA(S719),IFERROR(0/0,""),TRUE)</f>
        <v/>
      </c>
      <c r="AD719" s="30" t="str">
        <f t="shared" si="1075"/>
        <v/>
      </c>
      <c r="AE719" s="475" t="str">
        <f>IFERROR(__xludf.DUMMYFUNCTION("""COMPUTED_VALUE"""),"CRLN")</f>
        <v>CRLN</v>
      </c>
      <c r="AF719" s="476"/>
      <c r="AG719" s="474" t="s">
        <v>178</v>
      </c>
      <c r="AH719" s="138" t="str">
        <f t="shared" si="11"/>
        <v/>
      </c>
    </row>
    <row r="720">
      <c r="A720" s="103" t="str">
        <f>IFERROR(__xludf.DUMMYFUNCTION("""COMPUTED_VALUE"""),"FLB5974")</f>
        <v>FLB5974</v>
      </c>
      <c r="B720" s="468">
        <f>IFERROR(__xludf.DUMMYFUNCTION("""COMPUTED_VALUE"""),44602.0)</f>
        <v>44602</v>
      </c>
      <c r="C720" s="469">
        <f>IFERROR(__xludf.DUMMYFUNCTION("""COMPUTED_VALUE"""),0.35791666666666666)</f>
        <v>0.3579166667</v>
      </c>
      <c r="D720" s="103" t="str">
        <f>IFERROR(__xludf.DUMMYFUNCTION("""COMPUTED_VALUE"""),"SpFLMP170622")</f>
        <v>SpFLMP170622</v>
      </c>
      <c r="E720" s="103"/>
      <c r="F720" s="103"/>
      <c r="G720" s="103" t="str">
        <f>IFERROR(__xludf.DUMMYFUNCTION("""COMPUTED_VALUE"""),"Negative")</f>
        <v>Negative</v>
      </c>
      <c r="H720" s="131" t="str">
        <f>IFERROR(__xludf.DUMMYFUNCTION("""COMPUTED_VALUE"""),"Negative")</f>
        <v>Negative</v>
      </c>
      <c r="I720" s="468">
        <f>IFERROR(__xludf.DUMMYFUNCTION("""COMPUTED_VALUE"""),44602.0)</f>
        <v>44602</v>
      </c>
      <c r="J720" s="470">
        <f>IFERROR(__xludf.DUMMYFUNCTION("""COMPUTED_VALUE"""),0.4455324074074074)</f>
        <v>0.4455324074</v>
      </c>
      <c r="K720" s="16"/>
      <c r="L720" s="8"/>
      <c r="M720" s="69"/>
      <c r="N720" s="69">
        <f>IFERROR(__xludf.DUMMYFUNCTION("""COMPUTED_VALUE"""),4.0)</f>
        <v>4</v>
      </c>
      <c r="O720" s="69" t="str">
        <f t="shared" si="3"/>
        <v/>
      </c>
      <c r="P720" s="471">
        <f>IFERROR(__xludf.DUMMYFUNCTION("""COMPUTED_VALUE"""),0.0)</f>
        <v>0</v>
      </c>
      <c r="Q720" s="274" t="str">
        <f>VLOOKUP($B720,'Run Reconcile'!B$2:O2488,14,FALSE)</f>
        <v/>
      </c>
      <c r="R720" s="472" t="str">
        <f t="array" ref="R720">IF($Q720, INDEX('Run Reconcile'!A$2:A2488,MATCH(B720,'Run Reconcile'!B$2:B2488,0),1),IFERROR(0/0,""))</f>
        <v/>
      </c>
      <c r="S720" s="473" t="str">
        <f t="shared" si="694"/>
        <v/>
      </c>
      <c r="T720" s="473" t="str">
        <f t="shared" si="698"/>
        <v/>
      </c>
      <c r="U720" s="275" t="str">
        <f t="array" ref="U720">IF(ISBLANK($R720), INDEX('Run Reconcile'!A$2:A2488, MATCH($B720, 'Run Reconcile'!B$2:B2488, 0)+Z720, 1), IFERROR(0/0,""))
</f>
        <v>RUN-FLMP_2022-02-10_RFR-085</v>
      </c>
      <c r="V720" s="474" t="str">
        <f t="shared" si="5"/>
        <v>RUN-FLMP_2022-02-10_RFR-085</v>
      </c>
      <c r="Y720" s="89" t="str">
        <f t="shared" si="867"/>
        <v/>
      </c>
      <c r="Z720" s="60" t="str">
        <f t="shared" si="7"/>
        <v/>
      </c>
      <c r="AA720" s="60" t="str">
        <f t="shared" si="8"/>
        <v/>
      </c>
      <c r="AB720" s="60" t="str">
        <f t="shared" si="9"/>
        <v/>
      </c>
      <c r="AC720" s="30" t="str">
        <f t="shared" ref="AC720:AD720" si="1076">IF(_xlfn.ISFORMULA(S720),IFERROR(0/0,""),TRUE)</f>
        <v/>
      </c>
      <c r="AD720" s="30" t="str">
        <f t="shared" si="1076"/>
        <v/>
      </c>
      <c r="AE720" s="475" t="str">
        <f>IFERROR(__xludf.DUMMYFUNCTION("""COMPUTED_VALUE"""),"CRLN")</f>
        <v>CRLN</v>
      </c>
      <c r="AF720" s="476"/>
      <c r="AG720" s="474" t="s">
        <v>178</v>
      </c>
      <c r="AH720" s="138" t="str">
        <f t="shared" si="11"/>
        <v/>
      </c>
    </row>
    <row r="721">
      <c r="A721" s="103" t="str">
        <f>IFERROR(__xludf.DUMMYFUNCTION("""COMPUTED_VALUE"""),"FLB5986")</f>
        <v>FLB5986</v>
      </c>
      <c r="B721" s="468">
        <f>IFERROR(__xludf.DUMMYFUNCTION("""COMPUTED_VALUE"""),44602.0)</f>
        <v>44602</v>
      </c>
      <c r="C721" s="469">
        <f>IFERROR(__xludf.DUMMYFUNCTION("""COMPUTED_VALUE"""),0.36550925925925926)</f>
        <v>0.3655092593</v>
      </c>
      <c r="D721" s="103" t="str">
        <f>IFERROR(__xludf.DUMMYFUNCTION("""COMPUTED_VALUE"""),"SpFLMP518914")</f>
        <v>SpFLMP518914</v>
      </c>
      <c r="E721" s="103"/>
      <c r="F721" s="103"/>
      <c r="G721" s="103" t="str">
        <f>IFERROR(__xludf.DUMMYFUNCTION("""COMPUTED_VALUE"""),"Negative")</f>
        <v>Negative</v>
      </c>
      <c r="H721" s="131" t="str">
        <f>IFERROR(__xludf.DUMMYFUNCTION("""COMPUTED_VALUE"""),"Negative")</f>
        <v>Negative</v>
      </c>
      <c r="I721" s="468">
        <f>IFERROR(__xludf.DUMMYFUNCTION("""COMPUTED_VALUE"""),44602.0)</f>
        <v>44602</v>
      </c>
      <c r="J721" s="470">
        <f>IFERROR(__xludf.DUMMYFUNCTION("""COMPUTED_VALUE"""),0.4455324074074074)</f>
        <v>0.4455324074</v>
      </c>
      <c r="K721" s="16"/>
      <c r="L721" s="8"/>
      <c r="M721" s="69"/>
      <c r="N721" s="69">
        <f>IFERROR(__xludf.DUMMYFUNCTION("""COMPUTED_VALUE"""),2.0)</f>
        <v>2</v>
      </c>
      <c r="O721" s="69" t="str">
        <f t="shared" si="3"/>
        <v/>
      </c>
      <c r="P721" s="471">
        <f>IFERROR(__xludf.DUMMYFUNCTION("""COMPUTED_VALUE"""),0.0)</f>
        <v>0</v>
      </c>
      <c r="Q721" s="274" t="str">
        <f>VLOOKUP($B721,'Run Reconcile'!B$2:O2488,14,FALSE)</f>
        <v/>
      </c>
      <c r="R721" s="472" t="str">
        <f t="array" ref="R721">IF($Q721, INDEX('Run Reconcile'!A$2:A2488,MATCH(B721,'Run Reconcile'!B$2:B2488,0),1),IFERROR(0/0,""))</f>
        <v/>
      </c>
      <c r="S721" s="473" t="str">
        <f t="shared" si="694"/>
        <v/>
      </c>
      <c r="T721" s="473" t="str">
        <f t="shared" si="698"/>
        <v/>
      </c>
      <c r="U721" s="275" t="str">
        <f t="array" ref="U721">IF(ISBLANK($R721), INDEX('Run Reconcile'!A$2:A2488, MATCH($B721, 'Run Reconcile'!B$2:B2488, 0)+Z721, 1), IFERROR(0/0,""))
</f>
        <v>RUN-FLMP_2022-02-10_RFR-085</v>
      </c>
      <c r="V721" s="474" t="str">
        <f t="shared" si="5"/>
        <v>RUN-FLMP_2022-02-10_RFR-085</v>
      </c>
      <c r="Y721" s="89" t="str">
        <f t="shared" si="867"/>
        <v/>
      </c>
      <c r="Z721" s="60" t="str">
        <f t="shared" si="7"/>
        <v/>
      </c>
      <c r="AA721" s="60" t="str">
        <f t="shared" si="8"/>
        <v/>
      </c>
      <c r="AB721" s="60" t="str">
        <f t="shared" si="9"/>
        <v/>
      </c>
      <c r="AC721" s="30" t="str">
        <f t="shared" ref="AC721:AD721" si="1077">IF(_xlfn.ISFORMULA(S721),IFERROR(0/0,""),TRUE)</f>
        <v/>
      </c>
      <c r="AD721" s="30" t="str">
        <f t="shared" si="1077"/>
        <v/>
      </c>
      <c r="AE721" s="475" t="str">
        <f>IFERROR(__xludf.DUMMYFUNCTION("""COMPUTED_VALUE"""),"CRLN")</f>
        <v>CRLN</v>
      </c>
      <c r="AF721" s="476"/>
      <c r="AG721" s="474" t="s">
        <v>178</v>
      </c>
      <c r="AH721" s="138" t="str">
        <f t="shared" si="11"/>
        <v/>
      </c>
    </row>
    <row r="722">
      <c r="A722" s="103" t="str">
        <f>IFERROR(__xludf.DUMMYFUNCTION("""COMPUTED_VALUE"""),"FLB4895")</f>
        <v>FLB4895</v>
      </c>
      <c r="B722" s="468">
        <f>IFERROR(__xludf.DUMMYFUNCTION("""COMPUTED_VALUE"""),44602.0)</f>
        <v>44602</v>
      </c>
      <c r="C722" s="469">
        <f>IFERROR(__xludf.DUMMYFUNCTION("""COMPUTED_VALUE"""),0.3660763888888889)</f>
        <v>0.3660763889</v>
      </c>
      <c r="D722" s="103" t="str">
        <f>IFERROR(__xludf.DUMMYFUNCTION("""COMPUTED_VALUE"""),"SpFLMP496039")</f>
        <v>SpFLMP496039</v>
      </c>
      <c r="E722" s="103"/>
      <c r="F722" s="103"/>
      <c r="G722" s="103" t="str">
        <f>IFERROR(__xludf.DUMMYFUNCTION("""COMPUTED_VALUE"""),"Negative")</f>
        <v>Negative</v>
      </c>
      <c r="H722" s="131" t="str">
        <f>IFERROR(__xludf.DUMMYFUNCTION("""COMPUTED_VALUE"""),"Negative")</f>
        <v>Negative</v>
      </c>
      <c r="I722" s="468">
        <f>IFERROR(__xludf.DUMMYFUNCTION("""COMPUTED_VALUE"""),44602.0)</f>
        <v>44602</v>
      </c>
      <c r="J722" s="470">
        <f>IFERROR(__xludf.DUMMYFUNCTION("""COMPUTED_VALUE"""),0.4455324074074074)</f>
        <v>0.4455324074</v>
      </c>
      <c r="K722" s="16"/>
      <c r="L722" s="8"/>
      <c r="M722" s="69"/>
      <c r="N722" s="69">
        <f>IFERROR(__xludf.DUMMYFUNCTION("""COMPUTED_VALUE"""),1.0)</f>
        <v>1</v>
      </c>
      <c r="O722" s="69" t="str">
        <f t="shared" si="3"/>
        <v/>
      </c>
      <c r="P722" s="471">
        <f>IFERROR(__xludf.DUMMYFUNCTION("""COMPUTED_VALUE"""),0.0)</f>
        <v>0</v>
      </c>
      <c r="Q722" s="274" t="str">
        <f>VLOOKUP($B722,'Run Reconcile'!B$2:O2488,14,FALSE)</f>
        <v/>
      </c>
      <c r="R722" s="472" t="str">
        <f t="array" ref="R722">IF($Q722, INDEX('Run Reconcile'!A$2:A2488,MATCH(B722,'Run Reconcile'!B$2:B2488,0),1),IFERROR(0/0,""))</f>
        <v/>
      </c>
      <c r="S722" s="473" t="str">
        <f t="shared" si="694"/>
        <v/>
      </c>
      <c r="T722" s="473" t="str">
        <f t="shared" si="698"/>
        <v/>
      </c>
      <c r="U722" s="275" t="str">
        <f t="array" ref="U722">IF(ISBLANK($R722), INDEX('Run Reconcile'!A$2:A2488, MATCH($B722, 'Run Reconcile'!B$2:B2488, 0)+Z722, 1), IFERROR(0/0,""))
</f>
        <v>RUN-FLMP_2022-02-10_RFR-085</v>
      </c>
      <c r="V722" s="474" t="str">
        <f t="shared" si="5"/>
        <v>RUN-FLMP_2022-02-10_RFR-085</v>
      </c>
      <c r="Y722" s="89" t="str">
        <f t="shared" si="867"/>
        <v/>
      </c>
      <c r="Z722" s="60" t="str">
        <f t="shared" si="7"/>
        <v/>
      </c>
      <c r="AA722" s="60" t="str">
        <f t="shared" si="8"/>
        <v/>
      </c>
      <c r="AB722" s="60" t="str">
        <f t="shared" si="9"/>
        <v/>
      </c>
      <c r="AC722" s="30" t="str">
        <f t="shared" ref="AC722:AD722" si="1078">IF(_xlfn.ISFORMULA(S722),IFERROR(0/0,""),TRUE)</f>
        <v/>
      </c>
      <c r="AD722" s="30" t="str">
        <f t="shared" si="1078"/>
        <v/>
      </c>
      <c r="AE722" s="475" t="str">
        <f>IFERROR(__xludf.DUMMYFUNCTION("""COMPUTED_VALUE"""),"CRLN")</f>
        <v>CRLN</v>
      </c>
      <c r="AF722" s="476"/>
      <c r="AG722" s="474" t="s">
        <v>178</v>
      </c>
      <c r="AH722" s="138" t="str">
        <f t="shared" si="11"/>
        <v/>
      </c>
    </row>
    <row r="723">
      <c r="A723" s="103" t="str">
        <f>IFERROR(__xludf.DUMMYFUNCTION("""COMPUTED_VALUE"""),"FLB5733")</f>
        <v>FLB5733</v>
      </c>
      <c r="B723" s="468">
        <f>IFERROR(__xludf.DUMMYFUNCTION("""COMPUTED_VALUE"""),44602.0)</f>
        <v>44602</v>
      </c>
      <c r="C723" s="469">
        <f>IFERROR(__xludf.DUMMYFUNCTION("""COMPUTED_VALUE"""),0.3661921296296296)</f>
        <v>0.3661921296</v>
      </c>
      <c r="D723" s="103" t="str">
        <f>IFERROR(__xludf.DUMMYFUNCTION("""COMPUTED_VALUE"""),"SpFLMP946259")</f>
        <v>SpFLMP946259</v>
      </c>
      <c r="E723" s="103"/>
      <c r="F723" s="103"/>
      <c r="G723" s="103" t="str">
        <f>IFERROR(__xludf.DUMMYFUNCTION("""COMPUTED_VALUE"""),"Negative")</f>
        <v>Negative</v>
      </c>
      <c r="H723" s="131" t="str">
        <f>IFERROR(__xludf.DUMMYFUNCTION("""COMPUTED_VALUE"""),"Negative")</f>
        <v>Negative</v>
      </c>
      <c r="I723" s="468">
        <f>IFERROR(__xludf.DUMMYFUNCTION("""COMPUTED_VALUE"""),44602.0)</f>
        <v>44602</v>
      </c>
      <c r="J723" s="470">
        <f>IFERROR(__xludf.DUMMYFUNCTION("""COMPUTED_VALUE"""),0.4455324074074074)</f>
        <v>0.4455324074</v>
      </c>
      <c r="K723" s="16"/>
      <c r="L723" s="8"/>
      <c r="M723" s="69"/>
      <c r="N723" s="69">
        <f>IFERROR(__xludf.DUMMYFUNCTION("""COMPUTED_VALUE"""),2.0)</f>
        <v>2</v>
      </c>
      <c r="O723" s="69" t="str">
        <f t="shared" si="3"/>
        <v/>
      </c>
      <c r="P723" s="471">
        <f>IFERROR(__xludf.DUMMYFUNCTION("""COMPUTED_VALUE"""),0.0)</f>
        <v>0</v>
      </c>
      <c r="Q723" s="274" t="str">
        <f>VLOOKUP($B723,'Run Reconcile'!B$2:O2488,14,FALSE)</f>
        <v/>
      </c>
      <c r="R723" s="472" t="str">
        <f t="array" ref="R723">IF($Q723, INDEX('Run Reconcile'!A$2:A2488,MATCH(B723,'Run Reconcile'!B$2:B2488,0),1),IFERROR(0/0,""))</f>
        <v/>
      </c>
      <c r="S723" s="473" t="str">
        <f t="shared" si="694"/>
        <v/>
      </c>
      <c r="T723" s="473" t="str">
        <f t="shared" si="698"/>
        <v/>
      </c>
      <c r="U723" s="275" t="str">
        <f t="array" ref="U723">IF(ISBLANK($R723), INDEX('Run Reconcile'!A$2:A2488, MATCH($B723, 'Run Reconcile'!B$2:B2488, 0)+Z723, 1), IFERROR(0/0,""))
</f>
        <v>RUN-FLMP_2022-02-10_RFR-085</v>
      </c>
      <c r="V723" s="474" t="str">
        <f t="shared" si="5"/>
        <v>RUN-FLMP_2022-02-10_RFR-085</v>
      </c>
      <c r="Y723" s="89" t="str">
        <f t="shared" si="867"/>
        <v/>
      </c>
      <c r="Z723" s="60" t="str">
        <f t="shared" si="7"/>
        <v/>
      </c>
      <c r="AA723" s="60" t="str">
        <f t="shared" si="8"/>
        <v/>
      </c>
      <c r="AB723" s="60" t="str">
        <f t="shared" si="9"/>
        <v/>
      </c>
      <c r="AC723" s="30" t="str">
        <f t="shared" ref="AC723:AD723" si="1079">IF(_xlfn.ISFORMULA(S723),IFERROR(0/0,""),TRUE)</f>
        <v/>
      </c>
      <c r="AD723" s="30" t="str">
        <f t="shared" si="1079"/>
        <v/>
      </c>
      <c r="AE723" s="475" t="str">
        <f>IFERROR(__xludf.DUMMYFUNCTION("""COMPUTED_VALUE"""),"CRLN")</f>
        <v>CRLN</v>
      </c>
      <c r="AF723" s="476"/>
      <c r="AG723" s="474" t="s">
        <v>178</v>
      </c>
      <c r="AH723" s="138" t="str">
        <f t="shared" si="11"/>
        <v/>
      </c>
    </row>
    <row r="724">
      <c r="A724" s="103" t="str">
        <f>IFERROR(__xludf.DUMMYFUNCTION("""COMPUTED_VALUE"""),"FLB5894")</f>
        <v>FLB5894</v>
      </c>
      <c r="B724" s="468">
        <f>IFERROR(__xludf.DUMMYFUNCTION("""COMPUTED_VALUE"""),44602.0)</f>
        <v>44602</v>
      </c>
      <c r="C724" s="469">
        <f>IFERROR(__xludf.DUMMYFUNCTION("""COMPUTED_VALUE"""),0.36635416666666665)</f>
        <v>0.3663541667</v>
      </c>
      <c r="D724" s="103" t="str">
        <f>IFERROR(__xludf.DUMMYFUNCTION("""COMPUTED_VALUE"""),"SpFLMP496039")</f>
        <v>SpFLMP496039</v>
      </c>
      <c r="E724" s="103"/>
      <c r="F724" s="103"/>
      <c r="G724" s="103" t="str">
        <f>IFERROR(__xludf.DUMMYFUNCTION("""COMPUTED_VALUE"""),"Negative")</f>
        <v>Negative</v>
      </c>
      <c r="H724" s="131" t="str">
        <f>IFERROR(__xludf.DUMMYFUNCTION("""COMPUTED_VALUE"""),"Negative")</f>
        <v>Negative</v>
      </c>
      <c r="I724" s="468">
        <f>IFERROR(__xludf.DUMMYFUNCTION("""COMPUTED_VALUE"""),44602.0)</f>
        <v>44602</v>
      </c>
      <c r="J724" s="470">
        <f>IFERROR(__xludf.DUMMYFUNCTION("""COMPUTED_VALUE"""),0.4455324074074074)</f>
        <v>0.4455324074</v>
      </c>
      <c r="K724" s="16"/>
      <c r="L724" s="8"/>
      <c r="M724" s="69"/>
      <c r="N724" s="69">
        <f>IFERROR(__xludf.DUMMYFUNCTION("""COMPUTED_VALUE"""),1.0)</f>
        <v>1</v>
      </c>
      <c r="O724" s="69" t="str">
        <f t="shared" si="3"/>
        <v/>
      </c>
      <c r="P724" s="471">
        <f>IFERROR(__xludf.DUMMYFUNCTION("""COMPUTED_VALUE"""),0.0)</f>
        <v>0</v>
      </c>
      <c r="Q724" s="274" t="str">
        <f>VLOOKUP($B724,'Run Reconcile'!B$2:O2488,14,FALSE)</f>
        <v/>
      </c>
      <c r="R724" s="472" t="str">
        <f t="array" ref="R724">IF($Q724, INDEX('Run Reconcile'!A$2:A2488,MATCH(B724,'Run Reconcile'!B$2:B2488,0),1),IFERROR(0/0,""))</f>
        <v/>
      </c>
      <c r="S724" s="473" t="str">
        <f t="shared" si="694"/>
        <v/>
      </c>
      <c r="T724" s="473" t="str">
        <f t="shared" si="698"/>
        <v/>
      </c>
      <c r="U724" s="275" t="str">
        <f t="array" ref="U724">IF(ISBLANK($R724), INDEX('Run Reconcile'!A$2:A2488, MATCH($B724, 'Run Reconcile'!B$2:B2488, 0)+Z724, 1), IFERROR(0/0,""))
</f>
        <v>RUN-FLMP_2022-02-10_RFR-085</v>
      </c>
      <c r="V724" s="474" t="str">
        <f t="shared" si="5"/>
        <v>RUN-FLMP_2022-02-10_RFR-085</v>
      </c>
      <c r="Y724" s="89" t="str">
        <f t="shared" si="867"/>
        <v/>
      </c>
      <c r="Z724" s="60" t="str">
        <f t="shared" si="7"/>
        <v/>
      </c>
      <c r="AA724" s="60" t="str">
        <f t="shared" si="8"/>
        <v/>
      </c>
      <c r="AB724" s="60" t="str">
        <f t="shared" si="9"/>
        <v/>
      </c>
      <c r="AC724" s="30" t="str">
        <f t="shared" ref="AC724:AD724" si="1080">IF(_xlfn.ISFORMULA(S724),IFERROR(0/0,""),TRUE)</f>
        <v/>
      </c>
      <c r="AD724" s="30" t="str">
        <f t="shared" si="1080"/>
        <v/>
      </c>
      <c r="AE724" s="475" t="str">
        <f>IFERROR(__xludf.DUMMYFUNCTION("""COMPUTED_VALUE"""),"CRLN")</f>
        <v>CRLN</v>
      </c>
      <c r="AF724" s="476"/>
      <c r="AG724" s="474" t="s">
        <v>178</v>
      </c>
      <c r="AH724" s="138" t="str">
        <f t="shared" si="11"/>
        <v/>
      </c>
    </row>
    <row r="725">
      <c r="A725" s="103" t="str">
        <f>IFERROR(__xludf.DUMMYFUNCTION("""COMPUTED_VALUE"""),"FLB5891")</f>
        <v>FLB5891</v>
      </c>
      <c r="B725" s="468">
        <f>IFERROR(__xludf.DUMMYFUNCTION("""COMPUTED_VALUE"""),44602.0)</f>
        <v>44602</v>
      </c>
      <c r="C725" s="469">
        <f>IFERROR(__xludf.DUMMYFUNCTION("""COMPUTED_VALUE"""),0.36636574074074074)</f>
        <v>0.3663657407</v>
      </c>
      <c r="D725" s="103" t="str">
        <f>IFERROR(__xludf.DUMMYFUNCTION("""COMPUTED_VALUE"""),"SpFLMP572444")</f>
        <v>SpFLMP572444</v>
      </c>
      <c r="E725" s="103"/>
      <c r="F725" s="103"/>
      <c r="G725" s="103" t="str">
        <f>IFERROR(__xludf.DUMMYFUNCTION("""COMPUTED_VALUE"""),"Negative")</f>
        <v>Negative</v>
      </c>
      <c r="H725" s="131" t="str">
        <f>IFERROR(__xludf.DUMMYFUNCTION("""COMPUTED_VALUE"""),"Negative")</f>
        <v>Negative</v>
      </c>
      <c r="I725" s="468">
        <f>IFERROR(__xludf.DUMMYFUNCTION("""COMPUTED_VALUE"""),44602.0)</f>
        <v>44602</v>
      </c>
      <c r="J725" s="470">
        <f>IFERROR(__xludf.DUMMYFUNCTION("""COMPUTED_VALUE"""),0.4455324074074074)</f>
        <v>0.4455324074</v>
      </c>
      <c r="K725" s="16"/>
      <c r="L725" s="8"/>
      <c r="M725" s="69"/>
      <c r="N725" s="69">
        <f>IFERROR(__xludf.DUMMYFUNCTION("""COMPUTED_VALUE"""),3.0)</f>
        <v>3</v>
      </c>
      <c r="O725" s="69" t="str">
        <f t="shared" si="3"/>
        <v/>
      </c>
      <c r="P725" s="471">
        <f>IFERROR(__xludf.DUMMYFUNCTION("""COMPUTED_VALUE"""),0.0)</f>
        <v>0</v>
      </c>
      <c r="Q725" s="274" t="str">
        <f>VLOOKUP($B725,'Run Reconcile'!B$2:O2488,14,FALSE)</f>
        <v/>
      </c>
      <c r="R725" s="472" t="str">
        <f t="array" ref="R725">IF($Q725, INDEX('Run Reconcile'!A$2:A2488,MATCH(B725,'Run Reconcile'!B$2:B2488,0),1),IFERROR(0/0,""))</f>
        <v/>
      </c>
      <c r="S725" s="473" t="str">
        <f t="shared" si="694"/>
        <v/>
      </c>
      <c r="T725" s="473" t="str">
        <f t="shared" si="698"/>
        <v/>
      </c>
      <c r="U725" s="275" t="str">
        <f t="array" ref="U725">IF(ISBLANK($R725), INDEX('Run Reconcile'!A$2:A2488, MATCH($B725, 'Run Reconcile'!B$2:B2488, 0)+Z725, 1), IFERROR(0/0,""))
</f>
        <v>RUN-FLMP_2022-02-10_RFR-085</v>
      </c>
      <c r="V725" s="474" t="str">
        <f t="shared" si="5"/>
        <v>RUN-FLMP_2022-02-10_RFR-085</v>
      </c>
      <c r="Y725" s="89" t="str">
        <f t="shared" si="867"/>
        <v/>
      </c>
      <c r="Z725" s="60" t="str">
        <f t="shared" si="7"/>
        <v/>
      </c>
      <c r="AA725" s="60" t="str">
        <f t="shared" si="8"/>
        <v/>
      </c>
      <c r="AB725" s="60" t="str">
        <f t="shared" si="9"/>
        <v/>
      </c>
      <c r="AC725" s="30" t="str">
        <f t="shared" ref="AC725:AD725" si="1081">IF(_xlfn.ISFORMULA(S725),IFERROR(0/0,""),TRUE)</f>
        <v/>
      </c>
      <c r="AD725" s="30" t="str">
        <f t="shared" si="1081"/>
        <v/>
      </c>
      <c r="AE725" s="475" t="str">
        <f>IFERROR(__xludf.DUMMYFUNCTION("""COMPUTED_VALUE"""),"CRLN")</f>
        <v>CRLN</v>
      </c>
      <c r="AF725" s="476"/>
      <c r="AG725" s="474" t="s">
        <v>178</v>
      </c>
      <c r="AH725" s="138" t="str">
        <f t="shared" si="11"/>
        <v/>
      </c>
    </row>
    <row r="726">
      <c r="A726" s="103" t="str">
        <f>IFERROR(__xludf.DUMMYFUNCTION("""COMPUTED_VALUE"""),"FLT5760A")</f>
        <v>FLT5760A</v>
      </c>
      <c r="B726" s="468">
        <f>IFERROR(__xludf.DUMMYFUNCTION("""COMPUTED_VALUE"""),44602.0)</f>
        <v>44602</v>
      </c>
      <c r="C726" s="469">
        <f>IFERROR(__xludf.DUMMYFUNCTION("""COMPUTED_VALUE"""),0.36645833333333333)</f>
        <v>0.3664583333</v>
      </c>
      <c r="D726" s="103" t="str">
        <f>IFERROR(__xludf.DUMMYFUNCTION("""COMPUTED_VALUE"""),"SpFLMP518914")</f>
        <v>SpFLMP518914</v>
      </c>
      <c r="E726" s="103"/>
      <c r="F726" s="103"/>
      <c r="G726" s="103" t="str">
        <f>IFERROR(__xludf.DUMMYFUNCTION("""COMPUTED_VALUE"""),"Null")</f>
        <v>Null</v>
      </c>
      <c r="H726" s="131" t="str">
        <f>IFERROR(__xludf.DUMMYFUNCTION("""COMPUTED_VALUE"""),"Negative")</f>
        <v>Negative</v>
      </c>
      <c r="I726" s="468"/>
      <c r="J726" s="16"/>
      <c r="K726" s="16">
        <f>IFERROR(__xludf.DUMMYFUNCTION("""COMPUTED_VALUE"""),2.0)</f>
        <v>2</v>
      </c>
      <c r="L726" s="8"/>
      <c r="M726" s="69"/>
      <c r="N726" s="69">
        <f>IFERROR(__xludf.DUMMYFUNCTION("""COMPUTED_VALUE"""),1.0)</f>
        <v>1</v>
      </c>
      <c r="O726" s="69" t="str">
        <f t="shared" si="3"/>
        <v/>
      </c>
      <c r="P726" s="471">
        <f>IFERROR(__xludf.DUMMYFUNCTION("""COMPUTED_VALUE"""),-1.0)</f>
        <v>-1</v>
      </c>
      <c r="Q726" s="274" t="str">
        <f>VLOOKUP($B726,'Run Reconcile'!B$2:O2488,14,FALSE)</f>
        <v/>
      </c>
      <c r="R726" s="472" t="str">
        <f t="array" ref="R726">IF($Q726, INDEX('Run Reconcile'!A$2:A2488,MATCH(B726,'Run Reconcile'!B$2:B2488,0),1),IFERROR(0/0,""))</f>
        <v/>
      </c>
      <c r="S726" s="473" t="str">
        <f t="shared" si="694"/>
        <v/>
      </c>
      <c r="T726" s="473" t="str">
        <f t="shared" si="698"/>
        <v/>
      </c>
      <c r="U726" s="275" t="str">
        <f t="array" ref="U726">IF(ISBLANK($R726), INDEX('Run Reconcile'!A$2:A2488, MATCH($B726, 'Run Reconcile'!B$2:B2488, 0)+Z726, 1), IFERROR(0/0,""))
</f>
        <v>RUN-FLMP_2022-02-10_RFR-085</v>
      </c>
      <c r="V726" s="474" t="str">
        <f t="shared" si="5"/>
        <v>RUN-FLMP_2022-02-10_RFR-085</v>
      </c>
      <c r="Y726" s="89" t="str">
        <f t="shared" si="867"/>
        <v/>
      </c>
      <c r="Z726" s="60" t="str">
        <f t="shared" si="7"/>
        <v/>
      </c>
      <c r="AA726" s="60" t="str">
        <f t="shared" si="8"/>
        <v/>
      </c>
      <c r="AB726" s="60" t="str">
        <f t="shared" si="9"/>
        <v/>
      </c>
      <c r="AC726" s="30" t="str">
        <f t="shared" ref="AC726:AD726" si="1082">IF(_xlfn.ISFORMULA(S726),IFERROR(0/0,""),TRUE)</f>
        <v/>
      </c>
      <c r="AD726" s="30" t="str">
        <f t="shared" si="1082"/>
        <v/>
      </c>
      <c r="AE726" s="475" t="str">
        <f>IFERROR(__xludf.DUMMYFUNCTION("""COMPUTED_VALUE"""),"CRLN")</f>
        <v>CRLN</v>
      </c>
      <c r="AF726" s="476"/>
      <c r="AG726" s="474" t="s">
        <v>178</v>
      </c>
      <c r="AH726" s="138" t="str">
        <f t="shared" si="11"/>
        <v/>
      </c>
    </row>
    <row r="727">
      <c r="A727" s="103" t="str">
        <f>IFERROR(__xludf.DUMMYFUNCTION("""COMPUTED_VALUE"""),"FLB5756")</f>
        <v>FLB5756</v>
      </c>
      <c r="B727" s="468">
        <f>IFERROR(__xludf.DUMMYFUNCTION("""COMPUTED_VALUE"""),44602.0)</f>
        <v>44602</v>
      </c>
      <c r="C727" s="469">
        <f>IFERROR(__xludf.DUMMYFUNCTION("""COMPUTED_VALUE"""),0.36921296296296297)</f>
        <v>0.369212963</v>
      </c>
      <c r="D727" s="103" t="str">
        <f>IFERROR(__xludf.DUMMYFUNCTION("""COMPUTED_VALUE"""),"SpFLMP271329")</f>
        <v>SpFLMP271329</v>
      </c>
      <c r="E727" s="103"/>
      <c r="F727" s="103"/>
      <c r="G727" s="103" t="str">
        <f>IFERROR(__xludf.DUMMYFUNCTION("""COMPUTED_VALUE"""),"Negative")</f>
        <v>Negative</v>
      </c>
      <c r="H727" s="131" t="str">
        <f>IFERROR(__xludf.DUMMYFUNCTION("""COMPUTED_VALUE"""),"Negative")</f>
        <v>Negative</v>
      </c>
      <c r="I727" s="468">
        <f>IFERROR(__xludf.DUMMYFUNCTION("""COMPUTED_VALUE"""),44602.0)</f>
        <v>44602</v>
      </c>
      <c r="J727" s="470">
        <f>IFERROR(__xludf.DUMMYFUNCTION("""COMPUTED_VALUE"""),0.4455324074074074)</f>
        <v>0.4455324074</v>
      </c>
      <c r="K727" s="16"/>
      <c r="L727" s="8"/>
      <c r="M727" s="69"/>
      <c r="N727" s="69">
        <f>IFERROR(__xludf.DUMMYFUNCTION("""COMPUTED_VALUE"""),1.0)</f>
        <v>1</v>
      </c>
      <c r="O727" s="69" t="str">
        <f t="shared" si="3"/>
        <v/>
      </c>
      <c r="P727" s="471">
        <f>IFERROR(__xludf.DUMMYFUNCTION("""COMPUTED_VALUE"""),0.0)</f>
        <v>0</v>
      </c>
      <c r="Q727" s="274" t="str">
        <f>VLOOKUP($B727,'Run Reconcile'!B$2:O2488,14,FALSE)</f>
        <v/>
      </c>
      <c r="R727" s="472" t="str">
        <f t="array" ref="R727">IF($Q727, INDEX('Run Reconcile'!A$2:A2488,MATCH(B727,'Run Reconcile'!B$2:B2488,0),1),IFERROR(0/0,""))</f>
        <v/>
      </c>
      <c r="S727" s="473" t="str">
        <f t="shared" si="694"/>
        <v/>
      </c>
      <c r="T727" s="473" t="str">
        <f t="shared" si="698"/>
        <v/>
      </c>
      <c r="U727" s="275" t="str">
        <f t="array" ref="U727">IF(ISBLANK($R727), INDEX('Run Reconcile'!A$2:A2488, MATCH($B727, 'Run Reconcile'!B$2:B2488, 0)+Z727, 1), IFERROR(0/0,""))
</f>
        <v>RUN-FLMP_2022-02-10_RFR-085</v>
      </c>
      <c r="V727" s="474" t="str">
        <f t="shared" si="5"/>
        <v>RUN-FLMP_2022-02-10_RFR-085</v>
      </c>
      <c r="Y727" s="89" t="str">
        <f t="shared" si="867"/>
        <v/>
      </c>
      <c r="Z727" s="60" t="str">
        <f t="shared" si="7"/>
        <v/>
      </c>
      <c r="AA727" s="60" t="str">
        <f t="shared" si="8"/>
        <v/>
      </c>
      <c r="AB727" s="60" t="str">
        <f t="shared" si="9"/>
        <v/>
      </c>
      <c r="AC727" s="30" t="str">
        <f t="shared" ref="AC727:AD727" si="1083">IF(_xlfn.ISFORMULA(S727),IFERROR(0/0,""),TRUE)</f>
        <v/>
      </c>
      <c r="AD727" s="30" t="str">
        <f t="shared" si="1083"/>
        <v/>
      </c>
      <c r="AE727" s="475" t="str">
        <f>IFERROR(__xludf.DUMMYFUNCTION("""COMPUTED_VALUE"""),"CRLN")</f>
        <v>CRLN</v>
      </c>
      <c r="AF727" s="476"/>
      <c r="AG727" s="474" t="s">
        <v>178</v>
      </c>
      <c r="AH727" s="138" t="str">
        <f t="shared" si="11"/>
        <v/>
      </c>
    </row>
    <row r="728">
      <c r="A728" s="103" t="str">
        <f>IFERROR(__xludf.DUMMYFUNCTION("""COMPUTED_VALUE"""),"FLB5739")</f>
        <v>FLB5739</v>
      </c>
      <c r="B728" s="468">
        <f>IFERROR(__xludf.DUMMYFUNCTION("""COMPUTED_VALUE"""),44602.0)</f>
        <v>44602</v>
      </c>
      <c r="C728" s="469">
        <f>IFERROR(__xludf.DUMMYFUNCTION("""COMPUTED_VALUE"""),0.38645833333333335)</f>
        <v>0.3864583333</v>
      </c>
      <c r="D728" s="103" t="str">
        <f>IFERROR(__xludf.DUMMYFUNCTION("""COMPUTED_VALUE"""),"SpFLMP116267")</f>
        <v>SpFLMP116267</v>
      </c>
      <c r="E728" s="103"/>
      <c r="F728" s="103"/>
      <c r="G728" s="103" t="str">
        <f>IFERROR(__xludf.DUMMYFUNCTION("""COMPUTED_VALUE"""),"Negative")</f>
        <v>Negative</v>
      </c>
      <c r="H728" s="131" t="str">
        <f>IFERROR(__xludf.DUMMYFUNCTION("""COMPUTED_VALUE"""),"Negative")</f>
        <v>Negative</v>
      </c>
      <c r="I728" s="468">
        <f>IFERROR(__xludf.DUMMYFUNCTION("""COMPUTED_VALUE"""),44602.0)</f>
        <v>44602</v>
      </c>
      <c r="J728" s="470">
        <f>IFERROR(__xludf.DUMMYFUNCTION("""COMPUTED_VALUE"""),0.4455324074074074)</f>
        <v>0.4455324074</v>
      </c>
      <c r="K728" s="16"/>
      <c r="L728" s="8"/>
      <c r="M728" s="69"/>
      <c r="N728" s="69">
        <f>IFERROR(__xludf.DUMMYFUNCTION("""COMPUTED_VALUE"""),1.0)</f>
        <v>1</v>
      </c>
      <c r="O728" s="69" t="str">
        <f t="shared" si="3"/>
        <v/>
      </c>
      <c r="P728" s="471">
        <f>IFERROR(__xludf.DUMMYFUNCTION("""COMPUTED_VALUE"""),0.0)</f>
        <v>0</v>
      </c>
      <c r="Q728" s="274" t="str">
        <f>VLOOKUP($B728,'Run Reconcile'!B$2:O2488,14,FALSE)</f>
        <v/>
      </c>
      <c r="R728" s="472" t="str">
        <f t="array" ref="R728">IF($Q728, INDEX('Run Reconcile'!A$2:A2488,MATCH(B728,'Run Reconcile'!B$2:B2488,0),1),IFERROR(0/0,""))</f>
        <v/>
      </c>
      <c r="S728" s="473" t="str">
        <f t="shared" si="694"/>
        <v/>
      </c>
      <c r="T728" s="473" t="str">
        <f t="shared" si="698"/>
        <v/>
      </c>
      <c r="U728" s="275" t="str">
        <f t="array" ref="U728">IF(ISBLANK($R728), INDEX('Run Reconcile'!A$2:A2488, MATCH($B728, 'Run Reconcile'!B$2:B2488, 0)+Z728, 1), IFERROR(0/0,""))
</f>
        <v>RUN-FLMP_2022-02-10_RFR-085</v>
      </c>
      <c r="V728" s="474" t="str">
        <f t="shared" si="5"/>
        <v>RUN-FLMP_2022-02-10_RFR-085</v>
      </c>
      <c r="Y728" s="89" t="str">
        <f t="shared" si="867"/>
        <v/>
      </c>
      <c r="Z728" s="60" t="str">
        <f t="shared" si="7"/>
        <v/>
      </c>
      <c r="AA728" s="60" t="str">
        <f t="shared" si="8"/>
        <v/>
      </c>
      <c r="AB728" s="60" t="str">
        <f t="shared" si="9"/>
        <v/>
      </c>
      <c r="AC728" s="30" t="str">
        <f t="shared" ref="AC728:AD728" si="1084">IF(_xlfn.ISFORMULA(S728),IFERROR(0/0,""),TRUE)</f>
        <v/>
      </c>
      <c r="AD728" s="30" t="str">
        <f t="shared" si="1084"/>
        <v/>
      </c>
      <c r="AE728" s="475" t="str">
        <f>IFERROR(__xludf.DUMMYFUNCTION("""COMPUTED_VALUE"""),"CRLN")</f>
        <v>CRLN</v>
      </c>
      <c r="AF728" s="476"/>
      <c r="AG728" s="474" t="s">
        <v>178</v>
      </c>
      <c r="AH728" s="138" t="str">
        <f t="shared" si="11"/>
        <v/>
      </c>
    </row>
    <row r="729">
      <c r="A729" s="477" t="str">
        <f>IFERROR(__xludf.DUMMYFUNCTION("""COMPUTED_VALUE"""),"MA974")</f>
        <v>MA974</v>
      </c>
      <c r="B729" s="478">
        <f>IFERROR(__xludf.DUMMYFUNCTION("""COMPUTED_VALUE"""),44603.0)</f>
        <v>44603</v>
      </c>
      <c r="C729" s="479">
        <f>IFERROR(__xludf.DUMMYFUNCTION("""COMPUTED_VALUE"""),0.8286689814814815)</f>
        <v>0.8286689815</v>
      </c>
      <c r="D729" s="477" t="str">
        <f>IFERROR(__xludf.DUMMYFUNCTION("""COMPUTED_VALUE"""),"SpFLMP737812")</f>
        <v>SpFLMP737812</v>
      </c>
      <c r="E729" s="477"/>
      <c r="F729" s="477"/>
      <c r="G729" s="477" t="str">
        <f>IFERROR(__xludf.DUMMYFUNCTION("""COMPUTED_VALUE"""),"Negative")</f>
        <v>Negative</v>
      </c>
      <c r="H729" s="480" t="str">
        <f>IFERROR(__xludf.DUMMYFUNCTION("""COMPUTED_VALUE"""),"Negative")</f>
        <v>Negative</v>
      </c>
      <c r="I729" s="478">
        <f>IFERROR(__xludf.DUMMYFUNCTION("""COMPUTED_VALUE"""),44604.0)</f>
        <v>44604</v>
      </c>
      <c r="J729" s="481">
        <f>IFERROR(__xludf.DUMMYFUNCTION("""COMPUTED_VALUE"""),0.5025925925925926)</f>
        <v>0.5025925926</v>
      </c>
      <c r="K729" s="156"/>
      <c r="L729" s="19"/>
      <c r="M729" s="482"/>
      <c r="N729" s="482">
        <f>IFERROR(__xludf.DUMMYFUNCTION("""COMPUTED_VALUE"""),4.0)</f>
        <v>4</v>
      </c>
      <c r="O729" s="482" t="b">
        <f t="shared" si="3"/>
        <v>1</v>
      </c>
      <c r="P729" s="483">
        <f>IFERROR(__xludf.DUMMYFUNCTION("""COMPUTED_VALUE"""),1.0)</f>
        <v>1</v>
      </c>
      <c r="Q729" s="352" t="str">
        <f>VLOOKUP($B729,'Run Reconcile'!B$2:O2488,14,FALSE)</f>
        <v/>
      </c>
      <c r="R729" s="484" t="str">
        <f t="array" ref="R729">IF($Q729, INDEX('Run Reconcile'!A$2:A2488,MATCH(B729,'Run Reconcile'!B$2:B2488,0),1),IFERROR(0/0,""))</f>
        <v/>
      </c>
      <c r="S729" s="485" t="b">
        <f t="shared" si="694"/>
        <v>1</v>
      </c>
      <c r="T729" s="485" t="str">
        <f t="shared" si="698"/>
        <v/>
      </c>
      <c r="U729" s="353" t="str">
        <f t="array" ref="U729">IF(ISBLANK($R729), INDEX('Run Reconcile'!A$2:A2488, MATCH($B729, 'Run Reconcile'!B$2:B2488, 0)+Z729, 1), IFERROR(0/0,""))
</f>
        <v>RUN-FLMP_2022-02-12_RFR-087</v>
      </c>
      <c r="V729" s="486" t="str">
        <f t="shared" si="5"/>
        <v>RUN-FLMP_2022-02-12_RFR-087</v>
      </c>
      <c r="W729" s="19" t="s">
        <v>1450</v>
      </c>
      <c r="X729" s="19"/>
      <c r="Y729" s="89">
        <f t="shared" si="867"/>
        <v>1</v>
      </c>
      <c r="Z729" s="60">
        <f t="shared" si="7"/>
        <v>1</v>
      </c>
      <c r="AA729" s="60">
        <f t="shared" si="8"/>
        <v>1</v>
      </c>
      <c r="AB729" s="60" t="str">
        <f t="shared" si="9"/>
        <v/>
      </c>
      <c r="AC729" s="158" t="str">
        <f t="shared" ref="AC729:AD729" si="1085">IF(_xlfn.ISFORMULA(S729),IFERROR(0/0,""),TRUE)</f>
        <v/>
      </c>
      <c r="AD729" s="158" t="str">
        <f t="shared" si="1085"/>
        <v/>
      </c>
      <c r="AE729" s="488" t="str">
        <f>IFERROR(__xludf.DUMMYFUNCTION("""COMPUTED_VALUE"""),"CRLN")</f>
        <v>CRLN</v>
      </c>
      <c r="AF729" s="489"/>
      <c r="AG729" s="486" t="s">
        <v>179</v>
      </c>
      <c r="AH729" s="138" t="str">
        <f t="shared" si="11"/>
        <v/>
      </c>
      <c r="AI729" s="19"/>
      <c r="AJ729" s="19"/>
      <c r="AK729" s="19"/>
      <c r="AL729" s="19"/>
      <c r="AM729" s="19"/>
    </row>
    <row r="730">
      <c r="A730" s="103" t="str">
        <f>IFERROR(__xludf.DUMMYFUNCTION("""COMPUTED_VALUE"""),"MA1117")</f>
        <v>MA1117</v>
      </c>
      <c r="B730" s="468">
        <f>IFERROR(__xludf.DUMMYFUNCTION("""COMPUTED_VALUE"""),44604.0)</f>
        <v>44604</v>
      </c>
      <c r="C730" s="469">
        <f>IFERROR(__xludf.DUMMYFUNCTION("""COMPUTED_VALUE"""),0.3055787037037037)</f>
        <v>0.3055787037</v>
      </c>
      <c r="D730" s="103" t="str">
        <f>IFERROR(__xludf.DUMMYFUNCTION("""COMPUTED_VALUE"""),"SpFLMP604497")</f>
        <v>SpFLMP604497</v>
      </c>
      <c r="E730" s="103"/>
      <c r="F730" s="103"/>
      <c r="G730" s="103" t="str">
        <f>IFERROR(__xludf.DUMMYFUNCTION("""COMPUTED_VALUE"""),"Negative")</f>
        <v>Negative</v>
      </c>
      <c r="H730" s="131" t="str">
        <f>IFERROR(__xludf.DUMMYFUNCTION("""COMPUTED_VALUE"""),"Negative")</f>
        <v>Negative</v>
      </c>
      <c r="I730" s="468">
        <f>IFERROR(__xludf.DUMMYFUNCTION("""COMPUTED_VALUE"""),44604.0)</f>
        <v>44604</v>
      </c>
      <c r="J730" s="470">
        <f>IFERROR(__xludf.DUMMYFUNCTION("""COMPUTED_VALUE"""),0.5026041666666666)</f>
        <v>0.5026041667</v>
      </c>
      <c r="K730" s="16"/>
      <c r="L730" s="8"/>
      <c r="M730" s="69"/>
      <c r="N730" s="69">
        <f>IFERROR(__xludf.DUMMYFUNCTION("""COMPUTED_VALUE"""),3.0)</f>
        <v>3</v>
      </c>
      <c r="O730" s="69" t="b">
        <f t="shared" si="3"/>
        <v>1</v>
      </c>
      <c r="P730" s="471">
        <f>IFERROR(__xludf.DUMMYFUNCTION("""COMPUTED_VALUE"""),0.0)</f>
        <v>0</v>
      </c>
      <c r="Q730" s="274" t="str">
        <f>VLOOKUP($B730,'Run Reconcile'!B$2:O2488,14,FALSE)</f>
        <v/>
      </c>
      <c r="R730" s="472" t="str">
        <f t="array" ref="R730">IF($Q730, INDEX('Run Reconcile'!A$2:A2488,MATCH(B730,'Run Reconcile'!B$2:B2488,0),1),IFERROR(0/0,""))</f>
        <v/>
      </c>
      <c r="S730" s="473" t="str">
        <f t="shared" si="694"/>
        <v/>
      </c>
      <c r="T730" s="473" t="str">
        <f t="shared" si="698"/>
        <v/>
      </c>
      <c r="U730" s="275" t="str">
        <f t="array" ref="U730">IF(ISBLANK($R730), INDEX('Run Reconcile'!A$2:A2488, MATCH($B730, 'Run Reconcile'!B$2:B2488, 0)+Z730, 1), IFERROR(0/0,""))
</f>
        <v>RUN-FLMP_2022-02-12_RFR-087</v>
      </c>
      <c r="V730" s="474" t="str">
        <f t="shared" si="5"/>
        <v>RUN-FLMP_2022-02-12_RFR-087</v>
      </c>
      <c r="Y730" s="89" t="str">
        <f t="shared" si="867"/>
        <v/>
      </c>
      <c r="Z730" s="60" t="str">
        <f t="shared" si="7"/>
        <v/>
      </c>
      <c r="AA730" s="60" t="str">
        <f t="shared" si="8"/>
        <v/>
      </c>
      <c r="AB730" s="60" t="str">
        <f t="shared" si="9"/>
        <v/>
      </c>
      <c r="AC730" s="30" t="str">
        <f t="shared" ref="AC730:AD730" si="1086">IF(_xlfn.ISFORMULA(S730),IFERROR(0/0,""),TRUE)</f>
        <v/>
      </c>
      <c r="AD730" s="30" t="str">
        <f t="shared" si="1086"/>
        <v/>
      </c>
      <c r="AE730" s="475" t="str">
        <f>IFERROR(__xludf.DUMMYFUNCTION("""COMPUTED_VALUE"""),"CRLN")</f>
        <v>CRLN</v>
      </c>
      <c r="AF730" s="476"/>
      <c r="AG730" s="474" t="s">
        <v>179</v>
      </c>
      <c r="AH730" s="138" t="str">
        <f t="shared" si="11"/>
        <v/>
      </c>
    </row>
    <row r="731">
      <c r="A731" s="103" t="str">
        <f>IFERROR(__xludf.DUMMYFUNCTION("""COMPUTED_VALUE"""),"MA1366")</f>
        <v>MA1366</v>
      </c>
      <c r="B731" s="468">
        <f>IFERROR(__xludf.DUMMYFUNCTION("""COMPUTED_VALUE"""),44604.0)</f>
        <v>44604</v>
      </c>
      <c r="C731" s="469">
        <f>IFERROR(__xludf.DUMMYFUNCTION("""COMPUTED_VALUE"""),0.3443287037037037)</f>
        <v>0.3443287037</v>
      </c>
      <c r="D731" s="103" t="str">
        <f>IFERROR(__xludf.DUMMYFUNCTION("""COMPUTED_VALUE"""),"SpFLMP684798")</f>
        <v>SpFLMP684798</v>
      </c>
      <c r="E731" s="103"/>
      <c r="F731" s="103"/>
      <c r="G731" s="103" t="str">
        <f>IFERROR(__xludf.DUMMYFUNCTION("""COMPUTED_VALUE"""),"Null")</f>
        <v>Null</v>
      </c>
      <c r="H731" s="131" t="str">
        <f>IFERROR(__xludf.DUMMYFUNCTION("""COMPUTED_VALUE"""),"Negative")</f>
        <v>Negative</v>
      </c>
      <c r="I731" s="468"/>
      <c r="J731" s="16"/>
      <c r="K731" s="16">
        <f>IFERROR(__xludf.DUMMYFUNCTION("""COMPUTED_VALUE"""),2.0)</f>
        <v>2</v>
      </c>
      <c r="L731" s="8"/>
      <c r="M731" s="69"/>
      <c r="N731" s="69">
        <f>IFERROR(__xludf.DUMMYFUNCTION("""COMPUTED_VALUE"""),3.0)</f>
        <v>3</v>
      </c>
      <c r="O731" s="69" t="str">
        <f t="shared" si="3"/>
        <v/>
      </c>
      <c r="P731" s="471">
        <f>IFERROR(__xludf.DUMMYFUNCTION("""COMPUTED_VALUE"""),-1.0)</f>
        <v>-1</v>
      </c>
      <c r="Q731" s="274" t="str">
        <f>VLOOKUP($B731,'Run Reconcile'!B$2:O2488,14,FALSE)</f>
        <v/>
      </c>
      <c r="R731" s="472" t="str">
        <f t="array" ref="R731">IF($Q731, INDEX('Run Reconcile'!A$2:A2488,MATCH(B731,'Run Reconcile'!B$2:B2488,0),1),IFERROR(0/0,""))</f>
        <v/>
      </c>
      <c r="S731" s="473" t="str">
        <f t="shared" si="694"/>
        <v/>
      </c>
      <c r="T731" s="473" t="str">
        <f t="shared" si="698"/>
        <v/>
      </c>
      <c r="U731" s="275" t="str">
        <f t="array" ref="U731">IF(ISBLANK($R731), INDEX('Run Reconcile'!A$2:A2488, MATCH($B731, 'Run Reconcile'!B$2:B2488, 0)+Z731, 1), IFERROR(0/0,""))
</f>
        <v>RUN-FLMP_2022-02-12_RFR-087</v>
      </c>
      <c r="V731" s="474" t="str">
        <f t="shared" si="5"/>
        <v>RUN-FLMP_2022-02-12_RFR-087</v>
      </c>
      <c r="Y731" s="89" t="str">
        <f t="shared" si="867"/>
        <v/>
      </c>
      <c r="Z731" s="60" t="str">
        <f t="shared" si="7"/>
        <v/>
      </c>
      <c r="AA731" s="60" t="str">
        <f t="shared" si="8"/>
        <v/>
      </c>
      <c r="AB731" s="60" t="str">
        <f t="shared" si="9"/>
        <v/>
      </c>
      <c r="AC731" s="30" t="str">
        <f t="shared" ref="AC731:AD731" si="1087">IF(_xlfn.ISFORMULA(S731),IFERROR(0/0,""),TRUE)</f>
        <v/>
      </c>
      <c r="AD731" s="30" t="str">
        <f t="shared" si="1087"/>
        <v/>
      </c>
      <c r="AE731" s="475" t="str">
        <f>IFERROR(__xludf.DUMMYFUNCTION("""COMPUTED_VALUE"""),"CRLN")</f>
        <v>CRLN</v>
      </c>
      <c r="AF731" s="476"/>
      <c r="AG731" s="474" t="s">
        <v>179</v>
      </c>
      <c r="AH731" s="138" t="str">
        <f t="shared" si="11"/>
        <v/>
      </c>
    </row>
    <row r="732">
      <c r="A732" s="477" t="str">
        <f>IFERROR(__xludf.DUMMYFUNCTION("""COMPUTED_VALUE"""),"FLB5782")</f>
        <v>FLB5782</v>
      </c>
      <c r="B732" s="478">
        <f>IFERROR(__xludf.DUMMYFUNCTION("""COMPUTED_VALUE"""),44605.0)</f>
        <v>44605</v>
      </c>
      <c r="C732" s="479">
        <f>IFERROR(__xludf.DUMMYFUNCTION("""COMPUTED_VALUE"""),0.465)</f>
        <v>0.465</v>
      </c>
      <c r="D732" s="477" t="str">
        <f>IFERROR(__xludf.DUMMYFUNCTION("""COMPUTED_VALUE"""),"SpFLMP271329")</f>
        <v>SpFLMP271329</v>
      </c>
      <c r="E732" s="477"/>
      <c r="F732" s="477"/>
      <c r="G732" s="477" t="str">
        <f>IFERROR(__xludf.DUMMYFUNCTION("""COMPUTED_VALUE"""),"Negative")</f>
        <v>Negative</v>
      </c>
      <c r="H732" s="480" t="str">
        <f>IFERROR(__xludf.DUMMYFUNCTION("""COMPUTED_VALUE"""),"Negative")</f>
        <v>Negative</v>
      </c>
      <c r="I732" s="478">
        <f>IFERROR(__xludf.DUMMYFUNCTION("""COMPUTED_VALUE"""),44606.0)</f>
        <v>44606</v>
      </c>
      <c r="J732" s="481">
        <f>IFERROR(__xludf.DUMMYFUNCTION("""COMPUTED_VALUE"""),0.46822916666666664)</f>
        <v>0.4682291667</v>
      </c>
      <c r="K732" s="156"/>
      <c r="L732" s="19"/>
      <c r="M732" s="482"/>
      <c r="N732" s="482">
        <f>IFERROR(__xludf.DUMMYFUNCTION("""COMPUTED_VALUE"""),1.0)</f>
        <v>1</v>
      </c>
      <c r="O732" s="482" t="b">
        <f t="shared" si="3"/>
        <v>1</v>
      </c>
      <c r="P732" s="483">
        <f>IFERROR(__xludf.DUMMYFUNCTION("""COMPUTED_VALUE"""),1.0)</f>
        <v>1</v>
      </c>
      <c r="Q732" s="352" t="str">
        <f>VLOOKUP($B732,'Run Reconcile'!B$2:O2488,14,FALSE)</f>
        <v/>
      </c>
      <c r="R732" s="484" t="str">
        <f t="array" ref="R732">IF($Q732, INDEX('Run Reconcile'!A$2:A2488,MATCH(B732,'Run Reconcile'!B$2:B2488,0),1),IFERROR(0/0,""))</f>
        <v/>
      </c>
      <c r="S732" s="485" t="b">
        <f t="shared" si="694"/>
        <v>1</v>
      </c>
      <c r="T732" s="485" t="str">
        <f t="shared" si="698"/>
        <v/>
      </c>
      <c r="U732" s="353" t="str">
        <f t="array" ref="U732">IF(ISBLANK($R732), INDEX('Run Reconcile'!A$2:A2488, MATCH($B732, 'Run Reconcile'!B$2:B2488, 0)+Z732, 1), IFERROR(0/0,""))
</f>
        <v>RUN-FLMP_2022-02-14_RFR-088</v>
      </c>
      <c r="V732" s="486" t="str">
        <f t="shared" si="5"/>
        <v>RUN-FLMP_2022-02-14_RFR-088</v>
      </c>
      <c r="W732" s="19" t="s">
        <v>1204</v>
      </c>
      <c r="X732" s="19"/>
      <c r="Y732" s="89">
        <f t="shared" si="867"/>
        <v>1</v>
      </c>
      <c r="Z732" s="60">
        <f t="shared" si="7"/>
        <v>1</v>
      </c>
      <c r="AA732" s="60">
        <f t="shared" si="8"/>
        <v>1</v>
      </c>
      <c r="AB732" s="60" t="str">
        <f t="shared" si="9"/>
        <v/>
      </c>
      <c r="AC732" s="158" t="str">
        <f t="shared" ref="AC732:AD732" si="1088">IF(_xlfn.ISFORMULA(S732),IFERROR(0/0,""),TRUE)</f>
        <v/>
      </c>
      <c r="AD732" s="158" t="str">
        <f t="shared" si="1088"/>
        <v/>
      </c>
      <c r="AE732" s="488" t="str">
        <f>IFERROR(__xludf.DUMMYFUNCTION("""COMPUTED_VALUE"""),"CRLN")</f>
        <v>CRLN</v>
      </c>
      <c r="AF732" s="489"/>
      <c r="AG732" s="486" t="s">
        <v>180</v>
      </c>
      <c r="AH732" s="138" t="str">
        <f t="shared" si="11"/>
        <v/>
      </c>
      <c r="AI732" s="19"/>
      <c r="AJ732" s="19"/>
      <c r="AK732" s="19"/>
      <c r="AL732" s="19"/>
      <c r="AM732" s="19"/>
    </row>
    <row r="733">
      <c r="A733" s="103" t="str">
        <f>IFERROR(__xludf.DUMMYFUNCTION("""COMPUTED_VALUE"""),"FLB7166")</f>
        <v>FLB7166</v>
      </c>
      <c r="B733" s="468">
        <f>IFERROR(__xludf.DUMMYFUNCTION("""COMPUTED_VALUE"""),44605.0)</f>
        <v>44605</v>
      </c>
      <c r="C733" s="469">
        <f>IFERROR(__xludf.DUMMYFUNCTION("""COMPUTED_VALUE"""),0.49224537037037036)</f>
        <v>0.4922453704</v>
      </c>
      <c r="D733" s="103" t="str">
        <f>IFERROR(__xludf.DUMMYFUNCTION("""COMPUTED_VALUE"""),"SpFLMP683554")</f>
        <v>SpFLMP683554</v>
      </c>
      <c r="E733" s="103"/>
      <c r="F733" s="103"/>
      <c r="G733" s="103" t="str">
        <f>IFERROR(__xludf.DUMMYFUNCTION("""COMPUTED_VALUE"""),"Negative")</f>
        <v>Negative</v>
      </c>
      <c r="H733" s="131" t="str">
        <f>IFERROR(__xludf.DUMMYFUNCTION("""COMPUTED_VALUE"""),"Negative")</f>
        <v>Negative</v>
      </c>
      <c r="I733" s="468">
        <f>IFERROR(__xludf.DUMMYFUNCTION("""COMPUTED_VALUE"""),44606.0)</f>
        <v>44606</v>
      </c>
      <c r="J733" s="470">
        <f>IFERROR(__xludf.DUMMYFUNCTION("""COMPUTED_VALUE"""),0.44247685185185187)</f>
        <v>0.4424768519</v>
      </c>
      <c r="K733" s="16"/>
      <c r="L733" s="8"/>
      <c r="M733" s="69"/>
      <c r="N733" s="69">
        <f>IFERROR(__xludf.DUMMYFUNCTION("""COMPUTED_VALUE"""),1.0)</f>
        <v>1</v>
      </c>
      <c r="O733" s="69" t="str">
        <f t="shared" si="3"/>
        <v/>
      </c>
      <c r="P733" s="471">
        <f>IFERROR(__xludf.DUMMYFUNCTION("""COMPUTED_VALUE"""),1.0)</f>
        <v>1</v>
      </c>
      <c r="Q733" s="274" t="str">
        <f>VLOOKUP($B733,'Run Reconcile'!B$2:O2488,14,FALSE)</f>
        <v/>
      </c>
      <c r="R733" s="472" t="str">
        <f t="array" ref="R733">IF($Q733, INDEX('Run Reconcile'!A$2:A2488,MATCH(B733,'Run Reconcile'!B$2:B2488,0),1),IFERROR(0/0,""))</f>
        <v/>
      </c>
      <c r="S733" s="473" t="b">
        <f t="shared" si="694"/>
        <v>1</v>
      </c>
      <c r="T733" s="473" t="str">
        <f t="shared" si="698"/>
        <v/>
      </c>
      <c r="U733" s="275" t="str">
        <f t="array" ref="U733">IF(ISBLANK($R733), INDEX('Run Reconcile'!A$2:A2488, MATCH($B733, 'Run Reconcile'!B$2:B2488, 0)+Z733, 1), IFERROR(0/0,""))
</f>
        <v>RUN-FLMP_2022-02-14_RFR-088</v>
      </c>
      <c r="V733" s="474" t="str">
        <f t="shared" si="5"/>
        <v>RUN-FLMP_2022-02-14_RFR-088</v>
      </c>
      <c r="W733" s="8" t="s">
        <v>1451</v>
      </c>
      <c r="Y733" s="89">
        <f t="shared" si="867"/>
        <v>1</v>
      </c>
      <c r="Z733" s="60">
        <f t="shared" si="7"/>
        <v>1</v>
      </c>
      <c r="AA733" s="60">
        <f t="shared" si="8"/>
        <v>1</v>
      </c>
      <c r="AB733" s="60" t="str">
        <f t="shared" si="9"/>
        <v/>
      </c>
      <c r="AC733" s="30" t="str">
        <f t="shared" ref="AC733:AD733" si="1089">IF(_xlfn.ISFORMULA(S733),IFERROR(0/0,""),TRUE)</f>
        <v/>
      </c>
      <c r="AD733" s="30" t="str">
        <f t="shared" si="1089"/>
        <v/>
      </c>
      <c r="AE733" s="475" t="str">
        <f>IFERROR(__xludf.DUMMYFUNCTION("""COMPUTED_VALUE"""),"CRLN")</f>
        <v>CRLN</v>
      </c>
      <c r="AF733" s="476"/>
      <c r="AG733" s="474" t="s">
        <v>180</v>
      </c>
      <c r="AH733" s="138" t="str">
        <f t="shared" si="11"/>
        <v/>
      </c>
    </row>
    <row r="734">
      <c r="A734" s="103" t="str">
        <f>IFERROR(__xludf.DUMMYFUNCTION("""COMPUTED_VALUE"""),"FLB7158")</f>
        <v>FLB7158</v>
      </c>
      <c r="B734" s="468">
        <f>IFERROR(__xludf.DUMMYFUNCTION("""COMPUTED_VALUE"""),44605.0)</f>
        <v>44605</v>
      </c>
      <c r="C734" s="469">
        <f>IFERROR(__xludf.DUMMYFUNCTION("""COMPUTED_VALUE"""),0.8523032407407407)</f>
        <v>0.8523032407</v>
      </c>
      <c r="D734" s="103" t="str">
        <f>IFERROR(__xludf.DUMMYFUNCTION("""COMPUTED_VALUE"""),"SpFLMP268514")</f>
        <v>SpFLMP268514</v>
      </c>
      <c r="E734" s="103"/>
      <c r="F734" s="103"/>
      <c r="G734" s="103" t="str">
        <f>IFERROR(__xludf.DUMMYFUNCTION("""COMPUTED_VALUE"""),"Negative")</f>
        <v>Negative</v>
      </c>
      <c r="H734" s="131" t="str">
        <f>IFERROR(__xludf.DUMMYFUNCTION("""COMPUTED_VALUE"""),"Negative")</f>
        <v>Negative</v>
      </c>
      <c r="I734" s="468">
        <f>IFERROR(__xludf.DUMMYFUNCTION("""COMPUTED_VALUE"""),44606.0)</f>
        <v>44606</v>
      </c>
      <c r="J734" s="470">
        <f>IFERROR(__xludf.DUMMYFUNCTION("""COMPUTED_VALUE"""),0.44247685185185187)</f>
        <v>0.4424768519</v>
      </c>
      <c r="K734" s="16"/>
      <c r="L734" s="8"/>
      <c r="M734" s="69"/>
      <c r="N734" s="69">
        <f>IFERROR(__xludf.DUMMYFUNCTION("""COMPUTED_VALUE"""),4.0)</f>
        <v>4</v>
      </c>
      <c r="O734" s="69" t="str">
        <f t="shared" si="3"/>
        <v/>
      </c>
      <c r="P734" s="471">
        <f>IFERROR(__xludf.DUMMYFUNCTION("""COMPUTED_VALUE"""),1.0)</f>
        <v>1</v>
      </c>
      <c r="Q734" s="274" t="str">
        <f>VLOOKUP($B734,'Run Reconcile'!B$2:O2488,14,FALSE)</f>
        <v/>
      </c>
      <c r="R734" s="472" t="str">
        <f t="array" ref="R734">IF($Q734, INDEX('Run Reconcile'!A$2:A2488,MATCH(B734,'Run Reconcile'!B$2:B2488,0),1),IFERROR(0/0,""))</f>
        <v/>
      </c>
      <c r="S734" s="473" t="b">
        <f t="shared" si="694"/>
        <v>1</v>
      </c>
      <c r="T734" s="473" t="str">
        <f t="shared" si="698"/>
        <v/>
      </c>
      <c r="U734" s="275" t="str">
        <f t="array" ref="U734">IF(ISBLANK($R734), INDEX('Run Reconcile'!A$2:A2488, MATCH($B734, 'Run Reconcile'!B$2:B2488, 0)+Z734, 1), IFERROR(0/0,""))
</f>
        <v>RUN-FLMP_2022-02-14_RFR-088</v>
      </c>
      <c r="V734" s="474" t="str">
        <f t="shared" si="5"/>
        <v>RUN-FLMP_2022-02-14_RFR-088</v>
      </c>
      <c r="W734" s="8" t="s">
        <v>1452</v>
      </c>
      <c r="Y734" s="89">
        <f t="shared" si="867"/>
        <v>1</v>
      </c>
      <c r="Z734" s="60">
        <f t="shared" si="7"/>
        <v>1</v>
      </c>
      <c r="AA734" s="60">
        <f t="shared" si="8"/>
        <v>1</v>
      </c>
      <c r="AB734" s="60" t="str">
        <f t="shared" si="9"/>
        <v/>
      </c>
      <c r="AC734" s="30" t="str">
        <f t="shared" ref="AC734:AD734" si="1090">IF(_xlfn.ISFORMULA(S734),IFERROR(0/0,""),TRUE)</f>
        <v/>
      </c>
      <c r="AD734" s="30" t="str">
        <f t="shared" si="1090"/>
        <v/>
      </c>
      <c r="AE734" s="475" t="str">
        <f>IFERROR(__xludf.DUMMYFUNCTION("""COMPUTED_VALUE"""),"CRLN")</f>
        <v>CRLN</v>
      </c>
      <c r="AF734" s="476"/>
      <c r="AG734" s="474" t="s">
        <v>180</v>
      </c>
      <c r="AH734" s="138" t="str">
        <f t="shared" si="11"/>
        <v/>
      </c>
    </row>
    <row r="735">
      <c r="A735" s="103" t="str">
        <f>IFERROR(__xludf.DUMMYFUNCTION("""COMPUTED_VALUE"""),"FLT1503")</f>
        <v>FLT1503</v>
      </c>
      <c r="B735" s="468">
        <f>IFERROR(__xludf.DUMMYFUNCTION("""COMPUTED_VALUE"""),44605.0)</f>
        <v>44605</v>
      </c>
      <c r="C735" s="469">
        <f>IFERROR(__xludf.DUMMYFUNCTION("""COMPUTED_VALUE"""),0.8616319444444445)</f>
        <v>0.8616319444</v>
      </c>
      <c r="D735" s="103" t="str">
        <f>IFERROR(__xludf.DUMMYFUNCTION("""COMPUTED_VALUE"""),"SpFLMP904576")</f>
        <v>SpFLMP904576</v>
      </c>
      <c r="E735" s="103"/>
      <c r="F735" s="103"/>
      <c r="G735" s="103" t="str">
        <f>IFERROR(__xludf.DUMMYFUNCTION("""COMPUTED_VALUE"""),"Negative")</f>
        <v>Negative</v>
      </c>
      <c r="H735" s="131" t="str">
        <f>IFERROR(__xludf.DUMMYFUNCTION("""COMPUTED_VALUE"""),"Negative")</f>
        <v>Negative</v>
      </c>
      <c r="I735" s="468">
        <f>IFERROR(__xludf.DUMMYFUNCTION("""COMPUTED_VALUE"""),44606.0)</f>
        <v>44606</v>
      </c>
      <c r="J735" s="470">
        <f>IFERROR(__xludf.DUMMYFUNCTION("""COMPUTED_VALUE"""),0.4424884259259259)</f>
        <v>0.4424884259</v>
      </c>
      <c r="K735" s="16"/>
      <c r="L735" s="8"/>
      <c r="M735" s="69"/>
      <c r="N735" s="69">
        <f>IFERROR(__xludf.DUMMYFUNCTION("""COMPUTED_VALUE"""),3.0)</f>
        <v>3</v>
      </c>
      <c r="O735" s="69" t="str">
        <f t="shared" si="3"/>
        <v/>
      </c>
      <c r="P735" s="471">
        <f>IFERROR(__xludf.DUMMYFUNCTION("""COMPUTED_VALUE"""),1.0)</f>
        <v>1</v>
      </c>
      <c r="Q735" s="274" t="str">
        <f>VLOOKUP($B735,'Run Reconcile'!B$2:O2488,14,FALSE)</f>
        <v/>
      </c>
      <c r="R735" s="472" t="str">
        <f t="array" ref="R735">IF($Q735, INDEX('Run Reconcile'!A$2:A2488,MATCH(B735,'Run Reconcile'!B$2:B2488,0),1),IFERROR(0/0,""))</f>
        <v/>
      </c>
      <c r="S735" s="473" t="b">
        <f t="shared" si="694"/>
        <v>1</v>
      </c>
      <c r="T735" s="473" t="str">
        <f t="shared" si="698"/>
        <v/>
      </c>
      <c r="U735" s="275" t="str">
        <f t="array" ref="U735">IF(ISBLANK($R735), INDEX('Run Reconcile'!A$2:A2488, MATCH($B735, 'Run Reconcile'!B$2:B2488, 0)+Z735, 1), IFERROR(0/0,""))
</f>
        <v>RUN-FLMP_2022-02-14_RFR-088</v>
      </c>
      <c r="V735" s="474" t="str">
        <f t="shared" si="5"/>
        <v>RUN-FLMP_2022-02-14_RFR-088</v>
      </c>
      <c r="W735" s="8" t="s">
        <v>1453</v>
      </c>
      <c r="Y735" s="89">
        <f t="shared" si="867"/>
        <v>1</v>
      </c>
      <c r="Z735" s="60">
        <f t="shared" si="7"/>
        <v>1</v>
      </c>
      <c r="AA735" s="60">
        <f t="shared" si="8"/>
        <v>1</v>
      </c>
      <c r="AB735" s="60" t="str">
        <f t="shared" si="9"/>
        <v/>
      </c>
      <c r="AC735" s="30" t="str">
        <f t="shared" ref="AC735:AD735" si="1091">IF(_xlfn.ISFORMULA(S735),IFERROR(0/0,""),TRUE)</f>
        <v/>
      </c>
      <c r="AD735" s="30" t="str">
        <f t="shared" si="1091"/>
        <v/>
      </c>
      <c r="AE735" s="475" t="str">
        <f>IFERROR(__xludf.DUMMYFUNCTION("""COMPUTED_VALUE"""),"CRLN")</f>
        <v>CRLN</v>
      </c>
      <c r="AF735" s="476"/>
      <c r="AG735" s="474" t="s">
        <v>180</v>
      </c>
      <c r="AH735" s="138" t="str">
        <f t="shared" si="11"/>
        <v/>
      </c>
    </row>
    <row r="736">
      <c r="A736" s="103" t="str">
        <f>IFERROR(__xludf.DUMMYFUNCTION("""COMPUTED_VALUE"""),"FLB5786")</f>
        <v>FLB5786</v>
      </c>
      <c r="B736" s="468">
        <f>IFERROR(__xludf.DUMMYFUNCTION("""COMPUTED_VALUE"""),44606.0)</f>
        <v>44606</v>
      </c>
      <c r="C736" s="469">
        <f>IFERROR(__xludf.DUMMYFUNCTION("""COMPUTED_VALUE"""),0.22319444444444445)</f>
        <v>0.2231944444</v>
      </c>
      <c r="D736" s="103" t="str">
        <f>IFERROR(__xludf.DUMMYFUNCTION("""COMPUTED_VALUE"""),"SpFLMP470379")</f>
        <v>SpFLMP470379</v>
      </c>
      <c r="E736" s="103"/>
      <c r="F736" s="103"/>
      <c r="G736" s="103" t="str">
        <f>IFERROR(__xludf.DUMMYFUNCTION("""COMPUTED_VALUE"""),"Negative")</f>
        <v>Negative</v>
      </c>
      <c r="H736" s="131" t="str">
        <f>IFERROR(__xludf.DUMMYFUNCTION("""COMPUTED_VALUE"""),"Negative")</f>
        <v>Negative</v>
      </c>
      <c r="I736" s="468">
        <f>IFERROR(__xludf.DUMMYFUNCTION("""COMPUTED_VALUE"""),44606.0)</f>
        <v>44606</v>
      </c>
      <c r="J736" s="470">
        <f>IFERROR(__xludf.DUMMYFUNCTION("""COMPUTED_VALUE"""),0.4424884259259259)</f>
        <v>0.4424884259</v>
      </c>
      <c r="K736" s="16"/>
      <c r="L736" s="8"/>
      <c r="M736" s="69"/>
      <c r="N736" s="69">
        <f>IFERROR(__xludf.DUMMYFUNCTION("""COMPUTED_VALUE"""),1.0)</f>
        <v>1</v>
      </c>
      <c r="O736" s="69" t="b">
        <f t="shared" si="3"/>
        <v>1</v>
      </c>
      <c r="P736" s="471">
        <f>IFERROR(__xludf.DUMMYFUNCTION("""COMPUTED_VALUE"""),0.0)</f>
        <v>0</v>
      </c>
      <c r="Q736" s="274" t="str">
        <f>VLOOKUP($B736,'Run Reconcile'!B$2:O2488,14,FALSE)</f>
        <v/>
      </c>
      <c r="R736" s="472" t="str">
        <f t="array" ref="R736">IF($Q736, INDEX('Run Reconcile'!A$2:A2488,MATCH(B736,'Run Reconcile'!B$2:B2488,0),1),IFERROR(0/0,""))</f>
        <v/>
      </c>
      <c r="S736" s="473" t="str">
        <f t="shared" si="694"/>
        <v/>
      </c>
      <c r="T736" s="473" t="str">
        <f t="shared" si="698"/>
        <v/>
      </c>
      <c r="U736" s="275" t="str">
        <f t="array" ref="U736">IF(ISBLANK($R736), INDEX('Run Reconcile'!A$2:A2488, MATCH($B736, 'Run Reconcile'!B$2:B2488, 0)+Z736, 1), IFERROR(0/0,""))
</f>
        <v>RUN-FLMP_2022-02-14_RFR-088</v>
      </c>
      <c r="V736" s="474" t="str">
        <f t="shared" si="5"/>
        <v>RUN-FLMP_2022-02-14_RFR-088</v>
      </c>
      <c r="Y736" s="89" t="str">
        <f t="shared" si="867"/>
        <v/>
      </c>
      <c r="Z736" s="60" t="str">
        <f t="shared" si="7"/>
        <v/>
      </c>
      <c r="AA736" s="60" t="str">
        <f t="shared" si="8"/>
        <v/>
      </c>
      <c r="AB736" s="60" t="str">
        <f t="shared" si="9"/>
        <v/>
      </c>
      <c r="AC736" s="30" t="str">
        <f t="shared" ref="AC736:AD736" si="1092">IF(_xlfn.ISFORMULA(S736),IFERROR(0/0,""),TRUE)</f>
        <v/>
      </c>
      <c r="AD736" s="30" t="str">
        <f t="shared" si="1092"/>
        <v/>
      </c>
      <c r="AE736" s="475" t="str">
        <f>IFERROR(__xludf.DUMMYFUNCTION("""COMPUTED_VALUE"""),"CRLN")</f>
        <v>CRLN</v>
      </c>
      <c r="AF736" s="476"/>
      <c r="AG736" s="474" t="s">
        <v>180</v>
      </c>
      <c r="AH736" s="138" t="str">
        <f t="shared" si="11"/>
        <v/>
      </c>
    </row>
    <row r="737">
      <c r="A737" s="103" t="str">
        <f>IFERROR(__xludf.DUMMYFUNCTION("""COMPUTED_VALUE"""),"FLE800")</f>
        <v>FLE800</v>
      </c>
      <c r="B737" s="468">
        <f>IFERROR(__xludf.DUMMYFUNCTION("""COMPUTED_VALUE"""),44606.0)</f>
        <v>44606</v>
      </c>
      <c r="C737" s="469">
        <f>IFERROR(__xludf.DUMMYFUNCTION("""COMPUTED_VALUE"""),0.29532407407407407)</f>
        <v>0.2953240741</v>
      </c>
      <c r="D737" s="103" t="str">
        <f>IFERROR(__xludf.DUMMYFUNCTION("""COMPUTED_VALUE"""),"SpFLMP690282")</f>
        <v>SpFLMP690282</v>
      </c>
      <c r="E737" s="103"/>
      <c r="F737" s="103"/>
      <c r="G737" s="103" t="str">
        <f>IFERROR(__xludf.DUMMYFUNCTION("""COMPUTED_VALUE"""),"Negative")</f>
        <v>Negative</v>
      </c>
      <c r="H737" s="131" t="str">
        <f>IFERROR(__xludf.DUMMYFUNCTION("""COMPUTED_VALUE"""),"Negative")</f>
        <v>Negative</v>
      </c>
      <c r="I737" s="468">
        <f>IFERROR(__xludf.DUMMYFUNCTION("""COMPUTED_VALUE"""),44606.0)</f>
        <v>44606</v>
      </c>
      <c r="J737" s="470">
        <f>IFERROR(__xludf.DUMMYFUNCTION("""COMPUTED_VALUE"""),0.4424884259259259)</f>
        <v>0.4424884259</v>
      </c>
      <c r="K737" s="16"/>
      <c r="L737" s="8"/>
      <c r="M737" s="69"/>
      <c r="N737" s="69">
        <f>IFERROR(__xludf.DUMMYFUNCTION("""COMPUTED_VALUE"""),2.0)</f>
        <v>2</v>
      </c>
      <c r="O737" s="69" t="str">
        <f t="shared" si="3"/>
        <v/>
      </c>
      <c r="P737" s="471">
        <f>IFERROR(__xludf.DUMMYFUNCTION("""COMPUTED_VALUE"""),0.0)</f>
        <v>0</v>
      </c>
      <c r="Q737" s="274" t="str">
        <f>VLOOKUP($B737,'Run Reconcile'!B$2:O2488,14,FALSE)</f>
        <v/>
      </c>
      <c r="R737" s="472" t="str">
        <f t="array" ref="R737">IF($Q737, INDEX('Run Reconcile'!A$2:A2488,MATCH(B737,'Run Reconcile'!B$2:B2488,0),1),IFERROR(0/0,""))</f>
        <v/>
      </c>
      <c r="S737" s="473" t="str">
        <f t="shared" si="694"/>
        <v/>
      </c>
      <c r="T737" s="473" t="str">
        <f t="shared" si="698"/>
        <v/>
      </c>
      <c r="U737" s="275" t="str">
        <f t="array" ref="U737">IF(ISBLANK($R737), INDEX('Run Reconcile'!A$2:A2488, MATCH($B737, 'Run Reconcile'!B$2:B2488, 0)+Z737, 1), IFERROR(0/0,""))
</f>
        <v>RUN-FLMP_2022-02-14_RFR-088</v>
      </c>
      <c r="V737" s="474" t="str">
        <f t="shared" si="5"/>
        <v>RUN-FLMP_2022-02-14_RFR-088</v>
      </c>
      <c r="Y737" s="89" t="str">
        <f t="shared" si="867"/>
        <v/>
      </c>
      <c r="Z737" s="60" t="str">
        <f t="shared" si="7"/>
        <v/>
      </c>
      <c r="AA737" s="60" t="str">
        <f t="shared" si="8"/>
        <v/>
      </c>
      <c r="AB737" s="60" t="str">
        <f t="shared" si="9"/>
        <v/>
      </c>
      <c r="AC737" s="30" t="str">
        <f t="shared" ref="AC737:AD737" si="1093">IF(_xlfn.ISFORMULA(S737),IFERROR(0/0,""),TRUE)</f>
        <v/>
      </c>
      <c r="AD737" s="30" t="str">
        <f t="shared" si="1093"/>
        <v/>
      </c>
      <c r="AE737" s="475" t="str">
        <f>IFERROR(__xludf.DUMMYFUNCTION("""COMPUTED_VALUE"""),"CRLN")</f>
        <v>CRLN</v>
      </c>
      <c r="AF737" s="476"/>
      <c r="AG737" s="474" t="s">
        <v>180</v>
      </c>
      <c r="AH737" s="138" t="str">
        <f t="shared" si="11"/>
        <v/>
      </c>
    </row>
    <row r="738">
      <c r="A738" s="103" t="str">
        <f>IFERROR(__xludf.DUMMYFUNCTION("""COMPUTED_VALUE"""),"FLB6835")</f>
        <v>FLB6835</v>
      </c>
      <c r="B738" s="468">
        <f>IFERROR(__xludf.DUMMYFUNCTION("""COMPUTED_VALUE"""),44606.0)</f>
        <v>44606</v>
      </c>
      <c r="C738" s="469">
        <f>IFERROR(__xludf.DUMMYFUNCTION("""COMPUTED_VALUE"""),0.30157407407407405)</f>
        <v>0.3015740741</v>
      </c>
      <c r="D738" s="103" t="str">
        <f>IFERROR(__xludf.DUMMYFUNCTION("""COMPUTED_VALUE"""),"SpFLMP572444")</f>
        <v>SpFLMP572444</v>
      </c>
      <c r="E738" s="103"/>
      <c r="F738" s="103"/>
      <c r="G738" s="103" t="str">
        <f>IFERROR(__xludf.DUMMYFUNCTION("""COMPUTED_VALUE"""),"Negative")</f>
        <v>Negative</v>
      </c>
      <c r="H738" s="131" t="str">
        <f>IFERROR(__xludf.DUMMYFUNCTION("""COMPUTED_VALUE"""),"Negative")</f>
        <v>Negative</v>
      </c>
      <c r="I738" s="468">
        <f>IFERROR(__xludf.DUMMYFUNCTION("""COMPUTED_VALUE"""),44606.0)</f>
        <v>44606</v>
      </c>
      <c r="J738" s="470">
        <f>IFERROR(__xludf.DUMMYFUNCTION("""COMPUTED_VALUE"""),0.4424884259259259)</f>
        <v>0.4424884259</v>
      </c>
      <c r="K738" s="16"/>
      <c r="L738" s="8"/>
      <c r="M738" s="69"/>
      <c r="N738" s="69">
        <f>IFERROR(__xludf.DUMMYFUNCTION("""COMPUTED_VALUE"""),3.0)</f>
        <v>3</v>
      </c>
      <c r="O738" s="69" t="str">
        <f t="shared" si="3"/>
        <v/>
      </c>
      <c r="P738" s="471">
        <f>IFERROR(__xludf.DUMMYFUNCTION("""COMPUTED_VALUE"""),0.0)</f>
        <v>0</v>
      </c>
      <c r="Q738" s="274" t="str">
        <f>VLOOKUP($B738,'Run Reconcile'!B$2:O2488,14,FALSE)</f>
        <v/>
      </c>
      <c r="R738" s="472" t="str">
        <f t="array" ref="R738">IF($Q738, INDEX('Run Reconcile'!A$2:A2488,MATCH(B738,'Run Reconcile'!B$2:B2488,0),1),IFERROR(0/0,""))</f>
        <v/>
      </c>
      <c r="S738" s="473" t="str">
        <f t="shared" si="694"/>
        <v/>
      </c>
      <c r="T738" s="473" t="str">
        <f t="shared" si="698"/>
        <v/>
      </c>
      <c r="U738" s="275" t="str">
        <f t="array" ref="U738">IF(ISBLANK($R738), INDEX('Run Reconcile'!A$2:A2488, MATCH($B738, 'Run Reconcile'!B$2:B2488, 0)+Z738, 1), IFERROR(0/0,""))
</f>
        <v>RUN-FLMP_2022-02-14_RFR-088</v>
      </c>
      <c r="V738" s="474" t="str">
        <f t="shared" si="5"/>
        <v>RUN-FLMP_2022-02-14_RFR-088</v>
      </c>
      <c r="Y738" s="89" t="str">
        <f t="shared" si="867"/>
        <v/>
      </c>
      <c r="Z738" s="60" t="str">
        <f t="shared" si="7"/>
        <v/>
      </c>
      <c r="AA738" s="60" t="str">
        <f t="shared" si="8"/>
        <v/>
      </c>
      <c r="AB738" s="60" t="str">
        <f t="shared" si="9"/>
        <v/>
      </c>
      <c r="AC738" s="30" t="str">
        <f t="shared" ref="AC738:AD738" si="1094">IF(_xlfn.ISFORMULA(S738),IFERROR(0/0,""),TRUE)</f>
        <v/>
      </c>
      <c r="AD738" s="30" t="str">
        <f t="shared" si="1094"/>
        <v/>
      </c>
      <c r="AE738" s="475" t="str">
        <f>IFERROR(__xludf.DUMMYFUNCTION("""COMPUTED_VALUE"""),"CRLN")</f>
        <v>CRLN</v>
      </c>
      <c r="AF738" s="476"/>
      <c r="AG738" s="474" t="s">
        <v>180</v>
      </c>
      <c r="AH738" s="138" t="str">
        <f t="shared" si="11"/>
        <v/>
      </c>
    </row>
    <row r="739">
      <c r="A739" s="103" t="str">
        <f>IFERROR(__xludf.DUMMYFUNCTION("""COMPUTED_VALUE"""),"FLB7134")</f>
        <v>FLB7134</v>
      </c>
      <c r="B739" s="468">
        <f>IFERROR(__xludf.DUMMYFUNCTION("""COMPUTED_VALUE"""),44606.0)</f>
        <v>44606</v>
      </c>
      <c r="C739" s="469">
        <f>IFERROR(__xludf.DUMMYFUNCTION("""COMPUTED_VALUE"""),0.3109837962962963)</f>
        <v>0.3109837963</v>
      </c>
      <c r="D739" s="103" t="str">
        <f>IFERROR(__xludf.DUMMYFUNCTION("""COMPUTED_VALUE"""),"SpFLMP170622")</f>
        <v>SpFLMP170622</v>
      </c>
      <c r="E739" s="103"/>
      <c r="F739" s="103"/>
      <c r="G739" s="103" t="str">
        <f>IFERROR(__xludf.DUMMYFUNCTION("""COMPUTED_VALUE"""),"Negative")</f>
        <v>Negative</v>
      </c>
      <c r="H739" s="131" t="str">
        <f>IFERROR(__xludf.DUMMYFUNCTION("""COMPUTED_VALUE"""),"Negative")</f>
        <v>Negative</v>
      </c>
      <c r="I739" s="468">
        <f>IFERROR(__xludf.DUMMYFUNCTION("""COMPUTED_VALUE"""),44606.0)</f>
        <v>44606</v>
      </c>
      <c r="J739" s="470">
        <f>IFERROR(__xludf.DUMMYFUNCTION("""COMPUTED_VALUE"""),0.4424884259259259)</f>
        <v>0.4424884259</v>
      </c>
      <c r="K739" s="16"/>
      <c r="L739" s="8"/>
      <c r="M739" s="69"/>
      <c r="N739" s="69">
        <f>IFERROR(__xludf.DUMMYFUNCTION("""COMPUTED_VALUE"""),4.0)</f>
        <v>4</v>
      </c>
      <c r="O739" s="69" t="str">
        <f t="shared" si="3"/>
        <v/>
      </c>
      <c r="P739" s="471">
        <f>IFERROR(__xludf.DUMMYFUNCTION("""COMPUTED_VALUE"""),0.0)</f>
        <v>0</v>
      </c>
      <c r="Q739" s="274" t="str">
        <f>VLOOKUP($B739,'Run Reconcile'!B$2:O2488,14,FALSE)</f>
        <v/>
      </c>
      <c r="R739" s="472" t="str">
        <f t="array" ref="R739">IF($Q739, INDEX('Run Reconcile'!A$2:A2488,MATCH(B739,'Run Reconcile'!B$2:B2488,0),1),IFERROR(0/0,""))</f>
        <v/>
      </c>
      <c r="S739" s="473" t="str">
        <f t="shared" si="694"/>
        <v/>
      </c>
      <c r="T739" s="473" t="str">
        <f t="shared" si="698"/>
        <v/>
      </c>
      <c r="U739" s="275" t="str">
        <f t="array" ref="U739">IF(ISBLANK($R739), INDEX('Run Reconcile'!A$2:A2488, MATCH($B739, 'Run Reconcile'!B$2:B2488, 0)+Z739, 1), IFERROR(0/0,""))
</f>
        <v>RUN-FLMP_2022-02-14_RFR-088</v>
      </c>
      <c r="V739" s="474" t="str">
        <f t="shared" si="5"/>
        <v>RUN-FLMP_2022-02-14_RFR-088</v>
      </c>
      <c r="Y739" s="89" t="str">
        <f t="shared" si="867"/>
        <v/>
      </c>
      <c r="Z739" s="60" t="str">
        <f t="shared" si="7"/>
        <v/>
      </c>
      <c r="AA739" s="60" t="str">
        <f t="shared" si="8"/>
        <v/>
      </c>
      <c r="AB739" s="60" t="str">
        <f t="shared" si="9"/>
        <v/>
      </c>
      <c r="AC739" s="30" t="str">
        <f t="shared" ref="AC739:AD739" si="1095">IF(_xlfn.ISFORMULA(S739),IFERROR(0/0,""),TRUE)</f>
        <v/>
      </c>
      <c r="AD739" s="30" t="str">
        <f t="shared" si="1095"/>
        <v/>
      </c>
      <c r="AE739" s="475" t="str">
        <f>IFERROR(__xludf.DUMMYFUNCTION("""COMPUTED_VALUE"""),"CRLN")</f>
        <v>CRLN</v>
      </c>
      <c r="AF739" s="476"/>
      <c r="AG739" s="474" t="s">
        <v>180</v>
      </c>
      <c r="AH739" s="138" t="str">
        <f t="shared" si="11"/>
        <v/>
      </c>
    </row>
    <row r="740">
      <c r="A740" s="103" t="str">
        <f>IFERROR(__xludf.DUMMYFUNCTION("""COMPUTED_VALUE"""),"FLB7185")</f>
        <v>FLB7185</v>
      </c>
      <c r="B740" s="468">
        <f>IFERROR(__xludf.DUMMYFUNCTION("""COMPUTED_VALUE"""),44606.0)</f>
        <v>44606</v>
      </c>
      <c r="C740" s="469">
        <f>IFERROR(__xludf.DUMMYFUNCTION("""COMPUTED_VALUE"""),0.3114236111111111)</f>
        <v>0.3114236111</v>
      </c>
      <c r="D740" s="103" t="str">
        <f>IFERROR(__xludf.DUMMYFUNCTION("""COMPUTED_VALUE"""),"SpFLMP170622")</f>
        <v>SpFLMP170622</v>
      </c>
      <c r="E740" s="103"/>
      <c r="F740" s="103"/>
      <c r="G740" s="103" t="str">
        <f>IFERROR(__xludf.DUMMYFUNCTION("""COMPUTED_VALUE"""),"Negative")</f>
        <v>Negative</v>
      </c>
      <c r="H740" s="131" t="str">
        <f>IFERROR(__xludf.DUMMYFUNCTION("""COMPUTED_VALUE"""),"Negative")</f>
        <v>Negative</v>
      </c>
      <c r="I740" s="468">
        <f>IFERROR(__xludf.DUMMYFUNCTION("""COMPUTED_VALUE"""),44606.0)</f>
        <v>44606</v>
      </c>
      <c r="J740" s="470">
        <f>IFERROR(__xludf.DUMMYFUNCTION("""COMPUTED_VALUE"""),0.4424884259259259)</f>
        <v>0.4424884259</v>
      </c>
      <c r="K740" s="16"/>
      <c r="L740" s="8"/>
      <c r="M740" s="69"/>
      <c r="N740" s="69">
        <f>IFERROR(__xludf.DUMMYFUNCTION("""COMPUTED_VALUE"""),4.0)</f>
        <v>4</v>
      </c>
      <c r="O740" s="69" t="str">
        <f t="shared" si="3"/>
        <v/>
      </c>
      <c r="P740" s="471">
        <f>IFERROR(__xludf.DUMMYFUNCTION("""COMPUTED_VALUE"""),0.0)</f>
        <v>0</v>
      </c>
      <c r="Q740" s="274" t="str">
        <f>VLOOKUP($B740,'Run Reconcile'!B$2:O2488,14,FALSE)</f>
        <v/>
      </c>
      <c r="R740" s="472" t="str">
        <f t="array" ref="R740">IF($Q740, INDEX('Run Reconcile'!A$2:A2488,MATCH(B740,'Run Reconcile'!B$2:B2488,0),1),IFERROR(0/0,""))</f>
        <v/>
      </c>
      <c r="S740" s="473" t="str">
        <f t="shared" si="694"/>
        <v/>
      </c>
      <c r="T740" s="473" t="str">
        <f t="shared" si="698"/>
        <v/>
      </c>
      <c r="U740" s="275" t="str">
        <f t="array" ref="U740">IF(ISBLANK($R740), INDEX('Run Reconcile'!A$2:A2488, MATCH($B740, 'Run Reconcile'!B$2:B2488, 0)+Z740, 1), IFERROR(0/0,""))
</f>
        <v>RUN-FLMP_2022-02-14_RFR-088</v>
      </c>
      <c r="V740" s="474" t="str">
        <f t="shared" si="5"/>
        <v>RUN-FLMP_2022-02-14_RFR-088</v>
      </c>
      <c r="Y740" s="89" t="str">
        <f t="shared" si="867"/>
        <v/>
      </c>
      <c r="Z740" s="60" t="str">
        <f t="shared" si="7"/>
        <v/>
      </c>
      <c r="AA740" s="60" t="str">
        <f t="shared" si="8"/>
        <v/>
      </c>
      <c r="AB740" s="60" t="str">
        <f t="shared" si="9"/>
        <v/>
      </c>
      <c r="AC740" s="30" t="str">
        <f t="shared" ref="AC740:AD740" si="1096">IF(_xlfn.ISFORMULA(S740),IFERROR(0/0,""),TRUE)</f>
        <v/>
      </c>
      <c r="AD740" s="30" t="str">
        <f t="shared" si="1096"/>
        <v/>
      </c>
      <c r="AE740" s="475" t="str">
        <f>IFERROR(__xludf.DUMMYFUNCTION("""COMPUTED_VALUE"""),"CRLN")</f>
        <v>CRLN</v>
      </c>
      <c r="AF740" s="476"/>
      <c r="AG740" s="474" t="s">
        <v>180</v>
      </c>
      <c r="AH740" s="138" t="str">
        <f t="shared" si="11"/>
        <v/>
      </c>
    </row>
    <row r="741">
      <c r="A741" s="103" t="str">
        <f>IFERROR(__xludf.DUMMYFUNCTION("""COMPUTED_VALUE"""),"FLE245")</f>
        <v>FLE245</v>
      </c>
      <c r="B741" s="468">
        <f>IFERROR(__xludf.DUMMYFUNCTION("""COMPUTED_VALUE"""),44606.0)</f>
        <v>44606</v>
      </c>
      <c r="C741" s="469">
        <f>IFERROR(__xludf.DUMMYFUNCTION("""COMPUTED_VALUE"""),0.3173958333333333)</f>
        <v>0.3173958333</v>
      </c>
      <c r="D741" s="103" t="str">
        <f>IFERROR(__xludf.DUMMYFUNCTION("""COMPUTED_VALUE"""),"SpFLMP737812")</f>
        <v>SpFLMP737812</v>
      </c>
      <c r="E741" s="103"/>
      <c r="F741" s="103"/>
      <c r="G741" s="103" t="str">
        <f>IFERROR(__xludf.DUMMYFUNCTION("""COMPUTED_VALUE"""),"Negative")</f>
        <v>Negative</v>
      </c>
      <c r="H741" s="131" t="str">
        <f>IFERROR(__xludf.DUMMYFUNCTION("""COMPUTED_VALUE"""),"Negative")</f>
        <v>Negative</v>
      </c>
      <c r="I741" s="468">
        <f>IFERROR(__xludf.DUMMYFUNCTION("""COMPUTED_VALUE"""),44606.0)</f>
        <v>44606</v>
      </c>
      <c r="J741" s="470">
        <f>IFERROR(__xludf.DUMMYFUNCTION("""COMPUTED_VALUE"""),0.4424884259259259)</f>
        <v>0.4424884259</v>
      </c>
      <c r="K741" s="16"/>
      <c r="L741" s="8"/>
      <c r="M741" s="69"/>
      <c r="N741" s="69">
        <f>IFERROR(__xludf.DUMMYFUNCTION("""COMPUTED_VALUE"""),2.0)</f>
        <v>2</v>
      </c>
      <c r="O741" s="69" t="str">
        <f t="shared" si="3"/>
        <v/>
      </c>
      <c r="P741" s="471">
        <f>IFERROR(__xludf.DUMMYFUNCTION("""COMPUTED_VALUE"""),0.0)</f>
        <v>0</v>
      </c>
      <c r="Q741" s="274" t="str">
        <f>VLOOKUP($B741,'Run Reconcile'!B$2:O2488,14,FALSE)</f>
        <v/>
      </c>
      <c r="R741" s="472" t="str">
        <f t="array" ref="R741">IF($Q741, INDEX('Run Reconcile'!A$2:A2488,MATCH(B741,'Run Reconcile'!B$2:B2488,0),1),IFERROR(0/0,""))</f>
        <v/>
      </c>
      <c r="S741" s="473" t="str">
        <f t="shared" si="694"/>
        <v/>
      </c>
      <c r="T741" s="473" t="str">
        <f t="shared" si="698"/>
        <v/>
      </c>
      <c r="U741" s="275" t="str">
        <f t="array" ref="U741">IF(ISBLANK($R741), INDEX('Run Reconcile'!A$2:A2488, MATCH($B741, 'Run Reconcile'!B$2:B2488, 0)+Z741, 1), IFERROR(0/0,""))
</f>
        <v>RUN-FLMP_2022-02-14_RFR-088</v>
      </c>
      <c r="V741" s="474" t="str">
        <f t="shared" si="5"/>
        <v>RUN-FLMP_2022-02-14_RFR-088</v>
      </c>
      <c r="Y741" s="89" t="str">
        <f t="shared" si="867"/>
        <v/>
      </c>
      <c r="Z741" s="60" t="str">
        <f t="shared" si="7"/>
        <v/>
      </c>
      <c r="AA741" s="60" t="str">
        <f t="shared" si="8"/>
        <v/>
      </c>
      <c r="AB741" s="60" t="str">
        <f t="shared" si="9"/>
        <v/>
      </c>
      <c r="AC741" s="30" t="str">
        <f t="shared" ref="AC741:AD741" si="1097">IF(_xlfn.ISFORMULA(S741),IFERROR(0/0,""),TRUE)</f>
        <v/>
      </c>
      <c r="AD741" s="30" t="str">
        <f t="shared" si="1097"/>
        <v/>
      </c>
      <c r="AE741" s="475" t="str">
        <f>IFERROR(__xludf.DUMMYFUNCTION("""COMPUTED_VALUE"""),"CRLN")</f>
        <v>CRLN</v>
      </c>
      <c r="AF741" s="476"/>
      <c r="AG741" s="474" t="s">
        <v>180</v>
      </c>
      <c r="AH741" s="138" t="str">
        <f t="shared" si="11"/>
        <v/>
      </c>
    </row>
    <row r="742">
      <c r="A742" s="103" t="str">
        <f>IFERROR(__xludf.DUMMYFUNCTION("""COMPUTED_VALUE"""),"FLB6772")</f>
        <v>FLB6772</v>
      </c>
      <c r="B742" s="468">
        <f>IFERROR(__xludf.DUMMYFUNCTION("""COMPUTED_VALUE"""),44606.0)</f>
        <v>44606</v>
      </c>
      <c r="C742" s="469">
        <f>IFERROR(__xludf.DUMMYFUNCTION("""COMPUTED_VALUE"""),0.32774305555555555)</f>
        <v>0.3277430556</v>
      </c>
      <c r="D742" s="103" t="str">
        <f>IFERROR(__xludf.DUMMYFUNCTION("""COMPUTED_VALUE"""),"SpFLMP965392")</f>
        <v>SpFLMP965392</v>
      </c>
      <c r="E742" s="103"/>
      <c r="F742" s="103"/>
      <c r="G742" s="103" t="str">
        <f>IFERROR(__xludf.DUMMYFUNCTION("""COMPUTED_VALUE"""),"Negative")</f>
        <v>Negative</v>
      </c>
      <c r="H742" s="131" t="str">
        <f>IFERROR(__xludf.DUMMYFUNCTION("""COMPUTED_VALUE"""),"Negative")</f>
        <v>Negative</v>
      </c>
      <c r="I742" s="468">
        <f>IFERROR(__xludf.DUMMYFUNCTION("""COMPUTED_VALUE"""),44606.0)</f>
        <v>44606</v>
      </c>
      <c r="J742" s="470">
        <f>IFERROR(__xludf.DUMMYFUNCTION("""COMPUTED_VALUE"""),0.4424884259259259)</f>
        <v>0.4424884259</v>
      </c>
      <c r="K742" s="16"/>
      <c r="L742" s="8"/>
      <c r="M742" s="69"/>
      <c r="N742" s="69">
        <f>IFERROR(__xludf.DUMMYFUNCTION("""COMPUTED_VALUE"""),4.0)</f>
        <v>4</v>
      </c>
      <c r="O742" s="69" t="str">
        <f t="shared" si="3"/>
        <v/>
      </c>
      <c r="P742" s="471">
        <f>IFERROR(__xludf.DUMMYFUNCTION("""COMPUTED_VALUE"""),0.0)</f>
        <v>0</v>
      </c>
      <c r="Q742" s="274" t="str">
        <f>VLOOKUP($B742,'Run Reconcile'!B$2:O2488,14,FALSE)</f>
        <v/>
      </c>
      <c r="R742" s="472" t="str">
        <f t="array" ref="R742">IF($Q742, INDEX('Run Reconcile'!A$2:A2488,MATCH(B742,'Run Reconcile'!B$2:B2488,0),1),IFERROR(0/0,""))</f>
        <v/>
      </c>
      <c r="S742" s="473" t="str">
        <f t="shared" si="694"/>
        <v/>
      </c>
      <c r="T742" s="473" t="str">
        <f t="shared" si="698"/>
        <v/>
      </c>
      <c r="U742" s="275" t="str">
        <f t="array" ref="U742">IF(ISBLANK($R742), INDEX('Run Reconcile'!A$2:A2488, MATCH($B742, 'Run Reconcile'!B$2:B2488, 0)+Z742, 1), IFERROR(0/0,""))
</f>
        <v>RUN-FLMP_2022-02-14_RFR-088</v>
      </c>
      <c r="V742" s="474" t="str">
        <f t="shared" si="5"/>
        <v>RUN-FLMP_2022-02-14_RFR-088</v>
      </c>
      <c r="Y742" s="89" t="str">
        <f t="shared" si="867"/>
        <v/>
      </c>
      <c r="Z742" s="60" t="str">
        <f t="shared" si="7"/>
        <v/>
      </c>
      <c r="AA742" s="60" t="str">
        <f t="shared" si="8"/>
        <v/>
      </c>
      <c r="AB742" s="60" t="str">
        <f t="shared" si="9"/>
        <v/>
      </c>
      <c r="AC742" s="30" t="str">
        <f t="shared" ref="AC742:AD742" si="1098">IF(_xlfn.ISFORMULA(S742),IFERROR(0/0,""),TRUE)</f>
        <v/>
      </c>
      <c r="AD742" s="30" t="str">
        <f t="shared" si="1098"/>
        <v/>
      </c>
      <c r="AE742" s="475" t="str">
        <f>IFERROR(__xludf.DUMMYFUNCTION("""COMPUTED_VALUE"""),"CRLN")</f>
        <v>CRLN</v>
      </c>
      <c r="AF742" s="476"/>
      <c r="AG742" s="474" t="s">
        <v>180</v>
      </c>
      <c r="AH742" s="138" t="str">
        <f t="shared" si="11"/>
        <v/>
      </c>
    </row>
    <row r="743">
      <c r="A743" s="103" t="str">
        <f>IFERROR(__xludf.DUMMYFUNCTION("""COMPUTED_VALUE"""),"FLB7173")</f>
        <v>FLB7173</v>
      </c>
      <c r="B743" s="468">
        <f>IFERROR(__xludf.DUMMYFUNCTION("""COMPUTED_VALUE"""),44606.0)</f>
        <v>44606</v>
      </c>
      <c r="C743" s="469">
        <f>IFERROR(__xludf.DUMMYFUNCTION("""COMPUTED_VALUE"""),0.3296296296296296)</f>
        <v>0.3296296296</v>
      </c>
      <c r="D743" s="103" t="str">
        <f>IFERROR(__xludf.DUMMYFUNCTION("""COMPUTED_VALUE"""),"SpFLMP309785")</f>
        <v>SpFLMP309785</v>
      </c>
      <c r="E743" s="103"/>
      <c r="F743" s="103"/>
      <c r="G743" s="103" t="str">
        <f>IFERROR(__xludf.DUMMYFUNCTION("""COMPUTED_VALUE"""),"Negative")</f>
        <v>Negative</v>
      </c>
      <c r="H743" s="131" t="str">
        <f>IFERROR(__xludf.DUMMYFUNCTION("""COMPUTED_VALUE"""),"Negative")</f>
        <v>Negative</v>
      </c>
      <c r="I743" s="468">
        <f>IFERROR(__xludf.DUMMYFUNCTION("""COMPUTED_VALUE"""),44606.0)</f>
        <v>44606</v>
      </c>
      <c r="J743" s="470">
        <f>IFERROR(__xludf.DUMMYFUNCTION("""COMPUTED_VALUE"""),0.4424884259259259)</f>
        <v>0.4424884259</v>
      </c>
      <c r="K743" s="16"/>
      <c r="L743" s="8"/>
      <c r="M743" s="69"/>
      <c r="N743" s="69">
        <f>IFERROR(__xludf.DUMMYFUNCTION("""COMPUTED_VALUE"""),4.0)</f>
        <v>4</v>
      </c>
      <c r="O743" s="69" t="str">
        <f t="shared" si="3"/>
        <v/>
      </c>
      <c r="P743" s="471">
        <f>IFERROR(__xludf.DUMMYFUNCTION("""COMPUTED_VALUE"""),0.0)</f>
        <v>0</v>
      </c>
      <c r="Q743" s="274" t="str">
        <f>VLOOKUP($B743,'Run Reconcile'!B$2:O2488,14,FALSE)</f>
        <v/>
      </c>
      <c r="R743" s="472" t="str">
        <f t="array" ref="R743">IF($Q743, INDEX('Run Reconcile'!A$2:A2488,MATCH(B743,'Run Reconcile'!B$2:B2488,0),1),IFERROR(0/0,""))</f>
        <v/>
      </c>
      <c r="S743" s="473" t="str">
        <f t="shared" si="694"/>
        <v/>
      </c>
      <c r="T743" s="473" t="str">
        <f t="shared" si="698"/>
        <v/>
      </c>
      <c r="U743" s="275" t="str">
        <f t="array" ref="U743">IF(ISBLANK($R743), INDEX('Run Reconcile'!A$2:A2488, MATCH($B743, 'Run Reconcile'!B$2:B2488, 0)+Z743, 1), IFERROR(0/0,""))
</f>
        <v>RUN-FLMP_2022-02-14_RFR-088</v>
      </c>
      <c r="V743" s="474" t="str">
        <f t="shared" si="5"/>
        <v>RUN-FLMP_2022-02-14_RFR-088</v>
      </c>
      <c r="Y743" s="89" t="str">
        <f t="shared" si="867"/>
        <v/>
      </c>
      <c r="Z743" s="60" t="str">
        <f t="shared" si="7"/>
        <v/>
      </c>
      <c r="AA743" s="60" t="str">
        <f t="shared" si="8"/>
        <v/>
      </c>
      <c r="AB743" s="60" t="str">
        <f t="shared" si="9"/>
        <v/>
      </c>
      <c r="AC743" s="30" t="str">
        <f t="shared" ref="AC743:AD743" si="1099">IF(_xlfn.ISFORMULA(S743),IFERROR(0/0,""),TRUE)</f>
        <v/>
      </c>
      <c r="AD743" s="30" t="str">
        <f t="shared" si="1099"/>
        <v/>
      </c>
      <c r="AE743" s="475" t="str">
        <f>IFERROR(__xludf.DUMMYFUNCTION("""COMPUTED_VALUE"""),"CRLN")</f>
        <v>CRLN</v>
      </c>
      <c r="AF743" s="476"/>
      <c r="AG743" s="474" t="s">
        <v>180</v>
      </c>
      <c r="AH743" s="138" t="str">
        <f t="shared" si="11"/>
        <v/>
      </c>
    </row>
    <row r="744">
      <c r="A744" s="103" t="str">
        <f>IFERROR(__xludf.DUMMYFUNCTION("""COMPUTED_VALUE"""),"FLB5792")</f>
        <v>FLB5792</v>
      </c>
      <c r="B744" s="468">
        <f>IFERROR(__xludf.DUMMYFUNCTION("""COMPUTED_VALUE"""),44606.0)</f>
        <v>44606</v>
      </c>
      <c r="C744" s="469">
        <f>IFERROR(__xludf.DUMMYFUNCTION("""COMPUTED_VALUE"""),0.3314699074074074)</f>
        <v>0.3314699074</v>
      </c>
      <c r="D744" s="103" t="str">
        <f>IFERROR(__xludf.DUMMYFUNCTION("""COMPUTED_VALUE"""),"SpFLMP939619")</f>
        <v>SpFLMP939619</v>
      </c>
      <c r="E744" s="103"/>
      <c r="F744" s="103"/>
      <c r="G744" s="103" t="str">
        <f>IFERROR(__xludf.DUMMYFUNCTION("""COMPUTED_VALUE"""),"Inconclusive")</f>
        <v>Inconclusive</v>
      </c>
      <c r="H744" s="131" t="str">
        <f>IFERROR(__xludf.DUMMYFUNCTION("""COMPUTED_VALUE"""),"Inconclusive")</f>
        <v>Inconclusive</v>
      </c>
      <c r="I744" s="468">
        <f>IFERROR(__xludf.DUMMYFUNCTION("""COMPUTED_VALUE"""),44606.0)</f>
        <v>44606</v>
      </c>
      <c r="J744" s="470">
        <f>IFERROR(__xludf.DUMMYFUNCTION("""COMPUTED_VALUE"""),0.47122685185185187)</f>
        <v>0.4712268519</v>
      </c>
      <c r="K744" s="16"/>
      <c r="L744" s="8"/>
      <c r="M744" s="69"/>
      <c r="N744" s="69">
        <f>IFERROR(__xludf.DUMMYFUNCTION("""COMPUTED_VALUE"""),1.0)</f>
        <v>1</v>
      </c>
      <c r="O744" s="69" t="str">
        <f t="shared" si="3"/>
        <v/>
      </c>
      <c r="P744" s="471">
        <f>IFERROR(__xludf.DUMMYFUNCTION("""COMPUTED_VALUE"""),0.0)</f>
        <v>0</v>
      </c>
      <c r="Q744" s="274" t="str">
        <f>VLOOKUP($B744,'Run Reconcile'!B$2:O2488,14,FALSE)</f>
        <v/>
      </c>
      <c r="R744" s="472" t="str">
        <f t="array" ref="R744">IF($Q744, INDEX('Run Reconcile'!A$2:A2488,MATCH(B744,'Run Reconcile'!B$2:B2488,0),1),IFERROR(0/0,""))</f>
        <v/>
      </c>
      <c r="S744" s="473" t="str">
        <f t="shared" si="694"/>
        <v/>
      </c>
      <c r="T744" s="473" t="str">
        <f t="shared" si="698"/>
        <v/>
      </c>
      <c r="U744" s="275" t="str">
        <f t="array" ref="U744">IF(ISBLANK($R744), INDEX('Run Reconcile'!A$2:A2488, MATCH($B744, 'Run Reconcile'!B$2:B2488, 0)+Z744, 1), IFERROR(0/0,""))
</f>
        <v>RUN-FLMP_2022-02-14_RFR-088</v>
      </c>
      <c r="V744" s="474" t="str">
        <f t="shared" si="5"/>
        <v>RUN-FLMP_2022-02-14_RFR-088</v>
      </c>
      <c r="Y744" s="89" t="str">
        <f t="shared" si="867"/>
        <v/>
      </c>
      <c r="Z744" s="60" t="str">
        <f t="shared" si="7"/>
        <v/>
      </c>
      <c r="AA744" s="60" t="str">
        <f t="shared" si="8"/>
        <v/>
      </c>
      <c r="AB744" s="60" t="str">
        <f t="shared" si="9"/>
        <v/>
      </c>
      <c r="AC744" s="30" t="str">
        <f t="shared" ref="AC744:AD744" si="1100">IF(_xlfn.ISFORMULA(S744),IFERROR(0/0,""),TRUE)</f>
        <v/>
      </c>
      <c r="AD744" s="30" t="str">
        <f t="shared" si="1100"/>
        <v/>
      </c>
      <c r="AE744" s="475" t="str">
        <f>IFERROR(__xludf.DUMMYFUNCTION("""COMPUTED_VALUE"""),"CRLN")</f>
        <v>CRLN</v>
      </c>
      <c r="AF744" s="476"/>
      <c r="AG744" s="474" t="s">
        <v>180</v>
      </c>
      <c r="AH744" s="138" t="str">
        <f t="shared" si="11"/>
        <v/>
      </c>
    </row>
    <row r="745">
      <c r="A745" s="103" t="str">
        <f>IFERROR(__xludf.DUMMYFUNCTION("""COMPUTED_VALUE"""),"FLB5893")</f>
        <v>FLB5893</v>
      </c>
      <c r="B745" s="468">
        <f>IFERROR(__xludf.DUMMYFUNCTION("""COMPUTED_VALUE"""),44606.0)</f>
        <v>44606</v>
      </c>
      <c r="C745" s="469">
        <f>IFERROR(__xludf.DUMMYFUNCTION("""COMPUTED_VALUE"""),0.33328703703703705)</f>
        <v>0.333287037</v>
      </c>
      <c r="D745" s="103" t="str">
        <f>IFERROR(__xludf.DUMMYFUNCTION("""COMPUTED_VALUE"""),"SpFLMP596479")</f>
        <v>SpFLMP596479</v>
      </c>
      <c r="E745" s="103"/>
      <c r="F745" s="103"/>
      <c r="G745" s="103" t="str">
        <f>IFERROR(__xludf.DUMMYFUNCTION("""COMPUTED_VALUE"""),"Negative")</f>
        <v>Negative</v>
      </c>
      <c r="H745" s="131" t="str">
        <f>IFERROR(__xludf.DUMMYFUNCTION("""COMPUTED_VALUE"""),"Negative")</f>
        <v>Negative</v>
      </c>
      <c r="I745" s="468">
        <f>IFERROR(__xludf.DUMMYFUNCTION("""COMPUTED_VALUE"""),44606.0)</f>
        <v>44606</v>
      </c>
      <c r="J745" s="470">
        <f>IFERROR(__xludf.DUMMYFUNCTION("""COMPUTED_VALUE"""),0.4424884259259259)</f>
        <v>0.4424884259</v>
      </c>
      <c r="K745" s="16"/>
      <c r="L745" s="8"/>
      <c r="M745" s="69"/>
      <c r="N745" s="69">
        <f>IFERROR(__xludf.DUMMYFUNCTION("""COMPUTED_VALUE"""),3.0)</f>
        <v>3</v>
      </c>
      <c r="O745" s="69" t="str">
        <f t="shared" si="3"/>
        <v/>
      </c>
      <c r="P745" s="471">
        <f>IFERROR(__xludf.DUMMYFUNCTION("""COMPUTED_VALUE"""),0.0)</f>
        <v>0</v>
      </c>
      <c r="Q745" s="274" t="str">
        <f>VLOOKUP($B745,'Run Reconcile'!B$2:O2488,14,FALSE)</f>
        <v/>
      </c>
      <c r="R745" s="472" t="str">
        <f t="array" ref="R745">IF($Q745, INDEX('Run Reconcile'!A$2:A2488,MATCH(B745,'Run Reconcile'!B$2:B2488,0),1),IFERROR(0/0,""))</f>
        <v/>
      </c>
      <c r="S745" s="473" t="str">
        <f t="shared" si="694"/>
        <v/>
      </c>
      <c r="T745" s="473" t="str">
        <f t="shared" si="698"/>
        <v/>
      </c>
      <c r="U745" s="275" t="str">
        <f t="array" ref="U745">IF(ISBLANK($R745), INDEX('Run Reconcile'!A$2:A2488, MATCH($B745, 'Run Reconcile'!B$2:B2488, 0)+Z745, 1), IFERROR(0/0,""))
</f>
        <v>RUN-FLMP_2022-02-14_RFR-088</v>
      </c>
      <c r="V745" s="474" t="str">
        <f t="shared" si="5"/>
        <v>RUN-FLMP_2022-02-14_RFR-088</v>
      </c>
      <c r="Y745" s="89" t="str">
        <f t="shared" si="867"/>
        <v/>
      </c>
      <c r="Z745" s="60" t="str">
        <f t="shared" si="7"/>
        <v/>
      </c>
      <c r="AA745" s="60" t="str">
        <f t="shared" si="8"/>
        <v/>
      </c>
      <c r="AB745" s="60" t="str">
        <f t="shared" si="9"/>
        <v/>
      </c>
      <c r="AC745" s="30" t="str">
        <f t="shared" ref="AC745:AD745" si="1101">IF(_xlfn.ISFORMULA(S745),IFERROR(0/0,""),TRUE)</f>
        <v/>
      </c>
      <c r="AD745" s="30" t="str">
        <f t="shared" si="1101"/>
        <v/>
      </c>
      <c r="AE745" s="475" t="str">
        <f>IFERROR(__xludf.DUMMYFUNCTION("""COMPUTED_VALUE"""),"CRLN")</f>
        <v>CRLN</v>
      </c>
      <c r="AF745" s="476"/>
      <c r="AG745" s="474" t="s">
        <v>180</v>
      </c>
      <c r="AH745" s="138" t="str">
        <f t="shared" si="11"/>
        <v/>
      </c>
    </row>
    <row r="746">
      <c r="A746" s="103" t="str">
        <f>IFERROR(__xludf.DUMMYFUNCTION("""COMPUTED_VALUE"""),"FLB5822")</f>
        <v>FLB5822</v>
      </c>
      <c r="B746" s="468">
        <f>IFERROR(__xludf.DUMMYFUNCTION("""COMPUTED_VALUE"""),44606.0)</f>
        <v>44606</v>
      </c>
      <c r="C746" s="469">
        <f>IFERROR(__xludf.DUMMYFUNCTION("""COMPUTED_VALUE"""),0.3340856481481482)</f>
        <v>0.3340856481</v>
      </c>
      <c r="D746" s="103" t="str">
        <f>IFERROR(__xludf.DUMMYFUNCTION("""COMPUTED_VALUE"""),"SpFLMP228238")</f>
        <v>SpFLMP228238</v>
      </c>
      <c r="E746" s="103"/>
      <c r="F746" s="103"/>
      <c r="G746" s="103" t="str">
        <f>IFERROR(__xludf.DUMMYFUNCTION("""COMPUTED_VALUE"""),"Negative")</f>
        <v>Negative</v>
      </c>
      <c r="H746" s="131" t="str">
        <f>IFERROR(__xludf.DUMMYFUNCTION("""COMPUTED_VALUE"""),"Negative")</f>
        <v>Negative</v>
      </c>
      <c r="I746" s="468">
        <f>IFERROR(__xludf.DUMMYFUNCTION("""COMPUTED_VALUE"""),44606.0)</f>
        <v>44606</v>
      </c>
      <c r="J746" s="470">
        <f>IFERROR(__xludf.DUMMYFUNCTION("""COMPUTED_VALUE"""),0.44247685185185187)</f>
        <v>0.4424768519</v>
      </c>
      <c r="K746" s="16"/>
      <c r="L746" s="8"/>
      <c r="M746" s="69"/>
      <c r="N746" s="69">
        <f>IFERROR(__xludf.DUMMYFUNCTION("""COMPUTED_VALUE"""),3.0)</f>
        <v>3</v>
      </c>
      <c r="O746" s="69" t="str">
        <f t="shared" si="3"/>
        <v/>
      </c>
      <c r="P746" s="471">
        <f>IFERROR(__xludf.DUMMYFUNCTION("""COMPUTED_VALUE"""),0.0)</f>
        <v>0</v>
      </c>
      <c r="Q746" s="274" t="str">
        <f>VLOOKUP($B746,'Run Reconcile'!B$2:O2488,14,FALSE)</f>
        <v/>
      </c>
      <c r="R746" s="472" t="str">
        <f t="array" ref="R746">IF($Q746, INDEX('Run Reconcile'!A$2:A2488,MATCH(B746,'Run Reconcile'!B$2:B2488,0),1),IFERROR(0/0,""))</f>
        <v/>
      </c>
      <c r="S746" s="473" t="str">
        <f t="shared" si="694"/>
        <v/>
      </c>
      <c r="T746" s="473" t="str">
        <f t="shared" si="698"/>
        <v/>
      </c>
      <c r="U746" s="275" t="str">
        <f t="array" ref="U746">IF(ISBLANK($R746), INDEX('Run Reconcile'!A$2:A2488, MATCH($B746, 'Run Reconcile'!B$2:B2488, 0)+Z746, 1), IFERROR(0/0,""))
</f>
        <v>RUN-FLMP_2022-02-14_RFR-088</v>
      </c>
      <c r="V746" s="474" t="str">
        <f t="shared" si="5"/>
        <v>RUN-FLMP_2022-02-14_RFR-088</v>
      </c>
      <c r="Y746" s="89" t="str">
        <f t="shared" si="867"/>
        <v/>
      </c>
      <c r="Z746" s="60" t="str">
        <f t="shared" si="7"/>
        <v/>
      </c>
      <c r="AA746" s="60" t="str">
        <f t="shared" si="8"/>
        <v/>
      </c>
      <c r="AB746" s="60" t="str">
        <f t="shared" si="9"/>
        <v/>
      </c>
      <c r="AC746" s="30" t="str">
        <f t="shared" ref="AC746:AD746" si="1102">IF(_xlfn.ISFORMULA(S746),IFERROR(0/0,""),TRUE)</f>
        <v/>
      </c>
      <c r="AD746" s="30" t="str">
        <f t="shared" si="1102"/>
        <v/>
      </c>
      <c r="AE746" s="475" t="str">
        <f>IFERROR(__xludf.DUMMYFUNCTION("""COMPUTED_VALUE"""),"CRLN")</f>
        <v>CRLN</v>
      </c>
      <c r="AF746" s="476"/>
      <c r="AG746" s="474" t="s">
        <v>180</v>
      </c>
      <c r="AH746" s="138" t="str">
        <f t="shared" si="11"/>
        <v/>
      </c>
    </row>
    <row r="747">
      <c r="A747" s="103" t="str">
        <f>IFERROR(__xludf.DUMMYFUNCTION("""COMPUTED_VALUE"""),"FLB5791")</f>
        <v>FLB5791</v>
      </c>
      <c r="B747" s="468">
        <f>IFERROR(__xludf.DUMMYFUNCTION("""COMPUTED_VALUE"""),44606.0)</f>
        <v>44606</v>
      </c>
      <c r="C747" s="469">
        <f>IFERROR(__xludf.DUMMYFUNCTION("""COMPUTED_VALUE"""),0.3397453703703704)</f>
        <v>0.3397453704</v>
      </c>
      <c r="D747" s="103" t="str">
        <f>IFERROR(__xludf.DUMMYFUNCTION("""COMPUTED_VALUE"""),"SpFLMP946259")</f>
        <v>SpFLMP946259</v>
      </c>
      <c r="E747" s="103"/>
      <c r="F747" s="103"/>
      <c r="G747" s="103" t="str">
        <f>IFERROR(__xludf.DUMMYFUNCTION("""COMPUTED_VALUE"""),"Negative")</f>
        <v>Negative</v>
      </c>
      <c r="H747" s="131" t="str">
        <f>IFERROR(__xludf.DUMMYFUNCTION("""COMPUTED_VALUE"""),"Negative")</f>
        <v>Negative</v>
      </c>
      <c r="I747" s="468">
        <f>IFERROR(__xludf.DUMMYFUNCTION("""COMPUTED_VALUE"""),44606.0)</f>
        <v>44606</v>
      </c>
      <c r="J747" s="470">
        <f>IFERROR(__xludf.DUMMYFUNCTION("""COMPUTED_VALUE"""),0.4424884259259259)</f>
        <v>0.4424884259</v>
      </c>
      <c r="K747" s="16"/>
      <c r="L747" s="8"/>
      <c r="M747" s="69"/>
      <c r="N747" s="69">
        <f>IFERROR(__xludf.DUMMYFUNCTION("""COMPUTED_VALUE"""),2.0)</f>
        <v>2</v>
      </c>
      <c r="O747" s="69" t="str">
        <f t="shared" si="3"/>
        <v/>
      </c>
      <c r="P747" s="471">
        <f>IFERROR(__xludf.DUMMYFUNCTION("""COMPUTED_VALUE"""),0.0)</f>
        <v>0</v>
      </c>
      <c r="Q747" s="274" t="str">
        <f>VLOOKUP($B747,'Run Reconcile'!B$2:O2488,14,FALSE)</f>
        <v/>
      </c>
      <c r="R747" s="472" t="str">
        <f t="array" ref="R747">IF($Q747, INDEX('Run Reconcile'!A$2:A2488,MATCH(B747,'Run Reconcile'!B$2:B2488,0),1),IFERROR(0/0,""))</f>
        <v/>
      </c>
      <c r="S747" s="473" t="str">
        <f t="shared" si="694"/>
        <v/>
      </c>
      <c r="T747" s="473" t="str">
        <f t="shared" si="698"/>
        <v/>
      </c>
      <c r="U747" s="275" t="str">
        <f t="array" ref="U747">IF(ISBLANK($R747), INDEX('Run Reconcile'!A$2:A2488, MATCH($B747, 'Run Reconcile'!B$2:B2488, 0)+Z747, 1), IFERROR(0/0,""))
</f>
        <v>RUN-FLMP_2022-02-14_RFR-088</v>
      </c>
      <c r="V747" s="474" t="str">
        <f t="shared" si="5"/>
        <v>RUN-FLMP_2022-02-14_RFR-088</v>
      </c>
      <c r="Y747" s="89" t="str">
        <f t="shared" si="867"/>
        <v/>
      </c>
      <c r="Z747" s="60" t="str">
        <f t="shared" si="7"/>
        <v/>
      </c>
      <c r="AA747" s="60" t="str">
        <f t="shared" si="8"/>
        <v/>
      </c>
      <c r="AB747" s="60" t="str">
        <f t="shared" si="9"/>
        <v/>
      </c>
      <c r="AC747" s="30" t="str">
        <f t="shared" ref="AC747:AD747" si="1103">IF(_xlfn.ISFORMULA(S747),IFERROR(0/0,""),TRUE)</f>
        <v/>
      </c>
      <c r="AD747" s="30" t="str">
        <f t="shared" si="1103"/>
        <v/>
      </c>
      <c r="AE747" s="475" t="str">
        <f>IFERROR(__xludf.DUMMYFUNCTION("""COMPUTED_VALUE"""),"CRLN")</f>
        <v>CRLN</v>
      </c>
      <c r="AF747" s="476"/>
      <c r="AG747" s="474" t="s">
        <v>180</v>
      </c>
      <c r="AH747" s="138" t="str">
        <f t="shared" si="11"/>
        <v/>
      </c>
    </row>
    <row r="748">
      <c r="A748" s="103" t="str">
        <f>IFERROR(__xludf.DUMMYFUNCTION("""COMPUTED_VALUE"""),"FLE849")</f>
        <v>FLE849</v>
      </c>
      <c r="B748" s="468">
        <f>IFERROR(__xludf.DUMMYFUNCTION("""COMPUTED_VALUE"""),44606.0)</f>
        <v>44606</v>
      </c>
      <c r="C748" s="469">
        <f>IFERROR(__xludf.DUMMYFUNCTION("""COMPUTED_VALUE"""),0.34153935185185186)</f>
        <v>0.3415393519</v>
      </c>
      <c r="D748" s="103" t="str">
        <f>IFERROR(__xludf.DUMMYFUNCTION("""COMPUTED_VALUE"""),"SpFLMP314549")</f>
        <v>SpFLMP314549</v>
      </c>
      <c r="E748" s="103"/>
      <c r="F748" s="103"/>
      <c r="G748" s="103" t="str">
        <f>IFERROR(__xludf.DUMMYFUNCTION("""COMPUTED_VALUE"""),"Negative")</f>
        <v>Negative</v>
      </c>
      <c r="H748" s="131" t="str">
        <f>IFERROR(__xludf.DUMMYFUNCTION("""COMPUTED_VALUE"""),"Negative")</f>
        <v>Negative</v>
      </c>
      <c r="I748" s="468">
        <f>IFERROR(__xludf.DUMMYFUNCTION("""COMPUTED_VALUE"""),44606.0)</f>
        <v>44606</v>
      </c>
      <c r="J748" s="470">
        <f>IFERROR(__xludf.DUMMYFUNCTION("""COMPUTED_VALUE"""),0.4424884259259259)</f>
        <v>0.4424884259</v>
      </c>
      <c r="K748" s="16"/>
      <c r="L748" s="8"/>
      <c r="M748" s="69"/>
      <c r="N748" s="69">
        <f>IFERROR(__xludf.DUMMYFUNCTION("""COMPUTED_VALUE"""),1.0)</f>
        <v>1</v>
      </c>
      <c r="O748" s="69" t="str">
        <f t="shared" si="3"/>
        <v/>
      </c>
      <c r="P748" s="471">
        <f>IFERROR(__xludf.DUMMYFUNCTION("""COMPUTED_VALUE"""),0.0)</f>
        <v>0</v>
      </c>
      <c r="Q748" s="274" t="str">
        <f>VLOOKUP($B748,'Run Reconcile'!B$2:O2488,14,FALSE)</f>
        <v/>
      </c>
      <c r="R748" s="472" t="str">
        <f t="array" ref="R748">IF($Q748, INDEX('Run Reconcile'!A$2:A2488,MATCH(B748,'Run Reconcile'!B$2:B2488,0),1),IFERROR(0/0,""))</f>
        <v/>
      </c>
      <c r="S748" s="473" t="str">
        <f t="shared" si="694"/>
        <v/>
      </c>
      <c r="T748" s="473" t="str">
        <f t="shared" si="698"/>
        <v/>
      </c>
      <c r="U748" s="275" t="str">
        <f t="array" ref="U748">IF(ISBLANK($R748), INDEX('Run Reconcile'!A$2:A2488, MATCH($B748, 'Run Reconcile'!B$2:B2488, 0)+Z748, 1), IFERROR(0/0,""))
</f>
        <v>RUN-FLMP_2022-02-14_RFR-088</v>
      </c>
      <c r="V748" s="474" t="str">
        <f t="shared" si="5"/>
        <v>RUN-FLMP_2022-02-14_RFR-088</v>
      </c>
      <c r="Y748" s="89" t="str">
        <f t="shared" si="867"/>
        <v/>
      </c>
      <c r="Z748" s="60" t="str">
        <f t="shared" si="7"/>
        <v/>
      </c>
      <c r="AA748" s="60" t="str">
        <f t="shared" si="8"/>
        <v/>
      </c>
      <c r="AB748" s="60" t="str">
        <f t="shared" si="9"/>
        <v/>
      </c>
      <c r="AC748" s="30" t="str">
        <f t="shared" ref="AC748:AD748" si="1104">IF(_xlfn.ISFORMULA(S748),IFERROR(0/0,""),TRUE)</f>
        <v/>
      </c>
      <c r="AD748" s="30" t="str">
        <f t="shared" si="1104"/>
        <v/>
      </c>
      <c r="AE748" s="475" t="str">
        <f>IFERROR(__xludf.DUMMYFUNCTION("""COMPUTED_VALUE"""),"CRLN")</f>
        <v>CRLN</v>
      </c>
      <c r="AF748" s="476"/>
      <c r="AG748" s="474" t="s">
        <v>180</v>
      </c>
      <c r="AH748" s="138" t="str">
        <f t="shared" si="11"/>
        <v/>
      </c>
    </row>
    <row r="749">
      <c r="A749" s="103" t="str">
        <f>IFERROR(__xludf.DUMMYFUNCTION("""COMPUTED_VALUE"""),"FLB5797")</f>
        <v>FLB5797</v>
      </c>
      <c r="B749" s="468">
        <f>IFERROR(__xludf.DUMMYFUNCTION("""COMPUTED_VALUE"""),44606.0)</f>
        <v>44606</v>
      </c>
      <c r="C749" s="469">
        <f>IFERROR(__xludf.DUMMYFUNCTION("""COMPUTED_VALUE"""),0.34858796296296296)</f>
        <v>0.348587963</v>
      </c>
      <c r="D749" s="103" t="str">
        <f>IFERROR(__xludf.DUMMYFUNCTION("""COMPUTED_VALUE"""),"SpFLMP273885")</f>
        <v>SpFLMP273885</v>
      </c>
      <c r="E749" s="103"/>
      <c r="F749" s="103"/>
      <c r="G749" s="103" t="str">
        <f>IFERROR(__xludf.DUMMYFUNCTION("""COMPUTED_VALUE"""),"Negative")</f>
        <v>Negative</v>
      </c>
      <c r="H749" s="131" t="str">
        <f>IFERROR(__xludf.DUMMYFUNCTION("""COMPUTED_VALUE"""),"Negative")</f>
        <v>Negative</v>
      </c>
      <c r="I749" s="468">
        <f>IFERROR(__xludf.DUMMYFUNCTION("""COMPUTED_VALUE"""),44606.0)</f>
        <v>44606</v>
      </c>
      <c r="J749" s="470">
        <f>IFERROR(__xludf.DUMMYFUNCTION("""COMPUTED_VALUE"""),0.4424884259259259)</f>
        <v>0.4424884259</v>
      </c>
      <c r="K749" s="16"/>
      <c r="L749" s="8"/>
      <c r="M749" s="69"/>
      <c r="N749" s="69">
        <f>IFERROR(__xludf.DUMMYFUNCTION("""COMPUTED_VALUE"""),4.0)</f>
        <v>4</v>
      </c>
      <c r="O749" s="69" t="str">
        <f t="shared" si="3"/>
        <v/>
      </c>
      <c r="P749" s="471">
        <f>IFERROR(__xludf.DUMMYFUNCTION("""COMPUTED_VALUE"""),0.0)</f>
        <v>0</v>
      </c>
      <c r="Q749" s="274" t="str">
        <f>VLOOKUP($B749,'Run Reconcile'!B$2:O2488,14,FALSE)</f>
        <v/>
      </c>
      <c r="R749" s="472" t="str">
        <f t="array" ref="R749">IF($Q749, INDEX('Run Reconcile'!A$2:A2488,MATCH(B749,'Run Reconcile'!B$2:B2488,0),1),IFERROR(0/0,""))</f>
        <v/>
      </c>
      <c r="S749" s="473" t="str">
        <f t="shared" si="694"/>
        <v/>
      </c>
      <c r="T749" s="473" t="str">
        <f t="shared" si="698"/>
        <v/>
      </c>
      <c r="U749" s="275" t="str">
        <f t="array" ref="U749">IF(ISBLANK($R749), INDEX('Run Reconcile'!A$2:A2488, MATCH($B749, 'Run Reconcile'!B$2:B2488, 0)+Z749, 1), IFERROR(0/0,""))
</f>
        <v>RUN-FLMP_2022-02-14_RFR-088</v>
      </c>
      <c r="V749" s="474" t="str">
        <f t="shared" si="5"/>
        <v>RUN-FLMP_2022-02-14_RFR-088</v>
      </c>
      <c r="Y749" s="89" t="str">
        <f t="shared" si="867"/>
        <v/>
      </c>
      <c r="Z749" s="60" t="str">
        <f t="shared" si="7"/>
        <v/>
      </c>
      <c r="AA749" s="60" t="str">
        <f t="shared" si="8"/>
        <v/>
      </c>
      <c r="AB749" s="60" t="str">
        <f t="shared" si="9"/>
        <v/>
      </c>
      <c r="AC749" s="30" t="str">
        <f t="shared" ref="AC749:AD749" si="1105">IF(_xlfn.ISFORMULA(S749),IFERROR(0/0,""),TRUE)</f>
        <v/>
      </c>
      <c r="AD749" s="30" t="str">
        <f t="shared" si="1105"/>
        <v/>
      </c>
      <c r="AE749" s="475" t="str">
        <f>IFERROR(__xludf.DUMMYFUNCTION("""COMPUTED_VALUE"""),"CRLN")</f>
        <v>CRLN</v>
      </c>
      <c r="AF749" s="476"/>
      <c r="AG749" s="474" t="s">
        <v>180</v>
      </c>
      <c r="AH749" s="138" t="str">
        <f t="shared" si="11"/>
        <v/>
      </c>
    </row>
    <row r="750">
      <c r="A750" s="103" t="str">
        <f>IFERROR(__xludf.DUMMYFUNCTION("""COMPUTED_VALUE"""),"FLB6765")</f>
        <v>FLB6765</v>
      </c>
      <c r="B750" s="468">
        <f>IFERROR(__xludf.DUMMYFUNCTION("""COMPUTED_VALUE"""),44606.0)</f>
        <v>44606</v>
      </c>
      <c r="C750" s="469">
        <f>IFERROR(__xludf.DUMMYFUNCTION("""COMPUTED_VALUE"""),0.35072916666666665)</f>
        <v>0.3507291667</v>
      </c>
      <c r="D750" s="103" t="str">
        <f>IFERROR(__xludf.DUMMYFUNCTION("""COMPUTED_VALUE"""),"SpFLMP604497")</f>
        <v>SpFLMP604497</v>
      </c>
      <c r="E750" s="103"/>
      <c r="F750" s="103"/>
      <c r="G750" s="103" t="str">
        <f>IFERROR(__xludf.DUMMYFUNCTION("""COMPUTED_VALUE"""),"Negative")</f>
        <v>Negative</v>
      </c>
      <c r="H750" s="131" t="str">
        <f>IFERROR(__xludf.DUMMYFUNCTION("""COMPUTED_VALUE"""),"Negative")</f>
        <v>Negative</v>
      </c>
      <c r="I750" s="468">
        <f>IFERROR(__xludf.DUMMYFUNCTION("""COMPUTED_VALUE"""),44606.0)</f>
        <v>44606</v>
      </c>
      <c r="J750" s="470">
        <f>IFERROR(__xludf.DUMMYFUNCTION("""COMPUTED_VALUE"""),0.4424884259259259)</f>
        <v>0.4424884259</v>
      </c>
      <c r="K750" s="16"/>
      <c r="L750" s="8"/>
      <c r="M750" s="69"/>
      <c r="N750" s="69">
        <f>IFERROR(__xludf.DUMMYFUNCTION("""COMPUTED_VALUE"""),4.0)</f>
        <v>4</v>
      </c>
      <c r="O750" s="69" t="str">
        <f t="shared" si="3"/>
        <v/>
      </c>
      <c r="P750" s="471">
        <f>IFERROR(__xludf.DUMMYFUNCTION("""COMPUTED_VALUE"""),0.0)</f>
        <v>0</v>
      </c>
      <c r="Q750" s="274" t="str">
        <f>VLOOKUP($B750,'Run Reconcile'!B$2:O2488,14,FALSE)</f>
        <v/>
      </c>
      <c r="R750" s="472" t="str">
        <f t="array" ref="R750">IF($Q750, INDEX('Run Reconcile'!A$2:A2488,MATCH(B750,'Run Reconcile'!B$2:B2488,0),1),IFERROR(0/0,""))</f>
        <v/>
      </c>
      <c r="S750" s="473" t="str">
        <f t="shared" si="694"/>
        <v/>
      </c>
      <c r="T750" s="473" t="str">
        <f t="shared" si="698"/>
        <v/>
      </c>
      <c r="U750" s="275" t="str">
        <f t="array" ref="U750">IF(ISBLANK($R750), INDEX('Run Reconcile'!A$2:A2488, MATCH($B750, 'Run Reconcile'!B$2:B2488, 0)+Z750, 1), IFERROR(0/0,""))
</f>
        <v>RUN-FLMP_2022-02-14_RFR-088</v>
      </c>
      <c r="V750" s="474" t="str">
        <f t="shared" si="5"/>
        <v>RUN-FLMP_2022-02-14_RFR-088</v>
      </c>
      <c r="Y750" s="89" t="str">
        <f t="shared" si="867"/>
        <v/>
      </c>
      <c r="Z750" s="60" t="str">
        <f t="shared" si="7"/>
        <v/>
      </c>
      <c r="AA750" s="60" t="str">
        <f t="shared" si="8"/>
        <v/>
      </c>
      <c r="AB750" s="60" t="str">
        <f t="shared" si="9"/>
        <v/>
      </c>
      <c r="AC750" s="30" t="str">
        <f t="shared" ref="AC750:AD750" si="1106">IF(_xlfn.ISFORMULA(S750),IFERROR(0/0,""),TRUE)</f>
        <v/>
      </c>
      <c r="AD750" s="30" t="str">
        <f t="shared" si="1106"/>
        <v/>
      </c>
      <c r="AE750" s="475" t="str">
        <f>IFERROR(__xludf.DUMMYFUNCTION("""COMPUTED_VALUE"""),"CRLN")</f>
        <v>CRLN</v>
      </c>
      <c r="AF750" s="476"/>
      <c r="AG750" s="474" t="s">
        <v>180</v>
      </c>
      <c r="AH750" s="138" t="str">
        <f t="shared" si="11"/>
        <v/>
      </c>
    </row>
    <row r="751">
      <c r="A751" s="103" t="str">
        <f>IFERROR(__xludf.DUMMYFUNCTION("""COMPUTED_VALUE"""),"FLB5809")</f>
        <v>FLB5809</v>
      </c>
      <c r="B751" s="468">
        <f>IFERROR(__xludf.DUMMYFUNCTION("""COMPUTED_VALUE"""),44606.0)</f>
        <v>44606</v>
      </c>
      <c r="C751" s="469">
        <f>IFERROR(__xludf.DUMMYFUNCTION("""COMPUTED_VALUE"""),0.3517939814814815)</f>
        <v>0.3517939815</v>
      </c>
      <c r="D751" s="103" t="str">
        <f>IFERROR(__xludf.DUMMYFUNCTION("""COMPUTED_VALUE"""),"SpFLMP259015")</f>
        <v>SpFLMP259015</v>
      </c>
      <c r="E751" s="103"/>
      <c r="F751" s="103"/>
      <c r="G751" s="103" t="str">
        <f>IFERROR(__xludf.DUMMYFUNCTION("""COMPUTED_VALUE"""),"Negative")</f>
        <v>Negative</v>
      </c>
      <c r="H751" s="131" t="str">
        <f>IFERROR(__xludf.DUMMYFUNCTION("""COMPUTED_VALUE"""),"Negative")</f>
        <v>Negative</v>
      </c>
      <c r="I751" s="468">
        <f>IFERROR(__xludf.DUMMYFUNCTION("""COMPUTED_VALUE"""),44606.0)</f>
        <v>44606</v>
      </c>
      <c r="J751" s="470">
        <f>IFERROR(__xludf.DUMMYFUNCTION("""COMPUTED_VALUE"""),0.4424884259259259)</f>
        <v>0.4424884259</v>
      </c>
      <c r="K751" s="16"/>
      <c r="L751" s="8"/>
      <c r="M751" s="69"/>
      <c r="N751" s="69">
        <f>IFERROR(__xludf.DUMMYFUNCTION("""COMPUTED_VALUE"""),3.0)</f>
        <v>3</v>
      </c>
      <c r="O751" s="69" t="str">
        <f t="shared" si="3"/>
        <v/>
      </c>
      <c r="P751" s="471">
        <f>IFERROR(__xludf.DUMMYFUNCTION("""COMPUTED_VALUE"""),0.0)</f>
        <v>0</v>
      </c>
      <c r="Q751" s="274" t="str">
        <f>VLOOKUP($B751,'Run Reconcile'!B$2:O2488,14,FALSE)</f>
        <v/>
      </c>
      <c r="R751" s="472" t="str">
        <f t="array" ref="R751">IF($Q751, INDEX('Run Reconcile'!A$2:A2488,MATCH(B751,'Run Reconcile'!B$2:B2488,0),1),IFERROR(0/0,""))</f>
        <v/>
      </c>
      <c r="S751" s="473" t="str">
        <f t="shared" si="694"/>
        <v/>
      </c>
      <c r="T751" s="473" t="str">
        <f t="shared" si="698"/>
        <v/>
      </c>
      <c r="U751" s="275" t="str">
        <f t="array" ref="U751">IF(ISBLANK($R751), INDEX('Run Reconcile'!A$2:A2488, MATCH($B751, 'Run Reconcile'!B$2:B2488, 0)+Z751, 1), IFERROR(0/0,""))
</f>
        <v>RUN-FLMP_2022-02-14_RFR-088</v>
      </c>
      <c r="V751" s="474" t="str">
        <f t="shared" si="5"/>
        <v>RUN-FLMP_2022-02-14_RFR-088</v>
      </c>
      <c r="Y751" s="89" t="str">
        <f t="shared" si="867"/>
        <v/>
      </c>
      <c r="Z751" s="60" t="str">
        <f t="shared" si="7"/>
        <v/>
      </c>
      <c r="AA751" s="60" t="str">
        <f t="shared" si="8"/>
        <v/>
      </c>
      <c r="AB751" s="60" t="str">
        <f t="shared" si="9"/>
        <v/>
      </c>
      <c r="AC751" s="30" t="str">
        <f t="shared" ref="AC751:AD751" si="1107">IF(_xlfn.ISFORMULA(S751),IFERROR(0/0,""),TRUE)</f>
        <v/>
      </c>
      <c r="AD751" s="30" t="str">
        <f t="shared" si="1107"/>
        <v/>
      </c>
      <c r="AE751" s="475" t="str">
        <f>IFERROR(__xludf.DUMMYFUNCTION("""COMPUTED_VALUE"""),"CRLN")</f>
        <v>CRLN</v>
      </c>
      <c r="AF751" s="476"/>
      <c r="AG751" s="474" t="s">
        <v>180</v>
      </c>
      <c r="AH751" s="138" t="str">
        <f t="shared" si="11"/>
        <v/>
      </c>
    </row>
    <row r="752">
      <c r="A752" s="103" t="str">
        <f>IFERROR(__xludf.DUMMYFUNCTION("""COMPUTED_VALUE"""),"FLB5773")</f>
        <v>FLB5773</v>
      </c>
      <c r="B752" s="468">
        <f>IFERROR(__xludf.DUMMYFUNCTION("""COMPUTED_VALUE"""),44606.0)</f>
        <v>44606</v>
      </c>
      <c r="C752" s="469">
        <f>IFERROR(__xludf.DUMMYFUNCTION("""COMPUTED_VALUE"""),0.3522106481481482)</f>
        <v>0.3522106481</v>
      </c>
      <c r="D752" s="103" t="str">
        <f>IFERROR(__xludf.DUMMYFUNCTION("""COMPUTED_VALUE"""),"SpFLMP259015")</f>
        <v>SpFLMP259015</v>
      </c>
      <c r="E752" s="103"/>
      <c r="F752" s="103"/>
      <c r="G752" s="103" t="str">
        <f>IFERROR(__xludf.DUMMYFUNCTION("""COMPUTED_VALUE"""),"Negative")</f>
        <v>Negative</v>
      </c>
      <c r="H752" s="131" t="str">
        <f>IFERROR(__xludf.DUMMYFUNCTION("""COMPUTED_VALUE"""),"Negative")</f>
        <v>Negative</v>
      </c>
      <c r="I752" s="468">
        <f>IFERROR(__xludf.DUMMYFUNCTION("""COMPUTED_VALUE"""),44606.0)</f>
        <v>44606</v>
      </c>
      <c r="J752" s="470">
        <f>IFERROR(__xludf.DUMMYFUNCTION("""COMPUTED_VALUE"""),0.4424884259259259)</f>
        <v>0.4424884259</v>
      </c>
      <c r="K752" s="16"/>
      <c r="L752" s="8"/>
      <c r="M752" s="69"/>
      <c r="N752" s="69">
        <f>IFERROR(__xludf.DUMMYFUNCTION("""COMPUTED_VALUE"""),2.0)</f>
        <v>2</v>
      </c>
      <c r="O752" s="69" t="str">
        <f t="shared" si="3"/>
        <v/>
      </c>
      <c r="P752" s="471">
        <f>IFERROR(__xludf.DUMMYFUNCTION("""COMPUTED_VALUE"""),0.0)</f>
        <v>0</v>
      </c>
      <c r="Q752" s="274" t="str">
        <f>VLOOKUP($B752,'Run Reconcile'!B$2:O2488,14,FALSE)</f>
        <v/>
      </c>
      <c r="R752" s="472" t="str">
        <f t="array" ref="R752">IF($Q752, INDEX('Run Reconcile'!A$2:A2488,MATCH(B752,'Run Reconcile'!B$2:B2488,0),1),IFERROR(0/0,""))</f>
        <v/>
      </c>
      <c r="S752" s="473" t="str">
        <f t="shared" si="694"/>
        <v/>
      </c>
      <c r="T752" s="473" t="str">
        <f t="shared" si="698"/>
        <v/>
      </c>
      <c r="U752" s="275" t="str">
        <f t="array" ref="U752">IF(ISBLANK($R752), INDEX('Run Reconcile'!A$2:A2488, MATCH($B752, 'Run Reconcile'!B$2:B2488, 0)+Z752, 1), IFERROR(0/0,""))
</f>
        <v>RUN-FLMP_2022-02-14_RFR-088</v>
      </c>
      <c r="V752" s="474" t="str">
        <f t="shared" si="5"/>
        <v>RUN-FLMP_2022-02-14_RFR-088</v>
      </c>
      <c r="Y752" s="89" t="str">
        <f t="shared" si="867"/>
        <v/>
      </c>
      <c r="Z752" s="60" t="str">
        <f t="shared" si="7"/>
        <v/>
      </c>
      <c r="AA752" s="60" t="str">
        <f t="shared" si="8"/>
        <v/>
      </c>
      <c r="AB752" s="60" t="str">
        <f t="shared" si="9"/>
        <v/>
      </c>
      <c r="AC752" s="30" t="str">
        <f t="shared" ref="AC752:AD752" si="1108">IF(_xlfn.ISFORMULA(S752),IFERROR(0/0,""),TRUE)</f>
        <v/>
      </c>
      <c r="AD752" s="30" t="str">
        <f t="shared" si="1108"/>
        <v/>
      </c>
      <c r="AE752" s="475" t="str">
        <f>IFERROR(__xludf.DUMMYFUNCTION("""COMPUTED_VALUE"""),"CRLN")</f>
        <v>CRLN</v>
      </c>
      <c r="AF752" s="476"/>
      <c r="AG752" s="474" t="s">
        <v>180</v>
      </c>
      <c r="AH752" s="138" t="str">
        <f t="shared" si="11"/>
        <v/>
      </c>
    </row>
    <row r="753">
      <c r="A753" s="103" t="str">
        <f>IFERROR(__xludf.DUMMYFUNCTION("""COMPUTED_VALUE"""),"FLB5900")</f>
        <v>FLB5900</v>
      </c>
      <c r="B753" s="468">
        <f>IFERROR(__xludf.DUMMYFUNCTION("""COMPUTED_VALUE"""),44606.0)</f>
        <v>44606</v>
      </c>
      <c r="C753" s="469">
        <f>IFERROR(__xludf.DUMMYFUNCTION("""COMPUTED_VALUE"""),0.3538310185185185)</f>
        <v>0.3538310185</v>
      </c>
      <c r="D753" s="103" t="str">
        <f>IFERROR(__xludf.DUMMYFUNCTION("""COMPUTED_VALUE"""),"SpFLMP668449")</f>
        <v>SpFLMP668449</v>
      </c>
      <c r="E753" s="103"/>
      <c r="F753" s="103"/>
      <c r="G753" s="103" t="str">
        <f>IFERROR(__xludf.DUMMYFUNCTION("""COMPUTED_VALUE"""),"Negative")</f>
        <v>Negative</v>
      </c>
      <c r="H753" s="131" t="str">
        <f>IFERROR(__xludf.DUMMYFUNCTION("""COMPUTED_VALUE"""),"Negative")</f>
        <v>Negative</v>
      </c>
      <c r="I753" s="468">
        <f>IFERROR(__xludf.DUMMYFUNCTION("""COMPUTED_VALUE"""),44606.0)</f>
        <v>44606</v>
      </c>
      <c r="J753" s="470">
        <f>IFERROR(__xludf.DUMMYFUNCTION("""COMPUTED_VALUE"""),0.4424884259259259)</f>
        <v>0.4424884259</v>
      </c>
      <c r="K753" s="16"/>
      <c r="L753" s="8"/>
      <c r="M753" s="69"/>
      <c r="N753" s="69">
        <f>IFERROR(__xludf.DUMMYFUNCTION("""COMPUTED_VALUE"""),3.0)</f>
        <v>3</v>
      </c>
      <c r="O753" s="69" t="str">
        <f t="shared" si="3"/>
        <v/>
      </c>
      <c r="P753" s="471">
        <f>IFERROR(__xludf.DUMMYFUNCTION("""COMPUTED_VALUE"""),0.0)</f>
        <v>0</v>
      </c>
      <c r="Q753" s="274" t="str">
        <f>VLOOKUP($B753,'Run Reconcile'!B$2:O2488,14,FALSE)</f>
        <v/>
      </c>
      <c r="R753" s="472" t="str">
        <f t="array" ref="R753">IF($Q753, INDEX('Run Reconcile'!A$2:A2488,MATCH(B753,'Run Reconcile'!B$2:B2488,0),1),IFERROR(0/0,""))</f>
        <v/>
      </c>
      <c r="S753" s="473" t="str">
        <f t="shared" si="694"/>
        <v/>
      </c>
      <c r="T753" s="473" t="str">
        <f t="shared" si="698"/>
        <v/>
      </c>
      <c r="U753" s="275" t="str">
        <f t="array" ref="U753">IF(ISBLANK($R753), INDEX('Run Reconcile'!A$2:A2488, MATCH($B753, 'Run Reconcile'!B$2:B2488, 0)+Z753, 1), IFERROR(0/0,""))
</f>
        <v>RUN-FLMP_2022-02-14_RFR-088</v>
      </c>
      <c r="V753" s="474" t="str">
        <f t="shared" si="5"/>
        <v>RUN-FLMP_2022-02-14_RFR-088</v>
      </c>
      <c r="Y753" s="89" t="str">
        <f t="shared" si="867"/>
        <v/>
      </c>
      <c r="Z753" s="60" t="str">
        <f t="shared" si="7"/>
        <v/>
      </c>
      <c r="AA753" s="60" t="str">
        <f t="shared" si="8"/>
        <v/>
      </c>
      <c r="AB753" s="60" t="str">
        <f t="shared" si="9"/>
        <v/>
      </c>
      <c r="AC753" s="30" t="str">
        <f t="shared" ref="AC753:AD753" si="1109">IF(_xlfn.ISFORMULA(S753),IFERROR(0/0,""),TRUE)</f>
        <v/>
      </c>
      <c r="AD753" s="30" t="str">
        <f t="shared" si="1109"/>
        <v/>
      </c>
      <c r="AE753" s="475" t="str">
        <f>IFERROR(__xludf.DUMMYFUNCTION("""COMPUTED_VALUE"""),"CRLN")</f>
        <v>CRLN</v>
      </c>
      <c r="AF753" s="476"/>
      <c r="AG753" s="474" t="s">
        <v>180</v>
      </c>
      <c r="AH753" s="138" t="str">
        <f t="shared" si="11"/>
        <v/>
      </c>
    </row>
    <row r="754">
      <c r="A754" s="103" t="str">
        <f>IFERROR(__xludf.DUMMYFUNCTION("""COMPUTED_VALUE"""),"FLE267")</f>
        <v>FLE267</v>
      </c>
      <c r="B754" s="468">
        <f>IFERROR(__xludf.DUMMYFUNCTION("""COMPUTED_VALUE"""),44606.0)</f>
        <v>44606</v>
      </c>
      <c r="C754" s="469">
        <f>IFERROR(__xludf.DUMMYFUNCTION("""COMPUTED_VALUE"""),0.3646875)</f>
        <v>0.3646875</v>
      </c>
      <c r="D754" s="103" t="str">
        <f>IFERROR(__xludf.DUMMYFUNCTION("""COMPUTED_VALUE"""),"SpFLMP684798")</f>
        <v>SpFLMP684798</v>
      </c>
      <c r="E754" s="103"/>
      <c r="F754" s="103"/>
      <c r="G754" s="103" t="str">
        <f>IFERROR(__xludf.DUMMYFUNCTION("""COMPUTED_VALUE"""),"Negative")</f>
        <v>Negative</v>
      </c>
      <c r="H754" s="131" t="str">
        <f>IFERROR(__xludf.DUMMYFUNCTION("""COMPUTED_VALUE"""),"Negative")</f>
        <v>Negative</v>
      </c>
      <c r="I754" s="468">
        <f>IFERROR(__xludf.DUMMYFUNCTION("""COMPUTED_VALUE"""),44606.0)</f>
        <v>44606</v>
      </c>
      <c r="J754" s="470">
        <f>IFERROR(__xludf.DUMMYFUNCTION("""COMPUTED_VALUE"""),0.4424884259259259)</f>
        <v>0.4424884259</v>
      </c>
      <c r="K754" s="16"/>
      <c r="L754" s="8"/>
      <c r="M754" s="69"/>
      <c r="N754" s="69">
        <f>IFERROR(__xludf.DUMMYFUNCTION("""COMPUTED_VALUE"""),4.0)</f>
        <v>4</v>
      </c>
      <c r="O754" s="69" t="str">
        <f t="shared" si="3"/>
        <v/>
      </c>
      <c r="P754" s="471">
        <f>IFERROR(__xludf.DUMMYFUNCTION("""COMPUTED_VALUE"""),0.0)</f>
        <v>0</v>
      </c>
      <c r="Q754" s="274" t="str">
        <f>VLOOKUP($B754,'Run Reconcile'!B$2:O2488,14,FALSE)</f>
        <v/>
      </c>
      <c r="R754" s="472" t="str">
        <f t="array" ref="R754">IF($Q754, INDEX('Run Reconcile'!A$2:A2488,MATCH(B754,'Run Reconcile'!B$2:B2488,0),1),IFERROR(0/0,""))</f>
        <v/>
      </c>
      <c r="S754" s="473" t="str">
        <f t="shared" si="694"/>
        <v/>
      </c>
      <c r="T754" s="473" t="str">
        <f t="shared" si="698"/>
        <v/>
      </c>
      <c r="U754" s="275" t="str">
        <f t="array" ref="U754">IF(ISBLANK($R754), INDEX('Run Reconcile'!A$2:A2488, MATCH($B754, 'Run Reconcile'!B$2:B2488, 0)+Z754, 1), IFERROR(0/0,""))
</f>
        <v>RUN-FLMP_2022-02-14_RFR-088</v>
      </c>
      <c r="V754" s="474" t="str">
        <f t="shared" si="5"/>
        <v>RUN-FLMP_2022-02-14_RFR-088</v>
      </c>
      <c r="Y754" s="89" t="str">
        <f t="shared" si="867"/>
        <v/>
      </c>
      <c r="Z754" s="60" t="str">
        <f t="shared" si="7"/>
        <v/>
      </c>
      <c r="AA754" s="60" t="str">
        <f t="shared" si="8"/>
        <v/>
      </c>
      <c r="AB754" s="60" t="str">
        <f t="shared" si="9"/>
        <v/>
      </c>
      <c r="AC754" s="30" t="str">
        <f t="shared" ref="AC754:AD754" si="1110">IF(_xlfn.ISFORMULA(S754),IFERROR(0/0,""),TRUE)</f>
        <v/>
      </c>
      <c r="AD754" s="30" t="str">
        <f t="shared" si="1110"/>
        <v/>
      </c>
      <c r="AE754" s="475" t="str">
        <f>IFERROR(__xludf.DUMMYFUNCTION("""COMPUTED_VALUE"""),"CRLN")</f>
        <v>CRLN</v>
      </c>
      <c r="AF754" s="476"/>
      <c r="AG754" s="474" t="s">
        <v>180</v>
      </c>
      <c r="AH754" s="138" t="str">
        <f t="shared" si="11"/>
        <v/>
      </c>
    </row>
    <row r="755">
      <c r="A755" s="103" t="str">
        <f>IFERROR(__xludf.DUMMYFUNCTION("""COMPUTED_VALUE"""),"FLB7345")</f>
        <v>FLB7345</v>
      </c>
      <c r="B755" s="468">
        <f>IFERROR(__xludf.DUMMYFUNCTION("""COMPUTED_VALUE"""),44606.0)</f>
        <v>44606</v>
      </c>
      <c r="C755" s="469">
        <f>IFERROR(__xludf.DUMMYFUNCTION("""COMPUTED_VALUE"""),0.36559027777777775)</f>
        <v>0.3655902778</v>
      </c>
      <c r="D755" s="103" t="str">
        <f>IFERROR(__xludf.DUMMYFUNCTION("""COMPUTED_VALUE"""),"SpFLMP518914")</f>
        <v>SpFLMP518914</v>
      </c>
      <c r="E755" s="103"/>
      <c r="F755" s="103"/>
      <c r="G755" s="103" t="str">
        <f>IFERROR(__xludf.DUMMYFUNCTION("""COMPUTED_VALUE"""),"Negative")</f>
        <v>Negative</v>
      </c>
      <c r="H755" s="131" t="str">
        <f>IFERROR(__xludf.DUMMYFUNCTION("""COMPUTED_VALUE"""),"Negative")</f>
        <v>Negative</v>
      </c>
      <c r="I755" s="468">
        <f>IFERROR(__xludf.DUMMYFUNCTION("""COMPUTED_VALUE"""),44606.0)</f>
        <v>44606</v>
      </c>
      <c r="J755" s="470">
        <f>IFERROR(__xludf.DUMMYFUNCTION("""COMPUTED_VALUE"""),0.4424884259259259)</f>
        <v>0.4424884259</v>
      </c>
      <c r="K755" s="16"/>
      <c r="L755" s="8"/>
      <c r="M755" s="69"/>
      <c r="N755" s="69">
        <f>IFERROR(__xludf.DUMMYFUNCTION("""COMPUTED_VALUE"""),1.0)</f>
        <v>1</v>
      </c>
      <c r="O755" s="69" t="str">
        <f t="shared" si="3"/>
        <v/>
      </c>
      <c r="P755" s="471">
        <f>IFERROR(__xludf.DUMMYFUNCTION("""COMPUTED_VALUE"""),0.0)</f>
        <v>0</v>
      </c>
      <c r="Q755" s="274" t="str">
        <f>VLOOKUP($B755,'Run Reconcile'!B$2:O2488,14,FALSE)</f>
        <v/>
      </c>
      <c r="R755" s="472" t="str">
        <f t="array" ref="R755">IF($Q755, INDEX('Run Reconcile'!A$2:A2488,MATCH(B755,'Run Reconcile'!B$2:B2488,0),1),IFERROR(0/0,""))</f>
        <v/>
      </c>
      <c r="S755" s="473" t="str">
        <f t="shared" si="694"/>
        <v/>
      </c>
      <c r="T755" s="473" t="str">
        <f t="shared" si="698"/>
        <v/>
      </c>
      <c r="U755" s="275" t="str">
        <f t="array" ref="U755">IF(ISBLANK($R755), INDEX('Run Reconcile'!A$2:A2488, MATCH($B755, 'Run Reconcile'!B$2:B2488, 0)+Z755, 1), IFERROR(0/0,""))
</f>
        <v>RUN-FLMP_2022-02-14_RFR-088</v>
      </c>
      <c r="V755" s="474" t="str">
        <f t="shared" si="5"/>
        <v>RUN-FLMP_2022-02-14_RFR-088</v>
      </c>
      <c r="Y755" s="89" t="str">
        <f t="shared" si="867"/>
        <v/>
      </c>
      <c r="Z755" s="60" t="str">
        <f t="shared" si="7"/>
        <v/>
      </c>
      <c r="AA755" s="60" t="str">
        <f t="shared" si="8"/>
        <v/>
      </c>
      <c r="AB755" s="60" t="str">
        <f t="shared" si="9"/>
        <v/>
      </c>
      <c r="AC755" s="30" t="str">
        <f t="shared" ref="AC755:AD755" si="1111">IF(_xlfn.ISFORMULA(S755),IFERROR(0/0,""),TRUE)</f>
        <v/>
      </c>
      <c r="AD755" s="30" t="str">
        <f t="shared" si="1111"/>
        <v/>
      </c>
      <c r="AE755" s="475" t="str">
        <f>IFERROR(__xludf.DUMMYFUNCTION("""COMPUTED_VALUE"""),"CRLN")</f>
        <v>CRLN</v>
      </c>
      <c r="AF755" s="476"/>
      <c r="AG755" s="474" t="s">
        <v>180</v>
      </c>
      <c r="AH755" s="138" t="str">
        <f t="shared" si="11"/>
        <v/>
      </c>
    </row>
    <row r="756">
      <c r="A756" s="103" t="str">
        <f>IFERROR(__xludf.DUMMYFUNCTION("""COMPUTED_VALUE"""),"FLB4800")</f>
        <v>FLB4800</v>
      </c>
      <c r="B756" s="468">
        <f>IFERROR(__xludf.DUMMYFUNCTION("""COMPUTED_VALUE"""),44606.0)</f>
        <v>44606</v>
      </c>
      <c r="C756" s="469">
        <f>IFERROR(__xludf.DUMMYFUNCTION("""COMPUTED_VALUE"""),0.36648148148148146)</f>
        <v>0.3664814815</v>
      </c>
      <c r="D756" s="103" t="str">
        <f>IFERROR(__xludf.DUMMYFUNCTION("""COMPUTED_VALUE"""),"SpFLMP496039")</f>
        <v>SpFLMP496039</v>
      </c>
      <c r="E756" s="103"/>
      <c r="F756" s="103"/>
      <c r="G756" s="103" t="str">
        <f>IFERROR(__xludf.DUMMYFUNCTION("""COMPUTED_VALUE"""),"Negative")</f>
        <v>Negative</v>
      </c>
      <c r="H756" s="131" t="str">
        <f>IFERROR(__xludf.DUMMYFUNCTION("""COMPUTED_VALUE"""),"Negative")</f>
        <v>Negative</v>
      </c>
      <c r="I756" s="468">
        <f>IFERROR(__xludf.DUMMYFUNCTION("""COMPUTED_VALUE"""),44606.0)</f>
        <v>44606</v>
      </c>
      <c r="J756" s="470">
        <f>IFERROR(__xludf.DUMMYFUNCTION("""COMPUTED_VALUE"""),0.4424884259259259)</f>
        <v>0.4424884259</v>
      </c>
      <c r="K756" s="16"/>
      <c r="L756" s="8"/>
      <c r="M756" s="69"/>
      <c r="N756" s="69">
        <f>IFERROR(__xludf.DUMMYFUNCTION("""COMPUTED_VALUE"""),1.0)</f>
        <v>1</v>
      </c>
      <c r="O756" s="69" t="str">
        <f t="shared" si="3"/>
        <v/>
      </c>
      <c r="P756" s="471">
        <f>IFERROR(__xludf.DUMMYFUNCTION("""COMPUTED_VALUE"""),0.0)</f>
        <v>0</v>
      </c>
      <c r="Q756" s="274" t="str">
        <f>VLOOKUP($B756,'Run Reconcile'!B$2:O2488,14,FALSE)</f>
        <v/>
      </c>
      <c r="R756" s="472" t="str">
        <f t="array" ref="R756">IF($Q756, INDEX('Run Reconcile'!A$2:A2488,MATCH(B756,'Run Reconcile'!B$2:B2488,0),1),IFERROR(0/0,""))</f>
        <v/>
      </c>
      <c r="S756" s="473" t="str">
        <f t="shared" si="694"/>
        <v/>
      </c>
      <c r="T756" s="473" t="str">
        <f t="shared" si="698"/>
        <v/>
      </c>
      <c r="U756" s="275" t="str">
        <f t="array" ref="U756">IF(ISBLANK($R756), INDEX('Run Reconcile'!A$2:A2488, MATCH($B756, 'Run Reconcile'!B$2:B2488, 0)+Z756, 1), IFERROR(0/0,""))
</f>
        <v>RUN-FLMP_2022-02-14_RFR-088</v>
      </c>
      <c r="V756" s="474" t="str">
        <f t="shared" si="5"/>
        <v>RUN-FLMP_2022-02-14_RFR-088</v>
      </c>
      <c r="Y756" s="89" t="str">
        <f t="shared" si="867"/>
        <v/>
      </c>
      <c r="Z756" s="60" t="str">
        <f t="shared" si="7"/>
        <v/>
      </c>
      <c r="AA756" s="60" t="str">
        <f t="shared" si="8"/>
        <v/>
      </c>
      <c r="AB756" s="60" t="str">
        <f t="shared" si="9"/>
        <v/>
      </c>
      <c r="AC756" s="30" t="str">
        <f t="shared" ref="AC756:AD756" si="1112">IF(_xlfn.ISFORMULA(S756),IFERROR(0/0,""),TRUE)</f>
        <v/>
      </c>
      <c r="AD756" s="30" t="str">
        <f t="shared" si="1112"/>
        <v/>
      </c>
      <c r="AE756" s="475" t="str">
        <f>IFERROR(__xludf.DUMMYFUNCTION("""COMPUTED_VALUE"""),"CRLN")</f>
        <v>CRLN</v>
      </c>
      <c r="AF756" s="476"/>
      <c r="AG756" s="474" t="s">
        <v>180</v>
      </c>
      <c r="AH756" s="138" t="str">
        <f t="shared" si="11"/>
        <v/>
      </c>
    </row>
    <row r="757">
      <c r="A757" s="103" t="str">
        <f>IFERROR(__xludf.DUMMYFUNCTION("""COMPUTED_VALUE"""),"FLB6742")</f>
        <v>FLB6742</v>
      </c>
      <c r="B757" s="468">
        <f>IFERROR(__xludf.DUMMYFUNCTION("""COMPUTED_VALUE"""),44606.0)</f>
        <v>44606</v>
      </c>
      <c r="C757" s="469">
        <f>IFERROR(__xludf.DUMMYFUNCTION("""COMPUTED_VALUE"""),0.37267361111111114)</f>
        <v>0.3726736111</v>
      </c>
      <c r="D757" s="103" t="str">
        <f>IFERROR(__xludf.DUMMYFUNCTION("""COMPUTED_VALUE"""),"SpFLMP600756")</f>
        <v>SpFLMP600756</v>
      </c>
      <c r="E757" s="103"/>
      <c r="F757" s="103"/>
      <c r="G757" s="103" t="str">
        <f>IFERROR(__xludf.DUMMYFUNCTION("""COMPUTED_VALUE"""),"Negative")</f>
        <v>Negative</v>
      </c>
      <c r="H757" s="131" t="str">
        <f>IFERROR(__xludf.DUMMYFUNCTION("""COMPUTED_VALUE"""),"Negative")</f>
        <v>Negative</v>
      </c>
      <c r="I757" s="468">
        <f>IFERROR(__xludf.DUMMYFUNCTION("""COMPUTED_VALUE"""),44606.0)</f>
        <v>44606</v>
      </c>
      <c r="J757" s="470">
        <f>IFERROR(__xludf.DUMMYFUNCTION("""COMPUTED_VALUE"""),0.4424884259259259)</f>
        <v>0.4424884259</v>
      </c>
      <c r="K757" s="16"/>
      <c r="L757" s="8"/>
      <c r="M757" s="69"/>
      <c r="N757" s="69">
        <f>IFERROR(__xludf.DUMMYFUNCTION("""COMPUTED_VALUE"""),2.0)</f>
        <v>2</v>
      </c>
      <c r="O757" s="69" t="str">
        <f t="shared" si="3"/>
        <v/>
      </c>
      <c r="P757" s="471">
        <f>IFERROR(__xludf.DUMMYFUNCTION("""COMPUTED_VALUE"""),0.0)</f>
        <v>0</v>
      </c>
      <c r="Q757" s="274" t="str">
        <f>VLOOKUP($B757,'Run Reconcile'!B$2:O2488,14,FALSE)</f>
        <v/>
      </c>
      <c r="R757" s="472" t="str">
        <f t="array" ref="R757">IF($Q757, INDEX('Run Reconcile'!A$2:A2488,MATCH(B757,'Run Reconcile'!B$2:B2488,0),1),IFERROR(0/0,""))</f>
        <v/>
      </c>
      <c r="S757" s="473" t="str">
        <f t="shared" si="694"/>
        <v/>
      </c>
      <c r="T757" s="473" t="str">
        <f t="shared" si="698"/>
        <v/>
      </c>
      <c r="U757" s="275" t="str">
        <f t="array" ref="U757">IF(ISBLANK($R757), INDEX('Run Reconcile'!A$2:A2488, MATCH($B757, 'Run Reconcile'!B$2:B2488, 0)+Z757, 1), IFERROR(0/0,""))
</f>
        <v>RUN-FLMP_2022-02-14_RFR-088</v>
      </c>
      <c r="V757" s="474" t="str">
        <f t="shared" si="5"/>
        <v>RUN-FLMP_2022-02-14_RFR-088</v>
      </c>
      <c r="Y757" s="89" t="str">
        <f t="shared" si="867"/>
        <v/>
      </c>
      <c r="Z757" s="60" t="str">
        <f t="shared" si="7"/>
        <v/>
      </c>
      <c r="AA757" s="60" t="str">
        <f t="shared" si="8"/>
        <v/>
      </c>
      <c r="AB757" s="60" t="str">
        <f t="shared" si="9"/>
        <v/>
      </c>
      <c r="AC757" s="30" t="str">
        <f t="shared" ref="AC757:AD757" si="1113">IF(_xlfn.ISFORMULA(S757),IFERROR(0/0,""),TRUE)</f>
        <v/>
      </c>
      <c r="AD757" s="30" t="str">
        <f t="shared" si="1113"/>
        <v/>
      </c>
      <c r="AE757" s="475" t="str">
        <f>IFERROR(__xludf.DUMMYFUNCTION("""COMPUTED_VALUE"""),"CRLN")</f>
        <v>CRLN</v>
      </c>
      <c r="AF757" s="476"/>
      <c r="AG757" s="474" t="s">
        <v>180</v>
      </c>
      <c r="AH757" s="138" t="str">
        <f t="shared" si="11"/>
        <v/>
      </c>
    </row>
    <row r="758">
      <c r="A758" s="477" t="str">
        <f>IFERROR(__xludf.DUMMYFUNCTION("""COMPUTED_VALUE"""),"FLB5769")</f>
        <v>FLB5769</v>
      </c>
      <c r="B758" s="478">
        <f>IFERROR(__xludf.DUMMYFUNCTION("""COMPUTED_VALUE"""),44608.0)</f>
        <v>44608</v>
      </c>
      <c r="C758" s="479">
        <f>IFERROR(__xludf.DUMMYFUNCTION("""COMPUTED_VALUE"""),0.3590162037037037)</f>
        <v>0.3590162037</v>
      </c>
      <c r="D758" s="477" t="str">
        <f>IFERROR(__xludf.DUMMYFUNCTION("""COMPUTED_VALUE"""),"SpFLMP436443")</f>
        <v>SpFLMP436443</v>
      </c>
      <c r="E758" s="477"/>
      <c r="F758" s="477"/>
      <c r="G758" s="477" t="str">
        <f>IFERROR(__xludf.DUMMYFUNCTION("""COMPUTED_VALUE"""),"Negative")</f>
        <v>Negative</v>
      </c>
      <c r="H758" s="480" t="str">
        <f>IFERROR(__xludf.DUMMYFUNCTION("""COMPUTED_VALUE"""),"Negative")</f>
        <v>Negative</v>
      </c>
      <c r="I758" s="478">
        <f>IFERROR(__xludf.DUMMYFUNCTION("""COMPUTED_VALUE"""),44609.0)</f>
        <v>44609</v>
      </c>
      <c r="J758" s="481">
        <f>IFERROR(__xludf.DUMMYFUNCTION("""COMPUTED_VALUE"""),0.4350347222222222)</f>
        <v>0.4350347222</v>
      </c>
      <c r="K758" s="156"/>
      <c r="L758" s="19"/>
      <c r="M758" s="482"/>
      <c r="N758" s="482">
        <f>IFERROR(__xludf.DUMMYFUNCTION("""COMPUTED_VALUE"""),2.0)</f>
        <v>2</v>
      </c>
      <c r="O758" s="482" t="b">
        <f t="shared" si="3"/>
        <v>1</v>
      </c>
      <c r="P758" s="483">
        <f>IFERROR(__xludf.DUMMYFUNCTION("""COMPUTED_VALUE"""),1.0)</f>
        <v>1</v>
      </c>
      <c r="Q758" s="352" t="str">
        <f>VLOOKUP($B758,'Run Reconcile'!B$2:O2488,14,FALSE)</f>
        <v/>
      </c>
      <c r="R758" s="484" t="str">
        <f t="array" ref="R758">IF($Q758, INDEX('Run Reconcile'!A$2:A2488,MATCH(B758,'Run Reconcile'!B$2:B2488,0),1),IFERROR(0/0,""))</f>
        <v/>
      </c>
      <c r="S758" s="485" t="b">
        <f t="shared" si="694"/>
        <v>1</v>
      </c>
      <c r="T758" s="485" t="str">
        <f t="shared" si="698"/>
        <v/>
      </c>
      <c r="U758" s="353" t="str">
        <f t="array" ref="U758">IF(ISBLANK($R758), INDEX('Run Reconcile'!A$2:A2488, MATCH($B758, 'Run Reconcile'!B$2:B2488, 0)+Z758, 1), IFERROR(0/0,""))
</f>
        <v>RUN-FLMP_2022-02-17_RFR-089</v>
      </c>
      <c r="V758" s="486" t="str">
        <f t="shared" si="5"/>
        <v>RUN-FLMP_2022-02-17_RFR-089</v>
      </c>
      <c r="W758" s="19" t="s">
        <v>1454</v>
      </c>
      <c r="X758" s="19"/>
      <c r="Y758" s="89">
        <f t="shared" si="867"/>
        <v>1</v>
      </c>
      <c r="Z758" s="60">
        <f t="shared" si="7"/>
        <v>1</v>
      </c>
      <c r="AA758" s="60">
        <f t="shared" si="8"/>
        <v>1</v>
      </c>
      <c r="AB758" s="60" t="str">
        <f t="shared" si="9"/>
        <v/>
      </c>
      <c r="AC758" s="158" t="str">
        <f t="shared" ref="AC758:AD758" si="1114">IF(_xlfn.ISFORMULA(S758),IFERROR(0/0,""),TRUE)</f>
        <v/>
      </c>
      <c r="AD758" s="158" t="str">
        <f t="shared" si="1114"/>
        <v/>
      </c>
      <c r="AE758" s="488" t="str">
        <f>IFERROR(__xludf.DUMMYFUNCTION("""COMPUTED_VALUE"""),"CRLN")</f>
        <v>CRLN</v>
      </c>
      <c r="AF758" s="489"/>
      <c r="AG758" s="486" t="s">
        <v>181</v>
      </c>
      <c r="AH758" s="138" t="str">
        <f t="shared" si="11"/>
        <v/>
      </c>
      <c r="AI758" s="19"/>
      <c r="AJ758" s="19"/>
      <c r="AK758" s="19"/>
      <c r="AL758" s="19"/>
      <c r="AM758" s="19"/>
    </row>
    <row r="759">
      <c r="A759" s="103" t="str">
        <f>IFERROR(__xludf.DUMMYFUNCTION("""COMPUTED_VALUE"""),"FLB5867")</f>
        <v>FLB5867</v>
      </c>
      <c r="B759" s="468">
        <f>IFERROR(__xludf.DUMMYFUNCTION("""COMPUTED_VALUE"""),44608.0)</f>
        <v>44608</v>
      </c>
      <c r="C759" s="469">
        <f>IFERROR(__xludf.DUMMYFUNCTION("""COMPUTED_VALUE"""),0.769074074074074)</f>
        <v>0.7690740741</v>
      </c>
      <c r="D759" s="103" t="str">
        <f>IFERROR(__xludf.DUMMYFUNCTION("""COMPUTED_VALUE"""),"SpFLMP228238")</f>
        <v>SpFLMP228238</v>
      </c>
      <c r="E759" s="103"/>
      <c r="F759" s="103"/>
      <c r="G759" s="103" t="str">
        <f>IFERROR(__xludf.DUMMYFUNCTION("""COMPUTED_VALUE"""),"Negative")</f>
        <v>Negative</v>
      </c>
      <c r="H759" s="131" t="str">
        <f>IFERROR(__xludf.DUMMYFUNCTION("""COMPUTED_VALUE"""),"Negative")</f>
        <v>Negative</v>
      </c>
      <c r="I759" s="468">
        <f>IFERROR(__xludf.DUMMYFUNCTION("""COMPUTED_VALUE"""),44609.0)</f>
        <v>44609</v>
      </c>
      <c r="J759" s="470">
        <f>IFERROR(__xludf.DUMMYFUNCTION("""COMPUTED_VALUE"""),0.4350347222222222)</f>
        <v>0.4350347222</v>
      </c>
      <c r="K759" s="16"/>
      <c r="L759" s="8"/>
      <c r="M759" s="69"/>
      <c r="N759" s="69">
        <f>IFERROR(__xludf.DUMMYFUNCTION("""COMPUTED_VALUE"""),4.0)</f>
        <v>4</v>
      </c>
      <c r="O759" s="69" t="str">
        <f t="shared" si="3"/>
        <v/>
      </c>
      <c r="P759" s="471">
        <f>IFERROR(__xludf.DUMMYFUNCTION("""COMPUTED_VALUE"""),1.0)</f>
        <v>1</v>
      </c>
      <c r="Q759" s="274" t="str">
        <f>VLOOKUP($B759,'Run Reconcile'!B$2:O2488,14,FALSE)</f>
        <v/>
      </c>
      <c r="R759" s="472" t="str">
        <f t="array" ref="R759">IF($Q759, INDEX('Run Reconcile'!A$2:A2488,MATCH(B759,'Run Reconcile'!B$2:B2488,0),1),IFERROR(0/0,""))</f>
        <v/>
      </c>
      <c r="S759" s="473" t="b">
        <f t="shared" si="694"/>
        <v>1</v>
      </c>
      <c r="T759" s="473" t="str">
        <f t="shared" si="698"/>
        <v/>
      </c>
      <c r="U759" s="275" t="str">
        <f t="array" ref="U759">IF(ISBLANK($R759), INDEX('Run Reconcile'!A$2:A2488, MATCH($B759, 'Run Reconcile'!B$2:B2488, 0)+Z759, 1), IFERROR(0/0,""))
</f>
        <v>RUN-FLMP_2022-02-17_RFR-089</v>
      </c>
      <c r="V759" s="474" t="str">
        <f t="shared" si="5"/>
        <v>RUN-FLMP_2022-02-17_RFR-089</v>
      </c>
      <c r="W759" s="8" t="s">
        <v>1455</v>
      </c>
      <c r="Y759" s="89">
        <f t="shared" si="867"/>
        <v>1</v>
      </c>
      <c r="Z759" s="60">
        <f t="shared" si="7"/>
        <v>1</v>
      </c>
      <c r="AA759" s="60">
        <f t="shared" si="8"/>
        <v>1</v>
      </c>
      <c r="AB759" s="60" t="str">
        <f t="shared" si="9"/>
        <v/>
      </c>
      <c r="AC759" s="30" t="str">
        <f t="shared" ref="AC759:AD759" si="1115">IF(_xlfn.ISFORMULA(S759),IFERROR(0/0,""),TRUE)</f>
        <v/>
      </c>
      <c r="AD759" s="30" t="str">
        <f t="shared" si="1115"/>
        <v/>
      </c>
      <c r="AE759" s="475" t="str">
        <f>IFERROR(__xludf.DUMMYFUNCTION("""COMPUTED_VALUE"""),"CRLN")</f>
        <v>CRLN</v>
      </c>
      <c r="AF759" s="476"/>
      <c r="AG759" s="474" t="s">
        <v>181</v>
      </c>
      <c r="AH759" s="138" t="str">
        <f t="shared" si="11"/>
        <v/>
      </c>
    </row>
    <row r="760">
      <c r="A760" s="103" t="str">
        <f>IFERROR(__xludf.DUMMYFUNCTION("""COMPUTED_VALUE"""),"FLB6788")</f>
        <v>FLB6788</v>
      </c>
      <c r="B760" s="468">
        <f>IFERROR(__xludf.DUMMYFUNCTION("""COMPUTED_VALUE"""),44608.0)</f>
        <v>44608</v>
      </c>
      <c r="C760" s="469">
        <f>IFERROR(__xludf.DUMMYFUNCTION("""COMPUTED_VALUE"""),0.898912037037037)</f>
        <v>0.898912037</v>
      </c>
      <c r="D760" s="103" t="str">
        <f>IFERROR(__xludf.DUMMYFUNCTION("""COMPUTED_VALUE"""),"SpFLMP518914")</f>
        <v>SpFLMP518914</v>
      </c>
      <c r="E760" s="103"/>
      <c r="F760" s="103"/>
      <c r="G760" s="103" t="str">
        <f>IFERROR(__xludf.DUMMYFUNCTION("""COMPUTED_VALUE"""),"Negative")</f>
        <v>Negative</v>
      </c>
      <c r="H760" s="131" t="str">
        <f>IFERROR(__xludf.DUMMYFUNCTION("""COMPUTED_VALUE"""),"Negative")</f>
        <v>Negative</v>
      </c>
      <c r="I760" s="468">
        <f>IFERROR(__xludf.DUMMYFUNCTION("""COMPUTED_VALUE"""),44609.0)</f>
        <v>44609</v>
      </c>
      <c r="J760" s="470">
        <f>IFERROR(__xludf.DUMMYFUNCTION("""COMPUTED_VALUE"""),0.4350347222222222)</f>
        <v>0.4350347222</v>
      </c>
      <c r="K760" s="16"/>
      <c r="L760" s="8"/>
      <c r="M760" s="69"/>
      <c r="N760" s="69">
        <f>IFERROR(__xludf.DUMMYFUNCTION("""COMPUTED_VALUE"""),1.0)</f>
        <v>1</v>
      </c>
      <c r="O760" s="69" t="str">
        <f t="shared" si="3"/>
        <v/>
      </c>
      <c r="P760" s="471">
        <f>IFERROR(__xludf.DUMMYFUNCTION("""COMPUTED_VALUE"""),1.0)</f>
        <v>1</v>
      </c>
      <c r="Q760" s="274" t="str">
        <f>VLOOKUP($B760,'Run Reconcile'!B$2:O2488,14,FALSE)</f>
        <v/>
      </c>
      <c r="R760" s="472" t="str">
        <f t="array" ref="R760">IF($Q760, INDEX('Run Reconcile'!A$2:A2488,MATCH(B760,'Run Reconcile'!B$2:B2488,0),1),IFERROR(0/0,""))</f>
        <v/>
      </c>
      <c r="S760" s="473" t="b">
        <f t="shared" si="694"/>
        <v>1</v>
      </c>
      <c r="T760" s="473" t="str">
        <f t="shared" si="698"/>
        <v/>
      </c>
      <c r="U760" s="275" t="str">
        <f t="array" ref="U760">IF(ISBLANK($R760), INDEX('Run Reconcile'!A$2:A2488, MATCH($B760, 'Run Reconcile'!B$2:B2488, 0)+Z760, 1), IFERROR(0/0,""))
</f>
        <v>RUN-FLMP_2022-02-17_RFR-089</v>
      </c>
      <c r="V760" s="474" t="str">
        <f t="shared" si="5"/>
        <v>RUN-FLMP_2022-02-17_RFR-089</v>
      </c>
      <c r="W760" s="8" t="s">
        <v>1456</v>
      </c>
      <c r="Y760" s="89">
        <f t="shared" si="867"/>
        <v>1</v>
      </c>
      <c r="Z760" s="60">
        <f t="shared" si="7"/>
        <v>1</v>
      </c>
      <c r="AA760" s="60">
        <f t="shared" si="8"/>
        <v>1</v>
      </c>
      <c r="AB760" s="60" t="str">
        <f t="shared" si="9"/>
        <v/>
      </c>
      <c r="AC760" s="30" t="str">
        <f t="shared" ref="AC760:AD760" si="1116">IF(_xlfn.ISFORMULA(S760),IFERROR(0/0,""),TRUE)</f>
        <v/>
      </c>
      <c r="AD760" s="30" t="str">
        <f t="shared" si="1116"/>
        <v/>
      </c>
      <c r="AE760" s="475" t="str">
        <f>IFERROR(__xludf.DUMMYFUNCTION("""COMPUTED_VALUE"""),"CRLN")</f>
        <v>CRLN</v>
      </c>
      <c r="AF760" s="476"/>
      <c r="AG760" s="474" t="s">
        <v>181</v>
      </c>
      <c r="AH760" s="138" t="str">
        <f t="shared" si="11"/>
        <v/>
      </c>
    </row>
    <row r="761">
      <c r="A761" s="103" t="str">
        <f>IFERROR(__xludf.DUMMYFUNCTION("""COMPUTED_VALUE"""),"FLB4787")</f>
        <v>FLB4787</v>
      </c>
      <c r="B761" s="468">
        <f>IFERROR(__xludf.DUMMYFUNCTION("""COMPUTED_VALUE"""),44609.0)</f>
        <v>44609</v>
      </c>
      <c r="C761" s="469">
        <f>IFERROR(__xludf.DUMMYFUNCTION("""COMPUTED_VALUE"""),0.29912037037037037)</f>
        <v>0.2991203704</v>
      </c>
      <c r="D761" s="103" t="str">
        <f>IFERROR(__xludf.DUMMYFUNCTION("""COMPUTED_VALUE"""),"SpFLMP690282")</f>
        <v>SpFLMP690282</v>
      </c>
      <c r="E761" s="103"/>
      <c r="F761" s="103"/>
      <c r="G761" s="103" t="str">
        <f>IFERROR(__xludf.DUMMYFUNCTION("""COMPUTED_VALUE"""),"Negative")</f>
        <v>Negative</v>
      </c>
      <c r="H761" s="131" t="str">
        <f>IFERROR(__xludf.DUMMYFUNCTION("""COMPUTED_VALUE"""),"Negative")</f>
        <v>Negative</v>
      </c>
      <c r="I761" s="468">
        <f>IFERROR(__xludf.DUMMYFUNCTION("""COMPUTED_VALUE"""),44609.0)</f>
        <v>44609</v>
      </c>
      <c r="J761" s="470">
        <f>IFERROR(__xludf.DUMMYFUNCTION("""COMPUTED_VALUE"""),0.4350347222222222)</f>
        <v>0.4350347222</v>
      </c>
      <c r="K761" s="16"/>
      <c r="L761" s="8"/>
      <c r="M761" s="69"/>
      <c r="N761" s="69">
        <f>IFERROR(__xludf.DUMMYFUNCTION("""COMPUTED_VALUE"""),2.0)</f>
        <v>2</v>
      </c>
      <c r="O761" s="69" t="b">
        <f t="shared" si="3"/>
        <v>1</v>
      </c>
      <c r="P761" s="471">
        <f>IFERROR(__xludf.DUMMYFUNCTION("""COMPUTED_VALUE"""),0.0)</f>
        <v>0</v>
      </c>
      <c r="Q761" s="274" t="str">
        <f>VLOOKUP($B761,'Run Reconcile'!B$2:O2488,14,FALSE)</f>
        <v/>
      </c>
      <c r="R761" s="472" t="str">
        <f t="array" ref="R761">IF($Q761, INDEX('Run Reconcile'!A$2:A2488,MATCH(B761,'Run Reconcile'!B$2:B2488,0),1),IFERROR(0/0,""))</f>
        <v/>
      </c>
      <c r="S761" s="473" t="str">
        <f t="shared" si="694"/>
        <v/>
      </c>
      <c r="T761" s="473" t="str">
        <f t="shared" si="698"/>
        <v/>
      </c>
      <c r="U761" s="275" t="str">
        <f t="array" ref="U761">IF(ISBLANK($R761), INDEX('Run Reconcile'!A$2:A2488, MATCH($B761, 'Run Reconcile'!B$2:B2488, 0)+Z761, 1), IFERROR(0/0,""))
</f>
        <v>RUN-FLMP_2022-02-17_RFR-089</v>
      </c>
      <c r="V761" s="474" t="str">
        <f t="shared" si="5"/>
        <v>RUN-FLMP_2022-02-17_RFR-089</v>
      </c>
      <c r="Y761" s="89" t="str">
        <f t="shared" si="867"/>
        <v/>
      </c>
      <c r="Z761" s="60" t="str">
        <f t="shared" si="7"/>
        <v/>
      </c>
      <c r="AA761" s="60" t="str">
        <f t="shared" si="8"/>
        <v/>
      </c>
      <c r="AB761" s="60" t="str">
        <f t="shared" si="9"/>
        <v/>
      </c>
      <c r="AC761" s="30" t="str">
        <f t="shared" ref="AC761:AD761" si="1117">IF(_xlfn.ISFORMULA(S761),IFERROR(0/0,""),TRUE)</f>
        <v/>
      </c>
      <c r="AD761" s="30" t="str">
        <f t="shared" si="1117"/>
        <v/>
      </c>
      <c r="AE761" s="475" t="str">
        <f>IFERROR(__xludf.DUMMYFUNCTION("""COMPUTED_VALUE"""),"CRLN")</f>
        <v>CRLN</v>
      </c>
      <c r="AF761" s="476"/>
      <c r="AG761" s="474" t="s">
        <v>181</v>
      </c>
      <c r="AH761" s="138" t="str">
        <f t="shared" si="11"/>
        <v/>
      </c>
    </row>
    <row r="762">
      <c r="A762" s="103" t="str">
        <f>IFERROR(__xludf.DUMMYFUNCTION("""COMPUTED_VALUE"""),"FLE278")</f>
        <v>FLE278</v>
      </c>
      <c r="B762" s="468">
        <f>IFERROR(__xludf.DUMMYFUNCTION("""COMPUTED_VALUE"""),44609.0)</f>
        <v>44609</v>
      </c>
      <c r="C762" s="469">
        <f>IFERROR(__xludf.DUMMYFUNCTION("""COMPUTED_VALUE"""),0.31626157407407407)</f>
        <v>0.3162615741</v>
      </c>
      <c r="D762" s="103" t="str">
        <f>IFERROR(__xludf.DUMMYFUNCTION("""COMPUTED_VALUE"""),"SpFLMP659315")</f>
        <v>SpFLMP659315</v>
      </c>
      <c r="E762" s="103"/>
      <c r="F762" s="103"/>
      <c r="G762" s="103" t="str">
        <f>IFERROR(__xludf.DUMMYFUNCTION("""COMPUTED_VALUE"""),"Negative")</f>
        <v>Negative</v>
      </c>
      <c r="H762" s="131" t="str">
        <f>IFERROR(__xludf.DUMMYFUNCTION("""COMPUTED_VALUE"""),"Negative")</f>
        <v>Negative</v>
      </c>
      <c r="I762" s="468">
        <f>IFERROR(__xludf.DUMMYFUNCTION("""COMPUTED_VALUE"""),44609.0)</f>
        <v>44609</v>
      </c>
      <c r="J762" s="470">
        <f>IFERROR(__xludf.DUMMYFUNCTION("""COMPUTED_VALUE"""),0.4350347222222222)</f>
        <v>0.4350347222</v>
      </c>
      <c r="K762" s="16"/>
      <c r="L762" s="8"/>
      <c r="M762" s="69"/>
      <c r="N762" s="69">
        <f>IFERROR(__xludf.DUMMYFUNCTION("""COMPUTED_VALUE"""),4.0)</f>
        <v>4</v>
      </c>
      <c r="O762" s="69" t="str">
        <f t="shared" si="3"/>
        <v/>
      </c>
      <c r="P762" s="471">
        <f>IFERROR(__xludf.DUMMYFUNCTION("""COMPUTED_VALUE"""),0.0)</f>
        <v>0</v>
      </c>
      <c r="Q762" s="274" t="str">
        <f>VLOOKUP($B762,'Run Reconcile'!B$2:O2488,14,FALSE)</f>
        <v/>
      </c>
      <c r="R762" s="472" t="str">
        <f t="array" ref="R762">IF($Q762, INDEX('Run Reconcile'!A$2:A2488,MATCH(B762,'Run Reconcile'!B$2:B2488,0),1),IFERROR(0/0,""))</f>
        <v/>
      </c>
      <c r="S762" s="473" t="str">
        <f t="shared" si="694"/>
        <v/>
      </c>
      <c r="T762" s="473" t="str">
        <f t="shared" si="698"/>
        <v/>
      </c>
      <c r="U762" s="275" t="str">
        <f t="array" ref="U762">IF(ISBLANK($R762), INDEX('Run Reconcile'!A$2:A2488, MATCH($B762, 'Run Reconcile'!B$2:B2488, 0)+Z762, 1), IFERROR(0/0,""))
</f>
        <v>RUN-FLMP_2022-02-17_RFR-089</v>
      </c>
      <c r="V762" s="474" t="str">
        <f t="shared" si="5"/>
        <v>RUN-FLMP_2022-02-17_RFR-089</v>
      </c>
      <c r="Y762" s="89" t="str">
        <f t="shared" si="867"/>
        <v/>
      </c>
      <c r="Z762" s="60" t="str">
        <f t="shared" si="7"/>
        <v/>
      </c>
      <c r="AA762" s="60" t="str">
        <f t="shared" si="8"/>
        <v/>
      </c>
      <c r="AB762" s="60" t="str">
        <f t="shared" si="9"/>
        <v/>
      </c>
      <c r="AC762" s="30" t="str">
        <f t="shared" ref="AC762:AD762" si="1118">IF(_xlfn.ISFORMULA(S762),IFERROR(0/0,""),TRUE)</f>
        <v/>
      </c>
      <c r="AD762" s="30" t="str">
        <f t="shared" si="1118"/>
        <v/>
      </c>
      <c r="AE762" s="475" t="str">
        <f>IFERROR(__xludf.DUMMYFUNCTION("""COMPUTED_VALUE"""),"CRLN")</f>
        <v>CRLN</v>
      </c>
      <c r="AF762" s="476"/>
      <c r="AG762" s="474" t="s">
        <v>181</v>
      </c>
      <c r="AH762" s="138" t="str">
        <f t="shared" si="11"/>
        <v/>
      </c>
    </row>
    <row r="763">
      <c r="A763" s="103" t="str">
        <f>IFERROR(__xludf.DUMMYFUNCTION("""COMPUTED_VALUE"""),"FLB6799")</f>
        <v>FLB6799</v>
      </c>
      <c r="B763" s="468">
        <f>IFERROR(__xludf.DUMMYFUNCTION("""COMPUTED_VALUE"""),44609.0)</f>
        <v>44609</v>
      </c>
      <c r="C763" s="469">
        <f>IFERROR(__xludf.DUMMYFUNCTION("""COMPUTED_VALUE"""),0.31712962962962965)</f>
        <v>0.3171296296</v>
      </c>
      <c r="D763" s="103" t="str">
        <f>IFERROR(__xludf.DUMMYFUNCTION("""COMPUTED_VALUE"""),"SpFLMP965392")</f>
        <v>SpFLMP965392</v>
      </c>
      <c r="E763" s="103"/>
      <c r="F763" s="103"/>
      <c r="G763" s="103" t="str">
        <f>IFERROR(__xludf.DUMMYFUNCTION("""COMPUTED_VALUE"""),"Negative")</f>
        <v>Negative</v>
      </c>
      <c r="H763" s="131" t="str">
        <f>IFERROR(__xludf.DUMMYFUNCTION("""COMPUTED_VALUE"""),"Negative")</f>
        <v>Negative</v>
      </c>
      <c r="I763" s="468">
        <f>IFERROR(__xludf.DUMMYFUNCTION("""COMPUTED_VALUE"""),44609.0)</f>
        <v>44609</v>
      </c>
      <c r="J763" s="470">
        <f>IFERROR(__xludf.DUMMYFUNCTION("""COMPUTED_VALUE"""),0.4350347222222222)</f>
        <v>0.4350347222</v>
      </c>
      <c r="K763" s="16"/>
      <c r="L763" s="8"/>
      <c r="M763" s="69"/>
      <c r="N763" s="69">
        <f>IFERROR(__xludf.DUMMYFUNCTION("""COMPUTED_VALUE"""),4.0)</f>
        <v>4</v>
      </c>
      <c r="O763" s="69" t="str">
        <f t="shared" si="3"/>
        <v/>
      </c>
      <c r="P763" s="471">
        <f>IFERROR(__xludf.DUMMYFUNCTION("""COMPUTED_VALUE"""),0.0)</f>
        <v>0</v>
      </c>
      <c r="Q763" s="274" t="str">
        <f>VLOOKUP($B763,'Run Reconcile'!B$2:O2488,14,FALSE)</f>
        <v/>
      </c>
      <c r="R763" s="472" t="str">
        <f t="array" ref="R763">IF($Q763, INDEX('Run Reconcile'!A$2:A2488,MATCH(B763,'Run Reconcile'!B$2:B2488,0),1),IFERROR(0/0,""))</f>
        <v/>
      </c>
      <c r="S763" s="473" t="str">
        <f t="shared" si="694"/>
        <v/>
      </c>
      <c r="T763" s="473" t="str">
        <f t="shared" si="698"/>
        <v/>
      </c>
      <c r="U763" s="275" t="str">
        <f t="array" ref="U763">IF(ISBLANK($R763), INDEX('Run Reconcile'!A$2:A2488, MATCH($B763, 'Run Reconcile'!B$2:B2488, 0)+Z763, 1), IFERROR(0/0,""))
</f>
        <v>RUN-FLMP_2022-02-17_RFR-089</v>
      </c>
      <c r="V763" s="474" t="str">
        <f t="shared" si="5"/>
        <v>RUN-FLMP_2022-02-17_RFR-089</v>
      </c>
      <c r="Y763" s="89" t="str">
        <f t="shared" si="867"/>
        <v/>
      </c>
      <c r="Z763" s="60" t="str">
        <f t="shared" si="7"/>
        <v/>
      </c>
      <c r="AA763" s="60" t="str">
        <f t="shared" si="8"/>
        <v/>
      </c>
      <c r="AB763" s="60" t="str">
        <f t="shared" si="9"/>
        <v/>
      </c>
      <c r="AC763" s="30" t="str">
        <f t="shared" ref="AC763:AD763" si="1119">IF(_xlfn.ISFORMULA(S763),IFERROR(0/0,""),TRUE)</f>
        <v/>
      </c>
      <c r="AD763" s="30" t="str">
        <f t="shared" si="1119"/>
        <v/>
      </c>
      <c r="AE763" s="475" t="str">
        <f>IFERROR(__xludf.DUMMYFUNCTION("""COMPUTED_VALUE"""),"CRLN")</f>
        <v>CRLN</v>
      </c>
      <c r="AF763" s="476"/>
      <c r="AG763" s="474" t="s">
        <v>181</v>
      </c>
      <c r="AH763" s="138" t="str">
        <f t="shared" si="11"/>
        <v/>
      </c>
    </row>
    <row r="764">
      <c r="A764" s="103" t="str">
        <f>IFERROR(__xludf.DUMMYFUNCTION("""COMPUTED_VALUE"""),"FLT1402")</f>
        <v>FLT1402</v>
      </c>
      <c r="B764" s="468">
        <f>IFERROR(__xludf.DUMMYFUNCTION("""COMPUTED_VALUE"""),44609.0)</f>
        <v>44609</v>
      </c>
      <c r="C764" s="469">
        <f>IFERROR(__xludf.DUMMYFUNCTION("""COMPUTED_VALUE"""),0.3206712962962963)</f>
        <v>0.3206712963</v>
      </c>
      <c r="D764" s="103" t="str">
        <f>IFERROR(__xludf.DUMMYFUNCTION("""COMPUTED_VALUE"""),"SpFLMP544731")</f>
        <v>SpFLMP544731</v>
      </c>
      <c r="E764" s="103"/>
      <c r="F764" s="103"/>
      <c r="G764" s="103" t="str">
        <f>IFERROR(__xludf.DUMMYFUNCTION("""COMPUTED_VALUE"""),"Negative")</f>
        <v>Negative</v>
      </c>
      <c r="H764" s="131" t="str">
        <f>IFERROR(__xludf.DUMMYFUNCTION("""COMPUTED_VALUE"""),"Negative")</f>
        <v>Negative</v>
      </c>
      <c r="I764" s="468">
        <f>IFERROR(__xludf.DUMMYFUNCTION("""COMPUTED_VALUE"""),44609.0)</f>
        <v>44609</v>
      </c>
      <c r="J764" s="470">
        <f>IFERROR(__xludf.DUMMYFUNCTION("""COMPUTED_VALUE"""),0.4350347222222222)</f>
        <v>0.4350347222</v>
      </c>
      <c r="K764" s="16"/>
      <c r="L764" s="8"/>
      <c r="M764" s="69"/>
      <c r="N764" s="69">
        <f>IFERROR(__xludf.DUMMYFUNCTION("""COMPUTED_VALUE"""),1.0)</f>
        <v>1</v>
      </c>
      <c r="O764" s="69" t="str">
        <f t="shared" si="3"/>
        <v/>
      </c>
      <c r="P764" s="471">
        <f>IFERROR(__xludf.DUMMYFUNCTION("""COMPUTED_VALUE"""),0.0)</f>
        <v>0</v>
      </c>
      <c r="Q764" s="274" t="str">
        <f>VLOOKUP($B764,'Run Reconcile'!B$2:O2488,14,FALSE)</f>
        <v/>
      </c>
      <c r="R764" s="472" t="str">
        <f t="array" ref="R764">IF($Q764, INDEX('Run Reconcile'!A$2:A2488,MATCH(B764,'Run Reconcile'!B$2:B2488,0),1),IFERROR(0/0,""))</f>
        <v/>
      </c>
      <c r="S764" s="473" t="str">
        <f t="shared" si="694"/>
        <v/>
      </c>
      <c r="T764" s="473" t="str">
        <f t="shared" si="698"/>
        <v/>
      </c>
      <c r="U764" s="275" t="str">
        <f t="array" ref="U764">IF(ISBLANK($R764), INDEX('Run Reconcile'!A$2:A2488, MATCH($B764, 'Run Reconcile'!B$2:B2488, 0)+Z764, 1), IFERROR(0/0,""))
</f>
        <v>RUN-FLMP_2022-02-17_RFR-089</v>
      </c>
      <c r="V764" s="474" t="str">
        <f t="shared" si="5"/>
        <v>RUN-FLMP_2022-02-17_RFR-089</v>
      </c>
      <c r="Y764" s="89" t="str">
        <f t="shared" si="867"/>
        <v/>
      </c>
      <c r="Z764" s="60" t="str">
        <f t="shared" si="7"/>
        <v/>
      </c>
      <c r="AA764" s="60" t="str">
        <f t="shared" si="8"/>
        <v/>
      </c>
      <c r="AB764" s="60" t="str">
        <f t="shared" si="9"/>
        <v/>
      </c>
      <c r="AC764" s="30" t="str">
        <f t="shared" ref="AC764:AD764" si="1120">IF(_xlfn.ISFORMULA(S764),IFERROR(0/0,""),TRUE)</f>
        <v/>
      </c>
      <c r="AD764" s="30" t="str">
        <f t="shared" si="1120"/>
        <v/>
      </c>
      <c r="AE764" s="475" t="str">
        <f>IFERROR(__xludf.DUMMYFUNCTION("""COMPUTED_VALUE"""),"CRLN")</f>
        <v>CRLN</v>
      </c>
      <c r="AF764" s="476"/>
      <c r="AG764" s="474" t="s">
        <v>181</v>
      </c>
      <c r="AH764" s="138" t="str">
        <f t="shared" si="11"/>
        <v/>
      </c>
    </row>
    <row r="765">
      <c r="A765" s="103" t="str">
        <f>IFERROR(__xludf.DUMMYFUNCTION("""COMPUTED_VALUE"""),"FLB5395")</f>
        <v>FLB5395</v>
      </c>
      <c r="B765" s="468">
        <f>IFERROR(__xludf.DUMMYFUNCTION("""COMPUTED_VALUE"""),44609.0)</f>
        <v>44609</v>
      </c>
      <c r="C765" s="469">
        <f>IFERROR(__xludf.DUMMYFUNCTION("""COMPUTED_VALUE"""),0.323125)</f>
        <v>0.323125</v>
      </c>
      <c r="D765" s="103" t="str">
        <f>IFERROR(__xludf.DUMMYFUNCTION("""COMPUTED_VALUE"""),"SpFLMP399694")</f>
        <v>SpFLMP399694</v>
      </c>
      <c r="E765" s="103"/>
      <c r="F765" s="103"/>
      <c r="G765" s="103" t="str">
        <f>IFERROR(__xludf.DUMMYFUNCTION("""COMPUTED_VALUE"""),"Negative")</f>
        <v>Negative</v>
      </c>
      <c r="H765" s="131" t="str">
        <f>IFERROR(__xludf.DUMMYFUNCTION("""COMPUTED_VALUE"""),"Negative")</f>
        <v>Negative</v>
      </c>
      <c r="I765" s="468">
        <f>IFERROR(__xludf.DUMMYFUNCTION("""COMPUTED_VALUE"""),44609.0)</f>
        <v>44609</v>
      </c>
      <c r="J765" s="470">
        <f>IFERROR(__xludf.DUMMYFUNCTION("""COMPUTED_VALUE"""),0.4350347222222222)</f>
        <v>0.4350347222</v>
      </c>
      <c r="K765" s="16"/>
      <c r="L765" s="8"/>
      <c r="M765" s="69"/>
      <c r="N765" s="69">
        <f>IFERROR(__xludf.DUMMYFUNCTION("""COMPUTED_VALUE"""),3.0)</f>
        <v>3</v>
      </c>
      <c r="O765" s="69" t="str">
        <f t="shared" si="3"/>
        <v/>
      </c>
      <c r="P765" s="471">
        <f>IFERROR(__xludf.DUMMYFUNCTION("""COMPUTED_VALUE"""),0.0)</f>
        <v>0</v>
      </c>
      <c r="Q765" s="274" t="str">
        <f>VLOOKUP($B765,'Run Reconcile'!B$2:O2488,14,FALSE)</f>
        <v/>
      </c>
      <c r="R765" s="472" t="str">
        <f t="array" ref="R765">IF($Q765, INDEX('Run Reconcile'!A$2:A2488,MATCH(B765,'Run Reconcile'!B$2:B2488,0),1),IFERROR(0/0,""))</f>
        <v/>
      </c>
      <c r="S765" s="473" t="str">
        <f t="shared" si="694"/>
        <v/>
      </c>
      <c r="T765" s="473" t="str">
        <f t="shared" si="698"/>
        <v/>
      </c>
      <c r="U765" s="275" t="str">
        <f t="array" ref="U765">IF(ISBLANK($R765), INDEX('Run Reconcile'!A$2:A2488, MATCH($B765, 'Run Reconcile'!B$2:B2488, 0)+Z765, 1), IFERROR(0/0,""))
</f>
        <v>RUN-FLMP_2022-02-17_RFR-089</v>
      </c>
      <c r="V765" s="474" t="str">
        <f t="shared" si="5"/>
        <v>RUN-FLMP_2022-02-17_RFR-089</v>
      </c>
      <c r="Y765" s="89" t="str">
        <f t="shared" si="867"/>
        <v/>
      </c>
      <c r="Z765" s="60" t="str">
        <f t="shared" si="7"/>
        <v/>
      </c>
      <c r="AA765" s="60" t="str">
        <f t="shared" si="8"/>
        <v/>
      </c>
      <c r="AB765" s="60" t="str">
        <f t="shared" si="9"/>
        <v/>
      </c>
      <c r="AC765" s="30" t="str">
        <f t="shared" ref="AC765:AD765" si="1121">IF(_xlfn.ISFORMULA(S765),IFERROR(0/0,""),TRUE)</f>
        <v/>
      </c>
      <c r="AD765" s="30" t="str">
        <f t="shared" si="1121"/>
        <v/>
      </c>
      <c r="AE765" s="475" t="str">
        <f>IFERROR(__xludf.DUMMYFUNCTION("""COMPUTED_VALUE"""),"CRLN")</f>
        <v>CRLN</v>
      </c>
      <c r="AF765" s="476"/>
      <c r="AG765" s="474" t="s">
        <v>181</v>
      </c>
      <c r="AH765" s="138" t="str">
        <f t="shared" si="11"/>
        <v/>
      </c>
    </row>
    <row r="766">
      <c r="A766" s="103" t="str">
        <f>IFERROR(__xludf.DUMMYFUNCTION("""COMPUTED_VALUE"""),"FLB7132")</f>
        <v>FLB7132</v>
      </c>
      <c r="B766" s="468">
        <f>IFERROR(__xludf.DUMMYFUNCTION("""COMPUTED_VALUE"""),44609.0)</f>
        <v>44609</v>
      </c>
      <c r="C766" s="469">
        <f>IFERROR(__xludf.DUMMYFUNCTION("""COMPUTED_VALUE"""),0.3252199074074074)</f>
        <v>0.3252199074</v>
      </c>
      <c r="D766" s="103" t="str">
        <f>IFERROR(__xludf.DUMMYFUNCTION("""COMPUTED_VALUE"""),"SpFLMP170622")</f>
        <v>SpFLMP170622</v>
      </c>
      <c r="E766" s="103"/>
      <c r="F766" s="103"/>
      <c r="G766" s="103" t="str">
        <f>IFERROR(__xludf.DUMMYFUNCTION("""COMPUTED_VALUE"""),"Negative")</f>
        <v>Negative</v>
      </c>
      <c r="H766" s="131" t="str">
        <f>IFERROR(__xludf.DUMMYFUNCTION("""COMPUTED_VALUE"""),"Negative")</f>
        <v>Negative</v>
      </c>
      <c r="I766" s="468">
        <f>IFERROR(__xludf.DUMMYFUNCTION("""COMPUTED_VALUE"""),44609.0)</f>
        <v>44609</v>
      </c>
      <c r="J766" s="470">
        <f>IFERROR(__xludf.DUMMYFUNCTION("""COMPUTED_VALUE"""),0.4350347222222222)</f>
        <v>0.4350347222</v>
      </c>
      <c r="K766" s="16"/>
      <c r="L766" s="8"/>
      <c r="M766" s="69"/>
      <c r="N766" s="69">
        <f>IFERROR(__xludf.DUMMYFUNCTION("""COMPUTED_VALUE"""),4.0)</f>
        <v>4</v>
      </c>
      <c r="O766" s="69" t="str">
        <f t="shared" si="3"/>
        <v/>
      </c>
      <c r="P766" s="471">
        <f>IFERROR(__xludf.DUMMYFUNCTION("""COMPUTED_VALUE"""),0.0)</f>
        <v>0</v>
      </c>
      <c r="Q766" s="274" t="str">
        <f>VLOOKUP($B766,'Run Reconcile'!B$2:O2488,14,FALSE)</f>
        <v/>
      </c>
      <c r="R766" s="472" t="str">
        <f t="array" ref="R766">IF($Q766, INDEX('Run Reconcile'!A$2:A2488,MATCH(B766,'Run Reconcile'!B$2:B2488,0),1),IFERROR(0/0,""))</f>
        <v/>
      </c>
      <c r="S766" s="473" t="str">
        <f t="shared" si="694"/>
        <v/>
      </c>
      <c r="T766" s="473" t="str">
        <f t="shared" si="698"/>
        <v/>
      </c>
      <c r="U766" s="275" t="str">
        <f t="array" ref="U766">IF(ISBLANK($R766), INDEX('Run Reconcile'!A$2:A2488, MATCH($B766, 'Run Reconcile'!B$2:B2488, 0)+Z766, 1), IFERROR(0/0,""))
</f>
        <v>RUN-FLMP_2022-02-17_RFR-089</v>
      </c>
      <c r="V766" s="474" t="str">
        <f t="shared" si="5"/>
        <v>RUN-FLMP_2022-02-17_RFR-089</v>
      </c>
      <c r="Y766" s="89" t="str">
        <f t="shared" si="867"/>
        <v/>
      </c>
      <c r="Z766" s="60" t="str">
        <f t="shared" si="7"/>
        <v/>
      </c>
      <c r="AA766" s="60" t="str">
        <f t="shared" si="8"/>
        <v/>
      </c>
      <c r="AB766" s="60" t="str">
        <f t="shared" si="9"/>
        <v/>
      </c>
      <c r="AC766" s="30" t="str">
        <f t="shared" ref="AC766:AD766" si="1122">IF(_xlfn.ISFORMULA(S766),IFERROR(0/0,""),TRUE)</f>
        <v/>
      </c>
      <c r="AD766" s="30" t="str">
        <f t="shared" si="1122"/>
        <v/>
      </c>
      <c r="AE766" s="475" t="str">
        <f>IFERROR(__xludf.DUMMYFUNCTION("""COMPUTED_VALUE"""),"CRLN")</f>
        <v>CRLN</v>
      </c>
      <c r="AF766" s="476"/>
      <c r="AG766" s="474" t="s">
        <v>181</v>
      </c>
      <c r="AH766" s="138" t="str">
        <f t="shared" si="11"/>
        <v/>
      </c>
    </row>
    <row r="767">
      <c r="A767" s="103" t="str">
        <f>IFERROR(__xludf.DUMMYFUNCTION("""COMPUTED_VALUE"""),"FLB6766")</f>
        <v>FLB6766</v>
      </c>
      <c r="B767" s="468">
        <f>IFERROR(__xludf.DUMMYFUNCTION("""COMPUTED_VALUE"""),44609.0)</f>
        <v>44609</v>
      </c>
      <c r="C767" s="469">
        <f>IFERROR(__xludf.DUMMYFUNCTION("""COMPUTED_VALUE"""),0.33381944444444445)</f>
        <v>0.3338194444</v>
      </c>
      <c r="D767" s="103" t="str">
        <f>IFERROR(__xludf.DUMMYFUNCTION("""COMPUTED_VALUE"""),"SpFLMP939619")</f>
        <v>SpFLMP939619</v>
      </c>
      <c r="E767" s="103"/>
      <c r="F767" s="103"/>
      <c r="G767" s="103" t="str">
        <f>IFERROR(__xludf.DUMMYFUNCTION("""COMPUTED_VALUE"""),"Negative")</f>
        <v>Negative</v>
      </c>
      <c r="H767" s="131" t="str">
        <f>IFERROR(__xludf.DUMMYFUNCTION("""COMPUTED_VALUE"""),"Negative")</f>
        <v>Negative</v>
      </c>
      <c r="I767" s="468">
        <f>IFERROR(__xludf.DUMMYFUNCTION("""COMPUTED_VALUE"""),44609.0)</f>
        <v>44609</v>
      </c>
      <c r="J767" s="470">
        <f>IFERROR(__xludf.DUMMYFUNCTION("""COMPUTED_VALUE"""),0.4350347222222222)</f>
        <v>0.4350347222</v>
      </c>
      <c r="K767" s="16"/>
      <c r="L767" s="8"/>
      <c r="M767" s="69"/>
      <c r="N767" s="69">
        <f>IFERROR(__xludf.DUMMYFUNCTION("""COMPUTED_VALUE"""),1.0)</f>
        <v>1</v>
      </c>
      <c r="O767" s="69" t="str">
        <f t="shared" si="3"/>
        <v/>
      </c>
      <c r="P767" s="471">
        <f>IFERROR(__xludf.DUMMYFUNCTION("""COMPUTED_VALUE"""),0.0)</f>
        <v>0</v>
      </c>
      <c r="Q767" s="274" t="str">
        <f>VLOOKUP($B767,'Run Reconcile'!B$2:O2488,14,FALSE)</f>
        <v/>
      </c>
      <c r="R767" s="472" t="str">
        <f t="array" ref="R767">IF($Q767, INDEX('Run Reconcile'!A$2:A2488,MATCH(B767,'Run Reconcile'!B$2:B2488,0),1),IFERROR(0/0,""))</f>
        <v/>
      </c>
      <c r="S767" s="473" t="str">
        <f t="shared" si="694"/>
        <v/>
      </c>
      <c r="T767" s="473" t="str">
        <f t="shared" si="698"/>
        <v/>
      </c>
      <c r="U767" s="275" t="str">
        <f t="array" ref="U767">IF(ISBLANK($R767), INDEX('Run Reconcile'!A$2:A2488, MATCH($B767, 'Run Reconcile'!B$2:B2488, 0)+Z767, 1), IFERROR(0/0,""))
</f>
        <v>RUN-FLMP_2022-02-17_RFR-089</v>
      </c>
      <c r="V767" s="474" t="str">
        <f t="shared" si="5"/>
        <v>RUN-FLMP_2022-02-17_RFR-089</v>
      </c>
      <c r="Y767" s="89" t="str">
        <f t="shared" si="867"/>
        <v/>
      </c>
      <c r="Z767" s="60" t="str">
        <f t="shared" si="7"/>
        <v/>
      </c>
      <c r="AA767" s="60" t="str">
        <f t="shared" si="8"/>
        <v/>
      </c>
      <c r="AB767" s="60" t="str">
        <f t="shared" si="9"/>
        <v/>
      </c>
      <c r="AC767" s="30" t="str">
        <f t="shared" ref="AC767:AD767" si="1123">IF(_xlfn.ISFORMULA(S767),IFERROR(0/0,""),TRUE)</f>
        <v/>
      </c>
      <c r="AD767" s="30" t="str">
        <f t="shared" si="1123"/>
        <v/>
      </c>
      <c r="AE767" s="475" t="str">
        <f>IFERROR(__xludf.DUMMYFUNCTION("""COMPUTED_VALUE"""),"CRLN")</f>
        <v>CRLN</v>
      </c>
      <c r="AF767" s="476"/>
      <c r="AG767" s="474" t="s">
        <v>181</v>
      </c>
      <c r="AH767" s="138" t="str">
        <f t="shared" si="11"/>
        <v/>
      </c>
    </row>
    <row r="768">
      <c r="A768" s="103" t="str">
        <f>IFERROR(__xludf.DUMMYFUNCTION("""COMPUTED_VALUE"""),"FLB6750")</f>
        <v>FLB6750</v>
      </c>
      <c r="B768" s="468">
        <f>IFERROR(__xludf.DUMMYFUNCTION("""COMPUTED_VALUE"""),44609.0)</f>
        <v>44609</v>
      </c>
      <c r="C768" s="469">
        <f>IFERROR(__xludf.DUMMYFUNCTION("""COMPUTED_VALUE"""),0.34658564814814813)</f>
        <v>0.3465856481</v>
      </c>
      <c r="D768" s="103" t="str">
        <f>IFERROR(__xludf.DUMMYFUNCTION("""COMPUTED_VALUE"""),"SpFLMP904576")</f>
        <v>SpFLMP904576</v>
      </c>
      <c r="E768" s="103"/>
      <c r="F768" s="103"/>
      <c r="G768" s="103" t="str">
        <f>IFERROR(__xludf.DUMMYFUNCTION("""COMPUTED_VALUE"""),"Negative")</f>
        <v>Negative</v>
      </c>
      <c r="H768" s="131" t="str">
        <f>IFERROR(__xludf.DUMMYFUNCTION("""COMPUTED_VALUE"""),"Negative")</f>
        <v>Negative</v>
      </c>
      <c r="I768" s="468">
        <f>IFERROR(__xludf.DUMMYFUNCTION("""COMPUTED_VALUE"""),44609.0)</f>
        <v>44609</v>
      </c>
      <c r="J768" s="470">
        <f>IFERROR(__xludf.DUMMYFUNCTION("""COMPUTED_VALUE"""),0.4350347222222222)</f>
        <v>0.4350347222</v>
      </c>
      <c r="K768" s="16"/>
      <c r="L768" s="8"/>
      <c r="M768" s="69"/>
      <c r="N768" s="69">
        <f>IFERROR(__xludf.DUMMYFUNCTION("""COMPUTED_VALUE"""),3.0)</f>
        <v>3</v>
      </c>
      <c r="O768" s="69" t="str">
        <f t="shared" si="3"/>
        <v/>
      </c>
      <c r="P768" s="471">
        <f>IFERROR(__xludf.DUMMYFUNCTION("""COMPUTED_VALUE"""),0.0)</f>
        <v>0</v>
      </c>
      <c r="Q768" s="274" t="str">
        <f>VLOOKUP($B768,'Run Reconcile'!B$2:O2488,14,FALSE)</f>
        <v/>
      </c>
      <c r="R768" s="472" t="str">
        <f t="array" ref="R768">IF($Q768, INDEX('Run Reconcile'!A$2:A2488,MATCH(B768,'Run Reconcile'!B$2:B2488,0),1),IFERROR(0/0,""))</f>
        <v/>
      </c>
      <c r="S768" s="473" t="str">
        <f t="shared" si="694"/>
        <v/>
      </c>
      <c r="T768" s="473" t="str">
        <f t="shared" si="698"/>
        <v/>
      </c>
      <c r="U768" s="275" t="str">
        <f t="array" ref="U768">IF(ISBLANK($R768), INDEX('Run Reconcile'!A$2:A2488, MATCH($B768, 'Run Reconcile'!B$2:B2488, 0)+Z768, 1), IFERROR(0/0,""))
</f>
        <v>RUN-FLMP_2022-02-17_RFR-089</v>
      </c>
      <c r="V768" s="474" t="str">
        <f t="shared" si="5"/>
        <v>RUN-FLMP_2022-02-17_RFR-089</v>
      </c>
      <c r="Y768" s="89" t="str">
        <f t="shared" si="867"/>
        <v/>
      </c>
      <c r="Z768" s="60" t="str">
        <f t="shared" si="7"/>
        <v/>
      </c>
      <c r="AA768" s="60" t="str">
        <f t="shared" si="8"/>
        <v/>
      </c>
      <c r="AB768" s="60" t="str">
        <f t="shared" si="9"/>
        <v/>
      </c>
      <c r="AC768" s="30" t="str">
        <f t="shared" ref="AC768:AD768" si="1124">IF(_xlfn.ISFORMULA(S768),IFERROR(0/0,""),TRUE)</f>
        <v/>
      </c>
      <c r="AD768" s="30" t="str">
        <f t="shared" si="1124"/>
        <v/>
      </c>
      <c r="AE768" s="475" t="str">
        <f>IFERROR(__xludf.DUMMYFUNCTION("""COMPUTED_VALUE"""),"CRLN")</f>
        <v>CRLN</v>
      </c>
      <c r="AF768" s="476"/>
      <c r="AG768" s="474" t="s">
        <v>181</v>
      </c>
      <c r="AH768" s="138" t="str">
        <f t="shared" si="11"/>
        <v/>
      </c>
    </row>
    <row r="769">
      <c r="A769" s="103" t="str">
        <f>IFERROR(__xludf.DUMMYFUNCTION("""COMPUTED_VALUE"""),"FLT1479")</f>
        <v>FLT1479</v>
      </c>
      <c r="B769" s="468">
        <f>IFERROR(__xludf.DUMMYFUNCTION("""COMPUTED_VALUE"""),44609.0)</f>
        <v>44609</v>
      </c>
      <c r="C769" s="469">
        <f>IFERROR(__xludf.DUMMYFUNCTION("""COMPUTED_VALUE"""),0.354375)</f>
        <v>0.354375</v>
      </c>
      <c r="D769" s="103" t="str">
        <f>IFERROR(__xludf.DUMMYFUNCTION("""COMPUTED_VALUE"""),"SpFLMP668449")</f>
        <v>SpFLMP668449</v>
      </c>
      <c r="E769" s="103"/>
      <c r="F769" s="103"/>
      <c r="G769" s="103" t="str">
        <f>IFERROR(__xludf.DUMMYFUNCTION("""COMPUTED_VALUE"""),"Negative")</f>
        <v>Negative</v>
      </c>
      <c r="H769" s="131" t="str">
        <f>IFERROR(__xludf.DUMMYFUNCTION("""COMPUTED_VALUE"""),"Negative")</f>
        <v>Negative</v>
      </c>
      <c r="I769" s="468">
        <f>IFERROR(__xludf.DUMMYFUNCTION("""COMPUTED_VALUE"""),44609.0)</f>
        <v>44609</v>
      </c>
      <c r="J769" s="470">
        <f>IFERROR(__xludf.DUMMYFUNCTION("""COMPUTED_VALUE"""),0.4350347222222222)</f>
        <v>0.4350347222</v>
      </c>
      <c r="K769" s="16"/>
      <c r="L769" s="8"/>
      <c r="M769" s="69"/>
      <c r="N769" s="69">
        <f>IFERROR(__xludf.DUMMYFUNCTION("""COMPUTED_VALUE"""),3.0)</f>
        <v>3</v>
      </c>
      <c r="O769" s="69" t="str">
        <f t="shared" si="3"/>
        <v/>
      </c>
      <c r="P769" s="471">
        <f>IFERROR(__xludf.DUMMYFUNCTION("""COMPUTED_VALUE"""),0.0)</f>
        <v>0</v>
      </c>
      <c r="Q769" s="274" t="str">
        <f>VLOOKUP($B769,'Run Reconcile'!B$2:O2488,14,FALSE)</f>
        <v/>
      </c>
      <c r="R769" s="472" t="str">
        <f t="array" ref="R769">IF($Q769, INDEX('Run Reconcile'!A$2:A2488,MATCH(B769,'Run Reconcile'!B$2:B2488,0),1),IFERROR(0/0,""))</f>
        <v/>
      </c>
      <c r="S769" s="473" t="str">
        <f t="shared" si="694"/>
        <v/>
      </c>
      <c r="T769" s="473" t="str">
        <f t="shared" si="698"/>
        <v/>
      </c>
      <c r="U769" s="275" t="str">
        <f t="array" ref="U769">IF(ISBLANK($R769), INDEX('Run Reconcile'!A$2:A2488, MATCH($B769, 'Run Reconcile'!B$2:B2488, 0)+Z769, 1), IFERROR(0/0,""))
</f>
        <v>RUN-FLMP_2022-02-17_RFR-089</v>
      </c>
      <c r="V769" s="474" t="str">
        <f t="shared" si="5"/>
        <v>RUN-FLMP_2022-02-17_RFR-089</v>
      </c>
      <c r="Y769" s="89" t="str">
        <f t="shared" si="867"/>
        <v/>
      </c>
      <c r="Z769" s="60" t="str">
        <f t="shared" si="7"/>
        <v/>
      </c>
      <c r="AA769" s="60" t="str">
        <f t="shared" si="8"/>
        <v/>
      </c>
      <c r="AB769" s="60" t="str">
        <f t="shared" si="9"/>
        <v/>
      </c>
      <c r="AC769" s="30" t="str">
        <f t="shared" ref="AC769:AD769" si="1125">IF(_xlfn.ISFORMULA(S769),IFERROR(0/0,""),TRUE)</f>
        <v/>
      </c>
      <c r="AD769" s="30" t="str">
        <f t="shared" si="1125"/>
        <v/>
      </c>
      <c r="AE769" s="475" t="str">
        <f>IFERROR(__xludf.DUMMYFUNCTION("""COMPUTED_VALUE"""),"CRLN")</f>
        <v>CRLN</v>
      </c>
      <c r="AF769" s="476"/>
      <c r="AG769" s="474" t="s">
        <v>181</v>
      </c>
      <c r="AH769" s="138" t="str">
        <f t="shared" si="11"/>
        <v/>
      </c>
    </row>
    <row r="770">
      <c r="A770" s="103" t="str">
        <f>IFERROR(__xludf.DUMMYFUNCTION("""COMPUTED_VALUE"""),"FLE841")</f>
        <v>FLE841</v>
      </c>
      <c r="B770" s="468">
        <f>IFERROR(__xludf.DUMMYFUNCTION("""COMPUTED_VALUE"""),44609.0)</f>
        <v>44609</v>
      </c>
      <c r="C770" s="469">
        <f>IFERROR(__xludf.DUMMYFUNCTION("""COMPUTED_VALUE"""),0.3565740740740741)</f>
        <v>0.3565740741</v>
      </c>
      <c r="D770" s="103" t="str">
        <f>IFERROR(__xludf.DUMMYFUNCTION("""COMPUTED_VALUE"""),"SpFLMP314549")</f>
        <v>SpFLMP314549</v>
      </c>
      <c r="E770" s="103"/>
      <c r="F770" s="103"/>
      <c r="G770" s="103" t="str">
        <f>IFERROR(__xludf.DUMMYFUNCTION("""COMPUTED_VALUE"""),"Negative")</f>
        <v>Negative</v>
      </c>
      <c r="H770" s="131" t="str">
        <f>IFERROR(__xludf.DUMMYFUNCTION("""COMPUTED_VALUE"""),"Negative")</f>
        <v>Negative</v>
      </c>
      <c r="I770" s="468">
        <f>IFERROR(__xludf.DUMMYFUNCTION("""COMPUTED_VALUE"""),44609.0)</f>
        <v>44609</v>
      </c>
      <c r="J770" s="470">
        <f>IFERROR(__xludf.DUMMYFUNCTION("""COMPUTED_VALUE"""),0.4350347222222222)</f>
        <v>0.4350347222</v>
      </c>
      <c r="K770" s="16"/>
      <c r="L770" s="8"/>
      <c r="M770" s="69"/>
      <c r="N770" s="69">
        <f>IFERROR(__xludf.DUMMYFUNCTION("""COMPUTED_VALUE"""),1.0)</f>
        <v>1</v>
      </c>
      <c r="O770" s="69" t="str">
        <f t="shared" si="3"/>
        <v/>
      </c>
      <c r="P770" s="471">
        <f>IFERROR(__xludf.DUMMYFUNCTION("""COMPUTED_VALUE"""),0.0)</f>
        <v>0</v>
      </c>
      <c r="Q770" s="274" t="str">
        <f>VLOOKUP($B770,'Run Reconcile'!B$2:O2488,14,FALSE)</f>
        <v/>
      </c>
      <c r="R770" s="472" t="str">
        <f t="array" ref="R770">IF($Q770, INDEX('Run Reconcile'!A$2:A2488,MATCH(B770,'Run Reconcile'!B$2:B2488,0),1),IFERROR(0/0,""))</f>
        <v/>
      </c>
      <c r="S770" s="473" t="str">
        <f t="shared" si="694"/>
        <v/>
      </c>
      <c r="T770" s="473" t="str">
        <f t="shared" si="698"/>
        <v/>
      </c>
      <c r="U770" s="275" t="str">
        <f t="array" ref="U770">IF(ISBLANK($R770), INDEX('Run Reconcile'!A$2:A2488, MATCH($B770, 'Run Reconcile'!B$2:B2488, 0)+Z770, 1), IFERROR(0/0,""))
</f>
        <v>RUN-FLMP_2022-02-17_RFR-089</v>
      </c>
      <c r="V770" s="474" t="str">
        <f t="shared" si="5"/>
        <v>RUN-FLMP_2022-02-17_RFR-089</v>
      </c>
      <c r="Y770" s="89" t="str">
        <f t="shared" si="867"/>
        <v/>
      </c>
      <c r="Z770" s="60" t="str">
        <f t="shared" si="7"/>
        <v/>
      </c>
      <c r="AA770" s="60" t="str">
        <f t="shared" si="8"/>
        <v/>
      </c>
      <c r="AB770" s="60" t="str">
        <f t="shared" si="9"/>
        <v/>
      </c>
      <c r="AC770" s="30" t="str">
        <f t="shared" ref="AC770:AD770" si="1126">IF(_xlfn.ISFORMULA(S770),IFERROR(0/0,""),TRUE)</f>
        <v/>
      </c>
      <c r="AD770" s="30" t="str">
        <f t="shared" si="1126"/>
        <v/>
      </c>
      <c r="AE770" s="475" t="str">
        <f>IFERROR(__xludf.DUMMYFUNCTION("""COMPUTED_VALUE"""),"CRLN")</f>
        <v>CRLN</v>
      </c>
      <c r="AF770" s="476"/>
      <c r="AG770" s="474" t="s">
        <v>181</v>
      </c>
      <c r="AH770" s="138" t="str">
        <f t="shared" si="11"/>
        <v/>
      </c>
    </row>
    <row r="771">
      <c r="A771" s="103" t="str">
        <f>IFERROR(__xludf.DUMMYFUNCTION("""COMPUTED_VALUE"""),"FLB6755")</f>
        <v>FLB6755</v>
      </c>
      <c r="B771" s="468">
        <f>IFERROR(__xludf.DUMMYFUNCTION("""COMPUTED_VALUE"""),44609.0)</f>
        <v>44609</v>
      </c>
      <c r="C771" s="469">
        <f>IFERROR(__xludf.DUMMYFUNCTION("""COMPUTED_VALUE"""),0.3574421296296296)</f>
        <v>0.3574421296</v>
      </c>
      <c r="D771" s="103" t="str">
        <f>IFERROR(__xludf.DUMMYFUNCTION("""COMPUTED_VALUE"""),"SpFLMP604497")</f>
        <v>SpFLMP604497</v>
      </c>
      <c r="E771" s="103"/>
      <c r="F771" s="103"/>
      <c r="G771" s="103" t="str">
        <f>IFERROR(__xludf.DUMMYFUNCTION("""COMPUTED_VALUE"""),"Negative")</f>
        <v>Negative</v>
      </c>
      <c r="H771" s="131" t="str">
        <f>IFERROR(__xludf.DUMMYFUNCTION("""COMPUTED_VALUE"""),"Negative")</f>
        <v>Negative</v>
      </c>
      <c r="I771" s="468">
        <f>IFERROR(__xludf.DUMMYFUNCTION("""COMPUTED_VALUE"""),44609.0)</f>
        <v>44609</v>
      </c>
      <c r="J771" s="470">
        <f>IFERROR(__xludf.DUMMYFUNCTION("""COMPUTED_VALUE"""),0.4350462962962963)</f>
        <v>0.4350462963</v>
      </c>
      <c r="K771" s="16"/>
      <c r="L771" s="8"/>
      <c r="M771" s="69"/>
      <c r="N771" s="69">
        <f>IFERROR(__xludf.DUMMYFUNCTION("""COMPUTED_VALUE"""),4.0)</f>
        <v>4</v>
      </c>
      <c r="O771" s="69" t="str">
        <f t="shared" si="3"/>
        <v/>
      </c>
      <c r="P771" s="471">
        <f>IFERROR(__xludf.DUMMYFUNCTION("""COMPUTED_VALUE"""),0.0)</f>
        <v>0</v>
      </c>
      <c r="Q771" s="274" t="str">
        <f>VLOOKUP($B771,'Run Reconcile'!B$2:O2488,14,FALSE)</f>
        <v/>
      </c>
      <c r="R771" s="472" t="str">
        <f t="array" ref="R771">IF($Q771, INDEX('Run Reconcile'!A$2:A2488,MATCH(B771,'Run Reconcile'!B$2:B2488,0),1),IFERROR(0/0,""))</f>
        <v/>
      </c>
      <c r="S771" s="473" t="str">
        <f t="shared" si="694"/>
        <v/>
      </c>
      <c r="T771" s="473" t="str">
        <f t="shared" si="698"/>
        <v/>
      </c>
      <c r="U771" s="275" t="str">
        <f t="array" ref="U771">IF(ISBLANK($R771), INDEX('Run Reconcile'!A$2:A2488, MATCH($B771, 'Run Reconcile'!B$2:B2488, 0)+Z771, 1), IFERROR(0/0,""))
</f>
        <v>RUN-FLMP_2022-02-17_RFR-089</v>
      </c>
      <c r="V771" s="474" t="str">
        <f t="shared" si="5"/>
        <v>RUN-FLMP_2022-02-17_RFR-089</v>
      </c>
      <c r="Y771" s="89" t="str">
        <f t="shared" si="867"/>
        <v/>
      </c>
      <c r="Z771" s="60" t="str">
        <f t="shared" si="7"/>
        <v/>
      </c>
      <c r="AA771" s="60" t="str">
        <f t="shared" si="8"/>
        <v/>
      </c>
      <c r="AB771" s="60" t="str">
        <f t="shared" si="9"/>
        <v/>
      </c>
      <c r="AC771" s="30" t="str">
        <f t="shared" ref="AC771:AD771" si="1127">IF(_xlfn.ISFORMULA(S771),IFERROR(0/0,""),TRUE)</f>
        <v/>
      </c>
      <c r="AD771" s="30" t="str">
        <f t="shared" si="1127"/>
        <v/>
      </c>
      <c r="AE771" s="475" t="str">
        <f>IFERROR(__xludf.DUMMYFUNCTION("""COMPUTED_VALUE"""),"CRLN")</f>
        <v>CRLN</v>
      </c>
      <c r="AF771" s="476"/>
      <c r="AG771" s="474" t="s">
        <v>181</v>
      </c>
      <c r="AH771" s="138" t="str">
        <f t="shared" si="11"/>
        <v/>
      </c>
    </row>
    <row r="772">
      <c r="A772" s="103" t="str">
        <f>IFERROR(__xludf.DUMMYFUNCTION("""COMPUTED_VALUE"""),"FLB4893")</f>
        <v>FLB4893</v>
      </c>
      <c r="B772" s="468">
        <f>IFERROR(__xludf.DUMMYFUNCTION("""COMPUTED_VALUE"""),44609.0)</f>
        <v>44609</v>
      </c>
      <c r="C772" s="469">
        <f>IFERROR(__xludf.DUMMYFUNCTION("""COMPUTED_VALUE"""),0.3577430555555556)</f>
        <v>0.3577430556</v>
      </c>
      <c r="D772" s="103" t="str">
        <f>IFERROR(__xludf.DUMMYFUNCTION("""COMPUTED_VALUE"""),"SpFLMP309785")</f>
        <v>SpFLMP309785</v>
      </c>
      <c r="E772" s="103"/>
      <c r="F772" s="103"/>
      <c r="G772" s="103" t="str">
        <f>IFERROR(__xludf.DUMMYFUNCTION("""COMPUTED_VALUE"""),"Negative")</f>
        <v>Negative</v>
      </c>
      <c r="H772" s="131" t="str">
        <f>IFERROR(__xludf.DUMMYFUNCTION("""COMPUTED_VALUE"""),"Negative")</f>
        <v>Negative</v>
      </c>
      <c r="I772" s="468">
        <f>IFERROR(__xludf.DUMMYFUNCTION("""COMPUTED_VALUE"""),44609.0)</f>
        <v>44609</v>
      </c>
      <c r="J772" s="470">
        <f>IFERROR(__xludf.DUMMYFUNCTION("""COMPUTED_VALUE"""),0.4350462962962963)</f>
        <v>0.4350462963</v>
      </c>
      <c r="K772" s="16"/>
      <c r="L772" s="8"/>
      <c r="M772" s="69"/>
      <c r="N772" s="69">
        <f>IFERROR(__xludf.DUMMYFUNCTION("""COMPUTED_VALUE"""),1.0)</f>
        <v>1</v>
      </c>
      <c r="O772" s="69" t="str">
        <f t="shared" si="3"/>
        <v/>
      </c>
      <c r="P772" s="471">
        <f>IFERROR(__xludf.DUMMYFUNCTION("""COMPUTED_VALUE"""),0.0)</f>
        <v>0</v>
      </c>
      <c r="Q772" s="274" t="str">
        <f>VLOOKUP($B772,'Run Reconcile'!B$2:O2488,14,FALSE)</f>
        <v/>
      </c>
      <c r="R772" s="472" t="str">
        <f t="array" ref="R772">IF($Q772, INDEX('Run Reconcile'!A$2:A2488,MATCH(B772,'Run Reconcile'!B$2:B2488,0),1),IFERROR(0/0,""))</f>
        <v/>
      </c>
      <c r="S772" s="473" t="str">
        <f t="shared" si="694"/>
        <v/>
      </c>
      <c r="T772" s="473" t="str">
        <f t="shared" si="698"/>
        <v/>
      </c>
      <c r="U772" s="275" t="str">
        <f t="array" ref="U772">IF(ISBLANK($R772), INDEX('Run Reconcile'!A$2:A2488, MATCH($B772, 'Run Reconcile'!B$2:B2488, 0)+Z772, 1), IFERROR(0/0,""))
</f>
        <v>RUN-FLMP_2022-02-17_RFR-089</v>
      </c>
      <c r="V772" s="474" t="str">
        <f t="shared" si="5"/>
        <v>RUN-FLMP_2022-02-17_RFR-089</v>
      </c>
      <c r="Y772" s="89" t="str">
        <f t="shared" si="867"/>
        <v/>
      </c>
      <c r="Z772" s="60" t="str">
        <f t="shared" si="7"/>
        <v/>
      </c>
      <c r="AA772" s="60" t="str">
        <f t="shared" si="8"/>
        <v/>
      </c>
      <c r="AB772" s="60" t="str">
        <f t="shared" si="9"/>
        <v/>
      </c>
      <c r="AC772" s="30" t="str">
        <f t="shared" ref="AC772:AD772" si="1128">IF(_xlfn.ISFORMULA(S772),IFERROR(0/0,""),TRUE)</f>
        <v/>
      </c>
      <c r="AD772" s="30" t="str">
        <f t="shared" si="1128"/>
        <v/>
      </c>
      <c r="AE772" s="475" t="str">
        <f>IFERROR(__xludf.DUMMYFUNCTION("""COMPUTED_VALUE"""),"CRLN")</f>
        <v>CRLN</v>
      </c>
      <c r="AF772" s="476"/>
      <c r="AG772" s="474" t="s">
        <v>181</v>
      </c>
      <c r="AH772" s="138" t="str">
        <f t="shared" si="11"/>
        <v/>
      </c>
    </row>
    <row r="773">
      <c r="A773" s="103" t="str">
        <f>IFERROR(__xludf.DUMMYFUNCTION("""COMPUTED_VALUE"""),"FLB6798")</f>
        <v>FLB6798</v>
      </c>
      <c r="B773" s="468">
        <f>IFERROR(__xludf.DUMMYFUNCTION("""COMPUTED_VALUE"""),44609.0)</f>
        <v>44609</v>
      </c>
      <c r="C773" s="469">
        <f>IFERROR(__xludf.DUMMYFUNCTION("""COMPUTED_VALUE"""),0.35877314814814815)</f>
        <v>0.3587731481</v>
      </c>
      <c r="D773" s="103" t="str">
        <f>IFERROR(__xludf.DUMMYFUNCTION("""COMPUTED_VALUE"""),"SpFLMP402134")</f>
        <v>SpFLMP402134</v>
      </c>
      <c r="E773" s="103"/>
      <c r="F773" s="103"/>
      <c r="G773" s="103" t="str">
        <f>IFERROR(__xludf.DUMMYFUNCTION("""COMPUTED_VALUE"""),"Negative")</f>
        <v>Negative</v>
      </c>
      <c r="H773" s="131" t="str">
        <f>IFERROR(__xludf.DUMMYFUNCTION("""COMPUTED_VALUE"""),"Negative")</f>
        <v>Negative</v>
      </c>
      <c r="I773" s="468">
        <f>IFERROR(__xludf.DUMMYFUNCTION("""COMPUTED_VALUE"""),44609.0)</f>
        <v>44609</v>
      </c>
      <c r="J773" s="470">
        <f>IFERROR(__xludf.DUMMYFUNCTION("""COMPUTED_VALUE"""),0.4350462962962963)</f>
        <v>0.4350462963</v>
      </c>
      <c r="K773" s="16"/>
      <c r="L773" s="8"/>
      <c r="M773" s="69"/>
      <c r="N773" s="69">
        <f>IFERROR(__xludf.DUMMYFUNCTION("""COMPUTED_VALUE"""),1.0)</f>
        <v>1</v>
      </c>
      <c r="O773" s="69" t="str">
        <f t="shared" si="3"/>
        <v/>
      </c>
      <c r="P773" s="471">
        <f>IFERROR(__xludf.DUMMYFUNCTION("""COMPUTED_VALUE"""),0.0)</f>
        <v>0</v>
      </c>
      <c r="Q773" s="274" t="str">
        <f>VLOOKUP($B773,'Run Reconcile'!B$2:O2488,14,FALSE)</f>
        <v/>
      </c>
      <c r="R773" s="472" t="str">
        <f t="array" ref="R773">IF($Q773, INDEX('Run Reconcile'!A$2:A2488,MATCH(B773,'Run Reconcile'!B$2:B2488,0),1),IFERROR(0/0,""))</f>
        <v/>
      </c>
      <c r="S773" s="473" t="str">
        <f t="shared" si="694"/>
        <v/>
      </c>
      <c r="T773" s="473" t="str">
        <f t="shared" si="698"/>
        <v/>
      </c>
      <c r="U773" s="275" t="str">
        <f t="array" ref="U773">IF(ISBLANK($R773), INDEX('Run Reconcile'!A$2:A2488, MATCH($B773, 'Run Reconcile'!B$2:B2488, 0)+Z773, 1), IFERROR(0/0,""))
</f>
        <v>RUN-FLMP_2022-02-17_RFR-089</v>
      </c>
      <c r="V773" s="474" t="str">
        <f t="shared" si="5"/>
        <v>RUN-FLMP_2022-02-17_RFR-089</v>
      </c>
      <c r="Y773" s="89" t="str">
        <f t="shared" si="867"/>
        <v/>
      </c>
      <c r="Z773" s="60" t="str">
        <f t="shared" si="7"/>
        <v/>
      </c>
      <c r="AA773" s="60" t="str">
        <f t="shared" si="8"/>
        <v/>
      </c>
      <c r="AB773" s="60" t="str">
        <f t="shared" si="9"/>
        <v/>
      </c>
      <c r="AC773" s="30" t="str">
        <f t="shared" ref="AC773:AD773" si="1129">IF(_xlfn.ISFORMULA(S773),IFERROR(0/0,""),TRUE)</f>
        <v/>
      </c>
      <c r="AD773" s="30" t="str">
        <f t="shared" si="1129"/>
        <v/>
      </c>
      <c r="AE773" s="475" t="str">
        <f>IFERROR(__xludf.DUMMYFUNCTION("""COMPUTED_VALUE"""),"CRLN")</f>
        <v>CRLN</v>
      </c>
      <c r="AF773" s="476"/>
      <c r="AG773" s="474" t="s">
        <v>181</v>
      </c>
      <c r="AH773" s="138" t="str">
        <f t="shared" si="11"/>
        <v/>
      </c>
    </row>
    <row r="774">
      <c r="A774" s="103" t="str">
        <f>IFERROR(__xludf.DUMMYFUNCTION("""COMPUTED_VALUE"""),"FLE837")</f>
        <v>FLE837</v>
      </c>
      <c r="B774" s="468">
        <f>IFERROR(__xludf.DUMMYFUNCTION("""COMPUTED_VALUE"""),44609.0)</f>
        <v>44609</v>
      </c>
      <c r="C774" s="469">
        <f>IFERROR(__xludf.DUMMYFUNCTION("""COMPUTED_VALUE"""),0.35935185185185187)</f>
        <v>0.3593518519</v>
      </c>
      <c r="D774" s="103" t="str">
        <f>IFERROR(__xludf.DUMMYFUNCTION("""COMPUTED_VALUE"""),"SpFLMP596479")</f>
        <v>SpFLMP596479</v>
      </c>
      <c r="E774" s="103"/>
      <c r="F774" s="103"/>
      <c r="G774" s="103" t="str">
        <f>IFERROR(__xludf.DUMMYFUNCTION("""COMPUTED_VALUE"""),"Negative")</f>
        <v>Negative</v>
      </c>
      <c r="H774" s="131" t="str">
        <f>IFERROR(__xludf.DUMMYFUNCTION("""COMPUTED_VALUE"""),"Negative")</f>
        <v>Negative</v>
      </c>
      <c r="I774" s="468">
        <f>IFERROR(__xludf.DUMMYFUNCTION("""COMPUTED_VALUE"""),44609.0)</f>
        <v>44609</v>
      </c>
      <c r="J774" s="470">
        <f>IFERROR(__xludf.DUMMYFUNCTION("""COMPUTED_VALUE"""),0.4350462962962963)</f>
        <v>0.4350462963</v>
      </c>
      <c r="K774" s="16"/>
      <c r="L774" s="8"/>
      <c r="M774" s="69"/>
      <c r="N774" s="69">
        <f>IFERROR(__xludf.DUMMYFUNCTION("""COMPUTED_VALUE"""),3.0)</f>
        <v>3</v>
      </c>
      <c r="O774" s="69" t="str">
        <f t="shared" si="3"/>
        <v/>
      </c>
      <c r="P774" s="471">
        <f>IFERROR(__xludf.DUMMYFUNCTION("""COMPUTED_VALUE"""),0.0)</f>
        <v>0</v>
      </c>
      <c r="Q774" s="274" t="str">
        <f>VLOOKUP($B774,'Run Reconcile'!B$2:O2488,14,FALSE)</f>
        <v/>
      </c>
      <c r="R774" s="472" t="str">
        <f t="array" ref="R774">IF($Q774, INDEX('Run Reconcile'!A$2:A2488,MATCH(B774,'Run Reconcile'!B$2:B2488,0),1),IFERROR(0/0,""))</f>
        <v/>
      </c>
      <c r="S774" s="473" t="str">
        <f t="shared" si="694"/>
        <v/>
      </c>
      <c r="T774" s="473" t="str">
        <f t="shared" si="698"/>
        <v/>
      </c>
      <c r="U774" s="275" t="str">
        <f t="array" ref="U774">IF(ISBLANK($R774), INDEX('Run Reconcile'!A$2:A2488, MATCH($B774, 'Run Reconcile'!B$2:B2488, 0)+Z774, 1), IFERROR(0/0,""))
</f>
        <v>RUN-FLMP_2022-02-17_RFR-089</v>
      </c>
      <c r="V774" s="474" t="str">
        <f t="shared" si="5"/>
        <v>RUN-FLMP_2022-02-17_RFR-089</v>
      </c>
      <c r="Y774" s="89" t="str">
        <f t="shared" si="867"/>
        <v/>
      </c>
      <c r="Z774" s="60" t="str">
        <f t="shared" si="7"/>
        <v/>
      </c>
      <c r="AA774" s="60" t="str">
        <f t="shared" si="8"/>
        <v/>
      </c>
      <c r="AB774" s="60" t="str">
        <f t="shared" si="9"/>
        <v/>
      </c>
      <c r="AC774" s="30" t="str">
        <f t="shared" ref="AC774:AD774" si="1130">IF(_xlfn.ISFORMULA(S774),IFERROR(0/0,""),TRUE)</f>
        <v/>
      </c>
      <c r="AD774" s="30" t="str">
        <f t="shared" si="1130"/>
        <v/>
      </c>
      <c r="AE774" s="475" t="str">
        <f>IFERROR(__xludf.DUMMYFUNCTION("""COMPUTED_VALUE"""),"CRLN")</f>
        <v>CRLN</v>
      </c>
      <c r="AF774" s="476"/>
      <c r="AG774" s="474" t="s">
        <v>181</v>
      </c>
      <c r="AH774" s="138" t="str">
        <f t="shared" si="11"/>
        <v/>
      </c>
    </row>
    <row r="775">
      <c r="A775" s="103" t="str">
        <f>IFERROR(__xludf.DUMMYFUNCTION("""COMPUTED_VALUE"""),"FLB6803")</f>
        <v>FLB6803</v>
      </c>
      <c r="B775" s="468">
        <f>IFERROR(__xludf.DUMMYFUNCTION("""COMPUTED_VALUE"""),44609.0)</f>
        <v>44609</v>
      </c>
      <c r="C775" s="469">
        <f>IFERROR(__xludf.DUMMYFUNCTION("""COMPUTED_VALUE"""),0.3599189814814815)</f>
        <v>0.3599189815</v>
      </c>
      <c r="D775" s="103" t="str">
        <f>IFERROR(__xludf.DUMMYFUNCTION("""COMPUTED_VALUE"""),"SpFLMP600756")</f>
        <v>SpFLMP600756</v>
      </c>
      <c r="E775" s="103"/>
      <c r="F775" s="103"/>
      <c r="G775" s="103" t="str">
        <f>IFERROR(__xludf.DUMMYFUNCTION("""COMPUTED_VALUE"""),"Negative")</f>
        <v>Negative</v>
      </c>
      <c r="H775" s="131" t="str">
        <f>IFERROR(__xludf.DUMMYFUNCTION("""COMPUTED_VALUE"""),"Negative")</f>
        <v>Negative</v>
      </c>
      <c r="I775" s="468">
        <f>IFERROR(__xludf.DUMMYFUNCTION("""COMPUTED_VALUE"""),44609.0)</f>
        <v>44609</v>
      </c>
      <c r="J775" s="470">
        <f>IFERROR(__xludf.DUMMYFUNCTION("""COMPUTED_VALUE"""),0.4350462962962963)</f>
        <v>0.4350462963</v>
      </c>
      <c r="K775" s="16"/>
      <c r="L775" s="8"/>
      <c r="M775" s="69"/>
      <c r="N775" s="69">
        <f>IFERROR(__xludf.DUMMYFUNCTION("""COMPUTED_VALUE"""),1.0)</f>
        <v>1</v>
      </c>
      <c r="O775" s="69" t="str">
        <f t="shared" si="3"/>
        <v/>
      </c>
      <c r="P775" s="471">
        <f>IFERROR(__xludf.DUMMYFUNCTION("""COMPUTED_VALUE"""),0.0)</f>
        <v>0</v>
      </c>
      <c r="Q775" s="274" t="str">
        <f>VLOOKUP($B775,'Run Reconcile'!B$2:O2488,14,FALSE)</f>
        <v/>
      </c>
      <c r="R775" s="472" t="str">
        <f t="array" ref="R775">IF($Q775, INDEX('Run Reconcile'!A$2:A2488,MATCH(B775,'Run Reconcile'!B$2:B2488,0),1),IFERROR(0/0,""))</f>
        <v/>
      </c>
      <c r="S775" s="473" t="str">
        <f t="shared" si="694"/>
        <v/>
      </c>
      <c r="T775" s="473" t="str">
        <f t="shared" si="698"/>
        <v/>
      </c>
      <c r="U775" s="275" t="str">
        <f t="array" ref="U775">IF(ISBLANK($R775), INDEX('Run Reconcile'!A$2:A2488, MATCH($B775, 'Run Reconcile'!B$2:B2488, 0)+Z775, 1), IFERROR(0/0,""))
</f>
        <v>RUN-FLMP_2022-02-17_RFR-089</v>
      </c>
      <c r="V775" s="474" t="str">
        <f t="shared" si="5"/>
        <v>RUN-FLMP_2022-02-17_RFR-089</v>
      </c>
      <c r="Y775" s="89" t="str">
        <f t="shared" si="867"/>
        <v/>
      </c>
      <c r="Z775" s="60" t="str">
        <f t="shared" si="7"/>
        <v/>
      </c>
      <c r="AA775" s="60" t="str">
        <f t="shared" si="8"/>
        <v/>
      </c>
      <c r="AB775" s="60" t="str">
        <f t="shared" si="9"/>
        <v/>
      </c>
      <c r="AC775" s="30" t="str">
        <f t="shared" ref="AC775:AD775" si="1131">IF(_xlfn.ISFORMULA(S775),IFERROR(0/0,""),TRUE)</f>
        <v/>
      </c>
      <c r="AD775" s="30" t="str">
        <f t="shared" si="1131"/>
        <v/>
      </c>
      <c r="AE775" s="475" t="str">
        <f>IFERROR(__xludf.DUMMYFUNCTION("""COMPUTED_VALUE"""),"CRLN")</f>
        <v>CRLN</v>
      </c>
      <c r="AF775" s="476"/>
      <c r="AG775" s="474" t="s">
        <v>181</v>
      </c>
      <c r="AH775" s="138" t="str">
        <f t="shared" si="11"/>
        <v/>
      </c>
    </row>
    <row r="776">
      <c r="A776" s="103" t="str">
        <f>IFERROR(__xludf.DUMMYFUNCTION("""COMPUTED_VALUE"""),"FLB5723")</f>
        <v>FLB5723</v>
      </c>
      <c r="B776" s="468">
        <f>IFERROR(__xludf.DUMMYFUNCTION("""COMPUTED_VALUE"""),44609.0)</f>
        <v>44609</v>
      </c>
      <c r="C776" s="469">
        <f>IFERROR(__xludf.DUMMYFUNCTION("""COMPUTED_VALUE"""),0.36135416666666664)</f>
        <v>0.3613541667</v>
      </c>
      <c r="D776" s="103" t="str">
        <f>IFERROR(__xludf.DUMMYFUNCTION("""COMPUTED_VALUE"""),"SpFLMP470379")</f>
        <v>SpFLMP470379</v>
      </c>
      <c r="E776" s="103"/>
      <c r="F776" s="103"/>
      <c r="G776" s="103" t="str">
        <f>IFERROR(__xludf.DUMMYFUNCTION("""COMPUTED_VALUE"""),"Negative")</f>
        <v>Negative</v>
      </c>
      <c r="H776" s="131" t="str">
        <f>IFERROR(__xludf.DUMMYFUNCTION("""COMPUTED_VALUE"""),"Negative")</f>
        <v>Negative</v>
      </c>
      <c r="I776" s="468">
        <f>IFERROR(__xludf.DUMMYFUNCTION("""COMPUTED_VALUE"""),44609.0)</f>
        <v>44609</v>
      </c>
      <c r="J776" s="470">
        <f>IFERROR(__xludf.DUMMYFUNCTION("""COMPUTED_VALUE"""),0.4350462962962963)</f>
        <v>0.4350462963</v>
      </c>
      <c r="K776" s="16"/>
      <c r="L776" s="8"/>
      <c r="M776" s="69"/>
      <c r="N776" s="69">
        <f>IFERROR(__xludf.DUMMYFUNCTION("""COMPUTED_VALUE"""),1.0)</f>
        <v>1</v>
      </c>
      <c r="O776" s="69" t="str">
        <f t="shared" si="3"/>
        <v/>
      </c>
      <c r="P776" s="471">
        <f>IFERROR(__xludf.DUMMYFUNCTION("""COMPUTED_VALUE"""),0.0)</f>
        <v>0</v>
      </c>
      <c r="Q776" s="274" t="str">
        <f>VLOOKUP($B776,'Run Reconcile'!B$2:O2488,14,FALSE)</f>
        <v/>
      </c>
      <c r="R776" s="472" t="str">
        <f t="array" ref="R776">IF($Q776, INDEX('Run Reconcile'!A$2:A2488,MATCH(B776,'Run Reconcile'!B$2:B2488,0),1),IFERROR(0/0,""))</f>
        <v/>
      </c>
      <c r="S776" s="473" t="str">
        <f t="shared" si="694"/>
        <v/>
      </c>
      <c r="T776" s="473" t="str">
        <f t="shared" si="698"/>
        <v/>
      </c>
      <c r="U776" s="275" t="str">
        <f t="array" ref="U776">IF(ISBLANK($R776), INDEX('Run Reconcile'!A$2:A2488, MATCH($B776, 'Run Reconcile'!B$2:B2488, 0)+Z776, 1), IFERROR(0/0,""))
</f>
        <v>RUN-FLMP_2022-02-17_RFR-089</v>
      </c>
      <c r="V776" s="474" t="str">
        <f t="shared" si="5"/>
        <v>RUN-FLMP_2022-02-17_RFR-089</v>
      </c>
      <c r="Y776" s="89" t="str">
        <f t="shared" si="867"/>
        <v/>
      </c>
      <c r="Z776" s="60" t="str">
        <f t="shared" si="7"/>
        <v/>
      </c>
      <c r="AA776" s="60" t="str">
        <f t="shared" si="8"/>
        <v/>
      </c>
      <c r="AB776" s="60" t="str">
        <f t="shared" si="9"/>
        <v/>
      </c>
      <c r="AC776" s="30" t="str">
        <f t="shared" ref="AC776:AD776" si="1132">IF(_xlfn.ISFORMULA(S776),IFERROR(0/0,""),TRUE)</f>
        <v/>
      </c>
      <c r="AD776" s="30" t="str">
        <f t="shared" si="1132"/>
        <v/>
      </c>
      <c r="AE776" s="475" t="str">
        <f>IFERROR(__xludf.DUMMYFUNCTION("""COMPUTED_VALUE"""),"CRLN")</f>
        <v>CRLN</v>
      </c>
      <c r="AF776" s="476"/>
      <c r="AG776" s="474" t="s">
        <v>181</v>
      </c>
      <c r="AH776" s="138" t="str">
        <f t="shared" si="11"/>
        <v/>
      </c>
    </row>
    <row r="777">
      <c r="A777" s="103" t="str">
        <f>IFERROR(__xludf.DUMMYFUNCTION("""COMPUTED_VALUE"""),"FLB5784")</f>
        <v>FLB5784</v>
      </c>
      <c r="B777" s="468">
        <f>IFERROR(__xludf.DUMMYFUNCTION("""COMPUTED_VALUE"""),44609.0)</f>
        <v>44609</v>
      </c>
      <c r="C777" s="469">
        <f>IFERROR(__xludf.DUMMYFUNCTION("""COMPUTED_VALUE"""),0.3624537037037037)</f>
        <v>0.3624537037</v>
      </c>
      <c r="D777" s="103" t="str">
        <f>IFERROR(__xludf.DUMMYFUNCTION("""COMPUTED_VALUE"""),"SpFLMP271329")</f>
        <v>SpFLMP271329</v>
      </c>
      <c r="E777" s="103"/>
      <c r="F777" s="103"/>
      <c r="G777" s="103" t="str">
        <f>IFERROR(__xludf.DUMMYFUNCTION("""COMPUTED_VALUE"""),"Negative")</f>
        <v>Negative</v>
      </c>
      <c r="H777" s="131" t="str">
        <f>IFERROR(__xludf.DUMMYFUNCTION("""COMPUTED_VALUE"""),"Negative")</f>
        <v>Negative</v>
      </c>
      <c r="I777" s="468">
        <f>IFERROR(__xludf.DUMMYFUNCTION("""COMPUTED_VALUE"""),44609.0)</f>
        <v>44609</v>
      </c>
      <c r="J777" s="470">
        <f>IFERROR(__xludf.DUMMYFUNCTION("""COMPUTED_VALUE"""),0.4350462962962963)</f>
        <v>0.4350462963</v>
      </c>
      <c r="K777" s="16"/>
      <c r="L777" s="8"/>
      <c r="M777" s="69"/>
      <c r="N777" s="69">
        <f>IFERROR(__xludf.DUMMYFUNCTION("""COMPUTED_VALUE"""),1.0)</f>
        <v>1</v>
      </c>
      <c r="O777" s="69" t="str">
        <f t="shared" si="3"/>
        <v/>
      </c>
      <c r="P777" s="471">
        <f>IFERROR(__xludf.DUMMYFUNCTION("""COMPUTED_VALUE"""),0.0)</f>
        <v>0</v>
      </c>
      <c r="Q777" s="274" t="str">
        <f>VLOOKUP($B777,'Run Reconcile'!B$2:O2488,14,FALSE)</f>
        <v/>
      </c>
      <c r="R777" s="472" t="str">
        <f t="array" ref="R777">IF($Q777, INDEX('Run Reconcile'!A$2:A2488,MATCH(B777,'Run Reconcile'!B$2:B2488,0),1),IFERROR(0/0,""))</f>
        <v/>
      </c>
      <c r="S777" s="473" t="str">
        <f t="shared" si="694"/>
        <v/>
      </c>
      <c r="T777" s="473" t="str">
        <f t="shared" si="698"/>
        <v/>
      </c>
      <c r="U777" s="275" t="str">
        <f t="array" ref="U777">IF(ISBLANK($R777), INDEX('Run Reconcile'!A$2:A2488, MATCH($B777, 'Run Reconcile'!B$2:B2488, 0)+Z777, 1), IFERROR(0/0,""))
</f>
        <v>RUN-FLMP_2022-02-17_RFR-089</v>
      </c>
      <c r="V777" s="474" t="str">
        <f t="shared" si="5"/>
        <v>RUN-FLMP_2022-02-17_RFR-089</v>
      </c>
      <c r="Y777" s="89" t="str">
        <f t="shared" si="867"/>
        <v/>
      </c>
      <c r="Z777" s="60" t="str">
        <f t="shared" si="7"/>
        <v/>
      </c>
      <c r="AA777" s="60" t="str">
        <f t="shared" si="8"/>
        <v/>
      </c>
      <c r="AB777" s="60" t="str">
        <f t="shared" si="9"/>
        <v/>
      </c>
      <c r="AC777" s="30" t="str">
        <f t="shared" ref="AC777:AD777" si="1133">IF(_xlfn.ISFORMULA(S777),IFERROR(0/0,""),TRUE)</f>
        <v/>
      </c>
      <c r="AD777" s="30" t="str">
        <f t="shared" si="1133"/>
        <v/>
      </c>
      <c r="AE777" s="475" t="str">
        <f>IFERROR(__xludf.DUMMYFUNCTION("""COMPUTED_VALUE"""),"CRLN")</f>
        <v>CRLN</v>
      </c>
      <c r="AF777" s="476"/>
      <c r="AG777" s="474" t="s">
        <v>181</v>
      </c>
      <c r="AH777" s="138" t="str">
        <f t="shared" si="11"/>
        <v/>
      </c>
    </row>
    <row r="778">
      <c r="A778" s="103" t="str">
        <f>IFERROR(__xludf.DUMMYFUNCTION("""COMPUTED_VALUE"""),"FLB4943")</f>
        <v>FLB4943</v>
      </c>
      <c r="B778" s="468">
        <f>IFERROR(__xludf.DUMMYFUNCTION("""COMPUTED_VALUE"""),44609.0)</f>
        <v>44609</v>
      </c>
      <c r="C778" s="469">
        <f>IFERROR(__xludf.DUMMYFUNCTION("""COMPUTED_VALUE"""),0.36572916666666666)</f>
        <v>0.3657291667</v>
      </c>
      <c r="D778" s="103" t="str">
        <f>IFERROR(__xludf.DUMMYFUNCTION("""COMPUTED_VALUE"""),"SpFLMP946259")</f>
        <v>SpFLMP946259</v>
      </c>
      <c r="E778" s="103"/>
      <c r="F778" s="103"/>
      <c r="G778" s="103" t="str">
        <f>IFERROR(__xludf.DUMMYFUNCTION("""COMPUTED_VALUE"""),"Negative")</f>
        <v>Negative</v>
      </c>
      <c r="H778" s="131" t="str">
        <f>IFERROR(__xludf.DUMMYFUNCTION("""COMPUTED_VALUE"""),"Negative")</f>
        <v>Negative</v>
      </c>
      <c r="I778" s="468">
        <f>IFERROR(__xludf.DUMMYFUNCTION("""COMPUTED_VALUE"""),44609.0)</f>
        <v>44609</v>
      </c>
      <c r="J778" s="470">
        <f>IFERROR(__xludf.DUMMYFUNCTION("""COMPUTED_VALUE"""),0.4350462962962963)</f>
        <v>0.4350462963</v>
      </c>
      <c r="K778" s="16"/>
      <c r="L778" s="8"/>
      <c r="M778" s="69"/>
      <c r="N778" s="69">
        <f>IFERROR(__xludf.DUMMYFUNCTION("""COMPUTED_VALUE"""),2.0)</f>
        <v>2</v>
      </c>
      <c r="O778" s="69" t="str">
        <f t="shared" si="3"/>
        <v/>
      </c>
      <c r="P778" s="471">
        <f>IFERROR(__xludf.DUMMYFUNCTION("""COMPUTED_VALUE"""),0.0)</f>
        <v>0</v>
      </c>
      <c r="Q778" s="274" t="str">
        <f>VLOOKUP($B778,'Run Reconcile'!B$2:O2488,14,FALSE)</f>
        <v/>
      </c>
      <c r="R778" s="472" t="str">
        <f t="array" ref="R778">IF($Q778, INDEX('Run Reconcile'!A$2:A2488,MATCH(B778,'Run Reconcile'!B$2:B2488,0),1),IFERROR(0/0,""))</f>
        <v/>
      </c>
      <c r="S778" s="473" t="str">
        <f t="shared" si="694"/>
        <v/>
      </c>
      <c r="T778" s="473" t="str">
        <f t="shared" si="698"/>
        <v/>
      </c>
      <c r="U778" s="275" t="str">
        <f t="array" ref="U778">IF(ISBLANK($R778), INDEX('Run Reconcile'!A$2:A2488, MATCH($B778, 'Run Reconcile'!B$2:B2488, 0)+Z778, 1), IFERROR(0/0,""))
</f>
        <v>RUN-FLMP_2022-02-17_RFR-089</v>
      </c>
      <c r="V778" s="474" t="str">
        <f t="shared" si="5"/>
        <v>RUN-FLMP_2022-02-17_RFR-089</v>
      </c>
      <c r="Y778" s="89" t="str">
        <f t="shared" si="867"/>
        <v/>
      </c>
      <c r="Z778" s="60" t="str">
        <f t="shared" si="7"/>
        <v/>
      </c>
      <c r="AA778" s="60" t="str">
        <f t="shared" si="8"/>
        <v/>
      </c>
      <c r="AB778" s="60" t="str">
        <f t="shared" si="9"/>
        <v/>
      </c>
      <c r="AC778" s="30" t="str">
        <f t="shared" ref="AC778:AD778" si="1134">IF(_xlfn.ISFORMULA(S778),IFERROR(0/0,""),TRUE)</f>
        <v/>
      </c>
      <c r="AD778" s="30" t="str">
        <f t="shared" si="1134"/>
        <v/>
      </c>
      <c r="AE778" s="475" t="str">
        <f>IFERROR(__xludf.DUMMYFUNCTION("""COMPUTED_VALUE"""),"CRLN")</f>
        <v>CRLN</v>
      </c>
      <c r="AF778" s="476"/>
      <c r="AG778" s="474" t="s">
        <v>181</v>
      </c>
      <c r="AH778" s="138" t="str">
        <f t="shared" si="11"/>
        <v/>
      </c>
    </row>
    <row r="779">
      <c r="A779" s="103" t="str">
        <f>IFERROR(__xludf.DUMMYFUNCTION("""COMPUTED_VALUE"""),"FLB4789")</f>
        <v>FLB4789</v>
      </c>
      <c r="B779" s="468">
        <f>IFERROR(__xludf.DUMMYFUNCTION("""COMPUTED_VALUE"""),44609.0)</f>
        <v>44609</v>
      </c>
      <c r="C779" s="469">
        <f>IFERROR(__xludf.DUMMYFUNCTION("""COMPUTED_VALUE"""),0.3659837962962963)</f>
        <v>0.3659837963</v>
      </c>
      <c r="D779" s="103" t="str">
        <f>IFERROR(__xludf.DUMMYFUNCTION("""COMPUTED_VALUE"""),"SpFLMP496039")</f>
        <v>SpFLMP496039</v>
      </c>
      <c r="E779" s="103"/>
      <c r="F779" s="103"/>
      <c r="G779" s="103" t="str">
        <f>IFERROR(__xludf.DUMMYFUNCTION("""COMPUTED_VALUE"""),"Negative")</f>
        <v>Negative</v>
      </c>
      <c r="H779" s="131" t="str">
        <f>IFERROR(__xludf.DUMMYFUNCTION("""COMPUTED_VALUE"""),"Negative")</f>
        <v>Negative</v>
      </c>
      <c r="I779" s="468">
        <f>IFERROR(__xludf.DUMMYFUNCTION("""COMPUTED_VALUE"""),44609.0)</f>
        <v>44609</v>
      </c>
      <c r="J779" s="470">
        <f>IFERROR(__xludf.DUMMYFUNCTION("""COMPUTED_VALUE"""),0.4350462962962963)</f>
        <v>0.4350462963</v>
      </c>
      <c r="K779" s="16"/>
      <c r="L779" s="8"/>
      <c r="M779" s="69"/>
      <c r="N779" s="69">
        <f>IFERROR(__xludf.DUMMYFUNCTION("""COMPUTED_VALUE"""),1.0)</f>
        <v>1</v>
      </c>
      <c r="O779" s="69" t="str">
        <f t="shared" si="3"/>
        <v/>
      </c>
      <c r="P779" s="471">
        <f>IFERROR(__xludf.DUMMYFUNCTION("""COMPUTED_VALUE"""),0.0)</f>
        <v>0</v>
      </c>
      <c r="Q779" s="274" t="str">
        <f>VLOOKUP($B779,'Run Reconcile'!B$2:O2488,14,FALSE)</f>
        <v/>
      </c>
      <c r="R779" s="472" t="str">
        <f t="array" ref="R779">IF($Q779, INDEX('Run Reconcile'!A$2:A2488,MATCH(B779,'Run Reconcile'!B$2:B2488,0),1),IFERROR(0/0,""))</f>
        <v/>
      </c>
      <c r="S779" s="473" t="str">
        <f t="shared" si="694"/>
        <v/>
      </c>
      <c r="T779" s="473" t="str">
        <f t="shared" si="698"/>
        <v/>
      </c>
      <c r="U779" s="275" t="str">
        <f t="array" ref="U779">IF(ISBLANK($R779), INDEX('Run Reconcile'!A$2:A2488, MATCH($B779, 'Run Reconcile'!B$2:B2488, 0)+Z779, 1), IFERROR(0/0,""))
</f>
        <v>RUN-FLMP_2022-02-17_RFR-089</v>
      </c>
      <c r="V779" s="474" t="str">
        <f t="shared" si="5"/>
        <v>RUN-FLMP_2022-02-17_RFR-089</v>
      </c>
      <c r="Y779" s="89" t="str">
        <f t="shared" si="867"/>
        <v/>
      </c>
      <c r="Z779" s="60" t="str">
        <f t="shared" si="7"/>
        <v/>
      </c>
      <c r="AA779" s="60" t="str">
        <f t="shared" si="8"/>
        <v/>
      </c>
      <c r="AB779" s="60" t="str">
        <f t="shared" si="9"/>
        <v/>
      </c>
      <c r="AC779" s="30" t="str">
        <f t="shared" ref="AC779:AD779" si="1135">IF(_xlfn.ISFORMULA(S779),IFERROR(0/0,""),TRUE)</f>
        <v/>
      </c>
      <c r="AD779" s="30" t="str">
        <f t="shared" si="1135"/>
        <v/>
      </c>
      <c r="AE779" s="475" t="str">
        <f>IFERROR(__xludf.DUMMYFUNCTION("""COMPUTED_VALUE"""),"CRLN")</f>
        <v>CRLN</v>
      </c>
      <c r="AF779" s="476"/>
      <c r="AG779" s="474" t="s">
        <v>181</v>
      </c>
      <c r="AH779" s="138" t="str">
        <f t="shared" si="11"/>
        <v/>
      </c>
    </row>
    <row r="780">
      <c r="A780" s="103" t="str">
        <f>IFERROR(__xludf.DUMMYFUNCTION("""COMPUTED_VALUE"""),"FLB4899")</f>
        <v>FLB4899</v>
      </c>
      <c r="B780" s="468">
        <f>IFERROR(__xludf.DUMMYFUNCTION("""COMPUTED_VALUE"""),44609.0)</f>
        <v>44609</v>
      </c>
      <c r="C780" s="469">
        <f>IFERROR(__xludf.DUMMYFUNCTION("""COMPUTED_VALUE"""),0.3661111111111111)</f>
        <v>0.3661111111</v>
      </c>
      <c r="D780" s="103" t="str">
        <f>IFERROR(__xludf.DUMMYFUNCTION("""COMPUTED_VALUE"""),"SpFLMP268514")</f>
        <v>SpFLMP268514</v>
      </c>
      <c r="E780" s="103"/>
      <c r="F780" s="103"/>
      <c r="G780" s="103" t="str">
        <f>IFERROR(__xludf.DUMMYFUNCTION("""COMPUTED_VALUE"""),"Negative")</f>
        <v>Negative</v>
      </c>
      <c r="H780" s="131" t="str">
        <f>IFERROR(__xludf.DUMMYFUNCTION("""COMPUTED_VALUE"""),"Negative")</f>
        <v>Negative</v>
      </c>
      <c r="I780" s="468">
        <f>IFERROR(__xludf.DUMMYFUNCTION("""COMPUTED_VALUE"""),44609.0)</f>
        <v>44609</v>
      </c>
      <c r="J780" s="470">
        <f>IFERROR(__xludf.DUMMYFUNCTION("""COMPUTED_VALUE"""),0.4350462962962963)</f>
        <v>0.4350462963</v>
      </c>
      <c r="K780" s="16"/>
      <c r="L780" s="8"/>
      <c r="M780" s="69"/>
      <c r="N780" s="69">
        <f>IFERROR(__xludf.DUMMYFUNCTION("""COMPUTED_VALUE"""),2.0)</f>
        <v>2</v>
      </c>
      <c r="O780" s="69" t="str">
        <f t="shared" si="3"/>
        <v/>
      </c>
      <c r="P780" s="471">
        <f>IFERROR(__xludf.DUMMYFUNCTION("""COMPUTED_VALUE"""),0.0)</f>
        <v>0</v>
      </c>
      <c r="Q780" s="274" t="str">
        <f>VLOOKUP($B780,'Run Reconcile'!B$2:O2488,14,FALSE)</f>
        <v/>
      </c>
      <c r="R780" s="472" t="str">
        <f t="array" ref="R780">IF($Q780, INDEX('Run Reconcile'!A$2:A2488,MATCH(B780,'Run Reconcile'!B$2:B2488,0),1),IFERROR(0/0,""))</f>
        <v/>
      </c>
      <c r="S780" s="473" t="str">
        <f t="shared" si="694"/>
        <v/>
      </c>
      <c r="T780" s="473" t="str">
        <f t="shared" si="698"/>
        <v/>
      </c>
      <c r="U780" s="275" t="str">
        <f t="array" ref="U780">IF(ISBLANK($R780), INDEX('Run Reconcile'!A$2:A2488, MATCH($B780, 'Run Reconcile'!B$2:B2488, 0)+Z780, 1), IFERROR(0/0,""))
</f>
        <v>RUN-FLMP_2022-02-17_RFR-089</v>
      </c>
      <c r="V780" s="474" t="str">
        <f t="shared" si="5"/>
        <v>RUN-FLMP_2022-02-17_RFR-089</v>
      </c>
      <c r="Y780" s="89" t="str">
        <f t="shared" si="867"/>
        <v/>
      </c>
      <c r="Z780" s="60" t="str">
        <f t="shared" si="7"/>
        <v/>
      </c>
      <c r="AA780" s="60" t="str">
        <f t="shared" si="8"/>
        <v/>
      </c>
      <c r="AB780" s="60" t="str">
        <f t="shared" si="9"/>
        <v/>
      </c>
      <c r="AC780" s="30" t="str">
        <f t="shared" ref="AC780:AD780" si="1136">IF(_xlfn.ISFORMULA(S780),IFERROR(0/0,""),TRUE)</f>
        <v/>
      </c>
      <c r="AD780" s="30" t="str">
        <f t="shared" si="1136"/>
        <v/>
      </c>
      <c r="AE780" s="475" t="str">
        <f>IFERROR(__xludf.DUMMYFUNCTION("""COMPUTED_VALUE"""),"CRLN")</f>
        <v>CRLN</v>
      </c>
      <c r="AF780" s="476"/>
      <c r="AG780" s="474" t="s">
        <v>181</v>
      </c>
      <c r="AH780" s="138" t="str">
        <f t="shared" si="11"/>
        <v/>
      </c>
    </row>
    <row r="781">
      <c r="A781" s="103" t="str">
        <f>IFERROR(__xludf.DUMMYFUNCTION("""COMPUTED_VALUE"""),"FLT1597")</f>
        <v>FLT1597</v>
      </c>
      <c r="B781" s="468">
        <f>IFERROR(__xludf.DUMMYFUNCTION("""COMPUTED_VALUE"""),44609.0)</f>
        <v>44609</v>
      </c>
      <c r="C781" s="469">
        <f>IFERROR(__xludf.DUMMYFUNCTION("""COMPUTED_VALUE"""),0.36809027777777775)</f>
        <v>0.3680902778</v>
      </c>
      <c r="D781" s="103" t="str">
        <f>IFERROR(__xludf.DUMMYFUNCTION("""COMPUTED_VALUE"""),"SpFLMP572444")</f>
        <v>SpFLMP572444</v>
      </c>
      <c r="E781" s="103"/>
      <c r="F781" s="103"/>
      <c r="G781" s="103" t="str">
        <f>IFERROR(__xludf.DUMMYFUNCTION("""COMPUTED_VALUE"""),"Negative")</f>
        <v>Negative</v>
      </c>
      <c r="H781" s="131" t="str">
        <f>IFERROR(__xludf.DUMMYFUNCTION("""COMPUTED_VALUE"""),"Negative")</f>
        <v>Negative</v>
      </c>
      <c r="I781" s="468">
        <f>IFERROR(__xludf.DUMMYFUNCTION("""COMPUTED_VALUE"""),44609.0)</f>
        <v>44609</v>
      </c>
      <c r="J781" s="470">
        <f>IFERROR(__xludf.DUMMYFUNCTION("""COMPUTED_VALUE"""),0.4350462962962963)</f>
        <v>0.4350462963</v>
      </c>
      <c r="K781" s="16"/>
      <c r="L781" s="8"/>
      <c r="M781" s="69"/>
      <c r="N781" s="69">
        <f>IFERROR(__xludf.DUMMYFUNCTION("""COMPUTED_VALUE"""),2.0)</f>
        <v>2</v>
      </c>
      <c r="O781" s="69" t="str">
        <f t="shared" si="3"/>
        <v/>
      </c>
      <c r="P781" s="471">
        <f>IFERROR(__xludf.DUMMYFUNCTION("""COMPUTED_VALUE"""),0.0)</f>
        <v>0</v>
      </c>
      <c r="Q781" s="274" t="str">
        <f>VLOOKUP($B781,'Run Reconcile'!B$2:O2488,14,FALSE)</f>
        <v/>
      </c>
      <c r="R781" s="472" t="str">
        <f t="array" ref="R781">IF($Q781, INDEX('Run Reconcile'!A$2:A2488,MATCH(B781,'Run Reconcile'!B$2:B2488,0),1),IFERROR(0/0,""))</f>
        <v/>
      </c>
      <c r="S781" s="473" t="str">
        <f t="shared" si="694"/>
        <v/>
      </c>
      <c r="T781" s="473" t="str">
        <f t="shared" si="698"/>
        <v/>
      </c>
      <c r="U781" s="275" t="str">
        <f t="array" ref="U781">IF(ISBLANK($R781), INDEX('Run Reconcile'!A$2:A2488, MATCH($B781, 'Run Reconcile'!B$2:B2488, 0)+Z781, 1), IFERROR(0/0,""))
</f>
        <v>RUN-FLMP_2022-02-17_RFR-089</v>
      </c>
      <c r="V781" s="474" t="str">
        <f t="shared" si="5"/>
        <v>RUN-FLMP_2022-02-17_RFR-089</v>
      </c>
      <c r="Y781" s="89" t="str">
        <f t="shared" si="867"/>
        <v/>
      </c>
      <c r="Z781" s="60" t="str">
        <f t="shared" si="7"/>
        <v/>
      </c>
      <c r="AA781" s="60" t="str">
        <f t="shared" si="8"/>
        <v/>
      </c>
      <c r="AB781" s="60" t="str">
        <f t="shared" si="9"/>
        <v/>
      </c>
      <c r="AC781" s="30" t="str">
        <f t="shared" ref="AC781:AD781" si="1137">IF(_xlfn.ISFORMULA(S781),IFERROR(0/0,""),TRUE)</f>
        <v/>
      </c>
      <c r="AD781" s="30" t="str">
        <f t="shared" si="1137"/>
        <v/>
      </c>
      <c r="AE781" s="475" t="str">
        <f>IFERROR(__xludf.DUMMYFUNCTION("""COMPUTED_VALUE"""),"CRLN")</f>
        <v>CRLN</v>
      </c>
      <c r="AF781" s="476"/>
      <c r="AG781" s="474" t="s">
        <v>181</v>
      </c>
      <c r="AH781" s="138" t="str">
        <f t="shared" si="11"/>
        <v/>
      </c>
    </row>
    <row r="782">
      <c r="A782" s="103" t="str">
        <f>IFERROR(__xludf.DUMMYFUNCTION("""COMPUTED_VALUE"""),"FLB7161")</f>
        <v>FLB7161</v>
      </c>
      <c r="B782" s="468">
        <f>IFERROR(__xludf.DUMMYFUNCTION("""COMPUTED_VALUE"""),44609.0)</f>
        <v>44609</v>
      </c>
      <c r="C782" s="469">
        <f>IFERROR(__xludf.DUMMYFUNCTION("""COMPUTED_VALUE"""),0.37373842592592593)</f>
        <v>0.3737384259</v>
      </c>
      <c r="D782" s="103" t="str">
        <f>IFERROR(__xludf.DUMMYFUNCTION("""COMPUTED_VALUE"""),"SpFLMP518914")</f>
        <v>SpFLMP518914</v>
      </c>
      <c r="E782" s="103"/>
      <c r="F782" s="103"/>
      <c r="G782" s="103" t="str">
        <f>IFERROR(__xludf.DUMMYFUNCTION("""COMPUTED_VALUE"""),"Negative")</f>
        <v>Negative</v>
      </c>
      <c r="H782" s="131" t="str">
        <f>IFERROR(__xludf.DUMMYFUNCTION("""COMPUTED_VALUE"""),"Negative")</f>
        <v>Negative</v>
      </c>
      <c r="I782" s="468">
        <f>IFERROR(__xludf.DUMMYFUNCTION("""COMPUTED_VALUE"""),44609.0)</f>
        <v>44609</v>
      </c>
      <c r="J782" s="470">
        <f>IFERROR(__xludf.DUMMYFUNCTION("""COMPUTED_VALUE"""),0.4350462962962963)</f>
        <v>0.4350462963</v>
      </c>
      <c r="K782" s="16"/>
      <c r="L782" s="8"/>
      <c r="M782" s="69"/>
      <c r="N782" s="69">
        <f>IFERROR(__xludf.DUMMYFUNCTION("""COMPUTED_VALUE"""),2.0)</f>
        <v>2</v>
      </c>
      <c r="O782" s="69" t="str">
        <f t="shared" si="3"/>
        <v/>
      </c>
      <c r="P782" s="471">
        <f>IFERROR(__xludf.DUMMYFUNCTION("""COMPUTED_VALUE"""),0.0)</f>
        <v>0</v>
      </c>
      <c r="Q782" s="274" t="str">
        <f>VLOOKUP($B782,'Run Reconcile'!B$2:O2488,14,FALSE)</f>
        <v/>
      </c>
      <c r="R782" s="472" t="str">
        <f t="array" ref="R782">IF($Q782, INDEX('Run Reconcile'!A$2:A2488,MATCH(B782,'Run Reconcile'!B$2:B2488,0),1),IFERROR(0/0,""))</f>
        <v/>
      </c>
      <c r="S782" s="473" t="str">
        <f t="shared" si="694"/>
        <v/>
      </c>
      <c r="T782" s="473" t="str">
        <f t="shared" si="698"/>
        <v/>
      </c>
      <c r="U782" s="275" t="str">
        <f t="array" ref="U782">IF(ISBLANK($R782), INDEX('Run Reconcile'!A$2:A2488, MATCH($B782, 'Run Reconcile'!B$2:B2488, 0)+Z782, 1), IFERROR(0/0,""))
</f>
        <v>RUN-FLMP_2022-02-17_RFR-089</v>
      </c>
      <c r="V782" s="474" t="str">
        <f t="shared" si="5"/>
        <v>RUN-FLMP_2022-02-17_RFR-089</v>
      </c>
      <c r="Y782" s="89" t="str">
        <f t="shared" si="867"/>
        <v/>
      </c>
      <c r="Z782" s="60" t="str">
        <f t="shared" si="7"/>
        <v/>
      </c>
      <c r="AA782" s="60" t="str">
        <f t="shared" si="8"/>
        <v/>
      </c>
      <c r="AB782" s="60" t="str">
        <f t="shared" si="9"/>
        <v/>
      </c>
      <c r="AC782" s="30" t="str">
        <f t="shared" ref="AC782:AD782" si="1138">IF(_xlfn.ISFORMULA(S782),IFERROR(0/0,""),TRUE)</f>
        <v/>
      </c>
      <c r="AD782" s="30" t="str">
        <f t="shared" si="1138"/>
        <v/>
      </c>
      <c r="AE782" s="475" t="str">
        <f>IFERROR(__xludf.DUMMYFUNCTION("""COMPUTED_VALUE"""),"CRLN")</f>
        <v>CRLN</v>
      </c>
      <c r="AF782" s="476"/>
      <c r="AG782" s="474" t="s">
        <v>181</v>
      </c>
      <c r="AH782" s="138" t="str">
        <f t="shared" si="11"/>
        <v/>
      </c>
    </row>
    <row r="783">
      <c r="A783" s="103" t="str">
        <f>IFERROR(__xludf.DUMMYFUNCTION("""COMPUTED_VALUE"""),"FLT1438")</f>
        <v>FLT1438</v>
      </c>
      <c r="B783" s="468">
        <f>IFERROR(__xludf.DUMMYFUNCTION("""COMPUTED_VALUE"""),44609.0)</f>
        <v>44609</v>
      </c>
      <c r="C783" s="469">
        <f>IFERROR(__xludf.DUMMYFUNCTION("""COMPUTED_VALUE"""),0.38407407407407407)</f>
        <v>0.3840740741</v>
      </c>
      <c r="D783" s="103" t="str">
        <f>IFERROR(__xludf.DUMMYFUNCTION("""COMPUTED_VALUE"""),"SpFLMP273885")</f>
        <v>SpFLMP273885</v>
      </c>
      <c r="E783" s="103"/>
      <c r="F783" s="103"/>
      <c r="G783" s="103" t="str">
        <f>IFERROR(__xludf.DUMMYFUNCTION("""COMPUTED_VALUE"""),"Negative")</f>
        <v>Negative</v>
      </c>
      <c r="H783" s="131" t="str">
        <f>IFERROR(__xludf.DUMMYFUNCTION("""COMPUTED_VALUE"""),"Negative")</f>
        <v>Negative</v>
      </c>
      <c r="I783" s="468">
        <f>IFERROR(__xludf.DUMMYFUNCTION("""COMPUTED_VALUE"""),44609.0)</f>
        <v>44609</v>
      </c>
      <c r="J783" s="470">
        <f>IFERROR(__xludf.DUMMYFUNCTION("""COMPUTED_VALUE"""),0.4350462962962963)</f>
        <v>0.4350462963</v>
      </c>
      <c r="K783" s="16"/>
      <c r="L783" s="8"/>
      <c r="M783" s="69"/>
      <c r="N783" s="69">
        <f>IFERROR(__xludf.DUMMYFUNCTION("""COMPUTED_VALUE"""),4.0)</f>
        <v>4</v>
      </c>
      <c r="O783" s="69" t="str">
        <f t="shared" si="3"/>
        <v/>
      </c>
      <c r="P783" s="471">
        <f>IFERROR(__xludf.DUMMYFUNCTION("""COMPUTED_VALUE"""),0.0)</f>
        <v>0</v>
      </c>
      <c r="Q783" s="274" t="str">
        <f>VLOOKUP($B783,'Run Reconcile'!B$2:O2488,14,FALSE)</f>
        <v/>
      </c>
      <c r="R783" s="472" t="str">
        <f t="array" ref="R783">IF($Q783, INDEX('Run Reconcile'!A$2:A2488,MATCH(B783,'Run Reconcile'!B$2:B2488,0),1),IFERROR(0/0,""))</f>
        <v/>
      </c>
      <c r="S783" s="473" t="str">
        <f t="shared" si="694"/>
        <v/>
      </c>
      <c r="T783" s="473" t="str">
        <f t="shared" si="698"/>
        <v/>
      </c>
      <c r="U783" s="275" t="str">
        <f t="array" ref="U783">IF(ISBLANK($R783), INDEX('Run Reconcile'!A$2:A2488, MATCH($B783, 'Run Reconcile'!B$2:B2488, 0)+Z783, 1), IFERROR(0/0,""))
</f>
        <v>RUN-FLMP_2022-02-17_RFR-089</v>
      </c>
      <c r="V783" s="474" t="str">
        <f t="shared" si="5"/>
        <v>RUN-FLMP_2022-02-17_RFR-089</v>
      </c>
      <c r="Y783" s="89" t="str">
        <f t="shared" si="867"/>
        <v/>
      </c>
      <c r="Z783" s="60" t="str">
        <f t="shared" si="7"/>
        <v/>
      </c>
      <c r="AA783" s="60" t="str">
        <f t="shared" si="8"/>
        <v/>
      </c>
      <c r="AB783" s="60" t="str">
        <f t="shared" si="9"/>
        <v/>
      </c>
      <c r="AC783" s="30" t="str">
        <f t="shared" ref="AC783:AD783" si="1139">IF(_xlfn.ISFORMULA(S783),IFERROR(0/0,""),TRUE)</f>
        <v/>
      </c>
      <c r="AD783" s="30" t="str">
        <f t="shared" si="1139"/>
        <v/>
      </c>
      <c r="AE783" s="475" t="str">
        <f>IFERROR(__xludf.DUMMYFUNCTION("""COMPUTED_VALUE"""),"CRLN")</f>
        <v>CRLN</v>
      </c>
      <c r="AF783" s="476"/>
      <c r="AG783" s="474" t="s">
        <v>181</v>
      </c>
      <c r="AH783" s="138" t="str">
        <f t="shared" si="11"/>
        <v/>
      </c>
    </row>
    <row r="784">
      <c r="A784" s="103" t="str">
        <f>IFERROR(__xludf.DUMMYFUNCTION("""COMPUTED_VALUE"""),"MA749")</f>
        <v>MA749</v>
      </c>
      <c r="B784" s="468">
        <f>IFERROR(__xludf.DUMMYFUNCTION("""COMPUTED_VALUE"""),44610.0)</f>
        <v>44610</v>
      </c>
      <c r="C784" s="469">
        <f>IFERROR(__xludf.DUMMYFUNCTION("""COMPUTED_VALUE"""),0.8369328703703703)</f>
        <v>0.8369328704</v>
      </c>
      <c r="D784" s="103" t="str">
        <f>IFERROR(__xludf.DUMMYFUNCTION("""COMPUTED_VALUE"""),"SpFLMP604497")</f>
        <v>SpFLMP604497</v>
      </c>
      <c r="E784" s="103"/>
      <c r="F784" s="103"/>
      <c r="G784" s="103" t="str">
        <f>IFERROR(__xludf.DUMMYFUNCTION("""COMPUTED_VALUE"""),"Null")</f>
        <v>Null</v>
      </c>
      <c r="H784" s="131" t="str">
        <f>IFERROR(__xludf.DUMMYFUNCTION("""COMPUTED_VALUE"""),"Negative")</f>
        <v>Negative</v>
      </c>
      <c r="I784" s="468"/>
      <c r="J784" s="16"/>
      <c r="K784" s="16">
        <f>IFERROR(__xludf.DUMMYFUNCTION("""COMPUTED_VALUE"""),2.0)</f>
        <v>2</v>
      </c>
      <c r="L784" s="8"/>
      <c r="M784" s="69"/>
      <c r="N784" s="69">
        <f>IFERROR(__xludf.DUMMYFUNCTION("""COMPUTED_VALUE"""),3.0)</f>
        <v>3</v>
      </c>
      <c r="O784" s="69" t="b">
        <f t="shared" si="3"/>
        <v>1</v>
      </c>
      <c r="P784" s="471">
        <f>IFERROR(__xludf.DUMMYFUNCTION("""COMPUTED_VALUE"""),-1.0)</f>
        <v>-1</v>
      </c>
      <c r="Q784" s="274" t="b">
        <f>VLOOKUP($B784,'Run Reconcile'!B$2:O2488,14,FALSE)</f>
        <v>1</v>
      </c>
      <c r="R784" s="472" t="str">
        <f t="array" ref="R784">IF($Q784, INDEX('Run Reconcile'!A$2:A2488,MATCH(B784,'Run Reconcile'!B$2:B2488,0),1),IFERROR(0/0,""))</f>
        <v>RUN-FLMP_2022-02-18_APS-084</v>
      </c>
      <c r="S784" s="473" t="str">
        <f t="shared" si="694"/>
        <v/>
      </c>
      <c r="T784" s="473" t="str">
        <f t="shared" si="698"/>
        <v/>
      </c>
      <c r="U784" s="275" t="str">
        <f t="array" ref="U784">IF(ISBLANK($R784), INDEX('Run Reconcile'!A$2:A2488, MATCH($B784, 'Run Reconcile'!B$2:B2488, 0)+Z784, 1), IFERROR(0/0,""))
</f>
        <v/>
      </c>
      <c r="V784" s="474" t="str">
        <f t="shared" si="5"/>
        <v>RUN-FLMP_2022-02-18_APS-084</v>
      </c>
      <c r="Y784" s="89" t="str">
        <f t="shared" si="867"/>
        <v/>
      </c>
      <c r="Z784" s="60" t="str">
        <f t="shared" si="7"/>
        <v/>
      </c>
      <c r="AA784" s="60" t="str">
        <f t="shared" si="8"/>
        <v/>
      </c>
      <c r="AB784" s="60" t="str">
        <f t="shared" si="9"/>
        <v/>
      </c>
      <c r="AC784" s="30" t="str">
        <f t="shared" ref="AC784:AD784" si="1140">IF(_xlfn.ISFORMULA(S784),IFERROR(0/0,""),TRUE)</f>
        <v/>
      </c>
      <c r="AD784" s="30" t="str">
        <f t="shared" si="1140"/>
        <v/>
      </c>
      <c r="AE784" s="475" t="str">
        <f>IFERROR(__xludf.DUMMYFUNCTION("""COMPUTED_VALUE"""),"CRLN")</f>
        <v>CRLN</v>
      </c>
      <c r="AF784" s="476"/>
      <c r="AG784" s="474" t="s">
        <v>182</v>
      </c>
      <c r="AH784" s="138" t="str">
        <f t="shared" si="11"/>
        <v/>
      </c>
    </row>
    <row r="785">
      <c r="A785" s="477" t="str">
        <f>IFERROR(__xludf.DUMMYFUNCTION("""COMPUTED_VALUE"""),"FLB5989")</f>
        <v>FLB5989</v>
      </c>
      <c r="B785" s="478">
        <f>IFERROR(__xludf.DUMMYFUNCTION("""COMPUTED_VALUE"""),44616.0)</f>
        <v>44616</v>
      </c>
      <c r="C785" s="479">
        <f>IFERROR(__xludf.DUMMYFUNCTION("""COMPUTED_VALUE"""),0.3606712962962963)</f>
        <v>0.3606712963</v>
      </c>
      <c r="D785" s="477" t="str">
        <f>IFERROR(__xludf.DUMMYFUNCTION("""COMPUTED_VALUE"""),"SpFLMP399694")</f>
        <v>SpFLMP399694</v>
      </c>
      <c r="E785" s="477"/>
      <c r="F785" s="477"/>
      <c r="G785" s="477" t="str">
        <f>IFERROR(__xludf.DUMMYFUNCTION("""COMPUTED_VALUE"""),"Negative")</f>
        <v>Negative</v>
      </c>
      <c r="H785" s="480" t="str">
        <f>IFERROR(__xludf.DUMMYFUNCTION("""COMPUTED_VALUE"""),"Negative")</f>
        <v>Negative</v>
      </c>
      <c r="I785" s="478">
        <f>IFERROR(__xludf.DUMMYFUNCTION("""COMPUTED_VALUE"""),44619.0)</f>
        <v>44619</v>
      </c>
      <c r="J785" s="481">
        <f>IFERROR(__xludf.DUMMYFUNCTION("""COMPUTED_VALUE"""),0.7665393518518518)</f>
        <v>0.7665393519</v>
      </c>
      <c r="K785" s="156"/>
      <c r="L785" s="19"/>
      <c r="M785" s="482"/>
      <c r="N785" s="482">
        <f>IFERROR(__xludf.DUMMYFUNCTION("""COMPUTED_VALUE"""),3.0)</f>
        <v>3</v>
      </c>
      <c r="O785" s="482" t="b">
        <f t="shared" si="3"/>
        <v>1</v>
      </c>
      <c r="P785" s="483">
        <f>IFERROR(__xludf.DUMMYFUNCTION("""COMPUTED_VALUE"""),3.0)</f>
        <v>3</v>
      </c>
      <c r="Q785" s="352" t="str">
        <f>VLOOKUP($B785,'Run Reconcile'!B$2:O2488,14,FALSE)</f>
        <v/>
      </c>
      <c r="R785" s="484" t="str">
        <f t="array" ref="R785">IF($Q785, INDEX('Run Reconcile'!A$2:A2488,MATCH(B785,'Run Reconcile'!B$2:B2488,0),1),IFERROR(0/0,""))</f>
        <v/>
      </c>
      <c r="S785" s="485" t="b">
        <f t="shared" si="694"/>
        <v>1</v>
      </c>
      <c r="T785" s="485" t="str">
        <f t="shared" si="698"/>
        <v/>
      </c>
      <c r="U785" s="530" t="str">
        <f t="array" ref="U785">IF(ISBLANK($R785), INDEX('Run Reconcile'!A$2:A2488, MATCH($B785, 'Run Reconcile'!B$2:B2488, 0)+Z785, 1), IFERROR(0/0,""))
</f>
        <v>RUN-FLMP_2022-02-27_RFR-091</v>
      </c>
      <c r="V785" s="486" t="str">
        <f t="shared" si="5"/>
        <v>RUN-FLMP_2022-02-27_RFR-091</v>
      </c>
      <c r="W785" s="19" t="s">
        <v>1213</v>
      </c>
      <c r="X785" s="19"/>
      <c r="Y785" s="89">
        <f t="shared" si="867"/>
        <v>1</v>
      </c>
      <c r="Z785" s="60">
        <f t="shared" si="7"/>
        <v>1</v>
      </c>
      <c r="AA785" s="60">
        <f t="shared" si="8"/>
        <v>1</v>
      </c>
      <c r="AB785" s="60" t="str">
        <f t="shared" si="9"/>
        <v/>
      </c>
      <c r="AC785" s="158" t="str">
        <f t="shared" ref="AC785:AD785" si="1141">IF(_xlfn.ISFORMULA(S785),IFERROR(0/0,""),TRUE)</f>
        <v/>
      </c>
      <c r="AD785" s="158" t="str">
        <f t="shared" si="1141"/>
        <v/>
      </c>
      <c r="AE785" s="488" t="str">
        <f>IFERROR(__xludf.DUMMYFUNCTION("""COMPUTED_VALUE"""),"CRLN")</f>
        <v>CRLN</v>
      </c>
      <c r="AF785" s="489"/>
      <c r="AG785" s="486" t="s">
        <v>183</v>
      </c>
      <c r="AH785" s="138" t="str">
        <f t="shared" si="11"/>
        <v/>
      </c>
      <c r="AI785" s="19"/>
      <c r="AJ785" s="19"/>
      <c r="AK785" s="19"/>
      <c r="AL785" s="19"/>
      <c r="AM785" s="19"/>
    </row>
    <row r="786">
      <c r="A786" s="103" t="str">
        <f>IFERROR(__xludf.DUMMYFUNCTION("""COMPUTED_VALUE"""),"FLE863")</f>
        <v>FLE863</v>
      </c>
      <c r="B786" s="468">
        <f>IFERROR(__xludf.DUMMYFUNCTION("""COMPUTED_VALUE"""),44619.0)</f>
        <v>44619</v>
      </c>
      <c r="C786" s="469">
        <f>IFERROR(__xludf.DUMMYFUNCTION("""COMPUTED_VALUE"""),0.4325)</f>
        <v>0.4325</v>
      </c>
      <c r="D786" s="103" t="str">
        <f>IFERROR(__xludf.DUMMYFUNCTION("""COMPUTED_VALUE"""),"SpFLMP668449")</f>
        <v>SpFLMP668449</v>
      </c>
      <c r="E786" s="103"/>
      <c r="F786" s="103"/>
      <c r="G786" s="103" t="str">
        <f>IFERROR(__xludf.DUMMYFUNCTION("""COMPUTED_VALUE"""),"Negative")</f>
        <v>Negative</v>
      </c>
      <c r="H786" s="131" t="str">
        <f>IFERROR(__xludf.DUMMYFUNCTION("""COMPUTED_VALUE"""),"Negative")</f>
        <v>Negative</v>
      </c>
      <c r="I786" s="468">
        <f>IFERROR(__xludf.DUMMYFUNCTION("""COMPUTED_VALUE"""),44619.0)</f>
        <v>44619</v>
      </c>
      <c r="J786" s="470">
        <f>IFERROR(__xludf.DUMMYFUNCTION("""COMPUTED_VALUE"""),0.7665393518518518)</f>
        <v>0.7665393519</v>
      </c>
      <c r="K786" s="16"/>
      <c r="L786" s="8"/>
      <c r="M786" s="69"/>
      <c r="N786" s="69">
        <f>IFERROR(__xludf.DUMMYFUNCTION("""COMPUTED_VALUE"""),4.0)</f>
        <v>4</v>
      </c>
      <c r="O786" s="69" t="b">
        <f t="shared" si="3"/>
        <v>1</v>
      </c>
      <c r="P786" s="471">
        <f>IFERROR(__xludf.DUMMYFUNCTION("""COMPUTED_VALUE"""),0.0)</f>
        <v>0</v>
      </c>
      <c r="Q786" s="274" t="str">
        <f>VLOOKUP($B786,'Run Reconcile'!B$2:O2488,14,FALSE)</f>
        <v/>
      </c>
      <c r="R786" s="472" t="str">
        <f t="array" ref="R786">IF($Q786, INDEX('Run Reconcile'!A$2:A2488,MATCH(B786,'Run Reconcile'!B$2:B2488,0),1),IFERROR(0/0,""))</f>
        <v/>
      </c>
      <c r="S786" s="473" t="str">
        <f t="shared" si="694"/>
        <v/>
      </c>
      <c r="T786" s="473" t="str">
        <f t="shared" si="698"/>
        <v/>
      </c>
      <c r="U786" s="275" t="str">
        <f t="array" ref="U786">IF(ISBLANK($R786), INDEX('Run Reconcile'!A$2:A2488, MATCH($B786, 'Run Reconcile'!B$2:B2488, 0)+Z786, 1), IFERROR(0/0,""))
</f>
        <v>RUN-FLMP_2022-02-27_RFR-091</v>
      </c>
      <c r="V786" s="474" t="str">
        <f t="shared" si="5"/>
        <v>RUN-FLMP_2022-02-27_RFR-091</v>
      </c>
      <c r="Y786" s="89" t="str">
        <f t="shared" si="867"/>
        <v/>
      </c>
      <c r="Z786" s="60" t="str">
        <f t="shared" si="7"/>
        <v/>
      </c>
      <c r="AA786" s="60" t="str">
        <f t="shared" si="8"/>
        <v/>
      </c>
      <c r="AB786" s="60" t="str">
        <f t="shared" si="9"/>
        <v/>
      </c>
      <c r="AC786" s="30" t="str">
        <f t="shared" ref="AC786:AD786" si="1142">IF(_xlfn.ISFORMULA(S786),IFERROR(0/0,""),TRUE)</f>
        <v/>
      </c>
      <c r="AD786" s="30" t="str">
        <f t="shared" si="1142"/>
        <v/>
      </c>
      <c r="AE786" s="475" t="str">
        <f>IFERROR(__xludf.DUMMYFUNCTION("""COMPUTED_VALUE"""),"CRLN")</f>
        <v>CRLN</v>
      </c>
      <c r="AF786" s="476"/>
      <c r="AG786" s="474" t="s">
        <v>183</v>
      </c>
      <c r="AH786" s="138" t="str">
        <f t="shared" si="11"/>
        <v/>
      </c>
    </row>
    <row r="787">
      <c r="A787" s="103" t="str">
        <f>IFERROR(__xludf.DUMMYFUNCTION("""COMPUTED_VALUE"""),"FLB4964")</f>
        <v>FLB4964</v>
      </c>
      <c r="B787" s="468">
        <f>IFERROR(__xludf.DUMMYFUNCTION("""COMPUTED_VALUE"""),44619.0)</f>
        <v>44619</v>
      </c>
      <c r="C787" s="469">
        <f>IFERROR(__xludf.DUMMYFUNCTION("""COMPUTED_VALUE"""),0.4731134259259259)</f>
        <v>0.4731134259</v>
      </c>
      <c r="D787" s="103" t="str">
        <f>IFERROR(__xludf.DUMMYFUNCTION("""COMPUTED_VALUE"""),"SpFLMP946259")</f>
        <v>SpFLMP946259</v>
      </c>
      <c r="E787" s="103"/>
      <c r="F787" s="103"/>
      <c r="G787" s="103" t="str">
        <f>IFERROR(__xludf.DUMMYFUNCTION("""COMPUTED_VALUE"""),"Negative")</f>
        <v>Negative</v>
      </c>
      <c r="H787" s="131" t="str">
        <f>IFERROR(__xludf.DUMMYFUNCTION("""COMPUTED_VALUE"""),"Negative")</f>
        <v>Negative</v>
      </c>
      <c r="I787" s="468">
        <f>IFERROR(__xludf.DUMMYFUNCTION("""COMPUTED_VALUE"""),44619.0)</f>
        <v>44619</v>
      </c>
      <c r="J787" s="470">
        <f>IFERROR(__xludf.DUMMYFUNCTION("""COMPUTED_VALUE"""),0.7665393518518518)</f>
        <v>0.7665393519</v>
      </c>
      <c r="K787" s="16"/>
      <c r="L787" s="8"/>
      <c r="M787" s="69"/>
      <c r="N787" s="69">
        <f>IFERROR(__xludf.DUMMYFUNCTION("""COMPUTED_VALUE"""),2.0)</f>
        <v>2</v>
      </c>
      <c r="O787" s="69" t="str">
        <f t="shared" si="3"/>
        <v/>
      </c>
      <c r="P787" s="471">
        <f>IFERROR(__xludf.DUMMYFUNCTION("""COMPUTED_VALUE"""),0.0)</f>
        <v>0</v>
      </c>
      <c r="Q787" s="274" t="str">
        <f>VLOOKUP($B787,'Run Reconcile'!B$2:O2488,14,FALSE)</f>
        <v/>
      </c>
      <c r="R787" s="472" t="str">
        <f t="array" ref="R787">IF($Q787, INDEX('Run Reconcile'!A$2:A2488,MATCH(B787,'Run Reconcile'!B$2:B2488,0),1),IFERROR(0/0,""))</f>
        <v/>
      </c>
      <c r="S787" s="473" t="str">
        <f t="shared" si="694"/>
        <v/>
      </c>
      <c r="T787" s="473" t="str">
        <f t="shared" si="698"/>
        <v/>
      </c>
      <c r="U787" s="275" t="str">
        <f t="array" ref="U787">IF(ISBLANK($R787), INDEX('Run Reconcile'!A$2:A2488, MATCH($B787, 'Run Reconcile'!B$2:B2488, 0)+Z787, 1), IFERROR(0/0,""))
</f>
        <v>RUN-FLMP_2022-02-27_RFR-091</v>
      </c>
      <c r="V787" s="474" t="str">
        <f t="shared" si="5"/>
        <v>RUN-FLMP_2022-02-27_RFR-091</v>
      </c>
      <c r="Y787" s="89" t="str">
        <f t="shared" si="867"/>
        <v/>
      </c>
      <c r="Z787" s="60" t="str">
        <f t="shared" si="7"/>
        <v/>
      </c>
      <c r="AA787" s="60" t="str">
        <f t="shared" si="8"/>
        <v/>
      </c>
      <c r="AB787" s="60" t="str">
        <f t="shared" si="9"/>
        <v/>
      </c>
      <c r="AC787" s="30" t="str">
        <f t="shared" ref="AC787:AD787" si="1143">IF(_xlfn.ISFORMULA(S787),IFERROR(0/0,""),TRUE)</f>
        <v/>
      </c>
      <c r="AD787" s="30" t="str">
        <f t="shared" si="1143"/>
        <v/>
      </c>
      <c r="AE787" s="475" t="str">
        <f>IFERROR(__xludf.DUMMYFUNCTION("""COMPUTED_VALUE"""),"CRLN")</f>
        <v>CRLN</v>
      </c>
      <c r="AF787" s="476"/>
      <c r="AG787" s="474" t="s">
        <v>183</v>
      </c>
      <c r="AH787" s="138" t="str">
        <f t="shared" si="11"/>
        <v/>
      </c>
    </row>
    <row r="788">
      <c r="A788" s="103" t="str">
        <f>IFERROR(__xludf.DUMMYFUNCTION("""COMPUTED_VALUE"""),"FLB5787")</f>
        <v>FLB5787</v>
      </c>
      <c r="B788" s="468">
        <f>IFERROR(__xludf.DUMMYFUNCTION("""COMPUTED_VALUE"""),44619.0)</f>
        <v>44619</v>
      </c>
      <c r="C788" s="469">
        <f>IFERROR(__xludf.DUMMYFUNCTION("""COMPUTED_VALUE"""),0.4734375)</f>
        <v>0.4734375</v>
      </c>
      <c r="D788" s="103" t="str">
        <f>IFERROR(__xludf.DUMMYFUNCTION("""COMPUTED_VALUE"""),"SpFLMP271329")</f>
        <v>SpFLMP271329</v>
      </c>
      <c r="E788" s="103"/>
      <c r="F788" s="103"/>
      <c r="G788" s="103" t="str">
        <f>IFERROR(__xludf.DUMMYFUNCTION("""COMPUTED_VALUE"""),"Negative")</f>
        <v>Negative</v>
      </c>
      <c r="H788" s="131" t="str">
        <f>IFERROR(__xludf.DUMMYFUNCTION("""COMPUTED_VALUE"""),"Negative")</f>
        <v>Negative</v>
      </c>
      <c r="I788" s="468">
        <f>IFERROR(__xludf.DUMMYFUNCTION("""COMPUTED_VALUE"""),44619.0)</f>
        <v>44619</v>
      </c>
      <c r="J788" s="470">
        <f>IFERROR(__xludf.DUMMYFUNCTION("""COMPUTED_VALUE"""),0.7665393518518518)</f>
        <v>0.7665393519</v>
      </c>
      <c r="K788" s="16"/>
      <c r="L788" s="8"/>
      <c r="M788" s="69"/>
      <c r="N788" s="69">
        <f>IFERROR(__xludf.DUMMYFUNCTION("""COMPUTED_VALUE"""),1.0)</f>
        <v>1</v>
      </c>
      <c r="O788" s="69" t="str">
        <f t="shared" si="3"/>
        <v/>
      </c>
      <c r="P788" s="471">
        <f>IFERROR(__xludf.DUMMYFUNCTION("""COMPUTED_VALUE"""),0.0)</f>
        <v>0</v>
      </c>
      <c r="Q788" s="274" t="str">
        <f>VLOOKUP($B788,'Run Reconcile'!B$2:O2488,14,FALSE)</f>
        <v/>
      </c>
      <c r="R788" s="472" t="str">
        <f t="array" ref="R788">IF($Q788, INDEX('Run Reconcile'!A$2:A2488,MATCH(B788,'Run Reconcile'!B$2:B2488,0),1),IFERROR(0/0,""))</f>
        <v/>
      </c>
      <c r="S788" s="473" t="str">
        <f t="shared" si="694"/>
        <v/>
      </c>
      <c r="T788" s="473" t="str">
        <f t="shared" si="698"/>
        <v/>
      </c>
      <c r="U788" s="275" t="str">
        <f t="array" ref="U788">IF(ISBLANK($R788), INDEX('Run Reconcile'!A$2:A2488, MATCH($B788, 'Run Reconcile'!B$2:B2488, 0)+Z788, 1), IFERROR(0/0,""))
</f>
        <v>RUN-FLMP_2022-02-27_RFR-091</v>
      </c>
      <c r="V788" s="474" t="str">
        <f t="shared" si="5"/>
        <v>RUN-FLMP_2022-02-27_RFR-091</v>
      </c>
      <c r="Y788" s="89" t="str">
        <f t="shared" si="867"/>
        <v/>
      </c>
      <c r="Z788" s="60" t="str">
        <f t="shared" si="7"/>
        <v/>
      </c>
      <c r="AA788" s="60" t="str">
        <f t="shared" si="8"/>
        <v/>
      </c>
      <c r="AB788" s="60" t="str">
        <f t="shared" si="9"/>
        <v/>
      </c>
      <c r="AC788" s="30" t="str">
        <f t="shared" ref="AC788:AD788" si="1144">IF(_xlfn.ISFORMULA(S788),IFERROR(0/0,""),TRUE)</f>
        <v/>
      </c>
      <c r="AD788" s="30" t="str">
        <f t="shared" si="1144"/>
        <v/>
      </c>
      <c r="AE788" s="475" t="str">
        <f>IFERROR(__xludf.DUMMYFUNCTION("""COMPUTED_VALUE"""),"CRLN")</f>
        <v>CRLN</v>
      </c>
      <c r="AF788" s="476"/>
      <c r="AG788" s="474" t="s">
        <v>183</v>
      </c>
      <c r="AH788" s="138" t="str">
        <f t="shared" si="11"/>
        <v/>
      </c>
    </row>
    <row r="789">
      <c r="A789" s="103" t="str">
        <f>IFERROR(__xludf.DUMMYFUNCTION("""COMPUTED_VALUE"""),"FLE893")</f>
        <v>FLE893</v>
      </c>
      <c r="B789" s="468">
        <f>IFERROR(__xludf.DUMMYFUNCTION("""COMPUTED_VALUE"""),44619.0)</f>
        <v>44619</v>
      </c>
      <c r="C789" s="469">
        <f>IFERROR(__xludf.DUMMYFUNCTION("""COMPUTED_VALUE"""),0.5036342592592593)</f>
        <v>0.5036342593</v>
      </c>
      <c r="D789" s="103" t="str">
        <f>IFERROR(__xludf.DUMMYFUNCTION("""COMPUTED_VALUE"""),"SpFLMP690282")</f>
        <v>SpFLMP690282</v>
      </c>
      <c r="E789" s="103"/>
      <c r="F789" s="103"/>
      <c r="G789" s="103" t="str">
        <f>IFERROR(__xludf.DUMMYFUNCTION("""COMPUTED_VALUE"""),"Negative")</f>
        <v>Negative</v>
      </c>
      <c r="H789" s="131" t="str">
        <f>IFERROR(__xludf.DUMMYFUNCTION("""COMPUTED_VALUE"""),"Negative")</f>
        <v>Negative</v>
      </c>
      <c r="I789" s="468">
        <f>IFERROR(__xludf.DUMMYFUNCTION("""COMPUTED_VALUE"""),44619.0)</f>
        <v>44619</v>
      </c>
      <c r="J789" s="470">
        <f>IFERROR(__xludf.DUMMYFUNCTION("""COMPUTED_VALUE"""),0.7665509259259259)</f>
        <v>0.7665509259</v>
      </c>
      <c r="K789" s="16"/>
      <c r="L789" s="8"/>
      <c r="M789" s="69"/>
      <c r="N789" s="69">
        <f>IFERROR(__xludf.DUMMYFUNCTION("""COMPUTED_VALUE"""),2.0)</f>
        <v>2</v>
      </c>
      <c r="O789" s="69" t="str">
        <f t="shared" si="3"/>
        <v/>
      </c>
      <c r="P789" s="471">
        <f>IFERROR(__xludf.DUMMYFUNCTION("""COMPUTED_VALUE"""),0.0)</f>
        <v>0</v>
      </c>
      <c r="Q789" s="274" t="str">
        <f>VLOOKUP($B789,'Run Reconcile'!B$2:O2488,14,FALSE)</f>
        <v/>
      </c>
      <c r="R789" s="472" t="str">
        <f t="array" ref="R789">IF($Q789, INDEX('Run Reconcile'!A$2:A2488,MATCH(B789,'Run Reconcile'!B$2:B2488,0),1),IFERROR(0/0,""))</f>
        <v/>
      </c>
      <c r="S789" s="473" t="str">
        <f t="shared" si="694"/>
        <v/>
      </c>
      <c r="T789" s="473" t="str">
        <f t="shared" si="698"/>
        <v/>
      </c>
      <c r="U789" s="275" t="str">
        <f t="array" ref="U789">IF(ISBLANK($R789), INDEX('Run Reconcile'!A$2:A2488, MATCH($B789, 'Run Reconcile'!B$2:B2488, 0)+Z789, 1), IFERROR(0/0,""))
</f>
        <v>RUN-FLMP_2022-02-27_RFR-091</v>
      </c>
      <c r="V789" s="474" t="str">
        <f t="shared" si="5"/>
        <v>RUN-FLMP_2022-02-27_RFR-091</v>
      </c>
      <c r="Y789" s="89" t="str">
        <f t="shared" si="867"/>
        <v/>
      </c>
      <c r="Z789" s="60" t="str">
        <f t="shared" si="7"/>
        <v/>
      </c>
      <c r="AA789" s="60" t="str">
        <f t="shared" si="8"/>
        <v/>
      </c>
      <c r="AB789" s="60" t="str">
        <f t="shared" si="9"/>
        <v/>
      </c>
      <c r="AC789" s="30" t="str">
        <f t="shared" ref="AC789:AD789" si="1145">IF(_xlfn.ISFORMULA(S789),IFERROR(0/0,""),TRUE)</f>
        <v/>
      </c>
      <c r="AD789" s="30" t="str">
        <f t="shared" si="1145"/>
        <v/>
      </c>
      <c r="AE789" s="475" t="str">
        <f>IFERROR(__xludf.DUMMYFUNCTION("""COMPUTED_VALUE"""),"CRLN")</f>
        <v>CRLN</v>
      </c>
      <c r="AF789" s="476"/>
      <c r="AG789" s="474" t="s">
        <v>183</v>
      </c>
      <c r="AH789" s="138" t="str">
        <f t="shared" si="11"/>
        <v/>
      </c>
    </row>
    <row r="790">
      <c r="A790" s="103" t="str">
        <f>IFERROR(__xludf.DUMMYFUNCTION("""COMPUTED_VALUE"""),"FLB5983")</f>
        <v>FLB5983</v>
      </c>
      <c r="B790" s="468">
        <f>IFERROR(__xludf.DUMMYFUNCTION("""COMPUTED_VALUE"""),44619.0)</f>
        <v>44619</v>
      </c>
      <c r="C790" s="469">
        <f>IFERROR(__xludf.DUMMYFUNCTION("""COMPUTED_VALUE"""),0.5413773148148148)</f>
        <v>0.5413773148</v>
      </c>
      <c r="D790" s="103" t="str">
        <f>IFERROR(__xludf.DUMMYFUNCTION("""COMPUTED_VALUE"""),"SpFLMP683554")</f>
        <v>SpFLMP683554</v>
      </c>
      <c r="E790" s="103"/>
      <c r="F790" s="103"/>
      <c r="G790" s="103" t="str">
        <f>IFERROR(__xludf.DUMMYFUNCTION("""COMPUTED_VALUE"""),"Negative")</f>
        <v>Negative</v>
      </c>
      <c r="H790" s="131" t="str">
        <f>IFERROR(__xludf.DUMMYFUNCTION("""COMPUTED_VALUE"""),"Negative")</f>
        <v>Negative</v>
      </c>
      <c r="I790" s="468">
        <f>IFERROR(__xludf.DUMMYFUNCTION("""COMPUTED_VALUE"""),44619.0)</f>
        <v>44619</v>
      </c>
      <c r="J790" s="470">
        <f>IFERROR(__xludf.DUMMYFUNCTION("""COMPUTED_VALUE"""),0.7665509259259259)</f>
        <v>0.7665509259</v>
      </c>
      <c r="K790" s="16"/>
      <c r="L790" s="8"/>
      <c r="M790" s="69"/>
      <c r="N790" s="69">
        <f>IFERROR(__xludf.DUMMYFUNCTION("""COMPUTED_VALUE"""),1.0)</f>
        <v>1</v>
      </c>
      <c r="O790" s="69" t="str">
        <f t="shared" si="3"/>
        <v/>
      </c>
      <c r="P790" s="471">
        <f>IFERROR(__xludf.DUMMYFUNCTION("""COMPUTED_VALUE"""),0.0)</f>
        <v>0</v>
      </c>
      <c r="Q790" s="274" t="str">
        <f>VLOOKUP($B790,'Run Reconcile'!B$2:O2488,14,FALSE)</f>
        <v/>
      </c>
      <c r="R790" s="472" t="str">
        <f t="array" ref="R790">IF($Q790, INDEX('Run Reconcile'!A$2:A2488,MATCH(B790,'Run Reconcile'!B$2:B2488,0),1),IFERROR(0/0,""))</f>
        <v/>
      </c>
      <c r="S790" s="473" t="str">
        <f t="shared" si="694"/>
        <v/>
      </c>
      <c r="T790" s="473" t="str">
        <f t="shared" si="698"/>
        <v/>
      </c>
      <c r="U790" s="275" t="str">
        <f t="array" ref="U790">IF(ISBLANK($R790), INDEX('Run Reconcile'!A$2:A2488, MATCH($B790, 'Run Reconcile'!B$2:B2488, 0)+Z790, 1), IFERROR(0/0,""))
</f>
        <v>RUN-FLMP_2022-02-27_RFR-091</v>
      </c>
      <c r="V790" s="474" t="str">
        <f t="shared" si="5"/>
        <v>RUN-FLMP_2022-02-27_RFR-091</v>
      </c>
      <c r="Y790" s="89" t="str">
        <f t="shared" si="867"/>
        <v/>
      </c>
      <c r="Z790" s="60" t="str">
        <f t="shared" si="7"/>
        <v/>
      </c>
      <c r="AA790" s="60" t="str">
        <f t="shared" si="8"/>
        <v/>
      </c>
      <c r="AB790" s="60" t="str">
        <f t="shared" si="9"/>
        <v/>
      </c>
      <c r="AC790" s="30" t="str">
        <f t="shared" ref="AC790:AD790" si="1146">IF(_xlfn.ISFORMULA(S790),IFERROR(0/0,""),TRUE)</f>
        <v/>
      </c>
      <c r="AD790" s="30" t="str">
        <f t="shared" si="1146"/>
        <v/>
      </c>
      <c r="AE790" s="475" t="str">
        <f>IFERROR(__xludf.DUMMYFUNCTION("""COMPUTED_VALUE"""),"CRLN")</f>
        <v>CRLN</v>
      </c>
      <c r="AF790" s="476"/>
      <c r="AG790" s="474" t="s">
        <v>183</v>
      </c>
      <c r="AH790" s="138" t="str">
        <f t="shared" si="11"/>
        <v/>
      </c>
    </row>
    <row r="791">
      <c r="A791" s="103" t="str">
        <f>IFERROR(__xludf.DUMMYFUNCTION("""COMPUTED_VALUE"""),"FLB5736")</f>
        <v>FLB5736</v>
      </c>
      <c r="B791" s="468">
        <f>IFERROR(__xludf.DUMMYFUNCTION("""COMPUTED_VALUE"""),44619.0)</f>
        <v>44619</v>
      </c>
      <c r="C791" s="469">
        <f>IFERROR(__xludf.DUMMYFUNCTION("""COMPUTED_VALUE"""),0.5463425925925925)</f>
        <v>0.5463425926</v>
      </c>
      <c r="D791" s="103" t="str">
        <f>IFERROR(__xludf.DUMMYFUNCTION("""COMPUTED_VALUE"""),"SpFLMP314549")</f>
        <v>SpFLMP314549</v>
      </c>
      <c r="E791" s="103"/>
      <c r="F791" s="103"/>
      <c r="G791" s="103" t="str">
        <f>IFERROR(__xludf.DUMMYFUNCTION("""COMPUTED_VALUE"""),"Negative")</f>
        <v>Negative</v>
      </c>
      <c r="H791" s="131" t="str">
        <f>IFERROR(__xludf.DUMMYFUNCTION("""COMPUTED_VALUE"""),"Negative")</f>
        <v>Negative</v>
      </c>
      <c r="I791" s="468">
        <f>IFERROR(__xludf.DUMMYFUNCTION("""COMPUTED_VALUE"""),44619.0)</f>
        <v>44619</v>
      </c>
      <c r="J791" s="470">
        <f>IFERROR(__xludf.DUMMYFUNCTION("""COMPUTED_VALUE"""),0.7665509259259259)</f>
        <v>0.7665509259</v>
      </c>
      <c r="K791" s="16"/>
      <c r="L791" s="8"/>
      <c r="M791" s="69"/>
      <c r="N791" s="69">
        <f>IFERROR(__xludf.DUMMYFUNCTION("""COMPUTED_VALUE"""),1.0)</f>
        <v>1</v>
      </c>
      <c r="O791" s="69" t="str">
        <f t="shared" si="3"/>
        <v/>
      </c>
      <c r="P791" s="471">
        <f>IFERROR(__xludf.DUMMYFUNCTION("""COMPUTED_VALUE"""),0.0)</f>
        <v>0</v>
      </c>
      <c r="Q791" s="274" t="str">
        <f>VLOOKUP($B791,'Run Reconcile'!B$2:O2488,14,FALSE)</f>
        <v/>
      </c>
      <c r="R791" s="472" t="str">
        <f t="array" ref="R791">IF($Q791, INDEX('Run Reconcile'!A$2:A2488,MATCH(B791,'Run Reconcile'!B$2:B2488,0),1),IFERROR(0/0,""))</f>
        <v/>
      </c>
      <c r="S791" s="473" t="str">
        <f t="shared" si="694"/>
        <v/>
      </c>
      <c r="T791" s="473" t="str">
        <f t="shared" si="698"/>
        <v/>
      </c>
      <c r="U791" s="275" t="str">
        <f t="array" ref="U791">IF(ISBLANK($R791), INDEX('Run Reconcile'!A$2:A2488, MATCH($B791, 'Run Reconcile'!B$2:B2488, 0)+Z791, 1), IFERROR(0/0,""))
</f>
        <v>RUN-FLMP_2022-02-27_RFR-091</v>
      </c>
      <c r="V791" s="474" t="str">
        <f t="shared" si="5"/>
        <v>RUN-FLMP_2022-02-27_RFR-091</v>
      </c>
      <c r="Y791" s="89" t="str">
        <f t="shared" si="867"/>
        <v/>
      </c>
      <c r="Z791" s="60" t="str">
        <f t="shared" si="7"/>
        <v/>
      </c>
      <c r="AA791" s="60" t="str">
        <f t="shared" si="8"/>
        <v/>
      </c>
      <c r="AB791" s="60" t="str">
        <f t="shared" si="9"/>
        <v/>
      </c>
      <c r="AC791" s="30" t="str">
        <f t="shared" ref="AC791:AD791" si="1147">IF(_xlfn.ISFORMULA(S791),IFERROR(0/0,""),TRUE)</f>
        <v/>
      </c>
      <c r="AD791" s="30" t="str">
        <f t="shared" si="1147"/>
        <v/>
      </c>
      <c r="AE791" s="475" t="str">
        <f>IFERROR(__xludf.DUMMYFUNCTION("""COMPUTED_VALUE"""),"CRLN")</f>
        <v>CRLN</v>
      </c>
      <c r="AF791" s="476"/>
      <c r="AG791" s="474" t="s">
        <v>183</v>
      </c>
      <c r="AH791" s="138" t="str">
        <f t="shared" si="11"/>
        <v/>
      </c>
    </row>
    <row r="792">
      <c r="A792" s="103" t="str">
        <f>IFERROR(__xludf.DUMMYFUNCTION("""COMPUTED_VALUE"""),"FLB5724")</f>
        <v>FLB5724</v>
      </c>
      <c r="B792" s="468">
        <f>IFERROR(__xludf.DUMMYFUNCTION("""COMPUTED_VALUE"""),44619.0)</f>
        <v>44619</v>
      </c>
      <c r="C792" s="469">
        <f>IFERROR(__xludf.DUMMYFUNCTION("""COMPUTED_VALUE"""),0.6089467592592592)</f>
        <v>0.6089467593</v>
      </c>
      <c r="D792" s="103" t="str">
        <f>IFERROR(__xludf.DUMMYFUNCTION("""COMPUTED_VALUE"""),"SpFLMP259015")</f>
        <v>SpFLMP259015</v>
      </c>
      <c r="E792" s="103"/>
      <c r="F792" s="103"/>
      <c r="G792" s="103" t="str">
        <f>IFERROR(__xludf.DUMMYFUNCTION("""COMPUTED_VALUE"""),"Negative")</f>
        <v>Negative</v>
      </c>
      <c r="H792" s="131" t="str">
        <f>IFERROR(__xludf.DUMMYFUNCTION("""COMPUTED_VALUE"""),"Negative")</f>
        <v>Negative</v>
      </c>
      <c r="I792" s="468">
        <f>IFERROR(__xludf.DUMMYFUNCTION("""COMPUTED_VALUE"""),44619.0)</f>
        <v>44619</v>
      </c>
      <c r="J792" s="470">
        <f>IFERROR(__xludf.DUMMYFUNCTION("""COMPUTED_VALUE"""),0.7665509259259259)</f>
        <v>0.7665509259</v>
      </c>
      <c r="K792" s="16"/>
      <c r="L792" s="8"/>
      <c r="M792" s="69"/>
      <c r="N792" s="69">
        <f>IFERROR(__xludf.DUMMYFUNCTION("""COMPUTED_VALUE"""),4.0)</f>
        <v>4</v>
      </c>
      <c r="O792" s="69" t="str">
        <f t="shared" si="3"/>
        <v/>
      </c>
      <c r="P792" s="471">
        <f>IFERROR(__xludf.DUMMYFUNCTION("""COMPUTED_VALUE"""),0.0)</f>
        <v>0</v>
      </c>
      <c r="Q792" s="274" t="str">
        <f>VLOOKUP($B792,'Run Reconcile'!B$2:O2488,14,FALSE)</f>
        <v/>
      </c>
      <c r="R792" s="472" t="str">
        <f t="array" ref="R792">IF($Q792, INDEX('Run Reconcile'!A$2:A2488,MATCH(B792,'Run Reconcile'!B$2:B2488,0),1),IFERROR(0/0,""))</f>
        <v/>
      </c>
      <c r="S792" s="473" t="str">
        <f t="shared" si="694"/>
        <v/>
      </c>
      <c r="T792" s="473" t="str">
        <f t="shared" si="698"/>
        <v/>
      </c>
      <c r="U792" s="275" t="str">
        <f t="array" ref="U792">IF(ISBLANK($R792), INDEX('Run Reconcile'!A$2:A2488, MATCH($B792, 'Run Reconcile'!B$2:B2488, 0)+Z792, 1), IFERROR(0/0,""))
</f>
        <v>RUN-FLMP_2022-02-27_RFR-091</v>
      </c>
      <c r="V792" s="474" t="str">
        <f t="shared" si="5"/>
        <v>RUN-FLMP_2022-02-27_RFR-091</v>
      </c>
      <c r="Y792" s="89" t="str">
        <f t="shared" si="867"/>
        <v/>
      </c>
      <c r="Z792" s="60" t="str">
        <f t="shared" si="7"/>
        <v/>
      </c>
      <c r="AA792" s="60" t="str">
        <f t="shared" si="8"/>
        <v/>
      </c>
      <c r="AB792" s="60" t="str">
        <f t="shared" si="9"/>
        <v/>
      </c>
      <c r="AC792" s="30" t="str">
        <f t="shared" ref="AC792:AD792" si="1148">IF(_xlfn.ISFORMULA(S792),IFERROR(0/0,""),TRUE)</f>
        <v/>
      </c>
      <c r="AD792" s="30" t="str">
        <f t="shared" si="1148"/>
        <v/>
      </c>
      <c r="AE792" s="475" t="str">
        <f>IFERROR(__xludf.DUMMYFUNCTION("""COMPUTED_VALUE"""),"CRLN")</f>
        <v>CRLN</v>
      </c>
      <c r="AF792" s="476"/>
      <c r="AG792" s="474" t="s">
        <v>183</v>
      </c>
      <c r="AH792" s="138" t="str">
        <f t="shared" si="11"/>
        <v/>
      </c>
    </row>
    <row r="793">
      <c r="A793" s="103" t="str">
        <f>IFERROR(__xludf.DUMMYFUNCTION("""COMPUTED_VALUE"""),"FLB5729")</f>
        <v>FLB5729</v>
      </c>
      <c r="B793" s="468">
        <f>IFERROR(__xludf.DUMMYFUNCTION("""COMPUTED_VALUE"""),44619.0)</f>
        <v>44619</v>
      </c>
      <c r="C793" s="469">
        <f>IFERROR(__xludf.DUMMYFUNCTION("""COMPUTED_VALUE"""),0.6093518518518518)</f>
        <v>0.6093518519</v>
      </c>
      <c r="D793" s="103" t="str">
        <f>IFERROR(__xludf.DUMMYFUNCTION("""COMPUTED_VALUE"""),"SpFLMP259015")</f>
        <v>SpFLMP259015</v>
      </c>
      <c r="E793" s="103"/>
      <c r="F793" s="103"/>
      <c r="G793" s="103" t="str">
        <f>IFERROR(__xludf.DUMMYFUNCTION("""COMPUTED_VALUE"""),"Negative")</f>
        <v>Negative</v>
      </c>
      <c r="H793" s="131" t="str">
        <f>IFERROR(__xludf.DUMMYFUNCTION("""COMPUTED_VALUE"""),"Negative")</f>
        <v>Negative</v>
      </c>
      <c r="I793" s="468">
        <f>IFERROR(__xludf.DUMMYFUNCTION("""COMPUTED_VALUE"""),44619.0)</f>
        <v>44619</v>
      </c>
      <c r="J793" s="470">
        <f>IFERROR(__xludf.DUMMYFUNCTION("""COMPUTED_VALUE"""),0.7665509259259259)</f>
        <v>0.7665509259</v>
      </c>
      <c r="K793" s="16"/>
      <c r="L793" s="8"/>
      <c r="M793" s="69"/>
      <c r="N793" s="69">
        <f>IFERROR(__xludf.DUMMYFUNCTION("""COMPUTED_VALUE"""),2.0)</f>
        <v>2</v>
      </c>
      <c r="O793" s="69" t="str">
        <f t="shared" si="3"/>
        <v/>
      </c>
      <c r="P793" s="471">
        <f>IFERROR(__xludf.DUMMYFUNCTION("""COMPUTED_VALUE"""),0.0)</f>
        <v>0</v>
      </c>
      <c r="Q793" s="274" t="str">
        <f>VLOOKUP($B793,'Run Reconcile'!B$2:O2488,14,FALSE)</f>
        <v/>
      </c>
      <c r="R793" s="472" t="str">
        <f t="array" ref="R793">IF($Q793, INDEX('Run Reconcile'!A$2:A2488,MATCH(B793,'Run Reconcile'!B$2:B2488,0),1),IFERROR(0/0,""))</f>
        <v/>
      </c>
      <c r="S793" s="473" t="str">
        <f t="shared" si="694"/>
        <v/>
      </c>
      <c r="T793" s="473" t="str">
        <f t="shared" si="698"/>
        <v/>
      </c>
      <c r="U793" s="275" t="str">
        <f t="array" ref="U793">IF(ISBLANK($R793), INDEX('Run Reconcile'!A$2:A2488, MATCH($B793, 'Run Reconcile'!B$2:B2488, 0)+Z793, 1), IFERROR(0/0,""))
</f>
        <v>RUN-FLMP_2022-02-27_RFR-091</v>
      </c>
      <c r="V793" s="474" t="str">
        <f t="shared" si="5"/>
        <v>RUN-FLMP_2022-02-27_RFR-091</v>
      </c>
      <c r="Y793" s="89" t="str">
        <f t="shared" si="867"/>
        <v/>
      </c>
      <c r="Z793" s="60" t="str">
        <f t="shared" si="7"/>
        <v/>
      </c>
      <c r="AA793" s="60" t="str">
        <f t="shared" si="8"/>
        <v/>
      </c>
      <c r="AB793" s="60" t="str">
        <f t="shared" si="9"/>
        <v/>
      </c>
      <c r="AC793" s="30" t="str">
        <f t="shared" ref="AC793:AD793" si="1149">IF(_xlfn.ISFORMULA(S793),IFERROR(0/0,""),TRUE)</f>
        <v/>
      </c>
      <c r="AD793" s="30" t="str">
        <f t="shared" si="1149"/>
        <v/>
      </c>
      <c r="AE793" s="475" t="str">
        <f>IFERROR(__xludf.DUMMYFUNCTION("""COMPUTED_VALUE"""),"CRLN")</f>
        <v>CRLN</v>
      </c>
      <c r="AF793" s="476"/>
      <c r="AG793" s="474" t="s">
        <v>183</v>
      </c>
      <c r="AH793" s="138" t="str">
        <f t="shared" si="11"/>
        <v/>
      </c>
    </row>
    <row r="794">
      <c r="A794" s="103" t="str">
        <f>IFERROR(__xludf.DUMMYFUNCTION("""COMPUTED_VALUE"""),"FLB5973")</f>
        <v>FLB5973</v>
      </c>
      <c r="B794" s="468">
        <f>IFERROR(__xludf.DUMMYFUNCTION("""COMPUTED_VALUE"""),44619.0)</f>
        <v>44619</v>
      </c>
      <c r="C794" s="469">
        <f>IFERROR(__xludf.DUMMYFUNCTION("""COMPUTED_VALUE"""),0.6121643518518518)</f>
        <v>0.6121643519</v>
      </c>
      <c r="D794" s="103" t="str">
        <f>IFERROR(__xludf.DUMMYFUNCTION("""COMPUTED_VALUE"""),"SpFLMP544731")</f>
        <v>SpFLMP544731</v>
      </c>
      <c r="E794" s="103"/>
      <c r="F794" s="103"/>
      <c r="G794" s="103" t="str">
        <f>IFERROR(__xludf.DUMMYFUNCTION("""COMPUTED_VALUE"""),"Negative")</f>
        <v>Negative</v>
      </c>
      <c r="H794" s="131" t="str">
        <f>IFERROR(__xludf.DUMMYFUNCTION("""COMPUTED_VALUE"""),"Negative")</f>
        <v>Negative</v>
      </c>
      <c r="I794" s="468">
        <f>IFERROR(__xludf.DUMMYFUNCTION("""COMPUTED_VALUE"""),44619.0)</f>
        <v>44619</v>
      </c>
      <c r="J794" s="470">
        <f>IFERROR(__xludf.DUMMYFUNCTION("""COMPUTED_VALUE"""),0.7665509259259259)</f>
        <v>0.7665509259</v>
      </c>
      <c r="K794" s="16"/>
      <c r="L794" s="8"/>
      <c r="M794" s="69"/>
      <c r="N794" s="69">
        <f>IFERROR(__xludf.DUMMYFUNCTION("""COMPUTED_VALUE"""),1.0)</f>
        <v>1</v>
      </c>
      <c r="O794" s="69" t="str">
        <f t="shared" si="3"/>
        <v/>
      </c>
      <c r="P794" s="471">
        <f>IFERROR(__xludf.DUMMYFUNCTION("""COMPUTED_VALUE"""),0.0)</f>
        <v>0</v>
      </c>
      <c r="Q794" s="274" t="str">
        <f>VLOOKUP($B794,'Run Reconcile'!B$2:O2488,14,FALSE)</f>
        <v/>
      </c>
      <c r="R794" s="472" t="str">
        <f t="array" ref="R794">IF($Q794, INDEX('Run Reconcile'!A$2:A2488,MATCH(B794,'Run Reconcile'!B$2:B2488,0),1),IFERROR(0/0,""))</f>
        <v/>
      </c>
      <c r="S794" s="473" t="str">
        <f t="shared" si="694"/>
        <v/>
      </c>
      <c r="T794" s="473" t="str">
        <f t="shared" si="698"/>
        <v/>
      </c>
      <c r="U794" s="275" t="str">
        <f t="array" ref="U794">IF(ISBLANK($R794), INDEX('Run Reconcile'!A$2:A2488, MATCH($B794, 'Run Reconcile'!B$2:B2488, 0)+Z794, 1), IFERROR(0/0,""))
</f>
        <v>RUN-FLMP_2022-02-27_RFR-091</v>
      </c>
      <c r="V794" s="474" t="str">
        <f t="shared" si="5"/>
        <v>RUN-FLMP_2022-02-27_RFR-091</v>
      </c>
      <c r="Y794" s="89" t="str">
        <f t="shared" si="867"/>
        <v/>
      </c>
      <c r="Z794" s="60" t="str">
        <f t="shared" si="7"/>
        <v/>
      </c>
      <c r="AA794" s="60" t="str">
        <f t="shared" si="8"/>
        <v/>
      </c>
      <c r="AB794" s="60" t="str">
        <f t="shared" si="9"/>
        <v/>
      </c>
      <c r="AC794" s="30" t="str">
        <f t="shared" ref="AC794:AD794" si="1150">IF(_xlfn.ISFORMULA(S794),IFERROR(0/0,""),TRUE)</f>
        <v/>
      </c>
      <c r="AD794" s="30" t="str">
        <f t="shared" si="1150"/>
        <v/>
      </c>
      <c r="AE794" s="475" t="str">
        <f>IFERROR(__xludf.DUMMYFUNCTION("""COMPUTED_VALUE"""),"CRLN")</f>
        <v>CRLN</v>
      </c>
      <c r="AF794" s="476"/>
      <c r="AG794" s="474" t="s">
        <v>183</v>
      </c>
      <c r="AH794" s="138" t="str">
        <f t="shared" si="11"/>
        <v/>
      </c>
    </row>
    <row r="795">
      <c r="A795" s="103" t="str">
        <f>IFERROR(__xludf.DUMMYFUNCTION("""COMPUTED_VALUE"""),"FLB6760")</f>
        <v>FLB6760</v>
      </c>
      <c r="B795" s="468">
        <f>IFERROR(__xludf.DUMMYFUNCTION("""COMPUTED_VALUE"""),44619.0)</f>
        <v>44619</v>
      </c>
      <c r="C795" s="469">
        <f>IFERROR(__xludf.DUMMYFUNCTION("""COMPUTED_VALUE"""),0.6229166666666667)</f>
        <v>0.6229166667</v>
      </c>
      <c r="D795" s="103" t="str">
        <f>IFERROR(__xludf.DUMMYFUNCTION("""COMPUTED_VALUE"""),"SpFLMP604497")</f>
        <v>SpFLMP604497</v>
      </c>
      <c r="E795" s="103"/>
      <c r="F795" s="103"/>
      <c r="G795" s="103" t="str">
        <f>IFERROR(__xludf.DUMMYFUNCTION("""COMPUTED_VALUE"""),"Negative")</f>
        <v>Negative</v>
      </c>
      <c r="H795" s="131" t="str">
        <f>IFERROR(__xludf.DUMMYFUNCTION("""COMPUTED_VALUE"""),"Negative")</f>
        <v>Negative</v>
      </c>
      <c r="I795" s="468">
        <f>IFERROR(__xludf.DUMMYFUNCTION("""COMPUTED_VALUE"""),44619.0)</f>
        <v>44619</v>
      </c>
      <c r="J795" s="470">
        <f>IFERROR(__xludf.DUMMYFUNCTION("""COMPUTED_VALUE"""),0.7665509259259259)</f>
        <v>0.7665509259</v>
      </c>
      <c r="K795" s="16"/>
      <c r="L795" s="8"/>
      <c r="M795" s="69"/>
      <c r="N795" s="69">
        <f>IFERROR(__xludf.DUMMYFUNCTION("""COMPUTED_VALUE"""),3.0)</f>
        <v>3</v>
      </c>
      <c r="O795" s="69" t="str">
        <f t="shared" si="3"/>
        <v/>
      </c>
      <c r="P795" s="471">
        <f>IFERROR(__xludf.DUMMYFUNCTION("""COMPUTED_VALUE"""),0.0)</f>
        <v>0</v>
      </c>
      <c r="Q795" s="274" t="str">
        <f>VLOOKUP($B795,'Run Reconcile'!B$2:O2488,14,FALSE)</f>
        <v/>
      </c>
      <c r="R795" s="472" t="str">
        <f t="array" ref="R795">IF($Q795, INDEX('Run Reconcile'!A$2:A2488,MATCH(B795,'Run Reconcile'!B$2:B2488,0),1),IFERROR(0/0,""))</f>
        <v/>
      </c>
      <c r="S795" s="473" t="str">
        <f t="shared" si="694"/>
        <v/>
      </c>
      <c r="T795" s="473" t="str">
        <f t="shared" si="698"/>
        <v/>
      </c>
      <c r="U795" s="275" t="str">
        <f t="array" ref="U795">IF(ISBLANK($R795), INDEX('Run Reconcile'!A$2:A2488, MATCH($B795, 'Run Reconcile'!B$2:B2488, 0)+Z795, 1), IFERROR(0/0,""))
</f>
        <v>RUN-FLMP_2022-02-27_RFR-091</v>
      </c>
      <c r="V795" s="474" t="str">
        <f t="shared" si="5"/>
        <v>RUN-FLMP_2022-02-27_RFR-091</v>
      </c>
      <c r="Y795" s="89" t="str">
        <f t="shared" si="867"/>
        <v/>
      </c>
      <c r="Z795" s="60" t="str">
        <f t="shared" si="7"/>
        <v/>
      </c>
      <c r="AA795" s="60" t="str">
        <f t="shared" si="8"/>
        <v/>
      </c>
      <c r="AB795" s="60" t="str">
        <f t="shared" si="9"/>
        <v/>
      </c>
      <c r="AC795" s="30" t="str">
        <f t="shared" ref="AC795:AD795" si="1151">IF(_xlfn.ISFORMULA(S795),IFERROR(0/0,""),TRUE)</f>
        <v/>
      </c>
      <c r="AD795" s="30" t="str">
        <f t="shared" si="1151"/>
        <v/>
      </c>
      <c r="AE795" s="475" t="str">
        <f>IFERROR(__xludf.DUMMYFUNCTION("""COMPUTED_VALUE"""),"CRLN")</f>
        <v>CRLN</v>
      </c>
      <c r="AF795" s="476"/>
      <c r="AG795" s="474" t="s">
        <v>183</v>
      </c>
      <c r="AH795" s="138" t="str">
        <f t="shared" si="11"/>
        <v/>
      </c>
    </row>
    <row r="796">
      <c r="A796" s="103" t="str">
        <f>IFERROR(__xludf.DUMMYFUNCTION("""COMPUTED_VALUE"""),"FLB5391")</f>
        <v>FLB5391</v>
      </c>
      <c r="B796" s="468">
        <f>IFERROR(__xludf.DUMMYFUNCTION("""COMPUTED_VALUE"""),44619.0)</f>
        <v>44619</v>
      </c>
      <c r="C796" s="469">
        <f>IFERROR(__xludf.DUMMYFUNCTION("""COMPUTED_VALUE"""),0.6289814814814815)</f>
        <v>0.6289814815</v>
      </c>
      <c r="D796" s="103" t="str">
        <f>IFERROR(__xludf.DUMMYFUNCTION("""COMPUTED_VALUE"""),"SpFLMP309785")</f>
        <v>SpFLMP309785</v>
      </c>
      <c r="E796" s="103"/>
      <c r="F796" s="103"/>
      <c r="G796" s="103" t="str">
        <f>IFERROR(__xludf.DUMMYFUNCTION("""COMPUTED_VALUE"""),"Negative")</f>
        <v>Negative</v>
      </c>
      <c r="H796" s="131" t="str">
        <f>IFERROR(__xludf.DUMMYFUNCTION("""COMPUTED_VALUE"""),"Negative")</f>
        <v>Negative</v>
      </c>
      <c r="I796" s="468">
        <f>IFERROR(__xludf.DUMMYFUNCTION("""COMPUTED_VALUE"""),44619.0)</f>
        <v>44619</v>
      </c>
      <c r="J796" s="470">
        <f>IFERROR(__xludf.DUMMYFUNCTION("""COMPUTED_VALUE"""),0.7665509259259259)</f>
        <v>0.7665509259</v>
      </c>
      <c r="K796" s="16"/>
      <c r="L796" s="8"/>
      <c r="M796" s="69"/>
      <c r="N796" s="69">
        <f>IFERROR(__xludf.DUMMYFUNCTION("""COMPUTED_VALUE"""),4.0)</f>
        <v>4</v>
      </c>
      <c r="O796" s="69" t="str">
        <f t="shared" si="3"/>
        <v/>
      </c>
      <c r="P796" s="471">
        <f>IFERROR(__xludf.DUMMYFUNCTION("""COMPUTED_VALUE"""),0.0)</f>
        <v>0</v>
      </c>
      <c r="Q796" s="274" t="str">
        <f>VLOOKUP($B796,'Run Reconcile'!B$2:O2488,14,FALSE)</f>
        <v/>
      </c>
      <c r="R796" s="472" t="str">
        <f t="array" ref="R796">IF($Q796, INDEX('Run Reconcile'!A$2:A2488,MATCH(B796,'Run Reconcile'!B$2:B2488,0),1),IFERROR(0/0,""))</f>
        <v/>
      </c>
      <c r="S796" s="473" t="str">
        <f t="shared" si="694"/>
        <v/>
      </c>
      <c r="T796" s="473" t="str">
        <f t="shared" si="698"/>
        <v/>
      </c>
      <c r="U796" s="275" t="str">
        <f t="array" ref="U796">IF(ISBLANK($R796), INDEX('Run Reconcile'!A$2:A2488, MATCH($B796, 'Run Reconcile'!B$2:B2488, 0)+Z796, 1), IFERROR(0/0,""))
</f>
        <v>RUN-FLMP_2022-02-27_RFR-091</v>
      </c>
      <c r="V796" s="474" t="str">
        <f t="shared" si="5"/>
        <v>RUN-FLMP_2022-02-27_RFR-091</v>
      </c>
      <c r="Y796" s="89" t="str">
        <f t="shared" si="867"/>
        <v/>
      </c>
      <c r="Z796" s="60" t="str">
        <f t="shared" si="7"/>
        <v/>
      </c>
      <c r="AA796" s="60" t="str">
        <f t="shared" si="8"/>
        <v/>
      </c>
      <c r="AB796" s="60" t="str">
        <f t="shared" si="9"/>
        <v/>
      </c>
      <c r="AC796" s="30" t="str">
        <f t="shared" ref="AC796:AD796" si="1152">IF(_xlfn.ISFORMULA(S796),IFERROR(0/0,""),TRUE)</f>
        <v/>
      </c>
      <c r="AD796" s="30" t="str">
        <f t="shared" si="1152"/>
        <v/>
      </c>
      <c r="AE796" s="475" t="str">
        <f>IFERROR(__xludf.DUMMYFUNCTION("""COMPUTED_VALUE"""),"CRLN")</f>
        <v>CRLN</v>
      </c>
      <c r="AF796" s="476"/>
      <c r="AG796" s="474" t="s">
        <v>183</v>
      </c>
      <c r="AH796" s="138" t="str">
        <f t="shared" si="11"/>
        <v/>
      </c>
    </row>
    <row r="797">
      <c r="A797" s="103" t="str">
        <f>IFERROR(__xludf.DUMMYFUNCTION("""COMPUTED_VALUE"""),"FLB6869")</f>
        <v>FLB6869</v>
      </c>
      <c r="B797" s="468">
        <f>IFERROR(__xludf.DUMMYFUNCTION("""COMPUTED_VALUE"""),44619.0)</f>
        <v>44619</v>
      </c>
      <c r="C797" s="469">
        <f>IFERROR(__xludf.DUMMYFUNCTION("""COMPUTED_VALUE"""),0.6396527777777777)</f>
        <v>0.6396527778</v>
      </c>
      <c r="D797" s="103" t="str">
        <f>IFERROR(__xludf.DUMMYFUNCTION("""COMPUTED_VALUE"""),"SpFLMP572444")</f>
        <v>SpFLMP572444</v>
      </c>
      <c r="E797" s="103"/>
      <c r="F797" s="103"/>
      <c r="G797" s="103" t="str">
        <f>IFERROR(__xludf.DUMMYFUNCTION("""COMPUTED_VALUE"""),"Negative")</f>
        <v>Negative</v>
      </c>
      <c r="H797" s="131" t="str">
        <f>IFERROR(__xludf.DUMMYFUNCTION("""COMPUTED_VALUE"""),"Negative")</f>
        <v>Negative</v>
      </c>
      <c r="I797" s="468">
        <f>IFERROR(__xludf.DUMMYFUNCTION("""COMPUTED_VALUE"""),44619.0)</f>
        <v>44619</v>
      </c>
      <c r="J797" s="470">
        <f>IFERROR(__xludf.DUMMYFUNCTION("""COMPUTED_VALUE"""),0.7665509259259259)</f>
        <v>0.7665509259</v>
      </c>
      <c r="K797" s="16"/>
      <c r="L797" s="8"/>
      <c r="M797" s="69"/>
      <c r="N797" s="69">
        <f>IFERROR(__xludf.DUMMYFUNCTION("""COMPUTED_VALUE"""),4.0)</f>
        <v>4</v>
      </c>
      <c r="O797" s="69" t="str">
        <f t="shared" si="3"/>
        <v/>
      </c>
      <c r="P797" s="471">
        <f>IFERROR(__xludf.DUMMYFUNCTION("""COMPUTED_VALUE"""),0.0)</f>
        <v>0</v>
      </c>
      <c r="Q797" s="274" t="str">
        <f>VLOOKUP($B797,'Run Reconcile'!B$2:O2488,14,FALSE)</f>
        <v/>
      </c>
      <c r="R797" s="472" t="str">
        <f t="array" ref="R797">IF($Q797, INDEX('Run Reconcile'!A$2:A2488,MATCH(B797,'Run Reconcile'!B$2:B2488,0),1),IFERROR(0/0,""))</f>
        <v/>
      </c>
      <c r="S797" s="473" t="str">
        <f t="shared" si="694"/>
        <v/>
      </c>
      <c r="T797" s="473" t="str">
        <f t="shared" si="698"/>
        <v/>
      </c>
      <c r="U797" s="275" t="str">
        <f t="array" ref="U797">IF(ISBLANK($R797), INDEX('Run Reconcile'!A$2:A2488, MATCH($B797, 'Run Reconcile'!B$2:B2488, 0)+Z797, 1), IFERROR(0/0,""))
</f>
        <v>RUN-FLMP_2022-02-27_RFR-091</v>
      </c>
      <c r="V797" s="474" t="str">
        <f t="shared" si="5"/>
        <v>RUN-FLMP_2022-02-27_RFR-091</v>
      </c>
      <c r="Y797" s="89" t="str">
        <f t="shared" si="867"/>
        <v/>
      </c>
      <c r="Z797" s="60" t="str">
        <f t="shared" si="7"/>
        <v/>
      </c>
      <c r="AA797" s="60" t="str">
        <f t="shared" si="8"/>
        <v/>
      </c>
      <c r="AB797" s="60" t="str">
        <f t="shared" si="9"/>
        <v/>
      </c>
      <c r="AC797" s="30" t="str">
        <f t="shared" ref="AC797:AD797" si="1153">IF(_xlfn.ISFORMULA(S797),IFERROR(0/0,""),TRUE)</f>
        <v/>
      </c>
      <c r="AD797" s="30" t="str">
        <f t="shared" si="1153"/>
        <v/>
      </c>
      <c r="AE797" s="475" t="str">
        <f>IFERROR(__xludf.DUMMYFUNCTION("""COMPUTED_VALUE"""),"CRLN")</f>
        <v>CRLN</v>
      </c>
      <c r="AF797" s="476"/>
      <c r="AG797" s="474" t="s">
        <v>183</v>
      </c>
      <c r="AH797" s="138" t="str">
        <f t="shared" si="11"/>
        <v/>
      </c>
    </row>
    <row r="798">
      <c r="A798" s="103" t="str">
        <f>IFERROR(__xludf.DUMMYFUNCTION("""COMPUTED_VALUE"""),"FLT1409")</f>
        <v>FLT1409</v>
      </c>
      <c r="B798" s="468">
        <f>IFERROR(__xludf.DUMMYFUNCTION("""COMPUTED_VALUE"""),44619.0)</f>
        <v>44619</v>
      </c>
      <c r="C798" s="469">
        <f>IFERROR(__xludf.DUMMYFUNCTION("""COMPUTED_VALUE"""),0.6415393518518518)</f>
        <v>0.6415393519</v>
      </c>
      <c r="D798" s="103" t="str">
        <f>IFERROR(__xludf.DUMMYFUNCTION("""COMPUTED_VALUE"""),"SpFLMP273885")</f>
        <v>SpFLMP273885</v>
      </c>
      <c r="E798" s="103"/>
      <c r="F798" s="103"/>
      <c r="G798" s="103" t="str">
        <f>IFERROR(__xludf.DUMMYFUNCTION("""COMPUTED_VALUE"""),"Negative")</f>
        <v>Negative</v>
      </c>
      <c r="H798" s="131" t="str">
        <f>IFERROR(__xludf.DUMMYFUNCTION("""COMPUTED_VALUE"""),"Negative")</f>
        <v>Negative</v>
      </c>
      <c r="I798" s="468">
        <f>IFERROR(__xludf.DUMMYFUNCTION("""COMPUTED_VALUE"""),44619.0)</f>
        <v>44619</v>
      </c>
      <c r="J798" s="470">
        <f>IFERROR(__xludf.DUMMYFUNCTION("""COMPUTED_VALUE"""),0.7665509259259259)</f>
        <v>0.7665509259</v>
      </c>
      <c r="K798" s="16"/>
      <c r="L798" s="8"/>
      <c r="M798" s="69"/>
      <c r="N798" s="69">
        <f>IFERROR(__xludf.DUMMYFUNCTION("""COMPUTED_VALUE"""),4.0)</f>
        <v>4</v>
      </c>
      <c r="O798" s="69" t="str">
        <f t="shared" si="3"/>
        <v/>
      </c>
      <c r="P798" s="471">
        <f>IFERROR(__xludf.DUMMYFUNCTION("""COMPUTED_VALUE"""),0.0)</f>
        <v>0</v>
      </c>
      <c r="Q798" s="274" t="str">
        <f>VLOOKUP($B798,'Run Reconcile'!B$2:O2488,14,FALSE)</f>
        <v/>
      </c>
      <c r="R798" s="472" t="str">
        <f t="array" ref="R798">IF($Q798, INDEX('Run Reconcile'!A$2:A2488,MATCH(B798,'Run Reconcile'!B$2:B2488,0),1),IFERROR(0/0,""))</f>
        <v/>
      </c>
      <c r="S798" s="473" t="str">
        <f t="shared" si="694"/>
        <v/>
      </c>
      <c r="T798" s="473" t="str">
        <f t="shared" si="698"/>
        <v/>
      </c>
      <c r="U798" s="275" t="str">
        <f t="array" ref="U798">IF(ISBLANK($R798), INDEX('Run Reconcile'!A$2:A2488, MATCH($B798, 'Run Reconcile'!B$2:B2488, 0)+Z798, 1), IFERROR(0/0,""))
</f>
        <v>RUN-FLMP_2022-02-27_RFR-091</v>
      </c>
      <c r="V798" s="474" t="str">
        <f t="shared" si="5"/>
        <v>RUN-FLMP_2022-02-27_RFR-091</v>
      </c>
      <c r="Y798" s="89" t="str">
        <f t="shared" si="867"/>
        <v/>
      </c>
      <c r="Z798" s="60" t="str">
        <f t="shared" si="7"/>
        <v/>
      </c>
      <c r="AA798" s="60" t="str">
        <f t="shared" si="8"/>
        <v/>
      </c>
      <c r="AB798" s="60" t="str">
        <f t="shared" si="9"/>
        <v/>
      </c>
      <c r="AC798" s="30" t="str">
        <f t="shared" ref="AC798:AD798" si="1154">IF(_xlfn.ISFORMULA(S798),IFERROR(0/0,""),TRUE)</f>
        <v/>
      </c>
      <c r="AD798" s="30" t="str">
        <f t="shared" si="1154"/>
        <v/>
      </c>
      <c r="AE798" s="475" t="str">
        <f>IFERROR(__xludf.DUMMYFUNCTION("""COMPUTED_VALUE"""),"CRLN")</f>
        <v>CRLN</v>
      </c>
      <c r="AF798" s="476"/>
      <c r="AG798" s="474" t="s">
        <v>183</v>
      </c>
      <c r="AH798" s="138" t="str">
        <f t="shared" si="11"/>
        <v/>
      </c>
    </row>
    <row r="799">
      <c r="A799" s="103" t="str">
        <f>IFERROR(__xludf.DUMMYFUNCTION("""COMPUTED_VALUE"""),"FLB6759")</f>
        <v>FLB6759</v>
      </c>
      <c r="B799" s="468">
        <f>IFERROR(__xludf.DUMMYFUNCTION("""COMPUTED_VALUE"""),44619.0)</f>
        <v>44619</v>
      </c>
      <c r="C799" s="469">
        <f>IFERROR(__xludf.DUMMYFUNCTION("""COMPUTED_VALUE"""),0.6434375)</f>
        <v>0.6434375</v>
      </c>
      <c r="D799" s="103" t="str">
        <f>IFERROR(__xludf.DUMMYFUNCTION("""COMPUTED_VALUE"""),"SpFLMP965392")</f>
        <v>SpFLMP965392</v>
      </c>
      <c r="E799" s="103"/>
      <c r="F799" s="103"/>
      <c r="G799" s="103" t="str">
        <f>IFERROR(__xludf.DUMMYFUNCTION("""COMPUTED_VALUE"""),"Negative")</f>
        <v>Negative</v>
      </c>
      <c r="H799" s="131" t="str">
        <f>IFERROR(__xludf.DUMMYFUNCTION("""COMPUTED_VALUE"""),"Negative")</f>
        <v>Negative</v>
      </c>
      <c r="I799" s="468">
        <f>IFERROR(__xludf.DUMMYFUNCTION("""COMPUTED_VALUE"""),44619.0)</f>
        <v>44619</v>
      </c>
      <c r="J799" s="470">
        <f>IFERROR(__xludf.DUMMYFUNCTION("""COMPUTED_VALUE"""),0.7665509259259259)</f>
        <v>0.7665509259</v>
      </c>
      <c r="K799" s="16"/>
      <c r="L799" s="8"/>
      <c r="M799" s="69"/>
      <c r="N799" s="69">
        <f>IFERROR(__xludf.DUMMYFUNCTION("""COMPUTED_VALUE"""),4.0)</f>
        <v>4</v>
      </c>
      <c r="O799" s="69" t="str">
        <f t="shared" si="3"/>
        <v/>
      </c>
      <c r="P799" s="471">
        <f>IFERROR(__xludf.DUMMYFUNCTION("""COMPUTED_VALUE"""),0.0)</f>
        <v>0</v>
      </c>
      <c r="Q799" s="274" t="str">
        <f>VLOOKUP($B799,'Run Reconcile'!B$2:O2488,14,FALSE)</f>
        <v/>
      </c>
      <c r="R799" s="472" t="str">
        <f t="array" ref="R799">IF($Q799, INDEX('Run Reconcile'!A$2:A2488,MATCH(B799,'Run Reconcile'!B$2:B2488,0),1),IFERROR(0/0,""))</f>
        <v/>
      </c>
      <c r="S799" s="473" t="str">
        <f t="shared" si="694"/>
        <v/>
      </c>
      <c r="T799" s="473" t="str">
        <f t="shared" si="698"/>
        <v/>
      </c>
      <c r="U799" s="275" t="str">
        <f t="array" ref="U799">IF(ISBLANK($R799), INDEX('Run Reconcile'!A$2:A2488, MATCH($B799, 'Run Reconcile'!B$2:B2488, 0)+Z799, 1), IFERROR(0/0,""))
</f>
        <v>RUN-FLMP_2022-02-27_RFR-091</v>
      </c>
      <c r="V799" s="474" t="str">
        <f t="shared" si="5"/>
        <v>RUN-FLMP_2022-02-27_RFR-091</v>
      </c>
      <c r="Y799" s="89" t="str">
        <f t="shared" si="867"/>
        <v/>
      </c>
      <c r="Z799" s="60" t="str">
        <f t="shared" si="7"/>
        <v/>
      </c>
      <c r="AA799" s="60" t="str">
        <f t="shared" si="8"/>
        <v/>
      </c>
      <c r="AB799" s="60" t="str">
        <f t="shared" si="9"/>
        <v/>
      </c>
      <c r="AC799" s="30" t="str">
        <f t="shared" ref="AC799:AD799" si="1155">IF(_xlfn.ISFORMULA(S799),IFERROR(0/0,""),TRUE)</f>
        <v/>
      </c>
      <c r="AD799" s="30" t="str">
        <f t="shared" si="1155"/>
        <v/>
      </c>
      <c r="AE799" s="475" t="str">
        <f>IFERROR(__xludf.DUMMYFUNCTION("""COMPUTED_VALUE"""),"CRLN")</f>
        <v>CRLN</v>
      </c>
      <c r="AF799" s="476"/>
      <c r="AG799" s="474" t="s">
        <v>183</v>
      </c>
      <c r="AH799" s="138" t="str">
        <f t="shared" si="11"/>
        <v/>
      </c>
    </row>
    <row r="800">
      <c r="A800" s="103" t="str">
        <f>IFERROR(__xludf.DUMMYFUNCTION("""COMPUTED_VALUE"""),"FLB6770")</f>
        <v>FLB6770</v>
      </c>
      <c r="B800" s="468">
        <f>IFERROR(__xludf.DUMMYFUNCTION("""COMPUTED_VALUE"""),44619.0)</f>
        <v>44619</v>
      </c>
      <c r="C800" s="469">
        <f>IFERROR(__xludf.DUMMYFUNCTION("""COMPUTED_VALUE"""),0.6515277777777778)</f>
        <v>0.6515277778</v>
      </c>
      <c r="D800" s="103" t="str">
        <f>IFERROR(__xludf.DUMMYFUNCTION("""COMPUTED_VALUE"""),"SpFLMP600756")</f>
        <v>SpFLMP600756</v>
      </c>
      <c r="E800" s="103"/>
      <c r="F800" s="103"/>
      <c r="G800" s="103" t="str">
        <f>IFERROR(__xludf.DUMMYFUNCTION("""COMPUTED_VALUE"""),"Negative")</f>
        <v>Negative</v>
      </c>
      <c r="H800" s="131" t="str">
        <f>IFERROR(__xludf.DUMMYFUNCTION("""COMPUTED_VALUE"""),"Negative")</f>
        <v>Negative</v>
      </c>
      <c r="I800" s="468">
        <f>IFERROR(__xludf.DUMMYFUNCTION("""COMPUTED_VALUE"""),44619.0)</f>
        <v>44619</v>
      </c>
      <c r="J800" s="470">
        <f>IFERROR(__xludf.DUMMYFUNCTION("""COMPUTED_VALUE"""),0.7665625)</f>
        <v>0.7665625</v>
      </c>
      <c r="K800" s="16"/>
      <c r="L800" s="8"/>
      <c r="M800" s="69"/>
      <c r="N800" s="69">
        <f>IFERROR(__xludf.DUMMYFUNCTION("""COMPUTED_VALUE"""),2.0)</f>
        <v>2</v>
      </c>
      <c r="O800" s="69" t="str">
        <f t="shared" si="3"/>
        <v/>
      </c>
      <c r="P800" s="471">
        <f>IFERROR(__xludf.DUMMYFUNCTION("""COMPUTED_VALUE"""),0.0)</f>
        <v>0</v>
      </c>
      <c r="Q800" s="274" t="str">
        <f>VLOOKUP($B800,'Run Reconcile'!B$2:O2488,14,FALSE)</f>
        <v/>
      </c>
      <c r="R800" s="472" t="str">
        <f t="array" ref="R800">IF($Q800, INDEX('Run Reconcile'!A$2:A2488,MATCH(B800,'Run Reconcile'!B$2:B2488,0),1),IFERROR(0/0,""))</f>
        <v/>
      </c>
      <c r="S800" s="473" t="str">
        <f t="shared" si="694"/>
        <v/>
      </c>
      <c r="T800" s="473" t="str">
        <f t="shared" si="698"/>
        <v/>
      </c>
      <c r="U800" s="275" t="str">
        <f t="array" ref="U800">IF(ISBLANK($R800), INDEX('Run Reconcile'!A$2:A2488, MATCH($B800, 'Run Reconcile'!B$2:B2488, 0)+Z800, 1), IFERROR(0/0,""))
</f>
        <v>RUN-FLMP_2022-02-27_RFR-091</v>
      </c>
      <c r="V800" s="474" t="str">
        <f t="shared" si="5"/>
        <v>RUN-FLMP_2022-02-27_RFR-091</v>
      </c>
      <c r="Y800" s="89" t="str">
        <f t="shared" si="867"/>
        <v/>
      </c>
      <c r="Z800" s="60" t="str">
        <f t="shared" si="7"/>
        <v/>
      </c>
      <c r="AA800" s="60" t="str">
        <f t="shared" si="8"/>
        <v/>
      </c>
      <c r="AB800" s="60" t="str">
        <f t="shared" si="9"/>
        <v/>
      </c>
      <c r="AC800" s="30" t="str">
        <f t="shared" ref="AC800:AD800" si="1156">IF(_xlfn.ISFORMULA(S800),IFERROR(0/0,""),TRUE)</f>
        <v/>
      </c>
      <c r="AD800" s="30" t="str">
        <f t="shared" si="1156"/>
        <v/>
      </c>
      <c r="AE800" s="475" t="str">
        <f>IFERROR(__xludf.DUMMYFUNCTION("""COMPUTED_VALUE"""),"CRLN")</f>
        <v>CRLN</v>
      </c>
      <c r="AF800" s="476"/>
      <c r="AG800" s="474" t="s">
        <v>183</v>
      </c>
      <c r="AH800" s="138" t="str">
        <f t="shared" si="11"/>
        <v/>
      </c>
    </row>
    <row r="801">
      <c r="A801" s="103" t="str">
        <f>IFERROR(__xludf.DUMMYFUNCTION("""COMPUTED_VALUE"""),"FLB6554")</f>
        <v>FLB6554</v>
      </c>
      <c r="B801" s="468">
        <f>IFERROR(__xludf.DUMMYFUNCTION("""COMPUTED_VALUE"""),44619.0)</f>
        <v>44619</v>
      </c>
      <c r="C801" s="469">
        <f>IFERROR(__xludf.DUMMYFUNCTION("""COMPUTED_VALUE"""),0.6535185185185185)</f>
        <v>0.6535185185</v>
      </c>
      <c r="D801" s="103" t="str">
        <f>IFERROR(__xludf.DUMMYFUNCTION("""COMPUTED_VALUE"""),"SpFLMP596479")</f>
        <v>SpFLMP596479</v>
      </c>
      <c r="E801" s="103"/>
      <c r="F801" s="103"/>
      <c r="G801" s="103" t="str">
        <f>IFERROR(__xludf.DUMMYFUNCTION("""COMPUTED_VALUE"""),"Negative")</f>
        <v>Negative</v>
      </c>
      <c r="H801" s="131" t="str">
        <f>IFERROR(__xludf.DUMMYFUNCTION("""COMPUTED_VALUE"""),"Negative")</f>
        <v>Negative</v>
      </c>
      <c r="I801" s="468">
        <f>IFERROR(__xludf.DUMMYFUNCTION("""COMPUTED_VALUE"""),44619.0)</f>
        <v>44619</v>
      </c>
      <c r="J801" s="470">
        <f>IFERROR(__xludf.DUMMYFUNCTION("""COMPUTED_VALUE"""),0.7665625)</f>
        <v>0.7665625</v>
      </c>
      <c r="K801" s="16"/>
      <c r="L801" s="8"/>
      <c r="M801" s="69"/>
      <c r="N801" s="69">
        <f>IFERROR(__xludf.DUMMYFUNCTION("""COMPUTED_VALUE"""),3.0)</f>
        <v>3</v>
      </c>
      <c r="O801" s="69" t="str">
        <f t="shared" si="3"/>
        <v/>
      </c>
      <c r="P801" s="471">
        <f>IFERROR(__xludf.DUMMYFUNCTION("""COMPUTED_VALUE"""),0.0)</f>
        <v>0</v>
      </c>
      <c r="Q801" s="274" t="str">
        <f>VLOOKUP($B801,'Run Reconcile'!B$2:O2488,14,FALSE)</f>
        <v/>
      </c>
      <c r="R801" s="472" t="str">
        <f t="array" ref="R801">IF($Q801, INDEX('Run Reconcile'!A$2:A2488,MATCH(B801,'Run Reconcile'!B$2:B2488,0),1),IFERROR(0/0,""))</f>
        <v/>
      </c>
      <c r="S801" s="473" t="str">
        <f t="shared" si="694"/>
        <v/>
      </c>
      <c r="T801" s="473" t="str">
        <f t="shared" si="698"/>
        <v/>
      </c>
      <c r="U801" s="275" t="str">
        <f t="array" ref="U801">IF(ISBLANK($R801), INDEX('Run Reconcile'!A$2:A2488, MATCH($B801, 'Run Reconcile'!B$2:B2488, 0)+Z801, 1), IFERROR(0/0,""))
</f>
        <v>RUN-FLMP_2022-02-27_RFR-091</v>
      </c>
      <c r="V801" s="474" t="str">
        <f t="shared" si="5"/>
        <v>RUN-FLMP_2022-02-27_RFR-091</v>
      </c>
      <c r="Y801" s="89" t="str">
        <f t="shared" si="867"/>
        <v/>
      </c>
      <c r="Z801" s="60" t="str">
        <f t="shared" si="7"/>
        <v/>
      </c>
      <c r="AA801" s="60" t="str">
        <f t="shared" si="8"/>
        <v/>
      </c>
      <c r="AB801" s="60" t="str">
        <f t="shared" si="9"/>
        <v/>
      </c>
      <c r="AC801" s="30" t="str">
        <f t="shared" ref="AC801:AD801" si="1157">IF(_xlfn.ISFORMULA(S801),IFERROR(0/0,""),TRUE)</f>
        <v/>
      </c>
      <c r="AD801" s="30" t="str">
        <f t="shared" si="1157"/>
        <v/>
      </c>
      <c r="AE801" s="475" t="str">
        <f>IFERROR(__xludf.DUMMYFUNCTION("""COMPUTED_VALUE"""),"CRLN")</f>
        <v>CRLN</v>
      </c>
      <c r="AF801" s="476"/>
      <c r="AG801" s="474" t="s">
        <v>183</v>
      </c>
      <c r="AH801" s="138" t="str">
        <f t="shared" si="11"/>
        <v/>
      </c>
    </row>
    <row r="802">
      <c r="A802" s="103" t="str">
        <f>IFERROR(__xludf.DUMMYFUNCTION("""COMPUTED_VALUE"""),"FLB5435")</f>
        <v>FLB5435</v>
      </c>
      <c r="B802" s="468">
        <f>IFERROR(__xludf.DUMMYFUNCTION("""COMPUTED_VALUE"""),44619.0)</f>
        <v>44619</v>
      </c>
      <c r="C802" s="469">
        <f>IFERROR(__xludf.DUMMYFUNCTION("""COMPUTED_VALUE"""),0.656875)</f>
        <v>0.656875</v>
      </c>
      <c r="D802" s="103" t="str">
        <f>IFERROR(__xludf.DUMMYFUNCTION("""COMPUTED_VALUE"""),"SpFLMP777132")</f>
        <v>SpFLMP777132</v>
      </c>
      <c r="E802" s="103"/>
      <c r="F802" s="103"/>
      <c r="G802" s="103" t="str">
        <f>IFERROR(__xludf.DUMMYFUNCTION("""COMPUTED_VALUE"""),"Negative")</f>
        <v>Negative</v>
      </c>
      <c r="H802" s="131" t="str">
        <f>IFERROR(__xludf.DUMMYFUNCTION("""COMPUTED_VALUE"""),"Negative")</f>
        <v>Negative</v>
      </c>
      <c r="I802" s="468">
        <f>IFERROR(__xludf.DUMMYFUNCTION("""COMPUTED_VALUE"""),44619.0)</f>
        <v>44619</v>
      </c>
      <c r="J802" s="470">
        <f>IFERROR(__xludf.DUMMYFUNCTION("""COMPUTED_VALUE"""),0.7665625)</f>
        <v>0.7665625</v>
      </c>
      <c r="K802" s="16"/>
      <c r="L802" s="8"/>
      <c r="M802" s="69"/>
      <c r="N802" s="69">
        <f>IFERROR(__xludf.DUMMYFUNCTION("""COMPUTED_VALUE"""),4.0)</f>
        <v>4</v>
      </c>
      <c r="O802" s="69" t="str">
        <f t="shared" si="3"/>
        <v/>
      </c>
      <c r="P802" s="471">
        <f>IFERROR(__xludf.DUMMYFUNCTION("""COMPUTED_VALUE"""),0.0)</f>
        <v>0</v>
      </c>
      <c r="Q802" s="274" t="str">
        <f>VLOOKUP($B802,'Run Reconcile'!B$2:O2488,14,FALSE)</f>
        <v/>
      </c>
      <c r="R802" s="472" t="str">
        <f t="array" ref="R802">IF($Q802, INDEX('Run Reconcile'!A$2:A2488,MATCH(B802,'Run Reconcile'!B$2:B2488,0),1),IFERROR(0/0,""))</f>
        <v/>
      </c>
      <c r="S802" s="473" t="str">
        <f t="shared" si="694"/>
        <v/>
      </c>
      <c r="T802" s="473" t="str">
        <f t="shared" si="698"/>
        <v/>
      </c>
      <c r="U802" s="275" t="str">
        <f t="array" ref="U802">IF(ISBLANK($R802), INDEX('Run Reconcile'!A$2:A2488, MATCH($B802, 'Run Reconcile'!B$2:B2488, 0)+Z802, 1), IFERROR(0/0,""))
</f>
        <v>RUN-FLMP_2022-02-27_RFR-091</v>
      </c>
      <c r="V802" s="474" t="str">
        <f t="shared" si="5"/>
        <v>RUN-FLMP_2022-02-27_RFR-091</v>
      </c>
      <c r="Y802" s="89" t="str">
        <f t="shared" si="867"/>
        <v/>
      </c>
      <c r="Z802" s="60" t="str">
        <f t="shared" si="7"/>
        <v/>
      </c>
      <c r="AA802" s="60" t="str">
        <f t="shared" si="8"/>
        <v/>
      </c>
      <c r="AB802" s="60" t="str">
        <f t="shared" si="9"/>
        <v/>
      </c>
      <c r="AC802" s="30" t="str">
        <f t="shared" ref="AC802:AD802" si="1158">IF(_xlfn.ISFORMULA(S802),IFERROR(0/0,""),TRUE)</f>
        <v/>
      </c>
      <c r="AD802" s="30" t="str">
        <f t="shared" si="1158"/>
        <v/>
      </c>
      <c r="AE802" s="475" t="str">
        <f>IFERROR(__xludf.DUMMYFUNCTION("""COMPUTED_VALUE"""),"CRLN")</f>
        <v>CRLN</v>
      </c>
      <c r="AF802" s="476"/>
      <c r="AG802" s="474" t="s">
        <v>183</v>
      </c>
      <c r="AH802" s="138" t="str">
        <f t="shared" si="11"/>
        <v/>
      </c>
    </row>
    <row r="803">
      <c r="A803" s="103" t="str">
        <f>IFERROR(__xludf.DUMMYFUNCTION("""COMPUTED_VALUE"""),"FLB4937")</f>
        <v>FLB4937</v>
      </c>
      <c r="B803" s="468">
        <f>IFERROR(__xludf.DUMMYFUNCTION("""COMPUTED_VALUE"""),44619.0)</f>
        <v>44619</v>
      </c>
      <c r="C803" s="469">
        <f>IFERROR(__xludf.DUMMYFUNCTION("""COMPUTED_VALUE"""),0.6646875)</f>
        <v>0.6646875</v>
      </c>
      <c r="D803" s="103" t="str">
        <f>IFERROR(__xludf.DUMMYFUNCTION("""COMPUTED_VALUE"""),"SpFLMP170622")</f>
        <v>SpFLMP170622</v>
      </c>
      <c r="E803" s="103"/>
      <c r="F803" s="103"/>
      <c r="G803" s="103" t="str">
        <f>IFERROR(__xludf.DUMMYFUNCTION("""COMPUTED_VALUE"""),"Negative")</f>
        <v>Negative</v>
      </c>
      <c r="H803" s="131" t="str">
        <f>IFERROR(__xludf.DUMMYFUNCTION("""COMPUTED_VALUE"""),"Negative")</f>
        <v>Negative</v>
      </c>
      <c r="I803" s="468">
        <f>IFERROR(__xludf.DUMMYFUNCTION("""COMPUTED_VALUE"""),44619.0)</f>
        <v>44619</v>
      </c>
      <c r="J803" s="470">
        <f>IFERROR(__xludf.DUMMYFUNCTION("""COMPUTED_VALUE"""),0.7665625)</f>
        <v>0.7665625</v>
      </c>
      <c r="K803" s="16"/>
      <c r="L803" s="8"/>
      <c r="M803" s="69"/>
      <c r="N803" s="69">
        <f>IFERROR(__xludf.DUMMYFUNCTION("""COMPUTED_VALUE"""),1.0)</f>
        <v>1</v>
      </c>
      <c r="O803" s="69" t="str">
        <f t="shared" si="3"/>
        <v/>
      </c>
      <c r="P803" s="471">
        <f>IFERROR(__xludf.DUMMYFUNCTION("""COMPUTED_VALUE"""),0.0)</f>
        <v>0</v>
      </c>
      <c r="Q803" s="274" t="str">
        <f>VLOOKUP($B803,'Run Reconcile'!B$2:O2488,14,FALSE)</f>
        <v/>
      </c>
      <c r="R803" s="472" t="str">
        <f t="array" ref="R803">IF($Q803, INDEX('Run Reconcile'!A$2:A2488,MATCH(B803,'Run Reconcile'!B$2:B2488,0),1),IFERROR(0/0,""))</f>
        <v/>
      </c>
      <c r="S803" s="473" t="str">
        <f t="shared" si="694"/>
        <v/>
      </c>
      <c r="T803" s="473" t="str">
        <f t="shared" si="698"/>
        <v/>
      </c>
      <c r="U803" s="275" t="str">
        <f t="array" ref="U803">IF(ISBLANK($R803), INDEX('Run Reconcile'!A$2:A2488, MATCH($B803, 'Run Reconcile'!B$2:B2488, 0)+Z803, 1), IFERROR(0/0,""))
</f>
        <v>RUN-FLMP_2022-02-27_RFR-091</v>
      </c>
      <c r="V803" s="474" t="str">
        <f t="shared" si="5"/>
        <v>RUN-FLMP_2022-02-27_RFR-091</v>
      </c>
      <c r="Y803" s="89" t="str">
        <f t="shared" si="867"/>
        <v/>
      </c>
      <c r="Z803" s="60" t="str">
        <f t="shared" si="7"/>
        <v/>
      </c>
      <c r="AA803" s="60" t="str">
        <f t="shared" si="8"/>
        <v/>
      </c>
      <c r="AB803" s="60" t="str">
        <f t="shared" si="9"/>
        <v/>
      </c>
      <c r="AC803" s="30" t="str">
        <f t="shared" ref="AC803:AD803" si="1159">IF(_xlfn.ISFORMULA(S803),IFERROR(0/0,""),TRUE)</f>
        <v/>
      </c>
      <c r="AD803" s="30" t="str">
        <f t="shared" si="1159"/>
        <v/>
      </c>
      <c r="AE803" s="475" t="str">
        <f>IFERROR(__xludf.DUMMYFUNCTION("""COMPUTED_VALUE"""),"CRLN")</f>
        <v>CRLN</v>
      </c>
      <c r="AF803" s="476"/>
      <c r="AG803" s="474" t="s">
        <v>183</v>
      </c>
      <c r="AH803" s="138" t="str">
        <f t="shared" si="11"/>
        <v/>
      </c>
    </row>
    <row r="804">
      <c r="A804" s="103" t="str">
        <f>IFERROR(__xludf.DUMMYFUNCTION("""COMPUTED_VALUE"""),"FLB4945")</f>
        <v>FLB4945</v>
      </c>
      <c r="B804" s="468">
        <f>IFERROR(__xludf.DUMMYFUNCTION("""COMPUTED_VALUE"""),44619.0)</f>
        <v>44619</v>
      </c>
      <c r="C804" s="469">
        <f>IFERROR(__xludf.DUMMYFUNCTION("""COMPUTED_VALUE"""),0.6650231481481481)</f>
        <v>0.6650231481</v>
      </c>
      <c r="D804" s="103" t="str">
        <f>IFERROR(__xludf.DUMMYFUNCTION("""COMPUTED_VALUE"""),"SpFLMP170622")</f>
        <v>SpFLMP170622</v>
      </c>
      <c r="E804" s="103"/>
      <c r="F804" s="103"/>
      <c r="G804" s="103" t="str">
        <f>IFERROR(__xludf.DUMMYFUNCTION("""COMPUTED_VALUE"""),"Negative")</f>
        <v>Negative</v>
      </c>
      <c r="H804" s="131" t="str">
        <f>IFERROR(__xludf.DUMMYFUNCTION("""COMPUTED_VALUE"""),"Negative")</f>
        <v>Negative</v>
      </c>
      <c r="I804" s="468">
        <f>IFERROR(__xludf.DUMMYFUNCTION("""COMPUTED_VALUE"""),44619.0)</f>
        <v>44619</v>
      </c>
      <c r="J804" s="470">
        <f>IFERROR(__xludf.DUMMYFUNCTION("""COMPUTED_VALUE"""),0.7665625)</f>
        <v>0.7665625</v>
      </c>
      <c r="K804" s="16"/>
      <c r="L804" s="8"/>
      <c r="M804" s="69"/>
      <c r="N804" s="69">
        <f>IFERROR(__xludf.DUMMYFUNCTION("""COMPUTED_VALUE"""),1.0)</f>
        <v>1</v>
      </c>
      <c r="O804" s="69" t="str">
        <f t="shared" si="3"/>
        <v/>
      </c>
      <c r="P804" s="471">
        <f>IFERROR(__xludf.DUMMYFUNCTION("""COMPUTED_VALUE"""),0.0)</f>
        <v>0</v>
      </c>
      <c r="Q804" s="274" t="str">
        <f>VLOOKUP($B804,'Run Reconcile'!B$2:O2488,14,FALSE)</f>
        <v/>
      </c>
      <c r="R804" s="472" t="str">
        <f t="array" ref="R804">IF($Q804, INDEX('Run Reconcile'!A$2:A2488,MATCH(B804,'Run Reconcile'!B$2:B2488,0),1),IFERROR(0/0,""))</f>
        <v/>
      </c>
      <c r="S804" s="473" t="str">
        <f t="shared" si="694"/>
        <v/>
      </c>
      <c r="T804" s="473" t="str">
        <f t="shared" si="698"/>
        <v/>
      </c>
      <c r="U804" s="275" t="str">
        <f t="array" ref="U804">IF(ISBLANK($R804), INDEX('Run Reconcile'!A$2:A2488, MATCH($B804, 'Run Reconcile'!B$2:B2488, 0)+Z804, 1), IFERROR(0/0,""))
</f>
        <v>RUN-FLMP_2022-02-27_RFR-091</v>
      </c>
      <c r="V804" s="474" t="str">
        <f t="shared" si="5"/>
        <v>RUN-FLMP_2022-02-27_RFR-091</v>
      </c>
      <c r="Y804" s="89" t="str">
        <f t="shared" si="867"/>
        <v/>
      </c>
      <c r="Z804" s="60" t="str">
        <f t="shared" si="7"/>
        <v/>
      </c>
      <c r="AA804" s="60" t="str">
        <f t="shared" si="8"/>
        <v/>
      </c>
      <c r="AB804" s="60" t="str">
        <f t="shared" si="9"/>
        <v/>
      </c>
      <c r="AC804" s="30" t="str">
        <f t="shared" ref="AC804:AD804" si="1160">IF(_xlfn.ISFORMULA(S804),IFERROR(0/0,""),TRUE)</f>
        <v/>
      </c>
      <c r="AD804" s="30" t="str">
        <f t="shared" si="1160"/>
        <v/>
      </c>
      <c r="AE804" s="475" t="str">
        <f>IFERROR(__xludf.DUMMYFUNCTION("""COMPUTED_VALUE"""),"CRLN")</f>
        <v>CRLN</v>
      </c>
      <c r="AF804" s="476"/>
      <c r="AG804" s="474" t="s">
        <v>183</v>
      </c>
      <c r="AH804" s="138" t="str">
        <f t="shared" si="11"/>
        <v/>
      </c>
    </row>
    <row r="805">
      <c r="A805" s="103" t="str">
        <f>IFERROR(__xludf.DUMMYFUNCTION("""COMPUTED_VALUE"""),"FLT1185")</f>
        <v>FLT1185</v>
      </c>
      <c r="B805" s="468">
        <f>IFERROR(__xludf.DUMMYFUNCTION("""COMPUTED_VALUE"""),44619.0)</f>
        <v>44619</v>
      </c>
      <c r="C805" s="469">
        <f>IFERROR(__xludf.DUMMYFUNCTION("""COMPUTED_VALUE"""),0.682349537037037)</f>
        <v>0.682349537</v>
      </c>
      <c r="D805" s="103" t="str">
        <f>IFERROR(__xludf.DUMMYFUNCTION("""COMPUTED_VALUE"""),"SpFLMP659315")</f>
        <v>SpFLMP659315</v>
      </c>
      <c r="E805" s="103"/>
      <c r="F805" s="103"/>
      <c r="G805" s="103" t="str">
        <f>IFERROR(__xludf.DUMMYFUNCTION("""COMPUTED_VALUE"""),"Negative")</f>
        <v>Negative</v>
      </c>
      <c r="H805" s="131" t="str">
        <f>IFERROR(__xludf.DUMMYFUNCTION("""COMPUTED_VALUE"""),"Negative")</f>
        <v>Negative</v>
      </c>
      <c r="I805" s="468">
        <f>IFERROR(__xludf.DUMMYFUNCTION("""COMPUTED_VALUE"""),44619.0)</f>
        <v>44619</v>
      </c>
      <c r="J805" s="470">
        <f>IFERROR(__xludf.DUMMYFUNCTION("""COMPUTED_VALUE"""),0.7665625)</f>
        <v>0.7665625</v>
      </c>
      <c r="K805" s="16"/>
      <c r="L805" s="8"/>
      <c r="M805" s="69"/>
      <c r="N805" s="69">
        <f>IFERROR(__xludf.DUMMYFUNCTION("""COMPUTED_VALUE"""),4.0)</f>
        <v>4</v>
      </c>
      <c r="O805" s="69" t="str">
        <f t="shared" si="3"/>
        <v/>
      </c>
      <c r="P805" s="471">
        <f>IFERROR(__xludf.DUMMYFUNCTION("""COMPUTED_VALUE"""),0.0)</f>
        <v>0</v>
      </c>
      <c r="Q805" s="274" t="str">
        <f>VLOOKUP($B805,'Run Reconcile'!B$2:O2488,14,FALSE)</f>
        <v/>
      </c>
      <c r="R805" s="472" t="str">
        <f t="array" ref="R805">IF($Q805, INDEX('Run Reconcile'!A$2:A2488,MATCH(B805,'Run Reconcile'!B$2:B2488,0),1),IFERROR(0/0,""))</f>
        <v/>
      </c>
      <c r="S805" s="473" t="str">
        <f t="shared" si="694"/>
        <v/>
      </c>
      <c r="T805" s="473" t="str">
        <f t="shared" si="698"/>
        <v/>
      </c>
      <c r="U805" s="275" t="str">
        <f t="array" ref="U805">IF(ISBLANK($R805), INDEX('Run Reconcile'!A$2:A2488, MATCH($B805, 'Run Reconcile'!B$2:B2488, 0)+Z805, 1), IFERROR(0/0,""))
</f>
        <v>RUN-FLMP_2022-02-27_RFR-091</v>
      </c>
      <c r="V805" s="474" t="str">
        <f t="shared" si="5"/>
        <v>RUN-FLMP_2022-02-27_RFR-091</v>
      </c>
      <c r="Y805" s="89" t="str">
        <f t="shared" si="867"/>
        <v/>
      </c>
      <c r="Z805" s="60" t="str">
        <f t="shared" si="7"/>
        <v/>
      </c>
      <c r="AA805" s="60" t="str">
        <f t="shared" si="8"/>
        <v/>
      </c>
      <c r="AB805" s="60" t="str">
        <f t="shared" si="9"/>
        <v/>
      </c>
      <c r="AC805" s="30" t="str">
        <f t="shared" ref="AC805:AD805" si="1161">IF(_xlfn.ISFORMULA(S805),IFERROR(0/0,""),TRUE)</f>
        <v/>
      </c>
      <c r="AD805" s="30" t="str">
        <f t="shared" si="1161"/>
        <v/>
      </c>
      <c r="AE805" s="475" t="str">
        <f>IFERROR(__xludf.DUMMYFUNCTION("""COMPUTED_VALUE"""),"CRLN")</f>
        <v>CRLN</v>
      </c>
      <c r="AF805" s="476"/>
      <c r="AG805" s="474" t="s">
        <v>183</v>
      </c>
      <c r="AH805" s="138" t="str">
        <f t="shared" si="11"/>
        <v/>
      </c>
    </row>
    <row r="806">
      <c r="A806" s="477" t="str">
        <f>IFERROR(__xludf.DUMMYFUNCTION("""COMPUTED_VALUE"""),"FLB6773")</f>
        <v>FLB6773</v>
      </c>
      <c r="B806" s="478">
        <f>IFERROR(__xludf.DUMMYFUNCTION("""COMPUTED_VALUE"""),44623.0)</f>
        <v>44623</v>
      </c>
      <c r="C806" s="479">
        <f>IFERROR(__xludf.DUMMYFUNCTION("""COMPUTED_VALUE"""),0.21930555555555556)</f>
        <v>0.2193055556</v>
      </c>
      <c r="D806" s="477" t="str">
        <f>IFERROR(__xludf.DUMMYFUNCTION("""COMPUTED_VALUE"""),"SpFLMP470379")</f>
        <v>SpFLMP470379</v>
      </c>
      <c r="E806" s="477"/>
      <c r="F806" s="477"/>
      <c r="G806" s="477" t="str">
        <f>IFERROR(__xludf.DUMMYFUNCTION("""COMPUTED_VALUE"""),"Negative")</f>
        <v>Negative</v>
      </c>
      <c r="H806" s="480" t="str">
        <f>IFERROR(__xludf.DUMMYFUNCTION("""COMPUTED_VALUE"""),"Negative")</f>
        <v>Negative</v>
      </c>
      <c r="I806" s="478">
        <f>IFERROR(__xludf.DUMMYFUNCTION("""COMPUTED_VALUE"""),44623.0)</f>
        <v>44623</v>
      </c>
      <c r="J806" s="481">
        <f>IFERROR(__xludf.DUMMYFUNCTION("""COMPUTED_VALUE"""),0.4590740740740741)</f>
        <v>0.4590740741</v>
      </c>
      <c r="K806" s="156"/>
      <c r="L806" s="19"/>
      <c r="M806" s="482"/>
      <c r="N806" s="482">
        <f>IFERROR(__xludf.DUMMYFUNCTION("""COMPUTED_VALUE"""),1.0)</f>
        <v>1</v>
      </c>
      <c r="O806" s="482" t="b">
        <f t="shared" si="3"/>
        <v>1</v>
      </c>
      <c r="P806" s="483">
        <f>IFERROR(__xludf.DUMMYFUNCTION("""COMPUTED_VALUE"""),0.0)</f>
        <v>0</v>
      </c>
      <c r="Q806" s="352" t="b">
        <f>VLOOKUP($B806,'Run Reconcile'!B$2:O2488,14,FALSE)</f>
        <v>1</v>
      </c>
      <c r="R806" s="484" t="str">
        <f t="array" ref="R806">IF($Q806, INDEX('Run Reconcile'!A$2:A2488,MATCH(B806,'Run Reconcile'!B$2:B2488,0),1),IFERROR(0/0,""))</f>
        <v>RUN-FLMP_2022-03-03_RFR-093</v>
      </c>
      <c r="S806" s="485" t="str">
        <f t="shared" si="694"/>
        <v/>
      </c>
      <c r="T806" s="485" t="str">
        <f t="shared" si="698"/>
        <v/>
      </c>
      <c r="U806" s="353" t="str">
        <f t="array" ref="U806">IF(ISBLANK($R806), INDEX('Run Reconcile'!A$2:A2488, MATCH($B806, 'Run Reconcile'!B$2:B2488, 0)+Z806, 1), IFERROR(0/0,""))
</f>
        <v/>
      </c>
      <c r="V806" s="486" t="str">
        <f t="shared" si="5"/>
        <v>RUN-FLMP_2022-03-03_RFR-093</v>
      </c>
      <c r="W806" s="19"/>
      <c r="X806" s="19"/>
      <c r="Y806" s="89" t="str">
        <f t="shared" si="867"/>
        <v/>
      </c>
      <c r="Z806" s="60" t="str">
        <f t="shared" si="7"/>
        <v/>
      </c>
      <c r="AA806" s="60" t="str">
        <f t="shared" si="8"/>
        <v/>
      </c>
      <c r="AB806" s="60" t="str">
        <f t="shared" si="9"/>
        <v/>
      </c>
      <c r="AC806" s="158" t="str">
        <f t="shared" ref="AC806:AD806" si="1162">IF(_xlfn.ISFORMULA(S806),IFERROR(0/0,""),TRUE)</f>
        <v/>
      </c>
      <c r="AD806" s="158" t="str">
        <f t="shared" si="1162"/>
        <v/>
      </c>
      <c r="AE806" s="488" t="str">
        <f>IFERROR(__xludf.DUMMYFUNCTION("""COMPUTED_VALUE"""),"CRLN")</f>
        <v>CRLN</v>
      </c>
      <c r="AF806" s="489"/>
      <c r="AG806" s="486" t="s">
        <v>184</v>
      </c>
      <c r="AH806" s="138" t="str">
        <f t="shared" si="11"/>
        <v/>
      </c>
      <c r="AI806" s="19"/>
      <c r="AJ806" s="19"/>
      <c r="AK806" s="19"/>
      <c r="AL806" s="19"/>
      <c r="AM806" s="19"/>
    </row>
    <row r="807">
      <c r="A807" s="103" t="str">
        <f>IFERROR(__xludf.DUMMYFUNCTION("""COMPUTED_VALUE"""),"FLB4956")</f>
        <v>FLB4956</v>
      </c>
      <c r="B807" s="468">
        <f>IFERROR(__xludf.DUMMYFUNCTION("""COMPUTED_VALUE"""),44623.0)</f>
        <v>44623</v>
      </c>
      <c r="C807" s="469">
        <f>IFERROR(__xludf.DUMMYFUNCTION("""COMPUTED_VALUE"""),0.27729166666666666)</f>
        <v>0.2772916667</v>
      </c>
      <c r="D807" s="103" t="str">
        <f>IFERROR(__xludf.DUMMYFUNCTION("""COMPUTED_VALUE"""),"SpFLMP690282")</f>
        <v>SpFLMP690282</v>
      </c>
      <c r="E807" s="103"/>
      <c r="F807" s="103"/>
      <c r="G807" s="103" t="str">
        <f>IFERROR(__xludf.DUMMYFUNCTION("""COMPUTED_VALUE"""),"Negative")</f>
        <v>Negative</v>
      </c>
      <c r="H807" s="131" t="str">
        <f>IFERROR(__xludf.DUMMYFUNCTION("""COMPUTED_VALUE"""),"Negative")</f>
        <v>Negative</v>
      </c>
      <c r="I807" s="468">
        <f>IFERROR(__xludf.DUMMYFUNCTION("""COMPUTED_VALUE"""),44623.0)</f>
        <v>44623</v>
      </c>
      <c r="J807" s="470">
        <f>IFERROR(__xludf.DUMMYFUNCTION("""COMPUTED_VALUE"""),0.4450925925925926)</f>
        <v>0.4450925926</v>
      </c>
      <c r="K807" s="16"/>
      <c r="L807" s="8"/>
      <c r="M807" s="69"/>
      <c r="N807" s="69">
        <f>IFERROR(__xludf.DUMMYFUNCTION("""COMPUTED_VALUE"""),2.0)</f>
        <v>2</v>
      </c>
      <c r="O807" s="69" t="str">
        <f t="shared" si="3"/>
        <v/>
      </c>
      <c r="P807" s="471">
        <f>IFERROR(__xludf.DUMMYFUNCTION("""COMPUTED_VALUE"""),0.0)</f>
        <v>0</v>
      </c>
      <c r="Q807" s="274" t="b">
        <f>VLOOKUP($B807,'Run Reconcile'!B$2:O2488,14,FALSE)</f>
        <v>1</v>
      </c>
      <c r="R807" s="472" t="str">
        <f t="array" ref="R807">IF($Q807, INDEX('Run Reconcile'!A$2:A2488,MATCH(B807,'Run Reconcile'!B$2:B2488,0),1),IFERROR(0/0,""))</f>
        <v>RUN-FLMP_2022-03-03_RFR-093</v>
      </c>
      <c r="S807" s="473" t="str">
        <f t="shared" si="694"/>
        <v/>
      </c>
      <c r="T807" s="473" t="str">
        <f t="shared" si="698"/>
        <v/>
      </c>
      <c r="U807" s="275" t="str">
        <f t="array" ref="U807">IF(ISBLANK($R807), INDEX('Run Reconcile'!A$2:A2488, MATCH($B807, 'Run Reconcile'!B$2:B2488, 0)+Z807, 1), IFERROR(0/0,""))
</f>
        <v/>
      </c>
      <c r="V807" s="474" t="str">
        <f t="shared" si="5"/>
        <v>RUN-FLMP_2022-03-03_RFR-093</v>
      </c>
      <c r="Y807" s="89" t="str">
        <f t="shared" si="867"/>
        <v/>
      </c>
      <c r="Z807" s="60" t="str">
        <f t="shared" si="7"/>
        <v/>
      </c>
      <c r="AA807" s="60" t="str">
        <f t="shared" si="8"/>
        <v/>
      </c>
      <c r="AB807" s="60" t="str">
        <f t="shared" si="9"/>
        <v/>
      </c>
      <c r="AC807" s="30" t="str">
        <f t="shared" ref="AC807:AD807" si="1163">IF(_xlfn.ISFORMULA(S807),IFERROR(0/0,""),TRUE)</f>
        <v/>
      </c>
      <c r="AD807" s="30" t="str">
        <f t="shared" si="1163"/>
        <v/>
      </c>
      <c r="AE807" s="475" t="str">
        <f>IFERROR(__xludf.DUMMYFUNCTION("""COMPUTED_VALUE"""),"CRLN")</f>
        <v>CRLN</v>
      </c>
      <c r="AF807" s="476"/>
      <c r="AG807" s="474" t="s">
        <v>184</v>
      </c>
      <c r="AH807" s="138" t="str">
        <f t="shared" si="11"/>
        <v/>
      </c>
    </row>
    <row r="808">
      <c r="A808" s="103" t="str">
        <f>IFERROR(__xludf.DUMMYFUNCTION("""COMPUTED_VALUE"""),"FLB5741")</f>
        <v>FLB5741</v>
      </c>
      <c r="B808" s="468">
        <f>IFERROR(__xludf.DUMMYFUNCTION("""COMPUTED_VALUE"""),44623.0)</f>
        <v>44623</v>
      </c>
      <c r="C808" s="469">
        <f>IFERROR(__xludf.DUMMYFUNCTION("""COMPUTED_VALUE"""),0.2790625)</f>
        <v>0.2790625</v>
      </c>
      <c r="D808" s="103" t="str">
        <f>IFERROR(__xludf.DUMMYFUNCTION("""COMPUTED_VALUE"""),"SpFLMP683554")</f>
        <v>SpFLMP683554</v>
      </c>
      <c r="E808" s="103"/>
      <c r="F808" s="103"/>
      <c r="G808" s="103" t="str">
        <f>IFERROR(__xludf.DUMMYFUNCTION("""COMPUTED_VALUE"""),"Negative")</f>
        <v>Negative</v>
      </c>
      <c r="H808" s="131" t="str">
        <f>IFERROR(__xludf.DUMMYFUNCTION("""COMPUTED_VALUE"""),"Negative")</f>
        <v>Negative</v>
      </c>
      <c r="I808" s="468">
        <f>IFERROR(__xludf.DUMMYFUNCTION("""COMPUTED_VALUE"""),44623.0)</f>
        <v>44623</v>
      </c>
      <c r="J808" s="470">
        <f>IFERROR(__xludf.DUMMYFUNCTION("""COMPUTED_VALUE"""),0.43561342592592595)</f>
        <v>0.4356134259</v>
      </c>
      <c r="K808" s="16"/>
      <c r="L808" s="8"/>
      <c r="M808" s="69"/>
      <c r="N808" s="69">
        <f>IFERROR(__xludf.DUMMYFUNCTION("""COMPUTED_VALUE"""),1.0)</f>
        <v>1</v>
      </c>
      <c r="O808" s="69" t="str">
        <f t="shared" si="3"/>
        <v/>
      </c>
      <c r="P808" s="471">
        <f>IFERROR(__xludf.DUMMYFUNCTION("""COMPUTED_VALUE"""),0.0)</f>
        <v>0</v>
      </c>
      <c r="Q808" s="274" t="b">
        <f>VLOOKUP($B808,'Run Reconcile'!B$2:O2488,14,FALSE)</f>
        <v>1</v>
      </c>
      <c r="R808" s="472" t="str">
        <f t="array" ref="R808">IF($Q808, INDEX('Run Reconcile'!A$2:A2488,MATCH(B808,'Run Reconcile'!B$2:B2488,0),1),IFERROR(0/0,""))</f>
        <v>RUN-FLMP_2022-03-03_RFR-093</v>
      </c>
      <c r="S808" s="473" t="str">
        <f t="shared" si="694"/>
        <v/>
      </c>
      <c r="T808" s="473" t="str">
        <f t="shared" si="698"/>
        <v/>
      </c>
      <c r="U808" s="275" t="str">
        <f t="array" ref="U808">IF(ISBLANK($R808), INDEX('Run Reconcile'!A$2:A2488, MATCH($B808, 'Run Reconcile'!B$2:B2488, 0)+Z808, 1), IFERROR(0/0,""))
</f>
        <v/>
      </c>
      <c r="V808" s="474" t="str">
        <f t="shared" si="5"/>
        <v>RUN-FLMP_2022-03-03_RFR-093</v>
      </c>
      <c r="Y808" s="89" t="str">
        <f t="shared" si="867"/>
        <v/>
      </c>
      <c r="Z808" s="60" t="str">
        <f t="shared" si="7"/>
        <v/>
      </c>
      <c r="AA808" s="60" t="str">
        <f t="shared" si="8"/>
        <v/>
      </c>
      <c r="AB808" s="60" t="str">
        <f t="shared" si="9"/>
        <v/>
      </c>
      <c r="AC808" s="30" t="str">
        <f t="shared" ref="AC808:AD808" si="1164">IF(_xlfn.ISFORMULA(S808),IFERROR(0/0,""),TRUE)</f>
        <v/>
      </c>
      <c r="AD808" s="30" t="str">
        <f t="shared" si="1164"/>
        <v/>
      </c>
      <c r="AE808" s="475" t="str">
        <f>IFERROR(__xludf.DUMMYFUNCTION("""COMPUTED_VALUE"""),"CRLN")</f>
        <v>CRLN</v>
      </c>
      <c r="AF808" s="476"/>
      <c r="AG808" s="474" t="s">
        <v>184</v>
      </c>
      <c r="AH808" s="138" t="str">
        <f t="shared" si="11"/>
        <v/>
      </c>
    </row>
    <row r="809">
      <c r="A809" s="103" t="str">
        <f>IFERROR(__xludf.DUMMYFUNCTION("""COMPUTED_VALUE"""),"FLB6814")</f>
        <v>FLB6814</v>
      </c>
      <c r="B809" s="468">
        <f>IFERROR(__xludf.DUMMYFUNCTION("""COMPUTED_VALUE"""),44623.0)</f>
        <v>44623</v>
      </c>
      <c r="C809" s="469">
        <f>IFERROR(__xludf.DUMMYFUNCTION("""COMPUTED_VALUE"""),0.3038194444444444)</f>
        <v>0.3038194444</v>
      </c>
      <c r="D809" s="103" t="str">
        <f>IFERROR(__xludf.DUMMYFUNCTION("""COMPUTED_VALUE"""),"SpFLMP965392")</f>
        <v>SpFLMP965392</v>
      </c>
      <c r="E809" s="103"/>
      <c r="F809" s="103"/>
      <c r="G809" s="103" t="str">
        <f>IFERROR(__xludf.DUMMYFUNCTION("""COMPUTED_VALUE"""),"Negative")</f>
        <v>Negative</v>
      </c>
      <c r="H809" s="131" t="str">
        <f>IFERROR(__xludf.DUMMYFUNCTION("""COMPUTED_VALUE"""),"Negative")</f>
        <v>Negative</v>
      </c>
      <c r="I809" s="468">
        <f>IFERROR(__xludf.DUMMYFUNCTION("""COMPUTED_VALUE"""),44623.0)</f>
        <v>44623</v>
      </c>
      <c r="J809" s="470">
        <f>IFERROR(__xludf.DUMMYFUNCTION("""COMPUTED_VALUE"""),0.43561342592592595)</f>
        <v>0.4356134259</v>
      </c>
      <c r="K809" s="16"/>
      <c r="L809" s="8"/>
      <c r="M809" s="69"/>
      <c r="N809" s="69">
        <f>IFERROR(__xludf.DUMMYFUNCTION("""COMPUTED_VALUE"""),4.0)</f>
        <v>4</v>
      </c>
      <c r="O809" s="69" t="str">
        <f t="shared" si="3"/>
        <v/>
      </c>
      <c r="P809" s="471">
        <f>IFERROR(__xludf.DUMMYFUNCTION("""COMPUTED_VALUE"""),0.0)</f>
        <v>0</v>
      </c>
      <c r="Q809" s="274" t="b">
        <f>VLOOKUP($B809,'Run Reconcile'!B$2:O2488,14,FALSE)</f>
        <v>1</v>
      </c>
      <c r="R809" s="472" t="str">
        <f t="array" ref="R809">IF($Q809, INDEX('Run Reconcile'!A$2:A2488,MATCH(B809,'Run Reconcile'!B$2:B2488,0),1),IFERROR(0/0,""))</f>
        <v>RUN-FLMP_2022-03-03_RFR-093</v>
      </c>
      <c r="S809" s="473" t="str">
        <f t="shared" si="694"/>
        <v/>
      </c>
      <c r="T809" s="473" t="str">
        <f t="shared" si="698"/>
        <v/>
      </c>
      <c r="U809" s="275" t="str">
        <f t="array" ref="U809">IF(ISBLANK($R809), INDEX('Run Reconcile'!A$2:A2488, MATCH($B809, 'Run Reconcile'!B$2:B2488, 0)+Z809, 1), IFERROR(0/0,""))
</f>
        <v/>
      </c>
      <c r="V809" s="474" t="str">
        <f t="shared" si="5"/>
        <v>RUN-FLMP_2022-03-03_RFR-093</v>
      </c>
      <c r="Y809" s="89" t="str">
        <f t="shared" si="867"/>
        <v/>
      </c>
      <c r="Z809" s="60" t="str">
        <f t="shared" si="7"/>
        <v/>
      </c>
      <c r="AA809" s="60" t="str">
        <f t="shared" si="8"/>
        <v/>
      </c>
      <c r="AB809" s="60" t="str">
        <f t="shared" si="9"/>
        <v/>
      </c>
      <c r="AC809" s="30" t="str">
        <f t="shared" ref="AC809:AD809" si="1165">IF(_xlfn.ISFORMULA(S809),IFERROR(0/0,""),TRUE)</f>
        <v/>
      </c>
      <c r="AD809" s="30" t="str">
        <f t="shared" si="1165"/>
        <v/>
      </c>
      <c r="AE809" s="475" t="str">
        <f>IFERROR(__xludf.DUMMYFUNCTION("""COMPUTED_VALUE"""),"CRLN")</f>
        <v>CRLN</v>
      </c>
      <c r="AF809" s="476"/>
      <c r="AG809" s="474" t="s">
        <v>184</v>
      </c>
      <c r="AH809" s="138" t="str">
        <f t="shared" si="11"/>
        <v/>
      </c>
    </row>
    <row r="810">
      <c r="A810" s="103" t="str">
        <f>IFERROR(__xludf.DUMMYFUNCTION("""COMPUTED_VALUE"""),"FLB5754")</f>
        <v>FLB5754</v>
      </c>
      <c r="B810" s="468">
        <f>IFERROR(__xludf.DUMMYFUNCTION("""COMPUTED_VALUE"""),44623.0)</f>
        <v>44623</v>
      </c>
      <c r="C810" s="469">
        <f>IFERROR(__xludf.DUMMYFUNCTION("""COMPUTED_VALUE"""),0.30769675925925927)</f>
        <v>0.3076967593</v>
      </c>
      <c r="D810" s="103" t="str">
        <f>IFERROR(__xludf.DUMMYFUNCTION("""COMPUTED_VALUE"""),"SpFLMP777132")</f>
        <v>SpFLMP777132</v>
      </c>
      <c r="E810" s="103"/>
      <c r="F810" s="103"/>
      <c r="G810" s="103" t="str">
        <f>IFERROR(__xludf.DUMMYFUNCTION("""COMPUTED_VALUE"""),"Negative")</f>
        <v>Negative</v>
      </c>
      <c r="H810" s="131" t="str">
        <f>IFERROR(__xludf.DUMMYFUNCTION("""COMPUTED_VALUE"""),"Negative")</f>
        <v>Negative</v>
      </c>
      <c r="I810" s="468">
        <f>IFERROR(__xludf.DUMMYFUNCTION("""COMPUTED_VALUE"""),44623.0)</f>
        <v>44623</v>
      </c>
      <c r="J810" s="470">
        <f>IFERROR(__xludf.DUMMYFUNCTION("""COMPUTED_VALUE"""),0.43561342592592595)</f>
        <v>0.4356134259</v>
      </c>
      <c r="K810" s="16"/>
      <c r="L810" s="8"/>
      <c r="M810" s="69"/>
      <c r="N810" s="69">
        <f>IFERROR(__xludf.DUMMYFUNCTION("""COMPUTED_VALUE"""),4.0)</f>
        <v>4</v>
      </c>
      <c r="O810" s="69" t="str">
        <f t="shared" si="3"/>
        <v/>
      </c>
      <c r="P810" s="471">
        <f>IFERROR(__xludf.DUMMYFUNCTION("""COMPUTED_VALUE"""),0.0)</f>
        <v>0</v>
      </c>
      <c r="Q810" s="274" t="b">
        <f>VLOOKUP($B810,'Run Reconcile'!B$2:O2488,14,FALSE)</f>
        <v>1</v>
      </c>
      <c r="R810" s="472" t="str">
        <f t="array" ref="R810">IF($Q810, INDEX('Run Reconcile'!A$2:A2488,MATCH(B810,'Run Reconcile'!B$2:B2488,0),1),IFERROR(0/0,""))</f>
        <v>RUN-FLMP_2022-03-03_RFR-093</v>
      </c>
      <c r="S810" s="473" t="str">
        <f t="shared" si="694"/>
        <v/>
      </c>
      <c r="T810" s="473" t="str">
        <f t="shared" si="698"/>
        <v/>
      </c>
      <c r="U810" s="275" t="str">
        <f t="array" ref="U810">IF(ISBLANK($R810), INDEX('Run Reconcile'!A$2:A2488, MATCH($B810, 'Run Reconcile'!B$2:B2488, 0)+Z810, 1), IFERROR(0/0,""))
</f>
        <v/>
      </c>
      <c r="V810" s="474" t="str">
        <f t="shared" si="5"/>
        <v>RUN-FLMP_2022-03-03_RFR-093</v>
      </c>
      <c r="Y810" s="89" t="str">
        <f t="shared" si="867"/>
        <v/>
      </c>
      <c r="Z810" s="60" t="str">
        <f t="shared" si="7"/>
        <v/>
      </c>
      <c r="AA810" s="60" t="str">
        <f t="shared" si="8"/>
        <v/>
      </c>
      <c r="AB810" s="60" t="str">
        <f t="shared" si="9"/>
        <v/>
      </c>
      <c r="AC810" s="30" t="str">
        <f t="shared" ref="AC810:AD810" si="1166">IF(_xlfn.ISFORMULA(S810),IFERROR(0/0,""),TRUE)</f>
        <v/>
      </c>
      <c r="AD810" s="30" t="str">
        <f t="shared" si="1166"/>
        <v/>
      </c>
      <c r="AE810" s="475" t="str">
        <f>IFERROR(__xludf.DUMMYFUNCTION("""COMPUTED_VALUE"""),"CRLN")</f>
        <v>CRLN</v>
      </c>
      <c r="AF810" s="476"/>
      <c r="AG810" s="474" t="s">
        <v>184</v>
      </c>
      <c r="AH810" s="138" t="str">
        <f t="shared" si="11"/>
        <v/>
      </c>
    </row>
    <row r="811">
      <c r="A811" s="103" t="str">
        <f>IFERROR(__xludf.DUMMYFUNCTION("""COMPUTED_VALUE"""),"FLB5795")</f>
        <v>FLB5795</v>
      </c>
      <c r="B811" s="468">
        <f>IFERROR(__xludf.DUMMYFUNCTION("""COMPUTED_VALUE"""),44623.0)</f>
        <v>44623</v>
      </c>
      <c r="C811" s="469">
        <f>IFERROR(__xludf.DUMMYFUNCTION("""COMPUTED_VALUE"""),0.30961805555555555)</f>
        <v>0.3096180556</v>
      </c>
      <c r="D811" s="103" t="str">
        <f>IFERROR(__xludf.DUMMYFUNCTION("""COMPUTED_VALUE"""),"SpFLMP228238")</f>
        <v>SpFLMP228238</v>
      </c>
      <c r="E811" s="103"/>
      <c r="F811" s="103"/>
      <c r="G811" s="103" t="str">
        <f>IFERROR(__xludf.DUMMYFUNCTION("""COMPUTED_VALUE"""),"Negative")</f>
        <v>Negative</v>
      </c>
      <c r="H811" s="131" t="str">
        <f>IFERROR(__xludf.DUMMYFUNCTION("""COMPUTED_VALUE"""),"Negative")</f>
        <v>Negative</v>
      </c>
      <c r="I811" s="468">
        <f>IFERROR(__xludf.DUMMYFUNCTION("""COMPUTED_VALUE"""),44623.0)</f>
        <v>44623</v>
      </c>
      <c r="J811" s="470">
        <f>IFERROR(__xludf.DUMMYFUNCTION("""COMPUTED_VALUE"""),0.43561342592592595)</f>
        <v>0.4356134259</v>
      </c>
      <c r="K811" s="16"/>
      <c r="L811" s="8"/>
      <c r="M811" s="69"/>
      <c r="N811" s="69">
        <f>IFERROR(__xludf.DUMMYFUNCTION("""COMPUTED_VALUE"""),3.0)</f>
        <v>3</v>
      </c>
      <c r="O811" s="69" t="str">
        <f t="shared" si="3"/>
        <v/>
      </c>
      <c r="P811" s="471">
        <f>IFERROR(__xludf.DUMMYFUNCTION("""COMPUTED_VALUE"""),0.0)</f>
        <v>0</v>
      </c>
      <c r="Q811" s="274" t="b">
        <f>VLOOKUP($B811,'Run Reconcile'!B$2:O2488,14,FALSE)</f>
        <v>1</v>
      </c>
      <c r="R811" s="472" t="str">
        <f t="array" ref="R811">IF($Q811, INDEX('Run Reconcile'!A$2:A2488,MATCH(B811,'Run Reconcile'!B$2:B2488,0),1),IFERROR(0/0,""))</f>
        <v>RUN-FLMP_2022-03-03_RFR-093</v>
      </c>
      <c r="S811" s="473" t="str">
        <f t="shared" si="694"/>
        <v/>
      </c>
      <c r="T811" s="473" t="str">
        <f t="shared" si="698"/>
        <v/>
      </c>
      <c r="U811" s="275" t="str">
        <f t="array" ref="U811">IF(ISBLANK($R811), INDEX('Run Reconcile'!A$2:A2488, MATCH($B811, 'Run Reconcile'!B$2:B2488, 0)+Z811, 1), IFERROR(0/0,""))
</f>
        <v/>
      </c>
      <c r="V811" s="474" t="str">
        <f t="shared" si="5"/>
        <v>RUN-FLMP_2022-03-03_RFR-093</v>
      </c>
      <c r="Y811" s="89" t="str">
        <f t="shared" si="867"/>
        <v/>
      </c>
      <c r="Z811" s="60" t="str">
        <f t="shared" si="7"/>
        <v/>
      </c>
      <c r="AA811" s="60" t="str">
        <f t="shared" si="8"/>
        <v/>
      </c>
      <c r="AB811" s="60" t="str">
        <f t="shared" si="9"/>
        <v/>
      </c>
      <c r="AC811" s="30" t="str">
        <f t="shared" ref="AC811:AD811" si="1167">IF(_xlfn.ISFORMULA(S811),IFERROR(0/0,""),TRUE)</f>
        <v/>
      </c>
      <c r="AD811" s="30" t="str">
        <f t="shared" si="1167"/>
        <v/>
      </c>
      <c r="AE811" s="475" t="str">
        <f>IFERROR(__xludf.DUMMYFUNCTION("""COMPUTED_VALUE"""),"CRLN")</f>
        <v>CRLN</v>
      </c>
      <c r="AF811" s="476"/>
      <c r="AG811" s="474" t="s">
        <v>184</v>
      </c>
      <c r="AH811" s="138" t="str">
        <f t="shared" si="11"/>
        <v/>
      </c>
    </row>
    <row r="812">
      <c r="A812" s="103" t="str">
        <f>IFERROR(__xludf.DUMMYFUNCTION("""COMPUTED_VALUE"""),"FLB6553")</f>
        <v>FLB6553</v>
      </c>
      <c r="B812" s="468">
        <f>IFERROR(__xludf.DUMMYFUNCTION("""COMPUTED_VALUE"""),44623.0)</f>
        <v>44623</v>
      </c>
      <c r="C812" s="469">
        <f>IFERROR(__xludf.DUMMYFUNCTION("""COMPUTED_VALUE"""),0.30994212962962964)</f>
        <v>0.3099421296</v>
      </c>
      <c r="D812" s="103" t="str">
        <f>IFERROR(__xludf.DUMMYFUNCTION("""COMPUTED_VALUE"""),"SpFLMP544731")</f>
        <v>SpFLMP544731</v>
      </c>
      <c r="E812" s="103"/>
      <c r="F812" s="103"/>
      <c r="G812" s="103" t="str">
        <f>IFERROR(__xludf.DUMMYFUNCTION("""COMPUTED_VALUE"""),"Negative")</f>
        <v>Negative</v>
      </c>
      <c r="H812" s="131" t="str">
        <f>IFERROR(__xludf.DUMMYFUNCTION("""COMPUTED_VALUE"""),"Negative")</f>
        <v>Negative</v>
      </c>
      <c r="I812" s="468">
        <f>IFERROR(__xludf.DUMMYFUNCTION("""COMPUTED_VALUE"""),44623.0)</f>
        <v>44623</v>
      </c>
      <c r="J812" s="470">
        <f>IFERROR(__xludf.DUMMYFUNCTION("""COMPUTED_VALUE"""),0.43561342592592595)</f>
        <v>0.4356134259</v>
      </c>
      <c r="K812" s="16"/>
      <c r="L812" s="8"/>
      <c r="M812" s="69"/>
      <c r="N812" s="69">
        <f>IFERROR(__xludf.DUMMYFUNCTION("""COMPUTED_VALUE"""),1.0)</f>
        <v>1</v>
      </c>
      <c r="O812" s="69" t="str">
        <f t="shared" si="3"/>
        <v/>
      </c>
      <c r="P812" s="471">
        <f>IFERROR(__xludf.DUMMYFUNCTION("""COMPUTED_VALUE"""),0.0)</f>
        <v>0</v>
      </c>
      <c r="Q812" s="274" t="b">
        <f>VLOOKUP($B812,'Run Reconcile'!B$2:O2488,14,FALSE)</f>
        <v>1</v>
      </c>
      <c r="R812" s="472" t="str">
        <f t="array" ref="R812">IF($Q812, INDEX('Run Reconcile'!A$2:A2488,MATCH(B812,'Run Reconcile'!B$2:B2488,0),1),IFERROR(0/0,""))</f>
        <v>RUN-FLMP_2022-03-03_RFR-093</v>
      </c>
      <c r="S812" s="473" t="str">
        <f t="shared" si="694"/>
        <v/>
      </c>
      <c r="T812" s="473" t="str">
        <f t="shared" si="698"/>
        <v/>
      </c>
      <c r="U812" s="275" t="str">
        <f t="array" ref="U812">IF(ISBLANK($R812), INDEX('Run Reconcile'!A$2:A2488, MATCH($B812, 'Run Reconcile'!B$2:B2488, 0)+Z812, 1), IFERROR(0/0,""))
</f>
        <v/>
      </c>
      <c r="V812" s="474" t="str">
        <f t="shared" si="5"/>
        <v>RUN-FLMP_2022-03-03_RFR-093</v>
      </c>
      <c r="Y812" s="89" t="str">
        <f t="shared" si="867"/>
        <v/>
      </c>
      <c r="Z812" s="60" t="str">
        <f t="shared" si="7"/>
        <v/>
      </c>
      <c r="AA812" s="60" t="str">
        <f t="shared" si="8"/>
        <v/>
      </c>
      <c r="AB812" s="60" t="str">
        <f t="shared" si="9"/>
        <v/>
      </c>
      <c r="AC812" s="30" t="str">
        <f t="shared" ref="AC812:AD812" si="1168">IF(_xlfn.ISFORMULA(S812),IFERROR(0/0,""),TRUE)</f>
        <v/>
      </c>
      <c r="AD812" s="30" t="str">
        <f t="shared" si="1168"/>
        <v/>
      </c>
      <c r="AE812" s="475" t="str">
        <f>IFERROR(__xludf.DUMMYFUNCTION("""COMPUTED_VALUE"""),"CRLN")</f>
        <v>CRLN</v>
      </c>
      <c r="AF812" s="476"/>
      <c r="AG812" s="474" t="s">
        <v>184</v>
      </c>
      <c r="AH812" s="138" t="str">
        <f t="shared" si="11"/>
        <v/>
      </c>
    </row>
    <row r="813">
      <c r="A813" s="103" t="str">
        <f>IFERROR(__xludf.DUMMYFUNCTION("""COMPUTED_VALUE"""),"FLB4891")</f>
        <v>FLB4891</v>
      </c>
      <c r="B813" s="468">
        <f>IFERROR(__xludf.DUMMYFUNCTION("""COMPUTED_VALUE"""),44623.0)</f>
        <v>44623</v>
      </c>
      <c r="C813" s="469">
        <f>IFERROR(__xludf.DUMMYFUNCTION("""COMPUTED_VALUE"""),0.32829861111111114)</f>
        <v>0.3282986111</v>
      </c>
      <c r="D813" s="103" t="str">
        <f>IFERROR(__xludf.DUMMYFUNCTION("""COMPUTED_VALUE"""),"SpFLMP170622")</f>
        <v>SpFLMP170622</v>
      </c>
      <c r="E813" s="103"/>
      <c r="F813" s="103"/>
      <c r="G813" s="103" t="str">
        <f>IFERROR(__xludf.DUMMYFUNCTION("""COMPUTED_VALUE"""),"Negative")</f>
        <v>Negative</v>
      </c>
      <c r="H813" s="131" t="str">
        <f>IFERROR(__xludf.DUMMYFUNCTION("""COMPUTED_VALUE"""),"Negative")</f>
        <v>Negative</v>
      </c>
      <c r="I813" s="468">
        <f>IFERROR(__xludf.DUMMYFUNCTION("""COMPUTED_VALUE"""),44623.0)</f>
        <v>44623</v>
      </c>
      <c r="J813" s="470">
        <f>IFERROR(__xludf.DUMMYFUNCTION("""COMPUTED_VALUE"""),0.43561342592592595)</f>
        <v>0.4356134259</v>
      </c>
      <c r="K813" s="16"/>
      <c r="L813" s="8"/>
      <c r="M813" s="69"/>
      <c r="N813" s="69">
        <f>IFERROR(__xludf.DUMMYFUNCTION("""COMPUTED_VALUE"""),1.0)</f>
        <v>1</v>
      </c>
      <c r="O813" s="69" t="str">
        <f t="shared" si="3"/>
        <v/>
      </c>
      <c r="P813" s="471">
        <f>IFERROR(__xludf.DUMMYFUNCTION("""COMPUTED_VALUE"""),0.0)</f>
        <v>0</v>
      </c>
      <c r="Q813" s="274" t="b">
        <f>VLOOKUP($B813,'Run Reconcile'!B$2:O2488,14,FALSE)</f>
        <v>1</v>
      </c>
      <c r="R813" s="472" t="str">
        <f t="array" ref="R813">IF($Q813, INDEX('Run Reconcile'!A$2:A2488,MATCH(B813,'Run Reconcile'!B$2:B2488,0),1),IFERROR(0/0,""))</f>
        <v>RUN-FLMP_2022-03-03_RFR-093</v>
      </c>
      <c r="S813" s="473" t="str">
        <f t="shared" si="694"/>
        <v/>
      </c>
      <c r="T813" s="473" t="str">
        <f t="shared" si="698"/>
        <v/>
      </c>
      <c r="U813" s="275" t="str">
        <f t="array" ref="U813">IF(ISBLANK($R813), INDEX('Run Reconcile'!A$2:A2488, MATCH($B813, 'Run Reconcile'!B$2:B2488, 0)+Z813, 1), IFERROR(0/0,""))
</f>
        <v/>
      </c>
      <c r="V813" s="474" t="str">
        <f t="shared" si="5"/>
        <v>RUN-FLMP_2022-03-03_RFR-093</v>
      </c>
      <c r="Y813" s="89" t="str">
        <f t="shared" si="867"/>
        <v/>
      </c>
      <c r="Z813" s="60" t="str">
        <f t="shared" si="7"/>
        <v/>
      </c>
      <c r="AA813" s="60" t="str">
        <f t="shared" si="8"/>
        <v/>
      </c>
      <c r="AB813" s="60" t="str">
        <f t="shared" si="9"/>
        <v/>
      </c>
      <c r="AC813" s="30" t="str">
        <f t="shared" ref="AC813:AD813" si="1169">IF(_xlfn.ISFORMULA(S813),IFERROR(0/0,""),TRUE)</f>
        <v/>
      </c>
      <c r="AD813" s="30" t="str">
        <f t="shared" si="1169"/>
        <v/>
      </c>
      <c r="AE813" s="475" t="str">
        <f>IFERROR(__xludf.DUMMYFUNCTION("""COMPUTED_VALUE"""),"CRLN")</f>
        <v>CRLN</v>
      </c>
      <c r="AF813" s="476"/>
      <c r="AG813" s="474" t="s">
        <v>184</v>
      </c>
      <c r="AH813" s="138" t="str">
        <f t="shared" si="11"/>
        <v/>
      </c>
    </row>
    <row r="814">
      <c r="A814" s="103" t="str">
        <f>IFERROR(__xludf.DUMMYFUNCTION("""COMPUTED_VALUE"""),"FLB4948")</f>
        <v>FLB4948</v>
      </c>
      <c r="B814" s="468">
        <f>IFERROR(__xludf.DUMMYFUNCTION("""COMPUTED_VALUE"""),44623.0)</f>
        <v>44623</v>
      </c>
      <c r="C814" s="469">
        <f>IFERROR(__xludf.DUMMYFUNCTION("""COMPUTED_VALUE"""),0.32858796296296294)</f>
        <v>0.328587963</v>
      </c>
      <c r="D814" s="103" t="str">
        <f>IFERROR(__xludf.DUMMYFUNCTION("""COMPUTED_VALUE"""),"SpFLMP170622")</f>
        <v>SpFLMP170622</v>
      </c>
      <c r="E814" s="103"/>
      <c r="F814" s="103"/>
      <c r="G814" s="103" t="str">
        <f>IFERROR(__xludf.DUMMYFUNCTION("""COMPUTED_VALUE"""),"Negative")</f>
        <v>Negative</v>
      </c>
      <c r="H814" s="131" t="str">
        <f>IFERROR(__xludf.DUMMYFUNCTION("""COMPUTED_VALUE"""),"Negative")</f>
        <v>Negative</v>
      </c>
      <c r="I814" s="468">
        <f>IFERROR(__xludf.DUMMYFUNCTION("""COMPUTED_VALUE"""),44623.0)</f>
        <v>44623</v>
      </c>
      <c r="J814" s="470">
        <f>IFERROR(__xludf.DUMMYFUNCTION("""COMPUTED_VALUE"""),0.43561342592592595)</f>
        <v>0.4356134259</v>
      </c>
      <c r="K814" s="16"/>
      <c r="L814" s="8"/>
      <c r="M814" s="69"/>
      <c r="N814" s="69">
        <f>IFERROR(__xludf.DUMMYFUNCTION("""COMPUTED_VALUE"""),1.0)</f>
        <v>1</v>
      </c>
      <c r="O814" s="69" t="str">
        <f t="shared" si="3"/>
        <v/>
      </c>
      <c r="P814" s="471">
        <f>IFERROR(__xludf.DUMMYFUNCTION("""COMPUTED_VALUE"""),0.0)</f>
        <v>0</v>
      </c>
      <c r="Q814" s="274" t="b">
        <f>VLOOKUP($B814,'Run Reconcile'!B$2:O2488,14,FALSE)</f>
        <v>1</v>
      </c>
      <c r="R814" s="472" t="str">
        <f t="array" ref="R814">IF($Q814, INDEX('Run Reconcile'!A$2:A2488,MATCH(B814,'Run Reconcile'!B$2:B2488,0),1),IFERROR(0/0,""))</f>
        <v>RUN-FLMP_2022-03-03_RFR-093</v>
      </c>
      <c r="S814" s="473" t="str">
        <f t="shared" si="694"/>
        <v/>
      </c>
      <c r="T814" s="473" t="str">
        <f t="shared" si="698"/>
        <v/>
      </c>
      <c r="U814" s="275" t="str">
        <f t="array" ref="U814">IF(ISBLANK($R814), INDEX('Run Reconcile'!A$2:A2488, MATCH($B814, 'Run Reconcile'!B$2:B2488, 0)+Z814, 1), IFERROR(0/0,""))
</f>
        <v/>
      </c>
      <c r="V814" s="474" t="str">
        <f t="shared" si="5"/>
        <v>RUN-FLMP_2022-03-03_RFR-093</v>
      </c>
      <c r="Y814" s="89" t="str">
        <f t="shared" si="867"/>
        <v/>
      </c>
      <c r="Z814" s="60" t="str">
        <f t="shared" si="7"/>
        <v/>
      </c>
      <c r="AA814" s="60" t="str">
        <f t="shared" si="8"/>
        <v/>
      </c>
      <c r="AB814" s="60" t="str">
        <f t="shared" si="9"/>
        <v/>
      </c>
      <c r="AC814" s="30" t="str">
        <f t="shared" ref="AC814:AD814" si="1170">IF(_xlfn.ISFORMULA(S814),IFERROR(0/0,""),TRUE)</f>
        <v/>
      </c>
      <c r="AD814" s="30" t="str">
        <f t="shared" si="1170"/>
        <v/>
      </c>
      <c r="AE814" s="475" t="str">
        <f>IFERROR(__xludf.DUMMYFUNCTION("""COMPUTED_VALUE"""),"CRLN")</f>
        <v>CRLN</v>
      </c>
      <c r="AF814" s="476"/>
      <c r="AG814" s="474" t="s">
        <v>184</v>
      </c>
      <c r="AH814" s="138" t="str">
        <f t="shared" si="11"/>
        <v/>
      </c>
    </row>
    <row r="815">
      <c r="A815" s="103" t="str">
        <f>IFERROR(__xludf.DUMMYFUNCTION("""COMPUTED_VALUE"""),"FLB5746")</f>
        <v>FLB5746</v>
      </c>
      <c r="B815" s="468">
        <f>IFERROR(__xludf.DUMMYFUNCTION("""COMPUTED_VALUE"""),44623.0)</f>
        <v>44623</v>
      </c>
      <c r="C815" s="469">
        <f>IFERROR(__xludf.DUMMYFUNCTION("""COMPUTED_VALUE"""),0.3308449074074074)</f>
        <v>0.3308449074</v>
      </c>
      <c r="D815" s="103" t="str">
        <f>IFERROR(__xludf.DUMMYFUNCTION("""COMPUTED_VALUE"""),"SpFLMP436443")</f>
        <v>SpFLMP436443</v>
      </c>
      <c r="E815" s="103"/>
      <c r="F815" s="103"/>
      <c r="G815" s="103" t="str">
        <f>IFERROR(__xludf.DUMMYFUNCTION("""COMPUTED_VALUE"""),"Null")</f>
        <v>Null</v>
      </c>
      <c r="H815" s="131" t="str">
        <f>IFERROR(__xludf.DUMMYFUNCTION("""COMPUTED_VALUE"""),"Negative")</f>
        <v>Negative</v>
      </c>
      <c r="I815" s="468"/>
      <c r="J815" s="16"/>
      <c r="K815" s="16">
        <f>IFERROR(__xludf.DUMMYFUNCTION("""COMPUTED_VALUE"""),2.0)</f>
        <v>2</v>
      </c>
      <c r="L815" s="8" t="str">
        <f>IFERROR(__xludf.DUMMYFUNCTION("""COMPUTED_VALUE"""),"Resulted as Neg in daily results report")</f>
        <v>Resulted as Neg in daily results report</v>
      </c>
      <c r="M815" s="69"/>
      <c r="N815" s="69">
        <f>IFERROR(__xludf.DUMMYFUNCTION("""COMPUTED_VALUE"""),1.0)</f>
        <v>1</v>
      </c>
      <c r="O815" s="69" t="str">
        <f t="shared" si="3"/>
        <v/>
      </c>
      <c r="P815" s="471">
        <f>IFERROR(__xludf.DUMMYFUNCTION("""COMPUTED_VALUE"""),-1.0)</f>
        <v>-1</v>
      </c>
      <c r="Q815" s="274" t="b">
        <f>VLOOKUP($B815,'Run Reconcile'!B$2:O2488,14,FALSE)</f>
        <v>1</v>
      </c>
      <c r="R815" s="472" t="str">
        <f t="array" ref="R815">IF($Q815, INDEX('Run Reconcile'!A$2:A2488,MATCH(B815,'Run Reconcile'!B$2:B2488,0),1),IFERROR(0/0,""))</f>
        <v>RUN-FLMP_2022-03-03_RFR-093</v>
      </c>
      <c r="S815" s="473" t="str">
        <f t="shared" si="694"/>
        <v/>
      </c>
      <c r="T815" s="473" t="str">
        <f t="shared" si="698"/>
        <v/>
      </c>
      <c r="U815" s="275" t="str">
        <f t="array" ref="U815">IF(ISBLANK($R815), INDEX('Run Reconcile'!A$2:A2488, MATCH($B815, 'Run Reconcile'!B$2:B2488, 0)+Z815, 1), IFERROR(0/0,""))
</f>
        <v/>
      </c>
      <c r="V815" s="474" t="str">
        <f t="shared" si="5"/>
        <v>RUN-FLMP_2022-03-03_RFR-093</v>
      </c>
      <c r="Y815" s="89" t="str">
        <f t="shared" si="867"/>
        <v/>
      </c>
      <c r="Z815" s="60" t="str">
        <f t="shared" si="7"/>
        <v/>
      </c>
      <c r="AA815" s="60" t="str">
        <f t="shared" si="8"/>
        <v/>
      </c>
      <c r="AB815" s="60" t="str">
        <f t="shared" si="9"/>
        <v/>
      </c>
      <c r="AC815" s="30" t="str">
        <f t="shared" ref="AC815:AD815" si="1171">IF(_xlfn.ISFORMULA(S815),IFERROR(0/0,""),TRUE)</f>
        <v/>
      </c>
      <c r="AD815" s="30" t="str">
        <f t="shared" si="1171"/>
        <v/>
      </c>
      <c r="AE815" s="475" t="str">
        <f>IFERROR(__xludf.DUMMYFUNCTION("""COMPUTED_VALUE"""),"CRLN")</f>
        <v>CRLN</v>
      </c>
      <c r="AF815" s="476"/>
      <c r="AG815" s="474" t="s">
        <v>184</v>
      </c>
      <c r="AH815" s="138" t="str">
        <f t="shared" si="11"/>
        <v/>
      </c>
    </row>
    <row r="816">
      <c r="A816" s="103" t="str">
        <f>IFERROR(__xludf.DUMMYFUNCTION("""COMPUTED_VALUE"""),"FLB6812")</f>
        <v>FLB6812</v>
      </c>
      <c r="B816" s="468">
        <f>IFERROR(__xludf.DUMMYFUNCTION("""COMPUTED_VALUE"""),44623.0)</f>
        <v>44623</v>
      </c>
      <c r="C816" s="469">
        <f>IFERROR(__xludf.DUMMYFUNCTION("""COMPUTED_VALUE"""),0.33988425925925925)</f>
        <v>0.3398842593</v>
      </c>
      <c r="D816" s="103" t="str">
        <f>IFERROR(__xludf.DUMMYFUNCTION("""COMPUTED_VALUE"""),"SpFLMP904576")</f>
        <v>SpFLMP904576</v>
      </c>
      <c r="E816" s="103"/>
      <c r="F816" s="103"/>
      <c r="G816" s="103" t="str">
        <f>IFERROR(__xludf.DUMMYFUNCTION("""COMPUTED_VALUE"""),"Negative")</f>
        <v>Negative</v>
      </c>
      <c r="H816" s="131" t="str">
        <f>IFERROR(__xludf.DUMMYFUNCTION("""COMPUTED_VALUE"""),"Negative")</f>
        <v>Negative</v>
      </c>
      <c r="I816" s="468">
        <f>IFERROR(__xludf.DUMMYFUNCTION("""COMPUTED_VALUE"""),44623.0)</f>
        <v>44623</v>
      </c>
      <c r="J816" s="470">
        <f>IFERROR(__xludf.DUMMYFUNCTION("""COMPUTED_VALUE"""),0.43561342592592595)</f>
        <v>0.4356134259</v>
      </c>
      <c r="K816" s="16"/>
      <c r="L816" s="8"/>
      <c r="M816" s="69"/>
      <c r="N816" s="69">
        <f>IFERROR(__xludf.DUMMYFUNCTION("""COMPUTED_VALUE"""),3.0)</f>
        <v>3</v>
      </c>
      <c r="O816" s="69" t="str">
        <f t="shared" si="3"/>
        <v/>
      </c>
      <c r="P816" s="471">
        <f>IFERROR(__xludf.DUMMYFUNCTION("""COMPUTED_VALUE"""),0.0)</f>
        <v>0</v>
      </c>
      <c r="Q816" s="274" t="b">
        <f>VLOOKUP($B816,'Run Reconcile'!B$2:O2488,14,FALSE)</f>
        <v>1</v>
      </c>
      <c r="R816" s="472" t="str">
        <f t="array" ref="R816">IF($Q816, INDEX('Run Reconcile'!A$2:A2488,MATCH(B816,'Run Reconcile'!B$2:B2488,0),1),IFERROR(0/0,""))</f>
        <v>RUN-FLMP_2022-03-03_RFR-093</v>
      </c>
      <c r="S816" s="473" t="str">
        <f t="shared" si="694"/>
        <v/>
      </c>
      <c r="T816" s="473" t="str">
        <f t="shared" si="698"/>
        <v/>
      </c>
      <c r="U816" s="275" t="str">
        <f t="array" ref="U816">IF(ISBLANK($R816), INDEX('Run Reconcile'!A$2:A2488, MATCH($B816, 'Run Reconcile'!B$2:B2488, 0)+Z816, 1), IFERROR(0/0,""))
</f>
        <v/>
      </c>
      <c r="V816" s="474" t="str">
        <f t="shared" si="5"/>
        <v>RUN-FLMP_2022-03-03_RFR-093</v>
      </c>
      <c r="Y816" s="89" t="str">
        <f t="shared" si="867"/>
        <v/>
      </c>
      <c r="Z816" s="60" t="str">
        <f t="shared" si="7"/>
        <v/>
      </c>
      <c r="AA816" s="60" t="str">
        <f t="shared" si="8"/>
        <v/>
      </c>
      <c r="AB816" s="60" t="str">
        <f t="shared" si="9"/>
        <v/>
      </c>
      <c r="AC816" s="30" t="str">
        <f t="shared" ref="AC816:AD816" si="1172">IF(_xlfn.ISFORMULA(S816),IFERROR(0/0,""),TRUE)</f>
        <v/>
      </c>
      <c r="AD816" s="30" t="str">
        <f t="shared" si="1172"/>
        <v/>
      </c>
      <c r="AE816" s="475" t="str">
        <f>IFERROR(__xludf.DUMMYFUNCTION("""COMPUTED_VALUE"""),"CRLN")</f>
        <v>CRLN</v>
      </c>
      <c r="AF816" s="476"/>
      <c r="AG816" s="474" t="s">
        <v>184</v>
      </c>
      <c r="AH816" s="138" t="str">
        <f t="shared" si="11"/>
        <v/>
      </c>
    </row>
    <row r="817">
      <c r="A817" s="103" t="str">
        <f>IFERROR(__xludf.DUMMYFUNCTION("""COMPUTED_VALUE"""),"FLB6810")</f>
        <v>FLB6810</v>
      </c>
      <c r="B817" s="468">
        <f>IFERROR(__xludf.DUMMYFUNCTION("""COMPUTED_VALUE"""),44623.0)</f>
        <v>44623</v>
      </c>
      <c r="C817" s="469">
        <f>IFERROR(__xludf.DUMMYFUNCTION("""COMPUTED_VALUE"""),0.34271990740740743)</f>
        <v>0.3427199074</v>
      </c>
      <c r="D817" s="103" t="str">
        <f>IFERROR(__xludf.DUMMYFUNCTION("""COMPUTED_VALUE"""),"SpFLMP600756")</f>
        <v>SpFLMP600756</v>
      </c>
      <c r="E817" s="103"/>
      <c r="F817" s="103"/>
      <c r="G817" s="103" t="str">
        <f>IFERROR(__xludf.DUMMYFUNCTION("""COMPUTED_VALUE"""),"Negative")</f>
        <v>Negative</v>
      </c>
      <c r="H817" s="131" t="str">
        <f>IFERROR(__xludf.DUMMYFUNCTION("""COMPUTED_VALUE"""),"Negative")</f>
        <v>Negative</v>
      </c>
      <c r="I817" s="468">
        <f>IFERROR(__xludf.DUMMYFUNCTION("""COMPUTED_VALUE"""),44623.0)</f>
        <v>44623</v>
      </c>
      <c r="J817" s="470">
        <f>IFERROR(__xludf.DUMMYFUNCTION("""COMPUTED_VALUE"""),0.43561342592592595)</f>
        <v>0.4356134259</v>
      </c>
      <c r="K817" s="16"/>
      <c r="L817" s="8"/>
      <c r="M817" s="69"/>
      <c r="N817" s="69">
        <f>IFERROR(__xludf.DUMMYFUNCTION("""COMPUTED_VALUE"""),2.0)</f>
        <v>2</v>
      </c>
      <c r="O817" s="69" t="str">
        <f t="shared" si="3"/>
        <v/>
      </c>
      <c r="P817" s="471">
        <f>IFERROR(__xludf.DUMMYFUNCTION("""COMPUTED_VALUE"""),0.0)</f>
        <v>0</v>
      </c>
      <c r="Q817" s="274" t="b">
        <f>VLOOKUP($B817,'Run Reconcile'!B$2:O2488,14,FALSE)</f>
        <v>1</v>
      </c>
      <c r="R817" s="472" t="str">
        <f t="array" ref="R817">IF($Q817, INDEX('Run Reconcile'!A$2:A2488,MATCH(B817,'Run Reconcile'!B$2:B2488,0),1),IFERROR(0/0,""))</f>
        <v>RUN-FLMP_2022-03-03_RFR-093</v>
      </c>
      <c r="S817" s="473" t="str">
        <f t="shared" si="694"/>
        <v/>
      </c>
      <c r="T817" s="473" t="str">
        <f t="shared" si="698"/>
        <v/>
      </c>
      <c r="U817" s="275" t="str">
        <f t="array" ref="U817">IF(ISBLANK($R817), INDEX('Run Reconcile'!A$2:A2488, MATCH($B817, 'Run Reconcile'!B$2:B2488, 0)+Z817, 1), IFERROR(0/0,""))
</f>
        <v/>
      </c>
      <c r="V817" s="474" t="str">
        <f t="shared" si="5"/>
        <v>RUN-FLMP_2022-03-03_RFR-093</v>
      </c>
      <c r="Y817" s="89" t="str">
        <f t="shared" si="867"/>
        <v/>
      </c>
      <c r="Z817" s="60" t="str">
        <f t="shared" si="7"/>
        <v/>
      </c>
      <c r="AA817" s="60" t="str">
        <f t="shared" si="8"/>
        <v/>
      </c>
      <c r="AB817" s="60" t="str">
        <f t="shared" si="9"/>
        <v/>
      </c>
      <c r="AC817" s="30" t="str">
        <f t="shared" ref="AC817:AD817" si="1173">IF(_xlfn.ISFORMULA(S817),IFERROR(0/0,""),TRUE)</f>
        <v/>
      </c>
      <c r="AD817" s="30" t="str">
        <f t="shared" si="1173"/>
        <v/>
      </c>
      <c r="AE817" s="475" t="str">
        <f>IFERROR(__xludf.DUMMYFUNCTION("""COMPUTED_VALUE"""),"CRLN")</f>
        <v>CRLN</v>
      </c>
      <c r="AF817" s="476"/>
      <c r="AG817" s="474" t="s">
        <v>184</v>
      </c>
      <c r="AH817" s="138" t="str">
        <f t="shared" si="11"/>
        <v/>
      </c>
    </row>
    <row r="818">
      <c r="A818" s="103" t="str">
        <f>IFERROR(__xludf.DUMMYFUNCTION("""COMPUTED_VALUE"""),"FLB5439")</f>
        <v>FLB5439</v>
      </c>
      <c r="B818" s="468">
        <f>IFERROR(__xludf.DUMMYFUNCTION("""COMPUTED_VALUE"""),44623.0)</f>
        <v>44623</v>
      </c>
      <c r="C818" s="469">
        <f>IFERROR(__xludf.DUMMYFUNCTION("""COMPUTED_VALUE"""),0.34436342592592595)</f>
        <v>0.3443634259</v>
      </c>
      <c r="D818" s="103" t="str">
        <f>IFERROR(__xludf.DUMMYFUNCTION("""COMPUTED_VALUE"""),"SpFLMP314549")</f>
        <v>SpFLMP314549</v>
      </c>
      <c r="E818" s="103"/>
      <c r="F818" s="103"/>
      <c r="G818" s="103" t="str">
        <f>IFERROR(__xludf.DUMMYFUNCTION("""COMPUTED_VALUE"""),"Negative")</f>
        <v>Negative</v>
      </c>
      <c r="H818" s="131" t="str">
        <f>IFERROR(__xludf.DUMMYFUNCTION("""COMPUTED_VALUE"""),"Negative")</f>
        <v>Negative</v>
      </c>
      <c r="I818" s="468">
        <f>IFERROR(__xludf.DUMMYFUNCTION("""COMPUTED_VALUE"""),44623.0)</f>
        <v>44623</v>
      </c>
      <c r="J818" s="470">
        <f>IFERROR(__xludf.DUMMYFUNCTION("""COMPUTED_VALUE"""),0.435625)</f>
        <v>0.435625</v>
      </c>
      <c r="K818" s="16"/>
      <c r="L818" s="8"/>
      <c r="M818" s="69"/>
      <c r="N818" s="69">
        <f>IFERROR(__xludf.DUMMYFUNCTION("""COMPUTED_VALUE"""),1.0)</f>
        <v>1</v>
      </c>
      <c r="O818" s="69" t="str">
        <f t="shared" si="3"/>
        <v/>
      </c>
      <c r="P818" s="471">
        <f>IFERROR(__xludf.DUMMYFUNCTION("""COMPUTED_VALUE"""),0.0)</f>
        <v>0</v>
      </c>
      <c r="Q818" s="274" t="b">
        <f>VLOOKUP($B818,'Run Reconcile'!B$2:O2488,14,FALSE)</f>
        <v>1</v>
      </c>
      <c r="R818" s="472" t="str">
        <f t="array" ref="R818">IF($Q818, INDEX('Run Reconcile'!A$2:A2488,MATCH(B818,'Run Reconcile'!B$2:B2488,0),1),IFERROR(0/0,""))</f>
        <v>RUN-FLMP_2022-03-03_RFR-093</v>
      </c>
      <c r="S818" s="473" t="str">
        <f t="shared" si="694"/>
        <v/>
      </c>
      <c r="T818" s="473" t="str">
        <f t="shared" si="698"/>
        <v/>
      </c>
      <c r="U818" s="275" t="str">
        <f t="array" ref="U818">IF(ISBLANK($R818), INDEX('Run Reconcile'!A$2:A2488, MATCH($B818, 'Run Reconcile'!B$2:B2488, 0)+Z818, 1), IFERROR(0/0,""))
</f>
        <v/>
      </c>
      <c r="V818" s="474" t="str">
        <f t="shared" si="5"/>
        <v>RUN-FLMP_2022-03-03_RFR-093</v>
      </c>
      <c r="Y818" s="89" t="str">
        <f t="shared" si="867"/>
        <v/>
      </c>
      <c r="Z818" s="60" t="str">
        <f t="shared" si="7"/>
        <v/>
      </c>
      <c r="AA818" s="60" t="str">
        <f t="shared" si="8"/>
        <v/>
      </c>
      <c r="AB818" s="60" t="str">
        <f t="shared" si="9"/>
        <v/>
      </c>
      <c r="AC818" s="30" t="str">
        <f t="shared" ref="AC818:AD818" si="1174">IF(_xlfn.ISFORMULA(S818),IFERROR(0/0,""),TRUE)</f>
        <v/>
      </c>
      <c r="AD818" s="30" t="str">
        <f t="shared" si="1174"/>
        <v/>
      </c>
      <c r="AE818" s="475" t="str">
        <f>IFERROR(__xludf.DUMMYFUNCTION("""COMPUTED_VALUE"""),"CRLN")</f>
        <v>CRLN</v>
      </c>
      <c r="AF818" s="476"/>
      <c r="AG818" s="474" t="s">
        <v>184</v>
      </c>
      <c r="AH818" s="138" t="str">
        <f t="shared" si="11"/>
        <v/>
      </c>
    </row>
    <row r="819">
      <c r="A819" s="103" t="str">
        <f>IFERROR(__xludf.DUMMYFUNCTION("""COMPUTED_VALUE"""),"FLB6804")</f>
        <v>FLB6804</v>
      </c>
      <c r="B819" s="468">
        <f>IFERROR(__xludf.DUMMYFUNCTION("""COMPUTED_VALUE"""),44623.0)</f>
        <v>44623</v>
      </c>
      <c r="C819" s="469">
        <f>IFERROR(__xludf.DUMMYFUNCTION("""COMPUTED_VALUE"""),0.35086805555555556)</f>
        <v>0.3508680556</v>
      </c>
      <c r="D819" s="103" t="str">
        <f>IFERROR(__xludf.DUMMYFUNCTION("""COMPUTED_VALUE"""),"SpFLMP402134")</f>
        <v>SpFLMP402134</v>
      </c>
      <c r="E819" s="103"/>
      <c r="F819" s="103"/>
      <c r="G819" s="103" t="str">
        <f>IFERROR(__xludf.DUMMYFUNCTION("""COMPUTED_VALUE"""),"Negative")</f>
        <v>Negative</v>
      </c>
      <c r="H819" s="131" t="str">
        <f>IFERROR(__xludf.DUMMYFUNCTION("""COMPUTED_VALUE"""),"Negative")</f>
        <v>Negative</v>
      </c>
      <c r="I819" s="468">
        <f>IFERROR(__xludf.DUMMYFUNCTION("""COMPUTED_VALUE"""),44623.0)</f>
        <v>44623</v>
      </c>
      <c r="J819" s="470">
        <f>IFERROR(__xludf.DUMMYFUNCTION("""COMPUTED_VALUE"""),0.435625)</f>
        <v>0.435625</v>
      </c>
      <c r="K819" s="16"/>
      <c r="L819" s="8"/>
      <c r="M819" s="69"/>
      <c r="N819" s="69">
        <f>IFERROR(__xludf.DUMMYFUNCTION("""COMPUTED_VALUE"""),1.0)</f>
        <v>1</v>
      </c>
      <c r="O819" s="69" t="str">
        <f t="shared" si="3"/>
        <v/>
      </c>
      <c r="P819" s="471">
        <f>IFERROR(__xludf.DUMMYFUNCTION("""COMPUTED_VALUE"""),0.0)</f>
        <v>0</v>
      </c>
      <c r="Q819" s="274" t="b">
        <f>VLOOKUP($B819,'Run Reconcile'!B$2:O2488,14,FALSE)</f>
        <v>1</v>
      </c>
      <c r="R819" s="472" t="str">
        <f t="array" ref="R819">IF($Q819, INDEX('Run Reconcile'!A$2:A2488,MATCH(B819,'Run Reconcile'!B$2:B2488,0),1),IFERROR(0/0,""))</f>
        <v>RUN-FLMP_2022-03-03_RFR-093</v>
      </c>
      <c r="S819" s="473" t="str">
        <f t="shared" si="694"/>
        <v/>
      </c>
      <c r="T819" s="473" t="str">
        <f t="shared" si="698"/>
        <v/>
      </c>
      <c r="U819" s="275" t="str">
        <f t="array" ref="U819">IF(ISBLANK($R819), INDEX('Run Reconcile'!A$2:A2488, MATCH($B819, 'Run Reconcile'!B$2:B2488, 0)+Z819, 1), IFERROR(0/0,""))
</f>
        <v/>
      </c>
      <c r="V819" s="474" t="str">
        <f t="shared" si="5"/>
        <v>RUN-FLMP_2022-03-03_RFR-093</v>
      </c>
      <c r="Y819" s="89" t="str">
        <f t="shared" si="867"/>
        <v/>
      </c>
      <c r="Z819" s="60" t="str">
        <f t="shared" si="7"/>
        <v/>
      </c>
      <c r="AA819" s="60" t="str">
        <f t="shared" si="8"/>
        <v/>
      </c>
      <c r="AB819" s="60" t="str">
        <f t="shared" si="9"/>
        <v/>
      </c>
      <c r="AC819" s="30" t="str">
        <f t="shared" ref="AC819:AD819" si="1175">IF(_xlfn.ISFORMULA(S819),IFERROR(0/0,""),TRUE)</f>
        <v/>
      </c>
      <c r="AD819" s="30" t="str">
        <f t="shared" si="1175"/>
        <v/>
      </c>
      <c r="AE819" s="475" t="str">
        <f>IFERROR(__xludf.DUMMYFUNCTION("""COMPUTED_VALUE"""),"CRLN")</f>
        <v>CRLN</v>
      </c>
      <c r="AF819" s="476"/>
      <c r="AG819" s="474" t="s">
        <v>184</v>
      </c>
      <c r="AH819" s="138" t="str">
        <f t="shared" si="11"/>
        <v/>
      </c>
    </row>
    <row r="820">
      <c r="A820" s="103" t="str">
        <f>IFERROR(__xludf.DUMMYFUNCTION("""COMPUTED_VALUE"""),"FLE858")</f>
        <v>FLE858</v>
      </c>
      <c r="B820" s="468">
        <f>IFERROR(__xludf.DUMMYFUNCTION("""COMPUTED_VALUE"""),44623.0)</f>
        <v>44623</v>
      </c>
      <c r="C820" s="469">
        <f>IFERROR(__xludf.DUMMYFUNCTION("""COMPUTED_VALUE"""),0.3522800925925926)</f>
        <v>0.3522800926</v>
      </c>
      <c r="D820" s="103" t="str">
        <f>IFERROR(__xludf.DUMMYFUNCTION("""COMPUTED_VALUE"""),"SpFLMP309785")</f>
        <v>SpFLMP309785</v>
      </c>
      <c r="E820" s="103"/>
      <c r="F820" s="103"/>
      <c r="G820" s="103" t="str">
        <f>IFERROR(__xludf.DUMMYFUNCTION("""COMPUTED_VALUE"""),"Negative")</f>
        <v>Negative</v>
      </c>
      <c r="H820" s="131" t="str">
        <f>IFERROR(__xludf.DUMMYFUNCTION("""COMPUTED_VALUE"""),"Negative")</f>
        <v>Negative</v>
      </c>
      <c r="I820" s="468">
        <f>IFERROR(__xludf.DUMMYFUNCTION("""COMPUTED_VALUE"""),44623.0)</f>
        <v>44623</v>
      </c>
      <c r="J820" s="470">
        <f>IFERROR(__xludf.DUMMYFUNCTION("""COMPUTED_VALUE"""),0.435625)</f>
        <v>0.435625</v>
      </c>
      <c r="K820" s="16"/>
      <c r="L820" s="8"/>
      <c r="M820" s="69"/>
      <c r="N820" s="69">
        <f>IFERROR(__xludf.DUMMYFUNCTION("""COMPUTED_VALUE"""),2.0)</f>
        <v>2</v>
      </c>
      <c r="O820" s="69" t="str">
        <f t="shared" si="3"/>
        <v/>
      </c>
      <c r="P820" s="471">
        <f>IFERROR(__xludf.DUMMYFUNCTION("""COMPUTED_VALUE"""),0.0)</f>
        <v>0</v>
      </c>
      <c r="Q820" s="274" t="b">
        <f>VLOOKUP($B820,'Run Reconcile'!B$2:O2488,14,FALSE)</f>
        <v>1</v>
      </c>
      <c r="R820" s="472" t="str">
        <f t="array" ref="R820">IF($Q820, INDEX('Run Reconcile'!A$2:A2488,MATCH(B820,'Run Reconcile'!B$2:B2488,0),1),IFERROR(0/0,""))</f>
        <v>RUN-FLMP_2022-03-03_RFR-093</v>
      </c>
      <c r="S820" s="473" t="str">
        <f t="shared" si="694"/>
        <v/>
      </c>
      <c r="T820" s="473" t="str">
        <f t="shared" si="698"/>
        <v/>
      </c>
      <c r="U820" s="275" t="str">
        <f t="array" ref="U820">IF(ISBLANK($R820), INDEX('Run Reconcile'!A$2:A2488, MATCH($B820, 'Run Reconcile'!B$2:B2488, 0)+Z820, 1), IFERROR(0/0,""))
</f>
        <v/>
      </c>
      <c r="V820" s="474" t="str">
        <f t="shared" si="5"/>
        <v>RUN-FLMP_2022-03-03_RFR-093</v>
      </c>
      <c r="Y820" s="89" t="str">
        <f t="shared" si="867"/>
        <v/>
      </c>
      <c r="Z820" s="60" t="str">
        <f t="shared" si="7"/>
        <v/>
      </c>
      <c r="AA820" s="60" t="str">
        <f t="shared" si="8"/>
        <v/>
      </c>
      <c r="AB820" s="60" t="str">
        <f t="shared" si="9"/>
        <v/>
      </c>
      <c r="AC820" s="30" t="str">
        <f t="shared" ref="AC820:AD820" si="1176">IF(_xlfn.ISFORMULA(S820),IFERROR(0/0,""),TRUE)</f>
        <v/>
      </c>
      <c r="AD820" s="30" t="str">
        <f t="shared" si="1176"/>
        <v/>
      </c>
      <c r="AE820" s="475" t="str">
        <f>IFERROR(__xludf.DUMMYFUNCTION("""COMPUTED_VALUE"""),"CRLN")</f>
        <v>CRLN</v>
      </c>
      <c r="AF820" s="476"/>
      <c r="AG820" s="474" t="s">
        <v>184</v>
      </c>
      <c r="AH820" s="138" t="str">
        <f t="shared" si="11"/>
        <v/>
      </c>
    </row>
    <row r="821">
      <c r="A821" s="103" t="str">
        <f>IFERROR(__xludf.DUMMYFUNCTION("""COMPUTED_VALUE"""),"FLB4966")</f>
        <v>FLB4966</v>
      </c>
      <c r="B821" s="468">
        <f>IFERROR(__xludf.DUMMYFUNCTION("""COMPUTED_VALUE"""),44623.0)</f>
        <v>44623</v>
      </c>
      <c r="C821" s="469">
        <f>IFERROR(__xludf.DUMMYFUNCTION("""COMPUTED_VALUE"""),0.35300925925925924)</f>
        <v>0.3530092593</v>
      </c>
      <c r="D821" s="103" t="str">
        <f>IFERROR(__xludf.DUMMYFUNCTION("""COMPUTED_VALUE"""),"SpFLMP399694")</f>
        <v>SpFLMP399694</v>
      </c>
      <c r="E821" s="103"/>
      <c r="F821" s="103"/>
      <c r="G821" s="103" t="str">
        <f>IFERROR(__xludf.DUMMYFUNCTION("""COMPUTED_VALUE"""),"Negative")</f>
        <v>Negative</v>
      </c>
      <c r="H821" s="131" t="str">
        <f>IFERROR(__xludf.DUMMYFUNCTION("""COMPUTED_VALUE"""),"Negative")</f>
        <v>Negative</v>
      </c>
      <c r="I821" s="468">
        <f>IFERROR(__xludf.DUMMYFUNCTION("""COMPUTED_VALUE"""),44627.0)</f>
        <v>44627</v>
      </c>
      <c r="J821" s="470">
        <f>IFERROR(__xludf.DUMMYFUNCTION("""COMPUTED_VALUE"""),0.4358564814814815)</f>
        <v>0.4358564815</v>
      </c>
      <c r="K821" s="16"/>
      <c r="L821" s="8"/>
      <c r="M821" s="69"/>
      <c r="N821" s="69">
        <f>IFERROR(__xludf.DUMMYFUNCTION("""COMPUTED_VALUE"""),3.0)</f>
        <v>3</v>
      </c>
      <c r="O821" s="69" t="str">
        <f t="shared" si="3"/>
        <v/>
      </c>
      <c r="P821" s="471">
        <f>IFERROR(__xludf.DUMMYFUNCTION("""COMPUTED_VALUE"""),4.0)</f>
        <v>4</v>
      </c>
      <c r="Q821" s="274" t="b">
        <f>VLOOKUP($B821,'Run Reconcile'!B$2:O2488,14,FALSE)</f>
        <v>1</v>
      </c>
      <c r="R821" s="472" t="str">
        <f t="array" ref="R821">IF($Q821, INDEX('Run Reconcile'!A$2:A2488,MATCH(B821,'Run Reconcile'!B$2:B2488,0),1),IFERROR(0/0,""))</f>
        <v>RUN-FLMP_2022-03-03_RFR-093</v>
      </c>
      <c r="S821" s="473" t="str">
        <f t="shared" si="694"/>
        <v/>
      </c>
      <c r="T821" s="473" t="str">
        <f t="shared" si="698"/>
        <v/>
      </c>
      <c r="U821" s="275" t="str">
        <f t="array" ref="U821">IF(ISBLANK($R821), INDEX('Run Reconcile'!A$2:A2488, MATCH($B821, 'Run Reconcile'!B$2:B2488, 0)+Z821, 1), IFERROR(0/0,""))
</f>
        <v/>
      </c>
      <c r="V821" s="474" t="str">
        <f t="shared" si="5"/>
        <v>RUN-FLMP_2022-03-03_RFR-093</v>
      </c>
      <c r="Y821" s="89" t="str">
        <f t="shared" si="867"/>
        <v/>
      </c>
      <c r="Z821" s="60" t="str">
        <f t="shared" si="7"/>
        <v/>
      </c>
      <c r="AA821" s="60" t="str">
        <f t="shared" si="8"/>
        <v/>
      </c>
      <c r="AB821" s="60" t="str">
        <f t="shared" si="9"/>
        <v/>
      </c>
      <c r="AC821" s="30" t="str">
        <f t="shared" ref="AC821:AD821" si="1177">IF(_xlfn.ISFORMULA(S821),IFERROR(0/0,""),TRUE)</f>
        <v/>
      </c>
      <c r="AD821" s="30" t="str">
        <f t="shared" si="1177"/>
        <v/>
      </c>
      <c r="AE821" s="475" t="str">
        <f>IFERROR(__xludf.DUMMYFUNCTION("""COMPUTED_VALUE"""),"CRLN")</f>
        <v>CRLN</v>
      </c>
      <c r="AF821" s="476"/>
      <c r="AG821" s="474" t="s">
        <v>184</v>
      </c>
      <c r="AH821" s="138" t="str">
        <f t="shared" si="11"/>
        <v/>
      </c>
    </row>
    <row r="822">
      <c r="A822" s="103" t="str">
        <f>IFERROR(__xludf.DUMMYFUNCTION("""COMPUTED_VALUE"""),"FLB4944")</f>
        <v>FLB4944</v>
      </c>
      <c r="B822" s="468">
        <f>IFERROR(__xludf.DUMMYFUNCTION("""COMPUTED_VALUE"""),44623.0)</f>
        <v>44623</v>
      </c>
      <c r="C822" s="469">
        <f>IFERROR(__xludf.DUMMYFUNCTION("""COMPUTED_VALUE"""),0.35324074074074074)</f>
        <v>0.3532407407</v>
      </c>
      <c r="D822" s="103" t="str">
        <f>IFERROR(__xludf.DUMMYFUNCTION("""COMPUTED_VALUE"""),"SpFLMP946259")</f>
        <v>SpFLMP946259</v>
      </c>
      <c r="E822" s="103"/>
      <c r="F822" s="103"/>
      <c r="G822" s="103" t="str">
        <f>IFERROR(__xludf.DUMMYFUNCTION("""COMPUTED_VALUE"""),"Negative")</f>
        <v>Negative</v>
      </c>
      <c r="H822" s="131" t="str">
        <f>IFERROR(__xludf.DUMMYFUNCTION("""COMPUTED_VALUE"""),"Negative")</f>
        <v>Negative</v>
      </c>
      <c r="I822" s="468">
        <f>IFERROR(__xludf.DUMMYFUNCTION("""COMPUTED_VALUE"""),44623.0)</f>
        <v>44623</v>
      </c>
      <c r="J822" s="470">
        <f>IFERROR(__xludf.DUMMYFUNCTION("""COMPUTED_VALUE"""),0.435625)</f>
        <v>0.435625</v>
      </c>
      <c r="K822" s="16"/>
      <c r="L822" s="8"/>
      <c r="M822" s="69"/>
      <c r="N822" s="69">
        <f>IFERROR(__xludf.DUMMYFUNCTION("""COMPUTED_VALUE"""),2.0)</f>
        <v>2</v>
      </c>
      <c r="O822" s="69" t="str">
        <f t="shared" si="3"/>
        <v/>
      </c>
      <c r="P822" s="471">
        <f>IFERROR(__xludf.DUMMYFUNCTION("""COMPUTED_VALUE"""),0.0)</f>
        <v>0</v>
      </c>
      <c r="Q822" s="274" t="b">
        <f>VLOOKUP($B822,'Run Reconcile'!B$2:O2488,14,FALSE)</f>
        <v>1</v>
      </c>
      <c r="R822" s="472" t="str">
        <f t="array" ref="R822">IF($Q822, INDEX('Run Reconcile'!A$2:A2488,MATCH(B822,'Run Reconcile'!B$2:B2488,0),1),IFERROR(0/0,""))</f>
        <v>RUN-FLMP_2022-03-03_RFR-093</v>
      </c>
      <c r="S822" s="473" t="str">
        <f t="shared" si="694"/>
        <v/>
      </c>
      <c r="T822" s="473" t="str">
        <f t="shared" si="698"/>
        <v/>
      </c>
      <c r="U822" s="275" t="str">
        <f t="array" ref="U822">IF(ISBLANK($R822), INDEX('Run Reconcile'!A$2:A2488, MATCH($B822, 'Run Reconcile'!B$2:B2488, 0)+Z822, 1), IFERROR(0/0,""))
</f>
        <v/>
      </c>
      <c r="V822" s="474" t="str">
        <f t="shared" si="5"/>
        <v>RUN-FLMP_2022-03-03_RFR-093</v>
      </c>
      <c r="Y822" s="89" t="str">
        <f t="shared" si="867"/>
        <v/>
      </c>
      <c r="Z822" s="60" t="str">
        <f t="shared" si="7"/>
        <v/>
      </c>
      <c r="AA822" s="60" t="str">
        <f t="shared" si="8"/>
        <v/>
      </c>
      <c r="AB822" s="60" t="str">
        <f t="shared" si="9"/>
        <v/>
      </c>
      <c r="AC822" s="30" t="str">
        <f t="shared" ref="AC822:AD822" si="1178">IF(_xlfn.ISFORMULA(S822),IFERROR(0/0,""),TRUE)</f>
        <v/>
      </c>
      <c r="AD822" s="30" t="str">
        <f t="shared" si="1178"/>
        <v/>
      </c>
      <c r="AE822" s="475" t="str">
        <f>IFERROR(__xludf.DUMMYFUNCTION("""COMPUTED_VALUE"""),"CRLN")</f>
        <v>CRLN</v>
      </c>
      <c r="AF822" s="476"/>
      <c r="AG822" s="474" t="s">
        <v>184</v>
      </c>
      <c r="AH822" s="138" t="str">
        <f t="shared" si="11"/>
        <v/>
      </c>
    </row>
    <row r="823">
      <c r="A823" s="103" t="str">
        <f>IFERROR(__xludf.DUMMYFUNCTION("""COMPUTED_VALUE"""),"FLB6549")</f>
        <v>FLB6549</v>
      </c>
      <c r="B823" s="468">
        <f>IFERROR(__xludf.DUMMYFUNCTION("""COMPUTED_VALUE"""),44623.0)</f>
        <v>44623</v>
      </c>
      <c r="C823" s="469">
        <f>IFERROR(__xludf.DUMMYFUNCTION("""COMPUTED_VALUE"""),0.3535185185185185)</f>
        <v>0.3535185185</v>
      </c>
      <c r="D823" s="103" t="str">
        <f>IFERROR(__xludf.DUMMYFUNCTION("""COMPUTED_VALUE"""),"SpFLMP939619")</f>
        <v>SpFLMP939619</v>
      </c>
      <c r="E823" s="103"/>
      <c r="F823" s="103"/>
      <c r="G823" s="103" t="str">
        <f>IFERROR(__xludf.DUMMYFUNCTION("""COMPUTED_VALUE"""),"Negative")</f>
        <v>Negative</v>
      </c>
      <c r="H823" s="131" t="str">
        <f>IFERROR(__xludf.DUMMYFUNCTION("""COMPUTED_VALUE"""),"Negative")</f>
        <v>Negative</v>
      </c>
      <c r="I823" s="468">
        <f>IFERROR(__xludf.DUMMYFUNCTION("""COMPUTED_VALUE"""),44623.0)</f>
        <v>44623</v>
      </c>
      <c r="J823" s="470">
        <f>IFERROR(__xludf.DUMMYFUNCTION("""COMPUTED_VALUE"""),0.435625)</f>
        <v>0.435625</v>
      </c>
      <c r="K823" s="16"/>
      <c r="L823" s="8"/>
      <c r="M823" s="69"/>
      <c r="N823" s="69">
        <f>IFERROR(__xludf.DUMMYFUNCTION("""COMPUTED_VALUE"""),1.0)</f>
        <v>1</v>
      </c>
      <c r="O823" s="69" t="str">
        <f t="shared" si="3"/>
        <v/>
      </c>
      <c r="P823" s="471">
        <f>IFERROR(__xludf.DUMMYFUNCTION("""COMPUTED_VALUE"""),0.0)</f>
        <v>0</v>
      </c>
      <c r="Q823" s="274" t="b">
        <f>VLOOKUP($B823,'Run Reconcile'!B$2:O2488,14,FALSE)</f>
        <v>1</v>
      </c>
      <c r="R823" s="472" t="str">
        <f t="array" ref="R823">IF($Q823, INDEX('Run Reconcile'!A$2:A2488,MATCH(B823,'Run Reconcile'!B$2:B2488,0),1),IFERROR(0/0,""))</f>
        <v>RUN-FLMP_2022-03-03_RFR-093</v>
      </c>
      <c r="S823" s="473" t="str">
        <f t="shared" si="694"/>
        <v/>
      </c>
      <c r="T823" s="473" t="str">
        <f t="shared" si="698"/>
        <v/>
      </c>
      <c r="U823" s="275" t="str">
        <f t="array" ref="U823">IF(ISBLANK($R823), INDEX('Run Reconcile'!A$2:A2488, MATCH($B823, 'Run Reconcile'!B$2:B2488, 0)+Z823, 1), IFERROR(0/0,""))
</f>
        <v/>
      </c>
      <c r="V823" s="474" t="str">
        <f t="shared" si="5"/>
        <v>RUN-FLMP_2022-03-03_RFR-093</v>
      </c>
      <c r="Y823" s="89" t="str">
        <f t="shared" si="867"/>
        <v/>
      </c>
      <c r="Z823" s="60" t="str">
        <f t="shared" si="7"/>
        <v/>
      </c>
      <c r="AA823" s="60" t="str">
        <f t="shared" si="8"/>
        <v/>
      </c>
      <c r="AB823" s="60" t="str">
        <f t="shared" si="9"/>
        <v/>
      </c>
      <c r="AC823" s="30" t="str">
        <f t="shared" ref="AC823:AD823" si="1179">IF(_xlfn.ISFORMULA(S823),IFERROR(0/0,""),TRUE)</f>
        <v/>
      </c>
      <c r="AD823" s="30" t="str">
        <f t="shared" si="1179"/>
        <v/>
      </c>
      <c r="AE823" s="475" t="str">
        <f>IFERROR(__xludf.DUMMYFUNCTION("""COMPUTED_VALUE"""),"CRLN")</f>
        <v>CRLN</v>
      </c>
      <c r="AF823" s="476"/>
      <c r="AG823" s="474" t="s">
        <v>184</v>
      </c>
      <c r="AH823" s="138" t="str">
        <f t="shared" si="11"/>
        <v/>
      </c>
    </row>
    <row r="824">
      <c r="A824" s="103" t="str">
        <f>IFERROR(__xludf.DUMMYFUNCTION("""COMPUTED_VALUE"""),"FLB6774")</f>
        <v>FLB6774</v>
      </c>
      <c r="B824" s="468">
        <f>IFERROR(__xludf.DUMMYFUNCTION("""COMPUTED_VALUE"""),44623.0)</f>
        <v>44623</v>
      </c>
      <c r="C824" s="469">
        <f>IFERROR(__xludf.DUMMYFUNCTION("""COMPUTED_VALUE"""),0.35596064814814815)</f>
        <v>0.3559606481</v>
      </c>
      <c r="D824" s="103" t="str">
        <f>IFERROR(__xludf.DUMMYFUNCTION("""COMPUTED_VALUE"""),"SpFLMP604497")</f>
        <v>SpFLMP604497</v>
      </c>
      <c r="E824" s="103"/>
      <c r="F824" s="103"/>
      <c r="G824" s="103" t="str">
        <f>IFERROR(__xludf.DUMMYFUNCTION("""COMPUTED_VALUE"""),"Negative")</f>
        <v>Negative</v>
      </c>
      <c r="H824" s="131" t="str">
        <f>IFERROR(__xludf.DUMMYFUNCTION("""COMPUTED_VALUE"""),"Negative")</f>
        <v>Negative</v>
      </c>
      <c r="I824" s="468">
        <f>IFERROR(__xludf.DUMMYFUNCTION("""COMPUTED_VALUE"""),44623.0)</f>
        <v>44623</v>
      </c>
      <c r="J824" s="470">
        <f>IFERROR(__xludf.DUMMYFUNCTION("""COMPUTED_VALUE"""),0.435625)</f>
        <v>0.435625</v>
      </c>
      <c r="K824" s="16"/>
      <c r="L824" s="8"/>
      <c r="M824" s="69"/>
      <c r="N824" s="69">
        <f>IFERROR(__xludf.DUMMYFUNCTION("""COMPUTED_VALUE"""),4.0)</f>
        <v>4</v>
      </c>
      <c r="O824" s="69" t="str">
        <f t="shared" si="3"/>
        <v/>
      </c>
      <c r="P824" s="471">
        <f>IFERROR(__xludf.DUMMYFUNCTION("""COMPUTED_VALUE"""),0.0)</f>
        <v>0</v>
      </c>
      <c r="Q824" s="274" t="b">
        <f>VLOOKUP($B824,'Run Reconcile'!B$2:O2488,14,FALSE)</f>
        <v>1</v>
      </c>
      <c r="R824" s="472" t="str">
        <f t="array" ref="R824">IF($Q824, INDEX('Run Reconcile'!A$2:A2488,MATCH(B824,'Run Reconcile'!B$2:B2488,0),1),IFERROR(0/0,""))</f>
        <v>RUN-FLMP_2022-03-03_RFR-093</v>
      </c>
      <c r="S824" s="473" t="str">
        <f t="shared" si="694"/>
        <v/>
      </c>
      <c r="T824" s="473" t="str">
        <f t="shared" si="698"/>
        <v/>
      </c>
      <c r="U824" s="275" t="str">
        <f t="array" ref="U824">IF(ISBLANK($R824), INDEX('Run Reconcile'!A$2:A2488, MATCH($B824, 'Run Reconcile'!B$2:B2488, 0)+Z824, 1), IFERROR(0/0,""))
</f>
        <v/>
      </c>
      <c r="V824" s="474" t="str">
        <f t="shared" si="5"/>
        <v>RUN-FLMP_2022-03-03_RFR-093</v>
      </c>
      <c r="Y824" s="89" t="str">
        <f t="shared" si="867"/>
        <v/>
      </c>
      <c r="Z824" s="60" t="str">
        <f t="shared" si="7"/>
        <v/>
      </c>
      <c r="AA824" s="60" t="str">
        <f t="shared" si="8"/>
        <v/>
      </c>
      <c r="AB824" s="60" t="str">
        <f t="shared" si="9"/>
        <v/>
      </c>
      <c r="AC824" s="30" t="str">
        <f t="shared" ref="AC824:AD824" si="1180">IF(_xlfn.ISFORMULA(S824),IFERROR(0/0,""),TRUE)</f>
        <v/>
      </c>
      <c r="AD824" s="30" t="str">
        <f t="shared" si="1180"/>
        <v/>
      </c>
      <c r="AE824" s="475" t="str">
        <f>IFERROR(__xludf.DUMMYFUNCTION("""COMPUTED_VALUE"""),"CRLN")</f>
        <v>CRLN</v>
      </c>
      <c r="AF824" s="476"/>
      <c r="AG824" s="474" t="s">
        <v>184</v>
      </c>
      <c r="AH824" s="138" t="str">
        <f t="shared" si="11"/>
        <v/>
      </c>
    </row>
    <row r="825">
      <c r="A825" s="103" t="str">
        <f>IFERROR(__xludf.DUMMYFUNCTION("""COMPUTED_VALUE"""),"FLB4793")</f>
        <v>FLB4793</v>
      </c>
      <c r="B825" s="468">
        <f>IFERROR(__xludf.DUMMYFUNCTION("""COMPUTED_VALUE"""),44623.0)</f>
        <v>44623</v>
      </c>
      <c r="C825" s="469">
        <f>IFERROR(__xludf.DUMMYFUNCTION("""COMPUTED_VALUE"""),0.3614236111111111)</f>
        <v>0.3614236111</v>
      </c>
      <c r="D825" s="103" t="str">
        <f>IFERROR(__xludf.DUMMYFUNCTION("""COMPUTED_VALUE"""),"SpFLMP596479")</f>
        <v>SpFLMP596479</v>
      </c>
      <c r="E825" s="103"/>
      <c r="F825" s="103"/>
      <c r="G825" s="103" t="str">
        <f>IFERROR(__xludf.DUMMYFUNCTION("""COMPUTED_VALUE"""),"Negative")</f>
        <v>Negative</v>
      </c>
      <c r="H825" s="131" t="str">
        <f>IFERROR(__xludf.DUMMYFUNCTION("""COMPUTED_VALUE"""),"Negative")</f>
        <v>Negative</v>
      </c>
      <c r="I825" s="468">
        <f>IFERROR(__xludf.DUMMYFUNCTION("""COMPUTED_VALUE"""),44623.0)</f>
        <v>44623</v>
      </c>
      <c r="J825" s="470">
        <f>IFERROR(__xludf.DUMMYFUNCTION("""COMPUTED_VALUE"""),0.435625)</f>
        <v>0.435625</v>
      </c>
      <c r="K825" s="16"/>
      <c r="L825" s="8"/>
      <c r="M825" s="69"/>
      <c r="N825" s="69">
        <f>IFERROR(__xludf.DUMMYFUNCTION("""COMPUTED_VALUE"""),3.0)</f>
        <v>3</v>
      </c>
      <c r="O825" s="69" t="str">
        <f t="shared" si="3"/>
        <v/>
      </c>
      <c r="P825" s="471">
        <f>IFERROR(__xludf.DUMMYFUNCTION("""COMPUTED_VALUE"""),0.0)</f>
        <v>0</v>
      </c>
      <c r="Q825" s="274" t="b">
        <f>VLOOKUP($B825,'Run Reconcile'!B$2:O2488,14,FALSE)</f>
        <v>1</v>
      </c>
      <c r="R825" s="472" t="str">
        <f t="array" ref="R825">IF($Q825, INDEX('Run Reconcile'!A$2:A2488,MATCH(B825,'Run Reconcile'!B$2:B2488,0),1),IFERROR(0/0,""))</f>
        <v>RUN-FLMP_2022-03-03_RFR-093</v>
      </c>
      <c r="S825" s="473" t="str">
        <f t="shared" si="694"/>
        <v/>
      </c>
      <c r="T825" s="473" t="str">
        <f t="shared" si="698"/>
        <v/>
      </c>
      <c r="U825" s="275" t="str">
        <f t="array" ref="U825">IF(ISBLANK($R825), INDEX('Run Reconcile'!A$2:A2488, MATCH($B825, 'Run Reconcile'!B$2:B2488, 0)+Z825, 1), IFERROR(0/0,""))
</f>
        <v/>
      </c>
      <c r="V825" s="474" t="str">
        <f t="shared" si="5"/>
        <v>RUN-FLMP_2022-03-03_RFR-093</v>
      </c>
      <c r="Y825" s="89" t="str">
        <f t="shared" si="867"/>
        <v/>
      </c>
      <c r="Z825" s="60" t="str">
        <f t="shared" si="7"/>
        <v/>
      </c>
      <c r="AA825" s="60" t="str">
        <f t="shared" si="8"/>
        <v/>
      </c>
      <c r="AB825" s="60" t="str">
        <f t="shared" si="9"/>
        <v/>
      </c>
      <c r="AC825" s="30" t="str">
        <f t="shared" ref="AC825:AD825" si="1181">IF(_xlfn.ISFORMULA(S825),IFERROR(0/0,""),TRUE)</f>
        <v/>
      </c>
      <c r="AD825" s="30" t="str">
        <f t="shared" si="1181"/>
        <v/>
      </c>
      <c r="AE825" s="475" t="str">
        <f>IFERROR(__xludf.DUMMYFUNCTION("""COMPUTED_VALUE"""),"CRLN")</f>
        <v>CRLN</v>
      </c>
      <c r="AF825" s="476"/>
      <c r="AG825" s="474" t="s">
        <v>184</v>
      </c>
      <c r="AH825" s="138" t="str">
        <f t="shared" si="11"/>
        <v/>
      </c>
    </row>
    <row r="826">
      <c r="A826" s="103" t="str">
        <f>IFERROR(__xludf.DUMMYFUNCTION("""COMPUTED_VALUE"""),"FLB7389")</f>
        <v>FLB7389</v>
      </c>
      <c r="B826" s="468">
        <f>IFERROR(__xludf.DUMMYFUNCTION("""COMPUTED_VALUE"""),44623.0)</f>
        <v>44623</v>
      </c>
      <c r="C826" s="469">
        <f>IFERROR(__xludf.DUMMYFUNCTION("""COMPUTED_VALUE"""),0.36663194444444447)</f>
        <v>0.3666319444</v>
      </c>
      <c r="D826" s="103" t="str">
        <f>IFERROR(__xludf.DUMMYFUNCTION("""COMPUTED_VALUE"""),"SpFLMP572444")</f>
        <v>SpFLMP572444</v>
      </c>
      <c r="E826" s="103"/>
      <c r="F826" s="103"/>
      <c r="G826" s="103" t="str">
        <f>IFERROR(__xludf.DUMMYFUNCTION("""COMPUTED_VALUE"""),"Negative")</f>
        <v>Negative</v>
      </c>
      <c r="H826" s="131" t="str">
        <f>IFERROR(__xludf.DUMMYFUNCTION("""COMPUTED_VALUE"""),"Negative")</f>
        <v>Negative</v>
      </c>
      <c r="I826" s="468">
        <f>IFERROR(__xludf.DUMMYFUNCTION("""COMPUTED_VALUE"""),44623.0)</f>
        <v>44623</v>
      </c>
      <c r="J826" s="470">
        <f>IFERROR(__xludf.DUMMYFUNCTION("""COMPUTED_VALUE"""),0.435625)</f>
        <v>0.435625</v>
      </c>
      <c r="K826" s="16"/>
      <c r="L826" s="8"/>
      <c r="M826" s="69"/>
      <c r="N826" s="69">
        <f>IFERROR(__xludf.DUMMYFUNCTION("""COMPUTED_VALUE"""),2.0)</f>
        <v>2</v>
      </c>
      <c r="O826" s="69" t="str">
        <f t="shared" si="3"/>
        <v/>
      </c>
      <c r="P826" s="471">
        <f>IFERROR(__xludf.DUMMYFUNCTION("""COMPUTED_VALUE"""),0.0)</f>
        <v>0</v>
      </c>
      <c r="Q826" s="274" t="b">
        <f>VLOOKUP($B826,'Run Reconcile'!B$2:O2488,14,FALSE)</f>
        <v>1</v>
      </c>
      <c r="R826" s="472" t="str">
        <f t="array" ref="R826">IF($Q826, INDEX('Run Reconcile'!A$2:A2488,MATCH(B826,'Run Reconcile'!B$2:B2488,0),1),IFERROR(0/0,""))</f>
        <v>RUN-FLMP_2022-03-03_RFR-093</v>
      </c>
      <c r="S826" s="473" t="str">
        <f t="shared" si="694"/>
        <v/>
      </c>
      <c r="T826" s="473" t="str">
        <f t="shared" si="698"/>
        <v/>
      </c>
      <c r="U826" s="275" t="str">
        <f t="array" ref="U826">IF(ISBLANK($R826), INDEX('Run Reconcile'!A$2:A2488, MATCH($B826, 'Run Reconcile'!B$2:B2488, 0)+Z826, 1), IFERROR(0/0,""))
</f>
        <v/>
      </c>
      <c r="V826" s="474" t="str">
        <f t="shared" si="5"/>
        <v>RUN-FLMP_2022-03-03_RFR-093</v>
      </c>
      <c r="Y826" s="89" t="str">
        <f t="shared" si="867"/>
        <v/>
      </c>
      <c r="Z826" s="60" t="str">
        <f t="shared" si="7"/>
        <v/>
      </c>
      <c r="AA826" s="60" t="str">
        <f t="shared" si="8"/>
        <v/>
      </c>
      <c r="AB826" s="60" t="str">
        <f t="shared" si="9"/>
        <v/>
      </c>
      <c r="AC826" s="30" t="str">
        <f t="shared" ref="AC826:AD826" si="1182">IF(_xlfn.ISFORMULA(S826),IFERROR(0/0,""),TRUE)</f>
        <v/>
      </c>
      <c r="AD826" s="30" t="str">
        <f t="shared" si="1182"/>
        <v/>
      </c>
      <c r="AE826" s="475" t="str">
        <f>IFERROR(__xludf.DUMMYFUNCTION("""COMPUTED_VALUE"""),"CRLN")</f>
        <v>CRLN</v>
      </c>
      <c r="AF826" s="476"/>
      <c r="AG826" s="474" t="s">
        <v>184</v>
      </c>
      <c r="AH826" s="138" t="str">
        <f t="shared" si="11"/>
        <v/>
      </c>
    </row>
    <row r="827">
      <c r="A827" s="103" t="str">
        <f>IFERROR(__xludf.DUMMYFUNCTION("""COMPUTED_VALUE"""),"FLT1202")</f>
        <v>FLT1202</v>
      </c>
      <c r="B827" s="468">
        <f>IFERROR(__xludf.DUMMYFUNCTION("""COMPUTED_VALUE"""),44623.0)</f>
        <v>44623</v>
      </c>
      <c r="C827" s="469">
        <f>IFERROR(__xludf.DUMMYFUNCTION("""COMPUTED_VALUE"""),0.3671064814814815)</f>
        <v>0.3671064815</v>
      </c>
      <c r="D827" s="103" t="str">
        <f>IFERROR(__xludf.DUMMYFUNCTION("""COMPUTED_VALUE"""),"SpFLMP496039")</f>
        <v>SpFLMP496039</v>
      </c>
      <c r="E827" s="103"/>
      <c r="F827" s="103"/>
      <c r="G827" s="103" t="str">
        <f>IFERROR(__xludf.DUMMYFUNCTION("""COMPUTED_VALUE"""),"Negative")</f>
        <v>Negative</v>
      </c>
      <c r="H827" s="131" t="str">
        <f>IFERROR(__xludf.DUMMYFUNCTION("""COMPUTED_VALUE"""),"Negative")</f>
        <v>Negative</v>
      </c>
      <c r="I827" s="468">
        <f>IFERROR(__xludf.DUMMYFUNCTION("""COMPUTED_VALUE"""),44623.0)</f>
        <v>44623</v>
      </c>
      <c r="J827" s="470">
        <f>IFERROR(__xludf.DUMMYFUNCTION("""COMPUTED_VALUE"""),0.435625)</f>
        <v>0.435625</v>
      </c>
      <c r="K827" s="16"/>
      <c r="L827" s="8"/>
      <c r="M827" s="69"/>
      <c r="N827" s="69">
        <f>IFERROR(__xludf.DUMMYFUNCTION("""COMPUTED_VALUE"""),1.0)</f>
        <v>1</v>
      </c>
      <c r="O827" s="69" t="str">
        <f t="shared" si="3"/>
        <v/>
      </c>
      <c r="P827" s="471">
        <f>IFERROR(__xludf.DUMMYFUNCTION("""COMPUTED_VALUE"""),0.0)</f>
        <v>0</v>
      </c>
      <c r="Q827" s="274" t="b">
        <f>VLOOKUP($B827,'Run Reconcile'!B$2:O2488,14,FALSE)</f>
        <v>1</v>
      </c>
      <c r="R827" s="472" t="str">
        <f t="array" ref="R827">IF($Q827, INDEX('Run Reconcile'!A$2:A2488,MATCH(B827,'Run Reconcile'!B$2:B2488,0),1),IFERROR(0/0,""))</f>
        <v>RUN-FLMP_2022-03-03_RFR-093</v>
      </c>
      <c r="S827" s="473" t="str">
        <f t="shared" si="694"/>
        <v/>
      </c>
      <c r="T827" s="473" t="str">
        <f t="shared" si="698"/>
        <v/>
      </c>
      <c r="U827" s="275" t="str">
        <f t="array" ref="U827">IF(ISBLANK($R827), INDEX('Run Reconcile'!A$2:A2488, MATCH($B827, 'Run Reconcile'!B$2:B2488, 0)+Z827, 1), IFERROR(0/0,""))
</f>
        <v/>
      </c>
      <c r="V827" s="474" t="str">
        <f t="shared" si="5"/>
        <v>RUN-FLMP_2022-03-03_RFR-093</v>
      </c>
      <c r="Y827" s="89" t="str">
        <f t="shared" si="867"/>
        <v/>
      </c>
      <c r="Z827" s="60" t="str">
        <f t="shared" si="7"/>
        <v/>
      </c>
      <c r="AA827" s="60" t="str">
        <f t="shared" si="8"/>
        <v/>
      </c>
      <c r="AB827" s="60" t="str">
        <f t="shared" si="9"/>
        <v/>
      </c>
      <c r="AC827" s="30" t="str">
        <f t="shared" ref="AC827:AD827" si="1183">IF(_xlfn.ISFORMULA(S827),IFERROR(0/0,""),TRUE)</f>
        <v/>
      </c>
      <c r="AD827" s="30" t="str">
        <f t="shared" si="1183"/>
        <v/>
      </c>
      <c r="AE827" s="475" t="str">
        <f>IFERROR(__xludf.DUMMYFUNCTION("""COMPUTED_VALUE"""),"CRLN")</f>
        <v>CRLN</v>
      </c>
      <c r="AF827" s="476"/>
      <c r="AG827" s="474" t="s">
        <v>184</v>
      </c>
      <c r="AH827" s="138" t="str">
        <f t="shared" si="11"/>
        <v/>
      </c>
    </row>
    <row r="828">
      <c r="A828" s="103" t="str">
        <f>IFERROR(__xludf.DUMMYFUNCTION("""COMPUTED_VALUE"""),"FLB5755")</f>
        <v>FLB5755</v>
      </c>
      <c r="B828" s="468">
        <f>IFERROR(__xludf.DUMMYFUNCTION("""COMPUTED_VALUE"""),44623.0)</f>
        <v>44623</v>
      </c>
      <c r="C828" s="469">
        <f>IFERROR(__xludf.DUMMYFUNCTION("""COMPUTED_VALUE"""),0.3709375)</f>
        <v>0.3709375</v>
      </c>
      <c r="D828" s="103" t="str">
        <f>IFERROR(__xludf.DUMMYFUNCTION("""COMPUTED_VALUE"""),"SpFLMP668449")</f>
        <v>SpFLMP668449</v>
      </c>
      <c r="E828" s="103"/>
      <c r="F828" s="103"/>
      <c r="G828" s="103" t="str">
        <f>IFERROR(__xludf.DUMMYFUNCTION("""COMPUTED_VALUE"""),"Negative")</f>
        <v>Negative</v>
      </c>
      <c r="H828" s="131" t="str">
        <f>IFERROR(__xludf.DUMMYFUNCTION("""COMPUTED_VALUE"""),"Negative")</f>
        <v>Negative</v>
      </c>
      <c r="I828" s="468">
        <f>IFERROR(__xludf.DUMMYFUNCTION("""COMPUTED_VALUE"""),44623.0)</f>
        <v>44623</v>
      </c>
      <c r="J828" s="470">
        <f>IFERROR(__xludf.DUMMYFUNCTION("""COMPUTED_VALUE"""),0.435625)</f>
        <v>0.435625</v>
      </c>
      <c r="K828" s="16"/>
      <c r="L828" s="8"/>
      <c r="M828" s="69"/>
      <c r="N828" s="69">
        <f>IFERROR(__xludf.DUMMYFUNCTION("""COMPUTED_VALUE"""),3.0)</f>
        <v>3</v>
      </c>
      <c r="O828" s="69" t="str">
        <f t="shared" si="3"/>
        <v/>
      </c>
      <c r="P828" s="471">
        <f>IFERROR(__xludf.DUMMYFUNCTION("""COMPUTED_VALUE"""),0.0)</f>
        <v>0</v>
      </c>
      <c r="Q828" s="274" t="b">
        <f>VLOOKUP($B828,'Run Reconcile'!B$2:O2488,14,FALSE)</f>
        <v>1</v>
      </c>
      <c r="R828" s="472" t="str">
        <f t="array" ref="R828">IF($Q828, INDEX('Run Reconcile'!A$2:A2488,MATCH(B828,'Run Reconcile'!B$2:B2488,0),1),IFERROR(0/0,""))</f>
        <v>RUN-FLMP_2022-03-03_RFR-093</v>
      </c>
      <c r="S828" s="473" t="str">
        <f t="shared" si="694"/>
        <v/>
      </c>
      <c r="T828" s="473" t="str">
        <f t="shared" si="698"/>
        <v/>
      </c>
      <c r="U828" s="275" t="str">
        <f t="array" ref="U828">IF(ISBLANK($R828), INDEX('Run Reconcile'!A$2:A2488, MATCH($B828, 'Run Reconcile'!B$2:B2488, 0)+Z828, 1), IFERROR(0/0,""))
</f>
        <v/>
      </c>
      <c r="V828" s="474" t="str">
        <f t="shared" si="5"/>
        <v>RUN-FLMP_2022-03-03_RFR-093</v>
      </c>
      <c r="Y828" s="89" t="str">
        <f t="shared" si="867"/>
        <v/>
      </c>
      <c r="Z828" s="60" t="str">
        <f t="shared" si="7"/>
        <v/>
      </c>
      <c r="AA828" s="60" t="str">
        <f t="shared" si="8"/>
        <v/>
      </c>
      <c r="AB828" s="60" t="str">
        <f t="shared" si="9"/>
        <v/>
      </c>
      <c r="AC828" s="30" t="str">
        <f t="shared" ref="AC828:AD828" si="1184">IF(_xlfn.ISFORMULA(S828),IFERROR(0/0,""),TRUE)</f>
        <v/>
      </c>
      <c r="AD828" s="30" t="str">
        <f t="shared" si="1184"/>
        <v/>
      </c>
      <c r="AE828" s="475" t="str">
        <f>IFERROR(__xludf.DUMMYFUNCTION("""COMPUTED_VALUE"""),"CRLN")</f>
        <v>CRLN</v>
      </c>
      <c r="AF828" s="476"/>
      <c r="AG828" s="474" t="s">
        <v>184</v>
      </c>
      <c r="AH828" s="138" t="str">
        <f t="shared" si="11"/>
        <v/>
      </c>
    </row>
    <row r="829">
      <c r="A829" s="103" t="str">
        <f>IFERROR(__xludf.DUMMYFUNCTION("""COMPUTED_VALUE"""),"FLT1186")</f>
        <v>FLT1186</v>
      </c>
      <c r="B829" s="468">
        <f>IFERROR(__xludf.DUMMYFUNCTION("""COMPUTED_VALUE"""),44623.0)</f>
        <v>44623</v>
      </c>
      <c r="C829" s="469">
        <f>IFERROR(__xludf.DUMMYFUNCTION("""COMPUTED_VALUE"""),0.37417824074074074)</f>
        <v>0.3741782407</v>
      </c>
      <c r="D829" s="103" t="str">
        <f>IFERROR(__xludf.DUMMYFUNCTION("""COMPUTED_VALUE"""),"SpFLMP496039")</f>
        <v>SpFLMP496039</v>
      </c>
      <c r="E829" s="103"/>
      <c r="F829" s="103"/>
      <c r="G829" s="103" t="str">
        <f>IFERROR(__xludf.DUMMYFUNCTION("""COMPUTED_VALUE"""),"Negative")</f>
        <v>Negative</v>
      </c>
      <c r="H829" s="131" t="str">
        <f>IFERROR(__xludf.DUMMYFUNCTION("""COMPUTED_VALUE"""),"Negative")</f>
        <v>Negative</v>
      </c>
      <c r="I829" s="468">
        <f>IFERROR(__xludf.DUMMYFUNCTION("""COMPUTED_VALUE"""),44623.0)</f>
        <v>44623</v>
      </c>
      <c r="J829" s="470">
        <f>IFERROR(__xludf.DUMMYFUNCTION("""COMPUTED_VALUE"""),0.435625)</f>
        <v>0.435625</v>
      </c>
      <c r="K829" s="16"/>
      <c r="L829" s="8"/>
      <c r="M829" s="69"/>
      <c r="N829" s="69">
        <f>IFERROR(__xludf.DUMMYFUNCTION("""COMPUTED_VALUE"""),3.0)</f>
        <v>3</v>
      </c>
      <c r="O829" s="69" t="str">
        <f t="shared" si="3"/>
        <v/>
      </c>
      <c r="P829" s="471">
        <f>IFERROR(__xludf.DUMMYFUNCTION("""COMPUTED_VALUE"""),0.0)</f>
        <v>0</v>
      </c>
      <c r="Q829" s="274" t="b">
        <f>VLOOKUP($B829,'Run Reconcile'!B$2:O2488,14,FALSE)</f>
        <v>1</v>
      </c>
      <c r="R829" s="472" t="str">
        <f t="array" ref="R829">IF($Q829, INDEX('Run Reconcile'!A$2:A2488,MATCH(B829,'Run Reconcile'!B$2:B2488,0),1),IFERROR(0/0,""))</f>
        <v>RUN-FLMP_2022-03-03_RFR-093</v>
      </c>
      <c r="S829" s="473" t="str">
        <f t="shared" si="694"/>
        <v/>
      </c>
      <c r="T829" s="473" t="str">
        <f t="shared" si="698"/>
        <v/>
      </c>
      <c r="U829" s="275" t="str">
        <f t="array" ref="U829">IF(ISBLANK($R829), INDEX('Run Reconcile'!A$2:A2488, MATCH($B829, 'Run Reconcile'!B$2:B2488, 0)+Z829, 1), IFERROR(0/0,""))
</f>
        <v/>
      </c>
      <c r="V829" s="474" t="str">
        <f t="shared" si="5"/>
        <v>RUN-FLMP_2022-03-03_RFR-093</v>
      </c>
      <c r="Y829" s="89" t="str">
        <f t="shared" si="867"/>
        <v/>
      </c>
      <c r="Z829" s="60" t="str">
        <f t="shared" si="7"/>
        <v/>
      </c>
      <c r="AA829" s="60" t="str">
        <f t="shared" si="8"/>
        <v/>
      </c>
      <c r="AB829" s="60" t="str">
        <f t="shared" si="9"/>
        <v/>
      </c>
      <c r="AC829" s="30" t="str">
        <f t="shared" ref="AC829:AD829" si="1185">IF(_xlfn.ISFORMULA(S829),IFERROR(0/0,""),TRUE)</f>
        <v/>
      </c>
      <c r="AD829" s="30" t="str">
        <f t="shared" si="1185"/>
        <v/>
      </c>
      <c r="AE829" s="475" t="str">
        <f>IFERROR(__xludf.DUMMYFUNCTION("""COMPUTED_VALUE"""),"CRLN")</f>
        <v>CRLN</v>
      </c>
      <c r="AF829" s="476"/>
      <c r="AG829" s="474" t="s">
        <v>184</v>
      </c>
      <c r="AH829" s="138" t="str">
        <f t="shared" si="11"/>
        <v/>
      </c>
    </row>
    <row r="830">
      <c r="A830" s="103" t="str">
        <f>IFERROR(__xludf.DUMMYFUNCTION("""COMPUTED_VALUE"""),"FLB6868")</f>
        <v>FLB6868</v>
      </c>
      <c r="B830" s="468">
        <f>IFERROR(__xludf.DUMMYFUNCTION("""COMPUTED_VALUE"""),44623.0)</f>
        <v>44623</v>
      </c>
      <c r="C830" s="469">
        <f>IFERROR(__xludf.DUMMYFUNCTION("""COMPUTED_VALUE"""),0.3754513888888889)</f>
        <v>0.3754513889</v>
      </c>
      <c r="D830" s="103" t="str">
        <f>IFERROR(__xludf.DUMMYFUNCTION("""COMPUTED_VALUE"""),"SpFLMP518914")</f>
        <v>SpFLMP518914</v>
      </c>
      <c r="E830" s="103"/>
      <c r="F830" s="103"/>
      <c r="G830" s="103" t="str">
        <f>IFERROR(__xludf.DUMMYFUNCTION("""COMPUTED_VALUE"""),"Negative")</f>
        <v>Negative</v>
      </c>
      <c r="H830" s="131" t="str">
        <f>IFERROR(__xludf.DUMMYFUNCTION("""COMPUTED_VALUE"""),"Negative")</f>
        <v>Negative</v>
      </c>
      <c r="I830" s="468">
        <f>IFERROR(__xludf.DUMMYFUNCTION("""COMPUTED_VALUE"""),44623.0)</f>
        <v>44623</v>
      </c>
      <c r="J830" s="470">
        <f>IFERROR(__xludf.DUMMYFUNCTION("""COMPUTED_VALUE"""),0.435625)</f>
        <v>0.435625</v>
      </c>
      <c r="K830" s="16"/>
      <c r="L830" s="8"/>
      <c r="M830" s="69"/>
      <c r="N830" s="69">
        <f>IFERROR(__xludf.DUMMYFUNCTION("""COMPUTED_VALUE"""),1.0)</f>
        <v>1</v>
      </c>
      <c r="O830" s="69" t="str">
        <f t="shared" si="3"/>
        <v/>
      </c>
      <c r="P830" s="471">
        <f>IFERROR(__xludf.DUMMYFUNCTION("""COMPUTED_VALUE"""),0.0)</f>
        <v>0</v>
      </c>
      <c r="Q830" s="274" t="b">
        <f>VLOOKUP($B830,'Run Reconcile'!B$2:O2488,14,FALSE)</f>
        <v>1</v>
      </c>
      <c r="R830" s="472" t="str">
        <f t="array" ref="R830">IF($Q830, INDEX('Run Reconcile'!A$2:A2488,MATCH(B830,'Run Reconcile'!B$2:B2488,0),1),IFERROR(0/0,""))</f>
        <v>RUN-FLMP_2022-03-03_RFR-093</v>
      </c>
      <c r="S830" s="473" t="str">
        <f t="shared" si="694"/>
        <v/>
      </c>
      <c r="T830" s="473" t="str">
        <f t="shared" si="698"/>
        <v/>
      </c>
      <c r="U830" s="275" t="str">
        <f t="array" ref="U830">IF(ISBLANK($R830), INDEX('Run Reconcile'!A$2:A2488, MATCH($B830, 'Run Reconcile'!B$2:B2488, 0)+Z830, 1), IFERROR(0/0,""))
</f>
        <v/>
      </c>
      <c r="V830" s="474" t="str">
        <f t="shared" si="5"/>
        <v>RUN-FLMP_2022-03-03_RFR-093</v>
      </c>
      <c r="Y830" s="89" t="str">
        <f t="shared" si="867"/>
        <v/>
      </c>
      <c r="Z830" s="60" t="str">
        <f t="shared" si="7"/>
        <v/>
      </c>
      <c r="AA830" s="60" t="str">
        <f t="shared" si="8"/>
        <v/>
      </c>
      <c r="AB830" s="60" t="str">
        <f t="shared" si="9"/>
        <v/>
      </c>
      <c r="AC830" s="30" t="str">
        <f t="shared" ref="AC830:AD830" si="1186">IF(_xlfn.ISFORMULA(S830),IFERROR(0/0,""),TRUE)</f>
        <v/>
      </c>
      <c r="AD830" s="30" t="str">
        <f t="shared" si="1186"/>
        <v/>
      </c>
      <c r="AE830" s="475" t="str">
        <f>IFERROR(__xludf.DUMMYFUNCTION("""COMPUTED_VALUE"""),"CRLN")</f>
        <v>CRLN</v>
      </c>
      <c r="AF830" s="476"/>
      <c r="AG830" s="474" t="s">
        <v>184</v>
      </c>
      <c r="AH830" s="138" t="str">
        <f t="shared" si="11"/>
        <v/>
      </c>
    </row>
    <row r="831">
      <c r="A831" s="103" t="str">
        <f>IFERROR(__xludf.DUMMYFUNCTION("""COMPUTED_VALUE"""),"FLB5433")</f>
        <v>FLB5433</v>
      </c>
      <c r="B831" s="468">
        <f>IFERROR(__xludf.DUMMYFUNCTION("""COMPUTED_VALUE"""),44626.0)</f>
        <v>44626</v>
      </c>
      <c r="C831" s="469">
        <f>IFERROR(__xludf.DUMMYFUNCTION("""COMPUTED_VALUE"""),0.5173958333333334)</f>
        <v>0.5173958333</v>
      </c>
      <c r="D831" s="103" t="str">
        <f>IFERROR(__xludf.DUMMYFUNCTION("""COMPUTED_VALUE"""),"SpFLMP668449")</f>
        <v>SpFLMP668449</v>
      </c>
      <c r="E831" s="103"/>
      <c r="F831" s="103"/>
      <c r="G831" s="103" t="str">
        <f>IFERROR(__xludf.DUMMYFUNCTION("""COMPUTED_VALUE"""),"Negative")</f>
        <v>Negative</v>
      </c>
      <c r="H831" s="131" t="str">
        <f>IFERROR(__xludf.DUMMYFUNCTION("""COMPUTED_VALUE"""),"Negative")</f>
        <v>Negative</v>
      </c>
      <c r="I831" s="468">
        <f>IFERROR(__xludf.DUMMYFUNCTION("""COMPUTED_VALUE"""),44627.0)</f>
        <v>44627</v>
      </c>
      <c r="J831" s="470">
        <f>IFERROR(__xludf.DUMMYFUNCTION("""COMPUTED_VALUE"""),0.4358564814814815)</f>
        <v>0.4358564815</v>
      </c>
      <c r="K831" s="16"/>
      <c r="L831" s="8"/>
      <c r="M831" s="69"/>
      <c r="N831" s="69">
        <f>IFERROR(__xludf.DUMMYFUNCTION("""COMPUTED_VALUE"""),4.0)</f>
        <v>4</v>
      </c>
      <c r="O831" s="69" t="b">
        <f t="shared" si="3"/>
        <v>1</v>
      </c>
      <c r="P831" s="471">
        <f>IFERROR(__xludf.DUMMYFUNCTION("""COMPUTED_VALUE"""),1.0)</f>
        <v>1</v>
      </c>
      <c r="Q831" s="274" t="str">
        <f>VLOOKUP($B831,'Run Reconcile'!B$2:O2488,14,FALSE)</f>
        <v/>
      </c>
      <c r="R831" s="472" t="str">
        <f t="array" ref="R831">IF($Q831, INDEX('Run Reconcile'!A$2:A2488,MATCH(B831,'Run Reconcile'!B$2:B2488,0),1),IFERROR(0/0,""))</f>
        <v/>
      </c>
      <c r="S831" s="473" t="b">
        <f t="shared" si="694"/>
        <v>1</v>
      </c>
      <c r="T831" s="473" t="str">
        <f t="shared" si="698"/>
        <v/>
      </c>
      <c r="U831" s="275" t="str">
        <f t="array" ref="U831">IF(ISBLANK($R831), INDEX('Run Reconcile'!A$2:A2488, MATCH($B831, 'Run Reconcile'!B$2:B2488, 0)+Z831, 1), IFERROR(0/0,""))
</f>
        <v>RUN-FLMP_2022-03-07_RFR-096</v>
      </c>
      <c r="V831" s="474" t="str">
        <f t="shared" si="5"/>
        <v>RUN-FLMP_2022-03-07_RFR-096</v>
      </c>
      <c r="W831" s="8" t="s">
        <v>1457</v>
      </c>
      <c r="Y831" s="89">
        <f t="shared" si="867"/>
        <v>1</v>
      </c>
      <c r="Z831" s="60">
        <f t="shared" si="7"/>
        <v>1</v>
      </c>
      <c r="AA831" s="60">
        <f t="shared" si="8"/>
        <v>1</v>
      </c>
      <c r="AB831" s="60" t="str">
        <f t="shared" si="9"/>
        <v/>
      </c>
      <c r="AC831" s="30" t="str">
        <f t="shared" ref="AC831:AD831" si="1187">IF(_xlfn.ISFORMULA(S831),IFERROR(0/0,""),TRUE)</f>
        <v/>
      </c>
      <c r="AD831" s="30" t="str">
        <f t="shared" si="1187"/>
        <v/>
      </c>
      <c r="AE831" s="475" t="str">
        <f>IFERROR(__xludf.DUMMYFUNCTION("""COMPUTED_VALUE"""),"CRLN")</f>
        <v>CRLN</v>
      </c>
      <c r="AF831" s="476"/>
      <c r="AG831" s="474" t="s">
        <v>185</v>
      </c>
      <c r="AH831" s="138" t="str">
        <f t="shared" si="11"/>
        <v/>
      </c>
    </row>
    <row r="832">
      <c r="A832" s="103" t="str">
        <f>IFERROR(__xludf.DUMMYFUNCTION("""COMPUTED_VALUE"""),"FLB4929")</f>
        <v>FLB4929</v>
      </c>
      <c r="B832" s="468">
        <f>IFERROR(__xludf.DUMMYFUNCTION("""COMPUTED_VALUE"""),44626.0)</f>
        <v>44626</v>
      </c>
      <c r="C832" s="469">
        <f>IFERROR(__xludf.DUMMYFUNCTION("""COMPUTED_VALUE"""),0.5494444444444444)</f>
        <v>0.5494444444</v>
      </c>
      <c r="D832" s="103" t="str">
        <f>IFERROR(__xludf.DUMMYFUNCTION("""COMPUTED_VALUE"""),"SpFLMP572444")</f>
        <v>SpFLMP572444</v>
      </c>
      <c r="E832" s="103"/>
      <c r="F832" s="103"/>
      <c r="G832" s="103" t="str">
        <f>IFERROR(__xludf.DUMMYFUNCTION("""COMPUTED_VALUE"""),"Null")</f>
        <v>Null</v>
      </c>
      <c r="H832" s="131" t="str">
        <f>IFERROR(__xludf.DUMMYFUNCTION("""COMPUTED_VALUE"""),"Negative")</f>
        <v>Negative</v>
      </c>
      <c r="I832" s="468"/>
      <c r="J832" s="16"/>
      <c r="K832" s="16">
        <f>IFERROR(__xludf.DUMMYFUNCTION("""COMPUTED_VALUE"""),2.0)</f>
        <v>2</v>
      </c>
      <c r="L832" s="8" t="str">
        <f>IFERROR(__xludf.DUMMYFUNCTION("""COMPUTED_VALUE"""),"Resulted as Neg in daily results report")</f>
        <v>Resulted as Neg in daily results report</v>
      </c>
      <c r="M832" s="69"/>
      <c r="N832" s="69">
        <f>IFERROR(__xludf.DUMMYFUNCTION("""COMPUTED_VALUE"""),3.0)</f>
        <v>3</v>
      </c>
      <c r="O832" s="69" t="str">
        <f t="shared" si="3"/>
        <v/>
      </c>
      <c r="P832" s="471">
        <f>IFERROR(__xludf.DUMMYFUNCTION("""COMPUTED_VALUE"""),-1.0)</f>
        <v>-1</v>
      </c>
      <c r="Q832" s="274" t="str">
        <f>VLOOKUP($B832,'Run Reconcile'!B$2:O2488,14,FALSE)</f>
        <v/>
      </c>
      <c r="R832" s="472" t="str">
        <f t="array" ref="R832">IF($Q832, INDEX('Run Reconcile'!A$2:A2488,MATCH(B832,'Run Reconcile'!B$2:B2488,0),1),IFERROR(0/0,""))</f>
        <v/>
      </c>
      <c r="S832" s="473" t="b">
        <f t="shared" si="694"/>
        <v>1</v>
      </c>
      <c r="T832" s="473" t="str">
        <f t="shared" si="698"/>
        <v/>
      </c>
      <c r="U832" s="275" t="str">
        <f t="array" ref="U832">IF(ISBLANK($R832), INDEX('Run Reconcile'!A$2:A2488, MATCH($B832, 'Run Reconcile'!B$2:B2488, 0)+Z832, 1), IFERROR(0/0,""))
</f>
        <v>RUN-FLMP_2022-03-07_RFR-096</v>
      </c>
      <c r="V832" s="474" t="str">
        <f t="shared" si="5"/>
        <v>RUN-FLMP_2022-03-07_RFR-096</v>
      </c>
      <c r="W832" s="8" t="s">
        <v>1458</v>
      </c>
      <c r="Y832" s="89">
        <f t="shared" si="867"/>
        <v>1</v>
      </c>
      <c r="Z832" s="60">
        <f t="shared" si="7"/>
        <v>1</v>
      </c>
      <c r="AA832" s="60">
        <f t="shared" si="8"/>
        <v>1</v>
      </c>
      <c r="AB832" s="60" t="str">
        <f t="shared" si="9"/>
        <v/>
      </c>
      <c r="AC832" s="30" t="str">
        <f t="shared" ref="AC832:AD832" si="1188">IF(_xlfn.ISFORMULA(S832),IFERROR(0/0,""),TRUE)</f>
        <v/>
      </c>
      <c r="AD832" s="30" t="str">
        <f t="shared" si="1188"/>
        <v/>
      </c>
      <c r="AE832" s="475" t="str">
        <f>IFERROR(__xludf.DUMMYFUNCTION("""COMPUTED_VALUE"""),"CRLN")</f>
        <v>CRLN</v>
      </c>
      <c r="AF832" s="476"/>
      <c r="AG832" s="474" t="s">
        <v>185</v>
      </c>
      <c r="AH832" s="138" t="str">
        <f t="shared" si="11"/>
        <v/>
      </c>
    </row>
    <row r="833">
      <c r="A833" s="103" t="str">
        <f>IFERROR(__xludf.DUMMYFUNCTION("""COMPUTED_VALUE"""),"FLB5437")</f>
        <v>FLB5437</v>
      </c>
      <c r="B833" s="468">
        <f>IFERROR(__xludf.DUMMYFUNCTION("""COMPUTED_VALUE"""),44626.0)</f>
        <v>44626</v>
      </c>
      <c r="C833" s="469">
        <f>IFERROR(__xludf.DUMMYFUNCTION("""COMPUTED_VALUE"""),0.7900925925925926)</f>
        <v>0.7900925926</v>
      </c>
      <c r="D833" s="103" t="str">
        <f>IFERROR(__xludf.DUMMYFUNCTION("""COMPUTED_VALUE"""),"SpFLMP271329")</f>
        <v>SpFLMP271329</v>
      </c>
      <c r="E833" s="103"/>
      <c r="F833" s="103"/>
      <c r="G833" s="103" t="str">
        <f>IFERROR(__xludf.DUMMYFUNCTION("""COMPUTED_VALUE"""),"Negative")</f>
        <v>Negative</v>
      </c>
      <c r="H833" s="131" t="str">
        <f>IFERROR(__xludf.DUMMYFUNCTION("""COMPUTED_VALUE"""),"Negative")</f>
        <v>Negative</v>
      </c>
      <c r="I833" s="468">
        <f>IFERROR(__xludf.DUMMYFUNCTION("""COMPUTED_VALUE"""),44627.0)</f>
        <v>44627</v>
      </c>
      <c r="J833" s="470">
        <f>IFERROR(__xludf.DUMMYFUNCTION("""COMPUTED_VALUE"""),0.4591898148148148)</f>
        <v>0.4591898148</v>
      </c>
      <c r="K833" s="16"/>
      <c r="L833" s="8"/>
      <c r="M833" s="69"/>
      <c r="N833" s="69">
        <f>IFERROR(__xludf.DUMMYFUNCTION("""COMPUTED_VALUE"""),1.0)</f>
        <v>1</v>
      </c>
      <c r="O833" s="69" t="str">
        <f t="shared" si="3"/>
        <v/>
      </c>
      <c r="P833" s="471">
        <f>IFERROR(__xludf.DUMMYFUNCTION("""COMPUTED_VALUE"""),1.0)</f>
        <v>1</v>
      </c>
      <c r="Q833" s="274" t="str">
        <f>VLOOKUP($B833,'Run Reconcile'!B$2:O2488,14,FALSE)</f>
        <v/>
      </c>
      <c r="R833" s="472" t="str">
        <f t="array" ref="R833">IF($Q833, INDEX('Run Reconcile'!A$2:A2488,MATCH(B833,'Run Reconcile'!B$2:B2488,0),1),IFERROR(0/0,""))</f>
        <v/>
      </c>
      <c r="S833" s="473" t="b">
        <f t="shared" si="694"/>
        <v>1</v>
      </c>
      <c r="T833" s="473" t="str">
        <f t="shared" si="698"/>
        <v/>
      </c>
      <c r="U833" s="275" t="str">
        <f t="array" ref="U833">IF(ISBLANK($R833), INDEX('Run Reconcile'!A$2:A2488, MATCH($B833, 'Run Reconcile'!B$2:B2488, 0)+Z833, 1), IFERROR(0/0,""))
</f>
        <v>RUN-FLMP_2022-03-07_RFR-096</v>
      </c>
      <c r="V833" s="474" t="str">
        <f t="shared" si="5"/>
        <v>RUN-FLMP_2022-03-07_RFR-096</v>
      </c>
      <c r="W833" s="8" t="s">
        <v>1217</v>
      </c>
      <c r="Y833" s="89">
        <f t="shared" si="867"/>
        <v>1</v>
      </c>
      <c r="Z833" s="60">
        <f t="shared" si="7"/>
        <v>1</v>
      </c>
      <c r="AA833" s="60">
        <f t="shared" si="8"/>
        <v>1</v>
      </c>
      <c r="AB833" s="60" t="str">
        <f t="shared" si="9"/>
        <v/>
      </c>
      <c r="AC833" s="30" t="str">
        <f t="shared" ref="AC833:AD833" si="1189">IF(_xlfn.ISFORMULA(S833),IFERROR(0/0,""),TRUE)</f>
        <v/>
      </c>
      <c r="AD833" s="30" t="str">
        <f t="shared" si="1189"/>
        <v/>
      </c>
      <c r="AE833" s="475" t="str">
        <f>IFERROR(__xludf.DUMMYFUNCTION("""COMPUTED_VALUE"""),"CRLN")</f>
        <v>CRLN</v>
      </c>
      <c r="AF833" s="476"/>
      <c r="AG833" s="474" t="s">
        <v>185</v>
      </c>
      <c r="AH833" s="138" t="str">
        <f t="shared" si="11"/>
        <v/>
      </c>
    </row>
    <row r="834">
      <c r="A834" s="103" t="str">
        <f>IFERROR(__xludf.DUMMYFUNCTION("""COMPUTED_VALUE"""),"FLE839")</f>
        <v>FLE839</v>
      </c>
      <c r="B834" s="468">
        <f>IFERROR(__xludf.DUMMYFUNCTION("""COMPUTED_VALUE"""),44626.0)</f>
        <v>44626</v>
      </c>
      <c r="C834" s="469">
        <f>IFERROR(__xludf.DUMMYFUNCTION("""COMPUTED_VALUE"""),0.8345486111111111)</f>
        <v>0.8345486111</v>
      </c>
      <c r="D834" s="103" t="str">
        <f>IFERROR(__xludf.DUMMYFUNCTION("""COMPUTED_VALUE"""),"SpFLMP683554")</f>
        <v>SpFLMP683554</v>
      </c>
      <c r="E834" s="103"/>
      <c r="F834" s="103"/>
      <c r="G834" s="103" t="str">
        <f>IFERROR(__xludf.DUMMYFUNCTION("""COMPUTED_VALUE"""),"Negative")</f>
        <v>Negative</v>
      </c>
      <c r="H834" s="131" t="str">
        <f>IFERROR(__xludf.DUMMYFUNCTION("""COMPUTED_VALUE"""),"Negative")</f>
        <v>Negative</v>
      </c>
      <c r="I834" s="468">
        <f>IFERROR(__xludf.DUMMYFUNCTION("""COMPUTED_VALUE"""),44627.0)</f>
        <v>44627</v>
      </c>
      <c r="J834" s="470">
        <f>IFERROR(__xludf.DUMMYFUNCTION("""COMPUTED_VALUE"""),0.4358564814814815)</f>
        <v>0.4358564815</v>
      </c>
      <c r="K834" s="16"/>
      <c r="L834" s="8"/>
      <c r="M834" s="69"/>
      <c r="N834" s="69">
        <f>IFERROR(__xludf.DUMMYFUNCTION("""COMPUTED_VALUE"""),1.0)</f>
        <v>1</v>
      </c>
      <c r="O834" s="69" t="str">
        <f t="shared" si="3"/>
        <v/>
      </c>
      <c r="P834" s="471">
        <f>IFERROR(__xludf.DUMMYFUNCTION("""COMPUTED_VALUE"""),1.0)</f>
        <v>1</v>
      </c>
      <c r="Q834" s="274" t="str">
        <f>VLOOKUP($B834,'Run Reconcile'!B$2:O2488,14,FALSE)</f>
        <v/>
      </c>
      <c r="R834" s="472" t="str">
        <f t="array" ref="R834">IF($Q834, INDEX('Run Reconcile'!A$2:A2488,MATCH(B834,'Run Reconcile'!B$2:B2488,0),1),IFERROR(0/0,""))</f>
        <v/>
      </c>
      <c r="S834" s="473" t="b">
        <f t="shared" si="694"/>
        <v>1</v>
      </c>
      <c r="T834" s="473" t="str">
        <f t="shared" si="698"/>
        <v/>
      </c>
      <c r="U834" s="275" t="str">
        <f t="array" ref="U834">IF(ISBLANK($R834), INDEX('Run Reconcile'!A$2:A2488, MATCH($B834, 'Run Reconcile'!B$2:B2488, 0)+Z834, 1), IFERROR(0/0,""))
</f>
        <v>RUN-FLMP_2022-03-07_RFR-096</v>
      </c>
      <c r="V834" s="474" t="str">
        <f t="shared" si="5"/>
        <v>RUN-FLMP_2022-03-07_RFR-096</v>
      </c>
      <c r="W834" s="8" t="s">
        <v>1459</v>
      </c>
      <c r="Y834" s="89">
        <f t="shared" si="867"/>
        <v>1</v>
      </c>
      <c r="Z834" s="60">
        <f t="shared" si="7"/>
        <v>1</v>
      </c>
      <c r="AA834" s="60">
        <f t="shared" si="8"/>
        <v>1</v>
      </c>
      <c r="AB834" s="60" t="str">
        <f t="shared" si="9"/>
        <v/>
      </c>
      <c r="AC834" s="30" t="str">
        <f t="shared" ref="AC834:AD834" si="1190">IF(_xlfn.ISFORMULA(S834),IFERROR(0/0,""),TRUE)</f>
        <v/>
      </c>
      <c r="AD834" s="30" t="str">
        <f t="shared" si="1190"/>
        <v/>
      </c>
      <c r="AE834" s="475" t="str">
        <f>IFERROR(__xludf.DUMMYFUNCTION("""COMPUTED_VALUE"""),"CRLN")</f>
        <v>CRLN</v>
      </c>
      <c r="AF834" s="476"/>
      <c r="AG834" s="474" t="s">
        <v>185</v>
      </c>
      <c r="AH834" s="138" t="str">
        <f t="shared" si="11"/>
        <v/>
      </c>
    </row>
    <row r="835">
      <c r="A835" s="103" t="str">
        <f>IFERROR(__xludf.DUMMYFUNCTION("""COMPUTED_VALUE"""),"FLB4792")</f>
        <v>FLB4792</v>
      </c>
      <c r="B835" s="468">
        <f>IFERROR(__xludf.DUMMYFUNCTION("""COMPUTED_VALUE"""),44626.0)</f>
        <v>44626</v>
      </c>
      <c r="C835" s="469">
        <f>IFERROR(__xludf.DUMMYFUNCTION("""COMPUTED_VALUE"""),0.8406828703703704)</f>
        <v>0.8406828704</v>
      </c>
      <c r="D835" s="103" t="str">
        <f>IFERROR(__xludf.DUMMYFUNCTION("""COMPUTED_VALUE"""),"SpFLMP596479")</f>
        <v>SpFLMP596479</v>
      </c>
      <c r="E835" s="103"/>
      <c r="F835" s="103"/>
      <c r="G835" s="103" t="str">
        <f>IFERROR(__xludf.DUMMYFUNCTION("""COMPUTED_VALUE"""),"Negative")</f>
        <v>Negative</v>
      </c>
      <c r="H835" s="131" t="str">
        <f>IFERROR(__xludf.DUMMYFUNCTION("""COMPUTED_VALUE"""),"Negative")</f>
        <v>Negative</v>
      </c>
      <c r="I835" s="468">
        <f>IFERROR(__xludf.DUMMYFUNCTION("""COMPUTED_VALUE"""),44627.0)</f>
        <v>44627</v>
      </c>
      <c r="J835" s="470">
        <f>IFERROR(__xludf.DUMMYFUNCTION("""COMPUTED_VALUE"""),0.4358564814814815)</f>
        <v>0.4358564815</v>
      </c>
      <c r="K835" s="16"/>
      <c r="L835" s="8"/>
      <c r="M835" s="69"/>
      <c r="N835" s="69">
        <f>IFERROR(__xludf.DUMMYFUNCTION("""COMPUTED_VALUE"""),3.0)</f>
        <v>3</v>
      </c>
      <c r="O835" s="69" t="str">
        <f t="shared" si="3"/>
        <v/>
      </c>
      <c r="P835" s="471">
        <f>IFERROR(__xludf.DUMMYFUNCTION("""COMPUTED_VALUE"""),1.0)</f>
        <v>1</v>
      </c>
      <c r="Q835" s="274" t="str">
        <f>VLOOKUP($B835,'Run Reconcile'!B$2:O2488,14,FALSE)</f>
        <v/>
      </c>
      <c r="R835" s="472" t="str">
        <f t="array" ref="R835">IF($Q835, INDEX('Run Reconcile'!A$2:A2488,MATCH(B835,'Run Reconcile'!B$2:B2488,0),1),IFERROR(0/0,""))</f>
        <v/>
      </c>
      <c r="S835" s="473" t="b">
        <f t="shared" si="694"/>
        <v>1</v>
      </c>
      <c r="T835" s="473" t="str">
        <f t="shared" si="698"/>
        <v/>
      </c>
      <c r="U835" s="275" t="str">
        <f t="array" ref="U835">IF(ISBLANK($R835), INDEX('Run Reconcile'!A$2:A2488, MATCH($B835, 'Run Reconcile'!B$2:B2488, 0)+Z835, 1), IFERROR(0/0,""))
</f>
        <v>RUN-FLMP_2022-03-07_RFR-096</v>
      </c>
      <c r="V835" s="474" t="str">
        <f t="shared" si="5"/>
        <v>RUN-FLMP_2022-03-07_RFR-096</v>
      </c>
      <c r="W835" s="8" t="s">
        <v>1460</v>
      </c>
      <c r="Y835" s="89">
        <f t="shared" si="867"/>
        <v>1</v>
      </c>
      <c r="Z835" s="60">
        <f t="shared" si="7"/>
        <v>1</v>
      </c>
      <c r="AA835" s="60">
        <f t="shared" si="8"/>
        <v>1</v>
      </c>
      <c r="AB835" s="60" t="str">
        <f t="shared" si="9"/>
        <v/>
      </c>
      <c r="AC835" s="30" t="str">
        <f t="shared" ref="AC835:AD835" si="1191">IF(_xlfn.ISFORMULA(S835),IFERROR(0/0,""),TRUE)</f>
        <v/>
      </c>
      <c r="AD835" s="30" t="str">
        <f t="shared" si="1191"/>
        <v/>
      </c>
      <c r="AE835" s="475" t="str">
        <f>IFERROR(__xludf.DUMMYFUNCTION("""COMPUTED_VALUE"""),"CRLN")</f>
        <v>CRLN</v>
      </c>
      <c r="AF835" s="476"/>
      <c r="AG835" s="474" t="s">
        <v>185</v>
      </c>
      <c r="AH835" s="138" t="str">
        <f t="shared" si="11"/>
        <v/>
      </c>
    </row>
    <row r="836">
      <c r="A836" s="103" t="str">
        <f>IFERROR(__xludf.DUMMYFUNCTION("""COMPUTED_VALUE"""),"FLB6758")</f>
        <v>FLB6758</v>
      </c>
      <c r="B836" s="468">
        <f>IFERROR(__xludf.DUMMYFUNCTION("""COMPUTED_VALUE"""),44627.0)</f>
        <v>44627</v>
      </c>
      <c r="C836" s="469">
        <f>IFERROR(__xludf.DUMMYFUNCTION("""COMPUTED_VALUE"""),0.24590277777777778)</f>
        <v>0.2459027778</v>
      </c>
      <c r="D836" s="103" t="str">
        <f>IFERROR(__xludf.DUMMYFUNCTION("""COMPUTED_VALUE"""),"SpFLMP470379")</f>
        <v>SpFLMP470379</v>
      </c>
      <c r="E836" s="103"/>
      <c r="F836" s="103"/>
      <c r="G836" s="103" t="str">
        <f>IFERROR(__xludf.DUMMYFUNCTION("""COMPUTED_VALUE"""),"Null")</f>
        <v>Null</v>
      </c>
      <c r="H836" s="131" t="str">
        <f>IFERROR(__xludf.DUMMYFUNCTION("""COMPUTED_VALUE"""),"Negative")</f>
        <v>Negative</v>
      </c>
      <c r="I836" s="468"/>
      <c r="J836" s="16"/>
      <c r="K836" s="16">
        <f>IFERROR(__xludf.DUMMYFUNCTION("""COMPUTED_VALUE"""),2.0)</f>
        <v>2</v>
      </c>
      <c r="L836" s="8" t="str">
        <f>IFERROR(__xludf.DUMMYFUNCTION("""COMPUTED_VALUE"""),"Resulted as Neg in daily results report")</f>
        <v>Resulted as Neg in daily results report</v>
      </c>
      <c r="M836" s="69"/>
      <c r="N836" s="69">
        <f>IFERROR(__xludf.DUMMYFUNCTION("""COMPUTED_VALUE"""),1.0)</f>
        <v>1</v>
      </c>
      <c r="O836" s="69" t="b">
        <f t="shared" si="3"/>
        <v>1</v>
      </c>
      <c r="P836" s="471">
        <f>IFERROR(__xludf.DUMMYFUNCTION("""COMPUTED_VALUE"""),-1.0)</f>
        <v>-1</v>
      </c>
      <c r="Q836" s="274" t="b">
        <f>VLOOKUP($B836,'Run Reconcile'!B$2:O2488,14,FALSE)</f>
        <v>1</v>
      </c>
      <c r="R836" s="472" t="str">
        <f t="array" ref="R836">IF($Q836, INDEX('Run Reconcile'!A$2:A2488,MATCH(B836,'Run Reconcile'!B$2:B2488,0),1),IFERROR(0/0,""))</f>
        <v>RUN-FLMP_2022-03-07_RFR-096</v>
      </c>
      <c r="S836" s="473" t="str">
        <f t="shared" si="694"/>
        <v/>
      </c>
      <c r="T836" s="473" t="str">
        <f t="shared" si="698"/>
        <v/>
      </c>
      <c r="U836" s="275" t="str">
        <f t="array" ref="U836">IF(ISBLANK($R836), INDEX('Run Reconcile'!A$2:A2488, MATCH($B836, 'Run Reconcile'!B$2:B2488, 0)+Z836, 1), IFERROR(0/0,""))
</f>
        <v/>
      </c>
      <c r="V836" s="474" t="str">
        <f t="shared" si="5"/>
        <v>RUN-FLMP_2022-03-07_RFR-096</v>
      </c>
      <c r="Y836" s="89" t="str">
        <f t="shared" si="867"/>
        <v/>
      </c>
      <c r="Z836" s="60" t="str">
        <f t="shared" si="7"/>
        <v/>
      </c>
      <c r="AA836" s="60" t="str">
        <f t="shared" si="8"/>
        <v/>
      </c>
      <c r="AB836" s="60" t="str">
        <f t="shared" si="9"/>
        <v/>
      </c>
      <c r="AC836" s="30" t="str">
        <f t="shared" ref="AC836:AD836" si="1192">IF(_xlfn.ISFORMULA(S836),IFERROR(0/0,""),TRUE)</f>
        <v/>
      </c>
      <c r="AD836" s="30" t="str">
        <f t="shared" si="1192"/>
        <v/>
      </c>
      <c r="AE836" s="475" t="str">
        <f>IFERROR(__xludf.DUMMYFUNCTION("""COMPUTED_VALUE"""),"CRLN")</f>
        <v>CRLN</v>
      </c>
      <c r="AF836" s="476"/>
      <c r="AG836" s="474" t="s">
        <v>185</v>
      </c>
      <c r="AH836" s="138" t="str">
        <f t="shared" si="11"/>
        <v/>
      </c>
    </row>
    <row r="837">
      <c r="A837" s="103" t="str">
        <f>IFERROR(__xludf.DUMMYFUNCTION("""COMPUTED_VALUE"""),"FLB6547")</f>
        <v>FLB6547</v>
      </c>
      <c r="B837" s="468">
        <f>IFERROR(__xludf.DUMMYFUNCTION("""COMPUTED_VALUE"""),44627.0)</f>
        <v>44627</v>
      </c>
      <c r="C837" s="469">
        <f>IFERROR(__xludf.DUMMYFUNCTION("""COMPUTED_VALUE"""),0.28835648148148146)</f>
        <v>0.2883564815</v>
      </c>
      <c r="D837" s="103" t="str">
        <f>IFERROR(__xludf.DUMMYFUNCTION("""COMPUTED_VALUE"""),"SpFLMP544731")</f>
        <v>SpFLMP544731</v>
      </c>
      <c r="E837" s="103"/>
      <c r="F837" s="103"/>
      <c r="G837" s="103" t="str">
        <f>IFERROR(__xludf.DUMMYFUNCTION("""COMPUTED_VALUE"""),"Negative")</f>
        <v>Negative</v>
      </c>
      <c r="H837" s="131" t="str">
        <f>IFERROR(__xludf.DUMMYFUNCTION("""COMPUTED_VALUE"""),"Negative")</f>
        <v>Negative</v>
      </c>
      <c r="I837" s="468">
        <f>IFERROR(__xludf.DUMMYFUNCTION("""COMPUTED_VALUE"""),44627.0)</f>
        <v>44627</v>
      </c>
      <c r="J837" s="470">
        <f>IFERROR(__xludf.DUMMYFUNCTION("""COMPUTED_VALUE"""),0.4358564814814815)</f>
        <v>0.4358564815</v>
      </c>
      <c r="K837" s="16"/>
      <c r="L837" s="8"/>
      <c r="M837" s="69"/>
      <c r="N837" s="69">
        <f>IFERROR(__xludf.DUMMYFUNCTION("""COMPUTED_VALUE"""),3.0)</f>
        <v>3</v>
      </c>
      <c r="O837" s="69" t="str">
        <f t="shared" si="3"/>
        <v/>
      </c>
      <c r="P837" s="471">
        <f>IFERROR(__xludf.DUMMYFUNCTION("""COMPUTED_VALUE"""),0.0)</f>
        <v>0</v>
      </c>
      <c r="Q837" s="274" t="b">
        <f>VLOOKUP($B837,'Run Reconcile'!B$2:O2488,14,FALSE)</f>
        <v>1</v>
      </c>
      <c r="R837" s="472" t="str">
        <f t="array" ref="R837">IF($Q837, INDEX('Run Reconcile'!A$2:A2488,MATCH(B837,'Run Reconcile'!B$2:B2488,0),1),IFERROR(0/0,""))</f>
        <v>RUN-FLMP_2022-03-07_RFR-096</v>
      </c>
      <c r="S837" s="473" t="str">
        <f t="shared" si="694"/>
        <v/>
      </c>
      <c r="T837" s="473" t="str">
        <f t="shared" si="698"/>
        <v/>
      </c>
      <c r="U837" s="275" t="str">
        <f t="array" ref="U837">IF(ISBLANK($R837), INDEX('Run Reconcile'!A$2:A2488, MATCH($B837, 'Run Reconcile'!B$2:B2488, 0)+Z837, 1), IFERROR(0/0,""))
</f>
        <v/>
      </c>
      <c r="V837" s="474" t="str">
        <f t="shared" si="5"/>
        <v>RUN-FLMP_2022-03-07_RFR-096</v>
      </c>
      <c r="Y837" s="89" t="str">
        <f t="shared" si="867"/>
        <v/>
      </c>
      <c r="Z837" s="60" t="str">
        <f t="shared" si="7"/>
        <v/>
      </c>
      <c r="AA837" s="60" t="str">
        <f t="shared" si="8"/>
        <v/>
      </c>
      <c r="AB837" s="60" t="str">
        <f t="shared" si="9"/>
        <v/>
      </c>
      <c r="AC837" s="30" t="str">
        <f t="shared" ref="AC837:AD837" si="1193">IF(_xlfn.ISFORMULA(S837),IFERROR(0/0,""),TRUE)</f>
        <v/>
      </c>
      <c r="AD837" s="30" t="str">
        <f t="shared" si="1193"/>
        <v/>
      </c>
      <c r="AE837" s="475" t="str">
        <f>IFERROR(__xludf.DUMMYFUNCTION("""COMPUTED_VALUE"""),"CRLN")</f>
        <v>CRLN</v>
      </c>
      <c r="AF837" s="476"/>
      <c r="AG837" s="474" t="s">
        <v>185</v>
      </c>
      <c r="AH837" s="138" t="str">
        <f t="shared" si="11"/>
        <v/>
      </c>
    </row>
    <row r="838">
      <c r="A838" s="103" t="str">
        <f>IFERROR(__xludf.DUMMYFUNCTION("""COMPUTED_VALUE"""),"FLE847")</f>
        <v>FLE847</v>
      </c>
      <c r="B838" s="468">
        <f>IFERROR(__xludf.DUMMYFUNCTION("""COMPUTED_VALUE"""),44627.0)</f>
        <v>44627</v>
      </c>
      <c r="C838" s="469">
        <f>IFERROR(__xludf.DUMMYFUNCTION("""COMPUTED_VALUE"""),0.3012037037037037)</f>
        <v>0.3012037037</v>
      </c>
      <c r="D838" s="103" t="str">
        <f>IFERROR(__xludf.DUMMYFUNCTION("""COMPUTED_VALUE"""),"SpFLMP690282")</f>
        <v>SpFLMP690282</v>
      </c>
      <c r="E838" s="103"/>
      <c r="F838" s="103"/>
      <c r="G838" s="103" t="str">
        <f>IFERROR(__xludf.DUMMYFUNCTION("""COMPUTED_VALUE"""),"Null")</f>
        <v>Null</v>
      </c>
      <c r="H838" s="131" t="str">
        <f>IFERROR(__xludf.DUMMYFUNCTION("""COMPUTED_VALUE"""),"Negative")</f>
        <v>Negative</v>
      </c>
      <c r="I838" s="468"/>
      <c r="J838" s="16"/>
      <c r="K838" s="16">
        <f>IFERROR(__xludf.DUMMYFUNCTION("""COMPUTED_VALUE"""),2.0)</f>
        <v>2</v>
      </c>
      <c r="L838" s="8" t="str">
        <f>IFERROR(__xludf.DUMMYFUNCTION("""COMPUTED_VALUE"""),"Resulted as Neg in daily results report")</f>
        <v>Resulted as Neg in daily results report</v>
      </c>
      <c r="M838" s="69"/>
      <c r="N838" s="69">
        <f>IFERROR(__xludf.DUMMYFUNCTION("""COMPUTED_VALUE"""),2.0)</f>
        <v>2</v>
      </c>
      <c r="O838" s="69" t="str">
        <f t="shared" si="3"/>
        <v/>
      </c>
      <c r="P838" s="471">
        <f>IFERROR(__xludf.DUMMYFUNCTION("""COMPUTED_VALUE"""),-1.0)</f>
        <v>-1</v>
      </c>
      <c r="Q838" s="274" t="b">
        <f>VLOOKUP($B838,'Run Reconcile'!B$2:O2488,14,FALSE)</f>
        <v>1</v>
      </c>
      <c r="R838" s="472" t="str">
        <f t="array" ref="R838">IF($Q838, INDEX('Run Reconcile'!A$2:A2488,MATCH(B838,'Run Reconcile'!B$2:B2488,0),1),IFERROR(0/0,""))</f>
        <v>RUN-FLMP_2022-03-07_RFR-096</v>
      </c>
      <c r="S838" s="473" t="str">
        <f t="shared" si="694"/>
        <v/>
      </c>
      <c r="T838" s="473" t="str">
        <f t="shared" si="698"/>
        <v/>
      </c>
      <c r="U838" s="275" t="str">
        <f t="array" ref="U838">IF(ISBLANK($R838), INDEX('Run Reconcile'!A$2:A2488, MATCH($B838, 'Run Reconcile'!B$2:B2488, 0)+Z838, 1), IFERROR(0/0,""))
</f>
        <v/>
      </c>
      <c r="V838" s="474" t="str">
        <f t="shared" si="5"/>
        <v>RUN-FLMP_2022-03-07_RFR-096</v>
      </c>
      <c r="Y838" s="89" t="str">
        <f t="shared" si="867"/>
        <v/>
      </c>
      <c r="Z838" s="60" t="str">
        <f t="shared" si="7"/>
        <v/>
      </c>
      <c r="AA838" s="60" t="str">
        <f t="shared" si="8"/>
        <v/>
      </c>
      <c r="AB838" s="60" t="str">
        <f t="shared" si="9"/>
        <v/>
      </c>
      <c r="AC838" s="30" t="str">
        <f t="shared" ref="AC838:AD838" si="1194">IF(_xlfn.ISFORMULA(S838),IFERROR(0/0,""),TRUE)</f>
        <v/>
      </c>
      <c r="AD838" s="30" t="str">
        <f t="shared" si="1194"/>
        <v/>
      </c>
      <c r="AE838" s="475" t="str">
        <f>IFERROR(__xludf.DUMMYFUNCTION("""COMPUTED_VALUE"""),"CRLN")</f>
        <v>CRLN</v>
      </c>
      <c r="AF838" s="476"/>
      <c r="AG838" s="474" t="s">
        <v>185</v>
      </c>
      <c r="AH838" s="138" t="str">
        <f t="shared" si="11"/>
        <v/>
      </c>
    </row>
    <row r="839">
      <c r="A839" s="103" t="str">
        <f>IFERROR(__xludf.DUMMYFUNCTION("""COMPUTED_VALUE"""),"FLB5778")</f>
        <v>FLB5778</v>
      </c>
      <c r="B839" s="468">
        <f>IFERROR(__xludf.DUMMYFUNCTION("""COMPUTED_VALUE"""),44627.0)</f>
        <v>44627</v>
      </c>
      <c r="C839" s="469">
        <f>IFERROR(__xludf.DUMMYFUNCTION("""COMPUTED_VALUE"""),0.30614583333333334)</f>
        <v>0.3061458333</v>
      </c>
      <c r="D839" s="103" t="str">
        <f>IFERROR(__xludf.DUMMYFUNCTION("""COMPUTED_VALUE"""),"SpFLMP228238")</f>
        <v>SpFLMP228238</v>
      </c>
      <c r="E839" s="103"/>
      <c r="F839" s="103"/>
      <c r="G839" s="103" t="str">
        <f>IFERROR(__xludf.DUMMYFUNCTION("""COMPUTED_VALUE"""),"Negative")</f>
        <v>Negative</v>
      </c>
      <c r="H839" s="131" t="str">
        <f>IFERROR(__xludf.DUMMYFUNCTION("""COMPUTED_VALUE"""),"Negative")</f>
        <v>Negative</v>
      </c>
      <c r="I839" s="468">
        <f>IFERROR(__xludf.DUMMYFUNCTION("""COMPUTED_VALUE"""),44627.0)</f>
        <v>44627</v>
      </c>
      <c r="J839" s="470">
        <f>IFERROR(__xludf.DUMMYFUNCTION("""COMPUTED_VALUE"""),0.4358564814814815)</f>
        <v>0.4358564815</v>
      </c>
      <c r="K839" s="16"/>
      <c r="L839" s="8"/>
      <c r="M839" s="69"/>
      <c r="N839" s="69">
        <f>IFERROR(__xludf.DUMMYFUNCTION("""COMPUTED_VALUE"""),3.0)</f>
        <v>3</v>
      </c>
      <c r="O839" s="69" t="str">
        <f t="shared" si="3"/>
        <v/>
      </c>
      <c r="P839" s="471">
        <f>IFERROR(__xludf.DUMMYFUNCTION("""COMPUTED_VALUE"""),0.0)</f>
        <v>0</v>
      </c>
      <c r="Q839" s="274" t="b">
        <f>VLOOKUP($B839,'Run Reconcile'!B$2:O2488,14,FALSE)</f>
        <v>1</v>
      </c>
      <c r="R839" s="472" t="str">
        <f t="array" ref="R839">IF($Q839, INDEX('Run Reconcile'!A$2:A2488,MATCH(B839,'Run Reconcile'!B$2:B2488,0),1),IFERROR(0/0,""))</f>
        <v>RUN-FLMP_2022-03-07_RFR-096</v>
      </c>
      <c r="S839" s="473" t="str">
        <f t="shared" si="694"/>
        <v/>
      </c>
      <c r="T839" s="473" t="str">
        <f t="shared" si="698"/>
        <v/>
      </c>
      <c r="U839" s="275" t="str">
        <f t="array" ref="U839">IF(ISBLANK($R839), INDEX('Run Reconcile'!A$2:A2488, MATCH($B839, 'Run Reconcile'!B$2:B2488, 0)+Z839, 1), IFERROR(0/0,""))
</f>
        <v/>
      </c>
      <c r="V839" s="474" t="str">
        <f t="shared" si="5"/>
        <v>RUN-FLMP_2022-03-07_RFR-096</v>
      </c>
      <c r="Y839" s="89" t="str">
        <f t="shared" si="867"/>
        <v/>
      </c>
      <c r="Z839" s="60" t="str">
        <f t="shared" si="7"/>
        <v/>
      </c>
      <c r="AA839" s="60" t="str">
        <f t="shared" si="8"/>
        <v/>
      </c>
      <c r="AB839" s="60" t="str">
        <f t="shared" si="9"/>
        <v/>
      </c>
      <c r="AC839" s="30" t="str">
        <f t="shared" ref="AC839:AD839" si="1195">IF(_xlfn.ISFORMULA(S839),IFERROR(0/0,""),TRUE)</f>
        <v/>
      </c>
      <c r="AD839" s="30" t="str">
        <f t="shared" si="1195"/>
        <v/>
      </c>
      <c r="AE839" s="475" t="str">
        <f>IFERROR(__xludf.DUMMYFUNCTION("""COMPUTED_VALUE"""),"CRLN")</f>
        <v>CRLN</v>
      </c>
      <c r="AF839" s="476"/>
      <c r="AG839" s="474" t="s">
        <v>185</v>
      </c>
      <c r="AH839" s="138" t="str">
        <f t="shared" si="11"/>
        <v/>
      </c>
    </row>
    <row r="840">
      <c r="A840" s="103" t="str">
        <f>IFERROR(__xludf.DUMMYFUNCTION("""COMPUTED_VALUE"""),"FLB6839")</f>
        <v>FLB6839</v>
      </c>
      <c r="B840" s="468">
        <f>IFERROR(__xludf.DUMMYFUNCTION("""COMPUTED_VALUE"""),44627.0)</f>
        <v>44627</v>
      </c>
      <c r="C840" s="469">
        <f>IFERROR(__xludf.DUMMYFUNCTION("""COMPUTED_VALUE"""),0.3064351851851852)</f>
        <v>0.3064351852</v>
      </c>
      <c r="D840" s="103" t="str">
        <f>IFERROR(__xludf.DUMMYFUNCTION("""COMPUTED_VALUE"""),"SpFLMP965392")</f>
        <v>SpFLMP965392</v>
      </c>
      <c r="E840" s="103"/>
      <c r="F840" s="103"/>
      <c r="G840" s="103" t="str">
        <f>IFERROR(__xludf.DUMMYFUNCTION("""COMPUTED_VALUE"""),"Negative")</f>
        <v>Negative</v>
      </c>
      <c r="H840" s="131" t="str">
        <f>IFERROR(__xludf.DUMMYFUNCTION("""COMPUTED_VALUE"""),"Negative")</f>
        <v>Negative</v>
      </c>
      <c r="I840" s="468">
        <f>IFERROR(__xludf.DUMMYFUNCTION("""COMPUTED_VALUE"""),44627.0)</f>
        <v>44627</v>
      </c>
      <c r="J840" s="470">
        <f>IFERROR(__xludf.DUMMYFUNCTION("""COMPUTED_VALUE"""),0.4358680555555556)</f>
        <v>0.4358680556</v>
      </c>
      <c r="K840" s="16"/>
      <c r="L840" s="8"/>
      <c r="M840" s="69"/>
      <c r="N840" s="69">
        <f>IFERROR(__xludf.DUMMYFUNCTION("""COMPUTED_VALUE"""),4.0)</f>
        <v>4</v>
      </c>
      <c r="O840" s="69" t="str">
        <f t="shared" si="3"/>
        <v/>
      </c>
      <c r="P840" s="471">
        <f>IFERROR(__xludf.DUMMYFUNCTION("""COMPUTED_VALUE"""),0.0)</f>
        <v>0</v>
      </c>
      <c r="Q840" s="274" t="b">
        <f>VLOOKUP($B840,'Run Reconcile'!B$2:O2488,14,FALSE)</f>
        <v>1</v>
      </c>
      <c r="R840" s="472" t="str">
        <f t="array" ref="R840">IF($Q840, INDEX('Run Reconcile'!A$2:A2488,MATCH(B840,'Run Reconcile'!B$2:B2488,0),1),IFERROR(0/0,""))</f>
        <v>RUN-FLMP_2022-03-07_RFR-096</v>
      </c>
      <c r="S840" s="473" t="str">
        <f t="shared" si="694"/>
        <v/>
      </c>
      <c r="T840" s="473" t="str">
        <f t="shared" si="698"/>
        <v/>
      </c>
      <c r="U840" s="275" t="str">
        <f t="array" ref="U840">IF(ISBLANK($R840), INDEX('Run Reconcile'!A$2:A2488, MATCH($B840, 'Run Reconcile'!B$2:B2488, 0)+Z840, 1), IFERROR(0/0,""))
</f>
        <v/>
      </c>
      <c r="V840" s="474" t="str">
        <f t="shared" si="5"/>
        <v>RUN-FLMP_2022-03-07_RFR-096</v>
      </c>
      <c r="Y840" s="89" t="str">
        <f t="shared" si="867"/>
        <v/>
      </c>
      <c r="Z840" s="60" t="str">
        <f t="shared" si="7"/>
        <v/>
      </c>
      <c r="AA840" s="60" t="str">
        <f t="shared" si="8"/>
        <v/>
      </c>
      <c r="AB840" s="60" t="str">
        <f t="shared" si="9"/>
        <v/>
      </c>
      <c r="AC840" s="30" t="str">
        <f t="shared" ref="AC840:AD840" si="1196">IF(_xlfn.ISFORMULA(S840),IFERROR(0/0,""),TRUE)</f>
        <v/>
      </c>
      <c r="AD840" s="30" t="str">
        <f t="shared" si="1196"/>
        <v/>
      </c>
      <c r="AE840" s="475" t="str">
        <f>IFERROR(__xludf.DUMMYFUNCTION("""COMPUTED_VALUE"""),"CRLN")</f>
        <v>CRLN</v>
      </c>
      <c r="AF840" s="476"/>
      <c r="AG840" s="474" t="s">
        <v>185</v>
      </c>
      <c r="AH840" s="138" t="str">
        <f t="shared" si="11"/>
        <v/>
      </c>
    </row>
    <row r="841">
      <c r="A841" s="103" t="str">
        <f>IFERROR(__xludf.DUMMYFUNCTION("""COMPUTED_VALUE"""),"FLB4908")</f>
        <v>FLB4908</v>
      </c>
      <c r="B841" s="468">
        <f>IFERROR(__xludf.DUMMYFUNCTION("""COMPUTED_VALUE"""),44627.0)</f>
        <v>44627</v>
      </c>
      <c r="C841" s="469">
        <f>IFERROR(__xludf.DUMMYFUNCTION("""COMPUTED_VALUE"""),0.3334259259259259)</f>
        <v>0.3334259259</v>
      </c>
      <c r="D841" s="103" t="str">
        <f>IFERROR(__xludf.DUMMYFUNCTION("""COMPUTED_VALUE"""),"SpFLMP170622")</f>
        <v>SpFLMP170622</v>
      </c>
      <c r="E841" s="103"/>
      <c r="F841" s="103"/>
      <c r="G841" s="103" t="str">
        <f>IFERROR(__xludf.DUMMYFUNCTION("""COMPUTED_VALUE"""),"Negative")</f>
        <v>Negative</v>
      </c>
      <c r="H841" s="131" t="str">
        <f>IFERROR(__xludf.DUMMYFUNCTION("""COMPUTED_VALUE"""),"Negative")</f>
        <v>Negative</v>
      </c>
      <c r="I841" s="468">
        <f>IFERROR(__xludf.DUMMYFUNCTION("""COMPUTED_VALUE"""),44627.0)</f>
        <v>44627</v>
      </c>
      <c r="J841" s="470">
        <f>IFERROR(__xludf.DUMMYFUNCTION("""COMPUTED_VALUE"""),0.4358680555555556)</f>
        <v>0.4358680556</v>
      </c>
      <c r="K841" s="16"/>
      <c r="L841" s="8"/>
      <c r="M841" s="69"/>
      <c r="N841" s="69">
        <f>IFERROR(__xludf.DUMMYFUNCTION("""COMPUTED_VALUE"""),1.0)</f>
        <v>1</v>
      </c>
      <c r="O841" s="69" t="str">
        <f t="shared" si="3"/>
        <v/>
      </c>
      <c r="P841" s="471">
        <f>IFERROR(__xludf.DUMMYFUNCTION("""COMPUTED_VALUE"""),0.0)</f>
        <v>0</v>
      </c>
      <c r="Q841" s="274" t="b">
        <f>VLOOKUP($B841,'Run Reconcile'!B$2:O2488,14,FALSE)</f>
        <v>1</v>
      </c>
      <c r="R841" s="472" t="str">
        <f t="array" ref="R841">IF($Q841, INDEX('Run Reconcile'!A$2:A2488,MATCH(B841,'Run Reconcile'!B$2:B2488,0),1),IFERROR(0/0,""))</f>
        <v>RUN-FLMP_2022-03-07_RFR-096</v>
      </c>
      <c r="S841" s="473" t="str">
        <f t="shared" si="694"/>
        <v/>
      </c>
      <c r="T841" s="473" t="str">
        <f t="shared" si="698"/>
        <v/>
      </c>
      <c r="U841" s="275" t="str">
        <f t="array" ref="U841">IF(ISBLANK($R841), INDEX('Run Reconcile'!A$2:A2488, MATCH($B841, 'Run Reconcile'!B$2:B2488, 0)+Z841, 1), IFERROR(0/0,""))
</f>
        <v/>
      </c>
      <c r="V841" s="474" t="str">
        <f t="shared" si="5"/>
        <v>RUN-FLMP_2022-03-07_RFR-096</v>
      </c>
      <c r="Y841" s="89" t="str">
        <f t="shared" si="867"/>
        <v/>
      </c>
      <c r="Z841" s="60" t="str">
        <f t="shared" si="7"/>
        <v/>
      </c>
      <c r="AA841" s="60" t="str">
        <f t="shared" si="8"/>
        <v/>
      </c>
      <c r="AB841" s="60" t="str">
        <f t="shared" si="9"/>
        <v/>
      </c>
      <c r="AC841" s="30" t="str">
        <f t="shared" ref="AC841:AD841" si="1197">IF(_xlfn.ISFORMULA(S841),IFERROR(0/0,""),TRUE)</f>
        <v/>
      </c>
      <c r="AD841" s="30" t="str">
        <f t="shared" si="1197"/>
        <v/>
      </c>
      <c r="AE841" s="475" t="str">
        <f>IFERROR(__xludf.DUMMYFUNCTION("""COMPUTED_VALUE"""),"CRLN")</f>
        <v>CRLN</v>
      </c>
      <c r="AF841" s="476"/>
      <c r="AG841" s="474" t="s">
        <v>185</v>
      </c>
      <c r="AH841" s="138" t="str">
        <f t="shared" si="11"/>
        <v/>
      </c>
    </row>
    <row r="842">
      <c r="A842" s="103" t="str">
        <f>IFERROR(__xludf.DUMMYFUNCTION("""COMPUTED_VALUE"""),"FLB4965")</f>
        <v>FLB4965</v>
      </c>
      <c r="B842" s="468">
        <f>IFERROR(__xludf.DUMMYFUNCTION("""COMPUTED_VALUE"""),44627.0)</f>
        <v>44627</v>
      </c>
      <c r="C842" s="469">
        <f>IFERROR(__xludf.DUMMYFUNCTION("""COMPUTED_VALUE"""),0.33371527777777776)</f>
        <v>0.3337152778</v>
      </c>
      <c r="D842" s="103" t="str">
        <f>IFERROR(__xludf.DUMMYFUNCTION("""COMPUTED_VALUE"""),"SpFLMP170622")</f>
        <v>SpFLMP170622</v>
      </c>
      <c r="E842" s="103"/>
      <c r="F842" s="103"/>
      <c r="G842" s="103" t="str">
        <f>IFERROR(__xludf.DUMMYFUNCTION("""COMPUTED_VALUE"""),"Negative")</f>
        <v>Negative</v>
      </c>
      <c r="H842" s="131" t="str">
        <f>IFERROR(__xludf.DUMMYFUNCTION("""COMPUTED_VALUE"""),"Negative")</f>
        <v>Negative</v>
      </c>
      <c r="I842" s="468">
        <f>IFERROR(__xludf.DUMMYFUNCTION("""COMPUTED_VALUE"""),44627.0)</f>
        <v>44627</v>
      </c>
      <c r="J842" s="470">
        <f>IFERROR(__xludf.DUMMYFUNCTION("""COMPUTED_VALUE"""),0.4358680555555556)</f>
        <v>0.4358680556</v>
      </c>
      <c r="K842" s="16"/>
      <c r="L842" s="8"/>
      <c r="M842" s="69"/>
      <c r="N842" s="69">
        <f>IFERROR(__xludf.DUMMYFUNCTION("""COMPUTED_VALUE"""),2.0)</f>
        <v>2</v>
      </c>
      <c r="O842" s="69" t="str">
        <f t="shared" si="3"/>
        <v/>
      </c>
      <c r="P842" s="471">
        <f>IFERROR(__xludf.DUMMYFUNCTION("""COMPUTED_VALUE"""),0.0)</f>
        <v>0</v>
      </c>
      <c r="Q842" s="274" t="b">
        <f>VLOOKUP($B842,'Run Reconcile'!B$2:O2488,14,FALSE)</f>
        <v>1</v>
      </c>
      <c r="R842" s="472" t="str">
        <f t="array" ref="R842">IF($Q842, INDEX('Run Reconcile'!A$2:A2488,MATCH(B842,'Run Reconcile'!B$2:B2488,0),1),IFERROR(0/0,""))</f>
        <v>RUN-FLMP_2022-03-07_RFR-096</v>
      </c>
      <c r="S842" s="473" t="str">
        <f t="shared" si="694"/>
        <v/>
      </c>
      <c r="T842" s="473" t="str">
        <f t="shared" si="698"/>
        <v/>
      </c>
      <c r="U842" s="275" t="str">
        <f t="array" ref="U842">IF(ISBLANK($R842), INDEX('Run Reconcile'!A$2:A2488, MATCH($B842, 'Run Reconcile'!B$2:B2488, 0)+Z842, 1), IFERROR(0/0,""))
</f>
        <v/>
      </c>
      <c r="V842" s="474" t="str">
        <f t="shared" si="5"/>
        <v>RUN-FLMP_2022-03-07_RFR-096</v>
      </c>
      <c r="Y842" s="89" t="str">
        <f t="shared" si="867"/>
        <v/>
      </c>
      <c r="Z842" s="60" t="str">
        <f t="shared" si="7"/>
        <v/>
      </c>
      <c r="AA842" s="60" t="str">
        <f t="shared" si="8"/>
        <v/>
      </c>
      <c r="AB842" s="60" t="str">
        <f t="shared" si="9"/>
        <v/>
      </c>
      <c r="AC842" s="30" t="str">
        <f t="shared" ref="AC842:AD842" si="1198">IF(_xlfn.ISFORMULA(S842),IFERROR(0/0,""),TRUE)</f>
        <v/>
      </c>
      <c r="AD842" s="30" t="str">
        <f t="shared" si="1198"/>
        <v/>
      </c>
      <c r="AE842" s="475" t="str">
        <f>IFERROR(__xludf.DUMMYFUNCTION("""COMPUTED_VALUE"""),"CRLN")</f>
        <v>CRLN</v>
      </c>
      <c r="AF842" s="476"/>
      <c r="AG842" s="474" t="s">
        <v>185</v>
      </c>
      <c r="AH842" s="138" t="str">
        <f t="shared" si="11"/>
        <v/>
      </c>
    </row>
    <row r="843">
      <c r="A843" s="103" t="str">
        <f>IFERROR(__xludf.DUMMYFUNCTION("""COMPUTED_VALUE"""),"FLE253")</f>
        <v>FLE253</v>
      </c>
      <c r="B843" s="468">
        <f>IFERROR(__xludf.DUMMYFUNCTION("""COMPUTED_VALUE"""),44627.0)</f>
        <v>44627</v>
      </c>
      <c r="C843" s="469">
        <f>IFERROR(__xludf.DUMMYFUNCTION("""COMPUTED_VALUE"""),0.3358564814814815)</f>
        <v>0.3358564815</v>
      </c>
      <c r="D843" s="103" t="str">
        <f>IFERROR(__xludf.DUMMYFUNCTION("""COMPUTED_VALUE"""),"SpFLMP684798")</f>
        <v>SpFLMP684798</v>
      </c>
      <c r="E843" s="103"/>
      <c r="F843" s="103"/>
      <c r="G843" s="103" t="str">
        <f>IFERROR(__xludf.DUMMYFUNCTION("""COMPUTED_VALUE"""),"Negative")</f>
        <v>Negative</v>
      </c>
      <c r="H843" s="131" t="str">
        <f>IFERROR(__xludf.DUMMYFUNCTION("""COMPUTED_VALUE"""),"Negative")</f>
        <v>Negative</v>
      </c>
      <c r="I843" s="468">
        <f>IFERROR(__xludf.DUMMYFUNCTION("""COMPUTED_VALUE"""),44627.0)</f>
        <v>44627</v>
      </c>
      <c r="J843" s="470">
        <f>IFERROR(__xludf.DUMMYFUNCTION("""COMPUTED_VALUE"""),0.4358680555555556)</f>
        <v>0.4358680556</v>
      </c>
      <c r="K843" s="16"/>
      <c r="L843" s="8"/>
      <c r="M843" s="69"/>
      <c r="N843" s="69">
        <f>IFERROR(__xludf.DUMMYFUNCTION("""COMPUTED_VALUE"""),4.0)</f>
        <v>4</v>
      </c>
      <c r="O843" s="69" t="str">
        <f t="shared" si="3"/>
        <v/>
      </c>
      <c r="P843" s="471">
        <f>IFERROR(__xludf.DUMMYFUNCTION("""COMPUTED_VALUE"""),0.0)</f>
        <v>0</v>
      </c>
      <c r="Q843" s="274" t="b">
        <f>VLOOKUP($B843,'Run Reconcile'!B$2:O2488,14,FALSE)</f>
        <v>1</v>
      </c>
      <c r="R843" s="472" t="str">
        <f t="array" ref="R843">IF($Q843, INDEX('Run Reconcile'!A$2:A2488,MATCH(B843,'Run Reconcile'!B$2:B2488,0),1),IFERROR(0/0,""))</f>
        <v>RUN-FLMP_2022-03-07_RFR-096</v>
      </c>
      <c r="S843" s="473" t="str">
        <f t="shared" si="694"/>
        <v/>
      </c>
      <c r="T843" s="473" t="str">
        <f t="shared" si="698"/>
        <v/>
      </c>
      <c r="U843" s="275" t="str">
        <f t="array" ref="U843">IF(ISBLANK($R843), INDEX('Run Reconcile'!A$2:A2488, MATCH($B843, 'Run Reconcile'!B$2:B2488, 0)+Z843, 1), IFERROR(0/0,""))
</f>
        <v/>
      </c>
      <c r="V843" s="474" t="str">
        <f t="shared" si="5"/>
        <v>RUN-FLMP_2022-03-07_RFR-096</v>
      </c>
      <c r="Y843" s="89" t="str">
        <f t="shared" si="867"/>
        <v/>
      </c>
      <c r="Z843" s="60" t="str">
        <f t="shared" si="7"/>
        <v/>
      </c>
      <c r="AA843" s="60" t="str">
        <f t="shared" si="8"/>
        <v/>
      </c>
      <c r="AB843" s="60" t="str">
        <f t="shared" si="9"/>
        <v/>
      </c>
      <c r="AC843" s="30" t="str">
        <f t="shared" ref="AC843:AD843" si="1199">IF(_xlfn.ISFORMULA(S843),IFERROR(0/0,""),TRUE)</f>
        <v/>
      </c>
      <c r="AD843" s="30" t="str">
        <f t="shared" si="1199"/>
        <v/>
      </c>
      <c r="AE843" s="475" t="str">
        <f>IFERROR(__xludf.DUMMYFUNCTION("""COMPUTED_VALUE"""),"CRLN")</f>
        <v>CRLN</v>
      </c>
      <c r="AF843" s="476"/>
      <c r="AG843" s="474" t="s">
        <v>185</v>
      </c>
      <c r="AH843" s="138" t="str">
        <f t="shared" si="11"/>
        <v/>
      </c>
    </row>
    <row r="844">
      <c r="A844" s="103" t="str">
        <f>IFERROR(__xludf.DUMMYFUNCTION("""COMPUTED_VALUE"""),"FLT1498")</f>
        <v>FLT1498</v>
      </c>
      <c r="B844" s="468">
        <f>IFERROR(__xludf.DUMMYFUNCTION("""COMPUTED_VALUE"""),44627.0)</f>
        <v>44627</v>
      </c>
      <c r="C844" s="469">
        <f>IFERROR(__xludf.DUMMYFUNCTION("""COMPUTED_VALUE"""),0.3363773148148148)</f>
        <v>0.3363773148</v>
      </c>
      <c r="D844" s="103" t="str">
        <f>IFERROR(__xludf.DUMMYFUNCTION("""COMPUTED_VALUE"""),"SpFLMP904576")</f>
        <v>SpFLMP904576</v>
      </c>
      <c r="E844" s="103"/>
      <c r="F844" s="103"/>
      <c r="G844" s="103" t="str">
        <f>IFERROR(__xludf.DUMMYFUNCTION("""COMPUTED_VALUE"""),"Negative")</f>
        <v>Negative</v>
      </c>
      <c r="H844" s="131" t="str">
        <f>IFERROR(__xludf.DUMMYFUNCTION("""COMPUTED_VALUE"""),"Negative")</f>
        <v>Negative</v>
      </c>
      <c r="I844" s="468">
        <f>IFERROR(__xludf.DUMMYFUNCTION("""COMPUTED_VALUE"""),44627.0)</f>
        <v>44627</v>
      </c>
      <c r="J844" s="470">
        <f>IFERROR(__xludf.DUMMYFUNCTION("""COMPUTED_VALUE"""),0.4358680555555556)</f>
        <v>0.4358680556</v>
      </c>
      <c r="K844" s="16"/>
      <c r="L844" s="8"/>
      <c r="M844" s="69"/>
      <c r="N844" s="69">
        <f>IFERROR(__xludf.DUMMYFUNCTION("""COMPUTED_VALUE"""),3.0)</f>
        <v>3</v>
      </c>
      <c r="O844" s="69" t="str">
        <f t="shared" si="3"/>
        <v/>
      </c>
      <c r="P844" s="471">
        <f>IFERROR(__xludf.DUMMYFUNCTION("""COMPUTED_VALUE"""),0.0)</f>
        <v>0</v>
      </c>
      <c r="Q844" s="274" t="b">
        <f>VLOOKUP($B844,'Run Reconcile'!B$2:O2488,14,FALSE)</f>
        <v>1</v>
      </c>
      <c r="R844" s="472" t="str">
        <f t="array" ref="R844">IF($Q844, INDEX('Run Reconcile'!A$2:A2488,MATCH(B844,'Run Reconcile'!B$2:B2488,0),1),IFERROR(0/0,""))</f>
        <v>RUN-FLMP_2022-03-07_RFR-096</v>
      </c>
      <c r="S844" s="473" t="str">
        <f t="shared" si="694"/>
        <v/>
      </c>
      <c r="T844" s="473" t="str">
        <f t="shared" si="698"/>
        <v/>
      </c>
      <c r="U844" s="275" t="str">
        <f t="array" ref="U844">IF(ISBLANK($R844), INDEX('Run Reconcile'!A$2:A2488, MATCH($B844, 'Run Reconcile'!B$2:B2488, 0)+Z844, 1), IFERROR(0/0,""))
</f>
        <v/>
      </c>
      <c r="V844" s="474" t="str">
        <f t="shared" si="5"/>
        <v>RUN-FLMP_2022-03-07_RFR-096</v>
      </c>
      <c r="Y844" s="89" t="str">
        <f t="shared" si="867"/>
        <v/>
      </c>
      <c r="Z844" s="60" t="str">
        <f t="shared" si="7"/>
        <v/>
      </c>
      <c r="AA844" s="60" t="str">
        <f t="shared" si="8"/>
        <v/>
      </c>
      <c r="AB844" s="60" t="str">
        <f t="shared" si="9"/>
        <v/>
      </c>
      <c r="AC844" s="30" t="str">
        <f t="shared" ref="AC844:AD844" si="1200">IF(_xlfn.ISFORMULA(S844),IFERROR(0/0,""),TRUE)</f>
        <v/>
      </c>
      <c r="AD844" s="30" t="str">
        <f t="shared" si="1200"/>
        <v/>
      </c>
      <c r="AE844" s="475" t="str">
        <f>IFERROR(__xludf.DUMMYFUNCTION("""COMPUTED_VALUE"""),"CRLN")</f>
        <v>CRLN</v>
      </c>
      <c r="AF844" s="476"/>
      <c r="AG844" s="474" t="s">
        <v>185</v>
      </c>
      <c r="AH844" s="138" t="str">
        <f t="shared" si="11"/>
        <v/>
      </c>
    </row>
    <row r="845">
      <c r="A845" s="103" t="str">
        <f>IFERROR(__xludf.DUMMYFUNCTION("""COMPUTED_VALUE"""),"FLB5730")</f>
        <v>FLB5730</v>
      </c>
      <c r="B845" s="468">
        <f>IFERROR(__xludf.DUMMYFUNCTION("""COMPUTED_VALUE"""),44627.0)</f>
        <v>44627</v>
      </c>
      <c r="C845" s="469">
        <f>IFERROR(__xludf.DUMMYFUNCTION("""COMPUTED_VALUE"""),0.3422685185185185)</f>
        <v>0.3422685185</v>
      </c>
      <c r="D845" s="103" t="str">
        <f>IFERROR(__xludf.DUMMYFUNCTION("""COMPUTED_VALUE"""),"SpFLMP604497")</f>
        <v>SpFLMP604497</v>
      </c>
      <c r="E845" s="103"/>
      <c r="F845" s="103"/>
      <c r="G845" s="103" t="str">
        <f>IFERROR(__xludf.DUMMYFUNCTION("""COMPUTED_VALUE"""),"Negative")</f>
        <v>Negative</v>
      </c>
      <c r="H845" s="131" t="str">
        <f>IFERROR(__xludf.DUMMYFUNCTION("""COMPUTED_VALUE"""),"Negative")</f>
        <v>Negative</v>
      </c>
      <c r="I845" s="468">
        <f>IFERROR(__xludf.DUMMYFUNCTION("""COMPUTED_VALUE"""),44627.0)</f>
        <v>44627</v>
      </c>
      <c r="J845" s="470">
        <f>IFERROR(__xludf.DUMMYFUNCTION("""COMPUTED_VALUE"""),0.4358680555555556)</f>
        <v>0.4358680556</v>
      </c>
      <c r="K845" s="16"/>
      <c r="L845" s="8"/>
      <c r="M845" s="69"/>
      <c r="N845" s="69">
        <f>IFERROR(__xludf.DUMMYFUNCTION("""COMPUTED_VALUE"""),4.0)</f>
        <v>4</v>
      </c>
      <c r="O845" s="69" t="str">
        <f t="shared" si="3"/>
        <v/>
      </c>
      <c r="P845" s="471">
        <f>IFERROR(__xludf.DUMMYFUNCTION("""COMPUTED_VALUE"""),0.0)</f>
        <v>0</v>
      </c>
      <c r="Q845" s="274" t="b">
        <f>VLOOKUP($B845,'Run Reconcile'!B$2:O2488,14,FALSE)</f>
        <v>1</v>
      </c>
      <c r="R845" s="472" t="str">
        <f t="array" ref="R845">IF($Q845, INDEX('Run Reconcile'!A$2:A2488,MATCH(B845,'Run Reconcile'!B$2:B2488,0),1),IFERROR(0/0,""))</f>
        <v>RUN-FLMP_2022-03-07_RFR-096</v>
      </c>
      <c r="S845" s="473" t="str">
        <f t="shared" si="694"/>
        <v/>
      </c>
      <c r="T845" s="473" t="str">
        <f t="shared" si="698"/>
        <v/>
      </c>
      <c r="U845" s="275" t="str">
        <f t="array" ref="U845">IF(ISBLANK($R845), INDEX('Run Reconcile'!A$2:A2488, MATCH($B845, 'Run Reconcile'!B$2:B2488, 0)+Z845, 1), IFERROR(0/0,""))
</f>
        <v/>
      </c>
      <c r="V845" s="474" t="str">
        <f t="shared" si="5"/>
        <v>RUN-FLMP_2022-03-07_RFR-096</v>
      </c>
      <c r="Y845" s="89" t="str">
        <f t="shared" si="867"/>
        <v/>
      </c>
      <c r="Z845" s="60" t="str">
        <f t="shared" si="7"/>
        <v/>
      </c>
      <c r="AA845" s="60" t="str">
        <f t="shared" si="8"/>
        <v/>
      </c>
      <c r="AB845" s="60" t="str">
        <f t="shared" si="9"/>
        <v/>
      </c>
      <c r="AC845" s="30" t="str">
        <f t="shared" ref="AC845:AD845" si="1201">IF(_xlfn.ISFORMULA(S845),IFERROR(0/0,""),TRUE)</f>
        <v/>
      </c>
      <c r="AD845" s="30" t="str">
        <f t="shared" si="1201"/>
        <v/>
      </c>
      <c r="AE845" s="475" t="str">
        <f>IFERROR(__xludf.DUMMYFUNCTION("""COMPUTED_VALUE"""),"CRLN")</f>
        <v>CRLN</v>
      </c>
      <c r="AF845" s="476"/>
      <c r="AG845" s="474" t="s">
        <v>185</v>
      </c>
      <c r="AH845" s="138" t="str">
        <f t="shared" si="11"/>
        <v/>
      </c>
    </row>
    <row r="846">
      <c r="A846" s="103" t="str">
        <f>IFERROR(__xludf.DUMMYFUNCTION("""COMPUTED_VALUE"""),"FLB6768")</f>
        <v>FLB6768</v>
      </c>
      <c r="B846" s="468">
        <f>IFERROR(__xludf.DUMMYFUNCTION("""COMPUTED_VALUE"""),44627.0)</f>
        <v>44627</v>
      </c>
      <c r="C846" s="469">
        <f>IFERROR(__xludf.DUMMYFUNCTION("""COMPUTED_VALUE"""),0.35225694444444444)</f>
        <v>0.3522569444</v>
      </c>
      <c r="D846" s="103" t="str">
        <f>IFERROR(__xludf.DUMMYFUNCTION("""COMPUTED_VALUE"""),"SpFLMP600756")</f>
        <v>SpFLMP600756</v>
      </c>
      <c r="E846" s="103"/>
      <c r="F846" s="103"/>
      <c r="G846" s="103" t="str">
        <f>IFERROR(__xludf.DUMMYFUNCTION("""COMPUTED_VALUE"""),"Negative")</f>
        <v>Negative</v>
      </c>
      <c r="H846" s="131" t="str">
        <f>IFERROR(__xludf.DUMMYFUNCTION("""COMPUTED_VALUE"""),"Negative")</f>
        <v>Negative</v>
      </c>
      <c r="I846" s="468">
        <f>IFERROR(__xludf.DUMMYFUNCTION("""COMPUTED_VALUE"""),44627.0)</f>
        <v>44627</v>
      </c>
      <c r="J846" s="470">
        <f>IFERROR(__xludf.DUMMYFUNCTION("""COMPUTED_VALUE"""),0.4358680555555556)</f>
        <v>0.4358680556</v>
      </c>
      <c r="K846" s="16"/>
      <c r="L846" s="8"/>
      <c r="M846" s="69"/>
      <c r="N846" s="69">
        <f>IFERROR(__xludf.DUMMYFUNCTION("""COMPUTED_VALUE"""),2.0)</f>
        <v>2</v>
      </c>
      <c r="O846" s="69" t="str">
        <f t="shared" si="3"/>
        <v/>
      </c>
      <c r="P846" s="471">
        <f>IFERROR(__xludf.DUMMYFUNCTION("""COMPUTED_VALUE"""),0.0)</f>
        <v>0</v>
      </c>
      <c r="Q846" s="274" t="b">
        <f>VLOOKUP($B846,'Run Reconcile'!B$2:O2488,14,FALSE)</f>
        <v>1</v>
      </c>
      <c r="R846" s="472" t="str">
        <f t="array" ref="R846">IF($Q846, INDEX('Run Reconcile'!A$2:A2488,MATCH(B846,'Run Reconcile'!B$2:B2488,0),1),IFERROR(0/0,""))</f>
        <v>RUN-FLMP_2022-03-07_RFR-096</v>
      </c>
      <c r="S846" s="473" t="str">
        <f t="shared" si="694"/>
        <v/>
      </c>
      <c r="T846" s="473" t="str">
        <f t="shared" si="698"/>
        <v/>
      </c>
      <c r="U846" s="275" t="str">
        <f t="array" ref="U846">IF(ISBLANK($R846), INDEX('Run Reconcile'!A$2:A2488, MATCH($B846, 'Run Reconcile'!B$2:B2488, 0)+Z846, 1), IFERROR(0/0,""))
</f>
        <v/>
      </c>
      <c r="V846" s="474" t="str">
        <f t="shared" si="5"/>
        <v>RUN-FLMP_2022-03-07_RFR-096</v>
      </c>
      <c r="Y846" s="89" t="str">
        <f t="shared" si="867"/>
        <v/>
      </c>
      <c r="Z846" s="60" t="str">
        <f t="shared" si="7"/>
        <v/>
      </c>
      <c r="AA846" s="60" t="str">
        <f t="shared" si="8"/>
        <v/>
      </c>
      <c r="AB846" s="60" t="str">
        <f t="shared" si="9"/>
        <v/>
      </c>
      <c r="AC846" s="30" t="str">
        <f t="shared" ref="AC846:AD846" si="1202">IF(_xlfn.ISFORMULA(S846),IFERROR(0/0,""),TRUE)</f>
        <v/>
      </c>
      <c r="AD846" s="30" t="str">
        <f t="shared" si="1202"/>
        <v/>
      </c>
      <c r="AE846" s="475" t="str">
        <f>IFERROR(__xludf.DUMMYFUNCTION("""COMPUTED_VALUE"""),"CRLN")</f>
        <v>CRLN</v>
      </c>
      <c r="AF846" s="476"/>
      <c r="AG846" s="474" t="s">
        <v>185</v>
      </c>
      <c r="AH846" s="138" t="str">
        <f t="shared" si="11"/>
        <v/>
      </c>
    </row>
    <row r="847">
      <c r="A847" s="103" t="str">
        <f>IFERROR(__xludf.DUMMYFUNCTION("""COMPUTED_VALUE"""),"FLB4798")</f>
        <v>FLB4798</v>
      </c>
      <c r="B847" s="468">
        <f>IFERROR(__xludf.DUMMYFUNCTION("""COMPUTED_VALUE"""),44627.0)</f>
        <v>44627</v>
      </c>
      <c r="C847" s="469">
        <f>IFERROR(__xludf.DUMMYFUNCTION("""COMPUTED_VALUE"""),0.3557175925925926)</f>
        <v>0.3557175926</v>
      </c>
      <c r="D847" s="103" t="str">
        <f>IFERROR(__xludf.DUMMYFUNCTION("""COMPUTED_VALUE"""),"SpFLMP946259")</f>
        <v>SpFLMP946259</v>
      </c>
      <c r="E847" s="103"/>
      <c r="F847" s="103"/>
      <c r="G847" s="103" t="str">
        <f>IFERROR(__xludf.DUMMYFUNCTION("""COMPUTED_VALUE"""),"Negative")</f>
        <v>Negative</v>
      </c>
      <c r="H847" s="131" t="str">
        <f>IFERROR(__xludf.DUMMYFUNCTION("""COMPUTED_VALUE"""),"Negative")</f>
        <v>Negative</v>
      </c>
      <c r="I847" s="468">
        <f>IFERROR(__xludf.DUMMYFUNCTION("""COMPUTED_VALUE"""),44627.0)</f>
        <v>44627</v>
      </c>
      <c r="J847" s="470">
        <f>IFERROR(__xludf.DUMMYFUNCTION("""COMPUTED_VALUE"""),0.4358680555555556)</f>
        <v>0.4358680556</v>
      </c>
      <c r="K847" s="16"/>
      <c r="L847" s="8"/>
      <c r="M847" s="69"/>
      <c r="N847" s="69">
        <f>IFERROR(__xludf.DUMMYFUNCTION("""COMPUTED_VALUE"""),2.0)</f>
        <v>2</v>
      </c>
      <c r="O847" s="69" t="str">
        <f t="shared" si="3"/>
        <v/>
      </c>
      <c r="P847" s="471">
        <f>IFERROR(__xludf.DUMMYFUNCTION("""COMPUTED_VALUE"""),0.0)</f>
        <v>0</v>
      </c>
      <c r="Q847" s="274" t="b">
        <f>VLOOKUP($B847,'Run Reconcile'!B$2:O2488,14,FALSE)</f>
        <v>1</v>
      </c>
      <c r="R847" s="472" t="str">
        <f t="array" ref="R847">IF($Q847, INDEX('Run Reconcile'!A$2:A2488,MATCH(B847,'Run Reconcile'!B$2:B2488,0),1),IFERROR(0/0,""))</f>
        <v>RUN-FLMP_2022-03-07_RFR-096</v>
      </c>
      <c r="S847" s="473" t="str">
        <f t="shared" si="694"/>
        <v/>
      </c>
      <c r="T847" s="473" t="str">
        <f t="shared" si="698"/>
        <v/>
      </c>
      <c r="U847" s="275" t="str">
        <f t="array" ref="U847">IF(ISBLANK($R847), INDEX('Run Reconcile'!A$2:A2488, MATCH($B847, 'Run Reconcile'!B$2:B2488, 0)+Z847, 1), IFERROR(0/0,""))
</f>
        <v/>
      </c>
      <c r="V847" s="474" t="str">
        <f t="shared" si="5"/>
        <v>RUN-FLMP_2022-03-07_RFR-096</v>
      </c>
      <c r="Y847" s="89" t="str">
        <f t="shared" si="867"/>
        <v/>
      </c>
      <c r="Z847" s="60" t="str">
        <f t="shared" si="7"/>
        <v/>
      </c>
      <c r="AA847" s="60" t="str">
        <f t="shared" si="8"/>
        <v/>
      </c>
      <c r="AB847" s="60" t="str">
        <f t="shared" si="9"/>
        <v/>
      </c>
      <c r="AC847" s="30" t="str">
        <f t="shared" ref="AC847:AD847" si="1203">IF(_xlfn.ISFORMULA(S847),IFERROR(0/0,""),TRUE)</f>
        <v/>
      </c>
      <c r="AD847" s="30" t="str">
        <f t="shared" si="1203"/>
        <v/>
      </c>
      <c r="AE847" s="475" t="str">
        <f>IFERROR(__xludf.DUMMYFUNCTION("""COMPUTED_VALUE"""),"CRLN")</f>
        <v>CRLN</v>
      </c>
      <c r="AF847" s="476"/>
      <c r="AG847" s="474" t="s">
        <v>185</v>
      </c>
      <c r="AH847" s="138" t="str">
        <f t="shared" si="11"/>
        <v/>
      </c>
    </row>
    <row r="848">
      <c r="A848" s="103" t="str">
        <f>IFERROR(__xludf.DUMMYFUNCTION("""COMPUTED_VALUE"""),"FLB5747")</f>
        <v>FLB5747</v>
      </c>
      <c r="B848" s="468">
        <f>IFERROR(__xludf.DUMMYFUNCTION("""COMPUTED_VALUE"""),44627.0)</f>
        <v>44627</v>
      </c>
      <c r="C848" s="469">
        <f>IFERROR(__xludf.DUMMYFUNCTION("""COMPUTED_VALUE"""),0.3562152777777778)</f>
        <v>0.3562152778</v>
      </c>
      <c r="D848" s="103" t="str">
        <f>IFERROR(__xludf.DUMMYFUNCTION("""COMPUTED_VALUE"""),"SpFLMP259015")</f>
        <v>SpFLMP259015</v>
      </c>
      <c r="E848" s="103"/>
      <c r="F848" s="103"/>
      <c r="G848" s="103" t="str">
        <f>IFERROR(__xludf.DUMMYFUNCTION("""COMPUTED_VALUE"""),"Negative")</f>
        <v>Negative</v>
      </c>
      <c r="H848" s="131" t="str">
        <f>IFERROR(__xludf.DUMMYFUNCTION("""COMPUTED_VALUE"""),"Negative")</f>
        <v>Negative</v>
      </c>
      <c r="I848" s="468">
        <f>IFERROR(__xludf.DUMMYFUNCTION("""COMPUTED_VALUE"""),44627.0)</f>
        <v>44627</v>
      </c>
      <c r="J848" s="470">
        <f>IFERROR(__xludf.DUMMYFUNCTION("""COMPUTED_VALUE"""),0.4592013888888889)</f>
        <v>0.4592013889</v>
      </c>
      <c r="K848" s="16"/>
      <c r="L848" s="8"/>
      <c r="M848" s="69"/>
      <c r="N848" s="69">
        <f>IFERROR(__xludf.DUMMYFUNCTION("""COMPUTED_VALUE"""),3.0)</f>
        <v>3</v>
      </c>
      <c r="O848" s="69" t="str">
        <f t="shared" si="3"/>
        <v/>
      </c>
      <c r="P848" s="471">
        <f>IFERROR(__xludf.DUMMYFUNCTION("""COMPUTED_VALUE"""),0.0)</f>
        <v>0</v>
      </c>
      <c r="Q848" s="274" t="b">
        <f>VLOOKUP($B848,'Run Reconcile'!B$2:O2488,14,FALSE)</f>
        <v>1</v>
      </c>
      <c r="R848" s="472" t="str">
        <f t="array" ref="R848">IF($Q848, INDEX('Run Reconcile'!A$2:A2488,MATCH(B848,'Run Reconcile'!B$2:B2488,0),1),IFERROR(0/0,""))</f>
        <v>RUN-FLMP_2022-03-07_RFR-096</v>
      </c>
      <c r="S848" s="473" t="str">
        <f t="shared" si="694"/>
        <v/>
      </c>
      <c r="T848" s="473" t="str">
        <f t="shared" si="698"/>
        <v/>
      </c>
      <c r="U848" s="275" t="str">
        <f t="array" ref="U848">IF(ISBLANK($R848), INDEX('Run Reconcile'!A$2:A2488, MATCH($B848, 'Run Reconcile'!B$2:B2488, 0)+Z848, 1), IFERROR(0/0,""))
</f>
        <v/>
      </c>
      <c r="V848" s="474" t="str">
        <f t="shared" si="5"/>
        <v>RUN-FLMP_2022-03-07_RFR-096</v>
      </c>
      <c r="Y848" s="89" t="str">
        <f t="shared" si="867"/>
        <v/>
      </c>
      <c r="Z848" s="60" t="str">
        <f t="shared" si="7"/>
        <v/>
      </c>
      <c r="AA848" s="60" t="str">
        <f t="shared" si="8"/>
        <v/>
      </c>
      <c r="AB848" s="60" t="str">
        <f t="shared" si="9"/>
        <v/>
      </c>
      <c r="AC848" s="30" t="str">
        <f t="shared" ref="AC848:AD848" si="1204">IF(_xlfn.ISFORMULA(S848),IFERROR(0/0,""),TRUE)</f>
        <v/>
      </c>
      <c r="AD848" s="30" t="str">
        <f t="shared" si="1204"/>
        <v/>
      </c>
      <c r="AE848" s="475" t="str">
        <f>IFERROR(__xludf.DUMMYFUNCTION("""COMPUTED_VALUE"""),"CRLN")</f>
        <v>CRLN</v>
      </c>
      <c r="AF848" s="476"/>
      <c r="AG848" s="474" t="s">
        <v>185</v>
      </c>
      <c r="AH848" s="138" t="str">
        <f t="shared" si="11"/>
        <v/>
      </c>
    </row>
    <row r="849">
      <c r="A849" s="103" t="str">
        <f>IFERROR(__xludf.DUMMYFUNCTION("""COMPUTED_VALUE"""),"FLB5753")</f>
        <v>FLB5753</v>
      </c>
      <c r="B849" s="468">
        <f>IFERROR(__xludf.DUMMYFUNCTION("""COMPUTED_VALUE"""),44627.0)</f>
        <v>44627</v>
      </c>
      <c r="C849" s="469">
        <f>IFERROR(__xludf.DUMMYFUNCTION("""COMPUTED_VALUE"""),0.35663194444444446)</f>
        <v>0.3566319444</v>
      </c>
      <c r="D849" s="103" t="str">
        <f>IFERROR(__xludf.DUMMYFUNCTION("""COMPUTED_VALUE"""),"SpFLMP259015")</f>
        <v>SpFLMP259015</v>
      </c>
      <c r="E849" s="103"/>
      <c r="F849" s="103"/>
      <c r="G849" s="103" t="str">
        <f>IFERROR(__xludf.DUMMYFUNCTION("""COMPUTED_VALUE"""),"Negative")</f>
        <v>Negative</v>
      </c>
      <c r="H849" s="131" t="str">
        <f>IFERROR(__xludf.DUMMYFUNCTION("""COMPUTED_VALUE"""),"Negative")</f>
        <v>Negative</v>
      </c>
      <c r="I849" s="468">
        <f>IFERROR(__xludf.DUMMYFUNCTION("""COMPUTED_VALUE"""),44627.0)</f>
        <v>44627</v>
      </c>
      <c r="J849" s="470">
        <f>IFERROR(__xludf.DUMMYFUNCTION("""COMPUTED_VALUE"""),0.4358680555555556)</f>
        <v>0.4358680556</v>
      </c>
      <c r="K849" s="16"/>
      <c r="L849" s="8"/>
      <c r="M849" s="69"/>
      <c r="N849" s="69">
        <f>IFERROR(__xludf.DUMMYFUNCTION("""COMPUTED_VALUE"""),2.0)</f>
        <v>2</v>
      </c>
      <c r="O849" s="69" t="str">
        <f t="shared" si="3"/>
        <v/>
      </c>
      <c r="P849" s="471">
        <f>IFERROR(__xludf.DUMMYFUNCTION("""COMPUTED_VALUE"""),0.0)</f>
        <v>0</v>
      </c>
      <c r="Q849" s="274" t="b">
        <f>VLOOKUP($B849,'Run Reconcile'!B$2:O2488,14,FALSE)</f>
        <v>1</v>
      </c>
      <c r="R849" s="472" t="str">
        <f t="array" ref="R849">IF($Q849, INDEX('Run Reconcile'!A$2:A2488,MATCH(B849,'Run Reconcile'!B$2:B2488,0),1),IFERROR(0/0,""))</f>
        <v>RUN-FLMP_2022-03-07_RFR-096</v>
      </c>
      <c r="S849" s="473" t="str">
        <f t="shared" si="694"/>
        <v/>
      </c>
      <c r="T849" s="473" t="str">
        <f t="shared" si="698"/>
        <v/>
      </c>
      <c r="U849" s="275" t="str">
        <f t="array" ref="U849">IF(ISBLANK($R849), INDEX('Run Reconcile'!A$2:A2488, MATCH($B849, 'Run Reconcile'!B$2:B2488, 0)+Z849, 1), IFERROR(0/0,""))
</f>
        <v/>
      </c>
      <c r="V849" s="474" t="str">
        <f t="shared" si="5"/>
        <v>RUN-FLMP_2022-03-07_RFR-096</v>
      </c>
      <c r="Y849" s="89" t="str">
        <f t="shared" si="867"/>
        <v/>
      </c>
      <c r="Z849" s="60" t="str">
        <f t="shared" si="7"/>
        <v/>
      </c>
      <c r="AA849" s="60" t="str">
        <f t="shared" si="8"/>
        <v/>
      </c>
      <c r="AB849" s="60" t="str">
        <f t="shared" si="9"/>
        <v/>
      </c>
      <c r="AC849" s="30" t="str">
        <f t="shared" ref="AC849:AD849" si="1205">IF(_xlfn.ISFORMULA(S849),IFERROR(0/0,""),TRUE)</f>
        <v/>
      </c>
      <c r="AD849" s="30" t="str">
        <f t="shared" si="1205"/>
        <v/>
      </c>
      <c r="AE849" s="475" t="str">
        <f>IFERROR(__xludf.DUMMYFUNCTION("""COMPUTED_VALUE"""),"CRLN")</f>
        <v>CRLN</v>
      </c>
      <c r="AF849" s="476"/>
      <c r="AG849" s="474" t="s">
        <v>185</v>
      </c>
      <c r="AH849" s="138" t="str">
        <f t="shared" si="11"/>
        <v/>
      </c>
    </row>
    <row r="850">
      <c r="A850" s="103" t="str">
        <f>IFERROR(__xludf.DUMMYFUNCTION("""COMPUTED_VALUE"""),"FLB5765")</f>
        <v>FLB5765</v>
      </c>
      <c r="B850" s="468">
        <f>IFERROR(__xludf.DUMMYFUNCTION("""COMPUTED_VALUE"""),44627.0)</f>
        <v>44627</v>
      </c>
      <c r="C850" s="469">
        <f>IFERROR(__xludf.DUMMYFUNCTION("""COMPUTED_VALUE"""),0.362974537037037)</f>
        <v>0.362974537</v>
      </c>
      <c r="D850" s="103" t="str">
        <f>IFERROR(__xludf.DUMMYFUNCTION("""COMPUTED_VALUE"""),"SpFLMP314549")</f>
        <v>SpFLMP314549</v>
      </c>
      <c r="E850" s="103"/>
      <c r="F850" s="103"/>
      <c r="G850" s="103" t="str">
        <f>IFERROR(__xludf.DUMMYFUNCTION("""COMPUTED_VALUE"""),"Negative")</f>
        <v>Negative</v>
      </c>
      <c r="H850" s="131" t="str">
        <f>IFERROR(__xludf.DUMMYFUNCTION("""COMPUTED_VALUE"""),"Negative")</f>
        <v>Negative</v>
      </c>
      <c r="I850" s="468">
        <f>IFERROR(__xludf.DUMMYFUNCTION("""COMPUTED_VALUE"""),44627.0)</f>
        <v>44627</v>
      </c>
      <c r="J850" s="470">
        <f>IFERROR(__xludf.DUMMYFUNCTION("""COMPUTED_VALUE"""),0.4358680555555556)</f>
        <v>0.4358680556</v>
      </c>
      <c r="K850" s="16"/>
      <c r="L850" s="8"/>
      <c r="M850" s="69"/>
      <c r="N850" s="69">
        <f>IFERROR(__xludf.DUMMYFUNCTION("""COMPUTED_VALUE"""),1.0)</f>
        <v>1</v>
      </c>
      <c r="O850" s="69" t="str">
        <f t="shared" si="3"/>
        <v/>
      </c>
      <c r="P850" s="471">
        <f>IFERROR(__xludf.DUMMYFUNCTION("""COMPUTED_VALUE"""),0.0)</f>
        <v>0</v>
      </c>
      <c r="Q850" s="274" t="b">
        <f>VLOOKUP($B850,'Run Reconcile'!B$2:O2488,14,FALSE)</f>
        <v>1</v>
      </c>
      <c r="R850" s="472" t="str">
        <f t="array" ref="R850">IF($Q850, INDEX('Run Reconcile'!A$2:A2488,MATCH(B850,'Run Reconcile'!B$2:B2488,0),1),IFERROR(0/0,""))</f>
        <v>RUN-FLMP_2022-03-07_RFR-096</v>
      </c>
      <c r="S850" s="473" t="str">
        <f t="shared" si="694"/>
        <v/>
      </c>
      <c r="T850" s="473" t="str">
        <f t="shared" si="698"/>
        <v/>
      </c>
      <c r="U850" s="275" t="str">
        <f t="array" ref="U850">IF(ISBLANK($R850), INDEX('Run Reconcile'!A$2:A2488, MATCH($B850, 'Run Reconcile'!B$2:B2488, 0)+Z850, 1), IFERROR(0/0,""))
</f>
        <v/>
      </c>
      <c r="V850" s="474" t="str">
        <f t="shared" si="5"/>
        <v>RUN-FLMP_2022-03-07_RFR-096</v>
      </c>
      <c r="Y850" s="89" t="str">
        <f t="shared" si="867"/>
        <v/>
      </c>
      <c r="Z850" s="60" t="str">
        <f t="shared" si="7"/>
        <v/>
      </c>
      <c r="AA850" s="60" t="str">
        <f t="shared" si="8"/>
        <v/>
      </c>
      <c r="AB850" s="60" t="str">
        <f t="shared" si="9"/>
        <v/>
      </c>
      <c r="AC850" s="30" t="str">
        <f t="shared" ref="AC850:AD850" si="1206">IF(_xlfn.ISFORMULA(S850),IFERROR(0/0,""),TRUE)</f>
        <v/>
      </c>
      <c r="AD850" s="30" t="str">
        <f t="shared" si="1206"/>
        <v/>
      </c>
      <c r="AE850" s="475" t="str">
        <f>IFERROR(__xludf.DUMMYFUNCTION("""COMPUTED_VALUE"""),"CRLN")</f>
        <v>CRLN</v>
      </c>
      <c r="AF850" s="476"/>
      <c r="AG850" s="474" t="s">
        <v>185</v>
      </c>
      <c r="AH850" s="138" t="str">
        <f t="shared" si="11"/>
        <v/>
      </c>
    </row>
    <row r="851">
      <c r="A851" s="103" t="str">
        <f>IFERROR(__xludf.DUMMYFUNCTION("""COMPUTED_VALUE"""),"FLT1206")</f>
        <v>FLT1206</v>
      </c>
      <c r="B851" s="468">
        <f>IFERROR(__xludf.DUMMYFUNCTION("""COMPUTED_VALUE"""),44627.0)</f>
        <v>44627</v>
      </c>
      <c r="C851" s="469">
        <f>IFERROR(__xludf.DUMMYFUNCTION("""COMPUTED_VALUE"""),0.36483796296296295)</f>
        <v>0.364837963</v>
      </c>
      <c r="D851" s="103" t="str">
        <f>IFERROR(__xludf.DUMMYFUNCTION("""COMPUTED_VALUE"""),"SpFLMP496039")</f>
        <v>SpFLMP496039</v>
      </c>
      <c r="E851" s="103"/>
      <c r="F851" s="103"/>
      <c r="G851" s="103" t="str">
        <f>IFERROR(__xludf.DUMMYFUNCTION("""COMPUTED_VALUE"""),"Negative")</f>
        <v>Negative</v>
      </c>
      <c r="H851" s="131" t="str">
        <f>IFERROR(__xludf.DUMMYFUNCTION("""COMPUTED_VALUE"""),"Negative")</f>
        <v>Negative</v>
      </c>
      <c r="I851" s="468">
        <f>IFERROR(__xludf.DUMMYFUNCTION("""COMPUTED_VALUE"""),44627.0)</f>
        <v>44627</v>
      </c>
      <c r="J851" s="470">
        <f>IFERROR(__xludf.DUMMYFUNCTION("""COMPUTED_VALUE"""),0.4358680555555556)</f>
        <v>0.4358680556</v>
      </c>
      <c r="K851" s="16"/>
      <c r="L851" s="8"/>
      <c r="M851" s="69"/>
      <c r="N851" s="69">
        <f>IFERROR(__xludf.DUMMYFUNCTION("""COMPUTED_VALUE"""),1.0)</f>
        <v>1</v>
      </c>
      <c r="O851" s="69" t="str">
        <f t="shared" si="3"/>
        <v/>
      </c>
      <c r="P851" s="471">
        <f>IFERROR(__xludf.DUMMYFUNCTION("""COMPUTED_VALUE"""),0.0)</f>
        <v>0</v>
      </c>
      <c r="Q851" s="274" t="b">
        <f>VLOOKUP($B851,'Run Reconcile'!B$2:O2488,14,FALSE)</f>
        <v>1</v>
      </c>
      <c r="R851" s="472" t="str">
        <f t="array" ref="R851">IF($Q851, INDEX('Run Reconcile'!A$2:A2488,MATCH(B851,'Run Reconcile'!B$2:B2488,0),1),IFERROR(0/0,""))</f>
        <v>RUN-FLMP_2022-03-07_RFR-096</v>
      </c>
      <c r="S851" s="473" t="str">
        <f t="shared" si="694"/>
        <v/>
      </c>
      <c r="T851" s="473" t="str">
        <f t="shared" si="698"/>
        <v/>
      </c>
      <c r="U851" s="275" t="str">
        <f t="array" ref="U851">IF(ISBLANK($R851), INDEX('Run Reconcile'!A$2:A2488, MATCH($B851, 'Run Reconcile'!B$2:B2488, 0)+Z851, 1), IFERROR(0/0,""))
</f>
        <v/>
      </c>
      <c r="V851" s="474" t="str">
        <f t="shared" si="5"/>
        <v>RUN-FLMP_2022-03-07_RFR-096</v>
      </c>
      <c r="Y851" s="89" t="str">
        <f t="shared" si="867"/>
        <v/>
      </c>
      <c r="Z851" s="60" t="str">
        <f t="shared" si="7"/>
        <v/>
      </c>
      <c r="AA851" s="60" t="str">
        <f t="shared" si="8"/>
        <v/>
      </c>
      <c r="AB851" s="60" t="str">
        <f t="shared" si="9"/>
        <v/>
      </c>
      <c r="AC851" s="30" t="str">
        <f t="shared" ref="AC851:AD851" si="1207">IF(_xlfn.ISFORMULA(S851),IFERROR(0/0,""),TRUE)</f>
        <v/>
      </c>
      <c r="AD851" s="30" t="str">
        <f t="shared" si="1207"/>
        <v/>
      </c>
      <c r="AE851" s="475" t="str">
        <f>IFERROR(__xludf.DUMMYFUNCTION("""COMPUTED_VALUE"""),"CRLN")</f>
        <v>CRLN</v>
      </c>
      <c r="AF851" s="476"/>
      <c r="AG851" s="474" t="s">
        <v>185</v>
      </c>
      <c r="AH851" s="138" t="str">
        <f t="shared" si="11"/>
        <v/>
      </c>
    </row>
    <row r="852">
      <c r="A852" s="103" t="str">
        <f>IFERROR(__xludf.DUMMYFUNCTION("""COMPUTED_VALUE"""),"FLB6862")</f>
        <v>FLB6862</v>
      </c>
      <c r="B852" s="468">
        <f>IFERROR(__xludf.DUMMYFUNCTION("""COMPUTED_VALUE"""),44627.0)</f>
        <v>44627</v>
      </c>
      <c r="C852" s="469">
        <f>IFERROR(__xludf.DUMMYFUNCTION("""COMPUTED_VALUE"""),0.37194444444444447)</f>
        <v>0.3719444444</v>
      </c>
      <c r="D852" s="103" t="str">
        <f>IFERROR(__xludf.DUMMYFUNCTION("""COMPUTED_VALUE"""),"SpFLMP939619")</f>
        <v>SpFLMP939619</v>
      </c>
      <c r="E852" s="103"/>
      <c r="F852" s="103"/>
      <c r="G852" s="103" t="str">
        <f>IFERROR(__xludf.DUMMYFUNCTION("""COMPUTED_VALUE"""),"Negative")</f>
        <v>Negative</v>
      </c>
      <c r="H852" s="131" t="str">
        <f>IFERROR(__xludf.DUMMYFUNCTION("""COMPUTED_VALUE"""),"Negative")</f>
        <v>Negative</v>
      </c>
      <c r="I852" s="468">
        <f>IFERROR(__xludf.DUMMYFUNCTION("""COMPUTED_VALUE"""),44627.0)</f>
        <v>44627</v>
      </c>
      <c r="J852" s="470">
        <f>IFERROR(__xludf.DUMMYFUNCTION("""COMPUTED_VALUE"""),0.4358680555555556)</f>
        <v>0.4358680556</v>
      </c>
      <c r="K852" s="16"/>
      <c r="L852" s="8"/>
      <c r="M852" s="69"/>
      <c r="N852" s="69">
        <f>IFERROR(__xludf.DUMMYFUNCTION("""COMPUTED_VALUE"""),1.0)</f>
        <v>1</v>
      </c>
      <c r="O852" s="69" t="str">
        <f t="shared" si="3"/>
        <v/>
      </c>
      <c r="P852" s="471">
        <f>IFERROR(__xludf.DUMMYFUNCTION("""COMPUTED_VALUE"""),0.0)</f>
        <v>0</v>
      </c>
      <c r="Q852" s="274" t="b">
        <f>VLOOKUP($B852,'Run Reconcile'!B$2:O2488,14,FALSE)</f>
        <v>1</v>
      </c>
      <c r="R852" s="472" t="str">
        <f t="array" ref="R852">IF($Q852, INDEX('Run Reconcile'!A$2:A2488,MATCH(B852,'Run Reconcile'!B$2:B2488,0),1),IFERROR(0/0,""))</f>
        <v>RUN-FLMP_2022-03-07_RFR-096</v>
      </c>
      <c r="S852" s="473" t="str">
        <f t="shared" si="694"/>
        <v/>
      </c>
      <c r="T852" s="473" t="str">
        <f t="shared" si="698"/>
        <v/>
      </c>
      <c r="U852" s="275" t="str">
        <f t="array" ref="U852">IF(ISBLANK($R852), INDEX('Run Reconcile'!A$2:A2488, MATCH($B852, 'Run Reconcile'!B$2:B2488, 0)+Z852, 1), IFERROR(0/0,""))
</f>
        <v/>
      </c>
      <c r="V852" s="474" t="str">
        <f t="shared" si="5"/>
        <v>RUN-FLMP_2022-03-07_RFR-096</v>
      </c>
      <c r="Y852" s="89" t="str">
        <f t="shared" si="867"/>
        <v/>
      </c>
      <c r="Z852" s="60" t="str">
        <f t="shared" si="7"/>
        <v/>
      </c>
      <c r="AA852" s="60" t="str">
        <f t="shared" si="8"/>
        <v/>
      </c>
      <c r="AB852" s="60" t="str">
        <f t="shared" si="9"/>
        <v/>
      </c>
      <c r="AC852" s="30" t="str">
        <f t="shared" ref="AC852:AD852" si="1208">IF(_xlfn.ISFORMULA(S852),IFERROR(0/0,""),TRUE)</f>
        <v/>
      </c>
      <c r="AD852" s="30" t="str">
        <f t="shared" si="1208"/>
        <v/>
      </c>
      <c r="AE852" s="475" t="str">
        <f>IFERROR(__xludf.DUMMYFUNCTION("""COMPUTED_VALUE"""),"CRLN")</f>
        <v>CRLN</v>
      </c>
      <c r="AF852" s="476"/>
      <c r="AG852" s="474" t="s">
        <v>185</v>
      </c>
      <c r="AH852" s="138" t="str">
        <f t="shared" si="11"/>
        <v/>
      </c>
    </row>
    <row r="853">
      <c r="A853" s="103" t="str">
        <f>IFERROR(__xludf.DUMMYFUNCTION("""COMPUTED_VALUE"""),"FLB6537")</f>
        <v>FLB6537</v>
      </c>
      <c r="B853" s="468">
        <f>IFERROR(__xludf.DUMMYFUNCTION("""COMPUTED_VALUE"""),44627.0)</f>
        <v>44627</v>
      </c>
      <c r="C853" s="469">
        <f>IFERROR(__xludf.DUMMYFUNCTION("""COMPUTED_VALUE"""),0.3761921296296296)</f>
        <v>0.3761921296</v>
      </c>
      <c r="D853" s="103" t="str">
        <f>IFERROR(__xludf.DUMMYFUNCTION("""COMPUTED_VALUE"""),"SpFLMP273885")</f>
        <v>SpFLMP273885</v>
      </c>
      <c r="E853" s="103"/>
      <c r="F853" s="103"/>
      <c r="G853" s="103" t="str">
        <f>IFERROR(__xludf.DUMMYFUNCTION("""COMPUTED_VALUE"""),"Negative")</f>
        <v>Negative</v>
      </c>
      <c r="H853" s="131" t="str">
        <f>IFERROR(__xludf.DUMMYFUNCTION("""COMPUTED_VALUE"""),"Negative")</f>
        <v>Negative</v>
      </c>
      <c r="I853" s="468">
        <f>IFERROR(__xludf.DUMMYFUNCTION("""COMPUTED_VALUE"""),44627.0)</f>
        <v>44627</v>
      </c>
      <c r="J853" s="470">
        <f>IFERROR(__xludf.DUMMYFUNCTION("""COMPUTED_VALUE"""),0.4358680555555556)</f>
        <v>0.4358680556</v>
      </c>
      <c r="K853" s="16"/>
      <c r="L853" s="8"/>
      <c r="M853" s="69"/>
      <c r="N853" s="69">
        <f>IFERROR(__xludf.DUMMYFUNCTION("""COMPUTED_VALUE"""),4.0)</f>
        <v>4</v>
      </c>
      <c r="O853" s="69" t="str">
        <f t="shared" si="3"/>
        <v/>
      </c>
      <c r="P853" s="471">
        <f>IFERROR(__xludf.DUMMYFUNCTION("""COMPUTED_VALUE"""),0.0)</f>
        <v>0</v>
      </c>
      <c r="Q853" s="274" t="b">
        <f>VLOOKUP($B853,'Run Reconcile'!B$2:O2488,14,FALSE)</f>
        <v>1</v>
      </c>
      <c r="R853" s="472" t="str">
        <f t="array" ref="R853">IF($Q853, INDEX('Run Reconcile'!A$2:A2488,MATCH(B853,'Run Reconcile'!B$2:B2488,0),1),IFERROR(0/0,""))</f>
        <v>RUN-FLMP_2022-03-07_RFR-096</v>
      </c>
      <c r="S853" s="473" t="str">
        <f t="shared" si="694"/>
        <v/>
      </c>
      <c r="T853" s="473" t="str">
        <f t="shared" si="698"/>
        <v/>
      </c>
      <c r="U853" s="275" t="str">
        <f t="array" ref="U853">IF(ISBLANK($R853), INDEX('Run Reconcile'!A$2:A2488, MATCH($B853, 'Run Reconcile'!B$2:B2488, 0)+Z853, 1), IFERROR(0/0,""))
</f>
        <v/>
      </c>
      <c r="V853" s="474" t="str">
        <f t="shared" si="5"/>
        <v>RUN-FLMP_2022-03-07_RFR-096</v>
      </c>
      <c r="Y853" s="89" t="str">
        <f t="shared" si="867"/>
        <v/>
      </c>
      <c r="Z853" s="60" t="str">
        <f t="shared" si="7"/>
        <v/>
      </c>
      <c r="AA853" s="60" t="str">
        <f t="shared" si="8"/>
        <v/>
      </c>
      <c r="AB853" s="60" t="str">
        <f t="shared" si="9"/>
        <v/>
      </c>
      <c r="AC853" s="30" t="str">
        <f t="shared" ref="AC853:AD853" si="1209">IF(_xlfn.ISFORMULA(S853),IFERROR(0/0,""),TRUE)</f>
        <v/>
      </c>
      <c r="AD853" s="30" t="str">
        <f t="shared" si="1209"/>
        <v/>
      </c>
      <c r="AE853" s="475" t="str">
        <f>IFERROR(__xludf.DUMMYFUNCTION("""COMPUTED_VALUE"""),"CRLN")</f>
        <v>CRLN</v>
      </c>
      <c r="AF853" s="476"/>
      <c r="AG853" s="474" t="s">
        <v>185</v>
      </c>
      <c r="AH853" s="138" t="str">
        <f t="shared" si="11"/>
        <v/>
      </c>
    </row>
    <row r="854">
      <c r="A854" s="103" t="str">
        <f>IFERROR(__xludf.DUMMYFUNCTION("""COMPUTED_VALUE"""),"FLB6544")</f>
        <v>FLB6544</v>
      </c>
      <c r="B854" s="468">
        <f>IFERROR(__xludf.DUMMYFUNCTION("""COMPUTED_VALUE"""),44629.0)</f>
        <v>44629</v>
      </c>
      <c r="C854" s="469">
        <f>IFERROR(__xludf.DUMMYFUNCTION("""COMPUTED_VALUE"""),0.7528472222222222)</f>
        <v>0.7528472222</v>
      </c>
      <c r="D854" s="103" t="str">
        <f>IFERROR(__xludf.DUMMYFUNCTION("""COMPUTED_VALUE"""),"SpFLMP668449")</f>
        <v>SpFLMP668449</v>
      </c>
      <c r="E854" s="103"/>
      <c r="F854" s="103"/>
      <c r="G854" s="103" t="str">
        <f>IFERROR(__xludf.DUMMYFUNCTION("""COMPUTED_VALUE"""),"Negative")</f>
        <v>Negative</v>
      </c>
      <c r="H854" s="131" t="str">
        <f>IFERROR(__xludf.DUMMYFUNCTION("""COMPUTED_VALUE"""),"Negative")</f>
        <v>Negative</v>
      </c>
      <c r="I854" s="468">
        <f>IFERROR(__xludf.DUMMYFUNCTION("""COMPUTED_VALUE"""),44630.0)</f>
        <v>44630</v>
      </c>
      <c r="J854" s="470">
        <f>IFERROR(__xludf.DUMMYFUNCTION("""COMPUTED_VALUE"""),0.43256944444444445)</f>
        <v>0.4325694444</v>
      </c>
      <c r="K854" s="16"/>
      <c r="L854" s="8"/>
      <c r="M854" s="69"/>
      <c r="N854" s="69">
        <f>IFERROR(__xludf.DUMMYFUNCTION("""COMPUTED_VALUE"""),4.0)</f>
        <v>4</v>
      </c>
      <c r="O854" s="69" t="b">
        <f t="shared" si="3"/>
        <v>1</v>
      </c>
      <c r="P854" s="471">
        <f>IFERROR(__xludf.DUMMYFUNCTION("""COMPUTED_VALUE"""),1.0)</f>
        <v>1</v>
      </c>
      <c r="Q854" s="274" t="str">
        <f>VLOOKUP($B854,'Run Reconcile'!B$2:O2488,14,FALSE)</f>
        <v/>
      </c>
      <c r="R854" s="472" t="str">
        <f t="array" ref="R854">IF($Q854, INDEX('Run Reconcile'!A$2:A2488,MATCH(B854,'Run Reconcile'!B$2:B2488,0),1),IFERROR(0/0,""))</f>
        <v/>
      </c>
      <c r="S854" s="473" t="b">
        <f t="shared" si="694"/>
        <v>1</v>
      </c>
      <c r="T854" s="473" t="str">
        <f t="shared" si="698"/>
        <v/>
      </c>
      <c r="U854" s="275" t="str">
        <f t="array" ref="U854">IF(ISBLANK($R854), INDEX('Run Reconcile'!A$2:A2488, MATCH($B854, 'Run Reconcile'!B$2:B2488, 0)+Z854, 1), IFERROR(0/0,""))
</f>
        <v>RUN-FLMP_2022-03-10_RFR-098</v>
      </c>
      <c r="V854" s="474" t="str">
        <f t="shared" si="5"/>
        <v>RUN-FLMP_2022-03-10_RFR-098</v>
      </c>
      <c r="W854" s="8" t="s">
        <v>1461</v>
      </c>
      <c r="Y854" s="89">
        <f t="shared" si="867"/>
        <v>1</v>
      </c>
      <c r="Z854" s="60">
        <f t="shared" si="7"/>
        <v>1</v>
      </c>
      <c r="AA854" s="60">
        <f t="shared" si="8"/>
        <v>1</v>
      </c>
      <c r="AB854" s="60" t="str">
        <f t="shared" si="9"/>
        <v/>
      </c>
      <c r="AC854" s="30" t="str">
        <f t="shared" ref="AC854:AD854" si="1210">IF(_xlfn.ISFORMULA(S854),IFERROR(0/0,""),TRUE)</f>
        <v/>
      </c>
      <c r="AD854" s="30" t="str">
        <f t="shared" si="1210"/>
        <v/>
      </c>
      <c r="AE854" s="475" t="str">
        <f>IFERROR(__xludf.DUMMYFUNCTION("""COMPUTED_VALUE"""),"CRLN")</f>
        <v>CRLN</v>
      </c>
      <c r="AF854" s="476"/>
      <c r="AG854" s="474" t="s">
        <v>186</v>
      </c>
      <c r="AH854" s="138" t="str">
        <f t="shared" si="11"/>
        <v/>
      </c>
    </row>
    <row r="855">
      <c r="A855" s="103" t="str">
        <f>IFERROR(__xludf.DUMMYFUNCTION("""COMPUTED_VALUE"""),"FLB7165")</f>
        <v>FLB7165</v>
      </c>
      <c r="B855" s="468">
        <f>IFERROR(__xludf.DUMMYFUNCTION("""COMPUTED_VALUE"""),44629.0)</f>
        <v>44629</v>
      </c>
      <c r="C855" s="469">
        <f>IFERROR(__xludf.DUMMYFUNCTION("""COMPUTED_VALUE"""),0.8478703703703704)</f>
        <v>0.8478703704</v>
      </c>
      <c r="D855" s="103" t="str">
        <f>IFERROR(__xludf.DUMMYFUNCTION("""COMPUTED_VALUE"""),"SpFLMP268514")</f>
        <v>SpFLMP268514</v>
      </c>
      <c r="E855" s="103"/>
      <c r="F855" s="103"/>
      <c r="G855" s="103" t="str">
        <f>IFERROR(__xludf.DUMMYFUNCTION("""COMPUTED_VALUE"""),"Negative")</f>
        <v>Negative</v>
      </c>
      <c r="H855" s="131" t="str">
        <f>IFERROR(__xludf.DUMMYFUNCTION("""COMPUTED_VALUE"""),"Negative")</f>
        <v>Negative</v>
      </c>
      <c r="I855" s="468">
        <f>IFERROR(__xludf.DUMMYFUNCTION("""COMPUTED_VALUE"""),44630.0)</f>
        <v>44630</v>
      </c>
      <c r="J855" s="470">
        <f>IFERROR(__xludf.DUMMYFUNCTION("""COMPUTED_VALUE"""),0.43258101851851855)</f>
        <v>0.4325810185</v>
      </c>
      <c r="K855" s="16"/>
      <c r="L855" s="8"/>
      <c r="M855" s="69"/>
      <c r="N855" s="69">
        <f>IFERROR(__xludf.DUMMYFUNCTION("""COMPUTED_VALUE"""),3.0)</f>
        <v>3</v>
      </c>
      <c r="O855" s="69" t="str">
        <f t="shared" si="3"/>
        <v/>
      </c>
      <c r="P855" s="471">
        <f>IFERROR(__xludf.DUMMYFUNCTION("""COMPUTED_VALUE"""),1.0)</f>
        <v>1</v>
      </c>
      <c r="Q855" s="274" t="str">
        <f>VLOOKUP($B855,'Run Reconcile'!B$2:O2488,14,FALSE)</f>
        <v/>
      </c>
      <c r="R855" s="472" t="str">
        <f t="array" ref="R855">IF($Q855, INDEX('Run Reconcile'!A$2:A2488,MATCH(B855,'Run Reconcile'!B$2:B2488,0),1),IFERROR(0/0,""))</f>
        <v/>
      </c>
      <c r="S855" s="473" t="b">
        <f t="shared" si="694"/>
        <v>1</v>
      </c>
      <c r="T855" s="473" t="str">
        <f t="shared" si="698"/>
        <v/>
      </c>
      <c r="U855" s="275" t="str">
        <f t="array" ref="U855">IF(ISBLANK($R855), INDEX('Run Reconcile'!A$2:A2488, MATCH($B855, 'Run Reconcile'!B$2:B2488, 0)+Z855, 1), IFERROR(0/0,""))
</f>
        <v>RUN-FLMP_2022-03-10_RFR-098</v>
      </c>
      <c r="V855" s="474" t="str">
        <f t="shared" si="5"/>
        <v>RUN-FLMP_2022-03-10_RFR-098</v>
      </c>
      <c r="W855" s="8" t="s">
        <v>1462</v>
      </c>
      <c r="Y855" s="89">
        <f t="shared" si="867"/>
        <v>1</v>
      </c>
      <c r="Z855" s="60">
        <f t="shared" si="7"/>
        <v>1</v>
      </c>
      <c r="AA855" s="60">
        <f t="shared" si="8"/>
        <v>1</v>
      </c>
      <c r="AB855" s="60" t="str">
        <f t="shared" si="9"/>
        <v/>
      </c>
      <c r="AC855" s="30" t="str">
        <f t="shared" ref="AC855:AD855" si="1211">IF(_xlfn.ISFORMULA(S855),IFERROR(0/0,""),TRUE)</f>
        <v/>
      </c>
      <c r="AD855" s="30" t="str">
        <f t="shared" si="1211"/>
        <v/>
      </c>
      <c r="AE855" s="475" t="str">
        <f>IFERROR(__xludf.DUMMYFUNCTION("""COMPUTED_VALUE"""),"CRLN")</f>
        <v>CRLN</v>
      </c>
      <c r="AF855" s="476"/>
      <c r="AG855" s="474" t="s">
        <v>186</v>
      </c>
      <c r="AH855" s="138" t="str">
        <f t="shared" si="11"/>
        <v/>
      </c>
    </row>
    <row r="856">
      <c r="A856" s="103" t="str">
        <f>IFERROR(__xludf.DUMMYFUNCTION("""COMPUTED_VALUE"""),"FLB6787")</f>
        <v>FLB6787</v>
      </c>
      <c r="B856" s="468">
        <f>IFERROR(__xludf.DUMMYFUNCTION("""COMPUTED_VALUE"""),44630.0)</f>
        <v>44630</v>
      </c>
      <c r="C856" s="469">
        <f>IFERROR(__xludf.DUMMYFUNCTION("""COMPUTED_VALUE"""),0.0)</f>
        <v>0</v>
      </c>
      <c r="D856" s="103" t="str">
        <f>IFERROR(__xludf.DUMMYFUNCTION("""COMPUTED_VALUE"""),"SpFLMP273885")</f>
        <v>SpFLMP273885</v>
      </c>
      <c r="E856" s="103"/>
      <c r="F856" s="103"/>
      <c r="G856" s="103" t="str">
        <f>IFERROR(__xludf.DUMMYFUNCTION("""COMPUTED_VALUE"""),"Negative")</f>
        <v>Negative</v>
      </c>
      <c r="H856" s="131" t="str">
        <f>IFERROR(__xludf.DUMMYFUNCTION("""COMPUTED_VALUE"""),"Negative")</f>
        <v>Negative</v>
      </c>
      <c r="I856" s="468">
        <f>IFERROR(__xludf.DUMMYFUNCTION("""COMPUTED_VALUE"""),44630.0)</f>
        <v>44630</v>
      </c>
      <c r="J856" s="470">
        <f>IFERROR(__xludf.DUMMYFUNCTION("""COMPUTED_VALUE"""),0.0)</f>
        <v>0</v>
      </c>
      <c r="K856" s="16"/>
      <c r="L856" s="8" t="str">
        <f>IFERROR(__xludf.DUMMYFUNCTION("""COMPUTED_VALUE"""),"added row, in daily results report")</f>
        <v>added row, in daily results report</v>
      </c>
      <c r="M856" s="69"/>
      <c r="N856" s="69">
        <f>IFERROR(__xludf.DUMMYFUNCTION("""COMPUTED_VALUE"""),3.0)</f>
        <v>3</v>
      </c>
      <c r="O856" s="69" t="b">
        <f t="shared" si="3"/>
        <v>1</v>
      </c>
      <c r="P856" s="471">
        <f>IFERROR(__xludf.DUMMYFUNCTION("""COMPUTED_VALUE"""),0.0)</f>
        <v>0</v>
      </c>
      <c r="Q856" s="274" t="str">
        <f>VLOOKUP($B856,'Run Reconcile'!B$2:O2488,14,FALSE)</f>
        <v/>
      </c>
      <c r="R856" s="472" t="str">
        <f t="array" ref="R856">IF($Q856, INDEX('Run Reconcile'!A$2:A2488,MATCH(B856,'Run Reconcile'!B$2:B2488,0),1),IFERROR(0/0,""))</f>
        <v/>
      </c>
      <c r="S856" s="473" t="str">
        <f t="shared" si="694"/>
        <v/>
      </c>
      <c r="T856" s="473" t="str">
        <f t="shared" si="698"/>
        <v/>
      </c>
      <c r="U856" s="275" t="str">
        <f t="array" ref="U856">IF(ISBLANK($R856), INDEX('Run Reconcile'!A$2:A2488, MATCH($B856, 'Run Reconcile'!B$2:B2488, 0)+Z856, 1), IFERROR(0/0,""))
</f>
        <v>RUN-FLMP_2022-03-10_RFR-098</v>
      </c>
      <c r="V856" s="474" t="str">
        <f t="shared" si="5"/>
        <v>RUN-FLMP_2022-03-10_RFR-098</v>
      </c>
      <c r="Y856" s="89" t="str">
        <f t="shared" si="867"/>
        <v/>
      </c>
      <c r="Z856" s="60" t="str">
        <f t="shared" si="7"/>
        <v/>
      </c>
      <c r="AA856" s="60" t="str">
        <f t="shared" si="8"/>
        <v/>
      </c>
      <c r="AB856" s="60" t="str">
        <f t="shared" si="9"/>
        <v/>
      </c>
      <c r="AC856" s="30" t="str">
        <f t="shared" ref="AC856:AD856" si="1212">IF(_xlfn.ISFORMULA(S856),IFERROR(0/0,""),TRUE)</f>
        <v/>
      </c>
      <c r="AD856" s="30" t="str">
        <f t="shared" si="1212"/>
        <v/>
      </c>
      <c r="AE856" s="475" t="str">
        <f>IFERROR(__xludf.DUMMYFUNCTION("""COMPUTED_VALUE"""),"CRLN")</f>
        <v>CRLN</v>
      </c>
      <c r="AF856" s="476"/>
      <c r="AG856" s="474" t="s">
        <v>186</v>
      </c>
      <c r="AH856" s="138" t="str">
        <f t="shared" si="11"/>
        <v/>
      </c>
    </row>
    <row r="857">
      <c r="A857" s="103" t="str">
        <f>IFERROR(__xludf.DUMMYFUNCTION("""COMPUTED_VALUE"""),"FLB6867")</f>
        <v>FLB6867</v>
      </c>
      <c r="B857" s="468">
        <f>IFERROR(__xludf.DUMMYFUNCTION("""COMPUTED_VALUE"""),44630.0)</f>
        <v>44630</v>
      </c>
      <c r="C857" s="469">
        <f>IFERROR(__xludf.DUMMYFUNCTION("""COMPUTED_VALUE"""),0.28649305555555554)</f>
        <v>0.2864930556</v>
      </c>
      <c r="D857" s="103" t="str">
        <f>IFERROR(__xludf.DUMMYFUNCTION("""COMPUTED_VALUE"""),"SpFLMP965392")</f>
        <v>SpFLMP965392</v>
      </c>
      <c r="E857" s="103"/>
      <c r="F857" s="103"/>
      <c r="G857" s="103" t="str">
        <f>IFERROR(__xludf.DUMMYFUNCTION("""COMPUTED_VALUE"""),"Negative")</f>
        <v>Negative</v>
      </c>
      <c r="H857" s="131" t="str">
        <f>IFERROR(__xludf.DUMMYFUNCTION("""COMPUTED_VALUE"""),"Negative")</f>
        <v>Negative</v>
      </c>
      <c r="I857" s="468">
        <f>IFERROR(__xludf.DUMMYFUNCTION("""COMPUTED_VALUE"""),44630.0)</f>
        <v>44630</v>
      </c>
      <c r="J857" s="470">
        <f>IFERROR(__xludf.DUMMYFUNCTION("""COMPUTED_VALUE"""),0.43258101851851855)</f>
        <v>0.4325810185</v>
      </c>
      <c r="K857" s="16"/>
      <c r="L857" s="8"/>
      <c r="M857" s="69"/>
      <c r="N857" s="69">
        <f>IFERROR(__xludf.DUMMYFUNCTION("""COMPUTED_VALUE"""),4.0)</f>
        <v>4</v>
      </c>
      <c r="O857" s="69" t="str">
        <f t="shared" si="3"/>
        <v/>
      </c>
      <c r="P857" s="471">
        <f>IFERROR(__xludf.DUMMYFUNCTION("""COMPUTED_VALUE"""),0.0)</f>
        <v>0</v>
      </c>
      <c r="Q857" s="274" t="str">
        <f>VLOOKUP($B857,'Run Reconcile'!B$2:O2488,14,FALSE)</f>
        <v/>
      </c>
      <c r="R857" s="472" t="str">
        <f t="array" ref="R857">IF($Q857, INDEX('Run Reconcile'!A$2:A2488,MATCH(B857,'Run Reconcile'!B$2:B2488,0),1),IFERROR(0/0,""))</f>
        <v/>
      </c>
      <c r="S857" s="473" t="str">
        <f t="shared" si="694"/>
        <v/>
      </c>
      <c r="T857" s="473" t="str">
        <f t="shared" si="698"/>
        <v/>
      </c>
      <c r="U857" s="275" t="str">
        <f t="array" ref="U857">IF(ISBLANK($R857), INDEX('Run Reconcile'!A$2:A2488, MATCH($B857, 'Run Reconcile'!B$2:B2488, 0)+Z857, 1), IFERROR(0/0,""))
</f>
        <v>RUN-FLMP_2022-03-10_RFR-098</v>
      </c>
      <c r="V857" s="474" t="str">
        <f t="shared" si="5"/>
        <v>RUN-FLMP_2022-03-10_RFR-098</v>
      </c>
      <c r="Y857" s="89" t="str">
        <f t="shared" si="867"/>
        <v/>
      </c>
      <c r="Z857" s="60" t="str">
        <f t="shared" si="7"/>
        <v/>
      </c>
      <c r="AA857" s="60" t="str">
        <f t="shared" si="8"/>
        <v/>
      </c>
      <c r="AB857" s="60" t="str">
        <f t="shared" si="9"/>
        <v/>
      </c>
      <c r="AC857" s="30" t="str">
        <f t="shared" ref="AC857:AD857" si="1213">IF(_xlfn.ISFORMULA(S857),IFERROR(0/0,""),TRUE)</f>
        <v/>
      </c>
      <c r="AD857" s="30" t="str">
        <f t="shared" si="1213"/>
        <v/>
      </c>
      <c r="AE857" s="475" t="str">
        <f>IFERROR(__xludf.DUMMYFUNCTION("""COMPUTED_VALUE"""),"CRLN")</f>
        <v>CRLN</v>
      </c>
      <c r="AF857" s="476"/>
      <c r="AG857" s="474" t="s">
        <v>186</v>
      </c>
      <c r="AH857" s="138" t="str">
        <f t="shared" si="11"/>
        <v/>
      </c>
    </row>
    <row r="858">
      <c r="A858" s="103" t="str">
        <f>IFERROR(__xludf.DUMMYFUNCTION("""COMPUTED_VALUE"""),"FLB6782")</f>
        <v>FLB6782</v>
      </c>
      <c r="B858" s="468">
        <f>IFERROR(__xludf.DUMMYFUNCTION("""COMPUTED_VALUE"""),44630.0)</f>
        <v>44630</v>
      </c>
      <c r="C858" s="469">
        <f>IFERROR(__xludf.DUMMYFUNCTION("""COMPUTED_VALUE"""),0.30288194444444444)</f>
        <v>0.3028819444</v>
      </c>
      <c r="D858" s="103" t="str">
        <f>IFERROR(__xludf.DUMMYFUNCTION("""COMPUTED_VALUE"""),"SpFLMP470379")</f>
        <v>SpFLMP470379</v>
      </c>
      <c r="E858" s="103"/>
      <c r="F858" s="103"/>
      <c r="G858" s="103" t="str">
        <f>IFERROR(__xludf.DUMMYFUNCTION("""COMPUTED_VALUE"""),"Negative")</f>
        <v>Negative</v>
      </c>
      <c r="H858" s="131" t="str">
        <f>IFERROR(__xludf.DUMMYFUNCTION("""COMPUTED_VALUE"""),"Negative")</f>
        <v>Negative</v>
      </c>
      <c r="I858" s="468">
        <f>IFERROR(__xludf.DUMMYFUNCTION("""COMPUTED_VALUE"""),44630.0)</f>
        <v>44630</v>
      </c>
      <c r="J858" s="470">
        <f>IFERROR(__xludf.DUMMYFUNCTION("""COMPUTED_VALUE"""),0.43258101851851855)</f>
        <v>0.4325810185</v>
      </c>
      <c r="K858" s="16"/>
      <c r="L858" s="8"/>
      <c r="M858" s="69"/>
      <c r="N858" s="69">
        <f>IFERROR(__xludf.DUMMYFUNCTION("""COMPUTED_VALUE"""),1.0)</f>
        <v>1</v>
      </c>
      <c r="O858" s="69" t="str">
        <f t="shared" si="3"/>
        <v/>
      </c>
      <c r="P858" s="471">
        <f>IFERROR(__xludf.DUMMYFUNCTION("""COMPUTED_VALUE"""),0.0)</f>
        <v>0</v>
      </c>
      <c r="Q858" s="274" t="str">
        <f>VLOOKUP($B858,'Run Reconcile'!B$2:O2488,14,FALSE)</f>
        <v/>
      </c>
      <c r="R858" s="472" t="str">
        <f t="array" ref="R858">IF($Q858, INDEX('Run Reconcile'!A$2:A2488,MATCH(B858,'Run Reconcile'!B$2:B2488,0),1),IFERROR(0/0,""))</f>
        <v/>
      </c>
      <c r="S858" s="473" t="str">
        <f t="shared" si="694"/>
        <v/>
      </c>
      <c r="T858" s="473" t="str">
        <f t="shared" si="698"/>
        <v/>
      </c>
      <c r="U858" s="275" t="str">
        <f t="array" ref="U858">IF(ISBLANK($R858), INDEX('Run Reconcile'!A$2:A2488, MATCH($B858, 'Run Reconcile'!B$2:B2488, 0)+Z858, 1), IFERROR(0/0,""))
</f>
        <v>RUN-FLMP_2022-03-10_RFR-098</v>
      </c>
      <c r="V858" s="474" t="str">
        <f t="shared" si="5"/>
        <v>RUN-FLMP_2022-03-10_RFR-098</v>
      </c>
      <c r="Y858" s="89" t="str">
        <f t="shared" si="867"/>
        <v/>
      </c>
      <c r="Z858" s="60" t="str">
        <f t="shared" si="7"/>
        <v/>
      </c>
      <c r="AA858" s="60" t="str">
        <f t="shared" si="8"/>
        <v/>
      </c>
      <c r="AB858" s="60" t="str">
        <f t="shared" si="9"/>
        <v/>
      </c>
      <c r="AC858" s="30" t="str">
        <f t="shared" ref="AC858:AD858" si="1214">IF(_xlfn.ISFORMULA(S858),IFERROR(0/0,""),TRUE)</f>
        <v/>
      </c>
      <c r="AD858" s="30" t="str">
        <f t="shared" si="1214"/>
        <v/>
      </c>
      <c r="AE858" s="475" t="str">
        <f>IFERROR(__xludf.DUMMYFUNCTION("""COMPUTED_VALUE"""),"CRLN")</f>
        <v>CRLN</v>
      </c>
      <c r="AF858" s="476"/>
      <c r="AG858" s="474" t="s">
        <v>186</v>
      </c>
      <c r="AH858" s="138" t="str">
        <f t="shared" si="11"/>
        <v/>
      </c>
    </row>
    <row r="859">
      <c r="A859" s="103" t="str">
        <f>IFERROR(__xludf.DUMMYFUNCTION("""COMPUTED_VALUE"""),"FLB6546")</f>
        <v>FLB6546</v>
      </c>
      <c r="B859" s="468">
        <f>IFERROR(__xludf.DUMMYFUNCTION("""COMPUTED_VALUE"""),44630.0)</f>
        <v>44630</v>
      </c>
      <c r="C859" s="469">
        <f>IFERROR(__xludf.DUMMYFUNCTION("""COMPUTED_VALUE"""),0.3207523148148148)</f>
        <v>0.3207523148</v>
      </c>
      <c r="D859" s="103" t="str">
        <f>IFERROR(__xludf.DUMMYFUNCTION("""COMPUTED_VALUE"""),"SpFLMP544731")</f>
        <v>SpFLMP544731</v>
      </c>
      <c r="E859" s="103"/>
      <c r="F859" s="103"/>
      <c r="G859" s="103" t="str">
        <f>IFERROR(__xludf.DUMMYFUNCTION("""COMPUTED_VALUE"""),"Negative")</f>
        <v>Negative</v>
      </c>
      <c r="H859" s="131" t="str">
        <f>IFERROR(__xludf.DUMMYFUNCTION("""COMPUTED_VALUE"""),"Negative")</f>
        <v>Negative</v>
      </c>
      <c r="I859" s="468">
        <f>IFERROR(__xludf.DUMMYFUNCTION("""COMPUTED_VALUE"""),44630.0)</f>
        <v>44630</v>
      </c>
      <c r="J859" s="470">
        <f>IFERROR(__xludf.DUMMYFUNCTION("""COMPUTED_VALUE"""),0.43258101851851855)</f>
        <v>0.4325810185</v>
      </c>
      <c r="K859" s="16"/>
      <c r="L859" s="8"/>
      <c r="M859" s="69"/>
      <c r="N859" s="69">
        <f>IFERROR(__xludf.DUMMYFUNCTION("""COMPUTED_VALUE"""),2.0)</f>
        <v>2</v>
      </c>
      <c r="O859" s="69" t="str">
        <f t="shared" si="3"/>
        <v/>
      </c>
      <c r="P859" s="471">
        <f>IFERROR(__xludf.DUMMYFUNCTION("""COMPUTED_VALUE"""),0.0)</f>
        <v>0</v>
      </c>
      <c r="Q859" s="274" t="str">
        <f>VLOOKUP($B859,'Run Reconcile'!B$2:O2488,14,FALSE)</f>
        <v/>
      </c>
      <c r="R859" s="472" t="str">
        <f t="array" ref="R859">IF($Q859, INDEX('Run Reconcile'!A$2:A2488,MATCH(B859,'Run Reconcile'!B$2:B2488,0),1),IFERROR(0/0,""))</f>
        <v/>
      </c>
      <c r="S859" s="473" t="str">
        <f t="shared" si="694"/>
        <v/>
      </c>
      <c r="T859" s="473" t="str">
        <f t="shared" si="698"/>
        <v/>
      </c>
      <c r="U859" s="275" t="str">
        <f t="array" ref="U859">IF(ISBLANK($R859), INDEX('Run Reconcile'!A$2:A2488, MATCH($B859, 'Run Reconcile'!B$2:B2488, 0)+Z859, 1), IFERROR(0/0,""))
</f>
        <v>RUN-FLMP_2022-03-10_RFR-098</v>
      </c>
      <c r="V859" s="474" t="str">
        <f t="shared" si="5"/>
        <v>RUN-FLMP_2022-03-10_RFR-098</v>
      </c>
      <c r="Y859" s="89" t="str">
        <f t="shared" si="867"/>
        <v/>
      </c>
      <c r="Z859" s="60" t="str">
        <f t="shared" si="7"/>
        <v/>
      </c>
      <c r="AA859" s="60" t="str">
        <f t="shared" si="8"/>
        <v/>
      </c>
      <c r="AB859" s="60" t="str">
        <f t="shared" si="9"/>
        <v/>
      </c>
      <c r="AC859" s="30" t="str">
        <f t="shared" ref="AC859:AD859" si="1215">IF(_xlfn.ISFORMULA(S859),IFERROR(0/0,""),TRUE)</f>
        <v/>
      </c>
      <c r="AD859" s="30" t="str">
        <f t="shared" si="1215"/>
        <v/>
      </c>
      <c r="AE859" s="475" t="str">
        <f>IFERROR(__xludf.DUMMYFUNCTION("""COMPUTED_VALUE"""),"CRLN")</f>
        <v>CRLN</v>
      </c>
      <c r="AF859" s="476"/>
      <c r="AG859" s="474" t="s">
        <v>186</v>
      </c>
      <c r="AH859" s="138" t="str">
        <f t="shared" si="11"/>
        <v/>
      </c>
    </row>
    <row r="860">
      <c r="A860" s="103" t="str">
        <f>IFERROR(__xludf.DUMMYFUNCTION("""COMPUTED_VALUE"""),"FLB7189")</f>
        <v>FLB7189</v>
      </c>
      <c r="B860" s="468">
        <f>IFERROR(__xludf.DUMMYFUNCTION("""COMPUTED_VALUE"""),44630.0)</f>
        <v>44630</v>
      </c>
      <c r="C860" s="469">
        <f>IFERROR(__xludf.DUMMYFUNCTION("""COMPUTED_VALUE"""),0.32190972222222225)</f>
        <v>0.3219097222</v>
      </c>
      <c r="D860" s="103" t="str">
        <f>IFERROR(__xludf.DUMMYFUNCTION("""COMPUTED_VALUE"""),"SpFLMP170622")</f>
        <v>SpFLMP170622</v>
      </c>
      <c r="E860" s="103"/>
      <c r="F860" s="103"/>
      <c r="G860" s="103" t="str">
        <f>IFERROR(__xludf.DUMMYFUNCTION("""COMPUTED_VALUE"""),"Negative")</f>
        <v>Negative</v>
      </c>
      <c r="H860" s="131" t="str">
        <f>IFERROR(__xludf.DUMMYFUNCTION("""COMPUTED_VALUE"""),"Negative")</f>
        <v>Negative</v>
      </c>
      <c r="I860" s="468">
        <f>IFERROR(__xludf.DUMMYFUNCTION("""COMPUTED_VALUE"""),44630.0)</f>
        <v>44630</v>
      </c>
      <c r="J860" s="470">
        <f>IFERROR(__xludf.DUMMYFUNCTION("""COMPUTED_VALUE"""),0.43258101851851855)</f>
        <v>0.4325810185</v>
      </c>
      <c r="K860" s="16"/>
      <c r="L860" s="8"/>
      <c r="M860" s="69"/>
      <c r="N860" s="69">
        <f>IFERROR(__xludf.DUMMYFUNCTION("""COMPUTED_VALUE"""),2.0)</f>
        <v>2</v>
      </c>
      <c r="O860" s="69" t="str">
        <f t="shared" si="3"/>
        <v/>
      </c>
      <c r="P860" s="471">
        <f>IFERROR(__xludf.DUMMYFUNCTION("""COMPUTED_VALUE"""),0.0)</f>
        <v>0</v>
      </c>
      <c r="Q860" s="274" t="str">
        <f>VLOOKUP($B860,'Run Reconcile'!B$2:O2488,14,FALSE)</f>
        <v/>
      </c>
      <c r="R860" s="472" t="str">
        <f t="array" ref="R860">IF($Q860, INDEX('Run Reconcile'!A$2:A2488,MATCH(B860,'Run Reconcile'!B$2:B2488,0),1),IFERROR(0/0,""))</f>
        <v/>
      </c>
      <c r="S860" s="473" t="str">
        <f t="shared" si="694"/>
        <v/>
      </c>
      <c r="T860" s="473" t="str">
        <f t="shared" si="698"/>
        <v/>
      </c>
      <c r="U860" s="275" t="str">
        <f t="array" ref="U860">IF(ISBLANK($R860), INDEX('Run Reconcile'!A$2:A2488, MATCH($B860, 'Run Reconcile'!B$2:B2488, 0)+Z860, 1), IFERROR(0/0,""))
</f>
        <v>RUN-FLMP_2022-03-10_RFR-098</v>
      </c>
      <c r="V860" s="474" t="str">
        <f t="shared" si="5"/>
        <v>RUN-FLMP_2022-03-10_RFR-098</v>
      </c>
      <c r="Y860" s="89" t="str">
        <f t="shared" si="867"/>
        <v/>
      </c>
      <c r="Z860" s="60" t="str">
        <f t="shared" si="7"/>
        <v/>
      </c>
      <c r="AA860" s="60" t="str">
        <f t="shared" si="8"/>
        <v/>
      </c>
      <c r="AB860" s="60" t="str">
        <f t="shared" si="9"/>
        <v/>
      </c>
      <c r="AC860" s="30" t="str">
        <f t="shared" ref="AC860:AD860" si="1216">IF(_xlfn.ISFORMULA(S860),IFERROR(0/0,""),TRUE)</f>
        <v/>
      </c>
      <c r="AD860" s="30" t="str">
        <f t="shared" si="1216"/>
        <v/>
      </c>
      <c r="AE860" s="475" t="str">
        <f>IFERROR(__xludf.DUMMYFUNCTION("""COMPUTED_VALUE"""),"CRLN")</f>
        <v>CRLN</v>
      </c>
      <c r="AF860" s="476"/>
      <c r="AG860" s="474" t="s">
        <v>186</v>
      </c>
      <c r="AH860" s="138" t="str">
        <f t="shared" si="11"/>
        <v/>
      </c>
    </row>
    <row r="861">
      <c r="A861" s="103" t="str">
        <f>IFERROR(__xludf.DUMMYFUNCTION("""COMPUTED_VALUE"""),"FLB5394")</f>
        <v>FLB5394</v>
      </c>
      <c r="B861" s="468">
        <f>IFERROR(__xludf.DUMMYFUNCTION("""COMPUTED_VALUE"""),44630.0)</f>
        <v>44630</v>
      </c>
      <c r="C861" s="469">
        <f>IFERROR(__xludf.DUMMYFUNCTION("""COMPUTED_VALUE"""),0.32221064814814815)</f>
        <v>0.3222106481</v>
      </c>
      <c r="D861" s="103" t="str">
        <f>IFERROR(__xludf.DUMMYFUNCTION("""COMPUTED_VALUE"""),"SpFLMP170622")</f>
        <v>SpFLMP170622</v>
      </c>
      <c r="E861" s="103"/>
      <c r="F861" s="103"/>
      <c r="G861" s="103" t="str">
        <f>IFERROR(__xludf.DUMMYFUNCTION("""COMPUTED_VALUE"""),"Negative")</f>
        <v>Negative</v>
      </c>
      <c r="H861" s="131" t="str">
        <f>IFERROR(__xludf.DUMMYFUNCTION("""COMPUTED_VALUE"""),"Negative")</f>
        <v>Negative</v>
      </c>
      <c r="I861" s="468">
        <f>IFERROR(__xludf.DUMMYFUNCTION("""COMPUTED_VALUE"""),44630.0)</f>
        <v>44630</v>
      </c>
      <c r="J861" s="470">
        <f>IFERROR(__xludf.DUMMYFUNCTION("""COMPUTED_VALUE"""),0.43258101851851855)</f>
        <v>0.4325810185</v>
      </c>
      <c r="K861" s="16"/>
      <c r="L861" s="8"/>
      <c r="M861" s="69"/>
      <c r="N861" s="69">
        <f>IFERROR(__xludf.DUMMYFUNCTION("""COMPUTED_VALUE"""),2.0)</f>
        <v>2</v>
      </c>
      <c r="O861" s="69" t="str">
        <f t="shared" si="3"/>
        <v/>
      </c>
      <c r="P861" s="471">
        <f>IFERROR(__xludf.DUMMYFUNCTION("""COMPUTED_VALUE"""),0.0)</f>
        <v>0</v>
      </c>
      <c r="Q861" s="274" t="str">
        <f>VLOOKUP($B861,'Run Reconcile'!B$2:O2488,14,FALSE)</f>
        <v/>
      </c>
      <c r="R861" s="472" t="str">
        <f t="array" ref="R861">IF($Q861, INDEX('Run Reconcile'!A$2:A2488,MATCH(B861,'Run Reconcile'!B$2:B2488,0),1),IFERROR(0/0,""))</f>
        <v/>
      </c>
      <c r="S861" s="473" t="str">
        <f t="shared" si="694"/>
        <v/>
      </c>
      <c r="T861" s="473" t="str">
        <f t="shared" si="698"/>
        <v/>
      </c>
      <c r="U861" s="275" t="str">
        <f t="array" ref="U861">IF(ISBLANK($R861), INDEX('Run Reconcile'!A$2:A2488, MATCH($B861, 'Run Reconcile'!B$2:B2488, 0)+Z861, 1), IFERROR(0/0,""))
</f>
        <v>RUN-FLMP_2022-03-10_RFR-098</v>
      </c>
      <c r="V861" s="474" t="str">
        <f t="shared" si="5"/>
        <v>RUN-FLMP_2022-03-10_RFR-098</v>
      </c>
      <c r="Y861" s="89" t="str">
        <f t="shared" si="867"/>
        <v/>
      </c>
      <c r="Z861" s="60" t="str">
        <f t="shared" si="7"/>
        <v/>
      </c>
      <c r="AA861" s="60" t="str">
        <f t="shared" si="8"/>
        <v/>
      </c>
      <c r="AB861" s="60" t="str">
        <f t="shared" si="9"/>
        <v/>
      </c>
      <c r="AC861" s="30" t="str">
        <f t="shared" ref="AC861:AD861" si="1217">IF(_xlfn.ISFORMULA(S861),IFERROR(0/0,""),TRUE)</f>
        <v/>
      </c>
      <c r="AD861" s="30" t="str">
        <f t="shared" si="1217"/>
        <v/>
      </c>
      <c r="AE861" s="475" t="str">
        <f>IFERROR(__xludf.DUMMYFUNCTION("""COMPUTED_VALUE"""),"CRLN")</f>
        <v>CRLN</v>
      </c>
      <c r="AF861" s="476"/>
      <c r="AG861" s="474" t="s">
        <v>186</v>
      </c>
      <c r="AH861" s="138" t="str">
        <f t="shared" si="11"/>
        <v/>
      </c>
    </row>
    <row r="862">
      <c r="A862" s="103" t="str">
        <f>IFERROR(__xludf.DUMMYFUNCTION("""COMPUTED_VALUE"""),"FLB5438")</f>
        <v>FLB5438</v>
      </c>
      <c r="B862" s="468">
        <f>IFERROR(__xludf.DUMMYFUNCTION("""COMPUTED_VALUE"""),44630.0)</f>
        <v>44630</v>
      </c>
      <c r="C862" s="469">
        <f>IFERROR(__xludf.DUMMYFUNCTION("""COMPUTED_VALUE"""),0.33002314814814815)</f>
        <v>0.3300231481</v>
      </c>
      <c r="D862" s="103" t="str">
        <f>IFERROR(__xludf.DUMMYFUNCTION("""COMPUTED_VALUE"""),"SpFLMP314549")</f>
        <v>SpFLMP314549</v>
      </c>
      <c r="E862" s="103"/>
      <c r="F862" s="103"/>
      <c r="G862" s="103" t="str">
        <f>IFERROR(__xludf.DUMMYFUNCTION("""COMPUTED_VALUE"""),"Negative")</f>
        <v>Negative</v>
      </c>
      <c r="H862" s="131" t="str">
        <f>IFERROR(__xludf.DUMMYFUNCTION("""COMPUTED_VALUE"""),"Negative")</f>
        <v>Negative</v>
      </c>
      <c r="I862" s="468">
        <f>IFERROR(__xludf.DUMMYFUNCTION("""COMPUTED_VALUE"""),44630.0)</f>
        <v>44630</v>
      </c>
      <c r="J862" s="470">
        <f>IFERROR(__xludf.DUMMYFUNCTION("""COMPUTED_VALUE"""),0.43258101851851855)</f>
        <v>0.4325810185</v>
      </c>
      <c r="K862" s="16"/>
      <c r="L862" s="8"/>
      <c r="M862" s="69"/>
      <c r="N862" s="69">
        <f>IFERROR(__xludf.DUMMYFUNCTION("""COMPUTED_VALUE"""),1.0)</f>
        <v>1</v>
      </c>
      <c r="O862" s="69" t="str">
        <f t="shared" si="3"/>
        <v/>
      </c>
      <c r="P862" s="471">
        <f>IFERROR(__xludf.DUMMYFUNCTION("""COMPUTED_VALUE"""),0.0)</f>
        <v>0</v>
      </c>
      <c r="Q862" s="274" t="str">
        <f>VLOOKUP($B862,'Run Reconcile'!B$2:O2488,14,FALSE)</f>
        <v/>
      </c>
      <c r="R862" s="472" t="str">
        <f t="array" ref="R862">IF($Q862, INDEX('Run Reconcile'!A$2:A2488,MATCH(B862,'Run Reconcile'!B$2:B2488,0),1),IFERROR(0/0,""))</f>
        <v/>
      </c>
      <c r="S862" s="473" t="str">
        <f t="shared" si="694"/>
        <v/>
      </c>
      <c r="T862" s="473" t="str">
        <f t="shared" si="698"/>
        <v/>
      </c>
      <c r="U862" s="275" t="str">
        <f t="array" ref="U862">IF(ISBLANK($R862), INDEX('Run Reconcile'!A$2:A2488, MATCH($B862, 'Run Reconcile'!B$2:B2488, 0)+Z862, 1), IFERROR(0/0,""))
</f>
        <v>RUN-FLMP_2022-03-10_RFR-098</v>
      </c>
      <c r="V862" s="474" t="str">
        <f t="shared" si="5"/>
        <v>RUN-FLMP_2022-03-10_RFR-098</v>
      </c>
      <c r="Y862" s="89" t="str">
        <f t="shared" si="867"/>
        <v/>
      </c>
      <c r="Z862" s="60" t="str">
        <f t="shared" si="7"/>
        <v/>
      </c>
      <c r="AA862" s="60" t="str">
        <f t="shared" si="8"/>
        <v/>
      </c>
      <c r="AB862" s="60" t="str">
        <f t="shared" si="9"/>
        <v/>
      </c>
      <c r="AC862" s="30" t="str">
        <f t="shared" ref="AC862:AD862" si="1218">IF(_xlfn.ISFORMULA(S862),IFERROR(0/0,""),TRUE)</f>
        <v/>
      </c>
      <c r="AD862" s="30" t="str">
        <f t="shared" si="1218"/>
        <v/>
      </c>
      <c r="AE862" s="475" t="str">
        <f>IFERROR(__xludf.DUMMYFUNCTION("""COMPUTED_VALUE"""),"CRLN")</f>
        <v>CRLN</v>
      </c>
      <c r="AF862" s="476"/>
      <c r="AG862" s="474" t="s">
        <v>186</v>
      </c>
      <c r="AH862" s="138" t="str">
        <f t="shared" si="11"/>
        <v/>
      </c>
    </row>
    <row r="863">
      <c r="A863" s="103" t="str">
        <f>IFERROR(__xludf.DUMMYFUNCTION("""COMPUTED_VALUE"""),"FLB6558")</f>
        <v>FLB6558</v>
      </c>
      <c r="B863" s="468">
        <f>IFERROR(__xludf.DUMMYFUNCTION("""COMPUTED_VALUE"""),44630.0)</f>
        <v>44630</v>
      </c>
      <c r="C863" s="469">
        <f>IFERROR(__xludf.DUMMYFUNCTION("""COMPUTED_VALUE"""),0.3316087962962963)</f>
        <v>0.3316087963</v>
      </c>
      <c r="D863" s="103" t="str">
        <f>IFERROR(__xludf.DUMMYFUNCTION("""COMPUTED_VALUE"""),"SpFLMP904576")</f>
        <v>SpFLMP904576</v>
      </c>
      <c r="E863" s="103"/>
      <c r="F863" s="103"/>
      <c r="G863" s="103" t="str">
        <f>IFERROR(__xludf.DUMMYFUNCTION("""COMPUTED_VALUE"""),"Negative")</f>
        <v>Negative</v>
      </c>
      <c r="H863" s="131" t="str">
        <f>IFERROR(__xludf.DUMMYFUNCTION("""COMPUTED_VALUE"""),"Negative")</f>
        <v>Negative</v>
      </c>
      <c r="I863" s="468">
        <f>IFERROR(__xludf.DUMMYFUNCTION("""COMPUTED_VALUE"""),44630.0)</f>
        <v>44630</v>
      </c>
      <c r="J863" s="470">
        <f>IFERROR(__xludf.DUMMYFUNCTION("""COMPUTED_VALUE"""),0.43258101851851855)</f>
        <v>0.4325810185</v>
      </c>
      <c r="K863" s="16"/>
      <c r="L863" s="8"/>
      <c r="M863" s="69"/>
      <c r="N863" s="69">
        <f>IFERROR(__xludf.DUMMYFUNCTION("""COMPUTED_VALUE"""),3.0)</f>
        <v>3</v>
      </c>
      <c r="O863" s="69" t="str">
        <f t="shared" si="3"/>
        <v/>
      </c>
      <c r="P863" s="471">
        <f>IFERROR(__xludf.DUMMYFUNCTION("""COMPUTED_VALUE"""),0.0)</f>
        <v>0</v>
      </c>
      <c r="Q863" s="274" t="str">
        <f>VLOOKUP($B863,'Run Reconcile'!B$2:O2488,14,FALSE)</f>
        <v/>
      </c>
      <c r="R863" s="472" t="str">
        <f t="array" ref="R863">IF($Q863, INDEX('Run Reconcile'!A$2:A2488,MATCH(B863,'Run Reconcile'!B$2:B2488,0),1),IFERROR(0/0,""))</f>
        <v/>
      </c>
      <c r="S863" s="473" t="str">
        <f t="shared" si="694"/>
        <v/>
      </c>
      <c r="T863" s="473" t="str">
        <f t="shared" si="698"/>
        <v/>
      </c>
      <c r="U863" s="275" t="str">
        <f t="array" ref="U863">IF(ISBLANK($R863), INDEX('Run Reconcile'!A$2:A2488, MATCH($B863, 'Run Reconcile'!B$2:B2488, 0)+Z863, 1), IFERROR(0/0,""))
</f>
        <v>RUN-FLMP_2022-03-10_RFR-098</v>
      </c>
      <c r="V863" s="474" t="str">
        <f t="shared" si="5"/>
        <v>RUN-FLMP_2022-03-10_RFR-098</v>
      </c>
      <c r="Y863" s="89" t="str">
        <f t="shared" si="867"/>
        <v/>
      </c>
      <c r="Z863" s="60" t="str">
        <f t="shared" si="7"/>
        <v/>
      </c>
      <c r="AA863" s="60" t="str">
        <f t="shared" si="8"/>
        <v/>
      </c>
      <c r="AB863" s="60" t="str">
        <f t="shared" si="9"/>
        <v/>
      </c>
      <c r="AC863" s="30" t="str">
        <f t="shared" ref="AC863:AD863" si="1219">IF(_xlfn.ISFORMULA(S863),IFERROR(0/0,""),TRUE)</f>
        <v/>
      </c>
      <c r="AD863" s="30" t="str">
        <f t="shared" si="1219"/>
        <v/>
      </c>
      <c r="AE863" s="475" t="str">
        <f>IFERROR(__xludf.DUMMYFUNCTION("""COMPUTED_VALUE"""),"CRLN")</f>
        <v>CRLN</v>
      </c>
      <c r="AF863" s="476"/>
      <c r="AG863" s="474" t="s">
        <v>186</v>
      </c>
      <c r="AH863" s="138" t="str">
        <f t="shared" si="11"/>
        <v/>
      </c>
    </row>
    <row r="864">
      <c r="A864" s="103" t="str">
        <f>IFERROR(__xludf.DUMMYFUNCTION("""COMPUTED_VALUE"""),"FLB5725")</f>
        <v>FLB5725</v>
      </c>
      <c r="B864" s="468">
        <f>IFERROR(__xludf.DUMMYFUNCTION("""COMPUTED_VALUE"""),44630.0)</f>
        <v>44630</v>
      </c>
      <c r="C864" s="469">
        <f>IFERROR(__xludf.DUMMYFUNCTION("""COMPUTED_VALUE"""),0.33640046296296294)</f>
        <v>0.336400463</v>
      </c>
      <c r="D864" s="103" t="str">
        <f>IFERROR(__xludf.DUMMYFUNCTION("""COMPUTED_VALUE"""),"SpFLMP259015")</f>
        <v>SpFLMP259015</v>
      </c>
      <c r="E864" s="103"/>
      <c r="F864" s="103"/>
      <c r="G864" s="103" t="str">
        <f>IFERROR(__xludf.DUMMYFUNCTION("""COMPUTED_VALUE"""),"Negative")</f>
        <v>Negative</v>
      </c>
      <c r="H864" s="131" t="str">
        <f>IFERROR(__xludf.DUMMYFUNCTION("""COMPUTED_VALUE"""),"Negative")</f>
        <v>Negative</v>
      </c>
      <c r="I864" s="468">
        <f>IFERROR(__xludf.DUMMYFUNCTION("""COMPUTED_VALUE"""),44630.0)</f>
        <v>44630</v>
      </c>
      <c r="J864" s="470">
        <f>IFERROR(__xludf.DUMMYFUNCTION("""COMPUTED_VALUE"""),0.43258101851851855)</f>
        <v>0.4325810185</v>
      </c>
      <c r="K864" s="16"/>
      <c r="L864" s="8"/>
      <c r="M864" s="69"/>
      <c r="N864" s="69">
        <f>IFERROR(__xludf.DUMMYFUNCTION("""COMPUTED_VALUE"""),2.0)</f>
        <v>2</v>
      </c>
      <c r="O864" s="69" t="str">
        <f t="shared" si="3"/>
        <v/>
      </c>
      <c r="P864" s="471">
        <f>IFERROR(__xludf.DUMMYFUNCTION("""COMPUTED_VALUE"""),0.0)</f>
        <v>0</v>
      </c>
      <c r="Q864" s="274" t="str">
        <f>VLOOKUP($B864,'Run Reconcile'!B$2:O2488,14,FALSE)</f>
        <v/>
      </c>
      <c r="R864" s="472" t="str">
        <f t="array" ref="R864">IF($Q864, INDEX('Run Reconcile'!A$2:A2488,MATCH(B864,'Run Reconcile'!B$2:B2488,0),1),IFERROR(0/0,""))</f>
        <v/>
      </c>
      <c r="S864" s="473" t="str">
        <f t="shared" si="694"/>
        <v/>
      </c>
      <c r="T864" s="473" t="str">
        <f t="shared" si="698"/>
        <v/>
      </c>
      <c r="U864" s="275" t="str">
        <f t="array" ref="U864">IF(ISBLANK($R864), INDEX('Run Reconcile'!A$2:A2488, MATCH($B864, 'Run Reconcile'!B$2:B2488, 0)+Z864, 1), IFERROR(0/0,""))
</f>
        <v>RUN-FLMP_2022-03-10_RFR-098</v>
      </c>
      <c r="V864" s="474" t="str">
        <f t="shared" si="5"/>
        <v>RUN-FLMP_2022-03-10_RFR-098</v>
      </c>
      <c r="Y864" s="89" t="str">
        <f t="shared" si="867"/>
        <v/>
      </c>
      <c r="Z864" s="60" t="str">
        <f t="shared" si="7"/>
        <v/>
      </c>
      <c r="AA864" s="60" t="str">
        <f t="shared" si="8"/>
        <v/>
      </c>
      <c r="AB864" s="60" t="str">
        <f t="shared" si="9"/>
        <v/>
      </c>
      <c r="AC864" s="30" t="str">
        <f t="shared" ref="AC864:AD864" si="1220">IF(_xlfn.ISFORMULA(S864),IFERROR(0/0,""),TRUE)</f>
        <v/>
      </c>
      <c r="AD864" s="30" t="str">
        <f t="shared" si="1220"/>
        <v/>
      </c>
      <c r="AE864" s="475" t="str">
        <f>IFERROR(__xludf.DUMMYFUNCTION("""COMPUTED_VALUE"""),"CRLN")</f>
        <v>CRLN</v>
      </c>
      <c r="AF864" s="476"/>
      <c r="AG864" s="474" t="s">
        <v>186</v>
      </c>
      <c r="AH864" s="138" t="str">
        <f t="shared" si="11"/>
        <v/>
      </c>
    </row>
    <row r="865">
      <c r="A865" s="103" t="str">
        <f>IFERROR(__xludf.DUMMYFUNCTION("""COMPUTED_VALUE"""),"FLB5759")</f>
        <v>FLB5759</v>
      </c>
      <c r="B865" s="468">
        <f>IFERROR(__xludf.DUMMYFUNCTION("""COMPUTED_VALUE"""),44630.0)</f>
        <v>44630</v>
      </c>
      <c r="C865" s="469">
        <f>IFERROR(__xludf.DUMMYFUNCTION("""COMPUTED_VALUE"""),0.33721064814814816)</f>
        <v>0.3372106481</v>
      </c>
      <c r="D865" s="103" t="str">
        <f>IFERROR(__xludf.DUMMYFUNCTION("""COMPUTED_VALUE"""),"SpFLMP259015")</f>
        <v>SpFLMP259015</v>
      </c>
      <c r="E865" s="103"/>
      <c r="F865" s="103"/>
      <c r="G865" s="103" t="str">
        <f>IFERROR(__xludf.DUMMYFUNCTION("""COMPUTED_VALUE"""),"Negative")</f>
        <v>Negative</v>
      </c>
      <c r="H865" s="131" t="str">
        <f>IFERROR(__xludf.DUMMYFUNCTION("""COMPUTED_VALUE"""),"Negative")</f>
        <v>Negative</v>
      </c>
      <c r="I865" s="468">
        <f>IFERROR(__xludf.DUMMYFUNCTION("""COMPUTED_VALUE"""),44630.0)</f>
        <v>44630</v>
      </c>
      <c r="J865" s="470">
        <f>IFERROR(__xludf.DUMMYFUNCTION("""COMPUTED_VALUE"""),0.43258101851851855)</f>
        <v>0.4325810185</v>
      </c>
      <c r="K865" s="16"/>
      <c r="L865" s="8"/>
      <c r="M865" s="69"/>
      <c r="N865" s="69">
        <f>IFERROR(__xludf.DUMMYFUNCTION("""COMPUTED_VALUE"""),3.0)</f>
        <v>3</v>
      </c>
      <c r="O865" s="69" t="str">
        <f t="shared" si="3"/>
        <v/>
      </c>
      <c r="P865" s="471">
        <f>IFERROR(__xludf.DUMMYFUNCTION("""COMPUTED_VALUE"""),0.0)</f>
        <v>0</v>
      </c>
      <c r="Q865" s="274" t="str">
        <f>VLOOKUP($B865,'Run Reconcile'!B$2:O2488,14,FALSE)</f>
        <v/>
      </c>
      <c r="R865" s="472" t="str">
        <f t="array" ref="R865">IF($Q865, INDEX('Run Reconcile'!A$2:A2488,MATCH(B865,'Run Reconcile'!B$2:B2488,0),1),IFERROR(0/0,""))</f>
        <v/>
      </c>
      <c r="S865" s="473" t="str">
        <f t="shared" si="694"/>
        <v/>
      </c>
      <c r="T865" s="473" t="str">
        <f t="shared" si="698"/>
        <v/>
      </c>
      <c r="U865" s="275" t="str">
        <f t="array" ref="U865">IF(ISBLANK($R865), INDEX('Run Reconcile'!A$2:A2488, MATCH($B865, 'Run Reconcile'!B$2:B2488, 0)+Z865, 1), IFERROR(0/0,""))
</f>
        <v>RUN-FLMP_2022-03-10_RFR-098</v>
      </c>
      <c r="V865" s="474" t="str">
        <f t="shared" si="5"/>
        <v>RUN-FLMP_2022-03-10_RFR-098</v>
      </c>
      <c r="Y865" s="89" t="str">
        <f t="shared" si="867"/>
        <v/>
      </c>
      <c r="Z865" s="60" t="str">
        <f t="shared" si="7"/>
        <v/>
      </c>
      <c r="AA865" s="60" t="str">
        <f t="shared" si="8"/>
        <v/>
      </c>
      <c r="AB865" s="60" t="str">
        <f t="shared" si="9"/>
        <v/>
      </c>
      <c r="AC865" s="30" t="str">
        <f t="shared" ref="AC865:AD865" si="1221">IF(_xlfn.ISFORMULA(S865),IFERROR(0/0,""),TRUE)</f>
        <v/>
      </c>
      <c r="AD865" s="30" t="str">
        <f t="shared" si="1221"/>
        <v/>
      </c>
      <c r="AE865" s="475" t="str">
        <f>IFERROR(__xludf.DUMMYFUNCTION("""COMPUTED_VALUE"""),"CRLN")</f>
        <v>CRLN</v>
      </c>
      <c r="AF865" s="476"/>
      <c r="AG865" s="474" t="s">
        <v>186</v>
      </c>
      <c r="AH865" s="138" t="str">
        <f t="shared" si="11"/>
        <v/>
      </c>
    </row>
    <row r="866">
      <c r="A866" s="103" t="str">
        <f>IFERROR(__xludf.DUMMYFUNCTION("""COMPUTED_VALUE"""),"FLB6762")</f>
        <v>FLB6762</v>
      </c>
      <c r="B866" s="468">
        <f>IFERROR(__xludf.DUMMYFUNCTION("""COMPUTED_VALUE"""),44630.0)</f>
        <v>44630</v>
      </c>
      <c r="C866" s="469">
        <f>IFERROR(__xludf.DUMMYFUNCTION("""COMPUTED_VALUE"""),0.3509375)</f>
        <v>0.3509375</v>
      </c>
      <c r="D866" s="103" t="str">
        <f>IFERROR(__xludf.DUMMYFUNCTION("""COMPUTED_VALUE"""),"SpFLMP600756")</f>
        <v>SpFLMP600756</v>
      </c>
      <c r="E866" s="103"/>
      <c r="F866" s="103"/>
      <c r="G866" s="103" t="str">
        <f>IFERROR(__xludf.DUMMYFUNCTION("""COMPUTED_VALUE"""),"Negative")</f>
        <v>Negative</v>
      </c>
      <c r="H866" s="131" t="str">
        <f>IFERROR(__xludf.DUMMYFUNCTION("""COMPUTED_VALUE"""),"Negative")</f>
        <v>Negative</v>
      </c>
      <c r="I866" s="468">
        <f>IFERROR(__xludf.DUMMYFUNCTION("""COMPUTED_VALUE"""),44630.0)</f>
        <v>44630</v>
      </c>
      <c r="J866" s="470">
        <f>IFERROR(__xludf.DUMMYFUNCTION("""COMPUTED_VALUE"""),0.43258101851851855)</f>
        <v>0.4325810185</v>
      </c>
      <c r="K866" s="16"/>
      <c r="L866" s="8"/>
      <c r="M866" s="69"/>
      <c r="N866" s="69">
        <f>IFERROR(__xludf.DUMMYFUNCTION("""COMPUTED_VALUE"""),2.0)</f>
        <v>2</v>
      </c>
      <c r="O866" s="69" t="str">
        <f t="shared" si="3"/>
        <v/>
      </c>
      <c r="P866" s="471">
        <f>IFERROR(__xludf.DUMMYFUNCTION("""COMPUTED_VALUE"""),0.0)</f>
        <v>0</v>
      </c>
      <c r="Q866" s="274" t="str">
        <f>VLOOKUP($B866,'Run Reconcile'!B$2:O2488,14,FALSE)</f>
        <v/>
      </c>
      <c r="R866" s="472" t="str">
        <f t="array" ref="R866">IF($Q866, INDEX('Run Reconcile'!A$2:A2488,MATCH(B866,'Run Reconcile'!B$2:B2488,0),1),IFERROR(0/0,""))</f>
        <v/>
      </c>
      <c r="S866" s="473" t="str">
        <f t="shared" si="694"/>
        <v/>
      </c>
      <c r="T866" s="473" t="str">
        <f t="shared" si="698"/>
        <v/>
      </c>
      <c r="U866" s="275" t="str">
        <f t="array" ref="U866">IF(ISBLANK($R866), INDEX('Run Reconcile'!A$2:A2488, MATCH($B866, 'Run Reconcile'!B$2:B2488, 0)+Z866, 1), IFERROR(0/0,""))
</f>
        <v>RUN-FLMP_2022-03-10_RFR-098</v>
      </c>
      <c r="V866" s="474" t="str">
        <f t="shared" si="5"/>
        <v>RUN-FLMP_2022-03-10_RFR-098</v>
      </c>
      <c r="Y866" s="89" t="str">
        <f t="shared" si="867"/>
        <v/>
      </c>
      <c r="Z866" s="60" t="str">
        <f t="shared" si="7"/>
        <v/>
      </c>
      <c r="AA866" s="60" t="str">
        <f t="shared" si="8"/>
        <v/>
      </c>
      <c r="AB866" s="60" t="str">
        <f t="shared" si="9"/>
        <v/>
      </c>
      <c r="AC866" s="30" t="str">
        <f t="shared" ref="AC866:AD866" si="1222">IF(_xlfn.ISFORMULA(S866),IFERROR(0/0,""),TRUE)</f>
        <v/>
      </c>
      <c r="AD866" s="30" t="str">
        <f t="shared" si="1222"/>
        <v/>
      </c>
      <c r="AE866" s="475" t="str">
        <f>IFERROR(__xludf.DUMMYFUNCTION("""COMPUTED_VALUE"""),"CRLN")</f>
        <v>CRLN</v>
      </c>
      <c r="AF866" s="476"/>
      <c r="AG866" s="474" t="s">
        <v>186</v>
      </c>
      <c r="AH866" s="138" t="str">
        <f t="shared" si="11"/>
        <v/>
      </c>
    </row>
    <row r="867">
      <c r="A867" s="103" t="str">
        <f>IFERROR(__xludf.DUMMYFUNCTION("""COMPUTED_VALUE"""),"FLB6769")</f>
        <v>FLB6769</v>
      </c>
      <c r="B867" s="468">
        <f>IFERROR(__xludf.DUMMYFUNCTION("""COMPUTED_VALUE"""),44630.0)</f>
        <v>44630</v>
      </c>
      <c r="C867" s="469">
        <f>IFERROR(__xludf.DUMMYFUNCTION("""COMPUTED_VALUE"""),0.3513425925925926)</f>
        <v>0.3513425926</v>
      </c>
      <c r="D867" s="103" t="str">
        <f>IFERROR(__xludf.DUMMYFUNCTION("""COMPUTED_VALUE"""),"SpFLMP690282")</f>
        <v>SpFLMP690282</v>
      </c>
      <c r="E867" s="103"/>
      <c r="F867" s="103"/>
      <c r="G867" s="103" t="str">
        <f>IFERROR(__xludf.DUMMYFUNCTION("""COMPUTED_VALUE"""),"Negative")</f>
        <v>Negative</v>
      </c>
      <c r="H867" s="131" t="str">
        <f>IFERROR(__xludf.DUMMYFUNCTION("""COMPUTED_VALUE"""),"Negative")</f>
        <v>Negative</v>
      </c>
      <c r="I867" s="468">
        <f>IFERROR(__xludf.DUMMYFUNCTION("""COMPUTED_VALUE"""),44630.0)</f>
        <v>44630</v>
      </c>
      <c r="J867" s="470">
        <f>IFERROR(__xludf.DUMMYFUNCTION("""COMPUTED_VALUE"""),0.43258101851851855)</f>
        <v>0.4325810185</v>
      </c>
      <c r="K867" s="16"/>
      <c r="L867" s="8"/>
      <c r="M867" s="69"/>
      <c r="N867" s="69">
        <f>IFERROR(__xludf.DUMMYFUNCTION("""COMPUTED_VALUE"""),1.0)</f>
        <v>1</v>
      </c>
      <c r="O867" s="69" t="str">
        <f t="shared" si="3"/>
        <v/>
      </c>
      <c r="P867" s="471">
        <f>IFERROR(__xludf.DUMMYFUNCTION("""COMPUTED_VALUE"""),0.0)</f>
        <v>0</v>
      </c>
      <c r="Q867" s="274" t="str">
        <f>VLOOKUP($B867,'Run Reconcile'!B$2:O2488,14,FALSE)</f>
        <v/>
      </c>
      <c r="R867" s="472" t="str">
        <f t="array" ref="R867">IF($Q867, INDEX('Run Reconcile'!A$2:A2488,MATCH(B867,'Run Reconcile'!B$2:B2488,0),1),IFERROR(0/0,""))</f>
        <v/>
      </c>
      <c r="S867" s="473" t="str">
        <f t="shared" si="694"/>
        <v/>
      </c>
      <c r="T867" s="473" t="str">
        <f t="shared" si="698"/>
        <v/>
      </c>
      <c r="U867" s="275" t="str">
        <f t="array" ref="U867">IF(ISBLANK($R867), INDEX('Run Reconcile'!A$2:A2488, MATCH($B867, 'Run Reconcile'!B$2:B2488, 0)+Z867, 1), IFERROR(0/0,""))
</f>
        <v>RUN-FLMP_2022-03-10_RFR-098</v>
      </c>
      <c r="V867" s="474" t="str">
        <f t="shared" si="5"/>
        <v>RUN-FLMP_2022-03-10_RFR-098</v>
      </c>
      <c r="Y867" s="89" t="str">
        <f t="shared" si="867"/>
        <v/>
      </c>
      <c r="Z867" s="60" t="str">
        <f t="shared" si="7"/>
        <v/>
      </c>
      <c r="AA867" s="60" t="str">
        <f t="shared" si="8"/>
        <v/>
      </c>
      <c r="AB867" s="60" t="str">
        <f t="shared" si="9"/>
        <v/>
      </c>
      <c r="AC867" s="30" t="str">
        <f t="shared" ref="AC867:AD867" si="1223">IF(_xlfn.ISFORMULA(S867),IFERROR(0/0,""),TRUE)</f>
        <v/>
      </c>
      <c r="AD867" s="30" t="str">
        <f t="shared" si="1223"/>
        <v/>
      </c>
      <c r="AE867" s="475" t="str">
        <f>IFERROR(__xludf.DUMMYFUNCTION("""COMPUTED_VALUE"""),"CRLN")</f>
        <v>CRLN</v>
      </c>
      <c r="AF867" s="476"/>
      <c r="AG867" s="474" t="s">
        <v>186</v>
      </c>
      <c r="AH867" s="138" t="str">
        <f t="shared" si="11"/>
        <v/>
      </c>
    </row>
    <row r="868">
      <c r="A868" s="103" t="str">
        <f>IFERROR(__xludf.DUMMYFUNCTION("""COMPUTED_VALUE"""),"FLB6791")</f>
        <v>FLB6791</v>
      </c>
      <c r="B868" s="468">
        <f>IFERROR(__xludf.DUMMYFUNCTION("""COMPUTED_VALUE"""),44630.0)</f>
        <v>44630</v>
      </c>
      <c r="C868" s="469">
        <f>IFERROR(__xludf.DUMMYFUNCTION("""COMPUTED_VALUE"""),0.3577662037037037)</f>
        <v>0.3577662037</v>
      </c>
      <c r="D868" s="103" t="str">
        <f>IFERROR(__xludf.DUMMYFUNCTION("""COMPUTED_VALUE"""),"SpFLMP402134")</f>
        <v>SpFLMP402134</v>
      </c>
      <c r="E868" s="103"/>
      <c r="F868" s="103"/>
      <c r="G868" s="103" t="str">
        <f>IFERROR(__xludf.DUMMYFUNCTION("""COMPUTED_VALUE"""),"Negative")</f>
        <v>Negative</v>
      </c>
      <c r="H868" s="131" t="str">
        <f>IFERROR(__xludf.DUMMYFUNCTION("""COMPUTED_VALUE"""),"Negative")</f>
        <v>Negative</v>
      </c>
      <c r="I868" s="468">
        <f>IFERROR(__xludf.DUMMYFUNCTION("""COMPUTED_VALUE"""),44630.0)</f>
        <v>44630</v>
      </c>
      <c r="J868" s="470">
        <f>IFERROR(__xludf.DUMMYFUNCTION("""COMPUTED_VALUE"""),0.43258101851851855)</f>
        <v>0.4325810185</v>
      </c>
      <c r="K868" s="16"/>
      <c r="L868" s="8"/>
      <c r="M868" s="69"/>
      <c r="N868" s="69">
        <f>IFERROR(__xludf.DUMMYFUNCTION("""COMPUTED_VALUE"""),2.0)</f>
        <v>2</v>
      </c>
      <c r="O868" s="69" t="str">
        <f t="shared" si="3"/>
        <v/>
      </c>
      <c r="P868" s="471">
        <f>IFERROR(__xludf.DUMMYFUNCTION("""COMPUTED_VALUE"""),0.0)</f>
        <v>0</v>
      </c>
      <c r="Q868" s="274" t="str">
        <f>VLOOKUP($B868,'Run Reconcile'!B$2:O2488,14,FALSE)</f>
        <v/>
      </c>
      <c r="R868" s="472" t="str">
        <f t="array" ref="R868">IF($Q868, INDEX('Run Reconcile'!A$2:A2488,MATCH(B868,'Run Reconcile'!B$2:B2488,0),1),IFERROR(0/0,""))</f>
        <v/>
      </c>
      <c r="S868" s="473" t="str">
        <f t="shared" si="694"/>
        <v/>
      </c>
      <c r="T868" s="473" t="str">
        <f t="shared" si="698"/>
        <v/>
      </c>
      <c r="U868" s="275" t="str">
        <f t="array" ref="U868">IF(ISBLANK($R868), INDEX('Run Reconcile'!A$2:A2488, MATCH($B868, 'Run Reconcile'!B$2:B2488, 0)+Z868, 1), IFERROR(0/0,""))
</f>
        <v>RUN-FLMP_2022-03-10_RFR-098</v>
      </c>
      <c r="V868" s="474" t="str">
        <f t="shared" si="5"/>
        <v>RUN-FLMP_2022-03-10_RFR-098</v>
      </c>
      <c r="Y868" s="89" t="str">
        <f t="shared" si="867"/>
        <v/>
      </c>
      <c r="Z868" s="60" t="str">
        <f t="shared" si="7"/>
        <v/>
      </c>
      <c r="AA868" s="60" t="str">
        <f t="shared" si="8"/>
        <v/>
      </c>
      <c r="AB868" s="60" t="str">
        <f t="shared" si="9"/>
        <v/>
      </c>
      <c r="AC868" s="30" t="str">
        <f t="shared" ref="AC868:AD868" si="1224">IF(_xlfn.ISFORMULA(S868),IFERROR(0/0,""),TRUE)</f>
        <v/>
      </c>
      <c r="AD868" s="30" t="str">
        <f t="shared" si="1224"/>
        <v/>
      </c>
      <c r="AE868" s="475" t="str">
        <f>IFERROR(__xludf.DUMMYFUNCTION("""COMPUTED_VALUE"""),"CRLN")</f>
        <v>CRLN</v>
      </c>
      <c r="AF868" s="476"/>
      <c r="AG868" s="474" t="s">
        <v>186</v>
      </c>
      <c r="AH868" s="138" t="str">
        <f t="shared" si="11"/>
        <v/>
      </c>
    </row>
    <row r="869">
      <c r="A869" s="103" t="str">
        <f>IFERROR(__xludf.DUMMYFUNCTION("""COMPUTED_VALUE"""),"FLB7183")</f>
        <v>FLB7183</v>
      </c>
      <c r="B869" s="468">
        <f>IFERROR(__xludf.DUMMYFUNCTION("""COMPUTED_VALUE"""),44630.0)</f>
        <v>44630</v>
      </c>
      <c r="C869" s="469">
        <f>IFERROR(__xludf.DUMMYFUNCTION("""COMPUTED_VALUE"""),0.36038194444444444)</f>
        <v>0.3603819444</v>
      </c>
      <c r="D869" s="103" t="str">
        <f>IFERROR(__xludf.DUMMYFUNCTION("""COMPUTED_VALUE"""),"SpFLMP777132")</f>
        <v>SpFLMP777132</v>
      </c>
      <c r="E869" s="103"/>
      <c r="F869" s="103"/>
      <c r="G869" s="103" t="str">
        <f>IFERROR(__xludf.DUMMYFUNCTION("""COMPUTED_VALUE"""),"Negative")</f>
        <v>Negative</v>
      </c>
      <c r="H869" s="131" t="str">
        <f>IFERROR(__xludf.DUMMYFUNCTION("""COMPUTED_VALUE"""),"Negative")</f>
        <v>Negative</v>
      </c>
      <c r="I869" s="468">
        <f>IFERROR(__xludf.DUMMYFUNCTION("""COMPUTED_VALUE"""),44630.0)</f>
        <v>44630</v>
      </c>
      <c r="J869" s="470">
        <f>IFERROR(__xludf.DUMMYFUNCTION("""COMPUTED_VALUE"""),0.43258101851851855)</f>
        <v>0.4325810185</v>
      </c>
      <c r="K869" s="16"/>
      <c r="L869" s="8"/>
      <c r="M869" s="69"/>
      <c r="N869" s="69">
        <f>IFERROR(__xludf.DUMMYFUNCTION("""COMPUTED_VALUE"""),1.0)</f>
        <v>1</v>
      </c>
      <c r="O869" s="69" t="str">
        <f t="shared" si="3"/>
        <v/>
      </c>
      <c r="P869" s="471">
        <f>IFERROR(__xludf.DUMMYFUNCTION("""COMPUTED_VALUE"""),0.0)</f>
        <v>0</v>
      </c>
      <c r="Q869" s="274" t="str">
        <f>VLOOKUP($B869,'Run Reconcile'!B$2:O2488,14,FALSE)</f>
        <v/>
      </c>
      <c r="R869" s="472" t="str">
        <f t="array" ref="R869">IF($Q869, INDEX('Run Reconcile'!A$2:A2488,MATCH(B869,'Run Reconcile'!B$2:B2488,0),1),IFERROR(0/0,""))</f>
        <v/>
      </c>
      <c r="S869" s="473" t="str">
        <f t="shared" si="694"/>
        <v/>
      </c>
      <c r="T869" s="473" t="str">
        <f t="shared" si="698"/>
        <v/>
      </c>
      <c r="U869" s="275" t="str">
        <f t="array" ref="U869">IF(ISBLANK($R869), INDEX('Run Reconcile'!A$2:A2488, MATCH($B869, 'Run Reconcile'!B$2:B2488, 0)+Z869, 1), IFERROR(0/0,""))
</f>
        <v>RUN-FLMP_2022-03-10_RFR-098</v>
      </c>
      <c r="V869" s="474" t="str">
        <f t="shared" si="5"/>
        <v>RUN-FLMP_2022-03-10_RFR-098</v>
      </c>
      <c r="Y869" s="89" t="str">
        <f t="shared" si="867"/>
        <v/>
      </c>
      <c r="Z869" s="60" t="str">
        <f t="shared" si="7"/>
        <v/>
      </c>
      <c r="AA869" s="60" t="str">
        <f t="shared" si="8"/>
        <v/>
      </c>
      <c r="AB869" s="60" t="str">
        <f t="shared" si="9"/>
        <v/>
      </c>
      <c r="AC869" s="30" t="str">
        <f t="shared" ref="AC869:AD869" si="1225">IF(_xlfn.ISFORMULA(S869),IFERROR(0/0,""),TRUE)</f>
        <v/>
      </c>
      <c r="AD869" s="30" t="str">
        <f t="shared" si="1225"/>
        <v/>
      </c>
      <c r="AE869" s="475" t="str">
        <f>IFERROR(__xludf.DUMMYFUNCTION("""COMPUTED_VALUE"""),"CRLN")</f>
        <v>CRLN</v>
      </c>
      <c r="AF869" s="476"/>
      <c r="AG869" s="474" t="s">
        <v>186</v>
      </c>
      <c r="AH869" s="138" t="str">
        <f t="shared" si="11"/>
        <v/>
      </c>
    </row>
    <row r="870">
      <c r="A870" s="103" t="str">
        <f>IFERROR(__xludf.DUMMYFUNCTION("""COMPUTED_VALUE"""),"FLB4950")</f>
        <v>FLB4950</v>
      </c>
      <c r="B870" s="468">
        <f>IFERROR(__xludf.DUMMYFUNCTION("""COMPUTED_VALUE"""),44630.0)</f>
        <v>44630</v>
      </c>
      <c r="C870" s="469">
        <f>IFERROR(__xludf.DUMMYFUNCTION("""COMPUTED_VALUE"""),0.3643634259259259)</f>
        <v>0.3643634259</v>
      </c>
      <c r="D870" s="103" t="str">
        <f>IFERROR(__xludf.DUMMYFUNCTION("""COMPUTED_VALUE"""),"SpFLMP572444")</f>
        <v>SpFLMP572444</v>
      </c>
      <c r="E870" s="103"/>
      <c r="F870" s="103"/>
      <c r="G870" s="103" t="str">
        <f>IFERROR(__xludf.DUMMYFUNCTION("""COMPUTED_VALUE"""),"Negative")</f>
        <v>Negative</v>
      </c>
      <c r="H870" s="131" t="str">
        <f>IFERROR(__xludf.DUMMYFUNCTION("""COMPUTED_VALUE"""),"Negative")</f>
        <v>Negative</v>
      </c>
      <c r="I870" s="468">
        <f>IFERROR(__xludf.DUMMYFUNCTION("""COMPUTED_VALUE"""),44630.0)</f>
        <v>44630</v>
      </c>
      <c r="J870" s="470">
        <f>IFERROR(__xludf.DUMMYFUNCTION("""COMPUTED_VALUE"""),0.43258101851851855)</f>
        <v>0.4325810185</v>
      </c>
      <c r="K870" s="16"/>
      <c r="L870" s="8"/>
      <c r="M870" s="69"/>
      <c r="N870" s="69">
        <f>IFERROR(__xludf.DUMMYFUNCTION("""COMPUTED_VALUE"""),3.0)</f>
        <v>3</v>
      </c>
      <c r="O870" s="69" t="str">
        <f t="shared" si="3"/>
        <v/>
      </c>
      <c r="P870" s="471">
        <f>IFERROR(__xludf.DUMMYFUNCTION("""COMPUTED_VALUE"""),0.0)</f>
        <v>0</v>
      </c>
      <c r="Q870" s="274" t="str">
        <f>VLOOKUP($B870,'Run Reconcile'!B$2:O2488,14,FALSE)</f>
        <v/>
      </c>
      <c r="R870" s="472" t="str">
        <f t="array" ref="R870">IF($Q870, INDEX('Run Reconcile'!A$2:A2488,MATCH(B870,'Run Reconcile'!B$2:B2488,0),1),IFERROR(0/0,""))</f>
        <v/>
      </c>
      <c r="S870" s="473" t="str">
        <f t="shared" si="694"/>
        <v/>
      </c>
      <c r="T870" s="473" t="str">
        <f t="shared" si="698"/>
        <v/>
      </c>
      <c r="U870" s="275" t="str">
        <f t="array" ref="U870">IF(ISBLANK($R870), INDEX('Run Reconcile'!A$2:A2488, MATCH($B870, 'Run Reconcile'!B$2:B2488, 0)+Z870, 1), IFERROR(0/0,""))
</f>
        <v>RUN-FLMP_2022-03-10_RFR-098</v>
      </c>
      <c r="V870" s="474" t="str">
        <f t="shared" si="5"/>
        <v>RUN-FLMP_2022-03-10_RFR-098</v>
      </c>
      <c r="Y870" s="89" t="str">
        <f t="shared" si="867"/>
        <v/>
      </c>
      <c r="Z870" s="60" t="str">
        <f t="shared" si="7"/>
        <v/>
      </c>
      <c r="AA870" s="60" t="str">
        <f t="shared" si="8"/>
        <v/>
      </c>
      <c r="AB870" s="60" t="str">
        <f t="shared" si="9"/>
        <v/>
      </c>
      <c r="AC870" s="30" t="str">
        <f t="shared" ref="AC870:AD870" si="1226">IF(_xlfn.ISFORMULA(S870),IFERROR(0/0,""),TRUE)</f>
        <v/>
      </c>
      <c r="AD870" s="30" t="str">
        <f t="shared" si="1226"/>
        <v/>
      </c>
      <c r="AE870" s="475" t="str">
        <f>IFERROR(__xludf.DUMMYFUNCTION("""COMPUTED_VALUE"""),"CRLN")</f>
        <v>CRLN</v>
      </c>
      <c r="AF870" s="476"/>
      <c r="AG870" s="474" t="s">
        <v>186</v>
      </c>
      <c r="AH870" s="138" t="str">
        <f t="shared" si="11"/>
        <v/>
      </c>
    </row>
    <row r="871">
      <c r="A871" s="103" t="str">
        <f>IFERROR(__xludf.DUMMYFUNCTION("""COMPUTED_VALUE"""),"FLB6874")</f>
        <v>FLB6874</v>
      </c>
      <c r="B871" s="468">
        <f>IFERROR(__xludf.DUMMYFUNCTION("""COMPUTED_VALUE"""),44630.0)</f>
        <v>44630</v>
      </c>
      <c r="C871" s="469">
        <f>IFERROR(__xludf.DUMMYFUNCTION("""COMPUTED_VALUE"""),0.36635416666666665)</f>
        <v>0.3663541667</v>
      </c>
      <c r="D871" s="103" t="str">
        <f>IFERROR(__xludf.DUMMYFUNCTION("""COMPUTED_VALUE"""),"SpFLMP946259")</f>
        <v>SpFLMP946259</v>
      </c>
      <c r="E871" s="103"/>
      <c r="F871" s="103"/>
      <c r="G871" s="103" t="str">
        <f>IFERROR(__xludf.DUMMYFUNCTION("""COMPUTED_VALUE"""),"Negative")</f>
        <v>Negative</v>
      </c>
      <c r="H871" s="131" t="str">
        <f>IFERROR(__xludf.DUMMYFUNCTION("""COMPUTED_VALUE"""),"Negative")</f>
        <v>Negative</v>
      </c>
      <c r="I871" s="468">
        <f>IFERROR(__xludf.DUMMYFUNCTION("""COMPUTED_VALUE"""),44630.0)</f>
        <v>44630</v>
      </c>
      <c r="J871" s="470">
        <f>IFERROR(__xludf.DUMMYFUNCTION("""COMPUTED_VALUE"""),0.43258101851851855)</f>
        <v>0.4325810185</v>
      </c>
      <c r="K871" s="16"/>
      <c r="L871" s="8"/>
      <c r="M871" s="69"/>
      <c r="N871" s="69">
        <f>IFERROR(__xludf.DUMMYFUNCTION("""COMPUTED_VALUE"""),2.0)</f>
        <v>2</v>
      </c>
      <c r="O871" s="69" t="str">
        <f t="shared" si="3"/>
        <v/>
      </c>
      <c r="P871" s="471">
        <f>IFERROR(__xludf.DUMMYFUNCTION("""COMPUTED_VALUE"""),0.0)</f>
        <v>0</v>
      </c>
      <c r="Q871" s="274" t="str">
        <f>VLOOKUP($B871,'Run Reconcile'!B$2:O2488,14,FALSE)</f>
        <v/>
      </c>
      <c r="R871" s="472" t="str">
        <f t="array" ref="R871">IF($Q871, INDEX('Run Reconcile'!A$2:A2488,MATCH(B871,'Run Reconcile'!B$2:B2488,0),1),IFERROR(0/0,""))</f>
        <v/>
      </c>
      <c r="S871" s="473" t="str">
        <f t="shared" si="694"/>
        <v/>
      </c>
      <c r="T871" s="473" t="str">
        <f t="shared" si="698"/>
        <v/>
      </c>
      <c r="U871" s="275" t="str">
        <f t="array" ref="U871">IF(ISBLANK($R871), INDEX('Run Reconcile'!A$2:A2488, MATCH($B871, 'Run Reconcile'!B$2:B2488, 0)+Z871, 1), IFERROR(0/0,""))
</f>
        <v>RUN-FLMP_2022-03-10_RFR-098</v>
      </c>
      <c r="V871" s="474" t="str">
        <f t="shared" si="5"/>
        <v>RUN-FLMP_2022-03-10_RFR-098</v>
      </c>
      <c r="Y871" s="89" t="str">
        <f t="shared" si="867"/>
        <v/>
      </c>
      <c r="Z871" s="60" t="str">
        <f t="shared" si="7"/>
        <v/>
      </c>
      <c r="AA871" s="60" t="str">
        <f t="shared" si="8"/>
        <v/>
      </c>
      <c r="AB871" s="60" t="str">
        <f t="shared" si="9"/>
        <v/>
      </c>
      <c r="AC871" s="30" t="str">
        <f t="shared" ref="AC871:AD871" si="1227">IF(_xlfn.ISFORMULA(S871),IFERROR(0/0,""),TRUE)</f>
        <v/>
      </c>
      <c r="AD871" s="30" t="str">
        <f t="shared" si="1227"/>
        <v/>
      </c>
      <c r="AE871" s="475" t="str">
        <f>IFERROR(__xludf.DUMMYFUNCTION("""COMPUTED_VALUE"""),"CRLN")</f>
        <v>CRLN</v>
      </c>
      <c r="AF871" s="476"/>
      <c r="AG871" s="474" t="s">
        <v>186</v>
      </c>
      <c r="AH871" s="138" t="str">
        <f t="shared" si="11"/>
        <v/>
      </c>
    </row>
    <row r="872">
      <c r="A872" s="103" t="str">
        <f>IFERROR(__xludf.DUMMYFUNCTION("""COMPUTED_VALUE"""),"FLT1201")</f>
        <v>FLT1201</v>
      </c>
      <c r="B872" s="468">
        <f>IFERROR(__xludf.DUMMYFUNCTION("""COMPUTED_VALUE"""),44630.0)</f>
        <v>44630</v>
      </c>
      <c r="C872" s="469">
        <f>IFERROR(__xludf.DUMMYFUNCTION("""COMPUTED_VALUE"""),0.3676157407407407)</f>
        <v>0.3676157407</v>
      </c>
      <c r="D872" s="103" t="str">
        <f>IFERROR(__xludf.DUMMYFUNCTION("""COMPUTED_VALUE"""),"SpFLMP496039")</f>
        <v>SpFLMP496039</v>
      </c>
      <c r="E872" s="103"/>
      <c r="F872" s="103"/>
      <c r="G872" s="103" t="str">
        <f>IFERROR(__xludf.DUMMYFUNCTION("""COMPUTED_VALUE"""),"Negative")</f>
        <v>Negative</v>
      </c>
      <c r="H872" s="131" t="str">
        <f>IFERROR(__xludf.DUMMYFUNCTION("""COMPUTED_VALUE"""),"Negative")</f>
        <v>Negative</v>
      </c>
      <c r="I872" s="468">
        <f>IFERROR(__xludf.DUMMYFUNCTION("""COMPUTED_VALUE"""),44630.0)</f>
        <v>44630</v>
      </c>
      <c r="J872" s="470">
        <f>IFERROR(__xludf.DUMMYFUNCTION("""COMPUTED_VALUE"""),0.4325925925925926)</f>
        <v>0.4325925926</v>
      </c>
      <c r="K872" s="16"/>
      <c r="L872" s="8"/>
      <c r="M872" s="69"/>
      <c r="N872" s="69">
        <f>IFERROR(__xludf.DUMMYFUNCTION("""COMPUTED_VALUE"""),1.0)</f>
        <v>1</v>
      </c>
      <c r="O872" s="69" t="str">
        <f t="shared" si="3"/>
        <v/>
      </c>
      <c r="P872" s="471">
        <f>IFERROR(__xludf.DUMMYFUNCTION("""COMPUTED_VALUE"""),0.0)</f>
        <v>0</v>
      </c>
      <c r="Q872" s="274" t="str">
        <f>VLOOKUP($B872,'Run Reconcile'!B$2:O2488,14,FALSE)</f>
        <v/>
      </c>
      <c r="R872" s="472" t="str">
        <f t="array" ref="R872">IF($Q872, INDEX('Run Reconcile'!A$2:A2488,MATCH(B872,'Run Reconcile'!B$2:B2488,0),1),IFERROR(0/0,""))</f>
        <v/>
      </c>
      <c r="S872" s="473" t="str">
        <f t="shared" si="694"/>
        <v/>
      </c>
      <c r="T872" s="473" t="str">
        <f t="shared" si="698"/>
        <v/>
      </c>
      <c r="U872" s="275" t="str">
        <f t="array" ref="U872">IF(ISBLANK($R872), INDEX('Run Reconcile'!A$2:A2488, MATCH($B872, 'Run Reconcile'!B$2:B2488, 0)+Z872, 1), IFERROR(0/0,""))
</f>
        <v>RUN-FLMP_2022-03-10_RFR-098</v>
      </c>
      <c r="V872" s="474" t="str">
        <f t="shared" si="5"/>
        <v>RUN-FLMP_2022-03-10_RFR-098</v>
      </c>
      <c r="Y872" s="89" t="str">
        <f t="shared" si="867"/>
        <v/>
      </c>
      <c r="Z872" s="60" t="str">
        <f t="shared" si="7"/>
        <v/>
      </c>
      <c r="AA872" s="60" t="str">
        <f t="shared" si="8"/>
        <v/>
      </c>
      <c r="AB872" s="60" t="str">
        <f t="shared" si="9"/>
        <v/>
      </c>
      <c r="AC872" s="30" t="str">
        <f t="shared" ref="AC872:AD872" si="1228">IF(_xlfn.ISFORMULA(S872),IFERROR(0/0,""),TRUE)</f>
        <v/>
      </c>
      <c r="AD872" s="30" t="str">
        <f t="shared" si="1228"/>
        <v/>
      </c>
      <c r="AE872" s="475" t="str">
        <f>IFERROR(__xludf.DUMMYFUNCTION("""COMPUTED_VALUE"""),"CRLN")</f>
        <v>CRLN</v>
      </c>
      <c r="AF872" s="476"/>
      <c r="AG872" s="474" t="s">
        <v>186</v>
      </c>
      <c r="AH872" s="138" t="str">
        <f t="shared" si="11"/>
        <v/>
      </c>
    </row>
    <row r="873">
      <c r="A873" s="103" t="str">
        <f>IFERROR(__xludf.DUMMYFUNCTION("""COMPUTED_VALUE"""),"FLB4960")</f>
        <v>FLB4960</v>
      </c>
      <c r="B873" s="468">
        <f>IFERROR(__xludf.DUMMYFUNCTION("""COMPUTED_VALUE"""),44630.0)</f>
        <v>44630</v>
      </c>
      <c r="C873" s="469">
        <f>IFERROR(__xludf.DUMMYFUNCTION("""COMPUTED_VALUE"""),0.3704398148148148)</f>
        <v>0.3704398148</v>
      </c>
      <c r="D873" s="103" t="str">
        <f>IFERROR(__xludf.DUMMYFUNCTION("""COMPUTED_VALUE"""),"SpFLMP684798")</f>
        <v>SpFLMP684798</v>
      </c>
      <c r="E873" s="103"/>
      <c r="F873" s="103"/>
      <c r="G873" s="103" t="str">
        <f>IFERROR(__xludf.DUMMYFUNCTION("""COMPUTED_VALUE"""),"Negative")</f>
        <v>Negative</v>
      </c>
      <c r="H873" s="131" t="str">
        <f>IFERROR(__xludf.DUMMYFUNCTION("""COMPUTED_VALUE"""),"Negative")</f>
        <v>Negative</v>
      </c>
      <c r="I873" s="468">
        <f>IFERROR(__xludf.DUMMYFUNCTION("""COMPUTED_VALUE"""),44630.0)</f>
        <v>44630</v>
      </c>
      <c r="J873" s="470">
        <f>IFERROR(__xludf.DUMMYFUNCTION("""COMPUTED_VALUE"""),0.4325925925925926)</f>
        <v>0.4325925926</v>
      </c>
      <c r="K873" s="16"/>
      <c r="L873" s="8"/>
      <c r="M873" s="69"/>
      <c r="N873" s="69">
        <f>IFERROR(__xludf.DUMMYFUNCTION("""COMPUTED_VALUE"""),4.0)</f>
        <v>4</v>
      </c>
      <c r="O873" s="69" t="str">
        <f t="shared" si="3"/>
        <v/>
      </c>
      <c r="P873" s="471">
        <f>IFERROR(__xludf.DUMMYFUNCTION("""COMPUTED_VALUE"""),0.0)</f>
        <v>0</v>
      </c>
      <c r="Q873" s="274" t="str">
        <f>VLOOKUP($B873,'Run Reconcile'!B$2:O2488,14,FALSE)</f>
        <v/>
      </c>
      <c r="R873" s="472" t="str">
        <f t="array" ref="R873">IF($Q873, INDEX('Run Reconcile'!A$2:A2488,MATCH(B873,'Run Reconcile'!B$2:B2488,0),1),IFERROR(0/0,""))</f>
        <v/>
      </c>
      <c r="S873" s="473" t="str">
        <f t="shared" si="694"/>
        <v/>
      </c>
      <c r="T873" s="473" t="str">
        <f t="shared" si="698"/>
        <v/>
      </c>
      <c r="U873" s="275" t="str">
        <f t="array" ref="U873">IF(ISBLANK($R873), INDEX('Run Reconcile'!A$2:A2488, MATCH($B873, 'Run Reconcile'!B$2:B2488, 0)+Z873, 1), IFERROR(0/0,""))
</f>
        <v>RUN-FLMP_2022-03-10_RFR-098</v>
      </c>
      <c r="V873" s="474" t="str">
        <f t="shared" si="5"/>
        <v>RUN-FLMP_2022-03-10_RFR-098</v>
      </c>
      <c r="Y873" s="89" t="str">
        <f t="shared" si="867"/>
        <v/>
      </c>
      <c r="Z873" s="60" t="str">
        <f t="shared" si="7"/>
        <v/>
      </c>
      <c r="AA873" s="60" t="str">
        <f t="shared" si="8"/>
        <v/>
      </c>
      <c r="AB873" s="60" t="str">
        <f t="shared" si="9"/>
        <v/>
      </c>
      <c r="AC873" s="30" t="str">
        <f t="shared" ref="AC873:AD873" si="1229">IF(_xlfn.ISFORMULA(S873),IFERROR(0/0,""),TRUE)</f>
        <v/>
      </c>
      <c r="AD873" s="30" t="str">
        <f t="shared" si="1229"/>
        <v/>
      </c>
      <c r="AE873" s="475" t="str">
        <f>IFERROR(__xludf.DUMMYFUNCTION("""COMPUTED_VALUE"""),"CRLN")</f>
        <v>CRLN</v>
      </c>
      <c r="AF873" s="476"/>
      <c r="AG873" s="474" t="s">
        <v>186</v>
      </c>
      <c r="AH873" s="138" t="str">
        <f t="shared" si="11"/>
        <v/>
      </c>
    </row>
    <row r="874">
      <c r="A874" s="103" t="str">
        <f>IFERROR(__xludf.DUMMYFUNCTION("""COMPUTED_VALUE"""),"FLB7157")</f>
        <v>FLB7157</v>
      </c>
      <c r="B874" s="468">
        <f>IFERROR(__xludf.DUMMYFUNCTION("""COMPUTED_VALUE"""),44630.0)</f>
        <v>44630</v>
      </c>
      <c r="C874" s="469">
        <f>IFERROR(__xludf.DUMMYFUNCTION("""COMPUTED_VALUE"""),0.3754050925925926)</f>
        <v>0.3754050926</v>
      </c>
      <c r="D874" s="103" t="str">
        <f>IFERROR(__xludf.DUMMYFUNCTION("""COMPUTED_VALUE"""),"SpFLMP604497")</f>
        <v>SpFLMP604497</v>
      </c>
      <c r="E874" s="103"/>
      <c r="F874" s="103"/>
      <c r="G874" s="103" t="str">
        <f>IFERROR(__xludf.DUMMYFUNCTION("""COMPUTED_VALUE"""),"Negative")</f>
        <v>Negative</v>
      </c>
      <c r="H874" s="131" t="str">
        <f>IFERROR(__xludf.DUMMYFUNCTION("""COMPUTED_VALUE"""),"Negative")</f>
        <v>Negative</v>
      </c>
      <c r="I874" s="468">
        <f>IFERROR(__xludf.DUMMYFUNCTION("""COMPUTED_VALUE"""),44630.0)</f>
        <v>44630</v>
      </c>
      <c r="J874" s="470">
        <f>IFERROR(__xludf.DUMMYFUNCTION("""COMPUTED_VALUE"""),0.4325925925925926)</f>
        <v>0.4325925926</v>
      </c>
      <c r="K874" s="16"/>
      <c r="L874" s="8"/>
      <c r="M874" s="69"/>
      <c r="N874" s="69">
        <f>IFERROR(__xludf.DUMMYFUNCTION("""COMPUTED_VALUE"""),4.0)</f>
        <v>4</v>
      </c>
      <c r="O874" s="69" t="str">
        <f t="shared" si="3"/>
        <v/>
      </c>
      <c r="P874" s="471">
        <f>IFERROR(__xludf.DUMMYFUNCTION("""COMPUTED_VALUE"""),0.0)</f>
        <v>0</v>
      </c>
      <c r="Q874" s="274" t="str">
        <f>VLOOKUP($B874,'Run Reconcile'!B$2:O2488,14,FALSE)</f>
        <v/>
      </c>
      <c r="R874" s="472" t="str">
        <f t="array" ref="R874">IF($Q874, INDEX('Run Reconcile'!A$2:A2488,MATCH(B874,'Run Reconcile'!B$2:B2488,0),1),IFERROR(0/0,""))</f>
        <v/>
      </c>
      <c r="S874" s="473" t="str">
        <f t="shared" si="694"/>
        <v/>
      </c>
      <c r="T874" s="473" t="str">
        <f t="shared" si="698"/>
        <v/>
      </c>
      <c r="U874" s="275" t="str">
        <f t="array" ref="U874">IF(ISBLANK($R874), INDEX('Run Reconcile'!A$2:A2488, MATCH($B874, 'Run Reconcile'!B$2:B2488, 0)+Z874, 1), IFERROR(0/0,""))
</f>
        <v>RUN-FLMP_2022-03-10_RFR-098</v>
      </c>
      <c r="V874" s="474" t="str">
        <f t="shared" si="5"/>
        <v>RUN-FLMP_2022-03-10_RFR-098</v>
      </c>
      <c r="Y874" s="89" t="str">
        <f t="shared" si="867"/>
        <v/>
      </c>
      <c r="Z874" s="60" t="str">
        <f t="shared" si="7"/>
        <v/>
      </c>
      <c r="AA874" s="60" t="str">
        <f t="shared" si="8"/>
        <v/>
      </c>
      <c r="AB874" s="60" t="str">
        <f t="shared" si="9"/>
        <v/>
      </c>
      <c r="AC874" s="30" t="str">
        <f t="shared" ref="AC874:AD874" si="1230">IF(_xlfn.ISFORMULA(S874),IFERROR(0/0,""),TRUE)</f>
        <v/>
      </c>
      <c r="AD874" s="30" t="str">
        <f t="shared" si="1230"/>
        <v/>
      </c>
      <c r="AE874" s="475" t="str">
        <f>IFERROR(__xludf.DUMMYFUNCTION("""COMPUTED_VALUE"""),"CRLN")</f>
        <v>CRLN</v>
      </c>
      <c r="AF874" s="476"/>
      <c r="AG874" s="474" t="s">
        <v>186</v>
      </c>
      <c r="AH874" s="138" t="str">
        <f t="shared" si="11"/>
        <v/>
      </c>
    </row>
    <row r="875">
      <c r="A875" s="477" t="str">
        <f>IFERROR(__xludf.DUMMYFUNCTION("""COMPUTED_VALUE"""),"MA586")</f>
        <v>MA586</v>
      </c>
      <c r="B875" s="478">
        <f>IFERROR(__xludf.DUMMYFUNCTION("""COMPUTED_VALUE"""),44632.0)</f>
        <v>44632</v>
      </c>
      <c r="C875" s="479">
        <f>IFERROR(__xludf.DUMMYFUNCTION("""COMPUTED_VALUE"""),0.3415856481481481)</f>
        <v>0.3415856481</v>
      </c>
      <c r="D875" s="477" t="str">
        <f>IFERROR(__xludf.DUMMYFUNCTION("""COMPUTED_VALUE"""),"SpFLMP737812")</f>
        <v>SpFLMP737812</v>
      </c>
      <c r="E875" s="477"/>
      <c r="F875" s="477"/>
      <c r="G875" s="477" t="str">
        <f>IFERROR(__xludf.DUMMYFUNCTION("""COMPUTED_VALUE"""),"Negative")</f>
        <v>Negative</v>
      </c>
      <c r="H875" s="480" t="str">
        <f>IFERROR(__xludf.DUMMYFUNCTION("""COMPUTED_VALUE"""),"Negative")</f>
        <v>Negative</v>
      </c>
      <c r="I875" s="478">
        <f>IFERROR(__xludf.DUMMYFUNCTION("""COMPUTED_VALUE"""),44632.0)</f>
        <v>44632</v>
      </c>
      <c r="J875" s="481">
        <f>IFERROR(__xludf.DUMMYFUNCTION("""COMPUTED_VALUE"""),0.503275462962963)</f>
        <v>0.503275463</v>
      </c>
      <c r="K875" s="156"/>
      <c r="L875" s="19"/>
      <c r="M875" s="482"/>
      <c r="N875" s="482">
        <f>IFERROR(__xludf.DUMMYFUNCTION("""COMPUTED_VALUE"""),4.0)</f>
        <v>4</v>
      </c>
      <c r="O875" s="482" t="b">
        <f t="shared" si="3"/>
        <v>1</v>
      </c>
      <c r="P875" s="483">
        <f>IFERROR(__xludf.DUMMYFUNCTION("""COMPUTED_VALUE"""),0.0)</f>
        <v>0</v>
      </c>
      <c r="Q875" s="352" t="b">
        <f>VLOOKUP($B875,'Run Reconcile'!B$2:O2488,14,FALSE)</f>
        <v>1</v>
      </c>
      <c r="R875" s="484" t="str">
        <f t="array" ref="R875">IF($Q875, INDEX('Run Reconcile'!A$2:A2488,MATCH(B875,'Run Reconcile'!B$2:B2488,0),1),IFERROR(0/0,""))</f>
        <v>RUN-FLMP_2022-03-12_RFR-099</v>
      </c>
      <c r="S875" s="485" t="str">
        <f t="shared" si="694"/>
        <v/>
      </c>
      <c r="T875" s="485" t="str">
        <f t="shared" si="698"/>
        <v/>
      </c>
      <c r="U875" s="353" t="str">
        <f t="array" ref="U875">IF(ISBLANK($R875), INDEX('Run Reconcile'!A$2:A2488, MATCH($B875, 'Run Reconcile'!B$2:B2488, 0)+Z875, 1), IFERROR(0/0,""))
</f>
        <v/>
      </c>
      <c r="V875" s="486" t="str">
        <f t="shared" si="5"/>
        <v>RUN-FLMP_2022-03-12_RFR-099</v>
      </c>
      <c r="W875" s="19"/>
      <c r="X875" s="19"/>
      <c r="Y875" s="89" t="str">
        <f t="shared" si="867"/>
        <v/>
      </c>
      <c r="Z875" s="60" t="str">
        <f t="shared" si="7"/>
        <v/>
      </c>
      <c r="AA875" s="60" t="str">
        <f t="shared" si="8"/>
        <v/>
      </c>
      <c r="AB875" s="60" t="str">
        <f t="shared" si="9"/>
        <v/>
      </c>
      <c r="AC875" s="158" t="str">
        <f t="shared" ref="AC875:AD875" si="1231">IF(_xlfn.ISFORMULA(S875),IFERROR(0/0,""),TRUE)</f>
        <v/>
      </c>
      <c r="AD875" s="158" t="str">
        <f t="shared" si="1231"/>
        <v/>
      </c>
      <c r="AE875" s="488" t="str">
        <f>IFERROR(__xludf.DUMMYFUNCTION("""COMPUTED_VALUE"""),"CRLN")</f>
        <v>CRLN</v>
      </c>
      <c r="AF875" s="489"/>
      <c r="AG875" s="486" t="s">
        <v>187</v>
      </c>
      <c r="AH875" s="138" t="str">
        <f t="shared" si="11"/>
        <v/>
      </c>
      <c r="AI875" s="19"/>
      <c r="AJ875" s="19"/>
      <c r="AK875" s="19"/>
      <c r="AL875" s="19"/>
      <c r="AM875" s="19"/>
    </row>
    <row r="876">
      <c r="A876" s="103" t="str">
        <f>IFERROR(__xludf.DUMMYFUNCTION("""COMPUTED_VALUE"""),"MA718")</f>
        <v>MA718</v>
      </c>
      <c r="B876" s="468">
        <f>IFERROR(__xludf.DUMMYFUNCTION("""COMPUTED_VALUE"""),44632.0)</f>
        <v>44632</v>
      </c>
      <c r="C876" s="469">
        <f>IFERROR(__xludf.DUMMYFUNCTION("""COMPUTED_VALUE"""),0.4578935185185185)</f>
        <v>0.4578935185</v>
      </c>
      <c r="D876" s="103" t="str">
        <f>IFERROR(__xludf.DUMMYFUNCTION("""COMPUTED_VALUE"""),"SpFLMP659315")</f>
        <v>SpFLMP659315</v>
      </c>
      <c r="E876" s="103"/>
      <c r="F876" s="103"/>
      <c r="G876" s="103" t="str">
        <f>IFERROR(__xludf.DUMMYFUNCTION("""COMPUTED_VALUE"""),"Negative")</f>
        <v>Negative</v>
      </c>
      <c r="H876" s="131" t="str">
        <f>IFERROR(__xludf.DUMMYFUNCTION("""COMPUTED_VALUE"""),"Negative")</f>
        <v>Negative</v>
      </c>
      <c r="I876" s="468">
        <f>IFERROR(__xludf.DUMMYFUNCTION("""COMPUTED_VALUE"""),44632.0)</f>
        <v>44632</v>
      </c>
      <c r="J876" s="470">
        <f>IFERROR(__xludf.DUMMYFUNCTION("""COMPUTED_VALUE"""),0.503275462962963)</f>
        <v>0.503275463</v>
      </c>
      <c r="K876" s="16"/>
      <c r="L876" s="8"/>
      <c r="M876" s="69"/>
      <c r="N876" s="69">
        <f>IFERROR(__xludf.DUMMYFUNCTION("""COMPUTED_VALUE"""),4.0)</f>
        <v>4</v>
      </c>
      <c r="O876" s="69" t="str">
        <f t="shared" si="3"/>
        <v/>
      </c>
      <c r="P876" s="471">
        <f>IFERROR(__xludf.DUMMYFUNCTION("""COMPUTED_VALUE"""),0.0)</f>
        <v>0</v>
      </c>
      <c r="Q876" s="274" t="b">
        <f>VLOOKUP($B876,'Run Reconcile'!B$2:O2488,14,FALSE)</f>
        <v>1</v>
      </c>
      <c r="R876" s="472" t="str">
        <f t="array" ref="R876">IF($Q876, INDEX('Run Reconcile'!A$2:A2488,MATCH(B876,'Run Reconcile'!B$2:B2488,0),1),IFERROR(0/0,""))</f>
        <v>RUN-FLMP_2022-03-12_RFR-099</v>
      </c>
      <c r="S876" s="473" t="str">
        <f t="shared" si="694"/>
        <v/>
      </c>
      <c r="T876" s="473" t="str">
        <f t="shared" si="698"/>
        <v/>
      </c>
      <c r="U876" s="275" t="str">
        <f t="array" ref="U876">IF(ISBLANK($R876), INDEX('Run Reconcile'!A$2:A2488, MATCH($B876, 'Run Reconcile'!B$2:B2488, 0)+Z876, 1), IFERROR(0/0,""))
</f>
        <v/>
      </c>
      <c r="V876" s="474" t="str">
        <f t="shared" si="5"/>
        <v>RUN-FLMP_2022-03-12_RFR-099</v>
      </c>
      <c r="Y876" s="89" t="str">
        <f t="shared" si="867"/>
        <v/>
      </c>
      <c r="Z876" s="60" t="str">
        <f t="shared" si="7"/>
        <v/>
      </c>
      <c r="AA876" s="60" t="str">
        <f t="shared" si="8"/>
        <v/>
      </c>
      <c r="AB876" s="60" t="str">
        <f t="shared" si="9"/>
        <v/>
      </c>
      <c r="AC876" s="30" t="str">
        <f t="shared" ref="AC876:AD876" si="1232">IF(_xlfn.ISFORMULA(S876),IFERROR(0/0,""),TRUE)</f>
        <v/>
      </c>
      <c r="AD876" s="30" t="str">
        <f t="shared" si="1232"/>
        <v/>
      </c>
      <c r="AE876" s="475" t="str">
        <f>IFERROR(__xludf.DUMMYFUNCTION("""COMPUTED_VALUE"""),"CRLN")</f>
        <v>CRLN</v>
      </c>
      <c r="AF876" s="476"/>
      <c r="AG876" s="474" t="s">
        <v>187</v>
      </c>
      <c r="AH876" s="138" t="str">
        <f t="shared" si="11"/>
        <v/>
      </c>
    </row>
    <row r="877">
      <c r="A877" s="103" t="str">
        <f>IFERROR(__xludf.DUMMYFUNCTION("""COMPUTED_VALUE"""),"FLT1573")</f>
        <v>FLT1573</v>
      </c>
      <c r="B877" s="468">
        <f>IFERROR(__xludf.DUMMYFUNCTION("""COMPUTED_VALUE"""),44633.0)</f>
        <v>44633</v>
      </c>
      <c r="C877" s="469">
        <f>IFERROR(__xludf.DUMMYFUNCTION("""COMPUTED_VALUE"""),0.7052662037037037)</f>
        <v>0.7052662037</v>
      </c>
      <c r="D877" s="103" t="str">
        <f>IFERROR(__xludf.DUMMYFUNCTION("""COMPUTED_VALUE"""),"SpFLMP271329")</f>
        <v>SpFLMP271329</v>
      </c>
      <c r="E877" s="103"/>
      <c r="F877" s="103"/>
      <c r="G877" s="103" t="str">
        <f>IFERROR(__xludf.DUMMYFUNCTION("""COMPUTED_VALUE"""),"Negative")</f>
        <v>Negative</v>
      </c>
      <c r="H877" s="131" t="str">
        <f>IFERROR(__xludf.DUMMYFUNCTION("""COMPUTED_VALUE"""),"Negative")</f>
        <v>Negative</v>
      </c>
      <c r="I877" s="468">
        <f>IFERROR(__xludf.DUMMYFUNCTION("""COMPUTED_VALUE"""),44634.0)</f>
        <v>44634</v>
      </c>
      <c r="J877" s="470">
        <f>IFERROR(__xludf.DUMMYFUNCTION("""COMPUTED_VALUE"""),0.4405208333333333)</f>
        <v>0.4405208333</v>
      </c>
      <c r="K877" s="16"/>
      <c r="L877" s="8"/>
      <c r="M877" s="69"/>
      <c r="N877" s="69">
        <f>IFERROR(__xludf.DUMMYFUNCTION("""COMPUTED_VALUE"""),1.0)</f>
        <v>1</v>
      </c>
      <c r="O877" s="69" t="b">
        <f t="shared" si="3"/>
        <v>1</v>
      </c>
      <c r="P877" s="471">
        <f>IFERROR(__xludf.DUMMYFUNCTION("""COMPUTED_VALUE"""),1.0)</f>
        <v>1</v>
      </c>
      <c r="Q877" s="274" t="str">
        <f>VLOOKUP($B877,'Run Reconcile'!B$2:O2488,14,FALSE)</f>
        <v/>
      </c>
      <c r="R877" s="472" t="str">
        <f t="array" ref="R877">IF($Q877, INDEX('Run Reconcile'!A$2:A2488,MATCH(B877,'Run Reconcile'!B$2:B2488,0),1),IFERROR(0/0,""))</f>
        <v/>
      </c>
      <c r="S877" s="473" t="b">
        <f t="shared" si="694"/>
        <v>1</v>
      </c>
      <c r="T877" s="473" t="str">
        <f t="shared" si="698"/>
        <v/>
      </c>
      <c r="U877" s="275" t="str">
        <f t="array" ref="U877">IF(ISBLANK($R877), INDEX('Run Reconcile'!A$2:A2488, MATCH($B877, 'Run Reconcile'!B$2:B2488, 0)+Z877, 1), IFERROR(0/0,""))
</f>
        <v>RUN-FLMP_2022-03-14_RFR-100</v>
      </c>
      <c r="V877" s="474" t="str">
        <f t="shared" si="5"/>
        <v>RUN-FLMP_2022-03-14_RFR-100</v>
      </c>
      <c r="W877" s="8" t="s">
        <v>1463</v>
      </c>
      <c r="Y877" s="89">
        <f t="shared" si="867"/>
        <v>1</v>
      </c>
      <c r="Z877" s="60">
        <f t="shared" si="7"/>
        <v>1</v>
      </c>
      <c r="AA877" s="60">
        <f t="shared" si="8"/>
        <v>1</v>
      </c>
      <c r="AB877" s="60" t="str">
        <f t="shared" si="9"/>
        <v/>
      </c>
      <c r="AC877" s="30" t="str">
        <f t="shared" ref="AC877:AD877" si="1233">IF(_xlfn.ISFORMULA(S877),IFERROR(0/0,""),TRUE)</f>
        <v/>
      </c>
      <c r="AD877" s="30" t="str">
        <f t="shared" si="1233"/>
        <v/>
      </c>
      <c r="AE877" s="475" t="str">
        <f>IFERROR(__xludf.DUMMYFUNCTION("""COMPUTED_VALUE"""),"CRLN")</f>
        <v>CRLN</v>
      </c>
      <c r="AF877" s="476"/>
      <c r="AG877" s="474" t="s">
        <v>188</v>
      </c>
      <c r="AH877" s="138" t="str">
        <f t="shared" si="11"/>
        <v/>
      </c>
    </row>
    <row r="878">
      <c r="A878" s="103" t="str">
        <f>IFERROR(__xludf.DUMMYFUNCTION("""COMPUTED_VALUE"""),"FLB4924")</f>
        <v>FLB4924</v>
      </c>
      <c r="B878" s="468">
        <f>IFERROR(__xludf.DUMMYFUNCTION("""COMPUTED_VALUE"""),44633.0)</f>
        <v>44633</v>
      </c>
      <c r="C878" s="469">
        <f>IFERROR(__xludf.DUMMYFUNCTION("""COMPUTED_VALUE"""),0.8422337962962962)</f>
        <v>0.8422337963</v>
      </c>
      <c r="D878" s="103" t="str">
        <f>IFERROR(__xludf.DUMMYFUNCTION("""COMPUTED_VALUE"""),"SpFLMP268514")</f>
        <v>SpFLMP268514</v>
      </c>
      <c r="E878" s="103"/>
      <c r="F878" s="103"/>
      <c r="G878" s="103" t="str">
        <f>IFERROR(__xludf.DUMMYFUNCTION("""COMPUTED_VALUE"""),"Negative")</f>
        <v>Negative</v>
      </c>
      <c r="H878" s="131" t="str">
        <f>IFERROR(__xludf.DUMMYFUNCTION("""COMPUTED_VALUE"""),"Negative")</f>
        <v>Negative</v>
      </c>
      <c r="I878" s="468">
        <f>IFERROR(__xludf.DUMMYFUNCTION("""COMPUTED_VALUE"""),44634.0)</f>
        <v>44634</v>
      </c>
      <c r="J878" s="470">
        <f>IFERROR(__xludf.DUMMYFUNCTION("""COMPUTED_VALUE"""),0.4405208333333333)</f>
        <v>0.4405208333</v>
      </c>
      <c r="K878" s="16"/>
      <c r="L878" s="8"/>
      <c r="M878" s="69"/>
      <c r="N878" s="69">
        <f>IFERROR(__xludf.DUMMYFUNCTION("""COMPUTED_VALUE"""),4.0)</f>
        <v>4</v>
      </c>
      <c r="O878" s="69" t="str">
        <f t="shared" si="3"/>
        <v/>
      </c>
      <c r="P878" s="471">
        <f>IFERROR(__xludf.DUMMYFUNCTION("""COMPUTED_VALUE"""),1.0)</f>
        <v>1</v>
      </c>
      <c r="Q878" s="274" t="str">
        <f>VLOOKUP($B878,'Run Reconcile'!B$2:O2488,14,FALSE)</f>
        <v/>
      </c>
      <c r="R878" s="472" t="str">
        <f t="array" ref="R878">IF($Q878, INDEX('Run Reconcile'!A$2:A2488,MATCH(B878,'Run Reconcile'!B$2:B2488,0),1),IFERROR(0/0,""))</f>
        <v/>
      </c>
      <c r="S878" s="473" t="b">
        <f t="shared" si="694"/>
        <v>1</v>
      </c>
      <c r="T878" s="473" t="str">
        <f t="shared" si="698"/>
        <v/>
      </c>
      <c r="U878" s="275" t="str">
        <f t="array" ref="U878">IF(ISBLANK($R878), INDEX('Run Reconcile'!A$2:A2488, MATCH($B878, 'Run Reconcile'!B$2:B2488, 0)+Z878, 1), IFERROR(0/0,""))
</f>
        <v>RUN-FLMP_2022-03-14_RFR-100</v>
      </c>
      <c r="V878" s="474" t="str">
        <f t="shared" si="5"/>
        <v>RUN-FLMP_2022-03-14_RFR-100</v>
      </c>
      <c r="W878" s="8" t="s">
        <v>1464</v>
      </c>
      <c r="Y878" s="89">
        <f t="shared" si="867"/>
        <v>1</v>
      </c>
      <c r="Z878" s="60">
        <f t="shared" si="7"/>
        <v>1</v>
      </c>
      <c r="AA878" s="60">
        <f t="shared" si="8"/>
        <v>1</v>
      </c>
      <c r="AB878" s="60" t="str">
        <f t="shared" si="9"/>
        <v/>
      </c>
      <c r="AC878" s="30" t="str">
        <f t="shared" ref="AC878:AD878" si="1234">IF(_xlfn.ISFORMULA(S878),IFERROR(0/0,""),TRUE)</f>
        <v/>
      </c>
      <c r="AD878" s="30" t="str">
        <f t="shared" si="1234"/>
        <v/>
      </c>
      <c r="AE878" s="475" t="str">
        <f>IFERROR(__xludf.DUMMYFUNCTION("""COMPUTED_VALUE"""),"CRLN")</f>
        <v>CRLN</v>
      </c>
      <c r="AF878" s="476"/>
      <c r="AG878" s="474" t="s">
        <v>188</v>
      </c>
      <c r="AH878" s="138" t="str">
        <f t="shared" si="11"/>
        <v/>
      </c>
    </row>
    <row r="879">
      <c r="A879" s="103" t="str">
        <f>IFERROR(__xludf.DUMMYFUNCTION("""COMPUTED_VALUE"""),"FLE852")</f>
        <v>FLE852</v>
      </c>
      <c r="B879" s="468">
        <f>IFERROR(__xludf.DUMMYFUNCTION("""COMPUTED_VALUE"""),44633.0)</f>
        <v>44633</v>
      </c>
      <c r="C879" s="469">
        <f>IFERROR(__xludf.DUMMYFUNCTION("""COMPUTED_VALUE"""),0.8772337962962963)</f>
        <v>0.8772337963</v>
      </c>
      <c r="D879" s="103" t="str">
        <f>IFERROR(__xludf.DUMMYFUNCTION("""COMPUTED_VALUE"""),"SpFLMP683554")</f>
        <v>SpFLMP683554</v>
      </c>
      <c r="E879" s="103"/>
      <c r="F879" s="103"/>
      <c r="G879" s="103" t="str">
        <f>IFERROR(__xludf.DUMMYFUNCTION("""COMPUTED_VALUE"""),"Negative")</f>
        <v>Negative</v>
      </c>
      <c r="H879" s="131" t="str">
        <f>IFERROR(__xludf.DUMMYFUNCTION("""COMPUTED_VALUE"""),"Negative")</f>
        <v>Negative</v>
      </c>
      <c r="I879" s="468">
        <f>IFERROR(__xludf.DUMMYFUNCTION("""COMPUTED_VALUE"""),44634.0)</f>
        <v>44634</v>
      </c>
      <c r="J879" s="470">
        <f>IFERROR(__xludf.DUMMYFUNCTION("""COMPUTED_VALUE"""),0.4405208333333333)</f>
        <v>0.4405208333</v>
      </c>
      <c r="K879" s="16"/>
      <c r="L879" s="8"/>
      <c r="M879" s="69"/>
      <c r="N879" s="69">
        <f>IFERROR(__xludf.DUMMYFUNCTION("""COMPUTED_VALUE"""),1.0)</f>
        <v>1</v>
      </c>
      <c r="O879" s="69" t="str">
        <f t="shared" si="3"/>
        <v/>
      </c>
      <c r="P879" s="471">
        <f>IFERROR(__xludf.DUMMYFUNCTION("""COMPUTED_VALUE"""),1.0)</f>
        <v>1</v>
      </c>
      <c r="Q879" s="274" t="str">
        <f>VLOOKUP($B879,'Run Reconcile'!B$2:O2488,14,FALSE)</f>
        <v/>
      </c>
      <c r="R879" s="472" t="str">
        <f t="array" ref="R879">IF($Q879, INDEX('Run Reconcile'!A$2:A2488,MATCH(B879,'Run Reconcile'!B$2:B2488,0),1),IFERROR(0/0,""))</f>
        <v/>
      </c>
      <c r="S879" s="473" t="b">
        <f t="shared" si="694"/>
        <v>1</v>
      </c>
      <c r="T879" s="473" t="str">
        <f t="shared" si="698"/>
        <v/>
      </c>
      <c r="U879" s="275" t="str">
        <f t="array" ref="U879">IF(ISBLANK($R879), INDEX('Run Reconcile'!A$2:A2488, MATCH($B879, 'Run Reconcile'!B$2:B2488, 0)+Z879, 1), IFERROR(0/0,""))
</f>
        <v>RUN-FLMP_2022-03-14_RFR-100</v>
      </c>
      <c r="V879" s="474" t="str">
        <f t="shared" si="5"/>
        <v>RUN-FLMP_2022-03-14_RFR-100</v>
      </c>
      <c r="W879" s="8" t="s">
        <v>1465</v>
      </c>
      <c r="Y879" s="89">
        <f t="shared" si="867"/>
        <v>1</v>
      </c>
      <c r="Z879" s="60">
        <f t="shared" si="7"/>
        <v>1</v>
      </c>
      <c r="AA879" s="60">
        <f t="shared" si="8"/>
        <v>1</v>
      </c>
      <c r="AB879" s="60" t="str">
        <f t="shared" si="9"/>
        <v/>
      </c>
      <c r="AC879" s="30" t="str">
        <f t="shared" ref="AC879:AD879" si="1235">IF(_xlfn.ISFORMULA(S879),IFERROR(0/0,""),TRUE)</f>
        <v/>
      </c>
      <c r="AD879" s="30" t="str">
        <f t="shared" si="1235"/>
        <v/>
      </c>
      <c r="AE879" s="475" t="str">
        <f>IFERROR(__xludf.DUMMYFUNCTION("""COMPUTED_VALUE"""),"CRLN")</f>
        <v>CRLN</v>
      </c>
      <c r="AF879" s="476"/>
      <c r="AG879" s="474" t="s">
        <v>188</v>
      </c>
      <c r="AH879" s="138" t="str">
        <f t="shared" si="11"/>
        <v/>
      </c>
    </row>
    <row r="880">
      <c r="A880" s="103" t="str">
        <f>IFERROR(__xludf.DUMMYFUNCTION("""COMPUTED_VALUE"""),"FLB6551")</f>
        <v>FLB6551</v>
      </c>
      <c r="B880" s="468">
        <f>IFERROR(__xludf.DUMMYFUNCTION("""COMPUTED_VALUE"""),44634.0)</f>
        <v>44634</v>
      </c>
      <c r="C880" s="469">
        <f>IFERROR(__xludf.DUMMYFUNCTION("""COMPUTED_VALUE"""),0.24133101851851851)</f>
        <v>0.2413310185</v>
      </c>
      <c r="D880" s="103" t="str">
        <f>IFERROR(__xludf.DUMMYFUNCTION("""COMPUTED_VALUE"""),"SpFLMP470379")</f>
        <v>SpFLMP470379</v>
      </c>
      <c r="E880" s="103"/>
      <c r="F880" s="103"/>
      <c r="G880" s="103" t="str">
        <f>IFERROR(__xludf.DUMMYFUNCTION("""COMPUTED_VALUE"""),"Negative")</f>
        <v>Negative</v>
      </c>
      <c r="H880" s="131" t="str">
        <f>IFERROR(__xludf.DUMMYFUNCTION("""COMPUTED_VALUE"""),"Negative")</f>
        <v>Negative</v>
      </c>
      <c r="I880" s="468">
        <f>IFERROR(__xludf.DUMMYFUNCTION("""COMPUTED_VALUE"""),44634.0)</f>
        <v>44634</v>
      </c>
      <c r="J880" s="470">
        <f>IFERROR(__xludf.DUMMYFUNCTION("""COMPUTED_VALUE"""),0.4405208333333333)</f>
        <v>0.4405208333</v>
      </c>
      <c r="K880" s="16"/>
      <c r="L880" s="8"/>
      <c r="M880" s="69"/>
      <c r="N880" s="69">
        <f>IFERROR(__xludf.DUMMYFUNCTION("""COMPUTED_VALUE"""),1.0)</f>
        <v>1</v>
      </c>
      <c r="O880" s="69" t="b">
        <f t="shared" si="3"/>
        <v>1</v>
      </c>
      <c r="P880" s="471">
        <f>IFERROR(__xludf.DUMMYFUNCTION("""COMPUTED_VALUE"""),0.0)</f>
        <v>0</v>
      </c>
      <c r="Q880" s="274" t="b">
        <f>VLOOKUP($B880,'Run Reconcile'!B$2:O2488,14,FALSE)</f>
        <v>1</v>
      </c>
      <c r="R880" s="472" t="str">
        <f t="array" ref="R880">IF($Q880, INDEX('Run Reconcile'!A$2:A2488,MATCH(B880,'Run Reconcile'!B$2:B2488,0),1),IFERROR(0/0,""))</f>
        <v>RUN-FLMP_2022-03-14_RFR-100</v>
      </c>
      <c r="S880" s="473" t="str">
        <f t="shared" si="694"/>
        <v/>
      </c>
      <c r="T880" s="473" t="str">
        <f t="shared" si="698"/>
        <v/>
      </c>
      <c r="U880" s="275" t="str">
        <f t="array" ref="U880">IF(ISBLANK($R880), INDEX('Run Reconcile'!A$2:A2488, MATCH($B880, 'Run Reconcile'!B$2:B2488, 0)+Z880, 1), IFERROR(0/0,""))
</f>
        <v/>
      </c>
      <c r="V880" s="474" t="str">
        <f t="shared" si="5"/>
        <v>RUN-FLMP_2022-03-14_RFR-100</v>
      </c>
      <c r="Y880" s="89" t="str">
        <f t="shared" si="867"/>
        <v/>
      </c>
      <c r="Z880" s="60" t="str">
        <f t="shared" si="7"/>
        <v/>
      </c>
      <c r="AA880" s="60" t="str">
        <f t="shared" si="8"/>
        <v/>
      </c>
      <c r="AB880" s="60" t="str">
        <f t="shared" si="9"/>
        <v/>
      </c>
      <c r="AC880" s="30" t="str">
        <f t="shared" ref="AC880:AD880" si="1236">IF(_xlfn.ISFORMULA(S880),IFERROR(0/0,""),TRUE)</f>
        <v/>
      </c>
      <c r="AD880" s="30" t="str">
        <f t="shared" si="1236"/>
        <v/>
      </c>
      <c r="AE880" s="475" t="str">
        <f>IFERROR(__xludf.DUMMYFUNCTION("""COMPUTED_VALUE"""),"CRLN")</f>
        <v>CRLN</v>
      </c>
      <c r="AF880" s="476"/>
      <c r="AG880" s="474" t="s">
        <v>188</v>
      </c>
      <c r="AH880" s="138" t="str">
        <f t="shared" si="11"/>
        <v/>
      </c>
    </row>
    <row r="881">
      <c r="A881" s="103" t="str">
        <f>IFERROR(__xludf.DUMMYFUNCTION("""COMPUTED_VALUE"""),"FLE943")</f>
        <v>FLE943</v>
      </c>
      <c r="B881" s="468">
        <f>IFERROR(__xludf.DUMMYFUNCTION("""COMPUTED_VALUE"""),44634.0)</f>
        <v>44634</v>
      </c>
      <c r="C881" s="469">
        <f>IFERROR(__xludf.DUMMYFUNCTION("""COMPUTED_VALUE"""),0.2831018518518518)</f>
        <v>0.2831018519</v>
      </c>
      <c r="D881" s="103" t="str">
        <f>IFERROR(__xludf.DUMMYFUNCTION("""COMPUTED_VALUE"""),"SpFLMP690282")</f>
        <v>SpFLMP690282</v>
      </c>
      <c r="E881" s="103"/>
      <c r="F881" s="103"/>
      <c r="G881" s="103" t="str">
        <f>IFERROR(__xludf.DUMMYFUNCTION("""COMPUTED_VALUE"""),"Negative")</f>
        <v>Negative</v>
      </c>
      <c r="H881" s="131" t="str">
        <f>IFERROR(__xludf.DUMMYFUNCTION("""COMPUTED_VALUE"""),"Negative")</f>
        <v>Negative</v>
      </c>
      <c r="I881" s="468">
        <f>IFERROR(__xludf.DUMMYFUNCTION("""COMPUTED_VALUE"""),44634.0)</f>
        <v>44634</v>
      </c>
      <c r="J881" s="470">
        <f>IFERROR(__xludf.DUMMYFUNCTION("""COMPUTED_VALUE"""),0.4405208333333333)</f>
        <v>0.4405208333</v>
      </c>
      <c r="K881" s="16"/>
      <c r="L881" s="8"/>
      <c r="M881" s="69"/>
      <c r="N881" s="69">
        <f>IFERROR(__xludf.DUMMYFUNCTION("""COMPUTED_VALUE"""),2.0)</f>
        <v>2</v>
      </c>
      <c r="O881" s="69" t="str">
        <f t="shared" si="3"/>
        <v/>
      </c>
      <c r="P881" s="471">
        <f>IFERROR(__xludf.DUMMYFUNCTION("""COMPUTED_VALUE"""),0.0)</f>
        <v>0</v>
      </c>
      <c r="Q881" s="274" t="b">
        <f>VLOOKUP($B881,'Run Reconcile'!B$2:O2488,14,FALSE)</f>
        <v>1</v>
      </c>
      <c r="R881" s="472" t="str">
        <f t="array" ref="R881">IF($Q881, INDEX('Run Reconcile'!A$2:A2488,MATCH(B881,'Run Reconcile'!B$2:B2488,0),1),IFERROR(0/0,""))</f>
        <v>RUN-FLMP_2022-03-14_RFR-100</v>
      </c>
      <c r="S881" s="473" t="str">
        <f t="shared" si="694"/>
        <v/>
      </c>
      <c r="T881" s="473" t="str">
        <f t="shared" si="698"/>
        <v/>
      </c>
      <c r="U881" s="275" t="str">
        <f t="array" ref="U881">IF(ISBLANK($R881), INDEX('Run Reconcile'!A$2:A2488, MATCH($B881, 'Run Reconcile'!B$2:B2488, 0)+Z881, 1), IFERROR(0/0,""))
</f>
        <v/>
      </c>
      <c r="V881" s="474" t="str">
        <f t="shared" si="5"/>
        <v>RUN-FLMP_2022-03-14_RFR-100</v>
      </c>
      <c r="Y881" s="89" t="str">
        <f t="shared" si="867"/>
        <v/>
      </c>
      <c r="Z881" s="60" t="str">
        <f t="shared" si="7"/>
        <v/>
      </c>
      <c r="AA881" s="60" t="str">
        <f t="shared" si="8"/>
        <v/>
      </c>
      <c r="AB881" s="60" t="str">
        <f t="shared" si="9"/>
        <v/>
      </c>
      <c r="AC881" s="30" t="str">
        <f t="shared" ref="AC881:AD881" si="1237">IF(_xlfn.ISFORMULA(S881),IFERROR(0/0,""),TRUE)</f>
        <v/>
      </c>
      <c r="AD881" s="30" t="str">
        <f t="shared" si="1237"/>
        <v/>
      </c>
      <c r="AE881" s="475" t="str">
        <f>IFERROR(__xludf.DUMMYFUNCTION("""COMPUTED_VALUE"""),"CRLN")</f>
        <v>CRLN</v>
      </c>
      <c r="AF881" s="476"/>
      <c r="AG881" s="474" t="s">
        <v>188</v>
      </c>
      <c r="AH881" s="138" t="str">
        <f t="shared" si="11"/>
        <v/>
      </c>
    </row>
    <row r="882">
      <c r="A882" s="103" t="str">
        <f>IFERROR(__xludf.DUMMYFUNCTION("""COMPUTED_VALUE"""),"FLB4925")</f>
        <v>FLB4925</v>
      </c>
      <c r="B882" s="468">
        <f>IFERROR(__xludf.DUMMYFUNCTION("""COMPUTED_VALUE"""),44634.0)</f>
        <v>44634</v>
      </c>
      <c r="C882" s="469">
        <f>IFERROR(__xludf.DUMMYFUNCTION("""COMPUTED_VALUE"""),0.3295486111111111)</f>
        <v>0.3295486111</v>
      </c>
      <c r="D882" s="103" t="str">
        <f>IFERROR(__xludf.DUMMYFUNCTION("""COMPUTED_VALUE"""),"SpFLMP309785")</f>
        <v>SpFLMP309785</v>
      </c>
      <c r="E882" s="103"/>
      <c r="F882" s="103"/>
      <c r="G882" s="103" t="str">
        <f>IFERROR(__xludf.DUMMYFUNCTION("""COMPUTED_VALUE"""),"Negative")</f>
        <v>Negative</v>
      </c>
      <c r="H882" s="131" t="str">
        <f>IFERROR(__xludf.DUMMYFUNCTION("""COMPUTED_VALUE"""),"Negative")</f>
        <v>Negative</v>
      </c>
      <c r="I882" s="468">
        <f>IFERROR(__xludf.DUMMYFUNCTION("""COMPUTED_VALUE"""),44634.0)</f>
        <v>44634</v>
      </c>
      <c r="J882" s="470">
        <f>IFERROR(__xludf.DUMMYFUNCTION("""COMPUTED_VALUE"""),0.4405208333333333)</f>
        <v>0.4405208333</v>
      </c>
      <c r="K882" s="16"/>
      <c r="L882" s="8"/>
      <c r="M882" s="69"/>
      <c r="N882" s="69">
        <f>IFERROR(__xludf.DUMMYFUNCTION("""COMPUTED_VALUE"""),4.0)</f>
        <v>4</v>
      </c>
      <c r="O882" s="69" t="str">
        <f t="shared" si="3"/>
        <v/>
      </c>
      <c r="P882" s="471">
        <f>IFERROR(__xludf.DUMMYFUNCTION("""COMPUTED_VALUE"""),0.0)</f>
        <v>0</v>
      </c>
      <c r="Q882" s="274" t="b">
        <f>VLOOKUP($B882,'Run Reconcile'!B$2:O2488,14,FALSE)</f>
        <v>1</v>
      </c>
      <c r="R882" s="472" t="str">
        <f t="array" ref="R882">IF($Q882, INDEX('Run Reconcile'!A$2:A2488,MATCH(B882,'Run Reconcile'!B$2:B2488,0),1),IFERROR(0/0,""))</f>
        <v>RUN-FLMP_2022-03-14_RFR-100</v>
      </c>
      <c r="S882" s="473" t="str">
        <f t="shared" si="694"/>
        <v/>
      </c>
      <c r="T882" s="473" t="str">
        <f t="shared" si="698"/>
        <v/>
      </c>
      <c r="U882" s="275" t="str">
        <f t="array" ref="U882">IF(ISBLANK($R882), INDEX('Run Reconcile'!A$2:A2488, MATCH($B882, 'Run Reconcile'!B$2:B2488, 0)+Z882, 1), IFERROR(0/0,""))
</f>
        <v/>
      </c>
      <c r="V882" s="474" t="str">
        <f t="shared" si="5"/>
        <v>RUN-FLMP_2022-03-14_RFR-100</v>
      </c>
      <c r="Y882" s="89" t="str">
        <f t="shared" si="867"/>
        <v/>
      </c>
      <c r="Z882" s="60" t="str">
        <f t="shared" si="7"/>
        <v/>
      </c>
      <c r="AA882" s="60" t="str">
        <f t="shared" si="8"/>
        <v/>
      </c>
      <c r="AB882" s="60" t="str">
        <f t="shared" si="9"/>
        <v/>
      </c>
      <c r="AC882" s="30" t="str">
        <f t="shared" ref="AC882:AD882" si="1238">IF(_xlfn.ISFORMULA(S882),IFERROR(0/0,""),TRUE)</f>
        <v/>
      </c>
      <c r="AD882" s="30" t="str">
        <f t="shared" si="1238"/>
        <v/>
      </c>
      <c r="AE882" s="475" t="str">
        <f>IFERROR(__xludf.DUMMYFUNCTION("""COMPUTED_VALUE"""),"CRLN")</f>
        <v>CRLN</v>
      </c>
      <c r="AF882" s="476"/>
      <c r="AG882" s="474" t="s">
        <v>188</v>
      </c>
      <c r="AH882" s="138" t="str">
        <f t="shared" si="11"/>
        <v/>
      </c>
    </row>
    <row r="883">
      <c r="A883" s="103" t="str">
        <f>IFERROR(__xludf.DUMMYFUNCTION("""COMPUTED_VALUE"""),"FLB6743")</f>
        <v>FLB6743</v>
      </c>
      <c r="B883" s="468">
        <f>IFERROR(__xludf.DUMMYFUNCTION("""COMPUTED_VALUE"""),44634.0)</f>
        <v>44634</v>
      </c>
      <c r="C883" s="469">
        <f>IFERROR(__xludf.DUMMYFUNCTION("""COMPUTED_VALUE"""),0.3304166666666667)</f>
        <v>0.3304166667</v>
      </c>
      <c r="D883" s="103" t="str">
        <f>IFERROR(__xludf.DUMMYFUNCTION("""COMPUTED_VALUE"""),"SpFLMP544731")</f>
        <v>SpFLMP544731</v>
      </c>
      <c r="E883" s="103"/>
      <c r="F883" s="103"/>
      <c r="G883" s="103" t="str">
        <f>IFERROR(__xludf.DUMMYFUNCTION("""COMPUTED_VALUE"""),"Negative")</f>
        <v>Negative</v>
      </c>
      <c r="H883" s="131" t="str">
        <f>IFERROR(__xludf.DUMMYFUNCTION("""COMPUTED_VALUE"""),"Negative")</f>
        <v>Negative</v>
      </c>
      <c r="I883" s="468">
        <f>IFERROR(__xludf.DUMMYFUNCTION("""COMPUTED_VALUE"""),44634.0)</f>
        <v>44634</v>
      </c>
      <c r="J883" s="470">
        <f>IFERROR(__xludf.DUMMYFUNCTION("""COMPUTED_VALUE"""),0.4405208333333333)</f>
        <v>0.4405208333</v>
      </c>
      <c r="K883" s="16"/>
      <c r="L883" s="8"/>
      <c r="M883" s="69"/>
      <c r="N883" s="69">
        <f>IFERROR(__xludf.DUMMYFUNCTION("""COMPUTED_VALUE"""),3.0)</f>
        <v>3</v>
      </c>
      <c r="O883" s="69" t="str">
        <f t="shared" si="3"/>
        <v/>
      </c>
      <c r="P883" s="471">
        <f>IFERROR(__xludf.DUMMYFUNCTION("""COMPUTED_VALUE"""),0.0)</f>
        <v>0</v>
      </c>
      <c r="Q883" s="274" t="b">
        <f>VLOOKUP($B883,'Run Reconcile'!B$2:O2488,14,FALSE)</f>
        <v>1</v>
      </c>
      <c r="R883" s="472" t="str">
        <f t="array" ref="R883">IF($Q883, INDEX('Run Reconcile'!A$2:A2488,MATCH(B883,'Run Reconcile'!B$2:B2488,0),1),IFERROR(0/0,""))</f>
        <v>RUN-FLMP_2022-03-14_RFR-100</v>
      </c>
      <c r="S883" s="473" t="str">
        <f t="shared" si="694"/>
        <v/>
      </c>
      <c r="T883" s="473" t="str">
        <f t="shared" si="698"/>
        <v/>
      </c>
      <c r="U883" s="275" t="str">
        <f t="array" ref="U883">IF(ISBLANK($R883), INDEX('Run Reconcile'!A$2:A2488, MATCH($B883, 'Run Reconcile'!B$2:B2488, 0)+Z883, 1), IFERROR(0/0,""))
</f>
        <v/>
      </c>
      <c r="V883" s="474" t="str">
        <f t="shared" si="5"/>
        <v>RUN-FLMP_2022-03-14_RFR-100</v>
      </c>
      <c r="Y883" s="89" t="str">
        <f t="shared" si="867"/>
        <v/>
      </c>
      <c r="Z883" s="60" t="str">
        <f t="shared" si="7"/>
        <v/>
      </c>
      <c r="AA883" s="60" t="str">
        <f t="shared" si="8"/>
        <v/>
      </c>
      <c r="AB883" s="60" t="str">
        <f t="shared" si="9"/>
        <v/>
      </c>
      <c r="AC883" s="30" t="str">
        <f t="shared" ref="AC883:AD883" si="1239">IF(_xlfn.ISFORMULA(S883),IFERROR(0/0,""),TRUE)</f>
        <v/>
      </c>
      <c r="AD883" s="30" t="str">
        <f t="shared" si="1239"/>
        <v/>
      </c>
      <c r="AE883" s="475" t="str">
        <f>IFERROR(__xludf.DUMMYFUNCTION("""COMPUTED_VALUE"""),"CRLN")</f>
        <v>CRLN</v>
      </c>
      <c r="AF883" s="476"/>
      <c r="AG883" s="474" t="s">
        <v>188</v>
      </c>
      <c r="AH883" s="138" t="str">
        <f t="shared" si="11"/>
        <v/>
      </c>
    </row>
    <row r="884">
      <c r="A884" s="103" t="str">
        <f>IFERROR(__xludf.DUMMYFUNCTION("""COMPUTED_VALUE"""),"FLB6790")</f>
        <v>FLB6790</v>
      </c>
      <c r="B884" s="468">
        <f>IFERROR(__xludf.DUMMYFUNCTION("""COMPUTED_VALUE"""),44634.0)</f>
        <v>44634</v>
      </c>
      <c r="C884" s="469">
        <f>IFERROR(__xludf.DUMMYFUNCTION("""COMPUTED_VALUE"""),0.3387847222222222)</f>
        <v>0.3387847222</v>
      </c>
      <c r="D884" s="103" t="str">
        <f>IFERROR(__xludf.DUMMYFUNCTION("""COMPUTED_VALUE"""),"SpFLMP273885")</f>
        <v>SpFLMP273885</v>
      </c>
      <c r="E884" s="103"/>
      <c r="F884" s="103"/>
      <c r="G884" s="103" t="str">
        <f>IFERROR(__xludf.DUMMYFUNCTION("""COMPUTED_VALUE"""),"Negative")</f>
        <v>Negative</v>
      </c>
      <c r="H884" s="131" t="str">
        <f>IFERROR(__xludf.DUMMYFUNCTION("""COMPUTED_VALUE"""),"Negative")</f>
        <v>Negative</v>
      </c>
      <c r="I884" s="468">
        <f>IFERROR(__xludf.DUMMYFUNCTION("""COMPUTED_VALUE"""),44634.0)</f>
        <v>44634</v>
      </c>
      <c r="J884" s="470">
        <f>IFERROR(__xludf.DUMMYFUNCTION("""COMPUTED_VALUE"""),0.4405208333333333)</f>
        <v>0.4405208333</v>
      </c>
      <c r="K884" s="16"/>
      <c r="L884" s="8"/>
      <c r="M884" s="69"/>
      <c r="N884" s="69">
        <f>IFERROR(__xludf.DUMMYFUNCTION("""COMPUTED_VALUE"""),4.0)</f>
        <v>4</v>
      </c>
      <c r="O884" s="69" t="str">
        <f t="shared" si="3"/>
        <v/>
      </c>
      <c r="P884" s="471">
        <f>IFERROR(__xludf.DUMMYFUNCTION("""COMPUTED_VALUE"""),0.0)</f>
        <v>0</v>
      </c>
      <c r="Q884" s="274" t="b">
        <f>VLOOKUP($B884,'Run Reconcile'!B$2:O2488,14,FALSE)</f>
        <v>1</v>
      </c>
      <c r="R884" s="472" t="str">
        <f t="array" ref="R884">IF($Q884, INDEX('Run Reconcile'!A$2:A2488,MATCH(B884,'Run Reconcile'!B$2:B2488,0),1),IFERROR(0/0,""))</f>
        <v>RUN-FLMP_2022-03-14_RFR-100</v>
      </c>
      <c r="S884" s="473" t="str">
        <f t="shared" si="694"/>
        <v/>
      </c>
      <c r="T884" s="473" t="str">
        <f t="shared" si="698"/>
        <v/>
      </c>
      <c r="U884" s="275" t="str">
        <f t="array" ref="U884">IF(ISBLANK($R884), INDEX('Run Reconcile'!A$2:A2488, MATCH($B884, 'Run Reconcile'!B$2:B2488, 0)+Z884, 1), IFERROR(0/0,""))
</f>
        <v/>
      </c>
      <c r="V884" s="474" t="str">
        <f t="shared" si="5"/>
        <v>RUN-FLMP_2022-03-14_RFR-100</v>
      </c>
      <c r="Y884" s="89" t="str">
        <f t="shared" si="867"/>
        <v/>
      </c>
      <c r="Z884" s="60" t="str">
        <f t="shared" si="7"/>
        <v/>
      </c>
      <c r="AA884" s="60" t="str">
        <f t="shared" si="8"/>
        <v/>
      </c>
      <c r="AB884" s="60" t="str">
        <f t="shared" si="9"/>
        <v/>
      </c>
      <c r="AC884" s="30" t="str">
        <f t="shared" ref="AC884:AD884" si="1240">IF(_xlfn.ISFORMULA(S884),IFERROR(0/0,""),TRUE)</f>
        <v/>
      </c>
      <c r="AD884" s="30" t="str">
        <f t="shared" si="1240"/>
        <v/>
      </c>
      <c r="AE884" s="475" t="str">
        <f>IFERROR(__xludf.DUMMYFUNCTION("""COMPUTED_VALUE"""),"CRLN")</f>
        <v>CRLN</v>
      </c>
      <c r="AF884" s="476"/>
      <c r="AG884" s="474" t="s">
        <v>188</v>
      </c>
      <c r="AH884" s="138" t="str">
        <f t="shared" si="11"/>
        <v/>
      </c>
    </row>
    <row r="885">
      <c r="A885" s="103" t="str">
        <f>IFERROR(__xludf.DUMMYFUNCTION("""COMPUTED_VALUE"""),"FLB4794")</f>
        <v>FLB4794</v>
      </c>
      <c r="B885" s="468">
        <f>IFERROR(__xludf.DUMMYFUNCTION("""COMPUTED_VALUE"""),44634.0)</f>
        <v>44634</v>
      </c>
      <c r="C885" s="469">
        <f>IFERROR(__xludf.DUMMYFUNCTION("""COMPUTED_VALUE"""),0.3412615740740741)</f>
        <v>0.3412615741</v>
      </c>
      <c r="D885" s="103" t="str">
        <f>IFERROR(__xludf.DUMMYFUNCTION("""COMPUTED_VALUE"""),"SpFLMP596479")</f>
        <v>SpFLMP596479</v>
      </c>
      <c r="E885" s="103"/>
      <c r="F885" s="103"/>
      <c r="G885" s="103" t="str">
        <f>IFERROR(__xludf.DUMMYFUNCTION("""COMPUTED_VALUE"""),"Negative")</f>
        <v>Negative</v>
      </c>
      <c r="H885" s="131" t="str">
        <f>IFERROR(__xludf.DUMMYFUNCTION("""COMPUTED_VALUE"""),"Negative")</f>
        <v>Negative</v>
      </c>
      <c r="I885" s="468">
        <f>IFERROR(__xludf.DUMMYFUNCTION("""COMPUTED_VALUE"""),44634.0)</f>
        <v>44634</v>
      </c>
      <c r="J885" s="470">
        <f>IFERROR(__xludf.DUMMYFUNCTION("""COMPUTED_VALUE"""),0.4405208333333333)</f>
        <v>0.4405208333</v>
      </c>
      <c r="K885" s="16"/>
      <c r="L885" s="8"/>
      <c r="M885" s="69"/>
      <c r="N885" s="69">
        <f>IFERROR(__xludf.DUMMYFUNCTION("""COMPUTED_VALUE"""),3.0)</f>
        <v>3</v>
      </c>
      <c r="O885" s="69" t="str">
        <f t="shared" si="3"/>
        <v/>
      </c>
      <c r="P885" s="471">
        <f>IFERROR(__xludf.DUMMYFUNCTION("""COMPUTED_VALUE"""),0.0)</f>
        <v>0</v>
      </c>
      <c r="Q885" s="274" t="b">
        <f>VLOOKUP($B885,'Run Reconcile'!B$2:O2488,14,FALSE)</f>
        <v>1</v>
      </c>
      <c r="R885" s="472" t="str">
        <f t="array" ref="R885">IF($Q885, INDEX('Run Reconcile'!A$2:A2488,MATCH(B885,'Run Reconcile'!B$2:B2488,0),1),IFERROR(0/0,""))</f>
        <v>RUN-FLMP_2022-03-14_RFR-100</v>
      </c>
      <c r="S885" s="473" t="str">
        <f t="shared" si="694"/>
        <v/>
      </c>
      <c r="T885" s="473" t="str">
        <f t="shared" si="698"/>
        <v/>
      </c>
      <c r="U885" s="275" t="str">
        <f t="array" ref="U885">IF(ISBLANK($R885), INDEX('Run Reconcile'!A$2:A2488, MATCH($B885, 'Run Reconcile'!B$2:B2488, 0)+Z885, 1), IFERROR(0/0,""))
</f>
        <v/>
      </c>
      <c r="V885" s="474" t="str">
        <f t="shared" si="5"/>
        <v>RUN-FLMP_2022-03-14_RFR-100</v>
      </c>
      <c r="Y885" s="89" t="str">
        <f t="shared" si="867"/>
        <v/>
      </c>
      <c r="Z885" s="60" t="str">
        <f t="shared" si="7"/>
        <v/>
      </c>
      <c r="AA885" s="60" t="str">
        <f t="shared" si="8"/>
        <v/>
      </c>
      <c r="AB885" s="60" t="str">
        <f t="shared" si="9"/>
        <v/>
      </c>
      <c r="AC885" s="30" t="str">
        <f t="shared" ref="AC885:AD885" si="1241">IF(_xlfn.ISFORMULA(S885),IFERROR(0/0,""),TRUE)</f>
        <v/>
      </c>
      <c r="AD885" s="30" t="str">
        <f t="shared" si="1241"/>
        <v/>
      </c>
      <c r="AE885" s="475" t="str">
        <f>IFERROR(__xludf.DUMMYFUNCTION("""COMPUTED_VALUE"""),"CRLN")</f>
        <v>CRLN</v>
      </c>
      <c r="AF885" s="476"/>
      <c r="AG885" s="474" t="s">
        <v>188</v>
      </c>
      <c r="AH885" s="138" t="str">
        <f t="shared" si="11"/>
        <v/>
      </c>
    </row>
    <row r="886">
      <c r="A886" s="103" t="str">
        <f>IFERROR(__xludf.DUMMYFUNCTION("""COMPUTED_VALUE"""),"FLB6778")</f>
        <v>FLB6778</v>
      </c>
      <c r="B886" s="468">
        <f>IFERROR(__xludf.DUMMYFUNCTION("""COMPUTED_VALUE"""),44634.0)</f>
        <v>44634</v>
      </c>
      <c r="C886" s="469">
        <f>IFERROR(__xludf.DUMMYFUNCTION("""COMPUTED_VALUE"""),0.3432175925925926)</f>
        <v>0.3432175926</v>
      </c>
      <c r="D886" s="103" t="str">
        <f>IFERROR(__xludf.DUMMYFUNCTION("""COMPUTED_VALUE"""),"SpFLMP600756")</f>
        <v>SpFLMP600756</v>
      </c>
      <c r="E886" s="103"/>
      <c r="F886" s="103"/>
      <c r="G886" s="103" t="str">
        <f>IFERROR(__xludf.DUMMYFUNCTION("""COMPUTED_VALUE"""),"Negative")</f>
        <v>Negative</v>
      </c>
      <c r="H886" s="131" t="str">
        <f>IFERROR(__xludf.DUMMYFUNCTION("""COMPUTED_VALUE"""),"Negative")</f>
        <v>Negative</v>
      </c>
      <c r="I886" s="468">
        <f>IFERROR(__xludf.DUMMYFUNCTION("""COMPUTED_VALUE"""),44634.0)</f>
        <v>44634</v>
      </c>
      <c r="J886" s="470">
        <f>IFERROR(__xludf.DUMMYFUNCTION("""COMPUTED_VALUE"""),0.4574884259259259)</f>
        <v>0.4574884259</v>
      </c>
      <c r="K886" s="16"/>
      <c r="L886" s="8"/>
      <c r="M886" s="69"/>
      <c r="N886" s="69">
        <f>IFERROR(__xludf.DUMMYFUNCTION("""COMPUTED_VALUE"""),2.0)</f>
        <v>2</v>
      </c>
      <c r="O886" s="69" t="str">
        <f t="shared" si="3"/>
        <v/>
      </c>
      <c r="P886" s="471">
        <f>IFERROR(__xludf.DUMMYFUNCTION("""COMPUTED_VALUE"""),0.0)</f>
        <v>0</v>
      </c>
      <c r="Q886" s="274" t="b">
        <f>VLOOKUP($B886,'Run Reconcile'!B$2:O2488,14,FALSE)</f>
        <v>1</v>
      </c>
      <c r="R886" s="472" t="str">
        <f t="array" ref="R886">IF($Q886, INDEX('Run Reconcile'!A$2:A2488,MATCH(B886,'Run Reconcile'!B$2:B2488,0),1),IFERROR(0/0,""))</f>
        <v>RUN-FLMP_2022-03-14_RFR-100</v>
      </c>
      <c r="S886" s="473" t="str">
        <f t="shared" si="694"/>
        <v/>
      </c>
      <c r="T886" s="473" t="str">
        <f t="shared" si="698"/>
        <v/>
      </c>
      <c r="U886" s="275" t="str">
        <f t="array" ref="U886">IF(ISBLANK($R886), INDEX('Run Reconcile'!A$2:A2488, MATCH($B886, 'Run Reconcile'!B$2:B2488, 0)+Z886, 1), IFERROR(0/0,""))
</f>
        <v/>
      </c>
      <c r="V886" s="474" t="str">
        <f t="shared" si="5"/>
        <v>RUN-FLMP_2022-03-14_RFR-100</v>
      </c>
      <c r="Y886" s="89" t="str">
        <f t="shared" si="867"/>
        <v/>
      </c>
      <c r="Z886" s="60" t="str">
        <f t="shared" si="7"/>
        <v/>
      </c>
      <c r="AA886" s="60" t="str">
        <f t="shared" si="8"/>
        <v/>
      </c>
      <c r="AB886" s="60" t="str">
        <f t="shared" si="9"/>
        <v/>
      </c>
      <c r="AC886" s="30" t="str">
        <f t="shared" ref="AC886:AD886" si="1242">IF(_xlfn.ISFORMULA(S886),IFERROR(0/0,""),TRUE)</f>
        <v/>
      </c>
      <c r="AD886" s="30" t="str">
        <f t="shared" si="1242"/>
        <v/>
      </c>
      <c r="AE886" s="475" t="str">
        <f>IFERROR(__xludf.DUMMYFUNCTION("""COMPUTED_VALUE"""),"CRLN")</f>
        <v>CRLN</v>
      </c>
      <c r="AF886" s="476"/>
      <c r="AG886" s="474" t="s">
        <v>188</v>
      </c>
      <c r="AH886" s="138" t="str">
        <f t="shared" si="11"/>
        <v/>
      </c>
    </row>
    <row r="887">
      <c r="A887" s="103" t="str">
        <f>IFERROR(__xludf.DUMMYFUNCTION("""COMPUTED_VALUE"""),"FLB5776")</f>
        <v>FLB5776</v>
      </c>
      <c r="B887" s="468">
        <f>IFERROR(__xludf.DUMMYFUNCTION("""COMPUTED_VALUE"""),44634.0)</f>
        <v>44634</v>
      </c>
      <c r="C887" s="469">
        <f>IFERROR(__xludf.DUMMYFUNCTION("""COMPUTED_VALUE"""),0.34934027777777776)</f>
        <v>0.3493402778</v>
      </c>
      <c r="D887" s="103" t="str">
        <f>IFERROR(__xludf.DUMMYFUNCTION("""COMPUTED_VALUE"""),"SpFLMP228238")</f>
        <v>SpFLMP228238</v>
      </c>
      <c r="E887" s="103"/>
      <c r="F887" s="103"/>
      <c r="G887" s="103" t="str">
        <f>IFERROR(__xludf.DUMMYFUNCTION("""COMPUTED_VALUE"""),"Negative")</f>
        <v>Negative</v>
      </c>
      <c r="H887" s="131" t="str">
        <f>IFERROR(__xludf.DUMMYFUNCTION("""COMPUTED_VALUE"""),"Negative")</f>
        <v>Negative</v>
      </c>
      <c r="I887" s="468">
        <f>IFERROR(__xludf.DUMMYFUNCTION("""COMPUTED_VALUE"""),44634.0)</f>
        <v>44634</v>
      </c>
      <c r="J887" s="470">
        <f>IFERROR(__xludf.DUMMYFUNCTION("""COMPUTED_VALUE"""),0.4405208333333333)</f>
        <v>0.4405208333</v>
      </c>
      <c r="K887" s="16"/>
      <c r="L887" s="8"/>
      <c r="M887" s="69"/>
      <c r="N887" s="69">
        <f>IFERROR(__xludf.DUMMYFUNCTION("""COMPUTED_VALUE"""),2.0)</f>
        <v>2</v>
      </c>
      <c r="O887" s="69" t="str">
        <f t="shared" si="3"/>
        <v/>
      </c>
      <c r="P887" s="471">
        <f>IFERROR(__xludf.DUMMYFUNCTION("""COMPUTED_VALUE"""),0.0)</f>
        <v>0</v>
      </c>
      <c r="Q887" s="274" t="b">
        <f>VLOOKUP($B887,'Run Reconcile'!B$2:O2488,14,FALSE)</f>
        <v>1</v>
      </c>
      <c r="R887" s="472" t="str">
        <f t="array" ref="R887">IF($Q887, INDEX('Run Reconcile'!A$2:A2488,MATCH(B887,'Run Reconcile'!B$2:B2488,0),1),IFERROR(0/0,""))</f>
        <v>RUN-FLMP_2022-03-14_RFR-100</v>
      </c>
      <c r="S887" s="473" t="str">
        <f t="shared" si="694"/>
        <v/>
      </c>
      <c r="T887" s="473" t="str">
        <f t="shared" si="698"/>
        <v/>
      </c>
      <c r="U887" s="275" t="str">
        <f t="array" ref="U887">IF(ISBLANK($R887), INDEX('Run Reconcile'!A$2:A2488, MATCH($B887, 'Run Reconcile'!B$2:B2488, 0)+Z887, 1), IFERROR(0/0,""))
</f>
        <v/>
      </c>
      <c r="V887" s="474" t="str">
        <f t="shared" si="5"/>
        <v>RUN-FLMP_2022-03-14_RFR-100</v>
      </c>
      <c r="Y887" s="89" t="str">
        <f t="shared" si="867"/>
        <v/>
      </c>
      <c r="Z887" s="60" t="str">
        <f t="shared" si="7"/>
        <v/>
      </c>
      <c r="AA887" s="60" t="str">
        <f t="shared" si="8"/>
        <v/>
      </c>
      <c r="AB887" s="60" t="str">
        <f t="shared" si="9"/>
        <v/>
      </c>
      <c r="AC887" s="30" t="str">
        <f t="shared" ref="AC887:AD887" si="1243">IF(_xlfn.ISFORMULA(S887),IFERROR(0/0,""),TRUE)</f>
        <v/>
      </c>
      <c r="AD887" s="30" t="str">
        <f t="shared" si="1243"/>
        <v/>
      </c>
      <c r="AE887" s="475" t="str">
        <f>IFERROR(__xludf.DUMMYFUNCTION("""COMPUTED_VALUE"""),"CRLN")</f>
        <v>CRLN</v>
      </c>
      <c r="AF887" s="476"/>
      <c r="AG887" s="474" t="s">
        <v>188</v>
      </c>
      <c r="AH887" s="138" t="str">
        <f t="shared" si="11"/>
        <v/>
      </c>
    </row>
    <row r="888">
      <c r="A888" s="103" t="str">
        <f>IFERROR(__xludf.DUMMYFUNCTION("""COMPUTED_VALUE"""),"FLB6548")</f>
        <v>FLB6548</v>
      </c>
      <c r="B888" s="468">
        <f>IFERROR(__xludf.DUMMYFUNCTION("""COMPUTED_VALUE"""),44634.0)</f>
        <v>44634</v>
      </c>
      <c r="C888" s="469">
        <f>IFERROR(__xludf.DUMMYFUNCTION("""COMPUTED_VALUE"""),0.35162037037037036)</f>
        <v>0.3516203704</v>
      </c>
      <c r="D888" s="103" t="str">
        <f>IFERROR(__xludf.DUMMYFUNCTION("""COMPUTED_VALUE"""),"SpFLMP904576")</f>
        <v>SpFLMP904576</v>
      </c>
      <c r="E888" s="103"/>
      <c r="F888" s="103"/>
      <c r="G888" s="103" t="str">
        <f>IFERROR(__xludf.DUMMYFUNCTION("""COMPUTED_VALUE"""),"Negative")</f>
        <v>Negative</v>
      </c>
      <c r="H888" s="131" t="str">
        <f>IFERROR(__xludf.DUMMYFUNCTION("""COMPUTED_VALUE"""),"Negative")</f>
        <v>Negative</v>
      </c>
      <c r="I888" s="468">
        <f>IFERROR(__xludf.DUMMYFUNCTION("""COMPUTED_VALUE"""),44634.0)</f>
        <v>44634</v>
      </c>
      <c r="J888" s="470">
        <f>IFERROR(__xludf.DUMMYFUNCTION("""COMPUTED_VALUE"""),0.4405208333333333)</f>
        <v>0.4405208333</v>
      </c>
      <c r="K888" s="16"/>
      <c r="L888" s="8"/>
      <c r="M888" s="69"/>
      <c r="N888" s="69">
        <f>IFERROR(__xludf.DUMMYFUNCTION("""COMPUTED_VALUE"""),3.0)</f>
        <v>3</v>
      </c>
      <c r="O888" s="69" t="str">
        <f t="shared" si="3"/>
        <v/>
      </c>
      <c r="P888" s="471">
        <f>IFERROR(__xludf.DUMMYFUNCTION("""COMPUTED_VALUE"""),0.0)</f>
        <v>0</v>
      </c>
      <c r="Q888" s="274" t="b">
        <f>VLOOKUP($B888,'Run Reconcile'!B$2:O2488,14,FALSE)</f>
        <v>1</v>
      </c>
      <c r="R888" s="472" t="str">
        <f t="array" ref="R888">IF($Q888, INDEX('Run Reconcile'!A$2:A2488,MATCH(B888,'Run Reconcile'!B$2:B2488,0),1),IFERROR(0/0,""))</f>
        <v>RUN-FLMP_2022-03-14_RFR-100</v>
      </c>
      <c r="S888" s="473" t="str">
        <f t="shared" si="694"/>
        <v/>
      </c>
      <c r="T888" s="473" t="str">
        <f t="shared" si="698"/>
        <v/>
      </c>
      <c r="U888" s="275" t="str">
        <f t="array" ref="U888">IF(ISBLANK($R888), INDEX('Run Reconcile'!A$2:A2488, MATCH($B888, 'Run Reconcile'!B$2:B2488, 0)+Z888, 1), IFERROR(0/0,""))
</f>
        <v/>
      </c>
      <c r="V888" s="474" t="str">
        <f t="shared" si="5"/>
        <v>RUN-FLMP_2022-03-14_RFR-100</v>
      </c>
      <c r="Y888" s="89" t="str">
        <f t="shared" si="867"/>
        <v/>
      </c>
      <c r="Z888" s="60" t="str">
        <f t="shared" si="7"/>
        <v/>
      </c>
      <c r="AA888" s="60" t="str">
        <f t="shared" si="8"/>
        <v/>
      </c>
      <c r="AB888" s="60" t="str">
        <f t="shared" si="9"/>
        <v/>
      </c>
      <c r="AC888" s="30" t="str">
        <f t="shared" ref="AC888:AD888" si="1244">IF(_xlfn.ISFORMULA(S888),IFERROR(0/0,""),TRUE)</f>
        <v/>
      </c>
      <c r="AD888" s="30" t="str">
        <f t="shared" si="1244"/>
        <v/>
      </c>
      <c r="AE888" s="475" t="str">
        <f>IFERROR(__xludf.DUMMYFUNCTION("""COMPUTED_VALUE"""),"CRLN")</f>
        <v>CRLN</v>
      </c>
      <c r="AF888" s="476"/>
      <c r="AG888" s="474" t="s">
        <v>188</v>
      </c>
      <c r="AH888" s="138" t="str">
        <f t="shared" si="11"/>
        <v/>
      </c>
    </row>
    <row r="889">
      <c r="A889" s="103" t="str">
        <f>IFERROR(__xludf.DUMMYFUNCTION("""COMPUTED_VALUE"""),"FLT117")</f>
        <v>FLT117</v>
      </c>
      <c r="B889" s="468">
        <f>IFERROR(__xludf.DUMMYFUNCTION("""COMPUTED_VALUE"""),44634.0)</f>
        <v>44634</v>
      </c>
      <c r="C889" s="469">
        <f>IFERROR(__xludf.DUMMYFUNCTION("""COMPUTED_VALUE"""),0.3521064814814815)</f>
        <v>0.3521064815</v>
      </c>
      <c r="D889" s="103" t="str">
        <f>IFERROR(__xludf.DUMMYFUNCTION("""COMPUTED_VALUE"""),"SpFLMP939619")</f>
        <v>SpFLMP939619</v>
      </c>
      <c r="E889" s="103"/>
      <c r="F889" s="103"/>
      <c r="G889" s="103" t="str">
        <f>IFERROR(__xludf.DUMMYFUNCTION("""COMPUTED_VALUE"""),"Negative")</f>
        <v>Negative</v>
      </c>
      <c r="H889" s="131" t="str">
        <f>IFERROR(__xludf.DUMMYFUNCTION("""COMPUTED_VALUE"""),"Negative")</f>
        <v>Negative</v>
      </c>
      <c r="I889" s="468">
        <f>IFERROR(__xludf.DUMMYFUNCTION("""COMPUTED_VALUE"""),44634.0)</f>
        <v>44634</v>
      </c>
      <c r="J889" s="470">
        <f>IFERROR(__xludf.DUMMYFUNCTION("""COMPUTED_VALUE"""),0.4405324074074074)</f>
        <v>0.4405324074</v>
      </c>
      <c r="K889" s="16"/>
      <c r="L889" s="8"/>
      <c r="M889" s="69"/>
      <c r="N889" s="69">
        <f>IFERROR(__xludf.DUMMYFUNCTION("""COMPUTED_VALUE"""),1.0)</f>
        <v>1</v>
      </c>
      <c r="O889" s="69" t="str">
        <f t="shared" si="3"/>
        <v/>
      </c>
      <c r="P889" s="471">
        <f>IFERROR(__xludf.DUMMYFUNCTION("""COMPUTED_VALUE"""),0.0)</f>
        <v>0</v>
      </c>
      <c r="Q889" s="274" t="b">
        <f>VLOOKUP($B889,'Run Reconcile'!B$2:O2488,14,FALSE)</f>
        <v>1</v>
      </c>
      <c r="R889" s="472" t="str">
        <f t="array" ref="R889">IF($Q889, INDEX('Run Reconcile'!A$2:A2488,MATCH(B889,'Run Reconcile'!B$2:B2488,0),1),IFERROR(0/0,""))</f>
        <v>RUN-FLMP_2022-03-14_RFR-100</v>
      </c>
      <c r="S889" s="473" t="str">
        <f t="shared" si="694"/>
        <v/>
      </c>
      <c r="T889" s="473" t="str">
        <f t="shared" si="698"/>
        <v/>
      </c>
      <c r="U889" s="275" t="str">
        <f t="array" ref="U889">IF(ISBLANK($R889), INDEX('Run Reconcile'!A$2:A2488, MATCH($B889, 'Run Reconcile'!B$2:B2488, 0)+Z889, 1), IFERROR(0/0,""))
</f>
        <v/>
      </c>
      <c r="V889" s="474" t="str">
        <f t="shared" si="5"/>
        <v>RUN-FLMP_2022-03-14_RFR-100</v>
      </c>
      <c r="Y889" s="89" t="str">
        <f t="shared" si="867"/>
        <v/>
      </c>
      <c r="Z889" s="60" t="str">
        <f t="shared" si="7"/>
        <v/>
      </c>
      <c r="AA889" s="60" t="str">
        <f t="shared" si="8"/>
        <v/>
      </c>
      <c r="AB889" s="60" t="str">
        <f t="shared" si="9"/>
        <v/>
      </c>
      <c r="AC889" s="30" t="str">
        <f t="shared" ref="AC889:AD889" si="1245">IF(_xlfn.ISFORMULA(S889),IFERROR(0/0,""),TRUE)</f>
        <v/>
      </c>
      <c r="AD889" s="30" t="str">
        <f t="shared" si="1245"/>
        <v/>
      </c>
      <c r="AE889" s="475" t="str">
        <f>IFERROR(__xludf.DUMMYFUNCTION("""COMPUTED_VALUE"""),"CRLN")</f>
        <v>CRLN</v>
      </c>
      <c r="AF889" s="476"/>
      <c r="AG889" s="474" t="s">
        <v>188</v>
      </c>
      <c r="AH889" s="138" t="str">
        <f t="shared" si="11"/>
        <v/>
      </c>
    </row>
    <row r="890">
      <c r="A890" s="103" t="str">
        <f>IFERROR(__xludf.DUMMYFUNCTION("""COMPUTED_VALUE"""),"FLB5735")</f>
        <v>FLB5735</v>
      </c>
      <c r="B890" s="468">
        <f>IFERROR(__xludf.DUMMYFUNCTION("""COMPUTED_VALUE"""),44634.0)</f>
        <v>44634</v>
      </c>
      <c r="C890" s="469">
        <f>IFERROR(__xludf.DUMMYFUNCTION("""COMPUTED_VALUE"""),0.35215277777777776)</f>
        <v>0.3521527778</v>
      </c>
      <c r="D890" s="103" t="str">
        <f>IFERROR(__xludf.DUMMYFUNCTION("""COMPUTED_VALUE"""),"SpFLMP604497")</f>
        <v>SpFLMP604497</v>
      </c>
      <c r="E890" s="103"/>
      <c r="F890" s="103"/>
      <c r="G890" s="103" t="str">
        <f>IFERROR(__xludf.DUMMYFUNCTION("""COMPUTED_VALUE"""),"Negative")</f>
        <v>Negative</v>
      </c>
      <c r="H890" s="131" t="str">
        <f>IFERROR(__xludf.DUMMYFUNCTION("""COMPUTED_VALUE"""),"Negative")</f>
        <v>Negative</v>
      </c>
      <c r="I890" s="468">
        <f>IFERROR(__xludf.DUMMYFUNCTION("""COMPUTED_VALUE"""),44634.0)</f>
        <v>44634</v>
      </c>
      <c r="J890" s="470">
        <f>IFERROR(__xludf.DUMMYFUNCTION("""COMPUTED_VALUE"""),0.4405324074074074)</f>
        <v>0.4405324074</v>
      </c>
      <c r="K890" s="16"/>
      <c r="L890" s="8"/>
      <c r="M890" s="69"/>
      <c r="N890" s="69">
        <f>IFERROR(__xludf.DUMMYFUNCTION("""COMPUTED_VALUE"""),4.0)</f>
        <v>4</v>
      </c>
      <c r="O890" s="69" t="str">
        <f t="shared" si="3"/>
        <v/>
      </c>
      <c r="P890" s="471">
        <f>IFERROR(__xludf.DUMMYFUNCTION("""COMPUTED_VALUE"""),0.0)</f>
        <v>0</v>
      </c>
      <c r="Q890" s="274" t="b">
        <f>VLOOKUP($B890,'Run Reconcile'!B$2:O2488,14,FALSE)</f>
        <v>1</v>
      </c>
      <c r="R890" s="472" t="str">
        <f t="array" ref="R890">IF($Q890, INDEX('Run Reconcile'!A$2:A2488,MATCH(B890,'Run Reconcile'!B$2:B2488,0),1),IFERROR(0/0,""))</f>
        <v>RUN-FLMP_2022-03-14_RFR-100</v>
      </c>
      <c r="S890" s="473" t="str">
        <f t="shared" si="694"/>
        <v/>
      </c>
      <c r="T890" s="473" t="str">
        <f t="shared" si="698"/>
        <v/>
      </c>
      <c r="U890" s="275" t="str">
        <f t="array" ref="U890">IF(ISBLANK($R890), INDEX('Run Reconcile'!A$2:A2488, MATCH($B890, 'Run Reconcile'!B$2:B2488, 0)+Z890, 1), IFERROR(0/0,""))
</f>
        <v/>
      </c>
      <c r="V890" s="474" t="str">
        <f t="shared" si="5"/>
        <v>RUN-FLMP_2022-03-14_RFR-100</v>
      </c>
      <c r="Y890" s="89" t="str">
        <f t="shared" si="867"/>
        <v/>
      </c>
      <c r="Z890" s="60" t="str">
        <f t="shared" si="7"/>
        <v/>
      </c>
      <c r="AA890" s="60" t="str">
        <f t="shared" si="8"/>
        <v/>
      </c>
      <c r="AB890" s="60" t="str">
        <f t="shared" si="9"/>
        <v/>
      </c>
      <c r="AC890" s="30" t="str">
        <f t="shared" ref="AC890:AD890" si="1246">IF(_xlfn.ISFORMULA(S890),IFERROR(0/0,""),TRUE)</f>
        <v/>
      </c>
      <c r="AD890" s="30" t="str">
        <f t="shared" si="1246"/>
        <v/>
      </c>
      <c r="AE890" s="475" t="str">
        <f>IFERROR(__xludf.DUMMYFUNCTION("""COMPUTED_VALUE"""),"CRLN")</f>
        <v>CRLN</v>
      </c>
      <c r="AF890" s="476"/>
      <c r="AG890" s="474" t="s">
        <v>188</v>
      </c>
      <c r="AH890" s="138" t="str">
        <f t="shared" si="11"/>
        <v/>
      </c>
    </row>
    <row r="891">
      <c r="A891" s="103" t="str">
        <f>IFERROR(__xludf.DUMMYFUNCTION("""COMPUTED_VALUE"""),"FL11010")</f>
        <v>FL11010</v>
      </c>
      <c r="B891" s="468">
        <f>IFERROR(__xludf.DUMMYFUNCTION("""COMPUTED_VALUE"""),44634.0)</f>
        <v>44634</v>
      </c>
      <c r="C891" s="469">
        <f>IFERROR(__xludf.DUMMYFUNCTION("""COMPUTED_VALUE"""),0.3614236111111111)</f>
        <v>0.3614236111</v>
      </c>
      <c r="D891" s="103" t="str">
        <f>IFERROR(__xludf.DUMMYFUNCTION("""COMPUTED_VALUE"""),"SpFLMP259015")</f>
        <v>SpFLMP259015</v>
      </c>
      <c r="E891" s="103"/>
      <c r="F891" s="103"/>
      <c r="G891" s="103" t="str">
        <f>IFERROR(__xludf.DUMMYFUNCTION("""COMPUTED_VALUE"""),"Negative")</f>
        <v>Negative</v>
      </c>
      <c r="H891" s="131" t="str">
        <f>IFERROR(__xludf.DUMMYFUNCTION("""COMPUTED_VALUE"""),"Negative")</f>
        <v>Negative</v>
      </c>
      <c r="I891" s="468">
        <f>IFERROR(__xludf.DUMMYFUNCTION("""COMPUTED_VALUE"""),44634.0)</f>
        <v>44634</v>
      </c>
      <c r="J891" s="470">
        <f>IFERROR(__xludf.DUMMYFUNCTION("""COMPUTED_VALUE"""),0.4405324074074074)</f>
        <v>0.4405324074</v>
      </c>
      <c r="K891" s="16"/>
      <c r="L891" s="8"/>
      <c r="M891" s="69"/>
      <c r="N891" s="69">
        <f>IFERROR(__xludf.DUMMYFUNCTION("""COMPUTED_VALUE"""),3.0)</f>
        <v>3</v>
      </c>
      <c r="O891" s="69" t="str">
        <f t="shared" si="3"/>
        <v/>
      </c>
      <c r="P891" s="471">
        <f>IFERROR(__xludf.DUMMYFUNCTION("""COMPUTED_VALUE"""),0.0)</f>
        <v>0</v>
      </c>
      <c r="Q891" s="274" t="b">
        <f>VLOOKUP($B891,'Run Reconcile'!B$2:O2488,14,FALSE)</f>
        <v>1</v>
      </c>
      <c r="R891" s="472" t="str">
        <f t="array" ref="R891">IF($Q891, INDEX('Run Reconcile'!A$2:A2488,MATCH(B891,'Run Reconcile'!B$2:B2488,0),1),IFERROR(0/0,""))</f>
        <v>RUN-FLMP_2022-03-14_RFR-100</v>
      </c>
      <c r="S891" s="473" t="str">
        <f t="shared" si="694"/>
        <v/>
      </c>
      <c r="T891" s="473" t="str">
        <f t="shared" si="698"/>
        <v/>
      </c>
      <c r="U891" s="275" t="str">
        <f t="array" ref="U891">IF(ISBLANK($R891), INDEX('Run Reconcile'!A$2:A2488, MATCH($B891, 'Run Reconcile'!B$2:B2488, 0)+Z891, 1), IFERROR(0/0,""))
</f>
        <v/>
      </c>
      <c r="V891" s="474" t="str">
        <f t="shared" si="5"/>
        <v>RUN-FLMP_2022-03-14_RFR-100</v>
      </c>
      <c r="Y891" s="89" t="str">
        <f t="shared" si="867"/>
        <v/>
      </c>
      <c r="Z891" s="60" t="str">
        <f t="shared" si="7"/>
        <v/>
      </c>
      <c r="AA891" s="60" t="str">
        <f t="shared" si="8"/>
        <v/>
      </c>
      <c r="AB891" s="60" t="str">
        <f t="shared" si="9"/>
        <v/>
      </c>
      <c r="AC891" s="30" t="str">
        <f t="shared" ref="AC891:AD891" si="1247">IF(_xlfn.ISFORMULA(S891),IFERROR(0/0,""),TRUE)</f>
        <v/>
      </c>
      <c r="AD891" s="30" t="str">
        <f t="shared" si="1247"/>
        <v/>
      </c>
      <c r="AE891" s="475" t="str">
        <f>IFERROR(__xludf.DUMMYFUNCTION("""COMPUTED_VALUE"""),"CRLN")</f>
        <v>CRLN</v>
      </c>
      <c r="AF891" s="476"/>
      <c r="AG891" s="474" t="s">
        <v>188</v>
      </c>
      <c r="AH891" s="138" t="str">
        <f t="shared" si="11"/>
        <v/>
      </c>
    </row>
    <row r="892">
      <c r="A892" s="103" t="str">
        <f>IFERROR(__xludf.DUMMYFUNCTION("""COMPUTED_VALUE"""),"FLT17")</f>
        <v>FLT17</v>
      </c>
      <c r="B892" s="468">
        <f>IFERROR(__xludf.DUMMYFUNCTION("""COMPUTED_VALUE"""),44634.0)</f>
        <v>44634</v>
      </c>
      <c r="C892" s="469">
        <f>IFERROR(__xludf.DUMMYFUNCTION("""COMPUTED_VALUE"""),0.3618402777777778)</f>
        <v>0.3618402778</v>
      </c>
      <c r="D892" s="103" t="str">
        <f>IFERROR(__xludf.DUMMYFUNCTION("""COMPUTED_VALUE"""),"SpFLMP259015")</f>
        <v>SpFLMP259015</v>
      </c>
      <c r="E892" s="103"/>
      <c r="F892" s="103"/>
      <c r="G892" s="103" t="str">
        <f>IFERROR(__xludf.DUMMYFUNCTION("""COMPUTED_VALUE"""),"Negative")</f>
        <v>Negative</v>
      </c>
      <c r="H892" s="131" t="str">
        <f>IFERROR(__xludf.DUMMYFUNCTION("""COMPUTED_VALUE"""),"Negative")</f>
        <v>Negative</v>
      </c>
      <c r="I892" s="468">
        <f>IFERROR(__xludf.DUMMYFUNCTION("""COMPUTED_VALUE"""),44634.0)</f>
        <v>44634</v>
      </c>
      <c r="J892" s="470">
        <f>IFERROR(__xludf.DUMMYFUNCTION("""COMPUTED_VALUE"""),0.4405324074074074)</f>
        <v>0.4405324074</v>
      </c>
      <c r="K892" s="16"/>
      <c r="L892" s="8"/>
      <c r="M892" s="69"/>
      <c r="N892" s="69">
        <f>IFERROR(__xludf.DUMMYFUNCTION("""COMPUTED_VALUE"""),2.0)</f>
        <v>2</v>
      </c>
      <c r="O892" s="69" t="str">
        <f t="shared" si="3"/>
        <v/>
      </c>
      <c r="P892" s="471">
        <f>IFERROR(__xludf.DUMMYFUNCTION("""COMPUTED_VALUE"""),0.0)</f>
        <v>0</v>
      </c>
      <c r="Q892" s="274" t="b">
        <f>VLOOKUP($B892,'Run Reconcile'!B$2:O2488,14,FALSE)</f>
        <v>1</v>
      </c>
      <c r="R892" s="472" t="str">
        <f t="array" ref="R892">IF($Q892, INDEX('Run Reconcile'!A$2:A2488,MATCH(B892,'Run Reconcile'!B$2:B2488,0),1),IFERROR(0/0,""))</f>
        <v>RUN-FLMP_2022-03-14_RFR-100</v>
      </c>
      <c r="S892" s="473" t="str">
        <f t="shared" si="694"/>
        <v/>
      </c>
      <c r="T892" s="473" t="str">
        <f t="shared" si="698"/>
        <v/>
      </c>
      <c r="U892" s="275" t="str">
        <f t="array" ref="U892">IF(ISBLANK($R892), INDEX('Run Reconcile'!A$2:A2488, MATCH($B892, 'Run Reconcile'!B$2:B2488, 0)+Z892, 1), IFERROR(0/0,""))
</f>
        <v/>
      </c>
      <c r="V892" s="474" t="str">
        <f t="shared" si="5"/>
        <v>RUN-FLMP_2022-03-14_RFR-100</v>
      </c>
      <c r="Y892" s="89" t="str">
        <f t="shared" si="867"/>
        <v/>
      </c>
      <c r="Z892" s="60" t="str">
        <f t="shared" si="7"/>
        <v/>
      </c>
      <c r="AA892" s="60" t="str">
        <f t="shared" si="8"/>
        <v/>
      </c>
      <c r="AB892" s="60" t="str">
        <f t="shared" si="9"/>
        <v/>
      </c>
      <c r="AC892" s="30" t="str">
        <f t="shared" ref="AC892:AD892" si="1248">IF(_xlfn.ISFORMULA(S892),IFERROR(0/0,""),TRUE)</f>
        <v/>
      </c>
      <c r="AD892" s="30" t="str">
        <f t="shared" si="1248"/>
        <v/>
      </c>
      <c r="AE892" s="475" t="str">
        <f>IFERROR(__xludf.DUMMYFUNCTION("""COMPUTED_VALUE"""),"CRLN")</f>
        <v>CRLN</v>
      </c>
      <c r="AF892" s="476"/>
      <c r="AG892" s="474" t="s">
        <v>188</v>
      </c>
      <c r="AH892" s="138" t="str">
        <f t="shared" si="11"/>
        <v/>
      </c>
    </row>
    <row r="893">
      <c r="A893" s="103" t="str">
        <f>IFERROR(__xludf.DUMMYFUNCTION("""COMPUTED_VALUE"""),"FLB4939")</f>
        <v>FLB4939</v>
      </c>
      <c r="B893" s="468">
        <f>IFERROR(__xludf.DUMMYFUNCTION("""COMPUTED_VALUE"""),44634.0)</f>
        <v>44634</v>
      </c>
      <c r="C893" s="469">
        <f>IFERROR(__xludf.DUMMYFUNCTION("""COMPUTED_VALUE"""),0.3634837962962963)</f>
        <v>0.3634837963</v>
      </c>
      <c r="D893" s="103" t="str">
        <f>IFERROR(__xludf.DUMMYFUNCTION("""COMPUTED_VALUE"""),"SpFLMP496039")</f>
        <v>SpFLMP496039</v>
      </c>
      <c r="E893" s="103"/>
      <c r="F893" s="103"/>
      <c r="G893" s="103" t="str">
        <f>IFERROR(__xludf.DUMMYFUNCTION("""COMPUTED_VALUE"""),"Negative")</f>
        <v>Negative</v>
      </c>
      <c r="H893" s="131" t="str">
        <f>IFERROR(__xludf.DUMMYFUNCTION("""COMPUTED_VALUE"""),"Negative")</f>
        <v>Negative</v>
      </c>
      <c r="I893" s="468">
        <f>IFERROR(__xludf.DUMMYFUNCTION("""COMPUTED_VALUE"""),44634.0)</f>
        <v>44634</v>
      </c>
      <c r="J893" s="470">
        <f>IFERROR(__xludf.DUMMYFUNCTION("""COMPUTED_VALUE"""),0.4405324074074074)</f>
        <v>0.4405324074</v>
      </c>
      <c r="K893" s="16"/>
      <c r="L893" s="8"/>
      <c r="M893" s="69"/>
      <c r="N893" s="69">
        <f>IFERROR(__xludf.DUMMYFUNCTION("""COMPUTED_VALUE"""),1.0)</f>
        <v>1</v>
      </c>
      <c r="O893" s="69" t="str">
        <f t="shared" si="3"/>
        <v/>
      </c>
      <c r="P893" s="471">
        <f>IFERROR(__xludf.DUMMYFUNCTION("""COMPUTED_VALUE"""),0.0)</f>
        <v>0</v>
      </c>
      <c r="Q893" s="274" t="b">
        <f>VLOOKUP($B893,'Run Reconcile'!B$2:O2488,14,FALSE)</f>
        <v>1</v>
      </c>
      <c r="R893" s="472" t="str">
        <f t="array" ref="R893">IF($Q893, INDEX('Run Reconcile'!A$2:A2488,MATCH(B893,'Run Reconcile'!B$2:B2488,0),1),IFERROR(0/0,""))</f>
        <v>RUN-FLMP_2022-03-14_RFR-100</v>
      </c>
      <c r="S893" s="473" t="str">
        <f t="shared" si="694"/>
        <v/>
      </c>
      <c r="T893" s="473" t="str">
        <f t="shared" si="698"/>
        <v/>
      </c>
      <c r="U893" s="275" t="str">
        <f t="array" ref="U893">IF(ISBLANK($R893), INDEX('Run Reconcile'!A$2:A2488, MATCH($B893, 'Run Reconcile'!B$2:B2488, 0)+Z893, 1), IFERROR(0/0,""))
</f>
        <v/>
      </c>
      <c r="V893" s="474" t="str">
        <f t="shared" si="5"/>
        <v>RUN-FLMP_2022-03-14_RFR-100</v>
      </c>
      <c r="Y893" s="89" t="str">
        <f t="shared" si="867"/>
        <v/>
      </c>
      <c r="Z893" s="60" t="str">
        <f t="shared" si="7"/>
        <v/>
      </c>
      <c r="AA893" s="60" t="str">
        <f t="shared" si="8"/>
        <v/>
      </c>
      <c r="AB893" s="60" t="str">
        <f t="shared" si="9"/>
        <v/>
      </c>
      <c r="AC893" s="30" t="str">
        <f t="shared" ref="AC893:AD893" si="1249">IF(_xlfn.ISFORMULA(S893),IFERROR(0/0,""),TRUE)</f>
        <v/>
      </c>
      <c r="AD893" s="30" t="str">
        <f t="shared" si="1249"/>
        <v/>
      </c>
      <c r="AE893" s="475" t="str">
        <f>IFERROR(__xludf.DUMMYFUNCTION("""COMPUTED_VALUE"""),"CRLN")</f>
        <v>CRLN</v>
      </c>
      <c r="AF893" s="476"/>
      <c r="AG893" s="474" t="s">
        <v>188</v>
      </c>
      <c r="AH893" s="138" t="str">
        <f t="shared" si="11"/>
        <v/>
      </c>
    </row>
    <row r="894">
      <c r="A894" s="103" t="str">
        <f>IFERROR(__xludf.DUMMYFUNCTION("""COMPUTED_VALUE"""),"FLB6866")</f>
        <v>FLB6866</v>
      </c>
      <c r="B894" s="468">
        <f>IFERROR(__xludf.DUMMYFUNCTION("""COMPUTED_VALUE"""),44634.0)</f>
        <v>44634</v>
      </c>
      <c r="C894" s="469">
        <f>IFERROR(__xludf.DUMMYFUNCTION("""COMPUTED_VALUE"""),0.3635763888888889)</f>
        <v>0.3635763889</v>
      </c>
      <c r="D894" s="103" t="str">
        <f>IFERROR(__xludf.DUMMYFUNCTION("""COMPUTED_VALUE"""),"SpFLMP946259")</f>
        <v>SpFLMP946259</v>
      </c>
      <c r="E894" s="103"/>
      <c r="F894" s="103"/>
      <c r="G894" s="103" t="str">
        <f>IFERROR(__xludf.DUMMYFUNCTION("""COMPUTED_VALUE"""),"Negative")</f>
        <v>Negative</v>
      </c>
      <c r="H894" s="131" t="str">
        <f>IFERROR(__xludf.DUMMYFUNCTION("""COMPUTED_VALUE"""),"Negative")</f>
        <v>Negative</v>
      </c>
      <c r="I894" s="468">
        <f>IFERROR(__xludf.DUMMYFUNCTION("""COMPUTED_VALUE"""),44634.0)</f>
        <v>44634</v>
      </c>
      <c r="J894" s="470">
        <f>IFERROR(__xludf.DUMMYFUNCTION("""COMPUTED_VALUE"""),0.4405324074074074)</f>
        <v>0.4405324074</v>
      </c>
      <c r="K894" s="16"/>
      <c r="L894" s="8"/>
      <c r="M894" s="69"/>
      <c r="N894" s="69">
        <f>IFERROR(__xludf.DUMMYFUNCTION("""COMPUTED_VALUE"""),2.0)</f>
        <v>2</v>
      </c>
      <c r="O894" s="69" t="str">
        <f t="shared" si="3"/>
        <v/>
      </c>
      <c r="P894" s="471">
        <f>IFERROR(__xludf.DUMMYFUNCTION("""COMPUTED_VALUE"""),0.0)</f>
        <v>0</v>
      </c>
      <c r="Q894" s="274" t="b">
        <f>VLOOKUP($B894,'Run Reconcile'!B$2:O2488,14,FALSE)</f>
        <v>1</v>
      </c>
      <c r="R894" s="472" t="str">
        <f t="array" ref="R894">IF($Q894, INDEX('Run Reconcile'!A$2:A2488,MATCH(B894,'Run Reconcile'!B$2:B2488,0),1),IFERROR(0/0,""))</f>
        <v>RUN-FLMP_2022-03-14_RFR-100</v>
      </c>
      <c r="S894" s="473" t="str">
        <f t="shared" si="694"/>
        <v/>
      </c>
      <c r="T894" s="473" t="str">
        <f t="shared" si="698"/>
        <v/>
      </c>
      <c r="U894" s="275" t="str">
        <f t="array" ref="U894">IF(ISBLANK($R894), INDEX('Run Reconcile'!A$2:A2488, MATCH($B894, 'Run Reconcile'!B$2:B2488, 0)+Z894, 1), IFERROR(0/0,""))
</f>
        <v/>
      </c>
      <c r="V894" s="474" t="str">
        <f t="shared" si="5"/>
        <v>RUN-FLMP_2022-03-14_RFR-100</v>
      </c>
      <c r="Y894" s="89" t="str">
        <f t="shared" si="867"/>
        <v/>
      </c>
      <c r="Z894" s="60" t="str">
        <f t="shared" si="7"/>
        <v/>
      </c>
      <c r="AA894" s="60" t="str">
        <f t="shared" si="8"/>
        <v/>
      </c>
      <c r="AB894" s="60" t="str">
        <f t="shared" si="9"/>
        <v/>
      </c>
      <c r="AC894" s="30" t="str">
        <f t="shared" ref="AC894:AD894" si="1250">IF(_xlfn.ISFORMULA(S894),IFERROR(0/0,""),TRUE)</f>
        <v/>
      </c>
      <c r="AD894" s="30" t="str">
        <f t="shared" si="1250"/>
        <v/>
      </c>
      <c r="AE894" s="475" t="str">
        <f>IFERROR(__xludf.DUMMYFUNCTION("""COMPUTED_VALUE"""),"CRLN")</f>
        <v>CRLN</v>
      </c>
      <c r="AF894" s="476"/>
      <c r="AG894" s="474" t="s">
        <v>188</v>
      </c>
      <c r="AH894" s="138" t="str">
        <f t="shared" si="11"/>
        <v/>
      </c>
    </row>
    <row r="895">
      <c r="A895" s="103" t="str">
        <f>IFERROR(__xludf.DUMMYFUNCTION("""COMPUTED_VALUE"""),"FLB6555")</f>
        <v>FLB6555</v>
      </c>
      <c r="B895" s="468">
        <f>IFERROR(__xludf.DUMMYFUNCTION("""COMPUTED_VALUE"""),44634.0)</f>
        <v>44634</v>
      </c>
      <c r="C895" s="469">
        <f>IFERROR(__xludf.DUMMYFUNCTION("""COMPUTED_VALUE"""),0.36377314814814815)</f>
        <v>0.3637731481</v>
      </c>
      <c r="D895" s="103" t="str">
        <f>IFERROR(__xludf.DUMMYFUNCTION("""COMPUTED_VALUE"""),"SpFLMP668449")</f>
        <v>SpFLMP668449</v>
      </c>
      <c r="E895" s="103"/>
      <c r="F895" s="103"/>
      <c r="G895" s="103" t="str">
        <f>IFERROR(__xludf.DUMMYFUNCTION("""COMPUTED_VALUE"""),"Negative")</f>
        <v>Negative</v>
      </c>
      <c r="H895" s="131" t="str">
        <f>IFERROR(__xludf.DUMMYFUNCTION("""COMPUTED_VALUE"""),"Negative")</f>
        <v>Negative</v>
      </c>
      <c r="I895" s="468">
        <f>IFERROR(__xludf.DUMMYFUNCTION("""COMPUTED_VALUE"""),44634.0)</f>
        <v>44634</v>
      </c>
      <c r="J895" s="470">
        <f>IFERROR(__xludf.DUMMYFUNCTION("""COMPUTED_VALUE"""),0.4405324074074074)</f>
        <v>0.4405324074</v>
      </c>
      <c r="K895" s="16"/>
      <c r="L895" s="8"/>
      <c r="M895" s="69"/>
      <c r="N895" s="69">
        <f>IFERROR(__xludf.DUMMYFUNCTION("""COMPUTED_VALUE"""),3.0)</f>
        <v>3</v>
      </c>
      <c r="O895" s="69" t="str">
        <f t="shared" si="3"/>
        <v/>
      </c>
      <c r="P895" s="471">
        <f>IFERROR(__xludf.DUMMYFUNCTION("""COMPUTED_VALUE"""),0.0)</f>
        <v>0</v>
      </c>
      <c r="Q895" s="274" t="b">
        <f>VLOOKUP($B895,'Run Reconcile'!B$2:O2488,14,FALSE)</f>
        <v>1</v>
      </c>
      <c r="R895" s="472" t="str">
        <f t="array" ref="R895">IF($Q895, INDEX('Run Reconcile'!A$2:A2488,MATCH(B895,'Run Reconcile'!B$2:B2488,0),1),IFERROR(0/0,""))</f>
        <v>RUN-FLMP_2022-03-14_RFR-100</v>
      </c>
      <c r="S895" s="473" t="str">
        <f t="shared" si="694"/>
        <v/>
      </c>
      <c r="T895" s="473" t="str">
        <f t="shared" si="698"/>
        <v/>
      </c>
      <c r="U895" s="275" t="str">
        <f t="array" ref="U895">IF(ISBLANK($R895), INDEX('Run Reconcile'!A$2:A2488, MATCH($B895, 'Run Reconcile'!B$2:B2488, 0)+Z895, 1), IFERROR(0/0,""))
</f>
        <v/>
      </c>
      <c r="V895" s="474" t="str">
        <f t="shared" si="5"/>
        <v>RUN-FLMP_2022-03-14_RFR-100</v>
      </c>
      <c r="Y895" s="89" t="str">
        <f t="shared" si="867"/>
        <v/>
      </c>
      <c r="Z895" s="60" t="str">
        <f t="shared" si="7"/>
        <v/>
      </c>
      <c r="AA895" s="60" t="str">
        <f t="shared" si="8"/>
        <v/>
      </c>
      <c r="AB895" s="60" t="str">
        <f t="shared" si="9"/>
        <v/>
      </c>
      <c r="AC895" s="30" t="str">
        <f t="shared" ref="AC895:AD895" si="1251">IF(_xlfn.ISFORMULA(S895),IFERROR(0/0,""),TRUE)</f>
        <v/>
      </c>
      <c r="AD895" s="30" t="str">
        <f t="shared" si="1251"/>
        <v/>
      </c>
      <c r="AE895" s="475" t="str">
        <f>IFERROR(__xludf.DUMMYFUNCTION("""COMPUTED_VALUE"""),"CRLN")</f>
        <v>CRLN</v>
      </c>
      <c r="AF895" s="476"/>
      <c r="AG895" s="474" t="s">
        <v>188</v>
      </c>
      <c r="AH895" s="138" t="str">
        <f t="shared" si="11"/>
        <v/>
      </c>
    </row>
    <row r="896">
      <c r="A896" s="103" t="str">
        <f>IFERROR(__xludf.DUMMYFUNCTION("""COMPUTED_VALUE"""),"FLB4797")</f>
        <v>FLB4797</v>
      </c>
      <c r="B896" s="468">
        <f>IFERROR(__xludf.DUMMYFUNCTION("""COMPUTED_VALUE"""),44634.0)</f>
        <v>44634</v>
      </c>
      <c r="C896" s="469">
        <f>IFERROR(__xludf.DUMMYFUNCTION("""COMPUTED_VALUE"""),0.36400462962962965)</f>
        <v>0.3640046296</v>
      </c>
      <c r="D896" s="103" t="str">
        <f>IFERROR(__xludf.DUMMYFUNCTION("""COMPUTED_VALUE"""),"SpFLMP314549")</f>
        <v>SpFLMP314549</v>
      </c>
      <c r="E896" s="103"/>
      <c r="F896" s="103"/>
      <c r="G896" s="103" t="str">
        <f>IFERROR(__xludf.DUMMYFUNCTION("""COMPUTED_VALUE"""),"Negative")</f>
        <v>Negative</v>
      </c>
      <c r="H896" s="131" t="str">
        <f>IFERROR(__xludf.DUMMYFUNCTION("""COMPUTED_VALUE"""),"Negative")</f>
        <v>Negative</v>
      </c>
      <c r="I896" s="468">
        <f>IFERROR(__xludf.DUMMYFUNCTION("""COMPUTED_VALUE"""),44634.0)</f>
        <v>44634</v>
      </c>
      <c r="J896" s="470">
        <f>IFERROR(__xludf.DUMMYFUNCTION("""COMPUTED_VALUE"""),0.4405324074074074)</f>
        <v>0.4405324074</v>
      </c>
      <c r="K896" s="16"/>
      <c r="L896" s="8"/>
      <c r="M896" s="69"/>
      <c r="N896" s="69">
        <f>IFERROR(__xludf.DUMMYFUNCTION("""COMPUTED_VALUE"""),1.0)</f>
        <v>1</v>
      </c>
      <c r="O896" s="69" t="str">
        <f t="shared" si="3"/>
        <v/>
      </c>
      <c r="P896" s="471">
        <f>IFERROR(__xludf.DUMMYFUNCTION("""COMPUTED_VALUE"""),0.0)</f>
        <v>0</v>
      </c>
      <c r="Q896" s="274" t="b">
        <f>VLOOKUP($B896,'Run Reconcile'!B$2:O2488,14,FALSE)</f>
        <v>1</v>
      </c>
      <c r="R896" s="472" t="str">
        <f t="array" ref="R896">IF($Q896, INDEX('Run Reconcile'!A$2:A2488,MATCH(B896,'Run Reconcile'!B$2:B2488,0),1),IFERROR(0/0,""))</f>
        <v>RUN-FLMP_2022-03-14_RFR-100</v>
      </c>
      <c r="S896" s="473" t="str">
        <f t="shared" si="694"/>
        <v/>
      </c>
      <c r="T896" s="473" t="str">
        <f t="shared" si="698"/>
        <v/>
      </c>
      <c r="U896" s="275" t="str">
        <f t="array" ref="U896">IF(ISBLANK($R896), INDEX('Run Reconcile'!A$2:A2488, MATCH($B896, 'Run Reconcile'!B$2:B2488, 0)+Z896, 1), IFERROR(0/0,""))
</f>
        <v/>
      </c>
      <c r="V896" s="474" t="str">
        <f t="shared" si="5"/>
        <v>RUN-FLMP_2022-03-14_RFR-100</v>
      </c>
      <c r="Y896" s="89" t="str">
        <f t="shared" si="867"/>
        <v/>
      </c>
      <c r="Z896" s="60" t="str">
        <f t="shared" si="7"/>
        <v/>
      </c>
      <c r="AA896" s="60" t="str">
        <f t="shared" si="8"/>
        <v/>
      </c>
      <c r="AB896" s="60" t="str">
        <f t="shared" si="9"/>
        <v/>
      </c>
      <c r="AC896" s="30" t="str">
        <f t="shared" ref="AC896:AD896" si="1252">IF(_xlfn.ISFORMULA(S896),IFERROR(0/0,""),TRUE)</f>
        <v/>
      </c>
      <c r="AD896" s="30" t="str">
        <f t="shared" si="1252"/>
        <v/>
      </c>
      <c r="AE896" s="475" t="str">
        <f>IFERROR(__xludf.DUMMYFUNCTION("""COMPUTED_VALUE"""),"CRLN")</f>
        <v>CRLN</v>
      </c>
      <c r="AF896" s="476"/>
      <c r="AG896" s="474" t="s">
        <v>188</v>
      </c>
      <c r="AH896" s="138" t="str">
        <f t="shared" si="11"/>
        <v/>
      </c>
    </row>
    <row r="897">
      <c r="A897" s="103" t="str">
        <f>IFERROR(__xludf.DUMMYFUNCTION("""COMPUTED_VALUE"""),"FLB4941")</f>
        <v>FLB4941</v>
      </c>
      <c r="B897" s="468">
        <f>IFERROR(__xludf.DUMMYFUNCTION("""COMPUTED_VALUE"""),44634.0)</f>
        <v>44634</v>
      </c>
      <c r="C897" s="469">
        <f>IFERROR(__xludf.DUMMYFUNCTION("""COMPUTED_VALUE"""),0.3723726851851852)</f>
        <v>0.3723726852</v>
      </c>
      <c r="D897" s="103" t="str">
        <f>IFERROR(__xludf.DUMMYFUNCTION("""COMPUTED_VALUE"""),"SpFLMP684798")</f>
        <v>SpFLMP684798</v>
      </c>
      <c r="E897" s="103"/>
      <c r="F897" s="103"/>
      <c r="G897" s="103" t="str">
        <f>IFERROR(__xludf.DUMMYFUNCTION("""COMPUTED_VALUE"""),"Negative")</f>
        <v>Negative</v>
      </c>
      <c r="H897" s="131" t="str">
        <f>IFERROR(__xludf.DUMMYFUNCTION("""COMPUTED_VALUE"""),"Negative")</f>
        <v>Negative</v>
      </c>
      <c r="I897" s="468">
        <f>IFERROR(__xludf.DUMMYFUNCTION("""COMPUTED_VALUE"""),44634.0)</f>
        <v>44634</v>
      </c>
      <c r="J897" s="470">
        <f>IFERROR(__xludf.DUMMYFUNCTION("""COMPUTED_VALUE"""),0.4405324074074074)</f>
        <v>0.4405324074</v>
      </c>
      <c r="K897" s="16"/>
      <c r="L897" s="8"/>
      <c r="M897" s="69"/>
      <c r="N897" s="69">
        <f>IFERROR(__xludf.DUMMYFUNCTION("""COMPUTED_VALUE"""),4.0)</f>
        <v>4</v>
      </c>
      <c r="O897" s="69" t="str">
        <f t="shared" si="3"/>
        <v/>
      </c>
      <c r="P897" s="471">
        <f>IFERROR(__xludf.DUMMYFUNCTION("""COMPUTED_VALUE"""),0.0)</f>
        <v>0</v>
      </c>
      <c r="Q897" s="274" t="b">
        <f>VLOOKUP($B897,'Run Reconcile'!B$2:O2488,14,FALSE)</f>
        <v>1</v>
      </c>
      <c r="R897" s="472" t="str">
        <f t="array" ref="R897">IF($Q897, INDEX('Run Reconcile'!A$2:A2488,MATCH(B897,'Run Reconcile'!B$2:B2488,0),1),IFERROR(0/0,""))</f>
        <v>RUN-FLMP_2022-03-14_RFR-100</v>
      </c>
      <c r="S897" s="473" t="str">
        <f t="shared" si="694"/>
        <v/>
      </c>
      <c r="T897" s="473" t="str">
        <f t="shared" si="698"/>
        <v/>
      </c>
      <c r="U897" s="275" t="str">
        <f t="array" ref="U897">IF(ISBLANK($R897), INDEX('Run Reconcile'!A$2:A2488, MATCH($B897, 'Run Reconcile'!B$2:B2488, 0)+Z897, 1), IFERROR(0/0,""))
</f>
        <v/>
      </c>
      <c r="V897" s="474" t="str">
        <f t="shared" si="5"/>
        <v>RUN-FLMP_2022-03-14_RFR-100</v>
      </c>
      <c r="Y897" s="89" t="str">
        <f t="shared" si="867"/>
        <v/>
      </c>
      <c r="Z897" s="60" t="str">
        <f t="shared" si="7"/>
        <v/>
      </c>
      <c r="AA897" s="60" t="str">
        <f t="shared" si="8"/>
        <v/>
      </c>
      <c r="AB897" s="60" t="str">
        <f t="shared" si="9"/>
        <v/>
      </c>
      <c r="AC897" s="30" t="str">
        <f t="shared" ref="AC897:AD897" si="1253">IF(_xlfn.ISFORMULA(S897),IFERROR(0/0,""),TRUE)</f>
        <v/>
      </c>
      <c r="AD897" s="30" t="str">
        <f t="shared" si="1253"/>
        <v/>
      </c>
      <c r="AE897" s="475" t="str">
        <f>IFERROR(__xludf.DUMMYFUNCTION("""COMPUTED_VALUE"""),"CRLN")</f>
        <v>CRLN</v>
      </c>
      <c r="AF897" s="476"/>
      <c r="AG897" s="474" t="s">
        <v>188</v>
      </c>
      <c r="AH897" s="138" t="str">
        <f t="shared" si="11"/>
        <v/>
      </c>
    </row>
    <row r="898">
      <c r="A898" s="477" t="str">
        <f>IFERROR(__xludf.DUMMYFUNCTION("""COMPUTED_VALUE"""),"FLT1432")</f>
        <v>FLT1432</v>
      </c>
      <c r="B898" s="478">
        <f>IFERROR(__xludf.DUMMYFUNCTION("""COMPUTED_VALUE"""),44636.0)</f>
        <v>44636</v>
      </c>
      <c r="C898" s="479">
        <f>IFERROR(__xludf.DUMMYFUNCTION("""COMPUTED_VALUE"""),0.7859837962962963)</f>
        <v>0.7859837963</v>
      </c>
      <c r="D898" s="477" t="str">
        <f>IFERROR(__xludf.DUMMYFUNCTION("""COMPUTED_VALUE"""),"SpFLMP271329")</f>
        <v>SpFLMP271329</v>
      </c>
      <c r="E898" s="477"/>
      <c r="F898" s="477"/>
      <c r="G898" s="477" t="str">
        <f>IFERROR(__xludf.DUMMYFUNCTION("""COMPUTED_VALUE"""),"Negative")</f>
        <v>Negative</v>
      </c>
      <c r="H898" s="480" t="str">
        <f>IFERROR(__xludf.DUMMYFUNCTION("""COMPUTED_VALUE"""),"Negative")</f>
        <v>Negative</v>
      </c>
      <c r="I898" s="478">
        <f>IFERROR(__xludf.DUMMYFUNCTION("""COMPUTED_VALUE"""),44637.0)</f>
        <v>44637</v>
      </c>
      <c r="J898" s="481">
        <f>IFERROR(__xludf.DUMMYFUNCTION("""COMPUTED_VALUE"""),0.42929398148148146)</f>
        <v>0.4292939815</v>
      </c>
      <c r="K898" s="156"/>
      <c r="L898" s="19"/>
      <c r="M898" s="482"/>
      <c r="N898" s="482">
        <f>IFERROR(__xludf.DUMMYFUNCTION("""COMPUTED_VALUE"""),1.0)</f>
        <v>1</v>
      </c>
      <c r="O898" s="482" t="b">
        <f t="shared" si="3"/>
        <v>1</v>
      </c>
      <c r="P898" s="483">
        <f>IFERROR(__xludf.DUMMYFUNCTION("""COMPUTED_VALUE"""),1.0)</f>
        <v>1</v>
      </c>
      <c r="Q898" s="352" t="str">
        <f>VLOOKUP($B898,'Run Reconcile'!B$2:O2488,14,FALSE)</f>
        <v/>
      </c>
      <c r="R898" s="484" t="str">
        <f t="array" ref="R898">IF($Q898, INDEX('Run Reconcile'!A$2:A2488,MATCH(B898,'Run Reconcile'!B$2:B2488,0),1),IFERROR(0/0,""))</f>
        <v/>
      </c>
      <c r="S898" s="485" t="b">
        <f t="shared" si="694"/>
        <v>1</v>
      </c>
      <c r="T898" s="485" t="str">
        <f t="shared" si="698"/>
        <v/>
      </c>
      <c r="U898" s="353" t="str">
        <f t="array" ref="U898">IF(ISBLANK($R898), INDEX('Run Reconcile'!A$2:A2488, MATCH($B898, 'Run Reconcile'!B$2:B2488, 0)+Z898, 1), IFERROR(0/0,""))
</f>
        <v>RUN-FLMP_2022-03-17_RFR-102</v>
      </c>
      <c r="V898" s="486" t="str">
        <f t="shared" si="5"/>
        <v>RUN-FLMP_2022-03-17_RFR-102</v>
      </c>
      <c r="W898" s="19" t="s">
        <v>1466</v>
      </c>
      <c r="X898" s="19"/>
      <c r="Y898" s="89">
        <f t="shared" si="867"/>
        <v>1</v>
      </c>
      <c r="Z898" s="60">
        <f t="shared" si="7"/>
        <v>1</v>
      </c>
      <c r="AA898" s="60">
        <f t="shared" si="8"/>
        <v>1</v>
      </c>
      <c r="AB898" s="60" t="str">
        <f t="shared" si="9"/>
        <v/>
      </c>
      <c r="AC898" s="158" t="str">
        <f t="shared" ref="AC898:AD898" si="1254">IF(_xlfn.ISFORMULA(S898),IFERROR(0/0,""),TRUE)</f>
        <v/>
      </c>
      <c r="AD898" s="158" t="str">
        <f t="shared" si="1254"/>
        <v/>
      </c>
      <c r="AE898" s="488" t="str">
        <f>IFERROR(__xludf.DUMMYFUNCTION("""COMPUTED_VALUE"""),"CRLN")</f>
        <v>CRLN</v>
      </c>
      <c r="AF898" s="489"/>
      <c r="AG898" s="486" t="s">
        <v>189</v>
      </c>
      <c r="AH898" s="138" t="str">
        <f t="shared" si="11"/>
        <v/>
      </c>
      <c r="AI898" s="19"/>
      <c r="AJ898" s="19"/>
      <c r="AK898" s="19"/>
      <c r="AL898" s="19"/>
      <c r="AM898" s="19"/>
    </row>
    <row r="899">
      <c r="A899" s="103" t="str">
        <f>IFERROR(__xludf.DUMMYFUNCTION("""COMPUTED_VALUE"""),"FLB4940")</f>
        <v>FLB4940</v>
      </c>
      <c r="B899" s="468">
        <f>IFERROR(__xludf.DUMMYFUNCTION("""COMPUTED_VALUE"""),44637.0)</f>
        <v>44637</v>
      </c>
      <c r="C899" s="469">
        <f>IFERROR(__xludf.DUMMYFUNCTION("""COMPUTED_VALUE"""),0.2795949074074074)</f>
        <v>0.2795949074</v>
      </c>
      <c r="D899" s="103" t="str">
        <f>IFERROR(__xludf.DUMMYFUNCTION("""COMPUTED_VALUE"""),"SpFLMP690282")</f>
        <v>SpFLMP690282</v>
      </c>
      <c r="E899" s="103"/>
      <c r="F899" s="103"/>
      <c r="G899" s="103" t="str">
        <f>IFERROR(__xludf.DUMMYFUNCTION("""COMPUTED_VALUE"""),"Negative")</f>
        <v>Negative</v>
      </c>
      <c r="H899" s="131" t="str">
        <f>IFERROR(__xludf.DUMMYFUNCTION("""COMPUTED_VALUE"""),"Negative")</f>
        <v>Negative</v>
      </c>
      <c r="I899" s="468">
        <f>IFERROR(__xludf.DUMMYFUNCTION("""COMPUTED_VALUE"""),44637.0)</f>
        <v>44637</v>
      </c>
      <c r="J899" s="470">
        <f>IFERROR(__xludf.DUMMYFUNCTION("""COMPUTED_VALUE"""),0.42929398148148146)</f>
        <v>0.4292939815</v>
      </c>
      <c r="K899" s="16"/>
      <c r="L899" s="8"/>
      <c r="M899" s="69"/>
      <c r="N899" s="69">
        <f>IFERROR(__xludf.DUMMYFUNCTION("""COMPUTED_VALUE"""),2.0)</f>
        <v>2</v>
      </c>
      <c r="O899" s="69" t="b">
        <f t="shared" si="3"/>
        <v>1</v>
      </c>
      <c r="P899" s="471">
        <f>IFERROR(__xludf.DUMMYFUNCTION("""COMPUTED_VALUE"""),0.0)</f>
        <v>0</v>
      </c>
      <c r="Q899" s="274" t="b">
        <f>VLOOKUP($B899,'Run Reconcile'!B$2:O2488,14,FALSE)</f>
        <v>1</v>
      </c>
      <c r="R899" s="472" t="str">
        <f t="array" ref="R899">IF($Q899, INDEX('Run Reconcile'!A$2:A2488,MATCH(B899,'Run Reconcile'!B$2:B2488,0),1),IFERROR(0/0,""))</f>
        <v>RUN-FLMP_2022-03-17_RFR-102</v>
      </c>
      <c r="S899" s="473" t="str">
        <f t="shared" si="694"/>
        <v/>
      </c>
      <c r="T899" s="473" t="str">
        <f t="shared" si="698"/>
        <v/>
      </c>
      <c r="U899" s="275" t="str">
        <f t="array" ref="U899">IF(ISBLANK($R899), INDEX('Run Reconcile'!A$2:A2488, MATCH($B899, 'Run Reconcile'!B$2:B2488, 0)+Z899, 1), IFERROR(0/0,""))
</f>
        <v/>
      </c>
      <c r="V899" s="474" t="str">
        <f t="shared" si="5"/>
        <v>RUN-FLMP_2022-03-17_RFR-102</v>
      </c>
      <c r="Y899" s="89" t="str">
        <f t="shared" si="867"/>
        <v/>
      </c>
      <c r="Z899" s="60" t="str">
        <f t="shared" si="7"/>
        <v/>
      </c>
      <c r="AA899" s="60" t="str">
        <f t="shared" si="8"/>
        <v/>
      </c>
      <c r="AB899" s="60" t="str">
        <f t="shared" si="9"/>
        <v/>
      </c>
      <c r="AC899" s="30" t="str">
        <f t="shared" ref="AC899:AD899" si="1255">IF(_xlfn.ISFORMULA(S899),IFERROR(0/0,""),TRUE)</f>
        <v/>
      </c>
      <c r="AD899" s="30" t="str">
        <f t="shared" si="1255"/>
        <v/>
      </c>
      <c r="AE899" s="475" t="str">
        <f>IFERROR(__xludf.DUMMYFUNCTION("""COMPUTED_VALUE"""),"CRLN")</f>
        <v>CRLN</v>
      </c>
      <c r="AF899" s="476"/>
      <c r="AG899" s="474" t="s">
        <v>189</v>
      </c>
      <c r="AH899" s="138" t="str">
        <f t="shared" si="11"/>
        <v/>
      </c>
    </row>
    <row r="900">
      <c r="A900" s="103" t="str">
        <f>IFERROR(__xludf.DUMMYFUNCTION("""COMPUTED_VALUE"""),"FLB6347")</f>
        <v>FLB6347</v>
      </c>
      <c r="B900" s="468">
        <f>IFERROR(__xludf.DUMMYFUNCTION("""COMPUTED_VALUE"""),44637.0)</f>
        <v>44637</v>
      </c>
      <c r="C900" s="469">
        <f>IFERROR(__xludf.DUMMYFUNCTION("""COMPUTED_VALUE"""),0.3044212962962963)</f>
        <v>0.3044212963</v>
      </c>
      <c r="D900" s="103" t="str">
        <f>IFERROR(__xludf.DUMMYFUNCTION("""COMPUTED_VALUE"""),"SpFLMP470379")</f>
        <v>SpFLMP470379</v>
      </c>
      <c r="E900" s="103"/>
      <c r="F900" s="103"/>
      <c r="G900" s="103" t="str">
        <f>IFERROR(__xludf.DUMMYFUNCTION("""COMPUTED_VALUE"""),"Negative")</f>
        <v>Negative</v>
      </c>
      <c r="H900" s="131" t="str">
        <f>IFERROR(__xludf.DUMMYFUNCTION("""COMPUTED_VALUE"""),"Negative")</f>
        <v>Negative</v>
      </c>
      <c r="I900" s="468">
        <f>IFERROR(__xludf.DUMMYFUNCTION("""COMPUTED_VALUE"""),44637.0)</f>
        <v>44637</v>
      </c>
      <c r="J900" s="470">
        <f>IFERROR(__xludf.DUMMYFUNCTION("""COMPUTED_VALUE"""),0.42929398148148146)</f>
        <v>0.4292939815</v>
      </c>
      <c r="K900" s="16"/>
      <c r="L900" s="8"/>
      <c r="M900" s="69"/>
      <c r="N900" s="69">
        <f>IFERROR(__xludf.DUMMYFUNCTION("""COMPUTED_VALUE"""),1.0)</f>
        <v>1</v>
      </c>
      <c r="O900" s="69" t="str">
        <f t="shared" si="3"/>
        <v/>
      </c>
      <c r="P900" s="471">
        <f>IFERROR(__xludf.DUMMYFUNCTION("""COMPUTED_VALUE"""),0.0)</f>
        <v>0</v>
      </c>
      <c r="Q900" s="274" t="b">
        <f>VLOOKUP($B900,'Run Reconcile'!B$2:O2488,14,FALSE)</f>
        <v>1</v>
      </c>
      <c r="R900" s="472" t="str">
        <f t="array" ref="R900">IF($Q900, INDEX('Run Reconcile'!A$2:A2488,MATCH(B900,'Run Reconcile'!B$2:B2488,0),1),IFERROR(0/0,""))</f>
        <v>RUN-FLMP_2022-03-17_RFR-102</v>
      </c>
      <c r="S900" s="473" t="str">
        <f t="shared" si="694"/>
        <v/>
      </c>
      <c r="T900" s="473" t="str">
        <f t="shared" si="698"/>
        <v/>
      </c>
      <c r="U900" s="275" t="str">
        <f t="array" ref="U900">IF(ISBLANK($R900), INDEX('Run Reconcile'!A$2:A2488, MATCH($B900, 'Run Reconcile'!B$2:B2488, 0)+Z900, 1), IFERROR(0/0,""))
</f>
        <v/>
      </c>
      <c r="V900" s="474" t="str">
        <f t="shared" si="5"/>
        <v>RUN-FLMP_2022-03-17_RFR-102</v>
      </c>
      <c r="Y900" s="89" t="str">
        <f t="shared" si="867"/>
        <v/>
      </c>
      <c r="Z900" s="60" t="str">
        <f t="shared" si="7"/>
        <v/>
      </c>
      <c r="AA900" s="60" t="str">
        <f t="shared" si="8"/>
        <v/>
      </c>
      <c r="AB900" s="60" t="str">
        <f t="shared" si="9"/>
        <v/>
      </c>
      <c r="AC900" s="30" t="str">
        <f t="shared" ref="AC900:AD900" si="1256">IF(_xlfn.ISFORMULA(S900),IFERROR(0/0,""),TRUE)</f>
        <v/>
      </c>
      <c r="AD900" s="30" t="str">
        <f t="shared" si="1256"/>
        <v/>
      </c>
      <c r="AE900" s="475" t="str">
        <f>IFERROR(__xludf.DUMMYFUNCTION("""COMPUTED_VALUE"""),"CRLN")</f>
        <v>CRLN</v>
      </c>
      <c r="AF900" s="476"/>
      <c r="AG900" s="474" t="s">
        <v>189</v>
      </c>
      <c r="AH900" s="138" t="str">
        <f t="shared" si="11"/>
        <v/>
      </c>
    </row>
    <row r="901">
      <c r="A901" s="103" t="str">
        <f>IFERROR(__xludf.DUMMYFUNCTION("""COMPUTED_VALUE"""),"FLB4913")</f>
        <v>FLB4913</v>
      </c>
      <c r="B901" s="468">
        <f>IFERROR(__xludf.DUMMYFUNCTION("""COMPUTED_VALUE"""),44637.0)</f>
        <v>44637</v>
      </c>
      <c r="C901" s="469">
        <f>IFERROR(__xludf.DUMMYFUNCTION("""COMPUTED_VALUE"""),0.3070833333333333)</f>
        <v>0.3070833333</v>
      </c>
      <c r="D901" s="103" t="str">
        <f>IFERROR(__xludf.DUMMYFUNCTION("""COMPUTED_VALUE"""),"SpFLMP777132")</f>
        <v>SpFLMP777132</v>
      </c>
      <c r="E901" s="103"/>
      <c r="F901" s="103"/>
      <c r="G901" s="103" t="str">
        <f>IFERROR(__xludf.DUMMYFUNCTION("""COMPUTED_VALUE"""),"Negative")</f>
        <v>Negative</v>
      </c>
      <c r="H901" s="131" t="str">
        <f>IFERROR(__xludf.DUMMYFUNCTION("""COMPUTED_VALUE"""),"Negative")</f>
        <v>Negative</v>
      </c>
      <c r="I901" s="468">
        <f>IFERROR(__xludf.DUMMYFUNCTION("""COMPUTED_VALUE"""),44637.0)</f>
        <v>44637</v>
      </c>
      <c r="J901" s="470">
        <f>IFERROR(__xludf.DUMMYFUNCTION("""COMPUTED_VALUE"""),0.42929398148148146)</f>
        <v>0.4292939815</v>
      </c>
      <c r="K901" s="16"/>
      <c r="L901" s="8"/>
      <c r="M901" s="69"/>
      <c r="N901" s="69">
        <f>IFERROR(__xludf.DUMMYFUNCTION("""COMPUTED_VALUE"""),4.0)</f>
        <v>4</v>
      </c>
      <c r="O901" s="69" t="str">
        <f t="shared" si="3"/>
        <v/>
      </c>
      <c r="P901" s="471">
        <f>IFERROR(__xludf.DUMMYFUNCTION("""COMPUTED_VALUE"""),0.0)</f>
        <v>0</v>
      </c>
      <c r="Q901" s="274" t="b">
        <f>VLOOKUP($B901,'Run Reconcile'!B$2:O2488,14,FALSE)</f>
        <v>1</v>
      </c>
      <c r="R901" s="472" t="str">
        <f t="array" ref="R901">IF($Q901, INDEX('Run Reconcile'!A$2:A2488,MATCH(B901,'Run Reconcile'!B$2:B2488,0),1),IFERROR(0/0,""))</f>
        <v>RUN-FLMP_2022-03-17_RFR-102</v>
      </c>
      <c r="S901" s="473" t="str">
        <f t="shared" si="694"/>
        <v/>
      </c>
      <c r="T901" s="473" t="str">
        <f t="shared" si="698"/>
        <v/>
      </c>
      <c r="U901" s="275" t="str">
        <f t="array" ref="U901">IF(ISBLANK($R901), INDEX('Run Reconcile'!A$2:A2488, MATCH($B901, 'Run Reconcile'!B$2:B2488, 0)+Z901, 1), IFERROR(0/0,""))
</f>
        <v/>
      </c>
      <c r="V901" s="474" t="str">
        <f t="shared" si="5"/>
        <v>RUN-FLMP_2022-03-17_RFR-102</v>
      </c>
      <c r="Y901" s="89" t="str">
        <f t="shared" si="867"/>
        <v/>
      </c>
      <c r="Z901" s="60" t="str">
        <f t="shared" si="7"/>
        <v/>
      </c>
      <c r="AA901" s="60" t="str">
        <f t="shared" si="8"/>
        <v/>
      </c>
      <c r="AB901" s="60" t="str">
        <f t="shared" si="9"/>
        <v/>
      </c>
      <c r="AC901" s="30" t="str">
        <f t="shared" ref="AC901:AD901" si="1257">IF(_xlfn.ISFORMULA(S901),IFERROR(0/0,""),TRUE)</f>
        <v/>
      </c>
      <c r="AD901" s="30" t="str">
        <f t="shared" si="1257"/>
        <v/>
      </c>
      <c r="AE901" s="475" t="str">
        <f>IFERROR(__xludf.DUMMYFUNCTION("""COMPUTED_VALUE"""),"CRLN")</f>
        <v>CRLN</v>
      </c>
      <c r="AF901" s="476"/>
      <c r="AG901" s="474" t="s">
        <v>189</v>
      </c>
      <c r="AH901" s="138" t="str">
        <f t="shared" si="11"/>
        <v/>
      </c>
    </row>
    <row r="902">
      <c r="A902" s="103" t="str">
        <f>IFERROR(__xludf.DUMMYFUNCTION("""COMPUTED_VALUE"""),"FLB4901")</f>
        <v>FLB4901</v>
      </c>
      <c r="B902" s="468">
        <f>IFERROR(__xludf.DUMMYFUNCTION("""COMPUTED_VALUE"""),44637.0)</f>
        <v>44637</v>
      </c>
      <c r="C902" s="469">
        <f>IFERROR(__xludf.DUMMYFUNCTION("""COMPUTED_VALUE"""),0.3178125)</f>
        <v>0.3178125</v>
      </c>
      <c r="D902" s="103" t="str">
        <f>IFERROR(__xludf.DUMMYFUNCTION("""COMPUTED_VALUE"""),"SpFLMP572444")</f>
        <v>SpFLMP572444</v>
      </c>
      <c r="E902" s="103"/>
      <c r="F902" s="103"/>
      <c r="G902" s="103" t="str">
        <f>IFERROR(__xludf.DUMMYFUNCTION("""COMPUTED_VALUE"""),"Negative")</f>
        <v>Negative</v>
      </c>
      <c r="H902" s="131" t="str">
        <f>IFERROR(__xludf.DUMMYFUNCTION("""COMPUTED_VALUE"""),"Negative")</f>
        <v>Negative</v>
      </c>
      <c r="I902" s="468">
        <f>IFERROR(__xludf.DUMMYFUNCTION("""COMPUTED_VALUE"""),44637.0)</f>
        <v>44637</v>
      </c>
      <c r="J902" s="470">
        <f>IFERROR(__xludf.DUMMYFUNCTION("""COMPUTED_VALUE"""),0.42929398148148146)</f>
        <v>0.4292939815</v>
      </c>
      <c r="K902" s="16"/>
      <c r="L902" s="8"/>
      <c r="M902" s="69"/>
      <c r="N902" s="69">
        <f>IFERROR(__xludf.DUMMYFUNCTION("""COMPUTED_VALUE"""),4.0)</f>
        <v>4</v>
      </c>
      <c r="O902" s="69" t="str">
        <f t="shared" si="3"/>
        <v/>
      </c>
      <c r="P902" s="471">
        <f>IFERROR(__xludf.DUMMYFUNCTION("""COMPUTED_VALUE"""),0.0)</f>
        <v>0</v>
      </c>
      <c r="Q902" s="274" t="b">
        <f>VLOOKUP($B902,'Run Reconcile'!B$2:O2488,14,FALSE)</f>
        <v>1</v>
      </c>
      <c r="R902" s="472" t="str">
        <f t="array" ref="R902">IF($Q902, INDEX('Run Reconcile'!A$2:A2488,MATCH(B902,'Run Reconcile'!B$2:B2488,0),1),IFERROR(0/0,""))</f>
        <v>RUN-FLMP_2022-03-17_RFR-102</v>
      </c>
      <c r="S902" s="473" t="str">
        <f t="shared" si="694"/>
        <v/>
      </c>
      <c r="T902" s="473" t="str">
        <f t="shared" si="698"/>
        <v/>
      </c>
      <c r="U902" s="275" t="str">
        <f t="array" ref="U902">IF(ISBLANK($R902), INDEX('Run Reconcile'!A$2:A2488, MATCH($B902, 'Run Reconcile'!B$2:B2488, 0)+Z902, 1), IFERROR(0/0,""))
</f>
        <v/>
      </c>
      <c r="V902" s="474" t="str">
        <f t="shared" si="5"/>
        <v>RUN-FLMP_2022-03-17_RFR-102</v>
      </c>
      <c r="Y902" s="89" t="str">
        <f t="shared" si="867"/>
        <v/>
      </c>
      <c r="Z902" s="60" t="str">
        <f t="shared" si="7"/>
        <v/>
      </c>
      <c r="AA902" s="60" t="str">
        <f t="shared" si="8"/>
        <v/>
      </c>
      <c r="AB902" s="60" t="str">
        <f t="shared" si="9"/>
        <v/>
      </c>
      <c r="AC902" s="30" t="str">
        <f t="shared" ref="AC902:AD902" si="1258">IF(_xlfn.ISFORMULA(S902),IFERROR(0/0,""),TRUE)</f>
        <v/>
      </c>
      <c r="AD902" s="30" t="str">
        <f t="shared" si="1258"/>
        <v/>
      </c>
      <c r="AE902" s="475" t="str">
        <f>IFERROR(__xludf.DUMMYFUNCTION("""COMPUTED_VALUE"""),"CRLN")</f>
        <v>CRLN</v>
      </c>
      <c r="AF902" s="476"/>
      <c r="AG902" s="474" t="s">
        <v>189</v>
      </c>
      <c r="AH902" s="138" t="str">
        <f t="shared" si="11"/>
        <v/>
      </c>
    </row>
    <row r="903">
      <c r="A903" s="103" t="str">
        <f>IFERROR(__xludf.DUMMYFUNCTION("""COMPUTED_VALUE"""),"FLB4781")</f>
        <v>FLB4781</v>
      </c>
      <c r="B903" s="468">
        <f>IFERROR(__xludf.DUMMYFUNCTION("""COMPUTED_VALUE"""),44637.0)</f>
        <v>44637</v>
      </c>
      <c r="C903" s="469">
        <f>IFERROR(__xludf.DUMMYFUNCTION("""COMPUTED_VALUE"""),0.3184606481481482)</f>
        <v>0.3184606481</v>
      </c>
      <c r="D903" s="103" t="str">
        <f>IFERROR(__xludf.DUMMYFUNCTION("""COMPUTED_VALUE"""),"SpFLMP268514")</f>
        <v>SpFLMP268514</v>
      </c>
      <c r="E903" s="103"/>
      <c r="F903" s="103"/>
      <c r="G903" s="103" t="str">
        <f>IFERROR(__xludf.DUMMYFUNCTION("""COMPUTED_VALUE"""),"Negative")</f>
        <v>Negative</v>
      </c>
      <c r="H903" s="131" t="str">
        <f>IFERROR(__xludf.DUMMYFUNCTION("""COMPUTED_VALUE"""),"Negative")</f>
        <v>Negative</v>
      </c>
      <c r="I903" s="468">
        <f>IFERROR(__xludf.DUMMYFUNCTION("""COMPUTED_VALUE"""),44637.0)</f>
        <v>44637</v>
      </c>
      <c r="J903" s="470">
        <f>IFERROR(__xludf.DUMMYFUNCTION("""COMPUTED_VALUE"""),0.42929398148148146)</f>
        <v>0.4292939815</v>
      </c>
      <c r="K903" s="16"/>
      <c r="L903" s="8"/>
      <c r="M903" s="69"/>
      <c r="N903" s="69">
        <f>IFERROR(__xludf.DUMMYFUNCTION("""COMPUTED_VALUE"""),3.0)</f>
        <v>3</v>
      </c>
      <c r="O903" s="69" t="str">
        <f t="shared" si="3"/>
        <v/>
      </c>
      <c r="P903" s="471">
        <f>IFERROR(__xludf.DUMMYFUNCTION("""COMPUTED_VALUE"""),0.0)</f>
        <v>0</v>
      </c>
      <c r="Q903" s="274" t="b">
        <f>VLOOKUP($B903,'Run Reconcile'!B$2:O2488,14,FALSE)</f>
        <v>1</v>
      </c>
      <c r="R903" s="472" t="str">
        <f t="array" ref="R903">IF($Q903, INDEX('Run Reconcile'!A$2:A2488,MATCH(B903,'Run Reconcile'!B$2:B2488,0),1),IFERROR(0/0,""))</f>
        <v>RUN-FLMP_2022-03-17_RFR-102</v>
      </c>
      <c r="S903" s="473" t="str">
        <f t="shared" si="694"/>
        <v/>
      </c>
      <c r="T903" s="473" t="str">
        <f t="shared" si="698"/>
        <v/>
      </c>
      <c r="U903" s="275" t="str">
        <f t="array" ref="U903">IF(ISBLANK($R903), INDEX('Run Reconcile'!A$2:A2488, MATCH($B903, 'Run Reconcile'!B$2:B2488, 0)+Z903, 1), IFERROR(0/0,""))
</f>
        <v/>
      </c>
      <c r="V903" s="474" t="str">
        <f t="shared" si="5"/>
        <v>RUN-FLMP_2022-03-17_RFR-102</v>
      </c>
      <c r="Y903" s="89" t="str">
        <f t="shared" si="867"/>
        <v/>
      </c>
      <c r="Z903" s="60" t="str">
        <f t="shared" si="7"/>
        <v/>
      </c>
      <c r="AA903" s="60" t="str">
        <f t="shared" si="8"/>
        <v/>
      </c>
      <c r="AB903" s="60" t="str">
        <f t="shared" si="9"/>
        <v/>
      </c>
      <c r="AC903" s="30" t="str">
        <f t="shared" ref="AC903:AD903" si="1259">IF(_xlfn.ISFORMULA(S903),IFERROR(0/0,""),TRUE)</f>
        <v/>
      </c>
      <c r="AD903" s="30" t="str">
        <f t="shared" si="1259"/>
        <v/>
      </c>
      <c r="AE903" s="475" t="str">
        <f>IFERROR(__xludf.DUMMYFUNCTION("""COMPUTED_VALUE"""),"CRLN")</f>
        <v>CRLN</v>
      </c>
      <c r="AF903" s="476"/>
      <c r="AG903" s="474" t="s">
        <v>189</v>
      </c>
      <c r="AH903" s="138" t="str">
        <f t="shared" si="11"/>
        <v/>
      </c>
    </row>
    <row r="904">
      <c r="A904" s="103" t="str">
        <f>IFERROR(__xludf.DUMMYFUNCTION("""COMPUTED_VALUE"""),"FLB7167")</f>
        <v>FLB7167</v>
      </c>
      <c r="B904" s="468">
        <f>IFERROR(__xludf.DUMMYFUNCTION("""COMPUTED_VALUE"""),44637.0)</f>
        <v>44637</v>
      </c>
      <c r="C904" s="469">
        <f>IFERROR(__xludf.DUMMYFUNCTION("""COMPUTED_VALUE"""),0.3303587962962963)</f>
        <v>0.3303587963</v>
      </c>
      <c r="D904" s="103" t="str">
        <f>IFERROR(__xludf.DUMMYFUNCTION("""COMPUTED_VALUE"""),"SpFLMP273885")</f>
        <v>SpFLMP273885</v>
      </c>
      <c r="E904" s="103"/>
      <c r="F904" s="103"/>
      <c r="G904" s="103" t="str">
        <f>IFERROR(__xludf.DUMMYFUNCTION("""COMPUTED_VALUE"""),"Negative")</f>
        <v>Negative</v>
      </c>
      <c r="H904" s="131" t="str">
        <f>IFERROR(__xludf.DUMMYFUNCTION("""COMPUTED_VALUE"""),"Negative")</f>
        <v>Negative</v>
      </c>
      <c r="I904" s="468">
        <f>IFERROR(__xludf.DUMMYFUNCTION("""COMPUTED_VALUE"""),44637.0)</f>
        <v>44637</v>
      </c>
      <c r="J904" s="470">
        <f>IFERROR(__xludf.DUMMYFUNCTION("""COMPUTED_VALUE"""),0.42929398148148146)</f>
        <v>0.4292939815</v>
      </c>
      <c r="K904" s="16"/>
      <c r="L904" s="8"/>
      <c r="M904" s="69"/>
      <c r="N904" s="69">
        <f>IFERROR(__xludf.DUMMYFUNCTION("""COMPUTED_VALUE"""),4.0)</f>
        <v>4</v>
      </c>
      <c r="O904" s="69" t="str">
        <f t="shared" si="3"/>
        <v/>
      </c>
      <c r="P904" s="471">
        <f>IFERROR(__xludf.DUMMYFUNCTION("""COMPUTED_VALUE"""),0.0)</f>
        <v>0</v>
      </c>
      <c r="Q904" s="274" t="b">
        <f>VLOOKUP($B904,'Run Reconcile'!B$2:O2488,14,FALSE)</f>
        <v>1</v>
      </c>
      <c r="R904" s="472" t="str">
        <f t="array" ref="R904">IF($Q904, INDEX('Run Reconcile'!A$2:A2488,MATCH(B904,'Run Reconcile'!B$2:B2488,0),1),IFERROR(0/0,""))</f>
        <v>RUN-FLMP_2022-03-17_RFR-102</v>
      </c>
      <c r="S904" s="473" t="str">
        <f t="shared" si="694"/>
        <v/>
      </c>
      <c r="T904" s="473" t="str">
        <f t="shared" si="698"/>
        <v/>
      </c>
      <c r="U904" s="275" t="str">
        <f t="array" ref="U904">IF(ISBLANK($R904), INDEX('Run Reconcile'!A$2:A2488, MATCH($B904, 'Run Reconcile'!B$2:B2488, 0)+Z904, 1), IFERROR(0/0,""))
</f>
        <v/>
      </c>
      <c r="V904" s="474" t="str">
        <f t="shared" si="5"/>
        <v>RUN-FLMP_2022-03-17_RFR-102</v>
      </c>
      <c r="Y904" s="89" t="str">
        <f t="shared" si="867"/>
        <v/>
      </c>
      <c r="Z904" s="60" t="str">
        <f t="shared" si="7"/>
        <v/>
      </c>
      <c r="AA904" s="60" t="str">
        <f t="shared" si="8"/>
        <v/>
      </c>
      <c r="AB904" s="60" t="str">
        <f t="shared" si="9"/>
        <v/>
      </c>
      <c r="AC904" s="30" t="str">
        <f t="shared" ref="AC904:AD904" si="1260">IF(_xlfn.ISFORMULA(S904),IFERROR(0/0,""),TRUE)</f>
        <v/>
      </c>
      <c r="AD904" s="30" t="str">
        <f t="shared" si="1260"/>
        <v/>
      </c>
      <c r="AE904" s="475" t="str">
        <f>IFERROR(__xludf.DUMMYFUNCTION("""COMPUTED_VALUE"""),"CRLN")</f>
        <v>CRLN</v>
      </c>
      <c r="AF904" s="476"/>
      <c r="AG904" s="474" t="s">
        <v>189</v>
      </c>
      <c r="AH904" s="138" t="str">
        <f t="shared" si="11"/>
        <v/>
      </c>
    </row>
    <row r="905">
      <c r="A905" s="103" t="str">
        <f>IFERROR(__xludf.DUMMYFUNCTION("""COMPUTED_VALUE"""),"FLB5976")</f>
        <v>FLB5976</v>
      </c>
      <c r="B905" s="468">
        <f>IFERROR(__xludf.DUMMYFUNCTION("""COMPUTED_VALUE"""),44637.0)</f>
        <v>44637</v>
      </c>
      <c r="C905" s="469">
        <f>IFERROR(__xludf.DUMMYFUNCTION("""COMPUTED_VALUE"""),0.3343055555555556)</f>
        <v>0.3343055556</v>
      </c>
      <c r="D905" s="103" t="str">
        <f>IFERROR(__xludf.DUMMYFUNCTION("""COMPUTED_VALUE"""),"SpFLMP544731")</f>
        <v>SpFLMP544731</v>
      </c>
      <c r="E905" s="103"/>
      <c r="F905" s="103"/>
      <c r="G905" s="103" t="str">
        <f>IFERROR(__xludf.DUMMYFUNCTION("""COMPUTED_VALUE"""),"Negative")</f>
        <v>Negative</v>
      </c>
      <c r="H905" s="131" t="str">
        <f>IFERROR(__xludf.DUMMYFUNCTION("""COMPUTED_VALUE"""),"Negative")</f>
        <v>Negative</v>
      </c>
      <c r="I905" s="468">
        <f>IFERROR(__xludf.DUMMYFUNCTION("""COMPUTED_VALUE"""),44637.0)</f>
        <v>44637</v>
      </c>
      <c r="J905" s="470">
        <f>IFERROR(__xludf.DUMMYFUNCTION("""COMPUTED_VALUE"""),0.42929398148148146)</f>
        <v>0.4292939815</v>
      </c>
      <c r="K905" s="16"/>
      <c r="L905" s="8"/>
      <c r="M905" s="69"/>
      <c r="N905" s="69">
        <f>IFERROR(__xludf.DUMMYFUNCTION("""COMPUTED_VALUE"""),2.0)</f>
        <v>2</v>
      </c>
      <c r="O905" s="69" t="str">
        <f t="shared" si="3"/>
        <v/>
      </c>
      <c r="P905" s="471">
        <f>IFERROR(__xludf.DUMMYFUNCTION("""COMPUTED_VALUE"""),0.0)</f>
        <v>0</v>
      </c>
      <c r="Q905" s="274" t="b">
        <f>VLOOKUP($B905,'Run Reconcile'!B$2:O2488,14,FALSE)</f>
        <v>1</v>
      </c>
      <c r="R905" s="472" t="str">
        <f t="array" ref="R905">IF($Q905, INDEX('Run Reconcile'!A$2:A2488,MATCH(B905,'Run Reconcile'!B$2:B2488,0),1),IFERROR(0/0,""))</f>
        <v>RUN-FLMP_2022-03-17_RFR-102</v>
      </c>
      <c r="S905" s="473" t="str">
        <f t="shared" si="694"/>
        <v/>
      </c>
      <c r="T905" s="473" t="str">
        <f t="shared" si="698"/>
        <v/>
      </c>
      <c r="U905" s="275" t="str">
        <f t="array" ref="U905">IF(ISBLANK($R905), INDEX('Run Reconcile'!A$2:A2488, MATCH($B905, 'Run Reconcile'!B$2:B2488, 0)+Z905, 1), IFERROR(0/0,""))
</f>
        <v/>
      </c>
      <c r="V905" s="474" t="str">
        <f t="shared" si="5"/>
        <v>RUN-FLMP_2022-03-17_RFR-102</v>
      </c>
      <c r="Y905" s="89" t="str">
        <f t="shared" si="867"/>
        <v/>
      </c>
      <c r="Z905" s="60" t="str">
        <f t="shared" si="7"/>
        <v/>
      </c>
      <c r="AA905" s="60" t="str">
        <f t="shared" si="8"/>
        <v/>
      </c>
      <c r="AB905" s="60" t="str">
        <f t="shared" si="9"/>
        <v/>
      </c>
      <c r="AC905" s="30" t="str">
        <f t="shared" ref="AC905:AD905" si="1261">IF(_xlfn.ISFORMULA(S905),IFERROR(0/0,""),TRUE)</f>
        <v/>
      </c>
      <c r="AD905" s="30" t="str">
        <f t="shared" si="1261"/>
        <v/>
      </c>
      <c r="AE905" s="475" t="str">
        <f>IFERROR(__xludf.DUMMYFUNCTION("""COMPUTED_VALUE"""),"CRLN")</f>
        <v>CRLN</v>
      </c>
      <c r="AF905" s="476"/>
      <c r="AG905" s="474" t="s">
        <v>189</v>
      </c>
      <c r="AH905" s="138" t="str">
        <f t="shared" si="11"/>
        <v/>
      </c>
    </row>
    <row r="906">
      <c r="A906" s="103" t="str">
        <f>IFERROR(__xludf.DUMMYFUNCTION("""COMPUTED_VALUE"""),"FLB7426")</f>
        <v>FLB7426</v>
      </c>
      <c r="B906" s="468">
        <f>IFERROR(__xludf.DUMMYFUNCTION("""COMPUTED_VALUE"""),44637.0)</f>
        <v>44637</v>
      </c>
      <c r="C906" s="469">
        <f>IFERROR(__xludf.DUMMYFUNCTION("""COMPUTED_VALUE"""),0.3362384259259259)</f>
        <v>0.3362384259</v>
      </c>
      <c r="D906" s="103" t="str">
        <f>IFERROR(__xludf.DUMMYFUNCTION("""COMPUTED_VALUE"""),"SpFLMP904576")</f>
        <v>SpFLMP904576</v>
      </c>
      <c r="E906" s="103"/>
      <c r="F906" s="103"/>
      <c r="G906" s="103" t="str">
        <f>IFERROR(__xludf.DUMMYFUNCTION("""COMPUTED_VALUE"""),"Negative")</f>
        <v>Negative</v>
      </c>
      <c r="H906" s="131" t="str">
        <f>IFERROR(__xludf.DUMMYFUNCTION("""COMPUTED_VALUE"""),"Negative")</f>
        <v>Negative</v>
      </c>
      <c r="I906" s="468">
        <f>IFERROR(__xludf.DUMMYFUNCTION("""COMPUTED_VALUE"""),44637.0)</f>
        <v>44637</v>
      </c>
      <c r="J906" s="470">
        <f>IFERROR(__xludf.DUMMYFUNCTION("""COMPUTED_VALUE"""),0.42929398148148146)</f>
        <v>0.4292939815</v>
      </c>
      <c r="K906" s="16"/>
      <c r="L906" s="8"/>
      <c r="M906" s="69"/>
      <c r="N906" s="69">
        <f>IFERROR(__xludf.DUMMYFUNCTION("""COMPUTED_VALUE"""),3.0)</f>
        <v>3</v>
      </c>
      <c r="O906" s="69" t="str">
        <f t="shared" si="3"/>
        <v/>
      </c>
      <c r="P906" s="471">
        <f>IFERROR(__xludf.DUMMYFUNCTION("""COMPUTED_VALUE"""),0.0)</f>
        <v>0</v>
      </c>
      <c r="Q906" s="274" t="b">
        <f>VLOOKUP($B906,'Run Reconcile'!B$2:O2488,14,FALSE)</f>
        <v>1</v>
      </c>
      <c r="R906" s="472" t="str">
        <f t="array" ref="R906">IF($Q906, INDEX('Run Reconcile'!A$2:A2488,MATCH(B906,'Run Reconcile'!B$2:B2488,0),1),IFERROR(0/0,""))</f>
        <v>RUN-FLMP_2022-03-17_RFR-102</v>
      </c>
      <c r="S906" s="473" t="str">
        <f t="shared" si="694"/>
        <v/>
      </c>
      <c r="T906" s="473" t="str">
        <f t="shared" si="698"/>
        <v/>
      </c>
      <c r="U906" s="275" t="str">
        <f t="array" ref="U906">IF(ISBLANK($R906), INDEX('Run Reconcile'!A$2:A2488, MATCH($B906, 'Run Reconcile'!B$2:B2488, 0)+Z906, 1), IFERROR(0/0,""))
</f>
        <v/>
      </c>
      <c r="V906" s="474" t="str">
        <f t="shared" si="5"/>
        <v>RUN-FLMP_2022-03-17_RFR-102</v>
      </c>
      <c r="Y906" s="89" t="str">
        <f t="shared" si="867"/>
        <v/>
      </c>
      <c r="Z906" s="60" t="str">
        <f t="shared" si="7"/>
        <v/>
      </c>
      <c r="AA906" s="60" t="str">
        <f t="shared" si="8"/>
        <v/>
      </c>
      <c r="AB906" s="60" t="str">
        <f t="shared" si="9"/>
        <v/>
      </c>
      <c r="AC906" s="30" t="str">
        <f t="shared" ref="AC906:AD906" si="1262">IF(_xlfn.ISFORMULA(S906),IFERROR(0/0,""),TRUE)</f>
        <v/>
      </c>
      <c r="AD906" s="30" t="str">
        <f t="shared" si="1262"/>
        <v/>
      </c>
      <c r="AE906" s="475" t="str">
        <f>IFERROR(__xludf.DUMMYFUNCTION("""COMPUTED_VALUE"""),"CRLN")</f>
        <v>CRLN</v>
      </c>
      <c r="AF906" s="476"/>
      <c r="AG906" s="474" t="s">
        <v>189</v>
      </c>
      <c r="AH906" s="138" t="str">
        <f t="shared" si="11"/>
        <v/>
      </c>
    </row>
    <row r="907">
      <c r="A907" s="103" t="str">
        <f>IFERROR(__xludf.DUMMYFUNCTION("""COMPUTED_VALUE"""),"FLT151")</f>
        <v>FLT151</v>
      </c>
      <c r="B907" s="468">
        <f>IFERROR(__xludf.DUMMYFUNCTION("""COMPUTED_VALUE"""),44637.0)</f>
        <v>44637</v>
      </c>
      <c r="C907" s="469">
        <f>IFERROR(__xludf.DUMMYFUNCTION("""COMPUTED_VALUE"""),0.352962962962963)</f>
        <v>0.352962963</v>
      </c>
      <c r="D907" s="103" t="str">
        <f>IFERROR(__xludf.DUMMYFUNCTION("""COMPUTED_VALUE"""),"SpFLMP939619")</f>
        <v>SpFLMP939619</v>
      </c>
      <c r="E907" s="103"/>
      <c r="F907" s="103"/>
      <c r="G907" s="103" t="str">
        <f>IFERROR(__xludf.DUMMYFUNCTION("""COMPUTED_VALUE"""),"Negative")</f>
        <v>Negative</v>
      </c>
      <c r="H907" s="131" t="str">
        <f>IFERROR(__xludf.DUMMYFUNCTION("""COMPUTED_VALUE"""),"Negative")</f>
        <v>Negative</v>
      </c>
      <c r="I907" s="468">
        <f>IFERROR(__xludf.DUMMYFUNCTION("""COMPUTED_VALUE"""),44637.0)</f>
        <v>44637</v>
      </c>
      <c r="J907" s="470">
        <f>IFERROR(__xludf.DUMMYFUNCTION("""COMPUTED_VALUE"""),0.42929398148148146)</f>
        <v>0.4292939815</v>
      </c>
      <c r="K907" s="16"/>
      <c r="L907" s="8"/>
      <c r="M907" s="69"/>
      <c r="N907" s="69">
        <f>IFERROR(__xludf.DUMMYFUNCTION("""COMPUTED_VALUE"""),1.0)</f>
        <v>1</v>
      </c>
      <c r="O907" s="69" t="str">
        <f t="shared" si="3"/>
        <v/>
      </c>
      <c r="P907" s="471">
        <f>IFERROR(__xludf.DUMMYFUNCTION("""COMPUTED_VALUE"""),0.0)</f>
        <v>0</v>
      </c>
      <c r="Q907" s="274" t="b">
        <f>VLOOKUP($B907,'Run Reconcile'!B$2:O2488,14,FALSE)</f>
        <v>1</v>
      </c>
      <c r="R907" s="472" t="str">
        <f t="array" ref="R907">IF($Q907, INDEX('Run Reconcile'!A$2:A2488,MATCH(B907,'Run Reconcile'!B$2:B2488,0),1),IFERROR(0/0,""))</f>
        <v>RUN-FLMP_2022-03-17_RFR-102</v>
      </c>
      <c r="S907" s="473" t="str">
        <f t="shared" si="694"/>
        <v/>
      </c>
      <c r="T907" s="473" t="str">
        <f t="shared" si="698"/>
        <v/>
      </c>
      <c r="U907" s="275" t="str">
        <f t="array" ref="U907">IF(ISBLANK($R907), INDEX('Run Reconcile'!A$2:A2488, MATCH($B907, 'Run Reconcile'!B$2:B2488, 0)+Z907, 1), IFERROR(0/0,""))
</f>
        <v/>
      </c>
      <c r="V907" s="474" t="str">
        <f t="shared" si="5"/>
        <v>RUN-FLMP_2022-03-17_RFR-102</v>
      </c>
      <c r="Y907" s="89" t="str">
        <f t="shared" si="867"/>
        <v/>
      </c>
      <c r="Z907" s="60" t="str">
        <f t="shared" si="7"/>
        <v/>
      </c>
      <c r="AA907" s="60" t="str">
        <f t="shared" si="8"/>
        <v/>
      </c>
      <c r="AB907" s="60" t="str">
        <f t="shared" si="9"/>
        <v/>
      </c>
      <c r="AC907" s="30" t="str">
        <f t="shared" ref="AC907:AD907" si="1263">IF(_xlfn.ISFORMULA(S907),IFERROR(0/0,""),TRUE)</f>
        <v/>
      </c>
      <c r="AD907" s="30" t="str">
        <f t="shared" si="1263"/>
        <v/>
      </c>
      <c r="AE907" s="475" t="str">
        <f>IFERROR(__xludf.DUMMYFUNCTION("""COMPUTED_VALUE"""),"CRLN")</f>
        <v>CRLN</v>
      </c>
      <c r="AF907" s="476"/>
      <c r="AG907" s="474" t="s">
        <v>189</v>
      </c>
      <c r="AH907" s="138" t="str">
        <f t="shared" si="11"/>
        <v/>
      </c>
    </row>
    <row r="908">
      <c r="A908" s="103" t="str">
        <f>IFERROR(__xludf.DUMMYFUNCTION("""COMPUTED_VALUE"""),"FLB5432")</f>
        <v>FLB5432</v>
      </c>
      <c r="B908" s="468">
        <f>IFERROR(__xludf.DUMMYFUNCTION("""COMPUTED_VALUE"""),44637.0)</f>
        <v>44637</v>
      </c>
      <c r="C908" s="469">
        <f>IFERROR(__xludf.DUMMYFUNCTION("""COMPUTED_VALUE"""),0.35488425925925926)</f>
        <v>0.3548842593</v>
      </c>
      <c r="D908" s="103" t="str">
        <f>IFERROR(__xludf.DUMMYFUNCTION("""COMPUTED_VALUE"""),"SpFLMP604497")</f>
        <v>SpFLMP604497</v>
      </c>
      <c r="E908" s="103"/>
      <c r="F908" s="103"/>
      <c r="G908" s="103" t="str">
        <f>IFERROR(__xludf.DUMMYFUNCTION("""COMPUTED_VALUE"""),"Negative")</f>
        <v>Negative</v>
      </c>
      <c r="H908" s="131" t="str">
        <f>IFERROR(__xludf.DUMMYFUNCTION("""COMPUTED_VALUE"""),"Negative")</f>
        <v>Negative</v>
      </c>
      <c r="I908" s="468">
        <f>IFERROR(__xludf.DUMMYFUNCTION("""COMPUTED_VALUE"""),44637.0)</f>
        <v>44637</v>
      </c>
      <c r="J908" s="470">
        <f>IFERROR(__xludf.DUMMYFUNCTION("""COMPUTED_VALUE"""),0.42929398148148146)</f>
        <v>0.4292939815</v>
      </c>
      <c r="K908" s="16"/>
      <c r="L908" s="8"/>
      <c r="M908" s="69"/>
      <c r="N908" s="69">
        <f>IFERROR(__xludf.DUMMYFUNCTION("""COMPUTED_VALUE"""),4.0)</f>
        <v>4</v>
      </c>
      <c r="O908" s="69" t="str">
        <f t="shared" si="3"/>
        <v/>
      </c>
      <c r="P908" s="471">
        <f>IFERROR(__xludf.DUMMYFUNCTION("""COMPUTED_VALUE"""),0.0)</f>
        <v>0</v>
      </c>
      <c r="Q908" s="274" t="b">
        <f>VLOOKUP($B908,'Run Reconcile'!B$2:O2488,14,FALSE)</f>
        <v>1</v>
      </c>
      <c r="R908" s="472" t="str">
        <f t="array" ref="R908">IF($Q908, INDEX('Run Reconcile'!A$2:A2488,MATCH(B908,'Run Reconcile'!B$2:B2488,0),1),IFERROR(0/0,""))</f>
        <v>RUN-FLMP_2022-03-17_RFR-102</v>
      </c>
      <c r="S908" s="473" t="str">
        <f t="shared" si="694"/>
        <v/>
      </c>
      <c r="T908" s="473" t="str">
        <f t="shared" si="698"/>
        <v/>
      </c>
      <c r="U908" s="275" t="str">
        <f t="array" ref="U908">IF(ISBLANK($R908), INDEX('Run Reconcile'!A$2:A2488, MATCH($B908, 'Run Reconcile'!B$2:B2488, 0)+Z908, 1), IFERROR(0/0,""))
</f>
        <v/>
      </c>
      <c r="V908" s="474" t="str">
        <f t="shared" si="5"/>
        <v>RUN-FLMP_2022-03-17_RFR-102</v>
      </c>
      <c r="Y908" s="89" t="str">
        <f t="shared" si="867"/>
        <v/>
      </c>
      <c r="Z908" s="60" t="str">
        <f t="shared" si="7"/>
        <v/>
      </c>
      <c r="AA908" s="60" t="str">
        <f t="shared" si="8"/>
        <v/>
      </c>
      <c r="AB908" s="60" t="str">
        <f t="shared" si="9"/>
        <v/>
      </c>
      <c r="AC908" s="30" t="str">
        <f t="shared" ref="AC908:AD908" si="1264">IF(_xlfn.ISFORMULA(S908),IFERROR(0/0,""),TRUE)</f>
        <v/>
      </c>
      <c r="AD908" s="30" t="str">
        <f t="shared" si="1264"/>
        <v/>
      </c>
      <c r="AE908" s="475" t="str">
        <f>IFERROR(__xludf.DUMMYFUNCTION("""COMPUTED_VALUE"""),"CRLN")</f>
        <v>CRLN</v>
      </c>
      <c r="AF908" s="476"/>
      <c r="AG908" s="474" t="s">
        <v>189</v>
      </c>
      <c r="AH908" s="138" t="str">
        <f t="shared" si="11"/>
        <v/>
      </c>
    </row>
    <row r="909">
      <c r="A909" s="103" t="str">
        <f>IFERROR(__xludf.DUMMYFUNCTION("""COMPUTED_VALUE"""),"FLB6761")</f>
        <v>FLB6761</v>
      </c>
      <c r="B909" s="468">
        <f>IFERROR(__xludf.DUMMYFUNCTION("""COMPUTED_VALUE"""),44637.0)</f>
        <v>44637</v>
      </c>
      <c r="C909" s="469">
        <f>IFERROR(__xludf.DUMMYFUNCTION("""COMPUTED_VALUE"""),0.3556828703703704)</f>
        <v>0.3556828704</v>
      </c>
      <c r="D909" s="103" t="str">
        <f>IFERROR(__xludf.DUMMYFUNCTION("""COMPUTED_VALUE"""),"SpFLMP600756")</f>
        <v>SpFLMP600756</v>
      </c>
      <c r="E909" s="103"/>
      <c r="F909" s="103"/>
      <c r="G909" s="103" t="str">
        <f>IFERROR(__xludf.DUMMYFUNCTION("""COMPUTED_VALUE"""),"Negative")</f>
        <v>Negative</v>
      </c>
      <c r="H909" s="131" t="str">
        <f>IFERROR(__xludf.DUMMYFUNCTION("""COMPUTED_VALUE"""),"Negative")</f>
        <v>Negative</v>
      </c>
      <c r="I909" s="468">
        <f>IFERROR(__xludf.DUMMYFUNCTION("""COMPUTED_VALUE"""),44637.0)</f>
        <v>44637</v>
      </c>
      <c r="J909" s="470">
        <f>IFERROR(__xludf.DUMMYFUNCTION("""COMPUTED_VALUE"""),0.42929398148148146)</f>
        <v>0.4292939815</v>
      </c>
      <c r="K909" s="16"/>
      <c r="L909" s="8"/>
      <c r="M909" s="69"/>
      <c r="N909" s="69">
        <f>IFERROR(__xludf.DUMMYFUNCTION("""COMPUTED_VALUE"""),2.0)</f>
        <v>2</v>
      </c>
      <c r="O909" s="69" t="str">
        <f t="shared" si="3"/>
        <v/>
      </c>
      <c r="P909" s="471">
        <f>IFERROR(__xludf.DUMMYFUNCTION("""COMPUTED_VALUE"""),0.0)</f>
        <v>0</v>
      </c>
      <c r="Q909" s="274" t="b">
        <f>VLOOKUP($B909,'Run Reconcile'!B$2:O2488,14,FALSE)</f>
        <v>1</v>
      </c>
      <c r="R909" s="472" t="str">
        <f t="array" ref="R909">IF($Q909, INDEX('Run Reconcile'!A$2:A2488,MATCH(B909,'Run Reconcile'!B$2:B2488,0),1),IFERROR(0/0,""))</f>
        <v>RUN-FLMP_2022-03-17_RFR-102</v>
      </c>
      <c r="S909" s="473" t="str">
        <f t="shared" si="694"/>
        <v/>
      </c>
      <c r="T909" s="473" t="str">
        <f t="shared" si="698"/>
        <v/>
      </c>
      <c r="U909" s="275" t="str">
        <f t="array" ref="U909">IF(ISBLANK($R909), INDEX('Run Reconcile'!A$2:A2488, MATCH($B909, 'Run Reconcile'!B$2:B2488, 0)+Z909, 1), IFERROR(0/0,""))
</f>
        <v/>
      </c>
      <c r="V909" s="474" t="str">
        <f t="shared" si="5"/>
        <v>RUN-FLMP_2022-03-17_RFR-102</v>
      </c>
      <c r="Y909" s="89" t="str">
        <f t="shared" si="867"/>
        <v/>
      </c>
      <c r="Z909" s="60" t="str">
        <f t="shared" si="7"/>
        <v/>
      </c>
      <c r="AA909" s="60" t="str">
        <f t="shared" si="8"/>
        <v/>
      </c>
      <c r="AB909" s="60" t="str">
        <f t="shared" si="9"/>
        <v/>
      </c>
      <c r="AC909" s="30" t="str">
        <f t="shared" ref="AC909:AD909" si="1265">IF(_xlfn.ISFORMULA(S909),IFERROR(0/0,""),TRUE)</f>
        <v/>
      </c>
      <c r="AD909" s="30" t="str">
        <f t="shared" si="1265"/>
        <v/>
      </c>
      <c r="AE909" s="475" t="str">
        <f>IFERROR(__xludf.DUMMYFUNCTION("""COMPUTED_VALUE"""),"CRLN")</f>
        <v>CRLN</v>
      </c>
      <c r="AF909" s="476"/>
      <c r="AG909" s="474" t="s">
        <v>189</v>
      </c>
      <c r="AH909" s="138" t="str">
        <f t="shared" si="11"/>
        <v/>
      </c>
    </row>
    <row r="910">
      <c r="A910" s="103" t="str">
        <f>IFERROR(__xludf.DUMMYFUNCTION("""COMPUTED_VALUE"""),"FLE286")</f>
        <v>FLE286</v>
      </c>
      <c r="B910" s="468">
        <f>IFERROR(__xludf.DUMMYFUNCTION("""COMPUTED_VALUE"""),44637.0)</f>
        <v>44637</v>
      </c>
      <c r="C910" s="469">
        <f>IFERROR(__xludf.DUMMYFUNCTION("""COMPUTED_VALUE"""),0.3590277777777778)</f>
        <v>0.3590277778</v>
      </c>
      <c r="D910" s="103" t="str">
        <f>IFERROR(__xludf.DUMMYFUNCTION("""COMPUTED_VALUE"""),"SpFLMP684798")</f>
        <v>SpFLMP684798</v>
      </c>
      <c r="E910" s="103"/>
      <c r="F910" s="103"/>
      <c r="G910" s="103" t="str">
        <f>IFERROR(__xludf.DUMMYFUNCTION("""COMPUTED_VALUE"""),"Negative")</f>
        <v>Negative</v>
      </c>
      <c r="H910" s="131" t="str">
        <f>IFERROR(__xludf.DUMMYFUNCTION("""COMPUTED_VALUE"""),"Negative")</f>
        <v>Negative</v>
      </c>
      <c r="I910" s="468">
        <f>IFERROR(__xludf.DUMMYFUNCTION("""COMPUTED_VALUE"""),44637.0)</f>
        <v>44637</v>
      </c>
      <c r="J910" s="470">
        <f>IFERROR(__xludf.DUMMYFUNCTION("""COMPUTED_VALUE"""),0.42929398148148146)</f>
        <v>0.4292939815</v>
      </c>
      <c r="K910" s="16"/>
      <c r="L910" s="8"/>
      <c r="M910" s="69"/>
      <c r="N910" s="69">
        <f>IFERROR(__xludf.DUMMYFUNCTION("""COMPUTED_VALUE"""),4.0)</f>
        <v>4</v>
      </c>
      <c r="O910" s="69" t="str">
        <f t="shared" si="3"/>
        <v/>
      </c>
      <c r="P910" s="471">
        <f>IFERROR(__xludf.DUMMYFUNCTION("""COMPUTED_VALUE"""),0.0)</f>
        <v>0</v>
      </c>
      <c r="Q910" s="274" t="b">
        <f>VLOOKUP($B910,'Run Reconcile'!B$2:O2488,14,FALSE)</f>
        <v>1</v>
      </c>
      <c r="R910" s="472" t="str">
        <f t="array" ref="R910">IF($Q910, INDEX('Run Reconcile'!A$2:A2488,MATCH(B910,'Run Reconcile'!B$2:B2488,0),1),IFERROR(0/0,""))</f>
        <v>RUN-FLMP_2022-03-17_RFR-102</v>
      </c>
      <c r="S910" s="473" t="str">
        <f t="shared" si="694"/>
        <v/>
      </c>
      <c r="T910" s="473" t="str">
        <f t="shared" si="698"/>
        <v/>
      </c>
      <c r="U910" s="275" t="str">
        <f t="array" ref="U910">IF(ISBLANK($R910), INDEX('Run Reconcile'!A$2:A2488, MATCH($B910, 'Run Reconcile'!B$2:B2488, 0)+Z910, 1), IFERROR(0/0,""))
</f>
        <v/>
      </c>
      <c r="V910" s="474" t="str">
        <f t="shared" si="5"/>
        <v>RUN-FLMP_2022-03-17_RFR-102</v>
      </c>
      <c r="Y910" s="89" t="str">
        <f t="shared" si="867"/>
        <v/>
      </c>
      <c r="Z910" s="60" t="str">
        <f t="shared" si="7"/>
        <v/>
      </c>
      <c r="AA910" s="60" t="str">
        <f t="shared" si="8"/>
        <v/>
      </c>
      <c r="AB910" s="60" t="str">
        <f t="shared" si="9"/>
        <v/>
      </c>
      <c r="AC910" s="30" t="str">
        <f t="shared" ref="AC910:AD910" si="1266">IF(_xlfn.ISFORMULA(S910),IFERROR(0/0,""),TRUE)</f>
        <v/>
      </c>
      <c r="AD910" s="30" t="str">
        <f t="shared" si="1266"/>
        <v/>
      </c>
      <c r="AE910" s="475" t="str">
        <f>IFERROR(__xludf.DUMMYFUNCTION("""COMPUTED_VALUE"""),"CRLN")</f>
        <v>CRLN</v>
      </c>
      <c r="AF910" s="476"/>
      <c r="AG910" s="474" t="s">
        <v>189</v>
      </c>
      <c r="AH910" s="138" t="str">
        <f t="shared" si="11"/>
        <v/>
      </c>
    </row>
    <row r="911">
      <c r="A911" s="103" t="str">
        <f>IFERROR(__xludf.DUMMYFUNCTION("""COMPUTED_VALUE"""),"FLT1187")</f>
        <v>FLT1187</v>
      </c>
      <c r="B911" s="468">
        <f>IFERROR(__xludf.DUMMYFUNCTION("""COMPUTED_VALUE"""),44637.0)</f>
        <v>44637</v>
      </c>
      <c r="C911" s="469">
        <f>IFERROR(__xludf.DUMMYFUNCTION("""COMPUTED_VALUE"""),0.36524305555555553)</f>
        <v>0.3652430556</v>
      </c>
      <c r="D911" s="103" t="str">
        <f>IFERROR(__xludf.DUMMYFUNCTION("""COMPUTED_VALUE"""),"SpFLMP496039")</f>
        <v>SpFLMP496039</v>
      </c>
      <c r="E911" s="103"/>
      <c r="F911" s="103"/>
      <c r="G911" s="103" t="str">
        <f>IFERROR(__xludf.DUMMYFUNCTION("""COMPUTED_VALUE"""),"Negative")</f>
        <v>Negative</v>
      </c>
      <c r="H911" s="131" t="str">
        <f>IFERROR(__xludf.DUMMYFUNCTION("""COMPUTED_VALUE"""),"Negative")</f>
        <v>Negative</v>
      </c>
      <c r="I911" s="468">
        <f>IFERROR(__xludf.DUMMYFUNCTION("""COMPUTED_VALUE"""),44637.0)</f>
        <v>44637</v>
      </c>
      <c r="J911" s="470">
        <f>IFERROR(__xludf.DUMMYFUNCTION("""COMPUTED_VALUE"""),0.42929398148148146)</f>
        <v>0.4292939815</v>
      </c>
      <c r="K911" s="16"/>
      <c r="L911" s="8"/>
      <c r="M911" s="69"/>
      <c r="N911" s="69">
        <f>IFERROR(__xludf.DUMMYFUNCTION("""COMPUTED_VALUE"""),2.0)</f>
        <v>2</v>
      </c>
      <c r="O911" s="69" t="str">
        <f t="shared" si="3"/>
        <v/>
      </c>
      <c r="P911" s="471">
        <f>IFERROR(__xludf.DUMMYFUNCTION("""COMPUTED_VALUE"""),0.0)</f>
        <v>0</v>
      </c>
      <c r="Q911" s="274" t="b">
        <f>VLOOKUP($B911,'Run Reconcile'!B$2:O2488,14,FALSE)</f>
        <v>1</v>
      </c>
      <c r="R911" s="472" t="str">
        <f t="array" ref="R911">IF($Q911, INDEX('Run Reconcile'!A$2:A2488,MATCH(B911,'Run Reconcile'!B$2:B2488,0),1),IFERROR(0/0,""))</f>
        <v>RUN-FLMP_2022-03-17_RFR-102</v>
      </c>
      <c r="S911" s="473" t="str">
        <f t="shared" si="694"/>
        <v/>
      </c>
      <c r="T911" s="473" t="str">
        <f t="shared" si="698"/>
        <v/>
      </c>
      <c r="U911" s="275" t="str">
        <f t="array" ref="U911">IF(ISBLANK($R911), INDEX('Run Reconcile'!A$2:A2488, MATCH($B911, 'Run Reconcile'!B$2:B2488, 0)+Z911, 1), IFERROR(0/0,""))
</f>
        <v/>
      </c>
      <c r="V911" s="474" t="str">
        <f t="shared" si="5"/>
        <v>RUN-FLMP_2022-03-17_RFR-102</v>
      </c>
      <c r="Y911" s="89" t="str">
        <f t="shared" si="867"/>
        <v/>
      </c>
      <c r="Z911" s="60" t="str">
        <f t="shared" si="7"/>
        <v/>
      </c>
      <c r="AA911" s="60" t="str">
        <f t="shared" si="8"/>
        <v/>
      </c>
      <c r="AB911" s="60" t="str">
        <f t="shared" si="9"/>
        <v/>
      </c>
      <c r="AC911" s="30" t="str">
        <f t="shared" ref="AC911:AD911" si="1267">IF(_xlfn.ISFORMULA(S911),IFERROR(0/0,""),TRUE)</f>
        <v/>
      </c>
      <c r="AD911" s="30" t="str">
        <f t="shared" si="1267"/>
        <v/>
      </c>
      <c r="AE911" s="475" t="str">
        <f>IFERROR(__xludf.DUMMYFUNCTION("""COMPUTED_VALUE"""),"CRLN")</f>
        <v>CRLN</v>
      </c>
      <c r="AF911" s="476"/>
      <c r="AG911" s="474" t="s">
        <v>189</v>
      </c>
      <c r="AH911" s="138" t="str">
        <f t="shared" si="11"/>
        <v/>
      </c>
    </row>
    <row r="912">
      <c r="A912" s="103" t="str">
        <f>IFERROR(__xludf.DUMMYFUNCTION("""COMPUTED_VALUE"""),"FLE899")</f>
        <v>FLE899</v>
      </c>
      <c r="B912" s="468">
        <f>IFERROR(__xludf.DUMMYFUNCTION("""COMPUTED_VALUE"""),44637.0)</f>
        <v>44637</v>
      </c>
      <c r="C912" s="469">
        <f>IFERROR(__xludf.DUMMYFUNCTION("""COMPUTED_VALUE"""),0.3759722222222222)</f>
        <v>0.3759722222</v>
      </c>
      <c r="D912" s="103" t="str">
        <f>IFERROR(__xludf.DUMMYFUNCTION("""COMPUTED_VALUE"""),"SpFLMP596479")</f>
        <v>SpFLMP596479</v>
      </c>
      <c r="E912" s="103"/>
      <c r="F912" s="103"/>
      <c r="G912" s="103" t="str">
        <f>IFERROR(__xludf.DUMMYFUNCTION("""COMPUTED_VALUE"""),"Negative")</f>
        <v>Negative</v>
      </c>
      <c r="H912" s="131" t="str">
        <f>IFERROR(__xludf.DUMMYFUNCTION("""COMPUTED_VALUE"""),"Negative")</f>
        <v>Negative</v>
      </c>
      <c r="I912" s="468">
        <f>IFERROR(__xludf.DUMMYFUNCTION("""COMPUTED_VALUE"""),44637.0)</f>
        <v>44637</v>
      </c>
      <c r="J912" s="470">
        <f>IFERROR(__xludf.DUMMYFUNCTION("""COMPUTED_VALUE"""),0.42930555555555555)</f>
        <v>0.4293055556</v>
      </c>
      <c r="K912" s="16"/>
      <c r="L912" s="8"/>
      <c r="M912" s="69"/>
      <c r="N912" s="69">
        <f>IFERROR(__xludf.DUMMYFUNCTION("""COMPUTED_VALUE"""),3.0)</f>
        <v>3</v>
      </c>
      <c r="O912" s="69" t="str">
        <f t="shared" si="3"/>
        <v/>
      </c>
      <c r="P912" s="471">
        <f>IFERROR(__xludf.DUMMYFUNCTION("""COMPUTED_VALUE"""),0.0)</f>
        <v>0</v>
      </c>
      <c r="Q912" s="274" t="b">
        <f>VLOOKUP($B912,'Run Reconcile'!B$2:O2488,14,FALSE)</f>
        <v>1</v>
      </c>
      <c r="R912" s="472" t="str">
        <f t="array" ref="R912">IF($Q912, INDEX('Run Reconcile'!A$2:A2488,MATCH(B912,'Run Reconcile'!B$2:B2488,0),1),IFERROR(0/0,""))</f>
        <v>RUN-FLMP_2022-03-17_RFR-102</v>
      </c>
      <c r="S912" s="473" t="str">
        <f t="shared" si="694"/>
        <v/>
      </c>
      <c r="T912" s="473" t="str">
        <f t="shared" si="698"/>
        <v/>
      </c>
      <c r="U912" s="275" t="str">
        <f t="array" ref="U912">IF(ISBLANK($R912), INDEX('Run Reconcile'!A$2:A2488, MATCH($B912, 'Run Reconcile'!B$2:B2488, 0)+Z912, 1), IFERROR(0/0,""))
</f>
        <v/>
      </c>
      <c r="V912" s="474" t="str">
        <f t="shared" si="5"/>
        <v>RUN-FLMP_2022-03-17_RFR-102</v>
      </c>
      <c r="Y912" s="89" t="str">
        <f t="shared" si="867"/>
        <v/>
      </c>
      <c r="Z912" s="60" t="str">
        <f t="shared" si="7"/>
        <v/>
      </c>
      <c r="AA912" s="60" t="str">
        <f t="shared" si="8"/>
        <v/>
      </c>
      <c r="AB912" s="60" t="str">
        <f t="shared" si="9"/>
        <v/>
      </c>
      <c r="AC912" s="30" t="str">
        <f t="shared" ref="AC912:AD912" si="1268">IF(_xlfn.ISFORMULA(S912),IFERROR(0/0,""),TRUE)</f>
        <v/>
      </c>
      <c r="AD912" s="30" t="str">
        <f t="shared" si="1268"/>
        <v/>
      </c>
      <c r="AE912" s="475" t="str">
        <f>IFERROR(__xludf.DUMMYFUNCTION("""COMPUTED_VALUE"""),"CRLN")</f>
        <v>CRLN</v>
      </c>
      <c r="AF912" s="476"/>
      <c r="AG912" s="474" t="s">
        <v>189</v>
      </c>
      <c r="AH912" s="138" t="str">
        <f t="shared" si="11"/>
        <v/>
      </c>
    </row>
    <row r="913">
      <c r="A913" s="103" t="str">
        <f>IFERROR(__xludf.DUMMYFUNCTION("""COMPUTED_VALUE"""),"FLB7353")</f>
        <v>FLB7353</v>
      </c>
      <c r="B913" s="468">
        <f>IFERROR(__xludf.DUMMYFUNCTION("""COMPUTED_VALUE"""),44640.0)</f>
        <v>44640</v>
      </c>
      <c r="C913" s="469">
        <f>IFERROR(__xludf.DUMMYFUNCTION("""COMPUTED_VALUE"""),0.5756134259259259)</f>
        <v>0.5756134259</v>
      </c>
      <c r="D913" s="103" t="str">
        <f>IFERROR(__xludf.DUMMYFUNCTION("""COMPUTED_VALUE"""),"SpFLMP596479")</f>
        <v>SpFLMP596479</v>
      </c>
      <c r="E913" s="103"/>
      <c r="F913" s="103"/>
      <c r="G913" s="103" t="str">
        <f>IFERROR(__xludf.DUMMYFUNCTION("""COMPUTED_VALUE"""),"Negative")</f>
        <v>Negative</v>
      </c>
      <c r="H913" s="131" t="str">
        <f>IFERROR(__xludf.DUMMYFUNCTION("""COMPUTED_VALUE"""),"Negative")</f>
        <v>Negative</v>
      </c>
      <c r="I913" s="468">
        <f>IFERROR(__xludf.DUMMYFUNCTION("""COMPUTED_VALUE"""),44641.0)</f>
        <v>44641</v>
      </c>
      <c r="J913" s="470">
        <f>IFERROR(__xludf.DUMMYFUNCTION("""COMPUTED_VALUE"""),0.44653935185185184)</f>
        <v>0.4465393519</v>
      </c>
      <c r="K913" s="16"/>
      <c r="L913" s="8"/>
      <c r="M913" s="69"/>
      <c r="N913" s="69">
        <f>IFERROR(__xludf.DUMMYFUNCTION("""COMPUTED_VALUE"""),3.0)</f>
        <v>3</v>
      </c>
      <c r="O913" s="69" t="b">
        <f t="shared" si="3"/>
        <v>1</v>
      </c>
      <c r="P913" s="471">
        <f>IFERROR(__xludf.DUMMYFUNCTION("""COMPUTED_VALUE"""),1.0)</f>
        <v>1</v>
      </c>
      <c r="Q913" s="274" t="str">
        <f>VLOOKUP($B913,'Run Reconcile'!B$2:O2488,14,FALSE)</f>
        <v/>
      </c>
      <c r="R913" s="472" t="str">
        <f t="array" ref="R913">IF($Q913, INDEX('Run Reconcile'!A$2:A2488,MATCH(B913,'Run Reconcile'!B$2:B2488,0),1),IFERROR(0/0,""))</f>
        <v/>
      </c>
      <c r="S913" s="473" t="b">
        <f t="shared" si="694"/>
        <v>1</v>
      </c>
      <c r="T913" s="473" t="str">
        <f t="shared" si="698"/>
        <v/>
      </c>
      <c r="U913" s="275" t="str">
        <f t="array" ref="U913">IF(ISBLANK($R913), INDEX('Run Reconcile'!A$2:A2488, MATCH($B913, 'Run Reconcile'!B$2:B2488, 0)+Z913, 1), IFERROR(0/0,""))
</f>
        <v>RUN-FLMP_2022-03-21_APS-085</v>
      </c>
      <c r="V913" s="474" t="str">
        <f t="shared" si="5"/>
        <v>RUN-FLMP_2022-03-21_APS-085</v>
      </c>
      <c r="W913" s="8" t="s">
        <v>1467</v>
      </c>
      <c r="Y913" s="89">
        <f t="shared" si="867"/>
        <v>1</v>
      </c>
      <c r="Z913" s="60">
        <f t="shared" si="7"/>
        <v>1</v>
      </c>
      <c r="AA913" s="60">
        <f t="shared" si="8"/>
        <v>1</v>
      </c>
      <c r="AB913" s="60" t="str">
        <f t="shared" si="9"/>
        <v/>
      </c>
      <c r="AC913" s="30" t="str">
        <f t="shared" ref="AC913:AD913" si="1269">IF(_xlfn.ISFORMULA(S913),IFERROR(0/0,""),TRUE)</f>
        <v/>
      </c>
      <c r="AD913" s="30" t="str">
        <f t="shared" si="1269"/>
        <v/>
      </c>
      <c r="AE913" s="475" t="str">
        <f>IFERROR(__xludf.DUMMYFUNCTION("""COMPUTED_VALUE"""),"CRLN")</f>
        <v>CRLN</v>
      </c>
      <c r="AF913" s="476"/>
      <c r="AG913" s="474" t="s">
        <v>190</v>
      </c>
      <c r="AH913" s="138" t="str">
        <f t="shared" si="11"/>
        <v/>
      </c>
    </row>
    <row r="914">
      <c r="A914" s="103" t="str">
        <f>IFERROR(__xludf.DUMMYFUNCTION("""COMPUTED_VALUE"""),"FLE857")</f>
        <v>FLE857</v>
      </c>
      <c r="B914" s="468">
        <f>IFERROR(__xludf.DUMMYFUNCTION("""COMPUTED_VALUE"""),44640.0)</f>
        <v>44640</v>
      </c>
      <c r="C914" s="469">
        <f>IFERROR(__xludf.DUMMYFUNCTION("""COMPUTED_VALUE"""),0.6798726851851852)</f>
        <v>0.6798726852</v>
      </c>
      <c r="D914" s="103" t="str">
        <f>IFERROR(__xludf.DUMMYFUNCTION("""COMPUTED_VALUE"""),"SpFLMP683554")</f>
        <v>SpFLMP683554</v>
      </c>
      <c r="E914" s="103"/>
      <c r="F914" s="103"/>
      <c r="G914" s="103" t="str">
        <f>IFERROR(__xludf.DUMMYFUNCTION("""COMPUTED_VALUE"""),"Negative")</f>
        <v>Negative</v>
      </c>
      <c r="H914" s="131" t="str">
        <f>IFERROR(__xludf.DUMMYFUNCTION("""COMPUTED_VALUE"""),"Negative")</f>
        <v>Negative</v>
      </c>
      <c r="I914" s="468">
        <f>IFERROR(__xludf.DUMMYFUNCTION("""COMPUTED_VALUE"""),44641.0)</f>
        <v>44641</v>
      </c>
      <c r="J914" s="470">
        <f>IFERROR(__xludf.DUMMYFUNCTION("""COMPUTED_VALUE"""),0.44653935185185184)</f>
        <v>0.4465393519</v>
      </c>
      <c r="K914" s="16"/>
      <c r="L914" s="8"/>
      <c r="M914" s="69"/>
      <c r="N914" s="69">
        <f>IFERROR(__xludf.DUMMYFUNCTION("""COMPUTED_VALUE"""),1.0)</f>
        <v>1</v>
      </c>
      <c r="O914" s="69" t="str">
        <f t="shared" si="3"/>
        <v/>
      </c>
      <c r="P914" s="471">
        <f>IFERROR(__xludf.DUMMYFUNCTION("""COMPUTED_VALUE"""),1.0)</f>
        <v>1</v>
      </c>
      <c r="Q914" s="274" t="str">
        <f>VLOOKUP($B914,'Run Reconcile'!B$2:O2488,14,FALSE)</f>
        <v/>
      </c>
      <c r="R914" s="472" t="str">
        <f t="array" ref="R914">IF($Q914, INDEX('Run Reconcile'!A$2:A2488,MATCH(B914,'Run Reconcile'!B$2:B2488,0),1),IFERROR(0/0,""))</f>
        <v/>
      </c>
      <c r="S914" s="473" t="b">
        <f t="shared" si="694"/>
        <v>1</v>
      </c>
      <c r="T914" s="473" t="str">
        <f t="shared" si="698"/>
        <v/>
      </c>
      <c r="U914" s="275" t="str">
        <f t="array" ref="U914">IF(ISBLANK($R914), INDEX('Run Reconcile'!A$2:A2488, MATCH($B914, 'Run Reconcile'!B$2:B2488, 0)+Z914, 1), IFERROR(0/0,""))
</f>
        <v>RUN-FLMP_2022-03-21_APS-085</v>
      </c>
      <c r="V914" s="474" t="str">
        <f t="shared" si="5"/>
        <v>RUN-FLMP_2022-03-21_APS-085</v>
      </c>
      <c r="W914" s="8" t="s">
        <v>1468</v>
      </c>
      <c r="Y914" s="89">
        <f t="shared" si="867"/>
        <v>1</v>
      </c>
      <c r="Z914" s="60">
        <f t="shared" si="7"/>
        <v>1</v>
      </c>
      <c r="AA914" s="60">
        <f t="shared" si="8"/>
        <v>1</v>
      </c>
      <c r="AB914" s="60" t="str">
        <f t="shared" si="9"/>
        <v/>
      </c>
      <c r="AC914" s="30" t="str">
        <f t="shared" ref="AC914:AD914" si="1270">IF(_xlfn.ISFORMULA(S914),IFERROR(0/0,""),TRUE)</f>
        <v/>
      </c>
      <c r="AD914" s="30" t="str">
        <f t="shared" si="1270"/>
        <v/>
      </c>
      <c r="AE914" s="475" t="str">
        <f>IFERROR(__xludf.DUMMYFUNCTION("""COMPUTED_VALUE"""),"CRLN")</f>
        <v>CRLN</v>
      </c>
      <c r="AF914" s="476"/>
      <c r="AG914" s="474" t="s">
        <v>190</v>
      </c>
      <c r="AH914" s="138" t="str">
        <f t="shared" si="11"/>
        <v/>
      </c>
    </row>
    <row r="915">
      <c r="A915" s="103" t="str">
        <f>IFERROR(__xludf.DUMMYFUNCTION("""COMPUTED_VALUE"""),"FLB6843")</f>
        <v>FLB6843</v>
      </c>
      <c r="B915" s="468">
        <f>IFERROR(__xludf.DUMMYFUNCTION("""COMPUTED_VALUE"""),44641.0)</f>
        <v>44641</v>
      </c>
      <c r="C915" s="469">
        <f>IFERROR(__xludf.DUMMYFUNCTION("""COMPUTED_VALUE"""),0.3133912037037037)</f>
        <v>0.3133912037</v>
      </c>
      <c r="D915" s="103" t="str">
        <f>IFERROR(__xludf.DUMMYFUNCTION("""COMPUTED_VALUE"""),"SpFLMP470379")</f>
        <v>SpFLMP470379</v>
      </c>
      <c r="E915" s="103"/>
      <c r="F915" s="103"/>
      <c r="G915" s="103" t="str">
        <f>IFERROR(__xludf.DUMMYFUNCTION("""COMPUTED_VALUE"""),"Negative")</f>
        <v>Negative</v>
      </c>
      <c r="H915" s="131" t="str">
        <f>IFERROR(__xludf.DUMMYFUNCTION("""COMPUTED_VALUE"""),"Negative")</f>
        <v>Negative</v>
      </c>
      <c r="I915" s="468">
        <f>IFERROR(__xludf.DUMMYFUNCTION("""COMPUTED_VALUE"""),44641.0)</f>
        <v>44641</v>
      </c>
      <c r="J915" s="470">
        <f>IFERROR(__xludf.DUMMYFUNCTION("""COMPUTED_VALUE"""),0.4578125)</f>
        <v>0.4578125</v>
      </c>
      <c r="K915" s="16"/>
      <c r="L915" s="8"/>
      <c r="M915" s="69"/>
      <c r="N915" s="69">
        <f>IFERROR(__xludf.DUMMYFUNCTION("""COMPUTED_VALUE"""),1.0)</f>
        <v>1</v>
      </c>
      <c r="O915" s="69" t="b">
        <f t="shared" si="3"/>
        <v>1</v>
      </c>
      <c r="P915" s="471">
        <f>IFERROR(__xludf.DUMMYFUNCTION("""COMPUTED_VALUE"""),0.0)</f>
        <v>0</v>
      </c>
      <c r="Q915" s="274" t="b">
        <f>VLOOKUP($B915,'Run Reconcile'!B$2:O2488,14,FALSE)</f>
        <v>1</v>
      </c>
      <c r="R915" s="472" t="str">
        <f t="array" ref="R915">IF($Q915, INDEX('Run Reconcile'!A$2:A2488,MATCH(B915,'Run Reconcile'!B$2:B2488,0),1),IFERROR(0/0,""))</f>
        <v>RUN-FLMP_2022-03-21_APS-085</v>
      </c>
      <c r="S915" s="473" t="str">
        <f t="shared" si="694"/>
        <v/>
      </c>
      <c r="T915" s="473" t="str">
        <f t="shared" si="698"/>
        <v/>
      </c>
      <c r="U915" s="275" t="str">
        <f t="array" ref="U915">IF(ISBLANK($R915), INDEX('Run Reconcile'!A$2:A2488, MATCH($B915, 'Run Reconcile'!B$2:B2488, 0)+Z915, 1), IFERROR(0/0,""))
</f>
        <v/>
      </c>
      <c r="V915" s="474" t="str">
        <f t="shared" si="5"/>
        <v>RUN-FLMP_2022-03-21_APS-085</v>
      </c>
      <c r="Y915" s="89" t="str">
        <f t="shared" si="867"/>
        <v/>
      </c>
      <c r="Z915" s="60" t="str">
        <f t="shared" si="7"/>
        <v/>
      </c>
      <c r="AA915" s="60" t="str">
        <f t="shared" si="8"/>
        <v/>
      </c>
      <c r="AB915" s="60" t="str">
        <f t="shared" si="9"/>
        <v/>
      </c>
      <c r="AC915" s="30" t="str">
        <f t="shared" ref="AC915:AD915" si="1271">IF(_xlfn.ISFORMULA(S915),IFERROR(0/0,""),TRUE)</f>
        <v/>
      </c>
      <c r="AD915" s="30" t="str">
        <f t="shared" si="1271"/>
        <v/>
      </c>
      <c r="AE915" s="475" t="str">
        <f>IFERROR(__xludf.DUMMYFUNCTION("""COMPUTED_VALUE"""),"CRLN")</f>
        <v>CRLN</v>
      </c>
      <c r="AF915" s="476"/>
      <c r="AG915" s="474" t="s">
        <v>190</v>
      </c>
      <c r="AH915" s="138" t="str">
        <f t="shared" si="11"/>
        <v/>
      </c>
    </row>
    <row r="916">
      <c r="A916" s="103" t="str">
        <f>IFERROR(__xludf.DUMMYFUNCTION("""COMPUTED_VALUE"""),"FLB7286")</f>
        <v>FLB7286</v>
      </c>
      <c r="B916" s="468">
        <f>IFERROR(__xludf.DUMMYFUNCTION("""COMPUTED_VALUE"""),44641.0)</f>
        <v>44641</v>
      </c>
      <c r="C916" s="469">
        <f>IFERROR(__xludf.DUMMYFUNCTION("""COMPUTED_VALUE"""),0.3191087962962963)</f>
        <v>0.3191087963</v>
      </c>
      <c r="D916" s="103" t="str">
        <f>IFERROR(__xludf.DUMMYFUNCTION("""COMPUTED_VALUE"""),"SpFLMP259015")</f>
        <v>SpFLMP259015</v>
      </c>
      <c r="E916" s="103"/>
      <c r="F916" s="103"/>
      <c r="G916" s="103" t="str">
        <f>IFERROR(__xludf.DUMMYFUNCTION("""COMPUTED_VALUE"""),"Negative")</f>
        <v>Negative</v>
      </c>
      <c r="H916" s="131" t="str">
        <f>IFERROR(__xludf.DUMMYFUNCTION("""COMPUTED_VALUE"""),"Negative")</f>
        <v>Negative</v>
      </c>
      <c r="I916" s="468">
        <f>IFERROR(__xludf.DUMMYFUNCTION("""COMPUTED_VALUE"""),44641.0)</f>
        <v>44641</v>
      </c>
      <c r="J916" s="470">
        <f>IFERROR(__xludf.DUMMYFUNCTION("""COMPUTED_VALUE"""),0.44653935185185184)</f>
        <v>0.4465393519</v>
      </c>
      <c r="K916" s="16"/>
      <c r="L916" s="8"/>
      <c r="M916" s="69"/>
      <c r="N916" s="69">
        <f>IFERROR(__xludf.DUMMYFUNCTION("""COMPUTED_VALUE"""),3.0)</f>
        <v>3</v>
      </c>
      <c r="O916" s="69" t="str">
        <f t="shared" si="3"/>
        <v/>
      </c>
      <c r="P916" s="471">
        <f>IFERROR(__xludf.DUMMYFUNCTION("""COMPUTED_VALUE"""),0.0)</f>
        <v>0</v>
      </c>
      <c r="Q916" s="274" t="b">
        <f>VLOOKUP($B916,'Run Reconcile'!B$2:O2488,14,FALSE)</f>
        <v>1</v>
      </c>
      <c r="R916" s="472" t="str">
        <f t="array" ref="R916">IF($Q916, INDEX('Run Reconcile'!A$2:A2488,MATCH(B916,'Run Reconcile'!B$2:B2488,0),1),IFERROR(0/0,""))</f>
        <v>RUN-FLMP_2022-03-21_APS-085</v>
      </c>
      <c r="S916" s="473" t="str">
        <f t="shared" si="694"/>
        <v/>
      </c>
      <c r="T916" s="473" t="str">
        <f t="shared" si="698"/>
        <v/>
      </c>
      <c r="U916" s="275" t="str">
        <f t="array" ref="U916">IF(ISBLANK($R916), INDEX('Run Reconcile'!A$2:A2488, MATCH($B916, 'Run Reconcile'!B$2:B2488, 0)+Z916, 1), IFERROR(0/0,""))
</f>
        <v/>
      </c>
      <c r="V916" s="474" t="str">
        <f t="shared" si="5"/>
        <v>RUN-FLMP_2022-03-21_APS-085</v>
      </c>
      <c r="Y916" s="89" t="str">
        <f t="shared" si="867"/>
        <v/>
      </c>
      <c r="Z916" s="60" t="str">
        <f t="shared" si="7"/>
        <v/>
      </c>
      <c r="AA916" s="60" t="str">
        <f t="shared" si="8"/>
        <v/>
      </c>
      <c r="AB916" s="60" t="str">
        <f t="shared" si="9"/>
        <v/>
      </c>
      <c r="AC916" s="30" t="str">
        <f t="shared" ref="AC916:AD916" si="1272">IF(_xlfn.ISFORMULA(S916),IFERROR(0/0,""),TRUE)</f>
        <v/>
      </c>
      <c r="AD916" s="30" t="str">
        <f t="shared" si="1272"/>
        <v/>
      </c>
      <c r="AE916" s="475" t="str">
        <f>IFERROR(__xludf.DUMMYFUNCTION("""COMPUTED_VALUE"""),"CRLN")</f>
        <v>CRLN</v>
      </c>
      <c r="AF916" s="476"/>
      <c r="AG916" s="474" t="s">
        <v>190</v>
      </c>
      <c r="AH916" s="138" t="str">
        <f t="shared" si="11"/>
        <v/>
      </c>
    </row>
    <row r="917">
      <c r="A917" s="103" t="str">
        <f>IFERROR(__xludf.DUMMYFUNCTION("""COMPUTED_VALUE"""),"FLB7429")</f>
        <v>FLB7429</v>
      </c>
      <c r="B917" s="468">
        <f>IFERROR(__xludf.DUMMYFUNCTION("""COMPUTED_VALUE"""),44641.0)</f>
        <v>44641</v>
      </c>
      <c r="C917" s="469">
        <f>IFERROR(__xludf.DUMMYFUNCTION("""COMPUTED_VALUE"""),0.31960648148148146)</f>
        <v>0.3196064815</v>
      </c>
      <c r="D917" s="103" t="str">
        <f>IFERROR(__xludf.DUMMYFUNCTION("""COMPUTED_VALUE"""),"SpFLMP259015")</f>
        <v>SpFLMP259015</v>
      </c>
      <c r="E917" s="103"/>
      <c r="F917" s="103"/>
      <c r="G917" s="103" t="str">
        <f>IFERROR(__xludf.DUMMYFUNCTION("""COMPUTED_VALUE"""),"Negative")</f>
        <v>Negative</v>
      </c>
      <c r="H917" s="131" t="str">
        <f>IFERROR(__xludf.DUMMYFUNCTION("""COMPUTED_VALUE"""),"Negative")</f>
        <v>Negative</v>
      </c>
      <c r="I917" s="468">
        <f>IFERROR(__xludf.DUMMYFUNCTION("""COMPUTED_VALUE"""),44641.0)</f>
        <v>44641</v>
      </c>
      <c r="J917" s="470">
        <f>IFERROR(__xludf.DUMMYFUNCTION("""COMPUTED_VALUE"""),0.44653935185185184)</f>
        <v>0.4465393519</v>
      </c>
      <c r="K917" s="16"/>
      <c r="L917" s="8"/>
      <c r="M917" s="69"/>
      <c r="N917" s="69">
        <f>IFERROR(__xludf.DUMMYFUNCTION("""COMPUTED_VALUE"""),3.0)</f>
        <v>3</v>
      </c>
      <c r="O917" s="69" t="str">
        <f t="shared" si="3"/>
        <v/>
      </c>
      <c r="P917" s="471">
        <f>IFERROR(__xludf.DUMMYFUNCTION("""COMPUTED_VALUE"""),0.0)</f>
        <v>0</v>
      </c>
      <c r="Q917" s="274" t="b">
        <f>VLOOKUP($B917,'Run Reconcile'!B$2:O2488,14,FALSE)</f>
        <v>1</v>
      </c>
      <c r="R917" s="472" t="str">
        <f t="array" ref="R917">IF($Q917, INDEX('Run Reconcile'!A$2:A2488,MATCH(B917,'Run Reconcile'!B$2:B2488,0),1),IFERROR(0/0,""))</f>
        <v>RUN-FLMP_2022-03-21_APS-085</v>
      </c>
      <c r="S917" s="473" t="str">
        <f t="shared" si="694"/>
        <v/>
      </c>
      <c r="T917" s="473" t="str">
        <f t="shared" si="698"/>
        <v/>
      </c>
      <c r="U917" s="275" t="str">
        <f t="array" ref="U917">IF(ISBLANK($R917), INDEX('Run Reconcile'!A$2:A2488, MATCH($B917, 'Run Reconcile'!B$2:B2488, 0)+Z917, 1), IFERROR(0/0,""))
</f>
        <v/>
      </c>
      <c r="V917" s="474" t="str">
        <f t="shared" si="5"/>
        <v>RUN-FLMP_2022-03-21_APS-085</v>
      </c>
      <c r="Y917" s="89" t="str">
        <f t="shared" si="867"/>
        <v/>
      </c>
      <c r="Z917" s="60" t="str">
        <f t="shared" si="7"/>
        <v/>
      </c>
      <c r="AA917" s="60" t="str">
        <f t="shared" si="8"/>
        <v/>
      </c>
      <c r="AB917" s="60" t="str">
        <f t="shared" si="9"/>
        <v/>
      </c>
      <c r="AC917" s="30" t="str">
        <f t="shared" ref="AC917:AD917" si="1273">IF(_xlfn.ISFORMULA(S917),IFERROR(0/0,""),TRUE)</f>
        <v/>
      </c>
      <c r="AD917" s="30" t="str">
        <f t="shared" si="1273"/>
        <v/>
      </c>
      <c r="AE917" s="475" t="str">
        <f>IFERROR(__xludf.DUMMYFUNCTION("""COMPUTED_VALUE"""),"CRLN")</f>
        <v>CRLN</v>
      </c>
      <c r="AF917" s="476"/>
      <c r="AG917" s="474" t="s">
        <v>190</v>
      </c>
      <c r="AH917" s="138" t="str">
        <f t="shared" si="11"/>
        <v/>
      </c>
    </row>
    <row r="918">
      <c r="A918" s="103" t="str">
        <f>IFERROR(__xludf.DUMMYFUNCTION("""COMPUTED_VALUE"""),"FL11023")</f>
        <v>FL11023</v>
      </c>
      <c r="B918" s="468">
        <f>IFERROR(__xludf.DUMMYFUNCTION("""COMPUTED_VALUE"""),44641.0)</f>
        <v>44641</v>
      </c>
      <c r="C918" s="469">
        <f>IFERROR(__xludf.DUMMYFUNCTION("""COMPUTED_VALUE"""),0.3285532407407407)</f>
        <v>0.3285532407</v>
      </c>
      <c r="D918" s="103" t="str">
        <f>IFERROR(__xludf.DUMMYFUNCTION("""COMPUTED_VALUE"""),"SpFLMP965392")</f>
        <v>SpFLMP965392</v>
      </c>
      <c r="E918" s="103"/>
      <c r="F918" s="103"/>
      <c r="G918" s="103" t="str">
        <f>IFERROR(__xludf.DUMMYFUNCTION("""COMPUTED_VALUE"""),"Negative")</f>
        <v>Negative</v>
      </c>
      <c r="H918" s="131" t="str">
        <f>IFERROR(__xludf.DUMMYFUNCTION("""COMPUTED_VALUE"""),"Negative")</f>
        <v>Negative</v>
      </c>
      <c r="I918" s="468">
        <f>IFERROR(__xludf.DUMMYFUNCTION("""COMPUTED_VALUE"""),44641.0)</f>
        <v>44641</v>
      </c>
      <c r="J918" s="470">
        <f>IFERROR(__xludf.DUMMYFUNCTION("""COMPUTED_VALUE"""),0.44653935185185184)</f>
        <v>0.4465393519</v>
      </c>
      <c r="K918" s="16"/>
      <c r="L918" s="8"/>
      <c r="M918" s="69"/>
      <c r="N918" s="69">
        <f>IFERROR(__xludf.DUMMYFUNCTION("""COMPUTED_VALUE"""),4.0)</f>
        <v>4</v>
      </c>
      <c r="O918" s="69" t="str">
        <f t="shared" si="3"/>
        <v/>
      </c>
      <c r="P918" s="471">
        <f>IFERROR(__xludf.DUMMYFUNCTION("""COMPUTED_VALUE"""),0.0)</f>
        <v>0</v>
      </c>
      <c r="Q918" s="274" t="b">
        <f>VLOOKUP($B918,'Run Reconcile'!B$2:O2488,14,FALSE)</f>
        <v>1</v>
      </c>
      <c r="R918" s="472" t="str">
        <f t="array" ref="R918">IF($Q918, INDEX('Run Reconcile'!A$2:A2488,MATCH(B918,'Run Reconcile'!B$2:B2488,0),1),IFERROR(0/0,""))</f>
        <v>RUN-FLMP_2022-03-21_APS-085</v>
      </c>
      <c r="S918" s="473" t="str">
        <f t="shared" si="694"/>
        <v/>
      </c>
      <c r="T918" s="473" t="str">
        <f t="shared" si="698"/>
        <v/>
      </c>
      <c r="U918" s="275" t="str">
        <f t="array" ref="U918">IF(ISBLANK($R918), INDEX('Run Reconcile'!A$2:A2488, MATCH($B918, 'Run Reconcile'!B$2:B2488, 0)+Z918, 1), IFERROR(0/0,""))
</f>
        <v/>
      </c>
      <c r="V918" s="474" t="str">
        <f t="shared" si="5"/>
        <v>RUN-FLMP_2022-03-21_APS-085</v>
      </c>
      <c r="Y918" s="89" t="str">
        <f t="shared" si="867"/>
        <v/>
      </c>
      <c r="Z918" s="60" t="str">
        <f t="shared" si="7"/>
        <v/>
      </c>
      <c r="AA918" s="60" t="str">
        <f t="shared" si="8"/>
        <v/>
      </c>
      <c r="AB918" s="60" t="str">
        <f t="shared" si="9"/>
        <v/>
      </c>
      <c r="AC918" s="30" t="str">
        <f t="shared" ref="AC918:AD918" si="1274">IF(_xlfn.ISFORMULA(S918),IFERROR(0/0,""),TRUE)</f>
        <v/>
      </c>
      <c r="AD918" s="30" t="str">
        <f t="shared" si="1274"/>
        <v/>
      </c>
      <c r="AE918" s="475" t="str">
        <f>IFERROR(__xludf.DUMMYFUNCTION("""COMPUTED_VALUE"""),"CRLN")</f>
        <v>CRLN</v>
      </c>
      <c r="AF918" s="476"/>
      <c r="AG918" s="474" t="s">
        <v>190</v>
      </c>
      <c r="AH918" s="138" t="str">
        <f t="shared" si="11"/>
        <v/>
      </c>
    </row>
    <row r="919">
      <c r="A919" s="103" t="str">
        <f>IFERROR(__xludf.DUMMYFUNCTION("""COMPUTED_VALUE"""),"FLB5962")</f>
        <v>FLB5962</v>
      </c>
      <c r="B919" s="468">
        <f>IFERROR(__xludf.DUMMYFUNCTION("""COMPUTED_VALUE"""),44641.0)</f>
        <v>44641</v>
      </c>
      <c r="C919" s="469">
        <f>IFERROR(__xludf.DUMMYFUNCTION("""COMPUTED_VALUE"""),0.33221064814814816)</f>
        <v>0.3322106481</v>
      </c>
      <c r="D919" s="103" t="str">
        <f>IFERROR(__xludf.DUMMYFUNCTION("""COMPUTED_VALUE"""),"SpFLMP170622")</f>
        <v>SpFLMP170622</v>
      </c>
      <c r="E919" s="103"/>
      <c r="F919" s="103"/>
      <c r="G919" s="103" t="str">
        <f>IFERROR(__xludf.DUMMYFUNCTION("""COMPUTED_VALUE"""),"Negative")</f>
        <v>Negative</v>
      </c>
      <c r="H919" s="131" t="str">
        <f>IFERROR(__xludf.DUMMYFUNCTION("""COMPUTED_VALUE"""),"Negative")</f>
        <v>Negative</v>
      </c>
      <c r="I919" s="468">
        <f>IFERROR(__xludf.DUMMYFUNCTION("""COMPUTED_VALUE"""),44641.0)</f>
        <v>44641</v>
      </c>
      <c r="J919" s="470">
        <f>IFERROR(__xludf.DUMMYFUNCTION("""COMPUTED_VALUE"""),0.44653935185185184)</f>
        <v>0.4465393519</v>
      </c>
      <c r="K919" s="16"/>
      <c r="L919" s="8"/>
      <c r="M919" s="69"/>
      <c r="N919" s="69">
        <f>IFERROR(__xludf.DUMMYFUNCTION("""COMPUTED_VALUE"""),2.0)</f>
        <v>2</v>
      </c>
      <c r="O919" s="69" t="str">
        <f t="shared" si="3"/>
        <v/>
      </c>
      <c r="P919" s="471">
        <f>IFERROR(__xludf.DUMMYFUNCTION("""COMPUTED_VALUE"""),0.0)</f>
        <v>0</v>
      </c>
      <c r="Q919" s="274" t="b">
        <f>VLOOKUP($B919,'Run Reconcile'!B$2:O2488,14,FALSE)</f>
        <v>1</v>
      </c>
      <c r="R919" s="472" t="str">
        <f t="array" ref="R919">IF($Q919, INDEX('Run Reconcile'!A$2:A2488,MATCH(B919,'Run Reconcile'!B$2:B2488,0),1),IFERROR(0/0,""))</f>
        <v>RUN-FLMP_2022-03-21_APS-085</v>
      </c>
      <c r="S919" s="473" t="str">
        <f t="shared" si="694"/>
        <v/>
      </c>
      <c r="T919" s="473" t="str">
        <f t="shared" si="698"/>
        <v/>
      </c>
      <c r="U919" s="275" t="str">
        <f t="array" ref="U919">IF(ISBLANK($R919), INDEX('Run Reconcile'!A$2:A2488, MATCH($B919, 'Run Reconcile'!B$2:B2488, 0)+Z919, 1), IFERROR(0/0,""))
</f>
        <v/>
      </c>
      <c r="V919" s="474" t="str">
        <f t="shared" si="5"/>
        <v>RUN-FLMP_2022-03-21_APS-085</v>
      </c>
      <c r="Y919" s="89" t="str">
        <f t="shared" si="867"/>
        <v/>
      </c>
      <c r="Z919" s="60" t="str">
        <f t="shared" si="7"/>
        <v/>
      </c>
      <c r="AA919" s="60" t="str">
        <f t="shared" si="8"/>
        <v/>
      </c>
      <c r="AB919" s="60" t="str">
        <f t="shared" si="9"/>
        <v/>
      </c>
      <c r="AC919" s="30" t="str">
        <f t="shared" ref="AC919:AD919" si="1275">IF(_xlfn.ISFORMULA(S919),IFERROR(0/0,""),TRUE)</f>
        <v/>
      </c>
      <c r="AD919" s="30" t="str">
        <f t="shared" si="1275"/>
        <v/>
      </c>
      <c r="AE919" s="475" t="str">
        <f>IFERROR(__xludf.DUMMYFUNCTION("""COMPUTED_VALUE"""),"CRLN")</f>
        <v>CRLN</v>
      </c>
      <c r="AF919" s="476"/>
      <c r="AG919" s="474" t="s">
        <v>190</v>
      </c>
      <c r="AH919" s="138" t="str">
        <f t="shared" si="11"/>
        <v/>
      </c>
    </row>
    <row r="920">
      <c r="A920" s="103" t="str">
        <f>IFERROR(__xludf.DUMMYFUNCTION("""COMPUTED_VALUE"""),"FLB4942")</f>
        <v>FLB4942</v>
      </c>
      <c r="B920" s="468">
        <f>IFERROR(__xludf.DUMMYFUNCTION("""COMPUTED_VALUE"""),44641.0)</f>
        <v>44641</v>
      </c>
      <c r="C920" s="469">
        <f>IFERROR(__xludf.DUMMYFUNCTION("""COMPUTED_VALUE"""),0.332349537037037)</f>
        <v>0.332349537</v>
      </c>
      <c r="D920" s="103" t="str">
        <f>IFERROR(__xludf.DUMMYFUNCTION("""COMPUTED_VALUE"""),"SpFLMP170622")</f>
        <v>SpFLMP170622</v>
      </c>
      <c r="E920" s="103"/>
      <c r="F920" s="103"/>
      <c r="G920" s="103" t="str">
        <f>IFERROR(__xludf.DUMMYFUNCTION("""COMPUTED_VALUE"""),"Negative")</f>
        <v>Negative</v>
      </c>
      <c r="H920" s="131" t="str">
        <f>IFERROR(__xludf.DUMMYFUNCTION("""COMPUTED_VALUE"""),"Negative")</f>
        <v>Negative</v>
      </c>
      <c r="I920" s="468">
        <f>IFERROR(__xludf.DUMMYFUNCTION("""COMPUTED_VALUE"""),44641.0)</f>
        <v>44641</v>
      </c>
      <c r="J920" s="470">
        <f>IFERROR(__xludf.DUMMYFUNCTION("""COMPUTED_VALUE"""),0.44653935185185184)</f>
        <v>0.4465393519</v>
      </c>
      <c r="K920" s="16"/>
      <c r="L920" s="8"/>
      <c r="M920" s="69"/>
      <c r="N920" s="69">
        <f>IFERROR(__xludf.DUMMYFUNCTION("""COMPUTED_VALUE"""),2.0)</f>
        <v>2</v>
      </c>
      <c r="O920" s="69" t="str">
        <f t="shared" si="3"/>
        <v/>
      </c>
      <c r="P920" s="471">
        <f>IFERROR(__xludf.DUMMYFUNCTION("""COMPUTED_VALUE"""),0.0)</f>
        <v>0</v>
      </c>
      <c r="Q920" s="274" t="b">
        <f>VLOOKUP($B920,'Run Reconcile'!B$2:O2488,14,FALSE)</f>
        <v>1</v>
      </c>
      <c r="R920" s="472" t="str">
        <f t="array" ref="R920">IF($Q920, INDEX('Run Reconcile'!A$2:A2488,MATCH(B920,'Run Reconcile'!B$2:B2488,0),1),IFERROR(0/0,""))</f>
        <v>RUN-FLMP_2022-03-21_APS-085</v>
      </c>
      <c r="S920" s="473" t="str">
        <f t="shared" si="694"/>
        <v/>
      </c>
      <c r="T920" s="473" t="str">
        <f t="shared" si="698"/>
        <v/>
      </c>
      <c r="U920" s="275" t="str">
        <f t="array" ref="U920">IF(ISBLANK($R920), INDEX('Run Reconcile'!A$2:A2488, MATCH($B920, 'Run Reconcile'!B$2:B2488, 0)+Z920, 1), IFERROR(0/0,""))
</f>
        <v/>
      </c>
      <c r="V920" s="474" t="str">
        <f t="shared" si="5"/>
        <v>RUN-FLMP_2022-03-21_APS-085</v>
      </c>
      <c r="Y920" s="89" t="str">
        <f t="shared" si="867"/>
        <v/>
      </c>
      <c r="Z920" s="60" t="str">
        <f t="shared" si="7"/>
        <v/>
      </c>
      <c r="AA920" s="60" t="str">
        <f t="shared" si="8"/>
        <v/>
      </c>
      <c r="AB920" s="60" t="str">
        <f t="shared" si="9"/>
        <v/>
      </c>
      <c r="AC920" s="30" t="str">
        <f t="shared" ref="AC920:AD920" si="1276">IF(_xlfn.ISFORMULA(S920),IFERROR(0/0,""),TRUE)</f>
        <v/>
      </c>
      <c r="AD920" s="30" t="str">
        <f t="shared" si="1276"/>
        <v/>
      </c>
      <c r="AE920" s="475" t="str">
        <f>IFERROR(__xludf.DUMMYFUNCTION("""COMPUTED_VALUE"""),"CRLN")</f>
        <v>CRLN</v>
      </c>
      <c r="AF920" s="476"/>
      <c r="AG920" s="474" t="s">
        <v>190</v>
      </c>
      <c r="AH920" s="138" t="str">
        <f t="shared" si="11"/>
        <v/>
      </c>
    </row>
    <row r="921">
      <c r="A921" s="103" t="str">
        <f>IFERROR(__xludf.DUMMYFUNCTION("""COMPUTED_VALUE"""),"FLB6744")</f>
        <v>FLB6744</v>
      </c>
      <c r="B921" s="468">
        <f>IFERROR(__xludf.DUMMYFUNCTION("""COMPUTED_VALUE"""),44641.0)</f>
        <v>44641</v>
      </c>
      <c r="C921" s="469">
        <f>IFERROR(__xludf.DUMMYFUNCTION("""COMPUTED_VALUE"""),0.33252314814814815)</f>
        <v>0.3325231481</v>
      </c>
      <c r="D921" s="103" t="str">
        <f>IFERROR(__xludf.DUMMYFUNCTION("""COMPUTED_VALUE"""),"SpFLMP777132")</f>
        <v>SpFLMP777132</v>
      </c>
      <c r="E921" s="103"/>
      <c r="F921" s="103"/>
      <c r="G921" s="103" t="str">
        <f>IFERROR(__xludf.DUMMYFUNCTION("""COMPUTED_VALUE"""),"Negative")</f>
        <v>Negative</v>
      </c>
      <c r="H921" s="131" t="str">
        <f>IFERROR(__xludf.DUMMYFUNCTION("""COMPUTED_VALUE"""),"Negative")</f>
        <v>Negative</v>
      </c>
      <c r="I921" s="468">
        <f>IFERROR(__xludf.DUMMYFUNCTION("""COMPUTED_VALUE"""),44641.0)</f>
        <v>44641</v>
      </c>
      <c r="J921" s="470">
        <f>IFERROR(__xludf.DUMMYFUNCTION("""COMPUTED_VALUE"""),0.44653935185185184)</f>
        <v>0.4465393519</v>
      </c>
      <c r="K921" s="16"/>
      <c r="L921" s="8"/>
      <c r="M921" s="69"/>
      <c r="N921" s="69">
        <f>IFERROR(__xludf.DUMMYFUNCTION("""COMPUTED_VALUE"""),4.0)</f>
        <v>4</v>
      </c>
      <c r="O921" s="69" t="str">
        <f t="shared" si="3"/>
        <v/>
      </c>
      <c r="P921" s="471">
        <f>IFERROR(__xludf.DUMMYFUNCTION("""COMPUTED_VALUE"""),0.0)</f>
        <v>0</v>
      </c>
      <c r="Q921" s="274" t="b">
        <f>VLOOKUP($B921,'Run Reconcile'!B$2:O2488,14,FALSE)</f>
        <v>1</v>
      </c>
      <c r="R921" s="472" t="str">
        <f t="array" ref="R921">IF($Q921, INDEX('Run Reconcile'!A$2:A2488,MATCH(B921,'Run Reconcile'!B$2:B2488,0),1),IFERROR(0/0,""))</f>
        <v>RUN-FLMP_2022-03-21_APS-085</v>
      </c>
      <c r="S921" s="473" t="str">
        <f t="shared" si="694"/>
        <v/>
      </c>
      <c r="T921" s="473" t="str">
        <f t="shared" si="698"/>
        <v/>
      </c>
      <c r="U921" s="275" t="str">
        <f t="array" ref="U921">IF(ISBLANK($R921), INDEX('Run Reconcile'!A$2:A2488, MATCH($B921, 'Run Reconcile'!B$2:B2488, 0)+Z921, 1), IFERROR(0/0,""))
</f>
        <v/>
      </c>
      <c r="V921" s="474" t="str">
        <f t="shared" si="5"/>
        <v>RUN-FLMP_2022-03-21_APS-085</v>
      </c>
      <c r="Y921" s="89" t="str">
        <f t="shared" si="867"/>
        <v/>
      </c>
      <c r="Z921" s="60" t="str">
        <f t="shared" si="7"/>
        <v/>
      </c>
      <c r="AA921" s="60" t="str">
        <f t="shared" si="8"/>
        <v/>
      </c>
      <c r="AB921" s="60" t="str">
        <f t="shared" si="9"/>
        <v/>
      </c>
      <c r="AC921" s="30" t="str">
        <f t="shared" ref="AC921:AD921" si="1277">IF(_xlfn.ISFORMULA(S921),IFERROR(0/0,""),TRUE)</f>
        <v/>
      </c>
      <c r="AD921" s="30" t="str">
        <f t="shared" si="1277"/>
        <v/>
      </c>
      <c r="AE921" s="475" t="str">
        <f>IFERROR(__xludf.DUMMYFUNCTION("""COMPUTED_VALUE"""),"CRLN")</f>
        <v>CRLN</v>
      </c>
      <c r="AF921" s="476"/>
      <c r="AG921" s="474" t="s">
        <v>190</v>
      </c>
      <c r="AH921" s="138" t="str">
        <f t="shared" si="11"/>
        <v/>
      </c>
    </row>
    <row r="922">
      <c r="A922" s="103" t="str">
        <f>IFERROR(__xludf.DUMMYFUNCTION("""COMPUTED_VALUE"""),"FLB7181")</f>
        <v>FLB7181</v>
      </c>
      <c r="B922" s="468">
        <f>IFERROR(__xludf.DUMMYFUNCTION("""COMPUTED_VALUE"""),44641.0)</f>
        <v>44641</v>
      </c>
      <c r="C922" s="469">
        <f>IFERROR(__xludf.DUMMYFUNCTION("""COMPUTED_VALUE"""),0.3332986111111111)</f>
        <v>0.3332986111</v>
      </c>
      <c r="D922" s="103" t="str">
        <f>IFERROR(__xludf.DUMMYFUNCTION("""COMPUTED_VALUE"""),"SpFLMP544731")</f>
        <v>SpFLMP544731</v>
      </c>
      <c r="E922" s="103"/>
      <c r="F922" s="103"/>
      <c r="G922" s="103" t="str">
        <f>IFERROR(__xludf.DUMMYFUNCTION("""COMPUTED_VALUE"""),"Negative")</f>
        <v>Negative</v>
      </c>
      <c r="H922" s="131" t="str">
        <f>IFERROR(__xludf.DUMMYFUNCTION("""COMPUTED_VALUE"""),"Negative")</f>
        <v>Negative</v>
      </c>
      <c r="I922" s="468">
        <f>IFERROR(__xludf.DUMMYFUNCTION("""COMPUTED_VALUE"""),44641.0)</f>
        <v>44641</v>
      </c>
      <c r="J922" s="470">
        <f>IFERROR(__xludf.DUMMYFUNCTION("""COMPUTED_VALUE"""),0.44653935185185184)</f>
        <v>0.4465393519</v>
      </c>
      <c r="K922" s="16"/>
      <c r="L922" s="8"/>
      <c r="M922" s="69"/>
      <c r="N922" s="69">
        <f>IFERROR(__xludf.DUMMYFUNCTION("""COMPUTED_VALUE"""),2.0)</f>
        <v>2</v>
      </c>
      <c r="O922" s="69" t="str">
        <f t="shared" si="3"/>
        <v/>
      </c>
      <c r="P922" s="471">
        <f>IFERROR(__xludf.DUMMYFUNCTION("""COMPUTED_VALUE"""),0.0)</f>
        <v>0</v>
      </c>
      <c r="Q922" s="274" t="b">
        <f>VLOOKUP($B922,'Run Reconcile'!B$2:O2488,14,FALSE)</f>
        <v>1</v>
      </c>
      <c r="R922" s="472" t="str">
        <f t="array" ref="R922">IF($Q922, INDEX('Run Reconcile'!A$2:A2488,MATCH(B922,'Run Reconcile'!B$2:B2488,0),1),IFERROR(0/0,""))</f>
        <v>RUN-FLMP_2022-03-21_APS-085</v>
      </c>
      <c r="S922" s="473" t="str">
        <f t="shared" si="694"/>
        <v/>
      </c>
      <c r="T922" s="473" t="str">
        <f t="shared" si="698"/>
        <v/>
      </c>
      <c r="U922" s="275" t="str">
        <f t="array" ref="U922">IF(ISBLANK($R922), INDEX('Run Reconcile'!A$2:A2488, MATCH($B922, 'Run Reconcile'!B$2:B2488, 0)+Z922, 1), IFERROR(0/0,""))
</f>
        <v/>
      </c>
      <c r="V922" s="474" t="str">
        <f t="shared" si="5"/>
        <v>RUN-FLMP_2022-03-21_APS-085</v>
      </c>
      <c r="Y922" s="89" t="str">
        <f t="shared" si="867"/>
        <v/>
      </c>
      <c r="Z922" s="60" t="str">
        <f t="shared" si="7"/>
        <v/>
      </c>
      <c r="AA922" s="60" t="str">
        <f t="shared" si="8"/>
        <v/>
      </c>
      <c r="AB922" s="60" t="str">
        <f t="shared" si="9"/>
        <v/>
      </c>
      <c r="AC922" s="30" t="str">
        <f t="shared" ref="AC922:AD922" si="1278">IF(_xlfn.ISFORMULA(S922),IFERROR(0/0,""),TRUE)</f>
        <v/>
      </c>
      <c r="AD922" s="30" t="str">
        <f t="shared" si="1278"/>
        <v/>
      </c>
      <c r="AE922" s="475" t="str">
        <f>IFERROR(__xludf.DUMMYFUNCTION("""COMPUTED_VALUE"""),"CRLN")</f>
        <v>CRLN</v>
      </c>
      <c r="AF922" s="476"/>
      <c r="AG922" s="474" t="s">
        <v>190</v>
      </c>
      <c r="AH922" s="138" t="str">
        <f t="shared" si="11"/>
        <v/>
      </c>
    </row>
    <row r="923">
      <c r="A923" s="103" t="str">
        <f>IFERROR(__xludf.DUMMYFUNCTION("""COMPUTED_VALUE"""),"FLB7350")</f>
        <v>FLB7350</v>
      </c>
      <c r="B923" s="468">
        <f>IFERROR(__xludf.DUMMYFUNCTION("""COMPUTED_VALUE"""),44641.0)</f>
        <v>44641</v>
      </c>
      <c r="C923" s="469">
        <f>IFERROR(__xludf.DUMMYFUNCTION("""COMPUTED_VALUE"""),0.33633101851851854)</f>
        <v>0.3363310185</v>
      </c>
      <c r="D923" s="103" t="str">
        <f>IFERROR(__xludf.DUMMYFUNCTION("""COMPUTED_VALUE"""),"SpFLMP690282")</f>
        <v>SpFLMP690282</v>
      </c>
      <c r="E923" s="103"/>
      <c r="F923" s="103"/>
      <c r="G923" s="103" t="str">
        <f>IFERROR(__xludf.DUMMYFUNCTION("""COMPUTED_VALUE"""),"Negative")</f>
        <v>Negative</v>
      </c>
      <c r="H923" s="131" t="str">
        <f>IFERROR(__xludf.DUMMYFUNCTION("""COMPUTED_VALUE"""),"Negative")</f>
        <v>Negative</v>
      </c>
      <c r="I923" s="468">
        <f>IFERROR(__xludf.DUMMYFUNCTION("""COMPUTED_VALUE"""),44641.0)</f>
        <v>44641</v>
      </c>
      <c r="J923" s="470">
        <f>IFERROR(__xludf.DUMMYFUNCTION("""COMPUTED_VALUE"""),0.4578125)</f>
        <v>0.4578125</v>
      </c>
      <c r="K923" s="16"/>
      <c r="L923" s="8"/>
      <c r="M923" s="69"/>
      <c r="N923" s="69">
        <f>IFERROR(__xludf.DUMMYFUNCTION("""COMPUTED_VALUE"""),1.0)</f>
        <v>1</v>
      </c>
      <c r="O923" s="69" t="str">
        <f t="shared" si="3"/>
        <v/>
      </c>
      <c r="P923" s="471">
        <f>IFERROR(__xludf.DUMMYFUNCTION("""COMPUTED_VALUE"""),0.0)</f>
        <v>0</v>
      </c>
      <c r="Q923" s="274" t="b">
        <f>VLOOKUP($B923,'Run Reconcile'!B$2:O2488,14,FALSE)</f>
        <v>1</v>
      </c>
      <c r="R923" s="472" t="str">
        <f t="array" ref="R923">IF($Q923, INDEX('Run Reconcile'!A$2:A2488,MATCH(B923,'Run Reconcile'!B$2:B2488,0),1),IFERROR(0/0,""))</f>
        <v>RUN-FLMP_2022-03-21_APS-085</v>
      </c>
      <c r="S923" s="473" t="str">
        <f t="shared" si="694"/>
        <v/>
      </c>
      <c r="T923" s="473" t="str">
        <f t="shared" si="698"/>
        <v/>
      </c>
      <c r="U923" s="275" t="str">
        <f t="array" ref="U923">IF(ISBLANK($R923), INDEX('Run Reconcile'!A$2:A2488, MATCH($B923, 'Run Reconcile'!B$2:B2488, 0)+Z923, 1), IFERROR(0/0,""))
</f>
        <v/>
      </c>
      <c r="V923" s="474" t="str">
        <f t="shared" si="5"/>
        <v>RUN-FLMP_2022-03-21_APS-085</v>
      </c>
      <c r="Y923" s="89" t="str">
        <f t="shared" si="867"/>
        <v/>
      </c>
      <c r="Z923" s="60" t="str">
        <f t="shared" si="7"/>
        <v/>
      </c>
      <c r="AA923" s="60" t="str">
        <f t="shared" si="8"/>
        <v/>
      </c>
      <c r="AB923" s="60" t="str">
        <f t="shared" si="9"/>
        <v/>
      </c>
      <c r="AC923" s="30" t="str">
        <f t="shared" ref="AC923:AD923" si="1279">IF(_xlfn.ISFORMULA(S923),IFERROR(0/0,""),TRUE)</f>
        <v/>
      </c>
      <c r="AD923" s="30" t="str">
        <f t="shared" si="1279"/>
        <v/>
      </c>
      <c r="AE923" s="475" t="str">
        <f>IFERROR(__xludf.DUMMYFUNCTION("""COMPUTED_VALUE"""),"CRLN")</f>
        <v>CRLN</v>
      </c>
      <c r="AF923" s="476"/>
      <c r="AG923" s="474" t="s">
        <v>190</v>
      </c>
      <c r="AH923" s="138" t="str">
        <f t="shared" si="11"/>
        <v/>
      </c>
    </row>
    <row r="924">
      <c r="A924" s="103" t="str">
        <f>IFERROR(__xludf.DUMMYFUNCTION("""COMPUTED_VALUE"""),"FLB7288")</f>
        <v>FLB7288</v>
      </c>
      <c r="B924" s="468">
        <f>IFERROR(__xludf.DUMMYFUNCTION("""COMPUTED_VALUE"""),44641.0)</f>
        <v>44641</v>
      </c>
      <c r="C924" s="469">
        <f>IFERROR(__xludf.DUMMYFUNCTION("""COMPUTED_VALUE"""),0.34186342592592595)</f>
        <v>0.3418634259</v>
      </c>
      <c r="D924" s="103" t="str">
        <f>IFERROR(__xludf.DUMMYFUNCTION("""COMPUTED_VALUE"""),"SpFLMP904576")</f>
        <v>SpFLMP904576</v>
      </c>
      <c r="E924" s="103"/>
      <c r="F924" s="103"/>
      <c r="G924" s="103" t="str">
        <f>IFERROR(__xludf.DUMMYFUNCTION("""COMPUTED_VALUE"""),"Negative")</f>
        <v>Negative</v>
      </c>
      <c r="H924" s="131" t="str">
        <f>IFERROR(__xludf.DUMMYFUNCTION("""COMPUTED_VALUE"""),"Negative")</f>
        <v>Negative</v>
      </c>
      <c r="I924" s="468">
        <f>IFERROR(__xludf.DUMMYFUNCTION("""COMPUTED_VALUE"""),44641.0)</f>
        <v>44641</v>
      </c>
      <c r="J924" s="470">
        <f>IFERROR(__xludf.DUMMYFUNCTION("""COMPUTED_VALUE"""),0.44653935185185184)</f>
        <v>0.4465393519</v>
      </c>
      <c r="K924" s="16"/>
      <c r="L924" s="8"/>
      <c r="M924" s="69"/>
      <c r="N924" s="69">
        <f>IFERROR(__xludf.DUMMYFUNCTION("""COMPUTED_VALUE"""),3.0)</f>
        <v>3</v>
      </c>
      <c r="O924" s="69" t="str">
        <f t="shared" si="3"/>
        <v/>
      </c>
      <c r="P924" s="471">
        <f>IFERROR(__xludf.DUMMYFUNCTION("""COMPUTED_VALUE"""),0.0)</f>
        <v>0</v>
      </c>
      <c r="Q924" s="274" t="b">
        <f>VLOOKUP($B924,'Run Reconcile'!B$2:O2488,14,FALSE)</f>
        <v>1</v>
      </c>
      <c r="R924" s="472" t="str">
        <f t="array" ref="R924">IF($Q924, INDEX('Run Reconcile'!A$2:A2488,MATCH(B924,'Run Reconcile'!B$2:B2488,0),1),IFERROR(0/0,""))</f>
        <v>RUN-FLMP_2022-03-21_APS-085</v>
      </c>
      <c r="S924" s="473" t="str">
        <f t="shared" si="694"/>
        <v/>
      </c>
      <c r="T924" s="473" t="str">
        <f t="shared" si="698"/>
        <v/>
      </c>
      <c r="U924" s="275" t="str">
        <f t="array" ref="U924">IF(ISBLANK($R924), INDEX('Run Reconcile'!A$2:A2488, MATCH($B924, 'Run Reconcile'!B$2:B2488, 0)+Z924, 1), IFERROR(0/0,""))
</f>
        <v/>
      </c>
      <c r="V924" s="474" t="str">
        <f t="shared" si="5"/>
        <v>RUN-FLMP_2022-03-21_APS-085</v>
      </c>
      <c r="Y924" s="89" t="str">
        <f t="shared" si="867"/>
        <v/>
      </c>
      <c r="Z924" s="60" t="str">
        <f t="shared" si="7"/>
        <v/>
      </c>
      <c r="AA924" s="60" t="str">
        <f t="shared" si="8"/>
        <v/>
      </c>
      <c r="AB924" s="60" t="str">
        <f t="shared" si="9"/>
        <v/>
      </c>
      <c r="AC924" s="30" t="str">
        <f t="shared" ref="AC924:AD924" si="1280">IF(_xlfn.ISFORMULA(S924),IFERROR(0/0,""),TRUE)</f>
        <v/>
      </c>
      <c r="AD924" s="30" t="str">
        <f t="shared" si="1280"/>
        <v/>
      </c>
      <c r="AE924" s="475" t="str">
        <f>IFERROR(__xludf.DUMMYFUNCTION("""COMPUTED_VALUE"""),"CRLN")</f>
        <v>CRLN</v>
      </c>
      <c r="AF924" s="476"/>
      <c r="AG924" s="474" t="s">
        <v>190</v>
      </c>
      <c r="AH924" s="138" t="str">
        <f t="shared" si="11"/>
        <v/>
      </c>
    </row>
    <row r="925">
      <c r="A925" s="103" t="str">
        <f>IFERROR(__xludf.DUMMYFUNCTION("""COMPUTED_VALUE"""),"FLB4905")</f>
        <v>FLB4905</v>
      </c>
      <c r="B925" s="468">
        <f>IFERROR(__xludf.DUMMYFUNCTION("""COMPUTED_VALUE"""),44641.0)</f>
        <v>44641</v>
      </c>
      <c r="C925" s="469">
        <f>IFERROR(__xludf.DUMMYFUNCTION("""COMPUTED_VALUE"""),0.34586805555555555)</f>
        <v>0.3458680556</v>
      </c>
      <c r="D925" s="103" t="str">
        <f>IFERROR(__xludf.DUMMYFUNCTION("""COMPUTED_VALUE"""),"SpFLMP314549")</f>
        <v>SpFLMP314549</v>
      </c>
      <c r="E925" s="103"/>
      <c r="F925" s="103"/>
      <c r="G925" s="103" t="str">
        <f>IFERROR(__xludf.DUMMYFUNCTION("""COMPUTED_VALUE"""),"Negative")</f>
        <v>Negative</v>
      </c>
      <c r="H925" s="131" t="str">
        <f>IFERROR(__xludf.DUMMYFUNCTION("""COMPUTED_VALUE"""),"Negative")</f>
        <v>Negative</v>
      </c>
      <c r="I925" s="468">
        <f>IFERROR(__xludf.DUMMYFUNCTION("""COMPUTED_VALUE"""),44641.0)</f>
        <v>44641</v>
      </c>
      <c r="J925" s="470">
        <f>IFERROR(__xludf.DUMMYFUNCTION("""COMPUTED_VALUE"""),0.44653935185185184)</f>
        <v>0.4465393519</v>
      </c>
      <c r="K925" s="16"/>
      <c r="L925" s="8"/>
      <c r="M925" s="69"/>
      <c r="N925" s="69">
        <f>IFERROR(__xludf.DUMMYFUNCTION("""COMPUTED_VALUE"""),1.0)</f>
        <v>1</v>
      </c>
      <c r="O925" s="69" t="str">
        <f t="shared" si="3"/>
        <v/>
      </c>
      <c r="P925" s="471">
        <f>IFERROR(__xludf.DUMMYFUNCTION("""COMPUTED_VALUE"""),0.0)</f>
        <v>0</v>
      </c>
      <c r="Q925" s="274" t="b">
        <f>VLOOKUP($B925,'Run Reconcile'!B$2:O2488,14,FALSE)</f>
        <v>1</v>
      </c>
      <c r="R925" s="472" t="str">
        <f t="array" ref="R925">IF($Q925, INDEX('Run Reconcile'!A$2:A2488,MATCH(B925,'Run Reconcile'!B$2:B2488,0),1),IFERROR(0/0,""))</f>
        <v>RUN-FLMP_2022-03-21_APS-085</v>
      </c>
      <c r="S925" s="473" t="str">
        <f t="shared" si="694"/>
        <v/>
      </c>
      <c r="T925" s="473" t="str">
        <f t="shared" si="698"/>
        <v/>
      </c>
      <c r="U925" s="275" t="str">
        <f t="array" ref="U925">IF(ISBLANK($R925), INDEX('Run Reconcile'!A$2:A2488, MATCH($B925, 'Run Reconcile'!B$2:B2488, 0)+Z925, 1), IFERROR(0/0,""))
</f>
        <v/>
      </c>
      <c r="V925" s="474" t="str">
        <f t="shared" si="5"/>
        <v>RUN-FLMP_2022-03-21_APS-085</v>
      </c>
      <c r="Y925" s="89" t="str">
        <f t="shared" si="867"/>
        <v/>
      </c>
      <c r="Z925" s="60" t="str">
        <f t="shared" si="7"/>
        <v/>
      </c>
      <c r="AA925" s="60" t="str">
        <f t="shared" si="8"/>
        <v/>
      </c>
      <c r="AB925" s="60" t="str">
        <f t="shared" si="9"/>
        <v/>
      </c>
      <c r="AC925" s="30" t="str">
        <f t="shared" ref="AC925:AD925" si="1281">IF(_xlfn.ISFORMULA(S925),IFERROR(0/0,""),TRUE)</f>
        <v/>
      </c>
      <c r="AD925" s="30" t="str">
        <f t="shared" si="1281"/>
        <v/>
      </c>
      <c r="AE925" s="475" t="str">
        <f>IFERROR(__xludf.DUMMYFUNCTION("""COMPUTED_VALUE"""),"CRLN")</f>
        <v>CRLN</v>
      </c>
      <c r="AF925" s="476"/>
      <c r="AG925" s="474" t="s">
        <v>190</v>
      </c>
      <c r="AH925" s="138" t="str">
        <f t="shared" si="11"/>
        <v/>
      </c>
    </row>
    <row r="926">
      <c r="A926" s="103" t="str">
        <f>IFERROR(__xludf.DUMMYFUNCTION("""COMPUTED_VALUE"""),"FLB5751")</f>
        <v>FLB5751</v>
      </c>
      <c r="B926" s="468">
        <f>IFERROR(__xludf.DUMMYFUNCTION("""COMPUTED_VALUE"""),44641.0)</f>
        <v>44641</v>
      </c>
      <c r="C926" s="469">
        <f>IFERROR(__xludf.DUMMYFUNCTION("""COMPUTED_VALUE"""),0.3506134259259259)</f>
        <v>0.3506134259</v>
      </c>
      <c r="D926" s="103" t="str">
        <f>IFERROR(__xludf.DUMMYFUNCTION("""COMPUTED_VALUE"""),"SpFLMP604497")</f>
        <v>SpFLMP604497</v>
      </c>
      <c r="E926" s="103"/>
      <c r="F926" s="103"/>
      <c r="G926" s="103" t="str">
        <f>IFERROR(__xludf.DUMMYFUNCTION("""COMPUTED_VALUE"""),"Negative")</f>
        <v>Negative</v>
      </c>
      <c r="H926" s="131" t="str">
        <f>IFERROR(__xludf.DUMMYFUNCTION("""COMPUTED_VALUE"""),"Negative")</f>
        <v>Negative</v>
      </c>
      <c r="I926" s="468">
        <f>IFERROR(__xludf.DUMMYFUNCTION("""COMPUTED_VALUE"""),44641.0)</f>
        <v>44641</v>
      </c>
      <c r="J926" s="470">
        <f>IFERROR(__xludf.DUMMYFUNCTION("""COMPUTED_VALUE"""),0.44653935185185184)</f>
        <v>0.4465393519</v>
      </c>
      <c r="K926" s="16"/>
      <c r="L926" s="8"/>
      <c r="M926" s="69"/>
      <c r="N926" s="69">
        <f>IFERROR(__xludf.DUMMYFUNCTION("""COMPUTED_VALUE"""),3.0)</f>
        <v>3</v>
      </c>
      <c r="O926" s="69" t="str">
        <f t="shared" si="3"/>
        <v/>
      </c>
      <c r="P926" s="471">
        <f>IFERROR(__xludf.DUMMYFUNCTION("""COMPUTED_VALUE"""),0.0)</f>
        <v>0</v>
      </c>
      <c r="Q926" s="274" t="b">
        <f>VLOOKUP($B926,'Run Reconcile'!B$2:O2488,14,FALSE)</f>
        <v>1</v>
      </c>
      <c r="R926" s="472" t="str">
        <f t="array" ref="R926">IF($Q926, INDEX('Run Reconcile'!A$2:A2488,MATCH(B926,'Run Reconcile'!B$2:B2488,0),1),IFERROR(0/0,""))</f>
        <v>RUN-FLMP_2022-03-21_APS-085</v>
      </c>
      <c r="S926" s="473" t="str">
        <f t="shared" si="694"/>
        <v/>
      </c>
      <c r="T926" s="473" t="str">
        <f t="shared" si="698"/>
        <v/>
      </c>
      <c r="U926" s="275" t="str">
        <f t="array" ref="U926">IF(ISBLANK($R926), INDEX('Run Reconcile'!A$2:A2488, MATCH($B926, 'Run Reconcile'!B$2:B2488, 0)+Z926, 1), IFERROR(0/0,""))
</f>
        <v/>
      </c>
      <c r="V926" s="474" t="str">
        <f t="shared" si="5"/>
        <v>RUN-FLMP_2022-03-21_APS-085</v>
      </c>
      <c r="Y926" s="89" t="str">
        <f t="shared" si="867"/>
        <v/>
      </c>
      <c r="Z926" s="60" t="str">
        <f t="shared" si="7"/>
        <v/>
      </c>
      <c r="AA926" s="60" t="str">
        <f t="shared" si="8"/>
        <v/>
      </c>
      <c r="AB926" s="60" t="str">
        <f t="shared" si="9"/>
        <v/>
      </c>
      <c r="AC926" s="30" t="str">
        <f t="shared" ref="AC926:AD926" si="1282">IF(_xlfn.ISFORMULA(S926),IFERROR(0/0,""),TRUE)</f>
        <v/>
      </c>
      <c r="AD926" s="30" t="str">
        <f t="shared" si="1282"/>
        <v/>
      </c>
      <c r="AE926" s="475" t="str">
        <f>IFERROR(__xludf.DUMMYFUNCTION("""COMPUTED_VALUE"""),"CRLN")</f>
        <v>CRLN</v>
      </c>
      <c r="AF926" s="476"/>
      <c r="AG926" s="474" t="s">
        <v>190</v>
      </c>
      <c r="AH926" s="138" t="str">
        <f t="shared" si="11"/>
        <v/>
      </c>
    </row>
    <row r="927">
      <c r="A927" s="103" t="str">
        <f>IFERROR(__xludf.DUMMYFUNCTION("""COMPUTED_VALUE"""),"FLB4904")</f>
        <v>FLB4904</v>
      </c>
      <c r="B927" s="468">
        <f>IFERROR(__xludf.DUMMYFUNCTION("""COMPUTED_VALUE"""),44641.0)</f>
        <v>44641</v>
      </c>
      <c r="C927" s="469">
        <f>IFERROR(__xludf.DUMMYFUNCTION("""COMPUTED_VALUE"""),0.3529050925925926)</f>
        <v>0.3529050926</v>
      </c>
      <c r="D927" s="103" t="str">
        <f>IFERROR(__xludf.DUMMYFUNCTION("""COMPUTED_VALUE"""),"SpFLMP309785")</f>
        <v>SpFLMP309785</v>
      </c>
      <c r="E927" s="103"/>
      <c r="F927" s="103"/>
      <c r="G927" s="103" t="str">
        <f>IFERROR(__xludf.DUMMYFUNCTION("""COMPUTED_VALUE"""),"Negative")</f>
        <v>Negative</v>
      </c>
      <c r="H927" s="131" t="str">
        <f>IFERROR(__xludf.DUMMYFUNCTION("""COMPUTED_VALUE"""),"Negative")</f>
        <v>Negative</v>
      </c>
      <c r="I927" s="468">
        <f>IFERROR(__xludf.DUMMYFUNCTION("""COMPUTED_VALUE"""),44641.0)</f>
        <v>44641</v>
      </c>
      <c r="J927" s="470">
        <f>IFERROR(__xludf.DUMMYFUNCTION("""COMPUTED_VALUE"""),0.44653935185185184)</f>
        <v>0.4465393519</v>
      </c>
      <c r="K927" s="16"/>
      <c r="L927" s="8"/>
      <c r="M927" s="69"/>
      <c r="N927" s="69">
        <f>IFERROR(__xludf.DUMMYFUNCTION("""COMPUTED_VALUE"""),4.0)</f>
        <v>4</v>
      </c>
      <c r="O927" s="69" t="str">
        <f t="shared" si="3"/>
        <v/>
      </c>
      <c r="P927" s="471">
        <f>IFERROR(__xludf.DUMMYFUNCTION("""COMPUTED_VALUE"""),0.0)</f>
        <v>0</v>
      </c>
      <c r="Q927" s="274" t="b">
        <f>VLOOKUP($B927,'Run Reconcile'!B$2:O2488,14,FALSE)</f>
        <v>1</v>
      </c>
      <c r="R927" s="472" t="str">
        <f t="array" ref="R927">IF($Q927, INDEX('Run Reconcile'!A$2:A2488,MATCH(B927,'Run Reconcile'!B$2:B2488,0),1),IFERROR(0/0,""))</f>
        <v>RUN-FLMP_2022-03-21_APS-085</v>
      </c>
      <c r="S927" s="473" t="str">
        <f t="shared" si="694"/>
        <v/>
      </c>
      <c r="T927" s="473" t="str">
        <f t="shared" si="698"/>
        <v/>
      </c>
      <c r="U927" s="275" t="str">
        <f t="array" ref="U927">IF(ISBLANK($R927), INDEX('Run Reconcile'!A$2:A2488, MATCH($B927, 'Run Reconcile'!B$2:B2488, 0)+Z927, 1), IFERROR(0/0,""))
</f>
        <v/>
      </c>
      <c r="V927" s="474" t="str">
        <f t="shared" si="5"/>
        <v>RUN-FLMP_2022-03-21_APS-085</v>
      </c>
      <c r="Y927" s="89" t="str">
        <f t="shared" si="867"/>
        <v/>
      </c>
      <c r="Z927" s="60" t="str">
        <f t="shared" si="7"/>
        <v/>
      </c>
      <c r="AA927" s="60" t="str">
        <f t="shared" si="8"/>
        <v/>
      </c>
      <c r="AB927" s="60" t="str">
        <f t="shared" si="9"/>
        <v/>
      </c>
      <c r="AC927" s="30" t="str">
        <f t="shared" ref="AC927:AD927" si="1283">IF(_xlfn.ISFORMULA(S927),IFERROR(0/0,""),TRUE)</f>
        <v/>
      </c>
      <c r="AD927" s="30" t="str">
        <f t="shared" si="1283"/>
        <v/>
      </c>
      <c r="AE927" s="475" t="str">
        <f>IFERROR(__xludf.DUMMYFUNCTION("""COMPUTED_VALUE"""),"CRLN")</f>
        <v>CRLN</v>
      </c>
      <c r="AF927" s="476"/>
      <c r="AG927" s="474" t="s">
        <v>190</v>
      </c>
      <c r="AH927" s="138" t="str">
        <f t="shared" si="11"/>
        <v/>
      </c>
    </row>
    <row r="928">
      <c r="A928" s="103" t="str">
        <f>IFERROR(__xludf.DUMMYFUNCTION("""COMPUTED_VALUE"""),"FLT128")</f>
        <v>FLT128</v>
      </c>
      <c r="B928" s="468">
        <f>IFERROR(__xludf.DUMMYFUNCTION("""COMPUTED_VALUE"""),44641.0)</f>
        <v>44641</v>
      </c>
      <c r="C928" s="469">
        <f>IFERROR(__xludf.DUMMYFUNCTION("""COMPUTED_VALUE"""),0.3557986111111111)</f>
        <v>0.3557986111</v>
      </c>
      <c r="D928" s="103" t="str">
        <f>IFERROR(__xludf.DUMMYFUNCTION("""COMPUTED_VALUE"""),"SpFLMP684798")</f>
        <v>SpFLMP684798</v>
      </c>
      <c r="E928" s="103"/>
      <c r="F928" s="103"/>
      <c r="G928" s="103" t="str">
        <f>IFERROR(__xludf.DUMMYFUNCTION("""COMPUTED_VALUE"""),"Negative")</f>
        <v>Negative</v>
      </c>
      <c r="H928" s="131" t="str">
        <f>IFERROR(__xludf.DUMMYFUNCTION("""COMPUTED_VALUE"""),"Negative")</f>
        <v>Negative</v>
      </c>
      <c r="I928" s="468">
        <f>IFERROR(__xludf.DUMMYFUNCTION("""COMPUTED_VALUE"""),44641.0)</f>
        <v>44641</v>
      </c>
      <c r="J928" s="470">
        <f>IFERROR(__xludf.DUMMYFUNCTION("""COMPUTED_VALUE"""),0.44653935185185184)</f>
        <v>0.4465393519</v>
      </c>
      <c r="K928" s="16"/>
      <c r="L928" s="8"/>
      <c r="M928" s="69"/>
      <c r="N928" s="69">
        <f>IFERROR(__xludf.DUMMYFUNCTION("""COMPUTED_VALUE"""),4.0)</f>
        <v>4</v>
      </c>
      <c r="O928" s="69" t="str">
        <f t="shared" si="3"/>
        <v/>
      </c>
      <c r="P928" s="471">
        <f>IFERROR(__xludf.DUMMYFUNCTION("""COMPUTED_VALUE"""),0.0)</f>
        <v>0</v>
      </c>
      <c r="Q928" s="274" t="b">
        <f>VLOOKUP($B928,'Run Reconcile'!B$2:O2488,14,FALSE)</f>
        <v>1</v>
      </c>
      <c r="R928" s="472" t="str">
        <f t="array" ref="R928">IF($Q928, INDEX('Run Reconcile'!A$2:A2488,MATCH(B928,'Run Reconcile'!B$2:B2488,0),1),IFERROR(0/0,""))</f>
        <v>RUN-FLMP_2022-03-21_APS-085</v>
      </c>
      <c r="S928" s="473" t="str">
        <f t="shared" si="694"/>
        <v/>
      </c>
      <c r="T928" s="473" t="str">
        <f t="shared" si="698"/>
        <v/>
      </c>
      <c r="U928" s="275" t="str">
        <f t="array" ref="U928">IF(ISBLANK($R928), INDEX('Run Reconcile'!A$2:A2488, MATCH($B928, 'Run Reconcile'!B$2:B2488, 0)+Z928, 1), IFERROR(0/0,""))
</f>
        <v/>
      </c>
      <c r="V928" s="474" t="str">
        <f t="shared" si="5"/>
        <v>RUN-FLMP_2022-03-21_APS-085</v>
      </c>
      <c r="Y928" s="89" t="str">
        <f t="shared" si="867"/>
        <v/>
      </c>
      <c r="Z928" s="60" t="str">
        <f t="shared" si="7"/>
        <v/>
      </c>
      <c r="AA928" s="60" t="str">
        <f t="shared" si="8"/>
        <v/>
      </c>
      <c r="AB928" s="60" t="str">
        <f t="shared" si="9"/>
        <v/>
      </c>
      <c r="AC928" s="30" t="str">
        <f t="shared" ref="AC928:AD928" si="1284">IF(_xlfn.ISFORMULA(S928),IFERROR(0/0,""),TRUE)</f>
        <v/>
      </c>
      <c r="AD928" s="30" t="str">
        <f t="shared" si="1284"/>
        <v/>
      </c>
      <c r="AE928" s="475" t="str">
        <f>IFERROR(__xludf.DUMMYFUNCTION("""COMPUTED_VALUE"""),"CRLN")</f>
        <v>CRLN</v>
      </c>
      <c r="AF928" s="476"/>
      <c r="AG928" s="474" t="s">
        <v>190</v>
      </c>
      <c r="AH928" s="138" t="str">
        <f t="shared" si="11"/>
        <v/>
      </c>
    </row>
    <row r="929">
      <c r="A929" s="103" t="str">
        <f>IFERROR(__xludf.DUMMYFUNCTION("""COMPUTED_VALUE"""),"FLB6806")</f>
        <v>FLB6806</v>
      </c>
      <c r="B929" s="468">
        <f>IFERROR(__xludf.DUMMYFUNCTION("""COMPUTED_VALUE"""),44641.0)</f>
        <v>44641</v>
      </c>
      <c r="C929" s="469">
        <f>IFERROR(__xludf.DUMMYFUNCTION("""COMPUTED_VALUE"""),0.3593402777777778)</f>
        <v>0.3593402778</v>
      </c>
      <c r="D929" s="103" t="str">
        <f>IFERROR(__xludf.DUMMYFUNCTION("""COMPUTED_VALUE"""),"SpFLMP939619")</f>
        <v>SpFLMP939619</v>
      </c>
      <c r="E929" s="103"/>
      <c r="F929" s="103"/>
      <c r="G929" s="103" t="str">
        <f>IFERROR(__xludf.DUMMYFUNCTION("""COMPUTED_VALUE"""),"Negative")</f>
        <v>Negative</v>
      </c>
      <c r="H929" s="131" t="str">
        <f>IFERROR(__xludf.DUMMYFUNCTION("""COMPUTED_VALUE"""),"Negative")</f>
        <v>Negative</v>
      </c>
      <c r="I929" s="468">
        <f>IFERROR(__xludf.DUMMYFUNCTION("""COMPUTED_VALUE"""),44641.0)</f>
        <v>44641</v>
      </c>
      <c r="J929" s="470">
        <f>IFERROR(__xludf.DUMMYFUNCTION("""COMPUTED_VALUE"""),0.44653935185185184)</f>
        <v>0.4465393519</v>
      </c>
      <c r="K929" s="16"/>
      <c r="L929" s="8"/>
      <c r="M929" s="69"/>
      <c r="N929" s="69">
        <f>IFERROR(__xludf.DUMMYFUNCTION("""COMPUTED_VALUE"""),1.0)</f>
        <v>1</v>
      </c>
      <c r="O929" s="69" t="str">
        <f t="shared" si="3"/>
        <v/>
      </c>
      <c r="P929" s="471">
        <f>IFERROR(__xludf.DUMMYFUNCTION("""COMPUTED_VALUE"""),0.0)</f>
        <v>0</v>
      </c>
      <c r="Q929" s="274" t="b">
        <f>VLOOKUP($B929,'Run Reconcile'!B$2:O2488,14,FALSE)</f>
        <v>1</v>
      </c>
      <c r="R929" s="472" t="str">
        <f t="array" ref="R929">IF($Q929, INDEX('Run Reconcile'!A$2:A2488,MATCH(B929,'Run Reconcile'!B$2:B2488,0),1),IFERROR(0/0,""))</f>
        <v>RUN-FLMP_2022-03-21_APS-085</v>
      </c>
      <c r="S929" s="473" t="str">
        <f t="shared" si="694"/>
        <v/>
      </c>
      <c r="T929" s="473" t="str">
        <f t="shared" si="698"/>
        <v/>
      </c>
      <c r="U929" s="275" t="str">
        <f t="array" ref="U929">IF(ISBLANK($R929), INDEX('Run Reconcile'!A$2:A2488, MATCH($B929, 'Run Reconcile'!B$2:B2488, 0)+Z929, 1), IFERROR(0/0,""))
</f>
        <v/>
      </c>
      <c r="V929" s="474" t="str">
        <f t="shared" si="5"/>
        <v>RUN-FLMP_2022-03-21_APS-085</v>
      </c>
      <c r="Y929" s="89" t="str">
        <f t="shared" si="867"/>
        <v/>
      </c>
      <c r="Z929" s="60" t="str">
        <f t="shared" si="7"/>
        <v/>
      </c>
      <c r="AA929" s="60" t="str">
        <f t="shared" si="8"/>
        <v/>
      </c>
      <c r="AB929" s="60" t="str">
        <f t="shared" si="9"/>
        <v/>
      </c>
      <c r="AC929" s="30" t="str">
        <f t="shared" ref="AC929:AD929" si="1285">IF(_xlfn.ISFORMULA(S929),IFERROR(0/0,""),TRUE)</f>
        <v/>
      </c>
      <c r="AD929" s="30" t="str">
        <f t="shared" si="1285"/>
        <v/>
      </c>
      <c r="AE929" s="475" t="str">
        <f>IFERROR(__xludf.DUMMYFUNCTION("""COMPUTED_VALUE"""),"CRLN")</f>
        <v>CRLN</v>
      </c>
      <c r="AF929" s="476"/>
      <c r="AG929" s="474" t="s">
        <v>190</v>
      </c>
      <c r="AH929" s="138" t="str">
        <f t="shared" si="11"/>
        <v/>
      </c>
    </row>
    <row r="930">
      <c r="A930" s="103" t="str">
        <f>IFERROR(__xludf.DUMMYFUNCTION("""COMPUTED_VALUE"""),"FLB7149")</f>
        <v>FLB7149</v>
      </c>
      <c r="B930" s="468">
        <f>IFERROR(__xludf.DUMMYFUNCTION("""COMPUTED_VALUE"""),44641.0)</f>
        <v>44641</v>
      </c>
      <c r="C930" s="469">
        <f>IFERROR(__xludf.DUMMYFUNCTION("""COMPUTED_VALUE"""),0.36042824074074076)</f>
        <v>0.3604282407</v>
      </c>
      <c r="D930" s="103" t="str">
        <f>IFERROR(__xludf.DUMMYFUNCTION("""COMPUTED_VALUE"""),"SpFLMP571571")</f>
        <v>SpFLMP571571</v>
      </c>
      <c r="E930" s="103"/>
      <c r="F930" s="103"/>
      <c r="G930" s="103" t="str">
        <f>IFERROR(__xludf.DUMMYFUNCTION("""COMPUTED_VALUE"""),"Negative")</f>
        <v>Negative</v>
      </c>
      <c r="H930" s="131" t="str">
        <f>IFERROR(__xludf.DUMMYFUNCTION("""COMPUTED_VALUE"""),"Negative")</f>
        <v>Negative</v>
      </c>
      <c r="I930" s="468">
        <f>IFERROR(__xludf.DUMMYFUNCTION("""COMPUTED_VALUE"""),44641.0)</f>
        <v>44641</v>
      </c>
      <c r="J930" s="470">
        <f>IFERROR(__xludf.DUMMYFUNCTION("""COMPUTED_VALUE"""),0.44653935185185184)</f>
        <v>0.4465393519</v>
      </c>
      <c r="K930" s="16"/>
      <c r="L930" s="8"/>
      <c r="M930" s="69"/>
      <c r="N930" s="69">
        <f>IFERROR(__xludf.DUMMYFUNCTION("""COMPUTED_VALUE"""),4.0)</f>
        <v>4</v>
      </c>
      <c r="O930" s="69" t="str">
        <f t="shared" si="3"/>
        <v/>
      </c>
      <c r="P930" s="471">
        <f>IFERROR(__xludf.DUMMYFUNCTION("""COMPUTED_VALUE"""),0.0)</f>
        <v>0</v>
      </c>
      <c r="Q930" s="274" t="b">
        <f>VLOOKUP($B930,'Run Reconcile'!B$2:O2488,14,FALSE)</f>
        <v>1</v>
      </c>
      <c r="R930" s="472" t="str">
        <f t="array" ref="R930">IF($Q930, INDEX('Run Reconcile'!A$2:A2488,MATCH(B930,'Run Reconcile'!B$2:B2488,0),1),IFERROR(0/0,""))</f>
        <v>RUN-FLMP_2022-03-21_APS-085</v>
      </c>
      <c r="S930" s="473" t="str">
        <f t="shared" si="694"/>
        <v/>
      </c>
      <c r="T930" s="473" t="str">
        <f t="shared" si="698"/>
        <v/>
      </c>
      <c r="U930" s="275" t="str">
        <f t="array" ref="U930">IF(ISBLANK($R930), INDEX('Run Reconcile'!A$2:A2488, MATCH($B930, 'Run Reconcile'!B$2:B2488, 0)+Z930, 1), IFERROR(0/0,""))
</f>
        <v/>
      </c>
      <c r="V930" s="474" t="str">
        <f t="shared" si="5"/>
        <v>RUN-FLMP_2022-03-21_APS-085</v>
      </c>
      <c r="Y930" s="89" t="str">
        <f t="shared" si="867"/>
        <v/>
      </c>
      <c r="Z930" s="60" t="str">
        <f t="shared" si="7"/>
        <v/>
      </c>
      <c r="AA930" s="60" t="str">
        <f t="shared" si="8"/>
        <v/>
      </c>
      <c r="AB930" s="60" t="str">
        <f t="shared" si="9"/>
        <v/>
      </c>
      <c r="AC930" s="30" t="str">
        <f t="shared" ref="AC930:AD930" si="1286">IF(_xlfn.ISFORMULA(S930),IFERROR(0/0,""),TRUE)</f>
        <v/>
      </c>
      <c r="AD930" s="30" t="str">
        <f t="shared" si="1286"/>
        <v/>
      </c>
      <c r="AE930" s="475" t="str">
        <f>IFERROR(__xludf.DUMMYFUNCTION("""COMPUTED_VALUE"""),"CRLN")</f>
        <v>CRLN</v>
      </c>
      <c r="AF930" s="476"/>
      <c r="AG930" s="474" t="s">
        <v>190</v>
      </c>
      <c r="AH930" s="138" t="str">
        <f t="shared" si="11"/>
        <v/>
      </c>
    </row>
    <row r="931">
      <c r="A931" s="103" t="str">
        <f>IFERROR(__xludf.DUMMYFUNCTION("""COMPUTED_VALUE"""),"FLB7285")</f>
        <v>FLB7285</v>
      </c>
      <c r="B931" s="468">
        <f>IFERROR(__xludf.DUMMYFUNCTION("""COMPUTED_VALUE"""),44641.0)</f>
        <v>44641</v>
      </c>
      <c r="C931" s="469">
        <f>IFERROR(__xludf.DUMMYFUNCTION("""COMPUTED_VALUE"""),0.36193287037037036)</f>
        <v>0.3619328704</v>
      </c>
      <c r="D931" s="103" t="str">
        <f>IFERROR(__xludf.DUMMYFUNCTION("""COMPUTED_VALUE"""),"SpFLMP946259")</f>
        <v>SpFLMP946259</v>
      </c>
      <c r="E931" s="103"/>
      <c r="F931" s="103"/>
      <c r="G931" s="103" t="str">
        <f>IFERROR(__xludf.DUMMYFUNCTION("""COMPUTED_VALUE"""),"Negative")</f>
        <v>Negative</v>
      </c>
      <c r="H931" s="131" t="str">
        <f>IFERROR(__xludf.DUMMYFUNCTION("""COMPUTED_VALUE"""),"Negative")</f>
        <v>Negative</v>
      </c>
      <c r="I931" s="468">
        <f>IFERROR(__xludf.DUMMYFUNCTION("""COMPUTED_VALUE"""),44641.0)</f>
        <v>44641</v>
      </c>
      <c r="J931" s="470">
        <f>IFERROR(__xludf.DUMMYFUNCTION("""COMPUTED_VALUE"""),0.44653935185185184)</f>
        <v>0.4465393519</v>
      </c>
      <c r="K931" s="16"/>
      <c r="L931" s="8"/>
      <c r="M931" s="69"/>
      <c r="N931" s="69">
        <f>IFERROR(__xludf.DUMMYFUNCTION("""COMPUTED_VALUE"""),2.0)</f>
        <v>2</v>
      </c>
      <c r="O931" s="69" t="str">
        <f t="shared" si="3"/>
        <v/>
      </c>
      <c r="P931" s="471">
        <f>IFERROR(__xludf.DUMMYFUNCTION("""COMPUTED_VALUE"""),0.0)</f>
        <v>0</v>
      </c>
      <c r="Q931" s="274" t="b">
        <f>VLOOKUP($B931,'Run Reconcile'!B$2:O2488,14,FALSE)</f>
        <v>1</v>
      </c>
      <c r="R931" s="472" t="str">
        <f t="array" ref="R931">IF($Q931, INDEX('Run Reconcile'!A$2:A2488,MATCH(B931,'Run Reconcile'!B$2:B2488,0),1),IFERROR(0/0,""))</f>
        <v>RUN-FLMP_2022-03-21_APS-085</v>
      </c>
      <c r="S931" s="473" t="str">
        <f t="shared" si="694"/>
        <v/>
      </c>
      <c r="T931" s="473" t="str">
        <f t="shared" si="698"/>
        <v/>
      </c>
      <c r="U931" s="275" t="str">
        <f t="array" ref="U931">IF(ISBLANK($R931), INDEX('Run Reconcile'!A$2:A2488, MATCH($B931, 'Run Reconcile'!B$2:B2488, 0)+Z931, 1), IFERROR(0/0,""))
</f>
        <v/>
      </c>
      <c r="V931" s="474" t="str">
        <f t="shared" si="5"/>
        <v>RUN-FLMP_2022-03-21_APS-085</v>
      </c>
      <c r="Y931" s="89" t="str">
        <f t="shared" si="867"/>
        <v/>
      </c>
      <c r="Z931" s="60" t="str">
        <f t="shared" si="7"/>
        <v/>
      </c>
      <c r="AA931" s="60" t="str">
        <f t="shared" si="8"/>
        <v/>
      </c>
      <c r="AB931" s="60" t="str">
        <f t="shared" si="9"/>
        <v/>
      </c>
      <c r="AC931" s="30" t="str">
        <f t="shared" ref="AC931:AD931" si="1287">IF(_xlfn.ISFORMULA(S931),IFERROR(0/0,""),TRUE)</f>
        <v/>
      </c>
      <c r="AD931" s="30" t="str">
        <f t="shared" si="1287"/>
        <v/>
      </c>
      <c r="AE931" s="475" t="str">
        <f>IFERROR(__xludf.DUMMYFUNCTION("""COMPUTED_VALUE"""),"CRLN")</f>
        <v>CRLN</v>
      </c>
      <c r="AF931" s="476"/>
      <c r="AG931" s="474" t="s">
        <v>190</v>
      </c>
      <c r="AH931" s="138" t="str">
        <f t="shared" si="11"/>
        <v/>
      </c>
    </row>
    <row r="932">
      <c r="A932" s="103" t="str">
        <f>IFERROR(__xludf.DUMMYFUNCTION("""COMPUTED_VALUE"""),"FLB6757")</f>
        <v>FLB6757</v>
      </c>
      <c r="B932" s="468">
        <f>IFERROR(__xludf.DUMMYFUNCTION("""COMPUTED_VALUE"""),44641.0)</f>
        <v>44641</v>
      </c>
      <c r="C932" s="469">
        <f>IFERROR(__xludf.DUMMYFUNCTION("""COMPUTED_VALUE"""),0.3656597222222222)</f>
        <v>0.3656597222</v>
      </c>
      <c r="D932" s="103" t="str">
        <f>IFERROR(__xludf.DUMMYFUNCTION("""COMPUTED_VALUE"""),"SpFLMP668449")</f>
        <v>SpFLMP668449</v>
      </c>
      <c r="E932" s="103"/>
      <c r="F932" s="103"/>
      <c r="G932" s="103" t="str">
        <f>IFERROR(__xludf.DUMMYFUNCTION("""COMPUTED_VALUE"""),"Negative")</f>
        <v>Negative</v>
      </c>
      <c r="H932" s="131" t="str">
        <f>IFERROR(__xludf.DUMMYFUNCTION("""COMPUTED_VALUE"""),"Negative")</f>
        <v>Negative</v>
      </c>
      <c r="I932" s="468">
        <f>IFERROR(__xludf.DUMMYFUNCTION("""COMPUTED_VALUE"""),44641.0)</f>
        <v>44641</v>
      </c>
      <c r="J932" s="470">
        <f>IFERROR(__xludf.DUMMYFUNCTION("""COMPUTED_VALUE"""),0.44653935185185184)</f>
        <v>0.4465393519</v>
      </c>
      <c r="K932" s="16"/>
      <c r="L932" s="8"/>
      <c r="M932" s="69"/>
      <c r="N932" s="69">
        <f>IFERROR(__xludf.DUMMYFUNCTION("""COMPUTED_VALUE"""),3.0)</f>
        <v>3</v>
      </c>
      <c r="O932" s="69" t="str">
        <f t="shared" si="3"/>
        <v/>
      </c>
      <c r="P932" s="471">
        <f>IFERROR(__xludf.DUMMYFUNCTION("""COMPUTED_VALUE"""),0.0)</f>
        <v>0</v>
      </c>
      <c r="Q932" s="274" t="b">
        <f>VLOOKUP($B932,'Run Reconcile'!B$2:O2488,14,FALSE)</f>
        <v>1</v>
      </c>
      <c r="R932" s="472" t="str">
        <f t="array" ref="R932">IF($Q932, INDEX('Run Reconcile'!A$2:A2488,MATCH(B932,'Run Reconcile'!B$2:B2488,0),1),IFERROR(0/0,""))</f>
        <v>RUN-FLMP_2022-03-21_APS-085</v>
      </c>
      <c r="S932" s="473" t="str">
        <f t="shared" si="694"/>
        <v/>
      </c>
      <c r="T932" s="473" t="str">
        <f t="shared" si="698"/>
        <v/>
      </c>
      <c r="U932" s="275" t="str">
        <f t="array" ref="U932">IF(ISBLANK($R932), INDEX('Run Reconcile'!A$2:A2488, MATCH($B932, 'Run Reconcile'!B$2:B2488, 0)+Z932, 1), IFERROR(0/0,""))
</f>
        <v/>
      </c>
      <c r="V932" s="474" t="str">
        <f t="shared" si="5"/>
        <v>RUN-FLMP_2022-03-21_APS-085</v>
      </c>
      <c r="Y932" s="89" t="str">
        <f t="shared" si="867"/>
        <v/>
      </c>
      <c r="Z932" s="60" t="str">
        <f t="shared" si="7"/>
        <v/>
      </c>
      <c r="AA932" s="60" t="str">
        <f t="shared" si="8"/>
        <v/>
      </c>
      <c r="AB932" s="60" t="str">
        <f t="shared" si="9"/>
        <v/>
      </c>
      <c r="AC932" s="30" t="str">
        <f t="shared" ref="AC932:AD932" si="1288">IF(_xlfn.ISFORMULA(S932),IFERROR(0/0,""),TRUE)</f>
        <v/>
      </c>
      <c r="AD932" s="30" t="str">
        <f t="shared" si="1288"/>
        <v/>
      </c>
      <c r="AE932" s="475" t="str">
        <f>IFERROR(__xludf.DUMMYFUNCTION("""COMPUTED_VALUE"""),"CRLN")</f>
        <v>CRLN</v>
      </c>
      <c r="AF932" s="476"/>
      <c r="AG932" s="474" t="s">
        <v>190</v>
      </c>
      <c r="AH932" s="138" t="str">
        <f t="shared" si="11"/>
        <v/>
      </c>
    </row>
    <row r="933">
      <c r="A933" s="103" t="str">
        <f>IFERROR(__xludf.DUMMYFUNCTION("""COMPUTED_VALUE"""),"FLB7393")</f>
        <v>FLB7393</v>
      </c>
      <c r="B933" s="468">
        <f>IFERROR(__xludf.DUMMYFUNCTION("""COMPUTED_VALUE"""),44641.0)</f>
        <v>44641</v>
      </c>
      <c r="C933" s="469">
        <f>IFERROR(__xludf.DUMMYFUNCTION("""COMPUTED_VALUE"""),0.3694212962962963)</f>
        <v>0.3694212963</v>
      </c>
      <c r="D933" s="103" t="str">
        <f>IFERROR(__xludf.DUMMYFUNCTION("""COMPUTED_VALUE"""),"SpFLMP572444")</f>
        <v>SpFLMP572444</v>
      </c>
      <c r="E933" s="103"/>
      <c r="F933" s="103"/>
      <c r="G933" s="103" t="str">
        <f>IFERROR(__xludf.DUMMYFUNCTION("""COMPUTED_VALUE"""),"Negative")</f>
        <v>Negative</v>
      </c>
      <c r="H933" s="131" t="str">
        <f>IFERROR(__xludf.DUMMYFUNCTION("""COMPUTED_VALUE"""),"Negative")</f>
        <v>Negative</v>
      </c>
      <c r="I933" s="468">
        <f>IFERROR(__xludf.DUMMYFUNCTION("""COMPUTED_VALUE"""),44641.0)</f>
        <v>44641</v>
      </c>
      <c r="J933" s="470">
        <f>IFERROR(__xludf.DUMMYFUNCTION("""COMPUTED_VALUE"""),0.44653935185185184)</f>
        <v>0.4465393519</v>
      </c>
      <c r="K933" s="16"/>
      <c r="L933" s="8"/>
      <c r="M933" s="69"/>
      <c r="N933" s="69">
        <f>IFERROR(__xludf.DUMMYFUNCTION("""COMPUTED_VALUE"""),2.0)</f>
        <v>2</v>
      </c>
      <c r="O933" s="69" t="str">
        <f t="shared" si="3"/>
        <v/>
      </c>
      <c r="P933" s="471">
        <f>IFERROR(__xludf.DUMMYFUNCTION("""COMPUTED_VALUE"""),0.0)</f>
        <v>0</v>
      </c>
      <c r="Q933" s="274" t="b">
        <f>VLOOKUP($B933,'Run Reconcile'!B$2:O2488,14,FALSE)</f>
        <v>1</v>
      </c>
      <c r="R933" s="472" t="str">
        <f t="array" ref="R933">IF($Q933, INDEX('Run Reconcile'!A$2:A2488,MATCH(B933,'Run Reconcile'!B$2:B2488,0),1),IFERROR(0/0,""))</f>
        <v>RUN-FLMP_2022-03-21_APS-085</v>
      </c>
      <c r="S933" s="473" t="str">
        <f t="shared" si="694"/>
        <v/>
      </c>
      <c r="T933" s="473" t="str">
        <f t="shared" si="698"/>
        <v/>
      </c>
      <c r="U933" s="275" t="str">
        <f t="array" ref="U933">IF(ISBLANK($R933), INDEX('Run Reconcile'!A$2:A2488, MATCH($B933, 'Run Reconcile'!B$2:B2488, 0)+Z933, 1), IFERROR(0/0,""))
</f>
        <v/>
      </c>
      <c r="V933" s="474" t="str">
        <f t="shared" si="5"/>
        <v>RUN-FLMP_2022-03-21_APS-085</v>
      </c>
      <c r="Y933" s="89" t="str">
        <f t="shared" si="867"/>
        <v/>
      </c>
      <c r="Z933" s="60" t="str">
        <f t="shared" si="7"/>
        <v/>
      </c>
      <c r="AA933" s="60" t="str">
        <f t="shared" si="8"/>
        <v/>
      </c>
      <c r="AB933" s="60" t="str">
        <f t="shared" si="9"/>
        <v/>
      </c>
      <c r="AC933" s="30" t="str">
        <f t="shared" ref="AC933:AD933" si="1289">IF(_xlfn.ISFORMULA(S933),IFERROR(0/0,""),TRUE)</f>
        <v/>
      </c>
      <c r="AD933" s="30" t="str">
        <f t="shared" si="1289"/>
        <v/>
      </c>
      <c r="AE933" s="475" t="str">
        <f>IFERROR(__xludf.DUMMYFUNCTION("""COMPUTED_VALUE"""),"CRLN")</f>
        <v>CRLN</v>
      </c>
      <c r="AF933" s="476"/>
      <c r="AG933" s="474" t="s">
        <v>190</v>
      </c>
      <c r="AH933" s="138" t="str">
        <f t="shared" si="11"/>
        <v/>
      </c>
    </row>
    <row r="934">
      <c r="A934" s="103" t="str">
        <f>IFERROR(__xludf.DUMMYFUNCTION("""COMPUTED_VALUE"""),"FLB4938")</f>
        <v>FLB4938</v>
      </c>
      <c r="B934" s="468">
        <f>IFERROR(__xludf.DUMMYFUNCTION("""COMPUTED_VALUE"""),44641.0)</f>
        <v>44641</v>
      </c>
      <c r="C934" s="469">
        <f>IFERROR(__xludf.DUMMYFUNCTION("""COMPUTED_VALUE"""),0.373599537037037)</f>
        <v>0.373599537</v>
      </c>
      <c r="D934" s="103" t="str">
        <f>IFERROR(__xludf.DUMMYFUNCTION("""COMPUTED_VALUE"""),"SpFLMP496039")</f>
        <v>SpFLMP496039</v>
      </c>
      <c r="E934" s="103"/>
      <c r="F934" s="103"/>
      <c r="G934" s="103" t="str">
        <f>IFERROR(__xludf.DUMMYFUNCTION("""COMPUTED_VALUE"""),"Negative")</f>
        <v>Negative</v>
      </c>
      <c r="H934" s="131" t="str">
        <f>IFERROR(__xludf.DUMMYFUNCTION("""COMPUTED_VALUE"""),"Negative")</f>
        <v>Negative</v>
      </c>
      <c r="I934" s="468">
        <f>IFERROR(__xludf.DUMMYFUNCTION("""COMPUTED_VALUE"""),44641.0)</f>
        <v>44641</v>
      </c>
      <c r="J934" s="470">
        <f>IFERROR(__xludf.DUMMYFUNCTION("""COMPUTED_VALUE"""),0.44653935185185184)</f>
        <v>0.4465393519</v>
      </c>
      <c r="K934" s="16"/>
      <c r="L934" s="8"/>
      <c r="M934" s="69"/>
      <c r="N934" s="69">
        <f>IFERROR(__xludf.DUMMYFUNCTION("""COMPUTED_VALUE"""),1.0)</f>
        <v>1</v>
      </c>
      <c r="O934" s="69" t="str">
        <f t="shared" si="3"/>
        <v/>
      </c>
      <c r="P934" s="471">
        <f>IFERROR(__xludf.DUMMYFUNCTION("""COMPUTED_VALUE"""),0.0)</f>
        <v>0</v>
      </c>
      <c r="Q934" s="274" t="b">
        <f>VLOOKUP($B934,'Run Reconcile'!B$2:O2488,14,FALSE)</f>
        <v>1</v>
      </c>
      <c r="R934" s="472" t="str">
        <f t="array" ref="R934">IF($Q934, INDEX('Run Reconcile'!A$2:A2488,MATCH(B934,'Run Reconcile'!B$2:B2488,0),1),IFERROR(0/0,""))</f>
        <v>RUN-FLMP_2022-03-21_APS-085</v>
      </c>
      <c r="S934" s="473" t="str">
        <f t="shared" si="694"/>
        <v/>
      </c>
      <c r="T934" s="473" t="str">
        <f t="shared" si="698"/>
        <v/>
      </c>
      <c r="U934" s="275" t="str">
        <f t="array" ref="U934">IF(ISBLANK($R934), INDEX('Run Reconcile'!A$2:A2488, MATCH($B934, 'Run Reconcile'!B$2:B2488, 0)+Z934, 1), IFERROR(0/0,""))
</f>
        <v/>
      </c>
      <c r="V934" s="474" t="str">
        <f t="shared" si="5"/>
        <v>RUN-FLMP_2022-03-21_APS-085</v>
      </c>
      <c r="Y934" s="89" t="str">
        <f t="shared" si="867"/>
        <v/>
      </c>
      <c r="Z934" s="60" t="str">
        <f t="shared" si="7"/>
        <v/>
      </c>
      <c r="AA934" s="60" t="str">
        <f t="shared" si="8"/>
        <v/>
      </c>
      <c r="AB934" s="60" t="str">
        <f t="shared" si="9"/>
        <v/>
      </c>
      <c r="AC934" s="30" t="str">
        <f t="shared" ref="AC934:AD934" si="1290">IF(_xlfn.ISFORMULA(S934),IFERROR(0/0,""),TRUE)</f>
        <v/>
      </c>
      <c r="AD934" s="30" t="str">
        <f t="shared" si="1290"/>
        <v/>
      </c>
      <c r="AE934" s="475" t="str">
        <f>IFERROR(__xludf.DUMMYFUNCTION("""COMPUTED_VALUE"""),"FLSP")</f>
        <v>FLSP</v>
      </c>
      <c r="AF934" s="476"/>
      <c r="AG934" s="474" t="s">
        <v>190</v>
      </c>
      <c r="AH934" s="138" t="str">
        <f t="shared" si="11"/>
        <v/>
      </c>
    </row>
    <row r="935">
      <c r="A935" s="103" t="str">
        <f>IFERROR(__xludf.DUMMYFUNCTION("""COMPUTED_VALUE"""),"MA585")</f>
        <v>MA585</v>
      </c>
      <c r="B935" s="468">
        <f>IFERROR(__xludf.DUMMYFUNCTION("""COMPUTED_VALUE"""),44642.0)</f>
        <v>44642</v>
      </c>
      <c r="C935" s="469">
        <f>IFERROR(__xludf.DUMMYFUNCTION("""COMPUTED_VALUE"""),0.43777777777777777)</f>
        <v>0.4377777778</v>
      </c>
      <c r="D935" s="103" t="str">
        <f>IFERROR(__xludf.DUMMYFUNCTION("""COMPUTED_VALUE"""),"SpFLMP659315")</f>
        <v>SpFLMP659315</v>
      </c>
      <c r="E935" s="103"/>
      <c r="F935" s="103"/>
      <c r="G935" s="103" t="str">
        <f>IFERROR(__xludf.DUMMYFUNCTION("""COMPUTED_VALUE"""),"Negative")</f>
        <v>Negative</v>
      </c>
      <c r="H935" s="131" t="str">
        <f>IFERROR(__xludf.DUMMYFUNCTION("""COMPUTED_VALUE"""),"Negative")</f>
        <v>Negative</v>
      </c>
      <c r="I935" s="468">
        <f>IFERROR(__xludf.DUMMYFUNCTION("""COMPUTED_VALUE"""),44642.0)</f>
        <v>44642</v>
      </c>
      <c r="J935" s="470">
        <f>IFERROR(__xludf.DUMMYFUNCTION("""COMPUTED_VALUE"""),0.47181712962962963)</f>
        <v>0.4718171296</v>
      </c>
      <c r="K935" s="16"/>
      <c r="L935" s="8"/>
      <c r="M935" s="69"/>
      <c r="N935" s="69">
        <f>IFERROR(__xludf.DUMMYFUNCTION("""COMPUTED_VALUE"""),1.0)</f>
        <v>1</v>
      </c>
      <c r="O935" s="69" t="b">
        <f t="shared" si="3"/>
        <v>1</v>
      </c>
      <c r="P935" s="471">
        <f>IFERROR(__xludf.DUMMYFUNCTION("""COMPUTED_VALUE"""),0.0)</f>
        <v>0</v>
      </c>
      <c r="Q935" s="274" t="b">
        <f>VLOOKUP($B935,'Run Reconcile'!B$2:O2488,14,FALSE)</f>
        <v>1</v>
      </c>
      <c r="R935" s="472" t="str">
        <f t="array" ref="R935">IF($Q935, INDEX('Run Reconcile'!A$2:A2488,MATCH(B935,'Run Reconcile'!B$2:B2488,0),1),IFERROR(0/0,""))</f>
        <v>RUN-FLMP_2022-03-22_RFR-103</v>
      </c>
      <c r="S935" s="473" t="str">
        <f t="shared" si="694"/>
        <v/>
      </c>
      <c r="T935" s="473" t="str">
        <f t="shared" si="698"/>
        <v/>
      </c>
      <c r="U935" s="275" t="str">
        <f t="array" ref="U935">IF(ISBLANK($R935), INDEX('Run Reconcile'!A$2:A2488, MATCH($B935, 'Run Reconcile'!B$2:B2488, 0)+Z935, 1), IFERROR(0/0,""))
</f>
        <v/>
      </c>
      <c r="V935" s="474" t="str">
        <f t="shared" si="5"/>
        <v>RUN-FLMP_2022-03-22_RFR-103</v>
      </c>
      <c r="Y935" s="89" t="str">
        <f t="shared" si="867"/>
        <v/>
      </c>
      <c r="Z935" s="60" t="str">
        <f t="shared" si="7"/>
        <v/>
      </c>
      <c r="AA935" s="60" t="str">
        <f t="shared" si="8"/>
        <v/>
      </c>
      <c r="AB935" s="60" t="str">
        <f t="shared" si="9"/>
        <v/>
      </c>
      <c r="AC935" s="30" t="str">
        <f t="shared" ref="AC935:AD935" si="1291">IF(_xlfn.ISFORMULA(S935),IFERROR(0/0,""),TRUE)</f>
        <v/>
      </c>
      <c r="AD935" s="30" t="str">
        <f t="shared" si="1291"/>
        <v/>
      </c>
      <c r="AE935" s="475" t="str">
        <f>IFERROR(__xludf.DUMMYFUNCTION("""COMPUTED_VALUE"""),"FLSP")</f>
        <v>FLSP</v>
      </c>
      <c r="AF935" s="476"/>
      <c r="AG935" s="474" t="s">
        <v>191</v>
      </c>
      <c r="AH935" s="138" t="str">
        <f t="shared" si="11"/>
        <v/>
      </c>
    </row>
    <row r="936">
      <c r="A936" s="103" t="str">
        <f>IFERROR(__xludf.DUMMYFUNCTION("""COMPUTED_VALUE"""),"FLB7152")</f>
        <v>FLB7152</v>
      </c>
      <c r="B936" s="468">
        <f>IFERROR(__xludf.DUMMYFUNCTION("""COMPUTED_VALUE"""),44644.0)</f>
        <v>44644</v>
      </c>
      <c r="C936" s="469">
        <f>IFERROR(__xludf.DUMMYFUNCTION("""COMPUTED_VALUE"""),0.27738425925925925)</f>
        <v>0.2773842593</v>
      </c>
      <c r="D936" s="103" t="str">
        <f>IFERROR(__xludf.DUMMYFUNCTION("""COMPUTED_VALUE"""),"SpFLMP470379")</f>
        <v>SpFLMP470379</v>
      </c>
      <c r="E936" s="103"/>
      <c r="F936" s="103"/>
      <c r="G936" s="103" t="str">
        <f>IFERROR(__xludf.DUMMYFUNCTION("""COMPUTED_VALUE"""),"Negative")</f>
        <v>Negative</v>
      </c>
      <c r="H936" s="131" t="str">
        <f>IFERROR(__xludf.DUMMYFUNCTION("""COMPUTED_VALUE"""),"Negative")</f>
        <v>Negative</v>
      </c>
      <c r="I936" s="468">
        <f>IFERROR(__xludf.DUMMYFUNCTION("""COMPUTED_VALUE"""),44644.0)</f>
        <v>44644</v>
      </c>
      <c r="J936" s="470">
        <f>IFERROR(__xludf.DUMMYFUNCTION("""COMPUTED_VALUE"""),0.4899189814814815)</f>
        <v>0.4899189815</v>
      </c>
      <c r="K936" s="16"/>
      <c r="L936" s="8"/>
      <c r="M936" s="69"/>
      <c r="N936" s="69">
        <f>IFERROR(__xludf.DUMMYFUNCTION("""COMPUTED_VALUE"""),1.0)</f>
        <v>1</v>
      </c>
      <c r="O936" s="69" t="b">
        <f t="shared" si="3"/>
        <v>1</v>
      </c>
      <c r="P936" s="471">
        <f>IFERROR(__xludf.DUMMYFUNCTION("""COMPUTED_VALUE"""),0.0)</f>
        <v>0</v>
      </c>
      <c r="Q936" s="274" t="b">
        <f>VLOOKUP($B936,'Run Reconcile'!B$2:O2488,14,FALSE)</f>
        <v>1</v>
      </c>
      <c r="R936" s="472" t="str">
        <f t="array" ref="R936">IF($Q936, INDEX('Run Reconcile'!A$2:A2488,MATCH(B936,'Run Reconcile'!B$2:B2488,0),1),IFERROR(0/0,""))</f>
        <v>RUN-FLMP_2022-03-24_APS-086</v>
      </c>
      <c r="S936" s="473" t="str">
        <f t="shared" si="694"/>
        <v/>
      </c>
      <c r="T936" s="473" t="str">
        <f t="shared" si="698"/>
        <v/>
      </c>
      <c r="U936" s="275" t="str">
        <f t="array" ref="U936">IF(ISBLANK($R936), INDEX('Run Reconcile'!A$2:A2488, MATCH($B936, 'Run Reconcile'!B$2:B2488, 0)+Z936, 1), IFERROR(0/0,""))
</f>
        <v/>
      </c>
      <c r="V936" s="474" t="str">
        <f t="shared" si="5"/>
        <v>RUN-FLMP_2022-03-24_APS-086</v>
      </c>
      <c r="Y936" s="89" t="str">
        <f t="shared" si="867"/>
        <v/>
      </c>
      <c r="Z936" s="60" t="str">
        <f t="shared" si="7"/>
        <v/>
      </c>
      <c r="AA936" s="60" t="str">
        <f t="shared" si="8"/>
        <v/>
      </c>
      <c r="AB936" s="60" t="str">
        <f t="shared" si="9"/>
        <v/>
      </c>
      <c r="AC936" s="30" t="str">
        <f t="shared" ref="AC936:AD936" si="1292">IF(_xlfn.ISFORMULA(S936),IFERROR(0/0,""),TRUE)</f>
        <v/>
      </c>
      <c r="AD936" s="30" t="str">
        <f t="shared" si="1292"/>
        <v/>
      </c>
      <c r="AE936" s="475" t="str">
        <f>IFERROR(__xludf.DUMMYFUNCTION("""COMPUTED_VALUE"""),"CRLN")</f>
        <v>CRLN</v>
      </c>
      <c r="AF936" s="476"/>
      <c r="AG936" s="474" t="s">
        <v>192</v>
      </c>
      <c r="AH936" s="138" t="str">
        <f t="shared" si="11"/>
        <v/>
      </c>
    </row>
    <row r="937">
      <c r="A937" s="103" t="str">
        <f>IFERROR(__xludf.DUMMYFUNCTION("""COMPUTED_VALUE"""),"FLB7145")</f>
        <v>FLB7145</v>
      </c>
      <c r="B937" s="468">
        <f>IFERROR(__xludf.DUMMYFUNCTION("""COMPUTED_VALUE"""),44644.0)</f>
        <v>44644</v>
      </c>
      <c r="C937" s="469">
        <f>IFERROR(__xludf.DUMMYFUNCTION("""COMPUTED_VALUE"""),0.27828703703703705)</f>
        <v>0.278287037</v>
      </c>
      <c r="D937" s="103" t="str">
        <f>IFERROR(__xludf.DUMMYFUNCTION("""COMPUTED_VALUE"""),"SpFLMP268514")</f>
        <v>SpFLMP268514</v>
      </c>
      <c r="E937" s="103"/>
      <c r="F937" s="103"/>
      <c r="G937" s="103" t="str">
        <f>IFERROR(__xludf.DUMMYFUNCTION("""COMPUTED_VALUE"""),"Negative")</f>
        <v>Negative</v>
      </c>
      <c r="H937" s="131" t="str">
        <f>IFERROR(__xludf.DUMMYFUNCTION("""COMPUTED_VALUE"""),"Negative")</f>
        <v>Negative</v>
      </c>
      <c r="I937" s="468">
        <f>IFERROR(__xludf.DUMMYFUNCTION("""COMPUTED_VALUE"""),44644.0)</f>
        <v>44644</v>
      </c>
      <c r="J937" s="470">
        <f>IFERROR(__xludf.DUMMYFUNCTION("""COMPUTED_VALUE"""),0.4899189814814815)</f>
        <v>0.4899189815</v>
      </c>
      <c r="K937" s="16"/>
      <c r="L937" s="8"/>
      <c r="M937" s="69"/>
      <c r="N937" s="69">
        <f>IFERROR(__xludf.DUMMYFUNCTION("""COMPUTED_VALUE"""),4.0)</f>
        <v>4</v>
      </c>
      <c r="O937" s="69" t="str">
        <f t="shared" si="3"/>
        <v/>
      </c>
      <c r="P937" s="471">
        <f>IFERROR(__xludf.DUMMYFUNCTION("""COMPUTED_VALUE"""),0.0)</f>
        <v>0</v>
      </c>
      <c r="Q937" s="274" t="b">
        <f>VLOOKUP($B937,'Run Reconcile'!B$2:O2488,14,FALSE)</f>
        <v>1</v>
      </c>
      <c r="R937" s="472" t="str">
        <f t="array" ref="R937">IF($Q937, INDEX('Run Reconcile'!A$2:A2488,MATCH(B937,'Run Reconcile'!B$2:B2488,0),1),IFERROR(0/0,""))</f>
        <v>RUN-FLMP_2022-03-24_APS-086</v>
      </c>
      <c r="S937" s="473" t="str">
        <f t="shared" si="694"/>
        <v/>
      </c>
      <c r="T937" s="473" t="str">
        <f t="shared" si="698"/>
        <v/>
      </c>
      <c r="U937" s="275" t="str">
        <f t="array" ref="U937">IF(ISBLANK($R937), INDEX('Run Reconcile'!A$2:A2488, MATCH($B937, 'Run Reconcile'!B$2:B2488, 0)+Z937, 1), IFERROR(0/0,""))
</f>
        <v/>
      </c>
      <c r="V937" s="474" t="str">
        <f t="shared" si="5"/>
        <v>RUN-FLMP_2022-03-24_APS-086</v>
      </c>
      <c r="Y937" s="89" t="str">
        <f t="shared" si="867"/>
        <v/>
      </c>
      <c r="Z937" s="60" t="str">
        <f t="shared" si="7"/>
        <v/>
      </c>
      <c r="AA937" s="60" t="str">
        <f t="shared" si="8"/>
        <v/>
      </c>
      <c r="AB937" s="60" t="str">
        <f t="shared" si="9"/>
        <v/>
      </c>
      <c r="AC937" s="30" t="str">
        <f t="shared" ref="AC937:AD937" si="1293">IF(_xlfn.ISFORMULA(S937),IFERROR(0/0,""),TRUE)</f>
        <v/>
      </c>
      <c r="AD937" s="30" t="str">
        <f t="shared" si="1293"/>
        <v/>
      </c>
      <c r="AE937" s="475" t="str">
        <f>IFERROR(__xludf.DUMMYFUNCTION("""COMPUTED_VALUE"""),"CRLN")</f>
        <v>CRLN</v>
      </c>
      <c r="AF937" s="476"/>
      <c r="AG937" s="474" t="s">
        <v>192</v>
      </c>
      <c r="AH937" s="138" t="str">
        <f t="shared" si="11"/>
        <v/>
      </c>
    </row>
    <row r="938">
      <c r="A938" s="103" t="str">
        <f>IFERROR(__xludf.DUMMYFUNCTION("""COMPUTED_VALUE"""),"FLE903")</f>
        <v>FLE903</v>
      </c>
      <c r="B938" s="468">
        <f>IFERROR(__xludf.DUMMYFUNCTION("""COMPUTED_VALUE"""),44644.0)</f>
        <v>44644</v>
      </c>
      <c r="C938" s="469">
        <f>IFERROR(__xludf.DUMMYFUNCTION("""COMPUTED_VALUE"""),0.29077546296296297)</f>
        <v>0.290775463</v>
      </c>
      <c r="D938" s="103" t="str">
        <f>IFERROR(__xludf.DUMMYFUNCTION("""COMPUTED_VALUE"""),"SpFLMP690282")</f>
        <v>SpFLMP690282</v>
      </c>
      <c r="E938" s="103"/>
      <c r="F938" s="103"/>
      <c r="G938" s="103" t="str">
        <f>IFERROR(__xludf.DUMMYFUNCTION("""COMPUTED_VALUE"""),"Negative")</f>
        <v>Negative</v>
      </c>
      <c r="H938" s="131" t="str">
        <f>IFERROR(__xludf.DUMMYFUNCTION("""COMPUTED_VALUE"""),"Negative")</f>
        <v>Negative</v>
      </c>
      <c r="I938" s="468">
        <f>IFERROR(__xludf.DUMMYFUNCTION("""COMPUTED_VALUE"""),44644.0)</f>
        <v>44644</v>
      </c>
      <c r="J938" s="470">
        <f>IFERROR(__xludf.DUMMYFUNCTION("""COMPUTED_VALUE"""),0.4899189814814815)</f>
        <v>0.4899189815</v>
      </c>
      <c r="K938" s="16"/>
      <c r="L938" s="8"/>
      <c r="M938" s="69"/>
      <c r="N938" s="69">
        <f>IFERROR(__xludf.DUMMYFUNCTION("""COMPUTED_VALUE"""),2.0)</f>
        <v>2</v>
      </c>
      <c r="O938" s="69" t="str">
        <f t="shared" si="3"/>
        <v/>
      </c>
      <c r="P938" s="471">
        <f>IFERROR(__xludf.DUMMYFUNCTION("""COMPUTED_VALUE"""),0.0)</f>
        <v>0</v>
      </c>
      <c r="Q938" s="274" t="b">
        <f>VLOOKUP($B938,'Run Reconcile'!B$2:O2488,14,FALSE)</f>
        <v>1</v>
      </c>
      <c r="R938" s="472" t="str">
        <f t="array" ref="R938">IF($Q938, INDEX('Run Reconcile'!A$2:A2488,MATCH(B938,'Run Reconcile'!B$2:B2488,0),1),IFERROR(0/0,""))</f>
        <v>RUN-FLMP_2022-03-24_APS-086</v>
      </c>
      <c r="S938" s="473" t="str">
        <f t="shared" si="694"/>
        <v/>
      </c>
      <c r="T938" s="473" t="str">
        <f t="shared" si="698"/>
        <v/>
      </c>
      <c r="U938" s="275" t="str">
        <f t="array" ref="U938">IF(ISBLANK($R938), INDEX('Run Reconcile'!A$2:A2488, MATCH($B938, 'Run Reconcile'!B$2:B2488, 0)+Z938, 1), IFERROR(0/0,""))
</f>
        <v/>
      </c>
      <c r="V938" s="474" t="str">
        <f t="shared" si="5"/>
        <v>RUN-FLMP_2022-03-24_APS-086</v>
      </c>
      <c r="Y938" s="89" t="str">
        <f t="shared" si="867"/>
        <v/>
      </c>
      <c r="Z938" s="60" t="str">
        <f t="shared" si="7"/>
        <v/>
      </c>
      <c r="AA938" s="60" t="str">
        <f t="shared" si="8"/>
        <v/>
      </c>
      <c r="AB938" s="60" t="str">
        <f t="shared" si="9"/>
        <v/>
      </c>
      <c r="AC938" s="30" t="str">
        <f t="shared" ref="AC938:AD938" si="1294">IF(_xlfn.ISFORMULA(S938),IFERROR(0/0,""),TRUE)</f>
        <v/>
      </c>
      <c r="AD938" s="30" t="str">
        <f t="shared" si="1294"/>
        <v/>
      </c>
      <c r="AE938" s="475" t="str">
        <f>IFERROR(__xludf.DUMMYFUNCTION("""COMPUTED_VALUE"""),"CRLN")</f>
        <v>CRLN</v>
      </c>
      <c r="AF938" s="476"/>
      <c r="AG938" s="474" t="s">
        <v>192</v>
      </c>
      <c r="AH938" s="138" t="str">
        <f t="shared" si="11"/>
        <v/>
      </c>
    </row>
    <row r="939">
      <c r="A939" s="103" t="str">
        <f>IFERROR(__xludf.DUMMYFUNCTION("""COMPUTED_VALUE"""),"FLB7143")</f>
        <v>FLB7143</v>
      </c>
      <c r="B939" s="468">
        <f>IFERROR(__xludf.DUMMYFUNCTION("""COMPUTED_VALUE"""),44644.0)</f>
        <v>44644</v>
      </c>
      <c r="C939" s="469">
        <f>IFERROR(__xludf.DUMMYFUNCTION("""COMPUTED_VALUE"""),0.3100810185185185)</f>
        <v>0.3100810185</v>
      </c>
      <c r="D939" s="103" t="str">
        <f>IFERROR(__xludf.DUMMYFUNCTION("""COMPUTED_VALUE"""),"SpFLMP965392")</f>
        <v>SpFLMP965392</v>
      </c>
      <c r="E939" s="103"/>
      <c r="F939" s="103"/>
      <c r="G939" s="103" t="str">
        <f>IFERROR(__xludf.DUMMYFUNCTION("""COMPUTED_VALUE"""),"Negative")</f>
        <v>Negative</v>
      </c>
      <c r="H939" s="131" t="str">
        <f>IFERROR(__xludf.DUMMYFUNCTION("""COMPUTED_VALUE"""),"Negative")</f>
        <v>Negative</v>
      </c>
      <c r="I939" s="468">
        <f>IFERROR(__xludf.DUMMYFUNCTION("""COMPUTED_VALUE"""),44644.0)</f>
        <v>44644</v>
      </c>
      <c r="J939" s="470">
        <f>IFERROR(__xludf.DUMMYFUNCTION("""COMPUTED_VALUE"""),0.4899189814814815)</f>
        <v>0.4899189815</v>
      </c>
      <c r="K939" s="16"/>
      <c r="L939" s="8"/>
      <c r="M939" s="69"/>
      <c r="N939" s="69">
        <f>IFERROR(__xludf.DUMMYFUNCTION("""COMPUTED_VALUE"""),4.0)</f>
        <v>4</v>
      </c>
      <c r="O939" s="69" t="str">
        <f t="shared" si="3"/>
        <v/>
      </c>
      <c r="P939" s="471">
        <f>IFERROR(__xludf.DUMMYFUNCTION("""COMPUTED_VALUE"""),0.0)</f>
        <v>0</v>
      </c>
      <c r="Q939" s="274" t="b">
        <f>VLOOKUP($B939,'Run Reconcile'!B$2:O2488,14,FALSE)</f>
        <v>1</v>
      </c>
      <c r="R939" s="472" t="str">
        <f t="array" ref="R939">IF($Q939, INDEX('Run Reconcile'!A$2:A2488,MATCH(B939,'Run Reconcile'!B$2:B2488,0),1),IFERROR(0/0,""))</f>
        <v>RUN-FLMP_2022-03-24_APS-086</v>
      </c>
      <c r="S939" s="473" t="str">
        <f t="shared" si="694"/>
        <v/>
      </c>
      <c r="T939" s="473" t="str">
        <f t="shared" si="698"/>
        <v/>
      </c>
      <c r="U939" s="275" t="str">
        <f t="array" ref="U939">IF(ISBLANK($R939), INDEX('Run Reconcile'!A$2:A2488, MATCH($B939, 'Run Reconcile'!B$2:B2488, 0)+Z939, 1), IFERROR(0/0,""))
</f>
        <v/>
      </c>
      <c r="V939" s="474" t="str">
        <f t="shared" si="5"/>
        <v>RUN-FLMP_2022-03-24_APS-086</v>
      </c>
      <c r="Y939" s="89" t="str">
        <f t="shared" si="867"/>
        <v/>
      </c>
      <c r="Z939" s="60" t="str">
        <f t="shared" si="7"/>
        <v/>
      </c>
      <c r="AA939" s="60" t="str">
        <f t="shared" si="8"/>
        <v/>
      </c>
      <c r="AB939" s="60" t="str">
        <f t="shared" si="9"/>
        <v/>
      </c>
      <c r="AC939" s="30" t="str">
        <f t="shared" ref="AC939:AD939" si="1295">IF(_xlfn.ISFORMULA(S939),IFERROR(0/0,""),TRUE)</f>
        <v/>
      </c>
      <c r="AD939" s="30" t="str">
        <f t="shared" si="1295"/>
        <v/>
      </c>
      <c r="AE939" s="475" t="str">
        <f>IFERROR(__xludf.DUMMYFUNCTION("""COMPUTED_VALUE"""),"CRLN")</f>
        <v>CRLN</v>
      </c>
      <c r="AF939" s="476"/>
      <c r="AG939" s="474" t="s">
        <v>192</v>
      </c>
      <c r="AH939" s="138" t="str">
        <f t="shared" si="11"/>
        <v/>
      </c>
    </row>
    <row r="940">
      <c r="A940" s="103" t="str">
        <f>IFERROR(__xludf.DUMMYFUNCTION("""COMPUTED_VALUE"""),"FLB5985")</f>
        <v>FLB5985</v>
      </c>
      <c r="B940" s="468">
        <f>IFERROR(__xludf.DUMMYFUNCTION("""COMPUTED_VALUE"""),44644.0)</f>
        <v>44644</v>
      </c>
      <c r="C940" s="469">
        <f>IFERROR(__xludf.DUMMYFUNCTION("""COMPUTED_VALUE"""),0.31225694444444446)</f>
        <v>0.3122569444</v>
      </c>
      <c r="D940" s="103" t="str">
        <f>IFERROR(__xludf.DUMMYFUNCTION("""COMPUTED_VALUE"""),"SpFLMP170622")</f>
        <v>SpFLMP170622</v>
      </c>
      <c r="E940" s="103"/>
      <c r="F940" s="103"/>
      <c r="G940" s="103" t="str">
        <f>IFERROR(__xludf.DUMMYFUNCTION("""COMPUTED_VALUE"""),"Negative")</f>
        <v>Negative</v>
      </c>
      <c r="H940" s="131" t="str">
        <f>IFERROR(__xludf.DUMMYFUNCTION("""COMPUTED_VALUE"""),"Negative")</f>
        <v>Negative</v>
      </c>
      <c r="I940" s="468">
        <f>IFERROR(__xludf.DUMMYFUNCTION("""COMPUTED_VALUE"""),44644.0)</f>
        <v>44644</v>
      </c>
      <c r="J940" s="470">
        <f>IFERROR(__xludf.DUMMYFUNCTION("""COMPUTED_VALUE"""),0.4899189814814815)</f>
        <v>0.4899189815</v>
      </c>
      <c r="K940" s="16"/>
      <c r="L940" s="8"/>
      <c r="M940" s="69"/>
      <c r="N940" s="69">
        <f>IFERROR(__xludf.DUMMYFUNCTION("""COMPUTED_VALUE"""),2.0)</f>
        <v>2</v>
      </c>
      <c r="O940" s="69" t="str">
        <f t="shared" si="3"/>
        <v/>
      </c>
      <c r="P940" s="471">
        <f>IFERROR(__xludf.DUMMYFUNCTION("""COMPUTED_VALUE"""),0.0)</f>
        <v>0</v>
      </c>
      <c r="Q940" s="274" t="b">
        <f>VLOOKUP($B940,'Run Reconcile'!B$2:O2488,14,FALSE)</f>
        <v>1</v>
      </c>
      <c r="R940" s="472" t="str">
        <f t="array" ref="R940">IF($Q940, INDEX('Run Reconcile'!A$2:A2488,MATCH(B940,'Run Reconcile'!B$2:B2488,0),1),IFERROR(0/0,""))</f>
        <v>RUN-FLMP_2022-03-24_APS-086</v>
      </c>
      <c r="S940" s="473" t="str">
        <f t="shared" si="694"/>
        <v/>
      </c>
      <c r="T940" s="473" t="str">
        <f t="shared" si="698"/>
        <v/>
      </c>
      <c r="U940" s="275" t="str">
        <f t="array" ref="U940">IF(ISBLANK($R940), INDEX('Run Reconcile'!A$2:A2488, MATCH($B940, 'Run Reconcile'!B$2:B2488, 0)+Z940, 1), IFERROR(0/0,""))
</f>
        <v/>
      </c>
      <c r="V940" s="474" t="str">
        <f t="shared" si="5"/>
        <v>RUN-FLMP_2022-03-24_APS-086</v>
      </c>
      <c r="Y940" s="89" t="str">
        <f t="shared" si="867"/>
        <v/>
      </c>
      <c r="Z940" s="60" t="str">
        <f t="shared" si="7"/>
        <v/>
      </c>
      <c r="AA940" s="60" t="str">
        <f t="shared" si="8"/>
        <v/>
      </c>
      <c r="AB940" s="60" t="str">
        <f t="shared" si="9"/>
        <v/>
      </c>
      <c r="AC940" s="30" t="str">
        <f t="shared" ref="AC940:AD940" si="1296">IF(_xlfn.ISFORMULA(S940),IFERROR(0/0,""),TRUE)</f>
        <v/>
      </c>
      <c r="AD940" s="30" t="str">
        <f t="shared" si="1296"/>
        <v/>
      </c>
      <c r="AE940" s="475" t="str">
        <f>IFERROR(__xludf.DUMMYFUNCTION("""COMPUTED_VALUE"""),"CRLN")</f>
        <v>CRLN</v>
      </c>
      <c r="AF940" s="476"/>
      <c r="AG940" s="474" t="s">
        <v>192</v>
      </c>
      <c r="AH940" s="138" t="str">
        <f t="shared" si="11"/>
        <v/>
      </c>
    </row>
    <row r="941">
      <c r="A941" s="103" t="str">
        <f>IFERROR(__xludf.DUMMYFUNCTION("""COMPUTED_VALUE"""),"FLB7281")</f>
        <v>FLB7281</v>
      </c>
      <c r="B941" s="468">
        <f>IFERROR(__xludf.DUMMYFUNCTION("""COMPUTED_VALUE"""),44644.0)</f>
        <v>44644</v>
      </c>
      <c r="C941" s="469">
        <f>IFERROR(__xludf.DUMMYFUNCTION("""COMPUTED_VALUE"""),0.3125)</f>
        <v>0.3125</v>
      </c>
      <c r="D941" s="103" t="str">
        <f>IFERROR(__xludf.DUMMYFUNCTION("""COMPUTED_VALUE"""),"SpFLMP170622")</f>
        <v>SpFLMP170622</v>
      </c>
      <c r="E941" s="103"/>
      <c r="F941" s="103"/>
      <c r="G941" s="103" t="str">
        <f>IFERROR(__xludf.DUMMYFUNCTION("""COMPUTED_VALUE"""),"Negative")</f>
        <v>Negative</v>
      </c>
      <c r="H941" s="131" t="str">
        <f>IFERROR(__xludf.DUMMYFUNCTION("""COMPUTED_VALUE"""),"Negative")</f>
        <v>Negative</v>
      </c>
      <c r="I941" s="468">
        <f>IFERROR(__xludf.DUMMYFUNCTION("""COMPUTED_VALUE"""),44644.0)</f>
        <v>44644</v>
      </c>
      <c r="J941" s="470">
        <f>IFERROR(__xludf.DUMMYFUNCTION("""COMPUTED_VALUE"""),0.48993055555555554)</f>
        <v>0.4899305556</v>
      </c>
      <c r="K941" s="16"/>
      <c r="L941" s="8"/>
      <c r="M941" s="69"/>
      <c r="N941" s="69">
        <f>IFERROR(__xludf.DUMMYFUNCTION("""COMPUTED_VALUE"""),2.0)</f>
        <v>2</v>
      </c>
      <c r="O941" s="69" t="str">
        <f t="shared" si="3"/>
        <v/>
      </c>
      <c r="P941" s="471">
        <f>IFERROR(__xludf.DUMMYFUNCTION("""COMPUTED_VALUE"""),0.0)</f>
        <v>0</v>
      </c>
      <c r="Q941" s="274" t="b">
        <f>VLOOKUP($B941,'Run Reconcile'!B$2:O2488,14,FALSE)</f>
        <v>1</v>
      </c>
      <c r="R941" s="472" t="str">
        <f t="array" ref="R941">IF($Q941, INDEX('Run Reconcile'!A$2:A2488,MATCH(B941,'Run Reconcile'!B$2:B2488,0),1),IFERROR(0/0,""))</f>
        <v>RUN-FLMP_2022-03-24_APS-086</v>
      </c>
      <c r="S941" s="473" t="str">
        <f t="shared" si="694"/>
        <v/>
      </c>
      <c r="T941" s="473" t="str">
        <f t="shared" si="698"/>
        <v/>
      </c>
      <c r="U941" s="275" t="str">
        <f t="array" ref="U941">IF(ISBLANK($R941), INDEX('Run Reconcile'!A$2:A2488, MATCH($B941, 'Run Reconcile'!B$2:B2488, 0)+Z941, 1), IFERROR(0/0,""))
</f>
        <v/>
      </c>
      <c r="V941" s="474" t="str">
        <f t="shared" si="5"/>
        <v>RUN-FLMP_2022-03-24_APS-086</v>
      </c>
      <c r="Y941" s="89" t="str">
        <f t="shared" si="867"/>
        <v/>
      </c>
      <c r="Z941" s="60" t="str">
        <f t="shared" si="7"/>
        <v/>
      </c>
      <c r="AA941" s="60" t="str">
        <f t="shared" si="8"/>
        <v/>
      </c>
      <c r="AB941" s="60" t="str">
        <f t="shared" si="9"/>
        <v/>
      </c>
      <c r="AC941" s="30" t="str">
        <f t="shared" ref="AC941:AD941" si="1297">IF(_xlfn.ISFORMULA(S941),IFERROR(0/0,""),TRUE)</f>
        <v/>
      </c>
      <c r="AD941" s="30" t="str">
        <f t="shared" si="1297"/>
        <v/>
      </c>
      <c r="AE941" s="475" t="str">
        <f>IFERROR(__xludf.DUMMYFUNCTION("""COMPUTED_VALUE"""),"CRLN")</f>
        <v>CRLN</v>
      </c>
      <c r="AF941" s="476"/>
      <c r="AG941" s="474" t="s">
        <v>192</v>
      </c>
      <c r="AH941" s="138" t="str">
        <f t="shared" si="11"/>
        <v/>
      </c>
    </row>
    <row r="942">
      <c r="A942" s="103" t="str">
        <f>IFERROR(__xludf.DUMMYFUNCTION("""COMPUTED_VALUE"""),"FLB6767")</f>
        <v>FLB6767</v>
      </c>
      <c r="B942" s="468">
        <f>IFERROR(__xludf.DUMMYFUNCTION("""COMPUTED_VALUE"""),44644.0)</f>
        <v>44644</v>
      </c>
      <c r="C942" s="469">
        <f>IFERROR(__xludf.DUMMYFUNCTION("""COMPUTED_VALUE"""),0.3167361111111111)</f>
        <v>0.3167361111</v>
      </c>
      <c r="D942" s="103" t="str">
        <f>IFERROR(__xludf.DUMMYFUNCTION("""COMPUTED_VALUE"""),"SpFLMP777132")</f>
        <v>SpFLMP777132</v>
      </c>
      <c r="E942" s="103"/>
      <c r="F942" s="103"/>
      <c r="G942" s="103" t="str">
        <f>IFERROR(__xludf.DUMMYFUNCTION("""COMPUTED_VALUE"""),"Negative")</f>
        <v>Negative</v>
      </c>
      <c r="H942" s="131" t="str">
        <f>IFERROR(__xludf.DUMMYFUNCTION("""COMPUTED_VALUE"""),"Negative")</f>
        <v>Negative</v>
      </c>
      <c r="I942" s="468">
        <f>IFERROR(__xludf.DUMMYFUNCTION("""COMPUTED_VALUE"""),44644.0)</f>
        <v>44644</v>
      </c>
      <c r="J942" s="470">
        <f>IFERROR(__xludf.DUMMYFUNCTION("""COMPUTED_VALUE"""),0.48993055555555554)</f>
        <v>0.4899305556</v>
      </c>
      <c r="K942" s="16"/>
      <c r="L942" s="8"/>
      <c r="M942" s="69"/>
      <c r="N942" s="69">
        <f>IFERROR(__xludf.DUMMYFUNCTION("""COMPUTED_VALUE"""),4.0)</f>
        <v>4</v>
      </c>
      <c r="O942" s="69" t="str">
        <f t="shared" si="3"/>
        <v/>
      </c>
      <c r="P942" s="471">
        <f>IFERROR(__xludf.DUMMYFUNCTION("""COMPUTED_VALUE"""),0.0)</f>
        <v>0</v>
      </c>
      <c r="Q942" s="274" t="b">
        <f>VLOOKUP($B942,'Run Reconcile'!B$2:O2488,14,FALSE)</f>
        <v>1</v>
      </c>
      <c r="R942" s="472" t="str">
        <f t="array" ref="R942">IF($Q942, INDEX('Run Reconcile'!A$2:A2488,MATCH(B942,'Run Reconcile'!B$2:B2488,0),1),IFERROR(0/0,""))</f>
        <v>RUN-FLMP_2022-03-24_APS-086</v>
      </c>
      <c r="S942" s="473" t="str">
        <f t="shared" si="694"/>
        <v/>
      </c>
      <c r="T942" s="473" t="str">
        <f t="shared" si="698"/>
        <v/>
      </c>
      <c r="U942" s="275" t="str">
        <f t="array" ref="U942">IF(ISBLANK($R942), INDEX('Run Reconcile'!A$2:A2488, MATCH($B942, 'Run Reconcile'!B$2:B2488, 0)+Z942, 1), IFERROR(0/0,""))
</f>
        <v/>
      </c>
      <c r="V942" s="474" t="str">
        <f t="shared" si="5"/>
        <v>RUN-FLMP_2022-03-24_APS-086</v>
      </c>
      <c r="Y942" s="89" t="str">
        <f t="shared" si="867"/>
        <v/>
      </c>
      <c r="Z942" s="60" t="str">
        <f t="shared" si="7"/>
        <v/>
      </c>
      <c r="AA942" s="60" t="str">
        <f t="shared" si="8"/>
        <v/>
      </c>
      <c r="AB942" s="60" t="str">
        <f t="shared" si="9"/>
        <v/>
      </c>
      <c r="AC942" s="30" t="str">
        <f t="shared" ref="AC942:AD942" si="1298">IF(_xlfn.ISFORMULA(S942),IFERROR(0/0,""),TRUE)</f>
        <v/>
      </c>
      <c r="AD942" s="30" t="str">
        <f t="shared" si="1298"/>
        <v/>
      </c>
      <c r="AE942" s="475" t="str">
        <f>IFERROR(__xludf.DUMMYFUNCTION("""COMPUTED_VALUE"""),"CRLN")</f>
        <v>CRLN</v>
      </c>
      <c r="AF942" s="476"/>
      <c r="AG942" s="474" t="s">
        <v>192</v>
      </c>
      <c r="AH942" s="138" t="str">
        <f t="shared" si="11"/>
        <v/>
      </c>
    </row>
    <row r="943">
      <c r="A943" s="103" t="str">
        <f>IFERROR(__xludf.DUMMYFUNCTION("""COMPUTED_VALUE"""),"FLB7171")</f>
        <v>FLB7171</v>
      </c>
      <c r="B943" s="468">
        <f>IFERROR(__xludf.DUMMYFUNCTION("""COMPUTED_VALUE"""),44644.0)</f>
        <v>44644</v>
      </c>
      <c r="C943" s="469">
        <f>IFERROR(__xludf.DUMMYFUNCTION("""COMPUTED_VALUE"""),0.3208796296296296)</f>
        <v>0.3208796296</v>
      </c>
      <c r="D943" s="103" t="str">
        <f>IFERROR(__xludf.DUMMYFUNCTION("""COMPUTED_VALUE"""),"SpFLMP259015")</f>
        <v>SpFLMP259015</v>
      </c>
      <c r="E943" s="103"/>
      <c r="F943" s="103"/>
      <c r="G943" s="103" t="str">
        <f>IFERROR(__xludf.DUMMYFUNCTION("""COMPUTED_VALUE"""),"Negative")</f>
        <v>Negative</v>
      </c>
      <c r="H943" s="131" t="str">
        <f>IFERROR(__xludf.DUMMYFUNCTION("""COMPUTED_VALUE"""),"Negative")</f>
        <v>Negative</v>
      </c>
      <c r="I943" s="468">
        <f>IFERROR(__xludf.DUMMYFUNCTION("""COMPUTED_VALUE"""),44644.0)</f>
        <v>44644</v>
      </c>
      <c r="J943" s="470">
        <f>IFERROR(__xludf.DUMMYFUNCTION("""COMPUTED_VALUE"""),0.48993055555555554)</f>
        <v>0.4899305556</v>
      </c>
      <c r="K943" s="16"/>
      <c r="L943" s="8"/>
      <c r="M943" s="69"/>
      <c r="N943" s="69">
        <f>IFERROR(__xludf.DUMMYFUNCTION("""COMPUTED_VALUE"""),3.0)</f>
        <v>3</v>
      </c>
      <c r="O943" s="69" t="str">
        <f t="shared" si="3"/>
        <v/>
      </c>
      <c r="P943" s="471">
        <f>IFERROR(__xludf.DUMMYFUNCTION("""COMPUTED_VALUE"""),0.0)</f>
        <v>0</v>
      </c>
      <c r="Q943" s="274" t="b">
        <f>VLOOKUP($B943,'Run Reconcile'!B$2:O2488,14,FALSE)</f>
        <v>1</v>
      </c>
      <c r="R943" s="472" t="str">
        <f t="array" ref="R943">IF($Q943, INDEX('Run Reconcile'!A$2:A2488,MATCH(B943,'Run Reconcile'!B$2:B2488,0),1),IFERROR(0/0,""))</f>
        <v>RUN-FLMP_2022-03-24_APS-086</v>
      </c>
      <c r="S943" s="473" t="str">
        <f t="shared" si="694"/>
        <v/>
      </c>
      <c r="T943" s="473" t="str">
        <f t="shared" si="698"/>
        <v/>
      </c>
      <c r="U943" s="275" t="str">
        <f t="array" ref="U943">IF(ISBLANK($R943), INDEX('Run Reconcile'!A$2:A2488, MATCH($B943, 'Run Reconcile'!B$2:B2488, 0)+Z943, 1), IFERROR(0/0,""))
</f>
        <v/>
      </c>
      <c r="V943" s="474" t="str">
        <f t="shared" si="5"/>
        <v>RUN-FLMP_2022-03-24_APS-086</v>
      </c>
      <c r="Y943" s="89" t="str">
        <f t="shared" si="867"/>
        <v/>
      </c>
      <c r="Z943" s="60" t="str">
        <f t="shared" si="7"/>
        <v/>
      </c>
      <c r="AA943" s="60" t="str">
        <f t="shared" si="8"/>
        <v/>
      </c>
      <c r="AB943" s="60" t="str">
        <f t="shared" si="9"/>
        <v/>
      </c>
      <c r="AC943" s="30" t="str">
        <f t="shared" ref="AC943:AD943" si="1299">IF(_xlfn.ISFORMULA(S943),IFERROR(0/0,""),TRUE)</f>
        <v/>
      </c>
      <c r="AD943" s="30" t="str">
        <f t="shared" si="1299"/>
        <v/>
      </c>
      <c r="AE943" s="475" t="str">
        <f>IFERROR(__xludf.DUMMYFUNCTION("""COMPUTED_VALUE"""),"CRLN")</f>
        <v>CRLN</v>
      </c>
      <c r="AF943" s="476"/>
      <c r="AG943" s="474" t="s">
        <v>192</v>
      </c>
      <c r="AH943" s="138" t="str">
        <f t="shared" si="11"/>
        <v/>
      </c>
    </row>
    <row r="944">
      <c r="A944" s="103" t="str">
        <f>IFERROR(__xludf.DUMMYFUNCTION("""COMPUTED_VALUE"""),"FLB7178")</f>
        <v>FLB7178</v>
      </c>
      <c r="B944" s="468">
        <f>IFERROR(__xludf.DUMMYFUNCTION("""COMPUTED_VALUE"""),44644.0)</f>
        <v>44644</v>
      </c>
      <c r="C944" s="469">
        <f>IFERROR(__xludf.DUMMYFUNCTION("""COMPUTED_VALUE"""),0.3221412037037037)</f>
        <v>0.3221412037</v>
      </c>
      <c r="D944" s="103" t="str">
        <f>IFERROR(__xludf.DUMMYFUNCTION("""COMPUTED_VALUE"""),"SpFLMP259015")</f>
        <v>SpFLMP259015</v>
      </c>
      <c r="E944" s="103"/>
      <c r="F944" s="103"/>
      <c r="G944" s="103" t="str">
        <f>IFERROR(__xludf.DUMMYFUNCTION("""COMPUTED_VALUE"""),"Negative")</f>
        <v>Negative</v>
      </c>
      <c r="H944" s="131" t="str">
        <f>IFERROR(__xludf.DUMMYFUNCTION("""COMPUTED_VALUE"""),"Negative")</f>
        <v>Negative</v>
      </c>
      <c r="I944" s="468">
        <f>IFERROR(__xludf.DUMMYFUNCTION("""COMPUTED_VALUE"""),44644.0)</f>
        <v>44644</v>
      </c>
      <c r="J944" s="470">
        <f>IFERROR(__xludf.DUMMYFUNCTION("""COMPUTED_VALUE"""),0.48993055555555554)</f>
        <v>0.4899305556</v>
      </c>
      <c r="K944" s="16"/>
      <c r="L944" s="8"/>
      <c r="M944" s="69"/>
      <c r="N944" s="69">
        <f>IFERROR(__xludf.DUMMYFUNCTION("""COMPUTED_VALUE"""),3.0)</f>
        <v>3</v>
      </c>
      <c r="O944" s="69" t="str">
        <f t="shared" si="3"/>
        <v/>
      </c>
      <c r="P944" s="471">
        <f>IFERROR(__xludf.DUMMYFUNCTION("""COMPUTED_VALUE"""),0.0)</f>
        <v>0</v>
      </c>
      <c r="Q944" s="274" t="b">
        <f>VLOOKUP($B944,'Run Reconcile'!B$2:O2488,14,FALSE)</f>
        <v>1</v>
      </c>
      <c r="R944" s="472" t="str">
        <f t="array" ref="R944">IF($Q944, INDEX('Run Reconcile'!A$2:A2488,MATCH(B944,'Run Reconcile'!B$2:B2488,0),1),IFERROR(0/0,""))</f>
        <v>RUN-FLMP_2022-03-24_APS-086</v>
      </c>
      <c r="S944" s="473" t="str">
        <f t="shared" si="694"/>
        <v/>
      </c>
      <c r="T944" s="473" t="str">
        <f t="shared" si="698"/>
        <v/>
      </c>
      <c r="U944" s="275" t="str">
        <f t="array" ref="U944">IF(ISBLANK($R944), INDEX('Run Reconcile'!A$2:A2488, MATCH($B944, 'Run Reconcile'!B$2:B2488, 0)+Z944, 1), IFERROR(0/0,""))
</f>
        <v/>
      </c>
      <c r="V944" s="474" t="str">
        <f t="shared" si="5"/>
        <v>RUN-FLMP_2022-03-24_APS-086</v>
      </c>
      <c r="Y944" s="89" t="str">
        <f t="shared" si="867"/>
        <v/>
      </c>
      <c r="Z944" s="60" t="str">
        <f t="shared" si="7"/>
        <v/>
      </c>
      <c r="AA944" s="60" t="str">
        <f t="shared" si="8"/>
        <v/>
      </c>
      <c r="AB944" s="60" t="str">
        <f t="shared" si="9"/>
        <v/>
      </c>
      <c r="AC944" s="30" t="str">
        <f t="shared" ref="AC944:AD944" si="1300">IF(_xlfn.ISFORMULA(S944),IFERROR(0/0,""),TRUE)</f>
        <v/>
      </c>
      <c r="AD944" s="30" t="str">
        <f t="shared" si="1300"/>
        <v/>
      </c>
      <c r="AE944" s="475" t="str">
        <f>IFERROR(__xludf.DUMMYFUNCTION("""COMPUTED_VALUE"""),"CRLN")</f>
        <v>CRLN</v>
      </c>
      <c r="AF944" s="476"/>
      <c r="AG944" s="474" t="s">
        <v>192</v>
      </c>
      <c r="AH944" s="138" t="str">
        <f t="shared" si="11"/>
        <v/>
      </c>
    </row>
    <row r="945">
      <c r="A945" s="103" t="str">
        <f>IFERROR(__xludf.DUMMYFUNCTION("""COMPUTED_VALUE"""),"FLB7359")</f>
        <v>FLB7359</v>
      </c>
      <c r="B945" s="468">
        <f>IFERROR(__xludf.DUMMYFUNCTION("""COMPUTED_VALUE"""),44644.0)</f>
        <v>44644</v>
      </c>
      <c r="C945" s="469">
        <f>IFERROR(__xludf.DUMMYFUNCTION("""COMPUTED_VALUE"""),0.3371412037037037)</f>
        <v>0.3371412037</v>
      </c>
      <c r="D945" s="103" t="str">
        <f>IFERROR(__xludf.DUMMYFUNCTION("""COMPUTED_VALUE"""),"SpFLMP273885")</f>
        <v>SpFLMP273885</v>
      </c>
      <c r="E945" s="103"/>
      <c r="F945" s="103"/>
      <c r="G945" s="103" t="str">
        <f>IFERROR(__xludf.DUMMYFUNCTION("""COMPUTED_VALUE"""),"Negative")</f>
        <v>Negative</v>
      </c>
      <c r="H945" s="131" t="str">
        <f>IFERROR(__xludf.DUMMYFUNCTION("""COMPUTED_VALUE"""),"Negative")</f>
        <v>Negative</v>
      </c>
      <c r="I945" s="468">
        <f>IFERROR(__xludf.DUMMYFUNCTION("""COMPUTED_VALUE"""),44644.0)</f>
        <v>44644</v>
      </c>
      <c r="J945" s="470">
        <f>IFERROR(__xludf.DUMMYFUNCTION("""COMPUTED_VALUE"""),0.48993055555555554)</f>
        <v>0.4899305556</v>
      </c>
      <c r="K945" s="16"/>
      <c r="L945" s="8"/>
      <c r="M945" s="69"/>
      <c r="N945" s="69">
        <f>IFERROR(__xludf.DUMMYFUNCTION("""COMPUTED_VALUE"""),4.0)</f>
        <v>4</v>
      </c>
      <c r="O945" s="69" t="str">
        <f t="shared" si="3"/>
        <v/>
      </c>
      <c r="P945" s="471">
        <f>IFERROR(__xludf.DUMMYFUNCTION("""COMPUTED_VALUE"""),0.0)</f>
        <v>0</v>
      </c>
      <c r="Q945" s="274" t="b">
        <f>VLOOKUP($B945,'Run Reconcile'!B$2:O2488,14,FALSE)</f>
        <v>1</v>
      </c>
      <c r="R945" s="472" t="str">
        <f t="array" ref="R945">IF($Q945, INDEX('Run Reconcile'!A$2:A2488,MATCH(B945,'Run Reconcile'!B$2:B2488,0),1),IFERROR(0/0,""))</f>
        <v>RUN-FLMP_2022-03-24_APS-086</v>
      </c>
      <c r="S945" s="473" t="str">
        <f t="shared" si="694"/>
        <v/>
      </c>
      <c r="T945" s="473" t="str">
        <f t="shared" si="698"/>
        <v/>
      </c>
      <c r="U945" s="275" t="str">
        <f t="array" ref="U945">IF(ISBLANK($R945), INDEX('Run Reconcile'!A$2:A2488, MATCH($B945, 'Run Reconcile'!B$2:B2488, 0)+Z945, 1), IFERROR(0/0,""))
</f>
        <v/>
      </c>
      <c r="V945" s="474" t="str">
        <f t="shared" si="5"/>
        <v>RUN-FLMP_2022-03-24_APS-086</v>
      </c>
      <c r="Y945" s="89" t="str">
        <f t="shared" si="867"/>
        <v/>
      </c>
      <c r="Z945" s="60" t="str">
        <f t="shared" si="7"/>
        <v/>
      </c>
      <c r="AA945" s="60" t="str">
        <f t="shared" si="8"/>
        <v/>
      </c>
      <c r="AB945" s="60" t="str">
        <f t="shared" si="9"/>
        <v/>
      </c>
      <c r="AC945" s="30" t="str">
        <f t="shared" ref="AC945:AD945" si="1301">IF(_xlfn.ISFORMULA(S945),IFERROR(0/0,""),TRUE)</f>
        <v/>
      </c>
      <c r="AD945" s="30" t="str">
        <f t="shared" si="1301"/>
        <v/>
      </c>
      <c r="AE945" s="475" t="str">
        <f>IFERROR(__xludf.DUMMYFUNCTION("""COMPUTED_VALUE"""),"CRLN")</f>
        <v>CRLN</v>
      </c>
      <c r="AF945" s="476"/>
      <c r="AG945" s="474" t="s">
        <v>192</v>
      </c>
      <c r="AH945" s="138" t="str">
        <f t="shared" si="11"/>
        <v/>
      </c>
    </row>
    <row r="946">
      <c r="A946" s="103" t="str">
        <f>IFERROR(__xludf.DUMMYFUNCTION("""COMPUTED_VALUE"""),"FLB5982")</f>
        <v>FLB5982</v>
      </c>
      <c r="B946" s="468">
        <f>IFERROR(__xludf.DUMMYFUNCTION("""COMPUTED_VALUE"""),44644.0)</f>
        <v>44644</v>
      </c>
      <c r="C946" s="469">
        <f>IFERROR(__xludf.DUMMYFUNCTION("""COMPUTED_VALUE"""),0.33730324074074075)</f>
        <v>0.3373032407</v>
      </c>
      <c r="D946" s="103" t="str">
        <f>IFERROR(__xludf.DUMMYFUNCTION("""COMPUTED_VALUE"""),"SpFLMP904576")</f>
        <v>SpFLMP904576</v>
      </c>
      <c r="E946" s="103"/>
      <c r="F946" s="103"/>
      <c r="G946" s="103" t="str">
        <f>IFERROR(__xludf.DUMMYFUNCTION("""COMPUTED_VALUE"""),"Negative")</f>
        <v>Negative</v>
      </c>
      <c r="H946" s="131" t="str">
        <f>IFERROR(__xludf.DUMMYFUNCTION("""COMPUTED_VALUE"""),"Negative")</f>
        <v>Negative</v>
      </c>
      <c r="I946" s="468">
        <f>IFERROR(__xludf.DUMMYFUNCTION("""COMPUTED_VALUE"""),44644.0)</f>
        <v>44644</v>
      </c>
      <c r="J946" s="470">
        <f>IFERROR(__xludf.DUMMYFUNCTION("""COMPUTED_VALUE"""),0.48993055555555554)</f>
        <v>0.4899305556</v>
      </c>
      <c r="K946" s="16"/>
      <c r="L946" s="8"/>
      <c r="M946" s="69"/>
      <c r="N946" s="69">
        <f>IFERROR(__xludf.DUMMYFUNCTION("""COMPUTED_VALUE"""),3.0)</f>
        <v>3</v>
      </c>
      <c r="O946" s="69" t="str">
        <f t="shared" si="3"/>
        <v/>
      </c>
      <c r="P946" s="471">
        <f>IFERROR(__xludf.DUMMYFUNCTION("""COMPUTED_VALUE"""),0.0)</f>
        <v>0</v>
      </c>
      <c r="Q946" s="274" t="b">
        <f>VLOOKUP($B946,'Run Reconcile'!B$2:O2488,14,FALSE)</f>
        <v>1</v>
      </c>
      <c r="R946" s="472" t="str">
        <f t="array" ref="R946">IF($Q946, INDEX('Run Reconcile'!A$2:A2488,MATCH(B946,'Run Reconcile'!B$2:B2488,0),1),IFERROR(0/0,""))</f>
        <v>RUN-FLMP_2022-03-24_APS-086</v>
      </c>
      <c r="S946" s="473" t="str">
        <f t="shared" si="694"/>
        <v/>
      </c>
      <c r="T946" s="473" t="str">
        <f t="shared" si="698"/>
        <v/>
      </c>
      <c r="U946" s="275" t="str">
        <f t="array" ref="U946">IF(ISBLANK($R946), INDEX('Run Reconcile'!A$2:A2488, MATCH($B946, 'Run Reconcile'!B$2:B2488, 0)+Z946, 1), IFERROR(0/0,""))
</f>
        <v/>
      </c>
      <c r="V946" s="474" t="str">
        <f t="shared" si="5"/>
        <v>RUN-FLMP_2022-03-24_APS-086</v>
      </c>
      <c r="Y946" s="89" t="str">
        <f t="shared" si="867"/>
        <v/>
      </c>
      <c r="Z946" s="60" t="str">
        <f t="shared" si="7"/>
        <v/>
      </c>
      <c r="AA946" s="60" t="str">
        <f t="shared" si="8"/>
        <v/>
      </c>
      <c r="AB946" s="60" t="str">
        <f t="shared" si="9"/>
        <v/>
      </c>
      <c r="AC946" s="30" t="str">
        <f t="shared" ref="AC946:AD946" si="1302">IF(_xlfn.ISFORMULA(S946),IFERROR(0/0,""),TRUE)</f>
        <v/>
      </c>
      <c r="AD946" s="30" t="str">
        <f t="shared" si="1302"/>
        <v/>
      </c>
      <c r="AE946" s="475" t="str">
        <f>IFERROR(__xludf.DUMMYFUNCTION("""COMPUTED_VALUE"""),"CRLN")</f>
        <v>CRLN</v>
      </c>
      <c r="AF946" s="476"/>
      <c r="AG946" s="474" t="s">
        <v>192</v>
      </c>
      <c r="AH946" s="138" t="str">
        <f t="shared" si="11"/>
        <v/>
      </c>
    </row>
    <row r="947">
      <c r="A947" s="103" t="str">
        <f>IFERROR(__xludf.DUMMYFUNCTION("""COMPUTED_VALUE"""),"FLB6545")</f>
        <v>FLB6545</v>
      </c>
      <c r="B947" s="468">
        <f>IFERROR(__xludf.DUMMYFUNCTION("""COMPUTED_VALUE"""),44644.0)</f>
        <v>44644</v>
      </c>
      <c r="C947" s="469">
        <f>IFERROR(__xludf.DUMMYFUNCTION("""COMPUTED_VALUE"""),0.33914351851851854)</f>
        <v>0.3391435185</v>
      </c>
      <c r="D947" s="103" t="str">
        <f>IFERROR(__xludf.DUMMYFUNCTION("""COMPUTED_VALUE"""),"SpFLMP544731")</f>
        <v>SpFLMP544731</v>
      </c>
      <c r="E947" s="103"/>
      <c r="F947" s="103"/>
      <c r="G947" s="103" t="str">
        <f>IFERROR(__xludf.DUMMYFUNCTION("""COMPUTED_VALUE"""),"Negative")</f>
        <v>Negative</v>
      </c>
      <c r="H947" s="131" t="str">
        <f>IFERROR(__xludf.DUMMYFUNCTION("""COMPUTED_VALUE"""),"Negative")</f>
        <v>Negative</v>
      </c>
      <c r="I947" s="468">
        <f>IFERROR(__xludf.DUMMYFUNCTION("""COMPUTED_VALUE"""),44644.0)</f>
        <v>44644</v>
      </c>
      <c r="J947" s="470">
        <f>IFERROR(__xludf.DUMMYFUNCTION("""COMPUTED_VALUE"""),0.48993055555555554)</f>
        <v>0.4899305556</v>
      </c>
      <c r="K947" s="16"/>
      <c r="L947" s="8"/>
      <c r="M947" s="69"/>
      <c r="N947" s="69">
        <f>IFERROR(__xludf.DUMMYFUNCTION("""COMPUTED_VALUE"""),2.0)</f>
        <v>2</v>
      </c>
      <c r="O947" s="69" t="str">
        <f t="shared" si="3"/>
        <v/>
      </c>
      <c r="P947" s="471">
        <f>IFERROR(__xludf.DUMMYFUNCTION("""COMPUTED_VALUE"""),0.0)</f>
        <v>0</v>
      </c>
      <c r="Q947" s="274" t="b">
        <f>VLOOKUP($B947,'Run Reconcile'!B$2:O2488,14,FALSE)</f>
        <v>1</v>
      </c>
      <c r="R947" s="472" t="str">
        <f t="array" ref="R947">IF($Q947, INDEX('Run Reconcile'!A$2:A2488,MATCH(B947,'Run Reconcile'!B$2:B2488,0),1),IFERROR(0/0,""))</f>
        <v>RUN-FLMP_2022-03-24_APS-086</v>
      </c>
      <c r="S947" s="473" t="str">
        <f t="shared" si="694"/>
        <v/>
      </c>
      <c r="T947" s="473" t="str">
        <f t="shared" si="698"/>
        <v/>
      </c>
      <c r="U947" s="275" t="str">
        <f t="array" ref="U947">IF(ISBLANK($R947), INDEX('Run Reconcile'!A$2:A2488, MATCH($B947, 'Run Reconcile'!B$2:B2488, 0)+Z947, 1), IFERROR(0/0,""))
</f>
        <v/>
      </c>
      <c r="V947" s="474" t="str">
        <f t="shared" si="5"/>
        <v>RUN-FLMP_2022-03-24_APS-086</v>
      </c>
      <c r="Y947" s="89" t="str">
        <f t="shared" si="867"/>
        <v/>
      </c>
      <c r="Z947" s="60" t="str">
        <f t="shared" si="7"/>
        <v/>
      </c>
      <c r="AA947" s="60" t="str">
        <f t="shared" si="8"/>
        <v/>
      </c>
      <c r="AB947" s="60" t="str">
        <f t="shared" si="9"/>
        <v/>
      </c>
      <c r="AC947" s="30" t="str">
        <f t="shared" ref="AC947:AD947" si="1303">IF(_xlfn.ISFORMULA(S947),IFERROR(0/0,""),TRUE)</f>
        <v/>
      </c>
      <c r="AD947" s="30" t="str">
        <f t="shared" si="1303"/>
        <v/>
      </c>
      <c r="AE947" s="475" t="str">
        <f>IFERROR(__xludf.DUMMYFUNCTION("""COMPUTED_VALUE"""),"CRLN")</f>
        <v>CRLN</v>
      </c>
      <c r="AF947" s="476"/>
      <c r="AG947" s="474" t="s">
        <v>192</v>
      </c>
      <c r="AH947" s="138" t="str">
        <f t="shared" si="11"/>
        <v/>
      </c>
    </row>
    <row r="948">
      <c r="A948" s="103" t="str">
        <f>IFERROR(__xludf.DUMMYFUNCTION("""COMPUTED_VALUE"""),"FLB4892")</f>
        <v>FLB4892</v>
      </c>
      <c r="B948" s="468">
        <f>IFERROR(__xludf.DUMMYFUNCTION("""COMPUTED_VALUE"""),44644.0)</f>
        <v>44644</v>
      </c>
      <c r="C948" s="469">
        <f>IFERROR(__xludf.DUMMYFUNCTION("""COMPUTED_VALUE"""),0.3449074074074074)</f>
        <v>0.3449074074</v>
      </c>
      <c r="D948" s="103" t="str">
        <f>IFERROR(__xludf.DUMMYFUNCTION("""COMPUTED_VALUE"""),"SpFLMP314549")</f>
        <v>SpFLMP314549</v>
      </c>
      <c r="E948" s="103"/>
      <c r="F948" s="103"/>
      <c r="G948" s="103" t="str">
        <f>IFERROR(__xludf.DUMMYFUNCTION("""COMPUTED_VALUE"""),"Negative")</f>
        <v>Negative</v>
      </c>
      <c r="H948" s="131" t="str">
        <f>IFERROR(__xludf.DUMMYFUNCTION("""COMPUTED_VALUE"""),"Negative")</f>
        <v>Negative</v>
      </c>
      <c r="I948" s="468">
        <f>IFERROR(__xludf.DUMMYFUNCTION("""COMPUTED_VALUE"""),44644.0)</f>
        <v>44644</v>
      </c>
      <c r="J948" s="470">
        <f>IFERROR(__xludf.DUMMYFUNCTION("""COMPUTED_VALUE"""),0.48993055555555554)</f>
        <v>0.4899305556</v>
      </c>
      <c r="K948" s="16"/>
      <c r="L948" s="8"/>
      <c r="M948" s="69"/>
      <c r="N948" s="69">
        <f>IFERROR(__xludf.DUMMYFUNCTION("""COMPUTED_VALUE"""),1.0)</f>
        <v>1</v>
      </c>
      <c r="O948" s="69" t="str">
        <f t="shared" si="3"/>
        <v/>
      </c>
      <c r="P948" s="471">
        <f>IFERROR(__xludf.DUMMYFUNCTION("""COMPUTED_VALUE"""),0.0)</f>
        <v>0</v>
      </c>
      <c r="Q948" s="274" t="b">
        <f>VLOOKUP($B948,'Run Reconcile'!B$2:O2488,14,FALSE)</f>
        <v>1</v>
      </c>
      <c r="R948" s="472" t="str">
        <f t="array" ref="R948">IF($Q948, INDEX('Run Reconcile'!A$2:A2488,MATCH(B948,'Run Reconcile'!B$2:B2488,0),1),IFERROR(0/0,""))</f>
        <v>RUN-FLMP_2022-03-24_APS-086</v>
      </c>
      <c r="S948" s="473" t="str">
        <f t="shared" si="694"/>
        <v/>
      </c>
      <c r="T948" s="473" t="str">
        <f t="shared" si="698"/>
        <v/>
      </c>
      <c r="U948" s="275" t="str">
        <f t="array" ref="U948">IF(ISBLANK($R948), INDEX('Run Reconcile'!A$2:A2488, MATCH($B948, 'Run Reconcile'!B$2:B2488, 0)+Z948, 1), IFERROR(0/0,""))
</f>
        <v/>
      </c>
      <c r="V948" s="474" t="str">
        <f t="shared" si="5"/>
        <v>RUN-FLMP_2022-03-24_APS-086</v>
      </c>
      <c r="Y948" s="89" t="str">
        <f t="shared" si="867"/>
        <v/>
      </c>
      <c r="Z948" s="60" t="str">
        <f t="shared" si="7"/>
        <v/>
      </c>
      <c r="AA948" s="60" t="str">
        <f t="shared" si="8"/>
        <v/>
      </c>
      <c r="AB948" s="60" t="str">
        <f t="shared" si="9"/>
        <v/>
      </c>
      <c r="AC948" s="30" t="str">
        <f t="shared" ref="AC948:AD948" si="1304">IF(_xlfn.ISFORMULA(S948),IFERROR(0/0,""),TRUE)</f>
        <v/>
      </c>
      <c r="AD948" s="30" t="str">
        <f t="shared" si="1304"/>
        <v/>
      </c>
      <c r="AE948" s="475" t="str">
        <f>IFERROR(__xludf.DUMMYFUNCTION("""COMPUTED_VALUE"""),"CRLN")</f>
        <v>CRLN</v>
      </c>
      <c r="AF948" s="476"/>
      <c r="AG948" s="474" t="s">
        <v>192</v>
      </c>
      <c r="AH948" s="138" t="str">
        <f t="shared" si="11"/>
        <v/>
      </c>
    </row>
    <row r="949">
      <c r="A949" s="103" t="str">
        <f>IFERROR(__xludf.DUMMYFUNCTION("""COMPUTED_VALUE"""),"FLB6859")</f>
        <v>FLB6859</v>
      </c>
      <c r="B949" s="468">
        <f>IFERROR(__xludf.DUMMYFUNCTION("""COMPUTED_VALUE"""),44644.0)</f>
        <v>44644</v>
      </c>
      <c r="C949" s="469">
        <f>IFERROR(__xludf.DUMMYFUNCTION("""COMPUTED_VALUE"""),0.3489467592592593)</f>
        <v>0.3489467593</v>
      </c>
      <c r="D949" s="103" t="str">
        <f>IFERROR(__xludf.DUMMYFUNCTION("""COMPUTED_VALUE"""),"SpFLMP402134")</f>
        <v>SpFLMP402134</v>
      </c>
      <c r="E949" s="103"/>
      <c r="F949" s="103"/>
      <c r="G949" s="103" t="str">
        <f>IFERROR(__xludf.DUMMYFUNCTION("""COMPUTED_VALUE"""),"Negative")</f>
        <v>Negative</v>
      </c>
      <c r="H949" s="131" t="str">
        <f>IFERROR(__xludf.DUMMYFUNCTION("""COMPUTED_VALUE"""),"Negative")</f>
        <v>Negative</v>
      </c>
      <c r="I949" s="468">
        <f>IFERROR(__xludf.DUMMYFUNCTION("""COMPUTED_VALUE"""),44644.0)</f>
        <v>44644</v>
      </c>
      <c r="J949" s="470">
        <f>IFERROR(__xludf.DUMMYFUNCTION("""COMPUTED_VALUE"""),0.48993055555555554)</f>
        <v>0.4899305556</v>
      </c>
      <c r="K949" s="16"/>
      <c r="L949" s="8"/>
      <c r="M949" s="69"/>
      <c r="N949" s="69">
        <f>IFERROR(__xludf.DUMMYFUNCTION("""COMPUTED_VALUE"""),2.0)</f>
        <v>2</v>
      </c>
      <c r="O949" s="69" t="str">
        <f t="shared" si="3"/>
        <v/>
      </c>
      <c r="P949" s="471">
        <f>IFERROR(__xludf.DUMMYFUNCTION("""COMPUTED_VALUE"""),0.0)</f>
        <v>0</v>
      </c>
      <c r="Q949" s="274" t="b">
        <f>VLOOKUP($B949,'Run Reconcile'!B$2:O2488,14,FALSE)</f>
        <v>1</v>
      </c>
      <c r="R949" s="472" t="str">
        <f t="array" ref="R949">IF($Q949, INDEX('Run Reconcile'!A$2:A2488,MATCH(B949,'Run Reconcile'!B$2:B2488,0),1),IFERROR(0/0,""))</f>
        <v>RUN-FLMP_2022-03-24_APS-086</v>
      </c>
      <c r="S949" s="473" t="str">
        <f t="shared" si="694"/>
        <v/>
      </c>
      <c r="T949" s="473" t="str">
        <f t="shared" si="698"/>
        <v/>
      </c>
      <c r="U949" s="275" t="str">
        <f t="array" ref="U949">IF(ISBLANK($R949), INDEX('Run Reconcile'!A$2:A2488, MATCH($B949, 'Run Reconcile'!B$2:B2488, 0)+Z949, 1), IFERROR(0/0,""))
</f>
        <v/>
      </c>
      <c r="V949" s="474" t="str">
        <f t="shared" si="5"/>
        <v>RUN-FLMP_2022-03-24_APS-086</v>
      </c>
      <c r="Y949" s="89" t="str">
        <f t="shared" si="867"/>
        <v/>
      </c>
      <c r="Z949" s="60" t="str">
        <f t="shared" si="7"/>
        <v/>
      </c>
      <c r="AA949" s="60" t="str">
        <f t="shared" si="8"/>
        <v/>
      </c>
      <c r="AB949" s="60" t="str">
        <f t="shared" si="9"/>
        <v/>
      </c>
      <c r="AC949" s="30" t="str">
        <f t="shared" ref="AC949:AD949" si="1305">IF(_xlfn.ISFORMULA(S949),IFERROR(0/0,""),TRUE)</f>
        <v/>
      </c>
      <c r="AD949" s="30" t="str">
        <f t="shared" si="1305"/>
        <v/>
      </c>
      <c r="AE949" s="475" t="str">
        <f>IFERROR(__xludf.DUMMYFUNCTION("""COMPUTED_VALUE"""),"CRLN")</f>
        <v>CRLN</v>
      </c>
      <c r="AF949" s="476"/>
      <c r="AG949" s="474" t="s">
        <v>192</v>
      </c>
      <c r="AH949" s="138" t="str">
        <f t="shared" si="11"/>
        <v/>
      </c>
    </row>
    <row r="950">
      <c r="A950" s="103" t="str">
        <f>IFERROR(__xludf.DUMMYFUNCTION("""COMPUTED_VALUE"""),"FLB4962")</f>
        <v>FLB4962</v>
      </c>
      <c r="B950" s="468">
        <f>IFERROR(__xludf.DUMMYFUNCTION("""COMPUTED_VALUE"""),44644.0)</f>
        <v>44644</v>
      </c>
      <c r="C950" s="469">
        <f>IFERROR(__xludf.DUMMYFUNCTION("""COMPUTED_VALUE"""),0.3492476851851852)</f>
        <v>0.3492476852</v>
      </c>
      <c r="D950" s="103" t="str">
        <f>IFERROR(__xludf.DUMMYFUNCTION("""COMPUTED_VALUE"""),"SpFLMP309785")</f>
        <v>SpFLMP309785</v>
      </c>
      <c r="E950" s="103"/>
      <c r="F950" s="103"/>
      <c r="G950" s="103" t="str">
        <f>IFERROR(__xludf.DUMMYFUNCTION("""COMPUTED_VALUE"""),"Negative")</f>
        <v>Negative</v>
      </c>
      <c r="H950" s="131" t="str">
        <f>IFERROR(__xludf.DUMMYFUNCTION("""COMPUTED_VALUE"""),"Negative")</f>
        <v>Negative</v>
      </c>
      <c r="I950" s="468">
        <f>IFERROR(__xludf.DUMMYFUNCTION("""COMPUTED_VALUE"""),44644.0)</f>
        <v>44644</v>
      </c>
      <c r="J950" s="470">
        <f>IFERROR(__xludf.DUMMYFUNCTION("""COMPUTED_VALUE"""),0.48993055555555554)</f>
        <v>0.4899305556</v>
      </c>
      <c r="K950" s="16"/>
      <c r="L950" s="8"/>
      <c r="M950" s="69"/>
      <c r="N950" s="69">
        <f>IFERROR(__xludf.DUMMYFUNCTION("""COMPUTED_VALUE"""),2.0)</f>
        <v>2</v>
      </c>
      <c r="O950" s="69" t="str">
        <f t="shared" si="3"/>
        <v/>
      </c>
      <c r="P950" s="471">
        <f>IFERROR(__xludf.DUMMYFUNCTION("""COMPUTED_VALUE"""),0.0)</f>
        <v>0</v>
      </c>
      <c r="Q950" s="274" t="b">
        <f>VLOOKUP($B950,'Run Reconcile'!B$2:O2488,14,FALSE)</f>
        <v>1</v>
      </c>
      <c r="R950" s="472" t="str">
        <f t="array" ref="R950">IF($Q950, INDEX('Run Reconcile'!A$2:A2488,MATCH(B950,'Run Reconcile'!B$2:B2488,0),1),IFERROR(0/0,""))</f>
        <v>RUN-FLMP_2022-03-24_APS-086</v>
      </c>
      <c r="S950" s="473" t="str">
        <f t="shared" si="694"/>
        <v/>
      </c>
      <c r="T950" s="473" t="str">
        <f t="shared" si="698"/>
        <v/>
      </c>
      <c r="U950" s="275" t="str">
        <f t="array" ref="U950">IF(ISBLANK($R950), INDEX('Run Reconcile'!A$2:A2488, MATCH($B950, 'Run Reconcile'!B$2:B2488, 0)+Z950, 1), IFERROR(0/0,""))
</f>
        <v/>
      </c>
      <c r="V950" s="474" t="str">
        <f t="shared" si="5"/>
        <v>RUN-FLMP_2022-03-24_APS-086</v>
      </c>
      <c r="Y950" s="89" t="str">
        <f t="shared" si="867"/>
        <v/>
      </c>
      <c r="Z950" s="60" t="str">
        <f t="shared" si="7"/>
        <v/>
      </c>
      <c r="AA950" s="60" t="str">
        <f t="shared" si="8"/>
        <v/>
      </c>
      <c r="AB950" s="60" t="str">
        <f t="shared" si="9"/>
        <v/>
      </c>
      <c r="AC950" s="30" t="str">
        <f t="shared" ref="AC950:AD950" si="1306">IF(_xlfn.ISFORMULA(S950),IFERROR(0/0,""),TRUE)</f>
        <v/>
      </c>
      <c r="AD950" s="30" t="str">
        <f t="shared" si="1306"/>
        <v/>
      </c>
      <c r="AE950" s="475" t="str">
        <f>IFERROR(__xludf.DUMMYFUNCTION("""COMPUTED_VALUE"""),"CRLN")</f>
        <v>CRLN</v>
      </c>
      <c r="AF950" s="476"/>
      <c r="AG950" s="474" t="s">
        <v>192</v>
      </c>
      <c r="AH950" s="138" t="str">
        <f t="shared" si="11"/>
        <v/>
      </c>
    </row>
    <row r="951">
      <c r="A951" s="103" t="str">
        <f>IFERROR(__xludf.DUMMYFUNCTION("""COMPUTED_VALUE"""),"FLB6802")</f>
        <v>FLB6802</v>
      </c>
      <c r="B951" s="468">
        <f>IFERROR(__xludf.DUMMYFUNCTION("""COMPUTED_VALUE"""),44644.0)</f>
        <v>44644</v>
      </c>
      <c r="C951" s="469">
        <f>IFERROR(__xludf.DUMMYFUNCTION("""COMPUTED_VALUE"""),0.35337962962962965)</f>
        <v>0.3533796296</v>
      </c>
      <c r="D951" s="103" t="str">
        <f>IFERROR(__xludf.DUMMYFUNCTION("""COMPUTED_VALUE"""),"SpFLMP939619")</f>
        <v>SpFLMP939619</v>
      </c>
      <c r="E951" s="103"/>
      <c r="F951" s="103"/>
      <c r="G951" s="103" t="str">
        <f>IFERROR(__xludf.DUMMYFUNCTION("""COMPUTED_VALUE"""),"Negative")</f>
        <v>Negative</v>
      </c>
      <c r="H951" s="131" t="str">
        <f>IFERROR(__xludf.DUMMYFUNCTION("""COMPUTED_VALUE"""),"Negative")</f>
        <v>Negative</v>
      </c>
      <c r="I951" s="468">
        <f>IFERROR(__xludf.DUMMYFUNCTION("""COMPUTED_VALUE"""),44644.0)</f>
        <v>44644</v>
      </c>
      <c r="J951" s="470">
        <f>IFERROR(__xludf.DUMMYFUNCTION("""COMPUTED_VALUE"""),0.48993055555555554)</f>
        <v>0.4899305556</v>
      </c>
      <c r="K951" s="16"/>
      <c r="L951" s="8"/>
      <c r="M951" s="69"/>
      <c r="N951" s="69">
        <f>IFERROR(__xludf.DUMMYFUNCTION("""COMPUTED_VALUE"""),1.0)</f>
        <v>1</v>
      </c>
      <c r="O951" s="69" t="str">
        <f t="shared" si="3"/>
        <v/>
      </c>
      <c r="P951" s="471">
        <f>IFERROR(__xludf.DUMMYFUNCTION("""COMPUTED_VALUE"""),0.0)</f>
        <v>0</v>
      </c>
      <c r="Q951" s="274" t="b">
        <f>VLOOKUP($B951,'Run Reconcile'!B$2:O2488,14,FALSE)</f>
        <v>1</v>
      </c>
      <c r="R951" s="472" t="str">
        <f t="array" ref="R951">IF($Q951, INDEX('Run Reconcile'!A$2:A2488,MATCH(B951,'Run Reconcile'!B$2:B2488,0),1),IFERROR(0/0,""))</f>
        <v>RUN-FLMP_2022-03-24_APS-086</v>
      </c>
      <c r="S951" s="473" t="str">
        <f t="shared" si="694"/>
        <v/>
      </c>
      <c r="T951" s="473" t="str">
        <f t="shared" si="698"/>
        <v/>
      </c>
      <c r="U951" s="275" t="str">
        <f t="array" ref="U951">IF(ISBLANK($R951), INDEX('Run Reconcile'!A$2:A2488, MATCH($B951, 'Run Reconcile'!B$2:B2488, 0)+Z951, 1), IFERROR(0/0,""))
</f>
        <v/>
      </c>
      <c r="V951" s="474" t="str">
        <f t="shared" si="5"/>
        <v>RUN-FLMP_2022-03-24_APS-086</v>
      </c>
      <c r="Y951" s="89" t="str">
        <f t="shared" si="867"/>
        <v/>
      </c>
      <c r="Z951" s="60" t="str">
        <f t="shared" si="7"/>
        <v/>
      </c>
      <c r="AA951" s="60" t="str">
        <f t="shared" si="8"/>
        <v/>
      </c>
      <c r="AB951" s="60" t="str">
        <f t="shared" si="9"/>
        <v/>
      </c>
      <c r="AC951" s="30" t="str">
        <f t="shared" ref="AC951:AD951" si="1307">IF(_xlfn.ISFORMULA(S951),IFERROR(0/0,""),TRUE)</f>
        <v/>
      </c>
      <c r="AD951" s="30" t="str">
        <f t="shared" si="1307"/>
        <v/>
      </c>
      <c r="AE951" s="475" t="str">
        <f>IFERROR(__xludf.DUMMYFUNCTION("""COMPUTED_VALUE"""),"CRLN")</f>
        <v>CRLN</v>
      </c>
      <c r="AF951" s="476"/>
      <c r="AG951" s="474" t="s">
        <v>192</v>
      </c>
      <c r="AH951" s="138" t="str">
        <f t="shared" si="11"/>
        <v/>
      </c>
    </row>
    <row r="952">
      <c r="A952" s="103" t="str">
        <f>IFERROR(__xludf.DUMMYFUNCTION("""COMPUTED_VALUE"""),"FLB7175")</f>
        <v>FLB7175</v>
      </c>
      <c r="B952" s="468">
        <f>IFERROR(__xludf.DUMMYFUNCTION("""COMPUTED_VALUE"""),44644.0)</f>
        <v>44644</v>
      </c>
      <c r="C952" s="469">
        <f>IFERROR(__xludf.DUMMYFUNCTION("""COMPUTED_VALUE"""),0.35439814814814813)</f>
        <v>0.3543981481</v>
      </c>
      <c r="D952" s="103" t="str">
        <f>IFERROR(__xludf.DUMMYFUNCTION("""COMPUTED_VALUE"""),"SpFLMP604497")</f>
        <v>SpFLMP604497</v>
      </c>
      <c r="E952" s="103"/>
      <c r="F952" s="103"/>
      <c r="G952" s="103" t="str">
        <f>IFERROR(__xludf.DUMMYFUNCTION("""COMPUTED_VALUE"""),"Negative")</f>
        <v>Negative</v>
      </c>
      <c r="H952" s="131" t="str">
        <f>IFERROR(__xludf.DUMMYFUNCTION("""COMPUTED_VALUE"""),"Negative")</f>
        <v>Negative</v>
      </c>
      <c r="I952" s="468">
        <f>IFERROR(__xludf.DUMMYFUNCTION("""COMPUTED_VALUE"""),44644.0)</f>
        <v>44644</v>
      </c>
      <c r="J952" s="470">
        <f>IFERROR(__xludf.DUMMYFUNCTION("""COMPUTED_VALUE"""),0.48994212962962963)</f>
        <v>0.4899421296</v>
      </c>
      <c r="K952" s="16"/>
      <c r="L952" s="8"/>
      <c r="M952" s="69"/>
      <c r="N952" s="69">
        <f>IFERROR(__xludf.DUMMYFUNCTION("""COMPUTED_VALUE"""),3.0)</f>
        <v>3</v>
      </c>
      <c r="O952" s="69" t="str">
        <f t="shared" si="3"/>
        <v/>
      </c>
      <c r="P952" s="471">
        <f>IFERROR(__xludf.DUMMYFUNCTION("""COMPUTED_VALUE"""),0.0)</f>
        <v>0</v>
      </c>
      <c r="Q952" s="274" t="b">
        <f>VLOOKUP($B952,'Run Reconcile'!B$2:O2488,14,FALSE)</f>
        <v>1</v>
      </c>
      <c r="R952" s="472" t="str">
        <f t="array" ref="R952">IF($Q952, INDEX('Run Reconcile'!A$2:A2488,MATCH(B952,'Run Reconcile'!B$2:B2488,0),1),IFERROR(0/0,""))</f>
        <v>RUN-FLMP_2022-03-24_APS-086</v>
      </c>
      <c r="S952" s="473" t="str">
        <f t="shared" si="694"/>
        <v/>
      </c>
      <c r="T952" s="473" t="str">
        <f t="shared" si="698"/>
        <v/>
      </c>
      <c r="U952" s="275" t="str">
        <f t="array" ref="U952">IF(ISBLANK($R952), INDEX('Run Reconcile'!A$2:A2488, MATCH($B952, 'Run Reconcile'!B$2:B2488, 0)+Z952, 1), IFERROR(0/0,""))
</f>
        <v/>
      </c>
      <c r="V952" s="474" t="str">
        <f t="shared" si="5"/>
        <v>RUN-FLMP_2022-03-24_APS-086</v>
      </c>
      <c r="Y952" s="89" t="str">
        <f t="shared" si="867"/>
        <v/>
      </c>
      <c r="Z952" s="60" t="str">
        <f t="shared" si="7"/>
        <v/>
      </c>
      <c r="AA952" s="60" t="str">
        <f t="shared" si="8"/>
        <v/>
      </c>
      <c r="AB952" s="60" t="str">
        <f t="shared" si="9"/>
        <v/>
      </c>
      <c r="AC952" s="30" t="str">
        <f t="shared" ref="AC952:AD952" si="1308">IF(_xlfn.ISFORMULA(S952),IFERROR(0/0,""),TRUE)</f>
        <v/>
      </c>
      <c r="AD952" s="30" t="str">
        <f t="shared" si="1308"/>
        <v/>
      </c>
      <c r="AE952" s="475" t="str">
        <f>IFERROR(__xludf.DUMMYFUNCTION("""COMPUTED_VALUE"""),"CRLN")</f>
        <v>CRLN</v>
      </c>
      <c r="AF952" s="476"/>
      <c r="AG952" s="474" t="s">
        <v>192</v>
      </c>
      <c r="AH952" s="138" t="str">
        <f t="shared" si="11"/>
        <v/>
      </c>
    </row>
    <row r="953">
      <c r="A953" s="103" t="str">
        <f>IFERROR(__xludf.DUMMYFUNCTION("""COMPUTED_VALUE"""),"FLE349")</f>
        <v>FLE349</v>
      </c>
      <c r="B953" s="468">
        <f>IFERROR(__xludf.DUMMYFUNCTION("""COMPUTED_VALUE"""),44644.0)</f>
        <v>44644</v>
      </c>
      <c r="C953" s="469">
        <f>IFERROR(__xludf.DUMMYFUNCTION("""COMPUTED_VALUE"""),0.3568865740740741)</f>
        <v>0.3568865741</v>
      </c>
      <c r="D953" s="103" t="str">
        <f>IFERROR(__xludf.DUMMYFUNCTION("""COMPUTED_VALUE"""),"SpFLMP684798")</f>
        <v>SpFLMP684798</v>
      </c>
      <c r="E953" s="103"/>
      <c r="F953" s="103"/>
      <c r="G953" s="103" t="str">
        <f>IFERROR(__xludf.DUMMYFUNCTION("""COMPUTED_VALUE"""),"Negative")</f>
        <v>Negative</v>
      </c>
      <c r="H953" s="131" t="str">
        <f>IFERROR(__xludf.DUMMYFUNCTION("""COMPUTED_VALUE"""),"Negative")</f>
        <v>Negative</v>
      </c>
      <c r="I953" s="468">
        <f>IFERROR(__xludf.DUMMYFUNCTION("""COMPUTED_VALUE"""),44644.0)</f>
        <v>44644</v>
      </c>
      <c r="J953" s="470">
        <f>IFERROR(__xludf.DUMMYFUNCTION("""COMPUTED_VALUE"""),0.48994212962962963)</f>
        <v>0.4899421296</v>
      </c>
      <c r="K953" s="16"/>
      <c r="L953" s="8"/>
      <c r="M953" s="69"/>
      <c r="N953" s="69">
        <f>IFERROR(__xludf.DUMMYFUNCTION("""COMPUTED_VALUE"""),4.0)</f>
        <v>4</v>
      </c>
      <c r="O953" s="69" t="str">
        <f t="shared" si="3"/>
        <v/>
      </c>
      <c r="P953" s="471">
        <f>IFERROR(__xludf.DUMMYFUNCTION("""COMPUTED_VALUE"""),0.0)</f>
        <v>0</v>
      </c>
      <c r="Q953" s="274" t="b">
        <f>VLOOKUP($B953,'Run Reconcile'!B$2:O2488,14,FALSE)</f>
        <v>1</v>
      </c>
      <c r="R953" s="472" t="str">
        <f t="array" ref="R953">IF($Q953, INDEX('Run Reconcile'!A$2:A2488,MATCH(B953,'Run Reconcile'!B$2:B2488,0),1),IFERROR(0/0,""))</f>
        <v>RUN-FLMP_2022-03-24_APS-086</v>
      </c>
      <c r="S953" s="473" t="str">
        <f t="shared" si="694"/>
        <v/>
      </c>
      <c r="T953" s="473" t="str">
        <f t="shared" si="698"/>
        <v/>
      </c>
      <c r="U953" s="275" t="str">
        <f t="array" ref="U953">IF(ISBLANK($R953), INDEX('Run Reconcile'!A$2:A2488, MATCH($B953, 'Run Reconcile'!B$2:B2488, 0)+Z953, 1), IFERROR(0/0,""))
</f>
        <v/>
      </c>
      <c r="V953" s="474" t="str">
        <f t="shared" si="5"/>
        <v>RUN-FLMP_2022-03-24_APS-086</v>
      </c>
      <c r="Y953" s="89" t="str">
        <f t="shared" si="867"/>
        <v/>
      </c>
      <c r="Z953" s="60" t="str">
        <f t="shared" si="7"/>
        <v/>
      </c>
      <c r="AA953" s="60" t="str">
        <f t="shared" si="8"/>
        <v/>
      </c>
      <c r="AB953" s="60" t="str">
        <f t="shared" si="9"/>
        <v/>
      </c>
      <c r="AC953" s="30" t="str">
        <f t="shared" ref="AC953:AD953" si="1309">IF(_xlfn.ISFORMULA(S953),IFERROR(0/0,""),TRUE)</f>
        <v/>
      </c>
      <c r="AD953" s="30" t="str">
        <f t="shared" si="1309"/>
        <v/>
      </c>
      <c r="AE953" s="475" t="str">
        <f>IFERROR(__xludf.DUMMYFUNCTION("""COMPUTED_VALUE"""),"CRLN")</f>
        <v>CRLN</v>
      </c>
      <c r="AF953" s="476"/>
      <c r="AG953" s="474" t="s">
        <v>192</v>
      </c>
      <c r="AH953" s="138" t="str">
        <f t="shared" si="11"/>
        <v/>
      </c>
    </row>
    <row r="954">
      <c r="A954" s="103" t="str">
        <f>IFERROR(__xludf.DUMMYFUNCTION("""COMPUTED_VALUE"""),"FLB6777")</f>
        <v>FLB6777</v>
      </c>
      <c r="B954" s="468">
        <f>IFERROR(__xludf.DUMMYFUNCTION("""COMPUTED_VALUE"""),44644.0)</f>
        <v>44644</v>
      </c>
      <c r="C954" s="469">
        <f>IFERROR(__xludf.DUMMYFUNCTION("""COMPUTED_VALUE"""),0.35957175925925927)</f>
        <v>0.3595717593</v>
      </c>
      <c r="D954" s="103" t="str">
        <f>IFERROR(__xludf.DUMMYFUNCTION("""COMPUTED_VALUE"""),"SpFLMP596479")</f>
        <v>SpFLMP596479</v>
      </c>
      <c r="E954" s="103"/>
      <c r="F954" s="103"/>
      <c r="G954" s="103" t="str">
        <f>IFERROR(__xludf.DUMMYFUNCTION("""COMPUTED_VALUE"""),"Negative")</f>
        <v>Negative</v>
      </c>
      <c r="H954" s="131" t="str">
        <f>IFERROR(__xludf.DUMMYFUNCTION("""COMPUTED_VALUE"""),"Negative")</f>
        <v>Negative</v>
      </c>
      <c r="I954" s="468">
        <f>IFERROR(__xludf.DUMMYFUNCTION("""COMPUTED_VALUE"""),44644.0)</f>
        <v>44644</v>
      </c>
      <c r="J954" s="470">
        <f>IFERROR(__xludf.DUMMYFUNCTION("""COMPUTED_VALUE"""),0.48994212962962963)</f>
        <v>0.4899421296</v>
      </c>
      <c r="K954" s="16"/>
      <c r="L954" s="8"/>
      <c r="M954" s="69"/>
      <c r="N954" s="69">
        <f>IFERROR(__xludf.DUMMYFUNCTION("""COMPUTED_VALUE"""),3.0)</f>
        <v>3</v>
      </c>
      <c r="O954" s="69" t="str">
        <f t="shared" si="3"/>
        <v/>
      </c>
      <c r="P954" s="471">
        <f>IFERROR(__xludf.DUMMYFUNCTION("""COMPUTED_VALUE"""),0.0)</f>
        <v>0</v>
      </c>
      <c r="Q954" s="274" t="b">
        <f>VLOOKUP($B954,'Run Reconcile'!B$2:O2488,14,FALSE)</f>
        <v>1</v>
      </c>
      <c r="R954" s="472" t="str">
        <f t="array" ref="R954">IF($Q954, INDEX('Run Reconcile'!A$2:A2488,MATCH(B954,'Run Reconcile'!B$2:B2488,0),1),IFERROR(0/0,""))</f>
        <v>RUN-FLMP_2022-03-24_APS-086</v>
      </c>
      <c r="S954" s="473" t="str">
        <f t="shared" si="694"/>
        <v/>
      </c>
      <c r="T954" s="473" t="str">
        <f t="shared" si="698"/>
        <v/>
      </c>
      <c r="U954" s="275" t="str">
        <f t="array" ref="U954">IF(ISBLANK($R954), INDEX('Run Reconcile'!A$2:A2488, MATCH($B954, 'Run Reconcile'!B$2:B2488, 0)+Z954, 1), IFERROR(0/0,""))
</f>
        <v/>
      </c>
      <c r="V954" s="474" t="str">
        <f t="shared" si="5"/>
        <v>RUN-FLMP_2022-03-24_APS-086</v>
      </c>
      <c r="Y954" s="89" t="str">
        <f t="shared" si="867"/>
        <v/>
      </c>
      <c r="Z954" s="60" t="str">
        <f t="shared" si="7"/>
        <v/>
      </c>
      <c r="AA954" s="60" t="str">
        <f t="shared" si="8"/>
        <v/>
      </c>
      <c r="AB954" s="60" t="str">
        <f t="shared" si="9"/>
        <v/>
      </c>
      <c r="AC954" s="30" t="str">
        <f t="shared" ref="AC954:AD954" si="1310">IF(_xlfn.ISFORMULA(S954),IFERROR(0/0,""),TRUE)</f>
        <v/>
      </c>
      <c r="AD954" s="30" t="str">
        <f t="shared" si="1310"/>
        <v/>
      </c>
      <c r="AE954" s="475" t="str">
        <f>IFERROR(__xludf.DUMMYFUNCTION("""COMPUTED_VALUE"""),"CRLN")</f>
        <v>CRLN</v>
      </c>
      <c r="AF954" s="476"/>
      <c r="AG954" s="474" t="s">
        <v>192</v>
      </c>
      <c r="AH954" s="138" t="str">
        <f t="shared" si="11"/>
        <v/>
      </c>
    </row>
    <row r="955">
      <c r="A955" s="103" t="str">
        <f>IFERROR(__xludf.DUMMYFUNCTION("""COMPUTED_VALUE"""),"FLB7188")</f>
        <v>FLB7188</v>
      </c>
      <c r="B955" s="468">
        <f>IFERROR(__xludf.DUMMYFUNCTION("""COMPUTED_VALUE"""),44644.0)</f>
        <v>44644</v>
      </c>
      <c r="C955" s="469">
        <f>IFERROR(__xludf.DUMMYFUNCTION("""COMPUTED_VALUE"""),0.3645486111111111)</f>
        <v>0.3645486111</v>
      </c>
      <c r="D955" s="103" t="str">
        <f>IFERROR(__xludf.DUMMYFUNCTION("""COMPUTED_VALUE"""),"SpFLMP600756")</f>
        <v>SpFLMP600756</v>
      </c>
      <c r="E955" s="103"/>
      <c r="F955" s="103"/>
      <c r="G955" s="103" t="str">
        <f>IFERROR(__xludf.DUMMYFUNCTION("""COMPUTED_VALUE"""),"Negative")</f>
        <v>Negative</v>
      </c>
      <c r="H955" s="131" t="str">
        <f>IFERROR(__xludf.DUMMYFUNCTION("""COMPUTED_VALUE"""),"Negative")</f>
        <v>Negative</v>
      </c>
      <c r="I955" s="468">
        <f>IFERROR(__xludf.DUMMYFUNCTION("""COMPUTED_VALUE"""),44644.0)</f>
        <v>44644</v>
      </c>
      <c r="J955" s="470">
        <f>IFERROR(__xludf.DUMMYFUNCTION("""COMPUTED_VALUE"""),0.48994212962962963)</f>
        <v>0.4899421296</v>
      </c>
      <c r="K955" s="16"/>
      <c r="L955" s="8"/>
      <c r="M955" s="69"/>
      <c r="N955" s="69">
        <f>IFERROR(__xludf.DUMMYFUNCTION("""COMPUTED_VALUE"""),2.0)</f>
        <v>2</v>
      </c>
      <c r="O955" s="69" t="str">
        <f t="shared" si="3"/>
        <v/>
      </c>
      <c r="P955" s="471">
        <f>IFERROR(__xludf.DUMMYFUNCTION("""COMPUTED_VALUE"""),0.0)</f>
        <v>0</v>
      </c>
      <c r="Q955" s="274" t="b">
        <f>VLOOKUP($B955,'Run Reconcile'!B$2:O2488,14,FALSE)</f>
        <v>1</v>
      </c>
      <c r="R955" s="472" t="str">
        <f t="array" ref="R955">IF($Q955, INDEX('Run Reconcile'!A$2:A2488,MATCH(B955,'Run Reconcile'!B$2:B2488,0),1),IFERROR(0/0,""))</f>
        <v>RUN-FLMP_2022-03-24_APS-086</v>
      </c>
      <c r="S955" s="473" t="str">
        <f t="shared" si="694"/>
        <v/>
      </c>
      <c r="T955" s="473" t="str">
        <f t="shared" si="698"/>
        <v/>
      </c>
      <c r="U955" s="275" t="str">
        <f t="array" ref="U955">IF(ISBLANK($R955), INDEX('Run Reconcile'!A$2:A2488, MATCH($B955, 'Run Reconcile'!B$2:B2488, 0)+Z955, 1), IFERROR(0/0,""))
</f>
        <v/>
      </c>
      <c r="V955" s="474" t="str">
        <f t="shared" si="5"/>
        <v>RUN-FLMP_2022-03-24_APS-086</v>
      </c>
      <c r="Y955" s="89" t="str">
        <f t="shared" si="867"/>
        <v/>
      </c>
      <c r="Z955" s="60" t="str">
        <f t="shared" si="7"/>
        <v/>
      </c>
      <c r="AA955" s="60" t="str">
        <f t="shared" si="8"/>
        <v/>
      </c>
      <c r="AB955" s="60" t="str">
        <f t="shared" si="9"/>
        <v/>
      </c>
      <c r="AC955" s="30" t="str">
        <f t="shared" ref="AC955:AD955" si="1311">IF(_xlfn.ISFORMULA(S955),IFERROR(0/0,""),TRUE)</f>
        <v/>
      </c>
      <c r="AD955" s="30" t="str">
        <f t="shared" si="1311"/>
        <v/>
      </c>
      <c r="AE955" s="475" t="str">
        <f>IFERROR(__xludf.DUMMYFUNCTION("""COMPUTED_VALUE"""),"CRLN")</f>
        <v>CRLN</v>
      </c>
      <c r="AF955" s="476"/>
      <c r="AG955" s="474" t="s">
        <v>192</v>
      </c>
      <c r="AH955" s="138" t="str">
        <f t="shared" si="11"/>
        <v/>
      </c>
    </row>
    <row r="956">
      <c r="A956" s="103" t="str">
        <f>IFERROR(__xludf.DUMMYFUNCTION("""COMPUTED_VALUE"""),"FLB4957")</f>
        <v>FLB4957</v>
      </c>
      <c r="B956" s="468">
        <f>IFERROR(__xludf.DUMMYFUNCTION("""COMPUTED_VALUE"""),44644.0)</f>
        <v>44644</v>
      </c>
      <c r="C956" s="469">
        <f>IFERROR(__xludf.DUMMYFUNCTION("""COMPUTED_VALUE"""),0.3688425925925926)</f>
        <v>0.3688425926</v>
      </c>
      <c r="D956" s="103" t="str">
        <f>IFERROR(__xludf.DUMMYFUNCTION("""COMPUTED_VALUE"""),"SpFLMP496039")</f>
        <v>SpFLMP496039</v>
      </c>
      <c r="E956" s="103"/>
      <c r="F956" s="103"/>
      <c r="G956" s="103" t="str">
        <f>IFERROR(__xludf.DUMMYFUNCTION("""COMPUTED_VALUE"""),"Negative")</f>
        <v>Negative</v>
      </c>
      <c r="H956" s="131" t="str">
        <f>IFERROR(__xludf.DUMMYFUNCTION("""COMPUTED_VALUE"""),"Negative")</f>
        <v>Negative</v>
      </c>
      <c r="I956" s="468">
        <f>IFERROR(__xludf.DUMMYFUNCTION("""COMPUTED_VALUE"""),44644.0)</f>
        <v>44644</v>
      </c>
      <c r="J956" s="470">
        <f>IFERROR(__xludf.DUMMYFUNCTION("""COMPUTED_VALUE"""),0.48994212962962963)</f>
        <v>0.4899421296</v>
      </c>
      <c r="K956" s="16"/>
      <c r="L956" s="8"/>
      <c r="M956" s="69"/>
      <c r="N956" s="69">
        <f>IFERROR(__xludf.DUMMYFUNCTION("""COMPUTED_VALUE"""),1.0)</f>
        <v>1</v>
      </c>
      <c r="O956" s="69" t="str">
        <f t="shared" si="3"/>
        <v/>
      </c>
      <c r="P956" s="471">
        <f>IFERROR(__xludf.DUMMYFUNCTION("""COMPUTED_VALUE"""),0.0)</f>
        <v>0</v>
      </c>
      <c r="Q956" s="274" t="b">
        <f>VLOOKUP($B956,'Run Reconcile'!B$2:O2488,14,FALSE)</f>
        <v>1</v>
      </c>
      <c r="R956" s="472" t="str">
        <f t="array" ref="R956">IF($Q956, INDEX('Run Reconcile'!A$2:A2488,MATCH(B956,'Run Reconcile'!B$2:B2488,0),1),IFERROR(0/0,""))</f>
        <v>RUN-FLMP_2022-03-24_APS-086</v>
      </c>
      <c r="S956" s="473" t="str">
        <f t="shared" si="694"/>
        <v/>
      </c>
      <c r="T956" s="473" t="str">
        <f t="shared" si="698"/>
        <v/>
      </c>
      <c r="U956" s="275" t="str">
        <f t="array" ref="U956">IF(ISBLANK($R956), INDEX('Run Reconcile'!A$2:A2488, MATCH($B956, 'Run Reconcile'!B$2:B2488, 0)+Z956, 1), IFERROR(0/0,""))
</f>
        <v/>
      </c>
      <c r="V956" s="474" t="str">
        <f t="shared" si="5"/>
        <v>RUN-FLMP_2022-03-24_APS-086</v>
      </c>
      <c r="Y956" s="89" t="str">
        <f t="shared" si="867"/>
        <v/>
      </c>
      <c r="Z956" s="60" t="str">
        <f t="shared" si="7"/>
        <v/>
      </c>
      <c r="AA956" s="60" t="str">
        <f t="shared" si="8"/>
        <v/>
      </c>
      <c r="AB956" s="60" t="str">
        <f t="shared" si="9"/>
        <v/>
      </c>
      <c r="AC956" s="30" t="str">
        <f t="shared" ref="AC956:AD956" si="1312">IF(_xlfn.ISFORMULA(S956),IFERROR(0/0,""),TRUE)</f>
        <v/>
      </c>
      <c r="AD956" s="30" t="str">
        <f t="shared" si="1312"/>
        <v/>
      </c>
      <c r="AE956" s="475" t="str">
        <f>IFERROR(__xludf.DUMMYFUNCTION("""COMPUTED_VALUE"""),"FLSP")</f>
        <v>FLSP</v>
      </c>
      <c r="AF956" s="476"/>
      <c r="AG956" s="474" t="s">
        <v>192</v>
      </c>
      <c r="AH956" s="138" t="str">
        <f t="shared" si="11"/>
        <v/>
      </c>
    </row>
    <row r="957">
      <c r="A957" s="103" t="str">
        <f>IFERROR(__xludf.DUMMYFUNCTION("""COMPUTED_VALUE"""),"FLB7148")</f>
        <v>FLB7148</v>
      </c>
      <c r="B957" s="468">
        <f>IFERROR(__xludf.DUMMYFUNCTION("""COMPUTED_VALUE"""),44644.0)</f>
        <v>44644</v>
      </c>
      <c r="C957" s="469">
        <f>IFERROR(__xludf.DUMMYFUNCTION("""COMPUTED_VALUE"""),0.3690393518518518)</f>
        <v>0.3690393519</v>
      </c>
      <c r="D957" s="103" t="str">
        <f>IFERROR(__xludf.DUMMYFUNCTION("""COMPUTED_VALUE"""),"SpFLMP946259")</f>
        <v>SpFLMP946259</v>
      </c>
      <c r="E957" s="103"/>
      <c r="F957" s="103"/>
      <c r="G957" s="103" t="str">
        <f>IFERROR(__xludf.DUMMYFUNCTION("""COMPUTED_VALUE"""),"Negative")</f>
        <v>Negative</v>
      </c>
      <c r="H957" s="131" t="str">
        <f>IFERROR(__xludf.DUMMYFUNCTION("""COMPUTED_VALUE"""),"Negative")</f>
        <v>Negative</v>
      </c>
      <c r="I957" s="468">
        <f>IFERROR(__xludf.DUMMYFUNCTION("""COMPUTED_VALUE"""),44644.0)</f>
        <v>44644</v>
      </c>
      <c r="J957" s="470">
        <f>IFERROR(__xludf.DUMMYFUNCTION("""COMPUTED_VALUE"""),0.48994212962962963)</f>
        <v>0.4899421296</v>
      </c>
      <c r="K957" s="16"/>
      <c r="L957" s="8"/>
      <c r="M957" s="69"/>
      <c r="N957" s="69">
        <f>IFERROR(__xludf.DUMMYFUNCTION("""COMPUTED_VALUE"""),2.0)</f>
        <v>2</v>
      </c>
      <c r="O957" s="69" t="str">
        <f t="shared" si="3"/>
        <v/>
      </c>
      <c r="P957" s="471">
        <f>IFERROR(__xludf.DUMMYFUNCTION("""COMPUTED_VALUE"""),0.0)</f>
        <v>0</v>
      </c>
      <c r="Q957" s="274" t="b">
        <f>VLOOKUP($B957,'Run Reconcile'!B$2:O2488,14,FALSE)</f>
        <v>1</v>
      </c>
      <c r="R957" s="472" t="str">
        <f t="array" ref="R957">IF($Q957, INDEX('Run Reconcile'!A$2:A2488,MATCH(B957,'Run Reconcile'!B$2:B2488,0),1),IFERROR(0/0,""))</f>
        <v>RUN-FLMP_2022-03-24_APS-086</v>
      </c>
      <c r="S957" s="473" t="str">
        <f t="shared" si="694"/>
        <v/>
      </c>
      <c r="T957" s="473" t="str">
        <f t="shared" si="698"/>
        <v/>
      </c>
      <c r="U957" s="275" t="str">
        <f t="array" ref="U957">IF(ISBLANK($R957), INDEX('Run Reconcile'!A$2:A2488, MATCH($B957, 'Run Reconcile'!B$2:B2488, 0)+Z957, 1), IFERROR(0/0,""))
</f>
        <v/>
      </c>
      <c r="V957" s="474" t="str">
        <f t="shared" si="5"/>
        <v>RUN-FLMP_2022-03-24_APS-086</v>
      </c>
      <c r="Y957" s="89" t="str">
        <f t="shared" si="867"/>
        <v/>
      </c>
      <c r="Z957" s="60" t="str">
        <f t="shared" si="7"/>
        <v/>
      </c>
      <c r="AA957" s="60" t="str">
        <f t="shared" si="8"/>
        <v/>
      </c>
      <c r="AB957" s="60" t="str">
        <f t="shared" si="9"/>
        <v/>
      </c>
      <c r="AC957" s="30" t="str">
        <f t="shared" ref="AC957:AD957" si="1313">IF(_xlfn.ISFORMULA(S957),IFERROR(0/0,""),TRUE)</f>
        <v/>
      </c>
      <c r="AD957" s="30" t="str">
        <f t="shared" si="1313"/>
        <v/>
      </c>
      <c r="AE957" s="475" t="str">
        <f>IFERROR(__xludf.DUMMYFUNCTION("""COMPUTED_VALUE"""),"CRLN")</f>
        <v>CRLN</v>
      </c>
      <c r="AF957" s="476"/>
      <c r="AG957" s="474" t="s">
        <v>192</v>
      </c>
      <c r="AH957" s="138" t="str">
        <f t="shared" si="11"/>
        <v/>
      </c>
    </row>
    <row r="958">
      <c r="A958" s="103" t="str">
        <f>IFERROR(__xludf.DUMMYFUNCTION("""COMPUTED_VALUE"""),"FLB5988")</f>
        <v>FLB5988</v>
      </c>
      <c r="B958" s="468">
        <f>IFERROR(__xludf.DUMMYFUNCTION("""COMPUTED_VALUE"""),44644.0)</f>
        <v>44644</v>
      </c>
      <c r="C958" s="469">
        <f>IFERROR(__xludf.DUMMYFUNCTION("""COMPUTED_VALUE"""),0.37462962962962965)</f>
        <v>0.3746296296</v>
      </c>
      <c r="D958" s="103" t="str">
        <f>IFERROR(__xludf.DUMMYFUNCTION("""COMPUTED_VALUE"""),"SpFLMP572444")</f>
        <v>SpFLMP572444</v>
      </c>
      <c r="E958" s="103"/>
      <c r="F958" s="103"/>
      <c r="G958" s="103" t="str">
        <f>IFERROR(__xludf.DUMMYFUNCTION("""COMPUTED_VALUE"""),"Negative")</f>
        <v>Negative</v>
      </c>
      <c r="H958" s="131" t="str">
        <f>IFERROR(__xludf.DUMMYFUNCTION("""COMPUTED_VALUE"""),"Negative")</f>
        <v>Negative</v>
      </c>
      <c r="I958" s="468">
        <f>IFERROR(__xludf.DUMMYFUNCTION("""COMPUTED_VALUE"""),44644.0)</f>
        <v>44644</v>
      </c>
      <c r="J958" s="470">
        <f>IFERROR(__xludf.DUMMYFUNCTION("""COMPUTED_VALUE"""),0.48994212962962963)</f>
        <v>0.4899421296</v>
      </c>
      <c r="K958" s="16"/>
      <c r="L958" s="8"/>
      <c r="M958" s="69"/>
      <c r="N958" s="69">
        <f>IFERROR(__xludf.DUMMYFUNCTION("""COMPUTED_VALUE"""),2.0)</f>
        <v>2</v>
      </c>
      <c r="O958" s="69" t="str">
        <f t="shared" si="3"/>
        <v/>
      </c>
      <c r="P958" s="471">
        <f>IFERROR(__xludf.DUMMYFUNCTION("""COMPUTED_VALUE"""),0.0)</f>
        <v>0</v>
      </c>
      <c r="Q958" s="274" t="b">
        <f>VLOOKUP($B958,'Run Reconcile'!B$2:O2488,14,FALSE)</f>
        <v>1</v>
      </c>
      <c r="R958" s="472" t="str">
        <f t="array" ref="R958">IF($Q958, INDEX('Run Reconcile'!A$2:A2488,MATCH(B958,'Run Reconcile'!B$2:B2488,0),1),IFERROR(0/0,""))</f>
        <v>RUN-FLMP_2022-03-24_APS-086</v>
      </c>
      <c r="S958" s="473" t="str">
        <f t="shared" si="694"/>
        <v/>
      </c>
      <c r="T958" s="473" t="str">
        <f t="shared" si="698"/>
        <v/>
      </c>
      <c r="U958" s="275" t="str">
        <f t="array" ref="U958">IF(ISBLANK($R958), INDEX('Run Reconcile'!A$2:A2488, MATCH($B958, 'Run Reconcile'!B$2:B2488, 0)+Z958, 1), IFERROR(0/0,""))
</f>
        <v/>
      </c>
      <c r="V958" s="474" t="str">
        <f t="shared" si="5"/>
        <v>RUN-FLMP_2022-03-24_APS-086</v>
      </c>
      <c r="Y958" s="89" t="str">
        <f t="shared" si="867"/>
        <v/>
      </c>
      <c r="Z958" s="60" t="str">
        <f t="shared" si="7"/>
        <v/>
      </c>
      <c r="AA958" s="60" t="str">
        <f t="shared" si="8"/>
        <v/>
      </c>
      <c r="AB958" s="60" t="str">
        <f t="shared" si="9"/>
        <v/>
      </c>
      <c r="AC958" s="30" t="str">
        <f t="shared" ref="AC958:AD958" si="1314">IF(_xlfn.ISFORMULA(S958),IFERROR(0/0,""),TRUE)</f>
        <v/>
      </c>
      <c r="AD958" s="30" t="str">
        <f t="shared" si="1314"/>
        <v/>
      </c>
      <c r="AE958" s="475" t="str">
        <f>IFERROR(__xludf.DUMMYFUNCTION("""COMPUTED_VALUE"""),"CRLN")</f>
        <v>CRLN</v>
      </c>
      <c r="AF958" s="476"/>
      <c r="AG958" s="474" t="s">
        <v>192</v>
      </c>
      <c r="AH958" s="138" t="str">
        <f t="shared" si="11"/>
        <v/>
      </c>
    </row>
    <row r="959">
      <c r="A959" s="103" t="str">
        <f>IFERROR(__xludf.DUMMYFUNCTION("""COMPUTED_VALUE"""),"FLB5777")</f>
        <v>FLB5777</v>
      </c>
      <c r="B959" s="468">
        <f>IFERROR(__xludf.DUMMYFUNCTION("""COMPUTED_VALUE"""),44644.0)</f>
        <v>44644</v>
      </c>
      <c r="C959" s="469">
        <f>IFERROR(__xludf.DUMMYFUNCTION("""COMPUTED_VALUE"""),0.38989583333333333)</f>
        <v>0.3898958333</v>
      </c>
      <c r="D959" s="103" t="str">
        <f>IFERROR(__xludf.DUMMYFUNCTION("""COMPUTED_VALUE"""),"SpFLMP683554")</f>
        <v>SpFLMP683554</v>
      </c>
      <c r="E959" s="103"/>
      <c r="F959" s="103"/>
      <c r="G959" s="103" t="str">
        <f>IFERROR(__xludf.DUMMYFUNCTION("""COMPUTED_VALUE"""),"Negative")</f>
        <v>Negative</v>
      </c>
      <c r="H959" s="131" t="str">
        <f>IFERROR(__xludf.DUMMYFUNCTION("""COMPUTED_VALUE"""),"Negative")</f>
        <v>Negative</v>
      </c>
      <c r="I959" s="468">
        <f>IFERROR(__xludf.DUMMYFUNCTION("""COMPUTED_VALUE"""),44655.0)</f>
        <v>44655</v>
      </c>
      <c r="J959" s="470">
        <f>IFERROR(__xludf.DUMMYFUNCTION("""COMPUTED_VALUE"""),0.43578703703703703)</f>
        <v>0.435787037</v>
      </c>
      <c r="K959" s="16"/>
      <c r="L959" s="8"/>
      <c r="M959" s="69"/>
      <c r="N959" s="69">
        <f>IFERROR(__xludf.DUMMYFUNCTION("""COMPUTED_VALUE"""),1.0)</f>
        <v>1</v>
      </c>
      <c r="O959" s="69" t="str">
        <f t="shared" si="3"/>
        <v/>
      </c>
      <c r="P959" s="471">
        <f>IFERROR(__xludf.DUMMYFUNCTION("""COMPUTED_VALUE"""),11.0)</f>
        <v>11</v>
      </c>
      <c r="Q959" s="274" t="b">
        <f>VLOOKUP($B959,'Run Reconcile'!B$2:O2488,14,FALSE)</f>
        <v>1</v>
      </c>
      <c r="R959" s="472" t="str">
        <f t="array" ref="R959">IF($Q959, INDEX('Run Reconcile'!A$2:A2488,MATCH(B959,'Run Reconcile'!B$2:B2488,0),1),IFERROR(0/0,""))</f>
        <v>RUN-FLMP_2022-03-24_APS-086</v>
      </c>
      <c r="S959" s="473" t="str">
        <f t="shared" si="694"/>
        <v/>
      </c>
      <c r="T959" s="473" t="str">
        <f t="shared" si="698"/>
        <v/>
      </c>
      <c r="U959" s="275" t="str">
        <f t="array" ref="U959">IF(ISBLANK($R959), INDEX('Run Reconcile'!A$2:A2488, MATCH($B959, 'Run Reconcile'!B$2:B2488, 0)+Z959, 1), IFERROR(0/0,""))
</f>
        <v/>
      </c>
      <c r="V959" s="474" t="str">
        <f t="shared" si="5"/>
        <v>RUN-FLMP_2022-03-24_APS-086</v>
      </c>
      <c r="Y959" s="89" t="str">
        <f t="shared" si="867"/>
        <v/>
      </c>
      <c r="Z959" s="60" t="str">
        <f t="shared" si="7"/>
        <v/>
      </c>
      <c r="AA959" s="60" t="str">
        <f t="shared" si="8"/>
        <v/>
      </c>
      <c r="AB959" s="60" t="str">
        <f t="shared" si="9"/>
        <v/>
      </c>
      <c r="AC959" s="30" t="str">
        <f t="shared" ref="AC959:AD959" si="1315">IF(_xlfn.ISFORMULA(S959),IFERROR(0/0,""),TRUE)</f>
        <v/>
      </c>
      <c r="AD959" s="30" t="str">
        <f t="shared" si="1315"/>
        <v/>
      </c>
      <c r="AE959" s="475" t="str">
        <f>IFERROR(__xludf.DUMMYFUNCTION("""COMPUTED_VALUE"""),"CRLN")</f>
        <v>CRLN</v>
      </c>
      <c r="AF959" s="476"/>
      <c r="AG959" s="474" t="s">
        <v>192</v>
      </c>
      <c r="AH959" s="138" t="str">
        <f t="shared" si="11"/>
        <v/>
      </c>
    </row>
    <row r="960">
      <c r="A960" s="477" t="str">
        <f>IFERROR(__xludf.DUMMYFUNCTION("""COMPUTED_VALUE"""),"FM4350")</f>
        <v>FM4350</v>
      </c>
      <c r="B960" s="478">
        <f>IFERROR(__xludf.DUMMYFUNCTION("""COMPUTED_VALUE"""),44648.0)</f>
        <v>44648</v>
      </c>
      <c r="C960" s="479">
        <f>IFERROR(__xludf.DUMMYFUNCTION("""COMPUTED_VALUE"""),0.49168981481481483)</f>
        <v>0.4916898148</v>
      </c>
      <c r="D960" s="477" t="str">
        <f>IFERROR(__xludf.DUMMYFUNCTION("""COMPUTED_VALUE"""),"SpFLMP684798")</f>
        <v>SpFLMP684798</v>
      </c>
      <c r="E960" s="477"/>
      <c r="F960" s="477"/>
      <c r="G960" s="477" t="str">
        <f>IFERROR(__xludf.DUMMYFUNCTION("""COMPUTED_VALUE"""),"Negative")</f>
        <v>Negative</v>
      </c>
      <c r="H960" s="480" t="str">
        <f>IFERROR(__xludf.DUMMYFUNCTION("""COMPUTED_VALUE"""),"Negative")</f>
        <v>Negative</v>
      </c>
      <c r="I960" s="478">
        <f>IFERROR(__xludf.DUMMYFUNCTION("""COMPUTED_VALUE"""),44648.0)</f>
        <v>44648</v>
      </c>
      <c r="J960" s="481">
        <f>IFERROR(__xludf.DUMMYFUNCTION("""COMPUTED_VALUE"""),0.6270601851851851)</f>
        <v>0.6270601852</v>
      </c>
      <c r="K960" s="156"/>
      <c r="L960" s="19"/>
      <c r="M960" s="482"/>
      <c r="N960" s="482">
        <f>IFERROR(__xludf.DUMMYFUNCTION("""COMPUTED_VALUE"""),1.0)</f>
        <v>1</v>
      </c>
      <c r="O960" s="482" t="b">
        <f t="shared" si="3"/>
        <v>1</v>
      </c>
      <c r="P960" s="483">
        <f>IFERROR(__xludf.DUMMYFUNCTION("""COMPUTED_VALUE"""),0.0)</f>
        <v>0</v>
      </c>
      <c r="Q960" s="352" t="b">
        <f>VLOOKUP($B960,'Run Reconcile'!B$2:O2488,14,FALSE)</f>
        <v>1</v>
      </c>
      <c r="R960" s="484" t="str">
        <f t="array" ref="R960">IF($Q960, INDEX('Run Reconcile'!A$2:A2488,MATCH(B960,'Run Reconcile'!B$2:B2488,0),1),IFERROR(0/0,""))</f>
        <v>RUN-FLMP_2022-03-28_APS-087</v>
      </c>
      <c r="S960" s="485" t="str">
        <f t="shared" si="694"/>
        <v/>
      </c>
      <c r="T960" s="485" t="str">
        <f t="shared" si="698"/>
        <v/>
      </c>
      <c r="U960" s="353" t="str">
        <f t="array" ref="U960">IF(ISBLANK($R960), INDEX('Run Reconcile'!A$2:A2488, MATCH($B960, 'Run Reconcile'!B$2:B2488, 0)+Z960, 1), IFERROR(0/0,""))
</f>
        <v/>
      </c>
      <c r="V960" s="486" t="str">
        <f t="shared" si="5"/>
        <v>RUN-FLMP_2022-03-28_APS-087</v>
      </c>
      <c r="W960" s="19"/>
      <c r="X960" s="19"/>
      <c r="Y960" s="89" t="str">
        <f t="shared" si="867"/>
        <v/>
      </c>
      <c r="Z960" s="60" t="str">
        <f t="shared" si="7"/>
        <v/>
      </c>
      <c r="AA960" s="60" t="str">
        <f t="shared" si="8"/>
        <v/>
      </c>
      <c r="AB960" s="60" t="str">
        <f t="shared" si="9"/>
        <v/>
      </c>
      <c r="AC960" s="158" t="str">
        <f t="shared" ref="AC960:AD960" si="1316">IF(_xlfn.ISFORMULA(S960),IFERROR(0/0,""),TRUE)</f>
        <v/>
      </c>
      <c r="AD960" s="158" t="str">
        <f t="shared" si="1316"/>
        <v/>
      </c>
      <c r="AE960" s="488" t="str">
        <f>IFERROR(__xludf.DUMMYFUNCTION("""COMPUTED_VALUE"""),"CRLN")</f>
        <v>CRLN</v>
      </c>
      <c r="AF960" s="489"/>
      <c r="AG960" s="486" t="s">
        <v>193</v>
      </c>
      <c r="AH960" s="138" t="str">
        <f t="shared" si="11"/>
        <v/>
      </c>
      <c r="AI960" s="19"/>
      <c r="AJ960" s="19"/>
      <c r="AK960" s="19"/>
      <c r="AL960" s="19"/>
      <c r="AM960" s="19"/>
    </row>
    <row r="961">
      <c r="A961" s="103" t="str">
        <f>IFERROR(__xludf.DUMMYFUNCTION("""COMPUTED_VALUE"""),"FM4355")</f>
        <v>FM4355</v>
      </c>
      <c r="B961" s="468">
        <f>IFERROR(__xludf.DUMMYFUNCTION("""COMPUTED_VALUE"""),44648.0)</f>
        <v>44648</v>
      </c>
      <c r="C961" s="469">
        <f>IFERROR(__xludf.DUMMYFUNCTION("""COMPUTED_VALUE"""),0.4927199074074074)</f>
        <v>0.4927199074</v>
      </c>
      <c r="D961" s="103" t="str">
        <f>IFERROR(__xludf.DUMMYFUNCTION("""COMPUTED_VALUE"""),"SpFLMP870846")</f>
        <v>SpFLMP870846</v>
      </c>
      <c r="E961" s="103"/>
      <c r="F961" s="103"/>
      <c r="G961" s="103" t="str">
        <f>IFERROR(__xludf.DUMMYFUNCTION("""COMPUTED_VALUE"""),"Negative")</f>
        <v>Negative</v>
      </c>
      <c r="H961" s="131" t="str">
        <f>IFERROR(__xludf.DUMMYFUNCTION("""COMPUTED_VALUE"""),"Negative")</f>
        <v>Negative</v>
      </c>
      <c r="I961" s="468">
        <f>IFERROR(__xludf.DUMMYFUNCTION("""COMPUTED_VALUE"""),44648.0)</f>
        <v>44648</v>
      </c>
      <c r="J961" s="470">
        <f>IFERROR(__xludf.DUMMYFUNCTION("""COMPUTED_VALUE"""),0.6270601851851851)</f>
        <v>0.6270601852</v>
      </c>
      <c r="K961" s="16"/>
      <c r="L961" s="8"/>
      <c r="M961" s="69"/>
      <c r="N961" s="69">
        <f>IFERROR(__xludf.DUMMYFUNCTION("""COMPUTED_VALUE"""),1.0)</f>
        <v>1</v>
      </c>
      <c r="O961" s="69" t="str">
        <f t="shared" si="3"/>
        <v/>
      </c>
      <c r="P961" s="471">
        <f>IFERROR(__xludf.DUMMYFUNCTION("""COMPUTED_VALUE"""),0.0)</f>
        <v>0</v>
      </c>
      <c r="Q961" s="274" t="b">
        <f>VLOOKUP($B961,'Run Reconcile'!B$2:O2488,14,FALSE)</f>
        <v>1</v>
      </c>
      <c r="R961" s="472" t="str">
        <f t="array" ref="R961">IF($Q961, INDEX('Run Reconcile'!A$2:A2488,MATCH(B961,'Run Reconcile'!B$2:B2488,0),1),IFERROR(0/0,""))</f>
        <v>RUN-FLMP_2022-03-28_APS-087</v>
      </c>
      <c r="S961" s="473" t="str">
        <f t="shared" si="694"/>
        <v/>
      </c>
      <c r="T961" s="473" t="str">
        <f t="shared" si="698"/>
        <v/>
      </c>
      <c r="U961" s="275" t="str">
        <f t="array" ref="U961">IF(ISBLANK($R961), INDEX('Run Reconcile'!A$2:A2488, MATCH($B961, 'Run Reconcile'!B$2:B2488, 0)+Z961, 1), IFERROR(0/0,""))
</f>
        <v/>
      </c>
      <c r="V961" s="474" t="str">
        <f t="shared" si="5"/>
        <v>RUN-FLMP_2022-03-28_APS-087</v>
      </c>
      <c r="Y961" s="89" t="str">
        <f t="shared" si="867"/>
        <v/>
      </c>
      <c r="Z961" s="60" t="str">
        <f t="shared" si="7"/>
        <v/>
      </c>
      <c r="AA961" s="60" t="str">
        <f t="shared" si="8"/>
        <v/>
      </c>
      <c r="AB961" s="60" t="str">
        <f t="shared" si="9"/>
        <v/>
      </c>
      <c r="AC961" s="30" t="str">
        <f t="shared" ref="AC961:AD961" si="1317">IF(_xlfn.ISFORMULA(S961),IFERROR(0/0,""),TRUE)</f>
        <v/>
      </c>
      <c r="AD961" s="30" t="str">
        <f t="shared" si="1317"/>
        <v/>
      </c>
      <c r="AE961" s="475" t="str">
        <f>IFERROR(__xludf.DUMMYFUNCTION("""COMPUTED_VALUE"""),"FLSP")</f>
        <v>FLSP</v>
      </c>
      <c r="AF961" s="476"/>
      <c r="AG961" s="474" t="s">
        <v>193</v>
      </c>
      <c r="AH961" s="138" t="str">
        <f t="shared" si="11"/>
        <v/>
      </c>
    </row>
    <row r="962">
      <c r="A962" s="103" t="str">
        <f>IFERROR(__xludf.DUMMYFUNCTION("""COMPUTED_VALUE"""),"FM4487")</f>
        <v>FM4487</v>
      </c>
      <c r="B962" s="468">
        <f>IFERROR(__xludf.DUMMYFUNCTION("""COMPUTED_VALUE"""),44648.0)</f>
        <v>44648</v>
      </c>
      <c r="C962" s="469">
        <f>IFERROR(__xludf.DUMMYFUNCTION("""COMPUTED_VALUE"""),0.515787037037037)</f>
        <v>0.515787037</v>
      </c>
      <c r="D962" s="103" t="str">
        <f>IFERROR(__xludf.DUMMYFUNCTION("""COMPUTED_VALUE"""),"SpFLMP659315")</f>
        <v>SpFLMP659315</v>
      </c>
      <c r="E962" s="103"/>
      <c r="F962" s="103"/>
      <c r="G962" s="103" t="str">
        <f>IFERROR(__xludf.DUMMYFUNCTION("""COMPUTED_VALUE"""),"Negative")</f>
        <v>Negative</v>
      </c>
      <c r="H962" s="131" t="str">
        <f>IFERROR(__xludf.DUMMYFUNCTION("""COMPUTED_VALUE"""),"Negative")</f>
        <v>Negative</v>
      </c>
      <c r="I962" s="468">
        <f>IFERROR(__xludf.DUMMYFUNCTION("""COMPUTED_VALUE"""),44648.0)</f>
        <v>44648</v>
      </c>
      <c r="J962" s="470">
        <f>IFERROR(__xludf.DUMMYFUNCTION("""COMPUTED_VALUE"""),0.6270601851851851)</f>
        <v>0.6270601852</v>
      </c>
      <c r="K962" s="16"/>
      <c r="L962" s="8" t="str">
        <f>IFERROR(__xludf.DUMMYFUNCTION("""COMPUTED_VALUE"""),"name email fix")</f>
        <v>name email fix</v>
      </c>
      <c r="M962" s="69"/>
      <c r="N962" s="69">
        <f>IFERROR(__xludf.DUMMYFUNCTION("""COMPUTED_VALUE"""),1.0)</f>
        <v>1</v>
      </c>
      <c r="O962" s="69" t="str">
        <f t="shared" si="3"/>
        <v/>
      </c>
      <c r="P962" s="471">
        <f>IFERROR(__xludf.DUMMYFUNCTION("""COMPUTED_VALUE"""),0.0)</f>
        <v>0</v>
      </c>
      <c r="Q962" s="274" t="b">
        <f>VLOOKUP($B962,'Run Reconcile'!B$2:O2488,14,FALSE)</f>
        <v>1</v>
      </c>
      <c r="R962" s="472" t="str">
        <f t="array" ref="R962">IF($Q962, INDEX('Run Reconcile'!A$2:A2488,MATCH(B962,'Run Reconcile'!B$2:B2488,0),1),IFERROR(0/0,""))</f>
        <v>RUN-FLMP_2022-03-28_APS-087</v>
      </c>
      <c r="S962" s="473" t="str">
        <f t="shared" si="694"/>
        <v/>
      </c>
      <c r="T962" s="473" t="str">
        <f t="shared" si="698"/>
        <v/>
      </c>
      <c r="U962" s="275" t="str">
        <f t="array" ref="U962">IF(ISBLANK($R962), INDEX('Run Reconcile'!A$2:A2488, MATCH($B962, 'Run Reconcile'!B$2:B2488, 0)+Z962, 1), IFERROR(0/0,""))
</f>
        <v/>
      </c>
      <c r="V962" s="474" t="str">
        <f t="shared" si="5"/>
        <v>RUN-FLMP_2022-03-28_APS-087</v>
      </c>
      <c r="Y962" s="89" t="str">
        <f t="shared" si="867"/>
        <v/>
      </c>
      <c r="Z962" s="60" t="str">
        <f t="shared" si="7"/>
        <v/>
      </c>
      <c r="AA962" s="60" t="str">
        <f t="shared" si="8"/>
        <v/>
      </c>
      <c r="AB962" s="60" t="str">
        <f t="shared" si="9"/>
        <v/>
      </c>
      <c r="AC962" s="30" t="str">
        <f t="shared" ref="AC962:AD962" si="1318">IF(_xlfn.ISFORMULA(S962),IFERROR(0/0,""),TRUE)</f>
        <v/>
      </c>
      <c r="AD962" s="30" t="str">
        <f t="shared" si="1318"/>
        <v/>
      </c>
      <c r="AE962" s="475" t="str">
        <f>IFERROR(__xludf.DUMMYFUNCTION("""COMPUTED_VALUE"""),"CRLN")</f>
        <v>CRLN</v>
      </c>
      <c r="AF962" s="476"/>
      <c r="AG962" s="474" t="s">
        <v>193</v>
      </c>
      <c r="AH962" s="138" t="str">
        <f t="shared" si="11"/>
        <v/>
      </c>
    </row>
    <row r="963">
      <c r="A963" s="103" t="str">
        <f>IFERROR(__xludf.DUMMYFUNCTION("""COMPUTED_VALUE"""),"MA924")</f>
        <v>MA924</v>
      </c>
      <c r="B963" s="468">
        <f>IFERROR(__xludf.DUMMYFUNCTION("""COMPUTED_VALUE"""),44648.0)</f>
        <v>44648</v>
      </c>
      <c r="C963" s="469">
        <f>IFERROR(__xludf.DUMMYFUNCTION("""COMPUTED_VALUE"""),0.6228935185185185)</f>
        <v>0.6228935185</v>
      </c>
      <c r="D963" s="103" t="str">
        <f>IFERROR(__xludf.DUMMYFUNCTION("""COMPUTED_VALUE"""),"SpFLMP659315")</f>
        <v>SpFLMP659315</v>
      </c>
      <c r="E963" s="103"/>
      <c r="F963" s="103"/>
      <c r="G963" s="103" t="str">
        <f>IFERROR(__xludf.DUMMYFUNCTION("""COMPUTED_VALUE"""),"Negative")</f>
        <v>Negative</v>
      </c>
      <c r="H963" s="131" t="str">
        <f>IFERROR(__xludf.DUMMYFUNCTION("""COMPUTED_VALUE"""),"Negative")</f>
        <v>Negative</v>
      </c>
      <c r="I963" s="468">
        <f>IFERROR(__xludf.DUMMYFUNCTION("""COMPUTED_VALUE"""),44648.0)</f>
        <v>44648</v>
      </c>
      <c r="J963" s="470">
        <f>IFERROR(__xludf.DUMMYFUNCTION("""COMPUTED_VALUE"""),0.6270601851851851)</f>
        <v>0.6270601852</v>
      </c>
      <c r="K963" s="16"/>
      <c r="L963" s="8"/>
      <c r="M963" s="69"/>
      <c r="N963" s="69">
        <f>IFERROR(__xludf.DUMMYFUNCTION("""COMPUTED_VALUE"""),1.0)</f>
        <v>1</v>
      </c>
      <c r="O963" s="69" t="str">
        <f t="shared" si="3"/>
        <v/>
      </c>
      <c r="P963" s="471">
        <f>IFERROR(__xludf.DUMMYFUNCTION("""COMPUTED_VALUE"""),0.0)</f>
        <v>0</v>
      </c>
      <c r="Q963" s="274" t="b">
        <f>VLOOKUP($B963,'Run Reconcile'!B$2:O2488,14,FALSE)</f>
        <v>1</v>
      </c>
      <c r="R963" s="472" t="str">
        <f t="array" ref="R963">IF($Q963, INDEX('Run Reconcile'!A$2:A2488,MATCH(B963,'Run Reconcile'!B$2:B2488,0),1),IFERROR(0/0,""))</f>
        <v>RUN-FLMP_2022-03-28_APS-087</v>
      </c>
      <c r="S963" s="473" t="str">
        <f t="shared" si="694"/>
        <v/>
      </c>
      <c r="T963" s="473" t="str">
        <f t="shared" si="698"/>
        <v/>
      </c>
      <c r="U963" s="275" t="str">
        <f t="array" ref="U963">IF(ISBLANK($R963), INDEX('Run Reconcile'!A$2:A2488, MATCH($B963, 'Run Reconcile'!B$2:B2488, 0)+Z963, 1), IFERROR(0/0,""))
</f>
        <v/>
      </c>
      <c r="V963" s="474" t="str">
        <f t="shared" si="5"/>
        <v>RUN-FLMP_2022-03-28_APS-087</v>
      </c>
      <c r="Y963" s="89" t="str">
        <f t="shared" si="867"/>
        <v/>
      </c>
      <c r="Z963" s="60" t="str">
        <f t="shared" si="7"/>
        <v/>
      </c>
      <c r="AA963" s="60" t="str">
        <f t="shared" si="8"/>
        <v/>
      </c>
      <c r="AB963" s="60" t="str">
        <f t="shared" si="9"/>
        <v/>
      </c>
      <c r="AC963" s="30" t="str">
        <f t="shared" ref="AC963:AD963" si="1319">IF(_xlfn.ISFORMULA(S963),IFERROR(0/0,""),TRUE)</f>
        <v/>
      </c>
      <c r="AD963" s="30" t="str">
        <f t="shared" si="1319"/>
        <v/>
      </c>
      <c r="AE963" s="475" t="str">
        <f>IFERROR(__xludf.DUMMYFUNCTION("""COMPUTED_VALUE"""),"CRLN")</f>
        <v>CRLN</v>
      </c>
      <c r="AF963" s="476"/>
      <c r="AG963" s="474" t="s">
        <v>193</v>
      </c>
      <c r="AH963" s="138" t="str">
        <f t="shared" si="11"/>
        <v/>
      </c>
    </row>
    <row r="964">
      <c r="A964" s="103" t="str">
        <f>IFERROR(__xludf.DUMMYFUNCTION("""COMPUTED_VALUE"""),"FM4483")</f>
        <v>FM4483</v>
      </c>
      <c r="B964" s="468">
        <f>IFERROR(__xludf.DUMMYFUNCTION("""COMPUTED_VALUE"""),44648.0)</f>
        <v>44648</v>
      </c>
      <c r="C964" s="469">
        <f>IFERROR(__xludf.DUMMYFUNCTION("""COMPUTED_VALUE"""),0.6242129629629629)</f>
        <v>0.624212963</v>
      </c>
      <c r="D964" s="103" t="str">
        <f>IFERROR(__xludf.DUMMYFUNCTION("""COMPUTED_VALUE"""),"SpFLMP659315")</f>
        <v>SpFLMP659315</v>
      </c>
      <c r="E964" s="103"/>
      <c r="F964" s="103"/>
      <c r="G964" s="103" t="str">
        <f>IFERROR(__xludf.DUMMYFUNCTION("""COMPUTED_VALUE"""),"Negative")</f>
        <v>Negative</v>
      </c>
      <c r="H964" s="131" t="str">
        <f>IFERROR(__xludf.DUMMYFUNCTION("""COMPUTED_VALUE"""),"Negative")</f>
        <v>Negative</v>
      </c>
      <c r="I964" s="468">
        <f>IFERROR(__xludf.DUMMYFUNCTION("""COMPUTED_VALUE"""),44648.0)</f>
        <v>44648</v>
      </c>
      <c r="J964" s="470">
        <f>IFERROR(__xludf.DUMMYFUNCTION("""COMPUTED_VALUE"""),0.6270717592592593)</f>
        <v>0.6270717593</v>
      </c>
      <c r="K964" s="16"/>
      <c r="L964" s="8"/>
      <c r="M964" s="69"/>
      <c r="N964" s="69">
        <f>IFERROR(__xludf.DUMMYFUNCTION("""COMPUTED_VALUE"""),1.0)</f>
        <v>1</v>
      </c>
      <c r="O964" s="69" t="str">
        <f t="shared" si="3"/>
        <v/>
      </c>
      <c r="P964" s="471">
        <f>IFERROR(__xludf.DUMMYFUNCTION("""COMPUTED_VALUE"""),0.0)</f>
        <v>0</v>
      </c>
      <c r="Q964" s="274" t="b">
        <f>VLOOKUP($B964,'Run Reconcile'!B$2:O2488,14,FALSE)</f>
        <v>1</v>
      </c>
      <c r="R964" s="472" t="str">
        <f t="array" ref="R964">IF($Q964, INDEX('Run Reconcile'!A$2:A2488,MATCH(B964,'Run Reconcile'!B$2:B2488,0),1),IFERROR(0/0,""))</f>
        <v>RUN-FLMP_2022-03-28_APS-087</v>
      </c>
      <c r="S964" s="473" t="str">
        <f t="shared" si="694"/>
        <v/>
      </c>
      <c r="T964" s="473" t="str">
        <f t="shared" si="698"/>
        <v/>
      </c>
      <c r="U964" s="275" t="str">
        <f t="array" ref="U964">IF(ISBLANK($R964), INDEX('Run Reconcile'!A$2:A2488, MATCH($B964, 'Run Reconcile'!B$2:B2488, 0)+Z964, 1), IFERROR(0/0,""))
</f>
        <v/>
      </c>
      <c r="V964" s="474" t="str">
        <f t="shared" si="5"/>
        <v>RUN-FLMP_2022-03-28_APS-087</v>
      </c>
      <c r="Y964" s="89" t="str">
        <f t="shared" si="867"/>
        <v/>
      </c>
      <c r="Z964" s="60" t="str">
        <f t="shared" si="7"/>
        <v/>
      </c>
      <c r="AA964" s="60" t="str">
        <f t="shared" si="8"/>
        <v/>
      </c>
      <c r="AB964" s="60" t="str">
        <f t="shared" si="9"/>
        <v/>
      </c>
      <c r="AC964" s="30" t="str">
        <f t="shared" ref="AC964:AD964" si="1320">IF(_xlfn.ISFORMULA(S964),IFERROR(0/0,""),TRUE)</f>
        <v/>
      </c>
      <c r="AD964" s="30" t="str">
        <f t="shared" si="1320"/>
        <v/>
      </c>
      <c r="AE964" s="475" t="str">
        <f>IFERROR(__xludf.DUMMYFUNCTION("""COMPUTED_VALUE"""),"FLSP")</f>
        <v>FLSP</v>
      </c>
      <c r="AF964" s="476"/>
      <c r="AG964" s="474" t="s">
        <v>193</v>
      </c>
      <c r="AH964" s="138" t="str">
        <f t="shared" si="11"/>
        <v/>
      </c>
    </row>
    <row r="965">
      <c r="A965" s="477" t="str">
        <f>IFERROR(__xludf.DUMMYFUNCTION("""COMPUTED_VALUE"""),"MA940")</f>
        <v>MA940</v>
      </c>
      <c r="B965" s="478">
        <f>IFERROR(__xludf.DUMMYFUNCTION("""COMPUTED_VALUE"""),44652.0)</f>
        <v>44652</v>
      </c>
      <c r="C965" s="479">
        <f>IFERROR(__xludf.DUMMYFUNCTION("""COMPUTED_VALUE"""),0.35957175925925927)</f>
        <v>0.3595717593</v>
      </c>
      <c r="D965" s="477" t="str">
        <f>IFERROR(__xludf.DUMMYFUNCTION("""COMPUTED_VALUE"""),"SpFLMP684798")</f>
        <v>SpFLMP684798</v>
      </c>
      <c r="E965" s="477"/>
      <c r="F965" s="477"/>
      <c r="G965" s="477" t="str">
        <f>IFERROR(__xludf.DUMMYFUNCTION("""COMPUTED_VALUE"""),"Null")</f>
        <v>Null</v>
      </c>
      <c r="H965" s="480" t="str">
        <f>IFERROR(__xludf.DUMMYFUNCTION("""COMPUTED_VALUE"""),"Negative")</f>
        <v>Negative</v>
      </c>
      <c r="I965" s="478"/>
      <c r="J965" s="156"/>
      <c r="K965" s="156">
        <f>IFERROR(__xludf.DUMMYFUNCTION("""COMPUTED_VALUE"""),2.0)</f>
        <v>2</v>
      </c>
      <c r="L965" s="19"/>
      <c r="M965" s="482"/>
      <c r="N965" s="482">
        <f>IFERROR(__xludf.DUMMYFUNCTION("""COMPUTED_VALUE"""),4.0)</f>
        <v>4</v>
      </c>
      <c r="O965" s="482" t="b">
        <f t="shared" si="3"/>
        <v>1</v>
      </c>
      <c r="P965" s="483">
        <f>IFERROR(__xludf.DUMMYFUNCTION("""COMPUTED_VALUE"""),-1.0)</f>
        <v>-1</v>
      </c>
      <c r="Q965" s="352" t="b">
        <f>VLOOKUP($B965,'Run Reconcile'!B$2:O2488,14,FALSE)</f>
        <v>1</v>
      </c>
      <c r="R965" s="484" t="str">
        <f t="array" ref="R965">IF($Q965, INDEX('Run Reconcile'!A$2:A2488,MATCH(B965,'Run Reconcile'!B$2:B2488,0),1),IFERROR(0/0,""))</f>
        <v>RUN-FLMP_2022-04-01_APS-088</v>
      </c>
      <c r="S965" s="485" t="str">
        <f t="shared" si="694"/>
        <v/>
      </c>
      <c r="T965" s="485" t="str">
        <f t="shared" si="698"/>
        <v/>
      </c>
      <c r="U965" s="353" t="str">
        <f t="array" ref="U965">IF(ISBLANK($R965), INDEX('Run Reconcile'!A$2:A2488, MATCH($B965, 'Run Reconcile'!B$2:B2488, 0)+Z965, 1), IFERROR(0/0,""))
</f>
        <v/>
      </c>
      <c r="V965" s="486" t="str">
        <f t="shared" si="5"/>
        <v>RUN-FLMP_2022-04-01_APS-088</v>
      </c>
      <c r="W965" s="19"/>
      <c r="X965" s="19"/>
      <c r="Y965" s="89" t="str">
        <f t="shared" si="867"/>
        <v/>
      </c>
      <c r="Z965" s="60" t="str">
        <f t="shared" si="7"/>
        <v/>
      </c>
      <c r="AA965" s="60" t="str">
        <f t="shared" si="8"/>
        <v/>
      </c>
      <c r="AB965" s="60" t="str">
        <f t="shared" si="9"/>
        <v/>
      </c>
      <c r="AC965" s="158" t="str">
        <f t="shared" ref="AC965:AD965" si="1321">IF(_xlfn.ISFORMULA(S965),IFERROR(0/0,""),TRUE)</f>
        <v/>
      </c>
      <c r="AD965" s="158" t="str">
        <f t="shared" si="1321"/>
        <v/>
      </c>
      <c r="AE965" s="488" t="str">
        <f>IFERROR(__xludf.DUMMYFUNCTION("""COMPUTED_VALUE"""),"CRLN")</f>
        <v>CRLN</v>
      </c>
      <c r="AF965" s="489"/>
      <c r="AG965" s="486" t="s">
        <v>194</v>
      </c>
      <c r="AH965" s="138" t="str">
        <f t="shared" si="11"/>
        <v/>
      </c>
      <c r="AI965" s="19"/>
      <c r="AJ965" s="19"/>
      <c r="AK965" s="19"/>
      <c r="AL965" s="19"/>
      <c r="AM965" s="19"/>
    </row>
    <row r="966">
      <c r="A966" s="103" t="str">
        <f>IFERROR(__xludf.DUMMYFUNCTION("""COMPUTED_VALUE"""),"MAX396")</f>
        <v>MAX396</v>
      </c>
      <c r="B966" s="468">
        <f>IFERROR(__xludf.DUMMYFUNCTION("""COMPUTED_VALUE"""),44652.0)</f>
        <v>44652</v>
      </c>
      <c r="C966" s="469">
        <f>IFERROR(__xludf.DUMMYFUNCTION("""COMPUTED_VALUE"""),0.3795949074074074)</f>
        <v>0.3795949074</v>
      </c>
      <c r="D966" s="103" t="str">
        <f>IFERROR(__xludf.DUMMYFUNCTION("""COMPUTED_VALUE"""),"SpFLMP496039")</f>
        <v>SpFLMP496039</v>
      </c>
      <c r="E966" s="103"/>
      <c r="F966" s="103"/>
      <c r="G966" s="103" t="str">
        <f>IFERROR(__xludf.DUMMYFUNCTION("""COMPUTED_VALUE"""),"Null")</f>
        <v>Null</v>
      </c>
      <c r="H966" s="131" t="str">
        <f>IFERROR(__xludf.DUMMYFUNCTION("""COMPUTED_VALUE"""),"Negative")</f>
        <v>Negative</v>
      </c>
      <c r="I966" s="468"/>
      <c r="J966" s="16"/>
      <c r="K966" s="16">
        <f>IFERROR(__xludf.DUMMYFUNCTION("""COMPUTED_VALUE"""),2.0)</f>
        <v>2</v>
      </c>
      <c r="L966" s="8"/>
      <c r="M966" s="69"/>
      <c r="N966" s="69">
        <f>IFERROR(__xludf.DUMMYFUNCTION("""COMPUTED_VALUE"""),1.0)</f>
        <v>1</v>
      </c>
      <c r="O966" s="69" t="str">
        <f t="shared" si="3"/>
        <v/>
      </c>
      <c r="P966" s="471">
        <f>IFERROR(__xludf.DUMMYFUNCTION("""COMPUTED_VALUE"""),-1.0)</f>
        <v>-1</v>
      </c>
      <c r="Q966" s="274" t="b">
        <f>VLOOKUP($B966,'Run Reconcile'!B$2:O2488,14,FALSE)</f>
        <v>1</v>
      </c>
      <c r="R966" s="472" t="str">
        <f t="array" ref="R966">IF($Q966, INDEX('Run Reconcile'!A$2:A2488,MATCH(B966,'Run Reconcile'!B$2:B2488,0),1),IFERROR(0/0,""))</f>
        <v>RUN-FLMP_2022-04-01_APS-088</v>
      </c>
      <c r="S966" s="473" t="str">
        <f t="shared" si="694"/>
        <v/>
      </c>
      <c r="T966" s="473" t="str">
        <f t="shared" si="698"/>
        <v/>
      </c>
      <c r="U966" s="275" t="str">
        <f t="array" ref="U966">IF(ISBLANK($R966), INDEX('Run Reconcile'!A$2:A2488, MATCH($B966, 'Run Reconcile'!B$2:B2488, 0)+Z966, 1), IFERROR(0/0,""))
</f>
        <v/>
      </c>
      <c r="V966" s="474" t="str">
        <f t="shared" si="5"/>
        <v>RUN-FLMP_2022-04-01_APS-088</v>
      </c>
      <c r="Y966" s="89" t="str">
        <f t="shared" si="867"/>
        <v/>
      </c>
      <c r="Z966" s="60" t="str">
        <f t="shared" si="7"/>
        <v/>
      </c>
      <c r="AA966" s="60" t="str">
        <f t="shared" si="8"/>
        <v/>
      </c>
      <c r="AB966" s="60" t="str">
        <f t="shared" si="9"/>
        <v/>
      </c>
      <c r="AC966" s="30" t="str">
        <f t="shared" ref="AC966:AD966" si="1322">IF(_xlfn.ISFORMULA(S966),IFERROR(0/0,""),TRUE)</f>
        <v/>
      </c>
      <c r="AD966" s="30" t="str">
        <f t="shared" si="1322"/>
        <v/>
      </c>
      <c r="AE966" s="475" t="str">
        <f>IFERROR(__xludf.DUMMYFUNCTION("""COMPUTED_VALUE"""),"CRLN")</f>
        <v>CRLN</v>
      </c>
      <c r="AF966" s="476"/>
      <c r="AG966" s="474" t="s">
        <v>194</v>
      </c>
      <c r="AH966" s="138" t="str">
        <f t="shared" si="11"/>
        <v/>
      </c>
    </row>
    <row r="967">
      <c r="A967" s="103" t="str">
        <f>IFERROR(__xludf.DUMMYFUNCTION("""COMPUTED_VALUE"""),"FM4497")</f>
        <v>FM4497</v>
      </c>
      <c r="B967" s="468">
        <f>IFERROR(__xludf.DUMMYFUNCTION("""COMPUTED_VALUE"""),44652.0)</f>
        <v>44652</v>
      </c>
      <c r="C967" s="469">
        <f>IFERROR(__xludf.DUMMYFUNCTION("""COMPUTED_VALUE"""),0.4084259259259259)</f>
        <v>0.4084259259</v>
      </c>
      <c r="D967" s="103" t="str">
        <f>IFERROR(__xludf.DUMMYFUNCTION("""COMPUTED_VALUE"""),"SpFLMP870846")</f>
        <v>SpFLMP870846</v>
      </c>
      <c r="E967" s="103"/>
      <c r="F967" s="103"/>
      <c r="G967" s="103" t="str">
        <f>IFERROR(__xludf.DUMMYFUNCTION("""COMPUTED_VALUE"""),"Null")</f>
        <v>Null</v>
      </c>
      <c r="H967" s="131" t="str">
        <f>IFERROR(__xludf.DUMMYFUNCTION("""COMPUTED_VALUE"""),"Negative")</f>
        <v>Negative</v>
      </c>
      <c r="I967" s="468"/>
      <c r="J967" s="16"/>
      <c r="K967" s="16">
        <f>IFERROR(__xludf.DUMMYFUNCTION("""COMPUTED_VALUE"""),2.0)</f>
        <v>2</v>
      </c>
      <c r="L967" s="8"/>
      <c r="M967" s="69"/>
      <c r="N967" s="69">
        <f>IFERROR(__xludf.DUMMYFUNCTION("""COMPUTED_VALUE"""),1.0)</f>
        <v>1</v>
      </c>
      <c r="O967" s="69" t="str">
        <f t="shared" si="3"/>
        <v/>
      </c>
      <c r="P967" s="471">
        <f>IFERROR(__xludf.DUMMYFUNCTION("""COMPUTED_VALUE"""),-1.0)</f>
        <v>-1</v>
      </c>
      <c r="Q967" s="274" t="b">
        <f>VLOOKUP($B967,'Run Reconcile'!B$2:O2488,14,FALSE)</f>
        <v>1</v>
      </c>
      <c r="R967" s="472" t="str">
        <f t="array" ref="R967">IF($Q967, INDEX('Run Reconcile'!A$2:A2488,MATCH(B967,'Run Reconcile'!B$2:B2488,0),1),IFERROR(0/0,""))</f>
        <v>RUN-FLMP_2022-04-01_APS-088</v>
      </c>
      <c r="S967" s="473" t="str">
        <f t="shared" si="694"/>
        <v/>
      </c>
      <c r="T967" s="473" t="str">
        <f t="shared" si="698"/>
        <v/>
      </c>
      <c r="U967" s="275" t="str">
        <f t="array" ref="U967">IF(ISBLANK($R967), INDEX('Run Reconcile'!A$2:A2488, MATCH($B967, 'Run Reconcile'!B$2:B2488, 0)+Z967, 1), IFERROR(0/0,""))
</f>
        <v/>
      </c>
      <c r="V967" s="474" t="str">
        <f t="shared" si="5"/>
        <v>RUN-FLMP_2022-04-01_APS-088</v>
      </c>
      <c r="Y967" s="89" t="str">
        <f t="shared" si="867"/>
        <v/>
      </c>
      <c r="Z967" s="60" t="str">
        <f t="shared" si="7"/>
        <v/>
      </c>
      <c r="AA967" s="60" t="str">
        <f t="shared" si="8"/>
        <v/>
      </c>
      <c r="AB967" s="60" t="str">
        <f t="shared" si="9"/>
        <v/>
      </c>
      <c r="AC967" s="30" t="str">
        <f t="shared" ref="AC967:AD967" si="1323">IF(_xlfn.ISFORMULA(S967),IFERROR(0/0,""),TRUE)</f>
        <v/>
      </c>
      <c r="AD967" s="30" t="str">
        <f t="shared" si="1323"/>
        <v/>
      </c>
      <c r="AE967" s="475" t="str">
        <f>IFERROR(__xludf.DUMMYFUNCTION("""COMPUTED_VALUE"""),"FLSP")</f>
        <v>FLSP</v>
      </c>
      <c r="AF967" s="476"/>
      <c r="AG967" s="474" t="s">
        <v>194</v>
      </c>
      <c r="AH967" s="138" t="str">
        <f t="shared" si="11"/>
        <v/>
      </c>
    </row>
    <row r="968">
      <c r="A968" s="103" t="str">
        <f>IFERROR(__xludf.DUMMYFUNCTION("""COMPUTED_VALUE"""),"MA979")</f>
        <v>MA979</v>
      </c>
      <c r="B968" s="468">
        <f>IFERROR(__xludf.DUMMYFUNCTION("""COMPUTED_VALUE"""),44653.0)</f>
        <v>44653</v>
      </c>
      <c r="C968" s="469">
        <f>IFERROR(__xludf.DUMMYFUNCTION("""COMPUTED_VALUE"""),0.29466435185185186)</f>
        <v>0.2946643519</v>
      </c>
      <c r="D968" s="103" t="str">
        <f>IFERROR(__xludf.DUMMYFUNCTION("""COMPUTED_VALUE"""),"SpFLMP604497")</f>
        <v>SpFLMP604497</v>
      </c>
      <c r="E968" s="103"/>
      <c r="F968" s="103"/>
      <c r="G968" s="103" t="str">
        <f>IFERROR(__xludf.DUMMYFUNCTION("""COMPUTED_VALUE"""),"Negative")</f>
        <v>Negative</v>
      </c>
      <c r="H968" s="131" t="str">
        <f>IFERROR(__xludf.DUMMYFUNCTION("""COMPUTED_VALUE"""),"Negative")</f>
        <v>Negative</v>
      </c>
      <c r="I968" s="468">
        <f>IFERROR(__xludf.DUMMYFUNCTION("""COMPUTED_VALUE"""),44653.0)</f>
        <v>44653</v>
      </c>
      <c r="J968" s="470">
        <f>IFERROR(__xludf.DUMMYFUNCTION("""COMPUTED_VALUE"""),0.5846296296296296)</f>
        <v>0.5846296296</v>
      </c>
      <c r="K968" s="16"/>
      <c r="L968" s="8"/>
      <c r="M968" s="69"/>
      <c r="N968" s="69">
        <f>IFERROR(__xludf.DUMMYFUNCTION("""COMPUTED_VALUE"""),4.0)</f>
        <v>4</v>
      </c>
      <c r="O968" s="69" t="b">
        <f t="shared" si="3"/>
        <v>1</v>
      </c>
      <c r="P968" s="471">
        <f>IFERROR(__xludf.DUMMYFUNCTION("""COMPUTED_VALUE"""),0.0)</f>
        <v>0</v>
      </c>
      <c r="Q968" s="274" t="b">
        <f>VLOOKUP($B968,'Run Reconcile'!B$2:O2488,14,FALSE)</f>
        <v>1</v>
      </c>
      <c r="R968" s="472" t="str">
        <f t="array" ref="R968">IF($Q968, INDEX('Run Reconcile'!A$2:A2488,MATCH(B968,'Run Reconcile'!B$2:B2488,0),1),IFERROR(0/0,""))</f>
        <v>RUN-FLMP_2022-04-02_RFR-104</v>
      </c>
      <c r="S968" s="473" t="str">
        <f t="shared" si="694"/>
        <v/>
      </c>
      <c r="T968" s="473" t="str">
        <f t="shared" si="698"/>
        <v/>
      </c>
      <c r="U968" s="275" t="str">
        <f t="array" ref="U968">IF(ISBLANK($R968), INDEX('Run Reconcile'!A$2:A2488, MATCH($B968, 'Run Reconcile'!B$2:B2488, 0)+Z968, 1), IFERROR(0/0,""))
</f>
        <v/>
      </c>
      <c r="V968" s="474" t="str">
        <f t="shared" si="5"/>
        <v>RUN-FLMP_2022-04-02_RFR-104</v>
      </c>
      <c r="Y968" s="89" t="str">
        <f t="shared" si="867"/>
        <v/>
      </c>
      <c r="Z968" s="60" t="str">
        <f t="shared" si="7"/>
        <v/>
      </c>
      <c r="AA968" s="60" t="str">
        <f t="shared" si="8"/>
        <v/>
      </c>
      <c r="AB968" s="60" t="str">
        <f t="shared" si="9"/>
        <v/>
      </c>
      <c r="AC968" s="30" t="str">
        <f t="shared" ref="AC968:AD968" si="1324">IF(_xlfn.ISFORMULA(S968),IFERROR(0/0,""),TRUE)</f>
        <v/>
      </c>
      <c r="AD968" s="30" t="str">
        <f t="shared" si="1324"/>
        <v/>
      </c>
      <c r="AE968" s="475" t="str">
        <f>IFERROR(__xludf.DUMMYFUNCTION("""COMPUTED_VALUE"""),"CRLN")</f>
        <v>CRLN</v>
      </c>
      <c r="AF968" s="476"/>
      <c r="AG968" s="474" t="s">
        <v>195</v>
      </c>
      <c r="AH968" s="138" t="str">
        <f t="shared" si="11"/>
        <v/>
      </c>
    </row>
    <row r="969">
      <c r="A969" s="103" t="str">
        <f>IFERROR(__xludf.DUMMYFUNCTION("""COMPUTED_VALUE"""),"MA948")</f>
        <v>MA948</v>
      </c>
      <c r="B969" s="468">
        <f>IFERROR(__xludf.DUMMYFUNCTION("""COMPUTED_VALUE"""),44653.0)</f>
        <v>44653</v>
      </c>
      <c r="C969" s="469">
        <f>IFERROR(__xludf.DUMMYFUNCTION("""COMPUTED_VALUE"""),0.3421296296296296)</f>
        <v>0.3421296296</v>
      </c>
      <c r="D969" s="103" t="str">
        <f>IFERROR(__xludf.DUMMYFUNCTION("""COMPUTED_VALUE"""),"SpFLMP273885")</f>
        <v>SpFLMP273885</v>
      </c>
      <c r="E969" s="103"/>
      <c r="F969" s="103"/>
      <c r="G969" s="103" t="str">
        <f>IFERROR(__xludf.DUMMYFUNCTION("""COMPUTED_VALUE"""),"Negative")</f>
        <v>Negative</v>
      </c>
      <c r="H969" s="131" t="str">
        <f>IFERROR(__xludf.DUMMYFUNCTION("""COMPUTED_VALUE"""),"Negative")</f>
        <v>Negative</v>
      </c>
      <c r="I969" s="468">
        <f>IFERROR(__xludf.DUMMYFUNCTION("""COMPUTED_VALUE"""),44653.0)</f>
        <v>44653</v>
      </c>
      <c r="J969" s="470">
        <f>IFERROR(__xludf.DUMMYFUNCTION("""COMPUTED_VALUE"""),0.5846296296296296)</f>
        <v>0.5846296296</v>
      </c>
      <c r="K969" s="16"/>
      <c r="L969" s="8"/>
      <c r="M969" s="69"/>
      <c r="N969" s="69">
        <f>IFERROR(__xludf.DUMMYFUNCTION("""COMPUTED_VALUE"""),4.0)</f>
        <v>4</v>
      </c>
      <c r="O969" s="69" t="str">
        <f t="shared" si="3"/>
        <v/>
      </c>
      <c r="P969" s="471">
        <f>IFERROR(__xludf.DUMMYFUNCTION("""COMPUTED_VALUE"""),0.0)</f>
        <v>0</v>
      </c>
      <c r="Q969" s="274" t="b">
        <f>VLOOKUP($B969,'Run Reconcile'!B$2:O2488,14,FALSE)</f>
        <v>1</v>
      </c>
      <c r="R969" s="472" t="str">
        <f t="array" ref="R969">IF($Q969, INDEX('Run Reconcile'!A$2:A2488,MATCH(B969,'Run Reconcile'!B$2:B2488,0),1),IFERROR(0/0,""))</f>
        <v>RUN-FLMP_2022-04-02_RFR-104</v>
      </c>
      <c r="S969" s="473" t="str">
        <f t="shared" si="694"/>
        <v/>
      </c>
      <c r="T969" s="473" t="str">
        <f t="shared" si="698"/>
        <v/>
      </c>
      <c r="U969" s="275" t="str">
        <f t="array" ref="U969">IF(ISBLANK($R969), INDEX('Run Reconcile'!A$2:A2488, MATCH($B969, 'Run Reconcile'!B$2:B2488, 0)+Z969, 1), IFERROR(0/0,""))
</f>
        <v/>
      </c>
      <c r="V969" s="474" t="str">
        <f t="shared" si="5"/>
        <v>RUN-FLMP_2022-04-02_RFR-104</v>
      </c>
      <c r="Y969" s="89" t="str">
        <f t="shared" si="867"/>
        <v/>
      </c>
      <c r="Z969" s="60" t="str">
        <f t="shared" si="7"/>
        <v/>
      </c>
      <c r="AA969" s="60" t="str">
        <f t="shared" si="8"/>
        <v/>
      </c>
      <c r="AB969" s="60" t="str">
        <f t="shared" si="9"/>
        <v/>
      </c>
      <c r="AC969" s="30" t="str">
        <f t="shared" ref="AC969:AD969" si="1325">IF(_xlfn.ISFORMULA(S969),IFERROR(0/0,""),TRUE)</f>
        <v/>
      </c>
      <c r="AD969" s="30" t="str">
        <f t="shared" si="1325"/>
        <v/>
      </c>
      <c r="AE969" s="475" t="str">
        <f>IFERROR(__xludf.DUMMYFUNCTION("""COMPUTED_VALUE"""),"CRLN")</f>
        <v>CRLN</v>
      </c>
      <c r="AF969" s="476"/>
      <c r="AG969" s="474" t="s">
        <v>195</v>
      </c>
      <c r="AH969" s="138" t="str">
        <f t="shared" si="11"/>
        <v/>
      </c>
    </row>
    <row r="970">
      <c r="A970" s="103" t="str">
        <f>IFERROR(__xludf.DUMMYFUNCTION("""COMPUTED_VALUE"""),"MA987")</f>
        <v>MA987</v>
      </c>
      <c r="B970" s="468">
        <f>IFERROR(__xludf.DUMMYFUNCTION("""COMPUTED_VALUE"""),44653.0)</f>
        <v>44653</v>
      </c>
      <c r="C970" s="469">
        <f>IFERROR(__xludf.DUMMYFUNCTION("""COMPUTED_VALUE"""),0.36900462962962965)</f>
        <v>0.3690046296</v>
      </c>
      <c r="D970" s="103" t="str">
        <f>IFERROR(__xludf.DUMMYFUNCTION("""COMPUTED_VALUE"""),"SpFLMP684798")</f>
        <v>SpFLMP684798</v>
      </c>
      <c r="E970" s="103"/>
      <c r="F970" s="103"/>
      <c r="G970" s="103" t="str">
        <f>IFERROR(__xludf.DUMMYFUNCTION("""COMPUTED_VALUE"""),"Null")</f>
        <v>Null</v>
      </c>
      <c r="H970" s="131" t="str">
        <f>IFERROR(__xludf.DUMMYFUNCTION("""COMPUTED_VALUE"""),"Negative")</f>
        <v>Negative</v>
      </c>
      <c r="I970" s="468"/>
      <c r="J970" s="16"/>
      <c r="K970" s="16">
        <f>IFERROR(__xludf.DUMMYFUNCTION("""COMPUTED_VALUE"""),2.0)</f>
        <v>2</v>
      </c>
      <c r="L970" s="8" t="str">
        <f>IFERROR(__xludf.DUMMYFUNCTION("""COMPUTED_VALUE"""),"Collection date changed, Tube ID listed in run form for 4-2")</f>
        <v>Collection date changed, Tube ID listed in run form for 4-2</v>
      </c>
      <c r="M970" s="69"/>
      <c r="N970" s="69">
        <f>IFERROR(__xludf.DUMMYFUNCTION("""COMPUTED_VALUE"""),3.0)</f>
        <v>3</v>
      </c>
      <c r="O970" s="69" t="str">
        <f t="shared" si="3"/>
        <v/>
      </c>
      <c r="P970" s="471">
        <f>IFERROR(__xludf.DUMMYFUNCTION("""COMPUTED_VALUE"""),-1.0)</f>
        <v>-1</v>
      </c>
      <c r="Q970" s="274" t="b">
        <f>VLOOKUP($B970,'Run Reconcile'!B$2:O2488,14,FALSE)</f>
        <v>1</v>
      </c>
      <c r="R970" s="472" t="str">
        <f t="array" ref="R970">IF($Q970, INDEX('Run Reconcile'!A$2:A2488,MATCH(B970,'Run Reconcile'!B$2:B2488,0),1),IFERROR(0/0,""))</f>
        <v>RUN-FLMP_2022-04-02_RFR-104</v>
      </c>
      <c r="S970" s="473" t="str">
        <f t="shared" si="694"/>
        <v/>
      </c>
      <c r="T970" s="473" t="str">
        <f t="shared" si="698"/>
        <v/>
      </c>
      <c r="U970" s="275" t="str">
        <f t="array" ref="U970">IF(ISBLANK($R970), INDEX('Run Reconcile'!A$2:A2488, MATCH($B970, 'Run Reconcile'!B$2:B2488, 0)+Z970, 1), IFERROR(0/0,""))
</f>
        <v/>
      </c>
      <c r="V970" s="474" t="str">
        <f t="shared" si="5"/>
        <v>RUN-FLMP_2022-04-02_RFR-104</v>
      </c>
      <c r="Y970" s="89" t="str">
        <f t="shared" si="867"/>
        <v/>
      </c>
      <c r="Z970" s="60" t="str">
        <f t="shared" si="7"/>
        <v/>
      </c>
      <c r="AA970" s="60" t="str">
        <f t="shared" si="8"/>
        <v/>
      </c>
      <c r="AB970" s="60" t="str">
        <f t="shared" si="9"/>
        <v/>
      </c>
      <c r="AC970" s="30" t="str">
        <f t="shared" ref="AC970:AD970" si="1326">IF(_xlfn.ISFORMULA(S970),IFERROR(0/0,""),TRUE)</f>
        <v/>
      </c>
      <c r="AD970" s="30" t="str">
        <f t="shared" si="1326"/>
        <v/>
      </c>
      <c r="AE970" s="475" t="str">
        <f>IFERROR(__xludf.DUMMYFUNCTION("""COMPUTED_VALUE"""),"CRLN")</f>
        <v>CRLN</v>
      </c>
      <c r="AF970" s="476"/>
      <c r="AG970" s="474" t="s">
        <v>195</v>
      </c>
      <c r="AH970" s="138" t="str">
        <f t="shared" si="11"/>
        <v/>
      </c>
    </row>
    <row r="971">
      <c r="A971" s="103" t="str">
        <f>IFERROR(__xludf.DUMMYFUNCTION("""COMPUTED_VALUE"""),"MA939")</f>
        <v>MA939</v>
      </c>
      <c r="B971" s="468">
        <f>IFERROR(__xludf.DUMMYFUNCTION("""COMPUTED_VALUE"""),44653.0)</f>
        <v>44653</v>
      </c>
      <c r="C971" s="469">
        <f>IFERROR(__xludf.DUMMYFUNCTION("""COMPUTED_VALUE"""),0.40141203703703704)</f>
        <v>0.401412037</v>
      </c>
      <c r="D971" s="103" t="str">
        <f>IFERROR(__xludf.DUMMYFUNCTION("""COMPUTED_VALUE"""),"SpFLMP684798")</f>
        <v>SpFLMP684798</v>
      </c>
      <c r="E971" s="103"/>
      <c r="F971" s="103"/>
      <c r="G971" s="103" t="str">
        <f>IFERROR(__xludf.DUMMYFUNCTION("""COMPUTED_VALUE"""),"Negative")</f>
        <v>Negative</v>
      </c>
      <c r="H971" s="131" t="str">
        <f>IFERROR(__xludf.DUMMYFUNCTION("""COMPUTED_VALUE"""),"Negative")</f>
        <v>Negative</v>
      </c>
      <c r="I971" s="468">
        <f>IFERROR(__xludf.DUMMYFUNCTION("""COMPUTED_VALUE"""),44653.0)</f>
        <v>44653</v>
      </c>
      <c r="J971" s="470">
        <f>IFERROR(__xludf.DUMMYFUNCTION("""COMPUTED_VALUE"""),0.5846296296296296)</f>
        <v>0.5846296296</v>
      </c>
      <c r="K971" s="16"/>
      <c r="L971" s="8"/>
      <c r="M971" s="69"/>
      <c r="N971" s="69">
        <f>IFERROR(__xludf.DUMMYFUNCTION("""COMPUTED_VALUE"""),3.0)</f>
        <v>3</v>
      </c>
      <c r="O971" s="69" t="str">
        <f t="shared" si="3"/>
        <v/>
      </c>
      <c r="P971" s="471">
        <f>IFERROR(__xludf.DUMMYFUNCTION("""COMPUTED_VALUE"""),0.0)</f>
        <v>0</v>
      </c>
      <c r="Q971" s="274" t="b">
        <f>VLOOKUP($B971,'Run Reconcile'!B$2:O2488,14,FALSE)</f>
        <v>1</v>
      </c>
      <c r="R971" s="472" t="str">
        <f t="array" ref="R971">IF($Q971, INDEX('Run Reconcile'!A$2:A2488,MATCH(B971,'Run Reconcile'!B$2:B2488,0),1),IFERROR(0/0,""))</f>
        <v>RUN-FLMP_2022-04-02_RFR-104</v>
      </c>
      <c r="S971" s="473" t="str">
        <f t="shared" si="694"/>
        <v/>
      </c>
      <c r="T971" s="473" t="str">
        <f t="shared" si="698"/>
        <v/>
      </c>
      <c r="U971" s="275" t="str">
        <f t="array" ref="U971">IF(ISBLANK($R971), INDEX('Run Reconcile'!A$2:A2488, MATCH($B971, 'Run Reconcile'!B$2:B2488, 0)+Z971, 1), IFERROR(0/0,""))
</f>
        <v/>
      </c>
      <c r="V971" s="474" t="str">
        <f t="shared" si="5"/>
        <v>RUN-FLMP_2022-04-02_RFR-104</v>
      </c>
      <c r="Y971" s="89" t="str">
        <f t="shared" si="867"/>
        <v/>
      </c>
      <c r="Z971" s="60" t="str">
        <f t="shared" si="7"/>
        <v/>
      </c>
      <c r="AA971" s="60" t="str">
        <f t="shared" si="8"/>
        <v/>
      </c>
      <c r="AB971" s="60" t="str">
        <f t="shared" si="9"/>
        <v/>
      </c>
      <c r="AC971" s="30" t="str">
        <f t="shared" ref="AC971:AD971" si="1327">IF(_xlfn.ISFORMULA(S971),IFERROR(0/0,""),TRUE)</f>
        <v/>
      </c>
      <c r="AD971" s="30" t="str">
        <f t="shared" si="1327"/>
        <v/>
      </c>
      <c r="AE971" s="475" t="str">
        <f>IFERROR(__xludf.DUMMYFUNCTION("""COMPUTED_VALUE"""),"CRLN")</f>
        <v>CRLN</v>
      </c>
      <c r="AF971" s="476"/>
      <c r="AG971" s="474" t="s">
        <v>195</v>
      </c>
      <c r="AH971" s="138" t="str">
        <f t="shared" si="11"/>
        <v/>
      </c>
    </row>
    <row r="972">
      <c r="A972" s="477" t="str">
        <f>IFERROR(__xludf.DUMMYFUNCTION("""COMPUTED_VALUE"""),"FLT190")</f>
        <v>FLT190</v>
      </c>
      <c r="B972" s="478">
        <f>IFERROR(__xludf.DUMMYFUNCTION("""COMPUTED_VALUE"""),44654.0)</f>
        <v>44654</v>
      </c>
      <c r="C972" s="479">
        <f>IFERROR(__xludf.DUMMYFUNCTION("""COMPUTED_VALUE"""),0.43474537037037037)</f>
        <v>0.4347453704</v>
      </c>
      <c r="D972" s="477" t="str">
        <f>IFERROR(__xludf.DUMMYFUNCTION("""COMPUTED_VALUE"""),"SpFLMP125859")</f>
        <v>SpFLMP125859</v>
      </c>
      <c r="E972" s="477"/>
      <c r="F972" s="477"/>
      <c r="G972" s="477" t="str">
        <f>IFERROR(__xludf.DUMMYFUNCTION("""COMPUTED_VALUE"""),"Negative")</f>
        <v>Negative</v>
      </c>
      <c r="H972" s="480" t="str">
        <f>IFERROR(__xludf.DUMMYFUNCTION("""COMPUTED_VALUE"""),"Negative")</f>
        <v>Negative</v>
      </c>
      <c r="I972" s="478">
        <f>IFERROR(__xludf.DUMMYFUNCTION("""COMPUTED_VALUE"""),44655.0)</f>
        <v>44655</v>
      </c>
      <c r="J972" s="481">
        <f>IFERROR(__xludf.DUMMYFUNCTION("""COMPUTED_VALUE"""),0.43578703703703703)</f>
        <v>0.435787037</v>
      </c>
      <c r="K972" s="156"/>
      <c r="L972" s="19"/>
      <c r="M972" s="482"/>
      <c r="N972" s="482">
        <f>IFERROR(__xludf.DUMMYFUNCTION("""COMPUTED_VALUE"""),4.0)</f>
        <v>4</v>
      </c>
      <c r="O972" s="482" t="b">
        <f t="shared" si="3"/>
        <v>1</v>
      </c>
      <c r="P972" s="483">
        <f>IFERROR(__xludf.DUMMYFUNCTION("""COMPUTED_VALUE"""),1.0)</f>
        <v>1</v>
      </c>
      <c r="Q972" s="352" t="str">
        <f>VLOOKUP($B972,'Run Reconcile'!B$2:O2488,14,FALSE)</f>
        <v/>
      </c>
      <c r="R972" s="484" t="str">
        <f t="array" ref="R972">IF($Q972, INDEX('Run Reconcile'!A$2:A2488,MATCH(B972,'Run Reconcile'!B$2:B2488,0),1),IFERROR(0/0,""))</f>
        <v/>
      </c>
      <c r="S972" s="485" t="b">
        <f t="shared" si="694"/>
        <v>1</v>
      </c>
      <c r="T972" s="485" t="str">
        <f t="shared" si="698"/>
        <v/>
      </c>
      <c r="U972" s="353" t="str">
        <f t="array" ref="U972">IF(ISBLANK($R972), INDEX('Run Reconcile'!A$2:A2488, MATCH($B972, 'Run Reconcile'!B$2:B2488, 0)+Z972, 1), IFERROR(0/0,""))
</f>
        <v>RUN-FLMP_2022-04-04_RFR-105</v>
      </c>
      <c r="V972" s="486" t="str">
        <f t="shared" si="5"/>
        <v>RUN-FLMP_2022-04-04_RFR-105</v>
      </c>
      <c r="W972" s="19" t="s">
        <v>1469</v>
      </c>
      <c r="X972" s="19"/>
      <c r="Y972" s="89">
        <f t="shared" si="867"/>
        <v>1</v>
      </c>
      <c r="Z972" s="60">
        <f t="shared" si="7"/>
        <v>1</v>
      </c>
      <c r="AA972" s="60">
        <f t="shared" si="8"/>
        <v>1</v>
      </c>
      <c r="AB972" s="60" t="str">
        <f t="shared" si="9"/>
        <v/>
      </c>
      <c r="AC972" s="158" t="str">
        <f t="shared" ref="AC972:AD972" si="1328">IF(_xlfn.ISFORMULA(S972),IFERROR(0/0,""),TRUE)</f>
        <v/>
      </c>
      <c r="AD972" s="158" t="str">
        <f t="shared" si="1328"/>
        <v/>
      </c>
      <c r="AE972" s="488" t="str">
        <f>IFERROR(__xludf.DUMMYFUNCTION("""COMPUTED_VALUE"""),"CRLN")</f>
        <v>CRLN</v>
      </c>
      <c r="AF972" s="489"/>
      <c r="AG972" s="486" t="s">
        <v>196</v>
      </c>
      <c r="AH972" s="138" t="str">
        <f t="shared" si="11"/>
        <v/>
      </c>
      <c r="AI972" s="19"/>
      <c r="AJ972" s="19"/>
      <c r="AK972" s="19"/>
      <c r="AL972" s="19"/>
      <c r="AM972" s="19"/>
    </row>
    <row r="973">
      <c r="A973" s="103" t="str">
        <f>IFERROR(__xludf.DUMMYFUNCTION("""COMPUTED_VALUE"""),"FLB5980")</f>
        <v>FLB5980</v>
      </c>
      <c r="B973" s="468">
        <f>IFERROR(__xludf.DUMMYFUNCTION("""COMPUTED_VALUE"""),44654.0)</f>
        <v>44654</v>
      </c>
      <c r="C973" s="469">
        <f>IFERROR(__xludf.DUMMYFUNCTION("""COMPUTED_VALUE"""),0.7120949074074074)</f>
        <v>0.7120949074</v>
      </c>
      <c r="D973" s="103" t="str">
        <f>IFERROR(__xludf.DUMMYFUNCTION("""COMPUTED_VALUE"""),"SpFLMP271329")</f>
        <v>SpFLMP271329</v>
      </c>
      <c r="E973" s="103"/>
      <c r="F973" s="103"/>
      <c r="G973" s="103" t="str">
        <f>IFERROR(__xludf.DUMMYFUNCTION("""COMPUTED_VALUE"""),"Negative")</f>
        <v>Negative</v>
      </c>
      <c r="H973" s="131" t="str">
        <f>IFERROR(__xludf.DUMMYFUNCTION("""COMPUTED_VALUE"""),"Negative")</f>
        <v>Negative</v>
      </c>
      <c r="I973" s="468">
        <f>IFERROR(__xludf.DUMMYFUNCTION("""COMPUTED_VALUE"""),44655.0)</f>
        <v>44655</v>
      </c>
      <c r="J973" s="470">
        <f>IFERROR(__xludf.DUMMYFUNCTION("""COMPUTED_VALUE"""),0.43578703703703703)</f>
        <v>0.435787037</v>
      </c>
      <c r="K973" s="16"/>
      <c r="L973" s="8"/>
      <c r="M973" s="69"/>
      <c r="N973" s="69">
        <f>IFERROR(__xludf.DUMMYFUNCTION("""COMPUTED_VALUE"""),1.0)</f>
        <v>1</v>
      </c>
      <c r="O973" s="69" t="str">
        <f t="shared" si="3"/>
        <v/>
      </c>
      <c r="P973" s="471">
        <f>IFERROR(__xludf.DUMMYFUNCTION("""COMPUTED_VALUE"""),1.0)</f>
        <v>1</v>
      </c>
      <c r="Q973" s="274" t="str">
        <f>VLOOKUP($B973,'Run Reconcile'!B$2:O2488,14,FALSE)</f>
        <v/>
      </c>
      <c r="R973" s="472" t="str">
        <f t="array" ref="R973">IF($Q973, INDEX('Run Reconcile'!A$2:A2488,MATCH(B973,'Run Reconcile'!B$2:B2488,0),1),IFERROR(0/0,""))</f>
        <v/>
      </c>
      <c r="S973" s="473" t="b">
        <f t="shared" si="694"/>
        <v>1</v>
      </c>
      <c r="T973" s="473" t="str">
        <f t="shared" si="698"/>
        <v/>
      </c>
      <c r="U973" s="275" t="str">
        <f t="array" ref="U973">IF(ISBLANK($R973), INDEX('Run Reconcile'!A$2:A2488, MATCH($B973, 'Run Reconcile'!B$2:B2488, 0)+Z973, 1), IFERROR(0/0,""))
</f>
        <v>RUN-FLMP_2022-04-04_RFR-105</v>
      </c>
      <c r="V973" s="474" t="str">
        <f t="shared" si="5"/>
        <v>RUN-FLMP_2022-04-04_RFR-105</v>
      </c>
      <c r="W973" s="8" t="s">
        <v>1470</v>
      </c>
      <c r="Y973" s="89">
        <f t="shared" si="867"/>
        <v>1</v>
      </c>
      <c r="Z973" s="60">
        <f t="shared" si="7"/>
        <v>1</v>
      </c>
      <c r="AA973" s="60">
        <f t="shared" si="8"/>
        <v>1</v>
      </c>
      <c r="AB973" s="60" t="str">
        <f t="shared" si="9"/>
        <v/>
      </c>
      <c r="AC973" s="30" t="str">
        <f t="shared" ref="AC973:AD973" si="1329">IF(_xlfn.ISFORMULA(S973),IFERROR(0/0,""),TRUE)</f>
        <v/>
      </c>
      <c r="AD973" s="30" t="str">
        <f t="shared" si="1329"/>
        <v/>
      </c>
      <c r="AE973" s="475" t="str">
        <f>IFERROR(__xludf.DUMMYFUNCTION("""COMPUTED_VALUE"""),"CRLN")</f>
        <v>CRLN</v>
      </c>
      <c r="AF973" s="476"/>
      <c r="AG973" s="474" t="s">
        <v>196</v>
      </c>
      <c r="AH973" s="138" t="str">
        <f t="shared" si="11"/>
        <v/>
      </c>
    </row>
    <row r="974">
      <c r="A974" s="103" t="str">
        <f>IFERROR(__xludf.DUMMYFUNCTION("""COMPUTED_VALUE"""),"FLB7368")</f>
        <v>FLB7368</v>
      </c>
      <c r="B974" s="468">
        <f>IFERROR(__xludf.DUMMYFUNCTION("""COMPUTED_VALUE"""),44654.0)</f>
        <v>44654</v>
      </c>
      <c r="C974" s="469">
        <f>IFERROR(__xludf.DUMMYFUNCTION("""COMPUTED_VALUE"""),0.8262962962962963)</f>
        <v>0.8262962963</v>
      </c>
      <c r="D974" s="103" t="str">
        <f>IFERROR(__xludf.DUMMYFUNCTION("""COMPUTED_VALUE"""),"SpFLMP268514")</f>
        <v>SpFLMP268514</v>
      </c>
      <c r="E974" s="103"/>
      <c r="F974" s="103"/>
      <c r="G974" s="103" t="str">
        <f>IFERROR(__xludf.DUMMYFUNCTION("""COMPUTED_VALUE"""),"Negative")</f>
        <v>Negative</v>
      </c>
      <c r="H974" s="131" t="str">
        <f>IFERROR(__xludf.DUMMYFUNCTION("""COMPUTED_VALUE"""),"Negative")</f>
        <v>Negative</v>
      </c>
      <c r="I974" s="468">
        <f>IFERROR(__xludf.DUMMYFUNCTION("""COMPUTED_VALUE"""),44655.0)</f>
        <v>44655</v>
      </c>
      <c r="J974" s="470">
        <f>IFERROR(__xludf.DUMMYFUNCTION("""COMPUTED_VALUE"""),0.43578703703703703)</f>
        <v>0.435787037</v>
      </c>
      <c r="K974" s="16"/>
      <c r="L974" s="8"/>
      <c r="M974" s="69"/>
      <c r="N974" s="69">
        <f>IFERROR(__xludf.DUMMYFUNCTION("""COMPUTED_VALUE"""),4.0)</f>
        <v>4</v>
      </c>
      <c r="O974" s="69" t="str">
        <f t="shared" si="3"/>
        <v/>
      </c>
      <c r="P974" s="471">
        <f>IFERROR(__xludf.DUMMYFUNCTION("""COMPUTED_VALUE"""),1.0)</f>
        <v>1</v>
      </c>
      <c r="Q974" s="274" t="str">
        <f>VLOOKUP($B974,'Run Reconcile'!B$2:O2488,14,FALSE)</f>
        <v/>
      </c>
      <c r="R974" s="472" t="str">
        <f t="array" ref="R974">IF($Q974, INDEX('Run Reconcile'!A$2:A2488,MATCH(B974,'Run Reconcile'!B$2:B2488,0),1),IFERROR(0/0,""))</f>
        <v/>
      </c>
      <c r="S974" s="473" t="b">
        <f t="shared" si="694"/>
        <v>1</v>
      </c>
      <c r="T974" s="473" t="str">
        <f t="shared" si="698"/>
        <v/>
      </c>
      <c r="U974" s="275" t="str">
        <f t="array" ref="U974">IF(ISBLANK($R974), INDEX('Run Reconcile'!A$2:A2488, MATCH($B974, 'Run Reconcile'!B$2:B2488, 0)+Z974, 1), IFERROR(0/0,""))
</f>
        <v>RUN-FLMP_2022-04-04_RFR-105</v>
      </c>
      <c r="V974" s="474" t="str">
        <f t="shared" si="5"/>
        <v>RUN-FLMP_2022-04-04_RFR-105</v>
      </c>
      <c r="W974" s="8" t="s">
        <v>1471</v>
      </c>
      <c r="Y974" s="89">
        <f t="shared" si="867"/>
        <v>1</v>
      </c>
      <c r="Z974" s="60">
        <f t="shared" si="7"/>
        <v>1</v>
      </c>
      <c r="AA974" s="60">
        <f t="shared" si="8"/>
        <v>1</v>
      </c>
      <c r="AB974" s="60" t="str">
        <f t="shared" si="9"/>
        <v/>
      </c>
      <c r="AC974" s="30" t="str">
        <f t="shared" ref="AC974:AD974" si="1330">IF(_xlfn.ISFORMULA(S974),IFERROR(0/0,""),TRUE)</f>
        <v/>
      </c>
      <c r="AD974" s="30" t="str">
        <f t="shared" si="1330"/>
        <v/>
      </c>
      <c r="AE974" s="475" t="str">
        <f>IFERROR(__xludf.DUMMYFUNCTION("""COMPUTED_VALUE"""),"CRLN")</f>
        <v>CRLN</v>
      </c>
      <c r="AF974" s="476"/>
      <c r="AG974" s="474" t="s">
        <v>196</v>
      </c>
      <c r="AH974" s="138" t="str">
        <f t="shared" si="11"/>
        <v/>
      </c>
    </row>
    <row r="975">
      <c r="A975" s="477" t="str">
        <f>IFERROR(__xludf.DUMMYFUNCTION("""COMPUTED_VALUE"""),"FLB7346")</f>
        <v>FLB7346</v>
      </c>
      <c r="B975" s="478">
        <f>IFERROR(__xludf.DUMMYFUNCTION("""COMPUTED_VALUE"""),44655.0)</f>
        <v>44655</v>
      </c>
      <c r="C975" s="479">
        <f>IFERROR(__xludf.DUMMYFUNCTION("""COMPUTED_VALUE"""),0.0)</f>
        <v>0</v>
      </c>
      <c r="D975" s="477" t="str">
        <f>IFERROR(__xludf.DUMMYFUNCTION("""COMPUTED_VALUE"""),"SpFLMP273885")</f>
        <v>SpFLMP273885</v>
      </c>
      <c r="E975" s="477"/>
      <c r="F975" s="477"/>
      <c r="G975" s="477" t="str">
        <f>IFERROR(__xludf.DUMMYFUNCTION("""COMPUTED_VALUE"""),"Negative")</f>
        <v>Negative</v>
      </c>
      <c r="H975" s="480" t="str">
        <f>IFERROR(__xludf.DUMMYFUNCTION("""COMPUTED_VALUE"""),"Negative")</f>
        <v>Negative</v>
      </c>
      <c r="I975" s="478">
        <f>IFERROR(__xludf.DUMMYFUNCTION("""COMPUTED_VALUE"""),44655.0)</f>
        <v>44655</v>
      </c>
      <c r="J975" s="481">
        <f>IFERROR(__xludf.DUMMYFUNCTION("""COMPUTED_VALUE"""),0.4621180555555556)</f>
        <v>0.4621180556</v>
      </c>
      <c r="K975" s="156"/>
      <c r="L975" s="19" t="str">
        <f>IFERROR(__xludf.DUMMYFUNCTION("""COMPUTED_VALUE"""),"added row, in daily results report")</f>
        <v>added row, in daily results report</v>
      </c>
      <c r="M975" s="482"/>
      <c r="N975" s="482">
        <f>IFERROR(__xludf.DUMMYFUNCTION("""COMPUTED_VALUE"""),4.0)</f>
        <v>4</v>
      </c>
      <c r="O975" s="482" t="b">
        <f t="shared" si="3"/>
        <v>1</v>
      </c>
      <c r="P975" s="483">
        <f>IFERROR(__xludf.DUMMYFUNCTION("""COMPUTED_VALUE"""),0.0)</f>
        <v>0</v>
      </c>
      <c r="Q975" s="352" t="b">
        <f>VLOOKUP($B975,'Run Reconcile'!B$2:O2488,14,FALSE)</f>
        <v>1</v>
      </c>
      <c r="R975" s="484" t="str">
        <f t="array" ref="R975">IF($Q975, INDEX('Run Reconcile'!A$2:A2488,MATCH(B975,'Run Reconcile'!B$2:B2488,0),1),IFERROR(0/0,""))</f>
        <v>RUN-FLMP_2022-04-04_RFR-105</v>
      </c>
      <c r="S975" s="485" t="str">
        <f t="shared" si="694"/>
        <v/>
      </c>
      <c r="T975" s="485" t="str">
        <f t="shared" si="698"/>
        <v/>
      </c>
      <c r="U975" s="353" t="str">
        <f t="array" ref="U975">IF(ISBLANK($R975), INDEX('Run Reconcile'!A$2:A2488, MATCH($B975, 'Run Reconcile'!B$2:B2488, 0)+Z975, 1), IFERROR(0/0,""))
</f>
        <v/>
      </c>
      <c r="V975" s="486" t="str">
        <f t="shared" si="5"/>
        <v>RUN-FLMP_2022-04-04_RFR-105</v>
      </c>
      <c r="W975" s="19"/>
      <c r="X975" s="19"/>
      <c r="Y975" s="89" t="str">
        <f t="shared" si="867"/>
        <v/>
      </c>
      <c r="Z975" s="60" t="str">
        <f t="shared" si="7"/>
        <v/>
      </c>
      <c r="AA975" s="60" t="str">
        <f t="shared" si="8"/>
        <v/>
      </c>
      <c r="AB975" s="60" t="str">
        <f t="shared" si="9"/>
        <v/>
      </c>
      <c r="AC975" s="158" t="str">
        <f t="shared" ref="AC975:AD975" si="1331">IF(_xlfn.ISFORMULA(S975),IFERROR(0/0,""),TRUE)</f>
        <v/>
      </c>
      <c r="AD975" s="158" t="str">
        <f t="shared" si="1331"/>
        <v/>
      </c>
      <c r="AE975" s="488" t="str">
        <f>IFERROR(__xludf.DUMMYFUNCTION("""COMPUTED_VALUE"""),"CRLN")</f>
        <v>CRLN</v>
      </c>
      <c r="AF975" s="489"/>
      <c r="AG975" s="486" t="s">
        <v>196</v>
      </c>
      <c r="AH975" s="138" t="str">
        <f t="shared" si="11"/>
        <v/>
      </c>
      <c r="AI975" s="19"/>
      <c r="AJ975" s="19"/>
      <c r="AK975" s="19"/>
      <c r="AL975" s="19"/>
      <c r="AM975" s="19"/>
    </row>
    <row r="976">
      <c r="A976" s="103" t="str">
        <f>IFERROR(__xludf.DUMMYFUNCTION("""COMPUTED_VALUE"""),"FLB7162")</f>
        <v>FLB7162</v>
      </c>
      <c r="B976" s="468">
        <f>IFERROR(__xludf.DUMMYFUNCTION("""COMPUTED_VALUE"""),44655.0)</f>
        <v>44655</v>
      </c>
      <c r="C976" s="469">
        <f>IFERROR(__xludf.DUMMYFUNCTION("""COMPUTED_VALUE"""),0.26104166666666667)</f>
        <v>0.2610416667</v>
      </c>
      <c r="D976" s="103" t="str">
        <f>IFERROR(__xludf.DUMMYFUNCTION("""COMPUTED_VALUE"""),"SpFLMP470379")</f>
        <v>SpFLMP470379</v>
      </c>
      <c r="E976" s="103"/>
      <c r="F976" s="103"/>
      <c r="G976" s="103" t="str">
        <f>IFERROR(__xludf.DUMMYFUNCTION("""COMPUTED_VALUE"""),"Negative")</f>
        <v>Negative</v>
      </c>
      <c r="H976" s="131" t="str">
        <f>IFERROR(__xludf.DUMMYFUNCTION("""COMPUTED_VALUE"""),"Negative")</f>
        <v>Negative</v>
      </c>
      <c r="I976" s="468">
        <f>IFERROR(__xludf.DUMMYFUNCTION("""COMPUTED_VALUE"""),44655.0)</f>
        <v>44655</v>
      </c>
      <c r="J976" s="470">
        <f>IFERROR(__xludf.DUMMYFUNCTION("""COMPUTED_VALUE"""),0.4621180555555556)</f>
        <v>0.4621180556</v>
      </c>
      <c r="K976" s="16"/>
      <c r="L976" s="8" t="str">
        <f>IFERROR(__xludf.DUMMYFUNCTION("""COMPUTED_VALUE"""),"collection date and time changed to 4-4 based on daily results report")</f>
        <v>collection date and time changed to 4-4 based on daily results report</v>
      </c>
      <c r="M976" s="69"/>
      <c r="N976" s="69">
        <f>IFERROR(__xludf.DUMMYFUNCTION("""COMPUTED_VALUE"""),1.0)</f>
        <v>1</v>
      </c>
      <c r="O976" s="69" t="str">
        <f t="shared" si="3"/>
        <v/>
      </c>
      <c r="P976" s="471">
        <f>IFERROR(__xludf.DUMMYFUNCTION("""COMPUTED_VALUE"""),0.0)</f>
        <v>0</v>
      </c>
      <c r="Q976" s="274" t="b">
        <f>VLOOKUP($B976,'Run Reconcile'!B$2:O2488,14,FALSE)</f>
        <v>1</v>
      </c>
      <c r="R976" s="472" t="str">
        <f t="array" ref="R976">IF($Q976, INDEX('Run Reconcile'!A$2:A2488,MATCH(B976,'Run Reconcile'!B$2:B2488,0),1),IFERROR(0/0,""))</f>
        <v>RUN-FLMP_2022-04-04_RFR-105</v>
      </c>
      <c r="S976" s="473" t="str">
        <f t="shared" si="694"/>
        <v/>
      </c>
      <c r="T976" s="473" t="str">
        <f t="shared" si="698"/>
        <v/>
      </c>
      <c r="U976" s="275" t="str">
        <f t="array" ref="U976">IF(ISBLANK($R976), INDEX('Run Reconcile'!A$2:A2488, MATCH($B976, 'Run Reconcile'!B$2:B2488, 0)+Z976, 1), IFERROR(0/0,""))
</f>
        <v/>
      </c>
      <c r="V976" s="474" t="str">
        <f t="shared" si="5"/>
        <v>RUN-FLMP_2022-04-04_RFR-105</v>
      </c>
      <c r="Y976" s="89" t="str">
        <f t="shared" si="867"/>
        <v/>
      </c>
      <c r="Z976" s="60" t="str">
        <f t="shared" si="7"/>
        <v/>
      </c>
      <c r="AA976" s="60" t="str">
        <f t="shared" si="8"/>
        <v/>
      </c>
      <c r="AB976" s="60" t="str">
        <f t="shared" si="9"/>
        <v/>
      </c>
      <c r="AC976" s="30" t="str">
        <f t="shared" ref="AC976:AD976" si="1332">IF(_xlfn.ISFORMULA(S976),IFERROR(0/0,""),TRUE)</f>
        <v/>
      </c>
      <c r="AD976" s="30" t="str">
        <f t="shared" si="1332"/>
        <v/>
      </c>
      <c r="AE976" s="475" t="str">
        <f>IFERROR(__xludf.DUMMYFUNCTION("""COMPUTED_VALUE"""),"CRLN")</f>
        <v>CRLN</v>
      </c>
      <c r="AF976" s="476"/>
      <c r="AG976" s="474" t="s">
        <v>196</v>
      </c>
      <c r="AH976" s="138" t="str">
        <f t="shared" si="11"/>
        <v/>
      </c>
    </row>
    <row r="977">
      <c r="A977" s="103" t="str">
        <f>IFERROR(__xludf.DUMMYFUNCTION("""COMPUTED_VALUE"""),"FLE855")</f>
        <v>FLE855</v>
      </c>
      <c r="B977" s="468">
        <f>IFERROR(__xludf.DUMMYFUNCTION("""COMPUTED_VALUE"""),44655.0)</f>
        <v>44655</v>
      </c>
      <c r="C977" s="469">
        <f>IFERROR(__xludf.DUMMYFUNCTION("""COMPUTED_VALUE"""),0.28532407407407406)</f>
        <v>0.2853240741</v>
      </c>
      <c r="D977" s="103" t="str">
        <f>IFERROR(__xludf.DUMMYFUNCTION("""COMPUTED_VALUE"""),"SpFLMP690282")</f>
        <v>SpFLMP690282</v>
      </c>
      <c r="E977" s="103"/>
      <c r="F977" s="103"/>
      <c r="G977" s="103" t="str">
        <f>IFERROR(__xludf.DUMMYFUNCTION("""COMPUTED_VALUE"""),"Negative")</f>
        <v>Negative</v>
      </c>
      <c r="H977" s="131" t="str">
        <f>IFERROR(__xludf.DUMMYFUNCTION("""COMPUTED_VALUE"""),"Negative")</f>
        <v>Negative</v>
      </c>
      <c r="I977" s="468">
        <f>IFERROR(__xludf.DUMMYFUNCTION("""COMPUTED_VALUE"""),44655.0)</f>
        <v>44655</v>
      </c>
      <c r="J977" s="470">
        <f>IFERROR(__xludf.DUMMYFUNCTION("""COMPUTED_VALUE"""),0.43578703703703703)</f>
        <v>0.435787037</v>
      </c>
      <c r="K977" s="16"/>
      <c r="L977" s="8"/>
      <c r="M977" s="69"/>
      <c r="N977" s="69">
        <f>IFERROR(__xludf.DUMMYFUNCTION("""COMPUTED_VALUE"""),2.0)</f>
        <v>2</v>
      </c>
      <c r="O977" s="69" t="str">
        <f t="shared" si="3"/>
        <v/>
      </c>
      <c r="P977" s="471">
        <f>IFERROR(__xludf.DUMMYFUNCTION("""COMPUTED_VALUE"""),0.0)</f>
        <v>0</v>
      </c>
      <c r="Q977" s="274" t="b">
        <f>VLOOKUP($B977,'Run Reconcile'!B$2:O2488,14,FALSE)</f>
        <v>1</v>
      </c>
      <c r="R977" s="472" t="str">
        <f t="array" ref="R977">IF($Q977, INDEX('Run Reconcile'!A$2:A2488,MATCH(B977,'Run Reconcile'!B$2:B2488,0),1),IFERROR(0/0,""))</f>
        <v>RUN-FLMP_2022-04-04_RFR-105</v>
      </c>
      <c r="S977" s="473" t="str">
        <f t="shared" si="694"/>
        <v/>
      </c>
      <c r="T977" s="473" t="str">
        <f t="shared" si="698"/>
        <v/>
      </c>
      <c r="U977" s="275" t="str">
        <f t="array" ref="U977">IF(ISBLANK($R977), INDEX('Run Reconcile'!A$2:A2488, MATCH($B977, 'Run Reconcile'!B$2:B2488, 0)+Z977, 1), IFERROR(0/0,""))
</f>
        <v/>
      </c>
      <c r="V977" s="474" t="str">
        <f t="shared" si="5"/>
        <v>RUN-FLMP_2022-04-04_RFR-105</v>
      </c>
      <c r="Y977" s="89" t="str">
        <f t="shared" si="867"/>
        <v/>
      </c>
      <c r="Z977" s="60" t="str">
        <f t="shared" si="7"/>
        <v/>
      </c>
      <c r="AA977" s="60" t="str">
        <f t="shared" si="8"/>
        <v/>
      </c>
      <c r="AB977" s="60" t="str">
        <f t="shared" si="9"/>
        <v/>
      </c>
      <c r="AC977" s="30" t="str">
        <f t="shared" ref="AC977:AD977" si="1333">IF(_xlfn.ISFORMULA(S977),IFERROR(0/0,""),TRUE)</f>
        <v/>
      </c>
      <c r="AD977" s="30" t="str">
        <f t="shared" si="1333"/>
        <v/>
      </c>
      <c r="AE977" s="475" t="str">
        <f>IFERROR(__xludf.DUMMYFUNCTION("""COMPUTED_VALUE"""),"CRLN")</f>
        <v>CRLN</v>
      </c>
      <c r="AF977" s="476"/>
      <c r="AG977" s="474" t="s">
        <v>196</v>
      </c>
      <c r="AH977" s="138" t="str">
        <f t="shared" si="11"/>
        <v/>
      </c>
    </row>
    <row r="978">
      <c r="A978" s="103" t="str">
        <f>IFERROR(__xludf.DUMMYFUNCTION("""COMPUTED_VALUE"""),"FLB4936")</f>
        <v>FLB4936</v>
      </c>
      <c r="B978" s="468">
        <f>IFERROR(__xludf.DUMMYFUNCTION("""COMPUTED_VALUE"""),44655.0)</f>
        <v>44655</v>
      </c>
      <c r="C978" s="469">
        <f>IFERROR(__xludf.DUMMYFUNCTION("""COMPUTED_VALUE"""),0.3120601851851852)</f>
        <v>0.3120601852</v>
      </c>
      <c r="D978" s="103" t="str">
        <f>IFERROR(__xludf.DUMMYFUNCTION("""COMPUTED_VALUE"""),"SpFLMP314549")</f>
        <v>SpFLMP314549</v>
      </c>
      <c r="E978" s="103"/>
      <c r="F978" s="103"/>
      <c r="G978" s="103" t="str">
        <f>IFERROR(__xludf.DUMMYFUNCTION("""COMPUTED_VALUE"""),"Negative")</f>
        <v>Negative</v>
      </c>
      <c r="H978" s="131" t="str">
        <f>IFERROR(__xludf.DUMMYFUNCTION("""COMPUTED_VALUE"""),"Negative")</f>
        <v>Negative</v>
      </c>
      <c r="I978" s="468">
        <f>IFERROR(__xludf.DUMMYFUNCTION("""COMPUTED_VALUE"""),44655.0)</f>
        <v>44655</v>
      </c>
      <c r="J978" s="470">
        <f>IFERROR(__xludf.DUMMYFUNCTION("""COMPUTED_VALUE"""),0.43578703703703703)</f>
        <v>0.435787037</v>
      </c>
      <c r="K978" s="16"/>
      <c r="L978" s="8"/>
      <c r="M978" s="69"/>
      <c r="N978" s="69">
        <f>IFERROR(__xludf.DUMMYFUNCTION("""COMPUTED_VALUE"""),1.0)</f>
        <v>1</v>
      </c>
      <c r="O978" s="69" t="str">
        <f t="shared" si="3"/>
        <v/>
      </c>
      <c r="P978" s="471">
        <f>IFERROR(__xludf.DUMMYFUNCTION("""COMPUTED_VALUE"""),0.0)</f>
        <v>0</v>
      </c>
      <c r="Q978" s="274" t="b">
        <f>VLOOKUP($B978,'Run Reconcile'!B$2:O2488,14,FALSE)</f>
        <v>1</v>
      </c>
      <c r="R978" s="472" t="str">
        <f t="array" ref="R978">IF($Q978, INDEX('Run Reconcile'!A$2:A2488,MATCH(B978,'Run Reconcile'!B$2:B2488,0),1),IFERROR(0/0,""))</f>
        <v>RUN-FLMP_2022-04-04_RFR-105</v>
      </c>
      <c r="S978" s="473" t="str">
        <f t="shared" si="694"/>
        <v/>
      </c>
      <c r="T978" s="473" t="str">
        <f t="shared" si="698"/>
        <v/>
      </c>
      <c r="U978" s="275" t="str">
        <f t="array" ref="U978">IF(ISBLANK($R978), INDEX('Run Reconcile'!A$2:A2488, MATCH($B978, 'Run Reconcile'!B$2:B2488, 0)+Z978, 1), IFERROR(0/0,""))
</f>
        <v/>
      </c>
      <c r="V978" s="474" t="str">
        <f t="shared" si="5"/>
        <v>RUN-FLMP_2022-04-04_RFR-105</v>
      </c>
      <c r="Y978" s="89" t="str">
        <f t="shared" si="867"/>
        <v/>
      </c>
      <c r="Z978" s="60" t="str">
        <f t="shared" si="7"/>
        <v/>
      </c>
      <c r="AA978" s="60" t="str">
        <f t="shared" si="8"/>
        <v/>
      </c>
      <c r="AB978" s="60" t="str">
        <f t="shared" si="9"/>
        <v/>
      </c>
      <c r="AC978" s="30" t="str">
        <f t="shared" ref="AC978:AD978" si="1334">IF(_xlfn.ISFORMULA(S978),IFERROR(0/0,""),TRUE)</f>
        <v/>
      </c>
      <c r="AD978" s="30" t="str">
        <f t="shared" si="1334"/>
        <v/>
      </c>
      <c r="AE978" s="475" t="str">
        <f>IFERROR(__xludf.DUMMYFUNCTION("""COMPUTED_VALUE"""),"CRLN")</f>
        <v>CRLN</v>
      </c>
      <c r="AF978" s="476"/>
      <c r="AG978" s="474" t="s">
        <v>196</v>
      </c>
      <c r="AH978" s="138" t="str">
        <f t="shared" si="11"/>
        <v/>
      </c>
    </row>
    <row r="979">
      <c r="A979" s="103" t="str">
        <f>IFERROR(__xludf.DUMMYFUNCTION("""COMPUTED_VALUE"""),"FLB4894")</f>
        <v>FLB4894</v>
      </c>
      <c r="B979" s="468">
        <f>IFERROR(__xludf.DUMMYFUNCTION("""COMPUTED_VALUE"""),44655.0)</f>
        <v>44655</v>
      </c>
      <c r="C979" s="469">
        <f>IFERROR(__xludf.DUMMYFUNCTION("""COMPUTED_VALUE"""),0.31346064814814817)</f>
        <v>0.3134606481</v>
      </c>
      <c r="D979" s="103" t="str">
        <f>IFERROR(__xludf.DUMMYFUNCTION("""COMPUTED_VALUE"""),"SpFLMP572444")</f>
        <v>SpFLMP572444</v>
      </c>
      <c r="E979" s="103"/>
      <c r="F979" s="103"/>
      <c r="G979" s="103" t="str">
        <f>IFERROR(__xludf.DUMMYFUNCTION("""COMPUTED_VALUE"""),"Negative")</f>
        <v>Negative</v>
      </c>
      <c r="H979" s="131" t="str">
        <f>IFERROR(__xludf.DUMMYFUNCTION("""COMPUTED_VALUE"""),"Negative")</f>
        <v>Negative</v>
      </c>
      <c r="I979" s="468">
        <f>IFERROR(__xludf.DUMMYFUNCTION("""COMPUTED_VALUE"""),44655.0)</f>
        <v>44655</v>
      </c>
      <c r="J979" s="470">
        <f>IFERROR(__xludf.DUMMYFUNCTION("""COMPUTED_VALUE"""),0.43578703703703703)</f>
        <v>0.435787037</v>
      </c>
      <c r="K979" s="16"/>
      <c r="L979" s="8"/>
      <c r="M979" s="69"/>
      <c r="N979" s="69">
        <f>IFERROR(__xludf.DUMMYFUNCTION("""COMPUTED_VALUE"""),3.0)</f>
        <v>3</v>
      </c>
      <c r="O979" s="69" t="str">
        <f t="shared" si="3"/>
        <v/>
      </c>
      <c r="P979" s="471">
        <f>IFERROR(__xludf.DUMMYFUNCTION("""COMPUTED_VALUE"""),0.0)</f>
        <v>0</v>
      </c>
      <c r="Q979" s="274" t="b">
        <f>VLOOKUP($B979,'Run Reconcile'!B$2:O2488,14,FALSE)</f>
        <v>1</v>
      </c>
      <c r="R979" s="472" t="str">
        <f t="array" ref="R979">IF($Q979, INDEX('Run Reconcile'!A$2:A2488,MATCH(B979,'Run Reconcile'!B$2:B2488,0),1),IFERROR(0/0,""))</f>
        <v>RUN-FLMP_2022-04-04_RFR-105</v>
      </c>
      <c r="S979" s="473" t="str">
        <f t="shared" si="694"/>
        <v/>
      </c>
      <c r="T979" s="473" t="str">
        <f t="shared" si="698"/>
        <v/>
      </c>
      <c r="U979" s="275" t="str">
        <f t="array" ref="U979">IF(ISBLANK($R979), INDEX('Run Reconcile'!A$2:A2488, MATCH($B979, 'Run Reconcile'!B$2:B2488, 0)+Z979, 1), IFERROR(0/0,""))
</f>
        <v/>
      </c>
      <c r="V979" s="474" t="str">
        <f t="shared" si="5"/>
        <v>RUN-FLMP_2022-04-04_RFR-105</v>
      </c>
      <c r="Y979" s="89" t="str">
        <f t="shared" si="867"/>
        <v/>
      </c>
      <c r="Z979" s="60" t="str">
        <f t="shared" si="7"/>
        <v/>
      </c>
      <c r="AA979" s="60" t="str">
        <f t="shared" si="8"/>
        <v/>
      </c>
      <c r="AB979" s="60" t="str">
        <f t="shared" si="9"/>
        <v/>
      </c>
      <c r="AC979" s="30" t="str">
        <f t="shared" ref="AC979:AD979" si="1335">IF(_xlfn.ISFORMULA(S979),IFERROR(0/0,""),TRUE)</f>
        <v/>
      </c>
      <c r="AD979" s="30" t="str">
        <f t="shared" si="1335"/>
        <v/>
      </c>
      <c r="AE979" s="475" t="str">
        <f>IFERROR(__xludf.DUMMYFUNCTION("""COMPUTED_VALUE"""),"CRLN")</f>
        <v>CRLN</v>
      </c>
      <c r="AF979" s="476"/>
      <c r="AG979" s="474" t="s">
        <v>196</v>
      </c>
      <c r="AH979" s="138" t="str">
        <f t="shared" si="11"/>
        <v/>
      </c>
    </row>
    <row r="980">
      <c r="A980" s="103" t="str">
        <f>IFERROR(__xludf.DUMMYFUNCTION("""COMPUTED_VALUE"""),"FLT1451")</f>
        <v>FLT1451</v>
      </c>
      <c r="B980" s="468">
        <f>IFERROR(__xludf.DUMMYFUNCTION("""COMPUTED_VALUE"""),44655.0)</f>
        <v>44655</v>
      </c>
      <c r="C980" s="469">
        <f>IFERROR(__xludf.DUMMYFUNCTION("""COMPUTED_VALUE"""),0.31820601851851854)</f>
        <v>0.3182060185</v>
      </c>
      <c r="D980" s="103" t="str">
        <f>IFERROR(__xludf.DUMMYFUNCTION("""COMPUTED_VALUE"""),"SpFLMP965392")</f>
        <v>SpFLMP965392</v>
      </c>
      <c r="E980" s="103"/>
      <c r="F980" s="103"/>
      <c r="G980" s="103" t="str">
        <f>IFERROR(__xludf.DUMMYFUNCTION("""COMPUTED_VALUE"""),"Negative")</f>
        <v>Negative</v>
      </c>
      <c r="H980" s="131" t="str">
        <f>IFERROR(__xludf.DUMMYFUNCTION("""COMPUTED_VALUE"""),"Negative")</f>
        <v>Negative</v>
      </c>
      <c r="I980" s="468">
        <f>IFERROR(__xludf.DUMMYFUNCTION("""COMPUTED_VALUE"""),44655.0)</f>
        <v>44655</v>
      </c>
      <c r="J980" s="470">
        <f>IFERROR(__xludf.DUMMYFUNCTION("""COMPUTED_VALUE"""),0.43578703703703703)</f>
        <v>0.435787037</v>
      </c>
      <c r="K980" s="16"/>
      <c r="L980" s="8"/>
      <c r="M980" s="69"/>
      <c r="N980" s="69">
        <f>IFERROR(__xludf.DUMMYFUNCTION("""COMPUTED_VALUE"""),4.0)</f>
        <v>4</v>
      </c>
      <c r="O980" s="69" t="str">
        <f t="shared" si="3"/>
        <v/>
      </c>
      <c r="P980" s="471">
        <f>IFERROR(__xludf.DUMMYFUNCTION("""COMPUTED_VALUE"""),0.0)</f>
        <v>0</v>
      </c>
      <c r="Q980" s="274" t="b">
        <f>VLOOKUP($B980,'Run Reconcile'!B$2:O2488,14,FALSE)</f>
        <v>1</v>
      </c>
      <c r="R980" s="472" t="str">
        <f t="array" ref="R980">IF($Q980, INDEX('Run Reconcile'!A$2:A2488,MATCH(B980,'Run Reconcile'!B$2:B2488,0),1),IFERROR(0/0,""))</f>
        <v>RUN-FLMP_2022-04-04_RFR-105</v>
      </c>
      <c r="S980" s="473" t="str">
        <f t="shared" si="694"/>
        <v/>
      </c>
      <c r="T980" s="473" t="str">
        <f t="shared" si="698"/>
        <v/>
      </c>
      <c r="U980" s="275" t="str">
        <f t="array" ref="U980">IF(ISBLANK($R980), INDEX('Run Reconcile'!A$2:A2488, MATCH($B980, 'Run Reconcile'!B$2:B2488, 0)+Z980, 1), IFERROR(0/0,""))
</f>
        <v/>
      </c>
      <c r="V980" s="474" t="str">
        <f t="shared" si="5"/>
        <v>RUN-FLMP_2022-04-04_RFR-105</v>
      </c>
      <c r="Y980" s="89" t="str">
        <f t="shared" si="867"/>
        <v/>
      </c>
      <c r="Z980" s="60" t="str">
        <f t="shared" si="7"/>
        <v/>
      </c>
      <c r="AA980" s="60" t="str">
        <f t="shared" si="8"/>
        <v/>
      </c>
      <c r="AB980" s="60" t="str">
        <f t="shared" si="9"/>
        <v/>
      </c>
      <c r="AC980" s="30" t="str">
        <f t="shared" ref="AC980:AD980" si="1336">IF(_xlfn.ISFORMULA(S980),IFERROR(0/0,""),TRUE)</f>
        <v/>
      </c>
      <c r="AD980" s="30" t="str">
        <f t="shared" si="1336"/>
        <v/>
      </c>
      <c r="AE980" s="475" t="str">
        <f>IFERROR(__xludf.DUMMYFUNCTION("""COMPUTED_VALUE"""),"CRLN")</f>
        <v>CRLN</v>
      </c>
      <c r="AF980" s="476"/>
      <c r="AG980" s="474" t="s">
        <v>196</v>
      </c>
      <c r="AH980" s="138" t="str">
        <f t="shared" si="11"/>
        <v/>
      </c>
    </row>
    <row r="981">
      <c r="A981" s="103" t="str">
        <f>IFERROR(__xludf.DUMMYFUNCTION("""COMPUTED_VALUE"""),"FLB6552")</f>
        <v>FLB6552</v>
      </c>
      <c r="B981" s="468">
        <f>IFERROR(__xludf.DUMMYFUNCTION("""COMPUTED_VALUE"""),44655.0)</f>
        <v>44655</v>
      </c>
      <c r="C981" s="469">
        <f>IFERROR(__xludf.DUMMYFUNCTION("""COMPUTED_VALUE"""),0.3227777777777778)</f>
        <v>0.3227777778</v>
      </c>
      <c r="D981" s="103" t="str">
        <f>IFERROR(__xludf.DUMMYFUNCTION("""COMPUTED_VALUE"""),"SpFLMP777132")</f>
        <v>SpFLMP777132</v>
      </c>
      <c r="E981" s="103"/>
      <c r="F981" s="103"/>
      <c r="G981" s="103" t="str">
        <f>IFERROR(__xludf.DUMMYFUNCTION("""COMPUTED_VALUE"""),"Negative")</f>
        <v>Negative</v>
      </c>
      <c r="H981" s="131" t="str">
        <f>IFERROR(__xludf.DUMMYFUNCTION("""COMPUTED_VALUE"""),"Negative")</f>
        <v>Negative</v>
      </c>
      <c r="I981" s="468">
        <f>IFERROR(__xludf.DUMMYFUNCTION("""COMPUTED_VALUE"""),44655.0)</f>
        <v>44655</v>
      </c>
      <c r="J981" s="470">
        <f>IFERROR(__xludf.DUMMYFUNCTION("""COMPUTED_VALUE"""),0.43578703703703703)</f>
        <v>0.435787037</v>
      </c>
      <c r="K981" s="16"/>
      <c r="L981" s="8"/>
      <c r="M981" s="69"/>
      <c r="N981" s="69">
        <f>IFERROR(__xludf.DUMMYFUNCTION("""COMPUTED_VALUE"""),4.0)</f>
        <v>4</v>
      </c>
      <c r="O981" s="69" t="str">
        <f t="shared" si="3"/>
        <v/>
      </c>
      <c r="P981" s="471">
        <f>IFERROR(__xludf.DUMMYFUNCTION("""COMPUTED_VALUE"""),0.0)</f>
        <v>0</v>
      </c>
      <c r="Q981" s="274" t="b">
        <f>VLOOKUP($B981,'Run Reconcile'!B$2:O2488,14,FALSE)</f>
        <v>1</v>
      </c>
      <c r="R981" s="472" t="str">
        <f t="array" ref="R981">IF($Q981, INDEX('Run Reconcile'!A$2:A2488,MATCH(B981,'Run Reconcile'!B$2:B2488,0),1),IFERROR(0/0,""))</f>
        <v>RUN-FLMP_2022-04-04_RFR-105</v>
      </c>
      <c r="S981" s="473" t="str">
        <f t="shared" si="694"/>
        <v/>
      </c>
      <c r="T981" s="473" t="str">
        <f t="shared" si="698"/>
        <v/>
      </c>
      <c r="U981" s="275" t="str">
        <f t="array" ref="U981">IF(ISBLANK($R981), INDEX('Run Reconcile'!A$2:A2488, MATCH($B981, 'Run Reconcile'!B$2:B2488, 0)+Z981, 1), IFERROR(0/0,""))
</f>
        <v/>
      </c>
      <c r="V981" s="474" t="str">
        <f t="shared" si="5"/>
        <v>RUN-FLMP_2022-04-04_RFR-105</v>
      </c>
      <c r="Y981" s="89" t="str">
        <f t="shared" si="867"/>
        <v/>
      </c>
      <c r="Z981" s="60" t="str">
        <f t="shared" si="7"/>
        <v/>
      </c>
      <c r="AA981" s="60" t="str">
        <f t="shared" si="8"/>
        <v/>
      </c>
      <c r="AB981" s="60" t="str">
        <f t="shared" si="9"/>
        <v/>
      </c>
      <c r="AC981" s="30" t="str">
        <f t="shared" ref="AC981:AD981" si="1337">IF(_xlfn.ISFORMULA(S981),IFERROR(0/0,""),TRUE)</f>
        <v/>
      </c>
      <c r="AD981" s="30" t="str">
        <f t="shared" si="1337"/>
        <v/>
      </c>
      <c r="AE981" s="475" t="str">
        <f>IFERROR(__xludf.DUMMYFUNCTION("""COMPUTED_VALUE"""),"CRLN")</f>
        <v>CRLN</v>
      </c>
      <c r="AF981" s="476"/>
      <c r="AG981" s="474" t="s">
        <v>196</v>
      </c>
      <c r="AH981" s="138" t="str">
        <f t="shared" si="11"/>
        <v/>
      </c>
    </row>
    <row r="982">
      <c r="A982" s="103" t="str">
        <f>IFERROR(__xludf.DUMMYFUNCTION("""COMPUTED_VALUE"""),"FLB5979")</f>
        <v>FLB5979</v>
      </c>
      <c r="B982" s="468">
        <f>IFERROR(__xludf.DUMMYFUNCTION("""COMPUTED_VALUE"""),44655.0)</f>
        <v>44655</v>
      </c>
      <c r="C982" s="469">
        <f>IFERROR(__xludf.DUMMYFUNCTION("""COMPUTED_VALUE"""),0.3287847222222222)</f>
        <v>0.3287847222</v>
      </c>
      <c r="D982" s="103" t="str">
        <f>IFERROR(__xludf.DUMMYFUNCTION("""COMPUTED_VALUE"""),"SpFLMP259015")</f>
        <v>SpFLMP259015</v>
      </c>
      <c r="E982" s="103"/>
      <c r="F982" s="103"/>
      <c r="G982" s="103" t="str">
        <f>IFERROR(__xludf.DUMMYFUNCTION("""COMPUTED_VALUE"""),"Negative")</f>
        <v>Negative</v>
      </c>
      <c r="H982" s="131" t="str">
        <f>IFERROR(__xludf.DUMMYFUNCTION("""COMPUTED_VALUE"""),"Negative")</f>
        <v>Negative</v>
      </c>
      <c r="I982" s="468">
        <f>IFERROR(__xludf.DUMMYFUNCTION("""COMPUTED_VALUE"""),44655.0)</f>
        <v>44655</v>
      </c>
      <c r="J982" s="470">
        <f>IFERROR(__xludf.DUMMYFUNCTION("""COMPUTED_VALUE"""),0.43578703703703703)</f>
        <v>0.435787037</v>
      </c>
      <c r="K982" s="16"/>
      <c r="L982" s="8"/>
      <c r="M982" s="69"/>
      <c r="N982" s="69">
        <f>IFERROR(__xludf.DUMMYFUNCTION("""COMPUTED_VALUE"""),3.0)</f>
        <v>3</v>
      </c>
      <c r="O982" s="69" t="str">
        <f t="shared" si="3"/>
        <v/>
      </c>
      <c r="P982" s="471">
        <f>IFERROR(__xludf.DUMMYFUNCTION("""COMPUTED_VALUE"""),0.0)</f>
        <v>0</v>
      </c>
      <c r="Q982" s="274" t="b">
        <f>VLOOKUP($B982,'Run Reconcile'!B$2:O2488,14,FALSE)</f>
        <v>1</v>
      </c>
      <c r="R982" s="472" t="str">
        <f t="array" ref="R982">IF($Q982, INDEX('Run Reconcile'!A$2:A2488,MATCH(B982,'Run Reconcile'!B$2:B2488,0),1),IFERROR(0/0,""))</f>
        <v>RUN-FLMP_2022-04-04_RFR-105</v>
      </c>
      <c r="S982" s="473" t="str">
        <f t="shared" si="694"/>
        <v/>
      </c>
      <c r="T982" s="473" t="str">
        <f t="shared" si="698"/>
        <v/>
      </c>
      <c r="U982" s="275" t="str">
        <f t="array" ref="U982">IF(ISBLANK($R982), INDEX('Run Reconcile'!A$2:A2488, MATCH($B982, 'Run Reconcile'!B$2:B2488, 0)+Z982, 1), IFERROR(0/0,""))
</f>
        <v/>
      </c>
      <c r="V982" s="474" t="str">
        <f t="shared" si="5"/>
        <v>RUN-FLMP_2022-04-04_RFR-105</v>
      </c>
      <c r="Y982" s="89" t="str">
        <f t="shared" si="867"/>
        <v/>
      </c>
      <c r="Z982" s="60" t="str">
        <f t="shared" si="7"/>
        <v/>
      </c>
      <c r="AA982" s="60" t="str">
        <f t="shared" si="8"/>
        <v/>
      </c>
      <c r="AB982" s="60" t="str">
        <f t="shared" si="9"/>
        <v/>
      </c>
      <c r="AC982" s="30" t="str">
        <f t="shared" ref="AC982:AD982" si="1338">IF(_xlfn.ISFORMULA(S982),IFERROR(0/0,""),TRUE)</f>
        <v/>
      </c>
      <c r="AD982" s="30" t="str">
        <f t="shared" si="1338"/>
        <v/>
      </c>
      <c r="AE982" s="475" t="str">
        <f>IFERROR(__xludf.DUMMYFUNCTION("""COMPUTED_VALUE"""),"CRLN")</f>
        <v>CRLN</v>
      </c>
      <c r="AF982" s="476"/>
      <c r="AG982" s="474" t="s">
        <v>196</v>
      </c>
      <c r="AH982" s="138" t="str">
        <f t="shared" si="11"/>
        <v/>
      </c>
    </row>
    <row r="983">
      <c r="A983" s="103" t="str">
        <f>IFERROR(__xludf.DUMMYFUNCTION("""COMPUTED_VALUE"""),"FLB7413")</f>
        <v>FLB7413</v>
      </c>
      <c r="B983" s="468">
        <f>IFERROR(__xludf.DUMMYFUNCTION("""COMPUTED_VALUE"""),44655.0)</f>
        <v>44655</v>
      </c>
      <c r="C983" s="469">
        <f>IFERROR(__xludf.DUMMYFUNCTION("""COMPUTED_VALUE"""),0.3294560185185185)</f>
        <v>0.3294560185</v>
      </c>
      <c r="D983" s="103" t="str">
        <f>IFERROR(__xludf.DUMMYFUNCTION("""COMPUTED_VALUE"""),"SpFLMP259015")</f>
        <v>SpFLMP259015</v>
      </c>
      <c r="E983" s="103"/>
      <c r="F983" s="103"/>
      <c r="G983" s="103" t="str">
        <f>IFERROR(__xludf.DUMMYFUNCTION("""COMPUTED_VALUE"""),"Negative")</f>
        <v>Negative</v>
      </c>
      <c r="H983" s="131" t="str">
        <f>IFERROR(__xludf.DUMMYFUNCTION("""COMPUTED_VALUE"""),"Negative")</f>
        <v>Negative</v>
      </c>
      <c r="I983" s="468">
        <f>IFERROR(__xludf.DUMMYFUNCTION("""COMPUTED_VALUE"""),44655.0)</f>
        <v>44655</v>
      </c>
      <c r="J983" s="470">
        <f>IFERROR(__xludf.DUMMYFUNCTION("""COMPUTED_VALUE"""),0.4621180555555556)</f>
        <v>0.4621180556</v>
      </c>
      <c r="K983" s="16"/>
      <c r="L983" s="8"/>
      <c r="M983" s="69"/>
      <c r="N983" s="69">
        <f>IFERROR(__xludf.DUMMYFUNCTION("""COMPUTED_VALUE"""),3.0)</f>
        <v>3</v>
      </c>
      <c r="O983" s="69" t="str">
        <f t="shared" si="3"/>
        <v/>
      </c>
      <c r="P983" s="471">
        <f>IFERROR(__xludf.DUMMYFUNCTION("""COMPUTED_VALUE"""),0.0)</f>
        <v>0</v>
      </c>
      <c r="Q983" s="274" t="b">
        <f>VLOOKUP($B983,'Run Reconcile'!B$2:O2488,14,FALSE)</f>
        <v>1</v>
      </c>
      <c r="R983" s="472" t="str">
        <f t="array" ref="R983">IF($Q983, INDEX('Run Reconcile'!A$2:A2488,MATCH(B983,'Run Reconcile'!B$2:B2488,0),1),IFERROR(0/0,""))</f>
        <v>RUN-FLMP_2022-04-04_RFR-105</v>
      </c>
      <c r="S983" s="473" t="str">
        <f t="shared" si="694"/>
        <v/>
      </c>
      <c r="T983" s="473" t="str">
        <f t="shared" si="698"/>
        <v/>
      </c>
      <c r="U983" s="275" t="str">
        <f t="array" ref="U983">IF(ISBLANK($R983), INDEX('Run Reconcile'!A$2:A2488, MATCH($B983, 'Run Reconcile'!B$2:B2488, 0)+Z983, 1), IFERROR(0/0,""))
</f>
        <v/>
      </c>
      <c r="V983" s="474" t="str">
        <f t="shared" si="5"/>
        <v>RUN-FLMP_2022-04-04_RFR-105</v>
      </c>
      <c r="Y983" s="89" t="str">
        <f t="shared" si="867"/>
        <v/>
      </c>
      <c r="Z983" s="60" t="str">
        <f t="shared" si="7"/>
        <v/>
      </c>
      <c r="AA983" s="60" t="str">
        <f t="shared" si="8"/>
        <v/>
      </c>
      <c r="AB983" s="60" t="str">
        <f t="shared" si="9"/>
        <v/>
      </c>
      <c r="AC983" s="30" t="str">
        <f t="shared" ref="AC983:AD983" si="1339">IF(_xlfn.ISFORMULA(S983),IFERROR(0/0,""),TRUE)</f>
        <v/>
      </c>
      <c r="AD983" s="30" t="str">
        <f t="shared" si="1339"/>
        <v/>
      </c>
      <c r="AE983" s="475" t="str">
        <f>IFERROR(__xludf.DUMMYFUNCTION("""COMPUTED_VALUE"""),"CRLN")</f>
        <v>CRLN</v>
      </c>
      <c r="AF983" s="476"/>
      <c r="AG983" s="474" t="s">
        <v>196</v>
      </c>
      <c r="AH983" s="138" t="str">
        <f t="shared" si="11"/>
        <v/>
      </c>
    </row>
    <row r="984">
      <c r="A984" s="103" t="str">
        <f>IFERROR(__xludf.DUMMYFUNCTION("""COMPUTED_VALUE"""),"FLB7137")</f>
        <v>FLB7137</v>
      </c>
      <c r="B984" s="468">
        <f>IFERROR(__xludf.DUMMYFUNCTION("""COMPUTED_VALUE"""),44655.0)</f>
        <v>44655</v>
      </c>
      <c r="C984" s="469">
        <f>IFERROR(__xludf.DUMMYFUNCTION("""COMPUTED_VALUE"""),0.3322800925925926)</f>
        <v>0.3322800926</v>
      </c>
      <c r="D984" s="103" t="str">
        <f>IFERROR(__xludf.DUMMYFUNCTION("""COMPUTED_VALUE"""),"SpFLMP904576")</f>
        <v>SpFLMP904576</v>
      </c>
      <c r="E984" s="103"/>
      <c r="F984" s="103"/>
      <c r="G984" s="103" t="str">
        <f>IFERROR(__xludf.DUMMYFUNCTION("""COMPUTED_VALUE"""),"Negative")</f>
        <v>Negative</v>
      </c>
      <c r="H984" s="131" t="str">
        <f>IFERROR(__xludf.DUMMYFUNCTION("""COMPUTED_VALUE"""),"Negative")</f>
        <v>Negative</v>
      </c>
      <c r="I984" s="468">
        <f>IFERROR(__xludf.DUMMYFUNCTION("""COMPUTED_VALUE"""),44655.0)</f>
        <v>44655</v>
      </c>
      <c r="J984" s="470">
        <f>IFERROR(__xludf.DUMMYFUNCTION("""COMPUTED_VALUE"""),0.43578703703703703)</f>
        <v>0.435787037</v>
      </c>
      <c r="K984" s="16"/>
      <c r="L984" s="8"/>
      <c r="M984" s="69"/>
      <c r="N984" s="69">
        <f>IFERROR(__xludf.DUMMYFUNCTION("""COMPUTED_VALUE"""),3.0)</f>
        <v>3</v>
      </c>
      <c r="O984" s="69" t="str">
        <f t="shared" si="3"/>
        <v/>
      </c>
      <c r="P984" s="471">
        <f>IFERROR(__xludf.DUMMYFUNCTION("""COMPUTED_VALUE"""),0.0)</f>
        <v>0</v>
      </c>
      <c r="Q984" s="274" t="b">
        <f>VLOOKUP($B984,'Run Reconcile'!B$2:O2488,14,FALSE)</f>
        <v>1</v>
      </c>
      <c r="R984" s="472" t="str">
        <f t="array" ref="R984">IF($Q984, INDEX('Run Reconcile'!A$2:A2488,MATCH(B984,'Run Reconcile'!B$2:B2488,0),1),IFERROR(0/0,""))</f>
        <v>RUN-FLMP_2022-04-04_RFR-105</v>
      </c>
      <c r="S984" s="473" t="str">
        <f t="shared" si="694"/>
        <v/>
      </c>
      <c r="T984" s="473" t="str">
        <f t="shared" si="698"/>
        <v/>
      </c>
      <c r="U984" s="275" t="str">
        <f t="array" ref="U984">IF(ISBLANK($R984), INDEX('Run Reconcile'!A$2:A2488, MATCH($B984, 'Run Reconcile'!B$2:B2488, 0)+Z984, 1), IFERROR(0/0,""))
</f>
        <v/>
      </c>
      <c r="V984" s="474" t="str">
        <f t="shared" si="5"/>
        <v>RUN-FLMP_2022-04-04_RFR-105</v>
      </c>
      <c r="Y984" s="89" t="str">
        <f t="shared" si="867"/>
        <v/>
      </c>
      <c r="Z984" s="60" t="str">
        <f t="shared" si="7"/>
        <v/>
      </c>
      <c r="AA984" s="60" t="str">
        <f t="shared" si="8"/>
        <v/>
      </c>
      <c r="AB984" s="60" t="str">
        <f t="shared" si="9"/>
        <v/>
      </c>
      <c r="AC984" s="30" t="str">
        <f t="shared" ref="AC984:AD984" si="1340">IF(_xlfn.ISFORMULA(S984),IFERROR(0/0,""),TRUE)</f>
        <v/>
      </c>
      <c r="AD984" s="30" t="str">
        <f t="shared" si="1340"/>
        <v/>
      </c>
      <c r="AE984" s="475" t="str">
        <f>IFERROR(__xludf.DUMMYFUNCTION("""COMPUTED_VALUE"""),"CRLN")</f>
        <v>CRLN</v>
      </c>
      <c r="AF984" s="476"/>
      <c r="AG984" s="474" t="s">
        <v>196</v>
      </c>
      <c r="AH984" s="138" t="str">
        <f t="shared" si="11"/>
        <v/>
      </c>
    </row>
    <row r="985">
      <c r="A985" s="103" t="str">
        <f>IFERROR(__xludf.DUMMYFUNCTION("""COMPUTED_VALUE"""),"FLB6556")</f>
        <v>FLB6556</v>
      </c>
      <c r="B985" s="468">
        <f>IFERROR(__xludf.DUMMYFUNCTION("""COMPUTED_VALUE"""),44655.0)</f>
        <v>44655</v>
      </c>
      <c r="C985" s="469">
        <f>IFERROR(__xludf.DUMMYFUNCTION("""COMPUTED_VALUE"""),0.3335532407407407)</f>
        <v>0.3335532407</v>
      </c>
      <c r="D985" s="103" t="str">
        <f>IFERROR(__xludf.DUMMYFUNCTION("""COMPUTED_VALUE"""),"SpFLMP544731")</f>
        <v>SpFLMP544731</v>
      </c>
      <c r="E985" s="103"/>
      <c r="F985" s="103"/>
      <c r="G985" s="103" t="str">
        <f>IFERROR(__xludf.DUMMYFUNCTION("""COMPUTED_VALUE"""),"Negative")</f>
        <v>Negative</v>
      </c>
      <c r="H985" s="131" t="str">
        <f>IFERROR(__xludf.DUMMYFUNCTION("""COMPUTED_VALUE"""),"Negative")</f>
        <v>Negative</v>
      </c>
      <c r="I985" s="468">
        <f>IFERROR(__xludf.DUMMYFUNCTION("""COMPUTED_VALUE"""),44655.0)</f>
        <v>44655</v>
      </c>
      <c r="J985" s="470">
        <f>IFERROR(__xludf.DUMMYFUNCTION("""COMPUTED_VALUE"""),0.43578703703703703)</f>
        <v>0.435787037</v>
      </c>
      <c r="K985" s="16"/>
      <c r="L985" s="8"/>
      <c r="M985" s="69"/>
      <c r="N985" s="69">
        <f>IFERROR(__xludf.DUMMYFUNCTION("""COMPUTED_VALUE"""),2.0)</f>
        <v>2</v>
      </c>
      <c r="O985" s="69" t="str">
        <f t="shared" si="3"/>
        <v/>
      </c>
      <c r="P985" s="471">
        <f>IFERROR(__xludf.DUMMYFUNCTION("""COMPUTED_VALUE"""),0.0)</f>
        <v>0</v>
      </c>
      <c r="Q985" s="274" t="b">
        <f>VLOOKUP($B985,'Run Reconcile'!B$2:O2488,14,FALSE)</f>
        <v>1</v>
      </c>
      <c r="R985" s="472" t="str">
        <f t="array" ref="R985">IF($Q985, INDEX('Run Reconcile'!A$2:A2488,MATCH(B985,'Run Reconcile'!B$2:B2488,0),1),IFERROR(0/0,""))</f>
        <v>RUN-FLMP_2022-04-04_RFR-105</v>
      </c>
      <c r="S985" s="473" t="str">
        <f t="shared" si="694"/>
        <v/>
      </c>
      <c r="T985" s="473" t="str">
        <f t="shared" si="698"/>
        <v/>
      </c>
      <c r="U985" s="275" t="str">
        <f t="array" ref="U985">IF(ISBLANK($R985), INDEX('Run Reconcile'!A$2:A2488, MATCH($B985, 'Run Reconcile'!B$2:B2488, 0)+Z985, 1), IFERROR(0/0,""))
</f>
        <v/>
      </c>
      <c r="V985" s="474" t="str">
        <f t="shared" si="5"/>
        <v>RUN-FLMP_2022-04-04_RFR-105</v>
      </c>
      <c r="Y985" s="89" t="str">
        <f t="shared" si="867"/>
        <v/>
      </c>
      <c r="Z985" s="60" t="str">
        <f t="shared" si="7"/>
        <v/>
      </c>
      <c r="AA985" s="60" t="str">
        <f t="shared" si="8"/>
        <v/>
      </c>
      <c r="AB985" s="60" t="str">
        <f t="shared" si="9"/>
        <v/>
      </c>
      <c r="AC985" s="30" t="str">
        <f t="shared" ref="AC985:AD985" si="1341">IF(_xlfn.ISFORMULA(S985),IFERROR(0/0,""),TRUE)</f>
        <v/>
      </c>
      <c r="AD985" s="30" t="str">
        <f t="shared" si="1341"/>
        <v/>
      </c>
      <c r="AE985" s="475" t="str">
        <f>IFERROR(__xludf.DUMMYFUNCTION("""COMPUTED_VALUE"""),"CRLN")</f>
        <v>CRLN</v>
      </c>
      <c r="AF985" s="476"/>
      <c r="AG985" s="474" t="s">
        <v>196</v>
      </c>
      <c r="AH985" s="138" t="str">
        <f t="shared" si="11"/>
        <v/>
      </c>
    </row>
    <row r="986">
      <c r="A986" s="103" t="str">
        <f>IFERROR(__xludf.DUMMYFUNCTION("""COMPUTED_VALUE"""),"FLB5968")</f>
        <v>FLB5968</v>
      </c>
      <c r="B986" s="468">
        <f>IFERROR(__xludf.DUMMYFUNCTION("""COMPUTED_VALUE"""),44655.0)</f>
        <v>44655</v>
      </c>
      <c r="C986" s="469">
        <f>IFERROR(__xludf.DUMMYFUNCTION("""COMPUTED_VALUE"""),0.3391898148148148)</f>
        <v>0.3391898148</v>
      </c>
      <c r="D986" s="103" t="str">
        <f>IFERROR(__xludf.DUMMYFUNCTION("""COMPUTED_VALUE"""),"SpFLMP600756")</f>
        <v>SpFLMP600756</v>
      </c>
      <c r="E986" s="103"/>
      <c r="F986" s="103"/>
      <c r="G986" s="103" t="str">
        <f>IFERROR(__xludf.DUMMYFUNCTION("""COMPUTED_VALUE"""),"Negative")</f>
        <v>Negative</v>
      </c>
      <c r="H986" s="131" t="str">
        <f>IFERROR(__xludf.DUMMYFUNCTION("""COMPUTED_VALUE"""),"Negative")</f>
        <v>Negative</v>
      </c>
      <c r="I986" s="468">
        <f>IFERROR(__xludf.DUMMYFUNCTION("""COMPUTED_VALUE"""),44655.0)</f>
        <v>44655</v>
      </c>
      <c r="J986" s="470">
        <f>IFERROR(__xludf.DUMMYFUNCTION("""COMPUTED_VALUE"""),0.43578703703703703)</f>
        <v>0.435787037</v>
      </c>
      <c r="K986" s="16"/>
      <c r="L986" s="8"/>
      <c r="M986" s="69"/>
      <c r="N986" s="69">
        <f>IFERROR(__xludf.DUMMYFUNCTION("""COMPUTED_VALUE"""),2.0)</f>
        <v>2</v>
      </c>
      <c r="O986" s="69" t="str">
        <f t="shared" si="3"/>
        <v/>
      </c>
      <c r="P986" s="471">
        <f>IFERROR(__xludf.DUMMYFUNCTION("""COMPUTED_VALUE"""),0.0)</f>
        <v>0</v>
      </c>
      <c r="Q986" s="274" t="b">
        <f>VLOOKUP($B986,'Run Reconcile'!B$2:O2488,14,FALSE)</f>
        <v>1</v>
      </c>
      <c r="R986" s="472" t="str">
        <f t="array" ref="R986">IF($Q986, INDEX('Run Reconcile'!A$2:A2488,MATCH(B986,'Run Reconcile'!B$2:B2488,0),1),IFERROR(0/0,""))</f>
        <v>RUN-FLMP_2022-04-04_RFR-105</v>
      </c>
      <c r="S986" s="473" t="str">
        <f t="shared" si="694"/>
        <v/>
      </c>
      <c r="T986" s="473" t="str">
        <f t="shared" si="698"/>
        <v/>
      </c>
      <c r="U986" s="275" t="str">
        <f t="array" ref="U986">IF(ISBLANK($R986), INDEX('Run Reconcile'!A$2:A2488, MATCH($B986, 'Run Reconcile'!B$2:B2488, 0)+Z986, 1), IFERROR(0/0,""))
</f>
        <v/>
      </c>
      <c r="V986" s="474" t="str">
        <f t="shared" si="5"/>
        <v>RUN-FLMP_2022-04-04_RFR-105</v>
      </c>
      <c r="Y986" s="89" t="str">
        <f t="shared" si="867"/>
        <v/>
      </c>
      <c r="Z986" s="60" t="str">
        <f t="shared" si="7"/>
        <v/>
      </c>
      <c r="AA986" s="60" t="str">
        <f t="shared" si="8"/>
        <v/>
      </c>
      <c r="AB986" s="60" t="str">
        <f t="shared" si="9"/>
        <v/>
      </c>
      <c r="AC986" s="30" t="str">
        <f t="shared" ref="AC986:AD986" si="1342">IF(_xlfn.ISFORMULA(S986),IFERROR(0/0,""),TRUE)</f>
        <v/>
      </c>
      <c r="AD986" s="30" t="str">
        <f t="shared" si="1342"/>
        <v/>
      </c>
      <c r="AE986" s="475" t="str">
        <f>IFERROR(__xludf.DUMMYFUNCTION("""COMPUTED_VALUE"""),"CRLN")</f>
        <v>CRLN</v>
      </c>
      <c r="AF986" s="476"/>
      <c r="AG986" s="474" t="s">
        <v>196</v>
      </c>
      <c r="AH986" s="138" t="str">
        <f t="shared" si="11"/>
        <v/>
      </c>
    </row>
    <row r="987">
      <c r="A987" s="103" t="str">
        <f>IFERROR(__xludf.DUMMYFUNCTION("""COMPUTED_VALUE"""),"FLE877")</f>
        <v>FLE877</v>
      </c>
      <c r="B987" s="468">
        <f>IFERROR(__xludf.DUMMYFUNCTION("""COMPUTED_VALUE"""),44655.0)</f>
        <v>44655</v>
      </c>
      <c r="C987" s="469">
        <f>IFERROR(__xludf.DUMMYFUNCTION("""COMPUTED_VALUE"""),0.3527777777777778)</f>
        <v>0.3527777778</v>
      </c>
      <c r="D987" s="103" t="str">
        <f>IFERROR(__xludf.DUMMYFUNCTION("""COMPUTED_VALUE"""),"SpFLMP309785")</f>
        <v>SpFLMP309785</v>
      </c>
      <c r="E987" s="103"/>
      <c r="F987" s="103"/>
      <c r="G987" s="103" t="str">
        <f>IFERROR(__xludf.DUMMYFUNCTION("""COMPUTED_VALUE"""),"Negative")</f>
        <v>Negative</v>
      </c>
      <c r="H987" s="131" t="str">
        <f>IFERROR(__xludf.DUMMYFUNCTION("""COMPUTED_VALUE"""),"Negative")</f>
        <v>Negative</v>
      </c>
      <c r="I987" s="468">
        <f>IFERROR(__xludf.DUMMYFUNCTION("""COMPUTED_VALUE"""),44655.0)</f>
        <v>44655</v>
      </c>
      <c r="J987" s="470">
        <f>IFERROR(__xludf.DUMMYFUNCTION("""COMPUTED_VALUE"""),0.4357986111111111)</f>
        <v>0.4357986111</v>
      </c>
      <c r="K987" s="16"/>
      <c r="L987" s="8"/>
      <c r="M987" s="69"/>
      <c r="N987" s="69">
        <f>IFERROR(__xludf.DUMMYFUNCTION("""COMPUTED_VALUE"""),4.0)</f>
        <v>4</v>
      </c>
      <c r="O987" s="69" t="str">
        <f t="shared" si="3"/>
        <v/>
      </c>
      <c r="P987" s="471">
        <f>IFERROR(__xludf.DUMMYFUNCTION("""COMPUTED_VALUE"""),0.0)</f>
        <v>0</v>
      </c>
      <c r="Q987" s="274" t="b">
        <f>VLOOKUP($B987,'Run Reconcile'!B$2:O2488,14,FALSE)</f>
        <v>1</v>
      </c>
      <c r="R987" s="472" t="str">
        <f t="array" ref="R987">IF($Q987, INDEX('Run Reconcile'!A$2:A2488,MATCH(B987,'Run Reconcile'!B$2:B2488,0),1),IFERROR(0/0,""))</f>
        <v>RUN-FLMP_2022-04-04_RFR-105</v>
      </c>
      <c r="S987" s="473" t="str">
        <f t="shared" si="694"/>
        <v/>
      </c>
      <c r="T987" s="473" t="str">
        <f t="shared" si="698"/>
        <v/>
      </c>
      <c r="U987" s="275" t="str">
        <f t="array" ref="U987">IF(ISBLANK($R987), INDEX('Run Reconcile'!A$2:A2488, MATCH($B987, 'Run Reconcile'!B$2:B2488, 0)+Z987, 1), IFERROR(0/0,""))
</f>
        <v/>
      </c>
      <c r="V987" s="474" t="str">
        <f t="shared" si="5"/>
        <v>RUN-FLMP_2022-04-04_RFR-105</v>
      </c>
      <c r="Y987" s="89" t="str">
        <f t="shared" si="867"/>
        <v/>
      </c>
      <c r="Z987" s="60" t="str">
        <f t="shared" si="7"/>
        <v/>
      </c>
      <c r="AA987" s="60" t="str">
        <f t="shared" si="8"/>
        <v/>
      </c>
      <c r="AB987" s="60" t="str">
        <f t="shared" si="9"/>
        <v/>
      </c>
      <c r="AC987" s="30" t="str">
        <f t="shared" ref="AC987:AD987" si="1343">IF(_xlfn.ISFORMULA(S987),IFERROR(0/0,""),TRUE)</f>
        <v/>
      </c>
      <c r="AD987" s="30" t="str">
        <f t="shared" si="1343"/>
        <v/>
      </c>
      <c r="AE987" s="475" t="str">
        <f>IFERROR(__xludf.DUMMYFUNCTION("""COMPUTED_VALUE"""),"CRLN")</f>
        <v>CRLN</v>
      </c>
      <c r="AF987" s="476"/>
      <c r="AG987" s="474" t="s">
        <v>196</v>
      </c>
      <c r="AH987" s="138" t="str">
        <f t="shared" si="11"/>
        <v/>
      </c>
    </row>
    <row r="988">
      <c r="A988" s="103" t="str">
        <f>IFERROR(__xludf.DUMMYFUNCTION("""COMPUTED_VALUE"""),"FLB5990")</f>
        <v>FLB5990</v>
      </c>
      <c r="B988" s="468">
        <f>IFERROR(__xludf.DUMMYFUNCTION("""COMPUTED_VALUE"""),44655.0)</f>
        <v>44655</v>
      </c>
      <c r="C988" s="469">
        <f>IFERROR(__xludf.DUMMYFUNCTION("""COMPUTED_VALUE"""),0.3538425925925926)</f>
        <v>0.3538425926</v>
      </c>
      <c r="D988" s="103" t="str">
        <f>IFERROR(__xludf.DUMMYFUNCTION("""COMPUTED_VALUE"""),"SpFLMP604497")</f>
        <v>SpFLMP604497</v>
      </c>
      <c r="E988" s="103"/>
      <c r="F988" s="103"/>
      <c r="G988" s="103" t="str">
        <f>IFERROR(__xludf.DUMMYFUNCTION("""COMPUTED_VALUE"""),"Negative")</f>
        <v>Negative</v>
      </c>
      <c r="H988" s="131" t="str">
        <f>IFERROR(__xludf.DUMMYFUNCTION("""COMPUTED_VALUE"""),"Negative")</f>
        <v>Negative</v>
      </c>
      <c r="I988" s="468">
        <f>IFERROR(__xludf.DUMMYFUNCTION("""COMPUTED_VALUE"""),44655.0)</f>
        <v>44655</v>
      </c>
      <c r="J988" s="470">
        <f>IFERROR(__xludf.DUMMYFUNCTION("""COMPUTED_VALUE"""),0.4357986111111111)</f>
        <v>0.4357986111</v>
      </c>
      <c r="K988" s="16"/>
      <c r="L988" s="8"/>
      <c r="M988" s="69"/>
      <c r="N988" s="69">
        <f>IFERROR(__xludf.DUMMYFUNCTION("""COMPUTED_VALUE"""),4.0)</f>
        <v>4</v>
      </c>
      <c r="O988" s="69" t="str">
        <f t="shared" si="3"/>
        <v/>
      </c>
      <c r="P988" s="471">
        <f>IFERROR(__xludf.DUMMYFUNCTION("""COMPUTED_VALUE"""),0.0)</f>
        <v>0</v>
      </c>
      <c r="Q988" s="274" t="b">
        <f>VLOOKUP($B988,'Run Reconcile'!B$2:O2488,14,FALSE)</f>
        <v>1</v>
      </c>
      <c r="R988" s="472" t="str">
        <f t="array" ref="R988">IF($Q988, INDEX('Run Reconcile'!A$2:A2488,MATCH(B988,'Run Reconcile'!B$2:B2488,0),1),IFERROR(0/0,""))</f>
        <v>RUN-FLMP_2022-04-04_RFR-105</v>
      </c>
      <c r="S988" s="473" t="str">
        <f t="shared" si="694"/>
        <v/>
      </c>
      <c r="T988" s="473" t="str">
        <f t="shared" si="698"/>
        <v/>
      </c>
      <c r="U988" s="275" t="str">
        <f t="array" ref="U988">IF(ISBLANK($R988), INDEX('Run Reconcile'!A$2:A2488, MATCH($B988, 'Run Reconcile'!B$2:B2488, 0)+Z988, 1), IFERROR(0/0,""))
</f>
        <v/>
      </c>
      <c r="V988" s="474" t="str">
        <f t="shared" si="5"/>
        <v>RUN-FLMP_2022-04-04_RFR-105</v>
      </c>
      <c r="Y988" s="89" t="str">
        <f t="shared" si="867"/>
        <v/>
      </c>
      <c r="Z988" s="60" t="str">
        <f t="shared" si="7"/>
        <v/>
      </c>
      <c r="AA988" s="60" t="str">
        <f t="shared" si="8"/>
        <v/>
      </c>
      <c r="AB988" s="60" t="str">
        <f t="shared" si="9"/>
        <v/>
      </c>
      <c r="AC988" s="30" t="str">
        <f t="shared" ref="AC988:AD988" si="1344">IF(_xlfn.ISFORMULA(S988),IFERROR(0/0,""),TRUE)</f>
        <v/>
      </c>
      <c r="AD988" s="30" t="str">
        <f t="shared" si="1344"/>
        <v/>
      </c>
      <c r="AE988" s="475" t="str">
        <f>IFERROR(__xludf.DUMMYFUNCTION("""COMPUTED_VALUE"""),"CRLN")</f>
        <v>CRLN</v>
      </c>
      <c r="AF988" s="476"/>
      <c r="AG988" s="474" t="s">
        <v>196</v>
      </c>
      <c r="AH988" s="138" t="str">
        <f t="shared" si="11"/>
        <v/>
      </c>
    </row>
    <row r="989">
      <c r="A989" s="103" t="str">
        <f>IFERROR(__xludf.DUMMYFUNCTION("""COMPUTED_VALUE"""),"FLB7141")</f>
        <v>FLB7141</v>
      </c>
      <c r="B989" s="468">
        <f>IFERROR(__xludf.DUMMYFUNCTION("""COMPUTED_VALUE"""),44655.0)</f>
        <v>44655</v>
      </c>
      <c r="C989" s="469">
        <f>IFERROR(__xludf.DUMMYFUNCTION("""COMPUTED_VALUE"""),0.3628125)</f>
        <v>0.3628125</v>
      </c>
      <c r="D989" s="103" t="str">
        <f>IFERROR(__xludf.DUMMYFUNCTION("""COMPUTED_VALUE"""),"SpFLMP939619")</f>
        <v>SpFLMP939619</v>
      </c>
      <c r="E989" s="103"/>
      <c r="F989" s="103"/>
      <c r="G989" s="103" t="str">
        <f>IFERROR(__xludf.DUMMYFUNCTION("""COMPUTED_VALUE"""),"Negative")</f>
        <v>Negative</v>
      </c>
      <c r="H989" s="131" t="str">
        <f>IFERROR(__xludf.DUMMYFUNCTION("""COMPUTED_VALUE"""),"Negative")</f>
        <v>Negative</v>
      </c>
      <c r="I989" s="468">
        <f>IFERROR(__xludf.DUMMYFUNCTION("""COMPUTED_VALUE"""),44655.0)</f>
        <v>44655</v>
      </c>
      <c r="J989" s="470">
        <f>IFERROR(__xludf.DUMMYFUNCTION("""COMPUTED_VALUE"""),0.4357986111111111)</f>
        <v>0.4357986111</v>
      </c>
      <c r="K989" s="16"/>
      <c r="L989" s="8"/>
      <c r="M989" s="69"/>
      <c r="N989" s="69">
        <f>IFERROR(__xludf.DUMMYFUNCTION("""COMPUTED_VALUE"""),1.0)</f>
        <v>1</v>
      </c>
      <c r="O989" s="69" t="str">
        <f t="shared" si="3"/>
        <v/>
      </c>
      <c r="P989" s="471">
        <f>IFERROR(__xludf.DUMMYFUNCTION("""COMPUTED_VALUE"""),0.0)</f>
        <v>0</v>
      </c>
      <c r="Q989" s="274" t="b">
        <f>VLOOKUP($B989,'Run Reconcile'!B$2:O2488,14,FALSE)</f>
        <v>1</v>
      </c>
      <c r="R989" s="472" t="str">
        <f t="array" ref="R989">IF($Q989, INDEX('Run Reconcile'!A$2:A2488,MATCH(B989,'Run Reconcile'!B$2:B2488,0),1),IFERROR(0/0,""))</f>
        <v>RUN-FLMP_2022-04-04_RFR-105</v>
      </c>
      <c r="S989" s="473" t="str">
        <f t="shared" si="694"/>
        <v/>
      </c>
      <c r="T989" s="473" t="str">
        <f t="shared" si="698"/>
        <v/>
      </c>
      <c r="U989" s="275" t="str">
        <f t="array" ref="U989">IF(ISBLANK($R989), INDEX('Run Reconcile'!A$2:A2488, MATCH($B989, 'Run Reconcile'!B$2:B2488, 0)+Z989, 1), IFERROR(0/0,""))
</f>
        <v/>
      </c>
      <c r="V989" s="474" t="str">
        <f t="shared" si="5"/>
        <v>RUN-FLMP_2022-04-04_RFR-105</v>
      </c>
      <c r="Y989" s="89" t="str">
        <f t="shared" si="867"/>
        <v/>
      </c>
      <c r="Z989" s="60" t="str">
        <f t="shared" si="7"/>
        <v/>
      </c>
      <c r="AA989" s="60" t="str">
        <f t="shared" si="8"/>
        <v/>
      </c>
      <c r="AB989" s="60" t="str">
        <f t="shared" si="9"/>
        <v/>
      </c>
      <c r="AC989" s="30" t="str">
        <f t="shared" ref="AC989:AD989" si="1345">IF(_xlfn.ISFORMULA(S989),IFERROR(0/0,""),TRUE)</f>
        <v/>
      </c>
      <c r="AD989" s="30" t="str">
        <f t="shared" si="1345"/>
        <v/>
      </c>
      <c r="AE989" s="475" t="str">
        <f>IFERROR(__xludf.DUMMYFUNCTION("""COMPUTED_VALUE"""),"CRLN")</f>
        <v>CRLN</v>
      </c>
      <c r="AF989" s="476"/>
      <c r="AG989" s="474" t="s">
        <v>196</v>
      </c>
      <c r="AH989" s="138" t="str">
        <f t="shared" si="11"/>
        <v/>
      </c>
    </row>
    <row r="990">
      <c r="A990" s="103" t="str">
        <f>IFERROR(__xludf.DUMMYFUNCTION("""COMPUTED_VALUE"""),"FLB7140")</f>
        <v>FLB7140</v>
      </c>
      <c r="B990" s="468">
        <f>IFERROR(__xludf.DUMMYFUNCTION("""COMPUTED_VALUE"""),44655.0)</f>
        <v>44655</v>
      </c>
      <c r="C990" s="469">
        <f>IFERROR(__xludf.DUMMYFUNCTION("""COMPUTED_VALUE"""),0.3649537037037037)</f>
        <v>0.3649537037</v>
      </c>
      <c r="D990" s="103" t="str">
        <f>IFERROR(__xludf.DUMMYFUNCTION("""COMPUTED_VALUE"""),"SpFLMP946259")</f>
        <v>SpFLMP946259</v>
      </c>
      <c r="E990" s="103"/>
      <c r="F990" s="103"/>
      <c r="G990" s="103" t="str">
        <f>IFERROR(__xludf.DUMMYFUNCTION("""COMPUTED_VALUE"""),"Negative")</f>
        <v>Negative</v>
      </c>
      <c r="H990" s="131" t="str">
        <f>IFERROR(__xludf.DUMMYFUNCTION("""COMPUTED_VALUE"""),"Negative")</f>
        <v>Negative</v>
      </c>
      <c r="I990" s="468">
        <f>IFERROR(__xludf.DUMMYFUNCTION("""COMPUTED_VALUE"""),44655.0)</f>
        <v>44655</v>
      </c>
      <c r="J990" s="470">
        <f>IFERROR(__xludf.DUMMYFUNCTION("""COMPUTED_VALUE"""),0.4357986111111111)</f>
        <v>0.4357986111</v>
      </c>
      <c r="K990" s="16"/>
      <c r="L990" s="8"/>
      <c r="M990" s="69"/>
      <c r="N990" s="69">
        <f>IFERROR(__xludf.DUMMYFUNCTION("""COMPUTED_VALUE"""),2.0)</f>
        <v>2</v>
      </c>
      <c r="O990" s="69" t="str">
        <f t="shared" si="3"/>
        <v/>
      </c>
      <c r="P990" s="471">
        <f>IFERROR(__xludf.DUMMYFUNCTION("""COMPUTED_VALUE"""),0.0)</f>
        <v>0</v>
      </c>
      <c r="Q990" s="274" t="b">
        <f>VLOOKUP($B990,'Run Reconcile'!B$2:O2488,14,FALSE)</f>
        <v>1</v>
      </c>
      <c r="R990" s="472" t="str">
        <f t="array" ref="R990">IF($Q990, INDEX('Run Reconcile'!A$2:A2488,MATCH(B990,'Run Reconcile'!B$2:B2488,0),1),IFERROR(0/0,""))</f>
        <v>RUN-FLMP_2022-04-04_RFR-105</v>
      </c>
      <c r="S990" s="473" t="str">
        <f t="shared" si="694"/>
        <v/>
      </c>
      <c r="T990" s="473" t="str">
        <f t="shared" si="698"/>
        <v/>
      </c>
      <c r="U990" s="275" t="str">
        <f t="array" ref="U990">IF(ISBLANK($R990), INDEX('Run Reconcile'!A$2:A2488, MATCH($B990, 'Run Reconcile'!B$2:B2488, 0)+Z990, 1), IFERROR(0/0,""))
</f>
        <v/>
      </c>
      <c r="V990" s="474" t="str">
        <f t="shared" si="5"/>
        <v>RUN-FLMP_2022-04-04_RFR-105</v>
      </c>
      <c r="Y990" s="89" t="str">
        <f t="shared" si="867"/>
        <v/>
      </c>
      <c r="Z990" s="60" t="str">
        <f t="shared" si="7"/>
        <v/>
      </c>
      <c r="AA990" s="60" t="str">
        <f t="shared" si="8"/>
        <v/>
      </c>
      <c r="AB990" s="60" t="str">
        <f t="shared" si="9"/>
        <v/>
      </c>
      <c r="AC990" s="30" t="str">
        <f t="shared" ref="AC990:AD990" si="1346">IF(_xlfn.ISFORMULA(S990),IFERROR(0/0,""),TRUE)</f>
        <v/>
      </c>
      <c r="AD990" s="30" t="str">
        <f t="shared" si="1346"/>
        <v/>
      </c>
      <c r="AE990" s="475" t="str">
        <f>IFERROR(__xludf.DUMMYFUNCTION("""COMPUTED_VALUE"""),"CRLN")</f>
        <v>CRLN</v>
      </c>
      <c r="AF990" s="476"/>
      <c r="AG990" s="474" t="s">
        <v>196</v>
      </c>
      <c r="AH990" s="138" t="str">
        <f t="shared" si="11"/>
        <v/>
      </c>
    </row>
    <row r="991">
      <c r="A991" s="103" t="str">
        <f>IFERROR(__xludf.DUMMYFUNCTION("""COMPUTED_VALUE"""),"FLB5970")</f>
        <v>FLB5970</v>
      </c>
      <c r="B991" s="468">
        <f>IFERROR(__xludf.DUMMYFUNCTION("""COMPUTED_VALUE"""),44655.0)</f>
        <v>44655</v>
      </c>
      <c r="C991" s="469">
        <f>IFERROR(__xludf.DUMMYFUNCTION("""COMPUTED_VALUE"""),0.36615740740740743)</f>
        <v>0.3661574074</v>
      </c>
      <c r="D991" s="103" t="str">
        <f>IFERROR(__xludf.DUMMYFUNCTION("""COMPUTED_VALUE"""),"SpFLMP683385")</f>
        <v>SpFLMP683385</v>
      </c>
      <c r="E991" s="103"/>
      <c r="F991" s="103"/>
      <c r="G991" s="103" t="str">
        <f>IFERROR(__xludf.DUMMYFUNCTION("""COMPUTED_VALUE"""),"Negative")</f>
        <v>Negative</v>
      </c>
      <c r="H991" s="131" t="str">
        <f>IFERROR(__xludf.DUMMYFUNCTION("""COMPUTED_VALUE"""),"Negative")</f>
        <v>Negative</v>
      </c>
      <c r="I991" s="468">
        <f>IFERROR(__xludf.DUMMYFUNCTION("""COMPUTED_VALUE"""),44655.0)</f>
        <v>44655</v>
      </c>
      <c r="J991" s="470">
        <f>IFERROR(__xludf.DUMMYFUNCTION("""COMPUTED_VALUE"""),0.4357986111111111)</f>
        <v>0.4357986111</v>
      </c>
      <c r="K991" s="16"/>
      <c r="L991" s="8"/>
      <c r="M991" s="69"/>
      <c r="N991" s="69">
        <f>IFERROR(__xludf.DUMMYFUNCTION("""COMPUTED_VALUE"""),1.0)</f>
        <v>1</v>
      </c>
      <c r="O991" s="69" t="str">
        <f t="shared" si="3"/>
        <v/>
      </c>
      <c r="P991" s="471">
        <f>IFERROR(__xludf.DUMMYFUNCTION("""COMPUTED_VALUE"""),0.0)</f>
        <v>0</v>
      </c>
      <c r="Q991" s="274" t="b">
        <f>VLOOKUP($B991,'Run Reconcile'!B$2:O2488,14,FALSE)</f>
        <v>1</v>
      </c>
      <c r="R991" s="472" t="str">
        <f t="array" ref="R991">IF($Q991, INDEX('Run Reconcile'!A$2:A2488,MATCH(B991,'Run Reconcile'!B$2:B2488,0),1),IFERROR(0/0,""))</f>
        <v>RUN-FLMP_2022-04-04_RFR-105</v>
      </c>
      <c r="S991" s="473" t="str">
        <f t="shared" si="694"/>
        <v/>
      </c>
      <c r="T991" s="473" t="str">
        <f t="shared" si="698"/>
        <v/>
      </c>
      <c r="U991" s="275" t="str">
        <f t="array" ref="U991">IF(ISBLANK($R991), INDEX('Run Reconcile'!A$2:A2488, MATCH($B991, 'Run Reconcile'!B$2:B2488, 0)+Z991, 1), IFERROR(0/0,""))
</f>
        <v/>
      </c>
      <c r="V991" s="474" t="str">
        <f t="shared" si="5"/>
        <v>RUN-FLMP_2022-04-04_RFR-105</v>
      </c>
      <c r="Y991" s="89" t="str">
        <f t="shared" si="867"/>
        <v/>
      </c>
      <c r="Z991" s="60" t="str">
        <f t="shared" si="7"/>
        <v/>
      </c>
      <c r="AA991" s="60" t="str">
        <f t="shared" si="8"/>
        <v/>
      </c>
      <c r="AB991" s="60" t="str">
        <f t="shared" si="9"/>
        <v/>
      </c>
      <c r="AC991" s="30" t="str">
        <f t="shared" ref="AC991:AD991" si="1347">IF(_xlfn.ISFORMULA(S991),IFERROR(0/0,""),TRUE)</f>
        <v/>
      </c>
      <c r="AD991" s="30" t="str">
        <f t="shared" si="1347"/>
        <v/>
      </c>
      <c r="AE991" s="475" t="str">
        <f>IFERROR(__xludf.DUMMYFUNCTION("""COMPUTED_VALUE"""),"CRLN")</f>
        <v>CRLN</v>
      </c>
      <c r="AF991" s="476"/>
      <c r="AG991" s="474" t="s">
        <v>196</v>
      </c>
      <c r="AH991" s="138" t="str">
        <f t="shared" si="11"/>
        <v/>
      </c>
    </row>
    <row r="992">
      <c r="A992" s="103" t="str">
        <f>IFERROR(__xludf.DUMMYFUNCTION("""COMPUTED_VALUE"""),"FLT1135")</f>
        <v>FLT1135</v>
      </c>
      <c r="B992" s="468">
        <f>IFERROR(__xludf.DUMMYFUNCTION("""COMPUTED_VALUE"""),44655.0)</f>
        <v>44655</v>
      </c>
      <c r="C992" s="469">
        <f>IFERROR(__xludf.DUMMYFUNCTION("""COMPUTED_VALUE"""),0.36699074074074073)</f>
        <v>0.3669907407</v>
      </c>
      <c r="D992" s="103" t="str">
        <f>IFERROR(__xludf.DUMMYFUNCTION("""COMPUTED_VALUE"""),"SpFLMP496039")</f>
        <v>SpFLMP496039</v>
      </c>
      <c r="E992" s="103"/>
      <c r="F992" s="103"/>
      <c r="G992" s="103" t="str">
        <f>IFERROR(__xludf.DUMMYFUNCTION("""COMPUTED_VALUE"""),"Negative")</f>
        <v>Negative</v>
      </c>
      <c r="H992" s="131" t="str">
        <f>IFERROR(__xludf.DUMMYFUNCTION("""COMPUTED_VALUE"""),"Negative")</f>
        <v>Negative</v>
      </c>
      <c r="I992" s="468">
        <f>IFERROR(__xludf.DUMMYFUNCTION("""COMPUTED_VALUE"""),44655.0)</f>
        <v>44655</v>
      </c>
      <c r="J992" s="470">
        <f>IFERROR(__xludf.DUMMYFUNCTION("""COMPUTED_VALUE"""),0.4357986111111111)</f>
        <v>0.4357986111</v>
      </c>
      <c r="K992" s="16"/>
      <c r="L992" s="8"/>
      <c r="M992" s="69"/>
      <c r="N992" s="69">
        <f>IFERROR(__xludf.DUMMYFUNCTION("""COMPUTED_VALUE"""),2.0)</f>
        <v>2</v>
      </c>
      <c r="O992" s="69" t="str">
        <f t="shared" si="3"/>
        <v/>
      </c>
      <c r="P992" s="471">
        <f>IFERROR(__xludf.DUMMYFUNCTION("""COMPUTED_VALUE"""),0.0)</f>
        <v>0</v>
      </c>
      <c r="Q992" s="274" t="b">
        <f>VLOOKUP($B992,'Run Reconcile'!B$2:O2488,14,FALSE)</f>
        <v>1</v>
      </c>
      <c r="R992" s="472" t="str">
        <f t="array" ref="R992">IF($Q992, INDEX('Run Reconcile'!A$2:A2488,MATCH(B992,'Run Reconcile'!B$2:B2488,0),1),IFERROR(0/0,""))</f>
        <v>RUN-FLMP_2022-04-04_RFR-105</v>
      </c>
      <c r="S992" s="473" t="str">
        <f t="shared" si="694"/>
        <v/>
      </c>
      <c r="T992" s="473" t="str">
        <f t="shared" si="698"/>
        <v/>
      </c>
      <c r="U992" s="275" t="str">
        <f t="array" ref="U992">IF(ISBLANK($R992), INDEX('Run Reconcile'!A$2:A2488, MATCH($B992, 'Run Reconcile'!B$2:B2488, 0)+Z992, 1), IFERROR(0/0,""))
</f>
        <v/>
      </c>
      <c r="V992" s="474" t="str">
        <f t="shared" si="5"/>
        <v>RUN-FLMP_2022-04-04_RFR-105</v>
      </c>
      <c r="Y992" s="89" t="str">
        <f t="shared" si="867"/>
        <v/>
      </c>
      <c r="Z992" s="60" t="str">
        <f t="shared" si="7"/>
        <v/>
      </c>
      <c r="AA992" s="60" t="str">
        <f t="shared" si="8"/>
        <v/>
      </c>
      <c r="AB992" s="60" t="str">
        <f t="shared" si="9"/>
        <v/>
      </c>
      <c r="AC992" s="30" t="str">
        <f t="shared" ref="AC992:AD992" si="1348">IF(_xlfn.ISFORMULA(S992),IFERROR(0/0,""),TRUE)</f>
        <v/>
      </c>
      <c r="AD992" s="30" t="str">
        <f t="shared" si="1348"/>
        <v/>
      </c>
      <c r="AE992" s="475" t="str">
        <f>IFERROR(__xludf.DUMMYFUNCTION("""COMPUTED_VALUE"""),"FLSP")</f>
        <v>FLSP</v>
      </c>
      <c r="AF992" s="476"/>
      <c r="AG992" s="474" t="s">
        <v>196</v>
      </c>
      <c r="AH992" s="138" t="str">
        <f t="shared" si="11"/>
        <v/>
      </c>
    </row>
    <row r="993">
      <c r="A993" s="103" t="str">
        <f>IFERROR(__xludf.DUMMYFUNCTION("""COMPUTED_VALUE"""),"FLB6808")</f>
        <v>FLB6808</v>
      </c>
      <c r="B993" s="468">
        <f>IFERROR(__xludf.DUMMYFUNCTION("""COMPUTED_VALUE"""),44655.0)</f>
        <v>44655</v>
      </c>
      <c r="C993" s="469">
        <f>IFERROR(__xludf.DUMMYFUNCTION("""COMPUTED_VALUE"""),0.36949074074074073)</f>
        <v>0.3694907407</v>
      </c>
      <c r="D993" s="103" t="str">
        <f>IFERROR(__xludf.DUMMYFUNCTION("""COMPUTED_VALUE"""),"SpFLMP684798")</f>
        <v>SpFLMP684798</v>
      </c>
      <c r="E993" s="103"/>
      <c r="F993" s="103"/>
      <c r="G993" s="103" t="str">
        <f>IFERROR(__xludf.DUMMYFUNCTION("""COMPUTED_VALUE"""),"Negative")</f>
        <v>Negative</v>
      </c>
      <c r="H993" s="131" t="str">
        <f>IFERROR(__xludf.DUMMYFUNCTION("""COMPUTED_VALUE"""),"Negative")</f>
        <v>Negative</v>
      </c>
      <c r="I993" s="468">
        <f>IFERROR(__xludf.DUMMYFUNCTION("""COMPUTED_VALUE"""),44655.0)</f>
        <v>44655</v>
      </c>
      <c r="J993" s="470">
        <f>IFERROR(__xludf.DUMMYFUNCTION("""COMPUTED_VALUE"""),0.4357986111111111)</f>
        <v>0.4357986111</v>
      </c>
      <c r="K993" s="16"/>
      <c r="L993" s="8"/>
      <c r="M993" s="69"/>
      <c r="N993" s="69">
        <f>IFERROR(__xludf.DUMMYFUNCTION("""COMPUTED_VALUE"""),4.0)</f>
        <v>4</v>
      </c>
      <c r="O993" s="69" t="str">
        <f t="shared" si="3"/>
        <v/>
      </c>
      <c r="P993" s="471">
        <f>IFERROR(__xludf.DUMMYFUNCTION("""COMPUTED_VALUE"""),0.0)</f>
        <v>0</v>
      </c>
      <c r="Q993" s="274" t="b">
        <f>VLOOKUP($B993,'Run Reconcile'!B$2:O2488,14,FALSE)</f>
        <v>1</v>
      </c>
      <c r="R993" s="472" t="str">
        <f t="array" ref="R993">IF($Q993, INDEX('Run Reconcile'!A$2:A2488,MATCH(B993,'Run Reconcile'!B$2:B2488,0),1),IFERROR(0/0,""))</f>
        <v>RUN-FLMP_2022-04-04_RFR-105</v>
      </c>
      <c r="S993" s="473" t="str">
        <f t="shared" si="694"/>
        <v/>
      </c>
      <c r="T993" s="473" t="str">
        <f t="shared" si="698"/>
        <v/>
      </c>
      <c r="U993" s="275" t="str">
        <f t="array" ref="U993">IF(ISBLANK($R993), INDEX('Run Reconcile'!A$2:A2488, MATCH($B993, 'Run Reconcile'!B$2:B2488, 0)+Z993, 1), IFERROR(0/0,""))
</f>
        <v/>
      </c>
      <c r="V993" s="474" t="str">
        <f t="shared" si="5"/>
        <v>RUN-FLMP_2022-04-04_RFR-105</v>
      </c>
      <c r="Y993" s="89" t="str">
        <f t="shared" si="867"/>
        <v/>
      </c>
      <c r="Z993" s="60" t="str">
        <f t="shared" si="7"/>
        <v/>
      </c>
      <c r="AA993" s="60" t="str">
        <f t="shared" si="8"/>
        <v/>
      </c>
      <c r="AB993" s="60" t="str">
        <f t="shared" si="9"/>
        <v/>
      </c>
      <c r="AC993" s="30" t="str">
        <f t="shared" ref="AC993:AD993" si="1349">IF(_xlfn.ISFORMULA(S993),IFERROR(0/0,""),TRUE)</f>
        <v/>
      </c>
      <c r="AD993" s="30" t="str">
        <f t="shared" si="1349"/>
        <v/>
      </c>
      <c r="AE993" s="475" t="str">
        <f>IFERROR(__xludf.DUMMYFUNCTION("""COMPUTED_VALUE"""),"CRLN")</f>
        <v>CRLN</v>
      </c>
      <c r="AF993" s="476"/>
      <c r="AG993" s="474" t="s">
        <v>196</v>
      </c>
      <c r="AH993" s="138" t="str">
        <f t="shared" si="11"/>
        <v/>
      </c>
    </row>
    <row r="994">
      <c r="A994" s="103" t="str">
        <f>IFERROR(__xludf.DUMMYFUNCTION("""COMPUTED_VALUE"""),"FLB5396")</f>
        <v>FLB5396</v>
      </c>
      <c r="B994" s="468">
        <f>IFERROR(__xludf.DUMMYFUNCTION("""COMPUTED_VALUE"""),44655.0)</f>
        <v>44655</v>
      </c>
      <c r="C994" s="469">
        <f>IFERROR(__xludf.DUMMYFUNCTION("""COMPUTED_VALUE"""),0.3751273148148148)</f>
        <v>0.3751273148</v>
      </c>
      <c r="D994" s="103" t="str">
        <f>IFERROR(__xludf.DUMMYFUNCTION("""COMPUTED_VALUE"""),"SpFLMP668449")</f>
        <v>SpFLMP668449</v>
      </c>
      <c r="E994" s="103"/>
      <c r="F994" s="103"/>
      <c r="G994" s="103" t="str">
        <f>IFERROR(__xludf.DUMMYFUNCTION("""COMPUTED_VALUE"""),"Negative")</f>
        <v>Negative</v>
      </c>
      <c r="H994" s="131" t="str">
        <f>IFERROR(__xludf.DUMMYFUNCTION("""COMPUTED_VALUE"""),"Negative")</f>
        <v>Negative</v>
      </c>
      <c r="I994" s="468">
        <f>IFERROR(__xludf.DUMMYFUNCTION("""COMPUTED_VALUE"""),44655.0)</f>
        <v>44655</v>
      </c>
      <c r="J994" s="470">
        <f>IFERROR(__xludf.DUMMYFUNCTION("""COMPUTED_VALUE"""),0.4357986111111111)</f>
        <v>0.4357986111</v>
      </c>
      <c r="K994" s="16"/>
      <c r="L994" s="8"/>
      <c r="M994" s="69"/>
      <c r="N994" s="69">
        <f>IFERROR(__xludf.DUMMYFUNCTION("""COMPUTED_VALUE"""),3.0)</f>
        <v>3</v>
      </c>
      <c r="O994" s="69" t="str">
        <f t="shared" si="3"/>
        <v/>
      </c>
      <c r="P994" s="471">
        <f>IFERROR(__xludf.DUMMYFUNCTION("""COMPUTED_VALUE"""),0.0)</f>
        <v>0</v>
      </c>
      <c r="Q994" s="274" t="b">
        <f>VLOOKUP($B994,'Run Reconcile'!B$2:O2488,14,FALSE)</f>
        <v>1</v>
      </c>
      <c r="R994" s="472" t="str">
        <f t="array" ref="R994">IF($Q994, INDEX('Run Reconcile'!A$2:A2488,MATCH(B994,'Run Reconcile'!B$2:B2488,0),1),IFERROR(0/0,""))</f>
        <v>RUN-FLMP_2022-04-04_RFR-105</v>
      </c>
      <c r="S994" s="473" t="str">
        <f t="shared" si="694"/>
        <v/>
      </c>
      <c r="T994" s="473" t="str">
        <f t="shared" si="698"/>
        <v/>
      </c>
      <c r="U994" s="275" t="str">
        <f t="array" ref="U994">IF(ISBLANK($R994), INDEX('Run Reconcile'!A$2:A2488, MATCH($B994, 'Run Reconcile'!B$2:B2488, 0)+Z994, 1), IFERROR(0/0,""))
</f>
        <v/>
      </c>
      <c r="V994" s="474" t="str">
        <f t="shared" si="5"/>
        <v>RUN-FLMP_2022-04-04_RFR-105</v>
      </c>
      <c r="Y994" s="89" t="str">
        <f t="shared" si="867"/>
        <v/>
      </c>
      <c r="Z994" s="60" t="str">
        <f t="shared" si="7"/>
        <v/>
      </c>
      <c r="AA994" s="60" t="str">
        <f t="shared" si="8"/>
        <v/>
      </c>
      <c r="AB994" s="60" t="str">
        <f t="shared" si="9"/>
        <v/>
      </c>
      <c r="AC994" s="30" t="str">
        <f t="shared" ref="AC994:AD994" si="1350">IF(_xlfn.ISFORMULA(S994),IFERROR(0/0,""),TRUE)</f>
        <v/>
      </c>
      <c r="AD994" s="30" t="str">
        <f t="shared" si="1350"/>
        <v/>
      </c>
      <c r="AE994" s="475" t="str">
        <f>IFERROR(__xludf.DUMMYFUNCTION("""COMPUTED_VALUE"""),"CRLN")</f>
        <v>CRLN</v>
      </c>
      <c r="AF994" s="476"/>
      <c r="AG994" s="474" t="s">
        <v>196</v>
      </c>
      <c r="AH994" s="138" t="str">
        <f t="shared" si="11"/>
        <v/>
      </c>
    </row>
    <row r="995">
      <c r="A995" s="103" t="str">
        <f>IFERROR(__xludf.DUMMYFUNCTION("""COMPUTED_VALUE"""),"FLB7382")</f>
        <v>FLB7382</v>
      </c>
      <c r="B995" s="468">
        <f>IFERROR(__xludf.DUMMYFUNCTION("""COMPUTED_VALUE"""),44655.0)</f>
        <v>44655</v>
      </c>
      <c r="C995" s="469">
        <f>IFERROR(__xludf.DUMMYFUNCTION("""COMPUTED_VALUE"""),0.3786805555555556)</f>
        <v>0.3786805556</v>
      </c>
      <c r="D995" s="103" t="str">
        <f>IFERROR(__xludf.DUMMYFUNCTION("""COMPUTED_VALUE"""),"SpFLMP683554")</f>
        <v>SpFLMP683554</v>
      </c>
      <c r="E995" s="103"/>
      <c r="F995" s="103"/>
      <c r="G995" s="103" t="str">
        <f>IFERROR(__xludf.DUMMYFUNCTION("""COMPUTED_VALUE"""),"Negative")</f>
        <v>Negative</v>
      </c>
      <c r="H995" s="131" t="str">
        <f>IFERROR(__xludf.DUMMYFUNCTION("""COMPUTED_VALUE"""),"Negative")</f>
        <v>Negative</v>
      </c>
      <c r="I995" s="468">
        <f>IFERROR(__xludf.DUMMYFUNCTION("""COMPUTED_VALUE"""),44655.0)</f>
        <v>44655</v>
      </c>
      <c r="J995" s="470">
        <f>IFERROR(__xludf.DUMMYFUNCTION("""COMPUTED_VALUE"""),0.4357986111111111)</f>
        <v>0.4357986111</v>
      </c>
      <c r="K995" s="16"/>
      <c r="L995" s="8"/>
      <c r="M995" s="69"/>
      <c r="N995" s="69">
        <f>IFERROR(__xludf.DUMMYFUNCTION("""COMPUTED_VALUE"""),1.0)</f>
        <v>1</v>
      </c>
      <c r="O995" s="69" t="str">
        <f t="shared" si="3"/>
        <v/>
      </c>
      <c r="P995" s="471">
        <f>IFERROR(__xludf.DUMMYFUNCTION("""COMPUTED_VALUE"""),0.0)</f>
        <v>0</v>
      </c>
      <c r="Q995" s="274" t="b">
        <f>VLOOKUP($B995,'Run Reconcile'!B$2:O2488,14,FALSE)</f>
        <v>1</v>
      </c>
      <c r="R995" s="472" t="str">
        <f t="array" ref="R995">IF($Q995, INDEX('Run Reconcile'!A$2:A2488,MATCH(B995,'Run Reconcile'!B$2:B2488,0),1),IFERROR(0/0,""))</f>
        <v>RUN-FLMP_2022-04-04_RFR-105</v>
      </c>
      <c r="S995" s="473" t="str">
        <f t="shared" si="694"/>
        <v/>
      </c>
      <c r="T995" s="473" t="str">
        <f t="shared" si="698"/>
        <v/>
      </c>
      <c r="U995" s="275" t="str">
        <f t="array" ref="U995">IF(ISBLANK($R995), INDEX('Run Reconcile'!A$2:A2488, MATCH($B995, 'Run Reconcile'!B$2:B2488, 0)+Z995, 1), IFERROR(0/0,""))
</f>
        <v/>
      </c>
      <c r="V995" s="474" t="str">
        <f t="shared" si="5"/>
        <v>RUN-FLMP_2022-04-04_RFR-105</v>
      </c>
      <c r="Y995" s="89" t="str">
        <f t="shared" si="867"/>
        <v/>
      </c>
      <c r="Z995" s="60" t="str">
        <f t="shared" si="7"/>
        <v/>
      </c>
      <c r="AA995" s="60" t="str">
        <f t="shared" si="8"/>
        <v/>
      </c>
      <c r="AB995" s="60" t="str">
        <f t="shared" si="9"/>
        <v/>
      </c>
      <c r="AC995" s="30" t="str">
        <f t="shared" ref="AC995:AD995" si="1351">IF(_xlfn.ISFORMULA(S995),IFERROR(0/0,""),TRUE)</f>
        <v/>
      </c>
      <c r="AD995" s="30" t="str">
        <f t="shared" si="1351"/>
        <v/>
      </c>
      <c r="AE995" s="475" t="str">
        <f>IFERROR(__xludf.DUMMYFUNCTION("""COMPUTED_VALUE"""),"CRLN")</f>
        <v>CRLN</v>
      </c>
      <c r="AF995" s="476"/>
      <c r="AG995" s="474" t="s">
        <v>196</v>
      </c>
      <c r="AH995" s="138" t="str">
        <f t="shared" si="11"/>
        <v/>
      </c>
    </row>
    <row r="996">
      <c r="A996" s="103" t="str">
        <f>IFERROR(__xludf.DUMMYFUNCTION("""COMPUTED_VALUE"""),"FLE238")</f>
        <v>FLE238</v>
      </c>
      <c r="B996" s="468">
        <f>IFERROR(__xludf.DUMMYFUNCTION("""COMPUTED_VALUE"""),44655.0)</f>
        <v>44655</v>
      </c>
      <c r="C996" s="469">
        <f>IFERROR(__xludf.DUMMYFUNCTION("""COMPUTED_VALUE"""),0.3873726851851852)</f>
        <v>0.3873726852</v>
      </c>
      <c r="D996" s="103" t="str">
        <f>IFERROR(__xludf.DUMMYFUNCTION("""COMPUTED_VALUE"""),"SpFLMP120998")</f>
        <v>SpFLMP120998</v>
      </c>
      <c r="E996" s="103"/>
      <c r="F996" s="103"/>
      <c r="G996" s="103" t="str">
        <f>IFERROR(__xludf.DUMMYFUNCTION("""COMPUTED_VALUE"""),"Negative")</f>
        <v>Negative</v>
      </c>
      <c r="H996" s="131" t="str">
        <f>IFERROR(__xludf.DUMMYFUNCTION("""COMPUTED_VALUE"""),"Negative")</f>
        <v>Negative</v>
      </c>
      <c r="I996" s="468">
        <f>IFERROR(__xludf.DUMMYFUNCTION("""COMPUTED_VALUE"""),44655.0)</f>
        <v>44655</v>
      </c>
      <c r="J996" s="470">
        <f>IFERROR(__xludf.DUMMYFUNCTION("""COMPUTED_VALUE"""),0.4357986111111111)</f>
        <v>0.4357986111</v>
      </c>
      <c r="K996" s="16"/>
      <c r="L996" s="8"/>
      <c r="M996" s="69"/>
      <c r="N996" s="69">
        <f>IFERROR(__xludf.DUMMYFUNCTION("""COMPUTED_VALUE"""),3.0)</f>
        <v>3</v>
      </c>
      <c r="O996" s="69" t="str">
        <f t="shared" si="3"/>
        <v/>
      </c>
      <c r="P996" s="471">
        <f>IFERROR(__xludf.DUMMYFUNCTION("""COMPUTED_VALUE"""),0.0)</f>
        <v>0</v>
      </c>
      <c r="Q996" s="274" t="b">
        <f>VLOOKUP($B996,'Run Reconcile'!B$2:O2488,14,FALSE)</f>
        <v>1</v>
      </c>
      <c r="R996" s="472" t="str">
        <f t="array" ref="R996">IF($Q996, INDEX('Run Reconcile'!A$2:A2488,MATCH(B996,'Run Reconcile'!B$2:B2488,0),1),IFERROR(0/0,""))</f>
        <v>RUN-FLMP_2022-04-04_RFR-105</v>
      </c>
      <c r="S996" s="473" t="str">
        <f t="shared" si="694"/>
        <v/>
      </c>
      <c r="T996" s="473" t="str">
        <f t="shared" si="698"/>
        <v/>
      </c>
      <c r="U996" s="275" t="str">
        <f t="array" ref="U996">IF(ISBLANK($R996), INDEX('Run Reconcile'!A$2:A2488, MATCH($B996, 'Run Reconcile'!B$2:B2488, 0)+Z996, 1), IFERROR(0/0,""))
</f>
        <v/>
      </c>
      <c r="V996" s="474" t="str">
        <f t="shared" si="5"/>
        <v>RUN-FLMP_2022-04-04_RFR-105</v>
      </c>
      <c r="Y996" s="89" t="str">
        <f t="shared" si="867"/>
        <v/>
      </c>
      <c r="Z996" s="60" t="str">
        <f t="shared" si="7"/>
        <v/>
      </c>
      <c r="AA996" s="60" t="str">
        <f t="shared" si="8"/>
        <v/>
      </c>
      <c r="AB996" s="60" t="str">
        <f t="shared" si="9"/>
        <v/>
      </c>
      <c r="AC996" s="30" t="str">
        <f t="shared" ref="AC996:AD996" si="1352">IF(_xlfn.ISFORMULA(S996),IFERROR(0/0,""),TRUE)</f>
        <v/>
      </c>
      <c r="AD996" s="30" t="str">
        <f t="shared" si="1352"/>
        <v/>
      </c>
      <c r="AE996" s="475" t="str">
        <f>IFERROR(__xludf.DUMMYFUNCTION("""COMPUTED_VALUE"""),"FLSP")</f>
        <v>FLSP</v>
      </c>
      <c r="AF996" s="476"/>
      <c r="AG996" s="474" t="s">
        <v>196</v>
      </c>
      <c r="AH996" s="138" t="str">
        <f t="shared" si="11"/>
        <v/>
      </c>
    </row>
    <row r="997">
      <c r="A997" s="477" t="str">
        <f>IFERROR(__xludf.DUMMYFUNCTION("""COMPUTED_VALUE"""),"FLB7144")</f>
        <v>FLB7144</v>
      </c>
      <c r="B997" s="478">
        <f>IFERROR(__xludf.DUMMYFUNCTION("""COMPUTED_VALUE"""),44657.0)</f>
        <v>44657</v>
      </c>
      <c r="C997" s="479">
        <f>IFERROR(__xludf.DUMMYFUNCTION("""COMPUTED_VALUE"""),0.837037037037037)</f>
        <v>0.837037037</v>
      </c>
      <c r="D997" s="477" t="str">
        <f>IFERROR(__xludf.DUMMYFUNCTION("""COMPUTED_VALUE"""),"SpFLMP268514")</f>
        <v>SpFLMP268514</v>
      </c>
      <c r="E997" s="477"/>
      <c r="F997" s="477"/>
      <c r="G997" s="477" t="str">
        <f>IFERROR(__xludf.DUMMYFUNCTION("""COMPUTED_VALUE"""),"Negative")</f>
        <v>Negative</v>
      </c>
      <c r="H997" s="480" t="str">
        <f>IFERROR(__xludf.DUMMYFUNCTION("""COMPUTED_VALUE"""),"Negative")</f>
        <v>Negative</v>
      </c>
      <c r="I997" s="478">
        <f>IFERROR(__xludf.DUMMYFUNCTION("""COMPUTED_VALUE"""),44658.0)</f>
        <v>44658</v>
      </c>
      <c r="J997" s="481">
        <f>IFERROR(__xludf.DUMMYFUNCTION("""COMPUTED_VALUE"""),0.4406481481481481)</f>
        <v>0.4406481481</v>
      </c>
      <c r="K997" s="156"/>
      <c r="L997" s="19"/>
      <c r="M997" s="482"/>
      <c r="N997" s="482">
        <f>IFERROR(__xludf.DUMMYFUNCTION("""COMPUTED_VALUE"""),4.0)</f>
        <v>4</v>
      </c>
      <c r="O997" s="482" t="b">
        <f t="shared" si="3"/>
        <v>1</v>
      </c>
      <c r="P997" s="483">
        <f>IFERROR(__xludf.DUMMYFUNCTION("""COMPUTED_VALUE"""),1.0)</f>
        <v>1</v>
      </c>
      <c r="Q997" s="352" t="str">
        <f>VLOOKUP($B997,'Run Reconcile'!B$2:O2488,14,FALSE)</f>
        <v/>
      </c>
      <c r="R997" s="484" t="str">
        <f t="array" ref="R997">IF($Q997, INDEX('Run Reconcile'!A$2:A2488,MATCH(B997,'Run Reconcile'!B$2:B2488,0),1),IFERROR(0/0,""))</f>
        <v/>
      </c>
      <c r="S997" s="485" t="b">
        <f t="shared" si="694"/>
        <v>1</v>
      </c>
      <c r="T997" s="485" t="str">
        <f t="shared" si="698"/>
        <v/>
      </c>
      <c r="U997" s="353" t="str">
        <f t="array" ref="U997">IF(ISBLANK($R997), INDEX('Run Reconcile'!A$2:A2488, MATCH($B997, 'Run Reconcile'!B$2:B2488, 0)+Z997, 1), IFERROR(0/0,""))
</f>
        <v>RUN-FLMP_2022-04-07_RFR-107</v>
      </c>
      <c r="V997" s="486" t="str">
        <f t="shared" si="5"/>
        <v>RUN-FLMP_2022-04-07_RFR-107</v>
      </c>
      <c r="W997" s="19" t="s">
        <v>1472</v>
      </c>
      <c r="X997" s="19"/>
      <c r="Y997" s="89">
        <f t="shared" si="867"/>
        <v>1</v>
      </c>
      <c r="Z997" s="60">
        <f t="shared" si="7"/>
        <v>1</v>
      </c>
      <c r="AA997" s="60">
        <f t="shared" si="8"/>
        <v>1</v>
      </c>
      <c r="AB997" s="60" t="str">
        <f t="shared" si="9"/>
        <v/>
      </c>
      <c r="AC997" s="158" t="str">
        <f t="shared" ref="AC997:AD997" si="1353">IF(_xlfn.ISFORMULA(S997),IFERROR(0/0,""),TRUE)</f>
        <v/>
      </c>
      <c r="AD997" s="158" t="str">
        <f t="shared" si="1353"/>
        <v/>
      </c>
      <c r="AE997" s="488" t="str">
        <f>IFERROR(__xludf.DUMMYFUNCTION("""COMPUTED_VALUE"""),"CRLN")</f>
        <v>CRLN</v>
      </c>
      <c r="AF997" s="489"/>
      <c r="AG997" s="486" t="s">
        <v>197</v>
      </c>
      <c r="AH997" s="138" t="str">
        <f t="shared" si="11"/>
        <v/>
      </c>
      <c r="AI997" s="19"/>
      <c r="AJ997" s="19"/>
      <c r="AK997" s="19"/>
      <c r="AL997" s="19"/>
      <c r="AM997" s="19"/>
    </row>
    <row r="998">
      <c r="A998" s="103" t="str">
        <f>IFERROR(__xludf.DUMMYFUNCTION("""COMPUTED_VALUE"""),"FLB7418")</f>
        <v>FLB7418</v>
      </c>
      <c r="B998" s="468">
        <f>IFERROR(__xludf.DUMMYFUNCTION("""COMPUTED_VALUE"""),44658.0)</f>
        <v>44658</v>
      </c>
      <c r="C998" s="469">
        <f>IFERROR(__xludf.DUMMYFUNCTION("""COMPUTED_VALUE"""),0.3128587962962963)</f>
        <v>0.3128587963</v>
      </c>
      <c r="D998" s="103" t="str">
        <f>IFERROR(__xludf.DUMMYFUNCTION("""COMPUTED_VALUE"""),"SpFLMP470379")</f>
        <v>SpFLMP470379</v>
      </c>
      <c r="E998" s="103"/>
      <c r="F998" s="103"/>
      <c r="G998" s="103" t="str">
        <f>IFERROR(__xludf.DUMMYFUNCTION("""COMPUTED_VALUE"""),"Negative")</f>
        <v>Negative</v>
      </c>
      <c r="H998" s="131" t="str">
        <f>IFERROR(__xludf.DUMMYFUNCTION("""COMPUTED_VALUE"""),"Negative")</f>
        <v>Negative</v>
      </c>
      <c r="I998" s="468">
        <f>IFERROR(__xludf.DUMMYFUNCTION("""COMPUTED_VALUE"""),44658.0)</f>
        <v>44658</v>
      </c>
      <c r="J998" s="470">
        <f>IFERROR(__xludf.DUMMYFUNCTION("""COMPUTED_VALUE"""),0.4406481481481481)</f>
        <v>0.4406481481</v>
      </c>
      <c r="K998" s="16"/>
      <c r="L998" s="8"/>
      <c r="M998" s="69"/>
      <c r="N998" s="69">
        <f>IFERROR(__xludf.DUMMYFUNCTION("""COMPUTED_VALUE"""),1.0)</f>
        <v>1</v>
      </c>
      <c r="O998" s="69" t="b">
        <f t="shared" si="3"/>
        <v>1</v>
      </c>
      <c r="P998" s="471">
        <f>IFERROR(__xludf.DUMMYFUNCTION("""COMPUTED_VALUE"""),0.0)</f>
        <v>0</v>
      </c>
      <c r="Q998" s="274" t="b">
        <f>VLOOKUP($B998,'Run Reconcile'!B$2:O2488,14,FALSE)</f>
        <v>1</v>
      </c>
      <c r="R998" s="472" t="str">
        <f t="array" ref="R998">IF($Q998, INDEX('Run Reconcile'!A$2:A2488,MATCH(B998,'Run Reconcile'!B$2:B2488,0),1),IFERROR(0/0,""))</f>
        <v>RUN-FLMP_2022-04-07_RFR-107</v>
      </c>
      <c r="S998" s="473" t="str">
        <f t="shared" si="694"/>
        <v/>
      </c>
      <c r="T998" s="473" t="str">
        <f t="shared" si="698"/>
        <v/>
      </c>
      <c r="U998" s="275" t="str">
        <f t="array" ref="U998">IF(ISBLANK($R998), INDEX('Run Reconcile'!A$2:A2488, MATCH($B998, 'Run Reconcile'!B$2:B2488, 0)+Z998, 1), IFERROR(0/0,""))
</f>
        <v/>
      </c>
      <c r="V998" s="474" t="str">
        <f t="shared" si="5"/>
        <v>RUN-FLMP_2022-04-07_RFR-107</v>
      </c>
      <c r="Y998" s="89" t="str">
        <f t="shared" si="867"/>
        <v/>
      </c>
      <c r="Z998" s="60" t="str">
        <f t="shared" si="7"/>
        <v/>
      </c>
      <c r="AA998" s="60" t="str">
        <f t="shared" si="8"/>
        <v/>
      </c>
      <c r="AB998" s="60" t="str">
        <f t="shared" si="9"/>
        <v/>
      </c>
      <c r="AC998" s="30" t="str">
        <f t="shared" ref="AC998:AD998" si="1354">IF(_xlfn.ISFORMULA(S998),IFERROR(0/0,""),TRUE)</f>
        <v/>
      </c>
      <c r="AD998" s="30" t="str">
        <f t="shared" si="1354"/>
        <v/>
      </c>
      <c r="AE998" s="475" t="str">
        <f>IFERROR(__xludf.DUMMYFUNCTION("""COMPUTED_VALUE"""),"CRLN")</f>
        <v>CRLN</v>
      </c>
      <c r="AF998" s="476"/>
      <c r="AG998" s="474" t="s">
        <v>197</v>
      </c>
      <c r="AH998" s="138" t="str">
        <f t="shared" si="11"/>
        <v/>
      </c>
    </row>
    <row r="999">
      <c r="A999" s="103" t="str">
        <f>IFERROR(__xludf.DUMMYFUNCTION("""COMPUTED_VALUE"""),"FLB7354")</f>
        <v>FLB7354</v>
      </c>
      <c r="B999" s="468">
        <f>IFERROR(__xludf.DUMMYFUNCTION("""COMPUTED_VALUE"""),44658.0)</f>
        <v>44658</v>
      </c>
      <c r="C999" s="469">
        <f>IFERROR(__xludf.DUMMYFUNCTION("""COMPUTED_VALUE"""),0.31438657407407405)</f>
        <v>0.3143865741</v>
      </c>
      <c r="D999" s="103" t="str">
        <f>IFERROR(__xludf.DUMMYFUNCTION("""COMPUTED_VALUE"""),"SpFLMP965392")</f>
        <v>SpFLMP965392</v>
      </c>
      <c r="E999" s="103"/>
      <c r="F999" s="103"/>
      <c r="G999" s="103" t="str">
        <f>IFERROR(__xludf.DUMMYFUNCTION("""COMPUTED_VALUE"""),"Negative")</f>
        <v>Negative</v>
      </c>
      <c r="H999" s="131" t="str">
        <f>IFERROR(__xludf.DUMMYFUNCTION("""COMPUTED_VALUE"""),"Negative")</f>
        <v>Negative</v>
      </c>
      <c r="I999" s="468">
        <f>IFERROR(__xludf.DUMMYFUNCTION("""COMPUTED_VALUE"""),44658.0)</f>
        <v>44658</v>
      </c>
      <c r="J999" s="470">
        <f>IFERROR(__xludf.DUMMYFUNCTION("""COMPUTED_VALUE"""),0.4406481481481481)</f>
        <v>0.4406481481</v>
      </c>
      <c r="K999" s="16"/>
      <c r="L999" s="8"/>
      <c r="M999" s="69"/>
      <c r="N999" s="69">
        <f>IFERROR(__xludf.DUMMYFUNCTION("""COMPUTED_VALUE"""),3.0)</f>
        <v>3</v>
      </c>
      <c r="O999" s="69" t="str">
        <f t="shared" si="3"/>
        <v/>
      </c>
      <c r="P999" s="471">
        <f>IFERROR(__xludf.DUMMYFUNCTION("""COMPUTED_VALUE"""),0.0)</f>
        <v>0</v>
      </c>
      <c r="Q999" s="274" t="b">
        <f>VLOOKUP($B999,'Run Reconcile'!B$2:O2488,14,FALSE)</f>
        <v>1</v>
      </c>
      <c r="R999" s="472" t="str">
        <f t="array" ref="R999">IF($Q999, INDEX('Run Reconcile'!A$2:A2488,MATCH(B999,'Run Reconcile'!B$2:B2488,0),1),IFERROR(0/0,""))</f>
        <v>RUN-FLMP_2022-04-07_RFR-107</v>
      </c>
      <c r="S999" s="473" t="str">
        <f t="shared" si="694"/>
        <v/>
      </c>
      <c r="T999" s="473" t="str">
        <f t="shared" si="698"/>
        <v/>
      </c>
      <c r="U999" s="275" t="str">
        <f t="array" ref="U999">IF(ISBLANK($R999), INDEX('Run Reconcile'!A$2:A2488, MATCH($B999, 'Run Reconcile'!B$2:B2488, 0)+Z999, 1), IFERROR(0/0,""))
</f>
        <v/>
      </c>
      <c r="V999" s="474" t="str">
        <f t="shared" si="5"/>
        <v>RUN-FLMP_2022-04-07_RFR-107</v>
      </c>
      <c r="Y999" s="89" t="str">
        <f t="shared" si="867"/>
        <v/>
      </c>
      <c r="Z999" s="60" t="str">
        <f t="shared" si="7"/>
        <v/>
      </c>
      <c r="AA999" s="60" t="str">
        <f t="shared" si="8"/>
        <v/>
      </c>
      <c r="AB999" s="60" t="str">
        <f t="shared" si="9"/>
        <v/>
      </c>
      <c r="AC999" s="30" t="str">
        <f t="shared" ref="AC999:AD999" si="1355">IF(_xlfn.ISFORMULA(S999),IFERROR(0/0,""),TRUE)</f>
        <v/>
      </c>
      <c r="AD999" s="30" t="str">
        <f t="shared" si="1355"/>
        <v/>
      </c>
      <c r="AE999" s="475" t="str">
        <f>IFERROR(__xludf.DUMMYFUNCTION("""COMPUTED_VALUE"""),"CRLN")</f>
        <v>CRLN</v>
      </c>
      <c r="AF999" s="476"/>
      <c r="AG999" s="474" t="s">
        <v>197</v>
      </c>
      <c r="AH999" s="138" t="str">
        <f t="shared" si="11"/>
        <v/>
      </c>
    </row>
    <row r="1000">
      <c r="A1000" s="103" t="str">
        <f>IFERROR(__xludf.DUMMYFUNCTION("""COMPUTED_VALUE"""),"FLB7427")</f>
        <v>FLB7427</v>
      </c>
      <c r="B1000" s="468">
        <f>IFERROR(__xludf.DUMMYFUNCTION("""COMPUTED_VALUE"""),44658.0)</f>
        <v>44658</v>
      </c>
      <c r="C1000" s="469">
        <f>IFERROR(__xludf.DUMMYFUNCTION("""COMPUTED_VALUE"""),0.3175810185185185)</f>
        <v>0.3175810185</v>
      </c>
      <c r="D1000" s="103" t="str">
        <f>IFERROR(__xludf.DUMMYFUNCTION("""COMPUTED_VALUE"""),"SpFLMP273885")</f>
        <v>SpFLMP273885</v>
      </c>
      <c r="E1000" s="103"/>
      <c r="F1000" s="103"/>
      <c r="G1000" s="103" t="str">
        <f>IFERROR(__xludf.DUMMYFUNCTION("""COMPUTED_VALUE"""),"Negative")</f>
        <v>Negative</v>
      </c>
      <c r="H1000" s="131" t="str">
        <f>IFERROR(__xludf.DUMMYFUNCTION("""COMPUTED_VALUE"""),"Negative")</f>
        <v>Negative</v>
      </c>
      <c r="I1000" s="468">
        <f>IFERROR(__xludf.DUMMYFUNCTION("""COMPUTED_VALUE"""),44658.0)</f>
        <v>44658</v>
      </c>
      <c r="J1000" s="470">
        <f>IFERROR(__xludf.DUMMYFUNCTION("""COMPUTED_VALUE"""),0.4406481481481481)</f>
        <v>0.4406481481</v>
      </c>
      <c r="K1000" s="16"/>
      <c r="L1000" s="8"/>
      <c r="M1000" s="69"/>
      <c r="N1000" s="69">
        <f>IFERROR(__xludf.DUMMYFUNCTION("""COMPUTED_VALUE"""),4.0)</f>
        <v>4</v>
      </c>
      <c r="O1000" s="69" t="str">
        <f t="shared" si="3"/>
        <v/>
      </c>
      <c r="P1000" s="471">
        <f>IFERROR(__xludf.DUMMYFUNCTION("""COMPUTED_VALUE"""),0.0)</f>
        <v>0</v>
      </c>
      <c r="Q1000" s="274" t="b">
        <f>VLOOKUP($B1000,'Run Reconcile'!B$2:O2488,14,FALSE)</f>
        <v>1</v>
      </c>
      <c r="R1000" s="472" t="str">
        <f t="array" ref="R1000">IF($Q1000, INDEX('Run Reconcile'!A$2:A2488,MATCH(B1000,'Run Reconcile'!B$2:B2488,0),1),IFERROR(0/0,""))</f>
        <v>RUN-FLMP_2022-04-07_RFR-107</v>
      </c>
      <c r="S1000" s="473" t="str">
        <f t="shared" si="694"/>
        <v/>
      </c>
      <c r="T1000" s="473" t="str">
        <f t="shared" si="698"/>
        <v/>
      </c>
      <c r="U1000" s="275" t="str">
        <f t="array" ref="U1000">IF(ISBLANK($R1000), INDEX('Run Reconcile'!A$2:A2488, MATCH($B1000, 'Run Reconcile'!B$2:B2488, 0)+Z1000, 1), IFERROR(0/0,""))
</f>
        <v/>
      </c>
      <c r="V1000" s="474" t="str">
        <f t="shared" si="5"/>
        <v>RUN-FLMP_2022-04-07_RFR-107</v>
      </c>
      <c r="Y1000" s="89" t="str">
        <f t="shared" si="867"/>
        <v/>
      </c>
      <c r="Z1000" s="60" t="str">
        <f t="shared" si="7"/>
        <v/>
      </c>
      <c r="AA1000" s="60" t="str">
        <f t="shared" si="8"/>
        <v/>
      </c>
      <c r="AB1000" s="60" t="str">
        <f t="shared" si="9"/>
        <v/>
      </c>
      <c r="AC1000" s="30" t="str">
        <f t="shared" ref="AC1000:AD1000" si="1356">IF(_xlfn.ISFORMULA(S1000),IFERROR(0/0,""),TRUE)</f>
        <v/>
      </c>
      <c r="AD1000" s="30" t="str">
        <f t="shared" si="1356"/>
        <v/>
      </c>
      <c r="AE1000" s="475" t="str">
        <f>IFERROR(__xludf.DUMMYFUNCTION("""COMPUTED_VALUE"""),"CRLN")</f>
        <v>CRLN</v>
      </c>
      <c r="AF1000" s="476"/>
      <c r="AG1000" s="474" t="s">
        <v>197</v>
      </c>
      <c r="AH1000" s="138" t="str">
        <f t="shared" si="11"/>
        <v/>
      </c>
    </row>
    <row r="1001">
      <c r="A1001" s="103" t="str">
        <f>IFERROR(__xludf.DUMMYFUNCTION("""COMPUTED_VALUE"""),"FLB7282")</f>
        <v>FLB7282</v>
      </c>
      <c r="B1001" s="468">
        <f>IFERROR(__xludf.DUMMYFUNCTION("""COMPUTED_VALUE"""),44658.0)</f>
        <v>44658</v>
      </c>
      <c r="C1001" s="469">
        <f>IFERROR(__xludf.DUMMYFUNCTION("""COMPUTED_VALUE"""),0.3258564814814815)</f>
        <v>0.3258564815</v>
      </c>
      <c r="D1001" s="103" t="str">
        <f>IFERROR(__xludf.DUMMYFUNCTION("""COMPUTED_VALUE"""),"SpFLMP544731")</f>
        <v>SpFLMP544731</v>
      </c>
      <c r="E1001" s="103"/>
      <c r="F1001" s="103"/>
      <c r="G1001" s="103" t="str">
        <f>IFERROR(__xludf.DUMMYFUNCTION("""COMPUTED_VALUE"""),"Negative")</f>
        <v>Negative</v>
      </c>
      <c r="H1001" s="131" t="str">
        <f>IFERROR(__xludf.DUMMYFUNCTION("""COMPUTED_VALUE"""),"Negative")</f>
        <v>Negative</v>
      </c>
      <c r="I1001" s="468">
        <f>IFERROR(__xludf.DUMMYFUNCTION("""COMPUTED_VALUE"""),44658.0)</f>
        <v>44658</v>
      </c>
      <c r="J1001" s="470">
        <f>IFERROR(__xludf.DUMMYFUNCTION("""COMPUTED_VALUE"""),0.4406597222222222)</f>
        <v>0.4406597222</v>
      </c>
      <c r="K1001" s="16"/>
      <c r="L1001" s="8"/>
      <c r="M1001" s="69"/>
      <c r="N1001" s="69">
        <f>IFERROR(__xludf.DUMMYFUNCTION("""COMPUTED_VALUE"""),3.0)</f>
        <v>3</v>
      </c>
      <c r="O1001" s="69" t="str">
        <f t="shared" si="3"/>
        <v/>
      </c>
      <c r="P1001" s="471">
        <f>IFERROR(__xludf.DUMMYFUNCTION("""COMPUTED_VALUE"""),0.0)</f>
        <v>0</v>
      </c>
      <c r="Q1001" s="274" t="b">
        <f>VLOOKUP($B1001,'Run Reconcile'!B$2:O2488,14,FALSE)</f>
        <v>1</v>
      </c>
      <c r="R1001" s="472" t="str">
        <f t="array" ref="R1001">IF($Q1001, INDEX('Run Reconcile'!A$2:A2488,MATCH(B1001,'Run Reconcile'!B$2:B2488,0),1),IFERROR(0/0,""))</f>
        <v>RUN-FLMP_2022-04-07_RFR-107</v>
      </c>
      <c r="S1001" s="473" t="str">
        <f t="shared" si="694"/>
        <v/>
      </c>
      <c r="T1001" s="473" t="str">
        <f t="shared" si="698"/>
        <v/>
      </c>
      <c r="U1001" s="275" t="str">
        <f t="array" ref="U1001">IF(ISBLANK($R1001), INDEX('Run Reconcile'!A$2:A2488, MATCH($B1001, 'Run Reconcile'!B$2:B2488, 0)+Z1001, 1), IFERROR(0/0,""))
</f>
        <v/>
      </c>
      <c r="V1001" s="474" t="str">
        <f t="shared" si="5"/>
        <v>RUN-FLMP_2022-04-07_RFR-107</v>
      </c>
      <c r="Y1001" s="89" t="str">
        <f t="shared" si="867"/>
        <v/>
      </c>
      <c r="Z1001" s="60" t="str">
        <f t="shared" si="7"/>
        <v/>
      </c>
      <c r="AA1001" s="60" t="str">
        <f t="shared" si="8"/>
        <v/>
      </c>
      <c r="AB1001" s="60" t="str">
        <f t="shared" si="9"/>
        <v/>
      </c>
      <c r="AC1001" s="30" t="str">
        <f t="shared" ref="AC1001:AD1001" si="1357">IF(_xlfn.ISFORMULA(S1001),IFERROR(0/0,""),TRUE)</f>
        <v/>
      </c>
      <c r="AD1001" s="30" t="str">
        <f t="shared" si="1357"/>
        <v/>
      </c>
      <c r="AE1001" s="475" t="str">
        <f>IFERROR(__xludf.DUMMYFUNCTION("""COMPUTED_VALUE"""),"CRLN")</f>
        <v>CRLN</v>
      </c>
      <c r="AF1001" s="476"/>
      <c r="AG1001" s="474" t="s">
        <v>197</v>
      </c>
      <c r="AH1001" s="138" t="str">
        <f t="shared" si="11"/>
        <v/>
      </c>
    </row>
    <row r="1002">
      <c r="A1002" s="103" t="str">
        <f>IFERROR(__xludf.DUMMYFUNCTION("""COMPUTED_VALUE"""),"FLB5399")</f>
        <v>FLB5399</v>
      </c>
      <c r="B1002" s="468">
        <f>IFERROR(__xludf.DUMMYFUNCTION("""COMPUTED_VALUE"""),44658.0)</f>
        <v>44658</v>
      </c>
      <c r="C1002" s="469">
        <f>IFERROR(__xludf.DUMMYFUNCTION("""COMPUTED_VALUE"""),0.32927083333333335)</f>
        <v>0.3292708333</v>
      </c>
      <c r="D1002" s="103" t="str">
        <f>IFERROR(__xludf.DUMMYFUNCTION("""COMPUTED_VALUE"""),"SpFLMP777132")</f>
        <v>SpFLMP777132</v>
      </c>
      <c r="E1002" s="103"/>
      <c r="F1002" s="103"/>
      <c r="G1002" s="103" t="str">
        <f>IFERROR(__xludf.DUMMYFUNCTION("""COMPUTED_VALUE"""),"Negative")</f>
        <v>Negative</v>
      </c>
      <c r="H1002" s="131" t="str">
        <f>IFERROR(__xludf.DUMMYFUNCTION("""COMPUTED_VALUE"""),"Negative")</f>
        <v>Negative</v>
      </c>
      <c r="I1002" s="468">
        <f>IFERROR(__xludf.DUMMYFUNCTION("""COMPUTED_VALUE"""),44658.0)</f>
        <v>44658</v>
      </c>
      <c r="J1002" s="470">
        <f>IFERROR(__xludf.DUMMYFUNCTION("""COMPUTED_VALUE"""),0.4406597222222222)</f>
        <v>0.4406597222</v>
      </c>
      <c r="K1002" s="16"/>
      <c r="L1002" s="8"/>
      <c r="M1002" s="69"/>
      <c r="N1002" s="69">
        <f>IFERROR(__xludf.DUMMYFUNCTION("""COMPUTED_VALUE"""),4.0)</f>
        <v>4</v>
      </c>
      <c r="O1002" s="69" t="str">
        <f t="shared" si="3"/>
        <v/>
      </c>
      <c r="P1002" s="471">
        <f>IFERROR(__xludf.DUMMYFUNCTION("""COMPUTED_VALUE"""),0.0)</f>
        <v>0</v>
      </c>
      <c r="Q1002" s="274" t="b">
        <f>VLOOKUP($B1002,'Run Reconcile'!B$2:O2488,14,FALSE)</f>
        <v>1</v>
      </c>
      <c r="R1002" s="472" t="str">
        <f t="array" ref="R1002">IF($Q1002, INDEX('Run Reconcile'!A$2:A2488,MATCH(B1002,'Run Reconcile'!B$2:B2488,0),1),IFERROR(0/0,""))</f>
        <v>RUN-FLMP_2022-04-07_RFR-107</v>
      </c>
      <c r="S1002" s="473" t="str">
        <f t="shared" si="694"/>
        <v/>
      </c>
      <c r="T1002" s="473" t="str">
        <f t="shared" si="698"/>
        <v/>
      </c>
      <c r="U1002" s="275" t="str">
        <f t="array" ref="U1002">IF(ISBLANK($R1002), INDEX('Run Reconcile'!A$2:A2488, MATCH($B1002, 'Run Reconcile'!B$2:B2488, 0)+Z1002, 1), IFERROR(0/0,""))
</f>
        <v/>
      </c>
      <c r="V1002" s="474" t="str">
        <f t="shared" si="5"/>
        <v>RUN-FLMP_2022-04-07_RFR-107</v>
      </c>
      <c r="Y1002" s="89" t="str">
        <f t="shared" si="867"/>
        <v/>
      </c>
      <c r="Z1002" s="60" t="str">
        <f t="shared" si="7"/>
        <v/>
      </c>
      <c r="AA1002" s="60" t="str">
        <f t="shared" si="8"/>
        <v/>
      </c>
      <c r="AB1002" s="60" t="str">
        <f t="shared" si="9"/>
        <v/>
      </c>
      <c r="AC1002" s="30" t="str">
        <f t="shared" ref="AC1002:AD1002" si="1358">IF(_xlfn.ISFORMULA(S1002),IFERROR(0/0,""),TRUE)</f>
        <v/>
      </c>
      <c r="AD1002" s="30" t="str">
        <f t="shared" si="1358"/>
        <v/>
      </c>
      <c r="AE1002" s="475" t="str">
        <f>IFERROR(__xludf.DUMMYFUNCTION("""COMPUTED_VALUE"""),"CRLN")</f>
        <v>CRLN</v>
      </c>
      <c r="AF1002" s="476"/>
      <c r="AG1002" s="474" t="s">
        <v>197</v>
      </c>
      <c r="AH1002" s="138" t="str">
        <f t="shared" si="11"/>
        <v/>
      </c>
    </row>
    <row r="1003">
      <c r="A1003" s="103" t="str">
        <f>IFERROR(__xludf.DUMMYFUNCTION("""COMPUTED_VALUE"""),"FLB7398")</f>
        <v>FLB7398</v>
      </c>
      <c r="B1003" s="468">
        <f>IFERROR(__xludf.DUMMYFUNCTION("""COMPUTED_VALUE"""),44658.0)</f>
        <v>44658</v>
      </c>
      <c r="C1003" s="469">
        <f>IFERROR(__xludf.DUMMYFUNCTION("""COMPUTED_VALUE"""),0.339537037037037)</f>
        <v>0.339537037</v>
      </c>
      <c r="D1003" s="103" t="str">
        <f>IFERROR(__xludf.DUMMYFUNCTION("""COMPUTED_VALUE"""),"SpFLMP904576")</f>
        <v>SpFLMP904576</v>
      </c>
      <c r="E1003" s="103"/>
      <c r="F1003" s="103"/>
      <c r="G1003" s="103" t="str">
        <f>IFERROR(__xludf.DUMMYFUNCTION("""COMPUTED_VALUE"""),"Negative")</f>
        <v>Negative</v>
      </c>
      <c r="H1003" s="131" t="str">
        <f>IFERROR(__xludf.DUMMYFUNCTION("""COMPUTED_VALUE"""),"Negative")</f>
        <v>Negative</v>
      </c>
      <c r="I1003" s="468">
        <f>IFERROR(__xludf.DUMMYFUNCTION("""COMPUTED_VALUE"""),44658.0)</f>
        <v>44658</v>
      </c>
      <c r="J1003" s="470">
        <f>IFERROR(__xludf.DUMMYFUNCTION("""COMPUTED_VALUE"""),0.4406597222222222)</f>
        <v>0.4406597222</v>
      </c>
      <c r="K1003" s="16"/>
      <c r="L1003" s="8"/>
      <c r="M1003" s="69"/>
      <c r="N1003" s="69">
        <f>IFERROR(__xludf.DUMMYFUNCTION("""COMPUTED_VALUE"""),3.0)</f>
        <v>3</v>
      </c>
      <c r="O1003" s="69" t="str">
        <f t="shared" si="3"/>
        <v/>
      </c>
      <c r="P1003" s="471">
        <f>IFERROR(__xludf.DUMMYFUNCTION("""COMPUTED_VALUE"""),0.0)</f>
        <v>0</v>
      </c>
      <c r="Q1003" s="274" t="b">
        <f>VLOOKUP($B1003,'Run Reconcile'!B$2:O2488,14,FALSE)</f>
        <v>1</v>
      </c>
      <c r="R1003" s="472" t="str">
        <f t="array" ref="R1003">IF($Q1003, INDEX('Run Reconcile'!A$2:A2488,MATCH(B1003,'Run Reconcile'!B$2:B2488,0),1),IFERROR(0/0,""))</f>
        <v>RUN-FLMP_2022-04-07_RFR-107</v>
      </c>
      <c r="S1003" s="473" t="str">
        <f t="shared" si="694"/>
        <v/>
      </c>
      <c r="T1003" s="473" t="str">
        <f t="shared" si="698"/>
        <v/>
      </c>
      <c r="U1003" s="275" t="str">
        <f t="array" ref="U1003">IF(ISBLANK($R1003), INDEX('Run Reconcile'!A$2:A2488, MATCH($B1003, 'Run Reconcile'!B$2:B2488, 0)+Z1003, 1), IFERROR(0/0,""))
</f>
        <v/>
      </c>
      <c r="V1003" s="474" t="str">
        <f t="shared" si="5"/>
        <v>RUN-FLMP_2022-04-07_RFR-107</v>
      </c>
      <c r="Y1003" s="89" t="str">
        <f t="shared" si="867"/>
        <v/>
      </c>
      <c r="Z1003" s="60" t="str">
        <f t="shared" si="7"/>
        <v/>
      </c>
      <c r="AA1003" s="60" t="str">
        <f t="shared" si="8"/>
        <v/>
      </c>
      <c r="AB1003" s="60" t="str">
        <f t="shared" si="9"/>
        <v/>
      </c>
      <c r="AC1003" s="30" t="str">
        <f t="shared" ref="AC1003:AD1003" si="1359">IF(_xlfn.ISFORMULA(S1003),IFERROR(0/0,""),TRUE)</f>
        <v/>
      </c>
      <c r="AD1003" s="30" t="str">
        <f t="shared" si="1359"/>
        <v/>
      </c>
      <c r="AE1003" s="475" t="str">
        <f>IFERROR(__xludf.DUMMYFUNCTION("""COMPUTED_VALUE"""),"CRLN")</f>
        <v>CRLN</v>
      </c>
      <c r="AF1003" s="476"/>
      <c r="AG1003" s="474" t="s">
        <v>197</v>
      </c>
      <c r="AH1003" s="138" t="str">
        <f t="shared" si="11"/>
        <v/>
      </c>
    </row>
    <row r="1004">
      <c r="A1004" s="103" t="str">
        <f>IFERROR(__xludf.DUMMYFUNCTION("""COMPUTED_VALUE"""),"FLB7170")</f>
        <v>FLB7170</v>
      </c>
      <c r="B1004" s="468">
        <f>IFERROR(__xludf.DUMMYFUNCTION("""COMPUTED_VALUE"""),44658.0)</f>
        <v>44658</v>
      </c>
      <c r="C1004" s="469">
        <f>IFERROR(__xludf.DUMMYFUNCTION("""COMPUTED_VALUE"""),0.34140046296296295)</f>
        <v>0.341400463</v>
      </c>
      <c r="D1004" s="103" t="str">
        <f>IFERROR(__xludf.DUMMYFUNCTION("""COMPUTED_VALUE"""),"SpFLMP314549")</f>
        <v>SpFLMP314549</v>
      </c>
      <c r="E1004" s="103"/>
      <c r="F1004" s="103"/>
      <c r="G1004" s="103" t="str">
        <f>IFERROR(__xludf.DUMMYFUNCTION("""COMPUTED_VALUE"""),"Negative")</f>
        <v>Negative</v>
      </c>
      <c r="H1004" s="131" t="str">
        <f>IFERROR(__xludf.DUMMYFUNCTION("""COMPUTED_VALUE"""),"Negative")</f>
        <v>Negative</v>
      </c>
      <c r="I1004" s="468">
        <f>IFERROR(__xludf.DUMMYFUNCTION("""COMPUTED_VALUE"""),44658.0)</f>
        <v>44658</v>
      </c>
      <c r="J1004" s="470">
        <f>IFERROR(__xludf.DUMMYFUNCTION("""COMPUTED_VALUE"""),0.4406597222222222)</f>
        <v>0.4406597222</v>
      </c>
      <c r="K1004" s="16"/>
      <c r="L1004" s="8"/>
      <c r="M1004" s="69"/>
      <c r="N1004" s="69">
        <f>IFERROR(__xludf.DUMMYFUNCTION("""COMPUTED_VALUE"""),1.0)</f>
        <v>1</v>
      </c>
      <c r="O1004" s="69" t="str">
        <f t="shared" si="3"/>
        <v/>
      </c>
      <c r="P1004" s="471">
        <f>IFERROR(__xludf.DUMMYFUNCTION("""COMPUTED_VALUE"""),0.0)</f>
        <v>0</v>
      </c>
      <c r="Q1004" s="274" t="b">
        <f>VLOOKUP($B1004,'Run Reconcile'!B$2:O2488,14,FALSE)</f>
        <v>1</v>
      </c>
      <c r="R1004" s="472" t="str">
        <f t="array" ref="R1004">IF($Q1004, INDEX('Run Reconcile'!A$2:A2488,MATCH(B1004,'Run Reconcile'!B$2:B2488,0),1),IFERROR(0/0,""))</f>
        <v>RUN-FLMP_2022-04-07_RFR-107</v>
      </c>
      <c r="S1004" s="473" t="str">
        <f t="shared" si="694"/>
        <v/>
      </c>
      <c r="T1004" s="473" t="str">
        <f t="shared" si="698"/>
        <v/>
      </c>
      <c r="U1004" s="275" t="str">
        <f t="array" ref="U1004">IF(ISBLANK($R1004), INDEX('Run Reconcile'!A$2:A2488, MATCH($B1004, 'Run Reconcile'!B$2:B2488, 0)+Z1004, 1), IFERROR(0/0,""))
</f>
        <v/>
      </c>
      <c r="V1004" s="474" t="str">
        <f t="shared" si="5"/>
        <v>RUN-FLMP_2022-04-07_RFR-107</v>
      </c>
      <c r="Y1004" s="89" t="str">
        <f t="shared" si="867"/>
        <v/>
      </c>
      <c r="Z1004" s="60" t="str">
        <f t="shared" si="7"/>
        <v/>
      </c>
      <c r="AA1004" s="60" t="str">
        <f t="shared" si="8"/>
        <v/>
      </c>
      <c r="AB1004" s="60" t="str">
        <f t="shared" si="9"/>
        <v/>
      </c>
      <c r="AC1004" s="30" t="str">
        <f t="shared" ref="AC1004:AD1004" si="1360">IF(_xlfn.ISFORMULA(S1004),IFERROR(0/0,""),TRUE)</f>
        <v/>
      </c>
      <c r="AD1004" s="30" t="str">
        <f t="shared" si="1360"/>
        <v/>
      </c>
      <c r="AE1004" s="475" t="str">
        <f>IFERROR(__xludf.DUMMYFUNCTION("""COMPUTED_VALUE"""),"CRLN")</f>
        <v>CRLN</v>
      </c>
      <c r="AF1004" s="476"/>
      <c r="AG1004" s="474" t="s">
        <v>197</v>
      </c>
      <c r="AH1004" s="138" t="str">
        <f t="shared" si="11"/>
        <v/>
      </c>
    </row>
    <row r="1005">
      <c r="A1005" s="103" t="str">
        <f>IFERROR(__xludf.DUMMYFUNCTION("""COMPUTED_VALUE"""),"FLB7424")</f>
        <v>FLB7424</v>
      </c>
      <c r="B1005" s="468">
        <f>IFERROR(__xludf.DUMMYFUNCTION("""COMPUTED_VALUE"""),44658.0)</f>
        <v>44658</v>
      </c>
      <c r="C1005" s="469">
        <f>IFERROR(__xludf.DUMMYFUNCTION("""COMPUTED_VALUE"""),0.3526273148148148)</f>
        <v>0.3526273148</v>
      </c>
      <c r="D1005" s="103" t="str">
        <f>IFERROR(__xludf.DUMMYFUNCTION("""COMPUTED_VALUE"""),"SpFLMP600756")</f>
        <v>SpFLMP600756</v>
      </c>
      <c r="E1005" s="103"/>
      <c r="F1005" s="103"/>
      <c r="G1005" s="103" t="str">
        <f>IFERROR(__xludf.DUMMYFUNCTION("""COMPUTED_VALUE"""),"Negative")</f>
        <v>Negative</v>
      </c>
      <c r="H1005" s="131" t="str">
        <f>IFERROR(__xludf.DUMMYFUNCTION("""COMPUTED_VALUE"""),"Negative")</f>
        <v>Negative</v>
      </c>
      <c r="I1005" s="468">
        <f>IFERROR(__xludf.DUMMYFUNCTION("""COMPUTED_VALUE"""),44658.0)</f>
        <v>44658</v>
      </c>
      <c r="J1005" s="470">
        <f>IFERROR(__xludf.DUMMYFUNCTION("""COMPUTED_VALUE"""),0.46521990740740743)</f>
        <v>0.4652199074</v>
      </c>
      <c r="K1005" s="16"/>
      <c r="L1005" s="8"/>
      <c r="M1005" s="69"/>
      <c r="N1005" s="69">
        <f>IFERROR(__xludf.DUMMYFUNCTION("""COMPUTED_VALUE"""),2.0)</f>
        <v>2</v>
      </c>
      <c r="O1005" s="69" t="str">
        <f t="shared" si="3"/>
        <v/>
      </c>
      <c r="P1005" s="471">
        <f>IFERROR(__xludf.DUMMYFUNCTION("""COMPUTED_VALUE"""),0.0)</f>
        <v>0</v>
      </c>
      <c r="Q1005" s="274" t="b">
        <f>VLOOKUP($B1005,'Run Reconcile'!B$2:O2488,14,FALSE)</f>
        <v>1</v>
      </c>
      <c r="R1005" s="472" t="str">
        <f t="array" ref="R1005">IF($Q1005, INDEX('Run Reconcile'!A$2:A2488,MATCH(B1005,'Run Reconcile'!B$2:B2488,0),1),IFERROR(0/0,""))</f>
        <v>RUN-FLMP_2022-04-07_RFR-107</v>
      </c>
      <c r="S1005" s="473" t="str">
        <f t="shared" si="694"/>
        <v/>
      </c>
      <c r="T1005" s="473" t="str">
        <f t="shared" si="698"/>
        <v/>
      </c>
      <c r="U1005" s="275" t="str">
        <f t="array" ref="U1005">IF(ISBLANK($R1005), INDEX('Run Reconcile'!A$2:A2488, MATCH($B1005, 'Run Reconcile'!B$2:B2488, 0)+Z1005, 1), IFERROR(0/0,""))
</f>
        <v/>
      </c>
      <c r="V1005" s="474" t="str">
        <f t="shared" si="5"/>
        <v>RUN-FLMP_2022-04-07_RFR-107</v>
      </c>
      <c r="Y1005" s="89" t="str">
        <f t="shared" si="867"/>
        <v/>
      </c>
      <c r="Z1005" s="60" t="str">
        <f t="shared" si="7"/>
        <v/>
      </c>
      <c r="AA1005" s="60" t="str">
        <f t="shared" si="8"/>
        <v/>
      </c>
      <c r="AB1005" s="60" t="str">
        <f t="shared" si="9"/>
        <v/>
      </c>
      <c r="AC1005" s="30" t="str">
        <f t="shared" ref="AC1005:AD1005" si="1361">IF(_xlfn.ISFORMULA(S1005),IFERROR(0/0,""),TRUE)</f>
        <v/>
      </c>
      <c r="AD1005" s="30" t="str">
        <f t="shared" si="1361"/>
        <v/>
      </c>
      <c r="AE1005" s="475" t="str">
        <f>IFERROR(__xludf.DUMMYFUNCTION("""COMPUTED_VALUE"""),"CRLN")</f>
        <v>CRLN</v>
      </c>
      <c r="AF1005" s="476"/>
      <c r="AG1005" s="474" t="s">
        <v>197</v>
      </c>
      <c r="AH1005" s="138" t="str">
        <f t="shared" si="11"/>
        <v/>
      </c>
    </row>
    <row r="1006">
      <c r="A1006" s="103" t="str">
        <f>IFERROR(__xludf.DUMMYFUNCTION("""COMPUTED_VALUE"""),"FLB7341")</f>
        <v>FLB7341</v>
      </c>
      <c r="B1006" s="468">
        <f>IFERROR(__xludf.DUMMYFUNCTION("""COMPUTED_VALUE"""),44658.0)</f>
        <v>44658</v>
      </c>
      <c r="C1006" s="469">
        <f>IFERROR(__xludf.DUMMYFUNCTION("""COMPUTED_VALUE"""),0.35410879629629627)</f>
        <v>0.3541087963</v>
      </c>
      <c r="D1006" s="103" t="str">
        <f>IFERROR(__xludf.DUMMYFUNCTION("""COMPUTED_VALUE"""),"SpFLMP604497")</f>
        <v>SpFLMP604497</v>
      </c>
      <c r="E1006" s="103"/>
      <c r="F1006" s="103"/>
      <c r="G1006" s="103" t="str">
        <f>IFERROR(__xludf.DUMMYFUNCTION("""COMPUTED_VALUE"""),"Negative")</f>
        <v>Negative</v>
      </c>
      <c r="H1006" s="131" t="str">
        <f>IFERROR(__xludf.DUMMYFUNCTION("""COMPUTED_VALUE"""),"Negative")</f>
        <v>Negative</v>
      </c>
      <c r="I1006" s="468">
        <f>IFERROR(__xludf.DUMMYFUNCTION("""COMPUTED_VALUE"""),44658.0)</f>
        <v>44658</v>
      </c>
      <c r="J1006" s="470">
        <f>IFERROR(__xludf.DUMMYFUNCTION("""COMPUTED_VALUE"""),0.4406597222222222)</f>
        <v>0.4406597222</v>
      </c>
      <c r="K1006" s="16"/>
      <c r="L1006" s="8"/>
      <c r="M1006" s="69"/>
      <c r="N1006" s="69">
        <f>IFERROR(__xludf.DUMMYFUNCTION("""COMPUTED_VALUE"""),4.0)</f>
        <v>4</v>
      </c>
      <c r="O1006" s="69" t="str">
        <f t="shared" si="3"/>
        <v/>
      </c>
      <c r="P1006" s="471">
        <f>IFERROR(__xludf.DUMMYFUNCTION("""COMPUTED_VALUE"""),0.0)</f>
        <v>0</v>
      </c>
      <c r="Q1006" s="274" t="b">
        <f>VLOOKUP($B1006,'Run Reconcile'!B$2:O2488,14,FALSE)</f>
        <v>1</v>
      </c>
      <c r="R1006" s="472" t="str">
        <f t="array" ref="R1006">IF($Q1006, INDEX('Run Reconcile'!A$2:A2488,MATCH(B1006,'Run Reconcile'!B$2:B2488,0),1),IFERROR(0/0,""))</f>
        <v>RUN-FLMP_2022-04-07_RFR-107</v>
      </c>
      <c r="S1006" s="473" t="str">
        <f t="shared" si="694"/>
        <v/>
      </c>
      <c r="T1006" s="473" t="str">
        <f t="shared" si="698"/>
        <v/>
      </c>
      <c r="U1006" s="275" t="str">
        <f t="array" ref="U1006">IF(ISBLANK($R1006), INDEX('Run Reconcile'!A$2:A2488, MATCH($B1006, 'Run Reconcile'!B$2:B2488, 0)+Z1006, 1), IFERROR(0/0,""))
</f>
        <v/>
      </c>
      <c r="V1006" s="474" t="str">
        <f t="shared" si="5"/>
        <v>RUN-FLMP_2022-04-07_RFR-107</v>
      </c>
      <c r="Y1006" s="89" t="str">
        <f t="shared" si="867"/>
        <v/>
      </c>
      <c r="Z1006" s="60" t="str">
        <f t="shared" si="7"/>
        <v/>
      </c>
      <c r="AA1006" s="60" t="str">
        <f t="shared" si="8"/>
        <v/>
      </c>
      <c r="AB1006" s="60" t="str">
        <f t="shared" si="9"/>
        <v/>
      </c>
      <c r="AC1006" s="30" t="str">
        <f t="shared" ref="AC1006:AD1006" si="1362">IF(_xlfn.ISFORMULA(S1006),IFERROR(0/0,""),TRUE)</f>
        <v/>
      </c>
      <c r="AD1006" s="30" t="str">
        <f t="shared" si="1362"/>
        <v/>
      </c>
      <c r="AE1006" s="475" t="str">
        <f>IFERROR(__xludf.DUMMYFUNCTION("""COMPUTED_VALUE"""),"CRLN")</f>
        <v>CRLN</v>
      </c>
      <c r="AF1006" s="476"/>
      <c r="AG1006" s="474" t="s">
        <v>197</v>
      </c>
      <c r="AH1006" s="138" t="str">
        <f t="shared" si="11"/>
        <v/>
      </c>
    </row>
    <row r="1007">
      <c r="A1007" s="103" t="str">
        <f>IFERROR(__xludf.DUMMYFUNCTION("""COMPUTED_VALUE"""),"FLB6756")</f>
        <v>FLB6756</v>
      </c>
      <c r="B1007" s="468">
        <f>IFERROR(__xludf.DUMMYFUNCTION("""COMPUTED_VALUE"""),44658.0)</f>
        <v>44658</v>
      </c>
      <c r="C1007" s="469">
        <f>IFERROR(__xludf.DUMMYFUNCTION("""COMPUTED_VALUE"""),0.3552546296296296)</f>
        <v>0.3552546296</v>
      </c>
      <c r="D1007" s="103" t="str">
        <f>IFERROR(__xludf.DUMMYFUNCTION("""COMPUTED_VALUE"""),"SpFLMP939619")</f>
        <v>SpFLMP939619</v>
      </c>
      <c r="E1007" s="103"/>
      <c r="F1007" s="103"/>
      <c r="G1007" s="103" t="str">
        <f>IFERROR(__xludf.DUMMYFUNCTION("""COMPUTED_VALUE"""),"Negative")</f>
        <v>Negative</v>
      </c>
      <c r="H1007" s="131" t="str">
        <f>IFERROR(__xludf.DUMMYFUNCTION("""COMPUTED_VALUE"""),"Negative")</f>
        <v>Negative</v>
      </c>
      <c r="I1007" s="468">
        <f>IFERROR(__xludf.DUMMYFUNCTION("""COMPUTED_VALUE"""),44658.0)</f>
        <v>44658</v>
      </c>
      <c r="J1007" s="470">
        <f>IFERROR(__xludf.DUMMYFUNCTION("""COMPUTED_VALUE"""),0.4406597222222222)</f>
        <v>0.4406597222</v>
      </c>
      <c r="K1007" s="16"/>
      <c r="L1007" s="8"/>
      <c r="M1007" s="69"/>
      <c r="N1007" s="69">
        <f>IFERROR(__xludf.DUMMYFUNCTION("""COMPUTED_VALUE"""),1.0)</f>
        <v>1</v>
      </c>
      <c r="O1007" s="69" t="str">
        <f t="shared" si="3"/>
        <v/>
      </c>
      <c r="P1007" s="471">
        <f>IFERROR(__xludf.DUMMYFUNCTION("""COMPUTED_VALUE"""),0.0)</f>
        <v>0</v>
      </c>
      <c r="Q1007" s="274" t="b">
        <f>VLOOKUP($B1007,'Run Reconcile'!B$2:O2488,14,FALSE)</f>
        <v>1</v>
      </c>
      <c r="R1007" s="472" t="str">
        <f t="array" ref="R1007">IF($Q1007, INDEX('Run Reconcile'!A$2:A2488,MATCH(B1007,'Run Reconcile'!B$2:B2488,0),1),IFERROR(0/0,""))</f>
        <v>RUN-FLMP_2022-04-07_RFR-107</v>
      </c>
      <c r="S1007" s="473" t="str">
        <f t="shared" si="694"/>
        <v/>
      </c>
      <c r="T1007" s="473" t="str">
        <f t="shared" si="698"/>
        <v/>
      </c>
      <c r="U1007" s="275" t="str">
        <f t="array" ref="U1007">IF(ISBLANK($R1007), INDEX('Run Reconcile'!A$2:A2488, MATCH($B1007, 'Run Reconcile'!B$2:B2488, 0)+Z1007, 1), IFERROR(0/0,""))
</f>
        <v/>
      </c>
      <c r="V1007" s="474" t="str">
        <f t="shared" si="5"/>
        <v>RUN-FLMP_2022-04-07_RFR-107</v>
      </c>
      <c r="Y1007" s="89" t="str">
        <f t="shared" si="867"/>
        <v/>
      </c>
      <c r="Z1007" s="60" t="str">
        <f t="shared" si="7"/>
        <v/>
      </c>
      <c r="AA1007" s="60" t="str">
        <f t="shared" si="8"/>
        <v/>
      </c>
      <c r="AB1007" s="60" t="str">
        <f t="shared" si="9"/>
        <v/>
      </c>
      <c r="AC1007" s="30" t="str">
        <f t="shared" ref="AC1007:AD1007" si="1363">IF(_xlfn.ISFORMULA(S1007),IFERROR(0/0,""),TRUE)</f>
        <v/>
      </c>
      <c r="AD1007" s="30" t="str">
        <f t="shared" si="1363"/>
        <v/>
      </c>
      <c r="AE1007" s="475" t="str">
        <f>IFERROR(__xludf.DUMMYFUNCTION("""COMPUTED_VALUE"""),"CRLN")</f>
        <v>CRLN</v>
      </c>
      <c r="AF1007" s="476"/>
      <c r="AG1007" s="474" t="s">
        <v>197</v>
      </c>
      <c r="AH1007" s="138" t="str">
        <f t="shared" si="11"/>
        <v/>
      </c>
    </row>
    <row r="1008">
      <c r="A1008" s="103" t="str">
        <f>IFERROR(__xludf.DUMMYFUNCTION("""COMPUTED_VALUE"""),"FLB4952")</f>
        <v>FLB4952</v>
      </c>
      <c r="B1008" s="468">
        <f>IFERROR(__xludf.DUMMYFUNCTION("""COMPUTED_VALUE"""),44658.0)</f>
        <v>44658</v>
      </c>
      <c r="C1008" s="469">
        <f>IFERROR(__xludf.DUMMYFUNCTION("""COMPUTED_VALUE"""),0.3680555555555556)</f>
        <v>0.3680555556</v>
      </c>
      <c r="D1008" s="103" t="str">
        <f>IFERROR(__xludf.DUMMYFUNCTION("""COMPUTED_VALUE"""),"SpFLMP496039")</f>
        <v>SpFLMP496039</v>
      </c>
      <c r="E1008" s="103"/>
      <c r="F1008" s="103"/>
      <c r="G1008" s="103" t="str">
        <f>IFERROR(__xludf.DUMMYFUNCTION("""COMPUTED_VALUE"""),"Negative")</f>
        <v>Negative</v>
      </c>
      <c r="H1008" s="131" t="str">
        <f>IFERROR(__xludf.DUMMYFUNCTION("""COMPUTED_VALUE"""),"Negative")</f>
        <v>Negative</v>
      </c>
      <c r="I1008" s="468">
        <f>IFERROR(__xludf.DUMMYFUNCTION("""COMPUTED_VALUE"""),44658.0)</f>
        <v>44658</v>
      </c>
      <c r="J1008" s="470">
        <f>IFERROR(__xludf.DUMMYFUNCTION("""COMPUTED_VALUE"""),0.4406597222222222)</f>
        <v>0.4406597222</v>
      </c>
      <c r="K1008" s="16"/>
      <c r="L1008" s="8"/>
      <c r="M1008" s="69"/>
      <c r="N1008" s="69">
        <f>IFERROR(__xludf.DUMMYFUNCTION("""COMPUTED_VALUE"""),1.0)</f>
        <v>1</v>
      </c>
      <c r="O1008" s="69" t="str">
        <f t="shared" si="3"/>
        <v/>
      </c>
      <c r="P1008" s="471">
        <f>IFERROR(__xludf.DUMMYFUNCTION("""COMPUTED_VALUE"""),0.0)</f>
        <v>0</v>
      </c>
      <c r="Q1008" s="274" t="b">
        <f>VLOOKUP($B1008,'Run Reconcile'!B$2:O2488,14,FALSE)</f>
        <v>1</v>
      </c>
      <c r="R1008" s="472" t="str">
        <f t="array" ref="R1008">IF($Q1008, INDEX('Run Reconcile'!A$2:A2488,MATCH(B1008,'Run Reconcile'!B$2:B2488,0),1),IFERROR(0/0,""))</f>
        <v>RUN-FLMP_2022-04-07_RFR-107</v>
      </c>
      <c r="S1008" s="473" t="str">
        <f t="shared" si="694"/>
        <v/>
      </c>
      <c r="T1008" s="473" t="str">
        <f t="shared" si="698"/>
        <v/>
      </c>
      <c r="U1008" s="275" t="str">
        <f t="array" ref="U1008">IF(ISBLANK($R1008), INDEX('Run Reconcile'!A$2:A2488, MATCH($B1008, 'Run Reconcile'!B$2:B2488, 0)+Z1008, 1), IFERROR(0/0,""))
</f>
        <v/>
      </c>
      <c r="V1008" s="474" t="str">
        <f t="shared" si="5"/>
        <v>RUN-FLMP_2022-04-07_RFR-107</v>
      </c>
      <c r="Y1008" s="89" t="str">
        <f t="shared" si="867"/>
        <v/>
      </c>
      <c r="Z1008" s="60" t="str">
        <f t="shared" si="7"/>
        <v/>
      </c>
      <c r="AA1008" s="60" t="str">
        <f t="shared" si="8"/>
        <v/>
      </c>
      <c r="AB1008" s="60" t="str">
        <f t="shared" si="9"/>
        <v/>
      </c>
      <c r="AC1008" s="30" t="str">
        <f t="shared" ref="AC1008:AD1008" si="1364">IF(_xlfn.ISFORMULA(S1008),IFERROR(0/0,""),TRUE)</f>
        <v/>
      </c>
      <c r="AD1008" s="30" t="str">
        <f t="shared" si="1364"/>
        <v/>
      </c>
      <c r="AE1008" s="475" t="str">
        <f>IFERROR(__xludf.DUMMYFUNCTION("""COMPUTED_VALUE"""),"FLSP")</f>
        <v>FLSP</v>
      </c>
      <c r="AF1008" s="476"/>
      <c r="AG1008" s="474" t="s">
        <v>197</v>
      </c>
      <c r="AH1008" s="138" t="str">
        <f t="shared" si="11"/>
        <v/>
      </c>
    </row>
    <row r="1009">
      <c r="A1009" s="103" t="str">
        <f>IFERROR(__xludf.DUMMYFUNCTION("""COMPUTED_VALUE"""),"FLB5834")</f>
        <v>FLB5834</v>
      </c>
      <c r="B1009" s="468">
        <f>IFERROR(__xludf.DUMMYFUNCTION("""COMPUTED_VALUE"""),44658.0)</f>
        <v>44658</v>
      </c>
      <c r="C1009" s="469">
        <f>IFERROR(__xludf.DUMMYFUNCTION("""COMPUTED_VALUE"""),0.3695486111111111)</f>
        <v>0.3695486111</v>
      </c>
      <c r="D1009" s="103" t="str">
        <f>IFERROR(__xludf.DUMMYFUNCTION("""COMPUTED_VALUE"""),"SpFLMP668449")</f>
        <v>SpFLMP668449</v>
      </c>
      <c r="E1009" s="103"/>
      <c r="F1009" s="103"/>
      <c r="G1009" s="103" t="str">
        <f>IFERROR(__xludf.DUMMYFUNCTION("""COMPUTED_VALUE"""),"Negative")</f>
        <v>Negative</v>
      </c>
      <c r="H1009" s="131" t="str">
        <f>IFERROR(__xludf.DUMMYFUNCTION("""COMPUTED_VALUE"""),"Negative")</f>
        <v>Negative</v>
      </c>
      <c r="I1009" s="468">
        <f>IFERROR(__xludf.DUMMYFUNCTION("""COMPUTED_VALUE"""),44658.0)</f>
        <v>44658</v>
      </c>
      <c r="J1009" s="470">
        <f>IFERROR(__xludf.DUMMYFUNCTION("""COMPUTED_VALUE"""),0.4406597222222222)</f>
        <v>0.4406597222</v>
      </c>
      <c r="K1009" s="16"/>
      <c r="L1009" s="8"/>
      <c r="M1009" s="69"/>
      <c r="N1009" s="69">
        <f>IFERROR(__xludf.DUMMYFUNCTION("""COMPUTED_VALUE"""),3.0)</f>
        <v>3</v>
      </c>
      <c r="O1009" s="69" t="str">
        <f t="shared" si="3"/>
        <v/>
      </c>
      <c r="P1009" s="471">
        <f>IFERROR(__xludf.DUMMYFUNCTION("""COMPUTED_VALUE"""),0.0)</f>
        <v>0</v>
      </c>
      <c r="Q1009" s="274" t="b">
        <f>VLOOKUP($B1009,'Run Reconcile'!B$2:O2488,14,FALSE)</f>
        <v>1</v>
      </c>
      <c r="R1009" s="472" t="str">
        <f t="array" ref="R1009">IF($Q1009, INDEX('Run Reconcile'!A$2:A2488,MATCH(B1009,'Run Reconcile'!B$2:B2488,0),1),IFERROR(0/0,""))</f>
        <v>RUN-FLMP_2022-04-07_RFR-107</v>
      </c>
      <c r="S1009" s="473" t="str">
        <f t="shared" si="694"/>
        <v/>
      </c>
      <c r="T1009" s="473" t="str">
        <f t="shared" si="698"/>
        <v/>
      </c>
      <c r="U1009" s="275" t="str">
        <f t="array" ref="U1009">IF(ISBLANK($R1009), INDEX('Run Reconcile'!A$2:A2488, MATCH($B1009, 'Run Reconcile'!B$2:B2488, 0)+Z1009, 1), IFERROR(0/0,""))
</f>
        <v/>
      </c>
      <c r="V1009" s="474" t="str">
        <f t="shared" si="5"/>
        <v>RUN-FLMP_2022-04-07_RFR-107</v>
      </c>
      <c r="Y1009" s="89" t="str">
        <f t="shared" si="867"/>
        <v/>
      </c>
      <c r="Z1009" s="60" t="str">
        <f t="shared" si="7"/>
        <v/>
      </c>
      <c r="AA1009" s="60" t="str">
        <f t="shared" si="8"/>
        <v/>
      </c>
      <c r="AB1009" s="60" t="str">
        <f t="shared" si="9"/>
        <v/>
      </c>
      <c r="AC1009" s="30" t="str">
        <f t="shared" ref="AC1009:AD1009" si="1365">IF(_xlfn.ISFORMULA(S1009),IFERROR(0/0,""),TRUE)</f>
        <v/>
      </c>
      <c r="AD1009" s="30" t="str">
        <f t="shared" si="1365"/>
        <v/>
      </c>
      <c r="AE1009" s="475" t="str">
        <f>IFERROR(__xludf.DUMMYFUNCTION("""COMPUTED_VALUE"""),"CRLN")</f>
        <v>CRLN</v>
      </c>
      <c r="AF1009" s="476"/>
      <c r="AG1009" s="474" t="s">
        <v>197</v>
      </c>
      <c r="AH1009" s="138" t="str">
        <f t="shared" si="11"/>
        <v/>
      </c>
    </row>
    <row r="1010">
      <c r="A1010" s="103" t="str">
        <f>IFERROR(__xludf.DUMMYFUNCTION("""COMPUTED_VALUE"""),"FLB7363")</f>
        <v>FLB7363</v>
      </c>
      <c r="B1010" s="468">
        <f>IFERROR(__xludf.DUMMYFUNCTION("""COMPUTED_VALUE"""),44658.0)</f>
        <v>44658</v>
      </c>
      <c r="C1010" s="469">
        <f>IFERROR(__xludf.DUMMYFUNCTION("""COMPUTED_VALUE"""),0.3707523148148148)</f>
        <v>0.3707523148</v>
      </c>
      <c r="D1010" s="103" t="str">
        <f>IFERROR(__xludf.DUMMYFUNCTION("""COMPUTED_VALUE"""),"SpFLMP684798")</f>
        <v>SpFLMP684798</v>
      </c>
      <c r="E1010" s="103"/>
      <c r="F1010" s="103"/>
      <c r="G1010" s="103" t="str">
        <f>IFERROR(__xludf.DUMMYFUNCTION("""COMPUTED_VALUE"""),"Negative")</f>
        <v>Negative</v>
      </c>
      <c r="H1010" s="131" t="str">
        <f>IFERROR(__xludf.DUMMYFUNCTION("""COMPUTED_VALUE"""),"Negative")</f>
        <v>Negative</v>
      </c>
      <c r="I1010" s="468">
        <f>IFERROR(__xludf.DUMMYFUNCTION("""COMPUTED_VALUE"""),44658.0)</f>
        <v>44658</v>
      </c>
      <c r="J1010" s="470">
        <f>IFERROR(__xludf.DUMMYFUNCTION("""COMPUTED_VALUE"""),0.4406597222222222)</f>
        <v>0.4406597222</v>
      </c>
      <c r="K1010" s="16"/>
      <c r="L1010" s="8"/>
      <c r="M1010" s="69"/>
      <c r="N1010" s="69">
        <f>IFERROR(__xludf.DUMMYFUNCTION("""COMPUTED_VALUE"""),3.0)</f>
        <v>3</v>
      </c>
      <c r="O1010" s="69" t="str">
        <f t="shared" si="3"/>
        <v/>
      </c>
      <c r="P1010" s="471">
        <f>IFERROR(__xludf.DUMMYFUNCTION("""COMPUTED_VALUE"""),0.0)</f>
        <v>0</v>
      </c>
      <c r="Q1010" s="274" t="b">
        <f>VLOOKUP($B1010,'Run Reconcile'!B$2:O2488,14,FALSE)</f>
        <v>1</v>
      </c>
      <c r="R1010" s="472" t="str">
        <f t="array" ref="R1010">IF($Q1010, INDEX('Run Reconcile'!A$2:A2488,MATCH(B1010,'Run Reconcile'!B$2:B2488,0),1),IFERROR(0/0,""))</f>
        <v>RUN-FLMP_2022-04-07_RFR-107</v>
      </c>
      <c r="S1010" s="473" t="str">
        <f t="shared" si="694"/>
        <v/>
      </c>
      <c r="T1010" s="473" t="str">
        <f t="shared" si="698"/>
        <v/>
      </c>
      <c r="U1010" s="275" t="str">
        <f t="array" ref="U1010">IF(ISBLANK($R1010), INDEX('Run Reconcile'!A$2:A2488, MATCH($B1010, 'Run Reconcile'!B$2:B2488, 0)+Z1010, 1), IFERROR(0/0,""))
</f>
        <v/>
      </c>
      <c r="V1010" s="474" t="str">
        <f t="shared" si="5"/>
        <v>RUN-FLMP_2022-04-07_RFR-107</v>
      </c>
      <c r="Y1010" s="89" t="str">
        <f t="shared" si="867"/>
        <v/>
      </c>
      <c r="Z1010" s="60" t="str">
        <f t="shared" si="7"/>
        <v/>
      </c>
      <c r="AA1010" s="60" t="str">
        <f t="shared" si="8"/>
        <v/>
      </c>
      <c r="AB1010" s="60" t="str">
        <f t="shared" si="9"/>
        <v/>
      </c>
      <c r="AC1010" s="30" t="str">
        <f t="shared" ref="AC1010:AD1010" si="1366">IF(_xlfn.ISFORMULA(S1010),IFERROR(0/0,""),TRUE)</f>
        <v/>
      </c>
      <c r="AD1010" s="30" t="str">
        <f t="shared" si="1366"/>
        <v/>
      </c>
      <c r="AE1010" s="475" t="str">
        <f>IFERROR(__xludf.DUMMYFUNCTION("""COMPUTED_VALUE"""),"FLSP")</f>
        <v>FLSP</v>
      </c>
      <c r="AF1010" s="476"/>
      <c r="AG1010" s="474" t="s">
        <v>197</v>
      </c>
      <c r="AH1010" s="138" t="str">
        <f t="shared" si="11"/>
        <v/>
      </c>
    </row>
    <row r="1011">
      <c r="A1011" s="103" t="str">
        <f>IFERROR(__xludf.DUMMYFUNCTION("""COMPUTED_VALUE"""),"FLB7423")</f>
        <v>FLB7423</v>
      </c>
      <c r="B1011" s="468">
        <f>IFERROR(__xludf.DUMMYFUNCTION("""COMPUTED_VALUE"""),44658.0)</f>
        <v>44658</v>
      </c>
      <c r="C1011" s="469">
        <f>IFERROR(__xludf.DUMMYFUNCTION("""COMPUTED_VALUE"""),0.37150462962962966)</f>
        <v>0.3715046296</v>
      </c>
      <c r="D1011" s="103" t="str">
        <f>IFERROR(__xludf.DUMMYFUNCTION("""COMPUTED_VALUE"""),"SpFLMP259015")</f>
        <v>SpFLMP259015</v>
      </c>
      <c r="E1011" s="103"/>
      <c r="F1011" s="103"/>
      <c r="G1011" s="103" t="str">
        <f>IFERROR(__xludf.DUMMYFUNCTION("""COMPUTED_VALUE"""),"Negative")</f>
        <v>Negative</v>
      </c>
      <c r="H1011" s="131" t="str">
        <f>IFERROR(__xludf.DUMMYFUNCTION("""COMPUTED_VALUE"""),"Negative")</f>
        <v>Negative</v>
      </c>
      <c r="I1011" s="468">
        <f>IFERROR(__xludf.DUMMYFUNCTION("""COMPUTED_VALUE"""),44658.0)</f>
        <v>44658</v>
      </c>
      <c r="J1011" s="470">
        <f>IFERROR(__xludf.DUMMYFUNCTION("""COMPUTED_VALUE"""),0.4406712962962963)</f>
        <v>0.4406712963</v>
      </c>
      <c r="K1011" s="16"/>
      <c r="L1011" s="8"/>
      <c r="M1011" s="69"/>
      <c r="N1011" s="69">
        <f>IFERROR(__xludf.DUMMYFUNCTION("""COMPUTED_VALUE"""),3.0)</f>
        <v>3</v>
      </c>
      <c r="O1011" s="69" t="str">
        <f t="shared" si="3"/>
        <v/>
      </c>
      <c r="P1011" s="471">
        <f>IFERROR(__xludf.DUMMYFUNCTION("""COMPUTED_VALUE"""),0.0)</f>
        <v>0</v>
      </c>
      <c r="Q1011" s="274" t="b">
        <f>VLOOKUP($B1011,'Run Reconcile'!B$2:O2488,14,FALSE)</f>
        <v>1</v>
      </c>
      <c r="R1011" s="472" t="str">
        <f t="array" ref="R1011">IF($Q1011, INDEX('Run Reconcile'!A$2:A2488,MATCH(B1011,'Run Reconcile'!B$2:B2488,0),1),IFERROR(0/0,""))</f>
        <v>RUN-FLMP_2022-04-07_RFR-107</v>
      </c>
      <c r="S1011" s="473" t="str">
        <f t="shared" si="694"/>
        <v/>
      </c>
      <c r="T1011" s="473" t="str">
        <f t="shared" si="698"/>
        <v/>
      </c>
      <c r="U1011" s="275" t="str">
        <f t="array" ref="U1011">IF(ISBLANK($R1011), INDEX('Run Reconcile'!A$2:A2488, MATCH($B1011, 'Run Reconcile'!B$2:B2488, 0)+Z1011, 1), IFERROR(0/0,""))
</f>
        <v/>
      </c>
      <c r="V1011" s="474" t="str">
        <f t="shared" si="5"/>
        <v>RUN-FLMP_2022-04-07_RFR-107</v>
      </c>
      <c r="Y1011" s="89" t="str">
        <f t="shared" si="867"/>
        <v/>
      </c>
      <c r="Z1011" s="60" t="str">
        <f t="shared" si="7"/>
        <v/>
      </c>
      <c r="AA1011" s="60" t="str">
        <f t="shared" si="8"/>
        <v/>
      </c>
      <c r="AB1011" s="60" t="str">
        <f t="shared" si="9"/>
        <v/>
      </c>
      <c r="AC1011" s="30" t="str">
        <f t="shared" ref="AC1011:AD1011" si="1367">IF(_xlfn.ISFORMULA(S1011),IFERROR(0/0,""),TRUE)</f>
        <v/>
      </c>
      <c r="AD1011" s="30" t="str">
        <f t="shared" si="1367"/>
        <v/>
      </c>
      <c r="AE1011" s="475" t="str">
        <f>IFERROR(__xludf.DUMMYFUNCTION("""COMPUTED_VALUE"""),"CRLN")</f>
        <v>CRLN</v>
      </c>
      <c r="AF1011" s="476"/>
      <c r="AG1011" s="474" t="s">
        <v>197</v>
      </c>
      <c r="AH1011" s="138" t="str">
        <f t="shared" si="11"/>
        <v/>
      </c>
    </row>
    <row r="1012">
      <c r="A1012" s="103" t="str">
        <f>IFERROR(__xludf.DUMMYFUNCTION("""COMPUTED_VALUE"""),"FLB5849")</f>
        <v>FLB5849</v>
      </c>
      <c r="B1012" s="468">
        <f>IFERROR(__xludf.DUMMYFUNCTION("""COMPUTED_VALUE"""),44658.0)</f>
        <v>44658</v>
      </c>
      <c r="C1012" s="469">
        <f>IFERROR(__xludf.DUMMYFUNCTION("""COMPUTED_VALUE"""),0.37188657407407405)</f>
        <v>0.3718865741</v>
      </c>
      <c r="D1012" s="103" t="str">
        <f>IFERROR(__xludf.DUMMYFUNCTION("""COMPUTED_VALUE"""),"SpFLMP259015")</f>
        <v>SpFLMP259015</v>
      </c>
      <c r="E1012" s="103"/>
      <c r="F1012" s="103"/>
      <c r="G1012" s="103" t="str">
        <f>IFERROR(__xludf.DUMMYFUNCTION("""COMPUTED_VALUE"""),"Negative")</f>
        <v>Negative</v>
      </c>
      <c r="H1012" s="131" t="str">
        <f>IFERROR(__xludf.DUMMYFUNCTION("""COMPUTED_VALUE"""),"Negative")</f>
        <v>Negative</v>
      </c>
      <c r="I1012" s="468">
        <f>IFERROR(__xludf.DUMMYFUNCTION("""COMPUTED_VALUE"""),44658.0)</f>
        <v>44658</v>
      </c>
      <c r="J1012" s="470">
        <f>IFERROR(__xludf.DUMMYFUNCTION("""COMPUTED_VALUE"""),0.4406712962962963)</f>
        <v>0.4406712963</v>
      </c>
      <c r="K1012" s="16"/>
      <c r="L1012" s="8"/>
      <c r="M1012" s="69"/>
      <c r="N1012" s="69">
        <f>IFERROR(__xludf.DUMMYFUNCTION("""COMPUTED_VALUE"""),2.0)</f>
        <v>2</v>
      </c>
      <c r="O1012" s="69" t="str">
        <f t="shared" si="3"/>
        <v/>
      </c>
      <c r="P1012" s="471">
        <f>IFERROR(__xludf.DUMMYFUNCTION("""COMPUTED_VALUE"""),0.0)</f>
        <v>0</v>
      </c>
      <c r="Q1012" s="274" t="b">
        <f>VLOOKUP($B1012,'Run Reconcile'!B$2:O2488,14,FALSE)</f>
        <v>1</v>
      </c>
      <c r="R1012" s="472" t="str">
        <f t="array" ref="R1012">IF($Q1012, INDEX('Run Reconcile'!A$2:A2488,MATCH(B1012,'Run Reconcile'!B$2:B2488,0),1),IFERROR(0/0,""))</f>
        <v>RUN-FLMP_2022-04-07_RFR-107</v>
      </c>
      <c r="S1012" s="473" t="str">
        <f t="shared" si="694"/>
        <v/>
      </c>
      <c r="T1012" s="473" t="str">
        <f t="shared" si="698"/>
        <v/>
      </c>
      <c r="U1012" s="275" t="str">
        <f t="array" ref="U1012">IF(ISBLANK($R1012), INDEX('Run Reconcile'!A$2:A2488, MATCH($B1012, 'Run Reconcile'!B$2:B2488, 0)+Z1012, 1), IFERROR(0/0,""))
</f>
        <v/>
      </c>
      <c r="V1012" s="474" t="str">
        <f t="shared" si="5"/>
        <v>RUN-FLMP_2022-04-07_RFR-107</v>
      </c>
      <c r="Y1012" s="89" t="str">
        <f t="shared" si="867"/>
        <v/>
      </c>
      <c r="Z1012" s="60" t="str">
        <f t="shared" si="7"/>
        <v/>
      </c>
      <c r="AA1012" s="60" t="str">
        <f t="shared" si="8"/>
        <v/>
      </c>
      <c r="AB1012" s="60" t="str">
        <f t="shared" si="9"/>
        <v/>
      </c>
      <c r="AC1012" s="30" t="str">
        <f t="shared" ref="AC1012:AD1012" si="1368">IF(_xlfn.ISFORMULA(S1012),IFERROR(0/0,""),TRUE)</f>
        <v/>
      </c>
      <c r="AD1012" s="30" t="str">
        <f t="shared" si="1368"/>
        <v/>
      </c>
      <c r="AE1012" s="475" t="str">
        <f>IFERROR(__xludf.DUMMYFUNCTION("""COMPUTED_VALUE"""),"CRLN")</f>
        <v>CRLN</v>
      </c>
      <c r="AF1012" s="476"/>
      <c r="AG1012" s="474" t="s">
        <v>197</v>
      </c>
      <c r="AH1012" s="138" t="str">
        <f t="shared" si="11"/>
        <v/>
      </c>
    </row>
    <row r="1013">
      <c r="A1013" s="103" t="str">
        <f>IFERROR(__xludf.DUMMYFUNCTION("""COMPUTED_VALUE"""),"FLE230")</f>
        <v>FLE230</v>
      </c>
      <c r="B1013" s="468">
        <f>IFERROR(__xludf.DUMMYFUNCTION("""COMPUTED_VALUE"""),44658.0)</f>
        <v>44658</v>
      </c>
      <c r="C1013" s="469">
        <f>IFERROR(__xludf.DUMMYFUNCTION("""COMPUTED_VALUE"""),0.3720486111111111)</f>
        <v>0.3720486111</v>
      </c>
      <c r="D1013" s="103" t="str">
        <f>IFERROR(__xludf.DUMMYFUNCTION("""COMPUTED_VALUE"""),"SpFLMP572444")</f>
        <v>SpFLMP572444</v>
      </c>
      <c r="E1013" s="103"/>
      <c r="F1013" s="103"/>
      <c r="G1013" s="103" t="str">
        <f>IFERROR(__xludf.DUMMYFUNCTION("""COMPUTED_VALUE"""),"Negative")</f>
        <v>Negative</v>
      </c>
      <c r="H1013" s="131" t="str">
        <f>IFERROR(__xludf.DUMMYFUNCTION("""COMPUTED_VALUE"""),"Negative")</f>
        <v>Negative</v>
      </c>
      <c r="I1013" s="468">
        <f>IFERROR(__xludf.DUMMYFUNCTION("""COMPUTED_VALUE"""),44658.0)</f>
        <v>44658</v>
      </c>
      <c r="J1013" s="470">
        <f>IFERROR(__xludf.DUMMYFUNCTION("""COMPUTED_VALUE"""),0.4406712962962963)</f>
        <v>0.4406712963</v>
      </c>
      <c r="K1013" s="16"/>
      <c r="L1013" s="8"/>
      <c r="M1013" s="69"/>
      <c r="N1013" s="69">
        <f>IFERROR(__xludf.DUMMYFUNCTION("""COMPUTED_VALUE"""),2.0)</f>
        <v>2</v>
      </c>
      <c r="O1013" s="69" t="str">
        <f t="shared" si="3"/>
        <v/>
      </c>
      <c r="P1013" s="471">
        <f>IFERROR(__xludf.DUMMYFUNCTION("""COMPUTED_VALUE"""),0.0)</f>
        <v>0</v>
      </c>
      <c r="Q1013" s="274" t="b">
        <f>VLOOKUP($B1013,'Run Reconcile'!B$2:O2488,14,FALSE)</f>
        <v>1</v>
      </c>
      <c r="R1013" s="472" t="str">
        <f t="array" ref="R1013">IF($Q1013, INDEX('Run Reconcile'!A$2:A2488,MATCH(B1013,'Run Reconcile'!B$2:B2488,0),1),IFERROR(0/0,""))</f>
        <v>RUN-FLMP_2022-04-07_RFR-107</v>
      </c>
      <c r="S1013" s="473" t="str">
        <f t="shared" si="694"/>
        <v/>
      </c>
      <c r="T1013" s="473" t="str">
        <f t="shared" si="698"/>
        <v/>
      </c>
      <c r="U1013" s="275" t="str">
        <f t="array" ref="U1013">IF(ISBLANK($R1013), INDEX('Run Reconcile'!A$2:A2488, MATCH($B1013, 'Run Reconcile'!B$2:B2488, 0)+Z1013, 1), IFERROR(0/0,""))
</f>
        <v/>
      </c>
      <c r="V1013" s="474" t="str">
        <f t="shared" si="5"/>
        <v>RUN-FLMP_2022-04-07_RFR-107</v>
      </c>
      <c r="Y1013" s="89" t="str">
        <f t="shared" si="867"/>
        <v/>
      </c>
      <c r="Z1013" s="60" t="str">
        <f t="shared" si="7"/>
        <v/>
      </c>
      <c r="AA1013" s="60" t="str">
        <f t="shared" si="8"/>
        <v/>
      </c>
      <c r="AB1013" s="60" t="str">
        <f t="shared" si="9"/>
        <v/>
      </c>
      <c r="AC1013" s="30" t="str">
        <f t="shared" ref="AC1013:AD1013" si="1369">IF(_xlfn.ISFORMULA(S1013),IFERROR(0/0,""),TRUE)</f>
        <v/>
      </c>
      <c r="AD1013" s="30" t="str">
        <f t="shared" si="1369"/>
        <v/>
      </c>
      <c r="AE1013" s="475" t="str">
        <f>IFERROR(__xludf.DUMMYFUNCTION("""COMPUTED_VALUE"""),"CRLN")</f>
        <v>CRLN</v>
      </c>
      <c r="AF1013" s="476"/>
      <c r="AG1013" s="474" t="s">
        <v>197</v>
      </c>
      <c r="AH1013" s="138" t="str">
        <f t="shared" si="11"/>
        <v/>
      </c>
    </row>
    <row r="1014">
      <c r="A1014" s="103" t="str">
        <f>IFERROR(__xludf.DUMMYFUNCTION("""COMPUTED_VALUE"""),"FLB6801")</f>
        <v>FLB6801</v>
      </c>
      <c r="B1014" s="468">
        <f>IFERROR(__xludf.DUMMYFUNCTION("""COMPUTED_VALUE"""),44658.0)</f>
        <v>44658</v>
      </c>
      <c r="C1014" s="469">
        <f>IFERROR(__xludf.DUMMYFUNCTION("""COMPUTED_VALUE"""),0.3738194444444444)</f>
        <v>0.3738194444</v>
      </c>
      <c r="D1014" s="103" t="str">
        <f>IFERROR(__xludf.DUMMYFUNCTION("""COMPUTED_VALUE"""),"SpFLMP596479")</f>
        <v>SpFLMP596479</v>
      </c>
      <c r="E1014" s="103"/>
      <c r="F1014" s="103"/>
      <c r="G1014" s="103" t="str">
        <f>IFERROR(__xludf.DUMMYFUNCTION("""COMPUTED_VALUE"""),"Negative")</f>
        <v>Negative</v>
      </c>
      <c r="H1014" s="131" t="str">
        <f>IFERROR(__xludf.DUMMYFUNCTION("""COMPUTED_VALUE"""),"Negative")</f>
        <v>Negative</v>
      </c>
      <c r="I1014" s="468">
        <f>IFERROR(__xludf.DUMMYFUNCTION("""COMPUTED_VALUE"""),44658.0)</f>
        <v>44658</v>
      </c>
      <c r="J1014" s="470">
        <f>IFERROR(__xludf.DUMMYFUNCTION("""COMPUTED_VALUE"""),0.4406712962962963)</f>
        <v>0.4406712963</v>
      </c>
      <c r="K1014" s="16"/>
      <c r="L1014" s="8"/>
      <c r="M1014" s="69"/>
      <c r="N1014" s="69">
        <f>IFERROR(__xludf.DUMMYFUNCTION("""COMPUTED_VALUE"""),3.0)</f>
        <v>3</v>
      </c>
      <c r="O1014" s="69" t="str">
        <f t="shared" si="3"/>
        <v/>
      </c>
      <c r="P1014" s="471">
        <f>IFERROR(__xludf.DUMMYFUNCTION("""COMPUTED_VALUE"""),0.0)</f>
        <v>0</v>
      </c>
      <c r="Q1014" s="274" t="b">
        <f>VLOOKUP($B1014,'Run Reconcile'!B$2:O2488,14,FALSE)</f>
        <v>1</v>
      </c>
      <c r="R1014" s="472" t="str">
        <f t="array" ref="R1014">IF($Q1014, INDEX('Run Reconcile'!A$2:A2488,MATCH(B1014,'Run Reconcile'!B$2:B2488,0),1),IFERROR(0/0,""))</f>
        <v>RUN-FLMP_2022-04-07_RFR-107</v>
      </c>
      <c r="S1014" s="473" t="str">
        <f t="shared" si="694"/>
        <v/>
      </c>
      <c r="T1014" s="473" t="str">
        <f t="shared" si="698"/>
        <v/>
      </c>
      <c r="U1014" s="275" t="str">
        <f t="array" ref="U1014">IF(ISBLANK($R1014), INDEX('Run Reconcile'!A$2:A2488, MATCH($B1014, 'Run Reconcile'!B$2:B2488, 0)+Z1014, 1), IFERROR(0/0,""))
</f>
        <v/>
      </c>
      <c r="V1014" s="474" t="str">
        <f t="shared" si="5"/>
        <v>RUN-FLMP_2022-04-07_RFR-107</v>
      </c>
      <c r="Y1014" s="89" t="str">
        <f t="shared" si="867"/>
        <v/>
      </c>
      <c r="Z1014" s="60" t="str">
        <f t="shared" si="7"/>
        <v/>
      </c>
      <c r="AA1014" s="60" t="str">
        <f t="shared" si="8"/>
        <v/>
      </c>
      <c r="AB1014" s="60" t="str">
        <f t="shared" si="9"/>
        <v/>
      </c>
      <c r="AC1014" s="30" t="str">
        <f t="shared" ref="AC1014:AD1014" si="1370">IF(_xlfn.ISFORMULA(S1014),IFERROR(0/0,""),TRUE)</f>
        <v/>
      </c>
      <c r="AD1014" s="30" t="str">
        <f t="shared" si="1370"/>
        <v/>
      </c>
      <c r="AE1014" s="475" t="str">
        <f>IFERROR(__xludf.DUMMYFUNCTION("""COMPUTED_VALUE"""),"CRLN")</f>
        <v>CRLN</v>
      </c>
      <c r="AF1014" s="476"/>
      <c r="AG1014" s="474" t="s">
        <v>197</v>
      </c>
      <c r="AH1014" s="138" t="str">
        <f t="shared" si="11"/>
        <v/>
      </c>
    </row>
    <row r="1015">
      <c r="A1015" s="103" t="str">
        <f>IFERROR(__xludf.DUMMYFUNCTION("""COMPUTED_VALUE"""),"FLE940")</f>
        <v>FLE940</v>
      </c>
      <c r="B1015" s="468">
        <f>IFERROR(__xludf.DUMMYFUNCTION("""COMPUTED_VALUE"""),44658.0)</f>
        <v>44658</v>
      </c>
      <c r="C1015" s="469">
        <f>IFERROR(__xludf.DUMMYFUNCTION("""COMPUTED_VALUE"""),0.37754629629629627)</f>
        <v>0.3775462963</v>
      </c>
      <c r="D1015" s="103" t="str">
        <f>IFERROR(__xludf.DUMMYFUNCTION("""COMPUTED_VALUE"""),"SpFLMP946259")</f>
        <v>SpFLMP946259</v>
      </c>
      <c r="E1015" s="103"/>
      <c r="F1015" s="103"/>
      <c r="G1015" s="103" t="str">
        <f>IFERROR(__xludf.DUMMYFUNCTION("""COMPUTED_VALUE"""),"Negative")</f>
        <v>Negative</v>
      </c>
      <c r="H1015" s="131" t="str">
        <f>IFERROR(__xludf.DUMMYFUNCTION("""COMPUTED_VALUE"""),"Negative")</f>
        <v>Negative</v>
      </c>
      <c r="I1015" s="468">
        <f>IFERROR(__xludf.DUMMYFUNCTION("""COMPUTED_VALUE"""),44658.0)</f>
        <v>44658</v>
      </c>
      <c r="J1015" s="470">
        <f>IFERROR(__xludf.DUMMYFUNCTION("""COMPUTED_VALUE"""),0.4406712962962963)</f>
        <v>0.4406712963</v>
      </c>
      <c r="K1015" s="16"/>
      <c r="L1015" s="8"/>
      <c r="M1015" s="69"/>
      <c r="N1015" s="69">
        <f>IFERROR(__xludf.DUMMYFUNCTION("""COMPUTED_VALUE"""),2.0)</f>
        <v>2</v>
      </c>
      <c r="O1015" s="69" t="str">
        <f t="shared" si="3"/>
        <v/>
      </c>
      <c r="P1015" s="471">
        <f>IFERROR(__xludf.DUMMYFUNCTION("""COMPUTED_VALUE"""),0.0)</f>
        <v>0</v>
      </c>
      <c r="Q1015" s="274" t="b">
        <f>VLOOKUP($B1015,'Run Reconcile'!B$2:O2488,14,FALSE)</f>
        <v>1</v>
      </c>
      <c r="R1015" s="472" t="str">
        <f t="array" ref="R1015">IF($Q1015, INDEX('Run Reconcile'!A$2:A2488,MATCH(B1015,'Run Reconcile'!B$2:B2488,0),1),IFERROR(0/0,""))</f>
        <v>RUN-FLMP_2022-04-07_RFR-107</v>
      </c>
      <c r="S1015" s="473" t="str">
        <f t="shared" si="694"/>
        <v/>
      </c>
      <c r="T1015" s="473" t="str">
        <f t="shared" si="698"/>
        <v/>
      </c>
      <c r="U1015" s="275" t="str">
        <f t="array" ref="U1015">IF(ISBLANK($R1015), INDEX('Run Reconcile'!A$2:A2488, MATCH($B1015, 'Run Reconcile'!B$2:B2488, 0)+Z1015, 1), IFERROR(0/0,""))
</f>
        <v/>
      </c>
      <c r="V1015" s="474" t="str">
        <f t="shared" si="5"/>
        <v>RUN-FLMP_2022-04-07_RFR-107</v>
      </c>
      <c r="Y1015" s="89" t="str">
        <f t="shared" si="867"/>
        <v/>
      </c>
      <c r="Z1015" s="60" t="str">
        <f t="shared" si="7"/>
        <v/>
      </c>
      <c r="AA1015" s="60" t="str">
        <f t="shared" si="8"/>
        <v/>
      </c>
      <c r="AB1015" s="60" t="str">
        <f t="shared" si="9"/>
        <v/>
      </c>
      <c r="AC1015" s="30" t="str">
        <f t="shared" ref="AC1015:AD1015" si="1371">IF(_xlfn.ISFORMULA(S1015),IFERROR(0/0,""),TRUE)</f>
        <v/>
      </c>
      <c r="AD1015" s="30" t="str">
        <f t="shared" si="1371"/>
        <v/>
      </c>
      <c r="AE1015" s="475" t="str">
        <f>IFERROR(__xludf.DUMMYFUNCTION("""COMPUTED_VALUE"""),"CRLN")</f>
        <v>CRLN</v>
      </c>
      <c r="AF1015" s="476"/>
      <c r="AG1015" s="474" t="s">
        <v>197</v>
      </c>
      <c r="AH1015" s="138" t="str">
        <f t="shared" si="11"/>
        <v/>
      </c>
    </row>
    <row r="1016">
      <c r="A1016" s="103" t="str">
        <f>IFERROR(__xludf.DUMMYFUNCTION("""COMPUTED_VALUE"""),"AH7625A")</f>
        <v>AH7625A</v>
      </c>
      <c r="B1016" s="468">
        <f>IFERROR(__xludf.DUMMYFUNCTION("""COMPUTED_VALUE"""),44658.0)</f>
        <v>44658</v>
      </c>
      <c r="C1016" s="469">
        <f>IFERROR(__xludf.DUMMYFUNCTION("""COMPUTED_VALUE"""),0.5362962962962963)</f>
        <v>0.5362962963</v>
      </c>
      <c r="D1016" s="103" t="str">
        <f>IFERROR(__xludf.DUMMYFUNCTION("""COMPUTED_VALUE"""),"SpFLMP659315")</f>
        <v>SpFLMP659315</v>
      </c>
      <c r="E1016" s="103"/>
      <c r="F1016" s="103"/>
      <c r="G1016" s="103" t="str">
        <f>IFERROR(__xludf.DUMMYFUNCTION("""COMPUTED_VALUE"""),"Negative")</f>
        <v>Negative</v>
      </c>
      <c r="H1016" s="131" t="str">
        <f>IFERROR(__xludf.DUMMYFUNCTION("""COMPUTED_VALUE"""),"Negative")</f>
        <v>Negative</v>
      </c>
      <c r="I1016" s="468">
        <f>IFERROR(__xludf.DUMMYFUNCTION("""COMPUTED_VALUE"""),44658.0)</f>
        <v>44658</v>
      </c>
      <c r="J1016" s="470">
        <f>IFERROR(__xludf.DUMMYFUNCTION("""COMPUTED_VALUE"""),0.5445717592592593)</f>
        <v>0.5445717593</v>
      </c>
      <c r="K1016" s="16"/>
      <c r="L1016" s="8"/>
      <c r="M1016" s="69"/>
      <c r="N1016" s="69">
        <f>IFERROR(__xludf.DUMMYFUNCTION("""COMPUTED_VALUE"""),4.0)</f>
        <v>4</v>
      </c>
      <c r="O1016" s="69" t="str">
        <f t="shared" si="3"/>
        <v/>
      </c>
      <c r="P1016" s="471">
        <f>IFERROR(__xludf.DUMMYFUNCTION("""COMPUTED_VALUE"""),0.0)</f>
        <v>0</v>
      </c>
      <c r="Q1016" s="274" t="b">
        <f>VLOOKUP($B1016,'Run Reconcile'!B$2:O2488,14,FALSE)</f>
        <v>1</v>
      </c>
      <c r="R1016" s="472" t="str">
        <f t="array" ref="R1016">IF($Q1016, INDEX('Run Reconcile'!A$2:A2488,MATCH(B1016,'Run Reconcile'!B$2:B2488,0),1),IFERROR(0/0,""))</f>
        <v>RUN-FLMP_2022-04-07_RFR-107</v>
      </c>
      <c r="S1016" s="473" t="str">
        <f t="shared" si="694"/>
        <v/>
      </c>
      <c r="T1016" s="473" t="str">
        <f t="shared" si="698"/>
        <v/>
      </c>
      <c r="U1016" s="275" t="str">
        <f t="array" ref="U1016">IF(ISBLANK($R1016), INDEX('Run Reconcile'!A$2:A2488, MATCH($B1016, 'Run Reconcile'!B$2:B2488, 0)+Z1016, 1), IFERROR(0/0,""))
</f>
        <v/>
      </c>
      <c r="V1016" s="474" t="str">
        <f t="shared" si="5"/>
        <v>RUN-FLMP_2022-04-07_RFR-107</v>
      </c>
      <c r="Y1016" s="89" t="str">
        <f t="shared" si="867"/>
        <v/>
      </c>
      <c r="Z1016" s="60" t="str">
        <f t="shared" si="7"/>
        <v/>
      </c>
      <c r="AA1016" s="60" t="str">
        <f t="shared" si="8"/>
        <v/>
      </c>
      <c r="AB1016" s="60" t="str">
        <f t="shared" si="9"/>
        <v/>
      </c>
      <c r="AC1016" s="30" t="str">
        <f t="shared" ref="AC1016:AD1016" si="1372">IF(_xlfn.ISFORMULA(S1016),IFERROR(0/0,""),TRUE)</f>
        <v/>
      </c>
      <c r="AD1016" s="30" t="str">
        <f t="shared" si="1372"/>
        <v/>
      </c>
      <c r="AE1016" s="475" t="str">
        <f>IFERROR(__xludf.DUMMYFUNCTION("""COMPUTED_VALUE"""),"CRLN")</f>
        <v>CRLN</v>
      </c>
      <c r="AF1016" s="476"/>
      <c r="AG1016" s="474" t="s">
        <v>197</v>
      </c>
      <c r="AH1016" s="138" t="str">
        <f t="shared" si="11"/>
        <v/>
      </c>
    </row>
    <row r="1017">
      <c r="A1017" s="477" t="str">
        <f>IFERROR(__xludf.DUMMYFUNCTION("""COMPUTED_VALUE"""),"FLB7365")</f>
        <v>FLB7365</v>
      </c>
      <c r="B1017" s="478">
        <f>IFERROR(__xludf.DUMMYFUNCTION("""COMPUTED_VALUE"""),44661.0)</f>
        <v>44661</v>
      </c>
      <c r="C1017" s="479">
        <f>IFERROR(__xludf.DUMMYFUNCTION("""COMPUTED_VALUE"""),0.5052430555555556)</f>
        <v>0.5052430556</v>
      </c>
      <c r="D1017" s="477" t="str">
        <f>IFERROR(__xludf.DUMMYFUNCTION("""COMPUTED_VALUE"""),"SpFLMP596479")</f>
        <v>SpFLMP596479</v>
      </c>
      <c r="E1017" s="477"/>
      <c r="F1017" s="477"/>
      <c r="G1017" s="477" t="str">
        <f>IFERROR(__xludf.DUMMYFUNCTION("""COMPUTED_VALUE"""),"Negative")</f>
        <v>Negative</v>
      </c>
      <c r="H1017" s="480" t="str">
        <f>IFERROR(__xludf.DUMMYFUNCTION("""COMPUTED_VALUE"""),"Negative")</f>
        <v>Negative</v>
      </c>
      <c r="I1017" s="478">
        <f>IFERROR(__xludf.DUMMYFUNCTION("""COMPUTED_VALUE"""),44662.0)</f>
        <v>44662</v>
      </c>
      <c r="J1017" s="481">
        <f>IFERROR(__xludf.DUMMYFUNCTION("""COMPUTED_VALUE"""),0.43756944444444446)</f>
        <v>0.4375694444</v>
      </c>
      <c r="K1017" s="156"/>
      <c r="L1017" s="19"/>
      <c r="M1017" s="482"/>
      <c r="N1017" s="482">
        <f>IFERROR(__xludf.DUMMYFUNCTION("""COMPUTED_VALUE"""),3.0)</f>
        <v>3</v>
      </c>
      <c r="O1017" s="482" t="b">
        <f t="shared" si="3"/>
        <v>1</v>
      </c>
      <c r="P1017" s="483">
        <f>IFERROR(__xludf.DUMMYFUNCTION("""COMPUTED_VALUE"""),1.0)</f>
        <v>1</v>
      </c>
      <c r="Q1017" s="352" t="str">
        <f>VLOOKUP($B1017,'Run Reconcile'!B$2:O2488,14,FALSE)</f>
        <v/>
      </c>
      <c r="R1017" s="484" t="str">
        <f t="array" ref="R1017">IF($Q1017, INDEX('Run Reconcile'!A$2:A2488,MATCH(B1017,'Run Reconcile'!B$2:B2488,0),1),IFERROR(0/0,""))</f>
        <v/>
      </c>
      <c r="S1017" s="485" t="b">
        <f t="shared" si="694"/>
        <v>1</v>
      </c>
      <c r="T1017" s="485" t="str">
        <f t="shared" si="698"/>
        <v/>
      </c>
      <c r="U1017" s="353" t="str">
        <f t="array" ref="U1017">IF(ISBLANK($R1017), INDEX('Run Reconcile'!A$2:A2488, MATCH($B1017, 'Run Reconcile'!B$2:B2488, 0)+Z1017, 1), IFERROR(0/0,""))
</f>
        <v>RUN-FLMP_2022-04-11_RFR-109</v>
      </c>
      <c r="V1017" s="486" t="str">
        <f t="shared" si="5"/>
        <v>RUN-FLMP_2022-04-11_RFR-109</v>
      </c>
      <c r="W1017" s="19" t="s">
        <v>1473</v>
      </c>
      <c r="X1017" s="19"/>
      <c r="Y1017" s="89">
        <f t="shared" si="867"/>
        <v>1</v>
      </c>
      <c r="Z1017" s="60">
        <f t="shared" si="7"/>
        <v>1</v>
      </c>
      <c r="AA1017" s="60">
        <f t="shared" si="8"/>
        <v>1</v>
      </c>
      <c r="AB1017" s="60" t="str">
        <f t="shared" si="9"/>
        <v/>
      </c>
      <c r="AC1017" s="158" t="str">
        <f t="shared" ref="AC1017:AD1017" si="1373">IF(_xlfn.ISFORMULA(S1017),IFERROR(0/0,""),TRUE)</f>
        <v/>
      </c>
      <c r="AD1017" s="158" t="str">
        <f t="shared" si="1373"/>
        <v/>
      </c>
      <c r="AE1017" s="488" t="str">
        <f>IFERROR(__xludf.DUMMYFUNCTION("""COMPUTED_VALUE"""),"CRLN")</f>
        <v>CRLN</v>
      </c>
      <c r="AF1017" s="489"/>
      <c r="AG1017" s="486" t="s">
        <v>198</v>
      </c>
      <c r="AH1017" s="138" t="str">
        <f t="shared" si="11"/>
        <v/>
      </c>
      <c r="AI1017" s="19"/>
      <c r="AJ1017" s="19"/>
      <c r="AK1017" s="19"/>
      <c r="AL1017" s="19"/>
      <c r="AM1017" s="19"/>
    </row>
    <row r="1018">
      <c r="A1018" s="103" t="str">
        <f>IFERROR(__xludf.DUMMYFUNCTION("""COMPUTED_VALUE"""),"FLB5799")</f>
        <v>FLB5799</v>
      </c>
      <c r="B1018" s="468">
        <f>IFERROR(__xludf.DUMMYFUNCTION("""COMPUTED_VALUE"""),44662.0)</f>
        <v>44662</v>
      </c>
      <c r="C1018" s="469">
        <f>IFERROR(__xludf.DUMMYFUNCTION("""COMPUTED_VALUE"""),0.3033564814814815)</f>
        <v>0.3033564815</v>
      </c>
      <c r="D1018" s="103" t="str">
        <f>IFERROR(__xludf.DUMMYFUNCTION("""COMPUTED_VALUE"""),"SpFLMP228238")</f>
        <v>SpFLMP228238</v>
      </c>
      <c r="E1018" s="103"/>
      <c r="F1018" s="103"/>
      <c r="G1018" s="103" t="str">
        <f>IFERROR(__xludf.DUMMYFUNCTION("""COMPUTED_VALUE"""),"Negative")</f>
        <v>Negative</v>
      </c>
      <c r="H1018" s="131" t="str">
        <f>IFERROR(__xludf.DUMMYFUNCTION("""COMPUTED_VALUE"""),"Negative")</f>
        <v>Negative</v>
      </c>
      <c r="I1018" s="468">
        <f>IFERROR(__xludf.DUMMYFUNCTION("""COMPUTED_VALUE"""),44662.0)</f>
        <v>44662</v>
      </c>
      <c r="J1018" s="470">
        <f>IFERROR(__xludf.DUMMYFUNCTION("""COMPUTED_VALUE"""),0.43756944444444446)</f>
        <v>0.4375694444</v>
      </c>
      <c r="K1018" s="16"/>
      <c r="L1018" s="8"/>
      <c r="M1018" s="69"/>
      <c r="N1018" s="69">
        <f>IFERROR(__xludf.DUMMYFUNCTION("""COMPUTED_VALUE"""),3.0)</f>
        <v>3</v>
      </c>
      <c r="O1018" s="69" t="b">
        <f t="shared" si="3"/>
        <v>1</v>
      </c>
      <c r="P1018" s="471">
        <f>IFERROR(__xludf.DUMMYFUNCTION("""COMPUTED_VALUE"""),0.0)</f>
        <v>0</v>
      </c>
      <c r="Q1018" s="274" t="str">
        <f>VLOOKUP($B1018,'Run Reconcile'!B$2:O2488,14,FALSE)</f>
        <v/>
      </c>
      <c r="R1018" s="472" t="str">
        <f t="array" ref="R1018">IF($Q1018, INDEX('Run Reconcile'!A$2:A2488,MATCH(B1018,'Run Reconcile'!B$2:B2488,0),1),IFERROR(0/0,""))</f>
        <v/>
      </c>
      <c r="S1018" s="473" t="str">
        <f t="shared" si="694"/>
        <v/>
      </c>
      <c r="T1018" s="473" t="str">
        <f t="shared" si="698"/>
        <v/>
      </c>
      <c r="U1018" s="275" t="str">
        <f t="array" ref="U1018">IF(ISBLANK($R1018), INDEX('Run Reconcile'!A$2:A2488, MATCH($B1018, 'Run Reconcile'!B$2:B2488, 0)+Z1018, 1), IFERROR(0/0,""))
</f>
        <v>RUN-FLMP_2022-04-11_RFR-109</v>
      </c>
      <c r="V1018" s="474" t="str">
        <f t="shared" si="5"/>
        <v>RUN-FLMP_2022-04-11_RFR-109</v>
      </c>
      <c r="Y1018" s="89" t="str">
        <f t="shared" si="867"/>
        <v/>
      </c>
      <c r="Z1018" s="60" t="str">
        <f t="shared" si="7"/>
        <v/>
      </c>
      <c r="AA1018" s="60" t="str">
        <f t="shared" si="8"/>
        <v/>
      </c>
      <c r="AB1018" s="60" t="str">
        <f t="shared" si="9"/>
        <v/>
      </c>
      <c r="AC1018" s="30" t="str">
        <f t="shared" ref="AC1018:AD1018" si="1374">IF(_xlfn.ISFORMULA(S1018),IFERROR(0/0,""),TRUE)</f>
        <v/>
      </c>
      <c r="AD1018" s="30" t="str">
        <f t="shared" si="1374"/>
        <v/>
      </c>
      <c r="AE1018" s="475" t="str">
        <f>IFERROR(__xludf.DUMMYFUNCTION("""COMPUTED_VALUE"""),"CRLN")</f>
        <v>CRLN</v>
      </c>
      <c r="AF1018" s="476"/>
      <c r="AG1018" s="474" t="s">
        <v>198</v>
      </c>
      <c r="AH1018" s="138" t="str">
        <f t="shared" si="11"/>
        <v/>
      </c>
    </row>
    <row r="1019">
      <c r="A1019" s="103" t="str">
        <f>IFERROR(__xludf.DUMMYFUNCTION("""COMPUTED_VALUE"""),"FLB5737")</f>
        <v>FLB5737</v>
      </c>
      <c r="B1019" s="468">
        <f>IFERROR(__xludf.DUMMYFUNCTION("""COMPUTED_VALUE"""),44662.0)</f>
        <v>44662</v>
      </c>
      <c r="C1019" s="469">
        <f>IFERROR(__xludf.DUMMYFUNCTION("""COMPUTED_VALUE"""),0.31599537037037034)</f>
        <v>0.3159953704</v>
      </c>
      <c r="D1019" s="103" t="str">
        <f>IFERROR(__xludf.DUMMYFUNCTION("""COMPUTED_VALUE"""),"SpFLMP777132")</f>
        <v>SpFLMP777132</v>
      </c>
      <c r="E1019" s="103"/>
      <c r="F1019" s="103"/>
      <c r="G1019" s="103" t="str">
        <f>IFERROR(__xludf.DUMMYFUNCTION("""COMPUTED_VALUE"""),"Negative")</f>
        <v>Negative</v>
      </c>
      <c r="H1019" s="131" t="str">
        <f>IFERROR(__xludf.DUMMYFUNCTION("""COMPUTED_VALUE"""),"Negative")</f>
        <v>Negative</v>
      </c>
      <c r="I1019" s="468">
        <f>IFERROR(__xludf.DUMMYFUNCTION("""COMPUTED_VALUE"""),44662.0)</f>
        <v>44662</v>
      </c>
      <c r="J1019" s="470">
        <f>IFERROR(__xludf.DUMMYFUNCTION("""COMPUTED_VALUE"""),0.43756944444444446)</f>
        <v>0.4375694444</v>
      </c>
      <c r="K1019" s="16"/>
      <c r="L1019" s="8"/>
      <c r="M1019" s="69"/>
      <c r="N1019" s="69">
        <f>IFERROR(__xludf.DUMMYFUNCTION("""COMPUTED_VALUE"""),4.0)</f>
        <v>4</v>
      </c>
      <c r="O1019" s="69" t="str">
        <f t="shared" si="3"/>
        <v/>
      </c>
      <c r="P1019" s="471">
        <f>IFERROR(__xludf.DUMMYFUNCTION("""COMPUTED_VALUE"""),0.0)</f>
        <v>0</v>
      </c>
      <c r="Q1019" s="274" t="str">
        <f>VLOOKUP($B1019,'Run Reconcile'!B$2:O2488,14,FALSE)</f>
        <v/>
      </c>
      <c r="R1019" s="472" t="str">
        <f t="array" ref="R1019">IF($Q1019, INDEX('Run Reconcile'!A$2:A2488,MATCH(B1019,'Run Reconcile'!B$2:B2488,0),1),IFERROR(0/0,""))</f>
        <v/>
      </c>
      <c r="S1019" s="473" t="str">
        <f t="shared" si="694"/>
        <v/>
      </c>
      <c r="T1019" s="473" t="str">
        <f t="shared" si="698"/>
        <v/>
      </c>
      <c r="U1019" s="275" t="str">
        <f t="array" ref="U1019">IF(ISBLANK($R1019), INDEX('Run Reconcile'!A$2:A2488, MATCH($B1019, 'Run Reconcile'!B$2:B2488, 0)+Z1019, 1), IFERROR(0/0,""))
</f>
        <v>RUN-FLMP_2022-04-11_RFR-109</v>
      </c>
      <c r="V1019" s="474" t="str">
        <f t="shared" si="5"/>
        <v>RUN-FLMP_2022-04-11_RFR-109</v>
      </c>
      <c r="Y1019" s="89" t="str">
        <f t="shared" si="867"/>
        <v/>
      </c>
      <c r="Z1019" s="60" t="str">
        <f t="shared" si="7"/>
        <v/>
      </c>
      <c r="AA1019" s="60" t="str">
        <f t="shared" si="8"/>
        <v/>
      </c>
      <c r="AB1019" s="60" t="str">
        <f t="shared" si="9"/>
        <v/>
      </c>
      <c r="AC1019" s="30" t="str">
        <f t="shared" ref="AC1019:AD1019" si="1375">IF(_xlfn.ISFORMULA(S1019),IFERROR(0/0,""),TRUE)</f>
        <v/>
      </c>
      <c r="AD1019" s="30" t="str">
        <f t="shared" si="1375"/>
        <v/>
      </c>
      <c r="AE1019" s="475" t="str">
        <f>IFERROR(__xludf.DUMMYFUNCTION("""COMPUTED_VALUE"""),"CRLN")</f>
        <v>CRLN</v>
      </c>
      <c r="AF1019" s="476"/>
      <c r="AG1019" s="474" t="s">
        <v>198</v>
      </c>
      <c r="AH1019" s="138" t="str">
        <f t="shared" si="11"/>
        <v/>
      </c>
    </row>
    <row r="1020">
      <c r="A1020" s="103" t="str">
        <f>IFERROR(__xludf.DUMMYFUNCTION("""COMPUTED_VALUE"""),"FLB7290")</f>
        <v>FLB7290</v>
      </c>
      <c r="B1020" s="468">
        <f>IFERROR(__xludf.DUMMYFUNCTION("""COMPUTED_VALUE"""),44662.0)</f>
        <v>44662</v>
      </c>
      <c r="C1020" s="469">
        <f>IFERROR(__xludf.DUMMYFUNCTION("""COMPUTED_VALUE"""),0.3185300925925926)</f>
        <v>0.3185300926</v>
      </c>
      <c r="D1020" s="103" t="str">
        <f>IFERROR(__xludf.DUMMYFUNCTION("""COMPUTED_VALUE"""),"SpFLMP965392")</f>
        <v>SpFLMP965392</v>
      </c>
      <c r="E1020" s="103"/>
      <c r="F1020" s="103"/>
      <c r="G1020" s="103" t="str">
        <f>IFERROR(__xludf.DUMMYFUNCTION("""COMPUTED_VALUE"""),"Negative")</f>
        <v>Negative</v>
      </c>
      <c r="H1020" s="131" t="str">
        <f>IFERROR(__xludf.DUMMYFUNCTION("""COMPUTED_VALUE"""),"Negative")</f>
        <v>Negative</v>
      </c>
      <c r="I1020" s="468">
        <f>IFERROR(__xludf.DUMMYFUNCTION("""COMPUTED_VALUE"""),44662.0)</f>
        <v>44662</v>
      </c>
      <c r="J1020" s="470">
        <f>IFERROR(__xludf.DUMMYFUNCTION("""COMPUTED_VALUE"""),0.43756944444444446)</f>
        <v>0.4375694444</v>
      </c>
      <c r="K1020" s="16"/>
      <c r="L1020" s="8"/>
      <c r="M1020" s="69"/>
      <c r="N1020" s="69">
        <f>IFERROR(__xludf.DUMMYFUNCTION("""COMPUTED_VALUE"""),4.0)</f>
        <v>4</v>
      </c>
      <c r="O1020" s="69" t="str">
        <f t="shared" si="3"/>
        <v/>
      </c>
      <c r="P1020" s="471">
        <f>IFERROR(__xludf.DUMMYFUNCTION("""COMPUTED_VALUE"""),0.0)</f>
        <v>0</v>
      </c>
      <c r="Q1020" s="274" t="str">
        <f>VLOOKUP($B1020,'Run Reconcile'!B$2:O2488,14,FALSE)</f>
        <v/>
      </c>
      <c r="R1020" s="472" t="str">
        <f t="array" ref="R1020">IF($Q1020, INDEX('Run Reconcile'!A$2:A2488,MATCH(B1020,'Run Reconcile'!B$2:B2488,0),1),IFERROR(0/0,""))</f>
        <v/>
      </c>
      <c r="S1020" s="473" t="str">
        <f t="shared" si="694"/>
        <v/>
      </c>
      <c r="T1020" s="473" t="str">
        <f t="shared" si="698"/>
        <v/>
      </c>
      <c r="U1020" s="275" t="str">
        <f t="array" ref="U1020">IF(ISBLANK($R1020), INDEX('Run Reconcile'!A$2:A2488, MATCH($B1020, 'Run Reconcile'!B$2:B2488, 0)+Z1020, 1), IFERROR(0/0,""))
</f>
        <v>RUN-FLMP_2022-04-11_RFR-109</v>
      </c>
      <c r="V1020" s="474" t="str">
        <f t="shared" si="5"/>
        <v>RUN-FLMP_2022-04-11_RFR-109</v>
      </c>
      <c r="Y1020" s="89" t="str">
        <f t="shared" si="867"/>
        <v/>
      </c>
      <c r="Z1020" s="60" t="str">
        <f t="shared" si="7"/>
        <v/>
      </c>
      <c r="AA1020" s="60" t="str">
        <f t="shared" si="8"/>
        <v/>
      </c>
      <c r="AB1020" s="60" t="str">
        <f t="shared" si="9"/>
        <v/>
      </c>
      <c r="AC1020" s="30" t="str">
        <f t="shared" ref="AC1020:AD1020" si="1376">IF(_xlfn.ISFORMULA(S1020),IFERROR(0/0,""),TRUE)</f>
        <v/>
      </c>
      <c r="AD1020" s="30" t="str">
        <f t="shared" si="1376"/>
        <v/>
      </c>
      <c r="AE1020" s="475" t="str">
        <f>IFERROR(__xludf.DUMMYFUNCTION("""COMPUTED_VALUE"""),"CRLN")</f>
        <v>CRLN</v>
      </c>
      <c r="AF1020" s="476"/>
      <c r="AG1020" s="474" t="s">
        <v>198</v>
      </c>
      <c r="AH1020" s="138" t="str">
        <f t="shared" si="11"/>
        <v/>
      </c>
    </row>
    <row r="1021">
      <c r="A1021" s="103" t="str">
        <f>IFERROR(__xludf.DUMMYFUNCTION("""COMPUTED_VALUE"""),"FLB6784")</f>
        <v>FLB6784</v>
      </c>
      <c r="B1021" s="468">
        <f>IFERROR(__xludf.DUMMYFUNCTION("""COMPUTED_VALUE"""),44662.0)</f>
        <v>44662</v>
      </c>
      <c r="C1021" s="469">
        <f>IFERROR(__xludf.DUMMYFUNCTION("""COMPUTED_VALUE"""),0.32836805555555554)</f>
        <v>0.3283680556</v>
      </c>
      <c r="D1021" s="103" t="str">
        <f>IFERROR(__xludf.DUMMYFUNCTION("""COMPUTED_VALUE"""),"SpFLMP544731")</f>
        <v>SpFLMP544731</v>
      </c>
      <c r="E1021" s="103"/>
      <c r="F1021" s="103"/>
      <c r="G1021" s="103" t="str">
        <f>IFERROR(__xludf.DUMMYFUNCTION("""COMPUTED_VALUE"""),"Negative")</f>
        <v>Negative</v>
      </c>
      <c r="H1021" s="131" t="str">
        <f>IFERROR(__xludf.DUMMYFUNCTION("""COMPUTED_VALUE"""),"Negative")</f>
        <v>Negative</v>
      </c>
      <c r="I1021" s="468">
        <f>IFERROR(__xludf.DUMMYFUNCTION("""COMPUTED_VALUE"""),44662.0)</f>
        <v>44662</v>
      </c>
      <c r="J1021" s="470">
        <f>IFERROR(__xludf.DUMMYFUNCTION("""COMPUTED_VALUE"""),0.43756944444444446)</f>
        <v>0.4375694444</v>
      </c>
      <c r="K1021" s="16"/>
      <c r="L1021" s="8"/>
      <c r="M1021" s="69"/>
      <c r="N1021" s="69">
        <f>IFERROR(__xludf.DUMMYFUNCTION("""COMPUTED_VALUE"""),2.0)</f>
        <v>2</v>
      </c>
      <c r="O1021" s="69" t="str">
        <f t="shared" si="3"/>
        <v/>
      </c>
      <c r="P1021" s="471">
        <f>IFERROR(__xludf.DUMMYFUNCTION("""COMPUTED_VALUE"""),0.0)</f>
        <v>0</v>
      </c>
      <c r="Q1021" s="274" t="str">
        <f>VLOOKUP($B1021,'Run Reconcile'!B$2:O2488,14,FALSE)</f>
        <v/>
      </c>
      <c r="R1021" s="472" t="str">
        <f t="array" ref="R1021">IF($Q1021, INDEX('Run Reconcile'!A$2:A2488,MATCH(B1021,'Run Reconcile'!B$2:B2488,0),1),IFERROR(0/0,""))</f>
        <v/>
      </c>
      <c r="S1021" s="473" t="str">
        <f t="shared" si="694"/>
        <v/>
      </c>
      <c r="T1021" s="473" t="str">
        <f t="shared" si="698"/>
        <v/>
      </c>
      <c r="U1021" s="275" t="str">
        <f t="array" ref="U1021">IF(ISBLANK($R1021), INDEX('Run Reconcile'!A$2:A2488, MATCH($B1021, 'Run Reconcile'!B$2:B2488, 0)+Z1021, 1), IFERROR(0/0,""))
</f>
        <v>RUN-FLMP_2022-04-11_RFR-109</v>
      </c>
      <c r="V1021" s="474" t="str">
        <f t="shared" si="5"/>
        <v>RUN-FLMP_2022-04-11_RFR-109</v>
      </c>
      <c r="Y1021" s="89" t="str">
        <f t="shared" si="867"/>
        <v/>
      </c>
      <c r="Z1021" s="60" t="str">
        <f t="shared" si="7"/>
        <v/>
      </c>
      <c r="AA1021" s="60" t="str">
        <f t="shared" si="8"/>
        <v/>
      </c>
      <c r="AB1021" s="60" t="str">
        <f t="shared" si="9"/>
        <v/>
      </c>
      <c r="AC1021" s="30" t="str">
        <f t="shared" ref="AC1021:AD1021" si="1377">IF(_xlfn.ISFORMULA(S1021),IFERROR(0/0,""),TRUE)</f>
        <v/>
      </c>
      <c r="AD1021" s="30" t="str">
        <f t="shared" si="1377"/>
        <v/>
      </c>
      <c r="AE1021" s="475" t="str">
        <f>IFERROR(__xludf.DUMMYFUNCTION("""COMPUTED_VALUE"""),"CRLN")</f>
        <v>CRLN</v>
      </c>
      <c r="AF1021" s="476"/>
      <c r="AG1021" s="474" t="s">
        <v>198</v>
      </c>
      <c r="AH1021" s="138" t="str">
        <f t="shared" si="11"/>
        <v/>
      </c>
    </row>
    <row r="1022">
      <c r="A1022" s="103" t="str">
        <f>IFERROR(__xludf.DUMMYFUNCTION("""COMPUTED_VALUE"""),"FLE906")</f>
        <v>FLE906</v>
      </c>
      <c r="B1022" s="468">
        <f>IFERROR(__xludf.DUMMYFUNCTION("""COMPUTED_VALUE"""),44662.0)</f>
        <v>44662</v>
      </c>
      <c r="C1022" s="469">
        <f>IFERROR(__xludf.DUMMYFUNCTION("""COMPUTED_VALUE"""),0.3322453703703704)</f>
        <v>0.3322453704</v>
      </c>
      <c r="D1022" s="103" t="str">
        <f>IFERROR(__xludf.DUMMYFUNCTION("""COMPUTED_VALUE"""),"SpFLMP170622")</f>
        <v>SpFLMP170622</v>
      </c>
      <c r="E1022" s="103"/>
      <c r="F1022" s="103"/>
      <c r="G1022" s="103" t="str">
        <f>IFERROR(__xludf.DUMMYFUNCTION("""COMPUTED_VALUE"""),"Negative")</f>
        <v>Negative</v>
      </c>
      <c r="H1022" s="131" t="str">
        <f>IFERROR(__xludf.DUMMYFUNCTION("""COMPUTED_VALUE"""),"Negative")</f>
        <v>Negative</v>
      </c>
      <c r="I1022" s="468">
        <f>IFERROR(__xludf.DUMMYFUNCTION("""COMPUTED_VALUE"""),44662.0)</f>
        <v>44662</v>
      </c>
      <c r="J1022" s="470">
        <f>IFERROR(__xludf.DUMMYFUNCTION("""COMPUTED_VALUE"""),0.43756944444444446)</f>
        <v>0.4375694444</v>
      </c>
      <c r="K1022" s="16"/>
      <c r="L1022" s="8"/>
      <c r="M1022" s="69"/>
      <c r="N1022" s="69">
        <f>IFERROR(__xludf.DUMMYFUNCTION("""COMPUTED_VALUE"""),2.0)</f>
        <v>2</v>
      </c>
      <c r="O1022" s="69" t="str">
        <f t="shared" si="3"/>
        <v/>
      </c>
      <c r="P1022" s="471">
        <f>IFERROR(__xludf.DUMMYFUNCTION("""COMPUTED_VALUE"""),0.0)</f>
        <v>0</v>
      </c>
      <c r="Q1022" s="274" t="str">
        <f>VLOOKUP($B1022,'Run Reconcile'!B$2:O2488,14,FALSE)</f>
        <v/>
      </c>
      <c r="R1022" s="472" t="str">
        <f t="array" ref="R1022">IF($Q1022, INDEX('Run Reconcile'!A$2:A2488,MATCH(B1022,'Run Reconcile'!B$2:B2488,0),1),IFERROR(0/0,""))</f>
        <v/>
      </c>
      <c r="S1022" s="473" t="str">
        <f t="shared" si="694"/>
        <v/>
      </c>
      <c r="T1022" s="473" t="str">
        <f t="shared" si="698"/>
        <v/>
      </c>
      <c r="U1022" s="275" t="str">
        <f t="array" ref="U1022">IF(ISBLANK($R1022), INDEX('Run Reconcile'!A$2:A2488, MATCH($B1022, 'Run Reconcile'!B$2:B2488, 0)+Z1022, 1), IFERROR(0/0,""))
</f>
        <v>RUN-FLMP_2022-04-11_RFR-109</v>
      </c>
      <c r="V1022" s="474" t="str">
        <f t="shared" si="5"/>
        <v>RUN-FLMP_2022-04-11_RFR-109</v>
      </c>
      <c r="Y1022" s="89" t="str">
        <f t="shared" si="867"/>
        <v/>
      </c>
      <c r="Z1022" s="60" t="str">
        <f t="shared" si="7"/>
        <v/>
      </c>
      <c r="AA1022" s="60" t="str">
        <f t="shared" si="8"/>
        <v/>
      </c>
      <c r="AB1022" s="60" t="str">
        <f t="shared" si="9"/>
        <v/>
      </c>
      <c r="AC1022" s="30" t="str">
        <f t="shared" ref="AC1022:AD1022" si="1378">IF(_xlfn.ISFORMULA(S1022),IFERROR(0/0,""),TRUE)</f>
        <v/>
      </c>
      <c r="AD1022" s="30" t="str">
        <f t="shared" si="1378"/>
        <v/>
      </c>
      <c r="AE1022" s="475" t="str">
        <f>IFERROR(__xludf.DUMMYFUNCTION("""COMPUTED_VALUE"""),"CRLN")</f>
        <v>CRLN</v>
      </c>
      <c r="AF1022" s="476"/>
      <c r="AG1022" s="474" t="s">
        <v>198</v>
      </c>
      <c r="AH1022" s="138" t="str">
        <f t="shared" si="11"/>
        <v/>
      </c>
    </row>
    <row r="1023">
      <c r="A1023" s="103" t="str">
        <f>IFERROR(__xludf.DUMMYFUNCTION("""COMPUTED_VALUE"""),"FLB7186")</f>
        <v>FLB7186</v>
      </c>
      <c r="B1023" s="468">
        <f>IFERROR(__xludf.DUMMYFUNCTION("""COMPUTED_VALUE"""),44662.0)</f>
        <v>44662</v>
      </c>
      <c r="C1023" s="469">
        <f>IFERROR(__xludf.DUMMYFUNCTION("""COMPUTED_VALUE"""),0.3324884259259259)</f>
        <v>0.3324884259</v>
      </c>
      <c r="D1023" s="103" t="str">
        <f>IFERROR(__xludf.DUMMYFUNCTION("""COMPUTED_VALUE"""),"SpFLMP170622")</f>
        <v>SpFLMP170622</v>
      </c>
      <c r="E1023" s="103"/>
      <c r="F1023" s="103"/>
      <c r="G1023" s="103" t="str">
        <f>IFERROR(__xludf.DUMMYFUNCTION("""COMPUTED_VALUE"""),"Negative")</f>
        <v>Negative</v>
      </c>
      <c r="H1023" s="131" t="str">
        <f>IFERROR(__xludf.DUMMYFUNCTION("""COMPUTED_VALUE"""),"Negative")</f>
        <v>Negative</v>
      </c>
      <c r="I1023" s="468">
        <f>IFERROR(__xludf.DUMMYFUNCTION("""COMPUTED_VALUE"""),44662.0)</f>
        <v>44662</v>
      </c>
      <c r="J1023" s="470">
        <f>IFERROR(__xludf.DUMMYFUNCTION("""COMPUTED_VALUE"""),0.43756944444444446)</f>
        <v>0.4375694444</v>
      </c>
      <c r="K1023" s="16"/>
      <c r="L1023" s="8"/>
      <c r="M1023" s="69"/>
      <c r="N1023" s="69">
        <f>IFERROR(__xludf.DUMMYFUNCTION("""COMPUTED_VALUE"""),2.0)</f>
        <v>2</v>
      </c>
      <c r="O1023" s="69" t="str">
        <f t="shared" si="3"/>
        <v/>
      </c>
      <c r="P1023" s="471">
        <f>IFERROR(__xludf.DUMMYFUNCTION("""COMPUTED_VALUE"""),0.0)</f>
        <v>0</v>
      </c>
      <c r="Q1023" s="274" t="str">
        <f>VLOOKUP($B1023,'Run Reconcile'!B$2:O2488,14,FALSE)</f>
        <v/>
      </c>
      <c r="R1023" s="472" t="str">
        <f t="array" ref="R1023">IF($Q1023, INDEX('Run Reconcile'!A$2:A2488,MATCH(B1023,'Run Reconcile'!B$2:B2488,0),1),IFERROR(0/0,""))</f>
        <v/>
      </c>
      <c r="S1023" s="473" t="str">
        <f t="shared" si="694"/>
        <v/>
      </c>
      <c r="T1023" s="473" t="str">
        <f t="shared" si="698"/>
        <v/>
      </c>
      <c r="U1023" s="275" t="str">
        <f t="array" ref="U1023">IF(ISBLANK($R1023), INDEX('Run Reconcile'!A$2:A2488, MATCH($B1023, 'Run Reconcile'!B$2:B2488, 0)+Z1023, 1), IFERROR(0/0,""))
</f>
        <v>RUN-FLMP_2022-04-11_RFR-109</v>
      </c>
      <c r="V1023" s="474" t="str">
        <f t="shared" si="5"/>
        <v>RUN-FLMP_2022-04-11_RFR-109</v>
      </c>
      <c r="Y1023" s="89" t="str">
        <f t="shared" si="867"/>
        <v/>
      </c>
      <c r="Z1023" s="60" t="str">
        <f t="shared" si="7"/>
        <v/>
      </c>
      <c r="AA1023" s="60" t="str">
        <f t="shared" si="8"/>
        <v/>
      </c>
      <c r="AB1023" s="60" t="str">
        <f t="shared" si="9"/>
        <v/>
      </c>
      <c r="AC1023" s="30" t="str">
        <f t="shared" ref="AC1023:AD1023" si="1379">IF(_xlfn.ISFORMULA(S1023),IFERROR(0/0,""),TRUE)</f>
        <v/>
      </c>
      <c r="AD1023" s="30" t="str">
        <f t="shared" si="1379"/>
        <v/>
      </c>
      <c r="AE1023" s="475" t="str">
        <f>IFERROR(__xludf.DUMMYFUNCTION("""COMPUTED_VALUE"""),"CRLN")</f>
        <v>CRLN</v>
      </c>
      <c r="AF1023" s="476"/>
      <c r="AG1023" s="474" t="s">
        <v>198</v>
      </c>
      <c r="AH1023" s="138" t="str">
        <f t="shared" si="11"/>
        <v/>
      </c>
    </row>
    <row r="1024">
      <c r="A1024" s="103" t="str">
        <f>IFERROR(__xludf.DUMMYFUNCTION("""COMPUTED_VALUE"""),"FLB7402")</f>
        <v>FLB7402</v>
      </c>
      <c r="B1024" s="468">
        <f>IFERROR(__xludf.DUMMYFUNCTION("""COMPUTED_VALUE"""),44662.0)</f>
        <v>44662</v>
      </c>
      <c r="C1024" s="469">
        <f>IFERROR(__xludf.DUMMYFUNCTION("""COMPUTED_VALUE"""),0.33502314814814815)</f>
        <v>0.3350231481</v>
      </c>
      <c r="D1024" s="103" t="str">
        <f>IFERROR(__xludf.DUMMYFUNCTION("""COMPUTED_VALUE"""),"SpFLMP690282")</f>
        <v>SpFLMP690282</v>
      </c>
      <c r="E1024" s="103"/>
      <c r="F1024" s="103"/>
      <c r="G1024" s="103" t="str">
        <f>IFERROR(__xludf.DUMMYFUNCTION("""COMPUTED_VALUE"""),"Negative")</f>
        <v>Negative</v>
      </c>
      <c r="H1024" s="131" t="str">
        <f>IFERROR(__xludf.DUMMYFUNCTION("""COMPUTED_VALUE"""),"Negative")</f>
        <v>Negative</v>
      </c>
      <c r="I1024" s="468">
        <f>IFERROR(__xludf.DUMMYFUNCTION("""COMPUTED_VALUE"""),44662.0)</f>
        <v>44662</v>
      </c>
      <c r="J1024" s="470">
        <f>IFERROR(__xludf.DUMMYFUNCTION("""COMPUTED_VALUE"""),0.43756944444444446)</f>
        <v>0.4375694444</v>
      </c>
      <c r="K1024" s="16"/>
      <c r="L1024" s="8"/>
      <c r="M1024" s="69"/>
      <c r="N1024" s="69">
        <f>IFERROR(__xludf.DUMMYFUNCTION("""COMPUTED_VALUE"""),1.0)</f>
        <v>1</v>
      </c>
      <c r="O1024" s="69" t="str">
        <f t="shared" si="3"/>
        <v/>
      </c>
      <c r="P1024" s="471">
        <f>IFERROR(__xludf.DUMMYFUNCTION("""COMPUTED_VALUE"""),0.0)</f>
        <v>0</v>
      </c>
      <c r="Q1024" s="274" t="str">
        <f>VLOOKUP($B1024,'Run Reconcile'!B$2:O2488,14,FALSE)</f>
        <v/>
      </c>
      <c r="R1024" s="472" t="str">
        <f t="array" ref="R1024">IF($Q1024, INDEX('Run Reconcile'!A$2:A2488,MATCH(B1024,'Run Reconcile'!B$2:B2488,0),1),IFERROR(0/0,""))</f>
        <v/>
      </c>
      <c r="S1024" s="473" t="str">
        <f t="shared" si="694"/>
        <v/>
      </c>
      <c r="T1024" s="473" t="str">
        <f t="shared" si="698"/>
        <v/>
      </c>
      <c r="U1024" s="275" t="str">
        <f t="array" ref="U1024">IF(ISBLANK($R1024), INDEX('Run Reconcile'!A$2:A2488, MATCH($B1024, 'Run Reconcile'!B$2:B2488, 0)+Z1024, 1), IFERROR(0/0,""))
</f>
        <v>RUN-FLMP_2022-04-11_RFR-109</v>
      </c>
      <c r="V1024" s="474" t="str">
        <f t="shared" si="5"/>
        <v>RUN-FLMP_2022-04-11_RFR-109</v>
      </c>
      <c r="Y1024" s="89" t="str">
        <f t="shared" si="867"/>
        <v/>
      </c>
      <c r="Z1024" s="60" t="str">
        <f t="shared" si="7"/>
        <v/>
      </c>
      <c r="AA1024" s="60" t="str">
        <f t="shared" si="8"/>
        <v/>
      </c>
      <c r="AB1024" s="60" t="str">
        <f t="shared" si="9"/>
        <v/>
      </c>
      <c r="AC1024" s="30" t="str">
        <f t="shared" ref="AC1024:AD1024" si="1380">IF(_xlfn.ISFORMULA(S1024),IFERROR(0/0,""),TRUE)</f>
        <v/>
      </c>
      <c r="AD1024" s="30" t="str">
        <f t="shared" si="1380"/>
        <v/>
      </c>
      <c r="AE1024" s="475" t="str">
        <f>IFERROR(__xludf.DUMMYFUNCTION("""COMPUTED_VALUE"""),"CRLN")</f>
        <v>CRLN</v>
      </c>
      <c r="AF1024" s="476"/>
      <c r="AG1024" s="474" t="s">
        <v>198</v>
      </c>
      <c r="AH1024" s="138" t="str">
        <f t="shared" si="11"/>
        <v/>
      </c>
    </row>
    <row r="1025">
      <c r="A1025" s="103" t="str">
        <f>IFERROR(__xludf.DUMMYFUNCTION("""COMPUTED_VALUE"""),"FLB7163")</f>
        <v>FLB7163</v>
      </c>
      <c r="B1025" s="468">
        <f>IFERROR(__xludf.DUMMYFUNCTION("""COMPUTED_VALUE"""),44662.0)</f>
        <v>44662</v>
      </c>
      <c r="C1025" s="469">
        <f>IFERROR(__xludf.DUMMYFUNCTION("""COMPUTED_VALUE"""),0.34866898148148145)</f>
        <v>0.3486689815</v>
      </c>
      <c r="D1025" s="103" t="str">
        <f>IFERROR(__xludf.DUMMYFUNCTION("""COMPUTED_VALUE"""),"SpFLMP314549")</f>
        <v>SpFLMP314549</v>
      </c>
      <c r="E1025" s="103"/>
      <c r="F1025" s="103"/>
      <c r="G1025" s="103" t="str">
        <f>IFERROR(__xludf.DUMMYFUNCTION("""COMPUTED_VALUE"""),"Negative")</f>
        <v>Negative</v>
      </c>
      <c r="H1025" s="131" t="str">
        <f>IFERROR(__xludf.DUMMYFUNCTION("""COMPUTED_VALUE"""),"Negative")</f>
        <v>Negative</v>
      </c>
      <c r="I1025" s="468">
        <f>IFERROR(__xludf.DUMMYFUNCTION("""COMPUTED_VALUE"""),44662.0)</f>
        <v>44662</v>
      </c>
      <c r="J1025" s="470">
        <f>IFERROR(__xludf.DUMMYFUNCTION("""COMPUTED_VALUE"""),0.43756944444444446)</f>
        <v>0.4375694444</v>
      </c>
      <c r="K1025" s="16"/>
      <c r="L1025" s="8"/>
      <c r="M1025" s="69"/>
      <c r="N1025" s="69">
        <f>IFERROR(__xludf.DUMMYFUNCTION("""COMPUTED_VALUE"""),1.0)</f>
        <v>1</v>
      </c>
      <c r="O1025" s="69" t="str">
        <f t="shared" si="3"/>
        <v/>
      </c>
      <c r="P1025" s="471">
        <f>IFERROR(__xludf.DUMMYFUNCTION("""COMPUTED_VALUE"""),0.0)</f>
        <v>0</v>
      </c>
      <c r="Q1025" s="274" t="str">
        <f>VLOOKUP($B1025,'Run Reconcile'!B$2:O2488,14,FALSE)</f>
        <v/>
      </c>
      <c r="R1025" s="472" t="str">
        <f t="array" ref="R1025">IF($Q1025, INDEX('Run Reconcile'!A$2:A2488,MATCH(B1025,'Run Reconcile'!B$2:B2488,0),1),IFERROR(0/0,""))</f>
        <v/>
      </c>
      <c r="S1025" s="473" t="str">
        <f t="shared" si="694"/>
        <v/>
      </c>
      <c r="T1025" s="473" t="str">
        <f t="shared" si="698"/>
        <v/>
      </c>
      <c r="U1025" s="275" t="str">
        <f t="array" ref="U1025">IF(ISBLANK($R1025), INDEX('Run Reconcile'!A$2:A2488, MATCH($B1025, 'Run Reconcile'!B$2:B2488, 0)+Z1025, 1), IFERROR(0/0,""))
</f>
        <v>RUN-FLMP_2022-04-11_RFR-109</v>
      </c>
      <c r="V1025" s="474" t="str">
        <f t="shared" si="5"/>
        <v>RUN-FLMP_2022-04-11_RFR-109</v>
      </c>
      <c r="Y1025" s="89" t="str">
        <f t="shared" si="867"/>
        <v/>
      </c>
      <c r="Z1025" s="60" t="str">
        <f t="shared" si="7"/>
        <v/>
      </c>
      <c r="AA1025" s="60" t="str">
        <f t="shared" si="8"/>
        <v/>
      </c>
      <c r="AB1025" s="60" t="str">
        <f t="shared" si="9"/>
        <v/>
      </c>
      <c r="AC1025" s="30" t="str">
        <f t="shared" ref="AC1025:AD1025" si="1381">IF(_xlfn.ISFORMULA(S1025),IFERROR(0/0,""),TRUE)</f>
        <v/>
      </c>
      <c r="AD1025" s="30" t="str">
        <f t="shared" si="1381"/>
        <v/>
      </c>
      <c r="AE1025" s="475" t="str">
        <f>IFERROR(__xludf.DUMMYFUNCTION("""COMPUTED_VALUE"""),"CRLN")</f>
        <v>CRLN</v>
      </c>
      <c r="AF1025" s="476"/>
      <c r="AG1025" s="474" t="s">
        <v>198</v>
      </c>
      <c r="AH1025" s="138" t="str">
        <f t="shared" si="11"/>
        <v/>
      </c>
    </row>
    <row r="1026">
      <c r="A1026" s="103" t="str">
        <f>IFERROR(__xludf.DUMMYFUNCTION("""COMPUTED_VALUE"""),"FLB7369")</f>
        <v>FLB7369</v>
      </c>
      <c r="B1026" s="468">
        <f>IFERROR(__xludf.DUMMYFUNCTION("""COMPUTED_VALUE"""),44662.0)</f>
        <v>44662</v>
      </c>
      <c r="C1026" s="469">
        <f>IFERROR(__xludf.DUMMYFUNCTION("""COMPUTED_VALUE"""),0.35224537037037035)</f>
        <v>0.3522453704</v>
      </c>
      <c r="D1026" s="103" t="str">
        <f>IFERROR(__xludf.DUMMYFUNCTION("""COMPUTED_VALUE"""),"SpFLMP604497")</f>
        <v>SpFLMP604497</v>
      </c>
      <c r="E1026" s="103"/>
      <c r="F1026" s="103"/>
      <c r="G1026" s="103" t="str">
        <f>IFERROR(__xludf.DUMMYFUNCTION("""COMPUTED_VALUE"""),"Negative")</f>
        <v>Negative</v>
      </c>
      <c r="H1026" s="131" t="str">
        <f>IFERROR(__xludf.DUMMYFUNCTION("""COMPUTED_VALUE"""),"Negative")</f>
        <v>Negative</v>
      </c>
      <c r="I1026" s="468">
        <f>IFERROR(__xludf.DUMMYFUNCTION("""COMPUTED_VALUE"""),44662.0)</f>
        <v>44662</v>
      </c>
      <c r="J1026" s="470">
        <f>IFERROR(__xludf.DUMMYFUNCTION("""COMPUTED_VALUE"""),0.43756944444444446)</f>
        <v>0.4375694444</v>
      </c>
      <c r="K1026" s="16"/>
      <c r="L1026" s="8"/>
      <c r="M1026" s="69"/>
      <c r="N1026" s="69">
        <f>IFERROR(__xludf.DUMMYFUNCTION("""COMPUTED_VALUE"""),4.0)</f>
        <v>4</v>
      </c>
      <c r="O1026" s="69" t="str">
        <f t="shared" si="3"/>
        <v/>
      </c>
      <c r="P1026" s="471">
        <f>IFERROR(__xludf.DUMMYFUNCTION("""COMPUTED_VALUE"""),0.0)</f>
        <v>0</v>
      </c>
      <c r="Q1026" s="274" t="str">
        <f>VLOOKUP($B1026,'Run Reconcile'!B$2:O2488,14,FALSE)</f>
        <v/>
      </c>
      <c r="R1026" s="472" t="str">
        <f t="array" ref="R1026">IF($Q1026, INDEX('Run Reconcile'!A$2:A2488,MATCH(B1026,'Run Reconcile'!B$2:B2488,0),1),IFERROR(0/0,""))</f>
        <v/>
      </c>
      <c r="S1026" s="473" t="str">
        <f t="shared" si="694"/>
        <v/>
      </c>
      <c r="T1026" s="473" t="str">
        <f t="shared" si="698"/>
        <v/>
      </c>
      <c r="U1026" s="275" t="str">
        <f t="array" ref="U1026">IF(ISBLANK($R1026), INDEX('Run Reconcile'!A$2:A2488, MATCH($B1026, 'Run Reconcile'!B$2:B2488, 0)+Z1026, 1), IFERROR(0/0,""))
</f>
        <v>RUN-FLMP_2022-04-11_RFR-109</v>
      </c>
      <c r="V1026" s="474" t="str">
        <f t="shared" si="5"/>
        <v>RUN-FLMP_2022-04-11_RFR-109</v>
      </c>
      <c r="Y1026" s="89" t="str">
        <f t="shared" si="867"/>
        <v/>
      </c>
      <c r="Z1026" s="60" t="str">
        <f t="shared" si="7"/>
        <v/>
      </c>
      <c r="AA1026" s="60" t="str">
        <f t="shared" si="8"/>
        <v/>
      </c>
      <c r="AB1026" s="60" t="str">
        <f t="shared" si="9"/>
        <v/>
      </c>
      <c r="AC1026" s="30" t="str">
        <f t="shared" ref="AC1026:AD1026" si="1382">IF(_xlfn.ISFORMULA(S1026),IFERROR(0/0,""),TRUE)</f>
        <v/>
      </c>
      <c r="AD1026" s="30" t="str">
        <f t="shared" si="1382"/>
        <v/>
      </c>
      <c r="AE1026" s="475" t="str">
        <f>IFERROR(__xludf.DUMMYFUNCTION("""COMPUTED_VALUE"""),"CRLN")</f>
        <v>CRLN</v>
      </c>
      <c r="AF1026" s="476"/>
      <c r="AG1026" s="474" t="s">
        <v>198</v>
      </c>
      <c r="AH1026" s="138" t="str">
        <f t="shared" si="11"/>
        <v/>
      </c>
    </row>
    <row r="1027">
      <c r="A1027" s="103" t="str">
        <f>IFERROR(__xludf.DUMMYFUNCTION("""COMPUTED_VALUE"""),"FLB4782")</f>
        <v>FLB4782</v>
      </c>
      <c r="B1027" s="468">
        <f>IFERROR(__xludf.DUMMYFUNCTION("""COMPUTED_VALUE"""),44662.0)</f>
        <v>44662</v>
      </c>
      <c r="C1027" s="469">
        <f>IFERROR(__xludf.DUMMYFUNCTION("""COMPUTED_VALUE"""),0.35377314814814814)</f>
        <v>0.3537731481</v>
      </c>
      <c r="D1027" s="103" t="str">
        <f>IFERROR(__xludf.DUMMYFUNCTION("""COMPUTED_VALUE"""),"SpFLMP600756")</f>
        <v>SpFLMP600756</v>
      </c>
      <c r="E1027" s="103"/>
      <c r="F1027" s="103"/>
      <c r="G1027" s="103" t="str">
        <f>IFERROR(__xludf.DUMMYFUNCTION("""COMPUTED_VALUE"""),"Negative")</f>
        <v>Negative</v>
      </c>
      <c r="H1027" s="131" t="str">
        <f>IFERROR(__xludf.DUMMYFUNCTION("""COMPUTED_VALUE"""),"Negative")</f>
        <v>Negative</v>
      </c>
      <c r="I1027" s="468">
        <f>IFERROR(__xludf.DUMMYFUNCTION("""COMPUTED_VALUE"""),44662.0)</f>
        <v>44662</v>
      </c>
      <c r="J1027" s="470">
        <f>IFERROR(__xludf.DUMMYFUNCTION("""COMPUTED_VALUE"""),0.4590740740740741)</f>
        <v>0.4590740741</v>
      </c>
      <c r="K1027" s="16"/>
      <c r="L1027" s="8"/>
      <c r="M1027" s="69"/>
      <c r="N1027" s="69">
        <f>IFERROR(__xludf.DUMMYFUNCTION("""COMPUTED_VALUE"""),2.0)</f>
        <v>2</v>
      </c>
      <c r="O1027" s="69" t="str">
        <f t="shared" si="3"/>
        <v/>
      </c>
      <c r="P1027" s="471">
        <f>IFERROR(__xludf.DUMMYFUNCTION("""COMPUTED_VALUE"""),0.0)</f>
        <v>0</v>
      </c>
      <c r="Q1027" s="274" t="str">
        <f>VLOOKUP($B1027,'Run Reconcile'!B$2:O2488,14,FALSE)</f>
        <v/>
      </c>
      <c r="R1027" s="472" t="str">
        <f t="array" ref="R1027">IF($Q1027, INDEX('Run Reconcile'!A$2:A2488,MATCH(B1027,'Run Reconcile'!B$2:B2488,0),1),IFERROR(0/0,""))</f>
        <v/>
      </c>
      <c r="S1027" s="473" t="str">
        <f t="shared" si="694"/>
        <v/>
      </c>
      <c r="T1027" s="473" t="str">
        <f t="shared" si="698"/>
        <v/>
      </c>
      <c r="U1027" s="275" t="str">
        <f t="array" ref="U1027">IF(ISBLANK($R1027), INDEX('Run Reconcile'!A$2:A2488, MATCH($B1027, 'Run Reconcile'!B$2:B2488, 0)+Z1027, 1), IFERROR(0/0,""))
</f>
        <v>RUN-FLMP_2022-04-11_RFR-109</v>
      </c>
      <c r="V1027" s="474" t="str">
        <f t="shared" si="5"/>
        <v>RUN-FLMP_2022-04-11_RFR-109</v>
      </c>
      <c r="Y1027" s="89" t="str">
        <f t="shared" si="867"/>
        <v/>
      </c>
      <c r="Z1027" s="60" t="str">
        <f t="shared" si="7"/>
        <v/>
      </c>
      <c r="AA1027" s="60" t="str">
        <f t="shared" si="8"/>
        <v/>
      </c>
      <c r="AB1027" s="60" t="str">
        <f t="shared" si="9"/>
        <v/>
      </c>
      <c r="AC1027" s="30" t="str">
        <f t="shared" ref="AC1027:AD1027" si="1383">IF(_xlfn.ISFORMULA(S1027),IFERROR(0/0,""),TRUE)</f>
        <v/>
      </c>
      <c r="AD1027" s="30" t="str">
        <f t="shared" si="1383"/>
        <v/>
      </c>
      <c r="AE1027" s="475" t="str">
        <f>IFERROR(__xludf.DUMMYFUNCTION("""COMPUTED_VALUE"""),"CRLN")</f>
        <v>CRLN</v>
      </c>
      <c r="AF1027" s="476"/>
      <c r="AG1027" s="474" t="s">
        <v>198</v>
      </c>
      <c r="AH1027" s="138" t="str">
        <f t="shared" si="11"/>
        <v/>
      </c>
    </row>
    <row r="1028">
      <c r="A1028" s="103" t="str">
        <f>IFERROR(__xludf.DUMMYFUNCTION("""COMPUTED_VALUE"""),"FLB6540")</f>
        <v>FLB6540</v>
      </c>
      <c r="B1028" s="468">
        <f>IFERROR(__xludf.DUMMYFUNCTION("""COMPUTED_VALUE"""),44662.0)</f>
        <v>44662</v>
      </c>
      <c r="C1028" s="469">
        <f>IFERROR(__xludf.DUMMYFUNCTION("""COMPUTED_VALUE"""),0.35497685185185185)</f>
        <v>0.3549768519</v>
      </c>
      <c r="D1028" s="103" t="str">
        <f>IFERROR(__xludf.DUMMYFUNCTION("""COMPUTED_VALUE"""),"SpFLMP259015")</f>
        <v>SpFLMP259015</v>
      </c>
      <c r="E1028" s="103"/>
      <c r="F1028" s="103"/>
      <c r="G1028" s="103" t="str">
        <f>IFERROR(__xludf.DUMMYFUNCTION("""COMPUTED_VALUE"""),"Negative")</f>
        <v>Negative</v>
      </c>
      <c r="H1028" s="131" t="str">
        <f>IFERROR(__xludf.DUMMYFUNCTION("""COMPUTED_VALUE"""),"Negative")</f>
        <v>Negative</v>
      </c>
      <c r="I1028" s="468">
        <f>IFERROR(__xludf.DUMMYFUNCTION("""COMPUTED_VALUE"""),44662.0)</f>
        <v>44662</v>
      </c>
      <c r="J1028" s="470">
        <f>IFERROR(__xludf.DUMMYFUNCTION("""COMPUTED_VALUE"""),0.43756944444444446)</f>
        <v>0.4375694444</v>
      </c>
      <c r="K1028" s="16"/>
      <c r="L1028" s="8"/>
      <c r="M1028" s="69"/>
      <c r="N1028" s="69">
        <f>IFERROR(__xludf.DUMMYFUNCTION("""COMPUTED_VALUE"""),3.0)</f>
        <v>3</v>
      </c>
      <c r="O1028" s="69" t="str">
        <f t="shared" si="3"/>
        <v/>
      </c>
      <c r="P1028" s="471">
        <f>IFERROR(__xludf.DUMMYFUNCTION("""COMPUTED_VALUE"""),0.0)</f>
        <v>0</v>
      </c>
      <c r="Q1028" s="274" t="str">
        <f>VLOOKUP($B1028,'Run Reconcile'!B$2:O2488,14,FALSE)</f>
        <v/>
      </c>
      <c r="R1028" s="472" t="str">
        <f t="array" ref="R1028">IF($Q1028, INDEX('Run Reconcile'!A$2:A2488,MATCH(B1028,'Run Reconcile'!B$2:B2488,0),1),IFERROR(0/0,""))</f>
        <v/>
      </c>
      <c r="S1028" s="473" t="str">
        <f t="shared" si="694"/>
        <v/>
      </c>
      <c r="T1028" s="473" t="str">
        <f t="shared" si="698"/>
        <v/>
      </c>
      <c r="U1028" s="275" t="str">
        <f t="array" ref="U1028">IF(ISBLANK($R1028), INDEX('Run Reconcile'!A$2:A2488, MATCH($B1028, 'Run Reconcile'!B$2:B2488, 0)+Z1028, 1), IFERROR(0/0,""))
</f>
        <v>RUN-FLMP_2022-04-11_RFR-109</v>
      </c>
      <c r="V1028" s="474" t="str">
        <f t="shared" si="5"/>
        <v>RUN-FLMP_2022-04-11_RFR-109</v>
      </c>
      <c r="Y1028" s="89" t="str">
        <f t="shared" si="867"/>
        <v/>
      </c>
      <c r="Z1028" s="60" t="str">
        <f t="shared" si="7"/>
        <v/>
      </c>
      <c r="AA1028" s="60" t="str">
        <f t="shared" si="8"/>
        <v/>
      </c>
      <c r="AB1028" s="60" t="str">
        <f t="shared" si="9"/>
        <v/>
      </c>
      <c r="AC1028" s="30" t="str">
        <f t="shared" ref="AC1028:AD1028" si="1384">IF(_xlfn.ISFORMULA(S1028),IFERROR(0/0,""),TRUE)</f>
        <v/>
      </c>
      <c r="AD1028" s="30" t="str">
        <f t="shared" si="1384"/>
        <v/>
      </c>
      <c r="AE1028" s="475" t="str">
        <f>IFERROR(__xludf.DUMMYFUNCTION("""COMPUTED_VALUE"""),"CRLN")</f>
        <v>CRLN</v>
      </c>
      <c r="AF1028" s="476"/>
      <c r="AG1028" s="474" t="s">
        <v>198</v>
      </c>
      <c r="AH1028" s="138" t="str">
        <f t="shared" si="11"/>
        <v/>
      </c>
    </row>
    <row r="1029">
      <c r="A1029" s="103" t="str">
        <f>IFERROR(__xludf.DUMMYFUNCTION("""COMPUTED_VALUE"""),"FLE823")</f>
        <v>FLE823</v>
      </c>
      <c r="B1029" s="468">
        <f>IFERROR(__xludf.DUMMYFUNCTION("""COMPUTED_VALUE"""),44662.0)</f>
        <v>44662</v>
      </c>
      <c r="C1029" s="469">
        <f>IFERROR(__xludf.DUMMYFUNCTION("""COMPUTED_VALUE"""),0.355462962962963)</f>
        <v>0.355462963</v>
      </c>
      <c r="D1029" s="103" t="str">
        <f>IFERROR(__xludf.DUMMYFUNCTION("""COMPUTED_VALUE"""),"SpFLMP309785")</f>
        <v>SpFLMP309785</v>
      </c>
      <c r="E1029" s="103"/>
      <c r="F1029" s="103"/>
      <c r="G1029" s="103" t="str">
        <f>IFERROR(__xludf.DUMMYFUNCTION("""COMPUTED_VALUE"""),"Negative")</f>
        <v>Negative</v>
      </c>
      <c r="H1029" s="131" t="str">
        <f>IFERROR(__xludf.DUMMYFUNCTION("""COMPUTED_VALUE"""),"Negative")</f>
        <v>Negative</v>
      </c>
      <c r="I1029" s="468">
        <f>IFERROR(__xludf.DUMMYFUNCTION("""COMPUTED_VALUE"""),44662.0)</f>
        <v>44662</v>
      </c>
      <c r="J1029" s="470">
        <f>IFERROR(__xludf.DUMMYFUNCTION("""COMPUTED_VALUE"""),0.43756944444444446)</f>
        <v>0.4375694444</v>
      </c>
      <c r="K1029" s="16"/>
      <c r="L1029" s="8"/>
      <c r="M1029" s="69"/>
      <c r="N1029" s="69">
        <f>IFERROR(__xludf.DUMMYFUNCTION("""COMPUTED_VALUE"""),4.0)</f>
        <v>4</v>
      </c>
      <c r="O1029" s="69" t="str">
        <f t="shared" si="3"/>
        <v/>
      </c>
      <c r="P1029" s="471">
        <f>IFERROR(__xludf.DUMMYFUNCTION("""COMPUTED_VALUE"""),0.0)</f>
        <v>0</v>
      </c>
      <c r="Q1029" s="274" t="str">
        <f>VLOOKUP($B1029,'Run Reconcile'!B$2:O2488,14,FALSE)</f>
        <v/>
      </c>
      <c r="R1029" s="472" t="str">
        <f t="array" ref="R1029">IF($Q1029, INDEX('Run Reconcile'!A$2:A2488,MATCH(B1029,'Run Reconcile'!B$2:B2488,0),1),IFERROR(0/0,""))</f>
        <v/>
      </c>
      <c r="S1029" s="473" t="str">
        <f t="shared" si="694"/>
        <v/>
      </c>
      <c r="T1029" s="473" t="str">
        <f t="shared" si="698"/>
        <v/>
      </c>
      <c r="U1029" s="275" t="str">
        <f t="array" ref="U1029">IF(ISBLANK($R1029), INDEX('Run Reconcile'!A$2:A2488, MATCH($B1029, 'Run Reconcile'!B$2:B2488, 0)+Z1029, 1), IFERROR(0/0,""))
</f>
        <v>RUN-FLMP_2022-04-11_RFR-109</v>
      </c>
      <c r="V1029" s="474" t="str">
        <f t="shared" si="5"/>
        <v>RUN-FLMP_2022-04-11_RFR-109</v>
      </c>
      <c r="Y1029" s="89" t="str">
        <f t="shared" si="867"/>
        <v/>
      </c>
      <c r="Z1029" s="60" t="str">
        <f t="shared" si="7"/>
        <v/>
      </c>
      <c r="AA1029" s="60" t="str">
        <f t="shared" si="8"/>
        <v/>
      </c>
      <c r="AB1029" s="60" t="str">
        <f t="shared" si="9"/>
        <v/>
      </c>
      <c r="AC1029" s="30" t="str">
        <f t="shared" ref="AC1029:AD1029" si="1385">IF(_xlfn.ISFORMULA(S1029),IFERROR(0/0,""),TRUE)</f>
        <v/>
      </c>
      <c r="AD1029" s="30" t="str">
        <f t="shared" si="1385"/>
        <v/>
      </c>
      <c r="AE1029" s="475" t="str">
        <f>IFERROR(__xludf.DUMMYFUNCTION("""COMPUTED_VALUE"""),"CRLN")</f>
        <v>CRLN</v>
      </c>
      <c r="AF1029" s="476"/>
      <c r="AG1029" s="474" t="s">
        <v>198</v>
      </c>
      <c r="AH1029" s="138" t="str">
        <f t="shared" si="11"/>
        <v/>
      </c>
    </row>
    <row r="1030">
      <c r="A1030" s="103" t="str">
        <f>IFERROR(__xludf.DUMMYFUNCTION("""COMPUTED_VALUE"""),"FLB6793")</f>
        <v>FLB6793</v>
      </c>
      <c r="B1030" s="468">
        <f>IFERROR(__xludf.DUMMYFUNCTION("""COMPUTED_VALUE"""),44662.0)</f>
        <v>44662</v>
      </c>
      <c r="C1030" s="469">
        <f>IFERROR(__xludf.DUMMYFUNCTION("""COMPUTED_VALUE"""),0.3554861111111111)</f>
        <v>0.3554861111</v>
      </c>
      <c r="D1030" s="103" t="str">
        <f>IFERROR(__xludf.DUMMYFUNCTION("""COMPUTED_VALUE"""),"SpFLMP259015")</f>
        <v>SpFLMP259015</v>
      </c>
      <c r="E1030" s="103"/>
      <c r="F1030" s="103"/>
      <c r="G1030" s="103" t="str">
        <f>IFERROR(__xludf.DUMMYFUNCTION("""COMPUTED_VALUE"""),"Negative")</f>
        <v>Negative</v>
      </c>
      <c r="H1030" s="131" t="str">
        <f>IFERROR(__xludf.DUMMYFUNCTION("""COMPUTED_VALUE"""),"Negative")</f>
        <v>Negative</v>
      </c>
      <c r="I1030" s="468">
        <f>IFERROR(__xludf.DUMMYFUNCTION("""COMPUTED_VALUE"""),44662.0)</f>
        <v>44662</v>
      </c>
      <c r="J1030" s="470">
        <f>IFERROR(__xludf.DUMMYFUNCTION("""COMPUTED_VALUE"""),0.4590740740740741)</f>
        <v>0.4590740741</v>
      </c>
      <c r="K1030" s="16"/>
      <c r="L1030" s="8"/>
      <c r="M1030" s="69"/>
      <c r="N1030" s="69">
        <f>IFERROR(__xludf.DUMMYFUNCTION("""COMPUTED_VALUE"""),3.0)</f>
        <v>3</v>
      </c>
      <c r="O1030" s="69" t="str">
        <f t="shared" si="3"/>
        <v/>
      </c>
      <c r="P1030" s="471">
        <f>IFERROR(__xludf.DUMMYFUNCTION("""COMPUTED_VALUE"""),0.0)</f>
        <v>0</v>
      </c>
      <c r="Q1030" s="274" t="str">
        <f>VLOOKUP($B1030,'Run Reconcile'!B$2:O2488,14,FALSE)</f>
        <v/>
      </c>
      <c r="R1030" s="472" t="str">
        <f t="array" ref="R1030">IF($Q1030, INDEX('Run Reconcile'!A$2:A2488,MATCH(B1030,'Run Reconcile'!B$2:B2488,0),1),IFERROR(0/0,""))</f>
        <v/>
      </c>
      <c r="S1030" s="473" t="str">
        <f t="shared" si="694"/>
        <v/>
      </c>
      <c r="T1030" s="473" t="str">
        <f t="shared" si="698"/>
        <v/>
      </c>
      <c r="U1030" s="275" t="str">
        <f t="array" ref="U1030">IF(ISBLANK($R1030), INDEX('Run Reconcile'!A$2:A2488, MATCH($B1030, 'Run Reconcile'!B$2:B2488, 0)+Z1030, 1), IFERROR(0/0,""))
</f>
        <v>RUN-FLMP_2022-04-11_RFR-109</v>
      </c>
      <c r="V1030" s="474" t="str">
        <f t="shared" si="5"/>
        <v>RUN-FLMP_2022-04-11_RFR-109</v>
      </c>
      <c r="Y1030" s="89" t="str">
        <f t="shared" si="867"/>
        <v/>
      </c>
      <c r="Z1030" s="60" t="str">
        <f t="shared" si="7"/>
        <v/>
      </c>
      <c r="AA1030" s="60" t="str">
        <f t="shared" si="8"/>
        <v/>
      </c>
      <c r="AB1030" s="60" t="str">
        <f t="shared" si="9"/>
        <v/>
      </c>
      <c r="AC1030" s="30" t="str">
        <f t="shared" ref="AC1030:AD1030" si="1386">IF(_xlfn.ISFORMULA(S1030),IFERROR(0/0,""),TRUE)</f>
        <v/>
      </c>
      <c r="AD1030" s="30" t="str">
        <f t="shared" si="1386"/>
        <v/>
      </c>
      <c r="AE1030" s="475" t="str">
        <f>IFERROR(__xludf.DUMMYFUNCTION("""COMPUTED_VALUE"""),"CRLN")</f>
        <v>CRLN</v>
      </c>
      <c r="AF1030" s="476"/>
      <c r="AG1030" s="474" t="s">
        <v>198</v>
      </c>
      <c r="AH1030" s="138" t="str">
        <f t="shared" si="11"/>
        <v/>
      </c>
    </row>
    <row r="1031">
      <c r="A1031" s="103" t="str">
        <f>IFERROR(__xludf.DUMMYFUNCTION("""COMPUTED_VALUE"""),"FLE317")</f>
        <v>FLE317</v>
      </c>
      <c r="B1031" s="468">
        <f>IFERROR(__xludf.DUMMYFUNCTION("""COMPUTED_VALUE"""),44662.0)</f>
        <v>44662</v>
      </c>
      <c r="C1031" s="469">
        <f>IFERROR(__xludf.DUMMYFUNCTION("""COMPUTED_VALUE"""),0.3563310185185185)</f>
        <v>0.3563310185</v>
      </c>
      <c r="D1031" s="103" t="str">
        <f>IFERROR(__xludf.DUMMYFUNCTION("""COMPUTED_VALUE"""),"SpFLMP684798")</f>
        <v>SpFLMP684798</v>
      </c>
      <c r="E1031" s="103"/>
      <c r="F1031" s="103"/>
      <c r="G1031" s="103" t="str">
        <f>IFERROR(__xludf.DUMMYFUNCTION("""COMPUTED_VALUE"""),"Negative")</f>
        <v>Negative</v>
      </c>
      <c r="H1031" s="131" t="str">
        <f>IFERROR(__xludf.DUMMYFUNCTION("""COMPUTED_VALUE"""),"Negative")</f>
        <v>Negative</v>
      </c>
      <c r="I1031" s="468">
        <f>IFERROR(__xludf.DUMMYFUNCTION("""COMPUTED_VALUE"""),44662.0)</f>
        <v>44662</v>
      </c>
      <c r="J1031" s="470">
        <f>IFERROR(__xludf.DUMMYFUNCTION("""COMPUTED_VALUE"""),0.43756944444444446)</f>
        <v>0.4375694444</v>
      </c>
      <c r="K1031" s="16"/>
      <c r="L1031" s="8"/>
      <c r="M1031" s="69"/>
      <c r="N1031" s="69">
        <f>IFERROR(__xludf.DUMMYFUNCTION("""COMPUTED_VALUE"""),4.0)</f>
        <v>4</v>
      </c>
      <c r="O1031" s="69" t="str">
        <f t="shared" si="3"/>
        <v/>
      </c>
      <c r="P1031" s="471">
        <f>IFERROR(__xludf.DUMMYFUNCTION("""COMPUTED_VALUE"""),0.0)</f>
        <v>0</v>
      </c>
      <c r="Q1031" s="274" t="str">
        <f>VLOOKUP($B1031,'Run Reconcile'!B$2:O2488,14,FALSE)</f>
        <v/>
      </c>
      <c r="R1031" s="472" t="str">
        <f t="array" ref="R1031">IF($Q1031, INDEX('Run Reconcile'!A$2:A2488,MATCH(B1031,'Run Reconcile'!B$2:B2488,0),1),IFERROR(0/0,""))</f>
        <v/>
      </c>
      <c r="S1031" s="473" t="str">
        <f t="shared" si="694"/>
        <v/>
      </c>
      <c r="T1031" s="473" t="str">
        <f t="shared" si="698"/>
        <v/>
      </c>
      <c r="U1031" s="275" t="str">
        <f t="array" ref="U1031">IF(ISBLANK($R1031), INDEX('Run Reconcile'!A$2:A2488, MATCH($B1031, 'Run Reconcile'!B$2:B2488, 0)+Z1031, 1), IFERROR(0/0,""))
</f>
        <v>RUN-FLMP_2022-04-11_RFR-109</v>
      </c>
      <c r="V1031" s="474" t="str">
        <f t="shared" si="5"/>
        <v>RUN-FLMP_2022-04-11_RFR-109</v>
      </c>
      <c r="Y1031" s="89" t="str">
        <f t="shared" si="867"/>
        <v/>
      </c>
      <c r="Z1031" s="60" t="str">
        <f t="shared" si="7"/>
        <v/>
      </c>
      <c r="AA1031" s="60" t="str">
        <f t="shared" si="8"/>
        <v/>
      </c>
      <c r="AB1031" s="60" t="str">
        <f t="shared" si="9"/>
        <v/>
      </c>
      <c r="AC1031" s="30" t="str">
        <f t="shared" ref="AC1031:AD1031" si="1387">IF(_xlfn.ISFORMULA(S1031),IFERROR(0/0,""),TRUE)</f>
        <v/>
      </c>
      <c r="AD1031" s="30" t="str">
        <f t="shared" si="1387"/>
        <v/>
      </c>
      <c r="AE1031" s="475" t="str">
        <f>IFERROR(__xludf.DUMMYFUNCTION("""COMPUTED_VALUE"""),"CRLN")</f>
        <v>CRLN</v>
      </c>
      <c r="AF1031" s="476"/>
      <c r="AG1031" s="474" t="s">
        <v>198</v>
      </c>
      <c r="AH1031" s="138" t="str">
        <f t="shared" si="11"/>
        <v/>
      </c>
    </row>
    <row r="1032">
      <c r="A1032" s="103" t="str">
        <f>IFERROR(__xludf.DUMMYFUNCTION("""COMPUTED_VALUE"""),"FLB4949")</f>
        <v>FLB4949</v>
      </c>
      <c r="B1032" s="468">
        <f>IFERROR(__xludf.DUMMYFUNCTION("""COMPUTED_VALUE"""),44662.0)</f>
        <v>44662</v>
      </c>
      <c r="C1032" s="469">
        <f>IFERROR(__xludf.DUMMYFUNCTION("""COMPUTED_VALUE"""),0.36135416666666664)</f>
        <v>0.3613541667</v>
      </c>
      <c r="D1032" s="103" t="str">
        <f>IFERROR(__xludf.DUMMYFUNCTION("""COMPUTED_VALUE"""),"SpFLMP939619")</f>
        <v>SpFLMP939619</v>
      </c>
      <c r="E1032" s="103"/>
      <c r="F1032" s="103"/>
      <c r="G1032" s="103" t="str">
        <f>IFERROR(__xludf.DUMMYFUNCTION("""COMPUTED_VALUE"""),"Negative")</f>
        <v>Negative</v>
      </c>
      <c r="H1032" s="131" t="str">
        <f>IFERROR(__xludf.DUMMYFUNCTION("""COMPUTED_VALUE"""),"Negative")</f>
        <v>Negative</v>
      </c>
      <c r="I1032" s="468">
        <f>IFERROR(__xludf.DUMMYFUNCTION("""COMPUTED_VALUE"""),44662.0)</f>
        <v>44662</v>
      </c>
      <c r="J1032" s="470">
        <f>IFERROR(__xludf.DUMMYFUNCTION("""COMPUTED_VALUE"""),0.43756944444444446)</f>
        <v>0.4375694444</v>
      </c>
      <c r="K1032" s="16"/>
      <c r="L1032" s="8"/>
      <c r="M1032" s="69"/>
      <c r="N1032" s="69">
        <f>IFERROR(__xludf.DUMMYFUNCTION("""COMPUTED_VALUE"""),1.0)</f>
        <v>1</v>
      </c>
      <c r="O1032" s="69" t="str">
        <f t="shared" si="3"/>
        <v/>
      </c>
      <c r="P1032" s="471">
        <f>IFERROR(__xludf.DUMMYFUNCTION("""COMPUTED_VALUE"""),0.0)</f>
        <v>0</v>
      </c>
      <c r="Q1032" s="274" t="str">
        <f>VLOOKUP($B1032,'Run Reconcile'!B$2:O2488,14,FALSE)</f>
        <v/>
      </c>
      <c r="R1032" s="472" t="str">
        <f t="array" ref="R1032">IF($Q1032, INDEX('Run Reconcile'!A$2:A2488,MATCH(B1032,'Run Reconcile'!B$2:B2488,0),1),IFERROR(0/0,""))</f>
        <v/>
      </c>
      <c r="S1032" s="473" t="str">
        <f t="shared" si="694"/>
        <v/>
      </c>
      <c r="T1032" s="473" t="str">
        <f t="shared" si="698"/>
        <v/>
      </c>
      <c r="U1032" s="275" t="str">
        <f t="array" ref="U1032">IF(ISBLANK($R1032), INDEX('Run Reconcile'!A$2:A2488, MATCH($B1032, 'Run Reconcile'!B$2:B2488, 0)+Z1032, 1), IFERROR(0/0,""))
</f>
        <v>RUN-FLMP_2022-04-11_RFR-109</v>
      </c>
      <c r="V1032" s="474" t="str">
        <f t="shared" si="5"/>
        <v>RUN-FLMP_2022-04-11_RFR-109</v>
      </c>
      <c r="Y1032" s="89" t="str">
        <f t="shared" si="867"/>
        <v/>
      </c>
      <c r="Z1032" s="60" t="str">
        <f t="shared" si="7"/>
        <v/>
      </c>
      <c r="AA1032" s="60" t="str">
        <f t="shared" si="8"/>
        <v/>
      </c>
      <c r="AB1032" s="60" t="str">
        <f t="shared" si="9"/>
        <v/>
      </c>
      <c r="AC1032" s="30" t="str">
        <f t="shared" ref="AC1032:AD1032" si="1388">IF(_xlfn.ISFORMULA(S1032),IFERROR(0/0,""),TRUE)</f>
        <v/>
      </c>
      <c r="AD1032" s="30" t="str">
        <f t="shared" si="1388"/>
        <v/>
      </c>
      <c r="AE1032" s="475" t="str">
        <f>IFERROR(__xludf.DUMMYFUNCTION("""COMPUTED_VALUE"""),"CRLN")</f>
        <v>CRLN</v>
      </c>
      <c r="AF1032" s="476"/>
      <c r="AG1032" s="474" t="s">
        <v>198</v>
      </c>
      <c r="AH1032" s="138" t="str">
        <f t="shared" si="11"/>
        <v/>
      </c>
    </row>
    <row r="1033">
      <c r="A1033" s="103" t="str">
        <f>IFERROR(__xludf.DUMMYFUNCTION("""COMPUTED_VALUE"""),"FLE935")</f>
        <v>FLE935</v>
      </c>
      <c r="B1033" s="468">
        <f>IFERROR(__xludf.DUMMYFUNCTION("""COMPUTED_VALUE"""),44662.0)</f>
        <v>44662</v>
      </c>
      <c r="C1033" s="469">
        <f>IFERROR(__xludf.DUMMYFUNCTION("""COMPUTED_VALUE"""),0.3645717592592593)</f>
        <v>0.3645717593</v>
      </c>
      <c r="D1033" s="103" t="str">
        <f>IFERROR(__xludf.DUMMYFUNCTION("""COMPUTED_VALUE"""),"SpFLMP946259")</f>
        <v>SpFLMP946259</v>
      </c>
      <c r="E1033" s="103"/>
      <c r="F1033" s="103"/>
      <c r="G1033" s="103" t="str">
        <f>IFERROR(__xludf.DUMMYFUNCTION("""COMPUTED_VALUE"""),"Negative")</f>
        <v>Negative</v>
      </c>
      <c r="H1033" s="131" t="str">
        <f>IFERROR(__xludf.DUMMYFUNCTION("""COMPUTED_VALUE"""),"Negative")</f>
        <v>Negative</v>
      </c>
      <c r="I1033" s="468">
        <f>IFERROR(__xludf.DUMMYFUNCTION("""COMPUTED_VALUE"""),44662.0)</f>
        <v>44662</v>
      </c>
      <c r="J1033" s="470">
        <f>IFERROR(__xludf.DUMMYFUNCTION("""COMPUTED_VALUE"""),0.4375810185185185)</f>
        <v>0.4375810185</v>
      </c>
      <c r="K1033" s="16"/>
      <c r="L1033" s="8"/>
      <c r="M1033" s="69"/>
      <c r="N1033" s="69">
        <f>IFERROR(__xludf.DUMMYFUNCTION("""COMPUTED_VALUE"""),2.0)</f>
        <v>2</v>
      </c>
      <c r="O1033" s="69" t="str">
        <f t="shared" si="3"/>
        <v/>
      </c>
      <c r="P1033" s="471">
        <f>IFERROR(__xludf.DUMMYFUNCTION("""COMPUTED_VALUE"""),0.0)</f>
        <v>0</v>
      </c>
      <c r="Q1033" s="274" t="str">
        <f>VLOOKUP($B1033,'Run Reconcile'!B$2:O2488,14,FALSE)</f>
        <v/>
      </c>
      <c r="R1033" s="472" t="str">
        <f t="array" ref="R1033">IF($Q1033, INDEX('Run Reconcile'!A$2:A2488,MATCH(B1033,'Run Reconcile'!B$2:B2488,0),1),IFERROR(0/0,""))</f>
        <v/>
      </c>
      <c r="S1033" s="473" t="str">
        <f t="shared" si="694"/>
        <v/>
      </c>
      <c r="T1033" s="473" t="str">
        <f t="shared" si="698"/>
        <v/>
      </c>
      <c r="U1033" s="275" t="str">
        <f t="array" ref="U1033">IF(ISBLANK($R1033), INDEX('Run Reconcile'!A$2:A2488, MATCH($B1033, 'Run Reconcile'!B$2:B2488, 0)+Z1033, 1), IFERROR(0/0,""))
</f>
        <v>RUN-FLMP_2022-04-11_RFR-109</v>
      </c>
      <c r="V1033" s="474" t="str">
        <f t="shared" si="5"/>
        <v>RUN-FLMP_2022-04-11_RFR-109</v>
      </c>
      <c r="Y1033" s="89" t="str">
        <f t="shared" si="867"/>
        <v/>
      </c>
      <c r="Z1033" s="60" t="str">
        <f t="shared" si="7"/>
        <v/>
      </c>
      <c r="AA1033" s="60" t="str">
        <f t="shared" si="8"/>
        <v/>
      </c>
      <c r="AB1033" s="60" t="str">
        <f t="shared" si="9"/>
        <v/>
      </c>
      <c r="AC1033" s="30" t="str">
        <f t="shared" ref="AC1033:AD1033" si="1389">IF(_xlfn.ISFORMULA(S1033),IFERROR(0/0,""),TRUE)</f>
        <v/>
      </c>
      <c r="AD1033" s="30" t="str">
        <f t="shared" si="1389"/>
        <v/>
      </c>
      <c r="AE1033" s="475" t="str">
        <f>IFERROR(__xludf.DUMMYFUNCTION("""COMPUTED_VALUE"""),"CRLN")</f>
        <v>CRLN</v>
      </c>
      <c r="AF1033" s="476"/>
      <c r="AG1033" s="474" t="s">
        <v>198</v>
      </c>
      <c r="AH1033" s="138" t="str">
        <f t="shared" si="11"/>
        <v/>
      </c>
    </row>
    <row r="1034">
      <c r="A1034" s="103" t="str">
        <f>IFERROR(__xludf.DUMMYFUNCTION("""COMPUTED_VALUE"""),"FLB5869")</f>
        <v>FLB5869</v>
      </c>
      <c r="B1034" s="468">
        <f>IFERROR(__xludf.DUMMYFUNCTION("""COMPUTED_VALUE"""),44662.0)</f>
        <v>44662</v>
      </c>
      <c r="C1034" s="469">
        <f>IFERROR(__xludf.DUMMYFUNCTION("""COMPUTED_VALUE"""),0.3653472222222222)</f>
        <v>0.3653472222</v>
      </c>
      <c r="D1034" s="103" t="str">
        <f>IFERROR(__xludf.DUMMYFUNCTION("""COMPUTED_VALUE"""),"SpFLMP572444")</f>
        <v>SpFLMP572444</v>
      </c>
      <c r="E1034" s="103"/>
      <c r="F1034" s="103"/>
      <c r="G1034" s="103" t="str">
        <f>IFERROR(__xludf.DUMMYFUNCTION("""COMPUTED_VALUE"""),"Negative")</f>
        <v>Negative</v>
      </c>
      <c r="H1034" s="131" t="str">
        <f>IFERROR(__xludf.DUMMYFUNCTION("""COMPUTED_VALUE"""),"Negative")</f>
        <v>Negative</v>
      </c>
      <c r="I1034" s="468">
        <f>IFERROR(__xludf.DUMMYFUNCTION("""COMPUTED_VALUE"""),44662.0)</f>
        <v>44662</v>
      </c>
      <c r="J1034" s="470">
        <f>IFERROR(__xludf.DUMMYFUNCTION("""COMPUTED_VALUE"""),0.4375810185185185)</f>
        <v>0.4375810185</v>
      </c>
      <c r="K1034" s="16"/>
      <c r="L1034" s="8"/>
      <c r="M1034" s="69"/>
      <c r="N1034" s="69">
        <f>IFERROR(__xludf.DUMMYFUNCTION("""COMPUTED_VALUE"""),2.0)</f>
        <v>2</v>
      </c>
      <c r="O1034" s="69" t="str">
        <f t="shared" si="3"/>
        <v/>
      </c>
      <c r="P1034" s="471">
        <f>IFERROR(__xludf.DUMMYFUNCTION("""COMPUTED_VALUE"""),0.0)</f>
        <v>0</v>
      </c>
      <c r="Q1034" s="274" t="str">
        <f>VLOOKUP($B1034,'Run Reconcile'!B$2:O2488,14,FALSE)</f>
        <v/>
      </c>
      <c r="R1034" s="472" t="str">
        <f t="array" ref="R1034">IF($Q1034, INDEX('Run Reconcile'!A$2:A2488,MATCH(B1034,'Run Reconcile'!B$2:B2488,0),1),IFERROR(0/0,""))</f>
        <v/>
      </c>
      <c r="S1034" s="473" t="str">
        <f t="shared" si="694"/>
        <v/>
      </c>
      <c r="T1034" s="473" t="str">
        <f t="shared" si="698"/>
        <v/>
      </c>
      <c r="U1034" s="275" t="str">
        <f t="array" ref="U1034">IF(ISBLANK($R1034), INDEX('Run Reconcile'!A$2:A2488, MATCH($B1034, 'Run Reconcile'!B$2:B2488, 0)+Z1034, 1), IFERROR(0/0,""))
</f>
        <v>RUN-FLMP_2022-04-11_RFR-109</v>
      </c>
      <c r="V1034" s="474" t="str">
        <f t="shared" si="5"/>
        <v>RUN-FLMP_2022-04-11_RFR-109</v>
      </c>
      <c r="Y1034" s="89" t="str">
        <f t="shared" si="867"/>
        <v/>
      </c>
      <c r="Z1034" s="60" t="str">
        <f t="shared" si="7"/>
        <v/>
      </c>
      <c r="AA1034" s="60" t="str">
        <f t="shared" si="8"/>
        <v/>
      </c>
      <c r="AB1034" s="60" t="str">
        <f t="shared" si="9"/>
        <v/>
      </c>
      <c r="AC1034" s="30" t="str">
        <f t="shared" ref="AC1034:AD1034" si="1390">IF(_xlfn.ISFORMULA(S1034),IFERROR(0/0,""),TRUE)</f>
        <v/>
      </c>
      <c r="AD1034" s="30" t="str">
        <f t="shared" si="1390"/>
        <v/>
      </c>
      <c r="AE1034" s="475" t="str">
        <f>IFERROR(__xludf.DUMMYFUNCTION("""COMPUTED_VALUE"""),"CRLN")</f>
        <v>CRLN</v>
      </c>
      <c r="AF1034" s="476"/>
      <c r="AG1034" s="474" t="s">
        <v>198</v>
      </c>
      <c r="AH1034" s="138" t="str">
        <f t="shared" si="11"/>
        <v/>
      </c>
    </row>
    <row r="1035">
      <c r="A1035" s="103" t="str">
        <f>IFERROR(__xludf.DUMMYFUNCTION("""COMPUTED_VALUE"""),"FLB4919")</f>
        <v>FLB4919</v>
      </c>
      <c r="B1035" s="468">
        <f>IFERROR(__xludf.DUMMYFUNCTION("""COMPUTED_VALUE"""),44662.0)</f>
        <v>44662</v>
      </c>
      <c r="C1035" s="469">
        <f>IFERROR(__xludf.DUMMYFUNCTION("""COMPUTED_VALUE"""),0.36640046296296297)</f>
        <v>0.366400463</v>
      </c>
      <c r="D1035" s="103" t="str">
        <f>IFERROR(__xludf.DUMMYFUNCTION("""COMPUTED_VALUE"""),"SpFLMP496039")</f>
        <v>SpFLMP496039</v>
      </c>
      <c r="E1035" s="103"/>
      <c r="F1035" s="103"/>
      <c r="G1035" s="103" t="str">
        <f>IFERROR(__xludf.DUMMYFUNCTION("""COMPUTED_VALUE"""),"Negative")</f>
        <v>Negative</v>
      </c>
      <c r="H1035" s="131" t="str">
        <f>IFERROR(__xludf.DUMMYFUNCTION("""COMPUTED_VALUE"""),"Negative")</f>
        <v>Negative</v>
      </c>
      <c r="I1035" s="468">
        <f>IFERROR(__xludf.DUMMYFUNCTION("""COMPUTED_VALUE"""),44662.0)</f>
        <v>44662</v>
      </c>
      <c r="J1035" s="470">
        <f>IFERROR(__xludf.DUMMYFUNCTION("""COMPUTED_VALUE"""),0.4375810185185185)</f>
        <v>0.4375810185</v>
      </c>
      <c r="K1035" s="16"/>
      <c r="L1035" s="8"/>
      <c r="M1035" s="69"/>
      <c r="N1035" s="69">
        <f>IFERROR(__xludf.DUMMYFUNCTION("""COMPUTED_VALUE"""),1.0)</f>
        <v>1</v>
      </c>
      <c r="O1035" s="69" t="str">
        <f t="shared" si="3"/>
        <v/>
      </c>
      <c r="P1035" s="471">
        <f>IFERROR(__xludf.DUMMYFUNCTION("""COMPUTED_VALUE"""),0.0)</f>
        <v>0</v>
      </c>
      <c r="Q1035" s="274" t="str">
        <f>VLOOKUP($B1035,'Run Reconcile'!B$2:O2488,14,FALSE)</f>
        <v/>
      </c>
      <c r="R1035" s="472" t="str">
        <f t="array" ref="R1035">IF($Q1035, INDEX('Run Reconcile'!A$2:A2488,MATCH(B1035,'Run Reconcile'!B$2:B2488,0),1),IFERROR(0/0,""))</f>
        <v/>
      </c>
      <c r="S1035" s="473" t="str">
        <f t="shared" si="694"/>
        <v/>
      </c>
      <c r="T1035" s="473" t="str">
        <f t="shared" si="698"/>
        <v/>
      </c>
      <c r="U1035" s="275" t="str">
        <f t="array" ref="U1035">IF(ISBLANK($R1035), INDEX('Run Reconcile'!A$2:A2488, MATCH($B1035, 'Run Reconcile'!B$2:B2488, 0)+Z1035, 1), IFERROR(0/0,""))
</f>
        <v>RUN-FLMP_2022-04-11_RFR-109</v>
      </c>
      <c r="V1035" s="474" t="str">
        <f t="shared" si="5"/>
        <v>RUN-FLMP_2022-04-11_RFR-109</v>
      </c>
      <c r="Y1035" s="89" t="str">
        <f t="shared" si="867"/>
        <v/>
      </c>
      <c r="Z1035" s="60" t="str">
        <f t="shared" si="7"/>
        <v/>
      </c>
      <c r="AA1035" s="60" t="str">
        <f t="shared" si="8"/>
        <v/>
      </c>
      <c r="AB1035" s="60" t="str">
        <f t="shared" si="9"/>
        <v/>
      </c>
      <c r="AC1035" s="30" t="str">
        <f t="shared" ref="AC1035:AD1035" si="1391">IF(_xlfn.ISFORMULA(S1035),IFERROR(0/0,""),TRUE)</f>
        <v/>
      </c>
      <c r="AD1035" s="30" t="str">
        <f t="shared" si="1391"/>
        <v/>
      </c>
      <c r="AE1035" s="475" t="str">
        <f>IFERROR(__xludf.DUMMYFUNCTION("""COMPUTED_VALUE"""),"FLSP")</f>
        <v>FLSP</v>
      </c>
      <c r="AF1035" s="476"/>
      <c r="AG1035" s="474" t="s">
        <v>198</v>
      </c>
      <c r="AH1035" s="138" t="str">
        <f t="shared" si="11"/>
        <v/>
      </c>
    </row>
    <row r="1036">
      <c r="A1036" s="103" t="str">
        <f>IFERROR(__xludf.DUMMYFUNCTION("""COMPUTED_VALUE"""),"FLB7414")</f>
        <v>FLB7414</v>
      </c>
      <c r="B1036" s="468">
        <f>IFERROR(__xludf.DUMMYFUNCTION("""COMPUTED_VALUE"""),44662.0)</f>
        <v>44662</v>
      </c>
      <c r="C1036" s="469">
        <f>IFERROR(__xludf.DUMMYFUNCTION("""COMPUTED_VALUE"""),0.3672685185185185)</f>
        <v>0.3672685185</v>
      </c>
      <c r="D1036" s="103" t="str">
        <f>IFERROR(__xludf.DUMMYFUNCTION("""COMPUTED_VALUE"""),"SpFLMP470379")</f>
        <v>SpFLMP470379</v>
      </c>
      <c r="E1036" s="103"/>
      <c r="F1036" s="103"/>
      <c r="G1036" s="103" t="str">
        <f>IFERROR(__xludf.DUMMYFUNCTION("""COMPUTED_VALUE"""),"Negative")</f>
        <v>Negative</v>
      </c>
      <c r="H1036" s="131" t="str">
        <f>IFERROR(__xludf.DUMMYFUNCTION("""COMPUTED_VALUE"""),"Negative")</f>
        <v>Negative</v>
      </c>
      <c r="I1036" s="468">
        <f>IFERROR(__xludf.DUMMYFUNCTION("""COMPUTED_VALUE"""),44662.0)</f>
        <v>44662</v>
      </c>
      <c r="J1036" s="470">
        <f>IFERROR(__xludf.DUMMYFUNCTION("""COMPUTED_VALUE"""),0.4375810185185185)</f>
        <v>0.4375810185</v>
      </c>
      <c r="K1036" s="16"/>
      <c r="L1036" s="8"/>
      <c r="M1036" s="69"/>
      <c r="N1036" s="69">
        <f>IFERROR(__xludf.DUMMYFUNCTION("""COMPUTED_VALUE"""),1.0)</f>
        <v>1</v>
      </c>
      <c r="O1036" s="69" t="str">
        <f t="shared" si="3"/>
        <v/>
      </c>
      <c r="P1036" s="471">
        <f>IFERROR(__xludf.DUMMYFUNCTION("""COMPUTED_VALUE"""),0.0)</f>
        <v>0</v>
      </c>
      <c r="Q1036" s="274" t="str">
        <f>VLOOKUP($B1036,'Run Reconcile'!B$2:O2488,14,FALSE)</f>
        <v/>
      </c>
      <c r="R1036" s="472" t="str">
        <f t="array" ref="R1036">IF($Q1036, INDEX('Run Reconcile'!A$2:A2488,MATCH(B1036,'Run Reconcile'!B$2:B2488,0),1),IFERROR(0/0,""))</f>
        <v/>
      </c>
      <c r="S1036" s="473" t="str">
        <f t="shared" si="694"/>
        <v/>
      </c>
      <c r="T1036" s="473" t="str">
        <f t="shared" si="698"/>
        <v/>
      </c>
      <c r="U1036" s="275" t="str">
        <f t="array" ref="U1036">IF(ISBLANK($R1036), INDEX('Run Reconcile'!A$2:A2488, MATCH($B1036, 'Run Reconcile'!B$2:B2488, 0)+Z1036, 1), IFERROR(0/0,""))
</f>
        <v>RUN-FLMP_2022-04-11_RFR-109</v>
      </c>
      <c r="V1036" s="474" t="str">
        <f t="shared" si="5"/>
        <v>RUN-FLMP_2022-04-11_RFR-109</v>
      </c>
      <c r="Y1036" s="89" t="str">
        <f t="shared" si="867"/>
        <v/>
      </c>
      <c r="Z1036" s="60" t="str">
        <f t="shared" si="7"/>
        <v/>
      </c>
      <c r="AA1036" s="60" t="str">
        <f t="shared" si="8"/>
        <v/>
      </c>
      <c r="AB1036" s="60" t="str">
        <f t="shared" si="9"/>
        <v/>
      </c>
      <c r="AC1036" s="30" t="str">
        <f t="shared" ref="AC1036:AD1036" si="1392">IF(_xlfn.ISFORMULA(S1036),IFERROR(0/0,""),TRUE)</f>
        <v/>
      </c>
      <c r="AD1036" s="30" t="str">
        <f t="shared" si="1392"/>
        <v/>
      </c>
      <c r="AE1036" s="475" t="str">
        <f>IFERROR(__xludf.DUMMYFUNCTION("""COMPUTED_VALUE"""),"CRLN")</f>
        <v>CRLN</v>
      </c>
      <c r="AF1036" s="476"/>
      <c r="AG1036" s="474" t="s">
        <v>198</v>
      </c>
      <c r="AH1036" s="138" t="str">
        <f t="shared" si="11"/>
        <v/>
      </c>
    </row>
    <row r="1037">
      <c r="A1037" s="103" t="str">
        <f>IFERROR(__xludf.DUMMYFUNCTION("""COMPUTED_VALUE"""),"FLE208")</f>
        <v>FLE208</v>
      </c>
      <c r="B1037" s="468">
        <f>IFERROR(__xludf.DUMMYFUNCTION("""COMPUTED_VALUE"""),44662.0)</f>
        <v>44662</v>
      </c>
      <c r="C1037" s="469">
        <f>IFERROR(__xludf.DUMMYFUNCTION("""COMPUTED_VALUE"""),0.3691203703703704)</f>
        <v>0.3691203704</v>
      </c>
      <c r="D1037" s="103" t="str">
        <f>IFERROR(__xludf.DUMMYFUNCTION("""COMPUTED_VALUE"""),"SpFLMP683385")</f>
        <v>SpFLMP683385</v>
      </c>
      <c r="E1037" s="103"/>
      <c r="F1037" s="103"/>
      <c r="G1037" s="103" t="str">
        <f>IFERROR(__xludf.DUMMYFUNCTION("""COMPUTED_VALUE"""),"Negative")</f>
        <v>Negative</v>
      </c>
      <c r="H1037" s="131" t="str">
        <f>IFERROR(__xludf.DUMMYFUNCTION("""COMPUTED_VALUE"""),"Negative")</f>
        <v>Negative</v>
      </c>
      <c r="I1037" s="468">
        <f>IFERROR(__xludf.DUMMYFUNCTION("""COMPUTED_VALUE"""),44662.0)</f>
        <v>44662</v>
      </c>
      <c r="J1037" s="470">
        <f>IFERROR(__xludf.DUMMYFUNCTION("""COMPUTED_VALUE"""),0.4375810185185185)</f>
        <v>0.4375810185</v>
      </c>
      <c r="K1037" s="16"/>
      <c r="L1037" s="8"/>
      <c r="M1037" s="69"/>
      <c r="N1037" s="69">
        <f>IFERROR(__xludf.DUMMYFUNCTION("""COMPUTED_VALUE"""),3.0)</f>
        <v>3</v>
      </c>
      <c r="O1037" s="69" t="str">
        <f t="shared" si="3"/>
        <v/>
      </c>
      <c r="P1037" s="471">
        <f>IFERROR(__xludf.DUMMYFUNCTION("""COMPUTED_VALUE"""),0.0)</f>
        <v>0</v>
      </c>
      <c r="Q1037" s="274" t="str">
        <f>VLOOKUP($B1037,'Run Reconcile'!B$2:O2488,14,FALSE)</f>
        <v/>
      </c>
      <c r="R1037" s="472" t="str">
        <f t="array" ref="R1037">IF($Q1037, INDEX('Run Reconcile'!A$2:A2488,MATCH(B1037,'Run Reconcile'!B$2:B2488,0),1),IFERROR(0/0,""))</f>
        <v/>
      </c>
      <c r="S1037" s="473" t="str">
        <f t="shared" si="694"/>
        <v/>
      </c>
      <c r="T1037" s="473" t="str">
        <f t="shared" si="698"/>
        <v/>
      </c>
      <c r="U1037" s="275" t="str">
        <f t="array" ref="U1037">IF(ISBLANK($R1037), INDEX('Run Reconcile'!A$2:A2488, MATCH($B1037, 'Run Reconcile'!B$2:B2488, 0)+Z1037, 1), IFERROR(0/0,""))
</f>
        <v>RUN-FLMP_2022-04-11_RFR-109</v>
      </c>
      <c r="V1037" s="474" t="str">
        <f t="shared" si="5"/>
        <v>RUN-FLMP_2022-04-11_RFR-109</v>
      </c>
      <c r="Y1037" s="89" t="str">
        <f t="shared" si="867"/>
        <v/>
      </c>
      <c r="Z1037" s="60" t="str">
        <f t="shared" si="7"/>
        <v/>
      </c>
      <c r="AA1037" s="60" t="str">
        <f t="shared" si="8"/>
        <v/>
      </c>
      <c r="AB1037" s="60" t="str">
        <f t="shared" si="9"/>
        <v/>
      </c>
      <c r="AC1037" s="30" t="str">
        <f t="shared" ref="AC1037:AD1037" si="1393">IF(_xlfn.ISFORMULA(S1037),IFERROR(0/0,""),TRUE)</f>
        <v/>
      </c>
      <c r="AD1037" s="30" t="str">
        <f t="shared" si="1393"/>
        <v/>
      </c>
      <c r="AE1037" s="475" t="str">
        <f>IFERROR(__xludf.DUMMYFUNCTION("""COMPUTED_VALUE"""),"CRLN")</f>
        <v>CRLN</v>
      </c>
      <c r="AF1037" s="476"/>
      <c r="AG1037" s="474" t="s">
        <v>198</v>
      </c>
      <c r="AH1037" s="138" t="str">
        <f t="shared" si="11"/>
        <v/>
      </c>
    </row>
    <row r="1038">
      <c r="A1038" s="103" t="str">
        <f>IFERROR(__xludf.DUMMYFUNCTION("""COMPUTED_VALUE"""),"FLB4915")</f>
        <v>FLB4915</v>
      </c>
      <c r="B1038" s="468">
        <f>IFERROR(__xludf.DUMMYFUNCTION("""COMPUTED_VALUE"""),44662.0)</f>
        <v>44662</v>
      </c>
      <c r="C1038" s="469">
        <f>IFERROR(__xludf.DUMMYFUNCTION("""COMPUTED_VALUE"""),0.39644675925925926)</f>
        <v>0.3964467593</v>
      </c>
      <c r="D1038" s="103" t="str">
        <f>IFERROR(__xludf.DUMMYFUNCTION("""COMPUTED_VALUE"""),"SpFLMP120998")</f>
        <v>SpFLMP120998</v>
      </c>
      <c r="E1038" s="103"/>
      <c r="F1038" s="103"/>
      <c r="G1038" s="103" t="str">
        <f>IFERROR(__xludf.DUMMYFUNCTION("""COMPUTED_VALUE"""),"Negative")</f>
        <v>Negative</v>
      </c>
      <c r="H1038" s="131" t="str">
        <f>IFERROR(__xludf.DUMMYFUNCTION("""COMPUTED_VALUE"""),"Negative")</f>
        <v>Negative</v>
      </c>
      <c r="I1038" s="468">
        <f>IFERROR(__xludf.DUMMYFUNCTION("""COMPUTED_VALUE"""),44662.0)</f>
        <v>44662</v>
      </c>
      <c r="J1038" s="470">
        <f>IFERROR(__xludf.DUMMYFUNCTION("""COMPUTED_VALUE"""),0.4375810185185185)</f>
        <v>0.4375810185</v>
      </c>
      <c r="K1038" s="16"/>
      <c r="L1038" s="8"/>
      <c r="M1038" s="69"/>
      <c r="N1038" s="69">
        <f>IFERROR(__xludf.DUMMYFUNCTION("""COMPUTED_VALUE"""),1.0)</f>
        <v>1</v>
      </c>
      <c r="O1038" s="69" t="str">
        <f t="shared" si="3"/>
        <v/>
      </c>
      <c r="P1038" s="471">
        <f>IFERROR(__xludf.DUMMYFUNCTION("""COMPUTED_VALUE"""),0.0)</f>
        <v>0</v>
      </c>
      <c r="Q1038" s="274" t="str">
        <f>VLOOKUP($B1038,'Run Reconcile'!B$2:O2488,14,FALSE)</f>
        <v/>
      </c>
      <c r="R1038" s="472" t="str">
        <f t="array" ref="R1038">IF($Q1038, INDEX('Run Reconcile'!A$2:A2488,MATCH(B1038,'Run Reconcile'!B$2:B2488,0),1),IFERROR(0/0,""))</f>
        <v/>
      </c>
      <c r="S1038" s="473" t="str">
        <f t="shared" si="694"/>
        <v/>
      </c>
      <c r="T1038" s="473" t="str">
        <f t="shared" si="698"/>
        <v/>
      </c>
      <c r="U1038" s="275" t="str">
        <f t="array" ref="U1038">IF(ISBLANK($R1038), INDEX('Run Reconcile'!A$2:A2488, MATCH($B1038, 'Run Reconcile'!B$2:B2488, 0)+Z1038, 1), IFERROR(0/0,""))
</f>
        <v>RUN-FLMP_2022-04-11_RFR-109</v>
      </c>
      <c r="V1038" s="474" t="str">
        <f t="shared" si="5"/>
        <v>RUN-FLMP_2022-04-11_RFR-109</v>
      </c>
      <c r="Y1038" s="89" t="str">
        <f t="shared" si="867"/>
        <v/>
      </c>
      <c r="Z1038" s="60" t="str">
        <f t="shared" si="7"/>
        <v/>
      </c>
      <c r="AA1038" s="60" t="str">
        <f t="shared" si="8"/>
        <v/>
      </c>
      <c r="AB1038" s="60" t="str">
        <f t="shared" si="9"/>
        <v/>
      </c>
      <c r="AC1038" s="30" t="str">
        <f t="shared" ref="AC1038:AD1038" si="1394">IF(_xlfn.ISFORMULA(S1038),IFERROR(0/0,""),TRUE)</f>
        <v/>
      </c>
      <c r="AD1038" s="30" t="str">
        <f t="shared" si="1394"/>
        <v/>
      </c>
      <c r="AE1038" s="475" t="str">
        <f>IFERROR(__xludf.DUMMYFUNCTION("""COMPUTED_VALUE"""),"FLSP")</f>
        <v>FLSP</v>
      </c>
      <c r="AF1038" s="476"/>
      <c r="AG1038" s="474" t="s">
        <v>198</v>
      </c>
      <c r="AH1038" s="138" t="str">
        <f t="shared" si="11"/>
        <v/>
      </c>
    </row>
    <row r="1039">
      <c r="A1039" s="477" t="str">
        <f>IFERROR(__xludf.DUMMYFUNCTION("""COMPUTED_VALUE"""),"FLB7373")</f>
        <v>FLB7373</v>
      </c>
      <c r="B1039" s="478">
        <f>IFERROR(__xludf.DUMMYFUNCTION("""COMPUTED_VALUE"""),44665.0)</f>
        <v>44665</v>
      </c>
      <c r="C1039" s="479">
        <f>IFERROR(__xludf.DUMMYFUNCTION("""COMPUTED_VALUE"""),0.2844675925925926)</f>
        <v>0.2844675926</v>
      </c>
      <c r="D1039" s="477" t="str">
        <f>IFERROR(__xludf.DUMMYFUNCTION("""COMPUTED_VALUE"""),"SpFLMP690282")</f>
        <v>SpFLMP690282</v>
      </c>
      <c r="E1039" s="477"/>
      <c r="F1039" s="477"/>
      <c r="G1039" s="477" t="str">
        <f>IFERROR(__xludf.DUMMYFUNCTION("""COMPUTED_VALUE"""),"Negative")</f>
        <v>Negative</v>
      </c>
      <c r="H1039" s="480" t="str">
        <f>IFERROR(__xludf.DUMMYFUNCTION("""COMPUTED_VALUE"""),"Negative")</f>
        <v>Negative</v>
      </c>
      <c r="I1039" s="478">
        <f>IFERROR(__xludf.DUMMYFUNCTION("""COMPUTED_VALUE"""),44665.0)</f>
        <v>44665</v>
      </c>
      <c r="J1039" s="481">
        <f>IFERROR(__xludf.DUMMYFUNCTION("""COMPUTED_VALUE"""),0.45546296296296296)</f>
        <v>0.455462963</v>
      </c>
      <c r="K1039" s="156"/>
      <c r="L1039" s="19"/>
      <c r="M1039" s="482"/>
      <c r="N1039" s="482">
        <f>IFERROR(__xludf.DUMMYFUNCTION("""COMPUTED_VALUE"""),2.0)</f>
        <v>2</v>
      </c>
      <c r="O1039" s="482" t="b">
        <f t="shared" si="3"/>
        <v>1</v>
      </c>
      <c r="P1039" s="483">
        <f>IFERROR(__xludf.DUMMYFUNCTION("""COMPUTED_VALUE"""),0.0)</f>
        <v>0</v>
      </c>
      <c r="Q1039" s="352" t="b">
        <f>VLOOKUP($B1039,'Run Reconcile'!B$2:O2488,14,FALSE)</f>
        <v>1</v>
      </c>
      <c r="R1039" s="484" t="str">
        <f t="array" ref="R1039">IF($Q1039, INDEX('Run Reconcile'!A$2:A2488,MATCH(B1039,'Run Reconcile'!B$2:B2488,0),1),IFERROR(0/0,""))</f>
        <v>RUN-FLMP_2022-04-14_RFR-111</v>
      </c>
      <c r="S1039" s="485" t="str">
        <f t="shared" si="694"/>
        <v/>
      </c>
      <c r="T1039" s="485" t="str">
        <f t="shared" si="698"/>
        <v/>
      </c>
      <c r="U1039" s="353" t="str">
        <f t="array" ref="U1039">IF(ISBLANK($R1039), INDEX('Run Reconcile'!A$2:A2488, MATCH($B1039, 'Run Reconcile'!B$2:B2488, 0)+Z1039, 1), IFERROR(0/0,""))
</f>
        <v/>
      </c>
      <c r="V1039" s="486" t="str">
        <f t="shared" si="5"/>
        <v>RUN-FLMP_2022-04-14_RFR-111</v>
      </c>
      <c r="W1039" s="19"/>
      <c r="X1039" s="19"/>
      <c r="Y1039" s="89" t="str">
        <f t="shared" si="867"/>
        <v/>
      </c>
      <c r="Z1039" s="60" t="str">
        <f t="shared" si="7"/>
        <v/>
      </c>
      <c r="AA1039" s="60" t="str">
        <f t="shared" si="8"/>
        <v/>
      </c>
      <c r="AB1039" s="60" t="str">
        <f t="shared" si="9"/>
        <v/>
      </c>
      <c r="AC1039" s="158" t="str">
        <f t="shared" ref="AC1039:AD1039" si="1395">IF(_xlfn.ISFORMULA(S1039),IFERROR(0/0,""),TRUE)</f>
        <v/>
      </c>
      <c r="AD1039" s="158" t="str">
        <f t="shared" si="1395"/>
        <v/>
      </c>
      <c r="AE1039" s="488" t="str">
        <f>IFERROR(__xludf.DUMMYFUNCTION("""COMPUTED_VALUE"""),"CRLN")</f>
        <v>CRLN</v>
      </c>
      <c r="AF1039" s="489"/>
      <c r="AG1039" s="486" t="s">
        <v>199</v>
      </c>
      <c r="AH1039" s="138" t="str">
        <f t="shared" si="11"/>
        <v/>
      </c>
      <c r="AI1039" s="19"/>
      <c r="AJ1039" s="19"/>
      <c r="AK1039" s="19"/>
      <c r="AL1039" s="19"/>
      <c r="AM1039" s="19"/>
    </row>
    <row r="1040">
      <c r="A1040" s="103" t="str">
        <f>IFERROR(__xludf.DUMMYFUNCTION("""COMPUTED_VALUE"""),"FLB5964")</f>
        <v>FLB5964</v>
      </c>
      <c r="B1040" s="468">
        <f>IFERROR(__xludf.DUMMYFUNCTION("""COMPUTED_VALUE"""),44665.0)</f>
        <v>44665</v>
      </c>
      <c r="C1040" s="469">
        <f>IFERROR(__xludf.DUMMYFUNCTION("""COMPUTED_VALUE"""),0.3098842592592593)</f>
        <v>0.3098842593</v>
      </c>
      <c r="D1040" s="103" t="str">
        <f>IFERROR(__xludf.DUMMYFUNCTION("""COMPUTED_VALUE"""),"SpFLMP470379")</f>
        <v>SpFLMP470379</v>
      </c>
      <c r="E1040" s="103"/>
      <c r="F1040" s="103"/>
      <c r="G1040" s="103" t="str">
        <f>IFERROR(__xludf.DUMMYFUNCTION("""COMPUTED_VALUE"""),"Negative")</f>
        <v>Negative</v>
      </c>
      <c r="H1040" s="131" t="str">
        <f>IFERROR(__xludf.DUMMYFUNCTION("""COMPUTED_VALUE"""),"Negative")</f>
        <v>Negative</v>
      </c>
      <c r="I1040" s="468">
        <f>IFERROR(__xludf.DUMMYFUNCTION("""COMPUTED_VALUE"""),44665.0)</f>
        <v>44665</v>
      </c>
      <c r="J1040" s="470">
        <f>IFERROR(__xludf.DUMMYFUNCTION("""COMPUTED_VALUE"""),0.4333796296296296)</f>
        <v>0.4333796296</v>
      </c>
      <c r="K1040" s="16"/>
      <c r="L1040" s="8"/>
      <c r="M1040" s="69"/>
      <c r="N1040" s="69">
        <f>IFERROR(__xludf.DUMMYFUNCTION("""COMPUTED_VALUE"""),1.0)</f>
        <v>1</v>
      </c>
      <c r="O1040" s="69" t="str">
        <f t="shared" si="3"/>
        <v/>
      </c>
      <c r="P1040" s="471">
        <f>IFERROR(__xludf.DUMMYFUNCTION("""COMPUTED_VALUE"""),0.0)</f>
        <v>0</v>
      </c>
      <c r="Q1040" s="274" t="b">
        <f>VLOOKUP($B1040,'Run Reconcile'!B$2:O2488,14,FALSE)</f>
        <v>1</v>
      </c>
      <c r="R1040" s="472" t="str">
        <f t="array" ref="R1040">IF($Q1040, INDEX('Run Reconcile'!A$2:A2488,MATCH(B1040,'Run Reconcile'!B$2:B2488,0),1),IFERROR(0/0,""))</f>
        <v>RUN-FLMP_2022-04-14_RFR-111</v>
      </c>
      <c r="S1040" s="473" t="str">
        <f t="shared" si="694"/>
        <v/>
      </c>
      <c r="T1040" s="473" t="str">
        <f t="shared" si="698"/>
        <v/>
      </c>
      <c r="U1040" s="275" t="str">
        <f t="array" ref="U1040">IF(ISBLANK($R1040), INDEX('Run Reconcile'!A$2:A2488, MATCH($B1040, 'Run Reconcile'!B$2:B2488, 0)+Z1040, 1), IFERROR(0/0,""))
</f>
        <v/>
      </c>
      <c r="V1040" s="474" t="str">
        <f t="shared" si="5"/>
        <v>RUN-FLMP_2022-04-14_RFR-111</v>
      </c>
      <c r="Y1040" s="89" t="str">
        <f t="shared" si="867"/>
        <v/>
      </c>
      <c r="Z1040" s="60" t="str">
        <f t="shared" si="7"/>
        <v/>
      </c>
      <c r="AA1040" s="60" t="str">
        <f t="shared" si="8"/>
        <v/>
      </c>
      <c r="AB1040" s="60" t="str">
        <f t="shared" si="9"/>
        <v/>
      </c>
      <c r="AC1040" s="30" t="str">
        <f t="shared" ref="AC1040:AD1040" si="1396">IF(_xlfn.ISFORMULA(S1040),IFERROR(0/0,""),TRUE)</f>
        <v/>
      </c>
      <c r="AD1040" s="30" t="str">
        <f t="shared" si="1396"/>
        <v/>
      </c>
      <c r="AE1040" s="475" t="str">
        <f>IFERROR(__xludf.DUMMYFUNCTION("""COMPUTED_VALUE"""),"CRLN")</f>
        <v>CRLN</v>
      </c>
      <c r="AF1040" s="476"/>
      <c r="AG1040" s="474" t="s">
        <v>199</v>
      </c>
      <c r="AH1040" s="138" t="str">
        <f t="shared" si="11"/>
        <v/>
      </c>
    </row>
    <row r="1041">
      <c r="A1041" s="103" t="str">
        <f>IFERROR(__xludf.DUMMYFUNCTION("""COMPUTED_VALUE"""),"FLE306")</f>
        <v>FLE306</v>
      </c>
      <c r="B1041" s="468">
        <f>IFERROR(__xludf.DUMMYFUNCTION("""COMPUTED_VALUE"""),44665.0)</f>
        <v>44665</v>
      </c>
      <c r="C1041" s="469">
        <f>IFERROR(__xludf.DUMMYFUNCTION("""COMPUTED_VALUE"""),0.3194560185185185)</f>
        <v>0.3194560185</v>
      </c>
      <c r="D1041" s="103" t="str">
        <f>IFERROR(__xludf.DUMMYFUNCTION("""COMPUTED_VALUE"""),"SpFLMP965392")</f>
        <v>SpFLMP965392</v>
      </c>
      <c r="E1041" s="103"/>
      <c r="F1041" s="103"/>
      <c r="G1041" s="103" t="str">
        <f>IFERROR(__xludf.DUMMYFUNCTION("""COMPUTED_VALUE"""),"Negative")</f>
        <v>Negative</v>
      </c>
      <c r="H1041" s="131" t="str">
        <f>IFERROR(__xludf.DUMMYFUNCTION("""COMPUTED_VALUE"""),"Negative")</f>
        <v>Negative</v>
      </c>
      <c r="I1041" s="468">
        <f>IFERROR(__xludf.DUMMYFUNCTION("""COMPUTED_VALUE"""),44665.0)</f>
        <v>44665</v>
      </c>
      <c r="J1041" s="470">
        <f>IFERROR(__xludf.DUMMYFUNCTION("""COMPUTED_VALUE"""),0.4333796296296296)</f>
        <v>0.4333796296</v>
      </c>
      <c r="K1041" s="16"/>
      <c r="L1041" s="8"/>
      <c r="M1041" s="69"/>
      <c r="N1041" s="69">
        <f>IFERROR(__xludf.DUMMYFUNCTION("""COMPUTED_VALUE"""),4.0)</f>
        <v>4</v>
      </c>
      <c r="O1041" s="69" t="str">
        <f t="shared" si="3"/>
        <v/>
      </c>
      <c r="P1041" s="471">
        <f>IFERROR(__xludf.DUMMYFUNCTION("""COMPUTED_VALUE"""),0.0)</f>
        <v>0</v>
      </c>
      <c r="Q1041" s="274" t="b">
        <f>VLOOKUP($B1041,'Run Reconcile'!B$2:O2488,14,FALSE)</f>
        <v>1</v>
      </c>
      <c r="R1041" s="472" t="str">
        <f t="array" ref="R1041">IF($Q1041, INDEX('Run Reconcile'!A$2:A2488,MATCH(B1041,'Run Reconcile'!B$2:B2488,0),1),IFERROR(0/0,""))</f>
        <v>RUN-FLMP_2022-04-14_RFR-111</v>
      </c>
      <c r="S1041" s="473" t="str">
        <f t="shared" si="694"/>
        <v/>
      </c>
      <c r="T1041" s="473" t="str">
        <f t="shared" si="698"/>
        <v/>
      </c>
      <c r="U1041" s="275" t="str">
        <f t="array" ref="U1041">IF(ISBLANK($R1041), INDEX('Run Reconcile'!A$2:A2488, MATCH($B1041, 'Run Reconcile'!B$2:B2488, 0)+Z1041, 1), IFERROR(0/0,""))
</f>
        <v/>
      </c>
      <c r="V1041" s="474" t="str">
        <f t="shared" si="5"/>
        <v>RUN-FLMP_2022-04-14_RFR-111</v>
      </c>
      <c r="Y1041" s="89" t="str">
        <f t="shared" si="867"/>
        <v/>
      </c>
      <c r="Z1041" s="60" t="str">
        <f t="shared" si="7"/>
        <v/>
      </c>
      <c r="AA1041" s="60" t="str">
        <f t="shared" si="8"/>
        <v/>
      </c>
      <c r="AB1041" s="60" t="str">
        <f t="shared" si="9"/>
        <v/>
      </c>
      <c r="AC1041" s="30" t="str">
        <f t="shared" ref="AC1041:AD1041" si="1397">IF(_xlfn.ISFORMULA(S1041),IFERROR(0/0,""),TRUE)</f>
        <v/>
      </c>
      <c r="AD1041" s="30" t="str">
        <f t="shared" si="1397"/>
        <v/>
      </c>
      <c r="AE1041" s="475" t="str">
        <f>IFERROR(__xludf.DUMMYFUNCTION("""COMPUTED_VALUE"""),"CRLN")</f>
        <v>CRLN</v>
      </c>
      <c r="AF1041" s="476"/>
      <c r="AG1041" s="474" t="s">
        <v>199</v>
      </c>
      <c r="AH1041" s="138" t="str">
        <f t="shared" si="11"/>
        <v/>
      </c>
    </row>
    <row r="1042">
      <c r="A1042" s="103" t="str">
        <f>IFERROR(__xludf.DUMMYFUNCTION("""COMPUTED_VALUE"""),"FLB6746")</f>
        <v>FLB6746</v>
      </c>
      <c r="B1042" s="468">
        <f>IFERROR(__xludf.DUMMYFUNCTION("""COMPUTED_VALUE"""),44665.0)</f>
        <v>44665</v>
      </c>
      <c r="C1042" s="469">
        <f>IFERROR(__xludf.DUMMYFUNCTION("""COMPUTED_VALUE"""),0.31958333333333333)</f>
        <v>0.3195833333</v>
      </c>
      <c r="D1042" s="103" t="str">
        <f>IFERROR(__xludf.DUMMYFUNCTION("""COMPUTED_VALUE"""),"SpFLMP259015")</f>
        <v>SpFLMP259015</v>
      </c>
      <c r="E1042" s="103"/>
      <c r="F1042" s="103"/>
      <c r="G1042" s="103" t="str">
        <f>IFERROR(__xludf.DUMMYFUNCTION("""COMPUTED_VALUE"""),"Negative")</f>
        <v>Negative</v>
      </c>
      <c r="H1042" s="131" t="str">
        <f>IFERROR(__xludf.DUMMYFUNCTION("""COMPUTED_VALUE"""),"Negative")</f>
        <v>Negative</v>
      </c>
      <c r="I1042" s="468">
        <f>IFERROR(__xludf.DUMMYFUNCTION("""COMPUTED_VALUE"""),44665.0)</f>
        <v>44665</v>
      </c>
      <c r="J1042" s="470">
        <f>IFERROR(__xludf.DUMMYFUNCTION("""COMPUTED_VALUE"""),0.45546296296296296)</f>
        <v>0.455462963</v>
      </c>
      <c r="K1042" s="16"/>
      <c r="L1042" s="8"/>
      <c r="M1042" s="69"/>
      <c r="N1042" s="69">
        <f>IFERROR(__xludf.DUMMYFUNCTION("""COMPUTED_VALUE"""),3.0)</f>
        <v>3</v>
      </c>
      <c r="O1042" s="69" t="str">
        <f t="shared" si="3"/>
        <v/>
      </c>
      <c r="P1042" s="471">
        <f>IFERROR(__xludf.DUMMYFUNCTION("""COMPUTED_VALUE"""),0.0)</f>
        <v>0</v>
      </c>
      <c r="Q1042" s="274" t="b">
        <f>VLOOKUP($B1042,'Run Reconcile'!B$2:O2488,14,FALSE)</f>
        <v>1</v>
      </c>
      <c r="R1042" s="472" t="str">
        <f t="array" ref="R1042">IF($Q1042, INDEX('Run Reconcile'!A$2:A2488,MATCH(B1042,'Run Reconcile'!B$2:B2488,0),1),IFERROR(0/0,""))</f>
        <v>RUN-FLMP_2022-04-14_RFR-111</v>
      </c>
      <c r="S1042" s="473" t="str">
        <f t="shared" si="694"/>
        <v/>
      </c>
      <c r="T1042" s="473" t="str">
        <f t="shared" si="698"/>
        <v/>
      </c>
      <c r="U1042" s="275" t="str">
        <f t="array" ref="U1042">IF(ISBLANK($R1042), INDEX('Run Reconcile'!A$2:A2488, MATCH($B1042, 'Run Reconcile'!B$2:B2488, 0)+Z1042, 1), IFERROR(0/0,""))
</f>
        <v/>
      </c>
      <c r="V1042" s="474" t="str">
        <f t="shared" si="5"/>
        <v>RUN-FLMP_2022-04-14_RFR-111</v>
      </c>
      <c r="Y1042" s="89" t="str">
        <f t="shared" si="867"/>
        <v/>
      </c>
      <c r="Z1042" s="60" t="str">
        <f t="shared" si="7"/>
        <v/>
      </c>
      <c r="AA1042" s="60" t="str">
        <f t="shared" si="8"/>
        <v/>
      </c>
      <c r="AB1042" s="60" t="str">
        <f t="shared" si="9"/>
        <v/>
      </c>
      <c r="AC1042" s="30" t="str">
        <f t="shared" ref="AC1042:AD1042" si="1398">IF(_xlfn.ISFORMULA(S1042),IFERROR(0/0,""),TRUE)</f>
        <v/>
      </c>
      <c r="AD1042" s="30" t="str">
        <f t="shared" si="1398"/>
        <v/>
      </c>
      <c r="AE1042" s="475" t="str">
        <f>IFERROR(__xludf.DUMMYFUNCTION("""COMPUTED_VALUE"""),"CRLN")</f>
        <v>CRLN</v>
      </c>
      <c r="AF1042" s="476"/>
      <c r="AG1042" s="474" t="s">
        <v>199</v>
      </c>
      <c r="AH1042" s="138" t="str">
        <f t="shared" si="11"/>
        <v/>
      </c>
    </row>
    <row r="1043">
      <c r="A1043" s="103" t="str">
        <f>IFERROR(__xludf.DUMMYFUNCTION("""COMPUTED_VALUE"""),"FLB6557")</f>
        <v>FLB6557</v>
      </c>
      <c r="B1043" s="468">
        <f>IFERROR(__xludf.DUMMYFUNCTION("""COMPUTED_VALUE"""),44665.0)</f>
        <v>44665</v>
      </c>
      <c r="C1043" s="469">
        <f>IFERROR(__xludf.DUMMYFUNCTION("""COMPUTED_VALUE"""),0.3201736111111111)</f>
        <v>0.3201736111</v>
      </c>
      <c r="D1043" s="103" t="str">
        <f>IFERROR(__xludf.DUMMYFUNCTION("""COMPUTED_VALUE"""),"SpFLMP259015")</f>
        <v>SpFLMP259015</v>
      </c>
      <c r="E1043" s="103"/>
      <c r="F1043" s="103"/>
      <c r="G1043" s="103" t="str">
        <f>IFERROR(__xludf.DUMMYFUNCTION("""COMPUTED_VALUE"""),"Negative")</f>
        <v>Negative</v>
      </c>
      <c r="H1043" s="131" t="str">
        <f>IFERROR(__xludf.DUMMYFUNCTION("""COMPUTED_VALUE"""),"Negative")</f>
        <v>Negative</v>
      </c>
      <c r="I1043" s="468">
        <f>IFERROR(__xludf.DUMMYFUNCTION("""COMPUTED_VALUE"""),44665.0)</f>
        <v>44665</v>
      </c>
      <c r="J1043" s="470">
        <f>IFERROR(__xludf.DUMMYFUNCTION("""COMPUTED_VALUE"""),0.4333796296296296)</f>
        <v>0.4333796296</v>
      </c>
      <c r="K1043" s="16"/>
      <c r="L1043" s="8"/>
      <c r="M1043" s="69"/>
      <c r="N1043" s="69">
        <f>IFERROR(__xludf.DUMMYFUNCTION("""COMPUTED_VALUE"""),3.0)</f>
        <v>3</v>
      </c>
      <c r="O1043" s="69" t="str">
        <f t="shared" si="3"/>
        <v/>
      </c>
      <c r="P1043" s="471">
        <f>IFERROR(__xludf.DUMMYFUNCTION("""COMPUTED_VALUE"""),0.0)</f>
        <v>0</v>
      </c>
      <c r="Q1043" s="274" t="b">
        <f>VLOOKUP($B1043,'Run Reconcile'!B$2:O2488,14,FALSE)</f>
        <v>1</v>
      </c>
      <c r="R1043" s="472" t="str">
        <f t="array" ref="R1043">IF($Q1043, INDEX('Run Reconcile'!A$2:A2488,MATCH(B1043,'Run Reconcile'!B$2:B2488,0),1),IFERROR(0/0,""))</f>
        <v>RUN-FLMP_2022-04-14_RFR-111</v>
      </c>
      <c r="S1043" s="473" t="str">
        <f t="shared" si="694"/>
        <v/>
      </c>
      <c r="T1043" s="473" t="str">
        <f t="shared" si="698"/>
        <v/>
      </c>
      <c r="U1043" s="275" t="str">
        <f t="array" ref="U1043">IF(ISBLANK($R1043), INDEX('Run Reconcile'!A$2:A2488, MATCH($B1043, 'Run Reconcile'!B$2:B2488, 0)+Z1043, 1), IFERROR(0/0,""))
</f>
        <v/>
      </c>
      <c r="V1043" s="474" t="str">
        <f t="shared" si="5"/>
        <v>RUN-FLMP_2022-04-14_RFR-111</v>
      </c>
      <c r="Y1043" s="89" t="str">
        <f t="shared" si="867"/>
        <v/>
      </c>
      <c r="Z1043" s="60" t="str">
        <f t="shared" si="7"/>
        <v/>
      </c>
      <c r="AA1043" s="60" t="str">
        <f t="shared" si="8"/>
        <v/>
      </c>
      <c r="AB1043" s="60" t="str">
        <f t="shared" si="9"/>
        <v/>
      </c>
      <c r="AC1043" s="30" t="str">
        <f t="shared" ref="AC1043:AD1043" si="1399">IF(_xlfn.ISFORMULA(S1043),IFERROR(0/0,""),TRUE)</f>
        <v/>
      </c>
      <c r="AD1043" s="30" t="str">
        <f t="shared" si="1399"/>
        <v/>
      </c>
      <c r="AE1043" s="475" t="str">
        <f>IFERROR(__xludf.DUMMYFUNCTION("""COMPUTED_VALUE"""),"CRLN")</f>
        <v>CRLN</v>
      </c>
      <c r="AF1043" s="476"/>
      <c r="AG1043" s="474" t="s">
        <v>199</v>
      </c>
      <c r="AH1043" s="138" t="str">
        <f t="shared" si="11"/>
        <v/>
      </c>
    </row>
    <row r="1044">
      <c r="A1044" s="103" t="str">
        <f>IFERROR(__xludf.DUMMYFUNCTION("""COMPUTED_VALUE"""),"FLB7133")</f>
        <v>FLB7133</v>
      </c>
      <c r="B1044" s="468">
        <f>IFERROR(__xludf.DUMMYFUNCTION("""COMPUTED_VALUE"""),44665.0)</f>
        <v>44665</v>
      </c>
      <c r="C1044" s="469">
        <f>IFERROR(__xludf.DUMMYFUNCTION("""COMPUTED_VALUE"""),0.32612268518518517)</f>
        <v>0.3261226852</v>
      </c>
      <c r="D1044" s="103" t="str">
        <f>IFERROR(__xludf.DUMMYFUNCTION("""COMPUTED_VALUE"""),"SpFLMP683385")</f>
        <v>SpFLMP683385</v>
      </c>
      <c r="E1044" s="103"/>
      <c r="F1044" s="103"/>
      <c r="G1044" s="103" t="str">
        <f>IFERROR(__xludf.DUMMYFUNCTION("""COMPUTED_VALUE"""),"Negative")</f>
        <v>Negative</v>
      </c>
      <c r="H1044" s="131" t="str">
        <f>IFERROR(__xludf.DUMMYFUNCTION("""COMPUTED_VALUE"""),"Negative")</f>
        <v>Negative</v>
      </c>
      <c r="I1044" s="468">
        <f>IFERROR(__xludf.DUMMYFUNCTION("""COMPUTED_VALUE"""),44665.0)</f>
        <v>44665</v>
      </c>
      <c r="J1044" s="470">
        <f>IFERROR(__xludf.DUMMYFUNCTION("""COMPUTED_VALUE"""),0.4333796296296296)</f>
        <v>0.4333796296</v>
      </c>
      <c r="K1044" s="16"/>
      <c r="L1044" s="8"/>
      <c r="M1044" s="69"/>
      <c r="N1044" s="69">
        <f>IFERROR(__xludf.DUMMYFUNCTION("""COMPUTED_VALUE"""),3.0)</f>
        <v>3</v>
      </c>
      <c r="O1044" s="69" t="str">
        <f t="shared" si="3"/>
        <v/>
      </c>
      <c r="P1044" s="471">
        <f>IFERROR(__xludf.DUMMYFUNCTION("""COMPUTED_VALUE"""),0.0)</f>
        <v>0</v>
      </c>
      <c r="Q1044" s="274" t="b">
        <f>VLOOKUP($B1044,'Run Reconcile'!B$2:O2488,14,FALSE)</f>
        <v>1</v>
      </c>
      <c r="R1044" s="472" t="str">
        <f t="array" ref="R1044">IF($Q1044, INDEX('Run Reconcile'!A$2:A2488,MATCH(B1044,'Run Reconcile'!B$2:B2488,0),1),IFERROR(0/0,""))</f>
        <v>RUN-FLMP_2022-04-14_RFR-111</v>
      </c>
      <c r="S1044" s="473" t="str">
        <f t="shared" si="694"/>
        <v/>
      </c>
      <c r="T1044" s="473" t="str">
        <f t="shared" si="698"/>
        <v/>
      </c>
      <c r="U1044" s="275" t="str">
        <f t="array" ref="U1044">IF(ISBLANK($R1044), INDEX('Run Reconcile'!A$2:A2488, MATCH($B1044, 'Run Reconcile'!B$2:B2488, 0)+Z1044, 1), IFERROR(0/0,""))
</f>
        <v/>
      </c>
      <c r="V1044" s="474" t="str">
        <f t="shared" si="5"/>
        <v>RUN-FLMP_2022-04-14_RFR-111</v>
      </c>
      <c r="Y1044" s="89" t="str">
        <f t="shared" si="867"/>
        <v/>
      </c>
      <c r="Z1044" s="60" t="str">
        <f t="shared" si="7"/>
        <v/>
      </c>
      <c r="AA1044" s="60" t="str">
        <f t="shared" si="8"/>
        <v/>
      </c>
      <c r="AB1044" s="60" t="str">
        <f t="shared" si="9"/>
        <v/>
      </c>
      <c r="AC1044" s="30" t="str">
        <f t="shared" ref="AC1044:AD1044" si="1400">IF(_xlfn.ISFORMULA(S1044),IFERROR(0/0,""),TRUE)</f>
        <v/>
      </c>
      <c r="AD1044" s="30" t="str">
        <f t="shared" si="1400"/>
        <v/>
      </c>
      <c r="AE1044" s="475" t="str">
        <f>IFERROR(__xludf.DUMMYFUNCTION("""COMPUTED_VALUE"""),"CRLN")</f>
        <v>CRLN</v>
      </c>
      <c r="AF1044" s="476"/>
      <c r="AG1044" s="474" t="s">
        <v>199</v>
      </c>
      <c r="AH1044" s="138" t="str">
        <f t="shared" si="11"/>
        <v/>
      </c>
    </row>
    <row r="1045">
      <c r="A1045" s="103" t="str">
        <f>IFERROR(__xludf.DUMMYFUNCTION("""COMPUTED_VALUE"""),"FLB4907")</f>
        <v>FLB4907</v>
      </c>
      <c r="B1045" s="468">
        <f>IFERROR(__xludf.DUMMYFUNCTION("""COMPUTED_VALUE"""),44665.0)</f>
        <v>44665</v>
      </c>
      <c r="C1045" s="469">
        <f>IFERROR(__xludf.DUMMYFUNCTION("""COMPUTED_VALUE"""),0.32657407407407407)</f>
        <v>0.3265740741</v>
      </c>
      <c r="D1045" s="103" t="str">
        <f>IFERROR(__xludf.DUMMYFUNCTION("""COMPUTED_VALUE"""),"SpFLMP777132")</f>
        <v>SpFLMP777132</v>
      </c>
      <c r="E1045" s="103"/>
      <c r="F1045" s="103"/>
      <c r="G1045" s="103" t="str">
        <f>IFERROR(__xludf.DUMMYFUNCTION("""COMPUTED_VALUE"""),"Negative")</f>
        <v>Negative</v>
      </c>
      <c r="H1045" s="131" t="str">
        <f>IFERROR(__xludf.DUMMYFUNCTION("""COMPUTED_VALUE"""),"Negative")</f>
        <v>Negative</v>
      </c>
      <c r="I1045" s="468">
        <f>IFERROR(__xludf.DUMMYFUNCTION("""COMPUTED_VALUE"""),44665.0)</f>
        <v>44665</v>
      </c>
      <c r="J1045" s="470">
        <f>IFERROR(__xludf.DUMMYFUNCTION("""COMPUTED_VALUE"""),0.4333796296296296)</f>
        <v>0.4333796296</v>
      </c>
      <c r="K1045" s="16"/>
      <c r="L1045" s="8"/>
      <c r="M1045" s="69"/>
      <c r="N1045" s="69">
        <f>IFERROR(__xludf.DUMMYFUNCTION("""COMPUTED_VALUE"""),4.0)</f>
        <v>4</v>
      </c>
      <c r="O1045" s="69" t="str">
        <f t="shared" si="3"/>
        <v/>
      </c>
      <c r="P1045" s="471">
        <f>IFERROR(__xludf.DUMMYFUNCTION("""COMPUTED_VALUE"""),0.0)</f>
        <v>0</v>
      </c>
      <c r="Q1045" s="274" t="b">
        <f>VLOOKUP($B1045,'Run Reconcile'!B$2:O2488,14,FALSE)</f>
        <v>1</v>
      </c>
      <c r="R1045" s="472" t="str">
        <f t="array" ref="R1045">IF($Q1045, INDEX('Run Reconcile'!A$2:A2488,MATCH(B1045,'Run Reconcile'!B$2:B2488,0),1),IFERROR(0/0,""))</f>
        <v>RUN-FLMP_2022-04-14_RFR-111</v>
      </c>
      <c r="S1045" s="473" t="str">
        <f t="shared" si="694"/>
        <v/>
      </c>
      <c r="T1045" s="473" t="str">
        <f t="shared" si="698"/>
        <v/>
      </c>
      <c r="U1045" s="275" t="str">
        <f t="array" ref="U1045">IF(ISBLANK($R1045), INDEX('Run Reconcile'!A$2:A2488, MATCH($B1045, 'Run Reconcile'!B$2:B2488, 0)+Z1045, 1), IFERROR(0/0,""))
</f>
        <v/>
      </c>
      <c r="V1045" s="474" t="str">
        <f t="shared" si="5"/>
        <v>RUN-FLMP_2022-04-14_RFR-111</v>
      </c>
      <c r="Y1045" s="89" t="str">
        <f t="shared" si="867"/>
        <v/>
      </c>
      <c r="Z1045" s="60" t="str">
        <f t="shared" si="7"/>
        <v/>
      </c>
      <c r="AA1045" s="60" t="str">
        <f t="shared" si="8"/>
        <v/>
      </c>
      <c r="AB1045" s="60" t="str">
        <f t="shared" si="9"/>
        <v/>
      </c>
      <c r="AC1045" s="30" t="str">
        <f t="shared" ref="AC1045:AD1045" si="1401">IF(_xlfn.ISFORMULA(S1045),IFERROR(0/0,""),TRUE)</f>
        <v/>
      </c>
      <c r="AD1045" s="30" t="str">
        <f t="shared" si="1401"/>
        <v/>
      </c>
      <c r="AE1045" s="475" t="str">
        <f>IFERROR(__xludf.DUMMYFUNCTION("""COMPUTED_VALUE"""),"CRLN")</f>
        <v>CRLN</v>
      </c>
      <c r="AF1045" s="476"/>
      <c r="AG1045" s="474" t="s">
        <v>199</v>
      </c>
      <c r="AH1045" s="138" t="str">
        <f t="shared" si="11"/>
        <v/>
      </c>
    </row>
    <row r="1046">
      <c r="A1046" s="103" t="str">
        <f>IFERROR(__xludf.DUMMYFUNCTION("""COMPUTED_VALUE"""),"FLB6535")</f>
        <v>FLB6535</v>
      </c>
      <c r="B1046" s="468">
        <f>IFERROR(__xludf.DUMMYFUNCTION("""COMPUTED_VALUE"""),44665.0)</f>
        <v>44665</v>
      </c>
      <c r="C1046" s="469">
        <f>IFERROR(__xludf.DUMMYFUNCTION("""COMPUTED_VALUE"""),0.33613425925925927)</f>
        <v>0.3361342593</v>
      </c>
      <c r="D1046" s="103" t="str">
        <f>IFERROR(__xludf.DUMMYFUNCTION("""COMPUTED_VALUE"""),"SpFLMP314549")</f>
        <v>SpFLMP314549</v>
      </c>
      <c r="E1046" s="103"/>
      <c r="F1046" s="103"/>
      <c r="G1046" s="103" t="str">
        <f>IFERROR(__xludf.DUMMYFUNCTION("""COMPUTED_VALUE"""),"Negative")</f>
        <v>Negative</v>
      </c>
      <c r="H1046" s="131" t="str">
        <f>IFERROR(__xludf.DUMMYFUNCTION("""COMPUTED_VALUE"""),"Negative")</f>
        <v>Negative</v>
      </c>
      <c r="I1046" s="468">
        <f>IFERROR(__xludf.DUMMYFUNCTION("""COMPUTED_VALUE"""),44665.0)</f>
        <v>44665</v>
      </c>
      <c r="J1046" s="470">
        <f>IFERROR(__xludf.DUMMYFUNCTION("""COMPUTED_VALUE"""),0.4333796296296296)</f>
        <v>0.4333796296</v>
      </c>
      <c r="K1046" s="16"/>
      <c r="L1046" s="8"/>
      <c r="M1046" s="69"/>
      <c r="N1046" s="69">
        <f>IFERROR(__xludf.DUMMYFUNCTION("""COMPUTED_VALUE"""),1.0)</f>
        <v>1</v>
      </c>
      <c r="O1046" s="69" t="str">
        <f t="shared" si="3"/>
        <v/>
      </c>
      <c r="P1046" s="471">
        <f>IFERROR(__xludf.DUMMYFUNCTION("""COMPUTED_VALUE"""),0.0)</f>
        <v>0</v>
      </c>
      <c r="Q1046" s="274" t="b">
        <f>VLOOKUP($B1046,'Run Reconcile'!B$2:O2488,14,FALSE)</f>
        <v>1</v>
      </c>
      <c r="R1046" s="472" t="str">
        <f t="array" ref="R1046">IF($Q1046, INDEX('Run Reconcile'!A$2:A2488,MATCH(B1046,'Run Reconcile'!B$2:B2488,0),1),IFERROR(0/0,""))</f>
        <v>RUN-FLMP_2022-04-14_RFR-111</v>
      </c>
      <c r="S1046" s="473" t="str">
        <f t="shared" si="694"/>
        <v/>
      </c>
      <c r="T1046" s="473" t="str">
        <f t="shared" si="698"/>
        <v/>
      </c>
      <c r="U1046" s="275" t="str">
        <f t="array" ref="U1046">IF(ISBLANK($R1046), INDEX('Run Reconcile'!A$2:A2488, MATCH($B1046, 'Run Reconcile'!B$2:B2488, 0)+Z1046, 1), IFERROR(0/0,""))
</f>
        <v/>
      </c>
      <c r="V1046" s="474" t="str">
        <f t="shared" si="5"/>
        <v>RUN-FLMP_2022-04-14_RFR-111</v>
      </c>
      <c r="Y1046" s="89" t="str">
        <f t="shared" si="867"/>
        <v/>
      </c>
      <c r="Z1046" s="60" t="str">
        <f t="shared" si="7"/>
        <v/>
      </c>
      <c r="AA1046" s="60" t="str">
        <f t="shared" si="8"/>
        <v/>
      </c>
      <c r="AB1046" s="60" t="str">
        <f t="shared" si="9"/>
        <v/>
      </c>
      <c r="AC1046" s="30" t="str">
        <f t="shared" ref="AC1046:AD1046" si="1402">IF(_xlfn.ISFORMULA(S1046),IFERROR(0/0,""),TRUE)</f>
        <v/>
      </c>
      <c r="AD1046" s="30" t="str">
        <f t="shared" si="1402"/>
        <v/>
      </c>
      <c r="AE1046" s="475" t="str">
        <f>IFERROR(__xludf.DUMMYFUNCTION("""COMPUTED_VALUE"""),"CRLN")</f>
        <v>CRLN</v>
      </c>
      <c r="AF1046" s="476"/>
      <c r="AG1046" s="474" t="s">
        <v>199</v>
      </c>
      <c r="AH1046" s="138" t="str">
        <f t="shared" si="11"/>
        <v/>
      </c>
    </row>
    <row r="1047">
      <c r="A1047" s="103" t="str">
        <f>IFERROR(__xludf.DUMMYFUNCTION("""COMPUTED_VALUE"""),"FLE900")</f>
        <v>FLE900</v>
      </c>
      <c r="B1047" s="468">
        <f>IFERROR(__xludf.DUMMYFUNCTION("""COMPUTED_VALUE"""),44665.0)</f>
        <v>44665</v>
      </c>
      <c r="C1047" s="469">
        <f>IFERROR(__xludf.DUMMYFUNCTION("""COMPUTED_VALUE"""),0.35106481481481483)</f>
        <v>0.3510648148</v>
      </c>
      <c r="D1047" s="103" t="str">
        <f>IFERROR(__xludf.DUMMYFUNCTION("""COMPUTED_VALUE"""),"SpFLMP309785")</f>
        <v>SpFLMP309785</v>
      </c>
      <c r="E1047" s="103"/>
      <c r="F1047" s="103"/>
      <c r="G1047" s="103" t="str">
        <f>IFERROR(__xludf.DUMMYFUNCTION("""COMPUTED_VALUE"""),"Negative")</f>
        <v>Negative</v>
      </c>
      <c r="H1047" s="131" t="str">
        <f>IFERROR(__xludf.DUMMYFUNCTION("""COMPUTED_VALUE"""),"Negative")</f>
        <v>Negative</v>
      </c>
      <c r="I1047" s="468">
        <f>IFERROR(__xludf.DUMMYFUNCTION("""COMPUTED_VALUE"""),44665.0)</f>
        <v>44665</v>
      </c>
      <c r="J1047" s="470">
        <f>IFERROR(__xludf.DUMMYFUNCTION("""COMPUTED_VALUE"""),0.4333796296296296)</f>
        <v>0.4333796296</v>
      </c>
      <c r="K1047" s="16"/>
      <c r="L1047" s="8"/>
      <c r="M1047" s="69"/>
      <c r="N1047" s="69">
        <f>IFERROR(__xludf.DUMMYFUNCTION("""COMPUTED_VALUE"""),4.0)</f>
        <v>4</v>
      </c>
      <c r="O1047" s="69" t="str">
        <f t="shared" si="3"/>
        <v/>
      </c>
      <c r="P1047" s="471">
        <f>IFERROR(__xludf.DUMMYFUNCTION("""COMPUTED_VALUE"""),0.0)</f>
        <v>0</v>
      </c>
      <c r="Q1047" s="274" t="b">
        <f>VLOOKUP($B1047,'Run Reconcile'!B$2:O2488,14,FALSE)</f>
        <v>1</v>
      </c>
      <c r="R1047" s="472" t="str">
        <f t="array" ref="R1047">IF($Q1047, INDEX('Run Reconcile'!A$2:A2488,MATCH(B1047,'Run Reconcile'!B$2:B2488,0),1),IFERROR(0/0,""))</f>
        <v>RUN-FLMP_2022-04-14_RFR-111</v>
      </c>
      <c r="S1047" s="473" t="str">
        <f t="shared" si="694"/>
        <v/>
      </c>
      <c r="T1047" s="473" t="str">
        <f t="shared" si="698"/>
        <v/>
      </c>
      <c r="U1047" s="275" t="str">
        <f t="array" ref="U1047">IF(ISBLANK($R1047), INDEX('Run Reconcile'!A$2:A2488, MATCH($B1047, 'Run Reconcile'!B$2:B2488, 0)+Z1047, 1), IFERROR(0/0,""))
</f>
        <v/>
      </c>
      <c r="V1047" s="474" t="str">
        <f t="shared" si="5"/>
        <v>RUN-FLMP_2022-04-14_RFR-111</v>
      </c>
      <c r="Y1047" s="89" t="str">
        <f t="shared" si="867"/>
        <v/>
      </c>
      <c r="Z1047" s="60" t="str">
        <f t="shared" si="7"/>
        <v/>
      </c>
      <c r="AA1047" s="60" t="str">
        <f t="shared" si="8"/>
        <v/>
      </c>
      <c r="AB1047" s="60" t="str">
        <f t="shared" si="9"/>
        <v/>
      </c>
      <c r="AC1047" s="30" t="str">
        <f t="shared" ref="AC1047:AD1047" si="1403">IF(_xlfn.ISFORMULA(S1047),IFERROR(0/0,""),TRUE)</f>
        <v/>
      </c>
      <c r="AD1047" s="30" t="str">
        <f t="shared" si="1403"/>
        <v/>
      </c>
      <c r="AE1047" s="475" t="str">
        <f>IFERROR(__xludf.DUMMYFUNCTION("""COMPUTED_VALUE"""),"CRLN")</f>
        <v>CRLN</v>
      </c>
      <c r="AF1047" s="476"/>
      <c r="AG1047" s="474" t="s">
        <v>199</v>
      </c>
      <c r="AH1047" s="138" t="str">
        <f t="shared" si="11"/>
        <v/>
      </c>
    </row>
    <row r="1048">
      <c r="A1048" s="103" t="str">
        <f>IFERROR(__xludf.DUMMYFUNCTION("""COMPUTED_VALUE"""),"FLB7168")</f>
        <v>FLB7168</v>
      </c>
      <c r="B1048" s="468">
        <f>IFERROR(__xludf.DUMMYFUNCTION("""COMPUTED_VALUE"""),44665.0)</f>
        <v>44665</v>
      </c>
      <c r="C1048" s="469">
        <f>IFERROR(__xludf.DUMMYFUNCTION("""COMPUTED_VALUE"""),0.35260416666666666)</f>
        <v>0.3526041667</v>
      </c>
      <c r="D1048" s="103" t="str">
        <f>IFERROR(__xludf.DUMMYFUNCTION("""COMPUTED_VALUE"""),"SpFLMP544731")</f>
        <v>SpFLMP544731</v>
      </c>
      <c r="E1048" s="103"/>
      <c r="F1048" s="103"/>
      <c r="G1048" s="103" t="str">
        <f>IFERROR(__xludf.DUMMYFUNCTION("""COMPUTED_VALUE"""),"Negative")</f>
        <v>Negative</v>
      </c>
      <c r="H1048" s="131" t="str">
        <f>IFERROR(__xludf.DUMMYFUNCTION("""COMPUTED_VALUE"""),"Negative")</f>
        <v>Negative</v>
      </c>
      <c r="I1048" s="468">
        <f>IFERROR(__xludf.DUMMYFUNCTION("""COMPUTED_VALUE"""),44665.0)</f>
        <v>44665</v>
      </c>
      <c r="J1048" s="470">
        <f>IFERROR(__xludf.DUMMYFUNCTION("""COMPUTED_VALUE"""),0.4333796296296296)</f>
        <v>0.4333796296</v>
      </c>
      <c r="K1048" s="16"/>
      <c r="L1048" s="8"/>
      <c r="M1048" s="69"/>
      <c r="N1048" s="69">
        <f>IFERROR(__xludf.DUMMYFUNCTION("""COMPUTED_VALUE"""),3.0)</f>
        <v>3</v>
      </c>
      <c r="O1048" s="69" t="str">
        <f t="shared" si="3"/>
        <v/>
      </c>
      <c r="P1048" s="471">
        <f>IFERROR(__xludf.DUMMYFUNCTION("""COMPUTED_VALUE"""),0.0)</f>
        <v>0</v>
      </c>
      <c r="Q1048" s="274" t="b">
        <f>VLOOKUP($B1048,'Run Reconcile'!B$2:O2488,14,FALSE)</f>
        <v>1</v>
      </c>
      <c r="R1048" s="472" t="str">
        <f t="array" ref="R1048">IF($Q1048, INDEX('Run Reconcile'!A$2:A2488,MATCH(B1048,'Run Reconcile'!B$2:B2488,0),1),IFERROR(0/0,""))</f>
        <v>RUN-FLMP_2022-04-14_RFR-111</v>
      </c>
      <c r="S1048" s="473" t="str">
        <f t="shared" si="694"/>
        <v/>
      </c>
      <c r="T1048" s="473" t="str">
        <f t="shared" si="698"/>
        <v/>
      </c>
      <c r="U1048" s="275" t="str">
        <f t="array" ref="U1048">IF(ISBLANK($R1048), INDEX('Run Reconcile'!A$2:A2488, MATCH($B1048, 'Run Reconcile'!B$2:B2488, 0)+Z1048, 1), IFERROR(0/0,""))
</f>
        <v/>
      </c>
      <c r="V1048" s="474" t="str">
        <f t="shared" si="5"/>
        <v>RUN-FLMP_2022-04-14_RFR-111</v>
      </c>
      <c r="Y1048" s="89" t="str">
        <f t="shared" si="867"/>
        <v/>
      </c>
      <c r="Z1048" s="60" t="str">
        <f t="shared" si="7"/>
        <v/>
      </c>
      <c r="AA1048" s="60" t="str">
        <f t="shared" si="8"/>
        <v/>
      </c>
      <c r="AB1048" s="60" t="str">
        <f t="shared" si="9"/>
        <v/>
      </c>
      <c r="AC1048" s="30" t="str">
        <f t="shared" ref="AC1048:AD1048" si="1404">IF(_xlfn.ISFORMULA(S1048),IFERROR(0/0,""),TRUE)</f>
        <v/>
      </c>
      <c r="AD1048" s="30" t="str">
        <f t="shared" si="1404"/>
        <v/>
      </c>
      <c r="AE1048" s="475" t="str">
        <f>IFERROR(__xludf.DUMMYFUNCTION("""COMPUTED_VALUE"""),"CRLN")</f>
        <v>CRLN</v>
      </c>
      <c r="AF1048" s="476"/>
      <c r="AG1048" s="474" t="s">
        <v>199</v>
      </c>
      <c r="AH1048" s="138" t="str">
        <f t="shared" si="11"/>
        <v/>
      </c>
    </row>
    <row r="1049">
      <c r="A1049" s="103" t="str">
        <f>IFERROR(__xludf.DUMMYFUNCTION("""COMPUTED_VALUE"""),"FLB4912")</f>
        <v>FLB4912</v>
      </c>
      <c r="B1049" s="468">
        <f>IFERROR(__xludf.DUMMYFUNCTION("""COMPUTED_VALUE"""),44665.0)</f>
        <v>44665</v>
      </c>
      <c r="C1049" s="469">
        <f>IFERROR(__xludf.DUMMYFUNCTION("""COMPUTED_VALUE"""),0.3539351851851852)</f>
        <v>0.3539351852</v>
      </c>
      <c r="D1049" s="103" t="str">
        <f>IFERROR(__xludf.DUMMYFUNCTION("""COMPUTED_VALUE"""),"SpFLMP600756")</f>
        <v>SpFLMP600756</v>
      </c>
      <c r="E1049" s="103"/>
      <c r="F1049" s="103"/>
      <c r="G1049" s="103" t="str">
        <f>IFERROR(__xludf.DUMMYFUNCTION("""COMPUTED_VALUE"""),"Negative")</f>
        <v>Negative</v>
      </c>
      <c r="H1049" s="131" t="str">
        <f>IFERROR(__xludf.DUMMYFUNCTION("""COMPUTED_VALUE"""),"Negative")</f>
        <v>Negative</v>
      </c>
      <c r="I1049" s="468">
        <f>IFERROR(__xludf.DUMMYFUNCTION("""COMPUTED_VALUE"""),44665.0)</f>
        <v>44665</v>
      </c>
      <c r="J1049" s="470">
        <f>IFERROR(__xludf.DUMMYFUNCTION("""COMPUTED_VALUE"""),0.4333796296296296)</f>
        <v>0.4333796296</v>
      </c>
      <c r="K1049" s="16"/>
      <c r="L1049" s="8"/>
      <c r="M1049" s="69"/>
      <c r="N1049" s="69">
        <f>IFERROR(__xludf.DUMMYFUNCTION("""COMPUTED_VALUE"""),2.0)</f>
        <v>2</v>
      </c>
      <c r="O1049" s="69" t="str">
        <f t="shared" si="3"/>
        <v/>
      </c>
      <c r="P1049" s="471">
        <f>IFERROR(__xludf.DUMMYFUNCTION("""COMPUTED_VALUE"""),0.0)</f>
        <v>0</v>
      </c>
      <c r="Q1049" s="274" t="b">
        <f>VLOOKUP($B1049,'Run Reconcile'!B$2:O2488,14,FALSE)</f>
        <v>1</v>
      </c>
      <c r="R1049" s="472" t="str">
        <f t="array" ref="R1049">IF($Q1049, INDEX('Run Reconcile'!A$2:A2488,MATCH(B1049,'Run Reconcile'!B$2:B2488,0),1),IFERROR(0/0,""))</f>
        <v>RUN-FLMP_2022-04-14_RFR-111</v>
      </c>
      <c r="S1049" s="473" t="str">
        <f t="shared" si="694"/>
        <v/>
      </c>
      <c r="T1049" s="473" t="str">
        <f t="shared" si="698"/>
        <v/>
      </c>
      <c r="U1049" s="275" t="str">
        <f t="array" ref="U1049">IF(ISBLANK($R1049), INDEX('Run Reconcile'!A$2:A2488, MATCH($B1049, 'Run Reconcile'!B$2:B2488, 0)+Z1049, 1), IFERROR(0/0,""))
</f>
        <v/>
      </c>
      <c r="V1049" s="474" t="str">
        <f t="shared" si="5"/>
        <v>RUN-FLMP_2022-04-14_RFR-111</v>
      </c>
      <c r="Y1049" s="89" t="str">
        <f t="shared" si="867"/>
        <v/>
      </c>
      <c r="Z1049" s="60" t="str">
        <f t="shared" si="7"/>
        <v/>
      </c>
      <c r="AA1049" s="60" t="str">
        <f t="shared" si="8"/>
        <v/>
      </c>
      <c r="AB1049" s="60" t="str">
        <f t="shared" si="9"/>
        <v/>
      </c>
      <c r="AC1049" s="30" t="str">
        <f t="shared" ref="AC1049:AD1049" si="1405">IF(_xlfn.ISFORMULA(S1049),IFERROR(0/0,""),TRUE)</f>
        <v/>
      </c>
      <c r="AD1049" s="30" t="str">
        <f t="shared" si="1405"/>
        <v/>
      </c>
      <c r="AE1049" s="475" t="str">
        <f>IFERROR(__xludf.DUMMYFUNCTION("""COMPUTED_VALUE"""),"CRLN")</f>
        <v>CRLN</v>
      </c>
      <c r="AF1049" s="476"/>
      <c r="AG1049" s="474" t="s">
        <v>199</v>
      </c>
      <c r="AH1049" s="138" t="str">
        <f t="shared" si="11"/>
        <v/>
      </c>
    </row>
    <row r="1050">
      <c r="A1050" s="103" t="str">
        <f>IFERROR(__xludf.DUMMYFUNCTION("""COMPUTED_VALUE"""),"FLB4910")</f>
        <v>FLB4910</v>
      </c>
      <c r="B1050" s="468">
        <f>IFERROR(__xludf.DUMMYFUNCTION("""COMPUTED_VALUE"""),44665.0)</f>
        <v>44665</v>
      </c>
      <c r="C1050" s="469">
        <f>IFERROR(__xludf.DUMMYFUNCTION("""COMPUTED_VALUE"""),0.35533564814814816)</f>
        <v>0.3553356481</v>
      </c>
      <c r="D1050" s="103" t="str">
        <f>IFERROR(__xludf.DUMMYFUNCTION("""COMPUTED_VALUE"""),"SpFLMP939619")</f>
        <v>SpFLMP939619</v>
      </c>
      <c r="E1050" s="103"/>
      <c r="F1050" s="103"/>
      <c r="G1050" s="103" t="str">
        <f>IFERROR(__xludf.DUMMYFUNCTION("""COMPUTED_VALUE"""),"Negative")</f>
        <v>Negative</v>
      </c>
      <c r="H1050" s="131" t="str">
        <f>IFERROR(__xludf.DUMMYFUNCTION("""COMPUTED_VALUE"""),"Negative")</f>
        <v>Negative</v>
      </c>
      <c r="I1050" s="468">
        <f>IFERROR(__xludf.DUMMYFUNCTION("""COMPUTED_VALUE"""),44665.0)</f>
        <v>44665</v>
      </c>
      <c r="J1050" s="470">
        <f>IFERROR(__xludf.DUMMYFUNCTION("""COMPUTED_VALUE"""),0.4333912037037037)</f>
        <v>0.4333912037</v>
      </c>
      <c r="K1050" s="16"/>
      <c r="L1050" s="8"/>
      <c r="M1050" s="69"/>
      <c r="N1050" s="69">
        <f>IFERROR(__xludf.DUMMYFUNCTION("""COMPUTED_VALUE"""),1.0)</f>
        <v>1</v>
      </c>
      <c r="O1050" s="69" t="str">
        <f t="shared" si="3"/>
        <v/>
      </c>
      <c r="P1050" s="471">
        <f>IFERROR(__xludf.DUMMYFUNCTION("""COMPUTED_VALUE"""),0.0)</f>
        <v>0</v>
      </c>
      <c r="Q1050" s="274" t="b">
        <f>VLOOKUP($B1050,'Run Reconcile'!B$2:O2488,14,FALSE)</f>
        <v>1</v>
      </c>
      <c r="R1050" s="472" t="str">
        <f t="array" ref="R1050">IF($Q1050, INDEX('Run Reconcile'!A$2:A2488,MATCH(B1050,'Run Reconcile'!B$2:B2488,0),1),IFERROR(0/0,""))</f>
        <v>RUN-FLMP_2022-04-14_RFR-111</v>
      </c>
      <c r="S1050" s="473" t="str">
        <f t="shared" si="694"/>
        <v/>
      </c>
      <c r="T1050" s="473" t="str">
        <f t="shared" si="698"/>
        <v/>
      </c>
      <c r="U1050" s="275" t="str">
        <f t="array" ref="U1050">IF(ISBLANK($R1050), INDEX('Run Reconcile'!A$2:A2488, MATCH($B1050, 'Run Reconcile'!B$2:B2488, 0)+Z1050, 1), IFERROR(0/0,""))
</f>
        <v/>
      </c>
      <c r="V1050" s="474" t="str">
        <f t="shared" si="5"/>
        <v>RUN-FLMP_2022-04-14_RFR-111</v>
      </c>
      <c r="Y1050" s="89" t="str">
        <f t="shared" si="867"/>
        <v/>
      </c>
      <c r="Z1050" s="60" t="str">
        <f t="shared" si="7"/>
        <v/>
      </c>
      <c r="AA1050" s="60" t="str">
        <f t="shared" si="8"/>
        <v/>
      </c>
      <c r="AB1050" s="60" t="str">
        <f t="shared" si="9"/>
        <v/>
      </c>
      <c r="AC1050" s="30" t="str">
        <f t="shared" ref="AC1050:AD1050" si="1406">IF(_xlfn.ISFORMULA(S1050),IFERROR(0/0,""),TRUE)</f>
        <v/>
      </c>
      <c r="AD1050" s="30" t="str">
        <f t="shared" si="1406"/>
        <v/>
      </c>
      <c r="AE1050" s="475" t="str">
        <f>IFERROR(__xludf.DUMMYFUNCTION("""COMPUTED_VALUE"""),"CRLN")</f>
        <v>CRLN</v>
      </c>
      <c r="AF1050" s="476"/>
      <c r="AG1050" s="474" t="s">
        <v>199</v>
      </c>
      <c r="AH1050" s="138" t="str">
        <f t="shared" si="11"/>
        <v/>
      </c>
    </row>
    <row r="1051">
      <c r="A1051" s="103" t="str">
        <f>IFERROR(__xludf.DUMMYFUNCTION("""COMPUTED_VALUE"""),"FLB4970")</f>
        <v>FLB4970</v>
      </c>
      <c r="B1051" s="468">
        <f>IFERROR(__xludf.DUMMYFUNCTION("""COMPUTED_VALUE"""),44665.0)</f>
        <v>44665</v>
      </c>
      <c r="C1051" s="469">
        <f>IFERROR(__xludf.DUMMYFUNCTION("""COMPUTED_VALUE"""),0.3574537037037037)</f>
        <v>0.3574537037</v>
      </c>
      <c r="D1051" s="103" t="str">
        <f>IFERROR(__xludf.DUMMYFUNCTION("""COMPUTED_VALUE"""),"SpFLMP170622")</f>
        <v>SpFLMP170622</v>
      </c>
      <c r="E1051" s="103"/>
      <c r="F1051" s="103"/>
      <c r="G1051" s="103" t="str">
        <f>IFERROR(__xludf.DUMMYFUNCTION("""COMPUTED_VALUE"""),"Negative")</f>
        <v>Negative</v>
      </c>
      <c r="H1051" s="131" t="str">
        <f>IFERROR(__xludf.DUMMYFUNCTION("""COMPUTED_VALUE"""),"Negative")</f>
        <v>Negative</v>
      </c>
      <c r="I1051" s="468">
        <f>IFERROR(__xludf.DUMMYFUNCTION("""COMPUTED_VALUE"""),44665.0)</f>
        <v>44665</v>
      </c>
      <c r="J1051" s="470">
        <f>IFERROR(__xludf.DUMMYFUNCTION("""COMPUTED_VALUE"""),0.4333912037037037)</f>
        <v>0.4333912037</v>
      </c>
      <c r="K1051" s="16"/>
      <c r="L1051" s="8"/>
      <c r="M1051" s="69"/>
      <c r="N1051" s="69">
        <f>IFERROR(__xludf.DUMMYFUNCTION("""COMPUTED_VALUE"""),2.0)</f>
        <v>2</v>
      </c>
      <c r="O1051" s="69" t="str">
        <f t="shared" si="3"/>
        <v/>
      </c>
      <c r="P1051" s="471">
        <f>IFERROR(__xludf.DUMMYFUNCTION("""COMPUTED_VALUE"""),0.0)</f>
        <v>0</v>
      </c>
      <c r="Q1051" s="274" t="b">
        <f>VLOOKUP($B1051,'Run Reconcile'!B$2:O2488,14,FALSE)</f>
        <v>1</v>
      </c>
      <c r="R1051" s="472" t="str">
        <f t="array" ref="R1051">IF($Q1051, INDEX('Run Reconcile'!A$2:A2488,MATCH(B1051,'Run Reconcile'!B$2:B2488,0),1),IFERROR(0/0,""))</f>
        <v>RUN-FLMP_2022-04-14_RFR-111</v>
      </c>
      <c r="S1051" s="473" t="str">
        <f t="shared" si="694"/>
        <v/>
      </c>
      <c r="T1051" s="473" t="str">
        <f t="shared" si="698"/>
        <v/>
      </c>
      <c r="U1051" s="275" t="str">
        <f t="array" ref="U1051">IF(ISBLANK($R1051), INDEX('Run Reconcile'!A$2:A2488, MATCH($B1051, 'Run Reconcile'!B$2:B2488, 0)+Z1051, 1), IFERROR(0/0,""))
</f>
        <v/>
      </c>
      <c r="V1051" s="474" t="str">
        <f t="shared" si="5"/>
        <v>RUN-FLMP_2022-04-14_RFR-111</v>
      </c>
      <c r="Y1051" s="89" t="str">
        <f t="shared" si="867"/>
        <v/>
      </c>
      <c r="Z1051" s="60" t="str">
        <f t="shared" si="7"/>
        <v/>
      </c>
      <c r="AA1051" s="60" t="str">
        <f t="shared" si="8"/>
        <v/>
      </c>
      <c r="AB1051" s="60" t="str">
        <f t="shared" si="9"/>
        <v/>
      </c>
      <c r="AC1051" s="30" t="str">
        <f t="shared" ref="AC1051:AD1051" si="1407">IF(_xlfn.ISFORMULA(S1051),IFERROR(0/0,""),TRUE)</f>
        <v/>
      </c>
      <c r="AD1051" s="30" t="str">
        <f t="shared" si="1407"/>
        <v/>
      </c>
      <c r="AE1051" s="475" t="str">
        <f>IFERROR(__xludf.DUMMYFUNCTION("""COMPUTED_VALUE"""),"CRLN")</f>
        <v>CRLN</v>
      </c>
      <c r="AF1051" s="476"/>
      <c r="AG1051" s="474" t="s">
        <v>199</v>
      </c>
      <c r="AH1051" s="138" t="str">
        <f t="shared" si="11"/>
        <v/>
      </c>
    </row>
    <row r="1052">
      <c r="A1052" s="103" t="str">
        <f>IFERROR(__xludf.DUMMYFUNCTION("""COMPUTED_VALUE"""),"FLE848")</f>
        <v>FLE848</v>
      </c>
      <c r="B1052" s="468">
        <f>IFERROR(__xludf.DUMMYFUNCTION("""COMPUTED_VALUE"""),44665.0)</f>
        <v>44665</v>
      </c>
      <c r="C1052" s="469">
        <f>IFERROR(__xludf.DUMMYFUNCTION("""COMPUTED_VALUE"""),0.3576273148148148)</f>
        <v>0.3576273148</v>
      </c>
      <c r="D1052" s="103" t="str">
        <f>IFERROR(__xludf.DUMMYFUNCTION("""COMPUTED_VALUE"""),"SpFLMP170622")</f>
        <v>SpFLMP170622</v>
      </c>
      <c r="E1052" s="103"/>
      <c r="F1052" s="103"/>
      <c r="G1052" s="103" t="str">
        <f>IFERROR(__xludf.DUMMYFUNCTION("""COMPUTED_VALUE"""),"Negative")</f>
        <v>Negative</v>
      </c>
      <c r="H1052" s="131" t="str">
        <f>IFERROR(__xludf.DUMMYFUNCTION("""COMPUTED_VALUE"""),"Negative")</f>
        <v>Negative</v>
      </c>
      <c r="I1052" s="468">
        <f>IFERROR(__xludf.DUMMYFUNCTION("""COMPUTED_VALUE"""),44665.0)</f>
        <v>44665</v>
      </c>
      <c r="J1052" s="470">
        <f>IFERROR(__xludf.DUMMYFUNCTION("""COMPUTED_VALUE"""),0.4333912037037037)</f>
        <v>0.4333912037</v>
      </c>
      <c r="K1052" s="16"/>
      <c r="L1052" s="8"/>
      <c r="M1052" s="69"/>
      <c r="N1052" s="69">
        <f>IFERROR(__xludf.DUMMYFUNCTION("""COMPUTED_VALUE"""),2.0)</f>
        <v>2</v>
      </c>
      <c r="O1052" s="69" t="str">
        <f t="shared" si="3"/>
        <v/>
      </c>
      <c r="P1052" s="471">
        <f>IFERROR(__xludf.DUMMYFUNCTION("""COMPUTED_VALUE"""),0.0)</f>
        <v>0</v>
      </c>
      <c r="Q1052" s="274" t="b">
        <f>VLOOKUP($B1052,'Run Reconcile'!B$2:O2488,14,FALSE)</f>
        <v>1</v>
      </c>
      <c r="R1052" s="472" t="str">
        <f t="array" ref="R1052">IF($Q1052, INDEX('Run Reconcile'!A$2:A2488,MATCH(B1052,'Run Reconcile'!B$2:B2488,0),1),IFERROR(0/0,""))</f>
        <v>RUN-FLMP_2022-04-14_RFR-111</v>
      </c>
      <c r="S1052" s="473" t="str">
        <f t="shared" si="694"/>
        <v/>
      </c>
      <c r="T1052" s="473" t="str">
        <f t="shared" si="698"/>
        <v/>
      </c>
      <c r="U1052" s="275" t="str">
        <f t="array" ref="U1052">IF(ISBLANK($R1052), INDEX('Run Reconcile'!A$2:A2488, MATCH($B1052, 'Run Reconcile'!B$2:B2488, 0)+Z1052, 1), IFERROR(0/0,""))
</f>
        <v/>
      </c>
      <c r="V1052" s="474" t="str">
        <f t="shared" si="5"/>
        <v>RUN-FLMP_2022-04-14_RFR-111</v>
      </c>
      <c r="Y1052" s="89" t="str">
        <f t="shared" si="867"/>
        <v/>
      </c>
      <c r="Z1052" s="60" t="str">
        <f t="shared" si="7"/>
        <v/>
      </c>
      <c r="AA1052" s="60" t="str">
        <f t="shared" si="8"/>
        <v/>
      </c>
      <c r="AB1052" s="60" t="str">
        <f t="shared" si="9"/>
        <v/>
      </c>
      <c r="AC1052" s="30" t="str">
        <f t="shared" ref="AC1052:AD1052" si="1408">IF(_xlfn.ISFORMULA(S1052),IFERROR(0/0,""),TRUE)</f>
        <v/>
      </c>
      <c r="AD1052" s="30" t="str">
        <f t="shared" si="1408"/>
        <v/>
      </c>
      <c r="AE1052" s="475" t="str">
        <f>IFERROR(__xludf.DUMMYFUNCTION("""COMPUTED_VALUE"""),"CRLN")</f>
        <v>CRLN</v>
      </c>
      <c r="AF1052" s="476"/>
      <c r="AG1052" s="474" t="s">
        <v>199</v>
      </c>
      <c r="AH1052" s="138" t="str">
        <f t="shared" si="11"/>
        <v/>
      </c>
    </row>
    <row r="1053">
      <c r="A1053" s="103" t="str">
        <f>IFERROR(__xludf.DUMMYFUNCTION("""COMPUTED_VALUE"""),"FLE313")</f>
        <v>FLE313</v>
      </c>
      <c r="B1053" s="468">
        <f>IFERROR(__xludf.DUMMYFUNCTION("""COMPUTED_VALUE"""),44665.0)</f>
        <v>44665</v>
      </c>
      <c r="C1053" s="469">
        <f>IFERROR(__xludf.DUMMYFUNCTION("""COMPUTED_VALUE"""),0.35802083333333334)</f>
        <v>0.3580208333</v>
      </c>
      <c r="D1053" s="103" t="str">
        <f>IFERROR(__xludf.DUMMYFUNCTION("""COMPUTED_VALUE"""),"SpFLMP684798")</f>
        <v>SpFLMP684798</v>
      </c>
      <c r="E1053" s="103"/>
      <c r="F1053" s="103"/>
      <c r="G1053" s="103" t="str">
        <f>IFERROR(__xludf.DUMMYFUNCTION("""COMPUTED_VALUE"""),"Negative")</f>
        <v>Negative</v>
      </c>
      <c r="H1053" s="131" t="str">
        <f>IFERROR(__xludf.DUMMYFUNCTION("""COMPUTED_VALUE"""),"Negative")</f>
        <v>Negative</v>
      </c>
      <c r="I1053" s="468">
        <f>IFERROR(__xludf.DUMMYFUNCTION("""COMPUTED_VALUE"""),44665.0)</f>
        <v>44665</v>
      </c>
      <c r="J1053" s="470">
        <f>IFERROR(__xludf.DUMMYFUNCTION("""COMPUTED_VALUE"""),0.4333912037037037)</f>
        <v>0.4333912037</v>
      </c>
      <c r="K1053" s="16"/>
      <c r="L1053" s="8"/>
      <c r="M1053" s="69"/>
      <c r="N1053" s="69">
        <f>IFERROR(__xludf.DUMMYFUNCTION("""COMPUTED_VALUE"""),4.0)</f>
        <v>4</v>
      </c>
      <c r="O1053" s="69" t="str">
        <f t="shared" si="3"/>
        <v/>
      </c>
      <c r="P1053" s="471">
        <f>IFERROR(__xludf.DUMMYFUNCTION("""COMPUTED_VALUE"""),0.0)</f>
        <v>0</v>
      </c>
      <c r="Q1053" s="274" t="b">
        <f>VLOOKUP($B1053,'Run Reconcile'!B$2:O2488,14,FALSE)</f>
        <v>1</v>
      </c>
      <c r="R1053" s="472" t="str">
        <f t="array" ref="R1053">IF($Q1053, INDEX('Run Reconcile'!A$2:A2488,MATCH(B1053,'Run Reconcile'!B$2:B2488,0),1),IFERROR(0/0,""))</f>
        <v>RUN-FLMP_2022-04-14_RFR-111</v>
      </c>
      <c r="S1053" s="473" t="str">
        <f t="shared" si="694"/>
        <v/>
      </c>
      <c r="T1053" s="473" t="str">
        <f t="shared" si="698"/>
        <v/>
      </c>
      <c r="U1053" s="275" t="str">
        <f t="array" ref="U1053">IF(ISBLANK($R1053), INDEX('Run Reconcile'!A$2:A2488, MATCH($B1053, 'Run Reconcile'!B$2:B2488, 0)+Z1053, 1), IFERROR(0/0,""))
</f>
        <v/>
      </c>
      <c r="V1053" s="474" t="str">
        <f t="shared" si="5"/>
        <v>RUN-FLMP_2022-04-14_RFR-111</v>
      </c>
      <c r="Y1053" s="89" t="str">
        <f t="shared" si="867"/>
        <v/>
      </c>
      <c r="Z1053" s="60" t="str">
        <f t="shared" si="7"/>
        <v/>
      </c>
      <c r="AA1053" s="60" t="str">
        <f t="shared" si="8"/>
        <v/>
      </c>
      <c r="AB1053" s="60" t="str">
        <f t="shared" si="9"/>
        <v/>
      </c>
      <c r="AC1053" s="30" t="str">
        <f t="shared" ref="AC1053:AD1053" si="1409">IF(_xlfn.ISFORMULA(S1053),IFERROR(0/0,""),TRUE)</f>
        <v/>
      </c>
      <c r="AD1053" s="30" t="str">
        <f t="shared" si="1409"/>
        <v/>
      </c>
      <c r="AE1053" s="475" t="str">
        <f>IFERROR(__xludf.DUMMYFUNCTION("""COMPUTED_VALUE"""),"CRLN")</f>
        <v>CRLN</v>
      </c>
      <c r="AF1053" s="476"/>
      <c r="AG1053" s="474" t="s">
        <v>199</v>
      </c>
      <c r="AH1053" s="138" t="str">
        <f t="shared" si="11"/>
        <v/>
      </c>
    </row>
    <row r="1054">
      <c r="A1054" s="103" t="str">
        <f>IFERROR(__xludf.DUMMYFUNCTION("""COMPUTED_VALUE"""),"AH683")</f>
        <v>AH683</v>
      </c>
      <c r="B1054" s="468">
        <f>IFERROR(__xludf.DUMMYFUNCTION("""COMPUTED_VALUE"""),44665.0)</f>
        <v>44665</v>
      </c>
      <c r="C1054" s="469">
        <f>IFERROR(__xludf.DUMMYFUNCTION("""COMPUTED_VALUE"""),0.36439814814814814)</f>
        <v>0.3643981481</v>
      </c>
      <c r="D1054" s="103" t="str">
        <f>IFERROR(__xludf.DUMMYFUNCTION("""COMPUTED_VALUE"""),"SpFLMP525199")</f>
        <v>SpFLMP525199</v>
      </c>
      <c r="E1054" s="103"/>
      <c r="F1054" s="103"/>
      <c r="G1054" s="103" t="str">
        <f>IFERROR(__xludf.DUMMYFUNCTION("""COMPUTED_VALUE"""),"Negative")</f>
        <v>Negative</v>
      </c>
      <c r="H1054" s="131" t="str">
        <f>IFERROR(__xludf.DUMMYFUNCTION("""COMPUTED_VALUE"""),"Negative")</f>
        <v>Negative</v>
      </c>
      <c r="I1054" s="468">
        <f>IFERROR(__xludf.DUMMYFUNCTION("""COMPUTED_VALUE"""),44665.0)</f>
        <v>44665</v>
      </c>
      <c r="J1054" s="470">
        <f>IFERROR(__xludf.DUMMYFUNCTION("""COMPUTED_VALUE"""),0.4333912037037037)</f>
        <v>0.4333912037</v>
      </c>
      <c r="K1054" s="16"/>
      <c r="L1054" s="8"/>
      <c r="M1054" s="69"/>
      <c r="N1054" s="69">
        <f>IFERROR(__xludf.DUMMYFUNCTION("""COMPUTED_VALUE"""),2.0)</f>
        <v>2</v>
      </c>
      <c r="O1054" s="69" t="str">
        <f t="shared" si="3"/>
        <v/>
      </c>
      <c r="P1054" s="471">
        <f>IFERROR(__xludf.DUMMYFUNCTION("""COMPUTED_VALUE"""),0.0)</f>
        <v>0</v>
      </c>
      <c r="Q1054" s="274" t="b">
        <f>VLOOKUP($B1054,'Run Reconcile'!B$2:O2488,14,FALSE)</f>
        <v>1</v>
      </c>
      <c r="R1054" s="472" t="str">
        <f t="array" ref="R1054">IF($Q1054, INDEX('Run Reconcile'!A$2:A2488,MATCH(B1054,'Run Reconcile'!B$2:B2488,0),1),IFERROR(0/0,""))</f>
        <v>RUN-FLMP_2022-04-14_RFR-111</v>
      </c>
      <c r="S1054" s="473" t="str">
        <f t="shared" si="694"/>
        <v/>
      </c>
      <c r="T1054" s="473" t="str">
        <f t="shared" si="698"/>
        <v/>
      </c>
      <c r="U1054" s="275" t="str">
        <f t="array" ref="U1054">IF(ISBLANK($R1054), INDEX('Run Reconcile'!A$2:A2488, MATCH($B1054, 'Run Reconcile'!B$2:B2488, 0)+Z1054, 1), IFERROR(0/0,""))
</f>
        <v/>
      </c>
      <c r="V1054" s="474" t="str">
        <f t="shared" si="5"/>
        <v>RUN-FLMP_2022-04-14_RFR-111</v>
      </c>
      <c r="Y1054" s="89" t="str">
        <f t="shared" si="867"/>
        <v/>
      </c>
      <c r="Z1054" s="60" t="str">
        <f t="shared" si="7"/>
        <v/>
      </c>
      <c r="AA1054" s="60" t="str">
        <f t="shared" si="8"/>
        <v/>
      </c>
      <c r="AB1054" s="60" t="str">
        <f t="shared" si="9"/>
        <v/>
      </c>
      <c r="AC1054" s="30" t="str">
        <f t="shared" ref="AC1054:AD1054" si="1410">IF(_xlfn.ISFORMULA(S1054),IFERROR(0/0,""),TRUE)</f>
        <v/>
      </c>
      <c r="AD1054" s="30" t="str">
        <f t="shared" si="1410"/>
        <v/>
      </c>
      <c r="AE1054" s="475" t="str">
        <f>IFERROR(__xludf.DUMMYFUNCTION("""COMPUTED_VALUE"""),"CRLN")</f>
        <v>CRLN</v>
      </c>
      <c r="AF1054" s="476"/>
      <c r="AG1054" s="474" t="s">
        <v>199</v>
      </c>
      <c r="AH1054" s="138" t="str">
        <f t="shared" si="11"/>
        <v/>
      </c>
    </row>
    <row r="1055">
      <c r="A1055" s="103" t="str">
        <f>IFERROR(__xludf.DUMMYFUNCTION("""COMPUTED_VALUE"""),"AG1613")</f>
        <v>AG1613</v>
      </c>
      <c r="B1055" s="468">
        <f>IFERROR(__xludf.DUMMYFUNCTION("""COMPUTED_VALUE"""),44665.0)</f>
        <v>44665</v>
      </c>
      <c r="C1055" s="469">
        <f>IFERROR(__xludf.DUMMYFUNCTION("""COMPUTED_VALUE"""),0.3653125)</f>
        <v>0.3653125</v>
      </c>
      <c r="D1055" s="103" t="str">
        <f>IFERROR(__xludf.DUMMYFUNCTION("""COMPUTED_VALUE"""),"SpFLMP271329")</f>
        <v>SpFLMP271329</v>
      </c>
      <c r="E1055" s="103"/>
      <c r="F1055" s="103"/>
      <c r="G1055" s="103" t="str">
        <f>IFERROR(__xludf.DUMMYFUNCTION("""COMPUTED_VALUE"""),"Negative")</f>
        <v>Negative</v>
      </c>
      <c r="H1055" s="131" t="str">
        <f>IFERROR(__xludf.DUMMYFUNCTION("""COMPUTED_VALUE"""),"Negative")</f>
        <v>Negative</v>
      </c>
      <c r="I1055" s="468">
        <f>IFERROR(__xludf.DUMMYFUNCTION("""COMPUTED_VALUE"""),44665.0)</f>
        <v>44665</v>
      </c>
      <c r="J1055" s="470">
        <f>IFERROR(__xludf.DUMMYFUNCTION("""COMPUTED_VALUE"""),0.4333912037037037)</f>
        <v>0.4333912037</v>
      </c>
      <c r="K1055" s="16"/>
      <c r="L1055" s="8"/>
      <c r="M1055" s="69"/>
      <c r="N1055" s="69">
        <f>IFERROR(__xludf.DUMMYFUNCTION("""COMPUTED_VALUE"""),1.0)</f>
        <v>1</v>
      </c>
      <c r="O1055" s="69" t="str">
        <f t="shared" si="3"/>
        <v/>
      </c>
      <c r="P1055" s="471">
        <f>IFERROR(__xludf.DUMMYFUNCTION("""COMPUTED_VALUE"""),0.0)</f>
        <v>0</v>
      </c>
      <c r="Q1055" s="274" t="b">
        <f>VLOOKUP($B1055,'Run Reconcile'!B$2:O2488,14,FALSE)</f>
        <v>1</v>
      </c>
      <c r="R1055" s="472" t="str">
        <f t="array" ref="R1055">IF($Q1055, INDEX('Run Reconcile'!A$2:A2488,MATCH(B1055,'Run Reconcile'!B$2:B2488,0),1),IFERROR(0/0,""))</f>
        <v>RUN-FLMP_2022-04-14_RFR-111</v>
      </c>
      <c r="S1055" s="473" t="str">
        <f t="shared" si="694"/>
        <v/>
      </c>
      <c r="T1055" s="473" t="str">
        <f t="shared" si="698"/>
        <v/>
      </c>
      <c r="U1055" s="275" t="str">
        <f t="array" ref="U1055">IF(ISBLANK($R1055), INDEX('Run Reconcile'!A$2:A2488, MATCH($B1055, 'Run Reconcile'!B$2:B2488, 0)+Z1055, 1), IFERROR(0/0,""))
</f>
        <v/>
      </c>
      <c r="V1055" s="474" t="str">
        <f t="shared" si="5"/>
        <v>RUN-FLMP_2022-04-14_RFR-111</v>
      </c>
      <c r="Y1055" s="89" t="str">
        <f t="shared" si="867"/>
        <v/>
      </c>
      <c r="Z1055" s="60" t="str">
        <f t="shared" si="7"/>
        <v/>
      </c>
      <c r="AA1055" s="60" t="str">
        <f t="shared" si="8"/>
        <v/>
      </c>
      <c r="AB1055" s="60" t="str">
        <f t="shared" si="9"/>
        <v/>
      </c>
      <c r="AC1055" s="30" t="str">
        <f t="shared" ref="AC1055:AD1055" si="1411">IF(_xlfn.ISFORMULA(S1055),IFERROR(0/0,""),TRUE)</f>
        <v/>
      </c>
      <c r="AD1055" s="30" t="str">
        <f t="shared" si="1411"/>
        <v/>
      </c>
      <c r="AE1055" s="475" t="str">
        <f>IFERROR(__xludf.DUMMYFUNCTION("""COMPUTED_VALUE"""),"CRLN")</f>
        <v>CRLN</v>
      </c>
      <c r="AF1055" s="476"/>
      <c r="AG1055" s="474" t="s">
        <v>199</v>
      </c>
      <c r="AH1055" s="138" t="str">
        <f t="shared" si="11"/>
        <v/>
      </c>
    </row>
    <row r="1056">
      <c r="A1056" s="103" t="str">
        <f>IFERROR(__xludf.DUMMYFUNCTION("""COMPUTED_VALUE"""),"FLB7169")</f>
        <v>FLB7169</v>
      </c>
      <c r="B1056" s="468">
        <f>IFERROR(__xludf.DUMMYFUNCTION("""COMPUTED_VALUE"""),44665.0)</f>
        <v>44665</v>
      </c>
      <c r="C1056" s="469">
        <f>IFERROR(__xludf.DUMMYFUNCTION("""COMPUTED_VALUE"""),0.37159722222222225)</f>
        <v>0.3715972222</v>
      </c>
      <c r="D1056" s="103" t="str">
        <f>IFERROR(__xludf.DUMMYFUNCTION("""COMPUTED_VALUE"""),"SpFLMP572444")</f>
        <v>SpFLMP572444</v>
      </c>
      <c r="E1056" s="103"/>
      <c r="F1056" s="103"/>
      <c r="G1056" s="103" t="str">
        <f>IFERROR(__xludf.DUMMYFUNCTION("""COMPUTED_VALUE"""),"Negative")</f>
        <v>Negative</v>
      </c>
      <c r="H1056" s="131" t="str">
        <f>IFERROR(__xludf.DUMMYFUNCTION("""COMPUTED_VALUE"""),"Negative")</f>
        <v>Negative</v>
      </c>
      <c r="I1056" s="468">
        <f>IFERROR(__xludf.DUMMYFUNCTION("""COMPUTED_VALUE"""),44665.0)</f>
        <v>44665</v>
      </c>
      <c r="J1056" s="470">
        <f>IFERROR(__xludf.DUMMYFUNCTION("""COMPUTED_VALUE"""),0.4333912037037037)</f>
        <v>0.4333912037</v>
      </c>
      <c r="K1056" s="16"/>
      <c r="L1056" s="8"/>
      <c r="M1056" s="69"/>
      <c r="N1056" s="69">
        <f>IFERROR(__xludf.DUMMYFUNCTION("""COMPUTED_VALUE"""),3.0)</f>
        <v>3</v>
      </c>
      <c r="O1056" s="69" t="str">
        <f t="shared" si="3"/>
        <v/>
      </c>
      <c r="P1056" s="471">
        <f>IFERROR(__xludf.DUMMYFUNCTION("""COMPUTED_VALUE"""),0.0)</f>
        <v>0</v>
      </c>
      <c r="Q1056" s="274" t="b">
        <f>VLOOKUP($B1056,'Run Reconcile'!B$2:O2488,14,FALSE)</f>
        <v>1</v>
      </c>
      <c r="R1056" s="472" t="str">
        <f t="array" ref="R1056">IF($Q1056, INDEX('Run Reconcile'!A$2:A2488,MATCH(B1056,'Run Reconcile'!B$2:B2488,0),1),IFERROR(0/0,""))</f>
        <v>RUN-FLMP_2022-04-14_RFR-111</v>
      </c>
      <c r="S1056" s="473" t="str">
        <f t="shared" si="694"/>
        <v/>
      </c>
      <c r="T1056" s="473" t="str">
        <f t="shared" si="698"/>
        <v/>
      </c>
      <c r="U1056" s="275" t="str">
        <f t="array" ref="U1056">IF(ISBLANK($R1056), INDEX('Run Reconcile'!A$2:A2488, MATCH($B1056, 'Run Reconcile'!B$2:B2488, 0)+Z1056, 1), IFERROR(0/0,""))
</f>
        <v/>
      </c>
      <c r="V1056" s="474" t="str">
        <f t="shared" si="5"/>
        <v>RUN-FLMP_2022-04-14_RFR-111</v>
      </c>
      <c r="Y1056" s="89" t="str">
        <f t="shared" si="867"/>
        <v/>
      </c>
      <c r="Z1056" s="60" t="str">
        <f t="shared" si="7"/>
        <v/>
      </c>
      <c r="AA1056" s="60" t="str">
        <f t="shared" si="8"/>
        <v/>
      </c>
      <c r="AB1056" s="60" t="str">
        <f t="shared" si="9"/>
        <v/>
      </c>
      <c r="AC1056" s="30" t="str">
        <f t="shared" ref="AC1056:AD1056" si="1412">IF(_xlfn.ISFORMULA(S1056),IFERROR(0/0,""),TRUE)</f>
        <v/>
      </c>
      <c r="AD1056" s="30" t="str">
        <f t="shared" si="1412"/>
        <v/>
      </c>
      <c r="AE1056" s="475" t="str">
        <f>IFERROR(__xludf.DUMMYFUNCTION("""COMPUTED_VALUE"""),"CRLN")</f>
        <v>CRLN</v>
      </c>
      <c r="AF1056" s="476"/>
      <c r="AG1056" s="474" t="s">
        <v>199</v>
      </c>
      <c r="AH1056" s="138" t="str">
        <f t="shared" si="11"/>
        <v/>
      </c>
    </row>
    <row r="1057">
      <c r="A1057" s="103" t="str">
        <f>IFERROR(__xludf.DUMMYFUNCTION("""COMPUTED_VALUE"""),"FLB4909")</f>
        <v>FLB4909</v>
      </c>
      <c r="B1057" s="468">
        <f>IFERROR(__xludf.DUMMYFUNCTION("""COMPUTED_VALUE"""),44665.0)</f>
        <v>44665</v>
      </c>
      <c r="C1057" s="469">
        <f>IFERROR(__xludf.DUMMYFUNCTION("""COMPUTED_VALUE"""),0.37539351851851854)</f>
        <v>0.3753935185</v>
      </c>
      <c r="D1057" s="103" t="str">
        <f>IFERROR(__xludf.DUMMYFUNCTION("""COMPUTED_VALUE"""),"SpFLMP496039")</f>
        <v>SpFLMP496039</v>
      </c>
      <c r="E1057" s="103"/>
      <c r="F1057" s="103"/>
      <c r="G1057" s="103" t="str">
        <f>IFERROR(__xludf.DUMMYFUNCTION("""COMPUTED_VALUE"""),"Negative")</f>
        <v>Negative</v>
      </c>
      <c r="H1057" s="131" t="str">
        <f>IFERROR(__xludf.DUMMYFUNCTION("""COMPUTED_VALUE"""),"Negative")</f>
        <v>Negative</v>
      </c>
      <c r="I1057" s="468">
        <f>IFERROR(__xludf.DUMMYFUNCTION("""COMPUTED_VALUE"""),44665.0)</f>
        <v>44665</v>
      </c>
      <c r="J1057" s="470">
        <f>IFERROR(__xludf.DUMMYFUNCTION("""COMPUTED_VALUE"""),0.4333912037037037)</f>
        <v>0.4333912037</v>
      </c>
      <c r="K1057" s="16"/>
      <c r="L1057" s="8"/>
      <c r="M1057" s="69"/>
      <c r="N1057" s="69">
        <f>IFERROR(__xludf.DUMMYFUNCTION("""COMPUTED_VALUE"""),2.0)</f>
        <v>2</v>
      </c>
      <c r="O1057" s="69" t="str">
        <f t="shared" si="3"/>
        <v/>
      </c>
      <c r="P1057" s="471">
        <f>IFERROR(__xludf.DUMMYFUNCTION("""COMPUTED_VALUE"""),0.0)</f>
        <v>0</v>
      </c>
      <c r="Q1057" s="274" t="b">
        <f>VLOOKUP($B1057,'Run Reconcile'!B$2:O2488,14,FALSE)</f>
        <v>1</v>
      </c>
      <c r="R1057" s="472" t="str">
        <f t="array" ref="R1057">IF($Q1057, INDEX('Run Reconcile'!A$2:A2488,MATCH(B1057,'Run Reconcile'!B$2:B2488,0),1),IFERROR(0/0,""))</f>
        <v>RUN-FLMP_2022-04-14_RFR-111</v>
      </c>
      <c r="S1057" s="473" t="str">
        <f t="shared" si="694"/>
        <v/>
      </c>
      <c r="T1057" s="473" t="str">
        <f t="shared" si="698"/>
        <v/>
      </c>
      <c r="U1057" s="275" t="str">
        <f t="array" ref="U1057">IF(ISBLANK($R1057), INDEX('Run Reconcile'!A$2:A2488, MATCH($B1057, 'Run Reconcile'!B$2:B2488, 0)+Z1057, 1), IFERROR(0/0,""))
</f>
        <v/>
      </c>
      <c r="V1057" s="474" t="str">
        <f t="shared" si="5"/>
        <v>RUN-FLMP_2022-04-14_RFR-111</v>
      </c>
      <c r="Y1057" s="89" t="str">
        <f t="shared" si="867"/>
        <v/>
      </c>
      <c r="Z1057" s="60" t="str">
        <f t="shared" si="7"/>
        <v/>
      </c>
      <c r="AA1057" s="60" t="str">
        <f t="shared" si="8"/>
        <v/>
      </c>
      <c r="AB1057" s="60" t="str">
        <f t="shared" si="9"/>
        <v/>
      </c>
      <c r="AC1057" s="30" t="str">
        <f t="shared" ref="AC1057:AD1057" si="1413">IF(_xlfn.ISFORMULA(S1057),IFERROR(0/0,""),TRUE)</f>
        <v/>
      </c>
      <c r="AD1057" s="30" t="str">
        <f t="shared" si="1413"/>
        <v/>
      </c>
      <c r="AE1057" s="475" t="str">
        <f>IFERROR(__xludf.DUMMYFUNCTION("""COMPUTED_VALUE"""),"FLSP")</f>
        <v>FLSP</v>
      </c>
      <c r="AF1057" s="476"/>
      <c r="AG1057" s="474" t="s">
        <v>199</v>
      </c>
      <c r="AH1057" s="138" t="str">
        <f t="shared" si="11"/>
        <v/>
      </c>
    </row>
    <row r="1058">
      <c r="A1058" s="477" t="str">
        <f>IFERROR(__xludf.DUMMYFUNCTION("""COMPUTED_VALUE"""),"MA1017")</f>
        <v>MA1017</v>
      </c>
      <c r="B1058" s="478">
        <f>IFERROR(__xludf.DUMMYFUNCTION("""COMPUTED_VALUE"""),44667.0)</f>
        <v>44667</v>
      </c>
      <c r="C1058" s="479">
        <f>IFERROR(__xludf.DUMMYFUNCTION("""COMPUTED_VALUE"""),0.3483101851851852)</f>
        <v>0.3483101852</v>
      </c>
      <c r="D1058" s="477" t="str">
        <f>IFERROR(__xludf.DUMMYFUNCTION("""COMPUTED_VALUE"""),"SpFLMP604497")</f>
        <v>SpFLMP604497</v>
      </c>
      <c r="E1058" s="477"/>
      <c r="F1058" s="477"/>
      <c r="G1058" s="477" t="str">
        <f>IFERROR(__xludf.DUMMYFUNCTION("""COMPUTED_VALUE"""),"Null")</f>
        <v>Null</v>
      </c>
      <c r="H1058" s="480" t="str">
        <f>IFERROR(__xludf.DUMMYFUNCTION("""COMPUTED_VALUE"""),"Negative")</f>
        <v>Negative</v>
      </c>
      <c r="I1058" s="478"/>
      <c r="J1058" s="156"/>
      <c r="K1058" s="156">
        <f>IFERROR(__xludf.DUMMYFUNCTION("""COMPUTED_VALUE"""),2.0)</f>
        <v>2</v>
      </c>
      <c r="L1058" s="19"/>
      <c r="M1058" s="482"/>
      <c r="N1058" s="482">
        <f>IFERROR(__xludf.DUMMYFUNCTION("""COMPUTED_VALUE"""),4.0)</f>
        <v>4</v>
      </c>
      <c r="O1058" s="482" t="b">
        <f t="shared" si="3"/>
        <v>1</v>
      </c>
      <c r="P1058" s="483">
        <f>IFERROR(__xludf.DUMMYFUNCTION("""COMPUTED_VALUE"""),-1.0)</f>
        <v>-1</v>
      </c>
      <c r="Q1058" s="352" t="b">
        <f>VLOOKUP($B1058,'Run Reconcile'!B$2:O2488,14,FALSE)</f>
        <v>1</v>
      </c>
      <c r="R1058" s="484" t="str">
        <f t="array" ref="R1058">IF($Q1058, INDEX('Run Reconcile'!A$2:A2488,MATCH(B1058,'Run Reconcile'!B$2:B2488,0),1),IFERROR(0/0,""))</f>
        <v>RUN-FLMP_2022-04-16_APS-089</v>
      </c>
      <c r="S1058" s="485" t="str">
        <f t="shared" si="694"/>
        <v/>
      </c>
      <c r="T1058" s="485" t="str">
        <f t="shared" si="698"/>
        <v/>
      </c>
      <c r="U1058" s="353" t="str">
        <f t="array" ref="U1058">IF(ISBLANK($R1058), INDEX('Run Reconcile'!A$2:A2488, MATCH($B1058, 'Run Reconcile'!B$2:B2488, 0)+Z1058, 1), IFERROR(0/0,""))
</f>
        <v/>
      </c>
      <c r="V1058" s="486" t="str">
        <f t="shared" si="5"/>
        <v>RUN-FLMP_2022-04-16_APS-089</v>
      </c>
      <c r="W1058" s="19"/>
      <c r="X1058" s="19"/>
      <c r="Y1058" s="89" t="str">
        <f t="shared" si="867"/>
        <v/>
      </c>
      <c r="Z1058" s="60" t="str">
        <f t="shared" si="7"/>
        <v/>
      </c>
      <c r="AA1058" s="60" t="str">
        <f t="shared" si="8"/>
        <v/>
      </c>
      <c r="AB1058" s="60" t="str">
        <f t="shared" si="9"/>
        <v/>
      </c>
      <c r="AC1058" s="158" t="str">
        <f t="shared" ref="AC1058:AD1058" si="1414">IF(_xlfn.ISFORMULA(S1058),IFERROR(0/0,""),TRUE)</f>
        <v/>
      </c>
      <c r="AD1058" s="158" t="str">
        <f t="shared" si="1414"/>
        <v/>
      </c>
      <c r="AE1058" s="488" t="str">
        <f>IFERROR(__xludf.DUMMYFUNCTION("""COMPUTED_VALUE"""),"CRLN")</f>
        <v>CRLN</v>
      </c>
      <c r="AF1058" s="489"/>
      <c r="AG1058" s="486" t="s">
        <v>200</v>
      </c>
      <c r="AH1058" s="138" t="str">
        <f t="shared" si="11"/>
        <v/>
      </c>
      <c r="AI1058" s="19"/>
      <c r="AJ1058" s="19"/>
      <c r="AK1058" s="19"/>
      <c r="AL1058" s="19"/>
      <c r="AM1058" s="19"/>
    </row>
    <row r="1059">
      <c r="A1059" s="477" t="str">
        <f>IFERROR(__xludf.DUMMYFUNCTION("""COMPUTED_VALUE"""),"FLB5978")</f>
        <v>FLB5978</v>
      </c>
      <c r="B1059" s="478">
        <f>IFERROR(__xludf.DUMMYFUNCTION("""COMPUTED_VALUE"""),44668.0)</f>
        <v>44668</v>
      </c>
      <c r="C1059" s="479">
        <f>IFERROR(__xludf.DUMMYFUNCTION("""COMPUTED_VALUE"""),0.6657638888888889)</f>
        <v>0.6657638889</v>
      </c>
      <c r="D1059" s="477" t="str">
        <f>IFERROR(__xludf.DUMMYFUNCTION("""COMPUTED_VALUE"""),"SpFLMP683554")</f>
        <v>SpFLMP683554</v>
      </c>
      <c r="E1059" s="477"/>
      <c r="F1059" s="477"/>
      <c r="G1059" s="477" t="str">
        <f>IFERROR(__xludf.DUMMYFUNCTION("""COMPUTED_VALUE"""),"Negative")</f>
        <v>Negative</v>
      </c>
      <c r="H1059" s="480" t="str">
        <f>IFERROR(__xludf.DUMMYFUNCTION("""COMPUTED_VALUE"""),"Negative")</f>
        <v>Negative</v>
      </c>
      <c r="I1059" s="478">
        <f>IFERROR(__xludf.DUMMYFUNCTION("""COMPUTED_VALUE"""),44669.0)</f>
        <v>44669</v>
      </c>
      <c r="J1059" s="481">
        <f>IFERROR(__xludf.DUMMYFUNCTION("""COMPUTED_VALUE"""),0.4339351851851852)</f>
        <v>0.4339351852</v>
      </c>
      <c r="K1059" s="156"/>
      <c r="L1059" s="19"/>
      <c r="M1059" s="482"/>
      <c r="N1059" s="482">
        <f>IFERROR(__xludf.DUMMYFUNCTION("""COMPUTED_VALUE"""),1.0)</f>
        <v>1</v>
      </c>
      <c r="O1059" s="482" t="b">
        <f t="shared" si="3"/>
        <v>1</v>
      </c>
      <c r="P1059" s="483">
        <f>IFERROR(__xludf.DUMMYFUNCTION("""COMPUTED_VALUE"""),1.0)</f>
        <v>1</v>
      </c>
      <c r="Q1059" s="352" t="str">
        <f>VLOOKUP($B1059,'Run Reconcile'!B$2:O2488,14,FALSE)</f>
        <v/>
      </c>
      <c r="R1059" s="484" t="str">
        <f t="array" ref="R1059">IF($Q1059, INDEX('Run Reconcile'!A$2:A2488,MATCH(B1059,'Run Reconcile'!B$2:B2488,0),1),IFERROR(0/0,""))</f>
        <v/>
      </c>
      <c r="S1059" s="485" t="b">
        <f t="shared" si="694"/>
        <v>1</v>
      </c>
      <c r="T1059" s="485" t="str">
        <f t="shared" si="698"/>
        <v/>
      </c>
      <c r="U1059" s="353" t="str">
        <f t="array" ref="U1059">IF(ISBLANK($R1059), INDEX('Run Reconcile'!A$2:A2488, MATCH($B1059, 'Run Reconcile'!B$2:B2488, 0)+Z1059, 1), IFERROR(0/0,""))
</f>
        <v>RUN-FLMP_2022-04-18_RFR-113</v>
      </c>
      <c r="V1059" s="486" t="str">
        <f t="shared" si="5"/>
        <v>RUN-FLMP_2022-04-18_RFR-113</v>
      </c>
      <c r="W1059" s="19" t="s">
        <v>1474</v>
      </c>
      <c r="X1059" s="19"/>
      <c r="Y1059" s="89">
        <f t="shared" si="867"/>
        <v>1</v>
      </c>
      <c r="Z1059" s="60">
        <f t="shared" si="7"/>
        <v>1</v>
      </c>
      <c r="AA1059" s="60">
        <f t="shared" si="8"/>
        <v>1</v>
      </c>
      <c r="AB1059" s="60" t="str">
        <f t="shared" si="9"/>
        <v/>
      </c>
      <c r="AC1059" s="158" t="str">
        <f t="shared" ref="AC1059:AD1059" si="1415">IF(_xlfn.ISFORMULA(S1059),IFERROR(0/0,""),TRUE)</f>
        <v/>
      </c>
      <c r="AD1059" s="158" t="str">
        <f t="shared" si="1415"/>
        <v/>
      </c>
      <c r="AE1059" s="488" t="str">
        <f>IFERROR(__xludf.DUMMYFUNCTION("""COMPUTED_VALUE"""),"CRLN")</f>
        <v>CRLN</v>
      </c>
      <c r="AF1059" s="489"/>
      <c r="AG1059" s="486" t="s">
        <v>201</v>
      </c>
      <c r="AH1059" s="138" t="str">
        <f t="shared" si="11"/>
        <v/>
      </c>
      <c r="AI1059" s="19"/>
      <c r="AJ1059" s="19"/>
      <c r="AK1059" s="19"/>
      <c r="AL1059" s="19"/>
      <c r="AM1059" s="19"/>
    </row>
    <row r="1060">
      <c r="A1060" s="103" t="str">
        <f>IFERROR(__xludf.DUMMYFUNCTION("""COMPUTED_VALUE"""),"FLB7417")</f>
        <v>FLB7417</v>
      </c>
      <c r="B1060" s="468">
        <f>IFERROR(__xludf.DUMMYFUNCTION("""COMPUTED_VALUE"""),44668.0)</f>
        <v>44668</v>
      </c>
      <c r="C1060" s="469">
        <f>IFERROR(__xludf.DUMMYFUNCTION("""COMPUTED_VALUE"""),0.8768287037037037)</f>
        <v>0.8768287037</v>
      </c>
      <c r="D1060" s="103" t="str">
        <f>IFERROR(__xludf.DUMMYFUNCTION("""COMPUTED_VALUE"""),"SpFLMP268514")</f>
        <v>SpFLMP268514</v>
      </c>
      <c r="E1060" s="103"/>
      <c r="F1060" s="103"/>
      <c r="G1060" s="103" t="str">
        <f>IFERROR(__xludf.DUMMYFUNCTION("""COMPUTED_VALUE"""),"Negative")</f>
        <v>Negative</v>
      </c>
      <c r="H1060" s="131" t="str">
        <f>IFERROR(__xludf.DUMMYFUNCTION("""COMPUTED_VALUE"""),"Negative")</f>
        <v>Negative</v>
      </c>
      <c r="I1060" s="468">
        <f>IFERROR(__xludf.DUMMYFUNCTION("""COMPUTED_VALUE"""),44669.0)</f>
        <v>44669</v>
      </c>
      <c r="J1060" s="470">
        <f>IFERROR(__xludf.DUMMYFUNCTION("""COMPUTED_VALUE"""),0.4339351851851852)</f>
        <v>0.4339351852</v>
      </c>
      <c r="K1060" s="16"/>
      <c r="L1060" s="8"/>
      <c r="M1060" s="69"/>
      <c r="N1060" s="69">
        <f>IFERROR(__xludf.DUMMYFUNCTION("""COMPUTED_VALUE"""),4.0)</f>
        <v>4</v>
      </c>
      <c r="O1060" s="69" t="str">
        <f t="shared" si="3"/>
        <v/>
      </c>
      <c r="P1060" s="471">
        <f>IFERROR(__xludf.DUMMYFUNCTION("""COMPUTED_VALUE"""),1.0)</f>
        <v>1</v>
      </c>
      <c r="Q1060" s="274" t="str">
        <f>VLOOKUP($B1060,'Run Reconcile'!B$2:O2488,14,FALSE)</f>
        <v/>
      </c>
      <c r="R1060" s="472" t="str">
        <f t="array" ref="R1060">IF($Q1060, INDEX('Run Reconcile'!A$2:A2488,MATCH(B1060,'Run Reconcile'!B$2:B2488,0),1),IFERROR(0/0,""))</f>
        <v/>
      </c>
      <c r="S1060" s="473" t="b">
        <f t="shared" si="694"/>
        <v>1</v>
      </c>
      <c r="T1060" s="473" t="str">
        <f t="shared" si="698"/>
        <v/>
      </c>
      <c r="U1060" s="275" t="str">
        <f t="array" ref="U1060">IF(ISBLANK($R1060), INDEX('Run Reconcile'!A$2:A2488, MATCH($B1060, 'Run Reconcile'!B$2:B2488, 0)+Z1060, 1), IFERROR(0/0,""))
</f>
        <v>RUN-FLMP_2022-04-18_RFR-113</v>
      </c>
      <c r="V1060" s="474" t="str">
        <f t="shared" si="5"/>
        <v>RUN-FLMP_2022-04-18_RFR-113</v>
      </c>
      <c r="W1060" s="8" t="s">
        <v>1475</v>
      </c>
      <c r="Y1060" s="89">
        <f t="shared" si="867"/>
        <v>1</v>
      </c>
      <c r="Z1060" s="60">
        <f t="shared" si="7"/>
        <v>1</v>
      </c>
      <c r="AA1060" s="60">
        <f t="shared" si="8"/>
        <v>1</v>
      </c>
      <c r="AB1060" s="60" t="str">
        <f t="shared" si="9"/>
        <v/>
      </c>
      <c r="AC1060" s="30" t="str">
        <f t="shared" ref="AC1060:AD1060" si="1416">IF(_xlfn.ISFORMULA(S1060),IFERROR(0/0,""),TRUE)</f>
        <v/>
      </c>
      <c r="AD1060" s="30" t="str">
        <f t="shared" si="1416"/>
        <v/>
      </c>
      <c r="AE1060" s="475" t="str">
        <f>IFERROR(__xludf.DUMMYFUNCTION("""COMPUTED_VALUE"""),"CRLN")</f>
        <v>CRLN</v>
      </c>
      <c r="AF1060" s="476"/>
      <c r="AG1060" s="474" t="s">
        <v>201</v>
      </c>
      <c r="AH1060" s="138" t="str">
        <f t="shared" si="11"/>
        <v/>
      </c>
    </row>
    <row r="1061">
      <c r="A1061" s="103" t="str">
        <f>IFERROR(__xludf.DUMMYFUNCTION("""COMPUTED_VALUE"""),"FLE288")</f>
        <v>FLE288</v>
      </c>
      <c r="B1061" s="468">
        <f>IFERROR(__xludf.DUMMYFUNCTION("""COMPUTED_VALUE"""),44669.0)</f>
        <v>44669</v>
      </c>
      <c r="C1061" s="469">
        <f>IFERROR(__xludf.DUMMYFUNCTION("""COMPUTED_VALUE"""),0.3164814814814815)</f>
        <v>0.3164814815</v>
      </c>
      <c r="D1061" s="103" t="str">
        <f>IFERROR(__xludf.DUMMYFUNCTION("""COMPUTED_VALUE"""),"SpFLMP965392")</f>
        <v>SpFLMP965392</v>
      </c>
      <c r="E1061" s="103"/>
      <c r="F1061" s="103"/>
      <c r="G1061" s="103" t="str">
        <f>IFERROR(__xludf.DUMMYFUNCTION("""COMPUTED_VALUE"""),"Negative")</f>
        <v>Negative</v>
      </c>
      <c r="H1061" s="131" t="str">
        <f>IFERROR(__xludf.DUMMYFUNCTION("""COMPUTED_VALUE"""),"Negative")</f>
        <v>Negative</v>
      </c>
      <c r="I1061" s="468">
        <f>IFERROR(__xludf.DUMMYFUNCTION("""COMPUTED_VALUE"""),44669.0)</f>
        <v>44669</v>
      </c>
      <c r="J1061" s="470">
        <f>IFERROR(__xludf.DUMMYFUNCTION("""COMPUTED_VALUE"""),0.4339351851851852)</f>
        <v>0.4339351852</v>
      </c>
      <c r="K1061" s="16"/>
      <c r="L1061" s="8"/>
      <c r="M1061" s="69"/>
      <c r="N1061" s="69">
        <f>IFERROR(__xludf.DUMMYFUNCTION("""COMPUTED_VALUE"""),4.0)</f>
        <v>4</v>
      </c>
      <c r="O1061" s="69" t="b">
        <f t="shared" si="3"/>
        <v>1</v>
      </c>
      <c r="P1061" s="471">
        <f>IFERROR(__xludf.DUMMYFUNCTION("""COMPUTED_VALUE"""),0.0)</f>
        <v>0</v>
      </c>
      <c r="Q1061" s="274" t="b">
        <f>VLOOKUP($B1061,'Run Reconcile'!B$2:O2488,14,FALSE)</f>
        <v>1</v>
      </c>
      <c r="R1061" s="472" t="str">
        <f t="array" ref="R1061">IF($Q1061, INDEX('Run Reconcile'!A$2:A2488,MATCH(B1061,'Run Reconcile'!B$2:B2488,0),1),IFERROR(0/0,""))</f>
        <v>RUN-FLMP_2022-04-18_RFR-113</v>
      </c>
      <c r="S1061" s="473" t="str">
        <f t="shared" si="694"/>
        <v/>
      </c>
      <c r="T1061" s="473" t="str">
        <f t="shared" si="698"/>
        <v/>
      </c>
      <c r="U1061" s="275" t="str">
        <f t="array" ref="U1061">IF(ISBLANK($R1061), INDEX('Run Reconcile'!A$2:A2488, MATCH($B1061, 'Run Reconcile'!B$2:B2488, 0)+Z1061, 1), IFERROR(0/0,""))
</f>
        <v/>
      </c>
      <c r="V1061" s="474" t="str">
        <f t="shared" si="5"/>
        <v>RUN-FLMP_2022-04-18_RFR-113</v>
      </c>
      <c r="Y1061" s="89" t="str">
        <f t="shared" si="867"/>
        <v/>
      </c>
      <c r="Z1061" s="60" t="str">
        <f t="shared" si="7"/>
        <v/>
      </c>
      <c r="AA1061" s="60" t="str">
        <f t="shared" si="8"/>
        <v/>
      </c>
      <c r="AB1061" s="60" t="str">
        <f t="shared" si="9"/>
        <v/>
      </c>
      <c r="AC1061" s="30" t="str">
        <f t="shared" ref="AC1061:AD1061" si="1417">IF(_xlfn.ISFORMULA(S1061),IFERROR(0/0,""),TRUE)</f>
        <v/>
      </c>
      <c r="AD1061" s="30" t="str">
        <f t="shared" si="1417"/>
        <v/>
      </c>
      <c r="AE1061" s="475" t="str">
        <f>IFERROR(__xludf.DUMMYFUNCTION("""COMPUTED_VALUE"""),"CRLN")</f>
        <v>CRLN</v>
      </c>
      <c r="AF1061" s="476"/>
      <c r="AG1061" s="474" t="s">
        <v>201</v>
      </c>
      <c r="AH1061" s="138" t="str">
        <f t="shared" si="11"/>
        <v/>
      </c>
    </row>
    <row r="1062">
      <c r="A1062" s="103" t="str">
        <f>IFERROR(__xludf.DUMMYFUNCTION("""COMPUTED_VALUE"""),"FLB7283")</f>
        <v>FLB7283</v>
      </c>
      <c r="B1062" s="468">
        <f>IFERROR(__xludf.DUMMYFUNCTION("""COMPUTED_VALUE"""),44669.0)</f>
        <v>44669</v>
      </c>
      <c r="C1062" s="469">
        <f>IFERROR(__xludf.DUMMYFUNCTION("""COMPUTED_VALUE"""),0.31708333333333333)</f>
        <v>0.3170833333</v>
      </c>
      <c r="D1062" s="103" t="str">
        <f>IFERROR(__xludf.DUMMYFUNCTION("""COMPUTED_VALUE"""),"SpFLMP470379")</f>
        <v>SpFLMP470379</v>
      </c>
      <c r="E1062" s="103"/>
      <c r="F1062" s="103"/>
      <c r="G1062" s="103" t="str">
        <f>IFERROR(__xludf.DUMMYFUNCTION("""COMPUTED_VALUE"""),"Negative")</f>
        <v>Negative</v>
      </c>
      <c r="H1062" s="131" t="str">
        <f>IFERROR(__xludf.DUMMYFUNCTION("""COMPUTED_VALUE"""),"Negative")</f>
        <v>Negative</v>
      </c>
      <c r="I1062" s="468">
        <f>IFERROR(__xludf.DUMMYFUNCTION("""COMPUTED_VALUE"""),44669.0)</f>
        <v>44669</v>
      </c>
      <c r="J1062" s="470">
        <f>IFERROR(__xludf.DUMMYFUNCTION("""COMPUTED_VALUE"""),0.5109953703703703)</f>
        <v>0.5109953704</v>
      </c>
      <c r="K1062" s="16"/>
      <c r="L1062" s="8"/>
      <c r="M1062" s="69"/>
      <c r="N1062" s="69">
        <f>IFERROR(__xludf.DUMMYFUNCTION("""COMPUTED_VALUE"""),1.0)</f>
        <v>1</v>
      </c>
      <c r="O1062" s="69" t="str">
        <f t="shared" si="3"/>
        <v/>
      </c>
      <c r="P1062" s="471">
        <f>IFERROR(__xludf.DUMMYFUNCTION("""COMPUTED_VALUE"""),0.0)</f>
        <v>0</v>
      </c>
      <c r="Q1062" s="274" t="b">
        <f>VLOOKUP($B1062,'Run Reconcile'!B$2:O2488,14,FALSE)</f>
        <v>1</v>
      </c>
      <c r="R1062" s="472" t="str">
        <f t="array" ref="R1062">IF($Q1062, INDEX('Run Reconcile'!A$2:A2488,MATCH(B1062,'Run Reconcile'!B$2:B2488,0),1),IFERROR(0/0,""))</f>
        <v>RUN-FLMP_2022-04-18_RFR-113</v>
      </c>
      <c r="S1062" s="473" t="str">
        <f t="shared" si="694"/>
        <v/>
      </c>
      <c r="T1062" s="473" t="str">
        <f t="shared" si="698"/>
        <v/>
      </c>
      <c r="U1062" s="275" t="str">
        <f t="array" ref="U1062">IF(ISBLANK($R1062), INDEX('Run Reconcile'!A$2:A2488, MATCH($B1062, 'Run Reconcile'!B$2:B2488, 0)+Z1062, 1), IFERROR(0/0,""))
</f>
        <v/>
      </c>
      <c r="V1062" s="474" t="str">
        <f t="shared" si="5"/>
        <v>RUN-FLMP_2022-04-18_RFR-113</v>
      </c>
      <c r="Y1062" s="89" t="str">
        <f t="shared" si="867"/>
        <v/>
      </c>
      <c r="Z1062" s="60" t="str">
        <f t="shared" si="7"/>
        <v/>
      </c>
      <c r="AA1062" s="60" t="str">
        <f t="shared" si="8"/>
        <v/>
      </c>
      <c r="AB1062" s="60" t="str">
        <f t="shared" si="9"/>
        <v/>
      </c>
      <c r="AC1062" s="30" t="str">
        <f t="shared" ref="AC1062:AD1062" si="1418">IF(_xlfn.ISFORMULA(S1062),IFERROR(0/0,""),TRUE)</f>
        <v/>
      </c>
      <c r="AD1062" s="30" t="str">
        <f t="shared" si="1418"/>
        <v/>
      </c>
      <c r="AE1062" s="475" t="str">
        <f>IFERROR(__xludf.DUMMYFUNCTION("""COMPUTED_VALUE"""),"CRLN")</f>
        <v>CRLN</v>
      </c>
      <c r="AF1062" s="476"/>
      <c r="AG1062" s="474" t="s">
        <v>201</v>
      </c>
      <c r="AH1062" s="138" t="str">
        <f t="shared" si="11"/>
        <v/>
      </c>
    </row>
    <row r="1063">
      <c r="A1063" s="103" t="str">
        <f>IFERROR(__xludf.DUMMYFUNCTION("""COMPUTED_VALUE"""),"AG1663")</f>
        <v>AG1663</v>
      </c>
      <c r="B1063" s="468">
        <f>IFERROR(__xludf.DUMMYFUNCTION("""COMPUTED_VALUE"""),44669.0)</f>
        <v>44669</v>
      </c>
      <c r="C1063" s="469">
        <f>IFERROR(__xludf.DUMMYFUNCTION("""COMPUTED_VALUE"""),0.32655092592592594)</f>
        <v>0.3265509259</v>
      </c>
      <c r="D1063" s="103" t="str">
        <f>IFERROR(__xludf.DUMMYFUNCTION("""COMPUTED_VALUE"""),"SpFLMP309785")</f>
        <v>SpFLMP309785</v>
      </c>
      <c r="E1063" s="103"/>
      <c r="F1063" s="103"/>
      <c r="G1063" s="103" t="str">
        <f>IFERROR(__xludf.DUMMYFUNCTION("""COMPUTED_VALUE"""),"Negative")</f>
        <v>Negative</v>
      </c>
      <c r="H1063" s="131" t="str">
        <f>IFERROR(__xludf.DUMMYFUNCTION("""COMPUTED_VALUE"""),"Negative")</f>
        <v>Negative</v>
      </c>
      <c r="I1063" s="468">
        <f>IFERROR(__xludf.DUMMYFUNCTION("""COMPUTED_VALUE"""),44669.0)</f>
        <v>44669</v>
      </c>
      <c r="J1063" s="470">
        <f>IFERROR(__xludf.DUMMYFUNCTION("""COMPUTED_VALUE"""),0.4339351851851852)</f>
        <v>0.4339351852</v>
      </c>
      <c r="K1063" s="16"/>
      <c r="L1063" s="8"/>
      <c r="M1063" s="69"/>
      <c r="N1063" s="69">
        <f>IFERROR(__xludf.DUMMYFUNCTION("""COMPUTED_VALUE"""),4.0)</f>
        <v>4</v>
      </c>
      <c r="O1063" s="69" t="str">
        <f t="shared" si="3"/>
        <v/>
      </c>
      <c r="P1063" s="471">
        <f>IFERROR(__xludf.DUMMYFUNCTION("""COMPUTED_VALUE"""),0.0)</f>
        <v>0</v>
      </c>
      <c r="Q1063" s="274" t="b">
        <f>VLOOKUP($B1063,'Run Reconcile'!B$2:O2488,14,FALSE)</f>
        <v>1</v>
      </c>
      <c r="R1063" s="472" t="str">
        <f t="array" ref="R1063">IF($Q1063, INDEX('Run Reconcile'!A$2:A2488,MATCH(B1063,'Run Reconcile'!B$2:B2488,0),1),IFERROR(0/0,""))</f>
        <v>RUN-FLMP_2022-04-18_RFR-113</v>
      </c>
      <c r="S1063" s="473" t="str">
        <f t="shared" si="694"/>
        <v/>
      </c>
      <c r="T1063" s="473" t="str">
        <f t="shared" si="698"/>
        <v/>
      </c>
      <c r="U1063" s="275" t="str">
        <f t="array" ref="U1063">IF(ISBLANK($R1063), INDEX('Run Reconcile'!A$2:A2488, MATCH($B1063, 'Run Reconcile'!B$2:B2488, 0)+Z1063, 1), IFERROR(0/0,""))
</f>
        <v/>
      </c>
      <c r="V1063" s="474" t="str">
        <f t="shared" si="5"/>
        <v>RUN-FLMP_2022-04-18_RFR-113</v>
      </c>
      <c r="Y1063" s="89" t="str">
        <f t="shared" si="867"/>
        <v/>
      </c>
      <c r="Z1063" s="60" t="str">
        <f t="shared" si="7"/>
        <v/>
      </c>
      <c r="AA1063" s="60" t="str">
        <f t="shared" si="8"/>
        <v/>
      </c>
      <c r="AB1063" s="60" t="str">
        <f t="shared" si="9"/>
        <v/>
      </c>
      <c r="AC1063" s="30" t="str">
        <f t="shared" ref="AC1063:AD1063" si="1419">IF(_xlfn.ISFORMULA(S1063),IFERROR(0/0,""),TRUE)</f>
        <v/>
      </c>
      <c r="AD1063" s="30" t="str">
        <f t="shared" si="1419"/>
        <v/>
      </c>
      <c r="AE1063" s="475" t="str">
        <f>IFERROR(__xludf.DUMMYFUNCTION("""COMPUTED_VALUE"""),"CRLN")</f>
        <v>CRLN</v>
      </c>
      <c r="AF1063" s="476"/>
      <c r="AG1063" s="474" t="s">
        <v>201</v>
      </c>
      <c r="AH1063" s="138" t="str">
        <f t="shared" si="11"/>
        <v/>
      </c>
    </row>
    <row r="1064">
      <c r="A1064" s="103" t="str">
        <f>IFERROR(__xludf.DUMMYFUNCTION("""COMPUTED_VALUE"""),"FLB5882")</f>
        <v>FLB5882</v>
      </c>
      <c r="B1064" s="468">
        <f>IFERROR(__xludf.DUMMYFUNCTION("""COMPUTED_VALUE"""),44669.0)</f>
        <v>44669</v>
      </c>
      <c r="C1064" s="469">
        <f>IFERROR(__xludf.DUMMYFUNCTION("""COMPUTED_VALUE"""),0.3322222222222222)</f>
        <v>0.3322222222</v>
      </c>
      <c r="D1064" s="103" t="str">
        <f>IFERROR(__xludf.DUMMYFUNCTION("""COMPUTED_VALUE"""),"SpFLMP544731")</f>
        <v>SpFLMP544731</v>
      </c>
      <c r="E1064" s="103"/>
      <c r="F1064" s="103"/>
      <c r="G1064" s="103" t="str">
        <f>IFERROR(__xludf.DUMMYFUNCTION("""COMPUTED_VALUE"""),"Negative")</f>
        <v>Negative</v>
      </c>
      <c r="H1064" s="131" t="str">
        <f>IFERROR(__xludf.DUMMYFUNCTION("""COMPUTED_VALUE"""),"Negative")</f>
        <v>Negative</v>
      </c>
      <c r="I1064" s="468">
        <f>IFERROR(__xludf.DUMMYFUNCTION("""COMPUTED_VALUE"""),44669.0)</f>
        <v>44669</v>
      </c>
      <c r="J1064" s="470">
        <f>IFERROR(__xludf.DUMMYFUNCTION("""COMPUTED_VALUE"""),0.4339351851851852)</f>
        <v>0.4339351852</v>
      </c>
      <c r="K1064" s="16"/>
      <c r="L1064" s="8"/>
      <c r="M1064" s="69"/>
      <c r="N1064" s="69">
        <f>IFERROR(__xludf.DUMMYFUNCTION("""COMPUTED_VALUE"""),3.0)</f>
        <v>3</v>
      </c>
      <c r="O1064" s="69" t="str">
        <f t="shared" si="3"/>
        <v/>
      </c>
      <c r="P1064" s="471">
        <f>IFERROR(__xludf.DUMMYFUNCTION("""COMPUTED_VALUE"""),0.0)</f>
        <v>0</v>
      </c>
      <c r="Q1064" s="274" t="b">
        <f>VLOOKUP($B1064,'Run Reconcile'!B$2:O2488,14,FALSE)</f>
        <v>1</v>
      </c>
      <c r="R1064" s="472" t="str">
        <f t="array" ref="R1064">IF($Q1064, INDEX('Run Reconcile'!A$2:A2488,MATCH(B1064,'Run Reconcile'!B$2:B2488,0),1),IFERROR(0/0,""))</f>
        <v>RUN-FLMP_2022-04-18_RFR-113</v>
      </c>
      <c r="S1064" s="473" t="str">
        <f t="shared" si="694"/>
        <v/>
      </c>
      <c r="T1064" s="473" t="str">
        <f t="shared" si="698"/>
        <v/>
      </c>
      <c r="U1064" s="275" t="str">
        <f t="array" ref="U1064">IF(ISBLANK($R1064), INDEX('Run Reconcile'!A$2:A2488, MATCH($B1064, 'Run Reconcile'!B$2:B2488, 0)+Z1064, 1), IFERROR(0/0,""))
</f>
        <v/>
      </c>
      <c r="V1064" s="474" t="str">
        <f t="shared" si="5"/>
        <v>RUN-FLMP_2022-04-18_RFR-113</v>
      </c>
      <c r="Y1064" s="89" t="str">
        <f t="shared" si="867"/>
        <v/>
      </c>
      <c r="Z1064" s="60" t="str">
        <f t="shared" si="7"/>
        <v/>
      </c>
      <c r="AA1064" s="60" t="str">
        <f t="shared" si="8"/>
        <v/>
      </c>
      <c r="AB1064" s="60" t="str">
        <f t="shared" si="9"/>
        <v/>
      </c>
      <c r="AC1064" s="30" t="str">
        <f t="shared" ref="AC1064:AD1064" si="1420">IF(_xlfn.ISFORMULA(S1064),IFERROR(0/0,""),TRUE)</f>
        <v/>
      </c>
      <c r="AD1064" s="30" t="str">
        <f t="shared" si="1420"/>
        <v/>
      </c>
      <c r="AE1064" s="475" t="str">
        <f>IFERROR(__xludf.DUMMYFUNCTION("""COMPUTED_VALUE"""),"CRLN")</f>
        <v>CRLN</v>
      </c>
      <c r="AF1064" s="476"/>
      <c r="AG1064" s="474" t="s">
        <v>201</v>
      </c>
      <c r="AH1064" s="138" t="str">
        <f t="shared" si="11"/>
        <v/>
      </c>
    </row>
    <row r="1065">
      <c r="A1065" s="103" t="str">
        <f>IFERROR(__xludf.DUMMYFUNCTION("""COMPUTED_VALUE"""),"AJ9342")</f>
        <v>AJ9342</v>
      </c>
      <c r="B1065" s="468">
        <f>IFERROR(__xludf.DUMMYFUNCTION("""COMPUTED_VALUE"""),44669.0)</f>
        <v>44669</v>
      </c>
      <c r="C1065" s="469">
        <f>IFERROR(__xludf.DUMMYFUNCTION("""COMPUTED_VALUE"""),0.3356134259259259)</f>
        <v>0.3356134259</v>
      </c>
      <c r="D1065" s="103" t="str">
        <f>IFERROR(__xludf.DUMMYFUNCTION("""COMPUTED_VALUE"""),"SpFLMP259015")</f>
        <v>SpFLMP259015</v>
      </c>
      <c r="E1065" s="103"/>
      <c r="F1065" s="103"/>
      <c r="G1065" s="103" t="str">
        <f>IFERROR(__xludf.DUMMYFUNCTION("""COMPUTED_VALUE"""),"Negative")</f>
        <v>Negative</v>
      </c>
      <c r="H1065" s="131" t="str">
        <f>IFERROR(__xludf.DUMMYFUNCTION("""COMPUTED_VALUE"""),"Negative")</f>
        <v>Negative</v>
      </c>
      <c r="I1065" s="468">
        <f>IFERROR(__xludf.DUMMYFUNCTION("""COMPUTED_VALUE"""),44669.0)</f>
        <v>44669</v>
      </c>
      <c r="J1065" s="470">
        <f>IFERROR(__xludf.DUMMYFUNCTION("""COMPUTED_VALUE"""),0.4339351851851852)</f>
        <v>0.4339351852</v>
      </c>
      <c r="K1065" s="16"/>
      <c r="L1065" s="8"/>
      <c r="M1065" s="69"/>
      <c r="N1065" s="69">
        <f>IFERROR(__xludf.DUMMYFUNCTION("""COMPUTED_VALUE"""),3.0)</f>
        <v>3</v>
      </c>
      <c r="O1065" s="69" t="str">
        <f t="shared" si="3"/>
        <v/>
      </c>
      <c r="P1065" s="471">
        <f>IFERROR(__xludf.DUMMYFUNCTION("""COMPUTED_VALUE"""),0.0)</f>
        <v>0</v>
      </c>
      <c r="Q1065" s="274" t="b">
        <f>VLOOKUP($B1065,'Run Reconcile'!B$2:O2488,14,FALSE)</f>
        <v>1</v>
      </c>
      <c r="R1065" s="472" t="str">
        <f t="array" ref="R1065">IF($Q1065, INDEX('Run Reconcile'!A$2:A2488,MATCH(B1065,'Run Reconcile'!B$2:B2488,0),1),IFERROR(0/0,""))</f>
        <v>RUN-FLMP_2022-04-18_RFR-113</v>
      </c>
      <c r="S1065" s="473" t="str">
        <f t="shared" si="694"/>
        <v/>
      </c>
      <c r="T1065" s="473" t="str">
        <f t="shared" si="698"/>
        <v/>
      </c>
      <c r="U1065" s="275" t="str">
        <f t="array" ref="U1065">IF(ISBLANK($R1065), INDEX('Run Reconcile'!A$2:A2488, MATCH($B1065, 'Run Reconcile'!B$2:B2488, 0)+Z1065, 1), IFERROR(0/0,""))
</f>
        <v/>
      </c>
      <c r="V1065" s="474" t="str">
        <f t="shared" si="5"/>
        <v>RUN-FLMP_2022-04-18_RFR-113</v>
      </c>
      <c r="Y1065" s="89" t="str">
        <f t="shared" si="867"/>
        <v/>
      </c>
      <c r="Z1065" s="60" t="str">
        <f t="shared" si="7"/>
        <v/>
      </c>
      <c r="AA1065" s="60" t="str">
        <f t="shared" si="8"/>
        <v/>
      </c>
      <c r="AB1065" s="60" t="str">
        <f t="shared" si="9"/>
        <v/>
      </c>
      <c r="AC1065" s="30" t="str">
        <f t="shared" ref="AC1065:AD1065" si="1421">IF(_xlfn.ISFORMULA(S1065),IFERROR(0/0,""),TRUE)</f>
        <v/>
      </c>
      <c r="AD1065" s="30" t="str">
        <f t="shared" si="1421"/>
        <v/>
      </c>
      <c r="AE1065" s="475" t="str">
        <f>IFERROR(__xludf.DUMMYFUNCTION("""COMPUTED_VALUE"""),"CRLN")</f>
        <v>CRLN</v>
      </c>
      <c r="AF1065" s="476"/>
      <c r="AG1065" s="474" t="s">
        <v>201</v>
      </c>
      <c r="AH1065" s="138" t="str">
        <f t="shared" si="11"/>
        <v/>
      </c>
    </row>
    <row r="1066">
      <c r="A1066" s="103" t="str">
        <f>IFERROR(__xludf.DUMMYFUNCTION("""COMPUTED_VALUE"""),"AH7588")</f>
        <v>AH7588</v>
      </c>
      <c r="B1066" s="468">
        <f>IFERROR(__xludf.DUMMYFUNCTION("""COMPUTED_VALUE"""),44669.0)</f>
        <v>44669</v>
      </c>
      <c r="C1066" s="469">
        <f>IFERROR(__xludf.DUMMYFUNCTION("""COMPUTED_VALUE"""),0.3361689814814815)</f>
        <v>0.3361689815</v>
      </c>
      <c r="D1066" s="103" t="str">
        <f>IFERROR(__xludf.DUMMYFUNCTION("""COMPUTED_VALUE"""),"SpFLMP259015")</f>
        <v>SpFLMP259015</v>
      </c>
      <c r="E1066" s="103"/>
      <c r="F1066" s="103"/>
      <c r="G1066" s="103" t="str">
        <f>IFERROR(__xludf.DUMMYFUNCTION("""COMPUTED_VALUE"""),"Negative")</f>
        <v>Negative</v>
      </c>
      <c r="H1066" s="131" t="str">
        <f>IFERROR(__xludf.DUMMYFUNCTION("""COMPUTED_VALUE"""),"Negative")</f>
        <v>Negative</v>
      </c>
      <c r="I1066" s="468">
        <f>IFERROR(__xludf.DUMMYFUNCTION("""COMPUTED_VALUE"""),44669.0)</f>
        <v>44669</v>
      </c>
      <c r="J1066" s="470">
        <f>IFERROR(__xludf.DUMMYFUNCTION("""COMPUTED_VALUE"""),0.5109953703703703)</f>
        <v>0.5109953704</v>
      </c>
      <c r="K1066" s="16"/>
      <c r="L1066" s="8"/>
      <c r="M1066" s="69"/>
      <c r="N1066" s="69">
        <f>IFERROR(__xludf.DUMMYFUNCTION("""COMPUTED_VALUE"""),3.0)</f>
        <v>3</v>
      </c>
      <c r="O1066" s="69" t="str">
        <f t="shared" si="3"/>
        <v/>
      </c>
      <c r="P1066" s="471">
        <f>IFERROR(__xludf.DUMMYFUNCTION("""COMPUTED_VALUE"""),0.0)</f>
        <v>0</v>
      </c>
      <c r="Q1066" s="274" t="b">
        <f>VLOOKUP($B1066,'Run Reconcile'!B$2:O2488,14,FALSE)</f>
        <v>1</v>
      </c>
      <c r="R1066" s="472" t="str">
        <f t="array" ref="R1066">IF($Q1066, INDEX('Run Reconcile'!A$2:A2488,MATCH(B1066,'Run Reconcile'!B$2:B2488,0),1),IFERROR(0/0,""))</f>
        <v>RUN-FLMP_2022-04-18_RFR-113</v>
      </c>
      <c r="S1066" s="473" t="str">
        <f t="shared" si="694"/>
        <v/>
      </c>
      <c r="T1066" s="473" t="str">
        <f t="shared" si="698"/>
        <v/>
      </c>
      <c r="U1066" s="275" t="str">
        <f t="array" ref="U1066">IF(ISBLANK($R1066), INDEX('Run Reconcile'!A$2:A2488, MATCH($B1066, 'Run Reconcile'!B$2:B2488, 0)+Z1066, 1), IFERROR(0/0,""))
</f>
        <v/>
      </c>
      <c r="V1066" s="474" t="str">
        <f t="shared" si="5"/>
        <v>RUN-FLMP_2022-04-18_RFR-113</v>
      </c>
      <c r="Y1066" s="89" t="str">
        <f t="shared" si="867"/>
        <v/>
      </c>
      <c r="Z1066" s="60" t="str">
        <f t="shared" si="7"/>
        <v/>
      </c>
      <c r="AA1066" s="60" t="str">
        <f t="shared" si="8"/>
        <v/>
      </c>
      <c r="AB1066" s="60" t="str">
        <f t="shared" si="9"/>
        <v/>
      </c>
      <c r="AC1066" s="30" t="str">
        <f t="shared" ref="AC1066:AD1066" si="1422">IF(_xlfn.ISFORMULA(S1066),IFERROR(0/0,""),TRUE)</f>
        <v/>
      </c>
      <c r="AD1066" s="30" t="str">
        <f t="shared" si="1422"/>
        <v/>
      </c>
      <c r="AE1066" s="475" t="str">
        <f>IFERROR(__xludf.DUMMYFUNCTION("""COMPUTED_VALUE"""),"CRLN")</f>
        <v>CRLN</v>
      </c>
      <c r="AF1066" s="476"/>
      <c r="AG1066" s="474" t="s">
        <v>201</v>
      </c>
      <c r="AH1066" s="138" t="str">
        <f t="shared" si="11"/>
        <v/>
      </c>
    </row>
    <row r="1067">
      <c r="A1067" s="103" t="str">
        <f>IFERROR(__xludf.DUMMYFUNCTION("""COMPUTED_VALUE"""),"FLE256")</f>
        <v>FLE256</v>
      </c>
      <c r="B1067" s="468">
        <f>IFERROR(__xludf.DUMMYFUNCTION("""COMPUTED_VALUE"""),44669.0)</f>
        <v>44669</v>
      </c>
      <c r="C1067" s="469">
        <f>IFERROR(__xludf.DUMMYFUNCTION("""COMPUTED_VALUE"""),0.3430787037037037)</f>
        <v>0.3430787037</v>
      </c>
      <c r="D1067" s="103" t="str">
        <f>IFERROR(__xludf.DUMMYFUNCTION("""COMPUTED_VALUE"""),"SpFLMP690282")</f>
        <v>SpFLMP690282</v>
      </c>
      <c r="E1067" s="103"/>
      <c r="F1067" s="103"/>
      <c r="G1067" s="103" t="str">
        <f>IFERROR(__xludf.DUMMYFUNCTION("""COMPUTED_VALUE"""),"Negative")</f>
        <v>Negative</v>
      </c>
      <c r="H1067" s="131" t="str">
        <f>IFERROR(__xludf.DUMMYFUNCTION("""COMPUTED_VALUE"""),"Negative")</f>
        <v>Negative</v>
      </c>
      <c r="I1067" s="468">
        <f>IFERROR(__xludf.DUMMYFUNCTION("""COMPUTED_VALUE"""),44669.0)</f>
        <v>44669</v>
      </c>
      <c r="J1067" s="470">
        <f>IFERROR(__xludf.DUMMYFUNCTION("""COMPUTED_VALUE"""),0.43394675925925924)</f>
        <v>0.4339467593</v>
      </c>
      <c r="K1067" s="16"/>
      <c r="L1067" s="8"/>
      <c r="M1067" s="69"/>
      <c r="N1067" s="69">
        <f>IFERROR(__xludf.DUMMYFUNCTION("""COMPUTED_VALUE"""),2.0)</f>
        <v>2</v>
      </c>
      <c r="O1067" s="69" t="str">
        <f t="shared" si="3"/>
        <v/>
      </c>
      <c r="P1067" s="471">
        <f>IFERROR(__xludf.DUMMYFUNCTION("""COMPUTED_VALUE"""),0.0)</f>
        <v>0</v>
      </c>
      <c r="Q1067" s="274" t="b">
        <f>VLOOKUP($B1067,'Run Reconcile'!B$2:O2488,14,FALSE)</f>
        <v>1</v>
      </c>
      <c r="R1067" s="472" t="str">
        <f t="array" ref="R1067">IF($Q1067, INDEX('Run Reconcile'!A$2:A2488,MATCH(B1067,'Run Reconcile'!B$2:B2488,0),1),IFERROR(0/0,""))</f>
        <v>RUN-FLMP_2022-04-18_RFR-113</v>
      </c>
      <c r="S1067" s="473" t="str">
        <f t="shared" si="694"/>
        <v/>
      </c>
      <c r="T1067" s="473" t="str">
        <f t="shared" si="698"/>
        <v/>
      </c>
      <c r="U1067" s="275" t="str">
        <f t="array" ref="U1067">IF(ISBLANK($R1067), INDEX('Run Reconcile'!A$2:A2488, MATCH($B1067, 'Run Reconcile'!B$2:B2488, 0)+Z1067, 1), IFERROR(0/0,""))
</f>
        <v/>
      </c>
      <c r="V1067" s="474" t="str">
        <f t="shared" si="5"/>
        <v>RUN-FLMP_2022-04-18_RFR-113</v>
      </c>
      <c r="Y1067" s="89" t="str">
        <f t="shared" si="867"/>
        <v/>
      </c>
      <c r="Z1067" s="60" t="str">
        <f t="shared" si="7"/>
        <v/>
      </c>
      <c r="AA1067" s="60" t="str">
        <f t="shared" si="8"/>
        <v/>
      </c>
      <c r="AB1067" s="60" t="str">
        <f t="shared" si="9"/>
        <v/>
      </c>
      <c r="AC1067" s="30" t="str">
        <f t="shared" ref="AC1067:AD1067" si="1423">IF(_xlfn.ISFORMULA(S1067),IFERROR(0/0,""),TRUE)</f>
        <v/>
      </c>
      <c r="AD1067" s="30" t="str">
        <f t="shared" si="1423"/>
        <v/>
      </c>
      <c r="AE1067" s="475" t="str">
        <f>IFERROR(__xludf.DUMMYFUNCTION("""COMPUTED_VALUE"""),"CRLN")</f>
        <v>CRLN</v>
      </c>
      <c r="AF1067" s="476"/>
      <c r="AG1067" s="474" t="s">
        <v>201</v>
      </c>
      <c r="AH1067" s="138" t="str">
        <f t="shared" si="11"/>
        <v/>
      </c>
    </row>
    <row r="1068">
      <c r="A1068" s="103" t="str">
        <f>IFERROR(__xludf.DUMMYFUNCTION("""COMPUTED_VALUE"""),"FLB7388")</f>
        <v>FLB7388</v>
      </c>
      <c r="B1068" s="468">
        <f>IFERROR(__xludf.DUMMYFUNCTION("""COMPUTED_VALUE"""),44669.0)</f>
        <v>44669</v>
      </c>
      <c r="C1068" s="469">
        <f>IFERROR(__xludf.DUMMYFUNCTION("""COMPUTED_VALUE"""),0.3435185185185185)</f>
        <v>0.3435185185</v>
      </c>
      <c r="D1068" s="103" t="str">
        <f>IFERROR(__xludf.DUMMYFUNCTION("""COMPUTED_VALUE"""),"SpFLMP273885")</f>
        <v>SpFLMP273885</v>
      </c>
      <c r="E1068" s="103"/>
      <c r="F1068" s="103"/>
      <c r="G1068" s="103" t="str">
        <f>IFERROR(__xludf.DUMMYFUNCTION("""COMPUTED_VALUE"""),"Negative")</f>
        <v>Negative</v>
      </c>
      <c r="H1068" s="131" t="str">
        <f>IFERROR(__xludf.DUMMYFUNCTION("""COMPUTED_VALUE"""),"Negative")</f>
        <v>Negative</v>
      </c>
      <c r="I1068" s="468">
        <f>IFERROR(__xludf.DUMMYFUNCTION("""COMPUTED_VALUE"""),44669.0)</f>
        <v>44669</v>
      </c>
      <c r="J1068" s="470">
        <f>IFERROR(__xludf.DUMMYFUNCTION("""COMPUTED_VALUE"""),0.43394675925925924)</f>
        <v>0.4339467593</v>
      </c>
      <c r="K1068" s="16"/>
      <c r="L1068" s="8"/>
      <c r="M1068" s="69"/>
      <c r="N1068" s="69">
        <f>IFERROR(__xludf.DUMMYFUNCTION("""COMPUTED_VALUE"""),4.0)</f>
        <v>4</v>
      </c>
      <c r="O1068" s="69" t="str">
        <f t="shared" si="3"/>
        <v/>
      </c>
      <c r="P1068" s="471">
        <f>IFERROR(__xludf.DUMMYFUNCTION("""COMPUTED_VALUE"""),0.0)</f>
        <v>0</v>
      </c>
      <c r="Q1068" s="274" t="b">
        <f>VLOOKUP($B1068,'Run Reconcile'!B$2:O2488,14,FALSE)</f>
        <v>1</v>
      </c>
      <c r="R1068" s="472" t="str">
        <f t="array" ref="R1068">IF($Q1068, INDEX('Run Reconcile'!A$2:A2488,MATCH(B1068,'Run Reconcile'!B$2:B2488,0),1),IFERROR(0/0,""))</f>
        <v>RUN-FLMP_2022-04-18_RFR-113</v>
      </c>
      <c r="S1068" s="473" t="str">
        <f t="shared" si="694"/>
        <v/>
      </c>
      <c r="T1068" s="473" t="str">
        <f t="shared" si="698"/>
        <v/>
      </c>
      <c r="U1068" s="275" t="str">
        <f t="array" ref="U1068">IF(ISBLANK($R1068), INDEX('Run Reconcile'!A$2:A2488, MATCH($B1068, 'Run Reconcile'!B$2:B2488, 0)+Z1068, 1), IFERROR(0/0,""))
</f>
        <v/>
      </c>
      <c r="V1068" s="474" t="str">
        <f t="shared" si="5"/>
        <v>RUN-FLMP_2022-04-18_RFR-113</v>
      </c>
      <c r="Y1068" s="89" t="str">
        <f t="shared" si="867"/>
        <v/>
      </c>
      <c r="Z1068" s="60" t="str">
        <f t="shared" si="7"/>
        <v/>
      </c>
      <c r="AA1068" s="60" t="str">
        <f t="shared" si="8"/>
        <v/>
      </c>
      <c r="AB1068" s="60" t="str">
        <f t="shared" si="9"/>
        <v/>
      </c>
      <c r="AC1068" s="30" t="str">
        <f t="shared" ref="AC1068:AD1068" si="1424">IF(_xlfn.ISFORMULA(S1068),IFERROR(0/0,""),TRUE)</f>
        <v/>
      </c>
      <c r="AD1068" s="30" t="str">
        <f t="shared" si="1424"/>
        <v/>
      </c>
      <c r="AE1068" s="475" t="str">
        <f>IFERROR(__xludf.DUMMYFUNCTION("""COMPUTED_VALUE"""),"CRLN")</f>
        <v>CRLN</v>
      </c>
      <c r="AF1068" s="476"/>
      <c r="AG1068" s="474" t="s">
        <v>201</v>
      </c>
      <c r="AH1068" s="138" t="str">
        <f t="shared" si="11"/>
        <v/>
      </c>
    </row>
    <row r="1069">
      <c r="A1069" s="103" t="str">
        <f>IFERROR(__xludf.DUMMYFUNCTION("""COMPUTED_VALUE"""),"FLB6749")</f>
        <v>FLB6749</v>
      </c>
      <c r="B1069" s="468">
        <f>IFERROR(__xludf.DUMMYFUNCTION("""COMPUTED_VALUE"""),44669.0)</f>
        <v>44669</v>
      </c>
      <c r="C1069" s="469">
        <f>IFERROR(__xludf.DUMMYFUNCTION("""COMPUTED_VALUE"""),0.34467592592592594)</f>
        <v>0.3446759259</v>
      </c>
      <c r="D1069" s="103" t="str">
        <f>IFERROR(__xludf.DUMMYFUNCTION("""COMPUTED_VALUE"""),"SpFLMP314549")</f>
        <v>SpFLMP314549</v>
      </c>
      <c r="E1069" s="103"/>
      <c r="F1069" s="103"/>
      <c r="G1069" s="103" t="str">
        <f>IFERROR(__xludf.DUMMYFUNCTION("""COMPUTED_VALUE"""),"Negative")</f>
        <v>Negative</v>
      </c>
      <c r="H1069" s="131" t="str">
        <f>IFERROR(__xludf.DUMMYFUNCTION("""COMPUTED_VALUE"""),"Negative")</f>
        <v>Negative</v>
      </c>
      <c r="I1069" s="468">
        <f>IFERROR(__xludf.DUMMYFUNCTION("""COMPUTED_VALUE"""),44669.0)</f>
        <v>44669</v>
      </c>
      <c r="J1069" s="470">
        <f>IFERROR(__xludf.DUMMYFUNCTION("""COMPUTED_VALUE"""),0.43394675925925924)</f>
        <v>0.4339467593</v>
      </c>
      <c r="K1069" s="16"/>
      <c r="L1069" s="8"/>
      <c r="M1069" s="69"/>
      <c r="N1069" s="69">
        <f>IFERROR(__xludf.DUMMYFUNCTION("""COMPUTED_VALUE"""),1.0)</f>
        <v>1</v>
      </c>
      <c r="O1069" s="69" t="str">
        <f t="shared" si="3"/>
        <v/>
      </c>
      <c r="P1069" s="471">
        <f>IFERROR(__xludf.DUMMYFUNCTION("""COMPUTED_VALUE"""),0.0)</f>
        <v>0</v>
      </c>
      <c r="Q1069" s="274" t="b">
        <f>VLOOKUP($B1069,'Run Reconcile'!B$2:O2488,14,FALSE)</f>
        <v>1</v>
      </c>
      <c r="R1069" s="472" t="str">
        <f t="array" ref="R1069">IF($Q1069, INDEX('Run Reconcile'!A$2:A2488,MATCH(B1069,'Run Reconcile'!B$2:B2488,0),1),IFERROR(0/0,""))</f>
        <v>RUN-FLMP_2022-04-18_RFR-113</v>
      </c>
      <c r="S1069" s="473" t="str">
        <f t="shared" si="694"/>
        <v/>
      </c>
      <c r="T1069" s="473" t="str">
        <f t="shared" si="698"/>
        <v/>
      </c>
      <c r="U1069" s="275" t="str">
        <f t="array" ref="U1069">IF(ISBLANK($R1069), INDEX('Run Reconcile'!A$2:A2488, MATCH($B1069, 'Run Reconcile'!B$2:B2488, 0)+Z1069, 1), IFERROR(0/0,""))
</f>
        <v/>
      </c>
      <c r="V1069" s="474" t="str">
        <f t="shared" si="5"/>
        <v>RUN-FLMP_2022-04-18_RFR-113</v>
      </c>
      <c r="Y1069" s="89" t="str">
        <f t="shared" si="867"/>
        <v/>
      </c>
      <c r="Z1069" s="60" t="str">
        <f t="shared" si="7"/>
        <v/>
      </c>
      <c r="AA1069" s="60" t="str">
        <f t="shared" si="8"/>
        <v/>
      </c>
      <c r="AB1069" s="60" t="str">
        <f t="shared" si="9"/>
        <v/>
      </c>
      <c r="AC1069" s="30" t="str">
        <f t="shared" ref="AC1069:AD1069" si="1425">IF(_xlfn.ISFORMULA(S1069),IFERROR(0/0,""),TRUE)</f>
        <v/>
      </c>
      <c r="AD1069" s="30" t="str">
        <f t="shared" si="1425"/>
        <v/>
      </c>
      <c r="AE1069" s="475" t="str">
        <f>IFERROR(__xludf.DUMMYFUNCTION("""COMPUTED_VALUE"""),"CRLN")</f>
        <v>CRLN</v>
      </c>
      <c r="AF1069" s="476"/>
      <c r="AG1069" s="474" t="s">
        <v>201</v>
      </c>
      <c r="AH1069" s="138" t="str">
        <f t="shared" si="11"/>
        <v/>
      </c>
    </row>
    <row r="1070">
      <c r="A1070" s="103" t="str">
        <f>IFERROR(__xludf.DUMMYFUNCTION("""COMPUTED_VALUE"""),"FLB4784")</f>
        <v>FLB4784</v>
      </c>
      <c r="B1070" s="468">
        <f>IFERROR(__xludf.DUMMYFUNCTION("""COMPUTED_VALUE"""),44669.0)</f>
        <v>44669</v>
      </c>
      <c r="C1070" s="469">
        <f>IFERROR(__xludf.DUMMYFUNCTION("""COMPUTED_VALUE"""),0.3541898148148148)</f>
        <v>0.3541898148</v>
      </c>
      <c r="D1070" s="103" t="str">
        <f>IFERROR(__xludf.DUMMYFUNCTION("""COMPUTED_VALUE"""),"SpFLMP604497")</f>
        <v>SpFLMP604497</v>
      </c>
      <c r="E1070" s="103"/>
      <c r="F1070" s="103"/>
      <c r="G1070" s="103" t="str">
        <f>IFERROR(__xludf.DUMMYFUNCTION("""COMPUTED_VALUE"""),"Negative")</f>
        <v>Negative</v>
      </c>
      <c r="H1070" s="131" t="str">
        <f>IFERROR(__xludf.DUMMYFUNCTION("""COMPUTED_VALUE"""),"Negative")</f>
        <v>Negative</v>
      </c>
      <c r="I1070" s="468">
        <f>IFERROR(__xludf.DUMMYFUNCTION("""COMPUTED_VALUE"""),44669.0)</f>
        <v>44669</v>
      </c>
      <c r="J1070" s="470">
        <f>IFERROR(__xludf.DUMMYFUNCTION("""COMPUTED_VALUE"""),0.43394675925925924)</f>
        <v>0.4339467593</v>
      </c>
      <c r="K1070" s="16"/>
      <c r="L1070" s="8"/>
      <c r="M1070" s="69"/>
      <c r="N1070" s="69">
        <f>IFERROR(__xludf.DUMMYFUNCTION("""COMPUTED_VALUE"""),4.0)</f>
        <v>4</v>
      </c>
      <c r="O1070" s="69" t="str">
        <f t="shared" si="3"/>
        <v/>
      </c>
      <c r="P1070" s="471">
        <f>IFERROR(__xludf.DUMMYFUNCTION("""COMPUTED_VALUE"""),0.0)</f>
        <v>0</v>
      </c>
      <c r="Q1070" s="274" t="b">
        <f>VLOOKUP($B1070,'Run Reconcile'!B$2:O2488,14,FALSE)</f>
        <v>1</v>
      </c>
      <c r="R1070" s="472" t="str">
        <f t="array" ref="R1070">IF($Q1070, INDEX('Run Reconcile'!A$2:A2488,MATCH(B1070,'Run Reconcile'!B$2:B2488,0),1),IFERROR(0/0,""))</f>
        <v>RUN-FLMP_2022-04-18_RFR-113</v>
      </c>
      <c r="S1070" s="473" t="str">
        <f t="shared" si="694"/>
        <v/>
      </c>
      <c r="T1070" s="473" t="str">
        <f t="shared" si="698"/>
        <v/>
      </c>
      <c r="U1070" s="275" t="str">
        <f t="array" ref="U1070">IF(ISBLANK($R1070), INDEX('Run Reconcile'!A$2:A2488, MATCH($B1070, 'Run Reconcile'!B$2:B2488, 0)+Z1070, 1), IFERROR(0/0,""))
</f>
        <v/>
      </c>
      <c r="V1070" s="474" t="str">
        <f t="shared" si="5"/>
        <v>RUN-FLMP_2022-04-18_RFR-113</v>
      </c>
      <c r="Y1070" s="89" t="str">
        <f t="shared" si="867"/>
        <v/>
      </c>
      <c r="Z1070" s="60" t="str">
        <f t="shared" si="7"/>
        <v/>
      </c>
      <c r="AA1070" s="60" t="str">
        <f t="shared" si="8"/>
        <v/>
      </c>
      <c r="AB1070" s="60" t="str">
        <f t="shared" si="9"/>
        <v/>
      </c>
      <c r="AC1070" s="30" t="str">
        <f t="shared" ref="AC1070:AD1070" si="1426">IF(_xlfn.ISFORMULA(S1070),IFERROR(0/0,""),TRUE)</f>
        <v/>
      </c>
      <c r="AD1070" s="30" t="str">
        <f t="shared" si="1426"/>
        <v/>
      </c>
      <c r="AE1070" s="475" t="str">
        <f>IFERROR(__xludf.DUMMYFUNCTION("""COMPUTED_VALUE"""),"CRLN")</f>
        <v>CRLN</v>
      </c>
      <c r="AF1070" s="476"/>
      <c r="AG1070" s="474" t="s">
        <v>201</v>
      </c>
      <c r="AH1070" s="138" t="str">
        <f t="shared" si="11"/>
        <v/>
      </c>
    </row>
    <row r="1071">
      <c r="A1071" s="103" t="str">
        <f>IFERROR(__xludf.DUMMYFUNCTION("""COMPUTED_VALUE"""),"AJ7653")</f>
        <v>AJ7653</v>
      </c>
      <c r="B1071" s="468">
        <f>IFERROR(__xludf.DUMMYFUNCTION("""COMPUTED_VALUE"""),44669.0)</f>
        <v>44669</v>
      </c>
      <c r="C1071" s="469">
        <f>IFERROR(__xludf.DUMMYFUNCTION("""COMPUTED_VALUE"""),0.3565509259259259)</f>
        <v>0.3565509259</v>
      </c>
      <c r="D1071" s="103" t="str">
        <f>IFERROR(__xludf.DUMMYFUNCTION("""COMPUTED_VALUE"""),"SpFLMP600756")</f>
        <v>SpFLMP600756</v>
      </c>
      <c r="E1071" s="103"/>
      <c r="F1071" s="103"/>
      <c r="G1071" s="103" t="str">
        <f>IFERROR(__xludf.DUMMYFUNCTION("""COMPUTED_VALUE"""),"Negative")</f>
        <v>Negative</v>
      </c>
      <c r="H1071" s="131" t="str">
        <f>IFERROR(__xludf.DUMMYFUNCTION("""COMPUTED_VALUE"""),"Negative")</f>
        <v>Negative</v>
      </c>
      <c r="I1071" s="468">
        <f>IFERROR(__xludf.DUMMYFUNCTION("""COMPUTED_VALUE"""),44669.0)</f>
        <v>44669</v>
      </c>
      <c r="J1071" s="470">
        <f>IFERROR(__xludf.DUMMYFUNCTION("""COMPUTED_VALUE"""),0.43394675925925924)</f>
        <v>0.4339467593</v>
      </c>
      <c r="K1071" s="16"/>
      <c r="L1071" s="8"/>
      <c r="M1071" s="69"/>
      <c r="N1071" s="69">
        <f>IFERROR(__xludf.DUMMYFUNCTION("""COMPUTED_VALUE"""),2.0)</f>
        <v>2</v>
      </c>
      <c r="O1071" s="69" t="str">
        <f t="shared" si="3"/>
        <v/>
      </c>
      <c r="P1071" s="471">
        <f>IFERROR(__xludf.DUMMYFUNCTION("""COMPUTED_VALUE"""),0.0)</f>
        <v>0</v>
      </c>
      <c r="Q1071" s="274" t="b">
        <f>VLOOKUP($B1071,'Run Reconcile'!B$2:O2488,14,FALSE)</f>
        <v>1</v>
      </c>
      <c r="R1071" s="472" t="str">
        <f t="array" ref="R1071">IF($Q1071, INDEX('Run Reconcile'!A$2:A2488,MATCH(B1071,'Run Reconcile'!B$2:B2488,0),1),IFERROR(0/0,""))</f>
        <v>RUN-FLMP_2022-04-18_RFR-113</v>
      </c>
      <c r="S1071" s="473" t="str">
        <f t="shared" si="694"/>
        <v/>
      </c>
      <c r="T1071" s="473" t="str">
        <f t="shared" si="698"/>
        <v/>
      </c>
      <c r="U1071" s="275" t="str">
        <f t="array" ref="U1071">IF(ISBLANK($R1071), INDEX('Run Reconcile'!A$2:A2488, MATCH($B1071, 'Run Reconcile'!B$2:B2488, 0)+Z1071, 1), IFERROR(0/0,""))
</f>
        <v/>
      </c>
      <c r="V1071" s="474" t="str">
        <f t="shared" si="5"/>
        <v>RUN-FLMP_2022-04-18_RFR-113</v>
      </c>
      <c r="Y1071" s="89" t="str">
        <f t="shared" si="867"/>
        <v/>
      </c>
      <c r="Z1071" s="60" t="str">
        <f t="shared" si="7"/>
        <v/>
      </c>
      <c r="AA1071" s="60" t="str">
        <f t="shared" si="8"/>
        <v/>
      </c>
      <c r="AB1071" s="60" t="str">
        <f t="shared" si="9"/>
        <v/>
      </c>
      <c r="AC1071" s="30" t="str">
        <f t="shared" ref="AC1071:AD1071" si="1427">IF(_xlfn.ISFORMULA(S1071),IFERROR(0/0,""),TRUE)</f>
        <v/>
      </c>
      <c r="AD1071" s="30" t="str">
        <f t="shared" si="1427"/>
        <v/>
      </c>
      <c r="AE1071" s="475" t="str">
        <f>IFERROR(__xludf.DUMMYFUNCTION("""COMPUTED_VALUE"""),"CRLN")</f>
        <v>CRLN</v>
      </c>
      <c r="AF1071" s="476"/>
      <c r="AG1071" s="474" t="s">
        <v>201</v>
      </c>
      <c r="AH1071" s="138" t="str">
        <f t="shared" si="11"/>
        <v/>
      </c>
    </row>
    <row r="1072">
      <c r="A1072" s="103" t="str">
        <f>IFERROR(__xludf.DUMMYFUNCTION("""COMPUTED_VALUE"""),"FLE265")</f>
        <v>FLE265</v>
      </c>
      <c r="B1072" s="468">
        <f>IFERROR(__xludf.DUMMYFUNCTION("""COMPUTED_VALUE"""),44669.0)</f>
        <v>44669</v>
      </c>
      <c r="C1072" s="469">
        <f>IFERROR(__xludf.DUMMYFUNCTION("""COMPUTED_VALUE"""),0.35875)</f>
        <v>0.35875</v>
      </c>
      <c r="D1072" s="103" t="str">
        <f>IFERROR(__xludf.DUMMYFUNCTION("""COMPUTED_VALUE"""),"SpFLMP737812")</f>
        <v>SpFLMP737812</v>
      </c>
      <c r="E1072" s="103"/>
      <c r="F1072" s="103"/>
      <c r="G1072" s="103" t="str">
        <f>IFERROR(__xludf.DUMMYFUNCTION("""COMPUTED_VALUE"""),"Null")</f>
        <v>Null</v>
      </c>
      <c r="H1072" s="131" t="str">
        <f>IFERROR(__xludf.DUMMYFUNCTION("""COMPUTED_VALUE"""),"Negative")</f>
        <v>Negative</v>
      </c>
      <c r="I1072" s="468"/>
      <c r="J1072" s="16"/>
      <c r="K1072" s="16">
        <f>IFERROR(__xludf.DUMMYFUNCTION("""COMPUTED_VALUE"""),2.0)</f>
        <v>2</v>
      </c>
      <c r="L1072" s="8" t="str">
        <f>IFERROR(__xludf.DUMMYFUNCTION("""COMPUTED_VALUE"""),"Not part of Carillon school so conclude ran and were neg")</f>
        <v>Not part of Carillon school so conclude ran and were neg</v>
      </c>
      <c r="M1072" s="69"/>
      <c r="N1072" s="69">
        <f>IFERROR(__xludf.DUMMYFUNCTION("""COMPUTED_VALUE"""),2.0)</f>
        <v>2</v>
      </c>
      <c r="O1072" s="69" t="str">
        <f t="shared" si="3"/>
        <v/>
      </c>
      <c r="P1072" s="471">
        <f>IFERROR(__xludf.DUMMYFUNCTION("""COMPUTED_VALUE"""),-1.0)</f>
        <v>-1</v>
      </c>
      <c r="Q1072" s="274" t="b">
        <f>VLOOKUP($B1072,'Run Reconcile'!B$2:O2488,14,FALSE)</f>
        <v>1</v>
      </c>
      <c r="R1072" s="472" t="str">
        <f t="array" ref="R1072">IF($Q1072, INDEX('Run Reconcile'!A$2:A2488,MATCH(B1072,'Run Reconcile'!B$2:B2488,0),1),IFERROR(0/0,""))</f>
        <v>RUN-FLMP_2022-04-18_RFR-113</v>
      </c>
      <c r="S1072" s="473" t="str">
        <f t="shared" si="694"/>
        <v/>
      </c>
      <c r="T1072" s="473" t="str">
        <f t="shared" si="698"/>
        <v/>
      </c>
      <c r="U1072" s="275" t="str">
        <f t="array" ref="U1072">IF(ISBLANK($R1072), INDEX('Run Reconcile'!A$2:A2488, MATCH($B1072, 'Run Reconcile'!B$2:B2488, 0)+Z1072, 1), IFERROR(0/0,""))
</f>
        <v/>
      </c>
      <c r="V1072" s="474" t="str">
        <f t="shared" si="5"/>
        <v>RUN-FLMP_2022-04-18_RFR-113</v>
      </c>
      <c r="Y1072" s="89" t="str">
        <f t="shared" si="867"/>
        <v/>
      </c>
      <c r="Z1072" s="60" t="str">
        <f t="shared" si="7"/>
        <v/>
      </c>
      <c r="AA1072" s="60" t="str">
        <f t="shared" si="8"/>
        <v/>
      </c>
      <c r="AB1072" s="60" t="str">
        <f t="shared" si="9"/>
        <v/>
      </c>
      <c r="AC1072" s="30" t="str">
        <f t="shared" ref="AC1072:AD1072" si="1428">IF(_xlfn.ISFORMULA(S1072),IFERROR(0/0,""),TRUE)</f>
        <v/>
      </c>
      <c r="AD1072" s="30" t="str">
        <f t="shared" si="1428"/>
        <v/>
      </c>
      <c r="AE1072" s="475" t="str">
        <f>IFERROR(__xludf.DUMMYFUNCTION("""COMPUTED_VALUE"""),"CRLN")</f>
        <v>CRLN</v>
      </c>
      <c r="AF1072" s="476"/>
      <c r="AG1072" s="474" t="s">
        <v>201</v>
      </c>
      <c r="AH1072" s="138" t="str">
        <f t="shared" si="11"/>
        <v/>
      </c>
    </row>
    <row r="1073">
      <c r="A1073" s="103" t="str">
        <f>IFERROR(__xludf.DUMMYFUNCTION("""COMPUTED_VALUE"""),"FLE824")</f>
        <v>FLE824</v>
      </c>
      <c r="B1073" s="468">
        <f>IFERROR(__xludf.DUMMYFUNCTION("""COMPUTED_VALUE"""),44669.0)</f>
        <v>44669</v>
      </c>
      <c r="C1073" s="469">
        <f>IFERROR(__xludf.DUMMYFUNCTION("""COMPUTED_VALUE"""),0.36126157407407405)</f>
        <v>0.3612615741</v>
      </c>
      <c r="D1073" s="103" t="str">
        <f>IFERROR(__xludf.DUMMYFUNCTION("""COMPUTED_VALUE"""),"SpFLMP649771")</f>
        <v>SpFLMP649771</v>
      </c>
      <c r="E1073" s="103"/>
      <c r="F1073" s="103"/>
      <c r="G1073" s="103" t="str">
        <f>IFERROR(__xludf.DUMMYFUNCTION("""COMPUTED_VALUE"""),"Negative")</f>
        <v>Negative</v>
      </c>
      <c r="H1073" s="131" t="str">
        <f>IFERROR(__xludf.DUMMYFUNCTION("""COMPUTED_VALUE"""),"Negative")</f>
        <v>Negative</v>
      </c>
      <c r="I1073" s="468">
        <f>IFERROR(__xludf.DUMMYFUNCTION("""COMPUTED_VALUE"""),44669.0)</f>
        <v>44669</v>
      </c>
      <c r="J1073" s="470">
        <f>IFERROR(__xludf.DUMMYFUNCTION("""COMPUTED_VALUE"""),0.43394675925925924)</f>
        <v>0.4339467593</v>
      </c>
      <c r="K1073" s="16"/>
      <c r="L1073" s="8"/>
      <c r="M1073" s="69"/>
      <c r="N1073" s="69">
        <f>IFERROR(__xludf.DUMMYFUNCTION("""COMPUTED_VALUE"""),2.0)</f>
        <v>2</v>
      </c>
      <c r="O1073" s="69" t="str">
        <f t="shared" si="3"/>
        <v/>
      </c>
      <c r="P1073" s="471">
        <f>IFERROR(__xludf.DUMMYFUNCTION("""COMPUTED_VALUE"""),0.0)</f>
        <v>0</v>
      </c>
      <c r="Q1073" s="274" t="b">
        <f>VLOOKUP($B1073,'Run Reconcile'!B$2:O2488,14,FALSE)</f>
        <v>1</v>
      </c>
      <c r="R1073" s="472" t="str">
        <f t="array" ref="R1073">IF($Q1073, INDEX('Run Reconcile'!A$2:A2488,MATCH(B1073,'Run Reconcile'!B$2:B2488,0),1),IFERROR(0/0,""))</f>
        <v>RUN-FLMP_2022-04-18_RFR-113</v>
      </c>
      <c r="S1073" s="473" t="str">
        <f t="shared" si="694"/>
        <v/>
      </c>
      <c r="T1073" s="473" t="str">
        <f t="shared" si="698"/>
        <v/>
      </c>
      <c r="U1073" s="275" t="str">
        <f t="array" ref="U1073">IF(ISBLANK($R1073), INDEX('Run Reconcile'!A$2:A2488, MATCH($B1073, 'Run Reconcile'!B$2:B2488, 0)+Z1073, 1), IFERROR(0/0,""))
</f>
        <v/>
      </c>
      <c r="V1073" s="474" t="str">
        <f t="shared" si="5"/>
        <v>RUN-FLMP_2022-04-18_RFR-113</v>
      </c>
      <c r="Y1073" s="89" t="str">
        <f t="shared" si="867"/>
        <v/>
      </c>
      <c r="Z1073" s="60" t="str">
        <f t="shared" si="7"/>
        <v/>
      </c>
      <c r="AA1073" s="60" t="str">
        <f t="shared" si="8"/>
        <v/>
      </c>
      <c r="AB1073" s="60" t="str">
        <f t="shared" si="9"/>
        <v/>
      </c>
      <c r="AC1073" s="30" t="str">
        <f t="shared" ref="AC1073:AD1073" si="1429">IF(_xlfn.ISFORMULA(S1073),IFERROR(0/0,""),TRUE)</f>
        <v/>
      </c>
      <c r="AD1073" s="30" t="str">
        <f t="shared" si="1429"/>
        <v/>
      </c>
      <c r="AE1073" s="475" t="str">
        <f>IFERROR(__xludf.DUMMYFUNCTION("""COMPUTED_VALUE"""),"CRLN")</f>
        <v>CRLN</v>
      </c>
      <c r="AF1073" s="476"/>
      <c r="AG1073" s="474" t="s">
        <v>201</v>
      </c>
      <c r="AH1073" s="138" t="str">
        <f t="shared" si="11"/>
        <v/>
      </c>
    </row>
    <row r="1074">
      <c r="A1074" s="103" t="str">
        <f>IFERROR(__xludf.DUMMYFUNCTION("""COMPUTED_VALUE"""),"AH7298")</f>
        <v>AH7298</v>
      </c>
      <c r="B1074" s="468">
        <f>IFERROR(__xludf.DUMMYFUNCTION("""COMPUTED_VALUE"""),44669.0)</f>
        <v>44669</v>
      </c>
      <c r="C1074" s="469">
        <f>IFERROR(__xludf.DUMMYFUNCTION("""COMPUTED_VALUE"""),0.36247685185185186)</f>
        <v>0.3624768519</v>
      </c>
      <c r="D1074" s="103" t="str">
        <f>IFERROR(__xludf.DUMMYFUNCTION("""COMPUTED_VALUE"""),"SpFLMP939619")</f>
        <v>SpFLMP939619</v>
      </c>
      <c r="E1074" s="103"/>
      <c r="F1074" s="103"/>
      <c r="G1074" s="103" t="str">
        <f>IFERROR(__xludf.DUMMYFUNCTION("""COMPUTED_VALUE"""),"Negative")</f>
        <v>Negative</v>
      </c>
      <c r="H1074" s="131" t="str">
        <f>IFERROR(__xludf.DUMMYFUNCTION("""COMPUTED_VALUE"""),"Negative")</f>
        <v>Negative</v>
      </c>
      <c r="I1074" s="468">
        <f>IFERROR(__xludf.DUMMYFUNCTION("""COMPUTED_VALUE"""),44669.0)</f>
        <v>44669</v>
      </c>
      <c r="J1074" s="470">
        <f>IFERROR(__xludf.DUMMYFUNCTION("""COMPUTED_VALUE"""),0.43394675925925924)</f>
        <v>0.4339467593</v>
      </c>
      <c r="K1074" s="16"/>
      <c r="L1074" s="8"/>
      <c r="M1074" s="69"/>
      <c r="N1074" s="69">
        <f>IFERROR(__xludf.DUMMYFUNCTION("""COMPUTED_VALUE"""),1.0)</f>
        <v>1</v>
      </c>
      <c r="O1074" s="69" t="str">
        <f t="shared" si="3"/>
        <v/>
      </c>
      <c r="P1074" s="471">
        <f>IFERROR(__xludf.DUMMYFUNCTION("""COMPUTED_VALUE"""),0.0)</f>
        <v>0</v>
      </c>
      <c r="Q1074" s="274" t="b">
        <f>VLOOKUP($B1074,'Run Reconcile'!B$2:O2488,14,FALSE)</f>
        <v>1</v>
      </c>
      <c r="R1074" s="472" t="str">
        <f t="array" ref="R1074">IF($Q1074, INDEX('Run Reconcile'!A$2:A2488,MATCH(B1074,'Run Reconcile'!B$2:B2488,0),1),IFERROR(0/0,""))</f>
        <v>RUN-FLMP_2022-04-18_RFR-113</v>
      </c>
      <c r="S1074" s="473" t="str">
        <f t="shared" si="694"/>
        <v/>
      </c>
      <c r="T1074" s="473" t="str">
        <f t="shared" si="698"/>
        <v/>
      </c>
      <c r="U1074" s="275" t="str">
        <f t="array" ref="U1074">IF(ISBLANK($R1074), INDEX('Run Reconcile'!A$2:A2488, MATCH($B1074, 'Run Reconcile'!B$2:B2488, 0)+Z1074, 1), IFERROR(0/0,""))
</f>
        <v/>
      </c>
      <c r="V1074" s="474" t="str">
        <f t="shared" si="5"/>
        <v>RUN-FLMP_2022-04-18_RFR-113</v>
      </c>
      <c r="Y1074" s="89" t="str">
        <f t="shared" si="867"/>
        <v/>
      </c>
      <c r="Z1074" s="60" t="str">
        <f t="shared" si="7"/>
        <v/>
      </c>
      <c r="AA1074" s="60" t="str">
        <f t="shared" si="8"/>
        <v/>
      </c>
      <c r="AB1074" s="60" t="str">
        <f t="shared" si="9"/>
        <v/>
      </c>
      <c r="AC1074" s="30" t="str">
        <f t="shared" ref="AC1074:AD1074" si="1430">IF(_xlfn.ISFORMULA(S1074),IFERROR(0/0,""),TRUE)</f>
        <v/>
      </c>
      <c r="AD1074" s="30" t="str">
        <f t="shared" si="1430"/>
        <v/>
      </c>
      <c r="AE1074" s="475" t="str">
        <f>IFERROR(__xludf.DUMMYFUNCTION("""COMPUTED_VALUE"""),"CRLN")</f>
        <v>CRLN</v>
      </c>
      <c r="AF1074" s="476"/>
      <c r="AG1074" s="474" t="s">
        <v>201</v>
      </c>
      <c r="AH1074" s="138" t="str">
        <f t="shared" si="11"/>
        <v/>
      </c>
    </row>
    <row r="1075">
      <c r="A1075" s="103" t="str">
        <f>IFERROR(__xludf.DUMMYFUNCTION("""COMPUTED_VALUE"""),"FLB5824")</f>
        <v>FLB5824</v>
      </c>
      <c r="B1075" s="468">
        <f>IFERROR(__xludf.DUMMYFUNCTION("""COMPUTED_VALUE"""),44669.0)</f>
        <v>44669</v>
      </c>
      <c r="C1075" s="469">
        <f>IFERROR(__xludf.DUMMYFUNCTION("""COMPUTED_VALUE"""),0.3634953703703704)</f>
        <v>0.3634953704</v>
      </c>
      <c r="D1075" s="103" t="str">
        <f>IFERROR(__xludf.DUMMYFUNCTION("""COMPUTED_VALUE"""),"SpFLMP683385")</f>
        <v>SpFLMP683385</v>
      </c>
      <c r="E1075" s="103"/>
      <c r="F1075" s="103"/>
      <c r="G1075" s="103" t="str">
        <f>IFERROR(__xludf.DUMMYFUNCTION("""COMPUTED_VALUE"""),"Negative")</f>
        <v>Negative</v>
      </c>
      <c r="H1075" s="131" t="str">
        <f>IFERROR(__xludf.DUMMYFUNCTION("""COMPUTED_VALUE"""),"Negative")</f>
        <v>Negative</v>
      </c>
      <c r="I1075" s="468">
        <f>IFERROR(__xludf.DUMMYFUNCTION("""COMPUTED_VALUE"""),44669.0)</f>
        <v>44669</v>
      </c>
      <c r="J1075" s="470">
        <f>IFERROR(__xludf.DUMMYFUNCTION("""COMPUTED_VALUE"""),0.43394675925925924)</f>
        <v>0.4339467593</v>
      </c>
      <c r="K1075" s="16"/>
      <c r="L1075" s="8"/>
      <c r="M1075" s="69"/>
      <c r="N1075" s="69">
        <f>IFERROR(__xludf.DUMMYFUNCTION("""COMPUTED_VALUE"""),3.0)</f>
        <v>3</v>
      </c>
      <c r="O1075" s="69" t="str">
        <f t="shared" si="3"/>
        <v/>
      </c>
      <c r="P1075" s="471">
        <f>IFERROR(__xludf.DUMMYFUNCTION("""COMPUTED_VALUE"""),0.0)</f>
        <v>0</v>
      </c>
      <c r="Q1075" s="274" t="b">
        <f>VLOOKUP($B1075,'Run Reconcile'!B$2:O2488,14,FALSE)</f>
        <v>1</v>
      </c>
      <c r="R1075" s="472" t="str">
        <f t="array" ref="R1075">IF($Q1075, INDEX('Run Reconcile'!A$2:A2488,MATCH(B1075,'Run Reconcile'!B$2:B2488,0),1),IFERROR(0/0,""))</f>
        <v>RUN-FLMP_2022-04-18_RFR-113</v>
      </c>
      <c r="S1075" s="473" t="str">
        <f t="shared" si="694"/>
        <v/>
      </c>
      <c r="T1075" s="473" t="str">
        <f t="shared" si="698"/>
        <v/>
      </c>
      <c r="U1075" s="275" t="str">
        <f t="array" ref="U1075">IF(ISBLANK($R1075), INDEX('Run Reconcile'!A$2:A2488, MATCH($B1075, 'Run Reconcile'!B$2:B2488, 0)+Z1075, 1), IFERROR(0/0,""))
</f>
        <v/>
      </c>
      <c r="V1075" s="474" t="str">
        <f t="shared" si="5"/>
        <v>RUN-FLMP_2022-04-18_RFR-113</v>
      </c>
      <c r="Y1075" s="89" t="str">
        <f t="shared" si="867"/>
        <v/>
      </c>
      <c r="Z1075" s="60" t="str">
        <f t="shared" si="7"/>
        <v/>
      </c>
      <c r="AA1075" s="60" t="str">
        <f t="shared" si="8"/>
        <v/>
      </c>
      <c r="AB1075" s="60" t="str">
        <f t="shared" si="9"/>
        <v/>
      </c>
      <c r="AC1075" s="30" t="str">
        <f t="shared" ref="AC1075:AD1075" si="1431">IF(_xlfn.ISFORMULA(S1075),IFERROR(0/0,""),TRUE)</f>
        <v/>
      </c>
      <c r="AD1075" s="30" t="str">
        <f t="shared" si="1431"/>
        <v/>
      </c>
      <c r="AE1075" s="475" t="str">
        <f>IFERROR(__xludf.DUMMYFUNCTION("""COMPUTED_VALUE"""),"CRLN")</f>
        <v>CRLN</v>
      </c>
      <c r="AF1075" s="476"/>
      <c r="AG1075" s="474" t="s">
        <v>201</v>
      </c>
      <c r="AH1075" s="138" t="str">
        <f t="shared" si="11"/>
        <v/>
      </c>
    </row>
    <row r="1076">
      <c r="A1076" s="103" t="str">
        <f>IFERROR(__xludf.DUMMYFUNCTION("""COMPUTED_VALUE"""),"FLE868")</f>
        <v>FLE868</v>
      </c>
      <c r="B1076" s="468">
        <f>IFERROR(__xludf.DUMMYFUNCTION("""COMPUTED_VALUE"""),44669.0)</f>
        <v>44669</v>
      </c>
      <c r="C1076" s="469">
        <f>IFERROR(__xludf.DUMMYFUNCTION("""COMPUTED_VALUE"""),0.36431712962962964)</f>
        <v>0.3643171296</v>
      </c>
      <c r="D1076" s="103" t="str">
        <f>IFERROR(__xludf.DUMMYFUNCTION("""COMPUTED_VALUE"""),"SpFLMP946259")</f>
        <v>SpFLMP946259</v>
      </c>
      <c r="E1076" s="103"/>
      <c r="F1076" s="103"/>
      <c r="G1076" s="103" t="str">
        <f>IFERROR(__xludf.DUMMYFUNCTION("""COMPUTED_VALUE"""),"Negative")</f>
        <v>Negative</v>
      </c>
      <c r="H1076" s="131" t="str">
        <f>IFERROR(__xludf.DUMMYFUNCTION("""COMPUTED_VALUE"""),"Negative")</f>
        <v>Negative</v>
      </c>
      <c r="I1076" s="468">
        <f>IFERROR(__xludf.DUMMYFUNCTION("""COMPUTED_VALUE"""),44669.0)</f>
        <v>44669</v>
      </c>
      <c r="J1076" s="470">
        <f>IFERROR(__xludf.DUMMYFUNCTION("""COMPUTED_VALUE"""),0.43395833333333333)</f>
        <v>0.4339583333</v>
      </c>
      <c r="K1076" s="16"/>
      <c r="L1076" s="8"/>
      <c r="M1076" s="69"/>
      <c r="N1076" s="69">
        <f>IFERROR(__xludf.DUMMYFUNCTION("""COMPUTED_VALUE"""),2.0)</f>
        <v>2</v>
      </c>
      <c r="O1076" s="69" t="str">
        <f t="shared" si="3"/>
        <v/>
      </c>
      <c r="P1076" s="471">
        <f>IFERROR(__xludf.DUMMYFUNCTION("""COMPUTED_VALUE"""),0.0)</f>
        <v>0</v>
      </c>
      <c r="Q1076" s="274" t="b">
        <f>VLOOKUP($B1076,'Run Reconcile'!B$2:O2488,14,FALSE)</f>
        <v>1</v>
      </c>
      <c r="R1076" s="472" t="str">
        <f t="array" ref="R1076">IF($Q1076, INDEX('Run Reconcile'!A$2:A2488,MATCH(B1076,'Run Reconcile'!B$2:B2488,0),1),IFERROR(0/0,""))</f>
        <v>RUN-FLMP_2022-04-18_RFR-113</v>
      </c>
      <c r="S1076" s="473" t="str">
        <f t="shared" si="694"/>
        <v/>
      </c>
      <c r="T1076" s="473" t="str">
        <f t="shared" si="698"/>
        <v/>
      </c>
      <c r="U1076" s="275" t="str">
        <f t="array" ref="U1076">IF(ISBLANK($R1076), INDEX('Run Reconcile'!A$2:A2488, MATCH($B1076, 'Run Reconcile'!B$2:B2488, 0)+Z1076, 1), IFERROR(0/0,""))
</f>
        <v/>
      </c>
      <c r="V1076" s="474" t="str">
        <f t="shared" si="5"/>
        <v>RUN-FLMP_2022-04-18_RFR-113</v>
      </c>
      <c r="Y1076" s="89" t="str">
        <f t="shared" si="867"/>
        <v/>
      </c>
      <c r="Z1076" s="60" t="str">
        <f t="shared" si="7"/>
        <v/>
      </c>
      <c r="AA1076" s="60" t="str">
        <f t="shared" si="8"/>
        <v/>
      </c>
      <c r="AB1076" s="60" t="str">
        <f t="shared" si="9"/>
        <v/>
      </c>
      <c r="AC1076" s="30" t="str">
        <f t="shared" ref="AC1076:AD1076" si="1432">IF(_xlfn.ISFORMULA(S1076),IFERROR(0/0,""),TRUE)</f>
        <v/>
      </c>
      <c r="AD1076" s="30" t="str">
        <f t="shared" si="1432"/>
        <v/>
      </c>
      <c r="AE1076" s="475" t="str">
        <f>IFERROR(__xludf.DUMMYFUNCTION("""COMPUTED_VALUE"""),"CRLN")</f>
        <v>CRLN</v>
      </c>
      <c r="AF1076" s="476"/>
      <c r="AG1076" s="474" t="s">
        <v>201</v>
      </c>
      <c r="AH1076" s="138" t="str">
        <f t="shared" si="11"/>
        <v/>
      </c>
    </row>
    <row r="1077">
      <c r="A1077" s="103" t="str">
        <f>IFERROR(__xludf.DUMMYFUNCTION("""COMPUTED_VALUE"""),"FLE293")</f>
        <v>FLE293</v>
      </c>
      <c r="B1077" s="468">
        <f>IFERROR(__xludf.DUMMYFUNCTION("""COMPUTED_VALUE"""),44669.0)</f>
        <v>44669</v>
      </c>
      <c r="C1077" s="469">
        <f>IFERROR(__xludf.DUMMYFUNCTION("""COMPUTED_VALUE"""),0.3706365740740741)</f>
        <v>0.3706365741</v>
      </c>
      <c r="D1077" s="103" t="str">
        <f>IFERROR(__xludf.DUMMYFUNCTION("""COMPUTED_VALUE"""),"SpFLMP684798")</f>
        <v>SpFLMP684798</v>
      </c>
      <c r="E1077" s="103"/>
      <c r="F1077" s="103"/>
      <c r="G1077" s="103" t="str">
        <f>IFERROR(__xludf.DUMMYFUNCTION("""COMPUTED_VALUE"""),"Negative")</f>
        <v>Negative</v>
      </c>
      <c r="H1077" s="131" t="str">
        <f>IFERROR(__xludf.DUMMYFUNCTION("""COMPUTED_VALUE"""),"Negative")</f>
        <v>Negative</v>
      </c>
      <c r="I1077" s="468">
        <f>IFERROR(__xludf.DUMMYFUNCTION("""COMPUTED_VALUE"""),44669.0)</f>
        <v>44669</v>
      </c>
      <c r="J1077" s="470">
        <f>IFERROR(__xludf.DUMMYFUNCTION("""COMPUTED_VALUE"""),0.43395833333333333)</f>
        <v>0.4339583333</v>
      </c>
      <c r="K1077" s="16"/>
      <c r="L1077" s="8"/>
      <c r="M1077" s="69"/>
      <c r="N1077" s="69">
        <f>IFERROR(__xludf.DUMMYFUNCTION("""COMPUTED_VALUE"""),4.0)</f>
        <v>4</v>
      </c>
      <c r="O1077" s="69" t="str">
        <f t="shared" si="3"/>
        <v/>
      </c>
      <c r="P1077" s="471">
        <f>IFERROR(__xludf.DUMMYFUNCTION("""COMPUTED_VALUE"""),0.0)</f>
        <v>0</v>
      </c>
      <c r="Q1077" s="274" t="b">
        <f>VLOOKUP($B1077,'Run Reconcile'!B$2:O2488,14,FALSE)</f>
        <v>1</v>
      </c>
      <c r="R1077" s="472" t="str">
        <f t="array" ref="R1077">IF($Q1077, INDEX('Run Reconcile'!A$2:A2488,MATCH(B1077,'Run Reconcile'!B$2:B2488,0),1),IFERROR(0/0,""))</f>
        <v>RUN-FLMP_2022-04-18_RFR-113</v>
      </c>
      <c r="S1077" s="473" t="str">
        <f t="shared" si="694"/>
        <v/>
      </c>
      <c r="T1077" s="473" t="str">
        <f t="shared" si="698"/>
        <v/>
      </c>
      <c r="U1077" s="275" t="str">
        <f t="array" ref="U1077">IF(ISBLANK($R1077), INDEX('Run Reconcile'!A$2:A2488, MATCH($B1077, 'Run Reconcile'!B$2:B2488, 0)+Z1077, 1), IFERROR(0/0,""))
</f>
        <v/>
      </c>
      <c r="V1077" s="474" t="str">
        <f t="shared" si="5"/>
        <v>RUN-FLMP_2022-04-18_RFR-113</v>
      </c>
      <c r="Y1077" s="89" t="str">
        <f t="shared" si="867"/>
        <v/>
      </c>
      <c r="Z1077" s="60" t="str">
        <f t="shared" si="7"/>
        <v/>
      </c>
      <c r="AA1077" s="60" t="str">
        <f t="shared" si="8"/>
        <v/>
      </c>
      <c r="AB1077" s="60" t="str">
        <f t="shared" si="9"/>
        <v/>
      </c>
      <c r="AC1077" s="30" t="str">
        <f t="shared" ref="AC1077:AD1077" si="1433">IF(_xlfn.ISFORMULA(S1077),IFERROR(0/0,""),TRUE)</f>
        <v/>
      </c>
      <c r="AD1077" s="30" t="str">
        <f t="shared" si="1433"/>
        <v/>
      </c>
      <c r="AE1077" s="475" t="str">
        <f>IFERROR(__xludf.DUMMYFUNCTION("""COMPUTED_VALUE"""),"CRLN")</f>
        <v>CRLN</v>
      </c>
      <c r="AF1077" s="476"/>
      <c r="AG1077" s="474" t="s">
        <v>201</v>
      </c>
      <c r="AH1077" s="138" t="str">
        <f t="shared" si="11"/>
        <v/>
      </c>
    </row>
    <row r="1078">
      <c r="A1078" s="103" t="str">
        <f>IFERROR(__xludf.DUMMYFUNCTION("""COMPUTED_VALUE"""),"FLB4902")</f>
        <v>FLB4902</v>
      </c>
      <c r="B1078" s="468">
        <f>IFERROR(__xludf.DUMMYFUNCTION("""COMPUTED_VALUE"""),44669.0)</f>
        <v>44669</v>
      </c>
      <c r="C1078" s="469">
        <f>IFERROR(__xludf.DUMMYFUNCTION("""COMPUTED_VALUE"""),0.37324074074074076)</f>
        <v>0.3732407407</v>
      </c>
      <c r="D1078" s="103" t="str">
        <f>IFERROR(__xludf.DUMMYFUNCTION("""COMPUTED_VALUE"""),"SpFLMP496039")</f>
        <v>SpFLMP496039</v>
      </c>
      <c r="E1078" s="103"/>
      <c r="F1078" s="103"/>
      <c r="G1078" s="103" t="str">
        <f>IFERROR(__xludf.DUMMYFUNCTION("""COMPUTED_VALUE"""),"Negative")</f>
        <v>Negative</v>
      </c>
      <c r="H1078" s="131" t="str">
        <f>IFERROR(__xludf.DUMMYFUNCTION("""COMPUTED_VALUE"""),"Negative")</f>
        <v>Negative</v>
      </c>
      <c r="I1078" s="468">
        <f>IFERROR(__xludf.DUMMYFUNCTION("""COMPUTED_VALUE"""),44669.0)</f>
        <v>44669</v>
      </c>
      <c r="J1078" s="470">
        <f>IFERROR(__xludf.DUMMYFUNCTION("""COMPUTED_VALUE"""),0.43395833333333333)</f>
        <v>0.4339583333</v>
      </c>
      <c r="K1078" s="16"/>
      <c r="L1078" s="8"/>
      <c r="M1078" s="69"/>
      <c r="N1078" s="69">
        <f>IFERROR(__xludf.DUMMYFUNCTION("""COMPUTED_VALUE"""),1.0)</f>
        <v>1</v>
      </c>
      <c r="O1078" s="69" t="str">
        <f t="shared" si="3"/>
        <v/>
      </c>
      <c r="P1078" s="471">
        <f>IFERROR(__xludf.DUMMYFUNCTION("""COMPUTED_VALUE"""),0.0)</f>
        <v>0</v>
      </c>
      <c r="Q1078" s="274" t="b">
        <f>VLOOKUP($B1078,'Run Reconcile'!B$2:O2488,14,FALSE)</f>
        <v>1</v>
      </c>
      <c r="R1078" s="472" t="str">
        <f t="array" ref="R1078">IF($Q1078, INDEX('Run Reconcile'!A$2:A2488,MATCH(B1078,'Run Reconcile'!B$2:B2488,0),1),IFERROR(0/0,""))</f>
        <v>RUN-FLMP_2022-04-18_RFR-113</v>
      </c>
      <c r="S1078" s="473" t="str">
        <f t="shared" si="694"/>
        <v/>
      </c>
      <c r="T1078" s="473" t="str">
        <f t="shared" si="698"/>
        <v/>
      </c>
      <c r="U1078" s="275" t="str">
        <f t="array" ref="U1078">IF(ISBLANK($R1078), INDEX('Run Reconcile'!A$2:A2488, MATCH($B1078, 'Run Reconcile'!B$2:B2488, 0)+Z1078, 1), IFERROR(0/0,""))
</f>
        <v/>
      </c>
      <c r="V1078" s="474" t="str">
        <f t="shared" si="5"/>
        <v>RUN-FLMP_2022-04-18_RFR-113</v>
      </c>
      <c r="Y1078" s="89" t="str">
        <f t="shared" si="867"/>
        <v/>
      </c>
      <c r="Z1078" s="60" t="str">
        <f t="shared" si="7"/>
        <v/>
      </c>
      <c r="AA1078" s="60" t="str">
        <f t="shared" si="8"/>
        <v/>
      </c>
      <c r="AB1078" s="60" t="str">
        <f t="shared" si="9"/>
        <v/>
      </c>
      <c r="AC1078" s="30" t="str">
        <f t="shared" ref="AC1078:AD1078" si="1434">IF(_xlfn.ISFORMULA(S1078),IFERROR(0/0,""),TRUE)</f>
        <v/>
      </c>
      <c r="AD1078" s="30" t="str">
        <f t="shared" si="1434"/>
        <v/>
      </c>
      <c r="AE1078" s="475" t="str">
        <f>IFERROR(__xludf.DUMMYFUNCTION("""COMPUTED_VALUE"""),"FLSP")</f>
        <v>FLSP</v>
      </c>
      <c r="AF1078" s="476"/>
      <c r="AG1078" s="474" t="s">
        <v>201</v>
      </c>
      <c r="AH1078" s="138" t="str">
        <f t="shared" si="11"/>
        <v/>
      </c>
    </row>
    <row r="1079">
      <c r="A1079" s="103" t="str">
        <f>IFERROR(__xludf.DUMMYFUNCTION("""COMPUTED_VALUE"""),"FLE890")</f>
        <v>FLE890</v>
      </c>
      <c r="B1079" s="468">
        <f>IFERROR(__xludf.DUMMYFUNCTION("""COMPUTED_VALUE"""),44669.0)</f>
        <v>44669</v>
      </c>
      <c r="C1079" s="469">
        <f>IFERROR(__xludf.DUMMYFUNCTION("""COMPUTED_VALUE"""),0.3837615740740741)</f>
        <v>0.3837615741</v>
      </c>
      <c r="D1079" s="103" t="str">
        <f>IFERROR(__xludf.DUMMYFUNCTION("""COMPUTED_VALUE"""),"SpFLMP170622")</f>
        <v>SpFLMP170622</v>
      </c>
      <c r="E1079" s="103"/>
      <c r="F1079" s="103"/>
      <c r="G1079" s="103" t="str">
        <f>IFERROR(__xludf.DUMMYFUNCTION("""COMPUTED_VALUE"""),"Negative")</f>
        <v>Negative</v>
      </c>
      <c r="H1079" s="131" t="str">
        <f>IFERROR(__xludf.DUMMYFUNCTION("""COMPUTED_VALUE"""),"Negative")</f>
        <v>Negative</v>
      </c>
      <c r="I1079" s="468">
        <f>IFERROR(__xludf.DUMMYFUNCTION("""COMPUTED_VALUE"""),44669.0)</f>
        <v>44669</v>
      </c>
      <c r="J1079" s="470">
        <f>IFERROR(__xludf.DUMMYFUNCTION("""COMPUTED_VALUE"""),0.43395833333333333)</f>
        <v>0.4339583333</v>
      </c>
      <c r="K1079" s="16"/>
      <c r="L1079" s="8"/>
      <c r="M1079" s="69"/>
      <c r="N1079" s="69">
        <f>IFERROR(__xludf.DUMMYFUNCTION("""COMPUTED_VALUE"""),2.0)</f>
        <v>2</v>
      </c>
      <c r="O1079" s="69" t="str">
        <f t="shared" si="3"/>
        <v/>
      </c>
      <c r="P1079" s="471">
        <f>IFERROR(__xludf.DUMMYFUNCTION("""COMPUTED_VALUE"""),0.0)</f>
        <v>0</v>
      </c>
      <c r="Q1079" s="274" t="b">
        <f>VLOOKUP($B1079,'Run Reconcile'!B$2:O2488,14,FALSE)</f>
        <v>1</v>
      </c>
      <c r="R1079" s="472" t="str">
        <f t="array" ref="R1079">IF($Q1079, INDEX('Run Reconcile'!A$2:A2488,MATCH(B1079,'Run Reconcile'!B$2:B2488,0),1),IFERROR(0/0,""))</f>
        <v>RUN-FLMP_2022-04-18_RFR-113</v>
      </c>
      <c r="S1079" s="473" t="str">
        <f t="shared" si="694"/>
        <v/>
      </c>
      <c r="T1079" s="473" t="str">
        <f t="shared" si="698"/>
        <v/>
      </c>
      <c r="U1079" s="275" t="str">
        <f t="array" ref="U1079">IF(ISBLANK($R1079), INDEX('Run Reconcile'!A$2:A2488, MATCH($B1079, 'Run Reconcile'!B$2:B2488, 0)+Z1079, 1), IFERROR(0/0,""))
</f>
        <v/>
      </c>
      <c r="V1079" s="474" t="str">
        <f t="shared" si="5"/>
        <v>RUN-FLMP_2022-04-18_RFR-113</v>
      </c>
      <c r="Y1079" s="89" t="str">
        <f t="shared" si="867"/>
        <v/>
      </c>
      <c r="Z1079" s="60" t="str">
        <f t="shared" si="7"/>
        <v/>
      </c>
      <c r="AA1079" s="60" t="str">
        <f t="shared" si="8"/>
        <v/>
      </c>
      <c r="AB1079" s="60" t="str">
        <f t="shared" si="9"/>
        <v/>
      </c>
      <c r="AC1079" s="30" t="str">
        <f t="shared" ref="AC1079:AD1079" si="1435">IF(_xlfn.ISFORMULA(S1079),IFERROR(0/0,""),TRUE)</f>
        <v/>
      </c>
      <c r="AD1079" s="30" t="str">
        <f t="shared" si="1435"/>
        <v/>
      </c>
      <c r="AE1079" s="475" t="str">
        <f>IFERROR(__xludf.DUMMYFUNCTION("""COMPUTED_VALUE"""),"CRLN")</f>
        <v>CRLN</v>
      </c>
      <c r="AF1079" s="476"/>
      <c r="AG1079" s="474" t="s">
        <v>201</v>
      </c>
      <c r="AH1079" s="138" t="str">
        <f t="shared" si="11"/>
        <v/>
      </c>
    </row>
    <row r="1080">
      <c r="A1080" s="103" t="str">
        <f>IFERROR(__xludf.DUMMYFUNCTION("""COMPUTED_VALUE"""),"FLB4959")</f>
        <v>FLB4959</v>
      </c>
      <c r="B1080" s="468">
        <f>IFERROR(__xludf.DUMMYFUNCTION("""COMPUTED_VALUE"""),44669.0)</f>
        <v>44669</v>
      </c>
      <c r="C1080" s="469">
        <f>IFERROR(__xludf.DUMMYFUNCTION("""COMPUTED_VALUE"""),0.38436342592592593)</f>
        <v>0.3843634259</v>
      </c>
      <c r="D1080" s="103" t="str">
        <f>IFERROR(__xludf.DUMMYFUNCTION("""COMPUTED_VALUE"""),"SpFLMP120998")</f>
        <v>SpFLMP120998</v>
      </c>
      <c r="E1080" s="103"/>
      <c r="F1080" s="103"/>
      <c r="G1080" s="103" t="str">
        <f>IFERROR(__xludf.DUMMYFUNCTION("""COMPUTED_VALUE"""),"Negative")</f>
        <v>Negative</v>
      </c>
      <c r="H1080" s="131" t="str">
        <f>IFERROR(__xludf.DUMMYFUNCTION("""COMPUTED_VALUE"""),"Negative")</f>
        <v>Negative</v>
      </c>
      <c r="I1080" s="468">
        <f>IFERROR(__xludf.DUMMYFUNCTION("""COMPUTED_VALUE"""),44669.0)</f>
        <v>44669</v>
      </c>
      <c r="J1080" s="470">
        <f>IFERROR(__xludf.DUMMYFUNCTION("""COMPUTED_VALUE"""),0.43395833333333333)</f>
        <v>0.4339583333</v>
      </c>
      <c r="K1080" s="16"/>
      <c r="L1080" s="8"/>
      <c r="M1080" s="69"/>
      <c r="N1080" s="69">
        <f>IFERROR(__xludf.DUMMYFUNCTION("""COMPUTED_VALUE"""),1.0)</f>
        <v>1</v>
      </c>
      <c r="O1080" s="69" t="str">
        <f t="shared" si="3"/>
        <v/>
      </c>
      <c r="P1080" s="471">
        <f>IFERROR(__xludf.DUMMYFUNCTION("""COMPUTED_VALUE"""),0.0)</f>
        <v>0</v>
      </c>
      <c r="Q1080" s="274" t="b">
        <f>VLOOKUP($B1080,'Run Reconcile'!B$2:O2488,14,FALSE)</f>
        <v>1</v>
      </c>
      <c r="R1080" s="472" t="str">
        <f t="array" ref="R1080">IF($Q1080, INDEX('Run Reconcile'!A$2:A2488,MATCH(B1080,'Run Reconcile'!B$2:B2488,0),1),IFERROR(0/0,""))</f>
        <v>RUN-FLMP_2022-04-18_RFR-113</v>
      </c>
      <c r="S1080" s="473" t="str">
        <f t="shared" si="694"/>
        <v/>
      </c>
      <c r="T1080" s="473" t="str">
        <f t="shared" si="698"/>
        <v/>
      </c>
      <c r="U1080" s="275" t="str">
        <f t="array" ref="U1080">IF(ISBLANK($R1080), INDEX('Run Reconcile'!A$2:A2488, MATCH($B1080, 'Run Reconcile'!B$2:B2488, 0)+Z1080, 1), IFERROR(0/0,""))
</f>
        <v/>
      </c>
      <c r="V1080" s="474" t="str">
        <f t="shared" si="5"/>
        <v>RUN-FLMP_2022-04-18_RFR-113</v>
      </c>
      <c r="Y1080" s="89" t="str">
        <f t="shared" si="867"/>
        <v/>
      </c>
      <c r="Z1080" s="60" t="str">
        <f t="shared" si="7"/>
        <v/>
      </c>
      <c r="AA1080" s="60" t="str">
        <f t="shared" si="8"/>
        <v/>
      </c>
      <c r="AB1080" s="60" t="str">
        <f t="shared" si="9"/>
        <v/>
      </c>
      <c r="AC1080" s="30" t="str">
        <f t="shared" ref="AC1080:AD1080" si="1436">IF(_xlfn.ISFORMULA(S1080),IFERROR(0/0,""),TRUE)</f>
        <v/>
      </c>
      <c r="AD1080" s="30" t="str">
        <f t="shared" si="1436"/>
        <v/>
      </c>
      <c r="AE1080" s="475" t="str">
        <f>IFERROR(__xludf.DUMMYFUNCTION("""COMPUTED_VALUE"""),"FLSP")</f>
        <v>FLSP</v>
      </c>
      <c r="AF1080" s="476"/>
      <c r="AG1080" s="474" t="s">
        <v>201</v>
      </c>
      <c r="AH1080" s="138" t="str">
        <f t="shared" si="11"/>
        <v/>
      </c>
    </row>
    <row r="1081">
      <c r="A1081" s="477" t="str">
        <f>IFERROR(__xludf.DUMMYFUNCTION("""COMPUTED_VALUE"""),"MA902")</f>
        <v>MA902</v>
      </c>
      <c r="B1081" s="478">
        <f>IFERROR(__xludf.DUMMYFUNCTION("""COMPUTED_VALUE"""),44670.0)</f>
        <v>44670</v>
      </c>
      <c r="C1081" s="479">
        <f>IFERROR(__xludf.DUMMYFUNCTION("""COMPUTED_VALUE"""),0.3484837962962963)</f>
        <v>0.3484837963</v>
      </c>
      <c r="D1081" s="477" t="str">
        <f>IFERROR(__xludf.DUMMYFUNCTION("""COMPUTED_VALUE"""),"SpFLMP684798")</f>
        <v>SpFLMP684798</v>
      </c>
      <c r="E1081" s="477"/>
      <c r="F1081" s="477"/>
      <c r="G1081" s="477" t="str">
        <f>IFERROR(__xludf.DUMMYFUNCTION("""COMPUTED_VALUE"""),"Negative")</f>
        <v>Negative</v>
      </c>
      <c r="H1081" s="480" t="str">
        <f>IFERROR(__xludf.DUMMYFUNCTION("""COMPUTED_VALUE"""),"Negative")</f>
        <v>Negative</v>
      </c>
      <c r="I1081" s="478">
        <f>IFERROR(__xludf.DUMMYFUNCTION("""COMPUTED_VALUE"""),44670.0)</f>
        <v>44670</v>
      </c>
      <c r="J1081" s="481">
        <f>IFERROR(__xludf.DUMMYFUNCTION("""COMPUTED_VALUE"""),0.4544560185185185)</f>
        <v>0.4544560185</v>
      </c>
      <c r="K1081" s="156"/>
      <c r="L1081" s="19"/>
      <c r="M1081" s="482"/>
      <c r="N1081" s="482">
        <f>IFERROR(__xludf.DUMMYFUNCTION("""COMPUTED_VALUE"""),2.0)</f>
        <v>2</v>
      </c>
      <c r="O1081" s="482" t="b">
        <f t="shared" si="3"/>
        <v>1</v>
      </c>
      <c r="P1081" s="483">
        <f>IFERROR(__xludf.DUMMYFUNCTION("""COMPUTED_VALUE"""),0.0)</f>
        <v>0</v>
      </c>
      <c r="Q1081" s="352" t="b">
        <f>VLOOKUP($B1081,'Run Reconcile'!B$2:O2488,14,FALSE)</f>
        <v>1</v>
      </c>
      <c r="R1081" s="484" t="str">
        <f t="array" ref="R1081">IF($Q1081, INDEX('Run Reconcile'!A$2:A2488,MATCH(B1081,'Run Reconcile'!B$2:B2488,0),1),IFERROR(0/0,""))</f>
        <v>RUN-FLMP_2022-04-19_RFR-115</v>
      </c>
      <c r="S1081" s="485" t="str">
        <f t="shared" si="694"/>
        <v/>
      </c>
      <c r="T1081" s="485" t="str">
        <f t="shared" si="698"/>
        <v/>
      </c>
      <c r="U1081" s="353" t="str">
        <f t="array" ref="U1081">IF(ISBLANK($R1081), INDEX('Run Reconcile'!A$2:A2488, MATCH($B1081, 'Run Reconcile'!B$2:B2488, 0)+Z1081, 1), IFERROR(0/0,""))
</f>
        <v/>
      </c>
      <c r="V1081" s="486" t="str">
        <f t="shared" si="5"/>
        <v>RUN-FLMP_2022-04-19_RFR-115</v>
      </c>
      <c r="W1081" s="19"/>
      <c r="X1081" s="19"/>
      <c r="Y1081" s="89" t="str">
        <f t="shared" si="867"/>
        <v/>
      </c>
      <c r="Z1081" s="60" t="str">
        <f t="shared" si="7"/>
        <v/>
      </c>
      <c r="AA1081" s="60" t="str">
        <f t="shared" si="8"/>
        <v/>
      </c>
      <c r="AB1081" s="60" t="str">
        <f t="shared" si="9"/>
        <v/>
      </c>
      <c r="AC1081" s="158" t="str">
        <f t="shared" ref="AC1081:AD1081" si="1437">IF(_xlfn.ISFORMULA(S1081),IFERROR(0/0,""),TRUE)</f>
        <v/>
      </c>
      <c r="AD1081" s="158" t="str">
        <f t="shared" si="1437"/>
        <v/>
      </c>
      <c r="AE1081" s="488" t="str">
        <f>IFERROR(__xludf.DUMMYFUNCTION("""COMPUTED_VALUE"""),"CRLN")</f>
        <v>CRLN</v>
      </c>
      <c r="AF1081" s="489"/>
      <c r="AG1081" s="486" t="s">
        <v>202</v>
      </c>
      <c r="AH1081" s="138" t="str">
        <f t="shared" si="11"/>
        <v/>
      </c>
      <c r="AI1081" s="19"/>
      <c r="AJ1081" s="19"/>
      <c r="AK1081" s="19"/>
      <c r="AL1081" s="19"/>
      <c r="AM1081" s="19"/>
    </row>
    <row r="1082">
      <c r="A1082" s="103" t="str">
        <f>IFERROR(__xludf.DUMMYFUNCTION("""COMPUTED_VALUE"""),"MA958")</f>
        <v>MA958</v>
      </c>
      <c r="B1082" s="468">
        <f>IFERROR(__xludf.DUMMYFUNCTION("""COMPUTED_VALUE"""),44670.0)</f>
        <v>44670</v>
      </c>
      <c r="C1082" s="469">
        <f>IFERROR(__xludf.DUMMYFUNCTION("""COMPUTED_VALUE"""),0.3794444444444444)</f>
        <v>0.3794444444</v>
      </c>
      <c r="D1082" s="103" t="str">
        <f>IFERROR(__xludf.DUMMYFUNCTION("""COMPUTED_VALUE"""),"SpFLMP684798")</f>
        <v>SpFLMP684798</v>
      </c>
      <c r="E1082" s="103"/>
      <c r="F1082" s="103"/>
      <c r="G1082" s="103" t="str">
        <f>IFERROR(__xludf.DUMMYFUNCTION("""COMPUTED_VALUE"""),"Negative")</f>
        <v>Negative</v>
      </c>
      <c r="H1082" s="131" t="str">
        <f>IFERROR(__xludf.DUMMYFUNCTION("""COMPUTED_VALUE"""),"Negative")</f>
        <v>Negative</v>
      </c>
      <c r="I1082" s="468">
        <f>IFERROR(__xludf.DUMMYFUNCTION("""COMPUTED_VALUE"""),44670.0)</f>
        <v>44670</v>
      </c>
      <c r="J1082" s="470">
        <f>IFERROR(__xludf.DUMMYFUNCTION("""COMPUTED_VALUE"""),0.4544560185185185)</f>
        <v>0.4544560185</v>
      </c>
      <c r="K1082" s="16"/>
      <c r="L1082" s="8"/>
      <c r="M1082" s="69"/>
      <c r="N1082" s="69">
        <f>IFERROR(__xludf.DUMMYFUNCTION("""COMPUTED_VALUE"""),1.0)</f>
        <v>1</v>
      </c>
      <c r="O1082" s="69" t="str">
        <f t="shared" si="3"/>
        <v/>
      </c>
      <c r="P1082" s="471">
        <f>IFERROR(__xludf.DUMMYFUNCTION("""COMPUTED_VALUE"""),0.0)</f>
        <v>0</v>
      </c>
      <c r="Q1082" s="274" t="b">
        <f>VLOOKUP($B1082,'Run Reconcile'!B$2:O2488,14,FALSE)</f>
        <v>1</v>
      </c>
      <c r="R1082" s="472" t="str">
        <f t="array" ref="R1082">IF($Q1082, INDEX('Run Reconcile'!A$2:A2488,MATCH(B1082,'Run Reconcile'!B$2:B2488,0),1),IFERROR(0/0,""))</f>
        <v>RUN-FLMP_2022-04-19_RFR-115</v>
      </c>
      <c r="S1082" s="473" t="str">
        <f t="shared" si="694"/>
        <v/>
      </c>
      <c r="T1082" s="473" t="str">
        <f t="shared" si="698"/>
        <v/>
      </c>
      <c r="U1082" s="275" t="str">
        <f t="array" ref="U1082">IF(ISBLANK($R1082), INDEX('Run Reconcile'!A$2:A2488, MATCH($B1082, 'Run Reconcile'!B$2:B2488, 0)+Z1082, 1), IFERROR(0/0,""))
</f>
        <v/>
      </c>
      <c r="V1082" s="474" t="str">
        <f t="shared" si="5"/>
        <v>RUN-FLMP_2022-04-19_RFR-115</v>
      </c>
      <c r="Y1082" s="89" t="str">
        <f t="shared" si="867"/>
        <v/>
      </c>
      <c r="Z1082" s="60" t="str">
        <f t="shared" si="7"/>
        <v/>
      </c>
      <c r="AA1082" s="60" t="str">
        <f t="shared" si="8"/>
        <v/>
      </c>
      <c r="AB1082" s="60" t="str">
        <f t="shared" si="9"/>
        <v/>
      </c>
      <c r="AC1082" s="30" t="str">
        <f t="shared" ref="AC1082:AD1082" si="1438">IF(_xlfn.ISFORMULA(S1082),IFERROR(0/0,""),TRUE)</f>
        <v/>
      </c>
      <c r="AD1082" s="30" t="str">
        <f t="shared" si="1438"/>
        <v/>
      </c>
      <c r="AE1082" s="475" t="str">
        <f>IFERROR(__xludf.DUMMYFUNCTION("""COMPUTED_VALUE"""),"FLSP")</f>
        <v>FLSP</v>
      </c>
      <c r="AF1082" s="476"/>
      <c r="AG1082" s="474" t="s">
        <v>202</v>
      </c>
      <c r="AH1082" s="138" t="str">
        <f t="shared" si="11"/>
        <v/>
      </c>
    </row>
    <row r="1083">
      <c r="A1083" s="103" t="str">
        <f>IFERROR(__xludf.DUMMYFUNCTION("""COMPUTED_VALUE"""),"MA64")</f>
        <v>MA64</v>
      </c>
      <c r="B1083" s="468">
        <f>IFERROR(__xludf.DUMMYFUNCTION("""COMPUTED_VALUE"""),44670.0)</f>
        <v>44670</v>
      </c>
      <c r="C1083" s="469">
        <f>IFERROR(__xludf.DUMMYFUNCTION("""COMPUTED_VALUE"""),0.38559027777777777)</f>
        <v>0.3855902778</v>
      </c>
      <c r="D1083" s="103" t="str">
        <f>IFERROR(__xludf.DUMMYFUNCTION("""COMPUTED_VALUE"""),"SpFLMP120998")</f>
        <v>SpFLMP120998</v>
      </c>
      <c r="E1083" s="103"/>
      <c r="F1083" s="103"/>
      <c r="G1083" s="103" t="str">
        <f>IFERROR(__xludf.DUMMYFUNCTION("""COMPUTED_VALUE"""),"Negative")</f>
        <v>Negative</v>
      </c>
      <c r="H1083" s="131" t="str">
        <f>IFERROR(__xludf.DUMMYFUNCTION("""COMPUTED_VALUE"""),"Negative")</f>
        <v>Negative</v>
      </c>
      <c r="I1083" s="468">
        <f>IFERROR(__xludf.DUMMYFUNCTION("""COMPUTED_VALUE"""),44670.0)</f>
        <v>44670</v>
      </c>
      <c r="J1083" s="470">
        <f>IFERROR(__xludf.DUMMYFUNCTION("""COMPUTED_VALUE"""),0.4544560185185185)</f>
        <v>0.4544560185</v>
      </c>
      <c r="K1083" s="16"/>
      <c r="L1083" s="8"/>
      <c r="M1083" s="69"/>
      <c r="N1083" s="69">
        <f>IFERROR(__xludf.DUMMYFUNCTION("""COMPUTED_VALUE"""),1.0)</f>
        <v>1</v>
      </c>
      <c r="O1083" s="69" t="str">
        <f t="shared" si="3"/>
        <v/>
      </c>
      <c r="P1083" s="471">
        <f>IFERROR(__xludf.DUMMYFUNCTION("""COMPUTED_VALUE"""),0.0)</f>
        <v>0</v>
      </c>
      <c r="Q1083" s="274" t="b">
        <f>VLOOKUP($B1083,'Run Reconcile'!B$2:O2488,14,FALSE)</f>
        <v>1</v>
      </c>
      <c r="R1083" s="472" t="str">
        <f t="array" ref="R1083">IF($Q1083, INDEX('Run Reconcile'!A$2:A2488,MATCH(B1083,'Run Reconcile'!B$2:B2488,0),1),IFERROR(0/0,""))</f>
        <v>RUN-FLMP_2022-04-19_RFR-115</v>
      </c>
      <c r="S1083" s="473" t="str">
        <f t="shared" si="694"/>
        <v/>
      </c>
      <c r="T1083" s="473" t="str">
        <f t="shared" si="698"/>
        <v/>
      </c>
      <c r="U1083" s="275" t="str">
        <f t="array" ref="U1083">IF(ISBLANK($R1083), INDEX('Run Reconcile'!A$2:A2488, MATCH($B1083, 'Run Reconcile'!B$2:B2488, 0)+Z1083, 1), IFERROR(0/0,""))
</f>
        <v/>
      </c>
      <c r="V1083" s="474" t="str">
        <f t="shared" si="5"/>
        <v>RUN-FLMP_2022-04-19_RFR-115</v>
      </c>
      <c r="Y1083" s="89" t="str">
        <f t="shared" si="867"/>
        <v/>
      </c>
      <c r="Z1083" s="60" t="str">
        <f t="shared" si="7"/>
        <v/>
      </c>
      <c r="AA1083" s="60" t="str">
        <f t="shared" si="8"/>
        <v/>
      </c>
      <c r="AB1083" s="60" t="str">
        <f t="shared" si="9"/>
        <v/>
      </c>
      <c r="AC1083" s="30" t="str">
        <f t="shared" ref="AC1083:AD1083" si="1439">IF(_xlfn.ISFORMULA(S1083),IFERROR(0/0,""),TRUE)</f>
        <v/>
      </c>
      <c r="AD1083" s="30" t="str">
        <f t="shared" si="1439"/>
        <v/>
      </c>
      <c r="AE1083" s="475" t="str">
        <f>IFERROR(__xludf.DUMMYFUNCTION("""COMPUTED_VALUE"""),"FLSP")</f>
        <v>FLSP</v>
      </c>
      <c r="AF1083" s="476"/>
      <c r="AG1083" s="474" t="s">
        <v>202</v>
      </c>
      <c r="AH1083" s="138" t="str">
        <f t="shared" si="11"/>
        <v/>
      </c>
    </row>
    <row r="1084">
      <c r="A1084" s="103" t="str">
        <f>IFERROR(__xludf.DUMMYFUNCTION("""COMPUTED_VALUE"""),"MA21")</f>
        <v>MA21</v>
      </c>
      <c r="B1084" s="468">
        <f>IFERROR(__xludf.DUMMYFUNCTION("""COMPUTED_VALUE"""),44670.0)</f>
        <v>44670</v>
      </c>
      <c r="C1084" s="469">
        <f>IFERROR(__xludf.DUMMYFUNCTION("""COMPUTED_VALUE"""),0.3877083333333333)</f>
        <v>0.3877083333</v>
      </c>
      <c r="D1084" s="103" t="str">
        <f>IFERROR(__xludf.DUMMYFUNCTION("""COMPUTED_VALUE"""),"SpFLMP684798")</f>
        <v>SpFLMP684798</v>
      </c>
      <c r="E1084" s="103"/>
      <c r="F1084" s="103"/>
      <c r="G1084" s="103" t="str">
        <f>IFERROR(__xludf.DUMMYFUNCTION("""COMPUTED_VALUE"""),"Negative")</f>
        <v>Negative</v>
      </c>
      <c r="H1084" s="131" t="str">
        <f>IFERROR(__xludf.DUMMYFUNCTION("""COMPUTED_VALUE"""),"Negative")</f>
        <v>Negative</v>
      </c>
      <c r="I1084" s="468">
        <f>IFERROR(__xludf.DUMMYFUNCTION("""COMPUTED_VALUE"""),44670.0)</f>
        <v>44670</v>
      </c>
      <c r="J1084" s="470">
        <f>IFERROR(__xludf.DUMMYFUNCTION("""COMPUTED_VALUE"""),0.4544560185185185)</f>
        <v>0.4544560185</v>
      </c>
      <c r="K1084" s="16"/>
      <c r="L1084" s="8"/>
      <c r="M1084" s="69"/>
      <c r="N1084" s="69">
        <f>IFERROR(__xludf.DUMMYFUNCTION("""COMPUTED_VALUE"""),1.0)</f>
        <v>1</v>
      </c>
      <c r="O1084" s="69" t="str">
        <f t="shared" si="3"/>
        <v/>
      </c>
      <c r="P1084" s="471">
        <f>IFERROR(__xludf.DUMMYFUNCTION("""COMPUTED_VALUE"""),0.0)</f>
        <v>0</v>
      </c>
      <c r="Q1084" s="274" t="b">
        <f>VLOOKUP($B1084,'Run Reconcile'!B$2:O2488,14,FALSE)</f>
        <v>1</v>
      </c>
      <c r="R1084" s="472" t="str">
        <f t="array" ref="R1084">IF($Q1084, INDEX('Run Reconcile'!A$2:A2488,MATCH(B1084,'Run Reconcile'!B$2:B2488,0),1),IFERROR(0/0,""))</f>
        <v>RUN-FLMP_2022-04-19_RFR-115</v>
      </c>
      <c r="S1084" s="473" t="str">
        <f t="shared" si="694"/>
        <v/>
      </c>
      <c r="T1084" s="473" t="str">
        <f t="shared" si="698"/>
        <v/>
      </c>
      <c r="U1084" s="275" t="str">
        <f t="array" ref="U1084">IF(ISBLANK($R1084), INDEX('Run Reconcile'!A$2:A2488, MATCH($B1084, 'Run Reconcile'!B$2:B2488, 0)+Z1084, 1), IFERROR(0/0,""))
</f>
        <v/>
      </c>
      <c r="V1084" s="474" t="str">
        <f t="shared" si="5"/>
        <v>RUN-FLMP_2022-04-19_RFR-115</v>
      </c>
      <c r="Y1084" s="89" t="str">
        <f t="shared" si="867"/>
        <v/>
      </c>
      <c r="Z1084" s="60" t="str">
        <f t="shared" si="7"/>
        <v/>
      </c>
      <c r="AA1084" s="60" t="str">
        <f t="shared" si="8"/>
        <v/>
      </c>
      <c r="AB1084" s="60" t="str">
        <f t="shared" si="9"/>
        <v/>
      </c>
      <c r="AC1084" s="30" t="str">
        <f t="shared" ref="AC1084:AD1084" si="1440">IF(_xlfn.ISFORMULA(S1084),IFERROR(0/0,""),TRUE)</f>
        <v/>
      </c>
      <c r="AD1084" s="30" t="str">
        <f t="shared" si="1440"/>
        <v/>
      </c>
      <c r="AE1084" s="475" t="str">
        <f>IFERROR(__xludf.DUMMYFUNCTION("""COMPUTED_VALUE"""),"CRLN")</f>
        <v>CRLN</v>
      </c>
      <c r="AF1084" s="476"/>
      <c r="AG1084" s="474" t="s">
        <v>202</v>
      </c>
      <c r="AH1084" s="138" t="str">
        <f t="shared" si="11"/>
        <v/>
      </c>
    </row>
    <row r="1085">
      <c r="A1085" s="103" t="str">
        <f>IFERROR(__xludf.DUMMYFUNCTION("""COMPUTED_VALUE"""),"MA84")</f>
        <v>MA84</v>
      </c>
      <c r="B1085" s="468">
        <f>IFERROR(__xludf.DUMMYFUNCTION("""COMPUTED_VALUE"""),44670.0)</f>
        <v>44670</v>
      </c>
      <c r="C1085" s="469">
        <f>IFERROR(__xludf.DUMMYFUNCTION("""COMPUTED_VALUE"""),0.3885416666666667)</f>
        <v>0.3885416667</v>
      </c>
      <c r="D1085" s="103" t="str">
        <f>IFERROR(__xludf.DUMMYFUNCTION("""COMPUTED_VALUE"""),"SpFLMP684798")</f>
        <v>SpFLMP684798</v>
      </c>
      <c r="E1085" s="103"/>
      <c r="F1085" s="103"/>
      <c r="G1085" s="103" t="str">
        <f>IFERROR(__xludf.DUMMYFUNCTION("""COMPUTED_VALUE"""),"Negative")</f>
        <v>Negative</v>
      </c>
      <c r="H1085" s="131" t="str">
        <f>IFERROR(__xludf.DUMMYFUNCTION("""COMPUTED_VALUE"""),"Negative")</f>
        <v>Negative</v>
      </c>
      <c r="I1085" s="468">
        <f>IFERROR(__xludf.DUMMYFUNCTION("""COMPUTED_VALUE"""),44670.0)</f>
        <v>44670</v>
      </c>
      <c r="J1085" s="470">
        <f>IFERROR(__xludf.DUMMYFUNCTION("""COMPUTED_VALUE"""),0.4544560185185185)</f>
        <v>0.4544560185</v>
      </c>
      <c r="K1085" s="16"/>
      <c r="L1085" s="8" t="str">
        <f>IFERROR(__xludf.DUMMYFUNCTION("""COMPUTED_VALUE"""),"name email fix")</f>
        <v>name email fix</v>
      </c>
      <c r="M1085" s="69"/>
      <c r="N1085" s="69">
        <f>IFERROR(__xludf.DUMMYFUNCTION("""COMPUTED_VALUE"""),1.0)</f>
        <v>1</v>
      </c>
      <c r="O1085" s="69" t="str">
        <f t="shared" si="3"/>
        <v/>
      </c>
      <c r="P1085" s="471">
        <f>IFERROR(__xludf.DUMMYFUNCTION("""COMPUTED_VALUE"""),0.0)</f>
        <v>0</v>
      </c>
      <c r="Q1085" s="274" t="b">
        <f>VLOOKUP($B1085,'Run Reconcile'!B$2:O2488,14,FALSE)</f>
        <v>1</v>
      </c>
      <c r="R1085" s="472" t="str">
        <f t="array" ref="R1085">IF($Q1085, INDEX('Run Reconcile'!A$2:A2488,MATCH(B1085,'Run Reconcile'!B$2:B2488,0),1),IFERROR(0/0,""))</f>
        <v>RUN-FLMP_2022-04-19_RFR-115</v>
      </c>
      <c r="S1085" s="473" t="str">
        <f t="shared" si="694"/>
        <v/>
      </c>
      <c r="T1085" s="473" t="str">
        <f t="shared" si="698"/>
        <v/>
      </c>
      <c r="U1085" s="275" t="str">
        <f t="array" ref="U1085">IF(ISBLANK($R1085), INDEX('Run Reconcile'!A$2:A2488, MATCH($B1085, 'Run Reconcile'!B$2:B2488, 0)+Z1085, 1), IFERROR(0/0,""))
</f>
        <v/>
      </c>
      <c r="V1085" s="474" t="str">
        <f t="shared" si="5"/>
        <v>RUN-FLMP_2022-04-19_RFR-115</v>
      </c>
      <c r="Y1085" s="89" t="str">
        <f t="shared" si="867"/>
        <v/>
      </c>
      <c r="Z1085" s="60" t="str">
        <f t="shared" si="7"/>
        <v/>
      </c>
      <c r="AA1085" s="60" t="str">
        <f t="shared" si="8"/>
        <v/>
      </c>
      <c r="AB1085" s="60" t="str">
        <f t="shared" si="9"/>
        <v/>
      </c>
      <c r="AC1085" s="30" t="str">
        <f t="shared" ref="AC1085:AD1085" si="1441">IF(_xlfn.ISFORMULA(S1085),IFERROR(0/0,""),TRUE)</f>
        <v/>
      </c>
      <c r="AD1085" s="30" t="str">
        <f t="shared" si="1441"/>
        <v/>
      </c>
      <c r="AE1085" s="475" t="str">
        <f>IFERROR(__xludf.DUMMYFUNCTION("""COMPUTED_VALUE"""),"CRLN")</f>
        <v>CRLN</v>
      </c>
      <c r="AF1085" s="476"/>
      <c r="AG1085" s="474" t="s">
        <v>202</v>
      </c>
      <c r="AH1085" s="138" t="str">
        <f t="shared" si="11"/>
        <v/>
      </c>
    </row>
    <row r="1086">
      <c r="A1086" s="477" t="str">
        <f>IFERROR(__xludf.DUMMYFUNCTION("""COMPUTED_VALUE"""),"FLB7344")</f>
        <v>FLB7344</v>
      </c>
      <c r="B1086" s="478">
        <f>IFERROR(__xludf.DUMMYFUNCTION("""COMPUTED_VALUE"""),44672.0)</f>
        <v>44672</v>
      </c>
      <c r="C1086" s="479">
        <f>IFERROR(__xludf.DUMMYFUNCTION("""COMPUTED_VALUE"""),0.2784027777777778)</f>
        <v>0.2784027778</v>
      </c>
      <c r="D1086" s="477" t="str">
        <f>IFERROR(__xludf.DUMMYFUNCTION("""COMPUTED_VALUE"""),"SpFLMP690282")</f>
        <v>SpFLMP690282</v>
      </c>
      <c r="E1086" s="477"/>
      <c r="F1086" s="477"/>
      <c r="G1086" s="477" t="str">
        <f>IFERROR(__xludf.DUMMYFUNCTION("""COMPUTED_VALUE"""),"Negative")</f>
        <v>Negative</v>
      </c>
      <c r="H1086" s="480" t="str">
        <f>IFERROR(__xludf.DUMMYFUNCTION("""COMPUTED_VALUE"""),"Negative")</f>
        <v>Negative</v>
      </c>
      <c r="I1086" s="478">
        <f>IFERROR(__xludf.DUMMYFUNCTION("""COMPUTED_VALUE"""),44672.0)</f>
        <v>44672</v>
      </c>
      <c r="J1086" s="481">
        <f>IFERROR(__xludf.DUMMYFUNCTION("""COMPUTED_VALUE"""),0.43234953703703705)</f>
        <v>0.432349537</v>
      </c>
      <c r="K1086" s="156"/>
      <c r="L1086" s="19"/>
      <c r="M1086" s="482"/>
      <c r="N1086" s="482">
        <f>IFERROR(__xludf.DUMMYFUNCTION("""COMPUTED_VALUE"""),2.0)</f>
        <v>2</v>
      </c>
      <c r="O1086" s="482" t="b">
        <f t="shared" si="3"/>
        <v>1</v>
      </c>
      <c r="P1086" s="483">
        <f>IFERROR(__xludf.DUMMYFUNCTION("""COMPUTED_VALUE"""),0.0)</f>
        <v>0</v>
      </c>
      <c r="Q1086" s="352" t="str">
        <f>VLOOKUP($B1086,'Run Reconcile'!B$2:O2488,14,FALSE)</f>
        <v/>
      </c>
      <c r="R1086" s="484" t="str">
        <f t="array" ref="R1086">IF($Q1086, INDEX('Run Reconcile'!A$2:A2488,MATCH(B1086,'Run Reconcile'!B$2:B2488,0),1),IFERROR(0/0,""))</f>
        <v/>
      </c>
      <c r="S1086" s="485" t="str">
        <f t="shared" si="694"/>
        <v/>
      </c>
      <c r="T1086" s="485" t="str">
        <f t="shared" si="698"/>
        <v/>
      </c>
      <c r="U1086" s="353" t="str">
        <f t="array" ref="U1086">IF(ISBLANK($R1086), INDEX('Run Reconcile'!A$2:A2488, MATCH($B1086, 'Run Reconcile'!B$2:B2488, 0)+Z1086, 1), IFERROR(0/0,""))
</f>
        <v>RUN-FLMP_2022-04-21_RFR-116</v>
      </c>
      <c r="V1086" s="486" t="str">
        <f t="shared" si="5"/>
        <v>RUN-FLMP_2022-04-21_RFR-116</v>
      </c>
      <c r="W1086" s="19"/>
      <c r="X1086" s="19"/>
      <c r="Y1086" s="89" t="str">
        <f t="shared" si="867"/>
        <v/>
      </c>
      <c r="Z1086" s="60" t="str">
        <f t="shared" si="7"/>
        <v/>
      </c>
      <c r="AA1086" s="60" t="str">
        <f t="shared" si="8"/>
        <v/>
      </c>
      <c r="AB1086" s="60" t="str">
        <f t="shared" si="9"/>
        <v/>
      </c>
      <c r="AC1086" s="158" t="str">
        <f t="shared" ref="AC1086:AD1086" si="1442">IF(_xlfn.ISFORMULA(S1086),IFERROR(0/0,""),TRUE)</f>
        <v/>
      </c>
      <c r="AD1086" s="158" t="str">
        <f t="shared" si="1442"/>
        <v/>
      </c>
      <c r="AE1086" s="488" t="str">
        <f>IFERROR(__xludf.DUMMYFUNCTION("""COMPUTED_VALUE"""),"CRLN")</f>
        <v>CRLN</v>
      </c>
      <c r="AF1086" s="489"/>
      <c r="AG1086" s="486" t="s">
        <v>203</v>
      </c>
      <c r="AH1086" s="138" t="str">
        <f t="shared" si="11"/>
        <v/>
      </c>
      <c r="AI1086" s="19"/>
      <c r="AJ1086" s="19"/>
      <c r="AK1086" s="19"/>
      <c r="AL1086" s="19"/>
      <c r="AM1086" s="19"/>
    </row>
    <row r="1087">
      <c r="A1087" s="103" t="str">
        <f>IFERROR(__xludf.DUMMYFUNCTION("""COMPUTED_VALUE"""),"AJ8716")</f>
        <v>AJ8716</v>
      </c>
      <c r="B1087" s="468">
        <f>IFERROR(__xludf.DUMMYFUNCTION("""COMPUTED_VALUE"""),44672.0)</f>
        <v>44672</v>
      </c>
      <c r="C1087" s="469">
        <f>IFERROR(__xludf.DUMMYFUNCTION("""COMPUTED_VALUE"""),0.31612268518518516)</f>
        <v>0.3161226852</v>
      </c>
      <c r="D1087" s="103" t="str">
        <f>IFERROR(__xludf.DUMMYFUNCTION("""COMPUTED_VALUE"""),"SpFLMP259015")</f>
        <v>SpFLMP259015</v>
      </c>
      <c r="E1087" s="103"/>
      <c r="F1087" s="103"/>
      <c r="G1087" s="103" t="str">
        <f>IFERROR(__xludf.DUMMYFUNCTION("""COMPUTED_VALUE"""),"Negative")</f>
        <v>Negative</v>
      </c>
      <c r="H1087" s="131" t="str">
        <f>IFERROR(__xludf.DUMMYFUNCTION("""COMPUTED_VALUE"""),"Negative")</f>
        <v>Negative</v>
      </c>
      <c r="I1087" s="468">
        <f>IFERROR(__xludf.DUMMYFUNCTION("""COMPUTED_VALUE"""),44672.0)</f>
        <v>44672</v>
      </c>
      <c r="J1087" s="470">
        <f>IFERROR(__xludf.DUMMYFUNCTION("""COMPUTED_VALUE"""),0.43234953703703705)</f>
        <v>0.432349537</v>
      </c>
      <c r="K1087" s="16"/>
      <c r="L1087" s="8"/>
      <c r="M1087" s="69"/>
      <c r="N1087" s="69">
        <f>IFERROR(__xludf.DUMMYFUNCTION("""COMPUTED_VALUE"""),3.0)</f>
        <v>3</v>
      </c>
      <c r="O1087" s="69" t="str">
        <f t="shared" si="3"/>
        <v/>
      </c>
      <c r="P1087" s="471">
        <f>IFERROR(__xludf.DUMMYFUNCTION("""COMPUTED_VALUE"""),0.0)</f>
        <v>0</v>
      </c>
      <c r="Q1087" s="274" t="str">
        <f>VLOOKUP($B1087,'Run Reconcile'!B$2:O2488,14,FALSE)</f>
        <v/>
      </c>
      <c r="R1087" s="472" t="str">
        <f t="array" ref="R1087">IF($Q1087, INDEX('Run Reconcile'!A$2:A2488,MATCH(B1087,'Run Reconcile'!B$2:B2488,0),1),IFERROR(0/0,""))</f>
        <v/>
      </c>
      <c r="S1087" s="473" t="str">
        <f t="shared" si="694"/>
        <v/>
      </c>
      <c r="T1087" s="473" t="str">
        <f t="shared" si="698"/>
        <v/>
      </c>
      <c r="U1087" s="275" t="str">
        <f t="array" ref="U1087">IF(ISBLANK($R1087), INDEX('Run Reconcile'!A$2:A2488, MATCH($B1087, 'Run Reconcile'!B$2:B2488, 0)+Z1087, 1), IFERROR(0/0,""))
</f>
        <v>RUN-FLMP_2022-04-21_RFR-116</v>
      </c>
      <c r="V1087" s="474" t="str">
        <f t="shared" si="5"/>
        <v>RUN-FLMP_2022-04-21_RFR-116</v>
      </c>
      <c r="Y1087" s="89" t="str">
        <f t="shared" si="867"/>
        <v/>
      </c>
      <c r="Z1087" s="60" t="str">
        <f t="shared" si="7"/>
        <v/>
      </c>
      <c r="AA1087" s="60" t="str">
        <f t="shared" si="8"/>
        <v/>
      </c>
      <c r="AB1087" s="60" t="str">
        <f t="shared" si="9"/>
        <v/>
      </c>
      <c r="AC1087" s="30" t="str">
        <f t="shared" ref="AC1087:AD1087" si="1443">IF(_xlfn.ISFORMULA(S1087),IFERROR(0/0,""),TRUE)</f>
        <v/>
      </c>
      <c r="AD1087" s="30" t="str">
        <f t="shared" si="1443"/>
        <v/>
      </c>
      <c r="AE1087" s="475" t="str">
        <f>IFERROR(__xludf.DUMMYFUNCTION("""COMPUTED_VALUE"""),"CRLN")</f>
        <v>CRLN</v>
      </c>
      <c r="AF1087" s="476"/>
      <c r="AG1087" s="474" t="s">
        <v>203</v>
      </c>
      <c r="AH1087" s="138" t="str">
        <f t="shared" si="11"/>
        <v/>
      </c>
    </row>
    <row r="1088">
      <c r="A1088" s="103" t="str">
        <f>IFERROR(__xludf.DUMMYFUNCTION("""COMPUTED_VALUE"""),"AJ8981")</f>
        <v>AJ8981</v>
      </c>
      <c r="B1088" s="468">
        <f>IFERROR(__xludf.DUMMYFUNCTION("""COMPUTED_VALUE"""),44672.0)</f>
        <v>44672</v>
      </c>
      <c r="C1088" s="469">
        <f>IFERROR(__xludf.DUMMYFUNCTION("""COMPUTED_VALUE"""),0.3167013888888889)</f>
        <v>0.3167013889</v>
      </c>
      <c r="D1088" s="103" t="str">
        <f>IFERROR(__xludf.DUMMYFUNCTION("""COMPUTED_VALUE"""),"SpFLMP259015")</f>
        <v>SpFLMP259015</v>
      </c>
      <c r="E1088" s="103"/>
      <c r="F1088" s="103"/>
      <c r="G1088" s="103" t="str">
        <f>IFERROR(__xludf.DUMMYFUNCTION("""COMPUTED_VALUE"""),"Negative")</f>
        <v>Negative</v>
      </c>
      <c r="H1088" s="131" t="str">
        <f>IFERROR(__xludf.DUMMYFUNCTION("""COMPUTED_VALUE"""),"Negative")</f>
        <v>Negative</v>
      </c>
      <c r="I1088" s="468">
        <f>IFERROR(__xludf.DUMMYFUNCTION("""COMPUTED_VALUE"""),44672.0)</f>
        <v>44672</v>
      </c>
      <c r="J1088" s="470">
        <f>IFERROR(__xludf.DUMMYFUNCTION("""COMPUTED_VALUE"""),0.43234953703703705)</f>
        <v>0.432349537</v>
      </c>
      <c r="K1088" s="16"/>
      <c r="L1088" s="8"/>
      <c r="M1088" s="69"/>
      <c r="N1088" s="69">
        <f>IFERROR(__xludf.DUMMYFUNCTION("""COMPUTED_VALUE"""),3.0)</f>
        <v>3</v>
      </c>
      <c r="O1088" s="69" t="str">
        <f t="shared" si="3"/>
        <v/>
      </c>
      <c r="P1088" s="471">
        <f>IFERROR(__xludf.DUMMYFUNCTION("""COMPUTED_VALUE"""),0.0)</f>
        <v>0</v>
      </c>
      <c r="Q1088" s="274" t="str">
        <f>VLOOKUP($B1088,'Run Reconcile'!B$2:O2488,14,FALSE)</f>
        <v/>
      </c>
      <c r="R1088" s="472" t="str">
        <f t="array" ref="R1088">IF($Q1088, INDEX('Run Reconcile'!A$2:A2488,MATCH(B1088,'Run Reconcile'!B$2:B2488,0),1),IFERROR(0/0,""))</f>
        <v/>
      </c>
      <c r="S1088" s="473" t="str">
        <f t="shared" si="694"/>
        <v/>
      </c>
      <c r="T1088" s="473" t="str">
        <f t="shared" si="698"/>
        <v/>
      </c>
      <c r="U1088" s="275" t="str">
        <f t="array" ref="U1088">IF(ISBLANK($R1088), INDEX('Run Reconcile'!A$2:A2488, MATCH($B1088, 'Run Reconcile'!B$2:B2488, 0)+Z1088, 1), IFERROR(0/0,""))
</f>
        <v>RUN-FLMP_2022-04-21_RFR-116</v>
      </c>
      <c r="V1088" s="474" t="str">
        <f t="shared" si="5"/>
        <v>RUN-FLMP_2022-04-21_RFR-116</v>
      </c>
      <c r="Y1088" s="89" t="str">
        <f t="shared" si="867"/>
        <v/>
      </c>
      <c r="Z1088" s="60" t="str">
        <f t="shared" si="7"/>
        <v/>
      </c>
      <c r="AA1088" s="60" t="str">
        <f t="shared" si="8"/>
        <v/>
      </c>
      <c r="AB1088" s="60" t="str">
        <f t="shared" si="9"/>
        <v/>
      </c>
      <c r="AC1088" s="30" t="str">
        <f t="shared" ref="AC1088:AD1088" si="1444">IF(_xlfn.ISFORMULA(S1088),IFERROR(0/0,""),TRUE)</f>
        <v/>
      </c>
      <c r="AD1088" s="30" t="str">
        <f t="shared" si="1444"/>
        <v/>
      </c>
      <c r="AE1088" s="475" t="str">
        <f>IFERROR(__xludf.DUMMYFUNCTION("""COMPUTED_VALUE"""),"CRLN")</f>
        <v>CRLN</v>
      </c>
      <c r="AF1088" s="476"/>
      <c r="AG1088" s="474" t="s">
        <v>203</v>
      </c>
      <c r="AH1088" s="138" t="str">
        <f t="shared" si="11"/>
        <v/>
      </c>
    </row>
    <row r="1089">
      <c r="A1089" s="103" t="str">
        <f>IFERROR(__xludf.DUMMYFUNCTION("""COMPUTED_VALUE"""),"FLB7135")</f>
        <v>FLB7135</v>
      </c>
      <c r="B1089" s="468">
        <f>IFERROR(__xludf.DUMMYFUNCTION("""COMPUTED_VALUE"""),44672.0)</f>
        <v>44672</v>
      </c>
      <c r="C1089" s="469">
        <f>IFERROR(__xludf.DUMMYFUNCTION("""COMPUTED_VALUE"""),0.3187847222222222)</f>
        <v>0.3187847222</v>
      </c>
      <c r="D1089" s="103" t="str">
        <f>IFERROR(__xludf.DUMMYFUNCTION("""COMPUTED_VALUE"""),"SpFLMP683385")</f>
        <v>SpFLMP683385</v>
      </c>
      <c r="E1089" s="103"/>
      <c r="F1089" s="103"/>
      <c r="G1089" s="103" t="str">
        <f>IFERROR(__xludf.DUMMYFUNCTION("""COMPUTED_VALUE"""),"Negative")</f>
        <v>Negative</v>
      </c>
      <c r="H1089" s="131" t="str">
        <f>IFERROR(__xludf.DUMMYFUNCTION("""COMPUTED_VALUE"""),"Negative")</f>
        <v>Negative</v>
      </c>
      <c r="I1089" s="468">
        <f>IFERROR(__xludf.DUMMYFUNCTION("""COMPUTED_VALUE"""),44672.0)</f>
        <v>44672</v>
      </c>
      <c r="J1089" s="470">
        <f>IFERROR(__xludf.DUMMYFUNCTION("""COMPUTED_VALUE"""),0.43234953703703705)</f>
        <v>0.432349537</v>
      </c>
      <c r="K1089" s="16"/>
      <c r="L1089" s="8"/>
      <c r="M1089" s="69"/>
      <c r="N1089" s="69">
        <f>IFERROR(__xludf.DUMMYFUNCTION("""COMPUTED_VALUE"""),4.0)</f>
        <v>4</v>
      </c>
      <c r="O1089" s="69" t="str">
        <f t="shared" si="3"/>
        <v/>
      </c>
      <c r="P1089" s="471">
        <f>IFERROR(__xludf.DUMMYFUNCTION("""COMPUTED_VALUE"""),0.0)</f>
        <v>0</v>
      </c>
      <c r="Q1089" s="274" t="str">
        <f>VLOOKUP($B1089,'Run Reconcile'!B$2:O2488,14,FALSE)</f>
        <v/>
      </c>
      <c r="R1089" s="472" t="str">
        <f t="array" ref="R1089">IF($Q1089, INDEX('Run Reconcile'!A$2:A2488,MATCH(B1089,'Run Reconcile'!B$2:B2488,0),1),IFERROR(0/0,""))</f>
        <v/>
      </c>
      <c r="S1089" s="473" t="str">
        <f t="shared" si="694"/>
        <v/>
      </c>
      <c r="T1089" s="473" t="str">
        <f t="shared" si="698"/>
        <v/>
      </c>
      <c r="U1089" s="275" t="str">
        <f t="array" ref="U1089">IF(ISBLANK($R1089), INDEX('Run Reconcile'!A$2:A2488, MATCH($B1089, 'Run Reconcile'!B$2:B2488, 0)+Z1089, 1), IFERROR(0/0,""))
</f>
        <v>RUN-FLMP_2022-04-21_RFR-116</v>
      </c>
      <c r="V1089" s="474" t="str">
        <f t="shared" si="5"/>
        <v>RUN-FLMP_2022-04-21_RFR-116</v>
      </c>
      <c r="Y1089" s="89" t="str">
        <f t="shared" si="867"/>
        <v/>
      </c>
      <c r="Z1089" s="60" t="str">
        <f t="shared" si="7"/>
        <v/>
      </c>
      <c r="AA1089" s="60" t="str">
        <f t="shared" si="8"/>
        <v/>
      </c>
      <c r="AB1089" s="60" t="str">
        <f t="shared" si="9"/>
        <v/>
      </c>
      <c r="AC1089" s="30" t="str">
        <f t="shared" ref="AC1089:AD1089" si="1445">IF(_xlfn.ISFORMULA(S1089),IFERROR(0/0,""),TRUE)</f>
        <v/>
      </c>
      <c r="AD1089" s="30" t="str">
        <f t="shared" si="1445"/>
        <v/>
      </c>
      <c r="AE1089" s="475" t="str">
        <f>IFERROR(__xludf.DUMMYFUNCTION("""COMPUTED_VALUE"""),"CRLN")</f>
        <v>CRLN</v>
      </c>
      <c r="AF1089" s="476"/>
      <c r="AG1089" s="474" t="s">
        <v>203</v>
      </c>
      <c r="AH1089" s="138" t="str">
        <f t="shared" si="11"/>
        <v/>
      </c>
    </row>
    <row r="1090">
      <c r="A1090" s="103" t="str">
        <f>IFERROR(__xludf.DUMMYFUNCTION("""COMPUTED_VALUE"""),"FLB4928")</f>
        <v>FLB4928</v>
      </c>
      <c r="B1090" s="468">
        <f>IFERROR(__xludf.DUMMYFUNCTION("""COMPUTED_VALUE"""),44672.0)</f>
        <v>44672</v>
      </c>
      <c r="C1090" s="469">
        <f>IFERROR(__xludf.DUMMYFUNCTION("""COMPUTED_VALUE"""),0.32091435185185185)</f>
        <v>0.3209143519</v>
      </c>
      <c r="D1090" s="103" t="str">
        <f>IFERROR(__xludf.DUMMYFUNCTION("""COMPUTED_VALUE"""),"SpFLMP965392")</f>
        <v>SpFLMP965392</v>
      </c>
      <c r="E1090" s="103"/>
      <c r="F1090" s="103"/>
      <c r="G1090" s="103" t="str">
        <f>IFERROR(__xludf.DUMMYFUNCTION("""COMPUTED_VALUE"""),"Negative")</f>
        <v>Negative</v>
      </c>
      <c r="H1090" s="131" t="str">
        <f>IFERROR(__xludf.DUMMYFUNCTION("""COMPUTED_VALUE"""),"Negative")</f>
        <v>Negative</v>
      </c>
      <c r="I1090" s="468">
        <f>IFERROR(__xludf.DUMMYFUNCTION("""COMPUTED_VALUE"""),44672.0)</f>
        <v>44672</v>
      </c>
      <c r="J1090" s="470">
        <f>IFERROR(__xludf.DUMMYFUNCTION("""COMPUTED_VALUE"""),0.43234953703703705)</f>
        <v>0.432349537</v>
      </c>
      <c r="K1090" s="16"/>
      <c r="L1090" s="8"/>
      <c r="M1090" s="69"/>
      <c r="N1090" s="69">
        <f>IFERROR(__xludf.DUMMYFUNCTION("""COMPUTED_VALUE"""),4.0)</f>
        <v>4</v>
      </c>
      <c r="O1090" s="69" t="str">
        <f t="shared" si="3"/>
        <v/>
      </c>
      <c r="P1090" s="471">
        <f>IFERROR(__xludf.DUMMYFUNCTION("""COMPUTED_VALUE"""),0.0)</f>
        <v>0</v>
      </c>
      <c r="Q1090" s="274" t="str">
        <f>VLOOKUP($B1090,'Run Reconcile'!B$2:O2488,14,FALSE)</f>
        <v/>
      </c>
      <c r="R1090" s="472" t="str">
        <f t="array" ref="R1090">IF($Q1090, INDEX('Run Reconcile'!A$2:A2488,MATCH(B1090,'Run Reconcile'!B$2:B2488,0),1),IFERROR(0/0,""))</f>
        <v/>
      </c>
      <c r="S1090" s="473" t="str">
        <f t="shared" si="694"/>
        <v/>
      </c>
      <c r="T1090" s="473" t="str">
        <f t="shared" si="698"/>
        <v/>
      </c>
      <c r="U1090" s="275" t="str">
        <f t="array" ref="U1090">IF(ISBLANK($R1090), INDEX('Run Reconcile'!A$2:A2488, MATCH($B1090, 'Run Reconcile'!B$2:B2488, 0)+Z1090, 1), IFERROR(0/0,""))
</f>
        <v>RUN-FLMP_2022-04-21_RFR-116</v>
      </c>
      <c r="V1090" s="474" t="str">
        <f t="shared" si="5"/>
        <v>RUN-FLMP_2022-04-21_RFR-116</v>
      </c>
      <c r="Y1090" s="89" t="str">
        <f t="shared" si="867"/>
        <v/>
      </c>
      <c r="Z1090" s="60" t="str">
        <f t="shared" si="7"/>
        <v/>
      </c>
      <c r="AA1090" s="60" t="str">
        <f t="shared" si="8"/>
        <v/>
      </c>
      <c r="AB1090" s="60" t="str">
        <f t="shared" si="9"/>
        <v/>
      </c>
      <c r="AC1090" s="30" t="str">
        <f t="shared" ref="AC1090:AD1090" si="1446">IF(_xlfn.ISFORMULA(S1090),IFERROR(0/0,""),TRUE)</f>
        <v/>
      </c>
      <c r="AD1090" s="30" t="str">
        <f t="shared" si="1446"/>
        <v/>
      </c>
      <c r="AE1090" s="475" t="str">
        <f>IFERROR(__xludf.DUMMYFUNCTION("""COMPUTED_VALUE"""),"CRLN")</f>
        <v>CRLN</v>
      </c>
      <c r="AF1090" s="476"/>
      <c r="AG1090" s="474" t="s">
        <v>203</v>
      </c>
      <c r="AH1090" s="138" t="str">
        <f t="shared" si="11"/>
        <v/>
      </c>
    </row>
    <row r="1091">
      <c r="A1091" s="103" t="str">
        <f>IFERROR(__xludf.DUMMYFUNCTION("""COMPUTED_VALUE"""),"FLE941")</f>
        <v>FLE941</v>
      </c>
      <c r="B1091" s="468">
        <f>IFERROR(__xludf.DUMMYFUNCTION("""COMPUTED_VALUE"""),44672.0)</f>
        <v>44672</v>
      </c>
      <c r="C1091" s="469">
        <f>IFERROR(__xludf.DUMMYFUNCTION("""COMPUTED_VALUE"""),0.332349537037037)</f>
        <v>0.332349537</v>
      </c>
      <c r="D1091" s="103" t="str">
        <f>IFERROR(__xludf.DUMMYFUNCTION("""COMPUTED_VALUE"""),"SpFLMP170622")</f>
        <v>SpFLMP170622</v>
      </c>
      <c r="E1091" s="103"/>
      <c r="F1091" s="103"/>
      <c r="G1091" s="103" t="str">
        <f>IFERROR(__xludf.DUMMYFUNCTION("""COMPUTED_VALUE"""),"Negative")</f>
        <v>Negative</v>
      </c>
      <c r="H1091" s="131" t="str">
        <f>IFERROR(__xludf.DUMMYFUNCTION("""COMPUTED_VALUE"""),"Negative")</f>
        <v>Negative</v>
      </c>
      <c r="I1091" s="468">
        <f>IFERROR(__xludf.DUMMYFUNCTION("""COMPUTED_VALUE"""),44672.0)</f>
        <v>44672</v>
      </c>
      <c r="J1091" s="470">
        <f>IFERROR(__xludf.DUMMYFUNCTION("""COMPUTED_VALUE"""),0.43234953703703705)</f>
        <v>0.432349537</v>
      </c>
      <c r="K1091" s="16"/>
      <c r="L1091" s="8"/>
      <c r="M1091" s="69"/>
      <c r="N1091" s="69">
        <f>IFERROR(__xludf.DUMMYFUNCTION("""COMPUTED_VALUE"""),2.0)</f>
        <v>2</v>
      </c>
      <c r="O1091" s="69" t="str">
        <f t="shared" si="3"/>
        <v/>
      </c>
      <c r="P1091" s="471">
        <f>IFERROR(__xludf.DUMMYFUNCTION("""COMPUTED_VALUE"""),0.0)</f>
        <v>0</v>
      </c>
      <c r="Q1091" s="274" t="str">
        <f>VLOOKUP($B1091,'Run Reconcile'!B$2:O2488,14,FALSE)</f>
        <v/>
      </c>
      <c r="R1091" s="472" t="str">
        <f t="array" ref="R1091">IF($Q1091, INDEX('Run Reconcile'!A$2:A2488,MATCH(B1091,'Run Reconcile'!B$2:B2488,0),1),IFERROR(0/0,""))</f>
        <v/>
      </c>
      <c r="S1091" s="473" t="str">
        <f t="shared" si="694"/>
        <v/>
      </c>
      <c r="T1091" s="473" t="str">
        <f t="shared" si="698"/>
        <v/>
      </c>
      <c r="U1091" s="275" t="str">
        <f t="array" ref="U1091">IF(ISBLANK($R1091), INDEX('Run Reconcile'!A$2:A2488, MATCH($B1091, 'Run Reconcile'!B$2:B2488, 0)+Z1091, 1), IFERROR(0/0,""))
</f>
        <v>RUN-FLMP_2022-04-21_RFR-116</v>
      </c>
      <c r="V1091" s="474" t="str">
        <f t="shared" si="5"/>
        <v>RUN-FLMP_2022-04-21_RFR-116</v>
      </c>
      <c r="Y1091" s="89" t="str">
        <f t="shared" si="867"/>
        <v/>
      </c>
      <c r="Z1091" s="60" t="str">
        <f t="shared" si="7"/>
        <v/>
      </c>
      <c r="AA1091" s="60" t="str">
        <f t="shared" si="8"/>
        <v/>
      </c>
      <c r="AB1091" s="60" t="str">
        <f t="shared" si="9"/>
        <v/>
      </c>
      <c r="AC1091" s="30" t="str">
        <f t="shared" ref="AC1091:AD1091" si="1447">IF(_xlfn.ISFORMULA(S1091),IFERROR(0/0,""),TRUE)</f>
        <v/>
      </c>
      <c r="AD1091" s="30" t="str">
        <f t="shared" si="1447"/>
        <v/>
      </c>
      <c r="AE1091" s="475" t="str">
        <f>IFERROR(__xludf.DUMMYFUNCTION("""COMPUTED_VALUE"""),"CRLN")</f>
        <v>CRLN</v>
      </c>
      <c r="AF1091" s="476"/>
      <c r="AG1091" s="474" t="s">
        <v>203</v>
      </c>
      <c r="AH1091" s="138" t="str">
        <f t="shared" si="11"/>
        <v/>
      </c>
    </row>
    <row r="1092">
      <c r="A1092" s="103" t="str">
        <f>IFERROR(__xludf.DUMMYFUNCTION("""COMPUTED_VALUE"""),"FLE902")</f>
        <v>FLE902</v>
      </c>
      <c r="B1092" s="468">
        <f>IFERROR(__xludf.DUMMYFUNCTION("""COMPUTED_VALUE"""),44672.0)</f>
        <v>44672</v>
      </c>
      <c r="C1092" s="469">
        <f>IFERROR(__xludf.DUMMYFUNCTION("""COMPUTED_VALUE"""),0.33252314814814815)</f>
        <v>0.3325231481</v>
      </c>
      <c r="D1092" s="103" t="str">
        <f>IFERROR(__xludf.DUMMYFUNCTION("""COMPUTED_VALUE"""),"SpFLMP170622")</f>
        <v>SpFLMP170622</v>
      </c>
      <c r="E1092" s="103"/>
      <c r="F1092" s="103"/>
      <c r="G1092" s="103" t="str">
        <f>IFERROR(__xludf.DUMMYFUNCTION("""COMPUTED_VALUE"""),"Negative")</f>
        <v>Negative</v>
      </c>
      <c r="H1092" s="131" t="str">
        <f>IFERROR(__xludf.DUMMYFUNCTION("""COMPUTED_VALUE"""),"Negative")</f>
        <v>Negative</v>
      </c>
      <c r="I1092" s="468">
        <f>IFERROR(__xludf.DUMMYFUNCTION("""COMPUTED_VALUE"""),44672.0)</f>
        <v>44672</v>
      </c>
      <c r="J1092" s="470">
        <f>IFERROR(__xludf.DUMMYFUNCTION("""COMPUTED_VALUE"""),0.43234953703703705)</f>
        <v>0.432349537</v>
      </c>
      <c r="K1092" s="16"/>
      <c r="L1092" s="8"/>
      <c r="M1092" s="69"/>
      <c r="N1092" s="69">
        <f>IFERROR(__xludf.DUMMYFUNCTION("""COMPUTED_VALUE"""),2.0)</f>
        <v>2</v>
      </c>
      <c r="O1092" s="69" t="str">
        <f t="shared" si="3"/>
        <v/>
      </c>
      <c r="P1092" s="471">
        <f>IFERROR(__xludf.DUMMYFUNCTION("""COMPUTED_VALUE"""),0.0)</f>
        <v>0</v>
      </c>
      <c r="Q1092" s="274" t="str">
        <f>VLOOKUP($B1092,'Run Reconcile'!B$2:O2488,14,FALSE)</f>
        <v/>
      </c>
      <c r="R1092" s="472" t="str">
        <f t="array" ref="R1092">IF($Q1092, INDEX('Run Reconcile'!A$2:A2488,MATCH(B1092,'Run Reconcile'!B$2:B2488,0),1),IFERROR(0/0,""))</f>
        <v/>
      </c>
      <c r="S1092" s="473" t="str">
        <f t="shared" si="694"/>
        <v/>
      </c>
      <c r="T1092" s="473" t="str">
        <f t="shared" si="698"/>
        <v/>
      </c>
      <c r="U1092" s="275" t="str">
        <f t="array" ref="U1092">IF(ISBLANK($R1092), INDEX('Run Reconcile'!A$2:A2488, MATCH($B1092, 'Run Reconcile'!B$2:B2488, 0)+Z1092, 1), IFERROR(0/0,""))
</f>
        <v>RUN-FLMP_2022-04-21_RFR-116</v>
      </c>
      <c r="V1092" s="474" t="str">
        <f t="shared" si="5"/>
        <v>RUN-FLMP_2022-04-21_RFR-116</v>
      </c>
      <c r="Y1092" s="89" t="str">
        <f t="shared" si="867"/>
        <v/>
      </c>
      <c r="Z1092" s="60" t="str">
        <f t="shared" si="7"/>
        <v/>
      </c>
      <c r="AA1092" s="60" t="str">
        <f t="shared" si="8"/>
        <v/>
      </c>
      <c r="AB1092" s="60" t="str">
        <f t="shared" si="9"/>
        <v/>
      </c>
      <c r="AC1092" s="30" t="str">
        <f t="shared" ref="AC1092:AD1092" si="1448">IF(_xlfn.ISFORMULA(S1092),IFERROR(0/0,""),TRUE)</f>
        <v/>
      </c>
      <c r="AD1092" s="30" t="str">
        <f t="shared" si="1448"/>
        <v/>
      </c>
      <c r="AE1092" s="475" t="str">
        <f>IFERROR(__xludf.DUMMYFUNCTION("""COMPUTED_VALUE"""),"CRLN")</f>
        <v>CRLN</v>
      </c>
      <c r="AF1092" s="476"/>
      <c r="AG1092" s="474" t="s">
        <v>203</v>
      </c>
      <c r="AH1092" s="138" t="str">
        <f t="shared" si="11"/>
        <v/>
      </c>
    </row>
    <row r="1093">
      <c r="A1093" s="103" t="str">
        <f>IFERROR(__xludf.DUMMYFUNCTION("""COMPUTED_VALUE"""),"FLB7172")</f>
        <v>FLB7172</v>
      </c>
      <c r="B1093" s="468">
        <f>IFERROR(__xludf.DUMMYFUNCTION("""COMPUTED_VALUE"""),44672.0)</f>
        <v>44672</v>
      </c>
      <c r="C1093" s="469">
        <f>IFERROR(__xludf.DUMMYFUNCTION("""COMPUTED_VALUE"""),0.3410185185185185)</f>
        <v>0.3410185185</v>
      </c>
      <c r="D1093" s="103" t="str">
        <f>IFERROR(__xludf.DUMMYFUNCTION("""COMPUTED_VALUE"""),"SpFLMP544731")</f>
        <v>SpFLMP544731</v>
      </c>
      <c r="E1093" s="103"/>
      <c r="F1093" s="103"/>
      <c r="G1093" s="103" t="str">
        <f>IFERROR(__xludf.DUMMYFUNCTION("""COMPUTED_VALUE"""),"Negative")</f>
        <v>Negative</v>
      </c>
      <c r="H1093" s="131" t="str">
        <f>IFERROR(__xludf.DUMMYFUNCTION("""COMPUTED_VALUE"""),"Negative")</f>
        <v>Negative</v>
      </c>
      <c r="I1093" s="468">
        <f>IFERROR(__xludf.DUMMYFUNCTION("""COMPUTED_VALUE"""),44672.0)</f>
        <v>44672</v>
      </c>
      <c r="J1093" s="470">
        <f>IFERROR(__xludf.DUMMYFUNCTION("""COMPUTED_VALUE"""),0.43234953703703705)</f>
        <v>0.432349537</v>
      </c>
      <c r="K1093" s="16"/>
      <c r="L1093" s="8"/>
      <c r="M1093" s="69"/>
      <c r="N1093" s="69">
        <f>IFERROR(__xludf.DUMMYFUNCTION("""COMPUTED_VALUE"""),3.0)</f>
        <v>3</v>
      </c>
      <c r="O1093" s="69" t="str">
        <f t="shared" si="3"/>
        <v/>
      </c>
      <c r="P1093" s="471">
        <f>IFERROR(__xludf.DUMMYFUNCTION("""COMPUTED_VALUE"""),0.0)</f>
        <v>0</v>
      </c>
      <c r="Q1093" s="274" t="str">
        <f>VLOOKUP($B1093,'Run Reconcile'!B$2:O2488,14,FALSE)</f>
        <v/>
      </c>
      <c r="R1093" s="472" t="str">
        <f t="array" ref="R1093">IF($Q1093, INDEX('Run Reconcile'!A$2:A2488,MATCH(B1093,'Run Reconcile'!B$2:B2488,0),1),IFERROR(0/0,""))</f>
        <v/>
      </c>
      <c r="S1093" s="473" t="str">
        <f t="shared" si="694"/>
        <v/>
      </c>
      <c r="T1093" s="473" t="str">
        <f t="shared" si="698"/>
        <v/>
      </c>
      <c r="U1093" s="275" t="str">
        <f t="array" ref="U1093">IF(ISBLANK($R1093), INDEX('Run Reconcile'!A$2:A2488, MATCH($B1093, 'Run Reconcile'!B$2:B2488, 0)+Z1093, 1), IFERROR(0/0,""))
</f>
        <v>RUN-FLMP_2022-04-21_RFR-116</v>
      </c>
      <c r="V1093" s="474" t="str">
        <f t="shared" si="5"/>
        <v>RUN-FLMP_2022-04-21_RFR-116</v>
      </c>
      <c r="Y1093" s="89" t="str">
        <f t="shared" si="867"/>
        <v/>
      </c>
      <c r="Z1093" s="60" t="str">
        <f t="shared" si="7"/>
        <v/>
      </c>
      <c r="AA1093" s="60" t="str">
        <f t="shared" si="8"/>
        <v/>
      </c>
      <c r="AB1093" s="60" t="str">
        <f t="shared" si="9"/>
        <v/>
      </c>
      <c r="AC1093" s="30" t="str">
        <f t="shared" ref="AC1093:AD1093" si="1449">IF(_xlfn.ISFORMULA(S1093),IFERROR(0/0,""),TRUE)</f>
        <v/>
      </c>
      <c r="AD1093" s="30" t="str">
        <f t="shared" si="1449"/>
        <v/>
      </c>
      <c r="AE1093" s="475" t="str">
        <f>IFERROR(__xludf.DUMMYFUNCTION("""COMPUTED_VALUE"""),"CRLN")</f>
        <v>CRLN</v>
      </c>
      <c r="AF1093" s="476"/>
      <c r="AG1093" s="474" t="s">
        <v>203</v>
      </c>
      <c r="AH1093" s="138" t="str">
        <f t="shared" si="11"/>
        <v/>
      </c>
    </row>
    <row r="1094">
      <c r="A1094" s="103" t="str">
        <f>IFERROR(__xludf.DUMMYFUNCTION("""COMPUTED_VALUE"""),"FLB6805")</f>
        <v>FLB6805</v>
      </c>
      <c r="B1094" s="468">
        <f>IFERROR(__xludf.DUMMYFUNCTION("""COMPUTED_VALUE"""),44672.0)</f>
        <v>44672</v>
      </c>
      <c r="C1094" s="469">
        <f>IFERROR(__xludf.DUMMYFUNCTION("""COMPUTED_VALUE"""),0.3485416666666667)</f>
        <v>0.3485416667</v>
      </c>
      <c r="D1094" s="103" t="str">
        <f>IFERROR(__xludf.DUMMYFUNCTION("""COMPUTED_VALUE"""),"SpFLMP314549")</f>
        <v>SpFLMP314549</v>
      </c>
      <c r="E1094" s="103"/>
      <c r="F1094" s="103"/>
      <c r="G1094" s="103" t="str">
        <f>IFERROR(__xludf.DUMMYFUNCTION("""COMPUTED_VALUE"""),"Negative")</f>
        <v>Negative</v>
      </c>
      <c r="H1094" s="131" t="str">
        <f>IFERROR(__xludf.DUMMYFUNCTION("""COMPUTED_VALUE"""),"Negative")</f>
        <v>Negative</v>
      </c>
      <c r="I1094" s="468">
        <f>IFERROR(__xludf.DUMMYFUNCTION("""COMPUTED_VALUE"""),44672.0)</f>
        <v>44672</v>
      </c>
      <c r="J1094" s="470">
        <f>IFERROR(__xludf.DUMMYFUNCTION("""COMPUTED_VALUE"""),0.43234953703703705)</f>
        <v>0.432349537</v>
      </c>
      <c r="K1094" s="16"/>
      <c r="L1094" s="8"/>
      <c r="M1094" s="69"/>
      <c r="N1094" s="69">
        <f>IFERROR(__xludf.DUMMYFUNCTION("""COMPUTED_VALUE"""),1.0)</f>
        <v>1</v>
      </c>
      <c r="O1094" s="69" t="str">
        <f t="shared" si="3"/>
        <v/>
      </c>
      <c r="P1094" s="471">
        <f>IFERROR(__xludf.DUMMYFUNCTION("""COMPUTED_VALUE"""),0.0)</f>
        <v>0</v>
      </c>
      <c r="Q1094" s="274" t="str">
        <f>VLOOKUP($B1094,'Run Reconcile'!B$2:O2488,14,FALSE)</f>
        <v/>
      </c>
      <c r="R1094" s="472" t="str">
        <f t="array" ref="R1094">IF($Q1094, INDEX('Run Reconcile'!A$2:A2488,MATCH(B1094,'Run Reconcile'!B$2:B2488,0),1),IFERROR(0/0,""))</f>
        <v/>
      </c>
      <c r="S1094" s="473" t="str">
        <f t="shared" si="694"/>
        <v/>
      </c>
      <c r="T1094" s="473" t="str">
        <f t="shared" si="698"/>
        <v/>
      </c>
      <c r="U1094" s="275" t="str">
        <f t="array" ref="U1094">IF(ISBLANK($R1094), INDEX('Run Reconcile'!A$2:A2488, MATCH($B1094, 'Run Reconcile'!B$2:B2488, 0)+Z1094, 1), IFERROR(0/0,""))
</f>
        <v>RUN-FLMP_2022-04-21_RFR-116</v>
      </c>
      <c r="V1094" s="474" t="str">
        <f t="shared" si="5"/>
        <v>RUN-FLMP_2022-04-21_RFR-116</v>
      </c>
      <c r="Y1094" s="89" t="str">
        <f t="shared" si="867"/>
        <v/>
      </c>
      <c r="Z1094" s="60" t="str">
        <f t="shared" si="7"/>
        <v/>
      </c>
      <c r="AA1094" s="60" t="str">
        <f t="shared" si="8"/>
        <v/>
      </c>
      <c r="AB1094" s="60" t="str">
        <f t="shared" si="9"/>
        <v/>
      </c>
      <c r="AC1094" s="30" t="str">
        <f t="shared" ref="AC1094:AD1094" si="1450">IF(_xlfn.ISFORMULA(S1094),IFERROR(0/0,""),TRUE)</f>
        <v/>
      </c>
      <c r="AD1094" s="30" t="str">
        <f t="shared" si="1450"/>
        <v/>
      </c>
      <c r="AE1094" s="475" t="str">
        <f>IFERROR(__xludf.DUMMYFUNCTION("""COMPUTED_VALUE"""),"CRLN")</f>
        <v>CRLN</v>
      </c>
      <c r="AF1094" s="476"/>
      <c r="AG1094" s="474" t="s">
        <v>203</v>
      </c>
      <c r="AH1094" s="138" t="str">
        <f t="shared" si="11"/>
        <v/>
      </c>
    </row>
    <row r="1095">
      <c r="A1095" s="103" t="str">
        <f>IFERROR(__xludf.DUMMYFUNCTION("""COMPUTED_VALUE"""),"FLE845")</f>
        <v>FLE845</v>
      </c>
      <c r="B1095" s="468">
        <f>IFERROR(__xludf.DUMMYFUNCTION("""COMPUTED_VALUE"""),44672.0)</f>
        <v>44672</v>
      </c>
      <c r="C1095" s="469">
        <f>IFERROR(__xludf.DUMMYFUNCTION("""COMPUTED_VALUE"""),0.3509259259259259)</f>
        <v>0.3509259259</v>
      </c>
      <c r="D1095" s="103" t="str">
        <f>IFERROR(__xludf.DUMMYFUNCTION("""COMPUTED_VALUE"""),"SpFLMP649771")</f>
        <v>SpFLMP649771</v>
      </c>
      <c r="E1095" s="103"/>
      <c r="F1095" s="103"/>
      <c r="G1095" s="103" t="str">
        <f>IFERROR(__xludf.DUMMYFUNCTION("""COMPUTED_VALUE"""),"Negative")</f>
        <v>Negative</v>
      </c>
      <c r="H1095" s="131" t="str">
        <f>IFERROR(__xludf.DUMMYFUNCTION("""COMPUTED_VALUE"""),"Negative")</f>
        <v>Negative</v>
      </c>
      <c r="I1095" s="468">
        <f>IFERROR(__xludf.DUMMYFUNCTION("""COMPUTED_VALUE"""),44672.0)</f>
        <v>44672</v>
      </c>
      <c r="J1095" s="470">
        <f>IFERROR(__xludf.DUMMYFUNCTION("""COMPUTED_VALUE"""),0.43234953703703705)</f>
        <v>0.432349537</v>
      </c>
      <c r="K1095" s="16"/>
      <c r="L1095" s="8"/>
      <c r="M1095" s="69"/>
      <c r="N1095" s="69">
        <f>IFERROR(__xludf.DUMMYFUNCTION("""COMPUTED_VALUE"""),2.0)</f>
        <v>2</v>
      </c>
      <c r="O1095" s="69" t="str">
        <f t="shared" si="3"/>
        <v/>
      </c>
      <c r="P1095" s="471">
        <f>IFERROR(__xludf.DUMMYFUNCTION("""COMPUTED_VALUE"""),0.0)</f>
        <v>0</v>
      </c>
      <c r="Q1095" s="274" t="str">
        <f>VLOOKUP($B1095,'Run Reconcile'!B$2:O2488,14,FALSE)</f>
        <v/>
      </c>
      <c r="R1095" s="472" t="str">
        <f t="array" ref="R1095">IF($Q1095, INDEX('Run Reconcile'!A$2:A2488,MATCH(B1095,'Run Reconcile'!B$2:B2488,0),1),IFERROR(0/0,""))</f>
        <v/>
      </c>
      <c r="S1095" s="473" t="str">
        <f t="shared" si="694"/>
        <v/>
      </c>
      <c r="T1095" s="473" t="str">
        <f t="shared" si="698"/>
        <v/>
      </c>
      <c r="U1095" s="275" t="str">
        <f t="array" ref="U1095">IF(ISBLANK($R1095), INDEX('Run Reconcile'!A$2:A2488, MATCH($B1095, 'Run Reconcile'!B$2:B2488, 0)+Z1095, 1), IFERROR(0/0,""))
</f>
        <v>RUN-FLMP_2022-04-21_RFR-116</v>
      </c>
      <c r="V1095" s="474" t="str">
        <f t="shared" si="5"/>
        <v>RUN-FLMP_2022-04-21_RFR-116</v>
      </c>
      <c r="Y1095" s="89" t="str">
        <f t="shared" si="867"/>
        <v/>
      </c>
      <c r="Z1095" s="60" t="str">
        <f t="shared" si="7"/>
        <v/>
      </c>
      <c r="AA1095" s="60" t="str">
        <f t="shared" si="8"/>
        <v/>
      </c>
      <c r="AB1095" s="60" t="str">
        <f t="shared" si="9"/>
        <v/>
      </c>
      <c r="AC1095" s="30" t="str">
        <f t="shared" ref="AC1095:AD1095" si="1451">IF(_xlfn.ISFORMULA(S1095),IFERROR(0/0,""),TRUE)</f>
        <v/>
      </c>
      <c r="AD1095" s="30" t="str">
        <f t="shared" si="1451"/>
        <v/>
      </c>
      <c r="AE1095" s="475" t="str">
        <f>IFERROR(__xludf.DUMMYFUNCTION("""COMPUTED_VALUE"""),"CRLN")</f>
        <v>CRLN</v>
      </c>
      <c r="AF1095" s="476"/>
      <c r="AG1095" s="474" t="s">
        <v>203</v>
      </c>
      <c r="AH1095" s="138" t="str">
        <f t="shared" si="11"/>
        <v/>
      </c>
    </row>
    <row r="1096">
      <c r="A1096" s="103" t="str">
        <f>IFERROR(__xludf.DUMMYFUNCTION("""COMPUTED_VALUE"""),"AH101")</f>
        <v>AH101</v>
      </c>
      <c r="B1096" s="468">
        <f>IFERROR(__xludf.DUMMYFUNCTION("""COMPUTED_VALUE"""),44672.0)</f>
        <v>44672</v>
      </c>
      <c r="C1096" s="469">
        <f>IFERROR(__xludf.DUMMYFUNCTION("""COMPUTED_VALUE"""),0.3513541666666667)</f>
        <v>0.3513541667</v>
      </c>
      <c r="D1096" s="103" t="str">
        <f>IFERROR(__xludf.DUMMYFUNCTION("""COMPUTED_VALUE"""),"SpFLMP470379")</f>
        <v>SpFLMP470379</v>
      </c>
      <c r="E1096" s="103"/>
      <c r="F1096" s="103"/>
      <c r="G1096" s="103" t="str">
        <f>IFERROR(__xludf.DUMMYFUNCTION("""COMPUTED_VALUE"""),"Negative")</f>
        <v>Negative</v>
      </c>
      <c r="H1096" s="131" t="str">
        <f>IFERROR(__xludf.DUMMYFUNCTION("""COMPUTED_VALUE"""),"Negative")</f>
        <v>Negative</v>
      </c>
      <c r="I1096" s="468">
        <f>IFERROR(__xludf.DUMMYFUNCTION("""COMPUTED_VALUE"""),44672.0)</f>
        <v>44672</v>
      </c>
      <c r="J1096" s="470">
        <f>IFERROR(__xludf.DUMMYFUNCTION("""COMPUTED_VALUE"""),0.43234953703703705)</f>
        <v>0.432349537</v>
      </c>
      <c r="K1096" s="16"/>
      <c r="L1096" s="8"/>
      <c r="M1096" s="69"/>
      <c r="N1096" s="69">
        <f>IFERROR(__xludf.DUMMYFUNCTION("""COMPUTED_VALUE"""),1.0)</f>
        <v>1</v>
      </c>
      <c r="O1096" s="69" t="str">
        <f t="shared" si="3"/>
        <v/>
      </c>
      <c r="P1096" s="471">
        <f>IFERROR(__xludf.DUMMYFUNCTION("""COMPUTED_VALUE"""),0.0)</f>
        <v>0</v>
      </c>
      <c r="Q1096" s="274" t="str">
        <f>VLOOKUP($B1096,'Run Reconcile'!B$2:O2488,14,FALSE)</f>
        <v/>
      </c>
      <c r="R1096" s="472" t="str">
        <f t="array" ref="R1096">IF($Q1096, INDEX('Run Reconcile'!A$2:A2488,MATCH(B1096,'Run Reconcile'!B$2:B2488,0),1),IFERROR(0/0,""))</f>
        <v/>
      </c>
      <c r="S1096" s="473" t="str">
        <f t="shared" si="694"/>
        <v/>
      </c>
      <c r="T1096" s="473" t="str">
        <f t="shared" si="698"/>
        <v/>
      </c>
      <c r="U1096" s="275" t="str">
        <f t="array" ref="U1096">IF(ISBLANK($R1096), INDEX('Run Reconcile'!A$2:A2488, MATCH($B1096, 'Run Reconcile'!B$2:B2488, 0)+Z1096, 1), IFERROR(0/0,""))
</f>
        <v>RUN-FLMP_2022-04-21_RFR-116</v>
      </c>
      <c r="V1096" s="474" t="str">
        <f t="shared" si="5"/>
        <v>RUN-FLMP_2022-04-21_RFR-116</v>
      </c>
      <c r="Y1096" s="89" t="str">
        <f t="shared" si="867"/>
        <v/>
      </c>
      <c r="Z1096" s="60" t="str">
        <f t="shared" si="7"/>
        <v/>
      </c>
      <c r="AA1096" s="60" t="str">
        <f t="shared" si="8"/>
        <v/>
      </c>
      <c r="AB1096" s="60" t="str">
        <f t="shared" si="9"/>
        <v/>
      </c>
      <c r="AC1096" s="30" t="str">
        <f t="shared" ref="AC1096:AD1096" si="1452">IF(_xlfn.ISFORMULA(S1096),IFERROR(0/0,""),TRUE)</f>
        <v/>
      </c>
      <c r="AD1096" s="30" t="str">
        <f t="shared" si="1452"/>
        <v/>
      </c>
      <c r="AE1096" s="475" t="str">
        <f>IFERROR(__xludf.DUMMYFUNCTION("""COMPUTED_VALUE"""),"CRLN")</f>
        <v>CRLN</v>
      </c>
      <c r="AF1096" s="476"/>
      <c r="AG1096" s="474" t="s">
        <v>203</v>
      </c>
      <c r="AH1096" s="138" t="str">
        <f t="shared" si="11"/>
        <v/>
      </c>
    </row>
    <row r="1097">
      <c r="A1097" s="103" t="str">
        <f>IFERROR(__xludf.DUMMYFUNCTION("""COMPUTED_VALUE"""),"FLB4911")</f>
        <v>FLB4911</v>
      </c>
      <c r="B1097" s="468">
        <f>IFERROR(__xludf.DUMMYFUNCTION("""COMPUTED_VALUE"""),44672.0)</f>
        <v>44672</v>
      </c>
      <c r="C1097" s="469">
        <f>IFERROR(__xludf.DUMMYFUNCTION("""COMPUTED_VALUE"""),0.3522800925925926)</f>
        <v>0.3522800926</v>
      </c>
      <c r="D1097" s="103" t="str">
        <f>IFERROR(__xludf.DUMMYFUNCTION("""COMPUTED_VALUE"""),"SpFLMP604497")</f>
        <v>SpFLMP604497</v>
      </c>
      <c r="E1097" s="103"/>
      <c r="F1097" s="103"/>
      <c r="G1097" s="103" t="str">
        <f>IFERROR(__xludf.DUMMYFUNCTION("""COMPUTED_VALUE"""),"Negative")</f>
        <v>Negative</v>
      </c>
      <c r="H1097" s="131" t="str">
        <f>IFERROR(__xludf.DUMMYFUNCTION("""COMPUTED_VALUE"""),"Negative")</f>
        <v>Negative</v>
      </c>
      <c r="I1097" s="468">
        <f>IFERROR(__xludf.DUMMYFUNCTION("""COMPUTED_VALUE"""),44672.0)</f>
        <v>44672</v>
      </c>
      <c r="J1097" s="470">
        <f>IFERROR(__xludf.DUMMYFUNCTION("""COMPUTED_VALUE"""),0.4323611111111111)</f>
        <v>0.4323611111</v>
      </c>
      <c r="K1097" s="16"/>
      <c r="L1097" s="8"/>
      <c r="M1097" s="69"/>
      <c r="N1097" s="69">
        <f>IFERROR(__xludf.DUMMYFUNCTION("""COMPUTED_VALUE"""),4.0)</f>
        <v>4</v>
      </c>
      <c r="O1097" s="69" t="str">
        <f t="shared" si="3"/>
        <v/>
      </c>
      <c r="P1097" s="471">
        <f>IFERROR(__xludf.DUMMYFUNCTION("""COMPUTED_VALUE"""),0.0)</f>
        <v>0</v>
      </c>
      <c r="Q1097" s="274" t="str">
        <f>VLOOKUP($B1097,'Run Reconcile'!B$2:O2488,14,FALSE)</f>
        <v/>
      </c>
      <c r="R1097" s="472" t="str">
        <f t="array" ref="R1097">IF($Q1097, INDEX('Run Reconcile'!A$2:A2488,MATCH(B1097,'Run Reconcile'!B$2:B2488,0),1),IFERROR(0/0,""))</f>
        <v/>
      </c>
      <c r="S1097" s="473" t="str">
        <f t="shared" si="694"/>
        <v/>
      </c>
      <c r="T1097" s="473" t="str">
        <f t="shared" si="698"/>
        <v/>
      </c>
      <c r="U1097" s="275" t="str">
        <f t="array" ref="U1097">IF(ISBLANK($R1097), INDEX('Run Reconcile'!A$2:A2488, MATCH($B1097, 'Run Reconcile'!B$2:B2488, 0)+Z1097, 1), IFERROR(0/0,""))
</f>
        <v>RUN-FLMP_2022-04-21_RFR-116</v>
      </c>
      <c r="V1097" s="474" t="str">
        <f t="shared" si="5"/>
        <v>RUN-FLMP_2022-04-21_RFR-116</v>
      </c>
      <c r="Y1097" s="89" t="str">
        <f t="shared" si="867"/>
        <v/>
      </c>
      <c r="Z1097" s="60" t="str">
        <f t="shared" si="7"/>
        <v/>
      </c>
      <c r="AA1097" s="60" t="str">
        <f t="shared" si="8"/>
        <v/>
      </c>
      <c r="AB1097" s="60" t="str">
        <f t="shared" si="9"/>
        <v/>
      </c>
      <c r="AC1097" s="30" t="str">
        <f t="shared" ref="AC1097:AD1097" si="1453">IF(_xlfn.ISFORMULA(S1097),IFERROR(0/0,""),TRUE)</f>
        <v/>
      </c>
      <c r="AD1097" s="30" t="str">
        <f t="shared" si="1453"/>
        <v/>
      </c>
      <c r="AE1097" s="475" t="str">
        <f>IFERROR(__xludf.DUMMYFUNCTION("""COMPUTED_VALUE"""),"CRLN")</f>
        <v>CRLN</v>
      </c>
      <c r="AF1097" s="476"/>
      <c r="AG1097" s="474" t="s">
        <v>203</v>
      </c>
      <c r="AH1097" s="138" t="str">
        <f t="shared" si="11"/>
        <v/>
      </c>
    </row>
    <row r="1098">
      <c r="A1098" s="103" t="str">
        <f>IFERROR(__xludf.DUMMYFUNCTION("""COMPUTED_VALUE"""),"AJ5176")</f>
        <v>AJ5176</v>
      </c>
      <c r="B1098" s="468">
        <f>IFERROR(__xludf.DUMMYFUNCTION("""COMPUTED_VALUE"""),44672.0)</f>
        <v>44672</v>
      </c>
      <c r="C1098" s="469">
        <f>IFERROR(__xludf.DUMMYFUNCTION("""COMPUTED_VALUE"""),0.3525115740740741)</f>
        <v>0.3525115741</v>
      </c>
      <c r="D1098" s="103" t="str">
        <f>IFERROR(__xludf.DUMMYFUNCTION("""COMPUTED_VALUE"""),"SpFLMP939619")</f>
        <v>SpFLMP939619</v>
      </c>
      <c r="E1098" s="103"/>
      <c r="F1098" s="103"/>
      <c r="G1098" s="103" t="str">
        <f>IFERROR(__xludf.DUMMYFUNCTION("""COMPUTED_VALUE"""),"Negative")</f>
        <v>Negative</v>
      </c>
      <c r="H1098" s="131" t="str">
        <f>IFERROR(__xludf.DUMMYFUNCTION("""COMPUTED_VALUE"""),"Negative")</f>
        <v>Negative</v>
      </c>
      <c r="I1098" s="468">
        <f>IFERROR(__xludf.DUMMYFUNCTION("""COMPUTED_VALUE"""),44672.0)</f>
        <v>44672</v>
      </c>
      <c r="J1098" s="470">
        <f>IFERROR(__xludf.DUMMYFUNCTION("""COMPUTED_VALUE"""),0.4323611111111111)</f>
        <v>0.4323611111</v>
      </c>
      <c r="K1098" s="16"/>
      <c r="L1098" s="8"/>
      <c r="M1098" s="69"/>
      <c r="N1098" s="69">
        <f>IFERROR(__xludf.DUMMYFUNCTION("""COMPUTED_VALUE"""),1.0)</f>
        <v>1</v>
      </c>
      <c r="O1098" s="69" t="str">
        <f t="shared" si="3"/>
        <v/>
      </c>
      <c r="P1098" s="471">
        <f>IFERROR(__xludf.DUMMYFUNCTION("""COMPUTED_VALUE"""),0.0)</f>
        <v>0</v>
      </c>
      <c r="Q1098" s="274" t="str">
        <f>VLOOKUP($B1098,'Run Reconcile'!B$2:O2488,14,FALSE)</f>
        <v/>
      </c>
      <c r="R1098" s="472" t="str">
        <f t="array" ref="R1098">IF($Q1098, INDEX('Run Reconcile'!A$2:A2488,MATCH(B1098,'Run Reconcile'!B$2:B2488,0),1),IFERROR(0/0,""))</f>
        <v/>
      </c>
      <c r="S1098" s="473" t="str">
        <f t="shared" si="694"/>
        <v/>
      </c>
      <c r="T1098" s="473" t="str">
        <f t="shared" si="698"/>
        <v/>
      </c>
      <c r="U1098" s="275" t="str">
        <f t="array" ref="U1098">IF(ISBLANK($R1098), INDEX('Run Reconcile'!A$2:A2488, MATCH($B1098, 'Run Reconcile'!B$2:B2488, 0)+Z1098, 1), IFERROR(0/0,""))
</f>
        <v>RUN-FLMP_2022-04-21_RFR-116</v>
      </c>
      <c r="V1098" s="474" t="str">
        <f t="shared" si="5"/>
        <v>RUN-FLMP_2022-04-21_RFR-116</v>
      </c>
      <c r="Y1098" s="89" t="str">
        <f t="shared" si="867"/>
        <v/>
      </c>
      <c r="Z1098" s="60" t="str">
        <f t="shared" si="7"/>
        <v/>
      </c>
      <c r="AA1098" s="60" t="str">
        <f t="shared" si="8"/>
        <v/>
      </c>
      <c r="AB1098" s="60" t="str">
        <f t="shared" si="9"/>
        <v/>
      </c>
      <c r="AC1098" s="30" t="str">
        <f t="shared" ref="AC1098:AD1098" si="1454">IF(_xlfn.ISFORMULA(S1098),IFERROR(0/0,""),TRUE)</f>
        <v/>
      </c>
      <c r="AD1098" s="30" t="str">
        <f t="shared" si="1454"/>
        <v/>
      </c>
      <c r="AE1098" s="475" t="str">
        <f>IFERROR(__xludf.DUMMYFUNCTION("""COMPUTED_VALUE"""),"CRLN")</f>
        <v>CRLN</v>
      </c>
      <c r="AF1098" s="476"/>
      <c r="AG1098" s="474" t="s">
        <v>203</v>
      </c>
      <c r="AH1098" s="138" t="str">
        <f t="shared" si="11"/>
        <v/>
      </c>
    </row>
    <row r="1099">
      <c r="A1099" s="103" t="str">
        <f>IFERROR(__xludf.DUMMYFUNCTION("""COMPUTED_VALUE"""),"AJ7852")</f>
        <v>AJ7852</v>
      </c>
      <c r="B1099" s="468">
        <f>IFERROR(__xludf.DUMMYFUNCTION("""COMPUTED_VALUE"""),44672.0)</f>
        <v>44672</v>
      </c>
      <c r="C1099" s="469">
        <f>IFERROR(__xludf.DUMMYFUNCTION("""COMPUTED_VALUE"""),0.35344907407407405)</f>
        <v>0.3534490741</v>
      </c>
      <c r="D1099" s="103" t="str">
        <f>IFERROR(__xludf.DUMMYFUNCTION("""COMPUTED_VALUE"""),"SpFLMP600756")</f>
        <v>SpFLMP600756</v>
      </c>
      <c r="E1099" s="103"/>
      <c r="F1099" s="103"/>
      <c r="G1099" s="103" t="str">
        <f>IFERROR(__xludf.DUMMYFUNCTION("""COMPUTED_VALUE"""),"Negative")</f>
        <v>Negative</v>
      </c>
      <c r="H1099" s="131" t="str">
        <f>IFERROR(__xludf.DUMMYFUNCTION("""COMPUTED_VALUE"""),"Negative")</f>
        <v>Negative</v>
      </c>
      <c r="I1099" s="468">
        <f>IFERROR(__xludf.DUMMYFUNCTION("""COMPUTED_VALUE"""),44672.0)</f>
        <v>44672</v>
      </c>
      <c r="J1099" s="470">
        <f>IFERROR(__xludf.DUMMYFUNCTION("""COMPUTED_VALUE"""),0.4323611111111111)</f>
        <v>0.4323611111</v>
      </c>
      <c r="K1099" s="16"/>
      <c r="L1099" s="8"/>
      <c r="M1099" s="69"/>
      <c r="N1099" s="69">
        <f>IFERROR(__xludf.DUMMYFUNCTION("""COMPUTED_VALUE"""),2.0)</f>
        <v>2</v>
      </c>
      <c r="O1099" s="69" t="str">
        <f t="shared" si="3"/>
        <v/>
      </c>
      <c r="P1099" s="471">
        <f>IFERROR(__xludf.DUMMYFUNCTION("""COMPUTED_VALUE"""),0.0)</f>
        <v>0</v>
      </c>
      <c r="Q1099" s="274" t="str">
        <f>VLOOKUP($B1099,'Run Reconcile'!B$2:O2488,14,FALSE)</f>
        <v/>
      </c>
      <c r="R1099" s="472" t="str">
        <f t="array" ref="R1099">IF($Q1099, INDEX('Run Reconcile'!A$2:A2488,MATCH(B1099,'Run Reconcile'!B$2:B2488,0),1),IFERROR(0/0,""))</f>
        <v/>
      </c>
      <c r="S1099" s="473" t="str">
        <f t="shared" si="694"/>
        <v/>
      </c>
      <c r="T1099" s="473" t="str">
        <f t="shared" si="698"/>
        <v/>
      </c>
      <c r="U1099" s="275" t="str">
        <f t="array" ref="U1099">IF(ISBLANK($R1099), INDEX('Run Reconcile'!A$2:A2488, MATCH($B1099, 'Run Reconcile'!B$2:B2488, 0)+Z1099, 1), IFERROR(0/0,""))
</f>
        <v>RUN-FLMP_2022-04-21_RFR-116</v>
      </c>
      <c r="V1099" s="474" t="str">
        <f t="shared" si="5"/>
        <v>RUN-FLMP_2022-04-21_RFR-116</v>
      </c>
      <c r="Y1099" s="89" t="str">
        <f t="shared" si="867"/>
        <v/>
      </c>
      <c r="Z1099" s="60" t="str">
        <f t="shared" si="7"/>
        <v/>
      </c>
      <c r="AA1099" s="60" t="str">
        <f t="shared" si="8"/>
        <v/>
      </c>
      <c r="AB1099" s="60" t="str">
        <f t="shared" si="9"/>
        <v/>
      </c>
      <c r="AC1099" s="30" t="str">
        <f t="shared" ref="AC1099:AD1099" si="1455">IF(_xlfn.ISFORMULA(S1099),IFERROR(0/0,""),TRUE)</f>
        <v/>
      </c>
      <c r="AD1099" s="30" t="str">
        <f t="shared" si="1455"/>
        <v/>
      </c>
      <c r="AE1099" s="475" t="str">
        <f>IFERROR(__xludf.DUMMYFUNCTION("""COMPUTED_VALUE"""),"CRLN")</f>
        <v>CRLN</v>
      </c>
      <c r="AF1099" s="476"/>
      <c r="AG1099" s="474" t="s">
        <v>203</v>
      </c>
      <c r="AH1099" s="138" t="str">
        <f t="shared" si="11"/>
        <v/>
      </c>
    </row>
    <row r="1100">
      <c r="A1100" s="103" t="str">
        <f>IFERROR(__xludf.DUMMYFUNCTION("""COMPUTED_VALUE"""),"FLE250")</f>
        <v>FLE250</v>
      </c>
      <c r="B1100" s="468">
        <f>IFERROR(__xludf.DUMMYFUNCTION("""COMPUTED_VALUE"""),44672.0)</f>
        <v>44672</v>
      </c>
      <c r="C1100" s="469">
        <f>IFERROR(__xludf.DUMMYFUNCTION("""COMPUTED_VALUE"""),0.35702546296296295)</f>
        <v>0.357025463</v>
      </c>
      <c r="D1100" s="103" t="str">
        <f>IFERROR(__xludf.DUMMYFUNCTION("""COMPUTED_VALUE"""),"SpFLMP955438")</f>
        <v>SpFLMP955438</v>
      </c>
      <c r="E1100" s="103"/>
      <c r="F1100" s="103"/>
      <c r="G1100" s="103" t="str">
        <f>IFERROR(__xludf.DUMMYFUNCTION("""COMPUTED_VALUE"""),"Negative")</f>
        <v>Negative</v>
      </c>
      <c r="H1100" s="131" t="str">
        <f>IFERROR(__xludf.DUMMYFUNCTION("""COMPUTED_VALUE"""),"Negative")</f>
        <v>Negative</v>
      </c>
      <c r="I1100" s="468">
        <f>IFERROR(__xludf.DUMMYFUNCTION("""COMPUTED_VALUE"""),44672.0)</f>
        <v>44672</v>
      </c>
      <c r="J1100" s="470">
        <f>IFERROR(__xludf.DUMMYFUNCTION("""COMPUTED_VALUE"""),0.4323611111111111)</f>
        <v>0.4323611111</v>
      </c>
      <c r="K1100" s="16"/>
      <c r="L1100" s="8"/>
      <c r="M1100" s="69"/>
      <c r="N1100" s="69">
        <f>IFERROR(__xludf.DUMMYFUNCTION("""COMPUTED_VALUE"""),1.0)</f>
        <v>1</v>
      </c>
      <c r="O1100" s="69" t="str">
        <f t="shared" si="3"/>
        <v/>
      </c>
      <c r="P1100" s="471">
        <f>IFERROR(__xludf.DUMMYFUNCTION("""COMPUTED_VALUE"""),0.0)</f>
        <v>0</v>
      </c>
      <c r="Q1100" s="274" t="str">
        <f>VLOOKUP($B1100,'Run Reconcile'!B$2:O2488,14,FALSE)</f>
        <v/>
      </c>
      <c r="R1100" s="472" t="str">
        <f t="array" ref="R1100">IF($Q1100, INDEX('Run Reconcile'!A$2:A2488,MATCH(B1100,'Run Reconcile'!B$2:B2488,0),1),IFERROR(0/0,""))</f>
        <v/>
      </c>
      <c r="S1100" s="473" t="str">
        <f t="shared" si="694"/>
        <v/>
      </c>
      <c r="T1100" s="473" t="str">
        <f t="shared" si="698"/>
        <v/>
      </c>
      <c r="U1100" s="275" t="str">
        <f t="array" ref="U1100">IF(ISBLANK($R1100), INDEX('Run Reconcile'!A$2:A2488, MATCH($B1100, 'Run Reconcile'!B$2:B2488, 0)+Z1100, 1), IFERROR(0/0,""))
</f>
        <v>RUN-FLMP_2022-04-21_RFR-116</v>
      </c>
      <c r="V1100" s="474" t="str">
        <f t="shared" si="5"/>
        <v>RUN-FLMP_2022-04-21_RFR-116</v>
      </c>
      <c r="Y1100" s="89" t="str">
        <f t="shared" si="867"/>
        <v/>
      </c>
      <c r="Z1100" s="60" t="str">
        <f t="shared" si="7"/>
        <v/>
      </c>
      <c r="AA1100" s="60" t="str">
        <f t="shared" si="8"/>
        <v/>
      </c>
      <c r="AB1100" s="60" t="str">
        <f t="shared" si="9"/>
        <v/>
      </c>
      <c r="AC1100" s="30" t="str">
        <f t="shared" ref="AC1100:AD1100" si="1456">IF(_xlfn.ISFORMULA(S1100),IFERROR(0/0,""),TRUE)</f>
        <v/>
      </c>
      <c r="AD1100" s="30" t="str">
        <f t="shared" si="1456"/>
        <v/>
      </c>
      <c r="AE1100" s="475" t="str">
        <f>IFERROR(__xludf.DUMMYFUNCTION("""COMPUTED_VALUE"""),"CRLN")</f>
        <v>CRLN</v>
      </c>
      <c r="AF1100" s="476"/>
      <c r="AG1100" s="474" t="s">
        <v>203</v>
      </c>
      <c r="AH1100" s="138" t="str">
        <f t="shared" si="11"/>
        <v/>
      </c>
    </row>
    <row r="1101">
      <c r="A1101" s="103" t="str">
        <f>IFERROR(__xludf.DUMMYFUNCTION("""COMPUTED_VALUE"""),"FLE243")</f>
        <v>FLE243</v>
      </c>
      <c r="B1101" s="468">
        <f>IFERROR(__xludf.DUMMYFUNCTION("""COMPUTED_VALUE"""),44672.0)</f>
        <v>44672</v>
      </c>
      <c r="C1101" s="469">
        <f>IFERROR(__xludf.DUMMYFUNCTION("""COMPUTED_VALUE"""),0.3614236111111111)</f>
        <v>0.3614236111</v>
      </c>
      <c r="D1101" s="103" t="str">
        <f>IFERROR(__xludf.DUMMYFUNCTION("""COMPUTED_VALUE"""),"SpFLMP777132")</f>
        <v>SpFLMP777132</v>
      </c>
      <c r="E1101" s="103"/>
      <c r="F1101" s="103"/>
      <c r="G1101" s="103" t="str">
        <f>IFERROR(__xludf.DUMMYFUNCTION("""COMPUTED_VALUE"""),"Negative")</f>
        <v>Negative</v>
      </c>
      <c r="H1101" s="131" t="str">
        <f>IFERROR(__xludf.DUMMYFUNCTION("""COMPUTED_VALUE"""),"Negative")</f>
        <v>Negative</v>
      </c>
      <c r="I1101" s="468">
        <f>IFERROR(__xludf.DUMMYFUNCTION("""COMPUTED_VALUE"""),44672.0)</f>
        <v>44672</v>
      </c>
      <c r="J1101" s="470">
        <f>IFERROR(__xludf.DUMMYFUNCTION("""COMPUTED_VALUE"""),0.4323611111111111)</f>
        <v>0.4323611111</v>
      </c>
      <c r="K1101" s="16"/>
      <c r="L1101" s="8"/>
      <c r="M1101" s="69"/>
      <c r="N1101" s="69">
        <f>IFERROR(__xludf.DUMMYFUNCTION("""COMPUTED_VALUE"""),4.0)</f>
        <v>4</v>
      </c>
      <c r="O1101" s="69" t="str">
        <f t="shared" si="3"/>
        <v/>
      </c>
      <c r="P1101" s="471">
        <f>IFERROR(__xludf.DUMMYFUNCTION("""COMPUTED_VALUE"""),0.0)</f>
        <v>0</v>
      </c>
      <c r="Q1101" s="274" t="str">
        <f>VLOOKUP($B1101,'Run Reconcile'!B$2:O2488,14,FALSE)</f>
        <v/>
      </c>
      <c r="R1101" s="472" t="str">
        <f t="array" ref="R1101">IF($Q1101, INDEX('Run Reconcile'!A$2:A2488,MATCH(B1101,'Run Reconcile'!B$2:B2488,0),1),IFERROR(0/0,""))</f>
        <v/>
      </c>
      <c r="S1101" s="473" t="str">
        <f t="shared" si="694"/>
        <v/>
      </c>
      <c r="T1101" s="473" t="str">
        <f t="shared" si="698"/>
        <v/>
      </c>
      <c r="U1101" s="275" t="str">
        <f t="array" ref="U1101">IF(ISBLANK($R1101), INDEX('Run Reconcile'!A$2:A2488, MATCH($B1101, 'Run Reconcile'!B$2:B2488, 0)+Z1101, 1), IFERROR(0/0,""))
</f>
        <v>RUN-FLMP_2022-04-21_RFR-116</v>
      </c>
      <c r="V1101" s="474" t="str">
        <f t="shared" si="5"/>
        <v>RUN-FLMP_2022-04-21_RFR-116</v>
      </c>
      <c r="Y1101" s="89" t="str">
        <f t="shared" si="867"/>
        <v/>
      </c>
      <c r="Z1101" s="60" t="str">
        <f t="shared" si="7"/>
        <v/>
      </c>
      <c r="AA1101" s="60" t="str">
        <f t="shared" si="8"/>
        <v/>
      </c>
      <c r="AB1101" s="60" t="str">
        <f t="shared" si="9"/>
        <v/>
      </c>
      <c r="AC1101" s="30" t="str">
        <f t="shared" ref="AC1101:AD1101" si="1457">IF(_xlfn.ISFORMULA(S1101),IFERROR(0/0,""),TRUE)</f>
        <v/>
      </c>
      <c r="AD1101" s="30" t="str">
        <f t="shared" si="1457"/>
        <v/>
      </c>
      <c r="AE1101" s="475" t="str">
        <f>IFERROR(__xludf.DUMMYFUNCTION("""COMPUTED_VALUE"""),"CRLN")</f>
        <v>CRLN</v>
      </c>
      <c r="AF1101" s="476"/>
      <c r="AG1101" s="474" t="s">
        <v>203</v>
      </c>
      <c r="AH1101" s="138" t="str">
        <f t="shared" si="11"/>
        <v/>
      </c>
    </row>
    <row r="1102">
      <c r="A1102" s="103" t="str">
        <f>IFERROR(__xludf.DUMMYFUNCTION("""COMPUTED_VALUE"""),"AH194")</f>
        <v>AH194</v>
      </c>
      <c r="B1102" s="468">
        <f>IFERROR(__xludf.DUMMYFUNCTION("""COMPUTED_VALUE"""),44672.0)</f>
        <v>44672</v>
      </c>
      <c r="C1102" s="469">
        <f>IFERROR(__xludf.DUMMYFUNCTION("""COMPUTED_VALUE"""),0.36474537037037036)</f>
        <v>0.3647453704</v>
      </c>
      <c r="D1102" s="103" t="str">
        <f>IFERROR(__xludf.DUMMYFUNCTION("""COMPUTED_VALUE"""),"SpFLMP271329")</f>
        <v>SpFLMP271329</v>
      </c>
      <c r="E1102" s="103"/>
      <c r="F1102" s="103"/>
      <c r="G1102" s="103" t="str">
        <f>IFERROR(__xludf.DUMMYFUNCTION("""COMPUTED_VALUE"""),"Negative")</f>
        <v>Negative</v>
      </c>
      <c r="H1102" s="131" t="str">
        <f>IFERROR(__xludf.DUMMYFUNCTION("""COMPUTED_VALUE"""),"Negative")</f>
        <v>Negative</v>
      </c>
      <c r="I1102" s="468">
        <f>IFERROR(__xludf.DUMMYFUNCTION("""COMPUTED_VALUE"""),44672.0)</f>
        <v>44672</v>
      </c>
      <c r="J1102" s="470">
        <f>IFERROR(__xludf.DUMMYFUNCTION("""COMPUTED_VALUE"""),0.4323611111111111)</f>
        <v>0.4323611111</v>
      </c>
      <c r="K1102" s="16"/>
      <c r="L1102" s="8"/>
      <c r="M1102" s="69"/>
      <c r="N1102" s="69">
        <f>IFERROR(__xludf.DUMMYFUNCTION("""COMPUTED_VALUE"""),1.0)</f>
        <v>1</v>
      </c>
      <c r="O1102" s="69" t="str">
        <f t="shared" si="3"/>
        <v/>
      </c>
      <c r="P1102" s="471">
        <f>IFERROR(__xludf.DUMMYFUNCTION("""COMPUTED_VALUE"""),0.0)</f>
        <v>0</v>
      </c>
      <c r="Q1102" s="274" t="str">
        <f>VLOOKUP($B1102,'Run Reconcile'!B$2:O2488,14,FALSE)</f>
        <v/>
      </c>
      <c r="R1102" s="472" t="str">
        <f t="array" ref="R1102">IF($Q1102, INDEX('Run Reconcile'!A$2:A2488,MATCH(B1102,'Run Reconcile'!B$2:B2488,0),1),IFERROR(0/0,""))</f>
        <v/>
      </c>
      <c r="S1102" s="473" t="str">
        <f t="shared" si="694"/>
        <v/>
      </c>
      <c r="T1102" s="473" t="str">
        <f t="shared" si="698"/>
        <v/>
      </c>
      <c r="U1102" s="275" t="str">
        <f t="array" ref="U1102">IF(ISBLANK($R1102), INDEX('Run Reconcile'!A$2:A2488, MATCH($B1102, 'Run Reconcile'!B$2:B2488, 0)+Z1102, 1), IFERROR(0/0,""))
</f>
        <v>RUN-FLMP_2022-04-21_RFR-116</v>
      </c>
      <c r="V1102" s="474" t="str">
        <f t="shared" si="5"/>
        <v>RUN-FLMP_2022-04-21_RFR-116</v>
      </c>
      <c r="Y1102" s="89" t="str">
        <f t="shared" si="867"/>
        <v/>
      </c>
      <c r="Z1102" s="60" t="str">
        <f t="shared" si="7"/>
        <v/>
      </c>
      <c r="AA1102" s="60" t="str">
        <f t="shared" si="8"/>
        <v/>
      </c>
      <c r="AB1102" s="60" t="str">
        <f t="shared" si="9"/>
        <v/>
      </c>
      <c r="AC1102" s="30" t="str">
        <f t="shared" ref="AC1102:AD1102" si="1458">IF(_xlfn.ISFORMULA(S1102),IFERROR(0/0,""),TRUE)</f>
        <v/>
      </c>
      <c r="AD1102" s="30" t="str">
        <f t="shared" si="1458"/>
        <v/>
      </c>
      <c r="AE1102" s="475" t="str">
        <f>IFERROR(__xludf.DUMMYFUNCTION("""COMPUTED_VALUE"""),"CRLN")</f>
        <v>CRLN</v>
      </c>
      <c r="AF1102" s="476"/>
      <c r="AG1102" s="474" t="s">
        <v>203</v>
      </c>
      <c r="AH1102" s="138" t="str">
        <f t="shared" si="11"/>
        <v/>
      </c>
    </row>
    <row r="1103">
      <c r="A1103" s="103" t="str">
        <f>IFERROR(__xludf.DUMMYFUNCTION("""COMPUTED_VALUE"""),"FLB4786")</f>
        <v>FLB4786</v>
      </c>
      <c r="B1103" s="468">
        <f>IFERROR(__xludf.DUMMYFUNCTION("""COMPUTED_VALUE"""),44672.0)</f>
        <v>44672</v>
      </c>
      <c r="C1103" s="469">
        <f>IFERROR(__xludf.DUMMYFUNCTION("""COMPUTED_VALUE"""),0.36506944444444445)</f>
        <v>0.3650694444</v>
      </c>
      <c r="D1103" s="103" t="str">
        <f>IFERROR(__xludf.DUMMYFUNCTION("""COMPUTED_VALUE"""),"SpFLMP946259")</f>
        <v>SpFLMP946259</v>
      </c>
      <c r="E1103" s="103"/>
      <c r="F1103" s="103"/>
      <c r="G1103" s="103" t="str">
        <f>IFERROR(__xludf.DUMMYFUNCTION("""COMPUTED_VALUE"""),"Negative")</f>
        <v>Negative</v>
      </c>
      <c r="H1103" s="131" t="str">
        <f>IFERROR(__xludf.DUMMYFUNCTION("""COMPUTED_VALUE"""),"Negative")</f>
        <v>Negative</v>
      </c>
      <c r="I1103" s="468">
        <f>IFERROR(__xludf.DUMMYFUNCTION("""COMPUTED_VALUE"""),44672.0)</f>
        <v>44672</v>
      </c>
      <c r="J1103" s="470">
        <f>IFERROR(__xludf.DUMMYFUNCTION("""COMPUTED_VALUE"""),0.4323611111111111)</f>
        <v>0.4323611111</v>
      </c>
      <c r="K1103" s="16"/>
      <c r="L1103" s="8"/>
      <c r="M1103" s="69"/>
      <c r="N1103" s="69">
        <f>IFERROR(__xludf.DUMMYFUNCTION("""COMPUTED_VALUE"""),2.0)</f>
        <v>2</v>
      </c>
      <c r="O1103" s="69" t="str">
        <f t="shared" si="3"/>
        <v/>
      </c>
      <c r="P1103" s="471">
        <f>IFERROR(__xludf.DUMMYFUNCTION("""COMPUTED_VALUE"""),0.0)</f>
        <v>0</v>
      </c>
      <c r="Q1103" s="274" t="str">
        <f>VLOOKUP($B1103,'Run Reconcile'!B$2:O2488,14,FALSE)</f>
        <v/>
      </c>
      <c r="R1103" s="472" t="str">
        <f t="array" ref="R1103">IF($Q1103, INDEX('Run Reconcile'!A$2:A2488,MATCH(B1103,'Run Reconcile'!B$2:B2488,0),1),IFERROR(0/0,""))</f>
        <v/>
      </c>
      <c r="S1103" s="473" t="str">
        <f t="shared" si="694"/>
        <v/>
      </c>
      <c r="T1103" s="473" t="str">
        <f t="shared" si="698"/>
        <v/>
      </c>
      <c r="U1103" s="275" t="str">
        <f t="array" ref="U1103">IF(ISBLANK($R1103), INDEX('Run Reconcile'!A$2:A2488, MATCH($B1103, 'Run Reconcile'!B$2:B2488, 0)+Z1103, 1), IFERROR(0/0,""))
</f>
        <v>RUN-FLMP_2022-04-21_RFR-116</v>
      </c>
      <c r="V1103" s="474" t="str">
        <f t="shared" si="5"/>
        <v>RUN-FLMP_2022-04-21_RFR-116</v>
      </c>
      <c r="Y1103" s="89" t="str">
        <f t="shared" si="867"/>
        <v/>
      </c>
      <c r="Z1103" s="60" t="str">
        <f t="shared" si="7"/>
        <v/>
      </c>
      <c r="AA1103" s="60" t="str">
        <f t="shared" si="8"/>
        <v/>
      </c>
      <c r="AB1103" s="60" t="str">
        <f t="shared" si="9"/>
        <v/>
      </c>
      <c r="AC1103" s="30" t="str">
        <f t="shared" ref="AC1103:AD1103" si="1459">IF(_xlfn.ISFORMULA(S1103),IFERROR(0/0,""),TRUE)</f>
        <v/>
      </c>
      <c r="AD1103" s="30" t="str">
        <f t="shared" si="1459"/>
        <v/>
      </c>
      <c r="AE1103" s="475" t="str">
        <f>IFERROR(__xludf.DUMMYFUNCTION("""COMPUTED_VALUE"""),"CRLN")</f>
        <v>CRLN</v>
      </c>
      <c r="AF1103" s="476"/>
      <c r="AG1103" s="474" t="s">
        <v>203</v>
      </c>
      <c r="AH1103" s="138" t="str">
        <f t="shared" si="11"/>
        <v/>
      </c>
    </row>
    <row r="1104">
      <c r="A1104" s="103" t="str">
        <f>IFERROR(__xludf.DUMMYFUNCTION("""COMPUTED_VALUE"""),"FLB5855")</f>
        <v>FLB5855</v>
      </c>
      <c r="B1104" s="468">
        <f>IFERROR(__xludf.DUMMYFUNCTION("""COMPUTED_VALUE"""),44672.0)</f>
        <v>44672</v>
      </c>
      <c r="C1104" s="469">
        <f>IFERROR(__xludf.DUMMYFUNCTION("""COMPUTED_VALUE"""),0.37002314814814813)</f>
        <v>0.3700231481</v>
      </c>
      <c r="D1104" s="103" t="str">
        <f>IFERROR(__xludf.DUMMYFUNCTION("""COMPUTED_VALUE"""),"SpFLMP572444")</f>
        <v>SpFLMP572444</v>
      </c>
      <c r="E1104" s="103"/>
      <c r="F1104" s="103"/>
      <c r="G1104" s="103" t="str">
        <f>IFERROR(__xludf.DUMMYFUNCTION("""COMPUTED_VALUE"""),"Negative")</f>
        <v>Negative</v>
      </c>
      <c r="H1104" s="131" t="str">
        <f>IFERROR(__xludf.DUMMYFUNCTION("""COMPUTED_VALUE"""),"Negative")</f>
        <v>Negative</v>
      </c>
      <c r="I1104" s="468">
        <f>IFERROR(__xludf.DUMMYFUNCTION("""COMPUTED_VALUE"""),44672.0)</f>
        <v>44672</v>
      </c>
      <c r="J1104" s="470">
        <f>IFERROR(__xludf.DUMMYFUNCTION("""COMPUTED_VALUE"""),0.4323611111111111)</f>
        <v>0.4323611111</v>
      </c>
      <c r="K1104" s="16"/>
      <c r="L1104" s="8"/>
      <c r="M1104" s="69"/>
      <c r="N1104" s="69">
        <f>IFERROR(__xludf.DUMMYFUNCTION("""COMPUTED_VALUE"""),2.0)</f>
        <v>2</v>
      </c>
      <c r="O1104" s="69" t="str">
        <f t="shared" si="3"/>
        <v/>
      </c>
      <c r="P1104" s="471">
        <f>IFERROR(__xludf.DUMMYFUNCTION("""COMPUTED_VALUE"""),0.0)</f>
        <v>0</v>
      </c>
      <c r="Q1104" s="274" t="str">
        <f>VLOOKUP($B1104,'Run Reconcile'!B$2:O2488,14,FALSE)</f>
        <v/>
      </c>
      <c r="R1104" s="472" t="str">
        <f t="array" ref="R1104">IF($Q1104, INDEX('Run Reconcile'!A$2:A2488,MATCH(B1104,'Run Reconcile'!B$2:B2488,0),1),IFERROR(0/0,""))</f>
        <v/>
      </c>
      <c r="S1104" s="473" t="str">
        <f t="shared" si="694"/>
        <v/>
      </c>
      <c r="T1104" s="473" t="str">
        <f t="shared" si="698"/>
        <v/>
      </c>
      <c r="U1104" s="275" t="str">
        <f t="array" ref="U1104">IF(ISBLANK($R1104), INDEX('Run Reconcile'!A$2:A2488, MATCH($B1104, 'Run Reconcile'!B$2:B2488, 0)+Z1104, 1), IFERROR(0/0,""))
</f>
        <v>RUN-FLMP_2022-04-21_RFR-116</v>
      </c>
      <c r="V1104" s="474" t="str">
        <f t="shared" si="5"/>
        <v>RUN-FLMP_2022-04-21_RFR-116</v>
      </c>
      <c r="Y1104" s="89" t="str">
        <f t="shared" si="867"/>
        <v/>
      </c>
      <c r="Z1104" s="60" t="str">
        <f t="shared" si="7"/>
        <v/>
      </c>
      <c r="AA1104" s="60" t="str">
        <f t="shared" si="8"/>
        <v/>
      </c>
      <c r="AB1104" s="60" t="str">
        <f t="shared" si="9"/>
        <v/>
      </c>
      <c r="AC1104" s="30" t="str">
        <f t="shared" ref="AC1104:AD1104" si="1460">IF(_xlfn.ISFORMULA(S1104),IFERROR(0/0,""),TRUE)</f>
        <v/>
      </c>
      <c r="AD1104" s="30" t="str">
        <f t="shared" si="1460"/>
        <v/>
      </c>
      <c r="AE1104" s="475" t="str">
        <f>IFERROR(__xludf.DUMMYFUNCTION("""COMPUTED_VALUE"""),"CRLN")</f>
        <v>CRLN</v>
      </c>
      <c r="AF1104" s="476"/>
      <c r="AG1104" s="474" t="s">
        <v>203</v>
      </c>
      <c r="AH1104" s="138" t="str">
        <f t="shared" si="11"/>
        <v/>
      </c>
    </row>
    <row r="1105">
      <c r="A1105" s="103" t="str">
        <f>IFERROR(__xludf.DUMMYFUNCTION("""COMPUTED_VALUE"""),"FLB7385")</f>
        <v>FLB7385</v>
      </c>
      <c r="B1105" s="468">
        <f>IFERROR(__xludf.DUMMYFUNCTION("""COMPUTED_VALUE"""),44672.0)</f>
        <v>44672</v>
      </c>
      <c r="C1105" s="469">
        <f>IFERROR(__xludf.DUMMYFUNCTION("""COMPUTED_VALUE"""),0.3701388888888889)</f>
        <v>0.3701388889</v>
      </c>
      <c r="D1105" s="103" t="str">
        <f>IFERROR(__xludf.DUMMYFUNCTION("""COMPUTED_VALUE"""),"SpFLMP596479")</f>
        <v>SpFLMP596479</v>
      </c>
      <c r="E1105" s="103"/>
      <c r="F1105" s="103"/>
      <c r="G1105" s="103" t="str">
        <f>IFERROR(__xludf.DUMMYFUNCTION("""COMPUTED_VALUE"""),"Negative")</f>
        <v>Negative</v>
      </c>
      <c r="H1105" s="131" t="str">
        <f>IFERROR(__xludf.DUMMYFUNCTION("""COMPUTED_VALUE"""),"Negative")</f>
        <v>Negative</v>
      </c>
      <c r="I1105" s="468">
        <f>IFERROR(__xludf.DUMMYFUNCTION("""COMPUTED_VALUE"""),44672.0)</f>
        <v>44672</v>
      </c>
      <c r="J1105" s="470">
        <f>IFERROR(__xludf.DUMMYFUNCTION("""COMPUTED_VALUE"""),0.4323611111111111)</f>
        <v>0.4323611111</v>
      </c>
      <c r="K1105" s="16"/>
      <c r="L1105" s="8"/>
      <c r="M1105" s="69"/>
      <c r="N1105" s="69">
        <f>IFERROR(__xludf.DUMMYFUNCTION("""COMPUTED_VALUE"""),3.0)</f>
        <v>3</v>
      </c>
      <c r="O1105" s="69" t="str">
        <f t="shared" si="3"/>
        <v/>
      </c>
      <c r="P1105" s="471">
        <f>IFERROR(__xludf.DUMMYFUNCTION("""COMPUTED_VALUE"""),0.0)</f>
        <v>0</v>
      </c>
      <c r="Q1105" s="274" t="str">
        <f>VLOOKUP($B1105,'Run Reconcile'!B$2:O2488,14,FALSE)</f>
        <v/>
      </c>
      <c r="R1105" s="472" t="str">
        <f t="array" ref="R1105">IF($Q1105, INDEX('Run Reconcile'!A$2:A2488,MATCH(B1105,'Run Reconcile'!B$2:B2488,0),1),IFERROR(0/0,""))</f>
        <v/>
      </c>
      <c r="S1105" s="473" t="str">
        <f t="shared" si="694"/>
        <v/>
      </c>
      <c r="T1105" s="473" t="str">
        <f t="shared" si="698"/>
        <v/>
      </c>
      <c r="U1105" s="275" t="str">
        <f t="array" ref="U1105">IF(ISBLANK($R1105), INDEX('Run Reconcile'!A$2:A2488, MATCH($B1105, 'Run Reconcile'!B$2:B2488, 0)+Z1105, 1), IFERROR(0/0,""))
</f>
        <v>RUN-FLMP_2022-04-21_RFR-116</v>
      </c>
      <c r="V1105" s="474" t="str">
        <f t="shared" si="5"/>
        <v>RUN-FLMP_2022-04-21_RFR-116</v>
      </c>
      <c r="Y1105" s="89" t="str">
        <f t="shared" si="867"/>
        <v/>
      </c>
      <c r="Z1105" s="60" t="str">
        <f t="shared" si="7"/>
        <v/>
      </c>
      <c r="AA1105" s="60" t="str">
        <f t="shared" si="8"/>
        <v/>
      </c>
      <c r="AB1105" s="60" t="str">
        <f t="shared" si="9"/>
        <v/>
      </c>
      <c r="AC1105" s="30" t="str">
        <f t="shared" ref="AC1105:AD1105" si="1461">IF(_xlfn.ISFORMULA(S1105),IFERROR(0/0,""),TRUE)</f>
        <v/>
      </c>
      <c r="AD1105" s="30" t="str">
        <f t="shared" si="1461"/>
        <v/>
      </c>
      <c r="AE1105" s="475" t="str">
        <f>IFERROR(__xludf.DUMMYFUNCTION("""COMPUTED_VALUE"""),"CRLN")</f>
        <v>CRLN</v>
      </c>
      <c r="AF1105" s="476"/>
      <c r="AG1105" s="474" t="s">
        <v>203</v>
      </c>
      <c r="AH1105" s="138" t="str">
        <f t="shared" si="11"/>
        <v/>
      </c>
    </row>
    <row r="1106">
      <c r="A1106" s="103" t="str">
        <f>IFERROR(__xludf.DUMMYFUNCTION("""COMPUTED_VALUE"""),"FLB4932")</f>
        <v>FLB4932</v>
      </c>
      <c r="B1106" s="468">
        <f>IFERROR(__xludf.DUMMYFUNCTION("""COMPUTED_VALUE"""),44672.0)</f>
        <v>44672</v>
      </c>
      <c r="C1106" s="469">
        <f>IFERROR(__xludf.DUMMYFUNCTION("""COMPUTED_VALUE"""),0.37515046296296295)</f>
        <v>0.375150463</v>
      </c>
      <c r="D1106" s="103" t="str">
        <f>IFERROR(__xludf.DUMMYFUNCTION("""COMPUTED_VALUE"""),"SpFLMP496039")</f>
        <v>SpFLMP496039</v>
      </c>
      <c r="E1106" s="103"/>
      <c r="F1106" s="103"/>
      <c r="G1106" s="103" t="str">
        <f>IFERROR(__xludf.DUMMYFUNCTION("""COMPUTED_VALUE"""),"Negative")</f>
        <v>Negative</v>
      </c>
      <c r="H1106" s="131" t="str">
        <f>IFERROR(__xludf.DUMMYFUNCTION("""COMPUTED_VALUE"""),"Negative")</f>
        <v>Negative</v>
      </c>
      <c r="I1106" s="468">
        <f>IFERROR(__xludf.DUMMYFUNCTION("""COMPUTED_VALUE"""),44672.0)</f>
        <v>44672</v>
      </c>
      <c r="J1106" s="470">
        <f>IFERROR(__xludf.DUMMYFUNCTION("""COMPUTED_VALUE"""),0.4323726851851852)</f>
        <v>0.4323726852</v>
      </c>
      <c r="K1106" s="16"/>
      <c r="L1106" s="8"/>
      <c r="M1106" s="69"/>
      <c r="N1106" s="69">
        <f>IFERROR(__xludf.DUMMYFUNCTION("""COMPUTED_VALUE"""),1.0)</f>
        <v>1</v>
      </c>
      <c r="O1106" s="69" t="str">
        <f t="shared" si="3"/>
        <v/>
      </c>
      <c r="P1106" s="471">
        <f>IFERROR(__xludf.DUMMYFUNCTION("""COMPUTED_VALUE"""),0.0)</f>
        <v>0</v>
      </c>
      <c r="Q1106" s="274" t="str">
        <f>VLOOKUP($B1106,'Run Reconcile'!B$2:O2488,14,FALSE)</f>
        <v/>
      </c>
      <c r="R1106" s="472" t="str">
        <f t="array" ref="R1106">IF($Q1106, INDEX('Run Reconcile'!A$2:A2488,MATCH(B1106,'Run Reconcile'!B$2:B2488,0),1),IFERROR(0/0,""))</f>
        <v/>
      </c>
      <c r="S1106" s="473" t="str">
        <f t="shared" si="694"/>
        <v/>
      </c>
      <c r="T1106" s="473" t="str">
        <f t="shared" si="698"/>
        <v/>
      </c>
      <c r="U1106" s="275" t="str">
        <f t="array" ref="U1106">IF(ISBLANK($R1106), INDEX('Run Reconcile'!A$2:A2488, MATCH($B1106, 'Run Reconcile'!B$2:B2488, 0)+Z1106, 1), IFERROR(0/0,""))
</f>
        <v>RUN-FLMP_2022-04-21_RFR-116</v>
      </c>
      <c r="V1106" s="474" t="str">
        <f t="shared" si="5"/>
        <v>RUN-FLMP_2022-04-21_RFR-116</v>
      </c>
      <c r="Y1106" s="89" t="str">
        <f t="shared" si="867"/>
        <v/>
      </c>
      <c r="Z1106" s="60" t="str">
        <f t="shared" si="7"/>
        <v/>
      </c>
      <c r="AA1106" s="60" t="str">
        <f t="shared" si="8"/>
        <v/>
      </c>
      <c r="AB1106" s="60" t="str">
        <f t="shared" si="9"/>
        <v/>
      </c>
      <c r="AC1106" s="30" t="str">
        <f t="shared" ref="AC1106:AD1106" si="1462">IF(_xlfn.ISFORMULA(S1106),IFERROR(0/0,""),TRUE)</f>
        <v/>
      </c>
      <c r="AD1106" s="30" t="str">
        <f t="shared" si="1462"/>
        <v/>
      </c>
      <c r="AE1106" s="475" t="str">
        <f>IFERROR(__xludf.DUMMYFUNCTION("""COMPUTED_VALUE"""),"FLSP")</f>
        <v>FLSP</v>
      </c>
      <c r="AF1106" s="476"/>
      <c r="AG1106" s="474" t="s">
        <v>203</v>
      </c>
      <c r="AH1106" s="138" t="str">
        <f t="shared" si="11"/>
        <v/>
      </c>
    </row>
    <row r="1107">
      <c r="A1107" s="103" t="str">
        <f>IFERROR(__xludf.DUMMYFUNCTION("""COMPUTED_VALUE"""),"FLE280")</f>
        <v>FLE280</v>
      </c>
      <c r="B1107" s="468">
        <f>IFERROR(__xludf.DUMMYFUNCTION("""COMPUTED_VALUE"""),44672.0)</f>
        <v>44672</v>
      </c>
      <c r="C1107" s="469">
        <f>IFERROR(__xludf.DUMMYFUNCTION("""COMPUTED_VALUE"""),0.4248263888888889)</f>
        <v>0.4248263889</v>
      </c>
      <c r="D1107" s="103" t="str">
        <f>IFERROR(__xludf.DUMMYFUNCTION("""COMPUTED_VALUE"""),"SpFLMP684798")</f>
        <v>SpFLMP684798</v>
      </c>
      <c r="E1107" s="103"/>
      <c r="F1107" s="103"/>
      <c r="G1107" s="103" t="str">
        <f>IFERROR(__xludf.DUMMYFUNCTION("""COMPUTED_VALUE"""),"Negative")</f>
        <v>Negative</v>
      </c>
      <c r="H1107" s="131" t="str">
        <f>IFERROR(__xludf.DUMMYFUNCTION("""COMPUTED_VALUE"""),"Negative")</f>
        <v>Negative</v>
      </c>
      <c r="I1107" s="468">
        <f>IFERROR(__xludf.DUMMYFUNCTION("""COMPUTED_VALUE"""),44672.0)</f>
        <v>44672</v>
      </c>
      <c r="J1107" s="470">
        <f>IFERROR(__xludf.DUMMYFUNCTION("""COMPUTED_VALUE"""),0.4323611111111111)</f>
        <v>0.4323611111</v>
      </c>
      <c r="K1107" s="16"/>
      <c r="L1107" s="8"/>
      <c r="M1107" s="69"/>
      <c r="N1107" s="69">
        <f>IFERROR(__xludf.DUMMYFUNCTION("""COMPUTED_VALUE"""),3.0)</f>
        <v>3</v>
      </c>
      <c r="O1107" s="69" t="str">
        <f t="shared" si="3"/>
        <v/>
      </c>
      <c r="P1107" s="471">
        <f>IFERROR(__xludf.DUMMYFUNCTION("""COMPUTED_VALUE"""),0.0)</f>
        <v>0</v>
      </c>
      <c r="Q1107" s="274" t="str">
        <f>VLOOKUP($B1107,'Run Reconcile'!B$2:O2488,14,FALSE)</f>
        <v/>
      </c>
      <c r="R1107" s="472" t="str">
        <f t="array" ref="R1107">IF($Q1107, INDEX('Run Reconcile'!A$2:A2488,MATCH(B1107,'Run Reconcile'!B$2:B2488,0),1),IFERROR(0/0,""))</f>
        <v/>
      </c>
      <c r="S1107" s="473" t="str">
        <f t="shared" si="694"/>
        <v/>
      </c>
      <c r="T1107" s="473" t="str">
        <f t="shared" si="698"/>
        <v/>
      </c>
      <c r="U1107" s="275" t="str">
        <f t="array" ref="U1107">IF(ISBLANK($R1107), INDEX('Run Reconcile'!A$2:A2488, MATCH($B1107, 'Run Reconcile'!B$2:B2488, 0)+Z1107, 1), IFERROR(0/0,""))
</f>
        <v>RUN-FLMP_2022-04-21_RFR-116</v>
      </c>
      <c r="V1107" s="474" t="str">
        <f t="shared" si="5"/>
        <v>RUN-FLMP_2022-04-21_RFR-116</v>
      </c>
      <c r="Y1107" s="89" t="str">
        <f t="shared" si="867"/>
        <v/>
      </c>
      <c r="Z1107" s="60" t="str">
        <f t="shared" si="7"/>
        <v/>
      </c>
      <c r="AA1107" s="60" t="str">
        <f t="shared" si="8"/>
        <v/>
      </c>
      <c r="AB1107" s="60" t="str">
        <f t="shared" si="9"/>
        <v/>
      </c>
      <c r="AC1107" s="30" t="str">
        <f t="shared" ref="AC1107:AD1107" si="1463">IF(_xlfn.ISFORMULA(S1107),IFERROR(0/0,""),TRUE)</f>
        <v/>
      </c>
      <c r="AD1107" s="30" t="str">
        <f t="shared" si="1463"/>
        <v/>
      </c>
      <c r="AE1107" s="475" t="str">
        <f>IFERROR(__xludf.DUMMYFUNCTION("""COMPUTED_VALUE"""),"CRLN")</f>
        <v>CRLN</v>
      </c>
      <c r="AF1107" s="476"/>
      <c r="AG1107" s="474" t="s">
        <v>203</v>
      </c>
      <c r="AH1107" s="138" t="str">
        <f t="shared" si="11"/>
        <v/>
      </c>
    </row>
    <row r="1108">
      <c r="A1108" s="103" t="str">
        <f>IFERROR(__xludf.DUMMYFUNCTION("""COMPUTED_VALUE"""),"AJ7863")</f>
        <v>AJ7863</v>
      </c>
      <c r="B1108" s="468">
        <f>IFERROR(__xludf.DUMMYFUNCTION("""COMPUTED_VALUE"""),44672.0)</f>
        <v>44672</v>
      </c>
      <c r="C1108" s="469">
        <f>IFERROR(__xludf.DUMMYFUNCTION("""COMPUTED_VALUE"""),0.4277662037037037)</f>
        <v>0.4277662037</v>
      </c>
      <c r="D1108" s="103" t="str">
        <f>IFERROR(__xludf.DUMMYFUNCTION("""COMPUTED_VALUE"""),"SpFLMP684798")</f>
        <v>SpFLMP684798</v>
      </c>
      <c r="E1108" s="103"/>
      <c r="F1108" s="103"/>
      <c r="G1108" s="103" t="str">
        <f>IFERROR(__xludf.DUMMYFUNCTION("""COMPUTED_VALUE"""),"Negative")</f>
        <v>Negative</v>
      </c>
      <c r="H1108" s="131" t="str">
        <f>IFERROR(__xludf.DUMMYFUNCTION("""COMPUTED_VALUE"""),"Negative")</f>
        <v>Negative</v>
      </c>
      <c r="I1108" s="468">
        <f>IFERROR(__xludf.DUMMYFUNCTION("""COMPUTED_VALUE"""),44672.0)</f>
        <v>44672</v>
      </c>
      <c r="J1108" s="470">
        <f>IFERROR(__xludf.DUMMYFUNCTION("""COMPUTED_VALUE"""),0.4323726851851852)</f>
        <v>0.4323726852</v>
      </c>
      <c r="K1108" s="16"/>
      <c r="L1108" s="8"/>
      <c r="M1108" s="69"/>
      <c r="N1108" s="69">
        <f>IFERROR(__xludf.DUMMYFUNCTION("""COMPUTED_VALUE"""),4.0)</f>
        <v>4</v>
      </c>
      <c r="O1108" s="69" t="str">
        <f t="shared" si="3"/>
        <v/>
      </c>
      <c r="P1108" s="471">
        <f>IFERROR(__xludf.DUMMYFUNCTION("""COMPUTED_VALUE"""),0.0)</f>
        <v>0</v>
      </c>
      <c r="Q1108" s="274" t="str">
        <f>VLOOKUP($B1108,'Run Reconcile'!B$2:O2488,14,FALSE)</f>
        <v/>
      </c>
      <c r="R1108" s="472" t="str">
        <f t="array" ref="R1108">IF($Q1108, INDEX('Run Reconcile'!A$2:A2488,MATCH(B1108,'Run Reconcile'!B$2:B2488,0),1),IFERROR(0/0,""))</f>
        <v/>
      </c>
      <c r="S1108" s="473" t="str">
        <f t="shared" si="694"/>
        <v/>
      </c>
      <c r="T1108" s="473" t="str">
        <f t="shared" si="698"/>
        <v/>
      </c>
      <c r="U1108" s="275" t="str">
        <f t="array" ref="U1108">IF(ISBLANK($R1108), INDEX('Run Reconcile'!A$2:A2488, MATCH($B1108, 'Run Reconcile'!B$2:B2488, 0)+Z1108, 1), IFERROR(0/0,""))
</f>
        <v>RUN-FLMP_2022-04-21_RFR-116</v>
      </c>
      <c r="V1108" s="474" t="str">
        <f t="shared" si="5"/>
        <v>RUN-FLMP_2022-04-21_RFR-116</v>
      </c>
      <c r="Y1108" s="89" t="str">
        <f t="shared" si="867"/>
        <v/>
      </c>
      <c r="Z1108" s="60" t="str">
        <f t="shared" si="7"/>
        <v/>
      </c>
      <c r="AA1108" s="60" t="str">
        <f t="shared" si="8"/>
        <v/>
      </c>
      <c r="AB1108" s="60" t="str">
        <f t="shared" si="9"/>
        <v/>
      </c>
      <c r="AC1108" s="30" t="str">
        <f t="shared" ref="AC1108:AD1108" si="1464">IF(_xlfn.ISFORMULA(S1108),IFERROR(0/0,""),TRUE)</f>
        <v/>
      </c>
      <c r="AD1108" s="30" t="str">
        <f t="shared" si="1464"/>
        <v/>
      </c>
      <c r="AE1108" s="475" t="str">
        <f>IFERROR(__xludf.DUMMYFUNCTION("""COMPUTED_VALUE"""),"CRLN")</f>
        <v>CRLN</v>
      </c>
      <c r="AF1108" s="476"/>
      <c r="AG1108" s="474" t="s">
        <v>203</v>
      </c>
      <c r="AH1108" s="138" t="str">
        <f t="shared" si="11"/>
        <v/>
      </c>
    </row>
    <row r="1109">
      <c r="A1109" s="103" t="str">
        <f>IFERROR(__xludf.DUMMYFUNCTION("""COMPUTED_VALUE"""),"MA112")</f>
        <v>MA112</v>
      </c>
      <c r="B1109" s="468">
        <f>IFERROR(__xludf.DUMMYFUNCTION("""COMPUTED_VALUE"""),44672.0)</f>
        <v>44672</v>
      </c>
      <c r="C1109" s="469">
        <f>IFERROR(__xludf.DUMMYFUNCTION("""COMPUTED_VALUE"""),0.4296875)</f>
        <v>0.4296875</v>
      </c>
      <c r="D1109" s="103" t="str">
        <f>IFERROR(__xludf.DUMMYFUNCTION("""COMPUTED_VALUE"""),"SpFLMP120998")</f>
        <v>SpFLMP120998</v>
      </c>
      <c r="E1109" s="103"/>
      <c r="F1109" s="103"/>
      <c r="G1109" s="103" t="str">
        <f>IFERROR(__xludf.DUMMYFUNCTION("""COMPUTED_VALUE"""),"Null")</f>
        <v>Null</v>
      </c>
      <c r="H1109" s="131" t="str">
        <f>IFERROR(__xludf.DUMMYFUNCTION("""COMPUTED_VALUE"""),"Negative")</f>
        <v>Negative</v>
      </c>
      <c r="I1109" s="468">
        <f>IFERROR(__xludf.DUMMYFUNCTION("""COMPUTED_VALUE"""),44672.0)</f>
        <v>44672</v>
      </c>
      <c r="J1109" s="470">
        <f>IFERROR(__xludf.DUMMYFUNCTION("""COMPUTED_VALUE"""),0.45633101851851854)</f>
        <v>0.4563310185</v>
      </c>
      <c r="K1109" s="16">
        <f>IFERROR(__xludf.DUMMYFUNCTION("""COMPUTED_VALUE"""),2.0)</f>
        <v>2</v>
      </c>
      <c r="L1109" s="8" t="str">
        <f>IFERROR(__xludf.DUMMYFUNCTION("""COMPUTED_VALUE"""),"FL Staff solo run")</f>
        <v>FL Staff solo run</v>
      </c>
      <c r="M1109" s="69"/>
      <c r="N1109" s="69">
        <f>IFERROR(__xludf.DUMMYFUNCTION("""COMPUTED_VALUE"""),1.0)</f>
        <v>1</v>
      </c>
      <c r="O1109" s="69" t="str">
        <f t="shared" si="3"/>
        <v/>
      </c>
      <c r="P1109" s="471">
        <f>IFERROR(__xludf.DUMMYFUNCTION("""COMPUTED_VALUE"""),0.0)</f>
        <v>0</v>
      </c>
      <c r="Q1109" s="274" t="str">
        <f>VLOOKUP($B1109,'Run Reconcile'!B$2:O2488,14,FALSE)</f>
        <v/>
      </c>
      <c r="R1109" s="472" t="str">
        <f t="array" ref="R1109">IF($Q1109, INDEX('Run Reconcile'!A$2:A2488,MATCH(B1109,'Run Reconcile'!B$2:B2488,0),1),IFERROR(0/0,""))</f>
        <v/>
      </c>
      <c r="S1109" s="473" t="str">
        <f t="shared" si="694"/>
        <v/>
      </c>
      <c r="T1109" s="473" t="b">
        <f t="shared" si="698"/>
        <v>1</v>
      </c>
      <c r="U1109" s="137" t="str">
        <f t="array" ref="U1109">IF(ISBLANK($R1109), INDEX('Run Reconcile'!A$2:A2488, MATCH($B1109, 'Run Reconcile'!B$2:B2488, 0)+Z1109, 1), IFERROR(0/0,""))
</f>
        <v>RUN-FLMP_2022-04-21_RFR-117</v>
      </c>
      <c r="V1109" s="529" t="str">
        <f t="shared" si="5"/>
        <v>RUN-FLMP_2022-04-21_RFR-117</v>
      </c>
      <c r="W1109" s="110"/>
      <c r="X1109" s="459" t="s">
        <v>1476</v>
      </c>
      <c r="Y1109" s="89">
        <f t="shared" si="867"/>
        <v>1</v>
      </c>
      <c r="Z1109" s="60">
        <f t="shared" si="7"/>
        <v>1</v>
      </c>
      <c r="AA1109" s="60" t="str">
        <f t="shared" si="8"/>
        <v/>
      </c>
      <c r="AB1109" s="60">
        <f t="shared" si="9"/>
        <v>1</v>
      </c>
      <c r="AC1109" s="30" t="str">
        <f t="shared" ref="AC1109:AD1109" si="1465">IF(_xlfn.ISFORMULA(S1109),IFERROR(0/0,""),TRUE)</f>
        <v/>
      </c>
      <c r="AD1109" s="30" t="str">
        <f t="shared" si="1465"/>
        <v/>
      </c>
      <c r="AE1109" s="475" t="str">
        <f>IFERROR(__xludf.DUMMYFUNCTION("""COMPUTED_VALUE"""),"FLSP")</f>
        <v>FLSP</v>
      </c>
      <c r="AF1109" s="476"/>
      <c r="AG1109" s="529" t="s">
        <v>204</v>
      </c>
      <c r="AH1109" s="138" t="str">
        <f t="shared" si="11"/>
        <v/>
      </c>
    </row>
    <row r="1110">
      <c r="A1110" s="531" t="str">
        <f>IFERROR(__xludf.DUMMYFUNCTION("""COMPUTED_VALUE"""),"FLE231")</f>
        <v>FLE231</v>
      </c>
      <c r="B1110" s="478">
        <f>IFERROR(__xludf.DUMMYFUNCTION("""COMPUTED_VALUE"""),44675.0)</f>
        <v>44675</v>
      </c>
      <c r="C1110" s="479">
        <f>IFERROR(__xludf.DUMMYFUNCTION("""COMPUTED_VALUE"""),0.5344907407407408)</f>
        <v>0.5344907407</v>
      </c>
      <c r="D1110" s="477" t="str">
        <f>IFERROR(__xludf.DUMMYFUNCTION("""COMPUTED_VALUE"""),"SpFLMP596479")</f>
        <v>SpFLMP596479</v>
      </c>
      <c r="E1110" s="477"/>
      <c r="F1110" s="477"/>
      <c r="G1110" s="477" t="str">
        <f>IFERROR(__xludf.DUMMYFUNCTION("""COMPUTED_VALUE"""),"Negative")</f>
        <v>Negative</v>
      </c>
      <c r="H1110" s="480" t="str">
        <f>IFERROR(__xludf.DUMMYFUNCTION("""COMPUTED_VALUE"""),"Negative")</f>
        <v>Negative</v>
      </c>
      <c r="I1110" s="478">
        <f>IFERROR(__xludf.DUMMYFUNCTION("""COMPUTED_VALUE"""),44676.0)</f>
        <v>44676</v>
      </c>
      <c r="J1110" s="481">
        <f>IFERROR(__xludf.DUMMYFUNCTION("""COMPUTED_VALUE"""),0.43725694444444446)</f>
        <v>0.4372569444</v>
      </c>
      <c r="K1110" s="156"/>
      <c r="L1110" s="19"/>
      <c r="M1110" s="482"/>
      <c r="N1110" s="482">
        <f>IFERROR(__xludf.DUMMYFUNCTION("""COMPUTED_VALUE"""),3.0)</f>
        <v>3</v>
      </c>
      <c r="O1110" s="482" t="b">
        <f t="shared" si="3"/>
        <v>1</v>
      </c>
      <c r="P1110" s="483">
        <f>IFERROR(__xludf.DUMMYFUNCTION("""COMPUTED_VALUE"""),1.0)</f>
        <v>1</v>
      </c>
      <c r="Q1110" s="352" t="str">
        <f>VLOOKUP($B1110,'Run Reconcile'!B$2:O2488,14,FALSE)</f>
        <v/>
      </c>
      <c r="R1110" s="484" t="str">
        <f t="array" ref="R1110">IF($Q1110, INDEX('Run Reconcile'!A$2:A2488,MATCH(B1110,'Run Reconcile'!B$2:B2488,0),1),IFERROR(0/0,""))</f>
        <v/>
      </c>
      <c r="S1110" s="485" t="b">
        <f t="shared" si="694"/>
        <v>1</v>
      </c>
      <c r="T1110" s="485" t="str">
        <f t="shared" si="698"/>
        <v/>
      </c>
      <c r="U1110" s="353" t="str">
        <f t="array" ref="U1110">IF(ISBLANK($R1110), INDEX('Run Reconcile'!A$2:A2488, MATCH($B1110, 'Run Reconcile'!B$2:B2488, 0)+Z1110, 1), IFERROR(0/0,""))
</f>
        <v>RUN-FLMP_2022-04-25_RFR-118</v>
      </c>
      <c r="V1110" s="486" t="str">
        <f t="shared" si="5"/>
        <v>RUN-FLMP_2022-04-25_RFR-118</v>
      </c>
      <c r="W1110" s="8" t="s">
        <v>1477</v>
      </c>
      <c r="X1110" s="19"/>
      <c r="Y1110" s="89">
        <f t="shared" si="867"/>
        <v>1</v>
      </c>
      <c r="Z1110" s="60">
        <f t="shared" si="7"/>
        <v>1</v>
      </c>
      <c r="AA1110" s="60">
        <f t="shared" si="8"/>
        <v>1</v>
      </c>
      <c r="AB1110" s="60" t="str">
        <f t="shared" si="9"/>
        <v/>
      </c>
      <c r="AC1110" s="158" t="str">
        <f t="shared" ref="AC1110:AD1110" si="1466">IF(_xlfn.ISFORMULA(S1110),IFERROR(0/0,""),TRUE)</f>
        <v/>
      </c>
      <c r="AD1110" s="158" t="str">
        <f t="shared" si="1466"/>
        <v/>
      </c>
      <c r="AE1110" s="488" t="str">
        <f>IFERROR(__xludf.DUMMYFUNCTION("""COMPUTED_VALUE"""),"CRLN")</f>
        <v>CRLN</v>
      </c>
      <c r="AF1110" s="489"/>
      <c r="AG1110" s="486" t="s">
        <v>205</v>
      </c>
      <c r="AH1110" s="138" t="str">
        <f t="shared" si="11"/>
        <v/>
      </c>
      <c r="AI1110" s="19"/>
      <c r="AJ1110" s="19"/>
      <c r="AK1110" s="19"/>
      <c r="AL1110" s="19"/>
      <c r="AM1110" s="19"/>
    </row>
    <row r="1111">
      <c r="A1111" s="103" t="str">
        <f>IFERROR(__xludf.DUMMYFUNCTION("""COMPUTED_VALUE"""),"FLB5434")</f>
        <v>FLB5434</v>
      </c>
      <c r="B1111" s="468">
        <f>IFERROR(__xludf.DUMMYFUNCTION("""COMPUTED_VALUE"""),44675.0)</f>
        <v>44675</v>
      </c>
      <c r="C1111" s="469">
        <f>IFERROR(__xludf.DUMMYFUNCTION("""COMPUTED_VALUE"""),0.683587962962963)</f>
        <v>0.683587963</v>
      </c>
      <c r="D1111" s="103" t="str">
        <f>IFERROR(__xludf.DUMMYFUNCTION("""COMPUTED_VALUE"""),"SpFLMP271329")</f>
        <v>SpFLMP271329</v>
      </c>
      <c r="E1111" s="103"/>
      <c r="F1111" s="103"/>
      <c r="G1111" s="103" t="str">
        <f>IFERROR(__xludf.DUMMYFUNCTION("""COMPUTED_VALUE"""),"Negative")</f>
        <v>Negative</v>
      </c>
      <c r="H1111" s="131" t="str">
        <f>IFERROR(__xludf.DUMMYFUNCTION("""COMPUTED_VALUE"""),"Negative")</f>
        <v>Negative</v>
      </c>
      <c r="I1111" s="468">
        <f>IFERROR(__xludf.DUMMYFUNCTION("""COMPUTED_VALUE"""),44676.0)</f>
        <v>44676</v>
      </c>
      <c r="J1111" s="470">
        <f>IFERROR(__xludf.DUMMYFUNCTION("""COMPUTED_VALUE"""),0.43725694444444446)</f>
        <v>0.4372569444</v>
      </c>
      <c r="K1111" s="16"/>
      <c r="L1111" s="8"/>
      <c r="M1111" s="69"/>
      <c r="N1111" s="69">
        <f>IFERROR(__xludf.DUMMYFUNCTION("""COMPUTED_VALUE"""),1.0)</f>
        <v>1</v>
      </c>
      <c r="O1111" s="69" t="str">
        <f t="shared" si="3"/>
        <v/>
      </c>
      <c r="P1111" s="471">
        <f>IFERROR(__xludf.DUMMYFUNCTION("""COMPUTED_VALUE"""),1.0)</f>
        <v>1</v>
      </c>
      <c r="Q1111" s="274" t="str">
        <f>VLOOKUP($B1111,'Run Reconcile'!B$2:O2488,14,FALSE)</f>
        <v/>
      </c>
      <c r="R1111" s="472" t="str">
        <f t="array" ref="R1111">IF($Q1111, INDEX('Run Reconcile'!A$2:A2488,MATCH(B1111,'Run Reconcile'!B$2:B2488,0),1),IFERROR(0/0,""))</f>
        <v/>
      </c>
      <c r="S1111" s="473" t="b">
        <f t="shared" si="694"/>
        <v>1</v>
      </c>
      <c r="T1111" s="473" t="str">
        <f t="shared" si="698"/>
        <v/>
      </c>
      <c r="U1111" s="275" t="str">
        <f t="array" ref="U1111">IF(ISBLANK($R1111), INDEX('Run Reconcile'!A$2:A2488, MATCH($B1111, 'Run Reconcile'!B$2:B2488, 0)+Z1111, 1), IFERROR(0/0,""))
</f>
        <v>RUN-FLMP_2022-04-25_RFR-118</v>
      </c>
      <c r="V1111" s="474" t="str">
        <f t="shared" si="5"/>
        <v>RUN-FLMP_2022-04-25_RFR-118</v>
      </c>
      <c r="W1111" s="8" t="s">
        <v>1478</v>
      </c>
      <c r="Y1111" s="89">
        <f t="shared" si="867"/>
        <v>1</v>
      </c>
      <c r="Z1111" s="60">
        <f t="shared" si="7"/>
        <v>1</v>
      </c>
      <c r="AA1111" s="60">
        <f t="shared" si="8"/>
        <v>1</v>
      </c>
      <c r="AB1111" s="60" t="str">
        <f t="shared" si="9"/>
        <v/>
      </c>
      <c r="AC1111" s="30" t="str">
        <f t="shared" ref="AC1111:AD1111" si="1467">IF(_xlfn.ISFORMULA(S1111),IFERROR(0/0,""),TRUE)</f>
        <v/>
      </c>
      <c r="AD1111" s="30" t="str">
        <f t="shared" si="1467"/>
        <v/>
      </c>
      <c r="AE1111" s="475" t="str">
        <f>IFERROR(__xludf.DUMMYFUNCTION("""COMPUTED_VALUE"""),"CRLN")</f>
        <v>CRLN</v>
      </c>
      <c r="AF1111" s="476"/>
      <c r="AG1111" s="474" t="s">
        <v>205</v>
      </c>
      <c r="AH1111" s="138" t="str">
        <f t="shared" si="11"/>
        <v/>
      </c>
    </row>
    <row r="1112">
      <c r="A1112" s="103" t="str">
        <f>IFERROR(__xludf.DUMMYFUNCTION("""COMPUTED_VALUE"""),"FLB6794")</f>
        <v>FLB6794</v>
      </c>
      <c r="B1112" s="468">
        <f>IFERROR(__xludf.DUMMYFUNCTION("""COMPUTED_VALUE"""),44675.0)</f>
        <v>44675</v>
      </c>
      <c r="C1112" s="469">
        <f>IFERROR(__xludf.DUMMYFUNCTION("""COMPUTED_VALUE"""),0.8032175925925926)</f>
        <v>0.8032175926</v>
      </c>
      <c r="D1112" s="103" t="str">
        <f>IFERROR(__xludf.DUMMYFUNCTION("""COMPUTED_VALUE"""),"SpFLMP544731")</f>
        <v>SpFLMP544731</v>
      </c>
      <c r="E1112" s="103"/>
      <c r="F1112" s="103"/>
      <c r="G1112" s="103" t="str">
        <f>IFERROR(__xludf.DUMMYFUNCTION("""COMPUTED_VALUE"""),"Negative")</f>
        <v>Negative</v>
      </c>
      <c r="H1112" s="131" t="str">
        <f>IFERROR(__xludf.DUMMYFUNCTION("""COMPUTED_VALUE"""),"Negative")</f>
        <v>Negative</v>
      </c>
      <c r="I1112" s="468">
        <f>IFERROR(__xludf.DUMMYFUNCTION("""COMPUTED_VALUE"""),44676.0)</f>
        <v>44676</v>
      </c>
      <c r="J1112" s="470">
        <f>IFERROR(__xludf.DUMMYFUNCTION("""COMPUTED_VALUE"""),0.43725694444444446)</f>
        <v>0.4372569444</v>
      </c>
      <c r="K1112" s="16"/>
      <c r="L1112" s="8"/>
      <c r="M1112" s="69"/>
      <c r="N1112" s="69">
        <f>IFERROR(__xludf.DUMMYFUNCTION("""COMPUTED_VALUE"""),3.0)</f>
        <v>3</v>
      </c>
      <c r="O1112" s="69" t="str">
        <f t="shared" si="3"/>
        <v/>
      </c>
      <c r="P1112" s="471">
        <f>IFERROR(__xludf.DUMMYFUNCTION("""COMPUTED_VALUE"""),1.0)</f>
        <v>1</v>
      </c>
      <c r="Q1112" s="274" t="str">
        <f>VLOOKUP($B1112,'Run Reconcile'!B$2:O2488,14,FALSE)</f>
        <v/>
      </c>
      <c r="R1112" s="472" t="str">
        <f t="array" ref="R1112">IF($Q1112, INDEX('Run Reconcile'!A$2:A2488,MATCH(B1112,'Run Reconcile'!B$2:B2488,0),1),IFERROR(0/0,""))</f>
        <v/>
      </c>
      <c r="S1112" s="473" t="b">
        <f t="shared" si="694"/>
        <v>1</v>
      </c>
      <c r="T1112" s="473" t="str">
        <f t="shared" si="698"/>
        <v/>
      </c>
      <c r="U1112" s="275" t="str">
        <f t="array" ref="U1112">IF(ISBLANK($R1112), INDEX('Run Reconcile'!A$2:A2488, MATCH($B1112, 'Run Reconcile'!B$2:B2488, 0)+Z1112, 1), IFERROR(0/0,""))
</f>
        <v>RUN-FLMP_2022-04-25_RFR-118</v>
      </c>
      <c r="V1112" s="474" t="str">
        <f t="shared" si="5"/>
        <v>RUN-FLMP_2022-04-25_RFR-118</v>
      </c>
      <c r="W1112" s="8" t="s">
        <v>1479</v>
      </c>
      <c r="Y1112" s="89">
        <f t="shared" si="867"/>
        <v>1</v>
      </c>
      <c r="Z1112" s="60">
        <f t="shared" si="7"/>
        <v>1</v>
      </c>
      <c r="AA1112" s="60">
        <f t="shared" si="8"/>
        <v>1</v>
      </c>
      <c r="AB1112" s="60" t="str">
        <f t="shared" si="9"/>
        <v/>
      </c>
      <c r="AC1112" s="30" t="str">
        <f t="shared" ref="AC1112:AD1112" si="1468">IF(_xlfn.ISFORMULA(S1112),IFERROR(0/0,""),TRUE)</f>
        <v/>
      </c>
      <c r="AD1112" s="30" t="str">
        <f t="shared" si="1468"/>
        <v/>
      </c>
      <c r="AE1112" s="475" t="str">
        <f>IFERROR(__xludf.DUMMYFUNCTION("""COMPUTED_VALUE"""),"CRLN")</f>
        <v>CRLN</v>
      </c>
      <c r="AF1112" s="476"/>
      <c r="AG1112" s="474" t="s">
        <v>205</v>
      </c>
      <c r="AH1112" s="138" t="str">
        <f t="shared" si="11"/>
        <v/>
      </c>
    </row>
    <row r="1113">
      <c r="A1113" s="103" t="str">
        <f>IFERROR(__xludf.DUMMYFUNCTION("""COMPUTED_VALUE"""),"FLB5854")</f>
        <v>FLB5854</v>
      </c>
      <c r="B1113" s="468">
        <f>IFERROR(__xludf.DUMMYFUNCTION("""COMPUTED_VALUE"""),44676.0)</f>
        <v>44676</v>
      </c>
      <c r="C1113" s="469">
        <f>IFERROR(__xludf.DUMMYFUNCTION("""COMPUTED_VALUE"""),0.3098958333333333)</f>
        <v>0.3098958333</v>
      </c>
      <c r="D1113" s="103" t="str">
        <f>IFERROR(__xludf.DUMMYFUNCTION("""COMPUTED_VALUE"""),"SpFLMP683554")</f>
        <v>SpFLMP683554</v>
      </c>
      <c r="E1113" s="103"/>
      <c r="F1113" s="103"/>
      <c r="G1113" s="103" t="str">
        <f>IFERROR(__xludf.DUMMYFUNCTION("""COMPUTED_VALUE"""),"Negative")</f>
        <v>Negative</v>
      </c>
      <c r="H1113" s="131" t="str">
        <f>IFERROR(__xludf.DUMMYFUNCTION("""COMPUTED_VALUE"""),"Negative")</f>
        <v>Negative</v>
      </c>
      <c r="I1113" s="468">
        <f>IFERROR(__xludf.DUMMYFUNCTION("""COMPUTED_VALUE"""),44676.0)</f>
        <v>44676</v>
      </c>
      <c r="J1113" s="470">
        <f>IFERROR(__xludf.DUMMYFUNCTION("""COMPUTED_VALUE"""),0.43725694444444446)</f>
        <v>0.4372569444</v>
      </c>
      <c r="K1113" s="16"/>
      <c r="L1113" s="8"/>
      <c r="M1113" s="69"/>
      <c r="N1113" s="69">
        <f>IFERROR(__xludf.DUMMYFUNCTION("""COMPUTED_VALUE"""),1.0)</f>
        <v>1</v>
      </c>
      <c r="O1113" s="69" t="b">
        <f t="shared" si="3"/>
        <v>1</v>
      </c>
      <c r="P1113" s="471">
        <f>IFERROR(__xludf.DUMMYFUNCTION("""COMPUTED_VALUE"""),0.0)</f>
        <v>0</v>
      </c>
      <c r="Q1113" s="274" t="b">
        <f>VLOOKUP($B1113,'Run Reconcile'!B$2:O2488,14,FALSE)</f>
        <v>1</v>
      </c>
      <c r="R1113" s="472" t="str">
        <f t="array" ref="R1113">IF($Q1113, INDEX('Run Reconcile'!A$2:A2488,MATCH(B1113,'Run Reconcile'!B$2:B2488,0),1),IFERROR(0/0,""))</f>
        <v>RUN-FLMP_2022-04-25_RFR-118</v>
      </c>
      <c r="S1113" s="473" t="str">
        <f t="shared" si="694"/>
        <v/>
      </c>
      <c r="T1113" s="473" t="str">
        <f t="shared" si="698"/>
        <v/>
      </c>
      <c r="U1113" s="275" t="str">
        <f t="array" ref="U1113">IF(ISBLANK($R1113), INDEX('Run Reconcile'!A$2:A2488, MATCH($B1113, 'Run Reconcile'!B$2:B2488, 0)+Z1113, 1), IFERROR(0/0,""))
</f>
        <v/>
      </c>
      <c r="V1113" s="474" t="str">
        <f t="shared" si="5"/>
        <v>RUN-FLMP_2022-04-25_RFR-118</v>
      </c>
      <c r="Y1113" s="89" t="str">
        <f t="shared" si="867"/>
        <v/>
      </c>
      <c r="Z1113" s="60" t="str">
        <f t="shared" si="7"/>
        <v/>
      </c>
      <c r="AA1113" s="60" t="str">
        <f t="shared" si="8"/>
        <v/>
      </c>
      <c r="AB1113" s="60" t="str">
        <f t="shared" si="9"/>
        <v/>
      </c>
      <c r="AC1113" s="30" t="str">
        <f t="shared" ref="AC1113:AD1113" si="1469">IF(_xlfn.ISFORMULA(S1113),IFERROR(0/0,""),TRUE)</f>
        <v/>
      </c>
      <c r="AD1113" s="30" t="str">
        <f t="shared" si="1469"/>
        <v/>
      </c>
      <c r="AE1113" s="475" t="str">
        <f>IFERROR(__xludf.DUMMYFUNCTION("""COMPUTED_VALUE"""),"CRLN")</f>
        <v>CRLN</v>
      </c>
      <c r="AF1113" s="476"/>
      <c r="AG1113" s="474" t="s">
        <v>205</v>
      </c>
      <c r="AH1113" s="138" t="str">
        <f t="shared" si="11"/>
        <v/>
      </c>
    </row>
    <row r="1114">
      <c r="A1114" s="103" t="str">
        <f>IFERROR(__xludf.DUMMYFUNCTION("""COMPUTED_VALUE"""),"FLB4958")</f>
        <v>FLB4958</v>
      </c>
      <c r="B1114" s="468">
        <f>IFERROR(__xludf.DUMMYFUNCTION("""COMPUTED_VALUE"""),44676.0)</f>
        <v>44676</v>
      </c>
      <c r="C1114" s="469">
        <f>IFERROR(__xludf.DUMMYFUNCTION("""COMPUTED_VALUE"""),0.3208796296296296)</f>
        <v>0.3208796296</v>
      </c>
      <c r="D1114" s="103" t="str">
        <f>IFERROR(__xludf.DUMMYFUNCTION("""COMPUTED_VALUE"""),"SpFLMP965392")</f>
        <v>SpFLMP965392</v>
      </c>
      <c r="E1114" s="103"/>
      <c r="F1114" s="103"/>
      <c r="G1114" s="103" t="str">
        <f>IFERROR(__xludf.DUMMYFUNCTION("""COMPUTED_VALUE"""),"Negative")</f>
        <v>Negative</v>
      </c>
      <c r="H1114" s="131" t="str">
        <f>IFERROR(__xludf.DUMMYFUNCTION("""COMPUTED_VALUE"""),"Negative")</f>
        <v>Negative</v>
      </c>
      <c r="I1114" s="468">
        <f>IFERROR(__xludf.DUMMYFUNCTION("""COMPUTED_VALUE"""),44676.0)</f>
        <v>44676</v>
      </c>
      <c r="J1114" s="470">
        <f>IFERROR(__xludf.DUMMYFUNCTION("""COMPUTED_VALUE"""),0.4372685185185185)</f>
        <v>0.4372685185</v>
      </c>
      <c r="K1114" s="16"/>
      <c r="L1114" s="8"/>
      <c r="M1114" s="69"/>
      <c r="N1114" s="69">
        <f>IFERROR(__xludf.DUMMYFUNCTION("""COMPUTED_VALUE"""),4.0)</f>
        <v>4</v>
      </c>
      <c r="O1114" s="69" t="str">
        <f t="shared" si="3"/>
        <v/>
      </c>
      <c r="P1114" s="471">
        <f>IFERROR(__xludf.DUMMYFUNCTION("""COMPUTED_VALUE"""),0.0)</f>
        <v>0</v>
      </c>
      <c r="Q1114" s="274" t="b">
        <f>VLOOKUP($B1114,'Run Reconcile'!B$2:O2488,14,FALSE)</f>
        <v>1</v>
      </c>
      <c r="R1114" s="472" t="str">
        <f t="array" ref="R1114">IF($Q1114, INDEX('Run Reconcile'!A$2:A2488,MATCH(B1114,'Run Reconcile'!B$2:B2488,0),1),IFERROR(0/0,""))</f>
        <v>RUN-FLMP_2022-04-25_RFR-118</v>
      </c>
      <c r="S1114" s="473" t="str">
        <f t="shared" si="694"/>
        <v/>
      </c>
      <c r="T1114" s="473" t="str">
        <f t="shared" si="698"/>
        <v/>
      </c>
      <c r="U1114" s="275" t="str">
        <f t="array" ref="U1114">IF(ISBLANK($R1114), INDEX('Run Reconcile'!A$2:A2488, MATCH($B1114, 'Run Reconcile'!B$2:B2488, 0)+Z1114, 1), IFERROR(0/0,""))
</f>
        <v/>
      </c>
      <c r="V1114" s="474" t="str">
        <f t="shared" si="5"/>
        <v>RUN-FLMP_2022-04-25_RFR-118</v>
      </c>
      <c r="Y1114" s="89" t="str">
        <f t="shared" si="867"/>
        <v/>
      </c>
      <c r="Z1114" s="60" t="str">
        <f t="shared" si="7"/>
        <v/>
      </c>
      <c r="AA1114" s="60" t="str">
        <f t="shared" si="8"/>
        <v/>
      </c>
      <c r="AB1114" s="60" t="str">
        <f t="shared" si="9"/>
        <v/>
      </c>
      <c r="AC1114" s="30" t="str">
        <f t="shared" ref="AC1114:AD1114" si="1470">IF(_xlfn.ISFORMULA(S1114),IFERROR(0/0,""),TRUE)</f>
        <v/>
      </c>
      <c r="AD1114" s="30" t="str">
        <f t="shared" si="1470"/>
        <v/>
      </c>
      <c r="AE1114" s="475" t="str">
        <f>IFERROR(__xludf.DUMMYFUNCTION("""COMPUTED_VALUE"""),"CRLN")</f>
        <v>CRLN</v>
      </c>
      <c r="AF1114" s="476"/>
      <c r="AG1114" s="474" t="s">
        <v>205</v>
      </c>
      <c r="AH1114" s="138" t="str">
        <f t="shared" si="11"/>
        <v/>
      </c>
    </row>
    <row r="1115">
      <c r="A1115" s="103" t="str">
        <f>IFERROR(__xludf.DUMMYFUNCTION("""COMPUTED_VALUE"""),"FLE200")</f>
        <v>FLE200</v>
      </c>
      <c r="B1115" s="468">
        <f>IFERROR(__xludf.DUMMYFUNCTION("""COMPUTED_VALUE"""),44676.0)</f>
        <v>44676</v>
      </c>
      <c r="C1115" s="469">
        <f>IFERROR(__xludf.DUMMYFUNCTION("""COMPUTED_VALUE"""),0.3274768518518518)</f>
        <v>0.3274768519</v>
      </c>
      <c r="D1115" s="103" t="str">
        <f>IFERROR(__xludf.DUMMYFUNCTION("""COMPUTED_VALUE"""),"SpFLMP684798")</f>
        <v>SpFLMP684798</v>
      </c>
      <c r="E1115" s="103"/>
      <c r="F1115" s="103"/>
      <c r="G1115" s="103" t="str">
        <f>IFERROR(__xludf.DUMMYFUNCTION("""COMPUTED_VALUE"""),"Negative")</f>
        <v>Negative</v>
      </c>
      <c r="H1115" s="131" t="str">
        <f>IFERROR(__xludf.DUMMYFUNCTION("""COMPUTED_VALUE"""),"Negative")</f>
        <v>Negative</v>
      </c>
      <c r="I1115" s="468">
        <f>IFERROR(__xludf.DUMMYFUNCTION("""COMPUTED_VALUE"""),44676.0)</f>
        <v>44676</v>
      </c>
      <c r="J1115" s="470">
        <f>IFERROR(__xludf.DUMMYFUNCTION("""COMPUTED_VALUE"""),0.4372685185185185)</f>
        <v>0.4372685185</v>
      </c>
      <c r="K1115" s="16"/>
      <c r="L1115" s="8"/>
      <c r="M1115" s="69"/>
      <c r="N1115" s="69">
        <f>IFERROR(__xludf.DUMMYFUNCTION("""COMPUTED_VALUE"""),4.0)</f>
        <v>4</v>
      </c>
      <c r="O1115" s="69" t="str">
        <f t="shared" si="3"/>
        <v/>
      </c>
      <c r="P1115" s="471">
        <f>IFERROR(__xludf.DUMMYFUNCTION("""COMPUTED_VALUE"""),0.0)</f>
        <v>0</v>
      </c>
      <c r="Q1115" s="274" t="b">
        <f>VLOOKUP($B1115,'Run Reconcile'!B$2:O2488,14,FALSE)</f>
        <v>1</v>
      </c>
      <c r="R1115" s="472" t="str">
        <f t="array" ref="R1115">IF($Q1115, INDEX('Run Reconcile'!A$2:A2488,MATCH(B1115,'Run Reconcile'!B$2:B2488,0),1),IFERROR(0/0,""))</f>
        <v>RUN-FLMP_2022-04-25_RFR-118</v>
      </c>
      <c r="S1115" s="473" t="str">
        <f t="shared" si="694"/>
        <v/>
      </c>
      <c r="T1115" s="473" t="str">
        <f t="shared" si="698"/>
        <v/>
      </c>
      <c r="U1115" s="275" t="str">
        <f t="array" ref="U1115">IF(ISBLANK($R1115), INDEX('Run Reconcile'!A$2:A2488, MATCH($B1115, 'Run Reconcile'!B$2:B2488, 0)+Z1115, 1), IFERROR(0/0,""))
</f>
        <v/>
      </c>
      <c r="V1115" s="474" t="str">
        <f t="shared" si="5"/>
        <v>RUN-FLMP_2022-04-25_RFR-118</v>
      </c>
      <c r="Y1115" s="89" t="str">
        <f t="shared" si="867"/>
        <v/>
      </c>
      <c r="Z1115" s="60" t="str">
        <f t="shared" si="7"/>
        <v/>
      </c>
      <c r="AA1115" s="60" t="str">
        <f t="shared" si="8"/>
        <v/>
      </c>
      <c r="AB1115" s="60" t="str">
        <f t="shared" si="9"/>
        <v/>
      </c>
      <c r="AC1115" s="30" t="str">
        <f t="shared" ref="AC1115:AD1115" si="1471">IF(_xlfn.ISFORMULA(S1115),IFERROR(0/0,""),TRUE)</f>
        <v/>
      </c>
      <c r="AD1115" s="30" t="str">
        <f t="shared" si="1471"/>
        <v/>
      </c>
      <c r="AE1115" s="475" t="str">
        <f>IFERROR(__xludf.DUMMYFUNCTION("""COMPUTED_VALUE"""),"CRLN")</f>
        <v>CRLN</v>
      </c>
      <c r="AF1115" s="476"/>
      <c r="AG1115" s="474" t="s">
        <v>205</v>
      </c>
      <c r="AH1115" s="138" t="str">
        <f t="shared" si="11"/>
        <v/>
      </c>
    </row>
    <row r="1116">
      <c r="A1116" s="103" t="str">
        <f>IFERROR(__xludf.DUMMYFUNCTION("""COMPUTED_VALUE"""),"FLB6857")</f>
        <v>FLB6857</v>
      </c>
      <c r="B1116" s="468">
        <f>IFERROR(__xludf.DUMMYFUNCTION("""COMPUTED_VALUE"""),44676.0)</f>
        <v>44676</v>
      </c>
      <c r="C1116" s="469">
        <f>IFERROR(__xludf.DUMMYFUNCTION("""COMPUTED_VALUE"""),0.33533564814814815)</f>
        <v>0.3353356481</v>
      </c>
      <c r="D1116" s="103" t="str">
        <f>IFERROR(__xludf.DUMMYFUNCTION("""COMPUTED_VALUE"""),"SpFLMP683385")</f>
        <v>SpFLMP683385</v>
      </c>
      <c r="E1116" s="103"/>
      <c r="F1116" s="103"/>
      <c r="G1116" s="103" t="str">
        <f>IFERROR(__xludf.DUMMYFUNCTION("""COMPUTED_VALUE"""),"Negative")</f>
        <v>Negative</v>
      </c>
      <c r="H1116" s="131" t="str">
        <f>IFERROR(__xludf.DUMMYFUNCTION("""COMPUTED_VALUE"""),"Negative")</f>
        <v>Negative</v>
      </c>
      <c r="I1116" s="468">
        <f>IFERROR(__xludf.DUMMYFUNCTION("""COMPUTED_VALUE"""),44676.0)</f>
        <v>44676</v>
      </c>
      <c r="J1116" s="470">
        <f>IFERROR(__xludf.DUMMYFUNCTION("""COMPUTED_VALUE"""),0.4372685185185185)</f>
        <v>0.4372685185</v>
      </c>
      <c r="K1116" s="16"/>
      <c r="L1116" s="8"/>
      <c r="M1116" s="69"/>
      <c r="N1116" s="69">
        <f>IFERROR(__xludf.DUMMYFUNCTION("""COMPUTED_VALUE"""),3.0)</f>
        <v>3</v>
      </c>
      <c r="O1116" s="69" t="str">
        <f t="shared" si="3"/>
        <v/>
      </c>
      <c r="P1116" s="471">
        <f>IFERROR(__xludf.DUMMYFUNCTION("""COMPUTED_VALUE"""),0.0)</f>
        <v>0</v>
      </c>
      <c r="Q1116" s="274" t="b">
        <f>VLOOKUP($B1116,'Run Reconcile'!B$2:O2488,14,FALSE)</f>
        <v>1</v>
      </c>
      <c r="R1116" s="472" t="str">
        <f t="array" ref="R1116">IF($Q1116, INDEX('Run Reconcile'!A$2:A2488,MATCH(B1116,'Run Reconcile'!B$2:B2488,0),1),IFERROR(0/0,""))</f>
        <v>RUN-FLMP_2022-04-25_RFR-118</v>
      </c>
      <c r="S1116" s="473" t="str">
        <f t="shared" si="694"/>
        <v/>
      </c>
      <c r="T1116" s="473" t="str">
        <f t="shared" si="698"/>
        <v/>
      </c>
      <c r="U1116" s="275" t="str">
        <f t="array" ref="U1116">IF(ISBLANK($R1116), INDEX('Run Reconcile'!A$2:A2488, MATCH($B1116, 'Run Reconcile'!B$2:B2488, 0)+Z1116, 1), IFERROR(0/0,""))
</f>
        <v/>
      </c>
      <c r="V1116" s="474" t="str">
        <f t="shared" si="5"/>
        <v>RUN-FLMP_2022-04-25_RFR-118</v>
      </c>
      <c r="Y1116" s="89" t="str">
        <f t="shared" si="867"/>
        <v/>
      </c>
      <c r="Z1116" s="60" t="str">
        <f t="shared" si="7"/>
        <v/>
      </c>
      <c r="AA1116" s="60" t="str">
        <f t="shared" si="8"/>
        <v/>
      </c>
      <c r="AB1116" s="60" t="str">
        <f t="shared" si="9"/>
        <v/>
      </c>
      <c r="AC1116" s="30" t="str">
        <f t="shared" ref="AC1116:AD1116" si="1472">IF(_xlfn.ISFORMULA(S1116),IFERROR(0/0,""),TRUE)</f>
        <v/>
      </c>
      <c r="AD1116" s="30" t="str">
        <f t="shared" si="1472"/>
        <v/>
      </c>
      <c r="AE1116" s="475" t="str">
        <f>IFERROR(__xludf.DUMMYFUNCTION("""COMPUTED_VALUE"""),"CRLN")</f>
        <v>CRLN</v>
      </c>
      <c r="AF1116" s="476"/>
      <c r="AG1116" s="474" t="s">
        <v>205</v>
      </c>
      <c r="AH1116" s="138" t="str">
        <f t="shared" si="11"/>
        <v/>
      </c>
    </row>
    <row r="1117">
      <c r="A1117" s="103" t="str">
        <f>IFERROR(__xludf.DUMMYFUNCTION("""COMPUTED_VALUE"""),"FLE299")</f>
        <v>FLE299</v>
      </c>
      <c r="B1117" s="468">
        <f>IFERROR(__xludf.DUMMYFUNCTION("""COMPUTED_VALUE"""),44676.0)</f>
        <v>44676</v>
      </c>
      <c r="C1117" s="469">
        <f>IFERROR(__xludf.DUMMYFUNCTION("""COMPUTED_VALUE"""),0.3372453703703704)</f>
        <v>0.3372453704</v>
      </c>
      <c r="D1117" s="103" t="str">
        <f>IFERROR(__xludf.DUMMYFUNCTION("""COMPUTED_VALUE"""),"SpFLMP870846")</f>
        <v>SpFLMP870846</v>
      </c>
      <c r="E1117" s="103"/>
      <c r="F1117" s="103"/>
      <c r="G1117" s="103" t="str">
        <f>IFERROR(__xludf.DUMMYFUNCTION("""COMPUTED_VALUE"""),"Negative")</f>
        <v>Negative</v>
      </c>
      <c r="H1117" s="131" t="str">
        <f>IFERROR(__xludf.DUMMYFUNCTION("""COMPUTED_VALUE"""),"Negative")</f>
        <v>Negative</v>
      </c>
      <c r="I1117" s="468">
        <f>IFERROR(__xludf.DUMMYFUNCTION("""COMPUTED_VALUE"""),44676.0)</f>
        <v>44676</v>
      </c>
      <c r="J1117" s="470">
        <f>IFERROR(__xludf.DUMMYFUNCTION("""COMPUTED_VALUE"""),0.4372685185185185)</f>
        <v>0.4372685185</v>
      </c>
      <c r="K1117" s="16"/>
      <c r="L1117" s="8"/>
      <c r="M1117" s="69"/>
      <c r="N1117" s="69">
        <f>IFERROR(__xludf.DUMMYFUNCTION("""COMPUTED_VALUE"""),1.0)</f>
        <v>1</v>
      </c>
      <c r="O1117" s="69" t="str">
        <f t="shared" si="3"/>
        <v/>
      </c>
      <c r="P1117" s="471">
        <f>IFERROR(__xludf.DUMMYFUNCTION("""COMPUTED_VALUE"""),0.0)</f>
        <v>0</v>
      </c>
      <c r="Q1117" s="274" t="b">
        <f>VLOOKUP($B1117,'Run Reconcile'!B$2:O2488,14,FALSE)</f>
        <v>1</v>
      </c>
      <c r="R1117" s="472" t="str">
        <f t="array" ref="R1117">IF($Q1117, INDEX('Run Reconcile'!A$2:A2488,MATCH(B1117,'Run Reconcile'!B$2:B2488,0),1),IFERROR(0/0,""))</f>
        <v>RUN-FLMP_2022-04-25_RFR-118</v>
      </c>
      <c r="S1117" s="473" t="str">
        <f t="shared" si="694"/>
        <v/>
      </c>
      <c r="T1117" s="473" t="str">
        <f t="shared" si="698"/>
        <v/>
      </c>
      <c r="U1117" s="275" t="str">
        <f t="array" ref="U1117">IF(ISBLANK($R1117), INDEX('Run Reconcile'!A$2:A2488, MATCH($B1117, 'Run Reconcile'!B$2:B2488, 0)+Z1117, 1), IFERROR(0/0,""))
</f>
        <v/>
      </c>
      <c r="V1117" s="474" t="str">
        <f t="shared" si="5"/>
        <v>RUN-FLMP_2022-04-25_RFR-118</v>
      </c>
      <c r="Y1117" s="89" t="str">
        <f t="shared" si="867"/>
        <v/>
      </c>
      <c r="Z1117" s="60" t="str">
        <f t="shared" si="7"/>
        <v/>
      </c>
      <c r="AA1117" s="60" t="str">
        <f t="shared" si="8"/>
        <v/>
      </c>
      <c r="AB1117" s="60" t="str">
        <f t="shared" si="9"/>
        <v/>
      </c>
      <c r="AC1117" s="30" t="str">
        <f t="shared" ref="AC1117:AD1117" si="1473">IF(_xlfn.ISFORMULA(S1117),IFERROR(0/0,""),TRUE)</f>
        <v/>
      </c>
      <c r="AD1117" s="30" t="str">
        <f t="shared" si="1473"/>
        <v/>
      </c>
      <c r="AE1117" s="475" t="str">
        <f>IFERROR(__xludf.DUMMYFUNCTION("""COMPUTED_VALUE"""),"FLSP")</f>
        <v>FLSP</v>
      </c>
      <c r="AF1117" s="476"/>
      <c r="AG1117" s="474" t="s">
        <v>205</v>
      </c>
      <c r="AH1117" s="138" t="str">
        <f t="shared" si="11"/>
        <v/>
      </c>
    </row>
    <row r="1118">
      <c r="A1118" s="103" t="str">
        <f>IFERROR(__xludf.DUMMYFUNCTION("""COMPUTED_VALUE"""),"FLE962")</f>
        <v>FLE962</v>
      </c>
      <c r="B1118" s="468">
        <f>IFERROR(__xludf.DUMMYFUNCTION("""COMPUTED_VALUE"""),44676.0)</f>
        <v>44676</v>
      </c>
      <c r="C1118" s="469">
        <f>IFERROR(__xludf.DUMMYFUNCTION("""COMPUTED_VALUE"""),0.3464236111111111)</f>
        <v>0.3464236111</v>
      </c>
      <c r="D1118" s="103" t="str">
        <f>IFERROR(__xludf.DUMMYFUNCTION("""COMPUTED_VALUE"""),"SpFLMP604497")</f>
        <v>SpFLMP604497</v>
      </c>
      <c r="E1118" s="103"/>
      <c r="F1118" s="103"/>
      <c r="G1118" s="103" t="str">
        <f>IFERROR(__xludf.DUMMYFUNCTION("""COMPUTED_VALUE"""),"Negative")</f>
        <v>Negative</v>
      </c>
      <c r="H1118" s="131" t="str">
        <f>IFERROR(__xludf.DUMMYFUNCTION("""COMPUTED_VALUE"""),"Negative")</f>
        <v>Negative</v>
      </c>
      <c r="I1118" s="468">
        <f>IFERROR(__xludf.DUMMYFUNCTION("""COMPUTED_VALUE"""),44676.0)</f>
        <v>44676</v>
      </c>
      <c r="J1118" s="470">
        <f>IFERROR(__xludf.DUMMYFUNCTION("""COMPUTED_VALUE"""),0.4372685185185185)</f>
        <v>0.4372685185</v>
      </c>
      <c r="K1118" s="16"/>
      <c r="L1118" s="8"/>
      <c r="M1118" s="69"/>
      <c r="N1118" s="69">
        <f>IFERROR(__xludf.DUMMYFUNCTION("""COMPUTED_VALUE"""),4.0)</f>
        <v>4</v>
      </c>
      <c r="O1118" s="69" t="str">
        <f t="shared" si="3"/>
        <v/>
      </c>
      <c r="P1118" s="471">
        <f>IFERROR(__xludf.DUMMYFUNCTION("""COMPUTED_VALUE"""),0.0)</f>
        <v>0</v>
      </c>
      <c r="Q1118" s="274" t="b">
        <f>VLOOKUP($B1118,'Run Reconcile'!B$2:O2488,14,FALSE)</f>
        <v>1</v>
      </c>
      <c r="R1118" s="472" t="str">
        <f t="array" ref="R1118">IF($Q1118, INDEX('Run Reconcile'!A$2:A2488,MATCH(B1118,'Run Reconcile'!B$2:B2488,0),1),IFERROR(0/0,""))</f>
        <v>RUN-FLMP_2022-04-25_RFR-118</v>
      </c>
      <c r="S1118" s="473" t="str">
        <f t="shared" si="694"/>
        <v/>
      </c>
      <c r="T1118" s="473" t="str">
        <f t="shared" si="698"/>
        <v/>
      </c>
      <c r="U1118" s="275" t="str">
        <f t="array" ref="U1118">IF(ISBLANK($R1118), INDEX('Run Reconcile'!A$2:A2488, MATCH($B1118, 'Run Reconcile'!B$2:B2488, 0)+Z1118, 1), IFERROR(0/0,""))
</f>
        <v/>
      </c>
      <c r="V1118" s="474" t="str">
        <f t="shared" si="5"/>
        <v>RUN-FLMP_2022-04-25_RFR-118</v>
      </c>
      <c r="Y1118" s="89" t="str">
        <f t="shared" si="867"/>
        <v/>
      </c>
      <c r="Z1118" s="60" t="str">
        <f t="shared" si="7"/>
        <v/>
      </c>
      <c r="AA1118" s="60" t="str">
        <f t="shared" si="8"/>
        <v/>
      </c>
      <c r="AB1118" s="60" t="str">
        <f t="shared" si="9"/>
        <v/>
      </c>
      <c r="AC1118" s="30" t="str">
        <f t="shared" ref="AC1118:AD1118" si="1474">IF(_xlfn.ISFORMULA(S1118),IFERROR(0/0,""),TRUE)</f>
        <v/>
      </c>
      <c r="AD1118" s="30" t="str">
        <f t="shared" si="1474"/>
        <v/>
      </c>
      <c r="AE1118" s="475" t="str">
        <f>IFERROR(__xludf.DUMMYFUNCTION("""COMPUTED_VALUE"""),"CRLN")</f>
        <v>CRLN</v>
      </c>
      <c r="AF1118" s="476"/>
      <c r="AG1118" s="474" t="s">
        <v>205</v>
      </c>
      <c r="AH1118" s="138" t="str">
        <f t="shared" si="11"/>
        <v/>
      </c>
    </row>
    <row r="1119">
      <c r="A1119" s="103" t="str">
        <f>IFERROR(__xludf.DUMMYFUNCTION("""COMPUTED_VALUE"""),"AJ7880")</f>
        <v>AJ7880</v>
      </c>
      <c r="B1119" s="468">
        <f>IFERROR(__xludf.DUMMYFUNCTION("""COMPUTED_VALUE"""),44676.0)</f>
        <v>44676</v>
      </c>
      <c r="C1119" s="469">
        <f>IFERROR(__xludf.DUMMYFUNCTION("""COMPUTED_VALUE"""),0.3485416666666667)</f>
        <v>0.3485416667</v>
      </c>
      <c r="D1119" s="103" t="str">
        <f>IFERROR(__xludf.DUMMYFUNCTION("""COMPUTED_VALUE"""),"SpFLMP600756")</f>
        <v>SpFLMP600756</v>
      </c>
      <c r="E1119" s="103"/>
      <c r="F1119" s="103"/>
      <c r="G1119" s="103" t="str">
        <f>IFERROR(__xludf.DUMMYFUNCTION("""COMPUTED_VALUE"""),"Negative")</f>
        <v>Negative</v>
      </c>
      <c r="H1119" s="131" t="str">
        <f>IFERROR(__xludf.DUMMYFUNCTION("""COMPUTED_VALUE"""),"Negative")</f>
        <v>Negative</v>
      </c>
      <c r="I1119" s="468">
        <f>IFERROR(__xludf.DUMMYFUNCTION("""COMPUTED_VALUE"""),44676.0)</f>
        <v>44676</v>
      </c>
      <c r="J1119" s="470">
        <f>IFERROR(__xludf.DUMMYFUNCTION("""COMPUTED_VALUE"""),0.4372685185185185)</f>
        <v>0.4372685185</v>
      </c>
      <c r="K1119" s="16"/>
      <c r="L1119" s="8"/>
      <c r="M1119" s="69"/>
      <c r="N1119" s="69">
        <f>IFERROR(__xludf.DUMMYFUNCTION("""COMPUTED_VALUE"""),2.0)</f>
        <v>2</v>
      </c>
      <c r="O1119" s="69" t="str">
        <f t="shared" si="3"/>
        <v/>
      </c>
      <c r="P1119" s="471">
        <f>IFERROR(__xludf.DUMMYFUNCTION("""COMPUTED_VALUE"""),0.0)</f>
        <v>0</v>
      </c>
      <c r="Q1119" s="274" t="b">
        <f>VLOOKUP($B1119,'Run Reconcile'!B$2:O2488,14,FALSE)</f>
        <v>1</v>
      </c>
      <c r="R1119" s="472" t="str">
        <f t="array" ref="R1119">IF($Q1119, INDEX('Run Reconcile'!A$2:A2488,MATCH(B1119,'Run Reconcile'!B$2:B2488,0),1),IFERROR(0/0,""))</f>
        <v>RUN-FLMP_2022-04-25_RFR-118</v>
      </c>
      <c r="S1119" s="473" t="str">
        <f t="shared" si="694"/>
        <v/>
      </c>
      <c r="T1119" s="473" t="str">
        <f t="shared" si="698"/>
        <v/>
      </c>
      <c r="U1119" s="275" t="str">
        <f t="array" ref="U1119">IF(ISBLANK($R1119), INDEX('Run Reconcile'!A$2:A2488, MATCH($B1119, 'Run Reconcile'!B$2:B2488, 0)+Z1119, 1), IFERROR(0/0,""))
</f>
        <v/>
      </c>
      <c r="V1119" s="474" t="str">
        <f t="shared" si="5"/>
        <v>RUN-FLMP_2022-04-25_RFR-118</v>
      </c>
      <c r="Y1119" s="89" t="str">
        <f t="shared" si="867"/>
        <v/>
      </c>
      <c r="Z1119" s="60" t="str">
        <f t="shared" si="7"/>
        <v/>
      </c>
      <c r="AA1119" s="60" t="str">
        <f t="shared" si="8"/>
        <v/>
      </c>
      <c r="AB1119" s="60" t="str">
        <f t="shared" si="9"/>
        <v/>
      </c>
      <c r="AC1119" s="30" t="str">
        <f t="shared" ref="AC1119:AD1119" si="1475">IF(_xlfn.ISFORMULA(S1119),IFERROR(0/0,""),TRUE)</f>
        <v/>
      </c>
      <c r="AD1119" s="30" t="str">
        <f t="shared" si="1475"/>
        <v/>
      </c>
      <c r="AE1119" s="475" t="str">
        <f>IFERROR(__xludf.DUMMYFUNCTION("""COMPUTED_VALUE"""),"CRLN")</f>
        <v>CRLN</v>
      </c>
      <c r="AF1119" s="476"/>
      <c r="AG1119" s="474" t="s">
        <v>205</v>
      </c>
      <c r="AH1119" s="138" t="str">
        <f t="shared" si="11"/>
        <v/>
      </c>
    </row>
    <row r="1120">
      <c r="A1120" s="103" t="str">
        <f>IFERROR(__xludf.DUMMYFUNCTION("""COMPUTED_VALUE"""),"FLB6811")</f>
        <v>FLB6811</v>
      </c>
      <c r="B1120" s="468">
        <f>IFERROR(__xludf.DUMMYFUNCTION("""COMPUTED_VALUE"""),44676.0)</f>
        <v>44676</v>
      </c>
      <c r="C1120" s="469">
        <f>IFERROR(__xludf.DUMMYFUNCTION("""COMPUTED_VALUE"""),0.3497222222222222)</f>
        <v>0.3497222222</v>
      </c>
      <c r="D1120" s="103" t="str">
        <f>IFERROR(__xludf.DUMMYFUNCTION("""COMPUTED_VALUE"""),"SpFLMP314549")</f>
        <v>SpFLMP314549</v>
      </c>
      <c r="E1120" s="103"/>
      <c r="F1120" s="103"/>
      <c r="G1120" s="103" t="str">
        <f>IFERROR(__xludf.DUMMYFUNCTION("""COMPUTED_VALUE"""),"Negative")</f>
        <v>Negative</v>
      </c>
      <c r="H1120" s="131" t="str">
        <f>IFERROR(__xludf.DUMMYFUNCTION("""COMPUTED_VALUE"""),"Negative")</f>
        <v>Negative</v>
      </c>
      <c r="I1120" s="468">
        <f>IFERROR(__xludf.DUMMYFUNCTION("""COMPUTED_VALUE"""),44676.0)</f>
        <v>44676</v>
      </c>
      <c r="J1120" s="470">
        <f>IFERROR(__xludf.DUMMYFUNCTION("""COMPUTED_VALUE"""),0.4372685185185185)</f>
        <v>0.4372685185</v>
      </c>
      <c r="K1120" s="16"/>
      <c r="L1120" s="8"/>
      <c r="M1120" s="69"/>
      <c r="N1120" s="69">
        <f>IFERROR(__xludf.DUMMYFUNCTION("""COMPUTED_VALUE"""),1.0)</f>
        <v>1</v>
      </c>
      <c r="O1120" s="69" t="str">
        <f t="shared" si="3"/>
        <v/>
      </c>
      <c r="P1120" s="471">
        <f>IFERROR(__xludf.DUMMYFUNCTION("""COMPUTED_VALUE"""),0.0)</f>
        <v>0</v>
      </c>
      <c r="Q1120" s="274" t="b">
        <f>VLOOKUP($B1120,'Run Reconcile'!B$2:O2488,14,FALSE)</f>
        <v>1</v>
      </c>
      <c r="R1120" s="472" t="str">
        <f t="array" ref="R1120">IF($Q1120, INDEX('Run Reconcile'!A$2:A2488,MATCH(B1120,'Run Reconcile'!B$2:B2488,0),1),IFERROR(0/0,""))</f>
        <v>RUN-FLMP_2022-04-25_RFR-118</v>
      </c>
      <c r="S1120" s="473" t="str">
        <f t="shared" si="694"/>
        <v/>
      </c>
      <c r="T1120" s="473" t="str">
        <f t="shared" si="698"/>
        <v/>
      </c>
      <c r="U1120" s="275" t="str">
        <f t="array" ref="U1120">IF(ISBLANK($R1120), INDEX('Run Reconcile'!A$2:A2488, MATCH($B1120, 'Run Reconcile'!B$2:B2488, 0)+Z1120, 1), IFERROR(0/0,""))
</f>
        <v/>
      </c>
      <c r="V1120" s="474" t="str">
        <f t="shared" si="5"/>
        <v>RUN-FLMP_2022-04-25_RFR-118</v>
      </c>
      <c r="Y1120" s="89" t="str">
        <f t="shared" si="867"/>
        <v/>
      </c>
      <c r="Z1120" s="60" t="str">
        <f t="shared" si="7"/>
        <v/>
      </c>
      <c r="AA1120" s="60" t="str">
        <f t="shared" si="8"/>
        <v/>
      </c>
      <c r="AB1120" s="60" t="str">
        <f t="shared" si="9"/>
        <v/>
      </c>
      <c r="AC1120" s="30" t="str">
        <f t="shared" ref="AC1120:AD1120" si="1476">IF(_xlfn.ISFORMULA(S1120),IFERROR(0/0,""),TRUE)</f>
        <v/>
      </c>
      <c r="AD1120" s="30" t="str">
        <f t="shared" si="1476"/>
        <v/>
      </c>
      <c r="AE1120" s="475" t="str">
        <f>IFERROR(__xludf.DUMMYFUNCTION("""COMPUTED_VALUE"""),"CRLN")</f>
        <v>CRLN</v>
      </c>
      <c r="AF1120" s="476"/>
      <c r="AG1120" s="474" t="s">
        <v>205</v>
      </c>
      <c r="AH1120" s="138" t="str">
        <f t="shared" si="11"/>
        <v/>
      </c>
    </row>
    <row r="1121">
      <c r="A1121" s="103" t="str">
        <f>IFERROR(__xludf.DUMMYFUNCTION("""COMPUTED_VALUE"""),"FLE274")</f>
        <v>FLE274</v>
      </c>
      <c r="B1121" s="468">
        <f>IFERROR(__xludf.DUMMYFUNCTION("""COMPUTED_VALUE"""),44676.0)</f>
        <v>44676</v>
      </c>
      <c r="C1121" s="469">
        <f>IFERROR(__xludf.DUMMYFUNCTION("""COMPUTED_VALUE"""),0.3514814814814815)</f>
        <v>0.3514814815</v>
      </c>
      <c r="D1121" s="103" t="str">
        <f>IFERROR(__xludf.DUMMYFUNCTION("""COMPUTED_VALUE"""),"SpFLMP690282")</f>
        <v>SpFLMP690282</v>
      </c>
      <c r="E1121" s="103"/>
      <c r="F1121" s="103"/>
      <c r="G1121" s="103" t="str">
        <f>IFERROR(__xludf.DUMMYFUNCTION("""COMPUTED_VALUE"""),"Negative")</f>
        <v>Negative</v>
      </c>
      <c r="H1121" s="131" t="str">
        <f>IFERROR(__xludf.DUMMYFUNCTION("""COMPUTED_VALUE"""),"Negative")</f>
        <v>Negative</v>
      </c>
      <c r="I1121" s="468">
        <f>IFERROR(__xludf.DUMMYFUNCTION("""COMPUTED_VALUE"""),44676.0)</f>
        <v>44676</v>
      </c>
      <c r="J1121" s="470">
        <f>IFERROR(__xludf.DUMMYFUNCTION("""COMPUTED_VALUE"""),0.4372685185185185)</f>
        <v>0.4372685185</v>
      </c>
      <c r="K1121" s="16"/>
      <c r="L1121" s="8"/>
      <c r="M1121" s="69"/>
      <c r="N1121" s="69">
        <f>IFERROR(__xludf.DUMMYFUNCTION("""COMPUTED_VALUE"""),1.0)</f>
        <v>1</v>
      </c>
      <c r="O1121" s="69" t="str">
        <f t="shared" si="3"/>
        <v/>
      </c>
      <c r="P1121" s="471">
        <f>IFERROR(__xludf.DUMMYFUNCTION("""COMPUTED_VALUE"""),0.0)</f>
        <v>0</v>
      </c>
      <c r="Q1121" s="274" t="b">
        <f>VLOOKUP($B1121,'Run Reconcile'!B$2:O2488,14,FALSE)</f>
        <v>1</v>
      </c>
      <c r="R1121" s="472" t="str">
        <f t="array" ref="R1121">IF($Q1121, INDEX('Run Reconcile'!A$2:A2488,MATCH(B1121,'Run Reconcile'!B$2:B2488,0),1),IFERROR(0/0,""))</f>
        <v>RUN-FLMP_2022-04-25_RFR-118</v>
      </c>
      <c r="S1121" s="473" t="str">
        <f t="shared" si="694"/>
        <v/>
      </c>
      <c r="T1121" s="473" t="str">
        <f t="shared" si="698"/>
        <v/>
      </c>
      <c r="U1121" s="275" t="str">
        <f t="array" ref="U1121">IF(ISBLANK($R1121), INDEX('Run Reconcile'!A$2:A2488, MATCH($B1121, 'Run Reconcile'!B$2:B2488, 0)+Z1121, 1), IFERROR(0/0,""))
</f>
        <v/>
      </c>
      <c r="V1121" s="474" t="str">
        <f t="shared" si="5"/>
        <v>RUN-FLMP_2022-04-25_RFR-118</v>
      </c>
      <c r="Y1121" s="89" t="str">
        <f t="shared" si="867"/>
        <v/>
      </c>
      <c r="Z1121" s="60" t="str">
        <f t="shared" si="7"/>
        <v/>
      </c>
      <c r="AA1121" s="60" t="str">
        <f t="shared" si="8"/>
        <v/>
      </c>
      <c r="AB1121" s="60" t="str">
        <f t="shared" si="9"/>
        <v/>
      </c>
      <c r="AC1121" s="30" t="str">
        <f t="shared" ref="AC1121:AD1121" si="1477">IF(_xlfn.ISFORMULA(S1121),IFERROR(0/0,""),TRUE)</f>
        <v/>
      </c>
      <c r="AD1121" s="30" t="str">
        <f t="shared" si="1477"/>
        <v/>
      </c>
      <c r="AE1121" s="475" t="str">
        <f>IFERROR(__xludf.DUMMYFUNCTION("""COMPUTED_VALUE"""),"CRLN")</f>
        <v>CRLN</v>
      </c>
      <c r="AF1121" s="476"/>
      <c r="AG1121" s="474" t="s">
        <v>205</v>
      </c>
      <c r="AH1121" s="138" t="str">
        <f t="shared" si="11"/>
        <v/>
      </c>
    </row>
    <row r="1122">
      <c r="A1122" s="103" t="str">
        <f>IFERROR(__xludf.DUMMYFUNCTION("""COMPUTED_VALUE"""),"AJ8170")</f>
        <v>AJ8170</v>
      </c>
      <c r="B1122" s="468">
        <f>IFERROR(__xludf.DUMMYFUNCTION("""COMPUTED_VALUE"""),44676.0)</f>
        <v>44676</v>
      </c>
      <c r="C1122" s="469">
        <f>IFERROR(__xludf.DUMMYFUNCTION("""COMPUTED_VALUE"""),0.3529861111111111)</f>
        <v>0.3529861111</v>
      </c>
      <c r="D1122" s="103" t="str">
        <f>IFERROR(__xludf.DUMMYFUNCTION("""COMPUTED_VALUE"""),"SpFLMP309785")</f>
        <v>SpFLMP309785</v>
      </c>
      <c r="E1122" s="103"/>
      <c r="F1122" s="103"/>
      <c r="G1122" s="103" t="str">
        <f>IFERROR(__xludf.DUMMYFUNCTION("""COMPUTED_VALUE"""),"Negative")</f>
        <v>Negative</v>
      </c>
      <c r="H1122" s="131" t="str">
        <f>IFERROR(__xludf.DUMMYFUNCTION("""COMPUTED_VALUE"""),"Negative")</f>
        <v>Negative</v>
      </c>
      <c r="I1122" s="468">
        <f>IFERROR(__xludf.DUMMYFUNCTION("""COMPUTED_VALUE"""),44676.0)</f>
        <v>44676</v>
      </c>
      <c r="J1122" s="470">
        <f>IFERROR(__xludf.DUMMYFUNCTION("""COMPUTED_VALUE"""),0.4372685185185185)</f>
        <v>0.4372685185</v>
      </c>
      <c r="K1122" s="16"/>
      <c r="L1122" s="8"/>
      <c r="M1122" s="69"/>
      <c r="N1122" s="69">
        <f>IFERROR(__xludf.DUMMYFUNCTION("""COMPUTED_VALUE"""),4.0)</f>
        <v>4</v>
      </c>
      <c r="O1122" s="69" t="str">
        <f t="shared" si="3"/>
        <v/>
      </c>
      <c r="P1122" s="471">
        <f>IFERROR(__xludf.DUMMYFUNCTION("""COMPUTED_VALUE"""),0.0)</f>
        <v>0</v>
      </c>
      <c r="Q1122" s="274" t="b">
        <f>VLOOKUP($B1122,'Run Reconcile'!B$2:O2488,14,FALSE)</f>
        <v>1</v>
      </c>
      <c r="R1122" s="472" t="str">
        <f t="array" ref="R1122">IF($Q1122, INDEX('Run Reconcile'!A$2:A2488,MATCH(B1122,'Run Reconcile'!B$2:B2488,0),1),IFERROR(0/0,""))</f>
        <v>RUN-FLMP_2022-04-25_RFR-118</v>
      </c>
      <c r="S1122" s="473" t="str">
        <f t="shared" si="694"/>
        <v/>
      </c>
      <c r="T1122" s="473" t="str">
        <f t="shared" si="698"/>
        <v/>
      </c>
      <c r="U1122" s="275" t="str">
        <f t="array" ref="U1122">IF(ISBLANK($R1122), INDEX('Run Reconcile'!A$2:A2488, MATCH($B1122, 'Run Reconcile'!B$2:B2488, 0)+Z1122, 1), IFERROR(0/0,""))
</f>
        <v/>
      </c>
      <c r="V1122" s="474" t="str">
        <f t="shared" si="5"/>
        <v>RUN-FLMP_2022-04-25_RFR-118</v>
      </c>
      <c r="Y1122" s="89" t="str">
        <f t="shared" si="867"/>
        <v/>
      </c>
      <c r="Z1122" s="60" t="str">
        <f t="shared" si="7"/>
        <v/>
      </c>
      <c r="AA1122" s="60" t="str">
        <f t="shared" si="8"/>
        <v/>
      </c>
      <c r="AB1122" s="60" t="str">
        <f t="shared" si="9"/>
        <v/>
      </c>
      <c r="AC1122" s="30" t="str">
        <f t="shared" ref="AC1122:AD1122" si="1478">IF(_xlfn.ISFORMULA(S1122),IFERROR(0/0,""),TRUE)</f>
        <v/>
      </c>
      <c r="AD1122" s="30" t="str">
        <f t="shared" si="1478"/>
        <v/>
      </c>
      <c r="AE1122" s="475" t="str">
        <f>IFERROR(__xludf.DUMMYFUNCTION("""COMPUTED_VALUE"""),"CRLN")</f>
        <v>CRLN</v>
      </c>
      <c r="AF1122" s="476"/>
      <c r="AG1122" s="474" t="s">
        <v>205</v>
      </c>
      <c r="AH1122" s="138" t="str">
        <f t="shared" si="11"/>
        <v/>
      </c>
    </row>
    <row r="1123">
      <c r="A1123" s="103" t="str">
        <f>IFERROR(__xludf.DUMMYFUNCTION("""COMPUTED_VALUE"""),"AH8004")</f>
        <v>AH8004</v>
      </c>
      <c r="B1123" s="468">
        <f>IFERROR(__xludf.DUMMYFUNCTION("""COMPUTED_VALUE"""),44676.0)</f>
        <v>44676</v>
      </c>
      <c r="C1123" s="469">
        <f>IFERROR(__xludf.DUMMYFUNCTION("""COMPUTED_VALUE"""),0.35376157407407405)</f>
        <v>0.3537615741</v>
      </c>
      <c r="D1123" s="103" t="str">
        <f>IFERROR(__xludf.DUMMYFUNCTION("""COMPUTED_VALUE"""),"SpFLMP273885")</f>
        <v>SpFLMP273885</v>
      </c>
      <c r="E1123" s="103"/>
      <c r="F1123" s="103"/>
      <c r="G1123" s="103" t="str">
        <f>IFERROR(__xludf.DUMMYFUNCTION("""COMPUTED_VALUE"""),"Negative")</f>
        <v>Negative</v>
      </c>
      <c r="H1123" s="131" t="str">
        <f>IFERROR(__xludf.DUMMYFUNCTION("""COMPUTED_VALUE"""),"Negative")</f>
        <v>Negative</v>
      </c>
      <c r="I1123" s="468">
        <f>IFERROR(__xludf.DUMMYFUNCTION("""COMPUTED_VALUE"""),44676.0)</f>
        <v>44676</v>
      </c>
      <c r="J1123" s="470">
        <f>IFERROR(__xludf.DUMMYFUNCTION("""COMPUTED_VALUE"""),0.4372800925925926)</f>
        <v>0.4372800926</v>
      </c>
      <c r="K1123" s="16"/>
      <c r="L1123" s="8"/>
      <c r="M1123" s="69"/>
      <c r="N1123" s="69">
        <f>IFERROR(__xludf.DUMMYFUNCTION("""COMPUTED_VALUE"""),4.0)</f>
        <v>4</v>
      </c>
      <c r="O1123" s="69" t="str">
        <f t="shared" si="3"/>
        <v/>
      </c>
      <c r="P1123" s="471">
        <f>IFERROR(__xludf.DUMMYFUNCTION("""COMPUTED_VALUE"""),0.0)</f>
        <v>0</v>
      </c>
      <c r="Q1123" s="274" t="b">
        <f>VLOOKUP($B1123,'Run Reconcile'!B$2:O2488,14,FALSE)</f>
        <v>1</v>
      </c>
      <c r="R1123" s="472" t="str">
        <f t="array" ref="R1123">IF($Q1123, INDEX('Run Reconcile'!A$2:A2488,MATCH(B1123,'Run Reconcile'!B$2:B2488,0),1),IFERROR(0/0,""))</f>
        <v>RUN-FLMP_2022-04-25_RFR-118</v>
      </c>
      <c r="S1123" s="473" t="str">
        <f t="shared" si="694"/>
        <v/>
      </c>
      <c r="T1123" s="473" t="str">
        <f t="shared" si="698"/>
        <v/>
      </c>
      <c r="U1123" s="275" t="str">
        <f t="array" ref="U1123">IF(ISBLANK($R1123), INDEX('Run Reconcile'!A$2:A2488, MATCH($B1123, 'Run Reconcile'!B$2:B2488, 0)+Z1123, 1), IFERROR(0/0,""))
</f>
        <v/>
      </c>
      <c r="V1123" s="474" t="str">
        <f t="shared" si="5"/>
        <v>RUN-FLMP_2022-04-25_RFR-118</v>
      </c>
      <c r="Y1123" s="89" t="str">
        <f t="shared" si="867"/>
        <v/>
      </c>
      <c r="Z1123" s="60" t="str">
        <f t="shared" si="7"/>
        <v/>
      </c>
      <c r="AA1123" s="60" t="str">
        <f t="shared" si="8"/>
        <v/>
      </c>
      <c r="AB1123" s="60" t="str">
        <f t="shared" si="9"/>
        <v/>
      </c>
      <c r="AC1123" s="30" t="str">
        <f t="shared" ref="AC1123:AD1123" si="1479">IF(_xlfn.ISFORMULA(S1123),IFERROR(0/0,""),TRUE)</f>
        <v/>
      </c>
      <c r="AD1123" s="30" t="str">
        <f t="shared" si="1479"/>
        <v/>
      </c>
      <c r="AE1123" s="475" t="str">
        <f>IFERROR(__xludf.DUMMYFUNCTION("""COMPUTED_VALUE"""),"CRLN")</f>
        <v>CRLN</v>
      </c>
      <c r="AF1123" s="476"/>
      <c r="AG1123" s="474" t="s">
        <v>205</v>
      </c>
      <c r="AH1123" s="138" t="str">
        <f t="shared" si="11"/>
        <v/>
      </c>
    </row>
    <row r="1124">
      <c r="A1124" s="103" t="str">
        <f>IFERROR(__xludf.DUMMYFUNCTION("""COMPUTED_VALUE"""),"FLE207")</f>
        <v>FLE207</v>
      </c>
      <c r="B1124" s="468">
        <f>IFERROR(__xludf.DUMMYFUNCTION("""COMPUTED_VALUE"""),44676.0)</f>
        <v>44676</v>
      </c>
      <c r="C1124" s="469">
        <f>IFERROR(__xludf.DUMMYFUNCTION("""COMPUTED_VALUE"""),0.3562037037037037)</f>
        <v>0.3562037037</v>
      </c>
      <c r="D1124" s="103" t="str">
        <f>IFERROR(__xludf.DUMMYFUNCTION("""COMPUTED_VALUE"""),"SpFLMP777132")</f>
        <v>SpFLMP777132</v>
      </c>
      <c r="E1124" s="103"/>
      <c r="F1124" s="103"/>
      <c r="G1124" s="103" t="str">
        <f>IFERROR(__xludf.DUMMYFUNCTION("""COMPUTED_VALUE"""),"Negative")</f>
        <v>Negative</v>
      </c>
      <c r="H1124" s="131" t="str">
        <f>IFERROR(__xludf.DUMMYFUNCTION("""COMPUTED_VALUE"""),"Negative")</f>
        <v>Negative</v>
      </c>
      <c r="I1124" s="468">
        <f>IFERROR(__xludf.DUMMYFUNCTION("""COMPUTED_VALUE"""),44676.0)</f>
        <v>44676</v>
      </c>
      <c r="J1124" s="470">
        <f>IFERROR(__xludf.DUMMYFUNCTION("""COMPUTED_VALUE"""),0.4372800925925926)</f>
        <v>0.4372800926</v>
      </c>
      <c r="K1124" s="16"/>
      <c r="L1124" s="8"/>
      <c r="M1124" s="69"/>
      <c r="N1124" s="69">
        <f>IFERROR(__xludf.DUMMYFUNCTION("""COMPUTED_VALUE"""),2.0)</f>
        <v>2</v>
      </c>
      <c r="O1124" s="69" t="str">
        <f t="shared" si="3"/>
        <v/>
      </c>
      <c r="P1124" s="471">
        <f>IFERROR(__xludf.DUMMYFUNCTION("""COMPUTED_VALUE"""),0.0)</f>
        <v>0</v>
      </c>
      <c r="Q1124" s="274" t="b">
        <f>VLOOKUP($B1124,'Run Reconcile'!B$2:O2488,14,FALSE)</f>
        <v>1</v>
      </c>
      <c r="R1124" s="472" t="str">
        <f t="array" ref="R1124">IF($Q1124, INDEX('Run Reconcile'!A$2:A2488,MATCH(B1124,'Run Reconcile'!B$2:B2488,0),1),IFERROR(0/0,""))</f>
        <v>RUN-FLMP_2022-04-25_RFR-118</v>
      </c>
      <c r="S1124" s="473" t="str">
        <f t="shared" si="694"/>
        <v/>
      </c>
      <c r="T1124" s="473" t="str">
        <f t="shared" si="698"/>
        <v/>
      </c>
      <c r="U1124" s="275" t="str">
        <f t="array" ref="U1124">IF(ISBLANK($R1124), INDEX('Run Reconcile'!A$2:A2488, MATCH($B1124, 'Run Reconcile'!B$2:B2488, 0)+Z1124, 1), IFERROR(0/0,""))
</f>
        <v/>
      </c>
      <c r="V1124" s="474" t="str">
        <f t="shared" si="5"/>
        <v>RUN-FLMP_2022-04-25_RFR-118</v>
      </c>
      <c r="Y1124" s="89" t="str">
        <f t="shared" si="867"/>
        <v/>
      </c>
      <c r="Z1124" s="60" t="str">
        <f t="shared" si="7"/>
        <v/>
      </c>
      <c r="AA1124" s="60" t="str">
        <f t="shared" si="8"/>
        <v/>
      </c>
      <c r="AB1124" s="60" t="str">
        <f t="shared" si="9"/>
        <v/>
      </c>
      <c r="AC1124" s="30" t="str">
        <f t="shared" ref="AC1124:AD1124" si="1480">IF(_xlfn.ISFORMULA(S1124),IFERROR(0/0,""),TRUE)</f>
        <v/>
      </c>
      <c r="AD1124" s="30" t="str">
        <f t="shared" si="1480"/>
        <v/>
      </c>
      <c r="AE1124" s="475" t="str">
        <f>IFERROR(__xludf.DUMMYFUNCTION("""COMPUTED_VALUE"""),"CRLN")</f>
        <v>CRLN</v>
      </c>
      <c r="AF1124" s="476"/>
      <c r="AG1124" s="474" t="s">
        <v>205</v>
      </c>
      <c r="AH1124" s="138" t="str">
        <f t="shared" si="11"/>
        <v/>
      </c>
    </row>
    <row r="1125">
      <c r="A1125" s="103" t="str">
        <f>IFERROR(__xludf.DUMMYFUNCTION("""COMPUTED_VALUE"""),"FLE312")</f>
        <v>FLE312</v>
      </c>
      <c r="B1125" s="468">
        <f>IFERROR(__xludf.DUMMYFUNCTION("""COMPUTED_VALUE"""),44676.0)</f>
        <v>44676</v>
      </c>
      <c r="C1125" s="469">
        <f>IFERROR(__xludf.DUMMYFUNCTION("""COMPUTED_VALUE"""),0.35681712962962964)</f>
        <v>0.3568171296</v>
      </c>
      <c r="D1125" s="103" t="str">
        <f>IFERROR(__xludf.DUMMYFUNCTION("""COMPUTED_VALUE"""),"SpFLMP939619")</f>
        <v>SpFLMP939619</v>
      </c>
      <c r="E1125" s="103"/>
      <c r="F1125" s="103"/>
      <c r="G1125" s="103" t="str">
        <f>IFERROR(__xludf.DUMMYFUNCTION("""COMPUTED_VALUE"""),"Negative")</f>
        <v>Negative</v>
      </c>
      <c r="H1125" s="131" t="str">
        <f>IFERROR(__xludf.DUMMYFUNCTION("""COMPUTED_VALUE"""),"Negative")</f>
        <v>Negative</v>
      </c>
      <c r="I1125" s="468">
        <f>IFERROR(__xludf.DUMMYFUNCTION("""COMPUTED_VALUE"""),44676.0)</f>
        <v>44676</v>
      </c>
      <c r="J1125" s="470">
        <f>IFERROR(__xludf.DUMMYFUNCTION("""COMPUTED_VALUE"""),0.4372800925925926)</f>
        <v>0.4372800926</v>
      </c>
      <c r="K1125" s="16"/>
      <c r="L1125" s="8"/>
      <c r="M1125" s="69"/>
      <c r="N1125" s="69">
        <f>IFERROR(__xludf.DUMMYFUNCTION("""COMPUTED_VALUE"""),1.0)</f>
        <v>1</v>
      </c>
      <c r="O1125" s="69" t="str">
        <f t="shared" si="3"/>
        <v/>
      </c>
      <c r="P1125" s="471">
        <f>IFERROR(__xludf.DUMMYFUNCTION("""COMPUTED_VALUE"""),0.0)</f>
        <v>0</v>
      </c>
      <c r="Q1125" s="274" t="b">
        <f>VLOOKUP($B1125,'Run Reconcile'!B$2:O2488,14,FALSE)</f>
        <v>1</v>
      </c>
      <c r="R1125" s="472" t="str">
        <f t="array" ref="R1125">IF($Q1125, INDEX('Run Reconcile'!A$2:A2488,MATCH(B1125,'Run Reconcile'!B$2:B2488,0),1),IFERROR(0/0,""))</f>
        <v>RUN-FLMP_2022-04-25_RFR-118</v>
      </c>
      <c r="S1125" s="473" t="str">
        <f t="shared" si="694"/>
        <v/>
      </c>
      <c r="T1125" s="473" t="str">
        <f t="shared" si="698"/>
        <v/>
      </c>
      <c r="U1125" s="275" t="str">
        <f t="array" ref="U1125">IF(ISBLANK($R1125), INDEX('Run Reconcile'!A$2:A2488, MATCH($B1125, 'Run Reconcile'!B$2:B2488, 0)+Z1125, 1), IFERROR(0/0,""))
</f>
        <v/>
      </c>
      <c r="V1125" s="474" t="str">
        <f t="shared" si="5"/>
        <v>RUN-FLMP_2022-04-25_RFR-118</v>
      </c>
      <c r="Y1125" s="89" t="str">
        <f t="shared" si="867"/>
        <v/>
      </c>
      <c r="Z1125" s="60" t="str">
        <f t="shared" si="7"/>
        <v/>
      </c>
      <c r="AA1125" s="60" t="str">
        <f t="shared" si="8"/>
        <v/>
      </c>
      <c r="AB1125" s="60" t="str">
        <f t="shared" si="9"/>
        <v/>
      </c>
      <c r="AC1125" s="30" t="str">
        <f t="shared" ref="AC1125:AD1125" si="1481">IF(_xlfn.ISFORMULA(S1125),IFERROR(0/0,""),TRUE)</f>
        <v/>
      </c>
      <c r="AD1125" s="30" t="str">
        <f t="shared" si="1481"/>
        <v/>
      </c>
      <c r="AE1125" s="475" t="str">
        <f>IFERROR(__xludf.DUMMYFUNCTION("""COMPUTED_VALUE"""),"CRLN")</f>
        <v>CRLN</v>
      </c>
      <c r="AF1125" s="476"/>
      <c r="AG1125" s="474" t="s">
        <v>205</v>
      </c>
      <c r="AH1125" s="138" t="str">
        <f t="shared" si="11"/>
        <v/>
      </c>
    </row>
    <row r="1126">
      <c r="A1126" s="103" t="str">
        <f>IFERROR(__xludf.DUMMYFUNCTION("""COMPUTED_VALUE"""),"FLB7376")</f>
        <v>FLB7376</v>
      </c>
      <c r="B1126" s="468">
        <f>IFERROR(__xludf.DUMMYFUNCTION("""COMPUTED_VALUE"""),44676.0)</f>
        <v>44676</v>
      </c>
      <c r="C1126" s="469">
        <f>IFERROR(__xludf.DUMMYFUNCTION("""COMPUTED_VALUE"""),0.35739583333333336)</f>
        <v>0.3573958333</v>
      </c>
      <c r="D1126" s="103" t="str">
        <f>IFERROR(__xludf.DUMMYFUNCTION("""COMPUTED_VALUE"""),"SpFLMP268514")</f>
        <v>SpFLMP268514</v>
      </c>
      <c r="E1126" s="103"/>
      <c r="F1126" s="103"/>
      <c r="G1126" s="103" t="str">
        <f>IFERROR(__xludf.DUMMYFUNCTION("""COMPUTED_VALUE"""),"Negative")</f>
        <v>Negative</v>
      </c>
      <c r="H1126" s="131" t="str">
        <f>IFERROR(__xludf.DUMMYFUNCTION("""COMPUTED_VALUE"""),"Negative")</f>
        <v>Negative</v>
      </c>
      <c r="I1126" s="468">
        <f>IFERROR(__xludf.DUMMYFUNCTION("""COMPUTED_VALUE"""),44676.0)</f>
        <v>44676</v>
      </c>
      <c r="J1126" s="470">
        <f>IFERROR(__xludf.DUMMYFUNCTION("""COMPUTED_VALUE"""),0.4372800925925926)</f>
        <v>0.4372800926</v>
      </c>
      <c r="K1126" s="16"/>
      <c r="L1126" s="8"/>
      <c r="M1126" s="69"/>
      <c r="N1126" s="69">
        <f>IFERROR(__xludf.DUMMYFUNCTION("""COMPUTED_VALUE"""),3.0)</f>
        <v>3</v>
      </c>
      <c r="O1126" s="69" t="str">
        <f t="shared" si="3"/>
        <v/>
      </c>
      <c r="P1126" s="471">
        <f>IFERROR(__xludf.DUMMYFUNCTION("""COMPUTED_VALUE"""),0.0)</f>
        <v>0</v>
      </c>
      <c r="Q1126" s="274" t="b">
        <f>VLOOKUP($B1126,'Run Reconcile'!B$2:O2488,14,FALSE)</f>
        <v>1</v>
      </c>
      <c r="R1126" s="472" t="str">
        <f t="array" ref="R1126">IF($Q1126, INDEX('Run Reconcile'!A$2:A2488,MATCH(B1126,'Run Reconcile'!B$2:B2488,0),1),IFERROR(0/0,""))</f>
        <v>RUN-FLMP_2022-04-25_RFR-118</v>
      </c>
      <c r="S1126" s="473" t="str">
        <f t="shared" si="694"/>
        <v/>
      </c>
      <c r="T1126" s="473" t="str">
        <f t="shared" si="698"/>
        <v/>
      </c>
      <c r="U1126" s="275" t="str">
        <f t="array" ref="U1126">IF(ISBLANK($R1126), INDEX('Run Reconcile'!A$2:A2488, MATCH($B1126, 'Run Reconcile'!B$2:B2488, 0)+Z1126, 1), IFERROR(0/0,""))
</f>
        <v/>
      </c>
      <c r="V1126" s="474" t="str">
        <f t="shared" si="5"/>
        <v>RUN-FLMP_2022-04-25_RFR-118</v>
      </c>
      <c r="Y1126" s="89" t="str">
        <f t="shared" si="867"/>
        <v/>
      </c>
      <c r="Z1126" s="60" t="str">
        <f t="shared" si="7"/>
        <v/>
      </c>
      <c r="AA1126" s="60" t="str">
        <f t="shared" si="8"/>
        <v/>
      </c>
      <c r="AB1126" s="60" t="str">
        <f t="shared" si="9"/>
        <v/>
      </c>
      <c r="AC1126" s="30" t="str">
        <f t="shared" ref="AC1126:AD1126" si="1482">IF(_xlfn.ISFORMULA(S1126),IFERROR(0/0,""),TRUE)</f>
        <v/>
      </c>
      <c r="AD1126" s="30" t="str">
        <f t="shared" si="1482"/>
        <v/>
      </c>
      <c r="AE1126" s="475" t="str">
        <f>IFERROR(__xludf.DUMMYFUNCTION("""COMPUTED_VALUE"""),"CRLN")</f>
        <v>CRLN</v>
      </c>
      <c r="AF1126" s="476"/>
      <c r="AG1126" s="474" t="s">
        <v>205</v>
      </c>
      <c r="AH1126" s="138" t="str">
        <f t="shared" si="11"/>
        <v/>
      </c>
    </row>
    <row r="1127">
      <c r="A1127" s="103" t="str">
        <f>IFERROR(__xludf.DUMMYFUNCTION("""COMPUTED_VALUE"""),"FLE820")</f>
        <v>FLE820</v>
      </c>
      <c r="B1127" s="468">
        <f>IFERROR(__xludf.DUMMYFUNCTION("""COMPUTED_VALUE"""),44676.0)</f>
        <v>44676</v>
      </c>
      <c r="C1127" s="469">
        <f>IFERROR(__xludf.DUMMYFUNCTION("""COMPUTED_VALUE"""),0.36440972222222223)</f>
        <v>0.3644097222</v>
      </c>
      <c r="D1127" s="103" t="str">
        <f>IFERROR(__xludf.DUMMYFUNCTION("""COMPUTED_VALUE"""),"SpFLMP170622")</f>
        <v>SpFLMP170622</v>
      </c>
      <c r="E1127" s="103"/>
      <c r="F1127" s="103"/>
      <c r="G1127" s="103" t="str">
        <f>IFERROR(__xludf.DUMMYFUNCTION("""COMPUTED_VALUE"""),"Negative")</f>
        <v>Negative</v>
      </c>
      <c r="H1127" s="131" t="str">
        <f>IFERROR(__xludf.DUMMYFUNCTION("""COMPUTED_VALUE"""),"Negative")</f>
        <v>Negative</v>
      </c>
      <c r="I1127" s="468">
        <f>IFERROR(__xludf.DUMMYFUNCTION("""COMPUTED_VALUE"""),44679.0)</f>
        <v>44679</v>
      </c>
      <c r="J1127" s="470">
        <f>IFERROR(__xludf.DUMMYFUNCTION("""COMPUTED_VALUE"""),0.44275462962962964)</f>
        <v>0.4427546296</v>
      </c>
      <c r="K1127" s="16"/>
      <c r="L1127" s="8"/>
      <c r="M1127" s="69"/>
      <c r="N1127" s="69">
        <f>IFERROR(__xludf.DUMMYFUNCTION("""COMPUTED_VALUE"""),2.0)</f>
        <v>2</v>
      </c>
      <c r="O1127" s="69" t="str">
        <f t="shared" si="3"/>
        <v/>
      </c>
      <c r="P1127" s="471">
        <f>IFERROR(__xludf.DUMMYFUNCTION("""COMPUTED_VALUE"""),3.0)</f>
        <v>3</v>
      </c>
      <c r="Q1127" s="274" t="b">
        <f>VLOOKUP($B1127,'Run Reconcile'!B$2:O2488,14,FALSE)</f>
        <v>1</v>
      </c>
      <c r="R1127" s="472" t="str">
        <f t="array" ref="R1127">IF($Q1127, INDEX('Run Reconcile'!A$2:A2488,MATCH(B1127,'Run Reconcile'!B$2:B2488,0),1),IFERROR(0/0,""))</f>
        <v>RUN-FLMP_2022-04-25_RFR-118</v>
      </c>
      <c r="S1127" s="473" t="str">
        <f t="shared" si="694"/>
        <v/>
      </c>
      <c r="T1127" s="473" t="str">
        <f t="shared" si="698"/>
        <v/>
      </c>
      <c r="U1127" s="275" t="str">
        <f t="array" ref="U1127">IF(ISBLANK($R1127), INDEX('Run Reconcile'!A$2:A2488, MATCH($B1127, 'Run Reconcile'!B$2:B2488, 0)+Z1127, 1), IFERROR(0/0,""))
</f>
        <v/>
      </c>
      <c r="V1127" s="474" t="str">
        <f t="shared" si="5"/>
        <v>RUN-FLMP_2022-04-25_RFR-118</v>
      </c>
      <c r="Y1127" s="89" t="str">
        <f t="shared" si="867"/>
        <v/>
      </c>
      <c r="Z1127" s="60" t="str">
        <f t="shared" si="7"/>
        <v/>
      </c>
      <c r="AA1127" s="60" t="str">
        <f t="shared" si="8"/>
        <v/>
      </c>
      <c r="AB1127" s="60" t="str">
        <f t="shared" si="9"/>
        <v/>
      </c>
      <c r="AC1127" s="30" t="str">
        <f t="shared" ref="AC1127:AD1127" si="1483">IF(_xlfn.ISFORMULA(S1127),IFERROR(0/0,""),TRUE)</f>
        <v/>
      </c>
      <c r="AD1127" s="30" t="str">
        <f t="shared" si="1483"/>
        <v/>
      </c>
      <c r="AE1127" s="475" t="str">
        <f>IFERROR(__xludf.DUMMYFUNCTION("""COMPUTED_VALUE"""),"CRLN")</f>
        <v>CRLN</v>
      </c>
      <c r="AF1127" s="476"/>
      <c r="AG1127" s="474" t="s">
        <v>205</v>
      </c>
      <c r="AH1127" s="138" t="str">
        <f t="shared" si="11"/>
        <v/>
      </c>
    </row>
    <row r="1128">
      <c r="A1128" s="103" t="str">
        <f>IFERROR(__xludf.DUMMYFUNCTION("""COMPUTED_VALUE"""),"FLB4785")</f>
        <v>FLB4785</v>
      </c>
      <c r="B1128" s="468">
        <f>IFERROR(__xludf.DUMMYFUNCTION("""COMPUTED_VALUE"""),44676.0)</f>
        <v>44676</v>
      </c>
      <c r="C1128" s="469">
        <f>IFERROR(__xludf.DUMMYFUNCTION("""COMPUTED_VALUE"""),0.36699074074074073)</f>
        <v>0.3669907407</v>
      </c>
      <c r="D1128" s="103" t="str">
        <f>IFERROR(__xludf.DUMMYFUNCTION("""COMPUTED_VALUE"""),"SpFLMP496039")</f>
        <v>SpFLMP496039</v>
      </c>
      <c r="E1128" s="103"/>
      <c r="F1128" s="103"/>
      <c r="G1128" s="103" t="str">
        <f>IFERROR(__xludf.DUMMYFUNCTION("""COMPUTED_VALUE"""),"Negative")</f>
        <v>Negative</v>
      </c>
      <c r="H1128" s="131" t="str">
        <f>IFERROR(__xludf.DUMMYFUNCTION("""COMPUTED_VALUE"""),"Negative")</f>
        <v>Negative</v>
      </c>
      <c r="I1128" s="468">
        <f>IFERROR(__xludf.DUMMYFUNCTION("""COMPUTED_VALUE"""),44676.0)</f>
        <v>44676</v>
      </c>
      <c r="J1128" s="470">
        <f>IFERROR(__xludf.DUMMYFUNCTION("""COMPUTED_VALUE"""),0.4372800925925926)</f>
        <v>0.4372800926</v>
      </c>
      <c r="K1128" s="16"/>
      <c r="L1128" s="8"/>
      <c r="M1128" s="69"/>
      <c r="N1128" s="69">
        <f>IFERROR(__xludf.DUMMYFUNCTION("""COMPUTED_VALUE"""),1.0)</f>
        <v>1</v>
      </c>
      <c r="O1128" s="69" t="str">
        <f t="shared" si="3"/>
        <v/>
      </c>
      <c r="P1128" s="471">
        <f>IFERROR(__xludf.DUMMYFUNCTION("""COMPUTED_VALUE"""),0.0)</f>
        <v>0</v>
      </c>
      <c r="Q1128" s="274" t="b">
        <f>VLOOKUP($B1128,'Run Reconcile'!B$2:O2488,14,FALSE)</f>
        <v>1</v>
      </c>
      <c r="R1128" s="472" t="str">
        <f t="array" ref="R1128">IF($Q1128, INDEX('Run Reconcile'!A$2:A2488,MATCH(B1128,'Run Reconcile'!B$2:B2488,0),1),IFERROR(0/0,""))</f>
        <v>RUN-FLMP_2022-04-25_RFR-118</v>
      </c>
      <c r="S1128" s="473" t="str">
        <f t="shared" si="694"/>
        <v/>
      </c>
      <c r="T1128" s="473" t="str">
        <f t="shared" si="698"/>
        <v/>
      </c>
      <c r="U1128" s="275" t="str">
        <f t="array" ref="U1128">IF(ISBLANK($R1128), INDEX('Run Reconcile'!A$2:A2488, MATCH($B1128, 'Run Reconcile'!B$2:B2488, 0)+Z1128, 1), IFERROR(0/0,""))
</f>
        <v/>
      </c>
      <c r="V1128" s="474" t="str">
        <f t="shared" si="5"/>
        <v>RUN-FLMP_2022-04-25_RFR-118</v>
      </c>
      <c r="Y1128" s="89" t="str">
        <f t="shared" si="867"/>
        <v/>
      </c>
      <c r="Z1128" s="60" t="str">
        <f t="shared" si="7"/>
        <v/>
      </c>
      <c r="AA1128" s="60" t="str">
        <f t="shared" si="8"/>
        <v/>
      </c>
      <c r="AB1128" s="60" t="str">
        <f t="shared" si="9"/>
        <v/>
      </c>
      <c r="AC1128" s="30" t="str">
        <f t="shared" ref="AC1128:AD1128" si="1484">IF(_xlfn.ISFORMULA(S1128),IFERROR(0/0,""),TRUE)</f>
        <v/>
      </c>
      <c r="AD1128" s="30" t="str">
        <f t="shared" si="1484"/>
        <v/>
      </c>
      <c r="AE1128" s="475" t="str">
        <f>IFERROR(__xludf.DUMMYFUNCTION("""COMPUTED_VALUE"""),"FLSP")</f>
        <v>FLSP</v>
      </c>
      <c r="AF1128" s="476"/>
      <c r="AG1128" s="474" t="s">
        <v>205</v>
      </c>
      <c r="AH1128" s="138" t="str">
        <f t="shared" si="11"/>
        <v/>
      </c>
    </row>
    <row r="1129">
      <c r="A1129" s="103" t="str">
        <f>IFERROR(__xludf.DUMMYFUNCTION("""COMPUTED_VALUE"""),"FLE856")</f>
        <v>FLE856</v>
      </c>
      <c r="B1129" s="468">
        <f>IFERROR(__xludf.DUMMYFUNCTION("""COMPUTED_VALUE"""),44676.0)</f>
        <v>44676</v>
      </c>
      <c r="C1129" s="469">
        <f>IFERROR(__xludf.DUMMYFUNCTION("""COMPUTED_VALUE"""),0.3720949074074074)</f>
        <v>0.3720949074</v>
      </c>
      <c r="D1129" s="103" t="str">
        <f>IFERROR(__xludf.DUMMYFUNCTION("""COMPUTED_VALUE"""),"SpFLMP649771")</f>
        <v>SpFLMP649771</v>
      </c>
      <c r="E1129" s="103"/>
      <c r="F1129" s="103"/>
      <c r="G1129" s="103" t="str">
        <f>IFERROR(__xludf.DUMMYFUNCTION("""COMPUTED_VALUE"""),"Negative")</f>
        <v>Negative</v>
      </c>
      <c r="H1129" s="131" t="str">
        <f>IFERROR(__xludf.DUMMYFUNCTION("""COMPUTED_VALUE"""),"Negative")</f>
        <v>Negative</v>
      </c>
      <c r="I1129" s="468">
        <f>IFERROR(__xludf.DUMMYFUNCTION("""COMPUTED_VALUE"""),44676.0)</f>
        <v>44676</v>
      </c>
      <c r="J1129" s="470">
        <f>IFERROR(__xludf.DUMMYFUNCTION("""COMPUTED_VALUE"""),0.4372800925925926)</f>
        <v>0.4372800926</v>
      </c>
      <c r="K1129" s="16"/>
      <c r="L1129" s="8"/>
      <c r="M1129" s="69"/>
      <c r="N1129" s="69">
        <f>IFERROR(__xludf.DUMMYFUNCTION("""COMPUTED_VALUE"""),3.0)</f>
        <v>3</v>
      </c>
      <c r="O1129" s="69" t="str">
        <f t="shared" si="3"/>
        <v/>
      </c>
      <c r="P1129" s="471">
        <f>IFERROR(__xludf.DUMMYFUNCTION("""COMPUTED_VALUE"""),0.0)</f>
        <v>0</v>
      </c>
      <c r="Q1129" s="274" t="b">
        <f>VLOOKUP($B1129,'Run Reconcile'!B$2:O2488,14,FALSE)</f>
        <v>1</v>
      </c>
      <c r="R1129" s="472" t="str">
        <f t="array" ref="R1129">IF($Q1129, INDEX('Run Reconcile'!A$2:A2488,MATCH(B1129,'Run Reconcile'!B$2:B2488,0),1),IFERROR(0/0,""))</f>
        <v>RUN-FLMP_2022-04-25_RFR-118</v>
      </c>
      <c r="S1129" s="473" t="str">
        <f t="shared" si="694"/>
        <v/>
      </c>
      <c r="T1129" s="473" t="str">
        <f t="shared" si="698"/>
        <v/>
      </c>
      <c r="U1129" s="275" t="str">
        <f t="array" ref="U1129">IF(ISBLANK($R1129), INDEX('Run Reconcile'!A$2:A2488, MATCH($B1129, 'Run Reconcile'!B$2:B2488, 0)+Z1129, 1), IFERROR(0/0,""))
</f>
        <v/>
      </c>
      <c r="V1129" s="474" t="str">
        <f t="shared" si="5"/>
        <v>RUN-FLMP_2022-04-25_RFR-118</v>
      </c>
      <c r="Y1129" s="89" t="str">
        <f t="shared" si="867"/>
        <v/>
      </c>
      <c r="Z1129" s="60" t="str">
        <f t="shared" si="7"/>
        <v/>
      </c>
      <c r="AA1129" s="60" t="str">
        <f t="shared" si="8"/>
        <v/>
      </c>
      <c r="AB1129" s="60" t="str">
        <f t="shared" si="9"/>
        <v/>
      </c>
      <c r="AC1129" s="30" t="str">
        <f t="shared" ref="AC1129:AD1129" si="1485">IF(_xlfn.ISFORMULA(S1129),IFERROR(0/0,""),TRUE)</f>
        <v/>
      </c>
      <c r="AD1129" s="30" t="str">
        <f t="shared" si="1485"/>
        <v/>
      </c>
      <c r="AE1129" s="475" t="str">
        <f>IFERROR(__xludf.DUMMYFUNCTION("""COMPUTED_VALUE"""),"CRLN")</f>
        <v>CRLN</v>
      </c>
      <c r="AF1129" s="476"/>
      <c r="AG1129" s="474" t="s">
        <v>205</v>
      </c>
      <c r="AH1129" s="138" t="str">
        <f t="shared" si="11"/>
        <v/>
      </c>
    </row>
    <row r="1130">
      <c r="A1130" s="103" t="str">
        <f>IFERROR(__xludf.DUMMYFUNCTION("""COMPUTED_VALUE"""),"FLB4931")</f>
        <v>FLB4931</v>
      </c>
      <c r="B1130" s="468">
        <f>IFERROR(__xludf.DUMMYFUNCTION("""COMPUTED_VALUE"""),44676.0)</f>
        <v>44676</v>
      </c>
      <c r="C1130" s="469">
        <f>IFERROR(__xludf.DUMMYFUNCTION("""COMPUTED_VALUE"""),0.38586805555555553)</f>
        <v>0.3858680556</v>
      </c>
      <c r="D1130" s="103" t="str">
        <f>IFERROR(__xludf.DUMMYFUNCTION("""COMPUTED_VALUE"""),"SpFLMP120998")</f>
        <v>SpFLMP120998</v>
      </c>
      <c r="E1130" s="103"/>
      <c r="F1130" s="103"/>
      <c r="G1130" s="103" t="str">
        <f>IFERROR(__xludf.DUMMYFUNCTION("""COMPUTED_VALUE"""),"Negative")</f>
        <v>Negative</v>
      </c>
      <c r="H1130" s="131" t="str">
        <f>IFERROR(__xludf.DUMMYFUNCTION("""COMPUTED_VALUE"""),"Negative")</f>
        <v>Negative</v>
      </c>
      <c r="I1130" s="468">
        <f>IFERROR(__xludf.DUMMYFUNCTION("""COMPUTED_VALUE"""),44676.0)</f>
        <v>44676</v>
      </c>
      <c r="J1130" s="470">
        <f>IFERROR(__xludf.DUMMYFUNCTION("""COMPUTED_VALUE"""),0.4372800925925926)</f>
        <v>0.4372800926</v>
      </c>
      <c r="K1130" s="16"/>
      <c r="L1130" s="8"/>
      <c r="M1130" s="69"/>
      <c r="N1130" s="69">
        <f>IFERROR(__xludf.DUMMYFUNCTION("""COMPUTED_VALUE"""),1.0)</f>
        <v>1</v>
      </c>
      <c r="O1130" s="69" t="str">
        <f t="shared" si="3"/>
        <v/>
      </c>
      <c r="P1130" s="471">
        <f>IFERROR(__xludf.DUMMYFUNCTION("""COMPUTED_VALUE"""),0.0)</f>
        <v>0</v>
      </c>
      <c r="Q1130" s="274" t="b">
        <f>VLOOKUP($B1130,'Run Reconcile'!B$2:O2488,14,FALSE)</f>
        <v>1</v>
      </c>
      <c r="R1130" s="472" t="str">
        <f t="array" ref="R1130">IF($Q1130, INDEX('Run Reconcile'!A$2:A2488,MATCH(B1130,'Run Reconcile'!B$2:B2488,0),1),IFERROR(0/0,""))</f>
        <v>RUN-FLMP_2022-04-25_RFR-118</v>
      </c>
      <c r="S1130" s="473" t="str">
        <f t="shared" si="694"/>
        <v/>
      </c>
      <c r="T1130" s="473" t="str">
        <f t="shared" si="698"/>
        <v/>
      </c>
      <c r="U1130" s="275" t="str">
        <f t="array" ref="U1130">IF(ISBLANK($R1130), INDEX('Run Reconcile'!A$2:A2488, MATCH($B1130, 'Run Reconcile'!B$2:B2488, 0)+Z1130, 1), IFERROR(0/0,""))
</f>
        <v/>
      </c>
      <c r="V1130" s="474" t="str">
        <f t="shared" si="5"/>
        <v>RUN-FLMP_2022-04-25_RFR-118</v>
      </c>
      <c r="Y1130" s="89" t="str">
        <f t="shared" si="867"/>
        <v/>
      </c>
      <c r="Z1130" s="60" t="str">
        <f t="shared" si="7"/>
        <v/>
      </c>
      <c r="AA1130" s="60" t="str">
        <f t="shared" si="8"/>
        <v/>
      </c>
      <c r="AB1130" s="60" t="str">
        <f t="shared" si="9"/>
        <v/>
      </c>
      <c r="AC1130" s="30" t="str">
        <f t="shared" ref="AC1130:AD1130" si="1486">IF(_xlfn.ISFORMULA(S1130),IFERROR(0/0,""),TRUE)</f>
        <v/>
      </c>
      <c r="AD1130" s="30" t="str">
        <f t="shared" si="1486"/>
        <v/>
      </c>
      <c r="AE1130" s="475" t="str">
        <f>IFERROR(__xludf.DUMMYFUNCTION("""COMPUTED_VALUE"""),"FLSP")</f>
        <v>FLSP</v>
      </c>
      <c r="AF1130" s="476"/>
      <c r="AG1130" s="474" t="s">
        <v>205</v>
      </c>
      <c r="AH1130" s="138" t="str">
        <f t="shared" si="11"/>
        <v/>
      </c>
    </row>
    <row r="1131">
      <c r="A1131" s="477" t="str">
        <f>IFERROR(__xludf.DUMMYFUNCTION("""COMPUTED_VALUE"""),"AH7611")</f>
        <v>AH7611</v>
      </c>
      <c r="B1131" s="478">
        <f>IFERROR(__xludf.DUMMYFUNCTION("""COMPUTED_VALUE"""),44679.0)</f>
        <v>44679</v>
      </c>
      <c r="C1131" s="479">
        <f>IFERROR(__xludf.DUMMYFUNCTION("""COMPUTED_VALUE"""),0.2716087962962963)</f>
        <v>0.2716087963</v>
      </c>
      <c r="D1131" s="477" t="str">
        <f>IFERROR(__xludf.DUMMYFUNCTION("""COMPUTED_VALUE"""),"SpFLMP470379")</f>
        <v>SpFLMP470379</v>
      </c>
      <c r="E1131" s="477"/>
      <c r="F1131" s="477"/>
      <c r="G1131" s="477" t="str">
        <f>IFERROR(__xludf.DUMMYFUNCTION("""COMPUTED_VALUE"""),"Negative")</f>
        <v>Negative</v>
      </c>
      <c r="H1131" s="480" t="str">
        <f>IFERROR(__xludf.DUMMYFUNCTION("""COMPUTED_VALUE"""),"Negative")</f>
        <v>Negative</v>
      </c>
      <c r="I1131" s="478">
        <f>IFERROR(__xludf.DUMMYFUNCTION("""COMPUTED_VALUE"""),44679.0)</f>
        <v>44679</v>
      </c>
      <c r="J1131" s="481">
        <f>IFERROR(__xludf.DUMMYFUNCTION("""COMPUTED_VALUE"""),0.44275462962962964)</f>
        <v>0.4427546296</v>
      </c>
      <c r="K1131" s="156"/>
      <c r="L1131" s="19"/>
      <c r="M1131" s="482"/>
      <c r="N1131" s="482">
        <f>IFERROR(__xludf.DUMMYFUNCTION("""COMPUTED_VALUE"""),1.0)</f>
        <v>1</v>
      </c>
      <c r="O1131" s="482" t="b">
        <f t="shared" si="3"/>
        <v>1</v>
      </c>
      <c r="P1131" s="483">
        <f>IFERROR(__xludf.DUMMYFUNCTION("""COMPUTED_VALUE"""),0.0)</f>
        <v>0</v>
      </c>
      <c r="Q1131" s="352" t="b">
        <f>VLOOKUP($B1131,'Run Reconcile'!B$2:O2488,14,FALSE)</f>
        <v>1</v>
      </c>
      <c r="R1131" s="484" t="str">
        <f t="array" ref="R1131">IF($Q1131, INDEX('Run Reconcile'!A$2:A2488,MATCH(B1131,'Run Reconcile'!B$2:B2488,0),1),IFERROR(0/0,""))</f>
        <v>RUN-FLMP_2022-04-28_RFR-120</v>
      </c>
      <c r="S1131" s="485" t="str">
        <f t="shared" si="694"/>
        <v/>
      </c>
      <c r="T1131" s="485" t="str">
        <f t="shared" si="698"/>
        <v/>
      </c>
      <c r="U1131" s="353" t="str">
        <f t="array" ref="U1131">IF(ISBLANK($R1131), INDEX('Run Reconcile'!A$2:A2488, MATCH($B1131, 'Run Reconcile'!B$2:B2488, 0)+Z1131, 1), IFERROR(0/0,""))
</f>
        <v/>
      </c>
      <c r="V1131" s="486" t="str">
        <f t="shared" si="5"/>
        <v>RUN-FLMP_2022-04-28_RFR-120</v>
      </c>
      <c r="W1131" s="19"/>
      <c r="X1131" s="19"/>
      <c r="Y1131" s="89" t="str">
        <f t="shared" si="867"/>
        <v/>
      </c>
      <c r="Z1131" s="60" t="str">
        <f t="shared" si="7"/>
        <v/>
      </c>
      <c r="AA1131" s="60" t="str">
        <f t="shared" si="8"/>
        <v/>
      </c>
      <c r="AB1131" s="60" t="str">
        <f t="shared" si="9"/>
        <v/>
      </c>
      <c r="AC1131" s="158" t="str">
        <f t="shared" ref="AC1131:AD1131" si="1487">IF(_xlfn.ISFORMULA(S1131),IFERROR(0/0,""),TRUE)</f>
        <v/>
      </c>
      <c r="AD1131" s="158" t="str">
        <f t="shared" si="1487"/>
        <v/>
      </c>
      <c r="AE1131" s="488" t="str">
        <f>IFERROR(__xludf.DUMMYFUNCTION("""COMPUTED_VALUE"""),"CRLN")</f>
        <v>CRLN</v>
      </c>
      <c r="AF1131" s="489"/>
      <c r="AG1131" s="486" t="s">
        <v>206</v>
      </c>
      <c r="AH1131" s="138" t="str">
        <f t="shared" si="11"/>
        <v/>
      </c>
      <c r="AI1131" s="19"/>
      <c r="AJ1131" s="19"/>
      <c r="AK1131" s="19"/>
      <c r="AL1131" s="19"/>
      <c r="AM1131" s="19"/>
    </row>
    <row r="1132">
      <c r="A1132" s="103" t="str">
        <f>IFERROR(__xludf.DUMMYFUNCTION("""COMPUTED_VALUE"""),"AH7866")</f>
        <v>AH7866</v>
      </c>
      <c r="B1132" s="468">
        <f>IFERROR(__xludf.DUMMYFUNCTION("""COMPUTED_VALUE"""),44679.0)</f>
        <v>44679</v>
      </c>
      <c r="C1132" s="469">
        <f>IFERROR(__xludf.DUMMYFUNCTION("""COMPUTED_VALUE"""),0.29487268518518517)</f>
        <v>0.2948726852</v>
      </c>
      <c r="D1132" s="103" t="str">
        <f>IFERROR(__xludf.DUMMYFUNCTION("""COMPUTED_VALUE"""),"SpFLMP737812")</f>
        <v>SpFLMP737812</v>
      </c>
      <c r="E1132" s="103"/>
      <c r="F1132" s="103"/>
      <c r="G1132" s="103" t="str">
        <f>IFERROR(__xludf.DUMMYFUNCTION("""COMPUTED_VALUE"""),"Negative")</f>
        <v>Negative</v>
      </c>
      <c r="H1132" s="131" t="str">
        <f>IFERROR(__xludf.DUMMYFUNCTION("""COMPUTED_VALUE"""),"Negative")</f>
        <v>Negative</v>
      </c>
      <c r="I1132" s="468">
        <f>IFERROR(__xludf.DUMMYFUNCTION("""COMPUTED_VALUE"""),44679.0)</f>
        <v>44679</v>
      </c>
      <c r="J1132" s="470">
        <f>IFERROR(__xludf.DUMMYFUNCTION("""COMPUTED_VALUE"""),0.44275462962962964)</f>
        <v>0.4427546296</v>
      </c>
      <c r="K1132" s="16"/>
      <c r="L1132" s="8"/>
      <c r="M1132" s="69"/>
      <c r="N1132" s="69">
        <f>IFERROR(__xludf.DUMMYFUNCTION("""COMPUTED_VALUE"""),4.0)</f>
        <v>4</v>
      </c>
      <c r="O1132" s="69" t="str">
        <f t="shared" si="3"/>
        <v/>
      </c>
      <c r="P1132" s="471">
        <f>IFERROR(__xludf.DUMMYFUNCTION("""COMPUTED_VALUE"""),0.0)</f>
        <v>0</v>
      </c>
      <c r="Q1132" s="274" t="b">
        <f>VLOOKUP($B1132,'Run Reconcile'!B$2:O2488,14,FALSE)</f>
        <v>1</v>
      </c>
      <c r="R1132" s="472" t="str">
        <f t="array" ref="R1132">IF($Q1132, INDEX('Run Reconcile'!A$2:A2488,MATCH(B1132,'Run Reconcile'!B$2:B2488,0),1),IFERROR(0/0,""))</f>
        <v>RUN-FLMP_2022-04-28_RFR-120</v>
      </c>
      <c r="S1132" s="473" t="str">
        <f t="shared" si="694"/>
        <v/>
      </c>
      <c r="T1132" s="473" t="str">
        <f t="shared" si="698"/>
        <v/>
      </c>
      <c r="U1132" s="275" t="str">
        <f t="array" ref="U1132">IF(ISBLANK($R1132), INDEX('Run Reconcile'!A$2:A2488, MATCH($B1132, 'Run Reconcile'!B$2:B2488, 0)+Z1132, 1), IFERROR(0/0,""))
</f>
        <v/>
      </c>
      <c r="V1132" s="474" t="str">
        <f t="shared" si="5"/>
        <v>RUN-FLMP_2022-04-28_RFR-120</v>
      </c>
      <c r="Y1132" s="89" t="str">
        <f t="shared" si="867"/>
        <v/>
      </c>
      <c r="Z1132" s="60" t="str">
        <f t="shared" si="7"/>
        <v/>
      </c>
      <c r="AA1132" s="60" t="str">
        <f t="shared" si="8"/>
        <v/>
      </c>
      <c r="AB1132" s="60" t="str">
        <f t="shared" si="9"/>
        <v/>
      </c>
      <c r="AC1132" s="30" t="str">
        <f t="shared" ref="AC1132:AD1132" si="1488">IF(_xlfn.ISFORMULA(S1132),IFERROR(0/0,""),TRUE)</f>
        <v/>
      </c>
      <c r="AD1132" s="30" t="str">
        <f t="shared" si="1488"/>
        <v/>
      </c>
      <c r="AE1132" s="475" t="str">
        <f>IFERROR(__xludf.DUMMYFUNCTION("""COMPUTED_VALUE"""),"CRLN")</f>
        <v>CRLN</v>
      </c>
      <c r="AF1132" s="476"/>
      <c r="AG1132" s="474" t="s">
        <v>206</v>
      </c>
      <c r="AH1132" s="138" t="str">
        <f t="shared" si="11"/>
        <v/>
      </c>
    </row>
    <row r="1133">
      <c r="A1133" s="103" t="str">
        <f>IFERROR(__xludf.DUMMYFUNCTION("""COMPUTED_VALUE"""),"AK7126")</f>
        <v>AK7126</v>
      </c>
      <c r="B1133" s="468">
        <f>IFERROR(__xludf.DUMMYFUNCTION("""COMPUTED_VALUE"""),44679.0)</f>
        <v>44679</v>
      </c>
      <c r="C1133" s="469">
        <f>IFERROR(__xludf.DUMMYFUNCTION("""COMPUTED_VALUE"""),0.3096527777777778)</f>
        <v>0.3096527778</v>
      </c>
      <c r="D1133" s="103" t="str">
        <f>IFERROR(__xludf.DUMMYFUNCTION("""COMPUTED_VALUE"""),"SpFLMP273885")</f>
        <v>SpFLMP273885</v>
      </c>
      <c r="E1133" s="103"/>
      <c r="F1133" s="103"/>
      <c r="G1133" s="103" t="str">
        <f>IFERROR(__xludf.DUMMYFUNCTION("""COMPUTED_VALUE"""),"Negative")</f>
        <v>Negative</v>
      </c>
      <c r="H1133" s="131" t="str">
        <f>IFERROR(__xludf.DUMMYFUNCTION("""COMPUTED_VALUE"""),"Negative")</f>
        <v>Negative</v>
      </c>
      <c r="I1133" s="468">
        <f>IFERROR(__xludf.DUMMYFUNCTION("""COMPUTED_VALUE"""),44679.0)</f>
        <v>44679</v>
      </c>
      <c r="J1133" s="470">
        <f>IFERROR(__xludf.DUMMYFUNCTION("""COMPUTED_VALUE"""),0.44276620370370373)</f>
        <v>0.4427662037</v>
      </c>
      <c r="K1133" s="16"/>
      <c r="L1133" s="8"/>
      <c r="M1133" s="69"/>
      <c r="N1133" s="69">
        <f>IFERROR(__xludf.DUMMYFUNCTION("""COMPUTED_VALUE"""),5.0)</f>
        <v>5</v>
      </c>
      <c r="O1133" s="69" t="str">
        <f t="shared" si="3"/>
        <v/>
      </c>
      <c r="P1133" s="471">
        <f>IFERROR(__xludf.DUMMYFUNCTION("""COMPUTED_VALUE"""),0.0)</f>
        <v>0</v>
      </c>
      <c r="Q1133" s="274" t="b">
        <f>VLOOKUP($B1133,'Run Reconcile'!B$2:O2488,14,FALSE)</f>
        <v>1</v>
      </c>
      <c r="R1133" s="472" t="str">
        <f t="array" ref="R1133">IF($Q1133, INDEX('Run Reconcile'!A$2:A2488,MATCH(B1133,'Run Reconcile'!B$2:B2488,0),1),IFERROR(0/0,""))</f>
        <v>RUN-FLMP_2022-04-28_RFR-120</v>
      </c>
      <c r="S1133" s="473" t="str">
        <f t="shared" si="694"/>
        <v/>
      </c>
      <c r="T1133" s="473" t="str">
        <f t="shared" si="698"/>
        <v/>
      </c>
      <c r="U1133" s="275" t="str">
        <f t="array" ref="U1133">IF(ISBLANK($R1133), INDEX('Run Reconcile'!A$2:A2488, MATCH($B1133, 'Run Reconcile'!B$2:B2488, 0)+Z1133, 1), IFERROR(0/0,""))
</f>
        <v/>
      </c>
      <c r="V1133" s="474" t="str">
        <f t="shared" si="5"/>
        <v>RUN-FLMP_2022-04-28_RFR-120</v>
      </c>
      <c r="Y1133" s="89" t="str">
        <f t="shared" si="867"/>
        <v/>
      </c>
      <c r="Z1133" s="60" t="str">
        <f t="shared" si="7"/>
        <v/>
      </c>
      <c r="AA1133" s="60" t="str">
        <f t="shared" si="8"/>
        <v/>
      </c>
      <c r="AB1133" s="60" t="str">
        <f t="shared" si="9"/>
        <v/>
      </c>
      <c r="AC1133" s="30" t="str">
        <f t="shared" ref="AC1133:AD1133" si="1489">IF(_xlfn.ISFORMULA(S1133),IFERROR(0/0,""),TRUE)</f>
        <v/>
      </c>
      <c r="AD1133" s="30" t="str">
        <f t="shared" si="1489"/>
        <v/>
      </c>
      <c r="AE1133" s="475" t="str">
        <f>IFERROR(__xludf.DUMMYFUNCTION("""COMPUTED_VALUE"""),"CRLN")</f>
        <v>CRLN</v>
      </c>
      <c r="AF1133" s="476"/>
      <c r="AG1133" s="474" t="s">
        <v>206</v>
      </c>
      <c r="AH1133" s="138" t="str">
        <f t="shared" si="11"/>
        <v/>
      </c>
    </row>
    <row r="1134">
      <c r="A1134" s="103" t="str">
        <f>IFERROR(__xludf.DUMMYFUNCTION("""COMPUTED_VALUE"""),"FLE279")</f>
        <v>FLE279</v>
      </c>
      <c r="B1134" s="468">
        <f>IFERROR(__xludf.DUMMYFUNCTION("""COMPUTED_VALUE"""),44679.0)</f>
        <v>44679</v>
      </c>
      <c r="C1134" s="469">
        <f>IFERROR(__xludf.DUMMYFUNCTION("""COMPUTED_VALUE"""),0.3170601851851852)</f>
        <v>0.3170601852</v>
      </c>
      <c r="D1134" s="103" t="str">
        <f>IFERROR(__xludf.DUMMYFUNCTION("""COMPUTED_VALUE"""),"SpFLMP965392")</f>
        <v>SpFLMP965392</v>
      </c>
      <c r="E1134" s="103"/>
      <c r="F1134" s="103"/>
      <c r="G1134" s="103" t="str">
        <f>IFERROR(__xludf.DUMMYFUNCTION("""COMPUTED_VALUE"""),"Negative")</f>
        <v>Negative</v>
      </c>
      <c r="H1134" s="131" t="str">
        <f>IFERROR(__xludf.DUMMYFUNCTION("""COMPUTED_VALUE"""),"Negative")</f>
        <v>Negative</v>
      </c>
      <c r="I1134" s="468">
        <f>IFERROR(__xludf.DUMMYFUNCTION("""COMPUTED_VALUE"""),44679.0)</f>
        <v>44679</v>
      </c>
      <c r="J1134" s="470">
        <f>IFERROR(__xludf.DUMMYFUNCTION("""COMPUTED_VALUE"""),0.44276620370370373)</f>
        <v>0.4427662037</v>
      </c>
      <c r="K1134" s="16"/>
      <c r="L1134" s="8"/>
      <c r="M1134" s="69"/>
      <c r="N1134" s="69">
        <f>IFERROR(__xludf.DUMMYFUNCTION("""COMPUTED_VALUE"""),4.0)</f>
        <v>4</v>
      </c>
      <c r="O1134" s="69" t="str">
        <f t="shared" si="3"/>
        <v/>
      </c>
      <c r="P1134" s="471">
        <f>IFERROR(__xludf.DUMMYFUNCTION("""COMPUTED_VALUE"""),0.0)</f>
        <v>0</v>
      </c>
      <c r="Q1134" s="274" t="b">
        <f>VLOOKUP($B1134,'Run Reconcile'!B$2:O2488,14,FALSE)</f>
        <v>1</v>
      </c>
      <c r="R1134" s="472" t="str">
        <f t="array" ref="R1134">IF($Q1134, INDEX('Run Reconcile'!A$2:A2488,MATCH(B1134,'Run Reconcile'!B$2:B2488,0),1),IFERROR(0/0,""))</f>
        <v>RUN-FLMP_2022-04-28_RFR-120</v>
      </c>
      <c r="S1134" s="473" t="str">
        <f t="shared" si="694"/>
        <v/>
      </c>
      <c r="T1134" s="473" t="str">
        <f t="shared" si="698"/>
        <v/>
      </c>
      <c r="U1134" s="275" t="str">
        <f t="array" ref="U1134">IF(ISBLANK($R1134), INDEX('Run Reconcile'!A$2:A2488, MATCH($B1134, 'Run Reconcile'!B$2:B2488, 0)+Z1134, 1), IFERROR(0/0,""))
</f>
        <v/>
      </c>
      <c r="V1134" s="474" t="str">
        <f t="shared" si="5"/>
        <v>RUN-FLMP_2022-04-28_RFR-120</v>
      </c>
      <c r="Y1134" s="89" t="str">
        <f t="shared" si="867"/>
        <v/>
      </c>
      <c r="Z1134" s="60" t="str">
        <f t="shared" si="7"/>
        <v/>
      </c>
      <c r="AA1134" s="60" t="str">
        <f t="shared" si="8"/>
        <v/>
      </c>
      <c r="AB1134" s="60" t="str">
        <f t="shared" si="9"/>
        <v/>
      </c>
      <c r="AC1134" s="30" t="str">
        <f t="shared" ref="AC1134:AD1134" si="1490">IF(_xlfn.ISFORMULA(S1134),IFERROR(0/0,""),TRUE)</f>
        <v/>
      </c>
      <c r="AD1134" s="30" t="str">
        <f t="shared" si="1490"/>
        <v/>
      </c>
      <c r="AE1134" s="475" t="str">
        <f>IFERROR(__xludf.DUMMYFUNCTION("""COMPUTED_VALUE"""),"CRLN")</f>
        <v>CRLN</v>
      </c>
      <c r="AF1134" s="476"/>
      <c r="AG1134" s="474" t="s">
        <v>206</v>
      </c>
      <c r="AH1134" s="138" t="str">
        <f t="shared" si="11"/>
        <v/>
      </c>
    </row>
    <row r="1135">
      <c r="A1135" s="103" t="str">
        <f>IFERROR(__xludf.DUMMYFUNCTION("""COMPUTED_VALUE"""),"FLE937")</f>
        <v>FLE937</v>
      </c>
      <c r="B1135" s="468">
        <f>IFERROR(__xludf.DUMMYFUNCTION("""COMPUTED_VALUE"""),44679.0)</f>
        <v>44679</v>
      </c>
      <c r="C1135" s="469">
        <f>IFERROR(__xludf.DUMMYFUNCTION("""COMPUTED_VALUE"""),0.33140046296296294)</f>
        <v>0.331400463</v>
      </c>
      <c r="D1135" s="103" t="str">
        <f>IFERROR(__xludf.DUMMYFUNCTION("""COMPUTED_VALUE"""),"SpFLMP170622")</f>
        <v>SpFLMP170622</v>
      </c>
      <c r="E1135" s="103"/>
      <c r="F1135" s="103"/>
      <c r="G1135" s="103" t="str">
        <f>IFERROR(__xludf.DUMMYFUNCTION("""COMPUTED_VALUE"""),"Negative")</f>
        <v>Negative</v>
      </c>
      <c r="H1135" s="131" t="str">
        <f>IFERROR(__xludf.DUMMYFUNCTION("""COMPUTED_VALUE"""),"Negative")</f>
        <v>Negative</v>
      </c>
      <c r="I1135" s="468">
        <f>IFERROR(__xludf.DUMMYFUNCTION("""COMPUTED_VALUE"""),44679.0)</f>
        <v>44679</v>
      </c>
      <c r="J1135" s="470">
        <f>IFERROR(__xludf.DUMMYFUNCTION("""COMPUTED_VALUE"""),0.44276620370370373)</f>
        <v>0.4427662037</v>
      </c>
      <c r="K1135" s="16"/>
      <c r="L1135" s="8"/>
      <c r="M1135" s="69"/>
      <c r="N1135" s="69">
        <f>IFERROR(__xludf.DUMMYFUNCTION("""COMPUTED_VALUE"""),2.0)</f>
        <v>2</v>
      </c>
      <c r="O1135" s="69" t="str">
        <f t="shared" si="3"/>
        <v/>
      </c>
      <c r="P1135" s="471">
        <f>IFERROR(__xludf.DUMMYFUNCTION("""COMPUTED_VALUE"""),0.0)</f>
        <v>0</v>
      </c>
      <c r="Q1135" s="274" t="b">
        <f>VLOOKUP($B1135,'Run Reconcile'!B$2:O2488,14,FALSE)</f>
        <v>1</v>
      </c>
      <c r="R1135" s="472" t="str">
        <f t="array" ref="R1135">IF($Q1135, INDEX('Run Reconcile'!A$2:A2488,MATCH(B1135,'Run Reconcile'!B$2:B2488,0),1),IFERROR(0/0,""))</f>
        <v>RUN-FLMP_2022-04-28_RFR-120</v>
      </c>
      <c r="S1135" s="473" t="str">
        <f t="shared" si="694"/>
        <v/>
      </c>
      <c r="T1135" s="473" t="str">
        <f t="shared" si="698"/>
        <v/>
      </c>
      <c r="U1135" s="275" t="str">
        <f t="array" ref="U1135">IF(ISBLANK($R1135), INDEX('Run Reconcile'!A$2:A2488, MATCH($B1135, 'Run Reconcile'!B$2:B2488, 0)+Z1135, 1), IFERROR(0/0,""))
</f>
        <v/>
      </c>
      <c r="V1135" s="474" t="str">
        <f t="shared" si="5"/>
        <v>RUN-FLMP_2022-04-28_RFR-120</v>
      </c>
      <c r="Y1135" s="89" t="str">
        <f t="shared" si="867"/>
        <v/>
      </c>
      <c r="Z1135" s="60" t="str">
        <f t="shared" si="7"/>
        <v/>
      </c>
      <c r="AA1135" s="60" t="str">
        <f t="shared" si="8"/>
        <v/>
      </c>
      <c r="AB1135" s="60" t="str">
        <f t="shared" si="9"/>
        <v/>
      </c>
      <c r="AC1135" s="30" t="str">
        <f t="shared" ref="AC1135:AD1135" si="1491">IF(_xlfn.ISFORMULA(S1135),IFERROR(0/0,""),TRUE)</f>
        <v/>
      </c>
      <c r="AD1135" s="30" t="str">
        <f t="shared" si="1491"/>
        <v/>
      </c>
      <c r="AE1135" s="475" t="str">
        <f>IFERROR(__xludf.DUMMYFUNCTION("""COMPUTED_VALUE"""),"CRLN")</f>
        <v>CRLN</v>
      </c>
      <c r="AF1135" s="476"/>
      <c r="AG1135" s="474" t="s">
        <v>206</v>
      </c>
      <c r="AH1135" s="138" t="str">
        <f t="shared" si="11"/>
        <v/>
      </c>
    </row>
    <row r="1136">
      <c r="A1136" s="103" t="str">
        <f>IFERROR(__xludf.DUMMYFUNCTION("""COMPUTED_VALUE"""),"FLE263")</f>
        <v>FLE263</v>
      </c>
      <c r="B1136" s="468">
        <f>IFERROR(__xludf.DUMMYFUNCTION("""COMPUTED_VALUE"""),44679.0)</f>
        <v>44679</v>
      </c>
      <c r="C1136" s="469">
        <f>IFERROR(__xludf.DUMMYFUNCTION("""COMPUTED_VALUE"""),0.33501157407407406)</f>
        <v>0.3350115741</v>
      </c>
      <c r="D1136" s="103" t="str">
        <f>IFERROR(__xludf.DUMMYFUNCTION("""COMPUTED_VALUE"""),"SpFLMP684798")</f>
        <v>SpFLMP684798</v>
      </c>
      <c r="E1136" s="103"/>
      <c r="F1136" s="103"/>
      <c r="G1136" s="103" t="str">
        <f>IFERROR(__xludf.DUMMYFUNCTION("""COMPUTED_VALUE"""),"Negative")</f>
        <v>Negative</v>
      </c>
      <c r="H1136" s="131" t="str">
        <f>IFERROR(__xludf.DUMMYFUNCTION("""COMPUTED_VALUE"""),"Negative")</f>
        <v>Negative</v>
      </c>
      <c r="I1136" s="468">
        <f>IFERROR(__xludf.DUMMYFUNCTION("""COMPUTED_VALUE"""),44679.0)</f>
        <v>44679</v>
      </c>
      <c r="J1136" s="470">
        <f>IFERROR(__xludf.DUMMYFUNCTION("""COMPUTED_VALUE"""),0.44276620370370373)</f>
        <v>0.4427662037</v>
      </c>
      <c r="K1136" s="16"/>
      <c r="L1136" s="8"/>
      <c r="M1136" s="69"/>
      <c r="N1136" s="69">
        <f>IFERROR(__xludf.DUMMYFUNCTION("""COMPUTED_VALUE"""),4.0)</f>
        <v>4</v>
      </c>
      <c r="O1136" s="69" t="str">
        <f t="shared" si="3"/>
        <v/>
      </c>
      <c r="P1136" s="471">
        <f>IFERROR(__xludf.DUMMYFUNCTION("""COMPUTED_VALUE"""),0.0)</f>
        <v>0</v>
      </c>
      <c r="Q1136" s="274" t="b">
        <f>VLOOKUP($B1136,'Run Reconcile'!B$2:O2488,14,FALSE)</f>
        <v>1</v>
      </c>
      <c r="R1136" s="472" t="str">
        <f t="array" ref="R1136">IF($Q1136, INDEX('Run Reconcile'!A$2:A2488,MATCH(B1136,'Run Reconcile'!B$2:B2488,0),1),IFERROR(0/0,""))</f>
        <v>RUN-FLMP_2022-04-28_RFR-120</v>
      </c>
      <c r="S1136" s="473" t="str">
        <f t="shared" si="694"/>
        <v/>
      </c>
      <c r="T1136" s="473" t="str">
        <f t="shared" si="698"/>
        <v/>
      </c>
      <c r="U1136" s="275" t="str">
        <f t="array" ref="U1136">IF(ISBLANK($R1136), INDEX('Run Reconcile'!A$2:A2488, MATCH($B1136, 'Run Reconcile'!B$2:B2488, 0)+Z1136, 1), IFERROR(0/0,""))
</f>
        <v/>
      </c>
      <c r="V1136" s="474" t="str">
        <f t="shared" si="5"/>
        <v>RUN-FLMP_2022-04-28_RFR-120</v>
      </c>
      <c r="Y1136" s="89" t="str">
        <f t="shared" si="867"/>
        <v/>
      </c>
      <c r="Z1136" s="60" t="str">
        <f t="shared" si="7"/>
        <v/>
      </c>
      <c r="AA1136" s="60" t="str">
        <f t="shared" si="8"/>
        <v/>
      </c>
      <c r="AB1136" s="60" t="str">
        <f t="shared" si="9"/>
        <v/>
      </c>
      <c r="AC1136" s="30" t="str">
        <f t="shared" ref="AC1136:AD1136" si="1492">IF(_xlfn.ISFORMULA(S1136),IFERROR(0/0,""),TRUE)</f>
        <v/>
      </c>
      <c r="AD1136" s="30" t="str">
        <f t="shared" si="1492"/>
        <v/>
      </c>
      <c r="AE1136" s="475" t="str">
        <f>IFERROR(__xludf.DUMMYFUNCTION("""COMPUTED_VALUE"""),"CRLN")</f>
        <v>CRLN</v>
      </c>
      <c r="AF1136" s="476"/>
      <c r="AG1136" s="474" t="s">
        <v>206</v>
      </c>
      <c r="AH1136" s="138" t="str">
        <f t="shared" si="11"/>
        <v/>
      </c>
    </row>
    <row r="1137">
      <c r="A1137" s="103" t="str">
        <f>IFERROR(__xludf.DUMMYFUNCTION("""COMPUTED_VALUE"""),"FLT13")</f>
        <v>FLT13</v>
      </c>
      <c r="B1137" s="468">
        <f>IFERROR(__xludf.DUMMYFUNCTION("""COMPUTED_VALUE"""),44679.0)</f>
        <v>44679</v>
      </c>
      <c r="C1137" s="469">
        <f>IFERROR(__xludf.DUMMYFUNCTION("""COMPUTED_VALUE"""),0.3371412037037037)</f>
        <v>0.3371412037</v>
      </c>
      <c r="D1137" s="103" t="str">
        <f>IFERROR(__xludf.DUMMYFUNCTION("""COMPUTED_VALUE"""),"SpFLMP683385")</f>
        <v>SpFLMP683385</v>
      </c>
      <c r="E1137" s="103"/>
      <c r="F1137" s="103"/>
      <c r="G1137" s="103" t="str">
        <f>IFERROR(__xludf.DUMMYFUNCTION("""COMPUTED_VALUE"""),"Negative")</f>
        <v>Negative</v>
      </c>
      <c r="H1137" s="131" t="str">
        <f>IFERROR(__xludf.DUMMYFUNCTION("""COMPUTED_VALUE"""),"Negative")</f>
        <v>Negative</v>
      </c>
      <c r="I1137" s="468">
        <f>IFERROR(__xludf.DUMMYFUNCTION("""COMPUTED_VALUE"""),44679.0)</f>
        <v>44679</v>
      </c>
      <c r="J1137" s="470">
        <f>IFERROR(__xludf.DUMMYFUNCTION("""COMPUTED_VALUE"""),0.44276620370370373)</f>
        <v>0.4427662037</v>
      </c>
      <c r="K1137" s="16"/>
      <c r="L1137" s="8"/>
      <c r="M1137" s="69"/>
      <c r="N1137" s="69">
        <f>IFERROR(__xludf.DUMMYFUNCTION("""COMPUTED_VALUE"""),4.0)</f>
        <v>4</v>
      </c>
      <c r="O1137" s="69" t="str">
        <f t="shared" si="3"/>
        <v/>
      </c>
      <c r="P1137" s="471">
        <f>IFERROR(__xludf.DUMMYFUNCTION("""COMPUTED_VALUE"""),0.0)</f>
        <v>0</v>
      </c>
      <c r="Q1137" s="274" t="b">
        <f>VLOOKUP($B1137,'Run Reconcile'!B$2:O2488,14,FALSE)</f>
        <v>1</v>
      </c>
      <c r="R1137" s="472" t="str">
        <f t="array" ref="R1137">IF($Q1137, INDEX('Run Reconcile'!A$2:A2488,MATCH(B1137,'Run Reconcile'!B$2:B2488,0),1),IFERROR(0/0,""))</f>
        <v>RUN-FLMP_2022-04-28_RFR-120</v>
      </c>
      <c r="S1137" s="473" t="str">
        <f t="shared" si="694"/>
        <v/>
      </c>
      <c r="T1137" s="473" t="str">
        <f t="shared" si="698"/>
        <v/>
      </c>
      <c r="U1137" s="275" t="str">
        <f t="array" ref="U1137">IF(ISBLANK($R1137), INDEX('Run Reconcile'!A$2:A2488, MATCH($B1137, 'Run Reconcile'!B$2:B2488, 0)+Z1137, 1), IFERROR(0/0,""))
</f>
        <v/>
      </c>
      <c r="V1137" s="474" t="str">
        <f t="shared" si="5"/>
        <v>RUN-FLMP_2022-04-28_RFR-120</v>
      </c>
      <c r="Y1137" s="89" t="str">
        <f t="shared" si="867"/>
        <v/>
      </c>
      <c r="Z1137" s="60" t="str">
        <f t="shared" si="7"/>
        <v/>
      </c>
      <c r="AA1137" s="60" t="str">
        <f t="shared" si="8"/>
        <v/>
      </c>
      <c r="AB1137" s="60" t="str">
        <f t="shared" si="9"/>
        <v/>
      </c>
      <c r="AC1137" s="30" t="str">
        <f t="shared" ref="AC1137:AD1137" si="1493">IF(_xlfn.ISFORMULA(S1137),IFERROR(0/0,""),TRUE)</f>
        <v/>
      </c>
      <c r="AD1137" s="30" t="str">
        <f t="shared" si="1493"/>
        <v/>
      </c>
      <c r="AE1137" s="475" t="str">
        <f>IFERROR(__xludf.DUMMYFUNCTION("""COMPUTED_VALUE"""),"CRLN")</f>
        <v>CRLN</v>
      </c>
      <c r="AF1137" s="476"/>
      <c r="AG1137" s="474" t="s">
        <v>206</v>
      </c>
      <c r="AH1137" s="138" t="str">
        <f t="shared" si="11"/>
        <v/>
      </c>
    </row>
    <row r="1138">
      <c r="A1138" s="103" t="str">
        <f>IFERROR(__xludf.DUMMYFUNCTION("""COMPUTED_VALUE"""),"FLB7378")</f>
        <v>FLB7378</v>
      </c>
      <c r="B1138" s="468">
        <f>IFERROR(__xludf.DUMMYFUNCTION("""COMPUTED_VALUE"""),44679.0)</f>
        <v>44679</v>
      </c>
      <c r="C1138" s="469">
        <f>IFERROR(__xludf.DUMMYFUNCTION("""COMPUTED_VALUE"""),0.33773148148148147)</f>
        <v>0.3377314815</v>
      </c>
      <c r="D1138" s="103" t="str">
        <f>IFERROR(__xludf.DUMMYFUNCTION("""COMPUTED_VALUE"""),"SpFLMP955438")</f>
        <v>SpFLMP955438</v>
      </c>
      <c r="E1138" s="103"/>
      <c r="F1138" s="103"/>
      <c r="G1138" s="103" t="str">
        <f>IFERROR(__xludf.DUMMYFUNCTION("""COMPUTED_VALUE"""),"Negative")</f>
        <v>Negative</v>
      </c>
      <c r="H1138" s="131" t="str">
        <f>IFERROR(__xludf.DUMMYFUNCTION("""COMPUTED_VALUE"""),"Negative")</f>
        <v>Negative</v>
      </c>
      <c r="I1138" s="468">
        <f>IFERROR(__xludf.DUMMYFUNCTION("""COMPUTED_VALUE"""),44679.0)</f>
        <v>44679</v>
      </c>
      <c r="J1138" s="470">
        <f>IFERROR(__xludf.DUMMYFUNCTION("""COMPUTED_VALUE"""),0.44276620370370373)</f>
        <v>0.4427662037</v>
      </c>
      <c r="K1138" s="16"/>
      <c r="L1138" s="8"/>
      <c r="M1138" s="69"/>
      <c r="N1138" s="69">
        <f>IFERROR(__xludf.DUMMYFUNCTION("""COMPUTED_VALUE"""),1.0)</f>
        <v>1</v>
      </c>
      <c r="O1138" s="69" t="str">
        <f t="shared" si="3"/>
        <v/>
      </c>
      <c r="P1138" s="471">
        <f>IFERROR(__xludf.DUMMYFUNCTION("""COMPUTED_VALUE"""),0.0)</f>
        <v>0</v>
      </c>
      <c r="Q1138" s="274" t="b">
        <f>VLOOKUP($B1138,'Run Reconcile'!B$2:O2488,14,FALSE)</f>
        <v>1</v>
      </c>
      <c r="R1138" s="472" t="str">
        <f t="array" ref="R1138">IF($Q1138, INDEX('Run Reconcile'!A$2:A2488,MATCH(B1138,'Run Reconcile'!B$2:B2488,0),1),IFERROR(0/0,""))</f>
        <v>RUN-FLMP_2022-04-28_RFR-120</v>
      </c>
      <c r="S1138" s="473" t="str">
        <f t="shared" si="694"/>
        <v/>
      </c>
      <c r="T1138" s="473" t="str">
        <f t="shared" si="698"/>
        <v/>
      </c>
      <c r="U1138" s="275" t="str">
        <f t="array" ref="U1138">IF(ISBLANK($R1138), INDEX('Run Reconcile'!A$2:A2488, MATCH($B1138, 'Run Reconcile'!B$2:B2488, 0)+Z1138, 1), IFERROR(0/0,""))
</f>
        <v/>
      </c>
      <c r="V1138" s="474" t="str">
        <f t="shared" si="5"/>
        <v>RUN-FLMP_2022-04-28_RFR-120</v>
      </c>
      <c r="Y1138" s="89" t="str">
        <f t="shared" si="867"/>
        <v/>
      </c>
      <c r="Z1138" s="60" t="str">
        <f t="shared" si="7"/>
        <v/>
      </c>
      <c r="AA1138" s="60" t="str">
        <f t="shared" si="8"/>
        <v/>
      </c>
      <c r="AB1138" s="60" t="str">
        <f t="shared" si="9"/>
        <v/>
      </c>
      <c r="AC1138" s="30" t="str">
        <f t="shared" ref="AC1138:AD1138" si="1494">IF(_xlfn.ISFORMULA(S1138),IFERROR(0/0,""),TRUE)</f>
        <v/>
      </c>
      <c r="AD1138" s="30" t="str">
        <f t="shared" si="1494"/>
        <v/>
      </c>
      <c r="AE1138" s="475" t="str">
        <f>IFERROR(__xludf.DUMMYFUNCTION("""COMPUTED_VALUE"""),"CRLN")</f>
        <v>CRLN</v>
      </c>
      <c r="AF1138" s="476"/>
      <c r="AG1138" s="474" t="s">
        <v>206</v>
      </c>
      <c r="AH1138" s="138" t="str">
        <f t="shared" si="11"/>
        <v/>
      </c>
    </row>
    <row r="1139">
      <c r="A1139" s="103" t="str">
        <f>IFERROR(__xludf.DUMMYFUNCTION("""COMPUTED_VALUE"""),"AG2054")</f>
        <v>AG2054</v>
      </c>
      <c r="B1139" s="468">
        <f>IFERROR(__xludf.DUMMYFUNCTION("""COMPUTED_VALUE"""),44679.0)</f>
        <v>44679</v>
      </c>
      <c r="C1139" s="469">
        <f>IFERROR(__xludf.DUMMYFUNCTION("""COMPUTED_VALUE"""),0.3411574074074074)</f>
        <v>0.3411574074</v>
      </c>
      <c r="D1139" s="103" t="str">
        <f>IFERROR(__xludf.DUMMYFUNCTION("""COMPUTED_VALUE"""),"SpFLMP690282")</f>
        <v>SpFLMP690282</v>
      </c>
      <c r="E1139" s="103"/>
      <c r="F1139" s="103"/>
      <c r="G1139" s="103" t="str">
        <f>IFERROR(__xludf.DUMMYFUNCTION("""COMPUTED_VALUE"""),"Negative")</f>
        <v>Negative</v>
      </c>
      <c r="H1139" s="131" t="str">
        <f>IFERROR(__xludf.DUMMYFUNCTION("""COMPUTED_VALUE"""),"Negative")</f>
        <v>Negative</v>
      </c>
      <c r="I1139" s="468">
        <f>IFERROR(__xludf.DUMMYFUNCTION("""COMPUTED_VALUE"""),44679.0)</f>
        <v>44679</v>
      </c>
      <c r="J1139" s="470">
        <f>IFERROR(__xludf.DUMMYFUNCTION("""COMPUTED_VALUE"""),0.44276620370370373)</f>
        <v>0.4427662037</v>
      </c>
      <c r="K1139" s="16"/>
      <c r="L1139" s="8"/>
      <c r="M1139" s="69"/>
      <c r="N1139" s="69">
        <f>IFERROR(__xludf.DUMMYFUNCTION("""COMPUTED_VALUE"""),1.0)</f>
        <v>1</v>
      </c>
      <c r="O1139" s="69" t="str">
        <f t="shared" si="3"/>
        <v/>
      </c>
      <c r="P1139" s="471">
        <f>IFERROR(__xludf.DUMMYFUNCTION("""COMPUTED_VALUE"""),0.0)</f>
        <v>0</v>
      </c>
      <c r="Q1139" s="274" t="b">
        <f>VLOOKUP($B1139,'Run Reconcile'!B$2:O2488,14,FALSE)</f>
        <v>1</v>
      </c>
      <c r="R1139" s="472" t="str">
        <f t="array" ref="R1139">IF($Q1139, INDEX('Run Reconcile'!A$2:A2488,MATCH(B1139,'Run Reconcile'!B$2:B2488,0),1),IFERROR(0/0,""))</f>
        <v>RUN-FLMP_2022-04-28_RFR-120</v>
      </c>
      <c r="S1139" s="473" t="str">
        <f t="shared" si="694"/>
        <v/>
      </c>
      <c r="T1139" s="473" t="str">
        <f t="shared" si="698"/>
        <v/>
      </c>
      <c r="U1139" s="275" t="str">
        <f t="array" ref="U1139">IF(ISBLANK($R1139), INDEX('Run Reconcile'!A$2:A2488, MATCH($B1139, 'Run Reconcile'!B$2:B2488, 0)+Z1139, 1), IFERROR(0/0,""))
</f>
        <v/>
      </c>
      <c r="V1139" s="474" t="str">
        <f t="shared" si="5"/>
        <v>RUN-FLMP_2022-04-28_RFR-120</v>
      </c>
      <c r="Y1139" s="89" t="str">
        <f t="shared" si="867"/>
        <v/>
      </c>
      <c r="Z1139" s="60" t="str">
        <f t="shared" si="7"/>
        <v/>
      </c>
      <c r="AA1139" s="60" t="str">
        <f t="shared" si="8"/>
        <v/>
      </c>
      <c r="AB1139" s="60" t="str">
        <f t="shared" si="9"/>
        <v/>
      </c>
      <c r="AC1139" s="30" t="str">
        <f t="shared" ref="AC1139:AD1139" si="1495">IF(_xlfn.ISFORMULA(S1139),IFERROR(0/0,""),TRUE)</f>
        <v/>
      </c>
      <c r="AD1139" s="30" t="str">
        <f t="shared" si="1495"/>
        <v/>
      </c>
      <c r="AE1139" s="475" t="str">
        <f>IFERROR(__xludf.DUMMYFUNCTION("""COMPUTED_VALUE"""),"CRLN")</f>
        <v>CRLN</v>
      </c>
      <c r="AF1139" s="476"/>
      <c r="AG1139" s="474" t="s">
        <v>206</v>
      </c>
      <c r="AH1139" s="138" t="str">
        <f t="shared" si="11"/>
        <v/>
      </c>
    </row>
    <row r="1140">
      <c r="A1140" s="103" t="str">
        <f>IFERROR(__xludf.DUMMYFUNCTION("""COMPUTED_VALUE"""),"AJ7078")</f>
        <v>AJ7078</v>
      </c>
      <c r="B1140" s="468">
        <f>IFERROR(__xludf.DUMMYFUNCTION("""COMPUTED_VALUE"""),44679.0)</f>
        <v>44679</v>
      </c>
      <c r="C1140" s="469">
        <f>IFERROR(__xludf.DUMMYFUNCTION("""COMPUTED_VALUE"""),0.34552083333333333)</f>
        <v>0.3455208333</v>
      </c>
      <c r="D1140" s="103" t="str">
        <f>IFERROR(__xludf.DUMMYFUNCTION("""COMPUTED_VALUE"""),"SpFLMP314549")</f>
        <v>SpFLMP314549</v>
      </c>
      <c r="E1140" s="103"/>
      <c r="F1140" s="103"/>
      <c r="G1140" s="103" t="str">
        <f>IFERROR(__xludf.DUMMYFUNCTION("""COMPUTED_VALUE"""),"Negative")</f>
        <v>Negative</v>
      </c>
      <c r="H1140" s="131" t="str">
        <f>IFERROR(__xludf.DUMMYFUNCTION("""COMPUTED_VALUE"""),"Negative")</f>
        <v>Negative</v>
      </c>
      <c r="I1140" s="468">
        <f>IFERROR(__xludf.DUMMYFUNCTION("""COMPUTED_VALUE"""),44679.0)</f>
        <v>44679</v>
      </c>
      <c r="J1140" s="470">
        <f>IFERROR(__xludf.DUMMYFUNCTION("""COMPUTED_VALUE"""),0.44276620370370373)</f>
        <v>0.4427662037</v>
      </c>
      <c r="K1140" s="16"/>
      <c r="L1140" s="8"/>
      <c r="M1140" s="69"/>
      <c r="N1140" s="69">
        <f>IFERROR(__xludf.DUMMYFUNCTION("""COMPUTED_VALUE"""),1.0)</f>
        <v>1</v>
      </c>
      <c r="O1140" s="69" t="str">
        <f t="shared" si="3"/>
        <v/>
      </c>
      <c r="P1140" s="471">
        <f>IFERROR(__xludf.DUMMYFUNCTION("""COMPUTED_VALUE"""),0.0)</f>
        <v>0</v>
      </c>
      <c r="Q1140" s="274" t="b">
        <f>VLOOKUP($B1140,'Run Reconcile'!B$2:O2488,14,FALSE)</f>
        <v>1</v>
      </c>
      <c r="R1140" s="472" t="str">
        <f t="array" ref="R1140">IF($Q1140, INDEX('Run Reconcile'!A$2:A2488,MATCH(B1140,'Run Reconcile'!B$2:B2488,0),1),IFERROR(0/0,""))</f>
        <v>RUN-FLMP_2022-04-28_RFR-120</v>
      </c>
      <c r="S1140" s="473" t="str">
        <f t="shared" si="694"/>
        <v/>
      </c>
      <c r="T1140" s="473" t="str">
        <f t="shared" si="698"/>
        <v/>
      </c>
      <c r="U1140" s="275" t="str">
        <f t="array" ref="U1140">IF(ISBLANK($R1140), INDEX('Run Reconcile'!A$2:A2488, MATCH($B1140, 'Run Reconcile'!B$2:B2488, 0)+Z1140, 1), IFERROR(0/0,""))
</f>
        <v/>
      </c>
      <c r="V1140" s="474" t="str">
        <f t="shared" si="5"/>
        <v>RUN-FLMP_2022-04-28_RFR-120</v>
      </c>
      <c r="Y1140" s="89" t="str">
        <f t="shared" si="867"/>
        <v/>
      </c>
      <c r="Z1140" s="60" t="str">
        <f t="shared" si="7"/>
        <v/>
      </c>
      <c r="AA1140" s="60" t="str">
        <f t="shared" si="8"/>
        <v/>
      </c>
      <c r="AB1140" s="60" t="str">
        <f t="shared" si="9"/>
        <v/>
      </c>
      <c r="AC1140" s="30" t="str">
        <f t="shared" ref="AC1140:AD1140" si="1496">IF(_xlfn.ISFORMULA(S1140),IFERROR(0/0,""),TRUE)</f>
        <v/>
      </c>
      <c r="AD1140" s="30" t="str">
        <f t="shared" si="1496"/>
        <v/>
      </c>
      <c r="AE1140" s="475" t="str">
        <f>IFERROR(__xludf.DUMMYFUNCTION("""COMPUTED_VALUE"""),"CRLN")</f>
        <v>CRLN</v>
      </c>
      <c r="AF1140" s="476"/>
      <c r="AG1140" s="474" t="s">
        <v>206</v>
      </c>
      <c r="AH1140" s="138" t="str">
        <f t="shared" si="11"/>
        <v/>
      </c>
    </row>
    <row r="1141">
      <c r="A1141" s="103" t="str">
        <f>IFERROR(__xludf.DUMMYFUNCTION("""COMPUTED_VALUE"""),"AJ6399")</f>
        <v>AJ6399</v>
      </c>
      <c r="B1141" s="468">
        <f>IFERROR(__xludf.DUMMYFUNCTION("""COMPUTED_VALUE"""),44679.0)</f>
        <v>44679</v>
      </c>
      <c r="C1141" s="469">
        <f>IFERROR(__xludf.DUMMYFUNCTION("""COMPUTED_VALUE"""),0.3515972222222222)</f>
        <v>0.3515972222</v>
      </c>
      <c r="D1141" s="103" t="str">
        <f>IFERROR(__xludf.DUMMYFUNCTION("""COMPUTED_VALUE"""),"SpFLMP600756")</f>
        <v>SpFLMP600756</v>
      </c>
      <c r="E1141" s="103"/>
      <c r="F1141" s="103"/>
      <c r="G1141" s="103" t="str">
        <f>IFERROR(__xludf.DUMMYFUNCTION("""COMPUTED_VALUE"""),"Negative")</f>
        <v>Negative</v>
      </c>
      <c r="H1141" s="131" t="str">
        <f>IFERROR(__xludf.DUMMYFUNCTION("""COMPUTED_VALUE"""),"Negative")</f>
        <v>Negative</v>
      </c>
      <c r="I1141" s="468">
        <f>IFERROR(__xludf.DUMMYFUNCTION("""COMPUTED_VALUE"""),44679.0)</f>
        <v>44679</v>
      </c>
      <c r="J1141" s="470">
        <f>IFERROR(__xludf.DUMMYFUNCTION("""COMPUTED_VALUE"""),0.44277777777777777)</f>
        <v>0.4427777778</v>
      </c>
      <c r="K1141" s="16"/>
      <c r="L1141" s="8"/>
      <c r="M1141" s="69"/>
      <c r="N1141" s="69">
        <f>IFERROR(__xludf.DUMMYFUNCTION("""COMPUTED_VALUE"""),2.0)</f>
        <v>2</v>
      </c>
      <c r="O1141" s="69" t="str">
        <f t="shared" si="3"/>
        <v/>
      </c>
      <c r="P1141" s="471">
        <f>IFERROR(__xludf.DUMMYFUNCTION("""COMPUTED_VALUE"""),0.0)</f>
        <v>0</v>
      </c>
      <c r="Q1141" s="274" t="b">
        <f>VLOOKUP($B1141,'Run Reconcile'!B$2:O2488,14,FALSE)</f>
        <v>1</v>
      </c>
      <c r="R1141" s="472" t="str">
        <f t="array" ref="R1141">IF($Q1141, INDEX('Run Reconcile'!A$2:A2488,MATCH(B1141,'Run Reconcile'!B$2:B2488,0),1),IFERROR(0/0,""))</f>
        <v>RUN-FLMP_2022-04-28_RFR-120</v>
      </c>
      <c r="S1141" s="473" t="str">
        <f t="shared" si="694"/>
        <v/>
      </c>
      <c r="T1141" s="473" t="str">
        <f t="shared" si="698"/>
        <v/>
      </c>
      <c r="U1141" s="275" t="str">
        <f t="array" ref="U1141">IF(ISBLANK($R1141), INDEX('Run Reconcile'!A$2:A2488, MATCH($B1141, 'Run Reconcile'!B$2:B2488, 0)+Z1141, 1), IFERROR(0/0,""))
</f>
        <v/>
      </c>
      <c r="V1141" s="474" t="str">
        <f t="shared" si="5"/>
        <v>RUN-FLMP_2022-04-28_RFR-120</v>
      </c>
      <c r="Y1141" s="89" t="str">
        <f t="shared" si="867"/>
        <v/>
      </c>
      <c r="Z1141" s="60" t="str">
        <f t="shared" si="7"/>
        <v/>
      </c>
      <c r="AA1141" s="60" t="str">
        <f t="shared" si="8"/>
        <v/>
      </c>
      <c r="AB1141" s="60" t="str">
        <f t="shared" si="9"/>
        <v/>
      </c>
      <c r="AC1141" s="30" t="str">
        <f t="shared" ref="AC1141:AD1141" si="1497">IF(_xlfn.ISFORMULA(S1141),IFERROR(0/0,""),TRUE)</f>
        <v/>
      </c>
      <c r="AD1141" s="30" t="str">
        <f t="shared" si="1497"/>
        <v/>
      </c>
      <c r="AE1141" s="475" t="str">
        <f>IFERROR(__xludf.DUMMYFUNCTION("""COMPUTED_VALUE"""),"CRLN")</f>
        <v>CRLN</v>
      </c>
      <c r="AF1141" s="476"/>
      <c r="AG1141" s="474" t="s">
        <v>206</v>
      </c>
      <c r="AH1141" s="138" t="str">
        <f t="shared" si="11"/>
        <v/>
      </c>
    </row>
    <row r="1142">
      <c r="A1142" s="103" t="str">
        <f>IFERROR(__xludf.DUMMYFUNCTION("""COMPUTED_VALUE"""),"FLB7147")</f>
        <v>FLB7147</v>
      </c>
      <c r="B1142" s="468">
        <f>IFERROR(__xludf.DUMMYFUNCTION("""COMPUTED_VALUE"""),44679.0)</f>
        <v>44679</v>
      </c>
      <c r="C1142" s="469">
        <f>IFERROR(__xludf.DUMMYFUNCTION("""COMPUTED_VALUE"""),0.3534027777777778)</f>
        <v>0.3534027778</v>
      </c>
      <c r="D1142" s="103" t="str">
        <f>IFERROR(__xludf.DUMMYFUNCTION("""COMPUTED_VALUE"""),"SpFLMP544731")</f>
        <v>SpFLMP544731</v>
      </c>
      <c r="E1142" s="103"/>
      <c r="F1142" s="103"/>
      <c r="G1142" s="103" t="str">
        <f>IFERROR(__xludf.DUMMYFUNCTION("""COMPUTED_VALUE"""),"Negative")</f>
        <v>Negative</v>
      </c>
      <c r="H1142" s="131" t="str">
        <f>IFERROR(__xludf.DUMMYFUNCTION("""COMPUTED_VALUE"""),"Negative")</f>
        <v>Negative</v>
      </c>
      <c r="I1142" s="468">
        <f>IFERROR(__xludf.DUMMYFUNCTION("""COMPUTED_VALUE"""),44679.0)</f>
        <v>44679</v>
      </c>
      <c r="J1142" s="470">
        <f>IFERROR(__xludf.DUMMYFUNCTION("""COMPUTED_VALUE"""),0.5298842592592593)</f>
        <v>0.5298842593</v>
      </c>
      <c r="K1142" s="16"/>
      <c r="L1142" s="8"/>
      <c r="M1142" s="69"/>
      <c r="N1142" s="69">
        <f>IFERROR(__xludf.DUMMYFUNCTION("""COMPUTED_VALUE"""),2.0)</f>
        <v>2</v>
      </c>
      <c r="O1142" s="69" t="str">
        <f t="shared" si="3"/>
        <v/>
      </c>
      <c r="P1142" s="471">
        <f>IFERROR(__xludf.DUMMYFUNCTION("""COMPUTED_VALUE"""),0.0)</f>
        <v>0</v>
      </c>
      <c r="Q1142" s="274" t="b">
        <f>VLOOKUP($B1142,'Run Reconcile'!B$2:O2488,14,FALSE)</f>
        <v>1</v>
      </c>
      <c r="R1142" s="472" t="str">
        <f t="array" ref="R1142">IF($Q1142, INDEX('Run Reconcile'!A$2:A2488,MATCH(B1142,'Run Reconcile'!B$2:B2488,0),1),IFERROR(0/0,""))</f>
        <v>RUN-FLMP_2022-04-28_RFR-120</v>
      </c>
      <c r="S1142" s="473" t="str">
        <f t="shared" si="694"/>
        <v/>
      </c>
      <c r="T1142" s="473" t="str">
        <f t="shared" si="698"/>
        <v/>
      </c>
      <c r="U1142" s="275" t="str">
        <f t="array" ref="U1142">IF(ISBLANK($R1142), INDEX('Run Reconcile'!A$2:A2488, MATCH($B1142, 'Run Reconcile'!B$2:B2488, 0)+Z1142, 1), IFERROR(0/0,""))
</f>
        <v/>
      </c>
      <c r="V1142" s="474" t="str">
        <f t="shared" si="5"/>
        <v>RUN-FLMP_2022-04-28_RFR-120</v>
      </c>
      <c r="Y1142" s="89" t="str">
        <f t="shared" si="867"/>
        <v/>
      </c>
      <c r="Z1142" s="60" t="str">
        <f t="shared" si="7"/>
        <v/>
      </c>
      <c r="AA1142" s="60" t="str">
        <f t="shared" si="8"/>
        <v/>
      </c>
      <c r="AB1142" s="60" t="str">
        <f t="shared" si="9"/>
        <v/>
      </c>
      <c r="AC1142" s="30" t="str">
        <f t="shared" ref="AC1142:AD1142" si="1498">IF(_xlfn.ISFORMULA(S1142),IFERROR(0/0,""),TRUE)</f>
        <v/>
      </c>
      <c r="AD1142" s="30" t="str">
        <f t="shared" si="1498"/>
        <v/>
      </c>
      <c r="AE1142" s="475" t="str">
        <f>IFERROR(__xludf.DUMMYFUNCTION("""COMPUTED_VALUE"""),"CRLN")</f>
        <v>CRLN</v>
      </c>
      <c r="AF1142" s="476"/>
      <c r="AG1142" s="474" t="s">
        <v>206</v>
      </c>
      <c r="AH1142" s="138" t="str">
        <f t="shared" si="11"/>
        <v/>
      </c>
    </row>
    <row r="1143">
      <c r="A1143" s="103" t="str">
        <f>IFERROR(__xludf.DUMMYFUNCTION("""COMPUTED_VALUE"""),"AH8107")</f>
        <v>AH8107</v>
      </c>
      <c r="B1143" s="468">
        <f>IFERROR(__xludf.DUMMYFUNCTION("""COMPUTED_VALUE"""),44679.0)</f>
        <v>44679</v>
      </c>
      <c r="C1143" s="469">
        <f>IFERROR(__xludf.DUMMYFUNCTION("""COMPUTED_VALUE"""),0.3542361111111111)</f>
        <v>0.3542361111</v>
      </c>
      <c r="D1143" s="103" t="str">
        <f>IFERROR(__xludf.DUMMYFUNCTION("""COMPUTED_VALUE"""),"SpFLMP309785")</f>
        <v>SpFLMP309785</v>
      </c>
      <c r="E1143" s="103"/>
      <c r="F1143" s="103"/>
      <c r="G1143" s="103" t="str">
        <f>IFERROR(__xludf.DUMMYFUNCTION("""COMPUTED_VALUE"""),"Negative")</f>
        <v>Negative</v>
      </c>
      <c r="H1143" s="131" t="str">
        <f>IFERROR(__xludf.DUMMYFUNCTION("""COMPUTED_VALUE"""),"Negative")</f>
        <v>Negative</v>
      </c>
      <c r="I1143" s="468">
        <f>IFERROR(__xludf.DUMMYFUNCTION("""COMPUTED_VALUE"""),44679.0)</f>
        <v>44679</v>
      </c>
      <c r="J1143" s="470">
        <f>IFERROR(__xludf.DUMMYFUNCTION("""COMPUTED_VALUE"""),0.44277777777777777)</f>
        <v>0.4427777778</v>
      </c>
      <c r="K1143" s="16"/>
      <c r="L1143" s="8"/>
      <c r="M1143" s="69"/>
      <c r="N1143" s="69">
        <f>IFERROR(__xludf.DUMMYFUNCTION("""COMPUTED_VALUE"""),3.0)</f>
        <v>3</v>
      </c>
      <c r="O1143" s="69" t="str">
        <f t="shared" si="3"/>
        <v/>
      </c>
      <c r="P1143" s="471">
        <f>IFERROR(__xludf.DUMMYFUNCTION("""COMPUTED_VALUE"""),0.0)</f>
        <v>0</v>
      </c>
      <c r="Q1143" s="274" t="b">
        <f>VLOOKUP($B1143,'Run Reconcile'!B$2:O2488,14,FALSE)</f>
        <v>1</v>
      </c>
      <c r="R1143" s="472" t="str">
        <f t="array" ref="R1143">IF($Q1143, INDEX('Run Reconcile'!A$2:A2488,MATCH(B1143,'Run Reconcile'!B$2:B2488,0),1),IFERROR(0/0,""))</f>
        <v>RUN-FLMP_2022-04-28_RFR-120</v>
      </c>
      <c r="S1143" s="473" t="str">
        <f t="shared" si="694"/>
        <v/>
      </c>
      <c r="T1143" s="473" t="str">
        <f t="shared" si="698"/>
        <v/>
      </c>
      <c r="U1143" s="275" t="str">
        <f t="array" ref="U1143">IF(ISBLANK($R1143), INDEX('Run Reconcile'!A$2:A2488, MATCH($B1143, 'Run Reconcile'!B$2:B2488, 0)+Z1143, 1), IFERROR(0/0,""))
</f>
        <v/>
      </c>
      <c r="V1143" s="474" t="str">
        <f t="shared" si="5"/>
        <v>RUN-FLMP_2022-04-28_RFR-120</v>
      </c>
      <c r="Y1143" s="89" t="str">
        <f t="shared" si="867"/>
        <v/>
      </c>
      <c r="Z1143" s="60" t="str">
        <f t="shared" si="7"/>
        <v/>
      </c>
      <c r="AA1143" s="60" t="str">
        <f t="shared" si="8"/>
        <v/>
      </c>
      <c r="AB1143" s="60" t="str">
        <f t="shared" si="9"/>
        <v/>
      </c>
      <c r="AC1143" s="30" t="str">
        <f t="shared" ref="AC1143:AD1143" si="1499">IF(_xlfn.ISFORMULA(S1143),IFERROR(0/0,""),TRUE)</f>
        <v/>
      </c>
      <c r="AD1143" s="30" t="str">
        <f t="shared" si="1499"/>
        <v/>
      </c>
      <c r="AE1143" s="475" t="str">
        <f>IFERROR(__xludf.DUMMYFUNCTION("""COMPUTED_VALUE"""),"CRLN")</f>
        <v>CRLN</v>
      </c>
      <c r="AF1143" s="476"/>
      <c r="AG1143" s="474" t="s">
        <v>206</v>
      </c>
      <c r="AH1143" s="138" t="str">
        <f t="shared" si="11"/>
        <v/>
      </c>
    </row>
    <row r="1144">
      <c r="A1144" s="103" t="str">
        <f>IFERROR(__xludf.DUMMYFUNCTION("""COMPUTED_VALUE"""),"FLE204")</f>
        <v>FLE204</v>
      </c>
      <c r="B1144" s="468">
        <f>IFERROR(__xludf.DUMMYFUNCTION("""COMPUTED_VALUE"""),44679.0)</f>
        <v>44679</v>
      </c>
      <c r="C1144" s="469">
        <f>IFERROR(__xludf.DUMMYFUNCTION("""COMPUTED_VALUE"""),0.35479166666666667)</f>
        <v>0.3547916667</v>
      </c>
      <c r="D1144" s="103" t="str">
        <f>IFERROR(__xludf.DUMMYFUNCTION("""COMPUTED_VALUE"""),"SpFLMP604497")</f>
        <v>SpFLMP604497</v>
      </c>
      <c r="E1144" s="103"/>
      <c r="F1144" s="103"/>
      <c r="G1144" s="103" t="str">
        <f>IFERROR(__xludf.DUMMYFUNCTION("""COMPUTED_VALUE"""),"Negative")</f>
        <v>Negative</v>
      </c>
      <c r="H1144" s="131" t="str">
        <f>IFERROR(__xludf.DUMMYFUNCTION("""COMPUTED_VALUE"""),"Negative")</f>
        <v>Negative</v>
      </c>
      <c r="I1144" s="468">
        <f>IFERROR(__xludf.DUMMYFUNCTION("""COMPUTED_VALUE"""),44679.0)</f>
        <v>44679</v>
      </c>
      <c r="J1144" s="470">
        <f>IFERROR(__xludf.DUMMYFUNCTION("""COMPUTED_VALUE"""),0.44277777777777777)</f>
        <v>0.4427777778</v>
      </c>
      <c r="K1144" s="16"/>
      <c r="L1144" s="8"/>
      <c r="M1144" s="69"/>
      <c r="N1144" s="69">
        <f>IFERROR(__xludf.DUMMYFUNCTION("""COMPUTED_VALUE"""),4.0)</f>
        <v>4</v>
      </c>
      <c r="O1144" s="69" t="str">
        <f t="shared" si="3"/>
        <v/>
      </c>
      <c r="P1144" s="471">
        <f>IFERROR(__xludf.DUMMYFUNCTION("""COMPUTED_VALUE"""),0.0)</f>
        <v>0</v>
      </c>
      <c r="Q1144" s="274" t="b">
        <f>VLOOKUP($B1144,'Run Reconcile'!B$2:O2488,14,FALSE)</f>
        <v>1</v>
      </c>
      <c r="R1144" s="472" t="str">
        <f t="array" ref="R1144">IF($Q1144, INDEX('Run Reconcile'!A$2:A2488,MATCH(B1144,'Run Reconcile'!B$2:B2488,0),1),IFERROR(0/0,""))</f>
        <v>RUN-FLMP_2022-04-28_RFR-120</v>
      </c>
      <c r="S1144" s="473" t="str">
        <f t="shared" si="694"/>
        <v/>
      </c>
      <c r="T1144" s="473" t="str">
        <f t="shared" si="698"/>
        <v/>
      </c>
      <c r="U1144" s="275" t="str">
        <f t="array" ref="U1144">IF(ISBLANK($R1144), INDEX('Run Reconcile'!A$2:A2488, MATCH($B1144, 'Run Reconcile'!B$2:B2488, 0)+Z1144, 1), IFERROR(0/0,""))
</f>
        <v/>
      </c>
      <c r="V1144" s="474" t="str">
        <f t="shared" si="5"/>
        <v>RUN-FLMP_2022-04-28_RFR-120</v>
      </c>
      <c r="Y1144" s="89" t="str">
        <f t="shared" si="867"/>
        <v/>
      </c>
      <c r="Z1144" s="60" t="str">
        <f t="shared" si="7"/>
        <v/>
      </c>
      <c r="AA1144" s="60" t="str">
        <f t="shared" si="8"/>
        <v/>
      </c>
      <c r="AB1144" s="60" t="str">
        <f t="shared" si="9"/>
        <v/>
      </c>
      <c r="AC1144" s="30" t="str">
        <f t="shared" ref="AC1144:AD1144" si="1500">IF(_xlfn.ISFORMULA(S1144),IFERROR(0/0,""),TRUE)</f>
        <v/>
      </c>
      <c r="AD1144" s="30" t="str">
        <f t="shared" si="1500"/>
        <v/>
      </c>
      <c r="AE1144" s="475" t="str">
        <f>IFERROR(__xludf.DUMMYFUNCTION("""COMPUTED_VALUE"""),"CRLN")</f>
        <v>CRLN</v>
      </c>
      <c r="AF1144" s="476"/>
      <c r="AG1144" s="474" t="s">
        <v>206</v>
      </c>
      <c r="AH1144" s="138" t="str">
        <f t="shared" si="11"/>
        <v/>
      </c>
    </row>
    <row r="1145">
      <c r="A1145" s="103" t="str">
        <f>IFERROR(__xludf.DUMMYFUNCTION("""COMPUTED_VALUE"""),"FLB5847")</f>
        <v>FLB5847</v>
      </c>
      <c r="B1145" s="468">
        <f>IFERROR(__xludf.DUMMYFUNCTION("""COMPUTED_VALUE"""),44679.0)</f>
        <v>44679</v>
      </c>
      <c r="C1145" s="469">
        <f>IFERROR(__xludf.DUMMYFUNCTION("""COMPUTED_VALUE"""),0.35726851851851854)</f>
        <v>0.3572685185</v>
      </c>
      <c r="D1145" s="103" t="str">
        <f>IFERROR(__xludf.DUMMYFUNCTION("""COMPUTED_VALUE"""),"SpFLMP572444")</f>
        <v>SpFLMP572444</v>
      </c>
      <c r="E1145" s="103"/>
      <c r="F1145" s="103"/>
      <c r="G1145" s="103" t="str">
        <f>IFERROR(__xludf.DUMMYFUNCTION("""COMPUTED_VALUE"""),"Negative")</f>
        <v>Negative</v>
      </c>
      <c r="H1145" s="131" t="str">
        <f>IFERROR(__xludf.DUMMYFUNCTION("""COMPUTED_VALUE"""),"Negative")</f>
        <v>Negative</v>
      </c>
      <c r="I1145" s="468">
        <f>IFERROR(__xludf.DUMMYFUNCTION("""COMPUTED_VALUE"""),44679.0)</f>
        <v>44679</v>
      </c>
      <c r="J1145" s="470">
        <f>IFERROR(__xludf.DUMMYFUNCTION("""COMPUTED_VALUE"""),0.44277777777777777)</f>
        <v>0.4427777778</v>
      </c>
      <c r="K1145" s="16"/>
      <c r="L1145" s="8"/>
      <c r="M1145" s="69"/>
      <c r="N1145" s="69">
        <f>IFERROR(__xludf.DUMMYFUNCTION("""COMPUTED_VALUE"""),2.0)</f>
        <v>2</v>
      </c>
      <c r="O1145" s="69" t="str">
        <f t="shared" si="3"/>
        <v/>
      </c>
      <c r="P1145" s="471">
        <f>IFERROR(__xludf.DUMMYFUNCTION("""COMPUTED_VALUE"""),0.0)</f>
        <v>0</v>
      </c>
      <c r="Q1145" s="274" t="b">
        <f>VLOOKUP($B1145,'Run Reconcile'!B$2:O2488,14,FALSE)</f>
        <v>1</v>
      </c>
      <c r="R1145" s="472" t="str">
        <f t="array" ref="R1145">IF($Q1145, INDEX('Run Reconcile'!A$2:A2488,MATCH(B1145,'Run Reconcile'!B$2:B2488,0),1),IFERROR(0/0,""))</f>
        <v>RUN-FLMP_2022-04-28_RFR-120</v>
      </c>
      <c r="S1145" s="473" t="str">
        <f t="shared" si="694"/>
        <v/>
      </c>
      <c r="T1145" s="473" t="str">
        <f t="shared" si="698"/>
        <v/>
      </c>
      <c r="U1145" s="275" t="str">
        <f t="array" ref="U1145">IF(ISBLANK($R1145), INDEX('Run Reconcile'!A$2:A2488, MATCH($B1145, 'Run Reconcile'!B$2:B2488, 0)+Z1145, 1), IFERROR(0/0,""))
</f>
        <v/>
      </c>
      <c r="V1145" s="474" t="str">
        <f t="shared" si="5"/>
        <v>RUN-FLMP_2022-04-28_RFR-120</v>
      </c>
      <c r="Y1145" s="89" t="str">
        <f t="shared" si="867"/>
        <v/>
      </c>
      <c r="Z1145" s="60" t="str">
        <f t="shared" si="7"/>
        <v/>
      </c>
      <c r="AA1145" s="60" t="str">
        <f t="shared" si="8"/>
        <v/>
      </c>
      <c r="AB1145" s="60" t="str">
        <f t="shared" si="9"/>
        <v/>
      </c>
      <c r="AC1145" s="30" t="str">
        <f t="shared" ref="AC1145:AD1145" si="1501">IF(_xlfn.ISFORMULA(S1145),IFERROR(0/0,""),TRUE)</f>
        <v/>
      </c>
      <c r="AD1145" s="30" t="str">
        <f t="shared" si="1501"/>
        <v/>
      </c>
      <c r="AE1145" s="475" t="str">
        <f>IFERROR(__xludf.DUMMYFUNCTION("""COMPUTED_VALUE"""),"CRLN")</f>
        <v>CRLN</v>
      </c>
      <c r="AF1145" s="476"/>
      <c r="AG1145" s="474" t="s">
        <v>206</v>
      </c>
      <c r="AH1145" s="138" t="str">
        <f t="shared" si="11"/>
        <v/>
      </c>
    </row>
    <row r="1146">
      <c r="A1146" s="103" t="str">
        <f>IFERROR(__xludf.DUMMYFUNCTION("""COMPUTED_VALUE"""),"AH151")</f>
        <v>AH151</v>
      </c>
      <c r="B1146" s="468">
        <f>IFERROR(__xludf.DUMMYFUNCTION("""COMPUTED_VALUE"""),44679.0)</f>
        <v>44679</v>
      </c>
      <c r="C1146" s="469">
        <f>IFERROR(__xludf.DUMMYFUNCTION("""COMPUTED_VALUE"""),0.36157407407407405)</f>
        <v>0.3615740741</v>
      </c>
      <c r="D1146" s="103" t="str">
        <f>IFERROR(__xludf.DUMMYFUNCTION("""COMPUTED_VALUE"""),"SpFLMP939619")</f>
        <v>SpFLMP939619</v>
      </c>
      <c r="E1146" s="103"/>
      <c r="F1146" s="103"/>
      <c r="G1146" s="103" t="str">
        <f>IFERROR(__xludf.DUMMYFUNCTION("""COMPUTED_VALUE"""),"Negative")</f>
        <v>Negative</v>
      </c>
      <c r="H1146" s="131" t="str">
        <f>IFERROR(__xludf.DUMMYFUNCTION("""COMPUTED_VALUE"""),"Negative")</f>
        <v>Negative</v>
      </c>
      <c r="I1146" s="468">
        <f>IFERROR(__xludf.DUMMYFUNCTION("""COMPUTED_VALUE"""),44679.0)</f>
        <v>44679</v>
      </c>
      <c r="J1146" s="470">
        <f>IFERROR(__xludf.DUMMYFUNCTION("""COMPUTED_VALUE"""),0.5298842592592593)</f>
        <v>0.5298842593</v>
      </c>
      <c r="K1146" s="16"/>
      <c r="L1146" s="8"/>
      <c r="M1146" s="69"/>
      <c r="N1146" s="69">
        <f>IFERROR(__xludf.DUMMYFUNCTION("""COMPUTED_VALUE"""),1.0)</f>
        <v>1</v>
      </c>
      <c r="O1146" s="69" t="str">
        <f t="shared" si="3"/>
        <v/>
      </c>
      <c r="P1146" s="471">
        <f>IFERROR(__xludf.DUMMYFUNCTION("""COMPUTED_VALUE"""),0.0)</f>
        <v>0</v>
      </c>
      <c r="Q1146" s="274" t="b">
        <f>VLOOKUP($B1146,'Run Reconcile'!B$2:O2488,14,FALSE)</f>
        <v>1</v>
      </c>
      <c r="R1146" s="472" t="str">
        <f t="array" ref="R1146">IF($Q1146, INDEX('Run Reconcile'!A$2:A2488,MATCH(B1146,'Run Reconcile'!B$2:B2488,0),1),IFERROR(0/0,""))</f>
        <v>RUN-FLMP_2022-04-28_RFR-120</v>
      </c>
      <c r="S1146" s="473" t="str">
        <f t="shared" si="694"/>
        <v/>
      </c>
      <c r="T1146" s="473" t="str">
        <f t="shared" si="698"/>
        <v/>
      </c>
      <c r="U1146" s="275" t="str">
        <f t="array" ref="U1146">IF(ISBLANK($R1146), INDEX('Run Reconcile'!A$2:A2488, MATCH($B1146, 'Run Reconcile'!B$2:B2488, 0)+Z1146, 1), IFERROR(0/0,""))
</f>
        <v/>
      </c>
      <c r="V1146" s="474" t="str">
        <f t="shared" si="5"/>
        <v>RUN-FLMP_2022-04-28_RFR-120</v>
      </c>
      <c r="Y1146" s="89" t="str">
        <f t="shared" si="867"/>
        <v/>
      </c>
      <c r="Z1146" s="60" t="str">
        <f t="shared" si="7"/>
        <v/>
      </c>
      <c r="AA1146" s="60" t="str">
        <f t="shared" si="8"/>
        <v/>
      </c>
      <c r="AB1146" s="60" t="str">
        <f t="shared" si="9"/>
        <v/>
      </c>
      <c r="AC1146" s="30" t="str">
        <f t="shared" ref="AC1146:AD1146" si="1502">IF(_xlfn.ISFORMULA(S1146),IFERROR(0/0,""),TRUE)</f>
        <v/>
      </c>
      <c r="AD1146" s="30" t="str">
        <f t="shared" si="1502"/>
        <v/>
      </c>
      <c r="AE1146" s="475" t="str">
        <f>IFERROR(__xludf.DUMMYFUNCTION("""COMPUTED_VALUE"""),"CRLN")</f>
        <v>CRLN</v>
      </c>
      <c r="AF1146" s="476"/>
      <c r="AG1146" s="474" t="s">
        <v>206</v>
      </c>
      <c r="AH1146" s="138" t="str">
        <f t="shared" si="11"/>
        <v/>
      </c>
    </row>
    <row r="1147">
      <c r="A1147" s="103" t="str">
        <f>IFERROR(__xludf.DUMMYFUNCTION("""COMPUTED_VALUE"""),"FLB4946")</f>
        <v>FLB4946</v>
      </c>
      <c r="B1147" s="468">
        <f>IFERROR(__xludf.DUMMYFUNCTION("""COMPUTED_VALUE"""),44679.0)</f>
        <v>44679</v>
      </c>
      <c r="C1147" s="469">
        <f>IFERROR(__xludf.DUMMYFUNCTION("""COMPUTED_VALUE"""),0.3667361111111111)</f>
        <v>0.3667361111</v>
      </c>
      <c r="D1147" s="103" t="str">
        <f>IFERROR(__xludf.DUMMYFUNCTION("""COMPUTED_VALUE"""),"SpFLMP496039")</f>
        <v>SpFLMP496039</v>
      </c>
      <c r="E1147" s="103"/>
      <c r="F1147" s="103"/>
      <c r="G1147" s="103" t="str">
        <f>IFERROR(__xludf.DUMMYFUNCTION("""COMPUTED_VALUE"""),"Negative")</f>
        <v>Negative</v>
      </c>
      <c r="H1147" s="131" t="str">
        <f>IFERROR(__xludf.DUMMYFUNCTION("""COMPUTED_VALUE"""),"Negative")</f>
        <v>Negative</v>
      </c>
      <c r="I1147" s="468">
        <f>IFERROR(__xludf.DUMMYFUNCTION("""COMPUTED_VALUE"""),44679.0)</f>
        <v>44679</v>
      </c>
      <c r="J1147" s="470">
        <f>IFERROR(__xludf.DUMMYFUNCTION("""COMPUTED_VALUE"""),0.44277777777777777)</f>
        <v>0.4427777778</v>
      </c>
      <c r="K1147" s="16"/>
      <c r="L1147" s="8"/>
      <c r="M1147" s="69"/>
      <c r="N1147" s="69">
        <f>IFERROR(__xludf.DUMMYFUNCTION("""COMPUTED_VALUE"""),1.0)</f>
        <v>1</v>
      </c>
      <c r="O1147" s="69" t="str">
        <f t="shared" si="3"/>
        <v/>
      </c>
      <c r="P1147" s="471">
        <f>IFERROR(__xludf.DUMMYFUNCTION("""COMPUTED_VALUE"""),0.0)</f>
        <v>0</v>
      </c>
      <c r="Q1147" s="274" t="b">
        <f>VLOOKUP($B1147,'Run Reconcile'!B$2:O2488,14,FALSE)</f>
        <v>1</v>
      </c>
      <c r="R1147" s="472" t="str">
        <f t="array" ref="R1147">IF($Q1147, INDEX('Run Reconcile'!A$2:A2488,MATCH(B1147,'Run Reconcile'!B$2:B2488,0),1),IFERROR(0/0,""))</f>
        <v>RUN-FLMP_2022-04-28_RFR-120</v>
      </c>
      <c r="S1147" s="473" t="str">
        <f t="shared" si="694"/>
        <v/>
      </c>
      <c r="T1147" s="473" t="str">
        <f t="shared" si="698"/>
        <v/>
      </c>
      <c r="U1147" s="275" t="str">
        <f t="array" ref="U1147">IF(ISBLANK($R1147), INDEX('Run Reconcile'!A$2:A2488, MATCH($B1147, 'Run Reconcile'!B$2:B2488, 0)+Z1147, 1), IFERROR(0/0,""))
</f>
        <v/>
      </c>
      <c r="V1147" s="474" t="str">
        <f t="shared" si="5"/>
        <v>RUN-FLMP_2022-04-28_RFR-120</v>
      </c>
      <c r="Y1147" s="89" t="str">
        <f t="shared" si="867"/>
        <v/>
      </c>
      <c r="Z1147" s="60" t="str">
        <f t="shared" si="7"/>
        <v/>
      </c>
      <c r="AA1147" s="60" t="str">
        <f t="shared" si="8"/>
        <v/>
      </c>
      <c r="AB1147" s="60" t="str">
        <f t="shared" si="9"/>
        <v/>
      </c>
      <c r="AC1147" s="30" t="str">
        <f t="shared" ref="AC1147:AD1147" si="1503">IF(_xlfn.ISFORMULA(S1147),IFERROR(0/0,""),TRUE)</f>
        <v/>
      </c>
      <c r="AD1147" s="30" t="str">
        <f t="shared" si="1503"/>
        <v/>
      </c>
      <c r="AE1147" s="475" t="str">
        <f>IFERROR(__xludf.DUMMYFUNCTION("""COMPUTED_VALUE"""),"FLSP")</f>
        <v>FLSP</v>
      </c>
      <c r="AF1147" s="476"/>
      <c r="AG1147" s="474" t="s">
        <v>206</v>
      </c>
      <c r="AH1147" s="138" t="str">
        <f t="shared" si="11"/>
        <v/>
      </c>
    </row>
    <row r="1148">
      <c r="A1148" s="103" t="str">
        <f>IFERROR(__xludf.DUMMYFUNCTION("""COMPUTED_VALUE"""),"AJ8007")</f>
        <v>AJ8007</v>
      </c>
      <c r="B1148" s="468">
        <f>IFERROR(__xludf.DUMMYFUNCTION("""COMPUTED_VALUE"""),44679.0)</f>
        <v>44679</v>
      </c>
      <c r="C1148" s="469">
        <f>IFERROR(__xludf.DUMMYFUNCTION("""COMPUTED_VALUE"""),0.3675462962962963)</f>
        <v>0.3675462963</v>
      </c>
      <c r="D1148" s="103" t="str">
        <f>IFERROR(__xludf.DUMMYFUNCTION("""COMPUTED_VALUE"""),"SpFLMP777132")</f>
        <v>SpFLMP777132</v>
      </c>
      <c r="E1148" s="103"/>
      <c r="F1148" s="103"/>
      <c r="G1148" s="103" t="str">
        <f>IFERROR(__xludf.DUMMYFUNCTION("""COMPUTED_VALUE"""),"Negative")</f>
        <v>Negative</v>
      </c>
      <c r="H1148" s="131" t="str">
        <f>IFERROR(__xludf.DUMMYFUNCTION("""COMPUTED_VALUE"""),"Negative")</f>
        <v>Negative</v>
      </c>
      <c r="I1148" s="468">
        <f>IFERROR(__xludf.DUMMYFUNCTION("""COMPUTED_VALUE"""),44679.0)</f>
        <v>44679</v>
      </c>
      <c r="J1148" s="470">
        <f>IFERROR(__xludf.DUMMYFUNCTION("""COMPUTED_VALUE"""),0.44277777777777777)</f>
        <v>0.4427777778</v>
      </c>
      <c r="K1148" s="16"/>
      <c r="L1148" s="8"/>
      <c r="M1148" s="69"/>
      <c r="N1148" s="69">
        <f>IFERROR(__xludf.DUMMYFUNCTION("""COMPUTED_VALUE"""),4.0)</f>
        <v>4</v>
      </c>
      <c r="O1148" s="69" t="str">
        <f t="shared" si="3"/>
        <v/>
      </c>
      <c r="P1148" s="471">
        <f>IFERROR(__xludf.DUMMYFUNCTION("""COMPUTED_VALUE"""),0.0)</f>
        <v>0</v>
      </c>
      <c r="Q1148" s="274" t="b">
        <f>VLOOKUP($B1148,'Run Reconcile'!B$2:O2488,14,FALSE)</f>
        <v>1</v>
      </c>
      <c r="R1148" s="472" t="str">
        <f t="array" ref="R1148">IF($Q1148, INDEX('Run Reconcile'!A$2:A2488,MATCH(B1148,'Run Reconcile'!B$2:B2488,0),1),IFERROR(0/0,""))</f>
        <v>RUN-FLMP_2022-04-28_RFR-120</v>
      </c>
      <c r="S1148" s="473" t="str">
        <f t="shared" si="694"/>
        <v/>
      </c>
      <c r="T1148" s="473" t="str">
        <f t="shared" si="698"/>
        <v/>
      </c>
      <c r="U1148" s="275" t="str">
        <f t="array" ref="U1148">IF(ISBLANK($R1148), INDEX('Run Reconcile'!A$2:A2488, MATCH($B1148, 'Run Reconcile'!B$2:B2488, 0)+Z1148, 1), IFERROR(0/0,""))
</f>
        <v/>
      </c>
      <c r="V1148" s="474" t="str">
        <f t="shared" si="5"/>
        <v>RUN-FLMP_2022-04-28_RFR-120</v>
      </c>
      <c r="Y1148" s="89" t="str">
        <f t="shared" si="867"/>
        <v/>
      </c>
      <c r="Z1148" s="60" t="str">
        <f t="shared" si="7"/>
        <v/>
      </c>
      <c r="AA1148" s="60" t="str">
        <f t="shared" si="8"/>
        <v/>
      </c>
      <c r="AB1148" s="60" t="str">
        <f t="shared" si="9"/>
        <v/>
      </c>
      <c r="AC1148" s="30" t="str">
        <f t="shared" ref="AC1148:AD1148" si="1504">IF(_xlfn.ISFORMULA(S1148),IFERROR(0/0,""),TRUE)</f>
        <v/>
      </c>
      <c r="AD1148" s="30" t="str">
        <f t="shared" si="1504"/>
        <v/>
      </c>
      <c r="AE1148" s="475" t="str">
        <f>IFERROR(__xludf.DUMMYFUNCTION("""COMPUTED_VALUE"""),"CRLN")</f>
        <v>CRLN</v>
      </c>
      <c r="AF1148" s="476"/>
      <c r="AG1148" s="474" t="s">
        <v>206</v>
      </c>
      <c r="AH1148" s="138" t="str">
        <f t="shared" si="11"/>
        <v/>
      </c>
    </row>
    <row r="1149">
      <c r="A1149" s="103" t="str">
        <f>IFERROR(__xludf.DUMMYFUNCTION("""COMPUTED_VALUE"""),"FLB7367")</f>
        <v>FLB7367</v>
      </c>
      <c r="B1149" s="468">
        <f>IFERROR(__xludf.DUMMYFUNCTION("""COMPUTED_VALUE"""),44679.0)</f>
        <v>44679</v>
      </c>
      <c r="C1149" s="469">
        <f>IFERROR(__xludf.DUMMYFUNCTION("""COMPUTED_VALUE"""),0.3677314814814815)</f>
        <v>0.3677314815</v>
      </c>
      <c r="D1149" s="103" t="str">
        <f>IFERROR(__xludf.DUMMYFUNCTION("""COMPUTED_VALUE"""),"SpFLMP596479")</f>
        <v>SpFLMP596479</v>
      </c>
      <c r="E1149" s="103"/>
      <c r="F1149" s="103"/>
      <c r="G1149" s="103" t="str">
        <f>IFERROR(__xludf.DUMMYFUNCTION("""COMPUTED_VALUE"""),"Negative")</f>
        <v>Negative</v>
      </c>
      <c r="H1149" s="131" t="str">
        <f>IFERROR(__xludf.DUMMYFUNCTION("""COMPUTED_VALUE"""),"Negative")</f>
        <v>Negative</v>
      </c>
      <c r="I1149" s="468">
        <f>IFERROR(__xludf.DUMMYFUNCTION("""COMPUTED_VALUE"""),44679.0)</f>
        <v>44679</v>
      </c>
      <c r="J1149" s="470">
        <f>IFERROR(__xludf.DUMMYFUNCTION("""COMPUTED_VALUE"""),0.44277777777777777)</f>
        <v>0.4427777778</v>
      </c>
      <c r="K1149" s="16"/>
      <c r="L1149" s="8"/>
      <c r="M1149" s="69"/>
      <c r="N1149" s="69">
        <f>IFERROR(__xludf.DUMMYFUNCTION("""COMPUTED_VALUE"""),3.0)</f>
        <v>3</v>
      </c>
      <c r="O1149" s="69" t="str">
        <f t="shared" si="3"/>
        <v/>
      </c>
      <c r="P1149" s="471">
        <f>IFERROR(__xludf.DUMMYFUNCTION("""COMPUTED_VALUE"""),0.0)</f>
        <v>0</v>
      </c>
      <c r="Q1149" s="274" t="b">
        <f>VLOOKUP($B1149,'Run Reconcile'!B$2:O2488,14,FALSE)</f>
        <v>1</v>
      </c>
      <c r="R1149" s="472" t="str">
        <f t="array" ref="R1149">IF($Q1149, INDEX('Run Reconcile'!A$2:A2488,MATCH(B1149,'Run Reconcile'!B$2:B2488,0),1),IFERROR(0/0,""))</f>
        <v>RUN-FLMP_2022-04-28_RFR-120</v>
      </c>
      <c r="S1149" s="473" t="str">
        <f t="shared" si="694"/>
        <v/>
      </c>
      <c r="T1149" s="473" t="str">
        <f t="shared" si="698"/>
        <v/>
      </c>
      <c r="U1149" s="275" t="str">
        <f t="array" ref="U1149">IF(ISBLANK($R1149), INDEX('Run Reconcile'!A$2:A2488, MATCH($B1149, 'Run Reconcile'!B$2:B2488, 0)+Z1149, 1), IFERROR(0/0,""))
</f>
        <v/>
      </c>
      <c r="V1149" s="474" t="str">
        <f t="shared" si="5"/>
        <v>RUN-FLMP_2022-04-28_RFR-120</v>
      </c>
      <c r="Y1149" s="89" t="str">
        <f t="shared" si="867"/>
        <v/>
      </c>
      <c r="Z1149" s="60" t="str">
        <f t="shared" si="7"/>
        <v/>
      </c>
      <c r="AA1149" s="60" t="str">
        <f t="shared" si="8"/>
        <v/>
      </c>
      <c r="AB1149" s="60" t="str">
        <f t="shared" si="9"/>
        <v/>
      </c>
      <c r="AC1149" s="30" t="str">
        <f t="shared" ref="AC1149:AD1149" si="1505">IF(_xlfn.ISFORMULA(S1149),IFERROR(0/0,""),TRUE)</f>
        <v/>
      </c>
      <c r="AD1149" s="30" t="str">
        <f t="shared" si="1505"/>
        <v/>
      </c>
      <c r="AE1149" s="475" t="str">
        <f>IFERROR(__xludf.DUMMYFUNCTION("""COMPUTED_VALUE"""),"CRLN")</f>
        <v>CRLN</v>
      </c>
      <c r="AF1149" s="476"/>
      <c r="AG1149" s="474" t="s">
        <v>206</v>
      </c>
      <c r="AH1149" s="138" t="str">
        <f t="shared" si="11"/>
        <v/>
      </c>
    </row>
    <row r="1150">
      <c r="A1150" s="103" t="str">
        <f>IFERROR(__xludf.DUMMYFUNCTION("""COMPUTED_VALUE"""),"AJ9580")</f>
        <v>AJ9580</v>
      </c>
      <c r="B1150" s="468">
        <f>IFERROR(__xludf.DUMMYFUNCTION("""COMPUTED_VALUE"""),44679.0)</f>
        <v>44679</v>
      </c>
      <c r="C1150" s="469">
        <f>IFERROR(__xludf.DUMMYFUNCTION("""COMPUTED_VALUE"""),0.3679398148148148)</f>
        <v>0.3679398148</v>
      </c>
      <c r="D1150" s="103" t="str">
        <f>IFERROR(__xludf.DUMMYFUNCTION("""COMPUTED_VALUE"""),"SpFLMP268514")</f>
        <v>SpFLMP268514</v>
      </c>
      <c r="E1150" s="103"/>
      <c r="F1150" s="103"/>
      <c r="G1150" s="103" t="str">
        <f>IFERROR(__xludf.DUMMYFUNCTION("""COMPUTED_VALUE"""),"Negative")</f>
        <v>Negative</v>
      </c>
      <c r="H1150" s="131" t="str">
        <f>IFERROR(__xludf.DUMMYFUNCTION("""COMPUTED_VALUE"""),"Negative")</f>
        <v>Negative</v>
      </c>
      <c r="I1150" s="468">
        <f>IFERROR(__xludf.DUMMYFUNCTION("""COMPUTED_VALUE"""),44679.0)</f>
        <v>44679</v>
      </c>
      <c r="J1150" s="470">
        <f>IFERROR(__xludf.DUMMYFUNCTION("""COMPUTED_VALUE"""),0.44277777777777777)</f>
        <v>0.4427777778</v>
      </c>
      <c r="K1150" s="16"/>
      <c r="L1150" s="8"/>
      <c r="M1150" s="69"/>
      <c r="N1150" s="69">
        <f>IFERROR(__xludf.DUMMYFUNCTION("""COMPUTED_VALUE"""),2.0)</f>
        <v>2</v>
      </c>
      <c r="O1150" s="69" t="str">
        <f t="shared" si="3"/>
        <v/>
      </c>
      <c r="P1150" s="471">
        <f>IFERROR(__xludf.DUMMYFUNCTION("""COMPUTED_VALUE"""),0.0)</f>
        <v>0</v>
      </c>
      <c r="Q1150" s="274" t="b">
        <f>VLOOKUP($B1150,'Run Reconcile'!B$2:O2488,14,FALSE)</f>
        <v>1</v>
      </c>
      <c r="R1150" s="472" t="str">
        <f t="array" ref="R1150">IF($Q1150, INDEX('Run Reconcile'!A$2:A2488,MATCH(B1150,'Run Reconcile'!B$2:B2488,0),1),IFERROR(0/0,""))</f>
        <v>RUN-FLMP_2022-04-28_RFR-120</v>
      </c>
      <c r="S1150" s="473" t="str">
        <f t="shared" si="694"/>
        <v/>
      </c>
      <c r="T1150" s="473" t="str">
        <f t="shared" si="698"/>
        <v/>
      </c>
      <c r="U1150" s="275" t="str">
        <f t="array" ref="U1150">IF(ISBLANK($R1150), INDEX('Run Reconcile'!A$2:A2488, MATCH($B1150, 'Run Reconcile'!B$2:B2488, 0)+Z1150, 1), IFERROR(0/0,""))
</f>
        <v/>
      </c>
      <c r="V1150" s="474" t="str">
        <f t="shared" si="5"/>
        <v>RUN-FLMP_2022-04-28_RFR-120</v>
      </c>
      <c r="Y1150" s="89" t="str">
        <f t="shared" si="867"/>
        <v/>
      </c>
      <c r="Z1150" s="60" t="str">
        <f t="shared" si="7"/>
        <v/>
      </c>
      <c r="AA1150" s="60" t="str">
        <f t="shared" si="8"/>
        <v/>
      </c>
      <c r="AB1150" s="60" t="str">
        <f t="shared" si="9"/>
        <v/>
      </c>
      <c r="AC1150" s="30" t="str">
        <f t="shared" ref="AC1150:AD1150" si="1506">IF(_xlfn.ISFORMULA(S1150),IFERROR(0/0,""),TRUE)</f>
        <v/>
      </c>
      <c r="AD1150" s="30" t="str">
        <f t="shared" si="1506"/>
        <v/>
      </c>
      <c r="AE1150" s="475" t="str">
        <f>IFERROR(__xludf.DUMMYFUNCTION("""COMPUTED_VALUE"""),"CRLN")</f>
        <v>CRLN</v>
      </c>
      <c r="AF1150" s="476"/>
      <c r="AG1150" s="474" t="s">
        <v>206</v>
      </c>
      <c r="AH1150" s="138" t="str">
        <f t="shared" si="11"/>
        <v/>
      </c>
    </row>
    <row r="1151">
      <c r="A1151" s="103" t="str">
        <f>IFERROR(__xludf.DUMMYFUNCTION("""COMPUTED_VALUE"""),"FLE298")</f>
        <v>FLE298</v>
      </c>
      <c r="B1151" s="468">
        <f>IFERROR(__xludf.DUMMYFUNCTION("""COMPUTED_VALUE"""),44679.0)</f>
        <v>44679</v>
      </c>
      <c r="C1151" s="469">
        <f>IFERROR(__xludf.DUMMYFUNCTION("""COMPUTED_VALUE"""),0.3686226851851852)</f>
        <v>0.3686226852</v>
      </c>
      <c r="D1151" s="103" t="str">
        <f>IFERROR(__xludf.DUMMYFUNCTION("""COMPUTED_VALUE"""),"SpFLMP946259")</f>
        <v>SpFLMP946259</v>
      </c>
      <c r="E1151" s="103"/>
      <c r="F1151" s="103"/>
      <c r="G1151" s="103" t="str">
        <f>IFERROR(__xludf.DUMMYFUNCTION("""COMPUTED_VALUE"""),"Negative")</f>
        <v>Negative</v>
      </c>
      <c r="H1151" s="131" t="str">
        <f>IFERROR(__xludf.DUMMYFUNCTION("""COMPUTED_VALUE"""),"Negative")</f>
        <v>Negative</v>
      </c>
      <c r="I1151" s="468">
        <f>IFERROR(__xludf.DUMMYFUNCTION("""COMPUTED_VALUE"""),44679.0)</f>
        <v>44679</v>
      </c>
      <c r="J1151" s="470">
        <f>IFERROR(__xludf.DUMMYFUNCTION("""COMPUTED_VALUE"""),0.44277777777777777)</f>
        <v>0.4427777778</v>
      </c>
      <c r="K1151" s="16"/>
      <c r="L1151" s="8"/>
      <c r="M1151" s="69"/>
      <c r="N1151" s="69">
        <f>IFERROR(__xludf.DUMMYFUNCTION("""COMPUTED_VALUE"""),2.0)</f>
        <v>2</v>
      </c>
      <c r="O1151" s="69" t="str">
        <f t="shared" si="3"/>
        <v/>
      </c>
      <c r="P1151" s="471">
        <f>IFERROR(__xludf.DUMMYFUNCTION("""COMPUTED_VALUE"""),0.0)</f>
        <v>0</v>
      </c>
      <c r="Q1151" s="274" t="b">
        <f>VLOOKUP($B1151,'Run Reconcile'!B$2:O2488,14,FALSE)</f>
        <v>1</v>
      </c>
      <c r="R1151" s="472" t="str">
        <f t="array" ref="R1151">IF($Q1151, INDEX('Run Reconcile'!A$2:A2488,MATCH(B1151,'Run Reconcile'!B$2:B2488,0),1),IFERROR(0/0,""))</f>
        <v>RUN-FLMP_2022-04-28_RFR-120</v>
      </c>
      <c r="S1151" s="473" t="str">
        <f t="shared" si="694"/>
        <v/>
      </c>
      <c r="T1151" s="473" t="str">
        <f t="shared" si="698"/>
        <v/>
      </c>
      <c r="U1151" s="275" t="str">
        <f t="array" ref="U1151">IF(ISBLANK($R1151), INDEX('Run Reconcile'!A$2:A2488, MATCH($B1151, 'Run Reconcile'!B$2:B2488, 0)+Z1151, 1), IFERROR(0/0,""))
</f>
        <v/>
      </c>
      <c r="V1151" s="474" t="str">
        <f t="shared" si="5"/>
        <v>RUN-FLMP_2022-04-28_RFR-120</v>
      </c>
      <c r="Y1151" s="89" t="str">
        <f t="shared" si="867"/>
        <v/>
      </c>
      <c r="Z1151" s="60" t="str">
        <f t="shared" si="7"/>
        <v/>
      </c>
      <c r="AA1151" s="60" t="str">
        <f t="shared" si="8"/>
        <v/>
      </c>
      <c r="AB1151" s="60" t="str">
        <f t="shared" si="9"/>
        <v/>
      </c>
      <c r="AC1151" s="30" t="str">
        <f t="shared" ref="AC1151:AD1151" si="1507">IF(_xlfn.ISFORMULA(S1151),IFERROR(0/0,""),TRUE)</f>
        <v/>
      </c>
      <c r="AD1151" s="30" t="str">
        <f t="shared" si="1507"/>
        <v/>
      </c>
      <c r="AE1151" s="475" t="str">
        <f>IFERROR(__xludf.DUMMYFUNCTION("""COMPUTED_VALUE"""),"CRLN")</f>
        <v>CRLN</v>
      </c>
      <c r="AF1151" s="476"/>
      <c r="AG1151" s="474" t="s">
        <v>206</v>
      </c>
      <c r="AH1151" s="138" t="str">
        <f t="shared" si="11"/>
        <v/>
      </c>
    </row>
    <row r="1152">
      <c r="A1152" s="103" t="str">
        <f>IFERROR(__xludf.DUMMYFUNCTION("""COMPUTED_VALUE"""),"AG1582")</f>
        <v>AG1582</v>
      </c>
      <c r="B1152" s="468">
        <f>IFERROR(__xludf.DUMMYFUNCTION("""COMPUTED_VALUE"""),44679.0)</f>
        <v>44679</v>
      </c>
      <c r="C1152" s="469">
        <f>IFERROR(__xludf.DUMMYFUNCTION("""COMPUTED_VALUE"""),0.3748148148148148)</f>
        <v>0.3748148148</v>
      </c>
      <c r="D1152" s="103" t="str">
        <f>IFERROR(__xludf.DUMMYFUNCTION("""COMPUTED_VALUE"""),"SpFLMP259015")</f>
        <v>SpFLMP259015</v>
      </c>
      <c r="E1152" s="103"/>
      <c r="F1152" s="103"/>
      <c r="G1152" s="103" t="str">
        <f>IFERROR(__xludf.DUMMYFUNCTION("""COMPUTED_VALUE"""),"Negative")</f>
        <v>Negative</v>
      </c>
      <c r="H1152" s="131" t="str">
        <f>IFERROR(__xludf.DUMMYFUNCTION("""COMPUTED_VALUE"""),"Negative")</f>
        <v>Negative</v>
      </c>
      <c r="I1152" s="468">
        <f>IFERROR(__xludf.DUMMYFUNCTION("""COMPUTED_VALUE"""),44679.0)</f>
        <v>44679</v>
      </c>
      <c r="J1152" s="470">
        <f>IFERROR(__xludf.DUMMYFUNCTION("""COMPUTED_VALUE"""),0.44278935185185186)</f>
        <v>0.4427893519</v>
      </c>
      <c r="K1152" s="16"/>
      <c r="L1152" s="8"/>
      <c r="M1152" s="69"/>
      <c r="N1152" s="69">
        <f>IFERROR(__xludf.DUMMYFUNCTION("""COMPUTED_VALUE"""),3.0)</f>
        <v>3</v>
      </c>
      <c r="O1152" s="69" t="str">
        <f t="shared" si="3"/>
        <v/>
      </c>
      <c r="P1152" s="471">
        <f>IFERROR(__xludf.DUMMYFUNCTION("""COMPUTED_VALUE"""),0.0)</f>
        <v>0</v>
      </c>
      <c r="Q1152" s="274" t="b">
        <f>VLOOKUP($B1152,'Run Reconcile'!B$2:O2488,14,FALSE)</f>
        <v>1</v>
      </c>
      <c r="R1152" s="472" t="str">
        <f t="array" ref="R1152">IF($Q1152, INDEX('Run Reconcile'!A$2:A2488,MATCH(B1152,'Run Reconcile'!B$2:B2488,0),1),IFERROR(0/0,""))</f>
        <v>RUN-FLMP_2022-04-28_RFR-120</v>
      </c>
      <c r="S1152" s="473" t="str">
        <f t="shared" si="694"/>
        <v/>
      </c>
      <c r="T1152" s="473" t="str">
        <f t="shared" si="698"/>
        <v/>
      </c>
      <c r="U1152" s="275" t="str">
        <f t="array" ref="U1152">IF(ISBLANK($R1152), INDEX('Run Reconcile'!A$2:A2488, MATCH($B1152, 'Run Reconcile'!B$2:B2488, 0)+Z1152, 1), IFERROR(0/0,""))
</f>
        <v/>
      </c>
      <c r="V1152" s="474" t="str">
        <f t="shared" si="5"/>
        <v>RUN-FLMP_2022-04-28_RFR-120</v>
      </c>
      <c r="Y1152" s="89" t="str">
        <f t="shared" si="867"/>
        <v/>
      </c>
      <c r="Z1152" s="60" t="str">
        <f t="shared" si="7"/>
        <v/>
      </c>
      <c r="AA1152" s="60" t="str">
        <f t="shared" si="8"/>
        <v/>
      </c>
      <c r="AB1152" s="60" t="str">
        <f t="shared" si="9"/>
        <v/>
      </c>
      <c r="AC1152" s="30" t="str">
        <f t="shared" ref="AC1152:AD1152" si="1508">IF(_xlfn.ISFORMULA(S1152),IFERROR(0/0,""),TRUE)</f>
        <v/>
      </c>
      <c r="AD1152" s="30" t="str">
        <f t="shared" si="1508"/>
        <v/>
      </c>
      <c r="AE1152" s="475" t="str">
        <f>IFERROR(__xludf.DUMMYFUNCTION("""COMPUTED_VALUE"""),"CRLN")</f>
        <v>CRLN</v>
      </c>
      <c r="AF1152" s="476"/>
      <c r="AG1152" s="474" t="s">
        <v>206</v>
      </c>
      <c r="AH1152" s="138" t="str">
        <f t="shared" si="11"/>
        <v/>
      </c>
    </row>
    <row r="1153">
      <c r="A1153" s="103" t="str">
        <f>IFERROR(__xludf.DUMMYFUNCTION("""COMPUTED_VALUE"""),"AJ 7882")</f>
        <v>AJ 7882</v>
      </c>
      <c r="B1153" s="468">
        <f>IFERROR(__xludf.DUMMYFUNCTION("""COMPUTED_VALUE"""),44679.0)</f>
        <v>44679</v>
      </c>
      <c r="C1153" s="469">
        <f>IFERROR(__xludf.DUMMYFUNCTION("""COMPUTED_VALUE"""),0.3754050925925926)</f>
        <v>0.3754050926</v>
      </c>
      <c r="D1153" s="103" t="str">
        <f>IFERROR(__xludf.DUMMYFUNCTION("""COMPUTED_VALUE"""),"SpFLMP259015")</f>
        <v>SpFLMP259015</v>
      </c>
      <c r="E1153" s="103"/>
      <c r="F1153" s="103"/>
      <c r="G1153" s="103" t="str">
        <f>IFERROR(__xludf.DUMMYFUNCTION("""COMPUTED_VALUE"""),"Negative")</f>
        <v>Negative</v>
      </c>
      <c r="H1153" s="131" t="str">
        <f>IFERROR(__xludf.DUMMYFUNCTION("""COMPUTED_VALUE"""),"Negative")</f>
        <v>Negative</v>
      </c>
      <c r="I1153" s="468">
        <f>IFERROR(__xludf.DUMMYFUNCTION("""COMPUTED_VALUE"""),44679.0)</f>
        <v>44679</v>
      </c>
      <c r="J1153" s="470">
        <f>IFERROR(__xludf.DUMMYFUNCTION("""COMPUTED_VALUE"""),0.5434490740740741)</f>
        <v>0.5434490741</v>
      </c>
      <c r="K1153" s="16"/>
      <c r="L1153" s="8"/>
      <c r="M1153" s="69"/>
      <c r="N1153" s="69">
        <f>IFERROR(__xludf.DUMMYFUNCTION("""COMPUTED_VALUE"""),3.0)</f>
        <v>3</v>
      </c>
      <c r="O1153" s="69" t="str">
        <f t="shared" si="3"/>
        <v/>
      </c>
      <c r="P1153" s="471">
        <f>IFERROR(__xludf.DUMMYFUNCTION("""COMPUTED_VALUE"""),0.0)</f>
        <v>0</v>
      </c>
      <c r="Q1153" s="274" t="b">
        <f>VLOOKUP($B1153,'Run Reconcile'!B$2:O2488,14,FALSE)</f>
        <v>1</v>
      </c>
      <c r="R1153" s="472" t="str">
        <f t="array" ref="R1153">IF($Q1153, INDEX('Run Reconcile'!A$2:A2488,MATCH(B1153,'Run Reconcile'!B$2:B2488,0),1),IFERROR(0/0,""))</f>
        <v>RUN-FLMP_2022-04-28_RFR-120</v>
      </c>
      <c r="S1153" s="473" t="str">
        <f t="shared" si="694"/>
        <v/>
      </c>
      <c r="T1153" s="473" t="str">
        <f t="shared" si="698"/>
        <v/>
      </c>
      <c r="U1153" s="275" t="str">
        <f t="array" ref="U1153">IF(ISBLANK($R1153), INDEX('Run Reconcile'!A$2:A2488, MATCH($B1153, 'Run Reconcile'!B$2:B2488, 0)+Z1153, 1), IFERROR(0/0,""))
</f>
        <v/>
      </c>
      <c r="V1153" s="474" t="str">
        <f t="shared" si="5"/>
        <v>RUN-FLMP_2022-04-28_RFR-120</v>
      </c>
      <c r="Y1153" s="89" t="str">
        <f t="shared" si="867"/>
        <v/>
      </c>
      <c r="Z1153" s="60" t="str">
        <f t="shared" si="7"/>
        <v/>
      </c>
      <c r="AA1153" s="60" t="str">
        <f t="shared" si="8"/>
        <v/>
      </c>
      <c r="AB1153" s="60" t="str">
        <f t="shared" si="9"/>
        <v/>
      </c>
      <c r="AC1153" s="30" t="str">
        <f t="shared" ref="AC1153:AD1153" si="1509">IF(_xlfn.ISFORMULA(S1153),IFERROR(0/0,""),TRUE)</f>
        <v/>
      </c>
      <c r="AD1153" s="30" t="str">
        <f t="shared" si="1509"/>
        <v/>
      </c>
      <c r="AE1153" s="475" t="str">
        <f>IFERROR(__xludf.DUMMYFUNCTION("""COMPUTED_VALUE"""),"CRLN")</f>
        <v>CRLN</v>
      </c>
      <c r="AF1153" s="476"/>
      <c r="AG1153" s="474" t="s">
        <v>206</v>
      </c>
      <c r="AH1153" s="138" t="str">
        <f t="shared" si="11"/>
        <v/>
      </c>
    </row>
    <row r="1154">
      <c r="A1154" s="103" t="str">
        <f>IFERROR(__xludf.DUMMYFUNCTION("""COMPUTED_VALUE"""),"FLB4799")</f>
        <v>FLB4799</v>
      </c>
      <c r="B1154" s="468">
        <f>IFERROR(__xludf.DUMMYFUNCTION("""COMPUTED_VALUE"""),44679.0)</f>
        <v>44679</v>
      </c>
      <c r="C1154" s="469">
        <f>IFERROR(__xludf.DUMMYFUNCTION("""COMPUTED_VALUE"""),0.37788194444444445)</f>
        <v>0.3778819444</v>
      </c>
      <c r="D1154" s="103" t="str">
        <f>IFERROR(__xludf.DUMMYFUNCTION("""COMPUTED_VALUE"""),"SpFLMP870846")</f>
        <v>SpFLMP870846</v>
      </c>
      <c r="E1154" s="103"/>
      <c r="F1154" s="103"/>
      <c r="G1154" s="103" t="str">
        <f>IFERROR(__xludf.DUMMYFUNCTION("""COMPUTED_VALUE"""),"Negative")</f>
        <v>Negative</v>
      </c>
      <c r="H1154" s="131" t="str">
        <f>IFERROR(__xludf.DUMMYFUNCTION("""COMPUTED_VALUE"""),"Negative")</f>
        <v>Negative</v>
      </c>
      <c r="I1154" s="468">
        <f>IFERROR(__xludf.DUMMYFUNCTION("""COMPUTED_VALUE"""),44679.0)</f>
        <v>44679</v>
      </c>
      <c r="J1154" s="470">
        <f>IFERROR(__xludf.DUMMYFUNCTION("""COMPUTED_VALUE"""),0.44278935185185186)</f>
        <v>0.4427893519</v>
      </c>
      <c r="K1154" s="16"/>
      <c r="L1154" s="8"/>
      <c r="M1154" s="69"/>
      <c r="N1154" s="69">
        <f>IFERROR(__xludf.DUMMYFUNCTION("""COMPUTED_VALUE"""),1.0)</f>
        <v>1</v>
      </c>
      <c r="O1154" s="69" t="str">
        <f t="shared" si="3"/>
        <v/>
      </c>
      <c r="P1154" s="471">
        <f>IFERROR(__xludf.DUMMYFUNCTION("""COMPUTED_VALUE"""),0.0)</f>
        <v>0</v>
      </c>
      <c r="Q1154" s="274" t="b">
        <f>VLOOKUP($B1154,'Run Reconcile'!B$2:O2488,14,FALSE)</f>
        <v>1</v>
      </c>
      <c r="R1154" s="472" t="str">
        <f t="array" ref="R1154">IF($Q1154, INDEX('Run Reconcile'!A$2:A2488,MATCH(B1154,'Run Reconcile'!B$2:B2488,0),1),IFERROR(0/0,""))</f>
        <v>RUN-FLMP_2022-04-28_RFR-120</v>
      </c>
      <c r="S1154" s="473" t="str">
        <f t="shared" si="694"/>
        <v/>
      </c>
      <c r="T1154" s="473" t="str">
        <f t="shared" si="698"/>
        <v/>
      </c>
      <c r="U1154" s="275" t="str">
        <f t="array" ref="U1154">IF(ISBLANK($R1154), INDEX('Run Reconcile'!A$2:A2488, MATCH($B1154, 'Run Reconcile'!B$2:B2488, 0)+Z1154, 1), IFERROR(0/0,""))
</f>
        <v/>
      </c>
      <c r="V1154" s="474" t="str">
        <f t="shared" si="5"/>
        <v>RUN-FLMP_2022-04-28_RFR-120</v>
      </c>
      <c r="Y1154" s="89" t="str">
        <f t="shared" si="867"/>
        <v/>
      </c>
      <c r="Z1154" s="60" t="str">
        <f t="shared" si="7"/>
        <v/>
      </c>
      <c r="AA1154" s="60" t="str">
        <f t="shared" si="8"/>
        <v/>
      </c>
      <c r="AB1154" s="60" t="str">
        <f t="shared" si="9"/>
        <v/>
      </c>
      <c r="AC1154" s="30" t="str">
        <f t="shared" ref="AC1154:AD1154" si="1510">IF(_xlfn.ISFORMULA(S1154),IFERROR(0/0,""),TRUE)</f>
        <v/>
      </c>
      <c r="AD1154" s="30" t="str">
        <f t="shared" si="1510"/>
        <v/>
      </c>
      <c r="AE1154" s="475" t="str">
        <f>IFERROR(__xludf.DUMMYFUNCTION("""COMPUTED_VALUE"""),"FLSP")</f>
        <v>FLSP</v>
      </c>
      <c r="AF1154" s="476"/>
      <c r="AG1154" s="474" t="s">
        <v>206</v>
      </c>
      <c r="AH1154" s="138" t="str">
        <f t="shared" si="11"/>
        <v/>
      </c>
    </row>
    <row r="1155">
      <c r="A1155" s="103" t="str">
        <f>IFERROR(__xludf.DUMMYFUNCTION("""COMPUTED_VALUE"""),"FLE898")</f>
        <v>FLE898</v>
      </c>
      <c r="B1155" s="468">
        <f>IFERROR(__xludf.DUMMYFUNCTION("""COMPUTED_VALUE"""),44679.0)</f>
        <v>44679</v>
      </c>
      <c r="C1155" s="469">
        <f>IFERROR(__xludf.DUMMYFUNCTION("""COMPUTED_VALUE"""),0.38125)</f>
        <v>0.38125</v>
      </c>
      <c r="D1155" s="103" t="str">
        <f>IFERROR(__xludf.DUMMYFUNCTION("""COMPUTED_VALUE"""),"SpFLMP649771")</f>
        <v>SpFLMP649771</v>
      </c>
      <c r="E1155" s="103"/>
      <c r="F1155" s="103"/>
      <c r="G1155" s="103" t="str">
        <f>IFERROR(__xludf.DUMMYFUNCTION("""COMPUTED_VALUE"""),"Negative")</f>
        <v>Negative</v>
      </c>
      <c r="H1155" s="131" t="str">
        <f>IFERROR(__xludf.DUMMYFUNCTION("""COMPUTED_VALUE"""),"Negative")</f>
        <v>Negative</v>
      </c>
      <c r="I1155" s="468">
        <f>IFERROR(__xludf.DUMMYFUNCTION("""COMPUTED_VALUE"""),44679.0)</f>
        <v>44679</v>
      </c>
      <c r="J1155" s="470">
        <f>IFERROR(__xludf.DUMMYFUNCTION("""COMPUTED_VALUE"""),0.5298842592592593)</f>
        <v>0.5298842593</v>
      </c>
      <c r="K1155" s="16"/>
      <c r="L1155" s="8"/>
      <c r="M1155" s="69"/>
      <c r="N1155" s="69">
        <f>IFERROR(__xludf.DUMMYFUNCTION("""COMPUTED_VALUE"""),3.0)</f>
        <v>3</v>
      </c>
      <c r="O1155" s="69" t="str">
        <f t="shared" si="3"/>
        <v/>
      </c>
      <c r="P1155" s="471">
        <f>IFERROR(__xludf.DUMMYFUNCTION("""COMPUTED_VALUE"""),0.0)</f>
        <v>0</v>
      </c>
      <c r="Q1155" s="274" t="b">
        <f>VLOOKUP($B1155,'Run Reconcile'!B$2:O2488,14,FALSE)</f>
        <v>1</v>
      </c>
      <c r="R1155" s="472" t="str">
        <f t="array" ref="R1155">IF($Q1155, INDEX('Run Reconcile'!A$2:A2488,MATCH(B1155,'Run Reconcile'!B$2:B2488,0),1),IFERROR(0/0,""))</f>
        <v>RUN-FLMP_2022-04-28_RFR-120</v>
      </c>
      <c r="S1155" s="473" t="str">
        <f t="shared" si="694"/>
        <v/>
      </c>
      <c r="T1155" s="473" t="str">
        <f t="shared" si="698"/>
        <v/>
      </c>
      <c r="U1155" s="275" t="str">
        <f t="array" ref="U1155">IF(ISBLANK($R1155), INDEX('Run Reconcile'!A$2:A2488, MATCH($B1155, 'Run Reconcile'!B$2:B2488, 0)+Z1155, 1), IFERROR(0/0,""))
</f>
        <v/>
      </c>
      <c r="V1155" s="474" t="str">
        <f t="shared" si="5"/>
        <v>RUN-FLMP_2022-04-28_RFR-120</v>
      </c>
      <c r="Y1155" s="89" t="str">
        <f t="shared" si="867"/>
        <v/>
      </c>
      <c r="Z1155" s="60" t="str">
        <f t="shared" si="7"/>
        <v/>
      </c>
      <c r="AA1155" s="60" t="str">
        <f t="shared" si="8"/>
        <v/>
      </c>
      <c r="AB1155" s="60" t="str">
        <f t="shared" si="9"/>
        <v/>
      </c>
      <c r="AC1155" s="30" t="str">
        <f t="shared" ref="AC1155:AD1155" si="1511">IF(_xlfn.ISFORMULA(S1155),IFERROR(0/0,""),TRUE)</f>
        <v/>
      </c>
      <c r="AD1155" s="30" t="str">
        <f t="shared" si="1511"/>
        <v/>
      </c>
      <c r="AE1155" s="475" t="str">
        <f>IFERROR(__xludf.DUMMYFUNCTION("""COMPUTED_VALUE"""),"CRLN")</f>
        <v>CRLN</v>
      </c>
      <c r="AF1155" s="476"/>
      <c r="AG1155" s="474" t="s">
        <v>206</v>
      </c>
      <c r="AH1155" s="138" t="str">
        <f t="shared" si="11"/>
        <v/>
      </c>
    </row>
    <row r="1156">
      <c r="A1156" s="103" t="str">
        <f>IFERROR(__xludf.DUMMYFUNCTION("""COMPUTED_VALUE"""),"FLB4935")</f>
        <v>FLB4935</v>
      </c>
      <c r="B1156" s="468">
        <f>IFERROR(__xludf.DUMMYFUNCTION("""COMPUTED_VALUE"""),44679.0)</f>
        <v>44679</v>
      </c>
      <c r="C1156" s="469">
        <f>IFERROR(__xludf.DUMMYFUNCTION("""COMPUTED_VALUE"""),0.3867476851851852)</f>
        <v>0.3867476852</v>
      </c>
      <c r="D1156" s="103" t="str">
        <f>IFERROR(__xludf.DUMMYFUNCTION("""COMPUTED_VALUE"""),"SpFLMP120998")</f>
        <v>SpFLMP120998</v>
      </c>
      <c r="E1156" s="103"/>
      <c r="F1156" s="103"/>
      <c r="G1156" s="103" t="str">
        <f>IFERROR(__xludf.DUMMYFUNCTION("""COMPUTED_VALUE"""),"Negative")</f>
        <v>Negative</v>
      </c>
      <c r="H1156" s="131" t="str">
        <f>IFERROR(__xludf.DUMMYFUNCTION("""COMPUTED_VALUE"""),"Negative")</f>
        <v>Negative</v>
      </c>
      <c r="I1156" s="468">
        <f>IFERROR(__xludf.DUMMYFUNCTION("""COMPUTED_VALUE"""),44679.0)</f>
        <v>44679</v>
      </c>
      <c r="J1156" s="470">
        <f>IFERROR(__xludf.DUMMYFUNCTION("""COMPUTED_VALUE"""),0.44278935185185186)</f>
        <v>0.4427893519</v>
      </c>
      <c r="K1156" s="16"/>
      <c r="L1156" s="8"/>
      <c r="M1156" s="69"/>
      <c r="N1156" s="69">
        <f>IFERROR(__xludf.DUMMYFUNCTION("""COMPUTED_VALUE"""),1.0)</f>
        <v>1</v>
      </c>
      <c r="O1156" s="69" t="str">
        <f t="shared" si="3"/>
        <v/>
      </c>
      <c r="P1156" s="471">
        <f>IFERROR(__xludf.DUMMYFUNCTION("""COMPUTED_VALUE"""),0.0)</f>
        <v>0</v>
      </c>
      <c r="Q1156" s="274" t="b">
        <f>VLOOKUP($B1156,'Run Reconcile'!B$2:O2488,14,FALSE)</f>
        <v>1</v>
      </c>
      <c r="R1156" s="472" t="str">
        <f t="array" ref="R1156">IF($Q1156, INDEX('Run Reconcile'!A$2:A2488,MATCH(B1156,'Run Reconcile'!B$2:B2488,0),1),IFERROR(0/0,""))</f>
        <v>RUN-FLMP_2022-04-28_RFR-120</v>
      </c>
      <c r="S1156" s="473" t="str">
        <f t="shared" si="694"/>
        <v/>
      </c>
      <c r="T1156" s="473" t="str">
        <f t="shared" si="698"/>
        <v/>
      </c>
      <c r="U1156" s="275" t="str">
        <f t="array" ref="U1156">IF(ISBLANK($R1156), INDEX('Run Reconcile'!A$2:A2488, MATCH($B1156, 'Run Reconcile'!B$2:B2488, 0)+Z1156, 1), IFERROR(0/0,""))
</f>
        <v/>
      </c>
      <c r="V1156" s="474" t="str">
        <f t="shared" si="5"/>
        <v>RUN-FLMP_2022-04-28_RFR-120</v>
      </c>
      <c r="Y1156" s="89" t="str">
        <f t="shared" si="867"/>
        <v/>
      </c>
      <c r="Z1156" s="60" t="str">
        <f t="shared" si="7"/>
        <v/>
      </c>
      <c r="AA1156" s="60" t="str">
        <f t="shared" si="8"/>
        <v/>
      </c>
      <c r="AB1156" s="60" t="str">
        <f t="shared" si="9"/>
        <v/>
      </c>
      <c r="AC1156" s="30" t="str">
        <f t="shared" ref="AC1156:AD1156" si="1512">IF(_xlfn.ISFORMULA(S1156),IFERROR(0/0,""),TRUE)</f>
        <v/>
      </c>
      <c r="AD1156" s="30" t="str">
        <f t="shared" si="1512"/>
        <v/>
      </c>
      <c r="AE1156" s="475" t="str">
        <f>IFERROR(__xludf.DUMMYFUNCTION("""COMPUTED_VALUE"""),"FLSP")</f>
        <v>FLSP</v>
      </c>
      <c r="AF1156" s="476"/>
      <c r="AG1156" s="474" t="s">
        <v>206</v>
      </c>
      <c r="AH1156" s="138" t="str">
        <f t="shared" si="11"/>
        <v/>
      </c>
    </row>
    <row r="1157">
      <c r="A1157" s="477" t="str">
        <f>IFERROR(__xludf.DUMMYFUNCTION("""COMPUTED_VALUE"""),"AJ8908")</f>
        <v>AJ8908</v>
      </c>
      <c r="B1157" s="478">
        <f>IFERROR(__xludf.DUMMYFUNCTION("""COMPUTED_VALUE"""),44682.0)</f>
        <v>44682</v>
      </c>
      <c r="C1157" s="479">
        <f>IFERROR(__xludf.DUMMYFUNCTION("""COMPUTED_VALUE"""),0.46923611111111113)</f>
        <v>0.4692361111</v>
      </c>
      <c r="D1157" s="477" t="str">
        <f>IFERROR(__xludf.DUMMYFUNCTION("""COMPUTED_VALUE"""),"SpFLMP596479")</f>
        <v>SpFLMP596479</v>
      </c>
      <c r="E1157" s="477"/>
      <c r="F1157" s="477"/>
      <c r="G1157" s="477" t="str">
        <f>IFERROR(__xludf.DUMMYFUNCTION("""COMPUTED_VALUE"""),"Negative")</f>
        <v>Negative</v>
      </c>
      <c r="H1157" s="480" t="str">
        <f>IFERROR(__xludf.DUMMYFUNCTION("""COMPUTED_VALUE"""),"Negative")</f>
        <v>Negative</v>
      </c>
      <c r="I1157" s="478">
        <f>IFERROR(__xludf.DUMMYFUNCTION("""COMPUTED_VALUE"""),44683.0)</f>
        <v>44683</v>
      </c>
      <c r="J1157" s="481">
        <f>IFERROR(__xludf.DUMMYFUNCTION("""COMPUTED_VALUE"""),0.4335648148148148)</f>
        <v>0.4335648148</v>
      </c>
      <c r="K1157" s="156"/>
      <c r="L1157" s="19"/>
      <c r="M1157" s="482"/>
      <c r="N1157" s="482">
        <f>IFERROR(__xludf.DUMMYFUNCTION("""COMPUTED_VALUE"""),3.0)</f>
        <v>3</v>
      </c>
      <c r="O1157" s="482" t="b">
        <f t="shared" si="3"/>
        <v>1</v>
      </c>
      <c r="P1157" s="483">
        <f>IFERROR(__xludf.DUMMYFUNCTION("""COMPUTED_VALUE"""),1.0)</f>
        <v>1</v>
      </c>
      <c r="Q1157" s="352" t="str">
        <f>VLOOKUP($B1157,'Run Reconcile'!B$2:O2488,14,FALSE)</f>
        <v/>
      </c>
      <c r="R1157" s="484" t="str">
        <f t="array" ref="R1157">IF($Q1157, INDEX('Run Reconcile'!A$2:A2488,MATCH(B1157,'Run Reconcile'!B$2:B2488,0),1),IFERROR(0/0,""))</f>
        <v/>
      </c>
      <c r="S1157" s="485" t="b">
        <f t="shared" si="694"/>
        <v>1</v>
      </c>
      <c r="T1157" s="485" t="str">
        <f t="shared" si="698"/>
        <v/>
      </c>
      <c r="U1157" s="353" t="str">
        <f t="array" ref="U1157">IF(ISBLANK($R1157), INDEX('Run Reconcile'!A$2:A2488, MATCH($B1157, 'Run Reconcile'!B$2:B2488, 0)+Z1157, 1), IFERROR(0/0,""))
</f>
        <v>RUN-FLMP_2022-05-02_RFR-122</v>
      </c>
      <c r="V1157" s="486" t="str">
        <f t="shared" si="5"/>
        <v>RUN-FLMP_2022-05-02_RFR-122</v>
      </c>
      <c r="W1157" s="19" t="s">
        <v>1480</v>
      </c>
      <c r="X1157" s="19"/>
      <c r="Y1157" s="89">
        <f t="shared" si="867"/>
        <v>1</v>
      </c>
      <c r="Z1157" s="60">
        <f t="shared" si="7"/>
        <v>1</v>
      </c>
      <c r="AA1157" s="60">
        <f t="shared" si="8"/>
        <v>1</v>
      </c>
      <c r="AB1157" s="60" t="str">
        <f t="shared" si="9"/>
        <v/>
      </c>
      <c r="AC1157" s="158" t="str">
        <f t="shared" ref="AC1157:AD1157" si="1513">IF(_xlfn.ISFORMULA(S1157),IFERROR(0/0,""),TRUE)</f>
        <v/>
      </c>
      <c r="AD1157" s="158" t="str">
        <f t="shared" si="1513"/>
        <v/>
      </c>
      <c r="AE1157" s="488" t="str">
        <f>IFERROR(__xludf.DUMMYFUNCTION("""COMPUTED_VALUE"""),"CRLN")</f>
        <v>CRLN</v>
      </c>
      <c r="AF1157" s="489"/>
      <c r="AG1157" s="486" t="s">
        <v>207</v>
      </c>
      <c r="AH1157" s="138" t="str">
        <f t="shared" si="11"/>
        <v/>
      </c>
      <c r="AI1157" s="19"/>
      <c r="AJ1157" s="19"/>
      <c r="AK1157" s="19"/>
      <c r="AL1157" s="19"/>
      <c r="AM1157" s="19"/>
    </row>
    <row r="1158">
      <c r="A1158" s="103" t="str">
        <f>IFERROR(__xludf.DUMMYFUNCTION("""COMPUTED_VALUE"""),"FLB7160")</f>
        <v>FLB7160</v>
      </c>
      <c r="B1158" s="468">
        <f>IFERROR(__xludf.DUMMYFUNCTION("""COMPUTED_VALUE"""),44682.0)</f>
        <v>44682</v>
      </c>
      <c r="C1158" s="469">
        <f>IFERROR(__xludf.DUMMYFUNCTION("""COMPUTED_VALUE"""),0.8262847222222223)</f>
        <v>0.8262847222</v>
      </c>
      <c r="D1158" s="103" t="str">
        <f>IFERROR(__xludf.DUMMYFUNCTION("""COMPUTED_VALUE"""),"SpFLMP544731")</f>
        <v>SpFLMP544731</v>
      </c>
      <c r="E1158" s="103"/>
      <c r="F1158" s="103"/>
      <c r="G1158" s="103" t="str">
        <f>IFERROR(__xludf.DUMMYFUNCTION("""COMPUTED_VALUE"""),"Negative")</f>
        <v>Negative</v>
      </c>
      <c r="H1158" s="131" t="str">
        <f>IFERROR(__xludf.DUMMYFUNCTION("""COMPUTED_VALUE"""),"Negative")</f>
        <v>Negative</v>
      </c>
      <c r="I1158" s="468">
        <f>IFERROR(__xludf.DUMMYFUNCTION("""COMPUTED_VALUE"""),44683.0)</f>
        <v>44683</v>
      </c>
      <c r="J1158" s="470">
        <f>IFERROR(__xludf.DUMMYFUNCTION("""COMPUTED_VALUE"""),0.4335648148148148)</f>
        <v>0.4335648148</v>
      </c>
      <c r="K1158" s="16"/>
      <c r="L1158" s="8"/>
      <c r="M1158" s="69"/>
      <c r="N1158" s="69">
        <f>IFERROR(__xludf.DUMMYFUNCTION("""COMPUTED_VALUE"""),3.0)</f>
        <v>3</v>
      </c>
      <c r="O1158" s="69" t="str">
        <f t="shared" si="3"/>
        <v/>
      </c>
      <c r="P1158" s="471">
        <f>IFERROR(__xludf.DUMMYFUNCTION("""COMPUTED_VALUE"""),1.0)</f>
        <v>1</v>
      </c>
      <c r="Q1158" s="274" t="str">
        <f>VLOOKUP($B1158,'Run Reconcile'!B$2:O2488,14,FALSE)</f>
        <v/>
      </c>
      <c r="R1158" s="472" t="str">
        <f t="array" ref="R1158">IF($Q1158, INDEX('Run Reconcile'!A$2:A2488,MATCH(B1158,'Run Reconcile'!B$2:B2488,0),1),IFERROR(0/0,""))</f>
        <v/>
      </c>
      <c r="S1158" s="473" t="b">
        <f t="shared" si="694"/>
        <v>1</v>
      </c>
      <c r="T1158" s="473" t="str">
        <f t="shared" si="698"/>
        <v/>
      </c>
      <c r="U1158" s="275" t="str">
        <f t="array" ref="U1158">IF(ISBLANK($R1158), INDEX('Run Reconcile'!A$2:A2488, MATCH($B1158, 'Run Reconcile'!B$2:B2488, 0)+Z1158, 1), IFERROR(0/0,""))
</f>
        <v>RUN-FLMP_2022-05-02_RFR-122</v>
      </c>
      <c r="V1158" s="474" t="str">
        <f t="shared" si="5"/>
        <v>RUN-FLMP_2022-05-02_RFR-122</v>
      </c>
      <c r="W1158" s="8" t="s">
        <v>1481</v>
      </c>
      <c r="Y1158" s="89">
        <f t="shared" si="867"/>
        <v>1</v>
      </c>
      <c r="Z1158" s="60">
        <f t="shared" si="7"/>
        <v>1</v>
      </c>
      <c r="AA1158" s="60">
        <f t="shared" si="8"/>
        <v>1</v>
      </c>
      <c r="AB1158" s="60" t="str">
        <f t="shared" si="9"/>
        <v/>
      </c>
      <c r="AC1158" s="30" t="str">
        <f t="shared" ref="AC1158:AD1158" si="1514">IF(_xlfn.ISFORMULA(S1158),IFERROR(0/0,""),TRUE)</f>
        <v/>
      </c>
      <c r="AD1158" s="30" t="str">
        <f t="shared" si="1514"/>
        <v/>
      </c>
      <c r="AE1158" s="475" t="str">
        <f>IFERROR(__xludf.DUMMYFUNCTION("""COMPUTED_VALUE"""),"CRLN")</f>
        <v>CRLN</v>
      </c>
      <c r="AF1158" s="476"/>
      <c r="AG1158" s="474" t="s">
        <v>207</v>
      </c>
      <c r="AH1158" s="138" t="str">
        <f t="shared" si="11"/>
        <v/>
      </c>
    </row>
    <row r="1159">
      <c r="A1159" s="103" t="str">
        <f>IFERROR(__xludf.DUMMYFUNCTION("""COMPUTED_VALUE"""),"FLE938")</f>
        <v>FLE938</v>
      </c>
      <c r="B1159" s="468">
        <f>IFERROR(__xludf.DUMMYFUNCTION("""COMPUTED_VALUE"""),44682.0)</f>
        <v>44682</v>
      </c>
      <c r="C1159" s="469">
        <f>IFERROR(__xludf.DUMMYFUNCTION("""COMPUTED_VALUE"""),0.8488773148148148)</f>
        <v>0.8488773148</v>
      </c>
      <c r="D1159" s="103" t="str">
        <f>IFERROR(__xludf.DUMMYFUNCTION("""COMPUTED_VALUE"""),"SpFLMP649771")</f>
        <v>SpFLMP649771</v>
      </c>
      <c r="E1159" s="103"/>
      <c r="F1159" s="103"/>
      <c r="G1159" s="103" t="str">
        <f>IFERROR(__xludf.DUMMYFUNCTION("""COMPUTED_VALUE"""),"Negative")</f>
        <v>Negative</v>
      </c>
      <c r="H1159" s="131" t="str">
        <f>IFERROR(__xludf.DUMMYFUNCTION("""COMPUTED_VALUE"""),"Negative")</f>
        <v>Negative</v>
      </c>
      <c r="I1159" s="468">
        <f>IFERROR(__xludf.DUMMYFUNCTION("""COMPUTED_VALUE"""),44683.0)</f>
        <v>44683</v>
      </c>
      <c r="J1159" s="470">
        <f>IFERROR(__xludf.DUMMYFUNCTION("""COMPUTED_VALUE"""),0.4335648148148148)</f>
        <v>0.4335648148</v>
      </c>
      <c r="K1159" s="16"/>
      <c r="L1159" s="8"/>
      <c r="M1159" s="69"/>
      <c r="N1159" s="69">
        <f>IFERROR(__xludf.DUMMYFUNCTION("""COMPUTED_VALUE"""),3.0)</f>
        <v>3</v>
      </c>
      <c r="O1159" s="69" t="str">
        <f t="shared" si="3"/>
        <v/>
      </c>
      <c r="P1159" s="471">
        <f>IFERROR(__xludf.DUMMYFUNCTION("""COMPUTED_VALUE"""),1.0)</f>
        <v>1</v>
      </c>
      <c r="Q1159" s="274" t="str">
        <f>VLOOKUP($B1159,'Run Reconcile'!B$2:O2488,14,FALSE)</f>
        <v/>
      </c>
      <c r="R1159" s="472" t="str">
        <f t="array" ref="R1159">IF($Q1159, INDEX('Run Reconcile'!A$2:A2488,MATCH(B1159,'Run Reconcile'!B$2:B2488,0),1),IFERROR(0/0,""))</f>
        <v/>
      </c>
      <c r="S1159" s="473" t="b">
        <f t="shared" si="694"/>
        <v>1</v>
      </c>
      <c r="T1159" s="473" t="str">
        <f t="shared" si="698"/>
        <v/>
      </c>
      <c r="U1159" s="275" t="str">
        <f t="array" ref="U1159">IF(ISBLANK($R1159), INDEX('Run Reconcile'!A$2:A2488, MATCH($B1159, 'Run Reconcile'!B$2:B2488, 0)+Z1159, 1), IFERROR(0/0,""))
</f>
        <v>RUN-FLMP_2022-05-02_RFR-122</v>
      </c>
      <c r="V1159" s="474" t="str">
        <f t="shared" si="5"/>
        <v>RUN-FLMP_2022-05-02_RFR-122</v>
      </c>
      <c r="W1159" s="8" t="s">
        <v>1482</v>
      </c>
      <c r="Y1159" s="89">
        <f t="shared" si="867"/>
        <v>1</v>
      </c>
      <c r="Z1159" s="60">
        <f t="shared" si="7"/>
        <v>1</v>
      </c>
      <c r="AA1159" s="60">
        <f t="shared" si="8"/>
        <v>1</v>
      </c>
      <c r="AB1159" s="60" t="str">
        <f t="shared" si="9"/>
        <v/>
      </c>
      <c r="AC1159" s="30" t="str">
        <f t="shared" ref="AC1159:AD1159" si="1515">IF(_xlfn.ISFORMULA(S1159),IFERROR(0/0,""),TRUE)</f>
        <v/>
      </c>
      <c r="AD1159" s="30" t="str">
        <f t="shared" si="1515"/>
        <v/>
      </c>
      <c r="AE1159" s="475" t="str">
        <f>IFERROR(__xludf.DUMMYFUNCTION("""COMPUTED_VALUE"""),"CRLN")</f>
        <v>CRLN</v>
      </c>
      <c r="AF1159" s="476"/>
      <c r="AG1159" s="474" t="s">
        <v>207</v>
      </c>
      <c r="AH1159" s="138" t="str">
        <f t="shared" si="11"/>
        <v/>
      </c>
    </row>
    <row r="1160">
      <c r="A1160" s="103" t="str">
        <f>IFERROR(__xludf.DUMMYFUNCTION("""COMPUTED_VALUE"""),"AH7557")</f>
        <v>AH7557</v>
      </c>
      <c r="B1160" s="468">
        <f>IFERROR(__xludf.DUMMYFUNCTION("""COMPUTED_VALUE"""),44683.0)</f>
        <v>44683</v>
      </c>
      <c r="C1160" s="469">
        <f>IFERROR(__xludf.DUMMYFUNCTION("""COMPUTED_VALUE"""),0.21883101851851852)</f>
        <v>0.2188310185</v>
      </c>
      <c r="D1160" s="103" t="str">
        <f>IFERROR(__xludf.DUMMYFUNCTION("""COMPUTED_VALUE"""),"SpFLMP470379")</f>
        <v>SpFLMP470379</v>
      </c>
      <c r="E1160" s="103"/>
      <c r="F1160" s="103"/>
      <c r="G1160" s="103" t="str">
        <f>IFERROR(__xludf.DUMMYFUNCTION("""COMPUTED_VALUE"""),"Negative")</f>
        <v>Negative</v>
      </c>
      <c r="H1160" s="131" t="str">
        <f>IFERROR(__xludf.DUMMYFUNCTION("""COMPUTED_VALUE"""),"Negative")</f>
        <v>Negative</v>
      </c>
      <c r="I1160" s="468">
        <f>IFERROR(__xludf.DUMMYFUNCTION("""COMPUTED_VALUE"""),44683.0)</f>
        <v>44683</v>
      </c>
      <c r="J1160" s="470">
        <f>IFERROR(__xludf.DUMMYFUNCTION("""COMPUTED_VALUE"""),0.4658101851851852)</f>
        <v>0.4658101852</v>
      </c>
      <c r="K1160" s="16"/>
      <c r="L1160" s="8"/>
      <c r="M1160" s="69"/>
      <c r="N1160" s="69">
        <f>IFERROR(__xludf.DUMMYFUNCTION("""COMPUTED_VALUE"""),1.0)</f>
        <v>1</v>
      </c>
      <c r="O1160" s="69" t="b">
        <f t="shared" si="3"/>
        <v>1</v>
      </c>
      <c r="P1160" s="471">
        <f>IFERROR(__xludf.DUMMYFUNCTION("""COMPUTED_VALUE"""),0.0)</f>
        <v>0</v>
      </c>
      <c r="Q1160" s="274" t="str">
        <f>VLOOKUP($B1160,'Run Reconcile'!B$2:O2488,14,FALSE)</f>
        <v/>
      </c>
      <c r="R1160" s="472" t="str">
        <f t="array" ref="R1160">IF($Q1160, INDEX('Run Reconcile'!A$2:A2488,MATCH(B1160,'Run Reconcile'!B$2:B2488,0),1),IFERROR(0/0,""))</f>
        <v/>
      </c>
      <c r="S1160" s="473" t="str">
        <f t="shared" si="694"/>
        <v/>
      </c>
      <c r="T1160" s="473" t="str">
        <f t="shared" si="698"/>
        <v/>
      </c>
      <c r="U1160" s="275" t="str">
        <f t="array" ref="U1160">IF(ISBLANK($R1160), INDEX('Run Reconcile'!A$2:A2488, MATCH($B1160, 'Run Reconcile'!B$2:B2488, 0)+Z1160, 1), IFERROR(0/0,""))
</f>
        <v>RUN-FLMP_2022-05-02_RFR-122</v>
      </c>
      <c r="V1160" s="474" t="str">
        <f t="shared" si="5"/>
        <v>RUN-FLMP_2022-05-02_RFR-122</v>
      </c>
      <c r="Y1160" s="89" t="str">
        <f t="shared" si="867"/>
        <v/>
      </c>
      <c r="Z1160" s="60" t="str">
        <f t="shared" si="7"/>
        <v/>
      </c>
      <c r="AA1160" s="60" t="str">
        <f t="shared" si="8"/>
        <v/>
      </c>
      <c r="AB1160" s="60" t="str">
        <f t="shared" si="9"/>
        <v/>
      </c>
      <c r="AC1160" s="30" t="str">
        <f t="shared" ref="AC1160:AD1160" si="1516">IF(_xlfn.ISFORMULA(S1160),IFERROR(0/0,""),TRUE)</f>
        <v/>
      </c>
      <c r="AD1160" s="30" t="str">
        <f t="shared" si="1516"/>
        <v/>
      </c>
      <c r="AE1160" s="475" t="str">
        <f>IFERROR(__xludf.DUMMYFUNCTION("""COMPUTED_VALUE"""),"CRLN")</f>
        <v>CRLN</v>
      </c>
      <c r="AF1160" s="476"/>
      <c r="AG1160" s="474" t="s">
        <v>207</v>
      </c>
      <c r="AH1160" s="138" t="str">
        <f t="shared" si="11"/>
        <v/>
      </c>
    </row>
    <row r="1161">
      <c r="A1161" s="103" t="str">
        <f>IFERROR(__xludf.DUMMYFUNCTION("""COMPUTED_VALUE"""),"AG721")</f>
        <v>AG721</v>
      </c>
      <c r="B1161" s="468">
        <f>IFERROR(__xludf.DUMMYFUNCTION("""COMPUTED_VALUE"""),44683.0)</f>
        <v>44683</v>
      </c>
      <c r="C1161" s="469">
        <f>IFERROR(__xludf.DUMMYFUNCTION("""COMPUTED_VALUE"""),0.2821412037037037)</f>
        <v>0.2821412037</v>
      </c>
      <c r="D1161" s="103" t="str">
        <f>IFERROR(__xludf.DUMMYFUNCTION("""COMPUTED_VALUE"""),"SpFLMP268514")</f>
        <v>SpFLMP268514</v>
      </c>
      <c r="E1161" s="103"/>
      <c r="F1161" s="103"/>
      <c r="G1161" s="103" t="str">
        <f>IFERROR(__xludf.DUMMYFUNCTION("""COMPUTED_VALUE"""),"Positive")</f>
        <v>Positive</v>
      </c>
      <c r="H1161" s="131" t="str">
        <f>IFERROR(__xludf.DUMMYFUNCTION("""COMPUTED_VALUE"""),"Positive")</f>
        <v>Positive</v>
      </c>
      <c r="I1161" s="468">
        <f>IFERROR(__xludf.DUMMYFUNCTION("""COMPUTED_VALUE"""),44683.0)</f>
        <v>44683</v>
      </c>
      <c r="J1161" s="470">
        <f>IFERROR(__xludf.DUMMYFUNCTION("""COMPUTED_VALUE"""),0.5293287037037037)</f>
        <v>0.5293287037</v>
      </c>
      <c r="K1161" s="16"/>
      <c r="L1161" s="8"/>
      <c r="M1161" s="69"/>
      <c r="N1161" s="69">
        <f>IFERROR(__xludf.DUMMYFUNCTION("""COMPUTED_VALUE"""),4.0)</f>
        <v>4</v>
      </c>
      <c r="O1161" s="69" t="str">
        <f t="shared" si="3"/>
        <v/>
      </c>
      <c r="P1161" s="471">
        <f>IFERROR(__xludf.DUMMYFUNCTION("""COMPUTED_VALUE"""),0.0)</f>
        <v>0</v>
      </c>
      <c r="Q1161" s="274" t="str">
        <f>VLOOKUP($B1161,'Run Reconcile'!B$2:O2488,14,FALSE)</f>
        <v/>
      </c>
      <c r="R1161" s="472" t="str">
        <f t="array" ref="R1161">IF($Q1161, INDEX('Run Reconcile'!A$2:A2488,MATCH(B1161,'Run Reconcile'!B$2:B2488,0),1),IFERROR(0/0,""))</f>
        <v/>
      </c>
      <c r="S1161" s="473" t="str">
        <f t="shared" si="694"/>
        <v/>
      </c>
      <c r="T1161" s="473" t="str">
        <f t="shared" si="698"/>
        <v/>
      </c>
      <c r="U1161" s="275" t="str">
        <f t="array" ref="U1161">IF(ISBLANK($R1161), INDEX('Run Reconcile'!A$2:A2488, MATCH($B1161, 'Run Reconcile'!B$2:B2488, 0)+Z1161, 1), IFERROR(0/0,""))
</f>
        <v>RUN-FLMP_2022-05-02_RFR-122</v>
      </c>
      <c r="V1161" s="474" t="str">
        <f t="shared" si="5"/>
        <v>RUN-FLMP_2022-05-02_RFR-122</v>
      </c>
      <c r="Y1161" s="89" t="str">
        <f t="shared" si="867"/>
        <v/>
      </c>
      <c r="Z1161" s="60" t="str">
        <f t="shared" si="7"/>
        <v/>
      </c>
      <c r="AA1161" s="60" t="str">
        <f t="shared" si="8"/>
        <v/>
      </c>
      <c r="AB1161" s="60" t="str">
        <f t="shared" si="9"/>
        <v/>
      </c>
      <c r="AC1161" s="30" t="str">
        <f t="shared" ref="AC1161:AD1161" si="1517">IF(_xlfn.ISFORMULA(S1161),IFERROR(0/0,""),TRUE)</f>
        <v/>
      </c>
      <c r="AD1161" s="30" t="str">
        <f t="shared" si="1517"/>
        <v/>
      </c>
      <c r="AE1161" s="475" t="str">
        <f>IFERROR(__xludf.DUMMYFUNCTION("""COMPUTED_VALUE"""),"CRLN")</f>
        <v>CRLN</v>
      </c>
      <c r="AF1161" s="476"/>
      <c r="AG1161" s="474" t="s">
        <v>207</v>
      </c>
      <c r="AH1161" s="138" t="str">
        <f t="shared" si="11"/>
        <v/>
      </c>
    </row>
    <row r="1162">
      <c r="A1162" s="103" t="str">
        <f>IFERROR(__xludf.DUMMYFUNCTION("""COMPUTED_VALUE"""),"AJ9869")</f>
        <v>AJ9869</v>
      </c>
      <c r="B1162" s="468">
        <f>IFERROR(__xludf.DUMMYFUNCTION("""COMPUTED_VALUE"""),44683.0)</f>
        <v>44683</v>
      </c>
      <c r="C1162" s="469">
        <f>IFERROR(__xludf.DUMMYFUNCTION("""COMPUTED_VALUE"""),0.29844907407407406)</f>
        <v>0.2984490741</v>
      </c>
      <c r="D1162" s="103" t="str">
        <f>IFERROR(__xludf.DUMMYFUNCTION("""COMPUTED_VALUE"""),"SpFLMP690282")</f>
        <v>SpFLMP690282</v>
      </c>
      <c r="E1162" s="103"/>
      <c r="F1162" s="103"/>
      <c r="G1162" s="103" t="str">
        <f>IFERROR(__xludf.DUMMYFUNCTION("""COMPUTED_VALUE"""),"Negative")</f>
        <v>Negative</v>
      </c>
      <c r="H1162" s="131" t="str">
        <f>IFERROR(__xludf.DUMMYFUNCTION("""COMPUTED_VALUE"""),"Negative")</f>
        <v>Negative</v>
      </c>
      <c r="I1162" s="468">
        <f>IFERROR(__xludf.DUMMYFUNCTION("""COMPUTED_VALUE"""),44683.0)</f>
        <v>44683</v>
      </c>
      <c r="J1162" s="470">
        <f>IFERROR(__xludf.DUMMYFUNCTION("""COMPUTED_VALUE"""),0.4335648148148148)</f>
        <v>0.4335648148</v>
      </c>
      <c r="K1162" s="16"/>
      <c r="L1162" s="8"/>
      <c r="M1162" s="69"/>
      <c r="N1162" s="69">
        <f>IFERROR(__xludf.DUMMYFUNCTION("""COMPUTED_VALUE"""),2.0)</f>
        <v>2</v>
      </c>
      <c r="O1162" s="69" t="str">
        <f t="shared" si="3"/>
        <v/>
      </c>
      <c r="P1162" s="471">
        <f>IFERROR(__xludf.DUMMYFUNCTION("""COMPUTED_VALUE"""),0.0)</f>
        <v>0</v>
      </c>
      <c r="Q1162" s="274" t="str">
        <f>VLOOKUP($B1162,'Run Reconcile'!B$2:O2488,14,FALSE)</f>
        <v/>
      </c>
      <c r="R1162" s="472" t="str">
        <f t="array" ref="R1162">IF($Q1162, INDEX('Run Reconcile'!A$2:A2488,MATCH(B1162,'Run Reconcile'!B$2:B2488,0),1),IFERROR(0/0,""))</f>
        <v/>
      </c>
      <c r="S1162" s="473" t="str">
        <f t="shared" si="694"/>
        <v/>
      </c>
      <c r="T1162" s="473" t="str">
        <f t="shared" si="698"/>
        <v/>
      </c>
      <c r="U1162" s="275" t="str">
        <f t="array" ref="U1162">IF(ISBLANK($R1162), INDEX('Run Reconcile'!A$2:A2488, MATCH($B1162, 'Run Reconcile'!B$2:B2488, 0)+Z1162, 1), IFERROR(0/0,""))
</f>
        <v>RUN-FLMP_2022-05-02_RFR-122</v>
      </c>
      <c r="V1162" s="474" t="str">
        <f t="shared" si="5"/>
        <v>RUN-FLMP_2022-05-02_RFR-122</v>
      </c>
      <c r="Y1162" s="89" t="str">
        <f t="shared" si="867"/>
        <v/>
      </c>
      <c r="Z1162" s="60" t="str">
        <f t="shared" si="7"/>
        <v/>
      </c>
      <c r="AA1162" s="60" t="str">
        <f t="shared" si="8"/>
        <v/>
      </c>
      <c r="AB1162" s="60" t="str">
        <f t="shared" si="9"/>
        <v/>
      </c>
      <c r="AC1162" s="30" t="str">
        <f t="shared" ref="AC1162:AD1162" si="1518">IF(_xlfn.ISFORMULA(S1162),IFERROR(0/0,""),TRUE)</f>
        <v/>
      </c>
      <c r="AD1162" s="30" t="str">
        <f t="shared" si="1518"/>
        <v/>
      </c>
      <c r="AE1162" s="475" t="str">
        <f>IFERROR(__xludf.DUMMYFUNCTION("""COMPUTED_VALUE"""),"CRLN")</f>
        <v>CRLN</v>
      </c>
      <c r="AF1162" s="476"/>
      <c r="AG1162" s="474" t="s">
        <v>207</v>
      </c>
      <c r="AH1162" s="138" t="str">
        <f t="shared" si="11"/>
        <v/>
      </c>
    </row>
    <row r="1163">
      <c r="A1163" s="103" t="str">
        <f>IFERROR(__xludf.DUMMYFUNCTION("""COMPUTED_VALUE"""),"AJ9401")</f>
        <v>AJ9401</v>
      </c>
      <c r="B1163" s="468">
        <f>IFERROR(__xludf.DUMMYFUNCTION("""COMPUTED_VALUE"""),44683.0)</f>
        <v>44683</v>
      </c>
      <c r="C1163" s="469">
        <f>IFERROR(__xludf.DUMMYFUNCTION("""COMPUTED_VALUE"""),0.30855324074074075)</f>
        <v>0.3085532407</v>
      </c>
      <c r="D1163" s="103" t="str">
        <f>IFERROR(__xludf.DUMMYFUNCTION("""COMPUTED_VALUE"""),"SpFLMP273885")</f>
        <v>SpFLMP273885</v>
      </c>
      <c r="E1163" s="103"/>
      <c r="F1163" s="103"/>
      <c r="G1163" s="103" t="str">
        <f>IFERROR(__xludf.DUMMYFUNCTION("""COMPUTED_VALUE"""),"Negative")</f>
        <v>Negative</v>
      </c>
      <c r="H1163" s="131" t="str">
        <f>IFERROR(__xludf.DUMMYFUNCTION("""COMPUTED_VALUE"""),"Negative")</f>
        <v>Negative</v>
      </c>
      <c r="I1163" s="468">
        <f>IFERROR(__xludf.DUMMYFUNCTION("""COMPUTED_VALUE"""),44683.0)</f>
        <v>44683</v>
      </c>
      <c r="J1163" s="470">
        <f>IFERROR(__xludf.DUMMYFUNCTION("""COMPUTED_VALUE"""),0.4335648148148148)</f>
        <v>0.4335648148</v>
      </c>
      <c r="K1163" s="16"/>
      <c r="L1163" s="8"/>
      <c r="M1163" s="69"/>
      <c r="N1163" s="69">
        <f>IFERROR(__xludf.DUMMYFUNCTION("""COMPUTED_VALUE"""),3.0)</f>
        <v>3</v>
      </c>
      <c r="O1163" s="69" t="str">
        <f t="shared" si="3"/>
        <v/>
      </c>
      <c r="P1163" s="471">
        <f>IFERROR(__xludf.DUMMYFUNCTION("""COMPUTED_VALUE"""),0.0)</f>
        <v>0</v>
      </c>
      <c r="Q1163" s="274" t="str">
        <f>VLOOKUP($B1163,'Run Reconcile'!B$2:O2488,14,FALSE)</f>
        <v/>
      </c>
      <c r="R1163" s="472" t="str">
        <f t="array" ref="R1163">IF($Q1163, INDEX('Run Reconcile'!A$2:A2488,MATCH(B1163,'Run Reconcile'!B$2:B2488,0),1),IFERROR(0/0,""))</f>
        <v/>
      </c>
      <c r="S1163" s="473" t="str">
        <f t="shared" si="694"/>
        <v/>
      </c>
      <c r="T1163" s="473" t="str">
        <f t="shared" si="698"/>
        <v/>
      </c>
      <c r="U1163" s="275" t="str">
        <f t="array" ref="U1163">IF(ISBLANK($R1163), INDEX('Run Reconcile'!A$2:A2488, MATCH($B1163, 'Run Reconcile'!B$2:B2488, 0)+Z1163, 1), IFERROR(0/0,""))
</f>
        <v>RUN-FLMP_2022-05-02_RFR-122</v>
      </c>
      <c r="V1163" s="474" t="str">
        <f t="shared" si="5"/>
        <v>RUN-FLMP_2022-05-02_RFR-122</v>
      </c>
      <c r="Y1163" s="89" t="str">
        <f t="shared" si="867"/>
        <v/>
      </c>
      <c r="Z1163" s="60" t="str">
        <f t="shared" si="7"/>
        <v/>
      </c>
      <c r="AA1163" s="60" t="str">
        <f t="shared" si="8"/>
        <v/>
      </c>
      <c r="AB1163" s="60" t="str">
        <f t="shared" si="9"/>
        <v/>
      </c>
      <c r="AC1163" s="30" t="str">
        <f t="shared" ref="AC1163:AD1163" si="1519">IF(_xlfn.ISFORMULA(S1163),IFERROR(0/0,""),TRUE)</f>
        <v/>
      </c>
      <c r="AD1163" s="30" t="str">
        <f t="shared" si="1519"/>
        <v/>
      </c>
      <c r="AE1163" s="475" t="str">
        <f>IFERROR(__xludf.DUMMYFUNCTION("""COMPUTED_VALUE"""),"CRLN")</f>
        <v>CRLN</v>
      </c>
      <c r="AF1163" s="476"/>
      <c r="AG1163" s="474" t="s">
        <v>207</v>
      </c>
      <c r="AH1163" s="138" t="str">
        <f t="shared" si="11"/>
        <v/>
      </c>
    </row>
    <row r="1164">
      <c r="A1164" s="103" t="str">
        <f>IFERROR(__xludf.DUMMYFUNCTION("""COMPUTED_VALUE"""),"FLE235")</f>
        <v>FLE235</v>
      </c>
      <c r="B1164" s="468">
        <f>IFERROR(__xludf.DUMMYFUNCTION("""COMPUTED_VALUE"""),44683.0)</f>
        <v>44683</v>
      </c>
      <c r="C1164" s="469">
        <f>IFERROR(__xludf.DUMMYFUNCTION("""COMPUTED_VALUE"""),0.31431712962962965)</f>
        <v>0.3143171296</v>
      </c>
      <c r="D1164" s="103" t="str">
        <f>IFERROR(__xludf.DUMMYFUNCTION("""COMPUTED_VALUE"""),"SpFLMP683554")</f>
        <v>SpFLMP683554</v>
      </c>
      <c r="E1164" s="103"/>
      <c r="F1164" s="103"/>
      <c r="G1164" s="103" t="str">
        <f>IFERROR(__xludf.DUMMYFUNCTION("""COMPUTED_VALUE"""),"Negative")</f>
        <v>Negative</v>
      </c>
      <c r="H1164" s="131" t="str">
        <f>IFERROR(__xludf.DUMMYFUNCTION("""COMPUTED_VALUE"""),"Negative")</f>
        <v>Negative</v>
      </c>
      <c r="I1164" s="468">
        <f>IFERROR(__xludf.DUMMYFUNCTION("""COMPUTED_VALUE"""),44683.0)</f>
        <v>44683</v>
      </c>
      <c r="J1164" s="470">
        <f>IFERROR(__xludf.DUMMYFUNCTION("""COMPUTED_VALUE"""),0.4335648148148148)</f>
        <v>0.4335648148</v>
      </c>
      <c r="K1164" s="16"/>
      <c r="L1164" s="8"/>
      <c r="M1164" s="69"/>
      <c r="N1164" s="69">
        <f>IFERROR(__xludf.DUMMYFUNCTION("""COMPUTED_VALUE"""),1.0)</f>
        <v>1</v>
      </c>
      <c r="O1164" s="69" t="str">
        <f t="shared" si="3"/>
        <v/>
      </c>
      <c r="P1164" s="471">
        <f>IFERROR(__xludf.DUMMYFUNCTION("""COMPUTED_VALUE"""),0.0)</f>
        <v>0</v>
      </c>
      <c r="Q1164" s="274" t="str">
        <f>VLOOKUP($B1164,'Run Reconcile'!B$2:O2488,14,FALSE)</f>
        <v/>
      </c>
      <c r="R1164" s="472" t="str">
        <f t="array" ref="R1164">IF($Q1164, INDEX('Run Reconcile'!A$2:A2488,MATCH(B1164,'Run Reconcile'!B$2:B2488,0),1),IFERROR(0/0,""))</f>
        <v/>
      </c>
      <c r="S1164" s="473" t="str">
        <f t="shared" si="694"/>
        <v/>
      </c>
      <c r="T1164" s="473" t="str">
        <f t="shared" si="698"/>
        <v/>
      </c>
      <c r="U1164" s="275" t="str">
        <f t="array" ref="U1164">IF(ISBLANK($R1164), INDEX('Run Reconcile'!A$2:A2488, MATCH($B1164, 'Run Reconcile'!B$2:B2488, 0)+Z1164, 1), IFERROR(0/0,""))
</f>
        <v>RUN-FLMP_2022-05-02_RFR-122</v>
      </c>
      <c r="V1164" s="474" t="str">
        <f t="shared" si="5"/>
        <v>RUN-FLMP_2022-05-02_RFR-122</v>
      </c>
      <c r="Y1164" s="89" t="str">
        <f t="shared" si="867"/>
        <v/>
      </c>
      <c r="Z1164" s="60" t="str">
        <f t="shared" si="7"/>
        <v/>
      </c>
      <c r="AA1164" s="60" t="str">
        <f t="shared" si="8"/>
        <v/>
      </c>
      <c r="AB1164" s="60" t="str">
        <f t="shared" si="9"/>
        <v/>
      </c>
      <c r="AC1164" s="30" t="str">
        <f t="shared" ref="AC1164:AD1164" si="1520">IF(_xlfn.ISFORMULA(S1164),IFERROR(0/0,""),TRUE)</f>
        <v/>
      </c>
      <c r="AD1164" s="30" t="str">
        <f t="shared" si="1520"/>
        <v/>
      </c>
      <c r="AE1164" s="475" t="str">
        <f>IFERROR(__xludf.DUMMYFUNCTION("""COMPUTED_VALUE"""),"CRLN")</f>
        <v>CRLN</v>
      </c>
      <c r="AF1164" s="476"/>
      <c r="AG1164" s="474" t="s">
        <v>207</v>
      </c>
      <c r="AH1164" s="138" t="str">
        <f t="shared" si="11"/>
        <v/>
      </c>
    </row>
    <row r="1165">
      <c r="A1165" s="103" t="str">
        <f>IFERROR(__xludf.DUMMYFUNCTION("""COMPUTED_VALUE"""),"AH133")</f>
        <v>AH133</v>
      </c>
      <c r="B1165" s="468">
        <f>IFERROR(__xludf.DUMMYFUNCTION("""COMPUTED_VALUE"""),44683.0)</f>
        <v>44683</v>
      </c>
      <c r="C1165" s="469">
        <f>IFERROR(__xludf.DUMMYFUNCTION("""COMPUTED_VALUE"""),0.31681712962962966)</f>
        <v>0.3168171296</v>
      </c>
      <c r="D1165" s="103" t="str">
        <f>IFERROR(__xludf.DUMMYFUNCTION("""COMPUTED_VALUE"""),"SpFLMP777132")</f>
        <v>SpFLMP777132</v>
      </c>
      <c r="E1165" s="103"/>
      <c r="F1165" s="103"/>
      <c r="G1165" s="103" t="str">
        <f>IFERROR(__xludf.DUMMYFUNCTION("""COMPUTED_VALUE"""),"Negative")</f>
        <v>Negative</v>
      </c>
      <c r="H1165" s="131" t="str">
        <f>IFERROR(__xludf.DUMMYFUNCTION("""COMPUTED_VALUE"""),"Negative")</f>
        <v>Negative</v>
      </c>
      <c r="I1165" s="468">
        <f>IFERROR(__xludf.DUMMYFUNCTION("""COMPUTED_VALUE"""),44683.0)</f>
        <v>44683</v>
      </c>
      <c r="J1165" s="470">
        <f>IFERROR(__xludf.DUMMYFUNCTION("""COMPUTED_VALUE"""),0.4335648148148148)</f>
        <v>0.4335648148</v>
      </c>
      <c r="K1165" s="16"/>
      <c r="L1165" s="8"/>
      <c r="M1165" s="69"/>
      <c r="N1165" s="69">
        <f>IFERROR(__xludf.DUMMYFUNCTION("""COMPUTED_VALUE"""),4.0)</f>
        <v>4</v>
      </c>
      <c r="O1165" s="69" t="str">
        <f t="shared" si="3"/>
        <v/>
      </c>
      <c r="P1165" s="471">
        <f>IFERROR(__xludf.DUMMYFUNCTION("""COMPUTED_VALUE"""),0.0)</f>
        <v>0</v>
      </c>
      <c r="Q1165" s="274" t="str">
        <f>VLOOKUP($B1165,'Run Reconcile'!B$2:O2488,14,FALSE)</f>
        <v/>
      </c>
      <c r="R1165" s="472" t="str">
        <f t="array" ref="R1165">IF($Q1165, INDEX('Run Reconcile'!A$2:A2488,MATCH(B1165,'Run Reconcile'!B$2:B2488,0),1),IFERROR(0/0,""))</f>
        <v/>
      </c>
      <c r="S1165" s="473" t="str">
        <f t="shared" si="694"/>
        <v/>
      </c>
      <c r="T1165" s="473" t="str">
        <f t="shared" si="698"/>
        <v/>
      </c>
      <c r="U1165" s="275" t="str">
        <f t="array" ref="U1165">IF(ISBLANK($R1165), INDEX('Run Reconcile'!A$2:A2488, MATCH($B1165, 'Run Reconcile'!B$2:B2488, 0)+Z1165, 1), IFERROR(0/0,""))
</f>
        <v>RUN-FLMP_2022-05-02_RFR-122</v>
      </c>
      <c r="V1165" s="474" t="str">
        <f t="shared" si="5"/>
        <v>RUN-FLMP_2022-05-02_RFR-122</v>
      </c>
      <c r="Y1165" s="89" t="str">
        <f t="shared" si="867"/>
        <v/>
      </c>
      <c r="Z1165" s="60" t="str">
        <f t="shared" si="7"/>
        <v/>
      </c>
      <c r="AA1165" s="60" t="str">
        <f t="shared" si="8"/>
        <v/>
      </c>
      <c r="AB1165" s="60" t="str">
        <f t="shared" si="9"/>
        <v/>
      </c>
      <c r="AC1165" s="30" t="str">
        <f t="shared" ref="AC1165:AD1165" si="1521">IF(_xlfn.ISFORMULA(S1165),IFERROR(0/0,""),TRUE)</f>
        <v/>
      </c>
      <c r="AD1165" s="30" t="str">
        <f t="shared" si="1521"/>
        <v/>
      </c>
      <c r="AE1165" s="475" t="str">
        <f>IFERROR(__xludf.DUMMYFUNCTION("""COMPUTED_VALUE"""),"CRLN")</f>
        <v>CRLN</v>
      </c>
      <c r="AF1165" s="476"/>
      <c r="AG1165" s="474" t="s">
        <v>207</v>
      </c>
      <c r="AH1165" s="138" t="str">
        <f t="shared" si="11"/>
        <v/>
      </c>
    </row>
    <row r="1166">
      <c r="A1166" s="103" t="str">
        <f>IFERROR(__xludf.DUMMYFUNCTION("""COMPUTED_VALUE"""),"AJ7583")</f>
        <v>AJ7583</v>
      </c>
      <c r="B1166" s="468">
        <f>IFERROR(__xludf.DUMMYFUNCTION("""COMPUTED_VALUE"""),44683.0)</f>
        <v>44683</v>
      </c>
      <c r="C1166" s="469">
        <f>IFERROR(__xludf.DUMMYFUNCTION("""COMPUTED_VALUE"""),0.32070601851851854)</f>
        <v>0.3207060185</v>
      </c>
      <c r="D1166" s="103" t="str">
        <f>IFERROR(__xludf.DUMMYFUNCTION("""COMPUTED_VALUE"""),"SpFLMP309785")</f>
        <v>SpFLMP309785</v>
      </c>
      <c r="E1166" s="103"/>
      <c r="F1166" s="103"/>
      <c r="G1166" s="103" t="str">
        <f>IFERROR(__xludf.DUMMYFUNCTION("""COMPUTED_VALUE"""),"Negative")</f>
        <v>Negative</v>
      </c>
      <c r="H1166" s="131" t="str">
        <f>IFERROR(__xludf.DUMMYFUNCTION("""COMPUTED_VALUE"""),"Negative")</f>
        <v>Negative</v>
      </c>
      <c r="I1166" s="468">
        <f>IFERROR(__xludf.DUMMYFUNCTION("""COMPUTED_VALUE"""),44683.0)</f>
        <v>44683</v>
      </c>
      <c r="J1166" s="470">
        <f>IFERROR(__xludf.DUMMYFUNCTION("""COMPUTED_VALUE"""),0.4658101851851852)</f>
        <v>0.4658101852</v>
      </c>
      <c r="K1166" s="16"/>
      <c r="L1166" s="8"/>
      <c r="M1166" s="69"/>
      <c r="N1166" s="69">
        <f>IFERROR(__xludf.DUMMYFUNCTION("""COMPUTED_VALUE"""),4.0)</f>
        <v>4</v>
      </c>
      <c r="O1166" s="69" t="str">
        <f t="shared" si="3"/>
        <v/>
      </c>
      <c r="P1166" s="471">
        <f>IFERROR(__xludf.DUMMYFUNCTION("""COMPUTED_VALUE"""),0.0)</f>
        <v>0</v>
      </c>
      <c r="Q1166" s="274" t="str">
        <f>VLOOKUP($B1166,'Run Reconcile'!B$2:O2488,14,FALSE)</f>
        <v/>
      </c>
      <c r="R1166" s="472" t="str">
        <f t="array" ref="R1166">IF($Q1166, INDEX('Run Reconcile'!A$2:A2488,MATCH(B1166,'Run Reconcile'!B$2:B2488,0),1),IFERROR(0/0,""))</f>
        <v/>
      </c>
      <c r="S1166" s="473" t="str">
        <f t="shared" si="694"/>
        <v/>
      </c>
      <c r="T1166" s="473" t="str">
        <f t="shared" si="698"/>
        <v/>
      </c>
      <c r="U1166" s="275" t="str">
        <f t="array" ref="U1166">IF(ISBLANK($R1166), INDEX('Run Reconcile'!A$2:A2488, MATCH($B1166, 'Run Reconcile'!B$2:B2488, 0)+Z1166, 1), IFERROR(0/0,""))
</f>
        <v>RUN-FLMP_2022-05-02_RFR-122</v>
      </c>
      <c r="V1166" s="474" t="str">
        <f t="shared" si="5"/>
        <v>RUN-FLMP_2022-05-02_RFR-122</v>
      </c>
      <c r="Y1166" s="89" t="str">
        <f t="shared" si="867"/>
        <v/>
      </c>
      <c r="Z1166" s="60" t="str">
        <f t="shared" si="7"/>
        <v/>
      </c>
      <c r="AA1166" s="60" t="str">
        <f t="shared" si="8"/>
        <v/>
      </c>
      <c r="AB1166" s="60" t="str">
        <f t="shared" si="9"/>
        <v/>
      </c>
      <c r="AC1166" s="30" t="str">
        <f t="shared" ref="AC1166:AD1166" si="1522">IF(_xlfn.ISFORMULA(S1166),IFERROR(0/0,""),TRUE)</f>
        <v/>
      </c>
      <c r="AD1166" s="30" t="str">
        <f t="shared" si="1522"/>
        <v/>
      </c>
      <c r="AE1166" s="475" t="str">
        <f>IFERROR(__xludf.DUMMYFUNCTION("""COMPUTED_VALUE"""),"CRLN")</f>
        <v>CRLN</v>
      </c>
      <c r="AF1166" s="476"/>
      <c r="AG1166" s="474" t="s">
        <v>207</v>
      </c>
      <c r="AH1166" s="138" t="str">
        <f t="shared" si="11"/>
        <v/>
      </c>
    </row>
    <row r="1167">
      <c r="A1167" s="103" t="str">
        <f>IFERROR(__xludf.DUMMYFUNCTION("""COMPUTED_VALUE"""),"FLE277")</f>
        <v>FLE277</v>
      </c>
      <c r="B1167" s="468">
        <f>IFERROR(__xludf.DUMMYFUNCTION("""COMPUTED_VALUE"""),44683.0)</f>
        <v>44683</v>
      </c>
      <c r="C1167" s="469">
        <f>IFERROR(__xludf.DUMMYFUNCTION("""COMPUTED_VALUE"""),0.32144675925925925)</f>
        <v>0.3214467593</v>
      </c>
      <c r="D1167" s="103" t="str">
        <f>IFERROR(__xludf.DUMMYFUNCTION("""COMPUTED_VALUE"""),"SpFLMP965392")</f>
        <v>SpFLMP965392</v>
      </c>
      <c r="E1167" s="103"/>
      <c r="F1167" s="103"/>
      <c r="G1167" s="103" t="str">
        <f>IFERROR(__xludf.DUMMYFUNCTION("""COMPUTED_VALUE"""),"Negative")</f>
        <v>Negative</v>
      </c>
      <c r="H1167" s="131" t="str">
        <f>IFERROR(__xludf.DUMMYFUNCTION("""COMPUTED_VALUE"""),"Negative")</f>
        <v>Negative</v>
      </c>
      <c r="I1167" s="468">
        <f>IFERROR(__xludf.DUMMYFUNCTION("""COMPUTED_VALUE"""),44683.0)</f>
        <v>44683</v>
      </c>
      <c r="J1167" s="470">
        <f>IFERROR(__xludf.DUMMYFUNCTION("""COMPUTED_VALUE"""),0.4335648148148148)</f>
        <v>0.4335648148</v>
      </c>
      <c r="K1167" s="16"/>
      <c r="L1167" s="8"/>
      <c r="M1167" s="69"/>
      <c r="N1167" s="69">
        <f>IFERROR(__xludf.DUMMYFUNCTION("""COMPUTED_VALUE"""),4.0)</f>
        <v>4</v>
      </c>
      <c r="O1167" s="69" t="str">
        <f t="shared" si="3"/>
        <v/>
      </c>
      <c r="P1167" s="471">
        <f>IFERROR(__xludf.DUMMYFUNCTION("""COMPUTED_VALUE"""),0.0)</f>
        <v>0</v>
      </c>
      <c r="Q1167" s="274" t="str">
        <f>VLOOKUP($B1167,'Run Reconcile'!B$2:O2488,14,FALSE)</f>
        <v/>
      </c>
      <c r="R1167" s="472" t="str">
        <f t="array" ref="R1167">IF($Q1167, INDEX('Run Reconcile'!A$2:A2488,MATCH(B1167,'Run Reconcile'!B$2:B2488,0),1),IFERROR(0/0,""))</f>
        <v/>
      </c>
      <c r="S1167" s="473" t="str">
        <f t="shared" si="694"/>
        <v/>
      </c>
      <c r="T1167" s="473" t="str">
        <f t="shared" si="698"/>
        <v/>
      </c>
      <c r="U1167" s="275" t="str">
        <f t="array" ref="U1167">IF(ISBLANK($R1167), INDEX('Run Reconcile'!A$2:A2488, MATCH($B1167, 'Run Reconcile'!B$2:B2488, 0)+Z1167, 1), IFERROR(0/0,""))
</f>
        <v>RUN-FLMP_2022-05-02_RFR-122</v>
      </c>
      <c r="V1167" s="474" t="str">
        <f t="shared" si="5"/>
        <v>RUN-FLMP_2022-05-02_RFR-122</v>
      </c>
      <c r="Y1167" s="89" t="str">
        <f t="shared" si="867"/>
        <v/>
      </c>
      <c r="Z1167" s="60" t="str">
        <f t="shared" si="7"/>
        <v/>
      </c>
      <c r="AA1167" s="60" t="str">
        <f t="shared" si="8"/>
        <v/>
      </c>
      <c r="AB1167" s="60" t="str">
        <f t="shared" si="9"/>
        <v/>
      </c>
      <c r="AC1167" s="30" t="str">
        <f t="shared" ref="AC1167:AD1167" si="1523">IF(_xlfn.ISFORMULA(S1167),IFERROR(0/0,""),TRUE)</f>
        <v/>
      </c>
      <c r="AD1167" s="30" t="str">
        <f t="shared" si="1523"/>
        <v/>
      </c>
      <c r="AE1167" s="475" t="str">
        <f>IFERROR(__xludf.DUMMYFUNCTION("""COMPUTED_VALUE"""),"CRLN")</f>
        <v>CRLN</v>
      </c>
      <c r="AF1167" s="476"/>
      <c r="AG1167" s="474" t="s">
        <v>207</v>
      </c>
      <c r="AH1167" s="138" t="str">
        <f t="shared" si="11"/>
        <v/>
      </c>
    </row>
    <row r="1168">
      <c r="A1168" s="103" t="str">
        <f>IFERROR(__xludf.DUMMYFUNCTION("""COMPUTED_VALUE"""),"AH7544")</f>
        <v>AH7544</v>
      </c>
      <c r="B1168" s="468">
        <f>IFERROR(__xludf.DUMMYFUNCTION("""COMPUTED_VALUE"""),44683.0)</f>
        <v>44683</v>
      </c>
      <c r="C1168" s="469">
        <f>IFERROR(__xludf.DUMMYFUNCTION("""COMPUTED_VALUE"""),0.3384259259259259)</f>
        <v>0.3384259259</v>
      </c>
      <c r="D1168" s="103" t="str">
        <f>IFERROR(__xludf.DUMMYFUNCTION("""COMPUTED_VALUE"""),"SpFLMP314549")</f>
        <v>SpFLMP314549</v>
      </c>
      <c r="E1168" s="103"/>
      <c r="F1168" s="103"/>
      <c r="G1168" s="103" t="str">
        <f>IFERROR(__xludf.DUMMYFUNCTION("""COMPUTED_VALUE"""),"Negative")</f>
        <v>Negative</v>
      </c>
      <c r="H1168" s="131" t="str">
        <f>IFERROR(__xludf.DUMMYFUNCTION("""COMPUTED_VALUE"""),"Negative")</f>
        <v>Negative</v>
      </c>
      <c r="I1168" s="468">
        <f>IFERROR(__xludf.DUMMYFUNCTION("""COMPUTED_VALUE"""),44683.0)</f>
        <v>44683</v>
      </c>
      <c r="J1168" s="470">
        <f>IFERROR(__xludf.DUMMYFUNCTION("""COMPUTED_VALUE"""),0.4335648148148148)</f>
        <v>0.4335648148</v>
      </c>
      <c r="K1168" s="16"/>
      <c r="L1168" s="8"/>
      <c r="M1168" s="69"/>
      <c r="N1168" s="69">
        <f>IFERROR(__xludf.DUMMYFUNCTION("""COMPUTED_VALUE"""),1.0)</f>
        <v>1</v>
      </c>
      <c r="O1168" s="69" t="str">
        <f t="shared" si="3"/>
        <v/>
      </c>
      <c r="P1168" s="471">
        <f>IFERROR(__xludf.DUMMYFUNCTION("""COMPUTED_VALUE"""),0.0)</f>
        <v>0</v>
      </c>
      <c r="Q1168" s="274" t="str">
        <f>VLOOKUP($B1168,'Run Reconcile'!B$2:O2488,14,FALSE)</f>
        <v/>
      </c>
      <c r="R1168" s="472" t="str">
        <f t="array" ref="R1168">IF($Q1168, INDEX('Run Reconcile'!A$2:A2488,MATCH(B1168,'Run Reconcile'!B$2:B2488,0),1),IFERROR(0/0,""))</f>
        <v/>
      </c>
      <c r="S1168" s="473" t="str">
        <f t="shared" si="694"/>
        <v/>
      </c>
      <c r="T1168" s="473" t="str">
        <f t="shared" si="698"/>
        <v/>
      </c>
      <c r="U1168" s="275" t="str">
        <f t="array" ref="U1168">IF(ISBLANK($R1168), INDEX('Run Reconcile'!A$2:A2488, MATCH($B1168, 'Run Reconcile'!B$2:B2488, 0)+Z1168, 1), IFERROR(0/0,""))
</f>
        <v>RUN-FLMP_2022-05-02_RFR-122</v>
      </c>
      <c r="V1168" s="474" t="str">
        <f t="shared" si="5"/>
        <v>RUN-FLMP_2022-05-02_RFR-122</v>
      </c>
      <c r="Y1168" s="89" t="str">
        <f t="shared" si="867"/>
        <v/>
      </c>
      <c r="Z1168" s="60" t="str">
        <f t="shared" si="7"/>
        <v/>
      </c>
      <c r="AA1168" s="60" t="str">
        <f t="shared" si="8"/>
        <v/>
      </c>
      <c r="AB1168" s="60" t="str">
        <f t="shared" si="9"/>
        <v/>
      </c>
      <c r="AC1168" s="30" t="str">
        <f t="shared" ref="AC1168:AD1168" si="1524">IF(_xlfn.ISFORMULA(S1168),IFERROR(0/0,""),TRUE)</f>
        <v/>
      </c>
      <c r="AD1168" s="30" t="str">
        <f t="shared" si="1524"/>
        <v/>
      </c>
      <c r="AE1168" s="475" t="str">
        <f>IFERROR(__xludf.DUMMYFUNCTION("""COMPUTED_VALUE"""),"CRLN")</f>
        <v>CRLN</v>
      </c>
      <c r="AF1168" s="476"/>
      <c r="AG1168" s="474" t="s">
        <v>207</v>
      </c>
      <c r="AH1168" s="138" t="str">
        <f t="shared" si="11"/>
        <v/>
      </c>
    </row>
    <row r="1169">
      <c r="A1169" s="103" t="str">
        <f>IFERROR(__xludf.DUMMYFUNCTION("""COMPUTED_VALUE"""),"FLE252")</f>
        <v>FLE252</v>
      </c>
      <c r="B1169" s="468">
        <f>IFERROR(__xludf.DUMMYFUNCTION("""COMPUTED_VALUE"""),44683.0)</f>
        <v>44683</v>
      </c>
      <c r="C1169" s="469">
        <f>IFERROR(__xludf.DUMMYFUNCTION("""COMPUTED_VALUE"""),0.34945601851851854)</f>
        <v>0.3494560185</v>
      </c>
      <c r="D1169" s="103" t="str">
        <f>IFERROR(__xludf.DUMMYFUNCTION("""COMPUTED_VALUE"""),"SpFLMP683385")</f>
        <v>SpFLMP683385</v>
      </c>
      <c r="E1169" s="103"/>
      <c r="F1169" s="103"/>
      <c r="G1169" s="103" t="str">
        <f>IFERROR(__xludf.DUMMYFUNCTION("""COMPUTED_VALUE"""),"Negative")</f>
        <v>Negative</v>
      </c>
      <c r="H1169" s="131" t="str">
        <f>IFERROR(__xludf.DUMMYFUNCTION("""COMPUTED_VALUE"""),"Negative")</f>
        <v>Negative</v>
      </c>
      <c r="I1169" s="468">
        <f>IFERROR(__xludf.DUMMYFUNCTION("""COMPUTED_VALUE"""),44683.0)</f>
        <v>44683</v>
      </c>
      <c r="J1169" s="470">
        <f>IFERROR(__xludf.DUMMYFUNCTION("""COMPUTED_VALUE"""),0.4335763888888889)</f>
        <v>0.4335763889</v>
      </c>
      <c r="K1169" s="16"/>
      <c r="L1169" s="8"/>
      <c r="M1169" s="69"/>
      <c r="N1169" s="69">
        <f>IFERROR(__xludf.DUMMYFUNCTION("""COMPUTED_VALUE"""),3.0)</f>
        <v>3</v>
      </c>
      <c r="O1169" s="69" t="str">
        <f t="shared" si="3"/>
        <v/>
      </c>
      <c r="P1169" s="471">
        <f>IFERROR(__xludf.DUMMYFUNCTION("""COMPUTED_VALUE"""),0.0)</f>
        <v>0</v>
      </c>
      <c r="Q1169" s="274" t="str">
        <f>VLOOKUP($B1169,'Run Reconcile'!B$2:O2488,14,FALSE)</f>
        <v/>
      </c>
      <c r="R1169" s="472" t="str">
        <f t="array" ref="R1169">IF($Q1169, INDEX('Run Reconcile'!A$2:A2488,MATCH(B1169,'Run Reconcile'!B$2:B2488,0),1),IFERROR(0/0,""))</f>
        <v/>
      </c>
      <c r="S1169" s="473" t="str">
        <f t="shared" si="694"/>
        <v/>
      </c>
      <c r="T1169" s="473" t="str">
        <f t="shared" si="698"/>
        <v/>
      </c>
      <c r="U1169" s="275" t="str">
        <f t="array" ref="U1169">IF(ISBLANK($R1169), INDEX('Run Reconcile'!A$2:A2488, MATCH($B1169, 'Run Reconcile'!B$2:B2488, 0)+Z1169, 1), IFERROR(0/0,""))
</f>
        <v>RUN-FLMP_2022-05-02_RFR-122</v>
      </c>
      <c r="V1169" s="474" t="str">
        <f t="shared" si="5"/>
        <v>RUN-FLMP_2022-05-02_RFR-122</v>
      </c>
      <c r="Y1169" s="89" t="str">
        <f t="shared" si="867"/>
        <v/>
      </c>
      <c r="Z1169" s="60" t="str">
        <f t="shared" si="7"/>
        <v/>
      </c>
      <c r="AA1169" s="60" t="str">
        <f t="shared" si="8"/>
        <v/>
      </c>
      <c r="AB1169" s="60" t="str">
        <f t="shared" si="9"/>
        <v/>
      </c>
      <c r="AC1169" s="30" t="str">
        <f t="shared" ref="AC1169:AD1169" si="1525">IF(_xlfn.ISFORMULA(S1169),IFERROR(0/0,""),TRUE)</f>
        <v/>
      </c>
      <c r="AD1169" s="30" t="str">
        <f t="shared" si="1525"/>
        <v/>
      </c>
      <c r="AE1169" s="475" t="str">
        <f>IFERROR(__xludf.DUMMYFUNCTION("""COMPUTED_VALUE"""),"CRLN")</f>
        <v>CRLN</v>
      </c>
      <c r="AF1169" s="476"/>
      <c r="AG1169" s="474" t="s">
        <v>207</v>
      </c>
      <c r="AH1169" s="138" t="str">
        <f t="shared" si="11"/>
        <v/>
      </c>
    </row>
    <row r="1170">
      <c r="A1170" s="103" t="str">
        <f>IFERROR(__xludf.DUMMYFUNCTION("""COMPUTED_VALUE"""),"FLB6541")</f>
        <v>FLB6541</v>
      </c>
      <c r="B1170" s="468">
        <f>IFERROR(__xludf.DUMMYFUNCTION("""COMPUTED_VALUE"""),44683.0)</f>
        <v>44683</v>
      </c>
      <c r="C1170" s="469">
        <f>IFERROR(__xludf.DUMMYFUNCTION("""COMPUTED_VALUE"""),0.3506944444444444)</f>
        <v>0.3506944444</v>
      </c>
      <c r="D1170" s="103" t="str">
        <f>IFERROR(__xludf.DUMMYFUNCTION("""COMPUTED_VALUE"""),"SpFLMP684798")</f>
        <v>SpFLMP684798</v>
      </c>
      <c r="E1170" s="103"/>
      <c r="F1170" s="103"/>
      <c r="G1170" s="103" t="str">
        <f>IFERROR(__xludf.DUMMYFUNCTION("""COMPUTED_VALUE"""),"Negative")</f>
        <v>Negative</v>
      </c>
      <c r="H1170" s="131" t="str">
        <f>IFERROR(__xludf.DUMMYFUNCTION("""COMPUTED_VALUE"""),"Negative")</f>
        <v>Negative</v>
      </c>
      <c r="I1170" s="468">
        <f>IFERROR(__xludf.DUMMYFUNCTION("""COMPUTED_VALUE"""),44683.0)</f>
        <v>44683</v>
      </c>
      <c r="J1170" s="470">
        <f>IFERROR(__xludf.DUMMYFUNCTION("""COMPUTED_VALUE"""),0.4335763888888889)</f>
        <v>0.4335763889</v>
      </c>
      <c r="K1170" s="16"/>
      <c r="L1170" s="8"/>
      <c r="M1170" s="69"/>
      <c r="N1170" s="69">
        <f>IFERROR(__xludf.DUMMYFUNCTION("""COMPUTED_VALUE"""),4.0)</f>
        <v>4</v>
      </c>
      <c r="O1170" s="69" t="str">
        <f t="shared" si="3"/>
        <v/>
      </c>
      <c r="P1170" s="471">
        <f>IFERROR(__xludf.DUMMYFUNCTION("""COMPUTED_VALUE"""),0.0)</f>
        <v>0</v>
      </c>
      <c r="Q1170" s="274" t="str">
        <f>VLOOKUP($B1170,'Run Reconcile'!B$2:O2488,14,FALSE)</f>
        <v/>
      </c>
      <c r="R1170" s="472" t="str">
        <f t="array" ref="R1170">IF($Q1170, INDEX('Run Reconcile'!A$2:A2488,MATCH(B1170,'Run Reconcile'!B$2:B2488,0),1),IFERROR(0/0,""))</f>
        <v/>
      </c>
      <c r="S1170" s="473" t="str">
        <f t="shared" si="694"/>
        <v/>
      </c>
      <c r="T1170" s="473" t="str">
        <f t="shared" si="698"/>
        <v/>
      </c>
      <c r="U1170" s="275" t="str">
        <f t="array" ref="U1170">IF(ISBLANK($R1170), INDEX('Run Reconcile'!A$2:A2488, MATCH($B1170, 'Run Reconcile'!B$2:B2488, 0)+Z1170, 1), IFERROR(0/0,""))
</f>
        <v>RUN-FLMP_2022-05-02_RFR-122</v>
      </c>
      <c r="V1170" s="474" t="str">
        <f t="shared" si="5"/>
        <v>RUN-FLMP_2022-05-02_RFR-122</v>
      </c>
      <c r="Y1170" s="89" t="str">
        <f t="shared" si="867"/>
        <v/>
      </c>
      <c r="Z1170" s="60" t="str">
        <f t="shared" si="7"/>
        <v/>
      </c>
      <c r="AA1170" s="60" t="str">
        <f t="shared" si="8"/>
        <v/>
      </c>
      <c r="AB1170" s="60" t="str">
        <f t="shared" si="9"/>
        <v/>
      </c>
      <c r="AC1170" s="30" t="str">
        <f t="shared" ref="AC1170:AD1170" si="1526">IF(_xlfn.ISFORMULA(S1170),IFERROR(0/0,""),TRUE)</f>
        <v/>
      </c>
      <c r="AD1170" s="30" t="str">
        <f t="shared" si="1526"/>
        <v/>
      </c>
      <c r="AE1170" s="475" t="str">
        <f>IFERROR(__xludf.DUMMYFUNCTION("""COMPUTED_VALUE"""),"CRLN")</f>
        <v>CRLN</v>
      </c>
      <c r="AF1170" s="476"/>
      <c r="AG1170" s="474" t="s">
        <v>207</v>
      </c>
      <c r="AH1170" s="138" t="str">
        <f t="shared" si="11"/>
        <v/>
      </c>
    </row>
    <row r="1171">
      <c r="A1171" s="103" t="str">
        <f>IFERROR(__xludf.DUMMYFUNCTION("""COMPUTED_VALUE"""),"AH7525")</f>
        <v>AH7525</v>
      </c>
      <c r="B1171" s="468">
        <f>IFERROR(__xludf.DUMMYFUNCTION("""COMPUTED_VALUE"""),44683.0)</f>
        <v>44683</v>
      </c>
      <c r="C1171" s="469">
        <f>IFERROR(__xludf.DUMMYFUNCTION("""COMPUTED_VALUE"""),0.3507175925925926)</f>
        <v>0.3507175926</v>
      </c>
      <c r="D1171" s="103" t="str">
        <f>IFERROR(__xludf.DUMMYFUNCTION("""COMPUTED_VALUE"""),"SpFLMP939619")</f>
        <v>SpFLMP939619</v>
      </c>
      <c r="E1171" s="103"/>
      <c r="F1171" s="103"/>
      <c r="G1171" s="103" t="str">
        <f>IFERROR(__xludf.DUMMYFUNCTION("""COMPUTED_VALUE"""),"Negative")</f>
        <v>Negative</v>
      </c>
      <c r="H1171" s="131" t="str">
        <f>IFERROR(__xludf.DUMMYFUNCTION("""COMPUTED_VALUE"""),"Negative")</f>
        <v>Negative</v>
      </c>
      <c r="I1171" s="468">
        <f>IFERROR(__xludf.DUMMYFUNCTION("""COMPUTED_VALUE"""),44683.0)</f>
        <v>44683</v>
      </c>
      <c r="J1171" s="470">
        <f>IFERROR(__xludf.DUMMYFUNCTION("""COMPUTED_VALUE"""),0.4335763888888889)</f>
        <v>0.4335763889</v>
      </c>
      <c r="K1171" s="16"/>
      <c r="L1171" s="8"/>
      <c r="M1171" s="69"/>
      <c r="N1171" s="69">
        <f>IFERROR(__xludf.DUMMYFUNCTION("""COMPUTED_VALUE"""),1.0)</f>
        <v>1</v>
      </c>
      <c r="O1171" s="69" t="str">
        <f t="shared" si="3"/>
        <v/>
      </c>
      <c r="P1171" s="471">
        <f>IFERROR(__xludf.DUMMYFUNCTION("""COMPUTED_VALUE"""),0.0)</f>
        <v>0</v>
      </c>
      <c r="Q1171" s="274" t="str">
        <f>VLOOKUP($B1171,'Run Reconcile'!B$2:O2488,14,FALSE)</f>
        <v/>
      </c>
      <c r="R1171" s="472" t="str">
        <f t="array" ref="R1171">IF($Q1171, INDEX('Run Reconcile'!A$2:A2488,MATCH(B1171,'Run Reconcile'!B$2:B2488,0),1),IFERROR(0/0,""))</f>
        <v/>
      </c>
      <c r="S1171" s="473" t="str">
        <f t="shared" si="694"/>
        <v/>
      </c>
      <c r="T1171" s="473" t="str">
        <f t="shared" si="698"/>
        <v/>
      </c>
      <c r="U1171" s="275" t="str">
        <f t="array" ref="U1171">IF(ISBLANK($R1171), INDEX('Run Reconcile'!A$2:A2488, MATCH($B1171, 'Run Reconcile'!B$2:B2488, 0)+Z1171, 1), IFERROR(0/0,""))
</f>
        <v>RUN-FLMP_2022-05-02_RFR-122</v>
      </c>
      <c r="V1171" s="474" t="str">
        <f t="shared" si="5"/>
        <v>RUN-FLMP_2022-05-02_RFR-122</v>
      </c>
      <c r="Y1171" s="89" t="str">
        <f t="shared" si="867"/>
        <v/>
      </c>
      <c r="Z1171" s="60" t="str">
        <f t="shared" si="7"/>
        <v/>
      </c>
      <c r="AA1171" s="60" t="str">
        <f t="shared" si="8"/>
        <v/>
      </c>
      <c r="AB1171" s="60" t="str">
        <f t="shared" si="9"/>
        <v/>
      </c>
      <c r="AC1171" s="30" t="str">
        <f t="shared" ref="AC1171:AD1171" si="1527">IF(_xlfn.ISFORMULA(S1171),IFERROR(0/0,""),TRUE)</f>
        <v/>
      </c>
      <c r="AD1171" s="30" t="str">
        <f t="shared" si="1527"/>
        <v/>
      </c>
      <c r="AE1171" s="475" t="str">
        <f>IFERROR(__xludf.DUMMYFUNCTION("""COMPUTED_VALUE"""),"CRLN")</f>
        <v>CRLN</v>
      </c>
      <c r="AF1171" s="476"/>
      <c r="AG1171" s="474" t="s">
        <v>207</v>
      </c>
      <c r="AH1171" s="138" t="str">
        <f t="shared" si="11"/>
        <v/>
      </c>
    </row>
    <row r="1172">
      <c r="A1172" s="103" t="str">
        <f>IFERROR(__xludf.DUMMYFUNCTION("""COMPUTED_VALUE"""),"FLB6754")</f>
        <v>FLB6754</v>
      </c>
      <c r="B1172" s="468">
        <f>IFERROR(__xludf.DUMMYFUNCTION("""COMPUTED_VALUE"""),44683.0)</f>
        <v>44683</v>
      </c>
      <c r="C1172" s="469">
        <f>IFERROR(__xludf.DUMMYFUNCTION("""COMPUTED_VALUE"""),0.3516087962962963)</f>
        <v>0.3516087963</v>
      </c>
      <c r="D1172" s="103" t="str">
        <f>IFERROR(__xludf.DUMMYFUNCTION("""COMPUTED_VALUE"""),"SpFLMP259015")</f>
        <v>SpFLMP259015</v>
      </c>
      <c r="E1172" s="103"/>
      <c r="F1172" s="103"/>
      <c r="G1172" s="103" t="str">
        <f>IFERROR(__xludf.DUMMYFUNCTION("""COMPUTED_VALUE"""),"Negative")</f>
        <v>Negative</v>
      </c>
      <c r="H1172" s="131" t="str">
        <f>IFERROR(__xludf.DUMMYFUNCTION("""COMPUTED_VALUE"""),"Negative")</f>
        <v>Negative</v>
      </c>
      <c r="I1172" s="468">
        <f>IFERROR(__xludf.DUMMYFUNCTION("""COMPUTED_VALUE"""),44683.0)</f>
        <v>44683</v>
      </c>
      <c r="J1172" s="470">
        <f>IFERROR(__xludf.DUMMYFUNCTION("""COMPUTED_VALUE"""),0.4335763888888889)</f>
        <v>0.4335763889</v>
      </c>
      <c r="K1172" s="16"/>
      <c r="L1172" s="8"/>
      <c r="M1172" s="69"/>
      <c r="N1172" s="69">
        <f>IFERROR(__xludf.DUMMYFUNCTION("""COMPUTED_VALUE"""),3.0)</f>
        <v>3</v>
      </c>
      <c r="O1172" s="69" t="str">
        <f t="shared" si="3"/>
        <v/>
      </c>
      <c r="P1172" s="471">
        <f>IFERROR(__xludf.DUMMYFUNCTION("""COMPUTED_VALUE"""),0.0)</f>
        <v>0</v>
      </c>
      <c r="Q1172" s="274" t="str">
        <f>VLOOKUP($B1172,'Run Reconcile'!B$2:O2488,14,FALSE)</f>
        <v/>
      </c>
      <c r="R1172" s="472" t="str">
        <f t="array" ref="R1172">IF($Q1172, INDEX('Run Reconcile'!A$2:A2488,MATCH(B1172,'Run Reconcile'!B$2:B2488,0),1),IFERROR(0/0,""))</f>
        <v/>
      </c>
      <c r="S1172" s="473" t="str">
        <f t="shared" si="694"/>
        <v/>
      </c>
      <c r="T1172" s="473" t="str">
        <f t="shared" si="698"/>
        <v/>
      </c>
      <c r="U1172" s="275" t="str">
        <f t="array" ref="U1172">IF(ISBLANK($R1172), INDEX('Run Reconcile'!A$2:A2488, MATCH($B1172, 'Run Reconcile'!B$2:B2488, 0)+Z1172, 1), IFERROR(0/0,""))
</f>
        <v>RUN-FLMP_2022-05-02_RFR-122</v>
      </c>
      <c r="V1172" s="474" t="str">
        <f t="shared" si="5"/>
        <v>RUN-FLMP_2022-05-02_RFR-122</v>
      </c>
      <c r="Y1172" s="89" t="str">
        <f t="shared" si="867"/>
        <v/>
      </c>
      <c r="Z1172" s="60" t="str">
        <f t="shared" si="7"/>
        <v/>
      </c>
      <c r="AA1172" s="60" t="str">
        <f t="shared" si="8"/>
        <v/>
      </c>
      <c r="AB1172" s="60" t="str">
        <f t="shared" si="9"/>
        <v/>
      </c>
      <c r="AC1172" s="30" t="str">
        <f t="shared" ref="AC1172:AD1172" si="1528">IF(_xlfn.ISFORMULA(S1172),IFERROR(0/0,""),TRUE)</f>
        <v/>
      </c>
      <c r="AD1172" s="30" t="str">
        <f t="shared" si="1528"/>
        <v/>
      </c>
      <c r="AE1172" s="475" t="str">
        <f>IFERROR(__xludf.DUMMYFUNCTION("""COMPUTED_VALUE"""),"CRLN")</f>
        <v>CRLN</v>
      </c>
      <c r="AF1172" s="476"/>
      <c r="AG1172" s="474" t="s">
        <v>207</v>
      </c>
      <c r="AH1172" s="138" t="str">
        <f t="shared" si="11"/>
        <v/>
      </c>
    </row>
    <row r="1173">
      <c r="A1173" s="103" t="str">
        <f>IFERROR(__xludf.DUMMYFUNCTION("""COMPUTED_VALUE"""),"FLB6536")</f>
        <v>FLB6536</v>
      </c>
      <c r="B1173" s="468">
        <f>IFERROR(__xludf.DUMMYFUNCTION("""COMPUTED_VALUE"""),44683.0)</f>
        <v>44683</v>
      </c>
      <c r="C1173" s="469">
        <f>IFERROR(__xludf.DUMMYFUNCTION("""COMPUTED_VALUE"""),0.35208333333333336)</f>
        <v>0.3520833333</v>
      </c>
      <c r="D1173" s="103" t="str">
        <f>IFERROR(__xludf.DUMMYFUNCTION("""COMPUTED_VALUE"""),"SpFLMP259015")</f>
        <v>SpFLMP259015</v>
      </c>
      <c r="E1173" s="103"/>
      <c r="F1173" s="103"/>
      <c r="G1173" s="103" t="str">
        <f>IFERROR(__xludf.DUMMYFUNCTION("""COMPUTED_VALUE"""),"Negative")</f>
        <v>Negative</v>
      </c>
      <c r="H1173" s="131" t="str">
        <f>IFERROR(__xludf.DUMMYFUNCTION("""COMPUTED_VALUE"""),"Negative")</f>
        <v>Negative</v>
      </c>
      <c r="I1173" s="468">
        <f>IFERROR(__xludf.DUMMYFUNCTION("""COMPUTED_VALUE"""),44683.0)</f>
        <v>44683</v>
      </c>
      <c r="J1173" s="470">
        <f>IFERROR(__xludf.DUMMYFUNCTION("""COMPUTED_VALUE"""),0.4335763888888889)</f>
        <v>0.4335763889</v>
      </c>
      <c r="K1173" s="16"/>
      <c r="L1173" s="8"/>
      <c r="M1173" s="69"/>
      <c r="N1173" s="69">
        <f>IFERROR(__xludf.DUMMYFUNCTION("""COMPUTED_VALUE"""),3.0)</f>
        <v>3</v>
      </c>
      <c r="O1173" s="69" t="str">
        <f t="shared" si="3"/>
        <v/>
      </c>
      <c r="P1173" s="471">
        <f>IFERROR(__xludf.DUMMYFUNCTION("""COMPUTED_VALUE"""),0.0)</f>
        <v>0</v>
      </c>
      <c r="Q1173" s="274" t="str">
        <f>VLOOKUP($B1173,'Run Reconcile'!B$2:O2488,14,FALSE)</f>
        <v/>
      </c>
      <c r="R1173" s="472" t="str">
        <f t="array" ref="R1173">IF($Q1173, INDEX('Run Reconcile'!A$2:A2488,MATCH(B1173,'Run Reconcile'!B$2:B2488,0),1),IFERROR(0/0,""))</f>
        <v/>
      </c>
      <c r="S1173" s="473" t="str">
        <f t="shared" si="694"/>
        <v/>
      </c>
      <c r="T1173" s="473" t="str">
        <f t="shared" si="698"/>
        <v/>
      </c>
      <c r="U1173" s="275" t="str">
        <f t="array" ref="U1173">IF(ISBLANK($R1173), INDEX('Run Reconcile'!A$2:A2488, MATCH($B1173, 'Run Reconcile'!B$2:B2488, 0)+Z1173, 1), IFERROR(0/0,""))
</f>
        <v>RUN-FLMP_2022-05-02_RFR-122</v>
      </c>
      <c r="V1173" s="474" t="str">
        <f t="shared" si="5"/>
        <v>RUN-FLMP_2022-05-02_RFR-122</v>
      </c>
      <c r="Y1173" s="89" t="str">
        <f t="shared" si="867"/>
        <v/>
      </c>
      <c r="Z1173" s="60" t="str">
        <f t="shared" si="7"/>
        <v/>
      </c>
      <c r="AA1173" s="60" t="str">
        <f t="shared" si="8"/>
        <v/>
      </c>
      <c r="AB1173" s="60" t="str">
        <f t="shared" si="9"/>
        <v/>
      </c>
      <c r="AC1173" s="30" t="str">
        <f t="shared" ref="AC1173:AD1173" si="1529">IF(_xlfn.ISFORMULA(S1173),IFERROR(0/0,""),TRUE)</f>
        <v/>
      </c>
      <c r="AD1173" s="30" t="str">
        <f t="shared" si="1529"/>
        <v/>
      </c>
      <c r="AE1173" s="475" t="str">
        <f>IFERROR(__xludf.DUMMYFUNCTION("""COMPUTED_VALUE"""),"CRLN")</f>
        <v>CRLN</v>
      </c>
      <c r="AF1173" s="476"/>
      <c r="AG1173" s="474" t="s">
        <v>207</v>
      </c>
      <c r="AH1173" s="138" t="str">
        <f t="shared" si="11"/>
        <v/>
      </c>
    </row>
    <row r="1174">
      <c r="A1174" s="103" t="str">
        <f>IFERROR(__xludf.DUMMYFUNCTION("""COMPUTED_VALUE"""),"AH7496")</f>
        <v>AH7496</v>
      </c>
      <c r="B1174" s="468">
        <f>IFERROR(__xludf.DUMMYFUNCTION("""COMPUTED_VALUE"""),44683.0)</f>
        <v>44683</v>
      </c>
      <c r="C1174" s="469">
        <f>IFERROR(__xludf.DUMMYFUNCTION("""COMPUTED_VALUE"""),0.35335648148148147)</f>
        <v>0.3533564815</v>
      </c>
      <c r="D1174" s="103" t="str">
        <f>IFERROR(__xludf.DUMMYFUNCTION("""COMPUTED_VALUE"""),"SpFLMP600756")</f>
        <v>SpFLMP600756</v>
      </c>
      <c r="E1174" s="103"/>
      <c r="F1174" s="103"/>
      <c r="G1174" s="103" t="str">
        <f>IFERROR(__xludf.DUMMYFUNCTION("""COMPUTED_VALUE"""),"Negative")</f>
        <v>Negative</v>
      </c>
      <c r="H1174" s="131" t="str">
        <f>IFERROR(__xludf.DUMMYFUNCTION("""COMPUTED_VALUE"""),"Negative")</f>
        <v>Negative</v>
      </c>
      <c r="I1174" s="468">
        <f>IFERROR(__xludf.DUMMYFUNCTION("""COMPUTED_VALUE"""),44683.0)</f>
        <v>44683</v>
      </c>
      <c r="J1174" s="470">
        <f>IFERROR(__xludf.DUMMYFUNCTION("""COMPUTED_VALUE"""),0.4335763888888889)</f>
        <v>0.4335763889</v>
      </c>
      <c r="K1174" s="16"/>
      <c r="L1174" s="8"/>
      <c r="M1174" s="69"/>
      <c r="N1174" s="69">
        <f>IFERROR(__xludf.DUMMYFUNCTION("""COMPUTED_VALUE"""),2.0)</f>
        <v>2</v>
      </c>
      <c r="O1174" s="69" t="str">
        <f t="shared" si="3"/>
        <v/>
      </c>
      <c r="P1174" s="471">
        <f>IFERROR(__xludf.DUMMYFUNCTION("""COMPUTED_VALUE"""),0.0)</f>
        <v>0</v>
      </c>
      <c r="Q1174" s="274" t="str">
        <f>VLOOKUP($B1174,'Run Reconcile'!B$2:O2488,14,FALSE)</f>
        <v/>
      </c>
      <c r="R1174" s="472" t="str">
        <f t="array" ref="R1174">IF($Q1174, INDEX('Run Reconcile'!A$2:A2488,MATCH(B1174,'Run Reconcile'!B$2:B2488,0),1),IFERROR(0/0,""))</f>
        <v/>
      </c>
      <c r="S1174" s="473" t="str">
        <f t="shared" si="694"/>
        <v/>
      </c>
      <c r="T1174" s="473" t="str">
        <f t="shared" si="698"/>
        <v/>
      </c>
      <c r="U1174" s="275" t="str">
        <f t="array" ref="U1174">IF(ISBLANK($R1174), INDEX('Run Reconcile'!A$2:A2488, MATCH($B1174, 'Run Reconcile'!B$2:B2488, 0)+Z1174, 1), IFERROR(0/0,""))
</f>
        <v>RUN-FLMP_2022-05-02_RFR-122</v>
      </c>
      <c r="V1174" s="474" t="str">
        <f t="shared" si="5"/>
        <v>RUN-FLMP_2022-05-02_RFR-122</v>
      </c>
      <c r="Y1174" s="89" t="str">
        <f t="shared" si="867"/>
        <v/>
      </c>
      <c r="Z1174" s="60" t="str">
        <f t="shared" si="7"/>
        <v/>
      </c>
      <c r="AA1174" s="60" t="str">
        <f t="shared" si="8"/>
        <v/>
      </c>
      <c r="AB1174" s="60" t="str">
        <f t="shared" si="9"/>
        <v/>
      </c>
      <c r="AC1174" s="30" t="str">
        <f t="shared" ref="AC1174:AD1174" si="1530">IF(_xlfn.ISFORMULA(S1174),IFERROR(0/0,""),TRUE)</f>
        <v/>
      </c>
      <c r="AD1174" s="30" t="str">
        <f t="shared" si="1530"/>
        <v/>
      </c>
      <c r="AE1174" s="475" t="str">
        <f>IFERROR(__xludf.DUMMYFUNCTION("""COMPUTED_VALUE"""),"CRLN")</f>
        <v>CRLN</v>
      </c>
      <c r="AF1174" s="476"/>
      <c r="AG1174" s="474" t="s">
        <v>207</v>
      </c>
      <c r="AH1174" s="138" t="str">
        <f t="shared" si="11"/>
        <v/>
      </c>
    </row>
    <row r="1175">
      <c r="A1175" s="103" t="str">
        <f>IFERROR(__xludf.DUMMYFUNCTION("""COMPUTED_VALUE"""),"AH7284")</f>
        <v>AH7284</v>
      </c>
      <c r="B1175" s="468">
        <f>IFERROR(__xludf.DUMMYFUNCTION("""COMPUTED_VALUE"""),44683.0)</f>
        <v>44683</v>
      </c>
      <c r="C1175" s="469">
        <f>IFERROR(__xludf.DUMMYFUNCTION("""COMPUTED_VALUE"""),0.35432870370370373)</f>
        <v>0.3543287037</v>
      </c>
      <c r="D1175" s="103" t="str">
        <f>IFERROR(__xludf.DUMMYFUNCTION("""COMPUTED_VALUE"""),"SpFLMP604497")</f>
        <v>SpFLMP604497</v>
      </c>
      <c r="E1175" s="103"/>
      <c r="F1175" s="103"/>
      <c r="G1175" s="103" t="str">
        <f>IFERROR(__xludf.DUMMYFUNCTION("""COMPUTED_VALUE"""),"Negative")</f>
        <v>Negative</v>
      </c>
      <c r="H1175" s="131" t="str">
        <f>IFERROR(__xludf.DUMMYFUNCTION("""COMPUTED_VALUE"""),"Negative")</f>
        <v>Negative</v>
      </c>
      <c r="I1175" s="468">
        <f>IFERROR(__xludf.DUMMYFUNCTION("""COMPUTED_VALUE"""),44683.0)</f>
        <v>44683</v>
      </c>
      <c r="J1175" s="470">
        <f>IFERROR(__xludf.DUMMYFUNCTION("""COMPUTED_VALUE"""),0.433587962962963)</f>
        <v>0.433587963</v>
      </c>
      <c r="K1175" s="16"/>
      <c r="L1175" s="8"/>
      <c r="M1175" s="69"/>
      <c r="N1175" s="69">
        <f>IFERROR(__xludf.DUMMYFUNCTION("""COMPUTED_VALUE"""),3.0)</f>
        <v>3</v>
      </c>
      <c r="O1175" s="69" t="str">
        <f t="shared" si="3"/>
        <v/>
      </c>
      <c r="P1175" s="471">
        <f>IFERROR(__xludf.DUMMYFUNCTION("""COMPUTED_VALUE"""),0.0)</f>
        <v>0</v>
      </c>
      <c r="Q1175" s="274" t="str">
        <f>VLOOKUP($B1175,'Run Reconcile'!B$2:O2488,14,FALSE)</f>
        <v/>
      </c>
      <c r="R1175" s="472" t="str">
        <f t="array" ref="R1175">IF($Q1175, INDEX('Run Reconcile'!A$2:A2488,MATCH(B1175,'Run Reconcile'!B$2:B2488,0),1),IFERROR(0/0,""))</f>
        <v/>
      </c>
      <c r="S1175" s="473" t="str">
        <f t="shared" si="694"/>
        <v/>
      </c>
      <c r="T1175" s="473" t="str">
        <f t="shared" si="698"/>
        <v/>
      </c>
      <c r="U1175" s="275" t="str">
        <f t="array" ref="U1175">IF(ISBLANK($R1175), INDEX('Run Reconcile'!A$2:A2488, MATCH($B1175, 'Run Reconcile'!B$2:B2488, 0)+Z1175, 1), IFERROR(0/0,""))
</f>
        <v>RUN-FLMP_2022-05-02_RFR-122</v>
      </c>
      <c r="V1175" s="474" t="str">
        <f t="shared" si="5"/>
        <v>RUN-FLMP_2022-05-02_RFR-122</v>
      </c>
      <c r="Y1175" s="89" t="str">
        <f t="shared" si="867"/>
        <v/>
      </c>
      <c r="Z1175" s="60" t="str">
        <f t="shared" si="7"/>
        <v/>
      </c>
      <c r="AA1175" s="60" t="str">
        <f t="shared" si="8"/>
        <v/>
      </c>
      <c r="AB1175" s="60" t="str">
        <f t="shared" si="9"/>
        <v/>
      </c>
      <c r="AC1175" s="30" t="str">
        <f t="shared" ref="AC1175:AD1175" si="1531">IF(_xlfn.ISFORMULA(S1175),IFERROR(0/0,""),TRUE)</f>
        <v/>
      </c>
      <c r="AD1175" s="30" t="str">
        <f t="shared" si="1531"/>
        <v/>
      </c>
      <c r="AE1175" s="475" t="str">
        <f>IFERROR(__xludf.DUMMYFUNCTION("""COMPUTED_VALUE"""),"CRLN")</f>
        <v>CRLN</v>
      </c>
      <c r="AF1175" s="476"/>
      <c r="AG1175" s="474" t="s">
        <v>207</v>
      </c>
      <c r="AH1175" s="138" t="str">
        <f t="shared" si="11"/>
        <v/>
      </c>
    </row>
    <row r="1176">
      <c r="A1176" s="103" t="str">
        <f>IFERROR(__xludf.DUMMYFUNCTION("""COMPUTED_VALUE"""),"FLE926")</f>
        <v>FLE926</v>
      </c>
      <c r="B1176" s="468">
        <f>IFERROR(__xludf.DUMMYFUNCTION("""COMPUTED_VALUE"""),44683.0)</f>
        <v>44683</v>
      </c>
      <c r="C1176" s="469">
        <f>IFERROR(__xludf.DUMMYFUNCTION("""COMPUTED_VALUE"""),0.3605787037037037)</f>
        <v>0.3605787037</v>
      </c>
      <c r="D1176" s="103" t="str">
        <f>IFERROR(__xludf.DUMMYFUNCTION("""COMPUTED_VALUE"""),"SpFLMP170622")</f>
        <v>SpFLMP170622</v>
      </c>
      <c r="E1176" s="103"/>
      <c r="F1176" s="103"/>
      <c r="G1176" s="103" t="str">
        <f>IFERROR(__xludf.DUMMYFUNCTION("""COMPUTED_VALUE"""),"Negative")</f>
        <v>Negative</v>
      </c>
      <c r="H1176" s="131" t="str">
        <f>IFERROR(__xludf.DUMMYFUNCTION("""COMPUTED_VALUE"""),"Negative")</f>
        <v>Negative</v>
      </c>
      <c r="I1176" s="468">
        <f>IFERROR(__xludf.DUMMYFUNCTION("""COMPUTED_VALUE"""),44683.0)</f>
        <v>44683</v>
      </c>
      <c r="J1176" s="470">
        <f>IFERROR(__xludf.DUMMYFUNCTION("""COMPUTED_VALUE"""),0.433587962962963)</f>
        <v>0.433587963</v>
      </c>
      <c r="K1176" s="16"/>
      <c r="L1176" s="8"/>
      <c r="M1176" s="69"/>
      <c r="N1176" s="69">
        <f>IFERROR(__xludf.DUMMYFUNCTION("""COMPUTED_VALUE"""),2.0)</f>
        <v>2</v>
      </c>
      <c r="O1176" s="69" t="str">
        <f t="shared" si="3"/>
        <v/>
      </c>
      <c r="P1176" s="471">
        <f>IFERROR(__xludf.DUMMYFUNCTION("""COMPUTED_VALUE"""),0.0)</f>
        <v>0</v>
      </c>
      <c r="Q1176" s="274" t="str">
        <f>VLOOKUP($B1176,'Run Reconcile'!B$2:O2488,14,FALSE)</f>
        <v/>
      </c>
      <c r="R1176" s="472" t="str">
        <f t="array" ref="R1176">IF($Q1176, INDEX('Run Reconcile'!A$2:A2488,MATCH(B1176,'Run Reconcile'!B$2:B2488,0),1),IFERROR(0/0,""))</f>
        <v/>
      </c>
      <c r="S1176" s="473" t="str">
        <f t="shared" si="694"/>
        <v/>
      </c>
      <c r="T1176" s="473" t="str">
        <f t="shared" si="698"/>
        <v/>
      </c>
      <c r="U1176" s="275" t="str">
        <f t="array" ref="U1176">IF(ISBLANK($R1176), INDEX('Run Reconcile'!A$2:A2488, MATCH($B1176, 'Run Reconcile'!B$2:B2488, 0)+Z1176, 1), IFERROR(0/0,""))
</f>
        <v>RUN-FLMP_2022-05-02_RFR-122</v>
      </c>
      <c r="V1176" s="474" t="str">
        <f t="shared" si="5"/>
        <v>RUN-FLMP_2022-05-02_RFR-122</v>
      </c>
      <c r="Y1176" s="89" t="str">
        <f t="shared" si="867"/>
        <v/>
      </c>
      <c r="Z1176" s="60" t="str">
        <f t="shared" si="7"/>
        <v/>
      </c>
      <c r="AA1176" s="60" t="str">
        <f t="shared" si="8"/>
        <v/>
      </c>
      <c r="AB1176" s="60" t="str">
        <f t="shared" si="9"/>
        <v/>
      </c>
      <c r="AC1176" s="30" t="str">
        <f t="shared" ref="AC1176:AD1176" si="1532">IF(_xlfn.ISFORMULA(S1176),IFERROR(0/0,""),TRUE)</f>
        <v/>
      </c>
      <c r="AD1176" s="30" t="str">
        <f t="shared" si="1532"/>
        <v/>
      </c>
      <c r="AE1176" s="475" t="str">
        <f>IFERROR(__xludf.DUMMYFUNCTION("""COMPUTED_VALUE"""),"CRLN")</f>
        <v>CRLN</v>
      </c>
      <c r="AF1176" s="476"/>
      <c r="AG1176" s="474" t="s">
        <v>207</v>
      </c>
      <c r="AH1176" s="138" t="str">
        <f t="shared" si="11"/>
        <v/>
      </c>
    </row>
    <row r="1177">
      <c r="A1177" s="103" t="str">
        <f>IFERROR(__xludf.DUMMYFUNCTION("""COMPUTED_VALUE"""),"FLE297")</f>
        <v>FLE297</v>
      </c>
      <c r="B1177" s="468">
        <f>IFERROR(__xludf.DUMMYFUNCTION("""COMPUTED_VALUE"""),44683.0)</f>
        <v>44683</v>
      </c>
      <c r="C1177" s="469">
        <f>IFERROR(__xludf.DUMMYFUNCTION("""COMPUTED_VALUE"""),0.3665277777777778)</f>
        <v>0.3665277778</v>
      </c>
      <c r="D1177" s="103" t="str">
        <f>IFERROR(__xludf.DUMMYFUNCTION("""COMPUTED_VALUE"""),"SpFLMP946259")</f>
        <v>SpFLMP946259</v>
      </c>
      <c r="E1177" s="103"/>
      <c r="F1177" s="103"/>
      <c r="G1177" s="103" t="str">
        <f>IFERROR(__xludf.DUMMYFUNCTION("""COMPUTED_VALUE"""),"Negative")</f>
        <v>Negative</v>
      </c>
      <c r="H1177" s="131" t="str">
        <f>IFERROR(__xludf.DUMMYFUNCTION("""COMPUTED_VALUE"""),"Negative")</f>
        <v>Negative</v>
      </c>
      <c r="I1177" s="468">
        <f>IFERROR(__xludf.DUMMYFUNCTION("""COMPUTED_VALUE"""),44683.0)</f>
        <v>44683</v>
      </c>
      <c r="J1177" s="470">
        <f>IFERROR(__xludf.DUMMYFUNCTION("""COMPUTED_VALUE"""),0.433587962962963)</f>
        <v>0.433587963</v>
      </c>
      <c r="K1177" s="16"/>
      <c r="L1177" s="8"/>
      <c r="M1177" s="69"/>
      <c r="N1177" s="69">
        <f>IFERROR(__xludf.DUMMYFUNCTION("""COMPUTED_VALUE"""),2.0)</f>
        <v>2</v>
      </c>
      <c r="O1177" s="69" t="str">
        <f t="shared" si="3"/>
        <v/>
      </c>
      <c r="P1177" s="471">
        <f>IFERROR(__xludf.DUMMYFUNCTION("""COMPUTED_VALUE"""),0.0)</f>
        <v>0</v>
      </c>
      <c r="Q1177" s="274" t="str">
        <f>VLOOKUP($B1177,'Run Reconcile'!B$2:O2488,14,FALSE)</f>
        <v/>
      </c>
      <c r="R1177" s="472" t="str">
        <f t="array" ref="R1177">IF($Q1177, INDEX('Run Reconcile'!A$2:A2488,MATCH(B1177,'Run Reconcile'!B$2:B2488,0),1),IFERROR(0/0,""))</f>
        <v/>
      </c>
      <c r="S1177" s="473" t="str">
        <f t="shared" si="694"/>
        <v/>
      </c>
      <c r="T1177" s="473" t="str">
        <f t="shared" si="698"/>
        <v/>
      </c>
      <c r="U1177" s="275" t="str">
        <f t="array" ref="U1177">IF(ISBLANK($R1177), INDEX('Run Reconcile'!A$2:A2488, MATCH($B1177, 'Run Reconcile'!B$2:B2488, 0)+Z1177, 1), IFERROR(0/0,""))
</f>
        <v>RUN-FLMP_2022-05-02_RFR-122</v>
      </c>
      <c r="V1177" s="474" t="str">
        <f t="shared" si="5"/>
        <v>RUN-FLMP_2022-05-02_RFR-122</v>
      </c>
      <c r="Y1177" s="89" t="str">
        <f t="shared" si="867"/>
        <v/>
      </c>
      <c r="Z1177" s="60" t="str">
        <f t="shared" si="7"/>
        <v/>
      </c>
      <c r="AA1177" s="60" t="str">
        <f t="shared" si="8"/>
        <v/>
      </c>
      <c r="AB1177" s="60" t="str">
        <f t="shared" si="9"/>
        <v/>
      </c>
      <c r="AC1177" s="30" t="str">
        <f t="shared" ref="AC1177:AD1177" si="1533">IF(_xlfn.ISFORMULA(S1177),IFERROR(0/0,""),TRUE)</f>
        <v/>
      </c>
      <c r="AD1177" s="30" t="str">
        <f t="shared" si="1533"/>
        <v/>
      </c>
      <c r="AE1177" s="475" t="str">
        <f>IFERROR(__xludf.DUMMYFUNCTION("""COMPUTED_VALUE"""),"CRLN")</f>
        <v>CRLN</v>
      </c>
      <c r="AF1177" s="476"/>
      <c r="AG1177" s="474" t="s">
        <v>207</v>
      </c>
      <c r="AH1177" s="138" t="str">
        <f t="shared" si="11"/>
        <v/>
      </c>
    </row>
    <row r="1178">
      <c r="A1178" s="103" t="str">
        <f>IFERROR(__xludf.DUMMYFUNCTION("""COMPUTED_VALUE"""),"FLB4969")</f>
        <v>FLB4969</v>
      </c>
      <c r="B1178" s="468">
        <f>IFERROR(__xludf.DUMMYFUNCTION("""COMPUTED_VALUE"""),44683.0)</f>
        <v>44683</v>
      </c>
      <c r="C1178" s="469">
        <f>IFERROR(__xludf.DUMMYFUNCTION("""COMPUTED_VALUE"""),0.37376157407407407)</f>
        <v>0.3737615741</v>
      </c>
      <c r="D1178" s="103" t="str">
        <f>IFERROR(__xludf.DUMMYFUNCTION("""COMPUTED_VALUE"""),"SpFLMP496039")</f>
        <v>SpFLMP496039</v>
      </c>
      <c r="E1178" s="103"/>
      <c r="F1178" s="103"/>
      <c r="G1178" s="103" t="str">
        <f>IFERROR(__xludf.DUMMYFUNCTION("""COMPUTED_VALUE"""),"Negative")</f>
        <v>Negative</v>
      </c>
      <c r="H1178" s="131" t="str">
        <f>IFERROR(__xludf.DUMMYFUNCTION("""COMPUTED_VALUE"""),"Negative")</f>
        <v>Negative</v>
      </c>
      <c r="I1178" s="468">
        <f>IFERROR(__xludf.DUMMYFUNCTION("""COMPUTED_VALUE"""),44683.0)</f>
        <v>44683</v>
      </c>
      <c r="J1178" s="470">
        <f>IFERROR(__xludf.DUMMYFUNCTION("""COMPUTED_VALUE"""),0.433587962962963)</f>
        <v>0.433587963</v>
      </c>
      <c r="K1178" s="16"/>
      <c r="L1178" s="8"/>
      <c r="M1178" s="69"/>
      <c r="N1178" s="69">
        <f>IFERROR(__xludf.DUMMYFUNCTION("""COMPUTED_VALUE"""),1.0)</f>
        <v>1</v>
      </c>
      <c r="O1178" s="69" t="str">
        <f t="shared" si="3"/>
        <v/>
      </c>
      <c r="P1178" s="471">
        <f>IFERROR(__xludf.DUMMYFUNCTION("""COMPUTED_VALUE"""),0.0)</f>
        <v>0</v>
      </c>
      <c r="Q1178" s="274" t="str">
        <f>VLOOKUP($B1178,'Run Reconcile'!B$2:O2488,14,FALSE)</f>
        <v/>
      </c>
      <c r="R1178" s="472" t="str">
        <f t="array" ref="R1178">IF($Q1178, INDEX('Run Reconcile'!A$2:A2488,MATCH(B1178,'Run Reconcile'!B$2:B2488,0),1),IFERROR(0/0,""))</f>
        <v/>
      </c>
      <c r="S1178" s="473" t="str">
        <f t="shared" si="694"/>
        <v/>
      </c>
      <c r="T1178" s="473" t="str">
        <f t="shared" si="698"/>
        <v/>
      </c>
      <c r="U1178" s="275" t="str">
        <f t="array" ref="U1178">IF(ISBLANK($R1178), INDEX('Run Reconcile'!A$2:A2488, MATCH($B1178, 'Run Reconcile'!B$2:B2488, 0)+Z1178, 1), IFERROR(0/0,""))
</f>
        <v>RUN-FLMP_2022-05-02_RFR-122</v>
      </c>
      <c r="V1178" s="474" t="str">
        <f t="shared" si="5"/>
        <v>RUN-FLMP_2022-05-02_RFR-122</v>
      </c>
      <c r="Y1178" s="89" t="str">
        <f t="shared" si="867"/>
        <v/>
      </c>
      <c r="Z1178" s="60" t="str">
        <f t="shared" si="7"/>
        <v/>
      </c>
      <c r="AA1178" s="60" t="str">
        <f t="shared" si="8"/>
        <v/>
      </c>
      <c r="AB1178" s="60" t="str">
        <f t="shared" si="9"/>
        <v/>
      </c>
      <c r="AC1178" s="30" t="str">
        <f t="shared" ref="AC1178:AD1178" si="1534">IF(_xlfn.ISFORMULA(S1178),IFERROR(0/0,""),TRUE)</f>
        <v/>
      </c>
      <c r="AD1178" s="30" t="str">
        <f t="shared" si="1534"/>
        <v/>
      </c>
      <c r="AE1178" s="475" t="str">
        <f>IFERROR(__xludf.DUMMYFUNCTION("""COMPUTED_VALUE"""),"FLSP")</f>
        <v>FLSP</v>
      </c>
      <c r="AF1178" s="476"/>
      <c r="AG1178" s="474" t="s">
        <v>207</v>
      </c>
      <c r="AH1178" s="138" t="str">
        <f t="shared" si="11"/>
        <v/>
      </c>
    </row>
    <row r="1179">
      <c r="A1179" s="103" t="str">
        <f>IFERROR(__xludf.DUMMYFUNCTION("""COMPUTED_VALUE"""),"FLB4920")</f>
        <v>FLB4920</v>
      </c>
      <c r="B1179" s="468">
        <f>IFERROR(__xludf.DUMMYFUNCTION("""COMPUTED_VALUE"""),44683.0)</f>
        <v>44683</v>
      </c>
      <c r="C1179" s="469">
        <f>IFERROR(__xludf.DUMMYFUNCTION("""COMPUTED_VALUE"""),0.3877777777777778)</f>
        <v>0.3877777778</v>
      </c>
      <c r="D1179" s="103" t="str">
        <f>IFERROR(__xludf.DUMMYFUNCTION("""COMPUTED_VALUE"""),"SpFLMP120998")</f>
        <v>SpFLMP120998</v>
      </c>
      <c r="E1179" s="103"/>
      <c r="F1179" s="103"/>
      <c r="G1179" s="103" t="str">
        <f>IFERROR(__xludf.DUMMYFUNCTION("""COMPUTED_VALUE"""),"Negative")</f>
        <v>Negative</v>
      </c>
      <c r="H1179" s="131" t="str">
        <f>IFERROR(__xludf.DUMMYFUNCTION("""COMPUTED_VALUE"""),"Negative")</f>
        <v>Negative</v>
      </c>
      <c r="I1179" s="468">
        <f>IFERROR(__xludf.DUMMYFUNCTION("""COMPUTED_VALUE"""),44683.0)</f>
        <v>44683</v>
      </c>
      <c r="J1179" s="470">
        <f>IFERROR(__xludf.DUMMYFUNCTION("""COMPUTED_VALUE"""),0.433587962962963)</f>
        <v>0.433587963</v>
      </c>
      <c r="K1179" s="16"/>
      <c r="L1179" s="8"/>
      <c r="M1179" s="69"/>
      <c r="N1179" s="69">
        <f>IFERROR(__xludf.DUMMYFUNCTION("""COMPUTED_VALUE"""),1.0)</f>
        <v>1</v>
      </c>
      <c r="O1179" s="69" t="str">
        <f t="shared" si="3"/>
        <v/>
      </c>
      <c r="P1179" s="471">
        <f>IFERROR(__xludf.DUMMYFUNCTION("""COMPUTED_VALUE"""),0.0)</f>
        <v>0</v>
      </c>
      <c r="Q1179" s="274" t="str">
        <f>VLOOKUP($B1179,'Run Reconcile'!B$2:O2488,14,FALSE)</f>
        <v/>
      </c>
      <c r="R1179" s="472" t="str">
        <f t="array" ref="R1179">IF($Q1179, INDEX('Run Reconcile'!A$2:A2488,MATCH(B1179,'Run Reconcile'!B$2:B2488,0),1),IFERROR(0/0,""))</f>
        <v/>
      </c>
      <c r="S1179" s="473" t="str">
        <f t="shared" si="694"/>
        <v/>
      </c>
      <c r="T1179" s="473" t="str">
        <f t="shared" si="698"/>
        <v/>
      </c>
      <c r="U1179" s="275" t="str">
        <f t="array" ref="U1179">IF(ISBLANK($R1179), INDEX('Run Reconcile'!A$2:A2488, MATCH($B1179, 'Run Reconcile'!B$2:B2488, 0)+Z1179, 1), IFERROR(0/0,""))
</f>
        <v>RUN-FLMP_2022-05-02_RFR-122</v>
      </c>
      <c r="V1179" s="474" t="str">
        <f t="shared" si="5"/>
        <v>RUN-FLMP_2022-05-02_RFR-122</v>
      </c>
      <c r="Y1179" s="89" t="str">
        <f t="shared" si="867"/>
        <v/>
      </c>
      <c r="Z1179" s="60" t="str">
        <f t="shared" si="7"/>
        <v/>
      </c>
      <c r="AA1179" s="60" t="str">
        <f t="shared" si="8"/>
        <v/>
      </c>
      <c r="AB1179" s="60" t="str">
        <f t="shared" si="9"/>
        <v/>
      </c>
      <c r="AC1179" s="30" t="str">
        <f t="shared" ref="AC1179:AD1179" si="1535">IF(_xlfn.ISFORMULA(S1179),IFERROR(0/0,""),TRUE)</f>
        <v/>
      </c>
      <c r="AD1179" s="30" t="str">
        <f t="shared" si="1535"/>
        <v/>
      </c>
      <c r="AE1179" s="475" t="str">
        <f>IFERROR(__xludf.DUMMYFUNCTION("""COMPUTED_VALUE"""),"FLSP")</f>
        <v>FLSP</v>
      </c>
      <c r="AF1179" s="476"/>
      <c r="AG1179" s="474" t="s">
        <v>207</v>
      </c>
      <c r="AH1179" s="138" t="str">
        <f t="shared" si="11"/>
        <v/>
      </c>
    </row>
    <row r="1180">
      <c r="A1180" s="103" t="str">
        <f>IFERROR(__xludf.DUMMYFUNCTION("""COMPUTED_VALUE"""),"FLB4922")</f>
        <v>FLB4922</v>
      </c>
      <c r="B1180" s="468">
        <f>IFERROR(__xludf.DUMMYFUNCTION("""COMPUTED_VALUE"""),44683.0)</f>
        <v>44683</v>
      </c>
      <c r="C1180" s="469">
        <f>IFERROR(__xludf.DUMMYFUNCTION("""COMPUTED_VALUE"""),0.4149421296296296)</f>
        <v>0.4149421296</v>
      </c>
      <c r="D1180" s="103" t="str">
        <f>IFERROR(__xludf.DUMMYFUNCTION("""COMPUTED_VALUE"""),"SpFLMP496039")</f>
        <v>SpFLMP496039</v>
      </c>
      <c r="E1180" s="103"/>
      <c r="F1180" s="103"/>
      <c r="G1180" s="103" t="str">
        <f>IFERROR(__xludf.DUMMYFUNCTION("""COMPUTED_VALUE"""),"Negative")</f>
        <v>Negative</v>
      </c>
      <c r="H1180" s="131" t="str">
        <f>IFERROR(__xludf.DUMMYFUNCTION("""COMPUTED_VALUE"""),"Negative")</f>
        <v>Negative</v>
      </c>
      <c r="I1180" s="468">
        <f>IFERROR(__xludf.DUMMYFUNCTION("""COMPUTED_VALUE"""),44683.0)</f>
        <v>44683</v>
      </c>
      <c r="J1180" s="470">
        <f>IFERROR(__xludf.DUMMYFUNCTION("""COMPUTED_VALUE"""),0.433587962962963)</f>
        <v>0.433587963</v>
      </c>
      <c r="K1180" s="16"/>
      <c r="L1180" s="8"/>
      <c r="M1180" s="69"/>
      <c r="N1180" s="69">
        <f>IFERROR(__xludf.DUMMYFUNCTION("""COMPUTED_VALUE"""),1.0)</f>
        <v>1</v>
      </c>
      <c r="O1180" s="69" t="str">
        <f t="shared" si="3"/>
        <v/>
      </c>
      <c r="P1180" s="471">
        <f>IFERROR(__xludf.DUMMYFUNCTION("""COMPUTED_VALUE"""),0.0)</f>
        <v>0</v>
      </c>
      <c r="Q1180" s="274" t="str">
        <f>VLOOKUP($B1180,'Run Reconcile'!B$2:O2488,14,FALSE)</f>
        <v/>
      </c>
      <c r="R1180" s="472" t="str">
        <f t="array" ref="R1180">IF($Q1180, INDEX('Run Reconcile'!A$2:A2488,MATCH(B1180,'Run Reconcile'!B$2:B2488,0),1),IFERROR(0/0,""))</f>
        <v/>
      </c>
      <c r="S1180" s="473" t="str">
        <f t="shared" si="694"/>
        <v/>
      </c>
      <c r="T1180" s="473" t="str">
        <f t="shared" si="698"/>
        <v/>
      </c>
      <c r="U1180" s="275" t="str">
        <f t="array" ref="U1180">IF(ISBLANK($R1180), INDEX('Run Reconcile'!A$2:A2488, MATCH($B1180, 'Run Reconcile'!B$2:B2488, 0)+Z1180, 1), IFERROR(0/0,""))
</f>
        <v>RUN-FLMP_2022-05-02_RFR-122</v>
      </c>
      <c r="V1180" s="474" t="str">
        <f t="shared" si="5"/>
        <v>RUN-FLMP_2022-05-02_RFR-122</v>
      </c>
      <c r="Y1180" s="89" t="str">
        <f t="shared" si="867"/>
        <v/>
      </c>
      <c r="Z1180" s="60" t="str">
        <f t="shared" si="7"/>
        <v/>
      </c>
      <c r="AA1180" s="60" t="str">
        <f t="shared" si="8"/>
        <v/>
      </c>
      <c r="AB1180" s="60" t="str">
        <f t="shared" si="9"/>
        <v/>
      </c>
      <c r="AC1180" s="30" t="str">
        <f t="shared" ref="AC1180:AD1180" si="1536">IF(_xlfn.ISFORMULA(S1180),IFERROR(0/0,""),TRUE)</f>
        <v/>
      </c>
      <c r="AD1180" s="30" t="str">
        <f t="shared" si="1536"/>
        <v/>
      </c>
      <c r="AE1180" s="475" t="str">
        <f>IFERROR(__xludf.DUMMYFUNCTION("""COMPUTED_VALUE"""),"FLSP")</f>
        <v>FLSP</v>
      </c>
      <c r="AF1180" s="476"/>
      <c r="AG1180" s="474" t="s">
        <v>207</v>
      </c>
      <c r="AH1180" s="138" t="str">
        <f t="shared" si="11"/>
        <v/>
      </c>
    </row>
    <row r="1181">
      <c r="A1181" s="477" t="str">
        <f>IFERROR(__xludf.DUMMYFUNCTION("""COMPUTED_VALUE"""),"MA108")</f>
        <v>MA108</v>
      </c>
      <c r="B1181" s="478">
        <f>IFERROR(__xludf.DUMMYFUNCTION("""COMPUTED_VALUE"""),44683.0)</f>
        <v>44683</v>
      </c>
      <c r="C1181" s="479">
        <f>IFERROR(__xludf.DUMMYFUNCTION("""COMPUTED_VALUE"""),0.5416666666666666)</f>
        <v>0.5416666667</v>
      </c>
      <c r="D1181" s="477" t="str">
        <f>IFERROR(__xludf.DUMMYFUNCTION("""COMPUTED_VALUE"""),"SpFLMP659315")</f>
        <v>SpFLMP659315</v>
      </c>
      <c r="E1181" s="477"/>
      <c r="F1181" s="477"/>
      <c r="G1181" s="477" t="str">
        <f>IFERROR(__xludf.DUMMYFUNCTION("""COMPUTED_VALUE"""),"Positive")</f>
        <v>Positive</v>
      </c>
      <c r="H1181" s="480" t="str">
        <f>IFERROR(__xludf.DUMMYFUNCTION("""COMPUTED_VALUE"""),"Positive")</f>
        <v>Positive</v>
      </c>
      <c r="I1181" s="478">
        <f>IFERROR(__xludf.DUMMYFUNCTION("""COMPUTED_VALUE"""),44683.0)</f>
        <v>44683</v>
      </c>
      <c r="J1181" s="481">
        <f>IFERROR(__xludf.DUMMYFUNCTION("""COMPUTED_VALUE"""),0.5833333333333334)</f>
        <v>0.5833333333</v>
      </c>
      <c r="K1181" s="156"/>
      <c r="L1181" s="19"/>
      <c r="M1181" s="482"/>
      <c r="N1181" s="482">
        <f>IFERROR(__xludf.DUMMYFUNCTION("""COMPUTED_VALUE"""),1.0)</f>
        <v>1</v>
      </c>
      <c r="O1181" s="482" t="str">
        <f t="shared" si="3"/>
        <v/>
      </c>
      <c r="P1181" s="483">
        <f>IFERROR(__xludf.DUMMYFUNCTION("""COMPUTED_VALUE"""),0.0)</f>
        <v>0</v>
      </c>
      <c r="Q1181" s="352" t="str">
        <f>VLOOKUP($B1181,'Run Reconcile'!B$2:O2488,14,FALSE)</f>
        <v/>
      </c>
      <c r="R1181" s="484" t="str">
        <f t="array" ref="R1181">IF($Q1181, INDEX('Run Reconcile'!A$2:A2488,MATCH(B1181,'Run Reconcile'!B$2:B2488,0),1),IFERROR(0/0,""))</f>
        <v/>
      </c>
      <c r="S1181" s="485" t="str">
        <f t="shared" si="694"/>
        <v/>
      </c>
      <c r="T1181" s="485" t="b">
        <f t="shared" si="698"/>
        <v>1</v>
      </c>
      <c r="U1181" s="353" t="str">
        <f t="array" ref="U1181">IF(ISBLANK($R1181), INDEX('Run Reconcile'!A$2:A2488, MATCH($B1181, 'Run Reconcile'!B$2:B2488, 0)+Z1181, 1), IFERROR(0/0,""))
</f>
        <v>RUN-FLMP_2022-05-02_RFR-124</v>
      </c>
      <c r="V1181" s="486" t="str">
        <f t="shared" si="5"/>
        <v>RUN-FLMP_2022-05-02_RFR-124</v>
      </c>
      <c r="W1181" s="19"/>
      <c r="X1181" s="19" t="s">
        <v>1251</v>
      </c>
      <c r="Y1181" s="89">
        <f t="shared" si="867"/>
        <v>1</v>
      </c>
      <c r="Z1181" s="60">
        <f t="shared" si="7"/>
        <v>1</v>
      </c>
      <c r="AA1181" s="60" t="str">
        <f t="shared" si="8"/>
        <v/>
      </c>
      <c r="AB1181" s="60">
        <f t="shared" si="9"/>
        <v>1</v>
      </c>
      <c r="AC1181" s="158" t="str">
        <f t="shared" ref="AC1181:AD1181" si="1537">IF(_xlfn.ISFORMULA(S1181),IFERROR(0/0,""),TRUE)</f>
        <v/>
      </c>
      <c r="AD1181" s="158" t="str">
        <f t="shared" si="1537"/>
        <v/>
      </c>
      <c r="AE1181" s="488" t="str">
        <f>IFERROR(__xludf.DUMMYFUNCTION("""COMPUTED_VALUE"""),"CRLN")</f>
        <v>CRLN</v>
      </c>
      <c r="AF1181" s="489"/>
      <c r="AG1181" s="486" t="s">
        <v>208</v>
      </c>
      <c r="AH1181" s="138" t="str">
        <f t="shared" si="11"/>
        <v/>
      </c>
      <c r="AI1181" s="19"/>
      <c r="AJ1181" s="19"/>
      <c r="AK1181" s="19"/>
      <c r="AL1181" s="19"/>
      <c r="AM1181" s="19"/>
    </row>
    <row r="1182">
      <c r="A1182" s="103" t="str">
        <f>IFERROR(__xludf.DUMMYFUNCTION("""COMPUTED_VALUE"""),"MA57")</f>
        <v>MA57</v>
      </c>
      <c r="B1182" s="468">
        <f>IFERROR(__xludf.DUMMYFUNCTION("""COMPUTED_VALUE"""),44683.0)</f>
        <v>44683</v>
      </c>
      <c r="C1182" s="469">
        <f>IFERROR(__xludf.DUMMYFUNCTION("""COMPUTED_VALUE"""),0.5416666666666666)</f>
        <v>0.5416666667</v>
      </c>
      <c r="D1182" s="103" t="str">
        <f>IFERROR(__xludf.DUMMYFUNCTION("""COMPUTED_VALUE"""),"SpFLMP659315")</f>
        <v>SpFLMP659315</v>
      </c>
      <c r="E1182" s="103"/>
      <c r="F1182" s="103"/>
      <c r="G1182" s="103" t="str">
        <f>IFERROR(__xludf.DUMMYFUNCTION("""COMPUTED_VALUE"""),"Negative")</f>
        <v>Negative</v>
      </c>
      <c r="H1182" s="505" t="str">
        <f>IFERROR(__xludf.DUMMYFUNCTION("""COMPUTED_VALUE"""),"Negative")</f>
        <v>Negative</v>
      </c>
      <c r="I1182" s="468">
        <f>IFERROR(__xludf.DUMMYFUNCTION("""COMPUTED_VALUE"""),44683.0)</f>
        <v>44683</v>
      </c>
      <c r="J1182" s="470">
        <f>IFERROR(__xludf.DUMMYFUNCTION("""COMPUTED_VALUE"""),0.5833333333333334)</f>
        <v>0.5833333333</v>
      </c>
      <c r="K1182" s="16"/>
      <c r="L1182" s="8"/>
      <c r="M1182" s="69"/>
      <c r="N1182" s="69">
        <f>IFERROR(__xludf.DUMMYFUNCTION("""COMPUTED_VALUE"""),1.0)</f>
        <v>1</v>
      </c>
      <c r="O1182" s="69" t="str">
        <f t="shared" si="3"/>
        <v/>
      </c>
      <c r="P1182" s="471">
        <f>IFERROR(__xludf.DUMMYFUNCTION("""COMPUTED_VALUE"""),0.0)</f>
        <v>0</v>
      </c>
      <c r="Q1182" s="274" t="str">
        <f>VLOOKUP($B1182,'Run Reconcile'!B$2:O2488,14,FALSE)</f>
        <v/>
      </c>
      <c r="R1182" s="472" t="str">
        <f t="array" ref="R1182">IF($Q1182, INDEX('Run Reconcile'!A$2:A2488,MATCH(B1182,'Run Reconcile'!B$2:B2488,0),1),IFERROR(0/0,""))</f>
        <v/>
      </c>
      <c r="S1182" s="473" t="str">
        <f t="shared" si="694"/>
        <v/>
      </c>
      <c r="T1182" s="473" t="b">
        <f t="shared" si="698"/>
        <v>1</v>
      </c>
      <c r="U1182" s="275" t="str">
        <f t="array" ref="U1182">IF(ISBLANK($R1182), INDEX('Run Reconcile'!A$2:A2488, MATCH($B1182, 'Run Reconcile'!B$2:B2488, 0)+Z1182, 1), IFERROR(0/0,""))
</f>
        <v>RUN-FLMP_2022-05-02_RFR-124</v>
      </c>
      <c r="V1182" s="474" t="str">
        <f t="shared" si="5"/>
        <v>RUN-FLMP_2022-05-02_RFR-124</v>
      </c>
      <c r="X1182" s="8" t="s">
        <v>1248</v>
      </c>
      <c r="Y1182" s="89">
        <f t="shared" si="867"/>
        <v>1</v>
      </c>
      <c r="Z1182" s="60">
        <f t="shared" si="7"/>
        <v>1</v>
      </c>
      <c r="AA1182" s="60" t="str">
        <f t="shared" si="8"/>
        <v/>
      </c>
      <c r="AB1182" s="60">
        <f t="shared" si="9"/>
        <v>1</v>
      </c>
      <c r="AC1182" s="30" t="str">
        <f t="shared" ref="AC1182:AD1182" si="1538">IF(_xlfn.ISFORMULA(S1182),IFERROR(0/0,""),TRUE)</f>
        <v/>
      </c>
      <c r="AD1182" s="30" t="str">
        <f t="shared" si="1538"/>
        <v/>
      </c>
      <c r="AE1182" s="475" t="str">
        <f>IFERROR(__xludf.DUMMYFUNCTION("""COMPUTED_VALUE"""),"CRLN")</f>
        <v>CRLN</v>
      </c>
      <c r="AF1182" s="476"/>
      <c r="AG1182" s="474" t="s">
        <v>208</v>
      </c>
      <c r="AH1182" s="138" t="str">
        <f t="shared" si="11"/>
        <v/>
      </c>
    </row>
    <row r="1183">
      <c r="A1183" s="103" t="str">
        <f>IFERROR(__xludf.DUMMYFUNCTION("""COMPUTED_VALUE"""),"MA82")</f>
        <v>MA82</v>
      </c>
      <c r="B1183" s="468">
        <f>IFERROR(__xludf.DUMMYFUNCTION("""COMPUTED_VALUE"""),44683.0)</f>
        <v>44683</v>
      </c>
      <c r="C1183" s="469">
        <f>IFERROR(__xludf.DUMMYFUNCTION("""COMPUTED_VALUE"""),0.5416666666666666)</f>
        <v>0.5416666667</v>
      </c>
      <c r="D1183" s="103" t="str">
        <f>IFERROR(__xludf.DUMMYFUNCTION("""COMPUTED_VALUE"""),"SpFLMP659315")</f>
        <v>SpFLMP659315</v>
      </c>
      <c r="E1183" s="103"/>
      <c r="F1183" s="103"/>
      <c r="G1183" s="103" t="str">
        <f>IFERROR(__xludf.DUMMYFUNCTION("""COMPUTED_VALUE"""),"Negative")</f>
        <v>Negative</v>
      </c>
      <c r="H1183" s="131" t="str">
        <f>IFERROR(__xludf.DUMMYFUNCTION("""COMPUTED_VALUE"""),"Negative")</f>
        <v>Negative</v>
      </c>
      <c r="I1183" s="468">
        <f>IFERROR(__xludf.DUMMYFUNCTION("""COMPUTED_VALUE"""),44683.0)</f>
        <v>44683</v>
      </c>
      <c r="J1183" s="470">
        <f>IFERROR(__xludf.DUMMYFUNCTION("""COMPUTED_VALUE"""),0.5833333333333334)</f>
        <v>0.5833333333</v>
      </c>
      <c r="K1183" s="16"/>
      <c r="L1183" s="8"/>
      <c r="M1183" s="69"/>
      <c r="N1183" s="69">
        <f>IFERROR(__xludf.DUMMYFUNCTION("""COMPUTED_VALUE"""),1.0)</f>
        <v>1</v>
      </c>
      <c r="O1183" s="69" t="str">
        <f t="shared" si="3"/>
        <v/>
      </c>
      <c r="P1183" s="471">
        <f>IFERROR(__xludf.DUMMYFUNCTION("""COMPUTED_VALUE"""),0.0)</f>
        <v>0</v>
      </c>
      <c r="Q1183" s="274" t="str">
        <f>VLOOKUP($B1183,'Run Reconcile'!B$2:O2488,14,FALSE)</f>
        <v/>
      </c>
      <c r="R1183" s="472" t="str">
        <f t="array" ref="R1183">IF($Q1183, INDEX('Run Reconcile'!A$2:A2488,MATCH(B1183,'Run Reconcile'!B$2:B2488,0),1),IFERROR(0/0,""))</f>
        <v/>
      </c>
      <c r="S1183" s="473" t="str">
        <f t="shared" si="694"/>
        <v/>
      </c>
      <c r="T1183" s="473" t="b">
        <f t="shared" si="698"/>
        <v>1</v>
      </c>
      <c r="U1183" s="275" t="str">
        <f t="array" ref="U1183">IF(ISBLANK($R1183), INDEX('Run Reconcile'!A$2:A2488, MATCH($B1183, 'Run Reconcile'!B$2:B2488, 0)+Z1183, 1), IFERROR(0/0,""))
</f>
        <v>RUN-FLMP_2022-05-02_RFR-124</v>
      </c>
      <c r="V1183" s="474" t="str">
        <f t="shared" si="5"/>
        <v>RUN-FLMP_2022-05-02_RFR-124</v>
      </c>
      <c r="X1183" s="8" t="s">
        <v>1253</v>
      </c>
      <c r="Y1183" s="89">
        <f t="shared" si="867"/>
        <v>1</v>
      </c>
      <c r="Z1183" s="60">
        <f t="shared" si="7"/>
        <v>1</v>
      </c>
      <c r="AA1183" s="60" t="str">
        <f t="shared" si="8"/>
        <v/>
      </c>
      <c r="AB1183" s="60">
        <f t="shared" si="9"/>
        <v>1</v>
      </c>
      <c r="AC1183" s="30" t="str">
        <f t="shared" ref="AC1183:AD1183" si="1539">IF(_xlfn.ISFORMULA(S1183),IFERROR(0/0,""),TRUE)</f>
        <v/>
      </c>
      <c r="AD1183" s="30" t="str">
        <f t="shared" si="1539"/>
        <v/>
      </c>
      <c r="AE1183" s="475" t="str">
        <f>IFERROR(__xludf.DUMMYFUNCTION("""COMPUTED_VALUE"""),"CRLN")</f>
        <v>CRLN</v>
      </c>
      <c r="AF1183" s="476"/>
      <c r="AG1183" s="474" t="s">
        <v>208</v>
      </c>
      <c r="AH1183" s="138" t="str">
        <f t="shared" si="11"/>
        <v/>
      </c>
    </row>
    <row r="1184">
      <c r="A1184" s="459" t="str">
        <f>IFERROR(__xludf.DUMMYFUNCTION("""COMPUTED_VALUE"""),"MA100A")</f>
        <v>MA100A</v>
      </c>
      <c r="B1184" s="494">
        <f>IFERROR(__xludf.DUMMYFUNCTION("""COMPUTED_VALUE"""),44683.0)</f>
        <v>44683</v>
      </c>
      <c r="C1184" s="495">
        <f>IFERROR(__xludf.DUMMYFUNCTION("""COMPUTED_VALUE"""),0.7083333333333334)</f>
        <v>0.7083333333</v>
      </c>
      <c r="D1184" s="459" t="str">
        <f>IFERROR(__xludf.DUMMYFUNCTION("""COMPUTED_VALUE"""),"SpFLMP659315")</f>
        <v>SpFLMP659315</v>
      </c>
      <c r="E1184" s="459"/>
      <c r="F1184" s="459"/>
      <c r="G1184" s="459" t="str">
        <f>IFERROR(__xludf.DUMMYFUNCTION("""COMPUTED_VALUE"""),"Negative")</f>
        <v>Negative</v>
      </c>
      <c r="H1184" s="496" t="str">
        <f>IFERROR(__xludf.DUMMYFUNCTION("""COMPUTED_VALUE"""),"Negative")</f>
        <v>Negative</v>
      </c>
      <c r="I1184" s="494">
        <f>IFERROR(__xludf.DUMMYFUNCTION("""COMPUTED_VALUE"""),44683.0)</f>
        <v>44683</v>
      </c>
      <c r="J1184" s="497">
        <f>IFERROR(__xludf.DUMMYFUNCTION("""COMPUTED_VALUE"""),0.75)</f>
        <v>0.75</v>
      </c>
      <c r="K1184" s="16"/>
      <c r="L1184" s="8"/>
      <c r="M1184" s="69"/>
      <c r="N1184" s="69">
        <f>IFERROR(__xludf.DUMMYFUNCTION("""COMPUTED_VALUE"""),1.0)</f>
        <v>1</v>
      </c>
      <c r="O1184" s="69" t="str">
        <f t="shared" si="3"/>
        <v/>
      </c>
      <c r="P1184" s="471">
        <f>IFERROR(__xludf.DUMMYFUNCTION("""COMPUTED_VALUE"""),0.0)</f>
        <v>0</v>
      </c>
      <c r="Q1184" s="274" t="str">
        <f>VLOOKUP($B1184,'Run Reconcile'!B$2:O2488,14,FALSE)</f>
        <v/>
      </c>
      <c r="R1184" s="472" t="str">
        <f t="array" ref="R1184">IF($Q1184, INDEX('Run Reconcile'!A$2:A2488,MATCH(B1184,'Run Reconcile'!B$2:B2488,0),1),IFERROR(0/0,""))</f>
        <v/>
      </c>
      <c r="S1184" s="473" t="str">
        <f t="shared" si="694"/>
        <v/>
      </c>
      <c r="T1184" s="473" t="b">
        <f t="shared" si="698"/>
        <v>1</v>
      </c>
      <c r="U1184" s="491" t="str">
        <f t="array" ref="U1184">IF(ISBLANK($R1184), INDEX('Run Reconcile'!A$2:A2488, MATCH($B1184, 'Run Reconcile'!B$2:B2488, 0)+Z1184, 1), IFERROR(0/0,""))
</f>
        <v>RUN-FLMP_2022-05-02_RFR-125</v>
      </c>
      <c r="V1184" s="474" t="str">
        <f t="shared" si="5"/>
        <v>RUN-FLMP_2022-05-02_RFR-125</v>
      </c>
      <c r="X1184" s="8" t="s">
        <v>1483</v>
      </c>
      <c r="Y1184" s="21">
        <v>2.0</v>
      </c>
      <c r="Z1184" s="60">
        <f t="shared" si="7"/>
        <v>2</v>
      </c>
      <c r="AA1184" s="60" t="str">
        <f t="shared" si="8"/>
        <v/>
      </c>
      <c r="AB1184" s="60">
        <f t="shared" si="9"/>
        <v>2</v>
      </c>
      <c r="AC1184" s="30" t="str">
        <f t="shared" ref="AC1184:AD1184" si="1540">IF(_xlfn.ISFORMULA(S1184),IFERROR(0/0,""),TRUE)</f>
        <v/>
      </c>
      <c r="AD1184" s="30" t="str">
        <f t="shared" si="1540"/>
        <v/>
      </c>
      <c r="AE1184" s="475" t="str">
        <f>IFERROR(__xludf.DUMMYFUNCTION("""COMPUTED_VALUE"""),"CRLN")</f>
        <v>CRLN</v>
      </c>
      <c r="AF1184" s="476"/>
      <c r="AG1184" s="474" t="s">
        <v>209</v>
      </c>
      <c r="AH1184" s="138" t="str">
        <f t="shared" si="11"/>
        <v/>
      </c>
    </row>
    <row r="1185">
      <c r="A1185" s="477" t="str">
        <f>IFERROR(__xludf.DUMMYFUNCTION("""COMPUTED_VALUE"""),"AH315")</f>
        <v>AH315</v>
      </c>
      <c r="B1185" s="478">
        <f>IFERROR(__xludf.DUMMYFUNCTION("""COMPUTED_VALUE"""),44686.0)</f>
        <v>44686</v>
      </c>
      <c r="C1185" s="479">
        <f>IFERROR(__xludf.DUMMYFUNCTION("""COMPUTED_VALUE"""),0.25104166666666666)</f>
        <v>0.2510416667</v>
      </c>
      <c r="D1185" s="477" t="str">
        <f>IFERROR(__xludf.DUMMYFUNCTION("""COMPUTED_VALUE"""),"SpFLMP470379")</f>
        <v>SpFLMP470379</v>
      </c>
      <c r="E1185" s="477"/>
      <c r="F1185" s="477"/>
      <c r="G1185" s="477" t="str">
        <f>IFERROR(__xludf.DUMMYFUNCTION("""COMPUTED_VALUE"""),"Negative")</f>
        <v>Negative</v>
      </c>
      <c r="H1185" s="480" t="str">
        <f>IFERROR(__xludf.DUMMYFUNCTION("""COMPUTED_VALUE"""),"Negative")</f>
        <v>Negative</v>
      </c>
      <c r="I1185" s="478">
        <f>IFERROR(__xludf.DUMMYFUNCTION("""COMPUTED_VALUE"""),44686.0)</f>
        <v>44686</v>
      </c>
      <c r="J1185" s="481">
        <f>IFERROR(__xludf.DUMMYFUNCTION("""COMPUTED_VALUE"""),0.4570949074074074)</f>
        <v>0.4570949074</v>
      </c>
      <c r="K1185" s="156"/>
      <c r="L1185" s="19"/>
      <c r="M1185" s="482"/>
      <c r="N1185" s="482">
        <f>IFERROR(__xludf.DUMMYFUNCTION("""COMPUTED_VALUE"""),1.0)</f>
        <v>1</v>
      </c>
      <c r="O1185" s="482" t="b">
        <f t="shared" si="3"/>
        <v>1</v>
      </c>
      <c r="P1185" s="483">
        <f>IFERROR(__xludf.DUMMYFUNCTION("""COMPUTED_VALUE"""),0.0)</f>
        <v>0</v>
      </c>
      <c r="Q1185" s="352" t="str">
        <f>VLOOKUP($B1185,'Run Reconcile'!B$2:O2488,14,FALSE)</f>
        <v/>
      </c>
      <c r="R1185" s="484" t="str">
        <f t="array" ref="R1185">IF($Q1185, INDEX('Run Reconcile'!A$2:A2488,MATCH(B1185,'Run Reconcile'!B$2:B2488,0),1),IFERROR(0/0,""))</f>
        <v/>
      </c>
      <c r="S1185" s="485" t="str">
        <f t="shared" si="694"/>
        <v/>
      </c>
      <c r="T1185" s="485" t="str">
        <f t="shared" si="698"/>
        <v/>
      </c>
      <c r="U1185" s="353" t="str">
        <f t="array" ref="U1185">IF(ISBLANK($R1185), INDEX('Run Reconcile'!A$2:A2488, MATCH($B1185, 'Run Reconcile'!B$2:B2488, 0)+Z1185, 1), IFERROR(0/0,""))
</f>
        <v>RUN-FLMP_2022-05-05_RFR-126</v>
      </c>
      <c r="V1185" s="486" t="str">
        <f t="shared" si="5"/>
        <v>RUN-FLMP_2022-05-05_RFR-126</v>
      </c>
      <c r="W1185" s="19"/>
      <c r="X1185" s="19"/>
      <c r="Y1185" s="89" t="str">
        <f t="shared" ref="Y1185:Y1213" si="1542">IF(AND(ISBLANK(W1185),ISBLANK(X1185)),IFERROR(0/0,""),1)</f>
        <v/>
      </c>
      <c r="Z1185" s="60" t="str">
        <f t="shared" si="7"/>
        <v/>
      </c>
      <c r="AA1185" s="60" t="str">
        <f t="shared" si="8"/>
        <v/>
      </c>
      <c r="AB1185" s="60" t="str">
        <f t="shared" si="9"/>
        <v/>
      </c>
      <c r="AC1185" s="158" t="str">
        <f t="shared" ref="AC1185:AD1185" si="1541">IF(_xlfn.ISFORMULA(S1185),IFERROR(0/0,""),TRUE)</f>
        <v/>
      </c>
      <c r="AD1185" s="158" t="str">
        <f t="shared" si="1541"/>
        <v/>
      </c>
      <c r="AE1185" s="488" t="str">
        <f>IFERROR(__xludf.DUMMYFUNCTION("""COMPUTED_VALUE"""),"CRLN")</f>
        <v>CRLN</v>
      </c>
      <c r="AF1185" s="489"/>
      <c r="AG1185" s="486" t="s">
        <v>210</v>
      </c>
      <c r="AH1185" s="138" t="str">
        <f t="shared" si="11"/>
        <v/>
      </c>
      <c r="AI1185" s="19"/>
      <c r="AJ1185" s="19"/>
      <c r="AK1185" s="19"/>
      <c r="AL1185" s="19"/>
      <c r="AM1185" s="19"/>
    </row>
    <row r="1186">
      <c r="A1186" s="103" t="str">
        <f>IFERROR(__xludf.DUMMYFUNCTION("""COMPUTED_VALUE"""),"AG769")</f>
        <v>AG769</v>
      </c>
      <c r="B1186" s="468">
        <f>IFERROR(__xludf.DUMMYFUNCTION("""COMPUTED_VALUE"""),44686.0)</f>
        <v>44686</v>
      </c>
      <c r="C1186" s="469">
        <f>IFERROR(__xludf.DUMMYFUNCTION("""COMPUTED_VALUE"""),0.28711805555555553)</f>
        <v>0.2871180556</v>
      </c>
      <c r="D1186" s="103" t="str">
        <f>IFERROR(__xludf.DUMMYFUNCTION("""COMPUTED_VALUE"""),"SpFLMP268514")</f>
        <v>SpFLMP268514</v>
      </c>
      <c r="E1186" s="103"/>
      <c r="F1186" s="103"/>
      <c r="G1186" s="103" t="str">
        <f>IFERROR(__xludf.DUMMYFUNCTION("""COMPUTED_VALUE"""),"Negative")</f>
        <v>Negative</v>
      </c>
      <c r="H1186" s="131" t="str">
        <f>IFERROR(__xludf.DUMMYFUNCTION("""COMPUTED_VALUE"""),"Negative")</f>
        <v>Negative</v>
      </c>
      <c r="I1186" s="468">
        <f>IFERROR(__xludf.DUMMYFUNCTION("""COMPUTED_VALUE"""),44686.0)</f>
        <v>44686</v>
      </c>
      <c r="J1186" s="470">
        <f>IFERROR(__xludf.DUMMYFUNCTION("""COMPUTED_VALUE"""),0.4570949074074074)</f>
        <v>0.4570949074</v>
      </c>
      <c r="K1186" s="16"/>
      <c r="L1186" s="8"/>
      <c r="M1186" s="69"/>
      <c r="N1186" s="69">
        <f>IFERROR(__xludf.DUMMYFUNCTION("""COMPUTED_VALUE"""),1.0)</f>
        <v>1</v>
      </c>
      <c r="O1186" s="69" t="str">
        <f t="shared" si="3"/>
        <v/>
      </c>
      <c r="P1186" s="471">
        <f>IFERROR(__xludf.DUMMYFUNCTION("""COMPUTED_VALUE"""),0.0)</f>
        <v>0</v>
      </c>
      <c r="Q1186" s="274" t="str">
        <f>VLOOKUP($B1186,'Run Reconcile'!B$2:O2488,14,FALSE)</f>
        <v/>
      </c>
      <c r="R1186" s="472" t="str">
        <f t="array" ref="R1186">IF($Q1186, INDEX('Run Reconcile'!A$2:A2488,MATCH(B1186,'Run Reconcile'!B$2:B2488,0),1),IFERROR(0/0,""))</f>
        <v/>
      </c>
      <c r="S1186" s="473" t="str">
        <f t="shared" si="694"/>
        <v/>
      </c>
      <c r="T1186" s="473" t="str">
        <f t="shared" si="698"/>
        <v/>
      </c>
      <c r="U1186" s="275" t="str">
        <f t="array" ref="U1186">IF(ISBLANK($R1186), INDEX('Run Reconcile'!A$2:A2488, MATCH($B1186, 'Run Reconcile'!B$2:B2488, 0)+Z1186, 1), IFERROR(0/0,""))
</f>
        <v>RUN-FLMP_2022-05-05_RFR-126</v>
      </c>
      <c r="V1186" s="474" t="str">
        <f t="shared" si="5"/>
        <v>RUN-FLMP_2022-05-05_RFR-126</v>
      </c>
      <c r="Y1186" s="89" t="str">
        <f t="shared" si="1542"/>
        <v/>
      </c>
      <c r="Z1186" s="60" t="str">
        <f t="shared" si="7"/>
        <v/>
      </c>
      <c r="AA1186" s="60" t="str">
        <f t="shared" si="8"/>
        <v/>
      </c>
      <c r="AB1186" s="60" t="str">
        <f t="shared" si="9"/>
        <v/>
      </c>
      <c r="AC1186" s="30" t="str">
        <f t="shared" ref="AC1186:AD1186" si="1543">IF(_xlfn.ISFORMULA(S1186),IFERROR(0/0,""),TRUE)</f>
        <v/>
      </c>
      <c r="AD1186" s="30" t="str">
        <f t="shared" si="1543"/>
        <v/>
      </c>
      <c r="AE1186" s="475" t="str">
        <f>IFERROR(__xludf.DUMMYFUNCTION("""COMPUTED_VALUE"""),"CRLN")</f>
        <v>CRLN</v>
      </c>
      <c r="AF1186" s="476"/>
      <c r="AG1186" s="474" t="s">
        <v>210</v>
      </c>
      <c r="AH1186" s="138" t="str">
        <f t="shared" si="11"/>
        <v/>
      </c>
    </row>
    <row r="1187">
      <c r="A1187" s="103" t="str">
        <f>IFERROR(__xludf.DUMMYFUNCTION("""COMPUTED_VALUE"""),"FLE271")</f>
        <v>FLE271</v>
      </c>
      <c r="B1187" s="468">
        <f>IFERROR(__xludf.DUMMYFUNCTION("""COMPUTED_VALUE"""),44686.0)</f>
        <v>44686</v>
      </c>
      <c r="C1187" s="469">
        <f>IFERROR(__xludf.DUMMYFUNCTION("""COMPUTED_VALUE"""),0.29707175925925927)</f>
        <v>0.2970717593</v>
      </c>
      <c r="D1187" s="103" t="str">
        <f>IFERROR(__xludf.DUMMYFUNCTION("""COMPUTED_VALUE"""),"SpFLMP690282")</f>
        <v>SpFLMP690282</v>
      </c>
      <c r="E1187" s="103"/>
      <c r="F1187" s="103"/>
      <c r="G1187" s="103" t="str">
        <f>IFERROR(__xludf.DUMMYFUNCTION("""COMPUTED_VALUE"""),"Negative")</f>
        <v>Negative</v>
      </c>
      <c r="H1187" s="131" t="str">
        <f>IFERROR(__xludf.DUMMYFUNCTION("""COMPUTED_VALUE"""),"Negative")</f>
        <v>Negative</v>
      </c>
      <c r="I1187" s="468">
        <f>IFERROR(__xludf.DUMMYFUNCTION("""COMPUTED_VALUE"""),44686.0)</f>
        <v>44686</v>
      </c>
      <c r="J1187" s="470">
        <f>IFERROR(__xludf.DUMMYFUNCTION("""COMPUTED_VALUE"""),0.4570949074074074)</f>
        <v>0.4570949074</v>
      </c>
      <c r="K1187" s="16"/>
      <c r="L1187" s="8"/>
      <c r="M1187" s="69"/>
      <c r="N1187" s="69">
        <f>IFERROR(__xludf.DUMMYFUNCTION("""COMPUTED_VALUE"""),1.0)</f>
        <v>1</v>
      </c>
      <c r="O1187" s="69" t="str">
        <f t="shared" si="3"/>
        <v/>
      </c>
      <c r="P1187" s="471">
        <f>IFERROR(__xludf.DUMMYFUNCTION("""COMPUTED_VALUE"""),0.0)</f>
        <v>0</v>
      </c>
      <c r="Q1187" s="274" t="str">
        <f>VLOOKUP($B1187,'Run Reconcile'!B$2:O2488,14,FALSE)</f>
        <v/>
      </c>
      <c r="R1187" s="472" t="str">
        <f t="array" ref="R1187">IF($Q1187, INDEX('Run Reconcile'!A$2:A2488,MATCH(B1187,'Run Reconcile'!B$2:B2488,0),1),IFERROR(0/0,""))</f>
        <v/>
      </c>
      <c r="S1187" s="473" t="str">
        <f t="shared" si="694"/>
        <v/>
      </c>
      <c r="T1187" s="473" t="str">
        <f t="shared" si="698"/>
        <v/>
      </c>
      <c r="U1187" s="275" t="str">
        <f t="array" ref="U1187">IF(ISBLANK($R1187), INDEX('Run Reconcile'!A$2:A2488, MATCH($B1187, 'Run Reconcile'!B$2:B2488, 0)+Z1187, 1), IFERROR(0/0,""))
</f>
        <v>RUN-FLMP_2022-05-05_RFR-126</v>
      </c>
      <c r="V1187" s="474" t="str">
        <f t="shared" si="5"/>
        <v>RUN-FLMP_2022-05-05_RFR-126</v>
      </c>
      <c r="Y1187" s="89" t="str">
        <f t="shared" si="1542"/>
        <v/>
      </c>
      <c r="Z1187" s="60" t="str">
        <f t="shared" si="7"/>
        <v/>
      </c>
      <c r="AA1187" s="60" t="str">
        <f t="shared" si="8"/>
        <v/>
      </c>
      <c r="AB1187" s="60" t="str">
        <f t="shared" si="9"/>
        <v/>
      </c>
      <c r="AC1187" s="30" t="str">
        <f t="shared" ref="AC1187:AD1187" si="1544">IF(_xlfn.ISFORMULA(S1187),IFERROR(0/0,""),TRUE)</f>
        <v/>
      </c>
      <c r="AD1187" s="30" t="str">
        <f t="shared" si="1544"/>
        <v/>
      </c>
      <c r="AE1187" s="475" t="str">
        <f>IFERROR(__xludf.DUMMYFUNCTION("""COMPUTED_VALUE"""),"CRLN")</f>
        <v>CRLN</v>
      </c>
      <c r="AF1187" s="476"/>
      <c r="AG1187" s="474" t="s">
        <v>210</v>
      </c>
      <c r="AH1187" s="138" t="str">
        <f t="shared" si="11"/>
        <v/>
      </c>
    </row>
    <row r="1188">
      <c r="A1188" s="103" t="str">
        <f>IFERROR(__xludf.DUMMYFUNCTION("""COMPUTED_VALUE"""),"AH662")</f>
        <v>AH662</v>
      </c>
      <c r="B1188" s="468">
        <f>IFERROR(__xludf.DUMMYFUNCTION("""COMPUTED_VALUE"""),44686.0)</f>
        <v>44686</v>
      </c>
      <c r="C1188" s="469">
        <f>IFERROR(__xludf.DUMMYFUNCTION("""COMPUTED_VALUE"""),0.309375)</f>
        <v>0.309375</v>
      </c>
      <c r="D1188" s="103" t="str">
        <f>IFERROR(__xludf.DUMMYFUNCTION("""COMPUTED_VALUE"""),"SpFLMP604497")</f>
        <v>SpFLMP604497</v>
      </c>
      <c r="E1188" s="103"/>
      <c r="F1188" s="103"/>
      <c r="G1188" s="103" t="str">
        <f>IFERROR(__xludf.DUMMYFUNCTION("""COMPUTED_VALUE"""),"Negative")</f>
        <v>Negative</v>
      </c>
      <c r="H1188" s="131" t="str">
        <f>IFERROR(__xludf.DUMMYFUNCTION("""COMPUTED_VALUE"""),"Negative")</f>
        <v>Negative</v>
      </c>
      <c r="I1188" s="468">
        <f>IFERROR(__xludf.DUMMYFUNCTION("""COMPUTED_VALUE"""),44686.0)</f>
        <v>44686</v>
      </c>
      <c r="J1188" s="470">
        <f>IFERROR(__xludf.DUMMYFUNCTION("""COMPUTED_VALUE"""),0.4570949074074074)</f>
        <v>0.4570949074</v>
      </c>
      <c r="K1188" s="16"/>
      <c r="L1188" s="8"/>
      <c r="M1188" s="69"/>
      <c r="N1188" s="69">
        <f>IFERROR(__xludf.DUMMYFUNCTION("""COMPUTED_VALUE"""),3.0)</f>
        <v>3</v>
      </c>
      <c r="O1188" s="69" t="str">
        <f t="shared" si="3"/>
        <v/>
      </c>
      <c r="P1188" s="471">
        <f>IFERROR(__xludf.DUMMYFUNCTION("""COMPUTED_VALUE"""),0.0)</f>
        <v>0</v>
      </c>
      <c r="Q1188" s="274" t="str">
        <f>VLOOKUP($B1188,'Run Reconcile'!B$2:O2488,14,FALSE)</f>
        <v/>
      </c>
      <c r="R1188" s="472" t="str">
        <f t="array" ref="R1188">IF($Q1188, INDEX('Run Reconcile'!A$2:A2488,MATCH(B1188,'Run Reconcile'!B$2:B2488,0),1),IFERROR(0/0,""))</f>
        <v/>
      </c>
      <c r="S1188" s="473" t="str">
        <f t="shared" si="694"/>
        <v/>
      </c>
      <c r="T1188" s="473" t="str">
        <f t="shared" si="698"/>
        <v/>
      </c>
      <c r="U1188" s="275" t="str">
        <f t="array" ref="U1188">IF(ISBLANK($R1188), INDEX('Run Reconcile'!A$2:A2488, MATCH($B1188, 'Run Reconcile'!B$2:B2488, 0)+Z1188, 1), IFERROR(0/0,""))
</f>
        <v>RUN-FLMP_2022-05-05_RFR-126</v>
      </c>
      <c r="V1188" s="474" t="str">
        <f t="shared" si="5"/>
        <v>RUN-FLMP_2022-05-05_RFR-126</v>
      </c>
      <c r="Y1188" s="89" t="str">
        <f t="shared" si="1542"/>
        <v/>
      </c>
      <c r="Z1188" s="60" t="str">
        <f t="shared" si="7"/>
        <v/>
      </c>
      <c r="AA1188" s="60" t="str">
        <f t="shared" si="8"/>
        <v/>
      </c>
      <c r="AB1188" s="60" t="str">
        <f t="shared" si="9"/>
        <v/>
      </c>
      <c r="AC1188" s="30" t="str">
        <f t="shared" ref="AC1188:AD1188" si="1545">IF(_xlfn.ISFORMULA(S1188),IFERROR(0/0,""),TRUE)</f>
        <v/>
      </c>
      <c r="AD1188" s="30" t="str">
        <f t="shared" si="1545"/>
        <v/>
      </c>
      <c r="AE1188" s="475" t="str">
        <f>IFERROR(__xludf.DUMMYFUNCTION("""COMPUTED_VALUE"""),"CRLN")</f>
        <v>CRLN</v>
      </c>
      <c r="AF1188" s="476"/>
      <c r="AG1188" s="474" t="s">
        <v>210</v>
      </c>
      <c r="AH1188" s="138" t="str">
        <f t="shared" si="11"/>
        <v/>
      </c>
    </row>
    <row r="1189">
      <c r="A1189" s="498" t="str">
        <f>IFERROR(__xludf.DUMMYFUNCTION("""COMPUTED_VALUE"""),"AH294")</f>
        <v>AH294</v>
      </c>
      <c r="B1189" s="499">
        <f>IFERROR(__xludf.DUMMYFUNCTION("""COMPUTED_VALUE"""),44686.0)</f>
        <v>44686</v>
      </c>
      <c r="C1189" s="500">
        <f>IFERROR(__xludf.DUMMYFUNCTION("""COMPUTED_VALUE"""),0.30983796296296295)</f>
        <v>0.309837963</v>
      </c>
      <c r="D1189" s="498" t="str">
        <f>IFERROR(__xludf.DUMMYFUNCTION("""COMPUTED_VALUE"""),"SpFLMP965392")</f>
        <v>SpFLMP965392</v>
      </c>
      <c r="E1189" s="498"/>
      <c r="F1189" s="498"/>
      <c r="G1189" s="498" t="str">
        <f>IFERROR(__xludf.DUMMYFUNCTION("""COMPUTED_VALUE"""),"Negative")</f>
        <v>Negative</v>
      </c>
      <c r="H1189" s="501" t="str">
        <f>IFERROR(__xludf.DUMMYFUNCTION("""COMPUTED_VALUE"""),"Negative")</f>
        <v>Negative</v>
      </c>
      <c r="I1189" s="499">
        <f>IFERROR(__xludf.DUMMYFUNCTION("""COMPUTED_VALUE"""),44686.0)</f>
        <v>44686</v>
      </c>
      <c r="J1189" s="502">
        <f>IFERROR(__xludf.DUMMYFUNCTION("""COMPUTED_VALUE"""),0.4570949074074074)</f>
        <v>0.4570949074</v>
      </c>
      <c r="K1189" s="16"/>
      <c r="L1189" s="8"/>
      <c r="M1189" s="69"/>
      <c r="N1189" s="69">
        <f>IFERROR(__xludf.DUMMYFUNCTION("""COMPUTED_VALUE"""),4.0)</f>
        <v>4</v>
      </c>
      <c r="O1189" s="69" t="str">
        <f t="shared" si="3"/>
        <v/>
      </c>
      <c r="P1189" s="471">
        <f>IFERROR(__xludf.DUMMYFUNCTION("""COMPUTED_VALUE"""),0.0)</f>
        <v>0</v>
      </c>
      <c r="Q1189" s="274" t="str">
        <f>VLOOKUP($B1189,'Run Reconcile'!B$2:O2488,14,FALSE)</f>
        <v/>
      </c>
      <c r="R1189" s="472" t="str">
        <f t="array" ref="R1189">IF($Q1189, INDEX('Run Reconcile'!A$2:A2488,MATCH(B1189,'Run Reconcile'!B$2:B2488,0),1),IFERROR(0/0,""))</f>
        <v/>
      </c>
      <c r="S1189" s="473" t="str">
        <f t="shared" si="694"/>
        <v/>
      </c>
      <c r="T1189" s="473" t="str">
        <f t="shared" si="698"/>
        <v/>
      </c>
      <c r="U1189" s="275" t="str">
        <f t="array" ref="U1189">IF(ISBLANK($R1189), INDEX('Run Reconcile'!A$2:A2488, MATCH($B1189, 'Run Reconcile'!B$2:B2488, 0)+Z1189, 1), IFERROR(0/0,""))
</f>
        <v>RUN-FLMP_2022-05-05_RFR-126</v>
      </c>
      <c r="V1189" s="474" t="str">
        <f t="shared" si="5"/>
        <v>RUN-FLMP_2022-05-05_RFR-126</v>
      </c>
      <c r="Y1189" s="89" t="str">
        <f t="shared" si="1542"/>
        <v/>
      </c>
      <c r="Z1189" s="60" t="str">
        <f t="shared" si="7"/>
        <v/>
      </c>
      <c r="AA1189" s="60" t="str">
        <f t="shared" si="8"/>
        <v/>
      </c>
      <c r="AB1189" s="60" t="str">
        <f t="shared" si="9"/>
        <v/>
      </c>
      <c r="AC1189" s="30" t="str">
        <f t="shared" ref="AC1189:AD1189" si="1546">IF(_xlfn.ISFORMULA(S1189),IFERROR(0/0,""),TRUE)</f>
        <v/>
      </c>
      <c r="AD1189" s="30" t="str">
        <f t="shared" si="1546"/>
        <v/>
      </c>
      <c r="AE1189" s="475" t="str">
        <f>IFERROR(__xludf.DUMMYFUNCTION("""COMPUTED_VALUE"""),"CRLN")</f>
        <v>CRLN</v>
      </c>
      <c r="AF1189" s="476"/>
      <c r="AG1189" s="474" t="s">
        <v>210</v>
      </c>
      <c r="AH1189" s="138" t="str">
        <f t="shared" si="11"/>
        <v/>
      </c>
    </row>
    <row r="1190">
      <c r="A1190" s="103" t="str">
        <f>IFERROR(__xludf.DUMMYFUNCTION("""COMPUTED_VALUE"""),"AG4643")</f>
        <v>AG4643</v>
      </c>
      <c r="B1190" s="468">
        <f>IFERROR(__xludf.DUMMYFUNCTION("""COMPUTED_VALUE"""),44686.0)</f>
        <v>44686</v>
      </c>
      <c r="C1190" s="469">
        <f>IFERROR(__xludf.DUMMYFUNCTION("""COMPUTED_VALUE"""),0.31952546296296297)</f>
        <v>0.319525463</v>
      </c>
      <c r="D1190" s="103" t="str">
        <f>IFERROR(__xludf.DUMMYFUNCTION("""COMPUTED_VALUE"""),"SpFLMP259015")</f>
        <v>SpFLMP259015</v>
      </c>
      <c r="E1190" s="103"/>
      <c r="F1190" s="103"/>
      <c r="G1190" s="103" t="str">
        <f>IFERROR(__xludf.DUMMYFUNCTION("""COMPUTED_VALUE"""),"Negative")</f>
        <v>Negative</v>
      </c>
      <c r="H1190" s="131" t="str">
        <f>IFERROR(__xludf.DUMMYFUNCTION("""COMPUTED_VALUE"""),"Negative")</f>
        <v>Negative</v>
      </c>
      <c r="I1190" s="468">
        <f>IFERROR(__xludf.DUMMYFUNCTION("""COMPUTED_VALUE"""),44686.0)</f>
        <v>44686</v>
      </c>
      <c r="J1190" s="470">
        <f>IFERROR(__xludf.DUMMYFUNCTION("""COMPUTED_VALUE"""),0.4570949074074074)</f>
        <v>0.4570949074</v>
      </c>
      <c r="K1190" s="16"/>
      <c r="L1190" s="8"/>
      <c r="M1190" s="69"/>
      <c r="N1190" s="69">
        <f>IFERROR(__xludf.DUMMYFUNCTION("""COMPUTED_VALUE"""),3.0)</f>
        <v>3</v>
      </c>
      <c r="O1190" s="69" t="str">
        <f t="shared" si="3"/>
        <v/>
      </c>
      <c r="P1190" s="471">
        <f>IFERROR(__xludf.DUMMYFUNCTION("""COMPUTED_VALUE"""),0.0)</f>
        <v>0</v>
      </c>
      <c r="Q1190" s="274" t="str">
        <f>VLOOKUP($B1190,'Run Reconcile'!B$2:O2488,14,FALSE)</f>
        <v/>
      </c>
      <c r="R1190" s="472" t="str">
        <f t="array" ref="R1190">IF($Q1190, INDEX('Run Reconcile'!A$2:A2488,MATCH(B1190,'Run Reconcile'!B$2:B2488,0),1),IFERROR(0/0,""))</f>
        <v/>
      </c>
      <c r="S1190" s="473" t="str">
        <f t="shared" si="694"/>
        <v/>
      </c>
      <c r="T1190" s="473" t="str">
        <f t="shared" si="698"/>
        <v/>
      </c>
      <c r="U1190" s="275" t="str">
        <f t="array" ref="U1190">IF(ISBLANK($R1190), INDEX('Run Reconcile'!A$2:A2488, MATCH($B1190, 'Run Reconcile'!B$2:B2488, 0)+Z1190, 1), IFERROR(0/0,""))
</f>
        <v>RUN-FLMP_2022-05-05_RFR-126</v>
      </c>
      <c r="V1190" s="474" t="str">
        <f t="shared" si="5"/>
        <v>RUN-FLMP_2022-05-05_RFR-126</v>
      </c>
      <c r="Y1190" s="89" t="str">
        <f t="shared" si="1542"/>
        <v/>
      </c>
      <c r="Z1190" s="60" t="str">
        <f t="shared" si="7"/>
        <v/>
      </c>
      <c r="AA1190" s="60" t="str">
        <f t="shared" si="8"/>
        <v/>
      </c>
      <c r="AB1190" s="60" t="str">
        <f t="shared" si="9"/>
        <v/>
      </c>
      <c r="AC1190" s="30" t="str">
        <f t="shared" ref="AC1190:AD1190" si="1547">IF(_xlfn.ISFORMULA(S1190),IFERROR(0/0,""),TRUE)</f>
        <v/>
      </c>
      <c r="AD1190" s="30" t="str">
        <f t="shared" si="1547"/>
        <v/>
      </c>
      <c r="AE1190" s="475" t="str">
        <f>IFERROR(__xludf.DUMMYFUNCTION("""COMPUTED_VALUE"""),"CRLN")</f>
        <v>CRLN</v>
      </c>
      <c r="AF1190" s="476"/>
      <c r="AG1190" s="474" t="s">
        <v>210</v>
      </c>
      <c r="AH1190" s="138" t="str">
        <f t="shared" si="11"/>
        <v/>
      </c>
    </row>
    <row r="1191">
      <c r="A1191" s="103" t="str">
        <f>IFERROR(__xludf.DUMMYFUNCTION("""COMPUTED_VALUE"""),"AG998")</f>
        <v>AG998</v>
      </c>
      <c r="B1191" s="468">
        <f>IFERROR(__xludf.DUMMYFUNCTION("""COMPUTED_VALUE"""),44686.0)</f>
        <v>44686</v>
      </c>
      <c r="C1191" s="469">
        <f>IFERROR(__xludf.DUMMYFUNCTION("""COMPUTED_VALUE"""),0.32005787037037037)</f>
        <v>0.3200578704</v>
      </c>
      <c r="D1191" s="103" t="str">
        <f>IFERROR(__xludf.DUMMYFUNCTION("""COMPUTED_VALUE"""),"SpFLMP259015")</f>
        <v>SpFLMP259015</v>
      </c>
      <c r="E1191" s="103"/>
      <c r="F1191" s="103"/>
      <c r="G1191" s="103" t="str">
        <f>IFERROR(__xludf.DUMMYFUNCTION("""COMPUTED_VALUE"""),"Negative")</f>
        <v>Negative</v>
      </c>
      <c r="H1191" s="131" t="str">
        <f>IFERROR(__xludf.DUMMYFUNCTION("""COMPUTED_VALUE"""),"Negative")</f>
        <v>Negative</v>
      </c>
      <c r="I1191" s="468">
        <f>IFERROR(__xludf.DUMMYFUNCTION("""COMPUTED_VALUE"""),44686.0)</f>
        <v>44686</v>
      </c>
      <c r="J1191" s="470">
        <f>IFERROR(__xludf.DUMMYFUNCTION("""COMPUTED_VALUE"""),0.4570949074074074)</f>
        <v>0.4570949074</v>
      </c>
      <c r="K1191" s="16"/>
      <c r="L1191" s="8"/>
      <c r="M1191" s="69"/>
      <c r="N1191" s="69">
        <f>IFERROR(__xludf.DUMMYFUNCTION("""COMPUTED_VALUE"""),3.0)</f>
        <v>3</v>
      </c>
      <c r="O1191" s="69" t="str">
        <f t="shared" si="3"/>
        <v/>
      </c>
      <c r="P1191" s="471">
        <f>IFERROR(__xludf.DUMMYFUNCTION("""COMPUTED_VALUE"""),0.0)</f>
        <v>0</v>
      </c>
      <c r="Q1191" s="274" t="str">
        <f>VLOOKUP($B1191,'Run Reconcile'!B$2:O2488,14,FALSE)</f>
        <v/>
      </c>
      <c r="R1191" s="472" t="str">
        <f t="array" ref="R1191">IF($Q1191, INDEX('Run Reconcile'!A$2:A2488,MATCH(B1191,'Run Reconcile'!B$2:B2488,0),1),IFERROR(0/0,""))</f>
        <v/>
      </c>
      <c r="S1191" s="473" t="str">
        <f t="shared" si="694"/>
        <v/>
      </c>
      <c r="T1191" s="473" t="str">
        <f t="shared" si="698"/>
        <v/>
      </c>
      <c r="U1191" s="275" t="str">
        <f t="array" ref="U1191">IF(ISBLANK($R1191), INDEX('Run Reconcile'!A$2:A2488, MATCH($B1191, 'Run Reconcile'!B$2:B2488, 0)+Z1191, 1), IFERROR(0/0,""))
</f>
        <v>RUN-FLMP_2022-05-05_RFR-126</v>
      </c>
      <c r="V1191" s="474" t="str">
        <f t="shared" si="5"/>
        <v>RUN-FLMP_2022-05-05_RFR-126</v>
      </c>
      <c r="Y1191" s="89" t="str">
        <f t="shared" si="1542"/>
        <v/>
      </c>
      <c r="Z1191" s="60" t="str">
        <f t="shared" si="7"/>
        <v/>
      </c>
      <c r="AA1191" s="60" t="str">
        <f t="shared" si="8"/>
        <v/>
      </c>
      <c r="AB1191" s="60" t="str">
        <f t="shared" si="9"/>
        <v/>
      </c>
      <c r="AC1191" s="30" t="str">
        <f t="shared" ref="AC1191:AD1191" si="1548">IF(_xlfn.ISFORMULA(S1191),IFERROR(0/0,""),TRUE)</f>
        <v/>
      </c>
      <c r="AD1191" s="30" t="str">
        <f t="shared" si="1548"/>
        <v/>
      </c>
      <c r="AE1191" s="475" t="str">
        <f>IFERROR(__xludf.DUMMYFUNCTION("""COMPUTED_VALUE"""),"CRLN")</f>
        <v>CRLN</v>
      </c>
      <c r="AF1191" s="476"/>
      <c r="AG1191" s="474" t="s">
        <v>210</v>
      </c>
      <c r="AH1191" s="138" t="str">
        <f t="shared" si="11"/>
        <v/>
      </c>
    </row>
    <row r="1192">
      <c r="A1192" s="103" t="str">
        <f>IFERROR(__xludf.DUMMYFUNCTION("""COMPUTED_VALUE"""),"AJ9379")</f>
        <v>AJ9379</v>
      </c>
      <c r="B1192" s="468">
        <f>IFERROR(__xludf.DUMMYFUNCTION("""COMPUTED_VALUE"""),44686.0)</f>
        <v>44686</v>
      </c>
      <c r="C1192" s="469">
        <f>IFERROR(__xludf.DUMMYFUNCTION("""COMPUTED_VALUE"""),0.33523148148148146)</f>
        <v>0.3352314815</v>
      </c>
      <c r="D1192" s="103" t="str">
        <f>IFERROR(__xludf.DUMMYFUNCTION("""COMPUTED_VALUE"""),"SpFLMP683554")</f>
        <v>SpFLMP683554</v>
      </c>
      <c r="E1192" s="103"/>
      <c r="F1192" s="103"/>
      <c r="G1192" s="103" t="str">
        <f>IFERROR(__xludf.DUMMYFUNCTION("""COMPUTED_VALUE"""),"Negative")</f>
        <v>Negative</v>
      </c>
      <c r="H1192" s="131" t="str">
        <f>IFERROR(__xludf.DUMMYFUNCTION("""COMPUTED_VALUE"""),"Negative")</f>
        <v>Negative</v>
      </c>
      <c r="I1192" s="468">
        <f>IFERROR(__xludf.DUMMYFUNCTION("""COMPUTED_VALUE"""),44690.0)</f>
        <v>44690</v>
      </c>
      <c r="J1192" s="470">
        <f>IFERROR(__xludf.DUMMYFUNCTION("""COMPUTED_VALUE"""),0.5041898148148148)</f>
        <v>0.5041898148</v>
      </c>
      <c r="K1192" s="16"/>
      <c r="L1192" s="8"/>
      <c r="M1192" s="69"/>
      <c r="N1192" s="69">
        <f>IFERROR(__xludf.DUMMYFUNCTION("""COMPUTED_VALUE"""),1.0)</f>
        <v>1</v>
      </c>
      <c r="O1192" s="69" t="str">
        <f t="shared" si="3"/>
        <v/>
      </c>
      <c r="P1192" s="471">
        <f>IFERROR(__xludf.DUMMYFUNCTION("""COMPUTED_VALUE"""),4.0)</f>
        <v>4</v>
      </c>
      <c r="Q1192" s="274" t="str">
        <f>VLOOKUP($B1192,'Run Reconcile'!B$2:O2488,14,FALSE)</f>
        <v/>
      </c>
      <c r="R1192" s="472" t="str">
        <f t="array" ref="R1192">IF($Q1192, INDEX('Run Reconcile'!A$2:A2488,MATCH(B1192,'Run Reconcile'!B$2:B2488,0),1),IFERROR(0/0,""))</f>
        <v/>
      </c>
      <c r="S1192" s="473" t="str">
        <f t="shared" si="694"/>
        <v/>
      </c>
      <c r="T1192" s="473" t="str">
        <f t="shared" si="698"/>
        <v/>
      </c>
      <c r="U1192" s="275" t="str">
        <f t="array" ref="U1192">IF(ISBLANK($R1192), INDEX('Run Reconcile'!A$2:A2488, MATCH($B1192, 'Run Reconcile'!B$2:B2488, 0)+Z1192, 1), IFERROR(0/0,""))
</f>
        <v>RUN-FLMP_2022-05-05_RFR-126</v>
      </c>
      <c r="V1192" s="474" t="str">
        <f t="shared" si="5"/>
        <v>RUN-FLMP_2022-05-05_RFR-126</v>
      </c>
      <c r="Y1192" s="89" t="str">
        <f t="shared" si="1542"/>
        <v/>
      </c>
      <c r="Z1192" s="60" t="str">
        <f t="shared" si="7"/>
        <v/>
      </c>
      <c r="AA1192" s="60" t="str">
        <f t="shared" si="8"/>
        <v/>
      </c>
      <c r="AB1192" s="60" t="str">
        <f t="shared" si="9"/>
        <v/>
      </c>
      <c r="AC1192" s="30" t="str">
        <f t="shared" ref="AC1192:AD1192" si="1549">IF(_xlfn.ISFORMULA(S1192),IFERROR(0/0,""),TRUE)</f>
        <v/>
      </c>
      <c r="AD1192" s="30" t="str">
        <f t="shared" si="1549"/>
        <v/>
      </c>
      <c r="AE1192" s="475" t="str">
        <f>IFERROR(__xludf.DUMMYFUNCTION("""COMPUTED_VALUE"""),"CRLN")</f>
        <v>CRLN</v>
      </c>
      <c r="AF1192" s="476"/>
      <c r="AG1192" s="474" t="s">
        <v>210</v>
      </c>
      <c r="AH1192" s="138" t="str">
        <f t="shared" si="11"/>
        <v/>
      </c>
    </row>
    <row r="1193">
      <c r="A1193" s="103" t="str">
        <f>IFERROR(__xludf.DUMMYFUNCTION("""COMPUTED_VALUE"""),"FLB5393")</f>
        <v>FLB5393</v>
      </c>
      <c r="B1193" s="468">
        <f>IFERROR(__xludf.DUMMYFUNCTION("""COMPUTED_VALUE"""),44686.0)</f>
        <v>44686</v>
      </c>
      <c r="C1193" s="469">
        <f>IFERROR(__xludf.DUMMYFUNCTION("""COMPUTED_VALUE"""),0.3352777777777778)</f>
        <v>0.3352777778</v>
      </c>
      <c r="D1193" s="103" t="str">
        <f>IFERROR(__xludf.DUMMYFUNCTION("""COMPUTED_VALUE"""),"SpFLMP544731")</f>
        <v>SpFLMP544731</v>
      </c>
      <c r="E1193" s="103"/>
      <c r="F1193" s="103"/>
      <c r="G1193" s="103" t="str">
        <f>IFERROR(__xludf.DUMMYFUNCTION("""COMPUTED_VALUE"""),"Negative")</f>
        <v>Negative</v>
      </c>
      <c r="H1193" s="131" t="str">
        <f>IFERROR(__xludf.DUMMYFUNCTION("""COMPUTED_VALUE"""),"Negative")</f>
        <v>Negative</v>
      </c>
      <c r="I1193" s="468">
        <f>IFERROR(__xludf.DUMMYFUNCTION("""COMPUTED_VALUE"""),44686.0)</f>
        <v>44686</v>
      </c>
      <c r="J1193" s="470">
        <f>IFERROR(__xludf.DUMMYFUNCTION("""COMPUTED_VALUE"""),0.4570949074074074)</f>
        <v>0.4570949074</v>
      </c>
      <c r="K1193" s="16"/>
      <c r="L1193" s="8"/>
      <c r="M1193" s="69"/>
      <c r="N1193" s="69">
        <f>IFERROR(__xludf.DUMMYFUNCTION("""COMPUTED_VALUE"""),3.0)</f>
        <v>3</v>
      </c>
      <c r="O1193" s="69" t="str">
        <f t="shared" si="3"/>
        <v/>
      </c>
      <c r="P1193" s="471">
        <f>IFERROR(__xludf.DUMMYFUNCTION("""COMPUTED_VALUE"""),0.0)</f>
        <v>0</v>
      </c>
      <c r="Q1193" s="274" t="str">
        <f>VLOOKUP($B1193,'Run Reconcile'!B$2:O2488,14,FALSE)</f>
        <v/>
      </c>
      <c r="R1193" s="472" t="str">
        <f t="array" ref="R1193">IF($Q1193, INDEX('Run Reconcile'!A$2:A2488,MATCH(B1193,'Run Reconcile'!B$2:B2488,0),1),IFERROR(0/0,""))</f>
        <v/>
      </c>
      <c r="S1193" s="473" t="str">
        <f t="shared" si="694"/>
        <v/>
      </c>
      <c r="T1193" s="473" t="str">
        <f t="shared" si="698"/>
        <v/>
      </c>
      <c r="U1193" s="275" t="str">
        <f t="array" ref="U1193">IF(ISBLANK($R1193), INDEX('Run Reconcile'!A$2:A2488, MATCH($B1193, 'Run Reconcile'!B$2:B2488, 0)+Z1193, 1), IFERROR(0/0,""))
</f>
        <v>RUN-FLMP_2022-05-05_RFR-126</v>
      </c>
      <c r="V1193" s="474" t="str">
        <f t="shared" si="5"/>
        <v>RUN-FLMP_2022-05-05_RFR-126</v>
      </c>
      <c r="Y1193" s="89" t="str">
        <f t="shared" si="1542"/>
        <v/>
      </c>
      <c r="Z1193" s="60" t="str">
        <f t="shared" si="7"/>
        <v/>
      </c>
      <c r="AA1193" s="60" t="str">
        <f t="shared" si="8"/>
        <v/>
      </c>
      <c r="AB1193" s="60" t="str">
        <f t="shared" si="9"/>
        <v/>
      </c>
      <c r="AC1193" s="30" t="str">
        <f t="shared" ref="AC1193:AD1193" si="1550">IF(_xlfn.ISFORMULA(S1193),IFERROR(0/0,""),TRUE)</f>
        <v/>
      </c>
      <c r="AD1193" s="30" t="str">
        <f t="shared" si="1550"/>
        <v/>
      </c>
      <c r="AE1193" s="475" t="str">
        <f>IFERROR(__xludf.DUMMYFUNCTION("""COMPUTED_VALUE"""),"CRLN")</f>
        <v>CRLN</v>
      </c>
      <c r="AF1193" s="476"/>
      <c r="AG1193" s="474" t="s">
        <v>210</v>
      </c>
      <c r="AH1193" s="138" t="str">
        <f t="shared" si="11"/>
        <v/>
      </c>
    </row>
    <row r="1194">
      <c r="A1194" s="103" t="str">
        <f>IFERROR(__xludf.DUMMYFUNCTION("""COMPUTED_VALUE"""),"AH7262")</f>
        <v>AH7262</v>
      </c>
      <c r="B1194" s="468">
        <f>IFERROR(__xludf.DUMMYFUNCTION("""COMPUTED_VALUE"""),44686.0)</f>
        <v>44686</v>
      </c>
      <c r="C1194" s="469">
        <f>IFERROR(__xludf.DUMMYFUNCTION("""COMPUTED_VALUE"""),0.34028935185185183)</f>
        <v>0.3402893519</v>
      </c>
      <c r="D1194" s="103" t="str">
        <f>IFERROR(__xludf.DUMMYFUNCTION("""COMPUTED_VALUE"""),"SpFLMP314549")</f>
        <v>SpFLMP314549</v>
      </c>
      <c r="E1194" s="103"/>
      <c r="F1194" s="103"/>
      <c r="G1194" s="103" t="str">
        <f>IFERROR(__xludf.DUMMYFUNCTION("""COMPUTED_VALUE"""),"Negative")</f>
        <v>Negative</v>
      </c>
      <c r="H1194" s="131" t="str">
        <f>IFERROR(__xludf.DUMMYFUNCTION("""COMPUTED_VALUE"""),"Negative")</f>
        <v>Negative</v>
      </c>
      <c r="I1194" s="468">
        <f>IFERROR(__xludf.DUMMYFUNCTION("""COMPUTED_VALUE"""),44686.0)</f>
        <v>44686</v>
      </c>
      <c r="J1194" s="470">
        <f>IFERROR(__xludf.DUMMYFUNCTION("""COMPUTED_VALUE"""),0.4570949074074074)</f>
        <v>0.4570949074</v>
      </c>
      <c r="K1194" s="16"/>
      <c r="L1194" s="8"/>
      <c r="M1194" s="69"/>
      <c r="N1194" s="69">
        <f>IFERROR(__xludf.DUMMYFUNCTION("""COMPUTED_VALUE"""),1.0)</f>
        <v>1</v>
      </c>
      <c r="O1194" s="69" t="str">
        <f t="shared" si="3"/>
        <v/>
      </c>
      <c r="P1194" s="471">
        <f>IFERROR(__xludf.DUMMYFUNCTION("""COMPUTED_VALUE"""),0.0)</f>
        <v>0</v>
      </c>
      <c r="Q1194" s="274" t="str">
        <f>VLOOKUP($B1194,'Run Reconcile'!B$2:O2488,14,FALSE)</f>
        <v/>
      </c>
      <c r="R1194" s="472" t="str">
        <f t="array" ref="R1194">IF($Q1194, INDEX('Run Reconcile'!A$2:A2488,MATCH(B1194,'Run Reconcile'!B$2:B2488,0),1),IFERROR(0/0,""))</f>
        <v/>
      </c>
      <c r="S1194" s="473" t="str">
        <f t="shared" si="694"/>
        <v/>
      </c>
      <c r="T1194" s="473" t="str">
        <f t="shared" si="698"/>
        <v/>
      </c>
      <c r="U1194" s="275" t="str">
        <f t="array" ref="U1194">IF(ISBLANK($R1194), INDEX('Run Reconcile'!A$2:A2488, MATCH($B1194, 'Run Reconcile'!B$2:B2488, 0)+Z1194, 1), IFERROR(0/0,""))
</f>
        <v>RUN-FLMP_2022-05-05_RFR-126</v>
      </c>
      <c r="V1194" s="474" t="str">
        <f t="shared" si="5"/>
        <v>RUN-FLMP_2022-05-05_RFR-126</v>
      </c>
      <c r="Y1194" s="89" t="str">
        <f t="shared" si="1542"/>
        <v/>
      </c>
      <c r="Z1194" s="60" t="str">
        <f t="shared" si="7"/>
        <v/>
      </c>
      <c r="AA1194" s="60" t="str">
        <f t="shared" si="8"/>
        <v/>
      </c>
      <c r="AB1194" s="60" t="str">
        <f t="shared" si="9"/>
        <v/>
      </c>
      <c r="AC1194" s="30" t="str">
        <f t="shared" ref="AC1194:AD1194" si="1551">IF(_xlfn.ISFORMULA(S1194),IFERROR(0/0,""),TRUE)</f>
        <v/>
      </c>
      <c r="AD1194" s="30" t="str">
        <f t="shared" si="1551"/>
        <v/>
      </c>
      <c r="AE1194" s="475" t="str">
        <f>IFERROR(__xludf.DUMMYFUNCTION("""COMPUTED_VALUE"""),"CRLN")</f>
        <v>CRLN</v>
      </c>
      <c r="AF1194" s="476"/>
      <c r="AG1194" s="474" t="s">
        <v>210</v>
      </c>
      <c r="AH1194" s="138" t="str">
        <f t="shared" si="11"/>
        <v/>
      </c>
    </row>
    <row r="1195">
      <c r="A1195" s="103" t="str">
        <f>IFERROR(__xludf.DUMMYFUNCTION("""COMPUTED_VALUE"""),"AJ 7726")</f>
        <v>AJ 7726</v>
      </c>
      <c r="B1195" s="468">
        <f>IFERROR(__xludf.DUMMYFUNCTION("""COMPUTED_VALUE"""),44686.0)</f>
        <v>44686</v>
      </c>
      <c r="C1195" s="469">
        <f>IFERROR(__xludf.DUMMYFUNCTION("""COMPUTED_VALUE"""),0.3420486111111111)</f>
        <v>0.3420486111</v>
      </c>
      <c r="D1195" s="103" t="str">
        <f>IFERROR(__xludf.DUMMYFUNCTION("""COMPUTED_VALUE"""),"SpFLMP268514")</f>
        <v>SpFLMP268514</v>
      </c>
      <c r="E1195" s="103"/>
      <c r="F1195" s="103"/>
      <c r="G1195" s="103" t="str">
        <f>IFERROR(__xludf.DUMMYFUNCTION("""COMPUTED_VALUE"""),"Negative")</f>
        <v>Negative</v>
      </c>
      <c r="H1195" s="131" t="str">
        <f>IFERROR(__xludf.DUMMYFUNCTION("""COMPUTED_VALUE"""),"Negative")</f>
        <v>Negative</v>
      </c>
      <c r="I1195" s="468">
        <f>IFERROR(__xludf.DUMMYFUNCTION("""COMPUTED_VALUE"""),44686.0)</f>
        <v>44686</v>
      </c>
      <c r="J1195" s="470">
        <f>IFERROR(__xludf.DUMMYFUNCTION("""COMPUTED_VALUE"""),0.4570949074074074)</f>
        <v>0.4570949074</v>
      </c>
      <c r="K1195" s="16"/>
      <c r="L1195" s="8"/>
      <c r="M1195" s="69"/>
      <c r="N1195" s="69">
        <f>IFERROR(__xludf.DUMMYFUNCTION("""COMPUTED_VALUE"""),1.0)</f>
        <v>1</v>
      </c>
      <c r="O1195" s="69" t="str">
        <f t="shared" si="3"/>
        <v/>
      </c>
      <c r="P1195" s="471">
        <f>IFERROR(__xludf.DUMMYFUNCTION("""COMPUTED_VALUE"""),0.0)</f>
        <v>0</v>
      </c>
      <c r="Q1195" s="274" t="str">
        <f>VLOOKUP($B1195,'Run Reconcile'!B$2:O2488,14,FALSE)</f>
        <v/>
      </c>
      <c r="R1195" s="472" t="str">
        <f t="array" ref="R1195">IF($Q1195, INDEX('Run Reconcile'!A$2:A2488,MATCH(B1195,'Run Reconcile'!B$2:B2488,0),1),IFERROR(0/0,""))</f>
        <v/>
      </c>
      <c r="S1195" s="473" t="str">
        <f t="shared" si="694"/>
        <v/>
      </c>
      <c r="T1195" s="473" t="str">
        <f t="shared" si="698"/>
        <v/>
      </c>
      <c r="U1195" s="275" t="str">
        <f t="array" ref="U1195">IF(ISBLANK($R1195), INDEX('Run Reconcile'!A$2:A2488, MATCH($B1195, 'Run Reconcile'!B$2:B2488, 0)+Z1195, 1), IFERROR(0/0,""))
</f>
        <v>RUN-FLMP_2022-05-05_RFR-126</v>
      </c>
      <c r="V1195" s="474" t="str">
        <f t="shared" si="5"/>
        <v>RUN-FLMP_2022-05-05_RFR-126</v>
      </c>
      <c r="Y1195" s="89" t="str">
        <f t="shared" si="1542"/>
        <v/>
      </c>
      <c r="Z1195" s="60" t="str">
        <f t="shared" si="7"/>
        <v/>
      </c>
      <c r="AA1195" s="60" t="str">
        <f t="shared" si="8"/>
        <v/>
      </c>
      <c r="AB1195" s="60" t="str">
        <f t="shared" si="9"/>
        <v/>
      </c>
      <c r="AC1195" s="30" t="str">
        <f t="shared" ref="AC1195:AD1195" si="1552">IF(_xlfn.ISFORMULA(S1195),IFERROR(0/0,""),TRUE)</f>
        <v/>
      </c>
      <c r="AD1195" s="30" t="str">
        <f t="shared" si="1552"/>
        <v/>
      </c>
      <c r="AE1195" s="475" t="str">
        <f>IFERROR(__xludf.DUMMYFUNCTION("""COMPUTED_VALUE"""),"CRLN")</f>
        <v>CRLN</v>
      </c>
      <c r="AF1195" s="476"/>
      <c r="AG1195" s="474" t="s">
        <v>210</v>
      </c>
      <c r="AH1195" s="138" t="str">
        <f t="shared" si="11"/>
        <v/>
      </c>
    </row>
    <row r="1196">
      <c r="A1196" s="103" t="str">
        <f>IFERROR(__xludf.DUMMYFUNCTION("""COMPUTED_VALUE"""),"AH128")</f>
        <v>AH128</v>
      </c>
      <c r="B1196" s="468">
        <f>IFERROR(__xludf.DUMMYFUNCTION("""COMPUTED_VALUE"""),44686.0)</f>
        <v>44686</v>
      </c>
      <c r="C1196" s="469">
        <f>IFERROR(__xludf.DUMMYFUNCTION("""COMPUTED_VALUE"""),0.3529050925925926)</f>
        <v>0.3529050926</v>
      </c>
      <c r="D1196" s="103" t="str">
        <f>IFERROR(__xludf.DUMMYFUNCTION("""COMPUTED_VALUE"""),"SpFLMP600756")</f>
        <v>SpFLMP600756</v>
      </c>
      <c r="E1196" s="103"/>
      <c r="F1196" s="103"/>
      <c r="G1196" s="103" t="str">
        <f>IFERROR(__xludf.DUMMYFUNCTION("""COMPUTED_VALUE"""),"Negative")</f>
        <v>Negative</v>
      </c>
      <c r="H1196" s="131" t="str">
        <f>IFERROR(__xludf.DUMMYFUNCTION("""COMPUTED_VALUE"""),"Negative")</f>
        <v>Negative</v>
      </c>
      <c r="I1196" s="468">
        <f>IFERROR(__xludf.DUMMYFUNCTION("""COMPUTED_VALUE"""),44686.0)</f>
        <v>44686</v>
      </c>
      <c r="J1196" s="470">
        <f>IFERROR(__xludf.DUMMYFUNCTION("""COMPUTED_VALUE"""),0.4570949074074074)</f>
        <v>0.4570949074</v>
      </c>
      <c r="K1196" s="16"/>
      <c r="L1196" s="8"/>
      <c r="M1196" s="69"/>
      <c r="N1196" s="69">
        <f>IFERROR(__xludf.DUMMYFUNCTION("""COMPUTED_VALUE"""),2.0)</f>
        <v>2</v>
      </c>
      <c r="O1196" s="69" t="str">
        <f t="shared" si="3"/>
        <v/>
      </c>
      <c r="P1196" s="471">
        <f>IFERROR(__xludf.DUMMYFUNCTION("""COMPUTED_VALUE"""),0.0)</f>
        <v>0</v>
      </c>
      <c r="Q1196" s="274" t="str">
        <f>VLOOKUP($B1196,'Run Reconcile'!B$2:O2488,14,FALSE)</f>
        <v/>
      </c>
      <c r="R1196" s="472" t="str">
        <f t="array" ref="R1196">IF($Q1196, INDEX('Run Reconcile'!A$2:A2488,MATCH(B1196,'Run Reconcile'!B$2:B2488,0),1),IFERROR(0/0,""))</f>
        <v/>
      </c>
      <c r="S1196" s="473" t="str">
        <f t="shared" si="694"/>
        <v/>
      </c>
      <c r="T1196" s="473" t="str">
        <f t="shared" si="698"/>
        <v/>
      </c>
      <c r="U1196" s="275" t="str">
        <f t="array" ref="U1196">IF(ISBLANK($R1196), INDEX('Run Reconcile'!A$2:A2488, MATCH($B1196, 'Run Reconcile'!B$2:B2488, 0)+Z1196, 1), IFERROR(0/0,""))
</f>
        <v>RUN-FLMP_2022-05-05_RFR-126</v>
      </c>
      <c r="V1196" s="474" t="str">
        <f t="shared" si="5"/>
        <v>RUN-FLMP_2022-05-05_RFR-126</v>
      </c>
      <c r="Y1196" s="89" t="str">
        <f t="shared" si="1542"/>
        <v/>
      </c>
      <c r="Z1196" s="60" t="str">
        <f t="shared" si="7"/>
        <v/>
      </c>
      <c r="AA1196" s="60" t="str">
        <f t="shared" si="8"/>
        <v/>
      </c>
      <c r="AB1196" s="60" t="str">
        <f t="shared" si="9"/>
        <v/>
      </c>
      <c r="AC1196" s="30" t="str">
        <f t="shared" ref="AC1196:AD1196" si="1553">IF(_xlfn.ISFORMULA(S1196),IFERROR(0/0,""),TRUE)</f>
        <v/>
      </c>
      <c r="AD1196" s="30" t="str">
        <f t="shared" si="1553"/>
        <v/>
      </c>
      <c r="AE1196" s="475" t="str">
        <f>IFERROR(__xludf.DUMMYFUNCTION("""COMPUTED_VALUE"""),"CRLN")</f>
        <v>CRLN</v>
      </c>
      <c r="AF1196" s="476"/>
      <c r="AG1196" s="474" t="s">
        <v>210</v>
      </c>
      <c r="AH1196" s="138" t="str">
        <f t="shared" si="11"/>
        <v/>
      </c>
    </row>
    <row r="1197">
      <c r="A1197" s="103" t="str">
        <f>IFERROR(__xludf.DUMMYFUNCTION("""COMPUTED_VALUE"""),"AG267")</f>
        <v>AG267</v>
      </c>
      <c r="B1197" s="468">
        <f>IFERROR(__xludf.DUMMYFUNCTION("""COMPUTED_VALUE"""),44686.0)</f>
        <v>44686</v>
      </c>
      <c r="C1197" s="469">
        <f>IFERROR(__xludf.DUMMYFUNCTION("""COMPUTED_VALUE"""),0.3571412037037037)</f>
        <v>0.3571412037</v>
      </c>
      <c r="D1197" s="103" t="str">
        <f>IFERROR(__xludf.DUMMYFUNCTION("""COMPUTED_VALUE"""),"SpFLMP683385")</f>
        <v>SpFLMP683385</v>
      </c>
      <c r="E1197" s="103"/>
      <c r="F1197" s="103"/>
      <c r="G1197" s="103" t="str">
        <f>IFERROR(__xludf.DUMMYFUNCTION("""COMPUTED_VALUE"""),"Negative")</f>
        <v>Negative</v>
      </c>
      <c r="H1197" s="131" t="str">
        <f>IFERROR(__xludf.DUMMYFUNCTION("""COMPUTED_VALUE"""),"Negative")</f>
        <v>Negative</v>
      </c>
      <c r="I1197" s="468">
        <f>IFERROR(__xludf.DUMMYFUNCTION("""COMPUTED_VALUE"""),44686.0)</f>
        <v>44686</v>
      </c>
      <c r="J1197" s="470">
        <f>IFERROR(__xludf.DUMMYFUNCTION("""COMPUTED_VALUE"""),0.4570949074074074)</f>
        <v>0.4570949074</v>
      </c>
      <c r="K1197" s="16"/>
      <c r="L1197" s="8"/>
      <c r="M1197" s="69"/>
      <c r="N1197" s="69">
        <f>IFERROR(__xludf.DUMMYFUNCTION("""COMPUTED_VALUE"""),2.0)</f>
        <v>2</v>
      </c>
      <c r="O1197" s="69" t="str">
        <f t="shared" si="3"/>
        <v/>
      </c>
      <c r="P1197" s="471">
        <f>IFERROR(__xludf.DUMMYFUNCTION("""COMPUTED_VALUE"""),0.0)</f>
        <v>0</v>
      </c>
      <c r="Q1197" s="274" t="str">
        <f>VLOOKUP($B1197,'Run Reconcile'!B$2:O2488,14,FALSE)</f>
        <v/>
      </c>
      <c r="R1197" s="472" t="str">
        <f t="array" ref="R1197">IF($Q1197, INDEX('Run Reconcile'!A$2:A2488,MATCH(B1197,'Run Reconcile'!B$2:B2488,0),1),IFERROR(0/0,""))</f>
        <v/>
      </c>
      <c r="S1197" s="473" t="str">
        <f t="shared" si="694"/>
        <v/>
      </c>
      <c r="T1197" s="473" t="str">
        <f t="shared" si="698"/>
        <v/>
      </c>
      <c r="U1197" s="275" t="str">
        <f t="array" ref="U1197">IF(ISBLANK($R1197), INDEX('Run Reconcile'!A$2:A2488, MATCH($B1197, 'Run Reconcile'!B$2:B2488, 0)+Z1197, 1), IFERROR(0/0,""))
</f>
        <v>RUN-FLMP_2022-05-05_RFR-126</v>
      </c>
      <c r="V1197" s="474" t="str">
        <f t="shared" si="5"/>
        <v>RUN-FLMP_2022-05-05_RFR-126</v>
      </c>
      <c r="Y1197" s="89" t="str">
        <f t="shared" si="1542"/>
        <v/>
      </c>
      <c r="Z1197" s="60" t="str">
        <f t="shared" si="7"/>
        <v/>
      </c>
      <c r="AA1197" s="60" t="str">
        <f t="shared" si="8"/>
        <v/>
      </c>
      <c r="AB1197" s="60" t="str">
        <f t="shared" si="9"/>
        <v/>
      </c>
      <c r="AC1197" s="30" t="str">
        <f t="shared" ref="AC1197:AD1197" si="1554">IF(_xlfn.ISFORMULA(S1197),IFERROR(0/0,""),TRUE)</f>
        <v/>
      </c>
      <c r="AD1197" s="30" t="str">
        <f t="shared" si="1554"/>
        <v/>
      </c>
      <c r="AE1197" s="475" t="str">
        <f>IFERROR(__xludf.DUMMYFUNCTION("""COMPUTED_VALUE"""),"CRLN")</f>
        <v>CRLN</v>
      </c>
      <c r="AF1197" s="476"/>
      <c r="AG1197" s="474" t="s">
        <v>210</v>
      </c>
      <c r="AH1197" s="138" t="str">
        <f t="shared" si="11"/>
        <v/>
      </c>
    </row>
    <row r="1198">
      <c r="A1198" s="103" t="str">
        <f>IFERROR(__xludf.DUMMYFUNCTION("""COMPUTED_VALUE"""),"FLB6833")</f>
        <v>FLB6833</v>
      </c>
      <c r="B1198" s="468">
        <f>IFERROR(__xludf.DUMMYFUNCTION("""COMPUTED_VALUE"""),44686.0)</f>
        <v>44686</v>
      </c>
      <c r="C1198" s="469">
        <f>IFERROR(__xludf.DUMMYFUNCTION("""COMPUTED_VALUE"""),0.3579976851851852)</f>
        <v>0.3579976852</v>
      </c>
      <c r="D1198" s="103" t="str">
        <f>IFERROR(__xludf.DUMMYFUNCTION("""COMPUTED_VALUE"""),"SpFLMP939619")</f>
        <v>SpFLMP939619</v>
      </c>
      <c r="E1198" s="103"/>
      <c r="F1198" s="103"/>
      <c r="G1198" s="103" t="str">
        <f>IFERROR(__xludf.DUMMYFUNCTION("""COMPUTED_VALUE"""),"Negative")</f>
        <v>Negative</v>
      </c>
      <c r="H1198" s="131" t="str">
        <f>IFERROR(__xludf.DUMMYFUNCTION("""COMPUTED_VALUE"""),"Negative")</f>
        <v>Negative</v>
      </c>
      <c r="I1198" s="468">
        <f>IFERROR(__xludf.DUMMYFUNCTION("""COMPUTED_VALUE"""),44686.0)</f>
        <v>44686</v>
      </c>
      <c r="J1198" s="470">
        <f>IFERROR(__xludf.DUMMYFUNCTION("""COMPUTED_VALUE"""),0.4570949074074074)</f>
        <v>0.4570949074</v>
      </c>
      <c r="K1198" s="16"/>
      <c r="L1198" s="8"/>
      <c r="M1198" s="69"/>
      <c r="N1198" s="69">
        <f>IFERROR(__xludf.DUMMYFUNCTION("""COMPUTED_VALUE"""),1.0)</f>
        <v>1</v>
      </c>
      <c r="O1198" s="69" t="str">
        <f t="shared" si="3"/>
        <v/>
      </c>
      <c r="P1198" s="471">
        <f>IFERROR(__xludf.DUMMYFUNCTION("""COMPUTED_VALUE"""),0.0)</f>
        <v>0</v>
      </c>
      <c r="Q1198" s="274" t="str">
        <f>VLOOKUP($B1198,'Run Reconcile'!B$2:O2488,14,FALSE)</f>
        <v/>
      </c>
      <c r="R1198" s="472" t="str">
        <f t="array" ref="R1198">IF($Q1198, INDEX('Run Reconcile'!A$2:A2488,MATCH(B1198,'Run Reconcile'!B$2:B2488,0),1),IFERROR(0/0,""))</f>
        <v/>
      </c>
      <c r="S1198" s="473" t="str">
        <f t="shared" si="694"/>
        <v/>
      </c>
      <c r="T1198" s="473" t="str">
        <f t="shared" si="698"/>
        <v/>
      </c>
      <c r="U1198" s="275" t="str">
        <f t="array" ref="U1198">IF(ISBLANK($R1198), INDEX('Run Reconcile'!A$2:A2488, MATCH($B1198, 'Run Reconcile'!B$2:B2488, 0)+Z1198, 1), IFERROR(0/0,""))
</f>
        <v>RUN-FLMP_2022-05-05_RFR-126</v>
      </c>
      <c r="V1198" s="474" t="str">
        <f t="shared" si="5"/>
        <v>RUN-FLMP_2022-05-05_RFR-126</v>
      </c>
      <c r="Y1198" s="89" t="str">
        <f t="shared" si="1542"/>
        <v/>
      </c>
      <c r="Z1198" s="60" t="str">
        <f t="shared" si="7"/>
        <v/>
      </c>
      <c r="AA1198" s="60" t="str">
        <f t="shared" si="8"/>
        <v/>
      </c>
      <c r="AB1198" s="60" t="str">
        <f t="shared" si="9"/>
        <v/>
      </c>
      <c r="AC1198" s="30" t="str">
        <f t="shared" ref="AC1198:AD1198" si="1555">IF(_xlfn.ISFORMULA(S1198),IFERROR(0/0,""),TRUE)</f>
        <v/>
      </c>
      <c r="AD1198" s="30" t="str">
        <f t="shared" si="1555"/>
        <v/>
      </c>
      <c r="AE1198" s="475" t="str">
        <f>IFERROR(__xludf.DUMMYFUNCTION("""COMPUTED_VALUE"""),"CRLN")</f>
        <v>CRLN</v>
      </c>
      <c r="AF1198" s="476"/>
      <c r="AG1198" s="474" t="s">
        <v>210</v>
      </c>
      <c r="AH1198" s="138" t="str">
        <f t="shared" si="11"/>
        <v/>
      </c>
    </row>
    <row r="1199">
      <c r="A1199" s="103" t="str">
        <f>IFERROR(__xludf.DUMMYFUNCTION("""COMPUTED_VALUE"""),"AJ9852")</f>
        <v>AJ9852</v>
      </c>
      <c r="B1199" s="468">
        <f>IFERROR(__xludf.DUMMYFUNCTION("""COMPUTED_VALUE"""),44686.0)</f>
        <v>44686</v>
      </c>
      <c r="C1199" s="469">
        <f>IFERROR(__xludf.DUMMYFUNCTION("""COMPUTED_VALUE"""),0.36131944444444447)</f>
        <v>0.3613194444</v>
      </c>
      <c r="D1199" s="103" t="str">
        <f>IFERROR(__xludf.DUMMYFUNCTION("""COMPUTED_VALUE"""),"SpFLMP955438")</f>
        <v>SpFLMP955438</v>
      </c>
      <c r="E1199" s="103"/>
      <c r="F1199" s="103"/>
      <c r="G1199" s="103" t="str">
        <f>IFERROR(__xludf.DUMMYFUNCTION("""COMPUTED_VALUE"""),"Negative")</f>
        <v>Negative</v>
      </c>
      <c r="H1199" s="131" t="str">
        <f>IFERROR(__xludf.DUMMYFUNCTION("""COMPUTED_VALUE"""),"Negative")</f>
        <v>Negative</v>
      </c>
      <c r="I1199" s="468">
        <f>IFERROR(__xludf.DUMMYFUNCTION("""COMPUTED_VALUE"""),44686.0)</f>
        <v>44686</v>
      </c>
      <c r="J1199" s="470">
        <f>IFERROR(__xludf.DUMMYFUNCTION("""COMPUTED_VALUE"""),0.4571064814814815)</f>
        <v>0.4571064815</v>
      </c>
      <c r="K1199" s="16"/>
      <c r="L1199" s="8"/>
      <c r="M1199" s="69"/>
      <c r="N1199" s="69">
        <f>IFERROR(__xludf.DUMMYFUNCTION("""COMPUTED_VALUE"""),1.0)</f>
        <v>1</v>
      </c>
      <c r="O1199" s="69" t="str">
        <f t="shared" si="3"/>
        <v/>
      </c>
      <c r="P1199" s="471">
        <f>IFERROR(__xludf.DUMMYFUNCTION("""COMPUTED_VALUE"""),0.0)</f>
        <v>0</v>
      </c>
      <c r="Q1199" s="274" t="str">
        <f>VLOOKUP($B1199,'Run Reconcile'!B$2:O2488,14,FALSE)</f>
        <v/>
      </c>
      <c r="R1199" s="472" t="str">
        <f t="array" ref="R1199">IF($Q1199, INDEX('Run Reconcile'!A$2:A2488,MATCH(B1199,'Run Reconcile'!B$2:B2488,0),1),IFERROR(0/0,""))</f>
        <v/>
      </c>
      <c r="S1199" s="473" t="str">
        <f t="shared" si="694"/>
        <v/>
      </c>
      <c r="T1199" s="473" t="str">
        <f t="shared" si="698"/>
        <v/>
      </c>
      <c r="U1199" s="275" t="str">
        <f t="array" ref="U1199">IF(ISBLANK($R1199), INDEX('Run Reconcile'!A$2:A2488, MATCH($B1199, 'Run Reconcile'!B$2:B2488, 0)+Z1199, 1), IFERROR(0/0,""))
</f>
        <v>RUN-FLMP_2022-05-05_RFR-126</v>
      </c>
      <c r="V1199" s="474" t="str">
        <f t="shared" si="5"/>
        <v>RUN-FLMP_2022-05-05_RFR-126</v>
      </c>
      <c r="Y1199" s="89" t="str">
        <f t="shared" si="1542"/>
        <v/>
      </c>
      <c r="Z1199" s="60" t="str">
        <f t="shared" si="7"/>
        <v/>
      </c>
      <c r="AA1199" s="60" t="str">
        <f t="shared" si="8"/>
        <v/>
      </c>
      <c r="AB1199" s="60" t="str">
        <f t="shared" si="9"/>
        <v/>
      </c>
      <c r="AC1199" s="30" t="str">
        <f t="shared" ref="AC1199:AD1199" si="1556">IF(_xlfn.ISFORMULA(S1199),IFERROR(0/0,""),TRUE)</f>
        <v/>
      </c>
      <c r="AD1199" s="30" t="str">
        <f t="shared" si="1556"/>
        <v/>
      </c>
      <c r="AE1199" s="475" t="str">
        <f>IFERROR(__xludf.DUMMYFUNCTION("""COMPUTED_VALUE"""),"CRLN")</f>
        <v>CRLN</v>
      </c>
      <c r="AF1199" s="476"/>
      <c r="AG1199" s="474" t="s">
        <v>210</v>
      </c>
      <c r="AH1199" s="138" t="str">
        <f t="shared" si="11"/>
        <v/>
      </c>
    </row>
    <row r="1200">
      <c r="A1200" s="103" t="str">
        <f>IFERROR(__xludf.DUMMYFUNCTION("""COMPUTED_VALUE"""),"AJ5270")</f>
        <v>AJ5270</v>
      </c>
      <c r="B1200" s="468">
        <f>IFERROR(__xludf.DUMMYFUNCTION("""COMPUTED_VALUE"""),44686.0)</f>
        <v>44686</v>
      </c>
      <c r="C1200" s="469">
        <f>IFERROR(__xludf.DUMMYFUNCTION("""COMPUTED_VALUE"""),0.3637037037037037)</f>
        <v>0.3637037037</v>
      </c>
      <c r="D1200" s="103" t="str">
        <f>IFERROR(__xludf.DUMMYFUNCTION("""COMPUTED_VALUE"""),"SpFLMP271329")</f>
        <v>SpFLMP271329</v>
      </c>
      <c r="E1200" s="103"/>
      <c r="F1200" s="103"/>
      <c r="G1200" s="103" t="str">
        <f>IFERROR(__xludf.DUMMYFUNCTION("""COMPUTED_VALUE"""),"Negative")</f>
        <v>Negative</v>
      </c>
      <c r="H1200" s="131" t="str">
        <f>IFERROR(__xludf.DUMMYFUNCTION("""COMPUTED_VALUE"""),"Negative")</f>
        <v>Negative</v>
      </c>
      <c r="I1200" s="468">
        <f>IFERROR(__xludf.DUMMYFUNCTION("""COMPUTED_VALUE"""),44686.0)</f>
        <v>44686</v>
      </c>
      <c r="J1200" s="470">
        <f>IFERROR(__xludf.DUMMYFUNCTION("""COMPUTED_VALUE"""),0.4571064814814815)</f>
        <v>0.4571064815</v>
      </c>
      <c r="K1200" s="16"/>
      <c r="L1200" s="8"/>
      <c r="M1200" s="69"/>
      <c r="N1200" s="69">
        <f>IFERROR(__xludf.DUMMYFUNCTION("""COMPUTED_VALUE"""),1.0)</f>
        <v>1</v>
      </c>
      <c r="O1200" s="69" t="str">
        <f t="shared" si="3"/>
        <v/>
      </c>
      <c r="P1200" s="471">
        <f>IFERROR(__xludf.DUMMYFUNCTION("""COMPUTED_VALUE"""),0.0)</f>
        <v>0</v>
      </c>
      <c r="Q1200" s="274" t="str">
        <f>VLOOKUP($B1200,'Run Reconcile'!B$2:O2488,14,FALSE)</f>
        <v/>
      </c>
      <c r="R1200" s="472" t="str">
        <f t="array" ref="R1200">IF($Q1200, INDEX('Run Reconcile'!A$2:A2488,MATCH(B1200,'Run Reconcile'!B$2:B2488,0),1),IFERROR(0/0,""))</f>
        <v/>
      </c>
      <c r="S1200" s="473" t="str">
        <f t="shared" si="694"/>
        <v/>
      </c>
      <c r="T1200" s="473" t="str">
        <f t="shared" si="698"/>
        <v/>
      </c>
      <c r="U1200" s="275" t="str">
        <f t="array" ref="U1200">IF(ISBLANK($R1200), INDEX('Run Reconcile'!A$2:A2488, MATCH($B1200, 'Run Reconcile'!B$2:B2488, 0)+Z1200, 1), IFERROR(0/0,""))
</f>
        <v>RUN-FLMP_2022-05-05_RFR-126</v>
      </c>
      <c r="V1200" s="474" t="str">
        <f t="shared" si="5"/>
        <v>RUN-FLMP_2022-05-05_RFR-126</v>
      </c>
      <c r="Y1200" s="89" t="str">
        <f t="shared" si="1542"/>
        <v/>
      </c>
      <c r="Z1200" s="60" t="str">
        <f t="shared" si="7"/>
        <v/>
      </c>
      <c r="AA1200" s="60" t="str">
        <f t="shared" si="8"/>
        <v/>
      </c>
      <c r="AB1200" s="60" t="str">
        <f t="shared" si="9"/>
        <v/>
      </c>
      <c r="AC1200" s="30" t="str">
        <f t="shared" ref="AC1200:AD1200" si="1557">IF(_xlfn.ISFORMULA(S1200),IFERROR(0/0,""),TRUE)</f>
        <v/>
      </c>
      <c r="AD1200" s="30" t="str">
        <f t="shared" si="1557"/>
        <v/>
      </c>
      <c r="AE1200" s="475" t="str">
        <f>IFERROR(__xludf.DUMMYFUNCTION("""COMPUTED_VALUE"""),"CRLN")</f>
        <v>CRLN</v>
      </c>
      <c r="AF1200" s="476"/>
      <c r="AG1200" s="474" t="s">
        <v>210</v>
      </c>
      <c r="AH1200" s="138" t="str">
        <f t="shared" si="11"/>
        <v/>
      </c>
    </row>
    <row r="1201">
      <c r="A1201" s="103" t="str">
        <f>IFERROR(__xludf.DUMMYFUNCTION("""COMPUTED_VALUE"""),"AH609")</f>
        <v>AH609</v>
      </c>
      <c r="B1201" s="468">
        <f>IFERROR(__xludf.DUMMYFUNCTION("""COMPUTED_VALUE"""),44686.0)</f>
        <v>44686</v>
      </c>
      <c r="C1201" s="469">
        <f>IFERROR(__xludf.DUMMYFUNCTION("""COMPUTED_VALUE"""),0.3642824074074074)</f>
        <v>0.3642824074</v>
      </c>
      <c r="D1201" s="103" t="str">
        <f>IFERROR(__xludf.DUMMYFUNCTION("""COMPUTED_VALUE"""),"SpFLMP273885")</f>
        <v>SpFLMP273885</v>
      </c>
      <c r="E1201" s="103"/>
      <c r="F1201" s="103"/>
      <c r="G1201" s="103" t="str">
        <f>IFERROR(__xludf.DUMMYFUNCTION("""COMPUTED_VALUE"""),"Negative")</f>
        <v>Negative</v>
      </c>
      <c r="H1201" s="131" t="str">
        <f>IFERROR(__xludf.DUMMYFUNCTION("""COMPUTED_VALUE"""),"Negative")</f>
        <v>Negative</v>
      </c>
      <c r="I1201" s="468">
        <f>IFERROR(__xludf.DUMMYFUNCTION("""COMPUTED_VALUE"""),44686.0)</f>
        <v>44686</v>
      </c>
      <c r="J1201" s="470">
        <f>IFERROR(__xludf.DUMMYFUNCTION("""COMPUTED_VALUE"""),0.4571064814814815)</f>
        <v>0.4571064815</v>
      </c>
      <c r="K1201" s="16"/>
      <c r="L1201" s="8"/>
      <c r="M1201" s="69"/>
      <c r="N1201" s="69">
        <f>IFERROR(__xludf.DUMMYFUNCTION("""COMPUTED_VALUE"""),4.0)</f>
        <v>4</v>
      </c>
      <c r="O1201" s="69" t="str">
        <f t="shared" si="3"/>
        <v/>
      </c>
      <c r="P1201" s="471">
        <f>IFERROR(__xludf.DUMMYFUNCTION("""COMPUTED_VALUE"""),0.0)</f>
        <v>0</v>
      </c>
      <c r="Q1201" s="274" t="str">
        <f>VLOOKUP($B1201,'Run Reconcile'!B$2:O2488,14,FALSE)</f>
        <v/>
      </c>
      <c r="R1201" s="472" t="str">
        <f t="array" ref="R1201">IF($Q1201, INDEX('Run Reconcile'!A$2:A2488,MATCH(B1201,'Run Reconcile'!B$2:B2488,0),1),IFERROR(0/0,""))</f>
        <v/>
      </c>
      <c r="S1201" s="473" t="str">
        <f t="shared" si="694"/>
        <v/>
      </c>
      <c r="T1201" s="473" t="str">
        <f t="shared" si="698"/>
        <v/>
      </c>
      <c r="U1201" s="275" t="str">
        <f t="array" ref="U1201">IF(ISBLANK($R1201), INDEX('Run Reconcile'!A$2:A2488, MATCH($B1201, 'Run Reconcile'!B$2:B2488, 0)+Z1201, 1), IFERROR(0/0,""))
</f>
        <v>RUN-FLMP_2022-05-05_RFR-126</v>
      </c>
      <c r="V1201" s="474" t="str">
        <f t="shared" si="5"/>
        <v>RUN-FLMP_2022-05-05_RFR-126</v>
      </c>
      <c r="Y1201" s="89" t="str">
        <f t="shared" si="1542"/>
        <v/>
      </c>
      <c r="Z1201" s="60" t="str">
        <f t="shared" si="7"/>
        <v/>
      </c>
      <c r="AA1201" s="60" t="str">
        <f t="shared" si="8"/>
        <v/>
      </c>
      <c r="AB1201" s="60" t="str">
        <f t="shared" si="9"/>
        <v/>
      </c>
      <c r="AC1201" s="30" t="str">
        <f t="shared" ref="AC1201:AD1201" si="1558">IF(_xlfn.ISFORMULA(S1201),IFERROR(0/0,""),TRUE)</f>
        <v/>
      </c>
      <c r="AD1201" s="30" t="str">
        <f t="shared" si="1558"/>
        <v/>
      </c>
      <c r="AE1201" s="475" t="str">
        <f>IFERROR(__xludf.DUMMYFUNCTION("""COMPUTED_VALUE"""),"CRLN")</f>
        <v>CRLN</v>
      </c>
      <c r="AF1201" s="476"/>
      <c r="AG1201" s="474" t="s">
        <v>210</v>
      </c>
      <c r="AH1201" s="138" t="str">
        <f t="shared" si="11"/>
        <v/>
      </c>
    </row>
    <row r="1202">
      <c r="A1202" s="103" t="str">
        <f>IFERROR(__xludf.DUMMYFUNCTION("""COMPUTED_VALUE"""),"FLE957")</f>
        <v>FLE957</v>
      </c>
      <c r="B1202" s="468">
        <f>IFERROR(__xludf.DUMMYFUNCTION("""COMPUTED_VALUE"""),44686.0)</f>
        <v>44686</v>
      </c>
      <c r="C1202" s="469">
        <f>IFERROR(__xludf.DUMMYFUNCTION("""COMPUTED_VALUE"""),0.3658564814814815)</f>
        <v>0.3658564815</v>
      </c>
      <c r="D1202" s="103" t="str">
        <f>IFERROR(__xludf.DUMMYFUNCTION("""COMPUTED_VALUE"""),"SpFLMP684798")</f>
        <v>SpFLMP684798</v>
      </c>
      <c r="E1202" s="103"/>
      <c r="F1202" s="103"/>
      <c r="G1202" s="103" t="str">
        <f>IFERROR(__xludf.DUMMYFUNCTION("""COMPUTED_VALUE"""),"Negative")</f>
        <v>Negative</v>
      </c>
      <c r="H1202" s="131" t="str">
        <f>IFERROR(__xludf.DUMMYFUNCTION("""COMPUTED_VALUE"""),"Negative")</f>
        <v>Negative</v>
      </c>
      <c r="I1202" s="468">
        <f>IFERROR(__xludf.DUMMYFUNCTION("""COMPUTED_VALUE"""),44686.0)</f>
        <v>44686</v>
      </c>
      <c r="J1202" s="470">
        <f>IFERROR(__xludf.DUMMYFUNCTION("""COMPUTED_VALUE"""),0.4571064814814815)</f>
        <v>0.4571064815</v>
      </c>
      <c r="K1202" s="16"/>
      <c r="L1202" s="8"/>
      <c r="M1202" s="69"/>
      <c r="N1202" s="69">
        <f>IFERROR(__xludf.DUMMYFUNCTION("""COMPUTED_VALUE"""),4.0)</f>
        <v>4</v>
      </c>
      <c r="O1202" s="69" t="str">
        <f t="shared" si="3"/>
        <v/>
      </c>
      <c r="P1202" s="471">
        <f>IFERROR(__xludf.DUMMYFUNCTION("""COMPUTED_VALUE"""),0.0)</f>
        <v>0</v>
      </c>
      <c r="Q1202" s="274" t="str">
        <f>VLOOKUP($B1202,'Run Reconcile'!B$2:O2488,14,FALSE)</f>
        <v/>
      </c>
      <c r="R1202" s="472" t="str">
        <f t="array" ref="R1202">IF($Q1202, INDEX('Run Reconcile'!A$2:A2488,MATCH(B1202,'Run Reconcile'!B$2:B2488,0),1),IFERROR(0/0,""))</f>
        <v/>
      </c>
      <c r="S1202" s="473" t="str">
        <f t="shared" si="694"/>
        <v/>
      </c>
      <c r="T1202" s="473" t="str">
        <f t="shared" si="698"/>
        <v/>
      </c>
      <c r="U1202" s="275" t="str">
        <f t="array" ref="U1202">IF(ISBLANK($R1202), INDEX('Run Reconcile'!A$2:A2488, MATCH($B1202, 'Run Reconcile'!B$2:B2488, 0)+Z1202, 1), IFERROR(0/0,""))
</f>
        <v>RUN-FLMP_2022-05-05_RFR-126</v>
      </c>
      <c r="V1202" s="474" t="str">
        <f t="shared" si="5"/>
        <v>RUN-FLMP_2022-05-05_RFR-126</v>
      </c>
      <c r="Y1202" s="89" t="str">
        <f t="shared" si="1542"/>
        <v/>
      </c>
      <c r="Z1202" s="60" t="str">
        <f t="shared" si="7"/>
        <v/>
      </c>
      <c r="AA1202" s="60" t="str">
        <f t="shared" si="8"/>
        <v/>
      </c>
      <c r="AB1202" s="60" t="str">
        <f t="shared" si="9"/>
        <v/>
      </c>
      <c r="AC1202" s="30" t="str">
        <f t="shared" ref="AC1202:AD1202" si="1559">IF(_xlfn.ISFORMULA(S1202),IFERROR(0/0,""),TRUE)</f>
        <v/>
      </c>
      <c r="AD1202" s="30" t="str">
        <f t="shared" si="1559"/>
        <v/>
      </c>
      <c r="AE1202" s="475" t="str">
        <f>IFERROR(__xludf.DUMMYFUNCTION("""COMPUTED_VALUE"""),"CRLN")</f>
        <v>CRLN</v>
      </c>
      <c r="AF1202" s="476"/>
      <c r="AG1202" s="474" t="s">
        <v>210</v>
      </c>
      <c r="AH1202" s="138" t="str">
        <f t="shared" si="11"/>
        <v/>
      </c>
    </row>
    <row r="1203">
      <c r="A1203" s="103" t="str">
        <f>IFERROR(__xludf.DUMMYFUNCTION("""COMPUTED_VALUE"""),"AJ8077")</f>
        <v>AJ8077</v>
      </c>
      <c r="B1203" s="468">
        <f>IFERROR(__xludf.DUMMYFUNCTION("""COMPUTED_VALUE"""),44686.0)</f>
        <v>44686</v>
      </c>
      <c r="C1203" s="469">
        <f>IFERROR(__xludf.DUMMYFUNCTION("""COMPUTED_VALUE"""),0.36668981481481483)</f>
        <v>0.3666898148</v>
      </c>
      <c r="D1203" s="103" t="str">
        <f>IFERROR(__xludf.DUMMYFUNCTION("""COMPUTED_VALUE"""),"SpFLMP572444")</f>
        <v>SpFLMP572444</v>
      </c>
      <c r="E1203" s="103"/>
      <c r="F1203" s="103"/>
      <c r="G1203" s="103" t="str">
        <f>IFERROR(__xludf.DUMMYFUNCTION("""COMPUTED_VALUE"""),"Negative")</f>
        <v>Negative</v>
      </c>
      <c r="H1203" s="131" t="str">
        <f>IFERROR(__xludf.DUMMYFUNCTION("""COMPUTED_VALUE"""),"Negative")</f>
        <v>Negative</v>
      </c>
      <c r="I1203" s="468">
        <f>IFERROR(__xludf.DUMMYFUNCTION("""COMPUTED_VALUE"""),44686.0)</f>
        <v>44686</v>
      </c>
      <c r="J1203" s="470">
        <f>IFERROR(__xludf.DUMMYFUNCTION("""COMPUTED_VALUE"""),0.4571064814814815)</f>
        <v>0.4571064815</v>
      </c>
      <c r="K1203" s="16"/>
      <c r="L1203" s="8"/>
      <c r="M1203" s="69"/>
      <c r="N1203" s="69">
        <f>IFERROR(__xludf.DUMMYFUNCTION("""COMPUTED_VALUE"""),2.0)</f>
        <v>2</v>
      </c>
      <c r="O1203" s="69" t="str">
        <f t="shared" si="3"/>
        <v/>
      </c>
      <c r="P1203" s="471">
        <f>IFERROR(__xludf.DUMMYFUNCTION("""COMPUTED_VALUE"""),0.0)</f>
        <v>0</v>
      </c>
      <c r="Q1203" s="274" t="str">
        <f>VLOOKUP($B1203,'Run Reconcile'!B$2:O2488,14,FALSE)</f>
        <v/>
      </c>
      <c r="R1203" s="472" t="str">
        <f t="array" ref="R1203">IF($Q1203, INDEX('Run Reconcile'!A$2:A2488,MATCH(B1203,'Run Reconcile'!B$2:B2488,0),1),IFERROR(0/0,""))</f>
        <v/>
      </c>
      <c r="S1203" s="473" t="str">
        <f t="shared" si="694"/>
        <v/>
      </c>
      <c r="T1203" s="473" t="str">
        <f t="shared" si="698"/>
        <v/>
      </c>
      <c r="U1203" s="275" t="str">
        <f t="array" ref="U1203">IF(ISBLANK($R1203), INDEX('Run Reconcile'!A$2:A2488, MATCH($B1203, 'Run Reconcile'!B$2:B2488, 0)+Z1203, 1), IFERROR(0/0,""))
</f>
        <v>RUN-FLMP_2022-05-05_RFR-126</v>
      </c>
      <c r="V1203" s="474" t="str">
        <f t="shared" si="5"/>
        <v>RUN-FLMP_2022-05-05_RFR-126</v>
      </c>
      <c r="Y1203" s="89" t="str">
        <f t="shared" si="1542"/>
        <v/>
      </c>
      <c r="Z1203" s="60" t="str">
        <f t="shared" si="7"/>
        <v/>
      </c>
      <c r="AA1203" s="60" t="str">
        <f t="shared" si="8"/>
        <v/>
      </c>
      <c r="AB1203" s="60" t="str">
        <f t="shared" si="9"/>
        <v/>
      </c>
      <c r="AC1203" s="30" t="str">
        <f t="shared" ref="AC1203:AD1203" si="1560">IF(_xlfn.ISFORMULA(S1203),IFERROR(0/0,""),TRUE)</f>
        <v/>
      </c>
      <c r="AD1203" s="30" t="str">
        <f t="shared" si="1560"/>
        <v/>
      </c>
      <c r="AE1203" s="475" t="str">
        <f>IFERROR(__xludf.DUMMYFUNCTION("""COMPUTED_VALUE"""),"CRLN")</f>
        <v>CRLN</v>
      </c>
      <c r="AF1203" s="476"/>
      <c r="AG1203" s="474" t="s">
        <v>210</v>
      </c>
      <c r="AH1203" s="138" t="str">
        <f t="shared" si="11"/>
        <v/>
      </c>
    </row>
    <row r="1204">
      <c r="A1204" s="103" t="str">
        <f>IFERROR(__xludf.DUMMYFUNCTION("""COMPUTED_VALUE"""),"FLB5858")</f>
        <v>FLB5858</v>
      </c>
      <c r="B1204" s="468">
        <f>IFERROR(__xludf.DUMMYFUNCTION("""COMPUTED_VALUE"""),44686.0)</f>
        <v>44686</v>
      </c>
      <c r="C1204" s="469">
        <f>IFERROR(__xludf.DUMMYFUNCTION("""COMPUTED_VALUE"""),0.36810185185185185)</f>
        <v>0.3681018519</v>
      </c>
      <c r="D1204" s="103" t="str">
        <f>IFERROR(__xludf.DUMMYFUNCTION("""COMPUTED_VALUE"""),"SpFLMP496039")</f>
        <v>SpFLMP496039</v>
      </c>
      <c r="E1204" s="103"/>
      <c r="F1204" s="103"/>
      <c r="G1204" s="103" t="str">
        <f>IFERROR(__xludf.DUMMYFUNCTION("""COMPUTED_VALUE"""),"Negative")</f>
        <v>Negative</v>
      </c>
      <c r="H1204" s="131" t="str">
        <f>IFERROR(__xludf.DUMMYFUNCTION("""COMPUTED_VALUE"""),"Negative")</f>
        <v>Negative</v>
      </c>
      <c r="I1204" s="468">
        <f>IFERROR(__xludf.DUMMYFUNCTION("""COMPUTED_VALUE"""),44686.0)</f>
        <v>44686</v>
      </c>
      <c r="J1204" s="470">
        <f>IFERROR(__xludf.DUMMYFUNCTION("""COMPUTED_VALUE"""),0.4571064814814815)</f>
        <v>0.4571064815</v>
      </c>
      <c r="K1204" s="16"/>
      <c r="L1204" s="8"/>
      <c r="M1204" s="69"/>
      <c r="N1204" s="69">
        <f>IFERROR(__xludf.DUMMYFUNCTION("""COMPUTED_VALUE"""),1.0)</f>
        <v>1</v>
      </c>
      <c r="O1204" s="69" t="str">
        <f t="shared" si="3"/>
        <v/>
      </c>
      <c r="P1204" s="471">
        <f>IFERROR(__xludf.DUMMYFUNCTION("""COMPUTED_VALUE"""),0.0)</f>
        <v>0</v>
      </c>
      <c r="Q1204" s="274" t="str">
        <f>VLOOKUP($B1204,'Run Reconcile'!B$2:O2488,14,FALSE)</f>
        <v/>
      </c>
      <c r="R1204" s="472" t="str">
        <f t="array" ref="R1204">IF($Q1204, INDEX('Run Reconcile'!A$2:A2488,MATCH(B1204,'Run Reconcile'!B$2:B2488,0),1),IFERROR(0/0,""))</f>
        <v/>
      </c>
      <c r="S1204" s="473" t="str">
        <f t="shared" si="694"/>
        <v/>
      </c>
      <c r="T1204" s="473" t="str">
        <f t="shared" si="698"/>
        <v/>
      </c>
      <c r="U1204" s="275" t="str">
        <f t="array" ref="U1204">IF(ISBLANK($R1204), INDEX('Run Reconcile'!A$2:A2488, MATCH($B1204, 'Run Reconcile'!B$2:B2488, 0)+Z1204, 1), IFERROR(0/0,""))
</f>
        <v>RUN-FLMP_2022-05-05_RFR-126</v>
      </c>
      <c r="V1204" s="474" t="str">
        <f t="shared" si="5"/>
        <v>RUN-FLMP_2022-05-05_RFR-126</v>
      </c>
      <c r="Y1204" s="89" t="str">
        <f t="shared" si="1542"/>
        <v/>
      </c>
      <c r="Z1204" s="60" t="str">
        <f t="shared" si="7"/>
        <v/>
      </c>
      <c r="AA1204" s="60" t="str">
        <f t="shared" si="8"/>
        <v/>
      </c>
      <c r="AB1204" s="60" t="str">
        <f t="shared" si="9"/>
        <v/>
      </c>
      <c r="AC1204" s="30" t="str">
        <f t="shared" ref="AC1204:AD1204" si="1561">IF(_xlfn.ISFORMULA(S1204),IFERROR(0/0,""),TRUE)</f>
        <v/>
      </c>
      <c r="AD1204" s="30" t="str">
        <f t="shared" si="1561"/>
        <v/>
      </c>
      <c r="AE1204" s="475" t="str">
        <f>IFERROR(__xludf.DUMMYFUNCTION("""COMPUTED_VALUE"""),"FLSP")</f>
        <v>FLSP</v>
      </c>
      <c r="AF1204" s="476"/>
      <c r="AG1204" s="474" t="s">
        <v>210</v>
      </c>
      <c r="AH1204" s="138" t="str">
        <f t="shared" si="11"/>
        <v/>
      </c>
    </row>
    <row r="1205">
      <c r="A1205" s="103" t="str">
        <f>IFERROR(__xludf.DUMMYFUNCTION("""COMPUTED_VALUE"""),"FLB4934")</f>
        <v>FLB4934</v>
      </c>
      <c r="B1205" s="468">
        <f>IFERROR(__xludf.DUMMYFUNCTION("""COMPUTED_VALUE"""),44686.0)</f>
        <v>44686</v>
      </c>
      <c r="C1205" s="469">
        <f>IFERROR(__xludf.DUMMYFUNCTION("""COMPUTED_VALUE"""),0.3701388888888889)</f>
        <v>0.3701388889</v>
      </c>
      <c r="D1205" s="103" t="str">
        <f>IFERROR(__xludf.DUMMYFUNCTION("""COMPUTED_VALUE"""),"SpFLMP946259")</f>
        <v>SpFLMP946259</v>
      </c>
      <c r="E1205" s="103"/>
      <c r="F1205" s="103"/>
      <c r="G1205" s="103" t="str">
        <f>IFERROR(__xludf.DUMMYFUNCTION("""COMPUTED_VALUE"""),"Negative")</f>
        <v>Negative</v>
      </c>
      <c r="H1205" s="131" t="str">
        <f>IFERROR(__xludf.DUMMYFUNCTION("""COMPUTED_VALUE"""),"Negative")</f>
        <v>Negative</v>
      </c>
      <c r="I1205" s="468">
        <f>IFERROR(__xludf.DUMMYFUNCTION("""COMPUTED_VALUE"""),44686.0)</f>
        <v>44686</v>
      </c>
      <c r="J1205" s="470">
        <f>IFERROR(__xludf.DUMMYFUNCTION("""COMPUTED_VALUE"""),0.459525462962963)</f>
        <v>0.459525463</v>
      </c>
      <c r="K1205" s="16"/>
      <c r="L1205" s="8"/>
      <c r="M1205" s="69"/>
      <c r="N1205" s="69">
        <f>IFERROR(__xludf.DUMMYFUNCTION("""COMPUTED_VALUE"""),2.0)</f>
        <v>2</v>
      </c>
      <c r="O1205" s="69" t="str">
        <f t="shared" si="3"/>
        <v/>
      </c>
      <c r="P1205" s="471">
        <f>IFERROR(__xludf.DUMMYFUNCTION("""COMPUTED_VALUE"""),0.0)</f>
        <v>0</v>
      </c>
      <c r="Q1205" s="274" t="str">
        <f>VLOOKUP($B1205,'Run Reconcile'!B$2:O2488,14,FALSE)</f>
        <v/>
      </c>
      <c r="R1205" s="472" t="str">
        <f t="array" ref="R1205">IF($Q1205, INDEX('Run Reconcile'!A$2:A2488,MATCH(B1205,'Run Reconcile'!B$2:B2488,0),1),IFERROR(0/0,""))</f>
        <v/>
      </c>
      <c r="S1205" s="473" t="str">
        <f t="shared" si="694"/>
        <v/>
      </c>
      <c r="T1205" s="473" t="str">
        <f t="shared" si="698"/>
        <v/>
      </c>
      <c r="U1205" s="275" t="str">
        <f t="array" ref="U1205">IF(ISBLANK($R1205), INDEX('Run Reconcile'!A$2:A2488, MATCH($B1205, 'Run Reconcile'!B$2:B2488, 0)+Z1205, 1), IFERROR(0/0,""))
</f>
        <v>RUN-FLMP_2022-05-05_RFR-126</v>
      </c>
      <c r="V1205" s="474" t="str">
        <f t="shared" si="5"/>
        <v>RUN-FLMP_2022-05-05_RFR-126</v>
      </c>
      <c r="Y1205" s="89" t="str">
        <f t="shared" si="1542"/>
        <v/>
      </c>
      <c r="Z1205" s="60" t="str">
        <f t="shared" si="7"/>
        <v/>
      </c>
      <c r="AA1205" s="60" t="str">
        <f t="shared" si="8"/>
        <v/>
      </c>
      <c r="AB1205" s="60" t="str">
        <f t="shared" si="9"/>
        <v/>
      </c>
      <c r="AC1205" s="30" t="str">
        <f t="shared" ref="AC1205:AD1205" si="1562">IF(_xlfn.ISFORMULA(S1205),IFERROR(0/0,""),TRUE)</f>
        <v/>
      </c>
      <c r="AD1205" s="30" t="str">
        <f t="shared" si="1562"/>
        <v/>
      </c>
      <c r="AE1205" s="475" t="str">
        <f>IFERROR(__xludf.DUMMYFUNCTION("""COMPUTED_VALUE"""),"CRLN")</f>
        <v>CRLN</v>
      </c>
      <c r="AF1205" s="476"/>
      <c r="AG1205" s="474" t="s">
        <v>210</v>
      </c>
      <c r="AH1205" s="138" t="str">
        <f t="shared" si="11"/>
        <v/>
      </c>
    </row>
    <row r="1206">
      <c r="A1206" s="103" t="str">
        <f>IFERROR(__xludf.DUMMYFUNCTION("""COMPUTED_VALUE"""),"AK8024")</f>
        <v>AK8024</v>
      </c>
      <c r="B1206" s="468">
        <f>IFERROR(__xludf.DUMMYFUNCTION("""COMPUTED_VALUE"""),44686.0)</f>
        <v>44686</v>
      </c>
      <c r="C1206" s="469">
        <f>IFERROR(__xludf.DUMMYFUNCTION("""COMPUTED_VALUE"""),0.3742476851851852)</f>
        <v>0.3742476852</v>
      </c>
      <c r="D1206" s="103" t="str">
        <f>IFERROR(__xludf.DUMMYFUNCTION("""COMPUTED_VALUE"""),"SpFLMP596479")</f>
        <v>SpFLMP596479</v>
      </c>
      <c r="E1206" s="103"/>
      <c r="F1206" s="103"/>
      <c r="G1206" s="103" t="str">
        <f>IFERROR(__xludf.DUMMYFUNCTION("""COMPUTED_VALUE"""),"Negative")</f>
        <v>Negative</v>
      </c>
      <c r="H1206" s="131" t="str">
        <f>IFERROR(__xludf.DUMMYFUNCTION("""COMPUTED_VALUE"""),"Negative")</f>
        <v>Negative</v>
      </c>
      <c r="I1206" s="468">
        <f>IFERROR(__xludf.DUMMYFUNCTION("""COMPUTED_VALUE"""),44686.0)</f>
        <v>44686</v>
      </c>
      <c r="J1206" s="470">
        <f>IFERROR(__xludf.DUMMYFUNCTION("""COMPUTED_VALUE"""),0.4571064814814815)</f>
        <v>0.4571064815</v>
      </c>
      <c r="K1206" s="16"/>
      <c r="L1206" s="8"/>
      <c r="M1206" s="69"/>
      <c r="N1206" s="69">
        <f>IFERROR(__xludf.DUMMYFUNCTION("""COMPUTED_VALUE"""),3.0)</f>
        <v>3</v>
      </c>
      <c r="O1206" s="69" t="str">
        <f t="shared" si="3"/>
        <v/>
      </c>
      <c r="P1206" s="471">
        <f>IFERROR(__xludf.DUMMYFUNCTION("""COMPUTED_VALUE"""),0.0)</f>
        <v>0</v>
      </c>
      <c r="Q1206" s="274" t="str">
        <f>VLOOKUP($B1206,'Run Reconcile'!B$2:O2488,14,FALSE)</f>
        <v/>
      </c>
      <c r="R1206" s="472" t="str">
        <f t="array" ref="R1206">IF($Q1206, INDEX('Run Reconcile'!A$2:A2488,MATCH(B1206,'Run Reconcile'!B$2:B2488,0),1),IFERROR(0/0,""))</f>
        <v/>
      </c>
      <c r="S1206" s="473" t="str">
        <f t="shared" si="694"/>
        <v/>
      </c>
      <c r="T1206" s="473" t="str">
        <f t="shared" si="698"/>
        <v/>
      </c>
      <c r="U1206" s="275" t="str">
        <f t="array" ref="U1206">IF(ISBLANK($R1206), INDEX('Run Reconcile'!A$2:A2488, MATCH($B1206, 'Run Reconcile'!B$2:B2488, 0)+Z1206, 1), IFERROR(0/0,""))
</f>
        <v>RUN-FLMP_2022-05-05_RFR-126</v>
      </c>
      <c r="V1206" s="474" t="str">
        <f t="shared" si="5"/>
        <v>RUN-FLMP_2022-05-05_RFR-126</v>
      </c>
      <c r="Y1206" s="89" t="str">
        <f t="shared" si="1542"/>
        <v/>
      </c>
      <c r="Z1206" s="60" t="str">
        <f t="shared" si="7"/>
        <v/>
      </c>
      <c r="AA1206" s="60" t="str">
        <f t="shared" si="8"/>
        <v/>
      </c>
      <c r="AB1206" s="60" t="str">
        <f t="shared" si="9"/>
        <v/>
      </c>
      <c r="AC1206" s="30" t="str">
        <f t="shared" ref="AC1206:AD1206" si="1563">IF(_xlfn.ISFORMULA(S1206),IFERROR(0/0,""),TRUE)</f>
        <v/>
      </c>
      <c r="AD1206" s="30" t="str">
        <f t="shared" si="1563"/>
        <v/>
      </c>
      <c r="AE1206" s="475" t="str">
        <f>IFERROR(__xludf.DUMMYFUNCTION("""COMPUTED_VALUE"""),"CRLN")</f>
        <v>CRLN</v>
      </c>
      <c r="AF1206" s="476"/>
      <c r="AG1206" s="474" t="s">
        <v>210</v>
      </c>
      <c r="AH1206" s="138" t="str">
        <f t="shared" si="11"/>
        <v/>
      </c>
    </row>
    <row r="1207">
      <c r="A1207" s="103" t="str">
        <f>IFERROR(__xludf.DUMMYFUNCTION("""COMPUTED_VALUE"""),"FLE282")</f>
        <v>FLE282</v>
      </c>
      <c r="B1207" s="468">
        <f>IFERROR(__xludf.DUMMYFUNCTION("""COMPUTED_VALUE"""),44686.0)</f>
        <v>44686</v>
      </c>
      <c r="C1207" s="469">
        <f>IFERROR(__xludf.DUMMYFUNCTION("""COMPUTED_VALUE"""),0.38074074074074077)</f>
        <v>0.3807407407</v>
      </c>
      <c r="D1207" s="103" t="str">
        <f>IFERROR(__xludf.DUMMYFUNCTION("""COMPUTED_VALUE"""),"SpFLMP870846")</f>
        <v>SpFLMP870846</v>
      </c>
      <c r="E1207" s="103"/>
      <c r="F1207" s="103"/>
      <c r="G1207" s="103" t="str">
        <f>IFERROR(__xludf.DUMMYFUNCTION("""COMPUTED_VALUE"""),"Negative")</f>
        <v>Negative</v>
      </c>
      <c r="H1207" s="131" t="str">
        <f>IFERROR(__xludf.DUMMYFUNCTION("""COMPUTED_VALUE"""),"Negative")</f>
        <v>Negative</v>
      </c>
      <c r="I1207" s="468">
        <f>IFERROR(__xludf.DUMMYFUNCTION("""COMPUTED_VALUE"""),44686.0)</f>
        <v>44686</v>
      </c>
      <c r="J1207" s="470">
        <f>IFERROR(__xludf.DUMMYFUNCTION("""COMPUTED_VALUE"""),0.4571064814814815)</f>
        <v>0.4571064815</v>
      </c>
      <c r="K1207" s="16"/>
      <c r="L1207" s="8"/>
      <c r="M1207" s="69"/>
      <c r="N1207" s="69">
        <f>IFERROR(__xludf.DUMMYFUNCTION("""COMPUTED_VALUE"""),1.0)</f>
        <v>1</v>
      </c>
      <c r="O1207" s="69" t="str">
        <f t="shared" si="3"/>
        <v/>
      </c>
      <c r="P1207" s="471">
        <f>IFERROR(__xludf.DUMMYFUNCTION("""COMPUTED_VALUE"""),0.0)</f>
        <v>0</v>
      </c>
      <c r="Q1207" s="274" t="str">
        <f>VLOOKUP($B1207,'Run Reconcile'!B$2:O2488,14,FALSE)</f>
        <v/>
      </c>
      <c r="R1207" s="472" t="str">
        <f t="array" ref="R1207">IF($Q1207, INDEX('Run Reconcile'!A$2:A2488,MATCH(B1207,'Run Reconcile'!B$2:B2488,0),1),IFERROR(0/0,""))</f>
        <v/>
      </c>
      <c r="S1207" s="473" t="str">
        <f t="shared" si="694"/>
        <v/>
      </c>
      <c r="T1207" s="473" t="str">
        <f t="shared" si="698"/>
        <v/>
      </c>
      <c r="U1207" s="275" t="str">
        <f t="array" ref="U1207">IF(ISBLANK($R1207), INDEX('Run Reconcile'!A$2:A2488, MATCH($B1207, 'Run Reconcile'!B$2:B2488, 0)+Z1207, 1), IFERROR(0/0,""))
</f>
        <v>RUN-FLMP_2022-05-05_RFR-126</v>
      </c>
      <c r="V1207" s="474" t="str">
        <f t="shared" si="5"/>
        <v>RUN-FLMP_2022-05-05_RFR-126</v>
      </c>
      <c r="Y1207" s="89" t="str">
        <f t="shared" si="1542"/>
        <v/>
      </c>
      <c r="Z1207" s="60" t="str">
        <f t="shared" si="7"/>
        <v/>
      </c>
      <c r="AA1207" s="60" t="str">
        <f t="shared" si="8"/>
        <v/>
      </c>
      <c r="AB1207" s="60" t="str">
        <f t="shared" si="9"/>
        <v/>
      </c>
      <c r="AC1207" s="30" t="str">
        <f t="shared" ref="AC1207:AD1207" si="1564">IF(_xlfn.ISFORMULA(S1207),IFERROR(0/0,""),TRUE)</f>
        <v/>
      </c>
      <c r="AD1207" s="30" t="str">
        <f t="shared" si="1564"/>
        <v/>
      </c>
      <c r="AE1207" s="475" t="str">
        <f>IFERROR(__xludf.DUMMYFUNCTION("""COMPUTED_VALUE"""),"FLSP")</f>
        <v>FLSP</v>
      </c>
      <c r="AF1207" s="476"/>
      <c r="AG1207" s="474" t="s">
        <v>210</v>
      </c>
      <c r="AH1207" s="138" t="str">
        <f t="shared" si="11"/>
        <v/>
      </c>
    </row>
    <row r="1208">
      <c r="A1208" s="103" t="str">
        <f>IFERROR(__xludf.DUMMYFUNCTION("""COMPUTED_VALUE"""),"FLE261")</f>
        <v>FLE261</v>
      </c>
      <c r="B1208" s="468">
        <f>IFERROR(__xludf.DUMMYFUNCTION("""COMPUTED_VALUE"""),44686.0)</f>
        <v>44686</v>
      </c>
      <c r="C1208" s="469">
        <f>IFERROR(__xludf.DUMMYFUNCTION("""COMPUTED_VALUE"""),0.39167824074074076)</f>
        <v>0.3916782407</v>
      </c>
      <c r="D1208" s="103" t="str">
        <f>IFERROR(__xludf.DUMMYFUNCTION("""COMPUTED_VALUE"""),"SpFLMP120998")</f>
        <v>SpFLMP120998</v>
      </c>
      <c r="E1208" s="103"/>
      <c r="F1208" s="103"/>
      <c r="G1208" s="103" t="str">
        <f>IFERROR(__xludf.DUMMYFUNCTION("""COMPUTED_VALUE"""),"Negative")</f>
        <v>Negative</v>
      </c>
      <c r="H1208" s="131" t="str">
        <f>IFERROR(__xludf.DUMMYFUNCTION("""COMPUTED_VALUE"""),"Negative")</f>
        <v>Negative</v>
      </c>
      <c r="I1208" s="468">
        <f>IFERROR(__xludf.DUMMYFUNCTION("""COMPUTED_VALUE"""),44686.0)</f>
        <v>44686</v>
      </c>
      <c r="J1208" s="470">
        <f>IFERROR(__xludf.DUMMYFUNCTION("""COMPUTED_VALUE"""),0.4571064814814815)</f>
        <v>0.4571064815</v>
      </c>
      <c r="K1208" s="16"/>
      <c r="L1208" s="8"/>
      <c r="M1208" s="69"/>
      <c r="N1208" s="69">
        <f>IFERROR(__xludf.DUMMYFUNCTION("""COMPUTED_VALUE"""),1.0)</f>
        <v>1</v>
      </c>
      <c r="O1208" s="69" t="str">
        <f t="shared" si="3"/>
        <v/>
      </c>
      <c r="P1208" s="471">
        <f>IFERROR(__xludf.DUMMYFUNCTION("""COMPUTED_VALUE"""),0.0)</f>
        <v>0</v>
      </c>
      <c r="Q1208" s="274" t="str">
        <f>VLOOKUP($B1208,'Run Reconcile'!B$2:O2488,14,FALSE)</f>
        <v/>
      </c>
      <c r="R1208" s="472" t="str">
        <f t="array" ref="R1208">IF($Q1208, INDEX('Run Reconcile'!A$2:A2488,MATCH(B1208,'Run Reconcile'!B$2:B2488,0),1),IFERROR(0/0,""))</f>
        <v/>
      </c>
      <c r="S1208" s="473" t="str">
        <f t="shared" si="694"/>
        <v/>
      </c>
      <c r="T1208" s="473" t="str">
        <f t="shared" si="698"/>
        <v/>
      </c>
      <c r="U1208" s="275" t="str">
        <f t="array" ref="U1208">IF(ISBLANK($R1208), INDEX('Run Reconcile'!A$2:A2488, MATCH($B1208, 'Run Reconcile'!B$2:B2488, 0)+Z1208, 1), IFERROR(0/0,""))
</f>
        <v>RUN-FLMP_2022-05-05_RFR-126</v>
      </c>
      <c r="V1208" s="474" t="str">
        <f t="shared" si="5"/>
        <v>RUN-FLMP_2022-05-05_RFR-126</v>
      </c>
      <c r="Y1208" s="89" t="str">
        <f t="shared" si="1542"/>
        <v/>
      </c>
      <c r="Z1208" s="60" t="str">
        <f t="shared" si="7"/>
        <v/>
      </c>
      <c r="AA1208" s="60" t="str">
        <f t="shared" si="8"/>
        <v/>
      </c>
      <c r="AB1208" s="60" t="str">
        <f t="shared" si="9"/>
        <v/>
      </c>
      <c r="AC1208" s="30" t="str">
        <f t="shared" ref="AC1208:AD1208" si="1565">IF(_xlfn.ISFORMULA(S1208),IFERROR(0/0,""),TRUE)</f>
        <v/>
      </c>
      <c r="AD1208" s="30" t="str">
        <f t="shared" si="1565"/>
        <v/>
      </c>
      <c r="AE1208" s="475" t="str">
        <f>IFERROR(__xludf.DUMMYFUNCTION("""COMPUTED_VALUE"""),"FLSP")</f>
        <v>FLSP</v>
      </c>
      <c r="AF1208" s="476"/>
      <c r="AG1208" s="474" t="s">
        <v>210</v>
      </c>
      <c r="AH1208" s="138" t="str">
        <f t="shared" si="11"/>
        <v/>
      </c>
    </row>
    <row r="1209">
      <c r="A1209" s="103" t="str">
        <f>IFERROR(__xludf.DUMMYFUNCTION("""COMPUTED_VALUE"""),"AH7435")</f>
        <v>AH7435</v>
      </c>
      <c r="B1209" s="468">
        <f>IFERROR(__xludf.DUMMYFUNCTION("""COMPUTED_VALUE"""),44686.0)</f>
        <v>44686</v>
      </c>
      <c r="C1209" s="469">
        <f>IFERROR(__xludf.DUMMYFUNCTION("""COMPUTED_VALUE"""),0.43690972222222224)</f>
        <v>0.4369097222</v>
      </c>
      <c r="D1209" s="103" t="str">
        <f>IFERROR(__xludf.DUMMYFUNCTION("""COMPUTED_VALUE"""),"SpFLMP684798")</f>
        <v>SpFLMP684798</v>
      </c>
      <c r="E1209" s="103"/>
      <c r="F1209" s="103"/>
      <c r="G1209" s="103" t="str">
        <f>IFERROR(__xludf.DUMMYFUNCTION("""COMPUTED_VALUE"""),"Negative")</f>
        <v>Negative</v>
      </c>
      <c r="H1209" s="131" t="str">
        <f>IFERROR(__xludf.DUMMYFUNCTION("""COMPUTED_VALUE"""),"Negative")</f>
        <v>Negative</v>
      </c>
      <c r="I1209" s="468">
        <f>IFERROR(__xludf.DUMMYFUNCTION("""COMPUTED_VALUE"""),44686.0)</f>
        <v>44686</v>
      </c>
      <c r="J1209" s="470">
        <f>IFERROR(__xludf.DUMMYFUNCTION("""COMPUTED_VALUE"""),0.46140046296296294)</f>
        <v>0.461400463</v>
      </c>
      <c r="K1209" s="16"/>
      <c r="L1209" s="8"/>
      <c r="M1209" s="69"/>
      <c r="N1209" s="69">
        <f>IFERROR(__xludf.DUMMYFUNCTION("""COMPUTED_VALUE"""),4.0)</f>
        <v>4</v>
      </c>
      <c r="O1209" s="69" t="str">
        <f t="shared" si="3"/>
        <v/>
      </c>
      <c r="P1209" s="471">
        <f>IFERROR(__xludf.DUMMYFUNCTION("""COMPUTED_VALUE"""),0.0)</f>
        <v>0</v>
      </c>
      <c r="Q1209" s="274" t="str">
        <f>VLOOKUP($B1209,'Run Reconcile'!B$2:O2488,14,FALSE)</f>
        <v/>
      </c>
      <c r="R1209" s="472" t="str">
        <f t="array" ref="R1209">IF($Q1209, INDEX('Run Reconcile'!A$2:A2488,MATCH(B1209,'Run Reconcile'!B$2:B2488,0),1),IFERROR(0/0,""))</f>
        <v/>
      </c>
      <c r="S1209" s="473" t="str">
        <f t="shared" si="694"/>
        <v/>
      </c>
      <c r="T1209" s="473" t="str">
        <f t="shared" si="698"/>
        <v/>
      </c>
      <c r="U1209" s="275" t="str">
        <f t="array" ref="U1209">IF(ISBLANK($R1209), INDEX('Run Reconcile'!A$2:A2488, MATCH($B1209, 'Run Reconcile'!B$2:B2488, 0)+Z1209, 1), IFERROR(0/0,""))
</f>
        <v>RUN-FLMP_2022-05-05_RFR-126</v>
      </c>
      <c r="V1209" s="474" t="str">
        <f t="shared" si="5"/>
        <v>RUN-FLMP_2022-05-05_RFR-126</v>
      </c>
      <c r="Y1209" s="89" t="str">
        <f t="shared" si="1542"/>
        <v/>
      </c>
      <c r="Z1209" s="60" t="str">
        <f t="shared" si="7"/>
        <v/>
      </c>
      <c r="AA1209" s="60" t="str">
        <f t="shared" si="8"/>
        <v/>
      </c>
      <c r="AB1209" s="60" t="str">
        <f t="shared" si="9"/>
        <v/>
      </c>
      <c r="AC1209" s="30" t="str">
        <f t="shared" ref="AC1209:AD1209" si="1566">IF(_xlfn.ISFORMULA(S1209),IFERROR(0/0,""),TRUE)</f>
        <v/>
      </c>
      <c r="AD1209" s="30" t="str">
        <f t="shared" si="1566"/>
        <v/>
      </c>
      <c r="AE1209" s="475" t="str">
        <f>IFERROR(__xludf.DUMMYFUNCTION("""COMPUTED_VALUE"""),"CRLN")</f>
        <v>CRLN</v>
      </c>
      <c r="AF1209" s="476"/>
      <c r="AG1209" s="474" t="s">
        <v>210</v>
      </c>
      <c r="AH1209" s="138" t="str">
        <f t="shared" si="11"/>
        <v/>
      </c>
    </row>
    <row r="1210">
      <c r="A1210" s="477" t="str">
        <f>IFERROR(__xludf.DUMMYFUNCTION("""COMPUTED_VALUE"""),"AJ6912")</f>
        <v>AJ6912</v>
      </c>
      <c r="B1210" s="478">
        <f>IFERROR(__xludf.DUMMYFUNCTION("""COMPUTED_VALUE"""),44689.0)</f>
        <v>44689</v>
      </c>
      <c r="C1210" s="479">
        <f>IFERROR(__xludf.DUMMYFUNCTION("""COMPUTED_VALUE"""),0.7787152777777778)</f>
        <v>0.7787152778</v>
      </c>
      <c r="D1210" s="477" t="str">
        <f>IFERROR(__xludf.DUMMYFUNCTION("""COMPUTED_VALUE"""),"SpFLMP596479")</f>
        <v>SpFLMP596479</v>
      </c>
      <c r="E1210" s="477"/>
      <c r="F1210" s="477"/>
      <c r="G1210" s="477" t="str">
        <f>IFERROR(__xludf.DUMMYFUNCTION("""COMPUTED_VALUE"""),"Inconclusive")</f>
        <v>Inconclusive</v>
      </c>
      <c r="H1210" s="480" t="str">
        <f>IFERROR(__xludf.DUMMYFUNCTION("""COMPUTED_VALUE"""),"Inconclusive")</f>
        <v>Inconclusive</v>
      </c>
      <c r="I1210" s="478">
        <f>IFERROR(__xludf.DUMMYFUNCTION("""COMPUTED_VALUE"""),44690.0)</f>
        <v>44690</v>
      </c>
      <c r="J1210" s="481">
        <f>IFERROR(__xludf.DUMMYFUNCTION("""COMPUTED_VALUE"""),0.49635416666666665)</f>
        <v>0.4963541667</v>
      </c>
      <c r="K1210" s="156"/>
      <c r="L1210" s="19"/>
      <c r="M1210" s="482"/>
      <c r="N1210" s="482">
        <f>IFERROR(__xludf.DUMMYFUNCTION("""COMPUTED_VALUE"""),3.0)</f>
        <v>3</v>
      </c>
      <c r="O1210" s="482" t="b">
        <f t="shared" si="3"/>
        <v>1</v>
      </c>
      <c r="P1210" s="483">
        <f>IFERROR(__xludf.DUMMYFUNCTION("""COMPUTED_VALUE"""),1.0)</f>
        <v>1</v>
      </c>
      <c r="Q1210" s="352" t="str">
        <f>VLOOKUP($B1210,'Run Reconcile'!B$2:O2488,14,FALSE)</f>
        <v/>
      </c>
      <c r="R1210" s="484" t="str">
        <f t="array" ref="R1210">IF($Q1210, INDEX('Run Reconcile'!A$2:A2488,MATCH(B1210,'Run Reconcile'!B$2:B2488,0),1),IFERROR(0/0,""))</f>
        <v/>
      </c>
      <c r="S1210" s="485" t="b">
        <f t="shared" si="694"/>
        <v>1</v>
      </c>
      <c r="T1210" s="485" t="str">
        <f t="shared" si="698"/>
        <v/>
      </c>
      <c r="U1210" s="353" t="str">
        <f t="array" ref="U1210">IF(ISBLANK($R1210), INDEX('Run Reconcile'!A$2:A2488, MATCH($B1210, 'Run Reconcile'!B$2:B2488, 0)+Z1210, 1), IFERROR(0/0,""))
</f>
        <v>RUN-FLMP_2022-05-09_RFR-128</v>
      </c>
      <c r="V1210" s="486" t="str">
        <f t="shared" si="5"/>
        <v>RUN-FLMP_2022-05-09_RFR-128</v>
      </c>
      <c r="W1210" s="19" t="s">
        <v>1258</v>
      </c>
      <c r="X1210" s="19"/>
      <c r="Y1210" s="89">
        <f t="shared" si="1542"/>
        <v>1</v>
      </c>
      <c r="Z1210" s="60">
        <f t="shared" si="7"/>
        <v>1</v>
      </c>
      <c r="AA1210" s="60">
        <f t="shared" si="8"/>
        <v>1</v>
      </c>
      <c r="AB1210" s="60" t="str">
        <f t="shared" si="9"/>
        <v/>
      </c>
      <c r="AC1210" s="158" t="str">
        <f t="shared" ref="AC1210:AD1210" si="1567">IF(_xlfn.ISFORMULA(S1210),IFERROR(0/0,""),TRUE)</f>
        <v/>
      </c>
      <c r="AD1210" s="158" t="str">
        <f t="shared" si="1567"/>
        <v/>
      </c>
      <c r="AE1210" s="488" t="str">
        <f>IFERROR(__xludf.DUMMYFUNCTION("""COMPUTED_VALUE"""),"CRLN")</f>
        <v>CRLN</v>
      </c>
      <c r="AF1210" s="489"/>
      <c r="AG1210" s="486" t="s">
        <v>212</v>
      </c>
      <c r="AH1210" s="138" t="str">
        <f t="shared" si="11"/>
        <v/>
      </c>
      <c r="AI1210" s="19"/>
      <c r="AJ1210" s="19"/>
      <c r="AK1210" s="19"/>
      <c r="AL1210" s="19"/>
      <c r="AM1210" s="19"/>
    </row>
    <row r="1211">
      <c r="A1211" s="103" t="str">
        <f>IFERROR(__xludf.DUMMYFUNCTION("""COMPUTED_VALUE"""),"FLE254")</f>
        <v>FLE254</v>
      </c>
      <c r="B1211" s="468">
        <f>IFERROR(__xludf.DUMMYFUNCTION("""COMPUTED_VALUE"""),44689.0)</f>
        <v>44689</v>
      </c>
      <c r="C1211" s="469">
        <f>IFERROR(__xludf.DUMMYFUNCTION("""COMPUTED_VALUE"""),0.8204861111111111)</f>
        <v>0.8204861111</v>
      </c>
      <c r="D1211" s="103" t="str">
        <f>IFERROR(__xludf.DUMMYFUNCTION("""COMPUTED_VALUE"""),"SpFLMP544731")</f>
        <v>SpFLMP544731</v>
      </c>
      <c r="E1211" s="103"/>
      <c r="F1211" s="103"/>
      <c r="G1211" s="103" t="str">
        <f>IFERROR(__xludf.DUMMYFUNCTION("""COMPUTED_VALUE"""),"Negative")</f>
        <v>Negative</v>
      </c>
      <c r="H1211" s="131" t="str">
        <f>IFERROR(__xludf.DUMMYFUNCTION("""COMPUTED_VALUE"""),"Negative")</f>
        <v>Negative</v>
      </c>
      <c r="I1211" s="468">
        <f>IFERROR(__xludf.DUMMYFUNCTION("""COMPUTED_VALUE"""),44690.0)</f>
        <v>44690</v>
      </c>
      <c r="J1211" s="470">
        <f>IFERROR(__xludf.DUMMYFUNCTION("""COMPUTED_VALUE"""),0.4891898148148148)</f>
        <v>0.4891898148</v>
      </c>
      <c r="K1211" s="16"/>
      <c r="L1211" s="8"/>
      <c r="M1211" s="69"/>
      <c r="N1211" s="69">
        <f>IFERROR(__xludf.DUMMYFUNCTION("""COMPUTED_VALUE"""),3.0)</f>
        <v>3</v>
      </c>
      <c r="O1211" s="69" t="str">
        <f t="shared" si="3"/>
        <v/>
      </c>
      <c r="P1211" s="471">
        <f>IFERROR(__xludf.DUMMYFUNCTION("""COMPUTED_VALUE"""),1.0)</f>
        <v>1</v>
      </c>
      <c r="Q1211" s="274" t="str">
        <f>VLOOKUP($B1211,'Run Reconcile'!B$2:O2488,14,FALSE)</f>
        <v/>
      </c>
      <c r="R1211" s="472" t="str">
        <f t="array" ref="R1211">IF($Q1211, INDEX('Run Reconcile'!A$2:A2488,MATCH(B1211,'Run Reconcile'!B$2:B2488,0),1),IFERROR(0/0,""))</f>
        <v/>
      </c>
      <c r="S1211" s="473" t="b">
        <f t="shared" si="694"/>
        <v>1</v>
      </c>
      <c r="T1211" s="473" t="str">
        <f t="shared" si="698"/>
        <v/>
      </c>
      <c r="U1211" s="275" t="str">
        <f t="array" ref="U1211">IF(ISBLANK($R1211), INDEX('Run Reconcile'!A$2:A2488, MATCH($B1211, 'Run Reconcile'!B$2:B2488, 0)+Z1211, 1), IFERROR(0/0,""))
</f>
        <v>RUN-FLMP_2022-05-09_RFR-128</v>
      </c>
      <c r="V1211" s="474" t="str">
        <f t="shared" si="5"/>
        <v>RUN-FLMP_2022-05-09_RFR-128</v>
      </c>
      <c r="W1211" s="8" t="s">
        <v>1484</v>
      </c>
      <c r="Y1211" s="89">
        <f t="shared" si="1542"/>
        <v>1</v>
      </c>
      <c r="Z1211" s="60">
        <f t="shared" si="7"/>
        <v>1</v>
      </c>
      <c r="AA1211" s="60">
        <f t="shared" si="8"/>
        <v>1</v>
      </c>
      <c r="AB1211" s="60" t="str">
        <f t="shared" si="9"/>
        <v/>
      </c>
      <c r="AC1211" s="30" t="str">
        <f t="shared" ref="AC1211:AD1211" si="1568">IF(_xlfn.ISFORMULA(S1211),IFERROR(0/0,""),TRUE)</f>
        <v/>
      </c>
      <c r="AD1211" s="30" t="str">
        <f t="shared" si="1568"/>
        <v/>
      </c>
      <c r="AE1211" s="475" t="str">
        <f>IFERROR(__xludf.DUMMYFUNCTION("""COMPUTED_VALUE"""),"CRLN")</f>
        <v>CRLN</v>
      </c>
      <c r="AF1211" s="476"/>
      <c r="AG1211" s="474" t="s">
        <v>212</v>
      </c>
      <c r="AH1211" s="138" t="str">
        <f t="shared" si="11"/>
        <v/>
      </c>
    </row>
    <row r="1212">
      <c r="A1212" s="103" t="str">
        <f>IFERROR(__xludf.DUMMYFUNCTION("""COMPUTED_VALUE"""),"AH7037")</f>
        <v>AH7037</v>
      </c>
      <c r="B1212" s="468">
        <f>IFERROR(__xludf.DUMMYFUNCTION("""COMPUTED_VALUE"""),44689.0)</f>
        <v>44689</v>
      </c>
      <c r="C1212" s="469">
        <f>IFERROR(__xludf.DUMMYFUNCTION("""COMPUTED_VALUE"""),0.8972569444444445)</f>
        <v>0.8972569444</v>
      </c>
      <c r="D1212" s="103" t="str">
        <f>IFERROR(__xludf.DUMMYFUNCTION("""COMPUTED_VALUE"""),"SpFLMP470379")</f>
        <v>SpFLMP470379</v>
      </c>
      <c r="E1212" s="103"/>
      <c r="F1212" s="103"/>
      <c r="G1212" s="103" t="str">
        <f>IFERROR(__xludf.DUMMYFUNCTION("""COMPUTED_VALUE"""),"Negative")</f>
        <v>Negative</v>
      </c>
      <c r="H1212" s="131" t="str">
        <f>IFERROR(__xludf.DUMMYFUNCTION("""COMPUTED_VALUE"""),"Negative")</f>
        <v>Negative</v>
      </c>
      <c r="I1212" s="468">
        <f>IFERROR(__xludf.DUMMYFUNCTION("""COMPUTED_VALUE"""),44690.0)</f>
        <v>44690</v>
      </c>
      <c r="J1212" s="470">
        <f>IFERROR(__xludf.DUMMYFUNCTION("""COMPUTED_VALUE"""),0.5041782407407407)</f>
        <v>0.5041782407</v>
      </c>
      <c r="K1212" s="16"/>
      <c r="L1212" s="8"/>
      <c r="M1212" s="69"/>
      <c r="N1212" s="69">
        <f>IFERROR(__xludf.DUMMYFUNCTION("""COMPUTED_VALUE"""),1.0)</f>
        <v>1</v>
      </c>
      <c r="O1212" s="69" t="str">
        <f t="shared" si="3"/>
        <v/>
      </c>
      <c r="P1212" s="471">
        <f>IFERROR(__xludf.DUMMYFUNCTION("""COMPUTED_VALUE"""),1.0)</f>
        <v>1</v>
      </c>
      <c r="Q1212" s="274" t="str">
        <f>VLOOKUP($B1212,'Run Reconcile'!B$2:O2488,14,FALSE)</f>
        <v/>
      </c>
      <c r="R1212" s="472" t="str">
        <f t="array" ref="R1212">IF($Q1212, INDEX('Run Reconcile'!A$2:A2488,MATCH(B1212,'Run Reconcile'!B$2:B2488,0),1),IFERROR(0/0,""))</f>
        <v/>
      </c>
      <c r="S1212" s="473" t="b">
        <f t="shared" si="694"/>
        <v>1</v>
      </c>
      <c r="T1212" s="473" t="str">
        <f t="shared" si="698"/>
        <v/>
      </c>
      <c r="U1212" s="275" t="str">
        <f t="array" ref="U1212">IF(ISBLANK($R1212), INDEX('Run Reconcile'!A$2:A2488, MATCH($B1212, 'Run Reconcile'!B$2:B2488, 0)+Z1212, 1), IFERROR(0/0,""))
</f>
        <v>RUN-FLMP_2022-05-09_RFR-128</v>
      </c>
      <c r="V1212" s="474" t="str">
        <f t="shared" si="5"/>
        <v>RUN-FLMP_2022-05-09_RFR-128</v>
      </c>
      <c r="W1212" s="8" t="s">
        <v>1485</v>
      </c>
      <c r="Y1212" s="89">
        <f t="shared" si="1542"/>
        <v>1</v>
      </c>
      <c r="Z1212" s="60">
        <f t="shared" si="7"/>
        <v>1</v>
      </c>
      <c r="AA1212" s="60">
        <f t="shared" si="8"/>
        <v>1</v>
      </c>
      <c r="AB1212" s="60" t="str">
        <f t="shared" si="9"/>
        <v/>
      </c>
      <c r="AC1212" s="30" t="str">
        <f t="shared" ref="AC1212:AD1212" si="1569">IF(_xlfn.ISFORMULA(S1212),IFERROR(0/0,""),TRUE)</f>
        <v/>
      </c>
      <c r="AD1212" s="30" t="str">
        <f t="shared" si="1569"/>
        <v/>
      </c>
      <c r="AE1212" s="475" t="str">
        <f>IFERROR(__xludf.DUMMYFUNCTION("""COMPUTED_VALUE"""),"CRLN")</f>
        <v>CRLN</v>
      </c>
      <c r="AF1212" s="476"/>
      <c r="AG1212" s="474" t="s">
        <v>212</v>
      </c>
      <c r="AH1212" s="138" t="str">
        <f t="shared" si="11"/>
        <v/>
      </c>
    </row>
    <row r="1213">
      <c r="A1213" s="477" t="str">
        <f>IFERROR(__xludf.DUMMYFUNCTION("""COMPUTED_VALUE"""),"AG3012")</f>
        <v>AG3012</v>
      </c>
      <c r="B1213" s="478">
        <f>IFERROR(__xludf.DUMMYFUNCTION("""COMPUTED_VALUE"""),44690.0)</f>
        <v>44690</v>
      </c>
      <c r="C1213" s="479">
        <f>IFERROR(__xludf.DUMMYFUNCTION("""COMPUTED_VALUE"""),0.29834490740740743)</f>
        <v>0.2983449074</v>
      </c>
      <c r="D1213" s="477" t="str">
        <f>IFERROR(__xludf.DUMMYFUNCTION("""COMPUTED_VALUE"""),"SpFLMP683554")</f>
        <v>SpFLMP683554</v>
      </c>
      <c r="E1213" s="477"/>
      <c r="F1213" s="477"/>
      <c r="G1213" s="477" t="str">
        <f>IFERROR(__xludf.DUMMYFUNCTION("""COMPUTED_VALUE"""),"Negative")</f>
        <v>Negative</v>
      </c>
      <c r="H1213" s="480" t="str">
        <f>IFERROR(__xludf.DUMMYFUNCTION("""COMPUTED_VALUE"""),"Negative")</f>
        <v>Negative</v>
      </c>
      <c r="I1213" s="478">
        <f>IFERROR(__xludf.DUMMYFUNCTION("""COMPUTED_VALUE"""),44690.0)</f>
        <v>44690</v>
      </c>
      <c r="J1213" s="481">
        <f>IFERROR(__xludf.DUMMYFUNCTION("""COMPUTED_VALUE"""),0.4891898148148148)</f>
        <v>0.4891898148</v>
      </c>
      <c r="K1213" s="156"/>
      <c r="L1213" s="19"/>
      <c r="M1213" s="482"/>
      <c r="N1213" s="482">
        <f>IFERROR(__xludf.DUMMYFUNCTION("""COMPUTED_VALUE"""),1.0)</f>
        <v>1</v>
      </c>
      <c r="O1213" s="482" t="b">
        <f t="shared" si="3"/>
        <v>1</v>
      </c>
      <c r="P1213" s="483">
        <f>IFERROR(__xludf.DUMMYFUNCTION("""COMPUTED_VALUE"""),0.0)</f>
        <v>0</v>
      </c>
      <c r="Q1213" s="352" t="str">
        <f>VLOOKUP($B1213,'Run Reconcile'!B$2:O2488,14,FALSE)</f>
        <v/>
      </c>
      <c r="R1213" s="484" t="str">
        <f t="array" ref="R1213">IF($Q1213, INDEX('Run Reconcile'!A$2:A2488,MATCH(B1213,'Run Reconcile'!B$2:B2488,0),1),IFERROR(0/0,""))</f>
        <v/>
      </c>
      <c r="S1213" s="485" t="str">
        <f t="shared" si="694"/>
        <v/>
      </c>
      <c r="T1213" s="485" t="str">
        <f t="shared" si="698"/>
        <v/>
      </c>
      <c r="U1213" s="353" t="str">
        <f t="array" ref="U1213">IF(ISBLANK($R1213), INDEX('Run Reconcile'!A$2:A2488, MATCH($B1213, 'Run Reconcile'!B$2:B2488, 0)+Z1213, 1), IFERROR(0/0,""))
</f>
        <v>RUN-FLMP_2022-05-09_RFR-128</v>
      </c>
      <c r="V1213" s="486" t="str">
        <f t="shared" si="5"/>
        <v>RUN-FLMP_2022-05-09_RFR-128</v>
      </c>
      <c r="W1213" s="19"/>
      <c r="X1213" s="19"/>
      <c r="Y1213" s="195" t="str">
        <f t="shared" si="1542"/>
        <v/>
      </c>
      <c r="Z1213" s="487" t="str">
        <f t="shared" si="7"/>
        <v/>
      </c>
      <c r="AA1213" s="487" t="str">
        <f t="shared" si="8"/>
        <v/>
      </c>
      <c r="AB1213" s="487" t="str">
        <f t="shared" si="9"/>
        <v/>
      </c>
      <c r="AC1213" s="158" t="str">
        <f t="shared" ref="AC1213:AD1213" si="1570">IF(_xlfn.ISFORMULA(S1213),IFERROR(0/0,""),TRUE)</f>
        <v/>
      </c>
      <c r="AD1213" s="158" t="str">
        <f t="shared" si="1570"/>
        <v/>
      </c>
      <c r="AE1213" s="488" t="str">
        <f>IFERROR(__xludf.DUMMYFUNCTION("""COMPUTED_VALUE"""),"CRLN")</f>
        <v>CRLN</v>
      </c>
      <c r="AF1213" s="489"/>
      <c r="AG1213" s="486" t="s">
        <v>212</v>
      </c>
      <c r="AH1213" s="490" t="str">
        <f t="shared" si="11"/>
        <v/>
      </c>
      <c r="AI1213" s="19"/>
      <c r="AJ1213" s="19"/>
      <c r="AK1213" s="19"/>
      <c r="AL1213" s="19"/>
      <c r="AM1213" s="19"/>
    </row>
    <row r="1214">
      <c r="A1214" s="498" t="str">
        <f>IFERROR(__xludf.DUMMYFUNCTION("""COMPUTED_VALUE"""),"AH911")</f>
        <v>AH911</v>
      </c>
      <c r="B1214" s="499">
        <f>IFERROR(__xludf.DUMMYFUNCTION("""COMPUTED_VALUE"""),44690.0)</f>
        <v>44690</v>
      </c>
      <c r="C1214" s="500">
        <f>IFERROR(__xludf.DUMMYFUNCTION("""COMPUTED_VALUE"""),0.30266203703703703)</f>
        <v>0.302662037</v>
      </c>
      <c r="D1214" s="498" t="str">
        <f>IFERROR(__xludf.DUMMYFUNCTION("""COMPUTED_VALUE"""),"SpFLMP268514")</f>
        <v>SpFLMP268514</v>
      </c>
      <c r="E1214" s="498"/>
      <c r="F1214" s="498"/>
      <c r="G1214" s="498" t="str">
        <f>IFERROR(__xludf.DUMMYFUNCTION("""COMPUTED_VALUE"""),"Null")</f>
        <v>Null</v>
      </c>
      <c r="H1214" s="501" t="str">
        <f>IFERROR(__xludf.DUMMYFUNCTION("""COMPUTED_VALUE"""),"Negative")</f>
        <v>Negative</v>
      </c>
      <c r="I1214" s="499">
        <f>IFERROR(__xludf.DUMMYFUNCTION("""COMPUTED_VALUE"""),44690.0)</f>
        <v>44690</v>
      </c>
      <c r="J1214" s="502">
        <f>IFERROR(__xludf.DUMMYFUNCTION("""COMPUTED_VALUE"""),0.33273148148148146)</f>
        <v>0.3327314815</v>
      </c>
      <c r="K1214" s="522">
        <f>IFERROR(__xludf.DUMMYFUNCTION("""COMPUTED_VALUE"""),2.0)</f>
        <v>2</v>
      </c>
      <c r="L1214" s="523" t="str">
        <f>IFERROR(__xludf.DUMMYFUNCTION("""COMPUTED_VALUE"""),"resulted neg in daily result report")</f>
        <v>resulted neg in daily result report</v>
      </c>
      <c r="M1214" s="69"/>
      <c r="N1214" s="69">
        <f>IFERROR(__xludf.DUMMYFUNCTION("""COMPUTED_VALUE"""),1.0)</f>
        <v>1</v>
      </c>
      <c r="O1214" s="69" t="str">
        <f t="shared" si="3"/>
        <v/>
      </c>
      <c r="P1214" s="471">
        <f>IFERROR(__xludf.DUMMYFUNCTION("""COMPUTED_VALUE"""),0.0)</f>
        <v>0</v>
      </c>
      <c r="Q1214" s="274" t="str">
        <f>VLOOKUP($B1214,'Run Reconcile'!B$2:O2488,14,FALSE)</f>
        <v/>
      </c>
      <c r="R1214" s="472" t="str">
        <f t="array" ref="R1214">IF($Q1214, INDEX('Run Reconcile'!A$2:A2488,MATCH(B1214,'Run Reconcile'!B$2:B2488,0),1),IFERROR(0/0,""))</f>
        <v/>
      </c>
      <c r="S1214" s="473" t="str">
        <f t="shared" si="694"/>
        <v/>
      </c>
      <c r="T1214" s="473" t="b">
        <f t="shared" si="698"/>
        <v>1</v>
      </c>
      <c r="U1214" s="8" t="str">
        <f t="array" ref="U1214">IF(ISBLANK($R1214), INDEX('Run Reconcile'!A$2:A2488, MATCH($B1214, 'Run Reconcile'!B$2:B2488, 0)+Z1214, 1), IFERROR(0/0,""))
</f>
        <v>RUN-FLMP_2022-05-09_APS-090</v>
      </c>
      <c r="V1214" s="474" t="str">
        <f t="shared" si="5"/>
        <v>RUN-FLMP_2022-05-09_APS-090</v>
      </c>
      <c r="X1214" s="8" t="s">
        <v>1486</v>
      </c>
      <c r="Y1214" s="21">
        <v>2.0</v>
      </c>
      <c r="Z1214" s="60">
        <f t="shared" si="7"/>
        <v>2</v>
      </c>
      <c r="AA1214" s="60" t="str">
        <f t="shared" si="8"/>
        <v/>
      </c>
      <c r="AB1214" s="60">
        <f t="shared" si="9"/>
        <v>2</v>
      </c>
      <c r="AC1214" s="30" t="str">
        <f t="shared" ref="AC1214:AD1214" si="1571">IF(_xlfn.ISFORMULA(S1214),IFERROR(0/0,""),TRUE)</f>
        <v/>
      </c>
      <c r="AD1214" s="30" t="str">
        <f t="shared" si="1571"/>
        <v/>
      </c>
      <c r="AE1214" s="475" t="str">
        <f>IFERROR(__xludf.DUMMYFUNCTION("""COMPUTED_VALUE"""),"CRLN")</f>
        <v>CRLN</v>
      </c>
      <c r="AF1214" s="476"/>
      <c r="AG1214" s="474" t="s">
        <v>211</v>
      </c>
      <c r="AH1214" s="138" t="str">
        <f t="shared" si="11"/>
        <v/>
      </c>
    </row>
    <row r="1215">
      <c r="A1215" s="103" t="str">
        <f>IFERROR(__xludf.DUMMYFUNCTION("""COMPUTED_VALUE"""),"AH532")</f>
        <v>AH532</v>
      </c>
      <c r="B1215" s="468">
        <f>IFERROR(__xludf.DUMMYFUNCTION("""COMPUTED_VALUE"""),44690.0)</f>
        <v>44690</v>
      </c>
      <c r="C1215" s="469">
        <f>IFERROR(__xludf.DUMMYFUNCTION("""COMPUTED_VALUE"""),0.30319444444444443)</f>
        <v>0.3031944444</v>
      </c>
      <c r="D1215" s="103" t="str">
        <f>IFERROR(__xludf.DUMMYFUNCTION("""COMPUTED_VALUE"""),"SpFLMP273885")</f>
        <v>SpFLMP273885</v>
      </c>
      <c r="E1215" s="103"/>
      <c r="F1215" s="103"/>
      <c r="G1215" s="103" t="str">
        <f>IFERROR(__xludf.DUMMYFUNCTION("""COMPUTED_VALUE"""),"Negative")</f>
        <v>Negative</v>
      </c>
      <c r="H1215" s="131" t="str">
        <f>IFERROR(__xludf.DUMMYFUNCTION("""COMPUTED_VALUE"""),"Negative")</f>
        <v>Negative</v>
      </c>
      <c r="I1215" s="468">
        <f>IFERROR(__xludf.DUMMYFUNCTION("""COMPUTED_VALUE"""),44690.0)</f>
        <v>44690</v>
      </c>
      <c r="J1215" s="470">
        <f>IFERROR(__xludf.DUMMYFUNCTION("""COMPUTED_VALUE"""),0.4891898148148148)</f>
        <v>0.4891898148</v>
      </c>
      <c r="K1215" s="16"/>
      <c r="L1215" s="8"/>
      <c r="M1215" s="69"/>
      <c r="N1215" s="69">
        <f>IFERROR(__xludf.DUMMYFUNCTION("""COMPUTED_VALUE"""),3.0)</f>
        <v>3</v>
      </c>
      <c r="O1215" s="69" t="str">
        <f t="shared" si="3"/>
        <v/>
      </c>
      <c r="P1215" s="471">
        <f>IFERROR(__xludf.DUMMYFUNCTION("""COMPUTED_VALUE"""),0.0)</f>
        <v>0</v>
      </c>
      <c r="Q1215" s="274" t="str">
        <f>VLOOKUP($B1215,'Run Reconcile'!B$2:O2488,14,FALSE)</f>
        <v/>
      </c>
      <c r="R1215" s="472" t="str">
        <f t="array" ref="R1215">IF($Q1215, INDEX('Run Reconcile'!A$2:A2488,MATCH(B1215,'Run Reconcile'!B$2:B2488,0),1),IFERROR(0/0,""))</f>
        <v/>
      </c>
      <c r="S1215" s="473" t="str">
        <f t="shared" si="694"/>
        <v/>
      </c>
      <c r="T1215" s="473" t="str">
        <f t="shared" si="698"/>
        <v/>
      </c>
      <c r="U1215" s="275" t="str">
        <f t="array" ref="U1215">IF(ISBLANK($R1215), INDEX('Run Reconcile'!A$2:A2488, MATCH($B1215, 'Run Reconcile'!B$2:B2488, 0)+Z1215, 1), IFERROR(0/0,""))
</f>
        <v>RUN-FLMP_2022-05-09_RFR-128</v>
      </c>
      <c r="V1215" s="474" t="str">
        <f t="shared" si="5"/>
        <v>RUN-FLMP_2022-05-09_RFR-128</v>
      </c>
      <c r="Y1215" s="89">
        <f>IF(AND(ISBLANK(W1215),ISBLANK(X1216)),IFERROR(0/0,""),1)</f>
        <v>1</v>
      </c>
      <c r="Z1215" s="60" t="str">
        <f t="shared" si="7"/>
        <v/>
      </c>
      <c r="AA1215" s="60" t="str">
        <f t="shared" si="8"/>
        <v/>
      </c>
      <c r="AB1215" s="60" t="str">
        <f t="shared" si="9"/>
        <v/>
      </c>
      <c r="AC1215" s="30" t="str">
        <f t="shared" ref="AC1215:AD1215" si="1572">IF(_xlfn.ISFORMULA(S1215),IFERROR(0/0,""),TRUE)</f>
        <v/>
      </c>
      <c r="AD1215" s="30" t="str">
        <f t="shared" si="1572"/>
        <v/>
      </c>
      <c r="AE1215" s="475" t="str">
        <f>IFERROR(__xludf.DUMMYFUNCTION("""COMPUTED_VALUE"""),"CRLN")</f>
        <v>CRLN</v>
      </c>
      <c r="AF1215" s="476"/>
      <c r="AG1215" s="474" t="s">
        <v>212</v>
      </c>
      <c r="AH1215" s="138" t="str">
        <f t="shared" si="11"/>
        <v/>
      </c>
    </row>
    <row r="1216">
      <c r="A1216" s="498" t="str">
        <f>IFERROR(__xludf.DUMMYFUNCTION("""COMPUTED_VALUE"""),"AJ8250")</f>
        <v>AJ8250</v>
      </c>
      <c r="B1216" s="499">
        <f>IFERROR(__xludf.DUMMYFUNCTION("""COMPUTED_VALUE"""),44690.0)</f>
        <v>44690</v>
      </c>
      <c r="C1216" s="500">
        <f>IFERROR(__xludf.DUMMYFUNCTION("""COMPUTED_VALUE"""),0.31328703703703703)</f>
        <v>0.313287037</v>
      </c>
      <c r="D1216" s="498" t="str">
        <f>IFERROR(__xludf.DUMMYFUNCTION("""COMPUTED_VALUE"""),"SpFLMP268514")</f>
        <v>SpFLMP268514</v>
      </c>
      <c r="E1216" s="498"/>
      <c r="F1216" s="498"/>
      <c r="G1216" s="498" t="str">
        <f>IFERROR(__xludf.DUMMYFUNCTION("""COMPUTED_VALUE"""),"Null")</f>
        <v>Null</v>
      </c>
      <c r="H1216" s="501" t="str">
        <f>IFERROR(__xludf.DUMMYFUNCTION("""COMPUTED_VALUE"""),"Negative")</f>
        <v>Negative</v>
      </c>
      <c r="I1216" s="499">
        <f>IFERROR(__xludf.DUMMYFUNCTION("""COMPUTED_VALUE"""),44690.0)</f>
        <v>44690</v>
      </c>
      <c r="J1216" s="502">
        <f>IFERROR(__xludf.DUMMYFUNCTION("""COMPUTED_VALUE"""),0.33265046296296297)</f>
        <v>0.332650463</v>
      </c>
      <c r="K1216" s="522">
        <f>IFERROR(__xludf.DUMMYFUNCTION("""COMPUTED_VALUE"""),2.0)</f>
        <v>2</v>
      </c>
      <c r="L1216" s="523" t="str">
        <f>IFERROR(__xludf.DUMMYFUNCTION("""COMPUTED_VALUE"""),"resulted neg in daily result report")</f>
        <v>resulted neg in daily result report</v>
      </c>
      <c r="M1216" s="69"/>
      <c r="N1216" s="69">
        <f>IFERROR(__xludf.DUMMYFUNCTION("""COMPUTED_VALUE"""),1.0)</f>
        <v>1</v>
      </c>
      <c r="O1216" s="69" t="str">
        <f t="shared" si="3"/>
        <v/>
      </c>
      <c r="P1216" s="471">
        <f>IFERROR(__xludf.DUMMYFUNCTION("""COMPUTED_VALUE"""),0.0)</f>
        <v>0</v>
      </c>
      <c r="Q1216" s="274" t="str">
        <f>VLOOKUP($B1216,'Run Reconcile'!B$2:O2488,14,FALSE)</f>
        <v/>
      </c>
      <c r="R1216" s="472" t="str">
        <f t="array" ref="R1216">IF($Q1216, INDEX('Run Reconcile'!A$2:A2488,MATCH(B1216,'Run Reconcile'!B$2:B2488,0),1),IFERROR(0/0,""))</f>
        <v/>
      </c>
      <c r="S1216" s="473" t="str">
        <f t="shared" si="694"/>
        <v/>
      </c>
      <c r="T1216" s="473" t="b">
        <f t="shared" si="698"/>
        <v>1</v>
      </c>
      <c r="U1216" s="8" t="str">
        <f t="array" ref="U1216">IF(ISBLANK($R1216), INDEX('Run Reconcile'!A$2:A2488, MATCH($B1216, 'Run Reconcile'!B$2:B2488, 0)+Z1216, 1), IFERROR(0/0,""))
</f>
        <v>RUN-FLMP_2022-05-09_APS-090</v>
      </c>
      <c r="V1216" s="474" t="str">
        <f t="shared" si="5"/>
        <v>RUN-FLMP_2022-05-09_APS-090</v>
      </c>
      <c r="X1216" s="8" t="s">
        <v>1487</v>
      </c>
      <c r="Y1216" s="21">
        <v>2.0</v>
      </c>
      <c r="Z1216" s="60">
        <f t="shared" si="7"/>
        <v>2</v>
      </c>
      <c r="AA1216" s="60" t="str">
        <f t="shared" si="8"/>
        <v/>
      </c>
      <c r="AB1216" s="60">
        <f t="shared" si="9"/>
        <v>2</v>
      </c>
      <c r="AC1216" s="30" t="str">
        <f t="shared" ref="AC1216:AD1216" si="1573">IF(_xlfn.ISFORMULA(S1216),IFERROR(0/0,""),TRUE)</f>
        <v/>
      </c>
      <c r="AD1216" s="30" t="str">
        <f t="shared" si="1573"/>
        <v/>
      </c>
      <c r="AE1216" s="475" t="str">
        <f>IFERROR(__xludf.DUMMYFUNCTION("""COMPUTED_VALUE"""),"CRLN")</f>
        <v>CRLN</v>
      </c>
      <c r="AF1216" s="476"/>
      <c r="AG1216" s="474" t="s">
        <v>211</v>
      </c>
      <c r="AH1216" s="138" t="str">
        <f t="shared" si="11"/>
        <v/>
      </c>
    </row>
    <row r="1217">
      <c r="A1217" s="498" t="str">
        <f>IFERROR(__xludf.DUMMYFUNCTION("""COMPUTED_VALUE"""),"AG1128")</f>
        <v>AG1128</v>
      </c>
      <c r="B1217" s="499">
        <f>IFERROR(__xludf.DUMMYFUNCTION("""COMPUTED_VALUE"""),44690.0)</f>
        <v>44690</v>
      </c>
      <c r="C1217" s="500">
        <f>IFERROR(__xludf.DUMMYFUNCTION("""COMPUTED_VALUE"""),0.31582175925925926)</f>
        <v>0.3158217593</v>
      </c>
      <c r="D1217" s="498" t="str">
        <f>IFERROR(__xludf.DUMMYFUNCTION("""COMPUTED_VALUE"""),"SpFLMP268514")</f>
        <v>SpFLMP268514</v>
      </c>
      <c r="E1217" s="498"/>
      <c r="F1217" s="498"/>
      <c r="G1217" s="498" t="str">
        <f>IFERROR(__xludf.DUMMYFUNCTION("""COMPUTED_VALUE"""),"Null")</f>
        <v>Null</v>
      </c>
      <c r="H1217" s="501" t="str">
        <f>IFERROR(__xludf.DUMMYFUNCTION("""COMPUTED_VALUE"""),"Negative")</f>
        <v>Negative</v>
      </c>
      <c r="I1217" s="499">
        <f>IFERROR(__xludf.DUMMYFUNCTION("""COMPUTED_VALUE"""),44690.0)</f>
        <v>44690</v>
      </c>
      <c r="J1217" s="502">
        <f>IFERROR(__xludf.DUMMYFUNCTION("""COMPUTED_VALUE"""),0.33284722222222224)</f>
        <v>0.3328472222</v>
      </c>
      <c r="K1217" s="522">
        <f>IFERROR(__xludf.DUMMYFUNCTION("""COMPUTED_VALUE"""),2.0)</f>
        <v>2</v>
      </c>
      <c r="L1217" s="523" t="str">
        <f>IFERROR(__xludf.DUMMYFUNCTION("""COMPUTED_VALUE"""),"resulted neg in daily result report")</f>
        <v>resulted neg in daily result report</v>
      </c>
      <c r="M1217" s="69"/>
      <c r="N1217" s="69">
        <f>IFERROR(__xludf.DUMMYFUNCTION("""COMPUTED_VALUE"""),1.0)</f>
        <v>1</v>
      </c>
      <c r="O1217" s="69" t="str">
        <f t="shared" si="3"/>
        <v/>
      </c>
      <c r="P1217" s="471">
        <f>IFERROR(__xludf.DUMMYFUNCTION("""COMPUTED_VALUE"""),0.0)</f>
        <v>0</v>
      </c>
      <c r="Q1217" s="274" t="str">
        <f>VLOOKUP($B1217,'Run Reconcile'!B$2:O2488,14,FALSE)</f>
        <v/>
      </c>
      <c r="R1217" s="472" t="str">
        <f t="array" ref="R1217">IF($Q1217, INDEX('Run Reconcile'!A$2:A2488,MATCH(B1217,'Run Reconcile'!B$2:B2488,0),1),IFERROR(0/0,""))</f>
        <v/>
      </c>
      <c r="S1217" s="473" t="str">
        <f t="shared" si="694"/>
        <v/>
      </c>
      <c r="T1217" s="473" t="b">
        <f t="shared" si="698"/>
        <v>1</v>
      </c>
      <c r="U1217" s="8" t="str">
        <f t="array" ref="U1217">IF(ISBLANK($R1217), INDEX('Run Reconcile'!A$2:A2488, MATCH($B1217, 'Run Reconcile'!B$2:B2488, 0)+Z1217, 1), IFERROR(0/0,""))
</f>
        <v>RUN-FLMP_2022-05-09_APS-090</v>
      </c>
      <c r="V1217" s="474" t="str">
        <f t="shared" si="5"/>
        <v>RUN-FLMP_2022-05-09_APS-090</v>
      </c>
      <c r="X1217" s="8" t="s">
        <v>1488</v>
      </c>
      <c r="Y1217" s="21">
        <v>2.0</v>
      </c>
      <c r="Z1217" s="60">
        <f t="shared" si="7"/>
        <v>2</v>
      </c>
      <c r="AA1217" s="60" t="str">
        <f t="shared" si="8"/>
        <v/>
      </c>
      <c r="AB1217" s="60">
        <f t="shared" si="9"/>
        <v>2</v>
      </c>
      <c r="AC1217" s="30" t="str">
        <f t="shared" ref="AC1217:AD1217" si="1574">IF(_xlfn.ISFORMULA(S1217),IFERROR(0/0,""),TRUE)</f>
        <v/>
      </c>
      <c r="AD1217" s="30" t="str">
        <f t="shared" si="1574"/>
        <v/>
      </c>
      <c r="AE1217" s="475" t="str">
        <f>IFERROR(__xludf.DUMMYFUNCTION("""COMPUTED_VALUE"""),"CRLN")</f>
        <v>CRLN</v>
      </c>
      <c r="AF1217" s="476"/>
      <c r="AG1217" s="474" t="s">
        <v>211</v>
      </c>
      <c r="AH1217" s="138" t="str">
        <f t="shared" si="11"/>
        <v/>
      </c>
    </row>
    <row r="1218">
      <c r="A1218" s="103" t="str">
        <f>IFERROR(__xludf.DUMMYFUNCTION("""COMPUTED_VALUE"""),"AJ7592")</f>
        <v>AJ7592</v>
      </c>
      <c r="B1218" s="468">
        <f>IFERROR(__xludf.DUMMYFUNCTION("""COMPUTED_VALUE"""),44690.0)</f>
        <v>44690</v>
      </c>
      <c r="C1218" s="469">
        <f>IFERROR(__xludf.DUMMYFUNCTION("""COMPUTED_VALUE"""),0.3256134259259259)</f>
        <v>0.3256134259</v>
      </c>
      <c r="D1218" s="103" t="str">
        <f>IFERROR(__xludf.DUMMYFUNCTION("""COMPUTED_VALUE"""),"SpFLMP259015")</f>
        <v>SpFLMP259015</v>
      </c>
      <c r="E1218" s="103"/>
      <c r="F1218" s="103"/>
      <c r="G1218" s="103" t="str">
        <f>IFERROR(__xludf.DUMMYFUNCTION("""COMPUTED_VALUE"""),"Negative")</f>
        <v>Negative</v>
      </c>
      <c r="H1218" s="131" t="str">
        <f>IFERROR(__xludf.DUMMYFUNCTION("""COMPUTED_VALUE"""),"Negative")</f>
        <v>Negative</v>
      </c>
      <c r="I1218" s="468">
        <f>IFERROR(__xludf.DUMMYFUNCTION("""COMPUTED_VALUE"""),44690.0)</f>
        <v>44690</v>
      </c>
      <c r="J1218" s="470">
        <f>IFERROR(__xludf.DUMMYFUNCTION("""COMPUTED_VALUE"""),0.4891898148148148)</f>
        <v>0.4891898148</v>
      </c>
      <c r="K1218" s="16"/>
      <c r="L1218" s="8"/>
      <c r="M1218" s="69"/>
      <c r="N1218" s="69">
        <f>IFERROR(__xludf.DUMMYFUNCTION("""COMPUTED_VALUE"""),3.0)</f>
        <v>3</v>
      </c>
      <c r="O1218" s="69" t="str">
        <f t="shared" si="3"/>
        <v/>
      </c>
      <c r="P1218" s="471">
        <f>IFERROR(__xludf.DUMMYFUNCTION("""COMPUTED_VALUE"""),0.0)</f>
        <v>0</v>
      </c>
      <c r="Q1218" s="274" t="str">
        <f>VLOOKUP($B1218,'Run Reconcile'!B$2:O2488,14,FALSE)</f>
        <v/>
      </c>
      <c r="R1218" s="472" t="str">
        <f t="array" ref="R1218">IF($Q1218, INDEX('Run Reconcile'!A$2:A2488,MATCH(B1218,'Run Reconcile'!B$2:B2488,0),1),IFERROR(0/0,""))</f>
        <v/>
      </c>
      <c r="S1218" s="473" t="str">
        <f t="shared" si="694"/>
        <v/>
      </c>
      <c r="T1218" s="473" t="str">
        <f t="shared" si="698"/>
        <v/>
      </c>
      <c r="U1218" s="275" t="str">
        <f t="array" ref="U1218">IF(ISBLANK($R1218), INDEX('Run Reconcile'!A$2:A2488, MATCH($B1218, 'Run Reconcile'!B$2:B2488, 0)+Z1218, 1), IFERROR(0/0,""))
</f>
        <v>RUN-FLMP_2022-05-09_RFR-128</v>
      </c>
      <c r="V1218" s="474" t="str">
        <f t="shared" si="5"/>
        <v>RUN-FLMP_2022-05-09_RFR-128</v>
      </c>
      <c r="Y1218" s="89">
        <f>IF(AND(ISBLANK(W1218),ISBLANK(#REF!)),IFERROR(0/0,""),1)</f>
        <v>1</v>
      </c>
      <c r="Z1218" s="60" t="str">
        <f t="shared" si="7"/>
        <v/>
      </c>
      <c r="AA1218" s="60" t="str">
        <f t="shared" si="8"/>
        <v/>
      </c>
      <c r="AB1218" s="60" t="str">
        <f t="shared" si="9"/>
        <v/>
      </c>
      <c r="AC1218" s="30" t="str">
        <f t="shared" ref="AC1218:AD1218" si="1575">IF(_xlfn.ISFORMULA(S1218),IFERROR(0/0,""),TRUE)</f>
        <v/>
      </c>
      <c r="AD1218" s="30" t="str">
        <f t="shared" si="1575"/>
        <v/>
      </c>
      <c r="AE1218" s="475" t="str">
        <f>IFERROR(__xludf.DUMMYFUNCTION("""COMPUTED_VALUE"""),"CRLN")</f>
        <v>CRLN</v>
      </c>
      <c r="AF1218" s="476"/>
      <c r="AG1218" s="474" t="s">
        <v>212</v>
      </c>
      <c r="AH1218" s="138" t="str">
        <f t="shared" si="11"/>
        <v/>
      </c>
    </row>
    <row r="1219">
      <c r="A1219" s="103" t="str">
        <f>IFERROR(__xludf.DUMMYFUNCTION("""COMPUTED_VALUE"""),"AG317")</f>
        <v>AG317</v>
      </c>
      <c r="B1219" s="468">
        <f>IFERROR(__xludf.DUMMYFUNCTION("""COMPUTED_VALUE"""),44690.0)</f>
        <v>44690</v>
      </c>
      <c r="C1219" s="469">
        <f>IFERROR(__xludf.DUMMYFUNCTION("""COMPUTED_VALUE"""),0.32612268518518517)</f>
        <v>0.3261226852</v>
      </c>
      <c r="D1219" s="103" t="str">
        <f>IFERROR(__xludf.DUMMYFUNCTION("""COMPUTED_VALUE"""),"SpFLMP259015")</f>
        <v>SpFLMP259015</v>
      </c>
      <c r="E1219" s="103"/>
      <c r="F1219" s="103"/>
      <c r="G1219" s="103" t="str">
        <f>IFERROR(__xludf.DUMMYFUNCTION("""COMPUTED_VALUE"""),"Negative")</f>
        <v>Negative</v>
      </c>
      <c r="H1219" s="131" t="str">
        <f>IFERROR(__xludf.DUMMYFUNCTION("""COMPUTED_VALUE"""),"Negative")</f>
        <v>Negative</v>
      </c>
      <c r="I1219" s="468">
        <f>IFERROR(__xludf.DUMMYFUNCTION("""COMPUTED_VALUE"""),44690.0)</f>
        <v>44690</v>
      </c>
      <c r="J1219" s="470">
        <f>IFERROR(__xludf.DUMMYFUNCTION("""COMPUTED_VALUE"""),0.5041782407407407)</f>
        <v>0.5041782407</v>
      </c>
      <c r="K1219" s="16"/>
      <c r="L1219" s="8"/>
      <c r="M1219" s="69"/>
      <c r="N1219" s="69">
        <f>IFERROR(__xludf.DUMMYFUNCTION("""COMPUTED_VALUE"""),3.0)</f>
        <v>3</v>
      </c>
      <c r="O1219" s="69" t="str">
        <f t="shared" si="3"/>
        <v/>
      </c>
      <c r="P1219" s="471">
        <f>IFERROR(__xludf.DUMMYFUNCTION("""COMPUTED_VALUE"""),0.0)</f>
        <v>0</v>
      </c>
      <c r="Q1219" s="274" t="str">
        <f>VLOOKUP($B1219,'Run Reconcile'!B$2:O2488,14,FALSE)</f>
        <v/>
      </c>
      <c r="R1219" s="472" t="str">
        <f t="array" ref="R1219">IF($Q1219, INDEX('Run Reconcile'!A$2:A2488,MATCH(B1219,'Run Reconcile'!B$2:B2488,0),1),IFERROR(0/0,""))</f>
        <v/>
      </c>
      <c r="S1219" s="473" t="str">
        <f t="shared" si="694"/>
        <v/>
      </c>
      <c r="T1219" s="473" t="str">
        <f t="shared" si="698"/>
        <v/>
      </c>
      <c r="U1219" s="275" t="str">
        <f t="array" ref="U1219">IF(ISBLANK($R1219), INDEX('Run Reconcile'!A$2:A2488, MATCH($B1219, 'Run Reconcile'!B$2:B2488, 0)+Z1219, 1), IFERROR(0/0,""))
</f>
        <v>RUN-FLMP_2022-05-09_RFR-128</v>
      </c>
      <c r="V1219" s="474" t="str">
        <f t="shared" si="5"/>
        <v>RUN-FLMP_2022-05-09_RFR-128</v>
      </c>
      <c r="Y1219" s="89" t="str">
        <f t="shared" ref="Y1219:Y1220" si="1577">IF(AND(ISBLANK(W1219),ISBLANK(X1219)),IFERROR(0/0,""),1)</f>
        <v/>
      </c>
      <c r="Z1219" s="60" t="str">
        <f t="shared" si="7"/>
        <v/>
      </c>
      <c r="AA1219" s="60" t="str">
        <f t="shared" si="8"/>
        <v/>
      </c>
      <c r="AB1219" s="60" t="str">
        <f t="shared" si="9"/>
        <v/>
      </c>
      <c r="AC1219" s="30" t="str">
        <f t="shared" ref="AC1219:AD1219" si="1576">IF(_xlfn.ISFORMULA(S1219),IFERROR(0/0,""),TRUE)</f>
        <v/>
      </c>
      <c r="AD1219" s="30" t="str">
        <f t="shared" si="1576"/>
        <v/>
      </c>
      <c r="AE1219" s="475" t="str">
        <f>IFERROR(__xludf.DUMMYFUNCTION("""COMPUTED_VALUE"""),"CRLN")</f>
        <v>CRLN</v>
      </c>
      <c r="AF1219" s="476"/>
      <c r="AG1219" s="474" t="s">
        <v>212</v>
      </c>
      <c r="AH1219" s="138" t="str">
        <f t="shared" si="11"/>
        <v/>
      </c>
    </row>
    <row r="1220">
      <c r="A1220" s="103" t="str">
        <f>IFERROR(__xludf.DUMMYFUNCTION("""COMPUTED_VALUE"""),"AG1533")</f>
        <v>AG1533</v>
      </c>
      <c r="B1220" s="468">
        <f>IFERROR(__xludf.DUMMYFUNCTION("""COMPUTED_VALUE"""),44690.0)</f>
        <v>44690</v>
      </c>
      <c r="C1220" s="469">
        <f>IFERROR(__xludf.DUMMYFUNCTION("""COMPUTED_VALUE"""),0.32645833333333335)</f>
        <v>0.3264583333</v>
      </c>
      <c r="D1220" s="103" t="str">
        <f>IFERROR(__xludf.DUMMYFUNCTION("""COMPUTED_VALUE"""),"SpFLMP777132")</f>
        <v>SpFLMP777132</v>
      </c>
      <c r="E1220" s="103"/>
      <c r="F1220" s="103"/>
      <c r="G1220" s="103" t="str">
        <f>IFERROR(__xludf.DUMMYFUNCTION("""COMPUTED_VALUE"""),"Negative")</f>
        <v>Negative</v>
      </c>
      <c r="H1220" s="131" t="str">
        <f>IFERROR(__xludf.DUMMYFUNCTION("""COMPUTED_VALUE"""),"Negative")</f>
        <v>Negative</v>
      </c>
      <c r="I1220" s="468">
        <f>IFERROR(__xludf.DUMMYFUNCTION("""COMPUTED_VALUE"""),44690.0)</f>
        <v>44690</v>
      </c>
      <c r="J1220" s="470">
        <f>IFERROR(__xludf.DUMMYFUNCTION("""COMPUTED_VALUE"""),0.4891898148148148)</f>
        <v>0.4891898148</v>
      </c>
      <c r="K1220" s="16"/>
      <c r="L1220" s="8"/>
      <c r="M1220" s="69"/>
      <c r="N1220" s="69">
        <f>IFERROR(__xludf.DUMMYFUNCTION("""COMPUTED_VALUE"""),4.0)</f>
        <v>4</v>
      </c>
      <c r="O1220" s="69" t="str">
        <f t="shared" si="3"/>
        <v/>
      </c>
      <c r="P1220" s="471">
        <f>IFERROR(__xludf.DUMMYFUNCTION("""COMPUTED_VALUE"""),0.0)</f>
        <v>0</v>
      </c>
      <c r="Q1220" s="274" t="str">
        <f>VLOOKUP($B1220,'Run Reconcile'!B$2:O2488,14,FALSE)</f>
        <v/>
      </c>
      <c r="R1220" s="472" t="str">
        <f t="array" ref="R1220">IF($Q1220, INDEX('Run Reconcile'!A$2:A2488,MATCH(B1220,'Run Reconcile'!B$2:B2488,0),1),IFERROR(0/0,""))</f>
        <v/>
      </c>
      <c r="S1220" s="473" t="str">
        <f t="shared" si="694"/>
        <v/>
      </c>
      <c r="T1220" s="473" t="str">
        <f t="shared" si="698"/>
        <v/>
      </c>
      <c r="U1220" s="275" t="str">
        <f t="array" ref="U1220">IF(ISBLANK($R1220), INDEX('Run Reconcile'!A$2:A2488, MATCH($B1220, 'Run Reconcile'!B$2:B2488, 0)+Z1220, 1), IFERROR(0/0,""))
</f>
        <v>RUN-FLMP_2022-05-09_RFR-128</v>
      </c>
      <c r="V1220" s="474" t="str">
        <f t="shared" si="5"/>
        <v>RUN-FLMP_2022-05-09_RFR-128</v>
      </c>
      <c r="Y1220" s="89" t="str">
        <f t="shared" si="1577"/>
        <v/>
      </c>
      <c r="Z1220" s="60" t="str">
        <f t="shared" si="7"/>
        <v/>
      </c>
      <c r="AA1220" s="60" t="str">
        <f t="shared" si="8"/>
        <v/>
      </c>
      <c r="AB1220" s="60" t="str">
        <f t="shared" si="9"/>
        <v/>
      </c>
      <c r="AC1220" s="30" t="str">
        <f t="shared" ref="AC1220:AD1220" si="1578">IF(_xlfn.ISFORMULA(S1220),IFERROR(0/0,""),TRUE)</f>
        <v/>
      </c>
      <c r="AD1220" s="30" t="str">
        <f t="shared" si="1578"/>
        <v/>
      </c>
      <c r="AE1220" s="475" t="str">
        <f>IFERROR(__xludf.DUMMYFUNCTION("""COMPUTED_VALUE"""),"CRLN")</f>
        <v>CRLN</v>
      </c>
      <c r="AF1220" s="476"/>
      <c r="AG1220" s="474" t="s">
        <v>212</v>
      </c>
      <c r="AH1220" s="138" t="str">
        <f t="shared" si="11"/>
        <v/>
      </c>
    </row>
    <row r="1221">
      <c r="A1221" s="498" t="str">
        <f>IFERROR(__xludf.DUMMYFUNCTION("""COMPUTED_VALUE"""),"FLB7409")</f>
        <v>FLB7409</v>
      </c>
      <c r="B1221" s="499">
        <f>IFERROR(__xludf.DUMMYFUNCTION("""COMPUTED_VALUE"""),44690.0)</f>
        <v>44690</v>
      </c>
      <c r="C1221" s="500">
        <f>IFERROR(__xludf.DUMMYFUNCTION("""COMPUTED_VALUE"""),0.3294560185185185)</f>
        <v>0.3294560185</v>
      </c>
      <c r="D1221" s="498" t="str">
        <f>IFERROR(__xludf.DUMMYFUNCTION("""COMPUTED_VALUE"""),"SpFLMP659315")</f>
        <v>SpFLMP659315</v>
      </c>
      <c r="E1221" s="498"/>
      <c r="F1221" s="498"/>
      <c r="G1221" s="498" t="str">
        <f>IFERROR(__xludf.DUMMYFUNCTION("""COMPUTED_VALUE"""),"Null")</f>
        <v>Null</v>
      </c>
      <c r="H1221" s="501" t="str">
        <f>IFERROR(__xludf.DUMMYFUNCTION("""COMPUTED_VALUE"""),"Negative")</f>
        <v>Negative</v>
      </c>
      <c r="I1221" s="499">
        <f>IFERROR(__xludf.DUMMYFUNCTION("""COMPUTED_VALUE"""),44690.0)</f>
        <v>44690</v>
      </c>
      <c r="J1221" s="502">
        <f>IFERROR(__xludf.DUMMYFUNCTION("""COMPUTED_VALUE"""),0.3329050925925926)</f>
        <v>0.3329050926</v>
      </c>
      <c r="K1221" s="522">
        <f>IFERROR(__xludf.DUMMYFUNCTION("""COMPUTED_VALUE"""),2.0)</f>
        <v>2</v>
      </c>
      <c r="L1221" s="523" t="str">
        <f>IFERROR(__xludf.DUMMYFUNCTION("""COMPUTED_VALUE"""),"resulted neg in daily result report")</f>
        <v>resulted neg in daily result report</v>
      </c>
      <c r="M1221" s="69"/>
      <c r="N1221" s="69">
        <f>IFERROR(__xludf.DUMMYFUNCTION("""COMPUTED_VALUE"""),2.0)</f>
        <v>2</v>
      </c>
      <c r="O1221" s="69" t="str">
        <f t="shared" si="3"/>
        <v/>
      </c>
      <c r="P1221" s="471">
        <f>IFERROR(__xludf.DUMMYFUNCTION("""COMPUTED_VALUE"""),0.0)</f>
        <v>0</v>
      </c>
      <c r="Q1221" s="274" t="str">
        <f>VLOOKUP($B1221,'Run Reconcile'!B$2:O2488,14,FALSE)</f>
        <v/>
      </c>
      <c r="R1221" s="472" t="str">
        <f t="array" ref="R1221">IF($Q1221, INDEX('Run Reconcile'!A$2:A2488,MATCH(B1221,'Run Reconcile'!B$2:B2488,0),1),IFERROR(0/0,""))</f>
        <v/>
      </c>
      <c r="S1221" s="473" t="str">
        <f t="shared" si="694"/>
        <v/>
      </c>
      <c r="T1221" s="473" t="b">
        <f t="shared" si="698"/>
        <v>1</v>
      </c>
      <c r="U1221" s="8" t="str">
        <f t="array" ref="U1221">IF(ISBLANK($R1221), INDEX('Run Reconcile'!A$2:A2488, MATCH($B1221, 'Run Reconcile'!B$2:B2488, 0)+Z1221, 1), IFERROR(0/0,""))
</f>
        <v>RUN-FLMP_2022-05-09_APS-090</v>
      </c>
      <c r="V1221" s="474" t="str">
        <f t="shared" si="5"/>
        <v>RUN-FLMP_2022-05-09_APS-090</v>
      </c>
      <c r="X1221" s="8" t="s">
        <v>1489</v>
      </c>
      <c r="Y1221" s="21">
        <v>2.0</v>
      </c>
      <c r="Z1221" s="60">
        <f t="shared" si="7"/>
        <v>2</v>
      </c>
      <c r="AA1221" s="60" t="str">
        <f t="shared" si="8"/>
        <v/>
      </c>
      <c r="AB1221" s="60">
        <f t="shared" si="9"/>
        <v>2</v>
      </c>
      <c r="AC1221" s="30" t="str">
        <f t="shared" ref="AC1221:AD1221" si="1579">IF(_xlfn.ISFORMULA(S1221),IFERROR(0/0,""),TRUE)</f>
        <v/>
      </c>
      <c r="AD1221" s="30" t="str">
        <f t="shared" si="1579"/>
        <v/>
      </c>
      <c r="AE1221" s="475" t="str">
        <f>IFERROR(__xludf.DUMMYFUNCTION("""COMPUTED_VALUE"""),"CRLN")</f>
        <v>CRLN</v>
      </c>
      <c r="AF1221" s="476"/>
      <c r="AG1221" s="474" t="s">
        <v>211</v>
      </c>
      <c r="AH1221" s="138" t="str">
        <f t="shared" si="11"/>
        <v/>
      </c>
    </row>
    <row r="1222">
      <c r="A1222" s="103" t="str">
        <f>IFERROR(__xludf.DUMMYFUNCTION("""COMPUTED_VALUE"""),"AJ7469")</f>
        <v>AJ7469</v>
      </c>
      <c r="B1222" s="468">
        <f>IFERROR(__xludf.DUMMYFUNCTION("""COMPUTED_VALUE"""),44690.0)</f>
        <v>44690</v>
      </c>
      <c r="C1222" s="469">
        <f>IFERROR(__xludf.DUMMYFUNCTION("""COMPUTED_VALUE"""),0.3302662037037037)</f>
        <v>0.3302662037</v>
      </c>
      <c r="D1222" s="103" t="str">
        <f>IFERROR(__xludf.DUMMYFUNCTION("""COMPUTED_VALUE"""),"SpFLMP690282")</f>
        <v>SpFLMP690282</v>
      </c>
      <c r="E1222" s="103"/>
      <c r="F1222" s="103"/>
      <c r="G1222" s="103" t="str">
        <f>IFERROR(__xludf.DUMMYFUNCTION("""COMPUTED_VALUE"""),"Negative")</f>
        <v>Negative</v>
      </c>
      <c r="H1222" s="131" t="str">
        <f>IFERROR(__xludf.DUMMYFUNCTION("""COMPUTED_VALUE"""),"Negative")</f>
        <v>Negative</v>
      </c>
      <c r="I1222" s="468">
        <f>IFERROR(__xludf.DUMMYFUNCTION("""COMPUTED_VALUE"""),44690.0)</f>
        <v>44690</v>
      </c>
      <c r="J1222" s="470">
        <f>IFERROR(__xludf.DUMMYFUNCTION("""COMPUTED_VALUE"""),0.4891898148148148)</f>
        <v>0.4891898148</v>
      </c>
      <c r="K1222" s="16"/>
      <c r="L1222" s="8"/>
      <c r="M1222" s="69"/>
      <c r="N1222" s="69">
        <f>IFERROR(__xludf.DUMMYFUNCTION("""COMPUTED_VALUE"""),1.0)</f>
        <v>1</v>
      </c>
      <c r="O1222" s="69" t="str">
        <f t="shared" si="3"/>
        <v/>
      </c>
      <c r="P1222" s="471">
        <f>IFERROR(__xludf.DUMMYFUNCTION("""COMPUTED_VALUE"""),0.0)</f>
        <v>0</v>
      </c>
      <c r="Q1222" s="274" t="str">
        <f>VLOOKUP($B1222,'Run Reconcile'!B$2:O2488,14,FALSE)</f>
        <v/>
      </c>
      <c r="R1222" s="472" t="str">
        <f t="array" ref="R1222">IF($Q1222, INDEX('Run Reconcile'!A$2:A2488,MATCH(B1222,'Run Reconcile'!B$2:B2488,0),1),IFERROR(0/0,""))</f>
        <v/>
      </c>
      <c r="S1222" s="473" t="str">
        <f t="shared" si="694"/>
        <v/>
      </c>
      <c r="T1222" s="473" t="str">
        <f t="shared" si="698"/>
        <v/>
      </c>
      <c r="U1222" s="275" t="str">
        <f t="array" ref="U1222">IF(ISBLANK($R1222), INDEX('Run Reconcile'!A$2:A2488, MATCH($B1222, 'Run Reconcile'!B$2:B2488, 0)+Z1222, 1), IFERROR(0/0,""))
</f>
        <v>RUN-FLMP_2022-05-09_RFR-128</v>
      </c>
      <c r="V1222" s="474" t="str">
        <f t="shared" si="5"/>
        <v>RUN-FLMP_2022-05-09_RFR-128</v>
      </c>
      <c r="Y1222" s="89" t="str">
        <f t="shared" ref="Y1222:Y1357" si="1581">IF(AND(ISBLANK(W1222),ISBLANK(X1222)),IFERROR(0/0,""),1)</f>
        <v/>
      </c>
      <c r="Z1222" s="60" t="str">
        <f t="shared" si="7"/>
        <v/>
      </c>
      <c r="AA1222" s="60" t="str">
        <f t="shared" si="8"/>
        <v/>
      </c>
      <c r="AB1222" s="60" t="str">
        <f t="shared" si="9"/>
        <v/>
      </c>
      <c r="AC1222" s="30" t="str">
        <f t="shared" ref="AC1222:AD1222" si="1580">IF(_xlfn.ISFORMULA(S1222),IFERROR(0/0,""),TRUE)</f>
        <v/>
      </c>
      <c r="AD1222" s="30" t="str">
        <f t="shared" si="1580"/>
        <v/>
      </c>
      <c r="AE1222" s="475" t="str">
        <f>IFERROR(__xludf.DUMMYFUNCTION("""COMPUTED_VALUE"""),"CRLN")</f>
        <v>CRLN</v>
      </c>
      <c r="AF1222" s="476"/>
      <c r="AG1222" s="474" t="s">
        <v>212</v>
      </c>
      <c r="AH1222" s="138" t="str">
        <f t="shared" si="11"/>
        <v/>
      </c>
    </row>
    <row r="1223">
      <c r="A1223" s="103" t="str">
        <f>IFERROR(__xludf.DUMMYFUNCTION("""COMPUTED_VALUE"""),"AJ8958")</f>
        <v>AJ8958</v>
      </c>
      <c r="B1223" s="468">
        <f>IFERROR(__xludf.DUMMYFUNCTION("""COMPUTED_VALUE"""),44690.0)</f>
        <v>44690</v>
      </c>
      <c r="C1223" s="469">
        <f>IFERROR(__xludf.DUMMYFUNCTION("""COMPUTED_VALUE"""),0.331712962962963)</f>
        <v>0.331712963</v>
      </c>
      <c r="D1223" s="103" t="str">
        <f>IFERROR(__xludf.DUMMYFUNCTION("""COMPUTED_VALUE"""),"SpFLMP965392")</f>
        <v>SpFLMP965392</v>
      </c>
      <c r="E1223" s="103"/>
      <c r="F1223" s="103"/>
      <c r="G1223" s="103" t="str">
        <f>IFERROR(__xludf.DUMMYFUNCTION("""COMPUTED_VALUE"""),"Positive")</f>
        <v>Positive</v>
      </c>
      <c r="H1223" s="131" t="str">
        <f>IFERROR(__xludf.DUMMYFUNCTION("""COMPUTED_VALUE"""),"Positive")</f>
        <v>Positive</v>
      </c>
      <c r="I1223" s="468">
        <f>IFERROR(__xludf.DUMMYFUNCTION("""COMPUTED_VALUE"""),44690.0)</f>
        <v>44690</v>
      </c>
      <c r="J1223" s="470">
        <f>IFERROR(__xludf.DUMMYFUNCTION("""COMPUTED_VALUE"""),0.495787037037037)</f>
        <v>0.495787037</v>
      </c>
      <c r="K1223" s="16"/>
      <c r="L1223" s="8"/>
      <c r="M1223" s="69"/>
      <c r="N1223" s="69">
        <f>IFERROR(__xludf.DUMMYFUNCTION("""COMPUTED_VALUE"""),4.0)</f>
        <v>4</v>
      </c>
      <c r="O1223" s="69" t="str">
        <f t="shared" si="3"/>
        <v/>
      </c>
      <c r="P1223" s="471">
        <f>IFERROR(__xludf.DUMMYFUNCTION("""COMPUTED_VALUE"""),0.0)</f>
        <v>0</v>
      </c>
      <c r="Q1223" s="274" t="str">
        <f>VLOOKUP($B1223,'Run Reconcile'!B$2:O2488,14,FALSE)</f>
        <v/>
      </c>
      <c r="R1223" s="472" t="str">
        <f t="array" ref="R1223">IF($Q1223, INDEX('Run Reconcile'!A$2:A2488,MATCH(B1223,'Run Reconcile'!B$2:B2488,0),1),IFERROR(0/0,""))</f>
        <v/>
      </c>
      <c r="S1223" s="473" t="str">
        <f t="shared" si="694"/>
        <v/>
      </c>
      <c r="T1223" s="473" t="str">
        <f t="shared" si="698"/>
        <v/>
      </c>
      <c r="U1223" s="275" t="str">
        <f t="array" ref="U1223">IF(ISBLANK($R1223), INDEX('Run Reconcile'!A$2:A2488, MATCH($B1223, 'Run Reconcile'!B$2:B2488, 0)+Z1223, 1), IFERROR(0/0,""))
</f>
        <v>RUN-FLMP_2022-05-09_RFR-128</v>
      </c>
      <c r="V1223" s="474" t="str">
        <f t="shared" si="5"/>
        <v>RUN-FLMP_2022-05-09_RFR-128</v>
      </c>
      <c r="Y1223" s="89" t="str">
        <f t="shared" si="1581"/>
        <v/>
      </c>
      <c r="Z1223" s="60" t="str">
        <f t="shared" si="7"/>
        <v/>
      </c>
      <c r="AA1223" s="60" t="str">
        <f t="shared" si="8"/>
        <v/>
      </c>
      <c r="AB1223" s="60" t="str">
        <f t="shared" si="9"/>
        <v/>
      </c>
      <c r="AC1223" s="30" t="str">
        <f t="shared" ref="AC1223:AD1223" si="1582">IF(_xlfn.ISFORMULA(S1223),IFERROR(0/0,""),TRUE)</f>
        <v/>
      </c>
      <c r="AD1223" s="30" t="str">
        <f t="shared" si="1582"/>
        <v/>
      </c>
      <c r="AE1223" s="475" t="str">
        <f>IFERROR(__xludf.DUMMYFUNCTION("""COMPUTED_VALUE"""),"CRLN")</f>
        <v>CRLN</v>
      </c>
      <c r="AF1223" s="476"/>
      <c r="AG1223" s="474" t="s">
        <v>212</v>
      </c>
      <c r="AH1223" s="138" t="str">
        <f t="shared" si="11"/>
        <v/>
      </c>
    </row>
    <row r="1224">
      <c r="A1224" s="103" t="str">
        <f>IFERROR(__xludf.DUMMYFUNCTION("""COMPUTED_VALUE"""),"AH520")</f>
        <v>AH520</v>
      </c>
      <c r="B1224" s="468">
        <f>IFERROR(__xludf.DUMMYFUNCTION("""COMPUTED_VALUE"""),44690.0)</f>
        <v>44690</v>
      </c>
      <c r="C1224" s="469">
        <f>IFERROR(__xludf.DUMMYFUNCTION("""COMPUTED_VALUE"""),0.34520833333333334)</f>
        <v>0.3452083333</v>
      </c>
      <c r="D1224" s="103" t="str">
        <f>IFERROR(__xludf.DUMMYFUNCTION("""COMPUTED_VALUE"""),"SpFLMP314549")</f>
        <v>SpFLMP314549</v>
      </c>
      <c r="E1224" s="103"/>
      <c r="F1224" s="103"/>
      <c r="G1224" s="103" t="str">
        <f>IFERROR(__xludf.DUMMYFUNCTION("""COMPUTED_VALUE"""),"Negative")</f>
        <v>Negative</v>
      </c>
      <c r="H1224" s="131" t="str">
        <f>IFERROR(__xludf.DUMMYFUNCTION("""COMPUTED_VALUE"""),"Negative")</f>
        <v>Negative</v>
      </c>
      <c r="I1224" s="468">
        <f>IFERROR(__xludf.DUMMYFUNCTION("""COMPUTED_VALUE"""),44690.0)</f>
        <v>44690</v>
      </c>
      <c r="J1224" s="470">
        <f>IFERROR(__xludf.DUMMYFUNCTION("""COMPUTED_VALUE"""),0.5041666666666667)</f>
        <v>0.5041666667</v>
      </c>
      <c r="K1224" s="16"/>
      <c r="L1224" s="8"/>
      <c r="M1224" s="69"/>
      <c r="N1224" s="69">
        <f>IFERROR(__xludf.DUMMYFUNCTION("""COMPUTED_VALUE"""),1.0)</f>
        <v>1</v>
      </c>
      <c r="O1224" s="69" t="str">
        <f t="shared" si="3"/>
        <v/>
      </c>
      <c r="P1224" s="471">
        <f>IFERROR(__xludf.DUMMYFUNCTION("""COMPUTED_VALUE"""),0.0)</f>
        <v>0</v>
      </c>
      <c r="Q1224" s="274" t="str">
        <f>VLOOKUP($B1224,'Run Reconcile'!B$2:O2488,14,FALSE)</f>
        <v/>
      </c>
      <c r="R1224" s="472" t="str">
        <f t="array" ref="R1224">IF($Q1224, INDEX('Run Reconcile'!A$2:A2488,MATCH(B1224,'Run Reconcile'!B$2:B2488,0),1),IFERROR(0/0,""))</f>
        <v/>
      </c>
      <c r="S1224" s="473" t="str">
        <f t="shared" si="694"/>
        <v/>
      </c>
      <c r="T1224" s="473" t="str">
        <f t="shared" si="698"/>
        <v/>
      </c>
      <c r="U1224" s="275" t="str">
        <f t="array" ref="U1224">IF(ISBLANK($R1224), INDEX('Run Reconcile'!A$2:A2488, MATCH($B1224, 'Run Reconcile'!B$2:B2488, 0)+Z1224, 1), IFERROR(0/0,""))
</f>
        <v>RUN-FLMP_2022-05-09_RFR-128</v>
      </c>
      <c r="V1224" s="474" t="str">
        <f t="shared" si="5"/>
        <v>RUN-FLMP_2022-05-09_RFR-128</v>
      </c>
      <c r="Y1224" s="89" t="str">
        <f t="shared" si="1581"/>
        <v/>
      </c>
      <c r="Z1224" s="60" t="str">
        <f t="shared" si="7"/>
        <v/>
      </c>
      <c r="AA1224" s="60" t="str">
        <f t="shared" si="8"/>
        <v/>
      </c>
      <c r="AB1224" s="60" t="str">
        <f t="shared" si="9"/>
        <v/>
      </c>
      <c r="AC1224" s="30" t="str">
        <f t="shared" ref="AC1224:AD1224" si="1583">IF(_xlfn.ISFORMULA(S1224),IFERROR(0/0,""),TRUE)</f>
        <v/>
      </c>
      <c r="AD1224" s="30" t="str">
        <f t="shared" si="1583"/>
        <v/>
      </c>
      <c r="AE1224" s="475" t="str">
        <f>IFERROR(__xludf.DUMMYFUNCTION("""COMPUTED_VALUE"""),"CRLN")</f>
        <v>CRLN</v>
      </c>
      <c r="AF1224" s="476"/>
      <c r="AG1224" s="474" t="s">
        <v>212</v>
      </c>
      <c r="AH1224" s="138" t="str">
        <f t="shared" si="11"/>
        <v/>
      </c>
    </row>
    <row r="1225">
      <c r="A1225" s="103" t="str">
        <f>IFERROR(__xludf.DUMMYFUNCTION("""COMPUTED_VALUE"""),"AH1707")</f>
        <v>AH1707</v>
      </c>
      <c r="B1225" s="468">
        <f>IFERROR(__xludf.DUMMYFUNCTION("""COMPUTED_VALUE"""),44690.0)</f>
        <v>44690</v>
      </c>
      <c r="C1225" s="469">
        <f>IFERROR(__xludf.DUMMYFUNCTION("""COMPUTED_VALUE"""),0.3518981481481481)</f>
        <v>0.3518981481</v>
      </c>
      <c r="D1225" s="103" t="str">
        <f>IFERROR(__xludf.DUMMYFUNCTION("""COMPUTED_VALUE"""),"SpFLMP604497")</f>
        <v>SpFLMP604497</v>
      </c>
      <c r="E1225" s="103"/>
      <c r="F1225" s="103"/>
      <c r="G1225" s="103" t="str">
        <f>IFERROR(__xludf.DUMMYFUNCTION("""COMPUTED_VALUE"""),"Negative")</f>
        <v>Negative</v>
      </c>
      <c r="H1225" s="131" t="str">
        <f>IFERROR(__xludf.DUMMYFUNCTION("""COMPUTED_VALUE"""),"Negative")</f>
        <v>Negative</v>
      </c>
      <c r="I1225" s="468">
        <f>IFERROR(__xludf.DUMMYFUNCTION("""COMPUTED_VALUE"""),44690.0)</f>
        <v>44690</v>
      </c>
      <c r="J1225" s="470">
        <f>IFERROR(__xludf.DUMMYFUNCTION("""COMPUTED_VALUE"""),0.5041782407407407)</f>
        <v>0.5041782407</v>
      </c>
      <c r="K1225" s="16"/>
      <c r="L1225" s="8"/>
      <c r="M1225" s="69"/>
      <c r="N1225" s="69">
        <f>IFERROR(__xludf.DUMMYFUNCTION("""COMPUTED_VALUE"""),4.0)</f>
        <v>4</v>
      </c>
      <c r="O1225" s="69" t="str">
        <f t="shared" si="3"/>
        <v/>
      </c>
      <c r="P1225" s="471">
        <f>IFERROR(__xludf.DUMMYFUNCTION("""COMPUTED_VALUE"""),0.0)</f>
        <v>0</v>
      </c>
      <c r="Q1225" s="274" t="str">
        <f>VLOOKUP($B1225,'Run Reconcile'!B$2:O2488,14,FALSE)</f>
        <v/>
      </c>
      <c r="R1225" s="472" t="str">
        <f t="array" ref="R1225">IF($Q1225, INDEX('Run Reconcile'!A$2:A2488,MATCH(B1225,'Run Reconcile'!B$2:B2488,0),1),IFERROR(0/0,""))</f>
        <v/>
      </c>
      <c r="S1225" s="473" t="str">
        <f t="shared" si="694"/>
        <v/>
      </c>
      <c r="T1225" s="473" t="str">
        <f t="shared" si="698"/>
        <v/>
      </c>
      <c r="U1225" s="275" t="str">
        <f t="array" ref="U1225">IF(ISBLANK($R1225), INDEX('Run Reconcile'!A$2:A2488, MATCH($B1225, 'Run Reconcile'!B$2:B2488, 0)+Z1225, 1), IFERROR(0/0,""))
</f>
        <v>RUN-FLMP_2022-05-09_RFR-128</v>
      </c>
      <c r="V1225" s="474" t="str">
        <f t="shared" si="5"/>
        <v>RUN-FLMP_2022-05-09_RFR-128</v>
      </c>
      <c r="Y1225" s="89" t="str">
        <f t="shared" si="1581"/>
        <v/>
      </c>
      <c r="Z1225" s="60" t="str">
        <f t="shared" si="7"/>
        <v/>
      </c>
      <c r="AA1225" s="60" t="str">
        <f t="shared" si="8"/>
        <v/>
      </c>
      <c r="AB1225" s="60" t="str">
        <f t="shared" si="9"/>
        <v/>
      </c>
      <c r="AC1225" s="30" t="str">
        <f t="shared" ref="AC1225:AD1225" si="1584">IF(_xlfn.ISFORMULA(S1225),IFERROR(0/0,""),TRUE)</f>
        <v/>
      </c>
      <c r="AD1225" s="30" t="str">
        <f t="shared" si="1584"/>
        <v/>
      </c>
      <c r="AE1225" s="475" t="str">
        <f>IFERROR(__xludf.DUMMYFUNCTION("""COMPUTED_VALUE"""),"CRLN")</f>
        <v>CRLN</v>
      </c>
      <c r="AF1225" s="476"/>
      <c r="AG1225" s="474" t="s">
        <v>212</v>
      </c>
      <c r="AH1225" s="138" t="str">
        <f t="shared" si="11"/>
        <v/>
      </c>
    </row>
    <row r="1226">
      <c r="A1226" s="103" t="str">
        <f>IFERROR(__xludf.DUMMYFUNCTION("""COMPUTED_VALUE"""),"AH7339")</f>
        <v>AH7339</v>
      </c>
      <c r="B1226" s="468">
        <f>IFERROR(__xludf.DUMMYFUNCTION("""COMPUTED_VALUE"""),44690.0)</f>
        <v>44690</v>
      </c>
      <c r="C1226" s="469">
        <f>IFERROR(__xludf.DUMMYFUNCTION("""COMPUTED_VALUE"""),0.3609027777777778)</f>
        <v>0.3609027778</v>
      </c>
      <c r="D1226" s="103" t="str">
        <f>IFERROR(__xludf.DUMMYFUNCTION("""COMPUTED_VALUE"""),"SpFLMP939619")</f>
        <v>SpFLMP939619</v>
      </c>
      <c r="E1226" s="103"/>
      <c r="F1226" s="103"/>
      <c r="G1226" s="103" t="str">
        <f>IFERROR(__xludf.DUMMYFUNCTION("""COMPUTED_VALUE"""),"Negative")</f>
        <v>Negative</v>
      </c>
      <c r="H1226" s="131" t="str">
        <f>IFERROR(__xludf.DUMMYFUNCTION("""COMPUTED_VALUE"""),"Negative")</f>
        <v>Negative</v>
      </c>
      <c r="I1226" s="468">
        <f>IFERROR(__xludf.DUMMYFUNCTION("""COMPUTED_VALUE"""),44690.0)</f>
        <v>44690</v>
      </c>
      <c r="J1226" s="470">
        <f>IFERROR(__xludf.DUMMYFUNCTION("""COMPUTED_VALUE"""),0.4891898148148148)</f>
        <v>0.4891898148</v>
      </c>
      <c r="K1226" s="16"/>
      <c r="L1226" s="8"/>
      <c r="M1226" s="69"/>
      <c r="N1226" s="69">
        <f>IFERROR(__xludf.DUMMYFUNCTION("""COMPUTED_VALUE"""),1.0)</f>
        <v>1</v>
      </c>
      <c r="O1226" s="69" t="str">
        <f t="shared" si="3"/>
        <v/>
      </c>
      <c r="P1226" s="471">
        <f>IFERROR(__xludf.DUMMYFUNCTION("""COMPUTED_VALUE"""),0.0)</f>
        <v>0</v>
      </c>
      <c r="Q1226" s="274" t="str">
        <f>VLOOKUP($B1226,'Run Reconcile'!B$2:O2488,14,FALSE)</f>
        <v/>
      </c>
      <c r="R1226" s="472" t="str">
        <f t="array" ref="R1226">IF($Q1226, INDEX('Run Reconcile'!A$2:A2488,MATCH(B1226,'Run Reconcile'!B$2:B2488,0),1),IFERROR(0/0,""))</f>
        <v/>
      </c>
      <c r="S1226" s="473" t="str">
        <f t="shared" si="694"/>
        <v/>
      </c>
      <c r="T1226" s="473" t="str">
        <f t="shared" si="698"/>
        <v/>
      </c>
      <c r="U1226" s="275" t="str">
        <f t="array" ref="U1226">IF(ISBLANK($R1226), INDEX('Run Reconcile'!A$2:A2488, MATCH($B1226, 'Run Reconcile'!B$2:B2488, 0)+Z1226, 1), IFERROR(0/0,""))
</f>
        <v>RUN-FLMP_2022-05-09_RFR-128</v>
      </c>
      <c r="V1226" s="474" t="str">
        <f t="shared" si="5"/>
        <v>RUN-FLMP_2022-05-09_RFR-128</v>
      </c>
      <c r="Y1226" s="89" t="str">
        <f t="shared" si="1581"/>
        <v/>
      </c>
      <c r="Z1226" s="60" t="str">
        <f t="shared" si="7"/>
        <v/>
      </c>
      <c r="AA1226" s="60" t="str">
        <f t="shared" si="8"/>
        <v/>
      </c>
      <c r="AB1226" s="60" t="str">
        <f t="shared" si="9"/>
        <v/>
      </c>
      <c r="AC1226" s="30" t="str">
        <f t="shared" ref="AC1226:AD1226" si="1585">IF(_xlfn.ISFORMULA(S1226),IFERROR(0/0,""),TRUE)</f>
        <v/>
      </c>
      <c r="AD1226" s="30" t="str">
        <f t="shared" si="1585"/>
        <v/>
      </c>
      <c r="AE1226" s="475" t="str">
        <f>IFERROR(__xludf.DUMMYFUNCTION("""COMPUTED_VALUE"""),"CRLN")</f>
        <v>CRLN</v>
      </c>
      <c r="AF1226" s="476"/>
      <c r="AG1226" s="474" t="s">
        <v>212</v>
      </c>
      <c r="AH1226" s="138" t="str">
        <f t="shared" si="11"/>
        <v/>
      </c>
    </row>
    <row r="1227">
      <c r="A1227" s="103" t="str">
        <f>IFERROR(__xludf.DUMMYFUNCTION("""COMPUTED_VALUE"""),"FLB6809")</f>
        <v>FLB6809</v>
      </c>
      <c r="B1227" s="468">
        <f>IFERROR(__xludf.DUMMYFUNCTION("""COMPUTED_VALUE"""),44690.0)</f>
        <v>44690</v>
      </c>
      <c r="C1227" s="469">
        <f>IFERROR(__xludf.DUMMYFUNCTION("""COMPUTED_VALUE"""),0.3634375)</f>
        <v>0.3634375</v>
      </c>
      <c r="D1227" s="103" t="str">
        <f>IFERROR(__xludf.DUMMYFUNCTION("""COMPUTED_VALUE"""),"SpFLMP684798")</f>
        <v>SpFLMP684798</v>
      </c>
      <c r="E1227" s="103"/>
      <c r="F1227" s="103"/>
      <c r="G1227" s="103" t="str">
        <f>IFERROR(__xludf.DUMMYFUNCTION("""COMPUTED_VALUE"""),"Negative")</f>
        <v>Negative</v>
      </c>
      <c r="H1227" s="131" t="str">
        <f>IFERROR(__xludf.DUMMYFUNCTION("""COMPUTED_VALUE"""),"Negative")</f>
        <v>Negative</v>
      </c>
      <c r="I1227" s="468">
        <f>IFERROR(__xludf.DUMMYFUNCTION("""COMPUTED_VALUE"""),44690.0)</f>
        <v>44690</v>
      </c>
      <c r="J1227" s="470">
        <f>IFERROR(__xludf.DUMMYFUNCTION("""COMPUTED_VALUE"""),0.4891898148148148)</f>
        <v>0.4891898148</v>
      </c>
      <c r="K1227" s="16"/>
      <c r="L1227" s="8"/>
      <c r="M1227" s="69"/>
      <c r="N1227" s="69">
        <f>IFERROR(__xludf.DUMMYFUNCTION("""COMPUTED_VALUE"""),2.0)</f>
        <v>2</v>
      </c>
      <c r="O1227" s="69" t="str">
        <f t="shared" si="3"/>
        <v/>
      </c>
      <c r="P1227" s="471">
        <f>IFERROR(__xludf.DUMMYFUNCTION("""COMPUTED_VALUE"""),0.0)</f>
        <v>0</v>
      </c>
      <c r="Q1227" s="274" t="str">
        <f>VLOOKUP($B1227,'Run Reconcile'!B$2:O2488,14,FALSE)</f>
        <v/>
      </c>
      <c r="R1227" s="472" t="str">
        <f t="array" ref="R1227">IF($Q1227, INDEX('Run Reconcile'!A$2:A2488,MATCH(B1227,'Run Reconcile'!B$2:B2488,0),1),IFERROR(0/0,""))</f>
        <v/>
      </c>
      <c r="S1227" s="473" t="str">
        <f t="shared" si="694"/>
        <v/>
      </c>
      <c r="T1227" s="473" t="str">
        <f t="shared" si="698"/>
        <v/>
      </c>
      <c r="U1227" s="275" t="str">
        <f t="array" ref="U1227">IF(ISBLANK($R1227), INDEX('Run Reconcile'!A$2:A2488, MATCH($B1227, 'Run Reconcile'!B$2:B2488, 0)+Z1227, 1), IFERROR(0/0,""))
</f>
        <v>RUN-FLMP_2022-05-09_RFR-128</v>
      </c>
      <c r="V1227" s="474" t="str">
        <f t="shared" si="5"/>
        <v>RUN-FLMP_2022-05-09_RFR-128</v>
      </c>
      <c r="Y1227" s="89" t="str">
        <f t="shared" si="1581"/>
        <v/>
      </c>
      <c r="Z1227" s="60" t="str">
        <f t="shared" si="7"/>
        <v/>
      </c>
      <c r="AA1227" s="60" t="str">
        <f t="shared" si="8"/>
        <v/>
      </c>
      <c r="AB1227" s="60" t="str">
        <f t="shared" si="9"/>
        <v/>
      </c>
      <c r="AC1227" s="30" t="str">
        <f t="shared" ref="AC1227:AD1227" si="1586">IF(_xlfn.ISFORMULA(S1227),IFERROR(0/0,""),TRUE)</f>
        <v/>
      </c>
      <c r="AD1227" s="30" t="str">
        <f t="shared" si="1586"/>
        <v/>
      </c>
      <c r="AE1227" s="475" t="str">
        <f>IFERROR(__xludf.DUMMYFUNCTION("""COMPUTED_VALUE"""),"CRLN")</f>
        <v>CRLN</v>
      </c>
      <c r="AF1227" s="476"/>
      <c r="AG1227" s="474" t="s">
        <v>212</v>
      </c>
      <c r="AH1227" s="138" t="str">
        <f t="shared" si="11"/>
        <v/>
      </c>
    </row>
    <row r="1228">
      <c r="A1228" s="103" t="str">
        <f>IFERROR(__xludf.DUMMYFUNCTION("""COMPUTED_VALUE"""),"AG896")</f>
        <v>AG896</v>
      </c>
      <c r="B1228" s="468">
        <f>IFERROR(__xludf.DUMMYFUNCTION("""COMPUTED_VALUE"""),44690.0)</f>
        <v>44690</v>
      </c>
      <c r="C1228" s="469">
        <f>IFERROR(__xludf.DUMMYFUNCTION("""COMPUTED_VALUE"""),0.36363425925925924)</f>
        <v>0.3636342593</v>
      </c>
      <c r="D1228" s="103" t="str">
        <f>IFERROR(__xludf.DUMMYFUNCTION("""COMPUTED_VALUE"""),"SpFLMP955438")</f>
        <v>SpFLMP955438</v>
      </c>
      <c r="E1228" s="103"/>
      <c r="F1228" s="103"/>
      <c r="G1228" s="103" t="str">
        <f>IFERROR(__xludf.DUMMYFUNCTION("""COMPUTED_VALUE"""),"Negative")</f>
        <v>Negative</v>
      </c>
      <c r="H1228" s="131" t="str">
        <f>IFERROR(__xludf.DUMMYFUNCTION("""COMPUTED_VALUE"""),"Negative")</f>
        <v>Negative</v>
      </c>
      <c r="I1228" s="468">
        <f>IFERROR(__xludf.DUMMYFUNCTION("""COMPUTED_VALUE"""),44690.0)</f>
        <v>44690</v>
      </c>
      <c r="J1228" s="470">
        <f>IFERROR(__xludf.DUMMYFUNCTION("""COMPUTED_VALUE"""),0.4891898148148148)</f>
        <v>0.4891898148</v>
      </c>
      <c r="K1228" s="16"/>
      <c r="L1228" s="8"/>
      <c r="M1228" s="69"/>
      <c r="N1228" s="69">
        <f>IFERROR(__xludf.DUMMYFUNCTION("""COMPUTED_VALUE"""),1.0)</f>
        <v>1</v>
      </c>
      <c r="O1228" s="69" t="str">
        <f t="shared" si="3"/>
        <v/>
      </c>
      <c r="P1228" s="471">
        <f>IFERROR(__xludf.DUMMYFUNCTION("""COMPUTED_VALUE"""),0.0)</f>
        <v>0</v>
      </c>
      <c r="Q1228" s="274" t="str">
        <f>VLOOKUP($B1228,'Run Reconcile'!B$2:O2488,14,FALSE)</f>
        <v/>
      </c>
      <c r="R1228" s="472" t="str">
        <f t="array" ref="R1228">IF($Q1228, INDEX('Run Reconcile'!A$2:A2488,MATCH(B1228,'Run Reconcile'!B$2:B2488,0),1),IFERROR(0/0,""))</f>
        <v/>
      </c>
      <c r="S1228" s="473" t="str">
        <f t="shared" si="694"/>
        <v/>
      </c>
      <c r="T1228" s="473" t="str">
        <f t="shared" si="698"/>
        <v/>
      </c>
      <c r="U1228" s="275" t="str">
        <f t="array" ref="U1228">IF(ISBLANK($R1228), INDEX('Run Reconcile'!A$2:A2488, MATCH($B1228, 'Run Reconcile'!B$2:B2488, 0)+Z1228, 1), IFERROR(0/0,""))
</f>
        <v>RUN-FLMP_2022-05-09_RFR-128</v>
      </c>
      <c r="V1228" s="474" t="str">
        <f t="shared" si="5"/>
        <v>RUN-FLMP_2022-05-09_RFR-128</v>
      </c>
      <c r="Y1228" s="89" t="str">
        <f t="shared" si="1581"/>
        <v/>
      </c>
      <c r="Z1228" s="60" t="str">
        <f t="shared" si="7"/>
        <v/>
      </c>
      <c r="AA1228" s="60" t="str">
        <f t="shared" si="8"/>
        <v/>
      </c>
      <c r="AB1228" s="60" t="str">
        <f t="shared" si="9"/>
        <v/>
      </c>
      <c r="AC1228" s="30" t="str">
        <f t="shared" ref="AC1228:AD1228" si="1587">IF(_xlfn.ISFORMULA(S1228),IFERROR(0/0,""),TRUE)</f>
        <v/>
      </c>
      <c r="AD1228" s="30" t="str">
        <f t="shared" si="1587"/>
        <v/>
      </c>
      <c r="AE1228" s="475" t="str">
        <f>IFERROR(__xludf.DUMMYFUNCTION("""COMPUTED_VALUE"""),"CRLN")</f>
        <v>CRLN</v>
      </c>
      <c r="AF1228" s="476"/>
      <c r="AG1228" s="474" t="s">
        <v>212</v>
      </c>
      <c r="AH1228" s="138" t="str">
        <f t="shared" si="11"/>
        <v/>
      </c>
    </row>
    <row r="1229">
      <c r="A1229" s="103" t="str">
        <f>IFERROR(__xludf.DUMMYFUNCTION("""COMPUTED_VALUE"""),"FLE295")</f>
        <v>FLE295</v>
      </c>
      <c r="B1229" s="468">
        <f>IFERROR(__xludf.DUMMYFUNCTION("""COMPUTED_VALUE"""),44690.0)</f>
        <v>44690</v>
      </c>
      <c r="C1229" s="469">
        <f>IFERROR(__xludf.DUMMYFUNCTION("""COMPUTED_VALUE"""),0.36649305555555556)</f>
        <v>0.3664930556</v>
      </c>
      <c r="D1229" s="103" t="str">
        <f>IFERROR(__xludf.DUMMYFUNCTION("""COMPUTED_VALUE"""),"SpFLMP683385")</f>
        <v>SpFLMP683385</v>
      </c>
      <c r="E1229" s="103"/>
      <c r="F1229" s="103"/>
      <c r="G1229" s="103" t="str">
        <f>IFERROR(__xludf.DUMMYFUNCTION("""COMPUTED_VALUE"""),"Negative")</f>
        <v>Negative</v>
      </c>
      <c r="H1229" s="131" t="str">
        <f>IFERROR(__xludf.DUMMYFUNCTION("""COMPUTED_VALUE"""),"Negative")</f>
        <v>Negative</v>
      </c>
      <c r="I1229" s="468">
        <f>IFERROR(__xludf.DUMMYFUNCTION("""COMPUTED_VALUE"""),44690.0)</f>
        <v>44690</v>
      </c>
      <c r="J1229" s="470">
        <f>IFERROR(__xludf.DUMMYFUNCTION("""COMPUTED_VALUE"""),0.5041666666666667)</f>
        <v>0.5041666667</v>
      </c>
      <c r="K1229" s="16"/>
      <c r="L1229" s="8"/>
      <c r="M1229" s="69"/>
      <c r="N1229" s="69">
        <f>IFERROR(__xludf.DUMMYFUNCTION("""COMPUTED_VALUE"""),3.0)</f>
        <v>3</v>
      </c>
      <c r="O1229" s="69" t="str">
        <f t="shared" si="3"/>
        <v/>
      </c>
      <c r="P1229" s="471">
        <f>IFERROR(__xludf.DUMMYFUNCTION("""COMPUTED_VALUE"""),0.0)</f>
        <v>0</v>
      </c>
      <c r="Q1229" s="274" t="str">
        <f>VLOOKUP($B1229,'Run Reconcile'!B$2:O2488,14,FALSE)</f>
        <v/>
      </c>
      <c r="R1229" s="472" t="str">
        <f t="array" ref="R1229">IF($Q1229, INDEX('Run Reconcile'!A$2:A2488,MATCH(B1229,'Run Reconcile'!B$2:B2488,0),1),IFERROR(0/0,""))</f>
        <v/>
      </c>
      <c r="S1229" s="473" t="str">
        <f t="shared" si="694"/>
        <v/>
      </c>
      <c r="T1229" s="473" t="str">
        <f t="shared" si="698"/>
        <v/>
      </c>
      <c r="U1229" s="275" t="str">
        <f t="array" ref="U1229">IF(ISBLANK($R1229), INDEX('Run Reconcile'!A$2:A2488, MATCH($B1229, 'Run Reconcile'!B$2:B2488, 0)+Z1229, 1), IFERROR(0/0,""))
</f>
        <v>RUN-FLMP_2022-05-09_RFR-128</v>
      </c>
      <c r="V1229" s="474" t="str">
        <f t="shared" si="5"/>
        <v>RUN-FLMP_2022-05-09_RFR-128</v>
      </c>
      <c r="Y1229" s="89" t="str">
        <f t="shared" si="1581"/>
        <v/>
      </c>
      <c r="Z1229" s="60" t="str">
        <f t="shared" si="7"/>
        <v/>
      </c>
      <c r="AA1229" s="60" t="str">
        <f t="shared" si="8"/>
        <v/>
      </c>
      <c r="AB1229" s="60" t="str">
        <f t="shared" si="9"/>
        <v/>
      </c>
      <c r="AC1229" s="30" t="str">
        <f t="shared" ref="AC1229:AD1229" si="1588">IF(_xlfn.ISFORMULA(S1229),IFERROR(0/0,""),TRUE)</f>
        <v/>
      </c>
      <c r="AD1229" s="30" t="str">
        <f t="shared" si="1588"/>
        <v/>
      </c>
      <c r="AE1229" s="475" t="str">
        <f>IFERROR(__xludf.DUMMYFUNCTION("""COMPUTED_VALUE"""),"CRLN")</f>
        <v>CRLN</v>
      </c>
      <c r="AF1229" s="476"/>
      <c r="AG1229" s="474" t="s">
        <v>212</v>
      </c>
      <c r="AH1229" s="138" t="str">
        <f t="shared" si="11"/>
        <v/>
      </c>
    </row>
    <row r="1230">
      <c r="A1230" s="103" t="str">
        <f>IFERROR(__xludf.DUMMYFUNCTION("""COMPUTED_VALUE"""),"AH1347")</f>
        <v>AH1347</v>
      </c>
      <c r="B1230" s="468">
        <f>IFERROR(__xludf.DUMMYFUNCTION("""COMPUTED_VALUE"""),44690.0)</f>
        <v>44690</v>
      </c>
      <c r="C1230" s="469">
        <f>IFERROR(__xludf.DUMMYFUNCTION("""COMPUTED_VALUE"""),0.36668981481481483)</f>
        <v>0.3666898148</v>
      </c>
      <c r="D1230" s="103" t="str">
        <f>IFERROR(__xludf.DUMMYFUNCTION("""COMPUTED_VALUE"""),"SpFLMP946259")</f>
        <v>SpFLMP946259</v>
      </c>
      <c r="E1230" s="103"/>
      <c r="F1230" s="103"/>
      <c r="G1230" s="103" t="str">
        <f>IFERROR(__xludf.DUMMYFUNCTION("""COMPUTED_VALUE"""),"Negative")</f>
        <v>Negative</v>
      </c>
      <c r="H1230" s="131" t="str">
        <f>IFERROR(__xludf.DUMMYFUNCTION("""COMPUTED_VALUE"""),"Negative")</f>
        <v>Negative</v>
      </c>
      <c r="I1230" s="468">
        <f>IFERROR(__xludf.DUMMYFUNCTION("""COMPUTED_VALUE"""),44690.0)</f>
        <v>44690</v>
      </c>
      <c r="J1230" s="470">
        <f>IFERROR(__xludf.DUMMYFUNCTION("""COMPUTED_VALUE"""),0.48920138888888887)</f>
        <v>0.4892013889</v>
      </c>
      <c r="K1230" s="16"/>
      <c r="L1230" s="8"/>
      <c r="M1230" s="69"/>
      <c r="N1230" s="69">
        <f>IFERROR(__xludf.DUMMYFUNCTION("""COMPUTED_VALUE"""),2.0)</f>
        <v>2</v>
      </c>
      <c r="O1230" s="69" t="str">
        <f t="shared" si="3"/>
        <v/>
      </c>
      <c r="P1230" s="471">
        <f>IFERROR(__xludf.DUMMYFUNCTION("""COMPUTED_VALUE"""),0.0)</f>
        <v>0</v>
      </c>
      <c r="Q1230" s="274" t="str">
        <f>VLOOKUP($B1230,'Run Reconcile'!B$2:O2488,14,FALSE)</f>
        <v/>
      </c>
      <c r="R1230" s="472" t="str">
        <f t="array" ref="R1230">IF($Q1230, INDEX('Run Reconcile'!A$2:A2488,MATCH(B1230,'Run Reconcile'!B$2:B2488,0),1),IFERROR(0/0,""))</f>
        <v/>
      </c>
      <c r="S1230" s="473" t="str">
        <f t="shared" si="694"/>
        <v/>
      </c>
      <c r="T1230" s="473" t="str">
        <f t="shared" si="698"/>
        <v/>
      </c>
      <c r="U1230" s="275" t="str">
        <f t="array" ref="U1230">IF(ISBLANK($R1230), INDEX('Run Reconcile'!A$2:A2488, MATCH($B1230, 'Run Reconcile'!B$2:B2488, 0)+Z1230, 1), IFERROR(0/0,""))
</f>
        <v>RUN-FLMP_2022-05-09_RFR-128</v>
      </c>
      <c r="V1230" s="474" t="str">
        <f t="shared" si="5"/>
        <v>RUN-FLMP_2022-05-09_RFR-128</v>
      </c>
      <c r="Y1230" s="89" t="str">
        <f t="shared" si="1581"/>
        <v/>
      </c>
      <c r="Z1230" s="60" t="str">
        <f t="shared" si="7"/>
        <v/>
      </c>
      <c r="AA1230" s="60" t="str">
        <f t="shared" si="8"/>
        <v/>
      </c>
      <c r="AB1230" s="60" t="str">
        <f t="shared" si="9"/>
        <v/>
      </c>
      <c r="AC1230" s="30" t="str">
        <f t="shared" ref="AC1230:AD1230" si="1589">IF(_xlfn.ISFORMULA(S1230),IFERROR(0/0,""),TRUE)</f>
        <v/>
      </c>
      <c r="AD1230" s="30" t="str">
        <f t="shared" si="1589"/>
        <v/>
      </c>
      <c r="AE1230" s="475" t="str">
        <f>IFERROR(__xludf.DUMMYFUNCTION("""COMPUTED_VALUE"""),"CRLN")</f>
        <v>CRLN</v>
      </c>
      <c r="AF1230" s="476"/>
      <c r="AG1230" s="474" t="s">
        <v>212</v>
      </c>
      <c r="AH1230" s="138" t="str">
        <f t="shared" si="11"/>
        <v/>
      </c>
    </row>
    <row r="1231">
      <c r="A1231" s="103" t="str">
        <f>IFERROR(__xludf.DUMMYFUNCTION("""COMPUTED_VALUE"""),"FLE861")</f>
        <v>FLE861</v>
      </c>
      <c r="B1231" s="468">
        <f>IFERROR(__xludf.DUMMYFUNCTION("""COMPUTED_VALUE"""),44690.0)</f>
        <v>44690</v>
      </c>
      <c r="C1231" s="469">
        <f>IFERROR(__xludf.DUMMYFUNCTION("""COMPUTED_VALUE"""),0.36769675925925926)</f>
        <v>0.3676967593</v>
      </c>
      <c r="D1231" s="103" t="str">
        <f>IFERROR(__xludf.DUMMYFUNCTION("""COMPUTED_VALUE"""),"SpFLMP649771")</f>
        <v>SpFLMP649771</v>
      </c>
      <c r="E1231" s="103"/>
      <c r="F1231" s="103"/>
      <c r="G1231" s="103" t="str">
        <f>IFERROR(__xludf.DUMMYFUNCTION("""COMPUTED_VALUE"""),"Negative")</f>
        <v>Negative</v>
      </c>
      <c r="H1231" s="131" t="str">
        <f>IFERROR(__xludf.DUMMYFUNCTION("""COMPUTED_VALUE"""),"Negative")</f>
        <v>Negative</v>
      </c>
      <c r="I1231" s="468">
        <f>IFERROR(__xludf.DUMMYFUNCTION("""COMPUTED_VALUE"""),44690.0)</f>
        <v>44690</v>
      </c>
      <c r="J1231" s="470">
        <f>IFERROR(__xludf.DUMMYFUNCTION("""COMPUTED_VALUE"""),0.48920138888888887)</f>
        <v>0.4892013889</v>
      </c>
      <c r="K1231" s="16"/>
      <c r="L1231" s="8"/>
      <c r="M1231" s="69"/>
      <c r="N1231" s="69">
        <f>IFERROR(__xludf.DUMMYFUNCTION("""COMPUTED_VALUE"""),3.0)</f>
        <v>3</v>
      </c>
      <c r="O1231" s="69" t="str">
        <f t="shared" si="3"/>
        <v/>
      </c>
      <c r="P1231" s="471">
        <f>IFERROR(__xludf.DUMMYFUNCTION("""COMPUTED_VALUE"""),0.0)</f>
        <v>0</v>
      </c>
      <c r="Q1231" s="274" t="str">
        <f>VLOOKUP($B1231,'Run Reconcile'!B$2:O2488,14,FALSE)</f>
        <v/>
      </c>
      <c r="R1231" s="472" t="str">
        <f t="array" ref="R1231">IF($Q1231, INDEX('Run Reconcile'!A$2:A2488,MATCH(B1231,'Run Reconcile'!B$2:B2488,0),1),IFERROR(0/0,""))</f>
        <v/>
      </c>
      <c r="S1231" s="473" t="str">
        <f t="shared" si="694"/>
        <v/>
      </c>
      <c r="T1231" s="473" t="str">
        <f t="shared" si="698"/>
        <v/>
      </c>
      <c r="U1231" s="275" t="str">
        <f t="array" ref="U1231">IF(ISBLANK($R1231), INDEX('Run Reconcile'!A$2:A2488, MATCH($B1231, 'Run Reconcile'!B$2:B2488, 0)+Z1231, 1), IFERROR(0/0,""))
</f>
        <v>RUN-FLMP_2022-05-09_RFR-128</v>
      </c>
      <c r="V1231" s="474" t="str">
        <f t="shared" si="5"/>
        <v>RUN-FLMP_2022-05-09_RFR-128</v>
      </c>
      <c r="Y1231" s="89" t="str">
        <f t="shared" si="1581"/>
        <v/>
      </c>
      <c r="Z1231" s="60" t="str">
        <f t="shared" si="7"/>
        <v/>
      </c>
      <c r="AA1231" s="60" t="str">
        <f t="shared" si="8"/>
        <v/>
      </c>
      <c r="AB1231" s="60" t="str">
        <f t="shared" si="9"/>
        <v/>
      </c>
      <c r="AC1231" s="30" t="str">
        <f t="shared" ref="AC1231:AD1231" si="1590">IF(_xlfn.ISFORMULA(S1231),IFERROR(0/0,""),TRUE)</f>
        <v/>
      </c>
      <c r="AD1231" s="30" t="str">
        <f t="shared" si="1590"/>
        <v/>
      </c>
      <c r="AE1231" s="475" t="str">
        <f>IFERROR(__xludf.DUMMYFUNCTION("""COMPUTED_VALUE"""),"CRLN")</f>
        <v>CRLN</v>
      </c>
      <c r="AF1231" s="476"/>
      <c r="AG1231" s="474" t="s">
        <v>212</v>
      </c>
      <c r="AH1231" s="138" t="str">
        <f t="shared" si="11"/>
        <v/>
      </c>
    </row>
    <row r="1232">
      <c r="A1232" s="103" t="str">
        <f>IFERROR(__xludf.DUMMYFUNCTION("""COMPUTED_VALUE"""),"FLE289")</f>
        <v>FLE289</v>
      </c>
      <c r="B1232" s="468">
        <f>IFERROR(__xludf.DUMMYFUNCTION("""COMPUTED_VALUE"""),44690.0)</f>
        <v>44690</v>
      </c>
      <c r="C1232" s="469">
        <f>IFERROR(__xludf.DUMMYFUNCTION("""COMPUTED_VALUE"""),0.3733449074074074)</f>
        <v>0.3733449074</v>
      </c>
      <c r="D1232" s="103" t="str">
        <f>IFERROR(__xludf.DUMMYFUNCTION("""COMPUTED_VALUE"""),"SpFLMP120998")</f>
        <v>SpFLMP120998</v>
      </c>
      <c r="E1232" s="103"/>
      <c r="F1232" s="103"/>
      <c r="G1232" s="103" t="str">
        <f>IFERROR(__xludf.DUMMYFUNCTION("""COMPUTED_VALUE"""),"Negative")</f>
        <v>Negative</v>
      </c>
      <c r="H1232" s="131" t="str">
        <f>IFERROR(__xludf.DUMMYFUNCTION("""COMPUTED_VALUE"""),"Negative")</f>
        <v>Negative</v>
      </c>
      <c r="I1232" s="468">
        <f>IFERROR(__xludf.DUMMYFUNCTION("""COMPUTED_VALUE"""),44690.0)</f>
        <v>44690</v>
      </c>
      <c r="J1232" s="470">
        <f>IFERROR(__xludf.DUMMYFUNCTION("""COMPUTED_VALUE"""),0.48920138888888887)</f>
        <v>0.4892013889</v>
      </c>
      <c r="K1232" s="16"/>
      <c r="L1232" s="8"/>
      <c r="M1232" s="69"/>
      <c r="N1232" s="69">
        <f>IFERROR(__xludf.DUMMYFUNCTION("""COMPUTED_VALUE"""),1.0)</f>
        <v>1</v>
      </c>
      <c r="O1232" s="69" t="str">
        <f t="shared" si="3"/>
        <v/>
      </c>
      <c r="P1232" s="471">
        <f>IFERROR(__xludf.DUMMYFUNCTION("""COMPUTED_VALUE"""),0.0)</f>
        <v>0</v>
      </c>
      <c r="Q1232" s="274" t="str">
        <f>VLOOKUP($B1232,'Run Reconcile'!B$2:O2488,14,FALSE)</f>
        <v/>
      </c>
      <c r="R1232" s="472" t="str">
        <f t="array" ref="R1232">IF($Q1232, INDEX('Run Reconcile'!A$2:A2488,MATCH(B1232,'Run Reconcile'!B$2:B2488,0),1),IFERROR(0/0,""))</f>
        <v/>
      </c>
      <c r="S1232" s="473" t="str">
        <f t="shared" si="694"/>
        <v/>
      </c>
      <c r="T1232" s="473" t="str">
        <f t="shared" si="698"/>
        <v/>
      </c>
      <c r="U1232" s="275" t="str">
        <f t="array" ref="U1232">IF(ISBLANK($R1232), INDEX('Run Reconcile'!A$2:A2488, MATCH($B1232, 'Run Reconcile'!B$2:B2488, 0)+Z1232, 1), IFERROR(0/0,""))
</f>
        <v>RUN-FLMP_2022-05-09_RFR-128</v>
      </c>
      <c r="V1232" s="474" t="str">
        <f t="shared" si="5"/>
        <v>RUN-FLMP_2022-05-09_RFR-128</v>
      </c>
      <c r="Y1232" s="89" t="str">
        <f t="shared" si="1581"/>
        <v/>
      </c>
      <c r="Z1232" s="60" t="str">
        <f t="shared" si="7"/>
        <v/>
      </c>
      <c r="AA1232" s="60" t="str">
        <f t="shared" si="8"/>
        <v/>
      </c>
      <c r="AB1232" s="60" t="str">
        <f t="shared" si="9"/>
        <v/>
      </c>
      <c r="AC1232" s="30" t="str">
        <f t="shared" ref="AC1232:AD1232" si="1591">IF(_xlfn.ISFORMULA(S1232),IFERROR(0/0,""),TRUE)</f>
        <v/>
      </c>
      <c r="AD1232" s="30" t="str">
        <f t="shared" si="1591"/>
        <v/>
      </c>
      <c r="AE1232" s="475" t="str">
        <f>IFERROR(__xludf.DUMMYFUNCTION("""COMPUTED_VALUE"""),"FLSP")</f>
        <v>FLSP</v>
      </c>
      <c r="AF1232" s="476"/>
      <c r="AG1232" s="474" t="s">
        <v>212</v>
      </c>
      <c r="AH1232" s="138" t="str">
        <f t="shared" si="11"/>
        <v/>
      </c>
    </row>
    <row r="1233">
      <c r="A1233" s="103" t="str">
        <f>IFERROR(__xludf.DUMMYFUNCTION("""COMPUTED_VALUE"""),"FLE821")</f>
        <v>FLE821</v>
      </c>
      <c r="B1233" s="468">
        <f>IFERROR(__xludf.DUMMYFUNCTION("""COMPUTED_VALUE"""),44690.0)</f>
        <v>44690</v>
      </c>
      <c r="C1233" s="469">
        <f>IFERROR(__xludf.DUMMYFUNCTION("""COMPUTED_VALUE"""),0.37625)</f>
        <v>0.37625</v>
      </c>
      <c r="D1233" s="103" t="str">
        <f>IFERROR(__xludf.DUMMYFUNCTION("""COMPUTED_VALUE"""),"SpFLMP170622")</f>
        <v>SpFLMP170622</v>
      </c>
      <c r="E1233" s="103"/>
      <c r="F1233" s="103"/>
      <c r="G1233" s="103" t="str">
        <f>IFERROR(__xludf.DUMMYFUNCTION("""COMPUTED_VALUE"""),"Positive")</f>
        <v>Positive</v>
      </c>
      <c r="H1233" s="131" t="str">
        <f>IFERROR(__xludf.DUMMYFUNCTION("""COMPUTED_VALUE"""),"Positive")</f>
        <v>Positive</v>
      </c>
      <c r="I1233" s="468">
        <f>IFERROR(__xludf.DUMMYFUNCTION("""COMPUTED_VALUE"""),44690.0)</f>
        <v>44690</v>
      </c>
      <c r="J1233" s="470">
        <f>IFERROR(__xludf.DUMMYFUNCTION("""COMPUTED_VALUE"""),0.4957986111111111)</f>
        <v>0.4957986111</v>
      </c>
      <c r="K1233" s="16"/>
      <c r="L1233" s="8"/>
      <c r="M1233" s="69"/>
      <c r="N1233" s="69">
        <f>IFERROR(__xludf.DUMMYFUNCTION("""COMPUTED_VALUE"""),2.0)</f>
        <v>2</v>
      </c>
      <c r="O1233" s="69" t="str">
        <f t="shared" si="3"/>
        <v/>
      </c>
      <c r="P1233" s="471">
        <f>IFERROR(__xludf.DUMMYFUNCTION("""COMPUTED_VALUE"""),0.0)</f>
        <v>0</v>
      </c>
      <c r="Q1233" s="274" t="str">
        <f>VLOOKUP($B1233,'Run Reconcile'!B$2:O2488,14,FALSE)</f>
        <v/>
      </c>
      <c r="R1233" s="472" t="str">
        <f t="array" ref="R1233">IF($Q1233, INDEX('Run Reconcile'!A$2:A2488,MATCH(B1233,'Run Reconcile'!B$2:B2488,0),1),IFERROR(0/0,""))</f>
        <v/>
      </c>
      <c r="S1233" s="473" t="str">
        <f t="shared" si="694"/>
        <v/>
      </c>
      <c r="T1233" s="473" t="str">
        <f t="shared" si="698"/>
        <v/>
      </c>
      <c r="U1233" s="275" t="str">
        <f t="array" ref="U1233">IF(ISBLANK($R1233), INDEX('Run Reconcile'!A$2:A2488, MATCH($B1233, 'Run Reconcile'!B$2:B2488, 0)+Z1233, 1), IFERROR(0/0,""))
</f>
        <v>RUN-FLMP_2022-05-09_RFR-128</v>
      </c>
      <c r="V1233" s="474" t="str">
        <f t="shared" si="5"/>
        <v>RUN-FLMP_2022-05-09_RFR-128</v>
      </c>
      <c r="Y1233" s="89" t="str">
        <f t="shared" si="1581"/>
        <v/>
      </c>
      <c r="Z1233" s="60" t="str">
        <f t="shared" si="7"/>
        <v/>
      </c>
      <c r="AA1233" s="60" t="str">
        <f t="shared" si="8"/>
        <v/>
      </c>
      <c r="AB1233" s="60" t="str">
        <f t="shared" si="9"/>
        <v/>
      </c>
      <c r="AC1233" s="30" t="str">
        <f t="shared" ref="AC1233:AD1233" si="1592">IF(_xlfn.ISFORMULA(S1233),IFERROR(0/0,""),TRUE)</f>
        <v/>
      </c>
      <c r="AD1233" s="30" t="str">
        <f t="shared" si="1592"/>
        <v/>
      </c>
      <c r="AE1233" s="475" t="str">
        <f>IFERROR(__xludf.DUMMYFUNCTION("""COMPUTED_VALUE"""),"CRLN")</f>
        <v>CRLN</v>
      </c>
      <c r="AF1233" s="476"/>
      <c r="AG1233" s="474" t="s">
        <v>212</v>
      </c>
      <c r="AH1233" s="138" t="str">
        <f t="shared" si="11"/>
        <v/>
      </c>
    </row>
    <row r="1234">
      <c r="A1234" s="103" t="str">
        <f>IFERROR(__xludf.DUMMYFUNCTION("""COMPUTED_VALUE"""),"FLE836")</f>
        <v>FLE836</v>
      </c>
      <c r="B1234" s="468">
        <f>IFERROR(__xludf.DUMMYFUNCTION("""COMPUTED_VALUE"""),44690.0)</f>
        <v>44690</v>
      </c>
      <c r="C1234" s="469">
        <f>IFERROR(__xludf.DUMMYFUNCTION("""COMPUTED_VALUE"""),0.37659722222222225)</f>
        <v>0.3765972222</v>
      </c>
      <c r="D1234" s="103" t="str">
        <f>IFERROR(__xludf.DUMMYFUNCTION("""COMPUTED_VALUE"""),"SpFLMP170622")</f>
        <v>SpFLMP170622</v>
      </c>
      <c r="E1234" s="103"/>
      <c r="F1234" s="103"/>
      <c r="G1234" s="103" t="str">
        <f>IFERROR(__xludf.DUMMYFUNCTION("""COMPUTED_VALUE"""),"Negative")</f>
        <v>Negative</v>
      </c>
      <c r="H1234" s="131" t="str">
        <f>IFERROR(__xludf.DUMMYFUNCTION("""COMPUTED_VALUE"""),"Negative")</f>
        <v>Negative</v>
      </c>
      <c r="I1234" s="468">
        <f>IFERROR(__xludf.DUMMYFUNCTION("""COMPUTED_VALUE"""),44690.0)</f>
        <v>44690</v>
      </c>
      <c r="J1234" s="470">
        <f>IFERROR(__xludf.DUMMYFUNCTION("""COMPUTED_VALUE"""),0.48920138888888887)</f>
        <v>0.4892013889</v>
      </c>
      <c r="K1234" s="16"/>
      <c r="L1234" s="8"/>
      <c r="M1234" s="69"/>
      <c r="N1234" s="69">
        <f>IFERROR(__xludf.DUMMYFUNCTION("""COMPUTED_VALUE"""),2.0)</f>
        <v>2</v>
      </c>
      <c r="O1234" s="69" t="str">
        <f t="shared" si="3"/>
        <v/>
      </c>
      <c r="P1234" s="471">
        <f>IFERROR(__xludf.DUMMYFUNCTION("""COMPUTED_VALUE"""),0.0)</f>
        <v>0</v>
      </c>
      <c r="Q1234" s="274" t="str">
        <f>VLOOKUP($B1234,'Run Reconcile'!B$2:O2488,14,FALSE)</f>
        <v/>
      </c>
      <c r="R1234" s="472" t="str">
        <f t="array" ref="R1234">IF($Q1234, INDEX('Run Reconcile'!A$2:A2488,MATCH(B1234,'Run Reconcile'!B$2:B2488,0),1),IFERROR(0/0,""))</f>
        <v/>
      </c>
      <c r="S1234" s="473" t="str">
        <f t="shared" si="694"/>
        <v/>
      </c>
      <c r="T1234" s="473" t="str">
        <f t="shared" si="698"/>
        <v/>
      </c>
      <c r="U1234" s="275" t="str">
        <f t="array" ref="U1234">IF(ISBLANK($R1234), INDEX('Run Reconcile'!A$2:A2488, MATCH($B1234, 'Run Reconcile'!B$2:B2488, 0)+Z1234, 1), IFERROR(0/0,""))
</f>
        <v>RUN-FLMP_2022-05-09_RFR-128</v>
      </c>
      <c r="V1234" s="474" t="str">
        <f t="shared" si="5"/>
        <v>RUN-FLMP_2022-05-09_RFR-128</v>
      </c>
      <c r="Y1234" s="89" t="str">
        <f t="shared" si="1581"/>
        <v/>
      </c>
      <c r="Z1234" s="60" t="str">
        <f t="shared" si="7"/>
        <v/>
      </c>
      <c r="AA1234" s="60" t="str">
        <f t="shared" si="8"/>
        <v/>
      </c>
      <c r="AB1234" s="60" t="str">
        <f t="shared" si="9"/>
        <v/>
      </c>
      <c r="AC1234" s="30" t="str">
        <f t="shared" ref="AC1234:AD1234" si="1593">IF(_xlfn.ISFORMULA(S1234),IFERROR(0/0,""),TRUE)</f>
        <v/>
      </c>
      <c r="AD1234" s="30" t="str">
        <f t="shared" si="1593"/>
        <v/>
      </c>
      <c r="AE1234" s="475" t="str">
        <f>IFERROR(__xludf.DUMMYFUNCTION("""COMPUTED_VALUE"""),"CRLN")</f>
        <v>CRLN</v>
      </c>
      <c r="AF1234" s="476"/>
      <c r="AG1234" s="474" t="s">
        <v>212</v>
      </c>
      <c r="AH1234" s="138" t="str">
        <f t="shared" si="11"/>
        <v/>
      </c>
    </row>
    <row r="1235">
      <c r="A1235" s="103" t="str">
        <f>IFERROR(__xludf.DUMMYFUNCTION("""COMPUTED_VALUE"""),"FLE233")</f>
        <v>FLE233</v>
      </c>
      <c r="B1235" s="468">
        <f>IFERROR(__xludf.DUMMYFUNCTION("""COMPUTED_VALUE"""),44690.0)</f>
        <v>44690</v>
      </c>
      <c r="C1235" s="469">
        <f>IFERROR(__xludf.DUMMYFUNCTION("""COMPUTED_VALUE"""),0.38461805555555556)</f>
        <v>0.3846180556</v>
      </c>
      <c r="D1235" s="103" t="str">
        <f>IFERROR(__xludf.DUMMYFUNCTION("""COMPUTED_VALUE"""),"SpFLMP496039")</f>
        <v>SpFLMP496039</v>
      </c>
      <c r="E1235" s="103"/>
      <c r="F1235" s="103"/>
      <c r="G1235" s="103" t="str">
        <f>IFERROR(__xludf.DUMMYFUNCTION("""COMPUTED_VALUE"""),"Negative")</f>
        <v>Negative</v>
      </c>
      <c r="H1235" s="131" t="str">
        <f>IFERROR(__xludf.DUMMYFUNCTION("""COMPUTED_VALUE"""),"Negative")</f>
        <v>Negative</v>
      </c>
      <c r="I1235" s="468">
        <f>IFERROR(__xludf.DUMMYFUNCTION("""COMPUTED_VALUE"""),44690.0)</f>
        <v>44690</v>
      </c>
      <c r="J1235" s="470">
        <f>IFERROR(__xludf.DUMMYFUNCTION("""COMPUTED_VALUE"""),0.48920138888888887)</f>
        <v>0.4892013889</v>
      </c>
      <c r="K1235" s="16"/>
      <c r="L1235" s="8"/>
      <c r="M1235" s="69"/>
      <c r="N1235" s="69">
        <f>IFERROR(__xludf.DUMMYFUNCTION("""COMPUTED_VALUE"""),1.0)</f>
        <v>1</v>
      </c>
      <c r="O1235" s="69" t="str">
        <f t="shared" si="3"/>
        <v/>
      </c>
      <c r="P1235" s="471">
        <f>IFERROR(__xludf.DUMMYFUNCTION("""COMPUTED_VALUE"""),0.0)</f>
        <v>0</v>
      </c>
      <c r="Q1235" s="274" t="str">
        <f>VLOOKUP($B1235,'Run Reconcile'!B$2:O2488,14,FALSE)</f>
        <v/>
      </c>
      <c r="R1235" s="472" t="str">
        <f t="array" ref="R1235">IF($Q1235, INDEX('Run Reconcile'!A$2:A2488,MATCH(B1235,'Run Reconcile'!B$2:B2488,0),1),IFERROR(0/0,""))</f>
        <v/>
      </c>
      <c r="S1235" s="473" t="str">
        <f t="shared" si="694"/>
        <v/>
      </c>
      <c r="T1235" s="473" t="str">
        <f t="shared" si="698"/>
        <v/>
      </c>
      <c r="U1235" s="275" t="str">
        <f t="array" ref="U1235">IF(ISBLANK($R1235), INDEX('Run Reconcile'!A$2:A2488, MATCH($B1235, 'Run Reconcile'!B$2:B2488, 0)+Z1235, 1), IFERROR(0/0,""))
</f>
        <v>RUN-FLMP_2022-05-09_RFR-128</v>
      </c>
      <c r="V1235" s="474" t="str">
        <f t="shared" si="5"/>
        <v>RUN-FLMP_2022-05-09_RFR-128</v>
      </c>
      <c r="Y1235" s="89" t="str">
        <f t="shared" si="1581"/>
        <v/>
      </c>
      <c r="Z1235" s="60" t="str">
        <f t="shared" si="7"/>
        <v/>
      </c>
      <c r="AA1235" s="60" t="str">
        <f t="shared" si="8"/>
        <v/>
      </c>
      <c r="AB1235" s="60" t="str">
        <f t="shared" si="9"/>
        <v/>
      </c>
      <c r="AC1235" s="30" t="str">
        <f t="shared" ref="AC1235:AD1235" si="1594">IF(_xlfn.ISFORMULA(S1235),IFERROR(0/0,""),TRUE)</f>
        <v/>
      </c>
      <c r="AD1235" s="30" t="str">
        <f t="shared" si="1594"/>
        <v/>
      </c>
      <c r="AE1235" s="475" t="str">
        <f>IFERROR(__xludf.DUMMYFUNCTION("""COMPUTED_VALUE"""),"FLSP")</f>
        <v>FLSP</v>
      </c>
      <c r="AF1235" s="476"/>
      <c r="AG1235" s="474" t="s">
        <v>212</v>
      </c>
      <c r="AH1235" s="138" t="str">
        <f t="shared" si="11"/>
        <v/>
      </c>
    </row>
    <row r="1236">
      <c r="A1236" s="506" t="str">
        <f>IFERROR(__xludf.DUMMYFUNCTION("""COMPUTED_VALUE"""),"FLE202")</f>
        <v>FLE202</v>
      </c>
      <c r="B1236" s="507">
        <f>IFERROR(__xludf.DUMMYFUNCTION("""COMPUTED_VALUE"""),44690.0)</f>
        <v>44690</v>
      </c>
      <c r="C1236" s="508">
        <f>IFERROR(__xludf.DUMMYFUNCTION("""COMPUTED_VALUE"""),0.5220833333333333)</f>
        <v>0.5220833333</v>
      </c>
      <c r="D1236" s="506" t="str">
        <f>IFERROR(__xludf.DUMMYFUNCTION("""COMPUTED_VALUE"""),"SpFLMP596479")</f>
        <v>SpFLMP596479</v>
      </c>
      <c r="E1236" s="506"/>
      <c r="F1236" s="506"/>
      <c r="G1236" s="506" t="str">
        <f>IFERROR(__xludf.DUMMYFUNCTION("""COMPUTED_VALUE"""),"Positive")</f>
        <v>Positive</v>
      </c>
      <c r="H1236" s="509" t="str">
        <f>IFERROR(__xludf.DUMMYFUNCTION("""COMPUTED_VALUE"""),"Positive")</f>
        <v>Positive</v>
      </c>
      <c r="I1236" s="507">
        <f>IFERROR(__xludf.DUMMYFUNCTION("""COMPUTED_VALUE"""),44690.0)</f>
        <v>44690</v>
      </c>
      <c r="J1236" s="510">
        <f>IFERROR(__xludf.DUMMYFUNCTION("""COMPUTED_VALUE"""),0.6208796296296296)</f>
        <v>0.6208796296</v>
      </c>
      <c r="K1236" s="156"/>
      <c r="L1236" s="19"/>
      <c r="M1236" s="482"/>
      <c r="N1236" s="482">
        <f>IFERROR(__xludf.DUMMYFUNCTION("""COMPUTED_VALUE"""),1.0)</f>
        <v>1</v>
      </c>
      <c r="O1236" s="482" t="str">
        <f t="shared" si="3"/>
        <v/>
      </c>
      <c r="P1236" s="483">
        <f>IFERROR(__xludf.DUMMYFUNCTION("""COMPUTED_VALUE"""),0.0)</f>
        <v>0</v>
      </c>
      <c r="Q1236" s="352" t="str">
        <f>VLOOKUP($B1236,'Run Reconcile'!B$2:O2488,14,FALSE)</f>
        <v/>
      </c>
      <c r="R1236" s="484" t="str">
        <f t="array" ref="R1236">IF($Q1236, INDEX('Run Reconcile'!A$2:A2488,MATCH(B1236,'Run Reconcile'!B$2:B2488,0),1),IFERROR(0/0,""))</f>
        <v/>
      </c>
      <c r="S1236" s="485" t="str">
        <f t="shared" si="694"/>
        <v/>
      </c>
      <c r="T1236" s="485" t="b">
        <f t="shared" si="698"/>
        <v>1</v>
      </c>
      <c r="U1236" s="353" t="str">
        <f t="array" ref="U1236">IF(ISBLANK($R1236), INDEX('Run Reconcile'!A$2:A2488, MATCH($B1236, 'Run Reconcile'!B$2:B2488, 0)+Z1236, 1), IFERROR(0/0,""))
</f>
        <v>RUN-FLMP_2022-05-09_RFR-131</v>
      </c>
      <c r="V1236" s="486" t="str">
        <f t="shared" si="5"/>
        <v>RUN-FLMP_2022-05-09_RFR-131</v>
      </c>
      <c r="W1236" s="19"/>
      <c r="X1236" s="19" t="s">
        <v>1268</v>
      </c>
      <c r="Y1236" s="89">
        <f t="shared" si="1581"/>
        <v>1</v>
      </c>
      <c r="Z1236" s="60">
        <f t="shared" si="7"/>
        <v>1</v>
      </c>
      <c r="AA1236" s="60" t="str">
        <f t="shared" si="8"/>
        <v/>
      </c>
      <c r="AB1236" s="60">
        <f t="shared" si="9"/>
        <v>1</v>
      </c>
      <c r="AC1236" s="158" t="str">
        <f t="shared" ref="AC1236:AD1236" si="1595">IF(_xlfn.ISFORMULA(S1236),IFERROR(0/0,""),TRUE)</f>
        <v/>
      </c>
      <c r="AD1236" s="158" t="str">
        <f t="shared" si="1595"/>
        <v/>
      </c>
      <c r="AE1236" s="488" t="str">
        <f>IFERROR(__xludf.DUMMYFUNCTION("""COMPUTED_VALUE"""),"CRLN")</f>
        <v>CRLN</v>
      </c>
      <c r="AF1236" s="489"/>
      <c r="AG1236" s="486" t="s">
        <v>212</v>
      </c>
      <c r="AH1236" s="138" t="b">
        <f t="shared" si="11"/>
        <v>0</v>
      </c>
      <c r="AI1236" s="19"/>
      <c r="AJ1236" s="19"/>
      <c r="AK1236" s="19"/>
      <c r="AL1236" s="19"/>
      <c r="AM1236" s="19"/>
    </row>
    <row r="1237">
      <c r="A1237" s="459" t="str">
        <f>IFERROR(__xludf.DUMMYFUNCTION("""COMPUTED_VALUE"""),"FLB5969")</f>
        <v>FLB5969</v>
      </c>
      <c r="B1237" s="494">
        <f>IFERROR(__xludf.DUMMYFUNCTION("""COMPUTED_VALUE"""),44690.0)</f>
        <v>44690</v>
      </c>
      <c r="C1237" s="495">
        <f>IFERROR(__xludf.DUMMYFUNCTION("""COMPUTED_VALUE"""),0.5224421296296297)</f>
        <v>0.5224421296</v>
      </c>
      <c r="D1237" s="459" t="str">
        <f>IFERROR(__xludf.DUMMYFUNCTION("""COMPUTED_VALUE"""),"SpFLMP596479")</f>
        <v>SpFLMP596479</v>
      </c>
      <c r="E1237" s="459"/>
      <c r="F1237" s="459"/>
      <c r="G1237" s="459" t="str">
        <f>IFERROR(__xludf.DUMMYFUNCTION("""COMPUTED_VALUE"""),"Negative")</f>
        <v>Negative</v>
      </c>
      <c r="H1237" s="496" t="str">
        <f>IFERROR(__xludf.DUMMYFUNCTION("""COMPUTED_VALUE"""),"Negative")</f>
        <v>Negative</v>
      </c>
      <c r="I1237" s="494">
        <f>IFERROR(__xludf.DUMMYFUNCTION("""COMPUTED_VALUE"""),44690.0)</f>
        <v>44690</v>
      </c>
      <c r="J1237" s="497">
        <f>IFERROR(__xludf.DUMMYFUNCTION("""COMPUTED_VALUE"""),0.620625)</f>
        <v>0.620625</v>
      </c>
      <c r="K1237" s="16"/>
      <c r="L1237" s="8"/>
      <c r="M1237" s="69"/>
      <c r="N1237" s="69">
        <f>IFERROR(__xludf.DUMMYFUNCTION("""COMPUTED_VALUE"""),1.0)</f>
        <v>1</v>
      </c>
      <c r="O1237" s="69" t="str">
        <f t="shared" si="3"/>
        <v/>
      </c>
      <c r="P1237" s="471">
        <f>IFERROR(__xludf.DUMMYFUNCTION("""COMPUTED_VALUE"""),0.0)</f>
        <v>0</v>
      </c>
      <c r="Q1237" s="274" t="str">
        <f>VLOOKUP($B1237,'Run Reconcile'!B$2:O2488,14,FALSE)</f>
        <v/>
      </c>
      <c r="R1237" s="472" t="str">
        <f t="array" ref="R1237">IF($Q1237, INDEX('Run Reconcile'!A$2:A2488,MATCH(B1237,'Run Reconcile'!B$2:B2488,0),1),IFERROR(0/0,""))</f>
        <v/>
      </c>
      <c r="S1237" s="473" t="str">
        <f t="shared" si="694"/>
        <v/>
      </c>
      <c r="T1237" s="473" t="b">
        <f t="shared" si="698"/>
        <v>1</v>
      </c>
      <c r="U1237" s="275" t="str">
        <f t="array" ref="U1237">IF(ISBLANK($R1237), INDEX('Run Reconcile'!A$2:A2488, MATCH($B1237, 'Run Reconcile'!B$2:B2488, 0)+Z1237, 1), IFERROR(0/0,""))
</f>
        <v>RUN-FLMP_2022-05-09_RFR-131</v>
      </c>
      <c r="V1237" s="474" t="str">
        <f t="shared" si="5"/>
        <v>RUN-FLMP_2022-05-09_RFR-131</v>
      </c>
      <c r="X1237" s="8" t="s">
        <v>1490</v>
      </c>
      <c r="Y1237" s="89">
        <f t="shared" si="1581"/>
        <v>1</v>
      </c>
      <c r="Z1237" s="60">
        <f t="shared" si="7"/>
        <v>1</v>
      </c>
      <c r="AA1237" s="60" t="str">
        <f t="shared" si="8"/>
        <v/>
      </c>
      <c r="AB1237" s="60">
        <f t="shared" si="9"/>
        <v>1</v>
      </c>
      <c r="AC1237" s="30" t="str">
        <f t="shared" ref="AC1237:AD1237" si="1596">IF(_xlfn.ISFORMULA(S1237),IFERROR(0/0,""),TRUE)</f>
        <v/>
      </c>
      <c r="AD1237" s="30" t="str">
        <f t="shared" si="1596"/>
        <v/>
      </c>
      <c r="AE1237" s="475" t="str">
        <f>IFERROR(__xludf.DUMMYFUNCTION("""COMPUTED_VALUE"""),"CRLN")</f>
        <v>CRLN</v>
      </c>
      <c r="AF1237" s="476"/>
      <c r="AG1237" s="474" t="s">
        <v>212</v>
      </c>
      <c r="AH1237" s="138" t="b">
        <f t="shared" si="11"/>
        <v>0</v>
      </c>
    </row>
    <row r="1238">
      <c r="A1238" s="459" t="str">
        <f>IFERROR(__xludf.DUMMYFUNCTION("""COMPUTED_VALUE"""),"FLE269")</f>
        <v>FLE269</v>
      </c>
      <c r="B1238" s="494">
        <f>IFERROR(__xludf.DUMMYFUNCTION("""COMPUTED_VALUE"""),44690.0)</f>
        <v>44690</v>
      </c>
      <c r="C1238" s="495">
        <f>IFERROR(__xludf.DUMMYFUNCTION("""COMPUTED_VALUE"""),0.5228935185185185)</f>
        <v>0.5228935185</v>
      </c>
      <c r="D1238" s="459" t="str">
        <f>IFERROR(__xludf.DUMMYFUNCTION("""COMPUTED_VALUE"""),"SpFLMP596479")</f>
        <v>SpFLMP596479</v>
      </c>
      <c r="E1238" s="459"/>
      <c r="F1238" s="459"/>
      <c r="G1238" s="459" t="str">
        <f>IFERROR(__xludf.DUMMYFUNCTION("""COMPUTED_VALUE"""),"Negative")</f>
        <v>Negative</v>
      </c>
      <c r="H1238" s="496" t="str">
        <f>IFERROR(__xludf.DUMMYFUNCTION("""COMPUTED_VALUE"""),"Negative")</f>
        <v>Negative</v>
      </c>
      <c r="I1238" s="494">
        <f>IFERROR(__xludf.DUMMYFUNCTION("""COMPUTED_VALUE"""),44690.0)</f>
        <v>44690</v>
      </c>
      <c r="J1238" s="497">
        <f>IFERROR(__xludf.DUMMYFUNCTION("""COMPUTED_VALUE"""),0.620636574074074)</f>
        <v>0.6206365741</v>
      </c>
      <c r="K1238" s="16"/>
      <c r="L1238" s="8"/>
      <c r="M1238" s="69"/>
      <c r="N1238" s="69">
        <f>IFERROR(__xludf.DUMMYFUNCTION("""COMPUTED_VALUE"""),1.0)</f>
        <v>1</v>
      </c>
      <c r="O1238" s="69" t="str">
        <f t="shared" si="3"/>
        <v/>
      </c>
      <c r="P1238" s="471">
        <f>IFERROR(__xludf.DUMMYFUNCTION("""COMPUTED_VALUE"""),0.0)</f>
        <v>0</v>
      </c>
      <c r="Q1238" s="274" t="str">
        <f>VLOOKUP($B1238,'Run Reconcile'!B$2:O2488,14,FALSE)</f>
        <v/>
      </c>
      <c r="R1238" s="472" t="str">
        <f t="array" ref="R1238">IF($Q1238, INDEX('Run Reconcile'!A$2:A2488,MATCH(B1238,'Run Reconcile'!B$2:B2488,0),1),IFERROR(0/0,""))</f>
        <v/>
      </c>
      <c r="S1238" s="473" t="str">
        <f t="shared" si="694"/>
        <v/>
      </c>
      <c r="T1238" s="473" t="b">
        <f t="shared" si="698"/>
        <v>1</v>
      </c>
      <c r="U1238" s="275" t="str">
        <f t="array" ref="U1238">IF(ISBLANK($R1238), INDEX('Run Reconcile'!A$2:A2488, MATCH($B1238, 'Run Reconcile'!B$2:B2488, 0)+Z1238, 1), IFERROR(0/0,""))
</f>
        <v>RUN-FLMP_2022-05-09_RFR-131</v>
      </c>
      <c r="V1238" s="474" t="str">
        <f t="shared" si="5"/>
        <v>RUN-FLMP_2022-05-09_RFR-131</v>
      </c>
      <c r="X1238" s="8" t="s">
        <v>1491</v>
      </c>
      <c r="Y1238" s="89">
        <f t="shared" si="1581"/>
        <v>1</v>
      </c>
      <c r="Z1238" s="60">
        <f t="shared" si="7"/>
        <v>1</v>
      </c>
      <c r="AA1238" s="60" t="str">
        <f t="shared" si="8"/>
        <v/>
      </c>
      <c r="AB1238" s="60">
        <f t="shared" si="9"/>
        <v>1</v>
      </c>
      <c r="AC1238" s="30" t="str">
        <f t="shared" ref="AC1238:AD1238" si="1597">IF(_xlfn.ISFORMULA(S1238),IFERROR(0/0,""),TRUE)</f>
        <v/>
      </c>
      <c r="AD1238" s="30" t="str">
        <f t="shared" si="1597"/>
        <v/>
      </c>
      <c r="AE1238" s="475" t="str">
        <f>IFERROR(__xludf.DUMMYFUNCTION("""COMPUTED_VALUE"""),"CRLN")</f>
        <v>CRLN</v>
      </c>
      <c r="AF1238" s="476"/>
      <c r="AG1238" s="474" t="s">
        <v>212</v>
      </c>
      <c r="AH1238" s="138" t="b">
        <f t="shared" si="11"/>
        <v>0</v>
      </c>
    </row>
    <row r="1239">
      <c r="A1239" s="459" t="str">
        <f>IFERROR(__xludf.DUMMYFUNCTION("""COMPUTED_VALUE"""),"AJ9253")</f>
        <v>AJ9253</v>
      </c>
      <c r="B1239" s="494">
        <f>IFERROR(__xludf.DUMMYFUNCTION("""COMPUTED_VALUE"""),44690.0)</f>
        <v>44690</v>
      </c>
      <c r="C1239" s="495">
        <f>IFERROR(__xludf.DUMMYFUNCTION("""COMPUTED_VALUE"""),0.5349074074074074)</f>
        <v>0.5349074074</v>
      </c>
      <c r="D1239" s="459" t="str">
        <f>IFERROR(__xludf.DUMMYFUNCTION("""COMPUTED_VALUE"""),"SpFLMP965392")</f>
        <v>SpFLMP965392</v>
      </c>
      <c r="E1239" s="459"/>
      <c r="F1239" s="459"/>
      <c r="G1239" s="459" t="str">
        <f>IFERROR(__xludf.DUMMYFUNCTION("""COMPUTED_VALUE"""),"Negative")</f>
        <v>Negative</v>
      </c>
      <c r="H1239" s="496" t="str">
        <f>IFERROR(__xludf.DUMMYFUNCTION("""COMPUTED_VALUE"""),"Negative")</f>
        <v>Negative</v>
      </c>
      <c r="I1239" s="494">
        <f>IFERROR(__xludf.DUMMYFUNCTION("""COMPUTED_VALUE"""),44690.0)</f>
        <v>44690</v>
      </c>
      <c r="J1239" s="497">
        <f>IFERROR(__xludf.DUMMYFUNCTION("""COMPUTED_VALUE"""),0.620636574074074)</f>
        <v>0.6206365741</v>
      </c>
      <c r="K1239" s="16"/>
      <c r="L1239" s="8"/>
      <c r="M1239" s="69"/>
      <c r="N1239" s="69">
        <f>IFERROR(__xludf.DUMMYFUNCTION("""COMPUTED_VALUE"""),1.0)</f>
        <v>1</v>
      </c>
      <c r="O1239" s="69" t="str">
        <f t="shared" si="3"/>
        <v/>
      </c>
      <c r="P1239" s="471">
        <f>IFERROR(__xludf.DUMMYFUNCTION("""COMPUTED_VALUE"""),0.0)</f>
        <v>0</v>
      </c>
      <c r="Q1239" s="274" t="str">
        <f>VLOOKUP($B1239,'Run Reconcile'!B$2:O2488,14,FALSE)</f>
        <v/>
      </c>
      <c r="R1239" s="472" t="str">
        <f t="array" ref="R1239">IF($Q1239, INDEX('Run Reconcile'!A$2:A2488,MATCH(B1239,'Run Reconcile'!B$2:B2488,0),1),IFERROR(0/0,""))</f>
        <v/>
      </c>
      <c r="S1239" s="473" t="str">
        <f t="shared" si="694"/>
        <v/>
      </c>
      <c r="T1239" s="473" t="b">
        <f t="shared" si="698"/>
        <v>1</v>
      </c>
      <c r="U1239" s="275" t="str">
        <f t="array" ref="U1239">IF(ISBLANK($R1239), INDEX('Run Reconcile'!A$2:A2488, MATCH($B1239, 'Run Reconcile'!B$2:B2488, 0)+Z1239, 1), IFERROR(0/0,""))
</f>
        <v>RUN-FLMP_2022-05-09_RFR-131</v>
      </c>
      <c r="V1239" s="474" t="str">
        <f t="shared" si="5"/>
        <v>RUN-FLMP_2022-05-09_RFR-131</v>
      </c>
      <c r="X1239" s="8" t="s">
        <v>1492</v>
      </c>
      <c r="Y1239" s="89">
        <f t="shared" si="1581"/>
        <v>1</v>
      </c>
      <c r="Z1239" s="60">
        <f t="shared" si="7"/>
        <v>1</v>
      </c>
      <c r="AA1239" s="60" t="str">
        <f t="shared" si="8"/>
        <v/>
      </c>
      <c r="AB1239" s="60">
        <f t="shared" si="9"/>
        <v>1</v>
      </c>
      <c r="AC1239" s="30" t="str">
        <f t="shared" ref="AC1239:AD1239" si="1598">IF(_xlfn.ISFORMULA(S1239),IFERROR(0/0,""),TRUE)</f>
        <v/>
      </c>
      <c r="AD1239" s="30" t="str">
        <f t="shared" si="1598"/>
        <v/>
      </c>
      <c r="AE1239" s="475" t="str">
        <f>IFERROR(__xludf.DUMMYFUNCTION("""COMPUTED_VALUE"""),"CRLN")</f>
        <v>CRLN</v>
      </c>
      <c r="AF1239" s="476"/>
      <c r="AG1239" s="474" t="s">
        <v>212</v>
      </c>
      <c r="AH1239" s="138" t="b">
        <f t="shared" si="11"/>
        <v>0</v>
      </c>
    </row>
    <row r="1240">
      <c r="A1240" s="459" t="str">
        <f>IFERROR(__xludf.DUMMYFUNCTION("""COMPUTED_VALUE"""),"AH245")</f>
        <v>AH245</v>
      </c>
      <c r="B1240" s="494">
        <f>IFERROR(__xludf.DUMMYFUNCTION("""COMPUTED_VALUE"""),44690.0)</f>
        <v>44690</v>
      </c>
      <c r="C1240" s="495">
        <f>IFERROR(__xludf.DUMMYFUNCTION("""COMPUTED_VALUE"""),0.5353240740740741)</f>
        <v>0.5353240741</v>
      </c>
      <c r="D1240" s="459" t="str">
        <f>IFERROR(__xludf.DUMMYFUNCTION("""COMPUTED_VALUE"""),"SpFLMP965392")</f>
        <v>SpFLMP965392</v>
      </c>
      <c r="E1240" s="459"/>
      <c r="F1240" s="459"/>
      <c r="G1240" s="459" t="str">
        <f>IFERROR(__xludf.DUMMYFUNCTION("""COMPUTED_VALUE"""),"Negative")</f>
        <v>Negative</v>
      </c>
      <c r="H1240" s="496" t="str">
        <f>IFERROR(__xludf.DUMMYFUNCTION("""COMPUTED_VALUE"""),"Negative")</f>
        <v>Negative</v>
      </c>
      <c r="I1240" s="494">
        <f>IFERROR(__xludf.DUMMYFUNCTION("""COMPUTED_VALUE"""),44690.0)</f>
        <v>44690</v>
      </c>
      <c r="J1240" s="497">
        <f>IFERROR(__xludf.DUMMYFUNCTION("""COMPUTED_VALUE"""),0.620636574074074)</f>
        <v>0.6206365741</v>
      </c>
      <c r="K1240" s="16"/>
      <c r="L1240" s="8"/>
      <c r="M1240" s="69"/>
      <c r="N1240" s="69">
        <f>IFERROR(__xludf.DUMMYFUNCTION("""COMPUTED_VALUE"""),1.0)</f>
        <v>1</v>
      </c>
      <c r="O1240" s="69" t="str">
        <f t="shared" si="3"/>
        <v/>
      </c>
      <c r="P1240" s="471">
        <f>IFERROR(__xludf.DUMMYFUNCTION("""COMPUTED_VALUE"""),0.0)</f>
        <v>0</v>
      </c>
      <c r="Q1240" s="274" t="str">
        <f>VLOOKUP($B1240,'Run Reconcile'!B$2:O2488,14,FALSE)</f>
        <v/>
      </c>
      <c r="R1240" s="472" t="str">
        <f t="array" ref="R1240">IF($Q1240, INDEX('Run Reconcile'!A$2:A2488,MATCH(B1240,'Run Reconcile'!B$2:B2488,0),1),IFERROR(0/0,""))</f>
        <v/>
      </c>
      <c r="S1240" s="473" t="str">
        <f t="shared" si="694"/>
        <v/>
      </c>
      <c r="T1240" s="473" t="b">
        <f t="shared" si="698"/>
        <v>1</v>
      </c>
      <c r="U1240" s="275" t="str">
        <f t="array" ref="U1240">IF(ISBLANK($R1240), INDEX('Run Reconcile'!A$2:A2488, MATCH($B1240, 'Run Reconcile'!B$2:B2488, 0)+Z1240, 1), IFERROR(0/0,""))
</f>
        <v>RUN-FLMP_2022-05-09_RFR-131</v>
      </c>
      <c r="V1240" s="474" t="str">
        <f t="shared" si="5"/>
        <v>RUN-FLMP_2022-05-09_RFR-131</v>
      </c>
      <c r="X1240" s="8" t="s">
        <v>1493</v>
      </c>
      <c r="Y1240" s="89">
        <f t="shared" si="1581"/>
        <v>1</v>
      </c>
      <c r="Z1240" s="60">
        <f t="shared" si="7"/>
        <v>1</v>
      </c>
      <c r="AA1240" s="60" t="str">
        <f t="shared" si="8"/>
        <v/>
      </c>
      <c r="AB1240" s="60">
        <f t="shared" si="9"/>
        <v>1</v>
      </c>
      <c r="AC1240" s="30" t="str">
        <f t="shared" ref="AC1240:AD1240" si="1599">IF(_xlfn.ISFORMULA(S1240),IFERROR(0/0,""),TRUE)</f>
        <v/>
      </c>
      <c r="AD1240" s="30" t="str">
        <f t="shared" si="1599"/>
        <v/>
      </c>
      <c r="AE1240" s="475" t="str">
        <f>IFERROR(__xludf.DUMMYFUNCTION("""COMPUTED_VALUE"""),"CRLN")</f>
        <v>CRLN</v>
      </c>
      <c r="AF1240" s="476"/>
      <c r="AG1240" s="474" t="s">
        <v>212</v>
      </c>
      <c r="AH1240" s="138" t="b">
        <f t="shared" si="11"/>
        <v>0</v>
      </c>
    </row>
    <row r="1241">
      <c r="A1241" s="459" t="str">
        <f>IFERROR(__xludf.DUMMYFUNCTION("""COMPUTED_VALUE"""),"AH365")</f>
        <v>AH365</v>
      </c>
      <c r="B1241" s="494">
        <f>IFERROR(__xludf.DUMMYFUNCTION("""COMPUTED_VALUE"""),44690.0)</f>
        <v>44690</v>
      </c>
      <c r="C1241" s="495">
        <f>IFERROR(__xludf.DUMMYFUNCTION("""COMPUTED_VALUE"""),0.5359490740740741)</f>
        <v>0.5359490741</v>
      </c>
      <c r="D1241" s="459" t="str">
        <f>IFERROR(__xludf.DUMMYFUNCTION("""COMPUTED_VALUE"""),"SpFLMP965392")</f>
        <v>SpFLMP965392</v>
      </c>
      <c r="E1241" s="459"/>
      <c r="F1241" s="459"/>
      <c r="G1241" s="459" t="str">
        <f>IFERROR(__xludf.DUMMYFUNCTION("""COMPUTED_VALUE"""),"Positive")</f>
        <v>Positive</v>
      </c>
      <c r="H1241" s="496" t="str">
        <f>IFERROR(__xludf.DUMMYFUNCTION("""COMPUTED_VALUE"""),"Positive")</f>
        <v>Positive</v>
      </c>
      <c r="I1241" s="494">
        <f>IFERROR(__xludf.DUMMYFUNCTION("""COMPUTED_VALUE"""),44690.0)</f>
        <v>44690</v>
      </c>
      <c r="J1241" s="497">
        <f>IFERROR(__xludf.DUMMYFUNCTION("""COMPUTED_VALUE"""),0.6208796296296296)</f>
        <v>0.6208796296</v>
      </c>
      <c r="K1241" s="16"/>
      <c r="L1241" s="8"/>
      <c r="M1241" s="69"/>
      <c r="N1241" s="69">
        <f>IFERROR(__xludf.DUMMYFUNCTION("""COMPUTED_VALUE"""),1.0)</f>
        <v>1</v>
      </c>
      <c r="O1241" s="69" t="str">
        <f t="shared" si="3"/>
        <v/>
      </c>
      <c r="P1241" s="471">
        <f>IFERROR(__xludf.DUMMYFUNCTION("""COMPUTED_VALUE"""),0.0)</f>
        <v>0</v>
      </c>
      <c r="Q1241" s="274" t="str">
        <f>VLOOKUP($B1241,'Run Reconcile'!B$2:O2488,14,FALSE)</f>
        <v/>
      </c>
      <c r="R1241" s="472" t="str">
        <f t="array" ref="R1241">IF($Q1241, INDEX('Run Reconcile'!A$2:A2488,MATCH(B1241,'Run Reconcile'!B$2:B2488,0),1),IFERROR(0/0,""))</f>
        <v/>
      </c>
      <c r="S1241" s="473" t="str">
        <f t="shared" si="694"/>
        <v/>
      </c>
      <c r="T1241" s="473" t="b">
        <f t="shared" si="698"/>
        <v>1</v>
      </c>
      <c r="U1241" s="275" t="str">
        <f t="array" ref="U1241">IF(ISBLANK($R1241), INDEX('Run Reconcile'!A$2:A2488, MATCH($B1241, 'Run Reconcile'!B$2:B2488, 0)+Z1241, 1), IFERROR(0/0,""))
</f>
        <v>RUN-FLMP_2022-05-09_RFR-131</v>
      </c>
      <c r="V1241" s="474" t="str">
        <f t="shared" si="5"/>
        <v>RUN-FLMP_2022-05-09_RFR-131</v>
      </c>
      <c r="X1241" s="8" t="s">
        <v>1265</v>
      </c>
      <c r="Y1241" s="89">
        <f t="shared" si="1581"/>
        <v>1</v>
      </c>
      <c r="Z1241" s="60">
        <f t="shared" si="7"/>
        <v>1</v>
      </c>
      <c r="AA1241" s="60" t="str">
        <f t="shared" si="8"/>
        <v/>
      </c>
      <c r="AB1241" s="60">
        <f t="shared" si="9"/>
        <v>1</v>
      </c>
      <c r="AC1241" s="30" t="str">
        <f t="shared" ref="AC1241:AD1241" si="1600">IF(_xlfn.ISFORMULA(S1241),IFERROR(0/0,""),TRUE)</f>
        <v/>
      </c>
      <c r="AD1241" s="30" t="str">
        <f t="shared" si="1600"/>
        <v/>
      </c>
      <c r="AE1241" s="475" t="str">
        <f>IFERROR(__xludf.DUMMYFUNCTION("""COMPUTED_VALUE"""),"CRLN")</f>
        <v>CRLN</v>
      </c>
      <c r="AF1241" s="476"/>
      <c r="AG1241" s="474" t="s">
        <v>212</v>
      </c>
      <c r="AH1241" s="138" t="b">
        <f t="shared" si="11"/>
        <v>0</v>
      </c>
    </row>
    <row r="1242">
      <c r="A1242" s="459" t="str">
        <f>IFERROR(__xludf.DUMMYFUNCTION("""COMPUTED_VALUE"""),"AH679")</f>
        <v>AH679</v>
      </c>
      <c r="B1242" s="494">
        <f>IFERROR(__xludf.DUMMYFUNCTION("""COMPUTED_VALUE"""),44690.0)</f>
        <v>44690</v>
      </c>
      <c r="C1242" s="495">
        <f>IFERROR(__xludf.DUMMYFUNCTION("""COMPUTED_VALUE"""),0.5364236111111111)</f>
        <v>0.5364236111</v>
      </c>
      <c r="D1242" s="459" t="str">
        <f>IFERROR(__xludf.DUMMYFUNCTION("""COMPUTED_VALUE"""),"SpFLMP965392")</f>
        <v>SpFLMP965392</v>
      </c>
      <c r="E1242" s="459"/>
      <c r="F1242" s="459"/>
      <c r="G1242" s="459" t="str">
        <f>IFERROR(__xludf.DUMMYFUNCTION("""COMPUTED_VALUE"""),"Negative")</f>
        <v>Negative</v>
      </c>
      <c r="H1242" s="496" t="str">
        <f>IFERROR(__xludf.DUMMYFUNCTION("""COMPUTED_VALUE"""),"Negative")</f>
        <v>Negative</v>
      </c>
      <c r="I1242" s="494">
        <f>IFERROR(__xludf.DUMMYFUNCTION("""COMPUTED_VALUE"""),44690.0)</f>
        <v>44690</v>
      </c>
      <c r="J1242" s="497">
        <f>IFERROR(__xludf.DUMMYFUNCTION("""COMPUTED_VALUE"""),0.6206481481481482)</f>
        <v>0.6206481481</v>
      </c>
      <c r="K1242" s="16"/>
      <c r="L1242" s="8"/>
      <c r="M1242" s="69"/>
      <c r="N1242" s="69">
        <f>IFERROR(__xludf.DUMMYFUNCTION("""COMPUTED_VALUE"""),1.0)</f>
        <v>1</v>
      </c>
      <c r="O1242" s="69" t="str">
        <f t="shared" si="3"/>
        <v/>
      </c>
      <c r="P1242" s="471">
        <f>IFERROR(__xludf.DUMMYFUNCTION("""COMPUTED_VALUE"""),0.0)</f>
        <v>0</v>
      </c>
      <c r="Q1242" s="274" t="str">
        <f>VLOOKUP($B1242,'Run Reconcile'!B$2:O2488,14,FALSE)</f>
        <v/>
      </c>
      <c r="R1242" s="472" t="str">
        <f t="array" ref="R1242">IF($Q1242, INDEX('Run Reconcile'!A$2:A2488,MATCH(B1242,'Run Reconcile'!B$2:B2488,0),1),IFERROR(0/0,""))</f>
        <v/>
      </c>
      <c r="S1242" s="473" t="str">
        <f t="shared" si="694"/>
        <v/>
      </c>
      <c r="T1242" s="473" t="b">
        <f t="shared" si="698"/>
        <v>1</v>
      </c>
      <c r="U1242" s="275" t="str">
        <f t="array" ref="U1242">IF(ISBLANK($R1242), INDEX('Run Reconcile'!A$2:A2488, MATCH($B1242, 'Run Reconcile'!B$2:B2488, 0)+Z1242, 1), IFERROR(0/0,""))
</f>
        <v>RUN-FLMP_2022-05-09_RFR-131</v>
      </c>
      <c r="V1242" s="474" t="str">
        <f t="shared" si="5"/>
        <v>RUN-FLMP_2022-05-09_RFR-131</v>
      </c>
      <c r="X1242" s="8" t="s">
        <v>1494</v>
      </c>
      <c r="Y1242" s="89">
        <f t="shared" si="1581"/>
        <v>1</v>
      </c>
      <c r="Z1242" s="60">
        <f t="shared" si="7"/>
        <v>1</v>
      </c>
      <c r="AA1242" s="60" t="str">
        <f t="shared" si="8"/>
        <v/>
      </c>
      <c r="AB1242" s="60">
        <f t="shared" si="9"/>
        <v>1</v>
      </c>
      <c r="AC1242" s="30" t="str">
        <f t="shared" ref="AC1242:AD1242" si="1601">IF(_xlfn.ISFORMULA(S1242),IFERROR(0/0,""),TRUE)</f>
        <v/>
      </c>
      <c r="AD1242" s="30" t="str">
        <f t="shared" si="1601"/>
        <v/>
      </c>
      <c r="AE1242" s="475" t="str">
        <f>IFERROR(__xludf.DUMMYFUNCTION("""COMPUTED_VALUE"""),"CRLN")</f>
        <v>CRLN</v>
      </c>
      <c r="AF1242" s="476"/>
      <c r="AG1242" s="474" t="s">
        <v>212</v>
      </c>
      <c r="AH1242" s="138" t="b">
        <f t="shared" si="11"/>
        <v>0</v>
      </c>
    </row>
    <row r="1243">
      <c r="A1243" s="477" t="str">
        <f>IFERROR(__xludf.DUMMYFUNCTION("""COMPUTED_VALUE"""),"AG175")</f>
        <v>AG175</v>
      </c>
      <c r="B1243" s="478">
        <f>IFERROR(__xludf.DUMMYFUNCTION("""COMPUTED_VALUE"""),44691.0)</f>
        <v>44691</v>
      </c>
      <c r="C1243" s="479">
        <f>IFERROR(__xludf.DUMMYFUNCTION("""COMPUTED_VALUE"""),0.9651157407407407)</f>
        <v>0.9651157407</v>
      </c>
      <c r="D1243" s="477" t="str">
        <f>IFERROR(__xludf.DUMMYFUNCTION("""COMPUTED_VALUE"""),"SpFLMP268514")</f>
        <v>SpFLMP268514</v>
      </c>
      <c r="E1243" s="477"/>
      <c r="F1243" s="477"/>
      <c r="G1243" s="477" t="str">
        <f>IFERROR(__xludf.DUMMYFUNCTION("""COMPUTED_VALUE"""),"Negative")</f>
        <v>Negative</v>
      </c>
      <c r="H1243" s="480" t="str">
        <f>IFERROR(__xludf.DUMMYFUNCTION("""COMPUTED_VALUE"""),"Negative")</f>
        <v>Negative</v>
      </c>
      <c r="I1243" s="478">
        <f>IFERROR(__xludf.DUMMYFUNCTION("""COMPUTED_VALUE"""),44692.0)</f>
        <v>44692</v>
      </c>
      <c r="J1243" s="481">
        <f>IFERROR(__xludf.DUMMYFUNCTION("""COMPUTED_VALUE"""),0.42033564814814817)</f>
        <v>0.4203356481</v>
      </c>
      <c r="K1243" s="156"/>
      <c r="L1243" s="19"/>
      <c r="M1243" s="482"/>
      <c r="N1243" s="482">
        <f>IFERROR(__xludf.DUMMYFUNCTION("""COMPUTED_VALUE"""),1.0)</f>
        <v>1</v>
      </c>
      <c r="O1243" s="482" t="b">
        <f t="shared" si="3"/>
        <v>1</v>
      </c>
      <c r="P1243" s="483">
        <f>IFERROR(__xludf.DUMMYFUNCTION("""COMPUTED_VALUE"""),1.0)</f>
        <v>1</v>
      </c>
      <c r="Q1243" s="352" t="str">
        <f>VLOOKUP($B1243,'Run Reconcile'!B$2:O2488,14,FALSE)</f>
        <v/>
      </c>
      <c r="R1243" s="484" t="str">
        <f t="array" ref="R1243">IF($Q1243, INDEX('Run Reconcile'!A$2:A2488,MATCH(B1243,'Run Reconcile'!B$2:B2488,0),1),IFERROR(0/0,""))</f>
        <v/>
      </c>
      <c r="S1243" s="485" t="b">
        <f t="shared" si="694"/>
        <v>1</v>
      </c>
      <c r="T1243" s="485" t="str">
        <f t="shared" si="698"/>
        <v/>
      </c>
      <c r="U1243" s="353" t="str">
        <f t="array" ref="U1243">IF(ISBLANK($R1243), INDEX('Run Reconcile'!A$2:A2488, MATCH($B1243, 'Run Reconcile'!B$2:B2488, 0)+Z1243, 1), IFERROR(0/0,""))
</f>
        <v>RUN-FLMP_2022-05-11_RFR-132</v>
      </c>
      <c r="V1243" s="486" t="str">
        <f t="shared" si="5"/>
        <v>RUN-FLMP_2022-05-11_RFR-132</v>
      </c>
      <c r="W1243" s="19" t="s">
        <v>1495</v>
      </c>
      <c r="X1243" s="19"/>
      <c r="Y1243" s="89">
        <f t="shared" si="1581"/>
        <v>1</v>
      </c>
      <c r="Z1243" s="60">
        <f t="shared" si="7"/>
        <v>1</v>
      </c>
      <c r="AA1243" s="60">
        <f t="shared" si="8"/>
        <v>1</v>
      </c>
      <c r="AB1243" s="60" t="str">
        <f t="shared" si="9"/>
        <v/>
      </c>
      <c r="AC1243" s="158" t="str">
        <f t="shared" ref="AC1243:AD1243" si="1602">IF(_xlfn.ISFORMULA(S1243),IFERROR(0/0,""),TRUE)</f>
        <v/>
      </c>
      <c r="AD1243" s="158" t="str">
        <f t="shared" si="1602"/>
        <v/>
      </c>
      <c r="AE1243" s="488" t="str">
        <f>IFERROR(__xludf.DUMMYFUNCTION("""COMPUTED_VALUE"""),"CRLN")</f>
        <v>CRLN</v>
      </c>
      <c r="AF1243" s="489"/>
      <c r="AG1243" s="486" t="s">
        <v>214</v>
      </c>
      <c r="AH1243" s="138" t="str">
        <f t="shared" si="11"/>
        <v/>
      </c>
      <c r="AI1243" s="19"/>
      <c r="AJ1243" s="19"/>
      <c r="AK1243" s="19"/>
      <c r="AL1243" s="19"/>
      <c r="AM1243" s="19"/>
    </row>
    <row r="1244">
      <c r="A1244" s="103" t="str">
        <f>IFERROR(__xludf.DUMMYFUNCTION("""COMPUTED_VALUE"""),"AJ6664")</f>
        <v>AJ6664</v>
      </c>
      <c r="B1244" s="468">
        <f>IFERROR(__xludf.DUMMYFUNCTION("""COMPUTED_VALUE"""),44692.0)</f>
        <v>44692</v>
      </c>
      <c r="C1244" s="469">
        <f>IFERROR(__xludf.DUMMYFUNCTION("""COMPUTED_VALUE"""),0.3509375)</f>
        <v>0.3509375</v>
      </c>
      <c r="D1244" s="103" t="str">
        <f>IFERROR(__xludf.DUMMYFUNCTION("""COMPUTED_VALUE"""),"SpFLMP604497")</f>
        <v>SpFLMP604497</v>
      </c>
      <c r="E1244" s="103"/>
      <c r="F1244" s="103"/>
      <c r="G1244" s="103" t="str">
        <f>IFERROR(__xludf.DUMMYFUNCTION("""COMPUTED_VALUE"""),"Null")</f>
        <v>Null</v>
      </c>
      <c r="H1244" s="501" t="str">
        <f>IFERROR(__xludf.DUMMYFUNCTION("""COMPUTED_VALUE"""),"Inconclusive")</f>
        <v>Inconclusive</v>
      </c>
      <c r="I1244" s="468">
        <f>IFERROR(__xludf.DUMMYFUNCTION("""COMPUTED_VALUE"""),44692.0)</f>
        <v>44692</v>
      </c>
      <c r="J1244" s="470">
        <f>IFERROR(__xludf.DUMMYFUNCTION("""COMPUTED_VALUE"""),0.4197916666666667)</f>
        <v>0.4197916667</v>
      </c>
      <c r="K1244" s="16">
        <f>IFERROR(__xludf.DUMMYFUNCTION("""COMPUTED_VALUE"""),4.0)</f>
        <v>4</v>
      </c>
      <c r="L1244" s="8" t="str">
        <f>IFERROR(__xludf.DUMMYFUNCTION("""COMPUTED_VALUE"""),"Null called Inconclusive")</f>
        <v>Null called Inconclusive</v>
      </c>
      <c r="M1244" s="69"/>
      <c r="N1244" s="69">
        <f>IFERROR(__xludf.DUMMYFUNCTION("""COMPUTED_VALUE"""),1.0)</f>
        <v>1</v>
      </c>
      <c r="O1244" s="69" t="b">
        <f t="shared" si="3"/>
        <v>1</v>
      </c>
      <c r="P1244" s="471">
        <f>IFERROR(__xludf.DUMMYFUNCTION("""COMPUTED_VALUE"""),0.0)</f>
        <v>0</v>
      </c>
      <c r="Q1244" s="274" t="b">
        <f>VLOOKUP($B1244,'Run Reconcile'!B$2:O2488,14,FALSE)</f>
        <v>1</v>
      </c>
      <c r="R1244" s="472" t="str">
        <f t="array" ref="R1244">IF($Q1244, INDEX('Run Reconcile'!A$2:A2488,MATCH(B1244,'Run Reconcile'!B$2:B2488,0),1),IFERROR(0/0,""))</f>
        <v>RUN-FLMP_2022-05-11_RFR-132</v>
      </c>
      <c r="S1244" s="473" t="str">
        <f t="shared" si="694"/>
        <v/>
      </c>
      <c r="T1244" s="473" t="str">
        <f t="shared" si="698"/>
        <v/>
      </c>
      <c r="U1244" s="275" t="str">
        <f t="array" ref="U1244">IF(ISBLANK($R1244), INDEX('Run Reconcile'!A$2:A2488, MATCH($B1244, 'Run Reconcile'!B$2:B2488, 0)+Z1244, 1), IFERROR(0/0,""))
</f>
        <v/>
      </c>
      <c r="V1244" s="474" t="str">
        <f t="shared" si="5"/>
        <v>RUN-FLMP_2022-05-11_RFR-132</v>
      </c>
      <c r="Y1244" s="89" t="str">
        <f t="shared" si="1581"/>
        <v/>
      </c>
      <c r="Z1244" s="60" t="str">
        <f t="shared" si="7"/>
        <v/>
      </c>
      <c r="AA1244" s="60" t="str">
        <f t="shared" si="8"/>
        <v/>
      </c>
      <c r="AB1244" s="60" t="str">
        <f t="shared" si="9"/>
        <v/>
      </c>
      <c r="AC1244" s="30" t="str">
        <f t="shared" ref="AC1244:AD1244" si="1603">IF(_xlfn.ISFORMULA(S1244),IFERROR(0/0,""),TRUE)</f>
        <v/>
      </c>
      <c r="AD1244" s="30" t="str">
        <f t="shared" si="1603"/>
        <v/>
      </c>
      <c r="AE1244" s="475" t="str">
        <f>IFERROR(__xludf.DUMMYFUNCTION("""COMPUTED_VALUE"""),"CRLN")</f>
        <v>CRLN</v>
      </c>
      <c r="AF1244" s="476"/>
      <c r="AG1244" s="474" t="s">
        <v>214</v>
      </c>
      <c r="AH1244" s="138" t="str">
        <f t="shared" si="11"/>
        <v/>
      </c>
    </row>
    <row r="1245">
      <c r="A1245" s="103" t="str">
        <f>IFERROR(__xludf.DUMMYFUNCTION("""COMPUTED_VALUE"""),"AJ9838")</f>
        <v>AJ9838</v>
      </c>
      <c r="B1245" s="468">
        <f>IFERROR(__xludf.DUMMYFUNCTION("""COMPUTED_VALUE"""),44692.0)</f>
        <v>44692</v>
      </c>
      <c r="C1245" s="469">
        <f>IFERROR(__xludf.DUMMYFUNCTION("""COMPUTED_VALUE"""),0.3564236111111111)</f>
        <v>0.3564236111</v>
      </c>
      <c r="D1245" s="103" t="str">
        <f>IFERROR(__xludf.DUMMYFUNCTION("""COMPUTED_VALUE"""),"SpFLMP271329")</f>
        <v>SpFLMP271329</v>
      </c>
      <c r="E1245" s="103"/>
      <c r="F1245" s="103"/>
      <c r="G1245" s="103" t="str">
        <f>IFERROR(__xludf.DUMMYFUNCTION("""COMPUTED_VALUE"""),"Negative")</f>
        <v>Negative</v>
      </c>
      <c r="H1245" s="131" t="str">
        <f>IFERROR(__xludf.DUMMYFUNCTION("""COMPUTED_VALUE"""),"Negative")</f>
        <v>Negative</v>
      </c>
      <c r="I1245" s="468">
        <f>IFERROR(__xludf.DUMMYFUNCTION("""COMPUTED_VALUE"""),44692.0)</f>
        <v>44692</v>
      </c>
      <c r="J1245" s="470">
        <f>IFERROR(__xludf.DUMMYFUNCTION("""COMPUTED_VALUE"""),0.42033564814814817)</f>
        <v>0.4203356481</v>
      </c>
      <c r="K1245" s="16"/>
      <c r="L1245" s="8"/>
      <c r="M1245" s="69"/>
      <c r="N1245" s="69">
        <f>IFERROR(__xludf.DUMMYFUNCTION("""COMPUTED_VALUE"""),1.0)</f>
        <v>1</v>
      </c>
      <c r="O1245" s="69" t="str">
        <f t="shared" si="3"/>
        <v/>
      </c>
      <c r="P1245" s="471">
        <f>IFERROR(__xludf.DUMMYFUNCTION("""COMPUTED_VALUE"""),0.0)</f>
        <v>0</v>
      </c>
      <c r="Q1245" s="274" t="b">
        <f>VLOOKUP($B1245,'Run Reconcile'!B$2:O2488,14,FALSE)</f>
        <v>1</v>
      </c>
      <c r="R1245" s="472" t="str">
        <f t="array" ref="R1245">IF($Q1245, INDEX('Run Reconcile'!A$2:A2488,MATCH(B1245,'Run Reconcile'!B$2:B2488,0),1),IFERROR(0/0,""))</f>
        <v>RUN-FLMP_2022-05-11_RFR-132</v>
      </c>
      <c r="S1245" s="473" t="str">
        <f t="shared" si="694"/>
        <v/>
      </c>
      <c r="T1245" s="473" t="str">
        <f t="shared" si="698"/>
        <v/>
      </c>
      <c r="U1245" s="275" t="str">
        <f t="array" ref="U1245">IF(ISBLANK($R1245), INDEX('Run Reconcile'!A$2:A2488, MATCH($B1245, 'Run Reconcile'!B$2:B2488, 0)+Z1245, 1), IFERROR(0/0,""))
</f>
        <v/>
      </c>
      <c r="V1245" s="474" t="str">
        <f t="shared" si="5"/>
        <v>RUN-FLMP_2022-05-11_RFR-132</v>
      </c>
      <c r="Y1245" s="89" t="str">
        <f t="shared" si="1581"/>
        <v/>
      </c>
      <c r="Z1245" s="60" t="str">
        <f t="shared" si="7"/>
        <v/>
      </c>
      <c r="AA1245" s="60" t="str">
        <f t="shared" si="8"/>
        <v/>
      </c>
      <c r="AB1245" s="60" t="str">
        <f t="shared" si="9"/>
        <v/>
      </c>
      <c r="AC1245" s="30" t="str">
        <f t="shared" ref="AC1245:AD1245" si="1604">IF(_xlfn.ISFORMULA(S1245),IFERROR(0/0,""),TRUE)</f>
        <v/>
      </c>
      <c r="AD1245" s="30" t="str">
        <f t="shared" si="1604"/>
        <v/>
      </c>
      <c r="AE1245" s="475" t="str">
        <f>IFERROR(__xludf.DUMMYFUNCTION("""COMPUTED_VALUE"""),"CRLN")</f>
        <v>CRLN</v>
      </c>
      <c r="AF1245" s="476"/>
      <c r="AG1245" s="474" t="s">
        <v>214</v>
      </c>
      <c r="AH1245" s="138" t="str">
        <f t="shared" si="11"/>
        <v/>
      </c>
    </row>
    <row r="1246">
      <c r="A1246" s="103" t="str">
        <f>IFERROR(__xludf.DUMMYFUNCTION("""COMPUTED_VALUE"""),"AJ9205")</f>
        <v>AJ9205</v>
      </c>
      <c r="B1246" s="468">
        <f>IFERROR(__xludf.DUMMYFUNCTION("""COMPUTED_VALUE"""),44692.0)</f>
        <v>44692</v>
      </c>
      <c r="C1246" s="469">
        <f>IFERROR(__xludf.DUMMYFUNCTION("""COMPUTED_VALUE"""),0.3568865740740741)</f>
        <v>0.3568865741</v>
      </c>
      <c r="D1246" s="103" t="str">
        <f>IFERROR(__xludf.DUMMYFUNCTION("""COMPUTED_VALUE"""),"SpFLMP572444")</f>
        <v>SpFLMP572444</v>
      </c>
      <c r="E1246" s="103"/>
      <c r="F1246" s="103"/>
      <c r="G1246" s="103" t="str">
        <f>IFERROR(__xludf.DUMMYFUNCTION("""COMPUTED_VALUE"""),"Negative")</f>
        <v>Negative</v>
      </c>
      <c r="H1246" s="131" t="str">
        <f>IFERROR(__xludf.DUMMYFUNCTION("""COMPUTED_VALUE"""),"Negative")</f>
        <v>Negative</v>
      </c>
      <c r="I1246" s="468">
        <f>IFERROR(__xludf.DUMMYFUNCTION("""COMPUTED_VALUE"""),44692.0)</f>
        <v>44692</v>
      </c>
      <c r="J1246" s="470">
        <f>IFERROR(__xludf.DUMMYFUNCTION("""COMPUTED_VALUE"""),0.42033564814814817)</f>
        <v>0.4203356481</v>
      </c>
      <c r="K1246" s="16"/>
      <c r="L1246" s="8"/>
      <c r="M1246" s="69"/>
      <c r="N1246" s="69">
        <f>IFERROR(__xludf.DUMMYFUNCTION("""COMPUTED_VALUE"""),1.0)</f>
        <v>1</v>
      </c>
      <c r="O1246" s="69" t="str">
        <f t="shared" si="3"/>
        <v/>
      </c>
      <c r="P1246" s="471">
        <f>IFERROR(__xludf.DUMMYFUNCTION("""COMPUTED_VALUE"""),0.0)</f>
        <v>0</v>
      </c>
      <c r="Q1246" s="274" t="b">
        <f>VLOOKUP($B1246,'Run Reconcile'!B$2:O2488,14,FALSE)</f>
        <v>1</v>
      </c>
      <c r="R1246" s="472" t="str">
        <f t="array" ref="R1246">IF($Q1246, INDEX('Run Reconcile'!A$2:A2488,MATCH(B1246,'Run Reconcile'!B$2:B2488,0),1),IFERROR(0/0,""))</f>
        <v>RUN-FLMP_2022-05-11_RFR-132</v>
      </c>
      <c r="S1246" s="473" t="str">
        <f t="shared" si="694"/>
        <v/>
      </c>
      <c r="T1246" s="473" t="str">
        <f t="shared" si="698"/>
        <v/>
      </c>
      <c r="U1246" s="275" t="str">
        <f t="array" ref="U1246">IF(ISBLANK($R1246), INDEX('Run Reconcile'!A$2:A2488, MATCH($B1246, 'Run Reconcile'!B$2:B2488, 0)+Z1246, 1), IFERROR(0/0,""))
</f>
        <v/>
      </c>
      <c r="V1246" s="474" t="str">
        <f t="shared" si="5"/>
        <v>RUN-FLMP_2022-05-11_RFR-132</v>
      </c>
      <c r="Y1246" s="89" t="str">
        <f t="shared" si="1581"/>
        <v/>
      </c>
      <c r="Z1246" s="60" t="str">
        <f t="shared" si="7"/>
        <v/>
      </c>
      <c r="AA1246" s="60" t="str">
        <f t="shared" si="8"/>
        <v/>
      </c>
      <c r="AB1246" s="60" t="str">
        <f t="shared" si="9"/>
        <v/>
      </c>
      <c r="AC1246" s="30" t="str">
        <f t="shared" ref="AC1246:AD1246" si="1605">IF(_xlfn.ISFORMULA(S1246),IFERROR(0/0,""),TRUE)</f>
        <v/>
      </c>
      <c r="AD1246" s="30" t="str">
        <f t="shared" si="1605"/>
        <v/>
      </c>
      <c r="AE1246" s="475" t="str">
        <f>IFERROR(__xludf.DUMMYFUNCTION("""COMPUTED_VALUE"""),"CRLN")</f>
        <v>CRLN</v>
      </c>
      <c r="AF1246" s="476"/>
      <c r="AG1246" s="474" t="s">
        <v>214</v>
      </c>
      <c r="AH1246" s="138" t="str">
        <f t="shared" si="11"/>
        <v/>
      </c>
    </row>
    <row r="1247">
      <c r="A1247" s="103" t="str">
        <f>IFERROR(__xludf.DUMMYFUNCTION("""COMPUTED_VALUE"""),"FLB7380")</f>
        <v>FLB7380</v>
      </c>
      <c r="B1247" s="468">
        <f>IFERROR(__xludf.DUMMYFUNCTION("""COMPUTED_VALUE"""),44692.0)</f>
        <v>44692</v>
      </c>
      <c r="C1247" s="469">
        <f>IFERROR(__xludf.DUMMYFUNCTION("""COMPUTED_VALUE"""),0.3657060185185185)</f>
        <v>0.3657060185</v>
      </c>
      <c r="D1247" s="103" t="str">
        <f>IFERROR(__xludf.DUMMYFUNCTION("""COMPUTED_VALUE"""),"SpFLMP125859")</f>
        <v>SpFLMP125859</v>
      </c>
      <c r="E1247" s="103"/>
      <c r="F1247" s="103"/>
      <c r="G1247" s="103" t="str">
        <f>IFERROR(__xludf.DUMMYFUNCTION("""COMPUTED_VALUE"""),"Negative")</f>
        <v>Negative</v>
      </c>
      <c r="H1247" s="131" t="str">
        <f>IFERROR(__xludf.DUMMYFUNCTION("""COMPUTED_VALUE"""),"Negative")</f>
        <v>Negative</v>
      </c>
      <c r="I1247" s="468">
        <f>IFERROR(__xludf.DUMMYFUNCTION("""COMPUTED_VALUE"""),44692.0)</f>
        <v>44692</v>
      </c>
      <c r="J1247" s="470">
        <f>IFERROR(__xludf.DUMMYFUNCTION("""COMPUTED_VALUE"""),0.42033564814814817)</f>
        <v>0.4203356481</v>
      </c>
      <c r="K1247" s="16"/>
      <c r="L1247" s="8"/>
      <c r="M1247" s="69"/>
      <c r="N1247" s="69">
        <f>IFERROR(__xludf.DUMMYFUNCTION("""COMPUTED_VALUE"""),1.0)</f>
        <v>1</v>
      </c>
      <c r="O1247" s="69" t="str">
        <f t="shared" si="3"/>
        <v/>
      </c>
      <c r="P1247" s="471">
        <f>IFERROR(__xludf.DUMMYFUNCTION("""COMPUTED_VALUE"""),0.0)</f>
        <v>0</v>
      </c>
      <c r="Q1247" s="274" t="b">
        <f>VLOOKUP($B1247,'Run Reconcile'!B$2:O2488,14,FALSE)</f>
        <v>1</v>
      </c>
      <c r="R1247" s="472" t="str">
        <f t="array" ref="R1247">IF($Q1247, INDEX('Run Reconcile'!A$2:A2488,MATCH(B1247,'Run Reconcile'!B$2:B2488,0),1),IFERROR(0/0,""))</f>
        <v>RUN-FLMP_2022-05-11_RFR-132</v>
      </c>
      <c r="S1247" s="473" t="str">
        <f t="shared" si="694"/>
        <v/>
      </c>
      <c r="T1247" s="473" t="str">
        <f t="shared" si="698"/>
        <v/>
      </c>
      <c r="U1247" s="275" t="str">
        <f t="array" ref="U1247">IF(ISBLANK($R1247), INDEX('Run Reconcile'!A$2:A2488, MATCH($B1247, 'Run Reconcile'!B$2:B2488, 0)+Z1247, 1), IFERROR(0/0,""))
</f>
        <v/>
      </c>
      <c r="V1247" s="474" t="str">
        <f t="shared" si="5"/>
        <v>RUN-FLMP_2022-05-11_RFR-132</v>
      </c>
      <c r="Y1247" s="89" t="str">
        <f t="shared" si="1581"/>
        <v/>
      </c>
      <c r="Z1247" s="60" t="str">
        <f t="shared" si="7"/>
        <v/>
      </c>
      <c r="AA1247" s="60" t="str">
        <f t="shared" si="8"/>
        <v/>
      </c>
      <c r="AB1247" s="60" t="str">
        <f t="shared" si="9"/>
        <v/>
      </c>
      <c r="AC1247" s="30" t="str">
        <f t="shared" ref="AC1247:AD1247" si="1606">IF(_xlfn.ISFORMULA(S1247),IFERROR(0/0,""),TRUE)</f>
        <v/>
      </c>
      <c r="AD1247" s="30" t="str">
        <f t="shared" si="1606"/>
        <v/>
      </c>
      <c r="AE1247" s="475" t="str">
        <f>IFERROR(__xludf.DUMMYFUNCTION("""COMPUTED_VALUE"""),"CRLN")</f>
        <v>CRLN</v>
      </c>
      <c r="AF1247" s="476"/>
      <c r="AG1247" s="474" t="s">
        <v>214</v>
      </c>
      <c r="AH1247" s="138" t="str">
        <f t="shared" si="11"/>
        <v/>
      </c>
    </row>
    <row r="1248">
      <c r="A1248" s="103" t="str">
        <f>IFERROR(__xludf.DUMMYFUNCTION("""COMPUTED_VALUE"""),"AJ9119")</f>
        <v>AJ9119</v>
      </c>
      <c r="B1248" s="468">
        <f>IFERROR(__xludf.DUMMYFUNCTION("""COMPUTED_VALUE"""),44692.0)</f>
        <v>44692</v>
      </c>
      <c r="C1248" s="469">
        <f>IFERROR(__xludf.DUMMYFUNCTION("""COMPUTED_VALUE"""),0.3668518518518519)</f>
        <v>0.3668518519</v>
      </c>
      <c r="D1248" s="103" t="str">
        <f>IFERROR(__xludf.DUMMYFUNCTION("""COMPUTED_VALUE"""),"SpFLMP946259")</f>
        <v>SpFLMP946259</v>
      </c>
      <c r="E1248" s="103"/>
      <c r="F1248" s="103"/>
      <c r="G1248" s="103" t="str">
        <f>IFERROR(__xludf.DUMMYFUNCTION("""COMPUTED_VALUE"""),"Negative")</f>
        <v>Negative</v>
      </c>
      <c r="H1248" s="131" t="str">
        <f>IFERROR(__xludf.DUMMYFUNCTION("""COMPUTED_VALUE"""),"Negative")</f>
        <v>Negative</v>
      </c>
      <c r="I1248" s="468">
        <f>IFERROR(__xludf.DUMMYFUNCTION("""COMPUTED_VALUE"""),44692.0)</f>
        <v>44692</v>
      </c>
      <c r="J1248" s="470">
        <f>IFERROR(__xludf.DUMMYFUNCTION("""COMPUTED_VALUE"""),0.4203472222222222)</f>
        <v>0.4203472222</v>
      </c>
      <c r="K1248" s="16"/>
      <c r="L1248" s="8"/>
      <c r="M1248" s="69"/>
      <c r="N1248" s="69">
        <f>IFERROR(__xludf.DUMMYFUNCTION("""COMPUTED_VALUE"""),1.0)</f>
        <v>1</v>
      </c>
      <c r="O1248" s="69" t="str">
        <f t="shared" si="3"/>
        <v/>
      </c>
      <c r="P1248" s="471">
        <f>IFERROR(__xludf.DUMMYFUNCTION("""COMPUTED_VALUE"""),0.0)</f>
        <v>0</v>
      </c>
      <c r="Q1248" s="274" t="b">
        <f>VLOOKUP($B1248,'Run Reconcile'!B$2:O2488,14,FALSE)</f>
        <v>1</v>
      </c>
      <c r="R1248" s="472" t="str">
        <f t="array" ref="R1248">IF($Q1248, INDEX('Run Reconcile'!A$2:A2488,MATCH(B1248,'Run Reconcile'!B$2:B2488,0),1),IFERROR(0/0,""))</f>
        <v>RUN-FLMP_2022-05-11_RFR-132</v>
      </c>
      <c r="S1248" s="473" t="str">
        <f t="shared" si="694"/>
        <v/>
      </c>
      <c r="T1248" s="473" t="str">
        <f t="shared" si="698"/>
        <v/>
      </c>
      <c r="U1248" s="275" t="str">
        <f t="array" ref="U1248">IF(ISBLANK($R1248), INDEX('Run Reconcile'!A$2:A2488, MATCH($B1248, 'Run Reconcile'!B$2:B2488, 0)+Z1248, 1), IFERROR(0/0,""))
</f>
        <v/>
      </c>
      <c r="V1248" s="474" t="str">
        <f t="shared" si="5"/>
        <v>RUN-FLMP_2022-05-11_RFR-132</v>
      </c>
      <c r="Y1248" s="89" t="str">
        <f t="shared" si="1581"/>
        <v/>
      </c>
      <c r="Z1248" s="60" t="str">
        <f t="shared" si="7"/>
        <v/>
      </c>
      <c r="AA1248" s="60" t="str">
        <f t="shared" si="8"/>
        <v/>
      </c>
      <c r="AB1248" s="60" t="str">
        <f t="shared" si="9"/>
        <v/>
      </c>
      <c r="AC1248" s="30" t="str">
        <f t="shared" ref="AC1248:AD1248" si="1607">IF(_xlfn.ISFORMULA(S1248),IFERROR(0/0,""),TRUE)</f>
        <v/>
      </c>
      <c r="AD1248" s="30" t="str">
        <f t="shared" si="1607"/>
        <v/>
      </c>
      <c r="AE1248" s="475" t="str">
        <f>IFERROR(__xludf.DUMMYFUNCTION("""COMPUTED_VALUE"""),"CRLN")</f>
        <v>CRLN</v>
      </c>
      <c r="AF1248" s="476"/>
      <c r="AG1248" s="474" t="s">
        <v>214</v>
      </c>
      <c r="AH1248" s="138" t="str">
        <f t="shared" si="11"/>
        <v/>
      </c>
    </row>
    <row r="1249">
      <c r="A1249" s="477" t="str">
        <f>IFERROR(__xludf.DUMMYFUNCTION("""COMPUTED_VALUE"""),"FLB6748")</f>
        <v>FLB6748</v>
      </c>
      <c r="B1249" s="478">
        <f>IFERROR(__xludf.DUMMYFUNCTION("""COMPUTED_VALUE"""),44693.0)</f>
        <v>44693</v>
      </c>
      <c r="C1249" s="479">
        <f>IFERROR(__xludf.DUMMYFUNCTION("""COMPUTED_VALUE"""),0.29305555555555557)</f>
        <v>0.2930555556</v>
      </c>
      <c r="D1249" s="477" t="str">
        <f>IFERROR(__xludf.DUMMYFUNCTION("""COMPUTED_VALUE"""),"SpFLMP470379")</f>
        <v>SpFLMP470379</v>
      </c>
      <c r="E1249" s="477"/>
      <c r="F1249" s="477"/>
      <c r="G1249" s="477" t="str">
        <f>IFERROR(__xludf.DUMMYFUNCTION("""COMPUTED_VALUE"""),"Negative")</f>
        <v>Negative</v>
      </c>
      <c r="H1249" s="480" t="str">
        <f>IFERROR(__xludf.DUMMYFUNCTION("""COMPUTED_VALUE"""),"Negative")</f>
        <v>Negative</v>
      </c>
      <c r="I1249" s="478">
        <f>IFERROR(__xludf.DUMMYFUNCTION("""COMPUTED_VALUE"""),44693.0)</f>
        <v>44693</v>
      </c>
      <c r="J1249" s="481">
        <f>IFERROR(__xludf.DUMMYFUNCTION("""COMPUTED_VALUE"""),0.4590625)</f>
        <v>0.4590625</v>
      </c>
      <c r="K1249" s="156"/>
      <c r="L1249" s="19"/>
      <c r="M1249" s="482"/>
      <c r="N1249" s="482">
        <f>IFERROR(__xludf.DUMMYFUNCTION("""COMPUTED_VALUE"""),1.0)</f>
        <v>1</v>
      </c>
      <c r="O1249" s="482" t="b">
        <f t="shared" si="3"/>
        <v>1</v>
      </c>
      <c r="P1249" s="483">
        <f>IFERROR(__xludf.DUMMYFUNCTION("""COMPUTED_VALUE"""),0.0)</f>
        <v>0</v>
      </c>
      <c r="Q1249" s="352" t="b">
        <f>VLOOKUP($B1249,'Run Reconcile'!B$2:O2488,14,FALSE)</f>
        <v>1</v>
      </c>
      <c r="R1249" s="484" t="str">
        <f t="array" ref="R1249">IF($Q1249, INDEX('Run Reconcile'!A$2:A2488,MATCH(B1249,'Run Reconcile'!B$2:B2488,0),1),IFERROR(0/0,""))</f>
        <v>RUN-FLMP_2022-05-12_RFR-135</v>
      </c>
      <c r="S1249" s="485" t="str">
        <f t="shared" si="694"/>
        <v/>
      </c>
      <c r="T1249" s="485" t="str">
        <f t="shared" si="698"/>
        <v/>
      </c>
      <c r="U1249" s="353" t="str">
        <f t="array" ref="U1249">IF(ISBLANK($R1249), INDEX('Run Reconcile'!A$2:A2488, MATCH($B1249, 'Run Reconcile'!B$2:B2488, 0)+Z1249, 1), IFERROR(0/0,""))
</f>
        <v/>
      </c>
      <c r="V1249" s="486" t="str">
        <f t="shared" si="5"/>
        <v>RUN-FLMP_2022-05-12_RFR-135</v>
      </c>
      <c r="W1249" s="19"/>
      <c r="X1249" s="19"/>
      <c r="Y1249" s="89" t="str">
        <f t="shared" si="1581"/>
        <v/>
      </c>
      <c r="Z1249" s="60" t="str">
        <f t="shared" si="7"/>
        <v/>
      </c>
      <c r="AA1249" s="60" t="str">
        <f t="shared" si="8"/>
        <v/>
      </c>
      <c r="AB1249" s="60" t="str">
        <f t="shared" si="9"/>
        <v/>
      </c>
      <c r="AC1249" s="158" t="str">
        <f t="shared" ref="AC1249:AD1249" si="1608">IF(_xlfn.ISFORMULA(S1249),IFERROR(0/0,""),TRUE)</f>
        <v/>
      </c>
      <c r="AD1249" s="158" t="str">
        <f t="shared" si="1608"/>
        <v/>
      </c>
      <c r="AE1249" s="488" t="str">
        <f>IFERROR(__xludf.DUMMYFUNCTION("""COMPUTED_VALUE"""),"CRLN")</f>
        <v>CRLN</v>
      </c>
      <c r="AF1249" s="489"/>
      <c r="AG1249" s="486" t="s">
        <v>215</v>
      </c>
      <c r="AH1249" s="138" t="str">
        <f t="shared" si="11"/>
        <v/>
      </c>
      <c r="AI1249" s="19"/>
      <c r="AJ1249" s="19"/>
      <c r="AK1249" s="19"/>
      <c r="AL1249" s="19"/>
      <c r="AM1249" s="19"/>
    </row>
    <row r="1250">
      <c r="A1250" s="103" t="str">
        <f>IFERROR(__xludf.DUMMYFUNCTION("""COMPUTED_VALUE"""),"FLB4921")</f>
        <v>FLB4921</v>
      </c>
      <c r="B1250" s="468">
        <f>IFERROR(__xludf.DUMMYFUNCTION("""COMPUTED_VALUE"""),44693.0)</f>
        <v>44693</v>
      </c>
      <c r="C1250" s="469">
        <f>IFERROR(__xludf.DUMMYFUNCTION("""COMPUTED_VALUE"""),0.31649305555555557)</f>
        <v>0.3164930556</v>
      </c>
      <c r="D1250" s="103" t="str">
        <f>IFERROR(__xludf.DUMMYFUNCTION("""COMPUTED_VALUE"""),"SpFLMP777132")</f>
        <v>SpFLMP777132</v>
      </c>
      <c r="E1250" s="103"/>
      <c r="F1250" s="103"/>
      <c r="G1250" s="103" t="str">
        <f>IFERROR(__xludf.DUMMYFUNCTION("""COMPUTED_VALUE"""),"Negative")</f>
        <v>Negative</v>
      </c>
      <c r="H1250" s="131" t="str">
        <f>IFERROR(__xludf.DUMMYFUNCTION("""COMPUTED_VALUE"""),"Negative")</f>
        <v>Negative</v>
      </c>
      <c r="I1250" s="468">
        <f>IFERROR(__xludf.DUMMYFUNCTION("""COMPUTED_VALUE"""),44693.0)</f>
        <v>44693</v>
      </c>
      <c r="J1250" s="470">
        <f>IFERROR(__xludf.DUMMYFUNCTION("""COMPUTED_VALUE"""),0.4590625)</f>
        <v>0.4590625</v>
      </c>
      <c r="K1250" s="16"/>
      <c r="L1250" s="8"/>
      <c r="M1250" s="69"/>
      <c r="N1250" s="69">
        <f>IFERROR(__xludf.DUMMYFUNCTION("""COMPUTED_VALUE"""),4.0)</f>
        <v>4</v>
      </c>
      <c r="O1250" s="69" t="str">
        <f t="shared" si="3"/>
        <v/>
      </c>
      <c r="P1250" s="471">
        <f>IFERROR(__xludf.DUMMYFUNCTION("""COMPUTED_VALUE"""),0.0)</f>
        <v>0</v>
      </c>
      <c r="Q1250" s="274" t="b">
        <f>VLOOKUP($B1250,'Run Reconcile'!B$2:O2488,14,FALSE)</f>
        <v>1</v>
      </c>
      <c r="R1250" s="472" t="str">
        <f t="array" ref="R1250">IF($Q1250, INDEX('Run Reconcile'!A$2:A2488,MATCH(B1250,'Run Reconcile'!B$2:B2488,0),1),IFERROR(0/0,""))</f>
        <v>RUN-FLMP_2022-05-12_RFR-135</v>
      </c>
      <c r="S1250" s="473" t="str">
        <f t="shared" si="694"/>
        <v/>
      </c>
      <c r="T1250" s="473" t="str">
        <f t="shared" si="698"/>
        <v/>
      </c>
      <c r="U1250" s="275" t="str">
        <f t="array" ref="U1250">IF(ISBLANK($R1250), INDEX('Run Reconcile'!A$2:A2488, MATCH($B1250, 'Run Reconcile'!B$2:B2488, 0)+Z1250, 1), IFERROR(0/0,""))
</f>
        <v/>
      </c>
      <c r="V1250" s="474" t="str">
        <f t="shared" si="5"/>
        <v>RUN-FLMP_2022-05-12_RFR-135</v>
      </c>
      <c r="Y1250" s="89" t="str">
        <f t="shared" si="1581"/>
        <v/>
      </c>
      <c r="Z1250" s="60" t="str">
        <f t="shared" si="7"/>
        <v/>
      </c>
      <c r="AA1250" s="60" t="str">
        <f t="shared" si="8"/>
        <v/>
      </c>
      <c r="AB1250" s="60" t="str">
        <f t="shared" si="9"/>
        <v/>
      </c>
      <c r="AC1250" s="30" t="str">
        <f t="shared" ref="AC1250:AD1250" si="1609">IF(_xlfn.ISFORMULA(S1250),IFERROR(0/0,""),TRUE)</f>
        <v/>
      </c>
      <c r="AD1250" s="30" t="str">
        <f t="shared" si="1609"/>
        <v/>
      </c>
      <c r="AE1250" s="475" t="str">
        <f>IFERROR(__xludf.DUMMYFUNCTION("""COMPUTED_VALUE"""),"CRLN")</f>
        <v>CRLN</v>
      </c>
      <c r="AF1250" s="476"/>
      <c r="AG1250" s="474" t="s">
        <v>215</v>
      </c>
      <c r="AH1250" s="138" t="str">
        <f t="shared" si="11"/>
        <v/>
      </c>
    </row>
    <row r="1251">
      <c r="A1251" s="103" t="str">
        <f>IFERROR(__xludf.DUMMYFUNCTION("""COMPUTED_VALUE"""),"FLB7138")</f>
        <v>FLB7138</v>
      </c>
      <c r="B1251" s="468">
        <f>IFERROR(__xludf.DUMMYFUNCTION("""COMPUTED_VALUE"""),44693.0)</f>
        <v>44693</v>
      </c>
      <c r="C1251" s="469">
        <f>IFERROR(__xludf.DUMMYFUNCTION("""COMPUTED_VALUE"""),0.3276851851851852)</f>
        <v>0.3276851852</v>
      </c>
      <c r="D1251" s="103" t="str">
        <f>IFERROR(__xludf.DUMMYFUNCTION("""COMPUTED_VALUE"""),"SpFLMP125859")</f>
        <v>SpFLMP125859</v>
      </c>
      <c r="E1251" s="103"/>
      <c r="F1251" s="103"/>
      <c r="G1251" s="103" t="str">
        <f>IFERROR(__xludf.DUMMYFUNCTION("""COMPUTED_VALUE"""),"Negative")</f>
        <v>Negative</v>
      </c>
      <c r="H1251" s="131" t="str">
        <f>IFERROR(__xludf.DUMMYFUNCTION("""COMPUTED_VALUE"""),"Negative")</f>
        <v>Negative</v>
      </c>
      <c r="I1251" s="468">
        <f>IFERROR(__xludf.DUMMYFUNCTION("""COMPUTED_VALUE"""),44693.0)</f>
        <v>44693</v>
      </c>
      <c r="J1251" s="470">
        <f>IFERROR(__xludf.DUMMYFUNCTION("""COMPUTED_VALUE"""),0.4590625)</f>
        <v>0.4590625</v>
      </c>
      <c r="K1251" s="16"/>
      <c r="L1251" s="8"/>
      <c r="M1251" s="69"/>
      <c r="N1251" s="69">
        <f>IFERROR(__xludf.DUMMYFUNCTION("""COMPUTED_VALUE"""),4.0)</f>
        <v>4</v>
      </c>
      <c r="O1251" s="69" t="str">
        <f t="shared" si="3"/>
        <v/>
      </c>
      <c r="P1251" s="471">
        <f>IFERROR(__xludf.DUMMYFUNCTION("""COMPUTED_VALUE"""),0.0)</f>
        <v>0</v>
      </c>
      <c r="Q1251" s="274" t="b">
        <f>VLOOKUP($B1251,'Run Reconcile'!B$2:O2488,14,FALSE)</f>
        <v>1</v>
      </c>
      <c r="R1251" s="472" t="str">
        <f t="array" ref="R1251">IF($Q1251, INDEX('Run Reconcile'!A$2:A2488,MATCH(B1251,'Run Reconcile'!B$2:B2488,0),1),IFERROR(0/0,""))</f>
        <v>RUN-FLMP_2022-05-12_RFR-135</v>
      </c>
      <c r="S1251" s="473" t="str">
        <f t="shared" si="694"/>
        <v/>
      </c>
      <c r="T1251" s="473" t="str">
        <f t="shared" si="698"/>
        <v/>
      </c>
      <c r="U1251" s="275" t="str">
        <f t="array" ref="U1251">IF(ISBLANK($R1251), INDEX('Run Reconcile'!A$2:A2488, MATCH($B1251, 'Run Reconcile'!B$2:B2488, 0)+Z1251, 1), IFERROR(0/0,""))
</f>
        <v/>
      </c>
      <c r="V1251" s="474" t="str">
        <f t="shared" si="5"/>
        <v>RUN-FLMP_2022-05-12_RFR-135</v>
      </c>
      <c r="Y1251" s="89" t="str">
        <f t="shared" si="1581"/>
        <v/>
      </c>
      <c r="Z1251" s="60" t="str">
        <f t="shared" si="7"/>
        <v/>
      </c>
      <c r="AA1251" s="60" t="str">
        <f t="shared" si="8"/>
        <v/>
      </c>
      <c r="AB1251" s="60" t="str">
        <f t="shared" si="9"/>
        <v/>
      </c>
      <c r="AC1251" s="30" t="str">
        <f t="shared" ref="AC1251:AD1251" si="1610">IF(_xlfn.ISFORMULA(S1251),IFERROR(0/0,""),TRUE)</f>
        <v/>
      </c>
      <c r="AD1251" s="30" t="str">
        <f t="shared" si="1610"/>
        <v/>
      </c>
      <c r="AE1251" s="475" t="str">
        <f>IFERROR(__xludf.DUMMYFUNCTION("""COMPUTED_VALUE"""),"CRLN")</f>
        <v>CRLN</v>
      </c>
      <c r="AF1251" s="476"/>
      <c r="AG1251" s="474" t="s">
        <v>215</v>
      </c>
      <c r="AH1251" s="138" t="str">
        <f t="shared" si="11"/>
        <v/>
      </c>
    </row>
    <row r="1252">
      <c r="A1252" s="103" t="str">
        <f>IFERROR(__xludf.DUMMYFUNCTION("""COMPUTED_VALUE"""),"AH7814")</f>
        <v>AH7814</v>
      </c>
      <c r="B1252" s="468">
        <f>IFERROR(__xludf.DUMMYFUNCTION("""COMPUTED_VALUE"""),44693.0)</f>
        <v>44693</v>
      </c>
      <c r="C1252" s="469">
        <f>IFERROR(__xludf.DUMMYFUNCTION("""COMPUTED_VALUE"""),0.33064814814814814)</f>
        <v>0.3306481481</v>
      </c>
      <c r="D1252" s="103" t="str">
        <f>IFERROR(__xludf.DUMMYFUNCTION("""COMPUTED_VALUE"""),"SpFLMP683385")</f>
        <v>SpFLMP683385</v>
      </c>
      <c r="E1252" s="103"/>
      <c r="F1252" s="103"/>
      <c r="G1252" s="103" t="str">
        <f>IFERROR(__xludf.DUMMYFUNCTION("""COMPUTED_VALUE"""),"Negative")</f>
        <v>Negative</v>
      </c>
      <c r="H1252" s="131" t="str">
        <f>IFERROR(__xludf.DUMMYFUNCTION("""COMPUTED_VALUE"""),"Negative")</f>
        <v>Negative</v>
      </c>
      <c r="I1252" s="468">
        <f>IFERROR(__xludf.DUMMYFUNCTION("""COMPUTED_VALUE"""),44693.0)</f>
        <v>44693</v>
      </c>
      <c r="J1252" s="470">
        <f>IFERROR(__xludf.DUMMYFUNCTION("""COMPUTED_VALUE"""),0.4590625)</f>
        <v>0.4590625</v>
      </c>
      <c r="K1252" s="16"/>
      <c r="L1252" s="8"/>
      <c r="M1252" s="69"/>
      <c r="N1252" s="69">
        <f>IFERROR(__xludf.DUMMYFUNCTION("""COMPUTED_VALUE"""),4.0)</f>
        <v>4</v>
      </c>
      <c r="O1252" s="69" t="str">
        <f t="shared" si="3"/>
        <v/>
      </c>
      <c r="P1252" s="471">
        <f>IFERROR(__xludf.DUMMYFUNCTION("""COMPUTED_VALUE"""),0.0)</f>
        <v>0</v>
      </c>
      <c r="Q1252" s="274" t="b">
        <f>VLOOKUP($B1252,'Run Reconcile'!B$2:O2488,14,FALSE)</f>
        <v>1</v>
      </c>
      <c r="R1252" s="472" t="str">
        <f t="array" ref="R1252">IF($Q1252, INDEX('Run Reconcile'!A$2:A2488,MATCH(B1252,'Run Reconcile'!B$2:B2488,0),1),IFERROR(0/0,""))</f>
        <v>RUN-FLMP_2022-05-12_RFR-135</v>
      </c>
      <c r="S1252" s="473" t="str">
        <f t="shared" si="694"/>
        <v/>
      </c>
      <c r="T1252" s="473" t="str">
        <f t="shared" si="698"/>
        <v/>
      </c>
      <c r="U1252" s="275" t="str">
        <f t="array" ref="U1252">IF(ISBLANK($R1252), INDEX('Run Reconcile'!A$2:A2488, MATCH($B1252, 'Run Reconcile'!B$2:B2488, 0)+Z1252, 1), IFERROR(0/0,""))
</f>
        <v/>
      </c>
      <c r="V1252" s="474" t="str">
        <f t="shared" si="5"/>
        <v>RUN-FLMP_2022-05-12_RFR-135</v>
      </c>
      <c r="Y1252" s="89" t="str">
        <f t="shared" si="1581"/>
        <v/>
      </c>
      <c r="Z1252" s="60" t="str">
        <f t="shared" si="7"/>
        <v/>
      </c>
      <c r="AA1252" s="60" t="str">
        <f t="shared" si="8"/>
        <v/>
      </c>
      <c r="AB1252" s="60" t="str">
        <f t="shared" si="9"/>
        <v/>
      </c>
      <c r="AC1252" s="30" t="str">
        <f t="shared" ref="AC1252:AD1252" si="1611">IF(_xlfn.ISFORMULA(S1252),IFERROR(0/0,""),TRUE)</f>
        <v/>
      </c>
      <c r="AD1252" s="30" t="str">
        <f t="shared" si="1611"/>
        <v/>
      </c>
      <c r="AE1252" s="475" t="str">
        <f>IFERROR(__xludf.DUMMYFUNCTION("""COMPUTED_VALUE"""),"CRLN")</f>
        <v>CRLN</v>
      </c>
      <c r="AF1252" s="476"/>
      <c r="AG1252" s="474" t="s">
        <v>215</v>
      </c>
      <c r="AH1252" s="138" t="str">
        <f t="shared" si="11"/>
        <v/>
      </c>
    </row>
    <row r="1253">
      <c r="A1253" s="103" t="str">
        <f>IFERROR(__xludf.DUMMYFUNCTION("""COMPUTED_VALUE"""),"AG1652")</f>
        <v>AG1652</v>
      </c>
      <c r="B1253" s="468">
        <f>IFERROR(__xludf.DUMMYFUNCTION("""COMPUTED_VALUE"""),44693.0)</f>
        <v>44693</v>
      </c>
      <c r="C1253" s="469">
        <f>IFERROR(__xludf.DUMMYFUNCTION("""COMPUTED_VALUE"""),0.3350694444444444)</f>
        <v>0.3350694444</v>
      </c>
      <c r="D1253" s="103" t="str">
        <f>IFERROR(__xludf.DUMMYFUNCTION("""COMPUTED_VALUE"""),"SpFLMP273885")</f>
        <v>SpFLMP273885</v>
      </c>
      <c r="E1253" s="103"/>
      <c r="F1253" s="103"/>
      <c r="G1253" s="103" t="str">
        <f>IFERROR(__xludf.DUMMYFUNCTION("""COMPUTED_VALUE"""),"Negative")</f>
        <v>Negative</v>
      </c>
      <c r="H1253" s="131" t="str">
        <f>IFERROR(__xludf.DUMMYFUNCTION("""COMPUTED_VALUE"""),"Negative")</f>
        <v>Negative</v>
      </c>
      <c r="I1253" s="468">
        <f>IFERROR(__xludf.DUMMYFUNCTION("""COMPUTED_VALUE"""),44693.0)</f>
        <v>44693</v>
      </c>
      <c r="J1253" s="470">
        <f>IFERROR(__xludf.DUMMYFUNCTION("""COMPUTED_VALUE"""),0.4590625)</f>
        <v>0.4590625</v>
      </c>
      <c r="K1253" s="16"/>
      <c r="L1253" s="8"/>
      <c r="M1253" s="69"/>
      <c r="N1253" s="69">
        <f>IFERROR(__xludf.DUMMYFUNCTION("""COMPUTED_VALUE"""),4.0)</f>
        <v>4</v>
      </c>
      <c r="O1253" s="69" t="str">
        <f t="shared" si="3"/>
        <v/>
      </c>
      <c r="P1253" s="471">
        <f>IFERROR(__xludf.DUMMYFUNCTION("""COMPUTED_VALUE"""),0.0)</f>
        <v>0</v>
      </c>
      <c r="Q1253" s="274" t="b">
        <f>VLOOKUP($B1253,'Run Reconcile'!B$2:O2488,14,FALSE)</f>
        <v>1</v>
      </c>
      <c r="R1253" s="472" t="str">
        <f t="array" ref="R1253">IF($Q1253, INDEX('Run Reconcile'!A$2:A2488,MATCH(B1253,'Run Reconcile'!B$2:B2488,0),1),IFERROR(0/0,""))</f>
        <v>RUN-FLMP_2022-05-12_RFR-135</v>
      </c>
      <c r="S1253" s="473" t="str">
        <f t="shared" si="694"/>
        <v/>
      </c>
      <c r="T1253" s="473" t="str">
        <f t="shared" si="698"/>
        <v/>
      </c>
      <c r="U1253" s="275" t="str">
        <f t="array" ref="U1253">IF(ISBLANK($R1253), INDEX('Run Reconcile'!A$2:A2488, MATCH($B1253, 'Run Reconcile'!B$2:B2488, 0)+Z1253, 1), IFERROR(0/0,""))
</f>
        <v/>
      </c>
      <c r="V1253" s="474" t="str">
        <f t="shared" si="5"/>
        <v>RUN-FLMP_2022-05-12_RFR-135</v>
      </c>
      <c r="Y1253" s="89" t="str">
        <f t="shared" si="1581"/>
        <v/>
      </c>
      <c r="Z1253" s="60" t="str">
        <f t="shared" si="7"/>
        <v/>
      </c>
      <c r="AA1253" s="60" t="str">
        <f t="shared" si="8"/>
        <v/>
      </c>
      <c r="AB1253" s="60" t="str">
        <f t="shared" si="9"/>
        <v/>
      </c>
      <c r="AC1253" s="30" t="str">
        <f t="shared" ref="AC1253:AD1253" si="1612">IF(_xlfn.ISFORMULA(S1253),IFERROR(0/0,""),TRUE)</f>
        <v/>
      </c>
      <c r="AD1253" s="30" t="str">
        <f t="shared" si="1612"/>
        <v/>
      </c>
      <c r="AE1253" s="475" t="str">
        <f>IFERROR(__xludf.DUMMYFUNCTION("""COMPUTED_VALUE"""),"CRLN")</f>
        <v>CRLN</v>
      </c>
      <c r="AF1253" s="476"/>
      <c r="AG1253" s="474" t="s">
        <v>215</v>
      </c>
      <c r="AH1253" s="138" t="str">
        <f t="shared" si="11"/>
        <v/>
      </c>
    </row>
    <row r="1254">
      <c r="A1254" s="103" t="str">
        <f>IFERROR(__xludf.DUMMYFUNCTION("""COMPUTED_VALUE"""),"AJ8585")</f>
        <v>AJ8585</v>
      </c>
      <c r="B1254" s="468">
        <f>IFERROR(__xludf.DUMMYFUNCTION("""COMPUTED_VALUE"""),44693.0)</f>
        <v>44693</v>
      </c>
      <c r="C1254" s="469">
        <f>IFERROR(__xludf.DUMMYFUNCTION("""COMPUTED_VALUE"""),0.33925925925925926)</f>
        <v>0.3392592593</v>
      </c>
      <c r="D1254" s="103" t="str">
        <f>IFERROR(__xludf.DUMMYFUNCTION("""COMPUTED_VALUE"""),"SpFLMP314549")</f>
        <v>SpFLMP314549</v>
      </c>
      <c r="E1254" s="103"/>
      <c r="F1254" s="103"/>
      <c r="G1254" s="103" t="str">
        <f>IFERROR(__xludf.DUMMYFUNCTION("""COMPUTED_VALUE"""),"Negative")</f>
        <v>Negative</v>
      </c>
      <c r="H1254" s="131" t="str">
        <f>IFERROR(__xludf.DUMMYFUNCTION("""COMPUTED_VALUE"""),"Negative")</f>
        <v>Negative</v>
      </c>
      <c r="I1254" s="468">
        <f>IFERROR(__xludf.DUMMYFUNCTION("""COMPUTED_VALUE"""),44693.0)</f>
        <v>44693</v>
      </c>
      <c r="J1254" s="470">
        <f>IFERROR(__xludf.DUMMYFUNCTION("""COMPUTED_VALUE"""),0.48105324074074074)</f>
        <v>0.4810532407</v>
      </c>
      <c r="K1254" s="16"/>
      <c r="L1254" s="8"/>
      <c r="M1254" s="69"/>
      <c r="N1254" s="69">
        <f>IFERROR(__xludf.DUMMYFUNCTION("""COMPUTED_VALUE"""),1.0)</f>
        <v>1</v>
      </c>
      <c r="O1254" s="69" t="str">
        <f t="shared" si="3"/>
        <v/>
      </c>
      <c r="P1254" s="471">
        <f>IFERROR(__xludf.DUMMYFUNCTION("""COMPUTED_VALUE"""),0.0)</f>
        <v>0</v>
      </c>
      <c r="Q1254" s="274" t="b">
        <f>VLOOKUP($B1254,'Run Reconcile'!B$2:O2488,14,FALSE)</f>
        <v>1</v>
      </c>
      <c r="R1254" s="472" t="str">
        <f t="array" ref="R1254">IF($Q1254, INDEX('Run Reconcile'!A$2:A2488,MATCH(B1254,'Run Reconcile'!B$2:B2488,0),1),IFERROR(0/0,""))</f>
        <v>RUN-FLMP_2022-05-12_RFR-135</v>
      </c>
      <c r="S1254" s="473" t="str">
        <f t="shared" si="694"/>
        <v/>
      </c>
      <c r="T1254" s="473" t="str">
        <f t="shared" si="698"/>
        <v/>
      </c>
      <c r="U1254" s="275" t="str">
        <f t="array" ref="U1254">IF(ISBLANK($R1254), INDEX('Run Reconcile'!A$2:A2488, MATCH($B1254, 'Run Reconcile'!B$2:B2488, 0)+Z1254, 1), IFERROR(0/0,""))
</f>
        <v/>
      </c>
      <c r="V1254" s="474" t="str">
        <f t="shared" si="5"/>
        <v>RUN-FLMP_2022-05-12_RFR-135</v>
      </c>
      <c r="Y1254" s="89" t="str">
        <f t="shared" si="1581"/>
        <v/>
      </c>
      <c r="Z1254" s="60" t="str">
        <f t="shared" si="7"/>
        <v/>
      </c>
      <c r="AA1254" s="60" t="str">
        <f t="shared" si="8"/>
        <v/>
      </c>
      <c r="AB1254" s="60" t="str">
        <f t="shared" si="9"/>
        <v/>
      </c>
      <c r="AC1254" s="30" t="str">
        <f t="shared" ref="AC1254:AD1254" si="1613">IF(_xlfn.ISFORMULA(S1254),IFERROR(0/0,""),TRUE)</f>
        <v/>
      </c>
      <c r="AD1254" s="30" t="str">
        <f t="shared" si="1613"/>
        <v/>
      </c>
      <c r="AE1254" s="475" t="str">
        <f>IFERROR(__xludf.DUMMYFUNCTION("""COMPUTED_VALUE"""),"CRLN")</f>
        <v>CRLN</v>
      </c>
      <c r="AF1254" s="476"/>
      <c r="AG1254" s="474" t="s">
        <v>215</v>
      </c>
      <c r="AH1254" s="138" t="str">
        <f t="shared" si="11"/>
        <v/>
      </c>
    </row>
    <row r="1255">
      <c r="A1255" s="103" t="str">
        <f>IFERROR(__xludf.DUMMYFUNCTION("""COMPUTED_VALUE"""),"AJ8021")</f>
        <v>AJ8021</v>
      </c>
      <c r="B1255" s="468">
        <f>IFERROR(__xludf.DUMMYFUNCTION("""COMPUTED_VALUE"""),44693.0)</f>
        <v>44693</v>
      </c>
      <c r="C1255" s="469">
        <f>IFERROR(__xludf.DUMMYFUNCTION("""COMPUTED_VALUE"""),0.3428819444444444)</f>
        <v>0.3428819444</v>
      </c>
      <c r="D1255" s="103" t="str">
        <f>IFERROR(__xludf.DUMMYFUNCTION("""COMPUTED_VALUE"""),"SpFLMP683554")</f>
        <v>SpFLMP683554</v>
      </c>
      <c r="E1255" s="103"/>
      <c r="F1255" s="103"/>
      <c r="G1255" s="103" t="str">
        <f>IFERROR(__xludf.DUMMYFUNCTION("""COMPUTED_VALUE"""),"Negative")</f>
        <v>Negative</v>
      </c>
      <c r="H1255" s="131" t="str">
        <f>IFERROR(__xludf.DUMMYFUNCTION("""COMPUTED_VALUE"""),"Negative")</f>
        <v>Negative</v>
      </c>
      <c r="I1255" s="468">
        <f>IFERROR(__xludf.DUMMYFUNCTION("""COMPUTED_VALUE"""),44693.0)</f>
        <v>44693</v>
      </c>
      <c r="J1255" s="470">
        <f>IFERROR(__xludf.DUMMYFUNCTION("""COMPUTED_VALUE"""),0.4590625)</f>
        <v>0.4590625</v>
      </c>
      <c r="K1255" s="16"/>
      <c r="L1255" s="8"/>
      <c r="M1255" s="69"/>
      <c r="N1255" s="69">
        <f>IFERROR(__xludf.DUMMYFUNCTION("""COMPUTED_VALUE"""),1.0)</f>
        <v>1</v>
      </c>
      <c r="O1255" s="69" t="str">
        <f t="shared" si="3"/>
        <v/>
      </c>
      <c r="P1255" s="471">
        <f>IFERROR(__xludf.DUMMYFUNCTION("""COMPUTED_VALUE"""),0.0)</f>
        <v>0</v>
      </c>
      <c r="Q1255" s="274" t="b">
        <f>VLOOKUP($B1255,'Run Reconcile'!B$2:O2488,14,FALSE)</f>
        <v>1</v>
      </c>
      <c r="R1255" s="472" t="str">
        <f t="array" ref="R1255">IF($Q1255, INDEX('Run Reconcile'!A$2:A2488,MATCH(B1255,'Run Reconcile'!B$2:B2488,0),1),IFERROR(0/0,""))</f>
        <v>RUN-FLMP_2022-05-12_RFR-135</v>
      </c>
      <c r="S1255" s="473" t="str">
        <f t="shared" si="694"/>
        <v/>
      </c>
      <c r="T1255" s="473" t="str">
        <f t="shared" si="698"/>
        <v/>
      </c>
      <c r="U1255" s="275" t="str">
        <f t="array" ref="U1255">IF(ISBLANK($R1255), INDEX('Run Reconcile'!A$2:A2488, MATCH($B1255, 'Run Reconcile'!B$2:B2488, 0)+Z1255, 1), IFERROR(0/0,""))
</f>
        <v/>
      </c>
      <c r="V1255" s="474" t="str">
        <f t="shared" si="5"/>
        <v>RUN-FLMP_2022-05-12_RFR-135</v>
      </c>
      <c r="Y1255" s="89" t="str">
        <f t="shared" si="1581"/>
        <v/>
      </c>
      <c r="Z1255" s="60" t="str">
        <f t="shared" si="7"/>
        <v/>
      </c>
      <c r="AA1255" s="60" t="str">
        <f t="shared" si="8"/>
        <v/>
      </c>
      <c r="AB1255" s="60" t="str">
        <f t="shared" si="9"/>
        <v/>
      </c>
      <c r="AC1255" s="30" t="str">
        <f t="shared" ref="AC1255:AD1255" si="1614">IF(_xlfn.ISFORMULA(S1255),IFERROR(0/0,""),TRUE)</f>
        <v/>
      </c>
      <c r="AD1255" s="30" t="str">
        <f t="shared" si="1614"/>
        <v/>
      </c>
      <c r="AE1255" s="475" t="str">
        <f>IFERROR(__xludf.DUMMYFUNCTION("""COMPUTED_VALUE"""),"CRLN")</f>
        <v>CRLN</v>
      </c>
      <c r="AF1255" s="476"/>
      <c r="AG1255" s="474" t="s">
        <v>215</v>
      </c>
      <c r="AH1255" s="138" t="str">
        <f t="shared" si="11"/>
        <v/>
      </c>
    </row>
    <row r="1256">
      <c r="A1256" s="103" t="str">
        <f>IFERROR(__xludf.DUMMYFUNCTION("""COMPUTED_VALUE"""),"FLE206")</f>
        <v>FLE206</v>
      </c>
      <c r="B1256" s="468">
        <f>IFERROR(__xludf.DUMMYFUNCTION("""COMPUTED_VALUE"""),44693.0)</f>
        <v>44693</v>
      </c>
      <c r="C1256" s="469">
        <f>IFERROR(__xludf.DUMMYFUNCTION("""COMPUTED_VALUE"""),0.344837962962963)</f>
        <v>0.344837963</v>
      </c>
      <c r="D1256" s="103" t="str">
        <f>IFERROR(__xludf.DUMMYFUNCTION("""COMPUTED_VALUE"""),"SpFLMP544731")</f>
        <v>SpFLMP544731</v>
      </c>
      <c r="E1256" s="103"/>
      <c r="F1256" s="103"/>
      <c r="G1256" s="103" t="str">
        <f>IFERROR(__xludf.DUMMYFUNCTION("""COMPUTED_VALUE"""),"Negative")</f>
        <v>Negative</v>
      </c>
      <c r="H1256" s="131" t="str">
        <f>IFERROR(__xludf.DUMMYFUNCTION("""COMPUTED_VALUE"""),"Negative")</f>
        <v>Negative</v>
      </c>
      <c r="I1256" s="468">
        <f>IFERROR(__xludf.DUMMYFUNCTION("""COMPUTED_VALUE"""),44693.0)</f>
        <v>44693</v>
      </c>
      <c r="J1256" s="470">
        <f>IFERROR(__xludf.DUMMYFUNCTION("""COMPUTED_VALUE"""),0.4590740740740741)</f>
        <v>0.4590740741</v>
      </c>
      <c r="K1256" s="16"/>
      <c r="L1256" s="8"/>
      <c r="M1256" s="69"/>
      <c r="N1256" s="69">
        <f>IFERROR(__xludf.DUMMYFUNCTION("""COMPUTED_VALUE"""),2.0)</f>
        <v>2</v>
      </c>
      <c r="O1256" s="69" t="str">
        <f t="shared" si="3"/>
        <v/>
      </c>
      <c r="P1256" s="471">
        <f>IFERROR(__xludf.DUMMYFUNCTION("""COMPUTED_VALUE"""),0.0)</f>
        <v>0</v>
      </c>
      <c r="Q1256" s="274" t="b">
        <f>VLOOKUP($B1256,'Run Reconcile'!B$2:O2488,14,FALSE)</f>
        <v>1</v>
      </c>
      <c r="R1256" s="472" t="str">
        <f t="array" ref="R1256">IF($Q1256, INDEX('Run Reconcile'!A$2:A2488,MATCH(B1256,'Run Reconcile'!B$2:B2488,0),1),IFERROR(0/0,""))</f>
        <v>RUN-FLMP_2022-05-12_RFR-135</v>
      </c>
      <c r="S1256" s="473" t="str">
        <f t="shared" si="694"/>
        <v/>
      </c>
      <c r="T1256" s="473" t="str">
        <f t="shared" si="698"/>
        <v/>
      </c>
      <c r="U1256" s="275" t="str">
        <f t="array" ref="U1256">IF(ISBLANK($R1256), INDEX('Run Reconcile'!A$2:A2488, MATCH($B1256, 'Run Reconcile'!B$2:B2488, 0)+Z1256, 1), IFERROR(0/0,""))
</f>
        <v/>
      </c>
      <c r="V1256" s="474" t="str">
        <f t="shared" si="5"/>
        <v>RUN-FLMP_2022-05-12_RFR-135</v>
      </c>
      <c r="Y1256" s="89" t="str">
        <f t="shared" si="1581"/>
        <v/>
      </c>
      <c r="Z1256" s="60" t="str">
        <f t="shared" si="7"/>
        <v/>
      </c>
      <c r="AA1256" s="60" t="str">
        <f t="shared" si="8"/>
        <v/>
      </c>
      <c r="AB1256" s="60" t="str">
        <f t="shared" si="9"/>
        <v/>
      </c>
      <c r="AC1256" s="30" t="str">
        <f t="shared" ref="AC1256:AD1256" si="1615">IF(_xlfn.ISFORMULA(S1256),IFERROR(0/0,""),TRUE)</f>
        <v/>
      </c>
      <c r="AD1256" s="30" t="str">
        <f t="shared" si="1615"/>
        <v/>
      </c>
      <c r="AE1256" s="475" t="str">
        <f>IFERROR(__xludf.DUMMYFUNCTION("""COMPUTED_VALUE"""),"CRLN")</f>
        <v>CRLN</v>
      </c>
      <c r="AF1256" s="476"/>
      <c r="AG1256" s="474" t="s">
        <v>215</v>
      </c>
      <c r="AH1256" s="138" t="str">
        <f t="shared" si="11"/>
        <v/>
      </c>
    </row>
    <row r="1257">
      <c r="A1257" s="103" t="str">
        <f>IFERROR(__xludf.DUMMYFUNCTION("""COMPUTED_VALUE"""),"FLE236")</f>
        <v>FLE236</v>
      </c>
      <c r="B1257" s="468">
        <f>IFERROR(__xludf.DUMMYFUNCTION("""COMPUTED_VALUE"""),44693.0)</f>
        <v>44693</v>
      </c>
      <c r="C1257" s="469">
        <f>IFERROR(__xludf.DUMMYFUNCTION("""COMPUTED_VALUE"""),0.3475810185185185)</f>
        <v>0.3475810185</v>
      </c>
      <c r="D1257" s="103" t="str">
        <f>IFERROR(__xludf.DUMMYFUNCTION("""COMPUTED_VALUE"""),"SpFLMP870846")</f>
        <v>SpFLMP870846</v>
      </c>
      <c r="E1257" s="103"/>
      <c r="F1257" s="103"/>
      <c r="G1257" s="103" t="str">
        <f>IFERROR(__xludf.DUMMYFUNCTION("""COMPUTED_VALUE"""),"Negative")</f>
        <v>Negative</v>
      </c>
      <c r="H1257" s="131" t="str">
        <f>IFERROR(__xludf.DUMMYFUNCTION("""COMPUTED_VALUE"""),"Negative")</f>
        <v>Negative</v>
      </c>
      <c r="I1257" s="468">
        <f>IFERROR(__xludf.DUMMYFUNCTION("""COMPUTED_VALUE"""),44693.0)</f>
        <v>44693</v>
      </c>
      <c r="J1257" s="470">
        <f>IFERROR(__xludf.DUMMYFUNCTION("""COMPUTED_VALUE"""),0.4590740740740741)</f>
        <v>0.4590740741</v>
      </c>
      <c r="K1257" s="16"/>
      <c r="L1257" s="8"/>
      <c r="M1257" s="69"/>
      <c r="N1257" s="69">
        <f>IFERROR(__xludf.DUMMYFUNCTION("""COMPUTED_VALUE"""),2.0)</f>
        <v>2</v>
      </c>
      <c r="O1257" s="69" t="str">
        <f t="shared" si="3"/>
        <v/>
      </c>
      <c r="P1257" s="471">
        <f>IFERROR(__xludf.DUMMYFUNCTION("""COMPUTED_VALUE"""),0.0)</f>
        <v>0</v>
      </c>
      <c r="Q1257" s="274" t="b">
        <f>VLOOKUP($B1257,'Run Reconcile'!B$2:O2488,14,FALSE)</f>
        <v>1</v>
      </c>
      <c r="R1257" s="472" t="str">
        <f t="array" ref="R1257">IF($Q1257, INDEX('Run Reconcile'!A$2:A2488,MATCH(B1257,'Run Reconcile'!B$2:B2488,0),1),IFERROR(0/0,""))</f>
        <v>RUN-FLMP_2022-05-12_RFR-135</v>
      </c>
      <c r="S1257" s="473" t="str">
        <f t="shared" si="694"/>
        <v/>
      </c>
      <c r="T1257" s="473" t="str">
        <f t="shared" si="698"/>
        <v/>
      </c>
      <c r="U1257" s="275" t="str">
        <f t="array" ref="U1257">IF(ISBLANK($R1257), INDEX('Run Reconcile'!A$2:A2488, MATCH($B1257, 'Run Reconcile'!B$2:B2488, 0)+Z1257, 1), IFERROR(0/0,""))
</f>
        <v/>
      </c>
      <c r="V1257" s="474" t="str">
        <f t="shared" si="5"/>
        <v>RUN-FLMP_2022-05-12_RFR-135</v>
      </c>
      <c r="Y1257" s="89" t="str">
        <f t="shared" si="1581"/>
        <v/>
      </c>
      <c r="Z1257" s="60" t="str">
        <f t="shared" si="7"/>
        <v/>
      </c>
      <c r="AA1257" s="60" t="str">
        <f t="shared" si="8"/>
        <v/>
      </c>
      <c r="AB1257" s="60" t="str">
        <f t="shared" si="9"/>
        <v/>
      </c>
      <c r="AC1257" s="30" t="str">
        <f t="shared" ref="AC1257:AD1257" si="1616">IF(_xlfn.ISFORMULA(S1257),IFERROR(0/0,""),TRUE)</f>
        <v/>
      </c>
      <c r="AD1257" s="30" t="str">
        <f t="shared" si="1616"/>
        <v/>
      </c>
      <c r="AE1257" s="475" t="str">
        <f>IFERROR(__xludf.DUMMYFUNCTION("""COMPUTED_VALUE"""),"FLSP")</f>
        <v>FLSP</v>
      </c>
      <c r="AF1257" s="476"/>
      <c r="AG1257" s="474" t="s">
        <v>215</v>
      </c>
      <c r="AH1257" s="138" t="str">
        <f t="shared" si="11"/>
        <v/>
      </c>
    </row>
    <row r="1258">
      <c r="A1258" s="103" t="str">
        <f>IFERROR(__xludf.DUMMYFUNCTION("""COMPUTED_VALUE"""),"FLE314")</f>
        <v>FLE314</v>
      </c>
      <c r="B1258" s="468">
        <f>IFERROR(__xludf.DUMMYFUNCTION("""COMPUTED_VALUE"""),44693.0)</f>
        <v>44693</v>
      </c>
      <c r="C1258" s="469">
        <f>IFERROR(__xludf.DUMMYFUNCTION("""COMPUTED_VALUE"""),0.35237268518518516)</f>
        <v>0.3523726852</v>
      </c>
      <c r="D1258" s="103" t="str">
        <f>IFERROR(__xludf.DUMMYFUNCTION("""COMPUTED_VALUE"""),"SpFLMP684798")</f>
        <v>SpFLMP684798</v>
      </c>
      <c r="E1258" s="103"/>
      <c r="F1258" s="103"/>
      <c r="G1258" s="103" t="str">
        <f>IFERROR(__xludf.DUMMYFUNCTION("""COMPUTED_VALUE"""),"Negative")</f>
        <v>Negative</v>
      </c>
      <c r="H1258" s="131" t="str">
        <f>IFERROR(__xludf.DUMMYFUNCTION("""COMPUTED_VALUE"""),"Negative")</f>
        <v>Negative</v>
      </c>
      <c r="I1258" s="468">
        <f>IFERROR(__xludf.DUMMYFUNCTION("""COMPUTED_VALUE"""),44693.0)</f>
        <v>44693</v>
      </c>
      <c r="J1258" s="470">
        <f>IFERROR(__xludf.DUMMYFUNCTION("""COMPUTED_VALUE"""),0.4590740740740741)</f>
        <v>0.4590740741</v>
      </c>
      <c r="K1258" s="16"/>
      <c r="L1258" s="8"/>
      <c r="M1258" s="69"/>
      <c r="N1258" s="69">
        <f>IFERROR(__xludf.DUMMYFUNCTION("""COMPUTED_VALUE"""),4.0)</f>
        <v>4</v>
      </c>
      <c r="O1258" s="69" t="str">
        <f t="shared" si="3"/>
        <v/>
      </c>
      <c r="P1258" s="471">
        <f>IFERROR(__xludf.DUMMYFUNCTION("""COMPUTED_VALUE"""),0.0)</f>
        <v>0</v>
      </c>
      <c r="Q1258" s="274" t="b">
        <f>VLOOKUP($B1258,'Run Reconcile'!B$2:O2488,14,FALSE)</f>
        <v>1</v>
      </c>
      <c r="R1258" s="472" t="str">
        <f t="array" ref="R1258">IF($Q1258, INDEX('Run Reconcile'!A$2:A2488,MATCH(B1258,'Run Reconcile'!B$2:B2488,0),1),IFERROR(0/0,""))</f>
        <v>RUN-FLMP_2022-05-12_RFR-135</v>
      </c>
      <c r="S1258" s="473" t="str">
        <f t="shared" si="694"/>
        <v/>
      </c>
      <c r="T1258" s="473" t="str">
        <f t="shared" si="698"/>
        <v/>
      </c>
      <c r="U1258" s="275" t="str">
        <f t="array" ref="U1258">IF(ISBLANK($R1258), INDEX('Run Reconcile'!A$2:A2488, MATCH($B1258, 'Run Reconcile'!B$2:B2488, 0)+Z1258, 1), IFERROR(0/0,""))
</f>
        <v/>
      </c>
      <c r="V1258" s="474" t="str">
        <f t="shared" si="5"/>
        <v>RUN-FLMP_2022-05-12_RFR-135</v>
      </c>
      <c r="Y1258" s="89" t="str">
        <f t="shared" si="1581"/>
        <v/>
      </c>
      <c r="Z1258" s="60" t="str">
        <f t="shared" si="7"/>
        <v/>
      </c>
      <c r="AA1258" s="60" t="str">
        <f t="shared" si="8"/>
        <v/>
      </c>
      <c r="AB1258" s="60" t="str">
        <f t="shared" si="9"/>
        <v/>
      </c>
      <c r="AC1258" s="30" t="str">
        <f t="shared" ref="AC1258:AD1258" si="1617">IF(_xlfn.ISFORMULA(S1258),IFERROR(0/0,""),TRUE)</f>
        <v/>
      </c>
      <c r="AD1258" s="30" t="str">
        <f t="shared" si="1617"/>
        <v/>
      </c>
      <c r="AE1258" s="475" t="str">
        <f>IFERROR(__xludf.DUMMYFUNCTION("""COMPUTED_VALUE"""),"CRLN")</f>
        <v>CRLN</v>
      </c>
      <c r="AF1258" s="476"/>
      <c r="AG1258" s="474" t="s">
        <v>215</v>
      </c>
      <c r="AH1258" s="138" t="str">
        <f t="shared" si="11"/>
        <v/>
      </c>
    </row>
    <row r="1259">
      <c r="A1259" s="103" t="str">
        <f>IFERROR(__xludf.DUMMYFUNCTION("""COMPUTED_VALUE"""),"AG1553")</f>
        <v>AG1553</v>
      </c>
      <c r="B1259" s="468">
        <f>IFERROR(__xludf.DUMMYFUNCTION("""COMPUTED_VALUE"""),44693.0)</f>
        <v>44693</v>
      </c>
      <c r="C1259" s="469">
        <f>IFERROR(__xludf.DUMMYFUNCTION("""COMPUTED_VALUE"""),0.3539699074074074)</f>
        <v>0.3539699074</v>
      </c>
      <c r="D1259" s="103" t="str">
        <f>IFERROR(__xludf.DUMMYFUNCTION("""COMPUTED_VALUE"""),"SpFLMP525199")</f>
        <v>SpFLMP525199</v>
      </c>
      <c r="E1259" s="103"/>
      <c r="F1259" s="103"/>
      <c r="G1259" s="103" t="str">
        <f>IFERROR(__xludf.DUMMYFUNCTION("""COMPUTED_VALUE"""),"Negative")</f>
        <v>Negative</v>
      </c>
      <c r="H1259" s="131" t="str">
        <f>IFERROR(__xludf.DUMMYFUNCTION("""COMPUTED_VALUE"""),"Negative")</f>
        <v>Negative</v>
      </c>
      <c r="I1259" s="468">
        <f>IFERROR(__xludf.DUMMYFUNCTION("""COMPUTED_VALUE"""),44693.0)</f>
        <v>44693</v>
      </c>
      <c r="J1259" s="470">
        <f>IFERROR(__xludf.DUMMYFUNCTION("""COMPUTED_VALUE"""),0.4590740740740741)</f>
        <v>0.4590740741</v>
      </c>
      <c r="K1259" s="16"/>
      <c r="L1259" s="8"/>
      <c r="M1259" s="69"/>
      <c r="N1259" s="69">
        <f>IFERROR(__xludf.DUMMYFUNCTION("""COMPUTED_VALUE"""),1.0)</f>
        <v>1</v>
      </c>
      <c r="O1259" s="69" t="str">
        <f t="shared" si="3"/>
        <v/>
      </c>
      <c r="P1259" s="471">
        <f>IFERROR(__xludf.DUMMYFUNCTION("""COMPUTED_VALUE"""),0.0)</f>
        <v>0</v>
      </c>
      <c r="Q1259" s="274" t="b">
        <f>VLOOKUP($B1259,'Run Reconcile'!B$2:O2488,14,FALSE)</f>
        <v>1</v>
      </c>
      <c r="R1259" s="472" t="str">
        <f t="array" ref="R1259">IF($Q1259, INDEX('Run Reconcile'!A$2:A2488,MATCH(B1259,'Run Reconcile'!B$2:B2488,0),1),IFERROR(0/0,""))</f>
        <v>RUN-FLMP_2022-05-12_RFR-135</v>
      </c>
      <c r="S1259" s="473" t="str">
        <f t="shared" si="694"/>
        <v/>
      </c>
      <c r="T1259" s="473" t="str">
        <f t="shared" si="698"/>
        <v/>
      </c>
      <c r="U1259" s="275" t="str">
        <f t="array" ref="U1259">IF(ISBLANK($R1259), INDEX('Run Reconcile'!A$2:A2488, MATCH($B1259, 'Run Reconcile'!B$2:B2488, 0)+Z1259, 1), IFERROR(0/0,""))
</f>
        <v/>
      </c>
      <c r="V1259" s="474" t="str">
        <f t="shared" si="5"/>
        <v>RUN-FLMP_2022-05-12_RFR-135</v>
      </c>
      <c r="Y1259" s="89" t="str">
        <f t="shared" si="1581"/>
        <v/>
      </c>
      <c r="Z1259" s="60" t="str">
        <f t="shared" si="7"/>
        <v/>
      </c>
      <c r="AA1259" s="60" t="str">
        <f t="shared" si="8"/>
        <v/>
      </c>
      <c r="AB1259" s="60" t="str">
        <f t="shared" si="9"/>
        <v/>
      </c>
      <c r="AC1259" s="30" t="str">
        <f t="shared" ref="AC1259:AD1259" si="1618">IF(_xlfn.ISFORMULA(S1259),IFERROR(0/0,""),TRUE)</f>
        <v/>
      </c>
      <c r="AD1259" s="30" t="str">
        <f t="shared" si="1618"/>
        <v/>
      </c>
      <c r="AE1259" s="475" t="str">
        <f>IFERROR(__xludf.DUMMYFUNCTION("""COMPUTED_VALUE"""),"CRLN")</f>
        <v>CRLN</v>
      </c>
      <c r="AF1259" s="476"/>
      <c r="AG1259" s="474" t="s">
        <v>215</v>
      </c>
      <c r="AH1259" s="138" t="str">
        <f t="shared" si="11"/>
        <v/>
      </c>
    </row>
    <row r="1260">
      <c r="A1260" s="103" t="str">
        <f>IFERROR(__xludf.DUMMYFUNCTION("""COMPUTED_VALUE"""),"AH973")</f>
        <v>AH973</v>
      </c>
      <c r="B1260" s="468">
        <f>IFERROR(__xludf.DUMMYFUNCTION("""COMPUTED_VALUE"""),44693.0)</f>
        <v>44693</v>
      </c>
      <c r="C1260" s="469">
        <f>IFERROR(__xludf.DUMMYFUNCTION("""COMPUTED_VALUE"""),0.3549189814814815)</f>
        <v>0.3549189815</v>
      </c>
      <c r="D1260" s="103" t="str">
        <f>IFERROR(__xludf.DUMMYFUNCTION("""COMPUTED_VALUE"""),"SpFLMP525199")</f>
        <v>SpFLMP525199</v>
      </c>
      <c r="E1260" s="103"/>
      <c r="F1260" s="103"/>
      <c r="G1260" s="103" t="str">
        <f>IFERROR(__xludf.DUMMYFUNCTION("""COMPUTED_VALUE"""),"Negative")</f>
        <v>Negative</v>
      </c>
      <c r="H1260" s="131" t="str">
        <f>IFERROR(__xludf.DUMMYFUNCTION("""COMPUTED_VALUE"""),"Negative")</f>
        <v>Negative</v>
      </c>
      <c r="I1260" s="468">
        <f>IFERROR(__xludf.DUMMYFUNCTION("""COMPUTED_VALUE"""),44693.0)</f>
        <v>44693</v>
      </c>
      <c r="J1260" s="470">
        <f>IFERROR(__xludf.DUMMYFUNCTION("""COMPUTED_VALUE"""),0.4590740740740741)</f>
        <v>0.4590740741</v>
      </c>
      <c r="K1260" s="16"/>
      <c r="L1260" s="8"/>
      <c r="M1260" s="69"/>
      <c r="N1260" s="69">
        <f>IFERROR(__xludf.DUMMYFUNCTION("""COMPUTED_VALUE"""),3.0)</f>
        <v>3</v>
      </c>
      <c r="O1260" s="69" t="str">
        <f t="shared" si="3"/>
        <v/>
      </c>
      <c r="P1260" s="471">
        <f>IFERROR(__xludf.DUMMYFUNCTION("""COMPUTED_VALUE"""),0.0)</f>
        <v>0</v>
      </c>
      <c r="Q1260" s="274" t="b">
        <f>VLOOKUP($B1260,'Run Reconcile'!B$2:O2488,14,FALSE)</f>
        <v>1</v>
      </c>
      <c r="R1260" s="472" t="str">
        <f t="array" ref="R1260">IF($Q1260, INDEX('Run Reconcile'!A$2:A2488,MATCH(B1260,'Run Reconcile'!B$2:B2488,0),1),IFERROR(0/0,""))</f>
        <v>RUN-FLMP_2022-05-12_RFR-135</v>
      </c>
      <c r="S1260" s="473" t="str">
        <f t="shared" si="694"/>
        <v/>
      </c>
      <c r="T1260" s="473" t="str">
        <f t="shared" si="698"/>
        <v/>
      </c>
      <c r="U1260" s="275" t="str">
        <f t="array" ref="U1260">IF(ISBLANK($R1260), INDEX('Run Reconcile'!A$2:A2488, MATCH($B1260, 'Run Reconcile'!B$2:B2488, 0)+Z1260, 1), IFERROR(0/0,""))
</f>
        <v/>
      </c>
      <c r="V1260" s="474" t="str">
        <f t="shared" si="5"/>
        <v>RUN-FLMP_2022-05-12_RFR-135</v>
      </c>
      <c r="Y1260" s="89" t="str">
        <f t="shared" si="1581"/>
        <v/>
      </c>
      <c r="Z1260" s="60" t="str">
        <f t="shared" si="7"/>
        <v/>
      </c>
      <c r="AA1260" s="60" t="str">
        <f t="shared" si="8"/>
        <v/>
      </c>
      <c r="AB1260" s="60" t="str">
        <f t="shared" si="9"/>
        <v/>
      </c>
      <c r="AC1260" s="30" t="str">
        <f t="shared" ref="AC1260:AD1260" si="1619">IF(_xlfn.ISFORMULA(S1260),IFERROR(0/0,""),TRUE)</f>
        <v/>
      </c>
      <c r="AD1260" s="30" t="str">
        <f t="shared" si="1619"/>
        <v/>
      </c>
      <c r="AE1260" s="475" t="str">
        <f>IFERROR(__xludf.DUMMYFUNCTION("""COMPUTED_VALUE"""),"CRLN")</f>
        <v>CRLN</v>
      </c>
      <c r="AF1260" s="476"/>
      <c r="AG1260" s="474" t="s">
        <v>215</v>
      </c>
      <c r="AH1260" s="138" t="str">
        <f t="shared" si="11"/>
        <v/>
      </c>
    </row>
    <row r="1261">
      <c r="A1261" s="103" t="str">
        <f>IFERROR(__xludf.DUMMYFUNCTION("""COMPUTED_VALUE"""),"AH7413")</f>
        <v>AH7413</v>
      </c>
      <c r="B1261" s="468">
        <f>IFERROR(__xludf.DUMMYFUNCTION("""COMPUTED_VALUE"""),44693.0)</f>
        <v>44693</v>
      </c>
      <c r="C1261" s="469">
        <f>IFERROR(__xludf.DUMMYFUNCTION("""COMPUTED_VALUE"""),0.35530092592592594)</f>
        <v>0.3553009259</v>
      </c>
      <c r="D1261" s="103" t="str">
        <f>IFERROR(__xludf.DUMMYFUNCTION("""COMPUTED_VALUE"""),"SpFLMP600756")</f>
        <v>SpFLMP600756</v>
      </c>
      <c r="E1261" s="103"/>
      <c r="F1261" s="103"/>
      <c r="G1261" s="103" t="str">
        <f>IFERROR(__xludf.DUMMYFUNCTION("""COMPUTED_VALUE"""),"Negative")</f>
        <v>Negative</v>
      </c>
      <c r="H1261" s="131" t="str">
        <f>IFERROR(__xludf.DUMMYFUNCTION("""COMPUTED_VALUE"""),"Negative")</f>
        <v>Negative</v>
      </c>
      <c r="I1261" s="468">
        <f>IFERROR(__xludf.DUMMYFUNCTION("""COMPUTED_VALUE"""),44693.0)</f>
        <v>44693</v>
      </c>
      <c r="J1261" s="470">
        <f>IFERROR(__xludf.DUMMYFUNCTION("""COMPUTED_VALUE"""),0.4590740740740741)</f>
        <v>0.4590740741</v>
      </c>
      <c r="K1261" s="16"/>
      <c r="L1261" s="8"/>
      <c r="M1261" s="69"/>
      <c r="N1261" s="69">
        <f>IFERROR(__xludf.DUMMYFUNCTION("""COMPUTED_VALUE"""),2.0)</f>
        <v>2</v>
      </c>
      <c r="O1261" s="69" t="str">
        <f t="shared" si="3"/>
        <v/>
      </c>
      <c r="P1261" s="471">
        <f>IFERROR(__xludf.DUMMYFUNCTION("""COMPUTED_VALUE"""),0.0)</f>
        <v>0</v>
      </c>
      <c r="Q1261" s="274" t="b">
        <f>VLOOKUP($B1261,'Run Reconcile'!B$2:O2488,14,FALSE)</f>
        <v>1</v>
      </c>
      <c r="R1261" s="472" t="str">
        <f t="array" ref="R1261">IF($Q1261, INDEX('Run Reconcile'!A$2:A2488,MATCH(B1261,'Run Reconcile'!B$2:B2488,0),1),IFERROR(0/0,""))</f>
        <v>RUN-FLMP_2022-05-12_RFR-135</v>
      </c>
      <c r="S1261" s="473" t="str">
        <f t="shared" si="694"/>
        <v/>
      </c>
      <c r="T1261" s="473" t="str">
        <f t="shared" si="698"/>
        <v/>
      </c>
      <c r="U1261" s="275" t="str">
        <f t="array" ref="U1261">IF(ISBLANK($R1261), INDEX('Run Reconcile'!A$2:A2488, MATCH($B1261, 'Run Reconcile'!B$2:B2488, 0)+Z1261, 1), IFERROR(0/0,""))
</f>
        <v/>
      </c>
      <c r="V1261" s="474" t="str">
        <f t="shared" si="5"/>
        <v>RUN-FLMP_2022-05-12_RFR-135</v>
      </c>
      <c r="Y1261" s="89" t="str">
        <f t="shared" si="1581"/>
        <v/>
      </c>
      <c r="Z1261" s="60" t="str">
        <f t="shared" si="7"/>
        <v/>
      </c>
      <c r="AA1261" s="60" t="str">
        <f t="shared" si="8"/>
        <v/>
      </c>
      <c r="AB1261" s="60" t="str">
        <f t="shared" si="9"/>
        <v/>
      </c>
      <c r="AC1261" s="30" t="str">
        <f t="shared" ref="AC1261:AD1261" si="1620">IF(_xlfn.ISFORMULA(S1261),IFERROR(0/0,""),TRUE)</f>
        <v/>
      </c>
      <c r="AD1261" s="30" t="str">
        <f t="shared" si="1620"/>
        <v/>
      </c>
      <c r="AE1261" s="475" t="str">
        <f>IFERROR(__xludf.DUMMYFUNCTION("""COMPUTED_VALUE"""),"CRLN")</f>
        <v>CRLN</v>
      </c>
      <c r="AF1261" s="476"/>
      <c r="AG1261" s="474" t="s">
        <v>215</v>
      </c>
      <c r="AH1261" s="138" t="str">
        <f t="shared" si="11"/>
        <v/>
      </c>
    </row>
    <row r="1262">
      <c r="A1262" s="103" t="str">
        <f>IFERROR(__xludf.DUMMYFUNCTION("""COMPUTED_VALUE"""),"AH8007")</f>
        <v>AH8007</v>
      </c>
      <c r="B1262" s="468">
        <f>IFERROR(__xludf.DUMMYFUNCTION("""COMPUTED_VALUE"""),44693.0)</f>
        <v>44693</v>
      </c>
      <c r="C1262" s="469">
        <f>IFERROR(__xludf.DUMMYFUNCTION("""COMPUTED_VALUE"""),0.355474537037037)</f>
        <v>0.355474537</v>
      </c>
      <c r="D1262" s="103" t="str">
        <f>IFERROR(__xludf.DUMMYFUNCTION("""COMPUTED_VALUE"""),"SpFLMP572444")</f>
        <v>SpFLMP572444</v>
      </c>
      <c r="E1262" s="103"/>
      <c r="F1262" s="103"/>
      <c r="G1262" s="103" t="str">
        <f>IFERROR(__xludf.DUMMYFUNCTION("""COMPUTED_VALUE"""),"Negative")</f>
        <v>Negative</v>
      </c>
      <c r="H1262" s="131" t="str">
        <f>IFERROR(__xludf.DUMMYFUNCTION("""COMPUTED_VALUE"""),"Negative")</f>
        <v>Negative</v>
      </c>
      <c r="I1262" s="468">
        <f>IFERROR(__xludf.DUMMYFUNCTION("""COMPUTED_VALUE"""),44693.0)</f>
        <v>44693</v>
      </c>
      <c r="J1262" s="470">
        <f>IFERROR(__xludf.DUMMYFUNCTION("""COMPUTED_VALUE"""),0.4590856481481482)</f>
        <v>0.4590856481</v>
      </c>
      <c r="K1262" s="16"/>
      <c r="L1262" s="8"/>
      <c r="M1262" s="69"/>
      <c r="N1262" s="69">
        <f>IFERROR(__xludf.DUMMYFUNCTION("""COMPUTED_VALUE"""),2.0)</f>
        <v>2</v>
      </c>
      <c r="O1262" s="69" t="str">
        <f t="shared" si="3"/>
        <v/>
      </c>
      <c r="P1262" s="471">
        <f>IFERROR(__xludf.DUMMYFUNCTION("""COMPUTED_VALUE"""),0.0)</f>
        <v>0</v>
      </c>
      <c r="Q1262" s="274" t="b">
        <f>VLOOKUP($B1262,'Run Reconcile'!B$2:O2488,14,FALSE)</f>
        <v>1</v>
      </c>
      <c r="R1262" s="472" t="str">
        <f t="array" ref="R1262">IF($Q1262, INDEX('Run Reconcile'!A$2:A2488,MATCH(B1262,'Run Reconcile'!B$2:B2488,0),1),IFERROR(0/0,""))</f>
        <v>RUN-FLMP_2022-05-12_RFR-135</v>
      </c>
      <c r="S1262" s="473" t="str">
        <f t="shared" si="694"/>
        <v/>
      </c>
      <c r="T1262" s="473" t="str">
        <f t="shared" si="698"/>
        <v/>
      </c>
      <c r="U1262" s="275" t="str">
        <f t="array" ref="U1262">IF(ISBLANK($R1262), INDEX('Run Reconcile'!A$2:A2488, MATCH($B1262, 'Run Reconcile'!B$2:B2488, 0)+Z1262, 1), IFERROR(0/0,""))
</f>
        <v/>
      </c>
      <c r="V1262" s="474" t="str">
        <f t="shared" si="5"/>
        <v>RUN-FLMP_2022-05-12_RFR-135</v>
      </c>
      <c r="Y1262" s="89" t="str">
        <f t="shared" si="1581"/>
        <v/>
      </c>
      <c r="Z1262" s="60" t="str">
        <f t="shared" si="7"/>
        <v/>
      </c>
      <c r="AA1262" s="60" t="str">
        <f t="shared" si="8"/>
        <v/>
      </c>
      <c r="AB1262" s="60" t="str">
        <f t="shared" si="9"/>
        <v/>
      </c>
      <c r="AC1262" s="30" t="str">
        <f t="shared" ref="AC1262:AD1262" si="1621">IF(_xlfn.ISFORMULA(S1262),IFERROR(0/0,""),TRUE)</f>
        <v/>
      </c>
      <c r="AD1262" s="30" t="str">
        <f t="shared" si="1621"/>
        <v/>
      </c>
      <c r="AE1262" s="475" t="str">
        <f>IFERROR(__xludf.DUMMYFUNCTION("""COMPUTED_VALUE"""),"CRLN")</f>
        <v>CRLN</v>
      </c>
      <c r="AF1262" s="476"/>
      <c r="AG1262" s="474" t="s">
        <v>215</v>
      </c>
      <c r="AH1262" s="138" t="str">
        <f t="shared" si="11"/>
        <v/>
      </c>
    </row>
    <row r="1263">
      <c r="A1263" s="103" t="str">
        <f>IFERROR(__xludf.DUMMYFUNCTION("""COMPUTED_VALUE"""),"AG169")</f>
        <v>AG169</v>
      </c>
      <c r="B1263" s="468">
        <f>IFERROR(__xludf.DUMMYFUNCTION("""COMPUTED_VALUE"""),44693.0)</f>
        <v>44693</v>
      </c>
      <c r="C1263" s="469">
        <f>IFERROR(__xludf.DUMMYFUNCTION("""COMPUTED_VALUE"""),0.35658564814814814)</f>
        <v>0.3565856481</v>
      </c>
      <c r="D1263" s="103" t="str">
        <f>IFERROR(__xludf.DUMMYFUNCTION("""COMPUTED_VALUE"""),"SpFLMP268514")</f>
        <v>SpFLMP268514</v>
      </c>
      <c r="E1263" s="103"/>
      <c r="F1263" s="103"/>
      <c r="G1263" s="103" t="str">
        <f>IFERROR(__xludf.DUMMYFUNCTION("""COMPUTED_VALUE"""),"Negative")</f>
        <v>Negative</v>
      </c>
      <c r="H1263" s="131" t="str">
        <f>IFERROR(__xludf.DUMMYFUNCTION("""COMPUTED_VALUE"""),"Negative")</f>
        <v>Negative</v>
      </c>
      <c r="I1263" s="468">
        <f>IFERROR(__xludf.DUMMYFUNCTION("""COMPUTED_VALUE"""),44693.0)</f>
        <v>44693</v>
      </c>
      <c r="J1263" s="470">
        <f>IFERROR(__xludf.DUMMYFUNCTION("""COMPUTED_VALUE"""),0.4590856481481482)</f>
        <v>0.4590856481</v>
      </c>
      <c r="K1263" s="16"/>
      <c r="L1263" s="8"/>
      <c r="M1263" s="69"/>
      <c r="N1263" s="69">
        <f>IFERROR(__xludf.DUMMYFUNCTION("""COMPUTED_VALUE"""),3.0)</f>
        <v>3</v>
      </c>
      <c r="O1263" s="69" t="str">
        <f t="shared" si="3"/>
        <v/>
      </c>
      <c r="P1263" s="471">
        <f>IFERROR(__xludf.DUMMYFUNCTION("""COMPUTED_VALUE"""),0.0)</f>
        <v>0</v>
      </c>
      <c r="Q1263" s="274" t="b">
        <f>VLOOKUP($B1263,'Run Reconcile'!B$2:O2488,14,FALSE)</f>
        <v>1</v>
      </c>
      <c r="R1263" s="472" t="str">
        <f t="array" ref="R1263">IF($Q1263, INDEX('Run Reconcile'!A$2:A2488,MATCH(B1263,'Run Reconcile'!B$2:B2488,0),1),IFERROR(0/0,""))</f>
        <v>RUN-FLMP_2022-05-12_RFR-135</v>
      </c>
      <c r="S1263" s="473" t="str">
        <f t="shared" si="694"/>
        <v/>
      </c>
      <c r="T1263" s="473" t="str">
        <f t="shared" si="698"/>
        <v/>
      </c>
      <c r="U1263" s="275" t="str">
        <f t="array" ref="U1263">IF(ISBLANK($R1263), INDEX('Run Reconcile'!A$2:A2488, MATCH($B1263, 'Run Reconcile'!B$2:B2488, 0)+Z1263, 1), IFERROR(0/0,""))
</f>
        <v/>
      </c>
      <c r="V1263" s="474" t="str">
        <f t="shared" si="5"/>
        <v>RUN-FLMP_2022-05-12_RFR-135</v>
      </c>
      <c r="Y1263" s="89" t="str">
        <f t="shared" si="1581"/>
        <v/>
      </c>
      <c r="Z1263" s="60" t="str">
        <f t="shared" si="7"/>
        <v/>
      </c>
      <c r="AA1263" s="60" t="str">
        <f t="shared" si="8"/>
        <v/>
      </c>
      <c r="AB1263" s="60" t="str">
        <f t="shared" si="9"/>
        <v/>
      </c>
      <c r="AC1263" s="30" t="str">
        <f t="shared" ref="AC1263:AD1263" si="1622">IF(_xlfn.ISFORMULA(S1263),IFERROR(0/0,""),TRUE)</f>
        <v/>
      </c>
      <c r="AD1263" s="30" t="str">
        <f t="shared" si="1622"/>
        <v/>
      </c>
      <c r="AE1263" s="475" t="str">
        <f>IFERROR(__xludf.DUMMYFUNCTION("""COMPUTED_VALUE"""),"CRLN")</f>
        <v>CRLN</v>
      </c>
      <c r="AF1263" s="476"/>
      <c r="AG1263" s="474" t="s">
        <v>215</v>
      </c>
      <c r="AH1263" s="138" t="str">
        <f t="shared" si="11"/>
        <v/>
      </c>
    </row>
    <row r="1264">
      <c r="A1264" s="103" t="str">
        <f>IFERROR(__xludf.DUMMYFUNCTION("""COMPUTED_VALUE"""),"AG563")</f>
        <v>AG563</v>
      </c>
      <c r="B1264" s="468">
        <f>IFERROR(__xludf.DUMMYFUNCTION("""COMPUTED_VALUE"""),44693.0)</f>
        <v>44693</v>
      </c>
      <c r="C1264" s="469">
        <f>IFERROR(__xludf.DUMMYFUNCTION("""COMPUTED_VALUE"""),0.3567361111111111)</f>
        <v>0.3567361111</v>
      </c>
      <c r="D1264" s="103" t="str">
        <f>IFERROR(__xludf.DUMMYFUNCTION("""COMPUTED_VALUE"""),"SpFLMP271329")</f>
        <v>SpFLMP271329</v>
      </c>
      <c r="E1264" s="103"/>
      <c r="F1264" s="103"/>
      <c r="G1264" s="103" t="str">
        <f>IFERROR(__xludf.DUMMYFUNCTION("""COMPUTED_VALUE"""),"Negative")</f>
        <v>Negative</v>
      </c>
      <c r="H1264" s="131" t="str">
        <f>IFERROR(__xludf.DUMMYFUNCTION("""COMPUTED_VALUE"""),"Negative")</f>
        <v>Negative</v>
      </c>
      <c r="I1264" s="468">
        <f>IFERROR(__xludf.DUMMYFUNCTION("""COMPUTED_VALUE"""),44693.0)</f>
        <v>44693</v>
      </c>
      <c r="J1264" s="470">
        <f>IFERROR(__xludf.DUMMYFUNCTION("""COMPUTED_VALUE"""),0.4590856481481482)</f>
        <v>0.4590856481</v>
      </c>
      <c r="K1264" s="16"/>
      <c r="L1264" s="8"/>
      <c r="M1264" s="69"/>
      <c r="N1264" s="69">
        <f>IFERROR(__xludf.DUMMYFUNCTION("""COMPUTED_VALUE"""),1.0)</f>
        <v>1</v>
      </c>
      <c r="O1264" s="69" t="str">
        <f t="shared" si="3"/>
        <v/>
      </c>
      <c r="P1264" s="471">
        <f>IFERROR(__xludf.DUMMYFUNCTION("""COMPUTED_VALUE"""),0.0)</f>
        <v>0</v>
      </c>
      <c r="Q1264" s="274" t="b">
        <f>VLOOKUP($B1264,'Run Reconcile'!B$2:O2488,14,FALSE)</f>
        <v>1</v>
      </c>
      <c r="R1264" s="472" t="str">
        <f t="array" ref="R1264">IF($Q1264, INDEX('Run Reconcile'!A$2:A2488,MATCH(B1264,'Run Reconcile'!B$2:B2488,0),1),IFERROR(0/0,""))</f>
        <v>RUN-FLMP_2022-05-12_RFR-135</v>
      </c>
      <c r="S1264" s="473" t="str">
        <f t="shared" si="694"/>
        <v/>
      </c>
      <c r="T1264" s="473" t="str">
        <f t="shared" si="698"/>
        <v/>
      </c>
      <c r="U1264" s="275" t="str">
        <f t="array" ref="U1264">IF(ISBLANK($R1264), INDEX('Run Reconcile'!A$2:A2488, MATCH($B1264, 'Run Reconcile'!B$2:B2488, 0)+Z1264, 1), IFERROR(0/0,""))
</f>
        <v/>
      </c>
      <c r="V1264" s="474" t="str">
        <f t="shared" si="5"/>
        <v>RUN-FLMP_2022-05-12_RFR-135</v>
      </c>
      <c r="Y1264" s="89" t="str">
        <f t="shared" si="1581"/>
        <v/>
      </c>
      <c r="Z1264" s="60" t="str">
        <f t="shared" si="7"/>
        <v/>
      </c>
      <c r="AA1264" s="60" t="str">
        <f t="shared" si="8"/>
        <v/>
      </c>
      <c r="AB1264" s="60" t="str">
        <f t="shared" si="9"/>
        <v/>
      </c>
      <c r="AC1264" s="30" t="str">
        <f t="shared" ref="AC1264:AD1264" si="1623">IF(_xlfn.ISFORMULA(S1264),IFERROR(0/0,""),TRUE)</f>
        <v/>
      </c>
      <c r="AD1264" s="30" t="str">
        <f t="shared" si="1623"/>
        <v/>
      </c>
      <c r="AE1264" s="475" t="str">
        <f>IFERROR(__xludf.DUMMYFUNCTION("""COMPUTED_VALUE"""),"CRLN")</f>
        <v>CRLN</v>
      </c>
      <c r="AF1264" s="476"/>
      <c r="AG1264" s="474" t="s">
        <v>215</v>
      </c>
      <c r="AH1264" s="138" t="str">
        <f t="shared" si="11"/>
        <v/>
      </c>
    </row>
    <row r="1265">
      <c r="A1265" s="103" t="str">
        <f>IFERROR(__xludf.DUMMYFUNCTION("""COMPUTED_VALUE"""),"FLE266")</f>
        <v>FLE266</v>
      </c>
      <c r="B1265" s="468">
        <f>IFERROR(__xludf.DUMMYFUNCTION("""COMPUTED_VALUE"""),44693.0)</f>
        <v>44693</v>
      </c>
      <c r="C1265" s="469">
        <f>IFERROR(__xludf.DUMMYFUNCTION("""COMPUTED_VALUE"""),0.36498842592592595)</f>
        <v>0.3649884259</v>
      </c>
      <c r="D1265" s="103" t="str">
        <f>IFERROR(__xludf.DUMMYFUNCTION("""COMPUTED_VALUE"""),"SpFLMP496039")</f>
        <v>SpFLMP496039</v>
      </c>
      <c r="E1265" s="103"/>
      <c r="F1265" s="103"/>
      <c r="G1265" s="103" t="str">
        <f>IFERROR(__xludf.DUMMYFUNCTION("""COMPUTED_VALUE"""),"Negative")</f>
        <v>Negative</v>
      </c>
      <c r="H1265" s="131" t="str">
        <f>IFERROR(__xludf.DUMMYFUNCTION("""COMPUTED_VALUE"""),"Negative")</f>
        <v>Negative</v>
      </c>
      <c r="I1265" s="468">
        <f>IFERROR(__xludf.DUMMYFUNCTION("""COMPUTED_VALUE"""),44693.0)</f>
        <v>44693</v>
      </c>
      <c r="J1265" s="470">
        <f>IFERROR(__xludf.DUMMYFUNCTION("""COMPUTED_VALUE"""),0.4590856481481482)</f>
        <v>0.4590856481</v>
      </c>
      <c r="K1265" s="16"/>
      <c r="L1265" s="8"/>
      <c r="M1265" s="69"/>
      <c r="N1265" s="69">
        <f>IFERROR(__xludf.DUMMYFUNCTION("""COMPUTED_VALUE"""),1.0)</f>
        <v>1</v>
      </c>
      <c r="O1265" s="69" t="str">
        <f t="shared" si="3"/>
        <v/>
      </c>
      <c r="P1265" s="471">
        <f>IFERROR(__xludf.DUMMYFUNCTION("""COMPUTED_VALUE"""),0.0)</f>
        <v>0</v>
      </c>
      <c r="Q1265" s="274" t="b">
        <f>VLOOKUP($B1265,'Run Reconcile'!B$2:O2488,14,FALSE)</f>
        <v>1</v>
      </c>
      <c r="R1265" s="472" t="str">
        <f t="array" ref="R1265">IF($Q1265, INDEX('Run Reconcile'!A$2:A2488,MATCH(B1265,'Run Reconcile'!B$2:B2488,0),1),IFERROR(0/0,""))</f>
        <v>RUN-FLMP_2022-05-12_RFR-135</v>
      </c>
      <c r="S1265" s="473" t="str">
        <f t="shared" si="694"/>
        <v/>
      </c>
      <c r="T1265" s="473" t="str">
        <f t="shared" si="698"/>
        <v/>
      </c>
      <c r="U1265" s="275" t="str">
        <f t="array" ref="U1265">IF(ISBLANK($R1265), INDEX('Run Reconcile'!A$2:A2488, MATCH($B1265, 'Run Reconcile'!B$2:B2488, 0)+Z1265, 1), IFERROR(0/0,""))
</f>
        <v/>
      </c>
      <c r="V1265" s="474" t="str">
        <f t="shared" si="5"/>
        <v>RUN-FLMP_2022-05-12_RFR-135</v>
      </c>
      <c r="Y1265" s="89" t="str">
        <f t="shared" si="1581"/>
        <v/>
      </c>
      <c r="Z1265" s="60" t="str">
        <f t="shared" si="7"/>
        <v/>
      </c>
      <c r="AA1265" s="60" t="str">
        <f t="shared" si="8"/>
        <v/>
      </c>
      <c r="AB1265" s="60" t="str">
        <f t="shared" si="9"/>
        <v/>
      </c>
      <c r="AC1265" s="30" t="str">
        <f t="shared" ref="AC1265:AD1265" si="1624">IF(_xlfn.ISFORMULA(S1265),IFERROR(0/0,""),TRUE)</f>
        <v/>
      </c>
      <c r="AD1265" s="30" t="str">
        <f t="shared" si="1624"/>
        <v/>
      </c>
      <c r="AE1265" s="475" t="str">
        <f>IFERROR(__xludf.DUMMYFUNCTION("""COMPUTED_VALUE"""),"FLSP")</f>
        <v>FLSP</v>
      </c>
      <c r="AF1265" s="476"/>
      <c r="AG1265" s="474" t="s">
        <v>215</v>
      </c>
      <c r="AH1265" s="138" t="str">
        <f t="shared" si="11"/>
        <v/>
      </c>
    </row>
    <row r="1266">
      <c r="A1266" s="103" t="str">
        <f>IFERROR(__xludf.DUMMYFUNCTION("""COMPUTED_VALUE"""),"AH7212")</f>
        <v>AH7212</v>
      </c>
      <c r="B1266" s="468">
        <f>IFERROR(__xludf.DUMMYFUNCTION("""COMPUTED_VALUE"""),44693.0)</f>
        <v>44693</v>
      </c>
      <c r="C1266" s="469">
        <f>IFERROR(__xludf.DUMMYFUNCTION("""COMPUTED_VALUE"""),0.36743055555555554)</f>
        <v>0.3674305556</v>
      </c>
      <c r="D1266" s="103" t="str">
        <f>IFERROR(__xludf.DUMMYFUNCTION("""COMPUTED_VALUE"""),"SpFLMP946259")</f>
        <v>SpFLMP946259</v>
      </c>
      <c r="E1266" s="103"/>
      <c r="F1266" s="103"/>
      <c r="G1266" s="103" t="str">
        <f>IFERROR(__xludf.DUMMYFUNCTION("""COMPUTED_VALUE"""),"Negative")</f>
        <v>Negative</v>
      </c>
      <c r="H1266" s="131" t="str">
        <f>IFERROR(__xludf.DUMMYFUNCTION("""COMPUTED_VALUE"""),"Negative")</f>
        <v>Negative</v>
      </c>
      <c r="I1266" s="468">
        <f>IFERROR(__xludf.DUMMYFUNCTION("""COMPUTED_VALUE"""),44693.0)</f>
        <v>44693</v>
      </c>
      <c r="J1266" s="470">
        <f>IFERROR(__xludf.DUMMYFUNCTION("""COMPUTED_VALUE"""),0.4590856481481482)</f>
        <v>0.4590856481</v>
      </c>
      <c r="K1266" s="16"/>
      <c r="L1266" s="8"/>
      <c r="M1266" s="69"/>
      <c r="N1266" s="69">
        <f>IFERROR(__xludf.DUMMYFUNCTION("""COMPUTED_VALUE"""),2.0)</f>
        <v>2</v>
      </c>
      <c r="O1266" s="69" t="str">
        <f t="shared" si="3"/>
        <v/>
      </c>
      <c r="P1266" s="471">
        <f>IFERROR(__xludf.DUMMYFUNCTION("""COMPUTED_VALUE"""),0.0)</f>
        <v>0</v>
      </c>
      <c r="Q1266" s="274" t="b">
        <f>VLOOKUP($B1266,'Run Reconcile'!B$2:O2488,14,FALSE)</f>
        <v>1</v>
      </c>
      <c r="R1266" s="472" t="str">
        <f t="array" ref="R1266">IF($Q1266, INDEX('Run Reconcile'!A$2:A2488,MATCH(B1266,'Run Reconcile'!B$2:B2488,0),1),IFERROR(0/0,""))</f>
        <v>RUN-FLMP_2022-05-12_RFR-135</v>
      </c>
      <c r="S1266" s="473" t="str">
        <f t="shared" si="694"/>
        <v/>
      </c>
      <c r="T1266" s="473" t="str">
        <f t="shared" si="698"/>
        <v/>
      </c>
      <c r="U1266" s="275" t="str">
        <f t="array" ref="U1266">IF(ISBLANK($R1266), INDEX('Run Reconcile'!A$2:A2488, MATCH($B1266, 'Run Reconcile'!B$2:B2488, 0)+Z1266, 1), IFERROR(0/0,""))
</f>
        <v/>
      </c>
      <c r="V1266" s="474" t="str">
        <f t="shared" si="5"/>
        <v>RUN-FLMP_2022-05-12_RFR-135</v>
      </c>
      <c r="Y1266" s="89" t="str">
        <f t="shared" si="1581"/>
        <v/>
      </c>
      <c r="Z1266" s="60" t="str">
        <f t="shared" si="7"/>
        <v/>
      </c>
      <c r="AA1266" s="60" t="str">
        <f t="shared" si="8"/>
        <v/>
      </c>
      <c r="AB1266" s="60" t="str">
        <f t="shared" si="9"/>
        <v/>
      </c>
      <c r="AC1266" s="30" t="str">
        <f t="shared" ref="AC1266:AD1266" si="1625">IF(_xlfn.ISFORMULA(S1266),IFERROR(0/0,""),TRUE)</f>
        <v/>
      </c>
      <c r="AD1266" s="30" t="str">
        <f t="shared" si="1625"/>
        <v/>
      </c>
      <c r="AE1266" s="475" t="str">
        <f>IFERROR(__xludf.DUMMYFUNCTION("""COMPUTED_VALUE"""),"CRLN")</f>
        <v>CRLN</v>
      </c>
      <c r="AF1266" s="476"/>
      <c r="AG1266" s="474" t="s">
        <v>215</v>
      </c>
      <c r="AH1266" s="138" t="str">
        <f t="shared" si="11"/>
        <v/>
      </c>
    </row>
    <row r="1267">
      <c r="A1267" s="103" t="str">
        <f>IFERROR(__xludf.DUMMYFUNCTION("""COMPUTED_VALUE"""),"FLE925")</f>
        <v>FLE925</v>
      </c>
      <c r="B1267" s="468">
        <f>IFERROR(__xludf.DUMMYFUNCTION("""COMPUTED_VALUE"""),44693.0)</f>
        <v>44693</v>
      </c>
      <c r="C1267" s="469">
        <f>IFERROR(__xludf.DUMMYFUNCTION("""COMPUTED_VALUE"""),0.36832175925925925)</f>
        <v>0.3683217593</v>
      </c>
      <c r="D1267" s="103" t="str">
        <f>IFERROR(__xludf.DUMMYFUNCTION("""COMPUTED_VALUE"""),"SpFLMP649771")</f>
        <v>SpFLMP649771</v>
      </c>
      <c r="E1267" s="103"/>
      <c r="F1267" s="103"/>
      <c r="G1267" s="103" t="str">
        <f>IFERROR(__xludf.DUMMYFUNCTION("""COMPUTED_VALUE"""),"Negative")</f>
        <v>Negative</v>
      </c>
      <c r="H1267" s="131" t="str">
        <f>IFERROR(__xludf.DUMMYFUNCTION("""COMPUTED_VALUE"""),"Negative")</f>
        <v>Negative</v>
      </c>
      <c r="I1267" s="468">
        <f>IFERROR(__xludf.DUMMYFUNCTION("""COMPUTED_VALUE"""),44693.0)</f>
        <v>44693</v>
      </c>
      <c r="J1267" s="470">
        <f>IFERROR(__xludf.DUMMYFUNCTION("""COMPUTED_VALUE"""),0.4590856481481482)</f>
        <v>0.4590856481</v>
      </c>
      <c r="K1267" s="16"/>
      <c r="L1267" s="8"/>
      <c r="M1267" s="69"/>
      <c r="N1267" s="69">
        <f>IFERROR(__xludf.DUMMYFUNCTION("""COMPUTED_VALUE"""),3.0)</f>
        <v>3</v>
      </c>
      <c r="O1267" s="69" t="str">
        <f t="shared" si="3"/>
        <v/>
      </c>
      <c r="P1267" s="471">
        <f>IFERROR(__xludf.DUMMYFUNCTION("""COMPUTED_VALUE"""),0.0)</f>
        <v>0</v>
      </c>
      <c r="Q1267" s="274" t="b">
        <f>VLOOKUP($B1267,'Run Reconcile'!B$2:O2488,14,FALSE)</f>
        <v>1</v>
      </c>
      <c r="R1267" s="472" t="str">
        <f t="array" ref="R1267">IF($Q1267, INDEX('Run Reconcile'!A$2:A2488,MATCH(B1267,'Run Reconcile'!B$2:B2488,0),1),IFERROR(0/0,""))</f>
        <v>RUN-FLMP_2022-05-12_RFR-135</v>
      </c>
      <c r="S1267" s="473" t="str">
        <f t="shared" si="694"/>
        <v/>
      </c>
      <c r="T1267" s="473" t="str">
        <f t="shared" si="698"/>
        <v/>
      </c>
      <c r="U1267" s="275" t="str">
        <f t="array" ref="U1267">IF(ISBLANK($R1267), INDEX('Run Reconcile'!A$2:A2488, MATCH($B1267, 'Run Reconcile'!B$2:B2488, 0)+Z1267, 1), IFERROR(0/0,""))
</f>
        <v/>
      </c>
      <c r="V1267" s="474" t="str">
        <f t="shared" si="5"/>
        <v>RUN-FLMP_2022-05-12_RFR-135</v>
      </c>
      <c r="Y1267" s="89" t="str">
        <f t="shared" si="1581"/>
        <v/>
      </c>
      <c r="Z1267" s="60" t="str">
        <f t="shared" si="7"/>
        <v/>
      </c>
      <c r="AA1267" s="60" t="str">
        <f t="shared" si="8"/>
        <v/>
      </c>
      <c r="AB1267" s="60" t="str">
        <f t="shared" si="9"/>
        <v/>
      </c>
      <c r="AC1267" s="30" t="str">
        <f t="shared" ref="AC1267:AD1267" si="1626">IF(_xlfn.ISFORMULA(S1267),IFERROR(0/0,""),TRUE)</f>
        <v/>
      </c>
      <c r="AD1267" s="30" t="str">
        <f t="shared" si="1626"/>
        <v/>
      </c>
      <c r="AE1267" s="475" t="str">
        <f>IFERROR(__xludf.DUMMYFUNCTION("""COMPUTED_VALUE"""),"CRLN")</f>
        <v>CRLN</v>
      </c>
      <c r="AF1267" s="476"/>
      <c r="AG1267" s="474" t="s">
        <v>215</v>
      </c>
      <c r="AH1267" s="138" t="str">
        <f t="shared" si="11"/>
        <v/>
      </c>
    </row>
    <row r="1268">
      <c r="A1268" s="103" t="str">
        <f>IFERROR(__xludf.DUMMYFUNCTION("""COMPUTED_VALUE"""),"AK6493")</f>
        <v>AK6493</v>
      </c>
      <c r="B1268" s="468">
        <f>IFERROR(__xludf.DUMMYFUNCTION("""COMPUTED_VALUE"""),44693.0)</f>
        <v>44693</v>
      </c>
      <c r="C1268" s="469">
        <f>IFERROR(__xludf.DUMMYFUNCTION("""COMPUTED_VALUE"""),0.38915509259259257)</f>
        <v>0.3891550926</v>
      </c>
      <c r="D1268" s="103" t="str">
        <f>IFERROR(__xludf.DUMMYFUNCTION("""COMPUTED_VALUE"""),"SpFLMP120998")</f>
        <v>SpFLMP120998</v>
      </c>
      <c r="E1268" s="103"/>
      <c r="F1268" s="103"/>
      <c r="G1268" s="103" t="str">
        <f>IFERROR(__xludf.DUMMYFUNCTION("""COMPUTED_VALUE"""),"Negative")</f>
        <v>Negative</v>
      </c>
      <c r="H1268" s="131" t="str">
        <f>IFERROR(__xludf.DUMMYFUNCTION("""COMPUTED_VALUE"""),"Negative")</f>
        <v>Negative</v>
      </c>
      <c r="I1268" s="468">
        <f>IFERROR(__xludf.DUMMYFUNCTION("""COMPUTED_VALUE"""),44693.0)</f>
        <v>44693</v>
      </c>
      <c r="J1268" s="470">
        <f>IFERROR(__xludf.DUMMYFUNCTION("""COMPUTED_VALUE"""),0.4590972222222222)</f>
        <v>0.4590972222</v>
      </c>
      <c r="K1268" s="16"/>
      <c r="L1268" s="8"/>
      <c r="M1268" s="69"/>
      <c r="N1268" s="69">
        <f>IFERROR(__xludf.DUMMYFUNCTION("""COMPUTED_VALUE"""),1.0)</f>
        <v>1</v>
      </c>
      <c r="O1268" s="69" t="str">
        <f t="shared" si="3"/>
        <v/>
      </c>
      <c r="P1268" s="471">
        <f>IFERROR(__xludf.DUMMYFUNCTION("""COMPUTED_VALUE"""),0.0)</f>
        <v>0</v>
      </c>
      <c r="Q1268" s="274" t="b">
        <f>VLOOKUP($B1268,'Run Reconcile'!B$2:O2488,14,FALSE)</f>
        <v>1</v>
      </c>
      <c r="R1268" s="472" t="str">
        <f t="array" ref="R1268">IF($Q1268, INDEX('Run Reconcile'!A$2:A2488,MATCH(B1268,'Run Reconcile'!B$2:B2488,0),1),IFERROR(0/0,""))</f>
        <v>RUN-FLMP_2022-05-12_RFR-135</v>
      </c>
      <c r="S1268" s="473" t="str">
        <f t="shared" si="694"/>
        <v/>
      </c>
      <c r="T1268" s="473" t="str">
        <f t="shared" si="698"/>
        <v/>
      </c>
      <c r="U1268" s="275" t="str">
        <f t="array" ref="U1268">IF(ISBLANK($R1268), INDEX('Run Reconcile'!A$2:A2488, MATCH($B1268, 'Run Reconcile'!B$2:B2488, 0)+Z1268, 1), IFERROR(0/0,""))
</f>
        <v/>
      </c>
      <c r="V1268" s="474" t="str">
        <f t="shared" si="5"/>
        <v>RUN-FLMP_2022-05-12_RFR-135</v>
      </c>
      <c r="Y1268" s="89" t="str">
        <f t="shared" si="1581"/>
        <v/>
      </c>
      <c r="Z1268" s="60" t="str">
        <f t="shared" si="7"/>
        <v/>
      </c>
      <c r="AA1268" s="60" t="str">
        <f t="shared" si="8"/>
        <v/>
      </c>
      <c r="AB1268" s="60" t="str">
        <f t="shared" si="9"/>
        <v/>
      </c>
      <c r="AC1268" s="30" t="str">
        <f t="shared" ref="AC1268:AD1268" si="1627">IF(_xlfn.ISFORMULA(S1268),IFERROR(0/0,""),TRUE)</f>
        <v/>
      </c>
      <c r="AD1268" s="30" t="str">
        <f t="shared" si="1627"/>
        <v/>
      </c>
      <c r="AE1268" s="475" t="str">
        <f>IFERROR(__xludf.DUMMYFUNCTION("""COMPUTED_VALUE"""),"FLSP")</f>
        <v>FLSP</v>
      </c>
      <c r="AF1268" s="476"/>
      <c r="AG1268" s="474" t="s">
        <v>215</v>
      </c>
      <c r="AH1268" s="138" t="str">
        <f t="shared" si="11"/>
        <v/>
      </c>
    </row>
    <row r="1269">
      <c r="A1269" s="103" t="str">
        <f>IFERROR(__xludf.DUMMYFUNCTION("""COMPUTED_VALUE"""),"FLE801")</f>
        <v>FLE801</v>
      </c>
      <c r="B1269" s="468">
        <f>IFERROR(__xludf.DUMMYFUNCTION("""COMPUTED_VALUE"""),44693.0)</f>
        <v>44693</v>
      </c>
      <c r="C1269" s="469">
        <f>IFERROR(__xludf.DUMMYFUNCTION("""COMPUTED_VALUE"""),0.4592939814814815)</f>
        <v>0.4592939815</v>
      </c>
      <c r="D1269" s="103" t="str">
        <f>IFERROR(__xludf.DUMMYFUNCTION("""COMPUTED_VALUE"""),"SpFLMP684798")</f>
        <v>SpFLMP684798</v>
      </c>
      <c r="E1269" s="103"/>
      <c r="F1269" s="103"/>
      <c r="G1269" s="103" t="str">
        <f>IFERROR(__xludf.DUMMYFUNCTION("""COMPUTED_VALUE"""),"Null")</f>
        <v>Null</v>
      </c>
      <c r="H1269" s="131" t="str">
        <f>IFERROR(__xludf.DUMMYFUNCTION("""COMPUTED_VALUE"""),"Negative")</f>
        <v>Negative</v>
      </c>
      <c r="I1269" s="468"/>
      <c r="J1269" s="16"/>
      <c r="K1269" s="16">
        <f>IFERROR(__xludf.DUMMYFUNCTION("""COMPUTED_VALUE"""),2.0)</f>
        <v>2</v>
      </c>
      <c r="L1269" s="8" t="str">
        <f>IFERROR(__xludf.DUMMYFUNCTION("""COMPUTED_VALUE"""),"resulted Neg in daily results report")</f>
        <v>resulted Neg in daily results report</v>
      </c>
      <c r="M1269" s="69"/>
      <c r="N1269" s="69">
        <f>IFERROR(__xludf.DUMMYFUNCTION("""COMPUTED_VALUE"""),4.0)</f>
        <v>4</v>
      </c>
      <c r="O1269" s="69" t="str">
        <f t="shared" si="3"/>
        <v/>
      </c>
      <c r="P1269" s="471">
        <f>IFERROR(__xludf.DUMMYFUNCTION("""COMPUTED_VALUE"""),-1.0)</f>
        <v>-1</v>
      </c>
      <c r="Q1269" s="274" t="b">
        <f>VLOOKUP($B1269,'Run Reconcile'!B$2:O2488,14,FALSE)</f>
        <v>1</v>
      </c>
      <c r="R1269" s="472" t="str">
        <f t="array" ref="R1269">IF($Q1269, INDEX('Run Reconcile'!A$2:A2488,MATCH(B1269,'Run Reconcile'!B$2:B2488,0),1),IFERROR(0/0,""))</f>
        <v>RUN-FLMP_2022-05-12_RFR-135</v>
      </c>
      <c r="S1269" s="473" t="str">
        <f t="shared" si="694"/>
        <v/>
      </c>
      <c r="T1269" s="473" t="str">
        <f t="shared" si="698"/>
        <v/>
      </c>
      <c r="U1269" s="275" t="str">
        <f t="array" ref="U1269">IF(ISBLANK($R1269), INDEX('Run Reconcile'!A$2:A2488, MATCH($B1269, 'Run Reconcile'!B$2:B2488, 0)+Z1269, 1), IFERROR(0/0,""))
</f>
        <v/>
      </c>
      <c r="V1269" s="474" t="str">
        <f t="shared" si="5"/>
        <v>RUN-FLMP_2022-05-12_RFR-135</v>
      </c>
      <c r="Y1269" s="89" t="str">
        <f t="shared" si="1581"/>
        <v/>
      </c>
      <c r="Z1269" s="60" t="str">
        <f t="shared" si="7"/>
        <v/>
      </c>
      <c r="AA1269" s="60" t="str">
        <f t="shared" si="8"/>
        <v/>
      </c>
      <c r="AB1269" s="60" t="str">
        <f t="shared" si="9"/>
        <v/>
      </c>
      <c r="AC1269" s="30" t="str">
        <f t="shared" ref="AC1269:AD1269" si="1628">IF(_xlfn.ISFORMULA(S1269),IFERROR(0/0,""),TRUE)</f>
        <v/>
      </c>
      <c r="AD1269" s="30" t="str">
        <f t="shared" si="1628"/>
        <v/>
      </c>
      <c r="AE1269" s="475" t="str">
        <f>IFERROR(__xludf.DUMMYFUNCTION("""COMPUTED_VALUE"""),"CRLN")</f>
        <v>CRLN</v>
      </c>
      <c r="AF1269" s="476"/>
      <c r="AG1269" s="474" t="s">
        <v>215</v>
      </c>
      <c r="AH1269" s="138" t="str">
        <f t="shared" si="11"/>
        <v/>
      </c>
    </row>
    <row r="1270">
      <c r="A1270" s="477" t="str">
        <f>IFERROR(__xludf.DUMMYFUNCTION("""COMPUTED_VALUE"""),"FLB7420")</f>
        <v>FLB7420</v>
      </c>
      <c r="B1270" s="478">
        <f>IFERROR(__xludf.DUMMYFUNCTION("""COMPUTED_VALUE"""),44696.0)</f>
        <v>44696</v>
      </c>
      <c r="C1270" s="479">
        <f>IFERROR(__xludf.DUMMYFUNCTION("""COMPUTED_VALUE"""),0.8007638888888889)</f>
        <v>0.8007638889</v>
      </c>
      <c r="D1270" s="477" t="str">
        <f>IFERROR(__xludf.DUMMYFUNCTION("""COMPUTED_VALUE"""),"SpFLMP544731")</f>
        <v>SpFLMP544731</v>
      </c>
      <c r="E1270" s="477"/>
      <c r="F1270" s="477"/>
      <c r="G1270" s="477" t="str">
        <f>IFERROR(__xludf.DUMMYFUNCTION("""COMPUTED_VALUE"""),"Negative")</f>
        <v>Negative</v>
      </c>
      <c r="H1270" s="480" t="str">
        <f>IFERROR(__xludf.DUMMYFUNCTION("""COMPUTED_VALUE"""),"Negative")</f>
        <v>Negative</v>
      </c>
      <c r="I1270" s="478">
        <f>IFERROR(__xludf.DUMMYFUNCTION("""COMPUTED_VALUE"""),44697.0)</f>
        <v>44697</v>
      </c>
      <c r="J1270" s="481">
        <f>IFERROR(__xludf.DUMMYFUNCTION("""COMPUTED_VALUE"""),0.431087962962963)</f>
        <v>0.431087963</v>
      </c>
      <c r="K1270" s="156"/>
      <c r="L1270" s="19"/>
      <c r="M1270" s="482"/>
      <c r="N1270" s="482">
        <f>IFERROR(__xludf.DUMMYFUNCTION("""COMPUTED_VALUE"""),3.0)</f>
        <v>3</v>
      </c>
      <c r="O1270" s="482" t="b">
        <f t="shared" si="3"/>
        <v>1</v>
      </c>
      <c r="P1270" s="483">
        <f>IFERROR(__xludf.DUMMYFUNCTION("""COMPUTED_VALUE"""),1.0)</f>
        <v>1</v>
      </c>
      <c r="Q1270" s="352" t="str">
        <f>VLOOKUP($B1270,'Run Reconcile'!B$2:O2488,14,FALSE)</f>
        <v/>
      </c>
      <c r="R1270" s="484" t="str">
        <f t="array" ref="R1270">IF($Q1270, INDEX('Run Reconcile'!A$2:A2488,MATCH(B1270,'Run Reconcile'!B$2:B2488,0),1),IFERROR(0/0,""))</f>
        <v/>
      </c>
      <c r="S1270" s="485" t="b">
        <f t="shared" si="694"/>
        <v>1</v>
      </c>
      <c r="T1270" s="485" t="str">
        <f t="shared" si="698"/>
        <v/>
      </c>
      <c r="U1270" s="353" t="str">
        <f t="array" ref="U1270">IF(ISBLANK($R1270), INDEX('Run Reconcile'!A$2:A2488, MATCH($B1270, 'Run Reconcile'!B$2:B2488, 0)+Z1270, 1), IFERROR(0/0,""))
</f>
        <v>RUN-FLMP_2022-05-16_RFR-138</v>
      </c>
      <c r="V1270" s="486" t="str">
        <f t="shared" si="5"/>
        <v>RUN-FLMP_2022-05-16_RFR-138</v>
      </c>
      <c r="W1270" s="19" t="s">
        <v>1496</v>
      </c>
      <c r="X1270" s="19"/>
      <c r="Y1270" s="89">
        <f t="shared" si="1581"/>
        <v>1</v>
      </c>
      <c r="Z1270" s="60">
        <f t="shared" si="7"/>
        <v>1</v>
      </c>
      <c r="AA1270" s="60">
        <f t="shared" si="8"/>
        <v>1</v>
      </c>
      <c r="AB1270" s="60" t="str">
        <f t="shared" si="9"/>
        <v/>
      </c>
      <c r="AC1270" s="158" t="str">
        <f t="shared" ref="AC1270:AD1270" si="1629">IF(_xlfn.ISFORMULA(S1270),IFERROR(0/0,""),TRUE)</f>
        <v/>
      </c>
      <c r="AD1270" s="158" t="str">
        <f t="shared" si="1629"/>
        <v/>
      </c>
      <c r="AE1270" s="488" t="str">
        <f>IFERROR(__xludf.DUMMYFUNCTION("""COMPUTED_VALUE"""),"CRLN")</f>
        <v>CRLN</v>
      </c>
      <c r="AF1270" s="489"/>
      <c r="AG1270" s="486" t="s">
        <v>217</v>
      </c>
      <c r="AH1270" s="138" t="str">
        <f t="shared" si="11"/>
        <v/>
      </c>
      <c r="AI1270" s="19"/>
      <c r="AJ1270" s="19"/>
      <c r="AK1270" s="19"/>
      <c r="AL1270" s="19"/>
      <c r="AM1270" s="19"/>
    </row>
    <row r="1271">
      <c r="A1271" s="477" t="str">
        <f>IFERROR(__xludf.DUMMYFUNCTION("""COMPUTED_VALUE"""),"AJ7864")</f>
        <v>AJ7864</v>
      </c>
      <c r="B1271" s="478">
        <f>IFERROR(__xludf.DUMMYFUNCTION("""COMPUTED_VALUE"""),44697.0)</f>
        <v>44697</v>
      </c>
      <c r="C1271" s="479">
        <f>IFERROR(__xludf.DUMMYFUNCTION("""COMPUTED_VALUE"""),0.261400462962963)</f>
        <v>0.261400463</v>
      </c>
      <c r="D1271" s="477" t="str">
        <f>IFERROR(__xludf.DUMMYFUNCTION("""COMPUTED_VALUE"""),"SpFLMP690282")</f>
        <v>SpFLMP690282</v>
      </c>
      <c r="E1271" s="477"/>
      <c r="F1271" s="477"/>
      <c r="G1271" s="477" t="str">
        <f>IFERROR(__xludf.DUMMYFUNCTION("""COMPUTED_VALUE"""),"Negative")</f>
        <v>Negative</v>
      </c>
      <c r="H1271" s="480" t="str">
        <f>IFERROR(__xludf.DUMMYFUNCTION("""COMPUTED_VALUE"""),"Negative")</f>
        <v>Negative</v>
      </c>
      <c r="I1271" s="478">
        <f>IFERROR(__xludf.DUMMYFUNCTION("""COMPUTED_VALUE"""),44697.0)</f>
        <v>44697</v>
      </c>
      <c r="J1271" s="481">
        <f>IFERROR(__xludf.DUMMYFUNCTION("""COMPUTED_VALUE"""),0.431099537037037)</f>
        <v>0.431099537</v>
      </c>
      <c r="K1271" s="156"/>
      <c r="L1271" s="19"/>
      <c r="M1271" s="482"/>
      <c r="N1271" s="482">
        <f>IFERROR(__xludf.DUMMYFUNCTION("""COMPUTED_VALUE"""),2.0)</f>
        <v>2</v>
      </c>
      <c r="O1271" s="482" t="b">
        <f t="shared" si="3"/>
        <v>1</v>
      </c>
      <c r="P1271" s="483">
        <f>IFERROR(__xludf.DUMMYFUNCTION("""COMPUTED_VALUE"""),0.0)</f>
        <v>0</v>
      </c>
      <c r="Q1271" s="352" t="b">
        <f>VLOOKUP($B1271,'Run Reconcile'!B$2:O2488,14,FALSE)</f>
        <v>1</v>
      </c>
      <c r="R1271" s="484" t="str">
        <f t="array" ref="R1271">IF($Q1271, INDEX('Run Reconcile'!A$2:A2488,MATCH(B1271,'Run Reconcile'!B$2:B2488,0),1),IFERROR(0/0,""))</f>
        <v>RUN-FLMP_2022-05-16_RFR-138</v>
      </c>
      <c r="S1271" s="485" t="str">
        <f t="shared" si="694"/>
        <v/>
      </c>
      <c r="T1271" s="485" t="str">
        <f t="shared" si="698"/>
        <v/>
      </c>
      <c r="U1271" s="353" t="str">
        <f t="array" ref="U1271">IF(ISBLANK($R1271), INDEX('Run Reconcile'!A$2:A2488, MATCH($B1271, 'Run Reconcile'!B$2:B2488, 0)+Z1271, 1), IFERROR(0/0,""))
</f>
        <v/>
      </c>
      <c r="V1271" s="486" t="str">
        <f t="shared" si="5"/>
        <v>RUN-FLMP_2022-05-16_RFR-138</v>
      </c>
      <c r="W1271" s="19"/>
      <c r="X1271" s="19"/>
      <c r="Y1271" s="89" t="str">
        <f t="shared" si="1581"/>
        <v/>
      </c>
      <c r="Z1271" s="60" t="str">
        <f t="shared" si="7"/>
        <v/>
      </c>
      <c r="AA1271" s="60" t="str">
        <f t="shared" si="8"/>
        <v/>
      </c>
      <c r="AB1271" s="60" t="str">
        <f t="shared" si="9"/>
        <v/>
      </c>
      <c r="AC1271" s="158" t="str">
        <f t="shared" ref="AC1271:AD1271" si="1630">IF(_xlfn.ISFORMULA(S1271),IFERROR(0/0,""),TRUE)</f>
        <v/>
      </c>
      <c r="AD1271" s="158" t="str">
        <f t="shared" si="1630"/>
        <v/>
      </c>
      <c r="AE1271" s="488" t="str">
        <f>IFERROR(__xludf.DUMMYFUNCTION("""COMPUTED_VALUE"""),"CRLN")</f>
        <v>CRLN</v>
      </c>
      <c r="AF1271" s="489"/>
      <c r="AG1271" s="486" t="s">
        <v>217</v>
      </c>
      <c r="AH1271" s="138" t="str">
        <f t="shared" si="11"/>
        <v/>
      </c>
      <c r="AI1271" s="19"/>
      <c r="AJ1271" s="19"/>
      <c r="AK1271" s="19"/>
      <c r="AL1271" s="19"/>
      <c r="AM1271" s="19"/>
    </row>
    <row r="1272">
      <c r="A1272" s="103" t="str">
        <f>IFERROR(__xludf.DUMMYFUNCTION("""COMPUTED_VALUE"""),"AJ6841")</f>
        <v>AJ6841</v>
      </c>
      <c r="B1272" s="468">
        <f>IFERROR(__xludf.DUMMYFUNCTION("""COMPUTED_VALUE"""),44697.0)</f>
        <v>44697</v>
      </c>
      <c r="C1272" s="469">
        <f>IFERROR(__xludf.DUMMYFUNCTION("""COMPUTED_VALUE"""),0.3009027777777778)</f>
        <v>0.3009027778</v>
      </c>
      <c r="D1272" s="103" t="str">
        <f>IFERROR(__xludf.DUMMYFUNCTION("""COMPUTED_VALUE"""),"SpFLMP470379")</f>
        <v>SpFLMP470379</v>
      </c>
      <c r="E1272" s="103"/>
      <c r="F1272" s="103"/>
      <c r="G1272" s="103" t="str">
        <f>IFERROR(__xludf.DUMMYFUNCTION("""COMPUTED_VALUE"""),"Negative")</f>
        <v>Negative</v>
      </c>
      <c r="H1272" s="131" t="str">
        <f>IFERROR(__xludf.DUMMYFUNCTION("""COMPUTED_VALUE"""),"Negative")</f>
        <v>Negative</v>
      </c>
      <c r="I1272" s="468">
        <f>IFERROR(__xludf.DUMMYFUNCTION("""COMPUTED_VALUE"""),44697.0)</f>
        <v>44697</v>
      </c>
      <c r="J1272" s="470">
        <f>IFERROR(__xludf.DUMMYFUNCTION("""COMPUTED_VALUE"""),0.431099537037037)</f>
        <v>0.431099537</v>
      </c>
      <c r="K1272" s="16"/>
      <c r="L1272" s="8"/>
      <c r="M1272" s="69"/>
      <c r="N1272" s="69">
        <f>IFERROR(__xludf.DUMMYFUNCTION("""COMPUTED_VALUE"""),1.0)</f>
        <v>1</v>
      </c>
      <c r="O1272" s="69" t="str">
        <f t="shared" si="3"/>
        <v/>
      </c>
      <c r="P1272" s="471">
        <f>IFERROR(__xludf.DUMMYFUNCTION("""COMPUTED_VALUE"""),0.0)</f>
        <v>0</v>
      </c>
      <c r="Q1272" s="274" t="b">
        <f>VLOOKUP($B1272,'Run Reconcile'!B$2:O2488,14,FALSE)</f>
        <v>1</v>
      </c>
      <c r="R1272" s="472" t="str">
        <f t="array" ref="R1272">IF($Q1272, INDEX('Run Reconcile'!A$2:A2488,MATCH(B1272,'Run Reconcile'!B$2:B2488,0),1),IFERROR(0/0,""))</f>
        <v>RUN-FLMP_2022-05-16_RFR-138</v>
      </c>
      <c r="S1272" s="473" t="str">
        <f t="shared" si="694"/>
        <v/>
      </c>
      <c r="T1272" s="473" t="str">
        <f t="shared" si="698"/>
        <v/>
      </c>
      <c r="U1272" s="275" t="str">
        <f t="array" ref="U1272">IF(ISBLANK($R1272), INDEX('Run Reconcile'!A$2:A2488, MATCH($B1272, 'Run Reconcile'!B$2:B2488, 0)+Z1272, 1), IFERROR(0/0,""))
</f>
        <v/>
      </c>
      <c r="V1272" s="474" t="str">
        <f t="shared" si="5"/>
        <v>RUN-FLMP_2022-05-16_RFR-138</v>
      </c>
      <c r="Y1272" s="89" t="str">
        <f t="shared" si="1581"/>
        <v/>
      </c>
      <c r="Z1272" s="60" t="str">
        <f t="shared" si="7"/>
        <v/>
      </c>
      <c r="AA1272" s="60" t="str">
        <f t="shared" si="8"/>
        <v/>
      </c>
      <c r="AB1272" s="60" t="str">
        <f t="shared" si="9"/>
        <v/>
      </c>
      <c r="AC1272" s="30" t="str">
        <f t="shared" ref="AC1272:AD1272" si="1631">IF(_xlfn.ISFORMULA(S1272),IFERROR(0/0,""),TRUE)</f>
        <v/>
      </c>
      <c r="AD1272" s="30" t="str">
        <f t="shared" si="1631"/>
        <v/>
      </c>
      <c r="AE1272" s="475" t="str">
        <f>IFERROR(__xludf.DUMMYFUNCTION("""COMPUTED_VALUE"""),"CRLN")</f>
        <v>CRLN</v>
      </c>
      <c r="AF1272" s="476"/>
      <c r="AG1272" s="474" t="s">
        <v>217</v>
      </c>
      <c r="AH1272" s="138" t="str">
        <f t="shared" si="11"/>
        <v/>
      </c>
    </row>
    <row r="1273">
      <c r="A1273" s="103" t="str">
        <f>IFERROR(__xludf.DUMMYFUNCTION("""COMPUTED_VALUE"""),"FLE878")</f>
        <v>FLE878</v>
      </c>
      <c r="B1273" s="468">
        <f>IFERROR(__xludf.DUMMYFUNCTION("""COMPUTED_VALUE"""),44697.0)</f>
        <v>44697</v>
      </c>
      <c r="C1273" s="469">
        <f>IFERROR(__xludf.DUMMYFUNCTION("""COMPUTED_VALUE"""),0.3033912037037037)</f>
        <v>0.3033912037</v>
      </c>
      <c r="D1273" s="103" t="str">
        <f>IFERROR(__xludf.DUMMYFUNCTION("""COMPUTED_VALUE"""),"SpFLMP170622")</f>
        <v>SpFLMP170622</v>
      </c>
      <c r="E1273" s="103"/>
      <c r="F1273" s="103"/>
      <c r="G1273" s="103" t="str">
        <f>IFERROR(__xludf.DUMMYFUNCTION("""COMPUTED_VALUE"""),"Negative")</f>
        <v>Negative</v>
      </c>
      <c r="H1273" s="131" t="str">
        <f>IFERROR(__xludf.DUMMYFUNCTION("""COMPUTED_VALUE"""),"Negative")</f>
        <v>Negative</v>
      </c>
      <c r="I1273" s="468">
        <f>IFERROR(__xludf.DUMMYFUNCTION("""COMPUTED_VALUE"""),44697.0)</f>
        <v>44697</v>
      </c>
      <c r="J1273" s="470">
        <f>IFERROR(__xludf.DUMMYFUNCTION("""COMPUTED_VALUE"""),0.431099537037037)</f>
        <v>0.431099537</v>
      </c>
      <c r="K1273" s="16"/>
      <c r="L1273" s="8"/>
      <c r="M1273" s="69"/>
      <c r="N1273" s="69">
        <f>IFERROR(__xludf.DUMMYFUNCTION("""COMPUTED_VALUE"""),4.0)</f>
        <v>4</v>
      </c>
      <c r="O1273" s="69" t="str">
        <f t="shared" si="3"/>
        <v/>
      </c>
      <c r="P1273" s="471">
        <f>IFERROR(__xludf.DUMMYFUNCTION("""COMPUTED_VALUE"""),0.0)</f>
        <v>0</v>
      </c>
      <c r="Q1273" s="274" t="b">
        <f>VLOOKUP($B1273,'Run Reconcile'!B$2:O2488,14,FALSE)</f>
        <v>1</v>
      </c>
      <c r="R1273" s="472" t="str">
        <f t="array" ref="R1273">IF($Q1273, INDEX('Run Reconcile'!A$2:A2488,MATCH(B1273,'Run Reconcile'!B$2:B2488,0),1),IFERROR(0/0,""))</f>
        <v>RUN-FLMP_2022-05-16_RFR-138</v>
      </c>
      <c r="S1273" s="473" t="str">
        <f t="shared" si="694"/>
        <v/>
      </c>
      <c r="T1273" s="473" t="str">
        <f t="shared" si="698"/>
        <v/>
      </c>
      <c r="U1273" s="275" t="str">
        <f t="array" ref="U1273">IF(ISBLANK($R1273), INDEX('Run Reconcile'!A$2:A2488, MATCH($B1273, 'Run Reconcile'!B$2:B2488, 0)+Z1273, 1), IFERROR(0/0,""))
</f>
        <v/>
      </c>
      <c r="V1273" s="474" t="str">
        <f t="shared" si="5"/>
        <v>RUN-FLMP_2022-05-16_RFR-138</v>
      </c>
      <c r="Y1273" s="89" t="str">
        <f t="shared" si="1581"/>
        <v/>
      </c>
      <c r="Z1273" s="60" t="str">
        <f t="shared" si="7"/>
        <v/>
      </c>
      <c r="AA1273" s="60" t="str">
        <f t="shared" si="8"/>
        <v/>
      </c>
      <c r="AB1273" s="60" t="str">
        <f t="shared" si="9"/>
        <v/>
      </c>
      <c r="AC1273" s="30" t="str">
        <f t="shared" ref="AC1273:AD1273" si="1632">IF(_xlfn.ISFORMULA(S1273),IFERROR(0/0,""),TRUE)</f>
        <v/>
      </c>
      <c r="AD1273" s="30" t="str">
        <f t="shared" si="1632"/>
        <v/>
      </c>
      <c r="AE1273" s="475" t="str">
        <f>IFERROR(__xludf.DUMMYFUNCTION("""COMPUTED_VALUE"""),"CRLN")</f>
        <v>CRLN</v>
      </c>
      <c r="AF1273" s="476"/>
      <c r="AG1273" s="474" t="s">
        <v>217</v>
      </c>
      <c r="AH1273" s="138" t="str">
        <f t="shared" si="11"/>
        <v/>
      </c>
    </row>
    <row r="1274">
      <c r="A1274" s="103" t="str">
        <f>IFERROR(__xludf.DUMMYFUNCTION("""COMPUTED_VALUE"""),"AG1594")</f>
        <v>AG1594</v>
      </c>
      <c r="B1274" s="468">
        <f>IFERROR(__xludf.DUMMYFUNCTION("""COMPUTED_VALUE"""),44697.0)</f>
        <v>44697</v>
      </c>
      <c r="C1274" s="469">
        <f>IFERROR(__xludf.DUMMYFUNCTION("""COMPUTED_VALUE"""),0.32591435185185186)</f>
        <v>0.3259143519</v>
      </c>
      <c r="D1274" s="103" t="str">
        <f>IFERROR(__xludf.DUMMYFUNCTION("""COMPUTED_VALUE"""),"SpFLMP273885")</f>
        <v>SpFLMP273885</v>
      </c>
      <c r="E1274" s="103"/>
      <c r="F1274" s="103"/>
      <c r="G1274" s="103" t="str">
        <f>IFERROR(__xludf.DUMMYFUNCTION("""COMPUTED_VALUE"""),"Negative")</f>
        <v>Negative</v>
      </c>
      <c r="H1274" s="131" t="str">
        <f>IFERROR(__xludf.DUMMYFUNCTION("""COMPUTED_VALUE"""),"Negative")</f>
        <v>Negative</v>
      </c>
      <c r="I1274" s="468">
        <f>IFERROR(__xludf.DUMMYFUNCTION("""COMPUTED_VALUE"""),44697.0)</f>
        <v>44697</v>
      </c>
      <c r="J1274" s="470">
        <f>IFERROR(__xludf.DUMMYFUNCTION("""COMPUTED_VALUE"""),0.431099537037037)</f>
        <v>0.431099537</v>
      </c>
      <c r="K1274" s="16"/>
      <c r="L1274" s="8"/>
      <c r="M1274" s="69"/>
      <c r="N1274" s="69">
        <f>IFERROR(__xludf.DUMMYFUNCTION("""COMPUTED_VALUE"""),4.0)</f>
        <v>4</v>
      </c>
      <c r="O1274" s="69" t="str">
        <f t="shared" si="3"/>
        <v/>
      </c>
      <c r="P1274" s="471">
        <f>IFERROR(__xludf.DUMMYFUNCTION("""COMPUTED_VALUE"""),0.0)</f>
        <v>0</v>
      </c>
      <c r="Q1274" s="274" t="b">
        <f>VLOOKUP($B1274,'Run Reconcile'!B$2:O2488,14,FALSE)</f>
        <v>1</v>
      </c>
      <c r="R1274" s="472" t="str">
        <f t="array" ref="R1274">IF($Q1274, INDEX('Run Reconcile'!A$2:A2488,MATCH(B1274,'Run Reconcile'!B$2:B2488,0),1),IFERROR(0/0,""))</f>
        <v>RUN-FLMP_2022-05-16_RFR-138</v>
      </c>
      <c r="S1274" s="473" t="str">
        <f t="shared" si="694"/>
        <v/>
      </c>
      <c r="T1274" s="473" t="str">
        <f t="shared" si="698"/>
        <v/>
      </c>
      <c r="U1274" s="275" t="str">
        <f t="array" ref="U1274">IF(ISBLANK($R1274), INDEX('Run Reconcile'!A$2:A2488, MATCH($B1274, 'Run Reconcile'!B$2:B2488, 0)+Z1274, 1), IFERROR(0/0,""))
</f>
        <v/>
      </c>
      <c r="V1274" s="474" t="str">
        <f t="shared" si="5"/>
        <v>RUN-FLMP_2022-05-16_RFR-138</v>
      </c>
      <c r="Y1274" s="89" t="str">
        <f t="shared" si="1581"/>
        <v/>
      </c>
      <c r="Z1274" s="60" t="str">
        <f t="shared" si="7"/>
        <v/>
      </c>
      <c r="AA1274" s="60" t="str">
        <f t="shared" si="8"/>
        <v/>
      </c>
      <c r="AB1274" s="60" t="str">
        <f t="shared" si="9"/>
        <v/>
      </c>
      <c r="AC1274" s="30" t="str">
        <f t="shared" ref="AC1274:AD1274" si="1633">IF(_xlfn.ISFORMULA(S1274),IFERROR(0/0,""),TRUE)</f>
        <v/>
      </c>
      <c r="AD1274" s="30" t="str">
        <f t="shared" si="1633"/>
        <v/>
      </c>
      <c r="AE1274" s="475" t="str">
        <f>IFERROR(__xludf.DUMMYFUNCTION("""COMPUTED_VALUE"""),"CRLN")</f>
        <v>CRLN</v>
      </c>
      <c r="AF1274" s="476"/>
      <c r="AG1274" s="474" t="s">
        <v>217</v>
      </c>
      <c r="AH1274" s="138" t="str">
        <f t="shared" si="11"/>
        <v/>
      </c>
    </row>
    <row r="1275">
      <c r="A1275" s="103" t="str">
        <f>IFERROR(__xludf.DUMMYFUNCTION("""COMPUTED_VALUE"""),"AH7492")</f>
        <v>AH7492</v>
      </c>
      <c r="B1275" s="468">
        <f>IFERROR(__xludf.DUMMYFUNCTION("""COMPUTED_VALUE"""),44697.0)</f>
        <v>44697</v>
      </c>
      <c r="C1275" s="469">
        <f>IFERROR(__xludf.DUMMYFUNCTION("""COMPUTED_VALUE"""),0.3318171296296296)</f>
        <v>0.3318171296</v>
      </c>
      <c r="D1275" s="103" t="str">
        <f>IFERROR(__xludf.DUMMYFUNCTION("""COMPUTED_VALUE"""),"SpFLMP314549")</f>
        <v>SpFLMP314549</v>
      </c>
      <c r="E1275" s="103"/>
      <c r="F1275" s="103"/>
      <c r="G1275" s="103" t="str">
        <f>IFERROR(__xludf.DUMMYFUNCTION("""COMPUTED_VALUE"""),"Negative")</f>
        <v>Negative</v>
      </c>
      <c r="H1275" s="131" t="str">
        <f>IFERROR(__xludf.DUMMYFUNCTION("""COMPUTED_VALUE"""),"Negative")</f>
        <v>Negative</v>
      </c>
      <c r="I1275" s="468">
        <f>IFERROR(__xludf.DUMMYFUNCTION("""COMPUTED_VALUE"""),44697.0)</f>
        <v>44697</v>
      </c>
      <c r="J1275" s="470">
        <f>IFERROR(__xludf.DUMMYFUNCTION("""COMPUTED_VALUE"""),0.4619097222222222)</f>
        <v>0.4619097222</v>
      </c>
      <c r="K1275" s="16"/>
      <c r="L1275" s="8"/>
      <c r="M1275" s="69"/>
      <c r="N1275" s="69">
        <f>IFERROR(__xludf.DUMMYFUNCTION("""COMPUTED_VALUE"""),1.0)</f>
        <v>1</v>
      </c>
      <c r="O1275" s="69" t="str">
        <f t="shared" si="3"/>
        <v/>
      </c>
      <c r="P1275" s="471">
        <f>IFERROR(__xludf.DUMMYFUNCTION("""COMPUTED_VALUE"""),0.0)</f>
        <v>0</v>
      </c>
      <c r="Q1275" s="274" t="b">
        <f>VLOOKUP($B1275,'Run Reconcile'!B$2:O2488,14,FALSE)</f>
        <v>1</v>
      </c>
      <c r="R1275" s="472" t="str">
        <f t="array" ref="R1275">IF($Q1275, INDEX('Run Reconcile'!A$2:A2488,MATCH(B1275,'Run Reconcile'!B$2:B2488,0),1),IFERROR(0/0,""))</f>
        <v>RUN-FLMP_2022-05-16_RFR-138</v>
      </c>
      <c r="S1275" s="473" t="str">
        <f t="shared" si="694"/>
        <v/>
      </c>
      <c r="T1275" s="473" t="str">
        <f t="shared" si="698"/>
        <v/>
      </c>
      <c r="U1275" s="275" t="str">
        <f t="array" ref="U1275">IF(ISBLANK($R1275), INDEX('Run Reconcile'!A$2:A2488, MATCH($B1275, 'Run Reconcile'!B$2:B2488, 0)+Z1275, 1), IFERROR(0/0,""))
</f>
        <v/>
      </c>
      <c r="V1275" s="474" t="str">
        <f t="shared" si="5"/>
        <v>RUN-FLMP_2022-05-16_RFR-138</v>
      </c>
      <c r="Y1275" s="89" t="str">
        <f t="shared" si="1581"/>
        <v/>
      </c>
      <c r="Z1275" s="60" t="str">
        <f t="shared" si="7"/>
        <v/>
      </c>
      <c r="AA1275" s="60" t="str">
        <f t="shared" si="8"/>
        <v/>
      </c>
      <c r="AB1275" s="60" t="str">
        <f t="shared" si="9"/>
        <v/>
      </c>
      <c r="AC1275" s="30" t="str">
        <f t="shared" ref="AC1275:AD1275" si="1634">IF(_xlfn.ISFORMULA(S1275),IFERROR(0/0,""),TRUE)</f>
        <v/>
      </c>
      <c r="AD1275" s="30" t="str">
        <f t="shared" si="1634"/>
        <v/>
      </c>
      <c r="AE1275" s="475" t="str">
        <f>IFERROR(__xludf.DUMMYFUNCTION("""COMPUTED_VALUE"""),"CRLN")</f>
        <v>CRLN</v>
      </c>
      <c r="AF1275" s="476"/>
      <c r="AG1275" s="474" t="s">
        <v>217</v>
      </c>
      <c r="AH1275" s="138" t="str">
        <f t="shared" si="11"/>
        <v/>
      </c>
    </row>
    <row r="1276">
      <c r="A1276" s="103" t="str">
        <f>IFERROR(__xludf.DUMMYFUNCTION("""COMPUTED_VALUE"""),"AH9649")</f>
        <v>AH9649</v>
      </c>
      <c r="B1276" s="468">
        <f>IFERROR(__xludf.DUMMYFUNCTION("""COMPUTED_VALUE"""),44697.0)</f>
        <v>44697</v>
      </c>
      <c r="C1276" s="469">
        <f>IFERROR(__xludf.DUMMYFUNCTION("""COMPUTED_VALUE"""),0.34554398148148147)</f>
        <v>0.3455439815</v>
      </c>
      <c r="D1276" s="103" t="str">
        <f>IFERROR(__xludf.DUMMYFUNCTION("""COMPUTED_VALUE"""),"SpFLMP604497")</f>
        <v>SpFLMP604497</v>
      </c>
      <c r="E1276" s="103"/>
      <c r="F1276" s="103"/>
      <c r="G1276" s="103" t="str">
        <f>IFERROR(__xludf.DUMMYFUNCTION("""COMPUTED_VALUE"""),"Negative")</f>
        <v>Negative</v>
      </c>
      <c r="H1276" s="131" t="str">
        <f>IFERROR(__xludf.DUMMYFUNCTION("""COMPUTED_VALUE"""),"Negative")</f>
        <v>Negative</v>
      </c>
      <c r="I1276" s="468">
        <f>IFERROR(__xludf.DUMMYFUNCTION("""COMPUTED_VALUE"""),44697.0)</f>
        <v>44697</v>
      </c>
      <c r="J1276" s="470">
        <f>IFERROR(__xludf.DUMMYFUNCTION("""COMPUTED_VALUE"""),0.4619097222222222)</f>
        <v>0.4619097222</v>
      </c>
      <c r="K1276" s="16"/>
      <c r="L1276" s="8"/>
      <c r="M1276" s="69"/>
      <c r="N1276" s="69">
        <f>IFERROR(__xludf.DUMMYFUNCTION("""COMPUTED_VALUE"""),4.0)</f>
        <v>4</v>
      </c>
      <c r="O1276" s="69" t="str">
        <f t="shared" si="3"/>
        <v/>
      </c>
      <c r="P1276" s="471">
        <f>IFERROR(__xludf.DUMMYFUNCTION("""COMPUTED_VALUE"""),0.0)</f>
        <v>0</v>
      </c>
      <c r="Q1276" s="274" t="b">
        <f>VLOOKUP($B1276,'Run Reconcile'!B$2:O2488,14,FALSE)</f>
        <v>1</v>
      </c>
      <c r="R1276" s="472" t="str">
        <f t="array" ref="R1276">IF($Q1276, INDEX('Run Reconcile'!A$2:A2488,MATCH(B1276,'Run Reconcile'!B$2:B2488,0),1),IFERROR(0/0,""))</f>
        <v>RUN-FLMP_2022-05-16_RFR-138</v>
      </c>
      <c r="S1276" s="473" t="str">
        <f t="shared" si="694"/>
        <v/>
      </c>
      <c r="T1276" s="473" t="str">
        <f t="shared" si="698"/>
        <v/>
      </c>
      <c r="U1276" s="275" t="str">
        <f t="array" ref="U1276">IF(ISBLANK($R1276), INDEX('Run Reconcile'!A$2:A2488, MATCH($B1276, 'Run Reconcile'!B$2:B2488, 0)+Z1276, 1), IFERROR(0/0,""))
</f>
        <v/>
      </c>
      <c r="V1276" s="474" t="str">
        <f t="shared" si="5"/>
        <v>RUN-FLMP_2022-05-16_RFR-138</v>
      </c>
      <c r="Y1276" s="89" t="str">
        <f t="shared" si="1581"/>
        <v/>
      </c>
      <c r="Z1276" s="60" t="str">
        <f t="shared" si="7"/>
        <v/>
      </c>
      <c r="AA1276" s="60" t="str">
        <f t="shared" si="8"/>
        <v/>
      </c>
      <c r="AB1276" s="60" t="str">
        <f t="shared" si="9"/>
        <v/>
      </c>
      <c r="AC1276" s="30" t="str">
        <f t="shared" ref="AC1276:AD1276" si="1635">IF(_xlfn.ISFORMULA(S1276),IFERROR(0/0,""),TRUE)</f>
        <v/>
      </c>
      <c r="AD1276" s="30" t="str">
        <f t="shared" si="1635"/>
        <v/>
      </c>
      <c r="AE1276" s="475" t="str">
        <f>IFERROR(__xludf.DUMMYFUNCTION("""COMPUTED_VALUE"""),"CRLN")</f>
        <v>CRLN</v>
      </c>
      <c r="AF1276" s="476"/>
      <c r="AG1276" s="474" t="s">
        <v>217</v>
      </c>
      <c r="AH1276" s="138" t="str">
        <f t="shared" si="11"/>
        <v/>
      </c>
    </row>
    <row r="1277">
      <c r="A1277" s="103" t="str">
        <f>IFERROR(__xludf.DUMMYFUNCTION("""COMPUTED_VALUE"""),"AK5521")</f>
        <v>AK5521</v>
      </c>
      <c r="B1277" s="468">
        <f>IFERROR(__xludf.DUMMYFUNCTION("""COMPUTED_VALUE"""),44697.0)</f>
        <v>44697</v>
      </c>
      <c r="C1277" s="469">
        <f>IFERROR(__xludf.DUMMYFUNCTION("""COMPUTED_VALUE"""),0.35060185185185183)</f>
        <v>0.3506018519</v>
      </c>
      <c r="D1277" s="103" t="str">
        <f>IFERROR(__xludf.DUMMYFUNCTION("""COMPUTED_VALUE"""),"SpFLMP268514")</f>
        <v>SpFLMP268514</v>
      </c>
      <c r="E1277" s="103"/>
      <c r="F1277" s="103"/>
      <c r="G1277" s="103" t="str">
        <f>IFERROR(__xludf.DUMMYFUNCTION("""COMPUTED_VALUE"""),"Negative")</f>
        <v>Negative</v>
      </c>
      <c r="H1277" s="131" t="str">
        <f>IFERROR(__xludf.DUMMYFUNCTION("""COMPUTED_VALUE"""),"Negative")</f>
        <v>Negative</v>
      </c>
      <c r="I1277" s="468">
        <f>IFERROR(__xludf.DUMMYFUNCTION("""COMPUTED_VALUE"""),44697.0)</f>
        <v>44697</v>
      </c>
      <c r="J1277" s="470">
        <f>IFERROR(__xludf.DUMMYFUNCTION("""COMPUTED_VALUE"""),0.431099537037037)</f>
        <v>0.431099537</v>
      </c>
      <c r="K1277" s="16"/>
      <c r="L1277" s="8"/>
      <c r="M1277" s="69"/>
      <c r="N1277" s="69">
        <f>IFERROR(__xludf.DUMMYFUNCTION("""COMPUTED_VALUE"""),2.0)</f>
        <v>2</v>
      </c>
      <c r="O1277" s="69" t="str">
        <f t="shared" si="3"/>
        <v/>
      </c>
      <c r="P1277" s="471">
        <f>IFERROR(__xludf.DUMMYFUNCTION("""COMPUTED_VALUE"""),0.0)</f>
        <v>0</v>
      </c>
      <c r="Q1277" s="274" t="b">
        <f>VLOOKUP($B1277,'Run Reconcile'!B$2:O2488,14,FALSE)</f>
        <v>1</v>
      </c>
      <c r="R1277" s="472" t="str">
        <f t="array" ref="R1277">IF($Q1277, INDEX('Run Reconcile'!A$2:A2488,MATCH(B1277,'Run Reconcile'!B$2:B2488,0),1),IFERROR(0/0,""))</f>
        <v>RUN-FLMP_2022-05-16_RFR-138</v>
      </c>
      <c r="S1277" s="473" t="str">
        <f t="shared" si="694"/>
        <v/>
      </c>
      <c r="T1277" s="473" t="str">
        <f t="shared" si="698"/>
        <v/>
      </c>
      <c r="U1277" s="275" t="str">
        <f t="array" ref="U1277">IF(ISBLANK($R1277), INDEX('Run Reconcile'!A$2:A2488, MATCH($B1277, 'Run Reconcile'!B$2:B2488, 0)+Z1277, 1), IFERROR(0/0,""))
</f>
        <v/>
      </c>
      <c r="V1277" s="474" t="str">
        <f t="shared" si="5"/>
        <v>RUN-FLMP_2022-05-16_RFR-138</v>
      </c>
      <c r="Y1277" s="89" t="str">
        <f t="shared" si="1581"/>
        <v/>
      </c>
      <c r="Z1277" s="60" t="str">
        <f t="shared" si="7"/>
        <v/>
      </c>
      <c r="AA1277" s="60" t="str">
        <f t="shared" si="8"/>
        <v/>
      </c>
      <c r="AB1277" s="60" t="str">
        <f t="shared" si="9"/>
        <v/>
      </c>
      <c r="AC1277" s="30" t="str">
        <f t="shared" ref="AC1277:AD1277" si="1636">IF(_xlfn.ISFORMULA(S1277),IFERROR(0/0,""),TRUE)</f>
        <v/>
      </c>
      <c r="AD1277" s="30" t="str">
        <f t="shared" si="1636"/>
        <v/>
      </c>
      <c r="AE1277" s="475" t="str">
        <f>IFERROR(__xludf.DUMMYFUNCTION("""COMPUTED_VALUE"""),"CRLN")</f>
        <v>CRLN</v>
      </c>
      <c r="AF1277" s="476"/>
      <c r="AG1277" s="474" t="s">
        <v>217</v>
      </c>
      <c r="AH1277" s="138" t="str">
        <f t="shared" si="11"/>
        <v/>
      </c>
    </row>
    <row r="1278">
      <c r="A1278" s="103" t="str">
        <f>IFERROR(__xludf.DUMMYFUNCTION("""COMPUTED_VALUE"""),"AJ5313")</f>
        <v>AJ5313</v>
      </c>
      <c r="B1278" s="468">
        <f>IFERROR(__xludf.DUMMYFUNCTION("""COMPUTED_VALUE"""),44697.0)</f>
        <v>44697</v>
      </c>
      <c r="C1278" s="469">
        <f>IFERROR(__xludf.DUMMYFUNCTION("""COMPUTED_VALUE"""),0.3521064814814815)</f>
        <v>0.3521064815</v>
      </c>
      <c r="D1278" s="103" t="str">
        <f>IFERROR(__xludf.DUMMYFUNCTION("""COMPUTED_VALUE"""),"SpFLMP309785")</f>
        <v>SpFLMP309785</v>
      </c>
      <c r="E1278" s="103"/>
      <c r="F1278" s="103"/>
      <c r="G1278" s="103" t="str">
        <f>IFERROR(__xludf.DUMMYFUNCTION("""COMPUTED_VALUE"""),"Negative")</f>
        <v>Negative</v>
      </c>
      <c r="H1278" s="131" t="str">
        <f>IFERROR(__xludf.DUMMYFUNCTION("""COMPUTED_VALUE"""),"Negative")</f>
        <v>Negative</v>
      </c>
      <c r="I1278" s="468">
        <f>IFERROR(__xludf.DUMMYFUNCTION("""COMPUTED_VALUE"""),44697.0)</f>
        <v>44697</v>
      </c>
      <c r="J1278" s="470">
        <f>IFERROR(__xludf.DUMMYFUNCTION("""COMPUTED_VALUE"""),0.431099537037037)</f>
        <v>0.431099537</v>
      </c>
      <c r="K1278" s="16"/>
      <c r="L1278" s="8"/>
      <c r="M1278" s="69"/>
      <c r="N1278" s="69">
        <f>IFERROR(__xludf.DUMMYFUNCTION("""COMPUTED_VALUE"""),2.0)</f>
        <v>2</v>
      </c>
      <c r="O1278" s="69" t="str">
        <f t="shared" si="3"/>
        <v/>
      </c>
      <c r="P1278" s="471">
        <f>IFERROR(__xludf.DUMMYFUNCTION("""COMPUTED_VALUE"""),0.0)</f>
        <v>0</v>
      </c>
      <c r="Q1278" s="274" t="b">
        <f>VLOOKUP($B1278,'Run Reconcile'!B$2:O2488,14,FALSE)</f>
        <v>1</v>
      </c>
      <c r="R1278" s="472" t="str">
        <f t="array" ref="R1278">IF($Q1278, INDEX('Run Reconcile'!A$2:A2488,MATCH(B1278,'Run Reconcile'!B$2:B2488,0),1),IFERROR(0/0,""))</f>
        <v>RUN-FLMP_2022-05-16_RFR-138</v>
      </c>
      <c r="S1278" s="473" t="str">
        <f t="shared" si="694"/>
        <v/>
      </c>
      <c r="T1278" s="473" t="str">
        <f t="shared" si="698"/>
        <v/>
      </c>
      <c r="U1278" s="275" t="str">
        <f t="array" ref="U1278">IF(ISBLANK($R1278), INDEX('Run Reconcile'!A$2:A2488, MATCH($B1278, 'Run Reconcile'!B$2:B2488, 0)+Z1278, 1), IFERROR(0/0,""))
</f>
        <v/>
      </c>
      <c r="V1278" s="474" t="str">
        <f t="shared" si="5"/>
        <v>RUN-FLMP_2022-05-16_RFR-138</v>
      </c>
      <c r="Y1278" s="89" t="str">
        <f t="shared" si="1581"/>
        <v/>
      </c>
      <c r="Z1278" s="60" t="str">
        <f t="shared" si="7"/>
        <v/>
      </c>
      <c r="AA1278" s="60" t="str">
        <f t="shared" si="8"/>
        <v/>
      </c>
      <c r="AB1278" s="60" t="str">
        <f t="shared" si="9"/>
        <v/>
      </c>
      <c r="AC1278" s="30" t="str">
        <f t="shared" ref="AC1278:AD1278" si="1637">IF(_xlfn.ISFORMULA(S1278),IFERROR(0/0,""),TRUE)</f>
        <v/>
      </c>
      <c r="AD1278" s="30" t="str">
        <f t="shared" si="1637"/>
        <v/>
      </c>
      <c r="AE1278" s="475" t="str">
        <f>IFERROR(__xludf.DUMMYFUNCTION("""COMPUTED_VALUE"""),"CRLN")</f>
        <v>CRLN</v>
      </c>
      <c r="AF1278" s="476"/>
      <c r="AG1278" s="474" t="s">
        <v>217</v>
      </c>
      <c r="AH1278" s="138" t="str">
        <f t="shared" si="11"/>
        <v/>
      </c>
    </row>
    <row r="1279">
      <c r="A1279" s="103" t="str">
        <f>IFERROR(__xludf.DUMMYFUNCTION("""COMPUTED_VALUE"""),"AH150")</f>
        <v>AH150</v>
      </c>
      <c r="B1279" s="468">
        <f>IFERROR(__xludf.DUMMYFUNCTION("""COMPUTED_VALUE"""),44697.0)</f>
        <v>44697</v>
      </c>
      <c r="C1279" s="469">
        <f>IFERROR(__xludf.DUMMYFUNCTION("""COMPUTED_VALUE"""),0.3562962962962963)</f>
        <v>0.3562962963</v>
      </c>
      <c r="D1279" s="103" t="str">
        <f>IFERROR(__xludf.DUMMYFUNCTION("""COMPUTED_VALUE"""),"SpFLMP683554")</f>
        <v>SpFLMP683554</v>
      </c>
      <c r="E1279" s="103"/>
      <c r="F1279" s="103"/>
      <c r="G1279" s="103" t="str">
        <f>IFERROR(__xludf.DUMMYFUNCTION("""COMPUTED_VALUE"""),"Negative")</f>
        <v>Negative</v>
      </c>
      <c r="H1279" s="131" t="str">
        <f>IFERROR(__xludf.DUMMYFUNCTION("""COMPUTED_VALUE"""),"Negative")</f>
        <v>Negative</v>
      </c>
      <c r="I1279" s="468">
        <f>IFERROR(__xludf.DUMMYFUNCTION("""COMPUTED_VALUE"""),44697.0)</f>
        <v>44697</v>
      </c>
      <c r="J1279" s="470">
        <f>IFERROR(__xludf.DUMMYFUNCTION("""COMPUTED_VALUE"""),0.4619097222222222)</f>
        <v>0.4619097222</v>
      </c>
      <c r="K1279" s="16"/>
      <c r="L1279" s="8"/>
      <c r="M1279" s="69"/>
      <c r="N1279" s="69">
        <f>IFERROR(__xludf.DUMMYFUNCTION("""COMPUTED_VALUE"""),1.0)</f>
        <v>1</v>
      </c>
      <c r="O1279" s="69" t="str">
        <f t="shared" si="3"/>
        <v/>
      </c>
      <c r="P1279" s="471">
        <f>IFERROR(__xludf.DUMMYFUNCTION("""COMPUTED_VALUE"""),0.0)</f>
        <v>0</v>
      </c>
      <c r="Q1279" s="274" t="b">
        <f>VLOOKUP($B1279,'Run Reconcile'!B$2:O2488,14,FALSE)</f>
        <v>1</v>
      </c>
      <c r="R1279" s="472" t="str">
        <f t="array" ref="R1279">IF($Q1279, INDEX('Run Reconcile'!A$2:A2488,MATCH(B1279,'Run Reconcile'!B$2:B2488,0),1),IFERROR(0/0,""))</f>
        <v>RUN-FLMP_2022-05-16_RFR-138</v>
      </c>
      <c r="S1279" s="473" t="str">
        <f t="shared" si="694"/>
        <v/>
      </c>
      <c r="T1279" s="473" t="str">
        <f t="shared" si="698"/>
        <v/>
      </c>
      <c r="U1279" s="275" t="str">
        <f t="array" ref="U1279">IF(ISBLANK($R1279), INDEX('Run Reconcile'!A$2:A2488, MATCH($B1279, 'Run Reconcile'!B$2:B2488, 0)+Z1279, 1), IFERROR(0/0,""))
</f>
        <v/>
      </c>
      <c r="V1279" s="474" t="str">
        <f t="shared" si="5"/>
        <v>RUN-FLMP_2022-05-16_RFR-138</v>
      </c>
      <c r="Y1279" s="89" t="str">
        <f t="shared" si="1581"/>
        <v/>
      </c>
      <c r="Z1279" s="60" t="str">
        <f t="shared" si="7"/>
        <v/>
      </c>
      <c r="AA1279" s="60" t="str">
        <f t="shared" si="8"/>
        <v/>
      </c>
      <c r="AB1279" s="60" t="str">
        <f t="shared" si="9"/>
        <v/>
      </c>
      <c r="AC1279" s="30" t="str">
        <f t="shared" ref="AC1279:AD1279" si="1638">IF(_xlfn.ISFORMULA(S1279),IFERROR(0/0,""),TRUE)</f>
        <v/>
      </c>
      <c r="AD1279" s="30" t="str">
        <f t="shared" si="1638"/>
        <v/>
      </c>
      <c r="AE1279" s="475" t="str">
        <f>IFERROR(__xludf.DUMMYFUNCTION("""COMPUTED_VALUE"""),"CRLN")</f>
        <v>CRLN</v>
      </c>
      <c r="AF1279" s="476"/>
      <c r="AG1279" s="474" t="s">
        <v>217</v>
      </c>
      <c r="AH1279" s="138" t="str">
        <f t="shared" si="11"/>
        <v/>
      </c>
    </row>
    <row r="1280">
      <c r="A1280" s="103" t="str">
        <f>IFERROR(__xludf.DUMMYFUNCTION("""COMPUTED_VALUE"""),"FLE270")</f>
        <v>FLE270</v>
      </c>
      <c r="B1280" s="468">
        <f>IFERROR(__xludf.DUMMYFUNCTION("""COMPUTED_VALUE"""),44697.0)</f>
        <v>44697</v>
      </c>
      <c r="C1280" s="469">
        <f>IFERROR(__xludf.DUMMYFUNCTION("""COMPUTED_VALUE"""),0.3600462962962963)</f>
        <v>0.3600462963</v>
      </c>
      <c r="D1280" s="103" t="str">
        <f>IFERROR(__xludf.DUMMYFUNCTION("""COMPUTED_VALUE"""),"SpFLMP684798")</f>
        <v>SpFLMP684798</v>
      </c>
      <c r="E1280" s="103"/>
      <c r="F1280" s="103"/>
      <c r="G1280" s="103" t="str">
        <f>IFERROR(__xludf.DUMMYFUNCTION("""COMPUTED_VALUE"""),"Negative")</f>
        <v>Negative</v>
      </c>
      <c r="H1280" s="131" t="str">
        <f>IFERROR(__xludf.DUMMYFUNCTION("""COMPUTED_VALUE"""),"Negative")</f>
        <v>Negative</v>
      </c>
      <c r="I1280" s="468">
        <f>IFERROR(__xludf.DUMMYFUNCTION("""COMPUTED_VALUE"""),44697.0)</f>
        <v>44697</v>
      </c>
      <c r="J1280" s="470">
        <f>IFERROR(__xludf.DUMMYFUNCTION("""COMPUTED_VALUE"""),0.431099537037037)</f>
        <v>0.431099537</v>
      </c>
      <c r="K1280" s="16"/>
      <c r="L1280" s="8"/>
      <c r="M1280" s="69"/>
      <c r="N1280" s="69">
        <f>IFERROR(__xludf.DUMMYFUNCTION("""COMPUTED_VALUE"""),4.0)</f>
        <v>4</v>
      </c>
      <c r="O1280" s="69" t="str">
        <f t="shared" si="3"/>
        <v/>
      </c>
      <c r="P1280" s="471">
        <f>IFERROR(__xludf.DUMMYFUNCTION("""COMPUTED_VALUE"""),0.0)</f>
        <v>0</v>
      </c>
      <c r="Q1280" s="274" t="b">
        <f>VLOOKUP($B1280,'Run Reconcile'!B$2:O2488,14,FALSE)</f>
        <v>1</v>
      </c>
      <c r="R1280" s="472" t="str">
        <f t="array" ref="R1280">IF($Q1280, INDEX('Run Reconcile'!A$2:A2488,MATCH(B1280,'Run Reconcile'!B$2:B2488,0),1),IFERROR(0/0,""))</f>
        <v>RUN-FLMP_2022-05-16_RFR-138</v>
      </c>
      <c r="S1280" s="473" t="str">
        <f t="shared" si="694"/>
        <v/>
      </c>
      <c r="T1280" s="473" t="str">
        <f t="shared" si="698"/>
        <v/>
      </c>
      <c r="U1280" s="275" t="str">
        <f t="array" ref="U1280">IF(ISBLANK($R1280), INDEX('Run Reconcile'!A$2:A2488, MATCH($B1280, 'Run Reconcile'!B$2:B2488, 0)+Z1280, 1), IFERROR(0/0,""))
</f>
        <v/>
      </c>
      <c r="V1280" s="474" t="str">
        <f t="shared" si="5"/>
        <v>RUN-FLMP_2022-05-16_RFR-138</v>
      </c>
      <c r="Y1280" s="89" t="str">
        <f t="shared" si="1581"/>
        <v/>
      </c>
      <c r="Z1280" s="60" t="str">
        <f t="shared" si="7"/>
        <v/>
      </c>
      <c r="AA1280" s="60" t="str">
        <f t="shared" si="8"/>
        <v/>
      </c>
      <c r="AB1280" s="60" t="str">
        <f t="shared" si="9"/>
        <v/>
      </c>
      <c r="AC1280" s="30" t="str">
        <f t="shared" ref="AC1280:AD1280" si="1639">IF(_xlfn.ISFORMULA(S1280),IFERROR(0/0,""),TRUE)</f>
        <v/>
      </c>
      <c r="AD1280" s="30" t="str">
        <f t="shared" si="1639"/>
        <v/>
      </c>
      <c r="AE1280" s="475" t="str">
        <f>IFERROR(__xludf.DUMMYFUNCTION("""COMPUTED_VALUE"""),"CRLN")</f>
        <v>CRLN</v>
      </c>
      <c r="AF1280" s="476"/>
      <c r="AG1280" s="474" t="s">
        <v>217</v>
      </c>
      <c r="AH1280" s="138" t="str">
        <f t="shared" si="11"/>
        <v/>
      </c>
    </row>
    <row r="1281">
      <c r="A1281" s="103" t="str">
        <f>IFERROR(__xludf.DUMMYFUNCTION("""COMPUTED_VALUE"""),"AG1998")</f>
        <v>AG1998</v>
      </c>
      <c r="B1281" s="468">
        <f>IFERROR(__xludf.DUMMYFUNCTION("""COMPUTED_VALUE"""),44697.0)</f>
        <v>44697</v>
      </c>
      <c r="C1281" s="469">
        <f>IFERROR(__xludf.DUMMYFUNCTION("""COMPUTED_VALUE"""),0.3605787037037037)</f>
        <v>0.3605787037</v>
      </c>
      <c r="D1281" s="103" t="str">
        <f>IFERROR(__xludf.DUMMYFUNCTION("""COMPUTED_VALUE"""),"SpFLMP271329")</f>
        <v>SpFLMP271329</v>
      </c>
      <c r="E1281" s="103"/>
      <c r="F1281" s="103"/>
      <c r="G1281" s="103" t="str">
        <f>IFERROR(__xludf.DUMMYFUNCTION("""COMPUTED_VALUE"""),"Negative")</f>
        <v>Negative</v>
      </c>
      <c r="H1281" s="131" t="str">
        <f>IFERROR(__xludf.DUMMYFUNCTION("""COMPUTED_VALUE"""),"Negative")</f>
        <v>Negative</v>
      </c>
      <c r="I1281" s="468">
        <f>IFERROR(__xludf.DUMMYFUNCTION("""COMPUTED_VALUE"""),44697.0)</f>
        <v>44697</v>
      </c>
      <c r="J1281" s="470">
        <f>IFERROR(__xludf.DUMMYFUNCTION("""COMPUTED_VALUE"""),0.4311111111111111)</f>
        <v>0.4311111111</v>
      </c>
      <c r="K1281" s="16"/>
      <c r="L1281" s="8"/>
      <c r="M1281" s="69"/>
      <c r="N1281" s="69">
        <f>IFERROR(__xludf.DUMMYFUNCTION("""COMPUTED_VALUE"""),1.0)</f>
        <v>1</v>
      </c>
      <c r="O1281" s="69" t="str">
        <f t="shared" si="3"/>
        <v/>
      </c>
      <c r="P1281" s="471">
        <f>IFERROR(__xludf.DUMMYFUNCTION("""COMPUTED_VALUE"""),0.0)</f>
        <v>0</v>
      </c>
      <c r="Q1281" s="274" t="b">
        <f>VLOOKUP($B1281,'Run Reconcile'!B$2:O2488,14,FALSE)</f>
        <v>1</v>
      </c>
      <c r="R1281" s="472" t="str">
        <f t="array" ref="R1281">IF($Q1281, INDEX('Run Reconcile'!A$2:A2488,MATCH(B1281,'Run Reconcile'!B$2:B2488,0),1),IFERROR(0/0,""))</f>
        <v>RUN-FLMP_2022-05-16_RFR-138</v>
      </c>
      <c r="S1281" s="473" t="str">
        <f t="shared" si="694"/>
        <v/>
      </c>
      <c r="T1281" s="473" t="str">
        <f t="shared" si="698"/>
        <v/>
      </c>
      <c r="U1281" s="275" t="str">
        <f t="array" ref="U1281">IF(ISBLANK($R1281), INDEX('Run Reconcile'!A$2:A2488, MATCH($B1281, 'Run Reconcile'!B$2:B2488, 0)+Z1281, 1), IFERROR(0/0,""))
</f>
        <v/>
      </c>
      <c r="V1281" s="474" t="str">
        <f t="shared" si="5"/>
        <v>RUN-FLMP_2022-05-16_RFR-138</v>
      </c>
      <c r="Y1281" s="89" t="str">
        <f t="shared" si="1581"/>
        <v/>
      </c>
      <c r="Z1281" s="60" t="str">
        <f t="shared" si="7"/>
        <v/>
      </c>
      <c r="AA1281" s="60" t="str">
        <f t="shared" si="8"/>
        <v/>
      </c>
      <c r="AB1281" s="60" t="str">
        <f t="shared" si="9"/>
        <v/>
      </c>
      <c r="AC1281" s="30" t="str">
        <f t="shared" ref="AC1281:AD1281" si="1640">IF(_xlfn.ISFORMULA(S1281),IFERROR(0/0,""),TRUE)</f>
        <v/>
      </c>
      <c r="AD1281" s="30" t="str">
        <f t="shared" si="1640"/>
        <v/>
      </c>
      <c r="AE1281" s="475" t="str">
        <f>IFERROR(__xludf.DUMMYFUNCTION("""COMPUTED_VALUE"""),"CRLN")</f>
        <v>CRLN</v>
      </c>
      <c r="AF1281" s="476"/>
      <c r="AG1281" s="474" t="s">
        <v>217</v>
      </c>
      <c r="AH1281" s="138" t="str">
        <f t="shared" si="11"/>
        <v/>
      </c>
    </row>
    <row r="1282">
      <c r="A1282" s="103" t="str">
        <f>IFERROR(__xludf.DUMMYFUNCTION("""COMPUTED_VALUE"""),"AH1641")</f>
        <v>AH1641</v>
      </c>
      <c r="B1282" s="468">
        <f>IFERROR(__xludf.DUMMYFUNCTION("""COMPUTED_VALUE"""),44697.0)</f>
        <v>44697</v>
      </c>
      <c r="C1282" s="469">
        <f>IFERROR(__xludf.DUMMYFUNCTION("""COMPUTED_VALUE"""),0.36162037037037037)</f>
        <v>0.3616203704</v>
      </c>
      <c r="D1282" s="103" t="str">
        <f>IFERROR(__xludf.DUMMYFUNCTION("""COMPUTED_VALUE"""),"SpFLMP600756")</f>
        <v>SpFLMP600756</v>
      </c>
      <c r="E1282" s="103"/>
      <c r="F1282" s="103"/>
      <c r="G1282" s="103" t="str">
        <f>IFERROR(__xludf.DUMMYFUNCTION("""COMPUTED_VALUE"""),"Negative")</f>
        <v>Negative</v>
      </c>
      <c r="H1282" s="131" t="str">
        <f>IFERROR(__xludf.DUMMYFUNCTION("""COMPUTED_VALUE"""),"Negative")</f>
        <v>Negative</v>
      </c>
      <c r="I1282" s="468">
        <f>IFERROR(__xludf.DUMMYFUNCTION("""COMPUTED_VALUE"""),44697.0)</f>
        <v>44697</v>
      </c>
      <c r="J1282" s="470">
        <f>IFERROR(__xludf.DUMMYFUNCTION("""COMPUTED_VALUE"""),0.4311111111111111)</f>
        <v>0.4311111111</v>
      </c>
      <c r="K1282" s="16"/>
      <c r="L1282" s="8"/>
      <c r="M1282" s="69"/>
      <c r="N1282" s="69">
        <f>IFERROR(__xludf.DUMMYFUNCTION("""COMPUTED_VALUE"""),2.0)</f>
        <v>2</v>
      </c>
      <c r="O1282" s="69" t="str">
        <f t="shared" si="3"/>
        <v/>
      </c>
      <c r="P1282" s="471">
        <f>IFERROR(__xludf.DUMMYFUNCTION("""COMPUTED_VALUE"""),0.0)</f>
        <v>0</v>
      </c>
      <c r="Q1282" s="274" t="b">
        <f>VLOOKUP($B1282,'Run Reconcile'!B$2:O2488,14,FALSE)</f>
        <v>1</v>
      </c>
      <c r="R1282" s="472" t="str">
        <f t="array" ref="R1282">IF($Q1282, INDEX('Run Reconcile'!A$2:A2488,MATCH(B1282,'Run Reconcile'!B$2:B2488,0),1),IFERROR(0/0,""))</f>
        <v>RUN-FLMP_2022-05-16_RFR-138</v>
      </c>
      <c r="S1282" s="473" t="str">
        <f t="shared" si="694"/>
        <v/>
      </c>
      <c r="T1282" s="473" t="str">
        <f t="shared" si="698"/>
        <v/>
      </c>
      <c r="U1282" s="275" t="str">
        <f t="array" ref="U1282">IF(ISBLANK($R1282), INDEX('Run Reconcile'!A$2:A2488, MATCH($B1282, 'Run Reconcile'!B$2:B2488, 0)+Z1282, 1), IFERROR(0/0,""))
</f>
        <v/>
      </c>
      <c r="V1282" s="474" t="str">
        <f t="shared" si="5"/>
        <v>RUN-FLMP_2022-05-16_RFR-138</v>
      </c>
      <c r="Y1282" s="89" t="str">
        <f t="shared" si="1581"/>
        <v/>
      </c>
      <c r="Z1282" s="60" t="str">
        <f t="shared" si="7"/>
        <v/>
      </c>
      <c r="AA1282" s="60" t="str">
        <f t="shared" si="8"/>
        <v/>
      </c>
      <c r="AB1282" s="60" t="str">
        <f t="shared" si="9"/>
        <v/>
      </c>
      <c r="AC1282" s="30" t="str">
        <f t="shared" ref="AC1282:AD1282" si="1641">IF(_xlfn.ISFORMULA(S1282),IFERROR(0/0,""),TRUE)</f>
        <v/>
      </c>
      <c r="AD1282" s="30" t="str">
        <f t="shared" si="1641"/>
        <v/>
      </c>
      <c r="AE1282" s="475" t="str">
        <f>IFERROR(__xludf.DUMMYFUNCTION("""COMPUTED_VALUE"""),"CRLN")</f>
        <v>CRLN</v>
      </c>
      <c r="AF1282" s="476"/>
      <c r="AG1282" s="474" t="s">
        <v>217</v>
      </c>
      <c r="AH1282" s="138" t="str">
        <f t="shared" si="11"/>
        <v/>
      </c>
    </row>
    <row r="1283">
      <c r="A1283" s="103" t="str">
        <f>IFERROR(__xludf.DUMMYFUNCTION("""COMPUTED_VALUE"""),"AJ7952")</f>
        <v>AJ7952</v>
      </c>
      <c r="B1283" s="468">
        <f>IFERROR(__xludf.DUMMYFUNCTION("""COMPUTED_VALUE"""),44697.0)</f>
        <v>44697</v>
      </c>
      <c r="C1283" s="469">
        <f>IFERROR(__xludf.DUMMYFUNCTION("""COMPUTED_VALUE"""),0.36625)</f>
        <v>0.36625</v>
      </c>
      <c r="D1283" s="103" t="str">
        <f>IFERROR(__xludf.DUMMYFUNCTION("""COMPUTED_VALUE"""),"SpFLMP496039")</f>
        <v>SpFLMP496039</v>
      </c>
      <c r="E1283" s="103"/>
      <c r="F1283" s="103"/>
      <c r="G1283" s="103" t="str">
        <f>IFERROR(__xludf.DUMMYFUNCTION("""COMPUTED_VALUE"""),"Negative")</f>
        <v>Negative</v>
      </c>
      <c r="H1283" s="131" t="str">
        <f>IFERROR(__xludf.DUMMYFUNCTION("""COMPUTED_VALUE"""),"Negative")</f>
        <v>Negative</v>
      </c>
      <c r="I1283" s="468">
        <f>IFERROR(__xludf.DUMMYFUNCTION("""COMPUTED_VALUE"""),44697.0)</f>
        <v>44697</v>
      </c>
      <c r="J1283" s="470">
        <f>IFERROR(__xludf.DUMMYFUNCTION("""COMPUTED_VALUE"""),0.4311111111111111)</f>
        <v>0.4311111111</v>
      </c>
      <c r="K1283" s="16"/>
      <c r="L1283" s="8"/>
      <c r="M1283" s="69"/>
      <c r="N1283" s="69">
        <f>IFERROR(__xludf.DUMMYFUNCTION("""COMPUTED_VALUE"""),1.0)</f>
        <v>1</v>
      </c>
      <c r="O1283" s="69" t="str">
        <f t="shared" si="3"/>
        <v/>
      </c>
      <c r="P1283" s="471">
        <f>IFERROR(__xludf.DUMMYFUNCTION("""COMPUTED_VALUE"""),0.0)</f>
        <v>0</v>
      </c>
      <c r="Q1283" s="274" t="b">
        <f>VLOOKUP($B1283,'Run Reconcile'!B$2:O2488,14,FALSE)</f>
        <v>1</v>
      </c>
      <c r="R1283" s="472" t="str">
        <f t="array" ref="R1283">IF($Q1283, INDEX('Run Reconcile'!A$2:A2488,MATCH(B1283,'Run Reconcile'!B$2:B2488,0),1),IFERROR(0/0,""))</f>
        <v>RUN-FLMP_2022-05-16_RFR-138</v>
      </c>
      <c r="S1283" s="473" t="str">
        <f t="shared" si="694"/>
        <v/>
      </c>
      <c r="T1283" s="473" t="str">
        <f t="shared" si="698"/>
        <v/>
      </c>
      <c r="U1283" s="275" t="str">
        <f t="array" ref="U1283">IF(ISBLANK($R1283), INDEX('Run Reconcile'!A$2:A2488, MATCH($B1283, 'Run Reconcile'!B$2:B2488, 0)+Z1283, 1), IFERROR(0/0,""))
</f>
        <v/>
      </c>
      <c r="V1283" s="474" t="str">
        <f t="shared" si="5"/>
        <v>RUN-FLMP_2022-05-16_RFR-138</v>
      </c>
      <c r="Y1283" s="89" t="str">
        <f t="shared" si="1581"/>
        <v/>
      </c>
      <c r="Z1283" s="60" t="str">
        <f t="shared" si="7"/>
        <v/>
      </c>
      <c r="AA1283" s="60" t="str">
        <f t="shared" si="8"/>
        <v/>
      </c>
      <c r="AB1283" s="60" t="str">
        <f t="shared" si="9"/>
        <v/>
      </c>
      <c r="AC1283" s="30" t="str">
        <f t="shared" ref="AC1283:AD1283" si="1642">IF(_xlfn.ISFORMULA(S1283),IFERROR(0/0,""),TRUE)</f>
        <v/>
      </c>
      <c r="AD1283" s="30" t="str">
        <f t="shared" si="1642"/>
        <v/>
      </c>
      <c r="AE1283" s="475" t="str">
        <f>IFERROR(__xludf.DUMMYFUNCTION("""COMPUTED_VALUE"""),"FLSP")</f>
        <v>FLSP</v>
      </c>
      <c r="AF1283" s="476"/>
      <c r="AG1283" s="474" t="s">
        <v>217</v>
      </c>
      <c r="AH1283" s="138" t="str">
        <f t="shared" si="11"/>
        <v/>
      </c>
    </row>
    <row r="1284">
      <c r="A1284" s="103" t="str">
        <f>IFERROR(__xludf.DUMMYFUNCTION("""COMPUTED_VALUE"""),"FLE879")</f>
        <v>FLE879</v>
      </c>
      <c r="B1284" s="468">
        <f>IFERROR(__xludf.DUMMYFUNCTION("""COMPUTED_VALUE"""),44697.0)</f>
        <v>44697</v>
      </c>
      <c r="C1284" s="469">
        <f>IFERROR(__xludf.DUMMYFUNCTION("""COMPUTED_VALUE"""),0.3664236111111111)</f>
        <v>0.3664236111</v>
      </c>
      <c r="D1284" s="103" t="str">
        <f>IFERROR(__xludf.DUMMYFUNCTION("""COMPUTED_VALUE"""),"SpFLMP649771")</f>
        <v>SpFLMP649771</v>
      </c>
      <c r="E1284" s="103"/>
      <c r="F1284" s="103"/>
      <c r="G1284" s="103" t="str">
        <f>IFERROR(__xludf.DUMMYFUNCTION("""COMPUTED_VALUE"""),"Negative")</f>
        <v>Negative</v>
      </c>
      <c r="H1284" s="131" t="str">
        <f>IFERROR(__xludf.DUMMYFUNCTION("""COMPUTED_VALUE"""),"Negative")</f>
        <v>Negative</v>
      </c>
      <c r="I1284" s="468">
        <f>IFERROR(__xludf.DUMMYFUNCTION("""COMPUTED_VALUE"""),44697.0)</f>
        <v>44697</v>
      </c>
      <c r="J1284" s="470">
        <f>IFERROR(__xludf.DUMMYFUNCTION("""COMPUTED_VALUE"""),0.4311111111111111)</f>
        <v>0.4311111111</v>
      </c>
      <c r="K1284" s="16"/>
      <c r="L1284" s="8"/>
      <c r="M1284" s="69"/>
      <c r="N1284" s="69">
        <f>IFERROR(__xludf.DUMMYFUNCTION("""COMPUTED_VALUE"""),2.0)</f>
        <v>2</v>
      </c>
      <c r="O1284" s="69" t="str">
        <f t="shared" si="3"/>
        <v/>
      </c>
      <c r="P1284" s="471">
        <f>IFERROR(__xludf.DUMMYFUNCTION("""COMPUTED_VALUE"""),0.0)</f>
        <v>0</v>
      </c>
      <c r="Q1284" s="274" t="b">
        <f>VLOOKUP($B1284,'Run Reconcile'!B$2:O2488,14,FALSE)</f>
        <v>1</v>
      </c>
      <c r="R1284" s="472" t="str">
        <f t="array" ref="R1284">IF($Q1284, INDEX('Run Reconcile'!A$2:A2488,MATCH(B1284,'Run Reconcile'!B$2:B2488,0),1),IFERROR(0/0,""))</f>
        <v>RUN-FLMP_2022-05-16_RFR-138</v>
      </c>
      <c r="S1284" s="473" t="str">
        <f t="shared" si="694"/>
        <v/>
      </c>
      <c r="T1284" s="473" t="str">
        <f t="shared" si="698"/>
        <v/>
      </c>
      <c r="U1284" s="275" t="str">
        <f t="array" ref="U1284">IF(ISBLANK($R1284), INDEX('Run Reconcile'!A$2:A2488, MATCH($B1284, 'Run Reconcile'!B$2:B2488, 0)+Z1284, 1), IFERROR(0/0,""))
</f>
        <v/>
      </c>
      <c r="V1284" s="474" t="str">
        <f t="shared" si="5"/>
        <v>RUN-FLMP_2022-05-16_RFR-138</v>
      </c>
      <c r="Y1284" s="89" t="str">
        <f t="shared" si="1581"/>
        <v/>
      </c>
      <c r="Z1284" s="60" t="str">
        <f t="shared" si="7"/>
        <v/>
      </c>
      <c r="AA1284" s="60" t="str">
        <f t="shared" si="8"/>
        <v/>
      </c>
      <c r="AB1284" s="60" t="str">
        <f t="shared" si="9"/>
        <v/>
      </c>
      <c r="AC1284" s="30" t="str">
        <f t="shared" ref="AC1284:AD1284" si="1643">IF(_xlfn.ISFORMULA(S1284),IFERROR(0/0,""),TRUE)</f>
        <v/>
      </c>
      <c r="AD1284" s="30" t="str">
        <f t="shared" si="1643"/>
        <v/>
      </c>
      <c r="AE1284" s="475" t="str">
        <f>IFERROR(__xludf.DUMMYFUNCTION("""COMPUTED_VALUE"""),"CRLN")</f>
        <v>CRLN</v>
      </c>
      <c r="AF1284" s="476"/>
      <c r="AG1284" s="474" t="s">
        <v>217</v>
      </c>
      <c r="AH1284" s="138" t="str">
        <f t="shared" si="11"/>
        <v/>
      </c>
    </row>
    <row r="1285">
      <c r="A1285" s="103" t="str">
        <f>IFERROR(__xludf.DUMMYFUNCTION("""COMPUTED_VALUE"""),"AJ8134")</f>
        <v>AJ8134</v>
      </c>
      <c r="B1285" s="468">
        <f>IFERROR(__xludf.DUMMYFUNCTION("""COMPUTED_VALUE"""),44697.0)</f>
        <v>44697</v>
      </c>
      <c r="C1285" s="469">
        <f>IFERROR(__xludf.DUMMYFUNCTION("""COMPUTED_VALUE"""),0.3667824074074074)</f>
        <v>0.3667824074</v>
      </c>
      <c r="D1285" s="103" t="str">
        <f>IFERROR(__xludf.DUMMYFUNCTION("""COMPUTED_VALUE"""),"SpFLMP946259")</f>
        <v>SpFLMP946259</v>
      </c>
      <c r="E1285" s="103"/>
      <c r="F1285" s="103"/>
      <c r="G1285" s="103" t="str">
        <f>IFERROR(__xludf.DUMMYFUNCTION("""COMPUTED_VALUE"""),"Negative")</f>
        <v>Negative</v>
      </c>
      <c r="H1285" s="131" t="str">
        <f>IFERROR(__xludf.DUMMYFUNCTION("""COMPUTED_VALUE"""),"Negative")</f>
        <v>Negative</v>
      </c>
      <c r="I1285" s="468">
        <f>IFERROR(__xludf.DUMMYFUNCTION("""COMPUTED_VALUE"""),44697.0)</f>
        <v>44697</v>
      </c>
      <c r="J1285" s="470">
        <f>IFERROR(__xludf.DUMMYFUNCTION("""COMPUTED_VALUE"""),0.4311111111111111)</f>
        <v>0.4311111111</v>
      </c>
      <c r="K1285" s="16"/>
      <c r="L1285" s="8"/>
      <c r="M1285" s="69"/>
      <c r="N1285" s="69">
        <f>IFERROR(__xludf.DUMMYFUNCTION("""COMPUTED_VALUE"""),2.0)</f>
        <v>2</v>
      </c>
      <c r="O1285" s="69" t="str">
        <f t="shared" si="3"/>
        <v/>
      </c>
      <c r="P1285" s="471">
        <f>IFERROR(__xludf.DUMMYFUNCTION("""COMPUTED_VALUE"""),0.0)</f>
        <v>0</v>
      </c>
      <c r="Q1285" s="274" t="b">
        <f>VLOOKUP($B1285,'Run Reconcile'!B$2:O2488,14,FALSE)</f>
        <v>1</v>
      </c>
      <c r="R1285" s="472" t="str">
        <f t="array" ref="R1285">IF($Q1285, INDEX('Run Reconcile'!A$2:A2488,MATCH(B1285,'Run Reconcile'!B$2:B2488,0),1),IFERROR(0/0,""))</f>
        <v>RUN-FLMP_2022-05-16_RFR-138</v>
      </c>
      <c r="S1285" s="473" t="str">
        <f t="shared" si="694"/>
        <v/>
      </c>
      <c r="T1285" s="473" t="str">
        <f t="shared" si="698"/>
        <v/>
      </c>
      <c r="U1285" s="275" t="str">
        <f t="array" ref="U1285">IF(ISBLANK($R1285), INDEX('Run Reconcile'!A$2:A2488, MATCH($B1285, 'Run Reconcile'!B$2:B2488, 0)+Z1285, 1), IFERROR(0/0,""))
</f>
        <v/>
      </c>
      <c r="V1285" s="474" t="str">
        <f t="shared" si="5"/>
        <v>RUN-FLMP_2022-05-16_RFR-138</v>
      </c>
      <c r="Y1285" s="89" t="str">
        <f t="shared" si="1581"/>
        <v/>
      </c>
      <c r="Z1285" s="60" t="str">
        <f t="shared" si="7"/>
        <v/>
      </c>
      <c r="AA1285" s="60" t="str">
        <f t="shared" si="8"/>
        <v/>
      </c>
      <c r="AB1285" s="60" t="str">
        <f t="shared" si="9"/>
        <v/>
      </c>
      <c r="AC1285" s="30" t="str">
        <f t="shared" ref="AC1285:AD1285" si="1644">IF(_xlfn.ISFORMULA(S1285),IFERROR(0/0,""),TRUE)</f>
        <v/>
      </c>
      <c r="AD1285" s="30" t="str">
        <f t="shared" si="1644"/>
        <v/>
      </c>
      <c r="AE1285" s="475" t="str">
        <f>IFERROR(__xludf.DUMMYFUNCTION("""COMPUTED_VALUE"""),"CRLN")</f>
        <v>CRLN</v>
      </c>
      <c r="AF1285" s="476"/>
      <c r="AG1285" s="474" t="s">
        <v>217</v>
      </c>
      <c r="AH1285" s="138" t="str">
        <f t="shared" si="11"/>
        <v/>
      </c>
    </row>
    <row r="1286">
      <c r="A1286" s="103" t="str">
        <f>IFERROR(__xludf.DUMMYFUNCTION("""COMPUTED_VALUE"""),"AH7064")</f>
        <v>AH7064</v>
      </c>
      <c r="B1286" s="468">
        <f>IFERROR(__xludf.DUMMYFUNCTION("""COMPUTED_VALUE"""),44697.0)</f>
        <v>44697</v>
      </c>
      <c r="C1286" s="469">
        <f>IFERROR(__xludf.DUMMYFUNCTION("""COMPUTED_VALUE"""),0.3680439814814815)</f>
        <v>0.3680439815</v>
      </c>
      <c r="D1286" s="103" t="str">
        <f>IFERROR(__xludf.DUMMYFUNCTION("""COMPUTED_VALUE"""),"SpFLMP683385")</f>
        <v>SpFLMP683385</v>
      </c>
      <c r="E1286" s="103"/>
      <c r="F1286" s="103"/>
      <c r="G1286" s="103" t="str">
        <f>IFERROR(__xludf.DUMMYFUNCTION("""COMPUTED_VALUE"""),"Negative")</f>
        <v>Negative</v>
      </c>
      <c r="H1286" s="131" t="str">
        <f>IFERROR(__xludf.DUMMYFUNCTION("""COMPUTED_VALUE"""),"Negative")</f>
        <v>Negative</v>
      </c>
      <c r="I1286" s="468">
        <f>IFERROR(__xludf.DUMMYFUNCTION("""COMPUTED_VALUE"""),44697.0)</f>
        <v>44697</v>
      </c>
      <c r="J1286" s="470">
        <f>IFERROR(__xludf.DUMMYFUNCTION("""COMPUTED_VALUE"""),0.4311111111111111)</f>
        <v>0.4311111111</v>
      </c>
      <c r="K1286" s="16"/>
      <c r="L1286" s="8"/>
      <c r="M1286" s="69"/>
      <c r="N1286" s="69">
        <f>IFERROR(__xludf.DUMMYFUNCTION("""COMPUTED_VALUE"""),3.0)</f>
        <v>3</v>
      </c>
      <c r="O1286" s="69" t="str">
        <f t="shared" si="3"/>
        <v/>
      </c>
      <c r="P1286" s="471">
        <f>IFERROR(__xludf.DUMMYFUNCTION("""COMPUTED_VALUE"""),0.0)</f>
        <v>0</v>
      </c>
      <c r="Q1286" s="274" t="b">
        <f>VLOOKUP($B1286,'Run Reconcile'!B$2:O2488,14,FALSE)</f>
        <v>1</v>
      </c>
      <c r="R1286" s="472" t="str">
        <f t="array" ref="R1286">IF($Q1286, INDEX('Run Reconcile'!A$2:A2488,MATCH(B1286,'Run Reconcile'!B$2:B2488,0),1),IFERROR(0/0,""))</f>
        <v>RUN-FLMP_2022-05-16_RFR-138</v>
      </c>
      <c r="S1286" s="473" t="str">
        <f t="shared" si="694"/>
        <v/>
      </c>
      <c r="T1286" s="473" t="str">
        <f t="shared" si="698"/>
        <v/>
      </c>
      <c r="U1286" s="275" t="str">
        <f t="array" ref="U1286">IF(ISBLANK($R1286), INDEX('Run Reconcile'!A$2:A2488, MATCH($B1286, 'Run Reconcile'!B$2:B2488, 0)+Z1286, 1), IFERROR(0/0,""))
</f>
        <v/>
      </c>
      <c r="V1286" s="474" t="str">
        <f t="shared" si="5"/>
        <v>RUN-FLMP_2022-05-16_RFR-138</v>
      </c>
      <c r="Y1286" s="89" t="str">
        <f t="shared" si="1581"/>
        <v/>
      </c>
      <c r="Z1286" s="60" t="str">
        <f t="shared" si="7"/>
        <v/>
      </c>
      <c r="AA1286" s="60" t="str">
        <f t="shared" si="8"/>
        <v/>
      </c>
      <c r="AB1286" s="60" t="str">
        <f t="shared" si="9"/>
        <v/>
      </c>
      <c r="AC1286" s="30" t="str">
        <f t="shared" ref="AC1286:AD1286" si="1645">IF(_xlfn.ISFORMULA(S1286),IFERROR(0/0,""),TRUE)</f>
        <v/>
      </c>
      <c r="AD1286" s="30" t="str">
        <f t="shared" si="1645"/>
        <v/>
      </c>
      <c r="AE1286" s="475" t="str">
        <f>IFERROR(__xludf.DUMMYFUNCTION("""COMPUTED_VALUE"""),"CRLN")</f>
        <v>CRLN</v>
      </c>
      <c r="AF1286" s="476"/>
      <c r="AG1286" s="474" t="s">
        <v>217</v>
      </c>
      <c r="AH1286" s="138" t="str">
        <f t="shared" si="11"/>
        <v/>
      </c>
    </row>
    <row r="1287">
      <c r="A1287" s="103" t="str">
        <f>IFERROR(__xludf.DUMMYFUNCTION("""COMPUTED_VALUE"""),"AJ5520")</f>
        <v>AJ5520</v>
      </c>
      <c r="B1287" s="468">
        <f>IFERROR(__xludf.DUMMYFUNCTION("""COMPUTED_VALUE"""),44697.0)</f>
        <v>44697</v>
      </c>
      <c r="C1287" s="469">
        <f>IFERROR(__xludf.DUMMYFUNCTION("""COMPUTED_VALUE"""),0.3683912037037037)</f>
        <v>0.3683912037</v>
      </c>
      <c r="D1287" s="103" t="str">
        <f>IFERROR(__xludf.DUMMYFUNCTION("""COMPUTED_VALUE"""),"SpFLMP572444")</f>
        <v>SpFLMP572444</v>
      </c>
      <c r="E1287" s="103"/>
      <c r="F1287" s="103"/>
      <c r="G1287" s="103" t="str">
        <f>IFERROR(__xludf.DUMMYFUNCTION("""COMPUTED_VALUE"""),"Negative")</f>
        <v>Negative</v>
      </c>
      <c r="H1287" s="131" t="str">
        <f>IFERROR(__xludf.DUMMYFUNCTION("""COMPUTED_VALUE"""),"Negative")</f>
        <v>Negative</v>
      </c>
      <c r="I1287" s="468">
        <f>IFERROR(__xludf.DUMMYFUNCTION("""COMPUTED_VALUE"""),44697.0)</f>
        <v>44697</v>
      </c>
      <c r="J1287" s="470">
        <f>IFERROR(__xludf.DUMMYFUNCTION("""COMPUTED_VALUE"""),0.4311111111111111)</f>
        <v>0.4311111111</v>
      </c>
      <c r="K1287" s="16"/>
      <c r="L1287" s="8"/>
      <c r="M1287" s="69"/>
      <c r="N1287" s="69">
        <f>IFERROR(__xludf.DUMMYFUNCTION("""COMPUTED_VALUE"""),2.0)</f>
        <v>2</v>
      </c>
      <c r="O1287" s="69" t="str">
        <f t="shared" si="3"/>
        <v/>
      </c>
      <c r="P1287" s="471">
        <f>IFERROR(__xludf.DUMMYFUNCTION("""COMPUTED_VALUE"""),0.0)</f>
        <v>0</v>
      </c>
      <c r="Q1287" s="274" t="b">
        <f>VLOOKUP($B1287,'Run Reconcile'!B$2:O2488,14,FALSE)</f>
        <v>1</v>
      </c>
      <c r="R1287" s="472" t="str">
        <f t="array" ref="R1287">IF($Q1287, INDEX('Run Reconcile'!A$2:A2488,MATCH(B1287,'Run Reconcile'!B$2:B2488,0),1),IFERROR(0/0,""))</f>
        <v>RUN-FLMP_2022-05-16_RFR-138</v>
      </c>
      <c r="S1287" s="473" t="str">
        <f t="shared" si="694"/>
        <v/>
      </c>
      <c r="T1287" s="473" t="str">
        <f t="shared" si="698"/>
        <v/>
      </c>
      <c r="U1287" s="275" t="str">
        <f t="array" ref="U1287">IF(ISBLANK($R1287), INDEX('Run Reconcile'!A$2:A2488, MATCH($B1287, 'Run Reconcile'!B$2:B2488, 0)+Z1287, 1), IFERROR(0/0,""))
</f>
        <v/>
      </c>
      <c r="V1287" s="474" t="str">
        <f t="shared" si="5"/>
        <v>RUN-FLMP_2022-05-16_RFR-138</v>
      </c>
      <c r="Y1287" s="89" t="str">
        <f t="shared" si="1581"/>
        <v/>
      </c>
      <c r="Z1287" s="60" t="str">
        <f t="shared" si="7"/>
        <v/>
      </c>
      <c r="AA1287" s="60" t="str">
        <f t="shared" si="8"/>
        <v/>
      </c>
      <c r="AB1287" s="60" t="str">
        <f t="shared" si="9"/>
        <v/>
      </c>
      <c r="AC1287" s="30" t="str">
        <f t="shared" ref="AC1287:AD1287" si="1646">IF(_xlfn.ISFORMULA(S1287),IFERROR(0/0,""),TRUE)</f>
        <v/>
      </c>
      <c r="AD1287" s="30" t="str">
        <f t="shared" si="1646"/>
        <v/>
      </c>
      <c r="AE1287" s="475" t="str">
        <f>IFERROR(__xludf.DUMMYFUNCTION("""COMPUTED_VALUE"""),"CRLN")</f>
        <v>CRLN</v>
      </c>
      <c r="AF1287" s="476"/>
      <c r="AG1287" s="474" t="s">
        <v>217</v>
      </c>
      <c r="AH1287" s="138" t="str">
        <f t="shared" si="11"/>
        <v/>
      </c>
    </row>
    <row r="1288">
      <c r="A1288" s="103" t="str">
        <f>IFERROR(__xludf.DUMMYFUNCTION("""COMPUTED_VALUE"""),"FLB7391")</f>
        <v>FLB7391</v>
      </c>
      <c r="B1288" s="468">
        <f>IFERROR(__xludf.DUMMYFUNCTION("""COMPUTED_VALUE"""),44697.0)</f>
        <v>44697</v>
      </c>
      <c r="C1288" s="469">
        <f>IFERROR(__xludf.DUMMYFUNCTION("""COMPUTED_VALUE"""),0.37025462962962963)</f>
        <v>0.3702546296</v>
      </c>
      <c r="D1288" s="103" t="str">
        <f>IFERROR(__xludf.DUMMYFUNCTION("""COMPUTED_VALUE"""),"SpFLMP125859")</f>
        <v>SpFLMP125859</v>
      </c>
      <c r="E1288" s="103"/>
      <c r="F1288" s="103"/>
      <c r="G1288" s="103" t="str">
        <f>IFERROR(__xludf.DUMMYFUNCTION("""COMPUTED_VALUE"""),"Negative")</f>
        <v>Negative</v>
      </c>
      <c r="H1288" s="131" t="str">
        <f>IFERROR(__xludf.DUMMYFUNCTION("""COMPUTED_VALUE"""),"Negative")</f>
        <v>Negative</v>
      </c>
      <c r="I1288" s="468">
        <f>IFERROR(__xludf.DUMMYFUNCTION("""COMPUTED_VALUE"""),44697.0)</f>
        <v>44697</v>
      </c>
      <c r="J1288" s="470">
        <f>IFERROR(__xludf.DUMMYFUNCTION("""COMPUTED_VALUE"""),0.4311226851851852)</f>
        <v>0.4311226852</v>
      </c>
      <c r="K1288" s="16"/>
      <c r="L1288" s="8"/>
      <c r="M1288" s="69"/>
      <c r="N1288" s="69">
        <f>IFERROR(__xludf.DUMMYFUNCTION("""COMPUTED_VALUE"""),3.0)</f>
        <v>3</v>
      </c>
      <c r="O1288" s="69" t="str">
        <f t="shared" si="3"/>
        <v/>
      </c>
      <c r="P1288" s="471">
        <f>IFERROR(__xludf.DUMMYFUNCTION("""COMPUTED_VALUE"""),0.0)</f>
        <v>0</v>
      </c>
      <c r="Q1288" s="274" t="b">
        <f>VLOOKUP($B1288,'Run Reconcile'!B$2:O2488,14,FALSE)</f>
        <v>1</v>
      </c>
      <c r="R1288" s="472" t="str">
        <f t="array" ref="R1288">IF($Q1288, INDEX('Run Reconcile'!A$2:A2488,MATCH(B1288,'Run Reconcile'!B$2:B2488,0),1),IFERROR(0/0,""))</f>
        <v>RUN-FLMP_2022-05-16_RFR-138</v>
      </c>
      <c r="S1288" s="473" t="str">
        <f t="shared" si="694"/>
        <v/>
      </c>
      <c r="T1288" s="473" t="str">
        <f t="shared" si="698"/>
        <v/>
      </c>
      <c r="U1288" s="275" t="str">
        <f t="array" ref="U1288">IF(ISBLANK($R1288), INDEX('Run Reconcile'!A$2:A2488, MATCH($B1288, 'Run Reconcile'!B$2:B2488, 0)+Z1288, 1), IFERROR(0/0,""))
</f>
        <v/>
      </c>
      <c r="V1288" s="474" t="str">
        <f t="shared" si="5"/>
        <v>RUN-FLMP_2022-05-16_RFR-138</v>
      </c>
      <c r="Y1288" s="89" t="str">
        <f t="shared" si="1581"/>
        <v/>
      </c>
      <c r="Z1288" s="60" t="str">
        <f t="shared" si="7"/>
        <v/>
      </c>
      <c r="AA1288" s="60" t="str">
        <f t="shared" si="8"/>
        <v/>
      </c>
      <c r="AB1288" s="60" t="str">
        <f t="shared" si="9"/>
        <v/>
      </c>
      <c r="AC1288" s="30" t="str">
        <f t="shared" ref="AC1288:AD1288" si="1647">IF(_xlfn.ISFORMULA(S1288),IFERROR(0/0,""),TRUE)</f>
        <v/>
      </c>
      <c r="AD1288" s="30" t="str">
        <f t="shared" si="1647"/>
        <v/>
      </c>
      <c r="AE1288" s="475" t="str">
        <f>IFERROR(__xludf.DUMMYFUNCTION("""COMPUTED_VALUE"""),"CRLN")</f>
        <v>CRLN</v>
      </c>
      <c r="AF1288" s="476"/>
      <c r="AG1288" s="474" t="s">
        <v>217</v>
      </c>
      <c r="AH1288" s="138" t="str">
        <f t="shared" si="11"/>
        <v/>
      </c>
    </row>
    <row r="1289">
      <c r="A1289" s="477" t="str">
        <f>IFERROR(__xludf.DUMMYFUNCTION("""COMPUTED_VALUE"""),"MA739")</f>
        <v>MA739</v>
      </c>
      <c r="B1289" s="478">
        <f>IFERROR(__xludf.DUMMYFUNCTION("""COMPUTED_VALUE"""),44698.0)</f>
        <v>44698</v>
      </c>
      <c r="C1289" s="479">
        <f>IFERROR(__xludf.DUMMYFUNCTION("""COMPUTED_VALUE"""),0.39444444444444443)</f>
        <v>0.3944444444</v>
      </c>
      <c r="D1289" s="477" t="str">
        <f>IFERROR(__xludf.DUMMYFUNCTION("""COMPUTED_VALUE"""),"SpFLMP496039")</f>
        <v>SpFLMP496039</v>
      </c>
      <c r="E1289" s="477"/>
      <c r="F1289" s="477"/>
      <c r="G1289" s="477" t="str">
        <f>IFERROR(__xludf.DUMMYFUNCTION("""COMPUTED_VALUE"""),"Negative")</f>
        <v>Negative</v>
      </c>
      <c r="H1289" s="480" t="str">
        <f>IFERROR(__xludf.DUMMYFUNCTION("""COMPUTED_VALUE"""),"Negative")</f>
        <v>Negative</v>
      </c>
      <c r="I1289" s="478">
        <f>IFERROR(__xludf.DUMMYFUNCTION("""COMPUTED_VALUE"""),44698.0)</f>
        <v>44698</v>
      </c>
      <c r="J1289" s="481">
        <f>IFERROR(__xludf.DUMMYFUNCTION("""COMPUTED_VALUE"""),0.39491898148148147)</f>
        <v>0.3949189815</v>
      </c>
      <c r="K1289" s="156"/>
      <c r="L1289" s="19"/>
      <c r="M1289" s="482"/>
      <c r="N1289" s="482">
        <f>IFERROR(__xludf.DUMMYFUNCTION("""COMPUTED_VALUE"""),1.0)</f>
        <v>1</v>
      </c>
      <c r="O1289" s="482" t="b">
        <f t="shared" si="3"/>
        <v>1</v>
      </c>
      <c r="P1289" s="483">
        <f>IFERROR(__xludf.DUMMYFUNCTION("""COMPUTED_VALUE"""),0.0)</f>
        <v>0</v>
      </c>
      <c r="Q1289" s="352" t="str">
        <f>VLOOKUP($B1289,'Run Reconcile'!B$2:O2488,14,FALSE)</f>
        <v/>
      </c>
      <c r="R1289" s="484" t="str">
        <f t="array" ref="R1289">IF($Q1289, INDEX('Run Reconcile'!A$2:A2488,MATCH(B1289,'Run Reconcile'!B$2:B2488,0),1),IFERROR(0/0,""))</f>
        <v/>
      </c>
      <c r="S1289" s="485" t="str">
        <f t="shared" si="694"/>
        <v/>
      </c>
      <c r="T1289" s="485" t="str">
        <f t="shared" si="698"/>
        <v/>
      </c>
      <c r="U1289" s="353" t="str">
        <f t="array" ref="U1289">IF(ISBLANK($R1289), INDEX('Run Reconcile'!A$2:A2488, MATCH($B1289, 'Run Reconcile'!B$2:B2488, 0)+Z1289, 1), IFERROR(0/0,""))
</f>
        <v>RUN-FLMP_2022-05-17_RFR-140</v>
      </c>
      <c r="V1289" s="486" t="str">
        <f t="shared" si="5"/>
        <v>RUN-FLMP_2022-05-17_RFR-140</v>
      </c>
      <c r="W1289" s="19"/>
      <c r="X1289" s="19"/>
      <c r="Y1289" s="89" t="str">
        <f t="shared" si="1581"/>
        <v/>
      </c>
      <c r="Z1289" s="60" t="str">
        <f t="shared" si="7"/>
        <v/>
      </c>
      <c r="AA1289" s="60" t="str">
        <f t="shared" si="8"/>
        <v/>
      </c>
      <c r="AB1289" s="60" t="str">
        <f t="shared" si="9"/>
        <v/>
      </c>
      <c r="AC1289" s="158" t="str">
        <f t="shared" ref="AC1289:AD1289" si="1648">IF(_xlfn.ISFORMULA(S1289),IFERROR(0/0,""),TRUE)</f>
        <v/>
      </c>
      <c r="AD1289" s="158" t="str">
        <f t="shared" si="1648"/>
        <v/>
      </c>
      <c r="AE1289" s="488" t="str">
        <f>IFERROR(__xludf.DUMMYFUNCTION("""COMPUTED_VALUE"""),"CRLN")</f>
        <v>CRLN</v>
      </c>
      <c r="AF1289" s="489"/>
      <c r="AG1289" s="486" t="s">
        <v>218</v>
      </c>
      <c r="AH1289" s="138" t="str">
        <f t="shared" si="11"/>
        <v/>
      </c>
      <c r="AI1289" s="19"/>
      <c r="AJ1289" s="19"/>
      <c r="AK1289" s="19"/>
      <c r="AL1289" s="19"/>
      <c r="AM1289" s="19"/>
    </row>
    <row r="1290">
      <c r="A1290" s="103" t="str">
        <f>IFERROR(__xludf.DUMMYFUNCTION("""COMPUTED_VALUE"""),"FM1702")</f>
        <v>FM1702</v>
      </c>
      <c r="B1290" s="468">
        <f>IFERROR(__xludf.DUMMYFUNCTION("""COMPUTED_VALUE"""),44698.0)</f>
        <v>44698</v>
      </c>
      <c r="C1290" s="469">
        <f>IFERROR(__xludf.DUMMYFUNCTION("""COMPUTED_VALUE"""),0.5792013888888888)</f>
        <v>0.5792013889</v>
      </c>
      <c r="D1290" s="103" t="str">
        <f>IFERROR(__xludf.DUMMYFUNCTION("""COMPUTED_VALUE"""),"SpFLMP120998")</f>
        <v>SpFLMP120998</v>
      </c>
      <c r="E1290" s="103"/>
      <c r="F1290" s="103"/>
      <c r="G1290" s="103" t="str">
        <f>IFERROR(__xludf.DUMMYFUNCTION("""COMPUTED_VALUE"""),"Negative")</f>
        <v>Negative</v>
      </c>
      <c r="H1290" s="131" t="str">
        <f>IFERROR(__xludf.DUMMYFUNCTION("""COMPUTED_VALUE"""),"Negative")</f>
        <v>Negative</v>
      </c>
      <c r="I1290" s="468">
        <f>IFERROR(__xludf.DUMMYFUNCTION("""COMPUTED_VALUE"""),44698.0)</f>
        <v>44698</v>
      </c>
      <c r="J1290" s="470">
        <f>IFERROR(__xludf.DUMMYFUNCTION("""COMPUTED_VALUE"""),0.6023379629629629)</f>
        <v>0.602337963</v>
      </c>
      <c r="K1290" s="16"/>
      <c r="L1290" s="8"/>
      <c r="M1290" s="69"/>
      <c r="N1290" s="69">
        <f>IFERROR(__xludf.DUMMYFUNCTION("""COMPUTED_VALUE"""),2.0)</f>
        <v>2</v>
      </c>
      <c r="O1290" s="69" t="str">
        <f t="shared" si="3"/>
        <v/>
      </c>
      <c r="P1290" s="471">
        <f>IFERROR(__xludf.DUMMYFUNCTION("""COMPUTED_VALUE"""),0.0)</f>
        <v>0</v>
      </c>
      <c r="Q1290" s="274" t="str">
        <f>VLOOKUP($B1290,'Run Reconcile'!B$2:O2488,14,FALSE)</f>
        <v/>
      </c>
      <c r="R1290" s="472" t="str">
        <f t="array" ref="R1290">IF($Q1290, INDEX('Run Reconcile'!A$2:A2488,MATCH(B1290,'Run Reconcile'!B$2:B2488,0),1),IFERROR(0/0,""))</f>
        <v/>
      </c>
      <c r="S1290" s="473" t="str">
        <f t="shared" si="694"/>
        <v/>
      </c>
      <c r="T1290" s="473" t="b">
        <f t="shared" si="698"/>
        <v>1</v>
      </c>
      <c r="U1290" s="275" t="str">
        <f t="array" ref="U1290">IF(ISBLANK($R1290), INDEX('Run Reconcile'!A$2:A2488, MATCH($B1290, 'Run Reconcile'!B$2:B2488, 0)+Z1290, 1), IFERROR(0/0,""))
</f>
        <v>RUN-FLMP_2022-05-17_RFR-141</v>
      </c>
      <c r="V1290" s="474" t="str">
        <f t="shared" si="5"/>
        <v>RUN-FLMP_2022-05-17_RFR-141</v>
      </c>
      <c r="X1290" s="8" t="s">
        <v>1497</v>
      </c>
      <c r="Y1290" s="89">
        <f t="shared" si="1581"/>
        <v>1</v>
      </c>
      <c r="Z1290" s="60">
        <f t="shared" si="7"/>
        <v>1</v>
      </c>
      <c r="AA1290" s="60" t="str">
        <f t="shared" si="8"/>
        <v/>
      </c>
      <c r="AB1290" s="60">
        <f t="shared" si="9"/>
        <v>1</v>
      </c>
      <c r="AC1290" s="30" t="str">
        <f t="shared" ref="AC1290:AD1290" si="1649">IF(_xlfn.ISFORMULA(S1290),IFERROR(0/0,""),TRUE)</f>
        <v/>
      </c>
      <c r="AD1290" s="30" t="str">
        <f t="shared" si="1649"/>
        <v/>
      </c>
      <c r="AE1290" s="475" t="str">
        <f>IFERROR(__xludf.DUMMYFUNCTION("""COMPUTED_VALUE"""),"FLSP")</f>
        <v>FLSP</v>
      </c>
      <c r="AF1290" s="476"/>
      <c r="AG1290" s="474" t="s">
        <v>219</v>
      </c>
      <c r="AH1290" s="138" t="str">
        <f t="shared" si="11"/>
        <v/>
      </c>
    </row>
    <row r="1291">
      <c r="A1291" s="103" t="str">
        <f>IFERROR(__xludf.DUMMYFUNCTION("""COMPUTED_VALUE"""),"FM1987")</f>
        <v>FM1987</v>
      </c>
      <c r="B1291" s="468">
        <f>IFERROR(__xludf.DUMMYFUNCTION("""COMPUTED_VALUE"""),44698.0)</f>
        <v>44698</v>
      </c>
      <c r="C1291" s="469">
        <f>IFERROR(__xludf.DUMMYFUNCTION("""COMPUTED_VALUE"""),0.5794907407407407)</f>
        <v>0.5794907407</v>
      </c>
      <c r="D1291" s="103" t="str">
        <f>IFERROR(__xludf.DUMMYFUNCTION("""COMPUTED_VALUE"""),"SpFLMP120998")</f>
        <v>SpFLMP120998</v>
      </c>
      <c r="E1291" s="103"/>
      <c r="F1291" s="103"/>
      <c r="G1291" s="103" t="str">
        <f>IFERROR(__xludf.DUMMYFUNCTION("""COMPUTED_VALUE"""),"Negative")</f>
        <v>Negative</v>
      </c>
      <c r="H1291" s="131" t="str">
        <f>IFERROR(__xludf.DUMMYFUNCTION("""COMPUTED_VALUE"""),"Negative")</f>
        <v>Negative</v>
      </c>
      <c r="I1291" s="468">
        <f>IFERROR(__xludf.DUMMYFUNCTION("""COMPUTED_VALUE"""),44698.0)</f>
        <v>44698</v>
      </c>
      <c r="J1291" s="470">
        <f>IFERROR(__xludf.DUMMYFUNCTION("""COMPUTED_VALUE"""),0.6023379629629629)</f>
        <v>0.602337963</v>
      </c>
      <c r="K1291" s="16"/>
      <c r="L1291" s="8"/>
      <c r="M1291" s="69"/>
      <c r="N1291" s="69">
        <f>IFERROR(__xludf.DUMMYFUNCTION("""COMPUTED_VALUE"""),1.0)</f>
        <v>1</v>
      </c>
      <c r="O1291" s="69" t="str">
        <f t="shared" si="3"/>
        <v/>
      </c>
      <c r="P1291" s="471">
        <f>IFERROR(__xludf.DUMMYFUNCTION("""COMPUTED_VALUE"""),0.0)</f>
        <v>0</v>
      </c>
      <c r="Q1291" s="274" t="str">
        <f>VLOOKUP($B1291,'Run Reconcile'!B$2:O2488,14,FALSE)</f>
        <v/>
      </c>
      <c r="R1291" s="472" t="str">
        <f t="array" ref="R1291">IF($Q1291, INDEX('Run Reconcile'!A$2:A2488,MATCH(B1291,'Run Reconcile'!B$2:B2488,0),1),IFERROR(0/0,""))</f>
        <v/>
      </c>
      <c r="S1291" s="473" t="str">
        <f t="shared" si="694"/>
        <v/>
      </c>
      <c r="T1291" s="473" t="b">
        <f t="shared" si="698"/>
        <v>1</v>
      </c>
      <c r="U1291" s="275" t="str">
        <f t="array" ref="U1291">IF(ISBLANK($R1291), INDEX('Run Reconcile'!A$2:A2488, MATCH($B1291, 'Run Reconcile'!B$2:B2488, 0)+Z1291, 1), IFERROR(0/0,""))
</f>
        <v>RUN-FLMP_2022-05-17_RFR-141</v>
      </c>
      <c r="V1291" s="474" t="str">
        <f t="shared" si="5"/>
        <v>RUN-FLMP_2022-05-17_RFR-141</v>
      </c>
      <c r="X1291" s="8" t="s">
        <v>1498</v>
      </c>
      <c r="Y1291" s="89">
        <f t="shared" si="1581"/>
        <v>1</v>
      </c>
      <c r="Z1291" s="60">
        <f t="shared" si="7"/>
        <v>1</v>
      </c>
      <c r="AA1291" s="60" t="str">
        <f t="shared" si="8"/>
        <v/>
      </c>
      <c r="AB1291" s="60">
        <f t="shared" si="9"/>
        <v>1</v>
      </c>
      <c r="AC1291" s="30" t="str">
        <f t="shared" ref="AC1291:AD1291" si="1650">IF(_xlfn.ISFORMULA(S1291),IFERROR(0/0,""),TRUE)</f>
        <v/>
      </c>
      <c r="AD1291" s="30" t="str">
        <f t="shared" si="1650"/>
        <v/>
      </c>
      <c r="AE1291" s="475" t="str">
        <f>IFERROR(__xludf.DUMMYFUNCTION("""COMPUTED_VALUE"""),"FLSP")</f>
        <v>FLSP</v>
      </c>
      <c r="AF1291" s="476"/>
      <c r="AG1291" s="474" t="s">
        <v>219</v>
      </c>
      <c r="AH1291" s="138" t="str">
        <f t="shared" si="11"/>
        <v/>
      </c>
    </row>
    <row r="1292">
      <c r="A1292" s="477" t="str">
        <f>IFERROR(__xludf.DUMMYFUNCTION("""COMPUTED_VALUE"""),"AH7129")</f>
        <v>AH7129</v>
      </c>
      <c r="B1292" s="478">
        <f>IFERROR(__xludf.DUMMYFUNCTION("""COMPUTED_VALUE"""),44700.0)</f>
        <v>44700</v>
      </c>
      <c r="C1292" s="479">
        <f>IFERROR(__xludf.DUMMYFUNCTION("""COMPUTED_VALUE"""),0.26875)</f>
        <v>0.26875</v>
      </c>
      <c r="D1292" s="477" t="str">
        <f>IFERROR(__xludf.DUMMYFUNCTION("""COMPUTED_VALUE"""),"SpFLMP268514")</f>
        <v>SpFLMP268514</v>
      </c>
      <c r="E1292" s="477"/>
      <c r="F1292" s="477"/>
      <c r="G1292" s="477" t="str">
        <f>IFERROR(__xludf.DUMMYFUNCTION("""COMPUTED_VALUE"""),"Negative")</f>
        <v>Negative</v>
      </c>
      <c r="H1292" s="480" t="str">
        <f>IFERROR(__xludf.DUMMYFUNCTION("""COMPUTED_VALUE"""),"Negative")</f>
        <v>Negative</v>
      </c>
      <c r="I1292" s="478">
        <f>IFERROR(__xludf.DUMMYFUNCTION("""COMPUTED_VALUE"""),44700.0)</f>
        <v>44700</v>
      </c>
      <c r="J1292" s="481">
        <f>IFERROR(__xludf.DUMMYFUNCTION("""COMPUTED_VALUE"""),0.4524884259259259)</f>
        <v>0.4524884259</v>
      </c>
      <c r="K1292" s="156"/>
      <c r="L1292" s="19"/>
      <c r="M1292" s="482"/>
      <c r="N1292" s="482">
        <f>IFERROR(__xludf.DUMMYFUNCTION("""COMPUTED_VALUE"""),3.0)</f>
        <v>3</v>
      </c>
      <c r="O1292" s="482" t="b">
        <f t="shared" si="3"/>
        <v>1</v>
      </c>
      <c r="P1292" s="483">
        <f>IFERROR(__xludf.DUMMYFUNCTION("""COMPUTED_VALUE"""),0.0)</f>
        <v>0</v>
      </c>
      <c r="Q1292" s="352" t="str">
        <f>VLOOKUP($B1292,'Run Reconcile'!B$2:O2488,14,FALSE)</f>
        <v/>
      </c>
      <c r="R1292" s="484" t="str">
        <f t="array" ref="R1292">IF($Q1292, INDEX('Run Reconcile'!A$2:A2488,MATCH(B1292,'Run Reconcile'!B$2:B2488,0),1),IFERROR(0/0,""))</f>
        <v/>
      </c>
      <c r="S1292" s="485" t="str">
        <f t="shared" si="694"/>
        <v/>
      </c>
      <c r="T1292" s="485" t="str">
        <f t="shared" si="698"/>
        <v/>
      </c>
      <c r="U1292" s="353" t="str">
        <f t="array" ref="U1292">IF(ISBLANK($R1292), INDEX('Run Reconcile'!A$2:A2488, MATCH($B1292, 'Run Reconcile'!B$2:B2488, 0)+Z1292, 1), IFERROR(0/0,""))
</f>
        <v>RUN-FLMP_2022-05-19_RFR-144</v>
      </c>
      <c r="V1292" s="486" t="str">
        <f t="shared" si="5"/>
        <v>RUN-FLMP_2022-05-19_RFR-144</v>
      </c>
      <c r="W1292" s="19"/>
      <c r="X1292" s="19"/>
      <c r="Y1292" s="89" t="str">
        <f t="shared" si="1581"/>
        <v/>
      </c>
      <c r="Z1292" s="60" t="str">
        <f t="shared" si="7"/>
        <v/>
      </c>
      <c r="AA1292" s="60" t="str">
        <f t="shared" si="8"/>
        <v/>
      </c>
      <c r="AB1292" s="60" t="str">
        <f t="shared" si="9"/>
        <v/>
      </c>
      <c r="AC1292" s="158" t="str">
        <f t="shared" ref="AC1292:AD1292" si="1651">IF(_xlfn.ISFORMULA(S1292),IFERROR(0/0,""),TRUE)</f>
        <v/>
      </c>
      <c r="AD1292" s="158" t="str">
        <f t="shared" si="1651"/>
        <v/>
      </c>
      <c r="AE1292" s="488" t="str">
        <f>IFERROR(__xludf.DUMMYFUNCTION("""COMPUTED_VALUE"""),"CRLN")</f>
        <v>CRLN</v>
      </c>
      <c r="AF1292" s="489"/>
      <c r="AG1292" s="486" t="s">
        <v>222</v>
      </c>
      <c r="AH1292" s="138" t="str">
        <f t="shared" si="11"/>
        <v/>
      </c>
      <c r="AI1292" s="19"/>
      <c r="AJ1292" s="19"/>
      <c r="AK1292" s="19"/>
      <c r="AL1292" s="19"/>
      <c r="AM1292" s="19"/>
    </row>
    <row r="1293">
      <c r="A1293" s="103" t="str">
        <f>IFERROR(__xludf.DUMMYFUNCTION("""COMPUTED_VALUE"""),"AH9071")</f>
        <v>AH9071</v>
      </c>
      <c r="B1293" s="468">
        <f>IFERROR(__xludf.DUMMYFUNCTION("""COMPUTED_VALUE"""),44700.0)</f>
        <v>44700</v>
      </c>
      <c r="C1293" s="469">
        <f>IFERROR(__xludf.DUMMYFUNCTION("""COMPUTED_VALUE"""),0.31037037037037035)</f>
        <v>0.3103703704</v>
      </c>
      <c r="D1293" s="103" t="str">
        <f>IFERROR(__xludf.DUMMYFUNCTION("""COMPUTED_VALUE"""),"SpFLMP273885")</f>
        <v>SpFLMP273885</v>
      </c>
      <c r="E1293" s="103"/>
      <c r="F1293" s="103"/>
      <c r="G1293" s="103" t="str">
        <f>IFERROR(__xludf.DUMMYFUNCTION("""COMPUTED_VALUE"""),"Negative")</f>
        <v>Negative</v>
      </c>
      <c r="H1293" s="131" t="str">
        <f>IFERROR(__xludf.DUMMYFUNCTION("""COMPUTED_VALUE"""),"Negative")</f>
        <v>Negative</v>
      </c>
      <c r="I1293" s="468">
        <f>IFERROR(__xludf.DUMMYFUNCTION("""COMPUTED_VALUE"""),44700.0)</f>
        <v>44700</v>
      </c>
      <c r="J1293" s="470">
        <f>IFERROR(__xludf.DUMMYFUNCTION("""COMPUTED_VALUE"""),0.4524884259259259)</f>
        <v>0.4524884259</v>
      </c>
      <c r="K1293" s="16"/>
      <c r="L1293" s="8"/>
      <c r="M1293" s="69"/>
      <c r="N1293" s="69">
        <f>IFERROR(__xludf.DUMMYFUNCTION("""COMPUTED_VALUE"""),4.0)</f>
        <v>4</v>
      </c>
      <c r="O1293" s="69" t="str">
        <f t="shared" si="3"/>
        <v/>
      </c>
      <c r="P1293" s="471">
        <f>IFERROR(__xludf.DUMMYFUNCTION("""COMPUTED_VALUE"""),0.0)</f>
        <v>0</v>
      </c>
      <c r="Q1293" s="274" t="str">
        <f>VLOOKUP($B1293,'Run Reconcile'!B$2:O2488,14,FALSE)</f>
        <v/>
      </c>
      <c r="R1293" s="472" t="str">
        <f t="array" ref="R1293">IF($Q1293, INDEX('Run Reconcile'!A$2:A2488,MATCH(B1293,'Run Reconcile'!B$2:B2488,0),1),IFERROR(0/0,""))</f>
        <v/>
      </c>
      <c r="S1293" s="473" t="str">
        <f t="shared" si="694"/>
        <v/>
      </c>
      <c r="T1293" s="473" t="str">
        <f t="shared" si="698"/>
        <v/>
      </c>
      <c r="U1293" s="275" t="str">
        <f t="array" ref="U1293">IF(ISBLANK($R1293), INDEX('Run Reconcile'!A$2:A2488, MATCH($B1293, 'Run Reconcile'!B$2:B2488, 0)+Z1293, 1), IFERROR(0/0,""))
</f>
        <v>RUN-FLMP_2022-05-19_RFR-144</v>
      </c>
      <c r="V1293" s="474" t="str">
        <f t="shared" si="5"/>
        <v>RUN-FLMP_2022-05-19_RFR-144</v>
      </c>
      <c r="Y1293" s="89" t="str">
        <f t="shared" si="1581"/>
        <v/>
      </c>
      <c r="Z1293" s="60" t="str">
        <f t="shared" si="7"/>
        <v/>
      </c>
      <c r="AA1293" s="60" t="str">
        <f t="shared" si="8"/>
        <v/>
      </c>
      <c r="AB1293" s="60" t="str">
        <f t="shared" si="9"/>
        <v/>
      </c>
      <c r="AC1293" s="30" t="str">
        <f t="shared" ref="AC1293:AD1293" si="1652">IF(_xlfn.ISFORMULA(S1293),IFERROR(0/0,""),TRUE)</f>
        <v/>
      </c>
      <c r="AD1293" s="30" t="str">
        <f t="shared" si="1652"/>
        <v/>
      </c>
      <c r="AE1293" s="475" t="str">
        <f>IFERROR(__xludf.DUMMYFUNCTION("""COMPUTED_VALUE"""),"CRLN")</f>
        <v>CRLN</v>
      </c>
      <c r="AF1293" s="476"/>
      <c r="AG1293" s="474" t="s">
        <v>222</v>
      </c>
      <c r="AH1293" s="138" t="str">
        <f t="shared" si="11"/>
        <v/>
      </c>
    </row>
    <row r="1294">
      <c r="A1294" s="103" t="str">
        <f>IFERROR(__xludf.DUMMYFUNCTION("""COMPUTED_VALUE"""),"FLB7407")</f>
        <v>FLB7407</v>
      </c>
      <c r="B1294" s="468">
        <f>IFERROR(__xludf.DUMMYFUNCTION("""COMPUTED_VALUE"""),44700.0)</f>
        <v>44700</v>
      </c>
      <c r="C1294" s="469">
        <f>IFERROR(__xludf.DUMMYFUNCTION("""COMPUTED_VALUE"""),0.31689814814814815)</f>
        <v>0.3168981481</v>
      </c>
      <c r="D1294" s="103" t="str">
        <f>IFERROR(__xludf.DUMMYFUNCTION("""COMPUTED_VALUE"""),"SpFLMP544731")</f>
        <v>SpFLMP544731</v>
      </c>
      <c r="E1294" s="103"/>
      <c r="F1294" s="103"/>
      <c r="G1294" s="103" t="str">
        <f>IFERROR(__xludf.DUMMYFUNCTION("""COMPUTED_VALUE"""),"Negative")</f>
        <v>Negative</v>
      </c>
      <c r="H1294" s="131" t="str">
        <f>IFERROR(__xludf.DUMMYFUNCTION("""COMPUTED_VALUE"""),"Negative")</f>
        <v>Negative</v>
      </c>
      <c r="I1294" s="468">
        <f>IFERROR(__xludf.DUMMYFUNCTION("""COMPUTED_VALUE"""),44700.0)</f>
        <v>44700</v>
      </c>
      <c r="J1294" s="470">
        <f>IFERROR(__xludf.DUMMYFUNCTION("""COMPUTED_VALUE"""),0.4524884259259259)</f>
        <v>0.4524884259</v>
      </c>
      <c r="K1294" s="16"/>
      <c r="L1294" s="8"/>
      <c r="M1294" s="69"/>
      <c r="N1294" s="69">
        <f>IFERROR(__xludf.DUMMYFUNCTION("""COMPUTED_VALUE"""),3.0)</f>
        <v>3</v>
      </c>
      <c r="O1294" s="69" t="str">
        <f t="shared" si="3"/>
        <v/>
      </c>
      <c r="P1294" s="471">
        <f>IFERROR(__xludf.DUMMYFUNCTION("""COMPUTED_VALUE"""),0.0)</f>
        <v>0</v>
      </c>
      <c r="Q1294" s="274" t="str">
        <f>VLOOKUP($B1294,'Run Reconcile'!B$2:O2488,14,FALSE)</f>
        <v/>
      </c>
      <c r="R1294" s="472" t="str">
        <f t="array" ref="R1294">IF($Q1294, INDEX('Run Reconcile'!A$2:A2488,MATCH(B1294,'Run Reconcile'!B$2:B2488,0),1),IFERROR(0/0,""))</f>
        <v/>
      </c>
      <c r="S1294" s="473" t="str">
        <f t="shared" si="694"/>
        <v/>
      </c>
      <c r="T1294" s="473" t="str">
        <f t="shared" si="698"/>
        <v/>
      </c>
      <c r="U1294" s="275" t="str">
        <f t="array" ref="U1294">IF(ISBLANK($R1294), INDEX('Run Reconcile'!A$2:A2488, MATCH($B1294, 'Run Reconcile'!B$2:B2488, 0)+Z1294, 1), IFERROR(0/0,""))
</f>
        <v>RUN-FLMP_2022-05-19_RFR-144</v>
      </c>
      <c r="V1294" s="474" t="str">
        <f t="shared" si="5"/>
        <v>RUN-FLMP_2022-05-19_RFR-144</v>
      </c>
      <c r="Y1294" s="89" t="str">
        <f t="shared" si="1581"/>
        <v/>
      </c>
      <c r="Z1294" s="60" t="str">
        <f t="shared" si="7"/>
        <v/>
      </c>
      <c r="AA1294" s="60" t="str">
        <f t="shared" si="8"/>
        <v/>
      </c>
      <c r="AB1294" s="60" t="str">
        <f t="shared" si="9"/>
        <v/>
      </c>
      <c r="AC1294" s="30" t="str">
        <f t="shared" ref="AC1294:AD1294" si="1653">IF(_xlfn.ISFORMULA(S1294),IFERROR(0/0,""),TRUE)</f>
        <v/>
      </c>
      <c r="AD1294" s="30" t="str">
        <f t="shared" si="1653"/>
        <v/>
      </c>
      <c r="AE1294" s="475" t="str">
        <f>IFERROR(__xludf.DUMMYFUNCTION("""COMPUTED_VALUE"""),"CRLN")</f>
        <v>CRLN</v>
      </c>
      <c r="AF1294" s="476"/>
      <c r="AG1294" s="474" t="s">
        <v>222</v>
      </c>
      <c r="AH1294" s="138" t="str">
        <f t="shared" si="11"/>
        <v/>
      </c>
    </row>
    <row r="1295">
      <c r="A1295" s="103" t="str">
        <f>IFERROR(__xludf.DUMMYFUNCTION("""COMPUTED_VALUE"""),"AG338")</f>
        <v>AG338</v>
      </c>
      <c r="B1295" s="468">
        <f>IFERROR(__xludf.DUMMYFUNCTION("""COMPUTED_VALUE"""),44700.0)</f>
        <v>44700</v>
      </c>
      <c r="C1295" s="469">
        <f>IFERROR(__xludf.DUMMYFUNCTION("""COMPUTED_VALUE"""),0.3248726851851852)</f>
        <v>0.3248726852</v>
      </c>
      <c r="D1295" s="103" t="str">
        <f>IFERROR(__xludf.DUMMYFUNCTION("""COMPUTED_VALUE"""),"SpFLMP575271")</f>
        <v>SpFLMP575271</v>
      </c>
      <c r="E1295" s="103"/>
      <c r="F1295" s="103"/>
      <c r="G1295" s="103" t="str">
        <f>IFERROR(__xludf.DUMMYFUNCTION("""COMPUTED_VALUE"""),"Negative")</f>
        <v>Negative</v>
      </c>
      <c r="H1295" s="131" t="str">
        <f>IFERROR(__xludf.DUMMYFUNCTION("""COMPUTED_VALUE"""),"Negative")</f>
        <v>Negative</v>
      </c>
      <c r="I1295" s="468">
        <f>IFERROR(__xludf.DUMMYFUNCTION("""COMPUTED_VALUE"""),44700.0)</f>
        <v>44700</v>
      </c>
      <c r="J1295" s="470">
        <f>IFERROR(__xludf.DUMMYFUNCTION("""COMPUTED_VALUE"""),0.469849537037037)</f>
        <v>0.469849537</v>
      </c>
      <c r="K1295" s="16"/>
      <c r="L1295" s="8"/>
      <c r="M1295" s="69"/>
      <c r="N1295" s="69">
        <f>IFERROR(__xludf.DUMMYFUNCTION("""COMPUTED_VALUE"""),1.0)</f>
        <v>1</v>
      </c>
      <c r="O1295" s="69" t="str">
        <f t="shared" si="3"/>
        <v/>
      </c>
      <c r="P1295" s="471">
        <f>IFERROR(__xludf.DUMMYFUNCTION("""COMPUTED_VALUE"""),0.0)</f>
        <v>0</v>
      </c>
      <c r="Q1295" s="274" t="str">
        <f>VLOOKUP($B1295,'Run Reconcile'!B$2:O2488,14,FALSE)</f>
        <v/>
      </c>
      <c r="R1295" s="472" t="str">
        <f t="array" ref="R1295">IF($Q1295, INDEX('Run Reconcile'!A$2:A2488,MATCH(B1295,'Run Reconcile'!B$2:B2488,0),1),IFERROR(0/0,""))</f>
        <v/>
      </c>
      <c r="S1295" s="473" t="str">
        <f t="shared" si="694"/>
        <v/>
      </c>
      <c r="T1295" s="473" t="str">
        <f t="shared" si="698"/>
        <v/>
      </c>
      <c r="U1295" s="275" t="str">
        <f t="array" ref="U1295">IF(ISBLANK($R1295), INDEX('Run Reconcile'!A$2:A2488, MATCH($B1295, 'Run Reconcile'!B$2:B2488, 0)+Z1295, 1), IFERROR(0/0,""))
</f>
        <v>RUN-FLMP_2022-05-19_RFR-144</v>
      </c>
      <c r="V1295" s="474" t="str">
        <f t="shared" si="5"/>
        <v>RUN-FLMP_2022-05-19_RFR-144</v>
      </c>
      <c r="Y1295" s="89" t="str">
        <f t="shared" si="1581"/>
        <v/>
      </c>
      <c r="Z1295" s="60" t="str">
        <f t="shared" si="7"/>
        <v/>
      </c>
      <c r="AA1295" s="60" t="str">
        <f t="shared" si="8"/>
        <v/>
      </c>
      <c r="AB1295" s="60" t="str">
        <f t="shared" si="9"/>
        <v/>
      </c>
      <c r="AC1295" s="30" t="str">
        <f t="shared" ref="AC1295:AD1295" si="1654">IF(_xlfn.ISFORMULA(S1295),IFERROR(0/0,""),TRUE)</f>
        <v/>
      </c>
      <c r="AD1295" s="30" t="str">
        <f t="shared" si="1654"/>
        <v/>
      </c>
      <c r="AE1295" s="475" t="str">
        <f>IFERROR(__xludf.DUMMYFUNCTION("""COMPUTED_VALUE"""),"CRLN")</f>
        <v>CRLN</v>
      </c>
      <c r="AF1295" s="476"/>
      <c r="AG1295" s="474" t="s">
        <v>222</v>
      </c>
      <c r="AH1295" s="138" t="str">
        <f t="shared" si="11"/>
        <v/>
      </c>
    </row>
    <row r="1296">
      <c r="A1296" s="103" t="str">
        <f>IFERROR(__xludf.DUMMYFUNCTION("""COMPUTED_VALUE"""),"FLB4967")</f>
        <v>FLB4967</v>
      </c>
      <c r="B1296" s="468">
        <f>IFERROR(__xludf.DUMMYFUNCTION("""COMPUTED_VALUE"""),44700.0)</f>
        <v>44700</v>
      </c>
      <c r="C1296" s="469">
        <f>IFERROR(__xludf.DUMMYFUNCTION("""COMPUTED_VALUE"""),0.32592592592592595)</f>
        <v>0.3259259259</v>
      </c>
      <c r="D1296" s="103" t="str">
        <f>IFERROR(__xludf.DUMMYFUNCTION("""COMPUTED_VALUE"""),"SpFLMP683554")</f>
        <v>SpFLMP683554</v>
      </c>
      <c r="E1296" s="103"/>
      <c r="F1296" s="103"/>
      <c r="G1296" s="103" t="str">
        <f>IFERROR(__xludf.DUMMYFUNCTION("""COMPUTED_VALUE"""),"Negative")</f>
        <v>Negative</v>
      </c>
      <c r="H1296" s="131" t="str">
        <f>IFERROR(__xludf.DUMMYFUNCTION("""COMPUTED_VALUE"""),"Negative")</f>
        <v>Negative</v>
      </c>
      <c r="I1296" s="468">
        <f>IFERROR(__xludf.DUMMYFUNCTION("""COMPUTED_VALUE"""),44700.0)</f>
        <v>44700</v>
      </c>
      <c r="J1296" s="470">
        <f>IFERROR(__xludf.DUMMYFUNCTION("""COMPUTED_VALUE"""),0.4525)</f>
        <v>0.4525</v>
      </c>
      <c r="K1296" s="16"/>
      <c r="L1296" s="8"/>
      <c r="M1296" s="69"/>
      <c r="N1296" s="69">
        <f>IFERROR(__xludf.DUMMYFUNCTION("""COMPUTED_VALUE"""),1.0)</f>
        <v>1</v>
      </c>
      <c r="O1296" s="69" t="str">
        <f t="shared" si="3"/>
        <v/>
      </c>
      <c r="P1296" s="471">
        <f>IFERROR(__xludf.DUMMYFUNCTION("""COMPUTED_VALUE"""),0.0)</f>
        <v>0</v>
      </c>
      <c r="Q1296" s="274" t="str">
        <f>VLOOKUP($B1296,'Run Reconcile'!B$2:O2488,14,FALSE)</f>
        <v/>
      </c>
      <c r="R1296" s="472" t="str">
        <f t="array" ref="R1296">IF($Q1296, INDEX('Run Reconcile'!A$2:A2488,MATCH(B1296,'Run Reconcile'!B$2:B2488,0),1),IFERROR(0/0,""))</f>
        <v/>
      </c>
      <c r="S1296" s="473" t="str">
        <f t="shared" si="694"/>
        <v/>
      </c>
      <c r="T1296" s="473" t="str">
        <f t="shared" si="698"/>
        <v/>
      </c>
      <c r="U1296" s="275" t="str">
        <f t="array" ref="U1296">IF(ISBLANK($R1296), INDEX('Run Reconcile'!A$2:A2488, MATCH($B1296, 'Run Reconcile'!B$2:B2488, 0)+Z1296, 1), IFERROR(0/0,""))
</f>
        <v>RUN-FLMP_2022-05-19_RFR-144</v>
      </c>
      <c r="V1296" s="474" t="str">
        <f t="shared" si="5"/>
        <v>RUN-FLMP_2022-05-19_RFR-144</v>
      </c>
      <c r="Y1296" s="89" t="str">
        <f t="shared" si="1581"/>
        <v/>
      </c>
      <c r="Z1296" s="60" t="str">
        <f t="shared" si="7"/>
        <v/>
      </c>
      <c r="AA1296" s="60" t="str">
        <f t="shared" si="8"/>
        <v/>
      </c>
      <c r="AB1296" s="60" t="str">
        <f t="shared" si="9"/>
        <v/>
      </c>
      <c r="AC1296" s="30" t="str">
        <f t="shared" ref="AC1296:AD1296" si="1655">IF(_xlfn.ISFORMULA(S1296),IFERROR(0/0,""),TRUE)</f>
        <v/>
      </c>
      <c r="AD1296" s="30" t="str">
        <f t="shared" si="1655"/>
        <v/>
      </c>
      <c r="AE1296" s="475" t="str">
        <f>IFERROR(__xludf.DUMMYFUNCTION("""COMPUTED_VALUE"""),"CRLN")</f>
        <v>CRLN</v>
      </c>
      <c r="AF1296" s="476"/>
      <c r="AG1296" s="474" t="s">
        <v>222</v>
      </c>
      <c r="AH1296" s="138" t="str">
        <f t="shared" si="11"/>
        <v/>
      </c>
    </row>
    <row r="1297">
      <c r="A1297" s="103" t="str">
        <f>IFERROR(__xludf.DUMMYFUNCTION("""COMPUTED_VALUE"""),"FLB4791")</f>
        <v>FLB4791</v>
      </c>
      <c r="B1297" s="468">
        <f>IFERROR(__xludf.DUMMYFUNCTION("""COMPUTED_VALUE"""),44700.0)</f>
        <v>44700</v>
      </c>
      <c r="C1297" s="469">
        <f>IFERROR(__xludf.DUMMYFUNCTION("""COMPUTED_VALUE"""),0.3262037037037037)</f>
        <v>0.3262037037</v>
      </c>
      <c r="D1297" s="103" t="str">
        <f>IFERROR(__xludf.DUMMYFUNCTION("""COMPUTED_VALUE"""),"SpFLMP955438")</f>
        <v>SpFLMP955438</v>
      </c>
      <c r="E1297" s="103"/>
      <c r="F1297" s="103"/>
      <c r="G1297" s="103" t="str">
        <f>IFERROR(__xludf.DUMMYFUNCTION("""COMPUTED_VALUE"""),"Negative")</f>
        <v>Negative</v>
      </c>
      <c r="H1297" s="131" t="str">
        <f>IFERROR(__xludf.DUMMYFUNCTION("""COMPUTED_VALUE"""),"Negative")</f>
        <v>Negative</v>
      </c>
      <c r="I1297" s="468">
        <f>IFERROR(__xludf.DUMMYFUNCTION("""COMPUTED_VALUE"""),44700.0)</f>
        <v>44700</v>
      </c>
      <c r="J1297" s="470">
        <f>IFERROR(__xludf.DUMMYFUNCTION("""COMPUTED_VALUE"""),0.469849537037037)</f>
        <v>0.469849537</v>
      </c>
      <c r="K1297" s="16"/>
      <c r="L1297" s="8"/>
      <c r="M1297" s="69"/>
      <c r="N1297" s="69">
        <f>IFERROR(__xludf.DUMMYFUNCTION("""COMPUTED_VALUE"""),1.0)</f>
        <v>1</v>
      </c>
      <c r="O1297" s="69" t="str">
        <f t="shared" si="3"/>
        <v/>
      </c>
      <c r="P1297" s="471">
        <f>IFERROR(__xludf.DUMMYFUNCTION("""COMPUTED_VALUE"""),0.0)</f>
        <v>0</v>
      </c>
      <c r="Q1297" s="274" t="str">
        <f>VLOOKUP($B1297,'Run Reconcile'!B$2:O2488,14,FALSE)</f>
        <v/>
      </c>
      <c r="R1297" s="472" t="str">
        <f t="array" ref="R1297">IF($Q1297, INDEX('Run Reconcile'!A$2:A2488,MATCH(B1297,'Run Reconcile'!B$2:B2488,0),1),IFERROR(0/0,""))</f>
        <v/>
      </c>
      <c r="S1297" s="473" t="str">
        <f t="shared" si="694"/>
        <v/>
      </c>
      <c r="T1297" s="473" t="str">
        <f t="shared" si="698"/>
        <v/>
      </c>
      <c r="U1297" s="275" t="str">
        <f t="array" ref="U1297">IF(ISBLANK($R1297), INDEX('Run Reconcile'!A$2:A2488, MATCH($B1297, 'Run Reconcile'!B$2:B2488, 0)+Z1297, 1), IFERROR(0/0,""))
</f>
        <v>RUN-FLMP_2022-05-19_RFR-144</v>
      </c>
      <c r="V1297" s="474" t="str">
        <f t="shared" si="5"/>
        <v>RUN-FLMP_2022-05-19_RFR-144</v>
      </c>
      <c r="Y1297" s="89" t="str">
        <f t="shared" si="1581"/>
        <v/>
      </c>
      <c r="Z1297" s="60" t="str">
        <f t="shared" si="7"/>
        <v/>
      </c>
      <c r="AA1297" s="60" t="str">
        <f t="shared" si="8"/>
        <v/>
      </c>
      <c r="AB1297" s="60" t="str">
        <f t="shared" si="9"/>
        <v/>
      </c>
      <c r="AC1297" s="30" t="str">
        <f t="shared" ref="AC1297:AD1297" si="1656">IF(_xlfn.ISFORMULA(S1297),IFERROR(0/0,""),TRUE)</f>
        <v/>
      </c>
      <c r="AD1297" s="30" t="str">
        <f t="shared" si="1656"/>
        <v/>
      </c>
      <c r="AE1297" s="475" t="str">
        <f>IFERROR(__xludf.DUMMYFUNCTION("""COMPUTED_VALUE"""),"CRLN")</f>
        <v>CRLN</v>
      </c>
      <c r="AF1297" s="476"/>
      <c r="AG1297" s="474" t="s">
        <v>222</v>
      </c>
      <c r="AH1297" s="138" t="str">
        <f t="shared" si="11"/>
        <v/>
      </c>
    </row>
    <row r="1298">
      <c r="A1298" s="103" t="str">
        <f>IFERROR(__xludf.DUMMYFUNCTION("""COMPUTED_VALUE"""),"FLE249")</f>
        <v>FLE249</v>
      </c>
      <c r="B1298" s="468">
        <f>IFERROR(__xludf.DUMMYFUNCTION("""COMPUTED_VALUE"""),44700.0)</f>
        <v>44700</v>
      </c>
      <c r="C1298" s="469">
        <f>IFERROR(__xludf.DUMMYFUNCTION("""COMPUTED_VALUE"""),0.3272337962962963)</f>
        <v>0.3272337963</v>
      </c>
      <c r="D1298" s="103" t="str">
        <f>IFERROR(__xludf.DUMMYFUNCTION("""COMPUTED_VALUE"""),"SpFLMP870846")</f>
        <v>SpFLMP870846</v>
      </c>
      <c r="E1298" s="103"/>
      <c r="F1298" s="103"/>
      <c r="G1298" s="103" t="str">
        <f>IFERROR(__xludf.DUMMYFUNCTION("""COMPUTED_VALUE"""),"Negative")</f>
        <v>Negative</v>
      </c>
      <c r="H1298" s="131" t="str">
        <f>IFERROR(__xludf.DUMMYFUNCTION("""COMPUTED_VALUE"""),"Negative")</f>
        <v>Negative</v>
      </c>
      <c r="I1298" s="468">
        <f>IFERROR(__xludf.DUMMYFUNCTION("""COMPUTED_VALUE"""),44700.0)</f>
        <v>44700</v>
      </c>
      <c r="J1298" s="470">
        <f>IFERROR(__xludf.DUMMYFUNCTION("""COMPUTED_VALUE"""),0.4525)</f>
        <v>0.4525</v>
      </c>
      <c r="K1298" s="16"/>
      <c r="L1298" s="8"/>
      <c r="M1298" s="69"/>
      <c r="N1298" s="69">
        <f>IFERROR(__xludf.DUMMYFUNCTION("""COMPUTED_VALUE"""),1.0)</f>
        <v>1</v>
      </c>
      <c r="O1298" s="69" t="str">
        <f t="shared" si="3"/>
        <v/>
      </c>
      <c r="P1298" s="471">
        <f>IFERROR(__xludf.DUMMYFUNCTION("""COMPUTED_VALUE"""),0.0)</f>
        <v>0</v>
      </c>
      <c r="Q1298" s="274" t="str">
        <f>VLOOKUP($B1298,'Run Reconcile'!B$2:O2488,14,FALSE)</f>
        <v/>
      </c>
      <c r="R1298" s="472" t="str">
        <f t="array" ref="R1298">IF($Q1298, INDEX('Run Reconcile'!A$2:A2488,MATCH(B1298,'Run Reconcile'!B$2:B2488,0),1),IFERROR(0/0,""))</f>
        <v/>
      </c>
      <c r="S1298" s="473" t="str">
        <f t="shared" si="694"/>
        <v/>
      </c>
      <c r="T1298" s="473" t="str">
        <f t="shared" si="698"/>
        <v/>
      </c>
      <c r="U1298" s="275" t="str">
        <f t="array" ref="U1298">IF(ISBLANK($R1298), INDEX('Run Reconcile'!A$2:A2488, MATCH($B1298, 'Run Reconcile'!B$2:B2488, 0)+Z1298, 1), IFERROR(0/0,""))
</f>
        <v>RUN-FLMP_2022-05-19_RFR-144</v>
      </c>
      <c r="V1298" s="474" t="str">
        <f t="shared" si="5"/>
        <v>RUN-FLMP_2022-05-19_RFR-144</v>
      </c>
      <c r="Y1298" s="89" t="str">
        <f t="shared" si="1581"/>
        <v/>
      </c>
      <c r="Z1298" s="60" t="str">
        <f t="shared" si="7"/>
        <v/>
      </c>
      <c r="AA1298" s="60" t="str">
        <f t="shared" si="8"/>
        <v/>
      </c>
      <c r="AB1298" s="60" t="str">
        <f t="shared" si="9"/>
        <v/>
      </c>
      <c r="AC1298" s="30" t="str">
        <f t="shared" ref="AC1298:AD1298" si="1657">IF(_xlfn.ISFORMULA(S1298),IFERROR(0/0,""),TRUE)</f>
        <v/>
      </c>
      <c r="AD1298" s="30" t="str">
        <f t="shared" si="1657"/>
        <v/>
      </c>
      <c r="AE1298" s="475" t="str">
        <f>IFERROR(__xludf.DUMMYFUNCTION("""COMPUTED_VALUE"""),"FLSP")</f>
        <v>FLSP</v>
      </c>
      <c r="AF1298" s="476"/>
      <c r="AG1298" s="474" t="s">
        <v>222</v>
      </c>
      <c r="AH1298" s="138" t="str">
        <f t="shared" si="11"/>
        <v/>
      </c>
    </row>
    <row r="1299">
      <c r="A1299" s="103" t="str">
        <f>IFERROR(__xludf.DUMMYFUNCTION("""COMPUTED_VALUE"""),"FLB6807")</f>
        <v>FLB6807</v>
      </c>
      <c r="B1299" s="468">
        <f>IFERROR(__xludf.DUMMYFUNCTION("""COMPUTED_VALUE"""),44700.0)</f>
        <v>44700</v>
      </c>
      <c r="C1299" s="469">
        <f>IFERROR(__xludf.DUMMYFUNCTION("""COMPUTED_VALUE"""),0.3284375)</f>
        <v>0.3284375</v>
      </c>
      <c r="D1299" s="103" t="str">
        <f>IFERROR(__xludf.DUMMYFUNCTION("""COMPUTED_VALUE"""),"SpFLMP939619")</f>
        <v>SpFLMP939619</v>
      </c>
      <c r="E1299" s="103"/>
      <c r="F1299" s="103"/>
      <c r="G1299" s="103" t="str">
        <f>IFERROR(__xludf.DUMMYFUNCTION("""COMPUTED_VALUE"""),"Positive")</f>
        <v>Positive</v>
      </c>
      <c r="H1299" s="131" t="str">
        <f>IFERROR(__xludf.DUMMYFUNCTION("""COMPUTED_VALUE"""),"Positive")</f>
        <v>Positive</v>
      </c>
      <c r="I1299" s="468">
        <f>IFERROR(__xludf.DUMMYFUNCTION("""COMPUTED_VALUE"""),44704.0)</f>
        <v>44704</v>
      </c>
      <c r="J1299" s="470">
        <f>IFERROR(__xludf.DUMMYFUNCTION("""COMPUTED_VALUE"""),0.5592013888888889)</f>
        <v>0.5592013889</v>
      </c>
      <c r="K1299" s="16"/>
      <c r="L1299" s="8"/>
      <c r="M1299" s="69"/>
      <c r="N1299" s="69">
        <f>IFERROR(__xludf.DUMMYFUNCTION("""COMPUTED_VALUE"""),1.0)</f>
        <v>1</v>
      </c>
      <c r="O1299" s="69" t="str">
        <f t="shared" si="3"/>
        <v/>
      </c>
      <c r="P1299" s="471">
        <f>IFERROR(__xludf.DUMMYFUNCTION("""COMPUTED_VALUE"""),4.0)</f>
        <v>4</v>
      </c>
      <c r="Q1299" s="274" t="str">
        <f>VLOOKUP($B1299,'Run Reconcile'!B$2:O2488,14,FALSE)</f>
        <v/>
      </c>
      <c r="R1299" s="472" t="str">
        <f t="array" ref="R1299">IF($Q1299, INDEX('Run Reconcile'!A$2:A2488,MATCH(B1299,'Run Reconcile'!B$2:B2488,0),1),IFERROR(0/0,""))</f>
        <v/>
      </c>
      <c r="S1299" s="473" t="str">
        <f t="shared" si="694"/>
        <v/>
      </c>
      <c r="T1299" s="473" t="str">
        <f t="shared" si="698"/>
        <v/>
      </c>
      <c r="U1299" s="275" t="str">
        <f t="array" ref="U1299">IF(ISBLANK($R1299), INDEX('Run Reconcile'!A$2:A2488, MATCH($B1299, 'Run Reconcile'!B$2:B2488, 0)+Z1299, 1), IFERROR(0/0,""))
</f>
        <v>RUN-FLMP_2022-05-19_RFR-144</v>
      </c>
      <c r="V1299" s="474" t="str">
        <f t="shared" si="5"/>
        <v>RUN-FLMP_2022-05-19_RFR-144</v>
      </c>
      <c r="Y1299" s="89" t="str">
        <f t="shared" si="1581"/>
        <v/>
      </c>
      <c r="Z1299" s="60" t="str">
        <f t="shared" si="7"/>
        <v/>
      </c>
      <c r="AA1299" s="60" t="str">
        <f t="shared" si="8"/>
        <v/>
      </c>
      <c r="AB1299" s="60" t="str">
        <f t="shared" si="9"/>
        <v/>
      </c>
      <c r="AC1299" s="30" t="str">
        <f t="shared" ref="AC1299:AD1299" si="1658">IF(_xlfn.ISFORMULA(S1299),IFERROR(0/0,""),TRUE)</f>
        <v/>
      </c>
      <c r="AD1299" s="30" t="str">
        <f t="shared" si="1658"/>
        <v/>
      </c>
      <c r="AE1299" s="475" t="str">
        <f>IFERROR(__xludf.DUMMYFUNCTION("""COMPUTED_VALUE"""),"CRLN")</f>
        <v>CRLN</v>
      </c>
      <c r="AF1299" s="476"/>
      <c r="AG1299" s="474" t="s">
        <v>222</v>
      </c>
      <c r="AH1299" s="138" t="str">
        <f t="shared" si="11"/>
        <v/>
      </c>
    </row>
    <row r="1300">
      <c r="A1300" s="459" t="str">
        <f>IFERROR(__xludf.DUMMYFUNCTION("""COMPUTED_VALUE"""),"AJ6835")</f>
        <v>AJ6835</v>
      </c>
      <c r="B1300" s="494">
        <f>IFERROR(__xludf.DUMMYFUNCTION("""COMPUTED_VALUE"""),44700.0)</f>
        <v>44700</v>
      </c>
      <c r="C1300" s="495">
        <f>IFERROR(__xludf.DUMMYFUNCTION("""COMPUTED_VALUE"""),0.33140046296296294)</f>
        <v>0.331400463</v>
      </c>
      <c r="D1300" s="459" t="str">
        <f>IFERROR(__xludf.DUMMYFUNCTION("""COMPUTED_VALUE"""),"SpFLMP228238")</f>
        <v>SpFLMP228238</v>
      </c>
      <c r="E1300" s="459"/>
      <c r="F1300" s="459"/>
      <c r="G1300" s="459" t="str">
        <f>IFERROR(__xludf.DUMMYFUNCTION("""COMPUTED_VALUE"""),"Negative")</f>
        <v>Negative</v>
      </c>
      <c r="H1300" s="496" t="str">
        <f>IFERROR(__xludf.DUMMYFUNCTION("""COMPUTED_VALUE"""),"Negative")</f>
        <v>Negative</v>
      </c>
      <c r="I1300" s="494">
        <f>IFERROR(__xludf.DUMMYFUNCTION("""COMPUTED_VALUE"""),44704.0)</f>
        <v>44704</v>
      </c>
      <c r="J1300" s="497">
        <f>IFERROR(__xludf.DUMMYFUNCTION("""COMPUTED_VALUE"""),0.46131944444444445)</f>
        <v>0.4613194444</v>
      </c>
      <c r="K1300" s="117"/>
      <c r="L1300" s="110" t="str">
        <f>IFERROR(__xludf.DUMMYFUNCTION("""COMPUTED_VALUE"""),"run 4 days later on 5-23")</f>
        <v>run 4 days later on 5-23</v>
      </c>
      <c r="M1300" s="69"/>
      <c r="N1300" s="69">
        <f>IFERROR(__xludf.DUMMYFUNCTION("""COMPUTED_VALUE"""),3.0)</f>
        <v>3</v>
      </c>
      <c r="O1300" s="69" t="str">
        <f t="shared" si="3"/>
        <v/>
      </c>
      <c r="P1300" s="471">
        <f>IFERROR(__xludf.DUMMYFUNCTION("""COMPUTED_VALUE"""),4.0)</f>
        <v>4</v>
      </c>
      <c r="Q1300" s="274" t="str">
        <f>VLOOKUP($B1300,'Run Reconcile'!B$2:O2488,14,FALSE)</f>
        <v/>
      </c>
      <c r="R1300" s="472" t="str">
        <f t="array" ref="R1300">IF($Q1300, INDEX('Run Reconcile'!A$2:A2488,MATCH(B1300,'Run Reconcile'!B$2:B2488,0),1),IFERROR(0/0,""))</f>
        <v/>
      </c>
      <c r="S1300" s="473" t="b">
        <f t="shared" si="694"/>
        <v>1</v>
      </c>
      <c r="T1300" s="473" t="str">
        <f t="shared" si="698"/>
        <v/>
      </c>
      <c r="U1300" s="275" t="str">
        <f t="array" ref="U1300">IF(ISBLANK($R1300), INDEX('Run Reconcile'!A$2:A2488, MATCH($B1300, 'Run Reconcile'!B$2:B2488, 0)+Z1300, 1), IFERROR(0/0,""))
</f>
        <v>RUN-FLMP_2022-05-19_APS-091</v>
      </c>
      <c r="V1300" s="474" t="str">
        <f t="shared" si="5"/>
        <v>RUN-FLMP_2022-05-19_APS-091</v>
      </c>
      <c r="W1300" s="8" t="s">
        <v>1499</v>
      </c>
      <c r="Y1300" s="89">
        <f t="shared" si="1581"/>
        <v>1</v>
      </c>
      <c r="Z1300" s="60">
        <f t="shared" si="7"/>
        <v>1</v>
      </c>
      <c r="AA1300" s="60">
        <f t="shared" si="8"/>
        <v>1</v>
      </c>
      <c r="AB1300" s="60" t="str">
        <f t="shared" si="9"/>
        <v/>
      </c>
      <c r="AC1300" s="30" t="str">
        <f t="shared" ref="AC1300:AD1300" si="1659">IF(_xlfn.ISFORMULA(S1300),IFERROR(0/0,""),TRUE)</f>
        <v/>
      </c>
      <c r="AD1300" s="30" t="str">
        <f t="shared" si="1659"/>
        <v/>
      </c>
      <c r="AE1300" s="475" t="str">
        <f>IFERROR(__xludf.DUMMYFUNCTION("""COMPUTED_VALUE"""),"CRLN")</f>
        <v>CRLN</v>
      </c>
      <c r="AF1300" s="476"/>
      <c r="AG1300" s="474" t="s">
        <v>222</v>
      </c>
      <c r="AH1300" s="138" t="b">
        <f t="shared" si="11"/>
        <v>0</v>
      </c>
    </row>
    <row r="1301">
      <c r="A1301" s="103" t="str">
        <f>IFERROR(__xludf.DUMMYFUNCTION("""COMPUTED_VALUE"""),"FLB7422")</f>
        <v>FLB7422</v>
      </c>
      <c r="B1301" s="468">
        <f>IFERROR(__xludf.DUMMYFUNCTION("""COMPUTED_VALUE"""),44700.0)</f>
        <v>44700</v>
      </c>
      <c r="C1301" s="469">
        <f>IFERROR(__xludf.DUMMYFUNCTION("""COMPUTED_VALUE"""),0.33318287037037037)</f>
        <v>0.3331828704</v>
      </c>
      <c r="D1301" s="103" t="str">
        <f>IFERROR(__xludf.DUMMYFUNCTION("""COMPUTED_VALUE"""),"SpFLMP870846")</f>
        <v>SpFLMP870846</v>
      </c>
      <c r="E1301" s="103"/>
      <c r="F1301" s="103"/>
      <c r="G1301" s="103" t="str">
        <f>IFERROR(__xludf.DUMMYFUNCTION("""COMPUTED_VALUE"""),"Negative")</f>
        <v>Negative</v>
      </c>
      <c r="H1301" s="131" t="str">
        <f>IFERROR(__xludf.DUMMYFUNCTION("""COMPUTED_VALUE"""),"Negative")</f>
        <v>Negative</v>
      </c>
      <c r="I1301" s="468">
        <f>IFERROR(__xludf.DUMMYFUNCTION("""COMPUTED_VALUE"""),44700.0)</f>
        <v>44700</v>
      </c>
      <c r="J1301" s="470">
        <f>IFERROR(__xludf.DUMMYFUNCTION("""COMPUTED_VALUE"""),0.4525)</f>
        <v>0.4525</v>
      </c>
      <c r="K1301" s="16"/>
      <c r="L1301" s="8"/>
      <c r="M1301" s="69"/>
      <c r="N1301" s="69">
        <f>IFERROR(__xludf.DUMMYFUNCTION("""COMPUTED_VALUE"""),2.0)</f>
        <v>2</v>
      </c>
      <c r="O1301" s="69" t="str">
        <f t="shared" si="3"/>
        <v/>
      </c>
      <c r="P1301" s="471">
        <f>IFERROR(__xludf.DUMMYFUNCTION("""COMPUTED_VALUE"""),0.0)</f>
        <v>0</v>
      </c>
      <c r="Q1301" s="274" t="str">
        <f>VLOOKUP($B1301,'Run Reconcile'!B$2:O2488,14,FALSE)</f>
        <v/>
      </c>
      <c r="R1301" s="472" t="str">
        <f t="array" ref="R1301">IF($Q1301, INDEX('Run Reconcile'!A$2:A2488,MATCH(B1301,'Run Reconcile'!B$2:B2488,0),1),IFERROR(0/0,""))</f>
        <v/>
      </c>
      <c r="S1301" s="473" t="str">
        <f t="shared" si="694"/>
        <v/>
      </c>
      <c r="T1301" s="473" t="str">
        <f t="shared" si="698"/>
        <v/>
      </c>
      <c r="U1301" s="275" t="str">
        <f t="array" ref="U1301">IF(ISBLANK($R1301), INDEX('Run Reconcile'!A$2:A2488, MATCH($B1301, 'Run Reconcile'!B$2:B2488, 0)+Z1301, 1), IFERROR(0/0,""))
</f>
        <v>RUN-FLMP_2022-05-19_RFR-144</v>
      </c>
      <c r="V1301" s="474" t="str">
        <f t="shared" si="5"/>
        <v>RUN-FLMP_2022-05-19_RFR-144</v>
      </c>
      <c r="Y1301" s="89" t="str">
        <f t="shared" si="1581"/>
        <v/>
      </c>
      <c r="Z1301" s="60" t="str">
        <f t="shared" si="7"/>
        <v/>
      </c>
      <c r="AA1301" s="60" t="str">
        <f t="shared" si="8"/>
        <v/>
      </c>
      <c r="AB1301" s="60" t="str">
        <f t="shared" si="9"/>
        <v/>
      </c>
      <c r="AC1301" s="30" t="str">
        <f t="shared" ref="AC1301:AD1301" si="1660">IF(_xlfn.ISFORMULA(S1301),IFERROR(0/0,""),TRUE)</f>
        <v/>
      </c>
      <c r="AD1301" s="30" t="str">
        <f t="shared" si="1660"/>
        <v/>
      </c>
      <c r="AE1301" s="475" t="str">
        <f>IFERROR(__xludf.DUMMYFUNCTION("""COMPUTED_VALUE"""),"FLSP")</f>
        <v>FLSP</v>
      </c>
      <c r="AF1301" s="476"/>
      <c r="AG1301" s="474" t="s">
        <v>222</v>
      </c>
      <c r="AH1301" s="138" t="str">
        <f t="shared" si="11"/>
        <v/>
      </c>
    </row>
    <row r="1302">
      <c r="A1302" s="103" t="str">
        <f>IFERROR(__xludf.DUMMYFUNCTION("""COMPUTED_VALUE"""),"AJ4912")</f>
        <v>AJ4912</v>
      </c>
      <c r="B1302" s="468">
        <f>IFERROR(__xludf.DUMMYFUNCTION("""COMPUTED_VALUE"""),44700.0)</f>
        <v>44700</v>
      </c>
      <c r="C1302" s="469">
        <f>IFERROR(__xludf.DUMMYFUNCTION("""COMPUTED_VALUE"""),0.3438541666666667)</f>
        <v>0.3438541667</v>
      </c>
      <c r="D1302" s="103" t="str">
        <f>IFERROR(__xludf.DUMMYFUNCTION("""COMPUTED_VALUE"""),"SpFLMP314549")</f>
        <v>SpFLMP314549</v>
      </c>
      <c r="E1302" s="103"/>
      <c r="F1302" s="103"/>
      <c r="G1302" s="103" t="str">
        <f>IFERROR(__xludf.DUMMYFUNCTION("""COMPUTED_VALUE"""),"Negative")</f>
        <v>Negative</v>
      </c>
      <c r="H1302" s="131" t="str">
        <f>IFERROR(__xludf.DUMMYFUNCTION("""COMPUTED_VALUE"""),"Negative")</f>
        <v>Negative</v>
      </c>
      <c r="I1302" s="468">
        <f>IFERROR(__xludf.DUMMYFUNCTION("""COMPUTED_VALUE"""),44700.0)</f>
        <v>44700</v>
      </c>
      <c r="J1302" s="470">
        <f>IFERROR(__xludf.DUMMYFUNCTION("""COMPUTED_VALUE"""),0.4525)</f>
        <v>0.4525</v>
      </c>
      <c r="K1302" s="16"/>
      <c r="L1302" s="8"/>
      <c r="M1302" s="69"/>
      <c r="N1302" s="69">
        <f>IFERROR(__xludf.DUMMYFUNCTION("""COMPUTED_VALUE"""),1.0)</f>
        <v>1</v>
      </c>
      <c r="O1302" s="69" t="str">
        <f t="shared" si="3"/>
        <v/>
      </c>
      <c r="P1302" s="471">
        <f>IFERROR(__xludf.DUMMYFUNCTION("""COMPUTED_VALUE"""),0.0)</f>
        <v>0</v>
      </c>
      <c r="Q1302" s="274" t="str">
        <f>VLOOKUP($B1302,'Run Reconcile'!B$2:O2488,14,FALSE)</f>
        <v/>
      </c>
      <c r="R1302" s="472" t="str">
        <f t="array" ref="R1302">IF($Q1302, INDEX('Run Reconcile'!A$2:A2488,MATCH(B1302,'Run Reconcile'!B$2:B2488,0),1),IFERROR(0/0,""))</f>
        <v/>
      </c>
      <c r="S1302" s="473" t="str">
        <f t="shared" si="694"/>
        <v/>
      </c>
      <c r="T1302" s="473" t="str">
        <f t="shared" si="698"/>
        <v/>
      </c>
      <c r="U1302" s="275" t="str">
        <f t="array" ref="U1302">IF(ISBLANK($R1302), INDEX('Run Reconcile'!A$2:A2488, MATCH($B1302, 'Run Reconcile'!B$2:B2488, 0)+Z1302, 1), IFERROR(0/0,""))
</f>
        <v>RUN-FLMP_2022-05-19_RFR-144</v>
      </c>
      <c r="V1302" s="474" t="str">
        <f t="shared" si="5"/>
        <v>RUN-FLMP_2022-05-19_RFR-144</v>
      </c>
      <c r="Y1302" s="89" t="str">
        <f t="shared" si="1581"/>
        <v/>
      </c>
      <c r="Z1302" s="60" t="str">
        <f t="shared" si="7"/>
        <v/>
      </c>
      <c r="AA1302" s="60" t="str">
        <f t="shared" si="8"/>
        <v/>
      </c>
      <c r="AB1302" s="60" t="str">
        <f t="shared" si="9"/>
        <v/>
      </c>
      <c r="AC1302" s="30" t="str">
        <f t="shared" ref="AC1302:AD1302" si="1661">IF(_xlfn.ISFORMULA(S1302),IFERROR(0/0,""),TRUE)</f>
        <v/>
      </c>
      <c r="AD1302" s="30" t="str">
        <f t="shared" si="1661"/>
        <v/>
      </c>
      <c r="AE1302" s="475" t="str">
        <f>IFERROR(__xludf.DUMMYFUNCTION("""COMPUTED_VALUE"""),"CRLN")</f>
        <v>CRLN</v>
      </c>
      <c r="AF1302" s="476"/>
      <c r="AG1302" s="474" t="s">
        <v>222</v>
      </c>
      <c r="AH1302" s="138" t="str">
        <f t="shared" si="11"/>
        <v/>
      </c>
    </row>
    <row r="1303">
      <c r="A1303" s="103" t="str">
        <f>IFERROR(__xludf.DUMMYFUNCTION("""COMPUTED_VALUE"""),"FLB7415")</f>
        <v>FLB7415</v>
      </c>
      <c r="B1303" s="468">
        <f>IFERROR(__xludf.DUMMYFUNCTION("""COMPUTED_VALUE"""),44700.0)</f>
        <v>44700</v>
      </c>
      <c r="C1303" s="469">
        <f>IFERROR(__xludf.DUMMYFUNCTION("""COMPUTED_VALUE"""),0.34693287037037035)</f>
        <v>0.3469328704</v>
      </c>
      <c r="D1303" s="103" t="str">
        <f>IFERROR(__xludf.DUMMYFUNCTION("""COMPUTED_VALUE"""),"SpFLMP684798")</f>
        <v>SpFLMP684798</v>
      </c>
      <c r="E1303" s="103"/>
      <c r="F1303" s="103"/>
      <c r="G1303" s="103" t="str">
        <f>IFERROR(__xludf.DUMMYFUNCTION("""COMPUTED_VALUE"""),"Negative")</f>
        <v>Negative</v>
      </c>
      <c r="H1303" s="131" t="str">
        <f>IFERROR(__xludf.DUMMYFUNCTION("""COMPUTED_VALUE"""),"Negative")</f>
        <v>Negative</v>
      </c>
      <c r="I1303" s="468">
        <f>IFERROR(__xludf.DUMMYFUNCTION("""COMPUTED_VALUE"""),44700.0)</f>
        <v>44700</v>
      </c>
      <c r="J1303" s="470">
        <f>IFERROR(__xludf.DUMMYFUNCTION("""COMPUTED_VALUE"""),0.4525)</f>
        <v>0.4525</v>
      </c>
      <c r="K1303" s="16"/>
      <c r="L1303" s="8"/>
      <c r="M1303" s="69"/>
      <c r="N1303" s="69">
        <f>IFERROR(__xludf.DUMMYFUNCTION("""COMPUTED_VALUE"""),4.0)</f>
        <v>4</v>
      </c>
      <c r="O1303" s="69" t="str">
        <f t="shared" si="3"/>
        <v/>
      </c>
      <c r="P1303" s="471">
        <f>IFERROR(__xludf.DUMMYFUNCTION("""COMPUTED_VALUE"""),0.0)</f>
        <v>0</v>
      </c>
      <c r="Q1303" s="274" t="str">
        <f>VLOOKUP($B1303,'Run Reconcile'!B$2:O2488,14,FALSE)</f>
        <v/>
      </c>
      <c r="R1303" s="472" t="str">
        <f t="array" ref="R1303">IF($Q1303, INDEX('Run Reconcile'!A$2:A2488,MATCH(B1303,'Run Reconcile'!B$2:B2488,0),1),IFERROR(0/0,""))</f>
        <v/>
      </c>
      <c r="S1303" s="473" t="str">
        <f t="shared" si="694"/>
        <v/>
      </c>
      <c r="T1303" s="473" t="str">
        <f t="shared" si="698"/>
        <v/>
      </c>
      <c r="U1303" s="275" t="str">
        <f t="array" ref="U1303">IF(ISBLANK($R1303), INDEX('Run Reconcile'!A$2:A2488, MATCH($B1303, 'Run Reconcile'!B$2:B2488, 0)+Z1303, 1), IFERROR(0/0,""))
</f>
        <v>RUN-FLMP_2022-05-19_RFR-144</v>
      </c>
      <c r="V1303" s="474" t="str">
        <f t="shared" si="5"/>
        <v>RUN-FLMP_2022-05-19_RFR-144</v>
      </c>
      <c r="Y1303" s="89" t="str">
        <f t="shared" si="1581"/>
        <v/>
      </c>
      <c r="Z1303" s="60" t="str">
        <f t="shared" si="7"/>
        <v/>
      </c>
      <c r="AA1303" s="60" t="str">
        <f t="shared" si="8"/>
        <v/>
      </c>
      <c r="AB1303" s="60" t="str">
        <f t="shared" si="9"/>
        <v/>
      </c>
      <c r="AC1303" s="30" t="str">
        <f t="shared" ref="AC1303:AD1303" si="1662">IF(_xlfn.ISFORMULA(S1303),IFERROR(0/0,""),TRUE)</f>
        <v/>
      </c>
      <c r="AD1303" s="30" t="str">
        <f t="shared" si="1662"/>
        <v/>
      </c>
      <c r="AE1303" s="475" t="str">
        <f>IFERROR(__xludf.DUMMYFUNCTION("""COMPUTED_VALUE"""),"CRLN")</f>
        <v>CRLN</v>
      </c>
      <c r="AF1303" s="476"/>
      <c r="AG1303" s="474" t="s">
        <v>222</v>
      </c>
      <c r="AH1303" s="138" t="str">
        <f t="shared" si="11"/>
        <v/>
      </c>
    </row>
    <row r="1304">
      <c r="A1304" s="103" t="str">
        <f>IFERROR(__xludf.DUMMYFUNCTION("""COMPUTED_VALUE"""),"AK7242")</f>
        <v>AK7242</v>
      </c>
      <c r="B1304" s="468">
        <f>IFERROR(__xludf.DUMMYFUNCTION("""COMPUTED_VALUE"""),44700.0)</f>
        <v>44700</v>
      </c>
      <c r="C1304" s="469">
        <f>IFERROR(__xludf.DUMMYFUNCTION("""COMPUTED_VALUE"""),0.3496990740740741)</f>
        <v>0.3496990741</v>
      </c>
      <c r="D1304" s="103" t="str">
        <f>IFERROR(__xludf.DUMMYFUNCTION("""COMPUTED_VALUE"""),"SpFLMP777132")</f>
        <v>SpFLMP777132</v>
      </c>
      <c r="E1304" s="103"/>
      <c r="F1304" s="103"/>
      <c r="G1304" s="103" t="str">
        <f>IFERROR(__xludf.DUMMYFUNCTION("""COMPUTED_VALUE"""),"Negative")</f>
        <v>Negative</v>
      </c>
      <c r="H1304" s="131" t="str">
        <f>IFERROR(__xludf.DUMMYFUNCTION("""COMPUTED_VALUE"""),"Negative")</f>
        <v>Negative</v>
      </c>
      <c r="I1304" s="468">
        <f>IFERROR(__xludf.DUMMYFUNCTION("""COMPUTED_VALUE"""),44700.0)</f>
        <v>44700</v>
      </c>
      <c r="J1304" s="470">
        <f>IFERROR(__xludf.DUMMYFUNCTION("""COMPUTED_VALUE"""),0.4525)</f>
        <v>0.4525</v>
      </c>
      <c r="K1304" s="16"/>
      <c r="L1304" s="8"/>
      <c r="M1304" s="69"/>
      <c r="N1304" s="69">
        <f>IFERROR(__xludf.DUMMYFUNCTION("""COMPUTED_VALUE"""),4.0)</f>
        <v>4</v>
      </c>
      <c r="O1304" s="69" t="str">
        <f t="shared" si="3"/>
        <v/>
      </c>
      <c r="P1304" s="471">
        <f>IFERROR(__xludf.DUMMYFUNCTION("""COMPUTED_VALUE"""),0.0)</f>
        <v>0</v>
      </c>
      <c r="Q1304" s="274" t="str">
        <f>VLOOKUP($B1304,'Run Reconcile'!B$2:O2488,14,FALSE)</f>
        <v/>
      </c>
      <c r="R1304" s="472" t="str">
        <f t="array" ref="R1304">IF($Q1304, INDEX('Run Reconcile'!A$2:A2488,MATCH(B1304,'Run Reconcile'!B$2:B2488,0),1),IFERROR(0/0,""))</f>
        <v/>
      </c>
      <c r="S1304" s="473" t="str">
        <f t="shared" si="694"/>
        <v/>
      </c>
      <c r="T1304" s="473" t="str">
        <f t="shared" si="698"/>
        <v/>
      </c>
      <c r="U1304" s="275" t="str">
        <f t="array" ref="U1304">IF(ISBLANK($R1304), INDEX('Run Reconcile'!A$2:A2488, MATCH($B1304, 'Run Reconcile'!B$2:B2488, 0)+Z1304, 1), IFERROR(0/0,""))
</f>
        <v>RUN-FLMP_2022-05-19_RFR-144</v>
      </c>
      <c r="V1304" s="474" t="str">
        <f t="shared" si="5"/>
        <v>RUN-FLMP_2022-05-19_RFR-144</v>
      </c>
      <c r="Y1304" s="89" t="str">
        <f t="shared" si="1581"/>
        <v/>
      </c>
      <c r="Z1304" s="60" t="str">
        <f t="shared" si="7"/>
        <v/>
      </c>
      <c r="AA1304" s="60" t="str">
        <f t="shared" si="8"/>
        <v/>
      </c>
      <c r="AB1304" s="60" t="str">
        <f t="shared" si="9"/>
        <v/>
      </c>
      <c r="AC1304" s="30" t="str">
        <f t="shared" ref="AC1304:AD1304" si="1663">IF(_xlfn.ISFORMULA(S1304),IFERROR(0/0,""),TRUE)</f>
        <v/>
      </c>
      <c r="AD1304" s="30" t="str">
        <f t="shared" si="1663"/>
        <v/>
      </c>
      <c r="AE1304" s="475" t="str">
        <f>IFERROR(__xludf.DUMMYFUNCTION("""COMPUTED_VALUE"""),"CRLN")</f>
        <v>CRLN</v>
      </c>
      <c r="AF1304" s="476"/>
      <c r="AG1304" s="474" t="s">
        <v>222</v>
      </c>
      <c r="AH1304" s="138" t="str">
        <f t="shared" si="11"/>
        <v/>
      </c>
    </row>
    <row r="1305">
      <c r="A1305" s="103" t="str">
        <f>IFERROR(__xludf.DUMMYFUNCTION("""COMPUTED_VALUE"""),"AK5676")</f>
        <v>AK5676</v>
      </c>
      <c r="B1305" s="468">
        <f>IFERROR(__xludf.DUMMYFUNCTION("""COMPUTED_VALUE"""),44700.0)</f>
        <v>44700</v>
      </c>
      <c r="C1305" s="469">
        <f>IFERROR(__xludf.DUMMYFUNCTION("""COMPUTED_VALUE"""),0.3514351851851852)</f>
        <v>0.3514351852</v>
      </c>
      <c r="D1305" s="103" t="str">
        <f>IFERROR(__xludf.DUMMYFUNCTION("""COMPUTED_VALUE"""),"SpFLMP604497")</f>
        <v>SpFLMP604497</v>
      </c>
      <c r="E1305" s="103"/>
      <c r="F1305" s="103"/>
      <c r="G1305" s="103" t="str">
        <f>IFERROR(__xludf.DUMMYFUNCTION("""COMPUTED_VALUE"""),"Negative")</f>
        <v>Negative</v>
      </c>
      <c r="H1305" s="131" t="str">
        <f>IFERROR(__xludf.DUMMYFUNCTION("""COMPUTED_VALUE"""),"Negative")</f>
        <v>Negative</v>
      </c>
      <c r="I1305" s="468">
        <f>IFERROR(__xludf.DUMMYFUNCTION("""COMPUTED_VALUE"""),44700.0)</f>
        <v>44700</v>
      </c>
      <c r="J1305" s="470">
        <f>IFERROR(__xludf.DUMMYFUNCTION("""COMPUTED_VALUE"""),0.4525)</f>
        <v>0.4525</v>
      </c>
      <c r="K1305" s="16"/>
      <c r="L1305" s="8"/>
      <c r="M1305" s="69"/>
      <c r="N1305" s="69">
        <f>IFERROR(__xludf.DUMMYFUNCTION("""COMPUTED_VALUE"""),4.0)</f>
        <v>4</v>
      </c>
      <c r="O1305" s="69" t="str">
        <f t="shared" si="3"/>
        <v/>
      </c>
      <c r="P1305" s="471">
        <f>IFERROR(__xludf.DUMMYFUNCTION("""COMPUTED_VALUE"""),0.0)</f>
        <v>0</v>
      </c>
      <c r="Q1305" s="274" t="str">
        <f>VLOOKUP($B1305,'Run Reconcile'!B$2:O2488,14,FALSE)</f>
        <v/>
      </c>
      <c r="R1305" s="472" t="str">
        <f t="array" ref="R1305">IF($Q1305, INDEX('Run Reconcile'!A$2:A2488,MATCH(B1305,'Run Reconcile'!B$2:B2488,0),1),IFERROR(0/0,""))</f>
        <v/>
      </c>
      <c r="S1305" s="473" t="str">
        <f t="shared" si="694"/>
        <v/>
      </c>
      <c r="T1305" s="473" t="str">
        <f t="shared" si="698"/>
        <v/>
      </c>
      <c r="U1305" s="275" t="str">
        <f t="array" ref="U1305">IF(ISBLANK($R1305), INDEX('Run Reconcile'!A$2:A2488, MATCH($B1305, 'Run Reconcile'!B$2:B2488, 0)+Z1305, 1), IFERROR(0/0,""))
</f>
        <v>RUN-FLMP_2022-05-19_RFR-144</v>
      </c>
      <c r="V1305" s="474" t="str">
        <f t="shared" si="5"/>
        <v>RUN-FLMP_2022-05-19_RFR-144</v>
      </c>
      <c r="Y1305" s="89" t="str">
        <f t="shared" si="1581"/>
        <v/>
      </c>
      <c r="Z1305" s="60" t="str">
        <f t="shared" si="7"/>
        <v/>
      </c>
      <c r="AA1305" s="60" t="str">
        <f t="shared" si="8"/>
        <v/>
      </c>
      <c r="AB1305" s="60" t="str">
        <f t="shared" si="9"/>
        <v/>
      </c>
      <c r="AC1305" s="30" t="str">
        <f t="shared" ref="AC1305:AD1305" si="1664">IF(_xlfn.ISFORMULA(S1305),IFERROR(0/0,""),TRUE)</f>
        <v/>
      </c>
      <c r="AD1305" s="30" t="str">
        <f t="shared" si="1664"/>
        <v/>
      </c>
      <c r="AE1305" s="475" t="str">
        <f>IFERROR(__xludf.DUMMYFUNCTION("""COMPUTED_VALUE"""),"CRLN")</f>
        <v>CRLN</v>
      </c>
      <c r="AF1305" s="476"/>
      <c r="AG1305" s="474" t="s">
        <v>222</v>
      </c>
      <c r="AH1305" s="138" t="str">
        <f t="shared" si="11"/>
        <v/>
      </c>
    </row>
    <row r="1306">
      <c r="A1306" s="103" t="str">
        <f>IFERROR(__xludf.DUMMYFUNCTION("""COMPUTED_VALUE"""),"AG2012")</f>
        <v>AG2012</v>
      </c>
      <c r="B1306" s="468">
        <f>IFERROR(__xludf.DUMMYFUNCTION("""COMPUTED_VALUE"""),44700.0)</f>
        <v>44700</v>
      </c>
      <c r="C1306" s="469">
        <f>IFERROR(__xludf.DUMMYFUNCTION("""COMPUTED_VALUE"""),0.35280092592592593)</f>
        <v>0.3528009259</v>
      </c>
      <c r="D1306" s="103" t="str">
        <f>IFERROR(__xludf.DUMMYFUNCTION("""COMPUTED_VALUE"""),"SpFLMP600756")</f>
        <v>SpFLMP600756</v>
      </c>
      <c r="E1306" s="103"/>
      <c r="F1306" s="103"/>
      <c r="G1306" s="103" t="str">
        <f>IFERROR(__xludf.DUMMYFUNCTION("""COMPUTED_VALUE"""),"Negative")</f>
        <v>Negative</v>
      </c>
      <c r="H1306" s="131" t="str">
        <f>IFERROR(__xludf.DUMMYFUNCTION("""COMPUTED_VALUE"""),"Negative")</f>
        <v>Negative</v>
      </c>
      <c r="I1306" s="468">
        <f>IFERROR(__xludf.DUMMYFUNCTION("""COMPUTED_VALUE"""),44700.0)</f>
        <v>44700</v>
      </c>
      <c r="J1306" s="470">
        <f>IFERROR(__xludf.DUMMYFUNCTION("""COMPUTED_VALUE"""),0.469849537037037)</f>
        <v>0.469849537</v>
      </c>
      <c r="K1306" s="16"/>
      <c r="L1306" s="8"/>
      <c r="M1306" s="69"/>
      <c r="N1306" s="69">
        <f>IFERROR(__xludf.DUMMYFUNCTION("""COMPUTED_VALUE"""),2.0)</f>
        <v>2</v>
      </c>
      <c r="O1306" s="69" t="str">
        <f t="shared" si="3"/>
        <v/>
      </c>
      <c r="P1306" s="471">
        <f>IFERROR(__xludf.DUMMYFUNCTION("""COMPUTED_VALUE"""),0.0)</f>
        <v>0</v>
      </c>
      <c r="Q1306" s="274" t="str">
        <f>VLOOKUP($B1306,'Run Reconcile'!B$2:O2488,14,FALSE)</f>
        <v/>
      </c>
      <c r="R1306" s="472" t="str">
        <f t="array" ref="R1306">IF($Q1306, INDEX('Run Reconcile'!A$2:A2488,MATCH(B1306,'Run Reconcile'!B$2:B2488,0),1),IFERROR(0/0,""))</f>
        <v/>
      </c>
      <c r="S1306" s="473" t="str">
        <f t="shared" si="694"/>
        <v/>
      </c>
      <c r="T1306" s="473" t="str">
        <f t="shared" si="698"/>
        <v/>
      </c>
      <c r="U1306" s="275" t="str">
        <f t="array" ref="U1306">IF(ISBLANK($R1306), INDEX('Run Reconcile'!A$2:A2488, MATCH($B1306, 'Run Reconcile'!B$2:B2488, 0)+Z1306, 1), IFERROR(0/0,""))
</f>
        <v>RUN-FLMP_2022-05-19_RFR-144</v>
      </c>
      <c r="V1306" s="474" t="str">
        <f t="shared" si="5"/>
        <v>RUN-FLMP_2022-05-19_RFR-144</v>
      </c>
      <c r="Y1306" s="89" t="str">
        <f t="shared" si="1581"/>
        <v/>
      </c>
      <c r="Z1306" s="60" t="str">
        <f t="shared" si="7"/>
        <v/>
      </c>
      <c r="AA1306" s="60" t="str">
        <f t="shared" si="8"/>
        <v/>
      </c>
      <c r="AB1306" s="60" t="str">
        <f t="shared" si="9"/>
        <v/>
      </c>
      <c r="AC1306" s="30" t="str">
        <f t="shared" ref="AC1306:AD1306" si="1665">IF(_xlfn.ISFORMULA(S1306),IFERROR(0/0,""),TRUE)</f>
        <v/>
      </c>
      <c r="AD1306" s="30" t="str">
        <f t="shared" si="1665"/>
        <v/>
      </c>
      <c r="AE1306" s="475" t="str">
        <f>IFERROR(__xludf.DUMMYFUNCTION("""COMPUTED_VALUE"""),"CRLN")</f>
        <v>CRLN</v>
      </c>
      <c r="AF1306" s="476"/>
      <c r="AG1306" s="474" t="s">
        <v>222</v>
      </c>
      <c r="AH1306" s="138" t="str">
        <f t="shared" si="11"/>
        <v/>
      </c>
    </row>
    <row r="1307">
      <c r="A1307" s="103" t="str">
        <f>IFERROR(__xludf.DUMMYFUNCTION("""COMPUTED_VALUE"""),"AK6475")</f>
        <v>AK6475</v>
      </c>
      <c r="B1307" s="468">
        <f>IFERROR(__xludf.DUMMYFUNCTION("""COMPUTED_VALUE"""),44700.0)</f>
        <v>44700</v>
      </c>
      <c r="C1307" s="469">
        <f>IFERROR(__xludf.DUMMYFUNCTION("""COMPUTED_VALUE"""),0.3542592592592593)</f>
        <v>0.3542592593</v>
      </c>
      <c r="D1307" s="103" t="str">
        <f>IFERROR(__xludf.DUMMYFUNCTION("""COMPUTED_VALUE"""),"SpFLMP690282")</f>
        <v>SpFLMP690282</v>
      </c>
      <c r="E1307" s="103"/>
      <c r="F1307" s="103"/>
      <c r="G1307" s="103" t="str">
        <f>IFERROR(__xludf.DUMMYFUNCTION("""COMPUTED_VALUE"""),"Negative")</f>
        <v>Negative</v>
      </c>
      <c r="H1307" s="131" t="str">
        <f>IFERROR(__xludf.DUMMYFUNCTION("""COMPUTED_VALUE"""),"Negative")</f>
        <v>Negative</v>
      </c>
      <c r="I1307" s="468">
        <f>IFERROR(__xludf.DUMMYFUNCTION("""COMPUTED_VALUE"""),44700.0)</f>
        <v>44700</v>
      </c>
      <c r="J1307" s="470">
        <f>IFERROR(__xludf.DUMMYFUNCTION("""COMPUTED_VALUE"""),0.4525)</f>
        <v>0.4525</v>
      </c>
      <c r="K1307" s="16"/>
      <c r="L1307" s="8"/>
      <c r="M1307" s="69"/>
      <c r="N1307" s="69">
        <f>IFERROR(__xludf.DUMMYFUNCTION("""COMPUTED_VALUE"""),1.0)</f>
        <v>1</v>
      </c>
      <c r="O1307" s="69" t="str">
        <f t="shared" si="3"/>
        <v/>
      </c>
      <c r="P1307" s="471">
        <f>IFERROR(__xludf.DUMMYFUNCTION("""COMPUTED_VALUE"""),0.0)</f>
        <v>0</v>
      </c>
      <c r="Q1307" s="274" t="str">
        <f>VLOOKUP($B1307,'Run Reconcile'!B$2:O2488,14,FALSE)</f>
        <v/>
      </c>
      <c r="R1307" s="472" t="str">
        <f t="array" ref="R1307">IF($Q1307, INDEX('Run Reconcile'!A$2:A2488,MATCH(B1307,'Run Reconcile'!B$2:B2488,0),1),IFERROR(0/0,""))</f>
        <v/>
      </c>
      <c r="S1307" s="473" t="str">
        <f t="shared" si="694"/>
        <v/>
      </c>
      <c r="T1307" s="473" t="str">
        <f t="shared" si="698"/>
        <v/>
      </c>
      <c r="U1307" s="275" t="str">
        <f t="array" ref="U1307">IF(ISBLANK($R1307), INDEX('Run Reconcile'!A$2:A2488, MATCH($B1307, 'Run Reconcile'!B$2:B2488, 0)+Z1307, 1), IFERROR(0/0,""))
</f>
        <v>RUN-FLMP_2022-05-19_RFR-144</v>
      </c>
      <c r="V1307" s="474" t="str">
        <f t="shared" si="5"/>
        <v>RUN-FLMP_2022-05-19_RFR-144</v>
      </c>
      <c r="Y1307" s="89" t="str">
        <f t="shared" si="1581"/>
        <v/>
      </c>
      <c r="Z1307" s="60" t="str">
        <f t="shared" si="7"/>
        <v/>
      </c>
      <c r="AA1307" s="60" t="str">
        <f t="shared" si="8"/>
        <v/>
      </c>
      <c r="AB1307" s="60" t="str">
        <f t="shared" si="9"/>
        <v/>
      </c>
      <c r="AC1307" s="30" t="str">
        <f t="shared" ref="AC1307:AD1307" si="1666">IF(_xlfn.ISFORMULA(S1307),IFERROR(0/0,""),TRUE)</f>
        <v/>
      </c>
      <c r="AD1307" s="30" t="str">
        <f t="shared" si="1666"/>
        <v/>
      </c>
      <c r="AE1307" s="475" t="str">
        <f>IFERROR(__xludf.DUMMYFUNCTION("""COMPUTED_VALUE"""),"CRLN")</f>
        <v>CRLN</v>
      </c>
      <c r="AF1307" s="476"/>
      <c r="AG1307" s="474" t="s">
        <v>222</v>
      </c>
      <c r="AH1307" s="138" t="str">
        <f t="shared" si="11"/>
        <v/>
      </c>
    </row>
    <row r="1308">
      <c r="A1308" s="103" t="str">
        <f>IFERROR(__xludf.DUMMYFUNCTION("""COMPUTED_VALUE"""),"AG1449")</f>
        <v>AG1449</v>
      </c>
      <c r="B1308" s="468">
        <f>IFERROR(__xludf.DUMMYFUNCTION("""COMPUTED_VALUE"""),44700.0)</f>
        <v>44700</v>
      </c>
      <c r="C1308" s="469">
        <f>IFERROR(__xludf.DUMMYFUNCTION("""COMPUTED_VALUE"""),0.3559953703703704)</f>
        <v>0.3559953704</v>
      </c>
      <c r="D1308" s="103" t="str">
        <f>IFERROR(__xludf.DUMMYFUNCTION("""COMPUTED_VALUE"""),"SpFLMP683385")</f>
        <v>SpFLMP683385</v>
      </c>
      <c r="E1308" s="103"/>
      <c r="F1308" s="103"/>
      <c r="G1308" s="103" t="str">
        <f>IFERROR(__xludf.DUMMYFUNCTION("""COMPUTED_VALUE"""),"Negative")</f>
        <v>Negative</v>
      </c>
      <c r="H1308" s="131" t="str">
        <f>IFERROR(__xludf.DUMMYFUNCTION("""COMPUTED_VALUE"""),"Negative")</f>
        <v>Negative</v>
      </c>
      <c r="I1308" s="468">
        <f>IFERROR(__xludf.DUMMYFUNCTION("""COMPUTED_VALUE"""),44700.0)</f>
        <v>44700</v>
      </c>
      <c r="J1308" s="470">
        <f>IFERROR(__xludf.DUMMYFUNCTION("""COMPUTED_VALUE"""),0.4525)</f>
        <v>0.4525</v>
      </c>
      <c r="K1308" s="16"/>
      <c r="L1308" s="8"/>
      <c r="M1308" s="69"/>
      <c r="N1308" s="69">
        <f>IFERROR(__xludf.DUMMYFUNCTION("""COMPUTED_VALUE"""),2.0)</f>
        <v>2</v>
      </c>
      <c r="O1308" s="69" t="str">
        <f t="shared" si="3"/>
        <v/>
      </c>
      <c r="P1308" s="471">
        <f>IFERROR(__xludf.DUMMYFUNCTION("""COMPUTED_VALUE"""),0.0)</f>
        <v>0</v>
      </c>
      <c r="Q1308" s="274" t="str">
        <f>VLOOKUP($B1308,'Run Reconcile'!B$2:O2488,14,FALSE)</f>
        <v/>
      </c>
      <c r="R1308" s="472" t="str">
        <f t="array" ref="R1308">IF($Q1308, INDEX('Run Reconcile'!A$2:A2488,MATCH(B1308,'Run Reconcile'!B$2:B2488,0),1),IFERROR(0/0,""))</f>
        <v/>
      </c>
      <c r="S1308" s="473" t="str">
        <f t="shared" si="694"/>
        <v/>
      </c>
      <c r="T1308" s="473" t="str">
        <f t="shared" si="698"/>
        <v/>
      </c>
      <c r="U1308" s="275" t="str">
        <f t="array" ref="U1308">IF(ISBLANK($R1308), INDEX('Run Reconcile'!A$2:A2488, MATCH($B1308, 'Run Reconcile'!B$2:B2488, 0)+Z1308, 1), IFERROR(0/0,""))
</f>
        <v>RUN-FLMP_2022-05-19_RFR-144</v>
      </c>
      <c r="V1308" s="474" t="str">
        <f t="shared" si="5"/>
        <v>RUN-FLMP_2022-05-19_RFR-144</v>
      </c>
      <c r="Y1308" s="89" t="str">
        <f t="shared" si="1581"/>
        <v/>
      </c>
      <c r="Z1308" s="60" t="str">
        <f t="shared" si="7"/>
        <v/>
      </c>
      <c r="AA1308" s="60" t="str">
        <f t="shared" si="8"/>
        <v/>
      </c>
      <c r="AB1308" s="60" t="str">
        <f t="shared" si="9"/>
        <v/>
      </c>
      <c r="AC1308" s="30" t="str">
        <f t="shared" ref="AC1308:AD1308" si="1667">IF(_xlfn.ISFORMULA(S1308),IFERROR(0/0,""),TRUE)</f>
        <v/>
      </c>
      <c r="AD1308" s="30" t="str">
        <f t="shared" si="1667"/>
        <v/>
      </c>
      <c r="AE1308" s="475" t="str">
        <f>IFERROR(__xludf.DUMMYFUNCTION("""COMPUTED_VALUE"""),"CRLN")</f>
        <v>CRLN</v>
      </c>
      <c r="AF1308" s="476"/>
      <c r="AG1308" s="474" t="s">
        <v>222</v>
      </c>
      <c r="AH1308" s="138" t="str">
        <f t="shared" si="11"/>
        <v/>
      </c>
    </row>
    <row r="1309">
      <c r="A1309" s="103" t="str">
        <f>IFERROR(__xludf.DUMMYFUNCTION("""COMPUTED_VALUE"""),"AH7513")</f>
        <v>AH7513</v>
      </c>
      <c r="B1309" s="468">
        <f>IFERROR(__xludf.DUMMYFUNCTION("""COMPUTED_VALUE"""),44700.0)</f>
        <v>44700</v>
      </c>
      <c r="C1309" s="469">
        <f>IFERROR(__xludf.DUMMYFUNCTION("""COMPUTED_VALUE"""),0.35930555555555554)</f>
        <v>0.3593055556</v>
      </c>
      <c r="D1309" s="103" t="str">
        <f>IFERROR(__xludf.DUMMYFUNCTION("""COMPUTED_VALUE"""),"SpFLMP170622")</f>
        <v>SpFLMP170622</v>
      </c>
      <c r="E1309" s="103"/>
      <c r="F1309" s="103"/>
      <c r="G1309" s="103" t="str">
        <f>IFERROR(__xludf.DUMMYFUNCTION("""COMPUTED_VALUE"""),"Negative")</f>
        <v>Negative</v>
      </c>
      <c r="H1309" s="131" t="str">
        <f>IFERROR(__xludf.DUMMYFUNCTION("""COMPUTED_VALUE"""),"Negative")</f>
        <v>Negative</v>
      </c>
      <c r="I1309" s="468">
        <f>IFERROR(__xludf.DUMMYFUNCTION("""COMPUTED_VALUE"""),44700.0)</f>
        <v>44700</v>
      </c>
      <c r="J1309" s="470">
        <f>IFERROR(__xludf.DUMMYFUNCTION("""COMPUTED_VALUE"""),0.4525)</f>
        <v>0.4525</v>
      </c>
      <c r="K1309" s="16"/>
      <c r="L1309" s="8"/>
      <c r="M1309" s="69"/>
      <c r="N1309" s="69">
        <f>IFERROR(__xludf.DUMMYFUNCTION("""COMPUTED_VALUE"""),3.0)</f>
        <v>3</v>
      </c>
      <c r="O1309" s="69" t="str">
        <f t="shared" si="3"/>
        <v/>
      </c>
      <c r="P1309" s="471">
        <f>IFERROR(__xludf.DUMMYFUNCTION("""COMPUTED_VALUE"""),0.0)</f>
        <v>0</v>
      </c>
      <c r="Q1309" s="274" t="str">
        <f>VLOOKUP($B1309,'Run Reconcile'!B$2:O2488,14,FALSE)</f>
        <v/>
      </c>
      <c r="R1309" s="472" t="str">
        <f t="array" ref="R1309">IF($Q1309, INDEX('Run Reconcile'!A$2:A2488,MATCH(B1309,'Run Reconcile'!B$2:B2488,0),1),IFERROR(0/0,""))</f>
        <v/>
      </c>
      <c r="S1309" s="473" t="str">
        <f t="shared" si="694"/>
        <v/>
      </c>
      <c r="T1309" s="473" t="str">
        <f t="shared" si="698"/>
        <v/>
      </c>
      <c r="U1309" s="275" t="str">
        <f t="array" ref="U1309">IF(ISBLANK($R1309), INDEX('Run Reconcile'!A$2:A2488, MATCH($B1309, 'Run Reconcile'!B$2:B2488, 0)+Z1309, 1), IFERROR(0/0,""))
</f>
        <v>RUN-FLMP_2022-05-19_RFR-144</v>
      </c>
      <c r="V1309" s="474" t="str">
        <f t="shared" si="5"/>
        <v>RUN-FLMP_2022-05-19_RFR-144</v>
      </c>
      <c r="Y1309" s="89" t="str">
        <f t="shared" si="1581"/>
        <v/>
      </c>
      <c r="Z1309" s="60" t="str">
        <f t="shared" si="7"/>
        <v/>
      </c>
      <c r="AA1309" s="60" t="str">
        <f t="shared" si="8"/>
        <v/>
      </c>
      <c r="AB1309" s="60" t="str">
        <f t="shared" si="9"/>
        <v/>
      </c>
      <c r="AC1309" s="30" t="str">
        <f t="shared" ref="AC1309:AD1309" si="1668">IF(_xlfn.ISFORMULA(S1309),IFERROR(0/0,""),TRUE)</f>
        <v/>
      </c>
      <c r="AD1309" s="30" t="str">
        <f t="shared" si="1668"/>
        <v/>
      </c>
      <c r="AE1309" s="475" t="str">
        <f>IFERROR(__xludf.DUMMYFUNCTION("""COMPUTED_VALUE"""),"CRLN")</f>
        <v>CRLN</v>
      </c>
      <c r="AF1309" s="476"/>
      <c r="AG1309" s="474" t="s">
        <v>222</v>
      </c>
      <c r="AH1309" s="138" t="str">
        <f t="shared" si="11"/>
        <v/>
      </c>
    </row>
    <row r="1310">
      <c r="A1310" s="103" t="str">
        <f>IFERROR(__xludf.DUMMYFUNCTION("""COMPUTED_VALUE"""),"AJ8261")</f>
        <v>AJ8261</v>
      </c>
      <c r="B1310" s="468">
        <f>IFERROR(__xludf.DUMMYFUNCTION("""COMPUTED_VALUE"""),44700.0)</f>
        <v>44700</v>
      </c>
      <c r="C1310" s="469">
        <f>IFERROR(__xludf.DUMMYFUNCTION("""COMPUTED_VALUE"""),0.3608564814814815)</f>
        <v>0.3608564815</v>
      </c>
      <c r="D1310" s="103" t="str">
        <f>IFERROR(__xludf.DUMMYFUNCTION("""COMPUTED_VALUE"""),"SpFLMP120998")</f>
        <v>SpFLMP120998</v>
      </c>
      <c r="E1310" s="103"/>
      <c r="F1310" s="103"/>
      <c r="G1310" s="103" t="str">
        <f>IFERROR(__xludf.DUMMYFUNCTION("""COMPUTED_VALUE"""),"Negative")</f>
        <v>Negative</v>
      </c>
      <c r="H1310" s="131" t="str">
        <f>IFERROR(__xludf.DUMMYFUNCTION("""COMPUTED_VALUE"""),"Negative")</f>
        <v>Negative</v>
      </c>
      <c r="I1310" s="468">
        <f>IFERROR(__xludf.DUMMYFUNCTION("""COMPUTED_VALUE"""),44700.0)</f>
        <v>44700</v>
      </c>
      <c r="J1310" s="470">
        <f>IFERROR(__xludf.DUMMYFUNCTION("""COMPUTED_VALUE"""),0.4525)</f>
        <v>0.4525</v>
      </c>
      <c r="K1310" s="16"/>
      <c r="L1310" s="8"/>
      <c r="M1310" s="69"/>
      <c r="N1310" s="69">
        <f>IFERROR(__xludf.DUMMYFUNCTION("""COMPUTED_VALUE"""),2.0)</f>
        <v>2</v>
      </c>
      <c r="O1310" s="69" t="str">
        <f t="shared" si="3"/>
        <v/>
      </c>
      <c r="P1310" s="471">
        <f>IFERROR(__xludf.DUMMYFUNCTION("""COMPUTED_VALUE"""),0.0)</f>
        <v>0</v>
      </c>
      <c r="Q1310" s="274" t="str">
        <f>VLOOKUP($B1310,'Run Reconcile'!B$2:O2488,14,FALSE)</f>
        <v/>
      </c>
      <c r="R1310" s="472" t="str">
        <f t="array" ref="R1310">IF($Q1310, INDEX('Run Reconcile'!A$2:A2488,MATCH(B1310,'Run Reconcile'!B$2:B2488,0),1),IFERROR(0/0,""))</f>
        <v/>
      </c>
      <c r="S1310" s="473" t="str">
        <f t="shared" si="694"/>
        <v/>
      </c>
      <c r="T1310" s="473" t="str">
        <f t="shared" si="698"/>
        <v/>
      </c>
      <c r="U1310" s="275" t="str">
        <f t="array" ref="U1310">IF(ISBLANK($R1310), INDEX('Run Reconcile'!A$2:A2488, MATCH($B1310, 'Run Reconcile'!B$2:B2488, 0)+Z1310, 1), IFERROR(0/0,""))
</f>
        <v>RUN-FLMP_2022-05-19_RFR-144</v>
      </c>
      <c r="V1310" s="474" t="str">
        <f t="shared" si="5"/>
        <v>RUN-FLMP_2022-05-19_RFR-144</v>
      </c>
      <c r="Y1310" s="89" t="str">
        <f t="shared" si="1581"/>
        <v/>
      </c>
      <c r="Z1310" s="60" t="str">
        <f t="shared" si="7"/>
        <v/>
      </c>
      <c r="AA1310" s="60" t="str">
        <f t="shared" si="8"/>
        <v/>
      </c>
      <c r="AB1310" s="60" t="str">
        <f t="shared" si="9"/>
        <v/>
      </c>
      <c r="AC1310" s="30" t="str">
        <f t="shared" ref="AC1310:AD1310" si="1669">IF(_xlfn.ISFORMULA(S1310),IFERROR(0/0,""),TRUE)</f>
        <v/>
      </c>
      <c r="AD1310" s="30" t="str">
        <f t="shared" si="1669"/>
        <v/>
      </c>
      <c r="AE1310" s="475" t="str">
        <f>IFERROR(__xludf.DUMMYFUNCTION("""COMPUTED_VALUE"""),"FLSP")</f>
        <v>FLSP</v>
      </c>
      <c r="AF1310" s="476"/>
      <c r="AG1310" s="474" t="s">
        <v>222</v>
      </c>
      <c r="AH1310" s="138" t="str">
        <f t="shared" si="11"/>
        <v/>
      </c>
    </row>
    <row r="1311">
      <c r="A1311" s="103" t="str">
        <f>IFERROR(__xludf.DUMMYFUNCTION("""COMPUTED_VALUE"""),"AH8143")</f>
        <v>AH8143</v>
      </c>
      <c r="B1311" s="468">
        <f>IFERROR(__xludf.DUMMYFUNCTION("""COMPUTED_VALUE"""),44700.0)</f>
        <v>44700</v>
      </c>
      <c r="C1311" s="469">
        <f>IFERROR(__xludf.DUMMYFUNCTION("""COMPUTED_VALUE"""),0.36288194444444444)</f>
        <v>0.3628819444</v>
      </c>
      <c r="D1311" s="103" t="str">
        <f>IFERROR(__xludf.DUMMYFUNCTION("""COMPUTED_VALUE"""),"SpFLMP946259")</f>
        <v>SpFLMP946259</v>
      </c>
      <c r="E1311" s="103"/>
      <c r="F1311" s="103"/>
      <c r="G1311" s="103" t="str">
        <f>IFERROR(__xludf.DUMMYFUNCTION("""COMPUTED_VALUE"""),"Negative")</f>
        <v>Negative</v>
      </c>
      <c r="H1311" s="131" t="str">
        <f>IFERROR(__xludf.DUMMYFUNCTION("""COMPUTED_VALUE"""),"Negative")</f>
        <v>Negative</v>
      </c>
      <c r="I1311" s="468">
        <f>IFERROR(__xludf.DUMMYFUNCTION("""COMPUTED_VALUE"""),44700.0)</f>
        <v>44700</v>
      </c>
      <c r="J1311" s="470">
        <f>IFERROR(__xludf.DUMMYFUNCTION("""COMPUTED_VALUE"""),0.45251157407407405)</f>
        <v>0.4525115741</v>
      </c>
      <c r="K1311" s="16"/>
      <c r="L1311" s="8"/>
      <c r="M1311" s="69"/>
      <c r="N1311" s="69">
        <f>IFERROR(__xludf.DUMMYFUNCTION("""COMPUTED_VALUE"""),2.0)</f>
        <v>2</v>
      </c>
      <c r="O1311" s="69" t="str">
        <f t="shared" si="3"/>
        <v/>
      </c>
      <c r="P1311" s="471">
        <f>IFERROR(__xludf.DUMMYFUNCTION("""COMPUTED_VALUE"""),0.0)</f>
        <v>0</v>
      </c>
      <c r="Q1311" s="274" t="str">
        <f>VLOOKUP($B1311,'Run Reconcile'!B$2:O2488,14,FALSE)</f>
        <v/>
      </c>
      <c r="R1311" s="472" t="str">
        <f t="array" ref="R1311">IF($Q1311, INDEX('Run Reconcile'!A$2:A2488,MATCH(B1311,'Run Reconcile'!B$2:B2488,0),1),IFERROR(0/0,""))</f>
        <v/>
      </c>
      <c r="S1311" s="473" t="str">
        <f t="shared" si="694"/>
        <v/>
      </c>
      <c r="T1311" s="473" t="str">
        <f t="shared" si="698"/>
        <v/>
      </c>
      <c r="U1311" s="275" t="str">
        <f t="array" ref="U1311">IF(ISBLANK($R1311), INDEX('Run Reconcile'!A$2:A2488, MATCH($B1311, 'Run Reconcile'!B$2:B2488, 0)+Z1311, 1), IFERROR(0/0,""))
</f>
        <v>RUN-FLMP_2022-05-19_RFR-144</v>
      </c>
      <c r="V1311" s="474" t="str">
        <f t="shared" si="5"/>
        <v>RUN-FLMP_2022-05-19_RFR-144</v>
      </c>
      <c r="Y1311" s="89" t="str">
        <f t="shared" si="1581"/>
        <v/>
      </c>
      <c r="Z1311" s="60" t="str">
        <f t="shared" si="7"/>
        <v/>
      </c>
      <c r="AA1311" s="60" t="str">
        <f t="shared" si="8"/>
        <v/>
      </c>
      <c r="AB1311" s="60" t="str">
        <f t="shared" si="9"/>
        <v/>
      </c>
      <c r="AC1311" s="30" t="str">
        <f t="shared" ref="AC1311:AD1311" si="1670">IF(_xlfn.ISFORMULA(S1311),IFERROR(0/0,""),TRUE)</f>
        <v/>
      </c>
      <c r="AD1311" s="30" t="str">
        <f t="shared" si="1670"/>
        <v/>
      </c>
      <c r="AE1311" s="475" t="str">
        <f>IFERROR(__xludf.DUMMYFUNCTION("""COMPUTED_VALUE"""),"CRLN")</f>
        <v>CRLN</v>
      </c>
      <c r="AF1311" s="476"/>
      <c r="AG1311" s="474" t="s">
        <v>222</v>
      </c>
      <c r="AH1311" s="138" t="str">
        <f t="shared" si="11"/>
        <v/>
      </c>
    </row>
    <row r="1312">
      <c r="A1312" s="103" t="str">
        <f>IFERROR(__xludf.DUMMYFUNCTION("""COMPUTED_VALUE"""),"AH688")</f>
        <v>AH688</v>
      </c>
      <c r="B1312" s="468">
        <f>IFERROR(__xludf.DUMMYFUNCTION("""COMPUTED_VALUE"""),44700.0)</f>
        <v>44700</v>
      </c>
      <c r="C1312" s="469">
        <f>IFERROR(__xludf.DUMMYFUNCTION("""COMPUTED_VALUE"""),0.365775462962963)</f>
        <v>0.365775463</v>
      </c>
      <c r="D1312" s="103" t="str">
        <f>IFERROR(__xludf.DUMMYFUNCTION("""COMPUTED_VALUE"""),"SpFLMP271329")</f>
        <v>SpFLMP271329</v>
      </c>
      <c r="E1312" s="103"/>
      <c r="F1312" s="103"/>
      <c r="G1312" s="103" t="str">
        <f>IFERROR(__xludf.DUMMYFUNCTION("""COMPUTED_VALUE"""),"Negative")</f>
        <v>Negative</v>
      </c>
      <c r="H1312" s="131" t="str">
        <f>IFERROR(__xludf.DUMMYFUNCTION("""COMPUTED_VALUE"""),"Negative")</f>
        <v>Negative</v>
      </c>
      <c r="I1312" s="468">
        <f>IFERROR(__xludf.DUMMYFUNCTION("""COMPUTED_VALUE"""),44700.0)</f>
        <v>44700</v>
      </c>
      <c r="J1312" s="470">
        <f>IFERROR(__xludf.DUMMYFUNCTION("""COMPUTED_VALUE"""),0.45251157407407405)</f>
        <v>0.4525115741</v>
      </c>
      <c r="K1312" s="16"/>
      <c r="L1312" s="8"/>
      <c r="M1312" s="69"/>
      <c r="N1312" s="69">
        <f>IFERROR(__xludf.DUMMYFUNCTION("""COMPUTED_VALUE"""),1.0)</f>
        <v>1</v>
      </c>
      <c r="O1312" s="69" t="str">
        <f t="shared" si="3"/>
        <v/>
      </c>
      <c r="P1312" s="471">
        <f>IFERROR(__xludf.DUMMYFUNCTION("""COMPUTED_VALUE"""),0.0)</f>
        <v>0</v>
      </c>
      <c r="Q1312" s="274" t="str">
        <f>VLOOKUP($B1312,'Run Reconcile'!B$2:O2488,14,FALSE)</f>
        <v/>
      </c>
      <c r="R1312" s="472" t="str">
        <f t="array" ref="R1312">IF($Q1312, INDEX('Run Reconcile'!A$2:A2488,MATCH(B1312,'Run Reconcile'!B$2:B2488,0),1),IFERROR(0/0,""))</f>
        <v/>
      </c>
      <c r="S1312" s="473" t="str">
        <f t="shared" si="694"/>
        <v/>
      </c>
      <c r="T1312" s="473" t="str">
        <f t="shared" si="698"/>
        <v/>
      </c>
      <c r="U1312" s="275" t="str">
        <f t="array" ref="U1312">IF(ISBLANK($R1312), INDEX('Run Reconcile'!A$2:A2488, MATCH($B1312, 'Run Reconcile'!B$2:B2488, 0)+Z1312, 1), IFERROR(0/0,""))
</f>
        <v>RUN-FLMP_2022-05-19_RFR-144</v>
      </c>
      <c r="V1312" s="474" t="str">
        <f t="shared" si="5"/>
        <v>RUN-FLMP_2022-05-19_RFR-144</v>
      </c>
      <c r="Y1312" s="89" t="str">
        <f t="shared" si="1581"/>
        <v/>
      </c>
      <c r="Z1312" s="60" t="str">
        <f t="shared" si="7"/>
        <v/>
      </c>
      <c r="AA1312" s="60" t="str">
        <f t="shared" si="8"/>
        <v/>
      </c>
      <c r="AB1312" s="60" t="str">
        <f t="shared" si="9"/>
        <v/>
      </c>
      <c r="AC1312" s="30" t="str">
        <f t="shared" ref="AC1312:AD1312" si="1671">IF(_xlfn.ISFORMULA(S1312),IFERROR(0/0,""),TRUE)</f>
        <v/>
      </c>
      <c r="AD1312" s="30" t="str">
        <f t="shared" si="1671"/>
        <v/>
      </c>
      <c r="AE1312" s="475" t="str">
        <f>IFERROR(__xludf.DUMMYFUNCTION("""COMPUTED_VALUE"""),"CRLN")</f>
        <v>CRLN</v>
      </c>
      <c r="AF1312" s="476"/>
      <c r="AG1312" s="474" t="s">
        <v>222</v>
      </c>
      <c r="AH1312" s="138" t="str">
        <f t="shared" si="11"/>
        <v/>
      </c>
    </row>
    <row r="1313">
      <c r="A1313" s="103" t="str">
        <f>IFERROR(__xludf.DUMMYFUNCTION("""COMPUTED_VALUE"""),"AG1031")</f>
        <v>AG1031</v>
      </c>
      <c r="B1313" s="468">
        <f>IFERROR(__xludf.DUMMYFUNCTION("""COMPUTED_VALUE"""),44700.0)</f>
        <v>44700</v>
      </c>
      <c r="C1313" s="469">
        <f>IFERROR(__xludf.DUMMYFUNCTION("""COMPUTED_VALUE"""),0.36887731481481484)</f>
        <v>0.3688773148</v>
      </c>
      <c r="D1313" s="103" t="str">
        <f>IFERROR(__xludf.DUMMYFUNCTION("""COMPUTED_VALUE"""),"SpFLMP125859")</f>
        <v>SpFLMP125859</v>
      </c>
      <c r="E1313" s="103"/>
      <c r="F1313" s="103"/>
      <c r="G1313" s="103" t="str">
        <f>IFERROR(__xludf.DUMMYFUNCTION("""COMPUTED_VALUE"""),"Negative")</f>
        <v>Negative</v>
      </c>
      <c r="H1313" s="131" t="str">
        <f>IFERROR(__xludf.DUMMYFUNCTION("""COMPUTED_VALUE"""),"Negative")</f>
        <v>Negative</v>
      </c>
      <c r="I1313" s="468">
        <f>IFERROR(__xludf.DUMMYFUNCTION("""COMPUTED_VALUE"""),44700.0)</f>
        <v>44700</v>
      </c>
      <c r="J1313" s="470">
        <f>IFERROR(__xludf.DUMMYFUNCTION("""COMPUTED_VALUE"""),0.45251157407407405)</f>
        <v>0.4525115741</v>
      </c>
      <c r="K1313" s="16"/>
      <c r="L1313" s="8"/>
      <c r="M1313" s="69"/>
      <c r="N1313" s="69">
        <f>IFERROR(__xludf.DUMMYFUNCTION("""COMPUTED_VALUE"""),3.0)</f>
        <v>3</v>
      </c>
      <c r="O1313" s="69" t="str">
        <f t="shared" si="3"/>
        <v/>
      </c>
      <c r="P1313" s="471">
        <f>IFERROR(__xludf.DUMMYFUNCTION("""COMPUTED_VALUE"""),0.0)</f>
        <v>0</v>
      </c>
      <c r="Q1313" s="274" t="str">
        <f>VLOOKUP($B1313,'Run Reconcile'!B$2:O2488,14,FALSE)</f>
        <v/>
      </c>
      <c r="R1313" s="472" t="str">
        <f t="array" ref="R1313">IF($Q1313, INDEX('Run Reconcile'!A$2:A2488,MATCH(B1313,'Run Reconcile'!B$2:B2488,0),1),IFERROR(0/0,""))</f>
        <v/>
      </c>
      <c r="S1313" s="473" t="str">
        <f t="shared" si="694"/>
        <v/>
      </c>
      <c r="T1313" s="473" t="str">
        <f t="shared" si="698"/>
        <v/>
      </c>
      <c r="U1313" s="275" t="str">
        <f t="array" ref="U1313">IF(ISBLANK($R1313), INDEX('Run Reconcile'!A$2:A2488, MATCH($B1313, 'Run Reconcile'!B$2:B2488, 0)+Z1313, 1), IFERROR(0/0,""))
</f>
        <v>RUN-FLMP_2022-05-19_RFR-144</v>
      </c>
      <c r="V1313" s="474" t="str">
        <f t="shared" si="5"/>
        <v>RUN-FLMP_2022-05-19_RFR-144</v>
      </c>
      <c r="Y1313" s="89" t="str">
        <f t="shared" si="1581"/>
        <v/>
      </c>
      <c r="Z1313" s="60" t="str">
        <f t="shared" si="7"/>
        <v/>
      </c>
      <c r="AA1313" s="60" t="str">
        <f t="shared" si="8"/>
        <v/>
      </c>
      <c r="AB1313" s="60" t="str">
        <f t="shared" si="9"/>
        <v/>
      </c>
      <c r="AC1313" s="30" t="str">
        <f t="shared" ref="AC1313:AD1313" si="1672">IF(_xlfn.ISFORMULA(S1313),IFERROR(0/0,""),TRUE)</f>
        <v/>
      </c>
      <c r="AD1313" s="30" t="str">
        <f t="shared" si="1672"/>
        <v/>
      </c>
      <c r="AE1313" s="475" t="str">
        <f>IFERROR(__xludf.DUMMYFUNCTION("""COMPUTED_VALUE"""),"CRLN")</f>
        <v>CRLN</v>
      </c>
      <c r="AF1313" s="476"/>
      <c r="AG1313" s="474" t="s">
        <v>222</v>
      </c>
      <c r="AH1313" s="138" t="str">
        <f t="shared" si="11"/>
        <v/>
      </c>
    </row>
    <row r="1314">
      <c r="A1314" s="103" t="str">
        <f>IFERROR(__xludf.DUMMYFUNCTION("""COMPUTED_VALUE"""),"AG834")</f>
        <v>AG834</v>
      </c>
      <c r="B1314" s="468">
        <f>IFERROR(__xludf.DUMMYFUNCTION("""COMPUTED_VALUE"""),44700.0)</f>
        <v>44700</v>
      </c>
      <c r="C1314" s="469">
        <f>IFERROR(__xludf.DUMMYFUNCTION("""COMPUTED_VALUE"""),0.37193287037037037)</f>
        <v>0.3719328704</v>
      </c>
      <c r="D1314" s="103" t="str">
        <f>IFERROR(__xludf.DUMMYFUNCTION("""COMPUTED_VALUE"""),"SpFLMP572444")</f>
        <v>SpFLMP572444</v>
      </c>
      <c r="E1314" s="103"/>
      <c r="F1314" s="103"/>
      <c r="G1314" s="103" t="str">
        <f>IFERROR(__xludf.DUMMYFUNCTION("""COMPUTED_VALUE"""),"Negative")</f>
        <v>Negative</v>
      </c>
      <c r="H1314" s="131" t="str">
        <f>IFERROR(__xludf.DUMMYFUNCTION("""COMPUTED_VALUE"""),"Negative")</f>
        <v>Negative</v>
      </c>
      <c r="I1314" s="468">
        <f>IFERROR(__xludf.DUMMYFUNCTION("""COMPUTED_VALUE"""),44700.0)</f>
        <v>44700</v>
      </c>
      <c r="J1314" s="470">
        <f>IFERROR(__xludf.DUMMYFUNCTION("""COMPUTED_VALUE"""),0.45251157407407405)</f>
        <v>0.4525115741</v>
      </c>
      <c r="K1314" s="16"/>
      <c r="L1314" s="8"/>
      <c r="M1314" s="69"/>
      <c r="N1314" s="69">
        <f>IFERROR(__xludf.DUMMYFUNCTION("""COMPUTED_VALUE"""),2.0)</f>
        <v>2</v>
      </c>
      <c r="O1314" s="69" t="str">
        <f t="shared" si="3"/>
        <v/>
      </c>
      <c r="P1314" s="471">
        <f>IFERROR(__xludf.DUMMYFUNCTION("""COMPUTED_VALUE"""),0.0)</f>
        <v>0</v>
      </c>
      <c r="Q1314" s="274" t="str">
        <f>VLOOKUP($B1314,'Run Reconcile'!B$2:O2488,14,FALSE)</f>
        <v/>
      </c>
      <c r="R1314" s="472" t="str">
        <f t="array" ref="R1314">IF($Q1314, INDEX('Run Reconcile'!A$2:A2488,MATCH(B1314,'Run Reconcile'!B$2:B2488,0),1),IFERROR(0/0,""))</f>
        <v/>
      </c>
      <c r="S1314" s="473" t="str">
        <f t="shared" si="694"/>
        <v/>
      </c>
      <c r="T1314" s="473" t="str">
        <f t="shared" si="698"/>
        <v/>
      </c>
      <c r="U1314" s="275" t="str">
        <f t="array" ref="U1314">IF(ISBLANK($R1314), INDEX('Run Reconcile'!A$2:A2488, MATCH($B1314, 'Run Reconcile'!B$2:B2488, 0)+Z1314, 1), IFERROR(0/0,""))
</f>
        <v>RUN-FLMP_2022-05-19_RFR-144</v>
      </c>
      <c r="V1314" s="474" t="str">
        <f t="shared" si="5"/>
        <v>RUN-FLMP_2022-05-19_RFR-144</v>
      </c>
      <c r="Y1314" s="89" t="str">
        <f t="shared" si="1581"/>
        <v/>
      </c>
      <c r="Z1314" s="60" t="str">
        <f t="shared" si="7"/>
        <v/>
      </c>
      <c r="AA1314" s="60" t="str">
        <f t="shared" si="8"/>
        <v/>
      </c>
      <c r="AB1314" s="60" t="str">
        <f t="shared" si="9"/>
        <v/>
      </c>
      <c r="AC1314" s="30" t="str">
        <f t="shared" ref="AC1314:AD1314" si="1673">IF(_xlfn.ISFORMULA(S1314),IFERROR(0/0,""),TRUE)</f>
        <v/>
      </c>
      <c r="AD1314" s="30" t="str">
        <f t="shared" si="1673"/>
        <v/>
      </c>
      <c r="AE1314" s="475" t="str">
        <f>IFERROR(__xludf.DUMMYFUNCTION("""COMPUTED_VALUE"""),"CRLN")</f>
        <v>CRLN</v>
      </c>
      <c r="AF1314" s="476"/>
      <c r="AG1314" s="474" t="s">
        <v>222</v>
      </c>
      <c r="AH1314" s="138" t="str">
        <f t="shared" si="11"/>
        <v/>
      </c>
    </row>
    <row r="1315">
      <c r="A1315" s="103" t="str">
        <f>IFERROR(__xludf.DUMMYFUNCTION("""COMPUTED_VALUE"""),"AJ9071")</f>
        <v>AJ9071</v>
      </c>
      <c r="B1315" s="468">
        <f>IFERROR(__xludf.DUMMYFUNCTION("""COMPUTED_VALUE"""),44700.0)</f>
        <v>44700</v>
      </c>
      <c r="C1315" s="469">
        <f>IFERROR(__xludf.DUMMYFUNCTION("""COMPUTED_VALUE"""),0.3734722222222222)</f>
        <v>0.3734722222</v>
      </c>
      <c r="D1315" s="103" t="str">
        <f>IFERROR(__xludf.DUMMYFUNCTION("""COMPUTED_VALUE"""),"SpFLMP259015")</f>
        <v>SpFLMP259015</v>
      </c>
      <c r="E1315" s="103"/>
      <c r="F1315" s="103"/>
      <c r="G1315" s="103" t="str">
        <f>IFERROR(__xludf.DUMMYFUNCTION("""COMPUTED_VALUE"""),"Negative")</f>
        <v>Negative</v>
      </c>
      <c r="H1315" s="131" t="str">
        <f>IFERROR(__xludf.DUMMYFUNCTION("""COMPUTED_VALUE"""),"Negative")</f>
        <v>Negative</v>
      </c>
      <c r="I1315" s="468">
        <f>IFERROR(__xludf.DUMMYFUNCTION("""COMPUTED_VALUE"""),44700.0)</f>
        <v>44700</v>
      </c>
      <c r="J1315" s="470">
        <f>IFERROR(__xludf.DUMMYFUNCTION("""COMPUTED_VALUE"""),0.45251157407407405)</f>
        <v>0.4525115741</v>
      </c>
      <c r="K1315" s="16"/>
      <c r="L1315" s="8"/>
      <c r="M1315" s="69"/>
      <c r="N1315" s="69">
        <f>IFERROR(__xludf.DUMMYFUNCTION("""COMPUTED_VALUE"""),2.0)</f>
        <v>2</v>
      </c>
      <c r="O1315" s="69" t="str">
        <f t="shared" si="3"/>
        <v/>
      </c>
      <c r="P1315" s="471">
        <f>IFERROR(__xludf.DUMMYFUNCTION("""COMPUTED_VALUE"""),0.0)</f>
        <v>0</v>
      </c>
      <c r="Q1315" s="274" t="str">
        <f>VLOOKUP($B1315,'Run Reconcile'!B$2:O2488,14,FALSE)</f>
        <v/>
      </c>
      <c r="R1315" s="472" t="str">
        <f t="array" ref="R1315">IF($Q1315, INDEX('Run Reconcile'!A$2:A2488,MATCH(B1315,'Run Reconcile'!B$2:B2488,0),1),IFERROR(0/0,""))</f>
        <v/>
      </c>
      <c r="S1315" s="473" t="str">
        <f t="shared" si="694"/>
        <v/>
      </c>
      <c r="T1315" s="473" t="str">
        <f t="shared" si="698"/>
        <v/>
      </c>
      <c r="U1315" s="275" t="str">
        <f t="array" ref="U1315">IF(ISBLANK($R1315), INDEX('Run Reconcile'!A$2:A2488, MATCH($B1315, 'Run Reconcile'!B$2:B2488, 0)+Z1315, 1), IFERROR(0/0,""))
</f>
        <v>RUN-FLMP_2022-05-19_RFR-144</v>
      </c>
      <c r="V1315" s="474" t="str">
        <f t="shared" si="5"/>
        <v>RUN-FLMP_2022-05-19_RFR-144</v>
      </c>
      <c r="Y1315" s="89" t="str">
        <f t="shared" si="1581"/>
        <v/>
      </c>
      <c r="Z1315" s="60" t="str">
        <f t="shared" si="7"/>
        <v/>
      </c>
      <c r="AA1315" s="60" t="str">
        <f t="shared" si="8"/>
        <v/>
      </c>
      <c r="AB1315" s="60" t="str">
        <f t="shared" si="9"/>
        <v/>
      </c>
      <c r="AC1315" s="30" t="str">
        <f t="shared" ref="AC1315:AD1315" si="1674">IF(_xlfn.ISFORMULA(S1315),IFERROR(0/0,""),TRUE)</f>
        <v/>
      </c>
      <c r="AD1315" s="30" t="str">
        <f t="shared" si="1674"/>
        <v/>
      </c>
      <c r="AE1315" s="475" t="str">
        <f>IFERROR(__xludf.DUMMYFUNCTION("""COMPUTED_VALUE"""),"CRLN")</f>
        <v>CRLN</v>
      </c>
      <c r="AF1315" s="476"/>
      <c r="AG1315" s="474" t="s">
        <v>222</v>
      </c>
      <c r="AH1315" s="138" t="str">
        <f t="shared" si="11"/>
        <v/>
      </c>
    </row>
    <row r="1316">
      <c r="A1316" s="459" t="str">
        <f>IFERROR(__xludf.DUMMYFUNCTION("""COMPUTED_VALUE"""),"MA1125")</f>
        <v>MA1125</v>
      </c>
      <c r="B1316" s="494">
        <f>IFERROR(__xludf.DUMMYFUNCTION("""COMPUTED_VALUE"""),44700.0)</f>
        <v>44700</v>
      </c>
      <c r="C1316" s="495">
        <f>IFERROR(__xludf.DUMMYFUNCTION("""COMPUTED_VALUE"""),0.7019212962962963)</f>
        <v>0.7019212963</v>
      </c>
      <c r="D1316" s="459" t="str">
        <f>IFERROR(__xludf.DUMMYFUNCTION("""COMPUTED_VALUE"""),"SpFLMP120998")</f>
        <v>SpFLMP120998</v>
      </c>
      <c r="E1316" s="459"/>
      <c r="F1316" s="459"/>
      <c r="G1316" s="459" t="str">
        <f>IFERROR(__xludf.DUMMYFUNCTION("""COMPUTED_VALUE"""),"Null")</f>
        <v>Null</v>
      </c>
      <c r="H1316" s="496" t="str">
        <f>IFERROR(__xludf.DUMMYFUNCTION("""COMPUTED_VALUE"""),"Negative")</f>
        <v>Negative</v>
      </c>
      <c r="I1316" s="494"/>
      <c r="J1316" s="117"/>
      <c r="K1316" s="117">
        <f>IFERROR(__xludf.DUMMYFUNCTION("""COMPUTED_VALUE"""),2.0)</f>
        <v>2</v>
      </c>
      <c r="L1316" s="110" t="str">
        <f>IFERROR(__xludf.DUMMYFUNCTION("""COMPUTED_VALUE"""),"FL staff, conclude was run in sep run later in day")</f>
        <v>FL staff, conclude was run in sep run later in day</v>
      </c>
      <c r="M1316" s="69"/>
      <c r="N1316" s="69">
        <f>IFERROR(__xludf.DUMMYFUNCTION("""COMPUTED_VALUE"""),1.0)</f>
        <v>1</v>
      </c>
      <c r="O1316" s="69" t="str">
        <f t="shared" si="3"/>
        <v/>
      </c>
      <c r="P1316" s="471">
        <f>IFERROR(__xludf.DUMMYFUNCTION("""COMPUTED_VALUE"""),-1.0)</f>
        <v>-1</v>
      </c>
      <c r="Q1316" s="274" t="str">
        <f>VLOOKUP($B1316,'Run Reconcile'!B$2:O2488,14,FALSE)</f>
        <v/>
      </c>
      <c r="R1316" s="472" t="str">
        <f t="array" ref="R1316">IF($Q1316, INDEX('Run Reconcile'!A$2:A2488,MATCH(B1316,'Run Reconcile'!B$2:B2488,0),1),IFERROR(0/0,""))</f>
        <v/>
      </c>
      <c r="S1316" s="473" t="b">
        <f t="shared" si="694"/>
        <v>1</v>
      </c>
      <c r="T1316" s="473" t="str">
        <f t="shared" si="698"/>
        <v/>
      </c>
      <c r="U1316" s="275" t="str">
        <f t="array" ref="U1316">IF(ISBLANK($R1316), INDEX('Run Reconcile'!A$2:A2488, MATCH($B1316, 'Run Reconcile'!B$2:B2488, 0)+Z1316, 1), IFERROR(0/0,""))
</f>
        <v>RUN-FLMP_2022-05-19_APS-091</v>
      </c>
      <c r="V1316" s="474" t="str">
        <f t="shared" si="5"/>
        <v>RUN-FLMP_2022-05-19_APS-091</v>
      </c>
      <c r="W1316" s="8" t="s">
        <v>1500</v>
      </c>
      <c r="Y1316" s="89">
        <f t="shared" si="1581"/>
        <v>1</v>
      </c>
      <c r="Z1316" s="60">
        <f t="shared" si="7"/>
        <v>1</v>
      </c>
      <c r="AA1316" s="60">
        <f t="shared" si="8"/>
        <v>1</v>
      </c>
      <c r="AB1316" s="60" t="str">
        <f t="shared" si="9"/>
        <v/>
      </c>
      <c r="AC1316" s="30" t="str">
        <f t="shared" ref="AC1316:AD1316" si="1675">IF(_xlfn.ISFORMULA(S1316),IFERROR(0/0,""),TRUE)</f>
        <v/>
      </c>
      <c r="AD1316" s="30" t="str">
        <f t="shared" si="1675"/>
        <v/>
      </c>
      <c r="AE1316" s="475" t="str">
        <f>IFERROR(__xludf.DUMMYFUNCTION("""COMPUTED_VALUE"""),"FLSP")</f>
        <v>FLSP</v>
      </c>
      <c r="AF1316" s="476"/>
      <c r="AG1316" s="474" t="s">
        <v>222</v>
      </c>
      <c r="AH1316" s="138" t="b">
        <f t="shared" si="11"/>
        <v>0</v>
      </c>
    </row>
    <row r="1317">
      <c r="A1317" s="477" t="str">
        <f>IFERROR(__xludf.DUMMYFUNCTION("""COMPUTED_VALUE"""),"AH408")</f>
        <v>AH408</v>
      </c>
      <c r="B1317" s="478">
        <f>IFERROR(__xludf.DUMMYFUNCTION("""COMPUTED_VALUE"""),44703.0)</f>
        <v>44703</v>
      </c>
      <c r="C1317" s="479">
        <f>IFERROR(__xludf.DUMMYFUNCTION("""COMPUTED_VALUE"""),0.6963194444444445)</f>
        <v>0.6963194444</v>
      </c>
      <c r="D1317" s="477" t="str">
        <f>IFERROR(__xludf.DUMMYFUNCTION("""COMPUTED_VALUE"""),"SpFLMP572444")</f>
        <v>SpFLMP572444</v>
      </c>
      <c r="E1317" s="477"/>
      <c r="F1317" s="477"/>
      <c r="G1317" s="477" t="str">
        <f>IFERROR(__xludf.DUMMYFUNCTION("""COMPUTED_VALUE"""),"Positive")</f>
        <v>Positive</v>
      </c>
      <c r="H1317" s="504" t="str">
        <f>IFERROR(__xludf.DUMMYFUNCTION("""COMPUTED_VALUE"""),"Positive")</f>
        <v>Positive</v>
      </c>
      <c r="I1317" s="478">
        <f>IFERROR(__xludf.DUMMYFUNCTION("""COMPUTED_VALUE"""),44704.0)</f>
        <v>44704</v>
      </c>
      <c r="J1317" s="481">
        <f>IFERROR(__xludf.DUMMYFUNCTION("""COMPUTED_VALUE"""),0.559212962962963)</f>
        <v>0.559212963</v>
      </c>
      <c r="K1317" s="156"/>
      <c r="L1317" s="19"/>
      <c r="M1317" s="482"/>
      <c r="N1317" s="482">
        <f>IFERROR(__xludf.DUMMYFUNCTION("""COMPUTED_VALUE"""),3.0)</f>
        <v>3</v>
      </c>
      <c r="O1317" s="482" t="b">
        <f t="shared" si="3"/>
        <v>1</v>
      </c>
      <c r="P1317" s="483">
        <f>IFERROR(__xludf.DUMMYFUNCTION("""COMPUTED_VALUE"""),1.0)</f>
        <v>1</v>
      </c>
      <c r="Q1317" s="352" t="str">
        <f>VLOOKUP($B1317,'Run Reconcile'!B$2:O2488,14,FALSE)</f>
        <v/>
      </c>
      <c r="R1317" s="484" t="str">
        <f t="array" ref="R1317">IF($Q1317, INDEX('Run Reconcile'!A$2:A2488,MATCH(B1317,'Run Reconcile'!B$2:B2488,0),1),IFERROR(0/0,""))</f>
        <v/>
      </c>
      <c r="S1317" s="485" t="b">
        <f t="shared" si="694"/>
        <v>1</v>
      </c>
      <c r="T1317" s="485" t="str">
        <f t="shared" si="698"/>
        <v/>
      </c>
      <c r="U1317" s="353" t="str">
        <f t="array" ref="U1317">IF(ISBLANK($R1317), INDEX('Run Reconcile'!A$2:A2488, MATCH($B1317, 'Run Reconcile'!B$2:B2488, 0)+Z1317, 1), IFERROR(0/0,""))
</f>
        <v>RUN-FLMP_2022-05-23_RFR-146</v>
      </c>
      <c r="V1317" s="486" t="str">
        <f t="shared" si="5"/>
        <v>RUN-FLMP_2022-05-23_RFR-146</v>
      </c>
      <c r="W1317" s="19" t="s">
        <v>1290</v>
      </c>
      <c r="X1317" s="19"/>
      <c r="Y1317" s="89">
        <f t="shared" si="1581"/>
        <v>1</v>
      </c>
      <c r="Z1317" s="60">
        <f t="shared" si="7"/>
        <v>1</v>
      </c>
      <c r="AA1317" s="60">
        <f t="shared" si="8"/>
        <v>1</v>
      </c>
      <c r="AB1317" s="60" t="str">
        <f t="shared" si="9"/>
        <v/>
      </c>
      <c r="AC1317" s="158" t="str">
        <f t="shared" ref="AC1317:AD1317" si="1676">IF(_xlfn.ISFORMULA(S1317),IFERROR(0/0,""),TRUE)</f>
        <v/>
      </c>
      <c r="AD1317" s="158" t="str">
        <f t="shared" si="1676"/>
        <v/>
      </c>
      <c r="AE1317" s="488" t="str">
        <f>IFERROR(__xludf.DUMMYFUNCTION("""COMPUTED_VALUE"""),"CRLN")</f>
        <v>CRLN</v>
      </c>
      <c r="AF1317" s="489"/>
      <c r="AG1317" s="486" t="s">
        <v>223</v>
      </c>
      <c r="AH1317" s="138" t="str">
        <f t="shared" si="11"/>
        <v/>
      </c>
      <c r="AI1317" s="19"/>
      <c r="AJ1317" s="19"/>
      <c r="AK1317" s="19"/>
      <c r="AL1317" s="19"/>
      <c r="AM1317" s="19"/>
    </row>
    <row r="1318">
      <c r="A1318" s="103" t="str">
        <f>IFERROR(__xludf.DUMMYFUNCTION("""COMPUTED_VALUE"""),"FLB5761")</f>
        <v>FLB5761</v>
      </c>
      <c r="B1318" s="468">
        <f>IFERROR(__xludf.DUMMYFUNCTION("""COMPUTED_VALUE"""),44703.0)</f>
        <v>44703</v>
      </c>
      <c r="C1318" s="469">
        <f>IFERROR(__xludf.DUMMYFUNCTION("""COMPUTED_VALUE"""),0.7134837962962963)</f>
        <v>0.7134837963</v>
      </c>
      <c r="D1318" s="103" t="str">
        <f>IFERROR(__xludf.DUMMYFUNCTION("""COMPUTED_VALUE"""),"SpFLMP271329")</f>
        <v>SpFLMP271329</v>
      </c>
      <c r="E1318" s="103"/>
      <c r="F1318" s="103"/>
      <c r="G1318" s="103" t="str">
        <f>IFERROR(__xludf.DUMMYFUNCTION("""COMPUTED_VALUE"""),"Negative")</f>
        <v>Negative</v>
      </c>
      <c r="H1318" s="131" t="str">
        <f>IFERROR(__xludf.DUMMYFUNCTION("""COMPUTED_VALUE"""),"Negative")</f>
        <v>Negative</v>
      </c>
      <c r="I1318" s="468">
        <f>IFERROR(__xludf.DUMMYFUNCTION("""COMPUTED_VALUE"""),44704.0)</f>
        <v>44704</v>
      </c>
      <c r="J1318" s="470">
        <f>IFERROR(__xludf.DUMMYFUNCTION("""COMPUTED_VALUE"""),0.46131944444444445)</f>
        <v>0.4613194444</v>
      </c>
      <c r="K1318" s="16"/>
      <c r="L1318" s="8"/>
      <c r="M1318" s="69"/>
      <c r="N1318" s="69">
        <f>IFERROR(__xludf.DUMMYFUNCTION("""COMPUTED_VALUE"""),1.0)</f>
        <v>1</v>
      </c>
      <c r="O1318" s="69" t="str">
        <f t="shared" si="3"/>
        <v/>
      </c>
      <c r="P1318" s="471">
        <f>IFERROR(__xludf.DUMMYFUNCTION("""COMPUTED_VALUE"""),1.0)</f>
        <v>1</v>
      </c>
      <c r="Q1318" s="274" t="str">
        <f>VLOOKUP($B1318,'Run Reconcile'!B$2:O2488,14,FALSE)</f>
        <v/>
      </c>
      <c r="R1318" s="472" t="str">
        <f t="array" ref="R1318">IF($Q1318, INDEX('Run Reconcile'!A$2:A2488,MATCH(B1318,'Run Reconcile'!B$2:B2488,0),1),IFERROR(0/0,""))</f>
        <v/>
      </c>
      <c r="S1318" s="473" t="b">
        <f t="shared" si="694"/>
        <v>1</v>
      </c>
      <c r="T1318" s="473" t="str">
        <f t="shared" si="698"/>
        <v/>
      </c>
      <c r="U1318" s="275" t="str">
        <f t="array" ref="U1318">IF(ISBLANK($R1318), INDEX('Run Reconcile'!A$2:A2488, MATCH($B1318, 'Run Reconcile'!B$2:B2488, 0)+Z1318, 1), IFERROR(0/0,""))
</f>
        <v>RUN-FLMP_2022-05-23_RFR-146</v>
      </c>
      <c r="V1318" s="474" t="str">
        <f t="shared" si="5"/>
        <v>RUN-FLMP_2022-05-23_RFR-146</v>
      </c>
      <c r="W1318" s="8" t="s">
        <v>1501</v>
      </c>
      <c r="Y1318" s="89">
        <f t="shared" si="1581"/>
        <v>1</v>
      </c>
      <c r="Z1318" s="60">
        <f t="shared" si="7"/>
        <v>1</v>
      </c>
      <c r="AA1318" s="60">
        <f t="shared" si="8"/>
        <v>1</v>
      </c>
      <c r="AB1318" s="60" t="str">
        <f t="shared" si="9"/>
        <v/>
      </c>
      <c r="AC1318" s="30" t="str">
        <f t="shared" ref="AC1318:AD1318" si="1677">IF(_xlfn.ISFORMULA(S1318),IFERROR(0/0,""),TRUE)</f>
        <v/>
      </c>
      <c r="AD1318" s="30" t="str">
        <f t="shared" si="1677"/>
        <v/>
      </c>
      <c r="AE1318" s="475" t="str">
        <f>IFERROR(__xludf.DUMMYFUNCTION("""COMPUTED_VALUE"""),"CRLN")</f>
        <v>CRLN</v>
      </c>
      <c r="AF1318" s="476"/>
      <c r="AG1318" s="474" t="s">
        <v>223</v>
      </c>
      <c r="AH1318" s="138" t="str">
        <f t="shared" si="11"/>
        <v/>
      </c>
    </row>
    <row r="1319">
      <c r="A1319" s="103" t="str">
        <f>IFERROR(__xludf.DUMMYFUNCTION("""COMPUTED_VALUE"""),"FLB6539")</f>
        <v>FLB6539</v>
      </c>
      <c r="B1319" s="468">
        <f>IFERROR(__xludf.DUMMYFUNCTION("""COMPUTED_VALUE"""),44703.0)</f>
        <v>44703</v>
      </c>
      <c r="C1319" s="469">
        <f>IFERROR(__xludf.DUMMYFUNCTION("""COMPUTED_VALUE"""),0.8027199074074074)</f>
        <v>0.8027199074</v>
      </c>
      <c r="D1319" s="103" t="str">
        <f>IFERROR(__xludf.DUMMYFUNCTION("""COMPUTED_VALUE"""),"SpFLMP470379")</f>
        <v>SpFLMP470379</v>
      </c>
      <c r="E1319" s="103"/>
      <c r="F1319" s="103"/>
      <c r="G1319" s="103" t="str">
        <f>IFERROR(__xludf.DUMMYFUNCTION("""COMPUTED_VALUE"""),"Negative")</f>
        <v>Negative</v>
      </c>
      <c r="H1319" s="131" t="str">
        <f>IFERROR(__xludf.DUMMYFUNCTION("""COMPUTED_VALUE"""),"Negative")</f>
        <v>Negative</v>
      </c>
      <c r="I1319" s="468">
        <f>IFERROR(__xludf.DUMMYFUNCTION("""COMPUTED_VALUE"""),44704.0)</f>
        <v>44704</v>
      </c>
      <c r="J1319" s="470">
        <f>IFERROR(__xludf.DUMMYFUNCTION("""COMPUTED_VALUE"""),0.46131944444444445)</f>
        <v>0.4613194444</v>
      </c>
      <c r="K1319" s="16"/>
      <c r="L1319" s="8"/>
      <c r="M1319" s="69"/>
      <c r="N1319" s="69">
        <f>IFERROR(__xludf.DUMMYFUNCTION("""COMPUTED_VALUE"""),1.0)</f>
        <v>1</v>
      </c>
      <c r="O1319" s="69" t="str">
        <f t="shared" si="3"/>
        <v/>
      </c>
      <c r="P1319" s="471">
        <f>IFERROR(__xludf.DUMMYFUNCTION("""COMPUTED_VALUE"""),1.0)</f>
        <v>1</v>
      </c>
      <c r="Q1319" s="274" t="str">
        <f>VLOOKUP($B1319,'Run Reconcile'!B$2:O2488,14,FALSE)</f>
        <v/>
      </c>
      <c r="R1319" s="472" t="str">
        <f t="array" ref="R1319">IF($Q1319, INDEX('Run Reconcile'!A$2:A2488,MATCH(B1319,'Run Reconcile'!B$2:B2488,0),1),IFERROR(0/0,""))</f>
        <v/>
      </c>
      <c r="S1319" s="473" t="b">
        <f t="shared" si="694"/>
        <v>1</v>
      </c>
      <c r="T1319" s="473" t="str">
        <f t="shared" si="698"/>
        <v/>
      </c>
      <c r="U1319" s="275" t="str">
        <f t="array" ref="U1319">IF(ISBLANK($R1319), INDEX('Run Reconcile'!A$2:A2488, MATCH($B1319, 'Run Reconcile'!B$2:B2488, 0)+Z1319, 1), IFERROR(0/0,""))
</f>
        <v>RUN-FLMP_2022-05-23_RFR-146</v>
      </c>
      <c r="V1319" s="474" t="str">
        <f t="shared" si="5"/>
        <v>RUN-FLMP_2022-05-23_RFR-146</v>
      </c>
      <c r="W1319" s="8" t="s">
        <v>1502</v>
      </c>
      <c r="Y1319" s="89">
        <f t="shared" si="1581"/>
        <v>1</v>
      </c>
      <c r="Z1319" s="60">
        <f t="shared" si="7"/>
        <v>1</v>
      </c>
      <c r="AA1319" s="60">
        <f t="shared" si="8"/>
        <v>1</v>
      </c>
      <c r="AB1319" s="60" t="str">
        <f t="shared" si="9"/>
        <v/>
      </c>
      <c r="AC1319" s="30" t="str">
        <f t="shared" ref="AC1319:AD1319" si="1678">IF(_xlfn.ISFORMULA(S1319),IFERROR(0/0,""),TRUE)</f>
        <v/>
      </c>
      <c r="AD1319" s="30" t="str">
        <f t="shared" si="1678"/>
        <v/>
      </c>
      <c r="AE1319" s="475" t="str">
        <f>IFERROR(__xludf.DUMMYFUNCTION("""COMPUTED_VALUE"""),"CRLN")</f>
        <v>CRLN</v>
      </c>
      <c r="AF1319" s="476"/>
      <c r="AG1319" s="474" t="s">
        <v>223</v>
      </c>
      <c r="AH1319" s="138" t="str">
        <f t="shared" si="11"/>
        <v/>
      </c>
    </row>
    <row r="1320">
      <c r="A1320" s="103" t="str">
        <f>IFERROR(__xludf.DUMMYFUNCTION("""COMPUTED_VALUE"""),"AG1739")</f>
        <v>AG1739</v>
      </c>
      <c r="B1320" s="468">
        <f>IFERROR(__xludf.DUMMYFUNCTION("""COMPUTED_VALUE"""),44703.0)</f>
        <v>44703</v>
      </c>
      <c r="C1320" s="469">
        <f>IFERROR(__xludf.DUMMYFUNCTION("""COMPUTED_VALUE"""),0.8885763888888889)</f>
        <v>0.8885763889</v>
      </c>
      <c r="D1320" s="103" t="str">
        <f>IFERROR(__xludf.DUMMYFUNCTION("""COMPUTED_VALUE"""),"SpFLMP649771")</f>
        <v>SpFLMP649771</v>
      </c>
      <c r="E1320" s="103"/>
      <c r="F1320" s="103"/>
      <c r="G1320" s="103" t="str">
        <f>IFERROR(__xludf.DUMMYFUNCTION("""COMPUTED_VALUE"""),"Negative")</f>
        <v>Negative</v>
      </c>
      <c r="H1320" s="131" t="str">
        <f>IFERROR(__xludf.DUMMYFUNCTION("""COMPUTED_VALUE"""),"Negative")</f>
        <v>Negative</v>
      </c>
      <c r="I1320" s="468">
        <f>IFERROR(__xludf.DUMMYFUNCTION("""COMPUTED_VALUE"""),44704.0)</f>
        <v>44704</v>
      </c>
      <c r="J1320" s="470">
        <f>IFERROR(__xludf.DUMMYFUNCTION("""COMPUTED_VALUE"""),0.46131944444444445)</f>
        <v>0.4613194444</v>
      </c>
      <c r="K1320" s="16"/>
      <c r="L1320" s="8"/>
      <c r="M1320" s="69"/>
      <c r="N1320" s="69">
        <f>IFERROR(__xludf.DUMMYFUNCTION("""COMPUTED_VALUE"""),3.0)</f>
        <v>3</v>
      </c>
      <c r="O1320" s="69" t="str">
        <f t="shared" si="3"/>
        <v/>
      </c>
      <c r="P1320" s="471">
        <f>IFERROR(__xludf.DUMMYFUNCTION("""COMPUTED_VALUE"""),1.0)</f>
        <v>1</v>
      </c>
      <c r="Q1320" s="274" t="str">
        <f>VLOOKUP($B1320,'Run Reconcile'!B$2:O2488,14,FALSE)</f>
        <v/>
      </c>
      <c r="R1320" s="472" t="str">
        <f t="array" ref="R1320">IF($Q1320, INDEX('Run Reconcile'!A$2:A2488,MATCH(B1320,'Run Reconcile'!B$2:B2488,0),1),IFERROR(0/0,""))</f>
        <v/>
      </c>
      <c r="S1320" s="473" t="b">
        <f t="shared" si="694"/>
        <v>1</v>
      </c>
      <c r="T1320" s="473" t="str">
        <f t="shared" si="698"/>
        <v/>
      </c>
      <c r="U1320" s="275" t="str">
        <f t="array" ref="U1320">IF(ISBLANK($R1320), INDEX('Run Reconcile'!A$2:A2488, MATCH($B1320, 'Run Reconcile'!B$2:B2488, 0)+Z1320, 1), IFERROR(0/0,""))
</f>
        <v>RUN-FLMP_2022-05-23_RFR-146</v>
      </c>
      <c r="V1320" s="474" t="str">
        <f t="shared" si="5"/>
        <v>RUN-FLMP_2022-05-23_RFR-146</v>
      </c>
      <c r="W1320" s="8" t="s">
        <v>1503</v>
      </c>
      <c r="Y1320" s="89">
        <f t="shared" si="1581"/>
        <v>1</v>
      </c>
      <c r="Z1320" s="60">
        <f t="shared" si="7"/>
        <v>1</v>
      </c>
      <c r="AA1320" s="60">
        <f t="shared" si="8"/>
        <v>1</v>
      </c>
      <c r="AB1320" s="60" t="str">
        <f t="shared" si="9"/>
        <v/>
      </c>
      <c r="AC1320" s="30" t="str">
        <f t="shared" ref="AC1320:AD1320" si="1679">IF(_xlfn.ISFORMULA(S1320),IFERROR(0/0,""),TRUE)</f>
        <v/>
      </c>
      <c r="AD1320" s="30" t="str">
        <f t="shared" si="1679"/>
        <v/>
      </c>
      <c r="AE1320" s="475" t="str">
        <f>IFERROR(__xludf.DUMMYFUNCTION("""COMPUTED_VALUE"""),"CRLN")</f>
        <v>CRLN</v>
      </c>
      <c r="AF1320" s="476"/>
      <c r="AG1320" s="474" t="s">
        <v>223</v>
      </c>
      <c r="AH1320" s="138" t="str">
        <f t="shared" si="11"/>
        <v/>
      </c>
    </row>
    <row r="1321">
      <c r="A1321" s="103" t="str">
        <f>IFERROR(__xludf.DUMMYFUNCTION("""COMPUTED_VALUE"""),"FLB4923")</f>
        <v>FLB4923</v>
      </c>
      <c r="B1321" s="468">
        <f>IFERROR(__xludf.DUMMYFUNCTION("""COMPUTED_VALUE"""),44704.0)</f>
        <v>44704</v>
      </c>
      <c r="C1321" s="469">
        <f>IFERROR(__xludf.DUMMYFUNCTION("""COMPUTED_VALUE"""),0.26744212962962965)</f>
        <v>0.2674421296</v>
      </c>
      <c r="D1321" s="103" t="str">
        <f>IFERROR(__xludf.DUMMYFUNCTION("""COMPUTED_VALUE"""),"SpFLMP690282")</f>
        <v>SpFLMP690282</v>
      </c>
      <c r="E1321" s="103"/>
      <c r="F1321" s="103"/>
      <c r="G1321" s="103" t="str">
        <f>IFERROR(__xludf.DUMMYFUNCTION("""COMPUTED_VALUE"""),"Negative")</f>
        <v>Negative</v>
      </c>
      <c r="H1321" s="131" t="str">
        <f>IFERROR(__xludf.DUMMYFUNCTION("""COMPUTED_VALUE"""),"Negative")</f>
        <v>Negative</v>
      </c>
      <c r="I1321" s="468">
        <f>IFERROR(__xludf.DUMMYFUNCTION("""COMPUTED_VALUE"""),44704.0)</f>
        <v>44704</v>
      </c>
      <c r="J1321" s="470">
        <f>IFERROR(__xludf.DUMMYFUNCTION("""COMPUTED_VALUE"""),0.46131944444444445)</f>
        <v>0.4613194444</v>
      </c>
      <c r="K1321" s="16"/>
      <c r="L1321" s="8"/>
      <c r="M1321" s="69"/>
      <c r="N1321" s="69">
        <f>IFERROR(__xludf.DUMMYFUNCTION("""COMPUTED_VALUE"""),2.0)</f>
        <v>2</v>
      </c>
      <c r="O1321" s="69" t="b">
        <f t="shared" si="3"/>
        <v>1</v>
      </c>
      <c r="P1321" s="471">
        <f>IFERROR(__xludf.DUMMYFUNCTION("""COMPUTED_VALUE"""),0.0)</f>
        <v>0</v>
      </c>
      <c r="Q1321" s="274" t="b">
        <f>VLOOKUP($B1321,'Run Reconcile'!B$2:O2488,14,FALSE)</f>
        <v>1</v>
      </c>
      <c r="R1321" s="472" t="str">
        <f t="array" ref="R1321">IF($Q1321, INDEX('Run Reconcile'!A$2:A2488,MATCH(B1321,'Run Reconcile'!B$2:B2488,0),1),IFERROR(0/0,""))</f>
        <v>RUN-FLMP_2022-05-23_RFR-146</v>
      </c>
      <c r="S1321" s="473" t="str">
        <f t="shared" si="694"/>
        <v/>
      </c>
      <c r="T1321" s="473" t="str">
        <f t="shared" si="698"/>
        <v/>
      </c>
      <c r="U1321" s="275" t="str">
        <f t="array" ref="U1321">IF(ISBLANK($R1321), INDEX('Run Reconcile'!A$2:A2488, MATCH($B1321, 'Run Reconcile'!B$2:B2488, 0)+Z1321, 1), IFERROR(0/0,""))
</f>
        <v/>
      </c>
      <c r="V1321" s="474" t="str">
        <f t="shared" si="5"/>
        <v>RUN-FLMP_2022-05-23_RFR-146</v>
      </c>
      <c r="Y1321" s="89" t="str">
        <f t="shared" si="1581"/>
        <v/>
      </c>
      <c r="Z1321" s="60" t="str">
        <f t="shared" si="7"/>
        <v/>
      </c>
      <c r="AA1321" s="60" t="str">
        <f t="shared" si="8"/>
        <v/>
      </c>
      <c r="AB1321" s="60" t="str">
        <f t="shared" si="9"/>
        <v/>
      </c>
      <c r="AC1321" s="30" t="str">
        <f t="shared" ref="AC1321:AD1321" si="1680">IF(_xlfn.ISFORMULA(S1321),IFERROR(0/0,""),TRUE)</f>
        <v/>
      </c>
      <c r="AD1321" s="30" t="str">
        <f t="shared" si="1680"/>
        <v/>
      </c>
      <c r="AE1321" s="475" t="str">
        <f>IFERROR(__xludf.DUMMYFUNCTION("""COMPUTED_VALUE"""),"CRLN")</f>
        <v>CRLN</v>
      </c>
      <c r="AF1321" s="476"/>
      <c r="AG1321" s="474" t="s">
        <v>223</v>
      </c>
      <c r="AH1321" s="138" t="str">
        <f t="shared" si="11"/>
        <v/>
      </c>
    </row>
    <row r="1322">
      <c r="A1322" s="103" t="str">
        <f>IFERROR(__xludf.DUMMYFUNCTION("""COMPUTED_VALUE"""),"AK7155")</f>
        <v>AK7155</v>
      </c>
      <c r="B1322" s="468">
        <f>IFERROR(__xludf.DUMMYFUNCTION("""COMPUTED_VALUE"""),44704.0)</f>
        <v>44704</v>
      </c>
      <c r="C1322" s="469">
        <f>IFERROR(__xludf.DUMMYFUNCTION("""COMPUTED_VALUE"""),0.31681712962962966)</f>
        <v>0.3168171296</v>
      </c>
      <c r="D1322" s="103" t="str">
        <f>IFERROR(__xludf.DUMMYFUNCTION("""COMPUTED_VALUE"""),"SpFLMP273885")</f>
        <v>SpFLMP273885</v>
      </c>
      <c r="E1322" s="103"/>
      <c r="F1322" s="103"/>
      <c r="G1322" s="103" t="str">
        <f>IFERROR(__xludf.DUMMYFUNCTION("""COMPUTED_VALUE"""),"Negative")</f>
        <v>Negative</v>
      </c>
      <c r="H1322" s="131" t="str">
        <f>IFERROR(__xludf.DUMMYFUNCTION("""COMPUTED_VALUE"""),"Negative")</f>
        <v>Negative</v>
      </c>
      <c r="I1322" s="468">
        <f>IFERROR(__xludf.DUMMYFUNCTION("""COMPUTED_VALUE"""),44704.0)</f>
        <v>44704</v>
      </c>
      <c r="J1322" s="470">
        <f>IFERROR(__xludf.DUMMYFUNCTION("""COMPUTED_VALUE"""),0.46133101851851854)</f>
        <v>0.4613310185</v>
      </c>
      <c r="K1322" s="16"/>
      <c r="L1322" s="8"/>
      <c r="M1322" s="69"/>
      <c r="N1322" s="69">
        <f>IFERROR(__xludf.DUMMYFUNCTION("""COMPUTED_VALUE"""),3.0)</f>
        <v>3</v>
      </c>
      <c r="O1322" s="69" t="str">
        <f t="shared" si="3"/>
        <v/>
      </c>
      <c r="P1322" s="471">
        <f>IFERROR(__xludf.DUMMYFUNCTION("""COMPUTED_VALUE"""),0.0)</f>
        <v>0</v>
      </c>
      <c r="Q1322" s="274" t="b">
        <f>VLOOKUP($B1322,'Run Reconcile'!B$2:O2488,14,FALSE)</f>
        <v>1</v>
      </c>
      <c r="R1322" s="472" t="str">
        <f t="array" ref="R1322">IF($Q1322, INDEX('Run Reconcile'!A$2:A2488,MATCH(B1322,'Run Reconcile'!B$2:B2488,0),1),IFERROR(0/0,""))</f>
        <v>RUN-FLMP_2022-05-23_RFR-146</v>
      </c>
      <c r="S1322" s="473" t="str">
        <f t="shared" si="694"/>
        <v/>
      </c>
      <c r="T1322" s="473" t="str">
        <f t="shared" si="698"/>
        <v/>
      </c>
      <c r="U1322" s="275" t="str">
        <f t="array" ref="U1322">IF(ISBLANK($R1322), INDEX('Run Reconcile'!A$2:A2488, MATCH($B1322, 'Run Reconcile'!B$2:B2488, 0)+Z1322, 1), IFERROR(0/0,""))
</f>
        <v/>
      </c>
      <c r="V1322" s="474" t="str">
        <f t="shared" si="5"/>
        <v>RUN-FLMP_2022-05-23_RFR-146</v>
      </c>
      <c r="Y1322" s="89" t="str">
        <f t="shared" si="1581"/>
        <v/>
      </c>
      <c r="Z1322" s="60" t="str">
        <f t="shared" si="7"/>
        <v/>
      </c>
      <c r="AA1322" s="60" t="str">
        <f t="shared" si="8"/>
        <v/>
      </c>
      <c r="AB1322" s="60" t="str">
        <f t="shared" si="9"/>
        <v/>
      </c>
      <c r="AC1322" s="30" t="str">
        <f t="shared" ref="AC1322:AD1322" si="1681">IF(_xlfn.ISFORMULA(S1322),IFERROR(0/0,""),TRUE)</f>
        <v/>
      </c>
      <c r="AD1322" s="30" t="str">
        <f t="shared" si="1681"/>
        <v/>
      </c>
      <c r="AE1322" s="475" t="str">
        <f>IFERROR(__xludf.DUMMYFUNCTION("""COMPUTED_VALUE"""),"CRLN")</f>
        <v>CRLN</v>
      </c>
      <c r="AF1322" s="476"/>
      <c r="AG1322" s="474" t="s">
        <v>223</v>
      </c>
      <c r="AH1322" s="138" t="str">
        <f t="shared" si="11"/>
        <v/>
      </c>
    </row>
    <row r="1323">
      <c r="A1323" s="103" t="str">
        <f>IFERROR(__xludf.DUMMYFUNCTION("""COMPUTED_VALUE"""),"FLB6550")</f>
        <v>FLB6550</v>
      </c>
      <c r="B1323" s="468">
        <f>IFERROR(__xludf.DUMMYFUNCTION("""COMPUTED_VALUE"""),44704.0)</f>
        <v>44704</v>
      </c>
      <c r="C1323" s="469">
        <f>IFERROR(__xludf.DUMMYFUNCTION("""COMPUTED_VALUE"""),0.33284722222222224)</f>
        <v>0.3328472222</v>
      </c>
      <c r="D1323" s="103" t="str">
        <f>IFERROR(__xludf.DUMMYFUNCTION("""COMPUTED_VALUE"""),"SpFLMP259015")</f>
        <v>SpFLMP259015</v>
      </c>
      <c r="E1323" s="103"/>
      <c r="F1323" s="103"/>
      <c r="G1323" s="103" t="str">
        <f>IFERROR(__xludf.DUMMYFUNCTION("""COMPUTED_VALUE"""),"Negative")</f>
        <v>Negative</v>
      </c>
      <c r="H1323" s="131" t="str">
        <f>IFERROR(__xludf.DUMMYFUNCTION("""COMPUTED_VALUE"""),"Negative")</f>
        <v>Negative</v>
      </c>
      <c r="I1323" s="468">
        <f>IFERROR(__xludf.DUMMYFUNCTION("""COMPUTED_VALUE"""),44704.0)</f>
        <v>44704</v>
      </c>
      <c r="J1323" s="470">
        <f>IFERROR(__xludf.DUMMYFUNCTION("""COMPUTED_VALUE"""),0.46133101851851854)</f>
        <v>0.4613310185</v>
      </c>
      <c r="K1323" s="16"/>
      <c r="L1323" s="8"/>
      <c r="M1323" s="69"/>
      <c r="N1323" s="69">
        <f>IFERROR(__xludf.DUMMYFUNCTION("""COMPUTED_VALUE"""),3.0)</f>
        <v>3</v>
      </c>
      <c r="O1323" s="69" t="str">
        <f t="shared" si="3"/>
        <v/>
      </c>
      <c r="P1323" s="471">
        <f>IFERROR(__xludf.DUMMYFUNCTION("""COMPUTED_VALUE"""),0.0)</f>
        <v>0</v>
      </c>
      <c r="Q1323" s="274" t="b">
        <f>VLOOKUP($B1323,'Run Reconcile'!B$2:O2488,14,FALSE)</f>
        <v>1</v>
      </c>
      <c r="R1323" s="472" t="str">
        <f t="array" ref="R1323">IF($Q1323, INDEX('Run Reconcile'!A$2:A2488,MATCH(B1323,'Run Reconcile'!B$2:B2488,0),1),IFERROR(0/0,""))</f>
        <v>RUN-FLMP_2022-05-23_RFR-146</v>
      </c>
      <c r="S1323" s="473" t="str">
        <f t="shared" si="694"/>
        <v/>
      </c>
      <c r="T1323" s="473" t="str">
        <f t="shared" si="698"/>
        <v/>
      </c>
      <c r="U1323" s="275" t="str">
        <f t="array" ref="U1323">IF(ISBLANK($R1323), INDEX('Run Reconcile'!A$2:A2488, MATCH($B1323, 'Run Reconcile'!B$2:B2488, 0)+Z1323, 1), IFERROR(0/0,""))
</f>
        <v/>
      </c>
      <c r="V1323" s="474" t="str">
        <f t="shared" si="5"/>
        <v>RUN-FLMP_2022-05-23_RFR-146</v>
      </c>
      <c r="Y1323" s="89" t="str">
        <f t="shared" si="1581"/>
        <v/>
      </c>
      <c r="Z1323" s="60" t="str">
        <f t="shared" si="7"/>
        <v/>
      </c>
      <c r="AA1323" s="60" t="str">
        <f t="shared" si="8"/>
        <v/>
      </c>
      <c r="AB1323" s="60" t="str">
        <f t="shared" si="9"/>
        <v/>
      </c>
      <c r="AC1323" s="30" t="str">
        <f t="shared" ref="AC1323:AD1323" si="1682">IF(_xlfn.ISFORMULA(S1323),IFERROR(0/0,""),TRUE)</f>
        <v/>
      </c>
      <c r="AD1323" s="30" t="str">
        <f t="shared" si="1682"/>
        <v/>
      </c>
      <c r="AE1323" s="475" t="str">
        <f>IFERROR(__xludf.DUMMYFUNCTION("""COMPUTED_VALUE"""),"CRLN")</f>
        <v>CRLN</v>
      </c>
      <c r="AF1323" s="476"/>
      <c r="AG1323" s="474" t="s">
        <v>223</v>
      </c>
      <c r="AH1323" s="138" t="str">
        <f t="shared" si="11"/>
        <v/>
      </c>
    </row>
    <row r="1324">
      <c r="A1324" s="103" t="str">
        <f>IFERROR(__xludf.DUMMYFUNCTION("""COMPUTED_VALUE"""),"FLB6785")</f>
        <v>FLB6785</v>
      </c>
      <c r="B1324" s="468">
        <f>IFERROR(__xludf.DUMMYFUNCTION("""COMPUTED_VALUE"""),44704.0)</f>
        <v>44704</v>
      </c>
      <c r="C1324" s="469">
        <f>IFERROR(__xludf.DUMMYFUNCTION("""COMPUTED_VALUE"""),0.3342013888888889)</f>
        <v>0.3342013889</v>
      </c>
      <c r="D1324" s="103" t="str">
        <f>IFERROR(__xludf.DUMMYFUNCTION("""COMPUTED_VALUE"""),"SpFLMP259015")</f>
        <v>SpFLMP259015</v>
      </c>
      <c r="E1324" s="103"/>
      <c r="F1324" s="103"/>
      <c r="G1324" s="103" t="str">
        <f>IFERROR(__xludf.DUMMYFUNCTION("""COMPUTED_VALUE"""),"Negative")</f>
        <v>Negative</v>
      </c>
      <c r="H1324" s="131" t="str">
        <f>IFERROR(__xludf.DUMMYFUNCTION("""COMPUTED_VALUE"""),"Negative")</f>
        <v>Negative</v>
      </c>
      <c r="I1324" s="468">
        <f>IFERROR(__xludf.DUMMYFUNCTION("""COMPUTED_VALUE"""),44704.0)</f>
        <v>44704</v>
      </c>
      <c r="J1324" s="470">
        <f>IFERROR(__xludf.DUMMYFUNCTION("""COMPUTED_VALUE"""),0.46133101851851854)</f>
        <v>0.4613310185</v>
      </c>
      <c r="K1324" s="16"/>
      <c r="L1324" s="8"/>
      <c r="M1324" s="69"/>
      <c r="N1324" s="69">
        <f>IFERROR(__xludf.DUMMYFUNCTION("""COMPUTED_VALUE"""),3.0)</f>
        <v>3</v>
      </c>
      <c r="O1324" s="69" t="str">
        <f t="shared" si="3"/>
        <v/>
      </c>
      <c r="P1324" s="471">
        <f>IFERROR(__xludf.DUMMYFUNCTION("""COMPUTED_VALUE"""),0.0)</f>
        <v>0</v>
      </c>
      <c r="Q1324" s="274" t="b">
        <f>VLOOKUP($B1324,'Run Reconcile'!B$2:O2488,14,FALSE)</f>
        <v>1</v>
      </c>
      <c r="R1324" s="472" t="str">
        <f t="array" ref="R1324">IF($Q1324, INDEX('Run Reconcile'!A$2:A2488,MATCH(B1324,'Run Reconcile'!B$2:B2488,0),1),IFERROR(0/0,""))</f>
        <v>RUN-FLMP_2022-05-23_RFR-146</v>
      </c>
      <c r="S1324" s="473" t="str">
        <f t="shared" si="694"/>
        <v/>
      </c>
      <c r="T1324" s="473" t="str">
        <f t="shared" si="698"/>
        <v/>
      </c>
      <c r="U1324" s="275" t="str">
        <f t="array" ref="U1324">IF(ISBLANK($R1324), INDEX('Run Reconcile'!A$2:A2488, MATCH($B1324, 'Run Reconcile'!B$2:B2488, 0)+Z1324, 1), IFERROR(0/0,""))
</f>
        <v/>
      </c>
      <c r="V1324" s="474" t="str">
        <f t="shared" si="5"/>
        <v>RUN-FLMP_2022-05-23_RFR-146</v>
      </c>
      <c r="Y1324" s="89" t="str">
        <f t="shared" si="1581"/>
        <v/>
      </c>
      <c r="Z1324" s="60" t="str">
        <f t="shared" si="7"/>
        <v/>
      </c>
      <c r="AA1324" s="60" t="str">
        <f t="shared" si="8"/>
        <v/>
      </c>
      <c r="AB1324" s="60" t="str">
        <f t="shared" si="9"/>
        <v/>
      </c>
      <c r="AC1324" s="30" t="str">
        <f t="shared" ref="AC1324:AD1324" si="1683">IF(_xlfn.ISFORMULA(S1324),IFERROR(0/0,""),TRUE)</f>
        <v/>
      </c>
      <c r="AD1324" s="30" t="str">
        <f t="shared" si="1683"/>
        <v/>
      </c>
      <c r="AE1324" s="475" t="str">
        <f>IFERROR(__xludf.DUMMYFUNCTION("""COMPUTED_VALUE"""),"CRLN")</f>
        <v>CRLN</v>
      </c>
      <c r="AF1324" s="476"/>
      <c r="AG1324" s="474" t="s">
        <v>223</v>
      </c>
      <c r="AH1324" s="138" t="str">
        <f t="shared" si="11"/>
        <v/>
      </c>
    </row>
    <row r="1325">
      <c r="A1325" s="103" t="str">
        <f>IFERROR(__xludf.DUMMYFUNCTION("""COMPUTED_VALUE"""),"AJ9796")</f>
        <v>AJ9796</v>
      </c>
      <c r="B1325" s="468">
        <f>IFERROR(__xludf.DUMMYFUNCTION("""COMPUTED_VALUE"""),44704.0)</f>
        <v>44704</v>
      </c>
      <c r="C1325" s="469">
        <f>IFERROR(__xludf.DUMMYFUNCTION("""COMPUTED_VALUE"""),0.33993055555555557)</f>
        <v>0.3399305556</v>
      </c>
      <c r="D1325" s="103" t="str">
        <f>IFERROR(__xludf.DUMMYFUNCTION("""COMPUTED_VALUE"""),"SpFLMP955438")</f>
        <v>SpFLMP955438</v>
      </c>
      <c r="E1325" s="103"/>
      <c r="F1325" s="103"/>
      <c r="G1325" s="103" t="str">
        <f>IFERROR(__xludf.DUMMYFUNCTION("""COMPUTED_VALUE"""),"Negative")</f>
        <v>Negative</v>
      </c>
      <c r="H1325" s="131" t="str">
        <f>IFERROR(__xludf.DUMMYFUNCTION("""COMPUTED_VALUE"""),"Negative")</f>
        <v>Negative</v>
      </c>
      <c r="I1325" s="468">
        <f>IFERROR(__xludf.DUMMYFUNCTION("""COMPUTED_VALUE"""),44704.0)</f>
        <v>44704</v>
      </c>
      <c r="J1325" s="470">
        <f>IFERROR(__xludf.DUMMYFUNCTION("""COMPUTED_VALUE"""),0.46133101851851854)</f>
        <v>0.4613310185</v>
      </c>
      <c r="K1325" s="16"/>
      <c r="L1325" s="8"/>
      <c r="M1325" s="69"/>
      <c r="N1325" s="69">
        <f>IFERROR(__xludf.DUMMYFUNCTION("""COMPUTED_VALUE"""),1.0)</f>
        <v>1</v>
      </c>
      <c r="O1325" s="69" t="str">
        <f t="shared" si="3"/>
        <v/>
      </c>
      <c r="P1325" s="471">
        <f>IFERROR(__xludf.DUMMYFUNCTION("""COMPUTED_VALUE"""),0.0)</f>
        <v>0</v>
      </c>
      <c r="Q1325" s="274" t="b">
        <f>VLOOKUP($B1325,'Run Reconcile'!B$2:O2488,14,FALSE)</f>
        <v>1</v>
      </c>
      <c r="R1325" s="472" t="str">
        <f t="array" ref="R1325">IF($Q1325, INDEX('Run Reconcile'!A$2:A2488,MATCH(B1325,'Run Reconcile'!B$2:B2488,0),1),IFERROR(0/0,""))</f>
        <v>RUN-FLMP_2022-05-23_RFR-146</v>
      </c>
      <c r="S1325" s="473" t="str">
        <f t="shared" si="694"/>
        <v/>
      </c>
      <c r="T1325" s="473" t="str">
        <f t="shared" si="698"/>
        <v/>
      </c>
      <c r="U1325" s="275" t="str">
        <f t="array" ref="U1325">IF(ISBLANK($R1325), INDEX('Run Reconcile'!A$2:A2488, MATCH($B1325, 'Run Reconcile'!B$2:B2488, 0)+Z1325, 1), IFERROR(0/0,""))
</f>
        <v/>
      </c>
      <c r="V1325" s="474" t="str">
        <f t="shared" si="5"/>
        <v>RUN-FLMP_2022-05-23_RFR-146</v>
      </c>
      <c r="Y1325" s="89" t="str">
        <f t="shared" si="1581"/>
        <v/>
      </c>
      <c r="Z1325" s="60" t="str">
        <f t="shared" si="7"/>
        <v/>
      </c>
      <c r="AA1325" s="60" t="str">
        <f t="shared" si="8"/>
        <v/>
      </c>
      <c r="AB1325" s="60" t="str">
        <f t="shared" si="9"/>
        <v/>
      </c>
      <c r="AC1325" s="30" t="str">
        <f t="shared" ref="AC1325:AD1325" si="1684">IF(_xlfn.ISFORMULA(S1325),IFERROR(0/0,""),TRUE)</f>
        <v/>
      </c>
      <c r="AD1325" s="30" t="str">
        <f t="shared" si="1684"/>
        <v/>
      </c>
      <c r="AE1325" s="475" t="str">
        <f>IFERROR(__xludf.DUMMYFUNCTION("""COMPUTED_VALUE"""),"CRLN")</f>
        <v>CRLN</v>
      </c>
      <c r="AF1325" s="476"/>
      <c r="AG1325" s="474" t="s">
        <v>223</v>
      </c>
      <c r="AH1325" s="138" t="str">
        <f t="shared" si="11"/>
        <v/>
      </c>
    </row>
    <row r="1326">
      <c r="A1326" s="103" t="str">
        <f>IFERROR(__xludf.DUMMYFUNCTION("""COMPUTED_VALUE"""),"AJ8905")</f>
        <v>AJ8905</v>
      </c>
      <c r="B1326" s="468">
        <f>IFERROR(__xludf.DUMMYFUNCTION("""COMPUTED_VALUE"""),44704.0)</f>
        <v>44704</v>
      </c>
      <c r="C1326" s="469">
        <f>IFERROR(__xludf.DUMMYFUNCTION("""COMPUTED_VALUE"""),0.34510416666666666)</f>
        <v>0.3451041667</v>
      </c>
      <c r="D1326" s="103" t="str">
        <f>IFERROR(__xludf.DUMMYFUNCTION("""COMPUTED_VALUE"""),"SpFLMP604497")</f>
        <v>SpFLMP604497</v>
      </c>
      <c r="E1326" s="103"/>
      <c r="F1326" s="103"/>
      <c r="G1326" s="103" t="str">
        <f>IFERROR(__xludf.DUMMYFUNCTION("""COMPUTED_VALUE"""),"Negative")</f>
        <v>Negative</v>
      </c>
      <c r="H1326" s="131" t="str">
        <f>IFERROR(__xludf.DUMMYFUNCTION("""COMPUTED_VALUE"""),"Negative")</f>
        <v>Negative</v>
      </c>
      <c r="I1326" s="468">
        <f>IFERROR(__xludf.DUMMYFUNCTION("""COMPUTED_VALUE"""),44704.0)</f>
        <v>44704</v>
      </c>
      <c r="J1326" s="470">
        <f>IFERROR(__xludf.DUMMYFUNCTION("""COMPUTED_VALUE"""),0.46133101851851854)</f>
        <v>0.4613310185</v>
      </c>
      <c r="K1326" s="16"/>
      <c r="L1326" s="8"/>
      <c r="M1326" s="69"/>
      <c r="N1326" s="69">
        <f>IFERROR(__xludf.DUMMYFUNCTION("""COMPUTED_VALUE"""),1.0)</f>
        <v>1</v>
      </c>
      <c r="O1326" s="69" t="str">
        <f t="shared" si="3"/>
        <v/>
      </c>
      <c r="P1326" s="471">
        <f>IFERROR(__xludf.DUMMYFUNCTION("""COMPUTED_VALUE"""),0.0)</f>
        <v>0</v>
      </c>
      <c r="Q1326" s="274" t="b">
        <f>VLOOKUP($B1326,'Run Reconcile'!B$2:O2488,14,FALSE)</f>
        <v>1</v>
      </c>
      <c r="R1326" s="472" t="str">
        <f t="array" ref="R1326">IF($Q1326, INDEX('Run Reconcile'!A$2:A2488,MATCH(B1326,'Run Reconcile'!B$2:B2488,0),1),IFERROR(0/0,""))</f>
        <v>RUN-FLMP_2022-05-23_RFR-146</v>
      </c>
      <c r="S1326" s="473" t="str">
        <f t="shared" si="694"/>
        <v/>
      </c>
      <c r="T1326" s="473" t="str">
        <f t="shared" si="698"/>
        <v/>
      </c>
      <c r="U1326" s="275" t="str">
        <f t="array" ref="U1326">IF(ISBLANK($R1326), INDEX('Run Reconcile'!A$2:A2488, MATCH($B1326, 'Run Reconcile'!B$2:B2488, 0)+Z1326, 1), IFERROR(0/0,""))
</f>
        <v/>
      </c>
      <c r="V1326" s="474" t="str">
        <f t="shared" si="5"/>
        <v>RUN-FLMP_2022-05-23_RFR-146</v>
      </c>
      <c r="Y1326" s="89" t="str">
        <f t="shared" si="1581"/>
        <v/>
      </c>
      <c r="Z1326" s="60" t="str">
        <f t="shared" si="7"/>
        <v/>
      </c>
      <c r="AA1326" s="60" t="str">
        <f t="shared" si="8"/>
        <v/>
      </c>
      <c r="AB1326" s="60" t="str">
        <f t="shared" si="9"/>
        <v/>
      </c>
      <c r="AC1326" s="30" t="str">
        <f t="shared" ref="AC1326:AD1326" si="1685">IF(_xlfn.ISFORMULA(S1326),IFERROR(0/0,""),TRUE)</f>
        <v/>
      </c>
      <c r="AD1326" s="30" t="str">
        <f t="shared" si="1685"/>
        <v/>
      </c>
      <c r="AE1326" s="475" t="str">
        <f>IFERROR(__xludf.DUMMYFUNCTION("""COMPUTED_VALUE"""),"CRLN")</f>
        <v>CRLN</v>
      </c>
      <c r="AF1326" s="476"/>
      <c r="AG1326" s="474" t="s">
        <v>223</v>
      </c>
      <c r="AH1326" s="138" t="str">
        <f t="shared" si="11"/>
        <v/>
      </c>
    </row>
    <row r="1327">
      <c r="A1327" s="103" t="str">
        <f>IFERROR(__xludf.DUMMYFUNCTION("""COMPUTED_VALUE"""),"AH7995")</f>
        <v>AH7995</v>
      </c>
      <c r="B1327" s="468">
        <f>IFERROR(__xludf.DUMMYFUNCTION("""COMPUTED_VALUE"""),44704.0)</f>
        <v>44704</v>
      </c>
      <c r="C1327" s="469">
        <f>IFERROR(__xludf.DUMMYFUNCTION("""COMPUTED_VALUE"""),0.34707175925925926)</f>
        <v>0.3470717593</v>
      </c>
      <c r="D1327" s="103" t="str">
        <f>IFERROR(__xludf.DUMMYFUNCTION("""COMPUTED_VALUE"""),"SpFLMP604497")</f>
        <v>SpFLMP604497</v>
      </c>
      <c r="E1327" s="103"/>
      <c r="F1327" s="103"/>
      <c r="G1327" s="103" t="str">
        <f>IFERROR(__xludf.DUMMYFUNCTION("""COMPUTED_VALUE"""),"Negative")</f>
        <v>Negative</v>
      </c>
      <c r="H1327" s="131" t="str">
        <f>IFERROR(__xludf.DUMMYFUNCTION("""COMPUTED_VALUE"""),"Negative")</f>
        <v>Negative</v>
      </c>
      <c r="I1327" s="468">
        <f>IFERROR(__xludf.DUMMYFUNCTION("""COMPUTED_VALUE"""),44704.0)</f>
        <v>44704</v>
      </c>
      <c r="J1327" s="470">
        <f>IFERROR(__xludf.DUMMYFUNCTION("""COMPUTED_VALUE"""),0.46133101851851854)</f>
        <v>0.4613310185</v>
      </c>
      <c r="K1327" s="16"/>
      <c r="L1327" s="8"/>
      <c r="M1327" s="69"/>
      <c r="N1327" s="69">
        <f>IFERROR(__xludf.DUMMYFUNCTION("""COMPUTED_VALUE"""),3.0)</f>
        <v>3</v>
      </c>
      <c r="O1327" s="69" t="str">
        <f t="shared" si="3"/>
        <v/>
      </c>
      <c r="P1327" s="471">
        <f>IFERROR(__xludf.DUMMYFUNCTION("""COMPUTED_VALUE"""),0.0)</f>
        <v>0</v>
      </c>
      <c r="Q1327" s="274" t="b">
        <f>VLOOKUP($B1327,'Run Reconcile'!B$2:O2488,14,FALSE)</f>
        <v>1</v>
      </c>
      <c r="R1327" s="472" t="str">
        <f t="array" ref="R1327">IF($Q1327, INDEX('Run Reconcile'!A$2:A2488,MATCH(B1327,'Run Reconcile'!B$2:B2488,0),1),IFERROR(0/0,""))</f>
        <v>RUN-FLMP_2022-05-23_RFR-146</v>
      </c>
      <c r="S1327" s="473" t="str">
        <f t="shared" si="694"/>
        <v/>
      </c>
      <c r="T1327" s="473" t="str">
        <f t="shared" si="698"/>
        <v/>
      </c>
      <c r="U1327" s="275" t="str">
        <f t="array" ref="U1327">IF(ISBLANK($R1327), INDEX('Run Reconcile'!A$2:A2488, MATCH($B1327, 'Run Reconcile'!B$2:B2488, 0)+Z1327, 1), IFERROR(0/0,""))
</f>
        <v/>
      </c>
      <c r="V1327" s="474" t="str">
        <f t="shared" si="5"/>
        <v>RUN-FLMP_2022-05-23_RFR-146</v>
      </c>
      <c r="Y1327" s="89" t="str">
        <f t="shared" si="1581"/>
        <v/>
      </c>
      <c r="Z1327" s="60" t="str">
        <f t="shared" si="7"/>
        <v/>
      </c>
      <c r="AA1327" s="60" t="str">
        <f t="shared" si="8"/>
        <v/>
      </c>
      <c r="AB1327" s="60" t="str">
        <f t="shared" si="9"/>
        <v/>
      </c>
      <c r="AC1327" s="30" t="str">
        <f t="shared" ref="AC1327:AD1327" si="1686">IF(_xlfn.ISFORMULA(S1327),IFERROR(0/0,""),TRUE)</f>
        <v/>
      </c>
      <c r="AD1327" s="30" t="str">
        <f t="shared" si="1686"/>
        <v/>
      </c>
      <c r="AE1327" s="475" t="str">
        <f>IFERROR(__xludf.DUMMYFUNCTION("""COMPUTED_VALUE"""),"CRLN")</f>
        <v>CRLN</v>
      </c>
      <c r="AF1327" s="476"/>
      <c r="AG1327" s="474" t="s">
        <v>223</v>
      </c>
      <c r="AH1327" s="138" t="str">
        <f t="shared" si="11"/>
        <v/>
      </c>
    </row>
    <row r="1328">
      <c r="A1328" s="103" t="str">
        <f>IFERROR(__xludf.DUMMYFUNCTION("""COMPUTED_VALUE"""),"AJ9748")</f>
        <v>AJ9748</v>
      </c>
      <c r="B1328" s="468">
        <f>IFERROR(__xludf.DUMMYFUNCTION("""COMPUTED_VALUE"""),44704.0)</f>
        <v>44704</v>
      </c>
      <c r="C1328" s="469">
        <f>IFERROR(__xludf.DUMMYFUNCTION("""COMPUTED_VALUE"""),0.35203703703703704)</f>
        <v>0.352037037</v>
      </c>
      <c r="D1328" s="103" t="str">
        <f>IFERROR(__xludf.DUMMYFUNCTION("""COMPUTED_VALUE"""),"SpFLMP170622")</f>
        <v>SpFLMP170622</v>
      </c>
      <c r="E1328" s="103"/>
      <c r="F1328" s="103"/>
      <c r="G1328" s="103" t="str">
        <f>IFERROR(__xludf.DUMMYFUNCTION("""COMPUTED_VALUE"""),"Negative")</f>
        <v>Negative</v>
      </c>
      <c r="H1328" s="131" t="str">
        <f>IFERROR(__xludf.DUMMYFUNCTION("""COMPUTED_VALUE"""),"Negative")</f>
        <v>Negative</v>
      </c>
      <c r="I1328" s="468">
        <f>IFERROR(__xludf.DUMMYFUNCTION("""COMPUTED_VALUE"""),44704.0)</f>
        <v>44704</v>
      </c>
      <c r="J1328" s="470">
        <f>IFERROR(__xludf.DUMMYFUNCTION("""COMPUTED_VALUE"""),0.46133101851851854)</f>
        <v>0.4613310185</v>
      </c>
      <c r="K1328" s="16"/>
      <c r="L1328" s="8"/>
      <c r="M1328" s="69"/>
      <c r="N1328" s="69">
        <f>IFERROR(__xludf.DUMMYFUNCTION("""COMPUTED_VALUE"""),4.0)</f>
        <v>4</v>
      </c>
      <c r="O1328" s="69" t="str">
        <f t="shared" si="3"/>
        <v/>
      </c>
      <c r="P1328" s="471">
        <f>IFERROR(__xludf.DUMMYFUNCTION("""COMPUTED_VALUE"""),0.0)</f>
        <v>0</v>
      </c>
      <c r="Q1328" s="274" t="b">
        <f>VLOOKUP($B1328,'Run Reconcile'!B$2:O2488,14,FALSE)</f>
        <v>1</v>
      </c>
      <c r="R1328" s="472" t="str">
        <f t="array" ref="R1328">IF($Q1328, INDEX('Run Reconcile'!A$2:A2488,MATCH(B1328,'Run Reconcile'!B$2:B2488,0),1),IFERROR(0/0,""))</f>
        <v>RUN-FLMP_2022-05-23_RFR-146</v>
      </c>
      <c r="S1328" s="473" t="str">
        <f t="shared" si="694"/>
        <v/>
      </c>
      <c r="T1328" s="473" t="str">
        <f t="shared" si="698"/>
        <v/>
      </c>
      <c r="U1328" s="275" t="str">
        <f t="array" ref="U1328">IF(ISBLANK($R1328), INDEX('Run Reconcile'!A$2:A2488, MATCH($B1328, 'Run Reconcile'!B$2:B2488, 0)+Z1328, 1), IFERROR(0/0,""))
</f>
        <v/>
      </c>
      <c r="V1328" s="474" t="str">
        <f t="shared" si="5"/>
        <v>RUN-FLMP_2022-05-23_RFR-146</v>
      </c>
      <c r="Y1328" s="89" t="str">
        <f t="shared" si="1581"/>
        <v/>
      </c>
      <c r="Z1328" s="60" t="str">
        <f t="shared" si="7"/>
        <v/>
      </c>
      <c r="AA1328" s="60" t="str">
        <f t="shared" si="8"/>
        <v/>
      </c>
      <c r="AB1328" s="60" t="str">
        <f t="shared" si="9"/>
        <v/>
      </c>
      <c r="AC1328" s="30" t="str">
        <f t="shared" ref="AC1328:AD1328" si="1687">IF(_xlfn.ISFORMULA(S1328),IFERROR(0/0,""),TRUE)</f>
        <v/>
      </c>
      <c r="AD1328" s="30" t="str">
        <f t="shared" si="1687"/>
        <v/>
      </c>
      <c r="AE1328" s="475" t="str">
        <f>IFERROR(__xludf.DUMMYFUNCTION("""COMPUTED_VALUE"""),"CRLN")</f>
        <v>CRLN</v>
      </c>
      <c r="AF1328" s="476"/>
      <c r="AG1328" s="474" t="s">
        <v>223</v>
      </c>
      <c r="AH1328" s="138" t="str">
        <f t="shared" si="11"/>
        <v/>
      </c>
    </row>
    <row r="1329">
      <c r="A1329" s="103" t="str">
        <f>IFERROR(__xludf.DUMMYFUNCTION("""COMPUTED_VALUE"""),"AG1989")</f>
        <v>AG1989</v>
      </c>
      <c r="B1329" s="468">
        <f>IFERROR(__xludf.DUMMYFUNCTION("""COMPUTED_VALUE"""),44704.0)</f>
        <v>44704</v>
      </c>
      <c r="C1329" s="469">
        <f>IFERROR(__xludf.DUMMYFUNCTION("""COMPUTED_VALUE"""),0.35596064814814815)</f>
        <v>0.3559606481</v>
      </c>
      <c r="D1329" s="103" t="str">
        <f>IFERROR(__xludf.DUMMYFUNCTION("""COMPUTED_VALUE"""),"SpFLMP683554")</f>
        <v>SpFLMP683554</v>
      </c>
      <c r="E1329" s="103"/>
      <c r="F1329" s="103"/>
      <c r="G1329" s="103" t="str">
        <f>IFERROR(__xludf.DUMMYFUNCTION("""COMPUTED_VALUE"""),"Negative")</f>
        <v>Negative</v>
      </c>
      <c r="H1329" s="131" t="str">
        <f>IFERROR(__xludf.DUMMYFUNCTION("""COMPUTED_VALUE"""),"Negative")</f>
        <v>Negative</v>
      </c>
      <c r="I1329" s="468">
        <f>IFERROR(__xludf.DUMMYFUNCTION("""COMPUTED_VALUE"""),44704.0)</f>
        <v>44704</v>
      </c>
      <c r="J1329" s="470">
        <f>IFERROR(__xludf.DUMMYFUNCTION("""COMPUTED_VALUE"""),0.46133101851851854)</f>
        <v>0.4613310185</v>
      </c>
      <c r="K1329" s="16"/>
      <c r="L1329" s="8"/>
      <c r="M1329" s="69"/>
      <c r="N1329" s="69">
        <f>IFERROR(__xludf.DUMMYFUNCTION("""COMPUTED_VALUE"""),1.0)</f>
        <v>1</v>
      </c>
      <c r="O1329" s="69" t="str">
        <f t="shared" si="3"/>
        <v/>
      </c>
      <c r="P1329" s="471">
        <f>IFERROR(__xludf.DUMMYFUNCTION("""COMPUTED_VALUE"""),0.0)</f>
        <v>0</v>
      </c>
      <c r="Q1329" s="274" t="b">
        <f>VLOOKUP($B1329,'Run Reconcile'!B$2:O2488,14,FALSE)</f>
        <v>1</v>
      </c>
      <c r="R1329" s="472" t="str">
        <f t="array" ref="R1329">IF($Q1329, INDEX('Run Reconcile'!A$2:A2488,MATCH(B1329,'Run Reconcile'!B$2:B2488,0),1),IFERROR(0/0,""))</f>
        <v>RUN-FLMP_2022-05-23_RFR-146</v>
      </c>
      <c r="S1329" s="473" t="str">
        <f t="shared" si="694"/>
        <v/>
      </c>
      <c r="T1329" s="473" t="str">
        <f t="shared" si="698"/>
        <v/>
      </c>
      <c r="U1329" s="275" t="str">
        <f t="array" ref="U1329">IF(ISBLANK($R1329), INDEX('Run Reconcile'!A$2:A2488, MATCH($B1329, 'Run Reconcile'!B$2:B2488, 0)+Z1329, 1), IFERROR(0/0,""))
</f>
        <v/>
      </c>
      <c r="V1329" s="474" t="str">
        <f t="shared" si="5"/>
        <v>RUN-FLMP_2022-05-23_RFR-146</v>
      </c>
      <c r="Y1329" s="89" t="str">
        <f t="shared" si="1581"/>
        <v/>
      </c>
      <c r="Z1329" s="60" t="str">
        <f t="shared" si="7"/>
        <v/>
      </c>
      <c r="AA1329" s="60" t="str">
        <f t="shared" si="8"/>
        <v/>
      </c>
      <c r="AB1329" s="60" t="str">
        <f t="shared" si="9"/>
        <v/>
      </c>
      <c r="AC1329" s="30" t="str">
        <f t="shared" ref="AC1329:AD1329" si="1688">IF(_xlfn.ISFORMULA(S1329),IFERROR(0/0,""),TRUE)</f>
        <v/>
      </c>
      <c r="AD1329" s="30" t="str">
        <f t="shared" si="1688"/>
        <v/>
      </c>
      <c r="AE1329" s="475" t="str">
        <f>IFERROR(__xludf.DUMMYFUNCTION("""COMPUTED_VALUE"""),"CRLN")</f>
        <v>CRLN</v>
      </c>
      <c r="AF1329" s="476"/>
      <c r="AG1329" s="474" t="s">
        <v>223</v>
      </c>
      <c r="AH1329" s="138" t="str">
        <f t="shared" si="11"/>
        <v/>
      </c>
    </row>
    <row r="1330">
      <c r="A1330" s="103" t="str">
        <f>IFERROR(__xludf.DUMMYFUNCTION("""COMPUTED_VALUE"""),"AJ8331")</f>
        <v>AJ8331</v>
      </c>
      <c r="B1330" s="468">
        <f>IFERROR(__xludf.DUMMYFUNCTION("""COMPUTED_VALUE"""),44704.0)</f>
        <v>44704</v>
      </c>
      <c r="C1330" s="469">
        <f>IFERROR(__xludf.DUMMYFUNCTION("""COMPUTED_VALUE"""),0.36399305555555556)</f>
        <v>0.3639930556</v>
      </c>
      <c r="D1330" s="103" t="str">
        <f>IFERROR(__xludf.DUMMYFUNCTION("""COMPUTED_VALUE"""),"SpFLMP496039")</f>
        <v>SpFLMP496039</v>
      </c>
      <c r="E1330" s="103"/>
      <c r="F1330" s="103"/>
      <c r="G1330" s="103" t="str">
        <f>IFERROR(__xludf.DUMMYFUNCTION("""COMPUTED_VALUE"""),"Negative")</f>
        <v>Negative</v>
      </c>
      <c r="H1330" s="131" t="str">
        <f>IFERROR(__xludf.DUMMYFUNCTION("""COMPUTED_VALUE"""),"Negative")</f>
        <v>Negative</v>
      </c>
      <c r="I1330" s="468">
        <f>IFERROR(__xludf.DUMMYFUNCTION("""COMPUTED_VALUE"""),44704.0)</f>
        <v>44704</v>
      </c>
      <c r="J1330" s="470">
        <f>IFERROR(__xludf.DUMMYFUNCTION("""COMPUTED_VALUE"""),0.46133101851851854)</f>
        <v>0.4613310185</v>
      </c>
      <c r="K1330" s="16"/>
      <c r="L1330" s="8"/>
      <c r="M1330" s="69"/>
      <c r="N1330" s="69">
        <f>IFERROR(__xludf.DUMMYFUNCTION("""COMPUTED_VALUE"""),1.0)</f>
        <v>1</v>
      </c>
      <c r="O1330" s="69" t="str">
        <f t="shared" si="3"/>
        <v/>
      </c>
      <c r="P1330" s="471">
        <f>IFERROR(__xludf.DUMMYFUNCTION("""COMPUTED_VALUE"""),0.0)</f>
        <v>0</v>
      </c>
      <c r="Q1330" s="274" t="b">
        <f>VLOOKUP($B1330,'Run Reconcile'!B$2:O2488,14,FALSE)</f>
        <v>1</v>
      </c>
      <c r="R1330" s="472" t="str">
        <f t="array" ref="R1330">IF($Q1330, INDEX('Run Reconcile'!A$2:A2488,MATCH(B1330,'Run Reconcile'!B$2:B2488,0),1),IFERROR(0/0,""))</f>
        <v>RUN-FLMP_2022-05-23_RFR-146</v>
      </c>
      <c r="S1330" s="473" t="str">
        <f t="shared" si="694"/>
        <v/>
      </c>
      <c r="T1330" s="473" t="str">
        <f t="shared" si="698"/>
        <v/>
      </c>
      <c r="U1330" s="275" t="str">
        <f t="array" ref="U1330">IF(ISBLANK($R1330), INDEX('Run Reconcile'!A$2:A2488, MATCH($B1330, 'Run Reconcile'!B$2:B2488, 0)+Z1330, 1), IFERROR(0/0,""))
</f>
        <v/>
      </c>
      <c r="V1330" s="474" t="str">
        <f t="shared" si="5"/>
        <v>RUN-FLMP_2022-05-23_RFR-146</v>
      </c>
      <c r="Y1330" s="89" t="str">
        <f t="shared" si="1581"/>
        <v/>
      </c>
      <c r="Z1330" s="60" t="str">
        <f t="shared" si="7"/>
        <v/>
      </c>
      <c r="AA1330" s="60" t="str">
        <f t="shared" si="8"/>
        <v/>
      </c>
      <c r="AB1330" s="60" t="str">
        <f t="shared" si="9"/>
        <v/>
      </c>
      <c r="AC1330" s="30" t="str">
        <f t="shared" ref="AC1330:AD1330" si="1689">IF(_xlfn.ISFORMULA(S1330),IFERROR(0/0,""),TRUE)</f>
        <v/>
      </c>
      <c r="AD1330" s="30" t="str">
        <f t="shared" si="1689"/>
        <v/>
      </c>
      <c r="AE1330" s="475" t="str">
        <f>IFERROR(__xludf.DUMMYFUNCTION("""COMPUTED_VALUE"""),"CRLN")</f>
        <v>CRLN</v>
      </c>
      <c r="AF1330" s="476"/>
      <c r="AG1330" s="474" t="s">
        <v>223</v>
      </c>
      <c r="AH1330" s="138" t="str">
        <f t="shared" si="11"/>
        <v/>
      </c>
    </row>
    <row r="1331">
      <c r="A1331" s="103" t="str">
        <f>IFERROR(__xludf.DUMMYFUNCTION("""COMPUTED_VALUE"""),"AK6070")</f>
        <v>AK6070</v>
      </c>
      <c r="B1331" s="468">
        <f>IFERROR(__xludf.DUMMYFUNCTION("""COMPUTED_VALUE"""),44704.0)</f>
        <v>44704</v>
      </c>
      <c r="C1331" s="469">
        <f>IFERROR(__xludf.DUMMYFUNCTION("""COMPUTED_VALUE"""),0.36461805555555554)</f>
        <v>0.3646180556</v>
      </c>
      <c r="D1331" s="103" t="str">
        <f>IFERROR(__xludf.DUMMYFUNCTION("""COMPUTED_VALUE"""),"SpFLMP946259")</f>
        <v>SpFLMP946259</v>
      </c>
      <c r="E1331" s="103"/>
      <c r="F1331" s="103"/>
      <c r="G1331" s="103" t="str">
        <f>IFERROR(__xludf.DUMMYFUNCTION("""COMPUTED_VALUE"""),"Negative")</f>
        <v>Negative</v>
      </c>
      <c r="H1331" s="131" t="str">
        <f>IFERROR(__xludf.DUMMYFUNCTION("""COMPUTED_VALUE"""),"Negative")</f>
        <v>Negative</v>
      </c>
      <c r="I1331" s="468">
        <f>IFERROR(__xludf.DUMMYFUNCTION("""COMPUTED_VALUE"""),44704.0)</f>
        <v>44704</v>
      </c>
      <c r="J1331" s="470">
        <f>IFERROR(__xludf.DUMMYFUNCTION("""COMPUTED_VALUE"""),0.4613425925925926)</f>
        <v>0.4613425926</v>
      </c>
      <c r="K1331" s="16"/>
      <c r="L1331" s="8"/>
      <c r="M1331" s="69"/>
      <c r="N1331" s="69">
        <f>IFERROR(__xludf.DUMMYFUNCTION("""COMPUTED_VALUE"""),2.0)</f>
        <v>2</v>
      </c>
      <c r="O1331" s="69" t="str">
        <f t="shared" si="3"/>
        <v/>
      </c>
      <c r="P1331" s="471">
        <f>IFERROR(__xludf.DUMMYFUNCTION("""COMPUTED_VALUE"""),0.0)</f>
        <v>0</v>
      </c>
      <c r="Q1331" s="274" t="b">
        <f>VLOOKUP($B1331,'Run Reconcile'!B$2:O2488,14,FALSE)</f>
        <v>1</v>
      </c>
      <c r="R1331" s="472" t="str">
        <f t="array" ref="R1331">IF($Q1331, INDEX('Run Reconcile'!A$2:A2488,MATCH(B1331,'Run Reconcile'!B$2:B2488,0),1),IFERROR(0/0,""))</f>
        <v>RUN-FLMP_2022-05-23_RFR-146</v>
      </c>
      <c r="S1331" s="473" t="str">
        <f t="shared" si="694"/>
        <v/>
      </c>
      <c r="T1331" s="473" t="str">
        <f t="shared" si="698"/>
        <v/>
      </c>
      <c r="U1331" s="275" t="str">
        <f t="array" ref="U1331">IF(ISBLANK($R1331), INDEX('Run Reconcile'!A$2:A2488, MATCH($B1331, 'Run Reconcile'!B$2:B2488, 0)+Z1331, 1), IFERROR(0/0,""))
</f>
        <v/>
      </c>
      <c r="V1331" s="474" t="str">
        <f t="shared" si="5"/>
        <v>RUN-FLMP_2022-05-23_RFR-146</v>
      </c>
      <c r="Y1331" s="89" t="str">
        <f t="shared" si="1581"/>
        <v/>
      </c>
      <c r="Z1331" s="60" t="str">
        <f t="shared" si="7"/>
        <v/>
      </c>
      <c r="AA1331" s="60" t="str">
        <f t="shared" si="8"/>
        <v/>
      </c>
      <c r="AB1331" s="60" t="str">
        <f t="shared" si="9"/>
        <v/>
      </c>
      <c r="AC1331" s="30" t="str">
        <f t="shared" ref="AC1331:AD1331" si="1690">IF(_xlfn.ISFORMULA(S1331),IFERROR(0/0,""),TRUE)</f>
        <v/>
      </c>
      <c r="AD1331" s="30" t="str">
        <f t="shared" si="1690"/>
        <v/>
      </c>
      <c r="AE1331" s="475" t="str">
        <f>IFERROR(__xludf.DUMMYFUNCTION("""COMPUTED_VALUE"""),"CRLN")</f>
        <v>CRLN</v>
      </c>
      <c r="AF1331" s="476"/>
      <c r="AG1331" s="474" t="s">
        <v>223</v>
      </c>
      <c r="AH1331" s="138" t="str">
        <f t="shared" si="11"/>
        <v/>
      </c>
    </row>
    <row r="1332">
      <c r="A1332" s="103" t="str">
        <f>IFERROR(__xludf.DUMMYFUNCTION("""COMPUTED_VALUE"""),"AH7643")</f>
        <v>AH7643</v>
      </c>
      <c r="B1332" s="468">
        <f>IFERROR(__xludf.DUMMYFUNCTION("""COMPUTED_VALUE"""),44704.0)</f>
        <v>44704</v>
      </c>
      <c r="C1332" s="469">
        <f>IFERROR(__xludf.DUMMYFUNCTION("""COMPUTED_VALUE"""),0.3658912037037037)</f>
        <v>0.3658912037</v>
      </c>
      <c r="D1332" s="103" t="str">
        <f>IFERROR(__xludf.DUMMYFUNCTION("""COMPUTED_VALUE"""),"SpFLMP683385")</f>
        <v>SpFLMP683385</v>
      </c>
      <c r="E1332" s="103"/>
      <c r="F1332" s="103"/>
      <c r="G1332" s="103" t="str">
        <f>IFERROR(__xludf.DUMMYFUNCTION("""COMPUTED_VALUE"""),"Negative")</f>
        <v>Negative</v>
      </c>
      <c r="H1332" s="131" t="str">
        <f>IFERROR(__xludf.DUMMYFUNCTION("""COMPUTED_VALUE"""),"Negative")</f>
        <v>Negative</v>
      </c>
      <c r="I1332" s="468">
        <f>IFERROR(__xludf.DUMMYFUNCTION("""COMPUTED_VALUE"""),44704.0)</f>
        <v>44704</v>
      </c>
      <c r="J1332" s="470">
        <f>IFERROR(__xludf.DUMMYFUNCTION("""COMPUTED_VALUE"""),0.4613425925925926)</f>
        <v>0.4613425926</v>
      </c>
      <c r="K1332" s="16"/>
      <c r="L1332" s="8"/>
      <c r="M1332" s="69"/>
      <c r="N1332" s="69">
        <f>IFERROR(__xludf.DUMMYFUNCTION("""COMPUTED_VALUE"""),2.0)</f>
        <v>2</v>
      </c>
      <c r="O1332" s="69" t="str">
        <f t="shared" si="3"/>
        <v/>
      </c>
      <c r="P1332" s="471">
        <f>IFERROR(__xludf.DUMMYFUNCTION("""COMPUTED_VALUE"""),0.0)</f>
        <v>0</v>
      </c>
      <c r="Q1332" s="274" t="b">
        <f>VLOOKUP($B1332,'Run Reconcile'!B$2:O2488,14,FALSE)</f>
        <v>1</v>
      </c>
      <c r="R1332" s="472" t="str">
        <f t="array" ref="R1332">IF($Q1332, INDEX('Run Reconcile'!A$2:A2488,MATCH(B1332,'Run Reconcile'!B$2:B2488,0),1),IFERROR(0/0,""))</f>
        <v>RUN-FLMP_2022-05-23_RFR-146</v>
      </c>
      <c r="S1332" s="473" t="str">
        <f t="shared" si="694"/>
        <v/>
      </c>
      <c r="T1332" s="473" t="str">
        <f t="shared" si="698"/>
        <v/>
      </c>
      <c r="U1332" s="275" t="str">
        <f t="array" ref="U1332">IF(ISBLANK($R1332), INDEX('Run Reconcile'!A$2:A2488, MATCH($B1332, 'Run Reconcile'!B$2:B2488, 0)+Z1332, 1), IFERROR(0/0,""))
</f>
        <v/>
      </c>
      <c r="V1332" s="474" t="str">
        <f t="shared" si="5"/>
        <v>RUN-FLMP_2022-05-23_RFR-146</v>
      </c>
      <c r="Y1332" s="89" t="str">
        <f t="shared" si="1581"/>
        <v/>
      </c>
      <c r="Z1332" s="60" t="str">
        <f t="shared" si="7"/>
        <v/>
      </c>
      <c r="AA1332" s="60" t="str">
        <f t="shared" si="8"/>
        <v/>
      </c>
      <c r="AB1332" s="60" t="str">
        <f t="shared" si="9"/>
        <v/>
      </c>
      <c r="AC1332" s="30" t="str">
        <f t="shared" ref="AC1332:AD1332" si="1691">IF(_xlfn.ISFORMULA(S1332),IFERROR(0/0,""),TRUE)</f>
        <v/>
      </c>
      <c r="AD1332" s="30" t="str">
        <f t="shared" si="1691"/>
        <v/>
      </c>
      <c r="AE1332" s="475" t="str">
        <f>IFERROR(__xludf.DUMMYFUNCTION("""COMPUTED_VALUE"""),"CRLN")</f>
        <v>CRLN</v>
      </c>
      <c r="AF1332" s="476"/>
      <c r="AG1332" s="474" t="s">
        <v>223</v>
      </c>
      <c r="AH1332" s="138" t="str">
        <f t="shared" si="11"/>
        <v/>
      </c>
    </row>
    <row r="1333">
      <c r="A1333" s="103" t="str">
        <f>IFERROR(__xludf.DUMMYFUNCTION("""COMPUTED_VALUE"""),"AG296")</f>
        <v>AG296</v>
      </c>
      <c r="B1333" s="468">
        <f>IFERROR(__xludf.DUMMYFUNCTION("""COMPUTED_VALUE"""),44704.0)</f>
        <v>44704</v>
      </c>
      <c r="C1333" s="469">
        <f>IFERROR(__xludf.DUMMYFUNCTION("""COMPUTED_VALUE"""),0.3690625)</f>
        <v>0.3690625</v>
      </c>
      <c r="D1333" s="103" t="str">
        <f>IFERROR(__xludf.DUMMYFUNCTION("""COMPUTED_VALUE"""),"SpFLMP777132")</f>
        <v>SpFLMP777132</v>
      </c>
      <c r="E1333" s="103"/>
      <c r="F1333" s="103"/>
      <c r="G1333" s="103" t="str">
        <f>IFERROR(__xludf.DUMMYFUNCTION("""COMPUTED_VALUE"""),"Negative")</f>
        <v>Negative</v>
      </c>
      <c r="H1333" s="131" t="str">
        <f>IFERROR(__xludf.DUMMYFUNCTION("""COMPUTED_VALUE"""),"Negative")</f>
        <v>Negative</v>
      </c>
      <c r="I1333" s="468">
        <f>IFERROR(__xludf.DUMMYFUNCTION("""COMPUTED_VALUE"""),44704.0)</f>
        <v>44704</v>
      </c>
      <c r="J1333" s="470">
        <f>IFERROR(__xludf.DUMMYFUNCTION("""COMPUTED_VALUE"""),0.4613425925925926)</f>
        <v>0.4613425926</v>
      </c>
      <c r="K1333" s="16"/>
      <c r="L1333" s="8"/>
      <c r="M1333" s="69"/>
      <c r="N1333" s="69">
        <f>IFERROR(__xludf.DUMMYFUNCTION("""COMPUTED_VALUE"""),1.0)</f>
        <v>1</v>
      </c>
      <c r="O1333" s="69" t="str">
        <f t="shared" si="3"/>
        <v/>
      </c>
      <c r="P1333" s="471">
        <f>IFERROR(__xludf.DUMMYFUNCTION("""COMPUTED_VALUE"""),0.0)</f>
        <v>0</v>
      </c>
      <c r="Q1333" s="274" t="b">
        <f>VLOOKUP($B1333,'Run Reconcile'!B$2:O2488,14,FALSE)</f>
        <v>1</v>
      </c>
      <c r="R1333" s="472" t="str">
        <f t="array" ref="R1333">IF($Q1333, INDEX('Run Reconcile'!A$2:A2488,MATCH(B1333,'Run Reconcile'!B$2:B2488,0),1),IFERROR(0/0,""))</f>
        <v>RUN-FLMP_2022-05-23_RFR-146</v>
      </c>
      <c r="S1333" s="473" t="str">
        <f t="shared" si="694"/>
        <v/>
      </c>
      <c r="T1333" s="473" t="str">
        <f t="shared" si="698"/>
        <v/>
      </c>
      <c r="U1333" s="275" t="str">
        <f t="array" ref="U1333">IF(ISBLANK($R1333), INDEX('Run Reconcile'!A$2:A2488, MATCH($B1333, 'Run Reconcile'!B$2:B2488, 0)+Z1333, 1), IFERROR(0/0,""))
</f>
        <v/>
      </c>
      <c r="V1333" s="474" t="str">
        <f t="shared" si="5"/>
        <v>RUN-FLMP_2022-05-23_RFR-146</v>
      </c>
      <c r="Y1333" s="89" t="str">
        <f t="shared" si="1581"/>
        <v/>
      </c>
      <c r="Z1333" s="60" t="str">
        <f t="shared" si="7"/>
        <v/>
      </c>
      <c r="AA1333" s="60" t="str">
        <f t="shared" si="8"/>
        <v/>
      </c>
      <c r="AB1333" s="60" t="str">
        <f t="shared" si="9"/>
        <v/>
      </c>
      <c r="AC1333" s="30" t="str">
        <f t="shared" ref="AC1333:AD1333" si="1692">IF(_xlfn.ISFORMULA(S1333),IFERROR(0/0,""),TRUE)</f>
        <v/>
      </c>
      <c r="AD1333" s="30" t="str">
        <f t="shared" si="1692"/>
        <v/>
      </c>
      <c r="AE1333" s="475" t="str">
        <f>IFERROR(__xludf.DUMMYFUNCTION("""COMPUTED_VALUE"""),"CRLN")</f>
        <v>CRLN</v>
      </c>
      <c r="AF1333" s="476"/>
      <c r="AG1333" s="474" t="s">
        <v>223</v>
      </c>
      <c r="AH1333" s="138" t="str">
        <f t="shared" si="11"/>
        <v/>
      </c>
    </row>
    <row r="1334">
      <c r="A1334" s="103" t="str">
        <f>IFERROR(__xludf.DUMMYFUNCTION("""COMPUTED_VALUE"""),"FLE284")</f>
        <v>FLE284</v>
      </c>
      <c r="B1334" s="468">
        <f>IFERROR(__xludf.DUMMYFUNCTION("""COMPUTED_VALUE"""),44704.0)</f>
        <v>44704</v>
      </c>
      <c r="C1334" s="469">
        <f>IFERROR(__xludf.DUMMYFUNCTION("""COMPUTED_VALUE"""),0.37528935185185186)</f>
        <v>0.3752893519</v>
      </c>
      <c r="D1334" s="103" t="str">
        <f>IFERROR(__xludf.DUMMYFUNCTION("""COMPUTED_VALUE"""),"SpFLMP870846")</f>
        <v>SpFLMP870846</v>
      </c>
      <c r="E1334" s="103"/>
      <c r="F1334" s="103"/>
      <c r="G1334" s="103" t="str">
        <f>IFERROR(__xludf.DUMMYFUNCTION("""COMPUTED_VALUE"""),"Negative")</f>
        <v>Negative</v>
      </c>
      <c r="H1334" s="131" t="str">
        <f>IFERROR(__xludf.DUMMYFUNCTION("""COMPUTED_VALUE"""),"Negative")</f>
        <v>Negative</v>
      </c>
      <c r="I1334" s="468">
        <f>IFERROR(__xludf.DUMMYFUNCTION("""COMPUTED_VALUE"""),44704.0)</f>
        <v>44704</v>
      </c>
      <c r="J1334" s="470">
        <f>IFERROR(__xludf.DUMMYFUNCTION("""COMPUTED_VALUE"""),0.4613425925925926)</f>
        <v>0.4613425926</v>
      </c>
      <c r="K1334" s="16"/>
      <c r="L1334" s="8"/>
      <c r="M1334" s="69"/>
      <c r="N1334" s="69">
        <f>IFERROR(__xludf.DUMMYFUNCTION("""COMPUTED_VALUE"""),1.0)</f>
        <v>1</v>
      </c>
      <c r="O1334" s="69" t="str">
        <f t="shared" si="3"/>
        <v/>
      </c>
      <c r="P1334" s="471">
        <f>IFERROR(__xludf.DUMMYFUNCTION("""COMPUTED_VALUE"""),0.0)</f>
        <v>0</v>
      </c>
      <c r="Q1334" s="274" t="b">
        <f>VLOOKUP($B1334,'Run Reconcile'!B$2:O2488,14,FALSE)</f>
        <v>1</v>
      </c>
      <c r="R1334" s="472" t="str">
        <f t="array" ref="R1334">IF($Q1334, INDEX('Run Reconcile'!A$2:A2488,MATCH(B1334,'Run Reconcile'!B$2:B2488,0),1),IFERROR(0/0,""))</f>
        <v>RUN-FLMP_2022-05-23_RFR-146</v>
      </c>
      <c r="S1334" s="473" t="str">
        <f t="shared" si="694"/>
        <v/>
      </c>
      <c r="T1334" s="473" t="str">
        <f t="shared" si="698"/>
        <v/>
      </c>
      <c r="U1334" s="275" t="str">
        <f t="array" ref="U1334">IF(ISBLANK($R1334), INDEX('Run Reconcile'!A$2:A2488, MATCH($B1334, 'Run Reconcile'!B$2:B2488, 0)+Z1334, 1), IFERROR(0/0,""))
</f>
        <v/>
      </c>
      <c r="V1334" s="474" t="str">
        <f t="shared" si="5"/>
        <v>RUN-FLMP_2022-05-23_RFR-146</v>
      </c>
      <c r="Y1334" s="89" t="str">
        <f t="shared" si="1581"/>
        <v/>
      </c>
      <c r="Z1334" s="60" t="str">
        <f t="shared" si="7"/>
        <v/>
      </c>
      <c r="AA1334" s="60" t="str">
        <f t="shared" si="8"/>
        <v/>
      </c>
      <c r="AB1334" s="60" t="str">
        <f t="shared" si="9"/>
        <v/>
      </c>
      <c r="AC1334" s="30" t="str">
        <f t="shared" ref="AC1334:AD1334" si="1693">IF(_xlfn.ISFORMULA(S1334),IFERROR(0/0,""),TRUE)</f>
        <v/>
      </c>
      <c r="AD1334" s="30" t="str">
        <f t="shared" si="1693"/>
        <v/>
      </c>
      <c r="AE1334" s="475" t="str">
        <f>IFERROR(__xludf.DUMMYFUNCTION("""COMPUTED_VALUE"""),"FLSP")</f>
        <v>FLSP</v>
      </c>
      <c r="AF1334" s="476"/>
      <c r="AG1334" s="474" t="s">
        <v>223</v>
      </c>
      <c r="AH1334" s="138" t="str">
        <f t="shared" si="11"/>
        <v/>
      </c>
    </row>
    <row r="1335">
      <c r="A1335" s="103" t="str">
        <f>IFERROR(__xludf.DUMMYFUNCTION("""COMPUTED_VALUE"""),"AJ8910")</f>
        <v>AJ8910</v>
      </c>
      <c r="B1335" s="468">
        <f>IFERROR(__xludf.DUMMYFUNCTION("""COMPUTED_VALUE"""),44704.0)</f>
        <v>44704</v>
      </c>
      <c r="C1335" s="469">
        <f>IFERROR(__xludf.DUMMYFUNCTION("""COMPUTED_VALUE"""),0.40625)</f>
        <v>0.40625</v>
      </c>
      <c r="D1335" s="103" t="str">
        <f>IFERROR(__xludf.DUMMYFUNCTION("""COMPUTED_VALUE"""),"SpFLMP268514")</f>
        <v>SpFLMP268514</v>
      </c>
      <c r="E1335" s="103"/>
      <c r="F1335" s="103"/>
      <c r="G1335" s="103" t="str">
        <f>IFERROR(__xludf.DUMMYFUNCTION("""COMPUTED_VALUE"""),"Negative")</f>
        <v>Negative</v>
      </c>
      <c r="H1335" s="131" t="str">
        <f>IFERROR(__xludf.DUMMYFUNCTION("""COMPUTED_VALUE"""),"Negative")</f>
        <v>Negative</v>
      </c>
      <c r="I1335" s="468">
        <f>IFERROR(__xludf.DUMMYFUNCTION("""COMPUTED_VALUE"""),44704.0)</f>
        <v>44704</v>
      </c>
      <c r="J1335" s="470">
        <f>IFERROR(__xludf.DUMMYFUNCTION("""COMPUTED_VALUE"""),0.4613425925925926)</f>
        <v>0.4613425926</v>
      </c>
      <c r="K1335" s="16"/>
      <c r="L1335" s="8"/>
      <c r="M1335" s="69"/>
      <c r="N1335" s="69">
        <f>IFERROR(__xludf.DUMMYFUNCTION("""COMPUTED_VALUE"""),3.0)</f>
        <v>3</v>
      </c>
      <c r="O1335" s="69" t="str">
        <f t="shared" si="3"/>
        <v/>
      </c>
      <c r="P1335" s="471">
        <f>IFERROR(__xludf.DUMMYFUNCTION("""COMPUTED_VALUE"""),0.0)</f>
        <v>0</v>
      </c>
      <c r="Q1335" s="274" t="b">
        <f>VLOOKUP($B1335,'Run Reconcile'!B$2:O2488,14,FALSE)</f>
        <v>1</v>
      </c>
      <c r="R1335" s="472" t="str">
        <f t="array" ref="R1335">IF($Q1335, INDEX('Run Reconcile'!A$2:A2488,MATCH(B1335,'Run Reconcile'!B$2:B2488,0),1),IFERROR(0/0,""))</f>
        <v>RUN-FLMP_2022-05-23_RFR-146</v>
      </c>
      <c r="S1335" s="473" t="str">
        <f t="shared" si="694"/>
        <v/>
      </c>
      <c r="T1335" s="473" t="str">
        <f t="shared" si="698"/>
        <v/>
      </c>
      <c r="U1335" s="275" t="str">
        <f t="array" ref="U1335">IF(ISBLANK($R1335), INDEX('Run Reconcile'!A$2:A2488, MATCH($B1335, 'Run Reconcile'!B$2:B2488, 0)+Z1335, 1), IFERROR(0/0,""))
</f>
        <v/>
      </c>
      <c r="V1335" s="474" t="str">
        <f t="shared" si="5"/>
        <v>RUN-FLMP_2022-05-23_RFR-146</v>
      </c>
      <c r="Y1335" s="89" t="str">
        <f t="shared" si="1581"/>
        <v/>
      </c>
      <c r="Z1335" s="60" t="str">
        <f t="shared" si="7"/>
        <v/>
      </c>
      <c r="AA1335" s="60" t="str">
        <f t="shared" si="8"/>
        <v/>
      </c>
      <c r="AB1335" s="60" t="str">
        <f t="shared" si="9"/>
        <v/>
      </c>
      <c r="AC1335" s="30" t="str">
        <f t="shared" ref="AC1335:AD1335" si="1694">IF(_xlfn.ISFORMULA(S1335),IFERROR(0/0,""),TRUE)</f>
        <v/>
      </c>
      <c r="AD1335" s="30" t="str">
        <f t="shared" si="1694"/>
        <v/>
      </c>
      <c r="AE1335" s="475" t="str">
        <f>IFERROR(__xludf.DUMMYFUNCTION("""COMPUTED_VALUE"""),"CRLN")</f>
        <v>CRLN</v>
      </c>
      <c r="AF1335" s="476"/>
      <c r="AG1335" s="474" t="s">
        <v>223</v>
      </c>
      <c r="AH1335" s="138" t="str">
        <f t="shared" si="11"/>
        <v/>
      </c>
    </row>
    <row r="1336">
      <c r="A1336" s="103" t="str">
        <f>IFERROR(__xludf.DUMMYFUNCTION("""COMPUTED_VALUE"""),"FLE241")</f>
        <v>FLE241</v>
      </c>
      <c r="B1336" s="468">
        <f>IFERROR(__xludf.DUMMYFUNCTION("""COMPUTED_VALUE"""),44704.0)</f>
        <v>44704</v>
      </c>
      <c r="C1336" s="469">
        <f>IFERROR(__xludf.DUMMYFUNCTION("""COMPUTED_VALUE"""),0.4375810185185185)</f>
        <v>0.4375810185</v>
      </c>
      <c r="D1336" s="103" t="str">
        <f>IFERROR(__xludf.DUMMYFUNCTION("""COMPUTED_VALUE"""),"SpFLMP496039")</f>
        <v>SpFLMP496039</v>
      </c>
      <c r="E1336" s="103"/>
      <c r="F1336" s="103"/>
      <c r="G1336" s="103" t="str">
        <f>IFERROR(__xludf.DUMMYFUNCTION("""COMPUTED_VALUE"""),"Negative")</f>
        <v>Negative</v>
      </c>
      <c r="H1336" s="131" t="str">
        <f>IFERROR(__xludf.DUMMYFUNCTION("""COMPUTED_VALUE"""),"Negative")</f>
        <v>Negative</v>
      </c>
      <c r="I1336" s="468">
        <f>IFERROR(__xludf.DUMMYFUNCTION("""COMPUTED_VALUE"""),44704.0)</f>
        <v>44704</v>
      </c>
      <c r="J1336" s="470">
        <f>IFERROR(__xludf.DUMMYFUNCTION("""COMPUTED_VALUE"""),0.4613541666666667)</f>
        <v>0.4613541667</v>
      </c>
      <c r="K1336" s="16"/>
      <c r="L1336" s="8"/>
      <c r="M1336" s="69"/>
      <c r="N1336" s="69">
        <f>IFERROR(__xludf.DUMMYFUNCTION("""COMPUTED_VALUE"""),4.0)</f>
        <v>4</v>
      </c>
      <c r="O1336" s="69" t="str">
        <f t="shared" si="3"/>
        <v/>
      </c>
      <c r="P1336" s="471">
        <f>IFERROR(__xludf.DUMMYFUNCTION("""COMPUTED_VALUE"""),0.0)</f>
        <v>0</v>
      </c>
      <c r="Q1336" s="274" t="b">
        <f>VLOOKUP($B1336,'Run Reconcile'!B$2:O2488,14,FALSE)</f>
        <v>1</v>
      </c>
      <c r="R1336" s="472" t="str">
        <f t="array" ref="R1336">IF($Q1336, INDEX('Run Reconcile'!A$2:A2488,MATCH(B1336,'Run Reconcile'!B$2:B2488,0),1),IFERROR(0/0,""))</f>
        <v>RUN-FLMP_2022-05-23_RFR-146</v>
      </c>
      <c r="S1336" s="473" t="str">
        <f t="shared" si="694"/>
        <v/>
      </c>
      <c r="T1336" s="473" t="str">
        <f t="shared" si="698"/>
        <v/>
      </c>
      <c r="U1336" s="275" t="str">
        <f t="array" ref="U1336">IF(ISBLANK($R1336), INDEX('Run Reconcile'!A$2:A2488, MATCH($B1336, 'Run Reconcile'!B$2:B2488, 0)+Z1336, 1), IFERROR(0/0,""))
</f>
        <v/>
      </c>
      <c r="V1336" s="474" t="str">
        <f t="shared" si="5"/>
        <v>RUN-FLMP_2022-05-23_RFR-146</v>
      </c>
      <c r="Y1336" s="89" t="str">
        <f t="shared" si="1581"/>
        <v/>
      </c>
      <c r="Z1336" s="60" t="str">
        <f t="shared" si="7"/>
        <v/>
      </c>
      <c r="AA1336" s="60" t="str">
        <f t="shared" si="8"/>
        <v/>
      </c>
      <c r="AB1336" s="60" t="str">
        <f t="shared" si="9"/>
        <v/>
      </c>
      <c r="AC1336" s="30" t="str">
        <f t="shared" ref="AC1336:AD1336" si="1695">IF(_xlfn.ISFORMULA(S1336),IFERROR(0/0,""),TRUE)</f>
        <v/>
      </c>
      <c r="AD1336" s="30" t="str">
        <f t="shared" si="1695"/>
        <v/>
      </c>
      <c r="AE1336" s="475" t="str">
        <f>IFERROR(__xludf.DUMMYFUNCTION("""COMPUTED_VALUE"""),"CRLN")</f>
        <v>CRLN</v>
      </c>
      <c r="AF1336" s="476"/>
      <c r="AG1336" s="474" t="s">
        <v>223</v>
      </c>
      <c r="AH1336" s="138" t="str">
        <f t="shared" si="11"/>
        <v/>
      </c>
    </row>
    <row r="1337">
      <c r="A1337" s="477" t="str">
        <f>IFERROR(__xludf.DUMMYFUNCTION("""COMPUTED_VALUE"""),"AH394")</f>
        <v>AH394</v>
      </c>
      <c r="B1337" s="478">
        <f>IFERROR(__xludf.DUMMYFUNCTION("""COMPUTED_VALUE"""),44706.0)</f>
        <v>44706</v>
      </c>
      <c r="C1337" s="479">
        <f>IFERROR(__xludf.DUMMYFUNCTION("""COMPUTED_VALUE"""),0.8085416666666667)</f>
        <v>0.8085416667</v>
      </c>
      <c r="D1337" s="477" t="str">
        <f>IFERROR(__xludf.DUMMYFUNCTION("""COMPUTED_VALUE"""),"SpFLMP483153")</f>
        <v>SpFLMP483153</v>
      </c>
      <c r="E1337" s="477"/>
      <c r="F1337" s="477"/>
      <c r="G1337" s="477" t="str">
        <f>IFERROR(__xludf.DUMMYFUNCTION("""COMPUTED_VALUE"""),"Negative")</f>
        <v>Negative</v>
      </c>
      <c r="H1337" s="480" t="str">
        <f>IFERROR(__xludf.DUMMYFUNCTION("""COMPUTED_VALUE"""),"Negative")</f>
        <v>Negative</v>
      </c>
      <c r="I1337" s="478">
        <f>IFERROR(__xludf.DUMMYFUNCTION("""COMPUTED_VALUE"""),44707.0)</f>
        <v>44707</v>
      </c>
      <c r="J1337" s="481">
        <f>IFERROR(__xludf.DUMMYFUNCTION("""COMPUTED_VALUE"""),0.4778125)</f>
        <v>0.4778125</v>
      </c>
      <c r="K1337" s="156"/>
      <c r="L1337" s="19"/>
      <c r="M1337" s="482"/>
      <c r="N1337" s="482">
        <f>IFERROR(__xludf.DUMMYFUNCTION("""COMPUTED_VALUE"""),1.0)</f>
        <v>1</v>
      </c>
      <c r="O1337" s="482" t="b">
        <f t="shared" si="3"/>
        <v>1</v>
      </c>
      <c r="P1337" s="483">
        <f>IFERROR(__xludf.DUMMYFUNCTION("""COMPUTED_VALUE"""),1.0)</f>
        <v>1</v>
      </c>
      <c r="Q1337" s="352" t="str">
        <f>VLOOKUP($B1337,'Run Reconcile'!B$2:O2488,14,FALSE)</f>
        <v/>
      </c>
      <c r="R1337" s="484" t="str">
        <f t="array" ref="R1337">IF($Q1337, INDEX('Run Reconcile'!A$2:A2488,MATCH(B1337,'Run Reconcile'!B$2:B2488,0),1),IFERROR(0/0,""))</f>
        <v/>
      </c>
      <c r="S1337" s="485" t="b">
        <f t="shared" si="694"/>
        <v>1</v>
      </c>
      <c r="T1337" s="485" t="str">
        <f t="shared" si="698"/>
        <v/>
      </c>
      <c r="U1337" s="353" t="str">
        <f t="array" ref="U1337">IF(ISBLANK($R1337), INDEX('Run Reconcile'!A$2:A2488, MATCH($B1337, 'Run Reconcile'!B$2:B2488, 0)+Z1337, 1), IFERROR(0/0,""))
</f>
        <v>RUN-FLMP_2022-05-26_RFR-148</v>
      </c>
      <c r="V1337" s="486" t="str">
        <f t="shared" si="5"/>
        <v>RUN-FLMP_2022-05-26_RFR-148</v>
      </c>
      <c r="W1337" s="19" t="s">
        <v>1504</v>
      </c>
      <c r="X1337" s="19"/>
      <c r="Y1337" s="89">
        <f t="shared" si="1581"/>
        <v>1</v>
      </c>
      <c r="Z1337" s="60">
        <f t="shared" si="7"/>
        <v>1</v>
      </c>
      <c r="AA1337" s="60">
        <f t="shared" si="8"/>
        <v>1</v>
      </c>
      <c r="AB1337" s="60" t="str">
        <f t="shared" si="9"/>
        <v/>
      </c>
      <c r="AC1337" s="158" t="str">
        <f t="shared" ref="AC1337:AD1337" si="1696">IF(_xlfn.ISFORMULA(S1337),IFERROR(0/0,""),TRUE)</f>
        <v/>
      </c>
      <c r="AD1337" s="158" t="str">
        <f t="shared" si="1696"/>
        <v/>
      </c>
      <c r="AE1337" s="488" t="str">
        <f>IFERROR(__xludf.DUMMYFUNCTION("""COMPUTED_VALUE"""),"CRLN")</f>
        <v>CRLN</v>
      </c>
      <c r="AF1337" s="489"/>
      <c r="AG1337" s="486" t="s">
        <v>224</v>
      </c>
      <c r="AH1337" s="138" t="str">
        <f t="shared" si="11"/>
        <v/>
      </c>
      <c r="AI1337" s="19"/>
      <c r="AJ1337" s="19"/>
      <c r="AK1337" s="19"/>
      <c r="AL1337" s="19"/>
      <c r="AM1337" s="19"/>
    </row>
    <row r="1338">
      <c r="A1338" s="103" t="str">
        <f>IFERROR(__xludf.DUMMYFUNCTION("""COMPUTED_VALUE"""),"FLB6753")</f>
        <v>FLB6753</v>
      </c>
      <c r="B1338" s="468">
        <f>IFERROR(__xludf.DUMMYFUNCTION("""COMPUTED_VALUE"""),44707.0)</f>
        <v>44707</v>
      </c>
      <c r="C1338" s="469">
        <f>IFERROR(__xludf.DUMMYFUNCTION("""COMPUTED_VALUE"""),0.22442129629629629)</f>
        <v>0.2244212963</v>
      </c>
      <c r="D1338" s="103" t="str">
        <f>IFERROR(__xludf.DUMMYFUNCTION("""COMPUTED_VALUE"""),"SpFLMP470379")</f>
        <v>SpFLMP470379</v>
      </c>
      <c r="E1338" s="103"/>
      <c r="F1338" s="103"/>
      <c r="G1338" s="103" t="str">
        <f>IFERROR(__xludf.DUMMYFUNCTION("""COMPUTED_VALUE"""),"Negative")</f>
        <v>Negative</v>
      </c>
      <c r="H1338" s="131" t="str">
        <f>IFERROR(__xludf.DUMMYFUNCTION("""COMPUTED_VALUE"""),"Negative")</f>
        <v>Negative</v>
      </c>
      <c r="I1338" s="468">
        <f>IFERROR(__xludf.DUMMYFUNCTION("""COMPUTED_VALUE"""),44707.0)</f>
        <v>44707</v>
      </c>
      <c r="J1338" s="470">
        <f>IFERROR(__xludf.DUMMYFUNCTION("""COMPUTED_VALUE"""),0.4778125)</f>
        <v>0.4778125</v>
      </c>
      <c r="K1338" s="16"/>
      <c r="L1338" s="8"/>
      <c r="M1338" s="69"/>
      <c r="N1338" s="69">
        <f>IFERROR(__xludf.DUMMYFUNCTION("""COMPUTED_VALUE"""),1.0)</f>
        <v>1</v>
      </c>
      <c r="O1338" s="69" t="b">
        <f t="shared" si="3"/>
        <v>1</v>
      </c>
      <c r="P1338" s="471">
        <f>IFERROR(__xludf.DUMMYFUNCTION("""COMPUTED_VALUE"""),0.0)</f>
        <v>0</v>
      </c>
      <c r="Q1338" s="274" t="str">
        <f>VLOOKUP($B1338,'Run Reconcile'!B$2:O2488,14,FALSE)</f>
        <v/>
      </c>
      <c r="R1338" s="472" t="str">
        <f t="array" ref="R1338">IF($Q1338, INDEX('Run Reconcile'!A$2:A2488,MATCH(B1338,'Run Reconcile'!B$2:B2488,0),1),IFERROR(0/0,""))</f>
        <v/>
      </c>
      <c r="S1338" s="473" t="str">
        <f t="shared" si="694"/>
        <v/>
      </c>
      <c r="T1338" s="473" t="str">
        <f t="shared" si="698"/>
        <v/>
      </c>
      <c r="U1338" s="275" t="str">
        <f t="array" ref="U1338">IF(ISBLANK($R1338), INDEX('Run Reconcile'!A$2:A2488, MATCH($B1338, 'Run Reconcile'!B$2:B2488, 0)+Z1338, 1), IFERROR(0/0,""))
</f>
        <v>RUN-FLMP_2022-05-26_RFR-148</v>
      </c>
      <c r="V1338" s="474" t="str">
        <f t="shared" si="5"/>
        <v>RUN-FLMP_2022-05-26_RFR-148</v>
      </c>
      <c r="Y1338" s="89" t="str">
        <f t="shared" si="1581"/>
        <v/>
      </c>
      <c r="Z1338" s="60" t="str">
        <f t="shared" si="7"/>
        <v/>
      </c>
      <c r="AA1338" s="60" t="str">
        <f t="shared" si="8"/>
        <v/>
      </c>
      <c r="AB1338" s="60" t="str">
        <f t="shared" si="9"/>
        <v/>
      </c>
      <c r="AC1338" s="30" t="str">
        <f t="shared" ref="AC1338:AD1338" si="1697">IF(_xlfn.ISFORMULA(S1338),IFERROR(0/0,""),TRUE)</f>
        <v/>
      </c>
      <c r="AD1338" s="30" t="str">
        <f t="shared" si="1697"/>
        <v/>
      </c>
      <c r="AE1338" s="475" t="str">
        <f>IFERROR(__xludf.DUMMYFUNCTION("""COMPUTED_VALUE"""),"CRLN")</f>
        <v>CRLN</v>
      </c>
      <c r="AF1338" s="476"/>
      <c r="AG1338" s="474" t="s">
        <v>224</v>
      </c>
      <c r="AH1338" s="138" t="str">
        <f t="shared" si="11"/>
        <v/>
      </c>
    </row>
    <row r="1339">
      <c r="A1339" s="103" t="str">
        <f>IFERROR(__xludf.DUMMYFUNCTION("""COMPUTED_VALUE"""),"AH7319")</f>
        <v>AH7319</v>
      </c>
      <c r="B1339" s="468">
        <f>IFERROR(__xludf.DUMMYFUNCTION("""COMPUTED_VALUE"""),44707.0)</f>
        <v>44707</v>
      </c>
      <c r="C1339" s="469">
        <f>IFERROR(__xludf.DUMMYFUNCTION("""COMPUTED_VALUE"""),0.24791666666666667)</f>
        <v>0.2479166667</v>
      </c>
      <c r="D1339" s="103" t="str">
        <f>IFERROR(__xludf.DUMMYFUNCTION("""COMPUTED_VALUE"""),"SpFLMP690282")</f>
        <v>SpFLMP690282</v>
      </c>
      <c r="E1339" s="103"/>
      <c r="F1339" s="103"/>
      <c r="G1339" s="103" t="str">
        <f>IFERROR(__xludf.DUMMYFUNCTION("""COMPUTED_VALUE"""),"Negative")</f>
        <v>Negative</v>
      </c>
      <c r="H1339" s="131" t="str">
        <f>IFERROR(__xludf.DUMMYFUNCTION("""COMPUTED_VALUE"""),"Negative")</f>
        <v>Negative</v>
      </c>
      <c r="I1339" s="468">
        <f>IFERROR(__xludf.DUMMYFUNCTION("""COMPUTED_VALUE"""),44707.0)</f>
        <v>44707</v>
      </c>
      <c r="J1339" s="470">
        <f>IFERROR(__xludf.DUMMYFUNCTION("""COMPUTED_VALUE"""),0.4778125)</f>
        <v>0.4778125</v>
      </c>
      <c r="K1339" s="16"/>
      <c r="L1339" s="8"/>
      <c r="M1339" s="69"/>
      <c r="N1339" s="69">
        <f>IFERROR(__xludf.DUMMYFUNCTION("""COMPUTED_VALUE"""),2.0)</f>
        <v>2</v>
      </c>
      <c r="O1339" s="69" t="str">
        <f t="shared" si="3"/>
        <v/>
      </c>
      <c r="P1339" s="471">
        <f>IFERROR(__xludf.DUMMYFUNCTION("""COMPUTED_VALUE"""),0.0)</f>
        <v>0</v>
      </c>
      <c r="Q1339" s="274" t="str">
        <f>VLOOKUP($B1339,'Run Reconcile'!B$2:O2488,14,FALSE)</f>
        <v/>
      </c>
      <c r="R1339" s="472" t="str">
        <f t="array" ref="R1339">IF($Q1339, INDEX('Run Reconcile'!A$2:A2488,MATCH(B1339,'Run Reconcile'!B$2:B2488,0),1),IFERROR(0/0,""))</f>
        <v/>
      </c>
      <c r="S1339" s="473" t="str">
        <f t="shared" si="694"/>
        <v/>
      </c>
      <c r="T1339" s="473" t="str">
        <f t="shared" si="698"/>
        <v/>
      </c>
      <c r="U1339" s="275" t="str">
        <f t="array" ref="U1339">IF(ISBLANK($R1339), INDEX('Run Reconcile'!A$2:A2488, MATCH($B1339, 'Run Reconcile'!B$2:B2488, 0)+Z1339, 1), IFERROR(0/0,""))
</f>
        <v>RUN-FLMP_2022-05-26_RFR-148</v>
      </c>
      <c r="V1339" s="474" t="str">
        <f t="shared" si="5"/>
        <v>RUN-FLMP_2022-05-26_RFR-148</v>
      </c>
      <c r="Y1339" s="89" t="str">
        <f t="shared" si="1581"/>
        <v/>
      </c>
      <c r="Z1339" s="60" t="str">
        <f t="shared" si="7"/>
        <v/>
      </c>
      <c r="AA1339" s="60" t="str">
        <f t="shared" si="8"/>
        <v/>
      </c>
      <c r="AB1339" s="60" t="str">
        <f t="shared" si="9"/>
        <v/>
      </c>
      <c r="AC1339" s="30" t="str">
        <f t="shared" ref="AC1339:AD1339" si="1698">IF(_xlfn.ISFORMULA(S1339),IFERROR(0/0,""),TRUE)</f>
        <v/>
      </c>
      <c r="AD1339" s="30" t="str">
        <f t="shared" si="1698"/>
        <v/>
      </c>
      <c r="AE1339" s="475" t="str">
        <f>IFERROR(__xludf.DUMMYFUNCTION("""COMPUTED_VALUE"""),"CRLN")</f>
        <v>CRLN</v>
      </c>
      <c r="AF1339" s="476"/>
      <c r="AG1339" s="474" t="s">
        <v>224</v>
      </c>
      <c r="AH1339" s="138" t="str">
        <f t="shared" si="11"/>
        <v/>
      </c>
    </row>
    <row r="1340">
      <c r="A1340" s="103" t="str">
        <f>IFERROR(__xludf.DUMMYFUNCTION("""COMPUTED_VALUE"""),"FLB7355")</f>
        <v>FLB7355</v>
      </c>
      <c r="B1340" s="468">
        <f>IFERROR(__xludf.DUMMYFUNCTION("""COMPUTED_VALUE"""),44707.0)</f>
        <v>44707</v>
      </c>
      <c r="C1340" s="469">
        <f>IFERROR(__xludf.DUMMYFUNCTION("""COMPUTED_VALUE"""),0.2824537037037037)</f>
        <v>0.2824537037</v>
      </c>
      <c r="D1340" s="103" t="str">
        <f>IFERROR(__xludf.DUMMYFUNCTION("""COMPUTED_VALUE"""),"SpFLMP600756")</f>
        <v>SpFLMP600756</v>
      </c>
      <c r="E1340" s="103"/>
      <c r="F1340" s="103"/>
      <c r="G1340" s="103" t="str">
        <f>IFERROR(__xludf.DUMMYFUNCTION("""COMPUTED_VALUE"""),"Negative")</f>
        <v>Negative</v>
      </c>
      <c r="H1340" s="131" t="str">
        <f>IFERROR(__xludf.DUMMYFUNCTION("""COMPUTED_VALUE"""),"Negative")</f>
        <v>Negative</v>
      </c>
      <c r="I1340" s="468">
        <f>IFERROR(__xludf.DUMMYFUNCTION("""COMPUTED_VALUE"""),44707.0)</f>
        <v>44707</v>
      </c>
      <c r="J1340" s="470">
        <f>IFERROR(__xludf.DUMMYFUNCTION("""COMPUTED_VALUE"""),0.4778125)</f>
        <v>0.4778125</v>
      </c>
      <c r="K1340" s="16"/>
      <c r="L1340" s="8"/>
      <c r="M1340" s="69"/>
      <c r="N1340" s="69">
        <f>IFERROR(__xludf.DUMMYFUNCTION("""COMPUTED_VALUE"""),2.0)</f>
        <v>2</v>
      </c>
      <c r="O1340" s="69" t="str">
        <f t="shared" si="3"/>
        <v/>
      </c>
      <c r="P1340" s="471">
        <f>IFERROR(__xludf.DUMMYFUNCTION("""COMPUTED_VALUE"""),0.0)</f>
        <v>0</v>
      </c>
      <c r="Q1340" s="274" t="str">
        <f>VLOOKUP($B1340,'Run Reconcile'!B$2:O2488,14,FALSE)</f>
        <v/>
      </c>
      <c r="R1340" s="472" t="str">
        <f t="array" ref="R1340">IF($Q1340, INDEX('Run Reconcile'!A$2:A2488,MATCH(B1340,'Run Reconcile'!B$2:B2488,0),1),IFERROR(0/0,""))</f>
        <v/>
      </c>
      <c r="S1340" s="473" t="str">
        <f t="shared" si="694"/>
        <v/>
      </c>
      <c r="T1340" s="473" t="str">
        <f t="shared" si="698"/>
        <v/>
      </c>
      <c r="U1340" s="275" t="str">
        <f t="array" ref="U1340">IF(ISBLANK($R1340), INDEX('Run Reconcile'!A$2:A2488, MATCH($B1340, 'Run Reconcile'!B$2:B2488, 0)+Z1340, 1), IFERROR(0/0,""))
</f>
        <v>RUN-FLMP_2022-05-26_RFR-148</v>
      </c>
      <c r="V1340" s="474" t="str">
        <f t="shared" si="5"/>
        <v>RUN-FLMP_2022-05-26_RFR-148</v>
      </c>
      <c r="Y1340" s="89" t="str">
        <f t="shared" si="1581"/>
        <v/>
      </c>
      <c r="Z1340" s="60" t="str">
        <f t="shared" si="7"/>
        <v/>
      </c>
      <c r="AA1340" s="60" t="str">
        <f t="shared" si="8"/>
        <v/>
      </c>
      <c r="AB1340" s="60" t="str">
        <f t="shared" si="9"/>
        <v/>
      </c>
      <c r="AC1340" s="30" t="str">
        <f t="shared" ref="AC1340:AD1340" si="1699">IF(_xlfn.ISFORMULA(S1340),IFERROR(0/0,""),TRUE)</f>
        <v/>
      </c>
      <c r="AD1340" s="30" t="str">
        <f t="shared" si="1699"/>
        <v/>
      </c>
      <c r="AE1340" s="475" t="str">
        <f>IFERROR(__xludf.DUMMYFUNCTION("""COMPUTED_VALUE"""),"CRLN")</f>
        <v>CRLN</v>
      </c>
      <c r="AF1340" s="476"/>
      <c r="AG1340" s="474" t="s">
        <v>224</v>
      </c>
      <c r="AH1340" s="138" t="str">
        <f t="shared" si="11"/>
        <v/>
      </c>
    </row>
    <row r="1341">
      <c r="A1341" s="103" t="str">
        <f>IFERROR(__xludf.DUMMYFUNCTION("""COMPUTED_VALUE"""),"FLE257")</f>
        <v>FLE257</v>
      </c>
      <c r="B1341" s="468">
        <f>IFERROR(__xludf.DUMMYFUNCTION("""COMPUTED_VALUE"""),44707.0)</f>
        <v>44707</v>
      </c>
      <c r="C1341" s="469">
        <f>IFERROR(__xludf.DUMMYFUNCTION("""COMPUTED_VALUE"""),0.31482638888888886)</f>
        <v>0.3148263889</v>
      </c>
      <c r="D1341" s="103" t="str">
        <f>IFERROR(__xludf.DUMMYFUNCTION("""COMPUTED_VALUE"""),"SpFLMP870846")</f>
        <v>SpFLMP870846</v>
      </c>
      <c r="E1341" s="103"/>
      <c r="F1341" s="103"/>
      <c r="G1341" s="103" t="str">
        <f>IFERROR(__xludf.DUMMYFUNCTION("""COMPUTED_VALUE"""),"Negative")</f>
        <v>Negative</v>
      </c>
      <c r="H1341" s="131" t="str">
        <f>IFERROR(__xludf.DUMMYFUNCTION("""COMPUTED_VALUE"""),"Negative")</f>
        <v>Negative</v>
      </c>
      <c r="I1341" s="468">
        <f>IFERROR(__xludf.DUMMYFUNCTION("""COMPUTED_VALUE"""),44707.0)</f>
        <v>44707</v>
      </c>
      <c r="J1341" s="470">
        <f>IFERROR(__xludf.DUMMYFUNCTION("""COMPUTED_VALUE"""),0.4778125)</f>
        <v>0.4778125</v>
      </c>
      <c r="K1341" s="16"/>
      <c r="L1341" s="8"/>
      <c r="M1341" s="69"/>
      <c r="N1341" s="69">
        <f>IFERROR(__xludf.DUMMYFUNCTION("""COMPUTED_VALUE"""),2.0)</f>
        <v>2</v>
      </c>
      <c r="O1341" s="69" t="str">
        <f t="shared" si="3"/>
        <v/>
      </c>
      <c r="P1341" s="471">
        <f>IFERROR(__xludf.DUMMYFUNCTION("""COMPUTED_VALUE"""),0.0)</f>
        <v>0</v>
      </c>
      <c r="Q1341" s="274" t="str">
        <f>VLOOKUP($B1341,'Run Reconcile'!B$2:O2488,14,FALSE)</f>
        <v/>
      </c>
      <c r="R1341" s="472" t="str">
        <f t="array" ref="R1341">IF($Q1341, INDEX('Run Reconcile'!A$2:A2488,MATCH(B1341,'Run Reconcile'!B$2:B2488,0),1),IFERROR(0/0,""))</f>
        <v/>
      </c>
      <c r="S1341" s="473" t="str">
        <f t="shared" si="694"/>
        <v/>
      </c>
      <c r="T1341" s="473" t="str">
        <f t="shared" si="698"/>
        <v/>
      </c>
      <c r="U1341" s="275" t="str">
        <f t="array" ref="U1341">IF(ISBLANK($R1341), INDEX('Run Reconcile'!A$2:A2488, MATCH($B1341, 'Run Reconcile'!B$2:B2488, 0)+Z1341, 1), IFERROR(0/0,""))
</f>
        <v>RUN-FLMP_2022-05-26_RFR-148</v>
      </c>
      <c r="V1341" s="474" t="str">
        <f t="shared" si="5"/>
        <v>RUN-FLMP_2022-05-26_RFR-148</v>
      </c>
      <c r="Y1341" s="89" t="str">
        <f t="shared" si="1581"/>
        <v/>
      </c>
      <c r="Z1341" s="60" t="str">
        <f t="shared" si="7"/>
        <v/>
      </c>
      <c r="AA1341" s="60" t="str">
        <f t="shared" si="8"/>
        <v/>
      </c>
      <c r="AB1341" s="60" t="str">
        <f t="shared" si="9"/>
        <v/>
      </c>
      <c r="AC1341" s="30" t="str">
        <f t="shared" ref="AC1341:AD1341" si="1700">IF(_xlfn.ISFORMULA(S1341),IFERROR(0/0,""),TRUE)</f>
        <v/>
      </c>
      <c r="AD1341" s="30" t="str">
        <f t="shared" si="1700"/>
        <v/>
      </c>
      <c r="AE1341" s="475" t="str">
        <f>IFERROR(__xludf.DUMMYFUNCTION("""COMPUTED_VALUE"""),"FLSP")</f>
        <v>FLSP</v>
      </c>
      <c r="AF1341" s="476"/>
      <c r="AG1341" s="474" t="s">
        <v>224</v>
      </c>
      <c r="AH1341" s="138" t="str">
        <f t="shared" si="11"/>
        <v/>
      </c>
    </row>
    <row r="1342">
      <c r="A1342" s="103" t="str">
        <f>IFERROR(__xludf.DUMMYFUNCTION("""COMPUTED_VALUE"""),"AJ9795")</f>
        <v>AJ9795</v>
      </c>
      <c r="B1342" s="468">
        <f>IFERROR(__xludf.DUMMYFUNCTION("""COMPUTED_VALUE"""),44707.0)</f>
        <v>44707</v>
      </c>
      <c r="C1342" s="469">
        <f>IFERROR(__xludf.DUMMYFUNCTION("""COMPUTED_VALUE"""),0.31582175925925926)</f>
        <v>0.3158217593</v>
      </c>
      <c r="D1342" s="103" t="str">
        <f>IFERROR(__xludf.DUMMYFUNCTION("""COMPUTED_VALUE"""),"SpFLMP777132")</f>
        <v>SpFLMP777132</v>
      </c>
      <c r="E1342" s="103"/>
      <c r="F1342" s="103"/>
      <c r="G1342" s="103" t="str">
        <f>IFERROR(__xludf.DUMMYFUNCTION("""COMPUTED_VALUE"""),"Negative")</f>
        <v>Negative</v>
      </c>
      <c r="H1342" s="131" t="str">
        <f>IFERROR(__xludf.DUMMYFUNCTION("""COMPUTED_VALUE"""),"Negative")</f>
        <v>Negative</v>
      </c>
      <c r="I1342" s="468">
        <f>IFERROR(__xludf.DUMMYFUNCTION("""COMPUTED_VALUE"""),44707.0)</f>
        <v>44707</v>
      </c>
      <c r="J1342" s="470">
        <f>IFERROR(__xludf.DUMMYFUNCTION("""COMPUTED_VALUE"""),0.4878240740740741)</f>
        <v>0.4878240741</v>
      </c>
      <c r="K1342" s="16"/>
      <c r="L1342" s="8"/>
      <c r="M1342" s="69"/>
      <c r="N1342" s="69">
        <f>IFERROR(__xludf.DUMMYFUNCTION("""COMPUTED_VALUE"""),4.0)</f>
        <v>4</v>
      </c>
      <c r="O1342" s="69" t="str">
        <f t="shared" si="3"/>
        <v/>
      </c>
      <c r="P1342" s="471">
        <f>IFERROR(__xludf.DUMMYFUNCTION("""COMPUTED_VALUE"""),0.0)</f>
        <v>0</v>
      </c>
      <c r="Q1342" s="274" t="str">
        <f>VLOOKUP($B1342,'Run Reconcile'!B$2:O2488,14,FALSE)</f>
        <v/>
      </c>
      <c r="R1342" s="472" t="str">
        <f t="array" ref="R1342">IF($Q1342, INDEX('Run Reconcile'!A$2:A2488,MATCH(B1342,'Run Reconcile'!B$2:B2488,0),1),IFERROR(0/0,""))</f>
        <v/>
      </c>
      <c r="S1342" s="473" t="str">
        <f t="shared" si="694"/>
        <v/>
      </c>
      <c r="T1342" s="473" t="str">
        <f t="shared" si="698"/>
        <v/>
      </c>
      <c r="U1342" s="275" t="str">
        <f t="array" ref="U1342">IF(ISBLANK($R1342), INDEX('Run Reconcile'!A$2:A2488, MATCH($B1342, 'Run Reconcile'!B$2:B2488, 0)+Z1342, 1), IFERROR(0/0,""))
</f>
        <v>RUN-FLMP_2022-05-26_RFR-148</v>
      </c>
      <c r="V1342" s="474" t="str">
        <f t="shared" si="5"/>
        <v>RUN-FLMP_2022-05-26_RFR-148</v>
      </c>
      <c r="Y1342" s="89" t="str">
        <f t="shared" si="1581"/>
        <v/>
      </c>
      <c r="Z1342" s="60" t="str">
        <f t="shared" si="7"/>
        <v/>
      </c>
      <c r="AA1342" s="60" t="str">
        <f t="shared" si="8"/>
        <v/>
      </c>
      <c r="AB1342" s="60" t="str">
        <f t="shared" si="9"/>
        <v/>
      </c>
      <c r="AC1342" s="30" t="str">
        <f t="shared" ref="AC1342:AD1342" si="1701">IF(_xlfn.ISFORMULA(S1342),IFERROR(0/0,""),TRUE)</f>
        <v/>
      </c>
      <c r="AD1342" s="30" t="str">
        <f t="shared" si="1701"/>
        <v/>
      </c>
      <c r="AE1342" s="475" t="str">
        <f>IFERROR(__xludf.DUMMYFUNCTION("""COMPUTED_VALUE"""),"CRLN")</f>
        <v>CRLN</v>
      </c>
      <c r="AF1342" s="476"/>
      <c r="AG1342" s="474" t="s">
        <v>224</v>
      </c>
      <c r="AH1342" s="138" t="str">
        <f t="shared" si="11"/>
        <v/>
      </c>
    </row>
    <row r="1343">
      <c r="A1343" s="103" t="str">
        <f>IFERROR(__xludf.DUMMYFUNCTION("""COMPUTED_VALUE"""),"AK8383")</f>
        <v>AK8383</v>
      </c>
      <c r="B1343" s="468">
        <f>IFERROR(__xludf.DUMMYFUNCTION("""COMPUTED_VALUE"""),44707.0)</f>
        <v>44707</v>
      </c>
      <c r="C1343" s="469">
        <f>IFERROR(__xludf.DUMMYFUNCTION("""COMPUTED_VALUE"""),0.32435185185185184)</f>
        <v>0.3243518519</v>
      </c>
      <c r="D1343" s="103" t="str">
        <f>IFERROR(__xludf.DUMMYFUNCTION("""COMPUTED_VALUE"""),"SpFLMP228238")</f>
        <v>SpFLMP228238</v>
      </c>
      <c r="E1343" s="103"/>
      <c r="F1343" s="103"/>
      <c r="G1343" s="103" t="str">
        <f>IFERROR(__xludf.DUMMYFUNCTION("""COMPUTED_VALUE"""),"Negative")</f>
        <v>Negative</v>
      </c>
      <c r="H1343" s="131" t="str">
        <f>IFERROR(__xludf.DUMMYFUNCTION("""COMPUTED_VALUE"""),"Negative")</f>
        <v>Negative</v>
      </c>
      <c r="I1343" s="468">
        <f>IFERROR(__xludf.DUMMYFUNCTION("""COMPUTED_VALUE"""),44707.0)</f>
        <v>44707</v>
      </c>
      <c r="J1343" s="470">
        <f>IFERROR(__xludf.DUMMYFUNCTION("""COMPUTED_VALUE"""),0.47782407407407407)</f>
        <v>0.4778240741</v>
      </c>
      <c r="K1343" s="16"/>
      <c r="L1343" s="8"/>
      <c r="M1343" s="69"/>
      <c r="N1343" s="69">
        <f>IFERROR(__xludf.DUMMYFUNCTION("""COMPUTED_VALUE"""),2.0)</f>
        <v>2</v>
      </c>
      <c r="O1343" s="69" t="str">
        <f t="shared" si="3"/>
        <v/>
      </c>
      <c r="P1343" s="471">
        <f>IFERROR(__xludf.DUMMYFUNCTION("""COMPUTED_VALUE"""),0.0)</f>
        <v>0</v>
      </c>
      <c r="Q1343" s="274" t="str">
        <f>VLOOKUP($B1343,'Run Reconcile'!B$2:O2488,14,FALSE)</f>
        <v/>
      </c>
      <c r="R1343" s="472" t="str">
        <f t="array" ref="R1343">IF($Q1343, INDEX('Run Reconcile'!A$2:A2488,MATCH(B1343,'Run Reconcile'!B$2:B2488,0),1),IFERROR(0/0,""))</f>
        <v/>
      </c>
      <c r="S1343" s="473" t="str">
        <f t="shared" si="694"/>
        <v/>
      </c>
      <c r="T1343" s="473" t="str">
        <f t="shared" si="698"/>
        <v/>
      </c>
      <c r="U1343" s="275" t="str">
        <f t="array" ref="U1343">IF(ISBLANK($R1343), INDEX('Run Reconcile'!A$2:A2488, MATCH($B1343, 'Run Reconcile'!B$2:B2488, 0)+Z1343, 1), IFERROR(0/0,""))
</f>
        <v>RUN-FLMP_2022-05-26_RFR-148</v>
      </c>
      <c r="V1343" s="474" t="str">
        <f t="shared" si="5"/>
        <v>RUN-FLMP_2022-05-26_RFR-148</v>
      </c>
      <c r="Y1343" s="89" t="str">
        <f t="shared" si="1581"/>
        <v/>
      </c>
      <c r="Z1343" s="60" t="str">
        <f t="shared" si="7"/>
        <v/>
      </c>
      <c r="AA1343" s="60" t="str">
        <f t="shared" si="8"/>
        <v/>
      </c>
      <c r="AB1343" s="60" t="str">
        <f t="shared" si="9"/>
        <v/>
      </c>
      <c r="AC1343" s="30" t="str">
        <f t="shared" ref="AC1343:AD1343" si="1702">IF(_xlfn.ISFORMULA(S1343),IFERROR(0/0,""),TRUE)</f>
        <v/>
      </c>
      <c r="AD1343" s="30" t="str">
        <f t="shared" si="1702"/>
        <v/>
      </c>
      <c r="AE1343" s="475" t="str">
        <f>IFERROR(__xludf.DUMMYFUNCTION("""COMPUTED_VALUE"""),"CRLN")</f>
        <v>CRLN</v>
      </c>
      <c r="AF1343" s="476"/>
      <c r="AG1343" s="474" t="s">
        <v>224</v>
      </c>
      <c r="AH1343" s="138" t="str">
        <f t="shared" si="11"/>
        <v/>
      </c>
    </row>
    <row r="1344">
      <c r="A1344" s="103" t="str">
        <f>IFERROR(__xludf.DUMMYFUNCTION("""COMPUTED_VALUE"""),"AK7607")</f>
        <v>AK7607</v>
      </c>
      <c r="B1344" s="468">
        <f>IFERROR(__xludf.DUMMYFUNCTION("""COMPUTED_VALUE"""),44707.0)</f>
        <v>44707</v>
      </c>
      <c r="C1344" s="469">
        <f>IFERROR(__xludf.DUMMYFUNCTION("""COMPUTED_VALUE"""),0.32766203703703706)</f>
        <v>0.327662037</v>
      </c>
      <c r="D1344" s="103" t="str">
        <f>IFERROR(__xludf.DUMMYFUNCTION("""COMPUTED_VALUE"""),"SpFLMP683385")</f>
        <v>SpFLMP683385</v>
      </c>
      <c r="E1344" s="103"/>
      <c r="F1344" s="103"/>
      <c r="G1344" s="103" t="str">
        <f>IFERROR(__xludf.DUMMYFUNCTION("""COMPUTED_VALUE"""),"Negative")</f>
        <v>Negative</v>
      </c>
      <c r="H1344" s="131" t="str">
        <f>IFERROR(__xludf.DUMMYFUNCTION("""COMPUTED_VALUE"""),"Negative")</f>
        <v>Negative</v>
      </c>
      <c r="I1344" s="468">
        <f>IFERROR(__xludf.DUMMYFUNCTION("""COMPUTED_VALUE"""),44707.0)</f>
        <v>44707</v>
      </c>
      <c r="J1344" s="470">
        <f>IFERROR(__xludf.DUMMYFUNCTION("""COMPUTED_VALUE"""),0.47782407407407407)</f>
        <v>0.4778240741</v>
      </c>
      <c r="K1344" s="16"/>
      <c r="L1344" s="8"/>
      <c r="M1344" s="69"/>
      <c r="N1344" s="69">
        <f>IFERROR(__xludf.DUMMYFUNCTION("""COMPUTED_VALUE"""),4.0)</f>
        <v>4</v>
      </c>
      <c r="O1344" s="69" t="str">
        <f t="shared" si="3"/>
        <v/>
      </c>
      <c r="P1344" s="471">
        <f>IFERROR(__xludf.DUMMYFUNCTION("""COMPUTED_VALUE"""),0.0)</f>
        <v>0</v>
      </c>
      <c r="Q1344" s="274" t="str">
        <f>VLOOKUP($B1344,'Run Reconcile'!B$2:O2488,14,FALSE)</f>
        <v/>
      </c>
      <c r="R1344" s="472" t="str">
        <f t="array" ref="R1344">IF($Q1344, INDEX('Run Reconcile'!A$2:A2488,MATCH(B1344,'Run Reconcile'!B$2:B2488,0),1),IFERROR(0/0,""))</f>
        <v/>
      </c>
      <c r="S1344" s="473" t="str">
        <f t="shared" si="694"/>
        <v/>
      </c>
      <c r="T1344" s="473" t="str">
        <f t="shared" si="698"/>
        <v/>
      </c>
      <c r="U1344" s="275" t="str">
        <f t="array" ref="U1344">IF(ISBLANK($R1344), INDEX('Run Reconcile'!A$2:A2488, MATCH($B1344, 'Run Reconcile'!B$2:B2488, 0)+Z1344, 1), IFERROR(0/0,""))
</f>
        <v>RUN-FLMP_2022-05-26_RFR-148</v>
      </c>
      <c r="V1344" s="474" t="str">
        <f t="shared" si="5"/>
        <v>RUN-FLMP_2022-05-26_RFR-148</v>
      </c>
      <c r="Y1344" s="89" t="str">
        <f t="shared" si="1581"/>
        <v/>
      </c>
      <c r="Z1344" s="60" t="str">
        <f t="shared" si="7"/>
        <v/>
      </c>
      <c r="AA1344" s="60" t="str">
        <f t="shared" si="8"/>
        <v/>
      </c>
      <c r="AB1344" s="60" t="str">
        <f t="shared" si="9"/>
        <v/>
      </c>
      <c r="AC1344" s="30" t="str">
        <f t="shared" ref="AC1344:AD1344" si="1703">IF(_xlfn.ISFORMULA(S1344),IFERROR(0/0,""),TRUE)</f>
        <v/>
      </c>
      <c r="AD1344" s="30" t="str">
        <f t="shared" si="1703"/>
        <v/>
      </c>
      <c r="AE1344" s="475" t="str">
        <f>IFERROR(__xludf.DUMMYFUNCTION("""COMPUTED_VALUE"""),"CRLN")</f>
        <v>CRLN</v>
      </c>
      <c r="AF1344" s="476"/>
      <c r="AG1344" s="474" t="s">
        <v>224</v>
      </c>
      <c r="AH1344" s="138" t="str">
        <f t="shared" si="11"/>
        <v/>
      </c>
    </row>
    <row r="1345">
      <c r="A1345" s="103" t="str">
        <f>IFERROR(__xludf.DUMMYFUNCTION("""COMPUTED_VALUE"""),"AJ7812")</f>
        <v>AJ7812</v>
      </c>
      <c r="B1345" s="468">
        <f>IFERROR(__xludf.DUMMYFUNCTION("""COMPUTED_VALUE"""),44707.0)</f>
        <v>44707</v>
      </c>
      <c r="C1345" s="469">
        <f>IFERROR(__xludf.DUMMYFUNCTION("""COMPUTED_VALUE"""),0.33707175925925925)</f>
        <v>0.3370717593</v>
      </c>
      <c r="D1345" s="103" t="str">
        <f>IFERROR(__xludf.DUMMYFUNCTION("""COMPUTED_VALUE"""),"SpFLMP955438")</f>
        <v>SpFLMP955438</v>
      </c>
      <c r="E1345" s="103"/>
      <c r="F1345" s="103"/>
      <c r="G1345" s="103" t="str">
        <f>IFERROR(__xludf.DUMMYFUNCTION("""COMPUTED_VALUE"""),"Negative")</f>
        <v>Negative</v>
      </c>
      <c r="H1345" s="131" t="str">
        <f>IFERROR(__xludf.DUMMYFUNCTION("""COMPUTED_VALUE"""),"Negative")</f>
        <v>Negative</v>
      </c>
      <c r="I1345" s="468">
        <f>IFERROR(__xludf.DUMMYFUNCTION("""COMPUTED_VALUE"""),44707.0)</f>
        <v>44707</v>
      </c>
      <c r="J1345" s="470">
        <f>IFERROR(__xludf.DUMMYFUNCTION("""COMPUTED_VALUE"""),0.47782407407407407)</f>
        <v>0.4778240741</v>
      </c>
      <c r="K1345" s="16"/>
      <c r="L1345" s="8"/>
      <c r="M1345" s="69"/>
      <c r="N1345" s="69">
        <f>IFERROR(__xludf.DUMMYFUNCTION("""COMPUTED_VALUE"""),1.0)</f>
        <v>1</v>
      </c>
      <c r="O1345" s="69" t="str">
        <f t="shared" si="3"/>
        <v/>
      </c>
      <c r="P1345" s="471">
        <f>IFERROR(__xludf.DUMMYFUNCTION("""COMPUTED_VALUE"""),0.0)</f>
        <v>0</v>
      </c>
      <c r="Q1345" s="274" t="str">
        <f>VLOOKUP($B1345,'Run Reconcile'!B$2:O2488,14,FALSE)</f>
        <v/>
      </c>
      <c r="R1345" s="472" t="str">
        <f t="array" ref="R1345">IF($Q1345, INDEX('Run Reconcile'!A$2:A2488,MATCH(B1345,'Run Reconcile'!B$2:B2488,0),1),IFERROR(0/0,""))</f>
        <v/>
      </c>
      <c r="S1345" s="473" t="str">
        <f t="shared" si="694"/>
        <v/>
      </c>
      <c r="T1345" s="473" t="str">
        <f t="shared" si="698"/>
        <v/>
      </c>
      <c r="U1345" s="275" t="str">
        <f t="array" ref="U1345">IF(ISBLANK($R1345), INDEX('Run Reconcile'!A$2:A2488, MATCH($B1345, 'Run Reconcile'!B$2:B2488, 0)+Z1345, 1), IFERROR(0/0,""))
</f>
        <v>RUN-FLMP_2022-05-26_RFR-148</v>
      </c>
      <c r="V1345" s="474" t="str">
        <f t="shared" si="5"/>
        <v>RUN-FLMP_2022-05-26_RFR-148</v>
      </c>
      <c r="Y1345" s="89" t="str">
        <f t="shared" si="1581"/>
        <v/>
      </c>
      <c r="Z1345" s="60" t="str">
        <f t="shared" si="7"/>
        <v/>
      </c>
      <c r="AA1345" s="60" t="str">
        <f t="shared" si="8"/>
        <v/>
      </c>
      <c r="AB1345" s="60" t="str">
        <f t="shared" si="9"/>
        <v/>
      </c>
      <c r="AC1345" s="30" t="str">
        <f t="shared" ref="AC1345:AD1345" si="1704">IF(_xlfn.ISFORMULA(S1345),IFERROR(0/0,""),TRUE)</f>
        <v/>
      </c>
      <c r="AD1345" s="30" t="str">
        <f t="shared" si="1704"/>
        <v/>
      </c>
      <c r="AE1345" s="475" t="str">
        <f>IFERROR(__xludf.DUMMYFUNCTION("""COMPUTED_VALUE"""),"CRLN")</f>
        <v>CRLN</v>
      </c>
      <c r="AF1345" s="476"/>
      <c r="AG1345" s="474" t="s">
        <v>224</v>
      </c>
      <c r="AH1345" s="138" t="str">
        <f t="shared" si="11"/>
        <v/>
      </c>
    </row>
    <row r="1346">
      <c r="A1346" s="103" t="str">
        <f>IFERROR(__xludf.DUMMYFUNCTION("""COMPUTED_VALUE"""),"FLB7045")</f>
        <v>FLB7045</v>
      </c>
      <c r="B1346" s="468">
        <f>IFERROR(__xludf.DUMMYFUNCTION("""COMPUTED_VALUE"""),44707.0)</f>
        <v>44707</v>
      </c>
      <c r="C1346" s="469">
        <f>IFERROR(__xludf.DUMMYFUNCTION("""COMPUTED_VALUE"""),0.34855324074074073)</f>
        <v>0.3485532407</v>
      </c>
      <c r="D1346" s="103" t="str">
        <f>IFERROR(__xludf.DUMMYFUNCTION("""COMPUTED_VALUE"""),"SpFLMP684798")</f>
        <v>SpFLMP684798</v>
      </c>
      <c r="E1346" s="103"/>
      <c r="F1346" s="103"/>
      <c r="G1346" s="103" t="str">
        <f>IFERROR(__xludf.DUMMYFUNCTION("""COMPUTED_VALUE"""),"Negative")</f>
        <v>Negative</v>
      </c>
      <c r="H1346" s="131" t="str">
        <f>IFERROR(__xludf.DUMMYFUNCTION("""COMPUTED_VALUE"""),"Negative")</f>
        <v>Negative</v>
      </c>
      <c r="I1346" s="468">
        <f>IFERROR(__xludf.DUMMYFUNCTION("""COMPUTED_VALUE"""),44707.0)</f>
        <v>44707</v>
      </c>
      <c r="J1346" s="470">
        <f>IFERROR(__xludf.DUMMYFUNCTION("""COMPUTED_VALUE"""),0.47782407407407407)</f>
        <v>0.4778240741</v>
      </c>
      <c r="K1346" s="16"/>
      <c r="L1346" s="8"/>
      <c r="M1346" s="69"/>
      <c r="N1346" s="69">
        <f>IFERROR(__xludf.DUMMYFUNCTION("""COMPUTED_VALUE"""),4.0)</f>
        <v>4</v>
      </c>
      <c r="O1346" s="69" t="str">
        <f t="shared" si="3"/>
        <v/>
      </c>
      <c r="P1346" s="471">
        <f>IFERROR(__xludf.DUMMYFUNCTION("""COMPUTED_VALUE"""),0.0)</f>
        <v>0</v>
      </c>
      <c r="Q1346" s="274" t="str">
        <f>VLOOKUP($B1346,'Run Reconcile'!B$2:O2488,14,FALSE)</f>
        <v/>
      </c>
      <c r="R1346" s="472" t="str">
        <f t="array" ref="R1346">IF($Q1346, INDEX('Run Reconcile'!A$2:A2488,MATCH(B1346,'Run Reconcile'!B$2:B2488,0),1),IFERROR(0/0,""))</f>
        <v/>
      </c>
      <c r="S1346" s="473" t="str">
        <f t="shared" si="694"/>
        <v/>
      </c>
      <c r="T1346" s="473" t="str">
        <f t="shared" si="698"/>
        <v/>
      </c>
      <c r="U1346" s="275" t="str">
        <f t="array" ref="U1346">IF(ISBLANK($R1346), INDEX('Run Reconcile'!A$2:A2488, MATCH($B1346, 'Run Reconcile'!B$2:B2488, 0)+Z1346, 1), IFERROR(0/0,""))
</f>
        <v>RUN-FLMP_2022-05-26_RFR-148</v>
      </c>
      <c r="V1346" s="474" t="str">
        <f t="shared" si="5"/>
        <v>RUN-FLMP_2022-05-26_RFR-148</v>
      </c>
      <c r="Y1346" s="89" t="str">
        <f t="shared" si="1581"/>
        <v/>
      </c>
      <c r="Z1346" s="60" t="str">
        <f t="shared" si="7"/>
        <v/>
      </c>
      <c r="AA1346" s="60" t="str">
        <f t="shared" si="8"/>
        <v/>
      </c>
      <c r="AB1346" s="60" t="str">
        <f t="shared" si="9"/>
        <v/>
      </c>
      <c r="AC1346" s="30" t="str">
        <f t="shared" ref="AC1346:AD1346" si="1705">IF(_xlfn.ISFORMULA(S1346),IFERROR(0/0,""),TRUE)</f>
        <v/>
      </c>
      <c r="AD1346" s="30" t="str">
        <f t="shared" si="1705"/>
        <v/>
      </c>
      <c r="AE1346" s="475" t="str">
        <f>IFERROR(__xludf.DUMMYFUNCTION("""COMPUTED_VALUE"""),"CRLN")</f>
        <v>CRLN</v>
      </c>
      <c r="AF1346" s="476"/>
      <c r="AG1346" s="474" t="s">
        <v>224</v>
      </c>
      <c r="AH1346" s="138" t="str">
        <f t="shared" si="11"/>
        <v/>
      </c>
    </row>
    <row r="1347">
      <c r="A1347" s="103" t="str">
        <f>IFERROR(__xludf.DUMMYFUNCTION("""COMPUTED_VALUE"""),"AG4823")</f>
        <v>AG4823</v>
      </c>
      <c r="B1347" s="468">
        <f>IFERROR(__xludf.DUMMYFUNCTION("""COMPUTED_VALUE"""),44707.0)</f>
        <v>44707</v>
      </c>
      <c r="C1347" s="469">
        <f>IFERROR(__xludf.DUMMYFUNCTION("""COMPUTED_VALUE"""),0.3487384259259259)</f>
        <v>0.3487384259</v>
      </c>
      <c r="D1347" s="103" t="str">
        <f>IFERROR(__xludf.DUMMYFUNCTION("""COMPUTED_VALUE"""),"SpFLMP314549")</f>
        <v>SpFLMP314549</v>
      </c>
      <c r="E1347" s="103"/>
      <c r="F1347" s="103"/>
      <c r="G1347" s="103" t="str">
        <f>IFERROR(__xludf.DUMMYFUNCTION("""COMPUTED_VALUE"""),"Negative")</f>
        <v>Negative</v>
      </c>
      <c r="H1347" s="131" t="str">
        <f>IFERROR(__xludf.DUMMYFUNCTION("""COMPUTED_VALUE"""),"Negative")</f>
        <v>Negative</v>
      </c>
      <c r="I1347" s="468">
        <f>IFERROR(__xludf.DUMMYFUNCTION("""COMPUTED_VALUE"""),44707.0)</f>
        <v>44707</v>
      </c>
      <c r="J1347" s="470">
        <f>IFERROR(__xludf.DUMMYFUNCTION("""COMPUTED_VALUE"""),0.47782407407407407)</f>
        <v>0.4778240741</v>
      </c>
      <c r="K1347" s="16"/>
      <c r="L1347" s="8"/>
      <c r="M1347" s="69"/>
      <c r="N1347" s="69">
        <f>IFERROR(__xludf.DUMMYFUNCTION("""COMPUTED_VALUE"""),1.0)</f>
        <v>1</v>
      </c>
      <c r="O1347" s="69" t="str">
        <f t="shared" si="3"/>
        <v/>
      </c>
      <c r="P1347" s="471">
        <f>IFERROR(__xludf.DUMMYFUNCTION("""COMPUTED_VALUE"""),0.0)</f>
        <v>0</v>
      </c>
      <c r="Q1347" s="274" t="str">
        <f>VLOOKUP($B1347,'Run Reconcile'!B$2:O2488,14,FALSE)</f>
        <v/>
      </c>
      <c r="R1347" s="472" t="str">
        <f t="array" ref="R1347">IF($Q1347, INDEX('Run Reconcile'!A$2:A2488,MATCH(B1347,'Run Reconcile'!B$2:B2488,0),1),IFERROR(0/0,""))</f>
        <v/>
      </c>
      <c r="S1347" s="473" t="str">
        <f t="shared" si="694"/>
        <v/>
      </c>
      <c r="T1347" s="473" t="str">
        <f t="shared" si="698"/>
        <v/>
      </c>
      <c r="U1347" s="275" t="str">
        <f t="array" ref="U1347">IF(ISBLANK($R1347), INDEX('Run Reconcile'!A$2:A2488, MATCH($B1347, 'Run Reconcile'!B$2:B2488, 0)+Z1347, 1), IFERROR(0/0,""))
</f>
        <v>RUN-FLMP_2022-05-26_RFR-148</v>
      </c>
      <c r="V1347" s="474" t="str">
        <f t="shared" si="5"/>
        <v>RUN-FLMP_2022-05-26_RFR-148</v>
      </c>
      <c r="Y1347" s="89" t="str">
        <f t="shared" si="1581"/>
        <v/>
      </c>
      <c r="Z1347" s="60" t="str">
        <f t="shared" si="7"/>
        <v/>
      </c>
      <c r="AA1347" s="60" t="str">
        <f t="shared" si="8"/>
        <v/>
      </c>
      <c r="AB1347" s="60" t="str">
        <f t="shared" si="9"/>
        <v/>
      </c>
      <c r="AC1347" s="30" t="str">
        <f t="shared" ref="AC1347:AD1347" si="1706">IF(_xlfn.ISFORMULA(S1347),IFERROR(0/0,""),TRUE)</f>
        <v/>
      </c>
      <c r="AD1347" s="30" t="str">
        <f t="shared" si="1706"/>
        <v/>
      </c>
      <c r="AE1347" s="475" t="str">
        <f>IFERROR(__xludf.DUMMYFUNCTION("""COMPUTED_VALUE"""),"CRLN")</f>
        <v>CRLN</v>
      </c>
      <c r="AF1347" s="476"/>
      <c r="AG1347" s="474" t="s">
        <v>224</v>
      </c>
      <c r="AH1347" s="138" t="str">
        <f t="shared" si="11"/>
        <v/>
      </c>
    </row>
    <row r="1348">
      <c r="A1348" s="103" t="str">
        <f>IFERROR(__xludf.DUMMYFUNCTION("""COMPUTED_VALUE"""),"AH1863")</f>
        <v>AH1863</v>
      </c>
      <c r="B1348" s="468">
        <f>IFERROR(__xludf.DUMMYFUNCTION("""COMPUTED_VALUE"""),44707.0)</f>
        <v>44707</v>
      </c>
      <c r="C1348" s="469">
        <f>IFERROR(__xludf.DUMMYFUNCTION("""COMPUTED_VALUE"""),0.35055555555555556)</f>
        <v>0.3505555556</v>
      </c>
      <c r="D1348" s="103" t="str">
        <f>IFERROR(__xludf.DUMMYFUNCTION("""COMPUTED_VALUE"""),"SpFLMP273885")</f>
        <v>SpFLMP273885</v>
      </c>
      <c r="E1348" s="103"/>
      <c r="F1348" s="103"/>
      <c r="G1348" s="103" t="str">
        <f>IFERROR(__xludf.DUMMYFUNCTION("""COMPUTED_VALUE"""),"Negative")</f>
        <v>Negative</v>
      </c>
      <c r="H1348" s="131" t="str">
        <f>IFERROR(__xludf.DUMMYFUNCTION("""COMPUTED_VALUE"""),"Negative")</f>
        <v>Negative</v>
      </c>
      <c r="I1348" s="468">
        <f>IFERROR(__xludf.DUMMYFUNCTION("""COMPUTED_VALUE"""),44707.0)</f>
        <v>44707</v>
      </c>
      <c r="J1348" s="470">
        <f>IFERROR(__xludf.DUMMYFUNCTION("""COMPUTED_VALUE"""),0.47782407407407407)</f>
        <v>0.4778240741</v>
      </c>
      <c r="K1348" s="16"/>
      <c r="L1348" s="8"/>
      <c r="M1348" s="69"/>
      <c r="N1348" s="69">
        <f>IFERROR(__xludf.DUMMYFUNCTION("""COMPUTED_VALUE"""),4.0)</f>
        <v>4</v>
      </c>
      <c r="O1348" s="69" t="str">
        <f t="shared" si="3"/>
        <v/>
      </c>
      <c r="P1348" s="471">
        <f>IFERROR(__xludf.DUMMYFUNCTION("""COMPUTED_VALUE"""),0.0)</f>
        <v>0</v>
      </c>
      <c r="Q1348" s="274" t="str">
        <f>VLOOKUP($B1348,'Run Reconcile'!B$2:O2488,14,FALSE)</f>
        <v/>
      </c>
      <c r="R1348" s="472" t="str">
        <f t="array" ref="R1348">IF($Q1348, INDEX('Run Reconcile'!A$2:A2488,MATCH(B1348,'Run Reconcile'!B$2:B2488,0),1),IFERROR(0/0,""))</f>
        <v/>
      </c>
      <c r="S1348" s="473" t="str">
        <f t="shared" si="694"/>
        <v/>
      </c>
      <c r="T1348" s="473" t="str">
        <f t="shared" si="698"/>
        <v/>
      </c>
      <c r="U1348" s="275" t="str">
        <f t="array" ref="U1348">IF(ISBLANK($R1348), INDEX('Run Reconcile'!A$2:A2488, MATCH($B1348, 'Run Reconcile'!B$2:B2488, 0)+Z1348, 1), IFERROR(0/0,""))
</f>
        <v>RUN-FLMP_2022-05-26_RFR-148</v>
      </c>
      <c r="V1348" s="474" t="str">
        <f t="shared" si="5"/>
        <v>RUN-FLMP_2022-05-26_RFR-148</v>
      </c>
      <c r="Y1348" s="89" t="str">
        <f t="shared" si="1581"/>
        <v/>
      </c>
      <c r="Z1348" s="60" t="str">
        <f t="shared" si="7"/>
        <v/>
      </c>
      <c r="AA1348" s="60" t="str">
        <f t="shared" si="8"/>
        <v/>
      </c>
      <c r="AB1348" s="60" t="str">
        <f t="shared" si="9"/>
        <v/>
      </c>
      <c r="AC1348" s="30" t="str">
        <f t="shared" ref="AC1348:AD1348" si="1707">IF(_xlfn.ISFORMULA(S1348),IFERROR(0/0,""),TRUE)</f>
        <v/>
      </c>
      <c r="AD1348" s="30" t="str">
        <f t="shared" si="1707"/>
        <v/>
      </c>
      <c r="AE1348" s="475" t="str">
        <f>IFERROR(__xludf.DUMMYFUNCTION("""COMPUTED_VALUE"""),"CRLN")</f>
        <v>CRLN</v>
      </c>
      <c r="AF1348" s="476"/>
      <c r="AG1348" s="474" t="s">
        <v>224</v>
      </c>
      <c r="AH1348" s="138" t="str">
        <f t="shared" si="11"/>
        <v/>
      </c>
    </row>
    <row r="1349">
      <c r="A1349" s="103" t="str">
        <f>IFERROR(__xludf.DUMMYFUNCTION("""COMPUTED_VALUE"""),"AH7915")</f>
        <v>AH7915</v>
      </c>
      <c r="B1349" s="468">
        <f>IFERROR(__xludf.DUMMYFUNCTION("""COMPUTED_VALUE"""),44707.0)</f>
        <v>44707</v>
      </c>
      <c r="C1349" s="469">
        <f>IFERROR(__xludf.DUMMYFUNCTION("""COMPUTED_VALUE"""),0.35305555555555557)</f>
        <v>0.3530555556</v>
      </c>
      <c r="D1349" s="103" t="str">
        <f>IFERROR(__xludf.DUMMYFUNCTION("""COMPUTED_VALUE"""),"SpFLMP544731")</f>
        <v>SpFLMP544731</v>
      </c>
      <c r="E1349" s="103"/>
      <c r="F1349" s="103"/>
      <c r="G1349" s="103" t="str">
        <f>IFERROR(__xludf.DUMMYFUNCTION("""COMPUTED_VALUE"""),"Negative")</f>
        <v>Negative</v>
      </c>
      <c r="H1349" s="131" t="str">
        <f>IFERROR(__xludf.DUMMYFUNCTION("""COMPUTED_VALUE"""),"Negative")</f>
        <v>Negative</v>
      </c>
      <c r="I1349" s="468">
        <f>IFERROR(__xludf.DUMMYFUNCTION("""COMPUTED_VALUE"""),44707.0)</f>
        <v>44707</v>
      </c>
      <c r="J1349" s="470">
        <f>IFERROR(__xludf.DUMMYFUNCTION("""COMPUTED_VALUE"""),0.47782407407407407)</f>
        <v>0.4778240741</v>
      </c>
      <c r="K1349" s="16"/>
      <c r="L1349" s="8"/>
      <c r="M1349" s="69"/>
      <c r="N1349" s="69">
        <f>IFERROR(__xludf.DUMMYFUNCTION("""COMPUTED_VALUE"""),3.0)</f>
        <v>3</v>
      </c>
      <c r="O1349" s="69" t="str">
        <f t="shared" si="3"/>
        <v/>
      </c>
      <c r="P1349" s="471">
        <f>IFERROR(__xludf.DUMMYFUNCTION("""COMPUTED_VALUE"""),0.0)</f>
        <v>0</v>
      </c>
      <c r="Q1349" s="274" t="str">
        <f>VLOOKUP($B1349,'Run Reconcile'!B$2:O2488,14,FALSE)</f>
        <v/>
      </c>
      <c r="R1349" s="472" t="str">
        <f t="array" ref="R1349">IF($Q1349, INDEX('Run Reconcile'!A$2:A2488,MATCH(B1349,'Run Reconcile'!B$2:B2488,0),1),IFERROR(0/0,""))</f>
        <v/>
      </c>
      <c r="S1349" s="473" t="str">
        <f t="shared" si="694"/>
        <v/>
      </c>
      <c r="T1349" s="473" t="str">
        <f t="shared" si="698"/>
        <v/>
      </c>
      <c r="U1349" s="275" t="str">
        <f t="array" ref="U1349">IF(ISBLANK($R1349), INDEX('Run Reconcile'!A$2:A2488, MATCH($B1349, 'Run Reconcile'!B$2:B2488, 0)+Z1349, 1), IFERROR(0/0,""))
</f>
        <v>RUN-FLMP_2022-05-26_RFR-148</v>
      </c>
      <c r="V1349" s="474" t="str">
        <f t="shared" si="5"/>
        <v>RUN-FLMP_2022-05-26_RFR-148</v>
      </c>
      <c r="Y1349" s="89" t="str">
        <f t="shared" si="1581"/>
        <v/>
      </c>
      <c r="Z1349" s="60" t="str">
        <f t="shared" si="7"/>
        <v/>
      </c>
      <c r="AA1349" s="60" t="str">
        <f t="shared" si="8"/>
        <v/>
      </c>
      <c r="AB1349" s="60" t="str">
        <f t="shared" si="9"/>
        <v/>
      </c>
      <c r="AC1349" s="30" t="str">
        <f t="shared" ref="AC1349:AD1349" si="1708">IF(_xlfn.ISFORMULA(S1349),IFERROR(0/0,""),TRUE)</f>
        <v/>
      </c>
      <c r="AD1349" s="30" t="str">
        <f t="shared" si="1708"/>
        <v/>
      </c>
      <c r="AE1349" s="475" t="str">
        <f>IFERROR(__xludf.DUMMYFUNCTION("""COMPUTED_VALUE"""),"CRLN")</f>
        <v>CRLN</v>
      </c>
      <c r="AF1349" s="476"/>
      <c r="AG1349" s="474" t="s">
        <v>224</v>
      </c>
      <c r="AH1349" s="138" t="str">
        <f t="shared" si="11"/>
        <v/>
      </c>
    </row>
    <row r="1350">
      <c r="A1350" s="103" t="str">
        <f>IFERROR(__xludf.DUMMYFUNCTION("""COMPUTED_VALUE"""),"AJ5386")</f>
        <v>AJ5386</v>
      </c>
      <c r="B1350" s="468">
        <f>IFERROR(__xludf.DUMMYFUNCTION("""COMPUTED_VALUE"""),44707.0)</f>
        <v>44707</v>
      </c>
      <c r="C1350" s="469">
        <f>IFERROR(__xludf.DUMMYFUNCTION("""COMPUTED_VALUE"""),0.35399305555555555)</f>
        <v>0.3539930556</v>
      </c>
      <c r="D1350" s="103" t="str">
        <f>IFERROR(__xludf.DUMMYFUNCTION("""COMPUTED_VALUE"""),"SpFLMP604497")</f>
        <v>SpFLMP604497</v>
      </c>
      <c r="E1350" s="103"/>
      <c r="F1350" s="103"/>
      <c r="G1350" s="103" t="str">
        <f>IFERROR(__xludf.DUMMYFUNCTION("""COMPUTED_VALUE"""),"Negative")</f>
        <v>Negative</v>
      </c>
      <c r="H1350" s="131" t="str">
        <f>IFERROR(__xludf.DUMMYFUNCTION("""COMPUTED_VALUE"""),"Negative")</f>
        <v>Negative</v>
      </c>
      <c r="I1350" s="468">
        <f>IFERROR(__xludf.DUMMYFUNCTION("""COMPUTED_VALUE"""),44707.0)</f>
        <v>44707</v>
      </c>
      <c r="J1350" s="470">
        <f>IFERROR(__xludf.DUMMYFUNCTION("""COMPUTED_VALUE"""),0.47783564814814816)</f>
        <v>0.4778356481</v>
      </c>
      <c r="K1350" s="16"/>
      <c r="L1350" s="8"/>
      <c r="M1350" s="69"/>
      <c r="N1350" s="69">
        <f>IFERROR(__xludf.DUMMYFUNCTION("""COMPUTED_VALUE"""),4.0)</f>
        <v>4</v>
      </c>
      <c r="O1350" s="69" t="str">
        <f t="shared" si="3"/>
        <v/>
      </c>
      <c r="P1350" s="471">
        <f>IFERROR(__xludf.DUMMYFUNCTION("""COMPUTED_VALUE"""),0.0)</f>
        <v>0</v>
      </c>
      <c r="Q1350" s="274" t="str">
        <f>VLOOKUP($B1350,'Run Reconcile'!B$2:O2488,14,FALSE)</f>
        <v/>
      </c>
      <c r="R1350" s="472" t="str">
        <f t="array" ref="R1350">IF($Q1350, INDEX('Run Reconcile'!A$2:A2488,MATCH(B1350,'Run Reconcile'!B$2:B2488,0),1),IFERROR(0/0,""))</f>
        <v/>
      </c>
      <c r="S1350" s="473" t="str">
        <f t="shared" si="694"/>
        <v/>
      </c>
      <c r="T1350" s="473" t="str">
        <f t="shared" si="698"/>
        <v/>
      </c>
      <c r="U1350" s="275" t="str">
        <f t="array" ref="U1350">IF(ISBLANK($R1350), INDEX('Run Reconcile'!A$2:A2488, MATCH($B1350, 'Run Reconcile'!B$2:B2488, 0)+Z1350, 1), IFERROR(0/0,""))
</f>
        <v>RUN-FLMP_2022-05-26_RFR-148</v>
      </c>
      <c r="V1350" s="474" t="str">
        <f t="shared" si="5"/>
        <v>RUN-FLMP_2022-05-26_RFR-148</v>
      </c>
      <c r="Y1350" s="89" t="str">
        <f t="shared" si="1581"/>
        <v/>
      </c>
      <c r="Z1350" s="60" t="str">
        <f t="shared" si="7"/>
        <v/>
      </c>
      <c r="AA1350" s="60" t="str">
        <f t="shared" si="8"/>
        <v/>
      </c>
      <c r="AB1350" s="60" t="str">
        <f t="shared" si="9"/>
        <v/>
      </c>
      <c r="AC1350" s="30" t="str">
        <f t="shared" ref="AC1350:AD1350" si="1709">IF(_xlfn.ISFORMULA(S1350),IFERROR(0/0,""),TRUE)</f>
        <v/>
      </c>
      <c r="AD1350" s="30" t="str">
        <f t="shared" si="1709"/>
        <v/>
      </c>
      <c r="AE1350" s="475" t="str">
        <f>IFERROR(__xludf.DUMMYFUNCTION("""COMPUTED_VALUE"""),"CRLN")</f>
        <v>CRLN</v>
      </c>
      <c r="AF1350" s="476"/>
      <c r="AG1350" s="474" t="s">
        <v>224</v>
      </c>
      <c r="AH1350" s="138" t="str">
        <f t="shared" si="11"/>
        <v/>
      </c>
    </row>
    <row r="1351">
      <c r="A1351" s="103" t="str">
        <f>IFERROR(__xludf.DUMMYFUNCTION("""COMPUTED_VALUE"""),"AH6906")</f>
        <v>AH6906</v>
      </c>
      <c r="B1351" s="468">
        <f>IFERROR(__xludf.DUMMYFUNCTION("""COMPUTED_VALUE"""),44707.0)</f>
        <v>44707</v>
      </c>
      <c r="C1351" s="469">
        <f>IFERROR(__xludf.DUMMYFUNCTION("""COMPUTED_VALUE"""),0.35864583333333333)</f>
        <v>0.3586458333</v>
      </c>
      <c r="D1351" s="103" t="str">
        <f>IFERROR(__xludf.DUMMYFUNCTION("""COMPUTED_VALUE"""),"SpFLMP259015")</f>
        <v>SpFLMP259015</v>
      </c>
      <c r="E1351" s="103"/>
      <c r="F1351" s="103"/>
      <c r="G1351" s="103" t="str">
        <f>IFERROR(__xludf.DUMMYFUNCTION("""COMPUTED_VALUE"""),"Negative")</f>
        <v>Negative</v>
      </c>
      <c r="H1351" s="131" t="str">
        <f>IFERROR(__xludf.DUMMYFUNCTION("""COMPUTED_VALUE"""),"Negative")</f>
        <v>Negative</v>
      </c>
      <c r="I1351" s="468">
        <f>IFERROR(__xludf.DUMMYFUNCTION("""COMPUTED_VALUE"""),44707.0)</f>
        <v>44707</v>
      </c>
      <c r="J1351" s="470">
        <f>IFERROR(__xludf.DUMMYFUNCTION("""COMPUTED_VALUE"""),0.47783564814814816)</f>
        <v>0.4778356481</v>
      </c>
      <c r="K1351" s="16"/>
      <c r="L1351" s="8"/>
      <c r="M1351" s="69"/>
      <c r="N1351" s="69">
        <f>IFERROR(__xludf.DUMMYFUNCTION("""COMPUTED_VALUE"""),4.0)</f>
        <v>4</v>
      </c>
      <c r="O1351" s="69" t="str">
        <f t="shared" si="3"/>
        <v/>
      </c>
      <c r="P1351" s="471">
        <f>IFERROR(__xludf.DUMMYFUNCTION("""COMPUTED_VALUE"""),0.0)</f>
        <v>0</v>
      </c>
      <c r="Q1351" s="274" t="str">
        <f>VLOOKUP($B1351,'Run Reconcile'!B$2:O2488,14,FALSE)</f>
        <v/>
      </c>
      <c r="R1351" s="472" t="str">
        <f t="array" ref="R1351">IF($Q1351, INDEX('Run Reconcile'!A$2:A2488,MATCH(B1351,'Run Reconcile'!B$2:B2488,0),1),IFERROR(0/0,""))</f>
        <v/>
      </c>
      <c r="S1351" s="473" t="str">
        <f t="shared" si="694"/>
        <v/>
      </c>
      <c r="T1351" s="473" t="str">
        <f t="shared" si="698"/>
        <v/>
      </c>
      <c r="U1351" s="275" t="str">
        <f t="array" ref="U1351">IF(ISBLANK($R1351), INDEX('Run Reconcile'!A$2:A2488, MATCH($B1351, 'Run Reconcile'!B$2:B2488, 0)+Z1351, 1), IFERROR(0/0,""))
</f>
        <v>RUN-FLMP_2022-05-26_RFR-148</v>
      </c>
      <c r="V1351" s="474" t="str">
        <f t="shared" si="5"/>
        <v>RUN-FLMP_2022-05-26_RFR-148</v>
      </c>
      <c r="Y1351" s="89" t="str">
        <f t="shared" si="1581"/>
        <v/>
      </c>
      <c r="Z1351" s="60" t="str">
        <f t="shared" si="7"/>
        <v/>
      </c>
      <c r="AA1351" s="60" t="str">
        <f t="shared" si="8"/>
        <v/>
      </c>
      <c r="AB1351" s="60" t="str">
        <f t="shared" si="9"/>
        <v/>
      </c>
      <c r="AC1351" s="30" t="str">
        <f t="shared" ref="AC1351:AD1351" si="1710">IF(_xlfn.ISFORMULA(S1351),IFERROR(0/0,""),TRUE)</f>
        <v/>
      </c>
      <c r="AD1351" s="30" t="str">
        <f t="shared" si="1710"/>
        <v/>
      </c>
      <c r="AE1351" s="475" t="str">
        <f>IFERROR(__xludf.DUMMYFUNCTION("""COMPUTED_VALUE"""),"CRLN")</f>
        <v>CRLN</v>
      </c>
      <c r="AF1351" s="476"/>
      <c r="AG1351" s="474" t="s">
        <v>224</v>
      </c>
      <c r="AH1351" s="138" t="str">
        <f t="shared" si="11"/>
        <v/>
      </c>
    </row>
    <row r="1352">
      <c r="A1352" s="103" t="str">
        <f>IFERROR(__xludf.DUMMYFUNCTION("""COMPUTED_VALUE"""),"AH8890")</f>
        <v>AH8890</v>
      </c>
      <c r="B1352" s="468">
        <f>IFERROR(__xludf.DUMMYFUNCTION("""COMPUTED_VALUE"""),44707.0)</f>
        <v>44707</v>
      </c>
      <c r="C1352" s="469">
        <f>IFERROR(__xludf.DUMMYFUNCTION("""COMPUTED_VALUE"""),0.3620023148148148)</f>
        <v>0.3620023148</v>
      </c>
      <c r="D1352" s="103" t="str">
        <f>IFERROR(__xludf.DUMMYFUNCTION("""COMPUTED_VALUE"""),"SpFLMP271329")</f>
        <v>SpFLMP271329</v>
      </c>
      <c r="E1352" s="103"/>
      <c r="F1352" s="103"/>
      <c r="G1352" s="103" t="str">
        <f>IFERROR(__xludf.DUMMYFUNCTION("""COMPUTED_VALUE"""),"Negative")</f>
        <v>Negative</v>
      </c>
      <c r="H1352" s="131" t="str">
        <f>IFERROR(__xludf.DUMMYFUNCTION("""COMPUTED_VALUE"""),"Negative")</f>
        <v>Negative</v>
      </c>
      <c r="I1352" s="468">
        <f>IFERROR(__xludf.DUMMYFUNCTION("""COMPUTED_VALUE"""),44707.0)</f>
        <v>44707</v>
      </c>
      <c r="J1352" s="470">
        <f>IFERROR(__xludf.DUMMYFUNCTION("""COMPUTED_VALUE"""),0.47783564814814816)</f>
        <v>0.4778356481</v>
      </c>
      <c r="K1352" s="16"/>
      <c r="L1352" s="8"/>
      <c r="M1352" s="69"/>
      <c r="N1352" s="69">
        <f>IFERROR(__xludf.DUMMYFUNCTION("""COMPUTED_VALUE"""),1.0)</f>
        <v>1</v>
      </c>
      <c r="O1352" s="69" t="str">
        <f t="shared" si="3"/>
        <v/>
      </c>
      <c r="P1352" s="471">
        <f>IFERROR(__xludf.DUMMYFUNCTION("""COMPUTED_VALUE"""),0.0)</f>
        <v>0</v>
      </c>
      <c r="Q1352" s="274" t="str">
        <f>VLOOKUP($B1352,'Run Reconcile'!B$2:O2488,14,FALSE)</f>
        <v/>
      </c>
      <c r="R1352" s="472" t="str">
        <f t="array" ref="R1352">IF($Q1352, INDEX('Run Reconcile'!A$2:A2488,MATCH(B1352,'Run Reconcile'!B$2:B2488,0),1),IFERROR(0/0,""))</f>
        <v/>
      </c>
      <c r="S1352" s="473" t="str">
        <f t="shared" si="694"/>
        <v/>
      </c>
      <c r="T1352" s="473" t="str">
        <f t="shared" si="698"/>
        <v/>
      </c>
      <c r="U1352" s="275" t="str">
        <f t="array" ref="U1352">IF(ISBLANK($R1352), INDEX('Run Reconcile'!A$2:A2488, MATCH($B1352, 'Run Reconcile'!B$2:B2488, 0)+Z1352, 1), IFERROR(0/0,""))
</f>
        <v>RUN-FLMP_2022-05-26_RFR-148</v>
      </c>
      <c r="V1352" s="474" t="str">
        <f t="shared" si="5"/>
        <v>RUN-FLMP_2022-05-26_RFR-148</v>
      </c>
      <c r="Y1352" s="89" t="str">
        <f t="shared" si="1581"/>
        <v/>
      </c>
      <c r="Z1352" s="60" t="str">
        <f t="shared" si="7"/>
        <v/>
      </c>
      <c r="AA1352" s="60" t="str">
        <f t="shared" si="8"/>
        <v/>
      </c>
      <c r="AB1352" s="60" t="str">
        <f t="shared" si="9"/>
        <v/>
      </c>
      <c r="AC1352" s="30" t="str">
        <f t="shared" ref="AC1352:AD1352" si="1711">IF(_xlfn.ISFORMULA(S1352),IFERROR(0/0,""),TRUE)</f>
        <v/>
      </c>
      <c r="AD1352" s="30" t="str">
        <f t="shared" si="1711"/>
        <v/>
      </c>
      <c r="AE1352" s="475" t="str">
        <f>IFERROR(__xludf.DUMMYFUNCTION("""COMPUTED_VALUE"""),"CRLN")</f>
        <v>CRLN</v>
      </c>
      <c r="AF1352" s="476"/>
      <c r="AG1352" s="474" t="s">
        <v>224</v>
      </c>
      <c r="AH1352" s="138" t="str">
        <f t="shared" si="11"/>
        <v/>
      </c>
    </row>
    <row r="1353">
      <c r="A1353" s="103" t="str">
        <f>IFERROR(__xludf.DUMMYFUNCTION("""COMPUTED_VALUE"""),"AH8792")</f>
        <v>AH8792</v>
      </c>
      <c r="B1353" s="468">
        <f>IFERROR(__xludf.DUMMYFUNCTION("""COMPUTED_VALUE"""),44707.0)</f>
        <v>44707</v>
      </c>
      <c r="C1353" s="469">
        <f>IFERROR(__xludf.DUMMYFUNCTION("""COMPUTED_VALUE"""),0.3675462962962963)</f>
        <v>0.3675462963</v>
      </c>
      <c r="D1353" s="103" t="str">
        <f>IFERROR(__xludf.DUMMYFUNCTION("""COMPUTED_VALUE"""),"SpFLMP496039")</f>
        <v>SpFLMP496039</v>
      </c>
      <c r="E1353" s="103"/>
      <c r="F1353" s="103"/>
      <c r="G1353" s="103" t="str">
        <f>IFERROR(__xludf.DUMMYFUNCTION("""COMPUTED_VALUE"""),"Negative")</f>
        <v>Negative</v>
      </c>
      <c r="H1353" s="131" t="str">
        <f>IFERROR(__xludf.DUMMYFUNCTION("""COMPUTED_VALUE"""),"Negative")</f>
        <v>Negative</v>
      </c>
      <c r="I1353" s="468">
        <f>IFERROR(__xludf.DUMMYFUNCTION("""COMPUTED_VALUE"""),44707.0)</f>
        <v>44707</v>
      </c>
      <c r="J1353" s="470">
        <f>IFERROR(__xludf.DUMMYFUNCTION("""COMPUTED_VALUE"""),0.47783564814814816)</f>
        <v>0.4778356481</v>
      </c>
      <c r="K1353" s="16"/>
      <c r="L1353" s="8"/>
      <c r="M1353" s="69"/>
      <c r="N1353" s="69">
        <f>IFERROR(__xludf.DUMMYFUNCTION("""COMPUTED_VALUE"""),1.0)</f>
        <v>1</v>
      </c>
      <c r="O1353" s="69" t="str">
        <f t="shared" si="3"/>
        <v/>
      </c>
      <c r="P1353" s="471">
        <f>IFERROR(__xludf.DUMMYFUNCTION("""COMPUTED_VALUE"""),0.0)</f>
        <v>0</v>
      </c>
      <c r="Q1353" s="274" t="str">
        <f>VLOOKUP($B1353,'Run Reconcile'!B$2:O2488,14,FALSE)</f>
        <v/>
      </c>
      <c r="R1353" s="472" t="str">
        <f t="array" ref="R1353">IF($Q1353, INDEX('Run Reconcile'!A$2:A2488,MATCH(B1353,'Run Reconcile'!B$2:B2488,0),1),IFERROR(0/0,""))</f>
        <v/>
      </c>
      <c r="S1353" s="473" t="str">
        <f t="shared" si="694"/>
        <v/>
      </c>
      <c r="T1353" s="473" t="str">
        <f t="shared" si="698"/>
        <v/>
      </c>
      <c r="U1353" s="275" t="str">
        <f t="array" ref="U1353">IF(ISBLANK($R1353), INDEX('Run Reconcile'!A$2:A2488, MATCH($B1353, 'Run Reconcile'!B$2:B2488, 0)+Z1353, 1), IFERROR(0/0,""))
</f>
        <v>RUN-FLMP_2022-05-26_RFR-148</v>
      </c>
      <c r="V1353" s="474" t="str">
        <f t="shared" si="5"/>
        <v>RUN-FLMP_2022-05-26_RFR-148</v>
      </c>
      <c r="Y1353" s="89" t="str">
        <f t="shared" si="1581"/>
        <v/>
      </c>
      <c r="Z1353" s="60" t="str">
        <f t="shared" si="7"/>
        <v/>
      </c>
      <c r="AA1353" s="60" t="str">
        <f t="shared" si="8"/>
        <v/>
      </c>
      <c r="AB1353" s="60" t="str">
        <f t="shared" si="9"/>
        <v/>
      </c>
      <c r="AC1353" s="30" t="str">
        <f t="shared" ref="AC1353:AD1353" si="1712">IF(_xlfn.ISFORMULA(S1353),IFERROR(0/0,""),TRUE)</f>
        <v/>
      </c>
      <c r="AD1353" s="30" t="str">
        <f t="shared" si="1712"/>
        <v/>
      </c>
      <c r="AE1353" s="475" t="str">
        <f>IFERROR(__xludf.DUMMYFUNCTION("""COMPUTED_VALUE"""),"CRLN")</f>
        <v>CRLN</v>
      </c>
      <c r="AF1353" s="476"/>
      <c r="AG1353" s="474" t="s">
        <v>224</v>
      </c>
      <c r="AH1353" s="138" t="str">
        <f t="shared" si="11"/>
        <v/>
      </c>
    </row>
    <row r="1354">
      <c r="A1354" s="103" t="str">
        <f>IFERROR(__xludf.DUMMYFUNCTION("""COMPUTED_VALUE"""),"AJ9693")</f>
        <v>AJ9693</v>
      </c>
      <c r="B1354" s="468">
        <f>IFERROR(__xludf.DUMMYFUNCTION("""COMPUTED_VALUE"""),44707.0)</f>
        <v>44707</v>
      </c>
      <c r="C1354" s="469">
        <f>IFERROR(__xludf.DUMMYFUNCTION("""COMPUTED_VALUE"""),0.37297453703703703)</f>
        <v>0.372974537</v>
      </c>
      <c r="D1354" s="103" t="str">
        <f>IFERROR(__xludf.DUMMYFUNCTION("""COMPUTED_VALUE"""),"SpFLMP946259")</f>
        <v>SpFLMP946259</v>
      </c>
      <c r="E1354" s="103"/>
      <c r="F1354" s="103"/>
      <c r="G1354" s="103" t="str">
        <f>IFERROR(__xludf.DUMMYFUNCTION("""COMPUTED_VALUE"""),"Negative")</f>
        <v>Negative</v>
      </c>
      <c r="H1354" s="131" t="str">
        <f>IFERROR(__xludf.DUMMYFUNCTION("""COMPUTED_VALUE"""),"Negative")</f>
        <v>Negative</v>
      </c>
      <c r="I1354" s="468">
        <f>IFERROR(__xludf.DUMMYFUNCTION("""COMPUTED_VALUE"""),44707.0)</f>
        <v>44707</v>
      </c>
      <c r="J1354" s="470">
        <f>IFERROR(__xludf.DUMMYFUNCTION("""COMPUTED_VALUE"""),0.4878240740740741)</f>
        <v>0.4878240741</v>
      </c>
      <c r="K1354" s="16"/>
      <c r="L1354" s="8"/>
      <c r="M1354" s="69"/>
      <c r="N1354" s="69">
        <f>IFERROR(__xludf.DUMMYFUNCTION("""COMPUTED_VALUE"""),2.0)</f>
        <v>2</v>
      </c>
      <c r="O1354" s="69" t="str">
        <f t="shared" si="3"/>
        <v/>
      </c>
      <c r="P1354" s="471">
        <f>IFERROR(__xludf.DUMMYFUNCTION("""COMPUTED_VALUE"""),0.0)</f>
        <v>0</v>
      </c>
      <c r="Q1354" s="274" t="str">
        <f>VLOOKUP($B1354,'Run Reconcile'!B$2:O2488,14,FALSE)</f>
        <v/>
      </c>
      <c r="R1354" s="472" t="str">
        <f t="array" ref="R1354">IF($Q1354, INDEX('Run Reconcile'!A$2:A2488,MATCH(B1354,'Run Reconcile'!B$2:B2488,0),1),IFERROR(0/0,""))</f>
        <v/>
      </c>
      <c r="S1354" s="473" t="str">
        <f t="shared" si="694"/>
        <v/>
      </c>
      <c r="T1354" s="473" t="str">
        <f t="shared" si="698"/>
        <v/>
      </c>
      <c r="U1354" s="275" t="str">
        <f t="array" ref="U1354">IF(ISBLANK($R1354), INDEX('Run Reconcile'!A$2:A2488, MATCH($B1354, 'Run Reconcile'!B$2:B2488, 0)+Z1354, 1), IFERROR(0/0,""))
</f>
        <v>RUN-FLMP_2022-05-26_RFR-148</v>
      </c>
      <c r="V1354" s="474" t="str">
        <f t="shared" si="5"/>
        <v>RUN-FLMP_2022-05-26_RFR-148</v>
      </c>
      <c r="Y1354" s="89" t="str">
        <f t="shared" si="1581"/>
        <v/>
      </c>
      <c r="Z1354" s="60" t="str">
        <f t="shared" si="7"/>
        <v/>
      </c>
      <c r="AA1354" s="60" t="str">
        <f t="shared" si="8"/>
        <v/>
      </c>
      <c r="AB1354" s="60" t="str">
        <f t="shared" si="9"/>
        <v/>
      </c>
      <c r="AC1354" s="30" t="str">
        <f t="shared" ref="AC1354:AD1354" si="1713">IF(_xlfn.ISFORMULA(S1354),IFERROR(0/0,""),TRUE)</f>
        <v/>
      </c>
      <c r="AD1354" s="30" t="str">
        <f t="shared" si="1713"/>
        <v/>
      </c>
      <c r="AE1354" s="475" t="str">
        <f>IFERROR(__xludf.DUMMYFUNCTION("""COMPUTED_VALUE"""),"CRLN")</f>
        <v>CRLN</v>
      </c>
      <c r="AF1354" s="476"/>
      <c r="AG1354" s="474" t="s">
        <v>224</v>
      </c>
      <c r="AH1354" s="138" t="str">
        <f t="shared" si="11"/>
        <v/>
      </c>
    </row>
    <row r="1355">
      <c r="A1355" s="103" t="str">
        <f>IFERROR(__xludf.DUMMYFUNCTION("""COMPUTED_VALUE"""),"AJ7190")</f>
        <v>AJ7190</v>
      </c>
      <c r="B1355" s="468">
        <f>IFERROR(__xludf.DUMMYFUNCTION("""COMPUTED_VALUE"""),44707.0)</f>
        <v>44707</v>
      </c>
      <c r="C1355" s="469">
        <f>IFERROR(__xludf.DUMMYFUNCTION("""COMPUTED_VALUE"""),0.4211226851851852)</f>
        <v>0.4211226852</v>
      </c>
      <c r="D1355" s="103" t="str">
        <f>IFERROR(__xludf.DUMMYFUNCTION("""COMPUTED_VALUE"""),"SpFLMP684798")</f>
        <v>SpFLMP684798</v>
      </c>
      <c r="E1355" s="103"/>
      <c r="F1355" s="103"/>
      <c r="G1355" s="103" t="str">
        <f>IFERROR(__xludf.DUMMYFUNCTION("""COMPUTED_VALUE"""),"Negative")</f>
        <v>Negative</v>
      </c>
      <c r="H1355" s="131" t="str">
        <f>IFERROR(__xludf.DUMMYFUNCTION("""COMPUTED_VALUE"""),"Negative")</f>
        <v>Negative</v>
      </c>
      <c r="I1355" s="468">
        <f>IFERROR(__xludf.DUMMYFUNCTION("""COMPUTED_VALUE"""),44707.0)</f>
        <v>44707</v>
      </c>
      <c r="J1355" s="470">
        <f>IFERROR(__xludf.DUMMYFUNCTION("""COMPUTED_VALUE"""),0.47783564814814816)</f>
        <v>0.4778356481</v>
      </c>
      <c r="K1355" s="16"/>
      <c r="L1355" s="8"/>
      <c r="M1355" s="69"/>
      <c r="N1355" s="69">
        <f>IFERROR(__xludf.DUMMYFUNCTION("""COMPUTED_VALUE"""),3.0)</f>
        <v>3</v>
      </c>
      <c r="O1355" s="69" t="str">
        <f t="shared" si="3"/>
        <v/>
      </c>
      <c r="P1355" s="471">
        <f>IFERROR(__xludf.DUMMYFUNCTION("""COMPUTED_VALUE"""),0.0)</f>
        <v>0</v>
      </c>
      <c r="Q1355" s="274" t="str">
        <f>VLOOKUP($B1355,'Run Reconcile'!B$2:O2488,14,FALSE)</f>
        <v/>
      </c>
      <c r="R1355" s="472" t="str">
        <f t="array" ref="R1355">IF($Q1355, INDEX('Run Reconcile'!A$2:A2488,MATCH(B1355,'Run Reconcile'!B$2:B2488,0),1),IFERROR(0/0,""))</f>
        <v/>
      </c>
      <c r="S1355" s="473" t="str">
        <f t="shared" si="694"/>
        <v/>
      </c>
      <c r="T1355" s="473" t="str">
        <f t="shared" si="698"/>
        <v/>
      </c>
      <c r="U1355" s="275" t="str">
        <f t="array" ref="U1355">IF(ISBLANK($R1355), INDEX('Run Reconcile'!A$2:A2488, MATCH($B1355, 'Run Reconcile'!B$2:B2488, 0)+Z1355, 1), IFERROR(0/0,""))
</f>
        <v>RUN-FLMP_2022-05-26_RFR-148</v>
      </c>
      <c r="V1355" s="474" t="str">
        <f t="shared" si="5"/>
        <v>RUN-FLMP_2022-05-26_RFR-148</v>
      </c>
      <c r="Y1355" s="89" t="str">
        <f t="shared" si="1581"/>
        <v/>
      </c>
      <c r="Z1355" s="60" t="str">
        <f t="shared" si="7"/>
        <v/>
      </c>
      <c r="AA1355" s="60" t="str">
        <f t="shared" si="8"/>
        <v/>
      </c>
      <c r="AB1355" s="60" t="str">
        <f t="shared" si="9"/>
        <v/>
      </c>
      <c r="AC1355" s="30" t="str">
        <f t="shared" ref="AC1355:AD1355" si="1714">IF(_xlfn.ISFORMULA(S1355),IFERROR(0/0,""),TRUE)</f>
        <v/>
      </c>
      <c r="AD1355" s="30" t="str">
        <f t="shared" si="1714"/>
        <v/>
      </c>
      <c r="AE1355" s="475" t="str">
        <f>IFERROR(__xludf.DUMMYFUNCTION("""COMPUTED_VALUE"""),"CRLN")</f>
        <v>CRLN</v>
      </c>
      <c r="AF1355" s="476"/>
      <c r="AG1355" s="474" t="s">
        <v>224</v>
      </c>
      <c r="AH1355" s="138" t="str">
        <f t="shared" si="11"/>
        <v/>
      </c>
    </row>
    <row r="1356">
      <c r="A1356" s="103" t="str">
        <f>IFERROR(__xludf.DUMMYFUNCTION("""COMPUTED_VALUE"""),"AJ9058")</f>
        <v>AJ9058</v>
      </c>
      <c r="B1356" s="468">
        <f>IFERROR(__xludf.DUMMYFUNCTION("""COMPUTED_VALUE"""),44707.0)</f>
        <v>44707</v>
      </c>
      <c r="C1356" s="469">
        <f>IFERROR(__xludf.DUMMYFUNCTION("""COMPUTED_VALUE"""),0.43483796296296295)</f>
        <v>0.434837963</v>
      </c>
      <c r="D1356" s="103" t="str">
        <f>IFERROR(__xludf.DUMMYFUNCTION("""COMPUTED_VALUE"""),"SpFLMP120998")</f>
        <v>SpFLMP120998</v>
      </c>
      <c r="E1356" s="103"/>
      <c r="F1356" s="103"/>
      <c r="G1356" s="103" t="str">
        <f>IFERROR(__xludf.DUMMYFUNCTION("""COMPUTED_VALUE"""),"Negative")</f>
        <v>Negative</v>
      </c>
      <c r="H1356" s="131" t="str">
        <f>IFERROR(__xludf.DUMMYFUNCTION("""COMPUTED_VALUE"""),"Negative")</f>
        <v>Negative</v>
      </c>
      <c r="I1356" s="468">
        <f>IFERROR(__xludf.DUMMYFUNCTION("""COMPUTED_VALUE"""),44707.0)</f>
        <v>44707</v>
      </c>
      <c r="J1356" s="470">
        <f>IFERROR(__xludf.DUMMYFUNCTION("""COMPUTED_VALUE"""),0.47783564814814816)</f>
        <v>0.4778356481</v>
      </c>
      <c r="K1356" s="16"/>
      <c r="L1356" s="8"/>
      <c r="M1356" s="69"/>
      <c r="N1356" s="69">
        <f>IFERROR(__xludf.DUMMYFUNCTION("""COMPUTED_VALUE"""),1.0)</f>
        <v>1</v>
      </c>
      <c r="O1356" s="69" t="str">
        <f t="shared" si="3"/>
        <v/>
      </c>
      <c r="P1356" s="471">
        <f>IFERROR(__xludf.DUMMYFUNCTION("""COMPUTED_VALUE"""),0.0)</f>
        <v>0</v>
      </c>
      <c r="Q1356" s="274" t="str">
        <f>VLOOKUP($B1356,'Run Reconcile'!B$2:O2488,14,FALSE)</f>
        <v/>
      </c>
      <c r="R1356" s="472" t="str">
        <f t="array" ref="R1356">IF($Q1356, INDEX('Run Reconcile'!A$2:A2488,MATCH(B1356,'Run Reconcile'!B$2:B2488,0),1),IFERROR(0/0,""))</f>
        <v/>
      </c>
      <c r="S1356" s="473" t="str">
        <f t="shared" si="694"/>
        <v/>
      </c>
      <c r="T1356" s="473" t="str">
        <f t="shared" si="698"/>
        <v/>
      </c>
      <c r="U1356" s="275" t="str">
        <f t="array" ref="U1356">IF(ISBLANK($R1356), INDEX('Run Reconcile'!A$2:A2488, MATCH($B1356, 'Run Reconcile'!B$2:B2488, 0)+Z1356, 1), IFERROR(0/0,""))
</f>
        <v>RUN-FLMP_2022-05-26_RFR-148</v>
      </c>
      <c r="V1356" s="474" t="str">
        <f t="shared" si="5"/>
        <v>RUN-FLMP_2022-05-26_RFR-148</v>
      </c>
      <c r="Y1356" s="89" t="str">
        <f t="shared" si="1581"/>
        <v/>
      </c>
      <c r="Z1356" s="60" t="str">
        <f t="shared" si="7"/>
        <v/>
      </c>
      <c r="AA1356" s="60" t="str">
        <f t="shared" si="8"/>
        <v/>
      </c>
      <c r="AB1356" s="60" t="str">
        <f t="shared" si="9"/>
        <v/>
      </c>
      <c r="AC1356" s="30" t="str">
        <f t="shared" ref="AC1356:AD1356" si="1715">IF(_xlfn.ISFORMULA(S1356),IFERROR(0/0,""),TRUE)</f>
        <v/>
      </c>
      <c r="AD1356" s="30" t="str">
        <f t="shared" si="1715"/>
        <v/>
      </c>
      <c r="AE1356" s="475" t="str">
        <f>IFERROR(__xludf.DUMMYFUNCTION("""COMPUTED_VALUE"""),"FLSP")</f>
        <v>FLSP</v>
      </c>
      <c r="AF1356" s="476"/>
      <c r="AG1356" s="474" t="s">
        <v>224</v>
      </c>
      <c r="AH1356" s="138" t="str">
        <f t="shared" si="11"/>
        <v/>
      </c>
    </row>
    <row r="1357">
      <c r="A1357" s="103" t="str">
        <f>IFERROR(__xludf.DUMMYFUNCTION("""COMPUTED_VALUE"""),"AJ8159")</f>
        <v>AJ8159</v>
      </c>
      <c r="B1357" s="468">
        <f>IFERROR(__xludf.DUMMYFUNCTION("""COMPUTED_VALUE"""),44707.0)</f>
        <v>44707</v>
      </c>
      <c r="C1357" s="469">
        <f>IFERROR(__xludf.DUMMYFUNCTION("""COMPUTED_VALUE"""),0.49922453703703706)</f>
        <v>0.499224537</v>
      </c>
      <c r="D1357" s="103" t="str">
        <f>IFERROR(__xludf.DUMMYFUNCTION("""COMPUTED_VALUE"""),"SpFLMP684798")</f>
        <v>SpFLMP684798</v>
      </c>
      <c r="E1357" s="103"/>
      <c r="F1357" s="103"/>
      <c r="G1357" s="103" t="str">
        <f>IFERROR(__xludf.DUMMYFUNCTION("""COMPUTED_VALUE"""),"Negative")</f>
        <v>Negative</v>
      </c>
      <c r="H1357" s="131" t="str">
        <f>IFERROR(__xludf.DUMMYFUNCTION("""COMPUTED_VALUE"""),"Negative")</f>
        <v>Negative</v>
      </c>
      <c r="I1357" s="468">
        <f>IFERROR(__xludf.DUMMYFUNCTION("""COMPUTED_VALUE"""),44707.0)</f>
        <v>44707</v>
      </c>
      <c r="J1357" s="470">
        <f>IFERROR(__xludf.DUMMYFUNCTION("""COMPUTED_VALUE"""),0.5010763888888888)</f>
        <v>0.5010763889</v>
      </c>
      <c r="K1357" s="16"/>
      <c r="L1357" s="8"/>
      <c r="M1357" s="69"/>
      <c r="N1357" s="69">
        <f>IFERROR(__xludf.DUMMYFUNCTION("""COMPUTED_VALUE"""),3.0)</f>
        <v>3</v>
      </c>
      <c r="O1357" s="69" t="str">
        <f t="shared" si="3"/>
        <v/>
      </c>
      <c r="P1357" s="471">
        <f>IFERROR(__xludf.DUMMYFUNCTION("""COMPUTED_VALUE"""),0.0)</f>
        <v>0</v>
      </c>
      <c r="Q1357" s="274" t="str">
        <f>VLOOKUP($B1357,'Run Reconcile'!B$2:O2488,14,FALSE)</f>
        <v/>
      </c>
      <c r="R1357" s="472" t="str">
        <f t="array" ref="R1357">IF($Q1357, INDEX('Run Reconcile'!A$2:A2488,MATCH(B1357,'Run Reconcile'!B$2:B2488,0),1),IFERROR(0/0,""))</f>
        <v/>
      </c>
      <c r="S1357" s="473" t="str">
        <f t="shared" si="694"/>
        <v/>
      </c>
      <c r="T1357" s="473" t="str">
        <f t="shared" si="698"/>
        <v/>
      </c>
      <c r="U1357" s="275" t="str">
        <f t="array" ref="U1357">IF(ISBLANK($R1357), INDEX('Run Reconcile'!A$2:A2488, MATCH($B1357, 'Run Reconcile'!B$2:B2488, 0)+Z1357, 1), IFERROR(0/0,""))
</f>
        <v>RUN-FLMP_2022-05-26_RFR-148</v>
      </c>
      <c r="V1357" s="474" t="str">
        <f t="shared" si="5"/>
        <v>RUN-FLMP_2022-05-26_RFR-148</v>
      </c>
      <c r="Y1357" s="89" t="str">
        <f t="shared" si="1581"/>
        <v/>
      </c>
      <c r="Z1357" s="60" t="str">
        <f t="shared" si="7"/>
        <v/>
      </c>
      <c r="AA1357" s="60" t="str">
        <f t="shared" si="8"/>
        <v/>
      </c>
      <c r="AB1357" s="60" t="str">
        <f t="shared" si="9"/>
        <v/>
      </c>
      <c r="AC1357" s="30" t="str">
        <f t="shared" ref="AC1357:AD1357" si="1716">IF(_xlfn.ISFORMULA(S1357),IFERROR(0/0,""),TRUE)</f>
        <v/>
      </c>
      <c r="AD1357" s="30" t="str">
        <f t="shared" si="1716"/>
        <v/>
      </c>
      <c r="AE1357" s="475" t="str">
        <f>IFERROR(__xludf.DUMMYFUNCTION("""COMPUTED_VALUE"""),"CRLN")</f>
        <v>CRLN</v>
      </c>
      <c r="AF1357" s="476"/>
      <c r="AG1357" s="474" t="s">
        <v>224</v>
      </c>
      <c r="AH1357" s="138" t="str">
        <f t="shared" si="11"/>
        <v/>
      </c>
    </row>
    <row r="1358">
      <c r="A1358" s="477" t="str">
        <f>IFERROR(__xludf.DUMMYFUNCTION("""COMPUTED_VALUE"""),"AJ8160")</f>
        <v>AJ8160</v>
      </c>
      <c r="B1358" s="478">
        <f>IFERROR(__xludf.DUMMYFUNCTION("""COMPUTED_VALUE"""),44708.0)</f>
        <v>44708</v>
      </c>
      <c r="C1358" s="479">
        <f>IFERROR(__xludf.DUMMYFUNCTION("""COMPUTED_VALUE"""),0.2990393518518519)</f>
        <v>0.2990393519</v>
      </c>
      <c r="D1358" s="477" t="str">
        <f>IFERROR(__xludf.DUMMYFUNCTION("""COMPUTED_VALUE"""),"SpFLMP683554")</f>
        <v>SpFLMP683554</v>
      </c>
      <c r="E1358" s="477"/>
      <c r="F1358" s="477"/>
      <c r="G1358" s="477" t="str">
        <f>IFERROR(__xludf.DUMMYFUNCTION("""COMPUTED_VALUE"""),"Negative")</f>
        <v>Negative</v>
      </c>
      <c r="H1358" s="480" t="str">
        <f>IFERROR(__xludf.DUMMYFUNCTION("""COMPUTED_VALUE"""),"Negative")</f>
        <v>Negative</v>
      </c>
      <c r="I1358" s="478">
        <f>IFERROR(__xludf.DUMMYFUNCTION("""COMPUTED_VALUE"""),44712.0)</f>
        <v>44712</v>
      </c>
      <c r="J1358" s="481">
        <f>IFERROR(__xludf.DUMMYFUNCTION("""COMPUTED_VALUE"""),0.4717824074074074)</f>
        <v>0.4717824074</v>
      </c>
      <c r="K1358" s="156"/>
      <c r="L1358" s="19"/>
      <c r="M1358" s="482"/>
      <c r="N1358" s="482">
        <f>IFERROR(__xludf.DUMMYFUNCTION("""COMPUTED_VALUE"""),1.0)</f>
        <v>1</v>
      </c>
      <c r="O1358" s="482" t="b">
        <f t="shared" si="3"/>
        <v>1</v>
      </c>
      <c r="P1358" s="483">
        <f>IFERROR(__xludf.DUMMYFUNCTION("""COMPUTED_VALUE"""),4.0)</f>
        <v>4</v>
      </c>
      <c r="Q1358" s="352" t="str">
        <f>VLOOKUP($B1358,'Run Reconcile'!B$2:O2488,14,FALSE)</f>
        <v/>
      </c>
      <c r="R1358" s="484" t="str">
        <f t="array" ref="R1358">IF($Q1358, INDEX('Run Reconcile'!A$2:A2488,MATCH(B1358,'Run Reconcile'!B$2:B2488,0),1),IFERROR(0/0,""))</f>
        <v/>
      </c>
      <c r="S1358" s="485" t="b">
        <f t="shared" si="694"/>
        <v>1</v>
      </c>
      <c r="T1358" s="485" t="str">
        <f t="shared" si="698"/>
        <v/>
      </c>
      <c r="U1358" s="532" t="str">
        <f t="array" ref="U1358">IF(ISBLANK($R1358), INDEX('Run Reconcile'!A$2:A2488, MATCH($B1358, 'Run Reconcile'!B$2:B2488, 0)+Z1358, 1), IFERROR(0/0,""))
</f>
        <v>RUN-FLMP_2022-05-31_RFR-150</v>
      </c>
      <c r="V1358" s="486" t="str">
        <f t="shared" si="5"/>
        <v>RUN-FLMP_2022-05-31_RFR-150</v>
      </c>
      <c r="W1358" s="19" t="s">
        <v>1505</v>
      </c>
      <c r="X1358" s="19"/>
      <c r="Y1358" s="21">
        <v>2.0</v>
      </c>
      <c r="Z1358" s="60">
        <f t="shared" si="7"/>
        <v>2</v>
      </c>
      <c r="AA1358" s="60">
        <f t="shared" si="8"/>
        <v>2</v>
      </c>
      <c r="AB1358" s="60" t="str">
        <f t="shared" si="9"/>
        <v/>
      </c>
      <c r="AC1358" s="158" t="str">
        <f t="shared" ref="AC1358:AD1358" si="1717">IF(_xlfn.ISFORMULA(S1358),IFERROR(0/0,""),TRUE)</f>
        <v/>
      </c>
      <c r="AD1358" s="158" t="str">
        <f t="shared" si="1717"/>
        <v/>
      </c>
      <c r="AE1358" s="488" t="str">
        <f>IFERROR(__xludf.DUMMYFUNCTION("""COMPUTED_VALUE"""),"CRLN")</f>
        <v>CRLN</v>
      </c>
      <c r="AF1358" s="489"/>
      <c r="AG1358" s="486" t="s">
        <v>225</v>
      </c>
      <c r="AH1358" s="138" t="str">
        <f t="shared" si="11"/>
        <v/>
      </c>
      <c r="AI1358" s="19"/>
      <c r="AJ1358" s="19"/>
      <c r="AK1358" s="19"/>
      <c r="AL1358" s="19"/>
      <c r="AM1358" s="19"/>
    </row>
    <row r="1359">
      <c r="A1359" s="103" t="str">
        <f>IFERROR(__xludf.DUMMYFUNCTION("""COMPUTED_VALUE"""),"AG1064")</f>
        <v>AG1064</v>
      </c>
      <c r="B1359" s="468">
        <f>IFERROR(__xludf.DUMMYFUNCTION("""COMPUTED_VALUE"""),44711.0)</f>
        <v>44711</v>
      </c>
      <c r="C1359" s="469">
        <f>IFERROR(__xludf.DUMMYFUNCTION("""COMPUTED_VALUE"""),0.805150462962963)</f>
        <v>0.805150463</v>
      </c>
      <c r="D1359" s="103" t="str">
        <f>IFERROR(__xludf.DUMMYFUNCTION("""COMPUTED_VALUE"""),"SpFLMP228238")</f>
        <v>SpFLMP228238</v>
      </c>
      <c r="E1359" s="103"/>
      <c r="F1359" s="103"/>
      <c r="G1359" s="103" t="str">
        <f>IFERROR(__xludf.DUMMYFUNCTION("""COMPUTED_VALUE"""),"Negative")</f>
        <v>Negative</v>
      </c>
      <c r="H1359" s="131" t="str">
        <f>IFERROR(__xludf.DUMMYFUNCTION("""COMPUTED_VALUE"""),"Negative")</f>
        <v>Negative</v>
      </c>
      <c r="I1359" s="468">
        <f>IFERROR(__xludf.DUMMYFUNCTION("""COMPUTED_VALUE"""),44712.0)</f>
        <v>44712</v>
      </c>
      <c r="J1359" s="470">
        <f>IFERROR(__xludf.DUMMYFUNCTION("""COMPUTED_VALUE"""),0.4717824074074074)</f>
        <v>0.4717824074</v>
      </c>
      <c r="K1359" s="16"/>
      <c r="L1359" s="8"/>
      <c r="M1359" s="69"/>
      <c r="N1359" s="69">
        <f>IFERROR(__xludf.DUMMYFUNCTION("""COMPUTED_VALUE"""),2.0)</f>
        <v>2</v>
      </c>
      <c r="O1359" s="69" t="b">
        <f t="shared" si="3"/>
        <v>1</v>
      </c>
      <c r="P1359" s="471">
        <f>IFERROR(__xludf.DUMMYFUNCTION("""COMPUTED_VALUE"""),1.0)</f>
        <v>1</v>
      </c>
      <c r="Q1359" s="274" t="str">
        <f>VLOOKUP($B1359,'Run Reconcile'!B$2:O2488,14,FALSE)</f>
        <v/>
      </c>
      <c r="R1359" s="472" t="str">
        <f t="array" ref="R1359">IF($Q1359, INDEX('Run Reconcile'!A$2:A2488,MATCH(B1359,'Run Reconcile'!B$2:B2488,0),1),IFERROR(0/0,""))</f>
        <v/>
      </c>
      <c r="S1359" s="473" t="b">
        <f t="shared" si="694"/>
        <v>1</v>
      </c>
      <c r="T1359" s="473" t="str">
        <f t="shared" si="698"/>
        <v/>
      </c>
      <c r="U1359" s="275" t="str">
        <f t="array" ref="U1359">IF(ISBLANK($R1359), INDEX('Run Reconcile'!A$2:A2488, MATCH($B1359, 'Run Reconcile'!B$2:B2488, 0)+Z1359, 1), IFERROR(0/0,""))
</f>
        <v>RUN-FLMP_2022-05-31_RFR-150</v>
      </c>
      <c r="V1359" s="474" t="str">
        <f t="shared" si="5"/>
        <v>RUN-FLMP_2022-05-31_RFR-150</v>
      </c>
      <c r="W1359" s="8" t="s">
        <v>1506</v>
      </c>
      <c r="Y1359" s="89">
        <f t="shared" ref="Y1359:Y1509" si="1719">IF(AND(ISBLANK(W1359),ISBLANK(X1359)),IFERROR(0/0,""),1)</f>
        <v>1</v>
      </c>
      <c r="Z1359" s="60">
        <f t="shared" si="7"/>
        <v>1</v>
      </c>
      <c r="AA1359" s="60">
        <f t="shared" si="8"/>
        <v>1</v>
      </c>
      <c r="AB1359" s="60" t="str">
        <f t="shared" si="9"/>
        <v/>
      </c>
      <c r="AC1359" s="30" t="str">
        <f t="shared" ref="AC1359:AD1359" si="1718">IF(_xlfn.ISFORMULA(S1359),IFERROR(0/0,""),TRUE)</f>
        <v/>
      </c>
      <c r="AD1359" s="30" t="str">
        <f t="shared" si="1718"/>
        <v/>
      </c>
      <c r="AE1359" s="475" t="str">
        <f>IFERROR(__xludf.DUMMYFUNCTION("""COMPUTED_VALUE"""),"CRLN")</f>
        <v>CRLN</v>
      </c>
      <c r="AF1359" s="476"/>
      <c r="AG1359" s="474" t="s">
        <v>225</v>
      </c>
      <c r="AH1359" s="138" t="str">
        <f t="shared" si="11"/>
        <v/>
      </c>
    </row>
    <row r="1360">
      <c r="A1360" s="103" t="str">
        <f>IFERROR(__xludf.DUMMYFUNCTION("""COMPUTED_VALUE"""),"AK6697")</f>
        <v>AK6697</v>
      </c>
      <c r="B1360" s="468">
        <f>IFERROR(__xludf.DUMMYFUNCTION("""COMPUTED_VALUE"""),44711.0)</f>
        <v>44711</v>
      </c>
      <c r="C1360" s="469">
        <f>IFERROR(__xludf.DUMMYFUNCTION("""COMPUTED_VALUE"""),0.8855439814814815)</f>
        <v>0.8855439815</v>
      </c>
      <c r="D1360" s="103" t="str">
        <f>IFERROR(__xludf.DUMMYFUNCTION("""COMPUTED_VALUE"""),"SpFLMP170622")</f>
        <v>SpFLMP170622</v>
      </c>
      <c r="E1360" s="103"/>
      <c r="F1360" s="103"/>
      <c r="G1360" s="103" t="str">
        <f>IFERROR(__xludf.DUMMYFUNCTION("""COMPUTED_VALUE"""),"Negative")</f>
        <v>Negative</v>
      </c>
      <c r="H1360" s="131" t="str">
        <f>IFERROR(__xludf.DUMMYFUNCTION("""COMPUTED_VALUE"""),"Negative")</f>
        <v>Negative</v>
      </c>
      <c r="I1360" s="468">
        <f>IFERROR(__xludf.DUMMYFUNCTION("""COMPUTED_VALUE"""),44712.0)</f>
        <v>44712</v>
      </c>
      <c r="J1360" s="470">
        <f>IFERROR(__xludf.DUMMYFUNCTION("""COMPUTED_VALUE"""),0.4717824074074074)</f>
        <v>0.4717824074</v>
      </c>
      <c r="K1360" s="16"/>
      <c r="L1360" s="8"/>
      <c r="M1360" s="69"/>
      <c r="N1360" s="69">
        <f>IFERROR(__xludf.DUMMYFUNCTION("""COMPUTED_VALUE"""),4.0)</f>
        <v>4</v>
      </c>
      <c r="O1360" s="69" t="str">
        <f t="shared" si="3"/>
        <v/>
      </c>
      <c r="P1360" s="471">
        <f>IFERROR(__xludf.DUMMYFUNCTION("""COMPUTED_VALUE"""),1.0)</f>
        <v>1</v>
      </c>
      <c r="Q1360" s="274" t="str">
        <f>VLOOKUP($B1360,'Run Reconcile'!B$2:O2488,14,FALSE)</f>
        <v/>
      </c>
      <c r="R1360" s="472" t="str">
        <f t="array" ref="R1360">IF($Q1360, INDEX('Run Reconcile'!A$2:A2488,MATCH(B1360,'Run Reconcile'!B$2:B2488,0),1),IFERROR(0/0,""))</f>
        <v/>
      </c>
      <c r="S1360" s="473" t="b">
        <f t="shared" si="694"/>
        <v>1</v>
      </c>
      <c r="T1360" s="473" t="str">
        <f t="shared" si="698"/>
        <v/>
      </c>
      <c r="U1360" s="275" t="str">
        <f t="array" ref="U1360">IF(ISBLANK($R1360), INDEX('Run Reconcile'!A$2:A2488, MATCH($B1360, 'Run Reconcile'!B$2:B2488, 0)+Z1360, 1), IFERROR(0/0,""))
</f>
        <v>RUN-FLMP_2022-05-31_RFR-150</v>
      </c>
      <c r="V1360" s="474" t="str">
        <f t="shared" si="5"/>
        <v>RUN-FLMP_2022-05-31_RFR-150</v>
      </c>
      <c r="W1360" s="8" t="s">
        <v>1507</v>
      </c>
      <c r="Y1360" s="89">
        <f t="shared" si="1719"/>
        <v>1</v>
      </c>
      <c r="Z1360" s="60">
        <f t="shared" si="7"/>
        <v>1</v>
      </c>
      <c r="AA1360" s="60">
        <f t="shared" si="8"/>
        <v>1</v>
      </c>
      <c r="AB1360" s="60" t="str">
        <f t="shared" si="9"/>
        <v/>
      </c>
      <c r="AC1360" s="30" t="str">
        <f t="shared" ref="AC1360:AD1360" si="1720">IF(_xlfn.ISFORMULA(S1360),IFERROR(0/0,""),TRUE)</f>
        <v/>
      </c>
      <c r="AD1360" s="30" t="str">
        <f t="shared" si="1720"/>
        <v/>
      </c>
      <c r="AE1360" s="475" t="str">
        <f>IFERROR(__xludf.DUMMYFUNCTION("""COMPUTED_VALUE"""),"CRLN")</f>
        <v>CRLN</v>
      </c>
      <c r="AF1360" s="476"/>
      <c r="AG1360" s="474" t="s">
        <v>225</v>
      </c>
      <c r="AH1360" s="138" t="str">
        <f t="shared" si="11"/>
        <v/>
      </c>
    </row>
    <row r="1361">
      <c r="A1361" s="103" t="str">
        <f>IFERROR(__xludf.DUMMYFUNCTION("""COMPUTED_VALUE"""),"AH7315")</f>
        <v>AH7315</v>
      </c>
      <c r="B1361" s="468">
        <f>IFERROR(__xludf.DUMMYFUNCTION("""COMPUTED_VALUE"""),44711.0)</f>
        <v>44711</v>
      </c>
      <c r="C1361" s="469">
        <f>IFERROR(__xludf.DUMMYFUNCTION("""COMPUTED_VALUE"""),0.8863657407407407)</f>
        <v>0.8863657407</v>
      </c>
      <c r="D1361" s="103" t="str">
        <f>IFERROR(__xludf.DUMMYFUNCTION("""COMPUTED_VALUE"""),"SpFLMP170622")</f>
        <v>SpFLMP170622</v>
      </c>
      <c r="E1361" s="103"/>
      <c r="F1361" s="103"/>
      <c r="G1361" s="103" t="str">
        <f>IFERROR(__xludf.DUMMYFUNCTION("""COMPUTED_VALUE"""),"Negative")</f>
        <v>Negative</v>
      </c>
      <c r="H1361" s="131" t="str">
        <f>IFERROR(__xludf.DUMMYFUNCTION("""COMPUTED_VALUE"""),"Negative")</f>
        <v>Negative</v>
      </c>
      <c r="I1361" s="468">
        <f>IFERROR(__xludf.DUMMYFUNCTION("""COMPUTED_VALUE"""),44712.0)</f>
        <v>44712</v>
      </c>
      <c r="J1361" s="470">
        <f>IFERROR(__xludf.DUMMYFUNCTION("""COMPUTED_VALUE"""),0.4717939814814815)</f>
        <v>0.4717939815</v>
      </c>
      <c r="K1361" s="16"/>
      <c r="L1361" s="8"/>
      <c r="M1361" s="69"/>
      <c r="N1361" s="69">
        <f>IFERROR(__xludf.DUMMYFUNCTION("""COMPUTED_VALUE"""),2.0)</f>
        <v>2</v>
      </c>
      <c r="O1361" s="69" t="str">
        <f t="shared" si="3"/>
        <v/>
      </c>
      <c r="P1361" s="471">
        <f>IFERROR(__xludf.DUMMYFUNCTION("""COMPUTED_VALUE"""),1.0)</f>
        <v>1</v>
      </c>
      <c r="Q1361" s="274" t="str">
        <f>VLOOKUP($B1361,'Run Reconcile'!B$2:O2488,14,FALSE)</f>
        <v/>
      </c>
      <c r="R1361" s="472" t="str">
        <f t="array" ref="R1361">IF($Q1361, INDEX('Run Reconcile'!A$2:A2488,MATCH(B1361,'Run Reconcile'!B$2:B2488,0),1),IFERROR(0/0,""))</f>
        <v/>
      </c>
      <c r="S1361" s="473" t="b">
        <f t="shared" si="694"/>
        <v>1</v>
      </c>
      <c r="T1361" s="473" t="str">
        <f t="shared" si="698"/>
        <v/>
      </c>
      <c r="U1361" s="275" t="str">
        <f t="array" ref="U1361">IF(ISBLANK($R1361), INDEX('Run Reconcile'!A$2:A2488, MATCH($B1361, 'Run Reconcile'!B$2:B2488, 0)+Z1361, 1), IFERROR(0/0,""))
</f>
        <v>RUN-FLMP_2022-05-31_RFR-150</v>
      </c>
      <c r="V1361" s="474" t="str">
        <f t="shared" si="5"/>
        <v>RUN-FLMP_2022-05-31_RFR-150</v>
      </c>
      <c r="W1361" s="8" t="s">
        <v>1508</v>
      </c>
      <c r="Y1361" s="89">
        <f t="shared" si="1719"/>
        <v>1</v>
      </c>
      <c r="Z1361" s="60">
        <f t="shared" si="7"/>
        <v>1</v>
      </c>
      <c r="AA1361" s="60">
        <f t="shared" si="8"/>
        <v>1</v>
      </c>
      <c r="AB1361" s="60" t="str">
        <f t="shared" si="9"/>
        <v/>
      </c>
      <c r="AC1361" s="30" t="str">
        <f t="shared" ref="AC1361:AD1361" si="1721">IF(_xlfn.ISFORMULA(S1361),IFERROR(0/0,""),TRUE)</f>
        <v/>
      </c>
      <c r="AD1361" s="30" t="str">
        <f t="shared" si="1721"/>
        <v/>
      </c>
      <c r="AE1361" s="475" t="str">
        <f>IFERROR(__xludf.DUMMYFUNCTION("""COMPUTED_VALUE"""),"CRLN")</f>
        <v>CRLN</v>
      </c>
      <c r="AF1361" s="476"/>
      <c r="AG1361" s="474" t="s">
        <v>225</v>
      </c>
      <c r="AH1361" s="138" t="str">
        <f t="shared" si="11"/>
        <v/>
      </c>
    </row>
    <row r="1362">
      <c r="A1362" s="103" t="str">
        <f>IFERROR(__xludf.DUMMYFUNCTION("""COMPUTED_VALUE"""),"AK6480")</f>
        <v>AK6480</v>
      </c>
      <c r="B1362" s="468">
        <f>IFERROR(__xludf.DUMMYFUNCTION("""COMPUTED_VALUE"""),44712.0)</f>
        <v>44712</v>
      </c>
      <c r="C1362" s="469">
        <f>IFERROR(__xludf.DUMMYFUNCTION("""COMPUTED_VALUE"""),0.2682060185185185)</f>
        <v>0.2682060185</v>
      </c>
      <c r="D1362" s="103" t="str">
        <f>IFERROR(__xludf.DUMMYFUNCTION("""COMPUTED_VALUE"""),"SpFLMP690282")</f>
        <v>SpFLMP690282</v>
      </c>
      <c r="E1362" s="103"/>
      <c r="F1362" s="103"/>
      <c r="G1362" s="103" t="str">
        <f>IFERROR(__xludf.DUMMYFUNCTION("""COMPUTED_VALUE"""),"Negative")</f>
        <v>Negative</v>
      </c>
      <c r="H1362" s="131" t="str">
        <f>IFERROR(__xludf.DUMMYFUNCTION("""COMPUTED_VALUE"""),"Negative")</f>
        <v>Negative</v>
      </c>
      <c r="I1362" s="468">
        <f>IFERROR(__xludf.DUMMYFUNCTION("""COMPUTED_VALUE"""),44712.0)</f>
        <v>44712</v>
      </c>
      <c r="J1362" s="470">
        <f>IFERROR(__xludf.DUMMYFUNCTION("""COMPUTED_VALUE"""),0.4717939814814815)</f>
        <v>0.4717939815</v>
      </c>
      <c r="K1362" s="16"/>
      <c r="L1362" s="8"/>
      <c r="M1362" s="69"/>
      <c r="N1362" s="69">
        <f>IFERROR(__xludf.DUMMYFUNCTION("""COMPUTED_VALUE"""),2.0)</f>
        <v>2</v>
      </c>
      <c r="O1362" s="69" t="b">
        <f t="shared" si="3"/>
        <v>1</v>
      </c>
      <c r="P1362" s="471">
        <f>IFERROR(__xludf.DUMMYFUNCTION("""COMPUTED_VALUE"""),0.0)</f>
        <v>0</v>
      </c>
      <c r="Q1362" s="274" t="b">
        <f>VLOOKUP($B1362,'Run Reconcile'!B$2:O2488,14,FALSE)</f>
        <v>1</v>
      </c>
      <c r="R1362" s="472" t="str">
        <f t="array" ref="R1362">IF($Q1362, INDEX('Run Reconcile'!A$2:A2488,MATCH(B1362,'Run Reconcile'!B$2:B2488,0),1),IFERROR(0/0,""))</f>
        <v>RUN-FLMP_2022-05-31_RFR-150</v>
      </c>
      <c r="S1362" s="473" t="str">
        <f t="shared" si="694"/>
        <v/>
      </c>
      <c r="T1362" s="473" t="str">
        <f t="shared" si="698"/>
        <v/>
      </c>
      <c r="U1362" s="275" t="str">
        <f t="array" ref="U1362">IF(ISBLANK($R1362), INDEX('Run Reconcile'!A$2:A2488, MATCH($B1362, 'Run Reconcile'!B$2:B2488, 0)+Z1362, 1), IFERROR(0/0,""))
</f>
        <v/>
      </c>
      <c r="V1362" s="474" t="str">
        <f t="shared" si="5"/>
        <v>RUN-FLMP_2022-05-31_RFR-150</v>
      </c>
      <c r="Y1362" s="89" t="str">
        <f t="shared" si="1719"/>
        <v/>
      </c>
      <c r="Z1362" s="60" t="str">
        <f t="shared" si="7"/>
        <v/>
      </c>
      <c r="AA1362" s="60" t="str">
        <f t="shared" si="8"/>
        <v/>
      </c>
      <c r="AB1362" s="60" t="str">
        <f t="shared" si="9"/>
        <v/>
      </c>
      <c r="AC1362" s="30" t="str">
        <f t="shared" ref="AC1362:AD1362" si="1722">IF(_xlfn.ISFORMULA(S1362),IFERROR(0/0,""),TRUE)</f>
        <v/>
      </c>
      <c r="AD1362" s="30" t="str">
        <f t="shared" si="1722"/>
        <v/>
      </c>
      <c r="AE1362" s="475" t="str">
        <f>IFERROR(__xludf.DUMMYFUNCTION("""COMPUTED_VALUE"""),"CRLN")</f>
        <v>CRLN</v>
      </c>
      <c r="AF1362" s="476"/>
      <c r="AG1362" s="474" t="s">
        <v>225</v>
      </c>
      <c r="AH1362" s="138" t="str">
        <f t="shared" si="11"/>
        <v/>
      </c>
    </row>
    <row r="1363">
      <c r="A1363" s="103" t="str">
        <f>IFERROR(__xludf.DUMMYFUNCTION("""COMPUTED_VALUE"""),"AH6918")</f>
        <v>AH6918</v>
      </c>
      <c r="B1363" s="468">
        <f>IFERROR(__xludf.DUMMYFUNCTION("""COMPUTED_VALUE"""),44712.0)</f>
        <v>44712</v>
      </c>
      <c r="C1363" s="469">
        <f>IFERROR(__xludf.DUMMYFUNCTION("""COMPUTED_VALUE"""),0.2889351851851852)</f>
        <v>0.2889351852</v>
      </c>
      <c r="D1363" s="103" t="str">
        <f>IFERROR(__xludf.DUMMYFUNCTION("""COMPUTED_VALUE"""),"SpFLMP470379")</f>
        <v>SpFLMP470379</v>
      </c>
      <c r="E1363" s="103"/>
      <c r="F1363" s="103"/>
      <c r="G1363" s="103" t="str">
        <f>IFERROR(__xludf.DUMMYFUNCTION("""COMPUTED_VALUE"""),"Negative")</f>
        <v>Negative</v>
      </c>
      <c r="H1363" s="131" t="str">
        <f>IFERROR(__xludf.DUMMYFUNCTION("""COMPUTED_VALUE"""),"Negative")</f>
        <v>Negative</v>
      </c>
      <c r="I1363" s="468">
        <f>IFERROR(__xludf.DUMMYFUNCTION("""COMPUTED_VALUE"""),44712.0)</f>
        <v>44712</v>
      </c>
      <c r="J1363" s="470">
        <f>IFERROR(__xludf.DUMMYFUNCTION("""COMPUTED_VALUE"""),0.4812268518518519)</f>
        <v>0.4812268519</v>
      </c>
      <c r="K1363" s="16"/>
      <c r="L1363" s="8"/>
      <c r="M1363" s="69"/>
      <c r="N1363" s="69">
        <f>IFERROR(__xludf.DUMMYFUNCTION("""COMPUTED_VALUE"""),1.0)</f>
        <v>1</v>
      </c>
      <c r="O1363" s="69" t="str">
        <f t="shared" si="3"/>
        <v/>
      </c>
      <c r="P1363" s="471">
        <f>IFERROR(__xludf.DUMMYFUNCTION("""COMPUTED_VALUE"""),0.0)</f>
        <v>0</v>
      </c>
      <c r="Q1363" s="274" t="b">
        <f>VLOOKUP($B1363,'Run Reconcile'!B$2:O2488,14,FALSE)</f>
        <v>1</v>
      </c>
      <c r="R1363" s="472" t="str">
        <f t="array" ref="R1363">IF($Q1363, INDEX('Run Reconcile'!A$2:A2488,MATCH(B1363,'Run Reconcile'!B$2:B2488,0),1),IFERROR(0/0,""))</f>
        <v>RUN-FLMP_2022-05-31_RFR-150</v>
      </c>
      <c r="S1363" s="473" t="str">
        <f t="shared" si="694"/>
        <v/>
      </c>
      <c r="T1363" s="473" t="str">
        <f t="shared" si="698"/>
        <v/>
      </c>
      <c r="U1363" s="275" t="str">
        <f t="array" ref="U1363">IF(ISBLANK($R1363), INDEX('Run Reconcile'!A$2:A2488, MATCH($B1363, 'Run Reconcile'!B$2:B2488, 0)+Z1363, 1), IFERROR(0/0,""))
</f>
        <v/>
      </c>
      <c r="V1363" s="474" t="str">
        <f t="shared" si="5"/>
        <v>RUN-FLMP_2022-05-31_RFR-150</v>
      </c>
      <c r="Y1363" s="89" t="str">
        <f t="shared" si="1719"/>
        <v/>
      </c>
      <c r="Z1363" s="60" t="str">
        <f t="shared" si="7"/>
        <v/>
      </c>
      <c r="AA1363" s="60" t="str">
        <f t="shared" si="8"/>
        <v/>
      </c>
      <c r="AB1363" s="60" t="str">
        <f t="shared" si="9"/>
        <v/>
      </c>
      <c r="AC1363" s="30" t="str">
        <f t="shared" ref="AC1363:AD1363" si="1723">IF(_xlfn.ISFORMULA(S1363),IFERROR(0/0,""),TRUE)</f>
        <v/>
      </c>
      <c r="AD1363" s="30" t="str">
        <f t="shared" si="1723"/>
        <v/>
      </c>
      <c r="AE1363" s="475" t="str">
        <f>IFERROR(__xludf.DUMMYFUNCTION("""COMPUTED_VALUE"""),"CRLN")</f>
        <v>CRLN</v>
      </c>
      <c r="AF1363" s="476"/>
      <c r="AG1363" s="474" t="s">
        <v>225</v>
      </c>
      <c r="AH1363" s="138" t="str">
        <f t="shared" si="11"/>
        <v/>
      </c>
    </row>
    <row r="1364">
      <c r="A1364" s="103" t="str">
        <f>IFERROR(__xludf.DUMMYFUNCTION("""COMPUTED_VALUE"""),"AJ8926")</f>
        <v>AJ8926</v>
      </c>
      <c r="B1364" s="468">
        <f>IFERROR(__xludf.DUMMYFUNCTION("""COMPUTED_VALUE"""),44712.0)</f>
        <v>44712</v>
      </c>
      <c r="C1364" s="469">
        <f>IFERROR(__xludf.DUMMYFUNCTION("""COMPUTED_VALUE"""),0.3227083333333333)</f>
        <v>0.3227083333</v>
      </c>
      <c r="D1364" s="103" t="str">
        <f>IFERROR(__xludf.DUMMYFUNCTION("""COMPUTED_VALUE"""),"SpFLMP777132")</f>
        <v>SpFLMP777132</v>
      </c>
      <c r="E1364" s="103"/>
      <c r="F1364" s="103"/>
      <c r="G1364" s="103" t="str">
        <f>IFERROR(__xludf.DUMMYFUNCTION("""COMPUTED_VALUE"""),"Negative")</f>
        <v>Negative</v>
      </c>
      <c r="H1364" s="131" t="str">
        <f>IFERROR(__xludf.DUMMYFUNCTION("""COMPUTED_VALUE"""),"Negative")</f>
        <v>Negative</v>
      </c>
      <c r="I1364" s="468">
        <f>IFERROR(__xludf.DUMMYFUNCTION("""COMPUTED_VALUE"""),44712.0)</f>
        <v>44712</v>
      </c>
      <c r="J1364" s="470">
        <f>IFERROR(__xludf.DUMMYFUNCTION("""COMPUTED_VALUE"""),0.4717939814814815)</f>
        <v>0.4717939815</v>
      </c>
      <c r="K1364" s="16"/>
      <c r="L1364" s="8"/>
      <c r="M1364" s="69"/>
      <c r="N1364" s="69">
        <f>IFERROR(__xludf.DUMMYFUNCTION("""COMPUTED_VALUE"""),4.0)</f>
        <v>4</v>
      </c>
      <c r="O1364" s="69" t="str">
        <f t="shared" si="3"/>
        <v/>
      </c>
      <c r="P1364" s="471">
        <f>IFERROR(__xludf.DUMMYFUNCTION("""COMPUTED_VALUE"""),0.0)</f>
        <v>0</v>
      </c>
      <c r="Q1364" s="274" t="b">
        <f>VLOOKUP($B1364,'Run Reconcile'!B$2:O2488,14,FALSE)</f>
        <v>1</v>
      </c>
      <c r="R1364" s="472" t="str">
        <f t="array" ref="R1364">IF($Q1364, INDEX('Run Reconcile'!A$2:A2488,MATCH(B1364,'Run Reconcile'!B$2:B2488,0),1),IFERROR(0/0,""))</f>
        <v>RUN-FLMP_2022-05-31_RFR-150</v>
      </c>
      <c r="S1364" s="473" t="str">
        <f t="shared" si="694"/>
        <v/>
      </c>
      <c r="T1364" s="473" t="str">
        <f t="shared" si="698"/>
        <v/>
      </c>
      <c r="U1364" s="275" t="str">
        <f t="array" ref="U1364">IF(ISBLANK($R1364), INDEX('Run Reconcile'!A$2:A2488, MATCH($B1364, 'Run Reconcile'!B$2:B2488, 0)+Z1364, 1), IFERROR(0/0,""))
</f>
        <v/>
      </c>
      <c r="V1364" s="474" t="str">
        <f t="shared" si="5"/>
        <v>RUN-FLMP_2022-05-31_RFR-150</v>
      </c>
      <c r="Y1364" s="89" t="str">
        <f t="shared" si="1719"/>
        <v/>
      </c>
      <c r="Z1364" s="60" t="str">
        <f t="shared" si="7"/>
        <v/>
      </c>
      <c r="AA1364" s="60" t="str">
        <f t="shared" si="8"/>
        <v/>
      </c>
      <c r="AB1364" s="60" t="str">
        <f t="shared" si="9"/>
        <v/>
      </c>
      <c r="AC1364" s="30" t="str">
        <f t="shared" ref="AC1364:AD1364" si="1724">IF(_xlfn.ISFORMULA(S1364),IFERROR(0/0,""),TRUE)</f>
        <v/>
      </c>
      <c r="AD1364" s="30" t="str">
        <f t="shared" si="1724"/>
        <v/>
      </c>
      <c r="AE1364" s="475" t="str">
        <f>IFERROR(__xludf.DUMMYFUNCTION("""COMPUTED_VALUE"""),"CRLN")</f>
        <v>CRLN</v>
      </c>
      <c r="AF1364" s="476"/>
      <c r="AG1364" s="474" t="s">
        <v>225</v>
      </c>
      <c r="AH1364" s="138" t="str">
        <f t="shared" si="11"/>
        <v/>
      </c>
    </row>
    <row r="1365">
      <c r="A1365" s="103" t="str">
        <f>IFERROR(__xludf.DUMMYFUNCTION("""COMPUTED_VALUE"""),"AH704")</f>
        <v>AH704</v>
      </c>
      <c r="B1365" s="468">
        <f>IFERROR(__xludf.DUMMYFUNCTION("""COMPUTED_VALUE"""),44712.0)</f>
        <v>44712</v>
      </c>
      <c r="C1365" s="469">
        <f>IFERROR(__xludf.DUMMYFUNCTION("""COMPUTED_VALUE"""),0.33358796296296295)</f>
        <v>0.333587963</v>
      </c>
      <c r="D1365" s="103" t="str">
        <f>IFERROR(__xludf.DUMMYFUNCTION("""COMPUTED_VALUE"""),"SpFLMP604497")</f>
        <v>SpFLMP604497</v>
      </c>
      <c r="E1365" s="103"/>
      <c r="F1365" s="103"/>
      <c r="G1365" s="103" t="str">
        <f>IFERROR(__xludf.DUMMYFUNCTION("""COMPUTED_VALUE"""),"Negative")</f>
        <v>Negative</v>
      </c>
      <c r="H1365" s="131" t="str">
        <f>IFERROR(__xludf.DUMMYFUNCTION("""COMPUTED_VALUE"""),"Negative")</f>
        <v>Negative</v>
      </c>
      <c r="I1365" s="468">
        <f>IFERROR(__xludf.DUMMYFUNCTION("""COMPUTED_VALUE"""),44712.0)</f>
        <v>44712</v>
      </c>
      <c r="J1365" s="470">
        <f>IFERROR(__xludf.DUMMYFUNCTION("""COMPUTED_VALUE"""),0.4717939814814815)</f>
        <v>0.4717939815</v>
      </c>
      <c r="K1365" s="16"/>
      <c r="L1365" s="8"/>
      <c r="M1365" s="69"/>
      <c r="N1365" s="69">
        <f>IFERROR(__xludf.DUMMYFUNCTION("""COMPUTED_VALUE"""),4.0)</f>
        <v>4</v>
      </c>
      <c r="O1365" s="69" t="str">
        <f t="shared" si="3"/>
        <v/>
      </c>
      <c r="P1365" s="471">
        <f>IFERROR(__xludf.DUMMYFUNCTION("""COMPUTED_VALUE"""),0.0)</f>
        <v>0</v>
      </c>
      <c r="Q1365" s="274" t="b">
        <f>VLOOKUP($B1365,'Run Reconcile'!B$2:O2488,14,FALSE)</f>
        <v>1</v>
      </c>
      <c r="R1365" s="472" t="str">
        <f t="array" ref="R1365">IF($Q1365, INDEX('Run Reconcile'!A$2:A2488,MATCH(B1365,'Run Reconcile'!B$2:B2488,0),1),IFERROR(0/0,""))</f>
        <v>RUN-FLMP_2022-05-31_RFR-150</v>
      </c>
      <c r="S1365" s="473" t="str">
        <f t="shared" si="694"/>
        <v/>
      </c>
      <c r="T1365" s="473" t="str">
        <f t="shared" si="698"/>
        <v/>
      </c>
      <c r="U1365" s="275" t="str">
        <f t="array" ref="U1365">IF(ISBLANK($R1365), INDEX('Run Reconcile'!A$2:A2488, MATCH($B1365, 'Run Reconcile'!B$2:B2488, 0)+Z1365, 1), IFERROR(0/0,""))
</f>
        <v/>
      </c>
      <c r="V1365" s="474" t="str">
        <f t="shared" si="5"/>
        <v>RUN-FLMP_2022-05-31_RFR-150</v>
      </c>
      <c r="Y1365" s="89" t="str">
        <f t="shared" si="1719"/>
        <v/>
      </c>
      <c r="Z1365" s="60" t="str">
        <f t="shared" si="7"/>
        <v/>
      </c>
      <c r="AA1365" s="60" t="str">
        <f t="shared" si="8"/>
        <v/>
      </c>
      <c r="AB1365" s="60" t="str">
        <f t="shared" si="9"/>
        <v/>
      </c>
      <c r="AC1365" s="30" t="str">
        <f t="shared" ref="AC1365:AD1365" si="1725">IF(_xlfn.ISFORMULA(S1365),IFERROR(0/0,""),TRUE)</f>
        <v/>
      </c>
      <c r="AD1365" s="30" t="str">
        <f t="shared" si="1725"/>
        <v/>
      </c>
      <c r="AE1365" s="475" t="str">
        <f>IFERROR(__xludf.DUMMYFUNCTION("""COMPUTED_VALUE"""),"CRLN")</f>
        <v>CRLN</v>
      </c>
      <c r="AF1365" s="476"/>
      <c r="AG1365" s="474" t="s">
        <v>225</v>
      </c>
      <c r="AH1365" s="138" t="str">
        <f t="shared" si="11"/>
        <v/>
      </c>
    </row>
    <row r="1366">
      <c r="A1366" s="103" t="str">
        <f>IFERROR(__xludf.DUMMYFUNCTION("""COMPUTED_VALUE"""),"AJ9664")</f>
        <v>AJ9664</v>
      </c>
      <c r="B1366" s="468">
        <f>IFERROR(__xludf.DUMMYFUNCTION("""COMPUTED_VALUE"""),44712.0)</f>
        <v>44712</v>
      </c>
      <c r="C1366" s="469">
        <f>IFERROR(__xludf.DUMMYFUNCTION("""COMPUTED_VALUE"""),0.34564814814814815)</f>
        <v>0.3456481481</v>
      </c>
      <c r="D1366" s="103" t="str">
        <f>IFERROR(__xludf.DUMMYFUNCTION("""COMPUTED_VALUE"""),"SpFLMP120998")</f>
        <v>SpFLMP120998</v>
      </c>
      <c r="E1366" s="103"/>
      <c r="F1366" s="103"/>
      <c r="G1366" s="103" t="str">
        <f>IFERROR(__xludf.DUMMYFUNCTION("""COMPUTED_VALUE"""),"Negative")</f>
        <v>Negative</v>
      </c>
      <c r="H1366" s="131" t="str">
        <f>IFERROR(__xludf.DUMMYFUNCTION("""COMPUTED_VALUE"""),"Negative")</f>
        <v>Negative</v>
      </c>
      <c r="I1366" s="468">
        <f>IFERROR(__xludf.DUMMYFUNCTION("""COMPUTED_VALUE"""),44712.0)</f>
        <v>44712</v>
      </c>
      <c r="J1366" s="470">
        <f>IFERROR(__xludf.DUMMYFUNCTION("""COMPUTED_VALUE"""),0.4717939814814815)</f>
        <v>0.4717939815</v>
      </c>
      <c r="K1366" s="16"/>
      <c r="L1366" s="8"/>
      <c r="M1366" s="69"/>
      <c r="N1366" s="69">
        <f>IFERROR(__xludf.DUMMYFUNCTION("""COMPUTED_VALUE"""),4.0)</f>
        <v>4</v>
      </c>
      <c r="O1366" s="69" t="str">
        <f t="shared" si="3"/>
        <v/>
      </c>
      <c r="P1366" s="471">
        <f>IFERROR(__xludf.DUMMYFUNCTION("""COMPUTED_VALUE"""),0.0)</f>
        <v>0</v>
      </c>
      <c r="Q1366" s="274" t="b">
        <f>VLOOKUP($B1366,'Run Reconcile'!B$2:O2488,14,FALSE)</f>
        <v>1</v>
      </c>
      <c r="R1366" s="472" t="str">
        <f t="array" ref="R1366">IF($Q1366, INDEX('Run Reconcile'!A$2:A2488,MATCH(B1366,'Run Reconcile'!B$2:B2488,0),1),IFERROR(0/0,""))</f>
        <v>RUN-FLMP_2022-05-31_RFR-150</v>
      </c>
      <c r="S1366" s="473" t="str">
        <f t="shared" si="694"/>
        <v/>
      </c>
      <c r="T1366" s="473" t="str">
        <f t="shared" si="698"/>
        <v/>
      </c>
      <c r="U1366" s="275" t="str">
        <f t="array" ref="U1366">IF(ISBLANK($R1366), INDEX('Run Reconcile'!A$2:A2488, MATCH($B1366, 'Run Reconcile'!B$2:B2488, 0)+Z1366, 1), IFERROR(0/0,""))
</f>
        <v/>
      </c>
      <c r="V1366" s="474" t="str">
        <f t="shared" si="5"/>
        <v>RUN-FLMP_2022-05-31_RFR-150</v>
      </c>
      <c r="Y1366" s="89" t="str">
        <f t="shared" si="1719"/>
        <v/>
      </c>
      <c r="Z1366" s="60" t="str">
        <f t="shared" si="7"/>
        <v/>
      </c>
      <c r="AA1366" s="60" t="str">
        <f t="shared" si="8"/>
        <v/>
      </c>
      <c r="AB1366" s="60" t="str">
        <f t="shared" si="9"/>
        <v/>
      </c>
      <c r="AC1366" s="30" t="str">
        <f t="shared" ref="AC1366:AD1366" si="1726">IF(_xlfn.ISFORMULA(S1366),IFERROR(0/0,""),TRUE)</f>
        <v/>
      </c>
      <c r="AD1366" s="30" t="str">
        <f t="shared" si="1726"/>
        <v/>
      </c>
      <c r="AE1366" s="475" t="str">
        <f>IFERROR(__xludf.DUMMYFUNCTION("""COMPUTED_VALUE"""),"FLSP")</f>
        <v>FLSP</v>
      </c>
      <c r="AF1366" s="476"/>
      <c r="AG1366" s="474" t="s">
        <v>225</v>
      </c>
      <c r="AH1366" s="138" t="str">
        <f t="shared" si="11"/>
        <v/>
      </c>
    </row>
    <row r="1367">
      <c r="A1367" s="103" t="str">
        <f>IFERROR(__xludf.DUMMYFUNCTION("""COMPUTED_VALUE"""),"AJ9294")</f>
        <v>AJ9294</v>
      </c>
      <c r="B1367" s="468">
        <f>IFERROR(__xludf.DUMMYFUNCTION("""COMPUTED_VALUE"""),44712.0)</f>
        <v>44712</v>
      </c>
      <c r="C1367" s="469">
        <f>IFERROR(__xludf.DUMMYFUNCTION("""COMPUTED_VALUE"""),0.34989583333333335)</f>
        <v>0.3498958333</v>
      </c>
      <c r="D1367" s="103" t="str">
        <f>IFERROR(__xludf.DUMMYFUNCTION("""COMPUTED_VALUE"""),"SpFLMP314549")</f>
        <v>SpFLMP314549</v>
      </c>
      <c r="E1367" s="103"/>
      <c r="F1367" s="103"/>
      <c r="G1367" s="103" t="str">
        <f>IFERROR(__xludf.DUMMYFUNCTION("""COMPUTED_VALUE"""),"Negative")</f>
        <v>Negative</v>
      </c>
      <c r="H1367" s="131" t="str">
        <f>IFERROR(__xludf.DUMMYFUNCTION("""COMPUTED_VALUE"""),"Negative")</f>
        <v>Negative</v>
      </c>
      <c r="I1367" s="468">
        <f>IFERROR(__xludf.DUMMYFUNCTION("""COMPUTED_VALUE"""),44712.0)</f>
        <v>44712</v>
      </c>
      <c r="J1367" s="470">
        <f>IFERROR(__xludf.DUMMYFUNCTION("""COMPUTED_VALUE"""),0.4717939814814815)</f>
        <v>0.4717939815</v>
      </c>
      <c r="K1367" s="16"/>
      <c r="L1367" s="8"/>
      <c r="M1367" s="69"/>
      <c r="N1367" s="69">
        <f>IFERROR(__xludf.DUMMYFUNCTION("""COMPUTED_VALUE"""),1.0)</f>
        <v>1</v>
      </c>
      <c r="O1367" s="69" t="str">
        <f t="shared" si="3"/>
        <v/>
      </c>
      <c r="P1367" s="471">
        <f>IFERROR(__xludf.DUMMYFUNCTION("""COMPUTED_VALUE"""),0.0)</f>
        <v>0</v>
      </c>
      <c r="Q1367" s="274" t="b">
        <f>VLOOKUP($B1367,'Run Reconcile'!B$2:O2488,14,FALSE)</f>
        <v>1</v>
      </c>
      <c r="R1367" s="472" t="str">
        <f t="array" ref="R1367">IF($Q1367, INDEX('Run Reconcile'!A$2:A2488,MATCH(B1367,'Run Reconcile'!B$2:B2488,0),1),IFERROR(0/0,""))</f>
        <v>RUN-FLMP_2022-05-31_RFR-150</v>
      </c>
      <c r="S1367" s="473" t="str">
        <f t="shared" si="694"/>
        <v/>
      </c>
      <c r="T1367" s="473" t="str">
        <f t="shared" si="698"/>
        <v/>
      </c>
      <c r="U1367" s="275" t="str">
        <f t="array" ref="U1367">IF(ISBLANK($R1367), INDEX('Run Reconcile'!A$2:A2488, MATCH($B1367, 'Run Reconcile'!B$2:B2488, 0)+Z1367, 1), IFERROR(0/0,""))
</f>
        <v/>
      </c>
      <c r="V1367" s="474" t="str">
        <f t="shared" si="5"/>
        <v>RUN-FLMP_2022-05-31_RFR-150</v>
      </c>
      <c r="Y1367" s="89" t="str">
        <f t="shared" si="1719"/>
        <v/>
      </c>
      <c r="Z1367" s="60" t="str">
        <f t="shared" si="7"/>
        <v/>
      </c>
      <c r="AA1367" s="60" t="str">
        <f t="shared" si="8"/>
        <v/>
      </c>
      <c r="AB1367" s="60" t="str">
        <f t="shared" si="9"/>
        <v/>
      </c>
      <c r="AC1367" s="30" t="str">
        <f t="shared" ref="AC1367:AD1367" si="1727">IF(_xlfn.ISFORMULA(S1367),IFERROR(0/0,""),TRUE)</f>
        <v/>
      </c>
      <c r="AD1367" s="30" t="str">
        <f t="shared" si="1727"/>
        <v/>
      </c>
      <c r="AE1367" s="475" t="str">
        <f>IFERROR(__xludf.DUMMYFUNCTION("""COMPUTED_VALUE"""),"CRLN")</f>
        <v>CRLN</v>
      </c>
      <c r="AF1367" s="476"/>
      <c r="AG1367" s="474" t="s">
        <v>225</v>
      </c>
      <c r="AH1367" s="138" t="str">
        <f t="shared" si="11"/>
        <v/>
      </c>
    </row>
    <row r="1368">
      <c r="A1368" s="103" t="str">
        <f>IFERROR(__xludf.DUMMYFUNCTION("""COMPUTED_VALUE"""),"AK6792")</f>
        <v>AK6792</v>
      </c>
      <c r="B1368" s="468">
        <f>IFERROR(__xludf.DUMMYFUNCTION("""COMPUTED_VALUE"""),44712.0)</f>
        <v>44712</v>
      </c>
      <c r="C1368" s="469">
        <f>IFERROR(__xludf.DUMMYFUNCTION("""COMPUTED_VALUE"""),0.3523611111111111)</f>
        <v>0.3523611111</v>
      </c>
      <c r="D1368" s="103" t="str">
        <f>IFERROR(__xludf.DUMMYFUNCTION("""COMPUTED_VALUE"""),"SpFLMP683385")</f>
        <v>SpFLMP683385</v>
      </c>
      <c r="E1368" s="103"/>
      <c r="F1368" s="103"/>
      <c r="G1368" s="103" t="str">
        <f>IFERROR(__xludf.DUMMYFUNCTION("""COMPUTED_VALUE"""),"Negative")</f>
        <v>Negative</v>
      </c>
      <c r="H1368" s="131" t="str">
        <f>IFERROR(__xludf.DUMMYFUNCTION("""COMPUTED_VALUE"""),"Negative")</f>
        <v>Negative</v>
      </c>
      <c r="I1368" s="468">
        <f>IFERROR(__xludf.DUMMYFUNCTION("""COMPUTED_VALUE"""),44712.0)</f>
        <v>44712</v>
      </c>
      <c r="J1368" s="470">
        <f>IFERROR(__xludf.DUMMYFUNCTION("""COMPUTED_VALUE"""),0.4717939814814815)</f>
        <v>0.4717939815</v>
      </c>
      <c r="K1368" s="16"/>
      <c r="L1368" s="8"/>
      <c r="M1368" s="69"/>
      <c r="N1368" s="69">
        <f>IFERROR(__xludf.DUMMYFUNCTION("""COMPUTED_VALUE"""),4.0)</f>
        <v>4</v>
      </c>
      <c r="O1368" s="69" t="str">
        <f t="shared" si="3"/>
        <v/>
      </c>
      <c r="P1368" s="471">
        <f>IFERROR(__xludf.DUMMYFUNCTION("""COMPUTED_VALUE"""),0.0)</f>
        <v>0</v>
      </c>
      <c r="Q1368" s="274" t="b">
        <f>VLOOKUP($B1368,'Run Reconcile'!B$2:O2488,14,FALSE)</f>
        <v>1</v>
      </c>
      <c r="R1368" s="472" t="str">
        <f t="array" ref="R1368">IF($Q1368, INDEX('Run Reconcile'!A$2:A2488,MATCH(B1368,'Run Reconcile'!B$2:B2488,0),1),IFERROR(0/0,""))</f>
        <v>RUN-FLMP_2022-05-31_RFR-150</v>
      </c>
      <c r="S1368" s="473" t="str">
        <f t="shared" si="694"/>
        <v/>
      </c>
      <c r="T1368" s="473" t="str">
        <f t="shared" si="698"/>
        <v/>
      </c>
      <c r="U1368" s="275" t="str">
        <f t="array" ref="U1368">IF(ISBLANK($R1368), INDEX('Run Reconcile'!A$2:A2488, MATCH($B1368, 'Run Reconcile'!B$2:B2488, 0)+Z1368, 1), IFERROR(0/0,""))
</f>
        <v/>
      </c>
      <c r="V1368" s="474" t="str">
        <f t="shared" si="5"/>
        <v>RUN-FLMP_2022-05-31_RFR-150</v>
      </c>
      <c r="Y1368" s="89" t="str">
        <f t="shared" si="1719"/>
        <v/>
      </c>
      <c r="Z1368" s="60" t="str">
        <f t="shared" si="7"/>
        <v/>
      </c>
      <c r="AA1368" s="60" t="str">
        <f t="shared" si="8"/>
        <v/>
      </c>
      <c r="AB1368" s="60" t="str">
        <f t="shared" si="9"/>
        <v/>
      </c>
      <c r="AC1368" s="30" t="str">
        <f t="shared" ref="AC1368:AD1368" si="1728">IF(_xlfn.ISFORMULA(S1368),IFERROR(0/0,""),TRUE)</f>
        <v/>
      </c>
      <c r="AD1368" s="30" t="str">
        <f t="shared" si="1728"/>
        <v/>
      </c>
      <c r="AE1368" s="475" t="str">
        <f>IFERROR(__xludf.DUMMYFUNCTION("""COMPUTED_VALUE"""),"CRLN")</f>
        <v>CRLN</v>
      </c>
      <c r="AF1368" s="476"/>
      <c r="AG1368" s="474" t="s">
        <v>225</v>
      </c>
      <c r="AH1368" s="138" t="str">
        <f t="shared" si="11"/>
        <v/>
      </c>
    </row>
    <row r="1369">
      <c r="A1369" s="103" t="str">
        <f>IFERROR(__xludf.DUMMYFUNCTION("""COMPUTED_VALUE"""),"AG653")</f>
        <v>AG653</v>
      </c>
      <c r="B1369" s="468">
        <f>IFERROR(__xludf.DUMMYFUNCTION("""COMPUTED_VALUE"""),44712.0)</f>
        <v>44712</v>
      </c>
      <c r="C1369" s="469">
        <f>IFERROR(__xludf.DUMMYFUNCTION("""COMPUTED_VALUE"""),0.35715277777777776)</f>
        <v>0.3571527778</v>
      </c>
      <c r="D1369" s="103" t="str">
        <f>IFERROR(__xludf.DUMMYFUNCTION("""COMPUTED_VALUE"""),"SpFLMP939619")</f>
        <v>SpFLMP939619</v>
      </c>
      <c r="E1369" s="103"/>
      <c r="F1369" s="103"/>
      <c r="G1369" s="103" t="str">
        <f>IFERROR(__xludf.DUMMYFUNCTION("""COMPUTED_VALUE"""),"Negative")</f>
        <v>Negative</v>
      </c>
      <c r="H1369" s="131" t="str">
        <f>IFERROR(__xludf.DUMMYFUNCTION("""COMPUTED_VALUE"""),"Negative")</f>
        <v>Negative</v>
      </c>
      <c r="I1369" s="468">
        <f>IFERROR(__xludf.DUMMYFUNCTION("""COMPUTED_VALUE"""),44712.0)</f>
        <v>44712</v>
      </c>
      <c r="J1369" s="470">
        <f>IFERROR(__xludf.DUMMYFUNCTION("""COMPUTED_VALUE"""),0.47180555555555553)</f>
        <v>0.4718055556</v>
      </c>
      <c r="K1369" s="16"/>
      <c r="L1369" s="8"/>
      <c r="M1369" s="69"/>
      <c r="N1369" s="69">
        <f>IFERROR(__xludf.DUMMYFUNCTION("""COMPUTED_VALUE"""),1.0)</f>
        <v>1</v>
      </c>
      <c r="O1369" s="69" t="str">
        <f t="shared" si="3"/>
        <v/>
      </c>
      <c r="P1369" s="471">
        <f>IFERROR(__xludf.DUMMYFUNCTION("""COMPUTED_VALUE"""),0.0)</f>
        <v>0</v>
      </c>
      <c r="Q1369" s="274" t="b">
        <f>VLOOKUP($B1369,'Run Reconcile'!B$2:O2488,14,FALSE)</f>
        <v>1</v>
      </c>
      <c r="R1369" s="472" t="str">
        <f t="array" ref="R1369">IF($Q1369, INDEX('Run Reconcile'!A$2:A2488,MATCH(B1369,'Run Reconcile'!B$2:B2488,0),1),IFERROR(0/0,""))</f>
        <v>RUN-FLMP_2022-05-31_RFR-150</v>
      </c>
      <c r="S1369" s="473" t="str">
        <f t="shared" si="694"/>
        <v/>
      </c>
      <c r="T1369" s="473" t="str">
        <f t="shared" si="698"/>
        <v/>
      </c>
      <c r="U1369" s="275" t="str">
        <f t="array" ref="U1369">IF(ISBLANK($R1369), INDEX('Run Reconcile'!A$2:A2488, MATCH($B1369, 'Run Reconcile'!B$2:B2488, 0)+Z1369, 1), IFERROR(0/0,""))
</f>
        <v/>
      </c>
      <c r="V1369" s="474" t="str">
        <f t="shared" si="5"/>
        <v>RUN-FLMP_2022-05-31_RFR-150</v>
      </c>
      <c r="Y1369" s="89" t="str">
        <f t="shared" si="1719"/>
        <v/>
      </c>
      <c r="Z1369" s="60" t="str">
        <f t="shared" si="7"/>
        <v/>
      </c>
      <c r="AA1369" s="60" t="str">
        <f t="shared" si="8"/>
        <v/>
      </c>
      <c r="AB1369" s="60" t="str">
        <f t="shared" si="9"/>
        <v/>
      </c>
      <c r="AC1369" s="30" t="str">
        <f t="shared" ref="AC1369:AD1369" si="1729">IF(_xlfn.ISFORMULA(S1369),IFERROR(0/0,""),TRUE)</f>
        <v/>
      </c>
      <c r="AD1369" s="30" t="str">
        <f t="shared" si="1729"/>
        <v/>
      </c>
      <c r="AE1369" s="475" t="str">
        <f>IFERROR(__xludf.DUMMYFUNCTION("""COMPUTED_VALUE"""),"CRLN")</f>
        <v>CRLN</v>
      </c>
      <c r="AF1369" s="476"/>
      <c r="AG1369" s="474" t="s">
        <v>225</v>
      </c>
      <c r="AH1369" s="138" t="str">
        <f t="shared" si="11"/>
        <v/>
      </c>
    </row>
    <row r="1370">
      <c r="A1370" s="103" t="str">
        <f>IFERROR(__xludf.DUMMYFUNCTION("""COMPUTED_VALUE"""),"FLE268")</f>
        <v>FLE268</v>
      </c>
      <c r="B1370" s="468">
        <f>IFERROR(__xludf.DUMMYFUNCTION("""COMPUTED_VALUE"""),44712.0)</f>
        <v>44712</v>
      </c>
      <c r="C1370" s="469">
        <f>IFERROR(__xludf.DUMMYFUNCTION("""COMPUTED_VALUE"""),0.36429398148148145)</f>
        <v>0.3642939815</v>
      </c>
      <c r="D1370" s="103" t="str">
        <f>IFERROR(__xludf.DUMMYFUNCTION("""COMPUTED_VALUE"""),"SpFLMP684798")</f>
        <v>SpFLMP684798</v>
      </c>
      <c r="E1370" s="103"/>
      <c r="F1370" s="103"/>
      <c r="G1370" s="103" t="str">
        <f>IFERROR(__xludf.DUMMYFUNCTION("""COMPUTED_VALUE"""),"Negative")</f>
        <v>Negative</v>
      </c>
      <c r="H1370" s="131" t="str">
        <f>IFERROR(__xludf.DUMMYFUNCTION("""COMPUTED_VALUE"""),"Negative")</f>
        <v>Negative</v>
      </c>
      <c r="I1370" s="468">
        <f>IFERROR(__xludf.DUMMYFUNCTION("""COMPUTED_VALUE"""),44712.0)</f>
        <v>44712</v>
      </c>
      <c r="J1370" s="470">
        <f>IFERROR(__xludf.DUMMYFUNCTION("""COMPUTED_VALUE"""),0.47180555555555553)</f>
        <v>0.4718055556</v>
      </c>
      <c r="K1370" s="16"/>
      <c r="L1370" s="8"/>
      <c r="M1370" s="69"/>
      <c r="N1370" s="69">
        <f>IFERROR(__xludf.DUMMYFUNCTION("""COMPUTED_VALUE"""),4.0)</f>
        <v>4</v>
      </c>
      <c r="O1370" s="69" t="str">
        <f t="shared" si="3"/>
        <v/>
      </c>
      <c r="P1370" s="471">
        <f>IFERROR(__xludf.DUMMYFUNCTION("""COMPUTED_VALUE"""),0.0)</f>
        <v>0</v>
      </c>
      <c r="Q1370" s="274" t="b">
        <f>VLOOKUP($B1370,'Run Reconcile'!B$2:O2488,14,FALSE)</f>
        <v>1</v>
      </c>
      <c r="R1370" s="472" t="str">
        <f t="array" ref="R1370">IF($Q1370, INDEX('Run Reconcile'!A$2:A2488,MATCH(B1370,'Run Reconcile'!B$2:B2488,0),1),IFERROR(0/0,""))</f>
        <v>RUN-FLMP_2022-05-31_RFR-150</v>
      </c>
      <c r="S1370" s="473" t="str">
        <f t="shared" si="694"/>
        <v/>
      </c>
      <c r="T1370" s="473" t="str">
        <f t="shared" si="698"/>
        <v/>
      </c>
      <c r="U1370" s="275" t="str">
        <f t="array" ref="U1370">IF(ISBLANK($R1370), INDEX('Run Reconcile'!A$2:A2488, MATCH($B1370, 'Run Reconcile'!B$2:B2488, 0)+Z1370, 1), IFERROR(0/0,""))
</f>
        <v/>
      </c>
      <c r="V1370" s="474" t="str">
        <f t="shared" si="5"/>
        <v>RUN-FLMP_2022-05-31_RFR-150</v>
      </c>
      <c r="Y1370" s="89" t="str">
        <f t="shared" si="1719"/>
        <v/>
      </c>
      <c r="Z1370" s="60" t="str">
        <f t="shared" si="7"/>
        <v/>
      </c>
      <c r="AA1370" s="60" t="str">
        <f t="shared" si="8"/>
        <v/>
      </c>
      <c r="AB1370" s="60" t="str">
        <f t="shared" si="9"/>
        <v/>
      </c>
      <c r="AC1370" s="30" t="str">
        <f t="shared" ref="AC1370:AD1370" si="1730">IF(_xlfn.ISFORMULA(S1370),IFERROR(0/0,""),TRUE)</f>
        <v/>
      </c>
      <c r="AD1370" s="30" t="str">
        <f t="shared" si="1730"/>
        <v/>
      </c>
      <c r="AE1370" s="475" t="str">
        <f>IFERROR(__xludf.DUMMYFUNCTION("""COMPUTED_VALUE"""),"CRLN")</f>
        <v>CRLN</v>
      </c>
      <c r="AF1370" s="476"/>
      <c r="AG1370" s="474" t="s">
        <v>225</v>
      </c>
      <c r="AH1370" s="138" t="str">
        <f t="shared" si="11"/>
        <v/>
      </c>
    </row>
    <row r="1371">
      <c r="A1371" s="103" t="str">
        <f>IFERROR(__xludf.DUMMYFUNCTION("""COMPUTED_VALUE"""),"AJ8274")</f>
        <v>AJ8274</v>
      </c>
      <c r="B1371" s="468">
        <f>IFERROR(__xludf.DUMMYFUNCTION("""COMPUTED_VALUE"""),44712.0)</f>
        <v>44712</v>
      </c>
      <c r="C1371" s="469">
        <f>IFERROR(__xludf.DUMMYFUNCTION("""COMPUTED_VALUE"""),0.36511574074074077)</f>
        <v>0.3651157407</v>
      </c>
      <c r="D1371" s="103" t="str">
        <f>IFERROR(__xludf.DUMMYFUNCTION("""COMPUTED_VALUE"""),"SpFLMP684798")</f>
        <v>SpFLMP684798</v>
      </c>
      <c r="E1371" s="103"/>
      <c r="F1371" s="103"/>
      <c r="G1371" s="103" t="str">
        <f>IFERROR(__xludf.DUMMYFUNCTION("""COMPUTED_VALUE"""),"Negative")</f>
        <v>Negative</v>
      </c>
      <c r="H1371" s="131" t="str">
        <f>IFERROR(__xludf.DUMMYFUNCTION("""COMPUTED_VALUE"""),"Negative")</f>
        <v>Negative</v>
      </c>
      <c r="I1371" s="468">
        <f>IFERROR(__xludf.DUMMYFUNCTION("""COMPUTED_VALUE"""),44712.0)</f>
        <v>44712</v>
      </c>
      <c r="J1371" s="470">
        <f>IFERROR(__xludf.DUMMYFUNCTION("""COMPUTED_VALUE"""),0.47180555555555553)</f>
        <v>0.4718055556</v>
      </c>
      <c r="K1371" s="16"/>
      <c r="L1371" s="8"/>
      <c r="M1371" s="69"/>
      <c r="N1371" s="69">
        <f>IFERROR(__xludf.DUMMYFUNCTION("""COMPUTED_VALUE"""),3.0)</f>
        <v>3</v>
      </c>
      <c r="O1371" s="69" t="str">
        <f t="shared" si="3"/>
        <v/>
      </c>
      <c r="P1371" s="471">
        <f>IFERROR(__xludf.DUMMYFUNCTION("""COMPUTED_VALUE"""),0.0)</f>
        <v>0</v>
      </c>
      <c r="Q1371" s="274" t="b">
        <f>VLOOKUP($B1371,'Run Reconcile'!B$2:O2488,14,FALSE)</f>
        <v>1</v>
      </c>
      <c r="R1371" s="472" t="str">
        <f t="array" ref="R1371">IF($Q1371, INDEX('Run Reconcile'!A$2:A2488,MATCH(B1371,'Run Reconcile'!B$2:B2488,0),1),IFERROR(0/0,""))</f>
        <v>RUN-FLMP_2022-05-31_RFR-150</v>
      </c>
      <c r="S1371" s="473" t="str">
        <f t="shared" si="694"/>
        <v/>
      </c>
      <c r="T1371" s="473" t="str">
        <f t="shared" si="698"/>
        <v/>
      </c>
      <c r="U1371" s="275" t="str">
        <f t="array" ref="U1371">IF(ISBLANK($R1371), INDEX('Run Reconcile'!A$2:A2488, MATCH($B1371, 'Run Reconcile'!B$2:B2488, 0)+Z1371, 1), IFERROR(0/0,""))
</f>
        <v/>
      </c>
      <c r="V1371" s="474" t="str">
        <f t="shared" si="5"/>
        <v>RUN-FLMP_2022-05-31_RFR-150</v>
      </c>
      <c r="Y1371" s="89" t="str">
        <f t="shared" si="1719"/>
        <v/>
      </c>
      <c r="Z1371" s="60" t="str">
        <f t="shared" si="7"/>
        <v/>
      </c>
      <c r="AA1371" s="60" t="str">
        <f t="shared" si="8"/>
        <v/>
      </c>
      <c r="AB1371" s="60" t="str">
        <f t="shared" si="9"/>
        <v/>
      </c>
      <c r="AC1371" s="30" t="str">
        <f t="shared" ref="AC1371:AD1371" si="1731">IF(_xlfn.ISFORMULA(S1371),IFERROR(0/0,""),TRUE)</f>
        <v/>
      </c>
      <c r="AD1371" s="30" t="str">
        <f t="shared" si="1731"/>
        <v/>
      </c>
      <c r="AE1371" s="475" t="str">
        <f>IFERROR(__xludf.DUMMYFUNCTION("""COMPUTED_VALUE"""),"CRLN")</f>
        <v>CRLN</v>
      </c>
      <c r="AF1371" s="476"/>
      <c r="AG1371" s="474" t="s">
        <v>225</v>
      </c>
      <c r="AH1371" s="138" t="str">
        <f t="shared" si="11"/>
        <v/>
      </c>
    </row>
    <row r="1372">
      <c r="A1372" s="103" t="str">
        <f>IFERROR(__xludf.DUMMYFUNCTION("""COMPUTED_VALUE"""),"AJ9498")</f>
        <v>AJ9498</v>
      </c>
      <c r="B1372" s="468">
        <f>IFERROR(__xludf.DUMMYFUNCTION("""COMPUTED_VALUE"""),44712.0)</f>
        <v>44712</v>
      </c>
      <c r="C1372" s="469">
        <f>IFERROR(__xludf.DUMMYFUNCTION("""COMPUTED_VALUE"""),0.365787037037037)</f>
        <v>0.365787037</v>
      </c>
      <c r="D1372" s="103" t="str">
        <f>IFERROR(__xludf.DUMMYFUNCTION("""COMPUTED_VALUE"""),"SpFLMP684798")</f>
        <v>SpFLMP684798</v>
      </c>
      <c r="E1372" s="103"/>
      <c r="F1372" s="103"/>
      <c r="G1372" s="103" t="str">
        <f>IFERROR(__xludf.DUMMYFUNCTION("""COMPUTED_VALUE"""),"Negative")</f>
        <v>Negative</v>
      </c>
      <c r="H1372" s="131" t="str">
        <f>IFERROR(__xludf.DUMMYFUNCTION("""COMPUTED_VALUE"""),"Negative")</f>
        <v>Negative</v>
      </c>
      <c r="I1372" s="468">
        <f>IFERROR(__xludf.DUMMYFUNCTION("""COMPUTED_VALUE"""),44712.0)</f>
        <v>44712</v>
      </c>
      <c r="J1372" s="470">
        <f>IFERROR(__xludf.DUMMYFUNCTION("""COMPUTED_VALUE"""),0.47180555555555553)</f>
        <v>0.4718055556</v>
      </c>
      <c r="K1372" s="16"/>
      <c r="L1372" s="8"/>
      <c r="M1372" s="69"/>
      <c r="N1372" s="69">
        <f>IFERROR(__xludf.DUMMYFUNCTION("""COMPUTED_VALUE"""),2.0)</f>
        <v>2</v>
      </c>
      <c r="O1372" s="69" t="str">
        <f t="shared" si="3"/>
        <v/>
      </c>
      <c r="P1372" s="471">
        <f>IFERROR(__xludf.DUMMYFUNCTION("""COMPUTED_VALUE"""),0.0)</f>
        <v>0</v>
      </c>
      <c r="Q1372" s="274" t="b">
        <f>VLOOKUP($B1372,'Run Reconcile'!B$2:O2488,14,FALSE)</f>
        <v>1</v>
      </c>
      <c r="R1372" s="472" t="str">
        <f t="array" ref="R1372">IF($Q1372, INDEX('Run Reconcile'!A$2:A2488,MATCH(B1372,'Run Reconcile'!B$2:B2488,0),1),IFERROR(0/0,""))</f>
        <v>RUN-FLMP_2022-05-31_RFR-150</v>
      </c>
      <c r="S1372" s="473" t="str">
        <f t="shared" si="694"/>
        <v/>
      </c>
      <c r="T1372" s="473" t="str">
        <f t="shared" si="698"/>
        <v/>
      </c>
      <c r="U1372" s="275" t="str">
        <f t="array" ref="U1372">IF(ISBLANK($R1372), INDEX('Run Reconcile'!A$2:A2488, MATCH($B1372, 'Run Reconcile'!B$2:B2488, 0)+Z1372, 1), IFERROR(0/0,""))
</f>
        <v/>
      </c>
      <c r="V1372" s="474" t="str">
        <f t="shared" si="5"/>
        <v>RUN-FLMP_2022-05-31_RFR-150</v>
      </c>
      <c r="Y1372" s="89" t="str">
        <f t="shared" si="1719"/>
        <v/>
      </c>
      <c r="Z1372" s="60" t="str">
        <f t="shared" si="7"/>
        <v/>
      </c>
      <c r="AA1372" s="60" t="str">
        <f t="shared" si="8"/>
        <v/>
      </c>
      <c r="AB1372" s="60" t="str">
        <f t="shared" si="9"/>
        <v/>
      </c>
      <c r="AC1372" s="30" t="str">
        <f t="shared" ref="AC1372:AD1372" si="1732">IF(_xlfn.ISFORMULA(S1372),IFERROR(0/0,""),TRUE)</f>
        <v/>
      </c>
      <c r="AD1372" s="30" t="str">
        <f t="shared" si="1732"/>
        <v/>
      </c>
      <c r="AE1372" s="475" t="str">
        <f>IFERROR(__xludf.DUMMYFUNCTION("""COMPUTED_VALUE"""),"CRLN")</f>
        <v>CRLN</v>
      </c>
      <c r="AF1372" s="476"/>
      <c r="AG1372" s="474" t="s">
        <v>225</v>
      </c>
      <c r="AH1372" s="138" t="str">
        <f t="shared" si="11"/>
        <v/>
      </c>
    </row>
    <row r="1373">
      <c r="A1373" s="103" t="str">
        <f>IFERROR(__xludf.DUMMYFUNCTION("""COMPUTED_VALUE"""),"AH631")</f>
        <v>AH631</v>
      </c>
      <c r="B1373" s="468">
        <f>IFERROR(__xludf.DUMMYFUNCTION("""COMPUTED_VALUE"""),44712.0)</f>
        <v>44712</v>
      </c>
      <c r="C1373" s="469">
        <f>IFERROR(__xludf.DUMMYFUNCTION("""COMPUTED_VALUE"""),0.36648148148148146)</f>
        <v>0.3664814815</v>
      </c>
      <c r="D1373" s="103" t="str">
        <f>IFERROR(__xludf.DUMMYFUNCTION("""COMPUTED_VALUE"""),"SpFLMP496039")</f>
        <v>SpFLMP496039</v>
      </c>
      <c r="E1373" s="103"/>
      <c r="F1373" s="103"/>
      <c r="G1373" s="103" t="str">
        <f>IFERROR(__xludf.DUMMYFUNCTION("""COMPUTED_VALUE"""),"Negative")</f>
        <v>Negative</v>
      </c>
      <c r="H1373" s="131" t="str">
        <f>IFERROR(__xludf.DUMMYFUNCTION("""COMPUTED_VALUE"""),"Negative")</f>
        <v>Negative</v>
      </c>
      <c r="I1373" s="468">
        <f>IFERROR(__xludf.DUMMYFUNCTION("""COMPUTED_VALUE"""),44712.0)</f>
        <v>44712</v>
      </c>
      <c r="J1373" s="470">
        <f>IFERROR(__xludf.DUMMYFUNCTION("""COMPUTED_VALUE"""),0.47180555555555553)</f>
        <v>0.4718055556</v>
      </c>
      <c r="K1373" s="16"/>
      <c r="L1373" s="8"/>
      <c r="M1373" s="69"/>
      <c r="N1373" s="69">
        <f>IFERROR(__xludf.DUMMYFUNCTION("""COMPUTED_VALUE"""),1.0)</f>
        <v>1</v>
      </c>
      <c r="O1373" s="69" t="str">
        <f t="shared" si="3"/>
        <v/>
      </c>
      <c r="P1373" s="471">
        <f>IFERROR(__xludf.DUMMYFUNCTION("""COMPUTED_VALUE"""),0.0)</f>
        <v>0</v>
      </c>
      <c r="Q1373" s="274" t="b">
        <f>VLOOKUP($B1373,'Run Reconcile'!B$2:O2488,14,FALSE)</f>
        <v>1</v>
      </c>
      <c r="R1373" s="472" t="str">
        <f t="array" ref="R1373">IF($Q1373, INDEX('Run Reconcile'!A$2:A2488,MATCH(B1373,'Run Reconcile'!B$2:B2488,0),1),IFERROR(0/0,""))</f>
        <v>RUN-FLMP_2022-05-31_RFR-150</v>
      </c>
      <c r="S1373" s="473" t="str">
        <f t="shared" si="694"/>
        <v/>
      </c>
      <c r="T1373" s="473" t="str">
        <f t="shared" si="698"/>
        <v/>
      </c>
      <c r="U1373" s="275" t="str">
        <f t="array" ref="U1373">IF(ISBLANK($R1373), INDEX('Run Reconcile'!A$2:A2488, MATCH($B1373, 'Run Reconcile'!B$2:B2488, 0)+Z1373, 1), IFERROR(0/0,""))
</f>
        <v/>
      </c>
      <c r="V1373" s="474" t="str">
        <f t="shared" si="5"/>
        <v>RUN-FLMP_2022-05-31_RFR-150</v>
      </c>
      <c r="Y1373" s="89" t="str">
        <f t="shared" si="1719"/>
        <v/>
      </c>
      <c r="Z1373" s="60" t="str">
        <f t="shared" si="7"/>
        <v/>
      </c>
      <c r="AA1373" s="60" t="str">
        <f t="shared" si="8"/>
        <v/>
      </c>
      <c r="AB1373" s="60" t="str">
        <f t="shared" si="9"/>
        <v/>
      </c>
      <c r="AC1373" s="30" t="str">
        <f t="shared" ref="AC1373:AD1373" si="1733">IF(_xlfn.ISFORMULA(S1373),IFERROR(0/0,""),TRUE)</f>
        <v/>
      </c>
      <c r="AD1373" s="30" t="str">
        <f t="shared" si="1733"/>
        <v/>
      </c>
      <c r="AE1373" s="475" t="str">
        <f>IFERROR(__xludf.DUMMYFUNCTION("""COMPUTED_VALUE"""),"CRLN")</f>
        <v>CRLN</v>
      </c>
      <c r="AF1373" s="476"/>
      <c r="AG1373" s="474" t="s">
        <v>225</v>
      </c>
      <c r="AH1373" s="138" t="str">
        <f t="shared" si="11"/>
        <v/>
      </c>
    </row>
    <row r="1374">
      <c r="A1374" s="103" t="str">
        <f>IFERROR(__xludf.DUMMYFUNCTION("""COMPUTED_VALUE"""),"AG1598")</f>
        <v>AG1598</v>
      </c>
      <c r="B1374" s="468">
        <f>IFERROR(__xludf.DUMMYFUNCTION("""COMPUTED_VALUE"""),44712.0)</f>
        <v>44712</v>
      </c>
      <c r="C1374" s="469">
        <f>IFERROR(__xludf.DUMMYFUNCTION("""COMPUTED_VALUE"""),0.3693518518518519)</f>
        <v>0.3693518519</v>
      </c>
      <c r="D1374" s="103" t="str">
        <f>IFERROR(__xludf.DUMMYFUNCTION("""COMPUTED_VALUE"""),"SpFLMP125859")</f>
        <v>SpFLMP125859</v>
      </c>
      <c r="E1374" s="103"/>
      <c r="F1374" s="103"/>
      <c r="G1374" s="103" t="str">
        <f>IFERROR(__xludf.DUMMYFUNCTION("""COMPUTED_VALUE"""),"Negative")</f>
        <v>Negative</v>
      </c>
      <c r="H1374" s="131" t="str">
        <f>IFERROR(__xludf.DUMMYFUNCTION("""COMPUTED_VALUE"""),"Negative")</f>
        <v>Negative</v>
      </c>
      <c r="I1374" s="468">
        <f>IFERROR(__xludf.DUMMYFUNCTION("""COMPUTED_VALUE"""),44712.0)</f>
        <v>44712</v>
      </c>
      <c r="J1374" s="470">
        <f>IFERROR(__xludf.DUMMYFUNCTION("""COMPUTED_VALUE"""),0.47180555555555553)</f>
        <v>0.4718055556</v>
      </c>
      <c r="K1374" s="16"/>
      <c r="L1374" s="8"/>
      <c r="M1374" s="69"/>
      <c r="N1374" s="69">
        <f>IFERROR(__xludf.DUMMYFUNCTION("""COMPUTED_VALUE"""),3.0)</f>
        <v>3</v>
      </c>
      <c r="O1374" s="69" t="str">
        <f t="shared" si="3"/>
        <v/>
      </c>
      <c r="P1374" s="471">
        <f>IFERROR(__xludf.DUMMYFUNCTION("""COMPUTED_VALUE"""),0.0)</f>
        <v>0</v>
      </c>
      <c r="Q1374" s="274" t="b">
        <f>VLOOKUP($B1374,'Run Reconcile'!B$2:O2488,14,FALSE)</f>
        <v>1</v>
      </c>
      <c r="R1374" s="472" t="str">
        <f t="array" ref="R1374">IF($Q1374, INDEX('Run Reconcile'!A$2:A2488,MATCH(B1374,'Run Reconcile'!B$2:B2488,0),1),IFERROR(0/0,""))</f>
        <v>RUN-FLMP_2022-05-31_RFR-150</v>
      </c>
      <c r="S1374" s="473" t="str">
        <f t="shared" si="694"/>
        <v/>
      </c>
      <c r="T1374" s="473" t="str">
        <f t="shared" si="698"/>
        <v/>
      </c>
      <c r="U1374" s="275" t="str">
        <f t="array" ref="U1374">IF(ISBLANK($R1374), INDEX('Run Reconcile'!A$2:A2488, MATCH($B1374, 'Run Reconcile'!B$2:B2488, 0)+Z1374, 1), IFERROR(0/0,""))
</f>
        <v/>
      </c>
      <c r="V1374" s="474" t="str">
        <f t="shared" si="5"/>
        <v>RUN-FLMP_2022-05-31_RFR-150</v>
      </c>
      <c r="Y1374" s="89" t="str">
        <f t="shared" si="1719"/>
        <v/>
      </c>
      <c r="Z1374" s="60" t="str">
        <f t="shared" si="7"/>
        <v/>
      </c>
      <c r="AA1374" s="60" t="str">
        <f t="shared" si="8"/>
        <v/>
      </c>
      <c r="AB1374" s="60" t="str">
        <f t="shared" si="9"/>
        <v/>
      </c>
      <c r="AC1374" s="30" t="str">
        <f t="shared" ref="AC1374:AD1374" si="1734">IF(_xlfn.ISFORMULA(S1374),IFERROR(0/0,""),TRUE)</f>
        <v/>
      </c>
      <c r="AD1374" s="30" t="str">
        <f t="shared" si="1734"/>
        <v/>
      </c>
      <c r="AE1374" s="475" t="str">
        <f>IFERROR(__xludf.DUMMYFUNCTION("""COMPUTED_VALUE"""),"CRLN")</f>
        <v>CRLN</v>
      </c>
      <c r="AF1374" s="476"/>
      <c r="AG1374" s="474" t="s">
        <v>225</v>
      </c>
      <c r="AH1374" s="138" t="str">
        <f t="shared" si="11"/>
        <v/>
      </c>
    </row>
    <row r="1375">
      <c r="A1375" s="103" t="str">
        <f>IFERROR(__xludf.DUMMYFUNCTION("""COMPUTED_VALUE"""),"AJ4879")</f>
        <v>AJ4879</v>
      </c>
      <c r="B1375" s="468">
        <f>IFERROR(__xludf.DUMMYFUNCTION("""COMPUTED_VALUE"""),44712.0)</f>
        <v>44712</v>
      </c>
      <c r="C1375" s="469">
        <f>IFERROR(__xludf.DUMMYFUNCTION("""COMPUTED_VALUE"""),0.37302083333333336)</f>
        <v>0.3730208333</v>
      </c>
      <c r="D1375" s="103" t="str">
        <f>IFERROR(__xludf.DUMMYFUNCTION("""COMPUTED_VALUE"""),"SpFLMP483153")</f>
        <v>SpFLMP483153</v>
      </c>
      <c r="E1375" s="103"/>
      <c r="F1375" s="103"/>
      <c r="G1375" s="103" t="str">
        <f>IFERROR(__xludf.DUMMYFUNCTION("""COMPUTED_VALUE"""),"Negative")</f>
        <v>Negative</v>
      </c>
      <c r="H1375" s="131" t="str">
        <f>IFERROR(__xludf.DUMMYFUNCTION("""COMPUTED_VALUE"""),"Negative")</f>
        <v>Negative</v>
      </c>
      <c r="I1375" s="468">
        <f>IFERROR(__xludf.DUMMYFUNCTION("""COMPUTED_VALUE"""),44712.0)</f>
        <v>44712</v>
      </c>
      <c r="J1375" s="470">
        <f>IFERROR(__xludf.DUMMYFUNCTION("""COMPUTED_VALUE"""),0.47180555555555553)</f>
        <v>0.4718055556</v>
      </c>
      <c r="K1375" s="16"/>
      <c r="L1375" s="8"/>
      <c r="M1375" s="69"/>
      <c r="N1375" s="69">
        <f>IFERROR(__xludf.DUMMYFUNCTION("""COMPUTED_VALUE"""),1.0)</f>
        <v>1</v>
      </c>
      <c r="O1375" s="69" t="str">
        <f t="shared" si="3"/>
        <v/>
      </c>
      <c r="P1375" s="471">
        <f>IFERROR(__xludf.DUMMYFUNCTION("""COMPUTED_VALUE"""),0.0)</f>
        <v>0</v>
      </c>
      <c r="Q1375" s="274" t="b">
        <f>VLOOKUP($B1375,'Run Reconcile'!B$2:O2488,14,FALSE)</f>
        <v>1</v>
      </c>
      <c r="R1375" s="472" t="str">
        <f t="array" ref="R1375">IF($Q1375, INDEX('Run Reconcile'!A$2:A2488,MATCH(B1375,'Run Reconcile'!B$2:B2488,0),1),IFERROR(0/0,""))</f>
        <v>RUN-FLMP_2022-05-31_RFR-150</v>
      </c>
      <c r="S1375" s="473" t="str">
        <f t="shared" si="694"/>
        <v/>
      </c>
      <c r="T1375" s="473" t="str">
        <f t="shared" si="698"/>
        <v/>
      </c>
      <c r="U1375" s="275" t="str">
        <f t="array" ref="U1375">IF(ISBLANK($R1375), INDEX('Run Reconcile'!A$2:A2488, MATCH($B1375, 'Run Reconcile'!B$2:B2488, 0)+Z1375, 1), IFERROR(0/0,""))
</f>
        <v/>
      </c>
      <c r="V1375" s="474" t="str">
        <f t="shared" si="5"/>
        <v>RUN-FLMP_2022-05-31_RFR-150</v>
      </c>
      <c r="Y1375" s="89" t="str">
        <f t="shared" si="1719"/>
        <v/>
      </c>
      <c r="Z1375" s="60" t="str">
        <f t="shared" si="7"/>
        <v/>
      </c>
      <c r="AA1375" s="60" t="str">
        <f t="shared" si="8"/>
        <v/>
      </c>
      <c r="AB1375" s="60" t="str">
        <f t="shared" si="9"/>
        <v/>
      </c>
      <c r="AC1375" s="30" t="str">
        <f t="shared" ref="AC1375:AD1375" si="1735">IF(_xlfn.ISFORMULA(S1375),IFERROR(0/0,""),TRUE)</f>
        <v/>
      </c>
      <c r="AD1375" s="30" t="str">
        <f t="shared" si="1735"/>
        <v/>
      </c>
      <c r="AE1375" s="475" t="str">
        <f>IFERROR(__xludf.DUMMYFUNCTION("""COMPUTED_VALUE"""),"CRLN")</f>
        <v>CRLN</v>
      </c>
      <c r="AF1375" s="476"/>
      <c r="AG1375" s="474" t="s">
        <v>225</v>
      </c>
      <c r="AH1375" s="138" t="str">
        <f t="shared" si="11"/>
        <v/>
      </c>
    </row>
    <row r="1376">
      <c r="A1376" s="103" t="str">
        <f>IFERROR(__xludf.DUMMYFUNCTION("""COMPUTED_VALUE"""),"AG1050")</f>
        <v>AG1050</v>
      </c>
      <c r="B1376" s="468">
        <f>IFERROR(__xludf.DUMMYFUNCTION("""COMPUTED_VALUE"""),44712.0)</f>
        <v>44712</v>
      </c>
      <c r="C1376" s="469">
        <f>IFERROR(__xludf.DUMMYFUNCTION("""COMPUTED_VALUE"""),0.37927083333333333)</f>
        <v>0.3792708333</v>
      </c>
      <c r="D1376" s="103" t="str">
        <f>IFERROR(__xludf.DUMMYFUNCTION("""COMPUTED_VALUE"""),"SpFLMP870846")</f>
        <v>SpFLMP870846</v>
      </c>
      <c r="E1376" s="103"/>
      <c r="F1376" s="103"/>
      <c r="G1376" s="103" t="str">
        <f>IFERROR(__xludf.DUMMYFUNCTION("""COMPUTED_VALUE"""),"Negative")</f>
        <v>Negative</v>
      </c>
      <c r="H1376" s="131" t="str">
        <f>IFERROR(__xludf.DUMMYFUNCTION("""COMPUTED_VALUE"""),"Negative")</f>
        <v>Negative</v>
      </c>
      <c r="I1376" s="468">
        <f>IFERROR(__xludf.DUMMYFUNCTION("""COMPUTED_VALUE"""),44805.0)</f>
        <v>44805</v>
      </c>
      <c r="J1376" s="470">
        <f>IFERROR(__xludf.DUMMYFUNCTION("""COMPUTED_VALUE"""),0.7214351851851852)</f>
        <v>0.7214351852</v>
      </c>
      <c r="K1376" s="16"/>
      <c r="L1376" s="8"/>
      <c r="M1376" s="69"/>
      <c r="N1376" s="69">
        <f>IFERROR(__xludf.DUMMYFUNCTION("""COMPUTED_VALUE"""),2.0)</f>
        <v>2</v>
      </c>
      <c r="O1376" s="69" t="str">
        <f t="shared" si="3"/>
        <v/>
      </c>
      <c r="P1376" s="471">
        <f>IFERROR(__xludf.DUMMYFUNCTION("""COMPUTED_VALUE"""),93.0)</f>
        <v>93</v>
      </c>
      <c r="Q1376" s="274" t="b">
        <f>VLOOKUP($B1376,'Run Reconcile'!B$2:O2488,14,FALSE)</f>
        <v>1</v>
      </c>
      <c r="R1376" s="472" t="str">
        <f t="array" ref="R1376">IF($Q1376, INDEX('Run Reconcile'!A$2:A2488,MATCH(B1376,'Run Reconcile'!B$2:B2488,0),1),IFERROR(0/0,""))</f>
        <v>RUN-FLMP_2022-05-31_RFR-150</v>
      </c>
      <c r="S1376" s="473" t="str">
        <f t="shared" si="694"/>
        <v/>
      </c>
      <c r="T1376" s="473" t="str">
        <f t="shared" si="698"/>
        <v/>
      </c>
      <c r="U1376" s="275" t="str">
        <f t="array" ref="U1376">IF(ISBLANK($R1376), INDEX('Run Reconcile'!A$2:A2488, MATCH($B1376, 'Run Reconcile'!B$2:B2488, 0)+Z1376, 1), IFERROR(0/0,""))
</f>
        <v/>
      </c>
      <c r="V1376" s="474" t="str">
        <f t="shared" si="5"/>
        <v>RUN-FLMP_2022-05-31_RFR-150</v>
      </c>
      <c r="Y1376" s="89" t="str">
        <f t="shared" si="1719"/>
        <v/>
      </c>
      <c r="Z1376" s="60" t="str">
        <f t="shared" si="7"/>
        <v/>
      </c>
      <c r="AA1376" s="60" t="str">
        <f t="shared" si="8"/>
        <v/>
      </c>
      <c r="AB1376" s="60" t="str">
        <f t="shared" si="9"/>
        <v/>
      </c>
      <c r="AC1376" s="30" t="str">
        <f t="shared" ref="AC1376:AD1376" si="1736">IF(_xlfn.ISFORMULA(S1376),IFERROR(0/0,""),TRUE)</f>
        <v/>
      </c>
      <c r="AD1376" s="30" t="str">
        <f t="shared" si="1736"/>
        <v/>
      </c>
      <c r="AE1376" s="475" t="str">
        <f>IFERROR(__xludf.DUMMYFUNCTION("""COMPUTED_VALUE"""),"FLSP")</f>
        <v>FLSP</v>
      </c>
      <c r="AF1376" s="476"/>
      <c r="AG1376" s="474" t="s">
        <v>225</v>
      </c>
      <c r="AH1376" s="138" t="str">
        <f t="shared" si="11"/>
        <v/>
      </c>
    </row>
    <row r="1377">
      <c r="A1377" s="103" t="str">
        <f>IFERROR(__xludf.DUMMYFUNCTION("""COMPUTED_VALUE"""),"AG2002")</f>
        <v>AG2002</v>
      </c>
      <c r="B1377" s="468">
        <f>IFERROR(__xludf.DUMMYFUNCTION("""COMPUTED_VALUE"""),44712.0)</f>
        <v>44712</v>
      </c>
      <c r="C1377" s="469">
        <f>IFERROR(__xludf.DUMMYFUNCTION("""COMPUTED_VALUE"""),0.3795601851851852)</f>
        <v>0.3795601852</v>
      </c>
      <c r="D1377" s="103" t="str">
        <f>IFERROR(__xludf.DUMMYFUNCTION("""COMPUTED_VALUE"""),"SpFLMP870846")</f>
        <v>SpFLMP870846</v>
      </c>
      <c r="E1377" s="103"/>
      <c r="F1377" s="103"/>
      <c r="G1377" s="103" t="str">
        <f>IFERROR(__xludf.DUMMYFUNCTION("""COMPUTED_VALUE"""),"Negative")</f>
        <v>Negative</v>
      </c>
      <c r="H1377" s="131" t="str">
        <f>IFERROR(__xludf.DUMMYFUNCTION("""COMPUTED_VALUE"""),"Negative")</f>
        <v>Negative</v>
      </c>
      <c r="I1377" s="468">
        <f>IFERROR(__xludf.DUMMYFUNCTION("""COMPUTED_VALUE"""),44712.0)</f>
        <v>44712</v>
      </c>
      <c r="J1377" s="470">
        <f>IFERROR(__xludf.DUMMYFUNCTION("""COMPUTED_VALUE"""),0.47181712962962963)</f>
        <v>0.4718171296</v>
      </c>
      <c r="K1377" s="16"/>
      <c r="L1377" s="8"/>
      <c r="M1377" s="69"/>
      <c r="N1377" s="69">
        <f>IFERROR(__xludf.DUMMYFUNCTION("""COMPUTED_VALUE"""),1.0)</f>
        <v>1</v>
      </c>
      <c r="O1377" s="69" t="str">
        <f t="shared" si="3"/>
        <v/>
      </c>
      <c r="P1377" s="471">
        <f>IFERROR(__xludf.DUMMYFUNCTION("""COMPUTED_VALUE"""),0.0)</f>
        <v>0</v>
      </c>
      <c r="Q1377" s="274" t="b">
        <f>VLOOKUP($B1377,'Run Reconcile'!B$2:O2488,14,FALSE)</f>
        <v>1</v>
      </c>
      <c r="R1377" s="472" t="str">
        <f t="array" ref="R1377">IF($Q1377, INDEX('Run Reconcile'!A$2:A2488,MATCH(B1377,'Run Reconcile'!B$2:B2488,0),1),IFERROR(0/0,""))</f>
        <v>RUN-FLMP_2022-05-31_RFR-150</v>
      </c>
      <c r="S1377" s="473" t="str">
        <f t="shared" si="694"/>
        <v/>
      </c>
      <c r="T1377" s="473" t="str">
        <f t="shared" si="698"/>
        <v/>
      </c>
      <c r="U1377" s="275" t="str">
        <f t="array" ref="U1377">IF(ISBLANK($R1377), INDEX('Run Reconcile'!A$2:A2488, MATCH($B1377, 'Run Reconcile'!B$2:B2488, 0)+Z1377, 1), IFERROR(0/0,""))
</f>
        <v/>
      </c>
      <c r="V1377" s="474" t="str">
        <f t="shared" si="5"/>
        <v>RUN-FLMP_2022-05-31_RFR-150</v>
      </c>
      <c r="Y1377" s="89" t="str">
        <f t="shared" si="1719"/>
        <v/>
      </c>
      <c r="Z1377" s="60" t="str">
        <f t="shared" si="7"/>
        <v/>
      </c>
      <c r="AA1377" s="60" t="str">
        <f t="shared" si="8"/>
        <v/>
      </c>
      <c r="AB1377" s="60" t="str">
        <f t="shared" si="9"/>
        <v/>
      </c>
      <c r="AC1377" s="30" t="str">
        <f t="shared" ref="AC1377:AD1377" si="1737">IF(_xlfn.ISFORMULA(S1377),IFERROR(0/0,""),TRUE)</f>
        <v/>
      </c>
      <c r="AD1377" s="30" t="str">
        <f t="shared" si="1737"/>
        <v/>
      </c>
      <c r="AE1377" s="475" t="str">
        <f>IFERROR(__xludf.DUMMYFUNCTION("""COMPUTED_VALUE"""),"FLSP")</f>
        <v>FLSP</v>
      </c>
      <c r="AF1377" s="476"/>
      <c r="AG1377" s="474" t="s">
        <v>225</v>
      </c>
      <c r="AH1377" s="138" t="str">
        <f t="shared" si="11"/>
        <v/>
      </c>
    </row>
    <row r="1378">
      <c r="A1378" s="103" t="str">
        <f>IFERROR(__xludf.DUMMYFUNCTION("""COMPUTED_VALUE"""),"AG180")</f>
        <v>AG180</v>
      </c>
      <c r="B1378" s="468">
        <f>IFERROR(__xludf.DUMMYFUNCTION("""COMPUTED_VALUE"""),44712.0)</f>
        <v>44712</v>
      </c>
      <c r="C1378" s="469">
        <f>IFERROR(__xludf.DUMMYFUNCTION("""COMPUTED_VALUE"""),0.3808912037037037)</f>
        <v>0.3808912037</v>
      </c>
      <c r="D1378" s="103" t="str">
        <f>IFERROR(__xludf.DUMMYFUNCTION("""COMPUTED_VALUE"""),"SpFLMP684798")</f>
        <v>SpFLMP684798</v>
      </c>
      <c r="E1378" s="103"/>
      <c r="F1378" s="103"/>
      <c r="G1378" s="103" t="str">
        <f>IFERROR(__xludf.DUMMYFUNCTION("""COMPUTED_VALUE"""),"Negative")</f>
        <v>Negative</v>
      </c>
      <c r="H1378" s="131" t="str">
        <f>IFERROR(__xludf.DUMMYFUNCTION("""COMPUTED_VALUE"""),"Negative")</f>
        <v>Negative</v>
      </c>
      <c r="I1378" s="468">
        <f>IFERROR(__xludf.DUMMYFUNCTION("""COMPUTED_VALUE"""),44712.0)</f>
        <v>44712</v>
      </c>
      <c r="J1378" s="470">
        <f>IFERROR(__xludf.DUMMYFUNCTION("""COMPUTED_VALUE"""),0.4812268518518519)</f>
        <v>0.4812268519</v>
      </c>
      <c r="K1378" s="16"/>
      <c r="L1378" s="8"/>
      <c r="M1378" s="69"/>
      <c r="N1378" s="69">
        <f>IFERROR(__xludf.DUMMYFUNCTION("""COMPUTED_VALUE"""),2.0)</f>
        <v>2</v>
      </c>
      <c r="O1378" s="69" t="str">
        <f t="shared" si="3"/>
        <v/>
      </c>
      <c r="P1378" s="471">
        <f>IFERROR(__xludf.DUMMYFUNCTION("""COMPUTED_VALUE"""),0.0)</f>
        <v>0</v>
      </c>
      <c r="Q1378" s="274" t="b">
        <f>VLOOKUP($B1378,'Run Reconcile'!B$2:O2488,14,FALSE)</f>
        <v>1</v>
      </c>
      <c r="R1378" s="472" t="str">
        <f t="array" ref="R1378">IF($Q1378, INDEX('Run Reconcile'!A$2:A2488,MATCH(B1378,'Run Reconcile'!B$2:B2488,0),1),IFERROR(0/0,""))</f>
        <v>RUN-FLMP_2022-05-31_RFR-150</v>
      </c>
      <c r="S1378" s="473" t="str">
        <f t="shared" si="694"/>
        <v/>
      </c>
      <c r="T1378" s="473" t="str">
        <f t="shared" si="698"/>
        <v/>
      </c>
      <c r="U1378" s="275" t="str">
        <f t="array" ref="U1378">IF(ISBLANK($R1378), INDEX('Run Reconcile'!A$2:A2488, MATCH($B1378, 'Run Reconcile'!B$2:B2488, 0)+Z1378, 1), IFERROR(0/0,""))
</f>
        <v/>
      </c>
      <c r="V1378" s="474" t="str">
        <f t="shared" si="5"/>
        <v>RUN-FLMP_2022-05-31_RFR-150</v>
      </c>
      <c r="Y1378" s="89" t="str">
        <f t="shared" si="1719"/>
        <v/>
      </c>
      <c r="Z1378" s="60" t="str">
        <f t="shared" si="7"/>
        <v/>
      </c>
      <c r="AA1378" s="60" t="str">
        <f t="shared" si="8"/>
        <v/>
      </c>
      <c r="AB1378" s="60" t="str">
        <f t="shared" si="9"/>
        <v/>
      </c>
      <c r="AC1378" s="30" t="str">
        <f t="shared" ref="AC1378:AD1378" si="1738">IF(_xlfn.ISFORMULA(S1378),IFERROR(0/0,""),TRUE)</f>
        <v/>
      </c>
      <c r="AD1378" s="30" t="str">
        <f t="shared" si="1738"/>
        <v/>
      </c>
      <c r="AE1378" s="475" t="str">
        <f>IFERROR(__xludf.DUMMYFUNCTION("""COMPUTED_VALUE"""),"CRLN")</f>
        <v>CRLN</v>
      </c>
      <c r="AF1378" s="476"/>
      <c r="AG1378" s="474" t="s">
        <v>225</v>
      </c>
      <c r="AH1378" s="138" t="str">
        <f t="shared" si="11"/>
        <v/>
      </c>
    </row>
    <row r="1379">
      <c r="A1379" s="477" t="str">
        <f>IFERROR(__xludf.DUMMYFUNCTION("""COMPUTED_VALUE"""),"MAX386")</f>
        <v>MAX386</v>
      </c>
      <c r="B1379" s="478">
        <f>IFERROR(__xludf.DUMMYFUNCTION("""COMPUTED_VALUE"""),44718.0)</f>
        <v>44718</v>
      </c>
      <c r="C1379" s="479">
        <f>IFERROR(__xludf.DUMMYFUNCTION("""COMPUTED_VALUE"""),0.36997685185185186)</f>
        <v>0.3699768519</v>
      </c>
      <c r="D1379" s="477" t="str">
        <f>IFERROR(__xludf.DUMMYFUNCTION("""COMPUTED_VALUE"""),"SpFLMP496039")</f>
        <v>SpFLMP496039</v>
      </c>
      <c r="E1379" s="477"/>
      <c r="F1379" s="477"/>
      <c r="G1379" s="477" t="str">
        <f>IFERROR(__xludf.DUMMYFUNCTION("""COMPUTED_VALUE"""),"Null")</f>
        <v>Null</v>
      </c>
      <c r="H1379" s="480" t="str">
        <f>IFERROR(__xludf.DUMMYFUNCTION("""COMPUTED_VALUE"""),"Negative")</f>
        <v>Negative</v>
      </c>
      <c r="I1379" s="478">
        <f>IFERROR(__xludf.DUMMYFUNCTION("""COMPUTED_VALUE"""),44718.0)</f>
        <v>44718</v>
      </c>
      <c r="J1379" s="481">
        <f>IFERROR(__xludf.DUMMYFUNCTION("""COMPUTED_VALUE"""),0.4141666666666667)</f>
        <v>0.4141666667</v>
      </c>
      <c r="K1379" s="156">
        <f>IFERROR(__xludf.DUMMYFUNCTION("""COMPUTED_VALUE"""),2.0)</f>
        <v>2</v>
      </c>
      <c r="L1379" s="19" t="str">
        <f>IFERROR(__xludf.DUMMYFUNCTION("""COMPUTED_VALUE"""),"All neg in results photo")</f>
        <v>All neg in results photo</v>
      </c>
      <c r="M1379" s="482"/>
      <c r="N1379" s="482">
        <f>IFERROR(__xludf.DUMMYFUNCTION("""COMPUTED_VALUE"""),1.0)</f>
        <v>1</v>
      </c>
      <c r="O1379" s="482" t="b">
        <f t="shared" si="3"/>
        <v>1</v>
      </c>
      <c r="P1379" s="483">
        <f>IFERROR(__xludf.DUMMYFUNCTION("""COMPUTED_VALUE"""),0.0)</f>
        <v>0</v>
      </c>
      <c r="Q1379" s="352" t="b">
        <f>VLOOKUP($B1379,'Run Reconcile'!B$2:O2488,14,FALSE)</f>
        <v>1</v>
      </c>
      <c r="R1379" s="484" t="str">
        <f t="array" ref="R1379">IF($Q1379, INDEX('Run Reconcile'!A$2:A2488,MATCH(B1379,'Run Reconcile'!B$2:B2488,0),1),IFERROR(0/0,""))</f>
        <v>RUN-FLMP_2022-06-06_RFR-152</v>
      </c>
      <c r="S1379" s="485" t="str">
        <f t="shared" si="694"/>
        <v/>
      </c>
      <c r="T1379" s="485" t="str">
        <f t="shared" si="698"/>
        <v/>
      </c>
      <c r="U1379" s="353" t="str">
        <f t="array" ref="U1379">IF(ISBLANK($R1379), INDEX('Run Reconcile'!A$2:A2488, MATCH($B1379, 'Run Reconcile'!B$2:B2488, 0)+Z1379, 1), IFERROR(0/0,""))
</f>
        <v/>
      </c>
      <c r="V1379" s="486" t="str">
        <f t="shared" si="5"/>
        <v>RUN-FLMP_2022-06-06_RFR-152</v>
      </c>
      <c r="W1379" s="19"/>
      <c r="X1379" s="19"/>
      <c r="Y1379" s="89" t="str">
        <f t="shared" si="1719"/>
        <v/>
      </c>
      <c r="Z1379" s="60" t="str">
        <f t="shared" si="7"/>
        <v/>
      </c>
      <c r="AA1379" s="60" t="str">
        <f t="shared" si="8"/>
        <v/>
      </c>
      <c r="AB1379" s="60" t="str">
        <f t="shared" si="9"/>
        <v/>
      </c>
      <c r="AC1379" s="158" t="str">
        <f t="shared" ref="AC1379:AD1379" si="1739">IF(_xlfn.ISFORMULA(S1379),IFERROR(0/0,""),TRUE)</f>
        <v/>
      </c>
      <c r="AD1379" s="158" t="str">
        <f t="shared" si="1739"/>
        <v/>
      </c>
      <c r="AE1379" s="488" t="str">
        <f>IFERROR(__xludf.DUMMYFUNCTION("""COMPUTED_VALUE"""),"FLSP")</f>
        <v>FLSP</v>
      </c>
      <c r="AF1379" s="489"/>
      <c r="AG1379" s="486" t="s">
        <v>226</v>
      </c>
      <c r="AH1379" s="138" t="str">
        <f t="shared" si="11"/>
        <v/>
      </c>
      <c r="AI1379" s="19"/>
      <c r="AJ1379" s="19"/>
      <c r="AK1379" s="19"/>
      <c r="AL1379" s="19"/>
      <c r="AM1379" s="19"/>
    </row>
    <row r="1380">
      <c r="A1380" s="103" t="str">
        <f>IFERROR(__xludf.DUMMYFUNCTION("""COMPUTED_VALUE"""),"MAX419")</f>
        <v>MAX419</v>
      </c>
      <c r="B1380" s="468">
        <f>IFERROR(__xludf.DUMMYFUNCTION("""COMPUTED_VALUE"""),44718.0)</f>
        <v>44718</v>
      </c>
      <c r="C1380" s="469">
        <f>IFERROR(__xludf.DUMMYFUNCTION("""COMPUTED_VALUE"""),0.3754398148148148)</f>
        <v>0.3754398148</v>
      </c>
      <c r="D1380" s="103" t="str">
        <f>IFERROR(__xludf.DUMMYFUNCTION("""COMPUTED_VALUE"""),"SpFLMP684798")</f>
        <v>SpFLMP684798</v>
      </c>
      <c r="E1380" s="103"/>
      <c r="F1380" s="103"/>
      <c r="G1380" s="103" t="str">
        <f>IFERROR(__xludf.DUMMYFUNCTION("""COMPUTED_VALUE"""),"Null")</f>
        <v>Null</v>
      </c>
      <c r="H1380" s="131" t="str">
        <f>IFERROR(__xludf.DUMMYFUNCTION("""COMPUTED_VALUE"""),"Negative")</f>
        <v>Negative</v>
      </c>
      <c r="I1380" s="468">
        <f>IFERROR(__xludf.DUMMYFUNCTION("""COMPUTED_VALUE"""),44718.0)</f>
        <v>44718</v>
      </c>
      <c r="J1380" s="470">
        <f>IFERROR(__xludf.DUMMYFUNCTION("""COMPUTED_VALUE"""),0.4141666666666667)</f>
        <v>0.4141666667</v>
      </c>
      <c r="K1380" s="16">
        <f>IFERROR(__xludf.DUMMYFUNCTION("""COMPUTED_VALUE"""),2.0)</f>
        <v>2</v>
      </c>
      <c r="L1380" s="8" t="str">
        <f>IFERROR(__xludf.DUMMYFUNCTION("""COMPUTED_VALUE"""),"All neg in results photo")</f>
        <v>All neg in results photo</v>
      </c>
      <c r="M1380" s="69"/>
      <c r="N1380" s="69">
        <f>IFERROR(__xludf.DUMMYFUNCTION("""COMPUTED_VALUE"""),4.0)</f>
        <v>4</v>
      </c>
      <c r="O1380" s="69" t="str">
        <f t="shared" si="3"/>
        <v/>
      </c>
      <c r="P1380" s="471">
        <f>IFERROR(__xludf.DUMMYFUNCTION("""COMPUTED_VALUE"""),0.0)</f>
        <v>0</v>
      </c>
      <c r="Q1380" s="274" t="b">
        <f>VLOOKUP($B1380,'Run Reconcile'!B$2:O2488,14,FALSE)</f>
        <v>1</v>
      </c>
      <c r="R1380" s="472" t="str">
        <f t="array" ref="R1380">IF($Q1380, INDEX('Run Reconcile'!A$2:A2488,MATCH(B1380,'Run Reconcile'!B$2:B2488,0),1),IFERROR(0/0,""))</f>
        <v>RUN-FLMP_2022-06-06_RFR-152</v>
      </c>
      <c r="S1380" s="473" t="str">
        <f t="shared" si="694"/>
        <v/>
      </c>
      <c r="T1380" s="473" t="str">
        <f t="shared" si="698"/>
        <v/>
      </c>
      <c r="U1380" s="275" t="str">
        <f t="array" ref="U1380">IF(ISBLANK($R1380), INDEX('Run Reconcile'!A$2:A2488, MATCH($B1380, 'Run Reconcile'!B$2:B2488, 0)+Z1380, 1), IFERROR(0/0,""))
</f>
        <v/>
      </c>
      <c r="V1380" s="474" t="str">
        <f t="shared" si="5"/>
        <v>RUN-FLMP_2022-06-06_RFR-152</v>
      </c>
      <c r="Y1380" s="89" t="str">
        <f t="shared" si="1719"/>
        <v/>
      </c>
      <c r="Z1380" s="60" t="str">
        <f t="shared" si="7"/>
        <v/>
      </c>
      <c r="AA1380" s="60" t="str">
        <f t="shared" si="8"/>
        <v/>
      </c>
      <c r="AB1380" s="60" t="str">
        <f t="shared" si="9"/>
        <v/>
      </c>
      <c r="AC1380" s="30" t="str">
        <f t="shared" ref="AC1380:AD1380" si="1740">IF(_xlfn.ISFORMULA(S1380),IFERROR(0/0,""),TRUE)</f>
        <v/>
      </c>
      <c r="AD1380" s="30" t="str">
        <f t="shared" si="1740"/>
        <v/>
      </c>
      <c r="AE1380" s="475" t="str">
        <f>IFERROR(__xludf.DUMMYFUNCTION("""COMPUTED_VALUE"""),"FLSP")</f>
        <v>FLSP</v>
      </c>
      <c r="AF1380" s="476"/>
      <c r="AG1380" s="474" t="s">
        <v>226</v>
      </c>
      <c r="AH1380" s="138" t="str">
        <f t="shared" si="11"/>
        <v/>
      </c>
    </row>
    <row r="1381">
      <c r="A1381" s="103" t="str">
        <f>IFERROR(__xludf.DUMMYFUNCTION("""COMPUTED_VALUE"""),"MA67")</f>
        <v>MA67</v>
      </c>
      <c r="B1381" s="468">
        <f>IFERROR(__xludf.DUMMYFUNCTION("""COMPUTED_VALUE"""),44718.0)</f>
        <v>44718</v>
      </c>
      <c r="C1381" s="469">
        <f>IFERROR(__xludf.DUMMYFUNCTION("""COMPUTED_VALUE"""),0.3895138888888889)</f>
        <v>0.3895138889</v>
      </c>
      <c r="D1381" s="103" t="str">
        <f>IFERROR(__xludf.DUMMYFUNCTION("""COMPUTED_VALUE"""),"SpFLMP120998")</f>
        <v>SpFLMP120998</v>
      </c>
      <c r="E1381" s="103"/>
      <c r="F1381" s="103"/>
      <c r="G1381" s="103" t="str">
        <f>IFERROR(__xludf.DUMMYFUNCTION("""COMPUTED_VALUE"""),"Null")</f>
        <v>Null</v>
      </c>
      <c r="H1381" s="131" t="str">
        <f>IFERROR(__xludf.DUMMYFUNCTION("""COMPUTED_VALUE"""),"Negative")</f>
        <v>Negative</v>
      </c>
      <c r="I1381" s="468">
        <f>IFERROR(__xludf.DUMMYFUNCTION("""COMPUTED_VALUE"""),44718.0)</f>
        <v>44718</v>
      </c>
      <c r="J1381" s="470">
        <f>IFERROR(__xludf.DUMMYFUNCTION("""COMPUTED_VALUE"""),0.4141666666666667)</f>
        <v>0.4141666667</v>
      </c>
      <c r="K1381" s="16">
        <f>IFERROR(__xludf.DUMMYFUNCTION("""COMPUTED_VALUE"""),2.0)</f>
        <v>2</v>
      </c>
      <c r="L1381" s="8" t="str">
        <f>IFERROR(__xludf.DUMMYFUNCTION("""COMPUTED_VALUE"""),"All neg in results photo")</f>
        <v>All neg in results photo</v>
      </c>
      <c r="M1381" s="69"/>
      <c r="N1381" s="69">
        <f>IFERROR(__xludf.DUMMYFUNCTION("""COMPUTED_VALUE"""),1.0)</f>
        <v>1</v>
      </c>
      <c r="O1381" s="69" t="str">
        <f t="shared" si="3"/>
        <v/>
      </c>
      <c r="P1381" s="471">
        <f>IFERROR(__xludf.DUMMYFUNCTION("""COMPUTED_VALUE"""),0.0)</f>
        <v>0</v>
      </c>
      <c r="Q1381" s="274" t="b">
        <f>VLOOKUP($B1381,'Run Reconcile'!B$2:O2488,14,FALSE)</f>
        <v>1</v>
      </c>
      <c r="R1381" s="472" t="str">
        <f t="array" ref="R1381">IF($Q1381, INDEX('Run Reconcile'!A$2:A2488,MATCH(B1381,'Run Reconcile'!B$2:B2488,0),1),IFERROR(0/0,""))</f>
        <v>RUN-FLMP_2022-06-06_RFR-152</v>
      </c>
      <c r="S1381" s="473" t="str">
        <f t="shared" si="694"/>
        <v/>
      </c>
      <c r="T1381" s="473" t="str">
        <f t="shared" si="698"/>
        <v/>
      </c>
      <c r="U1381" s="275" t="str">
        <f t="array" ref="U1381">IF(ISBLANK($R1381), INDEX('Run Reconcile'!A$2:A2488, MATCH($B1381, 'Run Reconcile'!B$2:B2488, 0)+Z1381, 1), IFERROR(0/0,""))
</f>
        <v/>
      </c>
      <c r="V1381" s="474" t="str">
        <f t="shared" si="5"/>
        <v>RUN-FLMP_2022-06-06_RFR-152</v>
      </c>
      <c r="Y1381" s="89" t="str">
        <f t="shared" si="1719"/>
        <v/>
      </c>
      <c r="Z1381" s="60" t="str">
        <f t="shared" si="7"/>
        <v/>
      </c>
      <c r="AA1381" s="60" t="str">
        <f t="shared" si="8"/>
        <v/>
      </c>
      <c r="AB1381" s="60" t="str">
        <f t="shared" si="9"/>
        <v/>
      </c>
      <c r="AC1381" s="30" t="str">
        <f t="shared" ref="AC1381:AD1381" si="1741">IF(_xlfn.ISFORMULA(S1381),IFERROR(0/0,""),TRUE)</f>
        <v/>
      </c>
      <c r="AD1381" s="30" t="str">
        <f t="shared" si="1741"/>
        <v/>
      </c>
      <c r="AE1381" s="475" t="str">
        <f>IFERROR(__xludf.DUMMYFUNCTION("""COMPUTED_VALUE"""),"FLSP")</f>
        <v>FLSP</v>
      </c>
      <c r="AF1381" s="476"/>
      <c r="AG1381" s="474" t="s">
        <v>226</v>
      </c>
      <c r="AH1381" s="138" t="str">
        <f t="shared" si="11"/>
        <v/>
      </c>
    </row>
    <row r="1382">
      <c r="A1382" s="103" t="str">
        <f>IFERROR(__xludf.DUMMYFUNCTION("""COMPUTED_VALUE"""),"MA6")</f>
        <v>MA6</v>
      </c>
      <c r="B1382" s="468">
        <f>IFERROR(__xludf.DUMMYFUNCTION("""COMPUTED_VALUE"""),44718.0)</f>
        <v>44718</v>
      </c>
      <c r="C1382" s="469">
        <f>IFERROR(__xludf.DUMMYFUNCTION("""COMPUTED_VALUE"""),0.39395833333333335)</f>
        <v>0.3939583333</v>
      </c>
      <c r="D1382" s="103" t="str">
        <f>IFERROR(__xludf.DUMMYFUNCTION("""COMPUTED_VALUE"""),"SpFLMP870846")</f>
        <v>SpFLMP870846</v>
      </c>
      <c r="E1382" s="103"/>
      <c r="F1382" s="103"/>
      <c r="G1382" s="103" t="str">
        <f>IFERROR(__xludf.DUMMYFUNCTION("""COMPUTED_VALUE"""),"Null")</f>
        <v>Null</v>
      </c>
      <c r="H1382" s="131" t="str">
        <f>IFERROR(__xludf.DUMMYFUNCTION("""COMPUTED_VALUE"""),"Negative")</f>
        <v>Negative</v>
      </c>
      <c r="I1382" s="468">
        <f>IFERROR(__xludf.DUMMYFUNCTION("""COMPUTED_VALUE"""),44718.0)</f>
        <v>44718</v>
      </c>
      <c r="J1382" s="470">
        <f>IFERROR(__xludf.DUMMYFUNCTION("""COMPUTED_VALUE"""),0.4141666666666667)</f>
        <v>0.4141666667</v>
      </c>
      <c r="K1382" s="16">
        <f>IFERROR(__xludf.DUMMYFUNCTION("""COMPUTED_VALUE"""),2.0)</f>
        <v>2</v>
      </c>
      <c r="L1382" s="8" t="str">
        <f>IFERROR(__xludf.DUMMYFUNCTION("""COMPUTED_VALUE"""),"All neg in results photo")</f>
        <v>All neg in results photo</v>
      </c>
      <c r="M1382" s="69"/>
      <c r="N1382" s="69">
        <f>IFERROR(__xludf.DUMMYFUNCTION("""COMPUTED_VALUE"""),1.0)</f>
        <v>1</v>
      </c>
      <c r="O1382" s="69" t="str">
        <f t="shared" si="3"/>
        <v/>
      </c>
      <c r="P1382" s="471">
        <f>IFERROR(__xludf.DUMMYFUNCTION("""COMPUTED_VALUE"""),0.0)</f>
        <v>0</v>
      </c>
      <c r="Q1382" s="274" t="b">
        <f>VLOOKUP($B1382,'Run Reconcile'!B$2:O2488,14,FALSE)</f>
        <v>1</v>
      </c>
      <c r="R1382" s="472" t="str">
        <f t="array" ref="R1382">IF($Q1382, INDEX('Run Reconcile'!A$2:A2488,MATCH(B1382,'Run Reconcile'!B$2:B2488,0),1),IFERROR(0/0,""))</f>
        <v>RUN-FLMP_2022-06-06_RFR-152</v>
      </c>
      <c r="S1382" s="473" t="str">
        <f t="shared" si="694"/>
        <v/>
      </c>
      <c r="T1382" s="473" t="str">
        <f t="shared" si="698"/>
        <v/>
      </c>
      <c r="U1382" s="275" t="str">
        <f t="array" ref="U1382">IF(ISBLANK($R1382), INDEX('Run Reconcile'!A$2:A2488, MATCH($B1382, 'Run Reconcile'!B$2:B2488, 0)+Z1382, 1), IFERROR(0/0,""))
</f>
        <v/>
      </c>
      <c r="V1382" s="474" t="str">
        <f t="shared" si="5"/>
        <v>RUN-FLMP_2022-06-06_RFR-152</v>
      </c>
      <c r="Y1382" s="89" t="str">
        <f t="shared" si="1719"/>
        <v/>
      </c>
      <c r="Z1382" s="60" t="str">
        <f t="shared" si="7"/>
        <v/>
      </c>
      <c r="AA1382" s="60" t="str">
        <f t="shared" si="8"/>
        <v/>
      </c>
      <c r="AB1382" s="60" t="str">
        <f t="shared" si="9"/>
        <v/>
      </c>
      <c r="AC1382" s="30" t="str">
        <f t="shared" ref="AC1382:AD1382" si="1742">IF(_xlfn.ISFORMULA(S1382),IFERROR(0/0,""),TRUE)</f>
        <v/>
      </c>
      <c r="AD1382" s="30" t="str">
        <f t="shared" si="1742"/>
        <v/>
      </c>
      <c r="AE1382" s="475" t="str">
        <f>IFERROR(__xludf.DUMMYFUNCTION("""COMPUTED_VALUE"""),"FLSP")</f>
        <v>FLSP</v>
      </c>
      <c r="AF1382" s="476"/>
      <c r="AG1382" s="474" t="s">
        <v>226</v>
      </c>
      <c r="AH1382" s="138" t="str">
        <f t="shared" si="11"/>
        <v/>
      </c>
    </row>
    <row r="1383">
      <c r="A1383" s="477" t="str">
        <f>IFERROR(__xludf.DUMMYFUNCTION("""COMPUTED_VALUE"""),"MA45")</f>
        <v>MA45</v>
      </c>
      <c r="B1383" s="478">
        <f>IFERROR(__xludf.DUMMYFUNCTION("""COMPUTED_VALUE"""),44721.0)</f>
        <v>44721</v>
      </c>
      <c r="C1383" s="479">
        <f>IFERROR(__xludf.DUMMYFUNCTION("""COMPUTED_VALUE"""),0.3963773148148148)</f>
        <v>0.3963773148</v>
      </c>
      <c r="D1383" s="477" t="str">
        <f>IFERROR(__xludf.DUMMYFUNCTION("""COMPUTED_VALUE"""),"SpFLMP120998")</f>
        <v>SpFLMP120998</v>
      </c>
      <c r="E1383" s="477"/>
      <c r="F1383" s="477"/>
      <c r="G1383" s="477" t="str">
        <f>IFERROR(__xludf.DUMMYFUNCTION("""COMPUTED_VALUE"""),"Null")</f>
        <v>Null</v>
      </c>
      <c r="H1383" s="480" t="str">
        <f>IFERROR(__xludf.DUMMYFUNCTION("""COMPUTED_VALUE"""),"Negative")</f>
        <v>Negative</v>
      </c>
      <c r="I1383" s="478">
        <f>IFERROR(__xludf.DUMMYFUNCTION("""COMPUTED_VALUE"""),44721.0)</f>
        <v>44721</v>
      </c>
      <c r="J1383" s="481">
        <f>IFERROR(__xludf.DUMMYFUNCTION("""COMPUTED_VALUE"""),0.42533564814814817)</f>
        <v>0.4253356481</v>
      </c>
      <c r="K1383" s="156">
        <f>IFERROR(__xludf.DUMMYFUNCTION("""COMPUTED_VALUE"""),2.2)</f>
        <v>2.2</v>
      </c>
      <c r="L1383" s="19"/>
      <c r="M1383" s="482"/>
      <c r="N1383" s="482">
        <f>IFERROR(__xludf.DUMMYFUNCTION("""COMPUTED_VALUE"""),1.0)</f>
        <v>1</v>
      </c>
      <c r="O1383" s="482" t="b">
        <f t="shared" si="3"/>
        <v>1</v>
      </c>
      <c r="P1383" s="483">
        <f>IFERROR(__xludf.DUMMYFUNCTION("""COMPUTED_VALUE"""),0.0)</f>
        <v>0</v>
      </c>
      <c r="Q1383" s="352" t="b">
        <f>VLOOKUP($B1383,'Run Reconcile'!B$2:O2488,14,FALSE)</f>
        <v>1</v>
      </c>
      <c r="R1383" s="484" t="str">
        <f t="array" ref="R1383">IF($Q1383, INDEX('Run Reconcile'!A$2:A2488,MATCH(B1383,'Run Reconcile'!B$2:B2488,0),1),IFERROR(0/0,""))</f>
        <v>RUN-FLMP_2022-06-09_APS-092</v>
      </c>
      <c r="S1383" s="485" t="str">
        <f t="shared" si="694"/>
        <v/>
      </c>
      <c r="T1383" s="485" t="str">
        <f t="shared" si="698"/>
        <v/>
      </c>
      <c r="U1383" s="353" t="str">
        <f t="array" ref="U1383">IF(ISBLANK($R1383), INDEX('Run Reconcile'!A$2:A2488, MATCH($B1383, 'Run Reconcile'!B$2:B2488, 0)+Z1383, 1), IFERROR(0/0,""))
</f>
        <v/>
      </c>
      <c r="V1383" s="486" t="str">
        <f t="shared" si="5"/>
        <v>RUN-FLMP_2022-06-09_APS-092</v>
      </c>
      <c r="W1383" s="19"/>
      <c r="X1383" s="19"/>
      <c r="Y1383" s="89" t="str">
        <f t="shared" si="1719"/>
        <v/>
      </c>
      <c r="Z1383" s="60" t="str">
        <f t="shared" si="7"/>
        <v/>
      </c>
      <c r="AA1383" s="60" t="str">
        <f t="shared" si="8"/>
        <v/>
      </c>
      <c r="AB1383" s="60" t="str">
        <f t="shared" si="9"/>
        <v/>
      </c>
      <c r="AC1383" s="158" t="str">
        <f t="shared" ref="AC1383:AD1383" si="1743">IF(_xlfn.ISFORMULA(S1383),IFERROR(0/0,""),TRUE)</f>
        <v/>
      </c>
      <c r="AD1383" s="158" t="str">
        <f t="shared" si="1743"/>
        <v/>
      </c>
      <c r="AE1383" s="488" t="str">
        <f>IFERROR(__xludf.DUMMYFUNCTION("""COMPUTED_VALUE"""),"FLSP")</f>
        <v>FLSP</v>
      </c>
      <c r="AF1383" s="489"/>
      <c r="AG1383" s="486" t="s">
        <v>227</v>
      </c>
      <c r="AH1383" s="138" t="str">
        <f t="shared" si="11"/>
        <v/>
      </c>
      <c r="AI1383" s="19"/>
      <c r="AJ1383" s="19"/>
      <c r="AK1383" s="19"/>
      <c r="AL1383" s="19"/>
      <c r="AM1383" s="19"/>
    </row>
    <row r="1384">
      <c r="A1384" s="103" t="str">
        <f>IFERROR(__xludf.DUMMYFUNCTION("""COMPUTED_VALUE"""),"MA662")</f>
        <v>MA662</v>
      </c>
      <c r="B1384" s="468">
        <f>IFERROR(__xludf.DUMMYFUNCTION("""COMPUTED_VALUE"""),44721.0)</f>
        <v>44721</v>
      </c>
      <c r="C1384" s="469">
        <f>IFERROR(__xludf.DUMMYFUNCTION("""COMPUTED_VALUE"""),0.425775462962963)</f>
        <v>0.425775463</v>
      </c>
      <c r="D1384" s="103" t="str">
        <f>IFERROR(__xludf.DUMMYFUNCTION("""COMPUTED_VALUE"""),"SpFLMP120998")</f>
        <v>SpFLMP120998</v>
      </c>
      <c r="E1384" s="103"/>
      <c r="F1384" s="103"/>
      <c r="G1384" s="103" t="str">
        <f>IFERROR(__xludf.DUMMYFUNCTION("""COMPUTED_VALUE"""),"Null")</f>
        <v>Null</v>
      </c>
      <c r="H1384" s="131" t="str">
        <f>IFERROR(__xludf.DUMMYFUNCTION("""COMPUTED_VALUE"""),"Negative")</f>
        <v>Negative</v>
      </c>
      <c r="I1384" s="468">
        <f>IFERROR(__xludf.DUMMYFUNCTION("""COMPUTED_VALUE"""),44721.0)</f>
        <v>44721</v>
      </c>
      <c r="J1384" s="470">
        <f>IFERROR(__xludf.DUMMYFUNCTION("""COMPUTED_VALUE"""),0.4263194444444444)</f>
        <v>0.4263194444</v>
      </c>
      <c r="K1384" s="16">
        <f>IFERROR(__xludf.DUMMYFUNCTION("""COMPUTED_VALUE"""),2.2)</f>
        <v>2.2</v>
      </c>
      <c r="L1384" s="8"/>
      <c r="M1384" s="69"/>
      <c r="N1384" s="69">
        <f>IFERROR(__xludf.DUMMYFUNCTION("""COMPUTED_VALUE"""),4.0)</f>
        <v>4</v>
      </c>
      <c r="O1384" s="69" t="str">
        <f t="shared" si="3"/>
        <v/>
      </c>
      <c r="P1384" s="471">
        <f>IFERROR(__xludf.DUMMYFUNCTION("""COMPUTED_VALUE"""),0.0)</f>
        <v>0</v>
      </c>
      <c r="Q1384" s="274" t="b">
        <f>VLOOKUP($B1384,'Run Reconcile'!B$2:O2488,14,FALSE)</f>
        <v>1</v>
      </c>
      <c r="R1384" s="472" t="str">
        <f t="array" ref="R1384">IF($Q1384, INDEX('Run Reconcile'!A$2:A2488,MATCH(B1384,'Run Reconcile'!B$2:B2488,0),1),IFERROR(0/0,""))</f>
        <v>RUN-FLMP_2022-06-09_APS-092</v>
      </c>
      <c r="S1384" s="473" t="str">
        <f t="shared" si="694"/>
        <v/>
      </c>
      <c r="T1384" s="473" t="str">
        <f t="shared" si="698"/>
        <v/>
      </c>
      <c r="U1384" s="275" t="str">
        <f t="array" ref="U1384">IF(ISBLANK($R1384), INDEX('Run Reconcile'!A$2:A2488, MATCH($B1384, 'Run Reconcile'!B$2:B2488, 0)+Z1384, 1), IFERROR(0/0,""))
</f>
        <v/>
      </c>
      <c r="V1384" s="474" t="str">
        <f t="shared" si="5"/>
        <v>RUN-FLMP_2022-06-09_APS-092</v>
      </c>
      <c r="Y1384" s="89" t="str">
        <f t="shared" si="1719"/>
        <v/>
      </c>
      <c r="Z1384" s="60" t="str">
        <f t="shared" si="7"/>
        <v/>
      </c>
      <c r="AA1384" s="60" t="str">
        <f t="shared" si="8"/>
        <v/>
      </c>
      <c r="AB1384" s="60" t="str">
        <f t="shared" si="9"/>
        <v/>
      </c>
      <c r="AC1384" s="30" t="str">
        <f t="shared" ref="AC1384:AD1384" si="1744">IF(_xlfn.ISFORMULA(S1384),IFERROR(0/0,""),TRUE)</f>
        <v/>
      </c>
      <c r="AD1384" s="30" t="str">
        <f t="shared" si="1744"/>
        <v/>
      </c>
      <c r="AE1384" s="475" t="str">
        <f>IFERROR(__xludf.DUMMYFUNCTION("""COMPUTED_VALUE"""),"FLSP")</f>
        <v>FLSP</v>
      </c>
      <c r="AF1384" s="476"/>
      <c r="AG1384" s="474" t="s">
        <v>227</v>
      </c>
      <c r="AH1384" s="138" t="str">
        <f t="shared" si="11"/>
        <v/>
      </c>
    </row>
    <row r="1385">
      <c r="A1385" s="103" t="str">
        <f>IFERROR(__xludf.DUMMYFUNCTION("""COMPUTED_VALUE"""),"MAX384")</f>
        <v>MAX384</v>
      </c>
      <c r="B1385" s="468">
        <f>IFERROR(__xludf.DUMMYFUNCTION("""COMPUTED_VALUE"""),44721.0)</f>
        <v>44721</v>
      </c>
      <c r="C1385" s="469">
        <f>IFERROR(__xludf.DUMMYFUNCTION("""COMPUTED_VALUE"""),0.4259837962962963)</f>
        <v>0.4259837963</v>
      </c>
      <c r="D1385" s="103" t="str">
        <f>IFERROR(__xludf.DUMMYFUNCTION("""COMPUTED_VALUE"""),"SpFLMP120998")</f>
        <v>SpFLMP120998</v>
      </c>
      <c r="E1385" s="103"/>
      <c r="F1385" s="103"/>
      <c r="G1385" s="103" t="str">
        <f>IFERROR(__xludf.DUMMYFUNCTION("""COMPUTED_VALUE"""),"Null")</f>
        <v>Null</v>
      </c>
      <c r="H1385" s="131" t="str">
        <f>IFERROR(__xludf.DUMMYFUNCTION("""COMPUTED_VALUE"""),"Negative")</f>
        <v>Negative</v>
      </c>
      <c r="I1385" s="468">
        <f>IFERROR(__xludf.DUMMYFUNCTION("""COMPUTED_VALUE"""),44721.0)</f>
        <v>44721</v>
      </c>
      <c r="J1385" s="470">
        <f>IFERROR(__xludf.DUMMYFUNCTION("""COMPUTED_VALUE"""),0.42637731481481483)</f>
        <v>0.4263773148</v>
      </c>
      <c r="K1385" s="16">
        <f>IFERROR(__xludf.DUMMYFUNCTION("""COMPUTED_VALUE"""),2.2)</f>
        <v>2.2</v>
      </c>
      <c r="L1385" s="8"/>
      <c r="M1385" s="69"/>
      <c r="N1385" s="69">
        <f>IFERROR(__xludf.DUMMYFUNCTION("""COMPUTED_VALUE"""),1.0)</f>
        <v>1</v>
      </c>
      <c r="O1385" s="69" t="str">
        <f t="shared" si="3"/>
        <v/>
      </c>
      <c r="P1385" s="471">
        <f>IFERROR(__xludf.DUMMYFUNCTION("""COMPUTED_VALUE"""),0.0)</f>
        <v>0</v>
      </c>
      <c r="Q1385" s="274" t="b">
        <f>VLOOKUP($B1385,'Run Reconcile'!B$2:O2488,14,FALSE)</f>
        <v>1</v>
      </c>
      <c r="R1385" s="472" t="str">
        <f t="array" ref="R1385">IF($Q1385, INDEX('Run Reconcile'!A$2:A2488,MATCH(B1385,'Run Reconcile'!B$2:B2488,0),1),IFERROR(0/0,""))</f>
        <v>RUN-FLMP_2022-06-09_APS-092</v>
      </c>
      <c r="S1385" s="473" t="str">
        <f t="shared" si="694"/>
        <v/>
      </c>
      <c r="T1385" s="473" t="str">
        <f t="shared" si="698"/>
        <v/>
      </c>
      <c r="U1385" s="275" t="str">
        <f t="array" ref="U1385">IF(ISBLANK($R1385), INDEX('Run Reconcile'!A$2:A2488, MATCH($B1385, 'Run Reconcile'!B$2:B2488, 0)+Z1385, 1), IFERROR(0/0,""))
</f>
        <v/>
      </c>
      <c r="V1385" s="474" t="str">
        <f t="shared" si="5"/>
        <v>RUN-FLMP_2022-06-09_APS-092</v>
      </c>
      <c r="Y1385" s="89" t="str">
        <f t="shared" si="1719"/>
        <v/>
      </c>
      <c r="Z1385" s="60" t="str">
        <f t="shared" si="7"/>
        <v/>
      </c>
      <c r="AA1385" s="60" t="str">
        <f t="shared" si="8"/>
        <v/>
      </c>
      <c r="AB1385" s="60" t="str">
        <f t="shared" si="9"/>
        <v/>
      </c>
      <c r="AC1385" s="30" t="str">
        <f t="shared" ref="AC1385:AD1385" si="1745">IF(_xlfn.ISFORMULA(S1385),IFERROR(0/0,""),TRUE)</f>
        <v/>
      </c>
      <c r="AD1385" s="30" t="str">
        <f t="shared" si="1745"/>
        <v/>
      </c>
      <c r="AE1385" s="475" t="str">
        <f>IFERROR(__xludf.DUMMYFUNCTION("""COMPUTED_VALUE"""),"FLSP")</f>
        <v>FLSP</v>
      </c>
      <c r="AF1385" s="476"/>
      <c r="AG1385" s="474" t="s">
        <v>227</v>
      </c>
      <c r="AH1385" s="138" t="str">
        <f t="shared" si="11"/>
        <v/>
      </c>
    </row>
    <row r="1386">
      <c r="A1386" s="103" t="str">
        <f>IFERROR(__xludf.DUMMYFUNCTION("""COMPUTED_VALUE"""),"MAX379")</f>
        <v>MAX379</v>
      </c>
      <c r="B1386" s="468">
        <f>IFERROR(__xludf.DUMMYFUNCTION("""COMPUTED_VALUE"""),44725.0)</f>
        <v>44725</v>
      </c>
      <c r="C1386" s="469">
        <f>IFERROR(__xludf.DUMMYFUNCTION("""COMPUTED_VALUE"""),0.37322916666666667)</f>
        <v>0.3732291667</v>
      </c>
      <c r="D1386" s="103" t="str">
        <f>IFERROR(__xludf.DUMMYFUNCTION("""COMPUTED_VALUE"""),"SpFLMP496039")</f>
        <v>SpFLMP496039</v>
      </c>
      <c r="E1386" s="103"/>
      <c r="F1386" s="103"/>
      <c r="G1386" s="103" t="str">
        <f>IFERROR(__xludf.DUMMYFUNCTION("""COMPUTED_VALUE"""),"Null")</f>
        <v>Null</v>
      </c>
      <c r="H1386" s="131" t="str">
        <f>IFERROR(__xludf.DUMMYFUNCTION("""COMPUTED_VALUE"""),"Negative")</f>
        <v>Negative</v>
      </c>
      <c r="I1386" s="468"/>
      <c r="J1386" s="16"/>
      <c r="K1386" s="16">
        <f>IFERROR(__xludf.DUMMYFUNCTION("""COMPUTED_VALUE"""),2.2)</f>
        <v>2.2</v>
      </c>
      <c r="L1386" s="8"/>
      <c r="M1386" s="69"/>
      <c r="N1386" s="69">
        <f>IFERROR(__xludf.DUMMYFUNCTION("""COMPUTED_VALUE"""),1.0)</f>
        <v>1</v>
      </c>
      <c r="O1386" s="69" t="b">
        <f t="shared" si="3"/>
        <v>1</v>
      </c>
      <c r="P1386" s="471">
        <f>IFERROR(__xludf.DUMMYFUNCTION("""COMPUTED_VALUE"""),-1.0)</f>
        <v>-1</v>
      </c>
      <c r="Q1386" s="274" t="b">
        <f>VLOOKUP($B1386,'Run Reconcile'!B$2:O2488,14,FALSE)</f>
        <v>1</v>
      </c>
      <c r="R1386" s="472" t="str">
        <f t="array" ref="R1386">IF($Q1386, INDEX('Run Reconcile'!A$2:A2488,MATCH(B1386,'Run Reconcile'!B$2:B2488,0),1),IFERROR(0/0,""))</f>
        <v>RUN-FLMP_2022-06-13_APS-093</v>
      </c>
      <c r="S1386" s="473" t="str">
        <f t="shared" si="694"/>
        <v/>
      </c>
      <c r="T1386" s="473" t="str">
        <f t="shared" si="698"/>
        <v/>
      </c>
      <c r="U1386" s="275" t="str">
        <f t="array" ref="U1386">IF(ISBLANK($R1386), INDEX('Run Reconcile'!A$2:A2488, MATCH($B1386, 'Run Reconcile'!B$2:B2488, 0)+Z1386, 1), IFERROR(0/0,""))
</f>
        <v/>
      </c>
      <c r="V1386" s="474" t="str">
        <f t="shared" si="5"/>
        <v>RUN-FLMP_2022-06-13_APS-093</v>
      </c>
      <c r="Y1386" s="89" t="str">
        <f t="shared" si="1719"/>
        <v/>
      </c>
      <c r="Z1386" s="60" t="str">
        <f t="shared" si="7"/>
        <v/>
      </c>
      <c r="AA1386" s="60" t="str">
        <f t="shared" si="8"/>
        <v/>
      </c>
      <c r="AB1386" s="60" t="str">
        <f t="shared" si="9"/>
        <v/>
      </c>
      <c r="AC1386" s="30" t="str">
        <f t="shared" ref="AC1386:AD1386" si="1746">IF(_xlfn.ISFORMULA(S1386),IFERROR(0/0,""),TRUE)</f>
        <v/>
      </c>
      <c r="AD1386" s="30" t="str">
        <f t="shared" si="1746"/>
        <v/>
      </c>
      <c r="AE1386" s="475" t="str">
        <f>IFERROR(__xludf.DUMMYFUNCTION("""COMPUTED_VALUE"""),"FLSP")</f>
        <v>FLSP</v>
      </c>
      <c r="AF1386" s="476"/>
      <c r="AG1386" s="474" t="s">
        <v>228</v>
      </c>
      <c r="AH1386" s="138" t="str">
        <f t="shared" si="11"/>
        <v/>
      </c>
    </row>
    <row r="1387">
      <c r="A1387" s="103" t="str">
        <f>IFERROR(__xludf.DUMMYFUNCTION("""COMPUTED_VALUE"""),"MAX282")</f>
        <v>MAX282</v>
      </c>
      <c r="B1387" s="468">
        <f>IFERROR(__xludf.DUMMYFUNCTION("""COMPUTED_VALUE"""),44725.0)</f>
        <v>44725</v>
      </c>
      <c r="C1387" s="469">
        <f>IFERROR(__xludf.DUMMYFUNCTION("""COMPUTED_VALUE"""),0.3907638888888889)</f>
        <v>0.3907638889</v>
      </c>
      <c r="D1387" s="103" t="str">
        <f>IFERROR(__xludf.DUMMYFUNCTION("""COMPUTED_VALUE"""),"SpFLMP120998")</f>
        <v>SpFLMP120998</v>
      </c>
      <c r="E1387" s="103"/>
      <c r="F1387" s="103"/>
      <c r="G1387" s="103" t="str">
        <f>IFERROR(__xludf.DUMMYFUNCTION("""COMPUTED_VALUE"""),"Null")</f>
        <v>Null</v>
      </c>
      <c r="H1387" s="131" t="str">
        <f>IFERROR(__xludf.DUMMYFUNCTION("""COMPUTED_VALUE"""),"Negative")</f>
        <v>Negative</v>
      </c>
      <c r="I1387" s="468"/>
      <c r="J1387" s="16"/>
      <c r="K1387" s="16">
        <f>IFERROR(__xludf.DUMMYFUNCTION("""COMPUTED_VALUE"""),2.2)</f>
        <v>2.2</v>
      </c>
      <c r="L1387" s="8"/>
      <c r="M1387" s="69"/>
      <c r="N1387" s="69">
        <f>IFERROR(__xludf.DUMMYFUNCTION("""COMPUTED_VALUE"""),1.0)</f>
        <v>1</v>
      </c>
      <c r="O1387" s="69" t="str">
        <f t="shared" si="3"/>
        <v/>
      </c>
      <c r="P1387" s="471">
        <f>IFERROR(__xludf.DUMMYFUNCTION("""COMPUTED_VALUE"""),-1.0)</f>
        <v>-1</v>
      </c>
      <c r="Q1387" s="274" t="b">
        <f>VLOOKUP($B1387,'Run Reconcile'!B$2:O2488,14,FALSE)</f>
        <v>1</v>
      </c>
      <c r="R1387" s="472" t="str">
        <f t="array" ref="R1387">IF($Q1387, INDEX('Run Reconcile'!A$2:A2488,MATCH(B1387,'Run Reconcile'!B$2:B2488,0),1),IFERROR(0/0,""))</f>
        <v>RUN-FLMP_2022-06-13_APS-093</v>
      </c>
      <c r="S1387" s="473" t="str">
        <f t="shared" si="694"/>
        <v/>
      </c>
      <c r="T1387" s="473" t="str">
        <f t="shared" si="698"/>
        <v/>
      </c>
      <c r="U1387" s="275" t="str">
        <f t="array" ref="U1387">IF(ISBLANK($R1387), INDEX('Run Reconcile'!A$2:A2488, MATCH($B1387, 'Run Reconcile'!B$2:B2488, 0)+Z1387, 1), IFERROR(0/0,""))
</f>
        <v/>
      </c>
      <c r="V1387" s="474" t="str">
        <f t="shared" si="5"/>
        <v>RUN-FLMP_2022-06-13_APS-093</v>
      </c>
      <c r="Y1387" s="89" t="str">
        <f t="shared" si="1719"/>
        <v/>
      </c>
      <c r="Z1387" s="60" t="str">
        <f t="shared" si="7"/>
        <v/>
      </c>
      <c r="AA1387" s="60" t="str">
        <f t="shared" si="8"/>
        <v/>
      </c>
      <c r="AB1387" s="60" t="str">
        <f t="shared" si="9"/>
        <v/>
      </c>
      <c r="AC1387" s="30" t="str">
        <f t="shared" ref="AC1387:AD1387" si="1747">IF(_xlfn.ISFORMULA(S1387),IFERROR(0/0,""),TRUE)</f>
        <v/>
      </c>
      <c r="AD1387" s="30" t="str">
        <f t="shared" si="1747"/>
        <v/>
      </c>
      <c r="AE1387" s="475" t="str">
        <f>IFERROR(__xludf.DUMMYFUNCTION("""COMPUTED_VALUE"""),"FLSP")</f>
        <v>FLSP</v>
      </c>
      <c r="AF1387" s="476"/>
      <c r="AG1387" s="474" t="s">
        <v>228</v>
      </c>
      <c r="AH1387" s="138" t="str">
        <f t="shared" si="11"/>
        <v/>
      </c>
    </row>
    <row r="1388">
      <c r="A1388" s="103" t="str">
        <f>IFERROR(__xludf.DUMMYFUNCTION("""COMPUTED_VALUE"""),"MAX466")</f>
        <v>MAX466</v>
      </c>
      <c r="B1388" s="468">
        <f>IFERROR(__xludf.DUMMYFUNCTION("""COMPUTED_VALUE"""),44728.0)</f>
        <v>44728</v>
      </c>
      <c r="C1388" s="469">
        <f>IFERROR(__xludf.DUMMYFUNCTION("""COMPUTED_VALUE"""),0.3754513888888889)</f>
        <v>0.3754513889</v>
      </c>
      <c r="D1388" s="103" t="str">
        <f>IFERROR(__xludf.DUMMYFUNCTION("""COMPUTED_VALUE"""),"SpFLMP496039")</f>
        <v>SpFLMP496039</v>
      </c>
      <c r="E1388" s="103"/>
      <c r="F1388" s="103"/>
      <c r="G1388" s="103" t="str">
        <f>IFERROR(__xludf.DUMMYFUNCTION("""COMPUTED_VALUE"""),"Null")</f>
        <v>Null</v>
      </c>
      <c r="H1388" s="131" t="str">
        <f>IFERROR(__xludf.DUMMYFUNCTION("""COMPUTED_VALUE"""),"Negative")</f>
        <v>Negative</v>
      </c>
      <c r="I1388" s="468"/>
      <c r="J1388" s="16"/>
      <c r="K1388" s="16">
        <f>IFERROR(__xludf.DUMMYFUNCTION("""COMPUTED_VALUE"""),2.2)</f>
        <v>2.2</v>
      </c>
      <c r="L1388" s="8"/>
      <c r="M1388" s="69"/>
      <c r="N1388" s="69">
        <f>IFERROR(__xludf.DUMMYFUNCTION("""COMPUTED_VALUE"""),1.0)</f>
        <v>1</v>
      </c>
      <c r="O1388" s="69" t="b">
        <f t="shared" si="3"/>
        <v>1</v>
      </c>
      <c r="P1388" s="471">
        <f>IFERROR(__xludf.DUMMYFUNCTION("""COMPUTED_VALUE"""),-1.0)</f>
        <v>-1</v>
      </c>
      <c r="Q1388" s="274" t="b">
        <f>VLOOKUP($B1388,'Run Reconcile'!B$2:O2488,14,FALSE)</f>
        <v>1</v>
      </c>
      <c r="R1388" s="472" t="str">
        <f t="array" ref="R1388">IF($Q1388, INDEX('Run Reconcile'!A$2:A2488,MATCH(B1388,'Run Reconcile'!B$2:B2488,0),1),IFERROR(0/0,""))</f>
        <v>RUN-FLMP_2022-06-16_APS-094</v>
      </c>
      <c r="S1388" s="473" t="str">
        <f t="shared" si="694"/>
        <v/>
      </c>
      <c r="T1388" s="473" t="str">
        <f t="shared" si="698"/>
        <v/>
      </c>
      <c r="U1388" s="275" t="str">
        <f t="array" ref="U1388">IF(ISBLANK($R1388), INDEX('Run Reconcile'!A$2:A2488, MATCH($B1388, 'Run Reconcile'!B$2:B2488, 0)+Z1388, 1), IFERROR(0/0,""))
</f>
        <v/>
      </c>
      <c r="V1388" s="474" t="str">
        <f t="shared" si="5"/>
        <v>RUN-FLMP_2022-06-16_APS-094</v>
      </c>
      <c r="Y1388" s="89" t="str">
        <f t="shared" si="1719"/>
        <v/>
      </c>
      <c r="Z1388" s="60" t="str">
        <f t="shared" si="7"/>
        <v/>
      </c>
      <c r="AA1388" s="60" t="str">
        <f t="shared" si="8"/>
        <v/>
      </c>
      <c r="AB1388" s="60" t="str">
        <f t="shared" si="9"/>
        <v/>
      </c>
      <c r="AC1388" s="30" t="str">
        <f t="shared" ref="AC1388:AD1388" si="1748">IF(_xlfn.ISFORMULA(S1388),IFERROR(0/0,""),TRUE)</f>
        <v/>
      </c>
      <c r="AD1388" s="30" t="str">
        <f t="shared" si="1748"/>
        <v/>
      </c>
      <c r="AE1388" s="475" t="str">
        <f>IFERROR(__xludf.DUMMYFUNCTION("""COMPUTED_VALUE"""),"FLSP")</f>
        <v>FLSP</v>
      </c>
      <c r="AF1388" s="476"/>
      <c r="AG1388" s="474" t="s">
        <v>229</v>
      </c>
      <c r="AH1388" s="138" t="str">
        <f t="shared" si="11"/>
        <v/>
      </c>
    </row>
    <row r="1389">
      <c r="A1389" s="103" t="str">
        <f>IFERROR(__xludf.DUMMYFUNCTION("""COMPUTED_VALUE"""),"FLM270")</f>
        <v>FLM270</v>
      </c>
      <c r="B1389" s="468">
        <f>IFERROR(__xludf.DUMMYFUNCTION("""COMPUTED_VALUE"""),44728.0)</f>
        <v>44728</v>
      </c>
      <c r="C1389" s="469">
        <f>IFERROR(__xludf.DUMMYFUNCTION("""COMPUTED_VALUE"""),0.37657407407407406)</f>
        <v>0.3765740741</v>
      </c>
      <c r="D1389" s="103" t="str">
        <f>IFERROR(__xludf.DUMMYFUNCTION("""COMPUTED_VALUE"""),"SpFLMP684798")</f>
        <v>SpFLMP684798</v>
      </c>
      <c r="E1389" s="103"/>
      <c r="F1389" s="103"/>
      <c r="G1389" s="103" t="str">
        <f>IFERROR(__xludf.DUMMYFUNCTION("""COMPUTED_VALUE"""),"Null")</f>
        <v>Null</v>
      </c>
      <c r="H1389" s="131" t="str">
        <f>IFERROR(__xludf.DUMMYFUNCTION("""COMPUTED_VALUE"""),"Negative")</f>
        <v>Negative</v>
      </c>
      <c r="I1389" s="468"/>
      <c r="J1389" s="16"/>
      <c r="K1389" s="16">
        <f>IFERROR(__xludf.DUMMYFUNCTION("""COMPUTED_VALUE"""),2.2)</f>
        <v>2.2</v>
      </c>
      <c r="L1389" s="8"/>
      <c r="M1389" s="69"/>
      <c r="N1389" s="69">
        <f>IFERROR(__xludf.DUMMYFUNCTION("""COMPUTED_VALUE"""),3.0)</f>
        <v>3</v>
      </c>
      <c r="O1389" s="69" t="str">
        <f t="shared" si="3"/>
        <v/>
      </c>
      <c r="P1389" s="471">
        <f>IFERROR(__xludf.DUMMYFUNCTION("""COMPUTED_VALUE"""),-1.0)</f>
        <v>-1</v>
      </c>
      <c r="Q1389" s="274" t="b">
        <f>VLOOKUP($B1389,'Run Reconcile'!B$2:O2488,14,FALSE)</f>
        <v>1</v>
      </c>
      <c r="R1389" s="472" t="str">
        <f t="array" ref="R1389">IF($Q1389, INDEX('Run Reconcile'!A$2:A2488,MATCH(B1389,'Run Reconcile'!B$2:B2488,0),1),IFERROR(0/0,""))</f>
        <v>RUN-FLMP_2022-06-16_APS-094</v>
      </c>
      <c r="S1389" s="473" t="str">
        <f t="shared" si="694"/>
        <v/>
      </c>
      <c r="T1389" s="473" t="str">
        <f t="shared" si="698"/>
        <v/>
      </c>
      <c r="U1389" s="275" t="str">
        <f t="array" ref="U1389">IF(ISBLANK($R1389), INDEX('Run Reconcile'!A$2:A2488, MATCH($B1389, 'Run Reconcile'!B$2:B2488, 0)+Z1389, 1), IFERROR(0/0,""))
</f>
        <v/>
      </c>
      <c r="V1389" s="474" t="str">
        <f t="shared" si="5"/>
        <v>RUN-FLMP_2022-06-16_APS-094</v>
      </c>
      <c r="Y1389" s="89" t="str">
        <f t="shared" si="1719"/>
        <v/>
      </c>
      <c r="Z1389" s="60" t="str">
        <f t="shared" si="7"/>
        <v/>
      </c>
      <c r="AA1389" s="60" t="str">
        <f t="shared" si="8"/>
        <v/>
      </c>
      <c r="AB1389" s="60" t="str">
        <f t="shared" si="9"/>
        <v/>
      </c>
      <c r="AC1389" s="30" t="str">
        <f t="shared" ref="AC1389:AD1389" si="1749">IF(_xlfn.ISFORMULA(S1389),IFERROR(0/0,""),TRUE)</f>
        <v/>
      </c>
      <c r="AD1389" s="30" t="str">
        <f t="shared" si="1749"/>
        <v/>
      </c>
      <c r="AE1389" s="475" t="str">
        <f>IFERROR(__xludf.DUMMYFUNCTION("""COMPUTED_VALUE"""),"FLSP")</f>
        <v>FLSP</v>
      </c>
      <c r="AF1389" s="476"/>
      <c r="AG1389" s="474" t="s">
        <v>229</v>
      </c>
      <c r="AH1389" s="138" t="str">
        <f t="shared" si="11"/>
        <v/>
      </c>
    </row>
    <row r="1390">
      <c r="A1390" s="103" t="str">
        <f>IFERROR(__xludf.DUMMYFUNCTION("""COMPUTED_VALUE"""),"MA425")</f>
        <v>MA425</v>
      </c>
      <c r="B1390" s="468">
        <f>IFERROR(__xludf.DUMMYFUNCTION("""COMPUTED_VALUE"""),44729.0)</f>
        <v>44729</v>
      </c>
      <c r="C1390" s="469">
        <f>IFERROR(__xludf.DUMMYFUNCTION("""COMPUTED_VALUE"""),0.35388888888888886)</f>
        <v>0.3538888889</v>
      </c>
      <c r="D1390" s="103" t="str">
        <f>IFERROR(__xludf.DUMMYFUNCTION("""COMPUTED_VALUE"""),"SpFLMP604497")</f>
        <v>SpFLMP604497</v>
      </c>
      <c r="E1390" s="103"/>
      <c r="F1390" s="103"/>
      <c r="G1390" s="103" t="str">
        <f>IFERROR(__xludf.DUMMYFUNCTION("""COMPUTED_VALUE"""),"Null")</f>
        <v>Null</v>
      </c>
      <c r="H1390" s="131" t="str">
        <f>IFERROR(__xludf.DUMMYFUNCTION("""COMPUTED_VALUE"""),"Negative")</f>
        <v>Negative</v>
      </c>
      <c r="I1390" s="468"/>
      <c r="J1390" s="16"/>
      <c r="K1390" s="16">
        <f>IFERROR(__xludf.DUMMYFUNCTION("""COMPUTED_VALUE"""),2.2)</f>
        <v>2.2</v>
      </c>
      <c r="L1390" s="8"/>
      <c r="M1390" s="69"/>
      <c r="N1390" s="69">
        <f>IFERROR(__xludf.DUMMYFUNCTION("""COMPUTED_VALUE"""),1.0)</f>
        <v>1</v>
      </c>
      <c r="O1390" s="69" t="b">
        <f t="shared" si="3"/>
        <v>1</v>
      </c>
      <c r="P1390" s="471">
        <f>IFERROR(__xludf.DUMMYFUNCTION("""COMPUTED_VALUE"""),-1.0)</f>
        <v>-1</v>
      </c>
      <c r="Q1390" s="274" t="b">
        <f>VLOOKUP($B1390,'Run Reconcile'!B$2:O2488,14,FALSE)</f>
        <v>1</v>
      </c>
      <c r="R1390" s="472" t="str">
        <f t="array" ref="R1390">IF($Q1390, INDEX('Run Reconcile'!A$2:A2488,MATCH(B1390,'Run Reconcile'!B$2:B2488,0),1),IFERROR(0/0,""))</f>
        <v>RUN-FLMP_2022-06-17_APS-095</v>
      </c>
      <c r="S1390" s="473" t="str">
        <f t="shared" si="694"/>
        <v/>
      </c>
      <c r="T1390" s="473" t="str">
        <f t="shared" si="698"/>
        <v/>
      </c>
      <c r="U1390" s="275" t="str">
        <f t="array" ref="U1390">IF(ISBLANK($R1390), INDEX('Run Reconcile'!A$2:A2488, MATCH($B1390, 'Run Reconcile'!B$2:B2488, 0)+Z1390, 1), IFERROR(0/0,""))
</f>
        <v/>
      </c>
      <c r="V1390" s="474" t="str">
        <f t="shared" si="5"/>
        <v>RUN-FLMP_2022-06-17_APS-095</v>
      </c>
      <c r="Y1390" s="89" t="str">
        <f t="shared" si="1719"/>
        <v/>
      </c>
      <c r="Z1390" s="60" t="str">
        <f t="shared" si="7"/>
        <v/>
      </c>
      <c r="AA1390" s="60" t="str">
        <f t="shared" si="8"/>
        <v/>
      </c>
      <c r="AB1390" s="60" t="str">
        <f t="shared" si="9"/>
        <v/>
      </c>
      <c r="AC1390" s="30" t="str">
        <f t="shared" ref="AC1390:AD1390" si="1750">IF(_xlfn.ISFORMULA(S1390),IFERROR(0/0,""),TRUE)</f>
        <v/>
      </c>
      <c r="AD1390" s="30" t="str">
        <f t="shared" si="1750"/>
        <v/>
      </c>
      <c r="AE1390" s="475" t="str">
        <f>IFERROR(__xludf.DUMMYFUNCTION("""COMPUTED_VALUE"""),"FLSP")</f>
        <v>FLSP</v>
      </c>
      <c r="AF1390" s="476"/>
      <c r="AG1390" s="474" t="s">
        <v>230</v>
      </c>
      <c r="AH1390" s="138" t="str">
        <f t="shared" si="11"/>
        <v/>
      </c>
    </row>
    <row r="1391">
      <c r="A1391" s="103" t="str">
        <f>IFERROR(__xludf.DUMMYFUNCTION("""COMPUTED_VALUE"""),"MA765")</f>
        <v>MA765</v>
      </c>
      <c r="B1391" s="468">
        <f>IFERROR(__xludf.DUMMYFUNCTION("""COMPUTED_VALUE"""),44732.0)</f>
        <v>44732</v>
      </c>
      <c r="C1391" s="469">
        <f>IFERROR(__xludf.DUMMYFUNCTION("""COMPUTED_VALUE"""),0.3677199074074074)</f>
        <v>0.3677199074</v>
      </c>
      <c r="D1391" s="103" t="str">
        <f>IFERROR(__xludf.DUMMYFUNCTION("""COMPUTED_VALUE"""),"SpFLMP659315")</f>
        <v>SpFLMP659315</v>
      </c>
      <c r="E1391" s="103"/>
      <c r="F1391" s="103"/>
      <c r="G1391" s="103" t="str">
        <f>IFERROR(__xludf.DUMMYFUNCTION("""COMPUTED_VALUE"""),"Null")</f>
        <v>Null</v>
      </c>
      <c r="H1391" s="131" t="str">
        <f>IFERROR(__xludf.DUMMYFUNCTION("""COMPUTED_VALUE"""),"Negative")</f>
        <v>Negative</v>
      </c>
      <c r="I1391" s="468"/>
      <c r="J1391" s="16"/>
      <c r="K1391" s="16">
        <f>IFERROR(__xludf.DUMMYFUNCTION("""COMPUTED_VALUE"""),2.2)</f>
        <v>2.2</v>
      </c>
      <c r="L1391" s="8"/>
      <c r="M1391" s="69"/>
      <c r="N1391" s="69">
        <f>IFERROR(__xludf.DUMMYFUNCTION("""COMPUTED_VALUE"""),4.0)</f>
        <v>4</v>
      </c>
      <c r="O1391" s="69" t="b">
        <f t="shared" si="3"/>
        <v>1</v>
      </c>
      <c r="P1391" s="471">
        <f>IFERROR(__xludf.DUMMYFUNCTION("""COMPUTED_VALUE"""),-1.0)</f>
        <v>-1</v>
      </c>
      <c r="Q1391" s="274" t="b">
        <f>VLOOKUP($B1391,'Run Reconcile'!B$2:O2488,14,FALSE)</f>
        <v>1</v>
      </c>
      <c r="R1391" s="472" t="str">
        <f t="array" ref="R1391">IF($Q1391, INDEX('Run Reconcile'!A$2:A2488,MATCH(B1391,'Run Reconcile'!B$2:B2488,0),1),IFERROR(0/0,""))</f>
        <v>RUN-FLMP_2022-06-20_APS-096</v>
      </c>
      <c r="S1391" s="473" t="str">
        <f t="shared" si="694"/>
        <v/>
      </c>
      <c r="T1391" s="473" t="str">
        <f t="shared" si="698"/>
        <v/>
      </c>
      <c r="U1391" s="275" t="str">
        <f t="array" ref="U1391">IF(ISBLANK($R1391), INDEX('Run Reconcile'!A$2:A2488, MATCH($B1391, 'Run Reconcile'!B$2:B2488, 0)+Z1391, 1), IFERROR(0/0,""))
</f>
        <v/>
      </c>
      <c r="V1391" s="474" t="str">
        <f t="shared" si="5"/>
        <v>RUN-FLMP_2022-06-20_APS-096</v>
      </c>
      <c r="Y1391" s="89" t="str">
        <f t="shared" si="1719"/>
        <v/>
      </c>
      <c r="Z1391" s="60" t="str">
        <f t="shared" si="7"/>
        <v/>
      </c>
      <c r="AA1391" s="60" t="str">
        <f t="shared" si="8"/>
        <v/>
      </c>
      <c r="AB1391" s="60" t="str">
        <f t="shared" si="9"/>
        <v/>
      </c>
      <c r="AC1391" s="30" t="str">
        <f t="shared" ref="AC1391:AD1391" si="1751">IF(_xlfn.ISFORMULA(S1391),IFERROR(0/0,""),TRUE)</f>
        <v/>
      </c>
      <c r="AD1391" s="30" t="str">
        <f t="shared" si="1751"/>
        <v/>
      </c>
      <c r="AE1391" s="475" t="str">
        <f>IFERROR(__xludf.DUMMYFUNCTION("""COMPUTED_VALUE"""),"FLSP")</f>
        <v>FLSP</v>
      </c>
      <c r="AF1391" s="476"/>
      <c r="AG1391" s="474" t="s">
        <v>231</v>
      </c>
      <c r="AH1391" s="138" t="str">
        <f t="shared" si="11"/>
        <v/>
      </c>
    </row>
    <row r="1392">
      <c r="A1392" s="103" t="str">
        <f>IFERROR(__xludf.DUMMYFUNCTION("""COMPUTED_VALUE"""),"MA665")</f>
        <v>MA665</v>
      </c>
      <c r="B1392" s="468">
        <f>IFERROR(__xludf.DUMMYFUNCTION("""COMPUTED_VALUE"""),44732.0)</f>
        <v>44732</v>
      </c>
      <c r="C1392" s="469">
        <f>IFERROR(__xludf.DUMMYFUNCTION("""COMPUTED_VALUE"""),0.3713078703703704)</f>
        <v>0.3713078704</v>
      </c>
      <c r="D1392" s="103" t="str">
        <f>IFERROR(__xludf.DUMMYFUNCTION("""COMPUTED_VALUE"""),"SpFLMP496039")</f>
        <v>SpFLMP496039</v>
      </c>
      <c r="E1392" s="103"/>
      <c r="F1392" s="103"/>
      <c r="G1392" s="103" t="str">
        <f>IFERROR(__xludf.DUMMYFUNCTION("""COMPUTED_VALUE"""),"Null")</f>
        <v>Null</v>
      </c>
      <c r="H1392" s="131" t="str">
        <f>IFERROR(__xludf.DUMMYFUNCTION("""COMPUTED_VALUE"""),"Negative")</f>
        <v>Negative</v>
      </c>
      <c r="I1392" s="468"/>
      <c r="J1392" s="16"/>
      <c r="K1392" s="16">
        <f>IFERROR(__xludf.DUMMYFUNCTION("""COMPUTED_VALUE"""),2.2)</f>
        <v>2.2</v>
      </c>
      <c r="L1392" s="8"/>
      <c r="M1392" s="69"/>
      <c r="N1392" s="69">
        <f>IFERROR(__xludf.DUMMYFUNCTION("""COMPUTED_VALUE"""),1.0)</f>
        <v>1</v>
      </c>
      <c r="O1392" s="69" t="str">
        <f t="shared" si="3"/>
        <v/>
      </c>
      <c r="P1392" s="471">
        <f>IFERROR(__xludf.DUMMYFUNCTION("""COMPUTED_VALUE"""),-1.0)</f>
        <v>-1</v>
      </c>
      <c r="Q1392" s="274" t="b">
        <f>VLOOKUP($B1392,'Run Reconcile'!B$2:O2488,14,FALSE)</f>
        <v>1</v>
      </c>
      <c r="R1392" s="472" t="str">
        <f t="array" ref="R1392">IF($Q1392, INDEX('Run Reconcile'!A$2:A2488,MATCH(B1392,'Run Reconcile'!B$2:B2488,0),1),IFERROR(0/0,""))</f>
        <v>RUN-FLMP_2022-06-20_APS-096</v>
      </c>
      <c r="S1392" s="473" t="str">
        <f t="shared" si="694"/>
        <v/>
      </c>
      <c r="T1392" s="473" t="str">
        <f t="shared" si="698"/>
        <v/>
      </c>
      <c r="U1392" s="275" t="str">
        <f t="array" ref="U1392">IF(ISBLANK($R1392), INDEX('Run Reconcile'!A$2:A2488, MATCH($B1392, 'Run Reconcile'!B$2:B2488, 0)+Z1392, 1), IFERROR(0/0,""))
</f>
        <v/>
      </c>
      <c r="V1392" s="474" t="str">
        <f t="shared" si="5"/>
        <v>RUN-FLMP_2022-06-20_APS-096</v>
      </c>
      <c r="Y1392" s="89" t="str">
        <f t="shared" si="1719"/>
        <v/>
      </c>
      <c r="Z1392" s="60" t="str">
        <f t="shared" si="7"/>
        <v/>
      </c>
      <c r="AA1392" s="60" t="str">
        <f t="shared" si="8"/>
        <v/>
      </c>
      <c r="AB1392" s="60" t="str">
        <f t="shared" si="9"/>
        <v/>
      </c>
      <c r="AC1392" s="30" t="str">
        <f t="shared" ref="AC1392:AD1392" si="1752">IF(_xlfn.ISFORMULA(S1392),IFERROR(0/0,""),TRUE)</f>
        <v/>
      </c>
      <c r="AD1392" s="30" t="str">
        <f t="shared" si="1752"/>
        <v/>
      </c>
      <c r="AE1392" s="475" t="str">
        <f>IFERROR(__xludf.DUMMYFUNCTION("""COMPUTED_VALUE"""),"FLSP")</f>
        <v>FLSP</v>
      </c>
      <c r="AF1392" s="476"/>
      <c r="AG1392" s="474" t="s">
        <v>231</v>
      </c>
      <c r="AH1392" s="138" t="str">
        <f t="shared" si="11"/>
        <v/>
      </c>
    </row>
    <row r="1393">
      <c r="A1393" s="103" t="str">
        <f>IFERROR(__xludf.DUMMYFUNCTION("""COMPUTED_VALUE"""),"MAX269")</f>
        <v>MAX269</v>
      </c>
      <c r="B1393" s="468">
        <f>IFERROR(__xludf.DUMMYFUNCTION("""COMPUTED_VALUE"""),44735.0)</f>
        <v>44735</v>
      </c>
      <c r="C1393" s="469">
        <f>IFERROR(__xludf.DUMMYFUNCTION("""COMPUTED_VALUE"""),0.36452546296296295)</f>
        <v>0.364525463</v>
      </c>
      <c r="D1393" s="103" t="str">
        <f>IFERROR(__xludf.DUMMYFUNCTION("""COMPUTED_VALUE"""),"SpFLMP684798")</f>
        <v>SpFLMP684798</v>
      </c>
      <c r="E1393" s="103"/>
      <c r="F1393" s="103"/>
      <c r="G1393" s="103" t="str">
        <f>IFERROR(__xludf.DUMMYFUNCTION("""COMPUTED_VALUE"""),"Null")</f>
        <v>Null</v>
      </c>
      <c r="H1393" s="131" t="str">
        <f>IFERROR(__xludf.DUMMYFUNCTION("""COMPUTED_VALUE"""),"Negative")</f>
        <v>Negative</v>
      </c>
      <c r="I1393" s="468"/>
      <c r="J1393" s="16"/>
      <c r="K1393" s="16">
        <f>IFERROR(__xludf.DUMMYFUNCTION("""COMPUTED_VALUE"""),2.2)</f>
        <v>2.2</v>
      </c>
      <c r="L1393" s="8"/>
      <c r="M1393" s="69"/>
      <c r="N1393" s="69">
        <f>IFERROR(__xludf.DUMMYFUNCTION("""COMPUTED_VALUE"""),4.0)</f>
        <v>4</v>
      </c>
      <c r="O1393" s="69" t="b">
        <f t="shared" si="3"/>
        <v>1</v>
      </c>
      <c r="P1393" s="471">
        <f>IFERROR(__xludf.DUMMYFUNCTION("""COMPUTED_VALUE"""),-1.0)</f>
        <v>-1</v>
      </c>
      <c r="Q1393" s="274" t="b">
        <f>VLOOKUP($B1393,'Run Reconcile'!B$2:O2488,14,FALSE)</f>
        <v>1</v>
      </c>
      <c r="R1393" s="472" t="str">
        <f t="array" ref="R1393">IF($Q1393, INDEX('Run Reconcile'!A$2:A2488,MATCH(B1393,'Run Reconcile'!B$2:B2488,0),1),IFERROR(0/0,""))</f>
        <v>RUN-FLMP_2022-06-23_APS-097</v>
      </c>
      <c r="S1393" s="473" t="str">
        <f t="shared" si="694"/>
        <v/>
      </c>
      <c r="T1393" s="473" t="str">
        <f t="shared" si="698"/>
        <v/>
      </c>
      <c r="U1393" s="275" t="str">
        <f t="array" ref="U1393">IF(ISBLANK($R1393), INDEX('Run Reconcile'!A$2:A2488, MATCH($B1393, 'Run Reconcile'!B$2:B2488, 0)+Z1393, 1), IFERROR(0/0,""))
</f>
        <v/>
      </c>
      <c r="V1393" s="474" t="str">
        <f t="shared" si="5"/>
        <v>RUN-FLMP_2022-06-23_APS-097</v>
      </c>
      <c r="Y1393" s="89" t="str">
        <f t="shared" si="1719"/>
        <v/>
      </c>
      <c r="Z1393" s="60" t="str">
        <f t="shared" si="7"/>
        <v/>
      </c>
      <c r="AA1393" s="60" t="str">
        <f t="shared" si="8"/>
        <v/>
      </c>
      <c r="AB1393" s="60" t="str">
        <f t="shared" si="9"/>
        <v/>
      </c>
      <c r="AC1393" s="30" t="str">
        <f t="shared" ref="AC1393:AD1393" si="1753">IF(_xlfn.ISFORMULA(S1393),IFERROR(0/0,""),TRUE)</f>
        <v/>
      </c>
      <c r="AD1393" s="30" t="str">
        <f t="shared" si="1753"/>
        <v/>
      </c>
      <c r="AE1393" s="475" t="str">
        <f>IFERROR(__xludf.DUMMYFUNCTION("""COMPUTED_VALUE"""),"FLSP")</f>
        <v>FLSP</v>
      </c>
      <c r="AF1393" s="476"/>
      <c r="AG1393" s="474" t="s">
        <v>232</v>
      </c>
      <c r="AH1393" s="138" t="str">
        <f t="shared" si="11"/>
        <v/>
      </c>
    </row>
    <row r="1394">
      <c r="A1394" s="103" t="str">
        <f>IFERROR(__xludf.DUMMYFUNCTION("""COMPUTED_VALUE"""),"MA27")</f>
        <v>MA27</v>
      </c>
      <c r="B1394" s="468">
        <f>IFERROR(__xludf.DUMMYFUNCTION("""COMPUTED_VALUE"""),44739.0)</f>
        <v>44739</v>
      </c>
      <c r="C1394" s="469">
        <f>IFERROR(__xludf.DUMMYFUNCTION("""COMPUTED_VALUE"""),0.36755787037037035)</f>
        <v>0.3675578704</v>
      </c>
      <c r="D1394" s="103" t="str">
        <f>IFERROR(__xludf.DUMMYFUNCTION("""COMPUTED_VALUE"""),"SpFLMP496039")</f>
        <v>SpFLMP496039</v>
      </c>
      <c r="E1394" s="103"/>
      <c r="F1394" s="103"/>
      <c r="G1394" s="103" t="str">
        <f>IFERROR(__xludf.DUMMYFUNCTION("""COMPUTED_VALUE"""),"Null")</f>
        <v>Null</v>
      </c>
      <c r="H1394" s="131" t="str">
        <f>IFERROR(__xludf.DUMMYFUNCTION("""COMPUTED_VALUE"""),"Negative")</f>
        <v>Negative</v>
      </c>
      <c r="I1394" s="468"/>
      <c r="J1394" s="16"/>
      <c r="K1394" s="16">
        <f>IFERROR(__xludf.DUMMYFUNCTION("""COMPUTED_VALUE"""),2.2)</f>
        <v>2.2</v>
      </c>
      <c r="L1394" s="8"/>
      <c r="M1394" s="69"/>
      <c r="N1394" s="69">
        <f>IFERROR(__xludf.DUMMYFUNCTION("""COMPUTED_VALUE"""),1.0)</f>
        <v>1</v>
      </c>
      <c r="O1394" s="69" t="b">
        <f t="shared" si="3"/>
        <v>1</v>
      </c>
      <c r="P1394" s="471">
        <f>IFERROR(__xludf.DUMMYFUNCTION("""COMPUTED_VALUE"""),-1.0)</f>
        <v>-1</v>
      </c>
      <c r="Q1394" s="274" t="b">
        <f>VLOOKUP($B1394,'Run Reconcile'!B$2:O2488,14,FALSE)</f>
        <v>1</v>
      </c>
      <c r="R1394" s="472" t="str">
        <f t="array" ref="R1394">IF($Q1394, INDEX('Run Reconcile'!A$2:A2488,MATCH(B1394,'Run Reconcile'!B$2:B2488,0),1),IFERROR(0/0,""))</f>
        <v>RUN-FLMP_2022-06-27_APS-098</v>
      </c>
      <c r="S1394" s="473" t="str">
        <f t="shared" si="694"/>
        <v/>
      </c>
      <c r="T1394" s="473" t="str">
        <f t="shared" si="698"/>
        <v/>
      </c>
      <c r="U1394" s="275" t="str">
        <f t="array" ref="U1394">IF(ISBLANK($R1394), INDEX('Run Reconcile'!A$2:A2488, MATCH($B1394, 'Run Reconcile'!B$2:B2488, 0)+Z1394, 1), IFERROR(0/0,""))
</f>
        <v/>
      </c>
      <c r="V1394" s="474" t="str">
        <f t="shared" si="5"/>
        <v>RUN-FLMP_2022-06-27_APS-098</v>
      </c>
      <c r="Y1394" s="89" t="str">
        <f t="shared" si="1719"/>
        <v/>
      </c>
      <c r="Z1394" s="60" t="str">
        <f t="shared" si="7"/>
        <v/>
      </c>
      <c r="AA1394" s="60" t="str">
        <f t="shared" si="8"/>
        <v/>
      </c>
      <c r="AB1394" s="60" t="str">
        <f t="shared" si="9"/>
        <v/>
      </c>
      <c r="AC1394" s="30" t="str">
        <f t="shared" ref="AC1394:AD1394" si="1754">IF(_xlfn.ISFORMULA(S1394),IFERROR(0/0,""),TRUE)</f>
        <v/>
      </c>
      <c r="AD1394" s="30" t="str">
        <f t="shared" si="1754"/>
        <v/>
      </c>
      <c r="AE1394" s="475" t="str">
        <f>IFERROR(__xludf.DUMMYFUNCTION("""COMPUTED_VALUE"""),"FLSP")</f>
        <v>FLSP</v>
      </c>
      <c r="AF1394" s="476"/>
      <c r="AG1394" s="474" t="s">
        <v>233</v>
      </c>
      <c r="AH1394" s="138" t="str">
        <f t="shared" si="11"/>
        <v/>
      </c>
    </row>
    <row r="1395">
      <c r="A1395" s="103" t="str">
        <f>IFERROR(__xludf.DUMMYFUNCTION("""COMPUTED_VALUE"""),"FM2020")</f>
        <v>FM2020</v>
      </c>
      <c r="B1395" s="468">
        <f>IFERROR(__xludf.DUMMYFUNCTION("""COMPUTED_VALUE"""),44741.0)</f>
        <v>44741</v>
      </c>
      <c r="C1395" s="469">
        <f>IFERROR(__xludf.DUMMYFUNCTION("""COMPUTED_VALUE"""),0.6211111111111111)</f>
        <v>0.6211111111</v>
      </c>
      <c r="D1395" s="103" t="str">
        <f>IFERROR(__xludf.DUMMYFUNCTION("""COMPUTED_VALUE"""),"SpFLMP659315")</f>
        <v>SpFLMP659315</v>
      </c>
      <c r="E1395" s="103"/>
      <c r="F1395" s="103"/>
      <c r="G1395" s="103" t="str">
        <f>IFERROR(__xludf.DUMMYFUNCTION("""COMPUTED_VALUE"""),"Null")</f>
        <v>Null</v>
      </c>
      <c r="H1395" s="131" t="str">
        <f>IFERROR(__xludf.DUMMYFUNCTION("""COMPUTED_VALUE"""),"Negative")</f>
        <v>Negative</v>
      </c>
      <c r="I1395" s="468">
        <f>IFERROR(__xludf.DUMMYFUNCTION("""COMPUTED_VALUE"""),44886.0)</f>
        <v>44886</v>
      </c>
      <c r="J1395" s="470">
        <f>IFERROR(__xludf.DUMMYFUNCTION("""COMPUTED_VALUE"""),0.5893402777777778)</f>
        <v>0.5893402778</v>
      </c>
      <c r="K1395" s="16">
        <f>IFERROR(__xludf.DUMMYFUNCTION("""COMPUTED_VALUE"""),2.0)</f>
        <v>2</v>
      </c>
      <c r="L1395" s="8" t="str">
        <f>IFERROR(__xludf.DUMMYFUNCTION("""COMPUTED_VALUE"""),"admin recall test was neg")</f>
        <v>admin recall test was neg</v>
      </c>
      <c r="M1395" s="69"/>
      <c r="N1395" s="69">
        <f>IFERROR(__xludf.DUMMYFUNCTION("""COMPUTED_VALUE"""),2.0)</f>
        <v>2</v>
      </c>
      <c r="O1395" s="69" t="b">
        <f t="shared" si="3"/>
        <v>1</v>
      </c>
      <c r="P1395" s="471">
        <f>IFERROR(__xludf.DUMMYFUNCTION("""COMPUTED_VALUE"""),145.0)</f>
        <v>145</v>
      </c>
      <c r="Q1395" s="274" t="b">
        <f>VLOOKUP($B1395,'Run Reconcile'!B$2:O2488,14,FALSE)</f>
        <v>1</v>
      </c>
      <c r="R1395" s="472" t="str">
        <f t="array" ref="R1395">IF($Q1395, INDEX('Run Reconcile'!A$2:A2488,MATCH(B1395,'Run Reconcile'!B$2:B2488,0),1),IFERROR(0/0,""))</f>
        <v>RUN-FLMP_2022-06-29_APS-099</v>
      </c>
      <c r="S1395" s="473" t="str">
        <f t="shared" si="694"/>
        <v/>
      </c>
      <c r="T1395" s="473" t="str">
        <f t="shared" si="698"/>
        <v/>
      </c>
      <c r="U1395" s="275" t="str">
        <f t="array" ref="U1395">IF(ISBLANK($R1395), INDEX('Run Reconcile'!A$2:A2488, MATCH($B1395, 'Run Reconcile'!B$2:B2488, 0)+Z1395, 1), IFERROR(0/0,""))
</f>
        <v/>
      </c>
      <c r="V1395" s="474" t="str">
        <f t="shared" si="5"/>
        <v>RUN-FLMP_2022-06-29_APS-099</v>
      </c>
      <c r="Y1395" s="89" t="str">
        <f t="shared" si="1719"/>
        <v/>
      </c>
      <c r="Z1395" s="60" t="str">
        <f t="shared" si="7"/>
        <v/>
      </c>
      <c r="AA1395" s="60" t="str">
        <f t="shared" si="8"/>
        <v/>
      </c>
      <c r="AB1395" s="60" t="str">
        <f t="shared" si="9"/>
        <v/>
      </c>
      <c r="AC1395" s="30" t="str">
        <f t="shared" ref="AC1395:AD1395" si="1755">IF(_xlfn.ISFORMULA(S1395),IFERROR(0/0,""),TRUE)</f>
        <v/>
      </c>
      <c r="AD1395" s="30" t="str">
        <f t="shared" si="1755"/>
        <v/>
      </c>
      <c r="AE1395" s="475" t="str">
        <f>IFERROR(__xludf.DUMMYFUNCTION("""COMPUTED_VALUE"""),"FLSP")</f>
        <v>FLSP</v>
      </c>
      <c r="AF1395" s="476"/>
      <c r="AG1395" s="474" t="s">
        <v>234</v>
      </c>
      <c r="AH1395" s="138" t="str">
        <f t="shared" si="11"/>
        <v/>
      </c>
    </row>
    <row r="1396">
      <c r="A1396" s="103" t="str">
        <f>IFERROR(__xludf.DUMMYFUNCTION("""COMPUTED_VALUE"""),"MAX292")</f>
        <v>MAX292</v>
      </c>
      <c r="B1396" s="468">
        <f>IFERROR(__xludf.DUMMYFUNCTION("""COMPUTED_VALUE"""),44742.0)</f>
        <v>44742</v>
      </c>
      <c r="C1396" s="469">
        <f>IFERROR(__xludf.DUMMYFUNCTION("""COMPUTED_VALUE"""),0.3515162037037037)</f>
        <v>0.3515162037</v>
      </c>
      <c r="D1396" s="103" t="str">
        <f>IFERROR(__xludf.DUMMYFUNCTION("""COMPUTED_VALUE"""),"SpFLMP496039")</f>
        <v>SpFLMP496039</v>
      </c>
      <c r="E1396" s="103"/>
      <c r="F1396" s="103"/>
      <c r="G1396" s="103" t="str">
        <f>IFERROR(__xludf.DUMMYFUNCTION("""COMPUTED_VALUE"""),"Null")</f>
        <v>Null</v>
      </c>
      <c r="H1396" s="131" t="str">
        <f>IFERROR(__xludf.DUMMYFUNCTION("""COMPUTED_VALUE"""),"Negative")</f>
        <v>Negative</v>
      </c>
      <c r="I1396" s="468"/>
      <c r="J1396" s="16"/>
      <c r="K1396" s="16">
        <f>IFERROR(__xludf.DUMMYFUNCTION("""COMPUTED_VALUE"""),2.2)</f>
        <v>2.2</v>
      </c>
      <c r="L1396" s="8"/>
      <c r="M1396" s="69"/>
      <c r="N1396" s="69">
        <f>IFERROR(__xludf.DUMMYFUNCTION("""COMPUTED_VALUE"""),1.0)</f>
        <v>1</v>
      </c>
      <c r="O1396" s="69" t="b">
        <f t="shared" si="3"/>
        <v>1</v>
      </c>
      <c r="P1396" s="471">
        <f>IFERROR(__xludf.DUMMYFUNCTION("""COMPUTED_VALUE"""),-1.0)</f>
        <v>-1</v>
      </c>
      <c r="Q1396" s="274" t="b">
        <f>VLOOKUP($B1396,'Run Reconcile'!B$2:O2488,14,FALSE)</f>
        <v>1</v>
      </c>
      <c r="R1396" s="472" t="str">
        <f t="array" ref="R1396">IF($Q1396, INDEX('Run Reconcile'!A$2:A2488,MATCH(B1396,'Run Reconcile'!B$2:B2488,0),1),IFERROR(0/0,""))</f>
        <v>RUN-FLMP_2022-06-30_APS-100</v>
      </c>
      <c r="S1396" s="473" t="str">
        <f t="shared" si="694"/>
        <v/>
      </c>
      <c r="T1396" s="473" t="str">
        <f t="shared" si="698"/>
        <v/>
      </c>
      <c r="U1396" s="275" t="str">
        <f t="array" ref="U1396">IF(ISBLANK($R1396), INDEX('Run Reconcile'!A$2:A2488, MATCH($B1396, 'Run Reconcile'!B$2:B2488, 0)+Z1396, 1), IFERROR(0/0,""))
</f>
        <v/>
      </c>
      <c r="V1396" s="474" t="str">
        <f t="shared" si="5"/>
        <v>RUN-FLMP_2022-06-30_APS-100</v>
      </c>
      <c r="Y1396" s="89" t="str">
        <f t="shared" si="1719"/>
        <v/>
      </c>
      <c r="Z1396" s="60" t="str">
        <f t="shared" si="7"/>
        <v/>
      </c>
      <c r="AA1396" s="60" t="str">
        <f t="shared" si="8"/>
        <v/>
      </c>
      <c r="AB1396" s="60" t="str">
        <f t="shared" si="9"/>
        <v/>
      </c>
      <c r="AC1396" s="30" t="str">
        <f t="shared" ref="AC1396:AD1396" si="1756">IF(_xlfn.ISFORMULA(S1396),IFERROR(0/0,""),TRUE)</f>
        <v/>
      </c>
      <c r="AD1396" s="30" t="str">
        <f t="shared" si="1756"/>
        <v/>
      </c>
      <c r="AE1396" s="475" t="str">
        <f>IFERROR(__xludf.DUMMYFUNCTION("""COMPUTED_VALUE"""),"FLSP")</f>
        <v>FLSP</v>
      </c>
      <c r="AF1396" s="476"/>
      <c r="AG1396" s="474" t="s">
        <v>235</v>
      </c>
      <c r="AH1396" s="138" t="str">
        <f t="shared" si="11"/>
        <v/>
      </c>
    </row>
    <row r="1397">
      <c r="A1397" s="103" t="str">
        <f>IFERROR(__xludf.DUMMYFUNCTION("""COMPUTED_VALUE"""),"MAX440")</f>
        <v>MAX440</v>
      </c>
      <c r="B1397" s="468">
        <f>IFERROR(__xludf.DUMMYFUNCTION("""COMPUTED_VALUE"""),44760.0)</f>
        <v>44760</v>
      </c>
      <c r="C1397" s="469">
        <f>IFERROR(__xludf.DUMMYFUNCTION("""COMPUTED_VALUE"""),0.36712962962962964)</f>
        <v>0.3671296296</v>
      </c>
      <c r="D1397" s="103" t="str">
        <f>IFERROR(__xludf.DUMMYFUNCTION("""COMPUTED_VALUE"""),"SpFLMP684798")</f>
        <v>SpFLMP684798</v>
      </c>
      <c r="E1397" s="103"/>
      <c r="F1397" s="103"/>
      <c r="G1397" s="103" t="str">
        <f>IFERROR(__xludf.DUMMYFUNCTION("""COMPUTED_VALUE"""),"Null")</f>
        <v>Null</v>
      </c>
      <c r="H1397" s="131" t="str">
        <f>IFERROR(__xludf.DUMMYFUNCTION("""COMPUTED_VALUE"""),"Negative")</f>
        <v>Negative</v>
      </c>
      <c r="I1397" s="468"/>
      <c r="J1397" s="16"/>
      <c r="K1397" s="16">
        <f>IFERROR(__xludf.DUMMYFUNCTION("""COMPUTED_VALUE"""),2.2)</f>
        <v>2.2</v>
      </c>
      <c r="L1397" s="8"/>
      <c r="M1397" s="69"/>
      <c r="N1397" s="69">
        <f>IFERROR(__xludf.DUMMYFUNCTION("""COMPUTED_VALUE"""),4.0)</f>
        <v>4</v>
      </c>
      <c r="O1397" s="69" t="b">
        <f t="shared" si="3"/>
        <v>1</v>
      </c>
      <c r="P1397" s="471">
        <f>IFERROR(__xludf.DUMMYFUNCTION("""COMPUTED_VALUE"""),-1.0)</f>
        <v>-1</v>
      </c>
      <c r="Q1397" s="274" t="b">
        <f>VLOOKUP($B1397,'Run Reconcile'!B$2:O2488,14,FALSE)</f>
        <v>1</v>
      </c>
      <c r="R1397" s="472" t="str">
        <f t="array" ref="R1397">IF($Q1397, INDEX('Run Reconcile'!A$2:A2488,MATCH(B1397,'Run Reconcile'!B$2:B2488,0),1),IFERROR(0/0,""))</f>
        <v>RUN-FLMP_2022-07-18_APS-101</v>
      </c>
      <c r="S1397" s="473" t="str">
        <f t="shared" si="694"/>
        <v/>
      </c>
      <c r="T1397" s="473" t="str">
        <f t="shared" si="698"/>
        <v/>
      </c>
      <c r="U1397" s="275" t="str">
        <f t="array" ref="U1397">IF(ISBLANK($R1397), INDEX('Run Reconcile'!A$2:A2488, MATCH($B1397, 'Run Reconcile'!B$2:B2488, 0)+Z1397, 1), IFERROR(0/0,""))
</f>
        <v/>
      </c>
      <c r="V1397" s="474" t="str">
        <f t="shared" si="5"/>
        <v>RUN-FLMP_2022-07-18_APS-101</v>
      </c>
      <c r="Y1397" s="89" t="str">
        <f t="shared" si="1719"/>
        <v/>
      </c>
      <c r="Z1397" s="60" t="str">
        <f t="shared" si="7"/>
        <v/>
      </c>
      <c r="AA1397" s="60" t="str">
        <f t="shared" si="8"/>
        <v/>
      </c>
      <c r="AB1397" s="60" t="str">
        <f t="shared" si="9"/>
        <v/>
      </c>
      <c r="AC1397" s="30" t="str">
        <f t="shared" ref="AC1397:AD1397" si="1757">IF(_xlfn.ISFORMULA(S1397),IFERROR(0/0,""),TRUE)</f>
        <v/>
      </c>
      <c r="AD1397" s="30" t="str">
        <f t="shared" si="1757"/>
        <v/>
      </c>
      <c r="AE1397" s="475" t="str">
        <f>IFERROR(__xludf.DUMMYFUNCTION("""COMPUTED_VALUE"""),"FLSP")</f>
        <v>FLSP</v>
      </c>
      <c r="AF1397" s="476"/>
      <c r="AG1397" s="474" t="s">
        <v>236</v>
      </c>
      <c r="AH1397" s="138" t="str">
        <f t="shared" si="11"/>
        <v/>
      </c>
    </row>
    <row r="1398">
      <c r="A1398" s="103" t="str">
        <f>IFERROR(__xludf.DUMMYFUNCTION("""COMPUTED_VALUE"""),"MA579")</f>
        <v>MA579</v>
      </c>
      <c r="B1398" s="468">
        <f>IFERROR(__xludf.DUMMYFUNCTION("""COMPUTED_VALUE"""),44760.0)</f>
        <v>44760</v>
      </c>
      <c r="C1398" s="469">
        <f>IFERROR(__xludf.DUMMYFUNCTION("""COMPUTED_VALUE"""),0.3768518518518518)</f>
        <v>0.3768518519</v>
      </c>
      <c r="D1398" s="103" t="str">
        <f>IFERROR(__xludf.DUMMYFUNCTION("""COMPUTED_VALUE"""),"SpFLMP496039")</f>
        <v>SpFLMP496039</v>
      </c>
      <c r="E1398" s="103"/>
      <c r="F1398" s="103"/>
      <c r="G1398" s="103" t="str">
        <f>IFERROR(__xludf.DUMMYFUNCTION("""COMPUTED_VALUE"""),"Null")</f>
        <v>Null</v>
      </c>
      <c r="H1398" s="131" t="str">
        <f>IFERROR(__xludf.DUMMYFUNCTION("""COMPUTED_VALUE"""),"Negative")</f>
        <v>Negative</v>
      </c>
      <c r="I1398" s="468"/>
      <c r="J1398" s="16"/>
      <c r="K1398" s="16">
        <f>IFERROR(__xludf.DUMMYFUNCTION("""COMPUTED_VALUE"""),2.2)</f>
        <v>2.2</v>
      </c>
      <c r="L1398" s="8"/>
      <c r="M1398" s="69"/>
      <c r="N1398" s="69">
        <f>IFERROR(__xludf.DUMMYFUNCTION("""COMPUTED_VALUE"""),1.0)</f>
        <v>1</v>
      </c>
      <c r="O1398" s="69" t="str">
        <f t="shared" si="3"/>
        <v/>
      </c>
      <c r="P1398" s="471">
        <f>IFERROR(__xludf.DUMMYFUNCTION("""COMPUTED_VALUE"""),-1.0)</f>
        <v>-1</v>
      </c>
      <c r="Q1398" s="274" t="b">
        <f>VLOOKUP($B1398,'Run Reconcile'!B$2:O2488,14,FALSE)</f>
        <v>1</v>
      </c>
      <c r="R1398" s="472" t="str">
        <f t="array" ref="R1398">IF($Q1398, INDEX('Run Reconcile'!A$2:A2488,MATCH(B1398,'Run Reconcile'!B$2:B2488,0),1),IFERROR(0/0,""))</f>
        <v>RUN-FLMP_2022-07-18_APS-101</v>
      </c>
      <c r="S1398" s="473" t="str">
        <f t="shared" si="694"/>
        <v/>
      </c>
      <c r="T1398" s="473" t="str">
        <f t="shared" si="698"/>
        <v/>
      </c>
      <c r="U1398" s="275" t="str">
        <f t="array" ref="U1398">IF(ISBLANK($R1398), INDEX('Run Reconcile'!A$2:A2488, MATCH($B1398, 'Run Reconcile'!B$2:B2488, 0)+Z1398, 1), IFERROR(0/0,""))
</f>
        <v/>
      </c>
      <c r="V1398" s="474" t="str">
        <f t="shared" si="5"/>
        <v>RUN-FLMP_2022-07-18_APS-101</v>
      </c>
      <c r="Y1398" s="89" t="str">
        <f t="shared" si="1719"/>
        <v/>
      </c>
      <c r="Z1398" s="60" t="str">
        <f t="shared" si="7"/>
        <v/>
      </c>
      <c r="AA1398" s="60" t="str">
        <f t="shared" si="8"/>
        <v/>
      </c>
      <c r="AB1398" s="60" t="str">
        <f t="shared" si="9"/>
        <v/>
      </c>
      <c r="AC1398" s="30" t="str">
        <f t="shared" ref="AC1398:AD1398" si="1758">IF(_xlfn.ISFORMULA(S1398),IFERROR(0/0,""),TRUE)</f>
        <v/>
      </c>
      <c r="AD1398" s="30" t="str">
        <f t="shared" si="1758"/>
        <v/>
      </c>
      <c r="AE1398" s="475" t="str">
        <f>IFERROR(__xludf.DUMMYFUNCTION("""COMPUTED_VALUE"""),"FLSP")</f>
        <v>FLSP</v>
      </c>
      <c r="AF1398" s="476"/>
      <c r="AG1398" s="474" t="s">
        <v>236</v>
      </c>
      <c r="AH1398" s="138" t="str">
        <f t="shared" si="11"/>
        <v/>
      </c>
    </row>
    <row r="1399">
      <c r="A1399" s="103" t="str">
        <f>IFERROR(__xludf.DUMMYFUNCTION("""COMPUTED_VALUE"""),"FM4498")</f>
        <v>FM4498</v>
      </c>
      <c r="B1399" s="468">
        <f>IFERROR(__xludf.DUMMYFUNCTION("""COMPUTED_VALUE"""),44763.0)</f>
        <v>44763</v>
      </c>
      <c r="C1399" s="469">
        <f>IFERROR(__xludf.DUMMYFUNCTION("""COMPUTED_VALUE"""),0.37376157407407407)</f>
        <v>0.3737615741</v>
      </c>
      <c r="D1399" s="103" t="str">
        <f>IFERROR(__xludf.DUMMYFUNCTION("""COMPUTED_VALUE"""),"SpFLMP496039")</f>
        <v>SpFLMP496039</v>
      </c>
      <c r="E1399" s="103"/>
      <c r="F1399" s="103"/>
      <c r="G1399" s="103" t="str">
        <f>IFERROR(__xludf.DUMMYFUNCTION("""COMPUTED_VALUE"""),"Null")</f>
        <v>Null</v>
      </c>
      <c r="H1399" s="131" t="str">
        <f>IFERROR(__xludf.DUMMYFUNCTION("""COMPUTED_VALUE"""),"Negative")</f>
        <v>Negative</v>
      </c>
      <c r="I1399" s="468"/>
      <c r="J1399" s="16"/>
      <c r="K1399" s="16">
        <f>IFERROR(__xludf.DUMMYFUNCTION("""COMPUTED_VALUE"""),2.2)</f>
        <v>2.2</v>
      </c>
      <c r="L1399" s="8"/>
      <c r="M1399" s="69"/>
      <c r="N1399" s="69">
        <f>IFERROR(__xludf.DUMMYFUNCTION("""COMPUTED_VALUE"""),1.0)</f>
        <v>1</v>
      </c>
      <c r="O1399" s="69" t="b">
        <f t="shared" si="3"/>
        <v>1</v>
      </c>
      <c r="P1399" s="471">
        <f>IFERROR(__xludf.DUMMYFUNCTION("""COMPUTED_VALUE"""),-1.0)</f>
        <v>-1</v>
      </c>
      <c r="Q1399" s="274" t="b">
        <f>VLOOKUP($B1399,'Run Reconcile'!B$2:O2488,14,FALSE)</f>
        <v>1</v>
      </c>
      <c r="R1399" s="472" t="str">
        <f t="array" ref="R1399">IF($Q1399, INDEX('Run Reconcile'!A$2:A2488,MATCH(B1399,'Run Reconcile'!B$2:B2488,0),1),IFERROR(0/0,""))</f>
        <v>RUN-FLMP_2022-07-21_APS-102</v>
      </c>
      <c r="S1399" s="473" t="str">
        <f t="shared" si="694"/>
        <v/>
      </c>
      <c r="T1399" s="473" t="str">
        <f t="shared" si="698"/>
        <v/>
      </c>
      <c r="U1399" s="275" t="str">
        <f t="array" ref="U1399">IF(ISBLANK($R1399), INDEX('Run Reconcile'!A$2:A2488, MATCH($B1399, 'Run Reconcile'!B$2:B2488, 0)+Z1399, 1), IFERROR(0/0,""))
</f>
        <v/>
      </c>
      <c r="V1399" s="474" t="str">
        <f t="shared" si="5"/>
        <v>RUN-FLMP_2022-07-21_APS-102</v>
      </c>
      <c r="Y1399" s="89" t="str">
        <f t="shared" si="1719"/>
        <v/>
      </c>
      <c r="Z1399" s="60" t="str">
        <f t="shared" si="7"/>
        <v/>
      </c>
      <c r="AA1399" s="60" t="str">
        <f t="shared" si="8"/>
        <v/>
      </c>
      <c r="AB1399" s="60" t="str">
        <f t="shared" si="9"/>
        <v/>
      </c>
      <c r="AC1399" s="30" t="str">
        <f t="shared" ref="AC1399:AD1399" si="1759">IF(_xlfn.ISFORMULA(S1399),IFERROR(0/0,""),TRUE)</f>
        <v/>
      </c>
      <c r="AD1399" s="30" t="str">
        <f t="shared" si="1759"/>
        <v/>
      </c>
      <c r="AE1399" s="475" t="str">
        <f>IFERROR(__xludf.DUMMYFUNCTION("""COMPUTED_VALUE"""),"FLSP")</f>
        <v>FLSP</v>
      </c>
      <c r="AF1399" s="476"/>
      <c r="AG1399" s="474" t="s">
        <v>237</v>
      </c>
      <c r="AH1399" s="138" t="str">
        <f t="shared" si="11"/>
        <v/>
      </c>
    </row>
    <row r="1400">
      <c r="A1400" s="103" t="str">
        <f>IFERROR(__xludf.DUMMYFUNCTION("""COMPUTED_VALUE"""),"FM4493")</f>
        <v>FM4493</v>
      </c>
      <c r="B1400" s="468">
        <f>IFERROR(__xludf.DUMMYFUNCTION("""COMPUTED_VALUE"""),44767.0)</f>
        <v>44767</v>
      </c>
      <c r="C1400" s="469">
        <f>IFERROR(__xludf.DUMMYFUNCTION("""COMPUTED_VALUE"""),0.3739351851851852)</f>
        <v>0.3739351852</v>
      </c>
      <c r="D1400" s="103" t="str">
        <f>IFERROR(__xludf.DUMMYFUNCTION("""COMPUTED_VALUE"""),"SpFLMP496039")</f>
        <v>SpFLMP496039</v>
      </c>
      <c r="E1400" s="103"/>
      <c r="F1400" s="103"/>
      <c r="G1400" s="103" t="str">
        <f>IFERROR(__xludf.DUMMYFUNCTION("""COMPUTED_VALUE"""),"Null")</f>
        <v>Null</v>
      </c>
      <c r="H1400" s="131" t="str">
        <f>IFERROR(__xludf.DUMMYFUNCTION("""COMPUTED_VALUE"""),"Negative")</f>
        <v>Negative</v>
      </c>
      <c r="I1400" s="468">
        <f>IFERROR(__xludf.DUMMYFUNCTION("""COMPUTED_VALUE"""),44767.0)</f>
        <v>44767</v>
      </c>
      <c r="J1400" s="470">
        <f>IFERROR(__xludf.DUMMYFUNCTION("""COMPUTED_VALUE"""),0.4179050925925926)</f>
        <v>0.4179050926</v>
      </c>
      <c r="K1400" s="16">
        <f>IFERROR(__xludf.DUMMYFUNCTION("""COMPUTED_VALUE"""),2.2)</f>
        <v>2.2</v>
      </c>
      <c r="L1400" s="8"/>
      <c r="M1400" s="69"/>
      <c r="N1400" s="69">
        <f>IFERROR(__xludf.DUMMYFUNCTION("""COMPUTED_VALUE"""),1.0)</f>
        <v>1</v>
      </c>
      <c r="O1400" s="69" t="b">
        <f t="shared" si="3"/>
        <v>1</v>
      </c>
      <c r="P1400" s="471">
        <f>IFERROR(__xludf.DUMMYFUNCTION("""COMPUTED_VALUE"""),0.0)</f>
        <v>0</v>
      </c>
      <c r="Q1400" s="274" t="b">
        <f>VLOOKUP($B1400,'Run Reconcile'!B$2:O2488,14,FALSE)</f>
        <v>1</v>
      </c>
      <c r="R1400" s="472" t="str">
        <f t="array" ref="R1400">IF($Q1400, INDEX('Run Reconcile'!A$2:A2488,MATCH(B1400,'Run Reconcile'!B$2:B2488,0),1),IFERROR(0/0,""))</f>
        <v>RUN-FLMP_2022-07-25_APS-103</v>
      </c>
      <c r="S1400" s="473" t="str">
        <f t="shared" si="694"/>
        <v/>
      </c>
      <c r="T1400" s="473" t="str">
        <f t="shared" si="698"/>
        <v/>
      </c>
      <c r="U1400" s="275" t="str">
        <f t="array" ref="U1400">IF(ISBLANK($R1400), INDEX('Run Reconcile'!A$2:A2488, MATCH($B1400, 'Run Reconcile'!B$2:B2488, 0)+Z1400, 1), IFERROR(0/0,""))
</f>
        <v/>
      </c>
      <c r="V1400" s="474" t="str">
        <f t="shared" si="5"/>
        <v>RUN-FLMP_2022-07-25_APS-103</v>
      </c>
      <c r="Y1400" s="89" t="str">
        <f t="shared" si="1719"/>
        <v/>
      </c>
      <c r="Z1400" s="60" t="str">
        <f t="shared" si="7"/>
        <v/>
      </c>
      <c r="AA1400" s="60" t="str">
        <f t="shared" si="8"/>
        <v/>
      </c>
      <c r="AB1400" s="60" t="str">
        <f t="shared" si="9"/>
        <v/>
      </c>
      <c r="AC1400" s="30" t="str">
        <f t="shared" ref="AC1400:AD1400" si="1760">IF(_xlfn.ISFORMULA(S1400),IFERROR(0/0,""),TRUE)</f>
        <v/>
      </c>
      <c r="AD1400" s="30" t="str">
        <f t="shared" si="1760"/>
        <v/>
      </c>
      <c r="AE1400" s="475" t="str">
        <f>IFERROR(__xludf.DUMMYFUNCTION("""COMPUTED_VALUE"""),"FLSP")</f>
        <v>FLSP</v>
      </c>
      <c r="AF1400" s="476"/>
      <c r="AG1400" s="474" t="s">
        <v>238</v>
      </c>
      <c r="AH1400" s="138" t="str">
        <f t="shared" si="11"/>
        <v/>
      </c>
    </row>
    <row r="1401">
      <c r="A1401" s="103" t="str">
        <f>IFERROR(__xludf.DUMMYFUNCTION("""COMPUTED_VALUE"""),"MAX258")</f>
        <v>MAX258</v>
      </c>
      <c r="B1401" s="468">
        <f>IFERROR(__xludf.DUMMYFUNCTION("""COMPUTED_VALUE"""),44767.0)</f>
        <v>44767</v>
      </c>
      <c r="C1401" s="469">
        <f>IFERROR(__xludf.DUMMYFUNCTION("""COMPUTED_VALUE"""),0.3798958333333333)</f>
        <v>0.3798958333</v>
      </c>
      <c r="D1401" s="103" t="str">
        <f>IFERROR(__xludf.DUMMYFUNCTION("""COMPUTED_VALUE"""),"SpFLMP684798")</f>
        <v>SpFLMP684798</v>
      </c>
      <c r="E1401" s="103"/>
      <c r="F1401" s="103"/>
      <c r="G1401" s="103" t="str">
        <f>IFERROR(__xludf.DUMMYFUNCTION("""COMPUTED_VALUE"""),"Null")</f>
        <v>Null</v>
      </c>
      <c r="H1401" s="131" t="str">
        <f>IFERROR(__xludf.DUMMYFUNCTION("""COMPUTED_VALUE"""),"Negative")</f>
        <v>Negative</v>
      </c>
      <c r="I1401" s="468">
        <f>IFERROR(__xludf.DUMMYFUNCTION("""COMPUTED_VALUE"""),44767.0)</f>
        <v>44767</v>
      </c>
      <c r="J1401" s="470">
        <f>IFERROR(__xludf.DUMMYFUNCTION("""COMPUTED_VALUE"""),0.41791666666666666)</f>
        <v>0.4179166667</v>
      </c>
      <c r="K1401" s="16">
        <f>IFERROR(__xludf.DUMMYFUNCTION("""COMPUTED_VALUE"""),2.2)</f>
        <v>2.2</v>
      </c>
      <c r="L1401" s="8"/>
      <c r="M1401" s="69"/>
      <c r="N1401" s="69">
        <f>IFERROR(__xludf.DUMMYFUNCTION("""COMPUTED_VALUE"""),4.0)</f>
        <v>4</v>
      </c>
      <c r="O1401" s="69" t="str">
        <f t="shared" si="3"/>
        <v/>
      </c>
      <c r="P1401" s="471">
        <f>IFERROR(__xludf.DUMMYFUNCTION("""COMPUTED_VALUE"""),0.0)</f>
        <v>0</v>
      </c>
      <c r="Q1401" s="274" t="b">
        <f>VLOOKUP($B1401,'Run Reconcile'!B$2:O2488,14,FALSE)</f>
        <v>1</v>
      </c>
      <c r="R1401" s="472" t="str">
        <f t="array" ref="R1401">IF($Q1401, INDEX('Run Reconcile'!A$2:A2488,MATCH(B1401,'Run Reconcile'!B$2:B2488,0),1),IFERROR(0/0,""))</f>
        <v>RUN-FLMP_2022-07-25_APS-103</v>
      </c>
      <c r="S1401" s="473" t="str">
        <f t="shared" si="694"/>
        <v/>
      </c>
      <c r="T1401" s="473" t="str">
        <f t="shared" si="698"/>
        <v/>
      </c>
      <c r="U1401" s="275" t="str">
        <f t="array" ref="U1401">IF(ISBLANK($R1401), INDEX('Run Reconcile'!A$2:A2488, MATCH($B1401, 'Run Reconcile'!B$2:B2488, 0)+Z1401, 1), IFERROR(0/0,""))
</f>
        <v/>
      </c>
      <c r="V1401" s="474" t="str">
        <f t="shared" si="5"/>
        <v>RUN-FLMP_2022-07-25_APS-103</v>
      </c>
      <c r="Y1401" s="89" t="str">
        <f t="shared" si="1719"/>
        <v/>
      </c>
      <c r="Z1401" s="60" t="str">
        <f t="shared" si="7"/>
        <v/>
      </c>
      <c r="AA1401" s="60" t="str">
        <f t="shared" si="8"/>
        <v/>
      </c>
      <c r="AB1401" s="60" t="str">
        <f t="shared" si="9"/>
        <v/>
      </c>
      <c r="AC1401" s="30" t="str">
        <f t="shared" ref="AC1401:AD1401" si="1761">IF(_xlfn.ISFORMULA(S1401),IFERROR(0/0,""),TRUE)</f>
        <v/>
      </c>
      <c r="AD1401" s="30" t="str">
        <f t="shared" si="1761"/>
        <v/>
      </c>
      <c r="AE1401" s="475" t="str">
        <f>IFERROR(__xludf.DUMMYFUNCTION("""COMPUTED_VALUE"""),"FLSP")</f>
        <v>FLSP</v>
      </c>
      <c r="AF1401" s="476"/>
      <c r="AG1401" s="474" t="s">
        <v>238</v>
      </c>
      <c r="AH1401" s="138" t="str">
        <f t="shared" si="11"/>
        <v/>
      </c>
    </row>
    <row r="1402">
      <c r="A1402" s="103" t="str">
        <f>IFERROR(__xludf.DUMMYFUNCTION("""COMPUTED_VALUE"""),"MA48")</f>
        <v>MA48</v>
      </c>
      <c r="B1402" s="468">
        <f>IFERROR(__xludf.DUMMYFUNCTION("""COMPUTED_VALUE"""),44767.0)</f>
        <v>44767</v>
      </c>
      <c r="C1402" s="469">
        <f>IFERROR(__xludf.DUMMYFUNCTION("""COMPUTED_VALUE"""),0.41703703703703704)</f>
        <v>0.417037037</v>
      </c>
      <c r="D1402" s="103" t="str">
        <f>IFERROR(__xludf.DUMMYFUNCTION("""COMPUTED_VALUE"""),"SpFLMP120998")</f>
        <v>SpFLMP120998</v>
      </c>
      <c r="E1402" s="103"/>
      <c r="F1402" s="103"/>
      <c r="G1402" s="103" t="str">
        <f>IFERROR(__xludf.DUMMYFUNCTION("""COMPUTED_VALUE"""),"Null")</f>
        <v>Null</v>
      </c>
      <c r="H1402" s="131" t="str">
        <f>IFERROR(__xludf.DUMMYFUNCTION("""COMPUTED_VALUE"""),"Negative")</f>
        <v>Negative</v>
      </c>
      <c r="I1402" s="468">
        <f>IFERROR(__xludf.DUMMYFUNCTION("""COMPUTED_VALUE"""),44767.0)</f>
        <v>44767</v>
      </c>
      <c r="J1402" s="470">
        <f>IFERROR(__xludf.DUMMYFUNCTION("""COMPUTED_VALUE"""),0.41791666666666666)</f>
        <v>0.4179166667</v>
      </c>
      <c r="K1402" s="16">
        <f>IFERROR(__xludf.DUMMYFUNCTION("""COMPUTED_VALUE"""),2.2)</f>
        <v>2.2</v>
      </c>
      <c r="L1402" s="8"/>
      <c r="M1402" s="69"/>
      <c r="N1402" s="69">
        <f>IFERROR(__xludf.DUMMYFUNCTION("""COMPUTED_VALUE"""),2.0)</f>
        <v>2</v>
      </c>
      <c r="O1402" s="69" t="str">
        <f t="shared" si="3"/>
        <v/>
      </c>
      <c r="P1402" s="471">
        <f>IFERROR(__xludf.DUMMYFUNCTION("""COMPUTED_VALUE"""),0.0)</f>
        <v>0</v>
      </c>
      <c r="Q1402" s="274" t="b">
        <f>VLOOKUP($B1402,'Run Reconcile'!B$2:O2488,14,FALSE)</f>
        <v>1</v>
      </c>
      <c r="R1402" s="472" t="str">
        <f t="array" ref="R1402">IF($Q1402, INDEX('Run Reconcile'!A$2:A2488,MATCH(B1402,'Run Reconcile'!B$2:B2488,0),1),IFERROR(0/0,""))</f>
        <v>RUN-FLMP_2022-07-25_APS-103</v>
      </c>
      <c r="S1402" s="473" t="str">
        <f t="shared" si="694"/>
        <v/>
      </c>
      <c r="T1402" s="473" t="str">
        <f t="shared" si="698"/>
        <v/>
      </c>
      <c r="U1402" s="275" t="str">
        <f t="array" ref="U1402">IF(ISBLANK($R1402), INDEX('Run Reconcile'!A$2:A2488, MATCH($B1402, 'Run Reconcile'!B$2:B2488, 0)+Z1402, 1), IFERROR(0/0,""))
</f>
        <v/>
      </c>
      <c r="V1402" s="474" t="str">
        <f t="shared" si="5"/>
        <v>RUN-FLMP_2022-07-25_APS-103</v>
      </c>
      <c r="Y1402" s="89" t="str">
        <f t="shared" si="1719"/>
        <v/>
      </c>
      <c r="Z1402" s="60" t="str">
        <f t="shared" si="7"/>
        <v/>
      </c>
      <c r="AA1402" s="60" t="str">
        <f t="shared" si="8"/>
        <v/>
      </c>
      <c r="AB1402" s="60" t="str">
        <f t="shared" si="9"/>
        <v/>
      </c>
      <c r="AC1402" s="30" t="str">
        <f t="shared" ref="AC1402:AD1402" si="1762">IF(_xlfn.ISFORMULA(S1402),IFERROR(0/0,""),TRUE)</f>
        <v/>
      </c>
      <c r="AD1402" s="30" t="str">
        <f t="shared" si="1762"/>
        <v/>
      </c>
      <c r="AE1402" s="475" t="str">
        <f>IFERROR(__xludf.DUMMYFUNCTION("""COMPUTED_VALUE"""),"FLSP")</f>
        <v>FLSP</v>
      </c>
      <c r="AF1402" s="476"/>
      <c r="AG1402" s="474" t="s">
        <v>238</v>
      </c>
      <c r="AH1402" s="138" t="str">
        <f t="shared" si="11"/>
        <v/>
      </c>
    </row>
    <row r="1403">
      <c r="A1403" s="103" t="str">
        <f>IFERROR(__xludf.DUMMYFUNCTION("""COMPUTED_VALUE"""),"FM4474")</f>
        <v>FM4474</v>
      </c>
      <c r="B1403" s="468">
        <f>IFERROR(__xludf.DUMMYFUNCTION("""COMPUTED_VALUE"""),44770.0)</f>
        <v>44770</v>
      </c>
      <c r="C1403" s="469">
        <f>IFERROR(__xludf.DUMMYFUNCTION("""COMPUTED_VALUE"""),0.37408564814814815)</f>
        <v>0.3740856481</v>
      </c>
      <c r="D1403" s="103" t="str">
        <f>IFERROR(__xludf.DUMMYFUNCTION("""COMPUTED_VALUE"""),"SpFLMP496039")</f>
        <v>SpFLMP496039</v>
      </c>
      <c r="E1403" s="103"/>
      <c r="F1403" s="103"/>
      <c r="G1403" s="103" t="str">
        <f>IFERROR(__xludf.DUMMYFUNCTION("""COMPUTED_VALUE"""),"Null")</f>
        <v>Null</v>
      </c>
      <c r="H1403" s="131" t="str">
        <f>IFERROR(__xludf.DUMMYFUNCTION("""COMPUTED_VALUE"""),"Negative")</f>
        <v>Negative</v>
      </c>
      <c r="I1403" s="468"/>
      <c r="J1403" s="16"/>
      <c r="K1403" s="16">
        <f>IFERROR(__xludf.DUMMYFUNCTION("""COMPUTED_VALUE"""),2.2)</f>
        <v>2.2</v>
      </c>
      <c r="L1403" s="8"/>
      <c r="M1403" s="69"/>
      <c r="N1403" s="69">
        <f>IFERROR(__xludf.DUMMYFUNCTION("""COMPUTED_VALUE"""),1.0)</f>
        <v>1</v>
      </c>
      <c r="O1403" s="69" t="b">
        <f t="shared" si="3"/>
        <v>1</v>
      </c>
      <c r="P1403" s="471">
        <f>IFERROR(__xludf.DUMMYFUNCTION("""COMPUTED_VALUE"""),-1.0)</f>
        <v>-1</v>
      </c>
      <c r="Q1403" s="274" t="b">
        <f>VLOOKUP($B1403,'Run Reconcile'!B$2:O2488,14,FALSE)</f>
        <v>1</v>
      </c>
      <c r="R1403" s="472" t="str">
        <f t="array" ref="R1403">IF($Q1403, INDEX('Run Reconcile'!A$2:A2488,MATCH(B1403,'Run Reconcile'!B$2:B2488,0),1),IFERROR(0/0,""))</f>
        <v>RUN-FLMP_2022-07-28_APS-104</v>
      </c>
      <c r="S1403" s="473" t="str">
        <f t="shared" si="694"/>
        <v/>
      </c>
      <c r="T1403" s="473" t="str">
        <f t="shared" si="698"/>
        <v/>
      </c>
      <c r="U1403" s="275" t="str">
        <f t="array" ref="U1403">IF(ISBLANK($R1403), INDEX('Run Reconcile'!A$2:A2488, MATCH($B1403, 'Run Reconcile'!B$2:B2488, 0)+Z1403, 1), IFERROR(0/0,""))
</f>
        <v/>
      </c>
      <c r="V1403" s="474" t="str">
        <f t="shared" si="5"/>
        <v>RUN-FLMP_2022-07-28_APS-104</v>
      </c>
      <c r="Y1403" s="89" t="str">
        <f t="shared" si="1719"/>
        <v/>
      </c>
      <c r="Z1403" s="60" t="str">
        <f t="shared" si="7"/>
        <v/>
      </c>
      <c r="AA1403" s="60" t="str">
        <f t="shared" si="8"/>
        <v/>
      </c>
      <c r="AB1403" s="60" t="str">
        <f t="shared" si="9"/>
        <v/>
      </c>
      <c r="AC1403" s="30" t="str">
        <f t="shared" ref="AC1403:AD1403" si="1763">IF(_xlfn.ISFORMULA(S1403),IFERROR(0/0,""),TRUE)</f>
        <v/>
      </c>
      <c r="AD1403" s="30" t="str">
        <f t="shared" si="1763"/>
        <v/>
      </c>
      <c r="AE1403" s="475" t="str">
        <f>IFERROR(__xludf.DUMMYFUNCTION("""COMPUTED_VALUE"""),"FLSP")</f>
        <v>FLSP</v>
      </c>
      <c r="AF1403" s="476"/>
      <c r="AG1403" s="474" t="s">
        <v>239</v>
      </c>
      <c r="AH1403" s="138" t="str">
        <f t="shared" si="11"/>
        <v/>
      </c>
    </row>
    <row r="1404">
      <c r="A1404" s="103" t="str">
        <f>IFERROR(__xludf.DUMMYFUNCTION("""COMPUTED_VALUE"""),"FM4380")</f>
        <v>FM4380</v>
      </c>
      <c r="B1404" s="468">
        <f>IFERROR(__xludf.DUMMYFUNCTION("""COMPUTED_VALUE"""),44774.0)</f>
        <v>44774</v>
      </c>
      <c r="C1404" s="469">
        <f>IFERROR(__xludf.DUMMYFUNCTION("""COMPUTED_VALUE"""),0.3723611111111111)</f>
        <v>0.3723611111</v>
      </c>
      <c r="D1404" s="103" t="str">
        <f>IFERROR(__xludf.DUMMYFUNCTION("""COMPUTED_VALUE"""),"SpFLMP496039")</f>
        <v>SpFLMP496039</v>
      </c>
      <c r="E1404" s="103"/>
      <c r="F1404" s="103"/>
      <c r="G1404" s="103" t="str">
        <f>IFERROR(__xludf.DUMMYFUNCTION("""COMPUTED_VALUE"""),"Null")</f>
        <v>Null</v>
      </c>
      <c r="H1404" s="131" t="str">
        <f>IFERROR(__xludf.DUMMYFUNCTION("""COMPUTED_VALUE"""),"Negative")</f>
        <v>Negative</v>
      </c>
      <c r="I1404" s="468"/>
      <c r="J1404" s="16"/>
      <c r="K1404" s="16">
        <f>IFERROR(__xludf.DUMMYFUNCTION("""COMPUTED_VALUE"""),2.2)</f>
        <v>2.2</v>
      </c>
      <c r="L1404" s="8"/>
      <c r="M1404" s="69"/>
      <c r="N1404" s="69">
        <f>IFERROR(__xludf.DUMMYFUNCTION("""COMPUTED_VALUE"""),1.0)</f>
        <v>1</v>
      </c>
      <c r="O1404" s="69" t="b">
        <f t="shared" si="3"/>
        <v>1</v>
      </c>
      <c r="P1404" s="471">
        <f>IFERROR(__xludf.DUMMYFUNCTION("""COMPUTED_VALUE"""),-1.0)</f>
        <v>-1</v>
      </c>
      <c r="Q1404" s="274" t="b">
        <f>VLOOKUP($B1404,'Run Reconcile'!B$2:O2488,14,FALSE)</f>
        <v>1</v>
      </c>
      <c r="R1404" s="472" t="str">
        <f t="array" ref="R1404">IF($Q1404, INDEX('Run Reconcile'!A$2:A2488,MATCH(B1404,'Run Reconcile'!B$2:B2488,0),1),IFERROR(0/0,""))</f>
        <v>RUN-FLMP_2022-08-01_APS-105</v>
      </c>
      <c r="S1404" s="473" t="str">
        <f t="shared" si="694"/>
        <v/>
      </c>
      <c r="T1404" s="473" t="str">
        <f t="shared" si="698"/>
        <v/>
      </c>
      <c r="U1404" s="275" t="str">
        <f t="array" ref="U1404">IF(ISBLANK($R1404), INDEX('Run Reconcile'!A$2:A2488, MATCH($B1404, 'Run Reconcile'!B$2:B2488, 0)+Z1404, 1), IFERROR(0/0,""))
</f>
        <v/>
      </c>
      <c r="V1404" s="474" t="str">
        <f t="shared" si="5"/>
        <v>RUN-FLMP_2022-08-01_APS-105</v>
      </c>
      <c r="Y1404" s="89" t="str">
        <f t="shared" si="1719"/>
        <v/>
      </c>
      <c r="Z1404" s="60" t="str">
        <f t="shared" si="7"/>
        <v/>
      </c>
      <c r="AA1404" s="60" t="str">
        <f t="shared" si="8"/>
        <v/>
      </c>
      <c r="AB1404" s="60" t="str">
        <f t="shared" si="9"/>
        <v/>
      </c>
      <c r="AC1404" s="30" t="str">
        <f t="shared" ref="AC1404:AD1404" si="1764">IF(_xlfn.ISFORMULA(S1404),IFERROR(0/0,""),TRUE)</f>
        <v/>
      </c>
      <c r="AD1404" s="30" t="str">
        <f t="shared" si="1764"/>
        <v/>
      </c>
      <c r="AE1404" s="475" t="str">
        <f>IFERROR(__xludf.DUMMYFUNCTION("""COMPUTED_VALUE"""),"FLSP")</f>
        <v>FLSP</v>
      </c>
      <c r="AF1404" s="476"/>
      <c r="AG1404" s="474" t="s">
        <v>240</v>
      </c>
      <c r="AH1404" s="138" t="str">
        <f t="shared" si="11"/>
        <v/>
      </c>
    </row>
    <row r="1405">
      <c r="A1405" s="103" t="str">
        <f>IFERROR(__xludf.DUMMYFUNCTION("""COMPUTED_VALUE"""),"FM4348")</f>
        <v>FM4348</v>
      </c>
      <c r="B1405" s="468">
        <f>IFERROR(__xludf.DUMMYFUNCTION("""COMPUTED_VALUE"""),44777.0)</f>
        <v>44777</v>
      </c>
      <c r="C1405" s="469">
        <f>IFERROR(__xludf.DUMMYFUNCTION("""COMPUTED_VALUE"""),0.3731481481481482)</f>
        <v>0.3731481481</v>
      </c>
      <c r="D1405" s="103" t="str">
        <f>IFERROR(__xludf.DUMMYFUNCTION("""COMPUTED_VALUE"""),"SpFLMP496039")</f>
        <v>SpFLMP496039</v>
      </c>
      <c r="E1405" s="103"/>
      <c r="F1405" s="103"/>
      <c r="G1405" s="103" t="str">
        <f>IFERROR(__xludf.DUMMYFUNCTION("""COMPUTED_VALUE"""),"Null")</f>
        <v>Null</v>
      </c>
      <c r="H1405" s="131" t="str">
        <f>IFERROR(__xludf.DUMMYFUNCTION("""COMPUTED_VALUE"""),"Negative")</f>
        <v>Negative</v>
      </c>
      <c r="I1405" s="468"/>
      <c r="J1405" s="16"/>
      <c r="K1405" s="16">
        <f>IFERROR(__xludf.DUMMYFUNCTION("""COMPUTED_VALUE"""),2.2)</f>
        <v>2.2</v>
      </c>
      <c r="L1405" s="8"/>
      <c r="M1405" s="69"/>
      <c r="N1405" s="69">
        <f>IFERROR(__xludf.DUMMYFUNCTION("""COMPUTED_VALUE"""),1.0)</f>
        <v>1</v>
      </c>
      <c r="O1405" s="69" t="b">
        <f t="shared" si="3"/>
        <v>1</v>
      </c>
      <c r="P1405" s="471">
        <f>IFERROR(__xludf.DUMMYFUNCTION("""COMPUTED_VALUE"""),-1.0)</f>
        <v>-1</v>
      </c>
      <c r="Q1405" s="274" t="b">
        <f>VLOOKUP($B1405,'Run Reconcile'!B$2:O2488,14,FALSE)</f>
        <v>1</v>
      </c>
      <c r="R1405" s="472" t="str">
        <f t="array" ref="R1405">IF($Q1405, INDEX('Run Reconcile'!A$2:A2488,MATCH(B1405,'Run Reconcile'!B$2:B2488,0),1),IFERROR(0/0,""))</f>
        <v>RUN-FLMP_2022-08-04_APS-106</v>
      </c>
      <c r="S1405" s="473" t="str">
        <f t="shared" si="694"/>
        <v/>
      </c>
      <c r="T1405" s="473" t="str">
        <f t="shared" si="698"/>
        <v/>
      </c>
      <c r="U1405" s="275" t="str">
        <f t="array" ref="U1405">IF(ISBLANK($R1405), INDEX('Run Reconcile'!A$2:A2488, MATCH($B1405, 'Run Reconcile'!B$2:B2488, 0)+Z1405, 1), IFERROR(0/0,""))
</f>
        <v/>
      </c>
      <c r="V1405" s="474" t="str">
        <f t="shared" si="5"/>
        <v>RUN-FLMP_2022-08-04_APS-106</v>
      </c>
      <c r="Y1405" s="89" t="str">
        <f t="shared" si="1719"/>
        <v/>
      </c>
      <c r="Z1405" s="60" t="str">
        <f t="shared" si="7"/>
        <v/>
      </c>
      <c r="AA1405" s="60" t="str">
        <f t="shared" si="8"/>
        <v/>
      </c>
      <c r="AB1405" s="60" t="str">
        <f t="shared" si="9"/>
        <v/>
      </c>
      <c r="AC1405" s="30" t="str">
        <f t="shared" ref="AC1405:AD1405" si="1765">IF(_xlfn.ISFORMULA(S1405),IFERROR(0/0,""),TRUE)</f>
        <v/>
      </c>
      <c r="AD1405" s="30" t="str">
        <f t="shared" si="1765"/>
        <v/>
      </c>
      <c r="AE1405" s="475" t="str">
        <f>IFERROR(__xludf.DUMMYFUNCTION("""COMPUTED_VALUE"""),"FLSP")</f>
        <v>FLSP</v>
      </c>
      <c r="AF1405" s="476"/>
      <c r="AG1405" s="474" t="s">
        <v>241</v>
      </c>
      <c r="AH1405" s="138" t="str">
        <f t="shared" si="11"/>
        <v/>
      </c>
    </row>
    <row r="1406">
      <c r="A1406" s="103" t="str">
        <f>IFERROR(__xludf.DUMMYFUNCTION("""COMPUTED_VALUE"""),"FM4495")</f>
        <v>FM4495</v>
      </c>
      <c r="B1406" s="468">
        <f>IFERROR(__xludf.DUMMYFUNCTION("""COMPUTED_VALUE"""),44777.0)</f>
        <v>44777</v>
      </c>
      <c r="C1406" s="469">
        <f>IFERROR(__xludf.DUMMYFUNCTION("""COMPUTED_VALUE"""),0.3945601851851852)</f>
        <v>0.3945601852</v>
      </c>
      <c r="D1406" s="103" t="str">
        <f>IFERROR(__xludf.DUMMYFUNCTION("""COMPUTED_VALUE"""),"SpFLMP684798")</f>
        <v>SpFLMP684798</v>
      </c>
      <c r="E1406" s="103"/>
      <c r="F1406" s="103"/>
      <c r="G1406" s="103" t="str">
        <f>IFERROR(__xludf.DUMMYFUNCTION("""COMPUTED_VALUE"""),"Null")</f>
        <v>Null</v>
      </c>
      <c r="H1406" s="131" t="str">
        <f>IFERROR(__xludf.DUMMYFUNCTION("""COMPUTED_VALUE"""),"Negative")</f>
        <v>Negative</v>
      </c>
      <c r="I1406" s="468"/>
      <c r="J1406" s="16"/>
      <c r="K1406" s="16">
        <f>IFERROR(__xludf.DUMMYFUNCTION("""COMPUTED_VALUE"""),2.2)</f>
        <v>2.2</v>
      </c>
      <c r="L1406" s="8"/>
      <c r="M1406" s="69"/>
      <c r="N1406" s="69">
        <f>IFERROR(__xludf.DUMMYFUNCTION("""COMPUTED_VALUE"""),4.0)</f>
        <v>4</v>
      </c>
      <c r="O1406" s="69" t="str">
        <f t="shared" si="3"/>
        <v/>
      </c>
      <c r="P1406" s="471">
        <f>IFERROR(__xludf.DUMMYFUNCTION("""COMPUTED_VALUE"""),-1.0)</f>
        <v>-1</v>
      </c>
      <c r="Q1406" s="274" t="b">
        <f>VLOOKUP($B1406,'Run Reconcile'!B$2:O2488,14,FALSE)</f>
        <v>1</v>
      </c>
      <c r="R1406" s="472" t="str">
        <f t="array" ref="R1406">IF($Q1406, INDEX('Run Reconcile'!A$2:A2488,MATCH(B1406,'Run Reconcile'!B$2:B2488,0),1),IFERROR(0/0,""))</f>
        <v>RUN-FLMP_2022-08-04_APS-106</v>
      </c>
      <c r="S1406" s="473" t="str">
        <f t="shared" si="694"/>
        <v/>
      </c>
      <c r="T1406" s="473" t="str">
        <f t="shared" si="698"/>
        <v/>
      </c>
      <c r="U1406" s="275" t="str">
        <f t="array" ref="U1406">IF(ISBLANK($R1406), INDEX('Run Reconcile'!A$2:A2488, MATCH($B1406, 'Run Reconcile'!B$2:B2488, 0)+Z1406, 1), IFERROR(0/0,""))
</f>
        <v/>
      </c>
      <c r="V1406" s="474" t="str">
        <f t="shared" si="5"/>
        <v>RUN-FLMP_2022-08-04_APS-106</v>
      </c>
      <c r="Y1406" s="89" t="str">
        <f t="shared" si="1719"/>
        <v/>
      </c>
      <c r="Z1406" s="60" t="str">
        <f t="shared" si="7"/>
        <v/>
      </c>
      <c r="AA1406" s="60" t="str">
        <f t="shared" si="8"/>
        <v/>
      </c>
      <c r="AB1406" s="60" t="str">
        <f t="shared" si="9"/>
        <v/>
      </c>
      <c r="AC1406" s="30" t="str">
        <f t="shared" ref="AC1406:AD1406" si="1766">IF(_xlfn.ISFORMULA(S1406),IFERROR(0/0,""),TRUE)</f>
        <v/>
      </c>
      <c r="AD1406" s="30" t="str">
        <f t="shared" si="1766"/>
        <v/>
      </c>
      <c r="AE1406" s="475" t="str">
        <f>IFERROR(__xludf.DUMMYFUNCTION("""COMPUTED_VALUE"""),"FLSP")</f>
        <v>FLSP</v>
      </c>
      <c r="AF1406" s="476"/>
      <c r="AG1406" s="474" t="s">
        <v>241</v>
      </c>
      <c r="AH1406" s="138" t="str">
        <f t="shared" si="11"/>
        <v/>
      </c>
    </row>
    <row r="1407">
      <c r="A1407" s="103" t="str">
        <f>IFERROR(__xludf.DUMMYFUNCTION("""COMPUTED_VALUE"""),"FM4466")</f>
        <v>FM4466</v>
      </c>
      <c r="B1407" s="468">
        <f>IFERROR(__xludf.DUMMYFUNCTION("""COMPUTED_VALUE"""),44795.0)</f>
        <v>44795</v>
      </c>
      <c r="C1407" s="469">
        <f>IFERROR(__xludf.DUMMYFUNCTION("""COMPUTED_VALUE"""),0.373125)</f>
        <v>0.373125</v>
      </c>
      <c r="D1407" s="103" t="str">
        <f>IFERROR(__xludf.DUMMYFUNCTION("""COMPUTED_VALUE"""),"SpFLMP659315")</f>
        <v>SpFLMP659315</v>
      </c>
      <c r="E1407" s="103"/>
      <c r="F1407" s="103"/>
      <c r="G1407" s="103" t="str">
        <f>IFERROR(__xludf.DUMMYFUNCTION("""COMPUTED_VALUE"""),"Null")</f>
        <v>Null</v>
      </c>
      <c r="H1407" s="131" t="str">
        <f>IFERROR(__xludf.DUMMYFUNCTION("""COMPUTED_VALUE"""),"Negative")</f>
        <v>Negative</v>
      </c>
      <c r="I1407" s="468"/>
      <c r="J1407" s="16"/>
      <c r="K1407" s="16">
        <f>IFERROR(__xludf.DUMMYFUNCTION("""COMPUTED_VALUE"""),2.2)</f>
        <v>2.2</v>
      </c>
      <c r="L1407" s="8"/>
      <c r="M1407" s="69"/>
      <c r="N1407" s="69">
        <f>IFERROR(__xludf.DUMMYFUNCTION("""COMPUTED_VALUE"""),4.0)</f>
        <v>4</v>
      </c>
      <c r="O1407" s="69" t="b">
        <f t="shared" si="3"/>
        <v>1</v>
      </c>
      <c r="P1407" s="471">
        <f>IFERROR(__xludf.DUMMYFUNCTION("""COMPUTED_VALUE"""),-1.0)</f>
        <v>-1</v>
      </c>
      <c r="Q1407" s="274" t="b">
        <f>VLOOKUP($B1407,'Run Reconcile'!B$2:O2488,14,FALSE)</f>
        <v>1</v>
      </c>
      <c r="R1407" s="472" t="str">
        <f t="array" ref="R1407">IF($Q1407, INDEX('Run Reconcile'!A$2:A2488,MATCH(B1407,'Run Reconcile'!B$2:B2488,0),1),IFERROR(0/0,""))</f>
        <v>RUN-FLMP_2022-08-22_APS-107</v>
      </c>
      <c r="S1407" s="473" t="str">
        <f t="shared" si="694"/>
        <v/>
      </c>
      <c r="T1407" s="473" t="str">
        <f t="shared" si="698"/>
        <v/>
      </c>
      <c r="U1407" s="275" t="str">
        <f t="array" ref="U1407">IF(ISBLANK($R1407), INDEX('Run Reconcile'!A$2:A2488, MATCH($B1407, 'Run Reconcile'!B$2:B2488, 0)+Z1407, 1), IFERROR(0/0,""))
</f>
        <v/>
      </c>
      <c r="V1407" s="474" t="str">
        <f t="shared" si="5"/>
        <v>RUN-FLMP_2022-08-22_APS-107</v>
      </c>
      <c r="Y1407" s="89" t="str">
        <f t="shared" si="1719"/>
        <v/>
      </c>
      <c r="Z1407" s="60" t="str">
        <f t="shared" si="7"/>
        <v/>
      </c>
      <c r="AA1407" s="60" t="str">
        <f t="shared" si="8"/>
        <v/>
      </c>
      <c r="AB1407" s="60" t="str">
        <f t="shared" si="9"/>
        <v/>
      </c>
      <c r="AC1407" s="30" t="str">
        <f t="shared" ref="AC1407:AD1407" si="1767">IF(_xlfn.ISFORMULA(S1407),IFERROR(0/0,""),TRUE)</f>
        <v/>
      </c>
      <c r="AD1407" s="30" t="str">
        <f t="shared" si="1767"/>
        <v/>
      </c>
      <c r="AE1407" s="475" t="str">
        <f>IFERROR(__xludf.DUMMYFUNCTION("""COMPUTED_VALUE"""),"FLSP")</f>
        <v>FLSP</v>
      </c>
      <c r="AF1407" s="476"/>
      <c r="AG1407" s="474" t="s">
        <v>242</v>
      </c>
      <c r="AH1407" s="138" t="str">
        <f t="shared" si="11"/>
        <v/>
      </c>
    </row>
    <row r="1408">
      <c r="A1408" s="103" t="str">
        <f>IFERROR(__xludf.DUMMYFUNCTION("""COMPUTED_VALUE"""),"MA476")</f>
        <v>MA476</v>
      </c>
      <c r="B1408" s="468">
        <f>IFERROR(__xludf.DUMMYFUNCTION("""COMPUTED_VALUE"""),44810.0)</f>
        <v>44810</v>
      </c>
      <c r="C1408" s="469">
        <f>IFERROR(__xludf.DUMMYFUNCTION("""COMPUTED_VALUE"""),0.3680439814814815)</f>
        <v>0.3680439815</v>
      </c>
      <c r="D1408" s="103" t="str">
        <f>IFERROR(__xludf.DUMMYFUNCTION("""COMPUTED_VALUE"""),"SpFLMP659315")</f>
        <v>SpFLMP659315</v>
      </c>
      <c r="E1408" s="103"/>
      <c r="F1408" s="103"/>
      <c r="G1408" s="103" t="str">
        <f>IFERROR(__xludf.DUMMYFUNCTION("""COMPUTED_VALUE"""),"Negative")</f>
        <v>Negative</v>
      </c>
      <c r="H1408" s="131" t="str">
        <f>IFERROR(__xludf.DUMMYFUNCTION("""COMPUTED_VALUE"""),"Negative")</f>
        <v>Negative</v>
      </c>
      <c r="I1408" s="468">
        <f>IFERROR(__xludf.DUMMYFUNCTION("""COMPUTED_VALUE"""),44810.0)</f>
        <v>44810</v>
      </c>
      <c r="J1408" s="470">
        <f>IFERROR(__xludf.DUMMYFUNCTION("""COMPUTED_VALUE"""),0.44278935185185186)</f>
        <v>0.4427893519</v>
      </c>
      <c r="K1408" s="16"/>
      <c r="L1408" s="8"/>
      <c r="M1408" s="69"/>
      <c r="N1408" s="69">
        <f>IFERROR(__xludf.DUMMYFUNCTION("""COMPUTED_VALUE"""),4.0)</f>
        <v>4</v>
      </c>
      <c r="O1408" s="69" t="b">
        <f t="shared" si="3"/>
        <v>1</v>
      </c>
      <c r="P1408" s="471">
        <f>IFERROR(__xludf.DUMMYFUNCTION("""COMPUTED_VALUE"""),0.0)</f>
        <v>0</v>
      </c>
      <c r="Q1408" s="274" t="b">
        <f>VLOOKUP($B1408,'Run Reconcile'!B$2:O2488,14,FALSE)</f>
        <v>1</v>
      </c>
      <c r="R1408" s="472" t="str">
        <f t="array" ref="R1408">IF($Q1408, INDEX('Run Reconcile'!A$2:A2488,MATCH(B1408,'Run Reconcile'!B$2:B2488,0),1),IFERROR(0/0,""))</f>
        <v>RUN-FLMP_2022-09-06_APS-108</v>
      </c>
      <c r="S1408" s="473" t="str">
        <f t="shared" si="694"/>
        <v/>
      </c>
      <c r="T1408" s="473" t="str">
        <f t="shared" si="698"/>
        <v/>
      </c>
      <c r="U1408" s="275" t="str">
        <f t="array" ref="U1408">IF(ISBLANK($R1408), INDEX('Run Reconcile'!A$2:A2488, MATCH($B1408, 'Run Reconcile'!B$2:B2488, 0)+Z1408, 1), IFERROR(0/0,""))
</f>
        <v/>
      </c>
      <c r="V1408" s="474" t="str">
        <f t="shared" si="5"/>
        <v>RUN-FLMP_2022-09-06_APS-108</v>
      </c>
      <c r="Y1408" s="89" t="str">
        <f t="shared" si="1719"/>
        <v/>
      </c>
      <c r="Z1408" s="60" t="str">
        <f t="shared" si="7"/>
        <v/>
      </c>
      <c r="AA1408" s="60" t="str">
        <f t="shared" si="8"/>
        <v/>
      </c>
      <c r="AB1408" s="60" t="str">
        <f t="shared" si="9"/>
        <v/>
      </c>
      <c r="AC1408" s="30" t="str">
        <f t="shared" ref="AC1408:AD1408" si="1768">IF(_xlfn.ISFORMULA(S1408),IFERROR(0/0,""),TRUE)</f>
        <v/>
      </c>
      <c r="AD1408" s="30" t="str">
        <f t="shared" si="1768"/>
        <v/>
      </c>
      <c r="AE1408" s="475" t="str">
        <f>IFERROR(__xludf.DUMMYFUNCTION("""COMPUTED_VALUE"""),"FLSP")</f>
        <v>FLSP</v>
      </c>
      <c r="AF1408" s="476"/>
      <c r="AG1408" s="474" t="s">
        <v>243</v>
      </c>
      <c r="AH1408" s="138" t="str">
        <f t="shared" si="11"/>
        <v/>
      </c>
    </row>
    <row r="1409">
      <c r="A1409" s="103" t="str">
        <f>IFERROR(__xludf.DUMMYFUNCTION("""COMPUTED_VALUE"""),"MA12")</f>
        <v>MA12</v>
      </c>
      <c r="B1409" s="468">
        <f>IFERROR(__xludf.DUMMYFUNCTION("""COMPUTED_VALUE"""),44810.0)</f>
        <v>44810</v>
      </c>
      <c r="C1409" s="469">
        <f>IFERROR(__xludf.DUMMYFUNCTION("""COMPUTED_VALUE"""),0.40221064814814816)</f>
        <v>0.4022106481</v>
      </c>
      <c r="D1409" s="103" t="str">
        <f>IFERROR(__xludf.DUMMYFUNCTION("""COMPUTED_VALUE"""),"SpFLMP120998")</f>
        <v>SpFLMP120998</v>
      </c>
      <c r="E1409" s="103"/>
      <c r="F1409" s="103"/>
      <c r="G1409" s="103" t="str">
        <f>IFERROR(__xludf.DUMMYFUNCTION("""COMPUTED_VALUE"""),"Negative")</f>
        <v>Negative</v>
      </c>
      <c r="H1409" s="131" t="str">
        <f>IFERROR(__xludf.DUMMYFUNCTION("""COMPUTED_VALUE"""),"Negative")</f>
        <v>Negative</v>
      </c>
      <c r="I1409" s="468">
        <f>IFERROR(__xludf.DUMMYFUNCTION("""COMPUTED_VALUE"""),44810.0)</f>
        <v>44810</v>
      </c>
      <c r="J1409" s="470">
        <f>IFERROR(__xludf.DUMMYFUNCTION("""COMPUTED_VALUE"""),0.44278935185185186)</f>
        <v>0.4427893519</v>
      </c>
      <c r="K1409" s="16"/>
      <c r="L1409" s="8"/>
      <c r="M1409" s="69"/>
      <c r="N1409" s="69">
        <f>IFERROR(__xludf.DUMMYFUNCTION("""COMPUTED_VALUE"""),2.0)</f>
        <v>2</v>
      </c>
      <c r="O1409" s="69" t="str">
        <f t="shared" si="3"/>
        <v/>
      </c>
      <c r="P1409" s="471">
        <f>IFERROR(__xludf.DUMMYFUNCTION("""COMPUTED_VALUE"""),0.0)</f>
        <v>0</v>
      </c>
      <c r="Q1409" s="274" t="b">
        <f>VLOOKUP($B1409,'Run Reconcile'!B$2:O2488,14,FALSE)</f>
        <v>1</v>
      </c>
      <c r="R1409" s="472" t="str">
        <f t="array" ref="R1409">IF($Q1409, INDEX('Run Reconcile'!A$2:A2488,MATCH(B1409,'Run Reconcile'!B$2:B2488,0),1),IFERROR(0/0,""))</f>
        <v>RUN-FLMP_2022-09-06_APS-108</v>
      </c>
      <c r="S1409" s="473" t="str">
        <f t="shared" si="694"/>
        <v/>
      </c>
      <c r="T1409" s="473" t="str">
        <f t="shared" si="698"/>
        <v/>
      </c>
      <c r="U1409" s="275" t="str">
        <f t="array" ref="U1409">IF(ISBLANK($R1409), INDEX('Run Reconcile'!A$2:A2488, MATCH($B1409, 'Run Reconcile'!B$2:B2488, 0)+Z1409, 1), IFERROR(0/0,""))
</f>
        <v/>
      </c>
      <c r="V1409" s="474" t="str">
        <f t="shared" si="5"/>
        <v>RUN-FLMP_2022-09-06_APS-108</v>
      </c>
      <c r="Y1409" s="89" t="str">
        <f t="shared" si="1719"/>
        <v/>
      </c>
      <c r="Z1409" s="60" t="str">
        <f t="shared" si="7"/>
        <v/>
      </c>
      <c r="AA1409" s="60" t="str">
        <f t="shared" si="8"/>
        <v/>
      </c>
      <c r="AB1409" s="60" t="str">
        <f t="shared" si="9"/>
        <v/>
      </c>
      <c r="AC1409" s="30" t="str">
        <f t="shared" ref="AC1409:AD1409" si="1769">IF(_xlfn.ISFORMULA(S1409),IFERROR(0/0,""),TRUE)</f>
        <v/>
      </c>
      <c r="AD1409" s="30" t="str">
        <f t="shared" si="1769"/>
        <v/>
      </c>
      <c r="AE1409" s="475" t="str">
        <f>IFERROR(__xludf.DUMMYFUNCTION("""COMPUTED_VALUE"""),"FLSP")</f>
        <v>FLSP</v>
      </c>
      <c r="AF1409" s="476"/>
      <c r="AG1409" s="474" t="s">
        <v>243</v>
      </c>
      <c r="AH1409" s="138" t="str">
        <f t="shared" si="11"/>
        <v/>
      </c>
    </row>
    <row r="1410">
      <c r="A1410" s="103" t="str">
        <f>IFERROR(__xludf.DUMMYFUNCTION("""COMPUTED_VALUE"""),"MA11")</f>
        <v>MA11</v>
      </c>
      <c r="B1410" s="468">
        <f>IFERROR(__xludf.DUMMYFUNCTION("""COMPUTED_VALUE"""),44812.0)</f>
        <v>44812</v>
      </c>
      <c r="C1410" s="469">
        <f>IFERROR(__xludf.DUMMYFUNCTION("""COMPUTED_VALUE"""),0.381712962962963)</f>
        <v>0.381712963</v>
      </c>
      <c r="D1410" s="103" t="str">
        <f>IFERROR(__xludf.DUMMYFUNCTION("""COMPUTED_VALUE"""),"SpFLMP870846")</f>
        <v>SpFLMP870846</v>
      </c>
      <c r="E1410" s="103"/>
      <c r="F1410" s="103"/>
      <c r="G1410" s="103" t="str">
        <f>IFERROR(__xludf.DUMMYFUNCTION("""COMPUTED_VALUE"""),"Null")</f>
        <v>Null</v>
      </c>
      <c r="H1410" s="131" t="str">
        <f>IFERROR(__xludf.DUMMYFUNCTION("""COMPUTED_VALUE"""),"Negative")</f>
        <v>Negative</v>
      </c>
      <c r="I1410" s="468"/>
      <c r="J1410" s="16"/>
      <c r="K1410" s="16">
        <f>IFERROR(__xludf.DUMMYFUNCTION("""COMPUTED_VALUE"""),2.2)</f>
        <v>2.2</v>
      </c>
      <c r="L1410" s="8"/>
      <c r="M1410" s="69"/>
      <c r="N1410" s="69">
        <f>IFERROR(__xludf.DUMMYFUNCTION("""COMPUTED_VALUE"""),2.0)</f>
        <v>2</v>
      </c>
      <c r="O1410" s="69" t="b">
        <f t="shared" si="3"/>
        <v>1</v>
      </c>
      <c r="P1410" s="471">
        <f>IFERROR(__xludf.DUMMYFUNCTION("""COMPUTED_VALUE"""),-1.0)</f>
        <v>-1</v>
      </c>
      <c r="Q1410" s="274" t="b">
        <f>VLOOKUP($B1410,'Run Reconcile'!B$2:O2488,14,FALSE)</f>
        <v>1</v>
      </c>
      <c r="R1410" s="472" t="str">
        <f t="array" ref="R1410">IF($Q1410, INDEX('Run Reconcile'!A$2:A2488,MATCH(B1410,'Run Reconcile'!B$2:B2488,0),1),IFERROR(0/0,""))</f>
        <v>RUN-FLMP_2022-09-08_APS-109</v>
      </c>
      <c r="S1410" s="473" t="str">
        <f t="shared" si="694"/>
        <v/>
      </c>
      <c r="T1410" s="473" t="str">
        <f t="shared" si="698"/>
        <v/>
      </c>
      <c r="U1410" s="275" t="str">
        <f t="array" ref="U1410">IF(ISBLANK($R1410), INDEX('Run Reconcile'!A$2:A2488, MATCH($B1410, 'Run Reconcile'!B$2:B2488, 0)+Z1410, 1), IFERROR(0/0,""))
</f>
        <v/>
      </c>
      <c r="V1410" s="474" t="str">
        <f t="shared" si="5"/>
        <v>RUN-FLMP_2022-09-08_APS-109</v>
      </c>
      <c r="Y1410" s="89" t="str">
        <f t="shared" si="1719"/>
        <v/>
      </c>
      <c r="Z1410" s="60" t="str">
        <f t="shared" si="7"/>
        <v/>
      </c>
      <c r="AA1410" s="60" t="str">
        <f t="shared" si="8"/>
        <v/>
      </c>
      <c r="AB1410" s="60" t="str">
        <f t="shared" si="9"/>
        <v/>
      </c>
      <c r="AC1410" s="30" t="str">
        <f t="shared" ref="AC1410:AD1410" si="1770">IF(_xlfn.ISFORMULA(S1410),IFERROR(0/0,""),TRUE)</f>
        <v/>
      </c>
      <c r="AD1410" s="30" t="str">
        <f t="shared" si="1770"/>
        <v/>
      </c>
      <c r="AE1410" s="475" t="str">
        <f>IFERROR(__xludf.DUMMYFUNCTION("""COMPUTED_VALUE"""),"FLSP")</f>
        <v>FLSP</v>
      </c>
      <c r="AF1410" s="476"/>
      <c r="AG1410" s="474" t="s">
        <v>244</v>
      </c>
      <c r="AH1410" s="138" t="str">
        <f t="shared" si="11"/>
        <v/>
      </c>
    </row>
    <row r="1411">
      <c r="A1411" s="103" t="str">
        <f>IFERROR(__xludf.DUMMYFUNCTION("""COMPUTED_VALUE"""),"FM4365")</f>
        <v>FM4365</v>
      </c>
      <c r="B1411" s="468">
        <f>IFERROR(__xludf.DUMMYFUNCTION("""COMPUTED_VALUE"""),44816.0)</f>
        <v>44816</v>
      </c>
      <c r="C1411" s="469">
        <f>IFERROR(__xludf.DUMMYFUNCTION("""COMPUTED_VALUE"""),0.35311342592592593)</f>
        <v>0.3531134259</v>
      </c>
      <c r="D1411" s="103" t="str">
        <f>IFERROR(__xludf.DUMMYFUNCTION("""COMPUTED_VALUE"""),"SpFLMP659315")</f>
        <v>SpFLMP659315</v>
      </c>
      <c r="E1411" s="103"/>
      <c r="F1411" s="103"/>
      <c r="G1411" s="103" t="str">
        <f>IFERROR(__xludf.DUMMYFUNCTION("""COMPUTED_VALUE"""),"Negative")</f>
        <v>Negative</v>
      </c>
      <c r="H1411" s="131" t="str">
        <f>IFERROR(__xludf.DUMMYFUNCTION("""COMPUTED_VALUE"""),"Negative")</f>
        <v>Negative</v>
      </c>
      <c r="I1411" s="468">
        <f>IFERROR(__xludf.DUMMYFUNCTION("""COMPUTED_VALUE"""),44816.0)</f>
        <v>44816</v>
      </c>
      <c r="J1411" s="470">
        <f>IFERROR(__xludf.DUMMYFUNCTION("""COMPUTED_VALUE"""),0.4734837962962963)</f>
        <v>0.4734837963</v>
      </c>
      <c r="K1411" s="16"/>
      <c r="L1411" s="8"/>
      <c r="M1411" s="69"/>
      <c r="N1411" s="69">
        <f>IFERROR(__xludf.DUMMYFUNCTION("""COMPUTED_VALUE"""),3.0)</f>
        <v>3</v>
      </c>
      <c r="O1411" s="69" t="b">
        <f t="shared" si="3"/>
        <v>1</v>
      </c>
      <c r="P1411" s="471">
        <f>IFERROR(__xludf.DUMMYFUNCTION("""COMPUTED_VALUE"""),0.0)</f>
        <v>0</v>
      </c>
      <c r="Q1411" s="274" t="b">
        <f>VLOOKUP($B1411,'Run Reconcile'!B$2:O2488,14,FALSE)</f>
        <v>1</v>
      </c>
      <c r="R1411" s="472" t="str">
        <f t="array" ref="R1411">IF($Q1411, INDEX('Run Reconcile'!A$2:A2488,MATCH(B1411,'Run Reconcile'!B$2:B2488,0),1),IFERROR(0/0,""))</f>
        <v>RUN-FLMP_2022-09-12_APS-110</v>
      </c>
      <c r="S1411" s="473" t="str">
        <f t="shared" si="694"/>
        <v/>
      </c>
      <c r="T1411" s="473" t="str">
        <f t="shared" si="698"/>
        <v/>
      </c>
      <c r="U1411" s="275" t="str">
        <f t="array" ref="U1411">IF(ISBLANK($R1411), INDEX('Run Reconcile'!A$2:A2488, MATCH($B1411, 'Run Reconcile'!B$2:B2488, 0)+Z1411, 1), IFERROR(0/0,""))
</f>
        <v/>
      </c>
      <c r="V1411" s="474" t="str">
        <f t="shared" si="5"/>
        <v>RUN-FLMP_2022-09-12_APS-110</v>
      </c>
      <c r="Y1411" s="89" t="str">
        <f t="shared" si="1719"/>
        <v/>
      </c>
      <c r="Z1411" s="60" t="str">
        <f t="shared" si="7"/>
        <v/>
      </c>
      <c r="AA1411" s="60" t="str">
        <f t="shared" si="8"/>
        <v/>
      </c>
      <c r="AB1411" s="60" t="str">
        <f t="shared" si="9"/>
        <v/>
      </c>
      <c r="AC1411" s="30" t="str">
        <f t="shared" ref="AC1411:AD1411" si="1771">IF(_xlfn.ISFORMULA(S1411),IFERROR(0/0,""),TRUE)</f>
        <v/>
      </c>
      <c r="AD1411" s="30" t="str">
        <f t="shared" si="1771"/>
        <v/>
      </c>
      <c r="AE1411" s="475" t="str">
        <f>IFERROR(__xludf.DUMMYFUNCTION("""COMPUTED_VALUE"""),"FLSP")</f>
        <v>FLSP</v>
      </c>
      <c r="AF1411" s="476"/>
      <c r="AG1411" s="474" t="s">
        <v>245</v>
      </c>
      <c r="AH1411" s="138" t="str">
        <f t="shared" si="11"/>
        <v/>
      </c>
    </row>
    <row r="1412">
      <c r="A1412" s="103" t="str">
        <f>IFERROR(__xludf.DUMMYFUNCTION("""COMPUTED_VALUE"""),"MA68")</f>
        <v>MA68</v>
      </c>
      <c r="B1412" s="468">
        <f>IFERROR(__xludf.DUMMYFUNCTION("""COMPUTED_VALUE"""),44816.0)</f>
        <v>44816</v>
      </c>
      <c r="C1412" s="469">
        <f>IFERROR(__xludf.DUMMYFUNCTION("""COMPUTED_VALUE"""),0.4728703703703704)</f>
        <v>0.4728703704</v>
      </c>
      <c r="D1412" s="103" t="str">
        <f>IFERROR(__xludf.DUMMYFUNCTION("""COMPUTED_VALUE"""),"SpFLMP120998")</f>
        <v>SpFLMP120998</v>
      </c>
      <c r="E1412" s="103"/>
      <c r="F1412" s="103"/>
      <c r="G1412" s="103" t="str">
        <f>IFERROR(__xludf.DUMMYFUNCTION("""COMPUTED_VALUE"""),"Negative")</f>
        <v>Negative</v>
      </c>
      <c r="H1412" s="131" t="str">
        <f>IFERROR(__xludf.DUMMYFUNCTION("""COMPUTED_VALUE"""),"Negative")</f>
        <v>Negative</v>
      </c>
      <c r="I1412" s="468">
        <f>IFERROR(__xludf.DUMMYFUNCTION("""COMPUTED_VALUE"""),44816.0)</f>
        <v>44816</v>
      </c>
      <c r="J1412" s="470">
        <f>IFERROR(__xludf.DUMMYFUNCTION("""COMPUTED_VALUE"""),0.4734837962962963)</f>
        <v>0.4734837963</v>
      </c>
      <c r="K1412" s="16"/>
      <c r="L1412" s="8"/>
      <c r="M1412" s="69"/>
      <c r="N1412" s="69">
        <f>IFERROR(__xludf.DUMMYFUNCTION("""COMPUTED_VALUE"""),2.0)</f>
        <v>2</v>
      </c>
      <c r="O1412" s="69" t="str">
        <f t="shared" si="3"/>
        <v/>
      </c>
      <c r="P1412" s="471">
        <f>IFERROR(__xludf.DUMMYFUNCTION("""COMPUTED_VALUE"""),0.0)</f>
        <v>0</v>
      </c>
      <c r="Q1412" s="274" t="b">
        <f>VLOOKUP($B1412,'Run Reconcile'!B$2:O2488,14,FALSE)</f>
        <v>1</v>
      </c>
      <c r="R1412" s="472" t="str">
        <f t="array" ref="R1412">IF($Q1412, INDEX('Run Reconcile'!A$2:A2488,MATCH(B1412,'Run Reconcile'!B$2:B2488,0),1),IFERROR(0/0,""))</f>
        <v>RUN-FLMP_2022-09-12_APS-110</v>
      </c>
      <c r="S1412" s="473" t="str">
        <f t="shared" si="694"/>
        <v/>
      </c>
      <c r="T1412" s="473" t="str">
        <f t="shared" si="698"/>
        <v/>
      </c>
      <c r="U1412" s="275" t="str">
        <f t="array" ref="U1412">IF(ISBLANK($R1412), INDEX('Run Reconcile'!A$2:A2488, MATCH($B1412, 'Run Reconcile'!B$2:B2488, 0)+Z1412, 1), IFERROR(0/0,""))
</f>
        <v/>
      </c>
      <c r="V1412" s="474" t="str">
        <f t="shared" si="5"/>
        <v>RUN-FLMP_2022-09-12_APS-110</v>
      </c>
      <c r="Y1412" s="89" t="str">
        <f t="shared" si="1719"/>
        <v/>
      </c>
      <c r="Z1412" s="60" t="str">
        <f t="shared" si="7"/>
        <v/>
      </c>
      <c r="AA1412" s="60" t="str">
        <f t="shared" si="8"/>
        <v/>
      </c>
      <c r="AB1412" s="60" t="str">
        <f t="shared" si="9"/>
        <v/>
      </c>
      <c r="AC1412" s="30" t="str">
        <f t="shared" ref="AC1412:AD1412" si="1772">IF(_xlfn.ISFORMULA(S1412),IFERROR(0/0,""),TRUE)</f>
        <v/>
      </c>
      <c r="AD1412" s="30" t="str">
        <f t="shared" si="1772"/>
        <v/>
      </c>
      <c r="AE1412" s="475" t="str">
        <f>IFERROR(__xludf.DUMMYFUNCTION("""COMPUTED_VALUE"""),"FLSP")</f>
        <v>FLSP</v>
      </c>
      <c r="AF1412" s="476"/>
      <c r="AG1412" s="474" t="s">
        <v>245</v>
      </c>
      <c r="AH1412" s="138" t="str">
        <f t="shared" si="11"/>
        <v/>
      </c>
    </row>
    <row r="1413">
      <c r="A1413" s="103" t="str">
        <f>IFERROR(__xludf.DUMMYFUNCTION("""COMPUTED_VALUE"""),"FM4463")</f>
        <v>FM4463</v>
      </c>
      <c r="B1413" s="468">
        <f>IFERROR(__xludf.DUMMYFUNCTION("""COMPUTED_VALUE"""),44819.0)</f>
        <v>44819</v>
      </c>
      <c r="C1413" s="469">
        <f>IFERROR(__xludf.DUMMYFUNCTION("""COMPUTED_VALUE"""),0.3722800925925926)</f>
        <v>0.3722800926</v>
      </c>
      <c r="D1413" s="103" t="str">
        <f>IFERROR(__xludf.DUMMYFUNCTION("""COMPUTED_VALUE"""),"SpFLMP659315")</f>
        <v>SpFLMP659315</v>
      </c>
      <c r="E1413" s="103"/>
      <c r="F1413" s="103"/>
      <c r="G1413" s="103" t="str">
        <f>IFERROR(__xludf.DUMMYFUNCTION("""COMPUTED_VALUE"""),"Negative")</f>
        <v>Negative</v>
      </c>
      <c r="H1413" s="131" t="str">
        <f>IFERROR(__xludf.DUMMYFUNCTION("""COMPUTED_VALUE"""),"Negative")</f>
        <v>Negative</v>
      </c>
      <c r="I1413" s="468">
        <f>IFERROR(__xludf.DUMMYFUNCTION("""COMPUTED_VALUE"""),44820.0)</f>
        <v>44820</v>
      </c>
      <c r="J1413" s="470">
        <f>IFERROR(__xludf.DUMMYFUNCTION("""COMPUTED_VALUE"""),0.5670138888888889)</f>
        <v>0.5670138889</v>
      </c>
      <c r="K1413" s="16"/>
      <c r="L1413" s="8"/>
      <c r="M1413" s="69"/>
      <c r="N1413" s="69">
        <f>IFERROR(__xludf.DUMMYFUNCTION("""COMPUTED_VALUE"""),4.0)</f>
        <v>4</v>
      </c>
      <c r="O1413" s="69" t="b">
        <f t="shared" si="3"/>
        <v>1</v>
      </c>
      <c r="P1413" s="471">
        <f>IFERROR(__xludf.DUMMYFUNCTION("""COMPUTED_VALUE"""),1.0)</f>
        <v>1</v>
      </c>
      <c r="Q1413" s="274" t="b">
        <f>VLOOKUP($B1413,'Run Reconcile'!B$2:O2488,14,FALSE)</f>
        <v>1</v>
      </c>
      <c r="R1413" s="472" t="str">
        <f t="array" ref="R1413">IF($Q1413, INDEX('Run Reconcile'!A$2:A2488,MATCH(B1413,'Run Reconcile'!B$2:B2488,0),1),IFERROR(0/0,""))</f>
        <v>RUN-FLMP_2022-09-15_APS-111</v>
      </c>
      <c r="S1413" s="473" t="str">
        <f t="shared" si="694"/>
        <v/>
      </c>
      <c r="T1413" s="473" t="str">
        <f t="shared" si="698"/>
        <v/>
      </c>
      <c r="U1413" s="275" t="str">
        <f t="array" ref="U1413">IF(ISBLANK($R1413), INDEX('Run Reconcile'!A$2:A2488, MATCH($B1413, 'Run Reconcile'!B$2:B2488, 0)+Z1413, 1), IFERROR(0/0,""))
</f>
        <v/>
      </c>
      <c r="V1413" s="474" t="str">
        <f t="shared" si="5"/>
        <v>RUN-FLMP_2022-09-15_APS-111</v>
      </c>
      <c r="Y1413" s="89" t="str">
        <f t="shared" si="1719"/>
        <v/>
      </c>
      <c r="Z1413" s="60" t="str">
        <f t="shared" si="7"/>
        <v/>
      </c>
      <c r="AA1413" s="60" t="str">
        <f t="shared" si="8"/>
        <v/>
      </c>
      <c r="AB1413" s="60" t="str">
        <f t="shared" si="9"/>
        <v/>
      </c>
      <c r="AC1413" s="30"/>
      <c r="AD1413" s="30"/>
      <c r="AE1413" s="475" t="str">
        <f>IFERROR(__xludf.DUMMYFUNCTION("""COMPUTED_VALUE"""),"FLSP")</f>
        <v>FLSP</v>
      </c>
      <c r="AF1413" s="476"/>
      <c r="AG1413" s="474" t="s">
        <v>246</v>
      </c>
      <c r="AH1413" s="138" t="str">
        <f t="shared" si="11"/>
        <v/>
      </c>
    </row>
    <row r="1414">
      <c r="A1414" s="103" t="str">
        <f>IFERROR(__xludf.DUMMYFUNCTION("""COMPUTED_VALUE"""),"MA104")</f>
        <v>MA104</v>
      </c>
      <c r="B1414" s="468">
        <f>IFERROR(__xludf.DUMMYFUNCTION("""COMPUTED_VALUE"""),44819.0)</f>
        <v>44819</v>
      </c>
      <c r="C1414" s="469">
        <f>IFERROR(__xludf.DUMMYFUNCTION("""COMPUTED_VALUE"""),0.38591435185185186)</f>
        <v>0.3859143519</v>
      </c>
      <c r="D1414" s="103" t="str">
        <f>IFERROR(__xludf.DUMMYFUNCTION("""COMPUTED_VALUE"""),"SpFLMP120998")</f>
        <v>SpFLMP120998</v>
      </c>
      <c r="E1414" s="103"/>
      <c r="F1414" s="103"/>
      <c r="G1414" s="103" t="str">
        <f>IFERROR(__xludf.DUMMYFUNCTION("""COMPUTED_VALUE"""),"Negative")</f>
        <v>Negative</v>
      </c>
      <c r="H1414" s="131" t="str">
        <f>IFERROR(__xludf.DUMMYFUNCTION("""COMPUTED_VALUE"""),"Negative")</f>
        <v>Negative</v>
      </c>
      <c r="I1414" s="468">
        <f>IFERROR(__xludf.DUMMYFUNCTION("""COMPUTED_VALUE"""),44820.0)</f>
        <v>44820</v>
      </c>
      <c r="J1414" s="470">
        <f>IFERROR(__xludf.DUMMYFUNCTION("""COMPUTED_VALUE"""),0.5670138888888889)</f>
        <v>0.5670138889</v>
      </c>
      <c r="K1414" s="16"/>
      <c r="L1414" s="8"/>
      <c r="M1414" s="69"/>
      <c r="N1414" s="69">
        <f>IFERROR(__xludf.DUMMYFUNCTION("""COMPUTED_VALUE"""),2.0)</f>
        <v>2</v>
      </c>
      <c r="O1414" s="69" t="str">
        <f t="shared" si="3"/>
        <v/>
      </c>
      <c r="P1414" s="471">
        <f>IFERROR(__xludf.DUMMYFUNCTION("""COMPUTED_VALUE"""),1.0)</f>
        <v>1</v>
      </c>
      <c r="Q1414" s="274" t="b">
        <f>VLOOKUP($B1414,'Run Reconcile'!B$2:O2488,14,FALSE)</f>
        <v>1</v>
      </c>
      <c r="R1414" s="472" t="str">
        <f t="array" ref="R1414">IF($Q1414, INDEX('Run Reconcile'!A$2:A2488,MATCH(B1414,'Run Reconcile'!B$2:B2488,0),1),IFERROR(0/0,""))</f>
        <v>RUN-FLMP_2022-09-15_APS-111</v>
      </c>
      <c r="S1414" s="473" t="str">
        <f t="shared" si="694"/>
        <v/>
      </c>
      <c r="T1414" s="473" t="str">
        <f t="shared" si="698"/>
        <v/>
      </c>
      <c r="U1414" s="275" t="str">
        <f t="array" ref="U1414">IF(ISBLANK($R1414), INDEX('Run Reconcile'!A$2:A2488, MATCH($B1414, 'Run Reconcile'!B$2:B2488, 0)+Z1414, 1), IFERROR(0/0,""))
</f>
        <v/>
      </c>
      <c r="V1414" s="474" t="str">
        <f t="shared" si="5"/>
        <v>RUN-FLMP_2022-09-15_APS-111</v>
      </c>
      <c r="Y1414" s="89" t="str">
        <f t="shared" si="1719"/>
        <v/>
      </c>
      <c r="Z1414" s="60" t="str">
        <f t="shared" si="7"/>
        <v/>
      </c>
      <c r="AA1414" s="60" t="str">
        <f t="shared" si="8"/>
        <v/>
      </c>
      <c r="AB1414" s="60" t="str">
        <f t="shared" si="9"/>
        <v/>
      </c>
      <c r="AC1414" s="30"/>
      <c r="AD1414" s="30"/>
      <c r="AE1414" s="475" t="str">
        <f>IFERROR(__xludf.DUMMYFUNCTION("""COMPUTED_VALUE"""),"FLSP")</f>
        <v>FLSP</v>
      </c>
      <c r="AF1414" s="476"/>
      <c r="AG1414" s="474" t="s">
        <v>246</v>
      </c>
      <c r="AH1414" s="138" t="str">
        <f t="shared" si="11"/>
        <v/>
      </c>
    </row>
    <row r="1415">
      <c r="A1415" s="103" t="str">
        <f>IFERROR(__xludf.DUMMYFUNCTION("""COMPUTED_VALUE"""),"AH9175")</f>
        <v>AH9175</v>
      </c>
      <c r="B1415" s="468">
        <f>IFERROR(__xludf.DUMMYFUNCTION("""COMPUTED_VALUE"""),44823.0)</f>
        <v>44823</v>
      </c>
      <c r="C1415" s="469">
        <f>IFERROR(__xludf.DUMMYFUNCTION("""COMPUTED_VALUE"""),0.36052083333333335)</f>
        <v>0.3605208333</v>
      </c>
      <c r="D1415" s="103" t="str">
        <f>IFERROR(__xludf.DUMMYFUNCTION("""COMPUTED_VALUE"""),"SpFLMP659315")</f>
        <v>SpFLMP659315</v>
      </c>
      <c r="E1415" s="103"/>
      <c r="F1415" s="103"/>
      <c r="G1415" s="103" t="str">
        <f>IFERROR(__xludf.DUMMYFUNCTION("""COMPUTED_VALUE"""),"Negative")</f>
        <v>Negative</v>
      </c>
      <c r="H1415" s="131" t="str">
        <f>IFERROR(__xludf.DUMMYFUNCTION("""COMPUTED_VALUE"""),"Negative")</f>
        <v>Negative</v>
      </c>
      <c r="I1415" s="468">
        <f>IFERROR(__xludf.DUMMYFUNCTION("""COMPUTED_VALUE"""),44823.0)</f>
        <v>44823</v>
      </c>
      <c r="J1415" s="470">
        <f>IFERROR(__xludf.DUMMYFUNCTION("""COMPUTED_VALUE"""),0.5880092592592593)</f>
        <v>0.5880092593</v>
      </c>
      <c r="K1415" s="16"/>
      <c r="L1415" s="8"/>
      <c r="M1415" s="69"/>
      <c r="N1415" s="69">
        <f>IFERROR(__xludf.DUMMYFUNCTION("""COMPUTED_VALUE"""),4.0)</f>
        <v>4</v>
      </c>
      <c r="O1415" s="69" t="b">
        <f t="shared" si="3"/>
        <v>1</v>
      </c>
      <c r="P1415" s="471">
        <f>IFERROR(__xludf.DUMMYFUNCTION("""COMPUTED_VALUE"""),0.0)</f>
        <v>0</v>
      </c>
      <c r="Q1415" s="274" t="b">
        <f>VLOOKUP($B1415,'Run Reconcile'!B$2:O2488,14,FALSE)</f>
        <v>1</v>
      </c>
      <c r="R1415" s="472" t="str">
        <f t="array" ref="R1415">IF($Q1415, INDEX('Run Reconcile'!A$2:A2488,MATCH(B1415,'Run Reconcile'!B$2:B2488,0),1),IFERROR(0/0,""))</f>
        <v>RUN-FLMP_2022-09-19_APS-112</v>
      </c>
      <c r="S1415" s="473" t="str">
        <f t="shared" si="694"/>
        <v/>
      </c>
      <c r="T1415" s="473" t="str">
        <f t="shared" si="698"/>
        <v/>
      </c>
      <c r="U1415" s="275" t="str">
        <f t="array" ref="U1415">IF(ISBLANK($R1415), INDEX('Run Reconcile'!A$2:A2488, MATCH($B1415, 'Run Reconcile'!B$2:B2488, 0)+Z1415, 1), IFERROR(0/0,""))
</f>
        <v/>
      </c>
      <c r="V1415" s="474" t="str">
        <f t="shared" si="5"/>
        <v>RUN-FLMP_2022-09-19_APS-112</v>
      </c>
      <c r="Y1415" s="89" t="str">
        <f t="shared" si="1719"/>
        <v/>
      </c>
      <c r="Z1415" s="60" t="str">
        <f t="shared" si="7"/>
        <v/>
      </c>
      <c r="AA1415" s="60" t="str">
        <f t="shared" si="8"/>
        <v/>
      </c>
      <c r="AB1415" s="60" t="str">
        <f t="shared" si="9"/>
        <v/>
      </c>
      <c r="AC1415" s="30"/>
      <c r="AD1415" s="30"/>
      <c r="AE1415" s="475" t="str">
        <f>IFERROR(__xludf.DUMMYFUNCTION("""COMPUTED_VALUE"""),"FLSP")</f>
        <v>FLSP</v>
      </c>
      <c r="AF1415" s="476"/>
      <c r="AG1415" s="474" t="s">
        <v>247</v>
      </c>
      <c r="AH1415" s="138" t="str">
        <f t="shared" si="11"/>
        <v/>
      </c>
    </row>
    <row r="1416">
      <c r="A1416" s="103" t="str">
        <f>IFERROR(__xludf.DUMMYFUNCTION("""COMPUTED_VALUE"""),"AG485A")</f>
        <v>AG485A</v>
      </c>
      <c r="B1416" s="468">
        <f>IFERROR(__xludf.DUMMYFUNCTION("""COMPUTED_VALUE"""),44823.0)</f>
        <v>44823</v>
      </c>
      <c r="C1416" s="469">
        <f>IFERROR(__xludf.DUMMYFUNCTION("""COMPUTED_VALUE"""),0.39481481481481484)</f>
        <v>0.3948148148</v>
      </c>
      <c r="D1416" s="103" t="str">
        <f>IFERROR(__xludf.DUMMYFUNCTION("""COMPUTED_VALUE"""),"SpFLMP870846")</f>
        <v>SpFLMP870846</v>
      </c>
      <c r="E1416" s="103"/>
      <c r="F1416" s="103"/>
      <c r="G1416" s="103" t="str">
        <f>IFERROR(__xludf.DUMMYFUNCTION("""COMPUTED_VALUE"""),"Negative")</f>
        <v>Negative</v>
      </c>
      <c r="H1416" s="131" t="str">
        <f>IFERROR(__xludf.DUMMYFUNCTION("""COMPUTED_VALUE"""),"Negative")</f>
        <v>Negative</v>
      </c>
      <c r="I1416" s="468">
        <f>IFERROR(__xludf.DUMMYFUNCTION("""COMPUTED_VALUE"""),44823.0)</f>
        <v>44823</v>
      </c>
      <c r="J1416" s="470">
        <f>IFERROR(__xludf.DUMMYFUNCTION("""COMPUTED_VALUE"""),0.5880092592592593)</f>
        <v>0.5880092593</v>
      </c>
      <c r="K1416" s="16"/>
      <c r="L1416" s="8"/>
      <c r="M1416" s="69"/>
      <c r="N1416" s="69">
        <f>IFERROR(__xludf.DUMMYFUNCTION("""COMPUTED_VALUE"""),1.0)</f>
        <v>1</v>
      </c>
      <c r="O1416" s="69" t="str">
        <f t="shared" si="3"/>
        <v/>
      </c>
      <c r="P1416" s="471">
        <f>IFERROR(__xludf.DUMMYFUNCTION("""COMPUTED_VALUE"""),0.0)</f>
        <v>0</v>
      </c>
      <c r="Q1416" s="274" t="b">
        <f>VLOOKUP($B1416,'Run Reconcile'!B$2:O2488,14,FALSE)</f>
        <v>1</v>
      </c>
      <c r="R1416" s="472" t="str">
        <f t="array" ref="R1416">IF($Q1416, INDEX('Run Reconcile'!A$2:A2488,MATCH(B1416,'Run Reconcile'!B$2:B2488,0),1),IFERROR(0/0,""))</f>
        <v>RUN-FLMP_2022-09-19_APS-112</v>
      </c>
      <c r="S1416" s="473" t="str">
        <f t="shared" si="694"/>
        <v/>
      </c>
      <c r="T1416" s="473" t="str">
        <f t="shared" si="698"/>
        <v/>
      </c>
      <c r="U1416" s="275" t="str">
        <f t="array" ref="U1416">IF(ISBLANK($R1416), INDEX('Run Reconcile'!A$2:A2488, MATCH($B1416, 'Run Reconcile'!B$2:B2488, 0)+Z1416, 1), IFERROR(0/0,""))
</f>
        <v/>
      </c>
      <c r="V1416" s="474" t="str">
        <f t="shared" si="5"/>
        <v>RUN-FLMP_2022-09-19_APS-112</v>
      </c>
      <c r="Y1416" s="89" t="str">
        <f t="shared" si="1719"/>
        <v/>
      </c>
      <c r="Z1416" s="60" t="str">
        <f t="shared" si="7"/>
        <v/>
      </c>
      <c r="AA1416" s="60" t="str">
        <f t="shared" si="8"/>
        <v/>
      </c>
      <c r="AB1416" s="60" t="str">
        <f t="shared" si="9"/>
        <v/>
      </c>
      <c r="AC1416" s="30"/>
      <c r="AD1416" s="30"/>
      <c r="AE1416" s="475" t="str">
        <f>IFERROR(__xludf.DUMMYFUNCTION("""COMPUTED_VALUE"""),"FLSP")</f>
        <v>FLSP</v>
      </c>
      <c r="AF1416" s="476"/>
      <c r="AG1416" s="474" t="s">
        <v>247</v>
      </c>
      <c r="AH1416" s="138" t="str">
        <f t="shared" si="11"/>
        <v/>
      </c>
    </row>
    <row r="1417">
      <c r="A1417" s="103" t="str">
        <f>IFERROR(__xludf.DUMMYFUNCTION("""COMPUTED_VALUE"""),"AH9745")</f>
        <v>AH9745</v>
      </c>
      <c r="B1417" s="468">
        <f>IFERROR(__xludf.DUMMYFUNCTION("""COMPUTED_VALUE"""),44826.0)</f>
        <v>44826</v>
      </c>
      <c r="C1417" s="469">
        <f>IFERROR(__xludf.DUMMYFUNCTION("""COMPUTED_VALUE"""),0.3226736111111111)</f>
        <v>0.3226736111</v>
      </c>
      <c r="D1417" s="103" t="str">
        <f>IFERROR(__xludf.DUMMYFUNCTION("""COMPUTED_VALUE"""),"SpFLMP659315")</f>
        <v>SpFLMP659315</v>
      </c>
      <c r="E1417" s="103"/>
      <c r="F1417" s="103"/>
      <c r="G1417" s="103" t="str">
        <f>IFERROR(__xludf.DUMMYFUNCTION("""COMPUTED_VALUE"""),"Negative")</f>
        <v>Negative</v>
      </c>
      <c r="H1417" s="131" t="str">
        <f>IFERROR(__xludf.DUMMYFUNCTION("""COMPUTED_VALUE"""),"Negative")</f>
        <v>Negative</v>
      </c>
      <c r="I1417" s="468">
        <f>IFERROR(__xludf.DUMMYFUNCTION("""COMPUTED_VALUE"""),44826.0)</f>
        <v>44826</v>
      </c>
      <c r="J1417" s="470">
        <f>IFERROR(__xludf.DUMMYFUNCTION("""COMPUTED_VALUE"""),0.4545023148148148)</f>
        <v>0.4545023148</v>
      </c>
      <c r="K1417" s="16"/>
      <c r="L1417" s="8"/>
      <c r="M1417" s="69"/>
      <c r="N1417" s="69">
        <f>IFERROR(__xludf.DUMMYFUNCTION("""COMPUTED_VALUE"""),4.0)</f>
        <v>4</v>
      </c>
      <c r="O1417" s="69" t="b">
        <f t="shared" si="3"/>
        <v>1</v>
      </c>
      <c r="P1417" s="471">
        <f>IFERROR(__xludf.DUMMYFUNCTION("""COMPUTED_VALUE"""),0.0)</f>
        <v>0</v>
      </c>
      <c r="Q1417" s="274" t="b">
        <f>VLOOKUP($B1417,'Run Reconcile'!B$2:O2488,14,FALSE)</f>
        <v>1</v>
      </c>
      <c r="R1417" s="472" t="str">
        <f t="array" ref="R1417">IF($Q1417, INDEX('Run Reconcile'!A$2:A2488,MATCH(B1417,'Run Reconcile'!B$2:B2488,0),1),IFERROR(0/0,""))</f>
        <v>RUN-FLMP_2022-09-22_APS-113</v>
      </c>
      <c r="S1417" s="473" t="str">
        <f t="shared" si="694"/>
        <v/>
      </c>
      <c r="T1417" s="473" t="str">
        <f t="shared" si="698"/>
        <v/>
      </c>
      <c r="U1417" s="275" t="str">
        <f t="array" ref="U1417">IF(ISBLANK($R1417), INDEX('Run Reconcile'!A$2:A2488, MATCH($B1417, 'Run Reconcile'!B$2:B2488, 0)+Z1417, 1), IFERROR(0/0,""))
</f>
        <v/>
      </c>
      <c r="V1417" s="474" t="str">
        <f t="shared" si="5"/>
        <v>RUN-FLMP_2022-09-22_APS-113</v>
      </c>
      <c r="Y1417" s="89" t="str">
        <f t="shared" si="1719"/>
        <v/>
      </c>
      <c r="Z1417" s="60" t="str">
        <f t="shared" si="7"/>
        <v/>
      </c>
      <c r="AA1417" s="60" t="str">
        <f t="shared" si="8"/>
        <v/>
      </c>
      <c r="AB1417" s="60" t="str">
        <f t="shared" si="9"/>
        <v/>
      </c>
      <c r="AC1417" s="30"/>
      <c r="AD1417" s="30"/>
      <c r="AE1417" s="475" t="str">
        <f>IFERROR(__xludf.DUMMYFUNCTION("""COMPUTED_VALUE"""),"FLSP")</f>
        <v>FLSP</v>
      </c>
      <c r="AF1417" s="476"/>
      <c r="AG1417" s="474" t="s">
        <v>248</v>
      </c>
      <c r="AH1417" s="138" t="str">
        <f t="shared" si="11"/>
        <v/>
      </c>
    </row>
    <row r="1418">
      <c r="A1418" s="103" t="str">
        <f>IFERROR(__xludf.DUMMYFUNCTION("""COMPUTED_VALUE"""),"AG926")</f>
        <v>AG926</v>
      </c>
      <c r="B1418" s="468">
        <f>IFERROR(__xludf.DUMMYFUNCTION("""COMPUTED_VALUE"""),44826.0)</f>
        <v>44826</v>
      </c>
      <c r="C1418" s="469">
        <f>IFERROR(__xludf.DUMMYFUNCTION("""COMPUTED_VALUE"""),0.3806597222222222)</f>
        <v>0.3806597222</v>
      </c>
      <c r="D1418" s="103" t="str">
        <f>IFERROR(__xludf.DUMMYFUNCTION("""COMPUTED_VALUE"""),"SpFLMP870846")</f>
        <v>SpFLMP870846</v>
      </c>
      <c r="E1418" s="103"/>
      <c r="F1418" s="103"/>
      <c r="G1418" s="103" t="str">
        <f>IFERROR(__xludf.DUMMYFUNCTION("""COMPUTED_VALUE"""),"Negative")</f>
        <v>Negative</v>
      </c>
      <c r="H1418" s="131" t="str">
        <f>IFERROR(__xludf.DUMMYFUNCTION("""COMPUTED_VALUE"""),"Negative")</f>
        <v>Negative</v>
      </c>
      <c r="I1418" s="468">
        <f>IFERROR(__xludf.DUMMYFUNCTION("""COMPUTED_VALUE"""),44826.0)</f>
        <v>44826</v>
      </c>
      <c r="J1418" s="470">
        <f>IFERROR(__xludf.DUMMYFUNCTION("""COMPUTED_VALUE"""),0.4545023148148148)</f>
        <v>0.4545023148</v>
      </c>
      <c r="K1418" s="16"/>
      <c r="L1418" s="8"/>
      <c r="M1418" s="69"/>
      <c r="N1418" s="69">
        <f>IFERROR(__xludf.DUMMYFUNCTION("""COMPUTED_VALUE"""),1.0)</f>
        <v>1</v>
      </c>
      <c r="O1418" s="69" t="str">
        <f t="shared" si="3"/>
        <v/>
      </c>
      <c r="P1418" s="471">
        <f>IFERROR(__xludf.DUMMYFUNCTION("""COMPUTED_VALUE"""),0.0)</f>
        <v>0</v>
      </c>
      <c r="Q1418" s="274" t="b">
        <f>VLOOKUP($B1418,'Run Reconcile'!B$2:O2488,14,FALSE)</f>
        <v>1</v>
      </c>
      <c r="R1418" s="472" t="str">
        <f t="array" ref="R1418">IF($Q1418, INDEX('Run Reconcile'!A$2:A2488,MATCH(B1418,'Run Reconcile'!B$2:B2488,0),1),IFERROR(0/0,""))</f>
        <v>RUN-FLMP_2022-09-22_APS-113</v>
      </c>
      <c r="S1418" s="473" t="str">
        <f t="shared" si="694"/>
        <v/>
      </c>
      <c r="T1418" s="473" t="str">
        <f t="shared" si="698"/>
        <v/>
      </c>
      <c r="U1418" s="275" t="str">
        <f t="array" ref="U1418">IF(ISBLANK($R1418), INDEX('Run Reconcile'!A$2:A2488, MATCH($B1418, 'Run Reconcile'!B$2:B2488, 0)+Z1418, 1), IFERROR(0/0,""))
</f>
        <v/>
      </c>
      <c r="V1418" s="474" t="str">
        <f t="shared" si="5"/>
        <v>RUN-FLMP_2022-09-22_APS-113</v>
      </c>
      <c r="Y1418" s="89" t="str">
        <f t="shared" si="1719"/>
        <v/>
      </c>
      <c r="Z1418" s="60" t="str">
        <f t="shared" si="7"/>
        <v/>
      </c>
      <c r="AA1418" s="60" t="str">
        <f t="shared" si="8"/>
        <v/>
      </c>
      <c r="AB1418" s="60" t="str">
        <f t="shared" si="9"/>
        <v/>
      </c>
      <c r="AC1418" s="30"/>
      <c r="AD1418" s="30"/>
      <c r="AE1418" s="475" t="str">
        <f>IFERROR(__xludf.DUMMYFUNCTION("""COMPUTED_VALUE"""),"FLSP")</f>
        <v>FLSP</v>
      </c>
      <c r="AF1418" s="476"/>
      <c r="AG1418" s="474" t="s">
        <v>248</v>
      </c>
      <c r="AH1418" s="138" t="str">
        <f t="shared" si="11"/>
        <v/>
      </c>
    </row>
    <row r="1419">
      <c r="A1419" s="103" t="str">
        <f>IFERROR(__xludf.DUMMYFUNCTION("""COMPUTED_VALUE"""),"AG468")</f>
        <v>AG468</v>
      </c>
      <c r="B1419" s="468">
        <f>IFERROR(__xludf.DUMMYFUNCTION("""COMPUTED_VALUE"""),44830.0)</f>
        <v>44830</v>
      </c>
      <c r="C1419" s="469">
        <f>IFERROR(__xludf.DUMMYFUNCTION("""COMPUTED_VALUE"""),0.33199074074074075)</f>
        <v>0.3319907407</v>
      </c>
      <c r="D1419" s="103" t="str">
        <f>IFERROR(__xludf.DUMMYFUNCTION("""COMPUTED_VALUE"""),"SpFLMP870846")</f>
        <v>SpFLMP870846</v>
      </c>
      <c r="E1419" s="103"/>
      <c r="F1419" s="103"/>
      <c r="G1419" s="103" t="str">
        <f>IFERROR(__xludf.DUMMYFUNCTION("""COMPUTED_VALUE"""),"Negative")</f>
        <v>Negative</v>
      </c>
      <c r="H1419" s="131" t="str">
        <f>IFERROR(__xludf.DUMMYFUNCTION("""COMPUTED_VALUE"""),"Negative")</f>
        <v>Negative</v>
      </c>
      <c r="I1419" s="468">
        <f>IFERROR(__xludf.DUMMYFUNCTION("""COMPUTED_VALUE"""),44858.0)</f>
        <v>44858</v>
      </c>
      <c r="J1419" s="470">
        <f>IFERROR(__xludf.DUMMYFUNCTION("""COMPUTED_VALUE"""),0.35834490740740743)</f>
        <v>0.3583449074</v>
      </c>
      <c r="K1419" s="16"/>
      <c r="L1419" s="8"/>
      <c r="M1419" s="69"/>
      <c r="N1419" s="69">
        <f>IFERROR(__xludf.DUMMYFUNCTION("""COMPUTED_VALUE"""),2.0)</f>
        <v>2</v>
      </c>
      <c r="O1419" s="69" t="b">
        <f t="shared" si="3"/>
        <v>1</v>
      </c>
      <c r="P1419" s="471">
        <f>IFERROR(__xludf.DUMMYFUNCTION("""COMPUTED_VALUE"""),28.0)</f>
        <v>28</v>
      </c>
      <c r="Q1419" s="274" t="b">
        <f>VLOOKUP($B1419,'Run Reconcile'!B$2:O2488,14,FALSE)</f>
        <v>1</v>
      </c>
      <c r="R1419" s="472" t="str">
        <f t="array" ref="R1419">IF($Q1419, INDEX('Run Reconcile'!A$2:A2488,MATCH(B1419,'Run Reconcile'!B$2:B2488,0),1),IFERROR(0/0,""))</f>
        <v>RUN-FLMP_2022-09-26_APS-114</v>
      </c>
      <c r="S1419" s="473" t="str">
        <f t="shared" si="694"/>
        <v/>
      </c>
      <c r="T1419" s="473" t="str">
        <f t="shared" si="698"/>
        <v/>
      </c>
      <c r="U1419" s="275" t="str">
        <f t="array" ref="U1419">IF(ISBLANK($R1419), INDEX('Run Reconcile'!A$2:A2488, MATCH($B1419, 'Run Reconcile'!B$2:B2488, 0)+Z1419, 1), IFERROR(0/0,""))
</f>
        <v/>
      </c>
      <c r="V1419" s="474" t="str">
        <f t="shared" si="5"/>
        <v>RUN-FLMP_2022-09-26_APS-114</v>
      </c>
      <c r="Y1419" s="89" t="str">
        <f t="shared" si="1719"/>
        <v/>
      </c>
      <c r="Z1419" s="60" t="str">
        <f t="shared" si="7"/>
        <v/>
      </c>
      <c r="AA1419" s="60" t="str">
        <f t="shared" si="8"/>
        <v/>
      </c>
      <c r="AB1419" s="60" t="str">
        <f t="shared" si="9"/>
        <v/>
      </c>
      <c r="AC1419" s="30"/>
      <c r="AD1419" s="30"/>
      <c r="AE1419" s="475" t="str">
        <f>IFERROR(__xludf.DUMMYFUNCTION("""COMPUTED_VALUE"""),"FLSP")</f>
        <v>FLSP</v>
      </c>
      <c r="AF1419" s="476"/>
      <c r="AG1419" s="474" t="s">
        <v>249</v>
      </c>
      <c r="AH1419" s="138" t="str">
        <f t="shared" si="11"/>
        <v/>
      </c>
    </row>
    <row r="1420">
      <c r="A1420" s="103" t="str">
        <f>IFERROR(__xludf.DUMMYFUNCTION("""COMPUTED_VALUE"""),"AJ9349")</f>
        <v>AJ9349</v>
      </c>
      <c r="B1420" s="468">
        <f>IFERROR(__xludf.DUMMYFUNCTION("""COMPUTED_VALUE"""),44830.0)</f>
        <v>44830</v>
      </c>
      <c r="C1420" s="469">
        <f>IFERROR(__xludf.DUMMYFUNCTION("""COMPUTED_VALUE"""),0.3629513888888889)</f>
        <v>0.3629513889</v>
      </c>
      <c r="D1420" s="103" t="str">
        <f>IFERROR(__xludf.DUMMYFUNCTION("""COMPUTED_VALUE"""),"SpFLMP120998")</f>
        <v>SpFLMP120998</v>
      </c>
      <c r="E1420" s="103"/>
      <c r="F1420" s="103"/>
      <c r="G1420" s="103" t="str">
        <f>IFERROR(__xludf.DUMMYFUNCTION("""COMPUTED_VALUE"""),"Negative")</f>
        <v>Negative</v>
      </c>
      <c r="H1420" s="131" t="str">
        <f>IFERROR(__xludf.DUMMYFUNCTION("""COMPUTED_VALUE"""),"Negative")</f>
        <v>Negative</v>
      </c>
      <c r="I1420" s="468">
        <f>IFERROR(__xludf.DUMMYFUNCTION("""COMPUTED_VALUE"""),44858.0)</f>
        <v>44858</v>
      </c>
      <c r="J1420" s="470">
        <f>IFERROR(__xludf.DUMMYFUNCTION("""COMPUTED_VALUE"""),0.35834490740740743)</f>
        <v>0.3583449074</v>
      </c>
      <c r="K1420" s="16"/>
      <c r="L1420" s="8"/>
      <c r="M1420" s="69"/>
      <c r="N1420" s="69">
        <f>IFERROR(__xludf.DUMMYFUNCTION("""COMPUTED_VALUE"""),4.0)</f>
        <v>4</v>
      </c>
      <c r="O1420" s="69" t="str">
        <f t="shared" si="3"/>
        <v/>
      </c>
      <c r="P1420" s="471">
        <f>IFERROR(__xludf.DUMMYFUNCTION("""COMPUTED_VALUE"""),28.0)</f>
        <v>28</v>
      </c>
      <c r="Q1420" s="274" t="b">
        <f>VLOOKUP($B1420,'Run Reconcile'!B$2:O2488,14,FALSE)</f>
        <v>1</v>
      </c>
      <c r="R1420" s="472" t="str">
        <f t="array" ref="R1420">IF($Q1420, INDEX('Run Reconcile'!A$2:A2488,MATCH(B1420,'Run Reconcile'!B$2:B2488,0),1),IFERROR(0/0,""))</f>
        <v>RUN-FLMP_2022-09-26_APS-114</v>
      </c>
      <c r="S1420" s="473" t="str">
        <f t="shared" si="694"/>
        <v/>
      </c>
      <c r="T1420" s="473" t="str">
        <f t="shared" si="698"/>
        <v/>
      </c>
      <c r="U1420" s="275" t="str">
        <f t="array" ref="U1420">IF(ISBLANK($R1420), INDEX('Run Reconcile'!A$2:A2488, MATCH($B1420, 'Run Reconcile'!B$2:B2488, 0)+Z1420, 1), IFERROR(0/0,""))
</f>
        <v/>
      </c>
      <c r="V1420" s="474" t="str">
        <f t="shared" si="5"/>
        <v>RUN-FLMP_2022-09-26_APS-114</v>
      </c>
      <c r="Y1420" s="89" t="str">
        <f t="shared" si="1719"/>
        <v/>
      </c>
      <c r="Z1420" s="60" t="str">
        <f t="shared" si="7"/>
        <v/>
      </c>
      <c r="AA1420" s="60" t="str">
        <f t="shared" si="8"/>
        <v/>
      </c>
      <c r="AB1420" s="60" t="str">
        <f t="shared" si="9"/>
        <v/>
      </c>
      <c r="AC1420" s="30"/>
      <c r="AD1420" s="30"/>
      <c r="AE1420" s="475" t="str">
        <f>IFERROR(__xludf.DUMMYFUNCTION("""COMPUTED_VALUE"""),"FLSP")</f>
        <v>FLSP</v>
      </c>
      <c r="AF1420" s="476"/>
      <c r="AG1420" s="474" t="s">
        <v>249</v>
      </c>
      <c r="AH1420" s="138" t="str">
        <f t="shared" si="11"/>
        <v/>
      </c>
    </row>
    <row r="1421">
      <c r="A1421" s="103" t="str">
        <f>IFERROR(__xludf.DUMMYFUNCTION("""COMPUTED_VALUE"""),"AH9407")</f>
        <v>AH9407</v>
      </c>
      <c r="B1421" s="468">
        <f>IFERROR(__xludf.DUMMYFUNCTION("""COMPUTED_VALUE"""),44833.0)</f>
        <v>44833</v>
      </c>
      <c r="C1421" s="469">
        <f>IFERROR(__xludf.DUMMYFUNCTION("""COMPUTED_VALUE"""),0.31798611111111114)</f>
        <v>0.3179861111</v>
      </c>
      <c r="D1421" s="103" t="str">
        <f>IFERROR(__xludf.DUMMYFUNCTION("""COMPUTED_VALUE"""),"SpFLMP684798")</f>
        <v>SpFLMP684798</v>
      </c>
      <c r="E1421" s="103"/>
      <c r="F1421" s="103"/>
      <c r="G1421" s="103" t="str">
        <f>IFERROR(__xludf.DUMMYFUNCTION("""COMPUTED_VALUE"""),"Negative")</f>
        <v>Negative</v>
      </c>
      <c r="H1421" s="131" t="str">
        <f>IFERROR(__xludf.DUMMYFUNCTION("""COMPUTED_VALUE"""),"Negative")</f>
        <v>Negative</v>
      </c>
      <c r="I1421" s="468">
        <f>IFERROR(__xludf.DUMMYFUNCTION("""COMPUTED_VALUE"""),44840.0)</f>
        <v>44840</v>
      </c>
      <c r="J1421" s="470">
        <f>IFERROR(__xludf.DUMMYFUNCTION("""COMPUTED_VALUE"""),0.4105902777777778)</f>
        <v>0.4105902778</v>
      </c>
      <c r="K1421" s="16"/>
      <c r="L1421" s="8"/>
      <c r="M1421" s="69"/>
      <c r="N1421" s="69">
        <f>IFERROR(__xludf.DUMMYFUNCTION("""COMPUTED_VALUE"""),4.0)</f>
        <v>4</v>
      </c>
      <c r="O1421" s="69" t="b">
        <f t="shared" si="3"/>
        <v>1</v>
      </c>
      <c r="P1421" s="471">
        <f>IFERROR(__xludf.DUMMYFUNCTION("""COMPUTED_VALUE"""),7.0)</f>
        <v>7</v>
      </c>
      <c r="Q1421" s="274" t="b">
        <f>VLOOKUP($B1421,'Run Reconcile'!B$2:O2488,14,FALSE)</f>
        <v>1</v>
      </c>
      <c r="R1421" s="472" t="str">
        <f t="array" ref="R1421">IF($Q1421, INDEX('Run Reconcile'!A$2:A2488,MATCH(B1421,'Run Reconcile'!B$2:B2488,0),1),IFERROR(0/0,""))</f>
        <v>RUN-FLMP_2022-09-29_APS-115</v>
      </c>
      <c r="S1421" s="473" t="str">
        <f t="shared" si="694"/>
        <v/>
      </c>
      <c r="T1421" s="473" t="str">
        <f t="shared" si="698"/>
        <v/>
      </c>
      <c r="U1421" s="275" t="str">
        <f t="array" ref="U1421">IF(ISBLANK($R1421), INDEX('Run Reconcile'!A$2:A2488, MATCH($B1421, 'Run Reconcile'!B$2:B2488, 0)+Z1421, 1), IFERROR(0/0,""))
</f>
        <v/>
      </c>
      <c r="V1421" s="474" t="str">
        <f t="shared" si="5"/>
        <v>RUN-FLMP_2022-09-29_APS-115</v>
      </c>
      <c r="Y1421" s="89" t="str">
        <f t="shared" si="1719"/>
        <v/>
      </c>
      <c r="Z1421" s="60" t="str">
        <f t="shared" si="7"/>
        <v/>
      </c>
      <c r="AA1421" s="60" t="str">
        <f t="shared" si="8"/>
        <v/>
      </c>
      <c r="AB1421" s="60" t="str">
        <f t="shared" si="9"/>
        <v/>
      </c>
      <c r="AC1421" s="30"/>
      <c r="AD1421" s="30"/>
      <c r="AE1421" s="475" t="str">
        <f>IFERROR(__xludf.DUMMYFUNCTION("""COMPUTED_VALUE"""),"FLSP")</f>
        <v>FLSP</v>
      </c>
      <c r="AF1421" s="476"/>
      <c r="AG1421" s="474" t="s">
        <v>250</v>
      </c>
      <c r="AH1421" s="138" t="str">
        <f t="shared" si="11"/>
        <v/>
      </c>
    </row>
    <row r="1422">
      <c r="A1422" s="103" t="str">
        <f>IFERROR(__xludf.DUMMYFUNCTION("""COMPUTED_VALUE"""),"AG2057")</f>
        <v>AG2057</v>
      </c>
      <c r="B1422" s="468">
        <f>IFERROR(__xludf.DUMMYFUNCTION("""COMPUTED_VALUE"""),44833.0)</f>
        <v>44833</v>
      </c>
      <c r="C1422" s="469">
        <f>IFERROR(__xludf.DUMMYFUNCTION("""COMPUTED_VALUE"""),0.33574074074074073)</f>
        <v>0.3357407407</v>
      </c>
      <c r="D1422" s="103" t="str">
        <f>IFERROR(__xludf.DUMMYFUNCTION("""COMPUTED_VALUE"""),"SpFLMP870846")</f>
        <v>SpFLMP870846</v>
      </c>
      <c r="E1422" s="103"/>
      <c r="F1422" s="103"/>
      <c r="G1422" s="103" t="str">
        <f>IFERROR(__xludf.DUMMYFUNCTION("""COMPUTED_VALUE"""),"Negative")</f>
        <v>Negative</v>
      </c>
      <c r="H1422" s="131" t="str">
        <f>IFERROR(__xludf.DUMMYFUNCTION("""COMPUTED_VALUE"""),"Negative")</f>
        <v>Negative</v>
      </c>
      <c r="I1422" s="468">
        <f>IFERROR(__xludf.DUMMYFUNCTION("""COMPUTED_VALUE"""),44840.0)</f>
        <v>44840</v>
      </c>
      <c r="J1422" s="470">
        <f>IFERROR(__xludf.DUMMYFUNCTION("""COMPUTED_VALUE"""),0.41060185185185183)</f>
        <v>0.4106018519</v>
      </c>
      <c r="K1422" s="16"/>
      <c r="L1422" s="8"/>
      <c r="M1422" s="69"/>
      <c r="N1422" s="69">
        <f>IFERROR(__xludf.DUMMYFUNCTION("""COMPUTED_VALUE"""),2.0)</f>
        <v>2</v>
      </c>
      <c r="O1422" s="69" t="str">
        <f t="shared" si="3"/>
        <v/>
      </c>
      <c r="P1422" s="471">
        <f>IFERROR(__xludf.DUMMYFUNCTION("""COMPUTED_VALUE"""),7.0)</f>
        <v>7</v>
      </c>
      <c r="Q1422" s="274" t="b">
        <f>VLOOKUP($B1422,'Run Reconcile'!B$2:O2488,14,FALSE)</f>
        <v>1</v>
      </c>
      <c r="R1422" s="472" t="str">
        <f t="array" ref="R1422">IF($Q1422, INDEX('Run Reconcile'!A$2:A2488,MATCH(B1422,'Run Reconcile'!B$2:B2488,0),1),IFERROR(0/0,""))</f>
        <v>RUN-FLMP_2022-09-29_APS-115</v>
      </c>
      <c r="S1422" s="473" t="str">
        <f t="shared" si="694"/>
        <v/>
      </c>
      <c r="T1422" s="473" t="str">
        <f t="shared" si="698"/>
        <v/>
      </c>
      <c r="U1422" s="275" t="str">
        <f t="array" ref="U1422">IF(ISBLANK($R1422), INDEX('Run Reconcile'!A$2:A2488, MATCH($B1422, 'Run Reconcile'!B$2:B2488, 0)+Z1422, 1), IFERROR(0/0,""))
</f>
        <v/>
      </c>
      <c r="V1422" s="474" t="str">
        <f t="shared" si="5"/>
        <v>RUN-FLMP_2022-09-29_APS-115</v>
      </c>
      <c r="Y1422" s="89" t="str">
        <f t="shared" si="1719"/>
        <v/>
      </c>
      <c r="Z1422" s="60" t="str">
        <f t="shared" si="7"/>
        <v/>
      </c>
      <c r="AA1422" s="60" t="str">
        <f t="shared" si="8"/>
        <v/>
      </c>
      <c r="AB1422" s="60" t="str">
        <f t="shared" si="9"/>
        <v/>
      </c>
      <c r="AC1422" s="30"/>
      <c r="AD1422" s="30"/>
      <c r="AE1422" s="475" t="str">
        <f>IFERROR(__xludf.DUMMYFUNCTION("""COMPUTED_VALUE"""),"FLSP")</f>
        <v>FLSP</v>
      </c>
      <c r="AF1422" s="476"/>
      <c r="AG1422" s="474" t="s">
        <v>250</v>
      </c>
      <c r="AH1422" s="138" t="str">
        <f t="shared" si="11"/>
        <v/>
      </c>
    </row>
    <row r="1423">
      <c r="A1423" s="103" t="str">
        <f>IFERROR(__xludf.DUMMYFUNCTION("""COMPUTED_VALUE"""),"AG161")</f>
        <v>AG161</v>
      </c>
      <c r="B1423" s="468">
        <f>IFERROR(__xludf.DUMMYFUNCTION("""COMPUTED_VALUE"""),44837.0)</f>
        <v>44837</v>
      </c>
      <c r="C1423" s="469">
        <f>IFERROR(__xludf.DUMMYFUNCTION("""COMPUTED_VALUE"""),0.3358217592592593)</f>
        <v>0.3358217593</v>
      </c>
      <c r="D1423" s="103" t="str">
        <f>IFERROR(__xludf.DUMMYFUNCTION("""COMPUTED_VALUE"""),"SpFLMP870846")</f>
        <v>SpFLMP870846</v>
      </c>
      <c r="E1423" s="103"/>
      <c r="F1423" s="103"/>
      <c r="G1423" s="103" t="str">
        <f>IFERROR(__xludf.DUMMYFUNCTION("""COMPUTED_VALUE"""),"Negative")</f>
        <v>Negative</v>
      </c>
      <c r="H1423" s="131" t="str">
        <f>IFERROR(__xludf.DUMMYFUNCTION("""COMPUTED_VALUE"""),"Negative")</f>
        <v>Negative</v>
      </c>
      <c r="I1423" s="468">
        <f>IFERROR(__xludf.DUMMYFUNCTION("""COMPUTED_VALUE"""),44840.0)</f>
        <v>44840</v>
      </c>
      <c r="J1423" s="470">
        <f>IFERROR(__xludf.DUMMYFUNCTION("""COMPUTED_VALUE"""),0.4105902777777778)</f>
        <v>0.4105902778</v>
      </c>
      <c r="K1423" s="16"/>
      <c r="L1423" s="8"/>
      <c r="M1423" s="69"/>
      <c r="N1423" s="69">
        <f>IFERROR(__xludf.DUMMYFUNCTION("""COMPUTED_VALUE"""),2.0)</f>
        <v>2</v>
      </c>
      <c r="O1423" s="69" t="b">
        <f t="shared" si="3"/>
        <v>1</v>
      </c>
      <c r="P1423" s="471">
        <f>IFERROR(__xludf.DUMMYFUNCTION("""COMPUTED_VALUE"""),3.0)</f>
        <v>3</v>
      </c>
      <c r="Q1423" s="274" t="b">
        <f>VLOOKUP($B1423,'Run Reconcile'!B$2:O2488,14,FALSE)</f>
        <v>1</v>
      </c>
      <c r="R1423" s="472" t="str">
        <f t="array" ref="R1423">IF($Q1423, INDEX('Run Reconcile'!A$2:A2488,MATCH(B1423,'Run Reconcile'!B$2:B2488,0),1),IFERROR(0/0,""))</f>
        <v>RUN-FLMP_2022-10-03_APS-116</v>
      </c>
      <c r="S1423" s="473" t="str">
        <f t="shared" si="694"/>
        <v/>
      </c>
      <c r="T1423" s="473" t="str">
        <f t="shared" si="698"/>
        <v/>
      </c>
      <c r="U1423" s="275" t="str">
        <f t="array" ref="U1423">IF(ISBLANK($R1423), INDEX('Run Reconcile'!A$2:A2488, MATCH($B1423, 'Run Reconcile'!B$2:B2488, 0)+Z1423, 1), IFERROR(0/0,""))
</f>
        <v/>
      </c>
      <c r="V1423" s="474" t="str">
        <f t="shared" si="5"/>
        <v>RUN-FLMP_2022-10-03_APS-116</v>
      </c>
      <c r="Y1423" s="89" t="str">
        <f t="shared" si="1719"/>
        <v/>
      </c>
      <c r="Z1423" s="60" t="str">
        <f t="shared" si="7"/>
        <v/>
      </c>
      <c r="AA1423" s="60" t="str">
        <f t="shared" si="8"/>
        <v/>
      </c>
      <c r="AB1423" s="60" t="str">
        <f t="shared" si="9"/>
        <v/>
      </c>
      <c r="AC1423" s="30"/>
      <c r="AD1423" s="30"/>
      <c r="AE1423" s="475" t="str">
        <f>IFERROR(__xludf.DUMMYFUNCTION("""COMPUTED_VALUE"""),"FLSP")</f>
        <v>FLSP</v>
      </c>
      <c r="AF1423" s="476"/>
      <c r="AG1423" s="474" t="s">
        <v>251</v>
      </c>
      <c r="AH1423" s="138" t="str">
        <f t="shared" si="11"/>
        <v/>
      </c>
    </row>
    <row r="1424">
      <c r="A1424" s="103" t="str">
        <f>IFERROR(__xludf.DUMMYFUNCTION("""COMPUTED_VALUE"""),"AG2070")</f>
        <v>AG2070</v>
      </c>
      <c r="B1424" s="468">
        <f>IFERROR(__xludf.DUMMYFUNCTION("""COMPUTED_VALUE"""),44840.0)</f>
        <v>44840</v>
      </c>
      <c r="C1424" s="469">
        <f>IFERROR(__xludf.DUMMYFUNCTION("""COMPUTED_VALUE"""),0.32613425925925926)</f>
        <v>0.3261342593</v>
      </c>
      <c r="D1424" s="103" t="str">
        <f>IFERROR(__xludf.DUMMYFUNCTION("""COMPUTED_VALUE"""),"SpFLMP659315")</f>
        <v>SpFLMP659315</v>
      </c>
      <c r="E1424" s="103"/>
      <c r="F1424" s="103"/>
      <c r="G1424" s="103" t="str">
        <f>IFERROR(__xludf.DUMMYFUNCTION("""COMPUTED_VALUE"""),"Negative")</f>
        <v>Negative</v>
      </c>
      <c r="H1424" s="131" t="str">
        <f>IFERROR(__xludf.DUMMYFUNCTION("""COMPUTED_VALUE"""),"Negative")</f>
        <v>Negative</v>
      </c>
      <c r="I1424" s="468">
        <f>IFERROR(__xludf.DUMMYFUNCTION("""COMPUTED_VALUE"""),44844.0)</f>
        <v>44844</v>
      </c>
      <c r="J1424" s="470">
        <f>IFERROR(__xludf.DUMMYFUNCTION("""COMPUTED_VALUE"""),0.5723379629629629)</f>
        <v>0.572337963</v>
      </c>
      <c r="K1424" s="16"/>
      <c r="L1424" s="8"/>
      <c r="M1424" s="69"/>
      <c r="N1424" s="69">
        <f>IFERROR(__xludf.DUMMYFUNCTION("""COMPUTED_VALUE"""),4.0)</f>
        <v>4</v>
      </c>
      <c r="O1424" s="69" t="b">
        <f t="shared" si="3"/>
        <v>1</v>
      </c>
      <c r="P1424" s="471">
        <f>IFERROR(__xludf.DUMMYFUNCTION("""COMPUTED_VALUE"""),4.0)</f>
        <v>4</v>
      </c>
      <c r="Q1424" s="274" t="b">
        <f>VLOOKUP($B1424,'Run Reconcile'!B$2:O2488,14,FALSE)</f>
        <v>1</v>
      </c>
      <c r="R1424" s="472" t="str">
        <f t="array" ref="R1424">IF($Q1424, INDEX('Run Reconcile'!A$2:A2488,MATCH(B1424,'Run Reconcile'!B$2:B2488,0),1),IFERROR(0/0,""))</f>
        <v>RUN-FLMP_2022-10-06_APS-117</v>
      </c>
      <c r="S1424" s="473" t="str">
        <f t="shared" si="694"/>
        <v/>
      </c>
      <c r="T1424" s="473" t="str">
        <f t="shared" si="698"/>
        <v/>
      </c>
      <c r="U1424" s="275" t="str">
        <f t="array" ref="U1424">IF(ISBLANK($R1424), INDEX('Run Reconcile'!A$2:A2488, MATCH($B1424, 'Run Reconcile'!B$2:B2488, 0)+Z1424, 1), IFERROR(0/0,""))
</f>
        <v/>
      </c>
      <c r="V1424" s="474" t="str">
        <f t="shared" si="5"/>
        <v>RUN-FLMP_2022-10-06_APS-117</v>
      </c>
      <c r="Y1424" s="89" t="str">
        <f t="shared" si="1719"/>
        <v/>
      </c>
      <c r="Z1424" s="60" t="str">
        <f t="shared" si="7"/>
        <v/>
      </c>
      <c r="AA1424" s="60" t="str">
        <f t="shared" si="8"/>
        <v/>
      </c>
      <c r="AB1424" s="60" t="str">
        <f t="shared" si="9"/>
        <v/>
      </c>
      <c r="AC1424" s="30"/>
      <c r="AD1424" s="30"/>
      <c r="AE1424" s="475" t="str">
        <f>IFERROR(__xludf.DUMMYFUNCTION("""COMPUTED_VALUE"""),"FLSP")</f>
        <v>FLSP</v>
      </c>
      <c r="AF1424" s="476"/>
      <c r="AG1424" s="474" t="s">
        <v>252</v>
      </c>
      <c r="AH1424" s="138" t="str">
        <f t="shared" si="11"/>
        <v/>
      </c>
    </row>
    <row r="1425">
      <c r="A1425" s="103" t="str">
        <f>IFERROR(__xludf.DUMMYFUNCTION("""COMPUTED_VALUE"""),"AG853")</f>
        <v>AG853</v>
      </c>
      <c r="B1425" s="468">
        <f>IFERROR(__xludf.DUMMYFUNCTION("""COMPUTED_VALUE"""),44840.0)</f>
        <v>44840</v>
      </c>
      <c r="C1425" s="469">
        <f>IFERROR(__xludf.DUMMYFUNCTION("""COMPUTED_VALUE"""),0.33358796296296295)</f>
        <v>0.333587963</v>
      </c>
      <c r="D1425" s="103" t="str">
        <f>IFERROR(__xludf.DUMMYFUNCTION("""COMPUTED_VALUE"""),"SpFLMP870846")</f>
        <v>SpFLMP870846</v>
      </c>
      <c r="E1425" s="103"/>
      <c r="F1425" s="103"/>
      <c r="G1425" s="103" t="str">
        <f>IFERROR(__xludf.DUMMYFUNCTION("""COMPUTED_VALUE"""),"Negative")</f>
        <v>Negative</v>
      </c>
      <c r="H1425" s="131" t="str">
        <f>IFERROR(__xludf.DUMMYFUNCTION("""COMPUTED_VALUE"""),"Negative")</f>
        <v>Negative</v>
      </c>
      <c r="I1425" s="468">
        <f>IFERROR(__xludf.DUMMYFUNCTION("""COMPUTED_VALUE"""),44844.0)</f>
        <v>44844</v>
      </c>
      <c r="J1425" s="470">
        <f>IFERROR(__xludf.DUMMYFUNCTION("""COMPUTED_VALUE"""),0.5723379629629629)</f>
        <v>0.572337963</v>
      </c>
      <c r="K1425" s="16"/>
      <c r="L1425" s="8"/>
      <c r="M1425" s="69"/>
      <c r="N1425" s="69">
        <f>IFERROR(__xludf.DUMMYFUNCTION("""COMPUTED_VALUE"""),2.0)</f>
        <v>2</v>
      </c>
      <c r="O1425" s="69" t="str">
        <f t="shared" si="3"/>
        <v/>
      </c>
      <c r="P1425" s="471">
        <f>IFERROR(__xludf.DUMMYFUNCTION("""COMPUTED_VALUE"""),4.0)</f>
        <v>4</v>
      </c>
      <c r="Q1425" s="274" t="b">
        <f>VLOOKUP($B1425,'Run Reconcile'!B$2:O2488,14,FALSE)</f>
        <v>1</v>
      </c>
      <c r="R1425" s="472" t="str">
        <f t="array" ref="R1425">IF($Q1425, INDEX('Run Reconcile'!A$2:A2488,MATCH(B1425,'Run Reconcile'!B$2:B2488,0),1),IFERROR(0/0,""))</f>
        <v>RUN-FLMP_2022-10-06_APS-117</v>
      </c>
      <c r="S1425" s="473" t="str">
        <f t="shared" si="694"/>
        <v/>
      </c>
      <c r="T1425" s="473" t="str">
        <f t="shared" si="698"/>
        <v/>
      </c>
      <c r="U1425" s="275" t="str">
        <f t="array" ref="U1425">IF(ISBLANK($R1425), INDEX('Run Reconcile'!A$2:A2488, MATCH($B1425, 'Run Reconcile'!B$2:B2488, 0)+Z1425, 1), IFERROR(0/0,""))
</f>
        <v/>
      </c>
      <c r="V1425" s="474" t="str">
        <f t="shared" si="5"/>
        <v>RUN-FLMP_2022-10-06_APS-117</v>
      </c>
      <c r="Y1425" s="89" t="str">
        <f t="shared" si="1719"/>
        <v/>
      </c>
      <c r="Z1425" s="60" t="str">
        <f t="shared" si="7"/>
        <v/>
      </c>
      <c r="AA1425" s="60" t="str">
        <f t="shared" si="8"/>
        <v/>
      </c>
      <c r="AB1425" s="60" t="str">
        <f t="shared" si="9"/>
        <v/>
      </c>
      <c r="AC1425" s="30"/>
      <c r="AD1425" s="30"/>
      <c r="AE1425" s="475" t="str">
        <f>IFERROR(__xludf.DUMMYFUNCTION("""COMPUTED_VALUE"""),"FLSP")</f>
        <v>FLSP</v>
      </c>
      <c r="AF1425" s="476"/>
      <c r="AG1425" s="474" t="s">
        <v>252</v>
      </c>
      <c r="AH1425" s="138" t="str">
        <f t="shared" si="11"/>
        <v/>
      </c>
    </row>
    <row r="1426">
      <c r="A1426" s="103" t="str">
        <f>IFERROR(__xludf.DUMMYFUNCTION("""COMPUTED_VALUE"""),"AG2223A")</f>
        <v>AG2223A</v>
      </c>
      <c r="B1426" s="468">
        <f>IFERROR(__xludf.DUMMYFUNCTION("""COMPUTED_VALUE"""),44840.0)</f>
        <v>44840</v>
      </c>
      <c r="C1426" s="469">
        <f>IFERROR(__xludf.DUMMYFUNCTION("""COMPUTED_VALUE"""),0.4083101851851852)</f>
        <v>0.4083101852</v>
      </c>
      <c r="D1426" s="103" t="str">
        <f>IFERROR(__xludf.DUMMYFUNCTION("""COMPUTED_VALUE"""),"SpFLMP120998")</f>
        <v>SpFLMP120998</v>
      </c>
      <c r="E1426" s="103"/>
      <c r="F1426" s="103"/>
      <c r="G1426" s="103" t="str">
        <f>IFERROR(__xludf.DUMMYFUNCTION("""COMPUTED_VALUE"""),"Negative")</f>
        <v>Negative</v>
      </c>
      <c r="H1426" s="131" t="str">
        <f>IFERROR(__xludf.DUMMYFUNCTION("""COMPUTED_VALUE"""),"Negative")</f>
        <v>Negative</v>
      </c>
      <c r="I1426" s="468">
        <f>IFERROR(__xludf.DUMMYFUNCTION("""COMPUTED_VALUE"""),44840.0)</f>
        <v>44840</v>
      </c>
      <c r="J1426" s="470">
        <f>IFERROR(__xludf.DUMMYFUNCTION("""COMPUTED_VALUE"""),0.4105902777777778)</f>
        <v>0.4105902778</v>
      </c>
      <c r="K1426" s="16"/>
      <c r="L1426" s="8"/>
      <c r="M1426" s="69"/>
      <c r="N1426" s="69">
        <f>IFERROR(__xludf.DUMMYFUNCTION("""COMPUTED_VALUE"""),4.0)</f>
        <v>4</v>
      </c>
      <c r="O1426" s="69" t="str">
        <f t="shared" si="3"/>
        <v/>
      </c>
      <c r="P1426" s="471">
        <f>IFERROR(__xludf.DUMMYFUNCTION("""COMPUTED_VALUE"""),0.0)</f>
        <v>0</v>
      </c>
      <c r="Q1426" s="274" t="b">
        <f>VLOOKUP($B1426,'Run Reconcile'!B$2:O2488,14,FALSE)</f>
        <v>1</v>
      </c>
      <c r="R1426" s="472" t="str">
        <f t="array" ref="R1426">IF($Q1426, INDEX('Run Reconcile'!A$2:A2488,MATCH(B1426,'Run Reconcile'!B$2:B2488,0),1),IFERROR(0/0,""))</f>
        <v>RUN-FLMP_2022-10-06_APS-117</v>
      </c>
      <c r="S1426" s="473" t="str">
        <f t="shared" si="694"/>
        <v/>
      </c>
      <c r="T1426" s="473" t="str">
        <f t="shared" si="698"/>
        <v/>
      </c>
      <c r="U1426" s="275" t="str">
        <f t="array" ref="U1426">IF(ISBLANK($R1426), INDEX('Run Reconcile'!A$2:A2488, MATCH($B1426, 'Run Reconcile'!B$2:B2488, 0)+Z1426, 1), IFERROR(0/0,""))
</f>
        <v/>
      </c>
      <c r="V1426" s="474" t="str">
        <f t="shared" si="5"/>
        <v>RUN-FLMP_2022-10-06_APS-117</v>
      </c>
      <c r="Y1426" s="89" t="str">
        <f t="shared" si="1719"/>
        <v/>
      </c>
      <c r="Z1426" s="60" t="str">
        <f t="shared" si="7"/>
        <v/>
      </c>
      <c r="AA1426" s="60" t="str">
        <f t="shared" si="8"/>
        <v/>
      </c>
      <c r="AB1426" s="60" t="str">
        <f t="shared" si="9"/>
        <v/>
      </c>
      <c r="AC1426" s="30"/>
      <c r="AD1426" s="30"/>
      <c r="AE1426" s="475" t="str">
        <f>IFERROR(__xludf.DUMMYFUNCTION("""COMPUTED_VALUE"""),"FLSP")</f>
        <v>FLSP</v>
      </c>
      <c r="AF1426" s="476"/>
      <c r="AG1426" s="474" t="s">
        <v>252</v>
      </c>
      <c r="AH1426" s="138" t="str">
        <f t="shared" si="11"/>
        <v/>
      </c>
    </row>
    <row r="1427">
      <c r="A1427" s="103" t="str">
        <f>IFERROR(__xludf.DUMMYFUNCTION("""COMPUTED_VALUE"""),"AG978")</f>
        <v>AG978</v>
      </c>
      <c r="B1427" s="468">
        <f>IFERROR(__xludf.DUMMYFUNCTION("""COMPUTED_VALUE"""),44840.0)</f>
        <v>44840</v>
      </c>
      <c r="C1427" s="469">
        <f>IFERROR(__xludf.DUMMYFUNCTION("""COMPUTED_VALUE"""),0.40956018518518517)</f>
        <v>0.4095601852</v>
      </c>
      <c r="D1427" s="103" t="str">
        <f>IFERROR(__xludf.DUMMYFUNCTION("""COMPUTED_VALUE"""),"SpFLMP120998")</f>
        <v>SpFLMP120998</v>
      </c>
      <c r="E1427" s="103"/>
      <c r="F1427" s="103"/>
      <c r="G1427" s="103" t="str">
        <f>IFERROR(__xludf.DUMMYFUNCTION("""COMPUTED_VALUE"""),"Negative")</f>
        <v>Negative</v>
      </c>
      <c r="H1427" s="131" t="str">
        <f>IFERROR(__xludf.DUMMYFUNCTION("""COMPUTED_VALUE"""),"Negative")</f>
        <v>Negative</v>
      </c>
      <c r="I1427" s="468">
        <f>IFERROR(__xludf.DUMMYFUNCTION("""COMPUTED_VALUE"""),44840.0)</f>
        <v>44840</v>
      </c>
      <c r="J1427" s="470">
        <f>IFERROR(__xludf.DUMMYFUNCTION("""COMPUTED_VALUE"""),0.41060185185185183)</f>
        <v>0.4106018519</v>
      </c>
      <c r="K1427" s="16"/>
      <c r="L1427" s="8"/>
      <c r="M1427" s="69"/>
      <c r="N1427" s="69">
        <f>IFERROR(__xludf.DUMMYFUNCTION("""COMPUTED_VALUE"""),1.0)</f>
        <v>1</v>
      </c>
      <c r="O1427" s="69" t="str">
        <f t="shared" si="3"/>
        <v/>
      </c>
      <c r="P1427" s="471">
        <f>IFERROR(__xludf.DUMMYFUNCTION("""COMPUTED_VALUE"""),0.0)</f>
        <v>0</v>
      </c>
      <c r="Q1427" s="274" t="b">
        <f>VLOOKUP($B1427,'Run Reconcile'!B$2:O2488,14,FALSE)</f>
        <v>1</v>
      </c>
      <c r="R1427" s="472" t="str">
        <f t="array" ref="R1427">IF($Q1427, INDEX('Run Reconcile'!A$2:A2488,MATCH(B1427,'Run Reconcile'!B$2:B2488,0),1),IFERROR(0/0,""))</f>
        <v>RUN-FLMP_2022-10-06_APS-117</v>
      </c>
      <c r="S1427" s="473" t="str">
        <f t="shared" si="694"/>
        <v/>
      </c>
      <c r="T1427" s="473" t="str">
        <f t="shared" si="698"/>
        <v/>
      </c>
      <c r="U1427" s="275" t="str">
        <f t="array" ref="U1427">IF(ISBLANK($R1427), INDEX('Run Reconcile'!A$2:A2488, MATCH($B1427, 'Run Reconcile'!B$2:B2488, 0)+Z1427, 1), IFERROR(0/0,""))
</f>
        <v/>
      </c>
      <c r="V1427" s="474" t="str">
        <f t="shared" si="5"/>
        <v>RUN-FLMP_2022-10-06_APS-117</v>
      </c>
      <c r="Y1427" s="89" t="str">
        <f t="shared" si="1719"/>
        <v/>
      </c>
      <c r="Z1427" s="60" t="str">
        <f t="shared" si="7"/>
        <v/>
      </c>
      <c r="AA1427" s="60" t="str">
        <f t="shared" si="8"/>
        <v/>
      </c>
      <c r="AB1427" s="60" t="str">
        <f t="shared" si="9"/>
        <v/>
      </c>
      <c r="AC1427" s="30"/>
      <c r="AD1427" s="30"/>
      <c r="AE1427" s="475" t="str">
        <f>IFERROR(__xludf.DUMMYFUNCTION("""COMPUTED_VALUE"""),"FLSP")</f>
        <v>FLSP</v>
      </c>
      <c r="AF1427" s="476"/>
      <c r="AG1427" s="474" t="s">
        <v>252</v>
      </c>
      <c r="AH1427" s="138" t="str">
        <f t="shared" si="11"/>
        <v/>
      </c>
    </row>
    <row r="1428">
      <c r="A1428" s="103" t="str">
        <f>IFERROR(__xludf.DUMMYFUNCTION("""COMPUTED_VALUE"""),"AH7926")</f>
        <v>AH7926</v>
      </c>
      <c r="B1428" s="468">
        <f>IFERROR(__xludf.DUMMYFUNCTION("""COMPUTED_VALUE"""),44844.0)</f>
        <v>44844</v>
      </c>
      <c r="C1428" s="469">
        <f>IFERROR(__xludf.DUMMYFUNCTION("""COMPUTED_VALUE"""),0.3324537037037037)</f>
        <v>0.3324537037</v>
      </c>
      <c r="D1428" s="103" t="str">
        <f>IFERROR(__xludf.DUMMYFUNCTION("""COMPUTED_VALUE"""),"SpFLMP870846")</f>
        <v>SpFLMP870846</v>
      </c>
      <c r="E1428" s="103"/>
      <c r="F1428" s="103"/>
      <c r="G1428" s="103" t="str">
        <f>IFERROR(__xludf.DUMMYFUNCTION("""COMPUTED_VALUE"""),"Negative")</f>
        <v>Negative</v>
      </c>
      <c r="H1428" s="131" t="str">
        <f>IFERROR(__xludf.DUMMYFUNCTION("""COMPUTED_VALUE"""),"Negative")</f>
        <v>Negative</v>
      </c>
      <c r="I1428" s="468">
        <f>IFERROR(__xludf.DUMMYFUNCTION("""COMPUTED_VALUE"""),44844.0)</f>
        <v>44844</v>
      </c>
      <c r="J1428" s="470">
        <f>IFERROR(__xludf.DUMMYFUNCTION("""COMPUTED_VALUE"""),0.5734027777777778)</f>
        <v>0.5734027778</v>
      </c>
      <c r="K1428" s="16"/>
      <c r="L1428" s="8"/>
      <c r="M1428" s="69"/>
      <c r="N1428" s="69">
        <f>IFERROR(__xludf.DUMMYFUNCTION("""COMPUTED_VALUE"""),2.0)</f>
        <v>2</v>
      </c>
      <c r="O1428" s="69" t="b">
        <f t="shared" si="3"/>
        <v>1</v>
      </c>
      <c r="P1428" s="471">
        <f>IFERROR(__xludf.DUMMYFUNCTION("""COMPUTED_VALUE"""),0.0)</f>
        <v>0</v>
      </c>
      <c r="Q1428" s="274" t="b">
        <f>VLOOKUP($B1428,'Run Reconcile'!B$2:O2488,14,FALSE)</f>
        <v>1</v>
      </c>
      <c r="R1428" s="472" t="str">
        <f t="array" ref="R1428">IF($Q1428, INDEX('Run Reconcile'!A$2:A2488,MATCH(B1428,'Run Reconcile'!B$2:B2488,0),1),IFERROR(0/0,""))</f>
        <v>RUN-FLMP_2022-10-10_APS-118</v>
      </c>
      <c r="S1428" s="473" t="str">
        <f t="shared" si="694"/>
        <v/>
      </c>
      <c r="T1428" s="473" t="str">
        <f t="shared" si="698"/>
        <v/>
      </c>
      <c r="U1428" s="275" t="str">
        <f t="array" ref="U1428">IF(ISBLANK($R1428), INDEX('Run Reconcile'!A$2:A2488, MATCH($B1428, 'Run Reconcile'!B$2:B2488, 0)+Z1428, 1), IFERROR(0/0,""))
</f>
        <v/>
      </c>
      <c r="V1428" s="474" t="str">
        <f t="shared" si="5"/>
        <v>RUN-FLMP_2022-10-10_APS-118</v>
      </c>
      <c r="Y1428" s="89" t="str">
        <f t="shared" si="1719"/>
        <v/>
      </c>
      <c r="Z1428" s="60" t="str">
        <f t="shared" si="7"/>
        <v/>
      </c>
      <c r="AA1428" s="60" t="str">
        <f t="shared" si="8"/>
        <v/>
      </c>
      <c r="AB1428" s="60" t="str">
        <f t="shared" si="9"/>
        <v/>
      </c>
      <c r="AC1428" s="30"/>
      <c r="AD1428" s="30"/>
      <c r="AE1428" s="475" t="str">
        <f>IFERROR(__xludf.DUMMYFUNCTION("""COMPUTED_VALUE"""),"FLSP")</f>
        <v>FLSP</v>
      </c>
      <c r="AF1428" s="476"/>
      <c r="AG1428" s="474" t="s">
        <v>253</v>
      </c>
      <c r="AH1428" s="138" t="str">
        <f t="shared" si="11"/>
        <v/>
      </c>
    </row>
    <row r="1429">
      <c r="A1429" s="103" t="str">
        <f>IFERROR(__xludf.DUMMYFUNCTION("""COMPUTED_VALUE"""),"AG2065")</f>
        <v>AG2065</v>
      </c>
      <c r="B1429" s="468">
        <f>IFERROR(__xludf.DUMMYFUNCTION("""COMPUTED_VALUE"""),44844.0)</f>
        <v>44844</v>
      </c>
      <c r="C1429" s="469">
        <f>IFERROR(__xludf.DUMMYFUNCTION("""COMPUTED_VALUE"""),0.3513310185185185)</f>
        <v>0.3513310185</v>
      </c>
      <c r="D1429" s="103" t="str">
        <f>IFERROR(__xludf.DUMMYFUNCTION("""COMPUTED_VALUE"""),"SpFLMP659315")</f>
        <v>SpFLMP659315</v>
      </c>
      <c r="E1429" s="103"/>
      <c r="F1429" s="103"/>
      <c r="G1429" s="103" t="str">
        <f>IFERROR(__xludf.DUMMYFUNCTION("""COMPUTED_VALUE"""),"Negative")</f>
        <v>Negative</v>
      </c>
      <c r="H1429" s="131" t="str">
        <f>IFERROR(__xludf.DUMMYFUNCTION("""COMPUTED_VALUE"""),"Negative")</f>
        <v>Negative</v>
      </c>
      <c r="I1429" s="468">
        <f>IFERROR(__xludf.DUMMYFUNCTION("""COMPUTED_VALUE"""),44844.0)</f>
        <v>44844</v>
      </c>
      <c r="J1429" s="470">
        <f>IFERROR(__xludf.DUMMYFUNCTION("""COMPUTED_VALUE"""),0.5734027777777778)</f>
        <v>0.5734027778</v>
      </c>
      <c r="K1429" s="16"/>
      <c r="L1429" s="8"/>
      <c r="M1429" s="69"/>
      <c r="N1429" s="69">
        <f>IFERROR(__xludf.DUMMYFUNCTION("""COMPUTED_VALUE"""),2.0)</f>
        <v>2</v>
      </c>
      <c r="O1429" s="69" t="str">
        <f t="shared" si="3"/>
        <v/>
      </c>
      <c r="P1429" s="471">
        <f>IFERROR(__xludf.DUMMYFUNCTION("""COMPUTED_VALUE"""),0.0)</f>
        <v>0</v>
      </c>
      <c r="Q1429" s="274" t="b">
        <f>VLOOKUP($B1429,'Run Reconcile'!B$2:O2488,14,FALSE)</f>
        <v>1</v>
      </c>
      <c r="R1429" s="472" t="str">
        <f t="array" ref="R1429">IF($Q1429, INDEX('Run Reconcile'!A$2:A2488,MATCH(B1429,'Run Reconcile'!B$2:B2488,0),1),IFERROR(0/0,""))</f>
        <v>RUN-FLMP_2022-10-10_APS-118</v>
      </c>
      <c r="S1429" s="473" t="str">
        <f t="shared" si="694"/>
        <v/>
      </c>
      <c r="T1429" s="473" t="str">
        <f t="shared" si="698"/>
        <v/>
      </c>
      <c r="U1429" s="275" t="str">
        <f t="array" ref="U1429">IF(ISBLANK($R1429), INDEX('Run Reconcile'!A$2:A2488, MATCH($B1429, 'Run Reconcile'!B$2:B2488, 0)+Z1429, 1), IFERROR(0/0,""))
</f>
        <v/>
      </c>
      <c r="V1429" s="474" t="str">
        <f t="shared" si="5"/>
        <v>RUN-FLMP_2022-10-10_APS-118</v>
      </c>
      <c r="Y1429" s="89" t="str">
        <f t="shared" si="1719"/>
        <v/>
      </c>
      <c r="Z1429" s="60" t="str">
        <f t="shared" si="7"/>
        <v/>
      </c>
      <c r="AA1429" s="60" t="str">
        <f t="shared" si="8"/>
        <v/>
      </c>
      <c r="AB1429" s="60" t="str">
        <f t="shared" si="9"/>
        <v/>
      </c>
      <c r="AC1429" s="30"/>
      <c r="AD1429" s="30"/>
      <c r="AE1429" s="475" t="str">
        <f>IFERROR(__xludf.DUMMYFUNCTION("""COMPUTED_VALUE"""),"FLSP")</f>
        <v>FLSP</v>
      </c>
      <c r="AF1429" s="476"/>
      <c r="AG1429" s="474" t="s">
        <v>253</v>
      </c>
      <c r="AH1429" s="138" t="str">
        <f t="shared" si="11"/>
        <v/>
      </c>
    </row>
    <row r="1430">
      <c r="A1430" s="103" t="str">
        <f>IFERROR(__xludf.DUMMYFUNCTION("""COMPUTED_VALUE"""),"AG1472")</f>
        <v>AG1472</v>
      </c>
      <c r="B1430" s="468">
        <f>IFERROR(__xludf.DUMMYFUNCTION("""COMPUTED_VALUE"""),44844.0)</f>
        <v>44844</v>
      </c>
      <c r="C1430" s="469">
        <f>IFERROR(__xludf.DUMMYFUNCTION("""COMPUTED_VALUE"""),0.35204861111111113)</f>
        <v>0.3520486111</v>
      </c>
      <c r="D1430" s="103" t="str">
        <f>IFERROR(__xludf.DUMMYFUNCTION("""COMPUTED_VALUE"""),"SpFLMP659315")</f>
        <v>SpFLMP659315</v>
      </c>
      <c r="E1430" s="103"/>
      <c r="F1430" s="103"/>
      <c r="G1430" s="103" t="str">
        <f>IFERROR(__xludf.DUMMYFUNCTION("""COMPUTED_VALUE"""),"Negative")</f>
        <v>Negative</v>
      </c>
      <c r="H1430" s="131" t="str">
        <f>IFERROR(__xludf.DUMMYFUNCTION("""COMPUTED_VALUE"""),"Negative")</f>
        <v>Negative</v>
      </c>
      <c r="I1430" s="468">
        <f>IFERROR(__xludf.DUMMYFUNCTION("""COMPUTED_VALUE"""),44844.0)</f>
        <v>44844</v>
      </c>
      <c r="J1430" s="470">
        <f>IFERROR(__xludf.DUMMYFUNCTION("""COMPUTED_VALUE"""),0.5734027777777778)</f>
        <v>0.5734027778</v>
      </c>
      <c r="K1430" s="16"/>
      <c r="L1430" s="8"/>
      <c r="M1430" s="69"/>
      <c r="N1430" s="69">
        <f>IFERROR(__xludf.DUMMYFUNCTION("""COMPUTED_VALUE"""),4.0)</f>
        <v>4</v>
      </c>
      <c r="O1430" s="69" t="str">
        <f t="shared" si="3"/>
        <v/>
      </c>
      <c r="P1430" s="471">
        <f>IFERROR(__xludf.DUMMYFUNCTION("""COMPUTED_VALUE"""),0.0)</f>
        <v>0</v>
      </c>
      <c r="Q1430" s="274" t="b">
        <f>VLOOKUP($B1430,'Run Reconcile'!B$2:O2488,14,FALSE)</f>
        <v>1</v>
      </c>
      <c r="R1430" s="472" t="str">
        <f t="array" ref="R1430">IF($Q1430, INDEX('Run Reconcile'!A$2:A2488,MATCH(B1430,'Run Reconcile'!B$2:B2488,0),1),IFERROR(0/0,""))</f>
        <v>RUN-FLMP_2022-10-10_APS-118</v>
      </c>
      <c r="S1430" s="473" t="str">
        <f t="shared" si="694"/>
        <v/>
      </c>
      <c r="T1430" s="473" t="str">
        <f t="shared" si="698"/>
        <v/>
      </c>
      <c r="U1430" s="275" t="str">
        <f t="array" ref="U1430">IF(ISBLANK($R1430), INDEX('Run Reconcile'!A$2:A2488, MATCH($B1430, 'Run Reconcile'!B$2:B2488, 0)+Z1430, 1), IFERROR(0/0,""))
</f>
        <v/>
      </c>
      <c r="V1430" s="474" t="str">
        <f t="shared" si="5"/>
        <v>RUN-FLMP_2022-10-10_APS-118</v>
      </c>
      <c r="Y1430" s="89" t="str">
        <f t="shared" si="1719"/>
        <v/>
      </c>
      <c r="Z1430" s="60" t="str">
        <f t="shared" si="7"/>
        <v/>
      </c>
      <c r="AA1430" s="60" t="str">
        <f t="shared" si="8"/>
        <v/>
      </c>
      <c r="AB1430" s="60" t="str">
        <f t="shared" si="9"/>
        <v/>
      </c>
      <c r="AC1430" s="30"/>
      <c r="AD1430" s="30"/>
      <c r="AE1430" s="475" t="str">
        <f>IFERROR(__xludf.DUMMYFUNCTION("""COMPUTED_VALUE"""),"FLSP")</f>
        <v>FLSP</v>
      </c>
      <c r="AF1430" s="476"/>
      <c r="AG1430" s="474" t="s">
        <v>253</v>
      </c>
      <c r="AH1430" s="138" t="str">
        <f t="shared" si="11"/>
        <v/>
      </c>
    </row>
    <row r="1431">
      <c r="A1431" s="103" t="str">
        <f>IFERROR(__xludf.DUMMYFUNCTION("""COMPUTED_VALUE"""),"AH8032")</f>
        <v>AH8032</v>
      </c>
      <c r="B1431" s="468">
        <f>IFERROR(__xludf.DUMMYFUNCTION("""COMPUTED_VALUE"""),44847.0)</f>
        <v>44847</v>
      </c>
      <c r="C1431" s="469">
        <f>IFERROR(__xludf.DUMMYFUNCTION("""COMPUTED_VALUE"""),0.336875)</f>
        <v>0.336875</v>
      </c>
      <c r="D1431" s="103" t="str">
        <f>IFERROR(__xludf.DUMMYFUNCTION("""COMPUTED_VALUE"""),"SpFLMP659315")</f>
        <v>SpFLMP659315</v>
      </c>
      <c r="E1431" s="103"/>
      <c r="F1431" s="103"/>
      <c r="G1431" s="103" t="str">
        <f>IFERROR(__xludf.DUMMYFUNCTION("""COMPUTED_VALUE"""),"Negative")</f>
        <v>Negative</v>
      </c>
      <c r="H1431" s="131" t="str">
        <f>IFERROR(__xludf.DUMMYFUNCTION("""COMPUTED_VALUE"""),"Negative")</f>
        <v>Negative</v>
      </c>
      <c r="I1431" s="468">
        <f>IFERROR(__xludf.DUMMYFUNCTION("""COMPUTED_VALUE"""),44858.0)</f>
        <v>44858</v>
      </c>
      <c r="J1431" s="470">
        <f>IFERROR(__xludf.DUMMYFUNCTION("""COMPUTED_VALUE"""),0.3573148148148148)</f>
        <v>0.3573148148</v>
      </c>
      <c r="K1431" s="16"/>
      <c r="L1431" s="8"/>
      <c r="M1431" s="69"/>
      <c r="N1431" s="69">
        <f>IFERROR(__xludf.DUMMYFUNCTION("""COMPUTED_VALUE"""),4.0)</f>
        <v>4</v>
      </c>
      <c r="O1431" s="69" t="b">
        <f t="shared" si="3"/>
        <v>1</v>
      </c>
      <c r="P1431" s="471">
        <f>IFERROR(__xludf.DUMMYFUNCTION("""COMPUTED_VALUE"""),11.0)</f>
        <v>11</v>
      </c>
      <c r="Q1431" s="274" t="b">
        <f>VLOOKUP($B1431,'Run Reconcile'!B$2:O2488,14,FALSE)</f>
        <v>1</v>
      </c>
      <c r="R1431" s="472" t="str">
        <f t="array" ref="R1431">IF($Q1431, INDEX('Run Reconcile'!A$2:A2488,MATCH(B1431,'Run Reconcile'!B$2:B2488,0),1),IFERROR(0/0,""))</f>
        <v>RUN-FLMP_2022-10-13_APS-119</v>
      </c>
      <c r="S1431" s="473" t="str">
        <f t="shared" si="694"/>
        <v/>
      </c>
      <c r="T1431" s="473" t="str">
        <f t="shared" si="698"/>
        <v/>
      </c>
      <c r="U1431" s="275" t="str">
        <f t="array" ref="U1431">IF(ISBLANK($R1431), INDEX('Run Reconcile'!A$2:A2488, MATCH($B1431, 'Run Reconcile'!B$2:B2488, 0)+Z1431, 1), IFERROR(0/0,""))
</f>
        <v/>
      </c>
      <c r="V1431" s="474" t="str">
        <f t="shared" si="5"/>
        <v>RUN-FLMP_2022-10-13_APS-119</v>
      </c>
      <c r="Y1431" s="89" t="str">
        <f t="shared" si="1719"/>
        <v/>
      </c>
      <c r="Z1431" s="60" t="str">
        <f t="shared" si="7"/>
        <v/>
      </c>
      <c r="AA1431" s="60" t="str">
        <f t="shared" si="8"/>
        <v/>
      </c>
      <c r="AB1431" s="60" t="str">
        <f t="shared" si="9"/>
        <v/>
      </c>
      <c r="AC1431" s="30"/>
      <c r="AD1431" s="30"/>
      <c r="AE1431" s="475" t="str">
        <f>IFERROR(__xludf.DUMMYFUNCTION("""COMPUTED_VALUE"""),"FLSP")</f>
        <v>FLSP</v>
      </c>
      <c r="AF1431" s="476"/>
      <c r="AG1431" s="474" t="s">
        <v>254</v>
      </c>
      <c r="AH1431" s="138" t="str">
        <f t="shared" si="11"/>
        <v/>
      </c>
    </row>
    <row r="1432">
      <c r="A1432" s="103" t="str">
        <f>IFERROR(__xludf.DUMMYFUNCTION("""COMPUTED_VALUE"""),"AH7663")</f>
        <v>AH7663</v>
      </c>
      <c r="B1432" s="468">
        <f>IFERROR(__xludf.DUMMYFUNCTION("""COMPUTED_VALUE"""),44847.0)</f>
        <v>44847</v>
      </c>
      <c r="C1432" s="469">
        <f>IFERROR(__xludf.DUMMYFUNCTION("""COMPUTED_VALUE"""),0.3747800925925926)</f>
        <v>0.3747800926</v>
      </c>
      <c r="D1432" s="103" t="str">
        <f>IFERROR(__xludf.DUMMYFUNCTION("""COMPUTED_VALUE"""),"SpFLMP870846")</f>
        <v>SpFLMP870846</v>
      </c>
      <c r="E1432" s="103"/>
      <c r="F1432" s="103"/>
      <c r="G1432" s="103" t="str">
        <f>IFERROR(__xludf.DUMMYFUNCTION("""COMPUTED_VALUE"""),"Negative")</f>
        <v>Negative</v>
      </c>
      <c r="H1432" s="131" t="str">
        <f>IFERROR(__xludf.DUMMYFUNCTION("""COMPUTED_VALUE"""),"Negative")</f>
        <v>Negative</v>
      </c>
      <c r="I1432" s="468">
        <f>IFERROR(__xludf.DUMMYFUNCTION("""COMPUTED_VALUE"""),44858.0)</f>
        <v>44858</v>
      </c>
      <c r="J1432" s="470">
        <f>IFERROR(__xludf.DUMMYFUNCTION("""COMPUTED_VALUE"""),0.3573263888888889)</f>
        <v>0.3573263889</v>
      </c>
      <c r="K1432" s="16"/>
      <c r="L1432" s="8"/>
      <c r="M1432" s="69"/>
      <c r="N1432" s="69">
        <f>IFERROR(__xludf.DUMMYFUNCTION("""COMPUTED_VALUE"""),2.0)</f>
        <v>2</v>
      </c>
      <c r="O1432" s="69" t="str">
        <f t="shared" si="3"/>
        <v/>
      </c>
      <c r="P1432" s="471">
        <f>IFERROR(__xludf.DUMMYFUNCTION("""COMPUTED_VALUE"""),11.0)</f>
        <v>11</v>
      </c>
      <c r="Q1432" s="274" t="b">
        <f>VLOOKUP($B1432,'Run Reconcile'!B$2:O2488,14,FALSE)</f>
        <v>1</v>
      </c>
      <c r="R1432" s="472" t="str">
        <f t="array" ref="R1432">IF($Q1432, INDEX('Run Reconcile'!A$2:A2488,MATCH(B1432,'Run Reconcile'!B$2:B2488,0),1),IFERROR(0/0,""))</f>
        <v>RUN-FLMP_2022-10-13_APS-119</v>
      </c>
      <c r="S1432" s="473" t="str">
        <f t="shared" si="694"/>
        <v/>
      </c>
      <c r="T1432" s="473" t="str">
        <f t="shared" si="698"/>
        <v/>
      </c>
      <c r="U1432" s="275" t="str">
        <f t="array" ref="U1432">IF(ISBLANK($R1432), INDEX('Run Reconcile'!A$2:A2488, MATCH($B1432, 'Run Reconcile'!B$2:B2488, 0)+Z1432, 1), IFERROR(0/0,""))
</f>
        <v/>
      </c>
      <c r="V1432" s="474" t="str">
        <f t="shared" si="5"/>
        <v>RUN-FLMP_2022-10-13_APS-119</v>
      </c>
      <c r="Y1432" s="89" t="str">
        <f t="shared" si="1719"/>
        <v/>
      </c>
      <c r="Z1432" s="60" t="str">
        <f t="shared" si="7"/>
        <v/>
      </c>
      <c r="AA1432" s="60" t="str">
        <f t="shared" si="8"/>
        <v/>
      </c>
      <c r="AB1432" s="60" t="str">
        <f t="shared" si="9"/>
        <v/>
      </c>
      <c r="AC1432" s="30"/>
      <c r="AD1432" s="30"/>
      <c r="AE1432" s="475" t="str">
        <f>IFERROR(__xludf.DUMMYFUNCTION("""COMPUTED_VALUE"""),"FLSP")</f>
        <v>FLSP</v>
      </c>
      <c r="AF1432" s="476"/>
      <c r="AG1432" s="474" t="s">
        <v>254</v>
      </c>
      <c r="AH1432" s="138" t="str">
        <f t="shared" si="11"/>
        <v/>
      </c>
    </row>
    <row r="1433">
      <c r="A1433" s="103" t="str">
        <f>IFERROR(__xludf.DUMMYFUNCTION("""COMPUTED_VALUE"""),"AJ6981")</f>
        <v>AJ6981</v>
      </c>
      <c r="B1433" s="468">
        <f>IFERROR(__xludf.DUMMYFUNCTION("""COMPUTED_VALUE"""),44851.0)</f>
        <v>44851</v>
      </c>
      <c r="C1433" s="469">
        <f>IFERROR(__xludf.DUMMYFUNCTION("""COMPUTED_VALUE"""),0.3552199074074074)</f>
        <v>0.3552199074</v>
      </c>
      <c r="D1433" s="103" t="str">
        <f>IFERROR(__xludf.DUMMYFUNCTION("""COMPUTED_VALUE"""),"SpFLMP870846")</f>
        <v>SpFLMP870846</v>
      </c>
      <c r="E1433" s="103"/>
      <c r="F1433" s="103"/>
      <c r="G1433" s="103" t="str">
        <f>IFERROR(__xludf.DUMMYFUNCTION("""COMPUTED_VALUE"""),"Negative")</f>
        <v>Negative</v>
      </c>
      <c r="H1433" s="131" t="str">
        <f>IFERROR(__xludf.DUMMYFUNCTION("""COMPUTED_VALUE"""),"Negative")</f>
        <v>Negative</v>
      </c>
      <c r="I1433" s="468">
        <f>IFERROR(__xludf.DUMMYFUNCTION("""COMPUTED_VALUE"""),44858.0)</f>
        <v>44858</v>
      </c>
      <c r="J1433" s="470">
        <f>IFERROR(__xludf.DUMMYFUNCTION("""COMPUTED_VALUE"""),0.3573263888888889)</f>
        <v>0.3573263889</v>
      </c>
      <c r="K1433" s="16"/>
      <c r="L1433" s="8"/>
      <c r="M1433" s="69"/>
      <c r="N1433" s="69">
        <f>IFERROR(__xludf.DUMMYFUNCTION("""COMPUTED_VALUE"""),2.0)</f>
        <v>2</v>
      </c>
      <c r="O1433" s="69" t="b">
        <f t="shared" si="3"/>
        <v>1</v>
      </c>
      <c r="P1433" s="471">
        <f>IFERROR(__xludf.DUMMYFUNCTION("""COMPUTED_VALUE"""),7.0)</f>
        <v>7</v>
      </c>
      <c r="Q1433" s="274" t="b">
        <f>VLOOKUP($B1433,'Run Reconcile'!B$2:O2488,14,FALSE)</f>
        <v>1</v>
      </c>
      <c r="R1433" s="472" t="str">
        <f t="array" ref="R1433">IF($Q1433, INDEX('Run Reconcile'!A$2:A2488,MATCH(B1433,'Run Reconcile'!B$2:B2488,0),1),IFERROR(0/0,""))</f>
        <v>RUN-FLMP_2022-10-17_APS-120</v>
      </c>
      <c r="S1433" s="473" t="str">
        <f t="shared" si="694"/>
        <v/>
      </c>
      <c r="T1433" s="473" t="str">
        <f t="shared" si="698"/>
        <v/>
      </c>
      <c r="U1433" s="275" t="str">
        <f t="array" ref="U1433">IF(ISBLANK($R1433), INDEX('Run Reconcile'!A$2:A2488, MATCH($B1433, 'Run Reconcile'!B$2:B2488, 0)+Z1433, 1), IFERROR(0/0,""))
</f>
        <v/>
      </c>
      <c r="V1433" s="474" t="str">
        <f t="shared" si="5"/>
        <v>RUN-FLMP_2022-10-17_APS-120</v>
      </c>
      <c r="Y1433" s="89" t="str">
        <f t="shared" si="1719"/>
        <v/>
      </c>
      <c r="Z1433" s="60" t="str">
        <f t="shared" si="7"/>
        <v/>
      </c>
      <c r="AA1433" s="60" t="str">
        <f t="shared" si="8"/>
        <v/>
      </c>
      <c r="AB1433" s="60" t="str">
        <f t="shared" si="9"/>
        <v/>
      </c>
      <c r="AC1433" s="30"/>
      <c r="AD1433" s="30"/>
      <c r="AE1433" s="475" t="str">
        <f>IFERROR(__xludf.DUMMYFUNCTION("""COMPUTED_VALUE"""),"FLSP")</f>
        <v>FLSP</v>
      </c>
      <c r="AF1433" s="476"/>
      <c r="AG1433" s="474" t="s">
        <v>255</v>
      </c>
      <c r="AH1433" s="138" t="str">
        <f t="shared" si="11"/>
        <v/>
      </c>
    </row>
    <row r="1434">
      <c r="A1434" s="103" t="str">
        <f>IFERROR(__xludf.DUMMYFUNCTION("""COMPUTED_VALUE"""),"AH9675")</f>
        <v>AH9675</v>
      </c>
      <c r="B1434" s="468">
        <f>IFERROR(__xludf.DUMMYFUNCTION("""COMPUTED_VALUE"""),44851.0)</f>
        <v>44851</v>
      </c>
      <c r="C1434" s="469">
        <f>IFERROR(__xludf.DUMMYFUNCTION("""COMPUTED_VALUE"""),0.3754166666666667)</f>
        <v>0.3754166667</v>
      </c>
      <c r="D1434" s="103" t="str">
        <f>IFERROR(__xludf.DUMMYFUNCTION("""COMPUTED_VALUE"""),"SpFLMP659315")</f>
        <v>SpFLMP659315</v>
      </c>
      <c r="E1434" s="103"/>
      <c r="F1434" s="103"/>
      <c r="G1434" s="103" t="str">
        <f>IFERROR(__xludf.DUMMYFUNCTION("""COMPUTED_VALUE"""),"Negative")</f>
        <v>Negative</v>
      </c>
      <c r="H1434" s="131" t="str">
        <f>IFERROR(__xludf.DUMMYFUNCTION("""COMPUTED_VALUE"""),"Negative")</f>
        <v>Negative</v>
      </c>
      <c r="I1434" s="468">
        <f>IFERROR(__xludf.DUMMYFUNCTION("""COMPUTED_VALUE"""),44858.0)</f>
        <v>44858</v>
      </c>
      <c r="J1434" s="470">
        <f>IFERROR(__xludf.DUMMYFUNCTION("""COMPUTED_VALUE"""),0.3573263888888889)</f>
        <v>0.3573263889</v>
      </c>
      <c r="K1434" s="16"/>
      <c r="L1434" s="8"/>
      <c r="M1434" s="69"/>
      <c r="N1434" s="69">
        <f>IFERROR(__xludf.DUMMYFUNCTION("""COMPUTED_VALUE"""),4.0)</f>
        <v>4</v>
      </c>
      <c r="O1434" s="69" t="str">
        <f t="shared" si="3"/>
        <v/>
      </c>
      <c r="P1434" s="471">
        <f>IFERROR(__xludf.DUMMYFUNCTION("""COMPUTED_VALUE"""),7.0)</f>
        <v>7</v>
      </c>
      <c r="Q1434" s="274" t="b">
        <f>VLOOKUP($B1434,'Run Reconcile'!B$2:O2488,14,FALSE)</f>
        <v>1</v>
      </c>
      <c r="R1434" s="472" t="str">
        <f t="array" ref="R1434">IF($Q1434, INDEX('Run Reconcile'!A$2:A2488,MATCH(B1434,'Run Reconcile'!B$2:B2488,0),1),IFERROR(0/0,""))</f>
        <v>RUN-FLMP_2022-10-17_APS-120</v>
      </c>
      <c r="S1434" s="473" t="str">
        <f t="shared" si="694"/>
        <v/>
      </c>
      <c r="T1434" s="473" t="str">
        <f t="shared" si="698"/>
        <v/>
      </c>
      <c r="U1434" s="275" t="str">
        <f t="array" ref="U1434">IF(ISBLANK($R1434), INDEX('Run Reconcile'!A$2:A2488, MATCH($B1434, 'Run Reconcile'!B$2:B2488, 0)+Z1434, 1), IFERROR(0/0,""))
</f>
        <v/>
      </c>
      <c r="V1434" s="474" t="str">
        <f t="shared" si="5"/>
        <v>RUN-FLMP_2022-10-17_APS-120</v>
      </c>
      <c r="Y1434" s="89" t="str">
        <f t="shared" si="1719"/>
        <v/>
      </c>
      <c r="Z1434" s="60" t="str">
        <f t="shared" si="7"/>
        <v/>
      </c>
      <c r="AA1434" s="60" t="str">
        <f t="shared" si="8"/>
        <v/>
      </c>
      <c r="AB1434" s="60" t="str">
        <f t="shared" si="9"/>
        <v/>
      </c>
      <c r="AC1434" s="30"/>
      <c r="AD1434" s="30"/>
      <c r="AE1434" s="475" t="str">
        <f>IFERROR(__xludf.DUMMYFUNCTION("""COMPUTED_VALUE"""),"FLSP")</f>
        <v>FLSP</v>
      </c>
      <c r="AF1434" s="476"/>
      <c r="AG1434" s="474" t="s">
        <v>255</v>
      </c>
      <c r="AH1434" s="138" t="str">
        <f t="shared" si="11"/>
        <v/>
      </c>
    </row>
    <row r="1435">
      <c r="A1435" s="103" t="str">
        <f>IFERROR(__xludf.DUMMYFUNCTION("""COMPUTED_VALUE"""),"AH8859")</f>
        <v>AH8859</v>
      </c>
      <c r="B1435" s="468">
        <f>IFERROR(__xludf.DUMMYFUNCTION("""COMPUTED_VALUE"""),44854.0)</f>
        <v>44854</v>
      </c>
      <c r="C1435" s="469">
        <f>IFERROR(__xludf.DUMMYFUNCTION("""COMPUTED_VALUE"""),0.3169675925925926)</f>
        <v>0.3169675926</v>
      </c>
      <c r="D1435" s="103" t="str">
        <f>IFERROR(__xludf.DUMMYFUNCTION("""COMPUTED_VALUE"""),"SpFLMP659315")</f>
        <v>SpFLMP659315</v>
      </c>
      <c r="E1435" s="103"/>
      <c r="F1435" s="103"/>
      <c r="G1435" s="103" t="str">
        <f>IFERROR(__xludf.DUMMYFUNCTION("""COMPUTED_VALUE"""),"Negative")</f>
        <v>Negative</v>
      </c>
      <c r="H1435" s="131" t="str">
        <f>IFERROR(__xludf.DUMMYFUNCTION("""COMPUTED_VALUE"""),"Negative")</f>
        <v>Negative</v>
      </c>
      <c r="I1435" s="468">
        <f>IFERROR(__xludf.DUMMYFUNCTION("""COMPUTED_VALUE"""),44858.0)</f>
        <v>44858</v>
      </c>
      <c r="J1435" s="470">
        <f>IFERROR(__xludf.DUMMYFUNCTION("""COMPUTED_VALUE"""),0.3573263888888889)</f>
        <v>0.3573263889</v>
      </c>
      <c r="K1435" s="16"/>
      <c r="L1435" s="8"/>
      <c r="M1435" s="69"/>
      <c r="N1435" s="69">
        <f>IFERROR(__xludf.DUMMYFUNCTION("""COMPUTED_VALUE"""),4.0)</f>
        <v>4</v>
      </c>
      <c r="O1435" s="69" t="b">
        <f t="shared" si="3"/>
        <v>1</v>
      </c>
      <c r="P1435" s="471">
        <f>IFERROR(__xludf.DUMMYFUNCTION("""COMPUTED_VALUE"""),4.0)</f>
        <v>4</v>
      </c>
      <c r="Q1435" s="274" t="b">
        <f>VLOOKUP($B1435,'Run Reconcile'!B$2:O2488,14,FALSE)</f>
        <v>1</v>
      </c>
      <c r="R1435" s="472" t="str">
        <f t="array" ref="R1435">IF($Q1435, INDEX('Run Reconcile'!A$2:A2488,MATCH(B1435,'Run Reconcile'!B$2:B2488,0),1),IFERROR(0/0,""))</f>
        <v>RUN-FLMP_2022-10-20_APS-121</v>
      </c>
      <c r="S1435" s="473" t="str">
        <f t="shared" si="694"/>
        <v/>
      </c>
      <c r="T1435" s="473" t="str">
        <f t="shared" si="698"/>
        <v/>
      </c>
      <c r="U1435" s="275" t="str">
        <f t="array" ref="U1435">IF(ISBLANK($R1435), INDEX('Run Reconcile'!A$2:A2488, MATCH($B1435, 'Run Reconcile'!B$2:B2488, 0)+Z1435, 1), IFERROR(0/0,""))
</f>
        <v/>
      </c>
      <c r="V1435" s="474" t="str">
        <f t="shared" si="5"/>
        <v>RUN-FLMP_2022-10-20_APS-121</v>
      </c>
      <c r="Y1435" s="89" t="str">
        <f t="shared" si="1719"/>
        <v/>
      </c>
      <c r="Z1435" s="60" t="str">
        <f t="shared" si="7"/>
        <v/>
      </c>
      <c r="AA1435" s="60" t="str">
        <f t="shared" si="8"/>
        <v/>
      </c>
      <c r="AB1435" s="60" t="str">
        <f t="shared" si="9"/>
        <v/>
      </c>
      <c r="AC1435" s="30"/>
      <c r="AD1435" s="30"/>
      <c r="AE1435" s="475" t="str">
        <f>IFERROR(__xludf.DUMMYFUNCTION("""COMPUTED_VALUE"""),"FLSP")</f>
        <v>FLSP</v>
      </c>
      <c r="AF1435" s="476"/>
      <c r="AG1435" s="474" t="s">
        <v>256</v>
      </c>
      <c r="AH1435" s="138" t="str">
        <f t="shared" si="11"/>
        <v/>
      </c>
    </row>
    <row r="1436">
      <c r="A1436" s="103" t="str">
        <f>IFERROR(__xludf.DUMMYFUNCTION("""COMPUTED_VALUE"""),"AH9133")</f>
        <v>AH9133</v>
      </c>
      <c r="B1436" s="468">
        <f>IFERROR(__xludf.DUMMYFUNCTION("""COMPUTED_VALUE"""),44854.0)</f>
        <v>44854</v>
      </c>
      <c r="C1436" s="469">
        <f>IFERROR(__xludf.DUMMYFUNCTION("""COMPUTED_VALUE"""),0.3438541666666667)</f>
        <v>0.3438541667</v>
      </c>
      <c r="D1436" s="103" t="str">
        <f>IFERROR(__xludf.DUMMYFUNCTION("""COMPUTED_VALUE"""),"SpFLMP870846")</f>
        <v>SpFLMP870846</v>
      </c>
      <c r="E1436" s="103"/>
      <c r="F1436" s="103"/>
      <c r="G1436" s="103" t="str">
        <f>IFERROR(__xludf.DUMMYFUNCTION("""COMPUTED_VALUE"""),"Negative")</f>
        <v>Negative</v>
      </c>
      <c r="H1436" s="131" t="str">
        <f>IFERROR(__xludf.DUMMYFUNCTION("""COMPUTED_VALUE"""),"Negative")</f>
        <v>Negative</v>
      </c>
      <c r="I1436" s="468">
        <f>IFERROR(__xludf.DUMMYFUNCTION("""COMPUTED_VALUE"""),44858.0)</f>
        <v>44858</v>
      </c>
      <c r="J1436" s="470">
        <f>IFERROR(__xludf.DUMMYFUNCTION("""COMPUTED_VALUE"""),0.3573263888888889)</f>
        <v>0.3573263889</v>
      </c>
      <c r="K1436" s="16"/>
      <c r="L1436" s="8"/>
      <c r="M1436" s="69"/>
      <c r="N1436" s="69">
        <f>IFERROR(__xludf.DUMMYFUNCTION("""COMPUTED_VALUE"""),2.0)</f>
        <v>2</v>
      </c>
      <c r="O1436" s="69" t="str">
        <f t="shared" si="3"/>
        <v/>
      </c>
      <c r="P1436" s="471">
        <f>IFERROR(__xludf.DUMMYFUNCTION("""COMPUTED_VALUE"""),4.0)</f>
        <v>4</v>
      </c>
      <c r="Q1436" s="274" t="b">
        <f>VLOOKUP($B1436,'Run Reconcile'!B$2:O2488,14,FALSE)</f>
        <v>1</v>
      </c>
      <c r="R1436" s="472" t="str">
        <f t="array" ref="R1436">IF($Q1436, INDEX('Run Reconcile'!A$2:A2488,MATCH(B1436,'Run Reconcile'!B$2:B2488,0),1),IFERROR(0/0,""))</f>
        <v>RUN-FLMP_2022-10-20_APS-121</v>
      </c>
      <c r="S1436" s="473" t="str">
        <f t="shared" si="694"/>
        <v/>
      </c>
      <c r="T1436" s="473" t="str">
        <f t="shared" si="698"/>
        <v/>
      </c>
      <c r="U1436" s="275" t="str">
        <f t="array" ref="U1436">IF(ISBLANK($R1436), INDEX('Run Reconcile'!A$2:A2488, MATCH($B1436, 'Run Reconcile'!B$2:B2488, 0)+Z1436, 1), IFERROR(0/0,""))
</f>
        <v/>
      </c>
      <c r="V1436" s="474" t="str">
        <f t="shared" si="5"/>
        <v>RUN-FLMP_2022-10-20_APS-121</v>
      </c>
      <c r="Y1436" s="89" t="str">
        <f t="shared" si="1719"/>
        <v/>
      </c>
      <c r="Z1436" s="60" t="str">
        <f t="shared" si="7"/>
        <v/>
      </c>
      <c r="AA1436" s="60" t="str">
        <f t="shared" si="8"/>
        <v/>
      </c>
      <c r="AB1436" s="60" t="str">
        <f t="shared" si="9"/>
        <v/>
      </c>
      <c r="AC1436" s="30"/>
      <c r="AD1436" s="30"/>
      <c r="AE1436" s="475" t="str">
        <f>IFERROR(__xludf.DUMMYFUNCTION("""COMPUTED_VALUE"""),"FLSP")</f>
        <v>FLSP</v>
      </c>
      <c r="AF1436" s="476"/>
      <c r="AG1436" s="474" t="s">
        <v>256</v>
      </c>
      <c r="AH1436" s="138" t="str">
        <f t="shared" si="11"/>
        <v/>
      </c>
    </row>
    <row r="1437">
      <c r="A1437" s="103" t="str">
        <f>IFERROR(__xludf.DUMMYFUNCTION("""COMPUTED_VALUE"""),"AJ8043")</f>
        <v>AJ8043</v>
      </c>
      <c r="B1437" s="468">
        <f>IFERROR(__xludf.DUMMYFUNCTION("""COMPUTED_VALUE"""),44858.0)</f>
        <v>44858</v>
      </c>
      <c r="C1437" s="469">
        <f>IFERROR(__xludf.DUMMYFUNCTION("""COMPUTED_VALUE"""),0.33608796296296295)</f>
        <v>0.336087963</v>
      </c>
      <c r="D1437" s="103" t="str">
        <f>IFERROR(__xludf.DUMMYFUNCTION("""COMPUTED_VALUE"""),"SpFLMP870846")</f>
        <v>SpFLMP870846</v>
      </c>
      <c r="E1437" s="103"/>
      <c r="F1437" s="103"/>
      <c r="G1437" s="103" t="str">
        <f>IFERROR(__xludf.DUMMYFUNCTION("""COMPUTED_VALUE"""),"Negative")</f>
        <v>Negative</v>
      </c>
      <c r="H1437" s="131" t="str">
        <f>IFERROR(__xludf.DUMMYFUNCTION("""COMPUTED_VALUE"""),"Negative")</f>
        <v>Negative</v>
      </c>
      <c r="I1437" s="468">
        <f>IFERROR(__xludf.DUMMYFUNCTION("""COMPUTED_VALUE"""),44858.0)</f>
        <v>44858</v>
      </c>
      <c r="J1437" s="470">
        <f>IFERROR(__xludf.DUMMYFUNCTION("""COMPUTED_VALUE"""),0.4572453703703704)</f>
        <v>0.4572453704</v>
      </c>
      <c r="K1437" s="16"/>
      <c r="L1437" s="8"/>
      <c r="M1437" s="69"/>
      <c r="N1437" s="69">
        <f>IFERROR(__xludf.DUMMYFUNCTION("""COMPUTED_VALUE"""),2.0)</f>
        <v>2</v>
      </c>
      <c r="O1437" s="69" t="b">
        <f t="shared" si="3"/>
        <v>1</v>
      </c>
      <c r="P1437" s="471">
        <f>IFERROR(__xludf.DUMMYFUNCTION("""COMPUTED_VALUE"""),0.0)</f>
        <v>0</v>
      </c>
      <c r="Q1437" s="274" t="b">
        <f>VLOOKUP($B1437,'Run Reconcile'!B$2:O2488,14,FALSE)</f>
        <v>1</v>
      </c>
      <c r="R1437" s="472" t="str">
        <f t="array" ref="R1437">IF($Q1437, INDEX('Run Reconcile'!A$2:A2488,MATCH(B1437,'Run Reconcile'!B$2:B2488,0),1),IFERROR(0/0,""))</f>
        <v>RUN-FLMP_2022-10-24_APS-122</v>
      </c>
      <c r="S1437" s="473" t="str">
        <f t="shared" si="694"/>
        <v/>
      </c>
      <c r="T1437" s="473" t="str">
        <f t="shared" si="698"/>
        <v/>
      </c>
      <c r="U1437" s="275" t="str">
        <f t="array" ref="U1437">IF(ISBLANK($R1437), INDEX('Run Reconcile'!A$2:A2488, MATCH($B1437, 'Run Reconcile'!B$2:B2488, 0)+Z1437, 1), IFERROR(0/0,""))
</f>
        <v/>
      </c>
      <c r="V1437" s="474" t="str">
        <f t="shared" si="5"/>
        <v>RUN-FLMP_2022-10-24_APS-122</v>
      </c>
      <c r="Y1437" s="89" t="str">
        <f t="shared" si="1719"/>
        <v/>
      </c>
      <c r="Z1437" s="60" t="str">
        <f t="shared" si="7"/>
        <v/>
      </c>
      <c r="AA1437" s="60" t="str">
        <f t="shared" si="8"/>
        <v/>
      </c>
      <c r="AB1437" s="60" t="str">
        <f t="shared" si="9"/>
        <v/>
      </c>
      <c r="AC1437" s="30"/>
      <c r="AD1437" s="30"/>
      <c r="AE1437" s="475" t="str">
        <f>IFERROR(__xludf.DUMMYFUNCTION("""COMPUTED_VALUE"""),"FLSP")</f>
        <v>FLSP</v>
      </c>
      <c r="AF1437" s="476"/>
      <c r="AG1437" s="474" t="s">
        <v>257</v>
      </c>
      <c r="AH1437" s="138" t="str">
        <f t="shared" si="11"/>
        <v/>
      </c>
    </row>
    <row r="1438">
      <c r="A1438" s="103" t="str">
        <f>IFERROR(__xludf.DUMMYFUNCTION("""COMPUTED_VALUE"""),"AH8101")</f>
        <v>AH8101</v>
      </c>
      <c r="B1438" s="468">
        <f>IFERROR(__xludf.DUMMYFUNCTION("""COMPUTED_VALUE"""),44858.0)</f>
        <v>44858</v>
      </c>
      <c r="C1438" s="469">
        <f>IFERROR(__xludf.DUMMYFUNCTION("""COMPUTED_VALUE"""),0.3491550925925926)</f>
        <v>0.3491550926</v>
      </c>
      <c r="D1438" s="103" t="str">
        <f>IFERROR(__xludf.DUMMYFUNCTION("""COMPUTED_VALUE"""),"SpFLMP684798")</f>
        <v>SpFLMP684798</v>
      </c>
      <c r="E1438" s="103"/>
      <c r="F1438" s="103"/>
      <c r="G1438" s="103" t="str">
        <f>IFERROR(__xludf.DUMMYFUNCTION("""COMPUTED_VALUE"""),"Negative")</f>
        <v>Negative</v>
      </c>
      <c r="H1438" s="131" t="str">
        <f>IFERROR(__xludf.DUMMYFUNCTION("""COMPUTED_VALUE"""),"Negative")</f>
        <v>Negative</v>
      </c>
      <c r="I1438" s="468">
        <f>IFERROR(__xludf.DUMMYFUNCTION("""COMPUTED_VALUE"""),44858.0)</f>
        <v>44858</v>
      </c>
      <c r="J1438" s="470">
        <f>IFERROR(__xludf.DUMMYFUNCTION("""COMPUTED_VALUE"""),0.4572453703703704)</f>
        <v>0.4572453704</v>
      </c>
      <c r="K1438" s="16"/>
      <c r="L1438" s="8"/>
      <c r="M1438" s="69"/>
      <c r="N1438" s="69">
        <f>IFERROR(__xludf.DUMMYFUNCTION("""COMPUTED_VALUE"""),1.0)</f>
        <v>1</v>
      </c>
      <c r="O1438" s="69" t="str">
        <f t="shared" si="3"/>
        <v/>
      </c>
      <c r="P1438" s="471">
        <f>IFERROR(__xludf.DUMMYFUNCTION("""COMPUTED_VALUE"""),0.0)</f>
        <v>0</v>
      </c>
      <c r="Q1438" s="274" t="b">
        <f>VLOOKUP($B1438,'Run Reconcile'!B$2:O2488,14,FALSE)</f>
        <v>1</v>
      </c>
      <c r="R1438" s="472" t="str">
        <f t="array" ref="R1438">IF($Q1438, INDEX('Run Reconcile'!A$2:A2488,MATCH(B1438,'Run Reconcile'!B$2:B2488,0),1),IFERROR(0/0,""))</f>
        <v>RUN-FLMP_2022-10-24_APS-122</v>
      </c>
      <c r="S1438" s="473" t="str">
        <f t="shared" si="694"/>
        <v/>
      </c>
      <c r="T1438" s="473" t="str">
        <f t="shared" si="698"/>
        <v/>
      </c>
      <c r="U1438" s="275" t="str">
        <f t="array" ref="U1438">IF(ISBLANK($R1438), INDEX('Run Reconcile'!A$2:A2488, MATCH($B1438, 'Run Reconcile'!B$2:B2488, 0)+Z1438, 1), IFERROR(0/0,""))
</f>
        <v/>
      </c>
      <c r="V1438" s="474" t="str">
        <f t="shared" si="5"/>
        <v>RUN-FLMP_2022-10-24_APS-122</v>
      </c>
      <c r="Y1438" s="89" t="str">
        <f t="shared" si="1719"/>
        <v/>
      </c>
      <c r="Z1438" s="60" t="str">
        <f t="shared" si="7"/>
        <v/>
      </c>
      <c r="AA1438" s="60" t="str">
        <f t="shared" si="8"/>
        <v/>
      </c>
      <c r="AB1438" s="60" t="str">
        <f t="shared" si="9"/>
        <v/>
      </c>
      <c r="AC1438" s="30"/>
      <c r="AD1438" s="30"/>
      <c r="AE1438" s="475" t="str">
        <f>IFERROR(__xludf.DUMMYFUNCTION("""COMPUTED_VALUE"""),"FLSP")</f>
        <v>FLSP</v>
      </c>
      <c r="AF1438" s="476"/>
      <c r="AG1438" s="474" t="s">
        <v>257</v>
      </c>
      <c r="AH1438" s="138" t="str">
        <f t="shared" si="11"/>
        <v/>
      </c>
    </row>
    <row r="1439">
      <c r="A1439" s="103" t="str">
        <f>IFERROR(__xludf.DUMMYFUNCTION("""COMPUTED_VALUE"""),"AG2075")</f>
        <v>AG2075</v>
      </c>
      <c r="B1439" s="468">
        <f>IFERROR(__xludf.DUMMYFUNCTION("""COMPUTED_VALUE"""),44858.0)</f>
        <v>44858</v>
      </c>
      <c r="C1439" s="469">
        <f>IFERROR(__xludf.DUMMYFUNCTION("""COMPUTED_VALUE"""),0.3501273148148148)</f>
        <v>0.3501273148</v>
      </c>
      <c r="D1439" s="103" t="str">
        <f>IFERROR(__xludf.DUMMYFUNCTION("""COMPUTED_VALUE"""),"SpFLMP659315")</f>
        <v>SpFLMP659315</v>
      </c>
      <c r="E1439" s="103"/>
      <c r="F1439" s="103"/>
      <c r="G1439" s="103" t="str">
        <f>IFERROR(__xludf.DUMMYFUNCTION("""COMPUTED_VALUE"""),"Negative")</f>
        <v>Negative</v>
      </c>
      <c r="H1439" s="131" t="str">
        <f>IFERROR(__xludf.DUMMYFUNCTION("""COMPUTED_VALUE"""),"Negative")</f>
        <v>Negative</v>
      </c>
      <c r="I1439" s="468">
        <f>IFERROR(__xludf.DUMMYFUNCTION("""COMPUTED_VALUE"""),44858.0)</f>
        <v>44858</v>
      </c>
      <c r="J1439" s="470">
        <f>IFERROR(__xludf.DUMMYFUNCTION("""COMPUTED_VALUE"""),0.4572453703703704)</f>
        <v>0.4572453704</v>
      </c>
      <c r="K1439" s="16"/>
      <c r="L1439" s="8"/>
      <c r="M1439" s="69"/>
      <c r="N1439" s="69">
        <f>IFERROR(__xludf.DUMMYFUNCTION("""COMPUTED_VALUE"""),3.0)</f>
        <v>3</v>
      </c>
      <c r="O1439" s="69" t="str">
        <f t="shared" si="3"/>
        <v/>
      </c>
      <c r="P1439" s="471">
        <f>IFERROR(__xludf.DUMMYFUNCTION("""COMPUTED_VALUE"""),0.0)</f>
        <v>0</v>
      </c>
      <c r="Q1439" s="274" t="b">
        <f>VLOOKUP($B1439,'Run Reconcile'!B$2:O2488,14,FALSE)</f>
        <v>1</v>
      </c>
      <c r="R1439" s="472" t="str">
        <f t="array" ref="R1439">IF($Q1439, INDEX('Run Reconcile'!A$2:A2488,MATCH(B1439,'Run Reconcile'!B$2:B2488,0),1),IFERROR(0/0,""))</f>
        <v>RUN-FLMP_2022-10-24_APS-122</v>
      </c>
      <c r="S1439" s="473" t="str">
        <f t="shared" si="694"/>
        <v/>
      </c>
      <c r="T1439" s="473" t="str">
        <f t="shared" si="698"/>
        <v/>
      </c>
      <c r="U1439" s="275" t="str">
        <f t="array" ref="U1439">IF(ISBLANK($R1439), INDEX('Run Reconcile'!A$2:A2488, MATCH($B1439, 'Run Reconcile'!B$2:B2488, 0)+Z1439, 1), IFERROR(0/0,""))
</f>
        <v/>
      </c>
      <c r="V1439" s="474" t="str">
        <f t="shared" si="5"/>
        <v>RUN-FLMP_2022-10-24_APS-122</v>
      </c>
      <c r="Y1439" s="89" t="str">
        <f t="shared" si="1719"/>
        <v/>
      </c>
      <c r="Z1439" s="60" t="str">
        <f t="shared" si="7"/>
        <v/>
      </c>
      <c r="AA1439" s="60" t="str">
        <f t="shared" si="8"/>
        <v/>
      </c>
      <c r="AB1439" s="60" t="str">
        <f t="shared" si="9"/>
        <v/>
      </c>
      <c r="AC1439" s="30"/>
      <c r="AD1439" s="30"/>
      <c r="AE1439" s="475" t="str">
        <f>IFERROR(__xludf.DUMMYFUNCTION("""COMPUTED_VALUE"""),"FLSP")</f>
        <v>FLSP</v>
      </c>
      <c r="AF1439" s="476"/>
      <c r="AG1439" s="474" t="s">
        <v>257</v>
      </c>
      <c r="AH1439" s="138" t="str">
        <f t="shared" si="11"/>
        <v/>
      </c>
    </row>
    <row r="1440">
      <c r="A1440" s="103" t="str">
        <f>IFERROR(__xludf.DUMMYFUNCTION("""COMPUTED_VALUE"""),"MA18")</f>
        <v>MA18</v>
      </c>
      <c r="B1440" s="468">
        <f>IFERROR(__xludf.DUMMYFUNCTION("""COMPUTED_VALUE"""),44859.0)</f>
        <v>44859</v>
      </c>
      <c r="C1440" s="469">
        <f>IFERROR(__xludf.DUMMYFUNCTION("""COMPUTED_VALUE"""),0.4022337962962963)</f>
        <v>0.4022337963</v>
      </c>
      <c r="D1440" s="103" t="str">
        <f>IFERROR(__xludf.DUMMYFUNCTION("""COMPUTED_VALUE"""),"SpFLMP684798")</f>
        <v>SpFLMP684798</v>
      </c>
      <c r="E1440" s="103"/>
      <c r="F1440" s="103"/>
      <c r="G1440" s="103" t="str">
        <f>IFERROR(__xludf.DUMMYFUNCTION("""COMPUTED_VALUE"""),"Negative")</f>
        <v>Negative</v>
      </c>
      <c r="H1440" s="131" t="str">
        <f>IFERROR(__xludf.DUMMYFUNCTION("""COMPUTED_VALUE"""),"Negative")</f>
        <v>Negative</v>
      </c>
      <c r="I1440" s="468">
        <f>IFERROR(__xludf.DUMMYFUNCTION("""COMPUTED_VALUE"""),44868.0)</f>
        <v>44868</v>
      </c>
      <c r="J1440" s="470">
        <f>IFERROR(__xludf.DUMMYFUNCTION("""COMPUTED_VALUE"""),0.37810185185185186)</f>
        <v>0.3781018519</v>
      </c>
      <c r="K1440" s="16"/>
      <c r="L1440" s="8"/>
      <c r="M1440" s="69"/>
      <c r="N1440" s="69">
        <f>IFERROR(__xludf.DUMMYFUNCTION("""COMPUTED_VALUE"""),1.0)</f>
        <v>1</v>
      </c>
      <c r="O1440" s="69" t="b">
        <f t="shared" si="3"/>
        <v>1</v>
      </c>
      <c r="P1440" s="471">
        <f>IFERROR(__xludf.DUMMYFUNCTION("""COMPUTED_VALUE"""),9.0)</f>
        <v>9</v>
      </c>
      <c r="Q1440" s="274" t="b">
        <f>VLOOKUP($B1440,'Run Reconcile'!B$2:O2488,14,FALSE)</f>
        <v>1</v>
      </c>
      <c r="R1440" s="472" t="str">
        <f t="array" ref="R1440">IF($Q1440, INDEX('Run Reconcile'!A$2:A2488,MATCH(B1440,'Run Reconcile'!B$2:B2488,0),1),IFERROR(0/0,""))</f>
        <v>RUN-FLMP_2022-10-25_APS-123</v>
      </c>
      <c r="S1440" s="473" t="str">
        <f t="shared" si="694"/>
        <v/>
      </c>
      <c r="T1440" s="473" t="str">
        <f t="shared" si="698"/>
        <v/>
      </c>
      <c r="U1440" s="275" t="str">
        <f t="array" ref="U1440">IF(ISBLANK($R1440), INDEX('Run Reconcile'!A$2:A2488, MATCH($B1440, 'Run Reconcile'!B$2:B2488, 0)+Z1440, 1), IFERROR(0/0,""))
</f>
        <v/>
      </c>
      <c r="V1440" s="474" t="str">
        <f t="shared" si="5"/>
        <v>RUN-FLMP_2022-10-25_APS-123</v>
      </c>
      <c r="Y1440" s="89" t="str">
        <f t="shared" si="1719"/>
        <v/>
      </c>
      <c r="Z1440" s="60" t="str">
        <f t="shared" si="7"/>
        <v/>
      </c>
      <c r="AA1440" s="60" t="str">
        <f t="shared" si="8"/>
        <v/>
      </c>
      <c r="AB1440" s="60" t="str">
        <f t="shared" si="9"/>
        <v/>
      </c>
      <c r="AC1440" s="30"/>
      <c r="AD1440" s="30"/>
      <c r="AE1440" s="475" t="str">
        <f>IFERROR(__xludf.DUMMYFUNCTION("""COMPUTED_VALUE"""),"FLSP")</f>
        <v>FLSP</v>
      </c>
      <c r="AF1440" s="476"/>
      <c r="AG1440" s="474" t="s">
        <v>258</v>
      </c>
      <c r="AH1440" s="138" t="str">
        <f t="shared" si="11"/>
        <v/>
      </c>
    </row>
    <row r="1441">
      <c r="A1441" s="103" t="str">
        <f>IFERROR(__xludf.DUMMYFUNCTION("""COMPUTED_VALUE"""),"FM4485")</f>
        <v>FM4485</v>
      </c>
      <c r="B1441" s="468">
        <f>IFERROR(__xludf.DUMMYFUNCTION("""COMPUTED_VALUE"""),44861.0)</f>
        <v>44861</v>
      </c>
      <c r="C1441" s="469">
        <f>IFERROR(__xludf.DUMMYFUNCTION("""COMPUTED_VALUE"""),0.36671296296296296)</f>
        <v>0.366712963</v>
      </c>
      <c r="D1441" s="103" t="str">
        <f>IFERROR(__xludf.DUMMYFUNCTION("""COMPUTED_VALUE"""),"SpFLMP684798")</f>
        <v>SpFLMP684798</v>
      </c>
      <c r="E1441" s="103"/>
      <c r="F1441" s="103"/>
      <c r="G1441" s="103" t="str">
        <f>IFERROR(__xludf.DUMMYFUNCTION("""COMPUTED_VALUE"""),"Negative")</f>
        <v>Negative</v>
      </c>
      <c r="H1441" s="131" t="str">
        <f>IFERROR(__xludf.DUMMYFUNCTION("""COMPUTED_VALUE"""),"Negative")</f>
        <v>Negative</v>
      </c>
      <c r="I1441" s="468">
        <f>IFERROR(__xludf.DUMMYFUNCTION("""COMPUTED_VALUE"""),44868.0)</f>
        <v>44868</v>
      </c>
      <c r="J1441" s="470">
        <f>IFERROR(__xludf.DUMMYFUNCTION("""COMPUTED_VALUE"""),0.37810185185185186)</f>
        <v>0.3781018519</v>
      </c>
      <c r="K1441" s="16"/>
      <c r="L1441" s="8"/>
      <c r="M1441" s="69"/>
      <c r="N1441" s="69">
        <f>IFERROR(__xludf.DUMMYFUNCTION("""COMPUTED_VALUE"""),1.0)</f>
        <v>1</v>
      </c>
      <c r="O1441" s="69" t="b">
        <f t="shared" si="3"/>
        <v>1</v>
      </c>
      <c r="P1441" s="471">
        <f>IFERROR(__xludf.DUMMYFUNCTION("""COMPUTED_VALUE"""),7.0)</f>
        <v>7</v>
      </c>
      <c r="Q1441" s="274" t="b">
        <f>VLOOKUP($B1441,'Run Reconcile'!B$2:O2488,14,FALSE)</f>
        <v>1</v>
      </c>
      <c r="R1441" s="472" t="str">
        <f t="array" ref="R1441">IF($Q1441, INDEX('Run Reconcile'!A$2:A2488,MATCH(B1441,'Run Reconcile'!B$2:B2488,0),1),IFERROR(0/0,""))</f>
        <v>RUN-FLMP_2022-10-27_APS-124</v>
      </c>
      <c r="S1441" s="473" t="str">
        <f t="shared" si="694"/>
        <v/>
      </c>
      <c r="T1441" s="473" t="str">
        <f t="shared" si="698"/>
        <v/>
      </c>
      <c r="U1441" s="275" t="str">
        <f t="array" ref="U1441">IF(ISBLANK($R1441), INDEX('Run Reconcile'!A$2:A2488, MATCH($B1441, 'Run Reconcile'!B$2:B2488, 0)+Z1441, 1), IFERROR(0/0,""))
</f>
        <v/>
      </c>
      <c r="V1441" s="474" t="str">
        <f t="shared" si="5"/>
        <v>RUN-FLMP_2022-10-27_APS-124</v>
      </c>
      <c r="Y1441" s="89" t="str">
        <f t="shared" si="1719"/>
        <v/>
      </c>
      <c r="Z1441" s="60" t="str">
        <f t="shared" si="7"/>
        <v/>
      </c>
      <c r="AA1441" s="60" t="str">
        <f t="shared" si="8"/>
        <v/>
      </c>
      <c r="AB1441" s="60" t="str">
        <f t="shared" si="9"/>
        <v/>
      </c>
      <c r="AC1441" s="30"/>
      <c r="AD1441" s="30"/>
      <c r="AE1441" s="475" t="str">
        <f>IFERROR(__xludf.DUMMYFUNCTION("""COMPUTED_VALUE"""),"FLSP")</f>
        <v>FLSP</v>
      </c>
      <c r="AF1441" s="476"/>
      <c r="AG1441" s="474" t="s">
        <v>259</v>
      </c>
      <c r="AH1441" s="138" t="str">
        <f t="shared" si="11"/>
        <v/>
      </c>
    </row>
    <row r="1442">
      <c r="A1442" s="103" t="str">
        <f>IFERROR(__xludf.DUMMYFUNCTION("""COMPUTED_VALUE"""),"FM4361")</f>
        <v>FM4361</v>
      </c>
      <c r="B1442" s="468">
        <f>IFERROR(__xludf.DUMMYFUNCTION("""COMPUTED_VALUE"""),44861.0)</f>
        <v>44861</v>
      </c>
      <c r="C1442" s="469">
        <f>IFERROR(__xludf.DUMMYFUNCTION("""COMPUTED_VALUE"""),0.3681365740740741)</f>
        <v>0.3681365741</v>
      </c>
      <c r="D1442" s="103" t="str">
        <f>IFERROR(__xludf.DUMMYFUNCTION("""COMPUTED_VALUE"""),"SpFLMP684798")</f>
        <v>SpFLMP684798</v>
      </c>
      <c r="E1442" s="103"/>
      <c r="F1442" s="103"/>
      <c r="G1442" s="103" t="str">
        <f>IFERROR(__xludf.DUMMYFUNCTION("""COMPUTED_VALUE"""),"Negative")</f>
        <v>Negative</v>
      </c>
      <c r="H1442" s="131" t="str">
        <f>IFERROR(__xludf.DUMMYFUNCTION("""COMPUTED_VALUE"""),"Negative")</f>
        <v>Negative</v>
      </c>
      <c r="I1442" s="468">
        <f>IFERROR(__xludf.DUMMYFUNCTION("""COMPUTED_VALUE"""),44868.0)</f>
        <v>44868</v>
      </c>
      <c r="J1442" s="470">
        <f>IFERROR(__xludf.DUMMYFUNCTION("""COMPUTED_VALUE"""),0.37810185185185186)</f>
        <v>0.3781018519</v>
      </c>
      <c r="K1442" s="16"/>
      <c r="L1442" s="8"/>
      <c r="M1442" s="69"/>
      <c r="N1442" s="69">
        <f>IFERROR(__xludf.DUMMYFUNCTION("""COMPUTED_VALUE"""),2.0)</f>
        <v>2</v>
      </c>
      <c r="O1442" s="69" t="str">
        <f t="shared" si="3"/>
        <v/>
      </c>
      <c r="P1442" s="471">
        <f>IFERROR(__xludf.DUMMYFUNCTION("""COMPUTED_VALUE"""),7.0)</f>
        <v>7</v>
      </c>
      <c r="Q1442" s="274" t="b">
        <f>VLOOKUP($B1442,'Run Reconcile'!B$2:O2488,14,FALSE)</f>
        <v>1</v>
      </c>
      <c r="R1442" s="472" t="str">
        <f t="array" ref="R1442">IF($Q1442, INDEX('Run Reconcile'!A$2:A2488,MATCH(B1442,'Run Reconcile'!B$2:B2488,0),1),IFERROR(0/0,""))</f>
        <v>RUN-FLMP_2022-10-27_APS-124</v>
      </c>
      <c r="S1442" s="473" t="str">
        <f t="shared" si="694"/>
        <v/>
      </c>
      <c r="T1442" s="473" t="str">
        <f t="shared" si="698"/>
        <v/>
      </c>
      <c r="U1442" s="275" t="str">
        <f t="array" ref="U1442">IF(ISBLANK($R1442), INDEX('Run Reconcile'!A$2:A2488, MATCH($B1442, 'Run Reconcile'!B$2:B2488, 0)+Z1442, 1), IFERROR(0/0,""))
</f>
        <v/>
      </c>
      <c r="V1442" s="474" t="str">
        <f t="shared" si="5"/>
        <v>RUN-FLMP_2022-10-27_APS-124</v>
      </c>
      <c r="Y1442" s="89" t="str">
        <f t="shared" si="1719"/>
        <v/>
      </c>
      <c r="Z1442" s="60" t="str">
        <f t="shared" si="7"/>
        <v/>
      </c>
      <c r="AA1442" s="60" t="str">
        <f t="shared" si="8"/>
        <v/>
      </c>
      <c r="AB1442" s="60" t="str">
        <f t="shared" si="9"/>
        <v/>
      </c>
      <c r="AC1442" s="30"/>
      <c r="AD1442" s="30"/>
      <c r="AE1442" s="475" t="str">
        <f>IFERROR(__xludf.DUMMYFUNCTION("""COMPUTED_VALUE"""),"FLSP")</f>
        <v>FLSP</v>
      </c>
      <c r="AF1442" s="476"/>
      <c r="AG1442" s="474" t="s">
        <v>259</v>
      </c>
      <c r="AH1442" s="138" t="str">
        <f t="shared" si="11"/>
        <v/>
      </c>
    </row>
    <row r="1443">
      <c r="A1443" s="103" t="str">
        <f>IFERROR(__xludf.DUMMYFUNCTION("""COMPUTED_VALUE"""),"MA31")</f>
        <v>MA31</v>
      </c>
      <c r="B1443" s="468">
        <f>IFERROR(__xludf.DUMMYFUNCTION("""COMPUTED_VALUE"""),44861.0)</f>
        <v>44861</v>
      </c>
      <c r="C1443" s="469">
        <f>IFERROR(__xludf.DUMMYFUNCTION("""COMPUTED_VALUE"""),0.38868055555555553)</f>
        <v>0.3886805556</v>
      </c>
      <c r="D1443" s="103" t="str">
        <f>IFERROR(__xludf.DUMMYFUNCTION("""COMPUTED_VALUE"""),"SpFLMP120998")</f>
        <v>SpFLMP120998</v>
      </c>
      <c r="E1443" s="103"/>
      <c r="F1443" s="103"/>
      <c r="G1443" s="103" t="str">
        <f>IFERROR(__xludf.DUMMYFUNCTION("""COMPUTED_VALUE"""),"Negative")</f>
        <v>Negative</v>
      </c>
      <c r="H1443" s="131" t="str">
        <f>IFERROR(__xludf.DUMMYFUNCTION("""COMPUTED_VALUE"""),"Negative")</f>
        <v>Negative</v>
      </c>
      <c r="I1443" s="468">
        <f>IFERROR(__xludf.DUMMYFUNCTION("""COMPUTED_VALUE"""),44868.0)</f>
        <v>44868</v>
      </c>
      <c r="J1443" s="470">
        <f>IFERROR(__xludf.DUMMYFUNCTION("""COMPUTED_VALUE"""),0.37810185185185186)</f>
        <v>0.3781018519</v>
      </c>
      <c r="K1443" s="16"/>
      <c r="L1443" s="8"/>
      <c r="M1443" s="69"/>
      <c r="N1443" s="69">
        <f>IFERROR(__xludf.DUMMYFUNCTION("""COMPUTED_VALUE"""),1.0)</f>
        <v>1</v>
      </c>
      <c r="O1443" s="69" t="str">
        <f t="shared" si="3"/>
        <v/>
      </c>
      <c r="P1443" s="471">
        <f>IFERROR(__xludf.DUMMYFUNCTION("""COMPUTED_VALUE"""),7.0)</f>
        <v>7</v>
      </c>
      <c r="Q1443" s="274" t="b">
        <f>VLOOKUP($B1443,'Run Reconcile'!B$2:O2488,14,FALSE)</f>
        <v>1</v>
      </c>
      <c r="R1443" s="472" t="str">
        <f t="array" ref="R1443">IF($Q1443, INDEX('Run Reconcile'!A$2:A2488,MATCH(B1443,'Run Reconcile'!B$2:B2488,0),1),IFERROR(0/0,""))</f>
        <v>RUN-FLMP_2022-10-27_APS-124</v>
      </c>
      <c r="S1443" s="473" t="str">
        <f t="shared" si="694"/>
        <v/>
      </c>
      <c r="T1443" s="473" t="str">
        <f t="shared" si="698"/>
        <v/>
      </c>
      <c r="U1443" s="275" t="str">
        <f t="array" ref="U1443">IF(ISBLANK($R1443), INDEX('Run Reconcile'!A$2:A2488, MATCH($B1443, 'Run Reconcile'!B$2:B2488, 0)+Z1443, 1), IFERROR(0/0,""))
</f>
        <v/>
      </c>
      <c r="V1443" s="474" t="str">
        <f t="shared" si="5"/>
        <v>RUN-FLMP_2022-10-27_APS-124</v>
      </c>
      <c r="Y1443" s="89" t="str">
        <f t="shared" si="1719"/>
        <v/>
      </c>
      <c r="Z1443" s="60" t="str">
        <f t="shared" si="7"/>
        <v/>
      </c>
      <c r="AA1443" s="60" t="str">
        <f t="shared" si="8"/>
        <v/>
      </c>
      <c r="AB1443" s="60" t="str">
        <f t="shared" si="9"/>
        <v/>
      </c>
      <c r="AC1443" s="30"/>
      <c r="AD1443" s="30"/>
      <c r="AE1443" s="475" t="str">
        <f>IFERROR(__xludf.DUMMYFUNCTION("""COMPUTED_VALUE"""),"FLSP")</f>
        <v>FLSP</v>
      </c>
      <c r="AF1443" s="476"/>
      <c r="AG1443" s="474" t="s">
        <v>259</v>
      </c>
      <c r="AH1443" s="138" t="str">
        <f t="shared" si="11"/>
        <v/>
      </c>
    </row>
    <row r="1444">
      <c r="A1444" s="103" t="str">
        <f>IFERROR(__xludf.DUMMYFUNCTION("""COMPUTED_VALUE"""),"MA72")</f>
        <v>MA72</v>
      </c>
      <c r="B1444" s="468">
        <f>IFERROR(__xludf.DUMMYFUNCTION("""COMPUTED_VALUE"""),44861.0)</f>
        <v>44861</v>
      </c>
      <c r="C1444" s="469">
        <f>IFERROR(__xludf.DUMMYFUNCTION("""COMPUTED_VALUE"""),0.3905092592592593)</f>
        <v>0.3905092593</v>
      </c>
      <c r="D1444" s="103" t="str">
        <f>IFERROR(__xludf.DUMMYFUNCTION("""COMPUTED_VALUE"""),"SpFLMP659315")</f>
        <v>SpFLMP659315</v>
      </c>
      <c r="E1444" s="103"/>
      <c r="F1444" s="103"/>
      <c r="G1444" s="103" t="str">
        <f>IFERROR(__xludf.DUMMYFUNCTION("""COMPUTED_VALUE"""),"Negative")</f>
        <v>Negative</v>
      </c>
      <c r="H1444" s="131" t="str">
        <f>IFERROR(__xludf.DUMMYFUNCTION("""COMPUTED_VALUE"""),"Negative")</f>
        <v>Negative</v>
      </c>
      <c r="I1444" s="468">
        <f>IFERROR(__xludf.DUMMYFUNCTION("""COMPUTED_VALUE"""),44868.0)</f>
        <v>44868</v>
      </c>
      <c r="J1444" s="470">
        <f>IFERROR(__xludf.DUMMYFUNCTION("""COMPUTED_VALUE"""),0.37810185185185186)</f>
        <v>0.3781018519</v>
      </c>
      <c r="K1444" s="16"/>
      <c r="L1444" s="8"/>
      <c r="M1444" s="69"/>
      <c r="N1444" s="69">
        <f>IFERROR(__xludf.DUMMYFUNCTION("""COMPUTED_VALUE"""),1.0)</f>
        <v>1</v>
      </c>
      <c r="O1444" s="69" t="str">
        <f t="shared" si="3"/>
        <v/>
      </c>
      <c r="P1444" s="471">
        <f>IFERROR(__xludf.DUMMYFUNCTION("""COMPUTED_VALUE"""),7.0)</f>
        <v>7</v>
      </c>
      <c r="Q1444" s="274" t="b">
        <f>VLOOKUP($B1444,'Run Reconcile'!B$2:O2488,14,FALSE)</f>
        <v>1</v>
      </c>
      <c r="R1444" s="472" t="str">
        <f t="array" ref="R1444">IF($Q1444, INDEX('Run Reconcile'!A$2:A2488,MATCH(B1444,'Run Reconcile'!B$2:B2488,0),1),IFERROR(0/0,""))</f>
        <v>RUN-FLMP_2022-10-27_APS-124</v>
      </c>
      <c r="S1444" s="473" t="str">
        <f t="shared" si="694"/>
        <v/>
      </c>
      <c r="T1444" s="473" t="str">
        <f t="shared" si="698"/>
        <v/>
      </c>
      <c r="U1444" s="275" t="str">
        <f t="array" ref="U1444">IF(ISBLANK($R1444), INDEX('Run Reconcile'!A$2:A2488, MATCH($B1444, 'Run Reconcile'!B$2:B2488, 0)+Z1444, 1), IFERROR(0/0,""))
</f>
        <v/>
      </c>
      <c r="V1444" s="474" t="str">
        <f t="shared" si="5"/>
        <v>RUN-FLMP_2022-10-27_APS-124</v>
      </c>
      <c r="Y1444" s="89" t="str">
        <f t="shared" si="1719"/>
        <v/>
      </c>
      <c r="Z1444" s="60" t="str">
        <f t="shared" si="7"/>
        <v/>
      </c>
      <c r="AA1444" s="60" t="str">
        <f t="shared" si="8"/>
        <v/>
      </c>
      <c r="AB1444" s="60" t="str">
        <f t="shared" si="9"/>
        <v/>
      </c>
      <c r="AC1444" s="30"/>
      <c r="AD1444" s="30"/>
      <c r="AE1444" s="475" t="str">
        <f>IFERROR(__xludf.DUMMYFUNCTION("""COMPUTED_VALUE"""),"FLSP")</f>
        <v>FLSP</v>
      </c>
      <c r="AF1444" s="476"/>
      <c r="AG1444" s="474" t="s">
        <v>259</v>
      </c>
      <c r="AH1444" s="138" t="str">
        <f t="shared" si="11"/>
        <v/>
      </c>
    </row>
    <row r="1445">
      <c r="A1445" s="103" t="str">
        <f>IFERROR(__xludf.DUMMYFUNCTION("""COMPUTED_VALUE"""),"AG536")</f>
        <v>AG536</v>
      </c>
      <c r="B1445" s="468">
        <f>IFERROR(__xludf.DUMMYFUNCTION("""COMPUTED_VALUE"""),44865.0)</f>
        <v>44865</v>
      </c>
      <c r="C1445" s="469">
        <f>IFERROR(__xludf.DUMMYFUNCTION("""COMPUTED_VALUE"""),0.32547453703703705)</f>
        <v>0.325474537</v>
      </c>
      <c r="D1445" s="103" t="str">
        <f>IFERROR(__xludf.DUMMYFUNCTION("""COMPUTED_VALUE"""),"SpFLMP659315")</f>
        <v>SpFLMP659315</v>
      </c>
      <c r="E1445" s="103"/>
      <c r="F1445" s="103"/>
      <c r="G1445" s="103" t="str">
        <f>IFERROR(__xludf.DUMMYFUNCTION("""COMPUTED_VALUE"""),"Negative")</f>
        <v>Negative</v>
      </c>
      <c r="H1445" s="131" t="str">
        <f>IFERROR(__xludf.DUMMYFUNCTION("""COMPUTED_VALUE"""),"Negative")</f>
        <v>Negative</v>
      </c>
      <c r="I1445" s="468">
        <f>IFERROR(__xludf.DUMMYFUNCTION("""COMPUTED_VALUE"""),44868.0)</f>
        <v>44868</v>
      </c>
      <c r="J1445" s="470">
        <f>IFERROR(__xludf.DUMMYFUNCTION("""COMPUTED_VALUE"""),0.37962962962962965)</f>
        <v>0.3796296296</v>
      </c>
      <c r="K1445" s="16"/>
      <c r="L1445" s="8"/>
      <c r="M1445" s="69"/>
      <c r="N1445" s="69">
        <f>IFERROR(__xludf.DUMMYFUNCTION("""COMPUTED_VALUE"""),3.0)</f>
        <v>3</v>
      </c>
      <c r="O1445" s="69" t="b">
        <f t="shared" si="3"/>
        <v>1</v>
      </c>
      <c r="P1445" s="471">
        <f>IFERROR(__xludf.DUMMYFUNCTION("""COMPUTED_VALUE"""),3.0)</f>
        <v>3</v>
      </c>
      <c r="Q1445" s="274" t="b">
        <f>VLOOKUP($B1445,'Run Reconcile'!B$2:O2488,14,FALSE)</f>
        <v>1</v>
      </c>
      <c r="R1445" s="472" t="str">
        <f t="array" ref="R1445">IF($Q1445, INDEX('Run Reconcile'!A$2:A2488,MATCH(B1445,'Run Reconcile'!B$2:B2488,0),1),IFERROR(0/0,""))</f>
        <v>RUN-FLMP_2022-10-31_APS-125</v>
      </c>
      <c r="S1445" s="473" t="str">
        <f t="shared" si="694"/>
        <v/>
      </c>
      <c r="T1445" s="473" t="str">
        <f t="shared" si="698"/>
        <v/>
      </c>
      <c r="U1445" s="275" t="str">
        <f t="array" ref="U1445">IF(ISBLANK($R1445), INDEX('Run Reconcile'!A$2:A2488, MATCH($B1445, 'Run Reconcile'!B$2:B2488, 0)+Z1445, 1), IFERROR(0/0,""))
</f>
        <v/>
      </c>
      <c r="V1445" s="474" t="str">
        <f t="shared" si="5"/>
        <v>RUN-FLMP_2022-10-31_APS-125</v>
      </c>
      <c r="Y1445" s="89" t="str">
        <f t="shared" si="1719"/>
        <v/>
      </c>
      <c r="Z1445" s="60" t="str">
        <f t="shared" si="7"/>
        <v/>
      </c>
      <c r="AA1445" s="60" t="str">
        <f t="shared" si="8"/>
        <v/>
      </c>
      <c r="AB1445" s="60" t="str">
        <f t="shared" si="9"/>
        <v/>
      </c>
      <c r="AC1445" s="30"/>
      <c r="AD1445" s="30"/>
      <c r="AE1445" s="475" t="str">
        <f>IFERROR(__xludf.DUMMYFUNCTION("""COMPUTED_VALUE"""),"FLSP")</f>
        <v>FLSP</v>
      </c>
      <c r="AF1445" s="476"/>
      <c r="AG1445" s="474" t="s">
        <v>260</v>
      </c>
      <c r="AH1445" s="138" t="str">
        <f t="shared" si="11"/>
        <v/>
      </c>
    </row>
    <row r="1446">
      <c r="A1446" s="103" t="str">
        <f>IFERROR(__xludf.DUMMYFUNCTION("""COMPUTED_VALUE"""),"AG1145")</f>
        <v>AG1145</v>
      </c>
      <c r="B1446" s="468">
        <f>IFERROR(__xludf.DUMMYFUNCTION("""COMPUTED_VALUE"""),44865.0)</f>
        <v>44865</v>
      </c>
      <c r="C1446" s="469">
        <f>IFERROR(__xludf.DUMMYFUNCTION("""COMPUTED_VALUE"""),0.32592592592592595)</f>
        <v>0.3259259259</v>
      </c>
      <c r="D1446" s="103" t="str">
        <f>IFERROR(__xludf.DUMMYFUNCTION("""COMPUTED_VALUE"""),"SpFLMP659315")</f>
        <v>SpFLMP659315</v>
      </c>
      <c r="E1446" s="103"/>
      <c r="F1446" s="103"/>
      <c r="G1446" s="103" t="str">
        <f>IFERROR(__xludf.DUMMYFUNCTION("""COMPUTED_VALUE"""),"Negative")</f>
        <v>Negative</v>
      </c>
      <c r="H1446" s="131" t="str">
        <f>IFERROR(__xludf.DUMMYFUNCTION("""COMPUTED_VALUE"""),"Negative")</f>
        <v>Negative</v>
      </c>
      <c r="I1446" s="468">
        <f>IFERROR(__xludf.DUMMYFUNCTION("""COMPUTED_VALUE"""),44868.0)</f>
        <v>44868</v>
      </c>
      <c r="J1446" s="470">
        <f>IFERROR(__xludf.DUMMYFUNCTION("""COMPUTED_VALUE"""),0.37962962962962965)</f>
        <v>0.3796296296</v>
      </c>
      <c r="K1446" s="16"/>
      <c r="L1446" s="8"/>
      <c r="M1446" s="69"/>
      <c r="N1446" s="69">
        <f>IFERROR(__xludf.DUMMYFUNCTION("""COMPUTED_VALUE"""),1.0)</f>
        <v>1</v>
      </c>
      <c r="O1446" s="69" t="str">
        <f t="shared" si="3"/>
        <v/>
      </c>
      <c r="P1446" s="471">
        <f>IFERROR(__xludf.DUMMYFUNCTION("""COMPUTED_VALUE"""),3.0)</f>
        <v>3</v>
      </c>
      <c r="Q1446" s="274" t="b">
        <f>VLOOKUP($B1446,'Run Reconcile'!B$2:O2488,14,FALSE)</f>
        <v>1</v>
      </c>
      <c r="R1446" s="472" t="str">
        <f t="array" ref="R1446">IF($Q1446, INDEX('Run Reconcile'!A$2:A2488,MATCH(B1446,'Run Reconcile'!B$2:B2488,0),1),IFERROR(0/0,""))</f>
        <v>RUN-FLMP_2022-10-31_APS-125</v>
      </c>
      <c r="S1446" s="473" t="str">
        <f t="shared" si="694"/>
        <v/>
      </c>
      <c r="T1446" s="473" t="str">
        <f t="shared" si="698"/>
        <v/>
      </c>
      <c r="U1446" s="275" t="str">
        <f t="array" ref="U1446">IF(ISBLANK($R1446), INDEX('Run Reconcile'!A$2:A2488, MATCH($B1446, 'Run Reconcile'!B$2:B2488, 0)+Z1446, 1), IFERROR(0/0,""))
</f>
        <v/>
      </c>
      <c r="V1446" s="474" t="str">
        <f t="shared" si="5"/>
        <v>RUN-FLMP_2022-10-31_APS-125</v>
      </c>
      <c r="Y1446" s="89" t="str">
        <f t="shared" si="1719"/>
        <v/>
      </c>
      <c r="Z1446" s="60" t="str">
        <f t="shared" si="7"/>
        <v/>
      </c>
      <c r="AA1446" s="60" t="str">
        <f t="shared" si="8"/>
        <v/>
      </c>
      <c r="AB1446" s="60" t="str">
        <f t="shared" si="9"/>
        <v/>
      </c>
      <c r="AC1446" s="30"/>
      <c r="AD1446" s="30"/>
      <c r="AE1446" s="475" t="str">
        <f>IFERROR(__xludf.DUMMYFUNCTION("""COMPUTED_VALUE"""),"FLSP")</f>
        <v>FLSP</v>
      </c>
      <c r="AF1446" s="476"/>
      <c r="AG1446" s="474" t="s">
        <v>260</v>
      </c>
      <c r="AH1446" s="138" t="str">
        <f t="shared" si="11"/>
        <v/>
      </c>
    </row>
    <row r="1447">
      <c r="A1447" s="103" t="str">
        <f>IFERROR(__xludf.DUMMYFUNCTION("""COMPUTED_VALUE"""),"AK9512")</f>
        <v>AK9512</v>
      </c>
      <c r="B1447" s="468">
        <f>IFERROR(__xludf.DUMMYFUNCTION("""COMPUTED_VALUE"""),44868.0)</f>
        <v>44868</v>
      </c>
      <c r="C1447" s="469">
        <f>IFERROR(__xludf.DUMMYFUNCTION("""COMPUTED_VALUE"""),0.3408449074074074)</f>
        <v>0.3408449074</v>
      </c>
      <c r="D1447" s="103" t="str">
        <f>IFERROR(__xludf.DUMMYFUNCTION("""COMPUTED_VALUE"""),"SpFLMP870846")</f>
        <v>SpFLMP870846</v>
      </c>
      <c r="E1447" s="103"/>
      <c r="F1447" s="103"/>
      <c r="G1447" s="103" t="str">
        <f>IFERROR(__xludf.DUMMYFUNCTION("""COMPUTED_VALUE"""),"Negative")</f>
        <v>Negative</v>
      </c>
      <c r="H1447" s="131" t="str">
        <f>IFERROR(__xludf.DUMMYFUNCTION("""COMPUTED_VALUE"""),"Negative")</f>
        <v>Negative</v>
      </c>
      <c r="I1447" s="468">
        <f>IFERROR(__xludf.DUMMYFUNCTION("""COMPUTED_VALUE"""),44868.0)</f>
        <v>44868</v>
      </c>
      <c r="J1447" s="470">
        <f>IFERROR(__xludf.DUMMYFUNCTION("""COMPUTED_VALUE"""),0.4757175925925926)</f>
        <v>0.4757175926</v>
      </c>
      <c r="K1447" s="16"/>
      <c r="L1447" s="8"/>
      <c r="M1447" s="69"/>
      <c r="N1447" s="69">
        <f>IFERROR(__xludf.DUMMYFUNCTION("""COMPUTED_VALUE"""),2.0)</f>
        <v>2</v>
      </c>
      <c r="O1447" s="69" t="b">
        <f t="shared" si="3"/>
        <v>1</v>
      </c>
      <c r="P1447" s="471">
        <f>IFERROR(__xludf.DUMMYFUNCTION("""COMPUTED_VALUE"""),0.0)</f>
        <v>0</v>
      </c>
      <c r="Q1447" s="274" t="b">
        <f>VLOOKUP($B1447,'Run Reconcile'!B$2:O2488,14,FALSE)</f>
        <v>1</v>
      </c>
      <c r="R1447" s="472" t="str">
        <f t="array" ref="R1447">IF($Q1447, INDEX('Run Reconcile'!A$2:A2488,MATCH(B1447,'Run Reconcile'!B$2:B2488,0),1),IFERROR(0/0,""))</f>
        <v>RUN-FLMP_2022-11-03_APS-126</v>
      </c>
      <c r="S1447" s="473" t="str">
        <f t="shared" si="694"/>
        <v/>
      </c>
      <c r="T1447" s="473" t="str">
        <f t="shared" si="698"/>
        <v/>
      </c>
      <c r="U1447" s="275" t="str">
        <f t="array" ref="U1447">IF(ISBLANK($R1447), INDEX('Run Reconcile'!A$2:A2488, MATCH($B1447, 'Run Reconcile'!B$2:B2488, 0)+Z1447, 1), IFERROR(0/0,""))
</f>
        <v/>
      </c>
      <c r="V1447" s="474" t="str">
        <f t="shared" si="5"/>
        <v>RUN-FLMP_2022-11-03_APS-126</v>
      </c>
      <c r="Y1447" s="89" t="str">
        <f t="shared" si="1719"/>
        <v/>
      </c>
      <c r="Z1447" s="60" t="str">
        <f t="shared" si="7"/>
        <v/>
      </c>
      <c r="AA1447" s="60" t="str">
        <f t="shared" si="8"/>
        <v/>
      </c>
      <c r="AB1447" s="60" t="str">
        <f t="shared" si="9"/>
        <v/>
      </c>
      <c r="AC1447" s="30"/>
      <c r="AD1447" s="30"/>
      <c r="AE1447" s="475" t="str">
        <f>IFERROR(__xludf.DUMMYFUNCTION("""COMPUTED_VALUE"""),"FLSP")</f>
        <v>FLSP</v>
      </c>
      <c r="AF1447" s="476"/>
      <c r="AG1447" s="474" t="s">
        <v>261</v>
      </c>
      <c r="AH1447" s="138" t="str">
        <f t="shared" si="11"/>
        <v/>
      </c>
    </row>
    <row r="1448">
      <c r="A1448" s="103" t="str">
        <f>IFERROR(__xludf.DUMMYFUNCTION("""COMPUTED_VALUE"""),"AG2003")</f>
        <v>AG2003</v>
      </c>
      <c r="B1448" s="468">
        <f>IFERROR(__xludf.DUMMYFUNCTION("""COMPUTED_VALUE"""),44868.0)</f>
        <v>44868</v>
      </c>
      <c r="C1448" s="469">
        <f>IFERROR(__xludf.DUMMYFUNCTION("""COMPUTED_VALUE"""),0.3720833333333333)</f>
        <v>0.3720833333</v>
      </c>
      <c r="D1448" s="103" t="str">
        <f>IFERROR(__xludf.DUMMYFUNCTION("""COMPUTED_VALUE"""),"SpFLMP659315")</f>
        <v>SpFLMP659315</v>
      </c>
      <c r="E1448" s="103"/>
      <c r="F1448" s="103"/>
      <c r="G1448" s="103" t="str">
        <f>IFERROR(__xludf.DUMMYFUNCTION("""COMPUTED_VALUE"""),"Negative")</f>
        <v>Negative</v>
      </c>
      <c r="H1448" s="131" t="str">
        <f>IFERROR(__xludf.DUMMYFUNCTION("""COMPUTED_VALUE"""),"Negative")</f>
        <v>Negative</v>
      </c>
      <c r="I1448" s="468">
        <f>IFERROR(__xludf.DUMMYFUNCTION("""COMPUTED_VALUE"""),44868.0)</f>
        <v>44868</v>
      </c>
      <c r="J1448" s="470">
        <f>IFERROR(__xludf.DUMMYFUNCTION("""COMPUTED_VALUE"""),0.4757175925925926)</f>
        <v>0.4757175926</v>
      </c>
      <c r="K1448" s="16"/>
      <c r="L1448" s="8"/>
      <c r="M1448" s="69"/>
      <c r="N1448" s="69">
        <f>IFERROR(__xludf.DUMMYFUNCTION("""COMPUTED_VALUE"""),4.0)</f>
        <v>4</v>
      </c>
      <c r="O1448" s="69" t="str">
        <f t="shared" si="3"/>
        <v/>
      </c>
      <c r="P1448" s="471">
        <f>IFERROR(__xludf.DUMMYFUNCTION("""COMPUTED_VALUE"""),0.0)</f>
        <v>0</v>
      </c>
      <c r="Q1448" s="274" t="b">
        <f>VLOOKUP($B1448,'Run Reconcile'!B$2:O2488,14,FALSE)</f>
        <v>1</v>
      </c>
      <c r="R1448" s="472" t="str">
        <f t="array" ref="R1448">IF($Q1448, INDEX('Run Reconcile'!A$2:A2488,MATCH(B1448,'Run Reconcile'!B$2:B2488,0),1),IFERROR(0/0,""))</f>
        <v>RUN-FLMP_2022-11-03_APS-126</v>
      </c>
      <c r="S1448" s="473" t="str">
        <f t="shared" si="694"/>
        <v/>
      </c>
      <c r="T1448" s="473" t="str">
        <f t="shared" si="698"/>
        <v/>
      </c>
      <c r="U1448" s="275" t="str">
        <f t="array" ref="U1448">IF(ISBLANK($R1448), INDEX('Run Reconcile'!A$2:A2488, MATCH($B1448, 'Run Reconcile'!B$2:B2488, 0)+Z1448, 1), IFERROR(0/0,""))
</f>
        <v/>
      </c>
      <c r="V1448" s="474" t="str">
        <f t="shared" si="5"/>
        <v>RUN-FLMP_2022-11-03_APS-126</v>
      </c>
      <c r="Y1448" s="89" t="str">
        <f t="shared" si="1719"/>
        <v/>
      </c>
      <c r="Z1448" s="60" t="str">
        <f t="shared" si="7"/>
        <v/>
      </c>
      <c r="AA1448" s="60" t="str">
        <f t="shared" si="8"/>
        <v/>
      </c>
      <c r="AB1448" s="60" t="str">
        <f t="shared" si="9"/>
        <v/>
      </c>
      <c r="AC1448" s="30"/>
      <c r="AD1448" s="30"/>
      <c r="AE1448" s="475" t="str">
        <f>IFERROR(__xludf.DUMMYFUNCTION("""COMPUTED_VALUE"""),"FLSP")</f>
        <v>FLSP</v>
      </c>
      <c r="AF1448" s="476"/>
      <c r="AG1448" s="474" t="s">
        <v>261</v>
      </c>
      <c r="AH1448" s="138" t="str">
        <f t="shared" si="11"/>
        <v/>
      </c>
    </row>
    <row r="1449">
      <c r="A1449" s="103" t="str">
        <f>IFERROR(__xludf.DUMMYFUNCTION("""COMPUTED_VALUE"""),"AJ9310")</f>
        <v>AJ9310</v>
      </c>
      <c r="B1449" s="468">
        <f>IFERROR(__xludf.DUMMYFUNCTION("""COMPUTED_VALUE"""),44868.0)</f>
        <v>44868</v>
      </c>
      <c r="C1449" s="469">
        <f>IFERROR(__xludf.DUMMYFUNCTION("""COMPUTED_VALUE"""),0.3798726851851852)</f>
        <v>0.3798726852</v>
      </c>
      <c r="D1449" s="103" t="str">
        <f>IFERROR(__xludf.DUMMYFUNCTION("""COMPUTED_VALUE"""),"SpFLMP120998")</f>
        <v>SpFLMP120998</v>
      </c>
      <c r="E1449" s="103"/>
      <c r="F1449" s="103"/>
      <c r="G1449" s="103" t="str">
        <f>IFERROR(__xludf.DUMMYFUNCTION("""COMPUTED_VALUE"""),"Negative")</f>
        <v>Negative</v>
      </c>
      <c r="H1449" s="131" t="str">
        <f>IFERROR(__xludf.DUMMYFUNCTION("""COMPUTED_VALUE"""),"Negative")</f>
        <v>Negative</v>
      </c>
      <c r="I1449" s="468">
        <f>IFERROR(__xludf.DUMMYFUNCTION("""COMPUTED_VALUE"""),44868.0)</f>
        <v>44868</v>
      </c>
      <c r="J1449" s="470">
        <f>IFERROR(__xludf.DUMMYFUNCTION("""COMPUTED_VALUE"""),0.4757175925925926)</f>
        <v>0.4757175926</v>
      </c>
      <c r="K1449" s="16"/>
      <c r="L1449" s="8"/>
      <c r="M1449" s="69"/>
      <c r="N1449" s="69">
        <f>IFERROR(__xludf.DUMMYFUNCTION("""COMPUTED_VALUE"""),1.0)</f>
        <v>1</v>
      </c>
      <c r="O1449" s="69" t="str">
        <f t="shared" si="3"/>
        <v/>
      </c>
      <c r="P1449" s="471">
        <f>IFERROR(__xludf.DUMMYFUNCTION("""COMPUTED_VALUE"""),0.0)</f>
        <v>0</v>
      </c>
      <c r="Q1449" s="274" t="b">
        <f>VLOOKUP($B1449,'Run Reconcile'!B$2:O2488,14,FALSE)</f>
        <v>1</v>
      </c>
      <c r="R1449" s="472" t="str">
        <f t="array" ref="R1449">IF($Q1449, INDEX('Run Reconcile'!A$2:A2488,MATCH(B1449,'Run Reconcile'!B$2:B2488,0),1),IFERROR(0/0,""))</f>
        <v>RUN-FLMP_2022-11-03_APS-126</v>
      </c>
      <c r="S1449" s="473" t="str">
        <f t="shared" si="694"/>
        <v/>
      </c>
      <c r="T1449" s="473" t="str">
        <f t="shared" si="698"/>
        <v/>
      </c>
      <c r="U1449" s="275" t="str">
        <f t="array" ref="U1449">IF(ISBLANK($R1449), INDEX('Run Reconcile'!A$2:A2488, MATCH($B1449, 'Run Reconcile'!B$2:B2488, 0)+Z1449, 1), IFERROR(0/0,""))
</f>
        <v/>
      </c>
      <c r="V1449" s="474" t="str">
        <f t="shared" si="5"/>
        <v>RUN-FLMP_2022-11-03_APS-126</v>
      </c>
      <c r="Y1449" s="89" t="str">
        <f t="shared" si="1719"/>
        <v/>
      </c>
      <c r="Z1449" s="60" t="str">
        <f t="shared" si="7"/>
        <v/>
      </c>
      <c r="AA1449" s="60" t="str">
        <f t="shared" si="8"/>
        <v/>
      </c>
      <c r="AB1449" s="60" t="str">
        <f t="shared" si="9"/>
        <v/>
      </c>
      <c r="AC1449" s="30"/>
      <c r="AD1449" s="30"/>
      <c r="AE1449" s="475" t="str">
        <f>IFERROR(__xludf.DUMMYFUNCTION("""COMPUTED_VALUE"""),"FLSP")</f>
        <v>FLSP</v>
      </c>
      <c r="AF1449" s="476"/>
      <c r="AG1449" s="474" t="s">
        <v>261</v>
      </c>
      <c r="AH1449" s="138" t="str">
        <f t="shared" si="11"/>
        <v/>
      </c>
    </row>
    <row r="1450">
      <c r="A1450" s="103" t="str">
        <f>IFERROR(__xludf.DUMMYFUNCTION("""COMPUTED_VALUE"""),"FLE303")</f>
        <v>FLE303</v>
      </c>
      <c r="B1450" s="468">
        <f>IFERROR(__xludf.DUMMYFUNCTION("""COMPUTED_VALUE"""),44872.0)</f>
        <v>44872</v>
      </c>
      <c r="C1450" s="469">
        <f>IFERROR(__xludf.DUMMYFUNCTION("""COMPUTED_VALUE"""),0.3559259259259259)</f>
        <v>0.3559259259</v>
      </c>
      <c r="D1450" s="103" t="str">
        <f>IFERROR(__xludf.DUMMYFUNCTION("""COMPUTED_VALUE"""),"SpFLMP659315")</f>
        <v>SpFLMP659315</v>
      </c>
      <c r="E1450" s="103"/>
      <c r="F1450" s="103"/>
      <c r="G1450" s="103" t="str">
        <f>IFERROR(__xludf.DUMMYFUNCTION("""COMPUTED_VALUE"""),"Negative")</f>
        <v>Negative</v>
      </c>
      <c r="H1450" s="131" t="str">
        <f>IFERROR(__xludf.DUMMYFUNCTION("""COMPUTED_VALUE"""),"Negative")</f>
        <v>Negative</v>
      </c>
      <c r="I1450" s="468">
        <f>IFERROR(__xludf.DUMMYFUNCTION("""COMPUTED_VALUE"""),44872.0)</f>
        <v>44872</v>
      </c>
      <c r="J1450" s="470">
        <f>IFERROR(__xludf.DUMMYFUNCTION("""COMPUTED_VALUE"""),0.44336805555555553)</f>
        <v>0.4433680556</v>
      </c>
      <c r="K1450" s="16"/>
      <c r="L1450" s="8"/>
      <c r="M1450" s="69"/>
      <c r="N1450" s="69">
        <f>IFERROR(__xludf.DUMMYFUNCTION("""COMPUTED_VALUE"""),4.0)</f>
        <v>4</v>
      </c>
      <c r="O1450" s="69" t="b">
        <f t="shared" si="3"/>
        <v>1</v>
      </c>
      <c r="P1450" s="471">
        <f>IFERROR(__xludf.DUMMYFUNCTION("""COMPUTED_VALUE"""),0.0)</f>
        <v>0</v>
      </c>
      <c r="Q1450" s="274" t="b">
        <f>VLOOKUP($B1450,'Run Reconcile'!B$2:O2488,14,FALSE)</f>
        <v>1</v>
      </c>
      <c r="R1450" s="472" t="str">
        <f t="array" ref="R1450">IF($Q1450, INDEX('Run Reconcile'!A$2:A2488,MATCH(B1450,'Run Reconcile'!B$2:B2488,0),1),IFERROR(0/0,""))</f>
        <v>RUN-FLMP_2022-11-07_APS-127</v>
      </c>
      <c r="S1450" s="473" t="str">
        <f t="shared" si="694"/>
        <v/>
      </c>
      <c r="T1450" s="473" t="str">
        <f t="shared" si="698"/>
        <v/>
      </c>
      <c r="U1450" s="275" t="str">
        <f t="array" ref="U1450">IF(ISBLANK($R1450), INDEX('Run Reconcile'!A$2:A2488, MATCH($B1450, 'Run Reconcile'!B$2:B2488, 0)+Z1450, 1), IFERROR(0/0,""))
</f>
        <v/>
      </c>
      <c r="V1450" s="474" t="str">
        <f t="shared" si="5"/>
        <v>RUN-FLMP_2022-11-07_APS-127</v>
      </c>
      <c r="Y1450" s="89" t="str">
        <f t="shared" si="1719"/>
        <v/>
      </c>
      <c r="Z1450" s="60" t="str">
        <f t="shared" si="7"/>
        <v/>
      </c>
      <c r="AA1450" s="60" t="str">
        <f t="shared" si="8"/>
        <v/>
      </c>
      <c r="AB1450" s="60" t="str">
        <f t="shared" si="9"/>
        <v/>
      </c>
      <c r="AC1450" s="30"/>
      <c r="AD1450" s="30"/>
      <c r="AE1450" s="475" t="str">
        <f>IFERROR(__xludf.DUMMYFUNCTION("""COMPUTED_VALUE"""),"FLSP")</f>
        <v>FLSP</v>
      </c>
      <c r="AF1450" s="476"/>
      <c r="AG1450" s="474" t="s">
        <v>262</v>
      </c>
      <c r="AH1450" s="138" t="str">
        <f t="shared" si="11"/>
        <v/>
      </c>
    </row>
    <row r="1451">
      <c r="A1451" s="103" t="str">
        <f>IFERROR(__xludf.DUMMYFUNCTION("""COMPUTED_VALUE"""),"AJ9136")</f>
        <v>AJ9136</v>
      </c>
      <c r="B1451" s="468">
        <f>IFERROR(__xludf.DUMMYFUNCTION("""COMPUTED_VALUE"""),44872.0)</f>
        <v>44872</v>
      </c>
      <c r="C1451" s="469">
        <f>IFERROR(__xludf.DUMMYFUNCTION("""COMPUTED_VALUE"""),0.3737152777777778)</f>
        <v>0.3737152778</v>
      </c>
      <c r="D1451" s="103" t="str">
        <f>IFERROR(__xludf.DUMMYFUNCTION("""COMPUTED_VALUE"""),"SpFLMP870846")</f>
        <v>SpFLMP870846</v>
      </c>
      <c r="E1451" s="103"/>
      <c r="F1451" s="103"/>
      <c r="G1451" s="103" t="str">
        <f>IFERROR(__xludf.DUMMYFUNCTION("""COMPUTED_VALUE"""),"Negative")</f>
        <v>Negative</v>
      </c>
      <c r="H1451" s="131" t="str">
        <f>IFERROR(__xludf.DUMMYFUNCTION("""COMPUTED_VALUE"""),"Negative")</f>
        <v>Negative</v>
      </c>
      <c r="I1451" s="468">
        <f>IFERROR(__xludf.DUMMYFUNCTION("""COMPUTED_VALUE"""),44872.0)</f>
        <v>44872</v>
      </c>
      <c r="J1451" s="470">
        <f>IFERROR(__xludf.DUMMYFUNCTION("""COMPUTED_VALUE"""),0.44336805555555553)</f>
        <v>0.4433680556</v>
      </c>
      <c r="K1451" s="16"/>
      <c r="L1451" s="8"/>
      <c r="M1451" s="69"/>
      <c r="N1451" s="69">
        <f>IFERROR(__xludf.DUMMYFUNCTION("""COMPUTED_VALUE"""),2.0)</f>
        <v>2</v>
      </c>
      <c r="O1451" s="69" t="str">
        <f t="shared" si="3"/>
        <v/>
      </c>
      <c r="P1451" s="471">
        <f>IFERROR(__xludf.DUMMYFUNCTION("""COMPUTED_VALUE"""),0.0)</f>
        <v>0</v>
      </c>
      <c r="Q1451" s="274" t="b">
        <f>VLOOKUP($B1451,'Run Reconcile'!B$2:O2488,14,FALSE)</f>
        <v>1</v>
      </c>
      <c r="R1451" s="472" t="str">
        <f t="array" ref="R1451">IF($Q1451, INDEX('Run Reconcile'!A$2:A2488,MATCH(B1451,'Run Reconcile'!B$2:B2488,0),1),IFERROR(0/0,""))</f>
        <v>RUN-FLMP_2022-11-07_APS-127</v>
      </c>
      <c r="S1451" s="473" t="str">
        <f t="shared" si="694"/>
        <v/>
      </c>
      <c r="T1451" s="473" t="str">
        <f t="shared" si="698"/>
        <v/>
      </c>
      <c r="U1451" s="275" t="str">
        <f t="array" ref="U1451">IF(ISBLANK($R1451), INDEX('Run Reconcile'!A$2:A2488, MATCH($B1451, 'Run Reconcile'!B$2:B2488, 0)+Z1451, 1), IFERROR(0/0,""))
</f>
        <v/>
      </c>
      <c r="V1451" s="474" t="str">
        <f t="shared" si="5"/>
        <v>RUN-FLMP_2022-11-07_APS-127</v>
      </c>
      <c r="Y1451" s="89" t="str">
        <f t="shared" si="1719"/>
        <v/>
      </c>
      <c r="Z1451" s="60" t="str">
        <f t="shared" si="7"/>
        <v/>
      </c>
      <c r="AA1451" s="60" t="str">
        <f t="shared" si="8"/>
        <v/>
      </c>
      <c r="AB1451" s="60" t="str">
        <f t="shared" si="9"/>
        <v/>
      </c>
      <c r="AC1451" s="30"/>
      <c r="AD1451" s="30"/>
      <c r="AE1451" s="475" t="str">
        <f>IFERROR(__xludf.DUMMYFUNCTION("""COMPUTED_VALUE"""),"FLSP")</f>
        <v>FLSP</v>
      </c>
      <c r="AF1451" s="476"/>
      <c r="AG1451" s="474" t="s">
        <v>262</v>
      </c>
      <c r="AH1451" s="138" t="str">
        <f t="shared" si="11"/>
        <v/>
      </c>
    </row>
    <row r="1452">
      <c r="A1452" s="103" t="str">
        <f>IFERROR(__xludf.DUMMYFUNCTION("""COMPUTED_VALUE"""),"AH6914")</f>
        <v>AH6914</v>
      </c>
      <c r="B1452" s="468">
        <f>IFERROR(__xludf.DUMMYFUNCTION("""COMPUTED_VALUE"""),44872.0)</f>
        <v>44872</v>
      </c>
      <c r="C1452" s="469">
        <f>IFERROR(__xludf.DUMMYFUNCTION("""COMPUTED_VALUE"""),0.3999189814814815)</f>
        <v>0.3999189815</v>
      </c>
      <c r="D1452" s="103" t="str">
        <f>IFERROR(__xludf.DUMMYFUNCTION("""COMPUTED_VALUE"""),"SpFLMP120998")</f>
        <v>SpFLMP120998</v>
      </c>
      <c r="E1452" s="103"/>
      <c r="F1452" s="103"/>
      <c r="G1452" s="103" t="str">
        <f>IFERROR(__xludf.DUMMYFUNCTION("""COMPUTED_VALUE"""),"Negative")</f>
        <v>Negative</v>
      </c>
      <c r="H1452" s="131" t="str">
        <f>IFERROR(__xludf.DUMMYFUNCTION("""COMPUTED_VALUE"""),"Negative")</f>
        <v>Negative</v>
      </c>
      <c r="I1452" s="468">
        <f>IFERROR(__xludf.DUMMYFUNCTION("""COMPUTED_VALUE"""),44872.0)</f>
        <v>44872</v>
      </c>
      <c r="J1452" s="470">
        <f>IFERROR(__xludf.DUMMYFUNCTION("""COMPUTED_VALUE"""),0.44336805555555553)</f>
        <v>0.4433680556</v>
      </c>
      <c r="K1452" s="16"/>
      <c r="L1452" s="8"/>
      <c r="M1452" s="69"/>
      <c r="N1452" s="69">
        <f>IFERROR(__xludf.DUMMYFUNCTION("""COMPUTED_VALUE"""),1.0)</f>
        <v>1</v>
      </c>
      <c r="O1452" s="69" t="str">
        <f t="shared" si="3"/>
        <v/>
      </c>
      <c r="P1452" s="471">
        <f>IFERROR(__xludf.DUMMYFUNCTION("""COMPUTED_VALUE"""),0.0)</f>
        <v>0</v>
      </c>
      <c r="Q1452" s="274" t="b">
        <f>VLOOKUP($B1452,'Run Reconcile'!B$2:O2488,14,FALSE)</f>
        <v>1</v>
      </c>
      <c r="R1452" s="472" t="str">
        <f t="array" ref="R1452">IF($Q1452, INDEX('Run Reconcile'!A$2:A2488,MATCH(B1452,'Run Reconcile'!B$2:B2488,0),1),IFERROR(0/0,""))</f>
        <v>RUN-FLMP_2022-11-07_APS-127</v>
      </c>
      <c r="S1452" s="473" t="str">
        <f t="shared" si="694"/>
        <v/>
      </c>
      <c r="T1452" s="473" t="str">
        <f t="shared" si="698"/>
        <v/>
      </c>
      <c r="U1452" s="275" t="str">
        <f t="array" ref="U1452">IF(ISBLANK($R1452), INDEX('Run Reconcile'!A$2:A2488, MATCH($B1452, 'Run Reconcile'!B$2:B2488, 0)+Z1452, 1), IFERROR(0/0,""))
</f>
        <v/>
      </c>
      <c r="V1452" s="474" t="str">
        <f t="shared" si="5"/>
        <v>RUN-FLMP_2022-11-07_APS-127</v>
      </c>
      <c r="Y1452" s="89" t="str">
        <f t="shared" si="1719"/>
        <v/>
      </c>
      <c r="Z1452" s="60" t="str">
        <f t="shared" si="7"/>
        <v/>
      </c>
      <c r="AA1452" s="60" t="str">
        <f t="shared" si="8"/>
        <v/>
      </c>
      <c r="AB1452" s="60" t="str">
        <f t="shared" si="9"/>
        <v/>
      </c>
      <c r="AC1452" s="30"/>
      <c r="AD1452" s="30"/>
      <c r="AE1452" s="475" t="str">
        <f>IFERROR(__xludf.DUMMYFUNCTION("""COMPUTED_VALUE"""),"FLSP")</f>
        <v>FLSP</v>
      </c>
      <c r="AF1452" s="476"/>
      <c r="AG1452" s="474" t="s">
        <v>262</v>
      </c>
      <c r="AH1452" s="138" t="str">
        <f t="shared" si="11"/>
        <v/>
      </c>
    </row>
    <row r="1453">
      <c r="A1453" s="103" t="str">
        <f>IFERROR(__xludf.DUMMYFUNCTION("""COMPUTED_VALUE"""),"AG4767")</f>
        <v>AG4767</v>
      </c>
      <c r="B1453" s="468">
        <f>IFERROR(__xludf.DUMMYFUNCTION("""COMPUTED_VALUE"""),44875.0)</f>
        <v>44875</v>
      </c>
      <c r="C1453" s="469">
        <f>IFERROR(__xludf.DUMMYFUNCTION("""COMPUTED_VALUE"""),0.3945486111111111)</f>
        <v>0.3945486111</v>
      </c>
      <c r="D1453" s="103" t="str">
        <f>IFERROR(__xludf.DUMMYFUNCTION("""COMPUTED_VALUE"""),"SpFLMP120998")</f>
        <v>SpFLMP120998</v>
      </c>
      <c r="E1453" s="103"/>
      <c r="F1453" s="103"/>
      <c r="G1453" s="103" t="str">
        <f>IFERROR(__xludf.DUMMYFUNCTION("""COMPUTED_VALUE"""),"Negative")</f>
        <v>Negative</v>
      </c>
      <c r="H1453" s="131" t="str">
        <f>IFERROR(__xludf.DUMMYFUNCTION("""COMPUTED_VALUE"""),"Negative")</f>
        <v>Negative</v>
      </c>
      <c r="I1453" s="468">
        <f>IFERROR(__xludf.DUMMYFUNCTION("""COMPUTED_VALUE"""),44910.0)</f>
        <v>44910</v>
      </c>
      <c r="J1453" s="470">
        <f>IFERROR(__xludf.DUMMYFUNCTION("""COMPUTED_VALUE"""),0.42042824074074076)</f>
        <v>0.4204282407</v>
      </c>
      <c r="K1453" s="16"/>
      <c r="L1453" s="8"/>
      <c r="M1453" s="69"/>
      <c r="N1453" s="69">
        <f>IFERROR(__xludf.DUMMYFUNCTION("""COMPUTED_VALUE"""),1.0)</f>
        <v>1</v>
      </c>
      <c r="O1453" s="69" t="b">
        <f t="shared" si="3"/>
        <v>1</v>
      </c>
      <c r="P1453" s="471">
        <f>IFERROR(__xludf.DUMMYFUNCTION("""COMPUTED_VALUE"""),35.0)</f>
        <v>35</v>
      </c>
      <c r="Q1453" s="274" t="b">
        <f>VLOOKUP($B1453,'Run Reconcile'!B$2:O2488,14,FALSE)</f>
        <v>1</v>
      </c>
      <c r="R1453" s="472" t="str">
        <f t="array" ref="R1453">IF($Q1453, INDEX('Run Reconcile'!A$2:A2488,MATCH(B1453,'Run Reconcile'!B$2:B2488,0),1),IFERROR(0/0,""))</f>
        <v>RUN-FLMP_2022-11-10_APS-128</v>
      </c>
      <c r="S1453" s="473" t="str">
        <f t="shared" si="694"/>
        <v/>
      </c>
      <c r="T1453" s="473" t="str">
        <f t="shared" si="698"/>
        <v/>
      </c>
      <c r="U1453" s="275" t="str">
        <f t="array" ref="U1453">IF(ISBLANK($R1453), INDEX('Run Reconcile'!A$2:A2488, MATCH($B1453, 'Run Reconcile'!B$2:B2488, 0)+Z1453, 1), IFERROR(0/0,""))
</f>
        <v/>
      </c>
      <c r="V1453" s="474" t="str">
        <f t="shared" si="5"/>
        <v>RUN-FLMP_2022-11-10_APS-128</v>
      </c>
      <c r="Y1453" s="89" t="str">
        <f t="shared" si="1719"/>
        <v/>
      </c>
      <c r="Z1453" s="60" t="str">
        <f t="shared" si="7"/>
        <v/>
      </c>
      <c r="AA1453" s="60" t="str">
        <f t="shared" si="8"/>
        <v/>
      </c>
      <c r="AB1453" s="60" t="str">
        <f t="shared" si="9"/>
        <v/>
      </c>
      <c r="AC1453" s="30"/>
      <c r="AD1453" s="30"/>
      <c r="AE1453" s="475" t="str">
        <f>IFERROR(__xludf.DUMMYFUNCTION("""COMPUTED_VALUE"""),"FLSP")</f>
        <v>FLSP</v>
      </c>
      <c r="AF1453" s="476"/>
      <c r="AG1453" s="474" t="s">
        <v>263</v>
      </c>
      <c r="AH1453" s="138" t="str">
        <f t="shared" si="11"/>
        <v/>
      </c>
    </row>
    <row r="1454">
      <c r="A1454" s="103" t="str">
        <f>IFERROR(__xludf.DUMMYFUNCTION("""COMPUTED_VALUE"""),"FLE307A")</f>
        <v>FLE307A</v>
      </c>
      <c r="B1454" s="468">
        <f>IFERROR(__xludf.DUMMYFUNCTION("""COMPUTED_VALUE"""),44875.0)</f>
        <v>44875</v>
      </c>
      <c r="C1454" s="469">
        <f>IFERROR(__xludf.DUMMYFUNCTION("""COMPUTED_VALUE"""),0.3953935185185185)</f>
        <v>0.3953935185</v>
      </c>
      <c r="D1454" s="103" t="str">
        <f>IFERROR(__xludf.DUMMYFUNCTION("""COMPUTED_VALUE"""),"SpFLMP120998")</f>
        <v>SpFLMP120998</v>
      </c>
      <c r="E1454" s="103"/>
      <c r="F1454" s="103"/>
      <c r="G1454" s="103" t="str">
        <f>IFERROR(__xludf.DUMMYFUNCTION("""COMPUTED_VALUE"""),"Negative")</f>
        <v>Negative</v>
      </c>
      <c r="H1454" s="131" t="str">
        <f>IFERROR(__xludf.DUMMYFUNCTION("""COMPUTED_VALUE"""),"Negative")</f>
        <v>Negative</v>
      </c>
      <c r="I1454" s="468">
        <f>IFERROR(__xludf.DUMMYFUNCTION("""COMPUTED_VALUE"""),44910.0)</f>
        <v>44910</v>
      </c>
      <c r="J1454" s="470">
        <f>IFERROR(__xludf.DUMMYFUNCTION("""COMPUTED_VALUE"""),0.42042824074074076)</f>
        <v>0.4204282407</v>
      </c>
      <c r="K1454" s="16"/>
      <c r="L1454" s="8"/>
      <c r="M1454" s="69"/>
      <c r="N1454" s="69">
        <f>IFERROR(__xludf.DUMMYFUNCTION("""COMPUTED_VALUE"""),4.0)</f>
        <v>4</v>
      </c>
      <c r="O1454" s="69" t="str">
        <f t="shared" si="3"/>
        <v/>
      </c>
      <c r="P1454" s="471">
        <f>IFERROR(__xludf.DUMMYFUNCTION("""COMPUTED_VALUE"""),35.0)</f>
        <v>35</v>
      </c>
      <c r="Q1454" s="274" t="b">
        <f>VLOOKUP($B1454,'Run Reconcile'!B$2:O2488,14,FALSE)</f>
        <v>1</v>
      </c>
      <c r="R1454" s="472" t="str">
        <f t="array" ref="R1454">IF($Q1454, INDEX('Run Reconcile'!A$2:A2488,MATCH(B1454,'Run Reconcile'!B$2:B2488,0),1),IFERROR(0/0,""))</f>
        <v>RUN-FLMP_2022-11-10_APS-128</v>
      </c>
      <c r="S1454" s="473" t="str">
        <f t="shared" si="694"/>
        <v/>
      </c>
      <c r="T1454" s="473" t="str">
        <f t="shared" si="698"/>
        <v/>
      </c>
      <c r="U1454" s="275" t="str">
        <f t="array" ref="U1454">IF(ISBLANK($R1454), INDEX('Run Reconcile'!A$2:A2488, MATCH($B1454, 'Run Reconcile'!B$2:B2488, 0)+Z1454, 1), IFERROR(0/0,""))
</f>
        <v/>
      </c>
      <c r="V1454" s="474" t="str">
        <f t="shared" si="5"/>
        <v>RUN-FLMP_2022-11-10_APS-128</v>
      </c>
      <c r="Y1454" s="89" t="str">
        <f t="shared" si="1719"/>
        <v/>
      </c>
      <c r="Z1454" s="60" t="str">
        <f t="shared" si="7"/>
        <v/>
      </c>
      <c r="AA1454" s="60" t="str">
        <f t="shared" si="8"/>
        <v/>
      </c>
      <c r="AB1454" s="60" t="str">
        <f t="shared" si="9"/>
        <v/>
      </c>
      <c r="AC1454" s="30"/>
      <c r="AD1454" s="30"/>
      <c r="AE1454" s="475" t="str">
        <f>IFERROR(__xludf.DUMMYFUNCTION("""COMPUTED_VALUE"""),"FLSP")</f>
        <v>FLSP</v>
      </c>
      <c r="AF1454" s="476"/>
      <c r="AG1454" s="474" t="s">
        <v>263</v>
      </c>
      <c r="AH1454" s="138" t="str">
        <f t="shared" si="11"/>
        <v/>
      </c>
    </row>
    <row r="1455">
      <c r="A1455" s="103" t="str">
        <f>IFERROR(__xludf.DUMMYFUNCTION("""COMPUTED_VALUE"""),"AH7694")</f>
        <v>AH7694</v>
      </c>
      <c r="B1455" s="468">
        <f>IFERROR(__xludf.DUMMYFUNCTION("""COMPUTED_VALUE"""),44879.0)</f>
        <v>44879</v>
      </c>
      <c r="C1455" s="469">
        <f>IFERROR(__xludf.DUMMYFUNCTION("""COMPUTED_VALUE"""),0.3348263888888889)</f>
        <v>0.3348263889</v>
      </c>
      <c r="D1455" s="103" t="str">
        <f>IFERROR(__xludf.DUMMYFUNCTION("""COMPUTED_VALUE"""),"SpFLMP659315")</f>
        <v>SpFLMP659315</v>
      </c>
      <c r="E1455" s="103"/>
      <c r="F1455" s="103"/>
      <c r="G1455" s="103" t="str">
        <f>IFERROR(__xludf.DUMMYFUNCTION("""COMPUTED_VALUE"""),"Null")</f>
        <v>Null</v>
      </c>
      <c r="H1455" s="131" t="str">
        <f>IFERROR(__xludf.DUMMYFUNCTION("""COMPUTED_VALUE"""),"Negative")</f>
        <v>Negative</v>
      </c>
      <c r="I1455" s="468"/>
      <c r="J1455" s="16"/>
      <c r="K1455" s="16">
        <f>IFERROR(__xludf.DUMMYFUNCTION("""COMPUTED_VALUE"""),2.2)</f>
        <v>2.2</v>
      </c>
      <c r="L1455" s="8" t="str">
        <f>IFERROR(__xludf.DUMMYFUNCTION("""COMPUTED_VALUE"""),"name email fix")</f>
        <v>name email fix</v>
      </c>
      <c r="M1455" s="69"/>
      <c r="N1455" s="69">
        <f>IFERROR(__xludf.DUMMYFUNCTION("""COMPUTED_VALUE"""),1.0)</f>
        <v>1</v>
      </c>
      <c r="O1455" s="69" t="b">
        <f t="shared" si="3"/>
        <v>1</v>
      </c>
      <c r="P1455" s="471">
        <f>IFERROR(__xludf.DUMMYFUNCTION("""COMPUTED_VALUE"""),-1.0)</f>
        <v>-1</v>
      </c>
      <c r="Q1455" s="274" t="b">
        <f>VLOOKUP($B1455,'Run Reconcile'!B$2:O2488,14,FALSE)</f>
        <v>1</v>
      </c>
      <c r="R1455" s="472" t="str">
        <f t="array" ref="R1455">IF($Q1455, INDEX('Run Reconcile'!A$2:A2488,MATCH(B1455,'Run Reconcile'!B$2:B2488,0),1),IFERROR(0/0,""))</f>
        <v>RUN-FLMP_2022-11-14_APS-129</v>
      </c>
      <c r="S1455" s="473" t="str">
        <f t="shared" si="694"/>
        <v/>
      </c>
      <c r="T1455" s="473" t="str">
        <f t="shared" si="698"/>
        <v/>
      </c>
      <c r="U1455" s="275" t="str">
        <f t="array" ref="U1455">IF(ISBLANK($R1455), INDEX('Run Reconcile'!A$2:A2488, MATCH($B1455, 'Run Reconcile'!B$2:B2488, 0)+Z1455, 1), IFERROR(0/0,""))
</f>
        <v/>
      </c>
      <c r="V1455" s="474" t="str">
        <f t="shared" si="5"/>
        <v>RUN-FLMP_2022-11-14_APS-129</v>
      </c>
      <c r="Y1455" s="89" t="str">
        <f t="shared" si="1719"/>
        <v/>
      </c>
      <c r="Z1455" s="60" t="str">
        <f t="shared" si="7"/>
        <v/>
      </c>
      <c r="AA1455" s="60" t="str">
        <f t="shared" si="8"/>
        <v/>
      </c>
      <c r="AB1455" s="60" t="str">
        <f t="shared" si="9"/>
        <v/>
      </c>
      <c r="AC1455" s="30"/>
      <c r="AD1455" s="30"/>
      <c r="AE1455" s="475" t="str">
        <f>IFERROR(__xludf.DUMMYFUNCTION("""COMPUTED_VALUE"""),"FLSP")</f>
        <v>FLSP</v>
      </c>
      <c r="AF1455" s="476"/>
      <c r="AG1455" s="474" t="s">
        <v>264</v>
      </c>
      <c r="AH1455" s="138" t="str">
        <f t="shared" si="11"/>
        <v/>
      </c>
    </row>
    <row r="1456">
      <c r="A1456" s="103" t="str">
        <f>IFERROR(__xludf.DUMMYFUNCTION("""COMPUTED_VALUE"""),"AJ8133")</f>
        <v>AJ8133</v>
      </c>
      <c r="B1456" s="468">
        <f>IFERROR(__xludf.DUMMYFUNCTION("""COMPUTED_VALUE"""),44879.0)</f>
        <v>44879</v>
      </c>
      <c r="C1456" s="469">
        <f>IFERROR(__xludf.DUMMYFUNCTION("""COMPUTED_VALUE"""),0.3370601851851852)</f>
        <v>0.3370601852</v>
      </c>
      <c r="D1456" s="103" t="str">
        <f>IFERROR(__xludf.DUMMYFUNCTION("""COMPUTED_VALUE"""),"SpFLMP870846")</f>
        <v>SpFLMP870846</v>
      </c>
      <c r="E1456" s="103"/>
      <c r="F1456" s="103"/>
      <c r="G1456" s="103" t="str">
        <f>IFERROR(__xludf.DUMMYFUNCTION("""COMPUTED_VALUE"""),"Negative")</f>
        <v>Negative</v>
      </c>
      <c r="H1456" s="131" t="str">
        <f>IFERROR(__xludf.DUMMYFUNCTION("""COMPUTED_VALUE"""),"Negative")</f>
        <v>Negative</v>
      </c>
      <c r="I1456" s="468">
        <f>IFERROR(__xludf.DUMMYFUNCTION("""COMPUTED_VALUE"""),44879.0)</f>
        <v>44879</v>
      </c>
      <c r="J1456" s="470">
        <f>IFERROR(__xludf.DUMMYFUNCTION("""COMPUTED_VALUE"""),0.4849189814814815)</f>
        <v>0.4849189815</v>
      </c>
      <c r="K1456" s="16"/>
      <c r="L1456" s="8"/>
      <c r="M1456" s="69"/>
      <c r="N1456" s="69">
        <f>IFERROR(__xludf.DUMMYFUNCTION("""COMPUTED_VALUE"""),2.0)</f>
        <v>2</v>
      </c>
      <c r="O1456" s="69" t="str">
        <f t="shared" si="3"/>
        <v/>
      </c>
      <c r="P1456" s="471">
        <f>IFERROR(__xludf.DUMMYFUNCTION("""COMPUTED_VALUE"""),0.0)</f>
        <v>0</v>
      </c>
      <c r="Q1456" s="274" t="b">
        <f>VLOOKUP($B1456,'Run Reconcile'!B$2:O2488,14,FALSE)</f>
        <v>1</v>
      </c>
      <c r="R1456" s="472" t="str">
        <f t="array" ref="R1456">IF($Q1456, INDEX('Run Reconcile'!A$2:A2488,MATCH(B1456,'Run Reconcile'!B$2:B2488,0),1),IFERROR(0/0,""))</f>
        <v>RUN-FLMP_2022-11-14_APS-129</v>
      </c>
      <c r="S1456" s="473" t="str">
        <f t="shared" si="694"/>
        <v/>
      </c>
      <c r="T1456" s="473" t="str">
        <f t="shared" si="698"/>
        <v/>
      </c>
      <c r="U1456" s="275" t="str">
        <f t="array" ref="U1456">IF(ISBLANK($R1456), INDEX('Run Reconcile'!A$2:A2488, MATCH($B1456, 'Run Reconcile'!B$2:B2488, 0)+Z1456, 1), IFERROR(0/0,""))
</f>
        <v/>
      </c>
      <c r="V1456" s="474" t="str">
        <f t="shared" si="5"/>
        <v>RUN-FLMP_2022-11-14_APS-129</v>
      </c>
      <c r="Y1456" s="89" t="str">
        <f t="shared" si="1719"/>
        <v/>
      </c>
      <c r="Z1456" s="60" t="str">
        <f t="shared" si="7"/>
        <v/>
      </c>
      <c r="AA1456" s="60" t="str">
        <f t="shared" si="8"/>
        <v/>
      </c>
      <c r="AB1456" s="60" t="str">
        <f t="shared" si="9"/>
        <v/>
      </c>
      <c r="AC1456" s="30"/>
      <c r="AD1456" s="30"/>
      <c r="AE1456" s="475" t="str">
        <f>IFERROR(__xludf.DUMMYFUNCTION("""COMPUTED_VALUE"""),"FLSP")</f>
        <v>FLSP</v>
      </c>
      <c r="AF1456" s="476"/>
      <c r="AG1456" s="474" t="s">
        <v>264</v>
      </c>
      <c r="AH1456" s="138" t="str">
        <f t="shared" si="11"/>
        <v/>
      </c>
    </row>
    <row r="1457">
      <c r="A1457" s="103" t="str">
        <f>IFERROR(__xludf.DUMMYFUNCTION("""COMPUTED_VALUE"""),"AJ4687")</f>
        <v>AJ4687</v>
      </c>
      <c r="B1457" s="468">
        <f>IFERROR(__xludf.DUMMYFUNCTION("""COMPUTED_VALUE"""),44879.0)</f>
        <v>44879</v>
      </c>
      <c r="C1457" s="469">
        <f>IFERROR(__xludf.DUMMYFUNCTION("""COMPUTED_VALUE"""),0.3779398148148148)</f>
        <v>0.3779398148</v>
      </c>
      <c r="D1457" s="103" t="str">
        <f>IFERROR(__xludf.DUMMYFUNCTION("""COMPUTED_VALUE"""),"SpFLMP120998")</f>
        <v>SpFLMP120998</v>
      </c>
      <c r="E1457" s="103"/>
      <c r="F1457" s="103"/>
      <c r="G1457" s="103" t="str">
        <f>IFERROR(__xludf.DUMMYFUNCTION("""COMPUTED_VALUE"""),"Negative")</f>
        <v>Negative</v>
      </c>
      <c r="H1457" s="131" t="str">
        <f>IFERROR(__xludf.DUMMYFUNCTION("""COMPUTED_VALUE"""),"Negative")</f>
        <v>Negative</v>
      </c>
      <c r="I1457" s="468">
        <f>IFERROR(__xludf.DUMMYFUNCTION("""COMPUTED_VALUE"""),44879.0)</f>
        <v>44879</v>
      </c>
      <c r="J1457" s="470">
        <f>IFERROR(__xludf.DUMMYFUNCTION("""COMPUTED_VALUE"""),0.4849189814814815)</f>
        <v>0.4849189815</v>
      </c>
      <c r="K1457" s="16"/>
      <c r="L1457" s="8"/>
      <c r="M1457" s="69"/>
      <c r="N1457" s="69">
        <f>IFERROR(__xludf.DUMMYFUNCTION("""COMPUTED_VALUE"""),1.0)</f>
        <v>1</v>
      </c>
      <c r="O1457" s="69" t="str">
        <f t="shared" si="3"/>
        <v/>
      </c>
      <c r="P1457" s="471">
        <f>IFERROR(__xludf.DUMMYFUNCTION("""COMPUTED_VALUE"""),0.0)</f>
        <v>0</v>
      </c>
      <c r="Q1457" s="274" t="b">
        <f>VLOOKUP($B1457,'Run Reconcile'!B$2:O2488,14,FALSE)</f>
        <v>1</v>
      </c>
      <c r="R1457" s="472" t="str">
        <f t="array" ref="R1457">IF($Q1457, INDEX('Run Reconcile'!A$2:A2488,MATCH(B1457,'Run Reconcile'!B$2:B2488,0),1),IFERROR(0/0,""))</f>
        <v>RUN-FLMP_2022-11-14_APS-129</v>
      </c>
      <c r="S1457" s="473" t="str">
        <f t="shared" si="694"/>
        <v/>
      </c>
      <c r="T1457" s="473" t="str">
        <f t="shared" si="698"/>
        <v/>
      </c>
      <c r="U1457" s="275" t="str">
        <f t="array" ref="U1457">IF(ISBLANK($R1457), INDEX('Run Reconcile'!A$2:A2488, MATCH($B1457, 'Run Reconcile'!B$2:B2488, 0)+Z1457, 1), IFERROR(0/0,""))
</f>
        <v/>
      </c>
      <c r="V1457" s="474" t="str">
        <f t="shared" si="5"/>
        <v>RUN-FLMP_2022-11-14_APS-129</v>
      </c>
      <c r="Y1457" s="89" t="str">
        <f t="shared" si="1719"/>
        <v/>
      </c>
      <c r="Z1457" s="60" t="str">
        <f t="shared" si="7"/>
        <v/>
      </c>
      <c r="AA1457" s="60" t="str">
        <f t="shared" si="8"/>
        <v/>
      </c>
      <c r="AB1457" s="60" t="str">
        <f t="shared" si="9"/>
        <v/>
      </c>
      <c r="AC1457" s="30"/>
      <c r="AD1457" s="30"/>
      <c r="AE1457" s="475" t="str">
        <f>IFERROR(__xludf.DUMMYFUNCTION("""COMPUTED_VALUE"""),"FLSP")</f>
        <v>FLSP</v>
      </c>
      <c r="AF1457" s="476"/>
      <c r="AG1457" s="474" t="s">
        <v>264</v>
      </c>
      <c r="AH1457" s="138" t="str">
        <f t="shared" si="11"/>
        <v/>
      </c>
    </row>
    <row r="1458">
      <c r="A1458" s="103" t="str">
        <f>IFERROR(__xludf.DUMMYFUNCTION("""COMPUTED_VALUE"""),"AH7694A")</f>
        <v>AH7694A</v>
      </c>
      <c r="B1458" s="468">
        <f>IFERROR(__xludf.DUMMYFUNCTION("""COMPUTED_VALUE"""),44879.0)</f>
        <v>44879</v>
      </c>
      <c r="C1458" s="469">
        <f>IFERROR(__xludf.DUMMYFUNCTION("""COMPUTED_VALUE"""),0.4836111111111111)</f>
        <v>0.4836111111</v>
      </c>
      <c r="D1458" s="103" t="str">
        <f>IFERROR(__xludf.DUMMYFUNCTION("""COMPUTED_VALUE"""),"SpFLMP120998")</f>
        <v>SpFLMP120998</v>
      </c>
      <c r="E1458" s="103"/>
      <c r="F1458" s="103"/>
      <c r="G1458" s="103" t="str">
        <f>IFERROR(__xludf.DUMMYFUNCTION("""COMPUTED_VALUE"""),"Negative")</f>
        <v>Negative</v>
      </c>
      <c r="H1458" s="131" t="str">
        <f>IFERROR(__xludf.DUMMYFUNCTION("""COMPUTED_VALUE"""),"Negative")</f>
        <v>Negative</v>
      </c>
      <c r="I1458" s="468">
        <f>IFERROR(__xludf.DUMMYFUNCTION("""COMPUTED_VALUE"""),44879.0)</f>
        <v>44879</v>
      </c>
      <c r="J1458" s="470">
        <f>IFERROR(__xludf.DUMMYFUNCTION("""COMPUTED_VALUE"""),0.4849189814814815)</f>
        <v>0.4849189815</v>
      </c>
      <c r="K1458" s="16"/>
      <c r="L1458" s="8"/>
      <c r="M1458" s="69"/>
      <c r="N1458" s="69">
        <f>IFERROR(__xludf.DUMMYFUNCTION("""COMPUTED_VALUE"""),2.0)</f>
        <v>2</v>
      </c>
      <c r="O1458" s="69" t="str">
        <f t="shared" si="3"/>
        <v/>
      </c>
      <c r="P1458" s="471">
        <f>IFERROR(__xludf.DUMMYFUNCTION("""COMPUTED_VALUE"""),0.0)</f>
        <v>0</v>
      </c>
      <c r="Q1458" s="274" t="b">
        <f>VLOOKUP($B1458,'Run Reconcile'!B$2:O2488,14,FALSE)</f>
        <v>1</v>
      </c>
      <c r="R1458" s="472" t="str">
        <f t="array" ref="R1458">IF($Q1458, INDEX('Run Reconcile'!A$2:A2488,MATCH(B1458,'Run Reconcile'!B$2:B2488,0),1),IFERROR(0/0,""))</f>
        <v>RUN-FLMP_2022-11-14_APS-129</v>
      </c>
      <c r="S1458" s="473" t="str">
        <f t="shared" si="694"/>
        <v/>
      </c>
      <c r="T1458" s="473" t="str">
        <f t="shared" si="698"/>
        <v/>
      </c>
      <c r="U1458" s="275" t="str">
        <f t="array" ref="U1458">IF(ISBLANK($R1458), INDEX('Run Reconcile'!A$2:A2488, MATCH($B1458, 'Run Reconcile'!B$2:B2488, 0)+Z1458, 1), IFERROR(0/0,""))
</f>
        <v/>
      </c>
      <c r="V1458" s="474" t="str">
        <f t="shared" si="5"/>
        <v>RUN-FLMP_2022-11-14_APS-129</v>
      </c>
      <c r="Y1458" s="89" t="str">
        <f t="shared" si="1719"/>
        <v/>
      </c>
      <c r="Z1458" s="60" t="str">
        <f t="shared" si="7"/>
        <v/>
      </c>
      <c r="AA1458" s="60" t="str">
        <f t="shared" si="8"/>
        <v/>
      </c>
      <c r="AB1458" s="60" t="str">
        <f t="shared" si="9"/>
        <v/>
      </c>
      <c r="AC1458" s="30"/>
      <c r="AD1458" s="30"/>
      <c r="AE1458" s="475" t="str">
        <f>IFERROR(__xludf.DUMMYFUNCTION("""COMPUTED_VALUE"""),"FLSP")</f>
        <v>FLSP</v>
      </c>
      <c r="AF1458" s="476"/>
      <c r="AG1458" s="474" t="s">
        <v>264</v>
      </c>
      <c r="AH1458" s="138" t="str">
        <f t="shared" si="11"/>
        <v/>
      </c>
    </row>
    <row r="1459">
      <c r="A1459" s="103" t="str">
        <f>IFERROR(__xludf.DUMMYFUNCTION("""COMPUTED_VALUE"""),"AH944A")</f>
        <v>AH944A</v>
      </c>
      <c r="B1459" s="468">
        <f>IFERROR(__xludf.DUMMYFUNCTION("""COMPUTED_VALUE"""),44879.0)</f>
        <v>44879</v>
      </c>
      <c r="C1459" s="469">
        <f>IFERROR(__xludf.DUMMYFUNCTION("""COMPUTED_VALUE"""),0.4839467592592593)</f>
        <v>0.4839467593</v>
      </c>
      <c r="D1459" s="103" t="str">
        <f>IFERROR(__xludf.DUMMYFUNCTION("""COMPUTED_VALUE"""),"SpFLMP120998")</f>
        <v>SpFLMP120998</v>
      </c>
      <c r="E1459" s="103"/>
      <c r="F1459" s="103"/>
      <c r="G1459" s="103" t="str">
        <f>IFERROR(__xludf.DUMMYFUNCTION("""COMPUTED_VALUE"""),"Negative")</f>
        <v>Negative</v>
      </c>
      <c r="H1459" s="131" t="str">
        <f>IFERROR(__xludf.DUMMYFUNCTION("""COMPUTED_VALUE"""),"Negative")</f>
        <v>Negative</v>
      </c>
      <c r="I1459" s="468">
        <f>IFERROR(__xludf.DUMMYFUNCTION("""COMPUTED_VALUE"""),44879.0)</f>
        <v>44879</v>
      </c>
      <c r="J1459" s="470">
        <f>IFERROR(__xludf.DUMMYFUNCTION("""COMPUTED_VALUE"""),0.4849189814814815)</f>
        <v>0.4849189815</v>
      </c>
      <c r="K1459" s="16"/>
      <c r="L1459" s="8"/>
      <c r="M1459" s="69"/>
      <c r="N1459" s="69">
        <f>IFERROR(__xludf.DUMMYFUNCTION("""COMPUTED_VALUE"""),2.0)</f>
        <v>2</v>
      </c>
      <c r="O1459" s="69" t="str">
        <f t="shared" si="3"/>
        <v/>
      </c>
      <c r="P1459" s="471">
        <f>IFERROR(__xludf.DUMMYFUNCTION("""COMPUTED_VALUE"""),0.0)</f>
        <v>0</v>
      </c>
      <c r="Q1459" s="274" t="b">
        <f>VLOOKUP($B1459,'Run Reconcile'!B$2:O2488,14,FALSE)</f>
        <v>1</v>
      </c>
      <c r="R1459" s="472" t="str">
        <f t="array" ref="R1459">IF($Q1459, INDEX('Run Reconcile'!A$2:A2488,MATCH(B1459,'Run Reconcile'!B$2:B2488,0),1),IFERROR(0/0,""))</f>
        <v>RUN-FLMP_2022-11-14_APS-129</v>
      </c>
      <c r="S1459" s="473" t="str">
        <f t="shared" si="694"/>
        <v/>
      </c>
      <c r="T1459" s="473" t="str">
        <f t="shared" si="698"/>
        <v/>
      </c>
      <c r="U1459" s="275" t="str">
        <f t="array" ref="U1459">IF(ISBLANK($R1459), INDEX('Run Reconcile'!A$2:A2488, MATCH($B1459, 'Run Reconcile'!B$2:B2488, 0)+Z1459, 1), IFERROR(0/0,""))
</f>
        <v/>
      </c>
      <c r="V1459" s="474" t="str">
        <f t="shared" si="5"/>
        <v>RUN-FLMP_2022-11-14_APS-129</v>
      </c>
      <c r="Y1459" s="89" t="str">
        <f t="shared" si="1719"/>
        <v/>
      </c>
      <c r="Z1459" s="60" t="str">
        <f t="shared" si="7"/>
        <v/>
      </c>
      <c r="AA1459" s="60" t="str">
        <f t="shared" si="8"/>
        <v/>
      </c>
      <c r="AB1459" s="60" t="str">
        <f t="shared" si="9"/>
        <v/>
      </c>
      <c r="AC1459" s="30"/>
      <c r="AD1459" s="30"/>
      <c r="AE1459" s="475" t="str">
        <f>IFERROR(__xludf.DUMMYFUNCTION("""COMPUTED_VALUE"""),"FLSP")</f>
        <v>FLSP</v>
      </c>
      <c r="AF1459" s="476"/>
      <c r="AG1459" s="474" t="s">
        <v>264</v>
      </c>
      <c r="AH1459" s="138" t="str">
        <f t="shared" si="11"/>
        <v/>
      </c>
    </row>
    <row r="1460">
      <c r="A1460" s="103" t="str">
        <f>IFERROR(__xludf.DUMMYFUNCTION("""COMPUTED_VALUE"""),"AK6675")</f>
        <v>AK6675</v>
      </c>
      <c r="B1460" s="468">
        <f>IFERROR(__xludf.DUMMYFUNCTION("""COMPUTED_VALUE"""),44886.0)</f>
        <v>44886</v>
      </c>
      <c r="C1460" s="469">
        <f>IFERROR(__xludf.DUMMYFUNCTION("""COMPUTED_VALUE"""),0.35204861111111113)</f>
        <v>0.3520486111</v>
      </c>
      <c r="D1460" s="103" t="str">
        <f>IFERROR(__xludf.DUMMYFUNCTION("""COMPUTED_VALUE"""),"SpFLMP870846")</f>
        <v>SpFLMP870846</v>
      </c>
      <c r="E1460" s="103"/>
      <c r="F1460" s="103"/>
      <c r="G1460" s="103" t="str">
        <f>IFERROR(__xludf.DUMMYFUNCTION("""COMPUTED_VALUE"""),"Null")</f>
        <v>Null</v>
      </c>
      <c r="H1460" s="131" t="str">
        <f>IFERROR(__xludf.DUMMYFUNCTION("""COMPUTED_VALUE"""),"Negative")</f>
        <v>Negative</v>
      </c>
      <c r="I1460" s="468"/>
      <c r="J1460" s="16"/>
      <c r="K1460" s="16">
        <f>IFERROR(__xludf.DUMMYFUNCTION("""COMPUTED_VALUE"""),2.2)</f>
        <v>2.2</v>
      </c>
      <c r="L1460" s="8"/>
      <c r="M1460" s="69"/>
      <c r="N1460" s="69">
        <f>IFERROR(__xludf.DUMMYFUNCTION("""COMPUTED_VALUE"""),2.0)</f>
        <v>2</v>
      </c>
      <c r="O1460" s="69" t="b">
        <f t="shared" si="3"/>
        <v>1</v>
      </c>
      <c r="P1460" s="471">
        <f>IFERROR(__xludf.DUMMYFUNCTION("""COMPUTED_VALUE"""),-1.0)</f>
        <v>-1</v>
      </c>
      <c r="Q1460" s="274" t="b">
        <f>VLOOKUP($B1460,'Run Reconcile'!B$2:O2488,14,FALSE)</f>
        <v>1</v>
      </c>
      <c r="R1460" s="472" t="str">
        <f t="array" ref="R1460">IF($Q1460, INDEX('Run Reconcile'!A$2:A2488,MATCH(B1460,'Run Reconcile'!B$2:B2488,0),1),IFERROR(0/0,""))</f>
        <v>RUN-FLMP_2022-11-21_APS-130</v>
      </c>
      <c r="S1460" s="473" t="str">
        <f t="shared" si="694"/>
        <v/>
      </c>
      <c r="T1460" s="473" t="str">
        <f t="shared" si="698"/>
        <v/>
      </c>
      <c r="U1460" s="275" t="str">
        <f t="array" ref="U1460">IF(ISBLANK($R1460), INDEX('Run Reconcile'!A$2:A2488, MATCH($B1460, 'Run Reconcile'!B$2:B2488, 0)+Z1460, 1), IFERROR(0/0,""))
</f>
        <v/>
      </c>
      <c r="V1460" s="474" t="str">
        <f t="shared" si="5"/>
        <v>RUN-FLMP_2022-11-21_APS-130</v>
      </c>
      <c r="Y1460" s="89" t="str">
        <f t="shared" si="1719"/>
        <v/>
      </c>
      <c r="Z1460" s="60" t="str">
        <f t="shared" si="7"/>
        <v/>
      </c>
      <c r="AA1460" s="60" t="str">
        <f t="shared" si="8"/>
        <v/>
      </c>
      <c r="AB1460" s="60" t="str">
        <f t="shared" si="9"/>
        <v/>
      </c>
      <c r="AC1460" s="30"/>
      <c r="AD1460" s="30"/>
      <c r="AE1460" s="475" t="str">
        <f>IFERROR(__xludf.DUMMYFUNCTION("""COMPUTED_VALUE"""),"FLSP")</f>
        <v>FLSP</v>
      </c>
      <c r="AF1460" s="476"/>
      <c r="AG1460" s="474" t="s">
        <v>265</v>
      </c>
      <c r="AH1460" s="138" t="str">
        <f t="shared" si="11"/>
        <v/>
      </c>
    </row>
    <row r="1461">
      <c r="A1461" s="103" t="str">
        <f>IFERROR(__xludf.DUMMYFUNCTION("""COMPUTED_VALUE"""),"AH131")</f>
        <v>AH131</v>
      </c>
      <c r="B1461" s="468">
        <f>IFERROR(__xludf.DUMMYFUNCTION("""COMPUTED_VALUE"""),44886.0)</f>
        <v>44886</v>
      </c>
      <c r="C1461" s="469">
        <f>IFERROR(__xludf.DUMMYFUNCTION("""COMPUTED_VALUE"""),0.3677662037037037)</f>
        <v>0.3677662037</v>
      </c>
      <c r="D1461" s="103" t="str">
        <f>IFERROR(__xludf.DUMMYFUNCTION("""COMPUTED_VALUE"""),"SpFLMP684798")</f>
        <v>SpFLMP684798</v>
      </c>
      <c r="E1461" s="103"/>
      <c r="F1461" s="103"/>
      <c r="G1461" s="103" t="str">
        <f>IFERROR(__xludf.DUMMYFUNCTION("""COMPUTED_VALUE"""),"Null")</f>
        <v>Null</v>
      </c>
      <c r="H1461" s="131" t="str">
        <f>IFERROR(__xludf.DUMMYFUNCTION("""COMPUTED_VALUE"""),"Negative")</f>
        <v>Negative</v>
      </c>
      <c r="I1461" s="468"/>
      <c r="J1461" s="16"/>
      <c r="K1461" s="16">
        <f>IFERROR(__xludf.DUMMYFUNCTION("""COMPUTED_VALUE"""),2.2)</f>
        <v>2.2</v>
      </c>
      <c r="L1461" s="8"/>
      <c r="M1461" s="69"/>
      <c r="N1461" s="69">
        <f>IFERROR(__xludf.DUMMYFUNCTION("""COMPUTED_VALUE"""),2.0)</f>
        <v>2</v>
      </c>
      <c r="O1461" s="69" t="str">
        <f t="shared" si="3"/>
        <v/>
      </c>
      <c r="P1461" s="471">
        <f>IFERROR(__xludf.DUMMYFUNCTION("""COMPUTED_VALUE"""),-1.0)</f>
        <v>-1</v>
      </c>
      <c r="Q1461" s="274" t="b">
        <f>VLOOKUP($B1461,'Run Reconcile'!B$2:O2488,14,FALSE)</f>
        <v>1</v>
      </c>
      <c r="R1461" s="472" t="str">
        <f t="array" ref="R1461">IF($Q1461, INDEX('Run Reconcile'!A$2:A2488,MATCH(B1461,'Run Reconcile'!B$2:B2488,0),1),IFERROR(0/0,""))</f>
        <v>RUN-FLMP_2022-11-21_APS-130</v>
      </c>
      <c r="S1461" s="473" t="str">
        <f t="shared" si="694"/>
        <v/>
      </c>
      <c r="T1461" s="473" t="str">
        <f t="shared" si="698"/>
        <v/>
      </c>
      <c r="U1461" s="275" t="str">
        <f t="array" ref="U1461">IF(ISBLANK($R1461), INDEX('Run Reconcile'!A$2:A2488, MATCH($B1461, 'Run Reconcile'!B$2:B2488, 0)+Z1461, 1), IFERROR(0/0,""))
</f>
        <v/>
      </c>
      <c r="V1461" s="474" t="str">
        <f t="shared" si="5"/>
        <v>RUN-FLMP_2022-11-21_APS-130</v>
      </c>
      <c r="Y1461" s="89" t="str">
        <f t="shared" si="1719"/>
        <v/>
      </c>
      <c r="Z1461" s="60" t="str">
        <f t="shared" si="7"/>
        <v/>
      </c>
      <c r="AA1461" s="60" t="str">
        <f t="shared" si="8"/>
        <v/>
      </c>
      <c r="AB1461" s="60" t="str">
        <f t="shared" si="9"/>
        <v/>
      </c>
      <c r="AC1461" s="30"/>
      <c r="AD1461" s="30"/>
      <c r="AE1461" s="475" t="str">
        <f>IFERROR(__xludf.DUMMYFUNCTION("""COMPUTED_VALUE"""),"FLSP")</f>
        <v>FLSP</v>
      </c>
      <c r="AF1461" s="476"/>
      <c r="AG1461" s="474" t="s">
        <v>265</v>
      </c>
      <c r="AH1461" s="138" t="str">
        <f t="shared" si="11"/>
        <v/>
      </c>
    </row>
    <row r="1462">
      <c r="A1462" s="103" t="str">
        <f>IFERROR(__xludf.DUMMYFUNCTION("""COMPUTED_VALUE"""),"AH990")</f>
        <v>AH990</v>
      </c>
      <c r="B1462" s="468">
        <f>IFERROR(__xludf.DUMMYFUNCTION("""COMPUTED_VALUE"""),44886.0)</f>
        <v>44886</v>
      </c>
      <c r="C1462" s="469">
        <f>IFERROR(__xludf.DUMMYFUNCTION("""COMPUTED_VALUE"""),0.4064583333333333)</f>
        <v>0.4064583333</v>
      </c>
      <c r="D1462" s="103" t="str">
        <f>IFERROR(__xludf.DUMMYFUNCTION("""COMPUTED_VALUE"""),"SpFLMP120998")</f>
        <v>SpFLMP120998</v>
      </c>
      <c r="E1462" s="103"/>
      <c r="F1462" s="103"/>
      <c r="G1462" s="103" t="str">
        <f>IFERROR(__xludf.DUMMYFUNCTION("""COMPUTED_VALUE"""),"Null")</f>
        <v>Null</v>
      </c>
      <c r="H1462" s="131" t="str">
        <f>IFERROR(__xludf.DUMMYFUNCTION("""COMPUTED_VALUE"""),"Negative")</f>
        <v>Negative</v>
      </c>
      <c r="I1462" s="468"/>
      <c r="J1462" s="16"/>
      <c r="K1462" s="16">
        <f>IFERROR(__xludf.DUMMYFUNCTION("""COMPUTED_VALUE"""),2.2)</f>
        <v>2.2</v>
      </c>
      <c r="L1462" s="8"/>
      <c r="M1462" s="69"/>
      <c r="N1462" s="69">
        <f>IFERROR(__xludf.DUMMYFUNCTION("""COMPUTED_VALUE"""),1.0)</f>
        <v>1</v>
      </c>
      <c r="O1462" s="69" t="str">
        <f t="shared" si="3"/>
        <v/>
      </c>
      <c r="P1462" s="471">
        <f>IFERROR(__xludf.DUMMYFUNCTION("""COMPUTED_VALUE"""),-1.0)</f>
        <v>-1</v>
      </c>
      <c r="Q1462" s="274" t="b">
        <f>VLOOKUP($B1462,'Run Reconcile'!B$2:O2488,14,FALSE)</f>
        <v>1</v>
      </c>
      <c r="R1462" s="472" t="str">
        <f t="array" ref="R1462">IF($Q1462, INDEX('Run Reconcile'!A$2:A2488,MATCH(B1462,'Run Reconcile'!B$2:B2488,0),1),IFERROR(0/0,""))</f>
        <v>RUN-FLMP_2022-11-21_APS-130</v>
      </c>
      <c r="S1462" s="473" t="str">
        <f t="shared" si="694"/>
        <v/>
      </c>
      <c r="T1462" s="473" t="str">
        <f t="shared" si="698"/>
        <v/>
      </c>
      <c r="U1462" s="275" t="str">
        <f t="array" ref="U1462">IF(ISBLANK($R1462), INDEX('Run Reconcile'!A$2:A2488, MATCH($B1462, 'Run Reconcile'!B$2:B2488, 0)+Z1462, 1), IFERROR(0/0,""))
</f>
        <v/>
      </c>
      <c r="V1462" s="474" t="str">
        <f t="shared" si="5"/>
        <v>RUN-FLMP_2022-11-21_APS-130</v>
      </c>
      <c r="Y1462" s="89" t="str">
        <f t="shared" si="1719"/>
        <v/>
      </c>
      <c r="Z1462" s="60" t="str">
        <f t="shared" si="7"/>
        <v/>
      </c>
      <c r="AA1462" s="60" t="str">
        <f t="shared" si="8"/>
        <v/>
      </c>
      <c r="AB1462" s="60" t="str">
        <f t="shared" si="9"/>
        <v/>
      </c>
      <c r="AC1462" s="30"/>
      <c r="AD1462" s="30"/>
      <c r="AE1462" s="475" t="str">
        <f>IFERROR(__xludf.DUMMYFUNCTION("""COMPUTED_VALUE"""),"FLSP")</f>
        <v>FLSP</v>
      </c>
      <c r="AF1462" s="476"/>
      <c r="AG1462" s="474" t="s">
        <v>265</v>
      </c>
      <c r="AH1462" s="138" t="str">
        <f t="shared" si="11"/>
        <v/>
      </c>
    </row>
    <row r="1463">
      <c r="A1463" s="103" t="str">
        <f>IFERROR(__xludf.DUMMYFUNCTION("""COMPUTED_VALUE"""),"AJ7671")</f>
        <v>AJ7671</v>
      </c>
      <c r="B1463" s="468">
        <f>IFERROR(__xludf.DUMMYFUNCTION("""COMPUTED_VALUE"""),44894.0)</f>
        <v>44894</v>
      </c>
      <c r="C1463" s="469">
        <f>IFERROR(__xludf.DUMMYFUNCTION("""COMPUTED_VALUE"""),0.3490625)</f>
        <v>0.3490625</v>
      </c>
      <c r="D1463" s="103" t="str">
        <f>IFERROR(__xludf.DUMMYFUNCTION("""COMPUTED_VALUE"""),"SpFLMP659315")</f>
        <v>SpFLMP659315</v>
      </c>
      <c r="E1463" s="103"/>
      <c r="F1463" s="103"/>
      <c r="G1463" s="103" t="str">
        <f>IFERROR(__xludf.DUMMYFUNCTION("""COMPUTED_VALUE"""),"Negative")</f>
        <v>Negative</v>
      </c>
      <c r="H1463" s="131" t="str">
        <f>IFERROR(__xludf.DUMMYFUNCTION("""COMPUTED_VALUE"""),"Negative")</f>
        <v>Negative</v>
      </c>
      <c r="I1463" s="468">
        <f>IFERROR(__xludf.DUMMYFUNCTION("""COMPUTED_VALUE"""),44910.0)</f>
        <v>44910</v>
      </c>
      <c r="J1463" s="470">
        <f>IFERROR(__xludf.DUMMYFUNCTION("""COMPUTED_VALUE"""),0.42042824074074076)</f>
        <v>0.4204282407</v>
      </c>
      <c r="K1463" s="16"/>
      <c r="L1463" s="8"/>
      <c r="M1463" s="69"/>
      <c r="N1463" s="69">
        <f>IFERROR(__xludf.DUMMYFUNCTION("""COMPUTED_VALUE"""),4.0)</f>
        <v>4</v>
      </c>
      <c r="O1463" s="69" t="b">
        <f t="shared" si="3"/>
        <v>1</v>
      </c>
      <c r="P1463" s="471">
        <f>IFERROR(__xludf.DUMMYFUNCTION("""COMPUTED_VALUE"""),16.0)</f>
        <v>16</v>
      </c>
      <c r="Q1463" s="274" t="b">
        <f>VLOOKUP($B1463,'Run Reconcile'!B$2:O2488,14,FALSE)</f>
        <v>1</v>
      </c>
      <c r="R1463" s="472" t="str">
        <f t="array" ref="R1463">IF($Q1463, INDEX('Run Reconcile'!A$2:A2488,MATCH(B1463,'Run Reconcile'!B$2:B2488,0),1),IFERROR(0/0,""))</f>
        <v>RUN-FLMP_2022-11-29_APS-131</v>
      </c>
      <c r="S1463" s="473" t="str">
        <f t="shared" si="694"/>
        <v/>
      </c>
      <c r="T1463" s="473" t="str">
        <f t="shared" si="698"/>
        <v/>
      </c>
      <c r="U1463" s="275" t="str">
        <f t="array" ref="U1463">IF(ISBLANK($R1463), INDEX('Run Reconcile'!A$2:A2488, MATCH($B1463, 'Run Reconcile'!B$2:B2488, 0)+Z1463, 1), IFERROR(0/0,""))
</f>
        <v/>
      </c>
      <c r="V1463" s="474" t="str">
        <f t="shared" si="5"/>
        <v>RUN-FLMP_2022-11-29_APS-131</v>
      </c>
      <c r="Y1463" s="89" t="str">
        <f t="shared" si="1719"/>
        <v/>
      </c>
      <c r="Z1463" s="60" t="str">
        <f t="shared" si="7"/>
        <v/>
      </c>
      <c r="AA1463" s="60" t="str">
        <f t="shared" si="8"/>
        <v/>
      </c>
      <c r="AB1463" s="60" t="str">
        <f t="shared" si="9"/>
        <v/>
      </c>
      <c r="AC1463" s="30"/>
      <c r="AD1463" s="30"/>
      <c r="AE1463" s="475" t="str">
        <f>IFERROR(__xludf.DUMMYFUNCTION("""COMPUTED_VALUE"""),"FLSP")</f>
        <v>FLSP</v>
      </c>
      <c r="AF1463" s="476"/>
      <c r="AG1463" s="474" t="s">
        <v>266</v>
      </c>
      <c r="AH1463" s="138" t="str">
        <f t="shared" si="11"/>
        <v/>
      </c>
    </row>
    <row r="1464">
      <c r="A1464" s="103" t="str">
        <f>IFERROR(__xludf.DUMMYFUNCTION("""COMPUTED_VALUE"""),"AH7360")</f>
        <v>AH7360</v>
      </c>
      <c r="B1464" s="468">
        <f>IFERROR(__xludf.DUMMYFUNCTION("""COMPUTED_VALUE"""),44894.0)</f>
        <v>44894</v>
      </c>
      <c r="C1464" s="469">
        <f>IFERROR(__xludf.DUMMYFUNCTION("""COMPUTED_VALUE"""),0.399837962962963)</f>
        <v>0.399837963</v>
      </c>
      <c r="D1464" s="103" t="str">
        <f>IFERROR(__xludf.DUMMYFUNCTION("""COMPUTED_VALUE"""),"SpFLMP870846")</f>
        <v>SpFLMP870846</v>
      </c>
      <c r="E1464" s="103"/>
      <c r="F1464" s="103"/>
      <c r="G1464" s="103" t="str">
        <f>IFERROR(__xludf.DUMMYFUNCTION("""COMPUTED_VALUE"""),"Negative")</f>
        <v>Negative</v>
      </c>
      <c r="H1464" s="131" t="str">
        <f>IFERROR(__xludf.DUMMYFUNCTION("""COMPUTED_VALUE"""),"Negative")</f>
        <v>Negative</v>
      </c>
      <c r="I1464" s="468">
        <f>IFERROR(__xludf.DUMMYFUNCTION("""COMPUTED_VALUE"""),44910.0)</f>
        <v>44910</v>
      </c>
      <c r="J1464" s="470">
        <f>IFERROR(__xludf.DUMMYFUNCTION("""COMPUTED_VALUE"""),0.4204398148148148)</f>
        <v>0.4204398148</v>
      </c>
      <c r="K1464" s="16"/>
      <c r="L1464" s="8"/>
      <c r="M1464" s="69"/>
      <c r="N1464" s="69">
        <f>IFERROR(__xludf.DUMMYFUNCTION("""COMPUTED_VALUE"""),2.0)</f>
        <v>2</v>
      </c>
      <c r="O1464" s="69" t="str">
        <f t="shared" si="3"/>
        <v/>
      </c>
      <c r="P1464" s="471">
        <f>IFERROR(__xludf.DUMMYFUNCTION("""COMPUTED_VALUE"""),16.0)</f>
        <v>16</v>
      </c>
      <c r="Q1464" s="274" t="b">
        <f>VLOOKUP($B1464,'Run Reconcile'!B$2:O2488,14,FALSE)</f>
        <v>1</v>
      </c>
      <c r="R1464" s="472" t="str">
        <f t="array" ref="R1464">IF($Q1464, INDEX('Run Reconcile'!A$2:A2488,MATCH(B1464,'Run Reconcile'!B$2:B2488,0),1),IFERROR(0/0,""))</f>
        <v>RUN-FLMP_2022-11-29_APS-131</v>
      </c>
      <c r="S1464" s="473" t="str">
        <f t="shared" si="694"/>
        <v/>
      </c>
      <c r="T1464" s="473" t="str">
        <f t="shared" si="698"/>
        <v/>
      </c>
      <c r="U1464" s="275" t="str">
        <f t="array" ref="U1464">IF(ISBLANK($R1464), INDEX('Run Reconcile'!A$2:A2488, MATCH($B1464, 'Run Reconcile'!B$2:B2488, 0)+Z1464, 1), IFERROR(0/0,""))
</f>
        <v/>
      </c>
      <c r="V1464" s="474" t="str">
        <f t="shared" si="5"/>
        <v>RUN-FLMP_2022-11-29_APS-131</v>
      </c>
      <c r="Y1464" s="89" t="str">
        <f t="shared" si="1719"/>
        <v/>
      </c>
      <c r="Z1464" s="60" t="str">
        <f t="shared" si="7"/>
        <v/>
      </c>
      <c r="AA1464" s="60" t="str">
        <f t="shared" si="8"/>
        <v/>
      </c>
      <c r="AB1464" s="60" t="str">
        <f t="shared" si="9"/>
        <v/>
      </c>
      <c r="AC1464" s="30"/>
      <c r="AD1464" s="30"/>
      <c r="AE1464" s="475" t="str">
        <f>IFERROR(__xludf.DUMMYFUNCTION("""COMPUTED_VALUE"""),"FLSP")</f>
        <v>FLSP</v>
      </c>
      <c r="AF1464" s="476"/>
      <c r="AG1464" s="474" t="s">
        <v>266</v>
      </c>
      <c r="AH1464" s="138" t="str">
        <f t="shared" si="11"/>
        <v/>
      </c>
    </row>
    <row r="1465">
      <c r="A1465" s="103" t="str">
        <f>IFERROR(__xludf.DUMMYFUNCTION("""COMPUTED_VALUE"""),"AG565")</f>
        <v>AG565</v>
      </c>
      <c r="B1465" s="468">
        <f>IFERROR(__xludf.DUMMYFUNCTION("""COMPUTED_VALUE"""),44896.0)</f>
        <v>44896</v>
      </c>
      <c r="C1465" s="469">
        <f>IFERROR(__xludf.DUMMYFUNCTION("""COMPUTED_VALUE"""),0.3098148148148148)</f>
        <v>0.3098148148</v>
      </c>
      <c r="D1465" s="103" t="str">
        <f>IFERROR(__xludf.DUMMYFUNCTION("""COMPUTED_VALUE"""),"SpFLMP659315")</f>
        <v>SpFLMP659315</v>
      </c>
      <c r="E1465" s="103"/>
      <c r="F1465" s="103"/>
      <c r="G1465" s="103" t="str">
        <f>IFERROR(__xludf.DUMMYFUNCTION("""COMPUTED_VALUE"""),"Negative")</f>
        <v>Negative</v>
      </c>
      <c r="H1465" s="131" t="str">
        <f>IFERROR(__xludf.DUMMYFUNCTION("""COMPUTED_VALUE"""),"Negative")</f>
        <v>Negative</v>
      </c>
      <c r="I1465" s="468">
        <f>IFERROR(__xludf.DUMMYFUNCTION("""COMPUTED_VALUE"""),44910.0)</f>
        <v>44910</v>
      </c>
      <c r="J1465" s="470">
        <f>IFERROR(__xludf.DUMMYFUNCTION("""COMPUTED_VALUE"""),0.4204398148148148)</f>
        <v>0.4204398148</v>
      </c>
      <c r="K1465" s="16"/>
      <c r="L1465" s="8"/>
      <c r="M1465" s="69"/>
      <c r="N1465" s="69">
        <f>IFERROR(__xludf.DUMMYFUNCTION("""COMPUTED_VALUE"""),4.0)</f>
        <v>4</v>
      </c>
      <c r="O1465" s="69" t="b">
        <f t="shared" si="3"/>
        <v>1</v>
      </c>
      <c r="P1465" s="471">
        <f>IFERROR(__xludf.DUMMYFUNCTION("""COMPUTED_VALUE"""),14.0)</f>
        <v>14</v>
      </c>
      <c r="Q1465" s="274" t="b">
        <f>VLOOKUP($B1465,'Run Reconcile'!B$2:O2488,14,FALSE)</f>
        <v>1</v>
      </c>
      <c r="R1465" s="472" t="str">
        <f t="array" ref="R1465">IF($Q1465, INDEX('Run Reconcile'!A$2:A2488,MATCH(B1465,'Run Reconcile'!B$2:B2488,0),1),IFERROR(0/0,""))</f>
        <v>RUN-FLMP_2022-12-01_APS-132</v>
      </c>
      <c r="S1465" s="473" t="str">
        <f t="shared" si="694"/>
        <v/>
      </c>
      <c r="T1465" s="473" t="str">
        <f t="shared" si="698"/>
        <v/>
      </c>
      <c r="U1465" s="275" t="str">
        <f t="array" ref="U1465">IF(ISBLANK($R1465), INDEX('Run Reconcile'!A$2:A2488, MATCH($B1465, 'Run Reconcile'!B$2:B2488, 0)+Z1465, 1), IFERROR(0/0,""))
</f>
        <v/>
      </c>
      <c r="V1465" s="474" t="str">
        <f t="shared" si="5"/>
        <v>RUN-FLMP_2022-12-01_APS-132</v>
      </c>
      <c r="Y1465" s="89" t="str">
        <f t="shared" si="1719"/>
        <v/>
      </c>
      <c r="Z1465" s="60" t="str">
        <f t="shared" si="7"/>
        <v/>
      </c>
      <c r="AA1465" s="60" t="str">
        <f t="shared" si="8"/>
        <v/>
      </c>
      <c r="AB1465" s="60" t="str">
        <f t="shared" si="9"/>
        <v/>
      </c>
      <c r="AC1465" s="30"/>
      <c r="AD1465" s="30"/>
      <c r="AE1465" s="475" t="str">
        <f>IFERROR(__xludf.DUMMYFUNCTION("""COMPUTED_VALUE"""),"FLSP")</f>
        <v>FLSP</v>
      </c>
      <c r="AF1465" s="476"/>
      <c r="AG1465" s="474" t="s">
        <v>267</v>
      </c>
      <c r="AH1465" s="138" t="str">
        <f t="shared" si="11"/>
        <v/>
      </c>
    </row>
    <row r="1466">
      <c r="A1466" s="103" t="str">
        <f>IFERROR(__xludf.DUMMYFUNCTION("""COMPUTED_VALUE"""),"AJ36")</f>
        <v>AJ36</v>
      </c>
      <c r="B1466" s="468">
        <f>IFERROR(__xludf.DUMMYFUNCTION("""COMPUTED_VALUE"""),44896.0)</f>
        <v>44896</v>
      </c>
      <c r="C1466" s="469">
        <f>IFERROR(__xludf.DUMMYFUNCTION("""COMPUTED_VALUE"""),0.3881134259259259)</f>
        <v>0.3881134259</v>
      </c>
      <c r="D1466" s="103" t="str">
        <f>IFERROR(__xludf.DUMMYFUNCTION("""COMPUTED_VALUE"""),"SpFLMP120998")</f>
        <v>SpFLMP120998</v>
      </c>
      <c r="E1466" s="103"/>
      <c r="F1466" s="103"/>
      <c r="G1466" s="103" t="str">
        <f>IFERROR(__xludf.DUMMYFUNCTION("""COMPUTED_VALUE"""),"Negative")</f>
        <v>Negative</v>
      </c>
      <c r="H1466" s="131" t="str">
        <f>IFERROR(__xludf.DUMMYFUNCTION("""COMPUTED_VALUE"""),"Negative")</f>
        <v>Negative</v>
      </c>
      <c r="I1466" s="468">
        <f>IFERROR(__xludf.DUMMYFUNCTION("""COMPUTED_VALUE"""),44910.0)</f>
        <v>44910</v>
      </c>
      <c r="J1466" s="470">
        <f>IFERROR(__xludf.DUMMYFUNCTION("""COMPUTED_VALUE"""),0.4204398148148148)</f>
        <v>0.4204398148</v>
      </c>
      <c r="K1466" s="16"/>
      <c r="L1466" s="8"/>
      <c r="M1466" s="69"/>
      <c r="N1466" s="69">
        <f>IFERROR(__xludf.DUMMYFUNCTION("""COMPUTED_VALUE"""),1.0)</f>
        <v>1</v>
      </c>
      <c r="O1466" s="69" t="str">
        <f t="shared" si="3"/>
        <v/>
      </c>
      <c r="P1466" s="471">
        <f>IFERROR(__xludf.DUMMYFUNCTION("""COMPUTED_VALUE"""),14.0)</f>
        <v>14</v>
      </c>
      <c r="Q1466" s="274" t="b">
        <f>VLOOKUP($B1466,'Run Reconcile'!B$2:O2488,14,FALSE)</f>
        <v>1</v>
      </c>
      <c r="R1466" s="472" t="str">
        <f t="array" ref="R1466">IF($Q1466, INDEX('Run Reconcile'!A$2:A2488,MATCH(B1466,'Run Reconcile'!B$2:B2488,0),1),IFERROR(0/0,""))</f>
        <v>RUN-FLMP_2022-12-01_APS-132</v>
      </c>
      <c r="S1466" s="473" t="str">
        <f t="shared" si="694"/>
        <v/>
      </c>
      <c r="T1466" s="473" t="str">
        <f t="shared" si="698"/>
        <v/>
      </c>
      <c r="U1466" s="275" t="str">
        <f t="array" ref="U1466">IF(ISBLANK($R1466), INDEX('Run Reconcile'!A$2:A2488, MATCH($B1466, 'Run Reconcile'!B$2:B2488, 0)+Z1466, 1), IFERROR(0/0,""))
</f>
        <v/>
      </c>
      <c r="V1466" s="474" t="str">
        <f t="shared" si="5"/>
        <v>RUN-FLMP_2022-12-01_APS-132</v>
      </c>
      <c r="Y1466" s="89" t="str">
        <f t="shared" si="1719"/>
        <v/>
      </c>
      <c r="Z1466" s="60" t="str">
        <f t="shared" si="7"/>
        <v/>
      </c>
      <c r="AA1466" s="60" t="str">
        <f t="shared" si="8"/>
        <v/>
      </c>
      <c r="AB1466" s="60" t="str">
        <f t="shared" si="9"/>
        <v/>
      </c>
      <c r="AC1466" s="30"/>
      <c r="AD1466" s="30"/>
      <c r="AE1466" s="475" t="str">
        <f>IFERROR(__xludf.DUMMYFUNCTION("""COMPUTED_VALUE"""),"FLSP")</f>
        <v>FLSP</v>
      </c>
      <c r="AF1466" s="476"/>
      <c r="AG1466" s="474" t="s">
        <v>267</v>
      </c>
      <c r="AH1466" s="138" t="str">
        <f t="shared" si="11"/>
        <v/>
      </c>
    </row>
    <row r="1467">
      <c r="A1467" s="103" t="str">
        <f>IFERROR(__xludf.DUMMYFUNCTION("""COMPUTED_VALUE"""),"AG1671")</f>
        <v>AG1671</v>
      </c>
      <c r="B1467" s="468">
        <f>IFERROR(__xludf.DUMMYFUNCTION("""COMPUTED_VALUE"""),44896.0)</f>
        <v>44896</v>
      </c>
      <c r="C1467" s="469">
        <f>IFERROR(__xludf.DUMMYFUNCTION("""COMPUTED_VALUE"""),0.38981481481481484)</f>
        <v>0.3898148148</v>
      </c>
      <c r="D1467" s="103" t="str">
        <f>IFERROR(__xludf.DUMMYFUNCTION("""COMPUTED_VALUE"""),"SpFLMP870846")</f>
        <v>SpFLMP870846</v>
      </c>
      <c r="E1467" s="103"/>
      <c r="F1467" s="103"/>
      <c r="G1467" s="103" t="str">
        <f>IFERROR(__xludf.DUMMYFUNCTION("""COMPUTED_VALUE"""),"Negative")</f>
        <v>Negative</v>
      </c>
      <c r="H1467" s="131" t="str">
        <f>IFERROR(__xludf.DUMMYFUNCTION("""COMPUTED_VALUE"""),"Negative")</f>
        <v>Negative</v>
      </c>
      <c r="I1467" s="468">
        <f>IFERROR(__xludf.DUMMYFUNCTION("""COMPUTED_VALUE"""),44910.0)</f>
        <v>44910</v>
      </c>
      <c r="J1467" s="470">
        <f>IFERROR(__xludf.DUMMYFUNCTION("""COMPUTED_VALUE"""),0.4204398148148148)</f>
        <v>0.4204398148</v>
      </c>
      <c r="K1467" s="16"/>
      <c r="L1467" s="8"/>
      <c r="M1467" s="69"/>
      <c r="N1467" s="69">
        <f>IFERROR(__xludf.DUMMYFUNCTION("""COMPUTED_VALUE"""),2.0)</f>
        <v>2</v>
      </c>
      <c r="O1467" s="69" t="str">
        <f t="shared" si="3"/>
        <v/>
      </c>
      <c r="P1467" s="471">
        <f>IFERROR(__xludf.DUMMYFUNCTION("""COMPUTED_VALUE"""),14.0)</f>
        <v>14</v>
      </c>
      <c r="Q1467" s="274" t="b">
        <f>VLOOKUP($B1467,'Run Reconcile'!B$2:O2488,14,FALSE)</f>
        <v>1</v>
      </c>
      <c r="R1467" s="472" t="str">
        <f t="array" ref="R1467">IF($Q1467, INDEX('Run Reconcile'!A$2:A2488,MATCH(B1467,'Run Reconcile'!B$2:B2488,0),1),IFERROR(0/0,""))</f>
        <v>RUN-FLMP_2022-12-01_APS-132</v>
      </c>
      <c r="S1467" s="473" t="str">
        <f t="shared" si="694"/>
        <v/>
      </c>
      <c r="T1467" s="473" t="str">
        <f t="shared" si="698"/>
        <v/>
      </c>
      <c r="U1467" s="275" t="str">
        <f t="array" ref="U1467">IF(ISBLANK($R1467), INDEX('Run Reconcile'!A$2:A2488, MATCH($B1467, 'Run Reconcile'!B$2:B2488, 0)+Z1467, 1), IFERROR(0/0,""))
</f>
        <v/>
      </c>
      <c r="V1467" s="474" t="str">
        <f t="shared" si="5"/>
        <v>RUN-FLMP_2022-12-01_APS-132</v>
      </c>
      <c r="Y1467" s="89" t="str">
        <f t="shared" si="1719"/>
        <v/>
      </c>
      <c r="Z1467" s="60" t="str">
        <f t="shared" si="7"/>
        <v/>
      </c>
      <c r="AA1467" s="60" t="str">
        <f t="shared" si="8"/>
        <v/>
      </c>
      <c r="AB1467" s="60" t="str">
        <f t="shared" si="9"/>
        <v/>
      </c>
      <c r="AC1467" s="30"/>
      <c r="AD1467" s="30"/>
      <c r="AE1467" s="475" t="str">
        <f>IFERROR(__xludf.DUMMYFUNCTION("""COMPUTED_VALUE"""),"FLSP")</f>
        <v>FLSP</v>
      </c>
      <c r="AF1467" s="476"/>
      <c r="AG1467" s="474" t="s">
        <v>267</v>
      </c>
      <c r="AH1467" s="138" t="str">
        <f t="shared" si="11"/>
        <v/>
      </c>
    </row>
    <row r="1468">
      <c r="A1468" s="103" t="str">
        <f>IFERROR(__xludf.DUMMYFUNCTION("""COMPUTED_VALUE"""),"AG1767")</f>
        <v>AG1767</v>
      </c>
      <c r="B1468" s="468">
        <f>IFERROR(__xludf.DUMMYFUNCTION("""COMPUTED_VALUE"""),44903.0)</f>
        <v>44903</v>
      </c>
      <c r="C1468" s="469">
        <f>IFERROR(__xludf.DUMMYFUNCTION("""COMPUTED_VALUE"""),0.33284722222222224)</f>
        <v>0.3328472222</v>
      </c>
      <c r="D1468" s="103" t="str">
        <f>IFERROR(__xludf.DUMMYFUNCTION("""COMPUTED_VALUE"""),"SpFLMP659315")</f>
        <v>SpFLMP659315</v>
      </c>
      <c r="E1468" s="103"/>
      <c r="F1468" s="103"/>
      <c r="G1468" s="103" t="str">
        <f>IFERROR(__xludf.DUMMYFUNCTION("""COMPUTED_VALUE"""),"Null")</f>
        <v>Null</v>
      </c>
      <c r="H1468" s="131" t="str">
        <f>IFERROR(__xludf.DUMMYFUNCTION("""COMPUTED_VALUE"""),"Negative")</f>
        <v>Negative</v>
      </c>
      <c r="I1468" s="468"/>
      <c r="J1468" s="16"/>
      <c r="K1468" s="16">
        <f>IFERROR(__xludf.DUMMYFUNCTION("""COMPUTED_VALUE"""),2.2)</f>
        <v>2.2</v>
      </c>
      <c r="L1468" s="8"/>
      <c r="M1468" s="69"/>
      <c r="N1468" s="69">
        <f>IFERROR(__xludf.DUMMYFUNCTION("""COMPUTED_VALUE"""),4.0)</f>
        <v>4</v>
      </c>
      <c r="O1468" s="69" t="b">
        <f t="shared" si="3"/>
        <v>1</v>
      </c>
      <c r="P1468" s="471">
        <f>IFERROR(__xludf.DUMMYFUNCTION("""COMPUTED_VALUE"""),-1.0)</f>
        <v>-1</v>
      </c>
      <c r="Q1468" s="274" t="b">
        <f>VLOOKUP($B1468,'Run Reconcile'!B$2:O2488,14,FALSE)</f>
        <v>1</v>
      </c>
      <c r="R1468" s="472" t="str">
        <f t="array" ref="R1468">IF($Q1468, INDEX('Run Reconcile'!A$2:A2488,MATCH(B1468,'Run Reconcile'!B$2:B2488,0),1),IFERROR(0/0,""))</f>
        <v>RUN-FLMP_2022-12-08_APS-133</v>
      </c>
      <c r="S1468" s="473" t="str">
        <f t="shared" si="694"/>
        <v/>
      </c>
      <c r="T1468" s="473" t="str">
        <f t="shared" si="698"/>
        <v/>
      </c>
      <c r="U1468" s="275" t="str">
        <f t="array" ref="U1468">IF(ISBLANK($R1468), INDEX('Run Reconcile'!A$2:A2488, MATCH($B1468, 'Run Reconcile'!B$2:B2488, 0)+Z1468, 1), IFERROR(0/0,""))
</f>
        <v/>
      </c>
      <c r="V1468" s="474" t="str">
        <f t="shared" si="5"/>
        <v>RUN-FLMP_2022-12-08_APS-133</v>
      </c>
      <c r="Y1468" s="89" t="str">
        <f t="shared" si="1719"/>
        <v/>
      </c>
      <c r="Z1468" s="60" t="str">
        <f t="shared" si="7"/>
        <v/>
      </c>
      <c r="AA1468" s="60" t="str">
        <f t="shared" si="8"/>
        <v/>
      </c>
      <c r="AB1468" s="60" t="str">
        <f t="shared" si="9"/>
        <v/>
      </c>
      <c r="AC1468" s="30"/>
      <c r="AD1468" s="30"/>
      <c r="AE1468" s="475" t="str">
        <f>IFERROR(__xludf.DUMMYFUNCTION("""COMPUTED_VALUE"""),"FLSP")</f>
        <v>FLSP</v>
      </c>
      <c r="AF1468" s="476"/>
      <c r="AG1468" s="474" t="s">
        <v>268</v>
      </c>
      <c r="AH1468" s="138" t="str">
        <f t="shared" si="11"/>
        <v/>
      </c>
    </row>
    <row r="1469">
      <c r="A1469" s="103" t="str">
        <f>IFERROR(__xludf.DUMMYFUNCTION("""COMPUTED_VALUE"""),"AG1725")</f>
        <v>AG1725</v>
      </c>
      <c r="B1469" s="468">
        <f>IFERROR(__xludf.DUMMYFUNCTION("""COMPUTED_VALUE"""),44903.0)</f>
        <v>44903</v>
      </c>
      <c r="C1469" s="469">
        <f>IFERROR(__xludf.DUMMYFUNCTION("""COMPUTED_VALUE"""),0.3549421296296296)</f>
        <v>0.3549421296</v>
      </c>
      <c r="D1469" s="103" t="str">
        <f>IFERROR(__xludf.DUMMYFUNCTION("""COMPUTED_VALUE"""),"SpFLMP870846")</f>
        <v>SpFLMP870846</v>
      </c>
      <c r="E1469" s="103"/>
      <c r="F1469" s="103"/>
      <c r="G1469" s="103" t="str">
        <f>IFERROR(__xludf.DUMMYFUNCTION("""COMPUTED_VALUE"""),"Null")</f>
        <v>Null</v>
      </c>
      <c r="H1469" s="131" t="str">
        <f>IFERROR(__xludf.DUMMYFUNCTION("""COMPUTED_VALUE"""),"Negative")</f>
        <v>Negative</v>
      </c>
      <c r="I1469" s="468"/>
      <c r="J1469" s="16"/>
      <c r="K1469" s="16">
        <f>IFERROR(__xludf.DUMMYFUNCTION("""COMPUTED_VALUE"""),2.2)</f>
        <v>2.2</v>
      </c>
      <c r="L1469" s="8"/>
      <c r="M1469" s="69"/>
      <c r="N1469" s="69">
        <f>IFERROR(__xludf.DUMMYFUNCTION("""COMPUTED_VALUE"""),2.0)</f>
        <v>2</v>
      </c>
      <c r="O1469" s="69" t="str">
        <f t="shared" si="3"/>
        <v/>
      </c>
      <c r="P1469" s="471">
        <f>IFERROR(__xludf.DUMMYFUNCTION("""COMPUTED_VALUE"""),-1.0)</f>
        <v>-1</v>
      </c>
      <c r="Q1469" s="274" t="b">
        <f>VLOOKUP($B1469,'Run Reconcile'!B$2:O2488,14,FALSE)</f>
        <v>1</v>
      </c>
      <c r="R1469" s="472" t="str">
        <f t="array" ref="R1469">IF($Q1469, INDEX('Run Reconcile'!A$2:A2488,MATCH(B1469,'Run Reconcile'!B$2:B2488,0),1),IFERROR(0/0,""))</f>
        <v>RUN-FLMP_2022-12-08_APS-133</v>
      </c>
      <c r="S1469" s="473" t="str">
        <f t="shared" si="694"/>
        <v/>
      </c>
      <c r="T1469" s="473" t="str">
        <f t="shared" si="698"/>
        <v/>
      </c>
      <c r="U1469" s="275" t="str">
        <f t="array" ref="U1469">IF(ISBLANK($R1469), INDEX('Run Reconcile'!A$2:A2488, MATCH($B1469, 'Run Reconcile'!B$2:B2488, 0)+Z1469, 1), IFERROR(0/0,""))
</f>
        <v/>
      </c>
      <c r="V1469" s="474" t="str">
        <f t="shared" si="5"/>
        <v>RUN-FLMP_2022-12-08_APS-133</v>
      </c>
      <c r="Y1469" s="89" t="str">
        <f t="shared" si="1719"/>
        <v/>
      </c>
      <c r="Z1469" s="60" t="str">
        <f t="shared" si="7"/>
        <v/>
      </c>
      <c r="AA1469" s="60" t="str">
        <f t="shared" si="8"/>
        <v/>
      </c>
      <c r="AB1469" s="60" t="str">
        <f t="shared" si="9"/>
        <v/>
      </c>
      <c r="AC1469" s="30"/>
      <c r="AD1469" s="30"/>
      <c r="AE1469" s="475" t="str">
        <f>IFERROR(__xludf.DUMMYFUNCTION("""COMPUTED_VALUE"""),"FLSP")</f>
        <v>FLSP</v>
      </c>
      <c r="AF1469" s="476"/>
      <c r="AG1469" s="474" t="s">
        <v>268</v>
      </c>
      <c r="AH1469" s="138" t="str">
        <f t="shared" si="11"/>
        <v/>
      </c>
    </row>
    <row r="1470">
      <c r="A1470" s="103" t="str">
        <f>IFERROR(__xludf.DUMMYFUNCTION("""COMPUTED_VALUE"""),"AJ8514")</f>
        <v>AJ8514</v>
      </c>
      <c r="B1470" s="468">
        <f>IFERROR(__xludf.DUMMYFUNCTION("""COMPUTED_VALUE"""),44904.0)</f>
        <v>44904</v>
      </c>
      <c r="C1470" s="469">
        <f>IFERROR(__xludf.DUMMYFUNCTION("""COMPUTED_VALUE"""),0.3348726851851852)</f>
        <v>0.3348726852</v>
      </c>
      <c r="D1470" s="103" t="str">
        <f>IFERROR(__xludf.DUMMYFUNCTION("""COMPUTED_VALUE"""),"SpFLMP870846")</f>
        <v>SpFLMP870846</v>
      </c>
      <c r="E1470" s="103"/>
      <c r="F1470" s="103"/>
      <c r="G1470" s="103" t="str">
        <f>IFERROR(__xludf.DUMMYFUNCTION("""COMPUTED_VALUE"""),"Negative")</f>
        <v>Negative</v>
      </c>
      <c r="H1470" s="131" t="str">
        <f>IFERROR(__xludf.DUMMYFUNCTION("""COMPUTED_VALUE"""),"Negative")</f>
        <v>Negative</v>
      </c>
      <c r="I1470" s="468">
        <f>IFERROR(__xludf.DUMMYFUNCTION("""COMPUTED_VALUE"""),44910.0)</f>
        <v>44910</v>
      </c>
      <c r="J1470" s="470">
        <f>IFERROR(__xludf.DUMMYFUNCTION("""COMPUTED_VALUE"""),0.4204398148148148)</f>
        <v>0.4204398148</v>
      </c>
      <c r="K1470" s="16"/>
      <c r="L1470" s="8"/>
      <c r="M1470" s="69"/>
      <c r="N1470" s="69">
        <f>IFERROR(__xludf.DUMMYFUNCTION("""COMPUTED_VALUE"""),2.0)</f>
        <v>2</v>
      </c>
      <c r="O1470" s="69" t="b">
        <f t="shared" si="3"/>
        <v>1</v>
      </c>
      <c r="P1470" s="471">
        <f>IFERROR(__xludf.DUMMYFUNCTION("""COMPUTED_VALUE"""),6.0)</f>
        <v>6</v>
      </c>
      <c r="Q1470" s="274" t="b">
        <f>VLOOKUP($B1470,'Run Reconcile'!B$2:O2488,14,FALSE)</f>
        <v>1</v>
      </c>
      <c r="R1470" s="472" t="str">
        <f t="array" ref="R1470">IF($Q1470, INDEX('Run Reconcile'!A$2:A2488,MATCH(B1470,'Run Reconcile'!B$2:B2488,0),1),IFERROR(0/0,""))</f>
        <v>RUN-FLMP_2022-12-09_APS-134</v>
      </c>
      <c r="S1470" s="473" t="str">
        <f t="shared" si="694"/>
        <v/>
      </c>
      <c r="T1470" s="473" t="str">
        <f t="shared" si="698"/>
        <v/>
      </c>
      <c r="U1470" s="275" t="str">
        <f t="array" ref="U1470">IF(ISBLANK($R1470), INDEX('Run Reconcile'!A$2:A2488, MATCH($B1470, 'Run Reconcile'!B$2:B2488, 0)+Z1470, 1), IFERROR(0/0,""))
</f>
        <v/>
      </c>
      <c r="V1470" s="474" t="str">
        <f t="shared" si="5"/>
        <v>RUN-FLMP_2022-12-09_APS-134</v>
      </c>
      <c r="Y1470" s="89" t="str">
        <f t="shared" si="1719"/>
        <v/>
      </c>
      <c r="Z1470" s="60" t="str">
        <f t="shared" si="7"/>
        <v/>
      </c>
      <c r="AA1470" s="60" t="str">
        <f t="shared" si="8"/>
        <v/>
      </c>
      <c r="AB1470" s="60" t="str">
        <f t="shared" si="9"/>
        <v/>
      </c>
      <c r="AC1470" s="30"/>
      <c r="AD1470" s="30"/>
      <c r="AE1470" s="475" t="str">
        <f>IFERROR(__xludf.DUMMYFUNCTION("""COMPUTED_VALUE"""),"FLSP")</f>
        <v>FLSP</v>
      </c>
      <c r="AF1470" s="476"/>
      <c r="AG1470" s="474" t="s">
        <v>269</v>
      </c>
      <c r="AH1470" s="138" t="str">
        <f t="shared" si="11"/>
        <v/>
      </c>
    </row>
    <row r="1471">
      <c r="A1471" s="103" t="str">
        <f>IFERROR(__xludf.DUMMYFUNCTION("""COMPUTED_VALUE"""),"FLT193")</f>
        <v>FLT193</v>
      </c>
      <c r="B1471" s="468">
        <f>IFERROR(__xludf.DUMMYFUNCTION("""COMPUTED_VALUE"""),44907.0)</f>
        <v>44907</v>
      </c>
      <c r="C1471" s="469">
        <f>IFERROR(__xludf.DUMMYFUNCTION("""COMPUTED_VALUE"""),0.34625)</f>
        <v>0.34625</v>
      </c>
      <c r="D1471" s="103" t="str">
        <f>IFERROR(__xludf.DUMMYFUNCTION("""COMPUTED_VALUE"""),"SpFLMP659315")</f>
        <v>SpFLMP659315</v>
      </c>
      <c r="E1471" s="103"/>
      <c r="F1471" s="103"/>
      <c r="G1471" s="103" t="str">
        <f>IFERROR(__xludf.DUMMYFUNCTION("""COMPUTED_VALUE"""),"Negative")</f>
        <v>Negative</v>
      </c>
      <c r="H1471" s="131" t="str">
        <f>IFERROR(__xludf.DUMMYFUNCTION("""COMPUTED_VALUE"""),"Negative")</f>
        <v>Negative</v>
      </c>
      <c r="I1471" s="468">
        <f>IFERROR(__xludf.DUMMYFUNCTION("""COMPUTED_VALUE"""),44910.0)</f>
        <v>44910</v>
      </c>
      <c r="J1471" s="470">
        <f>IFERROR(__xludf.DUMMYFUNCTION("""COMPUTED_VALUE"""),0.4204398148148148)</f>
        <v>0.4204398148</v>
      </c>
      <c r="K1471" s="16"/>
      <c r="L1471" s="8"/>
      <c r="M1471" s="69"/>
      <c r="N1471" s="69">
        <f>IFERROR(__xludf.DUMMYFUNCTION("""COMPUTED_VALUE"""),4.0)</f>
        <v>4</v>
      </c>
      <c r="O1471" s="69" t="b">
        <f t="shared" si="3"/>
        <v>1</v>
      </c>
      <c r="P1471" s="471">
        <f>IFERROR(__xludf.DUMMYFUNCTION("""COMPUTED_VALUE"""),3.0)</f>
        <v>3</v>
      </c>
      <c r="Q1471" s="274" t="b">
        <f>VLOOKUP($B1471,'Run Reconcile'!B$2:O2488,14,FALSE)</f>
        <v>1</v>
      </c>
      <c r="R1471" s="472" t="str">
        <f t="array" ref="R1471">IF($Q1471, INDEX('Run Reconcile'!A$2:A2488,MATCH(B1471,'Run Reconcile'!B$2:B2488,0),1),IFERROR(0/0,""))</f>
        <v>RUN-FLMP_2022-12-12_APS-135</v>
      </c>
      <c r="S1471" s="473" t="str">
        <f t="shared" si="694"/>
        <v/>
      </c>
      <c r="T1471" s="473" t="str">
        <f t="shared" si="698"/>
        <v/>
      </c>
      <c r="U1471" s="275" t="str">
        <f t="array" ref="U1471">IF(ISBLANK($R1471), INDEX('Run Reconcile'!A$2:A2488, MATCH($B1471, 'Run Reconcile'!B$2:B2488, 0)+Z1471, 1), IFERROR(0/0,""))
</f>
        <v/>
      </c>
      <c r="V1471" s="474" t="str">
        <f t="shared" si="5"/>
        <v>RUN-FLMP_2022-12-12_APS-135</v>
      </c>
      <c r="Y1471" s="89" t="str">
        <f t="shared" si="1719"/>
        <v/>
      </c>
      <c r="Z1471" s="60" t="str">
        <f t="shared" si="7"/>
        <v/>
      </c>
      <c r="AA1471" s="60" t="str">
        <f t="shared" si="8"/>
        <v/>
      </c>
      <c r="AB1471" s="60" t="str">
        <f t="shared" si="9"/>
        <v/>
      </c>
      <c r="AC1471" s="30"/>
      <c r="AD1471" s="30"/>
      <c r="AE1471" s="475" t="str">
        <f>IFERROR(__xludf.DUMMYFUNCTION("""COMPUTED_VALUE"""),"FLSP")</f>
        <v>FLSP</v>
      </c>
      <c r="AF1471" s="476"/>
      <c r="AG1471" s="474" t="s">
        <v>270</v>
      </c>
      <c r="AH1471" s="138" t="str">
        <f t="shared" si="11"/>
        <v/>
      </c>
    </row>
    <row r="1472">
      <c r="A1472" s="103" t="str">
        <f>IFERROR(__xludf.DUMMYFUNCTION("""COMPUTED_VALUE"""),"FLT186")</f>
        <v>FLT186</v>
      </c>
      <c r="B1472" s="468">
        <f>IFERROR(__xludf.DUMMYFUNCTION("""COMPUTED_VALUE"""),44910.0)</f>
        <v>44910</v>
      </c>
      <c r="C1472" s="469">
        <f>IFERROR(__xludf.DUMMYFUNCTION("""COMPUTED_VALUE"""),0.3462384259259259)</f>
        <v>0.3462384259</v>
      </c>
      <c r="D1472" s="103" t="str">
        <f>IFERROR(__xludf.DUMMYFUNCTION("""COMPUTED_VALUE"""),"SpFLMP659315")</f>
        <v>SpFLMP659315</v>
      </c>
      <c r="E1472" s="103"/>
      <c r="F1472" s="103"/>
      <c r="G1472" s="103" t="str">
        <f>IFERROR(__xludf.DUMMYFUNCTION("""COMPUTED_VALUE"""),"Null")</f>
        <v>Null</v>
      </c>
      <c r="H1472" s="131" t="str">
        <f>IFERROR(__xludf.DUMMYFUNCTION("""COMPUTED_VALUE"""),"Negative")</f>
        <v>Negative</v>
      </c>
      <c r="I1472" s="468"/>
      <c r="J1472" s="16"/>
      <c r="K1472" s="16">
        <f>IFERROR(__xludf.DUMMYFUNCTION("""COMPUTED_VALUE"""),2.2)</f>
        <v>2.2</v>
      </c>
      <c r="L1472" s="8"/>
      <c r="M1472" s="69"/>
      <c r="N1472" s="69">
        <f>IFERROR(__xludf.DUMMYFUNCTION("""COMPUTED_VALUE"""),3.0)</f>
        <v>3</v>
      </c>
      <c r="O1472" s="69" t="b">
        <f t="shared" si="3"/>
        <v>1</v>
      </c>
      <c r="P1472" s="471">
        <f>IFERROR(__xludf.DUMMYFUNCTION("""COMPUTED_VALUE"""),-1.0)</f>
        <v>-1</v>
      </c>
      <c r="Q1472" s="274" t="b">
        <f>VLOOKUP($B1472,'Run Reconcile'!B$2:O2488,14,FALSE)</f>
        <v>1</v>
      </c>
      <c r="R1472" s="472" t="str">
        <f t="array" ref="R1472">IF($Q1472, INDEX('Run Reconcile'!A$2:A2488,MATCH(B1472,'Run Reconcile'!B$2:B2488,0),1),IFERROR(0/0,""))</f>
        <v>RUN-FLMP_2022-12-15_APS-136</v>
      </c>
      <c r="S1472" s="473" t="str">
        <f t="shared" si="694"/>
        <v/>
      </c>
      <c r="T1472" s="473" t="str">
        <f t="shared" si="698"/>
        <v/>
      </c>
      <c r="U1472" s="275" t="str">
        <f t="array" ref="U1472">IF(ISBLANK($R1472), INDEX('Run Reconcile'!A$2:A2488, MATCH($B1472, 'Run Reconcile'!B$2:B2488, 0)+Z1472, 1), IFERROR(0/0,""))
</f>
        <v/>
      </c>
      <c r="V1472" s="474" t="str">
        <f t="shared" si="5"/>
        <v>RUN-FLMP_2022-12-15_APS-136</v>
      </c>
      <c r="Y1472" s="89" t="str">
        <f t="shared" si="1719"/>
        <v/>
      </c>
      <c r="Z1472" s="60" t="str">
        <f t="shared" si="7"/>
        <v/>
      </c>
      <c r="AA1472" s="60" t="str">
        <f t="shared" si="8"/>
        <v/>
      </c>
      <c r="AB1472" s="60" t="str">
        <f t="shared" si="9"/>
        <v/>
      </c>
      <c r="AC1472" s="30"/>
      <c r="AD1472" s="30"/>
      <c r="AE1472" s="475" t="str">
        <f>IFERROR(__xludf.DUMMYFUNCTION("""COMPUTED_VALUE"""),"FLSP")</f>
        <v>FLSP</v>
      </c>
      <c r="AF1472" s="476"/>
      <c r="AG1472" s="474" t="s">
        <v>271</v>
      </c>
      <c r="AH1472" s="138" t="str">
        <f t="shared" si="11"/>
        <v/>
      </c>
    </row>
    <row r="1473">
      <c r="A1473" s="103" t="str">
        <f>IFERROR(__xludf.DUMMYFUNCTION("""COMPUTED_VALUE"""),"FLT150")</f>
        <v>FLT150</v>
      </c>
      <c r="B1473" s="468">
        <f>IFERROR(__xludf.DUMMYFUNCTION("""COMPUTED_VALUE"""),44910.0)</f>
        <v>44910</v>
      </c>
      <c r="C1473" s="469">
        <f>IFERROR(__xludf.DUMMYFUNCTION("""COMPUTED_VALUE"""),0.3469212962962963)</f>
        <v>0.3469212963</v>
      </c>
      <c r="D1473" s="103" t="str">
        <f>IFERROR(__xludf.DUMMYFUNCTION("""COMPUTED_VALUE"""),"SpFLMP659315")</f>
        <v>SpFLMP659315</v>
      </c>
      <c r="E1473" s="103"/>
      <c r="F1473" s="103"/>
      <c r="G1473" s="103" t="str">
        <f>IFERROR(__xludf.DUMMYFUNCTION("""COMPUTED_VALUE"""),"Null")</f>
        <v>Null</v>
      </c>
      <c r="H1473" s="131" t="str">
        <f>IFERROR(__xludf.DUMMYFUNCTION("""COMPUTED_VALUE"""),"Negative")</f>
        <v>Negative</v>
      </c>
      <c r="I1473" s="468"/>
      <c r="J1473" s="16"/>
      <c r="K1473" s="16">
        <f>IFERROR(__xludf.DUMMYFUNCTION("""COMPUTED_VALUE"""),2.2)</f>
        <v>2.2</v>
      </c>
      <c r="L1473" s="8"/>
      <c r="M1473" s="69"/>
      <c r="N1473" s="69">
        <f>IFERROR(__xludf.DUMMYFUNCTION("""COMPUTED_VALUE"""),2.0)</f>
        <v>2</v>
      </c>
      <c r="O1473" s="69" t="str">
        <f t="shared" si="3"/>
        <v/>
      </c>
      <c r="P1473" s="471">
        <f>IFERROR(__xludf.DUMMYFUNCTION("""COMPUTED_VALUE"""),-1.0)</f>
        <v>-1</v>
      </c>
      <c r="Q1473" s="274" t="b">
        <f>VLOOKUP($B1473,'Run Reconcile'!B$2:O2488,14,FALSE)</f>
        <v>1</v>
      </c>
      <c r="R1473" s="472" t="str">
        <f t="array" ref="R1473">IF($Q1473, INDEX('Run Reconcile'!A$2:A2488,MATCH(B1473,'Run Reconcile'!B$2:B2488,0),1),IFERROR(0/0,""))</f>
        <v>RUN-FLMP_2022-12-15_APS-136</v>
      </c>
      <c r="S1473" s="473" t="str">
        <f t="shared" si="694"/>
        <v/>
      </c>
      <c r="T1473" s="473" t="str">
        <f t="shared" si="698"/>
        <v/>
      </c>
      <c r="U1473" s="275" t="str">
        <f t="array" ref="U1473">IF(ISBLANK($R1473), INDEX('Run Reconcile'!A$2:A2488, MATCH($B1473, 'Run Reconcile'!B$2:B2488, 0)+Z1473, 1), IFERROR(0/0,""))
</f>
        <v/>
      </c>
      <c r="V1473" s="474" t="str">
        <f t="shared" si="5"/>
        <v>RUN-FLMP_2022-12-15_APS-136</v>
      </c>
      <c r="Y1473" s="89" t="str">
        <f t="shared" si="1719"/>
        <v/>
      </c>
      <c r="Z1473" s="60" t="str">
        <f t="shared" si="7"/>
        <v/>
      </c>
      <c r="AA1473" s="60" t="str">
        <f t="shared" si="8"/>
        <v/>
      </c>
      <c r="AB1473" s="60" t="str">
        <f t="shared" si="9"/>
        <v/>
      </c>
      <c r="AC1473" s="30"/>
      <c r="AD1473" s="30"/>
      <c r="AE1473" s="475" t="str">
        <f>IFERROR(__xludf.DUMMYFUNCTION("""COMPUTED_VALUE"""),"FLSP")</f>
        <v>FLSP</v>
      </c>
      <c r="AF1473" s="476"/>
      <c r="AG1473" s="474" t="s">
        <v>271</v>
      </c>
      <c r="AH1473" s="138" t="str">
        <f t="shared" si="11"/>
        <v/>
      </c>
    </row>
    <row r="1474">
      <c r="A1474" s="103" t="str">
        <f>IFERROR(__xludf.DUMMYFUNCTION("""COMPUTED_VALUE"""),"AH7754")</f>
        <v>AH7754</v>
      </c>
      <c r="B1474" s="468">
        <f>IFERROR(__xludf.DUMMYFUNCTION("""COMPUTED_VALUE"""),44910.0)</f>
        <v>44910</v>
      </c>
      <c r="C1474" s="469">
        <f>IFERROR(__xludf.DUMMYFUNCTION("""COMPUTED_VALUE"""),0.35001157407407407)</f>
        <v>0.3500115741</v>
      </c>
      <c r="D1474" s="103" t="str">
        <f>IFERROR(__xludf.DUMMYFUNCTION("""COMPUTED_VALUE"""),"SpFLMP870846")</f>
        <v>SpFLMP870846</v>
      </c>
      <c r="E1474" s="103"/>
      <c r="F1474" s="103"/>
      <c r="G1474" s="103" t="str">
        <f>IFERROR(__xludf.DUMMYFUNCTION("""COMPUTED_VALUE"""),"Null")</f>
        <v>Null</v>
      </c>
      <c r="H1474" s="131" t="str">
        <f>IFERROR(__xludf.DUMMYFUNCTION("""COMPUTED_VALUE"""),"Positive")</f>
        <v>Positive</v>
      </c>
      <c r="I1474" s="468"/>
      <c r="J1474" s="16"/>
      <c r="K1474" s="16">
        <f>IFERROR(__xludf.DUMMYFUNCTION("""COMPUTED_VALUE"""),3.0)</f>
        <v>3</v>
      </c>
      <c r="L1474" s="8" t="str">
        <f>IFERROR(__xludf.DUMMYFUNCTION("""COMPUTED_VALUE"""),"RT Dec25 - from memory that they had a positive pool which led to the Lucira and Antigen referral test right after at 10am (see RTR)")</f>
        <v>RT Dec25 - from memory that they had a positive pool which led to the Lucira and Antigen referral test right after at 10am (see RTR)</v>
      </c>
      <c r="M1474" s="69"/>
      <c r="N1474" s="69">
        <f>IFERROR(__xludf.DUMMYFUNCTION("""COMPUTED_VALUE"""),2.0)</f>
        <v>2</v>
      </c>
      <c r="O1474" s="69" t="str">
        <f t="shared" si="3"/>
        <v/>
      </c>
      <c r="P1474" s="471">
        <f>IFERROR(__xludf.DUMMYFUNCTION("""COMPUTED_VALUE"""),-1.0)</f>
        <v>-1</v>
      </c>
      <c r="Q1474" s="274" t="b">
        <f>VLOOKUP($B1474,'Run Reconcile'!B$2:O2488,14,FALSE)</f>
        <v>1</v>
      </c>
      <c r="R1474" s="472" t="str">
        <f t="array" ref="R1474">IF($Q1474, INDEX('Run Reconcile'!A$2:A2488,MATCH(B1474,'Run Reconcile'!B$2:B2488,0),1),IFERROR(0/0,""))</f>
        <v>RUN-FLMP_2022-12-15_APS-136</v>
      </c>
      <c r="S1474" s="473" t="str">
        <f t="shared" si="694"/>
        <v/>
      </c>
      <c r="T1474" s="473" t="str">
        <f t="shared" si="698"/>
        <v/>
      </c>
      <c r="U1474" s="275" t="str">
        <f t="array" ref="U1474">IF(ISBLANK($R1474), INDEX('Run Reconcile'!A$2:A2488, MATCH($B1474, 'Run Reconcile'!B$2:B2488, 0)+Z1474, 1), IFERROR(0/0,""))
</f>
        <v/>
      </c>
      <c r="V1474" s="474" t="str">
        <f t="shared" si="5"/>
        <v>RUN-FLMP_2022-12-15_APS-136</v>
      </c>
      <c r="Y1474" s="89" t="str">
        <f t="shared" si="1719"/>
        <v/>
      </c>
      <c r="Z1474" s="60" t="str">
        <f t="shared" si="7"/>
        <v/>
      </c>
      <c r="AA1474" s="60" t="str">
        <f t="shared" si="8"/>
        <v/>
      </c>
      <c r="AB1474" s="60" t="str">
        <f t="shared" si="9"/>
        <v/>
      </c>
      <c r="AC1474" s="30"/>
      <c r="AD1474" s="30"/>
      <c r="AE1474" s="475" t="str">
        <f>IFERROR(__xludf.DUMMYFUNCTION("""COMPUTED_VALUE"""),"FLSP")</f>
        <v>FLSP</v>
      </c>
      <c r="AF1474" s="476"/>
      <c r="AG1474" s="474" t="s">
        <v>271</v>
      </c>
      <c r="AH1474" s="138" t="str">
        <f t="shared" si="11"/>
        <v/>
      </c>
    </row>
    <row r="1475">
      <c r="A1475" s="103" t="str">
        <f>IFERROR(__xludf.DUMMYFUNCTION("""COMPUTED_VALUE"""),"AJ7520")</f>
        <v>AJ7520</v>
      </c>
      <c r="B1475" s="468">
        <f>IFERROR(__xludf.DUMMYFUNCTION("""COMPUTED_VALUE"""),44910.0)</f>
        <v>44910</v>
      </c>
      <c r="C1475" s="469">
        <f>IFERROR(__xludf.DUMMYFUNCTION("""COMPUTED_VALUE"""),0.39946759259259257)</f>
        <v>0.3994675926</v>
      </c>
      <c r="D1475" s="103" t="str">
        <f>IFERROR(__xludf.DUMMYFUNCTION("""COMPUTED_VALUE"""),"SpFLMP120998")</f>
        <v>SpFLMP120998</v>
      </c>
      <c r="E1475" s="103"/>
      <c r="F1475" s="103"/>
      <c r="G1475" s="103" t="str">
        <f>IFERROR(__xludf.DUMMYFUNCTION("""COMPUTED_VALUE"""),"Negative")</f>
        <v>Negative</v>
      </c>
      <c r="H1475" s="131" t="str">
        <f>IFERROR(__xludf.DUMMYFUNCTION("""COMPUTED_VALUE"""),"Negative")</f>
        <v>Negative</v>
      </c>
      <c r="I1475" s="468">
        <f>IFERROR(__xludf.DUMMYFUNCTION("""COMPUTED_VALUE"""),44910.0)</f>
        <v>44910</v>
      </c>
      <c r="J1475" s="470">
        <f>IFERROR(__xludf.DUMMYFUNCTION("""COMPUTED_VALUE"""),0.4204398148148148)</f>
        <v>0.4204398148</v>
      </c>
      <c r="K1475" s="16"/>
      <c r="L1475" s="8"/>
      <c r="M1475" s="69"/>
      <c r="N1475" s="69">
        <f>IFERROR(__xludf.DUMMYFUNCTION("""COMPUTED_VALUE"""),1.0)</f>
        <v>1</v>
      </c>
      <c r="O1475" s="69" t="str">
        <f t="shared" si="3"/>
        <v/>
      </c>
      <c r="P1475" s="471">
        <f>IFERROR(__xludf.DUMMYFUNCTION("""COMPUTED_VALUE"""),0.0)</f>
        <v>0</v>
      </c>
      <c r="Q1475" s="274" t="b">
        <f>VLOOKUP($B1475,'Run Reconcile'!B$2:O2488,14,FALSE)</f>
        <v>1</v>
      </c>
      <c r="R1475" s="472" t="str">
        <f t="array" ref="R1475">IF($Q1475, INDEX('Run Reconcile'!A$2:A2488,MATCH(B1475,'Run Reconcile'!B$2:B2488,0),1),IFERROR(0/0,""))</f>
        <v>RUN-FLMP_2022-12-15_APS-136</v>
      </c>
      <c r="S1475" s="473" t="str">
        <f t="shared" si="694"/>
        <v/>
      </c>
      <c r="T1475" s="473" t="str">
        <f t="shared" si="698"/>
        <v/>
      </c>
      <c r="U1475" s="275" t="str">
        <f t="array" ref="U1475">IF(ISBLANK($R1475), INDEX('Run Reconcile'!A$2:A2488, MATCH($B1475, 'Run Reconcile'!B$2:B2488, 0)+Z1475, 1), IFERROR(0/0,""))
</f>
        <v/>
      </c>
      <c r="V1475" s="474" t="str">
        <f t="shared" si="5"/>
        <v>RUN-FLMP_2022-12-15_APS-136</v>
      </c>
      <c r="Y1475" s="89" t="str">
        <f t="shared" si="1719"/>
        <v/>
      </c>
      <c r="Z1475" s="60" t="str">
        <f t="shared" si="7"/>
        <v/>
      </c>
      <c r="AA1475" s="60" t="str">
        <f t="shared" si="8"/>
        <v/>
      </c>
      <c r="AB1475" s="60" t="str">
        <f t="shared" si="9"/>
        <v/>
      </c>
      <c r="AC1475" s="30"/>
      <c r="AD1475" s="30"/>
      <c r="AE1475" s="475" t="str">
        <f>IFERROR(__xludf.DUMMYFUNCTION("""COMPUTED_VALUE"""),"FLSP")</f>
        <v>FLSP</v>
      </c>
      <c r="AF1475" s="476"/>
      <c r="AG1475" s="474" t="s">
        <v>271</v>
      </c>
      <c r="AH1475" s="138" t="str">
        <f t="shared" si="11"/>
        <v/>
      </c>
    </row>
    <row r="1476">
      <c r="A1476" s="103" t="str">
        <f>IFERROR(__xludf.DUMMYFUNCTION("""COMPUTED_VALUE"""),"AG2168")</f>
        <v>AG2168</v>
      </c>
      <c r="B1476" s="468">
        <f>IFERROR(__xludf.DUMMYFUNCTION("""COMPUTED_VALUE"""),44910.0)</f>
        <v>44910</v>
      </c>
      <c r="C1476" s="469">
        <f>IFERROR(__xludf.DUMMYFUNCTION("""COMPUTED_VALUE"""),0.3998726851851852)</f>
        <v>0.3998726852</v>
      </c>
      <c r="D1476" s="103" t="str">
        <f>IFERROR(__xludf.DUMMYFUNCTION("""COMPUTED_VALUE"""),"SpFLMP120998")</f>
        <v>SpFLMP120998</v>
      </c>
      <c r="E1476" s="103"/>
      <c r="F1476" s="103"/>
      <c r="G1476" s="103" t="str">
        <f>IFERROR(__xludf.DUMMYFUNCTION("""COMPUTED_VALUE"""),"Negative")</f>
        <v>Negative</v>
      </c>
      <c r="H1476" s="131" t="str">
        <f>IFERROR(__xludf.DUMMYFUNCTION("""COMPUTED_VALUE"""),"Negative")</f>
        <v>Negative</v>
      </c>
      <c r="I1476" s="468">
        <f>IFERROR(__xludf.DUMMYFUNCTION("""COMPUTED_VALUE"""),44910.0)</f>
        <v>44910</v>
      </c>
      <c r="J1476" s="470">
        <f>IFERROR(__xludf.DUMMYFUNCTION("""COMPUTED_VALUE"""),0.4204513888888889)</f>
        <v>0.4204513889</v>
      </c>
      <c r="K1476" s="16"/>
      <c r="L1476" s="8"/>
      <c r="M1476" s="69"/>
      <c r="N1476" s="69">
        <f>IFERROR(__xludf.DUMMYFUNCTION("""COMPUTED_VALUE"""),2.0)</f>
        <v>2</v>
      </c>
      <c r="O1476" s="69" t="str">
        <f t="shared" si="3"/>
        <v/>
      </c>
      <c r="P1476" s="471">
        <f>IFERROR(__xludf.DUMMYFUNCTION("""COMPUTED_VALUE"""),0.0)</f>
        <v>0</v>
      </c>
      <c r="Q1476" s="274" t="b">
        <f>VLOOKUP($B1476,'Run Reconcile'!B$2:O2488,14,FALSE)</f>
        <v>1</v>
      </c>
      <c r="R1476" s="472" t="str">
        <f t="array" ref="R1476">IF($Q1476, INDEX('Run Reconcile'!A$2:A2488,MATCH(B1476,'Run Reconcile'!B$2:B2488,0),1),IFERROR(0/0,""))</f>
        <v>RUN-FLMP_2022-12-15_APS-136</v>
      </c>
      <c r="S1476" s="473" t="str">
        <f t="shared" si="694"/>
        <v/>
      </c>
      <c r="T1476" s="473" t="str">
        <f t="shared" si="698"/>
        <v/>
      </c>
      <c r="U1476" s="275" t="str">
        <f t="array" ref="U1476">IF(ISBLANK($R1476), INDEX('Run Reconcile'!A$2:A2488, MATCH($B1476, 'Run Reconcile'!B$2:B2488, 0)+Z1476, 1), IFERROR(0/0,""))
</f>
        <v/>
      </c>
      <c r="V1476" s="474" t="str">
        <f t="shared" si="5"/>
        <v>RUN-FLMP_2022-12-15_APS-136</v>
      </c>
      <c r="Y1476" s="89" t="str">
        <f t="shared" si="1719"/>
        <v/>
      </c>
      <c r="Z1476" s="60" t="str">
        <f t="shared" si="7"/>
        <v/>
      </c>
      <c r="AA1476" s="60" t="str">
        <f t="shared" si="8"/>
        <v/>
      </c>
      <c r="AB1476" s="60" t="str">
        <f t="shared" si="9"/>
        <v/>
      </c>
      <c r="AC1476" s="30"/>
      <c r="AD1476" s="30"/>
      <c r="AE1476" s="475" t="str">
        <f>IFERROR(__xludf.DUMMYFUNCTION("""COMPUTED_VALUE"""),"FLSP")</f>
        <v>FLSP</v>
      </c>
      <c r="AF1476" s="476"/>
      <c r="AG1476" s="474" t="s">
        <v>271</v>
      </c>
      <c r="AH1476" s="138" t="str">
        <f t="shared" si="11"/>
        <v/>
      </c>
    </row>
    <row r="1477">
      <c r="A1477" s="103" t="str">
        <f>IFERROR(__xludf.DUMMYFUNCTION("""COMPUTED_VALUE"""),"FLT1120")</f>
        <v>FLT1120</v>
      </c>
      <c r="B1477" s="468">
        <f>IFERROR(__xludf.DUMMYFUNCTION("""COMPUTED_VALUE"""),44910.0)</f>
        <v>44910</v>
      </c>
      <c r="C1477" s="469">
        <f>IFERROR(__xludf.DUMMYFUNCTION("""COMPUTED_VALUE"""),0.400625)</f>
        <v>0.400625</v>
      </c>
      <c r="D1477" s="103" t="str">
        <f>IFERROR(__xludf.DUMMYFUNCTION("""COMPUTED_VALUE"""),"SpFLMP120998")</f>
        <v>SpFLMP120998</v>
      </c>
      <c r="E1477" s="103"/>
      <c r="F1477" s="103"/>
      <c r="G1477" s="103" t="str">
        <f>IFERROR(__xludf.DUMMYFUNCTION("""COMPUTED_VALUE"""),"Negative")</f>
        <v>Negative</v>
      </c>
      <c r="H1477" s="131" t="str">
        <f>IFERROR(__xludf.DUMMYFUNCTION("""COMPUTED_VALUE"""),"Negative")</f>
        <v>Negative</v>
      </c>
      <c r="I1477" s="468">
        <f>IFERROR(__xludf.DUMMYFUNCTION("""COMPUTED_VALUE"""),44910.0)</f>
        <v>44910</v>
      </c>
      <c r="J1477" s="470">
        <f>IFERROR(__xludf.DUMMYFUNCTION("""COMPUTED_VALUE"""),0.4204513888888889)</f>
        <v>0.4204513889</v>
      </c>
      <c r="K1477" s="16"/>
      <c r="L1477" s="8"/>
      <c r="M1477" s="69"/>
      <c r="N1477" s="69">
        <f>IFERROR(__xludf.DUMMYFUNCTION("""COMPUTED_VALUE"""),1.0)</f>
        <v>1</v>
      </c>
      <c r="O1477" s="69" t="str">
        <f t="shared" si="3"/>
        <v/>
      </c>
      <c r="P1477" s="471">
        <f>IFERROR(__xludf.DUMMYFUNCTION("""COMPUTED_VALUE"""),0.0)</f>
        <v>0</v>
      </c>
      <c r="Q1477" s="274" t="b">
        <f>VLOOKUP($B1477,'Run Reconcile'!B$2:O2488,14,FALSE)</f>
        <v>1</v>
      </c>
      <c r="R1477" s="472" t="str">
        <f t="array" ref="R1477">IF($Q1477, INDEX('Run Reconcile'!A$2:A2488,MATCH(B1477,'Run Reconcile'!B$2:B2488,0),1),IFERROR(0/0,""))</f>
        <v>RUN-FLMP_2022-12-15_APS-136</v>
      </c>
      <c r="S1477" s="473" t="str">
        <f t="shared" si="694"/>
        <v/>
      </c>
      <c r="T1477" s="473" t="str">
        <f t="shared" si="698"/>
        <v/>
      </c>
      <c r="U1477" s="275" t="str">
        <f t="array" ref="U1477">IF(ISBLANK($R1477), INDEX('Run Reconcile'!A$2:A2488, MATCH($B1477, 'Run Reconcile'!B$2:B2488, 0)+Z1477, 1), IFERROR(0/0,""))
</f>
        <v/>
      </c>
      <c r="V1477" s="474" t="str">
        <f t="shared" si="5"/>
        <v>RUN-FLMP_2022-12-15_APS-136</v>
      </c>
      <c r="Y1477" s="89" t="str">
        <f t="shared" si="1719"/>
        <v/>
      </c>
      <c r="Z1477" s="60" t="str">
        <f t="shared" si="7"/>
        <v/>
      </c>
      <c r="AA1477" s="60" t="str">
        <f t="shared" si="8"/>
        <v/>
      </c>
      <c r="AB1477" s="60" t="str">
        <f t="shared" si="9"/>
        <v/>
      </c>
      <c r="AC1477" s="30"/>
      <c r="AD1477" s="30"/>
      <c r="AE1477" s="475" t="str">
        <f>IFERROR(__xludf.DUMMYFUNCTION("""COMPUTED_VALUE"""),"FLSP")</f>
        <v>FLSP</v>
      </c>
      <c r="AF1477" s="476"/>
      <c r="AG1477" s="474" t="s">
        <v>271</v>
      </c>
      <c r="AH1477" s="138" t="str">
        <f t="shared" si="11"/>
        <v/>
      </c>
    </row>
    <row r="1478">
      <c r="A1478" s="103" t="str">
        <f>IFERROR(__xludf.DUMMYFUNCTION("""COMPUTED_VALUE"""),"AH446")</f>
        <v>AH446</v>
      </c>
      <c r="B1478" s="468">
        <f>IFERROR(__xludf.DUMMYFUNCTION("""COMPUTED_VALUE"""),44910.0)</f>
        <v>44910</v>
      </c>
      <c r="C1478" s="469">
        <f>IFERROR(__xludf.DUMMYFUNCTION("""COMPUTED_VALUE"""),0.4009375)</f>
        <v>0.4009375</v>
      </c>
      <c r="D1478" s="103" t="str">
        <f>IFERROR(__xludf.DUMMYFUNCTION("""COMPUTED_VALUE"""),"SpFLMP120998")</f>
        <v>SpFLMP120998</v>
      </c>
      <c r="E1478" s="103"/>
      <c r="F1478" s="103"/>
      <c r="G1478" s="103" t="str">
        <f>IFERROR(__xludf.DUMMYFUNCTION("""COMPUTED_VALUE"""),"Negative")</f>
        <v>Negative</v>
      </c>
      <c r="H1478" s="131" t="str">
        <f>IFERROR(__xludf.DUMMYFUNCTION("""COMPUTED_VALUE"""),"Negative")</f>
        <v>Negative</v>
      </c>
      <c r="I1478" s="468">
        <f>IFERROR(__xludf.DUMMYFUNCTION("""COMPUTED_VALUE"""),44910.0)</f>
        <v>44910</v>
      </c>
      <c r="J1478" s="470">
        <f>IFERROR(__xludf.DUMMYFUNCTION("""COMPUTED_VALUE"""),0.4204513888888889)</f>
        <v>0.4204513889</v>
      </c>
      <c r="K1478" s="16"/>
      <c r="L1478" s="8"/>
      <c r="M1478" s="69"/>
      <c r="N1478" s="69">
        <f>IFERROR(__xludf.DUMMYFUNCTION("""COMPUTED_VALUE"""),1.0)</f>
        <v>1</v>
      </c>
      <c r="O1478" s="69" t="str">
        <f t="shared" si="3"/>
        <v/>
      </c>
      <c r="P1478" s="471">
        <f>IFERROR(__xludf.DUMMYFUNCTION("""COMPUTED_VALUE"""),0.0)</f>
        <v>0</v>
      </c>
      <c r="Q1478" s="274" t="b">
        <f>VLOOKUP($B1478,'Run Reconcile'!B$2:O2488,14,FALSE)</f>
        <v>1</v>
      </c>
      <c r="R1478" s="472" t="str">
        <f t="array" ref="R1478">IF($Q1478, INDEX('Run Reconcile'!A$2:A2488,MATCH(B1478,'Run Reconcile'!B$2:B2488,0),1),IFERROR(0/0,""))</f>
        <v>RUN-FLMP_2022-12-15_APS-136</v>
      </c>
      <c r="S1478" s="473" t="str">
        <f t="shared" si="694"/>
        <v/>
      </c>
      <c r="T1478" s="473" t="str">
        <f t="shared" si="698"/>
        <v/>
      </c>
      <c r="U1478" s="275" t="str">
        <f t="array" ref="U1478">IF(ISBLANK($R1478), INDEX('Run Reconcile'!A$2:A2488, MATCH($B1478, 'Run Reconcile'!B$2:B2488, 0)+Z1478, 1), IFERROR(0/0,""))
</f>
        <v/>
      </c>
      <c r="V1478" s="474" t="str">
        <f t="shared" si="5"/>
        <v>RUN-FLMP_2022-12-15_APS-136</v>
      </c>
      <c r="Y1478" s="89" t="str">
        <f t="shared" si="1719"/>
        <v/>
      </c>
      <c r="Z1478" s="60" t="str">
        <f t="shared" si="7"/>
        <v/>
      </c>
      <c r="AA1478" s="60" t="str">
        <f t="shared" si="8"/>
        <v/>
      </c>
      <c r="AB1478" s="60" t="str">
        <f t="shared" si="9"/>
        <v/>
      </c>
      <c r="AC1478" s="30"/>
      <c r="AD1478" s="30"/>
      <c r="AE1478" s="475" t="str">
        <f>IFERROR(__xludf.DUMMYFUNCTION("""COMPUTED_VALUE"""),"FLSP")</f>
        <v>FLSP</v>
      </c>
      <c r="AF1478" s="476"/>
      <c r="AG1478" s="474" t="s">
        <v>271</v>
      </c>
      <c r="AH1478" s="138" t="str">
        <f t="shared" si="11"/>
        <v/>
      </c>
    </row>
    <row r="1479">
      <c r="A1479" s="103" t="str">
        <f>IFERROR(__xludf.DUMMYFUNCTION("""COMPUTED_VALUE"""),"AH9855")</f>
        <v>AH9855</v>
      </c>
      <c r="B1479" s="468">
        <f>IFERROR(__xludf.DUMMYFUNCTION("""COMPUTED_VALUE"""),44910.0)</f>
        <v>44910</v>
      </c>
      <c r="C1479" s="469">
        <f>IFERROR(__xludf.DUMMYFUNCTION("""COMPUTED_VALUE"""),0.40133101851851855)</f>
        <v>0.4013310185</v>
      </c>
      <c r="D1479" s="103" t="str">
        <f>IFERROR(__xludf.DUMMYFUNCTION("""COMPUTED_VALUE"""),"SpFLMP120998")</f>
        <v>SpFLMP120998</v>
      </c>
      <c r="E1479" s="103"/>
      <c r="F1479" s="103"/>
      <c r="G1479" s="103" t="str">
        <f>IFERROR(__xludf.DUMMYFUNCTION("""COMPUTED_VALUE"""),"Negative")</f>
        <v>Negative</v>
      </c>
      <c r="H1479" s="131" t="str">
        <f>IFERROR(__xludf.DUMMYFUNCTION("""COMPUTED_VALUE"""),"Negative")</f>
        <v>Negative</v>
      </c>
      <c r="I1479" s="468">
        <f>IFERROR(__xludf.DUMMYFUNCTION("""COMPUTED_VALUE"""),44910.0)</f>
        <v>44910</v>
      </c>
      <c r="J1479" s="470">
        <f>IFERROR(__xludf.DUMMYFUNCTION("""COMPUTED_VALUE"""),0.4204513888888889)</f>
        <v>0.4204513889</v>
      </c>
      <c r="K1479" s="16"/>
      <c r="L1479" s="8"/>
      <c r="M1479" s="69"/>
      <c r="N1479" s="69">
        <f>IFERROR(__xludf.DUMMYFUNCTION("""COMPUTED_VALUE"""),4.0)</f>
        <v>4</v>
      </c>
      <c r="O1479" s="69" t="str">
        <f t="shared" si="3"/>
        <v/>
      </c>
      <c r="P1479" s="471">
        <f>IFERROR(__xludf.DUMMYFUNCTION("""COMPUTED_VALUE"""),0.0)</f>
        <v>0</v>
      </c>
      <c r="Q1479" s="274" t="b">
        <f>VLOOKUP($B1479,'Run Reconcile'!B$2:O2488,14,FALSE)</f>
        <v>1</v>
      </c>
      <c r="R1479" s="472" t="str">
        <f t="array" ref="R1479">IF($Q1479, INDEX('Run Reconcile'!A$2:A2488,MATCH(B1479,'Run Reconcile'!B$2:B2488,0),1),IFERROR(0/0,""))</f>
        <v>RUN-FLMP_2022-12-15_APS-136</v>
      </c>
      <c r="S1479" s="473" t="str">
        <f t="shared" si="694"/>
        <v/>
      </c>
      <c r="T1479" s="473" t="str">
        <f t="shared" si="698"/>
        <v/>
      </c>
      <c r="U1479" s="275" t="str">
        <f t="array" ref="U1479">IF(ISBLANK($R1479), INDEX('Run Reconcile'!A$2:A2488, MATCH($B1479, 'Run Reconcile'!B$2:B2488, 0)+Z1479, 1), IFERROR(0/0,""))
</f>
        <v/>
      </c>
      <c r="V1479" s="474" t="str">
        <f t="shared" si="5"/>
        <v>RUN-FLMP_2022-12-15_APS-136</v>
      </c>
      <c r="Y1479" s="89" t="str">
        <f t="shared" si="1719"/>
        <v/>
      </c>
      <c r="Z1479" s="60" t="str">
        <f t="shared" si="7"/>
        <v/>
      </c>
      <c r="AA1479" s="60" t="str">
        <f t="shared" si="8"/>
        <v/>
      </c>
      <c r="AB1479" s="60" t="str">
        <f t="shared" si="9"/>
        <v/>
      </c>
      <c r="AC1479" s="30"/>
      <c r="AD1479" s="30"/>
      <c r="AE1479" s="475" t="str">
        <f>IFERROR(__xludf.DUMMYFUNCTION("""COMPUTED_VALUE"""),"FLSP")</f>
        <v>FLSP</v>
      </c>
      <c r="AF1479" s="476"/>
      <c r="AG1479" s="474" t="s">
        <v>271</v>
      </c>
      <c r="AH1479" s="138" t="str">
        <f t="shared" si="11"/>
        <v/>
      </c>
    </row>
    <row r="1480">
      <c r="A1480" s="103" t="str">
        <f>IFERROR(__xludf.DUMMYFUNCTION("""COMPUTED_VALUE"""),"AJ8886")</f>
        <v>AJ8886</v>
      </c>
      <c r="B1480" s="468">
        <f>IFERROR(__xludf.DUMMYFUNCTION("""COMPUTED_VALUE"""),44910.0)</f>
        <v>44910</v>
      </c>
      <c r="C1480" s="469">
        <f>IFERROR(__xludf.DUMMYFUNCTION("""COMPUTED_VALUE"""),0.40216435185185184)</f>
        <v>0.4021643519</v>
      </c>
      <c r="D1480" s="103" t="str">
        <f>IFERROR(__xludf.DUMMYFUNCTION("""COMPUTED_VALUE"""),"SpFLMP120998")</f>
        <v>SpFLMP120998</v>
      </c>
      <c r="E1480" s="103"/>
      <c r="F1480" s="103"/>
      <c r="G1480" s="103" t="str">
        <f>IFERROR(__xludf.DUMMYFUNCTION("""COMPUTED_VALUE"""),"Negative")</f>
        <v>Negative</v>
      </c>
      <c r="H1480" s="131" t="str">
        <f>IFERROR(__xludf.DUMMYFUNCTION("""COMPUTED_VALUE"""),"Negative")</f>
        <v>Negative</v>
      </c>
      <c r="I1480" s="468">
        <f>IFERROR(__xludf.DUMMYFUNCTION("""COMPUTED_VALUE"""),44910.0)</f>
        <v>44910</v>
      </c>
      <c r="J1480" s="470">
        <f>IFERROR(__xludf.DUMMYFUNCTION("""COMPUTED_VALUE"""),0.4204513888888889)</f>
        <v>0.4204513889</v>
      </c>
      <c r="K1480" s="16"/>
      <c r="L1480" s="8"/>
      <c r="M1480" s="69"/>
      <c r="N1480" s="69">
        <f>IFERROR(__xludf.DUMMYFUNCTION("""COMPUTED_VALUE"""),1.0)</f>
        <v>1</v>
      </c>
      <c r="O1480" s="69" t="str">
        <f t="shared" si="3"/>
        <v/>
      </c>
      <c r="P1480" s="471">
        <f>IFERROR(__xludf.DUMMYFUNCTION("""COMPUTED_VALUE"""),0.0)</f>
        <v>0</v>
      </c>
      <c r="Q1480" s="274" t="b">
        <f>VLOOKUP($B1480,'Run Reconcile'!B$2:O2488,14,FALSE)</f>
        <v>1</v>
      </c>
      <c r="R1480" s="472" t="str">
        <f t="array" ref="R1480">IF($Q1480, INDEX('Run Reconcile'!A$2:A2488,MATCH(B1480,'Run Reconcile'!B$2:B2488,0),1),IFERROR(0/0,""))</f>
        <v>RUN-FLMP_2022-12-15_APS-136</v>
      </c>
      <c r="S1480" s="473" t="str">
        <f t="shared" si="694"/>
        <v/>
      </c>
      <c r="T1480" s="473" t="str">
        <f t="shared" si="698"/>
        <v/>
      </c>
      <c r="U1480" s="275" t="str">
        <f t="array" ref="U1480">IF(ISBLANK($R1480), INDEX('Run Reconcile'!A$2:A2488, MATCH($B1480, 'Run Reconcile'!B$2:B2488, 0)+Z1480, 1), IFERROR(0/0,""))
</f>
        <v/>
      </c>
      <c r="V1480" s="474" t="str">
        <f t="shared" si="5"/>
        <v>RUN-FLMP_2022-12-15_APS-136</v>
      </c>
      <c r="Y1480" s="89" t="str">
        <f t="shared" si="1719"/>
        <v/>
      </c>
      <c r="Z1480" s="60" t="str">
        <f t="shared" si="7"/>
        <v/>
      </c>
      <c r="AA1480" s="60" t="str">
        <f t="shared" si="8"/>
        <v/>
      </c>
      <c r="AB1480" s="60" t="str">
        <f t="shared" si="9"/>
        <v/>
      </c>
      <c r="AC1480" s="30"/>
      <c r="AD1480" s="30"/>
      <c r="AE1480" s="475" t="str">
        <f>IFERROR(__xludf.DUMMYFUNCTION("""COMPUTED_VALUE"""),"FLSP")</f>
        <v>FLSP</v>
      </c>
      <c r="AF1480" s="476"/>
      <c r="AG1480" s="474" t="s">
        <v>271</v>
      </c>
      <c r="AH1480" s="138" t="str">
        <f t="shared" si="11"/>
        <v/>
      </c>
    </row>
    <row r="1481">
      <c r="A1481" s="103" t="str">
        <f>IFERROR(__xludf.DUMMYFUNCTION("""COMPUTED_VALUE"""),"AH507")</f>
        <v>AH507</v>
      </c>
      <c r="B1481" s="468">
        <f>IFERROR(__xludf.DUMMYFUNCTION("""COMPUTED_VALUE"""),44910.0)</f>
        <v>44910</v>
      </c>
      <c r="C1481" s="469">
        <f>IFERROR(__xludf.DUMMYFUNCTION("""COMPUTED_VALUE"""),0.4045486111111111)</f>
        <v>0.4045486111</v>
      </c>
      <c r="D1481" s="103" t="str">
        <f>IFERROR(__xludf.DUMMYFUNCTION("""COMPUTED_VALUE"""),"SpFLMP120998")</f>
        <v>SpFLMP120998</v>
      </c>
      <c r="E1481" s="103"/>
      <c r="F1481" s="103"/>
      <c r="G1481" s="103" t="str">
        <f>IFERROR(__xludf.DUMMYFUNCTION("""COMPUTED_VALUE"""),"Negative")</f>
        <v>Negative</v>
      </c>
      <c r="H1481" s="131" t="str">
        <f>IFERROR(__xludf.DUMMYFUNCTION("""COMPUTED_VALUE"""),"Negative")</f>
        <v>Negative</v>
      </c>
      <c r="I1481" s="468">
        <f>IFERROR(__xludf.DUMMYFUNCTION("""COMPUTED_VALUE"""),44910.0)</f>
        <v>44910</v>
      </c>
      <c r="J1481" s="470">
        <f>IFERROR(__xludf.DUMMYFUNCTION("""COMPUTED_VALUE"""),0.4204513888888889)</f>
        <v>0.4204513889</v>
      </c>
      <c r="K1481" s="16"/>
      <c r="L1481" s="8"/>
      <c r="M1481" s="69"/>
      <c r="N1481" s="69">
        <f>IFERROR(__xludf.DUMMYFUNCTION("""COMPUTED_VALUE"""),2.0)</f>
        <v>2</v>
      </c>
      <c r="O1481" s="69" t="str">
        <f t="shared" si="3"/>
        <v/>
      </c>
      <c r="P1481" s="471">
        <f>IFERROR(__xludf.DUMMYFUNCTION("""COMPUTED_VALUE"""),0.0)</f>
        <v>0</v>
      </c>
      <c r="Q1481" s="274" t="b">
        <f>VLOOKUP($B1481,'Run Reconcile'!B$2:O2488,14,FALSE)</f>
        <v>1</v>
      </c>
      <c r="R1481" s="472" t="str">
        <f t="array" ref="R1481">IF($Q1481, INDEX('Run Reconcile'!A$2:A2488,MATCH(B1481,'Run Reconcile'!B$2:B2488,0),1),IFERROR(0/0,""))</f>
        <v>RUN-FLMP_2022-12-15_APS-136</v>
      </c>
      <c r="S1481" s="473" t="str">
        <f t="shared" si="694"/>
        <v/>
      </c>
      <c r="T1481" s="473" t="str">
        <f t="shared" si="698"/>
        <v/>
      </c>
      <c r="U1481" s="275" t="str">
        <f t="array" ref="U1481">IF(ISBLANK($R1481), INDEX('Run Reconcile'!A$2:A2488, MATCH($B1481, 'Run Reconcile'!B$2:B2488, 0)+Z1481, 1), IFERROR(0/0,""))
</f>
        <v/>
      </c>
      <c r="V1481" s="474" t="str">
        <f t="shared" si="5"/>
        <v>RUN-FLMP_2022-12-15_APS-136</v>
      </c>
      <c r="Y1481" s="89" t="str">
        <f t="shared" si="1719"/>
        <v/>
      </c>
      <c r="Z1481" s="60" t="str">
        <f t="shared" si="7"/>
        <v/>
      </c>
      <c r="AA1481" s="60" t="str">
        <f t="shared" si="8"/>
        <v/>
      </c>
      <c r="AB1481" s="60" t="str">
        <f t="shared" si="9"/>
        <v/>
      </c>
      <c r="AC1481" s="30"/>
      <c r="AD1481" s="30"/>
      <c r="AE1481" s="475" t="str">
        <f>IFERROR(__xludf.DUMMYFUNCTION("""COMPUTED_VALUE"""),"FLSP")</f>
        <v>FLSP</v>
      </c>
      <c r="AF1481" s="476"/>
      <c r="AG1481" s="474" t="s">
        <v>271</v>
      </c>
      <c r="AH1481" s="138" t="str">
        <f t="shared" si="11"/>
        <v/>
      </c>
    </row>
    <row r="1482">
      <c r="A1482" s="103" t="str">
        <f>IFERROR(__xludf.DUMMYFUNCTION("""COMPUTED_VALUE"""),"FLT1551")</f>
        <v>FLT1551</v>
      </c>
      <c r="B1482" s="468">
        <f>IFERROR(__xludf.DUMMYFUNCTION("""COMPUTED_VALUE"""),44914.0)</f>
        <v>44914</v>
      </c>
      <c r="C1482" s="469">
        <f>IFERROR(__xludf.DUMMYFUNCTION("""COMPUTED_VALUE"""),0.3317361111111111)</f>
        <v>0.3317361111</v>
      </c>
      <c r="D1482" s="103" t="str">
        <f>IFERROR(__xludf.DUMMYFUNCTION("""COMPUTED_VALUE"""),"SpFLMP659315")</f>
        <v>SpFLMP659315</v>
      </c>
      <c r="E1482" s="103"/>
      <c r="F1482" s="103"/>
      <c r="G1482" s="103" t="str">
        <f>IFERROR(__xludf.DUMMYFUNCTION("""COMPUTED_VALUE"""),"Null")</f>
        <v>Null</v>
      </c>
      <c r="H1482" s="131" t="str">
        <f>IFERROR(__xludf.DUMMYFUNCTION("""COMPUTED_VALUE"""),"Negative")</f>
        <v>Negative</v>
      </c>
      <c r="I1482" s="468"/>
      <c r="J1482" s="16"/>
      <c r="K1482" s="16">
        <f>IFERROR(__xludf.DUMMYFUNCTION("""COMPUTED_VALUE"""),2.2)</f>
        <v>2.2</v>
      </c>
      <c r="L1482" s="8"/>
      <c r="M1482" s="69"/>
      <c r="N1482" s="69">
        <f>IFERROR(__xludf.DUMMYFUNCTION("""COMPUTED_VALUE"""),4.0)</f>
        <v>4</v>
      </c>
      <c r="O1482" s="69" t="b">
        <f t="shared" si="3"/>
        <v>1</v>
      </c>
      <c r="P1482" s="471">
        <f>IFERROR(__xludf.DUMMYFUNCTION("""COMPUTED_VALUE"""),-1.0)</f>
        <v>-1</v>
      </c>
      <c r="Q1482" s="274" t="b">
        <f>VLOOKUP($B1482,'Run Reconcile'!B$2:O2488,14,FALSE)</f>
        <v>1</v>
      </c>
      <c r="R1482" s="472" t="str">
        <f t="array" ref="R1482">IF($Q1482, INDEX('Run Reconcile'!A$2:A2488,MATCH(B1482,'Run Reconcile'!B$2:B2488,0),1),IFERROR(0/0,""))</f>
        <v>RUN-FLMP_2022-12-19_APS-137</v>
      </c>
      <c r="S1482" s="473" t="str">
        <f t="shared" si="694"/>
        <v/>
      </c>
      <c r="T1482" s="473" t="str">
        <f t="shared" si="698"/>
        <v/>
      </c>
      <c r="U1482" s="275" t="str">
        <f t="array" ref="U1482">IF(ISBLANK($R1482), INDEX('Run Reconcile'!A$2:A2488, MATCH($B1482, 'Run Reconcile'!B$2:B2488, 0)+Z1482, 1), IFERROR(0/0,""))
</f>
        <v/>
      </c>
      <c r="V1482" s="474" t="str">
        <f t="shared" si="5"/>
        <v>RUN-FLMP_2022-12-19_APS-137</v>
      </c>
      <c r="Y1482" s="89" t="str">
        <f t="shared" si="1719"/>
        <v/>
      </c>
      <c r="Z1482" s="60" t="str">
        <f t="shared" si="7"/>
        <v/>
      </c>
      <c r="AA1482" s="60" t="str">
        <f t="shared" si="8"/>
        <v/>
      </c>
      <c r="AB1482" s="60" t="str">
        <f t="shared" si="9"/>
        <v/>
      </c>
      <c r="AC1482" s="30"/>
      <c r="AD1482" s="30"/>
      <c r="AE1482" s="475" t="str">
        <f>IFERROR(__xludf.DUMMYFUNCTION("""COMPUTED_VALUE"""),"FLSP")</f>
        <v>FLSP</v>
      </c>
      <c r="AF1482" s="476"/>
      <c r="AG1482" s="474" t="s">
        <v>272</v>
      </c>
      <c r="AH1482" s="138" t="str">
        <f t="shared" si="11"/>
        <v/>
      </c>
    </row>
    <row r="1483">
      <c r="A1483" s="103" t="str">
        <f>IFERROR(__xludf.DUMMYFUNCTION("""COMPUTED_VALUE"""),"AK5991")</f>
        <v>AK5991</v>
      </c>
      <c r="B1483" s="468">
        <f>IFERROR(__xludf.DUMMYFUNCTION("""COMPUTED_VALUE"""),44914.0)</f>
        <v>44914</v>
      </c>
      <c r="C1483" s="469">
        <f>IFERROR(__xludf.DUMMYFUNCTION("""COMPUTED_VALUE"""),0.3423611111111111)</f>
        <v>0.3423611111</v>
      </c>
      <c r="D1483" s="103" t="str">
        <f>IFERROR(__xludf.DUMMYFUNCTION("""COMPUTED_VALUE"""),"SpFLMP870846")</f>
        <v>SpFLMP870846</v>
      </c>
      <c r="E1483" s="103"/>
      <c r="F1483" s="103"/>
      <c r="G1483" s="103" t="str">
        <f>IFERROR(__xludf.DUMMYFUNCTION("""COMPUTED_VALUE"""),"Null")</f>
        <v>Null</v>
      </c>
      <c r="H1483" s="131" t="str">
        <f>IFERROR(__xludf.DUMMYFUNCTION("""COMPUTED_VALUE"""),"Negative")</f>
        <v>Negative</v>
      </c>
      <c r="I1483" s="468"/>
      <c r="J1483" s="16"/>
      <c r="K1483" s="16">
        <f>IFERROR(__xludf.DUMMYFUNCTION("""COMPUTED_VALUE"""),2.2)</f>
        <v>2.2</v>
      </c>
      <c r="L1483" s="8"/>
      <c r="M1483" s="69"/>
      <c r="N1483" s="69">
        <f>IFERROR(__xludf.DUMMYFUNCTION("""COMPUTED_VALUE"""),2.0)</f>
        <v>2</v>
      </c>
      <c r="O1483" s="69" t="str">
        <f t="shared" si="3"/>
        <v/>
      </c>
      <c r="P1483" s="471">
        <f>IFERROR(__xludf.DUMMYFUNCTION("""COMPUTED_VALUE"""),-1.0)</f>
        <v>-1</v>
      </c>
      <c r="Q1483" s="274" t="b">
        <f>VLOOKUP($B1483,'Run Reconcile'!B$2:O2488,14,FALSE)</f>
        <v>1</v>
      </c>
      <c r="R1483" s="472" t="str">
        <f t="array" ref="R1483">IF($Q1483, INDEX('Run Reconcile'!A$2:A2488,MATCH(B1483,'Run Reconcile'!B$2:B2488,0),1),IFERROR(0/0,""))</f>
        <v>RUN-FLMP_2022-12-19_APS-137</v>
      </c>
      <c r="S1483" s="473" t="str">
        <f t="shared" si="694"/>
        <v/>
      </c>
      <c r="T1483" s="473" t="str">
        <f t="shared" si="698"/>
        <v/>
      </c>
      <c r="U1483" s="275" t="str">
        <f t="array" ref="U1483">IF(ISBLANK($R1483), INDEX('Run Reconcile'!A$2:A2488, MATCH($B1483, 'Run Reconcile'!B$2:B2488, 0)+Z1483, 1), IFERROR(0/0,""))
</f>
        <v/>
      </c>
      <c r="V1483" s="474" t="str">
        <f t="shared" si="5"/>
        <v>RUN-FLMP_2022-12-19_APS-137</v>
      </c>
      <c r="Y1483" s="89" t="str">
        <f t="shared" si="1719"/>
        <v/>
      </c>
      <c r="Z1483" s="60" t="str">
        <f t="shared" si="7"/>
        <v/>
      </c>
      <c r="AA1483" s="60" t="str">
        <f t="shared" si="8"/>
        <v/>
      </c>
      <c r="AB1483" s="60" t="str">
        <f t="shared" si="9"/>
        <v/>
      </c>
      <c r="AC1483" s="30"/>
      <c r="AD1483" s="30"/>
      <c r="AE1483" s="475" t="str">
        <f>IFERROR(__xludf.DUMMYFUNCTION("""COMPUTED_VALUE"""),"FLSP")</f>
        <v>FLSP</v>
      </c>
      <c r="AF1483" s="476"/>
      <c r="AG1483" s="474" t="s">
        <v>272</v>
      </c>
      <c r="AH1483" s="138" t="str">
        <f t="shared" si="11"/>
        <v/>
      </c>
    </row>
    <row r="1484">
      <c r="A1484" s="103" t="str">
        <f>IFERROR(__xludf.DUMMYFUNCTION("""COMPUTED_VALUE"""),"AG139")</f>
        <v>AG139</v>
      </c>
      <c r="B1484" s="468">
        <f>IFERROR(__xludf.DUMMYFUNCTION("""COMPUTED_VALUE"""),44914.0)</f>
        <v>44914</v>
      </c>
      <c r="C1484" s="469">
        <f>IFERROR(__xludf.DUMMYFUNCTION("""COMPUTED_VALUE"""),0.3807291666666667)</f>
        <v>0.3807291667</v>
      </c>
      <c r="D1484" s="103" t="str">
        <f>IFERROR(__xludf.DUMMYFUNCTION("""COMPUTED_VALUE"""),"SpFLMP120998")</f>
        <v>SpFLMP120998</v>
      </c>
      <c r="E1484" s="103"/>
      <c r="F1484" s="103"/>
      <c r="G1484" s="103" t="str">
        <f>IFERROR(__xludf.DUMMYFUNCTION("""COMPUTED_VALUE"""),"Null")</f>
        <v>Null</v>
      </c>
      <c r="H1484" s="131" t="str">
        <f>IFERROR(__xludf.DUMMYFUNCTION("""COMPUTED_VALUE"""),"Negative")</f>
        <v>Negative</v>
      </c>
      <c r="I1484" s="468"/>
      <c r="J1484" s="16"/>
      <c r="K1484" s="16">
        <f>IFERROR(__xludf.DUMMYFUNCTION("""COMPUTED_VALUE"""),2.2)</f>
        <v>2.2</v>
      </c>
      <c r="L1484" s="8"/>
      <c r="M1484" s="69"/>
      <c r="N1484" s="69">
        <f>IFERROR(__xludf.DUMMYFUNCTION("""COMPUTED_VALUE"""),1.0)</f>
        <v>1</v>
      </c>
      <c r="O1484" s="69" t="str">
        <f t="shared" si="3"/>
        <v/>
      </c>
      <c r="P1484" s="471">
        <f>IFERROR(__xludf.DUMMYFUNCTION("""COMPUTED_VALUE"""),-1.0)</f>
        <v>-1</v>
      </c>
      <c r="Q1484" s="274" t="b">
        <f>VLOOKUP($B1484,'Run Reconcile'!B$2:O2488,14,FALSE)</f>
        <v>1</v>
      </c>
      <c r="R1484" s="472" t="str">
        <f t="array" ref="R1484">IF($Q1484, INDEX('Run Reconcile'!A$2:A2488,MATCH(B1484,'Run Reconcile'!B$2:B2488,0),1),IFERROR(0/0,""))</f>
        <v>RUN-FLMP_2022-12-19_APS-137</v>
      </c>
      <c r="S1484" s="473" t="str">
        <f t="shared" si="694"/>
        <v/>
      </c>
      <c r="T1484" s="473" t="str">
        <f t="shared" si="698"/>
        <v/>
      </c>
      <c r="U1484" s="275" t="str">
        <f t="array" ref="U1484">IF(ISBLANK($R1484), INDEX('Run Reconcile'!A$2:A2488, MATCH($B1484, 'Run Reconcile'!B$2:B2488, 0)+Z1484, 1), IFERROR(0/0,""))
</f>
        <v/>
      </c>
      <c r="V1484" s="474" t="str">
        <f t="shared" si="5"/>
        <v>RUN-FLMP_2022-12-19_APS-137</v>
      </c>
      <c r="Y1484" s="89" t="str">
        <f t="shared" si="1719"/>
        <v/>
      </c>
      <c r="Z1484" s="60" t="str">
        <f t="shared" si="7"/>
        <v/>
      </c>
      <c r="AA1484" s="60" t="str">
        <f t="shared" si="8"/>
        <v/>
      </c>
      <c r="AB1484" s="60" t="str">
        <f t="shared" si="9"/>
        <v/>
      </c>
      <c r="AC1484" s="30"/>
      <c r="AD1484" s="30"/>
      <c r="AE1484" s="475" t="str">
        <f>IFERROR(__xludf.DUMMYFUNCTION("""COMPUTED_VALUE"""),"FLSP")</f>
        <v>FLSP</v>
      </c>
      <c r="AF1484" s="476"/>
      <c r="AG1484" s="474" t="s">
        <v>272</v>
      </c>
      <c r="AH1484" s="138" t="str">
        <f t="shared" si="11"/>
        <v/>
      </c>
    </row>
    <row r="1485">
      <c r="A1485" s="103" t="str">
        <f>IFERROR(__xludf.DUMMYFUNCTION("""COMPUTED_VALUE"""),"AH8350")</f>
        <v>AH8350</v>
      </c>
      <c r="B1485" s="468">
        <f>IFERROR(__xludf.DUMMYFUNCTION("""COMPUTED_VALUE"""),44914.0)</f>
        <v>44914</v>
      </c>
      <c r="C1485" s="469">
        <f>IFERROR(__xludf.DUMMYFUNCTION("""COMPUTED_VALUE"""),0.3870138888888889)</f>
        <v>0.3870138889</v>
      </c>
      <c r="D1485" s="103" t="str">
        <f>IFERROR(__xludf.DUMMYFUNCTION("""COMPUTED_VALUE"""),"SpFLMP870846")</f>
        <v>SpFLMP870846</v>
      </c>
      <c r="E1485" s="103"/>
      <c r="F1485" s="103"/>
      <c r="G1485" s="103" t="str">
        <f>IFERROR(__xludf.DUMMYFUNCTION("""COMPUTED_VALUE"""),"Null")</f>
        <v>Null</v>
      </c>
      <c r="H1485" s="131" t="str">
        <f>IFERROR(__xludf.DUMMYFUNCTION("""COMPUTED_VALUE"""),"Negative")</f>
        <v>Negative</v>
      </c>
      <c r="I1485" s="468"/>
      <c r="J1485" s="16"/>
      <c r="K1485" s="16">
        <f>IFERROR(__xludf.DUMMYFUNCTION("""COMPUTED_VALUE"""),2.2)</f>
        <v>2.2</v>
      </c>
      <c r="L1485" s="8"/>
      <c r="M1485" s="69"/>
      <c r="N1485" s="69">
        <f>IFERROR(__xludf.DUMMYFUNCTION("""COMPUTED_VALUE"""),1.0)</f>
        <v>1</v>
      </c>
      <c r="O1485" s="69" t="str">
        <f t="shared" si="3"/>
        <v/>
      </c>
      <c r="P1485" s="471">
        <f>IFERROR(__xludf.DUMMYFUNCTION("""COMPUTED_VALUE"""),-1.0)</f>
        <v>-1</v>
      </c>
      <c r="Q1485" s="274" t="b">
        <f>VLOOKUP($B1485,'Run Reconcile'!B$2:O2488,14,FALSE)</f>
        <v>1</v>
      </c>
      <c r="R1485" s="472" t="str">
        <f t="array" ref="R1485">IF($Q1485, INDEX('Run Reconcile'!A$2:A2488,MATCH(B1485,'Run Reconcile'!B$2:B2488,0),1),IFERROR(0/0,""))</f>
        <v>RUN-FLMP_2022-12-19_APS-137</v>
      </c>
      <c r="S1485" s="473" t="str">
        <f t="shared" si="694"/>
        <v/>
      </c>
      <c r="T1485" s="473" t="str">
        <f t="shared" si="698"/>
        <v/>
      </c>
      <c r="U1485" s="275" t="str">
        <f t="array" ref="U1485">IF(ISBLANK($R1485), INDEX('Run Reconcile'!A$2:A2488, MATCH($B1485, 'Run Reconcile'!B$2:B2488, 0)+Z1485, 1), IFERROR(0/0,""))
</f>
        <v/>
      </c>
      <c r="V1485" s="474" t="str">
        <f t="shared" si="5"/>
        <v>RUN-FLMP_2022-12-19_APS-137</v>
      </c>
      <c r="Y1485" s="89" t="str">
        <f t="shared" si="1719"/>
        <v/>
      </c>
      <c r="Z1485" s="60" t="str">
        <f t="shared" si="7"/>
        <v/>
      </c>
      <c r="AA1485" s="60" t="str">
        <f t="shared" si="8"/>
        <v/>
      </c>
      <c r="AB1485" s="60" t="str">
        <f t="shared" si="9"/>
        <v/>
      </c>
      <c r="AC1485" s="30"/>
      <c r="AD1485" s="30"/>
      <c r="AE1485" s="475" t="str">
        <f>IFERROR(__xludf.DUMMYFUNCTION("""COMPUTED_VALUE"""),"FLSP")</f>
        <v>FLSP</v>
      </c>
      <c r="AF1485" s="476"/>
      <c r="AG1485" s="474" t="s">
        <v>272</v>
      </c>
      <c r="AH1485" s="138" t="str">
        <f t="shared" si="11"/>
        <v/>
      </c>
    </row>
    <row r="1486">
      <c r="A1486" s="103" t="str">
        <f>IFERROR(__xludf.DUMMYFUNCTION("""COMPUTED_VALUE"""),"AH607")</f>
        <v>AH607</v>
      </c>
      <c r="B1486" s="468">
        <f>IFERROR(__xludf.DUMMYFUNCTION("""COMPUTED_VALUE"""),44914.0)</f>
        <v>44914</v>
      </c>
      <c r="C1486" s="469">
        <f>IFERROR(__xludf.DUMMYFUNCTION("""COMPUTED_VALUE"""),0.3878009259259259)</f>
        <v>0.3878009259</v>
      </c>
      <c r="D1486" s="103" t="str">
        <f>IFERROR(__xludf.DUMMYFUNCTION("""COMPUTED_VALUE"""),"SpFLMP684798")</f>
        <v>SpFLMP684798</v>
      </c>
      <c r="E1486" s="103"/>
      <c r="F1486" s="103"/>
      <c r="G1486" s="103" t="str">
        <f>IFERROR(__xludf.DUMMYFUNCTION("""COMPUTED_VALUE"""),"Null")</f>
        <v>Null</v>
      </c>
      <c r="H1486" s="131" t="str">
        <f>IFERROR(__xludf.DUMMYFUNCTION("""COMPUTED_VALUE"""),"Negative")</f>
        <v>Negative</v>
      </c>
      <c r="I1486" s="468"/>
      <c r="J1486" s="16"/>
      <c r="K1486" s="16">
        <f>IFERROR(__xludf.DUMMYFUNCTION("""COMPUTED_VALUE"""),2.2)</f>
        <v>2.2</v>
      </c>
      <c r="L1486" s="8"/>
      <c r="M1486" s="69"/>
      <c r="N1486" s="69">
        <f>IFERROR(__xludf.DUMMYFUNCTION("""COMPUTED_VALUE"""),1.0)</f>
        <v>1</v>
      </c>
      <c r="O1486" s="69" t="str">
        <f t="shared" si="3"/>
        <v/>
      </c>
      <c r="P1486" s="471">
        <f>IFERROR(__xludf.DUMMYFUNCTION("""COMPUTED_VALUE"""),-1.0)</f>
        <v>-1</v>
      </c>
      <c r="Q1486" s="274" t="b">
        <f>VLOOKUP($B1486,'Run Reconcile'!B$2:O2488,14,FALSE)</f>
        <v>1</v>
      </c>
      <c r="R1486" s="472" t="str">
        <f t="array" ref="R1486">IF($Q1486, INDEX('Run Reconcile'!A$2:A2488,MATCH(B1486,'Run Reconcile'!B$2:B2488,0),1),IFERROR(0/0,""))</f>
        <v>RUN-FLMP_2022-12-19_APS-137</v>
      </c>
      <c r="S1486" s="473" t="str">
        <f t="shared" si="694"/>
        <v/>
      </c>
      <c r="T1486" s="473" t="str">
        <f t="shared" si="698"/>
        <v/>
      </c>
      <c r="U1486" s="275" t="str">
        <f t="array" ref="U1486">IF(ISBLANK($R1486), INDEX('Run Reconcile'!A$2:A2488, MATCH($B1486, 'Run Reconcile'!B$2:B2488, 0)+Z1486, 1), IFERROR(0/0,""))
</f>
        <v/>
      </c>
      <c r="V1486" s="474" t="str">
        <f t="shared" si="5"/>
        <v>RUN-FLMP_2022-12-19_APS-137</v>
      </c>
      <c r="Y1486" s="89" t="str">
        <f t="shared" si="1719"/>
        <v/>
      </c>
      <c r="Z1486" s="60" t="str">
        <f t="shared" si="7"/>
        <v/>
      </c>
      <c r="AA1486" s="60" t="str">
        <f t="shared" si="8"/>
        <v/>
      </c>
      <c r="AB1486" s="60" t="str">
        <f t="shared" si="9"/>
        <v/>
      </c>
      <c r="AC1486" s="30"/>
      <c r="AD1486" s="30"/>
      <c r="AE1486" s="475" t="str">
        <f>IFERROR(__xludf.DUMMYFUNCTION("""COMPUTED_VALUE"""),"FLSP")</f>
        <v>FLSP</v>
      </c>
      <c r="AF1486" s="476"/>
      <c r="AG1486" s="474" t="s">
        <v>272</v>
      </c>
      <c r="AH1486" s="138" t="str">
        <f t="shared" si="11"/>
        <v/>
      </c>
    </row>
    <row r="1487">
      <c r="A1487" s="103" t="str">
        <f>IFERROR(__xludf.DUMMYFUNCTION("""COMPUTED_VALUE"""),"MA1")</f>
        <v>MA1</v>
      </c>
      <c r="B1487" s="468">
        <f>IFERROR(__xludf.DUMMYFUNCTION("""COMPUTED_VALUE"""),44915.0)</f>
        <v>44915</v>
      </c>
      <c r="C1487" s="469">
        <f>IFERROR(__xludf.DUMMYFUNCTION("""COMPUTED_VALUE"""),0.3755324074074074)</f>
        <v>0.3755324074</v>
      </c>
      <c r="D1487" s="103" t="str">
        <f>IFERROR(__xludf.DUMMYFUNCTION("""COMPUTED_VALUE"""),"SpFLMP870846")</f>
        <v>SpFLMP870846</v>
      </c>
      <c r="E1487" s="103"/>
      <c r="F1487" s="103"/>
      <c r="G1487" s="103" t="str">
        <f>IFERROR(__xludf.DUMMYFUNCTION("""COMPUTED_VALUE"""),"Null")</f>
        <v>Null</v>
      </c>
      <c r="H1487" s="131" t="str">
        <f>IFERROR(__xludf.DUMMYFUNCTION("""COMPUTED_VALUE"""),"Negative")</f>
        <v>Negative</v>
      </c>
      <c r="I1487" s="468"/>
      <c r="J1487" s="16"/>
      <c r="K1487" s="16">
        <f>IFERROR(__xludf.DUMMYFUNCTION("""COMPUTED_VALUE"""),2.2)</f>
        <v>2.2</v>
      </c>
      <c r="L1487" s="8"/>
      <c r="M1487" s="69"/>
      <c r="N1487" s="69">
        <f>IFERROR(__xludf.DUMMYFUNCTION("""COMPUTED_VALUE"""),1.0)</f>
        <v>1</v>
      </c>
      <c r="O1487" s="69" t="b">
        <f t="shared" si="3"/>
        <v>1</v>
      </c>
      <c r="P1487" s="471">
        <f>IFERROR(__xludf.DUMMYFUNCTION("""COMPUTED_VALUE"""),-1.0)</f>
        <v>-1</v>
      </c>
      <c r="Q1487" s="274" t="b">
        <f>VLOOKUP($B1487,'Run Reconcile'!B$2:O2488,14,FALSE)</f>
        <v>1</v>
      </c>
      <c r="R1487" s="472" t="str">
        <f t="array" ref="R1487">IF($Q1487, INDEX('Run Reconcile'!A$2:A2488,MATCH(B1487,'Run Reconcile'!B$2:B2488,0),1),IFERROR(0/0,""))</f>
        <v>RUN-FLMP_2022-12-20_APS-138</v>
      </c>
      <c r="S1487" s="473" t="str">
        <f t="shared" si="694"/>
        <v/>
      </c>
      <c r="T1487" s="473" t="str">
        <f t="shared" si="698"/>
        <v/>
      </c>
      <c r="U1487" s="275" t="str">
        <f t="array" ref="U1487">IF(ISBLANK($R1487), INDEX('Run Reconcile'!A$2:A2488, MATCH($B1487, 'Run Reconcile'!B$2:B2488, 0)+Z1487, 1), IFERROR(0/0,""))
</f>
        <v/>
      </c>
      <c r="V1487" s="474" t="str">
        <f t="shared" si="5"/>
        <v>RUN-FLMP_2022-12-20_APS-138</v>
      </c>
      <c r="Y1487" s="89" t="str">
        <f t="shared" si="1719"/>
        <v/>
      </c>
      <c r="Z1487" s="60" t="str">
        <f t="shared" si="7"/>
        <v/>
      </c>
      <c r="AA1487" s="60" t="str">
        <f t="shared" si="8"/>
        <v/>
      </c>
      <c r="AB1487" s="60" t="str">
        <f t="shared" si="9"/>
        <v/>
      </c>
      <c r="AC1487" s="30"/>
      <c r="AD1487" s="30"/>
      <c r="AE1487" s="475" t="str">
        <f>IFERROR(__xludf.DUMMYFUNCTION("""COMPUTED_VALUE"""),"FLSP")</f>
        <v>FLSP</v>
      </c>
      <c r="AF1487" s="476"/>
      <c r="AG1487" s="474" t="s">
        <v>273</v>
      </c>
      <c r="AH1487" s="138" t="str">
        <f t="shared" si="11"/>
        <v/>
      </c>
    </row>
    <row r="1488">
      <c r="A1488" s="103" t="str">
        <f>IFERROR(__xludf.DUMMYFUNCTION("""COMPUTED_VALUE"""),"FM4470")</f>
        <v>FM4470</v>
      </c>
      <c r="B1488" s="468">
        <f>IFERROR(__xludf.DUMMYFUNCTION("""COMPUTED_VALUE"""),44921.0)</f>
        <v>44921</v>
      </c>
      <c r="C1488" s="469">
        <f>IFERROR(__xludf.DUMMYFUNCTION("""COMPUTED_VALUE"""),0.4422685185185185)</f>
        <v>0.4422685185</v>
      </c>
      <c r="D1488" s="103" t="str">
        <f>IFERROR(__xludf.DUMMYFUNCTION("""COMPUTED_VALUE"""),"SpFLMP659315")</f>
        <v>SpFLMP659315</v>
      </c>
      <c r="E1488" s="103"/>
      <c r="F1488" s="103"/>
      <c r="G1488" s="103" t="str">
        <f>IFERROR(__xludf.DUMMYFUNCTION("""COMPUTED_VALUE"""),"Negative")</f>
        <v>Negative</v>
      </c>
      <c r="H1488" s="131" t="str">
        <f>IFERROR(__xludf.DUMMYFUNCTION("""COMPUTED_VALUE"""),"Negative")</f>
        <v>Negative</v>
      </c>
      <c r="I1488" s="468">
        <f>IFERROR(__xludf.DUMMYFUNCTION("""COMPUTED_VALUE"""),44921.0)</f>
        <v>44921</v>
      </c>
      <c r="J1488" s="470">
        <f>IFERROR(__xludf.DUMMYFUNCTION("""COMPUTED_VALUE"""),0.44450231481481484)</f>
        <v>0.4445023148</v>
      </c>
      <c r="K1488" s="16"/>
      <c r="L1488" s="8"/>
      <c r="M1488" s="69"/>
      <c r="N1488" s="69">
        <f>IFERROR(__xludf.DUMMYFUNCTION("""COMPUTED_VALUE"""),4.0)</f>
        <v>4</v>
      </c>
      <c r="O1488" s="69" t="b">
        <f t="shared" si="3"/>
        <v>1</v>
      </c>
      <c r="P1488" s="471">
        <f>IFERROR(__xludf.DUMMYFUNCTION("""COMPUTED_VALUE"""),0.0)</f>
        <v>0</v>
      </c>
      <c r="Q1488" s="274" t="b">
        <f>VLOOKUP($B1488,'Run Reconcile'!B$2:O2488,14,FALSE)</f>
        <v>1</v>
      </c>
      <c r="R1488" s="472" t="str">
        <f t="array" ref="R1488">IF($Q1488, INDEX('Run Reconcile'!A$2:A2488,MATCH(B1488,'Run Reconcile'!B$2:B2488,0),1),IFERROR(0/0,""))</f>
        <v>RUN-FLMP_2022-12-26_APS-139</v>
      </c>
      <c r="S1488" s="473" t="str">
        <f t="shared" si="694"/>
        <v/>
      </c>
      <c r="T1488" s="473" t="str">
        <f t="shared" si="698"/>
        <v/>
      </c>
      <c r="U1488" s="275" t="str">
        <f t="array" ref="U1488">IF(ISBLANK($R1488), INDEX('Run Reconcile'!A$2:A2488, MATCH($B1488, 'Run Reconcile'!B$2:B2488, 0)+Z1488, 1), IFERROR(0/0,""))
</f>
        <v/>
      </c>
      <c r="V1488" s="474" t="str">
        <f t="shared" si="5"/>
        <v>RUN-FLMP_2022-12-26_APS-139</v>
      </c>
      <c r="Y1488" s="89" t="str">
        <f t="shared" si="1719"/>
        <v/>
      </c>
      <c r="Z1488" s="60" t="str">
        <f t="shared" si="7"/>
        <v/>
      </c>
      <c r="AA1488" s="60" t="str">
        <f t="shared" si="8"/>
        <v/>
      </c>
      <c r="AB1488" s="60" t="str">
        <f t="shared" si="9"/>
        <v/>
      </c>
      <c r="AC1488" s="30"/>
      <c r="AD1488" s="30"/>
      <c r="AE1488" s="475" t="str">
        <f>IFERROR(__xludf.DUMMYFUNCTION("""COMPUTED_VALUE"""),"FLSP")</f>
        <v>FLSP</v>
      </c>
      <c r="AF1488" s="476"/>
      <c r="AG1488" s="474" t="s">
        <v>274</v>
      </c>
      <c r="AH1488" s="138" t="str">
        <f t="shared" si="11"/>
        <v/>
      </c>
    </row>
    <row r="1489">
      <c r="A1489" s="103" t="str">
        <f>IFERROR(__xludf.DUMMYFUNCTION("""COMPUTED_VALUE"""),"FM4473")</f>
        <v>FM4473</v>
      </c>
      <c r="B1489" s="468">
        <f>IFERROR(__xludf.DUMMYFUNCTION("""COMPUTED_VALUE"""),44921.0)</f>
        <v>44921</v>
      </c>
      <c r="C1489" s="469">
        <f>IFERROR(__xludf.DUMMYFUNCTION("""COMPUTED_VALUE"""),0.44309027777777776)</f>
        <v>0.4430902778</v>
      </c>
      <c r="D1489" s="103" t="str">
        <f>IFERROR(__xludf.DUMMYFUNCTION("""COMPUTED_VALUE"""),"SpFLMP659315")</f>
        <v>SpFLMP659315</v>
      </c>
      <c r="E1489" s="103"/>
      <c r="F1489" s="103"/>
      <c r="G1489" s="103" t="str">
        <f>IFERROR(__xludf.DUMMYFUNCTION("""COMPUTED_VALUE"""),"Negative")</f>
        <v>Negative</v>
      </c>
      <c r="H1489" s="131" t="str">
        <f>IFERROR(__xludf.DUMMYFUNCTION("""COMPUTED_VALUE"""),"Negative")</f>
        <v>Negative</v>
      </c>
      <c r="I1489" s="468">
        <f>IFERROR(__xludf.DUMMYFUNCTION("""COMPUTED_VALUE"""),44921.0)</f>
        <v>44921</v>
      </c>
      <c r="J1489" s="470">
        <f>IFERROR(__xludf.DUMMYFUNCTION("""COMPUTED_VALUE"""),0.44450231481481484)</f>
        <v>0.4445023148</v>
      </c>
      <c r="K1489" s="16"/>
      <c r="L1489" s="8"/>
      <c r="M1489" s="69"/>
      <c r="N1489" s="69">
        <f>IFERROR(__xludf.DUMMYFUNCTION("""COMPUTED_VALUE"""),1.0)</f>
        <v>1</v>
      </c>
      <c r="O1489" s="69" t="str">
        <f t="shared" si="3"/>
        <v/>
      </c>
      <c r="P1489" s="471">
        <f>IFERROR(__xludf.DUMMYFUNCTION("""COMPUTED_VALUE"""),0.0)</f>
        <v>0</v>
      </c>
      <c r="Q1489" s="274" t="b">
        <f>VLOOKUP($B1489,'Run Reconcile'!B$2:O2488,14,FALSE)</f>
        <v>1</v>
      </c>
      <c r="R1489" s="472" t="str">
        <f t="array" ref="R1489">IF($Q1489, INDEX('Run Reconcile'!A$2:A2488,MATCH(B1489,'Run Reconcile'!B$2:B2488,0),1),IFERROR(0/0,""))</f>
        <v>RUN-FLMP_2022-12-26_APS-139</v>
      </c>
      <c r="S1489" s="473" t="str">
        <f t="shared" si="694"/>
        <v/>
      </c>
      <c r="T1489" s="473" t="str">
        <f t="shared" si="698"/>
        <v/>
      </c>
      <c r="U1489" s="275" t="str">
        <f t="array" ref="U1489">IF(ISBLANK($R1489), INDEX('Run Reconcile'!A$2:A2488, MATCH($B1489, 'Run Reconcile'!B$2:B2488, 0)+Z1489, 1), IFERROR(0/0,""))
</f>
        <v/>
      </c>
      <c r="V1489" s="474" t="str">
        <f t="shared" si="5"/>
        <v>RUN-FLMP_2022-12-26_APS-139</v>
      </c>
      <c r="Y1489" s="89" t="str">
        <f t="shared" si="1719"/>
        <v/>
      </c>
      <c r="Z1489" s="60" t="str">
        <f t="shared" si="7"/>
        <v/>
      </c>
      <c r="AA1489" s="60" t="str">
        <f t="shared" si="8"/>
        <v/>
      </c>
      <c r="AB1489" s="60" t="str">
        <f t="shared" si="9"/>
        <v/>
      </c>
      <c r="AC1489" s="30"/>
      <c r="AD1489" s="30"/>
      <c r="AE1489" s="475" t="str">
        <f>IFERROR(__xludf.DUMMYFUNCTION("""COMPUTED_VALUE"""),"FLSP")</f>
        <v>FLSP</v>
      </c>
      <c r="AF1489" s="476"/>
      <c r="AG1489" s="474" t="s">
        <v>274</v>
      </c>
      <c r="AH1489" s="138" t="str">
        <f t="shared" si="11"/>
        <v/>
      </c>
    </row>
    <row r="1490">
      <c r="A1490" s="103" t="str">
        <f>IFERROR(__xludf.DUMMYFUNCTION("""COMPUTED_VALUE"""),"FM2021")</f>
        <v>FM2021</v>
      </c>
      <c r="B1490" s="468">
        <f>IFERROR(__xludf.DUMMYFUNCTION("""COMPUTED_VALUE"""),44921.0)</f>
        <v>44921</v>
      </c>
      <c r="C1490" s="469">
        <f>IFERROR(__xludf.DUMMYFUNCTION("""COMPUTED_VALUE"""),0.44336805555555553)</f>
        <v>0.4433680556</v>
      </c>
      <c r="D1490" s="103" t="str">
        <f>IFERROR(__xludf.DUMMYFUNCTION("""COMPUTED_VALUE"""),"SpFLMP659315")</f>
        <v>SpFLMP659315</v>
      </c>
      <c r="E1490" s="103"/>
      <c r="F1490" s="103"/>
      <c r="G1490" s="103" t="str">
        <f>IFERROR(__xludf.DUMMYFUNCTION("""COMPUTED_VALUE"""),"Negative")</f>
        <v>Negative</v>
      </c>
      <c r="H1490" s="131" t="str">
        <f>IFERROR(__xludf.DUMMYFUNCTION("""COMPUTED_VALUE"""),"Negative")</f>
        <v>Negative</v>
      </c>
      <c r="I1490" s="468">
        <f>IFERROR(__xludf.DUMMYFUNCTION("""COMPUTED_VALUE"""),44921.0)</f>
        <v>44921</v>
      </c>
      <c r="J1490" s="470">
        <f>IFERROR(__xludf.DUMMYFUNCTION("""COMPUTED_VALUE"""),0.4445138888888889)</f>
        <v>0.4445138889</v>
      </c>
      <c r="K1490" s="16"/>
      <c r="L1490" s="8"/>
      <c r="M1490" s="69"/>
      <c r="N1490" s="69">
        <f>IFERROR(__xludf.DUMMYFUNCTION("""COMPUTED_VALUE"""),1.0)</f>
        <v>1</v>
      </c>
      <c r="O1490" s="69" t="str">
        <f t="shared" si="3"/>
        <v/>
      </c>
      <c r="P1490" s="471">
        <f>IFERROR(__xludf.DUMMYFUNCTION("""COMPUTED_VALUE"""),0.0)</f>
        <v>0</v>
      </c>
      <c r="Q1490" s="274" t="b">
        <f>VLOOKUP($B1490,'Run Reconcile'!B$2:O2488,14,FALSE)</f>
        <v>1</v>
      </c>
      <c r="R1490" s="472" t="str">
        <f t="array" ref="R1490">IF($Q1490, INDEX('Run Reconcile'!A$2:A2488,MATCH(B1490,'Run Reconcile'!B$2:B2488,0),1),IFERROR(0/0,""))</f>
        <v>RUN-FLMP_2022-12-26_APS-139</v>
      </c>
      <c r="S1490" s="473" t="str">
        <f t="shared" si="694"/>
        <v/>
      </c>
      <c r="T1490" s="473" t="str">
        <f t="shared" si="698"/>
        <v/>
      </c>
      <c r="U1490" s="275" t="str">
        <f t="array" ref="U1490">IF(ISBLANK($R1490), INDEX('Run Reconcile'!A$2:A2488, MATCH($B1490, 'Run Reconcile'!B$2:B2488, 0)+Z1490, 1), IFERROR(0/0,""))
</f>
        <v/>
      </c>
      <c r="V1490" s="474" t="str">
        <f t="shared" si="5"/>
        <v>RUN-FLMP_2022-12-26_APS-139</v>
      </c>
      <c r="Y1490" s="89" t="str">
        <f t="shared" si="1719"/>
        <v/>
      </c>
      <c r="Z1490" s="60" t="str">
        <f t="shared" si="7"/>
        <v/>
      </c>
      <c r="AA1490" s="60" t="str">
        <f t="shared" si="8"/>
        <v/>
      </c>
      <c r="AB1490" s="60" t="str">
        <f t="shared" si="9"/>
        <v/>
      </c>
      <c r="AC1490" s="30"/>
      <c r="AD1490" s="30"/>
      <c r="AE1490" s="475" t="str">
        <f>IFERROR(__xludf.DUMMYFUNCTION("""COMPUTED_VALUE"""),"FLSP")</f>
        <v>FLSP</v>
      </c>
      <c r="AF1490" s="476"/>
      <c r="AG1490" s="474" t="s">
        <v>274</v>
      </c>
      <c r="AH1490" s="138" t="str">
        <f t="shared" si="11"/>
        <v/>
      </c>
    </row>
    <row r="1491">
      <c r="A1491" s="103" t="str">
        <f>IFERROR(__xludf.DUMMYFUNCTION("""COMPUTED_VALUE"""),"AG1618")</f>
        <v>AG1618</v>
      </c>
      <c r="B1491" s="468">
        <f>IFERROR(__xludf.DUMMYFUNCTION("""COMPUTED_VALUE"""),44928.0)</f>
        <v>44928</v>
      </c>
      <c r="C1491" s="469">
        <f>IFERROR(__xludf.DUMMYFUNCTION("""COMPUTED_VALUE"""),0.3589583333333333)</f>
        <v>0.3589583333</v>
      </c>
      <c r="D1491" s="103" t="str">
        <f>IFERROR(__xludf.DUMMYFUNCTION("""COMPUTED_VALUE"""),"SpFLMP870846")</f>
        <v>SpFLMP870846</v>
      </c>
      <c r="E1491" s="103"/>
      <c r="F1491" s="103"/>
      <c r="G1491" s="103" t="str">
        <f>IFERROR(__xludf.DUMMYFUNCTION("""COMPUTED_VALUE"""),"Negative")</f>
        <v>Negative</v>
      </c>
      <c r="H1491" s="131" t="str">
        <f>IFERROR(__xludf.DUMMYFUNCTION("""COMPUTED_VALUE"""),"Negative")</f>
        <v>Negative</v>
      </c>
      <c r="I1491" s="468">
        <f>IFERROR(__xludf.DUMMYFUNCTION("""COMPUTED_VALUE"""),44928.0)</f>
        <v>44928</v>
      </c>
      <c r="J1491" s="470">
        <f>IFERROR(__xludf.DUMMYFUNCTION("""COMPUTED_VALUE"""),0.5465740740740741)</f>
        <v>0.5465740741</v>
      </c>
      <c r="K1491" s="16"/>
      <c r="L1491" s="8"/>
      <c r="M1491" s="69"/>
      <c r="N1491" s="69">
        <f>IFERROR(__xludf.DUMMYFUNCTION("""COMPUTED_VALUE"""),2.0)</f>
        <v>2</v>
      </c>
      <c r="O1491" s="69" t="b">
        <f t="shared" si="3"/>
        <v>1</v>
      </c>
      <c r="P1491" s="471">
        <f>IFERROR(__xludf.DUMMYFUNCTION("""COMPUTED_VALUE"""),0.0)</f>
        <v>0</v>
      </c>
      <c r="Q1491" s="274" t="b">
        <f>VLOOKUP($B1491,'Run Reconcile'!B$2:O2488,14,FALSE)</f>
        <v>1</v>
      </c>
      <c r="R1491" s="472" t="str">
        <f t="array" ref="R1491">IF($Q1491, INDEX('Run Reconcile'!A$2:A2488,MATCH(B1491,'Run Reconcile'!B$2:B2488,0),1),IFERROR(0/0,""))</f>
        <v>RUN-FLMP_2023-01-02_APS-140</v>
      </c>
      <c r="S1491" s="473" t="str">
        <f t="shared" si="694"/>
        <v/>
      </c>
      <c r="T1491" s="473" t="str">
        <f t="shared" si="698"/>
        <v/>
      </c>
      <c r="U1491" s="275" t="str">
        <f t="array" ref="U1491">IF(ISBLANK($R1491), INDEX('Run Reconcile'!A$2:A2488, MATCH($B1491, 'Run Reconcile'!B$2:B2488, 0)+Z1491, 1), IFERROR(0/0,""))
</f>
        <v/>
      </c>
      <c r="V1491" s="474" t="str">
        <f t="shared" si="5"/>
        <v>RUN-FLMP_2023-01-02_APS-140</v>
      </c>
      <c r="Y1491" s="89" t="str">
        <f t="shared" si="1719"/>
        <v/>
      </c>
      <c r="Z1491" s="60" t="str">
        <f t="shared" si="7"/>
        <v/>
      </c>
      <c r="AA1491" s="60" t="str">
        <f t="shared" si="8"/>
        <v/>
      </c>
      <c r="AB1491" s="60" t="str">
        <f t="shared" si="9"/>
        <v/>
      </c>
      <c r="AC1491" s="30"/>
      <c r="AD1491" s="30"/>
      <c r="AE1491" s="475" t="str">
        <f>IFERROR(__xludf.DUMMYFUNCTION("""COMPUTED_VALUE"""),"FLSP")</f>
        <v>FLSP</v>
      </c>
      <c r="AF1491" s="476"/>
      <c r="AG1491" s="474" t="s">
        <v>275</v>
      </c>
      <c r="AH1491" s="138" t="str">
        <f t="shared" si="11"/>
        <v/>
      </c>
    </row>
    <row r="1492">
      <c r="A1492" s="103" t="str">
        <f>IFERROR(__xludf.DUMMYFUNCTION("""COMPUTED_VALUE"""),"AH9318")</f>
        <v>AH9318</v>
      </c>
      <c r="B1492" s="468">
        <f>IFERROR(__xludf.DUMMYFUNCTION("""COMPUTED_VALUE"""),44928.0)</f>
        <v>44928</v>
      </c>
      <c r="C1492" s="469">
        <f>IFERROR(__xludf.DUMMYFUNCTION("""COMPUTED_VALUE"""),0.5433449074074074)</f>
        <v>0.5433449074</v>
      </c>
      <c r="D1492" s="103" t="str">
        <f>IFERROR(__xludf.DUMMYFUNCTION("""COMPUTED_VALUE"""),"SpFLMP870846")</f>
        <v>SpFLMP870846</v>
      </c>
      <c r="E1492" s="103"/>
      <c r="F1492" s="103"/>
      <c r="G1492" s="103" t="str">
        <f>IFERROR(__xludf.DUMMYFUNCTION("""COMPUTED_VALUE"""),"Negative")</f>
        <v>Negative</v>
      </c>
      <c r="H1492" s="131" t="str">
        <f>IFERROR(__xludf.DUMMYFUNCTION("""COMPUTED_VALUE"""),"Negative")</f>
        <v>Negative</v>
      </c>
      <c r="I1492" s="468">
        <f>IFERROR(__xludf.DUMMYFUNCTION("""COMPUTED_VALUE"""),44928.0)</f>
        <v>44928</v>
      </c>
      <c r="J1492" s="470">
        <f>IFERROR(__xludf.DUMMYFUNCTION("""COMPUTED_VALUE"""),0.5465740740740741)</f>
        <v>0.5465740741</v>
      </c>
      <c r="K1492" s="16"/>
      <c r="L1492" s="8"/>
      <c r="M1492" s="69"/>
      <c r="N1492" s="69">
        <f>IFERROR(__xludf.DUMMYFUNCTION("""COMPUTED_VALUE"""),4.0)</f>
        <v>4</v>
      </c>
      <c r="O1492" s="69" t="str">
        <f t="shared" si="3"/>
        <v/>
      </c>
      <c r="P1492" s="471">
        <f>IFERROR(__xludf.DUMMYFUNCTION("""COMPUTED_VALUE"""),0.0)</f>
        <v>0</v>
      </c>
      <c r="Q1492" s="274" t="b">
        <f>VLOOKUP($B1492,'Run Reconcile'!B$2:O2488,14,FALSE)</f>
        <v>1</v>
      </c>
      <c r="R1492" s="472" t="str">
        <f t="array" ref="R1492">IF($Q1492, INDEX('Run Reconcile'!A$2:A2488,MATCH(B1492,'Run Reconcile'!B$2:B2488,0),1),IFERROR(0/0,""))</f>
        <v>RUN-FLMP_2023-01-02_APS-140</v>
      </c>
      <c r="S1492" s="473" t="str">
        <f t="shared" si="694"/>
        <v/>
      </c>
      <c r="T1492" s="473" t="str">
        <f t="shared" si="698"/>
        <v/>
      </c>
      <c r="U1492" s="275" t="str">
        <f t="array" ref="U1492">IF(ISBLANK($R1492), INDEX('Run Reconcile'!A$2:A2488, MATCH($B1492, 'Run Reconcile'!B$2:B2488, 0)+Z1492, 1), IFERROR(0/0,""))
</f>
        <v/>
      </c>
      <c r="V1492" s="474" t="str">
        <f t="shared" si="5"/>
        <v>RUN-FLMP_2023-01-02_APS-140</v>
      </c>
      <c r="Y1492" s="89" t="str">
        <f t="shared" si="1719"/>
        <v/>
      </c>
      <c r="Z1492" s="60" t="str">
        <f t="shared" si="7"/>
        <v/>
      </c>
      <c r="AA1492" s="60" t="str">
        <f t="shared" si="8"/>
        <v/>
      </c>
      <c r="AB1492" s="60" t="str">
        <f t="shared" si="9"/>
        <v/>
      </c>
      <c r="AC1492" s="30"/>
      <c r="AD1492" s="30"/>
      <c r="AE1492" s="475" t="str">
        <f>IFERROR(__xludf.DUMMYFUNCTION("""COMPUTED_VALUE"""),"FLSP")</f>
        <v>FLSP</v>
      </c>
      <c r="AF1492" s="476"/>
      <c r="AG1492" s="474" t="s">
        <v>275</v>
      </c>
      <c r="AH1492" s="138" t="str">
        <f t="shared" si="11"/>
        <v/>
      </c>
    </row>
    <row r="1493">
      <c r="A1493" s="103" t="str">
        <f>IFERROR(__xludf.DUMMYFUNCTION("""COMPUTED_VALUE"""),"AH366")</f>
        <v>AH366</v>
      </c>
      <c r="B1493" s="468">
        <f>IFERROR(__xludf.DUMMYFUNCTION("""COMPUTED_VALUE"""),44928.0)</f>
        <v>44928</v>
      </c>
      <c r="C1493" s="469">
        <f>IFERROR(__xludf.DUMMYFUNCTION("""COMPUTED_VALUE"""),0.5440625)</f>
        <v>0.5440625</v>
      </c>
      <c r="D1493" s="103" t="str">
        <f>IFERROR(__xludf.DUMMYFUNCTION("""COMPUTED_VALUE"""),"SpFLMP870846")</f>
        <v>SpFLMP870846</v>
      </c>
      <c r="E1493" s="103"/>
      <c r="F1493" s="103"/>
      <c r="G1493" s="103" t="str">
        <f>IFERROR(__xludf.DUMMYFUNCTION("""COMPUTED_VALUE"""),"Negative")</f>
        <v>Negative</v>
      </c>
      <c r="H1493" s="131" t="str">
        <f>IFERROR(__xludf.DUMMYFUNCTION("""COMPUTED_VALUE"""),"Negative")</f>
        <v>Negative</v>
      </c>
      <c r="I1493" s="468">
        <f>IFERROR(__xludf.DUMMYFUNCTION("""COMPUTED_VALUE"""),44928.0)</f>
        <v>44928</v>
      </c>
      <c r="J1493" s="470">
        <f>IFERROR(__xludf.DUMMYFUNCTION("""COMPUTED_VALUE"""),0.5465740740740741)</f>
        <v>0.5465740741</v>
      </c>
      <c r="K1493" s="16"/>
      <c r="L1493" s="8"/>
      <c r="M1493" s="69"/>
      <c r="N1493" s="69">
        <f>IFERROR(__xludf.DUMMYFUNCTION("""COMPUTED_VALUE"""),1.0)</f>
        <v>1</v>
      </c>
      <c r="O1493" s="69" t="str">
        <f t="shared" si="3"/>
        <v/>
      </c>
      <c r="P1493" s="471">
        <f>IFERROR(__xludf.DUMMYFUNCTION("""COMPUTED_VALUE"""),0.0)</f>
        <v>0</v>
      </c>
      <c r="Q1493" s="274" t="b">
        <f>VLOOKUP($B1493,'Run Reconcile'!B$2:O2488,14,FALSE)</f>
        <v>1</v>
      </c>
      <c r="R1493" s="472" t="str">
        <f t="array" ref="R1493">IF($Q1493, INDEX('Run Reconcile'!A$2:A2488,MATCH(B1493,'Run Reconcile'!B$2:B2488,0),1),IFERROR(0/0,""))</f>
        <v>RUN-FLMP_2023-01-02_APS-140</v>
      </c>
      <c r="S1493" s="473" t="str">
        <f t="shared" si="694"/>
        <v/>
      </c>
      <c r="T1493" s="473" t="str">
        <f t="shared" si="698"/>
        <v/>
      </c>
      <c r="U1493" s="275" t="str">
        <f t="array" ref="U1493">IF(ISBLANK($R1493), INDEX('Run Reconcile'!A$2:A2488, MATCH($B1493, 'Run Reconcile'!B$2:B2488, 0)+Z1493, 1), IFERROR(0/0,""))
</f>
        <v/>
      </c>
      <c r="V1493" s="474" t="str">
        <f t="shared" si="5"/>
        <v>RUN-FLMP_2023-01-02_APS-140</v>
      </c>
      <c r="Y1493" s="89" t="str">
        <f t="shared" si="1719"/>
        <v/>
      </c>
      <c r="Z1493" s="60" t="str">
        <f t="shared" si="7"/>
        <v/>
      </c>
      <c r="AA1493" s="60" t="str">
        <f t="shared" si="8"/>
        <v/>
      </c>
      <c r="AB1493" s="60" t="str">
        <f t="shared" si="9"/>
        <v/>
      </c>
      <c r="AC1493" s="30"/>
      <c r="AD1493" s="30"/>
      <c r="AE1493" s="475" t="str">
        <f>IFERROR(__xludf.DUMMYFUNCTION("""COMPUTED_VALUE"""),"FLSP")</f>
        <v>FLSP</v>
      </c>
      <c r="AF1493" s="476"/>
      <c r="AG1493" s="474" t="s">
        <v>275</v>
      </c>
      <c r="AH1493" s="138" t="str">
        <f t="shared" si="11"/>
        <v/>
      </c>
    </row>
    <row r="1494">
      <c r="A1494" s="103"/>
      <c r="B1494" s="533"/>
      <c r="C1494" s="533"/>
      <c r="D1494" s="103"/>
      <c r="E1494" s="103"/>
      <c r="F1494" s="103"/>
      <c r="G1494" s="103"/>
      <c r="H1494" s="131"/>
      <c r="I1494" s="468"/>
      <c r="J1494" s="16"/>
      <c r="K1494" s="16"/>
      <c r="L1494" s="8"/>
      <c r="M1494" s="69"/>
      <c r="N1494" s="69"/>
      <c r="O1494" s="69"/>
      <c r="P1494" s="534"/>
      <c r="Q1494" s="274"/>
      <c r="R1494" s="472"/>
      <c r="S1494" s="473"/>
      <c r="T1494" s="473"/>
      <c r="U1494" s="275"/>
      <c r="V1494" s="474"/>
      <c r="Y1494" s="89" t="str">
        <f t="shared" si="1719"/>
        <v/>
      </c>
      <c r="Z1494" s="60" t="str">
        <f t="shared" si="7"/>
        <v/>
      </c>
      <c r="AA1494" s="60" t="str">
        <f t="shared" si="8"/>
        <v/>
      </c>
      <c r="AB1494" s="60" t="str">
        <f t="shared" si="9"/>
        <v/>
      </c>
      <c r="AC1494" s="30"/>
      <c r="AD1494" s="30"/>
      <c r="AE1494" s="475"/>
      <c r="AF1494" s="476"/>
      <c r="AG1494" s="474"/>
      <c r="AH1494" s="138" t="str">
        <f t="shared" si="11"/>
        <v/>
      </c>
    </row>
    <row r="1495">
      <c r="A1495" s="103"/>
      <c r="B1495" s="533"/>
      <c r="C1495" s="533"/>
      <c r="D1495" s="103"/>
      <c r="E1495" s="103"/>
      <c r="F1495" s="103"/>
      <c r="G1495" s="103"/>
      <c r="H1495" s="131"/>
      <c r="I1495" s="468"/>
      <c r="J1495" s="16"/>
      <c r="K1495" s="16"/>
      <c r="L1495" s="8"/>
      <c r="M1495" s="69"/>
      <c r="N1495" s="69"/>
      <c r="O1495" s="69" t="str">
        <f t="shared" ref="O1495:O1509" si="1773">IF(B1495&lt;&gt;B1494,TRUE,IFERROR(0/0,""))</f>
        <v/>
      </c>
      <c r="P1495" s="534"/>
      <c r="Q1495" s="274"/>
      <c r="R1495" s="472"/>
      <c r="S1495" s="473"/>
      <c r="T1495" s="473"/>
      <c r="U1495" s="275"/>
      <c r="V1495" s="474"/>
      <c r="Y1495" s="89" t="str">
        <f t="shared" si="1719"/>
        <v/>
      </c>
      <c r="Z1495" s="60" t="str">
        <f t="shared" si="7"/>
        <v/>
      </c>
      <c r="AA1495" s="60" t="str">
        <f t="shared" si="8"/>
        <v/>
      </c>
      <c r="AB1495" s="60" t="str">
        <f t="shared" si="9"/>
        <v/>
      </c>
      <c r="AC1495" s="30"/>
      <c r="AD1495" s="30"/>
      <c r="AE1495" s="475"/>
      <c r="AF1495" s="476"/>
      <c r="AG1495" s="474"/>
      <c r="AH1495" s="138" t="str">
        <f t="shared" si="11"/>
        <v/>
      </c>
    </row>
    <row r="1496">
      <c r="A1496" s="103"/>
      <c r="B1496" s="533"/>
      <c r="C1496" s="533"/>
      <c r="D1496" s="103"/>
      <c r="E1496" s="103"/>
      <c r="F1496" s="103"/>
      <c r="G1496" s="103"/>
      <c r="H1496" s="131"/>
      <c r="I1496" s="468"/>
      <c r="J1496" s="16"/>
      <c r="K1496" s="16"/>
      <c r="L1496" s="8"/>
      <c r="M1496" s="69"/>
      <c r="N1496" s="69"/>
      <c r="O1496" s="69" t="str">
        <f t="shared" si="1773"/>
        <v/>
      </c>
      <c r="P1496" s="534"/>
      <c r="Q1496" s="274"/>
      <c r="R1496" s="472"/>
      <c r="S1496" s="473"/>
      <c r="T1496" s="473"/>
      <c r="U1496" s="275"/>
      <c r="V1496" s="474"/>
      <c r="Y1496" s="89" t="str">
        <f t="shared" si="1719"/>
        <v/>
      </c>
      <c r="Z1496" s="60" t="str">
        <f t="shared" si="7"/>
        <v/>
      </c>
      <c r="AA1496" s="60" t="str">
        <f t="shared" si="8"/>
        <v/>
      </c>
      <c r="AB1496" s="60" t="str">
        <f t="shared" si="9"/>
        <v/>
      </c>
      <c r="AC1496" s="30"/>
      <c r="AD1496" s="30"/>
      <c r="AE1496" s="475"/>
      <c r="AF1496" s="476"/>
      <c r="AG1496" s="474"/>
      <c r="AH1496" s="138" t="str">
        <f t="shared" si="11"/>
        <v/>
      </c>
    </row>
    <row r="1497">
      <c r="A1497" s="103"/>
      <c r="B1497" s="533"/>
      <c r="C1497" s="533"/>
      <c r="D1497" s="103"/>
      <c r="E1497" s="103"/>
      <c r="F1497" s="103"/>
      <c r="G1497" s="103"/>
      <c r="H1497" s="131"/>
      <c r="I1497" s="468"/>
      <c r="J1497" s="16"/>
      <c r="K1497" s="16"/>
      <c r="L1497" s="8"/>
      <c r="M1497" s="69"/>
      <c r="N1497" s="69"/>
      <c r="O1497" s="69" t="str">
        <f t="shared" si="1773"/>
        <v/>
      </c>
      <c r="P1497" s="534"/>
      <c r="Q1497" s="274"/>
      <c r="R1497" s="472"/>
      <c r="S1497" s="473"/>
      <c r="T1497" s="473"/>
      <c r="U1497" s="275"/>
      <c r="V1497" s="474"/>
      <c r="Y1497" s="89" t="str">
        <f t="shared" si="1719"/>
        <v/>
      </c>
      <c r="Z1497" s="60" t="str">
        <f t="shared" si="7"/>
        <v/>
      </c>
      <c r="AA1497" s="60" t="str">
        <f t="shared" si="8"/>
        <v/>
      </c>
      <c r="AB1497" s="60" t="str">
        <f t="shared" si="9"/>
        <v/>
      </c>
      <c r="AC1497" s="30"/>
      <c r="AD1497" s="30"/>
      <c r="AE1497" s="475"/>
      <c r="AF1497" s="476"/>
      <c r="AG1497" s="474"/>
      <c r="AH1497" s="138" t="str">
        <f t="shared" si="11"/>
        <v/>
      </c>
    </row>
    <row r="1498">
      <c r="A1498" s="103"/>
      <c r="B1498" s="533"/>
      <c r="C1498" s="533"/>
      <c r="D1498" s="103"/>
      <c r="E1498" s="103"/>
      <c r="F1498" s="103"/>
      <c r="G1498" s="103"/>
      <c r="H1498" s="131"/>
      <c r="I1498" s="468"/>
      <c r="J1498" s="16"/>
      <c r="K1498" s="16"/>
      <c r="L1498" s="8"/>
      <c r="M1498" s="69"/>
      <c r="N1498" s="69"/>
      <c r="O1498" s="69" t="str">
        <f t="shared" si="1773"/>
        <v/>
      </c>
      <c r="P1498" s="534"/>
      <c r="Q1498" s="274"/>
      <c r="R1498" s="472"/>
      <c r="S1498" s="535"/>
      <c r="T1498" s="535"/>
      <c r="U1498" s="536"/>
      <c r="V1498" s="474"/>
      <c r="Y1498" s="89" t="str">
        <f t="shared" si="1719"/>
        <v/>
      </c>
      <c r="Z1498" s="60" t="str">
        <f t="shared" si="7"/>
        <v/>
      </c>
      <c r="AA1498" s="60" t="str">
        <f t="shared" si="8"/>
        <v/>
      </c>
      <c r="AB1498" s="60" t="str">
        <f t="shared" si="9"/>
        <v/>
      </c>
      <c r="AC1498" s="30"/>
      <c r="AD1498" s="30"/>
      <c r="AE1498" s="475"/>
      <c r="AF1498" s="476"/>
      <c r="AG1498" s="474"/>
      <c r="AH1498" s="138" t="str">
        <f t="shared" si="11"/>
        <v/>
      </c>
    </row>
    <row r="1499">
      <c r="A1499" s="103"/>
      <c r="B1499" s="533"/>
      <c r="C1499" s="533"/>
      <c r="D1499" s="103"/>
      <c r="E1499" s="103"/>
      <c r="F1499" s="103"/>
      <c r="G1499" s="103"/>
      <c r="H1499" s="131"/>
      <c r="I1499" s="468"/>
      <c r="J1499" s="16"/>
      <c r="K1499" s="16"/>
      <c r="L1499" s="8"/>
      <c r="M1499" s="69"/>
      <c r="N1499" s="69"/>
      <c r="O1499" s="69" t="str">
        <f t="shared" si="1773"/>
        <v/>
      </c>
      <c r="P1499" s="534"/>
      <c r="Q1499" s="274"/>
      <c r="R1499" s="472"/>
      <c r="S1499" s="535"/>
      <c r="T1499" s="535"/>
      <c r="U1499" s="536"/>
      <c r="V1499" s="474"/>
      <c r="Y1499" s="89" t="str">
        <f t="shared" si="1719"/>
        <v/>
      </c>
      <c r="Z1499" s="60" t="str">
        <f t="shared" si="7"/>
        <v/>
      </c>
      <c r="AA1499" s="60" t="str">
        <f t="shared" si="8"/>
        <v/>
      </c>
      <c r="AB1499" s="60" t="str">
        <f t="shared" si="9"/>
        <v/>
      </c>
      <c r="AC1499" s="30"/>
      <c r="AD1499" s="30"/>
      <c r="AE1499" s="475"/>
      <c r="AF1499" s="476"/>
      <c r="AG1499" s="474"/>
      <c r="AH1499" s="138" t="str">
        <f t="shared" si="11"/>
        <v/>
      </c>
    </row>
    <row r="1500">
      <c r="A1500" s="103"/>
      <c r="B1500" s="533"/>
      <c r="C1500" s="533"/>
      <c r="D1500" s="103"/>
      <c r="E1500" s="103"/>
      <c r="F1500" s="103"/>
      <c r="G1500" s="103"/>
      <c r="H1500" s="131"/>
      <c r="I1500" s="468"/>
      <c r="J1500" s="16"/>
      <c r="K1500" s="16"/>
      <c r="L1500" s="8"/>
      <c r="M1500" s="69"/>
      <c r="N1500" s="69"/>
      <c r="O1500" s="69" t="str">
        <f t="shared" si="1773"/>
        <v/>
      </c>
      <c r="P1500" s="534"/>
      <c r="Q1500" s="274"/>
      <c r="R1500" s="472"/>
      <c r="S1500" s="535"/>
      <c r="T1500" s="535"/>
      <c r="U1500" s="536"/>
      <c r="V1500" s="474"/>
      <c r="Y1500" s="89" t="str">
        <f t="shared" si="1719"/>
        <v/>
      </c>
      <c r="Z1500" s="60" t="str">
        <f t="shared" si="7"/>
        <v/>
      </c>
      <c r="AA1500" s="60" t="str">
        <f t="shared" si="8"/>
        <v/>
      </c>
      <c r="AB1500" s="60" t="str">
        <f t="shared" si="9"/>
        <v/>
      </c>
      <c r="AC1500" s="30"/>
      <c r="AD1500" s="30"/>
      <c r="AE1500" s="475"/>
      <c r="AF1500" s="476"/>
      <c r="AG1500" s="474"/>
      <c r="AH1500" s="138" t="str">
        <f t="shared" si="11"/>
        <v/>
      </c>
    </row>
    <row r="1501">
      <c r="A1501" s="103"/>
      <c r="B1501" s="533"/>
      <c r="C1501" s="533"/>
      <c r="D1501" s="103"/>
      <c r="E1501" s="103"/>
      <c r="F1501" s="103"/>
      <c r="G1501" s="103"/>
      <c r="H1501" s="131"/>
      <c r="I1501" s="468"/>
      <c r="J1501" s="16"/>
      <c r="K1501" s="16"/>
      <c r="L1501" s="8"/>
      <c r="M1501" s="69"/>
      <c r="N1501" s="69"/>
      <c r="O1501" s="69" t="str">
        <f t="shared" si="1773"/>
        <v/>
      </c>
      <c r="P1501" s="534"/>
      <c r="Q1501" s="274"/>
      <c r="R1501" s="472"/>
      <c r="S1501" s="535"/>
      <c r="T1501" s="535"/>
      <c r="U1501" s="536"/>
      <c r="V1501" s="474"/>
      <c r="Y1501" s="89" t="str">
        <f t="shared" si="1719"/>
        <v/>
      </c>
      <c r="Z1501" s="60" t="str">
        <f t="shared" si="7"/>
        <v/>
      </c>
      <c r="AA1501" s="60" t="str">
        <f t="shared" si="8"/>
        <v/>
      </c>
      <c r="AB1501" s="60" t="str">
        <f t="shared" si="9"/>
        <v/>
      </c>
      <c r="AC1501" s="30"/>
      <c r="AD1501" s="30"/>
      <c r="AE1501" s="475"/>
      <c r="AF1501" s="476"/>
      <c r="AG1501" s="474"/>
      <c r="AH1501" s="138" t="str">
        <f t="shared" si="11"/>
        <v/>
      </c>
    </row>
    <row r="1502">
      <c r="A1502" s="103"/>
      <c r="B1502" s="533"/>
      <c r="C1502" s="533"/>
      <c r="D1502" s="103"/>
      <c r="E1502" s="103"/>
      <c r="F1502" s="103"/>
      <c r="G1502" s="103"/>
      <c r="H1502" s="131"/>
      <c r="I1502" s="468"/>
      <c r="J1502" s="16"/>
      <c r="K1502" s="16"/>
      <c r="L1502" s="8"/>
      <c r="M1502" s="69"/>
      <c r="N1502" s="69"/>
      <c r="O1502" s="69" t="str">
        <f t="shared" si="1773"/>
        <v/>
      </c>
      <c r="P1502" s="534"/>
      <c r="Q1502" s="274"/>
      <c r="R1502" s="472"/>
      <c r="S1502" s="535"/>
      <c r="T1502" s="535"/>
      <c r="U1502" s="536"/>
      <c r="V1502" s="474"/>
      <c r="Y1502" s="89" t="str">
        <f t="shared" si="1719"/>
        <v/>
      </c>
      <c r="Z1502" s="60" t="str">
        <f t="shared" si="7"/>
        <v/>
      </c>
      <c r="AA1502" s="60" t="str">
        <f t="shared" si="8"/>
        <v/>
      </c>
      <c r="AB1502" s="60" t="str">
        <f t="shared" si="9"/>
        <v/>
      </c>
      <c r="AC1502" s="30"/>
      <c r="AD1502" s="30"/>
      <c r="AE1502" s="475"/>
      <c r="AF1502" s="476"/>
      <c r="AG1502" s="474"/>
      <c r="AH1502" s="138" t="str">
        <f t="shared" si="11"/>
        <v/>
      </c>
    </row>
    <row r="1503">
      <c r="A1503" s="103"/>
      <c r="B1503" s="533"/>
      <c r="C1503" s="533"/>
      <c r="D1503" s="103"/>
      <c r="E1503" s="103"/>
      <c r="F1503" s="103"/>
      <c r="G1503" s="103"/>
      <c r="H1503" s="131"/>
      <c r="I1503" s="468"/>
      <c r="J1503" s="16"/>
      <c r="K1503" s="16"/>
      <c r="L1503" s="8"/>
      <c r="M1503" s="69"/>
      <c r="N1503" s="69"/>
      <c r="O1503" s="69" t="str">
        <f t="shared" si="1773"/>
        <v/>
      </c>
      <c r="P1503" s="534"/>
      <c r="Q1503" s="274"/>
      <c r="R1503" s="472"/>
      <c r="S1503" s="535"/>
      <c r="T1503" s="535"/>
      <c r="U1503" s="536"/>
      <c r="V1503" s="474"/>
      <c r="Y1503" s="89" t="str">
        <f t="shared" si="1719"/>
        <v/>
      </c>
      <c r="Z1503" s="60" t="str">
        <f t="shared" si="7"/>
        <v/>
      </c>
      <c r="AA1503" s="60" t="str">
        <f t="shared" si="8"/>
        <v/>
      </c>
      <c r="AB1503" s="60" t="str">
        <f t="shared" si="9"/>
        <v/>
      </c>
      <c r="AC1503" s="30"/>
      <c r="AD1503" s="30"/>
      <c r="AE1503" s="475"/>
      <c r="AF1503" s="476"/>
      <c r="AG1503" s="474"/>
      <c r="AH1503" s="138" t="str">
        <f t="shared" si="11"/>
        <v/>
      </c>
    </row>
    <row r="1504">
      <c r="A1504" s="103"/>
      <c r="B1504" s="533"/>
      <c r="C1504" s="533"/>
      <c r="D1504" s="103"/>
      <c r="E1504" s="103"/>
      <c r="F1504" s="103"/>
      <c r="G1504" s="103"/>
      <c r="H1504" s="131"/>
      <c r="I1504" s="468"/>
      <c r="J1504" s="16"/>
      <c r="K1504" s="16"/>
      <c r="L1504" s="8"/>
      <c r="M1504" s="69"/>
      <c r="N1504" s="69"/>
      <c r="O1504" s="69" t="str">
        <f t="shared" si="1773"/>
        <v/>
      </c>
      <c r="P1504" s="534"/>
      <c r="Q1504" s="274"/>
      <c r="R1504" s="472"/>
      <c r="S1504" s="535"/>
      <c r="T1504" s="535"/>
      <c r="U1504" s="536"/>
      <c r="V1504" s="474"/>
      <c r="Y1504" s="89" t="str">
        <f t="shared" si="1719"/>
        <v/>
      </c>
      <c r="Z1504" s="60" t="str">
        <f t="shared" si="7"/>
        <v/>
      </c>
      <c r="AA1504" s="60" t="str">
        <f t="shared" si="8"/>
        <v/>
      </c>
      <c r="AB1504" s="60" t="str">
        <f t="shared" si="9"/>
        <v/>
      </c>
      <c r="AC1504" s="30"/>
      <c r="AD1504" s="30"/>
      <c r="AE1504" s="475"/>
      <c r="AF1504" s="476"/>
      <c r="AG1504" s="474"/>
      <c r="AH1504" s="138" t="str">
        <f t="shared" si="11"/>
        <v/>
      </c>
    </row>
    <row r="1505">
      <c r="A1505" s="103"/>
      <c r="B1505" s="533"/>
      <c r="C1505" s="533"/>
      <c r="D1505" s="103"/>
      <c r="E1505" s="103"/>
      <c r="F1505" s="103"/>
      <c r="G1505" s="103"/>
      <c r="H1505" s="131"/>
      <c r="I1505" s="468"/>
      <c r="J1505" s="16"/>
      <c r="K1505" s="16"/>
      <c r="L1505" s="8"/>
      <c r="M1505" s="69"/>
      <c r="N1505" s="69"/>
      <c r="O1505" s="69" t="str">
        <f t="shared" si="1773"/>
        <v/>
      </c>
      <c r="P1505" s="534"/>
      <c r="Q1505" s="274"/>
      <c r="R1505" s="472"/>
      <c r="S1505" s="535"/>
      <c r="T1505" s="535"/>
      <c r="U1505" s="536"/>
      <c r="V1505" s="474"/>
      <c r="Y1505" s="89" t="str">
        <f t="shared" si="1719"/>
        <v/>
      </c>
      <c r="Z1505" s="60" t="str">
        <f t="shared" si="7"/>
        <v/>
      </c>
      <c r="AA1505" s="60" t="str">
        <f t="shared" si="8"/>
        <v/>
      </c>
      <c r="AB1505" s="60" t="str">
        <f t="shared" si="9"/>
        <v/>
      </c>
      <c r="AC1505" s="30"/>
      <c r="AD1505" s="30"/>
      <c r="AE1505" s="475"/>
      <c r="AF1505" s="476"/>
      <c r="AG1505" s="474"/>
      <c r="AH1505" s="138" t="str">
        <f t="shared" si="11"/>
        <v/>
      </c>
    </row>
    <row r="1506">
      <c r="A1506" s="103"/>
      <c r="B1506" s="533"/>
      <c r="C1506" s="533"/>
      <c r="D1506" s="103"/>
      <c r="E1506" s="103"/>
      <c r="F1506" s="103"/>
      <c r="G1506" s="103"/>
      <c r="H1506" s="131"/>
      <c r="I1506" s="468"/>
      <c r="J1506" s="16"/>
      <c r="K1506" s="16"/>
      <c r="L1506" s="8"/>
      <c r="M1506" s="69"/>
      <c r="N1506" s="69"/>
      <c r="O1506" s="69" t="str">
        <f t="shared" si="1773"/>
        <v/>
      </c>
      <c r="P1506" s="534"/>
      <c r="Q1506" s="274"/>
      <c r="R1506" s="472"/>
      <c r="S1506" s="535"/>
      <c r="T1506" s="535"/>
      <c r="U1506" s="536"/>
      <c r="V1506" s="474"/>
      <c r="Y1506" s="89" t="str">
        <f t="shared" si="1719"/>
        <v/>
      </c>
      <c r="Z1506" s="60" t="str">
        <f t="shared" si="7"/>
        <v/>
      </c>
      <c r="AA1506" s="60" t="str">
        <f t="shared" si="8"/>
        <v/>
      </c>
      <c r="AB1506" s="60" t="str">
        <f t="shared" si="9"/>
        <v/>
      </c>
      <c r="AC1506" s="30"/>
      <c r="AD1506" s="30"/>
      <c r="AE1506" s="475"/>
      <c r="AF1506" s="476"/>
      <c r="AG1506" s="474"/>
      <c r="AH1506" s="138" t="str">
        <f t="shared" si="11"/>
        <v/>
      </c>
    </row>
    <row r="1507">
      <c r="A1507" s="103"/>
      <c r="B1507" s="533"/>
      <c r="C1507" s="533"/>
      <c r="D1507" s="103"/>
      <c r="E1507" s="103"/>
      <c r="F1507" s="103"/>
      <c r="G1507" s="103"/>
      <c r="H1507" s="131"/>
      <c r="I1507" s="468"/>
      <c r="J1507" s="16"/>
      <c r="K1507" s="16"/>
      <c r="L1507" s="8"/>
      <c r="M1507" s="69"/>
      <c r="N1507" s="69"/>
      <c r="O1507" s="69" t="str">
        <f t="shared" si="1773"/>
        <v/>
      </c>
      <c r="P1507" s="534"/>
      <c r="Q1507" s="274"/>
      <c r="R1507" s="472"/>
      <c r="S1507" s="535"/>
      <c r="T1507" s="535"/>
      <c r="U1507" s="536"/>
      <c r="V1507" s="474"/>
      <c r="Y1507" s="89" t="str">
        <f t="shared" si="1719"/>
        <v/>
      </c>
      <c r="Z1507" s="60" t="str">
        <f t="shared" si="7"/>
        <v/>
      </c>
      <c r="AA1507" s="60" t="str">
        <f t="shared" si="8"/>
        <v/>
      </c>
      <c r="AB1507" s="60" t="str">
        <f t="shared" si="9"/>
        <v/>
      </c>
      <c r="AC1507" s="30"/>
      <c r="AD1507" s="30"/>
      <c r="AE1507" s="475"/>
      <c r="AF1507" s="476"/>
      <c r="AG1507" s="474"/>
      <c r="AH1507" s="138" t="str">
        <f t="shared" si="11"/>
        <v/>
      </c>
    </row>
    <row r="1508">
      <c r="A1508" s="103"/>
      <c r="B1508" s="533"/>
      <c r="C1508" s="533"/>
      <c r="D1508" s="103"/>
      <c r="E1508" s="103"/>
      <c r="F1508" s="103"/>
      <c r="G1508" s="103"/>
      <c r="H1508" s="131"/>
      <c r="I1508" s="468"/>
      <c r="J1508" s="16"/>
      <c r="K1508" s="16"/>
      <c r="L1508" s="8"/>
      <c r="M1508" s="69"/>
      <c r="N1508" s="69"/>
      <c r="O1508" s="69" t="str">
        <f t="shared" si="1773"/>
        <v/>
      </c>
      <c r="P1508" s="534"/>
      <c r="Q1508" s="274"/>
      <c r="R1508" s="472"/>
      <c r="S1508" s="535"/>
      <c r="T1508" s="535"/>
      <c r="U1508" s="536"/>
      <c r="V1508" s="474"/>
      <c r="Y1508" s="89" t="str">
        <f t="shared" si="1719"/>
        <v/>
      </c>
      <c r="Z1508" s="60" t="str">
        <f t="shared" si="7"/>
        <v/>
      </c>
      <c r="AA1508" s="60" t="str">
        <f t="shared" si="8"/>
        <v/>
      </c>
      <c r="AB1508" s="60" t="str">
        <f t="shared" si="9"/>
        <v/>
      </c>
      <c r="AC1508" s="30"/>
      <c r="AD1508" s="30"/>
      <c r="AE1508" s="475"/>
      <c r="AF1508" s="476"/>
      <c r="AG1508" s="474"/>
      <c r="AH1508" s="138" t="str">
        <f t="shared" si="11"/>
        <v/>
      </c>
    </row>
    <row r="1509">
      <c r="A1509" s="103"/>
      <c r="B1509" s="533"/>
      <c r="C1509" s="533"/>
      <c r="D1509" s="103"/>
      <c r="E1509" s="103"/>
      <c r="F1509" s="103"/>
      <c r="G1509" s="103"/>
      <c r="H1509" s="131"/>
      <c r="I1509" s="468"/>
      <c r="J1509" s="16"/>
      <c r="K1509" s="16"/>
      <c r="L1509" s="8"/>
      <c r="M1509" s="69"/>
      <c r="N1509" s="69"/>
      <c r="O1509" s="69" t="str">
        <f t="shared" si="1773"/>
        <v/>
      </c>
      <c r="P1509" s="534"/>
      <c r="Q1509" s="274"/>
      <c r="R1509" s="472"/>
      <c r="S1509" s="535"/>
      <c r="T1509" s="535"/>
      <c r="U1509" s="536"/>
      <c r="V1509" s="474"/>
      <c r="Y1509" s="89" t="str">
        <f t="shared" si="1719"/>
        <v/>
      </c>
      <c r="Z1509" s="60" t="str">
        <f t="shared" si="7"/>
        <v/>
      </c>
      <c r="AA1509" s="60" t="str">
        <f t="shared" si="8"/>
        <v/>
      </c>
      <c r="AB1509" s="60" t="str">
        <f t="shared" si="9"/>
        <v/>
      </c>
      <c r="AC1509" s="30"/>
      <c r="AD1509" s="30"/>
      <c r="AE1509" s="475"/>
      <c r="AF1509" s="476"/>
      <c r="AG1509" s="474"/>
      <c r="AH1509" s="138" t="str">
        <f t="shared" si="11"/>
        <v/>
      </c>
    </row>
    <row r="1510">
      <c r="A1510" s="103"/>
      <c r="B1510" s="533"/>
      <c r="C1510" s="533"/>
      <c r="D1510" s="103"/>
      <c r="E1510" s="103"/>
      <c r="F1510" s="103"/>
      <c r="G1510" s="103"/>
      <c r="H1510" s="131"/>
      <c r="I1510" s="468"/>
      <c r="J1510" s="16"/>
      <c r="K1510" s="16"/>
      <c r="L1510" s="8"/>
      <c r="M1510" s="69"/>
      <c r="N1510" s="69"/>
      <c r="O1510" s="69"/>
      <c r="P1510" s="534"/>
      <c r="Q1510" s="274"/>
      <c r="R1510" s="472"/>
      <c r="S1510" s="535"/>
      <c r="T1510" s="535"/>
      <c r="U1510" s="536"/>
      <c r="V1510" s="474"/>
      <c r="Y1510" s="89"/>
      <c r="Z1510" s="60"/>
      <c r="AA1510" s="60"/>
      <c r="AB1510" s="60"/>
      <c r="AC1510" s="30"/>
      <c r="AD1510" s="30"/>
      <c r="AE1510" s="475"/>
      <c r="AF1510" s="476"/>
      <c r="AG1510" s="474"/>
      <c r="AH1510" s="138"/>
    </row>
    <row r="1511">
      <c r="A1511" s="103"/>
      <c r="B1511" s="533"/>
      <c r="C1511" s="533"/>
      <c r="D1511" s="103"/>
      <c r="E1511" s="103"/>
      <c r="F1511" s="103"/>
      <c r="G1511" s="103"/>
      <c r="H1511" s="131"/>
      <c r="I1511" s="468"/>
      <c r="J1511" s="16"/>
      <c r="K1511" s="16"/>
      <c r="L1511" s="8"/>
      <c r="M1511" s="69"/>
      <c r="N1511" s="69"/>
      <c r="O1511" s="69"/>
      <c r="P1511" s="534"/>
      <c r="Q1511" s="274"/>
      <c r="R1511" s="472"/>
      <c r="S1511" s="535"/>
      <c r="T1511" s="535"/>
      <c r="U1511" s="536"/>
      <c r="V1511" s="474"/>
      <c r="Y1511" s="89"/>
      <c r="Z1511" s="60"/>
      <c r="AA1511" s="60"/>
      <c r="AB1511" s="60"/>
      <c r="AC1511" s="30"/>
      <c r="AD1511" s="30"/>
      <c r="AE1511" s="475"/>
      <c r="AF1511" s="476"/>
      <c r="AG1511" s="474"/>
      <c r="AH1511" s="138"/>
    </row>
    <row r="1512">
      <c r="A1512" s="103"/>
      <c r="B1512" s="533"/>
      <c r="C1512" s="533"/>
      <c r="D1512" s="103"/>
      <c r="E1512" s="103"/>
      <c r="F1512" s="103"/>
      <c r="G1512" s="103"/>
      <c r="H1512" s="131"/>
      <c r="I1512" s="468"/>
      <c r="J1512" s="16"/>
      <c r="K1512" s="16"/>
      <c r="L1512" s="8"/>
      <c r="M1512" s="69"/>
      <c r="N1512" s="69"/>
      <c r="O1512" s="69"/>
      <c r="P1512" s="534"/>
      <c r="Q1512" s="274"/>
      <c r="R1512" s="472"/>
      <c r="S1512" s="535"/>
      <c r="T1512" s="535"/>
      <c r="U1512" s="536"/>
      <c r="V1512" s="474"/>
      <c r="Y1512" s="89"/>
      <c r="Z1512" s="60"/>
      <c r="AA1512" s="60"/>
      <c r="AB1512" s="60"/>
      <c r="AC1512" s="30"/>
      <c r="AD1512" s="30"/>
      <c r="AE1512" s="475"/>
      <c r="AF1512" s="476"/>
      <c r="AG1512" s="474"/>
      <c r="AH1512" s="138"/>
    </row>
    <row r="1513">
      <c r="A1513" s="103"/>
      <c r="B1513" s="533"/>
      <c r="C1513" s="533"/>
      <c r="D1513" s="103"/>
      <c r="E1513" s="103"/>
      <c r="F1513" s="103"/>
      <c r="G1513" s="103"/>
      <c r="H1513" s="131"/>
      <c r="I1513" s="468"/>
      <c r="J1513" s="16"/>
      <c r="K1513" s="16"/>
      <c r="L1513" s="8"/>
      <c r="M1513" s="69"/>
      <c r="N1513" s="69"/>
      <c r="O1513" s="69"/>
      <c r="P1513" s="534"/>
      <c r="Q1513" s="274"/>
      <c r="R1513" s="472"/>
      <c r="S1513" s="535"/>
      <c r="T1513" s="535"/>
      <c r="U1513" s="536"/>
      <c r="V1513" s="474"/>
      <c r="Y1513" s="89"/>
      <c r="Z1513" s="60"/>
      <c r="AA1513" s="60"/>
      <c r="AB1513" s="60"/>
      <c r="AC1513" s="30"/>
      <c r="AD1513" s="30"/>
      <c r="AE1513" s="475"/>
      <c r="AF1513" s="476"/>
      <c r="AG1513" s="474"/>
      <c r="AH1513" s="138"/>
    </row>
    <row r="1514">
      <c r="A1514" s="103"/>
      <c r="B1514" s="533"/>
      <c r="C1514" s="533"/>
      <c r="D1514" s="103"/>
      <c r="E1514" s="103"/>
      <c r="F1514" s="103"/>
      <c r="G1514" s="103"/>
      <c r="H1514" s="131"/>
      <c r="I1514" s="468"/>
      <c r="J1514" s="16"/>
      <c r="K1514" s="16"/>
      <c r="L1514" s="8"/>
      <c r="M1514" s="69"/>
      <c r="N1514" s="69"/>
      <c r="O1514" s="69"/>
      <c r="P1514" s="534"/>
      <c r="Q1514" s="274"/>
      <c r="R1514" s="472"/>
      <c r="S1514" s="535"/>
      <c r="T1514" s="535"/>
      <c r="U1514" s="536"/>
      <c r="V1514" s="474"/>
      <c r="Y1514" s="89"/>
      <c r="Z1514" s="60"/>
      <c r="AA1514" s="60"/>
      <c r="AB1514" s="60"/>
      <c r="AC1514" s="30"/>
      <c r="AD1514" s="30"/>
      <c r="AE1514" s="475"/>
      <c r="AF1514" s="476"/>
      <c r="AG1514" s="474"/>
      <c r="AH1514" s="138"/>
    </row>
    <row r="1515">
      <c r="A1515" s="103"/>
      <c r="B1515" s="533"/>
      <c r="C1515" s="533"/>
      <c r="D1515" s="103"/>
      <c r="E1515" s="103"/>
      <c r="F1515" s="103"/>
      <c r="G1515" s="103"/>
      <c r="H1515" s="131"/>
      <c r="I1515" s="468"/>
      <c r="J1515" s="16"/>
      <c r="K1515" s="16"/>
      <c r="L1515" s="8"/>
      <c r="M1515" s="69"/>
      <c r="N1515" s="69"/>
      <c r="O1515" s="69"/>
      <c r="P1515" s="534"/>
      <c r="Q1515" s="274"/>
      <c r="R1515" s="472"/>
      <c r="S1515" s="535"/>
      <c r="T1515" s="535"/>
      <c r="U1515" s="536"/>
      <c r="V1515" s="474"/>
      <c r="Y1515" s="89"/>
      <c r="Z1515" s="60"/>
      <c r="AA1515" s="60"/>
      <c r="AB1515" s="60"/>
      <c r="AC1515" s="30"/>
      <c r="AD1515" s="30"/>
      <c r="AE1515" s="475"/>
      <c r="AF1515" s="476"/>
      <c r="AG1515" s="474"/>
      <c r="AH1515" s="138"/>
    </row>
    <row r="1516">
      <c r="A1516" s="103"/>
      <c r="B1516" s="533"/>
      <c r="C1516" s="533"/>
      <c r="D1516" s="103"/>
      <c r="E1516" s="103"/>
      <c r="F1516" s="103"/>
      <c r="G1516" s="103"/>
      <c r="H1516" s="131"/>
      <c r="I1516" s="468"/>
      <c r="J1516" s="16"/>
      <c r="K1516" s="16"/>
      <c r="L1516" s="8"/>
      <c r="M1516" s="69"/>
      <c r="N1516" s="69"/>
      <c r="O1516" s="69"/>
      <c r="P1516" s="534"/>
      <c r="Q1516" s="274"/>
      <c r="R1516" s="472"/>
      <c r="S1516" s="535"/>
      <c r="T1516" s="535"/>
      <c r="U1516" s="536"/>
      <c r="V1516" s="474"/>
      <c r="Y1516" s="89"/>
      <c r="Z1516" s="60"/>
      <c r="AA1516" s="60"/>
      <c r="AB1516" s="60"/>
      <c r="AC1516" s="30"/>
      <c r="AD1516" s="30"/>
      <c r="AE1516" s="475"/>
      <c r="AF1516" s="476"/>
      <c r="AG1516" s="474"/>
      <c r="AH1516" s="138"/>
    </row>
    <row r="1517">
      <c r="A1517" s="103"/>
      <c r="B1517" s="533"/>
      <c r="C1517" s="533"/>
      <c r="D1517" s="103"/>
      <c r="E1517" s="103"/>
      <c r="F1517" s="103"/>
      <c r="G1517" s="103"/>
      <c r="H1517" s="131"/>
      <c r="I1517" s="468"/>
      <c r="J1517" s="16"/>
      <c r="K1517" s="16"/>
      <c r="L1517" s="8"/>
      <c r="M1517" s="69"/>
      <c r="N1517" s="69"/>
      <c r="O1517" s="69"/>
      <c r="P1517" s="534"/>
      <c r="Q1517" s="274"/>
      <c r="R1517" s="472"/>
      <c r="S1517" s="535"/>
      <c r="T1517" s="535"/>
      <c r="U1517" s="536"/>
      <c r="V1517" s="474"/>
      <c r="Y1517" s="89"/>
      <c r="Z1517" s="60"/>
      <c r="AA1517" s="60"/>
      <c r="AB1517" s="60"/>
      <c r="AC1517" s="30"/>
      <c r="AD1517" s="30"/>
      <c r="AE1517" s="475"/>
      <c r="AF1517" s="476"/>
      <c r="AG1517" s="474"/>
      <c r="AH1517" s="138"/>
    </row>
    <row r="1518">
      <c r="A1518" s="103"/>
      <c r="B1518" s="533"/>
      <c r="C1518" s="533"/>
      <c r="D1518" s="103"/>
      <c r="E1518" s="103"/>
      <c r="F1518" s="103"/>
      <c r="G1518" s="103"/>
      <c r="H1518" s="131"/>
      <c r="I1518" s="468"/>
      <c r="J1518" s="16"/>
      <c r="K1518" s="16"/>
      <c r="L1518" s="8"/>
      <c r="M1518" s="69"/>
      <c r="N1518" s="69"/>
      <c r="O1518" s="69"/>
      <c r="P1518" s="534"/>
      <c r="Q1518" s="274"/>
      <c r="R1518" s="472"/>
      <c r="S1518" s="535"/>
      <c r="T1518" s="535"/>
      <c r="U1518" s="536"/>
      <c r="V1518" s="474"/>
      <c r="Y1518" s="89"/>
      <c r="Z1518" s="60"/>
      <c r="AA1518" s="60"/>
      <c r="AB1518" s="60"/>
      <c r="AC1518" s="30"/>
      <c r="AD1518" s="30"/>
      <c r="AE1518" s="475"/>
      <c r="AF1518" s="476"/>
      <c r="AG1518" s="474"/>
      <c r="AH1518" s="138"/>
    </row>
    <row r="1519">
      <c r="A1519" s="103"/>
      <c r="B1519" s="533"/>
      <c r="C1519" s="533"/>
      <c r="D1519" s="103"/>
      <c r="E1519" s="103"/>
      <c r="F1519" s="103"/>
      <c r="G1519" s="103"/>
      <c r="H1519" s="131"/>
      <c r="I1519" s="468"/>
      <c r="J1519" s="16"/>
      <c r="K1519" s="16"/>
      <c r="L1519" s="8"/>
      <c r="M1519" s="69"/>
      <c r="N1519" s="69"/>
      <c r="O1519" s="69"/>
      <c r="P1519" s="534"/>
      <c r="Q1519" s="274"/>
      <c r="R1519" s="472"/>
      <c r="S1519" s="535"/>
      <c r="T1519" s="535"/>
      <c r="U1519" s="536"/>
      <c r="V1519" s="474"/>
      <c r="Y1519" s="89"/>
      <c r="Z1519" s="60"/>
      <c r="AA1519" s="60"/>
      <c r="AB1519" s="60"/>
      <c r="AC1519" s="30"/>
      <c r="AD1519" s="30"/>
      <c r="AE1519" s="475"/>
      <c r="AF1519" s="476"/>
      <c r="AG1519" s="474"/>
      <c r="AH1519" s="138"/>
    </row>
    <row r="1520">
      <c r="A1520" s="103"/>
      <c r="B1520" s="533"/>
      <c r="C1520" s="533"/>
      <c r="D1520" s="103"/>
      <c r="E1520" s="103"/>
      <c r="F1520" s="103"/>
      <c r="G1520" s="103"/>
      <c r="H1520" s="131"/>
      <c r="I1520" s="468"/>
      <c r="J1520" s="16"/>
      <c r="K1520" s="16"/>
      <c r="L1520" s="8"/>
      <c r="M1520" s="69"/>
      <c r="N1520" s="69"/>
      <c r="O1520" s="69"/>
      <c r="P1520" s="534"/>
      <c r="Q1520" s="274"/>
      <c r="R1520" s="472"/>
      <c r="S1520" s="535"/>
      <c r="T1520" s="535"/>
      <c r="U1520" s="536"/>
      <c r="V1520" s="474"/>
      <c r="Y1520" s="89"/>
      <c r="Z1520" s="60"/>
      <c r="AA1520" s="60"/>
      <c r="AB1520" s="60"/>
      <c r="AC1520" s="30"/>
      <c r="AD1520" s="30"/>
      <c r="AE1520" s="475"/>
      <c r="AF1520" s="476"/>
      <c r="AG1520" s="474"/>
      <c r="AH1520" s="138"/>
    </row>
    <row r="1521">
      <c r="A1521" s="103"/>
      <c r="B1521" s="533"/>
      <c r="C1521" s="533"/>
      <c r="D1521" s="103"/>
      <c r="E1521" s="103"/>
      <c r="F1521" s="103"/>
      <c r="G1521" s="103"/>
      <c r="H1521" s="131"/>
      <c r="I1521" s="468"/>
      <c r="J1521" s="16"/>
      <c r="K1521" s="16"/>
      <c r="L1521" s="8"/>
      <c r="M1521" s="69"/>
      <c r="N1521" s="69"/>
      <c r="O1521" s="69"/>
      <c r="P1521" s="534"/>
      <c r="Q1521" s="274"/>
      <c r="R1521" s="472"/>
      <c r="S1521" s="535"/>
      <c r="T1521" s="535"/>
      <c r="U1521" s="536"/>
      <c r="V1521" s="474"/>
      <c r="Y1521" s="89"/>
      <c r="Z1521" s="60"/>
      <c r="AA1521" s="60"/>
      <c r="AB1521" s="60"/>
      <c r="AC1521" s="30"/>
      <c r="AD1521" s="30"/>
      <c r="AE1521" s="475"/>
      <c r="AF1521" s="476"/>
      <c r="AG1521" s="474"/>
      <c r="AH1521" s="138"/>
    </row>
    <row r="1522">
      <c r="A1522" s="103"/>
      <c r="B1522" s="533"/>
      <c r="C1522" s="533"/>
      <c r="D1522" s="103"/>
      <c r="E1522" s="103"/>
      <c r="F1522" s="103"/>
      <c r="G1522" s="103"/>
      <c r="H1522" s="131"/>
      <c r="I1522" s="468"/>
      <c r="J1522" s="16"/>
      <c r="K1522" s="16"/>
      <c r="L1522" s="8"/>
      <c r="M1522" s="69"/>
      <c r="N1522" s="69"/>
      <c r="O1522" s="69"/>
      <c r="P1522" s="534"/>
      <c r="Q1522" s="274"/>
      <c r="R1522" s="472"/>
      <c r="S1522" s="535"/>
      <c r="T1522" s="535"/>
      <c r="U1522" s="536"/>
      <c r="V1522" s="474"/>
      <c r="Y1522" s="89"/>
      <c r="Z1522" s="60"/>
      <c r="AA1522" s="60"/>
      <c r="AB1522" s="60"/>
      <c r="AC1522" s="30"/>
      <c r="AD1522" s="30"/>
      <c r="AE1522" s="475"/>
      <c r="AF1522" s="476"/>
      <c r="AG1522" s="474"/>
      <c r="AH1522" s="138"/>
    </row>
    <row r="1523">
      <c r="A1523" s="103"/>
      <c r="B1523" s="533"/>
      <c r="C1523" s="533"/>
      <c r="D1523" s="103"/>
      <c r="E1523" s="103"/>
      <c r="F1523" s="103"/>
      <c r="G1523" s="103"/>
      <c r="H1523" s="131"/>
      <c r="I1523" s="468"/>
      <c r="J1523" s="16"/>
      <c r="K1523" s="16"/>
      <c r="L1523" s="8"/>
      <c r="M1523" s="69"/>
      <c r="N1523" s="69"/>
      <c r="O1523" s="69"/>
      <c r="P1523" s="534"/>
      <c r="Q1523" s="274"/>
      <c r="R1523" s="472"/>
      <c r="S1523" s="535"/>
      <c r="T1523" s="535"/>
      <c r="U1523" s="536"/>
      <c r="V1523" s="474"/>
      <c r="Y1523" s="89"/>
      <c r="Z1523" s="60"/>
      <c r="AA1523" s="60"/>
      <c r="AB1523" s="60"/>
      <c r="AC1523" s="30"/>
      <c r="AD1523" s="30"/>
      <c r="AE1523" s="475"/>
      <c r="AF1523" s="476"/>
      <c r="AG1523" s="474"/>
      <c r="AH1523" s="138"/>
    </row>
    <row r="1524">
      <c r="A1524" s="103"/>
      <c r="B1524" s="533"/>
      <c r="C1524" s="533"/>
      <c r="D1524" s="103"/>
      <c r="E1524" s="103"/>
      <c r="F1524" s="103"/>
      <c r="G1524" s="103"/>
      <c r="H1524" s="131"/>
      <c r="I1524" s="468"/>
      <c r="J1524" s="16"/>
      <c r="K1524" s="16"/>
      <c r="L1524" s="8"/>
      <c r="M1524" s="69"/>
      <c r="N1524" s="69"/>
      <c r="O1524" s="69"/>
      <c r="P1524" s="534"/>
      <c r="Q1524" s="274"/>
      <c r="R1524" s="472"/>
      <c r="S1524" s="535"/>
      <c r="T1524" s="535"/>
      <c r="U1524" s="536"/>
      <c r="V1524" s="474"/>
      <c r="Y1524" s="89"/>
      <c r="Z1524" s="60"/>
      <c r="AA1524" s="60"/>
      <c r="AB1524" s="60"/>
      <c r="AC1524" s="30"/>
      <c r="AD1524" s="30"/>
      <c r="AE1524" s="475"/>
      <c r="AF1524" s="476"/>
      <c r="AG1524" s="474"/>
      <c r="AH1524" s="138"/>
    </row>
    <row r="1525">
      <c r="A1525" s="103"/>
      <c r="B1525" s="533"/>
      <c r="C1525" s="533"/>
      <c r="D1525" s="103"/>
      <c r="E1525" s="103"/>
      <c r="F1525" s="103"/>
      <c r="G1525" s="103"/>
      <c r="H1525" s="131"/>
      <c r="I1525" s="468"/>
      <c r="J1525" s="16"/>
      <c r="K1525" s="16"/>
      <c r="L1525" s="8"/>
      <c r="M1525" s="69"/>
      <c r="N1525" s="69"/>
      <c r="O1525" s="69"/>
      <c r="P1525" s="534"/>
      <c r="Q1525" s="274"/>
      <c r="R1525" s="472"/>
      <c r="S1525" s="535"/>
      <c r="T1525" s="535"/>
      <c r="U1525" s="536"/>
      <c r="V1525" s="474"/>
      <c r="Y1525" s="89"/>
      <c r="Z1525" s="60"/>
      <c r="AA1525" s="60"/>
      <c r="AB1525" s="60"/>
      <c r="AC1525" s="30"/>
      <c r="AD1525" s="30"/>
      <c r="AE1525" s="475"/>
      <c r="AF1525" s="476"/>
      <c r="AG1525" s="474"/>
      <c r="AH1525" s="138"/>
    </row>
    <row r="1526">
      <c r="A1526" s="103"/>
      <c r="B1526" s="533"/>
      <c r="C1526" s="533"/>
      <c r="D1526" s="103"/>
      <c r="E1526" s="103"/>
      <c r="F1526" s="103"/>
      <c r="G1526" s="103"/>
      <c r="H1526" s="131"/>
      <c r="I1526" s="468"/>
      <c r="J1526" s="16"/>
      <c r="K1526" s="16"/>
      <c r="L1526" s="8"/>
      <c r="M1526" s="69"/>
      <c r="N1526" s="69"/>
      <c r="O1526" s="69"/>
      <c r="P1526" s="534"/>
      <c r="Q1526" s="274"/>
      <c r="R1526" s="472"/>
      <c r="S1526" s="535"/>
      <c r="T1526" s="535"/>
      <c r="U1526" s="536"/>
      <c r="V1526" s="474"/>
      <c r="Y1526" s="89"/>
      <c r="Z1526" s="60"/>
      <c r="AA1526" s="60"/>
      <c r="AB1526" s="60"/>
      <c r="AC1526" s="30"/>
      <c r="AD1526" s="30"/>
      <c r="AE1526" s="475"/>
      <c r="AF1526" s="476"/>
      <c r="AG1526" s="474"/>
      <c r="AH1526" s="138"/>
    </row>
    <row r="1527">
      <c r="A1527" s="103"/>
      <c r="B1527" s="533"/>
      <c r="C1527" s="533"/>
      <c r="D1527" s="103"/>
      <c r="E1527" s="103"/>
      <c r="F1527" s="103"/>
      <c r="G1527" s="103"/>
      <c r="H1527" s="131"/>
      <c r="I1527" s="468"/>
      <c r="J1527" s="16"/>
      <c r="K1527" s="16"/>
      <c r="L1527" s="8"/>
      <c r="M1527" s="69"/>
      <c r="N1527" s="69"/>
      <c r="O1527" s="69"/>
      <c r="P1527" s="534"/>
      <c r="Q1527" s="274"/>
      <c r="R1527" s="472"/>
      <c r="S1527" s="535"/>
      <c r="T1527" s="535"/>
      <c r="U1527" s="536"/>
      <c r="V1527" s="474"/>
      <c r="Y1527" s="89"/>
      <c r="Z1527" s="60"/>
      <c r="AA1527" s="60"/>
      <c r="AB1527" s="60"/>
      <c r="AC1527" s="30"/>
      <c r="AD1527" s="30"/>
      <c r="AE1527" s="475"/>
      <c r="AF1527" s="476"/>
      <c r="AG1527" s="474"/>
      <c r="AH1527" s="138"/>
    </row>
    <row r="1528">
      <c r="A1528" s="103"/>
      <c r="B1528" s="533"/>
      <c r="C1528" s="533"/>
      <c r="D1528" s="103"/>
      <c r="E1528" s="103"/>
      <c r="F1528" s="103"/>
      <c r="G1528" s="103"/>
      <c r="H1528" s="131"/>
      <c r="I1528" s="468"/>
      <c r="J1528" s="16"/>
      <c r="K1528" s="16"/>
      <c r="L1528" s="8"/>
      <c r="M1528" s="69"/>
      <c r="N1528" s="69"/>
      <c r="O1528" s="69"/>
      <c r="P1528" s="534"/>
      <c r="Q1528" s="274"/>
      <c r="R1528" s="472"/>
      <c r="S1528" s="535"/>
      <c r="T1528" s="535"/>
      <c r="U1528" s="536"/>
      <c r="V1528" s="474"/>
      <c r="Y1528" s="89"/>
      <c r="Z1528" s="60"/>
      <c r="AA1528" s="60"/>
      <c r="AB1528" s="60"/>
      <c r="AC1528" s="30"/>
      <c r="AD1528" s="30"/>
      <c r="AE1528" s="475"/>
      <c r="AF1528" s="476"/>
      <c r="AG1528" s="474"/>
      <c r="AH1528" s="138"/>
    </row>
    <row r="1529">
      <c r="A1529" s="103"/>
      <c r="B1529" s="533"/>
      <c r="C1529" s="533"/>
      <c r="D1529" s="103"/>
      <c r="E1529" s="103"/>
      <c r="F1529" s="103"/>
      <c r="G1529" s="103"/>
      <c r="H1529" s="131"/>
      <c r="I1529" s="468"/>
      <c r="J1529" s="16"/>
      <c r="K1529" s="16"/>
      <c r="L1529" s="8"/>
      <c r="M1529" s="69"/>
      <c r="N1529" s="69"/>
      <c r="O1529" s="69"/>
      <c r="P1529" s="534"/>
      <c r="Q1529" s="274"/>
      <c r="R1529" s="472"/>
      <c r="S1529" s="535"/>
      <c r="T1529" s="535"/>
      <c r="U1529" s="536"/>
      <c r="V1529" s="474"/>
      <c r="Y1529" s="89"/>
      <c r="Z1529" s="60"/>
      <c r="AA1529" s="60"/>
      <c r="AB1529" s="60"/>
      <c r="AC1529" s="30"/>
      <c r="AD1529" s="30"/>
      <c r="AE1529" s="475"/>
      <c r="AF1529" s="476"/>
      <c r="AG1529" s="474"/>
      <c r="AH1529" s="138"/>
    </row>
    <row r="1530">
      <c r="A1530" s="103"/>
      <c r="B1530" s="533"/>
      <c r="C1530" s="533"/>
      <c r="D1530" s="103"/>
      <c r="E1530" s="103"/>
      <c r="F1530" s="103"/>
      <c r="G1530" s="103"/>
      <c r="H1530" s="131"/>
      <c r="I1530" s="468"/>
      <c r="J1530" s="16"/>
      <c r="K1530" s="16"/>
      <c r="L1530" s="8"/>
      <c r="M1530" s="69"/>
      <c r="N1530" s="69"/>
      <c r="O1530" s="69"/>
      <c r="P1530" s="534"/>
      <c r="Q1530" s="274"/>
      <c r="R1530" s="472"/>
      <c r="S1530" s="535"/>
      <c r="T1530" s="535"/>
      <c r="U1530" s="536"/>
      <c r="V1530" s="474"/>
      <c r="Y1530" s="89"/>
      <c r="Z1530" s="60"/>
      <c r="AA1530" s="60"/>
      <c r="AB1530" s="60"/>
      <c r="AC1530" s="30"/>
      <c r="AD1530" s="30"/>
      <c r="AE1530" s="475"/>
      <c r="AF1530" s="476"/>
      <c r="AG1530" s="474"/>
      <c r="AH1530" s="138"/>
    </row>
    <row r="1531">
      <c r="A1531" s="103"/>
      <c r="B1531" s="533"/>
      <c r="C1531" s="533"/>
      <c r="D1531" s="103"/>
      <c r="E1531" s="103"/>
      <c r="F1531" s="103"/>
      <c r="G1531" s="103"/>
      <c r="H1531" s="131"/>
      <c r="I1531" s="468"/>
      <c r="J1531" s="16"/>
      <c r="K1531" s="16"/>
      <c r="L1531" s="8"/>
      <c r="M1531" s="69"/>
      <c r="N1531" s="69"/>
      <c r="O1531" s="69"/>
      <c r="P1531" s="534"/>
      <c r="Q1531" s="274"/>
      <c r="R1531" s="472"/>
      <c r="S1531" s="535"/>
      <c r="T1531" s="535"/>
      <c r="U1531" s="536"/>
      <c r="V1531" s="474"/>
      <c r="Y1531" s="89"/>
      <c r="Z1531" s="60"/>
      <c r="AA1531" s="60"/>
      <c r="AB1531" s="60"/>
      <c r="AC1531" s="30"/>
      <c r="AD1531" s="30"/>
      <c r="AE1531" s="475"/>
      <c r="AF1531" s="476"/>
      <c r="AG1531" s="474"/>
      <c r="AH1531" s="138"/>
    </row>
    <row r="1532">
      <c r="A1532" s="103"/>
      <c r="B1532" s="533"/>
      <c r="C1532" s="533"/>
      <c r="D1532" s="103"/>
      <c r="E1532" s="103"/>
      <c r="F1532" s="103"/>
      <c r="G1532" s="103"/>
      <c r="H1532" s="131"/>
      <c r="I1532" s="468"/>
      <c r="J1532" s="16"/>
      <c r="K1532" s="16"/>
      <c r="L1532" s="8"/>
      <c r="M1532" s="69"/>
      <c r="N1532" s="69"/>
      <c r="O1532" s="69"/>
      <c r="P1532" s="534"/>
      <c r="Q1532" s="274"/>
      <c r="R1532" s="472"/>
      <c r="S1532" s="535"/>
      <c r="T1532" s="535"/>
      <c r="U1532" s="536"/>
      <c r="V1532" s="474"/>
      <c r="Y1532" s="89"/>
      <c r="Z1532" s="60"/>
      <c r="AA1532" s="60"/>
      <c r="AB1532" s="60"/>
      <c r="AC1532" s="30"/>
      <c r="AD1532" s="30"/>
      <c r="AE1532" s="475"/>
      <c r="AF1532" s="476"/>
      <c r="AG1532" s="474"/>
      <c r="AH1532" s="138"/>
    </row>
    <row r="1533">
      <c r="A1533" s="103"/>
      <c r="B1533" s="533"/>
      <c r="C1533" s="533"/>
      <c r="D1533" s="103"/>
      <c r="E1533" s="103"/>
      <c r="F1533" s="103"/>
      <c r="G1533" s="103"/>
      <c r="H1533" s="131"/>
      <c r="I1533" s="468"/>
      <c r="J1533" s="16"/>
      <c r="K1533" s="16"/>
      <c r="L1533" s="8"/>
      <c r="M1533" s="69"/>
      <c r="N1533" s="69"/>
      <c r="O1533" s="69"/>
      <c r="P1533" s="534"/>
      <c r="Q1533" s="274"/>
      <c r="R1533" s="472"/>
      <c r="S1533" s="535"/>
      <c r="T1533" s="535"/>
      <c r="U1533" s="536"/>
      <c r="V1533" s="474"/>
      <c r="Y1533" s="89"/>
      <c r="Z1533" s="60"/>
      <c r="AA1533" s="60"/>
      <c r="AB1533" s="60"/>
      <c r="AC1533" s="30"/>
      <c r="AD1533" s="30"/>
      <c r="AE1533" s="475"/>
      <c r="AF1533" s="476"/>
      <c r="AG1533" s="474"/>
      <c r="AH1533" s="138"/>
    </row>
    <row r="1534">
      <c r="A1534" s="103"/>
      <c r="B1534" s="533"/>
      <c r="C1534" s="533"/>
      <c r="D1534" s="103"/>
      <c r="E1534" s="103"/>
      <c r="F1534" s="103"/>
      <c r="G1534" s="103"/>
      <c r="H1534" s="131"/>
      <c r="I1534" s="468"/>
      <c r="J1534" s="16"/>
      <c r="K1534" s="16"/>
      <c r="L1534" s="8"/>
      <c r="M1534" s="69"/>
      <c r="N1534" s="69"/>
      <c r="O1534" s="69"/>
      <c r="P1534" s="534"/>
      <c r="Q1534" s="274"/>
      <c r="R1534" s="472"/>
      <c r="S1534" s="535"/>
      <c r="T1534" s="535"/>
      <c r="U1534" s="536"/>
      <c r="V1534" s="474"/>
      <c r="Y1534" s="89"/>
      <c r="Z1534" s="60"/>
      <c r="AA1534" s="60"/>
      <c r="AB1534" s="60"/>
      <c r="AC1534" s="30"/>
      <c r="AD1534" s="30"/>
      <c r="AE1534" s="475"/>
      <c r="AF1534" s="476"/>
      <c r="AG1534" s="474"/>
      <c r="AH1534" s="138"/>
    </row>
    <row r="1535">
      <c r="A1535" s="103"/>
      <c r="B1535" s="533"/>
      <c r="C1535" s="533"/>
      <c r="D1535" s="103"/>
      <c r="E1535" s="103"/>
      <c r="F1535" s="103"/>
      <c r="G1535" s="103"/>
      <c r="H1535" s="131"/>
      <c r="I1535" s="468"/>
      <c r="J1535" s="16"/>
      <c r="K1535" s="16"/>
      <c r="L1535" s="8"/>
      <c r="M1535" s="69"/>
      <c r="N1535" s="69"/>
      <c r="O1535" s="69"/>
      <c r="P1535" s="534"/>
      <c r="Q1535" s="274"/>
      <c r="R1535" s="472"/>
      <c r="S1535" s="535"/>
      <c r="T1535" s="535"/>
      <c r="U1535" s="536"/>
      <c r="V1535" s="474"/>
      <c r="Y1535" s="89"/>
      <c r="Z1535" s="60"/>
      <c r="AA1535" s="60"/>
      <c r="AB1535" s="60"/>
      <c r="AC1535" s="30"/>
      <c r="AD1535" s="30"/>
      <c r="AE1535" s="475"/>
      <c r="AF1535" s="476"/>
      <c r="AG1535" s="474"/>
      <c r="AH1535" s="138"/>
    </row>
    <row r="1536">
      <c r="A1536" s="103"/>
      <c r="B1536" s="533"/>
      <c r="C1536" s="533"/>
      <c r="D1536" s="103"/>
      <c r="E1536" s="103"/>
      <c r="F1536" s="103"/>
      <c r="G1536" s="103"/>
      <c r="H1536" s="131"/>
      <c r="I1536" s="468"/>
      <c r="J1536" s="16"/>
      <c r="K1536" s="16"/>
      <c r="L1536" s="8"/>
      <c r="M1536" s="69"/>
      <c r="N1536" s="69"/>
      <c r="O1536" s="69"/>
      <c r="P1536" s="534"/>
      <c r="Q1536" s="274"/>
      <c r="R1536" s="472"/>
      <c r="S1536" s="535"/>
      <c r="T1536" s="535"/>
      <c r="U1536" s="536"/>
      <c r="V1536" s="474"/>
      <c r="Y1536" s="89"/>
      <c r="Z1536" s="60"/>
      <c r="AA1536" s="60"/>
      <c r="AB1536" s="60"/>
      <c r="AC1536" s="30"/>
      <c r="AD1536" s="30"/>
      <c r="AE1536" s="475"/>
      <c r="AF1536" s="476"/>
      <c r="AG1536" s="474"/>
      <c r="AH1536" s="138"/>
    </row>
    <row r="1537">
      <c r="A1537" s="103"/>
      <c r="B1537" s="533"/>
      <c r="C1537" s="533"/>
      <c r="D1537" s="103"/>
      <c r="E1537" s="103"/>
      <c r="F1537" s="103"/>
      <c r="G1537" s="103"/>
      <c r="H1537" s="131"/>
      <c r="I1537" s="468"/>
      <c r="J1537" s="16"/>
      <c r="K1537" s="16"/>
      <c r="L1537" s="8"/>
      <c r="M1537" s="69"/>
      <c r="N1537" s="69"/>
      <c r="O1537" s="69"/>
      <c r="P1537" s="534"/>
      <c r="Q1537" s="274"/>
      <c r="R1537" s="472"/>
      <c r="S1537" s="535"/>
      <c r="T1537" s="535"/>
      <c r="U1537" s="536"/>
      <c r="V1537" s="474"/>
      <c r="Y1537" s="89"/>
      <c r="Z1537" s="60"/>
      <c r="AA1537" s="60"/>
      <c r="AB1537" s="60"/>
      <c r="AC1537" s="30"/>
      <c r="AD1537" s="30"/>
      <c r="AE1537" s="475"/>
      <c r="AF1537" s="476"/>
      <c r="AG1537" s="474"/>
      <c r="AH1537" s="138"/>
    </row>
    <row r="1538">
      <c r="A1538" s="103"/>
      <c r="B1538" s="533"/>
      <c r="C1538" s="533"/>
      <c r="D1538" s="103"/>
      <c r="E1538" s="103"/>
      <c r="F1538" s="103"/>
      <c r="G1538" s="103"/>
      <c r="H1538" s="131"/>
      <c r="I1538" s="468"/>
      <c r="J1538" s="16"/>
      <c r="K1538" s="16"/>
      <c r="L1538" s="8"/>
      <c r="M1538" s="69"/>
      <c r="N1538" s="69"/>
      <c r="O1538" s="69"/>
      <c r="P1538" s="534"/>
      <c r="Q1538" s="274"/>
      <c r="R1538" s="472"/>
      <c r="S1538" s="535"/>
      <c r="T1538" s="535"/>
      <c r="U1538" s="536"/>
      <c r="V1538" s="474"/>
      <c r="Y1538" s="89"/>
      <c r="Z1538" s="60"/>
      <c r="AA1538" s="60"/>
      <c r="AB1538" s="60"/>
      <c r="AC1538" s="30"/>
      <c r="AD1538" s="30"/>
      <c r="AE1538" s="475"/>
      <c r="AF1538" s="476"/>
      <c r="AG1538" s="474"/>
      <c r="AH1538" s="138"/>
    </row>
    <row r="1539">
      <c r="A1539" s="103"/>
      <c r="B1539" s="533"/>
      <c r="C1539" s="533"/>
      <c r="D1539" s="103"/>
      <c r="E1539" s="103"/>
      <c r="F1539" s="103"/>
      <c r="G1539" s="103"/>
      <c r="H1539" s="131"/>
      <c r="I1539" s="468"/>
      <c r="J1539" s="16"/>
      <c r="K1539" s="16"/>
      <c r="L1539" s="8"/>
      <c r="M1539" s="69"/>
      <c r="N1539" s="69"/>
      <c r="O1539" s="69"/>
      <c r="P1539" s="534"/>
      <c r="Q1539" s="274"/>
      <c r="R1539" s="472"/>
      <c r="S1539" s="535"/>
      <c r="T1539" s="535"/>
      <c r="U1539" s="536"/>
      <c r="V1539" s="474"/>
      <c r="Y1539" s="89"/>
      <c r="Z1539" s="60"/>
      <c r="AA1539" s="60"/>
      <c r="AB1539" s="60"/>
      <c r="AC1539" s="30"/>
      <c r="AD1539" s="30"/>
      <c r="AE1539" s="475"/>
      <c r="AF1539" s="476"/>
      <c r="AG1539" s="474"/>
      <c r="AH1539" s="138"/>
    </row>
    <row r="1540">
      <c r="A1540" s="103"/>
      <c r="B1540" s="533"/>
      <c r="C1540" s="533"/>
      <c r="D1540" s="103"/>
      <c r="E1540" s="103"/>
      <c r="F1540" s="103"/>
      <c r="G1540" s="103"/>
      <c r="H1540" s="131"/>
      <c r="I1540" s="468"/>
      <c r="J1540" s="16"/>
      <c r="K1540" s="16"/>
      <c r="L1540" s="8"/>
      <c r="M1540" s="69"/>
      <c r="N1540" s="69"/>
      <c r="O1540" s="69"/>
      <c r="P1540" s="534"/>
      <c r="Q1540" s="274"/>
      <c r="R1540" s="472"/>
      <c r="S1540" s="535"/>
      <c r="T1540" s="535"/>
      <c r="U1540" s="536"/>
      <c r="V1540" s="474"/>
      <c r="Y1540" s="89"/>
      <c r="Z1540" s="60"/>
      <c r="AA1540" s="60"/>
      <c r="AB1540" s="60"/>
      <c r="AC1540" s="30"/>
      <c r="AD1540" s="30"/>
      <c r="AE1540" s="475"/>
      <c r="AF1540" s="476"/>
      <c r="AG1540" s="474"/>
      <c r="AH1540" s="138"/>
    </row>
    <row r="1541">
      <c r="A1541" s="103"/>
      <c r="B1541" s="533"/>
      <c r="C1541" s="533"/>
      <c r="D1541" s="103"/>
      <c r="E1541" s="103"/>
      <c r="F1541" s="103"/>
      <c r="G1541" s="103"/>
      <c r="H1541" s="131"/>
      <c r="I1541" s="468"/>
      <c r="J1541" s="16"/>
      <c r="K1541" s="16"/>
      <c r="L1541" s="8"/>
      <c r="M1541" s="69"/>
      <c r="N1541" s="69"/>
      <c r="O1541" s="69"/>
      <c r="P1541" s="534"/>
      <c r="Q1541" s="274"/>
      <c r="R1541" s="472"/>
      <c r="S1541" s="535"/>
      <c r="T1541" s="535"/>
      <c r="U1541" s="536"/>
      <c r="V1541" s="474"/>
      <c r="Y1541" s="89"/>
      <c r="Z1541" s="60"/>
      <c r="AA1541" s="60"/>
      <c r="AB1541" s="60"/>
      <c r="AC1541" s="30"/>
      <c r="AD1541" s="30"/>
      <c r="AE1541" s="475"/>
      <c r="AF1541" s="476"/>
      <c r="AG1541" s="474"/>
      <c r="AH1541" s="138"/>
    </row>
    <row r="1542">
      <c r="A1542" s="103"/>
      <c r="B1542" s="533"/>
      <c r="C1542" s="533"/>
      <c r="D1542" s="103"/>
      <c r="E1542" s="103"/>
      <c r="F1542" s="103"/>
      <c r="G1542" s="103"/>
      <c r="H1542" s="131"/>
      <c r="I1542" s="468"/>
      <c r="J1542" s="16"/>
      <c r="K1542" s="16"/>
      <c r="L1542" s="8"/>
      <c r="M1542" s="69"/>
      <c r="N1542" s="69"/>
      <c r="O1542" s="69"/>
      <c r="P1542" s="534"/>
      <c r="Q1542" s="274"/>
      <c r="R1542" s="472"/>
      <c r="S1542" s="535"/>
      <c r="T1542" s="535"/>
      <c r="U1542" s="536"/>
      <c r="V1542" s="474"/>
      <c r="Y1542" s="89"/>
      <c r="Z1542" s="60"/>
      <c r="AA1542" s="60"/>
      <c r="AB1542" s="60"/>
      <c r="AC1542" s="30"/>
      <c r="AD1542" s="30"/>
      <c r="AE1542" s="475"/>
      <c r="AF1542" s="476"/>
      <c r="AG1542" s="474"/>
      <c r="AH1542" s="138"/>
    </row>
    <row r="1543">
      <c r="A1543" s="103"/>
      <c r="B1543" s="533"/>
      <c r="C1543" s="533"/>
      <c r="D1543" s="103"/>
      <c r="E1543" s="103"/>
      <c r="F1543" s="103"/>
      <c r="G1543" s="103"/>
      <c r="H1543" s="131"/>
      <c r="I1543" s="468"/>
      <c r="J1543" s="16"/>
      <c r="K1543" s="16"/>
      <c r="L1543" s="8"/>
      <c r="M1543" s="69"/>
      <c r="N1543" s="69"/>
      <c r="O1543" s="69"/>
      <c r="P1543" s="534"/>
      <c r="Q1543" s="274"/>
      <c r="R1543" s="472"/>
      <c r="S1543" s="535"/>
      <c r="T1543" s="535"/>
      <c r="U1543" s="536"/>
      <c r="V1543" s="474"/>
      <c r="Y1543" s="89"/>
      <c r="Z1543" s="60"/>
      <c r="AA1543" s="60"/>
      <c r="AB1543" s="60"/>
      <c r="AC1543" s="30"/>
      <c r="AD1543" s="30"/>
      <c r="AE1543" s="475"/>
      <c r="AF1543" s="476"/>
      <c r="AG1543" s="474"/>
      <c r="AH1543" s="138"/>
    </row>
    <row r="1544">
      <c r="A1544" s="103"/>
      <c r="B1544" s="533"/>
      <c r="C1544" s="533"/>
      <c r="D1544" s="103"/>
      <c r="E1544" s="103"/>
      <c r="F1544" s="103"/>
      <c r="G1544" s="103"/>
      <c r="H1544" s="131"/>
      <c r="I1544" s="468"/>
      <c r="J1544" s="16"/>
      <c r="K1544" s="16"/>
      <c r="L1544" s="8"/>
      <c r="M1544" s="69"/>
      <c r="N1544" s="69"/>
      <c r="O1544" s="69"/>
      <c r="P1544" s="534"/>
      <c r="Q1544" s="274"/>
      <c r="R1544" s="472"/>
      <c r="S1544" s="535"/>
      <c r="T1544" s="535"/>
      <c r="U1544" s="536"/>
      <c r="V1544" s="474"/>
      <c r="Y1544" s="89"/>
      <c r="Z1544" s="60"/>
      <c r="AA1544" s="60"/>
      <c r="AB1544" s="60"/>
      <c r="AC1544" s="30"/>
      <c r="AD1544" s="30"/>
      <c r="AE1544" s="475"/>
      <c r="AF1544" s="476"/>
      <c r="AG1544" s="474"/>
      <c r="AH1544" s="138"/>
    </row>
    <row r="1545">
      <c r="A1545" s="103"/>
      <c r="B1545" s="533"/>
      <c r="C1545" s="533"/>
      <c r="D1545" s="103"/>
      <c r="E1545" s="103"/>
      <c r="F1545" s="103"/>
      <c r="G1545" s="103"/>
      <c r="H1545" s="131"/>
      <c r="I1545" s="468"/>
      <c r="J1545" s="16"/>
      <c r="K1545" s="16"/>
      <c r="L1545" s="8"/>
      <c r="M1545" s="69"/>
      <c r="N1545" s="69"/>
      <c r="O1545" s="69"/>
      <c r="P1545" s="534"/>
      <c r="Q1545" s="274"/>
      <c r="R1545" s="472"/>
      <c r="S1545" s="535"/>
      <c r="T1545" s="535"/>
      <c r="U1545" s="536"/>
      <c r="V1545" s="474"/>
      <c r="Y1545" s="89"/>
      <c r="Z1545" s="60"/>
      <c r="AA1545" s="60"/>
      <c r="AB1545" s="60"/>
      <c r="AC1545" s="30"/>
      <c r="AD1545" s="30"/>
      <c r="AE1545" s="475"/>
      <c r="AF1545" s="476"/>
      <c r="AG1545" s="474"/>
      <c r="AH1545" s="138"/>
    </row>
    <row r="1546">
      <c r="A1546" s="103"/>
      <c r="B1546" s="533"/>
      <c r="C1546" s="533"/>
      <c r="D1546" s="103"/>
      <c r="E1546" s="103"/>
      <c r="F1546" s="103"/>
      <c r="G1546" s="103"/>
      <c r="H1546" s="131"/>
      <c r="I1546" s="468"/>
      <c r="J1546" s="16"/>
      <c r="K1546" s="16"/>
      <c r="L1546" s="8"/>
      <c r="M1546" s="69"/>
      <c r="N1546" s="69"/>
      <c r="O1546" s="69"/>
      <c r="P1546" s="534"/>
      <c r="Q1546" s="274"/>
      <c r="R1546" s="472"/>
      <c r="S1546" s="535"/>
      <c r="T1546" s="535"/>
      <c r="U1546" s="536"/>
      <c r="V1546" s="474"/>
      <c r="Y1546" s="89"/>
      <c r="Z1546" s="60"/>
      <c r="AA1546" s="60"/>
      <c r="AB1546" s="60"/>
      <c r="AC1546" s="30"/>
      <c r="AD1546" s="30"/>
      <c r="AE1546" s="475"/>
      <c r="AF1546" s="476"/>
      <c r="AG1546" s="474"/>
      <c r="AH1546" s="138"/>
    </row>
    <row r="1547">
      <c r="A1547" s="103"/>
      <c r="B1547" s="533"/>
      <c r="C1547" s="533"/>
      <c r="D1547" s="103"/>
      <c r="E1547" s="103"/>
      <c r="F1547" s="103"/>
      <c r="G1547" s="103"/>
      <c r="H1547" s="131"/>
      <c r="I1547" s="468"/>
      <c r="J1547" s="16"/>
      <c r="K1547" s="16"/>
      <c r="L1547" s="8"/>
      <c r="M1547" s="69"/>
      <c r="N1547" s="69"/>
      <c r="O1547" s="69"/>
      <c r="P1547" s="534"/>
      <c r="Q1547" s="274"/>
      <c r="R1547" s="472"/>
      <c r="S1547" s="535"/>
      <c r="T1547" s="535"/>
      <c r="U1547" s="536"/>
      <c r="V1547" s="474"/>
      <c r="Y1547" s="89"/>
      <c r="Z1547" s="60"/>
      <c r="AA1547" s="60"/>
      <c r="AB1547" s="60"/>
      <c r="AC1547" s="30"/>
      <c r="AD1547" s="30"/>
      <c r="AE1547" s="475"/>
      <c r="AF1547" s="476"/>
      <c r="AG1547" s="474"/>
      <c r="AH1547" s="138"/>
    </row>
    <row r="1548">
      <c r="A1548" s="103"/>
      <c r="B1548" s="533"/>
      <c r="C1548" s="533"/>
      <c r="D1548" s="103"/>
      <c r="E1548" s="103"/>
      <c r="F1548" s="103"/>
      <c r="G1548" s="103"/>
      <c r="H1548" s="131"/>
      <c r="I1548" s="468"/>
      <c r="J1548" s="16"/>
      <c r="K1548" s="16"/>
      <c r="L1548" s="8"/>
      <c r="M1548" s="69"/>
      <c r="N1548" s="69"/>
      <c r="O1548" s="69"/>
      <c r="P1548" s="534"/>
      <c r="Q1548" s="274"/>
      <c r="R1548" s="472"/>
      <c r="S1548" s="535"/>
      <c r="T1548" s="535"/>
      <c r="U1548" s="536"/>
      <c r="V1548" s="474"/>
      <c r="Y1548" s="89"/>
      <c r="Z1548" s="60"/>
      <c r="AA1548" s="60"/>
      <c r="AB1548" s="60"/>
      <c r="AC1548" s="30"/>
      <c r="AD1548" s="30"/>
      <c r="AE1548" s="475"/>
      <c r="AF1548" s="476"/>
      <c r="AG1548" s="474"/>
      <c r="AH1548" s="138"/>
    </row>
    <row r="1549">
      <c r="A1549" s="103"/>
      <c r="B1549" s="533"/>
      <c r="C1549" s="533"/>
      <c r="D1549" s="103"/>
      <c r="E1549" s="103"/>
      <c r="F1549" s="103"/>
      <c r="G1549" s="103"/>
      <c r="H1549" s="131"/>
      <c r="I1549" s="468"/>
      <c r="J1549" s="16"/>
      <c r="K1549" s="16"/>
      <c r="L1549" s="8"/>
      <c r="M1549" s="69"/>
      <c r="N1549" s="69"/>
      <c r="O1549" s="69"/>
      <c r="P1549" s="534"/>
      <c r="Q1549" s="274"/>
      <c r="R1549" s="472"/>
      <c r="S1549" s="535"/>
      <c r="T1549" s="535"/>
      <c r="U1549" s="536"/>
      <c r="V1549" s="474"/>
      <c r="Y1549" s="89"/>
      <c r="Z1549" s="60"/>
      <c r="AA1549" s="60"/>
      <c r="AB1549" s="60"/>
      <c r="AC1549" s="30"/>
      <c r="AD1549" s="30"/>
      <c r="AE1549" s="475"/>
      <c r="AF1549" s="476"/>
      <c r="AG1549" s="474"/>
      <c r="AH1549" s="138"/>
    </row>
    <row r="1550">
      <c r="A1550" s="103"/>
      <c r="B1550" s="533"/>
      <c r="C1550" s="533"/>
      <c r="D1550" s="103"/>
      <c r="E1550" s="103"/>
      <c r="F1550" s="103"/>
      <c r="G1550" s="103"/>
      <c r="H1550" s="131"/>
      <c r="I1550" s="468"/>
      <c r="J1550" s="16"/>
      <c r="K1550" s="16"/>
      <c r="L1550" s="8"/>
      <c r="M1550" s="69"/>
      <c r="N1550" s="69"/>
      <c r="O1550" s="69"/>
      <c r="P1550" s="534"/>
      <c r="Q1550" s="274"/>
      <c r="R1550" s="472"/>
      <c r="S1550" s="535"/>
      <c r="T1550" s="535"/>
      <c r="U1550" s="536"/>
      <c r="V1550" s="474"/>
      <c r="Y1550" s="89"/>
      <c r="Z1550" s="60"/>
      <c r="AA1550" s="60"/>
      <c r="AB1550" s="60"/>
      <c r="AC1550" s="30"/>
      <c r="AD1550" s="30"/>
      <c r="AE1550" s="475"/>
      <c r="AF1550" s="476"/>
      <c r="AG1550" s="474"/>
      <c r="AH1550" s="138"/>
    </row>
    <row r="1551">
      <c r="A1551" s="103"/>
      <c r="B1551" s="533"/>
      <c r="C1551" s="533"/>
      <c r="D1551" s="103"/>
      <c r="E1551" s="103"/>
      <c r="F1551" s="103"/>
      <c r="G1551" s="103"/>
      <c r="H1551" s="131"/>
      <c r="I1551" s="468"/>
      <c r="J1551" s="16"/>
      <c r="K1551" s="16"/>
      <c r="L1551" s="8"/>
      <c r="M1551" s="69"/>
      <c r="N1551" s="69"/>
      <c r="O1551" s="69"/>
      <c r="P1551" s="534"/>
      <c r="Q1551" s="274"/>
      <c r="R1551" s="472"/>
      <c r="S1551" s="535"/>
      <c r="T1551" s="535"/>
      <c r="U1551" s="536"/>
      <c r="V1551" s="474"/>
      <c r="Y1551" s="89"/>
      <c r="Z1551" s="60"/>
      <c r="AA1551" s="60"/>
      <c r="AB1551" s="60"/>
      <c r="AC1551" s="30"/>
      <c r="AD1551" s="30"/>
      <c r="AE1551" s="475"/>
      <c r="AF1551" s="476"/>
      <c r="AG1551" s="474"/>
      <c r="AH1551" s="138"/>
    </row>
    <row r="1552">
      <c r="A1552" s="103"/>
      <c r="B1552" s="533"/>
      <c r="C1552" s="533"/>
      <c r="D1552" s="103"/>
      <c r="E1552" s="103"/>
      <c r="F1552" s="103"/>
      <c r="G1552" s="103"/>
      <c r="H1552" s="131"/>
      <c r="I1552" s="468"/>
      <c r="J1552" s="16"/>
      <c r="K1552" s="16"/>
      <c r="L1552" s="8"/>
      <c r="M1552" s="69"/>
      <c r="N1552" s="69"/>
      <c r="O1552" s="69"/>
      <c r="P1552" s="534"/>
      <c r="Q1552" s="274"/>
      <c r="R1552" s="472"/>
      <c r="S1552" s="535"/>
      <c r="T1552" s="535"/>
      <c r="U1552" s="536"/>
      <c r="V1552" s="474"/>
      <c r="Y1552" s="89"/>
      <c r="Z1552" s="60"/>
      <c r="AA1552" s="60"/>
      <c r="AB1552" s="60"/>
      <c r="AC1552" s="30"/>
      <c r="AD1552" s="30"/>
      <c r="AE1552" s="475"/>
      <c r="AF1552" s="476"/>
      <c r="AG1552" s="474"/>
      <c r="AH1552" s="138"/>
    </row>
    <row r="1553">
      <c r="A1553" s="103"/>
      <c r="B1553" s="533"/>
      <c r="C1553" s="533"/>
      <c r="D1553" s="103"/>
      <c r="E1553" s="103"/>
      <c r="F1553" s="103"/>
      <c r="G1553" s="103"/>
      <c r="H1553" s="131"/>
      <c r="I1553" s="468"/>
      <c r="J1553" s="16"/>
      <c r="K1553" s="16"/>
      <c r="L1553" s="8"/>
      <c r="M1553" s="69"/>
      <c r="N1553" s="69"/>
      <c r="O1553" s="69"/>
      <c r="P1553" s="534"/>
      <c r="Q1553" s="274"/>
      <c r="R1553" s="472"/>
      <c r="S1553" s="535"/>
      <c r="T1553" s="535"/>
      <c r="U1553" s="536"/>
      <c r="V1553" s="474"/>
      <c r="Y1553" s="89"/>
      <c r="Z1553" s="60"/>
      <c r="AA1553" s="60"/>
      <c r="AB1553" s="60"/>
      <c r="AC1553" s="30"/>
      <c r="AD1553" s="30"/>
      <c r="AE1553" s="475"/>
      <c r="AF1553" s="476"/>
      <c r="AG1553" s="474"/>
      <c r="AH1553" s="138"/>
    </row>
    <row r="1554">
      <c r="A1554" s="103"/>
      <c r="B1554" s="533"/>
      <c r="C1554" s="533"/>
      <c r="D1554" s="103"/>
      <c r="E1554" s="103"/>
      <c r="F1554" s="103"/>
      <c r="G1554" s="103"/>
      <c r="H1554" s="131"/>
      <c r="I1554" s="468"/>
      <c r="J1554" s="16"/>
      <c r="K1554" s="16"/>
      <c r="L1554" s="8"/>
      <c r="M1554" s="69"/>
      <c r="N1554" s="69"/>
      <c r="O1554" s="69"/>
      <c r="P1554" s="534"/>
      <c r="Q1554" s="274"/>
      <c r="R1554" s="472"/>
      <c r="S1554" s="535"/>
      <c r="T1554" s="535"/>
      <c r="U1554" s="536"/>
      <c r="V1554" s="474"/>
      <c r="Y1554" s="89"/>
      <c r="Z1554" s="60"/>
      <c r="AA1554" s="60"/>
      <c r="AB1554" s="60"/>
      <c r="AC1554" s="30"/>
      <c r="AD1554" s="30"/>
      <c r="AE1554" s="475"/>
      <c r="AF1554" s="476"/>
      <c r="AG1554" s="474"/>
      <c r="AH1554" s="138"/>
    </row>
    <row r="1555">
      <c r="A1555" s="103"/>
      <c r="B1555" s="533"/>
      <c r="C1555" s="533"/>
      <c r="D1555" s="103"/>
      <c r="E1555" s="103"/>
      <c r="F1555" s="103"/>
      <c r="G1555" s="103"/>
      <c r="H1555" s="131"/>
      <c r="I1555" s="468"/>
      <c r="J1555" s="16"/>
      <c r="K1555" s="16"/>
      <c r="L1555" s="8"/>
      <c r="M1555" s="69"/>
      <c r="N1555" s="69"/>
      <c r="O1555" s="69"/>
      <c r="P1555" s="534"/>
      <c r="Q1555" s="274"/>
      <c r="R1555" s="472"/>
      <c r="S1555" s="535"/>
      <c r="T1555" s="535"/>
      <c r="U1555" s="536"/>
      <c r="V1555" s="474"/>
      <c r="Y1555" s="89"/>
      <c r="Z1555" s="60"/>
      <c r="AA1555" s="60"/>
      <c r="AB1555" s="60"/>
      <c r="AC1555" s="30"/>
      <c r="AD1555" s="30"/>
      <c r="AE1555" s="475"/>
      <c r="AF1555" s="476"/>
      <c r="AG1555" s="474"/>
      <c r="AH1555" s="138"/>
    </row>
    <row r="1556">
      <c r="A1556" s="103"/>
      <c r="B1556" s="533"/>
      <c r="C1556" s="533"/>
      <c r="D1556" s="103"/>
      <c r="E1556" s="103"/>
      <c r="F1556" s="103"/>
      <c r="G1556" s="103"/>
      <c r="H1556" s="131"/>
      <c r="I1556" s="468"/>
      <c r="J1556" s="16"/>
      <c r="K1556" s="16"/>
      <c r="L1556" s="8"/>
      <c r="M1556" s="69"/>
      <c r="N1556" s="69"/>
      <c r="O1556" s="69"/>
      <c r="P1556" s="534"/>
      <c r="Q1556" s="274"/>
      <c r="R1556" s="472"/>
      <c r="S1556" s="535"/>
      <c r="T1556" s="535"/>
      <c r="U1556" s="536"/>
      <c r="V1556" s="474"/>
      <c r="Y1556" s="89"/>
      <c r="Z1556" s="60"/>
      <c r="AA1556" s="60"/>
      <c r="AB1556" s="60"/>
      <c r="AC1556" s="30"/>
      <c r="AD1556" s="30"/>
      <c r="AE1556" s="475"/>
      <c r="AF1556" s="476"/>
      <c r="AG1556" s="474"/>
      <c r="AH1556" s="138"/>
    </row>
    <row r="1557">
      <c r="A1557" s="103"/>
      <c r="B1557" s="533"/>
      <c r="C1557" s="533"/>
      <c r="D1557" s="103"/>
      <c r="E1557" s="103"/>
      <c r="F1557" s="103"/>
      <c r="G1557" s="103"/>
      <c r="H1557" s="131"/>
      <c r="I1557" s="468"/>
      <c r="J1557" s="16"/>
      <c r="K1557" s="16"/>
      <c r="L1557" s="8"/>
      <c r="M1557" s="69"/>
      <c r="N1557" s="69"/>
      <c r="O1557" s="69"/>
      <c r="P1557" s="534"/>
      <c r="Q1557" s="274"/>
      <c r="R1557" s="472"/>
      <c r="S1557" s="535"/>
      <c r="T1557" s="535"/>
      <c r="U1557" s="536"/>
      <c r="V1557" s="474"/>
      <c r="Y1557" s="89"/>
      <c r="Z1557" s="60"/>
      <c r="AA1557" s="60"/>
      <c r="AB1557" s="60"/>
      <c r="AC1557" s="30"/>
      <c r="AD1557" s="30"/>
      <c r="AE1557" s="475"/>
      <c r="AF1557" s="476"/>
      <c r="AG1557" s="474"/>
      <c r="AH1557" s="138"/>
    </row>
    <row r="1558">
      <c r="A1558" s="103"/>
      <c r="B1558" s="533"/>
      <c r="C1558" s="533"/>
      <c r="D1558" s="103"/>
      <c r="E1558" s="103"/>
      <c r="F1558" s="103"/>
      <c r="G1558" s="103"/>
      <c r="H1558" s="131"/>
      <c r="I1558" s="468"/>
      <c r="J1558" s="16"/>
      <c r="K1558" s="16"/>
      <c r="L1558" s="8"/>
      <c r="M1558" s="69"/>
      <c r="N1558" s="69"/>
      <c r="O1558" s="69"/>
      <c r="P1558" s="534"/>
      <c r="Q1558" s="274"/>
      <c r="R1558" s="472"/>
      <c r="S1558" s="535"/>
      <c r="T1558" s="535"/>
      <c r="U1558" s="536"/>
      <c r="V1558" s="474"/>
      <c r="Y1558" s="89"/>
      <c r="Z1558" s="60"/>
      <c r="AA1558" s="60"/>
      <c r="AB1558" s="60"/>
      <c r="AC1558" s="30"/>
      <c r="AD1558" s="30"/>
      <c r="AE1558" s="475"/>
      <c r="AF1558" s="476"/>
      <c r="AG1558" s="474"/>
      <c r="AH1558" s="138"/>
    </row>
    <row r="1559">
      <c r="A1559" s="103"/>
      <c r="B1559" s="533"/>
      <c r="C1559" s="533"/>
      <c r="D1559" s="103"/>
      <c r="E1559" s="103"/>
      <c r="F1559" s="103"/>
      <c r="G1559" s="103"/>
      <c r="H1559" s="131"/>
      <c r="I1559" s="468"/>
      <c r="J1559" s="16"/>
      <c r="K1559" s="16"/>
      <c r="L1559" s="8"/>
      <c r="M1559" s="69"/>
      <c r="N1559" s="69"/>
      <c r="O1559" s="69"/>
      <c r="P1559" s="534"/>
      <c r="Q1559" s="274"/>
      <c r="R1559" s="472"/>
      <c r="S1559" s="535"/>
      <c r="T1559" s="535"/>
      <c r="U1559" s="536"/>
      <c r="V1559" s="474"/>
      <c r="Y1559" s="89"/>
      <c r="Z1559" s="60"/>
      <c r="AA1559" s="60"/>
      <c r="AB1559" s="60"/>
      <c r="AC1559" s="30"/>
      <c r="AD1559" s="30"/>
      <c r="AE1559" s="475"/>
      <c r="AF1559" s="476"/>
      <c r="AG1559" s="474"/>
      <c r="AH1559" s="138"/>
    </row>
    <row r="1560">
      <c r="A1560" s="103"/>
      <c r="B1560" s="533"/>
      <c r="C1560" s="533"/>
      <c r="D1560" s="103"/>
      <c r="E1560" s="103"/>
      <c r="F1560" s="103"/>
      <c r="G1560" s="103"/>
      <c r="H1560" s="131"/>
      <c r="I1560" s="468"/>
      <c r="J1560" s="16"/>
      <c r="K1560" s="16"/>
      <c r="L1560" s="8"/>
      <c r="M1560" s="69"/>
      <c r="N1560" s="69"/>
      <c r="O1560" s="69"/>
      <c r="P1560" s="534"/>
      <c r="Q1560" s="274"/>
      <c r="R1560" s="472"/>
      <c r="S1560" s="535"/>
      <c r="T1560" s="535"/>
      <c r="U1560" s="536"/>
      <c r="V1560" s="474"/>
      <c r="Y1560" s="89"/>
      <c r="Z1560" s="60"/>
      <c r="AA1560" s="60"/>
      <c r="AB1560" s="60"/>
      <c r="AC1560" s="30"/>
      <c r="AD1560" s="30"/>
      <c r="AE1560" s="475"/>
      <c r="AF1560" s="476"/>
      <c r="AG1560" s="474"/>
      <c r="AH1560" s="138"/>
    </row>
    <row r="1561">
      <c r="A1561" s="103"/>
      <c r="B1561" s="533"/>
      <c r="C1561" s="533"/>
      <c r="D1561" s="103"/>
      <c r="E1561" s="103"/>
      <c r="F1561" s="103"/>
      <c r="G1561" s="103"/>
      <c r="H1561" s="131"/>
      <c r="I1561" s="468"/>
      <c r="J1561" s="16"/>
      <c r="K1561" s="16"/>
      <c r="L1561" s="8"/>
      <c r="M1561" s="69"/>
      <c r="N1561" s="69"/>
      <c r="O1561" s="69"/>
      <c r="P1561" s="534"/>
      <c r="Q1561" s="274"/>
      <c r="R1561" s="472"/>
      <c r="S1561" s="535"/>
      <c r="T1561" s="535"/>
      <c r="U1561" s="536"/>
      <c r="V1561" s="474"/>
      <c r="Y1561" s="89"/>
      <c r="Z1561" s="60"/>
      <c r="AA1561" s="60"/>
      <c r="AB1561" s="60"/>
      <c r="AC1561" s="30"/>
      <c r="AD1561" s="30"/>
      <c r="AE1561" s="475"/>
      <c r="AF1561" s="476"/>
      <c r="AG1561" s="474"/>
      <c r="AH1561" s="138"/>
    </row>
    <row r="1562">
      <c r="A1562" s="103"/>
      <c r="B1562" s="533"/>
      <c r="C1562" s="533"/>
      <c r="D1562" s="103"/>
      <c r="E1562" s="103"/>
      <c r="F1562" s="103"/>
      <c r="G1562" s="103"/>
      <c r="H1562" s="131"/>
      <c r="I1562" s="468"/>
      <c r="J1562" s="16"/>
      <c r="K1562" s="16"/>
      <c r="L1562" s="8"/>
      <c r="M1562" s="69"/>
      <c r="N1562" s="69"/>
      <c r="O1562" s="69"/>
      <c r="P1562" s="534"/>
      <c r="Q1562" s="274"/>
      <c r="R1562" s="472"/>
      <c r="S1562" s="535"/>
      <c r="T1562" s="535"/>
      <c r="U1562" s="536"/>
      <c r="V1562" s="474"/>
      <c r="Y1562" s="89"/>
      <c r="Z1562" s="60"/>
      <c r="AA1562" s="60"/>
      <c r="AB1562" s="60"/>
      <c r="AC1562" s="30"/>
      <c r="AD1562" s="30"/>
      <c r="AE1562" s="475"/>
      <c r="AF1562" s="476"/>
      <c r="AG1562" s="474"/>
      <c r="AH1562" s="138"/>
    </row>
    <row r="1563">
      <c r="A1563" s="103"/>
      <c r="B1563" s="533"/>
      <c r="C1563" s="533"/>
      <c r="D1563" s="103"/>
      <c r="E1563" s="103"/>
      <c r="F1563" s="103"/>
      <c r="G1563" s="103"/>
      <c r="H1563" s="131"/>
      <c r="I1563" s="468"/>
      <c r="J1563" s="16"/>
      <c r="K1563" s="16"/>
      <c r="L1563" s="8"/>
      <c r="M1563" s="69"/>
      <c r="N1563" s="69"/>
      <c r="O1563" s="69"/>
      <c r="P1563" s="534"/>
      <c r="Q1563" s="274"/>
      <c r="R1563" s="472"/>
      <c r="S1563" s="535"/>
      <c r="T1563" s="535"/>
      <c r="U1563" s="536"/>
      <c r="V1563" s="474"/>
      <c r="Y1563" s="89"/>
      <c r="Z1563" s="60"/>
      <c r="AA1563" s="60"/>
      <c r="AB1563" s="60"/>
      <c r="AC1563" s="30"/>
      <c r="AD1563" s="30"/>
      <c r="AE1563" s="475"/>
      <c r="AF1563" s="476"/>
      <c r="AG1563" s="474"/>
      <c r="AH1563" s="138"/>
    </row>
    <row r="1564">
      <c r="A1564" s="103"/>
      <c r="B1564" s="533"/>
      <c r="C1564" s="533"/>
      <c r="D1564" s="103"/>
      <c r="E1564" s="103"/>
      <c r="F1564" s="103"/>
      <c r="G1564" s="103"/>
      <c r="H1564" s="131"/>
      <c r="I1564" s="468"/>
      <c r="J1564" s="16"/>
      <c r="K1564" s="16"/>
      <c r="L1564" s="8"/>
      <c r="M1564" s="69"/>
      <c r="N1564" s="69"/>
      <c r="O1564" s="69"/>
      <c r="P1564" s="534"/>
      <c r="Q1564" s="274"/>
      <c r="R1564" s="472"/>
      <c r="S1564" s="535"/>
      <c r="T1564" s="535"/>
      <c r="U1564" s="536"/>
      <c r="V1564" s="474"/>
      <c r="Y1564" s="89"/>
      <c r="Z1564" s="60"/>
      <c r="AA1564" s="60"/>
      <c r="AB1564" s="60"/>
      <c r="AC1564" s="30"/>
      <c r="AD1564" s="30"/>
      <c r="AE1564" s="475"/>
      <c r="AF1564" s="476"/>
      <c r="AG1564" s="474"/>
      <c r="AH1564" s="138"/>
    </row>
    <row r="1565">
      <c r="A1565" s="103"/>
      <c r="B1565" s="533"/>
      <c r="C1565" s="533"/>
      <c r="D1565" s="103"/>
      <c r="E1565" s="103"/>
      <c r="F1565" s="103"/>
      <c r="G1565" s="103"/>
      <c r="H1565" s="131"/>
      <c r="I1565" s="468"/>
      <c r="J1565" s="16"/>
      <c r="K1565" s="16"/>
      <c r="L1565" s="8"/>
      <c r="M1565" s="69"/>
      <c r="N1565" s="69"/>
      <c r="O1565" s="69"/>
      <c r="P1565" s="534"/>
      <c r="Q1565" s="274"/>
      <c r="R1565" s="472"/>
      <c r="S1565" s="535"/>
      <c r="T1565" s="535"/>
      <c r="U1565" s="536"/>
      <c r="V1565" s="474"/>
      <c r="Y1565" s="89"/>
      <c r="Z1565" s="60"/>
      <c r="AA1565" s="60"/>
      <c r="AB1565" s="60"/>
      <c r="AC1565" s="30"/>
      <c r="AD1565" s="30"/>
      <c r="AE1565" s="475"/>
      <c r="AF1565" s="476"/>
      <c r="AG1565" s="474"/>
      <c r="AH1565" s="138"/>
    </row>
    <row r="1566">
      <c r="A1566" s="103"/>
      <c r="B1566" s="533"/>
      <c r="C1566" s="533"/>
      <c r="D1566" s="103"/>
      <c r="E1566" s="103"/>
      <c r="F1566" s="103"/>
      <c r="G1566" s="103"/>
      <c r="H1566" s="131"/>
      <c r="I1566" s="468"/>
      <c r="J1566" s="16"/>
      <c r="K1566" s="16"/>
      <c r="L1566" s="8"/>
      <c r="M1566" s="69"/>
      <c r="N1566" s="69"/>
      <c r="O1566" s="69"/>
      <c r="P1566" s="534"/>
      <c r="Q1566" s="274"/>
      <c r="R1566" s="472"/>
      <c r="S1566" s="535"/>
      <c r="T1566" s="535"/>
      <c r="U1566" s="536"/>
      <c r="V1566" s="474"/>
      <c r="Y1566" s="89"/>
      <c r="Z1566" s="60"/>
      <c r="AA1566" s="60"/>
      <c r="AB1566" s="60"/>
      <c r="AC1566" s="30"/>
      <c r="AD1566" s="30"/>
      <c r="AE1566" s="475"/>
      <c r="AF1566" s="476"/>
      <c r="AG1566" s="474"/>
      <c r="AH1566" s="138"/>
    </row>
    <row r="1567">
      <c r="A1567" s="103"/>
      <c r="B1567" s="533"/>
      <c r="C1567" s="533"/>
      <c r="D1567" s="103"/>
      <c r="E1567" s="103"/>
      <c r="F1567" s="103"/>
      <c r="G1567" s="103"/>
      <c r="H1567" s="131"/>
      <c r="I1567" s="468"/>
      <c r="J1567" s="16"/>
      <c r="K1567" s="16"/>
      <c r="L1567" s="8"/>
      <c r="M1567" s="69"/>
      <c r="N1567" s="69"/>
      <c r="O1567" s="69"/>
      <c r="P1567" s="534"/>
      <c r="Q1567" s="274"/>
      <c r="R1567" s="472"/>
      <c r="S1567" s="535"/>
      <c r="T1567" s="535"/>
      <c r="U1567" s="536"/>
      <c r="V1567" s="474"/>
      <c r="Y1567" s="89"/>
      <c r="Z1567" s="60"/>
      <c r="AA1567" s="60"/>
      <c r="AB1567" s="60"/>
      <c r="AC1567" s="30"/>
      <c r="AD1567" s="30"/>
      <c r="AE1567" s="475"/>
      <c r="AF1567" s="476"/>
      <c r="AG1567" s="474"/>
      <c r="AH1567" s="138"/>
    </row>
    <row r="1568">
      <c r="A1568" s="103"/>
      <c r="B1568" s="533"/>
      <c r="C1568" s="533"/>
      <c r="D1568" s="103"/>
      <c r="E1568" s="103"/>
      <c r="F1568" s="103"/>
      <c r="G1568" s="103"/>
      <c r="H1568" s="131"/>
      <c r="I1568" s="468"/>
      <c r="J1568" s="16"/>
      <c r="K1568" s="16"/>
      <c r="L1568" s="8"/>
      <c r="M1568" s="69"/>
      <c r="N1568" s="69"/>
      <c r="O1568" s="69"/>
      <c r="P1568" s="534"/>
      <c r="Q1568" s="274"/>
      <c r="R1568" s="472"/>
      <c r="S1568" s="535"/>
      <c r="T1568" s="535"/>
      <c r="U1568" s="536"/>
      <c r="V1568" s="474"/>
      <c r="Y1568" s="89"/>
      <c r="Z1568" s="60"/>
      <c r="AA1568" s="60"/>
      <c r="AB1568" s="60"/>
      <c r="AC1568" s="30"/>
      <c r="AD1568" s="30"/>
      <c r="AE1568" s="475"/>
      <c r="AF1568" s="476"/>
      <c r="AG1568" s="474"/>
      <c r="AH1568" s="138"/>
    </row>
    <row r="1569">
      <c r="A1569" s="103"/>
      <c r="B1569" s="533"/>
      <c r="C1569" s="533"/>
      <c r="D1569" s="103"/>
      <c r="E1569" s="103"/>
      <c r="F1569" s="103"/>
      <c r="G1569" s="103"/>
      <c r="H1569" s="131"/>
      <c r="I1569" s="468"/>
      <c r="J1569" s="16"/>
      <c r="K1569" s="16"/>
      <c r="L1569" s="8"/>
      <c r="M1569" s="69"/>
      <c r="N1569" s="69"/>
      <c r="O1569" s="69"/>
      <c r="P1569" s="534"/>
      <c r="Q1569" s="274"/>
      <c r="R1569" s="472"/>
      <c r="S1569" s="535"/>
      <c r="T1569" s="535"/>
      <c r="U1569" s="536"/>
      <c r="V1569" s="474"/>
      <c r="Y1569" s="89"/>
      <c r="Z1569" s="60"/>
      <c r="AA1569" s="60"/>
      <c r="AB1569" s="60"/>
      <c r="AC1569" s="30"/>
      <c r="AD1569" s="30"/>
      <c r="AE1569" s="475"/>
      <c r="AF1569" s="476"/>
      <c r="AG1569" s="474"/>
      <c r="AH1569" s="138"/>
    </row>
    <row r="1570">
      <c r="A1570" s="103"/>
      <c r="B1570" s="533"/>
      <c r="C1570" s="533"/>
      <c r="D1570" s="103"/>
      <c r="E1570" s="103"/>
      <c r="F1570" s="103"/>
      <c r="G1570" s="103"/>
      <c r="H1570" s="131"/>
      <c r="I1570" s="468"/>
      <c r="J1570" s="16"/>
      <c r="K1570" s="16"/>
      <c r="L1570" s="8"/>
      <c r="M1570" s="69"/>
      <c r="N1570" s="69"/>
      <c r="O1570" s="69"/>
      <c r="P1570" s="534"/>
      <c r="Q1570" s="274"/>
      <c r="R1570" s="472"/>
      <c r="S1570" s="535"/>
      <c r="T1570" s="535"/>
      <c r="U1570" s="536"/>
      <c r="V1570" s="474"/>
      <c r="Y1570" s="89"/>
      <c r="Z1570" s="60"/>
      <c r="AA1570" s="60"/>
      <c r="AB1570" s="60"/>
      <c r="AC1570" s="30"/>
      <c r="AD1570" s="30"/>
      <c r="AE1570" s="475"/>
      <c r="AF1570" s="476"/>
      <c r="AG1570" s="474"/>
      <c r="AH1570" s="138"/>
    </row>
    <row r="1571">
      <c r="A1571" s="103"/>
      <c r="B1571" s="533"/>
      <c r="C1571" s="533"/>
      <c r="D1571" s="103"/>
      <c r="E1571" s="103"/>
      <c r="F1571" s="103"/>
      <c r="G1571" s="103"/>
      <c r="H1571" s="131"/>
      <c r="I1571" s="468"/>
      <c r="J1571" s="16"/>
      <c r="K1571" s="16"/>
      <c r="L1571" s="8"/>
      <c r="M1571" s="69"/>
      <c r="N1571" s="69"/>
      <c r="O1571" s="69"/>
      <c r="P1571" s="534"/>
      <c r="Q1571" s="274"/>
      <c r="R1571" s="472"/>
      <c r="S1571" s="535"/>
      <c r="T1571" s="535"/>
      <c r="U1571" s="536"/>
      <c r="V1571" s="474"/>
      <c r="Y1571" s="89"/>
      <c r="Z1571" s="60"/>
      <c r="AA1571" s="60"/>
      <c r="AB1571" s="60"/>
      <c r="AC1571" s="30"/>
      <c r="AD1571" s="30"/>
      <c r="AE1571" s="475"/>
      <c r="AF1571" s="476"/>
      <c r="AG1571" s="474"/>
      <c r="AH1571" s="138"/>
    </row>
    <row r="1572">
      <c r="A1572" s="103"/>
      <c r="B1572" s="533"/>
      <c r="C1572" s="533"/>
      <c r="D1572" s="103"/>
      <c r="E1572" s="103"/>
      <c r="F1572" s="103"/>
      <c r="G1572" s="103"/>
      <c r="H1572" s="131"/>
      <c r="I1572" s="468"/>
      <c r="J1572" s="16"/>
      <c r="K1572" s="16"/>
      <c r="L1572" s="8"/>
      <c r="M1572" s="69"/>
      <c r="N1572" s="69"/>
      <c r="O1572" s="69"/>
      <c r="P1572" s="534"/>
      <c r="Q1572" s="274"/>
      <c r="R1572" s="472"/>
      <c r="S1572" s="535"/>
      <c r="T1572" s="535"/>
      <c r="U1572" s="536"/>
      <c r="V1572" s="474"/>
      <c r="Y1572" s="89"/>
      <c r="Z1572" s="60"/>
      <c r="AA1572" s="60"/>
      <c r="AB1572" s="60"/>
      <c r="AC1572" s="30"/>
      <c r="AD1572" s="30"/>
      <c r="AE1572" s="475"/>
      <c r="AF1572" s="476"/>
      <c r="AG1572" s="474"/>
      <c r="AH1572" s="138"/>
    </row>
    <row r="1573">
      <c r="A1573" s="103"/>
      <c r="B1573" s="533"/>
      <c r="C1573" s="533"/>
      <c r="D1573" s="103"/>
      <c r="E1573" s="103"/>
      <c r="F1573" s="103"/>
      <c r="G1573" s="103"/>
      <c r="H1573" s="131"/>
      <c r="I1573" s="468"/>
      <c r="J1573" s="16"/>
      <c r="K1573" s="16"/>
      <c r="L1573" s="8"/>
      <c r="M1573" s="69"/>
      <c r="N1573" s="69"/>
      <c r="O1573" s="69"/>
      <c r="P1573" s="534"/>
      <c r="Q1573" s="274"/>
      <c r="R1573" s="472"/>
      <c r="S1573" s="535"/>
      <c r="T1573" s="535"/>
      <c r="U1573" s="536"/>
      <c r="V1573" s="474"/>
      <c r="Y1573" s="89"/>
      <c r="Z1573" s="60"/>
      <c r="AA1573" s="60"/>
      <c r="AB1573" s="60"/>
      <c r="AC1573" s="30"/>
      <c r="AD1573" s="30"/>
      <c r="AE1573" s="475"/>
      <c r="AF1573" s="476"/>
      <c r="AG1573" s="474"/>
      <c r="AH1573" s="138"/>
    </row>
    <row r="1574">
      <c r="A1574" s="103"/>
      <c r="B1574" s="533"/>
      <c r="C1574" s="533"/>
      <c r="D1574" s="103"/>
      <c r="E1574" s="103"/>
      <c r="F1574" s="103"/>
      <c r="G1574" s="103"/>
      <c r="H1574" s="131"/>
      <c r="I1574" s="468"/>
      <c r="J1574" s="16"/>
      <c r="K1574" s="16"/>
      <c r="L1574" s="8"/>
      <c r="M1574" s="69"/>
      <c r="N1574" s="69"/>
      <c r="O1574" s="69"/>
      <c r="P1574" s="534"/>
      <c r="Q1574" s="274"/>
      <c r="R1574" s="472"/>
      <c r="S1574" s="535"/>
      <c r="T1574" s="535"/>
      <c r="U1574" s="536"/>
      <c r="V1574" s="474"/>
      <c r="Y1574" s="89"/>
      <c r="Z1574" s="60"/>
      <c r="AA1574" s="60"/>
      <c r="AB1574" s="60"/>
      <c r="AC1574" s="30"/>
      <c r="AD1574" s="30"/>
      <c r="AE1574" s="475"/>
      <c r="AF1574" s="476"/>
      <c r="AG1574" s="474"/>
      <c r="AH1574" s="138"/>
    </row>
    <row r="1575">
      <c r="A1575" s="103"/>
      <c r="B1575" s="533"/>
      <c r="C1575" s="533"/>
      <c r="D1575" s="103"/>
      <c r="E1575" s="103"/>
      <c r="F1575" s="103"/>
      <c r="G1575" s="103"/>
      <c r="H1575" s="131"/>
      <c r="I1575" s="468"/>
      <c r="J1575" s="16"/>
      <c r="K1575" s="16"/>
      <c r="L1575" s="8"/>
      <c r="M1575" s="69"/>
      <c r="N1575" s="69"/>
      <c r="O1575" s="69"/>
      <c r="P1575" s="534"/>
      <c r="Q1575" s="274"/>
      <c r="R1575" s="472"/>
      <c r="S1575" s="535"/>
      <c r="T1575" s="535"/>
      <c r="U1575" s="536"/>
      <c r="V1575" s="474"/>
      <c r="Y1575" s="89"/>
      <c r="Z1575" s="60"/>
      <c r="AA1575" s="60"/>
      <c r="AB1575" s="60"/>
      <c r="AC1575" s="30"/>
      <c r="AD1575" s="30"/>
      <c r="AE1575" s="475"/>
      <c r="AF1575" s="476"/>
      <c r="AG1575" s="474"/>
      <c r="AH1575" s="138"/>
    </row>
    <row r="1576">
      <c r="A1576" s="103"/>
      <c r="B1576" s="533"/>
      <c r="C1576" s="533"/>
      <c r="D1576" s="103"/>
      <c r="E1576" s="103"/>
      <c r="F1576" s="103"/>
      <c r="G1576" s="103"/>
      <c r="H1576" s="131"/>
      <c r="I1576" s="468"/>
      <c r="J1576" s="16"/>
      <c r="K1576" s="16"/>
      <c r="L1576" s="8"/>
      <c r="M1576" s="69"/>
      <c r="N1576" s="69"/>
      <c r="O1576" s="69"/>
      <c r="P1576" s="534"/>
      <c r="Q1576" s="274"/>
      <c r="R1576" s="472"/>
      <c r="S1576" s="535"/>
      <c r="T1576" s="535"/>
      <c r="U1576" s="536"/>
      <c r="V1576" s="474"/>
      <c r="Y1576" s="89"/>
      <c r="Z1576" s="60"/>
      <c r="AA1576" s="60"/>
      <c r="AB1576" s="60"/>
      <c r="AC1576" s="30"/>
      <c r="AD1576" s="30"/>
      <c r="AE1576" s="475"/>
      <c r="AF1576" s="476"/>
      <c r="AG1576" s="474"/>
      <c r="AH1576" s="138"/>
    </row>
    <row r="1577">
      <c r="A1577" s="103"/>
      <c r="B1577" s="533"/>
      <c r="C1577" s="533"/>
      <c r="D1577" s="103"/>
      <c r="E1577" s="103"/>
      <c r="F1577" s="103"/>
      <c r="G1577" s="103"/>
      <c r="H1577" s="131"/>
      <c r="I1577" s="468"/>
      <c r="J1577" s="16"/>
      <c r="K1577" s="16"/>
      <c r="L1577" s="8"/>
      <c r="M1577" s="69"/>
      <c r="N1577" s="69"/>
      <c r="O1577" s="69"/>
      <c r="P1577" s="534"/>
      <c r="Q1577" s="274"/>
      <c r="R1577" s="472"/>
      <c r="S1577" s="535"/>
      <c r="T1577" s="535"/>
      <c r="U1577" s="536"/>
      <c r="V1577" s="474"/>
      <c r="Y1577" s="89"/>
      <c r="Z1577" s="60"/>
      <c r="AA1577" s="60"/>
      <c r="AB1577" s="60"/>
      <c r="AC1577" s="30"/>
      <c r="AD1577" s="30"/>
      <c r="AE1577" s="475"/>
      <c r="AF1577" s="476"/>
      <c r="AG1577" s="474"/>
      <c r="AH1577" s="138"/>
    </row>
    <row r="1578">
      <c r="A1578" s="103"/>
      <c r="B1578" s="533"/>
      <c r="C1578" s="533"/>
      <c r="D1578" s="103"/>
      <c r="E1578" s="103"/>
      <c r="F1578" s="103"/>
      <c r="G1578" s="103"/>
      <c r="H1578" s="131"/>
      <c r="I1578" s="468"/>
      <c r="J1578" s="16"/>
      <c r="K1578" s="16"/>
      <c r="L1578" s="8"/>
      <c r="M1578" s="69"/>
      <c r="N1578" s="69"/>
      <c r="O1578" s="69"/>
      <c r="P1578" s="534"/>
      <c r="Q1578" s="274"/>
      <c r="R1578" s="472"/>
      <c r="S1578" s="535"/>
      <c r="T1578" s="535"/>
      <c r="U1578" s="536"/>
      <c r="V1578" s="474"/>
      <c r="Y1578" s="89"/>
      <c r="Z1578" s="60"/>
      <c r="AA1578" s="60"/>
      <c r="AB1578" s="60"/>
      <c r="AC1578" s="30"/>
      <c r="AD1578" s="30"/>
      <c r="AE1578" s="475"/>
      <c r="AF1578" s="476"/>
      <c r="AG1578" s="474"/>
      <c r="AH1578" s="138"/>
    </row>
    <row r="1579">
      <c r="A1579" s="103"/>
      <c r="B1579" s="533"/>
      <c r="C1579" s="533"/>
      <c r="D1579" s="103"/>
      <c r="E1579" s="103"/>
      <c r="F1579" s="103"/>
      <c r="G1579" s="103"/>
      <c r="H1579" s="131"/>
      <c r="I1579" s="468"/>
      <c r="J1579" s="16"/>
      <c r="K1579" s="16"/>
      <c r="L1579" s="8"/>
      <c r="M1579" s="69"/>
      <c r="N1579" s="69"/>
      <c r="O1579" s="69"/>
      <c r="P1579" s="534"/>
      <c r="Q1579" s="274"/>
      <c r="R1579" s="472"/>
      <c r="S1579" s="535"/>
      <c r="T1579" s="535"/>
      <c r="U1579" s="536"/>
      <c r="V1579" s="474"/>
      <c r="Y1579" s="89"/>
      <c r="Z1579" s="60"/>
      <c r="AA1579" s="60"/>
      <c r="AB1579" s="60"/>
      <c r="AC1579" s="30"/>
      <c r="AD1579" s="30"/>
      <c r="AE1579" s="475"/>
      <c r="AF1579" s="476"/>
      <c r="AG1579" s="474"/>
      <c r="AH1579" s="138"/>
    </row>
    <row r="1580">
      <c r="A1580" s="103"/>
      <c r="B1580" s="533"/>
      <c r="C1580" s="533"/>
      <c r="D1580" s="103"/>
      <c r="E1580" s="103"/>
      <c r="F1580" s="103"/>
      <c r="G1580" s="103"/>
      <c r="H1580" s="131"/>
      <c r="I1580" s="468"/>
      <c r="J1580" s="16"/>
      <c r="K1580" s="16"/>
      <c r="L1580" s="8"/>
      <c r="M1580" s="69"/>
      <c r="N1580" s="69"/>
      <c r="O1580" s="69"/>
      <c r="P1580" s="534"/>
      <c r="Q1580" s="274"/>
      <c r="R1580" s="472"/>
      <c r="S1580" s="535"/>
      <c r="T1580" s="535"/>
      <c r="U1580" s="536"/>
      <c r="V1580" s="474"/>
      <c r="Y1580" s="89"/>
      <c r="Z1580" s="60"/>
      <c r="AA1580" s="60"/>
      <c r="AB1580" s="60"/>
      <c r="AC1580" s="30"/>
      <c r="AD1580" s="30"/>
      <c r="AE1580" s="475"/>
      <c r="AF1580" s="476"/>
      <c r="AG1580" s="474"/>
      <c r="AH1580" s="138"/>
    </row>
    <row r="1581">
      <c r="A1581" s="103"/>
      <c r="B1581" s="533"/>
      <c r="C1581" s="533"/>
      <c r="D1581" s="103"/>
      <c r="E1581" s="103"/>
      <c r="F1581" s="103"/>
      <c r="G1581" s="103"/>
      <c r="H1581" s="131"/>
      <c r="I1581" s="468"/>
      <c r="J1581" s="16"/>
      <c r="K1581" s="16"/>
      <c r="L1581" s="8"/>
      <c r="M1581" s="69"/>
      <c r="N1581" s="69"/>
      <c r="O1581" s="69"/>
      <c r="P1581" s="534"/>
      <c r="Q1581" s="274"/>
      <c r="R1581" s="472"/>
      <c r="S1581" s="535"/>
      <c r="T1581" s="535"/>
      <c r="U1581" s="536"/>
      <c r="V1581" s="474"/>
      <c r="Y1581" s="89"/>
      <c r="Z1581" s="60"/>
      <c r="AA1581" s="60"/>
      <c r="AB1581" s="60"/>
      <c r="AC1581" s="30"/>
      <c r="AD1581" s="30"/>
      <c r="AE1581" s="475"/>
      <c r="AF1581" s="476"/>
      <c r="AG1581" s="474"/>
      <c r="AH1581" s="138"/>
    </row>
    <row r="1582">
      <c r="A1582" s="103"/>
      <c r="B1582" s="533"/>
      <c r="C1582" s="533"/>
      <c r="D1582" s="103"/>
      <c r="E1582" s="103"/>
      <c r="F1582" s="103"/>
      <c r="G1582" s="103"/>
      <c r="H1582" s="131"/>
      <c r="I1582" s="468"/>
      <c r="J1582" s="16"/>
      <c r="K1582" s="16"/>
      <c r="L1582" s="8"/>
      <c r="M1582" s="69"/>
      <c r="N1582" s="69"/>
      <c r="O1582" s="69"/>
      <c r="P1582" s="534"/>
      <c r="Q1582" s="274"/>
      <c r="R1582" s="472"/>
      <c r="S1582" s="535"/>
      <c r="T1582" s="535"/>
      <c r="U1582" s="536"/>
      <c r="V1582" s="474"/>
      <c r="Y1582" s="89"/>
      <c r="Z1582" s="60"/>
      <c r="AA1582" s="60"/>
      <c r="AB1582" s="60"/>
      <c r="AC1582" s="30"/>
      <c r="AD1582" s="30"/>
      <c r="AE1582" s="475"/>
      <c r="AF1582" s="476"/>
      <c r="AG1582" s="474"/>
      <c r="AH1582" s="138"/>
    </row>
    <row r="1583">
      <c r="A1583" s="103"/>
      <c r="B1583" s="533"/>
      <c r="C1583" s="533"/>
      <c r="D1583" s="103"/>
      <c r="E1583" s="103"/>
      <c r="F1583" s="103"/>
      <c r="G1583" s="103"/>
      <c r="H1583" s="131"/>
      <c r="I1583" s="468"/>
      <c r="J1583" s="16"/>
      <c r="K1583" s="16"/>
      <c r="L1583" s="8"/>
      <c r="M1583" s="69"/>
      <c r="N1583" s="69"/>
      <c r="O1583" s="69"/>
      <c r="P1583" s="534"/>
      <c r="Q1583" s="274"/>
      <c r="R1583" s="472"/>
      <c r="S1583" s="535"/>
      <c r="T1583" s="535"/>
      <c r="U1583" s="536"/>
      <c r="V1583" s="474"/>
      <c r="Y1583" s="89"/>
      <c r="Z1583" s="60"/>
      <c r="AA1583" s="60"/>
      <c r="AB1583" s="60"/>
      <c r="AC1583" s="30"/>
      <c r="AD1583" s="30"/>
      <c r="AE1583" s="475"/>
      <c r="AF1583" s="476"/>
      <c r="AG1583" s="474"/>
      <c r="AH1583" s="138"/>
    </row>
    <row r="1584">
      <c r="A1584" s="103"/>
      <c r="B1584" s="533"/>
      <c r="C1584" s="533"/>
      <c r="D1584" s="103"/>
      <c r="E1584" s="103"/>
      <c r="F1584" s="103"/>
      <c r="G1584" s="103"/>
      <c r="H1584" s="131"/>
      <c r="I1584" s="468"/>
      <c r="J1584" s="16"/>
      <c r="K1584" s="16"/>
      <c r="L1584" s="8"/>
      <c r="M1584" s="69"/>
      <c r="N1584" s="69"/>
      <c r="O1584" s="69"/>
      <c r="P1584" s="534"/>
      <c r="Q1584" s="274"/>
      <c r="R1584" s="472"/>
      <c r="S1584" s="535"/>
      <c r="T1584" s="535"/>
      <c r="U1584" s="536"/>
      <c r="V1584" s="474"/>
      <c r="Y1584" s="89"/>
      <c r="Z1584" s="60"/>
      <c r="AA1584" s="60"/>
      <c r="AB1584" s="60"/>
      <c r="AC1584" s="30"/>
      <c r="AD1584" s="30"/>
      <c r="AE1584" s="475"/>
      <c r="AF1584" s="476"/>
      <c r="AG1584" s="474"/>
      <c r="AH1584" s="138"/>
    </row>
    <row r="1585">
      <c r="A1585" s="103"/>
      <c r="B1585" s="533"/>
      <c r="C1585" s="533"/>
      <c r="D1585" s="103"/>
      <c r="E1585" s="103"/>
      <c r="F1585" s="103"/>
      <c r="G1585" s="103"/>
      <c r="H1585" s="131"/>
      <c r="I1585" s="468"/>
      <c r="J1585" s="16"/>
      <c r="K1585" s="16"/>
      <c r="L1585" s="8"/>
      <c r="M1585" s="69"/>
      <c r="N1585" s="69"/>
      <c r="O1585" s="69"/>
      <c r="P1585" s="534"/>
      <c r="Q1585" s="274"/>
      <c r="R1585" s="472"/>
      <c r="S1585" s="535"/>
      <c r="T1585" s="535"/>
      <c r="U1585" s="536"/>
      <c r="V1585" s="474"/>
      <c r="Y1585" s="89"/>
      <c r="Z1585" s="60"/>
      <c r="AA1585" s="60"/>
      <c r="AB1585" s="60"/>
      <c r="AC1585" s="30"/>
      <c r="AD1585" s="30"/>
      <c r="AE1585" s="475"/>
      <c r="AF1585" s="476"/>
      <c r="AG1585" s="474"/>
      <c r="AH1585" s="138"/>
    </row>
    <row r="1586">
      <c r="A1586" s="103"/>
      <c r="B1586" s="533"/>
      <c r="C1586" s="533"/>
      <c r="D1586" s="103"/>
      <c r="E1586" s="103"/>
      <c r="F1586" s="103"/>
      <c r="G1586" s="103"/>
      <c r="H1586" s="131"/>
      <c r="I1586" s="468"/>
      <c r="J1586" s="16"/>
      <c r="K1586" s="16"/>
      <c r="L1586" s="8"/>
      <c r="M1586" s="69"/>
      <c r="N1586" s="69"/>
      <c r="O1586" s="69"/>
      <c r="P1586" s="534"/>
      <c r="Q1586" s="274"/>
      <c r="R1586" s="472"/>
      <c r="S1586" s="535"/>
      <c r="T1586" s="535"/>
      <c r="U1586" s="536"/>
      <c r="V1586" s="474"/>
      <c r="Y1586" s="89"/>
      <c r="Z1586" s="60"/>
      <c r="AA1586" s="60"/>
      <c r="AB1586" s="60"/>
      <c r="AC1586" s="30"/>
      <c r="AD1586" s="30"/>
      <c r="AE1586" s="475"/>
      <c r="AF1586" s="476"/>
      <c r="AG1586" s="474"/>
      <c r="AH1586" s="138"/>
    </row>
    <row r="1587">
      <c r="A1587" s="103"/>
      <c r="B1587" s="533"/>
      <c r="C1587" s="533"/>
      <c r="D1587" s="103"/>
      <c r="E1587" s="103"/>
      <c r="F1587" s="103"/>
      <c r="G1587" s="103"/>
      <c r="H1587" s="131"/>
      <c r="I1587" s="468"/>
      <c r="J1587" s="16"/>
      <c r="K1587" s="16"/>
      <c r="L1587" s="8"/>
      <c r="M1587" s="69"/>
      <c r="N1587" s="69"/>
      <c r="O1587" s="69"/>
      <c r="P1587" s="534"/>
      <c r="Q1587" s="274"/>
      <c r="R1587" s="472"/>
      <c r="S1587" s="535"/>
      <c r="T1587" s="535"/>
      <c r="U1587" s="536"/>
      <c r="V1587" s="474"/>
      <c r="Y1587" s="89"/>
      <c r="Z1587" s="60"/>
      <c r="AA1587" s="60"/>
      <c r="AB1587" s="60"/>
      <c r="AC1587" s="30"/>
      <c r="AD1587" s="30"/>
      <c r="AE1587" s="475"/>
      <c r="AF1587" s="476"/>
      <c r="AG1587" s="474"/>
      <c r="AH1587" s="138"/>
    </row>
    <row r="1588">
      <c r="A1588" s="103"/>
      <c r="B1588" s="533"/>
      <c r="C1588" s="533"/>
      <c r="D1588" s="103"/>
      <c r="E1588" s="103"/>
      <c r="F1588" s="103"/>
      <c r="G1588" s="103"/>
      <c r="H1588" s="131"/>
      <c r="I1588" s="468"/>
      <c r="J1588" s="16"/>
      <c r="K1588" s="16"/>
      <c r="L1588" s="8"/>
      <c r="M1588" s="69"/>
      <c r="N1588" s="69"/>
      <c r="O1588" s="69"/>
      <c r="P1588" s="534"/>
      <c r="Q1588" s="274"/>
      <c r="R1588" s="472"/>
      <c r="S1588" s="535"/>
      <c r="T1588" s="535"/>
      <c r="U1588" s="536"/>
      <c r="V1588" s="474"/>
      <c r="Y1588" s="89"/>
      <c r="Z1588" s="60"/>
      <c r="AA1588" s="60"/>
      <c r="AB1588" s="60"/>
      <c r="AC1588" s="30"/>
      <c r="AD1588" s="30"/>
      <c r="AE1588" s="475"/>
      <c r="AF1588" s="476"/>
      <c r="AG1588" s="474"/>
      <c r="AH1588" s="138"/>
    </row>
    <row r="1589">
      <c r="A1589" s="103"/>
      <c r="B1589" s="533"/>
      <c r="C1589" s="533"/>
      <c r="D1589" s="103"/>
      <c r="E1589" s="103"/>
      <c r="F1589" s="103"/>
      <c r="G1589" s="103"/>
      <c r="H1589" s="131"/>
      <c r="I1589" s="468"/>
      <c r="J1589" s="16"/>
      <c r="K1589" s="16"/>
      <c r="L1589" s="8"/>
      <c r="M1589" s="69"/>
      <c r="N1589" s="69"/>
      <c r="O1589" s="69"/>
      <c r="P1589" s="534"/>
      <c r="Q1589" s="274"/>
      <c r="R1589" s="472"/>
      <c r="S1589" s="535"/>
      <c r="T1589" s="535"/>
      <c r="U1589" s="536"/>
      <c r="V1589" s="474"/>
      <c r="Y1589" s="89"/>
      <c r="Z1589" s="60"/>
      <c r="AA1589" s="60"/>
      <c r="AB1589" s="60"/>
      <c r="AC1589" s="30"/>
      <c r="AD1589" s="30"/>
      <c r="AE1589" s="475"/>
      <c r="AF1589" s="476"/>
      <c r="AG1589" s="474"/>
      <c r="AH1589" s="138"/>
    </row>
    <row r="1590">
      <c r="A1590" s="103"/>
      <c r="B1590" s="533"/>
      <c r="C1590" s="533"/>
      <c r="D1590" s="103"/>
      <c r="E1590" s="103"/>
      <c r="F1590" s="103"/>
      <c r="G1590" s="103"/>
      <c r="H1590" s="131"/>
      <c r="I1590" s="468"/>
      <c r="J1590" s="16"/>
      <c r="K1590" s="16"/>
      <c r="L1590" s="8"/>
      <c r="M1590" s="69"/>
      <c r="N1590" s="69"/>
      <c r="O1590" s="69"/>
      <c r="P1590" s="534"/>
      <c r="Q1590" s="274"/>
      <c r="R1590" s="472"/>
      <c r="S1590" s="535"/>
      <c r="T1590" s="535"/>
      <c r="U1590" s="536"/>
      <c r="V1590" s="474"/>
      <c r="Y1590" s="89"/>
      <c r="Z1590" s="60"/>
      <c r="AA1590" s="60"/>
      <c r="AB1590" s="60"/>
      <c r="AC1590" s="30"/>
      <c r="AD1590" s="30"/>
      <c r="AE1590" s="475"/>
      <c r="AF1590" s="476"/>
      <c r="AG1590" s="474"/>
      <c r="AH1590" s="138"/>
    </row>
    <row r="1591">
      <c r="A1591" s="103"/>
      <c r="B1591" s="533"/>
      <c r="C1591" s="533"/>
      <c r="D1591" s="103"/>
      <c r="E1591" s="103"/>
      <c r="F1591" s="103"/>
      <c r="G1591" s="103"/>
      <c r="H1591" s="131"/>
      <c r="I1591" s="468"/>
      <c r="J1591" s="16"/>
      <c r="K1591" s="16"/>
      <c r="L1591" s="8"/>
      <c r="M1591" s="69"/>
      <c r="N1591" s="69"/>
      <c r="O1591" s="69"/>
      <c r="P1591" s="534"/>
      <c r="Q1591" s="274"/>
      <c r="R1591" s="472"/>
      <c r="S1591" s="535"/>
      <c r="T1591" s="535"/>
      <c r="U1591" s="536"/>
      <c r="V1591" s="474"/>
      <c r="Y1591" s="89"/>
      <c r="Z1591" s="60"/>
      <c r="AA1591" s="60"/>
      <c r="AB1591" s="60"/>
      <c r="AC1591" s="30"/>
      <c r="AD1591" s="30"/>
      <c r="AE1591" s="475"/>
      <c r="AF1591" s="476"/>
      <c r="AG1591" s="474"/>
      <c r="AH1591" s="138"/>
    </row>
    <row r="1592">
      <c r="A1592" s="103"/>
      <c r="B1592" s="533"/>
      <c r="C1592" s="533"/>
      <c r="D1592" s="103"/>
      <c r="E1592" s="103"/>
      <c r="F1592" s="103"/>
      <c r="G1592" s="103"/>
      <c r="H1592" s="131"/>
      <c r="I1592" s="468"/>
      <c r="J1592" s="16"/>
      <c r="K1592" s="16"/>
      <c r="L1592" s="8"/>
      <c r="M1592" s="69"/>
      <c r="N1592" s="69"/>
      <c r="O1592" s="69"/>
      <c r="P1592" s="534"/>
      <c r="Q1592" s="274"/>
      <c r="R1592" s="472"/>
      <c r="S1592" s="535"/>
      <c r="T1592" s="535"/>
      <c r="U1592" s="536"/>
      <c r="V1592" s="474"/>
      <c r="Y1592" s="89"/>
      <c r="Z1592" s="60"/>
      <c r="AA1592" s="60"/>
      <c r="AB1592" s="60"/>
      <c r="AC1592" s="30"/>
      <c r="AD1592" s="30"/>
      <c r="AE1592" s="475"/>
      <c r="AF1592" s="476"/>
      <c r="AG1592" s="474"/>
      <c r="AH1592" s="138"/>
    </row>
    <row r="1593">
      <c r="A1593" s="103"/>
      <c r="B1593" s="533"/>
      <c r="C1593" s="533"/>
      <c r="D1593" s="103"/>
      <c r="E1593" s="103"/>
      <c r="F1593" s="103"/>
      <c r="G1593" s="103"/>
      <c r="H1593" s="131"/>
      <c r="I1593" s="468"/>
      <c r="J1593" s="16"/>
      <c r="K1593" s="16"/>
      <c r="L1593" s="8"/>
      <c r="M1593" s="69"/>
      <c r="N1593" s="69"/>
      <c r="O1593" s="69"/>
      <c r="P1593" s="534"/>
      <c r="Q1593" s="274"/>
      <c r="R1593" s="472"/>
      <c r="S1593" s="535"/>
      <c r="T1593" s="535"/>
      <c r="U1593" s="536"/>
      <c r="V1593" s="474"/>
      <c r="Y1593" s="89"/>
      <c r="Z1593" s="60"/>
      <c r="AA1593" s="60"/>
      <c r="AB1593" s="60"/>
      <c r="AC1593" s="30"/>
      <c r="AD1593" s="30"/>
      <c r="AE1593" s="475"/>
      <c r="AF1593" s="476"/>
      <c r="AG1593" s="474"/>
      <c r="AH1593" s="138"/>
    </row>
    <row r="1594">
      <c r="A1594" s="103"/>
      <c r="B1594" s="533"/>
      <c r="C1594" s="533"/>
      <c r="D1594" s="103"/>
      <c r="E1594" s="103"/>
      <c r="F1594" s="103"/>
      <c r="G1594" s="103"/>
      <c r="H1594" s="131"/>
      <c r="I1594" s="468"/>
      <c r="J1594" s="16"/>
      <c r="K1594" s="16"/>
      <c r="L1594" s="8"/>
      <c r="M1594" s="69"/>
      <c r="N1594" s="69"/>
      <c r="O1594" s="69"/>
      <c r="P1594" s="534"/>
      <c r="Q1594" s="274"/>
      <c r="R1594" s="472"/>
      <c r="S1594" s="535"/>
      <c r="T1594" s="535"/>
      <c r="U1594" s="536"/>
      <c r="V1594" s="474"/>
      <c r="Y1594" s="89"/>
      <c r="Z1594" s="60"/>
      <c r="AA1594" s="60"/>
      <c r="AB1594" s="60"/>
      <c r="AC1594" s="30"/>
      <c r="AD1594" s="30"/>
      <c r="AE1594" s="475"/>
      <c r="AF1594" s="476"/>
      <c r="AG1594" s="474"/>
      <c r="AH1594" s="138"/>
    </row>
    <row r="1595">
      <c r="A1595" s="103"/>
      <c r="B1595" s="533"/>
      <c r="C1595" s="533"/>
      <c r="D1595" s="103"/>
      <c r="E1595" s="103"/>
      <c r="F1595" s="103"/>
      <c r="G1595" s="103"/>
      <c r="H1595" s="131"/>
      <c r="I1595" s="468"/>
      <c r="J1595" s="16"/>
      <c r="K1595" s="16"/>
      <c r="L1595" s="8"/>
      <c r="M1595" s="69"/>
      <c r="N1595" s="69"/>
      <c r="O1595" s="69"/>
      <c r="P1595" s="534"/>
      <c r="Q1595" s="274"/>
      <c r="R1595" s="472"/>
      <c r="S1595" s="535"/>
      <c r="T1595" s="535"/>
      <c r="U1595" s="536"/>
      <c r="V1595" s="474"/>
      <c r="Y1595" s="89"/>
      <c r="Z1595" s="60"/>
      <c r="AA1595" s="60"/>
      <c r="AB1595" s="60"/>
      <c r="AC1595" s="30"/>
      <c r="AD1595" s="30"/>
      <c r="AE1595" s="475"/>
      <c r="AF1595" s="476"/>
      <c r="AG1595" s="474"/>
      <c r="AH1595" s="138"/>
    </row>
    <row r="1596">
      <c r="A1596" s="103"/>
      <c r="B1596" s="533"/>
      <c r="C1596" s="533"/>
      <c r="D1596" s="103"/>
      <c r="E1596" s="103"/>
      <c r="F1596" s="103"/>
      <c r="G1596" s="103"/>
      <c r="H1596" s="131"/>
      <c r="I1596" s="468"/>
      <c r="J1596" s="16"/>
      <c r="K1596" s="16"/>
      <c r="L1596" s="8"/>
      <c r="M1596" s="69"/>
      <c r="N1596" s="69"/>
      <c r="O1596" s="69"/>
      <c r="P1596" s="534"/>
      <c r="Q1596" s="274"/>
      <c r="R1596" s="472"/>
      <c r="S1596" s="535"/>
      <c r="T1596" s="535"/>
      <c r="U1596" s="536"/>
      <c r="V1596" s="474"/>
      <c r="Y1596" s="89"/>
      <c r="Z1596" s="60"/>
      <c r="AA1596" s="60"/>
      <c r="AB1596" s="60"/>
      <c r="AC1596" s="30"/>
      <c r="AD1596" s="30"/>
      <c r="AE1596" s="475"/>
      <c r="AF1596" s="476"/>
      <c r="AG1596" s="474"/>
      <c r="AH1596" s="138"/>
    </row>
    <row r="1597">
      <c r="A1597" s="103"/>
      <c r="B1597" s="533"/>
      <c r="C1597" s="533"/>
      <c r="D1597" s="103"/>
      <c r="E1597" s="103"/>
      <c r="F1597" s="103"/>
      <c r="G1597" s="103"/>
      <c r="H1597" s="131"/>
      <c r="I1597" s="468"/>
      <c r="J1597" s="16"/>
      <c r="K1597" s="16"/>
      <c r="L1597" s="8"/>
      <c r="M1597" s="69"/>
      <c r="N1597" s="69"/>
      <c r="O1597" s="69"/>
      <c r="P1597" s="534"/>
      <c r="Q1597" s="274"/>
      <c r="R1597" s="472"/>
      <c r="S1597" s="535"/>
      <c r="T1597" s="535"/>
      <c r="U1597" s="536"/>
      <c r="V1597" s="474"/>
      <c r="Y1597" s="89"/>
      <c r="Z1597" s="60"/>
      <c r="AA1597" s="60"/>
      <c r="AB1597" s="60"/>
      <c r="AC1597" s="30"/>
      <c r="AD1597" s="30"/>
      <c r="AE1597" s="475"/>
      <c r="AF1597" s="476"/>
      <c r="AG1597" s="474"/>
      <c r="AH1597" s="138"/>
    </row>
    <row r="1598">
      <c r="A1598" s="103"/>
      <c r="B1598" s="533"/>
      <c r="C1598" s="533"/>
      <c r="D1598" s="103"/>
      <c r="E1598" s="103"/>
      <c r="F1598" s="103"/>
      <c r="G1598" s="103"/>
      <c r="H1598" s="131"/>
      <c r="I1598" s="468"/>
      <c r="J1598" s="16"/>
      <c r="K1598" s="16"/>
      <c r="L1598" s="8"/>
      <c r="M1598" s="69"/>
      <c r="N1598" s="69"/>
      <c r="O1598" s="69"/>
      <c r="P1598" s="534"/>
      <c r="Q1598" s="274"/>
      <c r="R1598" s="472"/>
      <c r="S1598" s="535"/>
      <c r="T1598" s="535"/>
      <c r="U1598" s="536"/>
      <c r="V1598" s="474"/>
      <c r="Y1598" s="89"/>
      <c r="Z1598" s="60"/>
      <c r="AA1598" s="60"/>
      <c r="AB1598" s="60"/>
      <c r="AC1598" s="30"/>
      <c r="AD1598" s="30"/>
      <c r="AE1598" s="475"/>
      <c r="AF1598" s="476"/>
      <c r="AG1598" s="474"/>
      <c r="AH1598" s="138"/>
    </row>
    <row r="1599">
      <c r="A1599" s="103"/>
      <c r="B1599" s="533"/>
      <c r="C1599" s="533"/>
      <c r="D1599" s="103"/>
      <c r="E1599" s="103"/>
      <c r="F1599" s="103"/>
      <c r="G1599" s="103"/>
      <c r="H1599" s="131"/>
      <c r="I1599" s="468"/>
      <c r="J1599" s="16"/>
      <c r="K1599" s="16"/>
      <c r="L1599" s="8"/>
      <c r="M1599" s="69"/>
      <c r="N1599" s="69"/>
      <c r="O1599" s="69"/>
      <c r="P1599" s="534"/>
      <c r="Q1599" s="274"/>
      <c r="R1599" s="472"/>
      <c r="S1599" s="535"/>
      <c r="T1599" s="535"/>
      <c r="U1599" s="536"/>
      <c r="V1599" s="474"/>
      <c r="Y1599" s="89"/>
      <c r="Z1599" s="60"/>
      <c r="AA1599" s="60"/>
      <c r="AB1599" s="60"/>
      <c r="AC1599" s="30"/>
      <c r="AD1599" s="30"/>
      <c r="AE1599" s="475"/>
      <c r="AF1599" s="476"/>
      <c r="AG1599" s="474"/>
      <c r="AH1599" s="138"/>
    </row>
    <row r="1600">
      <c r="A1600" s="103"/>
      <c r="B1600" s="533"/>
      <c r="C1600" s="533"/>
      <c r="D1600" s="103"/>
      <c r="E1600" s="103"/>
      <c r="F1600" s="103"/>
      <c r="G1600" s="103"/>
      <c r="H1600" s="131"/>
      <c r="I1600" s="468"/>
      <c r="J1600" s="16"/>
      <c r="K1600" s="16"/>
      <c r="L1600" s="8"/>
      <c r="M1600" s="69"/>
      <c r="N1600" s="69"/>
      <c r="O1600" s="69"/>
      <c r="P1600" s="534"/>
      <c r="Q1600" s="274"/>
      <c r="R1600" s="472"/>
      <c r="S1600" s="535"/>
      <c r="T1600" s="535"/>
      <c r="U1600" s="536"/>
      <c r="V1600" s="474"/>
      <c r="Y1600" s="89"/>
      <c r="Z1600" s="60"/>
      <c r="AA1600" s="60"/>
      <c r="AB1600" s="60"/>
      <c r="AC1600" s="30"/>
      <c r="AD1600" s="30"/>
      <c r="AE1600" s="475"/>
      <c r="AF1600" s="476"/>
      <c r="AG1600" s="474"/>
      <c r="AH1600" s="138"/>
    </row>
    <row r="1601">
      <c r="A1601" s="103"/>
      <c r="B1601" s="533"/>
      <c r="C1601" s="533"/>
      <c r="D1601" s="103"/>
      <c r="E1601" s="103"/>
      <c r="F1601" s="103"/>
      <c r="G1601" s="103"/>
      <c r="H1601" s="131"/>
      <c r="I1601" s="468"/>
      <c r="J1601" s="16"/>
      <c r="K1601" s="16"/>
      <c r="L1601" s="8"/>
      <c r="M1601" s="69"/>
      <c r="N1601" s="69"/>
      <c r="O1601" s="69"/>
      <c r="P1601" s="534"/>
      <c r="Q1601" s="274"/>
      <c r="R1601" s="472"/>
      <c r="S1601" s="535"/>
      <c r="T1601" s="535"/>
      <c r="U1601" s="536"/>
      <c r="V1601" s="474"/>
      <c r="Y1601" s="89"/>
      <c r="Z1601" s="60"/>
      <c r="AA1601" s="60"/>
      <c r="AB1601" s="60"/>
      <c r="AC1601" s="30"/>
      <c r="AD1601" s="30"/>
      <c r="AE1601" s="475"/>
      <c r="AF1601" s="476"/>
      <c r="AG1601" s="474"/>
      <c r="AH1601" s="138"/>
    </row>
    <row r="1602">
      <c r="A1602" s="103"/>
      <c r="B1602" s="533"/>
      <c r="C1602" s="533"/>
      <c r="D1602" s="103"/>
      <c r="E1602" s="103"/>
      <c r="F1602" s="103"/>
      <c r="G1602" s="103"/>
      <c r="H1602" s="131"/>
      <c r="I1602" s="468"/>
      <c r="J1602" s="16"/>
      <c r="K1602" s="16"/>
      <c r="L1602" s="8"/>
      <c r="M1602" s="69"/>
      <c r="N1602" s="69"/>
      <c r="O1602" s="69"/>
      <c r="P1602" s="534"/>
      <c r="Q1602" s="274"/>
      <c r="R1602" s="472"/>
      <c r="S1602" s="535"/>
      <c r="T1602" s="535"/>
      <c r="U1602" s="536"/>
      <c r="V1602" s="474"/>
      <c r="Y1602" s="89"/>
      <c r="Z1602" s="60"/>
      <c r="AA1602" s="60"/>
      <c r="AB1602" s="60"/>
      <c r="AC1602" s="30"/>
      <c r="AD1602" s="30"/>
      <c r="AE1602" s="475"/>
      <c r="AF1602" s="476"/>
      <c r="AG1602" s="474"/>
      <c r="AH1602" s="138"/>
    </row>
    <row r="1603">
      <c r="A1603" s="103"/>
      <c r="B1603" s="533"/>
      <c r="C1603" s="533"/>
      <c r="D1603" s="103"/>
      <c r="E1603" s="103"/>
      <c r="F1603" s="103"/>
      <c r="G1603" s="103"/>
      <c r="H1603" s="131"/>
      <c r="I1603" s="468"/>
      <c r="J1603" s="16"/>
      <c r="K1603" s="16"/>
      <c r="L1603" s="8"/>
      <c r="M1603" s="69"/>
      <c r="N1603" s="69"/>
      <c r="O1603" s="69"/>
      <c r="P1603" s="534"/>
      <c r="Q1603" s="274"/>
      <c r="R1603" s="472"/>
      <c r="S1603" s="535"/>
      <c r="T1603" s="535"/>
      <c r="U1603" s="536"/>
      <c r="V1603" s="474"/>
      <c r="Y1603" s="89"/>
      <c r="Z1603" s="60"/>
      <c r="AA1603" s="60"/>
      <c r="AB1603" s="60"/>
      <c r="AC1603" s="30"/>
      <c r="AD1603" s="30"/>
      <c r="AE1603" s="475"/>
      <c r="AF1603" s="476"/>
      <c r="AG1603" s="474"/>
      <c r="AH1603" s="138"/>
    </row>
    <row r="1604">
      <c r="A1604" s="103"/>
      <c r="B1604" s="533"/>
      <c r="C1604" s="533"/>
      <c r="D1604" s="103"/>
      <c r="E1604" s="103"/>
      <c r="F1604" s="103"/>
      <c r="G1604" s="103"/>
      <c r="H1604" s="131"/>
      <c r="I1604" s="468"/>
      <c r="J1604" s="16"/>
      <c r="K1604" s="16"/>
      <c r="L1604" s="8"/>
      <c r="M1604" s="69"/>
      <c r="N1604" s="69"/>
      <c r="O1604" s="69"/>
      <c r="P1604" s="534"/>
      <c r="Q1604" s="274"/>
      <c r="R1604" s="472"/>
      <c r="S1604" s="535"/>
      <c r="T1604" s="535"/>
      <c r="U1604" s="536"/>
      <c r="V1604" s="474"/>
      <c r="Y1604" s="89"/>
      <c r="Z1604" s="60"/>
      <c r="AA1604" s="60"/>
      <c r="AB1604" s="60"/>
      <c r="AC1604" s="30"/>
      <c r="AD1604" s="30"/>
      <c r="AE1604" s="475"/>
      <c r="AF1604" s="476"/>
      <c r="AG1604" s="474"/>
      <c r="AH1604" s="138"/>
    </row>
    <row r="1605">
      <c r="A1605" s="103"/>
      <c r="B1605" s="533"/>
      <c r="C1605" s="533"/>
      <c r="D1605" s="103"/>
      <c r="E1605" s="103"/>
      <c r="F1605" s="103"/>
      <c r="G1605" s="103"/>
      <c r="H1605" s="131"/>
      <c r="I1605" s="468"/>
      <c r="J1605" s="16"/>
      <c r="K1605" s="16"/>
      <c r="L1605" s="8"/>
      <c r="M1605" s="69"/>
      <c r="N1605" s="69"/>
      <c r="O1605" s="69"/>
      <c r="P1605" s="534"/>
      <c r="Q1605" s="274"/>
      <c r="R1605" s="472"/>
      <c r="S1605" s="535"/>
      <c r="T1605" s="535"/>
      <c r="U1605" s="536"/>
      <c r="V1605" s="474"/>
      <c r="Y1605" s="89"/>
      <c r="Z1605" s="60"/>
      <c r="AA1605" s="60"/>
      <c r="AB1605" s="60"/>
      <c r="AC1605" s="30"/>
      <c r="AD1605" s="30"/>
      <c r="AE1605" s="475"/>
      <c r="AF1605" s="476"/>
      <c r="AG1605" s="474"/>
      <c r="AH1605" s="138"/>
    </row>
    <row r="1606">
      <c r="A1606" s="103"/>
      <c r="B1606" s="533"/>
      <c r="C1606" s="533"/>
      <c r="D1606" s="103"/>
      <c r="E1606" s="103"/>
      <c r="F1606" s="103"/>
      <c r="G1606" s="103"/>
      <c r="H1606" s="131"/>
      <c r="I1606" s="468"/>
      <c r="J1606" s="16"/>
      <c r="K1606" s="16"/>
      <c r="L1606" s="8"/>
      <c r="M1606" s="69"/>
      <c r="N1606" s="69"/>
      <c r="O1606" s="69"/>
      <c r="P1606" s="534"/>
      <c r="Q1606" s="274"/>
      <c r="R1606" s="472"/>
      <c r="S1606" s="535"/>
      <c r="T1606" s="535"/>
      <c r="U1606" s="536"/>
      <c r="V1606" s="474"/>
      <c r="Y1606" s="89"/>
      <c r="Z1606" s="60"/>
      <c r="AA1606" s="60"/>
      <c r="AB1606" s="60"/>
      <c r="AC1606" s="30"/>
      <c r="AD1606" s="30"/>
      <c r="AE1606" s="475"/>
      <c r="AF1606" s="476"/>
      <c r="AG1606" s="474"/>
      <c r="AH1606" s="138"/>
    </row>
    <row r="1607">
      <c r="A1607" s="103"/>
      <c r="B1607" s="533"/>
      <c r="C1607" s="533"/>
      <c r="D1607" s="103"/>
      <c r="E1607" s="103"/>
      <c r="F1607" s="103"/>
      <c r="G1607" s="103"/>
      <c r="H1607" s="131"/>
      <c r="I1607" s="468"/>
      <c r="J1607" s="16"/>
      <c r="K1607" s="16"/>
      <c r="L1607" s="8"/>
      <c r="M1607" s="69"/>
      <c r="N1607" s="69"/>
      <c r="O1607" s="69"/>
      <c r="P1607" s="534"/>
      <c r="Q1607" s="274"/>
      <c r="R1607" s="472"/>
      <c r="S1607" s="535"/>
      <c r="T1607" s="535"/>
      <c r="U1607" s="536"/>
      <c r="V1607" s="474"/>
      <c r="Y1607" s="89"/>
      <c r="Z1607" s="60"/>
      <c r="AA1607" s="60"/>
      <c r="AB1607" s="60"/>
      <c r="AC1607" s="30"/>
      <c r="AD1607" s="30"/>
      <c r="AE1607" s="475"/>
      <c r="AF1607" s="476"/>
      <c r="AG1607" s="474"/>
      <c r="AH1607" s="138"/>
    </row>
    <row r="1608">
      <c r="A1608" s="103"/>
      <c r="B1608" s="533"/>
      <c r="C1608" s="533"/>
      <c r="D1608" s="103"/>
      <c r="E1608" s="103"/>
      <c r="F1608" s="103"/>
      <c r="G1608" s="103"/>
      <c r="H1608" s="131"/>
      <c r="I1608" s="468"/>
      <c r="J1608" s="16"/>
      <c r="K1608" s="16"/>
      <c r="L1608" s="8"/>
      <c r="M1608" s="69"/>
      <c r="N1608" s="69"/>
      <c r="O1608" s="69"/>
      <c r="P1608" s="534"/>
      <c r="Q1608" s="274"/>
      <c r="R1608" s="472"/>
      <c r="S1608" s="535"/>
      <c r="T1608" s="535"/>
      <c r="U1608" s="536"/>
      <c r="V1608" s="474"/>
      <c r="Y1608" s="89"/>
      <c r="Z1608" s="60"/>
      <c r="AA1608" s="60"/>
      <c r="AB1608" s="60"/>
      <c r="AC1608" s="30"/>
      <c r="AD1608" s="30"/>
      <c r="AE1608" s="475"/>
      <c r="AF1608" s="476"/>
      <c r="AG1608" s="474"/>
      <c r="AH1608" s="138"/>
    </row>
    <row r="1609">
      <c r="A1609" s="103"/>
      <c r="B1609" s="533"/>
      <c r="C1609" s="533"/>
      <c r="D1609" s="103"/>
      <c r="E1609" s="103"/>
      <c r="F1609" s="103"/>
      <c r="G1609" s="103"/>
      <c r="H1609" s="131"/>
      <c r="I1609" s="468"/>
      <c r="J1609" s="16"/>
      <c r="K1609" s="16"/>
      <c r="L1609" s="8"/>
      <c r="M1609" s="69"/>
      <c r="N1609" s="69"/>
      <c r="O1609" s="69"/>
      <c r="P1609" s="534"/>
      <c r="Q1609" s="274"/>
      <c r="R1609" s="472"/>
      <c r="S1609" s="535"/>
      <c r="T1609" s="535"/>
      <c r="U1609" s="536"/>
      <c r="V1609" s="474"/>
      <c r="Y1609" s="89"/>
      <c r="Z1609" s="60"/>
      <c r="AA1609" s="60"/>
      <c r="AB1609" s="60"/>
      <c r="AC1609" s="30"/>
      <c r="AD1609" s="30"/>
      <c r="AE1609" s="475"/>
      <c r="AF1609" s="476"/>
      <c r="AG1609" s="474"/>
      <c r="AH1609" s="138"/>
    </row>
    <row r="1610">
      <c r="A1610" s="103"/>
      <c r="B1610" s="533"/>
      <c r="C1610" s="533"/>
      <c r="D1610" s="103"/>
      <c r="E1610" s="103"/>
      <c r="F1610" s="103"/>
      <c r="G1610" s="103"/>
      <c r="H1610" s="131"/>
      <c r="I1610" s="468"/>
      <c r="J1610" s="16"/>
      <c r="K1610" s="16"/>
      <c r="L1610" s="8"/>
      <c r="M1610" s="69"/>
      <c r="N1610" s="69"/>
      <c r="O1610" s="69"/>
      <c r="P1610" s="534"/>
      <c r="Q1610" s="274"/>
      <c r="R1610" s="472"/>
      <c r="S1610" s="535"/>
      <c r="T1610" s="535"/>
      <c r="U1610" s="536"/>
      <c r="V1610" s="474"/>
      <c r="Y1610" s="89"/>
      <c r="Z1610" s="60"/>
      <c r="AA1610" s="60"/>
      <c r="AB1610" s="60"/>
      <c r="AC1610" s="30"/>
      <c r="AD1610" s="30"/>
      <c r="AE1610" s="475"/>
      <c r="AF1610" s="476"/>
      <c r="AG1610" s="474"/>
      <c r="AH1610" s="138"/>
    </row>
    <row r="1611">
      <c r="A1611" s="103"/>
      <c r="B1611" s="533"/>
      <c r="C1611" s="533"/>
      <c r="D1611" s="103"/>
      <c r="E1611" s="103"/>
      <c r="F1611" s="103"/>
      <c r="G1611" s="103"/>
      <c r="H1611" s="131"/>
      <c r="I1611" s="468"/>
      <c r="J1611" s="16"/>
      <c r="K1611" s="16"/>
      <c r="L1611" s="8"/>
      <c r="M1611" s="69"/>
      <c r="N1611" s="69"/>
      <c r="O1611" s="69"/>
      <c r="P1611" s="534"/>
      <c r="Q1611" s="274"/>
      <c r="R1611" s="472"/>
      <c r="S1611" s="535"/>
      <c r="T1611" s="535"/>
      <c r="U1611" s="536"/>
      <c r="V1611" s="474"/>
      <c r="Y1611" s="89"/>
      <c r="Z1611" s="60"/>
      <c r="AA1611" s="60"/>
      <c r="AB1611" s="60"/>
      <c r="AC1611" s="30"/>
      <c r="AD1611" s="30"/>
      <c r="AE1611" s="475"/>
      <c r="AF1611" s="476"/>
      <c r="AG1611" s="474"/>
      <c r="AH1611" s="138"/>
    </row>
    <row r="1612">
      <c r="A1612" s="103"/>
      <c r="B1612" s="533"/>
      <c r="C1612" s="533"/>
      <c r="D1612" s="103"/>
      <c r="E1612" s="103"/>
      <c r="F1612" s="103"/>
      <c r="G1612" s="103"/>
      <c r="H1612" s="131"/>
      <c r="I1612" s="468"/>
      <c r="J1612" s="16"/>
      <c r="K1612" s="16"/>
      <c r="L1612" s="8"/>
      <c r="M1612" s="69"/>
      <c r="N1612" s="69"/>
      <c r="O1612" s="69"/>
      <c r="P1612" s="534"/>
      <c r="Q1612" s="274"/>
      <c r="R1612" s="472"/>
      <c r="S1612" s="535"/>
      <c r="T1612" s="535"/>
      <c r="U1612" s="536"/>
      <c r="V1612" s="474"/>
      <c r="Y1612" s="89"/>
      <c r="Z1612" s="60"/>
      <c r="AA1612" s="60"/>
      <c r="AB1612" s="60"/>
      <c r="AC1612" s="30"/>
      <c r="AD1612" s="30"/>
      <c r="AE1612" s="475"/>
      <c r="AF1612" s="476"/>
      <c r="AG1612" s="474"/>
      <c r="AH1612" s="138"/>
    </row>
    <row r="1613">
      <c r="A1613" s="103"/>
      <c r="B1613" s="533"/>
      <c r="C1613" s="533"/>
      <c r="D1613" s="103"/>
      <c r="E1613" s="103"/>
      <c r="F1613" s="103"/>
      <c r="G1613" s="103"/>
      <c r="H1613" s="131"/>
      <c r="I1613" s="468"/>
      <c r="J1613" s="16"/>
      <c r="K1613" s="16"/>
      <c r="L1613" s="8"/>
      <c r="M1613" s="69"/>
      <c r="N1613" s="69"/>
      <c r="O1613" s="69"/>
      <c r="P1613" s="534"/>
      <c r="Q1613" s="274"/>
      <c r="R1613" s="472"/>
      <c r="S1613" s="535"/>
      <c r="T1613" s="535"/>
      <c r="U1613" s="536"/>
      <c r="V1613" s="474"/>
      <c r="Y1613" s="89"/>
      <c r="Z1613" s="60"/>
      <c r="AA1613" s="60"/>
      <c r="AB1613" s="60"/>
      <c r="AC1613" s="30"/>
      <c r="AD1613" s="30"/>
      <c r="AE1613" s="475"/>
      <c r="AF1613" s="476"/>
      <c r="AG1613" s="474"/>
      <c r="AH1613" s="138"/>
    </row>
    <row r="1614">
      <c r="A1614" s="103"/>
      <c r="B1614" s="533"/>
      <c r="C1614" s="533"/>
      <c r="D1614" s="103"/>
      <c r="E1614" s="103"/>
      <c r="F1614" s="103"/>
      <c r="G1614" s="103"/>
      <c r="H1614" s="131"/>
      <c r="I1614" s="468"/>
      <c r="J1614" s="16"/>
      <c r="K1614" s="16"/>
      <c r="L1614" s="8"/>
      <c r="M1614" s="69"/>
      <c r="N1614" s="69"/>
      <c r="O1614" s="69"/>
      <c r="P1614" s="534"/>
      <c r="Q1614" s="274"/>
      <c r="R1614" s="472"/>
      <c r="S1614" s="535"/>
      <c r="T1614" s="535"/>
      <c r="U1614" s="536"/>
      <c r="V1614" s="474"/>
      <c r="Y1614" s="89"/>
      <c r="Z1614" s="60"/>
      <c r="AA1614" s="60"/>
      <c r="AB1614" s="60"/>
      <c r="AC1614" s="30"/>
      <c r="AD1614" s="30"/>
      <c r="AE1614" s="475"/>
      <c r="AF1614" s="476"/>
      <c r="AG1614" s="474"/>
      <c r="AH1614" s="138"/>
    </row>
    <row r="1615">
      <c r="A1615" s="103"/>
      <c r="B1615" s="533"/>
      <c r="C1615" s="533"/>
      <c r="D1615" s="103"/>
      <c r="E1615" s="103"/>
      <c r="F1615" s="103"/>
      <c r="G1615" s="103"/>
      <c r="H1615" s="131"/>
      <c r="I1615" s="468"/>
      <c r="J1615" s="16"/>
      <c r="K1615" s="16"/>
      <c r="L1615" s="8"/>
      <c r="M1615" s="69"/>
      <c r="N1615" s="69"/>
      <c r="O1615" s="69"/>
      <c r="P1615" s="534"/>
      <c r="Q1615" s="274"/>
      <c r="R1615" s="472"/>
      <c r="S1615" s="535"/>
      <c r="T1615" s="535"/>
      <c r="U1615" s="536"/>
      <c r="V1615" s="474"/>
      <c r="Y1615" s="89"/>
      <c r="Z1615" s="60"/>
      <c r="AA1615" s="60"/>
      <c r="AB1615" s="60"/>
      <c r="AC1615" s="30"/>
      <c r="AD1615" s="30"/>
      <c r="AE1615" s="475"/>
      <c r="AF1615" s="476"/>
      <c r="AG1615" s="474"/>
      <c r="AH1615" s="138"/>
    </row>
    <row r="1616">
      <c r="A1616" s="103"/>
      <c r="B1616" s="533"/>
      <c r="C1616" s="533"/>
      <c r="D1616" s="103"/>
      <c r="E1616" s="103"/>
      <c r="F1616" s="103"/>
      <c r="G1616" s="103"/>
      <c r="H1616" s="131"/>
      <c r="I1616" s="468"/>
      <c r="J1616" s="16"/>
      <c r="K1616" s="16"/>
      <c r="L1616" s="8"/>
      <c r="M1616" s="69"/>
      <c r="N1616" s="69"/>
      <c r="O1616" s="69"/>
      <c r="P1616" s="534"/>
      <c r="Q1616" s="274"/>
      <c r="R1616" s="472"/>
      <c r="S1616" s="535"/>
      <c r="T1616" s="535"/>
      <c r="U1616" s="536"/>
      <c r="V1616" s="474"/>
      <c r="Y1616" s="89"/>
      <c r="Z1616" s="60"/>
      <c r="AA1616" s="60"/>
      <c r="AB1616" s="60"/>
      <c r="AC1616" s="30"/>
      <c r="AD1616" s="30"/>
      <c r="AE1616" s="475"/>
      <c r="AF1616" s="476"/>
      <c r="AG1616" s="474"/>
      <c r="AH1616" s="138"/>
    </row>
    <row r="1617">
      <c r="A1617" s="103"/>
      <c r="B1617" s="533"/>
      <c r="C1617" s="533"/>
      <c r="D1617" s="103"/>
      <c r="E1617" s="103"/>
      <c r="F1617" s="103"/>
      <c r="G1617" s="103"/>
      <c r="H1617" s="131"/>
      <c r="I1617" s="468"/>
      <c r="J1617" s="16"/>
      <c r="K1617" s="16"/>
      <c r="L1617" s="8"/>
      <c r="M1617" s="69"/>
      <c r="N1617" s="69"/>
      <c r="O1617" s="69"/>
      <c r="P1617" s="534"/>
      <c r="Q1617" s="274"/>
      <c r="R1617" s="472"/>
      <c r="S1617" s="535"/>
      <c r="T1617" s="535"/>
      <c r="U1617" s="536"/>
      <c r="V1617" s="474"/>
      <c r="Y1617" s="89"/>
      <c r="Z1617" s="60"/>
      <c r="AA1617" s="60"/>
      <c r="AB1617" s="60"/>
      <c r="AC1617" s="30"/>
      <c r="AD1617" s="30"/>
      <c r="AE1617" s="475"/>
      <c r="AF1617" s="476"/>
      <c r="AG1617" s="474"/>
      <c r="AH1617" s="138"/>
    </row>
    <row r="1618">
      <c r="A1618" s="103"/>
      <c r="B1618" s="533"/>
      <c r="C1618" s="533"/>
      <c r="D1618" s="103"/>
      <c r="E1618" s="103"/>
      <c r="F1618" s="103"/>
      <c r="G1618" s="103"/>
      <c r="H1618" s="131"/>
      <c r="I1618" s="468"/>
      <c r="J1618" s="16"/>
      <c r="K1618" s="16"/>
      <c r="L1618" s="8"/>
      <c r="M1618" s="69"/>
      <c r="N1618" s="69"/>
      <c r="O1618" s="69"/>
      <c r="P1618" s="534"/>
      <c r="Q1618" s="274"/>
      <c r="R1618" s="472"/>
      <c r="S1618" s="535"/>
      <c r="T1618" s="535"/>
      <c r="U1618" s="536"/>
      <c r="V1618" s="474"/>
      <c r="Y1618" s="89"/>
      <c r="Z1618" s="60"/>
      <c r="AA1618" s="60"/>
      <c r="AB1618" s="60"/>
      <c r="AC1618" s="30"/>
      <c r="AD1618" s="30"/>
      <c r="AE1618" s="475"/>
      <c r="AF1618" s="476"/>
      <c r="AG1618" s="474"/>
      <c r="AH1618" s="138"/>
    </row>
    <row r="1619">
      <c r="A1619" s="103"/>
      <c r="B1619" s="533"/>
      <c r="C1619" s="533"/>
      <c r="D1619" s="103"/>
      <c r="E1619" s="103"/>
      <c r="F1619" s="103"/>
      <c r="G1619" s="103"/>
      <c r="H1619" s="131"/>
      <c r="I1619" s="468"/>
      <c r="J1619" s="16"/>
      <c r="K1619" s="16"/>
      <c r="L1619" s="8"/>
      <c r="M1619" s="69"/>
      <c r="N1619" s="69"/>
      <c r="O1619" s="69"/>
      <c r="P1619" s="534"/>
      <c r="Q1619" s="274"/>
      <c r="R1619" s="472"/>
      <c r="S1619" s="535"/>
      <c r="T1619" s="535"/>
      <c r="U1619" s="536"/>
      <c r="V1619" s="474"/>
      <c r="Y1619" s="89"/>
      <c r="Z1619" s="60"/>
      <c r="AA1619" s="60"/>
      <c r="AB1619" s="60"/>
      <c r="AC1619" s="30"/>
      <c r="AD1619" s="30"/>
      <c r="AE1619" s="475"/>
      <c r="AF1619" s="476"/>
      <c r="AG1619" s="474"/>
      <c r="AH1619" s="138"/>
    </row>
    <row r="1620">
      <c r="A1620" s="103"/>
      <c r="B1620" s="533"/>
      <c r="C1620" s="533"/>
      <c r="D1620" s="103"/>
      <c r="E1620" s="103"/>
      <c r="F1620" s="103"/>
      <c r="G1620" s="103"/>
      <c r="H1620" s="131"/>
      <c r="I1620" s="468"/>
      <c r="J1620" s="16"/>
      <c r="K1620" s="16"/>
      <c r="L1620" s="8"/>
      <c r="M1620" s="69"/>
      <c r="N1620" s="69"/>
      <c r="O1620" s="69"/>
      <c r="P1620" s="534"/>
      <c r="Q1620" s="274"/>
      <c r="R1620" s="472"/>
      <c r="S1620" s="535"/>
      <c r="T1620" s="535"/>
      <c r="U1620" s="536"/>
      <c r="V1620" s="474"/>
      <c r="Y1620" s="89"/>
      <c r="Z1620" s="60"/>
      <c r="AA1620" s="60"/>
      <c r="AB1620" s="60"/>
      <c r="AC1620" s="30"/>
      <c r="AD1620" s="30"/>
      <c r="AE1620" s="475"/>
      <c r="AF1620" s="476"/>
      <c r="AG1620" s="474"/>
      <c r="AH1620" s="138"/>
    </row>
    <row r="1621">
      <c r="A1621" s="103"/>
      <c r="B1621" s="533"/>
      <c r="C1621" s="533"/>
      <c r="D1621" s="103"/>
      <c r="E1621" s="103"/>
      <c r="F1621" s="103"/>
      <c r="G1621" s="103"/>
      <c r="H1621" s="131"/>
      <c r="I1621" s="468"/>
      <c r="J1621" s="16"/>
      <c r="K1621" s="16"/>
      <c r="L1621" s="8"/>
      <c r="M1621" s="69"/>
      <c r="N1621" s="69"/>
      <c r="O1621" s="69"/>
      <c r="P1621" s="534"/>
      <c r="Q1621" s="274"/>
      <c r="R1621" s="472"/>
      <c r="S1621" s="535"/>
      <c r="T1621" s="535"/>
      <c r="U1621" s="536"/>
      <c r="V1621" s="474"/>
      <c r="Y1621" s="89"/>
      <c r="Z1621" s="60"/>
      <c r="AA1621" s="60"/>
      <c r="AB1621" s="60"/>
      <c r="AC1621" s="30"/>
      <c r="AD1621" s="30"/>
      <c r="AE1621" s="475"/>
      <c r="AF1621" s="476"/>
      <c r="AG1621" s="474"/>
      <c r="AH1621" s="138"/>
    </row>
    <row r="1622">
      <c r="A1622" s="103"/>
      <c r="B1622" s="533"/>
      <c r="C1622" s="533"/>
      <c r="D1622" s="103"/>
      <c r="E1622" s="103"/>
      <c r="F1622" s="103"/>
      <c r="G1622" s="103"/>
      <c r="H1622" s="131"/>
      <c r="I1622" s="468"/>
      <c r="J1622" s="16"/>
      <c r="K1622" s="16"/>
      <c r="L1622" s="8"/>
      <c r="M1622" s="69"/>
      <c r="N1622" s="69"/>
      <c r="O1622" s="69"/>
      <c r="P1622" s="534"/>
      <c r="Q1622" s="274"/>
      <c r="R1622" s="472"/>
      <c r="S1622" s="535"/>
      <c r="T1622" s="535"/>
      <c r="U1622" s="536"/>
      <c r="V1622" s="474"/>
      <c r="Y1622" s="89"/>
      <c r="Z1622" s="60"/>
      <c r="AA1622" s="60"/>
      <c r="AB1622" s="60"/>
      <c r="AC1622" s="30"/>
      <c r="AD1622" s="30"/>
      <c r="AE1622" s="475"/>
      <c r="AF1622" s="476"/>
      <c r="AG1622" s="474"/>
      <c r="AH1622" s="138"/>
    </row>
    <row r="1623">
      <c r="A1623" s="103"/>
      <c r="B1623" s="533"/>
      <c r="C1623" s="533"/>
      <c r="D1623" s="103"/>
      <c r="E1623" s="103"/>
      <c r="F1623" s="103"/>
      <c r="G1623" s="103"/>
      <c r="H1623" s="131"/>
      <c r="I1623" s="468"/>
      <c r="J1623" s="16"/>
      <c r="K1623" s="16"/>
      <c r="L1623" s="8"/>
      <c r="M1623" s="69"/>
      <c r="N1623" s="69"/>
      <c r="O1623" s="69"/>
      <c r="P1623" s="534"/>
      <c r="Q1623" s="274"/>
      <c r="R1623" s="472"/>
      <c r="S1623" s="535"/>
      <c r="T1623" s="535"/>
      <c r="U1623" s="536"/>
      <c r="V1623" s="474"/>
      <c r="Y1623" s="89"/>
      <c r="Z1623" s="60"/>
      <c r="AA1623" s="60"/>
      <c r="AB1623" s="60"/>
      <c r="AC1623" s="30"/>
      <c r="AD1623" s="30"/>
      <c r="AE1623" s="475"/>
      <c r="AF1623" s="476"/>
      <c r="AG1623" s="474"/>
      <c r="AH1623" s="138"/>
    </row>
    <row r="1624">
      <c r="A1624" s="103"/>
      <c r="B1624" s="533"/>
      <c r="C1624" s="533"/>
      <c r="D1624" s="103"/>
      <c r="E1624" s="103"/>
      <c r="F1624" s="103"/>
      <c r="G1624" s="103"/>
      <c r="H1624" s="131"/>
      <c r="I1624" s="468"/>
      <c r="J1624" s="16"/>
      <c r="K1624" s="16"/>
      <c r="L1624" s="8"/>
      <c r="M1624" s="69"/>
      <c r="N1624" s="69"/>
      <c r="O1624" s="69"/>
      <c r="P1624" s="534"/>
      <c r="Q1624" s="274"/>
      <c r="R1624" s="472"/>
      <c r="S1624" s="535"/>
      <c r="T1624" s="535"/>
      <c r="U1624" s="536"/>
      <c r="V1624" s="474"/>
      <c r="Y1624" s="89"/>
      <c r="Z1624" s="60"/>
      <c r="AA1624" s="60"/>
      <c r="AB1624" s="60"/>
      <c r="AC1624" s="30"/>
      <c r="AD1624" s="30"/>
      <c r="AE1624" s="475"/>
      <c r="AF1624" s="476"/>
      <c r="AG1624" s="474"/>
      <c r="AH1624" s="138"/>
    </row>
    <row r="1625">
      <c r="A1625" s="103"/>
      <c r="B1625" s="533"/>
      <c r="C1625" s="533"/>
      <c r="D1625" s="103"/>
      <c r="E1625" s="103"/>
      <c r="F1625" s="103"/>
      <c r="G1625" s="103"/>
      <c r="H1625" s="131"/>
      <c r="I1625" s="468"/>
      <c r="J1625" s="16"/>
      <c r="K1625" s="16"/>
      <c r="L1625" s="8"/>
      <c r="M1625" s="69"/>
      <c r="N1625" s="69"/>
      <c r="O1625" s="69"/>
      <c r="P1625" s="534"/>
      <c r="Q1625" s="274"/>
      <c r="R1625" s="472"/>
      <c r="S1625" s="535"/>
      <c r="T1625" s="535"/>
      <c r="U1625" s="536"/>
      <c r="V1625" s="474"/>
      <c r="Y1625" s="89"/>
      <c r="Z1625" s="60"/>
      <c r="AA1625" s="60"/>
      <c r="AB1625" s="60"/>
      <c r="AC1625" s="30"/>
      <c r="AD1625" s="30"/>
      <c r="AE1625" s="475"/>
      <c r="AF1625" s="476"/>
      <c r="AG1625" s="474"/>
      <c r="AH1625" s="138"/>
    </row>
    <row r="1626">
      <c r="A1626" s="103"/>
      <c r="B1626" s="533"/>
      <c r="C1626" s="533"/>
      <c r="D1626" s="103"/>
      <c r="E1626" s="103"/>
      <c r="F1626" s="103"/>
      <c r="G1626" s="103"/>
      <c r="H1626" s="131"/>
      <c r="I1626" s="468"/>
      <c r="J1626" s="16"/>
      <c r="K1626" s="16"/>
      <c r="L1626" s="8"/>
      <c r="M1626" s="69"/>
      <c r="N1626" s="69"/>
      <c r="O1626" s="69"/>
      <c r="P1626" s="534"/>
      <c r="Q1626" s="274"/>
      <c r="R1626" s="472"/>
      <c r="S1626" s="535"/>
      <c r="T1626" s="535"/>
      <c r="U1626" s="536"/>
      <c r="V1626" s="474"/>
      <c r="Y1626" s="89"/>
      <c r="Z1626" s="60"/>
      <c r="AA1626" s="60"/>
      <c r="AB1626" s="60"/>
      <c r="AC1626" s="30"/>
      <c r="AD1626" s="30"/>
      <c r="AE1626" s="475"/>
      <c r="AF1626" s="476"/>
      <c r="AG1626" s="474"/>
      <c r="AH1626" s="138"/>
    </row>
    <row r="1627">
      <c r="A1627" s="103"/>
      <c r="B1627" s="533"/>
      <c r="C1627" s="533"/>
      <c r="D1627" s="103"/>
      <c r="E1627" s="103"/>
      <c r="F1627" s="103"/>
      <c r="G1627" s="103"/>
      <c r="H1627" s="131"/>
      <c r="I1627" s="468"/>
      <c r="J1627" s="16"/>
      <c r="K1627" s="16"/>
      <c r="L1627" s="8"/>
      <c r="M1627" s="69"/>
      <c r="N1627" s="69"/>
      <c r="O1627" s="69"/>
      <c r="P1627" s="534"/>
      <c r="Q1627" s="274"/>
      <c r="R1627" s="472"/>
      <c r="S1627" s="535"/>
      <c r="T1627" s="535"/>
      <c r="U1627" s="536"/>
      <c r="V1627" s="474"/>
      <c r="Y1627" s="89"/>
      <c r="Z1627" s="60"/>
      <c r="AA1627" s="60"/>
      <c r="AB1627" s="60"/>
      <c r="AC1627" s="30"/>
      <c r="AD1627" s="30"/>
      <c r="AE1627" s="475"/>
      <c r="AF1627" s="476"/>
      <c r="AG1627" s="474"/>
      <c r="AH1627" s="138"/>
    </row>
    <row r="1628">
      <c r="A1628" s="103"/>
      <c r="B1628" s="533"/>
      <c r="C1628" s="533"/>
      <c r="D1628" s="103"/>
      <c r="E1628" s="103"/>
      <c r="F1628" s="103"/>
      <c r="G1628" s="103"/>
      <c r="H1628" s="131"/>
      <c r="I1628" s="468"/>
      <c r="J1628" s="16"/>
      <c r="K1628" s="16"/>
      <c r="L1628" s="8"/>
      <c r="M1628" s="69"/>
      <c r="N1628" s="69"/>
      <c r="O1628" s="69"/>
      <c r="P1628" s="534"/>
      <c r="Q1628" s="274"/>
      <c r="R1628" s="472"/>
      <c r="S1628" s="535"/>
      <c r="T1628" s="535"/>
      <c r="U1628" s="536"/>
      <c r="V1628" s="474"/>
      <c r="Y1628" s="89"/>
      <c r="Z1628" s="60"/>
      <c r="AA1628" s="60"/>
      <c r="AB1628" s="60"/>
      <c r="AC1628" s="30"/>
      <c r="AD1628" s="30"/>
      <c r="AE1628" s="475"/>
      <c r="AF1628" s="476"/>
      <c r="AG1628" s="474"/>
      <c r="AH1628" s="138"/>
    </row>
    <row r="1629">
      <c r="A1629" s="103"/>
      <c r="B1629" s="533"/>
      <c r="C1629" s="533"/>
      <c r="D1629" s="103"/>
      <c r="E1629" s="103"/>
      <c r="F1629" s="103"/>
      <c r="G1629" s="103"/>
      <c r="H1629" s="131"/>
      <c r="I1629" s="468"/>
      <c r="J1629" s="16"/>
      <c r="K1629" s="16"/>
      <c r="L1629" s="8"/>
      <c r="M1629" s="69"/>
      <c r="N1629" s="69"/>
      <c r="O1629" s="69"/>
      <c r="P1629" s="534"/>
      <c r="Q1629" s="274"/>
      <c r="R1629" s="472"/>
      <c r="S1629" s="535"/>
      <c r="T1629" s="535"/>
      <c r="U1629" s="536"/>
      <c r="V1629" s="474"/>
      <c r="Y1629" s="89"/>
      <c r="Z1629" s="60"/>
      <c r="AA1629" s="60"/>
      <c r="AB1629" s="60"/>
      <c r="AC1629" s="30"/>
      <c r="AD1629" s="30"/>
      <c r="AE1629" s="475"/>
      <c r="AF1629" s="476"/>
      <c r="AG1629" s="474"/>
      <c r="AH1629" s="138"/>
    </row>
    <row r="1630">
      <c r="A1630" s="103"/>
      <c r="B1630" s="533"/>
      <c r="C1630" s="533"/>
      <c r="D1630" s="103"/>
      <c r="E1630" s="103"/>
      <c r="F1630" s="103"/>
      <c r="G1630" s="103"/>
      <c r="H1630" s="131"/>
      <c r="I1630" s="468"/>
      <c r="J1630" s="16"/>
      <c r="K1630" s="16"/>
      <c r="L1630" s="8"/>
      <c r="M1630" s="69"/>
      <c r="N1630" s="69"/>
      <c r="O1630" s="69"/>
      <c r="P1630" s="534"/>
      <c r="Q1630" s="274"/>
      <c r="R1630" s="472"/>
      <c r="S1630" s="535"/>
      <c r="T1630" s="535"/>
      <c r="U1630" s="536"/>
      <c r="V1630" s="474"/>
      <c r="Y1630" s="89"/>
      <c r="Z1630" s="60"/>
      <c r="AA1630" s="60"/>
      <c r="AB1630" s="60"/>
      <c r="AC1630" s="30"/>
      <c r="AD1630" s="30"/>
      <c r="AE1630" s="475"/>
      <c r="AF1630" s="476"/>
      <c r="AG1630" s="474"/>
      <c r="AH1630" s="138"/>
    </row>
    <row r="1631">
      <c r="A1631" s="103"/>
      <c r="B1631" s="533"/>
      <c r="C1631" s="533"/>
      <c r="D1631" s="103"/>
      <c r="E1631" s="103"/>
      <c r="F1631" s="103"/>
      <c r="G1631" s="103"/>
      <c r="H1631" s="131"/>
      <c r="I1631" s="468"/>
      <c r="J1631" s="16"/>
      <c r="K1631" s="16"/>
      <c r="L1631" s="8"/>
      <c r="M1631" s="69"/>
      <c r="N1631" s="69"/>
      <c r="O1631" s="69"/>
      <c r="P1631" s="534"/>
      <c r="Q1631" s="274"/>
      <c r="R1631" s="472"/>
      <c r="S1631" s="535"/>
      <c r="T1631" s="535"/>
      <c r="U1631" s="536"/>
      <c r="V1631" s="474"/>
      <c r="Y1631" s="89"/>
      <c r="Z1631" s="60"/>
      <c r="AA1631" s="60"/>
      <c r="AB1631" s="60"/>
      <c r="AC1631" s="30"/>
      <c r="AD1631" s="30"/>
      <c r="AE1631" s="475"/>
      <c r="AF1631" s="476"/>
      <c r="AG1631" s="474"/>
      <c r="AH1631" s="138"/>
    </row>
    <row r="1632">
      <c r="A1632" s="103"/>
      <c r="B1632" s="533"/>
      <c r="C1632" s="533"/>
      <c r="D1632" s="103"/>
      <c r="E1632" s="103"/>
      <c r="F1632" s="103"/>
      <c r="G1632" s="103"/>
      <c r="H1632" s="131"/>
      <c r="I1632" s="468"/>
      <c r="J1632" s="16"/>
      <c r="K1632" s="16"/>
      <c r="L1632" s="8"/>
      <c r="M1632" s="69"/>
      <c r="N1632" s="69"/>
      <c r="O1632" s="69"/>
      <c r="P1632" s="534"/>
      <c r="Q1632" s="274"/>
      <c r="R1632" s="472"/>
      <c r="S1632" s="535"/>
      <c r="T1632" s="535"/>
      <c r="U1632" s="536"/>
      <c r="V1632" s="474"/>
      <c r="Y1632" s="89"/>
      <c r="Z1632" s="60"/>
      <c r="AA1632" s="60"/>
      <c r="AB1632" s="60"/>
      <c r="AC1632" s="30"/>
      <c r="AD1632" s="30"/>
      <c r="AE1632" s="475"/>
      <c r="AF1632" s="476"/>
      <c r="AG1632" s="474"/>
      <c r="AH1632" s="138"/>
    </row>
    <row r="1633">
      <c r="A1633" s="103"/>
      <c r="B1633" s="533"/>
      <c r="C1633" s="533"/>
      <c r="D1633" s="103"/>
      <c r="E1633" s="103"/>
      <c r="F1633" s="103"/>
      <c r="G1633" s="103"/>
      <c r="H1633" s="131"/>
      <c r="I1633" s="468"/>
      <c r="J1633" s="16"/>
      <c r="K1633" s="16"/>
      <c r="L1633" s="8"/>
      <c r="M1633" s="69"/>
      <c r="N1633" s="69"/>
      <c r="O1633" s="69"/>
      <c r="P1633" s="534"/>
      <c r="Q1633" s="274"/>
      <c r="R1633" s="472"/>
      <c r="S1633" s="535"/>
      <c r="T1633" s="535"/>
      <c r="U1633" s="536"/>
      <c r="V1633" s="474"/>
      <c r="Y1633" s="89"/>
      <c r="Z1633" s="60"/>
      <c r="AA1633" s="60"/>
      <c r="AB1633" s="60"/>
      <c r="AC1633" s="30"/>
      <c r="AD1633" s="30"/>
      <c r="AE1633" s="475"/>
      <c r="AF1633" s="476"/>
      <c r="AG1633" s="474"/>
      <c r="AH1633" s="138"/>
    </row>
    <row r="1634">
      <c r="A1634" s="103"/>
      <c r="B1634" s="533"/>
      <c r="C1634" s="533"/>
      <c r="D1634" s="103"/>
      <c r="E1634" s="103"/>
      <c r="F1634" s="103"/>
      <c r="G1634" s="103"/>
      <c r="H1634" s="131"/>
      <c r="I1634" s="468"/>
      <c r="J1634" s="16"/>
      <c r="K1634" s="16"/>
      <c r="L1634" s="8"/>
      <c r="M1634" s="69"/>
      <c r="N1634" s="69"/>
      <c r="O1634" s="69"/>
      <c r="P1634" s="534"/>
      <c r="Q1634" s="274"/>
      <c r="R1634" s="472"/>
      <c r="S1634" s="535"/>
      <c r="T1634" s="535"/>
      <c r="U1634" s="536"/>
      <c r="V1634" s="474"/>
      <c r="Y1634" s="89"/>
      <c r="Z1634" s="60"/>
      <c r="AA1634" s="60"/>
      <c r="AB1634" s="60"/>
      <c r="AC1634" s="30"/>
      <c r="AD1634" s="30"/>
      <c r="AE1634" s="475"/>
      <c r="AF1634" s="476"/>
      <c r="AG1634" s="474"/>
      <c r="AH1634" s="138"/>
    </row>
    <row r="1635">
      <c r="A1635" s="103"/>
      <c r="B1635" s="533"/>
      <c r="C1635" s="533"/>
      <c r="D1635" s="103"/>
      <c r="E1635" s="103"/>
      <c r="F1635" s="103"/>
      <c r="G1635" s="103"/>
      <c r="H1635" s="131"/>
      <c r="I1635" s="468"/>
      <c r="J1635" s="16"/>
      <c r="K1635" s="16"/>
      <c r="L1635" s="8"/>
      <c r="M1635" s="69"/>
      <c r="N1635" s="69"/>
      <c r="O1635" s="69"/>
      <c r="P1635" s="534"/>
      <c r="Q1635" s="274"/>
      <c r="R1635" s="472"/>
      <c r="S1635" s="535"/>
      <c r="T1635" s="535"/>
      <c r="U1635" s="536"/>
      <c r="V1635" s="474"/>
      <c r="Y1635" s="89"/>
      <c r="Z1635" s="60"/>
      <c r="AA1635" s="60"/>
      <c r="AB1635" s="60"/>
      <c r="AC1635" s="30"/>
      <c r="AD1635" s="30"/>
      <c r="AE1635" s="475"/>
      <c r="AF1635" s="476"/>
      <c r="AG1635" s="474"/>
      <c r="AH1635" s="138"/>
    </row>
    <row r="1636">
      <c r="A1636" s="103"/>
      <c r="B1636" s="533"/>
      <c r="C1636" s="533"/>
      <c r="D1636" s="103"/>
      <c r="E1636" s="103"/>
      <c r="F1636" s="103"/>
      <c r="G1636" s="103"/>
      <c r="H1636" s="131"/>
      <c r="I1636" s="468"/>
      <c r="J1636" s="16"/>
      <c r="K1636" s="16"/>
      <c r="L1636" s="8"/>
      <c r="M1636" s="69"/>
      <c r="N1636" s="69"/>
      <c r="O1636" s="69"/>
      <c r="P1636" s="534"/>
      <c r="Q1636" s="274"/>
      <c r="R1636" s="472"/>
      <c r="S1636" s="535"/>
      <c r="T1636" s="535"/>
      <c r="U1636" s="536"/>
      <c r="V1636" s="474"/>
      <c r="Y1636" s="89"/>
      <c r="Z1636" s="60"/>
      <c r="AA1636" s="60"/>
      <c r="AB1636" s="60"/>
      <c r="AC1636" s="30"/>
      <c r="AD1636" s="30"/>
      <c r="AE1636" s="475"/>
      <c r="AF1636" s="476"/>
      <c r="AG1636" s="474"/>
      <c r="AH1636" s="138"/>
    </row>
    <row r="1637">
      <c r="A1637" s="103"/>
      <c r="B1637" s="533"/>
      <c r="C1637" s="533"/>
      <c r="D1637" s="103"/>
      <c r="E1637" s="103"/>
      <c r="F1637" s="103"/>
      <c r="G1637" s="103"/>
      <c r="H1637" s="131"/>
      <c r="I1637" s="468"/>
      <c r="J1637" s="16"/>
      <c r="K1637" s="16"/>
      <c r="L1637" s="8"/>
      <c r="M1637" s="69"/>
      <c r="N1637" s="69"/>
      <c r="O1637" s="69"/>
      <c r="P1637" s="534"/>
      <c r="Q1637" s="274"/>
      <c r="R1637" s="472"/>
      <c r="S1637" s="535"/>
      <c r="T1637" s="535"/>
      <c r="U1637" s="536"/>
      <c r="V1637" s="474"/>
      <c r="Y1637" s="89"/>
      <c r="Z1637" s="60"/>
      <c r="AA1637" s="60"/>
      <c r="AB1637" s="60"/>
      <c r="AC1637" s="30"/>
      <c r="AD1637" s="30"/>
      <c r="AE1637" s="475"/>
      <c r="AF1637" s="476"/>
      <c r="AG1637" s="474"/>
      <c r="AH1637" s="138"/>
    </row>
    <row r="1638">
      <c r="A1638" s="103"/>
      <c r="B1638" s="533"/>
      <c r="C1638" s="533"/>
      <c r="D1638" s="103"/>
      <c r="E1638" s="103"/>
      <c r="F1638" s="103"/>
      <c r="G1638" s="103"/>
      <c r="H1638" s="131"/>
      <c r="I1638" s="468"/>
      <c r="J1638" s="16"/>
      <c r="K1638" s="16"/>
      <c r="L1638" s="8"/>
      <c r="M1638" s="69"/>
      <c r="N1638" s="69"/>
      <c r="O1638" s="69"/>
      <c r="P1638" s="534"/>
      <c r="Q1638" s="274"/>
      <c r="R1638" s="472"/>
      <c r="S1638" s="535"/>
      <c r="T1638" s="535"/>
      <c r="U1638" s="536"/>
      <c r="V1638" s="474"/>
      <c r="Y1638" s="89"/>
      <c r="Z1638" s="60"/>
      <c r="AA1638" s="60"/>
      <c r="AB1638" s="60"/>
      <c r="AC1638" s="30"/>
      <c r="AD1638" s="30"/>
      <c r="AE1638" s="475"/>
      <c r="AF1638" s="476"/>
      <c r="AG1638" s="474"/>
      <c r="AH1638" s="138"/>
    </row>
    <row r="1639">
      <c r="A1639" s="103"/>
      <c r="B1639" s="533"/>
      <c r="C1639" s="533"/>
      <c r="D1639" s="103"/>
      <c r="E1639" s="103"/>
      <c r="F1639" s="103"/>
      <c r="G1639" s="103"/>
      <c r="H1639" s="131"/>
      <c r="I1639" s="468"/>
      <c r="J1639" s="16"/>
      <c r="K1639" s="16"/>
      <c r="L1639" s="8"/>
      <c r="M1639" s="69"/>
      <c r="N1639" s="69"/>
      <c r="O1639" s="69"/>
      <c r="P1639" s="534"/>
      <c r="Q1639" s="274"/>
      <c r="R1639" s="472"/>
      <c r="S1639" s="535"/>
      <c r="T1639" s="535"/>
      <c r="U1639" s="536"/>
      <c r="V1639" s="474"/>
      <c r="Y1639" s="89"/>
      <c r="Z1639" s="60"/>
      <c r="AA1639" s="60"/>
      <c r="AB1639" s="60"/>
      <c r="AC1639" s="30"/>
      <c r="AD1639" s="30"/>
      <c r="AE1639" s="475"/>
      <c r="AF1639" s="476"/>
      <c r="AG1639" s="474"/>
      <c r="AH1639" s="138"/>
    </row>
    <row r="1640">
      <c r="A1640" s="103"/>
      <c r="B1640" s="533"/>
      <c r="C1640" s="533"/>
      <c r="D1640" s="103"/>
      <c r="E1640" s="103"/>
      <c r="F1640" s="103"/>
      <c r="G1640" s="103"/>
      <c r="H1640" s="131"/>
      <c r="I1640" s="468"/>
      <c r="J1640" s="16"/>
      <c r="K1640" s="16"/>
      <c r="L1640" s="8"/>
      <c r="M1640" s="69"/>
      <c r="N1640" s="69"/>
      <c r="O1640" s="69"/>
      <c r="P1640" s="534"/>
      <c r="Q1640" s="274"/>
      <c r="R1640" s="472"/>
      <c r="S1640" s="535"/>
      <c r="T1640" s="535"/>
      <c r="U1640" s="536"/>
      <c r="V1640" s="474"/>
      <c r="Y1640" s="89"/>
      <c r="Z1640" s="60"/>
      <c r="AA1640" s="60"/>
      <c r="AB1640" s="60"/>
      <c r="AC1640" s="30"/>
      <c r="AD1640" s="30"/>
      <c r="AE1640" s="475"/>
      <c r="AF1640" s="476"/>
      <c r="AG1640" s="474"/>
      <c r="AH1640" s="138"/>
    </row>
    <row r="1641">
      <c r="A1641" s="103"/>
      <c r="B1641" s="533"/>
      <c r="C1641" s="533"/>
      <c r="D1641" s="103"/>
      <c r="E1641" s="103"/>
      <c r="F1641" s="103"/>
      <c r="G1641" s="103"/>
      <c r="H1641" s="131"/>
      <c r="I1641" s="468"/>
      <c r="J1641" s="16"/>
      <c r="K1641" s="16"/>
      <c r="L1641" s="8"/>
      <c r="M1641" s="69"/>
      <c r="N1641" s="69"/>
      <c r="O1641" s="69"/>
      <c r="P1641" s="534"/>
      <c r="Q1641" s="274"/>
      <c r="R1641" s="472"/>
      <c r="S1641" s="535"/>
      <c r="T1641" s="535"/>
      <c r="U1641" s="536"/>
      <c r="V1641" s="474"/>
      <c r="Y1641" s="89"/>
      <c r="Z1641" s="60"/>
      <c r="AA1641" s="60"/>
      <c r="AB1641" s="60"/>
      <c r="AC1641" s="30"/>
      <c r="AD1641" s="30"/>
      <c r="AE1641" s="475"/>
      <c r="AF1641" s="476"/>
      <c r="AG1641" s="474"/>
      <c r="AH1641" s="138"/>
    </row>
    <row r="1642">
      <c r="A1642" s="103"/>
      <c r="B1642" s="533"/>
      <c r="C1642" s="533"/>
      <c r="D1642" s="103"/>
      <c r="E1642" s="103"/>
      <c r="F1642" s="103"/>
      <c r="G1642" s="103"/>
      <c r="H1642" s="131"/>
      <c r="I1642" s="468"/>
      <c r="J1642" s="16"/>
      <c r="K1642" s="16"/>
      <c r="L1642" s="8"/>
      <c r="M1642" s="69"/>
      <c r="N1642" s="69"/>
      <c r="O1642" s="69"/>
      <c r="P1642" s="534"/>
      <c r="Q1642" s="274"/>
      <c r="R1642" s="472"/>
      <c r="S1642" s="535"/>
      <c r="T1642" s="535"/>
      <c r="U1642" s="536"/>
      <c r="V1642" s="474"/>
      <c r="Y1642" s="89"/>
      <c r="Z1642" s="60"/>
      <c r="AA1642" s="60"/>
      <c r="AB1642" s="60"/>
      <c r="AC1642" s="30"/>
      <c r="AD1642" s="30"/>
      <c r="AE1642" s="475"/>
      <c r="AF1642" s="476"/>
      <c r="AG1642" s="474"/>
      <c r="AH1642" s="138"/>
    </row>
    <row r="1643">
      <c r="A1643" s="103"/>
      <c r="B1643" s="533"/>
      <c r="C1643" s="533"/>
      <c r="D1643" s="103"/>
      <c r="E1643" s="103"/>
      <c r="F1643" s="103"/>
      <c r="G1643" s="103"/>
      <c r="H1643" s="131"/>
      <c r="I1643" s="468"/>
      <c r="J1643" s="16"/>
      <c r="K1643" s="16"/>
      <c r="L1643" s="8"/>
      <c r="M1643" s="69"/>
      <c r="N1643" s="69"/>
      <c r="O1643" s="69"/>
      <c r="P1643" s="534"/>
      <c r="Q1643" s="274"/>
      <c r="R1643" s="472"/>
      <c r="S1643" s="535"/>
      <c r="T1643" s="535"/>
      <c r="U1643" s="536"/>
      <c r="V1643" s="474"/>
      <c r="Y1643" s="89"/>
      <c r="Z1643" s="60"/>
      <c r="AA1643" s="60"/>
      <c r="AB1643" s="60"/>
      <c r="AC1643" s="30"/>
      <c r="AD1643" s="30"/>
      <c r="AE1643" s="475"/>
      <c r="AF1643" s="476"/>
      <c r="AG1643" s="474"/>
      <c r="AH1643" s="138"/>
    </row>
    <row r="1644">
      <c r="A1644" s="103"/>
      <c r="B1644" s="533"/>
      <c r="C1644" s="533"/>
      <c r="D1644" s="103"/>
      <c r="E1644" s="103"/>
      <c r="F1644" s="103"/>
      <c r="G1644" s="103"/>
      <c r="H1644" s="131"/>
      <c r="I1644" s="468"/>
      <c r="J1644" s="16"/>
      <c r="K1644" s="16"/>
      <c r="L1644" s="8"/>
      <c r="M1644" s="69"/>
      <c r="N1644" s="69"/>
      <c r="O1644" s="69"/>
      <c r="P1644" s="534"/>
      <c r="Q1644" s="274"/>
      <c r="R1644" s="472"/>
      <c r="S1644" s="535"/>
      <c r="T1644" s="535"/>
      <c r="U1644" s="536"/>
      <c r="V1644" s="474"/>
      <c r="Y1644" s="89"/>
      <c r="Z1644" s="60"/>
      <c r="AA1644" s="60"/>
      <c r="AB1644" s="60"/>
      <c r="AC1644" s="30"/>
      <c r="AD1644" s="30"/>
      <c r="AE1644" s="475"/>
      <c r="AF1644" s="476"/>
      <c r="AG1644" s="474"/>
      <c r="AH1644" s="138"/>
    </row>
    <row r="1645">
      <c r="A1645" s="103"/>
      <c r="B1645" s="533"/>
      <c r="C1645" s="533"/>
      <c r="D1645" s="103"/>
      <c r="E1645" s="103"/>
      <c r="F1645" s="103"/>
      <c r="G1645" s="103"/>
      <c r="H1645" s="131"/>
      <c r="I1645" s="468"/>
      <c r="J1645" s="16"/>
      <c r="K1645" s="16"/>
      <c r="L1645" s="8"/>
      <c r="M1645" s="69"/>
      <c r="N1645" s="69"/>
      <c r="O1645" s="69"/>
      <c r="P1645" s="534"/>
      <c r="Q1645" s="274"/>
      <c r="R1645" s="472"/>
      <c r="S1645" s="535"/>
      <c r="T1645" s="535"/>
      <c r="U1645" s="536"/>
      <c r="V1645" s="474"/>
      <c r="Y1645" s="89"/>
      <c r="Z1645" s="60"/>
      <c r="AA1645" s="60"/>
      <c r="AB1645" s="60"/>
      <c r="AC1645" s="30"/>
      <c r="AD1645" s="30"/>
      <c r="AE1645" s="475"/>
      <c r="AF1645" s="476"/>
      <c r="AG1645" s="474"/>
      <c r="AH1645" s="138"/>
    </row>
    <row r="1646">
      <c r="A1646" s="103"/>
      <c r="B1646" s="533"/>
      <c r="C1646" s="533"/>
      <c r="D1646" s="103"/>
      <c r="E1646" s="103"/>
      <c r="F1646" s="103"/>
      <c r="G1646" s="103"/>
      <c r="H1646" s="131"/>
      <c r="I1646" s="468"/>
      <c r="J1646" s="16"/>
      <c r="K1646" s="16"/>
      <c r="L1646" s="8"/>
      <c r="M1646" s="69"/>
      <c r="N1646" s="69"/>
      <c r="O1646" s="69"/>
      <c r="P1646" s="534"/>
      <c r="Q1646" s="274"/>
      <c r="R1646" s="472"/>
      <c r="S1646" s="535"/>
      <c r="T1646" s="535"/>
      <c r="U1646" s="536"/>
      <c r="V1646" s="474"/>
      <c r="Y1646" s="89"/>
      <c r="Z1646" s="60"/>
      <c r="AA1646" s="60"/>
      <c r="AB1646" s="60"/>
      <c r="AC1646" s="30"/>
      <c r="AD1646" s="30"/>
      <c r="AE1646" s="475"/>
      <c r="AF1646" s="476"/>
      <c r="AG1646" s="474"/>
      <c r="AH1646" s="138"/>
    </row>
    <row r="1647">
      <c r="A1647" s="103"/>
      <c r="B1647" s="533"/>
      <c r="C1647" s="533"/>
      <c r="D1647" s="103"/>
      <c r="E1647" s="103"/>
      <c r="F1647" s="103"/>
      <c r="G1647" s="103"/>
      <c r="H1647" s="131"/>
      <c r="I1647" s="468"/>
      <c r="J1647" s="16"/>
      <c r="K1647" s="16"/>
      <c r="L1647" s="8"/>
      <c r="M1647" s="69"/>
      <c r="N1647" s="69"/>
      <c r="O1647" s="69"/>
      <c r="P1647" s="534"/>
      <c r="Q1647" s="274"/>
      <c r="R1647" s="472"/>
      <c r="S1647" s="535"/>
      <c r="T1647" s="535"/>
      <c r="U1647" s="536"/>
      <c r="V1647" s="474"/>
      <c r="Y1647" s="89"/>
      <c r="Z1647" s="60"/>
      <c r="AA1647" s="60"/>
      <c r="AB1647" s="60"/>
      <c r="AC1647" s="30"/>
      <c r="AD1647" s="30"/>
      <c r="AE1647" s="475"/>
      <c r="AF1647" s="476"/>
      <c r="AG1647" s="474"/>
      <c r="AH1647" s="138"/>
    </row>
    <row r="1648">
      <c r="A1648" s="103"/>
      <c r="B1648" s="533"/>
      <c r="C1648" s="533"/>
      <c r="D1648" s="103"/>
      <c r="E1648" s="103"/>
      <c r="F1648" s="103"/>
      <c r="G1648" s="103"/>
      <c r="H1648" s="131"/>
      <c r="I1648" s="468"/>
      <c r="J1648" s="16"/>
      <c r="K1648" s="16"/>
      <c r="L1648" s="8"/>
      <c r="M1648" s="69"/>
      <c r="N1648" s="69"/>
      <c r="O1648" s="69"/>
      <c r="P1648" s="534"/>
      <c r="Q1648" s="274"/>
      <c r="R1648" s="472"/>
      <c r="S1648" s="535"/>
      <c r="T1648" s="535"/>
      <c r="U1648" s="536"/>
      <c r="V1648" s="474"/>
      <c r="Y1648" s="89"/>
      <c r="Z1648" s="60"/>
      <c r="AA1648" s="60"/>
      <c r="AB1648" s="60"/>
      <c r="AC1648" s="30"/>
      <c r="AD1648" s="30"/>
      <c r="AE1648" s="475"/>
      <c r="AF1648" s="476"/>
      <c r="AG1648" s="474"/>
      <c r="AH1648" s="138"/>
    </row>
    <row r="1649">
      <c r="A1649" s="103"/>
      <c r="B1649" s="533"/>
      <c r="C1649" s="533"/>
      <c r="D1649" s="103"/>
      <c r="E1649" s="103"/>
      <c r="F1649" s="103"/>
      <c r="G1649" s="103"/>
      <c r="H1649" s="131"/>
      <c r="I1649" s="468"/>
      <c r="J1649" s="16"/>
      <c r="K1649" s="16"/>
      <c r="L1649" s="8"/>
      <c r="M1649" s="69"/>
      <c r="N1649" s="69"/>
      <c r="O1649" s="69"/>
      <c r="P1649" s="534"/>
      <c r="Q1649" s="274"/>
      <c r="R1649" s="472"/>
      <c r="S1649" s="535"/>
      <c r="T1649" s="535"/>
      <c r="U1649" s="536"/>
      <c r="V1649" s="474"/>
      <c r="Y1649" s="89"/>
      <c r="Z1649" s="60"/>
      <c r="AA1649" s="60"/>
      <c r="AB1649" s="60"/>
      <c r="AC1649" s="30"/>
      <c r="AD1649" s="30"/>
      <c r="AE1649" s="475"/>
      <c r="AF1649" s="476"/>
      <c r="AG1649" s="474"/>
      <c r="AH1649" s="138"/>
    </row>
    <row r="1650">
      <c r="A1650" s="103"/>
      <c r="B1650" s="533"/>
      <c r="C1650" s="533"/>
      <c r="D1650" s="103"/>
      <c r="E1650" s="103"/>
      <c r="F1650" s="103"/>
      <c r="G1650" s="103"/>
      <c r="H1650" s="131"/>
      <c r="I1650" s="468"/>
      <c r="J1650" s="16"/>
      <c r="K1650" s="16"/>
      <c r="L1650" s="8"/>
      <c r="M1650" s="69"/>
      <c r="N1650" s="69"/>
      <c r="O1650" s="69"/>
      <c r="P1650" s="534"/>
      <c r="Q1650" s="274"/>
      <c r="R1650" s="472"/>
      <c r="S1650" s="535"/>
      <c r="T1650" s="535"/>
      <c r="U1650" s="536"/>
      <c r="V1650" s="474"/>
      <c r="Y1650" s="89"/>
      <c r="Z1650" s="60"/>
      <c r="AA1650" s="60"/>
      <c r="AB1650" s="60"/>
      <c r="AC1650" s="30"/>
      <c r="AD1650" s="30"/>
      <c r="AE1650" s="475"/>
      <c r="AF1650" s="476"/>
      <c r="AG1650" s="474"/>
      <c r="AH1650" s="138"/>
    </row>
    <row r="1651">
      <c r="A1651" s="103"/>
      <c r="B1651" s="533"/>
      <c r="C1651" s="533"/>
      <c r="D1651" s="103"/>
      <c r="E1651" s="103"/>
      <c r="F1651" s="103"/>
      <c r="G1651" s="103"/>
      <c r="H1651" s="131"/>
      <c r="I1651" s="468"/>
      <c r="J1651" s="16"/>
      <c r="K1651" s="16"/>
      <c r="L1651" s="8"/>
      <c r="M1651" s="69"/>
      <c r="N1651" s="69"/>
      <c r="O1651" s="69"/>
      <c r="P1651" s="534"/>
      <c r="Q1651" s="274"/>
      <c r="R1651" s="472"/>
      <c r="S1651" s="535"/>
      <c r="T1651" s="535"/>
      <c r="U1651" s="536"/>
      <c r="V1651" s="474"/>
      <c r="Y1651" s="89"/>
      <c r="Z1651" s="60"/>
      <c r="AA1651" s="60"/>
      <c r="AB1651" s="60"/>
      <c r="AC1651" s="30"/>
      <c r="AD1651" s="30"/>
      <c r="AE1651" s="475"/>
      <c r="AF1651" s="476"/>
      <c r="AG1651" s="474"/>
      <c r="AH1651" s="138"/>
    </row>
    <row r="1652">
      <c r="A1652" s="103"/>
      <c r="B1652" s="533"/>
      <c r="C1652" s="533"/>
      <c r="D1652" s="103"/>
      <c r="E1652" s="103"/>
      <c r="F1652" s="103"/>
      <c r="G1652" s="103"/>
      <c r="H1652" s="131"/>
      <c r="I1652" s="468"/>
      <c r="J1652" s="16"/>
      <c r="K1652" s="16"/>
      <c r="L1652" s="8"/>
      <c r="M1652" s="69"/>
      <c r="N1652" s="69"/>
      <c r="O1652" s="69"/>
      <c r="P1652" s="534"/>
      <c r="Q1652" s="274"/>
      <c r="R1652" s="472"/>
      <c r="S1652" s="535"/>
      <c r="T1652" s="535"/>
      <c r="U1652" s="536"/>
      <c r="V1652" s="474"/>
      <c r="Y1652" s="89"/>
      <c r="Z1652" s="60"/>
      <c r="AA1652" s="60"/>
      <c r="AB1652" s="60"/>
      <c r="AC1652" s="30"/>
      <c r="AD1652" s="30"/>
      <c r="AE1652" s="475"/>
      <c r="AF1652" s="476"/>
      <c r="AG1652" s="474"/>
      <c r="AH1652" s="138"/>
    </row>
    <row r="1653">
      <c r="A1653" s="103"/>
      <c r="B1653" s="533"/>
      <c r="C1653" s="533"/>
      <c r="D1653" s="103"/>
      <c r="E1653" s="103"/>
      <c r="F1653" s="103"/>
      <c r="G1653" s="103"/>
      <c r="H1653" s="131"/>
      <c r="I1653" s="468"/>
      <c r="J1653" s="16"/>
      <c r="K1653" s="16"/>
      <c r="L1653" s="8"/>
      <c r="M1653" s="69"/>
      <c r="N1653" s="69"/>
      <c r="O1653" s="69"/>
      <c r="P1653" s="534"/>
      <c r="Q1653" s="274"/>
      <c r="R1653" s="472"/>
      <c r="S1653" s="535"/>
      <c r="T1653" s="535"/>
      <c r="U1653" s="536"/>
      <c r="V1653" s="474"/>
      <c r="Y1653" s="89"/>
      <c r="Z1653" s="60"/>
      <c r="AA1653" s="60"/>
      <c r="AB1653" s="60"/>
      <c r="AC1653" s="30"/>
      <c r="AD1653" s="30"/>
      <c r="AE1653" s="475"/>
      <c r="AF1653" s="476"/>
      <c r="AG1653" s="474"/>
      <c r="AH1653" s="138"/>
    </row>
    <row r="1654">
      <c r="A1654" s="103"/>
      <c r="B1654" s="533"/>
      <c r="C1654" s="533"/>
      <c r="D1654" s="103"/>
      <c r="E1654" s="103"/>
      <c r="F1654" s="103"/>
      <c r="G1654" s="103"/>
      <c r="H1654" s="131"/>
      <c r="I1654" s="468"/>
      <c r="J1654" s="16"/>
      <c r="K1654" s="16"/>
      <c r="L1654" s="8"/>
      <c r="M1654" s="69"/>
      <c r="N1654" s="69"/>
      <c r="O1654" s="69"/>
      <c r="P1654" s="534"/>
      <c r="Q1654" s="274"/>
      <c r="R1654" s="472"/>
      <c r="S1654" s="535"/>
      <c r="T1654" s="535"/>
      <c r="U1654" s="536"/>
      <c r="V1654" s="474"/>
      <c r="Y1654" s="89"/>
      <c r="Z1654" s="60"/>
      <c r="AA1654" s="60"/>
      <c r="AB1654" s="60"/>
      <c r="AC1654" s="30"/>
      <c r="AD1654" s="30"/>
      <c r="AE1654" s="475"/>
      <c r="AF1654" s="476"/>
      <c r="AG1654" s="474"/>
      <c r="AH1654" s="138"/>
    </row>
    <row r="1655">
      <c r="A1655" s="103"/>
      <c r="B1655" s="533"/>
      <c r="C1655" s="533"/>
      <c r="D1655" s="103"/>
      <c r="E1655" s="103"/>
      <c r="F1655" s="103"/>
      <c r="G1655" s="103"/>
      <c r="H1655" s="131"/>
      <c r="I1655" s="468"/>
      <c r="J1655" s="16"/>
      <c r="K1655" s="16"/>
      <c r="L1655" s="8"/>
      <c r="M1655" s="69"/>
      <c r="N1655" s="69"/>
      <c r="O1655" s="69"/>
      <c r="P1655" s="534"/>
      <c r="Q1655" s="274"/>
      <c r="R1655" s="472"/>
      <c r="S1655" s="535"/>
      <c r="T1655" s="535"/>
      <c r="U1655" s="536"/>
      <c r="V1655" s="474"/>
      <c r="Y1655" s="89"/>
      <c r="Z1655" s="60"/>
      <c r="AA1655" s="60"/>
      <c r="AB1655" s="60"/>
      <c r="AC1655" s="30"/>
      <c r="AD1655" s="30"/>
      <c r="AE1655" s="475"/>
      <c r="AF1655" s="476"/>
      <c r="AG1655" s="474"/>
      <c r="AH1655" s="138"/>
    </row>
    <row r="1656">
      <c r="A1656" s="103"/>
      <c r="B1656" s="533"/>
      <c r="C1656" s="533"/>
      <c r="D1656" s="103"/>
      <c r="E1656" s="103"/>
      <c r="F1656" s="103"/>
      <c r="G1656" s="103"/>
      <c r="H1656" s="131"/>
      <c r="I1656" s="468"/>
      <c r="J1656" s="16"/>
      <c r="K1656" s="16"/>
      <c r="L1656" s="8"/>
      <c r="M1656" s="69"/>
      <c r="N1656" s="69"/>
      <c r="O1656" s="69"/>
      <c r="P1656" s="534"/>
      <c r="Q1656" s="274"/>
      <c r="R1656" s="472"/>
      <c r="S1656" s="535"/>
      <c r="T1656" s="535"/>
      <c r="U1656" s="536"/>
      <c r="V1656" s="474"/>
      <c r="Y1656" s="89"/>
      <c r="Z1656" s="60"/>
      <c r="AA1656" s="60"/>
      <c r="AB1656" s="60"/>
      <c r="AC1656" s="30"/>
      <c r="AD1656" s="30"/>
      <c r="AE1656" s="475"/>
      <c r="AF1656" s="476"/>
      <c r="AG1656" s="474"/>
      <c r="AH1656" s="138"/>
    </row>
    <row r="1657">
      <c r="A1657" s="103"/>
      <c r="B1657" s="533"/>
      <c r="C1657" s="533"/>
      <c r="D1657" s="103"/>
      <c r="E1657" s="103"/>
      <c r="F1657" s="103"/>
      <c r="G1657" s="103"/>
      <c r="H1657" s="131"/>
      <c r="I1657" s="468"/>
      <c r="J1657" s="16"/>
      <c r="K1657" s="16"/>
      <c r="L1657" s="8"/>
      <c r="M1657" s="69"/>
      <c r="N1657" s="69"/>
      <c r="O1657" s="69"/>
      <c r="P1657" s="534"/>
      <c r="Q1657" s="274"/>
      <c r="R1657" s="472"/>
      <c r="S1657" s="535"/>
      <c r="T1657" s="535"/>
      <c r="U1657" s="536"/>
      <c r="V1657" s="474"/>
      <c r="Y1657" s="89"/>
      <c r="Z1657" s="60"/>
      <c r="AA1657" s="60"/>
      <c r="AB1657" s="60"/>
      <c r="AC1657" s="30"/>
      <c r="AD1657" s="30"/>
      <c r="AE1657" s="475"/>
      <c r="AF1657" s="476"/>
      <c r="AG1657" s="474"/>
      <c r="AH1657" s="138"/>
    </row>
    <row r="1658">
      <c r="A1658" s="103"/>
      <c r="B1658" s="533"/>
      <c r="C1658" s="533"/>
      <c r="D1658" s="103"/>
      <c r="E1658" s="103"/>
      <c r="F1658" s="103"/>
      <c r="G1658" s="103"/>
      <c r="H1658" s="131"/>
      <c r="I1658" s="468"/>
      <c r="J1658" s="16"/>
      <c r="K1658" s="16"/>
      <c r="L1658" s="8"/>
      <c r="M1658" s="69"/>
      <c r="N1658" s="69"/>
      <c r="O1658" s="69"/>
      <c r="P1658" s="534"/>
      <c r="Q1658" s="274"/>
      <c r="R1658" s="472"/>
      <c r="S1658" s="535"/>
      <c r="T1658" s="535"/>
      <c r="U1658" s="536"/>
      <c r="V1658" s="474"/>
      <c r="Y1658" s="89"/>
      <c r="Z1658" s="60"/>
      <c r="AA1658" s="60"/>
      <c r="AB1658" s="60"/>
      <c r="AC1658" s="30"/>
      <c r="AD1658" s="30"/>
      <c r="AE1658" s="475"/>
      <c r="AF1658" s="476"/>
      <c r="AG1658" s="474"/>
      <c r="AH1658" s="138"/>
    </row>
    <row r="1659">
      <c r="A1659" s="103"/>
      <c r="B1659" s="533"/>
      <c r="C1659" s="533"/>
      <c r="D1659" s="103"/>
      <c r="E1659" s="103"/>
      <c r="F1659" s="103"/>
      <c r="G1659" s="103"/>
      <c r="H1659" s="131"/>
      <c r="I1659" s="468"/>
      <c r="J1659" s="16"/>
      <c r="K1659" s="16"/>
      <c r="L1659" s="8"/>
      <c r="M1659" s="69"/>
      <c r="N1659" s="69"/>
      <c r="O1659" s="69"/>
      <c r="P1659" s="534"/>
      <c r="Q1659" s="274"/>
      <c r="R1659" s="472"/>
      <c r="S1659" s="535"/>
      <c r="T1659" s="535"/>
      <c r="U1659" s="536"/>
      <c r="V1659" s="474"/>
      <c r="Y1659" s="89"/>
      <c r="Z1659" s="60"/>
      <c r="AA1659" s="60"/>
      <c r="AB1659" s="60"/>
      <c r="AC1659" s="30"/>
      <c r="AD1659" s="30"/>
      <c r="AE1659" s="475"/>
      <c r="AF1659" s="476"/>
      <c r="AG1659" s="474"/>
      <c r="AH1659" s="138"/>
    </row>
    <row r="1660">
      <c r="A1660" s="103"/>
      <c r="B1660" s="533"/>
      <c r="C1660" s="533"/>
      <c r="D1660" s="103"/>
      <c r="E1660" s="103"/>
      <c r="F1660" s="103"/>
      <c r="G1660" s="103"/>
      <c r="H1660" s="131"/>
      <c r="I1660" s="468"/>
      <c r="J1660" s="16"/>
      <c r="K1660" s="16"/>
      <c r="L1660" s="8"/>
      <c r="M1660" s="69"/>
      <c r="N1660" s="69"/>
      <c r="O1660" s="69"/>
      <c r="P1660" s="534"/>
      <c r="Q1660" s="274"/>
      <c r="R1660" s="472"/>
      <c r="S1660" s="535"/>
      <c r="T1660" s="535"/>
      <c r="U1660" s="536"/>
      <c r="V1660" s="474"/>
      <c r="Y1660" s="89"/>
      <c r="Z1660" s="60"/>
      <c r="AA1660" s="60"/>
      <c r="AB1660" s="60"/>
      <c r="AC1660" s="30"/>
      <c r="AD1660" s="30"/>
      <c r="AE1660" s="475"/>
      <c r="AF1660" s="476"/>
      <c r="AG1660" s="474"/>
      <c r="AH1660" s="138"/>
    </row>
    <row r="1661">
      <c r="A1661" s="103"/>
      <c r="B1661" s="533"/>
      <c r="C1661" s="533"/>
      <c r="D1661" s="103"/>
      <c r="E1661" s="103"/>
      <c r="F1661" s="103"/>
      <c r="G1661" s="103"/>
      <c r="H1661" s="131"/>
      <c r="I1661" s="468"/>
      <c r="J1661" s="16"/>
      <c r="K1661" s="16"/>
      <c r="L1661" s="8"/>
      <c r="M1661" s="69"/>
      <c r="N1661" s="69"/>
      <c r="O1661" s="69"/>
      <c r="P1661" s="534"/>
      <c r="Q1661" s="274"/>
      <c r="R1661" s="472"/>
      <c r="S1661" s="535"/>
      <c r="T1661" s="535"/>
      <c r="U1661" s="536"/>
      <c r="V1661" s="474"/>
      <c r="Y1661" s="89"/>
      <c r="Z1661" s="60"/>
      <c r="AA1661" s="60"/>
      <c r="AB1661" s="60"/>
      <c r="AC1661" s="30"/>
      <c r="AD1661" s="30"/>
      <c r="AE1661" s="475"/>
      <c r="AF1661" s="476"/>
      <c r="AG1661" s="474"/>
      <c r="AH1661" s="138"/>
    </row>
    <row r="1662">
      <c r="A1662" s="103"/>
      <c r="B1662" s="533"/>
      <c r="C1662" s="533"/>
      <c r="D1662" s="103"/>
      <c r="E1662" s="103"/>
      <c r="F1662" s="103"/>
      <c r="G1662" s="103"/>
      <c r="H1662" s="131"/>
      <c r="I1662" s="468"/>
      <c r="J1662" s="16"/>
      <c r="K1662" s="16"/>
      <c r="L1662" s="8"/>
      <c r="M1662" s="69"/>
      <c r="N1662" s="69"/>
      <c r="O1662" s="69"/>
      <c r="P1662" s="534"/>
      <c r="Q1662" s="274"/>
      <c r="R1662" s="472"/>
      <c r="S1662" s="535"/>
      <c r="T1662" s="535"/>
      <c r="U1662" s="536"/>
      <c r="V1662" s="474"/>
      <c r="Y1662" s="89"/>
      <c r="Z1662" s="60"/>
      <c r="AA1662" s="60"/>
      <c r="AB1662" s="60"/>
      <c r="AC1662" s="30"/>
      <c r="AD1662" s="30"/>
      <c r="AE1662" s="475"/>
      <c r="AF1662" s="476"/>
      <c r="AG1662" s="474"/>
      <c r="AH1662" s="138"/>
    </row>
    <row r="1663">
      <c r="A1663" s="103"/>
      <c r="B1663" s="533"/>
      <c r="C1663" s="533"/>
      <c r="D1663" s="103"/>
      <c r="E1663" s="103"/>
      <c r="F1663" s="103"/>
      <c r="G1663" s="103"/>
      <c r="H1663" s="131"/>
      <c r="I1663" s="468"/>
      <c r="J1663" s="16"/>
      <c r="K1663" s="16"/>
      <c r="L1663" s="8"/>
      <c r="M1663" s="69"/>
      <c r="N1663" s="69"/>
      <c r="O1663" s="69"/>
      <c r="P1663" s="534"/>
      <c r="Q1663" s="274"/>
      <c r="R1663" s="472"/>
      <c r="S1663" s="535"/>
      <c r="T1663" s="535"/>
      <c r="U1663" s="536"/>
      <c r="V1663" s="474"/>
      <c r="Y1663" s="89"/>
      <c r="Z1663" s="60"/>
      <c r="AA1663" s="60"/>
      <c r="AB1663" s="60"/>
      <c r="AC1663" s="30"/>
      <c r="AD1663" s="30"/>
      <c r="AE1663" s="475"/>
      <c r="AF1663" s="476"/>
      <c r="AG1663" s="474"/>
      <c r="AH1663" s="138"/>
    </row>
    <row r="1664">
      <c r="A1664" s="103"/>
      <c r="B1664" s="533"/>
      <c r="C1664" s="533"/>
      <c r="D1664" s="103"/>
      <c r="E1664" s="103"/>
      <c r="F1664" s="103"/>
      <c r="G1664" s="103"/>
      <c r="H1664" s="131"/>
      <c r="I1664" s="468"/>
      <c r="J1664" s="16"/>
      <c r="K1664" s="16"/>
      <c r="L1664" s="8"/>
      <c r="M1664" s="69"/>
      <c r="N1664" s="69"/>
      <c r="O1664" s="69"/>
      <c r="P1664" s="534"/>
      <c r="Q1664" s="274"/>
      <c r="R1664" s="472"/>
      <c r="S1664" s="535"/>
      <c r="T1664" s="535"/>
      <c r="U1664" s="536"/>
      <c r="V1664" s="474"/>
      <c r="Y1664" s="89"/>
      <c r="Z1664" s="60"/>
      <c r="AA1664" s="60"/>
      <c r="AB1664" s="60"/>
      <c r="AC1664" s="30"/>
      <c r="AD1664" s="30"/>
      <c r="AE1664" s="475"/>
      <c r="AF1664" s="476"/>
      <c r="AG1664" s="474"/>
      <c r="AH1664" s="138"/>
    </row>
    <row r="1665">
      <c r="A1665" s="103"/>
      <c r="B1665" s="533"/>
      <c r="C1665" s="533"/>
      <c r="D1665" s="103"/>
      <c r="E1665" s="103"/>
      <c r="F1665" s="103"/>
      <c r="G1665" s="103"/>
      <c r="H1665" s="131"/>
      <c r="I1665" s="468"/>
      <c r="J1665" s="16"/>
      <c r="K1665" s="16"/>
      <c r="L1665" s="8"/>
      <c r="M1665" s="69"/>
      <c r="N1665" s="69"/>
      <c r="O1665" s="69"/>
      <c r="P1665" s="534"/>
      <c r="Q1665" s="274"/>
      <c r="R1665" s="472"/>
      <c r="S1665" s="535"/>
      <c r="T1665" s="535"/>
      <c r="U1665" s="536"/>
      <c r="V1665" s="474"/>
      <c r="Y1665" s="89"/>
      <c r="Z1665" s="60"/>
      <c r="AA1665" s="60"/>
      <c r="AB1665" s="60"/>
      <c r="AC1665" s="30"/>
      <c r="AD1665" s="30"/>
      <c r="AE1665" s="475"/>
      <c r="AF1665" s="476"/>
      <c r="AG1665" s="474"/>
      <c r="AH1665" s="138"/>
    </row>
    <row r="1666">
      <c r="A1666" s="103"/>
      <c r="B1666" s="533"/>
      <c r="C1666" s="533"/>
      <c r="D1666" s="103"/>
      <c r="E1666" s="103"/>
      <c r="F1666" s="103"/>
      <c r="G1666" s="103"/>
      <c r="H1666" s="131"/>
      <c r="I1666" s="468"/>
      <c r="J1666" s="16"/>
      <c r="K1666" s="16"/>
      <c r="L1666" s="8"/>
      <c r="M1666" s="69"/>
      <c r="N1666" s="69"/>
      <c r="O1666" s="69"/>
      <c r="P1666" s="534"/>
      <c r="Q1666" s="274"/>
      <c r="R1666" s="472"/>
      <c r="S1666" s="535"/>
      <c r="T1666" s="535"/>
      <c r="U1666" s="536"/>
      <c r="V1666" s="474"/>
      <c r="Y1666" s="89"/>
      <c r="Z1666" s="60"/>
      <c r="AA1666" s="60"/>
      <c r="AB1666" s="60"/>
      <c r="AC1666" s="30"/>
      <c r="AD1666" s="30"/>
      <c r="AE1666" s="475"/>
      <c r="AF1666" s="476"/>
      <c r="AG1666" s="474"/>
      <c r="AH1666" s="138"/>
    </row>
    <row r="1667">
      <c r="A1667" s="103"/>
      <c r="B1667" s="533"/>
      <c r="C1667" s="533"/>
      <c r="D1667" s="103"/>
      <c r="E1667" s="103"/>
      <c r="F1667" s="103"/>
      <c r="G1667" s="103"/>
      <c r="H1667" s="131"/>
      <c r="I1667" s="468"/>
      <c r="J1667" s="16"/>
      <c r="K1667" s="16"/>
      <c r="L1667" s="8"/>
      <c r="M1667" s="69"/>
      <c r="N1667" s="69"/>
      <c r="O1667" s="69"/>
      <c r="P1667" s="534"/>
      <c r="Q1667" s="274"/>
      <c r="R1667" s="472"/>
      <c r="S1667" s="535"/>
      <c r="T1667" s="535"/>
      <c r="U1667" s="536"/>
      <c r="V1667" s="474"/>
      <c r="Y1667" s="89"/>
      <c r="Z1667" s="60"/>
      <c r="AA1667" s="60"/>
      <c r="AB1667" s="60"/>
      <c r="AC1667" s="30"/>
      <c r="AD1667" s="30"/>
      <c r="AE1667" s="475"/>
      <c r="AF1667" s="476"/>
      <c r="AG1667" s="474"/>
      <c r="AH1667" s="138"/>
    </row>
    <row r="1668">
      <c r="A1668" s="103"/>
      <c r="B1668" s="533"/>
      <c r="C1668" s="533"/>
      <c r="D1668" s="103"/>
      <c r="E1668" s="103"/>
      <c r="F1668" s="103"/>
      <c r="G1668" s="103"/>
      <c r="H1668" s="131"/>
      <c r="I1668" s="468"/>
      <c r="J1668" s="16"/>
      <c r="K1668" s="16"/>
      <c r="L1668" s="8"/>
      <c r="M1668" s="69"/>
      <c r="N1668" s="69"/>
      <c r="O1668" s="69"/>
      <c r="P1668" s="534"/>
      <c r="Q1668" s="274"/>
      <c r="R1668" s="472"/>
      <c r="S1668" s="535"/>
      <c r="T1668" s="535"/>
      <c r="U1668" s="536"/>
      <c r="V1668" s="474"/>
      <c r="Y1668" s="89"/>
      <c r="Z1668" s="60"/>
      <c r="AA1668" s="60"/>
      <c r="AB1668" s="60"/>
      <c r="AC1668" s="30"/>
      <c r="AD1668" s="30"/>
      <c r="AE1668" s="475"/>
      <c r="AF1668" s="476"/>
      <c r="AG1668" s="474"/>
      <c r="AH1668" s="138"/>
    </row>
    <row r="1669">
      <c r="A1669" s="103"/>
      <c r="B1669" s="533"/>
      <c r="C1669" s="533"/>
      <c r="D1669" s="103"/>
      <c r="E1669" s="103"/>
      <c r="F1669" s="103"/>
      <c r="G1669" s="103"/>
      <c r="H1669" s="131"/>
      <c r="I1669" s="468"/>
      <c r="J1669" s="16"/>
      <c r="K1669" s="16"/>
      <c r="L1669" s="8"/>
      <c r="M1669" s="69"/>
      <c r="N1669" s="69"/>
      <c r="O1669" s="69"/>
      <c r="P1669" s="534"/>
      <c r="Q1669" s="274"/>
      <c r="R1669" s="472"/>
      <c r="S1669" s="535"/>
      <c r="T1669" s="535"/>
      <c r="U1669" s="536"/>
      <c r="V1669" s="474"/>
      <c r="Y1669" s="89"/>
      <c r="Z1669" s="60"/>
      <c r="AA1669" s="60"/>
      <c r="AB1669" s="60"/>
      <c r="AC1669" s="30"/>
      <c r="AD1669" s="30"/>
      <c r="AE1669" s="475"/>
      <c r="AF1669" s="476"/>
      <c r="AG1669" s="474"/>
      <c r="AH1669" s="138"/>
    </row>
    <row r="1670">
      <c r="A1670" s="103"/>
      <c r="B1670" s="533"/>
      <c r="C1670" s="533"/>
      <c r="D1670" s="103"/>
      <c r="E1670" s="103"/>
      <c r="F1670" s="103"/>
      <c r="G1670" s="103"/>
      <c r="H1670" s="131"/>
      <c r="I1670" s="468"/>
      <c r="J1670" s="16"/>
      <c r="K1670" s="16"/>
      <c r="L1670" s="8"/>
      <c r="M1670" s="69"/>
      <c r="N1670" s="69"/>
      <c r="O1670" s="69"/>
      <c r="P1670" s="534"/>
      <c r="Q1670" s="274"/>
      <c r="R1670" s="472"/>
      <c r="S1670" s="535"/>
      <c r="T1670" s="535"/>
      <c r="U1670" s="536"/>
      <c r="V1670" s="474"/>
      <c r="Y1670" s="89"/>
      <c r="Z1670" s="60"/>
      <c r="AA1670" s="60"/>
      <c r="AB1670" s="60"/>
      <c r="AC1670" s="30"/>
      <c r="AD1670" s="30"/>
      <c r="AE1670" s="475"/>
      <c r="AF1670" s="476"/>
      <c r="AG1670" s="474"/>
      <c r="AH1670" s="138"/>
    </row>
    <row r="1671">
      <c r="A1671" s="103"/>
      <c r="B1671" s="533"/>
      <c r="C1671" s="533"/>
      <c r="D1671" s="103"/>
      <c r="E1671" s="103"/>
      <c r="F1671" s="103"/>
      <c r="G1671" s="103"/>
      <c r="H1671" s="131"/>
      <c r="I1671" s="468"/>
      <c r="J1671" s="16"/>
      <c r="K1671" s="16"/>
      <c r="L1671" s="8"/>
      <c r="M1671" s="69"/>
      <c r="N1671" s="69"/>
      <c r="O1671" s="69"/>
      <c r="P1671" s="534"/>
      <c r="Q1671" s="274"/>
      <c r="R1671" s="472"/>
      <c r="S1671" s="535"/>
      <c r="T1671" s="535"/>
      <c r="U1671" s="536"/>
      <c r="V1671" s="474"/>
      <c r="Y1671" s="89"/>
      <c r="Z1671" s="60"/>
      <c r="AA1671" s="60"/>
      <c r="AB1671" s="60"/>
      <c r="AC1671" s="30"/>
      <c r="AD1671" s="30"/>
      <c r="AE1671" s="475"/>
      <c r="AF1671" s="476"/>
      <c r="AG1671" s="474"/>
      <c r="AH1671" s="138"/>
    </row>
    <row r="1672">
      <c r="A1672" s="103"/>
      <c r="B1672" s="533"/>
      <c r="C1672" s="533"/>
      <c r="D1672" s="103"/>
      <c r="E1672" s="103"/>
      <c r="F1672" s="103"/>
      <c r="G1672" s="103"/>
      <c r="H1672" s="131"/>
      <c r="I1672" s="468"/>
      <c r="J1672" s="16"/>
      <c r="K1672" s="16"/>
      <c r="L1672" s="8"/>
      <c r="M1672" s="69"/>
      <c r="N1672" s="69"/>
      <c r="O1672" s="69"/>
      <c r="P1672" s="534"/>
      <c r="Q1672" s="274"/>
      <c r="R1672" s="472"/>
      <c r="S1672" s="535"/>
      <c r="T1672" s="535"/>
      <c r="U1672" s="536"/>
      <c r="V1672" s="474"/>
      <c r="Y1672" s="89"/>
      <c r="Z1672" s="60"/>
      <c r="AA1672" s="60"/>
      <c r="AB1672" s="60"/>
      <c r="AC1672" s="30"/>
      <c r="AD1672" s="30"/>
      <c r="AE1672" s="475"/>
      <c r="AF1672" s="476"/>
      <c r="AG1672" s="474"/>
      <c r="AH1672" s="138"/>
    </row>
    <row r="1673">
      <c r="A1673" s="103"/>
      <c r="B1673" s="533"/>
      <c r="C1673" s="533"/>
      <c r="D1673" s="103"/>
      <c r="E1673" s="103"/>
      <c r="F1673" s="103"/>
      <c r="G1673" s="103"/>
      <c r="H1673" s="131"/>
      <c r="I1673" s="468"/>
      <c r="J1673" s="16"/>
      <c r="K1673" s="16"/>
      <c r="L1673" s="8"/>
      <c r="M1673" s="69"/>
      <c r="N1673" s="69"/>
      <c r="O1673" s="69"/>
      <c r="P1673" s="534"/>
      <c r="Q1673" s="274"/>
      <c r="R1673" s="472"/>
      <c r="S1673" s="535"/>
      <c r="T1673" s="535"/>
      <c r="U1673" s="536"/>
      <c r="V1673" s="474"/>
      <c r="Y1673" s="89"/>
      <c r="Z1673" s="60"/>
      <c r="AA1673" s="60"/>
      <c r="AB1673" s="60"/>
      <c r="AC1673" s="30"/>
      <c r="AD1673" s="30"/>
      <c r="AE1673" s="475"/>
      <c r="AF1673" s="476"/>
      <c r="AG1673" s="474"/>
      <c r="AH1673" s="138"/>
    </row>
    <row r="1674">
      <c r="A1674" s="103"/>
      <c r="B1674" s="533"/>
      <c r="C1674" s="533"/>
      <c r="D1674" s="103"/>
      <c r="E1674" s="103"/>
      <c r="F1674" s="103"/>
      <c r="G1674" s="103"/>
      <c r="H1674" s="131"/>
      <c r="I1674" s="468"/>
      <c r="J1674" s="16"/>
      <c r="K1674" s="16"/>
      <c r="L1674" s="8"/>
      <c r="M1674" s="69"/>
      <c r="N1674" s="69"/>
      <c r="O1674" s="69"/>
      <c r="P1674" s="534"/>
      <c r="Q1674" s="274"/>
      <c r="R1674" s="472"/>
      <c r="S1674" s="535"/>
      <c r="T1674" s="535"/>
      <c r="U1674" s="536"/>
      <c r="V1674" s="474"/>
      <c r="Y1674" s="89"/>
      <c r="Z1674" s="60"/>
      <c r="AA1674" s="60"/>
      <c r="AB1674" s="60"/>
      <c r="AC1674" s="30"/>
      <c r="AD1674" s="30"/>
      <c r="AE1674" s="475"/>
      <c r="AF1674" s="476"/>
      <c r="AG1674" s="474"/>
      <c r="AH1674" s="138"/>
    </row>
    <row r="1675">
      <c r="A1675" s="103"/>
      <c r="B1675" s="533"/>
      <c r="C1675" s="533"/>
      <c r="D1675" s="103"/>
      <c r="E1675" s="103"/>
      <c r="F1675" s="103"/>
      <c r="G1675" s="103"/>
      <c r="H1675" s="131"/>
      <c r="I1675" s="468"/>
      <c r="J1675" s="16"/>
      <c r="K1675" s="16"/>
      <c r="L1675" s="8"/>
      <c r="M1675" s="69"/>
      <c r="N1675" s="69"/>
      <c r="O1675" s="69"/>
      <c r="P1675" s="534"/>
      <c r="Q1675" s="274"/>
      <c r="R1675" s="472"/>
      <c r="S1675" s="535"/>
      <c r="T1675" s="535"/>
      <c r="U1675" s="536"/>
      <c r="V1675" s="474"/>
      <c r="Y1675" s="89"/>
      <c r="Z1675" s="60"/>
      <c r="AA1675" s="60"/>
      <c r="AB1675" s="60"/>
      <c r="AC1675" s="30"/>
      <c r="AD1675" s="30"/>
      <c r="AE1675" s="475"/>
      <c r="AF1675" s="476"/>
      <c r="AG1675" s="474"/>
      <c r="AH1675" s="138"/>
    </row>
    <row r="1676">
      <c r="A1676" s="103"/>
      <c r="B1676" s="533"/>
      <c r="C1676" s="533"/>
      <c r="D1676" s="103"/>
      <c r="E1676" s="103"/>
      <c r="F1676" s="103"/>
      <c r="G1676" s="103"/>
      <c r="H1676" s="131"/>
      <c r="I1676" s="468"/>
      <c r="J1676" s="16"/>
      <c r="K1676" s="16"/>
      <c r="L1676" s="8"/>
      <c r="M1676" s="69"/>
      <c r="N1676" s="69"/>
      <c r="O1676" s="69"/>
      <c r="P1676" s="534"/>
      <c r="Q1676" s="274"/>
      <c r="R1676" s="472"/>
      <c r="S1676" s="535"/>
      <c r="T1676" s="535"/>
      <c r="U1676" s="536"/>
      <c r="V1676" s="474"/>
      <c r="Y1676" s="89"/>
      <c r="Z1676" s="60"/>
      <c r="AA1676" s="60"/>
      <c r="AB1676" s="60"/>
      <c r="AC1676" s="30"/>
      <c r="AD1676" s="30"/>
      <c r="AE1676" s="475"/>
      <c r="AF1676" s="476"/>
      <c r="AG1676" s="474"/>
      <c r="AH1676" s="138"/>
    </row>
    <row r="1677">
      <c r="A1677" s="103"/>
      <c r="B1677" s="533"/>
      <c r="C1677" s="533"/>
      <c r="D1677" s="103"/>
      <c r="E1677" s="103"/>
      <c r="F1677" s="103"/>
      <c r="G1677" s="103"/>
      <c r="H1677" s="131"/>
      <c r="I1677" s="468"/>
      <c r="J1677" s="16"/>
      <c r="K1677" s="16"/>
      <c r="L1677" s="8"/>
      <c r="M1677" s="69"/>
      <c r="N1677" s="69"/>
      <c r="O1677" s="69"/>
      <c r="P1677" s="534"/>
      <c r="Q1677" s="274"/>
      <c r="R1677" s="472"/>
      <c r="S1677" s="535"/>
      <c r="T1677" s="535"/>
      <c r="U1677" s="536"/>
      <c r="V1677" s="474"/>
      <c r="Y1677" s="89"/>
      <c r="Z1677" s="60"/>
      <c r="AA1677" s="60"/>
      <c r="AB1677" s="60"/>
      <c r="AC1677" s="30"/>
      <c r="AD1677" s="30"/>
      <c r="AE1677" s="475"/>
      <c r="AF1677" s="476"/>
      <c r="AG1677" s="474"/>
      <c r="AH1677" s="138"/>
    </row>
    <row r="1678">
      <c r="A1678" s="103"/>
      <c r="B1678" s="533"/>
      <c r="C1678" s="533"/>
      <c r="D1678" s="103"/>
      <c r="E1678" s="103"/>
      <c r="F1678" s="103"/>
      <c r="G1678" s="103"/>
      <c r="H1678" s="131"/>
      <c r="I1678" s="468"/>
      <c r="J1678" s="16"/>
      <c r="K1678" s="16"/>
      <c r="L1678" s="8"/>
      <c r="M1678" s="69"/>
      <c r="N1678" s="69"/>
      <c r="O1678" s="69"/>
      <c r="P1678" s="534"/>
      <c r="Q1678" s="274"/>
      <c r="R1678" s="472"/>
      <c r="S1678" s="535"/>
      <c r="T1678" s="535"/>
      <c r="U1678" s="536"/>
      <c r="V1678" s="474"/>
      <c r="Y1678" s="89"/>
      <c r="Z1678" s="60"/>
      <c r="AA1678" s="60"/>
      <c r="AB1678" s="60"/>
      <c r="AC1678" s="30"/>
      <c r="AD1678" s="30"/>
      <c r="AE1678" s="475"/>
      <c r="AF1678" s="476"/>
      <c r="AG1678" s="474"/>
      <c r="AH1678" s="138"/>
    </row>
    <row r="1679">
      <c r="A1679" s="103"/>
      <c r="B1679" s="533"/>
      <c r="C1679" s="533"/>
      <c r="D1679" s="103"/>
      <c r="E1679" s="103"/>
      <c r="F1679" s="103"/>
      <c r="G1679" s="103"/>
      <c r="H1679" s="131"/>
      <c r="I1679" s="468"/>
      <c r="J1679" s="16"/>
      <c r="K1679" s="16"/>
      <c r="L1679" s="8"/>
      <c r="M1679" s="69"/>
      <c r="N1679" s="69"/>
      <c r="O1679" s="69"/>
      <c r="P1679" s="534"/>
      <c r="Q1679" s="274"/>
      <c r="R1679" s="472"/>
      <c r="S1679" s="535"/>
      <c r="T1679" s="535"/>
      <c r="U1679" s="536"/>
      <c r="V1679" s="474"/>
      <c r="Y1679" s="89"/>
      <c r="Z1679" s="60"/>
      <c r="AA1679" s="60"/>
      <c r="AB1679" s="60"/>
      <c r="AC1679" s="30"/>
      <c r="AD1679" s="30"/>
      <c r="AE1679" s="475"/>
      <c r="AF1679" s="476"/>
      <c r="AG1679" s="474"/>
      <c r="AH1679" s="138"/>
    </row>
    <row r="1680">
      <c r="A1680" s="103"/>
      <c r="B1680" s="533"/>
      <c r="C1680" s="533"/>
      <c r="D1680" s="103"/>
      <c r="E1680" s="103"/>
      <c r="F1680" s="103"/>
      <c r="G1680" s="103"/>
      <c r="H1680" s="131"/>
      <c r="I1680" s="468"/>
      <c r="J1680" s="16"/>
      <c r="K1680" s="16"/>
      <c r="L1680" s="8"/>
      <c r="M1680" s="69"/>
      <c r="N1680" s="69"/>
      <c r="O1680" s="69"/>
      <c r="P1680" s="534"/>
      <c r="Q1680" s="274"/>
      <c r="R1680" s="472"/>
      <c r="S1680" s="535"/>
      <c r="T1680" s="535"/>
      <c r="U1680" s="536"/>
      <c r="V1680" s="474"/>
      <c r="Y1680" s="89"/>
      <c r="Z1680" s="60"/>
      <c r="AA1680" s="60"/>
      <c r="AB1680" s="60"/>
      <c r="AC1680" s="30"/>
      <c r="AD1680" s="30"/>
      <c r="AE1680" s="475"/>
      <c r="AF1680" s="476"/>
      <c r="AG1680" s="474"/>
      <c r="AH1680" s="138"/>
    </row>
    <row r="1681">
      <c r="A1681" s="103"/>
      <c r="B1681" s="533"/>
      <c r="C1681" s="533"/>
      <c r="D1681" s="103"/>
      <c r="E1681" s="103"/>
      <c r="F1681" s="103"/>
      <c r="G1681" s="103"/>
      <c r="H1681" s="131"/>
      <c r="I1681" s="468"/>
      <c r="J1681" s="16"/>
      <c r="K1681" s="16"/>
      <c r="L1681" s="8"/>
      <c r="M1681" s="69"/>
      <c r="N1681" s="69"/>
      <c r="O1681" s="69"/>
      <c r="P1681" s="534"/>
      <c r="Q1681" s="274"/>
      <c r="R1681" s="472"/>
      <c r="S1681" s="535"/>
      <c r="T1681" s="535"/>
      <c r="U1681" s="536"/>
      <c r="V1681" s="474"/>
      <c r="Y1681" s="89"/>
      <c r="Z1681" s="60"/>
      <c r="AA1681" s="60"/>
      <c r="AB1681" s="60"/>
      <c r="AC1681" s="30"/>
      <c r="AD1681" s="30"/>
      <c r="AE1681" s="475"/>
      <c r="AF1681" s="476"/>
      <c r="AG1681" s="474"/>
      <c r="AH1681" s="138"/>
    </row>
    <row r="1682">
      <c r="A1682" s="103"/>
      <c r="B1682" s="533"/>
      <c r="C1682" s="533"/>
      <c r="D1682" s="103"/>
      <c r="E1682" s="103"/>
      <c r="F1682" s="103"/>
      <c r="G1682" s="103"/>
      <c r="H1682" s="131"/>
      <c r="I1682" s="468"/>
      <c r="J1682" s="16"/>
      <c r="K1682" s="16"/>
      <c r="L1682" s="8"/>
      <c r="M1682" s="69"/>
      <c r="N1682" s="69"/>
      <c r="O1682" s="69"/>
      <c r="P1682" s="534"/>
      <c r="Q1682" s="274"/>
      <c r="R1682" s="472"/>
      <c r="S1682" s="535"/>
      <c r="T1682" s="535"/>
      <c r="U1682" s="536"/>
      <c r="V1682" s="474"/>
      <c r="Y1682" s="89"/>
      <c r="Z1682" s="60"/>
      <c r="AA1682" s="60"/>
      <c r="AB1682" s="60"/>
      <c r="AC1682" s="30"/>
      <c r="AD1682" s="30"/>
      <c r="AE1682" s="475"/>
      <c r="AF1682" s="476"/>
      <c r="AG1682" s="474"/>
      <c r="AH1682" s="138"/>
    </row>
    <row r="1683">
      <c r="A1683" s="103"/>
      <c r="B1683" s="533"/>
      <c r="C1683" s="533"/>
      <c r="D1683" s="103"/>
      <c r="E1683" s="103"/>
      <c r="F1683" s="103"/>
      <c r="G1683" s="103"/>
      <c r="H1683" s="131"/>
      <c r="I1683" s="468"/>
      <c r="J1683" s="16"/>
      <c r="K1683" s="16"/>
      <c r="L1683" s="8"/>
      <c r="M1683" s="69"/>
      <c r="N1683" s="69"/>
      <c r="O1683" s="69"/>
      <c r="P1683" s="534"/>
      <c r="Q1683" s="274"/>
      <c r="R1683" s="472"/>
      <c r="S1683" s="535"/>
      <c r="T1683" s="535"/>
      <c r="U1683" s="536"/>
      <c r="V1683" s="474"/>
      <c r="Y1683" s="89"/>
      <c r="Z1683" s="60"/>
      <c r="AA1683" s="60"/>
      <c r="AB1683" s="60"/>
      <c r="AC1683" s="30"/>
      <c r="AD1683" s="30"/>
      <c r="AE1683" s="475"/>
      <c r="AF1683" s="476"/>
      <c r="AG1683" s="474"/>
      <c r="AH1683" s="138"/>
    </row>
    <row r="1684">
      <c r="A1684" s="103"/>
      <c r="B1684" s="533"/>
      <c r="C1684" s="533"/>
      <c r="D1684" s="103"/>
      <c r="E1684" s="103"/>
      <c r="F1684" s="103"/>
      <c r="G1684" s="103"/>
      <c r="H1684" s="131"/>
      <c r="I1684" s="468"/>
      <c r="J1684" s="16"/>
      <c r="K1684" s="16"/>
      <c r="L1684" s="8"/>
      <c r="M1684" s="69"/>
      <c r="N1684" s="69"/>
      <c r="O1684" s="69"/>
      <c r="P1684" s="534"/>
      <c r="Q1684" s="274"/>
      <c r="R1684" s="472"/>
      <c r="S1684" s="535"/>
      <c r="T1684" s="535"/>
      <c r="U1684" s="536"/>
      <c r="V1684" s="474"/>
      <c r="Y1684" s="89"/>
      <c r="Z1684" s="60"/>
      <c r="AA1684" s="60"/>
      <c r="AB1684" s="60"/>
      <c r="AC1684" s="30"/>
      <c r="AD1684" s="30"/>
      <c r="AE1684" s="475"/>
      <c r="AF1684" s="476"/>
      <c r="AG1684" s="474"/>
      <c r="AH1684" s="138"/>
    </row>
    <row r="1685">
      <c r="A1685" s="103"/>
      <c r="B1685" s="533"/>
      <c r="C1685" s="533"/>
      <c r="D1685" s="103"/>
      <c r="E1685" s="103"/>
      <c r="F1685" s="103"/>
      <c r="G1685" s="103"/>
      <c r="H1685" s="131"/>
      <c r="I1685" s="468"/>
      <c r="J1685" s="16"/>
      <c r="K1685" s="16"/>
      <c r="L1685" s="8"/>
      <c r="M1685" s="69"/>
      <c r="N1685" s="69"/>
      <c r="O1685" s="69"/>
      <c r="P1685" s="534"/>
      <c r="Q1685" s="274"/>
      <c r="R1685" s="472"/>
      <c r="S1685" s="535"/>
      <c r="T1685" s="535"/>
      <c r="U1685" s="536"/>
      <c r="V1685" s="474"/>
      <c r="Y1685" s="89"/>
      <c r="Z1685" s="60"/>
      <c r="AA1685" s="60"/>
      <c r="AB1685" s="60"/>
      <c r="AC1685" s="30"/>
      <c r="AD1685" s="30"/>
      <c r="AE1685" s="475"/>
      <c r="AF1685" s="476"/>
      <c r="AG1685" s="474"/>
      <c r="AH1685" s="138"/>
    </row>
    <row r="1686">
      <c r="A1686" s="103"/>
      <c r="B1686" s="533"/>
      <c r="C1686" s="533"/>
      <c r="D1686" s="103"/>
      <c r="E1686" s="103"/>
      <c r="F1686" s="103"/>
      <c r="G1686" s="103"/>
      <c r="H1686" s="131"/>
      <c r="I1686" s="468"/>
      <c r="J1686" s="16"/>
      <c r="K1686" s="16"/>
      <c r="L1686" s="8"/>
      <c r="M1686" s="69"/>
      <c r="N1686" s="69"/>
      <c r="O1686" s="69"/>
      <c r="P1686" s="534"/>
      <c r="Q1686" s="274"/>
      <c r="R1686" s="472"/>
      <c r="S1686" s="535"/>
      <c r="T1686" s="535"/>
      <c r="U1686" s="536"/>
      <c r="V1686" s="474"/>
      <c r="Y1686" s="89"/>
      <c r="Z1686" s="60"/>
      <c r="AA1686" s="60"/>
      <c r="AB1686" s="60"/>
      <c r="AC1686" s="30"/>
      <c r="AD1686" s="30"/>
      <c r="AE1686" s="475"/>
      <c r="AF1686" s="476"/>
      <c r="AG1686" s="474"/>
      <c r="AH1686" s="138"/>
    </row>
    <row r="1687">
      <c r="A1687" s="103"/>
      <c r="B1687" s="533"/>
      <c r="C1687" s="533"/>
      <c r="D1687" s="103"/>
      <c r="E1687" s="103"/>
      <c r="F1687" s="103"/>
      <c r="G1687" s="103"/>
      <c r="H1687" s="131"/>
      <c r="I1687" s="468"/>
      <c r="J1687" s="16"/>
      <c r="K1687" s="16"/>
      <c r="L1687" s="8"/>
      <c r="M1687" s="69"/>
      <c r="N1687" s="69"/>
      <c r="O1687" s="69"/>
      <c r="P1687" s="534"/>
      <c r="Q1687" s="274"/>
      <c r="R1687" s="472"/>
      <c r="S1687" s="535"/>
      <c r="T1687" s="535"/>
      <c r="U1687" s="536"/>
      <c r="V1687" s="474"/>
      <c r="Y1687" s="89"/>
      <c r="Z1687" s="60"/>
      <c r="AA1687" s="60"/>
      <c r="AB1687" s="60"/>
      <c r="AC1687" s="30"/>
      <c r="AD1687" s="30"/>
      <c r="AE1687" s="475"/>
      <c r="AF1687" s="476"/>
      <c r="AG1687" s="474"/>
      <c r="AH1687" s="138"/>
    </row>
    <row r="1688">
      <c r="A1688" s="103"/>
      <c r="B1688" s="533"/>
      <c r="C1688" s="533"/>
      <c r="D1688" s="103"/>
      <c r="E1688" s="103"/>
      <c r="F1688" s="103"/>
      <c r="G1688" s="103"/>
      <c r="H1688" s="131"/>
      <c r="I1688" s="468"/>
      <c r="J1688" s="16"/>
      <c r="K1688" s="16"/>
      <c r="L1688" s="8"/>
      <c r="M1688" s="69"/>
      <c r="N1688" s="69"/>
      <c r="O1688" s="69"/>
      <c r="P1688" s="534"/>
      <c r="Q1688" s="274"/>
      <c r="R1688" s="472"/>
      <c r="S1688" s="535"/>
      <c r="T1688" s="535"/>
      <c r="U1688" s="536"/>
      <c r="V1688" s="474"/>
      <c r="Y1688" s="89"/>
      <c r="Z1688" s="60"/>
      <c r="AA1688" s="60"/>
      <c r="AB1688" s="60"/>
      <c r="AC1688" s="30"/>
      <c r="AD1688" s="30"/>
      <c r="AE1688" s="475"/>
      <c r="AF1688" s="476"/>
      <c r="AG1688" s="474"/>
      <c r="AH1688" s="138"/>
    </row>
    <row r="1689">
      <c r="A1689" s="103"/>
      <c r="B1689" s="533"/>
      <c r="C1689" s="533"/>
      <c r="D1689" s="103"/>
      <c r="E1689" s="103"/>
      <c r="F1689" s="103"/>
      <c r="G1689" s="103"/>
      <c r="H1689" s="131"/>
      <c r="I1689" s="468"/>
      <c r="J1689" s="16"/>
      <c r="K1689" s="16"/>
      <c r="L1689" s="8"/>
      <c r="M1689" s="69"/>
      <c r="N1689" s="69"/>
      <c r="O1689" s="69"/>
      <c r="P1689" s="534"/>
      <c r="Q1689" s="274"/>
      <c r="R1689" s="472"/>
      <c r="S1689" s="535"/>
      <c r="T1689" s="535"/>
      <c r="U1689" s="536"/>
      <c r="V1689" s="474"/>
      <c r="Y1689" s="89"/>
      <c r="Z1689" s="60"/>
      <c r="AA1689" s="60"/>
      <c r="AB1689" s="60"/>
      <c r="AC1689" s="30"/>
      <c r="AD1689" s="30"/>
      <c r="AE1689" s="475"/>
      <c r="AF1689" s="476"/>
      <c r="AG1689" s="474"/>
      <c r="AH1689" s="138"/>
    </row>
    <row r="1690">
      <c r="A1690" s="103"/>
      <c r="B1690" s="533"/>
      <c r="C1690" s="533"/>
      <c r="D1690" s="103"/>
      <c r="E1690" s="103"/>
      <c r="F1690" s="103"/>
      <c r="G1690" s="103"/>
      <c r="H1690" s="131"/>
      <c r="I1690" s="468"/>
      <c r="J1690" s="16"/>
      <c r="K1690" s="16"/>
      <c r="L1690" s="8"/>
      <c r="M1690" s="69"/>
      <c r="N1690" s="69"/>
      <c r="O1690" s="69"/>
      <c r="P1690" s="534"/>
      <c r="Q1690" s="274"/>
      <c r="R1690" s="472"/>
      <c r="S1690" s="535"/>
      <c r="T1690" s="535"/>
      <c r="U1690" s="536"/>
      <c r="V1690" s="474"/>
      <c r="Y1690" s="89"/>
      <c r="Z1690" s="60"/>
      <c r="AA1690" s="60"/>
      <c r="AB1690" s="60"/>
      <c r="AC1690" s="30"/>
      <c r="AD1690" s="30"/>
      <c r="AE1690" s="475"/>
      <c r="AF1690" s="476"/>
      <c r="AG1690" s="474"/>
      <c r="AH1690" s="138"/>
    </row>
    <row r="1691">
      <c r="A1691" s="103"/>
      <c r="B1691" s="533"/>
      <c r="C1691" s="533"/>
      <c r="D1691" s="103"/>
      <c r="E1691" s="103"/>
      <c r="F1691" s="103"/>
      <c r="G1691" s="103"/>
      <c r="H1691" s="131"/>
      <c r="I1691" s="468"/>
      <c r="J1691" s="16"/>
      <c r="K1691" s="16"/>
      <c r="L1691" s="8"/>
      <c r="M1691" s="69"/>
      <c r="N1691" s="69"/>
      <c r="O1691" s="69"/>
      <c r="P1691" s="534"/>
      <c r="Q1691" s="274"/>
      <c r="R1691" s="472"/>
      <c r="S1691" s="535"/>
      <c r="T1691" s="535"/>
      <c r="U1691" s="536"/>
      <c r="V1691" s="474"/>
      <c r="Y1691" s="89"/>
      <c r="Z1691" s="60"/>
      <c r="AA1691" s="60"/>
      <c r="AB1691" s="60"/>
      <c r="AC1691" s="30"/>
      <c r="AD1691" s="30"/>
      <c r="AE1691" s="475"/>
      <c r="AF1691" s="476"/>
      <c r="AG1691" s="474"/>
      <c r="AH1691" s="138"/>
    </row>
    <row r="1692">
      <c r="A1692" s="103"/>
      <c r="B1692" s="533"/>
      <c r="C1692" s="533"/>
      <c r="D1692" s="103"/>
      <c r="E1692" s="103"/>
      <c r="F1692" s="103"/>
      <c r="G1692" s="103"/>
      <c r="H1692" s="131"/>
      <c r="I1692" s="468"/>
      <c r="J1692" s="16"/>
      <c r="K1692" s="16"/>
      <c r="L1692" s="8"/>
      <c r="M1692" s="69"/>
      <c r="N1692" s="69"/>
      <c r="O1692" s="69"/>
      <c r="P1692" s="534"/>
      <c r="Q1692" s="274"/>
      <c r="R1692" s="472"/>
      <c r="S1692" s="535"/>
      <c r="T1692" s="535"/>
      <c r="U1692" s="536"/>
      <c r="V1692" s="474"/>
      <c r="Y1692" s="89"/>
      <c r="Z1692" s="60"/>
      <c r="AA1692" s="60"/>
      <c r="AB1692" s="60"/>
      <c r="AC1692" s="30"/>
      <c r="AD1692" s="30"/>
      <c r="AE1692" s="475"/>
      <c r="AF1692" s="476"/>
      <c r="AG1692" s="474"/>
      <c r="AH1692" s="138"/>
    </row>
    <row r="1693">
      <c r="A1693" s="103"/>
      <c r="B1693" s="533"/>
      <c r="C1693" s="533"/>
      <c r="D1693" s="103"/>
      <c r="E1693" s="103"/>
      <c r="F1693" s="103"/>
      <c r="G1693" s="103"/>
      <c r="H1693" s="131"/>
      <c r="I1693" s="468"/>
      <c r="J1693" s="16"/>
      <c r="K1693" s="16"/>
      <c r="L1693" s="8"/>
      <c r="M1693" s="69"/>
      <c r="N1693" s="69"/>
      <c r="O1693" s="69"/>
      <c r="P1693" s="534"/>
      <c r="Q1693" s="274"/>
      <c r="R1693" s="472"/>
      <c r="S1693" s="535"/>
      <c r="T1693" s="535"/>
      <c r="U1693" s="536"/>
      <c r="V1693" s="474"/>
      <c r="Y1693" s="89"/>
      <c r="Z1693" s="60"/>
      <c r="AA1693" s="60"/>
      <c r="AB1693" s="60"/>
      <c r="AC1693" s="30"/>
      <c r="AD1693" s="30"/>
      <c r="AE1693" s="475"/>
      <c r="AF1693" s="476"/>
      <c r="AG1693" s="474"/>
      <c r="AH1693" s="138"/>
    </row>
    <row r="1694">
      <c r="A1694" s="103"/>
      <c r="B1694" s="533"/>
      <c r="C1694" s="533"/>
      <c r="D1694" s="103"/>
      <c r="E1694" s="103"/>
      <c r="F1694" s="103"/>
      <c r="G1694" s="103"/>
      <c r="H1694" s="131"/>
      <c r="I1694" s="468"/>
      <c r="J1694" s="16"/>
      <c r="K1694" s="16"/>
      <c r="L1694" s="8"/>
      <c r="M1694" s="69"/>
      <c r="N1694" s="69"/>
      <c r="O1694" s="69"/>
      <c r="P1694" s="534"/>
      <c r="Q1694" s="274"/>
      <c r="R1694" s="472"/>
      <c r="S1694" s="535"/>
      <c r="T1694" s="535"/>
      <c r="U1694" s="536"/>
      <c r="V1694" s="474"/>
      <c r="Y1694" s="89"/>
      <c r="Z1694" s="60"/>
      <c r="AA1694" s="60"/>
      <c r="AB1694" s="60"/>
      <c r="AC1694" s="30"/>
      <c r="AD1694" s="30"/>
      <c r="AE1694" s="475"/>
      <c r="AF1694" s="476"/>
      <c r="AG1694" s="474"/>
      <c r="AH1694" s="138"/>
    </row>
    <row r="1695">
      <c r="A1695" s="103"/>
      <c r="B1695" s="533"/>
      <c r="C1695" s="533"/>
      <c r="D1695" s="103"/>
      <c r="E1695" s="103"/>
      <c r="F1695" s="103"/>
      <c r="G1695" s="103"/>
      <c r="H1695" s="131"/>
      <c r="I1695" s="468"/>
      <c r="J1695" s="16"/>
      <c r="K1695" s="16"/>
      <c r="L1695" s="8"/>
      <c r="M1695" s="69"/>
      <c r="N1695" s="69"/>
      <c r="O1695" s="69"/>
      <c r="P1695" s="534"/>
      <c r="Q1695" s="274"/>
      <c r="R1695" s="472"/>
      <c r="S1695" s="535"/>
      <c r="T1695" s="535"/>
      <c r="U1695" s="536"/>
      <c r="V1695" s="474"/>
      <c r="Y1695" s="89"/>
      <c r="Z1695" s="60"/>
      <c r="AA1695" s="60"/>
      <c r="AB1695" s="60"/>
      <c r="AC1695" s="30"/>
      <c r="AD1695" s="30"/>
      <c r="AE1695" s="475"/>
      <c r="AF1695" s="476"/>
      <c r="AG1695" s="474"/>
      <c r="AH1695" s="138"/>
    </row>
    <row r="1696">
      <c r="A1696" s="103"/>
      <c r="B1696" s="533"/>
      <c r="C1696" s="533"/>
      <c r="D1696" s="103"/>
      <c r="E1696" s="103"/>
      <c r="F1696" s="103"/>
      <c r="G1696" s="103"/>
      <c r="H1696" s="131"/>
      <c r="I1696" s="468"/>
      <c r="J1696" s="16"/>
      <c r="K1696" s="16"/>
      <c r="L1696" s="8"/>
      <c r="M1696" s="69"/>
      <c r="N1696" s="69"/>
      <c r="O1696" s="69"/>
      <c r="P1696" s="534"/>
      <c r="Q1696" s="274"/>
      <c r="R1696" s="472"/>
      <c r="S1696" s="535"/>
      <c r="T1696" s="535"/>
      <c r="U1696" s="536"/>
      <c r="V1696" s="474"/>
      <c r="Y1696" s="89"/>
      <c r="Z1696" s="60"/>
      <c r="AA1696" s="60"/>
      <c r="AB1696" s="60"/>
      <c r="AC1696" s="30"/>
      <c r="AD1696" s="30"/>
      <c r="AE1696" s="475"/>
      <c r="AF1696" s="476"/>
      <c r="AG1696" s="474"/>
      <c r="AH1696" s="138"/>
    </row>
    <row r="1697">
      <c r="A1697" s="103"/>
      <c r="B1697" s="533"/>
      <c r="C1697" s="533"/>
      <c r="D1697" s="103"/>
      <c r="E1697" s="103"/>
      <c r="F1697" s="103"/>
      <c r="G1697" s="103"/>
      <c r="H1697" s="131"/>
      <c r="I1697" s="468"/>
      <c r="J1697" s="16"/>
      <c r="K1697" s="16"/>
      <c r="L1697" s="8"/>
      <c r="M1697" s="69"/>
      <c r="N1697" s="69"/>
      <c r="O1697" s="69"/>
      <c r="P1697" s="534"/>
      <c r="Q1697" s="274"/>
      <c r="R1697" s="472"/>
      <c r="S1697" s="535"/>
      <c r="T1697" s="535"/>
      <c r="U1697" s="536"/>
      <c r="V1697" s="474"/>
      <c r="Y1697" s="89"/>
      <c r="Z1697" s="60"/>
      <c r="AA1697" s="60"/>
      <c r="AB1697" s="60"/>
      <c r="AC1697" s="30"/>
      <c r="AD1697" s="30"/>
      <c r="AE1697" s="475"/>
      <c r="AF1697" s="476"/>
      <c r="AG1697" s="474"/>
      <c r="AH1697" s="138"/>
    </row>
    <row r="1698">
      <c r="A1698" s="103"/>
      <c r="B1698" s="533"/>
      <c r="C1698" s="533"/>
      <c r="D1698" s="103"/>
      <c r="E1698" s="103"/>
      <c r="F1698" s="103"/>
      <c r="G1698" s="103"/>
      <c r="H1698" s="131"/>
      <c r="I1698" s="468"/>
      <c r="J1698" s="16"/>
      <c r="K1698" s="16"/>
      <c r="L1698" s="8"/>
      <c r="M1698" s="69"/>
      <c r="N1698" s="69"/>
      <c r="O1698" s="69"/>
      <c r="P1698" s="534"/>
      <c r="Q1698" s="274"/>
      <c r="R1698" s="472"/>
      <c r="S1698" s="535"/>
      <c r="T1698" s="535"/>
      <c r="U1698" s="536"/>
      <c r="V1698" s="474"/>
      <c r="Y1698" s="89"/>
      <c r="Z1698" s="60"/>
      <c r="AA1698" s="60"/>
      <c r="AB1698" s="60"/>
      <c r="AC1698" s="30"/>
      <c r="AD1698" s="30"/>
      <c r="AE1698" s="475"/>
      <c r="AF1698" s="476"/>
      <c r="AG1698" s="474"/>
      <c r="AH1698" s="138"/>
    </row>
    <row r="1699">
      <c r="A1699" s="103"/>
      <c r="B1699" s="533"/>
      <c r="C1699" s="533"/>
      <c r="D1699" s="103"/>
      <c r="E1699" s="103"/>
      <c r="F1699" s="103"/>
      <c r="G1699" s="103"/>
      <c r="H1699" s="131"/>
      <c r="I1699" s="468"/>
      <c r="J1699" s="16"/>
      <c r="K1699" s="16"/>
      <c r="L1699" s="8"/>
      <c r="M1699" s="69"/>
      <c r="N1699" s="69"/>
      <c r="O1699" s="69"/>
      <c r="P1699" s="534"/>
      <c r="Q1699" s="274"/>
      <c r="R1699" s="472"/>
      <c r="S1699" s="535"/>
      <c r="T1699" s="535"/>
      <c r="U1699" s="536"/>
      <c r="V1699" s="474"/>
      <c r="Y1699" s="89"/>
      <c r="Z1699" s="60"/>
      <c r="AA1699" s="60"/>
      <c r="AB1699" s="60"/>
      <c r="AC1699" s="30"/>
      <c r="AD1699" s="30"/>
      <c r="AE1699" s="475"/>
      <c r="AF1699" s="476"/>
      <c r="AG1699" s="474"/>
      <c r="AH1699" s="138"/>
    </row>
    <row r="1700">
      <c r="A1700" s="103"/>
      <c r="B1700" s="533"/>
      <c r="C1700" s="533"/>
      <c r="D1700" s="103"/>
      <c r="E1700" s="103"/>
      <c r="F1700" s="103"/>
      <c r="G1700" s="103"/>
      <c r="H1700" s="131"/>
      <c r="I1700" s="468"/>
      <c r="J1700" s="16"/>
      <c r="K1700" s="16"/>
      <c r="L1700" s="8"/>
      <c r="M1700" s="69"/>
      <c r="N1700" s="69"/>
      <c r="O1700" s="69"/>
      <c r="P1700" s="534"/>
      <c r="Q1700" s="274"/>
      <c r="R1700" s="472"/>
      <c r="S1700" s="535"/>
      <c r="T1700" s="535"/>
      <c r="U1700" s="536"/>
      <c r="V1700" s="474"/>
      <c r="Y1700" s="89"/>
      <c r="Z1700" s="60"/>
      <c r="AA1700" s="60"/>
      <c r="AB1700" s="60"/>
      <c r="AC1700" s="30"/>
      <c r="AD1700" s="30"/>
      <c r="AE1700" s="475"/>
      <c r="AF1700" s="476"/>
      <c r="AG1700" s="474"/>
      <c r="AH1700" s="138"/>
    </row>
    <row r="1701">
      <c r="A1701" s="103"/>
      <c r="B1701" s="533"/>
      <c r="C1701" s="533"/>
      <c r="D1701" s="103"/>
      <c r="E1701" s="103"/>
      <c r="F1701" s="103"/>
      <c r="G1701" s="103"/>
      <c r="H1701" s="131"/>
      <c r="I1701" s="468"/>
      <c r="J1701" s="16"/>
      <c r="K1701" s="16"/>
      <c r="L1701" s="8"/>
      <c r="M1701" s="69"/>
      <c r="N1701" s="69"/>
      <c r="O1701" s="69"/>
      <c r="P1701" s="534"/>
      <c r="Q1701" s="274"/>
      <c r="R1701" s="472"/>
      <c r="S1701" s="535"/>
      <c r="T1701" s="535"/>
      <c r="U1701" s="536"/>
      <c r="V1701" s="474"/>
      <c r="Y1701" s="89"/>
      <c r="Z1701" s="60"/>
      <c r="AA1701" s="60"/>
      <c r="AB1701" s="60"/>
      <c r="AC1701" s="30"/>
      <c r="AD1701" s="30"/>
      <c r="AE1701" s="475"/>
      <c r="AF1701" s="476"/>
      <c r="AG1701" s="474"/>
      <c r="AH1701" s="138"/>
    </row>
    <row r="1702">
      <c r="A1702" s="103"/>
      <c r="B1702" s="533"/>
      <c r="C1702" s="533"/>
      <c r="D1702" s="103"/>
      <c r="E1702" s="103"/>
      <c r="F1702" s="103"/>
      <c r="G1702" s="103"/>
      <c r="H1702" s="131"/>
      <c r="I1702" s="468"/>
      <c r="J1702" s="16"/>
      <c r="K1702" s="16"/>
      <c r="L1702" s="8"/>
      <c r="M1702" s="69"/>
      <c r="N1702" s="69"/>
      <c r="O1702" s="69"/>
      <c r="P1702" s="534"/>
      <c r="Q1702" s="274"/>
      <c r="R1702" s="472"/>
      <c r="S1702" s="535"/>
      <c r="T1702" s="535"/>
      <c r="U1702" s="536"/>
      <c r="V1702" s="474"/>
      <c r="Y1702" s="89"/>
      <c r="Z1702" s="60"/>
      <c r="AA1702" s="60"/>
      <c r="AB1702" s="60"/>
      <c r="AC1702" s="30"/>
      <c r="AD1702" s="30"/>
      <c r="AE1702" s="475"/>
      <c r="AF1702" s="476"/>
      <c r="AG1702" s="474"/>
      <c r="AH1702" s="138"/>
    </row>
    <row r="1703">
      <c r="A1703" s="103"/>
      <c r="B1703" s="533"/>
      <c r="C1703" s="533"/>
      <c r="D1703" s="103"/>
      <c r="E1703" s="103"/>
      <c r="F1703" s="103"/>
      <c r="G1703" s="103"/>
      <c r="H1703" s="131"/>
      <c r="I1703" s="468"/>
      <c r="J1703" s="16"/>
      <c r="K1703" s="16"/>
      <c r="L1703" s="8"/>
      <c r="M1703" s="69"/>
      <c r="N1703" s="69"/>
      <c r="O1703" s="69"/>
      <c r="P1703" s="534"/>
      <c r="Q1703" s="274"/>
      <c r="R1703" s="472"/>
      <c r="S1703" s="535"/>
      <c r="T1703" s="535"/>
      <c r="U1703" s="536"/>
      <c r="V1703" s="474"/>
      <c r="Y1703" s="89"/>
      <c r="Z1703" s="60"/>
      <c r="AA1703" s="60"/>
      <c r="AB1703" s="60"/>
      <c r="AC1703" s="30"/>
      <c r="AD1703" s="30"/>
      <c r="AE1703" s="475"/>
      <c r="AF1703" s="476"/>
      <c r="AG1703" s="474"/>
      <c r="AH1703" s="138"/>
    </row>
    <row r="1704">
      <c r="A1704" s="103"/>
      <c r="B1704" s="533"/>
      <c r="C1704" s="533"/>
      <c r="D1704" s="103"/>
      <c r="E1704" s="103"/>
      <c r="F1704" s="103"/>
      <c r="G1704" s="103"/>
      <c r="H1704" s="131"/>
      <c r="I1704" s="468"/>
      <c r="J1704" s="16"/>
      <c r="K1704" s="16"/>
      <c r="L1704" s="8"/>
      <c r="M1704" s="69"/>
      <c r="N1704" s="69"/>
      <c r="O1704" s="69"/>
      <c r="P1704" s="534"/>
      <c r="Q1704" s="274"/>
      <c r="R1704" s="472"/>
      <c r="S1704" s="535"/>
      <c r="T1704" s="535"/>
      <c r="U1704" s="536"/>
      <c r="V1704" s="474"/>
      <c r="Y1704" s="89"/>
      <c r="Z1704" s="60"/>
      <c r="AA1704" s="60"/>
      <c r="AB1704" s="60"/>
      <c r="AC1704" s="30"/>
      <c r="AD1704" s="30"/>
      <c r="AE1704" s="475"/>
      <c r="AF1704" s="476"/>
      <c r="AG1704" s="474"/>
      <c r="AH1704" s="138"/>
    </row>
    <row r="1705">
      <c r="A1705" s="103"/>
      <c r="B1705" s="533"/>
      <c r="C1705" s="533"/>
      <c r="D1705" s="103"/>
      <c r="E1705" s="103"/>
      <c r="F1705" s="103"/>
      <c r="G1705" s="103"/>
      <c r="H1705" s="131"/>
      <c r="I1705" s="468"/>
      <c r="J1705" s="16"/>
      <c r="K1705" s="16"/>
      <c r="L1705" s="8"/>
      <c r="M1705" s="69"/>
      <c r="N1705" s="69"/>
      <c r="O1705" s="69"/>
      <c r="P1705" s="534"/>
      <c r="Q1705" s="274"/>
      <c r="R1705" s="472"/>
      <c r="S1705" s="535"/>
      <c r="T1705" s="535"/>
      <c r="U1705" s="536"/>
      <c r="V1705" s="474"/>
      <c r="Y1705" s="89"/>
      <c r="Z1705" s="60"/>
      <c r="AA1705" s="60"/>
      <c r="AB1705" s="60"/>
      <c r="AC1705" s="30"/>
      <c r="AD1705" s="30"/>
      <c r="AE1705" s="475"/>
      <c r="AF1705" s="476"/>
      <c r="AG1705" s="474"/>
      <c r="AH1705" s="138"/>
    </row>
    <row r="1706">
      <c r="A1706" s="103"/>
      <c r="B1706" s="533"/>
      <c r="C1706" s="533"/>
      <c r="D1706" s="103"/>
      <c r="E1706" s="103"/>
      <c r="F1706" s="103"/>
      <c r="G1706" s="103"/>
      <c r="H1706" s="131"/>
      <c r="I1706" s="468"/>
      <c r="J1706" s="16"/>
      <c r="K1706" s="16"/>
      <c r="L1706" s="8"/>
      <c r="M1706" s="69"/>
      <c r="N1706" s="69"/>
      <c r="O1706" s="69"/>
      <c r="P1706" s="534"/>
      <c r="Q1706" s="274"/>
      <c r="R1706" s="472"/>
      <c r="S1706" s="535"/>
      <c r="T1706" s="535"/>
      <c r="U1706" s="536"/>
      <c r="V1706" s="474"/>
      <c r="Y1706" s="89"/>
      <c r="Z1706" s="60"/>
      <c r="AA1706" s="60"/>
      <c r="AB1706" s="60"/>
      <c r="AC1706" s="30"/>
      <c r="AD1706" s="30"/>
      <c r="AE1706" s="475"/>
      <c r="AF1706" s="476"/>
      <c r="AG1706" s="474"/>
      <c r="AH1706" s="138"/>
    </row>
    <row r="1707">
      <c r="A1707" s="103"/>
      <c r="B1707" s="533"/>
      <c r="C1707" s="533"/>
      <c r="D1707" s="103"/>
      <c r="E1707" s="103"/>
      <c r="F1707" s="103"/>
      <c r="G1707" s="103"/>
      <c r="H1707" s="131"/>
      <c r="I1707" s="468"/>
      <c r="J1707" s="16"/>
      <c r="K1707" s="16"/>
      <c r="L1707" s="8"/>
      <c r="M1707" s="69"/>
      <c r="N1707" s="69"/>
      <c r="O1707" s="69"/>
      <c r="P1707" s="534"/>
      <c r="Q1707" s="274"/>
      <c r="R1707" s="472"/>
      <c r="S1707" s="535"/>
      <c r="T1707" s="535"/>
      <c r="U1707" s="536"/>
      <c r="V1707" s="474"/>
      <c r="Y1707" s="89"/>
      <c r="Z1707" s="60"/>
      <c r="AA1707" s="60"/>
      <c r="AB1707" s="60"/>
      <c r="AC1707" s="30"/>
      <c r="AD1707" s="30"/>
      <c r="AE1707" s="475"/>
      <c r="AF1707" s="476"/>
      <c r="AG1707" s="474"/>
      <c r="AH1707" s="138"/>
    </row>
    <row r="1708">
      <c r="A1708" s="103"/>
      <c r="B1708" s="533"/>
      <c r="C1708" s="533"/>
      <c r="D1708" s="103"/>
      <c r="E1708" s="103"/>
      <c r="F1708" s="103"/>
      <c r="G1708" s="103"/>
      <c r="H1708" s="131"/>
      <c r="I1708" s="468"/>
      <c r="J1708" s="16"/>
      <c r="K1708" s="16"/>
      <c r="L1708" s="8"/>
      <c r="M1708" s="69"/>
      <c r="N1708" s="69"/>
      <c r="O1708" s="69"/>
      <c r="P1708" s="534"/>
      <c r="Q1708" s="274"/>
      <c r="R1708" s="472"/>
      <c r="S1708" s="535"/>
      <c r="T1708" s="535"/>
      <c r="U1708" s="536"/>
      <c r="V1708" s="474"/>
      <c r="Y1708" s="89"/>
      <c r="Z1708" s="60"/>
      <c r="AA1708" s="60"/>
      <c r="AB1708" s="60"/>
      <c r="AC1708" s="30"/>
      <c r="AD1708" s="30"/>
      <c r="AE1708" s="475"/>
      <c r="AF1708" s="476"/>
      <c r="AG1708" s="474"/>
      <c r="AH1708" s="138"/>
    </row>
    <row r="1709">
      <c r="A1709" s="103"/>
      <c r="B1709" s="533"/>
      <c r="C1709" s="533"/>
      <c r="D1709" s="103"/>
      <c r="E1709" s="103"/>
      <c r="F1709" s="103"/>
      <c r="G1709" s="103"/>
      <c r="H1709" s="131"/>
      <c r="I1709" s="468"/>
      <c r="J1709" s="16"/>
      <c r="K1709" s="16"/>
      <c r="L1709" s="8"/>
      <c r="M1709" s="69"/>
      <c r="N1709" s="69"/>
      <c r="O1709" s="69"/>
      <c r="P1709" s="534"/>
      <c r="Q1709" s="274"/>
      <c r="R1709" s="472"/>
      <c r="S1709" s="535"/>
      <c r="T1709" s="535"/>
      <c r="U1709" s="536"/>
      <c r="V1709" s="474"/>
      <c r="Y1709" s="89"/>
      <c r="Z1709" s="60"/>
      <c r="AA1709" s="60"/>
      <c r="AB1709" s="60"/>
      <c r="AC1709" s="30"/>
      <c r="AD1709" s="30"/>
      <c r="AE1709" s="475"/>
      <c r="AF1709" s="476"/>
      <c r="AG1709" s="474"/>
      <c r="AH1709" s="138"/>
    </row>
    <row r="1710">
      <c r="A1710" s="103"/>
      <c r="B1710" s="533"/>
      <c r="C1710" s="533"/>
      <c r="D1710" s="103"/>
      <c r="E1710" s="103"/>
      <c r="F1710" s="103"/>
      <c r="G1710" s="103"/>
      <c r="H1710" s="131"/>
      <c r="I1710" s="468"/>
      <c r="J1710" s="16"/>
      <c r="K1710" s="16"/>
      <c r="L1710" s="8"/>
      <c r="M1710" s="69"/>
      <c r="N1710" s="69"/>
      <c r="O1710" s="69"/>
      <c r="P1710" s="534"/>
      <c r="Q1710" s="274"/>
      <c r="R1710" s="472"/>
      <c r="S1710" s="535"/>
      <c r="T1710" s="535"/>
      <c r="U1710" s="536"/>
      <c r="V1710" s="474"/>
      <c r="Y1710" s="89"/>
      <c r="Z1710" s="60"/>
      <c r="AA1710" s="60"/>
      <c r="AB1710" s="60"/>
      <c r="AC1710" s="30"/>
      <c r="AD1710" s="30"/>
      <c r="AE1710" s="475"/>
      <c r="AF1710" s="476"/>
      <c r="AG1710" s="474"/>
      <c r="AH1710" s="138"/>
    </row>
    <row r="1711">
      <c r="A1711" s="103"/>
      <c r="B1711" s="533"/>
      <c r="C1711" s="533"/>
      <c r="D1711" s="103"/>
      <c r="E1711" s="103"/>
      <c r="F1711" s="103"/>
      <c r="G1711" s="103"/>
      <c r="H1711" s="131"/>
      <c r="I1711" s="468"/>
      <c r="J1711" s="16"/>
      <c r="K1711" s="16"/>
      <c r="L1711" s="8"/>
      <c r="M1711" s="69"/>
      <c r="N1711" s="69"/>
      <c r="O1711" s="69"/>
      <c r="P1711" s="534"/>
      <c r="Q1711" s="274"/>
      <c r="R1711" s="472"/>
      <c r="S1711" s="535"/>
      <c r="T1711" s="535"/>
      <c r="U1711" s="536"/>
      <c r="V1711" s="474"/>
      <c r="Y1711" s="89"/>
      <c r="Z1711" s="60"/>
      <c r="AA1711" s="60"/>
      <c r="AB1711" s="60"/>
      <c r="AC1711" s="30"/>
      <c r="AD1711" s="30"/>
      <c r="AE1711" s="475"/>
      <c r="AF1711" s="476"/>
      <c r="AG1711" s="474"/>
      <c r="AH1711" s="138"/>
    </row>
    <row r="1712">
      <c r="A1712" s="103"/>
      <c r="B1712" s="533"/>
      <c r="C1712" s="533"/>
      <c r="D1712" s="103"/>
      <c r="E1712" s="103"/>
      <c r="F1712" s="103"/>
      <c r="G1712" s="103"/>
      <c r="H1712" s="131"/>
      <c r="I1712" s="468"/>
      <c r="J1712" s="16"/>
      <c r="K1712" s="16"/>
      <c r="L1712" s="8"/>
      <c r="M1712" s="69"/>
      <c r="N1712" s="69"/>
      <c r="O1712" s="69"/>
      <c r="P1712" s="534"/>
      <c r="Q1712" s="274"/>
      <c r="R1712" s="472"/>
      <c r="S1712" s="535"/>
      <c r="T1712" s="535"/>
      <c r="U1712" s="536"/>
      <c r="V1712" s="474"/>
      <c r="Y1712" s="89"/>
      <c r="Z1712" s="60"/>
      <c r="AA1712" s="60"/>
      <c r="AB1712" s="60"/>
      <c r="AC1712" s="30"/>
      <c r="AD1712" s="30"/>
      <c r="AE1712" s="475"/>
      <c r="AF1712" s="476"/>
      <c r="AG1712" s="474"/>
      <c r="AH1712" s="138"/>
    </row>
    <row r="1713">
      <c r="A1713" s="103"/>
      <c r="B1713" s="533"/>
      <c r="C1713" s="533"/>
      <c r="D1713" s="103"/>
      <c r="E1713" s="103"/>
      <c r="F1713" s="103"/>
      <c r="G1713" s="103"/>
      <c r="H1713" s="131"/>
      <c r="I1713" s="468"/>
      <c r="J1713" s="16"/>
      <c r="K1713" s="16"/>
      <c r="L1713" s="8"/>
      <c r="M1713" s="69"/>
      <c r="N1713" s="69"/>
      <c r="O1713" s="69"/>
      <c r="P1713" s="534"/>
      <c r="Q1713" s="274"/>
      <c r="R1713" s="472"/>
      <c r="S1713" s="535"/>
      <c r="T1713" s="535"/>
      <c r="U1713" s="536"/>
      <c r="V1713" s="474"/>
      <c r="Y1713" s="89"/>
      <c r="Z1713" s="60"/>
      <c r="AA1713" s="60"/>
      <c r="AB1713" s="60"/>
      <c r="AC1713" s="30"/>
      <c r="AD1713" s="30"/>
      <c r="AE1713" s="475"/>
      <c r="AF1713" s="476"/>
      <c r="AG1713" s="474"/>
      <c r="AH1713" s="138"/>
    </row>
    <row r="1714">
      <c r="A1714" s="103"/>
      <c r="B1714" s="533"/>
      <c r="C1714" s="533"/>
      <c r="D1714" s="103"/>
      <c r="E1714" s="103"/>
      <c r="F1714" s="103"/>
      <c r="G1714" s="103"/>
      <c r="H1714" s="131"/>
      <c r="I1714" s="468"/>
      <c r="J1714" s="16"/>
      <c r="K1714" s="16"/>
      <c r="L1714" s="8"/>
      <c r="M1714" s="69"/>
      <c r="N1714" s="69"/>
      <c r="O1714" s="69"/>
      <c r="P1714" s="534"/>
      <c r="Q1714" s="274"/>
      <c r="R1714" s="472"/>
      <c r="S1714" s="535"/>
      <c r="T1714" s="535"/>
      <c r="U1714" s="536"/>
      <c r="V1714" s="474"/>
      <c r="Y1714" s="89"/>
      <c r="Z1714" s="60"/>
      <c r="AA1714" s="60"/>
      <c r="AB1714" s="60"/>
      <c r="AC1714" s="30"/>
      <c r="AD1714" s="30"/>
      <c r="AE1714" s="475"/>
      <c r="AF1714" s="476"/>
      <c r="AG1714" s="474"/>
      <c r="AH1714" s="138"/>
    </row>
    <row r="1715">
      <c r="A1715" s="103"/>
      <c r="B1715" s="533"/>
      <c r="C1715" s="533"/>
      <c r="D1715" s="103"/>
      <c r="E1715" s="103"/>
      <c r="F1715" s="103"/>
      <c r="G1715" s="103"/>
      <c r="H1715" s="131"/>
      <c r="I1715" s="468"/>
      <c r="J1715" s="16"/>
      <c r="K1715" s="16"/>
      <c r="L1715" s="8"/>
      <c r="M1715" s="69"/>
      <c r="N1715" s="69"/>
      <c r="O1715" s="69"/>
      <c r="P1715" s="534"/>
      <c r="Q1715" s="274"/>
      <c r="R1715" s="472"/>
      <c r="S1715" s="535"/>
      <c r="T1715" s="535"/>
      <c r="U1715" s="536"/>
      <c r="V1715" s="474"/>
      <c r="Y1715" s="89"/>
      <c r="Z1715" s="60"/>
      <c r="AA1715" s="60"/>
      <c r="AB1715" s="60"/>
      <c r="AC1715" s="30"/>
      <c r="AD1715" s="30"/>
      <c r="AE1715" s="475"/>
      <c r="AF1715" s="476"/>
      <c r="AG1715" s="474"/>
      <c r="AH1715" s="138"/>
    </row>
    <row r="1716">
      <c r="A1716" s="103"/>
      <c r="B1716" s="533"/>
      <c r="C1716" s="533"/>
      <c r="D1716" s="103"/>
      <c r="E1716" s="103"/>
      <c r="F1716" s="103"/>
      <c r="G1716" s="103"/>
      <c r="H1716" s="131"/>
      <c r="I1716" s="468"/>
      <c r="J1716" s="16"/>
      <c r="K1716" s="16"/>
      <c r="L1716" s="8"/>
      <c r="M1716" s="69"/>
      <c r="N1716" s="69"/>
      <c r="O1716" s="69"/>
      <c r="P1716" s="534"/>
      <c r="Q1716" s="274"/>
      <c r="R1716" s="472"/>
      <c r="S1716" s="535"/>
      <c r="T1716" s="535"/>
      <c r="U1716" s="536"/>
      <c r="V1716" s="474"/>
      <c r="Y1716" s="89"/>
      <c r="Z1716" s="60"/>
      <c r="AA1716" s="60"/>
      <c r="AB1716" s="60"/>
      <c r="AC1716" s="30"/>
      <c r="AD1716" s="30"/>
      <c r="AE1716" s="475"/>
      <c r="AF1716" s="476"/>
      <c r="AG1716" s="474"/>
      <c r="AH1716" s="138"/>
    </row>
    <row r="1717">
      <c r="A1717" s="103"/>
      <c r="B1717" s="533"/>
      <c r="C1717" s="533"/>
      <c r="D1717" s="103"/>
      <c r="E1717" s="103"/>
      <c r="F1717" s="103"/>
      <c r="G1717" s="103"/>
      <c r="H1717" s="131"/>
      <c r="I1717" s="468"/>
      <c r="J1717" s="16"/>
      <c r="K1717" s="16"/>
      <c r="L1717" s="8"/>
      <c r="M1717" s="69"/>
      <c r="N1717" s="69"/>
      <c r="O1717" s="69"/>
      <c r="P1717" s="534"/>
      <c r="Q1717" s="274"/>
      <c r="R1717" s="472"/>
      <c r="S1717" s="535"/>
      <c r="T1717" s="535"/>
      <c r="U1717" s="536"/>
      <c r="V1717" s="474"/>
      <c r="Y1717" s="89"/>
      <c r="Z1717" s="60"/>
      <c r="AA1717" s="60"/>
      <c r="AB1717" s="60"/>
      <c r="AC1717" s="30"/>
      <c r="AD1717" s="30"/>
      <c r="AE1717" s="475"/>
      <c r="AF1717" s="476"/>
      <c r="AG1717" s="474"/>
      <c r="AH1717" s="138"/>
    </row>
    <row r="1718">
      <c r="A1718" s="103"/>
      <c r="B1718" s="533"/>
      <c r="C1718" s="533"/>
      <c r="D1718" s="103"/>
      <c r="E1718" s="103"/>
      <c r="F1718" s="103"/>
      <c r="G1718" s="103"/>
      <c r="H1718" s="131"/>
      <c r="I1718" s="468"/>
      <c r="J1718" s="16"/>
      <c r="K1718" s="16"/>
      <c r="L1718" s="8"/>
      <c r="M1718" s="69"/>
      <c r="N1718" s="69"/>
      <c r="O1718" s="69"/>
      <c r="P1718" s="534"/>
      <c r="Q1718" s="274"/>
      <c r="R1718" s="472"/>
      <c r="S1718" s="535"/>
      <c r="T1718" s="535"/>
      <c r="U1718" s="536"/>
      <c r="V1718" s="474"/>
      <c r="Y1718" s="89"/>
      <c r="Z1718" s="60"/>
      <c r="AA1718" s="60"/>
      <c r="AB1718" s="60"/>
      <c r="AC1718" s="30"/>
      <c r="AD1718" s="30"/>
      <c r="AE1718" s="475"/>
      <c r="AF1718" s="476"/>
      <c r="AG1718" s="474"/>
      <c r="AH1718" s="138"/>
    </row>
    <row r="1719">
      <c r="A1719" s="103"/>
      <c r="B1719" s="533"/>
      <c r="C1719" s="533"/>
      <c r="D1719" s="103"/>
      <c r="E1719" s="103"/>
      <c r="F1719" s="103"/>
      <c r="G1719" s="103"/>
      <c r="H1719" s="131"/>
      <c r="I1719" s="468"/>
      <c r="J1719" s="16"/>
      <c r="K1719" s="16"/>
      <c r="L1719" s="8"/>
      <c r="M1719" s="69"/>
      <c r="N1719" s="69"/>
      <c r="O1719" s="69"/>
      <c r="P1719" s="534"/>
      <c r="Q1719" s="274"/>
      <c r="R1719" s="472"/>
      <c r="S1719" s="535"/>
      <c r="T1719" s="535"/>
      <c r="U1719" s="536"/>
      <c r="V1719" s="474"/>
      <c r="Y1719" s="89"/>
      <c r="Z1719" s="60"/>
      <c r="AA1719" s="60"/>
      <c r="AB1719" s="60"/>
      <c r="AC1719" s="30"/>
      <c r="AD1719" s="30"/>
      <c r="AE1719" s="475"/>
      <c r="AF1719" s="476"/>
      <c r="AG1719" s="474"/>
      <c r="AH1719" s="138"/>
    </row>
    <row r="1720">
      <c r="A1720" s="103"/>
      <c r="B1720" s="533"/>
      <c r="C1720" s="533"/>
      <c r="D1720" s="103"/>
      <c r="E1720" s="103"/>
      <c r="F1720" s="103"/>
      <c r="G1720" s="103"/>
      <c r="H1720" s="131"/>
      <c r="I1720" s="468"/>
      <c r="J1720" s="16"/>
      <c r="K1720" s="16"/>
      <c r="L1720" s="8"/>
      <c r="M1720" s="69"/>
      <c r="N1720" s="69"/>
      <c r="O1720" s="69"/>
      <c r="P1720" s="534"/>
      <c r="Q1720" s="274"/>
      <c r="R1720" s="472"/>
      <c r="S1720" s="535"/>
      <c r="T1720" s="535"/>
      <c r="U1720" s="536"/>
      <c r="V1720" s="474"/>
      <c r="Y1720" s="89"/>
      <c r="Z1720" s="60"/>
      <c r="AA1720" s="60"/>
      <c r="AB1720" s="60"/>
      <c r="AC1720" s="30"/>
      <c r="AD1720" s="30"/>
      <c r="AE1720" s="475"/>
      <c r="AF1720" s="476"/>
      <c r="AG1720" s="474"/>
      <c r="AH1720" s="138"/>
    </row>
    <row r="1721">
      <c r="A1721" s="103"/>
      <c r="B1721" s="533"/>
      <c r="C1721" s="533"/>
      <c r="D1721" s="103"/>
      <c r="E1721" s="103"/>
      <c r="F1721" s="103"/>
      <c r="G1721" s="103"/>
      <c r="H1721" s="131"/>
      <c r="I1721" s="468"/>
      <c r="J1721" s="16"/>
      <c r="K1721" s="16"/>
      <c r="L1721" s="8"/>
      <c r="M1721" s="69"/>
      <c r="N1721" s="69"/>
      <c r="O1721" s="69"/>
      <c r="P1721" s="534"/>
      <c r="Q1721" s="274"/>
      <c r="R1721" s="472"/>
      <c r="S1721" s="535"/>
      <c r="T1721" s="535"/>
      <c r="U1721" s="536"/>
      <c r="V1721" s="474"/>
      <c r="Y1721" s="89"/>
      <c r="Z1721" s="60"/>
      <c r="AA1721" s="60"/>
      <c r="AB1721" s="60"/>
      <c r="AC1721" s="30"/>
      <c r="AD1721" s="30"/>
      <c r="AE1721" s="475"/>
      <c r="AF1721" s="476"/>
      <c r="AG1721" s="474"/>
      <c r="AH1721" s="138"/>
    </row>
    <row r="1722">
      <c r="A1722" s="103"/>
      <c r="B1722" s="533"/>
      <c r="C1722" s="533"/>
      <c r="D1722" s="103"/>
      <c r="E1722" s="103"/>
      <c r="F1722" s="103"/>
      <c r="G1722" s="103"/>
      <c r="H1722" s="131"/>
      <c r="I1722" s="468"/>
      <c r="J1722" s="16"/>
      <c r="K1722" s="16"/>
      <c r="L1722" s="8"/>
      <c r="M1722" s="69"/>
      <c r="N1722" s="69"/>
      <c r="O1722" s="69"/>
      <c r="P1722" s="534"/>
      <c r="Q1722" s="274"/>
      <c r="R1722" s="472"/>
      <c r="S1722" s="535"/>
      <c r="T1722" s="535"/>
      <c r="U1722" s="536"/>
      <c r="V1722" s="474"/>
      <c r="Y1722" s="89"/>
      <c r="Z1722" s="60"/>
      <c r="AA1722" s="60"/>
      <c r="AB1722" s="60"/>
      <c r="AC1722" s="30"/>
      <c r="AD1722" s="30"/>
      <c r="AE1722" s="475"/>
      <c r="AF1722" s="476"/>
      <c r="AG1722" s="474"/>
      <c r="AH1722" s="138"/>
    </row>
    <row r="1723">
      <c r="A1723" s="103"/>
      <c r="B1723" s="533"/>
      <c r="C1723" s="533"/>
      <c r="D1723" s="103"/>
      <c r="E1723" s="103"/>
      <c r="F1723" s="103"/>
      <c r="G1723" s="103"/>
      <c r="H1723" s="131"/>
      <c r="I1723" s="468"/>
      <c r="J1723" s="16"/>
      <c r="K1723" s="16"/>
      <c r="L1723" s="8"/>
      <c r="M1723" s="69"/>
      <c r="N1723" s="69"/>
      <c r="O1723" s="69"/>
      <c r="P1723" s="534"/>
      <c r="Q1723" s="274"/>
      <c r="R1723" s="472"/>
      <c r="S1723" s="535"/>
      <c r="T1723" s="535"/>
      <c r="U1723" s="536"/>
      <c r="V1723" s="474"/>
      <c r="Y1723" s="89"/>
      <c r="Z1723" s="60"/>
      <c r="AA1723" s="60"/>
      <c r="AB1723" s="60"/>
      <c r="AC1723" s="30"/>
      <c r="AD1723" s="30"/>
      <c r="AE1723" s="475"/>
      <c r="AF1723" s="476"/>
      <c r="AG1723" s="474"/>
      <c r="AH1723" s="138"/>
    </row>
    <row r="1724">
      <c r="A1724" s="103"/>
      <c r="B1724" s="533"/>
      <c r="C1724" s="533"/>
      <c r="D1724" s="103"/>
      <c r="E1724" s="103"/>
      <c r="F1724" s="103"/>
      <c r="G1724" s="103"/>
      <c r="H1724" s="131"/>
      <c r="I1724" s="468"/>
      <c r="J1724" s="16"/>
      <c r="K1724" s="16"/>
      <c r="L1724" s="8"/>
      <c r="M1724" s="69"/>
      <c r="N1724" s="69"/>
      <c r="O1724" s="69"/>
      <c r="P1724" s="534"/>
      <c r="Q1724" s="274"/>
      <c r="R1724" s="472"/>
      <c r="S1724" s="535"/>
      <c r="T1724" s="535"/>
      <c r="U1724" s="536"/>
      <c r="V1724" s="474"/>
      <c r="Y1724" s="89"/>
      <c r="Z1724" s="60"/>
      <c r="AA1724" s="60"/>
      <c r="AB1724" s="60"/>
      <c r="AC1724" s="30"/>
      <c r="AD1724" s="30"/>
      <c r="AE1724" s="475"/>
      <c r="AF1724" s="476"/>
      <c r="AG1724" s="474"/>
      <c r="AH1724" s="138"/>
    </row>
    <row r="1725">
      <c r="A1725" s="103"/>
      <c r="B1725" s="533"/>
      <c r="C1725" s="533"/>
      <c r="D1725" s="103"/>
      <c r="E1725" s="103"/>
      <c r="F1725" s="103"/>
      <c r="G1725" s="103"/>
      <c r="H1725" s="131"/>
      <c r="I1725" s="468"/>
      <c r="J1725" s="16"/>
      <c r="K1725" s="16"/>
      <c r="L1725" s="8"/>
      <c r="M1725" s="69"/>
      <c r="N1725" s="69"/>
      <c r="O1725" s="69"/>
      <c r="P1725" s="534"/>
      <c r="Q1725" s="274"/>
      <c r="R1725" s="472"/>
      <c r="S1725" s="535"/>
      <c r="T1725" s="535"/>
      <c r="U1725" s="536"/>
      <c r="V1725" s="474"/>
      <c r="Y1725" s="89"/>
      <c r="Z1725" s="60"/>
      <c r="AA1725" s="60"/>
      <c r="AB1725" s="60"/>
      <c r="AC1725" s="30"/>
      <c r="AD1725" s="30"/>
      <c r="AE1725" s="475"/>
      <c r="AF1725" s="476"/>
      <c r="AG1725" s="474"/>
      <c r="AH1725" s="138"/>
    </row>
    <row r="1726">
      <c r="A1726" s="103"/>
      <c r="B1726" s="533"/>
      <c r="C1726" s="533"/>
      <c r="D1726" s="103"/>
      <c r="E1726" s="103"/>
      <c r="F1726" s="103"/>
      <c r="G1726" s="103"/>
      <c r="H1726" s="131"/>
      <c r="I1726" s="468"/>
      <c r="J1726" s="16"/>
      <c r="K1726" s="16"/>
      <c r="L1726" s="8"/>
      <c r="M1726" s="69"/>
      <c r="N1726" s="69"/>
      <c r="O1726" s="69"/>
      <c r="P1726" s="534"/>
      <c r="Q1726" s="274"/>
      <c r="R1726" s="472"/>
      <c r="S1726" s="535"/>
      <c r="T1726" s="535"/>
      <c r="U1726" s="536"/>
      <c r="V1726" s="474"/>
      <c r="Y1726" s="89"/>
      <c r="Z1726" s="60"/>
      <c r="AA1726" s="60"/>
      <c r="AB1726" s="60"/>
      <c r="AC1726" s="30"/>
      <c r="AD1726" s="30"/>
      <c r="AE1726" s="475"/>
      <c r="AF1726" s="476"/>
      <c r="AG1726" s="474"/>
      <c r="AH1726" s="138"/>
    </row>
    <row r="1727">
      <c r="A1727" s="103"/>
      <c r="B1727" s="533"/>
      <c r="C1727" s="533"/>
      <c r="D1727" s="103"/>
      <c r="E1727" s="103"/>
      <c r="F1727" s="103"/>
      <c r="G1727" s="103"/>
      <c r="H1727" s="131"/>
      <c r="I1727" s="468"/>
      <c r="J1727" s="16"/>
      <c r="K1727" s="16"/>
      <c r="L1727" s="8"/>
      <c r="M1727" s="69"/>
      <c r="N1727" s="69"/>
      <c r="O1727" s="69"/>
      <c r="P1727" s="534"/>
      <c r="Q1727" s="274"/>
      <c r="R1727" s="472"/>
      <c r="S1727" s="535"/>
      <c r="T1727" s="535"/>
      <c r="U1727" s="536"/>
      <c r="V1727" s="474"/>
      <c r="Y1727" s="89"/>
      <c r="Z1727" s="60"/>
      <c r="AA1727" s="60"/>
      <c r="AB1727" s="60"/>
      <c r="AC1727" s="30"/>
      <c r="AD1727" s="30"/>
      <c r="AE1727" s="475"/>
      <c r="AF1727" s="476"/>
      <c r="AG1727" s="474"/>
      <c r="AH1727" s="138"/>
    </row>
    <row r="1728">
      <c r="A1728" s="103"/>
      <c r="B1728" s="533"/>
      <c r="C1728" s="533"/>
      <c r="D1728" s="103"/>
      <c r="E1728" s="103"/>
      <c r="F1728" s="103"/>
      <c r="G1728" s="103"/>
      <c r="H1728" s="131"/>
      <c r="I1728" s="468"/>
      <c r="J1728" s="16"/>
      <c r="K1728" s="16"/>
      <c r="L1728" s="8"/>
      <c r="M1728" s="69"/>
      <c r="N1728" s="69"/>
      <c r="O1728" s="69"/>
      <c r="P1728" s="534"/>
      <c r="Q1728" s="274"/>
      <c r="R1728" s="472"/>
      <c r="S1728" s="535"/>
      <c r="T1728" s="535"/>
      <c r="U1728" s="536"/>
      <c r="V1728" s="474"/>
      <c r="Y1728" s="89"/>
      <c r="Z1728" s="60"/>
      <c r="AA1728" s="60"/>
      <c r="AB1728" s="60"/>
      <c r="AC1728" s="30"/>
      <c r="AD1728" s="30"/>
      <c r="AE1728" s="475"/>
      <c r="AF1728" s="476"/>
      <c r="AG1728" s="474"/>
      <c r="AH1728" s="138"/>
    </row>
    <row r="1729">
      <c r="A1729" s="103"/>
      <c r="B1729" s="533"/>
      <c r="C1729" s="533"/>
      <c r="D1729" s="103"/>
      <c r="E1729" s="103"/>
      <c r="F1729" s="103"/>
      <c r="G1729" s="103"/>
      <c r="H1729" s="131"/>
      <c r="I1729" s="468"/>
      <c r="J1729" s="16"/>
      <c r="K1729" s="16"/>
      <c r="L1729" s="8"/>
      <c r="M1729" s="69"/>
      <c r="N1729" s="69"/>
      <c r="O1729" s="69"/>
      <c r="P1729" s="534"/>
      <c r="Q1729" s="274"/>
      <c r="R1729" s="472"/>
      <c r="S1729" s="535"/>
      <c r="T1729" s="535"/>
      <c r="U1729" s="536"/>
      <c r="V1729" s="474"/>
      <c r="Y1729" s="89"/>
      <c r="Z1729" s="60"/>
      <c r="AA1729" s="60"/>
      <c r="AB1729" s="60"/>
      <c r="AC1729" s="30"/>
      <c r="AD1729" s="30"/>
      <c r="AE1729" s="475"/>
      <c r="AF1729" s="476"/>
      <c r="AG1729" s="474"/>
      <c r="AH1729" s="138"/>
    </row>
    <row r="1730">
      <c r="A1730" s="103"/>
      <c r="B1730" s="533"/>
      <c r="C1730" s="533"/>
      <c r="D1730" s="103"/>
      <c r="E1730" s="103"/>
      <c r="F1730" s="103"/>
      <c r="G1730" s="103"/>
      <c r="H1730" s="131"/>
      <c r="I1730" s="468"/>
      <c r="J1730" s="16"/>
      <c r="K1730" s="16"/>
      <c r="L1730" s="8"/>
      <c r="M1730" s="69"/>
      <c r="N1730" s="69"/>
      <c r="O1730" s="69"/>
      <c r="P1730" s="534"/>
      <c r="Q1730" s="274"/>
      <c r="R1730" s="472"/>
      <c r="S1730" s="535"/>
      <c r="T1730" s="535"/>
      <c r="U1730" s="536"/>
      <c r="V1730" s="474"/>
      <c r="Y1730" s="89"/>
      <c r="Z1730" s="60"/>
      <c r="AA1730" s="60"/>
      <c r="AB1730" s="60"/>
      <c r="AC1730" s="30"/>
      <c r="AD1730" s="30"/>
      <c r="AE1730" s="475"/>
      <c r="AF1730" s="476"/>
      <c r="AG1730" s="474"/>
      <c r="AH1730" s="138"/>
    </row>
    <row r="1731">
      <c r="A1731" s="103"/>
      <c r="B1731" s="533"/>
      <c r="C1731" s="533"/>
      <c r="D1731" s="103"/>
      <c r="E1731" s="103"/>
      <c r="F1731" s="103"/>
      <c r="G1731" s="103"/>
      <c r="H1731" s="131"/>
      <c r="I1731" s="468"/>
      <c r="J1731" s="16"/>
      <c r="K1731" s="16"/>
      <c r="L1731" s="8"/>
      <c r="M1731" s="69"/>
      <c r="N1731" s="69"/>
      <c r="O1731" s="69"/>
      <c r="P1731" s="534"/>
      <c r="Q1731" s="274"/>
      <c r="R1731" s="472"/>
      <c r="S1731" s="535"/>
      <c r="T1731" s="535"/>
      <c r="U1731" s="536"/>
      <c r="V1731" s="474"/>
      <c r="Y1731" s="89"/>
      <c r="Z1731" s="60"/>
      <c r="AA1731" s="60"/>
      <c r="AB1731" s="60"/>
      <c r="AC1731" s="30"/>
      <c r="AD1731" s="30"/>
      <c r="AE1731" s="475"/>
      <c r="AF1731" s="476"/>
      <c r="AG1731" s="474"/>
      <c r="AH1731" s="138"/>
    </row>
    <row r="1732">
      <c r="A1732" s="103"/>
      <c r="B1732" s="533"/>
      <c r="C1732" s="533"/>
      <c r="D1732" s="103"/>
      <c r="E1732" s="103"/>
      <c r="F1732" s="103"/>
      <c r="G1732" s="103"/>
      <c r="H1732" s="131"/>
      <c r="I1732" s="468"/>
      <c r="J1732" s="16"/>
      <c r="K1732" s="16"/>
      <c r="L1732" s="8"/>
      <c r="M1732" s="69"/>
      <c r="N1732" s="69"/>
      <c r="O1732" s="69"/>
      <c r="P1732" s="534"/>
      <c r="Q1732" s="274"/>
      <c r="R1732" s="472"/>
      <c r="S1732" s="535"/>
      <c r="T1732" s="535"/>
      <c r="U1732" s="536"/>
      <c r="V1732" s="474"/>
      <c r="Y1732" s="89"/>
      <c r="Z1732" s="60"/>
      <c r="AA1732" s="60"/>
      <c r="AB1732" s="60"/>
      <c r="AC1732" s="30"/>
      <c r="AD1732" s="30"/>
      <c r="AE1732" s="475"/>
      <c r="AF1732" s="476"/>
      <c r="AG1732" s="474"/>
      <c r="AH1732" s="138"/>
    </row>
    <row r="1733">
      <c r="A1733" s="103"/>
      <c r="B1733" s="533"/>
      <c r="C1733" s="533"/>
      <c r="D1733" s="103"/>
      <c r="E1733" s="103"/>
      <c r="F1733" s="103"/>
      <c r="G1733" s="103"/>
      <c r="H1733" s="131"/>
      <c r="I1733" s="468"/>
      <c r="J1733" s="16"/>
      <c r="K1733" s="16"/>
      <c r="L1733" s="8"/>
      <c r="M1733" s="69"/>
      <c r="N1733" s="69"/>
      <c r="O1733" s="69"/>
      <c r="P1733" s="534"/>
      <c r="Q1733" s="274"/>
      <c r="R1733" s="472"/>
      <c r="S1733" s="535"/>
      <c r="T1733" s="535"/>
      <c r="U1733" s="536"/>
      <c r="V1733" s="474"/>
      <c r="Y1733" s="89"/>
      <c r="Z1733" s="60"/>
      <c r="AA1733" s="60"/>
      <c r="AB1733" s="60"/>
      <c r="AC1733" s="30"/>
      <c r="AD1733" s="30"/>
      <c r="AE1733" s="475"/>
      <c r="AF1733" s="476"/>
      <c r="AG1733" s="474"/>
      <c r="AH1733" s="138"/>
    </row>
    <row r="1734">
      <c r="A1734" s="103"/>
      <c r="B1734" s="533"/>
      <c r="C1734" s="533"/>
      <c r="D1734" s="103"/>
      <c r="E1734" s="103"/>
      <c r="F1734" s="103"/>
      <c r="G1734" s="103"/>
      <c r="H1734" s="131"/>
      <c r="I1734" s="468"/>
      <c r="J1734" s="16"/>
      <c r="K1734" s="16"/>
      <c r="L1734" s="8"/>
      <c r="M1734" s="69"/>
      <c r="N1734" s="69"/>
      <c r="O1734" s="69"/>
      <c r="P1734" s="534"/>
      <c r="Q1734" s="274"/>
      <c r="R1734" s="472"/>
      <c r="S1734" s="535"/>
      <c r="T1734" s="535"/>
      <c r="U1734" s="536"/>
      <c r="V1734" s="474"/>
      <c r="Y1734" s="89"/>
      <c r="Z1734" s="60"/>
      <c r="AA1734" s="60"/>
      <c r="AB1734" s="60"/>
      <c r="AC1734" s="30"/>
      <c r="AD1734" s="30"/>
      <c r="AE1734" s="475"/>
      <c r="AF1734" s="476"/>
      <c r="AG1734" s="474"/>
      <c r="AH1734" s="138"/>
    </row>
    <row r="1735">
      <c r="A1735" s="103"/>
      <c r="B1735" s="533"/>
      <c r="C1735" s="533"/>
      <c r="D1735" s="103"/>
      <c r="E1735" s="103"/>
      <c r="F1735" s="103"/>
      <c r="G1735" s="103"/>
      <c r="H1735" s="131"/>
      <c r="I1735" s="468"/>
      <c r="J1735" s="16"/>
      <c r="K1735" s="16"/>
      <c r="L1735" s="8"/>
      <c r="M1735" s="69"/>
      <c r="N1735" s="69"/>
      <c r="O1735" s="69"/>
      <c r="P1735" s="534"/>
      <c r="Q1735" s="274"/>
      <c r="R1735" s="472"/>
      <c r="S1735" s="535"/>
      <c r="T1735" s="535"/>
      <c r="U1735" s="536"/>
      <c r="V1735" s="474"/>
      <c r="Y1735" s="89"/>
      <c r="Z1735" s="60"/>
      <c r="AA1735" s="60"/>
      <c r="AB1735" s="60"/>
      <c r="AC1735" s="30"/>
      <c r="AD1735" s="30"/>
      <c r="AE1735" s="475"/>
      <c r="AF1735" s="476"/>
      <c r="AG1735" s="474"/>
      <c r="AH1735" s="138"/>
    </row>
    <row r="1736">
      <c r="A1736" s="103"/>
      <c r="B1736" s="533"/>
      <c r="C1736" s="533"/>
      <c r="D1736" s="103"/>
      <c r="E1736" s="103"/>
      <c r="F1736" s="103"/>
      <c r="G1736" s="103"/>
      <c r="H1736" s="131"/>
      <c r="I1736" s="468"/>
      <c r="J1736" s="16"/>
      <c r="K1736" s="16"/>
      <c r="L1736" s="8"/>
      <c r="M1736" s="69"/>
      <c r="N1736" s="69"/>
      <c r="O1736" s="69"/>
      <c r="P1736" s="534"/>
      <c r="Q1736" s="274"/>
      <c r="R1736" s="472"/>
      <c r="S1736" s="535"/>
      <c r="T1736" s="535"/>
      <c r="U1736" s="536"/>
      <c r="V1736" s="474"/>
      <c r="Y1736" s="89"/>
      <c r="Z1736" s="60"/>
      <c r="AA1736" s="60"/>
      <c r="AB1736" s="60"/>
      <c r="AC1736" s="30"/>
      <c r="AD1736" s="30"/>
      <c r="AE1736" s="475"/>
      <c r="AF1736" s="476"/>
      <c r="AG1736" s="474"/>
      <c r="AH1736" s="138"/>
    </row>
    <row r="1737">
      <c r="A1737" s="103"/>
      <c r="B1737" s="533"/>
      <c r="C1737" s="533"/>
      <c r="D1737" s="103"/>
      <c r="E1737" s="103"/>
      <c r="F1737" s="103"/>
      <c r="G1737" s="103"/>
      <c r="H1737" s="131"/>
      <c r="I1737" s="468"/>
      <c r="J1737" s="16"/>
      <c r="K1737" s="16"/>
      <c r="L1737" s="8"/>
      <c r="M1737" s="69"/>
      <c r="N1737" s="69"/>
      <c r="O1737" s="69"/>
      <c r="P1737" s="534"/>
      <c r="Q1737" s="274"/>
      <c r="R1737" s="472"/>
      <c r="S1737" s="535"/>
      <c r="T1737" s="535"/>
      <c r="U1737" s="536"/>
      <c r="V1737" s="474"/>
      <c r="Y1737" s="89"/>
      <c r="Z1737" s="60"/>
      <c r="AA1737" s="60"/>
      <c r="AB1737" s="60"/>
      <c r="AC1737" s="30"/>
      <c r="AD1737" s="30"/>
      <c r="AE1737" s="475"/>
      <c r="AF1737" s="476"/>
      <c r="AG1737" s="474"/>
      <c r="AH1737" s="138"/>
    </row>
    <row r="1738">
      <c r="A1738" s="103"/>
      <c r="B1738" s="533"/>
      <c r="C1738" s="533"/>
      <c r="D1738" s="103"/>
      <c r="E1738" s="103"/>
      <c r="F1738" s="103"/>
      <c r="G1738" s="103"/>
      <c r="H1738" s="131"/>
      <c r="I1738" s="468"/>
      <c r="J1738" s="16"/>
      <c r="K1738" s="16"/>
      <c r="L1738" s="8"/>
      <c r="M1738" s="69"/>
      <c r="N1738" s="69"/>
      <c r="O1738" s="69"/>
      <c r="P1738" s="534"/>
      <c r="Q1738" s="274"/>
      <c r="R1738" s="472"/>
      <c r="S1738" s="535"/>
      <c r="T1738" s="535"/>
      <c r="U1738" s="536"/>
      <c r="V1738" s="474"/>
      <c r="Y1738" s="89"/>
      <c r="Z1738" s="60"/>
      <c r="AA1738" s="60"/>
      <c r="AB1738" s="60"/>
      <c r="AC1738" s="30"/>
      <c r="AD1738" s="30"/>
      <c r="AE1738" s="475"/>
      <c r="AF1738" s="476"/>
      <c r="AG1738" s="474"/>
      <c r="AH1738" s="138"/>
    </row>
    <row r="1739">
      <c r="A1739" s="103"/>
      <c r="B1739" s="533"/>
      <c r="C1739" s="533"/>
      <c r="D1739" s="103"/>
      <c r="E1739" s="103"/>
      <c r="F1739" s="103"/>
      <c r="G1739" s="103"/>
      <c r="H1739" s="131"/>
      <c r="I1739" s="468"/>
      <c r="J1739" s="16"/>
      <c r="K1739" s="16"/>
      <c r="L1739" s="8"/>
      <c r="M1739" s="69"/>
      <c r="N1739" s="69"/>
      <c r="O1739" s="69"/>
      <c r="P1739" s="534"/>
      <c r="Q1739" s="274"/>
      <c r="R1739" s="472"/>
      <c r="S1739" s="535"/>
      <c r="T1739" s="535"/>
      <c r="U1739" s="536"/>
      <c r="V1739" s="474"/>
      <c r="Y1739" s="89"/>
      <c r="Z1739" s="60"/>
      <c r="AA1739" s="60"/>
      <c r="AB1739" s="60"/>
      <c r="AC1739" s="30"/>
      <c r="AD1739" s="30"/>
      <c r="AE1739" s="475"/>
      <c r="AF1739" s="476"/>
      <c r="AG1739" s="474"/>
      <c r="AH1739" s="138"/>
    </row>
    <row r="1740">
      <c r="A1740" s="103"/>
      <c r="B1740" s="533"/>
      <c r="C1740" s="533"/>
      <c r="D1740" s="103"/>
      <c r="E1740" s="103"/>
      <c r="F1740" s="103"/>
      <c r="G1740" s="103"/>
      <c r="H1740" s="131"/>
      <c r="I1740" s="468"/>
      <c r="J1740" s="16"/>
      <c r="K1740" s="16"/>
      <c r="L1740" s="8"/>
      <c r="M1740" s="69"/>
      <c r="N1740" s="69"/>
      <c r="O1740" s="69"/>
      <c r="P1740" s="534"/>
      <c r="Q1740" s="274"/>
      <c r="R1740" s="472"/>
      <c r="S1740" s="535"/>
      <c r="T1740" s="535"/>
      <c r="U1740" s="536"/>
      <c r="V1740" s="474"/>
      <c r="Y1740" s="89"/>
      <c r="Z1740" s="60"/>
      <c r="AA1740" s="60"/>
      <c r="AB1740" s="60"/>
      <c r="AC1740" s="30"/>
      <c r="AD1740" s="30"/>
      <c r="AE1740" s="475"/>
      <c r="AF1740" s="476"/>
      <c r="AG1740" s="474"/>
      <c r="AH1740" s="138"/>
    </row>
    <row r="1741">
      <c r="A1741" s="103"/>
      <c r="B1741" s="533"/>
      <c r="C1741" s="533"/>
      <c r="D1741" s="103"/>
      <c r="E1741" s="103"/>
      <c r="F1741" s="103"/>
      <c r="G1741" s="103"/>
      <c r="H1741" s="131"/>
      <c r="I1741" s="468"/>
      <c r="J1741" s="16"/>
      <c r="K1741" s="16"/>
      <c r="L1741" s="8"/>
      <c r="M1741" s="69"/>
      <c r="N1741" s="69"/>
      <c r="O1741" s="69"/>
      <c r="P1741" s="534"/>
      <c r="Q1741" s="274"/>
      <c r="R1741" s="472"/>
      <c r="S1741" s="535"/>
      <c r="T1741" s="535"/>
      <c r="U1741" s="536"/>
      <c r="V1741" s="474"/>
      <c r="Y1741" s="89"/>
      <c r="Z1741" s="60"/>
      <c r="AA1741" s="60"/>
      <c r="AB1741" s="60"/>
      <c r="AC1741" s="30"/>
      <c r="AD1741" s="30"/>
      <c r="AE1741" s="475"/>
      <c r="AF1741" s="476"/>
      <c r="AG1741" s="474"/>
      <c r="AH1741" s="138"/>
    </row>
    <row r="1742">
      <c r="A1742" s="103"/>
      <c r="B1742" s="533"/>
      <c r="C1742" s="533"/>
      <c r="D1742" s="103"/>
      <c r="E1742" s="103"/>
      <c r="F1742" s="103"/>
      <c r="G1742" s="103"/>
      <c r="H1742" s="131"/>
      <c r="I1742" s="468"/>
      <c r="J1742" s="16"/>
      <c r="K1742" s="16"/>
      <c r="L1742" s="8"/>
      <c r="M1742" s="69"/>
      <c r="N1742" s="69"/>
      <c r="O1742" s="69"/>
      <c r="P1742" s="534"/>
      <c r="Q1742" s="274"/>
      <c r="R1742" s="472"/>
      <c r="S1742" s="535"/>
      <c r="T1742" s="535"/>
      <c r="U1742" s="536"/>
      <c r="V1742" s="474"/>
      <c r="Y1742" s="89"/>
      <c r="Z1742" s="60"/>
      <c r="AA1742" s="60"/>
      <c r="AB1742" s="60"/>
      <c r="AC1742" s="30"/>
      <c r="AD1742" s="30"/>
      <c r="AE1742" s="475"/>
      <c r="AF1742" s="476"/>
      <c r="AG1742" s="474"/>
      <c r="AH1742" s="138"/>
    </row>
    <row r="1743">
      <c r="A1743" s="103"/>
      <c r="B1743" s="533"/>
      <c r="C1743" s="533"/>
      <c r="D1743" s="103"/>
      <c r="E1743" s="103"/>
      <c r="F1743" s="103"/>
      <c r="G1743" s="103"/>
      <c r="H1743" s="131"/>
      <c r="I1743" s="468"/>
      <c r="J1743" s="16"/>
      <c r="K1743" s="16"/>
      <c r="L1743" s="8"/>
      <c r="M1743" s="69"/>
      <c r="N1743" s="69"/>
      <c r="O1743" s="69"/>
      <c r="P1743" s="534"/>
      <c r="Q1743" s="274"/>
      <c r="R1743" s="472"/>
      <c r="S1743" s="535"/>
      <c r="T1743" s="535"/>
      <c r="U1743" s="536"/>
      <c r="V1743" s="474"/>
      <c r="Y1743" s="89"/>
      <c r="Z1743" s="60"/>
      <c r="AA1743" s="60"/>
      <c r="AB1743" s="60"/>
      <c r="AC1743" s="30"/>
      <c r="AD1743" s="30"/>
      <c r="AE1743" s="475"/>
      <c r="AF1743" s="476"/>
      <c r="AG1743" s="474"/>
      <c r="AH1743" s="138"/>
    </row>
    <row r="1744">
      <c r="A1744" s="103"/>
      <c r="B1744" s="533"/>
      <c r="C1744" s="533"/>
      <c r="D1744" s="103"/>
      <c r="E1744" s="103"/>
      <c r="F1744" s="103"/>
      <c r="G1744" s="103"/>
      <c r="H1744" s="131"/>
      <c r="I1744" s="468"/>
      <c r="J1744" s="16"/>
      <c r="K1744" s="16"/>
      <c r="L1744" s="8"/>
      <c r="M1744" s="69"/>
      <c r="N1744" s="69"/>
      <c r="O1744" s="69"/>
      <c r="P1744" s="534"/>
      <c r="Q1744" s="274"/>
      <c r="R1744" s="472"/>
      <c r="S1744" s="535"/>
      <c r="T1744" s="535"/>
      <c r="U1744" s="536"/>
      <c r="V1744" s="474"/>
      <c r="Y1744" s="89"/>
      <c r="Z1744" s="60"/>
      <c r="AA1744" s="60"/>
      <c r="AB1744" s="60"/>
      <c r="AC1744" s="30"/>
      <c r="AD1744" s="30"/>
      <c r="AE1744" s="475"/>
      <c r="AF1744" s="476"/>
      <c r="AG1744" s="474"/>
      <c r="AH1744" s="138"/>
    </row>
    <row r="1745">
      <c r="A1745" s="103"/>
      <c r="B1745" s="533"/>
      <c r="C1745" s="533"/>
      <c r="D1745" s="103"/>
      <c r="E1745" s="103"/>
      <c r="F1745" s="103"/>
      <c r="G1745" s="103"/>
      <c r="H1745" s="131"/>
      <c r="I1745" s="468"/>
      <c r="J1745" s="16"/>
      <c r="K1745" s="16"/>
      <c r="L1745" s="8"/>
      <c r="M1745" s="69"/>
      <c r="N1745" s="69"/>
      <c r="O1745" s="69"/>
      <c r="P1745" s="534"/>
      <c r="Q1745" s="274"/>
      <c r="R1745" s="472"/>
      <c r="S1745" s="535"/>
      <c r="T1745" s="535"/>
      <c r="U1745" s="536"/>
      <c r="V1745" s="474"/>
      <c r="Y1745" s="89"/>
      <c r="Z1745" s="60"/>
      <c r="AA1745" s="60"/>
      <c r="AB1745" s="60"/>
      <c r="AC1745" s="30"/>
      <c r="AD1745" s="30"/>
      <c r="AE1745" s="475"/>
      <c r="AF1745" s="476"/>
      <c r="AG1745" s="474"/>
      <c r="AH1745" s="138"/>
    </row>
    <row r="1746">
      <c r="A1746" s="103"/>
      <c r="B1746" s="533"/>
      <c r="C1746" s="533"/>
      <c r="D1746" s="103"/>
      <c r="E1746" s="103"/>
      <c r="F1746" s="103"/>
      <c r="G1746" s="103"/>
      <c r="H1746" s="131"/>
      <c r="I1746" s="468"/>
      <c r="J1746" s="16"/>
      <c r="K1746" s="16"/>
      <c r="L1746" s="8"/>
      <c r="M1746" s="69"/>
      <c r="N1746" s="69"/>
      <c r="O1746" s="69"/>
      <c r="P1746" s="534"/>
      <c r="Q1746" s="274"/>
      <c r="R1746" s="472"/>
      <c r="S1746" s="535"/>
      <c r="T1746" s="535"/>
      <c r="U1746" s="536"/>
      <c r="V1746" s="474"/>
      <c r="Y1746" s="89"/>
      <c r="Z1746" s="60"/>
      <c r="AA1746" s="60"/>
      <c r="AB1746" s="60"/>
      <c r="AC1746" s="30"/>
      <c r="AD1746" s="30"/>
      <c r="AE1746" s="475"/>
      <c r="AF1746" s="476"/>
      <c r="AG1746" s="474"/>
      <c r="AH1746" s="138"/>
    </row>
    <row r="1747">
      <c r="A1747" s="103"/>
      <c r="B1747" s="533"/>
      <c r="C1747" s="533"/>
      <c r="D1747" s="103"/>
      <c r="E1747" s="103"/>
      <c r="F1747" s="103"/>
      <c r="G1747" s="103"/>
      <c r="H1747" s="131"/>
      <c r="I1747" s="468"/>
      <c r="J1747" s="16"/>
      <c r="K1747" s="16"/>
      <c r="L1747" s="8"/>
      <c r="M1747" s="69"/>
      <c r="N1747" s="69"/>
      <c r="O1747" s="69"/>
      <c r="P1747" s="534"/>
      <c r="Q1747" s="274"/>
      <c r="R1747" s="472"/>
      <c r="S1747" s="535"/>
      <c r="T1747" s="535"/>
      <c r="U1747" s="536"/>
      <c r="V1747" s="474"/>
      <c r="Y1747" s="89"/>
      <c r="Z1747" s="60"/>
      <c r="AA1747" s="60"/>
      <c r="AB1747" s="60"/>
      <c r="AC1747" s="30"/>
      <c r="AD1747" s="30"/>
      <c r="AE1747" s="475"/>
      <c r="AF1747" s="476"/>
      <c r="AG1747" s="474"/>
      <c r="AH1747" s="138"/>
    </row>
    <row r="1748">
      <c r="A1748" s="103"/>
      <c r="B1748" s="533"/>
      <c r="C1748" s="533"/>
      <c r="D1748" s="103"/>
      <c r="E1748" s="103"/>
      <c r="F1748" s="103"/>
      <c r="G1748" s="103"/>
      <c r="H1748" s="131"/>
      <c r="I1748" s="468"/>
      <c r="J1748" s="16"/>
      <c r="K1748" s="16"/>
      <c r="L1748" s="8"/>
      <c r="M1748" s="69"/>
      <c r="N1748" s="69"/>
      <c r="O1748" s="69"/>
      <c r="P1748" s="534"/>
      <c r="Q1748" s="274"/>
      <c r="R1748" s="472"/>
      <c r="S1748" s="535"/>
      <c r="T1748" s="535"/>
      <c r="U1748" s="536"/>
      <c r="V1748" s="474"/>
      <c r="Y1748" s="89"/>
      <c r="Z1748" s="60"/>
      <c r="AA1748" s="60"/>
      <c r="AB1748" s="60"/>
      <c r="AC1748" s="30"/>
      <c r="AD1748" s="30"/>
      <c r="AE1748" s="475"/>
      <c r="AF1748" s="476"/>
      <c r="AG1748" s="474"/>
      <c r="AH1748" s="138"/>
    </row>
    <row r="1749">
      <c r="A1749" s="103"/>
      <c r="B1749" s="533"/>
      <c r="C1749" s="533"/>
      <c r="D1749" s="103"/>
      <c r="E1749" s="103"/>
      <c r="F1749" s="103"/>
      <c r="G1749" s="103"/>
      <c r="H1749" s="131"/>
      <c r="I1749" s="468"/>
      <c r="J1749" s="16"/>
      <c r="K1749" s="16"/>
      <c r="L1749" s="8"/>
      <c r="M1749" s="69"/>
      <c r="N1749" s="69"/>
      <c r="O1749" s="69"/>
      <c r="P1749" s="534"/>
      <c r="Q1749" s="274"/>
      <c r="R1749" s="472"/>
      <c r="S1749" s="535"/>
      <c r="T1749" s="535"/>
      <c r="U1749" s="536"/>
      <c r="V1749" s="474"/>
      <c r="Y1749" s="89"/>
      <c r="Z1749" s="60"/>
      <c r="AA1749" s="60"/>
      <c r="AB1749" s="60"/>
      <c r="AC1749" s="30"/>
      <c r="AD1749" s="30"/>
      <c r="AE1749" s="475"/>
      <c r="AF1749" s="476"/>
      <c r="AG1749" s="474"/>
      <c r="AH1749" s="138"/>
    </row>
    <row r="1750">
      <c r="A1750" s="103"/>
      <c r="B1750" s="533"/>
      <c r="C1750" s="533"/>
      <c r="D1750" s="103"/>
      <c r="E1750" s="103"/>
      <c r="F1750" s="103"/>
      <c r="G1750" s="103"/>
      <c r="H1750" s="131"/>
      <c r="I1750" s="468"/>
      <c r="J1750" s="16"/>
      <c r="K1750" s="16"/>
      <c r="L1750" s="8"/>
      <c r="M1750" s="69"/>
      <c r="N1750" s="69"/>
      <c r="O1750" s="69"/>
      <c r="P1750" s="534"/>
      <c r="Q1750" s="274"/>
      <c r="R1750" s="472"/>
      <c r="S1750" s="535"/>
      <c r="T1750" s="535"/>
      <c r="U1750" s="536"/>
      <c r="V1750" s="474"/>
      <c r="Y1750" s="89"/>
      <c r="Z1750" s="60"/>
      <c r="AA1750" s="60"/>
      <c r="AB1750" s="60"/>
      <c r="AC1750" s="30"/>
      <c r="AD1750" s="30"/>
      <c r="AE1750" s="475"/>
      <c r="AF1750" s="476"/>
      <c r="AG1750" s="474"/>
      <c r="AH1750" s="138"/>
    </row>
    <row r="1751">
      <c r="A1751" s="103"/>
      <c r="B1751" s="533"/>
      <c r="C1751" s="533"/>
      <c r="D1751" s="103"/>
      <c r="E1751" s="103"/>
      <c r="F1751" s="103"/>
      <c r="G1751" s="103"/>
      <c r="H1751" s="131"/>
      <c r="I1751" s="468"/>
      <c r="J1751" s="16"/>
      <c r="K1751" s="16"/>
      <c r="L1751" s="8"/>
      <c r="M1751" s="69"/>
      <c r="N1751" s="69"/>
      <c r="O1751" s="69"/>
      <c r="P1751" s="534"/>
      <c r="Q1751" s="274"/>
      <c r="R1751" s="472"/>
      <c r="S1751" s="535"/>
      <c r="T1751" s="535"/>
      <c r="U1751" s="536"/>
      <c r="V1751" s="474"/>
      <c r="Y1751" s="89"/>
      <c r="Z1751" s="60"/>
      <c r="AA1751" s="60"/>
      <c r="AB1751" s="60"/>
      <c r="AC1751" s="30"/>
      <c r="AD1751" s="30"/>
      <c r="AE1751" s="475"/>
      <c r="AF1751" s="476"/>
      <c r="AG1751" s="474"/>
      <c r="AH1751" s="138"/>
    </row>
    <row r="1752">
      <c r="A1752" s="103"/>
      <c r="B1752" s="533"/>
      <c r="C1752" s="533"/>
      <c r="D1752" s="103"/>
      <c r="E1752" s="103"/>
      <c r="F1752" s="103"/>
      <c r="G1752" s="103"/>
      <c r="H1752" s="131"/>
      <c r="I1752" s="468"/>
      <c r="J1752" s="16"/>
      <c r="K1752" s="16"/>
      <c r="L1752" s="8"/>
      <c r="M1752" s="69"/>
      <c r="N1752" s="69"/>
      <c r="O1752" s="69"/>
      <c r="P1752" s="534"/>
      <c r="Q1752" s="274"/>
      <c r="R1752" s="472"/>
      <c r="S1752" s="535"/>
      <c r="T1752" s="535"/>
      <c r="U1752" s="536"/>
      <c r="V1752" s="474"/>
      <c r="Y1752" s="89"/>
      <c r="Z1752" s="60"/>
      <c r="AA1752" s="60"/>
      <c r="AB1752" s="60"/>
      <c r="AC1752" s="30"/>
      <c r="AD1752" s="30"/>
      <c r="AE1752" s="475"/>
      <c r="AF1752" s="476"/>
      <c r="AG1752" s="474"/>
      <c r="AH1752" s="138"/>
    </row>
    <row r="1753">
      <c r="A1753" s="103"/>
      <c r="B1753" s="533"/>
      <c r="C1753" s="533"/>
      <c r="D1753" s="103"/>
      <c r="E1753" s="103"/>
      <c r="F1753" s="103"/>
      <c r="G1753" s="103"/>
      <c r="H1753" s="131"/>
      <c r="I1753" s="468"/>
      <c r="J1753" s="16"/>
      <c r="K1753" s="16"/>
      <c r="L1753" s="8"/>
      <c r="M1753" s="69"/>
      <c r="N1753" s="69"/>
      <c r="O1753" s="69"/>
      <c r="P1753" s="534"/>
      <c r="Q1753" s="274"/>
      <c r="R1753" s="472"/>
      <c r="S1753" s="535"/>
      <c r="T1753" s="535"/>
      <c r="U1753" s="536"/>
      <c r="V1753" s="474"/>
      <c r="Y1753" s="89"/>
      <c r="Z1753" s="60"/>
      <c r="AA1753" s="60"/>
      <c r="AB1753" s="60"/>
      <c r="AC1753" s="30"/>
      <c r="AD1753" s="30"/>
      <c r="AE1753" s="475"/>
      <c r="AF1753" s="476"/>
      <c r="AG1753" s="474"/>
      <c r="AH1753" s="138"/>
    </row>
    <row r="1754">
      <c r="A1754" s="103"/>
      <c r="B1754" s="533"/>
      <c r="C1754" s="533"/>
      <c r="D1754" s="103"/>
      <c r="E1754" s="103"/>
      <c r="F1754" s="103"/>
      <c r="G1754" s="103"/>
      <c r="H1754" s="131"/>
      <c r="I1754" s="468"/>
      <c r="J1754" s="16"/>
      <c r="K1754" s="16"/>
      <c r="L1754" s="8"/>
      <c r="M1754" s="69"/>
      <c r="N1754" s="69"/>
      <c r="O1754" s="69"/>
      <c r="P1754" s="534"/>
      <c r="Q1754" s="274"/>
      <c r="R1754" s="472"/>
      <c r="S1754" s="535"/>
      <c r="T1754" s="535"/>
      <c r="U1754" s="536"/>
      <c r="V1754" s="474"/>
      <c r="Y1754" s="89"/>
      <c r="Z1754" s="60"/>
      <c r="AA1754" s="60"/>
      <c r="AB1754" s="60"/>
      <c r="AC1754" s="30"/>
      <c r="AD1754" s="30"/>
      <c r="AE1754" s="475"/>
      <c r="AF1754" s="476"/>
      <c r="AG1754" s="474"/>
      <c r="AH1754" s="138"/>
    </row>
    <row r="1755">
      <c r="A1755" s="103"/>
      <c r="B1755" s="533"/>
      <c r="C1755" s="533"/>
      <c r="D1755" s="103"/>
      <c r="E1755" s="103"/>
      <c r="F1755" s="103"/>
      <c r="G1755" s="103"/>
      <c r="H1755" s="131"/>
      <c r="I1755" s="468"/>
      <c r="J1755" s="16"/>
      <c r="K1755" s="16"/>
      <c r="L1755" s="8"/>
      <c r="M1755" s="69"/>
      <c r="N1755" s="69"/>
      <c r="O1755" s="69"/>
      <c r="P1755" s="534"/>
      <c r="Q1755" s="274"/>
      <c r="R1755" s="472"/>
      <c r="S1755" s="535"/>
      <c r="T1755" s="535"/>
      <c r="U1755" s="536"/>
      <c r="V1755" s="474"/>
      <c r="Y1755" s="89"/>
      <c r="Z1755" s="60"/>
      <c r="AA1755" s="60"/>
      <c r="AB1755" s="60"/>
      <c r="AC1755" s="30"/>
      <c r="AD1755" s="30"/>
      <c r="AE1755" s="475"/>
      <c r="AF1755" s="476"/>
      <c r="AG1755" s="474"/>
      <c r="AH1755" s="138"/>
    </row>
    <row r="1756">
      <c r="A1756" s="103"/>
      <c r="B1756" s="533"/>
      <c r="C1756" s="533"/>
      <c r="D1756" s="103"/>
      <c r="E1756" s="103"/>
      <c r="F1756" s="103"/>
      <c r="G1756" s="103"/>
      <c r="H1756" s="131"/>
      <c r="I1756" s="468"/>
      <c r="J1756" s="16"/>
      <c r="K1756" s="16"/>
      <c r="L1756" s="8"/>
      <c r="M1756" s="69"/>
      <c r="N1756" s="69"/>
      <c r="O1756" s="69"/>
      <c r="P1756" s="534"/>
      <c r="Q1756" s="274"/>
      <c r="R1756" s="472"/>
      <c r="S1756" s="535"/>
      <c r="T1756" s="535"/>
      <c r="U1756" s="536"/>
      <c r="V1756" s="474"/>
      <c r="Y1756" s="89"/>
      <c r="Z1756" s="60"/>
      <c r="AA1756" s="60"/>
      <c r="AB1756" s="60"/>
      <c r="AC1756" s="30"/>
      <c r="AD1756" s="30"/>
      <c r="AE1756" s="475"/>
      <c r="AF1756" s="476"/>
      <c r="AG1756" s="474"/>
      <c r="AH1756" s="138"/>
    </row>
    <row r="1757">
      <c r="A1757" s="103"/>
      <c r="B1757" s="533"/>
      <c r="C1757" s="533"/>
      <c r="D1757" s="103"/>
      <c r="E1757" s="103"/>
      <c r="F1757" s="103"/>
      <c r="G1757" s="103"/>
      <c r="H1757" s="131"/>
      <c r="I1757" s="468"/>
      <c r="J1757" s="16"/>
      <c r="K1757" s="16"/>
      <c r="L1757" s="8"/>
      <c r="M1757" s="69"/>
      <c r="N1757" s="69"/>
      <c r="O1757" s="69"/>
      <c r="P1757" s="534"/>
      <c r="Q1757" s="274"/>
      <c r="R1757" s="472"/>
      <c r="S1757" s="535"/>
      <c r="T1757" s="535"/>
      <c r="U1757" s="536"/>
      <c r="V1757" s="474"/>
      <c r="Y1757" s="89"/>
      <c r="Z1757" s="60"/>
      <c r="AA1757" s="60"/>
      <c r="AB1757" s="60"/>
      <c r="AC1757" s="30"/>
      <c r="AD1757" s="30"/>
      <c r="AE1757" s="475"/>
      <c r="AF1757" s="476"/>
      <c r="AG1757" s="474"/>
      <c r="AH1757" s="138"/>
    </row>
    <row r="1758">
      <c r="A1758" s="103"/>
      <c r="B1758" s="533"/>
      <c r="C1758" s="533"/>
      <c r="D1758" s="103"/>
      <c r="E1758" s="103"/>
      <c r="F1758" s="103"/>
      <c r="G1758" s="103"/>
      <c r="H1758" s="131"/>
      <c r="I1758" s="468"/>
      <c r="J1758" s="16"/>
      <c r="K1758" s="16"/>
      <c r="L1758" s="8"/>
      <c r="M1758" s="69"/>
      <c r="N1758" s="69"/>
      <c r="O1758" s="69"/>
      <c r="P1758" s="534"/>
      <c r="Q1758" s="274"/>
      <c r="R1758" s="472"/>
      <c r="S1758" s="535"/>
      <c r="T1758" s="535"/>
      <c r="U1758" s="536"/>
      <c r="V1758" s="474"/>
      <c r="Y1758" s="89"/>
      <c r="Z1758" s="60"/>
      <c r="AA1758" s="60"/>
      <c r="AB1758" s="60"/>
      <c r="AC1758" s="30"/>
      <c r="AD1758" s="30"/>
      <c r="AE1758" s="475"/>
      <c r="AF1758" s="476"/>
      <c r="AG1758" s="474"/>
      <c r="AH1758" s="138"/>
    </row>
    <row r="1759">
      <c r="A1759" s="103"/>
      <c r="B1759" s="533"/>
      <c r="C1759" s="533"/>
      <c r="D1759" s="103"/>
      <c r="E1759" s="103"/>
      <c r="F1759" s="103"/>
      <c r="G1759" s="103"/>
      <c r="H1759" s="131"/>
      <c r="I1759" s="468"/>
      <c r="J1759" s="16"/>
      <c r="K1759" s="16"/>
      <c r="L1759" s="8"/>
      <c r="M1759" s="69"/>
      <c r="N1759" s="69"/>
      <c r="O1759" s="69"/>
      <c r="P1759" s="534"/>
      <c r="Q1759" s="274"/>
      <c r="R1759" s="472"/>
      <c r="S1759" s="535"/>
      <c r="T1759" s="535"/>
      <c r="U1759" s="536"/>
      <c r="V1759" s="474"/>
      <c r="Y1759" s="89"/>
      <c r="Z1759" s="60"/>
      <c r="AA1759" s="60"/>
      <c r="AB1759" s="60"/>
      <c r="AC1759" s="30"/>
      <c r="AD1759" s="30"/>
      <c r="AE1759" s="475"/>
      <c r="AF1759" s="476"/>
      <c r="AG1759" s="474"/>
      <c r="AH1759" s="138"/>
    </row>
    <row r="1760">
      <c r="A1760" s="103"/>
      <c r="B1760" s="533"/>
      <c r="C1760" s="533"/>
      <c r="D1760" s="103"/>
      <c r="E1760" s="103"/>
      <c r="F1760" s="103"/>
      <c r="G1760" s="103"/>
      <c r="H1760" s="131"/>
      <c r="I1760" s="468"/>
      <c r="J1760" s="16"/>
      <c r="K1760" s="16"/>
      <c r="L1760" s="8"/>
      <c r="M1760" s="69"/>
      <c r="N1760" s="69"/>
      <c r="O1760" s="69"/>
      <c r="P1760" s="534"/>
      <c r="Q1760" s="274"/>
      <c r="R1760" s="472"/>
      <c r="S1760" s="535"/>
      <c r="T1760" s="535"/>
      <c r="U1760" s="536"/>
      <c r="V1760" s="474"/>
      <c r="Y1760" s="89"/>
      <c r="Z1760" s="60"/>
      <c r="AA1760" s="60"/>
      <c r="AB1760" s="60"/>
      <c r="AC1760" s="30"/>
      <c r="AD1760" s="30"/>
      <c r="AE1760" s="475"/>
      <c r="AF1760" s="476"/>
      <c r="AG1760" s="474"/>
      <c r="AH1760" s="138"/>
    </row>
    <row r="1761">
      <c r="A1761" s="103"/>
      <c r="B1761" s="533"/>
      <c r="C1761" s="533"/>
      <c r="D1761" s="103"/>
      <c r="E1761" s="103"/>
      <c r="F1761" s="103"/>
      <c r="G1761" s="103"/>
      <c r="H1761" s="131"/>
      <c r="I1761" s="468"/>
      <c r="J1761" s="16"/>
      <c r="K1761" s="16"/>
      <c r="L1761" s="8"/>
      <c r="M1761" s="69"/>
      <c r="N1761" s="69"/>
      <c r="O1761" s="69"/>
      <c r="P1761" s="534"/>
      <c r="Q1761" s="274"/>
      <c r="R1761" s="472"/>
      <c r="S1761" s="535"/>
      <c r="T1761" s="535"/>
      <c r="U1761" s="536"/>
      <c r="V1761" s="474"/>
      <c r="Y1761" s="89"/>
      <c r="Z1761" s="60"/>
      <c r="AA1761" s="60"/>
      <c r="AB1761" s="60"/>
      <c r="AC1761" s="30"/>
      <c r="AD1761" s="30"/>
      <c r="AE1761" s="475"/>
      <c r="AF1761" s="476"/>
      <c r="AG1761" s="474"/>
      <c r="AH1761" s="138"/>
    </row>
    <row r="1762">
      <c r="A1762" s="103"/>
      <c r="B1762" s="533"/>
      <c r="C1762" s="533"/>
      <c r="D1762" s="103"/>
      <c r="E1762" s="103"/>
      <c r="F1762" s="103"/>
      <c r="G1762" s="103"/>
      <c r="H1762" s="131"/>
      <c r="I1762" s="468"/>
      <c r="J1762" s="16"/>
      <c r="K1762" s="16"/>
      <c r="L1762" s="8"/>
      <c r="M1762" s="69"/>
      <c r="N1762" s="69"/>
      <c r="O1762" s="69"/>
      <c r="P1762" s="534"/>
      <c r="Q1762" s="274"/>
      <c r="R1762" s="472"/>
      <c r="S1762" s="535"/>
      <c r="T1762" s="535"/>
      <c r="U1762" s="536"/>
      <c r="V1762" s="474"/>
      <c r="Y1762" s="89"/>
      <c r="Z1762" s="60"/>
      <c r="AA1762" s="60"/>
      <c r="AB1762" s="60"/>
      <c r="AC1762" s="30"/>
      <c r="AD1762" s="30"/>
      <c r="AE1762" s="475"/>
      <c r="AF1762" s="476"/>
      <c r="AG1762" s="474"/>
      <c r="AH1762" s="138"/>
    </row>
    <row r="1763">
      <c r="A1763" s="103"/>
      <c r="B1763" s="533"/>
      <c r="C1763" s="533"/>
      <c r="D1763" s="103"/>
      <c r="E1763" s="103"/>
      <c r="F1763" s="103"/>
      <c r="G1763" s="103"/>
      <c r="H1763" s="131"/>
      <c r="I1763" s="468"/>
      <c r="J1763" s="16"/>
      <c r="K1763" s="16"/>
      <c r="L1763" s="8"/>
      <c r="M1763" s="69"/>
      <c r="N1763" s="69"/>
      <c r="O1763" s="69"/>
      <c r="P1763" s="534"/>
      <c r="Q1763" s="274"/>
      <c r="R1763" s="472"/>
      <c r="S1763" s="535"/>
      <c r="T1763" s="535"/>
      <c r="U1763" s="536"/>
      <c r="V1763" s="474"/>
      <c r="Y1763" s="89"/>
      <c r="Z1763" s="60"/>
      <c r="AA1763" s="60"/>
      <c r="AB1763" s="60"/>
      <c r="AC1763" s="30"/>
      <c r="AD1763" s="30"/>
      <c r="AE1763" s="475"/>
      <c r="AF1763" s="476"/>
      <c r="AG1763" s="474"/>
      <c r="AH1763" s="138"/>
    </row>
    <row r="1764">
      <c r="A1764" s="103"/>
      <c r="B1764" s="533"/>
      <c r="C1764" s="533"/>
      <c r="D1764" s="103"/>
      <c r="E1764" s="103"/>
      <c r="F1764" s="103"/>
      <c r="G1764" s="103"/>
      <c r="H1764" s="131"/>
      <c r="I1764" s="468"/>
      <c r="J1764" s="16"/>
      <c r="K1764" s="16"/>
      <c r="L1764" s="8"/>
      <c r="M1764" s="69"/>
      <c r="N1764" s="69"/>
      <c r="O1764" s="69"/>
      <c r="P1764" s="534"/>
      <c r="Q1764" s="274"/>
      <c r="R1764" s="472"/>
      <c r="S1764" s="535"/>
      <c r="T1764" s="535"/>
      <c r="U1764" s="536"/>
      <c r="V1764" s="474"/>
      <c r="Y1764" s="89"/>
      <c r="Z1764" s="60"/>
      <c r="AA1764" s="60"/>
      <c r="AB1764" s="60"/>
      <c r="AC1764" s="30"/>
      <c r="AD1764" s="30"/>
      <c r="AE1764" s="475"/>
      <c r="AF1764" s="476"/>
      <c r="AG1764" s="474"/>
      <c r="AH1764" s="138"/>
    </row>
    <row r="1765">
      <c r="A1765" s="103"/>
      <c r="B1765" s="533"/>
      <c r="C1765" s="533"/>
      <c r="D1765" s="103"/>
      <c r="E1765" s="103"/>
      <c r="F1765" s="103"/>
      <c r="G1765" s="103"/>
      <c r="H1765" s="131"/>
      <c r="I1765" s="468"/>
      <c r="J1765" s="16"/>
      <c r="K1765" s="16"/>
      <c r="L1765" s="8"/>
      <c r="M1765" s="69"/>
      <c r="N1765" s="69"/>
      <c r="O1765" s="69"/>
      <c r="P1765" s="534"/>
      <c r="Q1765" s="274"/>
      <c r="R1765" s="472"/>
      <c r="S1765" s="535"/>
      <c r="T1765" s="535"/>
      <c r="U1765" s="536"/>
      <c r="V1765" s="474"/>
      <c r="Y1765" s="89"/>
      <c r="Z1765" s="60"/>
      <c r="AA1765" s="60"/>
      <c r="AB1765" s="60"/>
      <c r="AC1765" s="30"/>
      <c r="AD1765" s="30"/>
      <c r="AE1765" s="475"/>
      <c r="AF1765" s="476"/>
      <c r="AG1765" s="474"/>
      <c r="AH1765" s="138"/>
    </row>
    <row r="1766">
      <c r="A1766" s="103"/>
      <c r="B1766" s="533"/>
      <c r="C1766" s="533"/>
      <c r="D1766" s="103"/>
      <c r="E1766" s="103"/>
      <c r="F1766" s="103"/>
      <c r="G1766" s="103"/>
      <c r="H1766" s="131"/>
      <c r="I1766" s="468"/>
      <c r="J1766" s="16"/>
      <c r="K1766" s="16"/>
      <c r="L1766" s="8"/>
      <c r="M1766" s="69"/>
      <c r="N1766" s="69"/>
      <c r="O1766" s="69"/>
      <c r="P1766" s="534"/>
      <c r="Q1766" s="274"/>
      <c r="R1766" s="472"/>
      <c r="S1766" s="535"/>
      <c r="T1766" s="535"/>
      <c r="U1766" s="536"/>
      <c r="V1766" s="474"/>
      <c r="Y1766" s="89"/>
      <c r="Z1766" s="60"/>
      <c r="AA1766" s="60"/>
      <c r="AB1766" s="60"/>
      <c r="AC1766" s="30"/>
      <c r="AD1766" s="30"/>
      <c r="AE1766" s="475"/>
      <c r="AF1766" s="476"/>
      <c r="AG1766" s="474"/>
      <c r="AH1766" s="138"/>
    </row>
    <row r="1767">
      <c r="A1767" s="103"/>
      <c r="B1767" s="533"/>
      <c r="C1767" s="533"/>
      <c r="D1767" s="103"/>
      <c r="E1767" s="103"/>
      <c r="F1767" s="103"/>
      <c r="G1767" s="103"/>
      <c r="H1767" s="131"/>
      <c r="I1767" s="468"/>
      <c r="J1767" s="16"/>
      <c r="K1767" s="16"/>
      <c r="L1767" s="8"/>
      <c r="M1767" s="69"/>
      <c r="N1767" s="69"/>
      <c r="O1767" s="69"/>
      <c r="P1767" s="534"/>
      <c r="Q1767" s="274"/>
      <c r="R1767" s="472"/>
      <c r="S1767" s="535"/>
      <c r="T1767" s="535"/>
      <c r="U1767" s="536"/>
      <c r="V1767" s="474"/>
      <c r="Y1767" s="89"/>
      <c r="Z1767" s="60"/>
      <c r="AA1767" s="60"/>
      <c r="AB1767" s="60"/>
      <c r="AC1767" s="30"/>
      <c r="AD1767" s="30"/>
      <c r="AE1767" s="475"/>
      <c r="AF1767" s="476"/>
      <c r="AG1767" s="474"/>
      <c r="AH1767" s="138"/>
    </row>
    <row r="1768">
      <c r="A1768" s="103"/>
      <c r="B1768" s="533"/>
      <c r="C1768" s="533"/>
      <c r="D1768" s="103"/>
      <c r="E1768" s="103"/>
      <c r="F1768" s="103"/>
      <c r="G1768" s="103"/>
      <c r="H1768" s="131"/>
      <c r="I1768" s="468"/>
      <c r="J1768" s="16"/>
      <c r="K1768" s="16"/>
      <c r="L1768" s="8"/>
      <c r="M1768" s="69"/>
      <c r="N1768" s="69"/>
      <c r="O1768" s="69"/>
      <c r="P1768" s="534"/>
      <c r="Q1768" s="274"/>
      <c r="R1768" s="472"/>
      <c r="S1768" s="535"/>
      <c r="T1768" s="535"/>
      <c r="U1768" s="536"/>
      <c r="V1768" s="474"/>
      <c r="Y1768" s="89"/>
      <c r="Z1768" s="60"/>
      <c r="AA1768" s="60"/>
      <c r="AB1768" s="60"/>
      <c r="AC1768" s="30"/>
      <c r="AD1768" s="30"/>
      <c r="AE1768" s="475"/>
      <c r="AF1768" s="476"/>
      <c r="AG1768" s="474"/>
      <c r="AH1768" s="138"/>
    </row>
    <row r="1769">
      <c r="A1769" s="103"/>
      <c r="B1769" s="533"/>
      <c r="C1769" s="533"/>
      <c r="D1769" s="103"/>
      <c r="E1769" s="103"/>
      <c r="F1769" s="103"/>
      <c r="G1769" s="103"/>
      <c r="H1769" s="131"/>
      <c r="I1769" s="468"/>
      <c r="J1769" s="16"/>
      <c r="K1769" s="16"/>
      <c r="L1769" s="8"/>
      <c r="M1769" s="69"/>
      <c r="N1769" s="69"/>
      <c r="O1769" s="69"/>
      <c r="P1769" s="534"/>
      <c r="Q1769" s="274"/>
      <c r="R1769" s="472"/>
      <c r="S1769" s="535"/>
      <c r="T1769" s="535"/>
      <c r="U1769" s="536"/>
      <c r="V1769" s="474"/>
      <c r="Y1769" s="89"/>
      <c r="Z1769" s="60"/>
      <c r="AA1769" s="60"/>
      <c r="AB1769" s="60"/>
      <c r="AC1769" s="30"/>
      <c r="AD1769" s="30"/>
      <c r="AE1769" s="475"/>
      <c r="AF1769" s="476"/>
      <c r="AG1769" s="474"/>
      <c r="AH1769" s="138"/>
    </row>
    <row r="1770">
      <c r="A1770" s="103"/>
      <c r="B1770" s="533"/>
      <c r="C1770" s="533"/>
      <c r="D1770" s="103"/>
      <c r="E1770" s="103"/>
      <c r="F1770" s="103"/>
      <c r="G1770" s="103"/>
      <c r="H1770" s="131"/>
      <c r="I1770" s="468"/>
      <c r="J1770" s="16"/>
      <c r="K1770" s="16"/>
      <c r="L1770" s="8"/>
      <c r="M1770" s="69"/>
      <c r="N1770" s="69"/>
      <c r="O1770" s="69"/>
      <c r="P1770" s="534"/>
      <c r="Q1770" s="274"/>
      <c r="R1770" s="472"/>
      <c r="S1770" s="535"/>
      <c r="T1770" s="535"/>
      <c r="U1770" s="536"/>
      <c r="V1770" s="474"/>
      <c r="Y1770" s="89"/>
      <c r="Z1770" s="60"/>
      <c r="AA1770" s="60"/>
      <c r="AB1770" s="60"/>
      <c r="AC1770" s="30"/>
      <c r="AD1770" s="30"/>
      <c r="AE1770" s="475"/>
      <c r="AF1770" s="476"/>
      <c r="AG1770" s="474"/>
      <c r="AH1770" s="138"/>
    </row>
    <row r="1771">
      <c r="A1771" s="103"/>
      <c r="B1771" s="533"/>
      <c r="C1771" s="533"/>
      <c r="D1771" s="103"/>
      <c r="E1771" s="103"/>
      <c r="F1771" s="103"/>
      <c r="G1771" s="103"/>
      <c r="H1771" s="131"/>
      <c r="I1771" s="468"/>
      <c r="J1771" s="16"/>
      <c r="K1771" s="16"/>
      <c r="L1771" s="8"/>
      <c r="M1771" s="69"/>
      <c r="N1771" s="69"/>
      <c r="O1771" s="69"/>
      <c r="P1771" s="534"/>
      <c r="Q1771" s="274"/>
      <c r="R1771" s="472"/>
      <c r="S1771" s="535"/>
      <c r="T1771" s="535"/>
      <c r="U1771" s="536"/>
      <c r="V1771" s="474"/>
      <c r="Y1771" s="89"/>
      <c r="Z1771" s="60"/>
      <c r="AA1771" s="60"/>
      <c r="AB1771" s="60"/>
      <c r="AC1771" s="30"/>
      <c r="AD1771" s="30"/>
      <c r="AE1771" s="475"/>
      <c r="AF1771" s="476"/>
      <c r="AG1771" s="474"/>
      <c r="AH1771" s="138"/>
    </row>
    <row r="1772">
      <c r="A1772" s="103"/>
      <c r="B1772" s="533"/>
      <c r="C1772" s="533"/>
      <c r="D1772" s="103"/>
      <c r="E1772" s="103"/>
      <c r="F1772" s="103"/>
      <c r="G1772" s="103"/>
      <c r="H1772" s="131"/>
      <c r="I1772" s="468"/>
      <c r="J1772" s="16"/>
      <c r="K1772" s="16"/>
      <c r="L1772" s="8"/>
      <c r="M1772" s="69"/>
      <c r="N1772" s="69"/>
      <c r="O1772" s="69"/>
      <c r="P1772" s="534"/>
      <c r="Q1772" s="274"/>
      <c r="R1772" s="472"/>
      <c r="S1772" s="535"/>
      <c r="T1772" s="535"/>
      <c r="U1772" s="536"/>
      <c r="V1772" s="474"/>
      <c r="Y1772" s="89"/>
      <c r="Z1772" s="60"/>
      <c r="AA1772" s="60"/>
      <c r="AB1772" s="60"/>
      <c r="AC1772" s="30"/>
      <c r="AD1772" s="30"/>
      <c r="AE1772" s="475"/>
      <c r="AF1772" s="476"/>
      <c r="AG1772" s="474"/>
      <c r="AH1772" s="138"/>
    </row>
    <row r="1773">
      <c r="A1773" s="103"/>
      <c r="B1773" s="533"/>
      <c r="C1773" s="533"/>
      <c r="D1773" s="103"/>
      <c r="E1773" s="103"/>
      <c r="F1773" s="103"/>
      <c r="G1773" s="103"/>
      <c r="H1773" s="131"/>
      <c r="I1773" s="468"/>
      <c r="J1773" s="16"/>
      <c r="K1773" s="16"/>
      <c r="L1773" s="8"/>
      <c r="M1773" s="69"/>
      <c r="N1773" s="69"/>
      <c r="O1773" s="69"/>
      <c r="P1773" s="534"/>
      <c r="Q1773" s="274"/>
      <c r="R1773" s="472"/>
      <c r="S1773" s="535"/>
      <c r="T1773" s="535"/>
      <c r="U1773" s="536"/>
      <c r="V1773" s="474"/>
      <c r="Y1773" s="89"/>
      <c r="Z1773" s="60"/>
      <c r="AA1773" s="60"/>
      <c r="AB1773" s="60"/>
      <c r="AC1773" s="30"/>
      <c r="AD1773" s="30"/>
      <c r="AE1773" s="475"/>
      <c r="AF1773" s="476"/>
      <c r="AG1773" s="474"/>
      <c r="AH1773" s="138"/>
    </row>
    <row r="1774">
      <c r="A1774" s="103"/>
      <c r="B1774" s="533"/>
      <c r="C1774" s="533"/>
      <c r="D1774" s="103"/>
      <c r="E1774" s="103"/>
      <c r="F1774" s="103"/>
      <c r="G1774" s="103"/>
      <c r="H1774" s="131"/>
      <c r="I1774" s="468"/>
      <c r="J1774" s="16"/>
      <c r="K1774" s="16"/>
      <c r="L1774" s="8"/>
      <c r="M1774" s="69"/>
      <c r="N1774" s="69"/>
      <c r="O1774" s="69"/>
      <c r="P1774" s="534"/>
      <c r="Q1774" s="274"/>
      <c r="R1774" s="472"/>
      <c r="S1774" s="535"/>
      <c r="T1774" s="535"/>
      <c r="U1774" s="536"/>
      <c r="V1774" s="474"/>
      <c r="Y1774" s="89"/>
      <c r="Z1774" s="60"/>
      <c r="AA1774" s="60"/>
      <c r="AB1774" s="60"/>
      <c r="AC1774" s="30"/>
      <c r="AD1774" s="30"/>
      <c r="AE1774" s="475"/>
      <c r="AF1774" s="476"/>
      <c r="AG1774" s="474"/>
      <c r="AH1774" s="138"/>
    </row>
    <row r="1775">
      <c r="A1775" s="103"/>
      <c r="B1775" s="533"/>
      <c r="C1775" s="533"/>
      <c r="D1775" s="103"/>
      <c r="E1775" s="103"/>
      <c r="F1775" s="103"/>
      <c r="G1775" s="103"/>
      <c r="H1775" s="131"/>
      <c r="I1775" s="468"/>
      <c r="J1775" s="16"/>
      <c r="K1775" s="16"/>
      <c r="L1775" s="8"/>
      <c r="M1775" s="69"/>
      <c r="N1775" s="69"/>
      <c r="O1775" s="69"/>
      <c r="P1775" s="534"/>
      <c r="Q1775" s="274"/>
      <c r="R1775" s="472"/>
      <c r="S1775" s="535"/>
      <c r="T1775" s="535"/>
      <c r="U1775" s="536"/>
      <c r="V1775" s="474"/>
      <c r="Y1775" s="89"/>
      <c r="Z1775" s="60"/>
      <c r="AA1775" s="60"/>
      <c r="AB1775" s="60"/>
      <c r="AC1775" s="30"/>
      <c r="AD1775" s="30"/>
      <c r="AE1775" s="475"/>
      <c r="AF1775" s="476"/>
      <c r="AG1775" s="474"/>
      <c r="AH1775" s="138"/>
    </row>
    <row r="1776">
      <c r="A1776" s="103"/>
      <c r="B1776" s="533"/>
      <c r="C1776" s="533"/>
      <c r="D1776" s="103"/>
      <c r="E1776" s="103"/>
      <c r="F1776" s="103"/>
      <c r="G1776" s="103"/>
      <c r="H1776" s="131"/>
      <c r="I1776" s="468"/>
      <c r="J1776" s="16"/>
      <c r="K1776" s="16"/>
      <c r="L1776" s="8"/>
      <c r="M1776" s="69"/>
      <c r="N1776" s="69"/>
      <c r="O1776" s="69"/>
      <c r="P1776" s="534"/>
      <c r="Q1776" s="274"/>
      <c r="R1776" s="472"/>
      <c r="S1776" s="535"/>
      <c r="T1776" s="535"/>
      <c r="U1776" s="536"/>
      <c r="V1776" s="474"/>
      <c r="Y1776" s="89"/>
      <c r="Z1776" s="60"/>
      <c r="AA1776" s="60"/>
      <c r="AB1776" s="60"/>
      <c r="AC1776" s="30"/>
      <c r="AD1776" s="30"/>
      <c r="AE1776" s="475"/>
      <c r="AF1776" s="476"/>
      <c r="AG1776" s="474"/>
      <c r="AH1776" s="138"/>
    </row>
    <row r="1777">
      <c r="A1777" s="103"/>
      <c r="B1777" s="533"/>
      <c r="C1777" s="533"/>
      <c r="D1777" s="103"/>
      <c r="E1777" s="103"/>
      <c r="F1777" s="103"/>
      <c r="G1777" s="103"/>
      <c r="H1777" s="131"/>
      <c r="I1777" s="468"/>
      <c r="J1777" s="16"/>
      <c r="K1777" s="16"/>
      <c r="L1777" s="8"/>
      <c r="M1777" s="69"/>
      <c r="N1777" s="69"/>
      <c r="O1777" s="69"/>
      <c r="P1777" s="534"/>
      <c r="Q1777" s="274"/>
      <c r="R1777" s="472"/>
      <c r="S1777" s="535"/>
      <c r="T1777" s="535"/>
      <c r="U1777" s="536"/>
      <c r="V1777" s="474"/>
      <c r="Y1777" s="89"/>
      <c r="Z1777" s="60"/>
      <c r="AA1777" s="60"/>
      <c r="AB1777" s="60"/>
      <c r="AC1777" s="30"/>
      <c r="AD1777" s="30"/>
      <c r="AE1777" s="475"/>
      <c r="AF1777" s="476"/>
      <c r="AG1777" s="474"/>
      <c r="AH1777" s="138"/>
    </row>
    <row r="1778">
      <c r="A1778" s="103"/>
      <c r="B1778" s="533"/>
      <c r="C1778" s="533"/>
      <c r="D1778" s="103"/>
      <c r="E1778" s="103"/>
      <c r="F1778" s="103"/>
      <c r="G1778" s="103"/>
      <c r="H1778" s="131"/>
      <c r="I1778" s="468"/>
      <c r="J1778" s="16"/>
      <c r="K1778" s="16"/>
      <c r="L1778" s="8"/>
      <c r="M1778" s="69"/>
      <c r="N1778" s="69"/>
      <c r="O1778" s="69"/>
      <c r="P1778" s="534"/>
      <c r="Q1778" s="274"/>
      <c r="R1778" s="472"/>
      <c r="S1778" s="535"/>
      <c r="T1778" s="535"/>
      <c r="U1778" s="536"/>
      <c r="V1778" s="474"/>
      <c r="Y1778" s="89"/>
      <c r="Z1778" s="60"/>
      <c r="AA1778" s="60"/>
      <c r="AB1778" s="60"/>
      <c r="AC1778" s="30"/>
      <c r="AD1778" s="30"/>
      <c r="AE1778" s="475"/>
      <c r="AF1778" s="476"/>
      <c r="AG1778" s="474"/>
      <c r="AH1778" s="138"/>
    </row>
    <row r="1779">
      <c r="A1779" s="103"/>
      <c r="B1779" s="533"/>
      <c r="C1779" s="533"/>
      <c r="D1779" s="103"/>
      <c r="E1779" s="103"/>
      <c r="F1779" s="103"/>
      <c r="G1779" s="103"/>
      <c r="H1779" s="131"/>
      <c r="I1779" s="468"/>
      <c r="J1779" s="16"/>
      <c r="K1779" s="16"/>
      <c r="L1779" s="8"/>
      <c r="M1779" s="69"/>
      <c r="N1779" s="69"/>
      <c r="O1779" s="69"/>
      <c r="P1779" s="534"/>
      <c r="Q1779" s="274"/>
      <c r="R1779" s="472"/>
      <c r="S1779" s="535"/>
      <c r="T1779" s="535"/>
      <c r="U1779" s="536"/>
      <c r="V1779" s="474"/>
      <c r="Y1779" s="89"/>
      <c r="Z1779" s="60"/>
      <c r="AA1779" s="60"/>
      <c r="AB1779" s="60"/>
      <c r="AC1779" s="30"/>
      <c r="AD1779" s="30"/>
      <c r="AE1779" s="475"/>
      <c r="AF1779" s="476"/>
      <c r="AG1779" s="474"/>
      <c r="AH1779" s="138"/>
    </row>
    <row r="1780">
      <c r="A1780" s="103"/>
      <c r="B1780" s="533"/>
      <c r="C1780" s="533"/>
      <c r="D1780" s="103"/>
      <c r="E1780" s="103"/>
      <c r="F1780" s="103"/>
      <c r="G1780" s="103"/>
      <c r="H1780" s="131"/>
      <c r="I1780" s="468"/>
      <c r="J1780" s="16"/>
      <c r="K1780" s="16"/>
      <c r="L1780" s="8"/>
      <c r="M1780" s="69"/>
      <c r="N1780" s="69"/>
      <c r="O1780" s="69"/>
      <c r="P1780" s="534"/>
      <c r="Q1780" s="274"/>
      <c r="R1780" s="472"/>
      <c r="S1780" s="535"/>
      <c r="T1780" s="535"/>
      <c r="U1780" s="536"/>
      <c r="V1780" s="474"/>
      <c r="Y1780" s="89"/>
      <c r="Z1780" s="60"/>
      <c r="AA1780" s="60"/>
      <c r="AB1780" s="60"/>
      <c r="AC1780" s="30"/>
      <c r="AD1780" s="30"/>
      <c r="AE1780" s="475"/>
      <c r="AF1780" s="476"/>
      <c r="AG1780" s="474"/>
      <c r="AH1780" s="138"/>
    </row>
    <row r="1781">
      <c r="A1781" s="103"/>
      <c r="B1781" s="533"/>
      <c r="C1781" s="533"/>
      <c r="D1781" s="103"/>
      <c r="E1781" s="103"/>
      <c r="F1781" s="103"/>
      <c r="G1781" s="103"/>
      <c r="H1781" s="131"/>
      <c r="I1781" s="468"/>
      <c r="J1781" s="16"/>
      <c r="K1781" s="16"/>
      <c r="L1781" s="8"/>
      <c r="M1781" s="69"/>
      <c r="N1781" s="69"/>
      <c r="O1781" s="69"/>
      <c r="P1781" s="534"/>
      <c r="Q1781" s="274"/>
      <c r="R1781" s="472"/>
      <c r="S1781" s="535"/>
      <c r="T1781" s="535"/>
      <c r="U1781" s="536"/>
      <c r="V1781" s="474"/>
      <c r="Y1781" s="89"/>
      <c r="Z1781" s="60"/>
      <c r="AA1781" s="60"/>
      <c r="AB1781" s="60"/>
      <c r="AC1781" s="30"/>
      <c r="AD1781" s="30"/>
      <c r="AE1781" s="475"/>
      <c r="AF1781" s="476"/>
      <c r="AG1781" s="474"/>
      <c r="AH1781" s="138"/>
    </row>
    <row r="1782">
      <c r="A1782" s="103"/>
      <c r="B1782" s="533"/>
      <c r="C1782" s="533"/>
      <c r="D1782" s="103"/>
      <c r="E1782" s="103"/>
      <c r="F1782" s="103"/>
      <c r="G1782" s="103"/>
      <c r="H1782" s="131"/>
      <c r="I1782" s="468"/>
      <c r="J1782" s="16"/>
      <c r="K1782" s="16"/>
      <c r="L1782" s="8"/>
      <c r="M1782" s="69"/>
      <c r="N1782" s="69"/>
      <c r="O1782" s="69"/>
      <c r="P1782" s="534"/>
      <c r="Q1782" s="274"/>
      <c r="R1782" s="472"/>
      <c r="S1782" s="535"/>
      <c r="T1782" s="535"/>
      <c r="U1782" s="536"/>
      <c r="V1782" s="474"/>
      <c r="Y1782" s="89"/>
      <c r="Z1782" s="60"/>
      <c r="AA1782" s="60"/>
      <c r="AB1782" s="60"/>
      <c r="AC1782" s="30"/>
      <c r="AD1782" s="30"/>
      <c r="AE1782" s="475"/>
      <c r="AF1782" s="476"/>
      <c r="AG1782" s="474"/>
      <c r="AH1782" s="138"/>
    </row>
    <row r="1783">
      <c r="A1783" s="103"/>
      <c r="B1783" s="533"/>
      <c r="C1783" s="533"/>
      <c r="D1783" s="103"/>
      <c r="E1783" s="103"/>
      <c r="F1783" s="103"/>
      <c r="G1783" s="103"/>
      <c r="H1783" s="131"/>
      <c r="I1783" s="468"/>
      <c r="J1783" s="16"/>
      <c r="K1783" s="16"/>
      <c r="L1783" s="8"/>
      <c r="M1783" s="69"/>
      <c r="N1783" s="69"/>
      <c r="O1783" s="69"/>
      <c r="P1783" s="534"/>
      <c r="Q1783" s="274"/>
      <c r="R1783" s="472"/>
      <c r="S1783" s="535"/>
      <c r="T1783" s="535"/>
      <c r="U1783" s="536"/>
      <c r="V1783" s="474"/>
      <c r="Y1783" s="89"/>
      <c r="Z1783" s="60"/>
      <c r="AA1783" s="60"/>
      <c r="AB1783" s="60"/>
      <c r="AC1783" s="30"/>
      <c r="AD1783" s="30"/>
      <c r="AE1783" s="475"/>
      <c r="AF1783" s="476"/>
      <c r="AG1783" s="474"/>
      <c r="AH1783" s="138"/>
    </row>
    <row r="1784">
      <c r="A1784" s="103"/>
      <c r="B1784" s="533"/>
      <c r="C1784" s="533"/>
      <c r="D1784" s="103"/>
      <c r="E1784" s="103"/>
      <c r="F1784" s="103"/>
      <c r="G1784" s="103"/>
      <c r="H1784" s="131"/>
      <c r="I1784" s="468"/>
      <c r="J1784" s="16"/>
      <c r="K1784" s="16"/>
      <c r="L1784" s="8"/>
      <c r="M1784" s="69"/>
      <c r="N1784" s="69"/>
      <c r="O1784" s="69"/>
      <c r="P1784" s="534"/>
      <c r="Q1784" s="274"/>
      <c r="R1784" s="472"/>
      <c r="S1784" s="535"/>
      <c r="T1784" s="535"/>
      <c r="U1784" s="536"/>
      <c r="V1784" s="474"/>
      <c r="Y1784" s="89"/>
      <c r="Z1784" s="60"/>
      <c r="AA1784" s="60"/>
      <c r="AB1784" s="60"/>
      <c r="AC1784" s="30"/>
      <c r="AD1784" s="30"/>
      <c r="AE1784" s="475"/>
      <c r="AF1784" s="476"/>
      <c r="AG1784" s="474"/>
      <c r="AH1784" s="138"/>
    </row>
    <row r="1785">
      <c r="A1785" s="103"/>
      <c r="B1785" s="533"/>
      <c r="C1785" s="533"/>
      <c r="D1785" s="103"/>
      <c r="E1785" s="103"/>
      <c r="F1785" s="103"/>
      <c r="G1785" s="103"/>
      <c r="H1785" s="131"/>
      <c r="I1785" s="468"/>
      <c r="J1785" s="16"/>
      <c r="K1785" s="16"/>
      <c r="L1785" s="8"/>
      <c r="M1785" s="69"/>
      <c r="N1785" s="69"/>
      <c r="O1785" s="69"/>
      <c r="P1785" s="534"/>
      <c r="Q1785" s="274"/>
      <c r="R1785" s="472"/>
      <c r="S1785" s="535"/>
      <c r="T1785" s="535"/>
      <c r="U1785" s="536"/>
      <c r="V1785" s="474"/>
      <c r="Y1785" s="89"/>
      <c r="Z1785" s="60"/>
      <c r="AA1785" s="60"/>
      <c r="AB1785" s="60"/>
      <c r="AC1785" s="30"/>
      <c r="AD1785" s="30"/>
      <c r="AE1785" s="475"/>
      <c r="AF1785" s="476"/>
      <c r="AG1785" s="474"/>
      <c r="AH1785" s="138"/>
    </row>
    <row r="1786">
      <c r="A1786" s="103"/>
      <c r="B1786" s="533"/>
      <c r="C1786" s="533"/>
      <c r="D1786" s="103"/>
      <c r="E1786" s="103"/>
      <c r="F1786" s="103"/>
      <c r="G1786" s="103"/>
      <c r="H1786" s="131"/>
      <c r="I1786" s="468"/>
      <c r="J1786" s="16"/>
      <c r="K1786" s="16"/>
      <c r="L1786" s="8"/>
      <c r="M1786" s="69"/>
      <c r="N1786" s="69"/>
      <c r="O1786" s="69"/>
      <c r="P1786" s="534"/>
      <c r="Q1786" s="274"/>
      <c r="R1786" s="472"/>
      <c r="S1786" s="535"/>
      <c r="T1786" s="535"/>
      <c r="U1786" s="536"/>
      <c r="V1786" s="474"/>
      <c r="Y1786" s="89"/>
      <c r="Z1786" s="60"/>
      <c r="AA1786" s="60"/>
      <c r="AB1786" s="60"/>
      <c r="AC1786" s="30"/>
      <c r="AD1786" s="30"/>
      <c r="AE1786" s="475"/>
      <c r="AF1786" s="476"/>
      <c r="AG1786" s="474"/>
      <c r="AH1786" s="138"/>
    </row>
    <row r="1787">
      <c r="A1787" s="103"/>
      <c r="B1787" s="533"/>
      <c r="C1787" s="533"/>
      <c r="D1787" s="103"/>
      <c r="E1787" s="103"/>
      <c r="F1787" s="103"/>
      <c r="G1787" s="103"/>
      <c r="H1787" s="131"/>
      <c r="I1787" s="468"/>
      <c r="J1787" s="16"/>
      <c r="K1787" s="16"/>
      <c r="L1787" s="8"/>
      <c r="M1787" s="69"/>
      <c r="N1787" s="69"/>
      <c r="O1787" s="69"/>
      <c r="P1787" s="534"/>
      <c r="Q1787" s="274"/>
      <c r="R1787" s="472"/>
      <c r="S1787" s="535"/>
      <c r="T1787" s="535"/>
      <c r="U1787" s="536"/>
      <c r="V1787" s="474"/>
      <c r="Y1787" s="89"/>
      <c r="Z1787" s="60"/>
      <c r="AA1787" s="60"/>
      <c r="AB1787" s="60"/>
      <c r="AC1787" s="30"/>
      <c r="AD1787" s="30"/>
      <c r="AE1787" s="475"/>
      <c r="AF1787" s="476"/>
      <c r="AG1787" s="474"/>
      <c r="AH1787" s="138"/>
    </row>
    <row r="1788">
      <c r="A1788" s="103"/>
      <c r="B1788" s="533"/>
      <c r="C1788" s="533"/>
      <c r="D1788" s="103"/>
      <c r="E1788" s="103"/>
      <c r="F1788" s="103"/>
      <c r="G1788" s="103"/>
      <c r="H1788" s="131"/>
      <c r="I1788" s="468"/>
      <c r="J1788" s="16"/>
      <c r="K1788" s="16"/>
      <c r="L1788" s="8"/>
      <c r="M1788" s="69"/>
      <c r="N1788" s="69"/>
      <c r="O1788" s="69"/>
      <c r="P1788" s="534"/>
      <c r="Q1788" s="274"/>
      <c r="R1788" s="472"/>
      <c r="S1788" s="535"/>
      <c r="T1788" s="535"/>
      <c r="U1788" s="536"/>
      <c r="V1788" s="474"/>
      <c r="Y1788" s="89"/>
      <c r="Z1788" s="60"/>
      <c r="AA1788" s="60"/>
      <c r="AB1788" s="60"/>
      <c r="AC1788" s="30"/>
      <c r="AD1788" s="30"/>
      <c r="AE1788" s="475"/>
      <c r="AF1788" s="476"/>
      <c r="AG1788" s="474"/>
      <c r="AH1788" s="138"/>
    </row>
    <row r="1789">
      <c r="A1789" s="103"/>
      <c r="B1789" s="533"/>
      <c r="C1789" s="533"/>
      <c r="D1789" s="103"/>
      <c r="E1789" s="103"/>
      <c r="F1789" s="103"/>
      <c r="G1789" s="103"/>
      <c r="H1789" s="131"/>
      <c r="I1789" s="468"/>
      <c r="J1789" s="16"/>
      <c r="K1789" s="16"/>
      <c r="L1789" s="8"/>
      <c r="M1789" s="69"/>
      <c r="N1789" s="69"/>
      <c r="O1789" s="69"/>
      <c r="P1789" s="534"/>
      <c r="Q1789" s="274"/>
      <c r="R1789" s="472"/>
      <c r="S1789" s="535"/>
      <c r="T1789" s="535"/>
      <c r="U1789" s="536"/>
      <c r="V1789" s="474"/>
      <c r="Y1789" s="89"/>
      <c r="Z1789" s="60"/>
      <c r="AA1789" s="60"/>
      <c r="AB1789" s="60"/>
      <c r="AC1789" s="30"/>
      <c r="AD1789" s="30"/>
      <c r="AE1789" s="475"/>
      <c r="AF1789" s="476"/>
      <c r="AG1789" s="474"/>
      <c r="AH1789" s="138"/>
    </row>
    <row r="1790">
      <c r="A1790" s="103"/>
      <c r="B1790" s="533"/>
      <c r="C1790" s="533"/>
      <c r="D1790" s="103"/>
      <c r="E1790" s="103"/>
      <c r="F1790" s="103"/>
      <c r="G1790" s="103"/>
      <c r="H1790" s="131"/>
      <c r="I1790" s="468"/>
      <c r="J1790" s="16"/>
      <c r="K1790" s="16"/>
      <c r="L1790" s="8"/>
      <c r="M1790" s="69"/>
      <c r="N1790" s="69"/>
      <c r="O1790" s="69"/>
      <c r="P1790" s="534"/>
      <c r="Q1790" s="274"/>
      <c r="R1790" s="472"/>
      <c r="S1790" s="535"/>
      <c r="T1790" s="535"/>
      <c r="U1790" s="536"/>
      <c r="V1790" s="474"/>
      <c r="Y1790" s="89"/>
      <c r="Z1790" s="60"/>
      <c r="AA1790" s="60"/>
      <c r="AB1790" s="60"/>
      <c r="AC1790" s="30"/>
      <c r="AD1790" s="30"/>
      <c r="AE1790" s="475"/>
      <c r="AF1790" s="476"/>
      <c r="AG1790" s="474"/>
      <c r="AH1790" s="138"/>
    </row>
    <row r="1791">
      <c r="A1791" s="103"/>
      <c r="B1791" s="533"/>
      <c r="C1791" s="533"/>
      <c r="D1791" s="103"/>
      <c r="E1791" s="103"/>
      <c r="F1791" s="103"/>
      <c r="G1791" s="103"/>
      <c r="H1791" s="131"/>
      <c r="I1791" s="468"/>
      <c r="J1791" s="16"/>
      <c r="K1791" s="16"/>
      <c r="L1791" s="8"/>
      <c r="M1791" s="69"/>
      <c r="N1791" s="69"/>
      <c r="O1791" s="69"/>
      <c r="P1791" s="534"/>
      <c r="Q1791" s="274"/>
      <c r="R1791" s="472"/>
      <c r="S1791" s="535"/>
      <c r="T1791" s="535"/>
      <c r="U1791" s="536"/>
      <c r="V1791" s="474"/>
      <c r="Y1791" s="89"/>
      <c r="Z1791" s="60"/>
      <c r="AA1791" s="60"/>
      <c r="AB1791" s="60"/>
      <c r="AC1791" s="30"/>
      <c r="AD1791" s="30"/>
      <c r="AE1791" s="475"/>
      <c r="AF1791" s="476"/>
      <c r="AG1791" s="474"/>
      <c r="AH1791" s="138"/>
    </row>
    <row r="1792">
      <c r="A1792" s="103"/>
      <c r="B1792" s="533"/>
      <c r="C1792" s="533"/>
      <c r="D1792" s="103"/>
      <c r="E1792" s="103"/>
      <c r="F1792" s="103"/>
      <c r="G1792" s="103"/>
      <c r="H1792" s="131"/>
      <c r="I1792" s="468"/>
      <c r="J1792" s="16"/>
      <c r="K1792" s="16"/>
      <c r="L1792" s="8"/>
      <c r="M1792" s="69"/>
      <c r="N1792" s="69"/>
      <c r="O1792" s="69"/>
      <c r="P1792" s="534"/>
      <c r="Q1792" s="274"/>
      <c r="R1792" s="472"/>
      <c r="S1792" s="535"/>
      <c r="T1792" s="535"/>
      <c r="U1792" s="536"/>
      <c r="V1792" s="474"/>
      <c r="Y1792" s="89"/>
      <c r="Z1792" s="60"/>
      <c r="AA1792" s="60"/>
      <c r="AB1792" s="60"/>
      <c r="AC1792" s="30"/>
      <c r="AD1792" s="30"/>
      <c r="AE1792" s="475"/>
      <c r="AF1792" s="476"/>
      <c r="AG1792" s="474"/>
      <c r="AH1792" s="138"/>
    </row>
    <row r="1793">
      <c r="A1793" s="103"/>
      <c r="B1793" s="533"/>
      <c r="C1793" s="533"/>
      <c r="D1793" s="103"/>
      <c r="E1793" s="103"/>
      <c r="F1793" s="103"/>
      <c r="G1793" s="103"/>
      <c r="H1793" s="131"/>
      <c r="I1793" s="468"/>
      <c r="J1793" s="16"/>
      <c r="K1793" s="16"/>
      <c r="L1793" s="8"/>
      <c r="M1793" s="69"/>
      <c r="N1793" s="69"/>
      <c r="O1793" s="69"/>
      <c r="P1793" s="534"/>
      <c r="Q1793" s="274"/>
      <c r="R1793" s="472"/>
      <c r="S1793" s="535"/>
      <c r="T1793" s="535"/>
      <c r="U1793" s="536"/>
      <c r="V1793" s="474"/>
      <c r="Y1793" s="89"/>
      <c r="Z1793" s="60"/>
      <c r="AA1793" s="60"/>
      <c r="AB1793" s="60"/>
      <c r="AC1793" s="30"/>
      <c r="AD1793" s="30"/>
      <c r="AE1793" s="475"/>
      <c r="AF1793" s="476"/>
      <c r="AG1793" s="474"/>
      <c r="AH1793" s="138"/>
    </row>
    <row r="1794">
      <c r="A1794" s="103"/>
      <c r="B1794" s="533"/>
      <c r="C1794" s="533"/>
      <c r="D1794" s="103"/>
      <c r="E1794" s="103"/>
      <c r="F1794" s="103"/>
      <c r="G1794" s="103"/>
      <c r="H1794" s="131"/>
      <c r="I1794" s="468"/>
      <c r="J1794" s="16"/>
      <c r="K1794" s="16"/>
      <c r="L1794" s="8"/>
      <c r="M1794" s="69"/>
      <c r="N1794" s="69"/>
      <c r="O1794" s="69"/>
      <c r="P1794" s="534"/>
      <c r="Q1794" s="274"/>
      <c r="R1794" s="472"/>
      <c r="S1794" s="535"/>
      <c r="T1794" s="535"/>
      <c r="U1794" s="536"/>
      <c r="V1794" s="474"/>
      <c r="Y1794" s="89"/>
      <c r="Z1794" s="60"/>
      <c r="AA1794" s="60"/>
      <c r="AB1794" s="60"/>
      <c r="AC1794" s="30"/>
      <c r="AD1794" s="30"/>
      <c r="AE1794" s="475"/>
      <c r="AF1794" s="476"/>
      <c r="AG1794" s="474"/>
      <c r="AH1794" s="138"/>
    </row>
    <row r="1795">
      <c r="A1795" s="103"/>
      <c r="B1795" s="533"/>
      <c r="C1795" s="533"/>
      <c r="D1795" s="103"/>
      <c r="E1795" s="103"/>
      <c r="F1795" s="103"/>
      <c r="G1795" s="103"/>
      <c r="H1795" s="131"/>
      <c r="I1795" s="468"/>
      <c r="J1795" s="16"/>
      <c r="K1795" s="16"/>
      <c r="L1795" s="8"/>
      <c r="M1795" s="69"/>
      <c r="N1795" s="69"/>
      <c r="O1795" s="69"/>
      <c r="P1795" s="534"/>
      <c r="Q1795" s="274"/>
      <c r="R1795" s="472"/>
      <c r="S1795" s="535"/>
      <c r="T1795" s="535"/>
      <c r="U1795" s="536"/>
      <c r="V1795" s="474"/>
      <c r="Y1795" s="89"/>
      <c r="Z1795" s="60"/>
      <c r="AA1795" s="60"/>
      <c r="AB1795" s="60"/>
      <c r="AC1795" s="30"/>
      <c r="AD1795" s="30"/>
      <c r="AE1795" s="475"/>
      <c r="AF1795" s="476"/>
      <c r="AG1795" s="474"/>
      <c r="AH1795" s="138"/>
    </row>
    <row r="1796">
      <c r="A1796" s="103"/>
      <c r="B1796" s="533"/>
      <c r="C1796" s="533"/>
      <c r="D1796" s="103"/>
      <c r="E1796" s="103"/>
      <c r="F1796" s="103"/>
      <c r="G1796" s="103"/>
      <c r="H1796" s="131"/>
      <c r="I1796" s="468"/>
      <c r="J1796" s="16"/>
      <c r="K1796" s="16"/>
      <c r="L1796" s="8"/>
      <c r="M1796" s="69"/>
      <c r="N1796" s="69"/>
      <c r="O1796" s="69"/>
      <c r="P1796" s="534"/>
      <c r="Q1796" s="274"/>
      <c r="R1796" s="472"/>
      <c r="S1796" s="535"/>
      <c r="T1796" s="535"/>
      <c r="U1796" s="536"/>
      <c r="V1796" s="474"/>
      <c r="Y1796" s="89"/>
      <c r="Z1796" s="60"/>
      <c r="AA1796" s="60"/>
      <c r="AB1796" s="60"/>
      <c r="AC1796" s="30"/>
      <c r="AD1796" s="30"/>
      <c r="AE1796" s="475"/>
      <c r="AF1796" s="476"/>
      <c r="AG1796" s="474"/>
      <c r="AH1796" s="138"/>
    </row>
    <row r="1797">
      <c r="A1797" s="103"/>
      <c r="B1797" s="533"/>
      <c r="C1797" s="533"/>
      <c r="D1797" s="103"/>
      <c r="E1797" s="103"/>
      <c r="F1797" s="103"/>
      <c r="G1797" s="103"/>
      <c r="H1797" s="131"/>
      <c r="I1797" s="468"/>
      <c r="J1797" s="16"/>
      <c r="K1797" s="16"/>
      <c r="L1797" s="8"/>
      <c r="M1797" s="69"/>
      <c r="N1797" s="69"/>
      <c r="O1797" s="69"/>
      <c r="P1797" s="534"/>
      <c r="Q1797" s="274"/>
      <c r="R1797" s="472"/>
      <c r="S1797" s="535"/>
      <c r="T1797" s="535"/>
      <c r="U1797" s="536"/>
      <c r="V1797" s="474"/>
      <c r="Y1797" s="89"/>
      <c r="Z1797" s="60"/>
      <c r="AA1797" s="60"/>
      <c r="AB1797" s="60"/>
      <c r="AC1797" s="30"/>
      <c r="AD1797" s="30"/>
      <c r="AE1797" s="475"/>
      <c r="AF1797" s="476"/>
      <c r="AG1797" s="474"/>
      <c r="AH1797" s="138"/>
    </row>
    <row r="1798">
      <c r="A1798" s="103"/>
      <c r="B1798" s="533"/>
      <c r="C1798" s="533"/>
      <c r="D1798" s="103"/>
      <c r="E1798" s="103"/>
      <c r="F1798" s="103"/>
      <c r="G1798" s="103"/>
      <c r="H1798" s="131"/>
      <c r="I1798" s="468"/>
      <c r="J1798" s="16"/>
      <c r="K1798" s="16"/>
      <c r="L1798" s="8"/>
      <c r="M1798" s="69"/>
      <c r="N1798" s="69"/>
      <c r="O1798" s="69"/>
      <c r="P1798" s="534"/>
      <c r="Q1798" s="274"/>
      <c r="R1798" s="472"/>
      <c r="S1798" s="535"/>
      <c r="T1798" s="535"/>
      <c r="U1798" s="536"/>
      <c r="V1798" s="474"/>
      <c r="Y1798" s="89"/>
      <c r="Z1798" s="60"/>
      <c r="AA1798" s="60"/>
      <c r="AB1798" s="60"/>
      <c r="AC1798" s="30"/>
      <c r="AD1798" s="30"/>
      <c r="AE1798" s="475"/>
      <c r="AF1798" s="476"/>
      <c r="AG1798" s="474"/>
      <c r="AH1798" s="138"/>
    </row>
    <row r="1799">
      <c r="A1799" s="103"/>
      <c r="B1799" s="533"/>
      <c r="C1799" s="533"/>
      <c r="D1799" s="103"/>
      <c r="E1799" s="103"/>
      <c r="F1799" s="103"/>
      <c r="G1799" s="103"/>
      <c r="H1799" s="131"/>
      <c r="I1799" s="468"/>
      <c r="J1799" s="16"/>
      <c r="K1799" s="16"/>
      <c r="L1799" s="8"/>
      <c r="M1799" s="69"/>
      <c r="N1799" s="69"/>
      <c r="O1799" s="69"/>
      <c r="P1799" s="534"/>
      <c r="Q1799" s="274"/>
      <c r="R1799" s="472"/>
      <c r="S1799" s="535"/>
      <c r="T1799" s="535"/>
      <c r="U1799" s="536"/>
      <c r="V1799" s="474"/>
      <c r="Y1799" s="89"/>
      <c r="Z1799" s="60"/>
      <c r="AA1799" s="60"/>
      <c r="AB1799" s="60"/>
      <c r="AC1799" s="30"/>
      <c r="AD1799" s="30"/>
      <c r="AE1799" s="475"/>
      <c r="AF1799" s="476"/>
      <c r="AG1799" s="474"/>
      <c r="AH1799" s="138"/>
    </row>
    <row r="1800">
      <c r="A1800" s="103"/>
      <c r="B1800" s="533"/>
      <c r="C1800" s="533"/>
      <c r="D1800" s="103"/>
      <c r="E1800" s="103"/>
      <c r="F1800" s="103"/>
      <c r="G1800" s="103"/>
      <c r="H1800" s="131"/>
      <c r="I1800" s="468"/>
      <c r="J1800" s="16"/>
      <c r="K1800" s="16"/>
      <c r="L1800" s="8"/>
      <c r="M1800" s="69"/>
      <c r="N1800" s="69"/>
      <c r="O1800" s="69"/>
      <c r="P1800" s="534"/>
      <c r="Q1800" s="274"/>
      <c r="R1800" s="472"/>
      <c r="S1800" s="535"/>
      <c r="T1800" s="535"/>
      <c r="U1800" s="536"/>
      <c r="V1800" s="474"/>
      <c r="Y1800" s="89"/>
      <c r="Z1800" s="60"/>
      <c r="AA1800" s="60"/>
      <c r="AB1800" s="60"/>
      <c r="AC1800" s="30"/>
      <c r="AD1800" s="30"/>
      <c r="AE1800" s="475"/>
      <c r="AF1800" s="476"/>
      <c r="AG1800" s="474"/>
      <c r="AH1800" s="138"/>
    </row>
    <row r="1801">
      <c r="A1801" s="103"/>
      <c r="B1801" s="533"/>
      <c r="C1801" s="533"/>
      <c r="D1801" s="103"/>
      <c r="E1801" s="103"/>
      <c r="F1801" s="103"/>
      <c r="G1801" s="103"/>
      <c r="H1801" s="131"/>
      <c r="I1801" s="468"/>
      <c r="J1801" s="16"/>
      <c r="K1801" s="16"/>
      <c r="L1801" s="8"/>
      <c r="M1801" s="69"/>
      <c r="N1801" s="69"/>
      <c r="O1801" s="69"/>
      <c r="P1801" s="534"/>
      <c r="Q1801" s="274"/>
      <c r="R1801" s="472"/>
      <c r="S1801" s="535"/>
      <c r="T1801" s="535"/>
      <c r="U1801" s="536"/>
      <c r="V1801" s="474"/>
      <c r="Y1801" s="89"/>
      <c r="Z1801" s="60"/>
      <c r="AA1801" s="60"/>
      <c r="AB1801" s="60"/>
      <c r="AC1801" s="30"/>
      <c r="AD1801" s="30"/>
      <c r="AE1801" s="475"/>
      <c r="AF1801" s="476"/>
      <c r="AG1801" s="474"/>
      <c r="AH1801" s="138"/>
    </row>
    <row r="1802">
      <c r="A1802" s="103"/>
      <c r="B1802" s="533"/>
      <c r="C1802" s="533"/>
      <c r="D1802" s="103"/>
      <c r="E1802" s="103"/>
      <c r="F1802" s="103"/>
      <c r="G1802" s="103"/>
      <c r="H1802" s="131"/>
      <c r="I1802" s="468"/>
      <c r="J1802" s="16"/>
      <c r="K1802" s="16"/>
      <c r="L1802" s="8"/>
      <c r="M1802" s="69"/>
      <c r="N1802" s="69"/>
      <c r="O1802" s="69"/>
      <c r="P1802" s="534"/>
      <c r="Q1802" s="274"/>
      <c r="R1802" s="472"/>
      <c r="S1802" s="535"/>
      <c r="T1802" s="535"/>
      <c r="U1802" s="536"/>
      <c r="V1802" s="474"/>
      <c r="Y1802" s="89"/>
      <c r="Z1802" s="60"/>
      <c r="AA1802" s="60"/>
      <c r="AB1802" s="60"/>
      <c r="AC1802" s="30"/>
      <c r="AD1802" s="30"/>
      <c r="AE1802" s="475"/>
      <c r="AF1802" s="476"/>
      <c r="AG1802" s="474"/>
      <c r="AH1802" s="138"/>
    </row>
    <row r="1803">
      <c r="A1803" s="103"/>
      <c r="B1803" s="533"/>
      <c r="C1803" s="533"/>
      <c r="D1803" s="103"/>
      <c r="E1803" s="103"/>
      <c r="F1803" s="103"/>
      <c r="G1803" s="103"/>
      <c r="H1803" s="131"/>
      <c r="I1803" s="468"/>
      <c r="J1803" s="16"/>
      <c r="K1803" s="16"/>
      <c r="L1803" s="8"/>
      <c r="M1803" s="69"/>
      <c r="N1803" s="69"/>
      <c r="O1803" s="69"/>
      <c r="P1803" s="534"/>
      <c r="Q1803" s="274"/>
      <c r="R1803" s="472"/>
      <c r="S1803" s="535"/>
      <c r="T1803" s="535"/>
      <c r="U1803" s="536"/>
      <c r="V1803" s="474"/>
      <c r="Y1803" s="89"/>
      <c r="Z1803" s="60"/>
      <c r="AA1803" s="60"/>
      <c r="AB1803" s="60"/>
      <c r="AC1803" s="30"/>
      <c r="AD1803" s="30"/>
      <c r="AE1803" s="475"/>
      <c r="AF1803" s="476"/>
      <c r="AG1803" s="474"/>
      <c r="AH1803" s="138"/>
    </row>
    <row r="1804">
      <c r="A1804" s="103"/>
      <c r="B1804" s="533"/>
      <c r="C1804" s="533"/>
      <c r="D1804" s="103"/>
      <c r="E1804" s="103"/>
      <c r="F1804" s="103"/>
      <c r="G1804" s="103"/>
      <c r="H1804" s="131"/>
      <c r="I1804" s="468"/>
      <c r="J1804" s="16"/>
      <c r="K1804" s="16"/>
      <c r="L1804" s="8"/>
      <c r="M1804" s="69"/>
      <c r="N1804" s="69"/>
      <c r="O1804" s="69"/>
      <c r="P1804" s="534"/>
      <c r="Q1804" s="274"/>
      <c r="R1804" s="472"/>
      <c r="S1804" s="535"/>
      <c r="T1804" s="535"/>
      <c r="U1804" s="536"/>
      <c r="V1804" s="474"/>
      <c r="Y1804" s="89"/>
      <c r="Z1804" s="60"/>
      <c r="AA1804" s="60"/>
      <c r="AB1804" s="60"/>
      <c r="AC1804" s="30"/>
      <c r="AD1804" s="30"/>
      <c r="AE1804" s="475"/>
      <c r="AF1804" s="476"/>
      <c r="AG1804" s="474"/>
      <c r="AH1804" s="138"/>
    </row>
    <row r="1805">
      <c r="A1805" s="103"/>
      <c r="B1805" s="533"/>
      <c r="C1805" s="533"/>
      <c r="D1805" s="103"/>
      <c r="E1805" s="103"/>
      <c r="F1805" s="103"/>
      <c r="G1805" s="103"/>
      <c r="H1805" s="131"/>
      <c r="I1805" s="468"/>
      <c r="J1805" s="16"/>
      <c r="K1805" s="16"/>
      <c r="L1805" s="8"/>
      <c r="M1805" s="69"/>
      <c r="N1805" s="69"/>
      <c r="O1805" s="69"/>
      <c r="P1805" s="534"/>
      <c r="Q1805" s="274"/>
      <c r="R1805" s="472"/>
      <c r="S1805" s="535"/>
      <c r="T1805" s="535"/>
      <c r="U1805" s="536"/>
      <c r="V1805" s="474"/>
      <c r="Y1805" s="89"/>
      <c r="Z1805" s="60"/>
      <c r="AA1805" s="60"/>
      <c r="AB1805" s="60"/>
      <c r="AC1805" s="30"/>
      <c r="AD1805" s="30"/>
      <c r="AE1805" s="475"/>
      <c r="AF1805" s="476"/>
      <c r="AG1805" s="474"/>
      <c r="AH1805" s="138"/>
    </row>
    <row r="1806">
      <c r="A1806" s="103"/>
      <c r="B1806" s="533"/>
      <c r="C1806" s="533"/>
      <c r="D1806" s="103"/>
      <c r="E1806" s="103"/>
      <c r="F1806" s="103"/>
      <c r="G1806" s="103"/>
      <c r="H1806" s="131"/>
      <c r="I1806" s="468"/>
      <c r="J1806" s="16"/>
      <c r="K1806" s="16"/>
      <c r="L1806" s="8"/>
      <c r="M1806" s="69"/>
      <c r="N1806" s="69"/>
      <c r="O1806" s="69"/>
      <c r="P1806" s="534"/>
      <c r="Q1806" s="274"/>
      <c r="R1806" s="472"/>
      <c r="S1806" s="535"/>
      <c r="T1806" s="535"/>
      <c r="U1806" s="536"/>
      <c r="V1806" s="474"/>
      <c r="Y1806" s="89"/>
      <c r="Z1806" s="60"/>
      <c r="AA1806" s="60"/>
      <c r="AB1806" s="60"/>
      <c r="AC1806" s="30"/>
      <c r="AD1806" s="30"/>
      <c r="AE1806" s="475"/>
      <c r="AF1806" s="476"/>
      <c r="AG1806" s="474"/>
      <c r="AH1806" s="138"/>
    </row>
    <row r="1807">
      <c r="A1807" s="103"/>
      <c r="B1807" s="533"/>
      <c r="C1807" s="533"/>
      <c r="D1807" s="103"/>
      <c r="E1807" s="103"/>
      <c r="F1807" s="103"/>
      <c r="G1807" s="103"/>
      <c r="H1807" s="131"/>
      <c r="I1807" s="468"/>
      <c r="J1807" s="16"/>
      <c r="K1807" s="16"/>
      <c r="L1807" s="8"/>
      <c r="M1807" s="69"/>
      <c r="N1807" s="69"/>
      <c r="O1807" s="69"/>
      <c r="P1807" s="534"/>
      <c r="Q1807" s="274"/>
      <c r="R1807" s="472"/>
      <c r="S1807" s="535"/>
      <c r="T1807" s="535"/>
      <c r="U1807" s="536"/>
      <c r="V1807" s="474"/>
      <c r="Y1807" s="89"/>
      <c r="Z1807" s="60"/>
      <c r="AA1807" s="60"/>
      <c r="AB1807" s="60"/>
      <c r="AC1807" s="30"/>
      <c r="AD1807" s="30"/>
      <c r="AE1807" s="475"/>
      <c r="AF1807" s="476"/>
      <c r="AG1807" s="474"/>
      <c r="AH1807" s="138"/>
    </row>
    <row r="1808">
      <c r="A1808" s="103"/>
      <c r="B1808" s="533"/>
      <c r="C1808" s="533"/>
      <c r="D1808" s="103"/>
      <c r="E1808" s="103"/>
      <c r="F1808" s="103"/>
      <c r="G1808" s="103"/>
      <c r="H1808" s="131"/>
      <c r="I1808" s="468"/>
      <c r="J1808" s="16"/>
      <c r="K1808" s="16"/>
      <c r="L1808" s="8"/>
      <c r="M1808" s="69"/>
      <c r="N1808" s="69"/>
      <c r="O1808" s="69"/>
      <c r="P1808" s="534"/>
      <c r="Q1808" s="274"/>
      <c r="R1808" s="472"/>
      <c r="S1808" s="535"/>
      <c r="T1808" s="535"/>
      <c r="U1808" s="536"/>
      <c r="V1808" s="474"/>
      <c r="Y1808" s="89"/>
      <c r="Z1808" s="60"/>
      <c r="AA1808" s="60"/>
      <c r="AB1808" s="60"/>
      <c r="AC1808" s="30"/>
      <c r="AD1808" s="30"/>
      <c r="AE1808" s="475"/>
      <c r="AF1808" s="476"/>
      <c r="AG1808" s="474"/>
      <c r="AH1808" s="138"/>
    </row>
    <row r="1809">
      <c r="A1809" s="103"/>
      <c r="B1809" s="533"/>
      <c r="C1809" s="533"/>
      <c r="D1809" s="103"/>
      <c r="E1809" s="103"/>
      <c r="F1809" s="103"/>
      <c r="G1809" s="103"/>
      <c r="H1809" s="131"/>
      <c r="I1809" s="468"/>
      <c r="J1809" s="16"/>
      <c r="K1809" s="16"/>
      <c r="L1809" s="8"/>
      <c r="M1809" s="69"/>
      <c r="N1809" s="69"/>
      <c r="O1809" s="69"/>
      <c r="P1809" s="534"/>
      <c r="Q1809" s="274"/>
      <c r="R1809" s="472"/>
      <c r="S1809" s="535"/>
      <c r="T1809" s="535"/>
      <c r="U1809" s="536"/>
      <c r="V1809" s="474"/>
      <c r="Y1809" s="89"/>
      <c r="Z1809" s="60"/>
      <c r="AA1809" s="60"/>
      <c r="AB1809" s="60"/>
      <c r="AC1809" s="30"/>
      <c r="AD1809" s="30"/>
      <c r="AE1809" s="475"/>
      <c r="AF1809" s="476"/>
      <c r="AG1809" s="474"/>
      <c r="AH1809" s="138"/>
    </row>
    <row r="1810">
      <c r="A1810" s="103"/>
      <c r="B1810" s="533"/>
      <c r="C1810" s="533"/>
      <c r="D1810" s="103"/>
      <c r="E1810" s="103"/>
      <c r="F1810" s="103"/>
      <c r="G1810" s="103"/>
      <c r="H1810" s="131"/>
      <c r="I1810" s="468"/>
      <c r="J1810" s="16"/>
      <c r="K1810" s="16"/>
      <c r="L1810" s="8"/>
      <c r="M1810" s="69"/>
      <c r="N1810" s="69"/>
      <c r="O1810" s="69"/>
      <c r="P1810" s="534"/>
      <c r="Q1810" s="274"/>
      <c r="R1810" s="472"/>
      <c r="S1810" s="535"/>
      <c r="T1810" s="535"/>
      <c r="U1810" s="536"/>
      <c r="V1810" s="474"/>
      <c r="Y1810" s="89"/>
      <c r="Z1810" s="60"/>
      <c r="AA1810" s="60"/>
      <c r="AB1810" s="60"/>
      <c r="AC1810" s="30"/>
      <c r="AD1810" s="30"/>
      <c r="AE1810" s="475"/>
      <c r="AF1810" s="476"/>
      <c r="AG1810" s="474"/>
      <c r="AH1810" s="138"/>
    </row>
    <row r="1811">
      <c r="A1811" s="103"/>
      <c r="B1811" s="533"/>
      <c r="C1811" s="533"/>
      <c r="D1811" s="103"/>
      <c r="E1811" s="103"/>
      <c r="F1811" s="103"/>
      <c r="G1811" s="103"/>
      <c r="H1811" s="131"/>
      <c r="I1811" s="468"/>
      <c r="J1811" s="16"/>
      <c r="K1811" s="16"/>
      <c r="L1811" s="8"/>
      <c r="M1811" s="69"/>
      <c r="N1811" s="69"/>
      <c r="O1811" s="69"/>
      <c r="P1811" s="534"/>
      <c r="Q1811" s="274"/>
      <c r="R1811" s="472"/>
      <c r="S1811" s="535"/>
      <c r="T1811" s="535"/>
      <c r="U1811" s="536"/>
      <c r="V1811" s="474"/>
      <c r="Y1811" s="89"/>
      <c r="Z1811" s="60"/>
      <c r="AA1811" s="60"/>
      <c r="AB1811" s="60"/>
      <c r="AC1811" s="30"/>
      <c r="AD1811" s="30"/>
      <c r="AE1811" s="475"/>
      <c r="AF1811" s="476"/>
      <c r="AG1811" s="474"/>
      <c r="AH1811" s="138"/>
    </row>
    <row r="1812">
      <c r="A1812" s="103"/>
      <c r="B1812" s="533"/>
      <c r="C1812" s="533"/>
      <c r="D1812" s="103"/>
      <c r="E1812" s="103"/>
      <c r="F1812" s="103"/>
      <c r="G1812" s="103"/>
      <c r="H1812" s="131"/>
      <c r="I1812" s="468"/>
      <c r="J1812" s="16"/>
      <c r="K1812" s="16"/>
      <c r="L1812" s="8"/>
      <c r="M1812" s="69"/>
      <c r="N1812" s="69"/>
      <c r="O1812" s="69"/>
      <c r="P1812" s="534"/>
      <c r="Q1812" s="274"/>
      <c r="R1812" s="472"/>
      <c r="S1812" s="535"/>
      <c r="T1812" s="535"/>
      <c r="U1812" s="536"/>
      <c r="V1812" s="474"/>
      <c r="Y1812" s="89"/>
      <c r="Z1812" s="60"/>
      <c r="AA1812" s="60"/>
      <c r="AB1812" s="60"/>
      <c r="AC1812" s="30"/>
      <c r="AD1812" s="30"/>
      <c r="AE1812" s="475"/>
      <c r="AF1812" s="476"/>
      <c r="AG1812" s="474"/>
      <c r="AH1812" s="138"/>
    </row>
    <row r="1813">
      <c r="A1813" s="103"/>
      <c r="B1813" s="533"/>
      <c r="C1813" s="533"/>
      <c r="D1813" s="103"/>
      <c r="E1813" s="103"/>
      <c r="F1813" s="103"/>
      <c r="G1813" s="103"/>
      <c r="H1813" s="131"/>
      <c r="I1813" s="468"/>
      <c r="J1813" s="16"/>
      <c r="K1813" s="16"/>
      <c r="L1813" s="8"/>
      <c r="M1813" s="69"/>
      <c r="N1813" s="69"/>
      <c r="O1813" s="69"/>
      <c r="P1813" s="534"/>
      <c r="Q1813" s="274"/>
      <c r="R1813" s="472"/>
      <c r="S1813" s="535"/>
      <c r="T1813" s="535"/>
      <c r="U1813" s="536"/>
      <c r="V1813" s="474"/>
      <c r="Y1813" s="89"/>
      <c r="Z1813" s="60"/>
      <c r="AA1813" s="60"/>
      <c r="AB1813" s="60"/>
      <c r="AC1813" s="30"/>
      <c r="AD1813" s="30"/>
      <c r="AE1813" s="475"/>
      <c r="AF1813" s="476"/>
      <c r="AG1813" s="474"/>
      <c r="AH1813" s="138"/>
    </row>
    <row r="1814">
      <c r="A1814" s="103"/>
      <c r="B1814" s="533"/>
      <c r="C1814" s="533"/>
      <c r="D1814" s="103"/>
      <c r="E1814" s="103"/>
      <c r="F1814" s="103"/>
      <c r="G1814" s="103"/>
      <c r="H1814" s="131"/>
      <c r="I1814" s="468"/>
      <c r="J1814" s="16"/>
      <c r="K1814" s="16"/>
      <c r="L1814" s="8"/>
      <c r="M1814" s="69"/>
      <c r="N1814" s="69"/>
      <c r="O1814" s="69"/>
      <c r="P1814" s="534"/>
      <c r="Q1814" s="274"/>
      <c r="R1814" s="472"/>
      <c r="S1814" s="535"/>
      <c r="T1814" s="535"/>
      <c r="U1814" s="536"/>
      <c r="V1814" s="474"/>
      <c r="Y1814" s="89"/>
      <c r="Z1814" s="60"/>
      <c r="AA1814" s="60"/>
      <c r="AB1814" s="60"/>
      <c r="AC1814" s="30"/>
      <c r="AD1814" s="30"/>
      <c r="AE1814" s="475"/>
      <c r="AF1814" s="476"/>
      <c r="AG1814" s="474"/>
      <c r="AH1814" s="138"/>
    </row>
    <row r="1815">
      <c r="A1815" s="103"/>
      <c r="B1815" s="533"/>
      <c r="C1815" s="533"/>
      <c r="D1815" s="103"/>
      <c r="E1815" s="103"/>
      <c r="F1815" s="103"/>
      <c r="G1815" s="103"/>
      <c r="H1815" s="131"/>
      <c r="I1815" s="468"/>
      <c r="J1815" s="16"/>
      <c r="K1815" s="16"/>
      <c r="L1815" s="8"/>
      <c r="M1815" s="69"/>
      <c r="N1815" s="69"/>
      <c r="O1815" s="69"/>
      <c r="P1815" s="534"/>
      <c r="Q1815" s="274"/>
      <c r="R1815" s="472"/>
      <c r="S1815" s="535"/>
      <c r="T1815" s="535"/>
      <c r="U1815" s="536"/>
      <c r="V1815" s="474"/>
      <c r="Y1815" s="89"/>
      <c r="Z1815" s="60"/>
      <c r="AA1815" s="60"/>
      <c r="AB1815" s="60"/>
      <c r="AC1815" s="30"/>
      <c r="AD1815" s="30"/>
      <c r="AE1815" s="475"/>
      <c r="AF1815" s="476"/>
      <c r="AG1815" s="474"/>
      <c r="AH1815" s="138"/>
    </row>
    <row r="1816">
      <c r="A1816" s="103"/>
      <c r="B1816" s="533"/>
      <c r="C1816" s="533"/>
      <c r="D1816" s="103"/>
      <c r="E1816" s="103"/>
      <c r="F1816" s="103"/>
      <c r="G1816" s="103"/>
      <c r="H1816" s="131"/>
      <c r="I1816" s="468"/>
      <c r="J1816" s="16"/>
      <c r="K1816" s="16"/>
      <c r="L1816" s="8"/>
      <c r="M1816" s="69"/>
      <c r="N1816" s="69"/>
      <c r="O1816" s="69"/>
      <c r="P1816" s="534"/>
      <c r="Q1816" s="274"/>
      <c r="R1816" s="472"/>
      <c r="S1816" s="535"/>
      <c r="T1816" s="535"/>
      <c r="U1816" s="536"/>
      <c r="V1816" s="474"/>
      <c r="Y1816" s="89"/>
      <c r="Z1816" s="60"/>
      <c r="AA1816" s="60"/>
      <c r="AB1816" s="60"/>
      <c r="AC1816" s="30"/>
      <c r="AD1816" s="30"/>
      <c r="AE1816" s="475"/>
      <c r="AF1816" s="476"/>
      <c r="AG1816" s="474"/>
      <c r="AH1816" s="138"/>
    </row>
    <row r="1817">
      <c r="A1817" s="103"/>
      <c r="B1817" s="533"/>
      <c r="C1817" s="533"/>
      <c r="D1817" s="103"/>
      <c r="E1817" s="103"/>
      <c r="F1817" s="103"/>
      <c r="G1817" s="103"/>
      <c r="H1817" s="131"/>
      <c r="I1817" s="468"/>
      <c r="J1817" s="16"/>
      <c r="K1817" s="16"/>
      <c r="L1817" s="8"/>
      <c r="M1817" s="69"/>
      <c r="N1817" s="69"/>
      <c r="O1817" s="69"/>
      <c r="P1817" s="534"/>
      <c r="Q1817" s="274"/>
      <c r="R1817" s="472"/>
      <c r="S1817" s="535"/>
      <c r="T1817" s="535"/>
      <c r="U1817" s="536"/>
      <c r="V1817" s="474"/>
      <c r="Y1817" s="89"/>
      <c r="Z1817" s="60"/>
      <c r="AA1817" s="60"/>
      <c r="AB1817" s="60"/>
      <c r="AC1817" s="30"/>
      <c r="AD1817" s="30"/>
      <c r="AE1817" s="475"/>
      <c r="AF1817" s="476"/>
      <c r="AG1817" s="474"/>
      <c r="AH1817" s="138"/>
    </row>
    <row r="1818">
      <c r="A1818" s="103"/>
      <c r="B1818" s="533"/>
      <c r="C1818" s="533"/>
      <c r="D1818" s="103"/>
      <c r="E1818" s="103"/>
      <c r="F1818" s="103"/>
      <c r="G1818" s="103"/>
      <c r="H1818" s="131"/>
      <c r="I1818" s="468"/>
      <c r="J1818" s="16"/>
      <c r="K1818" s="16"/>
      <c r="L1818" s="8"/>
      <c r="M1818" s="69"/>
      <c r="N1818" s="69"/>
      <c r="O1818" s="69"/>
      <c r="P1818" s="534"/>
      <c r="Q1818" s="274"/>
      <c r="R1818" s="472"/>
      <c r="S1818" s="535"/>
      <c r="T1818" s="535"/>
      <c r="U1818" s="536"/>
      <c r="V1818" s="474"/>
      <c r="Y1818" s="89"/>
      <c r="Z1818" s="60"/>
      <c r="AA1818" s="60"/>
      <c r="AB1818" s="60"/>
      <c r="AC1818" s="30"/>
      <c r="AD1818" s="30"/>
      <c r="AE1818" s="475"/>
      <c r="AF1818" s="476"/>
      <c r="AG1818" s="474"/>
      <c r="AH1818" s="138"/>
    </row>
    <row r="1819">
      <c r="A1819" s="103"/>
      <c r="B1819" s="533"/>
      <c r="C1819" s="533"/>
      <c r="D1819" s="103"/>
      <c r="E1819" s="103"/>
      <c r="F1819" s="103"/>
      <c r="G1819" s="103"/>
      <c r="H1819" s="131"/>
      <c r="I1819" s="468"/>
      <c r="J1819" s="16"/>
      <c r="K1819" s="16"/>
      <c r="L1819" s="8"/>
      <c r="M1819" s="69"/>
      <c r="N1819" s="69"/>
      <c r="O1819" s="69"/>
      <c r="P1819" s="534"/>
      <c r="Q1819" s="274"/>
      <c r="R1819" s="472"/>
      <c r="S1819" s="535"/>
      <c r="T1819" s="535"/>
      <c r="U1819" s="536"/>
      <c r="V1819" s="474"/>
      <c r="Y1819" s="89"/>
      <c r="Z1819" s="60"/>
      <c r="AA1819" s="60"/>
      <c r="AB1819" s="60"/>
      <c r="AC1819" s="30"/>
      <c r="AD1819" s="30"/>
      <c r="AE1819" s="475"/>
      <c r="AF1819" s="476"/>
      <c r="AG1819" s="474"/>
      <c r="AH1819" s="138"/>
    </row>
    <row r="1820">
      <c r="A1820" s="103"/>
      <c r="B1820" s="533"/>
      <c r="C1820" s="533"/>
      <c r="D1820" s="103"/>
      <c r="E1820" s="103"/>
      <c r="F1820" s="103"/>
      <c r="G1820" s="103"/>
      <c r="H1820" s="131"/>
      <c r="I1820" s="468"/>
      <c r="J1820" s="16"/>
      <c r="K1820" s="16"/>
      <c r="L1820" s="8"/>
      <c r="M1820" s="69"/>
      <c r="N1820" s="69"/>
      <c r="O1820" s="69"/>
      <c r="P1820" s="534"/>
      <c r="Q1820" s="274"/>
      <c r="R1820" s="472"/>
      <c r="S1820" s="535"/>
      <c r="T1820" s="535"/>
      <c r="U1820" s="536"/>
      <c r="V1820" s="474"/>
      <c r="Y1820" s="89"/>
      <c r="Z1820" s="60"/>
      <c r="AA1820" s="60"/>
      <c r="AB1820" s="60"/>
      <c r="AC1820" s="30"/>
      <c r="AD1820" s="30"/>
      <c r="AE1820" s="475"/>
      <c r="AF1820" s="476"/>
      <c r="AG1820" s="474"/>
      <c r="AH1820" s="138"/>
    </row>
    <row r="1821">
      <c r="A1821" s="103"/>
      <c r="B1821" s="533"/>
      <c r="C1821" s="533"/>
      <c r="D1821" s="103"/>
      <c r="E1821" s="103"/>
      <c r="F1821" s="103"/>
      <c r="G1821" s="103"/>
      <c r="H1821" s="131"/>
      <c r="I1821" s="468"/>
      <c r="J1821" s="16"/>
      <c r="K1821" s="16"/>
      <c r="L1821" s="8"/>
      <c r="M1821" s="69"/>
      <c r="N1821" s="69"/>
      <c r="O1821" s="69"/>
      <c r="P1821" s="534"/>
      <c r="Q1821" s="274"/>
      <c r="R1821" s="472"/>
      <c r="S1821" s="535"/>
      <c r="T1821" s="535"/>
      <c r="U1821" s="536"/>
      <c r="V1821" s="474"/>
      <c r="Y1821" s="89"/>
      <c r="Z1821" s="60"/>
      <c r="AA1821" s="60"/>
      <c r="AB1821" s="60"/>
      <c r="AC1821" s="30"/>
      <c r="AD1821" s="30"/>
      <c r="AE1821" s="475"/>
      <c r="AF1821" s="476"/>
      <c r="AG1821" s="474"/>
      <c r="AH1821" s="138"/>
    </row>
    <row r="1822">
      <c r="A1822" s="103"/>
      <c r="B1822" s="533"/>
      <c r="C1822" s="533"/>
      <c r="D1822" s="103"/>
      <c r="E1822" s="103"/>
      <c r="F1822" s="103"/>
      <c r="G1822" s="103"/>
      <c r="H1822" s="131"/>
      <c r="I1822" s="468"/>
      <c r="J1822" s="16"/>
      <c r="K1822" s="16"/>
      <c r="L1822" s="8"/>
      <c r="M1822" s="69"/>
      <c r="N1822" s="69"/>
      <c r="O1822" s="69"/>
      <c r="P1822" s="534"/>
      <c r="Q1822" s="274"/>
      <c r="R1822" s="472"/>
      <c r="S1822" s="535"/>
      <c r="T1822" s="535"/>
      <c r="U1822" s="536"/>
      <c r="V1822" s="474"/>
      <c r="Y1822" s="89"/>
      <c r="Z1822" s="60"/>
      <c r="AA1822" s="60"/>
      <c r="AB1822" s="60"/>
      <c r="AC1822" s="30"/>
      <c r="AD1822" s="30"/>
      <c r="AE1822" s="475"/>
      <c r="AF1822" s="476"/>
      <c r="AG1822" s="474"/>
      <c r="AH1822" s="138"/>
    </row>
    <row r="1823">
      <c r="A1823" s="103"/>
      <c r="B1823" s="533"/>
      <c r="C1823" s="533"/>
      <c r="D1823" s="103"/>
      <c r="E1823" s="103"/>
      <c r="F1823" s="103"/>
      <c r="G1823" s="103"/>
      <c r="H1823" s="131"/>
      <c r="I1823" s="468"/>
      <c r="J1823" s="16"/>
      <c r="K1823" s="16"/>
      <c r="L1823" s="8"/>
      <c r="M1823" s="69"/>
      <c r="N1823" s="69"/>
      <c r="O1823" s="69"/>
      <c r="P1823" s="534"/>
      <c r="Q1823" s="274"/>
      <c r="R1823" s="472"/>
      <c r="S1823" s="535"/>
      <c r="T1823" s="535"/>
      <c r="U1823" s="536"/>
      <c r="V1823" s="474"/>
      <c r="Y1823" s="89"/>
      <c r="Z1823" s="60"/>
      <c r="AA1823" s="60"/>
      <c r="AB1823" s="60"/>
      <c r="AC1823" s="30"/>
      <c r="AD1823" s="30"/>
      <c r="AE1823" s="475"/>
      <c r="AF1823" s="476"/>
      <c r="AG1823" s="474"/>
      <c r="AH1823" s="138"/>
    </row>
    <row r="1824">
      <c r="A1824" s="103"/>
      <c r="B1824" s="533"/>
      <c r="C1824" s="533"/>
      <c r="D1824" s="103"/>
      <c r="E1824" s="103"/>
      <c r="F1824" s="103"/>
      <c r="G1824" s="103"/>
      <c r="H1824" s="131"/>
      <c r="I1824" s="468"/>
      <c r="J1824" s="16"/>
      <c r="K1824" s="16"/>
      <c r="L1824" s="8"/>
      <c r="M1824" s="69"/>
      <c r="N1824" s="69"/>
      <c r="O1824" s="69"/>
      <c r="P1824" s="534"/>
      <c r="Q1824" s="274"/>
      <c r="R1824" s="472"/>
      <c r="S1824" s="535"/>
      <c r="T1824" s="535"/>
      <c r="U1824" s="536"/>
      <c r="V1824" s="474"/>
      <c r="Y1824" s="89"/>
      <c r="Z1824" s="60"/>
      <c r="AA1824" s="60"/>
      <c r="AB1824" s="60"/>
      <c r="AC1824" s="30"/>
      <c r="AD1824" s="30"/>
      <c r="AE1824" s="475"/>
      <c r="AF1824" s="476"/>
      <c r="AG1824" s="474"/>
      <c r="AH1824" s="138"/>
    </row>
    <row r="1825">
      <c r="A1825" s="103"/>
      <c r="B1825" s="533"/>
      <c r="C1825" s="533"/>
      <c r="D1825" s="103"/>
      <c r="E1825" s="103"/>
      <c r="F1825" s="103"/>
      <c r="G1825" s="103"/>
      <c r="H1825" s="131"/>
      <c r="I1825" s="468"/>
      <c r="J1825" s="16"/>
      <c r="K1825" s="16"/>
      <c r="L1825" s="8"/>
      <c r="M1825" s="69"/>
      <c r="N1825" s="69"/>
      <c r="O1825" s="69"/>
      <c r="P1825" s="534"/>
      <c r="Q1825" s="274"/>
      <c r="R1825" s="472"/>
      <c r="S1825" s="535"/>
      <c r="T1825" s="535"/>
      <c r="U1825" s="536"/>
      <c r="V1825" s="474"/>
      <c r="Y1825" s="89"/>
      <c r="Z1825" s="60"/>
      <c r="AA1825" s="60"/>
      <c r="AB1825" s="60"/>
      <c r="AC1825" s="30"/>
      <c r="AD1825" s="30"/>
      <c r="AE1825" s="475"/>
      <c r="AF1825" s="476"/>
      <c r="AG1825" s="474"/>
      <c r="AH1825" s="138"/>
    </row>
    <row r="1826">
      <c r="A1826" s="103"/>
      <c r="B1826" s="533"/>
      <c r="C1826" s="533"/>
      <c r="D1826" s="103"/>
      <c r="E1826" s="103"/>
      <c r="F1826" s="103"/>
      <c r="G1826" s="103"/>
      <c r="H1826" s="131"/>
      <c r="I1826" s="468"/>
      <c r="J1826" s="16"/>
      <c r="K1826" s="16"/>
      <c r="L1826" s="8"/>
      <c r="M1826" s="69"/>
      <c r="N1826" s="69"/>
      <c r="O1826" s="69"/>
      <c r="P1826" s="534"/>
      <c r="Q1826" s="274"/>
      <c r="R1826" s="472"/>
      <c r="S1826" s="535"/>
      <c r="T1826" s="535"/>
      <c r="U1826" s="536"/>
      <c r="V1826" s="474"/>
      <c r="Y1826" s="89"/>
      <c r="Z1826" s="60"/>
      <c r="AA1826" s="60"/>
      <c r="AB1826" s="60"/>
      <c r="AC1826" s="30"/>
      <c r="AD1826" s="30"/>
      <c r="AE1826" s="475"/>
      <c r="AF1826" s="476"/>
      <c r="AG1826" s="474"/>
      <c r="AH1826" s="138"/>
    </row>
    <row r="1827">
      <c r="A1827" s="103"/>
      <c r="B1827" s="533"/>
      <c r="C1827" s="533"/>
      <c r="D1827" s="103"/>
      <c r="E1827" s="103"/>
      <c r="F1827" s="103"/>
      <c r="G1827" s="103"/>
      <c r="H1827" s="131"/>
      <c r="I1827" s="468"/>
      <c r="J1827" s="16"/>
      <c r="K1827" s="16"/>
      <c r="L1827" s="8"/>
      <c r="M1827" s="69"/>
      <c r="N1827" s="69"/>
      <c r="O1827" s="69"/>
      <c r="P1827" s="534"/>
      <c r="Q1827" s="274"/>
      <c r="R1827" s="472"/>
      <c r="S1827" s="535"/>
      <c r="T1827" s="535"/>
      <c r="U1827" s="536"/>
      <c r="V1827" s="474"/>
      <c r="Y1827" s="89"/>
      <c r="Z1827" s="60"/>
      <c r="AA1827" s="60"/>
      <c r="AB1827" s="60"/>
      <c r="AC1827" s="30"/>
      <c r="AD1827" s="30"/>
      <c r="AE1827" s="475"/>
      <c r="AF1827" s="476"/>
      <c r="AG1827" s="474"/>
      <c r="AH1827" s="138"/>
    </row>
    <row r="1828">
      <c r="A1828" s="103"/>
      <c r="B1828" s="533"/>
      <c r="C1828" s="533"/>
      <c r="D1828" s="103"/>
      <c r="E1828" s="103"/>
      <c r="F1828" s="103"/>
      <c r="G1828" s="103"/>
      <c r="H1828" s="131"/>
      <c r="I1828" s="468"/>
      <c r="J1828" s="16"/>
      <c r="K1828" s="16"/>
      <c r="L1828" s="8"/>
      <c r="M1828" s="69"/>
      <c r="N1828" s="69"/>
      <c r="O1828" s="69"/>
      <c r="P1828" s="534"/>
      <c r="Q1828" s="274"/>
      <c r="R1828" s="472"/>
      <c r="S1828" s="535"/>
      <c r="T1828" s="535"/>
      <c r="U1828" s="536"/>
      <c r="V1828" s="474"/>
      <c r="Y1828" s="89"/>
      <c r="Z1828" s="60"/>
      <c r="AA1828" s="60"/>
      <c r="AB1828" s="60"/>
      <c r="AC1828" s="30"/>
      <c r="AD1828" s="30"/>
      <c r="AE1828" s="475"/>
      <c r="AF1828" s="476"/>
      <c r="AG1828" s="474"/>
      <c r="AH1828" s="138"/>
    </row>
    <row r="1829">
      <c r="A1829" s="103"/>
      <c r="B1829" s="533"/>
      <c r="C1829" s="533"/>
      <c r="D1829" s="103"/>
      <c r="E1829" s="103"/>
      <c r="F1829" s="103"/>
      <c r="G1829" s="103"/>
      <c r="H1829" s="131"/>
      <c r="I1829" s="468"/>
      <c r="J1829" s="16"/>
      <c r="K1829" s="16"/>
      <c r="L1829" s="8"/>
      <c r="M1829" s="69"/>
      <c r="N1829" s="69"/>
      <c r="O1829" s="69"/>
      <c r="P1829" s="534"/>
      <c r="Q1829" s="274"/>
      <c r="R1829" s="472"/>
      <c r="S1829" s="535"/>
      <c r="T1829" s="535"/>
      <c r="U1829" s="536"/>
      <c r="V1829" s="474"/>
      <c r="Y1829" s="89"/>
      <c r="Z1829" s="60"/>
      <c r="AA1829" s="60"/>
      <c r="AB1829" s="60"/>
      <c r="AC1829" s="30"/>
      <c r="AD1829" s="30"/>
      <c r="AE1829" s="475"/>
      <c r="AF1829" s="476"/>
      <c r="AG1829" s="474"/>
      <c r="AH1829" s="138"/>
    </row>
    <row r="1830">
      <c r="A1830" s="103"/>
      <c r="B1830" s="533"/>
      <c r="C1830" s="533"/>
      <c r="D1830" s="103"/>
      <c r="E1830" s="103"/>
      <c r="F1830" s="103"/>
      <c r="G1830" s="103"/>
      <c r="H1830" s="131"/>
      <c r="I1830" s="468"/>
      <c r="J1830" s="16"/>
      <c r="K1830" s="16"/>
      <c r="L1830" s="8"/>
      <c r="M1830" s="69"/>
      <c r="N1830" s="69"/>
      <c r="O1830" s="69"/>
      <c r="P1830" s="534"/>
      <c r="Q1830" s="274"/>
      <c r="R1830" s="472"/>
      <c r="S1830" s="535"/>
      <c r="T1830" s="535"/>
      <c r="U1830" s="536"/>
      <c r="V1830" s="474"/>
      <c r="Y1830" s="89"/>
      <c r="Z1830" s="60"/>
      <c r="AA1830" s="60"/>
      <c r="AB1830" s="60"/>
      <c r="AC1830" s="30"/>
      <c r="AD1830" s="30"/>
      <c r="AE1830" s="475"/>
      <c r="AF1830" s="476"/>
      <c r="AG1830" s="474"/>
      <c r="AH1830" s="138"/>
    </row>
    <row r="1831">
      <c r="A1831" s="103"/>
      <c r="B1831" s="533"/>
      <c r="C1831" s="533"/>
      <c r="D1831" s="103"/>
      <c r="E1831" s="103"/>
      <c r="F1831" s="103"/>
      <c r="G1831" s="103"/>
      <c r="H1831" s="131"/>
      <c r="I1831" s="468"/>
      <c r="J1831" s="16"/>
      <c r="K1831" s="16"/>
      <c r="L1831" s="8"/>
      <c r="M1831" s="69"/>
      <c r="N1831" s="69"/>
      <c r="O1831" s="69"/>
      <c r="P1831" s="534"/>
      <c r="Q1831" s="274"/>
      <c r="R1831" s="472"/>
      <c r="S1831" s="535"/>
      <c r="T1831" s="535"/>
      <c r="U1831" s="536"/>
      <c r="V1831" s="474"/>
      <c r="Y1831" s="89"/>
      <c r="Z1831" s="60"/>
      <c r="AA1831" s="60"/>
      <c r="AB1831" s="60"/>
      <c r="AC1831" s="30"/>
      <c r="AD1831" s="30"/>
      <c r="AE1831" s="475"/>
      <c r="AF1831" s="476"/>
      <c r="AG1831" s="474"/>
      <c r="AH1831" s="138"/>
    </row>
    <row r="1832">
      <c r="A1832" s="103"/>
      <c r="B1832" s="533"/>
      <c r="C1832" s="533"/>
      <c r="D1832" s="103"/>
      <c r="E1832" s="103"/>
      <c r="F1832" s="103"/>
      <c r="G1832" s="103"/>
      <c r="H1832" s="131"/>
      <c r="I1832" s="468"/>
      <c r="J1832" s="16"/>
      <c r="K1832" s="16"/>
      <c r="L1832" s="8"/>
      <c r="M1832" s="69"/>
      <c r="N1832" s="69"/>
      <c r="O1832" s="69"/>
      <c r="P1832" s="534"/>
      <c r="Q1832" s="274"/>
      <c r="R1832" s="472"/>
      <c r="S1832" s="535"/>
      <c r="T1832" s="535"/>
      <c r="U1832" s="536"/>
      <c r="V1832" s="474"/>
      <c r="Y1832" s="89"/>
      <c r="Z1832" s="60"/>
      <c r="AA1832" s="60"/>
      <c r="AB1832" s="60"/>
      <c r="AC1832" s="30"/>
      <c r="AD1832" s="30"/>
      <c r="AE1832" s="475"/>
      <c r="AF1832" s="476"/>
      <c r="AG1832" s="474"/>
      <c r="AH1832" s="138"/>
    </row>
    <row r="1833">
      <c r="A1833" s="103"/>
      <c r="B1833" s="533"/>
      <c r="C1833" s="533"/>
      <c r="D1833" s="103"/>
      <c r="E1833" s="103"/>
      <c r="F1833" s="103"/>
      <c r="G1833" s="103"/>
      <c r="H1833" s="131"/>
      <c r="I1833" s="468"/>
      <c r="J1833" s="16"/>
      <c r="K1833" s="16"/>
      <c r="L1833" s="8"/>
      <c r="M1833" s="69"/>
      <c r="N1833" s="69"/>
      <c r="O1833" s="69"/>
      <c r="P1833" s="534"/>
      <c r="Q1833" s="274"/>
      <c r="R1833" s="472"/>
      <c r="S1833" s="535"/>
      <c r="T1833" s="535"/>
      <c r="U1833" s="536"/>
      <c r="V1833" s="474"/>
      <c r="Y1833" s="89"/>
      <c r="Z1833" s="60"/>
      <c r="AA1833" s="60"/>
      <c r="AB1833" s="60"/>
      <c r="AC1833" s="30"/>
      <c r="AD1833" s="30"/>
      <c r="AE1833" s="475"/>
      <c r="AF1833" s="476"/>
      <c r="AG1833" s="474"/>
      <c r="AH1833" s="138"/>
    </row>
    <row r="1834">
      <c r="A1834" s="103"/>
      <c r="B1834" s="533"/>
      <c r="C1834" s="533"/>
      <c r="D1834" s="103"/>
      <c r="E1834" s="103"/>
      <c r="F1834" s="103"/>
      <c r="G1834" s="103"/>
      <c r="H1834" s="131"/>
      <c r="I1834" s="468"/>
      <c r="J1834" s="16"/>
      <c r="K1834" s="16"/>
      <c r="L1834" s="8"/>
      <c r="M1834" s="69"/>
      <c r="N1834" s="69"/>
      <c r="O1834" s="69"/>
      <c r="P1834" s="534"/>
      <c r="Q1834" s="274"/>
      <c r="R1834" s="472"/>
      <c r="S1834" s="535"/>
      <c r="T1834" s="535"/>
      <c r="U1834" s="536"/>
      <c r="V1834" s="474"/>
      <c r="Y1834" s="89"/>
      <c r="Z1834" s="60"/>
      <c r="AA1834" s="60"/>
      <c r="AB1834" s="60"/>
      <c r="AC1834" s="30"/>
      <c r="AD1834" s="30"/>
      <c r="AE1834" s="475"/>
      <c r="AF1834" s="476"/>
      <c r="AG1834" s="474"/>
      <c r="AH1834" s="138"/>
    </row>
    <row r="1835">
      <c r="A1835" s="103"/>
      <c r="B1835" s="533"/>
      <c r="C1835" s="533"/>
      <c r="D1835" s="103"/>
      <c r="E1835" s="103"/>
      <c r="F1835" s="103"/>
      <c r="G1835" s="103"/>
      <c r="H1835" s="131"/>
      <c r="I1835" s="468"/>
      <c r="J1835" s="16"/>
      <c r="K1835" s="16"/>
      <c r="L1835" s="8"/>
      <c r="M1835" s="69"/>
      <c r="N1835" s="69"/>
      <c r="O1835" s="69"/>
      <c r="P1835" s="534"/>
      <c r="Q1835" s="274"/>
      <c r="R1835" s="472"/>
      <c r="S1835" s="535"/>
      <c r="T1835" s="535"/>
      <c r="U1835" s="536"/>
      <c r="V1835" s="474"/>
      <c r="Y1835" s="89"/>
      <c r="Z1835" s="60"/>
      <c r="AA1835" s="60"/>
      <c r="AB1835" s="60"/>
      <c r="AC1835" s="30"/>
      <c r="AD1835" s="30"/>
      <c r="AE1835" s="475"/>
      <c r="AF1835" s="476"/>
      <c r="AG1835" s="474"/>
      <c r="AH1835" s="138"/>
    </row>
    <row r="1836">
      <c r="A1836" s="103"/>
      <c r="B1836" s="533"/>
      <c r="C1836" s="533"/>
      <c r="D1836" s="103"/>
      <c r="E1836" s="103"/>
      <c r="F1836" s="103"/>
      <c r="G1836" s="103"/>
      <c r="H1836" s="131"/>
      <c r="I1836" s="468"/>
      <c r="J1836" s="16"/>
      <c r="K1836" s="16"/>
      <c r="L1836" s="8"/>
      <c r="M1836" s="69"/>
      <c r="N1836" s="69"/>
      <c r="O1836" s="69"/>
      <c r="P1836" s="534"/>
      <c r="Q1836" s="274"/>
      <c r="R1836" s="472"/>
      <c r="S1836" s="535"/>
      <c r="T1836" s="535"/>
      <c r="U1836" s="536"/>
      <c r="V1836" s="474"/>
      <c r="Y1836" s="89"/>
      <c r="Z1836" s="60"/>
      <c r="AA1836" s="60"/>
      <c r="AB1836" s="60"/>
      <c r="AC1836" s="30"/>
      <c r="AD1836" s="30"/>
      <c r="AE1836" s="475"/>
      <c r="AF1836" s="476"/>
      <c r="AG1836" s="474"/>
      <c r="AH1836" s="138"/>
    </row>
    <row r="1837">
      <c r="A1837" s="103"/>
      <c r="B1837" s="533"/>
      <c r="C1837" s="533"/>
      <c r="D1837" s="103"/>
      <c r="E1837" s="103"/>
      <c r="F1837" s="103"/>
      <c r="G1837" s="103"/>
      <c r="H1837" s="131"/>
      <c r="I1837" s="468"/>
      <c r="J1837" s="16"/>
      <c r="K1837" s="16"/>
      <c r="L1837" s="8"/>
      <c r="M1837" s="69"/>
      <c r="N1837" s="69"/>
      <c r="O1837" s="69"/>
      <c r="P1837" s="534"/>
      <c r="Q1837" s="274"/>
      <c r="R1837" s="472"/>
      <c r="S1837" s="535"/>
      <c r="T1837" s="535"/>
      <c r="U1837" s="536"/>
      <c r="V1837" s="474"/>
      <c r="Y1837" s="89"/>
      <c r="Z1837" s="60"/>
      <c r="AA1837" s="60"/>
      <c r="AB1837" s="60"/>
      <c r="AC1837" s="30"/>
      <c r="AD1837" s="30"/>
      <c r="AE1837" s="475"/>
      <c r="AF1837" s="476"/>
      <c r="AG1837" s="474"/>
      <c r="AH1837" s="138"/>
    </row>
    <row r="1838">
      <c r="A1838" s="103"/>
      <c r="B1838" s="533"/>
      <c r="C1838" s="533"/>
      <c r="D1838" s="103"/>
      <c r="E1838" s="103"/>
      <c r="F1838" s="103"/>
      <c r="G1838" s="103"/>
      <c r="H1838" s="131"/>
      <c r="I1838" s="468"/>
      <c r="J1838" s="16"/>
      <c r="K1838" s="16"/>
      <c r="L1838" s="8"/>
      <c r="M1838" s="69"/>
      <c r="N1838" s="69"/>
      <c r="O1838" s="69"/>
      <c r="P1838" s="534"/>
      <c r="Q1838" s="274"/>
      <c r="R1838" s="472"/>
      <c r="S1838" s="535"/>
      <c r="T1838" s="535"/>
      <c r="U1838" s="536"/>
      <c r="V1838" s="474"/>
      <c r="Y1838" s="89"/>
      <c r="Z1838" s="60"/>
      <c r="AA1838" s="60"/>
      <c r="AB1838" s="60"/>
      <c r="AC1838" s="30"/>
      <c r="AD1838" s="30"/>
      <c r="AE1838" s="475"/>
      <c r="AF1838" s="476"/>
      <c r="AG1838" s="474"/>
      <c r="AH1838" s="138"/>
    </row>
    <row r="1839">
      <c r="A1839" s="103"/>
      <c r="B1839" s="533"/>
      <c r="C1839" s="533"/>
      <c r="D1839" s="103"/>
      <c r="E1839" s="103"/>
      <c r="F1839" s="103"/>
      <c r="G1839" s="103"/>
      <c r="H1839" s="131"/>
      <c r="I1839" s="468"/>
      <c r="J1839" s="16"/>
      <c r="K1839" s="16"/>
      <c r="L1839" s="8"/>
      <c r="M1839" s="69"/>
      <c r="N1839" s="69"/>
      <c r="O1839" s="69"/>
      <c r="P1839" s="534"/>
      <c r="Q1839" s="274"/>
      <c r="R1839" s="472"/>
      <c r="S1839" s="535"/>
      <c r="T1839" s="535"/>
      <c r="U1839" s="536"/>
      <c r="V1839" s="474"/>
      <c r="Y1839" s="89"/>
      <c r="Z1839" s="60"/>
      <c r="AA1839" s="60"/>
      <c r="AB1839" s="60"/>
      <c r="AC1839" s="30"/>
      <c r="AD1839" s="30"/>
      <c r="AE1839" s="475"/>
      <c r="AF1839" s="476"/>
      <c r="AG1839" s="474"/>
      <c r="AH1839" s="138"/>
    </row>
    <row r="1840">
      <c r="A1840" s="103"/>
      <c r="B1840" s="533"/>
      <c r="C1840" s="533"/>
      <c r="D1840" s="103"/>
      <c r="E1840" s="103"/>
      <c r="F1840" s="103"/>
      <c r="G1840" s="103"/>
      <c r="H1840" s="131"/>
      <c r="I1840" s="468"/>
      <c r="J1840" s="16"/>
      <c r="K1840" s="16"/>
      <c r="L1840" s="8"/>
      <c r="M1840" s="69"/>
      <c r="N1840" s="69"/>
      <c r="O1840" s="69"/>
      <c r="P1840" s="534"/>
      <c r="Q1840" s="274"/>
      <c r="R1840" s="472"/>
      <c r="S1840" s="535"/>
      <c r="T1840" s="535"/>
      <c r="U1840" s="536"/>
      <c r="V1840" s="474"/>
      <c r="Y1840" s="89"/>
      <c r="Z1840" s="60"/>
      <c r="AA1840" s="60"/>
      <c r="AB1840" s="60"/>
      <c r="AC1840" s="30"/>
      <c r="AD1840" s="30"/>
      <c r="AE1840" s="475"/>
      <c r="AF1840" s="476"/>
      <c r="AG1840" s="474"/>
      <c r="AH1840" s="138"/>
    </row>
    <row r="1841">
      <c r="A1841" s="103"/>
      <c r="B1841" s="533"/>
      <c r="C1841" s="533"/>
      <c r="D1841" s="103"/>
      <c r="E1841" s="103"/>
      <c r="F1841" s="103"/>
      <c r="G1841" s="103"/>
      <c r="H1841" s="131"/>
      <c r="I1841" s="468"/>
      <c r="J1841" s="16"/>
      <c r="K1841" s="16"/>
      <c r="L1841" s="8"/>
      <c r="M1841" s="69"/>
      <c r="N1841" s="69"/>
      <c r="O1841" s="69"/>
      <c r="P1841" s="534"/>
      <c r="Q1841" s="274"/>
      <c r="R1841" s="472"/>
      <c r="S1841" s="535"/>
      <c r="T1841" s="535"/>
      <c r="U1841" s="536"/>
      <c r="V1841" s="474"/>
      <c r="Y1841" s="89"/>
      <c r="Z1841" s="60"/>
      <c r="AA1841" s="60"/>
      <c r="AB1841" s="60"/>
      <c r="AC1841" s="30"/>
      <c r="AD1841" s="30"/>
      <c r="AE1841" s="475"/>
      <c r="AF1841" s="476"/>
      <c r="AG1841" s="474"/>
      <c r="AH1841" s="138"/>
    </row>
    <row r="1842">
      <c r="A1842" s="103"/>
      <c r="B1842" s="533"/>
      <c r="C1842" s="533"/>
      <c r="D1842" s="103"/>
      <c r="E1842" s="103"/>
      <c r="F1842" s="103"/>
      <c r="G1842" s="103"/>
      <c r="H1842" s="131"/>
      <c r="I1842" s="468"/>
      <c r="J1842" s="16"/>
      <c r="K1842" s="16"/>
      <c r="L1842" s="8"/>
      <c r="M1842" s="69"/>
      <c r="N1842" s="69"/>
      <c r="O1842" s="69"/>
      <c r="P1842" s="534"/>
      <c r="Q1842" s="274"/>
      <c r="R1842" s="472"/>
      <c r="S1842" s="535"/>
      <c r="T1842" s="535"/>
      <c r="U1842" s="536"/>
      <c r="V1842" s="474"/>
      <c r="Y1842" s="89"/>
      <c r="Z1842" s="60"/>
      <c r="AA1842" s="60"/>
      <c r="AB1842" s="60"/>
      <c r="AC1842" s="30"/>
      <c r="AD1842" s="30"/>
      <c r="AE1842" s="475"/>
      <c r="AF1842" s="476"/>
      <c r="AG1842" s="474"/>
      <c r="AH1842" s="138"/>
    </row>
    <row r="1843">
      <c r="A1843" s="103"/>
      <c r="B1843" s="533"/>
      <c r="C1843" s="533"/>
      <c r="D1843" s="103"/>
      <c r="E1843" s="103"/>
      <c r="F1843" s="103"/>
      <c r="G1843" s="103"/>
      <c r="H1843" s="131"/>
      <c r="I1843" s="468"/>
      <c r="J1843" s="16"/>
      <c r="K1843" s="16"/>
      <c r="L1843" s="8"/>
      <c r="M1843" s="69"/>
      <c r="N1843" s="69"/>
      <c r="O1843" s="69"/>
      <c r="P1843" s="534"/>
      <c r="Q1843" s="274"/>
      <c r="R1843" s="472"/>
      <c r="S1843" s="535"/>
      <c r="T1843" s="535"/>
      <c r="U1843" s="536"/>
      <c r="V1843" s="474"/>
      <c r="Y1843" s="89"/>
      <c r="Z1843" s="60"/>
      <c r="AA1843" s="60"/>
      <c r="AB1843" s="60"/>
      <c r="AC1843" s="30"/>
      <c r="AD1843" s="30"/>
      <c r="AE1843" s="475"/>
      <c r="AF1843" s="476"/>
      <c r="AG1843" s="474"/>
      <c r="AH1843" s="138"/>
    </row>
    <row r="1844">
      <c r="A1844" s="103"/>
      <c r="B1844" s="533"/>
      <c r="C1844" s="533"/>
      <c r="D1844" s="103"/>
      <c r="E1844" s="103"/>
      <c r="F1844" s="103"/>
      <c r="G1844" s="103"/>
      <c r="H1844" s="131"/>
      <c r="I1844" s="468"/>
      <c r="J1844" s="16"/>
      <c r="K1844" s="16"/>
      <c r="L1844" s="8"/>
      <c r="M1844" s="69"/>
      <c r="N1844" s="69"/>
      <c r="O1844" s="69"/>
      <c r="P1844" s="534"/>
      <c r="Q1844" s="274"/>
      <c r="R1844" s="472"/>
      <c r="S1844" s="535"/>
      <c r="T1844" s="535"/>
      <c r="U1844" s="536"/>
      <c r="V1844" s="474"/>
      <c r="Y1844" s="89"/>
      <c r="Z1844" s="60"/>
      <c r="AA1844" s="60"/>
      <c r="AB1844" s="60"/>
      <c r="AC1844" s="30"/>
      <c r="AD1844" s="30"/>
      <c r="AE1844" s="475"/>
      <c r="AF1844" s="476"/>
      <c r="AG1844" s="474"/>
      <c r="AH1844" s="138"/>
    </row>
    <row r="1845">
      <c r="A1845" s="103"/>
      <c r="B1845" s="533"/>
      <c r="C1845" s="533"/>
      <c r="D1845" s="103"/>
      <c r="E1845" s="103"/>
      <c r="F1845" s="103"/>
      <c r="G1845" s="103"/>
      <c r="H1845" s="131"/>
      <c r="I1845" s="468"/>
      <c r="J1845" s="16"/>
      <c r="K1845" s="16"/>
      <c r="L1845" s="8"/>
      <c r="M1845" s="69"/>
      <c r="N1845" s="69"/>
      <c r="O1845" s="69"/>
      <c r="P1845" s="534"/>
      <c r="Q1845" s="274"/>
      <c r="R1845" s="472"/>
      <c r="S1845" s="535"/>
      <c r="T1845" s="535"/>
      <c r="U1845" s="536"/>
      <c r="V1845" s="474"/>
      <c r="Y1845" s="89"/>
      <c r="Z1845" s="60"/>
      <c r="AA1845" s="60"/>
      <c r="AB1845" s="60"/>
      <c r="AC1845" s="30"/>
      <c r="AD1845" s="30"/>
      <c r="AE1845" s="475"/>
      <c r="AF1845" s="476"/>
      <c r="AG1845" s="474"/>
      <c r="AH1845" s="138"/>
    </row>
    <row r="1846">
      <c r="A1846" s="103"/>
      <c r="B1846" s="533"/>
      <c r="C1846" s="533"/>
      <c r="D1846" s="103"/>
      <c r="E1846" s="103"/>
      <c r="F1846" s="103"/>
      <c r="G1846" s="103"/>
      <c r="H1846" s="131"/>
      <c r="I1846" s="468"/>
      <c r="J1846" s="16"/>
      <c r="K1846" s="16"/>
      <c r="L1846" s="8"/>
      <c r="M1846" s="69"/>
      <c r="N1846" s="69"/>
      <c r="O1846" s="69"/>
      <c r="P1846" s="534"/>
      <c r="Q1846" s="274"/>
      <c r="R1846" s="472"/>
      <c r="S1846" s="535"/>
      <c r="T1846" s="535"/>
      <c r="U1846" s="536"/>
      <c r="V1846" s="474"/>
      <c r="Y1846" s="89"/>
      <c r="Z1846" s="60"/>
      <c r="AA1846" s="60"/>
      <c r="AB1846" s="60"/>
      <c r="AC1846" s="30"/>
      <c r="AD1846" s="30"/>
      <c r="AE1846" s="475"/>
      <c r="AF1846" s="476"/>
      <c r="AG1846" s="474"/>
      <c r="AH1846" s="138"/>
    </row>
    <row r="1847">
      <c r="A1847" s="103"/>
      <c r="B1847" s="533"/>
      <c r="C1847" s="533"/>
      <c r="D1847" s="103"/>
      <c r="E1847" s="103"/>
      <c r="F1847" s="103"/>
      <c r="G1847" s="103"/>
      <c r="H1847" s="131"/>
      <c r="I1847" s="468"/>
      <c r="J1847" s="16"/>
      <c r="K1847" s="16"/>
      <c r="L1847" s="8"/>
      <c r="M1847" s="69"/>
      <c r="N1847" s="69"/>
      <c r="O1847" s="69"/>
      <c r="P1847" s="534"/>
      <c r="Q1847" s="274"/>
      <c r="R1847" s="472"/>
      <c r="S1847" s="535"/>
      <c r="T1847" s="535"/>
      <c r="U1847" s="536"/>
      <c r="V1847" s="474"/>
      <c r="Y1847" s="89"/>
      <c r="Z1847" s="60"/>
      <c r="AA1847" s="60"/>
      <c r="AB1847" s="60"/>
      <c r="AC1847" s="30"/>
      <c r="AD1847" s="30"/>
      <c r="AE1847" s="475"/>
      <c r="AF1847" s="476"/>
      <c r="AG1847" s="474"/>
      <c r="AH1847" s="138"/>
    </row>
    <row r="1848">
      <c r="A1848" s="103"/>
      <c r="B1848" s="533"/>
      <c r="C1848" s="533"/>
      <c r="D1848" s="103"/>
      <c r="E1848" s="103"/>
      <c r="F1848" s="103"/>
      <c r="G1848" s="103"/>
      <c r="H1848" s="131"/>
      <c r="I1848" s="468"/>
      <c r="J1848" s="16"/>
      <c r="K1848" s="16"/>
      <c r="L1848" s="8"/>
      <c r="M1848" s="69"/>
      <c r="N1848" s="69"/>
      <c r="O1848" s="69"/>
      <c r="P1848" s="534"/>
      <c r="Q1848" s="274"/>
      <c r="R1848" s="472"/>
      <c r="S1848" s="535"/>
      <c r="T1848" s="535"/>
      <c r="U1848" s="536"/>
      <c r="V1848" s="474"/>
      <c r="Y1848" s="89"/>
      <c r="Z1848" s="60"/>
      <c r="AA1848" s="60"/>
      <c r="AB1848" s="60"/>
      <c r="AC1848" s="30"/>
      <c r="AD1848" s="30"/>
      <c r="AE1848" s="475"/>
      <c r="AF1848" s="476"/>
      <c r="AG1848" s="474"/>
      <c r="AH1848" s="138"/>
    </row>
    <row r="1849">
      <c r="A1849" s="103"/>
      <c r="B1849" s="533"/>
      <c r="C1849" s="533"/>
      <c r="D1849" s="103"/>
      <c r="E1849" s="103"/>
      <c r="F1849" s="103"/>
      <c r="G1849" s="103"/>
      <c r="H1849" s="131"/>
      <c r="I1849" s="468"/>
      <c r="J1849" s="16"/>
      <c r="K1849" s="16"/>
      <c r="L1849" s="8"/>
      <c r="M1849" s="69"/>
      <c r="N1849" s="69"/>
      <c r="O1849" s="69"/>
      <c r="P1849" s="534"/>
      <c r="Q1849" s="274"/>
      <c r="R1849" s="472"/>
      <c r="S1849" s="535"/>
      <c r="T1849" s="535"/>
      <c r="U1849" s="536"/>
      <c r="V1849" s="474"/>
      <c r="Y1849" s="89"/>
      <c r="Z1849" s="60"/>
      <c r="AA1849" s="60"/>
      <c r="AB1849" s="60"/>
      <c r="AC1849" s="30"/>
      <c r="AD1849" s="30"/>
      <c r="AE1849" s="475"/>
      <c r="AF1849" s="476"/>
      <c r="AG1849" s="474"/>
      <c r="AH1849" s="138"/>
    </row>
    <row r="1850">
      <c r="A1850" s="103"/>
      <c r="B1850" s="533"/>
      <c r="C1850" s="533"/>
      <c r="D1850" s="103"/>
      <c r="E1850" s="103"/>
      <c r="F1850" s="103"/>
      <c r="G1850" s="103"/>
      <c r="H1850" s="131"/>
      <c r="I1850" s="468"/>
      <c r="J1850" s="16"/>
      <c r="K1850" s="16"/>
      <c r="L1850" s="8"/>
      <c r="M1850" s="69"/>
      <c r="N1850" s="69"/>
      <c r="O1850" s="69"/>
      <c r="P1850" s="534"/>
      <c r="Q1850" s="274"/>
      <c r="R1850" s="472"/>
      <c r="S1850" s="535"/>
      <c r="T1850" s="535"/>
      <c r="U1850" s="536"/>
      <c r="V1850" s="474"/>
      <c r="Y1850" s="89"/>
      <c r="Z1850" s="60"/>
      <c r="AA1850" s="60"/>
      <c r="AB1850" s="60"/>
      <c r="AC1850" s="30"/>
      <c r="AD1850" s="30"/>
      <c r="AE1850" s="475"/>
      <c r="AF1850" s="476"/>
      <c r="AG1850" s="474"/>
      <c r="AH1850" s="138"/>
    </row>
    <row r="1851">
      <c r="A1851" s="103"/>
      <c r="B1851" s="533"/>
      <c r="C1851" s="533"/>
      <c r="D1851" s="103"/>
      <c r="E1851" s="103"/>
      <c r="F1851" s="103"/>
      <c r="G1851" s="103"/>
      <c r="H1851" s="131"/>
      <c r="I1851" s="468"/>
      <c r="J1851" s="16"/>
      <c r="K1851" s="16"/>
      <c r="L1851" s="8"/>
      <c r="M1851" s="69"/>
      <c r="N1851" s="69"/>
      <c r="O1851" s="69"/>
      <c r="P1851" s="534"/>
      <c r="Q1851" s="274"/>
      <c r="R1851" s="472"/>
      <c r="S1851" s="535"/>
      <c r="T1851" s="535"/>
      <c r="U1851" s="536"/>
      <c r="V1851" s="474"/>
      <c r="Y1851" s="89"/>
      <c r="Z1851" s="60"/>
      <c r="AA1851" s="60"/>
      <c r="AB1851" s="60"/>
      <c r="AC1851" s="30"/>
      <c r="AD1851" s="30"/>
      <c r="AE1851" s="475"/>
      <c r="AF1851" s="476"/>
      <c r="AG1851" s="474"/>
      <c r="AH1851" s="138"/>
    </row>
    <row r="1852">
      <c r="A1852" s="103"/>
      <c r="B1852" s="533"/>
      <c r="C1852" s="533"/>
      <c r="D1852" s="103"/>
      <c r="E1852" s="103"/>
      <c r="F1852" s="103"/>
      <c r="G1852" s="103"/>
      <c r="H1852" s="131"/>
      <c r="I1852" s="468"/>
      <c r="J1852" s="16"/>
      <c r="K1852" s="16"/>
      <c r="L1852" s="8"/>
      <c r="M1852" s="69"/>
      <c r="N1852" s="69"/>
      <c r="O1852" s="69"/>
      <c r="P1852" s="534"/>
      <c r="Q1852" s="274"/>
      <c r="R1852" s="472"/>
      <c r="S1852" s="535"/>
      <c r="T1852" s="535"/>
      <c r="U1852" s="536"/>
      <c r="V1852" s="474"/>
      <c r="Y1852" s="89"/>
      <c r="Z1852" s="60"/>
      <c r="AA1852" s="60"/>
      <c r="AB1852" s="60"/>
      <c r="AC1852" s="30"/>
      <c r="AD1852" s="30"/>
      <c r="AE1852" s="475"/>
      <c r="AF1852" s="476"/>
      <c r="AG1852" s="474"/>
      <c r="AH1852" s="138"/>
    </row>
    <row r="1853">
      <c r="A1853" s="103"/>
      <c r="B1853" s="533"/>
      <c r="C1853" s="533"/>
      <c r="D1853" s="103"/>
      <c r="E1853" s="103"/>
      <c r="F1853" s="103"/>
      <c r="G1853" s="103"/>
      <c r="H1853" s="131"/>
      <c r="I1853" s="468"/>
      <c r="J1853" s="16"/>
      <c r="K1853" s="16"/>
      <c r="L1853" s="8"/>
      <c r="M1853" s="69"/>
      <c r="N1853" s="69"/>
      <c r="O1853" s="69"/>
      <c r="P1853" s="534"/>
      <c r="Q1853" s="274"/>
      <c r="R1853" s="472"/>
      <c r="S1853" s="535"/>
      <c r="T1853" s="535"/>
      <c r="U1853" s="536"/>
      <c r="V1853" s="474"/>
      <c r="Y1853" s="89"/>
      <c r="Z1853" s="60"/>
      <c r="AA1853" s="60"/>
      <c r="AB1853" s="60"/>
      <c r="AC1853" s="30"/>
      <c r="AD1853" s="30"/>
      <c r="AE1853" s="475"/>
      <c r="AF1853" s="476"/>
      <c r="AG1853" s="474"/>
      <c r="AH1853" s="138"/>
    </row>
    <row r="1854">
      <c r="A1854" s="103"/>
      <c r="B1854" s="533"/>
      <c r="C1854" s="533"/>
      <c r="D1854" s="103"/>
      <c r="E1854" s="103"/>
      <c r="F1854" s="103"/>
      <c r="G1854" s="103"/>
      <c r="H1854" s="131"/>
      <c r="I1854" s="468"/>
      <c r="J1854" s="16"/>
      <c r="K1854" s="16"/>
      <c r="L1854" s="8"/>
      <c r="M1854" s="69"/>
      <c r="N1854" s="69"/>
      <c r="O1854" s="69"/>
      <c r="P1854" s="534"/>
      <c r="Q1854" s="274"/>
      <c r="R1854" s="472"/>
      <c r="S1854" s="535"/>
      <c r="T1854" s="535"/>
      <c r="U1854" s="536"/>
      <c r="V1854" s="474"/>
      <c r="Y1854" s="89"/>
      <c r="Z1854" s="60"/>
      <c r="AA1854" s="60"/>
      <c r="AB1854" s="60"/>
      <c r="AC1854" s="30"/>
      <c r="AD1854" s="30"/>
      <c r="AE1854" s="475"/>
      <c r="AF1854" s="476"/>
      <c r="AG1854" s="474"/>
      <c r="AH1854" s="138"/>
    </row>
    <row r="1855">
      <c r="A1855" s="103"/>
      <c r="B1855" s="533"/>
      <c r="C1855" s="533"/>
      <c r="D1855" s="103"/>
      <c r="E1855" s="103"/>
      <c r="F1855" s="103"/>
      <c r="G1855" s="103"/>
      <c r="H1855" s="131"/>
      <c r="I1855" s="468"/>
      <c r="J1855" s="16"/>
      <c r="K1855" s="16"/>
      <c r="L1855" s="8"/>
      <c r="M1855" s="69"/>
      <c r="N1855" s="69"/>
      <c r="O1855" s="69"/>
      <c r="P1855" s="534"/>
      <c r="Q1855" s="274"/>
      <c r="R1855" s="472"/>
      <c r="S1855" s="535"/>
      <c r="T1855" s="535"/>
      <c r="U1855" s="536"/>
      <c r="V1855" s="474"/>
      <c r="Y1855" s="89"/>
      <c r="Z1855" s="60"/>
      <c r="AA1855" s="60"/>
      <c r="AB1855" s="60"/>
      <c r="AC1855" s="30"/>
      <c r="AD1855" s="30"/>
      <c r="AE1855" s="475"/>
      <c r="AF1855" s="476"/>
      <c r="AG1855" s="474"/>
      <c r="AH1855" s="138"/>
    </row>
    <row r="1856">
      <c r="A1856" s="103"/>
      <c r="B1856" s="533"/>
      <c r="C1856" s="533"/>
      <c r="D1856" s="103"/>
      <c r="E1856" s="103"/>
      <c r="F1856" s="103"/>
      <c r="G1856" s="103"/>
      <c r="H1856" s="131"/>
      <c r="I1856" s="468"/>
      <c r="J1856" s="16"/>
      <c r="K1856" s="16"/>
      <c r="L1856" s="8"/>
      <c r="M1856" s="69"/>
      <c r="N1856" s="69"/>
      <c r="O1856" s="69"/>
      <c r="P1856" s="534"/>
      <c r="Q1856" s="274"/>
      <c r="R1856" s="472"/>
      <c r="S1856" s="535"/>
      <c r="T1856" s="535"/>
      <c r="U1856" s="536"/>
      <c r="V1856" s="474"/>
      <c r="Y1856" s="89"/>
      <c r="Z1856" s="60"/>
      <c r="AA1856" s="60"/>
      <c r="AB1856" s="60"/>
      <c r="AC1856" s="30"/>
      <c r="AD1856" s="30"/>
      <c r="AE1856" s="475"/>
      <c r="AF1856" s="476"/>
      <c r="AG1856" s="474"/>
      <c r="AH1856" s="138"/>
    </row>
    <row r="1857">
      <c r="A1857" s="103"/>
      <c r="B1857" s="533"/>
      <c r="C1857" s="533"/>
      <c r="D1857" s="103"/>
      <c r="E1857" s="103"/>
      <c r="F1857" s="103"/>
      <c r="G1857" s="103"/>
      <c r="H1857" s="131"/>
      <c r="I1857" s="468"/>
      <c r="J1857" s="16"/>
      <c r="K1857" s="16"/>
      <c r="L1857" s="8"/>
      <c r="M1857" s="69"/>
      <c r="N1857" s="69"/>
      <c r="O1857" s="69"/>
      <c r="P1857" s="534"/>
      <c r="Q1857" s="274"/>
      <c r="R1857" s="472"/>
      <c r="S1857" s="535"/>
      <c r="T1857" s="535"/>
      <c r="U1857" s="536"/>
      <c r="V1857" s="474"/>
      <c r="Y1857" s="89"/>
      <c r="Z1857" s="60"/>
      <c r="AA1857" s="60"/>
      <c r="AB1857" s="60"/>
      <c r="AC1857" s="30"/>
      <c r="AD1857" s="30"/>
      <c r="AE1857" s="475"/>
      <c r="AF1857" s="476"/>
      <c r="AG1857" s="474"/>
      <c r="AH1857" s="138"/>
    </row>
    <row r="1858">
      <c r="A1858" s="103"/>
      <c r="B1858" s="533"/>
      <c r="C1858" s="533"/>
      <c r="D1858" s="103"/>
      <c r="E1858" s="103"/>
      <c r="F1858" s="103"/>
      <c r="G1858" s="103"/>
      <c r="H1858" s="131"/>
      <c r="I1858" s="468"/>
      <c r="J1858" s="16"/>
      <c r="K1858" s="16"/>
      <c r="L1858" s="8"/>
      <c r="M1858" s="69"/>
      <c r="N1858" s="69"/>
      <c r="O1858" s="69"/>
      <c r="P1858" s="534"/>
      <c r="Q1858" s="274"/>
      <c r="R1858" s="472"/>
      <c r="S1858" s="535"/>
      <c r="T1858" s="535"/>
      <c r="U1858" s="536"/>
      <c r="V1858" s="474"/>
      <c r="Y1858" s="89"/>
      <c r="Z1858" s="60"/>
      <c r="AA1858" s="60"/>
      <c r="AB1858" s="60"/>
      <c r="AC1858" s="30"/>
      <c r="AD1858" s="30"/>
      <c r="AE1858" s="475"/>
      <c r="AF1858" s="476"/>
      <c r="AG1858" s="474"/>
      <c r="AH1858" s="138"/>
    </row>
    <row r="1859">
      <c r="A1859" s="103"/>
      <c r="B1859" s="533"/>
      <c r="C1859" s="533"/>
      <c r="D1859" s="103"/>
      <c r="E1859" s="103"/>
      <c r="F1859" s="103"/>
      <c r="G1859" s="103"/>
      <c r="H1859" s="131"/>
      <c r="I1859" s="468"/>
      <c r="J1859" s="16"/>
      <c r="K1859" s="16"/>
      <c r="L1859" s="8"/>
      <c r="M1859" s="69"/>
      <c r="N1859" s="69"/>
      <c r="O1859" s="69"/>
      <c r="P1859" s="534"/>
      <c r="Q1859" s="274"/>
      <c r="R1859" s="472"/>
      <c r="S1859" s="535"/>
      <c r="T1859" s="535"/>
      <c r="U1859" s="536"/>
      <c r="V1859" s="474"/>
      <c r="Y1859" s="89"/>
      <c r="Z1859" s="60"/>
      <c r="AA1859" s="60"/>
      <c r="AB1859" s="60"/>
      <c r="AC1859" s="30"/>
      <c r="AD1859" s="30"/>
      <c r="AE1859" s="475"/>
      <c r="AF1859" s="476"/>
      <c r="AG1859" s="474"/>
      <c r="AH1859" s="138"/>
    </row>
    <row r="1860">
      <c r="A1860" s="103"/>
      <c r="B1860" s="533"/>
      <c r="C1860" s="533"/>
      <c r="D1860" s="103"/>
      <c r="E1860" s="103"/>
      <c r="F1860" s="103"/>
      <c r="G1860" s="103"/>
      <c r="H1860" s="131"/>
      <c r="I1860" s="468"/>
      <c r="J1860" s="16"/>
      <c r="K1860" s="16"/>
      <c r="L1860" s="8"/>
      <c r="M1860" s="69"/>
      <c r="N1860" s="69"/>
      <c r="O1860" s="69"/>
      <c r="P1860" s="534"/>
      <c r="Q1860" s="274"/>
      <c r="R1860" s="472"/>
      <c r="S1860" s="535"/>
      <c r="T1860" s="535"/>
      <c r="U1860" s="536"/>
      <c r="V1860" s="474"/>
      <c r="Y1860" s="89"/>
      <c r="Z1860" s="60"/>
      <c r="AA1860" s="60"/>
      <c r="AB1860" s="60"/>
      <c r="AC1860" s="30"/>
      <c r="AD1860" s="30"/>
      <c r="AE1860" s="475"/>
      <c r="AF1860" s="476"/>
      <c r="AG1860" s="474"/>
      <c r="AH1860" s="138"/>
    </row>
    <row r="1861">
      <c r="A1861" s="103"/>
      <c r="B1861" s="533"/>
      <c r="C1861" s="533"/>
      <c r="D1861" s="103"/>
      <c r="E1861" s="103"/>
      <c r="F1861" s="103"/>
      <c r="G1861" s="103"/>
      <c r="H1861" s="131"/>
      <c r="I1861" s="468"/>
      <c r="J1861" s="16"/>
      <c r="K1861" s="16"/>
      <c r="L1861" s="8"/>
      <c r="M1861" s="69"/>
      <c r="N1861" s="69"/>
      <c r="O1861" s="69"/>
      <c r="P1861" s="534"/>
      <c r="Q1861" s="274"/>
      <c r="R1861" s="472"/>
      <c r="S1861" s="535"/>
      <c r="T1861" s="535"/>
      <c r="U1861" s="536"/>
      <c r="V1861" s="474"/>
      <c r="Y1861" s="89"/>
      <c r="Z1861" s="60"/>
      <c r="AA1861" s="60"/>
      <c r="AB1861" s="60"/>
      <c r="AC1861" s="30"/>
      <c r="AD1861" s="30"/>
      <c r="AE1861" s="475"/>
      <c r="AF1861" s="476"/>
      <c r="AG1861" s="474"/>
      <c r="AH1861" s="138"/>
    </row>
    <row r="1862">
      <c r="A1862" s="103"/>
      <c r="B1862" s="533"/>
      <c r="C1862" s="533"/>
      <c r="D1862" s="103"/>
      <c r="E1862" s="103"/>
      <c r="F1862" s="103"/>
      <c r="G1862" s="103"/>
      <c r="H1862" s="131"/>
      <c r="I1862" s="468"/>
      <c r="J1862" s="16"/>
      <c r="K1862" s="16"/>
      <c r="L1862" s="8"/>
      <c r="M1862" s="69"/>
      <c r="N1862" s="69"/>
      <c r="O1862" s="69"/>
      <c r="P1862" s="534"/>
      <c r="Q1862" s="274"/>
      <c r="R1862" s="472"/>
      <c r="S1862" s="535"/>
      <c r="T1862" s="535"/>
      <c r="U1862" s="536"/>
      <c r="V1862" s="474"/>
      <c r="Y1862" s="89"/>
      <c r="Z1862" s="60"/>
      <c r="AA1862" s="60"/>
      <c r="AB1862" s="60"/>
      <c r="AC1862" s="30"/>
      <c r="AD1862" s="30"/>
      <c r="AE1862" s="475"/>
      <c r="AF1862" s="476"/>
      <c r="AG1862" s="474"/>
      <c r="AH1862" s="138"/>
    </row>
    <row r="1863">
      <c r="A1863" s="103"/>
      <c r="B1863" s="533"/>
      <c r="C1863" s="533"/>
      <c r="D1863" s="103"/>
      <c r="E1863" s="103"/>
      <c r="F1863" s="103"/>
      <c r="G1863" s="103"/>
      <c r="H1863" s="131"/>
      <c r="I1863" s="468"/>
      <c r="J1863" s="16"/>
      <c r="K1863" s="16"/>
      <c r="L1863" s="8"/>
      <c r="M1863" s="69"/>
      <c r="N1863" s="69"/>
      <c r="O1863" s="69"/>
      <c r="P1863" s="534"/>
      <c r="Q1863" s="274"/>
      <c r="R1863" s="472"/>
      <c r="S1863" s="535"/>
      <c r="T1863" s="535"/>
      <c r="U1863" s="536"/>
      <c r="V1863" s="474"/>
      <c r="Y1863" s="89"/>
      <c r="Z1863" s="60"/>
      <c r="AA1863" s="60"/>
      <c r="AB1863" s="60"/>
      <c r="AC1863" s="30"/>
      <c r="AD1863" s="30"/>
      <c r="AE1863" s="475"/>
      <c r="AF1863" s="476"/>
      <c r="AG1863" s="474"/>
      <c r="AH1863" s="138"/>
    </row>
    <row r="1864">
      <c r="A1864" s="103"/>
      <c r="B1864" s="533"/>
      <c r="C1864" s="533"/>
      <c r="D1864" s="103"/>
      <c r="E1864" s="103"/>
      <c r="F1864" s="103"/>
      <c r="G1864" s="103"/>
      <c r="H1864" s="131"/>
      <c r="I1864" s="468"/>
      <c r="J1864" s="16"/>
      <c r="K1864" s="16"/>
      <c r="L1864" s="8"/>
      <c r="M1864" s="69"/>
      <c r="N1864" s="69"/>
      <c r="O1864" s="69"/>
      <c r="P1864" s="534"/>
      <c r="Q1864" s="274"/>
      <c r="R1864" s="472"/>
      <c r="S1864" s="535"/>
      <c r="T1864" s="535"/>
      <c r="U1864" s="536"/>
      <c r="V1864" s="474"/>
      <c r="Y1864" s="89"/>
      <c r="Z1864" s="60"/>
      <c r="AA1864" s="60"/>
      <c r="AB1864" s="60"/>
      <c r="AC1864" s="30"/>
      <c r="AD1864" s="30"/>
      <c r="AE1864" s="475"/>
      <c r="AF1864" s="476"/>
      <c r="AG1864" s="474"/>
      <c r="AH1864" s="138"/>
    </row>
    <row r="1865">
      <c r="A1865" s="103"/>
      <c r="B1865" s="533"/>
      <c r="C1865" s="533"/>
      <c r="D1865" s="103"/>
      <c r="E1865" s="103"/>
      <c r="F1865" s="103"/>
      <c r="G1865" s="103"/>
      <c r="H1865" s="131"/>
      <c r="I1865" s="468"/>
      <c r="J1865" s="16"/>
      <c r="K1865" s="16"/>
      <c r="L1865" s="8"/>
      <c r="M1865" s="69"/>
      <c r="N1865" s="69"/>
      <c r="O1865" s="69"/>
      <c r="P1865" s="534"/>
      <c r="Q1865" s="274"/>
      <c r="R1865" s="472"/>
      <c r="S1865" s="535"/>
      <c r="T1865" s="535"/>
      <c r="U1865" s="536"/>
      <c r="V1865" s="474"/>
      <c r="Y1865" s="89"/>
      <c r="Z1865" s="60"/>
      <c r="AA1865" s="60"/>
      <c r="AB1865" s="60"/>
      <c r="AC1865" s="30"/>
      <c r="AD1865" s="30"/>
      <c r="AE1865" s="475"/>
      <c r="AF1865" s="476"/>
      <c r="AG1865" s="474"/>
      <c r="AH1865" s="138"/>
    </row>
    <row r="1866">
      <c r="A1866" s="103"/>
      <c r="B1866" s="533"/>
      <c r="C1866" s="533"/>
      <c r="D1866" s="103"/>
      <c r="E1866" s="103"/>
      <c r="F1866" s="103"/>
      <c r="G1866" s="103"/>
      <c r="H1866" s="131"/>
      <c r="I1866" s="468"/>
      <c r="J1866" s="16"/>
      <c r="K1866" s="16"/>
      <c r="L1866" s="8"/>
      <c r="M1866" s="69"/>
      <c r="N1866" s="69"/>
      <c r="O1866" s="69"/>
      <c r="P1866" s="534"/>
      <c r="Q1866" s="274"/>
      <c r="R1866" s="472"/>
      <c r="S1866" s="535"/>
      <c r="T1866" s="535"/>
      <c r="U1866" s="536"/>
      <c r="V1866" s="474"/>
      <c r="Y1866" s="89"/>
      <c r="Z1866" s="60"/>
      <c r="AA1866" s="60"/>
      <c r="AB1866" s="60"/>
      <c r="AC1866" s="30"/>
      <c r="AD1866" s="30"/>
      <c r="AE1866" s="475"/>
      <c r="AF1866" s="476"/>
      <c r="AG1866" s="474"/>
      <c r="AH1866" s="138"/>
    </row>
    <row r="1867">
      <c r="A1867" s="103"/>
      <c r="B1867" s="533"/>
      <c r="C1867" s="533"/>
      <c r="D1867" s="103"/>
      <c r="E1867" s="103"/>
      <c r="F1867" s="103"/>
      <c r="G1867" s="103"/>
      <c r="H1867" s="131"/>
      <c r="I1867" s="468"/>
      <c r="J1867" s="16"/>
      <c r="K1867" s="16"/>
      <c r="L1867" s="8"/>
      <c r="M1867" s="69"/>
      <c r="N1867" s="69"/>
      <c r="O1867" s="69"/>
      <c r="P1867" s="534"/>
      <c r="Q1867" s="274"/>
      <c r="R1867" s="472"/>
      <c r="S1867" s="535"/>
      <c r="T1867" s="535"/>
      <c r="U1867" s="536"/>
      <c r="V1867" s="474"/>
      <c r="Y1867" s="89"/>
      <c r="Z1867" s="60"/>
      <c r="AA1867" s="60"/>
      <c r="AB1867" s="60"/>
      <c r="AC1867" s="30"/>
      <c r="AD1867" s="30"/>
      <c r="AE1867" s="475"/>
      <c r="AF1867" s="476"/>
      <c r="AG1867" s="474"/>
      <c r="AH1867" s="138"/>
    </row>
    <row r="1868">
      <c r="A1868" s="103"/>
      <c r="B1868" s="533"/>
      <c r="C1868" s="533"/>
      <c r="D1868" s="103"/>
      <c r="E1868" s="103"/>
      <c r="F1868" s="103"/>
      <c r="G1868" s="103"/>
      <c r="H1868" s="131"/>
      <c r="I1868" s="468"/>
      <c r="J1868" s="16"/>
      <c r="K1868" s="16"/>
      <c r="L1868" s="8"/>
      <c r="M1868" s="69"/>
      <c r="N1868" s="69"/>
      <c r="O1868" s="69"/>
      <c r="P1868" s="534"/>
      <c r="Q1868" s="274"/>
      <c r="R1868" s="472"/>
      <c r="S1868" s="535"/>
      <c r="T1868" s="535"/>
      <c r="U1868" s="536"/>
      <c r="V1868" s="474"/>
      <c r="Y1868" s="89"/>
      <c r="Z1868" s="60"/>
      <c r="AA1868" s="60"/>
      <c r="AB1868" s="60"/>
      <c r="AC1868" s="30"/>
      <c r="AD1868" s="30"/>
      <c r="AE1868" s="475"/>
      <c r="AF1868" s="476"/>
      <c r="AG1868" s="474"/>
      <c r="AH1868" s="138"/>
    </row>
    <row r="1869">
      <c r="A1869" s="103"/>
      <c r="B1869" s="533"/>
      <c r="C1869" s="533"/>
      <c r="D1869" s="103"/>
      <c r="E1869" s="103"/>
      <c r="F1869" s="103"/>
      <c r="G1869" s="103"/>
      <c r="H1869" s="131"/>
      <c r="I1869" s="468"/>
      <c r="J1869" s="16"/>
      <c r="K1869" s="16"/>
      <c r="L1869" s="8"/>
      <c r="M1869" s="69"/>
      <c r="N1869" s="69"/>
      <c r="O1869" s="69"/>
      <c r="P1869" s="534"/>
      <c r="Q1869" s="274"/>
      <c r="R1869" s="472"/>
      <c r="S1869" s="535"/>
      <c r="T1869" s="535"/>
      <c r="U1869" s="536"/>
      <c r="V1869" s="474"/>
      <c r="Y1869" s="89"/>
      <c r="Z1869" s="60"/>
      <c r="AA1869" s="60"/>
      <c r="AB1869" s="60"/>
      <c r="AC1869" s="30"/>
      <c r="AD1869" s="30"/>
      <c r="AE1869" s="475"/>
      <c r="AF1869" s="476"/>
      <c r="AG1869" s="474"/>
      <c r="AH1869" s="138"/>
    </row>
    <row r="1870">
      <c r="A1870" s="103"/>
      <c r="B1870" s="533"/>
      <c r="C1870" s="533"/>
      <c r="D1870" s="103"/>
      <c r="E1870" s="103"/>
      <c r="F1870" s="103"/>
      <c r="G1870" s="103"/>
      <c r="H1870" s="131"/>
      <c r="I1870" s="468"/>
      <c r="J1870" s="16"/>
      <c r="K1870" s="16"/>
      <c r="L1870" s="8"/>
      <c r="M1870" s="69"/>
      <c r="N1870" s="69"/>
      <c r="O1870" s="69"/>
      <c r="P1870" s="534"/>
      <c r="Q1870" s="274"/>
      <c r="R1870" s="472"/>
      <c r="S1870" s="535"/>
      <c r="T1870" s="535"/>
      <c r="U1870" s="536"/>
      <c r="V1870" s="474"/>
      <c r="Y1870" s="89"/>
      <c r="Z1870" s="60"/>
      <c r="AA1870" s="60"/>
      <c r="AB1870" s="60"/>
      <c r="AC1870" s="30"/>
      <c r="AD1870" s="30"/>
      <c r="AE1870" s="475"/>
      <c r="AF1870" s="476"/>
      <c r="AG1870" s="474"/>
      <c r="AH1870" s="138"/>
    </row>
    <row r="1871">
      <c r="A1871" s="103"/>
      <c r="B1871" s="533"/>
      <c r="C1871" s="533"/>
      <c r="D1871" s="103"/>
      <c r="E1871" s="103"/>
      <c r="F1871" s="103"/>
      <c r="G1871" s="103"/>
      <c r="H1871" s="131"/>
      <c r="I1871" s="468"/>
      <c r="J1871" s="16"/>
      <c r="K1871" s="16"/>
      <c r="L1871" s="8"/>
      <c r="M1871" s="69"/>
      <c r="N1871" s="69"/>
      <c r="O1871" s="69"/>
      <c r="P1871" s="534"/>
      <c r="Q1871" s="274"/>
      <c r="R1871" s="472"/>
      <c r="S1871" s="535"/>
      <c r="T1871" s="535"/>
      <c r="U1871" s="536"/>
      <c r="V1871" s="474"/>
      <c r="Y1871" s="89"/>
      <c r="Z1871" s="60"/>
      <c r="AA1871" s="60"/>
      <c r="AB1871" s="60"/>
      <c r="AC1871" s="30"/>
      <c r="AD1871" s="30"/>
      <c r="AE1871" s="475"/>
      <c r="AF1871" s="476"/>
      <c r="AG1871" s="474"/>
      <c r="AH1871" s="138"/>
    </row>
    <row r="1872">
      <c r="A1872" s="103"/>
      <c r="B1872" s="533"/>
      <c r="C1872" s="533"/>
      <c r="D1872" s="103"/>
      <c r="E1872" s="103"/>
      <c r="F1872" s="103"/>
      <c r="G1872" s="103"/>
      <c r="H1872" s="131"/>
      <c r="I1872" s="468"/>
      <c r="J1872" s="16"/>
      <c r="K1872" s="16"/>
      <c r="L1872" s="8"/>
      <c r="M1872" s="69"/>
      <c r="N1872" s="69"/>
      <c r="O1872" s="69"/>
      <c r="P1872" s="534"/>
      <c r="Q1872" s="274"/>
      <c r="R1872" s="472"/>
      <c r="S1872" s="535"/>
      <c r="T1872" s="535"/>
      <c r="U1872" s="536"/>
      <c r="V1872" s="474"/>
      <c r="Y1872" s="89"/>
      <c r="Z1872" s="60"/>
      <c r="AA1872" s="60"/>
      <c r="AB1872" s="60"/>
      <c r="AC1872" s="30"/>
      <c r="AD1872" s="30"/>
      <c r="AE1872" s="475"/>
      <c r="AF1872" s="476"/>
      <c r="AG1872" s="474"/>
      <c r="AH1872" s="138"/>
    </row>
    <row r="1873">
      <c r="A1873" s="103"/>
      <c r="B1873" s="533"/>
      <c r="C1873" s="533"/>
      <c r="D1873" s="103"/>
      <c r="E1873" s="103"/>
      <c r="F1873" s="103"/>
      <c r="G1873" s="103"/>
      <c r="H1873" s="131"/>
      <c r="I1873" s="468"/>
      <c r="J1873" s="16"/>
      <c r="K1873" s="16"/>
      <c r="L1873" s="8"/>
      <c r="M1873" s="69"/>
      <c r="N1873" s="69"/>
      <c r="O1873" s="69"/>
      <c r="P1873" s="534"/>
      <c r="Q1873" s="274"/>
      <c r="R1873" s="472"/>
      <c r="S1873" s="535"/>
      <c r="T1873" s="535"/>
      <c r="U1873" s="536"/>
      <c r="V1873" s="474"/>
      <c r="Y1873" s="89"/>
      <c r="Z1873" s="60"/>
      <c r="AA1873" s="60"/>
      <c r="AB1873" s="60"/>
      <c r="AC1873" s="30"/>
      <c r="AD1873" s="30"/>
      <c r="AE1873" s="475"/>
      <c r="AF1873" s="476"/>
      <c r="AG1873" s="474"/>
      <c r="AH1873" s="138"/>
    </row>
    <row r="1874">
      <c r="A1874" s="103"/>
      <c r="B1874" s="533"/>
      <c r="C1874" s="533"/>
      <c r="D1874" s="103"/>
      <c r="E1874" s="103"/>
      <c r="F1874" s="103"/>
      <c r="G1874" s="103"/>
      <c r="H1874" s="131"/>
      <c r="I1874" s="468"/>
      <c r="J1874" s="16"/>
      <c r="K1874" s="16"/>
      <c r="L1874" s="8"/>
      <c r="M1874" s="69"/>
      <c r="N1874" s="69"/>
      <c r="O1874" s="69"/>
      <c r="P1874" s="534"/>
      <c r="Q1874" s="274"/>
      <c r="R1874" s="472"/>
      <c r="S1874" s="535"/>
      <c r="T1874" s="535"/>
      <c r="U1874" s="536"/>
      <c r="V1874" s="474"/>
      <c r="Y1874" s="89"/>
      <c r="Z1874" s="60"/>
      <c r="AA1874" s="60"/>
      <c r="AB1874" s="60"/>
      <c r="AC1874" s="30"/>
      <c r="AD1874" s="30"/>
      <c r="AE1874" s="475"/>
      <c r="AF1874" s="476"/>
      <c r="AG1874" s="474"/>
      <c r="AH1874" s="138"/>
    </row>
    <row r="1875">
      <c r="A1875" s="103"/>
      <c r="B1875" s="533"/>
      <c r="C1875" s="533"/>
      <c r="D1875" s="103"/>
      <c r="E1875" s="103"/>
      <c r="F1875" s="103"/>
      <c r="G1875" s="103"/>
      <c r="H1875" s="131"/>
      <c r="I1875" s="468"/>
      <c r="J1875" s="16"/>
      <c r="K1875" s="16"/>
      <c r="L1875" s="8"/>
      <c r="M1875" s="69"/>
      <c r="N1875" s="69"/>
      <c r="O1875" s="69"/>
      <c r="P1875" s="534"/>
      <c r="Q1875" s="274"/>
      <c r="R1875" s="472"/>
      <c r="S1875" s="535"/>
      <c r="T1875" s="535"/>
      <c r="U1875" s="536"/>
      <c r="V1875" s="474"/>
      <c r="Y1875" s="89"/>
      <c r="Z1875" s="60"/>
      <c r="AA1875" s="60"/>
      <c r="AB1875" s="60"/>
      <c r="AC1875" s="30"/>
      <c r="AD1875" s="30"/>
      <c r="AE1875" s="475"/>
      <c r="AF1875" s="476"/>
      <c r="AG1875" s="474"/>
      <c r="AH1875" s="138"/>
    </row>
    <row r="1876">
      <c r="A1876" s="103"/>
      <c r="B1876" s="533"/>
      <c r="C1876" s="533"/>
      <c r="D1876" s="103"/>
      <c r="E1876" s="103"/>
      <c r="F1876" s="103"/>
      <c r="G1876" s="103"/>
      <c r="H1876" s="131"/>
      <c r="I1876" s="468"/>
      <c r="J1876" s="16"/>
      <c r="K1876" s="16"/>
      <c r="L1876" s="8"/>
      <c r="M1876" s="69"/>
      <c r="N1876" s="69"/>
      <c r="O1876" s="69"/>
      <c r="P1876" s="534"/>
      <c r="Q1876" s="274"/>
      <c r="R1876" s="472"/>
      <c r="S1876" s="535"/>
      <c r="T1876" s="535"/>
      <c r="U1876" s="536"/>
      <c r="V1876" s="474"/>
      <c r="Y1876" s="89"/>
      <c r="Z1876" s="60"/>
      <c r="AA1876" s="60"/>
      <c r="AB1876" s="60"/>
      <c r="AC1876" s="30"/>
      <c r="AD1876" s="30"/>
      <c r="AE1876" s="475"/>
      <c r="AF1876" s="476"/>
      <c r="AG1876" s="474"/>
      <c r="AH1876" s="138"/>
    </row>
    <row r="1877">
      <c r="A1877" s="103"/>
      <c r="B1877" s="533"/>
      <c r="C1877" s="533"/>
      <c r="D1877" s="103"/>
      <c r="E1877" s="103"/>
      <c r="F1877" s="103"/>
      <c r="G1877" s="103"/>
      <c r="H1877" s="131"/>
      <c r="I1877" s="468"/>
      <c r="J1877" s="16"/>
      <c r="K1877" s="16"/>
      <c r="L1877" s="8"/>
      <c r="M1877" s="69"/>
      <c r="N1877" s="69"/>
      <c r="O1877" s="69"/>
      <c r="P1877" s="534"/>
      <c r="Q1877" s="274"/>
      <c r="R1877" s="472"/>
      <c r="S1877" s="535"/>
      <c r="T1877" s="535"/>
      <c r="U1877" s="536"/>
      <c r="V1877" s="474"/>
      <c r="Y1877" s="89"/>
      <c r="Z1877" s="60"/>
      <c r="AA1877" s="60"/>
      <c r="AB1877" s="60"/>
      <c r="AC1877" s="30"/>
      <c r="AD1877" s="30"/>
      <c r="AE1877" s="475"/>
      <c r="AF1877" s="476"/>
      <c r="AG1877" s="474"/>
      <c r="AH1877" s="138"/>
    </row>
    <row r="1878">
      <c r="A1878" s="103"/>
      <c r="B1878" s="533"/>
      <c r="C1878" s="533"/>
      <c r="D1878" s="103"/>
      <c r="E1878" s="103"/>
      <c r="F1878" s="103"/>
      <c r="G1878" s="103"/>
      <c r="H1878" s="131"/>
      <c r="I1878" s="468"/>
      <c r="J1878" s="16"/>
      <c r="K1878" s="16"/>
      <c r="L1878" s="8"/>
      <c r="M1878" s="69"/>
      <c r="N1878" s="69"/>
      <c r="O1878" s="69"/>
      <c r="P1878" s="534"/>
      <c r="Q1878" s="274"/>
      <c r="R1878" s="472"/>
      <c r="S1878" s="535"/>
      <c r="T1878" s="535"/>
      <c r="U1878" s="536"/>
      <c r="V1878" s="474"/>
      <c r="Y1878" s="89"/>
      <c r="Z1878" s="60"/>
      <c r="AA1878" s="60"/>
      <c r="AB1878" s="60"/>
      <c r="AC1878" s="30"/>
      <c r="AD1878" s="30"/>
      <c r="AE1878" s="475"/>
      <c r="AF1878" s="476"/>
      <c r="AG1878" s="474"/>
      <c r="AH1878" s="138"/>
    </row>
    <row r="1879">
      <c r="A1879" s="103"/>
      <c r="B1879" s="533"/>
      <c r="C1879" s="533"/>
      <c r="D1879" s="103"/>
      <c r="E1879" s="103"/>
      <c r="F1879" s="103"/>
      <c r="G1879" s="103"/>
      <c r="H1879" s="131"/>
      <c r="I1879" s="468"/>
      <c r="J1879" s="16"/>
      <c r="K1879" s="16"/>
      <c r="L1879" s="8"/>
      <c r="M1879" s="69"/>
      <c r="N1879" s="69"/>
      <c r="O1879" s="69"/>
      <c r="P1879" s="534"/>
      <c r="Q1879" s="274"/>
      <c r="R1879" s="472"/>
      <c r="S1879" s="535"/>
      <c r="T1879" s="535"/>
      <c r="U1879" s="536"/>
      <c r="V1879" s="474"/>
      <c r="Y1879" s="89"/>
      <c r="Z1879" s="60"/>
      <c r="AA1879" s="60"/>
      <c r="AB1879" s="60"/>
      <c r="AC1879" s="30"/>
      <c r="AD1879" s="30"/>
      <c r="AE1879" s="475"/>
      <c r="AF1879" s="476"/>
      <c r="AG1879" s="474"/>
      <c r="AH1879" s="138"/>
    </row>
    <row r="1880">
      <c r="A1880" s="103"/>
      <c r="B1880" s="533"/>
      <c r="C1880" s="533"/>
      <c r="D1880" s="103"/>
      <c r="E1880" s="103"/>
      <c r="F1880" s="103"/>
      <c r="G1880" s="103"/>
      <c r="H1880" s="131"/>
      <c r="I1880" s="468"/>
      <c r="J1880" s="16"/>
      <c r="K1880" s="16"/>
      <c r="L1880" s="8"/>
      <c r="M1880" s="69"/>
      <c r="N1880" s="69"/>
      <c r="O1880" s="69"/>
      <c r="P1880" s="534"/>
      <c r="Q1880" s="274"/>
      <c r="R1880" s="472"/>
      <c r="S1880" s="535"/>
      <c r="T1880" s="535"/>
      <c r="U1880" s="536"/>
      <c r="V1880" s="474"/>
      <c r="Y1880" s="89"/>
      <c r="Z1880" s="60"/>
      <c r="AA1880" s="60"/>
      <c r="AB1880" s="60"/>
      <c r="AC1880" s="30"/>
      <c r="AD1880" s="30"/>
      <c r="AE1880" s="475"/>
      <c r="AF1880" s="476"/>
      <c r="AG1880" s="474"/>
      <c r="AH1880" s="138"/>
    </row>
    <row r="1881">
      <c r="A1881" s="103"/>
      <c r="B1881" s="533"/>
      <c r="C1881" s="533"/>
      <c r="D1881" s="103"/>
      <c r="E1881" s="103"/>
      <c r="F1881" s="103"/>
      <c r="G1881" s="103"/>
      <c r="H1881" s="131"/>
      <c r="I1881" s="468"/>
      <c r="J1881" s="16"/>
      <c r="K1881" s="16"/>
      <c r="L1881" s="8"/>
      <c r="M1881" s="69"/>
      <c r="N1881" s="69"/>
      <c r="O1881" s="69"/>
      <c r="P1881" s="534"/>
      <c r="Q1881" s="274"/>
      <c r="R1881" s="472"/>
      <c r="S1881" s="535"/>
      <c r="T1881" s="535"/>
      <c r="U1881" s="536"/>
      <c r="V1881" s="474"/>
      <c r="Y1881" s="89"/>
      <c r="Z1881" s="60"/>
      <c r="AA1881" s="60"/>
      <c r="AB1881" s="60"/>
      <c r="AC1881" s="30"/>
      <c r="AD1881" s="30"/>
      <c r="AE1881" s="475"/>
      <c r="AF1881" s="476"/>
      <c r="AG1881" s="474"/>
      <c r="AH1881" s="138"/>
    </row>
    <row r="1882">
      <c r="A1882" s="103"/>
      <c r="B1882" s="533"/>
      <c r="C1882" s="533"/>
      <c r="D1882" s="103"/>
      <c r="E1882" s="103"/>
      <c r="F1882" s="103"/>
      <c r="G1882" s="103"/>
      <c r="H1882" s="131"/>
      <c r="I1882" s="468"/>
      <c r="J1882" s="16"/>
      <c r="K1882" s="16"/>
      <c r="L1882" s="8"/>
      <c r="M1882" s="69"/>
      <c r="N1882" s="69"/>
      <c r="O1882" s="69"/>
      <c r="P1882" s="534"/>
      <c r="Q1882" s="274"/>
      <c r="R1882" s="472"/>
      <c r="S1882" s="535"/>
      <c r="T1882" s="535"/>
      <c r="U1882" s="536"/>
      <c r="V1882" s="474"/>
      <c r="Y1882" s="89"/>
      <c r="Z1882" s="60"/>
      <c r="AA1882" s="60"/>
      <c r="AB1882" s="60"/>
      <c r="AC1882" s="30"/>
      <c r="AD1882" s="30"/>
      <c r="AE1882" s="475"/>
      <c r="AF1882" s="476"/>
      <c r="AG1882" s="474"/>
      <c r="AH1882" s="138"/>
    </row>
    <row r="1883">
      <c r="A1883" s="103"/>
      <c r="B1883" s="533"/>
      <c r="C1883" s="533"/>
      <c r="D1883" s="103"/>
      <c r="E1883" s="103"/>
      <c r="F1883" s="103"/>
      <c r="G1883" s="103"/>
      <c r="H1883" s="131"/>
      <c r="I1883" s="468"/>
      <c r="J1883" s="16"/>
      <c r="K1883" s="16"/>
      <c r="L1883" s="8"/>
      <c r="M1883" s="69"/>
      <c r="N1883" s="69"/>
      <c r="O1883" s="69"/>
      <c r="P1883" s="534"/>
      <c r="Q1883" s="274"/>
      <c r="R1883" s="472"/>
      <c r="S1883" s="535"/>
      <c r="T1883" s="535"/>
      <c r="U1883" s="536"/>
      <c r="V1883" s="474"/>
      <c r="Y1883" s="89"/>
      <c r="Z1883" s="60"/>
      <c r="AA1883" s="60"/>
      <c r="AB1883" s="60"/>
      <c r="AC1883" s="30"/>
      <c r="AD1883" s="30"/>
      <c r="AE1883" s="475"/>
      <c r="AF1883" s="476"/>
      <c r="AG1883" s="474"/>
      <c r="AH1883" s="138"/>
    </row>
    <row r="1884">
      <c r="A1884" s="103"/>
      <c r="B1884" s="533"/>
      <c r="C1884" s="533"/>
      <c r="D1884" s="103"/>
      <c r="E1884" s="103"/>
      <c r="F1884" s="103"/>
      <c r="G1884" s="103"/>
      <c r="H1884" s="131"/>
      <c r="I1884" s="468"/>
      <c r="J1884" s="16"/>
      <c r="K1884" s="16"/>
      <c r="L1884" s="8"/>
      <c r="M1884" s="69"/>
      <c r="N1884" s="69"/>
      <c r="O1884" s="69"/>
      <c r="P1884" s="534"/>
      <c r="Q1884" s="274"/>
      <c r="R1884" s="472"/>
      <c r="S1884" s="535"/>
      <c r="T1884" s="535"/>
      <c r="U1884" s="536"/>
      <c r="V1884" s="474"/>
      <c r="Y1884" s="89"/>
      <c r="Z1884" s="60"/>
      <c r="AA1884" s="60"/>
      <c r="AB1884" s="60"/>
      <c r="AC1884" s="30"/>
      <c r="AD1884" s="30"/>
      <c r="AE1884" s="475"/>
      <c r="AF1884" s="476"/>
      <c r="AG1884" s="474"/>
      <c r="AH1884" s="138"/>
    </row>
    <row r="1885">
      <c r="A1885" s="103"/>
      <c r="B1885" s="533"/>
      <c r="C1885" s="533"/>
      <c r="D1885" s="103"/>
      <c r="E1885" s="103"/>
      <c r="F1885" s="103"/>
      <c r="G1885" s="103"/>
      <c r="H1885" s="131"/>
      <c r="I1885" s="468"/>
      <c r="J1885" s="16"/>
      <c r="K1885" s="16"/>
      <c r="L1885" s="8"/>
      <c r="M1885" s="69"/>
      <c r="N1885" s="69"/>
      <c r="O1885" s="69"/>
      <c r="P1885" s="534"/>
      <c r="Q1885" s="274"/>
      <c r="R1885" s="472"/>
      <c r="S1885" s="535"/>
      <c r="T1885" s="535"/>
      <c r="U1885" s="536"/>
      <c r="V1885" s="474"/>
      <c r="Y1885" s="89"/>
      <c r="Z1885" s="60"/>
      <c r="AA1885" s="60"/>
      <c r="AB1885" s="60"/>
      <c r="AC1885" s="30"/>
      <c r="AD1885" s="30"/>
      <c r="AE1885" s="475"/>
      <c r="AF1885" s="476"/>
      <c r="AG1885" s="474"/>
      <c r="AH1885" s="138"/>
    </row>
    <row r="1886">
      <c r="A1886" s="103"/>
      <c r="B1886" s="533"/>
      <c r="C1886" s="533"/>
      <c r="D1886" s="103"/>
      <c r="E1886" s="103"/>
      <c r="F1886" s="103"/>
      <c r="G1886" s="103"/>
      <c r="H1886" s="131"/>
      <c r="I1886" s="468"/>
      <c r="J1886" s="16"/>
      <c r="K1886" s="16"/>
      <c r="L1886" s="8"/>
      <c r="M1886" s="69"/>
      <c r="N1886" s="69"/>
      <c r="O1886" s="69"/>
      <c r="P1886" s="534"/>
      <c r="Q1886" s="274"/>
      <c r="R1886" s="472"/>
      <c r="S1886" s="535"/>
      <c r="T1886" s="535"/>
      <c r="U1886" s="536"/>
      <c r="V1886" s="474"/>
      <c r="Y1886" s="89"/>
      <c r="Z1886" s="60"/>
      <c r="AA1886" s="60"/>
      <c r="AB1886" s="60"/>
      <c r="AC1886" s="30"/>
      <c r="AD1886" s="30"/>
      <c r="AE1886" s="475"/>
      <c r="AF1886" s="476"/>
      <c r="AG1886" s="474"/>
      <c r="AH1886" s="138"/>
    </row>
    <row r="1887">
      <c r="A1887" s="103"/>
      <c r="B1887" s="533"/>
      <c r="C1887" s="533"/>
      <c r="D1887" s="103"/>
      <c r="E1887" s="103"/>
      <c r="F1887" s="103"/>
      <c r="G1887" s="103"/>
      <c r="H1887" s="131"/>
      <c r="I1887" s="468"/>
      <c r="J1887" s="16"/>
      <c r="K1887" s="16"/>
      <c r="L1887" s="8"/>
      <c r="M1887" s="69"/>
      <c r="N1887" s="69"/>
      <c r="O1887" s="69"/>
      <c r="P1887" s="534"/>
      <c r="Q1887" s="274"/>
      <c r="R1887" s="472"/>
      <c r="S1887" s="535"/>
      <c r="T1887" s="535"/>
      <c r="U1887" s="536"/>
      <c r="V1887" s="474"/>
      <c r="Y1887" s="89"/>
      <c r="Z1887" s="60"/>
      <c r="AA1887" s="60"/>
      <c r="AB1887" s="60"/>
      <c r="AC1887" s="30"/>
      <c r="AD1887" s="30"/>
      <c r="AE1887" s="475"/>
      <c r="AF1887" s="476"/>
      <c r="AG1887" s="474"/>
      <c r="AH1887" s="138"/>
    </row>
    <row r="1888">
      <c r="A1888" s="103"/>
      <c r="B1888" s="533"/>
      <c r="C1888" s="533"/>
      <c r="D1888" s="103"/>
      <c r="E1888" s="103"/>
      <c r="F1888" s="103"/>
      <c r="G1888" s="103"/>
      <c r="H1888" s="131"/>
      <c r="I1888" s="468"/>
      <c r="J1888" s="16"/>
      <c r="K1888" s="16"/>
      <c r="L1888" s="8"/>
      <c r="M1888" s="69"/>
      <c r="N1888" s="69"/>
      <c r="O1888" s="69"/>
      <c r="P1888" s="534"/>
      <c r="Q1888" s="274"/>
      <c r="R1888" s="472"/>
      <c r="S1888" s="535"/>
      <c r="T1888" s="535"/>
      <c r="U1888" s="536"/>
      <c r="V1888" s="474"/>
      <c r="Y1888" s="89"/>
      <c r="Z1888" s="60"/>
      <c r="AA1888" s="60"/>
      <c r="AB1888" s="60"/>
      <c r="AC1888" s="30"/>
      <c r="AD1888" s="30"/>
      <c r="AE1888" s="475"/>
      <c r="AF1888" s="476"/>
      <c r="AG1888" s="474"/>
      <c r="AH1888" s="138"/>
    </row>
    <row r="1889">
      <c r="A1889" s="103"/>
      <c r="B1889" s="533"/>
      <c r="C1889" s="533"/>
      <c r="D1889" s="103"/>
      <c r="E1889" s="103"/>
      <c r="F1889" s="103"/>
      <c r="G1889" s="103"/>
      <c r="H1889" s="131"/>
      <c r="I1889" s="468"/>
      <c r="J1889" s="16"/>
      <c r="K1889" s="16"/>
      <c r="L1889" s="8"/>
      <c r="M1889" s="69"/>
      <c r="N1889" s="69"/>
      <c r="O1889" s="69"/>
      <c r="P1889" s="534"/>
      <c r="Q1889" s="274"/>
      <c r="R1889" s="472"/>
      <c r="S1889" s="535"/>
      <c r="T1889" s="535"/>
      <c r="U1889" s="536"/>
      <c r="V1889" s="474"/>
      <c r="Y1889" s="89"/>
      <c r="Z1889" s="60"/>
      <c r="AA1889" s="60"/>
      <c r="AB1889" s="60"/>
      <c r="AC1889" s="30"/>
      <c r="AD1889" s="30"/>
      <c r="AE1889" s="475"/>
      <c r="AF1889" s="476"/>
      <c r="AG1889" s="474"/>
      <c r="AH1889" s="138"/>
    </row>
    <row r="1890">
      <c r="A1890" s="103"/>
      <c r="B1890" s="533"/>
      <c r="C1890" s="533"/>
      <c r="D1890" s="103"/>
      <c r="E1890" s="103"/>
      <c r="F1890" s="103"/>
      <c r="G1890" s="103"/>
      <c r="H1890" s="131"/>
      <c r="I1890" s="468"/>
      <c r="J1890" s="16"/>
      <c r="K1890" s="16"/>
      <c r="L1890" s="8"/>
      <c r="M1890" s="69"/>
      <c r="N1890" s="69"/>
      <c r="O1890" s="69"/>
      <c r="P1890" s="534"/>
      <c r="Q1890" s="274"/>
      <c r="R1890" s="472"/>
      <c r="S1890" s="535"/>
      <c r="T1890" s="535"/>
      <c r="U1890" s="536"/>
      <c r="V1890" s="474"/>
      <c r="Y1890" s="89"/>
      <c r="Z1890" s="60"/>
      <c r="AA1890" s="60"/>
      <c r="AB1890" s="60"/>
      <c r="AC1890" s="30"/>
      <c r="AD1890" s="30"/>
      <c r="AE1890" s="475"/>
      <c r="AF1890" s="476"/>
      <c r="AG1890" s="474"/>
      <c r="AH1890" s="138"/>
    </row>
    <row r="1891">
      <c r="A1891" s="103"/>
      <c r="B1891" s="533"/>
      <c r="C1891" s="533"/>
      <c r="D1891" s="103"/>
      <c r="E1891" s="103"/>
      <c r="F1891" s="103"/>
      <c r="G1891" s="103"/>
      <c r="H1891" s="131"/>
      <c r="I1891" s="468"/>
      <c r="J1891" s="16"/>
      <c r="K1891" s="16"/>
      <c r="L1891" s="8"/>
      <c r="M1891" s="69"/>
      <c r="N1891" s="69"/>
      <c r="O1891" s="69"/>
      <c r="P1891" s="534"/>
      <c r="Q1891" s="274"/>
      <c r="R1891" s="472"/>
      <c r="S1891" s="535"/>
      <c r="T1891" s="535"/>
      <c r="U1891" s="536"/>
      <c r="V1891" s="474"/>
      <c r="Y1891" s="89"/>
      <c r="Z1891" s="60"/>
      <c r="AA1891" s="60"/>
      <c r="AB1891" s="60"/>
      <c r="AC1891" s="30"/>
      <c r="AD1891" s="30"/>
      <c r="AE1891" s="475"/>
      <c r="AF1891" s="476"/>
      <c r="AG1891" s="474"/>
      <c r="AH1891" s="138"/>
    </row>
    <row r="1892">
      <c r="A1892" s="103"/>
      <c r="B1892" s="533"/>
      <c r="C1892" s="533"/>
      <c r="D1892" s="103"/>
      <c r="E1892" s="103"/>
      <c r="F1892" s="103"/>
      <c r="G1892" s="103"/>
      <c r="H1892" s="131"/>
      <c r="I1892" s="468"/>
      <c r="J1892" s="16"/>
      <c r="K1892" s="16"/>
      <c r="L1892" s="8"/>
      <c r="M1892" s="69"/>
      <c r="N1892" s="69"/>
      <c r="O1892" s="69"/>
      <c r="P1892" s="534"/>
      <c r="Q1892" s="274"/>
      <c r="R1892" s="472"/>
      <c r="S1892" s="535"/>
      <c r="T1892" s="535"/>
      <c r="U1892" s="536"/>
      <c r="V1892" s="474"/>
      <c r="Y1892" s="89"/>
      <c r="Z1892" s="60"/>
      <c r="AA1892" s="60"/>
      <c r="AB1892" s="60"/>
      <c r="AC1892" s="30"/>
      <c r="AD1892" s="30"/>
      <c r="AE1892" s="475"/>
      <c r="AF1892" s="476"/>
      <c r="AG1892" s="474"/>
      <c r="AH1892" s="138"/>
    </row>
    <row r="1893">
      <c r="A1893" s="103"/>
      <c r="B1893" s="533"/>
      <c r="C1893" s="533"/>
      <c r="D1893" s="103"/>
      <c r="E1893" s="103"/>
      <c r="F1893" s="103"/>
      <c r="G1893" s="103"/>
      <c r="H1893" s="131"/>
      <c r="I1893" s="468"/>
      <c r="J1893" s="16"/>
      <c r="K1893" s="16"/>
      <c r="L1893" s="8"/>
      <c r="M1893" s="69"/>
      <c r="N1893" s="69"/>
      <c r="O1893" s="69"/>
      <c r="P1893" s="534"/>
      <c r="Q1893" s="274"/>
      <c r="R1893" s="472"/>
      <c r="S1893" s="535"/>
      <c r="T1893" s="535"/>
      <c r="U1893" s="536"/>
      <c r="V1893" s="474"/>
      <c r="Y1893" s="89"/>
      <c r="Z1893" s="60"/>
      <c r="AA1893" s="60"/>
      <c r="AB1893" s="60"/>
      <c r="AC1893" s="30"/>
      <c r="AD1893" s="30"/>
      <c r="AE1893" s="475"/>
      <c r="AF1893" s="476"/>
      <c r="AG1893" s="474"/>
      <c r="AH1893" s="138"/>
    </row>
    <row r="1894">
      <c r="A1894" s="103"/>
      <c r="B1894" s="533"/>
      <c r="C1894" s="533"/>
      <c r="D1894" s="103"/>
      <c r="E1894" s="103"/>
      <c r="F1894" s="103"/>
      <c r="G1894" s="103"/>
      <c r="H1894" s="131"/>
      <c r="I1894" s="468"/>
      <c r="J1894" s="16"/>
      <c r="K1894" s="16"/>
      <c r="L1894" s="8"/>
      <c r="M1894" s="69"/>
      <c r="N1894" s="69"/>
      <c r="O1894" s="69"/>
      <c r="P1894" s="534"/>
      <c r="Q1894" s="274"/>
      <c r="R1894" s="472"/>
      <c r="S1894" s="535"/>
      <c r="T1894" s="535"/>
      <c r="U1894" s="536"/>
      <c r="V1894" s="474"/>
      <c r="Y1894" s="89"/>
      <c r="Z1894" s="60"/>
      <c r="AA1894" s="60"/>
      <c r="AB1894" s="60"/>
      <c r="AC1894" s="30"/>
      <c r="AD1894" s="30"/>
      <c r="AE1894" s="475"/>
      <c r="AF1894" s="476"/>
      <c r="AG1894" s="474"/>
      <c r="AH1894" s="138"/>
    </row>
    <row r="1895">
      <c r="A1895" s="103"/>
      <c r="B1895" s="533"/>
      <c r="C1895" s="533"/>
      <c r="D1895" s="103"/>
      <c r="E1895" s="103"/>
      <c r="F1895" s="103"/>
      <c r="G1895" s="103"/>
      <c r="H1895" s="131"/>
      <c r="I1895" s="468"/>
      <c r="J1895" s="16"/>
      <c r="K1895" s="16"/>
      <c r="L1895" s="8"/>
      <c r="M1895" s="69"/>
      <c r="N1895" s="69"/>
      <c r="O1895" s="69"/>
      <c r="P1895" s="534"/>
      <c r="Q1895" s="274"/>
      <c r="R1895" s="472"/>
      <c r="S1895" s="535"/>
      <c r="T1895" s="535"/>
      <c r="U1895" s="536"/>
      <c r="V1895" s="474"/>
      <c r="Y1895" s="89"/>
      <c r="Z1895" s="60"/>
      <c r="AA1895" s="60"/>
      <c r="AB1895" s="60"/>
      <c r="AC1895" s="30"/>
      <c r="AD1895" s="30"/>
      <c r="AE1895" s="475"/>
      <c r="AF1895" s="476"/>
      <c r="AG1895" s="474"/>
      <c r="AH1895" s="138"/>
    </row>
    <row r="1896">
      <c r="A1896" s="103"/>
      <c r="B1896" s="533"/>
      <c r="C1896" s="533"/>
      <c r="D1896" s="103"/>
      <c r="E1896" s="103"/>
      <c r="F1896" s="103"/>
      <c r="G1896" s="103"/>
      <c r="H1896" s="131"/>
      <c r="I1896" s="468"/>
      <c r="J1896" s="16"/>
      <c r="K1896" s="16"/>
      <c r="L1896" s="8"/>
      <c r="M1896" s="69"/>
      <c r="N1896" s="69"/>
      <c r="O1896" s="69"/>
      <c r="P1896" s="534"/>
      <c r="Q1896" s="274"/>
      <c r="R1896" s="472"/>
      <c r="S1896" s="535"/>
      <c r="T1896" s="535"/>
      <c r="U1896" s="536"/>
      <c r="V1896" s="474"/>
      <c r="Y1896" s="89"/>
      <c r="Z1896" s="60"/>
      <c r="AA1896" s="60"/>
      <c r="AB1896" s="60"/>
      <c r="AC1896" s="30"/>
      <c r="AD1896" s="30"/>
      <c r="AE1896" s="475"/>
      <c r="AF1896" s="476"/>
      <c r="AG1896" s="474"/>
      <c r="AH1896" s="138"/>
    </row>
    <row r="1897">
      <c r="A1897" s="103"/>
      <c r="B1897" s="533"/>
      <c r="C1897" s="533"/>
      <c r="D1897" s="103"/>
      <c r="E1897" s="103"/>
      <c r="F1897" s="103"/>
      <c r="G1897" s="103"/>
      <c r="H1897" s="131"/>
      <c r="I1897" s="468"/>
      <c r="J1897" s="16"/>
      <c r="K1897" s="16"/>
      <c r="L1897" s="8"/>
      <c r="M1897" s="69"/>
      <c r="N1897" s="69"/>
      <c r="O1897" s="69"/>
      <c r="P1897" s="534"/>
      <c r="Q1897" s="274"/>
      <c r="R1897" s="472"/>
      <c r="S1897" s="535"/>
      <c r="T1897" s="535"/>
      <c r="U1897" s="536"/>
      <c r="V1897" s="474"/>
      <c r="Y1897" s="89"/>
      <c r="Z1897" s="60"/>
      <c r="AA1897" s="60"/>
      <c r="AB1897" s="60"/>
      <c r="AC1897" s="30"/>
      <c r="AD1897" s="30"/>
      <c r="AE1897" s="475"/>
      <c r="AF1897" s="476"/>
      <c r="AG1897" s="474"/>
      <c r="AH1897" s="138"/>
    </row>
    <row r="1898">
      <c r="A1898" s="103"/>
      <c r="B1898" s="533"/>
      <c r="C1898" s="533"/>
      <c r="D1898" s="103"/>
      <c r="E1898" s="103"/>
      <c r="F1898" s="103"/>
      <c r="G1898" s="103"/>
      <c r="H1898" s="131"/>
      <c r="I1898" s="468"/>
      <c r="J1898" s="16"/>
      <c r="K1898" s="16"/>
      <c r="L1898" s="8"/>
      <c r="M1898" s="69"/>
      <c r="N1898" s="69"/>
      <c r="O1898" s="69"/>
      <c r="P1898" s="534"/>
      <c r="Q1898" s="274"/>
      <c r="R1898" s="472"/>
      <c r="S1898" s="535"/>
      <c r="T1898" s="535"/>
      <c r="U1898" s="536"/>
      <c r="V1898" s="474"/>
      <c r="Y1898" s="89"/>
      <c r="Z1898" s="60"/>
      <c r="AA1898" s="60"/>
      <c r="AB1898" s="60"/>
      <c r="AC1898" s="30"/>
      <c r="AD1898" s="30"/>
      <c r="AE1898" s="475"/>
      <c r="AF1898" s="476"/>
      <c r="AG1898" s="474"/>
      <c r="AH1898" s="138"/>
    </row>
    <row r="1899">
      <c r="A1899" s="103"/>
      <c r="B1899" s="533"/>
      <c r="C1899" s="533"/>
      <c r="D1899" s="103"/>
      <c r="E1899" s="103"/>
      <c r="F1899" s="103"/>
      <c r="G1899" s="103"/>
      <c r="H1899" s="131"/>
      <c r="I1899" s="468"/>
      <c r="J1899" s="16"/>
      <c r="K1899" s="16"/>
      <c r="L1899" s="8"/>
      <c r="M1899" s="69"/>
      <c r="N1899" s="69"/>
      <c r="O1899" s="69"/>
      <c r="P1899" s="534"/>
      <c r="Q1899" s="274"/>
      <c r="R1899" s="472"/>
      <c r="S1899" s="535"/>
      <c r="T1899" s="535"/>
      <c r="U1899" s="536"/>
      <c r="V1899" s="474"/>
      <c r="Y1899" s="89"/>
      <c r="Z1899" s="60"/>
      <c r="AA1899" s="60"/>
      <c r="AB1899" s="60"/>
      <c r="AC1899" s="30"/>
      <c r="AD1899" s="30"/>
      <c r="AE1899" s="475"/>
      <c r="AF1899" s="476"/>
      <c r="AG1899" s="474"/>
      <c r="AH1899" s="138"/>
    </row>
    <row r="1900">
      <c r="A1900" s="103"/>
      <c r="B1900" s="533"/>
      <c r="C1900" s="533"/>
      <c r="D1900" s="103"/>
      <c r="E1900" s="103"/>
      <c r="F1900" s="103"/>
      <c r="G1900" s="103"/>
      <c r="H1900" s="131"/>
      <c r="I1900" s="468"/>
      <c r="J1900" s="16"/>
      <c r="K1900" s="16"/>
      <c r="L1900" s="8"/>
      <c r="M1900" s="69"/>
      <c r="N1900" s="69"/>
      <c r="O1900" s="69"/>
      <c r="P1900" s="534"/>
      <c r="Q1900" s="274"/>
      <c r="R1900" s="472"/>
      <c r="S1900" s="535"/>
      <c r="T1900" s="535"/>
      <c r="U1900" s="536"/>
      <c r="V1900" s="474"/>
      <c r="Y1900" s="89"/>
      <c r="Z1900" s="60"/>
      <c r="AA1900" s="60"/>
      <c r="AB1900" s="60"/>
      <c r="AC1900" s="30"/>
      <c r="AD1900" s="30"/>
      <c r="AE1900" s="475"/>
      <c r="AF1900" s="476"/>
      <c r="AG1900" s="474"/>
      <c r="AH1900" s="138"/>
    </row>
    <row r="1901">
      <c r="A1901" s="103"/>
      <c r="B1901" s="533"/>
      <c r="C1901" s="533"/>
      <c r="D1901" s="103"/>
      <c r="E1901" s="103"/>
      <c r="F1901" s="103"/>
      <c r="G1901" s="103"/>
      <c r="H1901" s="131"/>
      <c r="I1901" s="468"/>
      <c r="J1901" s="16"/>
      <c r="K1901" s="16"/>
      <c r="L1901" s="8"/>
      <c r="M1901" s="69"/>
      <c r="N1901" s="69"/>
      <c r="O1901" s="69"/>
      <c r="P1901" s="534"/>
      <c r="Q1901" s="274"/>
      <c r="R1901" s="472"/>
      <c r="S1901" s="535"/>
      <c r="T1901" s="535"/>
      <c r="U1901" s="536"/>
      <c r="V1901" s="474"/>
      <c r="Y1901" s="89"/>
      <c r="Z1901" s="60"/>
      <c r="AA1901" s="60"/>
      <c r="AB1901" s="60"/>
      <c r="AC1901" s="30"/>
      <c r="AD1901" s="30"/>
      <c r="AE1901" s="475"/>
      <c r="AF1901" s="476"/>
      <c r="AG1901" s="474"/>
      <c r="AH1901" s="138"/>
    </row>
    <row r="1902">
      <c r="A1902" s="103"/>
      <c r="B1902" s="533"/>
      <c r="C1902" s="533"/>
      <c r="D1902" s="103"/>
      <c r="E1902" s="103"/>
      <c r="F1902" s="103"/>
      <c r="G1902" s="103"/>
      <c r="H1902" s="131"/>
      <c r="I1902" s="468"/>
      <c r="J1902" s="16"/>
      <c r="K1902" s="16"/>
      <c r="L1902" s="8"/>
      <c r="M1902" s="69"/>
      <c r="N1902" s="69"/>
      <c r="O1902" s="69"/>
      <c r="P1902" s="534"/>
      <c r="Q1902" s="274"/>
      <c r="R1902" s="472"/>
      <c r="S1902" s="535"/>
      <c r="T1902" s="535"/>
      <c r="U1902" s="536"/>
      <c r="V1902" s="474"/>
      <c r="Y1902" s="89"/>
      <c r="Z1902" s="60"/>
      <c r="AA1902" s="60"/>
      <c r="AB1902" s="60"/>
      <c r="AC1902" s="30"/>
      <c r="AD1902" s="30"/>
      <c r="AE1902" s="475"/>
      <c r="AF1902" s="476"/>
      <c r="AG1902" s="474"/>
      <c r="AH1902" s="138"/>
    </row>
    <row r="1903">
      <c r="A1903" s="103"/>
      <c r="B1903" s="533"/>
      <c r="C1903" s="533"/>
      <c r="D1903" s="103"/>
      <c r="E1903" s="103"/>
      <c r="F1903" s="103"/>
      <c r="G1903" s="103"/>
      <c r="H1903" s="131"/>
      <c r="I1903" s="468"/>
      <c r="J1903" s="16"/>
      <c r="K1903" s="16"/>
      <c r="L1903" s="8"/>
      <c r="M1903" s="69"/>
      <c r="N1903" s="69"/>
      <c r="O1903" s="69"/>
      <c r="P1903" s="534"/>
      <c r="Q1903" s="274"/>
      <c r="R1903" s="472"/>
      <c r="S1903" s="535"/>
      <c r="T1903" s="535"/>
      <c r="U1903" s="536"/>
      <c r="V1903" s="474"/>
      <c r="Y1903" s="89"/>
      <c r="Z1903" s="60"/>
      <c r="AA1903" s="60"/>
      <c r="AB1903" s="60"/>
      <c r="AC1903" s="30"/>
      <c r="AD1903" s="30"/>
      <c r="AE1903" s="475"/>
      <c r="AF1903" s="476"/>
      <c r="AG1903" s="474"/>
      <c r="AH1903" s="138"/>
    </row>
    <row r="1904">
      <c r="A1904" s="103"/>
      <c r="B1904" s="533"/>
      <c r="C1904" s="533"/>
      <c r="D1904" s="103"/>
      <c r="E1904" s="103"/>
      <c r="F1904" s="103"/>
      <c r="G1904" s="103"/>
      <c r="H1904" s="131"/>
      <c r="I1904" s="468"/>
      <c r="J1904" s="16"/>
      <c r="K1904" s="16"/>
      <c r="L1904" s="8"/>
      <c r="M1904" s="69"/>
      <c r="N1904" s="69"/>
      <c r="O1904" s="69"/>
      <c r="P1904" s="534"/>
      <c r="Q1904" s="274"/>
      <c r="R1904" s="472"/>
      <c r="S1904" s="535"/>
      <c r="T1904" s="535"/>
      <c r="U1904" s="536"/>
      <c r="V1904" s="474"/>
      <c r="Y1904" s="89"/>
      <c r="Z1904" s="60"/>
      <c r="AA1904" s="60"/>
      <c r="AB1904" s="60"/>
      <c r="AC1904" s="30"/>
      <c r="AD1904" s="30"/>
      <c r="AE1904" s="475"/>
      <c r="AF1904" s="476"/>
      <c r="AG1904" s="474"/>
      <c r="AH1904" s="138"/>
    </row>
    <row r="1905">
      <c r="A1905" s="103"/>
      <c r="B1905" s="533"/>
      <c r="C1905" s="533"/>
      <c r="D1905" s="103"/>
      <c r="E1905" s="103"/>
      <c r="F1905" s="103"/>
      <c r="G1905" s="103"/>
      <c r="H1905" s="131"/>
      <c r="I1905" s="468"/>
      <c r="J1905" s="16"/>
      <c r="K1905" s="16"/>
      <c r="L1905" s="8"/>
      <c r="M1905" s="69"/>
      <c r="N1905" s="69"/>
      <c r="O1905" s="69"/>
      <c r="P1905" s="534"/>
      <c r="Q1905" s="274"/>
      <c r="R1905" s="472"/>
      <c r="S1905" s="535"/>
      <c r="T1905" s="535"/>
      <c r="U1905" s="536"/>
      <c r="V1905" s="474"/>
      <c r="Y1905" s="89"/>
      <c r="Z1905" s="60"/>
      <c r="AA1905" s="60"/>
      <c r="AB1905" s="60"/>
      <c r="AC1905" s="30"/>
      <c r="AD1905" s="30"/>
      <c r="AE1905" s="475"/>
      <c r="AF1905" s="476"/>
      <c r="AG1905" s="474"/>
      <c r="AH1905" s="138"/>
    </row>
    <row r="1906">
      <c r="A1906" s="103"/>
      <c r="B1906" s="533"/>
      <c r="C1906" s="533"/>
      <c r="D1906" s="103"/>
      <c r="E1906" s="103"/>
      <c r="F1906" s="103"/>
      <c r="G1906" s="103"/>
      <c r="H1906" s="131"/>
      <c r="I1906" s="468"/>
      <c r="J1906" s="16"/>
      <c r="K1906" s="16"/>
      <c r="L1906" s="8"/>
      <c r="M1906" s="69"/>
      <c r="N1906" s="69"/>
      <c r="O1906" s="69"/>
      <c r="P1906" s="534"/>
      <c r="Q1906" s="274"/>
      <c r="R1906" s="472"/>
      <c r="S1906" s="535"/>
      <c r="T1906" s="535"/>
      <c r="U1906" s="536"/>
      <c r="V1906" s="474"/>
      <c r="Y1906" s="89"/>
      <c r="Z1906" s="60"/>
      <c r="AA1906" s="60"/>
      <c r="AB1906" s="60"/>
      <c r="AC1906" s="30"/>
      <c r="AD1906" s="30"/>
      <c r="AE1906" s="475"/>
      <c r="AF1906" s="476"/>
      <c r="AG1906" s="474"/>
      <c r="AH1906" s="138"/>
    </row>
    <row r="1907">
      <c r="A1907" s="103"/>
      <c r="B1907" s="533"/>
      <c r="C1907" s="533"/>
      <c r="D1907" s="103"/>
      <c r="E1907" s="103"/>
      <c r="F1907" s="103"/>
      <c r="G1907" s="103"/>
      <c r="H1907" s="131"/>
      <c r="I1907" s="468"/>
      <c r="J1907" s="16"/>
      <c r="K1907" s="16"/>
      <c r="L1907" s="8"/>
      <c r="M1907" s="69"/>
      <c r="N1907" s="69"/>
      <c r="O1907" s="69"/>
      <c r="P1907" s="534"/>
      <c r="Q1907" s="274"/>
      <c r="R1907" s="472"/>
      <c r="S1907" s="535"/>
      <c r="T1907" s="535"/>
      <c r="U1907" s="536"/>
      <c r="V1907" s="474"/>
      <c r="Y1907" s="89"/>
      <c r="Z1907" s="60"/>
      <c r="AA1907" s="60"/>
      <c r="AB1907" s="60"/>
      <c r="AC1907" s="30"/>
      <c r="AD1907" s="30"/>
      <c r="AE1907" s="475"/>
      <c r="AF1907" s="476"/>
      <c r="AG1907" s="474"/>
      <c r="AH1907" s="138"/>
    </row>
    <row r="1908">
      <c r="A1908" s="103"/>
      <c r="B1908" s="533"/>
      <c r="C1908" s="533"/>
      <c r="D1908" s="103"/>
      <c r="E1908" s="103"/>
      <c r="F1908" s="103"/>
      <c r="G1908" s="103"/>
      <c r="H1908" s="131"/>
      <c r="I1908" s="468"/>
      <c r="J1908" s="16"/>
      <c r="K1908" s="16"/>
      <c r="L1908" s="8"/>
      <c r="M1908" s="69"/>
      <c r="N1908" s="69"/>
      <c r="O1908" s="69"/>
      <c r="P1908" s="534"/>
      <c r="Q1908" s="274"/>
      <c r="R1908" s="472"/>
      <c r="S1908" s="535"/>
      <c r="T1908" s="535"/>
      <c r="U1908" s="536"/>
      <c r="V1908" s="474"/>
      <c r="Y1908" s="89"/>
      <c r="Z1908" s="60"/>
      <c r="AA1908" s="60"/>
      <c r="AB1908" s="60"/>
      <c r="AC1908" s="30"/>
      <c r="AD1908" s="30"/>
      <c r="AE1908" s="475"/>
      <c r="AF1908" s="476"/>
      <c r="AG1908" s="474"/>
      <c r="AH1908" s="138"/>
    </row>
    <row r="1909">
      <c r="A1909" s="103"/>
      <c r="B1909" s="533"/>
      <c r="C1909" s="533"/>
      <c r="D1909" s="103"/>
      <c r="E1909" s="103"/>
      <c r="F1909" s="103"/>
      <c r="G1909" s="103"/>
      <c r="H1909" s="131"/>
      <c r="I1909" s="468"/>
      <c r="J1909" s="16"/>
      <c r="K1909" s="16"/>
      <c r="L1909" s="8"/>
      <c r="M1909" s="69"/>
      <c r="N1909" s="69"/>
      <c r="O1909" s="69"/>
      <c r="P1909" s="534"/>
      <c r="Q1909" s="274"/>
      <c r="R1909" s="472"/>
      <c r="S1909" s="535"/>
      <c r="T1909" s="535"/>
      <c r="U1909" s="536"/>
      <c r="V1909" s="474"/>
      <c r="Y1909" s="89"/>
      <c r="Z1909" s="60"/>
      <c r="AA1909" s="60"/>
      <c r="AB1909" s="60"/>
      <c r="AC1909" s="30"/>
      <c r="AD1909" s="30"/>
      <c r="AE1909" s="475"/>
      <c r="AF1909" s="476"/>
      <c r="AG1909" s="474"/>
      <c r="AH1909" s="138"/>
    </row>
    <row r="1910">
      <c r="A1910" s="103"/>
      <c r="B1910" s="533"/>
      <c r="C1910" s="533"/>
      <c r="D1910" s="103"/>
      <c r="E1910" s="103"/>
      <c r="F1910" s="103"/>
      <c r="G1910" s="103"/>
      <c r="H1910" s="131"/>
      <c r="I1910" s="468"/>
      <c r="J1910" s="16"/>
      <c r="K1910" s="16"/>
      <c r="L1910" s="8"/>
      <c r="M1910" s="69"/>
      <c r="N1910" s="69"/>
      <c r="O1910" s="69"/>
      <c r="P1910" s="534"/>
      <c r="Q1910" s="274"/>
      <c r="R1910" s="472"/>
      <c r="S1910" s="535"/>
      <c r="T1910" s="535"/>
      <c r="U1910" s="536"/>
      <c r="V1910" s="474"/>
      <c r="Y1910" s="89"/>
      <c r="Z1910" s="60"/>
      <c r="AA1910" s="60"/>
      <c r="AB1910" s="60"/>
      <c r="AC1910" s="30"/>
      <c r="AD1910" s="30"/>
      <c r="AE1910" s="475"/>
      <c r="AF1910" s="476"/>
      <c r="AG1910" s="474"/>
      <c r="AH1910" s="138"/>
    </row>
    <row r="1911">
      <c r="A1911" s="103"/>
      <c r="B1911" s="533"/>
      <c r="C1911" s="533"/>
      <c r="D1911" s="103"/>
      <c r="E1911" s="103"/>
      <c r="F1911" s="103"/>
      <c r="G1911" s="103"/>
      <c r="H1911" s="131"/>
      <c r="I1911" s="468"/>
      <c r="J1911" s="16"/>
      <c r="K1911" s="16"/>
      <c r="L1911" s="8"/>
      <c r="M1911" s="69"/>
      <c r="N1911" s="69"/>
      <c r="O1911" s="69"/>
      <c r="P1911" s="534"/>
      <c r="Q1911" s="274"/>
      <c r="R1911" s="472"/>
      <c r="S1911" s="535"/>
      <c r="T1911" s="535"/>
      <c r="U1911" s="536"/>
      <c r="V1911" s="474"/>
      <c r="Y1911" s="89"/>
      <c r="Z1911" s="60"/>
      <c r="AA1911" s="60"/>
      <c r="AB1911" s="60"/>
      <c r="AC1911" s="30"/>
      <c r="AD1911" s="30"/>
      <c r="AE1911" s="475"/>
      <c r="AF1911" s="476"/>
      <c r="AG1911" s="474"/>
      <c r="AH1911" s="138"/>
    </row>
    <row r="1912">
      <c r="A1912" s="103"/>
      <c r="B1912" s="533"/>
      <c r="C1912" s="533"/>
      <c r="D1912" s="103"/>
      <c r="E1912" s="103"/>
      <c r="F1912" s="103"/>
      <c r="G1912" s="103"/>
      <c r="H1912" s="131"/>
      <c r="I1912" s="468"/>
      <c r="J1912" s="16"/>
      <c r="K1912" s="16"/>
      <c r="L1912" s="8"/>
      <c r="M1912" s="69"/>
      <c r="N1912" s="69"/>
      <c r="O1912" s="69"/>
      <c r="P1912" s="534"/>
      <c r="Q1912" s="274"/>
      <c r="R1912" s="472"/>
      <c r="S1912" s="535"/>
      <c r="T1912" s="535"/>
      <c r="U1912" s="536"/>
      <c r="V1912" s="474"/>
      <c r="Y1912" s="89"/>
      <c r="Z1912" s="60"/>
      <c r="AA1912" s="60"/>
      <c r="AB1912" s="60"/>
      <c r="AC1912" s="30"/>
      <c r="AD1912" s="30"/>
      <c r="AE1912" s="475"/>
      <c r="AF1912" s="476"/>
      <c r="AG1912" s="474"/>
      <c r="AH1912" s="138"/>
    </row>
    <row r="1913">
      <c r="A1913" s="103"/>
      <c r="B1913" s="533"/>
      <c r="C1913" s="533"/>
      <c r="D1913" s="103"/>
      <c r="E1913" s="103"/>
      <c r="F1913" s="103"/>
      <c r="G1913" s="103"/>
      <c r="H1913" s="131"/>
      <c r="I1913" s="468"/>
      <c r="J1913" s="16"/>
      <c r="K1913" s="16"/>
      <c r="L1913" s="8"/>
      <c r="M1913" s="69"/>
      <c r="N1913" s="69"/>
      <c r="O1913" s="69"/>
      <c r="P1913" s="534"/>
      <c r="Q1913" s="274"/>
      <c r="R1913" s="472"/>
      <c r="S1913" s="535"/>
      <c r="T1913" s="535"/>
      <c r="U1913" s="536"/>
      <c r="V1913" s="474"/>
      <c r="Y1913" s="89"/>
      <c r="Z1913" s="60"/>
      <c r="AA1913" s="60"/>
      <c r="AB1913" s="60"/>
      <c r="AC1913" s="30"/>
      <c r="AD1913" s="30"/>
      <c r="AE1913" s="475"/>
      <c r="AF1913" s="476"/>
      <c r="AG1913" s="474"/>
      <c r="AH1913" s="138"/>
    </row>
    <row r="1914">
      <c r="A1914" s="103"/>
      <c r="B1914" s="533"/>
      <c r="C1914" s="533"/>
      <c r="D1914" s="103"/>
      <c r="E1914" s="103"/>
      <c r="F1914" s="103"/>
      <c r="G1914" s="103"/>
      <c r="H1914" s="131"/>
      <c r="I1914" s="468"/>
      <c r="J1914" s="16"/>
      <c r="K1914" s="16"/>
      <c r="L1914" s="8"/>
      <c r="M1914" s="69"/>
      <c r="N1914" s="69"/>
      <c r="O1914" s="69"/>
      <c r="P1914" s="534"/>
      <c r="Q1914" s="274"/>
      <c r="R1914" s="472"/>
      <c r="S1914" s="535"/>
      <c r="T1914" s="535"/>
      <c r="U1914" s="536"/>
      <c r="V1914" s="474"/>
      <c r="Y1914" s="89"/>
      <c r="Z1914" s="60"/>
      <c r="AA1914" s="60"/>
      <c r="AB1914" s="60"/>
      <c r="AC1914" s="30"/>
      <c r="AD1914" s="30"/>
      <c r="AE1914" s="475"/>
      <c r="AF1914" s="476"/>
      <c r="AG1914" s="474"/>
      <c r="AH1914" s="138"/>
    </row>
    <row r="1915">
      <c r="A1915" s="103"/>
      <c r="B1915" s="533"/>
      <c r="C1915" s="533"/>
      <c r="D1915" s="103"/>
      <c r="E1915" s="103"/>
      <c r="F1915" s="103"/>
      <c r="G1915" s="103"/>
      <c r="H1915" s="131"/>
      <c r="I1915" s="468"/>
      <c r="J1915" s="16"/>
      <c r="K1915" s="16"/>
      <c r="L1915" s="8"/>
      <c r="M1915" s="69"/>
      <c r="N1915" s="69"/>
      <c r="O1915" s="69"/>
      <c r="P1915" s="534"/>
      <c r="Q1915" s="274"/>
      <c r="R1915" s="472"/>
      <c r="S1915" s="535"/>
      <c r="T1915" s="535"/>
      <c r="U1915" s="536"/>
      <c r="V1915" s="474"/>
      <c r="Y1915" s="89"/>
      <c r="Z1915" s="60"/>
      <c r="AA1915" s="60"/>
      <c r="AB1915" s="60"/>
      <c r="AC1915" s="30"/>
      <c r="AD1915" s="30"/>
      <c r="AE1915" s="475"/>
      <c r="AF1915" s="476"/>
      <c r="AG1915" s="474"/>
      <c r="AH1915" s="138"/>
    </row>
    <row r="1916">
      <c r="A1916" s="103"/>
      <c r="B1916" s="533"/>
      <c r="C1916" s="533"/>
      <c r="D1916" s="103"/>
      <c r="E1916" s="103"/>
      <c r="F1916" s="103"/>
      <c r="G1916" s="103"/>
      <c r="H1916" s="131"/>
      <c r="I1916" s="468"/>
      <c r="J1916" s="16"/>
      <c r="K1916" s="16"/>
      <c r="L1916" s="8"/>
      <c r="M1916" s="69"/>
      <c r="N1916" s="69"/>
      <c r="O1916" s="69"/>
      <c r="P1916" s="534"/>
      <c r="Q1916" s="274"/>
      <c r="R1916" s="472"/>
      <c r="S1916" s="535"/>
      <c r="T1916" s="535"/>
      <c r="U1916" s="536"/>
      <c r="V1916" s="474"/>
      <c r="Y1916" s="89"/>
      <c r="Z1916" s="60"/>
      <c r="AA1916" s="60"/>
      <c r="AB1916" s="60"/>
      <c r="AC1916" s="30"/>
      <c r="AD1916" s="30"/>
      <c r="AE1916" s="475"/>
      <c r="AF1916" s="476"/>
      <c r="AG1916" s="474"/>
      <c r="AH1916" s="138"/>
    </row>
    <row r="1917">
      <c r="A1917" s="103"/>
      <c r="B1917" s="533"/>
      <c r="C1917" s="533"/>
      <c r="D1917" s="103"/>
      <c r="E1917" s="103"/>
      <c r="F1917" s="103"/>
      <c r="G1917" s="103"/>
      <c r="H1917" s="131"/>
      <c r="I1917" s="468"/>
      <c r="J1917" s="16"/>
      <c r="K1917" s="16"/>
      <c r="L1917" s="8"/>
      <c r="M1917" s="69"/>
      <c r="N1917" s="69"/>
      <c r="O1917" s="69"/>
      <c r="P1917" s="534"/>
      <c r="Q1917" s="274"/>
      <c r="R1917" s="472"/>
      <c r="S1917" s="535"/>
      <c r="T1917" s="535"/>
      <c r="U1917" s="536"/>
      <c r="V1917" s="474"/>
      <c r="Y1917" s="89"/>
      <c r="Z1917" s="60"/>
      <c r="AA1917" s="60"/>
      <c r="AB1917" s="60"/>
      <c r="AC1917" s="30"/>
      <c r="AD1917" s="30"/>
      <c r="AE1917" s="475"/>
      <c r="AF1917" s="476"/>
      <c r="AG1917" s="474"/>
      <c r="AH1917" s="138"/>
    </row>
    <row r="1918">
      <c r="A1918" s="103"/>
      <c r="B1918" s="533"/>
      <c r="C1918" s="533"/>
      <c r="D1918" s="103"/>
      <c r="E1918" s="103"/>
      <c r="F1918" s="103"/>
      <c r="G1918" s="103"/>
      <c r="H1918" s="131"/>
      <c r="I1918" s="468"/>
      <c r="J1918" s="16"/>
      <c r="K1918" s="16"/>
      <c r="L1918" s="8"/>
      <c r="M1918" s="69"/>
      <c r="N1918" s="69"/>
      <c r="O1918" s="69"/>
      <c r="P1918" s="534"/>
      <c r="Q1918" s="274"/>
      <c r="R1918" s="472"/>
      <c r="S1918" s="535"/>
      <c r="T1918" s="535"/>
      <c r="U1918" s="536"/>
      <c r="V1918" s="474"/>
      <c r="Y1918" s="89"/>
      <c r="Z1918" s="60"/>
      <c r="AA1918" s="60"/>
      <c r="AB1918" s="60"/>
      <c r="AC1918" s="30"/>
      <c r="AD1918" s="30"/>
      <c r="AE1918" s="475"/>
      <c r="AF1918" s="476"/>
      <c r="AG1918" s="474"/>
      <c r="AH1918" s="138"/>
    </row>
    <row r="1919">
      <c r="A1919" s="103"/>
      <c r="B1919" s="533"/>
      <c r="C1919" s="533"/>
      <c r="D1919" s="103"/>
      <c r="E1919" s="103"/>
      <c r="F1919" s="103"/>
      <c r="G1919" s="103"/>
      <c r="H1919" s="131"/>
      <c r="I1919" s="468"/>
      <c r="J1919" s="16"/>
      <c r="K1919" s="16"/>
      <c r="L1919" s="8"/>
      <c r="M1919" s="69"/>
      <c r="N1919" s="69"/>
      <c r="O1919" s="69"/>
      <c r="P1919" s="534"/>
      <c r="Q1919" s="274"/>
      <c r="R1919" s="472"/>
      <c r="S1919" s="535"/>
      <c r="T1919" s="535"/>
      <c r="U1919" s="536"/>
      <c r="V1919" s="474"/>
      <c r="Y1919" s="89"/>
      <c r="Z1919" s="60"/>
      <c r="AA1919" s="60"/>
      <c r="AB1919" s="60"/>
      <c r="AC1919" s="30"/>
      <c r="AD1919" s="30"/>
      <c r="AE1919" s="475"/>
      <c r="AF1919" s="476"/>
      <c r="AG1919" s="474"/>
      <c r="AH1919" s="138"/>
    </row>
    <row r="1920">
      <c r="A1920" s="103"/>
      <c r="B1920" s="533"/>
      <c r="C1920" s="533"/>
      <c r="D1920" s="103"/>
      <c r="E1920" s="103"/>
      <c r="F1920" s="103"/>
      <c r="G1920" s="103"/>
      <c r="H1920" s="131"/>
      <c r="I1920" s="468"/>
      <c r="J1920" s="16"/>
      <c r="K1920" s="16"/>
      <c r="L1920" s="8"/>
      <c r="M1920" s="69"/>
      <c r="N1920" s="69"/>
      <c r="O1920" s="69"/>
      <c r="P1920" s="534"/>
      <c r="Q1920" s="274"/>
      <c r="R1920" s="472"/>
      <c r="S1920" s="535"/>
      <c r="T1920" s="535"/>
      <c r="U1920" s="536"/>
      <c r="V1920" s="474"/>
      <c r="Y1920" s="89"/>
      <c r="Z1920" s="60"/>
      <c r="AA1920" s="60"/>
      <c r="AB1920" s="60"/>
      <c r="AC1920" s="30"/>
      <c r="AD1920" s="30"/>
      <c r="AE1920" s="475"/>
      <c r="AF1920" s="476"/>
      <c r="AG1920" s="474"/>
      <c r="AH1920" s="138"/>
    </row>
    <row r="1921">
      <c r="A1921" s="103"/>
      <c r="B1921" s="533"/>
      <c r="C1921" s="533"/>
      <c r="D1921" s="103"/>
      <c r="E1921" s="103"/>
      <c r="F1921" s="103"/>
      <c r="G1921" s="103"/>
      <c r="H1921" s="131"/>
      <c r="I1921" s="468"/>
      <c r="J1921" s="16"/>
      <c r="K1921" s="16"/>
      <c r="L1921" s="8"/>
      <c r="M1921" s="69"/>
      <c r="N1921" s="69"/>
      <c r="O1921" s="69"/>
      <c r="P1921" s="534"/>
      <c r="Q1921" s="274"/>
      <c r="R1921" s="472"/>
      <c r="S1921" s="535"/>
      <c r="T1921" s="535"/>
      <c r="U1921" s="536"/>
      <c r="V1921" s="474"/>
      <c r="Y1921" s="89"/>
      <c r="Z1921" s="60"/>
      <c r="AA1921" s="60"/>
      <c r="AB1921" s="60"/>
      <c r="AC1921" s="30"/>
      <c r="AD1921" s="30"/>
      <c r="AE1921" s="475"/>
      <c r="AF1921" s="476"/>
      <c r="AG1921" s="474"/>
      <c r="AH1921" s="138"/>
    </row>
    <row r="1922">
      <c r="A1922" s="103"/>
      <c r="B1922" s="533"/>
      <c r="C1922" s="533"/>
      <c r="D1922" s="103"/>
      <c r="E1922" s="103"/>
      <c r="F1922" s="103"/>
      <c r="G1922" s="103"/>
      <c r="H1922" s="131"/>
      <c r="I1922" s="468"/>
      <c r="J1922" s="16"/>
      <c r="K1922" s="16"/>
      <c r="L1922" s="8"/>
      <c r="M1922" s="69"/>
      <c r="N1922" s="69"/>
      <c r="O1922" s="69"/>
      <c r="P1922" s="534"/>
      <c r="Q1922" s="274"/>
      <c r="R1922" s="472"/>
      <c r="S1922" s="535"/>
      <c r="T1922" s="535"/>
      <c r="U1922" s="536"/>
      <c r="V1922" s="474"/>
      <c r="Y1922" s="89"/>
      <c r="Z1922" s="60"/>
      <c r="AA1922" s="60"/>
      <c r="AB1922" s="60"/>
      <c r="AC1922" s="30"/>
      <c r="AD1922" s="30"/>
      <c r="AE1922" s="475"/>
      <c r="AF1922" s="476"/>
      <c r="AG1922" s="474"/>
      <c r="AH1922" s="138"/>
    </row>
    <row r="1923">
      <c r="A1923" s="103"/>
      <c r="B1923" s="533"/>
      <c r="C1923" s="533"/>
      <c r="D1923" s="103"/>
      <c r="E1923" s="103"/>
      <c r="F1923" s="103"/>
      <c r="G1923" s="103"/>
      <c r="H1923" s="131"/>
      <c r="I1923" s="468"/>
      <c r="J1923" s="16"/>
      <c r="K1923" s="16"/>
      <c r="L1923" s="8"/>
      <c r="M1923" s="69"/>
      <c r="N1923" s="69"/>
      <c r="O1923" s="69"/>
      <c r="P1923" s="534"/>
      <c r="Q1923" s="274"/>
      <c r="R1923" s="472"/>
      <c r="S1923" s="535"/>
      <c r="T1923" s="535"/>
      <c r="U1923" s="536"/>
      <c r="V1923" s="474"/>
      <c r="Y1923" s="89"/>
      <c r="Z1923" s="60"/>
      <c r="AA1923" s="60"/>
      <c r="AB1923" s="60"/>
      <c r="AC1923" s="30"/>
      <c r="AD1923" s="30"/>
      <c r="AE1923" s="475"/>
      <c r="AF1923" s="476"/>
      <c r="AG1923" s="474"/>
      <c r="AH1923" s="138"/>
    </row>
    <row r="1924">
      <c r="A1924" s="103"/>
      <c r="B1924" s="533"/>
      <c r="C1924" s="533"/>
      <c r="D1924" s="103"/>
      <c r="E1924" s="103"/>
      <c r="F1924" s="103"/>
      <c r="G1924" s="103"/>
      <c r="H1924" s="131"/>
      <c r="I1924" s="468"/>
      <c r="J1924" s="16"/>
      <c r="K1924" s="16"/>
      <c r="L1924" s="8"/>
      <c r="M1924" s="69"/>
      <c r="N1924" s="69"/>
      <c r="O1924" s="69"/>
      <c r="P1924" s="534"/>
      <c r="Q1924" s="274"/>
      <c r="R1924" s="472"/>
      <c r="S1924" s="535"/>
      <c r="T1924" s="535"/>
      <c r="U1924" s="536"/>
      <c r="V1924" s="474"/>
      <c r="Y1924" s="89"/>
      <c r="Z1924" s="60"/>
      <c r="AA1924" s="60"/>
      <c r="AB1924" s="60"/>
      <c r="AC1924" s="30"/>
      <c r="AD1924" s="30"/>
      <c r="AE1924" s="475"/>
      <c r="AF1924" s="476"/>
      <c r="AG1924" s="474"/>
      <c r="AH1924" s="138"/>
    </row>
    <row r="1925">
      <c r="A1925" s="103"/>
      <c r="B1925" s="533"/>
      <c r="C1925" s="533"/>
      <c r="D1925" s="103"/>
      <c r="E1925" s="103"/>
      <c r="F1925" s="103"/>
      <c r="G1925" s="103"/>
      <c r="H1925" s="131"/>
      <c r="I1925" s="468"/>
      <c r="J1925" s="16"/>
      <c r="K1925" s="16"/>
      <c r="L1925" s="8"/>
      <c r="M1925" s="69"/>
      <c r="N1925" s="69"/>
      <c r="O1925" s="69"/>
      <c r="P1925" s="534"/>
      <c r="Q1925" s="274"/>
      <c r="R1925" s="472"/>
      <c r="S1925" s="535"/>
      <c r="T1925" s="535"/>
      <c r="U1925" s="536"/>
      <c r="V1925" s="474"/>
      <c r="Y1925" s="89"/>
      <c r="Z1925" s="60"/>
      <c r="AA1925" s="60"/>
      <c r="AB1925" s="60"/>
      <c r="AC1925" s="30"/>
      <c r="AD1925" s="30"/>
      <c r="AE1925" s="475"/>
      <c r="AF1925" s="476"/>
      <c r="AG1925" s="474"/>
      <c r="AH1925" s="138"/>
    </row>
    <row r="1926">
      <c r="A1926" s="103"/>
      <c r="B1926" s="533"/>
      <c r="C1926" s="533"/>
      <c r="D1926" s="103"/>
      <c r="E1926" s="103"/>
      <c r="F1926" s="103"/>
      <c r="G1926" s="103"/>
      <c r="H1926" s="131"/>
      <c r="I1926" s="468"/>
      <c r="J1926" s="16"/>
      <c r="K1926" s="16"/>
      <c r="L1926" s="8"/>
      <c r="M1926" s="69"/>
      <c r="N1926" s="69"/>
      <c r="O1926" s="69"/>
      <c r="P1926" s="534"/>
      <c r="Q1926" s="274"/>
      <c r="R1926" s="472"/>
      <c r="S1926" s="535"/>
      <c r="T1926" s="535"/>
      <c r="U1926" s="536"/>
      <c r="V1926" s="474"/>
      <c r="Y1926" s="89"/>
      <c r="Z1926" s="60"/>
      <c r="AA1926" s="60"/>
      <c r="AB1926" s="60"/>
      <c r="AC1926" s="30"/>
      <c r="AD1926" s="30"/>
      <c r="AE1926" s="475"/>
      <c r="AF1926" s="476"/>
      <c r="AG1926" s="474"/>
      <c r="AH1926" s="138"/>
    </row>
    <row r="1927">
      <c r="A1927" s="103"/>
      <c r="B1927" s="533"/>
      <c r="C1927" s="533"/>
      <c r="D1927" s="103"/>
      <c r="E1927" s="103"/>
      <c r="F1927" s="103"/>
      <c r="G1927" s="103"/>
      <c r="H1927" s="131"/>
      <c r="I1927" s="468"/>
      <c r="J1927" s="16"/>
      <c r="K1927" s="16"/>
      <c r="L1927" s="8"/>
      <c r="M1927" s="69"/>
      <c r="N1927" s="69"/>
      <c r="O1927" s="69"/>
      <c r="P1927" s="534"/>
      <c r="Q1927" s="274"/>
      <c r="R1927" s="472"/>
      <c r="S1927" s="535"/>
      <c r="T1927" s="535"/>
      <c r="U1927" s="536"/>
      <c r="V1927" s="474"/>
      <c r="Y1927" s="89"/>
      <c r="Z1927" s="60"/>
      <c r="AA1927" s="60"/>
      <c r="AB1927" s="60"/>
      <c r="AC1927" s="30"/>
      <c r="AD1927" s="30"/>
      <c r="AE1927" s="475"/>
      <c r="AF1927" s="476"/>
      <c r="AG1927" s="474"/>
      <c r="AH1927" s="138"/>
    </row>
    <row r="1928">
      <c r="A1928" s="103"/>
      <c r="B1928" s="533"/>
      <c r="C1928" s="533"/>
      <c r="D1928" s="103"/>
      <c r="E1928" s="103"/>
      <c r="F1928" s="103"/>
      <c r="G1928" s="103"/>
      <c r="H1928" s="131"/>
      <c r="I1928" s="468"/>
      <c r="J1928" s="16"/>
      <c r="K1928" s="16"/>
      <c r="L1928" s="8"/>
      <c r="M1928" s="69"/>
      <c r="N1928" s="69"/>
      <c r="O1928" s="69"/>
      <c r="P1928" s="534"/>
      <c r="Q1928" s="274"/>
      <c r="R1928" s="472"/>
      <c r="S1928" s="535"/>
      <c r="T1928" s="535"/>
      <c r="U1928" s="536"/>
      <c r="V1928" s="474"/>
      <c r="Y1928" s="89"/>
      <c r="Z1928" s="60"/>
      <c r="AA1928" s="60"/>
      <c r="AB1928" s="60"/>
      <c r="AC1928" s="30"/>
      <c r="AD1928" s="30"/>
      <c r="AE1928" s="475"/>
      <c r="AF1928" s="476"/>
      <c r="AG1928" s="474"/>
      <c r="AH1928" s="138"/>
    </row>
    <row r="1929">
      <c r="A1929" s="103"/>
      <c r="B1929" s="533"/>
      <c r="C1929" s="533"/>
      <c r="D1929" s="103"/>
      <c r="E1929" s="103"/>
      <c r="F1929" s="103"/>
      <c r="G1929" s="103"/>
      <c r="H1929" s="131"/>
      <c r="I1929" s="468"/>
      <c r="J1929" s="16"/>
      <c r="K1929" s="16"/>
      <c r="L1929" s="8"/>
      <c r="M1929" s="69"/>
      <c r="N1929" s="69"/>
      <c r="O1929" s="69"/>
      <c r="P1929" s="534"/>
      <c r="Q1929" s="274"/>
      <c r="R1929" s="472"/>
      <c r="S1929" s="535"/>
      <c r="T1929" s="535"/>
      <c r="U1929" s="536"/>
      <c r="V1929" s="474"/>
      <c r="Y1929" s="89"/>
      <c r="Z1929" s="60"/>
      <c r="AA1929" s="60"/>
      <c r="AB1929" s="60"/>
      <c r="AC1929" s="30"/>
      <c r="AD1929" s="30"/>
      <c r="AE1929" s="475"/>
      <c r="AF1929" s="476"/>
      <c r="AG1929" s="474"/>
      <c r="AH1929" s="138"/>
    </row>
    <row r="1930">
      <c r="A1930" s="103"/>
      <c r="B1930" s="533"/>
      <c r="C1930" s="533"/>
      <c r="D1930" s="103"/>
      <c r="E1930" s="103"/>
      <c r="F1930" s="103"/>
      <c r="G1930" s="103"/>
      <c r="H1930" s="131"/>
      <c r="I1930" s="468"/>
      <c r="J1930" s="16"/>
      <c r="K1930" s="16"/>
      <c r="L1930" s="8"/>
      <c r="M1930" s="69"/>
      <c r="N1930" s="69"/>
      <c r="O1930" s="69"/>
      <c r="P1930" s="534"/>
      <c r="Q1930" s="274"/>
      <c r="R1930" s="472"/>
      <c r="S1930" s="535"/>
      <c r="T1930" s="535"/>
      <c r="U1930" s="536"/>
      <c r="V1930" s="474"/>
      <c r="Y1930" s="89"/>
      <c r="Z1930" s="60"/>
      <c r="AA1930" s="60"/>
      <c r="AB1930" s="60"/>
      <c r="AC1930" s="30"/>
      <c r="AD1930" s="30"/>
      <c r="AE1930" s="475"/>
      <c r="AF1930" s="476"/>
      <c r="AG1930" s="474"/>
      <c r="AH1930" s="138"/>
    </row>
    <row r="1931">
      <c r="A1931" s="103"/>
      <c r="B1931" s="533"/>
      <c r="C1931" s="533"/>
      <c r="D1931" s="103"/>
      <c r="E1931" s="103"/>
      <c r="F1931" s="103"/>
      <c r="G1931" s="103"/>
      <c r="H1931" s="131"/>
      <c r="I1931" s="468"/>
      <c r="J1931" s="16"/>
      <c r="K1931" s="16"/>
      <c r="L1931" s="8"/>
      <c r="M1931" s="69"/>
      <c r="N1931" s="69"/>
      <c r="O1931" s="69"/>
      <c r="P1931" s="534"/>
      <c r="Q1931" s="274"/>
      <c r="R1931" s="472"/>
      <c r="S1931" s="535"/>
      <c r="T1931" s="535"/>
      <c r="U1931" s="536"/>
      <c r="V1931" s="474"/>
      <c r="Y1931" s="89"/>
      <c r="Z1931" s="60"/>
      <c r="AA1931" s="60"/>
      <c r="AB1931" s="60"/>
      <c r="AC1931" s="30"/>
      <c r="AD1931" s="30"/>
      <c r="AE1931" s="475"/>
      <c r="AF1931" s="476"/>
      <c r="AG1931" s="474"/>
      <c r="AH1931" s="138"/>
    </row>
    <row r="1932">
      <c r="A1932" s="103"/>
      <c r="B1932" s="533"/>
      <c r="C1932" s="533"/>
      <c r="D1932" s="103"/>
      <c r="E1932" s="103"/>
      <c r="F1932" s="103"/>
      <c r="G1932" s="103"/>
      <c r="H1932" s="131"/>
      <c r="I1932" s="468"/>
      <c r="J1932" s="16"/>
      <c r="K1932" s="16"/>
      <c r="L1932" s="8"/>
      <c r="M1932" s="69"/>
      <c r="N1932" s="69"/>
      <c r="O1932" s="69"/>
      <c r="P1932" s="534"/>
      <c r="Q1932" s="274"/>
      <c r="R1932" s="472"/>
      <c r="S1932" s="535"/>
      <c r="T1932" s="535"/>
      <c r="U1932" s="536"/>
      <c r="V1932" s="474"/>
      <c r="Y1932" s="89"/>
      <c r="Z1932" s="60"/>
      <c r="AA1932" s="60"/>
      <c r="AB1932" s="60"/>
      <c r="AC1932" s="30"/>
      <c r="AD1932" s="30"/>
      <c r="AE1932" s="475"/>
      <c r="AF1932" s="476"/>
      <c r="AG1932" s="474"/>
      <c r="AH1932" s="138"/>
    </row>
    <row r="1933">
      <c r="A1933" s="103"/>
      <c r="B1933" s="533"/>
      <c r="C1933" s="533"/>
      <c r="D1933" s="103"/>
      <c r="E1933" s="103"/>
      <c r="F1933" s="103"/>
      <c r="G1933" s="103"/>
      <c r="H1933" s="131"/>
      <c r="I1933" s="468"/>
      <c r="J1933" s="16"/>
      <c r="K1933" s="16"/>
      <c r="L1933" s="8"/>
      <c r="M1933" s="69"/>
      <c r="N1933" s="69"/>
      <c r="O1933" s="69"/>
      <c r="P1933" s="534"/>
      <c r="Q1933" s="274"/>
      <c r="R1933" s="472"/>
      <c r="S1933" s="535"/>
      <c r="T1933" s="535"/>
      <c r="U1933" s="536"/>
      <c r="V1933" s="474"/>
      <c r="Y1933" s="89"/>
      <c r="Z1933" s="60"/>
      <c r="AA1933" s="60"/>
      <c r="AB1933" s="60"/>
      <c r="AC1933" s="30"/>
      <c r="AD1933" s="30"/>
      <c r="AE1933" s="475"/>
      <c r="AF1933" s="476"/>
      <c r="AG1933" s="474"/>
      <c r="AH1933" s="138"/>
    </row>
    <row r="1934">
      <c r="A1934" s="103"/>
      <c r="B1934" s="533"/>
      <c r="C1934" s="533"/>
      <c r="D1934" s="103"/>
      <c r="E1934" s="103"/>
      <c r="F1934" s="103"/>
      <c r="G1934" s="103"/>
      <c r="H1934" s="131"/>
      <c r="I1934" s="468"/>
      <c r="J1934" s="16"/>
      <c r="K1934" s="16"/>
      <c r="L1934" s="8"/>
      <c r="M1934" s="69"/>
      <c r="N1934" s="69"/>
      <c r="O1934" s="69"/>
      <c r="P1934" s="534"/>
      <c r="Q1934" s="274"/>
      <c r="R1934" s="472"/>
      <c r="S1934" s="535"/>
      <c r="T1934" s="535"/>
      <c r="U1934" s="536"/>
      <c r="V1934" s="474"/>
      <c r="Y1934" s="89"/>
      <c r="Z1934" s="60"/>
      <c r="AA1934" s="60"/>
      <c r="AB1934" s="60"/>
      <c r="AC1934" s="30"/>
      <c r="AD1934" s="30"/>
      <c r="AE1934" s="475"/>
      <c r="AF1934" s="476"/>
      <c r="AG1934" s="474"/>
      <c r="AH1934" s="138"/>
    </row>
    <row r="1935">
      <c r="A1935" s="103"/>
      <c r="B1935" s="533"/>
      <c r="C1935" s="533"/>
      <c r="D1935" s="103"/>
      <c r="E1935" s="103"/>
      <c r="F1935" s="103"/>
      <c r="G1935" s="103"/>
      <c r="H1935" s="131"/>
      <c r="I1935" s="468"/>
      <c r="J1935" s="16"/>
      <c r="K1935" s="16"/>
      <c r="L1935" s="8"/>
      <c r="M1935" s="69"/>
      <c r="N1935" s="69"/>
      <c r="O1935" s="69"/>
      <c r="P1935" s="534"/>
      <c r="Q1935" s="274"/>
      <c r="R1935" s="472"/>
      <c r="S1935" s="535"/>
      <c r="T1935" s="535"/>
      <c r="U1935" s="536"/>
      <c r="V1935" s="474"/>
      <c r="Y1935" s="89"/>
      <c r="Z1935" s="60"/>
      <c r="AA1935" s="60"/>
      <c r="AB1935" s="60"/>
      <c r="AC1935" s="30"/>
      <c r="AD1935" s="30"/>
      <c r="AE1935" s="475"/>
      <c r="AF1935" s="476"/>
      <c r="AG1935" s="474"/>
      <c r="AH1935" s="138"/>
    </row>
    <row r="1936">
      <c r="A1936" s="103"/>
      <c r="B1936" s="533"/>
      <c r="C1936" s="533"/>
      <c r="D1936" s="103"/>
      <c r="E1936" s="103"/>
      <c r="F1936" s="103"/>
      <c r="G1936" s="103"/>
      <c r="H1936" s="131"/>
      <c r="I1936" s="468"/>
      <c r="J1936" s="16"/>
      <c r="K1936" s="16"/>
      <c r="L1936" s="8"/>
      <c r="M1936" s="69"/>
      <c r="N1936" s="69"/>
      <c r="O1936" s="69"/>
      <c r="P1936" s="534"/>
      <c r="Q1936" s="274"/>
      <c r="R1936" s="472"/>
      <c r="S1936" s="535"/>
      <c r="T1936" s="535"/>
      <c r="U1936" s="536"/>
      <c r="V1936" s="474"/>
      <c r="Y1936" s="89"/>
      <c r="Z1936" s="60"/>
      <c r="AA1936" s="60"/>
      <c r="AB1936" s="60"/>
      <c r="AC1936" s="30"/>
      <c r="AD1936" s="30"/>
      <c r="AE1936" s="475"/>
      <c r="AF1936" s="476"/>
      <c r="AG1936" s="474"/>
      <c r="AH1936" s="138"/>
    </row>
    <row r="1937">
      <c r="A1937" s="103"/>
      <c r="B1937" s="533"/>
      <c r="C1937" s="533"/>
      <c r="D1937" s="103"/>
      <c r="E1937" s="103"/>
      <c r="F1937" s="103"/>
      <c r="G1937" s="103"/>
      <c r="H1937" s="131"/>
      <c r="I1937" s="468"/>
      <c r="J1937" s="16"/>
      <c r="K1937" s="16"/>
      <c r="L1937" s="8"/>
      <c r="M1937" s="69"/>
      <c r="N1937" s="69"/>
      <c r="O1937" s="69"/>
      <c r="P1937" s="534"/>
      <c r="Q1937" s="274"/>
      <c r="R1937" s="472"/>
      <c r="S1937" s="535"/>
      <c r="T1937" s="535"/>
      <c r="U1937" s="536"/>
      <c r="V1937" s="474"/>
      <c r="Y1937" s="89"/>
      <c r="Z1937" s="60"/>
      <c r="AA1937" s="60"/>
      <c r="AB1937" s="60"/>
      <c r="AC1937" s="30"/>
      <c r="AD1937" s="30"/>
      <c r="AE1937" s="475"/>
      <c r="AF1937" s="476"/>
      <c r="AG1937" s="474"/>
      <c r="AH1937" s="138"/>
    </row>
    <row r="1938">
      <c r="A1938" s="103"/>
      <c r="B1938" s="533"/>
      <c r="C1938" s="533"/>
      <c r="D1938" s="103"/>
      <c r="E1938" s="103"/>
      <c r="F1938" s="103"/>
      <c r="G1938" s="103"/>
      <c r="H1938" s="131"/>
      <c r="I1938" s="468"/>
      <c r="J1938" s="16"/>
      <c r="K1938" s="16"/>
      <c r="L1938" s="8"/>
      <c r="M1938" s="69"/>
      <c r="N1938" s="69"/>
      <c r="O1938" s="69"/>
      <c r="P1938" s="534"/>
      <c r="Q1938" s="274"/>
      <c r="R1938" s="472"/>
      <c r="S1938" s="535"/>
      <c r="T1938" s="535"/>
      <c r="U1938" s="536"/>
      <c r="V1938" s="474"/>
      <c r="Y1938" s="89"/>
      <c r="Z1938" s="60"/>
      <c r="AA1938" s="60"/>
      <c r="AB1938" s="60"/>
      <c r="AC1938" s="30"/>
      <c r="AD1938" s="30"/>
      <c r="AE1938" s="475"/>
      <c r="AF1938" s="476"/>
      <c r="AG1938" s="474"/>
      <c r="AH1938" s="138"/>
    </row>
    <row r="1939">
      <c r="A1939" s="103"/>
      <c r="B1939" s="533"/>
      <c r="C1939" s="533"/>
      <c r="D1939" s="103"/>
      <c r="E1939" s="103"/>
      <c r="F1939" s="103"/>
      <c r="G1939" s="103"/>
      <c r="H1939" s="131"/>
      <c r="I1939" s="468"/>
      <c r="J1939" s="16"/>
      <c r="K1939" s="16"/>
      <c r="L1939" s="8"/>
      <c r="M1939" s="69"/>
      <c r="N1939" s="69"/>
      <c r="O1939" s="69"/>
      <c r="P1939" s="534"/>
      <c r="Q1939" s="274"/>
      <c r="R1939" s="472"/>
      <c r="S1939" s="535"/>
      <c r="T1939" s="535"/>
      <c r="U1939" s="536"/>
      <c r="V1939" s="474"/>
      <c r="Y1939" s="89"/>
      <c r="Z1939" s="60"/>
      <c r="AA1939" s="60"/>
      <c r="AB1939" s="60"/>
      <c r="AC1939" s="30"/>
      <c r="AD1939" s="30"/>
      <c r="AE1939" s="475"/>
      <c r="AF1939" s="476"/>
      <c r="AG1939" s="474"/>
      <c r="AH1939" s="138"/>
    </row>
    <row r="1940">
      <c r="A1940" s="103"/>
      <c r="B1940" s="533"/>
      <c r="C1940" s="533"/>
      <c r="D1940" s="103"/>
      <c r="E1940" s="103"/>
      <c r="F1940" s="103"/>
      <c r="G1940" s="103"/>
      <c r="H1940" s="131"/>
      <c r="I1940" s="468"/>
      <c r="J1940" s="16"/>
      <c r="K1940" s="16"/>
      <c r="L1940" s="8"/>
      <c r="M1940" s="69"/>
      <c r="N1940" s="69"/>
      <c r="O1940" s="69"/>
      <c r="P1940" s="534"/>
      <c r="Q1940" s="274"/>
      <c r="R1940" s="472"/>
      <c r="S1940" s="535"/>
      <c r="T1940" s="535"/>
      <c r="U1940" s="536"/>
      <c r="V1940" s="474"/>
      <c r="Y1940" s="89"/>
      <c r="Z1940" s="60"/>
      <c r="AA1940" s="60"/>
      <c r="AB1940" s="60"/>
      <c r="AC1940" s="30"/>
      <c r="AD1940" s="30"/>
      <c r="AE1940" s="475"/>
      <c r="AF1940" s="476"/>
      <c r="AG1940" s="474"/>
      <c r="AH1940" s="138"/>
    </row>
    <row r="1941">
      <c r="A1941" s="103"/>
      <c r="B1941" s="533"/>
      <c r="C1941" s="533"/>
      <c r="D1941" s="103"/>
      <c r="E1941" s="103"/>
      <c r="F1941" s="103"/>
      <c r="G1941" s="103"/>
      <c r="H1941" s="131"/>
      <c r="I1941" s="468"/>
      <c r="J1941" s="16"/>
      <c r="K1941" s="16"/>
      <c r="L1941" s="8"/>
      <c r="M1941" s="69"/>
      <c r="N1941" s="69"/>
      <c r="O1941" s="69"/>
      <c r="P1941" s="534"/>
      <c r="Q1941" s="274"/>
      <c r="R1941" s="472"/>
      <c r="S1941" s="535"/>
      <c r="T1941" s="535"/>
      <c r="U1941" s="536"/>
      <c r="V1941" s="474"/>
      <c r="Y1941" s="89"/>
      <c r="Z1941" s="60"/>
      <c r="AA1941" s="60"/>
      <c r="AB1941" s="60"/>
      <c r="AC1941" s="30"/>
      <c r="AD1941" s="30"/>
      <c r="AE1941" s="475"/>
      <c r="AF1941" s="476"/>
      <c r="AG1941" s="474"/>
      <c r="AH1941" s="138"/>
    </row>
    <row r="1942">
      <c r="A1942" s="103"/>
      <c r="B1942" s="533"/>
      <c r="C1942" s="533"/>
      <c r="D1942" s="103"/>
      <c r="E1942" s="103"/>
      <c r="F1942" s="103"/>
      <c r="G1942" s="103"/>
      <c r="H1942" s="131"/>
      <c r="I1942" s="468"/>
      <c r="J1942" s="16"/>
      <c r="K1942" s="16"/>
      <c r="L1942" s="8"/>
      <c r="M1942" s="69"/>
      <c r="N1942" s="69"/>
      <c r="O1942" s="69"/>
      <c r="P1942" s="534"/>
      <c r="Q1942" s="274"/>
      <c r="R1942" s="472"/>
      <c r="S1942" s="535"/>
      <c r="T1942" s="535"/>
      <c r="U1942" s="536"/>
      <c r="V1942" s="474"/>
      <c r="Y1942" s="89"/>
      <c r="Z1942" s="60"/>
      <c r="AA1942" s="60"/>
      <c r="AB1942" s="60"/>
      <c r="AC1942" s="30"/>
      <c r="AD1942" s="30"/>
      <c r="AE1942" s="475"/>
      <c r="AF1942" s="476"/>
      <c r="AG1942" s="474"/>
      <c r="AH1942" s="138"/>
    </row>
    <row r="1943">
      <c r="A1943" s="103"/>
      <c r="B1943" s="533"/>
      <c r="C1943" s="533"/>
      <c r="D1943" s="103"/>
      <c r="E1943" s="103"/>
      <c r="F1943" s="103"/>
      <c r="G1943" s="103"/>
      <c r="H1943" s="131"/>
      <c r="I1943" s="468"/>
      <c r="J1943" s="16"/>
      <c r="K1943" s="16"/>
      <c r="L1943" s="8"/>
      <c r="M1943" s="69"/>
      <c r="N1943" s="69"/>
      <c r="O1943" s="69"/>
      <c r="P1943" s="534"/>
      <c r="Q1943" s="274"/>
      <c r="R1943" s="472"/>
      <c r="S1943" s="535"/>
      <c r="T1943" s="535"/>
      <c r="U1943" s="536"/>
      <c r="V1943" s="474"/>
      <c r="Y1943" s="89"/>
      <c r="Z1943" s="60"/>
      <c r="AA1943" s="60"/>
      <c r="AB1943" s="60"/>
      <c r="AC1943" s="30"/>
      <c r="AD1943" s="30"/>
      <c r="AE1943" s="475"/>
      <c r="AF1943" s="476"/>
      <c r="AG1943" s="474"/>
      <c r="AH1943" s="138"/>
    </row>
    <row r="1944">
      <c r="A1944" s="103"/>
      <c r="B1944" s="533"/>
      <c r="C1944" s="533"/>
      <c r="D1944" s="103"/>
      <c r="E1944" s="103"/>
      <c r="F1944" s="103"/>
      <c r="G1944" s="103"/>
      <c r="H1944" s="131"/>
      <c r="I1944" s="468"/>
      <c r="J1944" s="16"/>
      <c r="K1944" s="16"/>
      <c r="L1944" s="8"/>
      <c r="M1944" s="69"/>
      <c r="N1944" s="69"/>
      <c r="O1944" s="69"/>
      <c r="P1944" s="534"/>
      <c r="Q1944" s="274"/>
      <c r="R1944" s="472"/>
      <c r="S1944" s="535"/>
      <c r="T1944" s="535"/>
      <c r="U1944" s="536"/>
      <c r="V1944" s="474"/>
      <c r="Y1944" s="89"/>
      <c r="Z1944" s="60"/>
      <c r="AA1944" s="60"/>
      <c r="AB1944" s="60"/>
      <c r="AC1944" s="30"/>
      <c r="AD1944" s="30"/>
      <c r="AE1944" s="475"/>
      <c r="AF1944" s="476"/>
      <c r="AG1944" s="474"/>
      <c r="AH1944" s="138"/>
    </row>
    <row r="1945">
      <c r="A1945" s="103"/>
      <c r="B1945" s="533"/>
      <c r="C1945" s="533"/>
      <c r="D1945" s="103"/>
      <c r="E1945" s="103"/>
      <c r="F1945" s="103"/>
      <c r="G1945" s="103"/>
      <c r="H1945" s="131"/>
      <c r="I1945" s="468"/>
      <c r="J1945" s="16"/>
      <c r="K1945" s="16"/>
      <c r="L1945" s="8"/>
      <c r="M1945" s="69"/>
      <c r="N1945" s="69"/>
      <c r="O1945" s="69"/>
      <c r="P1945" s="534"/>
      <c r="Q1945" s="274"/>
      <c r="R1945" s="472"/>
      <c r="S1945" s="535"/>
      <c r="T1945" s="535"/>
      <c r="U1945" s="536"/>
      <c r="V1945" s="474"/>
      <c r="Y1945" s="89"/>
      <c r="Z1945" s="60"/>
      <c r="AA1945" s="60"/>
      <c r="AB1945" s="60"/>
      <c r="AC1945" s="30"/>
      <c r="AD1945" s="30"/>
      <c r="AE1945" s="475"/>
      <c r="AF1945" s="476"/>
      <c r="AG1945" s="474"/>
      <c r="AH1945" s="138"/>
    </row>
    <row r="1946">
      <c r="A1946" s="103"/>
      <c r="B1946" s="533"/>
      <c r="C1946" s="533"/>
      <c r="D1946" s="103"/>
      <c r="E1946" s="103"/>
      <c r="F1946" s="103"/>
      <c r="G1946" s="103"/>
      <c r="H1946" s="131"/>
      <c r="I1946" s="468"/>
      <c r="J1946" s="16"/>
      <c r="K1946" s="16"/>
      <c r="L1946" s="8"/>
      <c r="M1946" s="69"/>
      <c r="N1946" s="69"/>
      <c r="O1946" s="69"/>
      <c r="P1946" s="534"/>
      <c r="Q1946" s="274"/>
      <c r="R1946" s="472"/>
      <c r="S1946" s="535"/>
      <c r="T1946" s="535"/>
      <c r="U1946" s="536"/>
      <c r="V1946" s="474"/>
      <c r="Y1946" s="89"/>
      <c r="Z1946" s="60"/>
      <c r="AA1946" s="60"/>
      <c r="AB1946" s="60"/>
      <c r="AC1946" s="30"/>
      <c r="AD1946" s="30"/>
      <c r="AE1946" s="475"/>
      <c r="AF1946" s="476"/>
      <c r="AG1946" s="474"/>
      <c r="AH1946" s="138"/>
    </row>
    <row r="1947">
      <c r="A1947" s="103"/>
      <c r="B1947" s="533"/>
      <c r="C1947" s="533"/>
      <c r="D1947" s="103"/>
      <c r="E1947" s="103"/>
      <c r="F1947" s="103"/>
      <c r="G1947" s="103"/>
      <c r="H1947" s="131"/>
      <c r="I1947" s="468"/>
      <c r="J1947" s="16"/>
      <c r="K1947" s="16"/>
      <c r="L1947" s="8"/>
      <c r="M1947" s="69"/>
      <c r="N1947" s="69"/>
      <c r="O1947" s="69"/>
      <c r="P1947" s="534"/>
      <c r="Q1947" s="274"/>
      <c r="R1947" s="472"/>
      <c r="S1947" s="535"/>
      <c r="T1947" s="535"/>
      <c r="U1947" s="536"/>
      <c r="V1947" s="474"/>
      <c r="Y1947" s="89"/>
      <c r="Z1947" s="60"/>
      <c r="AA1947" s="60"/>
      <c r="AB1947" s="60"/>
      <c r="AC1947" s="30"/>
      <c r="AD1947" s="30"/>
      <c r="AE1947" s="475"/>
      <c r="AF1947" s="476"/>
      <c r="AG1947" s="474"/>
      <c r="AH1947" s="138"/>
    </row>
    <row r="1948">
      <c r="A1948" s="103"/>
      <c r="B1948" s="533"/>
      <c r="C1948" s="533"/>
      <c r="D1948" s="103"/>
      <c r="E1948" s="103"/>
      <c r="F1948" s="103"/>
      <c r="G1948" s="103"/>
      <c r="H1948" s="131"/>
      <c r="I1948" s="468"/>
      <c r="J1948" s="16"/>
      <c r="K1948" s="16"/>
      <c r="L1948" s="8"/>
      <c r="M1948" s="69"/>
      <c r="N1948" s="69"/>
      <c r="O1948" s="69"/>
      <c r="P1948" s="534"/>
      <c r="Q1948" s="274"/>
      <c r="R1948" s="472"/>
      <c r="S1948" s="535"/>
      <c r="T1948" s="535"/>
      <c r="U1948" s="536"/>
      <c r="V1948" s="474"/>
      <c r="Y1948" s="89"/>
      <c r="Z1948" s="60"/>
      <c r="AA1948" s="60"/>
      <c r="AB1948" s="60"/>
      <c r="AC1948" s="30"/>
      <c r="AD1948" s="30"/>
      <c r="AE1948" s="475"/>
      <c r="AF1948" s="476"/>
      <c r="AG1948" s="474"/>
      <c r="AH1948" s="138"/>
    </row>
    <row r="1949">
      <c r="A1949" s="103"/>
      <c r="B1949" s="533"/>
      <c r="C1949" s="533"/>
      <c r="D1949" s="103"/>
      <c r="E1949" s="103"/>
      <c r="F1949" s="103"/>
      <c r="G1949" s="103"/>
      <c r="H1949" s="131"/>
      <c r="I1949" s="468"/>
      <c r="J1949" s="16"/>
      <c r="K1949" s="16"/>
      <c r="L1949" s="8"/>
      <c r="M1949" s="69"/>
      <c r="N1949" s="69"/>
      <c r="O1949" s="69"/>
      <c r="P1949" s="534"/>
      <c r="Q1949" s="274"/>
      <c r="R1949" s="472"/>
      <c r="S1949" s="535"/>
      <c r="T1949" s="535"/>
      <c r="U1949" s="536"/>
      <c r="V1949" s="474"/>
      <c r="Y1949" s="89"/>
      <c r="Z1949" s="60"/>
      <c r="AA1949" s="60"/>
      <c r="AB1949" s="60"/>
      <c r="AC1949" s="30"/>
      <c r="AD1949" s="30"/>
      <c r="AE1949" s="475"/>
      <c r="AF1949" s="476"/>
      <c r="AG1949" s="474"/>
      <c r="AH1949" s="138"/>
    </row>
    <row r="1950">
      <c r="A1950" s="103"/>
      <c r="B1950" s="533"/>
      <c r="C1950" s="533"/>
      <c r="D1950" s="103"/>
      <c r="E1950" s="103"/>
      <c r="F1950" s="103"/>
      <c r="G1950" s="103"/>
      <c r="H1950" s="131"/>
      <c r="I1950" s="468"/>
      <c r="J1950" s="16"/>
      <c r="K1950" s="16"/>
      <c r="L1950" s="8"/>
      <c r="M1950" s="69"/>
      <c r="N1950" s="69"/>
      <c r="O1950" s="69"/>
      <c r="P1950" s="534"/>
      <c r="Q1950" s="274"/>
      <c r="R1950" s="472"/>
      <c r="S1950" s="535"/>
      <c r="T1950" s="535"/>
      <c r="U1950" s="536"/>
      <c r="V1950" s="474"/>
      <c r="Y1950" s="89"/>
      <c r="Z1950" s="60"/>
      <c r="AA1950" s="60"/>
      <c r="AB1950" s="60"/>
      <c r="AC1950" s="30"/>
      <c r="AD1950" s="30"/>
      <c r="AE1950" s="475"/>
      <c r="AF1950" s="476"/>
      <c r="AG1950" s="474"/>
      <c r="AH1950" s="138"/>
    </row>
    <row r="1951">
      <c r="A1951" s="103"/>
      <c r="B1951" s="533"/>
      <c r="C1951" s="533"/>
      <c r="D1951" s="103"/>
      <c r="E1951" s="103"/>
      <c r="F1951" s="103"/>
      <c r="G1951" s="103"/>
      <c r="H1951" s="131"/>
      <c r="I1951" s="468"/>
      <c r="J1951" s="16"/>
      <c r="K1951" s="16"/>
      <c r="L1951" s="8"/>
      <c r="M1951" s="69"/>
      <c r="N1951" s="69"/>
      <c r="O1951" s="69"/>
      <c r="P1951" s="534"/>
      <c r="Q1951" s="274"/>
      <c r="R1951" s="472"/>
      <c r="S1951" s="535"/>
      <c r="T1951" s="535"/>
      <c r="U1951" s="536"/>
      <c r="V1951" s="474"/>
      <c r="Y1951" s="89"/>
      <c r="Z1951" s="60"/>
      <c r="AA1951" s="60"/>
      <c r="AB1951" s="60"/>
      <c r="AC1951" s="30"/>
      <c r="AD1951" s="30"/>
      <c r="AE1951" s="475"/>
      <c r="AF1951" s="476"/>
      <c r="AG1951" s="474"/>
      <c r="AH1951" s="138"/>
    </row>
    <row r="1952">
      <c r="A1952" s="103"/>
      <c r="B1952" s="533"/>
      <c r="C1952" s="533"/>
      <c r="D1952" s="103"/>
      <c r="E1952" s="103"/>
      <c r="F1952" s="103"/>
      <c r="G1952" s="103"/>
      <c r="H1952" s="131"/>
      <c r="I1952" s="468"/>
      <c r="J1952" s="16"/>
      <c r="K1952" s="16"/>
      <c r="L1952" s="8"/>
      <c r="M1952" s="69"/>
      <c r="N1952" s="69"/>
      <c r="O1952" s="69"/>
      <c r="P1952" s="534"/>
      <c r="Q1952" s="274"/>
      <c r="R1952" s="472"/>
      <c r="S1952" s="535"/>
      <c r="T1952" s="535"/>
      <c r="U1952" s="536"/>
      <c r="V1952" s="474"/>
      <c r="Y1952" s="89"/>
      <c r="Z1952" s="60"/>
      <c r="AA1952" s="60"/>
      <c r="AB1952" s="60"/>
      <c r="AC1952" s="30"/>
      <c r="AD1952" s="30"/>
      <c r="AE1952" s="475"/>
      <c r="AF1952" s="476"/>
      <c r="AG1952" s="474"/>
      <c r="AH1952" s="138"/>
    </row>
    <row r="1953">
      <c r="A1953" s="103"/>
      <c r="B1953" s="533"/>
      <c r="C1953" s="533"/>
      <c r="D1953" s="103"/>
      <c r="E1953" s="103"/>
      <c r="F1953" s="103"/>
      <c r="G1953" s="103"/>
      <c r="H1953" s="131"/>
      <c r="I1953" s="468"/>
      <c r="J1953" s="16"/>
      <c r="K1953" s="16"/>
      <c r="L1953" s="8"/>
      <c r="M1953" s="69"/>
      <c r="N1953" s="69"/>
      <c r="O1953" s="69"/>
      <c r="P1953" s="534"/>
      <c r="Q1953" s="274"/>
      <c r="R1953" s="472"/>
      <c r="S1953" s="535"/>
      <c r="T1953" s="535"/>
      <c r="U1953" s="536"/>
      <c r="V1953" s="474"/>
      <c r="Y1953" s="89"/>
      <c r="Z1953" s="60"/>
      <c r="AA1953" s="60"/>
      <c r="AB1953" s="60"/>
      <c r="AC1953" s="30"/>
      <c r="AD1953" s="30"/>
      <c r="AE1953" s="475"/>
      <c r="AF1953" s="476"/>
      <c r="AG1953" s="474"/>
      <c r="AH1953" s="138"/>
    </row>
    <row r="1954">
      <c r="A1954" s="103"/>
      <c r="B1954" s="533"/>
      <c r="C1954" s="533"/>
      <c r="D1954" s="103"/>
      <c r="E1954" s="103"/>
      <c r="F1954" s="103"/>
      <c r="G1954" s="103"/>
      <c r="H1954" s="131"/>
      <c r="I1954" s="468"/>
      <c r="J1954" s="16"/>
      <c r="K1954" s="16"/>
      <c r="L1954" s="8"/>
      <c r="M1954" s="69"/>
      <c r="N1954" s="69"/>
      <c r="O1954" s="69"/>
      <c r="P1954" s="534"/>
      <c r="Q1954" s="274"/>
      <c r="R1954" s="472"/>
      <c r="S1954" s="535"/>
      <c r="T1954" s="535"/>
      <c r="U1954" s="536"/>
      <c r="V1954" s="474"/>
      <c r="Y1954" s="89"/>
      <c r="Z1954" s="60"/>
      <c r="AA1954" s="60"/>
      <c r="AB1954" s="60"/>
      <c r="AC1954" s="30"/>
      <c r="AD1954" s="30"/>
      <c r="AE1954" s="475"/>
      <c r="AF1954" s="476"/>
      <c r="AG1954" s="474"/>
      <c r="AH1954" s="138"/>
    </row>
    <row r="1955">
      <c r="A1955" s="103"/>
      <c r="B1955" s="533"/>
      <c r="C1955" s="533"/>
      <c r="D1955" s="103"/>
      <c r="E1955" s="103"/>
      <c r="F1955" s="103"/>
      <c r="G1955" s="103"/>
      <c r="H1955" s="131"/>
      <c r="I1955" s="468"/>
      <c r="J1955" s="16"/>
      <c r="K1955" s="16"/>
      <c r="L1955" s="8"/>
      <c r="M1955" s="69"/>
      <c r="N1955" s="69"/>
      <c r="O1955" s="69"/>
      <c r="P1955" s="534"/>
      <c r="Q1955" s="274"/>
      <c r="R1955" s="472"/>
      <c r="S1955" s="535"/>
      <c r="T1955" s="535"/>
      <c r="U1955" s="536"/>
      <c r="V1955" s="474"/>
      <c r="Y1955" s="89"/>
      <c r="Z1955" s="60"/>
      <c r="AA1955" s="60"/>
      <c r="AB1955" s="60"/>
      <c r="AC1955" s="30"/>
      <c r="AD1955" s="30"/>
      <c r="AE1955" s="475"/>
      <c r="AF1955" s="476"/>
      <c r="AG1955" s="474"/>
      <c r="AH1955" s="138"/>
    </row>
    <row r="1956">
      <c r="A1956" s="103"/>
      <c r="B1956" s="533"/>
      <c r="C1956" s="533"/>
      <c r="D1956" s="103"/>
      <c r="E1956" s="103"/>
      <c r="F1956" s="103"/>
      <c r="G1956" s="103"/>
      <c r="H1956" s="131"/>
      <c r="I1956" s="468"/>
      <c r="J1956" s="16"/>
      <c r="K1956" s="16"/>
      <c r="L1956" s="8"/>
      <c r="M1956" s="69"/>
      <c r="N1956" s="69"/>
      <c r="O1956" s="69"/>
      <c r="P1956" s="534"/>
      <c r="Q1956" s="274"/>
      <c r="R1956" s="472"/>
      <c r="S1956" s="535"/>
      <c r="T1956" s="535"/>
      <c r="U1956" s="536"/>
      <c r="V1956" s="474"/>
      <c r="Y1956" s="89"/>
      <c r="Z1956" s="60"/>
      <c r="AA1956" s="60"/>
      <c r="AB1956" s="60"/>
      <c r="AC1956" s="30"/>
      <c r="AD1956" s="30"/>
      <c r="AE1956" s="475"/>
      <c r="AF1956" s="476"/>
      <c r="AG1956" s="474"/>
      <c r="AH1956" s="138"/>
    </row>
    <row r="1957">
      <c r="A1957" s="103"/>
      <c r="B1957" s="533"/>
      <c r="C1957" s="533"/>
      <c r="D1957" s="103"/>
      <c r="E1957" s="103"/>
      <c r="F1957" s="103"/>
      <c r="G1957" s="103"/>
      <c r="H1957" s="131"/>
      <c r="I1957" s="468"/>
      <c r="J1957" s="16"/>
      <c r="K1957" s="16"/>
      <c r="L1957" s="8"/>
      <c r="M1957" s="69"/>
      <c r="N1957" s="69"/>
      <c r="O1957" s="69"/>
      <c r="P1957" s="534"/>
      <c r="Q1957" s="274"/>
      <c r="R1957" s="472"/>
      <c r="S1957" s="535"/>
      <c r="T1957" s="535"/>
      <c r="U1957" s="536"/>
      <c r="V1957" s="474"/>
      <c r="Y1957" s="89"/>
      <c r="Z1957" s="60"/>
      <c r="AA1957" s="60"/>
      <c r="AB1957" s="60"/>
      <c r="AC1957" s="30"/>
      <c r="AD1957" s="30"/>
      <c r="AE1957" s="475"/>
      <c r="AF1957" s="476"/>
      <c r="AG1957" s="474"/>
      <c r="AH1957" s="138"/>
    </row>
    <row r="1958">
      <c r="A1958" s="103"/>
      <c r="B1958" s="533"/>
      <c r="C1958" s="533"/>
      <c r="D1958" s="103"/>
      <c r="E1958" s="103"/>
      <c r="F1958" s="103"/>
      <c r="G1958" s="103"/>
      <c r="H1958" s="131"/>
      <c r="I1958" s="468"/>
      <c r="J1958" s="16"/>
      <c r="K1958" s="16"/>
      <c r="L1958" s="8"/>
      <c r="M1958" s="69"/>
      <c r="N1958" s="69"/>
      <c r="O1958" s="69"/>
      <c r="P1958" s="534"/>
      <c r="Q1958" s="274"/>
      <c r="R1958" s="472"/>
      <c r="S1958" s="535"/>
      <c r="T1958" s="535"/>
      <c r="U1958" s="536"/>
      <c r="V1958" s="474"/>
      <c r="Y1958" s="89"/>
      <c r="Z1958" s="60"/>
      <c r="AA1958" s="60"/>
      <c r="AB1958" s="60"/>
      <c r="AC1958" s="30"/>
      <c r="AD1958" s="30"/>
      <c r="AE1958" s="475"/>
      <c r="AF1958" s="476"/>
      <c r="AG1958" s="474"/>
      <c r="AH1958" s="138"/>
    </row>
    <row r="1959">
      <c r="A1959" s="103"/>
      <c r="B1959" s="533"/>
      <c r="C1959" s="533"/>
      <c r="D1959" s="103"/>
      <c r="E1959" s="103"/>
      <c r="F1959" s="103"/>
      <c r="G1959" s="103"/>
      <c r="H1959" s="131"/>
      <c r="I1959" s="468"/>
      <c r="J1959" s="16"/>
      <c r="K1959" s="16"/>
      <c r="L1959" s="8"/>
      <c r="M1959" s="69"/>
      <c r="N1959" s="69"/>
      <c r="O1959" s="69"/>
      <c r="P1959" s="534"/>
      <c r="Q1959" s="274"/>
      <c r="R1959" s="472"/>
      <c r="S1959" s="535"/>
      <c r="T1959" s="535"/>
      <c r="U1959" s="536"/>
      <c r="V1959" s="474"/>
      <c r="Y1959" s="89"/>
      <c r="Z1959" s="60"/>
      <c r="AA1959" s="60"/>
      <c r="AB1959" s="60"/>
      <c r="AC1959" s="30"/>
      <c r="AD1959" s="30"/>
      <c r="AE1959" s="475"/>
      <c r="AF1959" s="476"/>
      <c r="AG1959" s="474"/>
      <c r="AH1959" s="138"/>
    </row>
    <row r="1960">
      <c r="A1960" s="103"/>
      <c r="B1960" s="533"/>
      <c r="C1960" s="533"/>
      <c r="D1960" s="103"/>
      <c r="E1960" s="103"/>
      <c r="F1960" s="103"/>
      <c r="G1960" s="103"/>
      <c r="H1960" s="131"/>
      <c r="I1960" s="468"/>
      <c r="J1960" s="16"/>
      <c r="K1960" s="16"/>
      <c r="L1960" s="8"/>
      <c r="M1960" s="69"/>
      <c r="N1960" s="69"/>
      <c r="O1960" s="69"/>
      <c r="P1960" s="534"/>
      <c r="Q1960" s="274"/>
      <c r="R1960" s="472"/>
      <c r="S1960" s="535"/>
      <c r="T1960" s="535"/>
      <c r="U1960" s="536"/>
      <c r="V1960" s="474"/>
      <c r="Y1960" s="89"/>
      <c r="Z1960" s="60"/>
      <c r="AA1960" s="60"/>
      <c r="AB1960" s="60"/>
      <c r="AC1960" s="30"/>
      <c r="AD1960" s="30"/>
      <c r="AE1960" s="475"/>
      <c r="AF1960" s="476"/>
      <c r="AG1960" s="474"/>
      <c r="AH1960" s="138"/>
    </row>
    <row r="1961">
      <c r="A1961" s="103"/>
      <c r="B1961" s="533"/>
      <c r="C1961" s="533"/>
      <c r="D1961" s="103"/>
      <c r="E1961" s="103"/>
      <c r="F1961" s="103"/>
      <c r="G1961" s="103"/>
      <c r="H1961" s="131"/>
      <c r="I1961" s="468"/>
      <c r="J1961" s="16"/>
      <c r="K1961" s="16"/>
      <c r="L1961" s="8"/>
      <c r="M1961" s="69"/>
      <c r="N1961" s="69"/>
      <c r="O1961" s="69"/>
      <c r="P1961" s="534"/>
      <c r="Q1961" s="274"/>
      <c r="R1961" s="472"/>
      <c r="S1961" s="535"/>
      <c r="T1961" s="535"/>
      <c r="U1961" s="536"/>
      <c r="V1961" s="474"/>
      <c r="Y1961" s="89"/>
      <c r="Z1961" s="60"/>
      <c r="AA1961" s="60"/>
      <c r="AB1961" s="60"/>
      <c r="AC1961" s="30"/>
      <c r="AD1961" s="30"/>
      <c r="AE1961" s="475"/>
      <c r="AF1961" s="476"/>
      <c r="AG1961" s="474"/>
      <c r="AH1961" s="138"/>
    </row>
    <row r="1962">
      <c r="A1962" s="103"/>
      <c r="B1962" s="533"/>
      <c r="C1962" s="533"/>
      <c r="D1962" s="103"/>
      <c r="E1962" s="103"/>
      <c r="F1962" s="103"/>
      <c r="G1962" s="103"/>
      <c r="H1962" s="131"/>
      <c r="I1962" s="468"/>
      <c r="J1962" s="16"/>
      <c r="K1962" s="16"/>
      <c r="L1962" s="8"/>
      <c r="M1962" s="69"/>
      <c r="N1962" s="69"/>
      <c r="O1962" s="69"/>
      <c r="P1962" s="534"/>
      <c r="Q1962" s="274"/>
      <c r="R1962" s="472"/>
      <c r="S1962" s="535"/>
      <c r="T1962" s="535"/>
      <c r="U1962" s="536"/>
      <c r="V1962" s="474"/>
      <c r="Y1962" s="89"/>
      <c r="Z1962" s="60"/>
      <c r="AA1962" s="60"/>
      <c r="AB1962" s="60"/>
      <c r="AC1962" s="30"/>
      <c r="AD1962" s="30"/>
      <c r="AE1962" s="475"/>
      <c r="AF1962" s="476"/>
      <c r="AG1962" s="474"/>
      <c r="AH1962" s="138"/>
    </row>
    <row r="1963">
      <c r="A1963" s="103"/>
      <c r="B1963" s="533"/>
      <c r="C1963" s="533"/>
      <c r="D1963" s="103"/>
      <c r="E1963" s="103"/>
      <c r="F1963" s="103"/>
      <c r="G1963" s="103"/>
      <c r="H1963" s="131"/>
      <c r="I1963" s="468"/>
      <c r="J1963" s="16"/>
      <c r="K1963" s="16"/>
      <c r="L1963" s="8"/>
      <c r="M1963" s="69"/>
      <c r="N1963" s="69"/>
      <c r="O1963" s="69"/>
      <c r="P1963" s="534"/>
      <c r="Q1963" s="274"/>
      <c r="R1963" s="472"/>
      <c r="S1963" s="535"/>
      <c r="T1963" s="535"/>
      <c r="U1963" s="536"/>
      <c r="V1963" s="474"/>
      <c r="Y1963" s="89"/>
      <c r="Z1963" s="60"/>
      <c r="AA1963" s="60"/>
      <c r="AB1963" s="60"/>
      <c r="AC1963" s="30"/>
      <c r="AD1963" s="30"/>
      <c r="AE1963" s="475"/>
      <c r="AF1963" s="476"/>
      <c r="AG1963" s="474"/>
      <c r="AH1963" s="138"/>
    </row>
    <row r="1964">
      <c r="A1964" s="103"/>
      <c r="B1964" s="533"/>
      <c r="C1964" s="533"/>
      <c r="D1964" s="103"/>
      <c r="E1964" s="103"/>
      <c r="F1964" s="103"/>
      <c r="G1964" s="103"/>
      <c r="H1964" s="131"/>
      <c r="I1964" s="468"/>
      <c r="J1964" s="16"/>
      <c r="K1964" s="16"/>
      <c r="L1964" s="8"/>
      <c r="M1964" s="69"/>
      <c r="N1964" s="69"/>
      <c r="O1964" s="69"/>
      <c r="P1964" s="534"/>
      <c r="Q1964" s="274"/>
      <c r="R1964" s="472"/>
      <c r="S1964" s="535"/>
      <c r="T1964" s="535"/>
      <c r="U1964" s="536"/>
      <c r="V1964" s="474"/>
      <c r="Y1964" s="89"/>
      <c r="Z1964" s="60"/>
      <c r="AA1964" s="60"/>
      <c r="AB1964" s="60"/>
      <c r="AC1964" s="30"/>
      <c r="AD1964" s="30"/>
      <c r="AE1964" s="475"/>
      <c r="AF1964" s="476"/>
      <c r="AG1964" s="474"/>
      <c r="AH1964" s="138"/>
    </row>
    <row r="1965">
      <c r="A1965" s="103"/>
      <c r="B1965" s="533"/>
      <c r="C1965" s="533"/>
      <c r="D1965" s="103"/>
      <c r="E1965" s="103"/>
      <c r="F1965" s="103"/>
      <c r="G1965" s="103"/>
      <c r="H1965" s="131"/>
      <c r="I1965" s="468"/>
      <c r="J1965" s="16"/>
      <c r="K1965" s="16"/>
      <c r="L1965" s="8"/>
      <c r="M1965" s="69"/>
      <c r="N1965" s="69"/>
      <c r="O1965" s="69"/>
      <c r="P1965" s="534"/>
      <c r="Q1965" s="274"/>
      <c r="R1965" s="472"/>
      <c r="S1965" s="535"/>
      <c r="T1965" s="535"/>
      <c r="U1965" s="536"/>
      <c r="V1965" s="474"/>
      <c r="Y1965" s="89"/>
      <c r="Z1965" s="60"/>
      <c r="AA1965" s="60"/>
      <c r="AB1965" s="60"/>
      <c r="AC1965" s="30"/>
      <c r="AD1965" s="30"/>
      <c r="AE1965" s="475"/>
      <c r="AF1965" s="476"/>
      <c r="AG1965" s="474"/>
      <c r="AH1965" s="138"/>
    </row>
    <row r="1966">
      <c r="A1966" s="103"/>
      <c r="B1966" s="533"/>
      <c r="C1966" s="533"/>
      <c r="D1966" s="103"/>
      <c r="E1966" s="103"/>
      <c r="F1966" s="103"/>
      <c r="G1966" s="103"/>
      <c r="H1966" s="131"/>
      <c r="I1966" s="468"/>
      <c r="J1966" s="16"/>
      <c r="K1966" s="16"/>
      <c r="L1966" s="8"/>
      <c r="M1966" s="69"/>
      <c r="N1966" s="69"/>
      <c r="O1966" s="69"/>
      <c r="P1966" s="534"/>
      <c r="Q1966" s="274"/>
      <c r="R1966" s="472"/>
      <c r="S1966" s="535"/>
      <c r="T1966" s="535"/>
      <c r="U1966" s="536"/>
      <c r="V1966" s="474"/>
      <c r="Y1966" s="89"/>
      <c r="Z1966" s="60"/>
      <c r="AA1966" s="60"/>
      <c r="AB1966" s="60"/>
      <c r="AC1966" s="30"/>
      <c r="AD1966" s="30"/>
      <c r="AE1966" s="475"/>
      <c r="AF1966" s="476"/>
      <c r="AG1966" s="474"/>
      <c r="AH1966" s="138"/>
    </row>
    <row r="1967">
      <c r="A1967" s="103"/>
      <c r="B1967" s="533"/>
      <c r="C1967" s="533"/>
      <c r="D1967" s="103"/>
      <c r="E1967" s="103"/>
      <c r="F1967" s="103"/>
      <c r="G1967" s="103"/>
      <c r="H1967" s="131"/>
      <c r="I1967" s="468"/>
      <c r="J1967" s="16"/>
      <c r="K1967" s="16"/>
      <c r="L1967" s="8"/>
      <c r="M1967" s="69"/>
      <c r="N1967" s="69"/>
      <c r="O1967" s="69"/>
      <c r="P1967" s="534"/>
      <c r="Q1967" s="274"/>
      <c r="R1967" s="472"/>
      <c r="S1967" s="535"/>
      <c r="T1967" s="535"/>
      <c r="U1967" s="536"/>
      <c r="V1967" s="474"/>
      <c r="Y1967" s="89"/>
      <c r="Z1967" s="60"/>
      <c r="AA1967" s="60"/>
      <c r="AB1967" s="60"/>
      <c r="AC1967" s="30"/>
      <c r="AD1967" s="30"/>
      <c r="AE1967" s="475"/>
      <c r="AF1967" s="476"/>
      <c r="AG1967" s="474"/>
      <c r="AH1967" s="138"/>
    </row>
    <row r="1968">
      <c r="A1968" s="103"/>
      <c r="B1968" s="533"/>
      <c r="C1968" s="533"/>
      <c r="D1968" s="103"/>
      <c r="E1968" s="103"/>
      <c r="F1968" s="103"/>
      <c r="G1968" s="103"/>
      <c r="H1968" s="131"/>
      <c r="I1968" s="468"/>
      <c r="J1968" s="16"/>
      <c r="K1968" s="16"/>
      <c r="L1968" s="8"/>
      <c r="M1968" s="69"/>
      <c r="N1968" s="69"/>
      <c r="O1968" s="69"/>
      <c r="P1968" s="534"/>
      <c r="Q1968" s="274"/>
      <c r="R1968" s="472"/>
      <c r="S1968" s="535"/>
      <c r="T1968" s="535"/>
      <c r="U1968" s="536"/>
      <c r="V1968" s="474"/>
      <c r="Y1968" s="89"/>
      <c r="Z1968" s="60"/>
      <c r="AA1968" s="60"/>
      <c r="AB1968" s="60"/>
      <c r="AC1968" s="30"/>
      <c r="AD1968" s="30"/>
      <c r="AE1968" s="475"/>
      <c r="AF1968" s="476"/>
      <c r="AG1968" s="474"/>
      <c r="AH1968" s="138"/>
    </row>
    <row r="1969">
      <c r="A1969" s="103"/>
      <c r="B1969" s="533"/>
      <c r="C1969" s="533"/>
      <c r="D1969" s="103"/>
      <c r="E1969" s="103"/>
      <c r="F1969" s="103"/>
      <c r="G1969" s="103"/>
      <c r="H1969" s="131"/>
      <c r="I1969" s="468"/>
      <c r="J1969" s="16"/>
      <c r="K1969" s="16"/>
      <c r="L1969" s="8"/>
      <c r="M1969" s="69"/>
      <c r="N1969" s="69"/>
      <c r="O1969" s="69"/>
      <c r="P1969" s="534"/>
      <c r="Q1969" s="274"/>
      <c r="R1969" s="472"/>
      <c r="S1969" s="535"/>
      <c r="T1969" s="535"/>
      <c r="U1969" s="536"/>
      <c r="V1969" s="474"/>
      <c r="Y1969" s="89"/>
      <c r="Z1969" s="60"/>
      <c r="AA1969" s="60"/>
      <c r="AB1969" s="60"/>
      <c r="AC1969" s="30"/>
      <c r="AD1969" s="30"/>
      <c r="AE1969" s="475"/>
      <c r="AF1969" s="476"/>
      <c r="AG1969" s="474"/>
      <c r="AH1969" s="138"/>
    </row>
    <row r="1970">
      <c r="A1970" s="103"/>
      <c r="B1970" s="533"/>
      <c r="C1970" s="533"/>
      <c r="D1970" s="103"/>
      <c r="E1970" s="103"/>
      <c r="F1970" s="103"/>
      <c r="G1970" s="103"/>
      <c r="H1970" s="131"/>
      <c r="I1970" s="468"/>
      <c r="J1970" s="16"/>
      <c r="K1970" s="16"/>
      <c r="L1970" s="8"/>
      <c r="M1970" s="69"/>
      <c r="N1970" s="69"/>
      <c r="O1970" s="69"/>
      <c r="P1970" s="534"/>
      <c r="Q1970" s="274"/>
      <c r="R1970" s="472"/>
      <c r="S1970" s="535"/>
      <c r="T1970" s="535"/>
      <c r="U1970" s="536"/>
      <c r="V1970" s="474"/>
      <c r="Y1970" s="89"/>
      <c r="Z1970" s="60"/>
      <c r="AA1970" s="60"/>
      <c r="AB1970" s="60"/>
      <c r="AC1970" s="30"/>
      <c r="AD1970" s="30"/>
      <c r="AE1970" s="475"/>
      <c r="AF1970" s="476"/>
      <c r="AG1970" s="474"/>
      <c r="AH1970" s="138"/>
    </row>
    <row r="1971">
      <c r="A1971" s="103"/>
      <c r="B1971" s="533"/>
      <c r="C1971" s="533"/>
      <c r="D1971" s="103"/>
      <c r="E1971" s="103"/>
      <c r="F1971" s="103"/>
      <c r="G1971" s="103"/>
      <c r="H1971" s="131"/>
      <c r="I1971" s="468"/>
      <c r="J1971" s="16"/>
      <c r="K1971" s="16"/>
      <c r="L1971" s="8"/>
      <c r="M1971" s="69"/>
      <c r="N1971" s="69"/>
      <c r="O1971" s="69"/>
      <c r="P1971" s="534"/>
      <c r="Q1971" s="274"/>
      <c r="R1971" s="472"/>
      <c r="S1971" s="535"/>
      <c r="T1971" s="535"/>
      <c r="U1971" s="536"/>
      <c r="V1971" s="474"/>
      <c r="Y1971" s="89"/>
      <c r="Z1971" s="60"/>
      <c r="AA1971" s="60"/>
      <c r="AB1971" s="60"/>
      <c r="AC1971" s="30"/>
      <c r="AD1971" s="30"/>
      <c r="AE1971" s="475"/>
      <c r="AF1971" s="476"/>
      <c r="AG1971" s="474"/>
      <c r="AH1971" s="138"/>
    </row>
    <row r="1972">
      <c r="A1972" s="103"/>
      <c r="B1972" s="533"/>
      <c r="C1972" s="533"/>
      <c r="D1972" s="103"/>
      <c r="E1972" s="103"/>
      <c r="F1972" s="103"/>
      <c r="G1972" s="103"/>
      <c r="H1972" s="131"/>
      <c r="I1972" s="468"/>
      <c r="J1972" s="16"/>
      <c r="K1972" s="16"/>
      <c r="L1972" s="8"/>
      <c r="M1972" s="69"/>
      <c r="N1972" s="69"/>
      <c r="O1972" s="69"/>
      <c r="P1972" s="534"/>
      <c r="Q1972" s="274"/>
      <c r="R1972" s="472"/>
      <c r="S1972" s="535"/>
      <c r="T1972" s="535"/>
      <c r="U1972" s="536"/>
      <c r="V1972" s="474"/>
      <c r="Y1972" s="89"/>
      <c r="Z1972" s="60"/>
      <c r="AA1972" s="60"/>
      <c r="AB1972" s="60"/>
      <c r="AC1972" s="30"/>
      <c r="AD1972" s="30"/>
      <c r="AE1972" s="475"/>
      <c r="AF1972" s="476"/>
      <c r="AG1972" s="474"/>
      <c r="AH1972" s="138"/>
    </row>
    <row r="1973">
      <c r="A1973" s="103"/>
      <c r="B1973" s="533"/>
      <c r="C1973" s="533"/>
      <c r="D1973" s="103"/>
      <c r="E1973" s="103"/>
      <c r="F1973" s="103"/>
      <c r="G1973" s="103"/>
      <c r="H1973" s="131"/>
      <c r="I1973" s="468"/>
      <c r="J1973" s="16"/>
      <c r="K1973" s="16"/>
      <c r="L1973" s="8"/>
      <c r="M1973" s="69"/>
      <c r="N1973" s="69"/>
      <c r="O1973" s="69"/>
      <c r="P1973" s="534"/>
      <c r="Q1973" s="274"/>
      <c r="R1973" s="472"/>
      <c r="S1973" s="535"/>
      <c r="T1973" s="535"/>
      <c r="U1973" s="536"/>
      <c r="V1973" s="474"/>
      <c r="Y1973" s="89"/>
      <c r="Z1973" s="60"/>
      <c r="AA1973" s="60"/>
      <c r="AB1973" s="60"/>
      <c r="AC1973" s="30"/>
      <c r="AD1973" s="30"/>
      <c r="AE1973" s="475"/>
      <c r="AF1973" s="476"/>
      <c r="AG1973" s="474"/>
      <c r="AH1973" s="138"/>
    </row>
    <row r="1974">
      <c r="A1974" s="103"/>
      <c r="B1974" s="533"/>
      <c r="C1974" s="533"/>
      <c r="D1974" s="103"/>
      <c r="E1974" s="103"/>
      <c r="F1974" s="103"/>
      <c r="G1974" s="103"/>
      <c r="H1974" s="131"/>
      <c r="I1974" s="468"/>
      <c r="J1974" s="16"/>
      <c r="K1974" s="16"/>
      <c r="L1974" s="8"/>
      <c r="M1974" s="69"/>
      <c r="N1974" s="69"/>
      <c r="O1974" s="69"/>
      <c r="P1974" s="534"/>
      <c r="Q1974" s="274"/>
      <c r="R1974" s="472"/>
      <c r="S1974" s="535"/>
      <c r="T1974" s="535"/>
      <c r="U1974" s="536"/>
      <c r="V1974" s="474"/>
      <c r="Y1974" s="89"/>
      <c r="Z1974" s="60"/>
      <c r="AA1974" s="60"/>
      <c r="AB1974" s="60"/>
      <c r="AC1974" s="30"/>
      <c r="AD1974" s="30"/>
      <c r="AE1974" s="475"/>
      <c r="AF1974" s="476"/>
      <c r="AG1974" s="474"/>
      <c r="AH1974" s="138"/>
    </row>
    <row r="1975">
      <c r="A1975" s="103"/>
      <c r="B1975" s="533"/>
      <c r="C1975" s="533"/>
      <c r="D1975" s="103"/>
      <c r="E1975" s="103"/>
      <c r="F1975" s="103"/>
      <c r="G1975" s="103"/>
      <c r="H1975" s="131"/>
      <c r="I1975" s="468"/>
      <c r="J1975" s="16"/>
      <c r="K1975" s="16"/>
      <c r="L1975" s="8"/>
      <c r="M1975" s="69"/>
      <c r="N1975" s="69"/>
      <c r="O1975" s="69"/>
      <c r="P1975" s="534"/>
      <c r="Q1975" s="274"/>
      <c r="R1975" s="472"/>
      <c r="S1975" s="535"/>
      <c r="T1975" s="535"/>
      <c r="U1975" s="536"/>
      <c r="V1975" s="474"/>
      <c r="Y1975" s="89"/>
      <c r="Z1975" s="60"/>
      <c r="AA1975" s="60"/>
      <c r="AB1975" s="60"/>
      <c r="AC1975" s="30"/>
      <c r="AD1975" s="30"/>
      <c r="AE1975" s="475"/>
      <c r="AF1975" s="476"/>
      <c r="AG1975" s="474"/>
      <c r="AH1975" s="138"/>
    </row>
    <row r="1976">
      <c r="A1976" s="103"/>
      <c r="B1976" s="533"/>
      <c r="C1976" s="533"/>
      <c r="D1976" s="103"/>
      <c r="E1976" s="103"/>
      <c r="F1976" s="103"/>
      <c r="G1976" s="103"/>
      <c r="H1976" s="131"/>
      <c r="I1976" s="468"/>
      <c r="J1976" s="16"/>
      <c r="K1976" s="16"/>
      <c r="L1976" s="8"/>
      <c r="M1976" s="69"/>
      <c r="N1976" s="69"/>
      <c r="O1976" s="69"/>
      <c r="P1976" s="534"/>
      <c r="Q1976" s="274"/>
      <c r="R1976" s="472"/>
      <c r="S1976" s="535"/>
      <c r="T1976" s="535"/>
      <c r="U1976" s="536"/>
      <c r="V1976" s="474"/>
      <c r="Y1976" s="89"/>
      <c r="Z1976" s="60"/>
      <c r="AA1976" s="60"/>
      <c r="AB1976" s="60"/>
      <c r="AC1976" s="30"/>
      <c r="AD1976" s="30"/>
      <c r="AE1976" s="475"/>
      <c r="AF1976" s="476"/>
      <c r="AG1976" s="474"/>
      <c r="AH1976" s="138"/>
    </row>
    <row r="1977">
      <c r="A1977" s="103"/>
      <c r="B1977" s="533"/>
      <c r="C1977" s="533"/>
      <c r="D1977" s="103"/>
      <c r="E1977" s="103"/>
      <c r="F1977" s="103"/>
      <c r="G1977" s="103"/>
      <c r="H1977" s="131"/>
      <c r="I1977" s="468"/>
      <c r="J1977" s="16"/>
      <c r="K1977" s="16"/>
      <c r="L1977" s="8"/>
      <c r="M1977" s="69"/>
      <c r="N1977" s="69"/>
      <c r="O1977" s="69"/>
      <c r="P1977" s="534"/>
      <c r="Q1977" s="274"/>
      <c r="R1977" s="472"/>
      <c r="S1977" s="535"/>
      <c r="T1977" s="535"/>
      <c r="U1977" s="536"/>
      <c r="V1977" s="474"/>
      <c r="Y1977" s="89"/>
      <c r="Z1977" s="60"/>
      <c r="AA1977" s="60"/>
      <c r="AB1977" s="60"/>
      <c r="AC1977" s="30"/>
      <c r="AD1977" s="30"/>
      <c r="AE1977" s="475"/>
      <c r="AF1977" s="476"/>
      <c r="AG1977" s="474"/>
      <c r="AH1977" s="138"/>
    </row>
    <row r="1978">
      <c r="A1978" s="103"/>
      <c r="B1978" s="533"/>
      <c r="C1978" s="533"/>
      <c r="D1978" s="103"/>
      <c r="E1978" s="103"/>
      <c r="F1978" s="103"/>
      <c r="G1978" s="103"/>
      <c r="H1978" s="131"/>
      <c r="I1978" s="468"/>
      <c r="J1978" s="16"/>
      <c r="K1978" s="16"/>
      <c r="L1978" s="8"/>
      <c r="M1978" s="69"/>
      <c r="N1978" s="69"/>
      <c r="O1978" s="69"/>
      <c r="P1978" s="534"/>
      <c r="Q1978" s="274"/>
      <c r="R1978" s="472"/>
      <c r="S1978" s="535"/>
      <c r="T1978" s="535"/>
      <c r="U1978" s="536"/>
      <c r="V1978" s="474"/>
      <c r="Y1978" s="89"/>
      <c r="Z1978" s="60"/>
      <c r="AA1978" s="60"/>
      <c r="AB1978" s="60"/>
      <c r="AC1978" s="30"/>
      <c r="AD1978" s="30"/>
      <c r="AE1978" s="475"/>
      <c r="AF1978" s="476"/>
      <c r="AG1978" s="474"/>
      <c r="AH1978" s="138"/>
    </row>
    <row r="1979">
      <c r="A1979" s="103"/>
      <c r="B1979" s="533"/>
      <c r="C1979" s="533"/>
      <c r="D1979" s="103"/>
      <c r="E1979" s="103"/>
      <c r="F1979" s="103"/>
      <c r="G1979" s="103"/>
      <c r="H1979" s="131"/>
      <c r="I1979" s="468"/>
      <c r="J1979" s="16"/>
      <c r="K1979" s="16"/>
      <c r="L1979" s="8"/>
      <c r="M1979" s="69"/>
      <c r="N1979" s="69"/>
      <c r="O1979" s="69"/>
      <c r="P1979" s="534"/>
      <c r="Q1979" s="274"/>
      <c r="R1979" s="472"/>
      <c r="S1979" s="535"/>
      <c r="T1979" s="535"/>
      <c r="U1979" s="536"/>
      <c r="V1979" s="474"/>
      <c r="Y1979" s="89"/>
      <c r="Z1979" s="60"/>
      <c r="AA1979" s="60"/>
      <c r="AB1979" s="60"/>
      <c r="AC1979" s="30"/>
      <c r="AD1979" s="30"/>
      <c r="AE1979" s="475"/>
      <c r="AF1979" s="476"/>
      <c r="AG1979" s="474"/>
      <c r="AH1979" s="138"/>
    </row>
    <row r="1980">
      <c r="A1980" s="103"/>
      <c r="B1980" s="533"/>
      <c r="C1980" s="533"/>
      <c r="D1980" s="103"/>
      <c r="E1980" s="103"/>
      <c r="F1980" s="103"/>
      <c r="G1980" s="103"/>
      <c r="H1980" s="131"/>
      <c r="I1980" s="468"/>
      <c r="J1980" s="16"/>
      <c r="K1980" s="16"/>
      <c r="L1980" s="8"/>
      <c r="M1980" s="69"/>
      <c r="N1980" s="69"/>
      <c r="O1980" s="69"/>
      <c r="P1980" s="534"/>
      <c r="Q1980" s="274"/>
      <c r="R1980" s="472"/>
      <c r="S1980" s="535"/>
      <c r="T1980" s="535"/>
      <c r="U1980" s="536"/>
      <c r="V1980" s="474"/>
      <c r="Y1980" s="89"/>
      <c r="Z1980" s="60"/>
      <c r="AA1980" s="60"/>
      <c r="AB1980" s="60"/>
      <c r="AC1980" s="30"/>
      <c r="AD1980" s="30"/>
      <c r="AE1980" s="475"/>
      <c r="AF1980" s="476"/>
      <c r="AG1980" s="474"/>
      <c r="AH1980" s="138"/>
    </row>
    <row r="1981">
      <c r="A1981" s="103"/>
      <c r="B1981" s="533"/>
      <c r="C1981" s="533"/>
      <c r="D1981" s="103"/>
      <c r="E1981" s="103"/>
      <c r="F1981" s="103"/>
      <c r="G1981" s="103"/>
      <c r="H1981" s="131"/>
      <c r="I1981" s="468"/>
      <c r="J1981" s="16"/>
      <c r="K1981" s="16"/>
      <c r="L1981" s="8"/>
      <c r="M1981" s="69"/>
      <c r="N1981" s="69"/>
      <c r="O1981" s="69"/>
      <c r="P1981" s="534"/>
      <c r="Q1981" s="274"/>
      <c r="R1981" s="472"/>
      <c r="S1981" s="535"/>
      <c r="T1981" s="535"/>
      <c r="U1981" s="536"/>
      <c r="V1981" s="474"/>
      <c r="Y1981" s="89"/>
      <c r="Z1981" s="60"/>
      <c r="AA1981" s="60"/>
      <c r="AB1981" s="60"/>
      <c r="AC1981" s="30"/>
      <c r="AD1981" s="30"/>
      <c r="AE1981" s="475"/>
      <c r="AF1981" s="476"/>
      <c r="AG1981" s="474"/>
      <c r="AH1981" s="138"/>
    </row>
    <row r="1982">
      <c r="A1982" s="103"/>
      <c r="B1982" s="533"/>
      <c r="C1982" s="533"/>
      <c r="D1982" s="103"/>
      <c r="E1982" s="103"/>
      <c r="F1982" s="103"/>
      <c r="G1982" s="103"/>
      <c r="H1982" s="131"/>
      <c r="I1982" s="468"/>
      <c r="J1982" s="16"/>
      <c r="K1982" s="16"/>
      <c r="L1982" s="8"/>
      <c r="M1982" s="69"/>
      <c r="N1982" s="69"/>
      <c r="O1982" s="69"/>
      <c r="P1982" s="534"/>
      <c r="Q1982" s="274"/>
      <c r="R1982" s="472"/>
      <c r="S1982" s="535"/>
      <c r="T1982" s="535"/>
      <c r="U1982" s="536"/>
      <c r="V1982" s="474"/>
      <c r="Y1982" s="89"/>
      <c r="Z1982" s="60"/>
      <c r="AA1982" s="60"/>
      <c r="AB1982" s="60"/>
      <c r="AC1982" s="30"/>
      <c r="AD1982" s="30"/>
      <c r="AE1982" s="475"/>
      <c r="AF1982" s="476"/>
      <c r="AG1982" s="474"/>
      <c r="AH1982" s="138"/>
    </row>
    <row r="1983">
      <c r="A1983" s="103"/>
      <c r="B1983" s="533"/>
      <c r="C1983" s="533"/>
      <c r="D1983" s="103"/>
      <c r="E1983" s="103"/>
      <c r="F1983" s="103"/>
      <c r="G1983" s="103"/>
      <c r="H1983" s="131"/>
      <c r="I1983" s="468"/>
      <c r="J1983" s="16"/>
      <c r="K1983" s="16"/>
      <c r="L1983" s="8"/>
      <c r="M1983" s="69"/>
      <c r="N1983" s="69"/>
      <c r="O1983" s="69"/>
      <c r="P1983" s="534"/>
      <c r="Q1983" s="274"/>
      <c r="R1983" s="472"/>
      <c r="S1983" s="535"/>
      <c r="T1983" s="535"/>
      <c r="U1983" s="536"/>
      <c r="V1983" s="474"/>
      <c r="Y1983" s="89"/>
      <c r="Z1983" s="60"/>
      <c r="AA1983" s="60"/>
      <c r="AB1983" s="60"/>
      <c r="AC1983" s="30"/>
      <c r="AD1983" s="30"/>
      <c r="AE1983" s="475"/>
      <c r="AF1983" s="476"/>
      <c r="AG1983" s="474"/>
      <c r="AH1983" s="138"/>
    </row>
    <row r="1984">
      <c r="A1984" s="103"/>
      <c r="B1984" s="533"/>
      <c r="C1984" s="533"/>
      <c r="D1984" s="103"/>
      <c r="E1984" s="103"/>
      <c r="F1984" s="103"/>
      <c r="G1984" s="103"/>
      <c r="H1984" s="131"/>
      <c r="I1984" s="468"/>
      <c r="J1984" s="16"/>
      <c r="K1984" s="16"/>
      <c r="L1984" s="8"/>
      <c r="M1984" s="69"/>
      <c r="N1984" s="69"/>
      <c r="O1984" s="69"/>
      <c r="P1984" s="534"/>
      <c r="Q1984" s="274"/>
      <c r="R1984" s="472"/>
      <c r="S1984" s="535"/>
      <c r="T1984" s="535"/>
      <c r="U1984" s="536"/>
      <c r="V1984" s="474"/>
      <c r="Y1984" s="89"/>
      <c r="Z1984" s="60"/>
      <c r="AA1984" s="60"/>
      <c r="AB1984" s="60"/>
      <c r="AC1984" s="30"/>
      <c r="AD1984" s="30"/>
      <c r="AE1984" s="475"/>
      <c r="AF1984" s="476"/>
      <c r="AG1984" s="474"/>
      <c r="AH1984" s="138"/>
    </row>
    <row r="1985">
      <c r="A1985" s="103"/>
      <c r="B1985" s="533"/>
      <c r="C1985" s="533"/>
      <c r="D1985" s="103"/>
      <c r="E1985" s="103"/>
      <c r="F1985" s="103"/>
      <c r="G1985" s="103"/>
      <c r="H1985" s="131"/>
      <c r="I1985" s="468"/>
      <c r="J1985" s="16"/>
      <c r="K1985" s="16"/>
      <c r="L1985" s="8"/>
      <c r="M1985" s="69"/>
      <c r="N1985" s="69"/>
      <c r="O1985" s="69"/>
      <c r="P1985" s="534"/>
      <c r="Q1985" s="274"/>
      <c r="R1985" s="472"/>
      <c r="S1985" s="535"/>
      <c r="T1985" s="535"/>
      <c r="U1985" s="536"/>
      <c r="V1985" s="474"/>
      <c r="Y1985" s="89"/>
      <c r="Z1985" s="60"/>
      <c r="AA1985" s="60"/>
      <c r="AB1985" s="60"/>
      <c r="AC1985" s="30"/>
      <c r="AD1985" s="30"/>
      <c r="AE1985" s="475"/>
      <c r="AF1985" s="476"/>
      <c r="AG1985" s="474"/>
      <c r="AH1985" s="138"/>
    </row>
    <row r="1986">
      <c r="A1986" s="103"/>
      <c r="B1986" s="533"/>
      <c r="C1986" s="533"/>
      <c r="D1986" s="103"/>
      <c r="E1986" s="103"/>
      <c r="F1986" s="103"/>
      <c r="G1986" s="103"/>
      <c r="H1986" s="131"/>
      <c r="I1986" s="468"/>
      <c r="J1986" s="16"/>
      <c r="K1986" s="16"/>
      <c r="L1986" s="8"/>
      <c r="M1986" s="69"/>
      <c r="N1986" s="69"/>
      <c r="O1986" s="69"/>
      <c r="P1986" s="534"/>
      <c r="Q1986" s="274"/>
      <c r="R1986" s="472"/>
      <c r="S1986" s="535"/>
      <c r="T1986" s="535"/>
      <c r="U1986" s="536"/>
      <c r="V1986" s="474"/>
      <c r="Y1986" s="89"/>
      <c r="Z1986" s="60"/>
      <c r="AA1986" s="60"/>
      <c r="AB1986" s="60"/>
      <c r="AC1986" s="30"/>
      <c r="AD1986" s="30"/>
      <c r="AE1986" s="475"/>
      <c r="AF1986" s="476"/>
      <c r="AG1986" s="474"/>
      <c r="AH1986" s="138"/>
    </row>
    <row r="1987">
      <c r="A1987" s="103"/>
      <c r="B1987" s="533"/>
      <c r="C1987" s="533"/>
      <c r="D1987" s="103"/>
      <c r="E1987" s="103"/>
      <c r="F1987" s="103"/>
      <c r="G1987" s="103"/>
      <c r="H1987" s="131"/>
      <c r="I1987" s="468"/>
      <c r="J1987" s="16"/>
      <c r="K1987" s="16"/>
      <c r="L1987" s="8"/>
      <c r="M1987" s="69"/>
      <c r="N1987" s="69"/>
      <c r="O1987" s="69"/>
      <c r="P1987" s="534"/>
      <c r="Q1987" s="274"/>
      <c r="R1987" s="472"/>
      <c r="S1987" s="535"/>
      <c r="T1987" s="535"/>
      <c r="U1987" s="536"/>
      <c r="V1987" s="474"/>
      <c r="Y1987" s="89"/>
      <c r="Z1987" s="60"/>
      <c r="AA1987" s="60"/>
      <c r="AB1987" s="60"/>
      <c r="AC1987" s="30"/>
      <c r="AD1987" s="30"/>
      <c r="AE1987" s="475"/>
      <c r="AF1987" s="476"/>
      <c r="AG1987" s="474"/>
      <c r="AH1987" s="138"/>
    </row>
    <row r="1988">
      <c r="A1988" s="103"/>
      <c r="B1988" s="533"/>
      <c r="C1988" s="533"/>
      <c r="D1988" s="103"/>
      <c r="E1988" s="103"/>
      <c r="F1988" s="103"/>
      <c r="G1988" s="103"/>
      <c r="H1988" s="131"/>
      <c r="I1988" s="468"/>
      <c r="J1988" s="16"/>
      <c r="K1988" s="16"/>
      <c r="L1988" s="8"/>
      <c r="M1988" s="69"/>
      <c r="N1988" s="69"/>
      <c r="O1988" s="69"/>
      <c r="P1988" s="534"/>
      <c r="Q1988" s="274"/>
      <c r="R1988" s="472"/>
      <c r="S1988" s="535"/>
      <c r="T1988" s="535"/>
      <c r="U1988" s="536"/>
      <c r="V1988" s="474"/>
      <c r="Y1988" s="89"/>
      <c r="Z1988" s="60"/>
      <c r="AA1988" s="60"/>
      <c r="AB1988" s="60"/>
      <c r="AC1988" s="30"/>
      <c r="AD1988" s="30"/>
      <c r="AE1988" s="475"/>
      <c r="AF1988" s="476"/>
      <c r="AG1988" s="474"/>
      <c r="AH1988" s="138"/>
    </row>
    <row r="1989">
      <c r="A1989" s="103"/>
      <c r="B1989" s="533"/>
      <c r="C1989" s="533"/>
      <c r="D1989" s="103"/>
      <c r="E1989" s="103"/>
      <c r="F1989" s="103"/>
      <c r="G1989" s="103"/>
      <c r="H1989" s="131"/>
      <c r="I1989" s="468"/>
      <c r="J1989" s="16"/>
      <c r="K1989" s="16"/>
      <c r="L1989" s="8"/>
      <c r="M1989" s="69"/>
      <c r="N1989" s="69"/>
      <c r="O1989" s="69"/>
      <c r="P1989" s="534"/>
      <c r="Q1989" s="274"/>
      <c r="R1989" s="472"/>
      <c r="S1989" s="535"/>
      <c r="T1989" s="535"/>
      <c r="U1989" s="536"/>
      <c r="V1989" s="474"/>
      <c r="Y1989" s="89"/>
      <c r="Z1989" s="60"/>
      <c r="AA1989" s="60"/>
      <c r="AB1989" s="60"/>
      <c r="AC1989" s="30"/>
      <c r="AD1989" s="30"/>
      <c r="AE1989" s="475"/>
      <c r="AF1989" s="476"/>
      <c r="AG1989" s="474"/>
      <c r="AH1989" s="138"/>
    </row>
    <row r="1990">
      <c r="A1990" s="103"/>
      <c r="B1990" s="533"/>
      <c r="C1990" s="533"/>
      <c r="D1990" s="103"/>
      <c r="E1990" s="103"/>
      <c r="F1990" s="103"/>
      <c r="G1990" s="103"/>
      <c r="H1990" s="131"/>
      <c r="I1990" s="468"/>
      <c r="J1990" s="16"/>
      <c r="K1990" s="16"/>
      <c r="L1990" s="8"/>
      <c r="M1990" s="69"/>
      <c r="N1990" s="69"/>
      <c r="O1990" s="69"/>
      <c r="P1990" s="534"/>
      <c r="Q1990" s="274"/>
      <c r="R1990" s="472"/>
      <c r="S1990" s="535"/>
      <c r="T1990" s="535"/>
      <c r="U1990" s="536"/>
      <c r="V1990" s="474"/>
      <c r="Y1990" s="89"/>
      <c r="Z1990" s="60"/>
      <c r="AA1990" s="60"/>
      <c r="AB1990" s="60"/>
      <c r="AC1990" s="30"/>
      <c r="AD1990" s="30"/>
      <c r="AE1990" s="475"/>
      <c r="AF1990" s="476"/>
      <c r="AG1990" s="474"/>
      <c r="AH1990" s="138"/>
    </row>
    <row r="1991">
      <c r="A1991" s="103"/>
      <c r="B1991" s="533"/>
      <c r="C1991" s="533"/>
      <c r="D1991" s="103"/>
      <c r="E1991" s="103"/>
      <c r="F1991" s="103"/>
      <c r="G1991" s="103"/>
      <c r="H1991" s="131"/>
      <c r="I1991" s="468"/>
      <c r="J1991" s="16"/>
      <c r="K1991" s="16"/>
      <c r="L1991" s="8"/>
      <c r="M1991" s="69"/>
      <c r="N1991" s="69"/>
      <c r="O1991" s="69"/>
      <c r="P1991" s="534"/>
      <c r="Q1991" s="274"/>
      <c r="R1991" s="472"/>
      <c r="S1991" s="535"/>
      <c r="T1991" s="535"/>
      <c r="U1991" s="536"/>
      <c r="V1991" s="474"/>
      <c r="Y1991" s="89"/>
      <c r="Z1991" s="60"/>
      <c r="AA1991" s="60"/>
      <c r="AB1991" s="60"/>
      <c r="AC1991" s="30"/>
      <c r="AD1991" s="30"/>
      <c r="AE1991" s="475"/>
      <c r="AF1991" s="476"/>
      <c r="AG1991" s="474"/>
      <c r="AH1991" s="138"/>
    </row>
    <row r="1992">
      <c r="A1992" s="103"/>
      <c r="B1992" s="533"/>
      <c r="C1992" s="533"/>
      <c r="D1992" s="103"/>
      <c r="E1992" s="103"/>
      <c r="F1992" s="103"/>
      <c r="G1992" s="103"/>
      <c r="H1992" s="131"/>
      <c r="I1992" s="468"/>
      <c r="J1992" s="16"/>
      <c r="K1992" s="16"/>
      <c r="L1992" s="8"/>
      <c r="M1992" s="69"/>
      <c r="N1992" s="69"/>
      <c r="O1992" s="69"/>
      <c r="P1992" s="534"/>
      <c r="Q1992" s="274"/>
      <c r="R1992" s="472"/>
      <c r="S1992" s="535"/>
      <c r="T1992" s="535"/>
      <c r="U1992" s="536"/>
      <c r="V1992" s="474"/>
      <c r="Y1992" s="89"/>
      <c r="Z1992" s="60"/>
      <c r="AA1992" s="60"/>
      <c r="AB1992" s="60"/>
      <c r="AC1992" s="30"/>
      <c r="AD1992" s="30"/>
      <c r="AE1992" s="475"/>
      <c r="AF1992" s="476"/>
      <c r="AG1992" s="474"/>
      <c r="AH1992" s="138"/>
    </row>
    <row r="1993">
      <c r="A1993" s="103"/>
      <c r="B1993" s="533"/>
      <c r="C1993" s="533"/>
      <c r="D1993" s="103"/>
      <c r="E1993" s="103"/>
      <c r="F1993" s="103"/>
      <c r="G1993" s="103"/>
      <c r="H1993" s="131"/>
      <c r="I1993" s="468"/>
      <c r="J1993" s="16"/>
      <c r="K1993" s="16"/>
      <c r="L1993" s="8"/>
      <c r="M1993" s="69"/>
      <c r="N1993" s="69"/>
      <c r="O1993" s="69"/>
      <c r="P1993" s="534"/>
      <c r="Q1993" s="274"/>
      <c r="R1993" s="472"/>
      <c r="S1993" s="535"/>
      <c r="T1993" s="535"/>
      <c r="U1993" s="536"/>
      <c r="V1993" s="474"/>
      <c r="Y1993" s="89"/>
      <c r="Z1993" s="60"/>
      <c r="AA1993" s="60"/>
      <c r="AB1993" s="60"/>
      <c r="AC1993" s="30"/>
      <c r="AD1993" s="30"/>
      <c r="AE1993" s="475"/>
      <c r="AF1993" s="476"/>
      <c r="AG1993" s="474"/>
      <c r="AH1993" s="138"/>
    </row>
    <row r="1994">
      <c r="A1994" s="103"/>
      <c r="B1994" s="533"/>
      <c r="C1994" s="533"/>
      <c r="D1994" s="103"/>
      <c r="E1994" s="103"/>
      <c r="F1994" s="103"/>
      <c r="G1994" s="103"/>
      <c r="H1994" s="131"/>
      <c r="I1994" s="468"/>
      <c r="J1994" s="16"/>
      <c r="K1994" s="16"/>
      <c r="L1994" s="8"/>
      <c r="M1994" s="69"/>
      <c r="N1994" s="69"/>
      <c r="O1994" s="69"/>
      <c r="P1994" s="534"/>
      <c r="Q1994" s="274"/>
      <c r="R1994" s="472"/>
      <c r="S1994" s="535"/>
      <c r="T1994" s="535"/>
      <c r="U1994" s="536"/>
      <c r="V1994" s="474"/>
      <c r="Y1994" s="89"/>
      <c r="Z1994" s="60"/>
      <c r="AA1994" s="60"/>
      <c r="AB1994" s="60"/>
      <c r="AC1994" s="30"/>
      <c r="AD1994" s="30"/>
      <c r="AE1994" s="475"/>
      <c r="AF1994" s="476"/>
      <c r="AG1994" s="474"/>
      <c r="AH1994" s="138"/>
    </row>
    <row r="1995">
      <c r="A1995" s="103"/>
      <c r="B1995" s="533"/>
      <c r="C1995" s="533"/>
      <c r="D1995" s="103"/>
      <c r="E1995" s="103"/>
      <c r="F1995" s="103"/>
      <c r="G1995" s="103"/>
      <c r="H1995" s="131"/>
      <c r="I1995" s="468"/>
      <c r="J1995" s="16"/>
      <c r="K1995" s="16"/>
      <c r="L1995" s="8"/>
      <c r="M1995" s="69"/>
      <c r="N1995" s="69"/>
      <c r="O1995" s="69"/>
      <c r="P1995" s="534"/>
      <c r="Q1995" s="274"/>
      <c r="R1995" s="472"/>
      <c r="S1995" s="535"/>
      <c r="T1995" s="535"/>
      <c r="U1995" s="536"/>
      <c r="V1995" s="474"/>
      <c r="Y1995" s="89"/>
      <c r="Z1995" s="60"/>
      <c r="AA1995" s="60"/>
      <c r="AB1995" s="60"/>
      <c r="AC1995" s="30"/>
      <c r="AD1995" s="30"/>
      <c r="AE1995" s="475"/>
      <c r="AF1995" s="476"/>
      <c r="AG1995" s="474"/>
      <c r="AH1995" s="138"/>
    </row>
    <row r="1996">
      <c r="A1996" s="103"/>
      <c r="B1996" s="533"/>
      <c r="C1996" s="533"/>
      <c r="D1996" s="103"/>
      <c r="E1996" s="103"/>
      <c r="F1996" s="103"/>
      <c r="G1996" s="103"/>
      <c r="H1996" s="131"/>
      <c r="I1996" s="468"/>
      <c r="J1996" s="16"/>
      <c r="K1996" s="16"/>
      <c r="L1996" s="8"/>
      <c r="M1996" s="69"/>
      <c r="N1996" s="69"/>
      <c r="O1996" s="69"/>
      <c r="P1996" s="534"/>
      <c r="Q1996" s="274"/>
      <c r="R1996" s="472"/>
      <c r="S1996" s="535"/>
      <c r="T1996" s="535"/>
      <c r="U1996" s="536"/>
      <c r="V1996" s="474"/>
      <c r="Y1996" s="89"/>
      <c r="Z1996" s="60"/>
      <c r="AA1996" s="60"/>
      <c r="AB1996" s="60"/>
      <c r="AC1996" s="30"/>
      <c r="AD1996" s="30"/>
      <c r="AE1996" s="475"/>
      <c r="AF1996" s="476"/>
      <c r="AG1996" s="474"/>
      <c r="AH1996" s="138"/>
    </row>
    <row r="1997">
      <c r="A1997" s="103"/>
      <c r="B1997" s="533"/>
      <c r="C1997" s="533"/>
      <c r="D1997" s="103"/>
      <c r="E1997" s="103"/>
      <c r="F1997" s="103"/>
      <c r="G1997" s="103"/>
      <c r="H1997" s="131"/>
      <c r="I1997" s="468"/>
      <c r="J1997" s="16"/>
      <c r="K1997" s="16"/>
      <c r="L1997" s="8"/>
      <c r="M1997" s="69"/>
      <c r="N1997" s="69"/>
      <c r="O1997" s="69"/>
      <c r="P1997" s="534"/>
      <c r="Q1997" s="274"/>
      <c r="R1997" s="472"/>
      <c r="S1997" s="535"/>
      <c r="T1997" s="535"/>
      <c r="U1997" s="536"/>
      <c r="V1997" s="474"/>
      <c r="Y1997" s="89"/>
      <c r="Z1997" s="60"/>
      <c r="AA1997" s="60"/>
      <c r="AB1997" s="60"/>
      <c r="AC1997" s="30"/>
      <c r="AD1997" s="30"/>
      <c r="AE1997" s="475"/>
      <c r="AF1997" s="476"/>
      <c r="AG1997" s="474"/>
      <c r="AH1997" s="138"/>
    </row>
    <row r="1998">
      <c r="A1998" s="103"/>
      <c r="B1998" s="533"/>
      <c r="C1998" s="533"/>
      <c r="D1998" s="103"/>
      <c r="E1998" s="103"/>
      <c r="F1998" s="103"/>
      <c r="G1998" s="103"/>
      <c r="H1998" s="131"/>
      <c r="I1998" s="468"/>
      <c r="J1998" s="16"/>
      <c r="K1998" s="16"/>
      <c r="L1998" s="8"/>
      <c r="M1998" s="69"/>
      <c r="N1998" s="69"/>
      <c r="O1998" s="69"/>
      <c r="P1998" s="534"/>
      <c r="Q1998" s="274"/>
      <c r="R1998" s="472"/>
      <c r="S1998" s="535"/>
      <c r="T1998" s="535"/>
      <c r="U1998" s="536"/>
      <c r="V1998" s="474"/>
      <c r="Y1998" s="89"/>
      <c r="Z1998" s="60"/>
      <c r="AA1998" s="60"/>
      <c r="AB1998" s="60"/>
      <c r="AC1998" s="30"/>
      <c r="AD1998" s="30"/>
      <c r="AE1998" s="475"/>
      <c r="AF1998" s="476"/>
      <c r="AG1998" s="474"/>
      <c r="AH1998" s="138"/>
    </row>
    <row r="1999">
      <c r="A1999" s="103"/>
      <c r="B1999" s="533"/>
      <c r="C1999" s="533"/>
      <c r="D1999" s="103"/>
      <c r="E1999" s="103"/>
      <c r="F1999" s="103"/>
      <c r="G1999" s="103"/>
      <c r="H1999" s="131"/>
      <c r="I1999" s="468"/>
      <c r="J1999" s="16"/>
      <c r="K1999" s="16"/>
      <c r="L1999" s="8"/>
      <c r="M1999" s="69"/>
      <c r="N1999" s="69"/>
      <c r="O1999" s="69"/>
      <c r="P1999" s="534"/>
      <c r="Q1999" s="274"/>
      <c r="R1999" s="472"/>
      <c r="S1999" s="535"/>
      <c r="T1999" s="535"/>
      <c r="U1999" s="536"/>
      <c r="V1999" s="474"/>
      <c r="Y1999" s="89"/>
      <c r="Z1999" s="60"/>
      <c r="AA1999" s="60"/>
      <c r="AB1999" s="60"/>
      <c r="AC1999" s="30"/>
      <c r="AD1999" s="30"/>
      <c r="AE1999" s="475"/>
      <c r="AF1999" s="476"/>
      <c r="AG1999" s="474"/>
      <c r="AH1999" s="138"/>
    </row>
    <row r="2000">
      <c r="A2000" s="103"/>
      <c r="B2000" s="533"/>
      <c r="C2000" s="533"/>
      <c r="D2000" s="103"/>
      <c r="E2000" s="103"/>
      <c r="F2000" s="103"/>
      <c r="G2000" s="103"/>
      <c r="H2000" s="131"/>
      <c r="I2000" s="468"/>
      <c r="J2000" s="16"/>
      <c r="K2000" s="16"/>
      <c r="L2000" s="8"/>
      <c r="M2000" s="69"/>
      <c r="N2000" s="69"/>
      <c r="O2000" s="69"/>
      <c r="P2000" s="534"/>
      <c r="Q2000" s="274"/>
      <c r="R2000" s="472"/>
      <c r="S2000" s="535"/>
      <c r="T2000" s="535"/>
      <c r="U2000" s="536"/>
      <c r="V2000" s="474"/>
      <c r="Y2000" s="89"/>
      <c r="Z2000" s="60"/>
      <c r="AA2000" s="60"/>
      <c r="AB2000" s="60"/>
      <c r="AC2000" s="30"/>
      <c r="AD2000" s="30"/>
      <c r="AE2000" s="475"/>
      <c r="AF2000" s="476"/>
      <c r="AG2000" s="474"/>
      <c r="AH2000" s="138"/>
    </row>
    <row r="2001">
      <c r="A2001" s="103"/>
      <c r="B2001" s="533"/>
      <c r="C2001" s="533"/>
      <c r="D2001" s="103"/>
      <c r="E2001" s="103"/>
      <c r="F2001" s="103"/>
      <c r="G2001" s="103"/>
      <c r="H2001" s="131"/>
      <c r="I2001" s="468"/>
      <c r="J2001" s="16"/>
      <c r="K2001" s="16"/>
      <c r="L2001" s="8"/>
      <c r="M2001" s="69"/>
      <c r="N2001" s="69"/>
      <c r="O2001" s="69"/>
      <c r="P2001" s="534"/>
      <c r="Q2001" s="274"/>
      <c r="R2001" s="472"/>
      <c r="S2001" s="535"/>
      <c r="T2001" s="535"/>
      <c r="U2001" s="536"/>
      <c r="V2001" s="474"/>
      <c r="Y2001" s="89"/>
      <c r="Z2001" s="60"/>
      <c r="AA2001" s="60"/>
      <c r="AB2001" s="60"/>
      <c r="AC2001" s="30"/>
      <c r="AD2001" s="30"/>
      <c r="AE2001" s="475"/>
      <c r="AF2001" s="476"/>
      <c r="AG2001" s="474"/>
      <c r="AH2001" s="138"/>
    </row>
    <row r="2002">
      <c r="A2002" s="103"/>
      <c r="B2002" s="533"/>
      <c r="C2002" s="533"/>
      <c r="D2002" s="103"/>
      <c r="E2002" s="103"/>
      <c r="F2002" s="103"/>
      <c r="G2002" s="103"/>
      <c r="H2002" s="131"/>
      <c r="I2002" s="468"/>
      <c r="J2002" s="16"/>
      <c r="K2002" s="16"/>
      <c r="M2002" s="69"/>
      <c r="N2002" s="69"/>
      <c r="O2002" s="69"/>
      <c r="P2002" s="534"/>
      <c r="Q2002" s="274"/>
      <c r="R2002" s="472"/>
      <c r="S2002" s="535"/>
      <c r="T2002" s="535"/>
      <c r="U2002" s="536"/>
      <c r="V2002" s="474"/>
      <c r="Y2002" s="89"/>
      <c r="Z2002" s="60"/>
      <c r="AA2002" s="60"/>
      <c r="AB2002" s="60"/>
      <c r="AC2002" s="30"/>
      <c r="AD2002" s="30"/>
      <c r="AE2002" s="475"/>
      <c r="AF2002" s="476"/>
      <c r="AG2002" s="474"/>
      <c r="AH2002" s="138"/>
    </row>
    <row r="2003">
      <c r="A2003" s="103"/>
      <c r="B2003" s="533"/>
      <c r="C2003" s="533"/>
      <c r="D2003" s="103"/>
      <c r="E2003" s="103"/>
      <c r="F2003" s="103"/>
      <c r="G2003" s="103"/>
      <c r="H2003" s="131"/>
      <c r="I2003" s="468"/>
      <c r="J2003" s="16"/>
      <c r="K2003" s="16"/>
      <c r="M2003" s="69"/>
      <c r="N2003" s="69"/>
      <c r="O2003" s="69"/>
      <c r="P2003" s="534"/>
      <c r="Q2003" s="274"/>
      <c r="R2003" s="472"/>
      <c r="S2003" s="535"/>
      <c r="T2003" s="535"/>
      <c r="U2003" s="536"/>
      <c r="V2003" s="474"/>
      <c r="Y2003" s="89"/>
      <c r="Z2003" s="60"/>
      <c r="AA2003" s="60"/>
      <c r="AB2003" s="60"/>
      <c r="AC2003" s="30"/>
      <c r="AD2003" s="30"/>
      <c r="AE2003" s="475"/>
      <c r="AF2003" s="476"/>
      <c r="AG2003" s="474"/>
      <c r="AH2003" s="138"/>
    </row>
    <row r="2004">
      <c r="A2004" s="103"/>
      <c r="B2004" s="533"/>
      <c r="C2004" s="533"/>
      <c r="D2004" s="103"/>
      <c r="E2004" s="103"/>
      <c r="F2004" s="103"/>
      <c r="G2004" s="103"/>
      <c r="H2004" s="131"/>
      <c r="I2004" s="468"/>
      <c r="J2004" s="16"/>
      <c r="K2004" s="16"/>
      <c r="M2004" s="69"/>
      <c r="N2004" s="69"/>
      <c r="O2004" s="69"/>
      <c r="P2004" s="534"/>
      <c r="Q2004" s="274"/>
      <c r="R2004" s="472"/>
      <c r="S2004" s="535"/>
      <c r="T2004" s="535"/>
      <c r="U2004" s="536"/>
      <c r="V2004" s="474"/>
      <c r="Y2004" s="89"/>
      <c r="Z2004" s="60"/>
      <c r="AA2004" s="60"/>
      <c r="AB2004" s="60"/>
      <c r="AC2004" s="30"/>
      <c r="AD2004" s="30"/>
      <c r="AE2004" s="475"/>
      <c r="AF2004" s="476"/>
      <c r="AG2004" s="474"/>
      <c r="AH2004" s="138"/>
    </row>
    <row r="2005">
      <c r="A2005" s="103"/>
      <c r="B2005" s="533"/>
      <c r="C2005" s="533"/>
      <c r="D2005" s="103"/>
      <c r="E2005" s="103"/>
      <c r="F2005" s="103"/>
      <c r="G2005" s="103"/>
      <c r="H2005" s="131"/>
      <c r="I2005" s="468"/>
      <c r="J2005" s="16"/>
      <c r="K2005" s="16"/>
      <c r="M2005" s="69"/>
      <c r="N2005" s="69"/>
      <c r="O2005" s="69"/>
      <c r="P2005" s="534"/>
      <c r="Q2005" s="274"/>
      <c r="R2005" s="472"/>
      <c r="S2005" s="535"/>
      <c r="T2005" s="535"/>
      <c r="U2005" s="536"/>
      <c r="V2005" s="474"/>
      <c r="Y2005" s="89"/>
      <c r="Z2005" s="60"/>
      <c r="AA2005" s="60"/>
      <c r="AB2005" s="60"/>
      <c r="AC2005" s="30"/>
      <c r="AD2005" s="30"/>
      <c r="AE2005" s="475"/>
      <c r="AF2005" s="476"/>
      <c r="AG2005" s="474"/>
      <c r="AH2005" s="138"/>
    </row>
    <row r="2006">
      <c r="A2006" s="103"/>
      <c r="B2006" s="533"/>
      <c r="C2006" s="533"/>
      <c r="D2006" s="103"/>
      <c r="E2006" s="103"/>
      <c r="F2006" s="103"/>
      <c r="G2006" s="103"/>
      <c r="H2006" s="131"/>
      <c r="I2006" s="468"/>
      <c r="J2006" s="16"/>
      <c r="K2006" s="16"/>
      <c r="M2006" s="69"/>
      <c r="N2006" s="69"/>
      <c r="O2006" s="69"/>
      <c r="P2006" s="534"/>
      <c r="Q2006" s="274"/>
      <c r="R2006" s="472"/>
      <c r="S2006" s="535"/>
      <c r="T2006" s="535"/>
      <c r="U2006" s="536"/>
      <c r="V2006" s="474"/>
      <c r="Y2006" s="89"/>
      <c r="Z2006" s="60"/>
      <c r="AA2006" s="60"/>
      <c r="AB2006" s="60"/>
      <c r="AC2006" s="30"/>
      <c r="AD2006" s="30"/>
      <c r="AE2006" s="475"/>
      <c r="AF2006" s="476"/>
      <c r="AG2006" s="474"/>
      <c r="AH2006" s="138"/>
    </row>
    <row r="2007">
      <c r="A2007" s="103"/>
      <c r="B2007" s="533"/>
      <c r="C2007" s="533"/>
      <c r="D2007" s="103"/>
      <c r="E2007" s="103"/>
      <c r="F2007" s="103"/>
      <c r="G2007" s="103"/>
      <c r="H2007" s="131"/>
      <c r="I2007" s="468"/>
      <c r="J2007" s="16"/>
      <c r="K2007" s="16"/>
      <c r="M2007" s="69"/>
      <c r="N2007" s="69"/>
      <c r="O2007" s="69"/>
      <c r="P2007" s="534"/>
      <c r="Q2007" s="274"/>
      <c r="R2007" s="472"/>
      <c r="S2007" s="535"/>
      <c r="T2007" s="535"/>
      <c r="U2007" s="536"/>
      <c r="V2007" s="474"/>
      <c r="Y2007" s="89"/>
      <c r="Z2007" s="60"/>
      <c r="AA2007" s="60"/>
      <c r="AB2007" s="60"/>
      <c r="AC2007" s="30"/>
      <c r="AD2007" s="30"/>
      <c r="AE2007" s="475"/>
      <c r="AF2007" s="476"/>
      <c r="AG2007" s="474"/>
      <c r="AH2007" s="138"/>
    </row>
    <row r="2008">
      <c r="A2008" s="103"/>
      <c r="B2008" s="533"/>
      <c r="C2008" s="533"/>
      <c r="D2008" s="103"/>
      <c r="E2008" s="103"/>
      <c r="F2008" s="103"/>
      <c r="G2008" s="103"/>
      <c r="H2008" s="131"/>
      <c r="I2008" s="468"/>
      <c r="J2008" s="16"/>
      <c r="K2008" s="16"/>
      <c r="M2008" s="69"/>
      <c r="N2008" s="69"/>
      <c r="O2008" s="69"/>
      <c r="P2008" s="534"/>
      <c r="Q2008" s="274"/>
      <c r="R2008" s="472"/>
      <c r="S2008" s="535"/>
      <c r="T2008" s="535"/>
      <c r="U2008" s="536"/>
      <c r="V2008" s="474"/>
      <c r="Y2008" s="89"/>
      <c r="Z2008" s="60"/>
      <c r="AA2008" s="60"/>
      <c r="AB2008" s="60"/>
      <c r="AC2008" s="30"/>
      <c r="AD2008" s="30"/>
      <c r="AE2008" s="475"/>
      <c r="AF2008" s="476"/>
      <c r="AG2008" s="474"/>
      <c r="AH2008" s="138"/>
    </row>
    <row r="2009">
      <c r="A2009" s="103"/>
      <c r="B2009" s="533"/>
      <c r="C2009" s="533"/>
      <c r="D2009" s="103"/>
      <c r="E2009" s="103"/>
      <c r="F2009" s="103"/>
      <c r="G2009" s="103"/>
      <c r="H2009" s="131"/>
      <c r="I2009" s="468"/>
      <c r="J2009" s="16"/>
      <c r="K2009" s="16"/>
      <c r="M2009" s="69"/>
      <c r="N2009" s="69"/>
      <c r="O2009" s="69"/>
      <c r="P2009" s="534"/>
      <c r="Q2009" s="274"/>
      <c r="R2009" s="472"/>
      <c r="S2009" s="535"/>
      <c r="T2009" s="535"/>
      <c r="U2009" s="536"/>
      <c r="V2009" s="474"/>
      <c r="Y2009" s="89"/>
      <c r="Z2009" s="60"/>
      <c r="AA2009" s="60"/>
      <c r="AB2009" s="60"/>
      <c r="AC2009" s="30"/>
      <c r="AD2009" s="30"/>
      <c r="AE2009" s="475"/>
      <c r="AF2009" s="476"/>
      <c r="AG2009" s="474"/>
      <c r="AH2009" s="138"/>
    </row>
    <row r="2010">
      <c r="A2010" s="103"/>
      <c r="B2010" s="533"/>
      <c r="C2010" s="533"/>
      <c r="D2010" s="103"/>
      <c r="E2010" s="103"/>
      <c r="F2010" s="103"/>
      <c r="G2010" s="103"/>
      <c r="H2010" s="131"/>
      <c r="I2010" s="468"/>
      <c r="J2010" s="16"/>
      <c r="K2010" s="16"/>
      <c r="M2010" s="69"/>
      <c r="N2010" s="69"/>
      <c r="O2010" s="69"/>
      <c r="P2010" s="534"/>
      <c r="Q2010" s="274"/>
      <c r="R2010" s="472"/>
      <c r="S2010" s="535"/>
      <c r="T2010" s="535"/>
      <c r="U2010" s="536"/>
      <c r="V2010" s="474"/>
      <c r="Y2010" s="89"/>
      <c r="Z2010" s="60"/>
      <c r="AA2010" s="60"/>
      <c r="AB2010" s="60"/>
      <c r="AC2010" s="30"/>
      <c r="AD2010" s="30"/>
      <c r="AE2010" s="475"/>
      <c r="AF2010" s="476"/>
      <c r="AG2010" s="474"/>
      <c r="AH2010" s="138"/>
    </row>
    <row r="2011">
      <c r="A2011" s="103"/>
      <c r="B2011" s="533"/>
      <c r="C2011" s="533"/>
      <c r="D2011" s="103"/>
      <c r="E2011" s="103"/>
      <c r="F2011" s="103"/>
      <c r="G2011" s="103"/>
      <c r="H2011" s="131"/>
      <c r="I2011" s="468"/>
      <c r="J2011" s="16"/>
      <c r="K2011" s="16"/>
      <c r="M2011" s="69"/>
      <c r="N2011" s="69"/>
      <c r="O2011" s="69"/>
      <c r="P2011" s="534"/>
      <c r="Q2011" s="274"/>
      <c r="R2011" s="472"/>
      <c r="S2011" s="535"/>
      <c r="T2011" s="535"/>
      <c r="U2011" s="536"/>
      <c r="V2011" s="474"/>
      <c r="Y2011" s="89"/>
      <c r="Z2011" s="60"/>
      <c r="AA2011" s="60"/>
      <c r="AB2011" s="60"/>
      <c r="AC2011" s="30"/>
      <c r="AD2011" s="30"/>
      <c r="AE2011" s="475"/>
      <c r="AF2011" s="476"/>
      <c r="AG2011" s="474"/>
      <c r="AH2011" s="138"/>
    </row>
    <row r="2012">
      <c r="A2012" s="103"/>
      <c r="B2012" s="533"/>
      <c r="C2012" s="533"/>
      <c r="D2012" s="103"/>
      <c r="E2012" s="103"/>
      <c r="F2012" s="103"/>
      <c r="G2012" s="103"/>
      <c r="H2012" s="131"/>
      <c r="I2012" s="468"/>
      <c r="J2012" s="16"/>
      <c r="K2012" s="16"/>
      <c r="M2012" s="69"/>
      <c r="N2012" s="69"/>
      <c r="O2012" s="69"/>
      <c r="P2012" s="534"/>
      <c r="Q2012" s="274"/>
      <c r="R2012" s="472"/>
      <c r="S2012" s="535"/>
      <c r="T2012" s="535"/>
      <c r="U2012" s="536"/>
      <c r="V2012" s="474"/>
      <c r="Y2012" s="89"/>
      <c r="Z2012" s="60"/>
      <c r="AA2012" s="60"/>
      <c r="AB2012" s="60"/>
      <c r="AC2012" s="30"/>
      <c r="AD2012" s="30"/>
      <c r="AE2012" s="475"/>
      <c r="AF2012" s="476"/>
      <c r="AG2012" s="474"/>
      <c r="AH2012" s="138"/>
    </row>
    <row r="2013">
      <c r="A2013" s="103"/>
      <c r="B2013" s="533"/>
      <c r="C2013" s="533"/>
      <c r="D2013" s="103"/>
      <c r="E2013" s="103"/>
      <c r="F2013" s="103"/>
      <c r="G2013" s="103"/>
      <c r="H2013" s="131"/>
      <c r="I2013" s="468"/>
      <c r="J2013" s="16"/>
      <c r="K2013" s="16"/>
      <c r="M2013" s="69"/>
      <c r="N2013" s="69"/>
      <c r="O2013" s="69"/>
      <c r="P2013" s="534"/>
      <c r="Q2013" s="274"/>
      <c r="R2013" s="472"/>
      <c r="S2013" s="535"/>
      <c r="T2013" s="535"/>
      <c r="U2013" s="536"/>
      <c r="V2013" s="474"/>
      <c r="Y2013" s="89"/>
      <c r="Z2013" s="60"/>
      <c r="AA2013" s="60"/>
      <c r="AB2013" s="60"/>
      <c r="AC2013" s="30"/>
      <c r="AD2013" s="30"/>
      <c r="AE2013" s="475"/>
      <c r="AF2013" s="476"/>
      <c r="AG2013" s="474"/>
      <c r="AH2013" s="138"/>
    </row>
    <row r="2014">
      <c r="A2014" s="103"/>
      <c r="B2014" s="533"/>
      <c r="C2014" s="533"/>
      <c r="D2014" s="103"/>
      <c r="E2014" s="103"/>
      <c r="F2014" s="103"/>
      <c r="G2014" s="103"/>
      <c r="H2014" s="131"/>
      <c r="I2014" s="468"/>
      <c r="J2014" s="16"/>
      <c r="K2014" s="16"/>
      <c r="M2014" s="69"/>
      <c r="N2014" s="69"/>
      <c r="O2014" s="69"/>
      <c r="P2014" s="534"/>
      <c r="Q2014" s="274"/>
      <c r="R2014" s="472"/>
      <c r="S2014" s="535"/>
      <c r="T2014" s="535"/>
      <c r="U2014" s="536"/>
      <c r="V2014" s="474"/>
      <c r="Y2014" s="89"/>
      <c r="Z2014" s="60"/>
      <c r="AA2014" s="60"/>
      <c r="AB2014" s="60"/>
      <c r="AC2014" s="30"/>
      <c r="AD2014" s="30"/>
      <c r="AE2014" s="475"/>
      <c r="AF2014" s="476"/>
      <c r="AG2014" s="474"/>
      <c r="AH2014" s="138"/>
    </row>
    <row r="2015">
      <c r="A2015" s="103"/>
      <c r="B2015" s="533"/>
      <c r="C2015" s="533"/>
      <c r="D2015" s="103"/>
      <c r="E2015" s="103"/>
      <c r="F2015" s="103"/>
      <c r="G2015" s="103"/>
      <c r="H2015" s="131"/>
      <c r="I2015" s="468"/>
      <c r="J2015" s="16"/>
      <c r="K2015" s="16"/>
      <c r="M2015" s="69"/>
      <c r="N2015" s="69"/>
      <c r="O2015" s="69"/>
      <c r="P2015" s="534"/>
      <c r="Q2015" s="274"/>
      <c r="R2015" s="472"/>
      <c r="S2015" s="535"/>
      <c r="T2015" s="535"/>
      <c r="U2015" s="536"/>
      <c r="V2015" s="474"/>
      <c r="Y2015" s="89"/>
      <c r="Z2015" s="60"/>
      <c r="AA2015" s="60"/>
      <c r="AB2015" s="60"/>
      <c r="AC2015" s="30"/>
      <c r="AD2015" s="30"/>
      <c r="AE2015" s="475"/>
      <c r="AF2015" s="476"/>
      <c r="AG2015" s="474"/>
      <c r="AH2015" s="138"/>
    </row>
    <row r="2016">
      <c r="A2016" s="103"/>
      <c r="B2016" s="533"/>
      <c r="C2016" s="533"/>
      <c r="D2016" s="103"/>
      <c r="E2016" s="103"/>
      <c r="F2016" s="103"/>
      <c r="G2016" s="103"/>
      <c r="H2016" s="131"/>
      <c r="I2016" s="468"/>
      <c r="J2016" s="16"/>
      <c r="K2016" s="16"/>
      <c r="M2016" s="69"/>
      <c r="N2016" s="69"/>
      <c r="O2016" s="69"/>
      <c r="P2016" s="534"/>
      <c r="Q2016" s="274"/>
      <c r="R2016" s="472"/>
      <c r="S2016" s="535"/>
      <c r="T2016" s="535"/>
      <c r="U2016" s="536"/>
      <c r="V2016" s="474"/>
      <c r="Y2016" s="89"/>
      <c r="Z2016" s="60"/>
      <c r="AA2016" s="60"/>
      <c r="AB2016" s="60"/>
      <c r="AC2016" s="30"/>
      <c r="AD2016" s="30"/>
      <c r="AE2016" s="475"/>
      <c r="AF2016" s="476"/>
      <c r="AG2016" s="474"/>
      <c r="AH2016" s="138"/>
    </row>
    <row r="2017">
      <c r="A2017" s="103"/>
      <c r="B2017" s="533"/>
      <c r="C2017" s="533"/>
      <c r="D2017" s="103"/>
      <c r="E2017" s="103"/>
      <c r="F2017" s="103"/>
      <c r="G2017" s="103"/>
      <c r="H2017" s="131"/>
      <c r="I2017" s="468"/>
      <c r="J2017" s="16"/>
      <c r="K2017" s="16"/>
      <c r="M2017" s="69"/>
      <c r="N2017" s="69"/>
      <c r="O2017" s="69"/>
      <c r="P2017" s="534"/>
      <c r="Q2017" s="274"/>
      <c r="R2017" s="472"/>
      <c r="S2017" s="535"/>
      <c r="T2017" s="535"/>
      <c r="U2017" s="536"/>
      <c r="V2017" s="474"/>
      <c r="Y2017" s="89"/>
      <c r="Z2017" s="60"/>
      <c r="AA2017" s="60"/>
      <c r="AB2017" s="60"/>
      <c r="AC2017" s="30"/>
      <c r="AD2017" s="30"/>
      <c r="AE2017" s="475"/>
      <c r="AF2017" s="476"/>
      <c r="AG2017" s="474"/>
      <c r="AH2017" s="138"/>
    </row>
    <row r="2018">
      <c r="A2018" s="103"/>
      <c r="B2018" s="533"/>
      <c r="C2018" s="533"/>
      <c r="D2018" s="103"/>
      <c r="E2018" s="103"/>
      <c r="F2018" s="103"/>
      <c r="G2018" s="103"/>
      <c r="H2018" s="131"/>
      <c r="I2018" s="468"/>
      <c r="J2018" s="16"/>
      <c r="K2018" s="16"/>
      <c r="M2018" s="69"/>
      <c r="N2018" s="69"/>
      <c r="O2018" s="69"/>
      <c r="P2018" s="534"/>
      <c r="Q2018" s="274"/>
      <c r="R2018" s="472"/>
      <c r="S2018" s="535"/>
      <c r="T2018" s="535"/>
      <c r="U2018" s="536"/>
      <c r="V2018" s="474"/>
      <c r="Y2018" s="89"/>
      <c r="Z2018" s="60"/>
      <c r="AA2018" s="60"/>
      <c r="AB2018" s="60"/>
      <c r="AC2018" s="30"/>
      <c r="AD2018" s="30"/>
      <c r="AE2018" s="475"/>
      <c r="AF2018" s="476"/>
      <c r="AG2018" s="474"/>
      <c r="AH2018" s="138"/>
    </row>
    <row r="2019">
      <c r="A2019" s="103"/>
      <c r="B2019" s="533"/>
      <c r="C2019" s="533"/>
      <c r="D2019" s="103"/>
      <c r="E2019" s="103"/>
      <c r="F2019" s="103"/>
      <c r="G2019" s="103"/>
      <c r="H2019" s="131"/>
      <c r="I2019" s="468"/>
      <c r="J2019" s="16"/>
      <c r="K2019" s="16"/>
      <c r="M2019" s="69"/>
      <c r="N2019" s="69"/>
      <c r="O2019" s="69"/>
      <c r="P2019" s="534"/>
      <c r="Q2019" s="274"/>
      <c r="R2019" s="472"/>
      <c r="S2019" s="535"/>
      <c r="T2019" s="535"/>
      <c r="U2019" s="536"/>
      <c r="V2019" s="474"/>
      <c r="Y2019" s="89"/>
      <c r="Z2019" s="60"/>
      <c r="AA2019" s="60"/>
      <c r="AB2019" s="60"/>
      <c r="AC2019" s="30"/>
      <c r="AD2019" s="30"/>
      <c r="AE2019" s="475"/>
      <c r="AF2019" s="476"/>
      <c r="AG2019" s="474"/>
      <c r="AH2019" s="138"/>
    </row>
    <row r="2020">
      <c r="A2020" s="103"/>
      <c r="B2020" s="533"/>
      <c r="C2020" s="533"/>
      <c r="D2020" s="103"/>
      <c r="E2020" s="103"/>
      <c r="F2020" s="103"/>
      <c r="G2020" s="103"/>
      <c r="H2020" s="131"/>
      <c r="I2020" s="468"/>
      <c r="J2020" s="16"/>
      <c r="K2020" s="16"/>
      <c r="M2020" s="69"/>
      <c r="N2020" s="69"/>
      <c r="O2020" s="69"/>
      <c r="P2020" s="534"/>
      <c r="Q2020" s="274"/>
      <c r="R2020" s="472"/>
      <c r="S2020" s="535"/>
      <c r="T2020" s="535"/>
      <c r="U2020" s="536"/>
      <c r="V2020" s="474"/>
      <c r="Y2020" s="89"/>
      <c r="Z2020" s="60"/>
      <c r="AA2020" s="60"/>
      <c r="AB2020" s="60"/>
      <c r="AC2020" s="30"/>
      <c r="AD2020" s="30"/>
      <c r="AE2020" s="475"/>
      <c r="AF2020" s="476"/>
      <c r="AG2020" s="474"/>
      <c r="AH2020" s="138"/>
    </row>
    <row r="2021">
      <c r="A2021" s="103"/>
      <c r="B2021" s="533"/>
      <c r="C2021" s="533"/>
      <c r="D2021" s="103"/>
      <c r="E2021" s="103"/>
      <c r="F2021" s="103"/>
      <c r="G2021" s="103"/>
      <c r="H2021" s="131"/>
      <c r="I2021" s="468"/>
      <c r="J2021" s="16"/>
      <c r="K2021" s="16"/>
      <c r="M2021" s="69"/>
      <c r="N2021" s="69"/>
      <c r="O2021" s="69"/>
      <c r="P2021" s="534"/>
      <c r="Q2021" s="274"/>
      <c r="R2021" s="472"/>
      <c r="S2021" s="535"/>
      <c r="T2021" s="535"/>
      <c r="U2021" s="536"/>
      <c r="V2021" s="474"/>
      <c r="Y2021" s="89"/>
      <c r="Z2021" s="60"/>
      <c r="AA2021" s="60"/>
      <c r="AB2021" s="60"/>
      <c r="AC2021" s="30"/>
      <c r="AD2021" s="30"/>
      <c r="AE2021" s="475"/>
      <c r="AF2021" s="476"/>
      <c r="AG2021" s="474"/>
      <c r="AH2021" s="138"/>
    </row>
    <row r="2022">
      <c r="A2022" s="103"/>
      <c r="B2022" s="533"/>
      <c r="C2022" s="533"/>
      <c r="D2022" s="103"/>
      <c r="E2022" s="103"/>
      <c r="F2022" s="103"/>
      <c r="G2022" s="103"/>
      <c r="H2022" s="131"/>
      <c r="I2022" s="468"/>
      <c r="J2022" s="16"/>
      <c r="K2022" s="16"/>
      <c r="M2022" s="69"/>
      <c r="N2022" s="69"/>
      <c r="O2022" s="69"/>
      <c r="P2022" s="534"/>
      <c r="Q2022" s="274"/>
      <c r="R2022" s="472"/>
      <c r="S2022" s="535"/>
      <c r="T2022" s="535"/>
      <c r="U2022" s="536"/>
      <c r="V2022" s="474"/>
      <c r="Y2022" s="89"/>
      <c r="Z2022" s="60"/>
      <c r="AA2022" s="60"/>
      <c r="AB2022" s="60"/>
      <c r="AC2022" s="30"/>
      <c r="AD2022" s="30"/>
      <c r="AE2022" s="475"/>
      <c r="AF2022" s="476"/>
      <c r="AG2022" s="474"/>
      <c r="AH2022" s="138"/>
    </row>
    <row r="2023">
      <c r="A2023" s="103"/>
      <c r="B2023" s="533"/>
      <c r="C2023" s="533"/>
      <c r="D2023" s="103"/>
      <c r="E2023" s="103"/>
      <c r="F2023" s="103"/>
      <c r="G2023" s="103"/>
      <c r="H2023" s="131"/>
      <c r="I2023" s="468"/>
      <c r="J2023" s="16"/>
      <c r="K2023" s="16"/>
      <c r="M2023" s="69"/>
      <c r="N2023" s="69"/>
      <c r="O2023" s="69"/>
      <c r="P2023" s="534"/>
      <c r="Q2023" s="274"/>
      <c r="R2023" s="472"/>
      <c r="S2023" s="535"/>
      <c r="T2023" s="535"/>
      <c r="U2023" s="536"/>
      <c r="V2023" s="474"/>
      <c r="Y2023" s="89"/>
      <c r="Z2023" s="60"/>
      <c r="AA2023" s="60"/>
      <c r="AB2023" s="60"/>
      <c r="AC2023" s="30"/>
      <c r="AD2023" s="30"/>
      <c r="AE2023" s="475"/>
      <c r="AF2023" s="476"/>
      <c r="AG2023" s="474"/>
      <c r="AH2023" s="138"/>
    </row>
    <row r="2024">
      <c r="A2024" s="103"/>
      <c r="B2024" s="533"/>
      <c r="C2024" s="533"/>
      <c r="D2024" s="103"/>
      <c r="E2024" s="103"/>
      <c r="F2024" s="103"/>
      <c r="G2024" s="103"/>
      <c r="H2024" s="131"/>
      <c r="I2024" s="468"/>
      <c r="J2024" s="16"/>
      <c r="K2024" s="16"/>
      <c r="M2024" s="69"/>
      <c r="N2024" s="69"/>
      <c r="O2024" s="69"/>
      <c r="P2024" s="534"/>
      <c r="Q2024" s="274"/>
      <c r="R2024" s="472"/>
      <c r="S2024" s="535"/>
      <c r="T2024" s="535"/>
      <c r="U2024" s="536"/>
      <c r="V2024" s="474"/>
      <c r="Y2024" s="89"/>
      <c r="Z2024" s="60"/>
      <c r="AA2024" s="60"/>
      <c r="AB2024" s="60"/>
      <c r="AC2024" s="30"/>
      <c r="AD2024" s="30"/>
      <c r="AE2024" s="475"/>
      <c r="AF2024" s="476"/>
      <c r="AG2024" s="474"/>
      <c r="AH2024" s="138"/>
    </row>
    <row r="2025">
      <c r="A2025" s="103"/>
      <c r="B2025" s="533"/>
      <c r="C2025" s="533"/>
      <c r="D2025" s="103"/>
      <c r="E2025" s="103"/>
      <c r="F2025" s="103"/>
      <c r="G2025" s="103"/>
      <c r="H2025" s="131"/>
      <c r="I2025" s="468"/>
      <c r="J2025" s="16"/>
      <c r="K2025" s="16"/>
      <c r="M2025" s="69"/>
      <c r="N2025" s="69"/>
      <c r="O2025" s="69"/>
      <c r="P2025" s="534"/>
      <c r="Q2025" s="274"/>
      <c r="R2025" s="472"/>
      <c r="S2025" s="535"/>
      <c r="T2025" s="535"/>
      <c r="U2025" s="536"/>
      <c r="V2025" s="474"/>
      <c r="Y2025" s="89"/>
      <c r="Z2025" s="60"/>
      <c r="AA2025" s="60"/>
      <c r="AB2025" s="60"/>
      <c r="AC2025" s="30"/>
      <c r="AD2025" s="30"/>
      <c r="AE2025" s="475"/>
      <c r="AF2025" s="476"/>
      <c r="AG2025" s="474"/>
      <c r="AH2025" s="138"/>
    </row>
    <row r="2026">
      <c r="A2026" s="103"/>
      <c r="B2026" s="533"/>
      <c r="C2026" s="533"/>
      <c r="D2026" s="103"/>
      <c r="E2026" s="103"/>
      <c r="F2026" s="103"/>
      <c r="G2026" s="103"/>
      <c r="H2026" s="131"/>
      <c r="I2026" s="468"/>
      <c r="J2026" s="16"/>
      <c r="K2026" s="16"/>
      <c r="M2026" s="69"/>
      <c r="N2026" s="69"/>
      <c r="O2026" s="69"/>
      <c r="P2026" s="534"/>
      <c r="Q2026" s="274"/>
      <c r="R2026" s="472"/>
      <c r="S2026" s="535"/>
      <c r="T2026" s="535"/>
      <c r="U2026" s="536"/>
      <c r="V2026" s="474"/>
      <c r="Y2026" s="89"/>
      <c r="Z2026" s="60"/>
      <c r="AA2026" s="60"/>
      <c r="AB2026" s="60"/>
      <c r="AC2026" s="30"/>
      <c r="AD2026" s="30"/>
      <c r="AE2026" s="475"/>
      <c r="AF2026" s="476"/>
      <c r="AG2026" s="474"/>
      <c r="AH2026" s="138"/>
    </row>
    <row r="2027">
      <c r="A2027" s="103"/>
      <c r="B2027" s="533"/>
      <c r="C2027" s="533"/>
      <c r="D2027" s="103"/>
      <c r="E2027" s="103"/>
      <c r="F2027" s="103"/>
      <c r="G2027" s="103"/>
      <c r="H2027" s="131"/>
      <c r="I2027" s="468"/>
      <c r="J2027" s="16"/>
      <c r="K2027" s="16"/>
      <c r="M2027" s="69"/>
      <c r="N2027" s="69"/>
      <c r="O2027" s="69"/>
      <c r="P2027" s="534"/>
      <c r="Q2027" s="274"/>
      <c r="R2027" s="472"/>
      <c r="S2027" s="535"/>
      <c r="T2027" s="535"/>
      <c r="U2027" s="536"/>
      <c r="V2027" s="474"/>
      <c r="Y2027" s="89"/>
      <c r="Z2027" s="60"/>
      <c r="AA2027" s="60"/>
      <c r="AB2027" s="60"/>
      <c r="AC2027" s="30"/>
      <c r="AD2027" s="30"/>
      <c r="AE2027" s="475"/>
      <c r="AF2027" s="476"/>
      <c r="AG2027" s="474"/>
      <c r="AH2027" s="138"/>
    </row>
    <row r="2028">
      <c r="A2028" s="103"/>
      <c r="B2028" s="533"/>
      <c r="C2028" s="533"/>
      <c r="D2028" s="103"/>
      <c r="E2028" s="103"/>
      <c r="F2028" s="103"/>
      <c r="G2028" s="103"/>
      <c r="H2028" s="131"/>
      <c r="I2028" s="468"/>
      <c r="J2028" s="16"/>
      <c r="K2028" s="16"/>
      <c r="M2028" s="69"/>
      <c r="N2028" s="69"/>
      <c r="O2028" s="69"/>
      <c r="P2028" s="534"/>
      <c r="Q2028" s="274"/>
      <c r="R2028" s="472"/>
      <c r="S2028" s="535"/>
      <c r="T2028" s="535"/>
      <c r="U2028" s="536"/>
      <c r="V2028" s="474"/>
      <c r="Y2028" s="89"/>
      <c r="Z2028" s="60"/>
      <c r="AA2028" s="60"/>
      <c r="AB2028" s="60"/>
      <c r="AC2028" s="30"/>
      <c r="AD2028" s="30"/>
      <c r="AE2028" s="475"/>
      <c r="AF2028" s="476"/>
      <c r="AG2028" s="474"/>
      <c r="AH2028" s="138"/>
    </row>
    <row r="2029">
      <c r="A2029" s="103"/>
      <c r="B2029" s="533"/>
      <c r="C2029" s="533"/>
      <c r="D2029" s="103"/>
      <c r="E2029" s="103"/>
      <c r="F2029" s="103"/>
      <c r="G2029" s="103"/>
      <c r="H2029" s="131"/>
      <c r="I2029" s="468"/>
      <c r="J2029" s="16"/>
      <c r="K2029" s="16"/>
      <c r="M2029" s="69"/>
      <c r="N2029" s="69"/>
      <c r="O2029" s="69"/>
      <c r="P2029" s="534"/>
      <c r="Q2029" s="274"/>
      <c r="R2029" s="472"/>
      <c r="S2029" s="535"/>
      <c r="T2029" s="535"/>
      <c r="U2029" s="536"/>
      <c r="V2029" s="474"/>
      <c r="Y2029" s="89"/>
      <c r="Z2029" s="60"/>
      <c r="AA2029" s="60"/>
      <c r="AB2029" s="60"/>
      <c r="AC2029" s="30"/>
      <c r="AD2029" s="30"/>
      <c r="AE2029" s="475"/>
      <c r="AF2029" s="476"/>
      <c r="AG2029" s="474"/>
      <c r="AH2029" s="138"/>
    </row>
    <row r="2030">
      <c r="A2030" s="103"/>
      <c r="B2030" s="533"/>
      <c r="C2030" s="533"/>
      <c r="D2030" s="103"/>
      <c r="E2030" s="103"/>
      <c r="F2030" s="103"/>
      <c r="G2030" s="103"/>
      <c r="H2030" s="131"/>
      <c r="I2030" s="468"/>
      <c r="J2030" s="16"/>
      <c r="K2030" s="16"/>
      <c r="M2030" s="69"/>
      <c r="N2030" s="69"/>
      <c r="O2030" s="69"/>
      <c r="P2030" s="534"/>
      <c r="Q2030" s="274"/>
      <c r="R2030" s="472"/>
      <c r="S2030" s="535"/>
      <c r="T2030" s="535"/>
      <c r="U2030" s="536"/>
      <c r="V2030" s="474"/>
      <c r="Y2030" s="89"/>
      <c r="Z2030" s="60"/>
      <c r="AA2030" s="60"/>
      <c r="AB2030" s="60"/>
      <c r="AC2030" s="30"/>
      <c r="AD2030" s="30"/>
      <c r="AE2030" s="475"/>
      <c r="AF2030" s="476"/>
      <c r="AG2030" s="474"/>
      <c r="AH2030" s="138"/>
    </row>
    <row r="2031">
      <c r="A2031" s="103"/>
      <c r="B2031" s="533"/>
      <c r="C2031" s="533"/>
      <c r="D2031" s="103"/>
      <c r="E2031" s="103"/>
      <c r="F2031" s="103"/>
      <c r="G2031" s="103"/>
      <c r="H2031" s="131"/>
      <c r="I2031" s="468"/>
      <c r="J2031" s="16"/>
      <c r="K2031" s="16"/>
      <c r="M2031" s="69"/>
      <c r="N2031" s="69"/>
      <c r="O2031" s="69"/>
      <c r="P2031" s="534"/>
      <c r="Q2031" s="274"/>
      <c r="R2031" s="472"/>
      <c r="S2031" s="535"/>
      <c r="T2031" s="535"/>
      <c r="U2031" s="536"/>
      <c r="V2031" s="474"/>
      <c r="Y2031" s="89"/>
      <c r="Z2031" s="60"/>
      <c r="AA2031" s="60"/>
      <c r="AB2031" s="60"/>
      <c r="AC2031" s="30"/>
      <c r="AD2031" s="30"/>
      <c r="AE2031" s="475"/>
      <c r="AF2031" s="476"/>
      <c r="AG2031" s="474"/>
      <c r="AH2031" s="138"/>
    </row>
    <row r="2032">
      <c r="A2032" s="103"/>
      <c r="B2032" s="533"/>
      <c r="C2032" s="533"/>
      <c r="D2032" s="103"/>
      <c r="E2032" s="103"/>
      <c r="F2032" s="103"/>
      <c r="G2032" s="103"/>
      <c r="H2032" s="131"/>
      <c r="I2032" s="468"/>
      <c r="J2032" s="16"/>
      <c r="K2032" s="16"/>
      <c r="M2032" s="69"/>
      <c r="N2032" s="69"/>
      <c r="O2032" s="69"/>
      <c r="P2032" s="534"/>
      <c r="Q2032" s="274"/>
      <c r="R2032" s="472"/>
      <c r="S2032" s="535"/>
      <c r="T2032" s="535"/>
      <c r="U2032" s="536"/>
      <c r="V2032" s="474"/>
      <c r="Y2032" s="89"/>
      <c r="Z2032" s="60"/>
      <c r="AA2032" s="60"/>
      <c r="AB2032" s="60"/>
      <c r="AC2032" s="30"/>
      <c r="AD2032" s="30"/>
      <c r="AE2032" s="475"/>
      <c r="AF2032" s="476"/>
      <c r="AG2032" s="474"/>
      <c r="AH2032" s="138"/>
    </row>
    <row r="2033">
      <c r="A2033" s="103"/>
      <c r="B2033" s="533"/>
      <c r="C2033" s="533"/>
      <c r="D2033" s="103"/>
      <c r="E2033" s="103"/>
      <c r="F2033" s="103"/>
      <c r="G2033" s="103"/>
      <c r="H2033" s="131"/>
      <c r="I2033" s="468"/>
      <c r="J2033" s="16"/>
      <c r="K2033" s="16"/>
      <c r="M2033" s="69"/>
      <c r="N2033" s="69"/>
      <c r="O2033" s="69"/>
      <c r="P2033" s="534"/>
      <c r="Q2033" s="274"/>
      <c r="R2033" s="472"/>
      <c r="S2033" s="535"/>
      <c r="T2033" s="535"/>
      <c r="U2033" s="536"/>
      <c r="V2033" s="474"/>
      <c r="Y2033" s="89"/>
      <c r="Z2033" s="60"/>
      <c r="AA2033" s="60"/>
      <c r="AB2033" s="60"/>
      <c r="AC2033" s="30"/>
      <c r="AD2033" s="30"/>
      <c r="AE2033" s="475"/>
      <c r="AF2033" s="476"/>
      <c r="AG2033" s="474"/>
      <c r="AH2033" s="138"/>
    </row>
    <row r="2034">
      <c r="A2034" s="103"/>
      <c r="B2034" s="533"/>
      <c r="C2034" s="533"/>
      <c r="D2034" s="103"/>
      <c r="E2034" s="103"/>
      <c r="F2034" s="103"/>
      <c r="G2034" s="103"/>
      <c r="H2034" s="131"/>
      <c r="I2034" s="468"/>
      <c r="J2034" s="16"/>
      <c r="K2034" s="16"/>
      <c r="M2034" s="69"/>
      <c r="N2034" s="69"/>
      <c r="O2034" s="69"/>
      <c r="P2034" s="534"/>
      <c r="Q2034" s="274"/>
      <c r="R2034" s="472"/>
      <c r="S2034" s="535"/>
      <c r="T2034" s="535"/>
      <c r="U2034" s="536"/>
      <c r="V2034" s="474"/>
      <c r="Y2034" s="89"/>
      <c r="Z2034" s="60"/>
      <c r="AA2034" s="60"/>
      <c r="AB2034" s="60"/>
      <c r="AC2034" s="30"/>
      <c r="AD2034" s="30"/>
      <c r="AE2034" s="475"/>
      <c r="AF2034" s="476"/>
      <c r="AG2034" s="474"/>
      <c r="AH2034" s="138"/>
    </row>
    <row r="2035">
      <c r="A2035" s="103"/>
      <c r="B2035" s="533"/>
      <c r="C2035" s="533"/>
      <c r="D2035" s="103"/>
      <c r="E2035" s="103"/>
      <c r="F2035" s="103"/>
      <c r="G2035" s="103"/>
      <c r="H2035" s="131"/>
      <c r="I2035" s="468"/>
      <c r="J2035" s="16"/>
      <c r="K2035" s="16"/>
      <c r="M2035" s="69"/>
      <c r="N2035" s="69"/>
      <c r="O2035" s="69"/>
      <c r="P2035" s="534"/>
      <c r="Q2035" s="274"/>
      <c r="R2035" s="472"/>
      <c r="S2035" s="535"/>
      <c r="T2035" s="535"/>
      <c r="U2035" s="536"/>
      <c r="V2035" s="474"/>
      <c r="Y2035" s="89"/>
      <c r="Z2035" s="60"/>
      <c r="AA2035" s="60"/>
      <c r="AB2035" s="60"/>
      <c r="AC2035" s="30"/>
      <c r="AD2035" s="30"/>
      <c r="AE2035" s="475"/>
      <c r="AF2035" s="476"/>
      <c r="AG2035" s="474"/>
      <c r="AH2035" s="138"/>
    </row>
    <row r="2036">
      <c r="A2036" s="103"/>
      <c r="B2036" s="533"/>
      <c r="C2036" s="533"/>
      <c r="D2036" s="103"/>
      <c r="E2036" s="103"/>
      <c r="F2036" s="103"/>
      <c r="G2036" s="103"/>
      <c r="H2036" s="131"/>
      <c r="I2036" s="468"/>
      <c r="J2036" s="16"/>
      <c r="K2036" s="16"/>
      <c r="M2036" s="69"/>
      <c r="N2036" s="69"/>
      <c r="O2036" s="69"/>
      <c r="P2036" s="534"/>
      <c r="Q2036" s="274"/>
      <c r="R2036" s="472"/>
      <c r="S2036" s="535"/>
      <c r="T2036" s="535"/>
      <c r="U2036" s="536"/>
      <c r="V2036" s="474"/>
      <c r="Y2036" s="89"/>
      <c r="Z2036" s="60"/>
      <c r="AA2036" s="60"/>
      <c r="AB2036" s="60"/>
      <c r="AC2036" s="30"/>
      <c r="AD2036" s="30"/>
      <c r="AE2036" s="475"/>
      <c r="AF2036" s="476"/>
      <c r="AG2036" s="474"/>
      <c r="AH2036" s="138"/>
    </row>
    <row r="2037">
      <c r="A2037" s="103"/>
      <c r="B2037" s="533"/>
      <c r="C2037" s="533"/>
      <c r="D2037" s="103"/>
      <c r="E2037" s="103"/>
      <c r="F2037" s="103"/>
      <c r="G2037" s="103"/>
      <c r="H2037" s="131"/>
      <c r="I2037" s="468"/>
      <c r="J2037" s="16"/>
      <c r="K2037" s="16"/>
      <c r="M2037" s="69"/>
      <c r="N2037" s="69"/>
      <c r="O2037" s="69"/>
      <c r="P2037" s="534"/>
      <c r="Q2037" s="274"/>
      <c r="R2037" s="472"/>
      <c r="S2037" s="535"/>
      <c r="T2037" s="535"/>
      <c r="U2037" s="536"/>
      <c r="V2037" s="474"/>
      <c r="Y2037" s="89"/>
      <c r="Z2037" s="60"/>
      <c r="AA2037" s="60"/>
      <c r="AB2037" s="60"/>
      <c r="AC2037" s="30"/>
      <c r="AD2037" s="30"/>
      <c r="AE2037" s="475"/>
      <c r="AF2037" s="476"/>
      <c r="AG2037" s="474"/>
      <c r="AH2037" s="138"/>
    </row>
    <row r="2038">
      <c r="A2038" s="103"/>
      <c r="B2038" s="533"/>
      <c r="C2038" s="533"/>
      <c r="D2038" s="103"/>
      <c r="E2038" s="103"/>
      <c r="F2038" s="103"/>
      <c r="G2038" s="103"/>
      <c r="H2038" s="131"/>
      <c r="I2038" s="468"/>
      <c r="J2038" s="16"/>
      <c r="K2038" s="16"/>
      <c r="M2038" s="69"/>
      <c r="N2038" s="69"/>
      <c r="O2038" s="69"/>
      <c r="P2038" s="534"/>
      <c r="Q2038" s="274"/>
      <c r="R2038" s="472"/>
      <c r="S2038" s="535"/>
      <c r="T2038" s="535"/>
      <c r="U2038" s="536"/>
      <c r="V2038" s="474"/>
      <c r="Y2038" s="89"/>
      <c r="Z2038" s="60"/>
      <c r="AA2038" s="60"/>
      <c r="AB2038" s="60"/>
      <c r="AC2038" s="30"/>
      <c r="AD2038" s="30"/>
      <c r="AE2038" s="475"/>
      <c r="AF2038" s="476"/>
      <c r="AG2038" s="474"/>
      <c r="AH2038" s="138"/>
    </row>
    <row r="2039">
      <c r="A2039" s="103"/>
      <c r="B2039" s="533"/>
      <c r="C2039" s="533"/>
      <c r="D2039" s="103"/>
      <c r="E2039" s="103"/>
      <c r="F2039" s="103"/>
      <c r="G2039" s="103"/>
      <c r="H2039" s="131"/>
      <c r="I2039" s="468"/>
      <c r="J2039" s="16"/>
      <c r="K2039" s="16"/>
      <c r="M2039" s="69"/>
      <c r="N2039" s="69"/>
      <c r="O2039" s="69"/>
      <c r="P2039" s="534"/>
      <c r="Q2039" s="274"/>
      <c r="R2039" s="472"/>
      <c r="S2039" s="535"/>
      <c r="T2039" s="535"/>
      <c r="U2039" s="536"/>
      <c r="V2039" s="474"/>
      <c r="Y2039" s="89"/>
      <c r="Z2039" s="60"/>
      <c r="AA2039" s="60"/>
      <c r="AB2039" s="60"/>
      <c r="AC2039" s="30"/>
      <c r="AD2039" s="30"/>
      <c r="AE2039" s="475"/>
      <c r="AF2039" s="476"/>
      <c r="AG2039" s="474"/>
      <c r="AH2039" s="138"/>
    </row>
    <row r="2040">
      <c r="A2040" s="103"/>
      <c r="B2040" s="533"/>
      <c r="C2040" s="533"/>
      <c r="D2040" s="103"/>
      <c r="E2040" s="103"/>
      <c r="F2040" s="103"/>
      <c r="G2040" s="103"/>
      <c r="H2040" s="131"/>
      <c r="I2040" s="468"/>
      <c r="J2040" s="16"/>
      <c r="K2040" s="16"/>
      <c r="M2040" s="69"/>
      <c r="N2040" s="69"/>
      <c r="O2040" s="69"/>
      <c r="P2040" s="534"/>
      <c r="Q2040" s="274"/>
      <c r="R2040" s="472"/>
      <c r="S2040" s="535"/>
      <c r="T2040" s="535"/>
      <c r="U2040" s="536"/>
      <c r="V2040" s="474"/>
      <c r="Y2040" s="89"/>
      <c r="Z2040" s="60"/>
      <c r="AA2040" s="60"/>
      <c r="AB2040" s="60"/>
      <c r="AC2040" s="30"/>
      <c r="AD2040" s="30"/>
      <c r="AE2040" s="475"/>
      <c r="AF2040" s="476"/>
      <c r="AG2040" s="474"/>
      <c r="AH2040" s="138"/>
    </row>
    <row r="2041">
      <c r="A2041" s="103"/>
      <c r="B2041" s="533"/>
      <c r="C2041" s="533"/>
      <c r="D2041" s="103"/>
      <c r="E2041" s="103"/>
      <c r="F2041" s="103"/>
      <c r="G2041" s="103"/>
      <c r="H2041" s="131"/>
      <c r="I2041" s="468"/>
      <c r="J2041" s="16"/>
      <c r="K2041" s="16"/>
      <c r="M2041" s="69"/>
      <c r="N2041" s="69"/>
      <c r="O2041" s="69"/>
      <c r="P2041" s="534"/>
      <c r="Q2041" s="274"/>
      <c r="R2041" s="472"/>
      <c r="S2041" s="535"/>
      <c r="T2041" s="535"/>
      <c r="U2041" s="536"/>
      <c r="V2041" s="474"/>
      <c r="Y2041" s="89"/>
      <c r="Z2041" s="60"/>
      <c r="AA2041" s="60"/>
      <c r="AB2041" s="60"/>
      <c r="AC2041" s="30"/>
      <c r="AD2041" s="30"/>
      <c r="AE2041" s="475"/>
      <c r="AF2041" s="476"/>
      <c r="AG2041" s="474"/>
      <c r="AH2041" s="138"/>
    </row>
    <row r="2042">
      <c r="A2042" s="103"/>
      <c r="B2042" s="533"/>
      <c r="C2042" s="533"/>
      <c r="D2042" s="103"/>
      <c r="E2042" s="103"/>
      <c r="F2042" s="103"/>
      <c r="G2042" s="103"/>
      <c r="H2042" s="131"/>
      <c r="I2042" s="468"/>
      <c r="J2042" s="16"/>
      <c r="K2042" s="16"/>
      <c r="M2042" s="69"/>
      <c r="N2042" s="69"/>
      <c r="O2042" s="69"/>
      <c r="P2042" s="534"/>
      <c r="Q2042" s="274"/>
      <c r="R2042" s="472"/>
      <c r="S2042" s="535"/>
      <c r="T2042" s="535"/>
      <c r="U2042" s="536"/>
      <c r="V2042" s="474"/>
      <c r="Y2042" s="89"/>
      <c r="Z2042" s="60"/>
      <c r="AA2042" s="60"/>
      <c r="AB2042" s="60"/>
      <c r="AC2042" s="30"/>
      <c r="AD2042" s="30"/>
      <c r="AE2042" s="475"/>
      <c r="AF2042" s="476"/>
      <c r="AG2042" s="474"/>
      <c r="AH2042" s="138"/>
    </row>
    <row r="2043">
      <c r="A2043" s="103"/>
      <c r="B2043" s="533"/>
      <c r="C2043" s="533"/>
      <c r="D2043" s="103"/>
      <c r="E2043" s="103"/>
      <c r="F2043" s="103"/>
      <c r="G2043" s="103"/>
      <c r="H2043" s="131"/>
      <c r="I2043" s="468"/>
      <c r="J2043" s="16"/>
      <c r="K2043" s="16"/>
      <c r="M2043" s="69"/>
      <c r="N2043" s="69"/>
      <c r="O2043" s="69"/>
      <c r="P2043" s="534"/>
      <c r="Q2043" s="274"/>
      <c r="R2043" s="472"/>
      <c r="S2043" s="535"/>
      <c r="T2043" s="535"/>
      <c r="U2043" s="536"/>
      <c r="V2043" s="474"/>
      <c r="Y2043" s="89"/>
      <c r="Z2043" s="60"/>
      <c r="AA2043" s="60"/>
      <c r="AB2043" s="60"/>
      <c r="AC2043" s="30"/>
      <c r="AD2043" s="30"/>
      <c r="AE2043" s="475"/>
      <c r="AF2043" s="476"/>
      <c r="AG2043" s="474"/>
      <c r="AH2043" s="138"/>
    </row>
    <row r="2044">
      <c r="A2044" s="103"/>
      <c r="B2044" s="533"/>
      <c r="C2044" s="533"/>
      <c r="D2044" s="103"/>
      <c r="E2044" s="103"/>
      <c r="F2044" s="103"/>
      <c r="G2044" s="103"/>
      <c r="H2044" s="131"/>
      <c r="I2044" s="468"/>
      <c r="J2044" s="16"/>
      <c r="K2044" s="16"/>
      <c r="M2044" s="69"/>
      <c r="N2044" s="69"/>
      <c r="O2044" s="69"/>
      <c r="P2044" s="534"/>
      <c r="Q2044" s="274"/>
      <c r="R2044" s="472"/>
      <c r="S2044" s="535"/>
      <c r="T2044" s="535"/>
      <c r="U2044" s="536"/>
      <c r="V2044" s="474"/>
      <c r="Y2044" s="89"/>
      <c r="Z2044" s="60"/>
      <c r="AA2044" s="60"/>
      <c r="AB2044" s="60"/>
      <c r="AC2044" s="30"/>
      <c r="AD2044" s="30"/>
      <c r="AE2044" s="475"/>
      <c r="AF2044" s="476"/>
      <c r="AG2044" s="474"/>
      <c r="AH2044" s="138"/>
    </row>
    <row r="2045">
      <c r="A2045" s="103"/>
      <c r="B2045" s="533"/>
      <c r="C2045" s="533"/>
      <c r="D2045" s="103"/>
      <c r="E2045" s="103"/>
      <c r="F2045" s="103"/>
      <c r="G2045" s="103"/>
      <c r="H2045" s="131"/>
      <c r="I2045" s="468"/>
      <c r="J2045" s="16"/>
      <c r="K2045" s="16"/>
      <c r="M2045" s="69"/>
      <c r="N2045" s="69"/>
      <c r="O2045" s="69"/>
      <c r="P2045" s="534"/>
      <c r="Q2045" s="274"/>
      <c r="R2045" s="472"/>
      <c r="S2045" s="535"/>
      <c r="T2045" s="535"/>
      <c r="U2045" s="536"/>
      <c r="V2045" s="474"/>
      <c r="Y2045" s="89"/>
      <c r="Z2045" s="60"/>
      <c r="AA2045" s="60"/>
      <c r="AB2045" s="60"/>
      <c r="AC2045" s="30"/>
      <c r="AD2045" s="30"/>
      <c r="AE2045" s="475"/>
      <c r="AF2045" s="476"/>
      <c r="AG2045" s="474"/>
      <c r="AH2045" s="138"/>
    </row>
    <row r="2046">
      <c r="A2046" s="103"/>
      <c r="B2046" s="533"/>
      <c r="C2046" s="533"/>
      <c r="D2046" s="103"/>
      <c r="E2046" s="103"/>
      <c r="F2046" s="103"/>
      <c r="G2046" s="103"/>
      <c r="H2046" s="131"/>
      <c r="I2046" s="468"/>
      <c r="J2046" s="16"/>
      <c r="K2046" s="16"/>
      <c r="M2046" s="69"/>
      <c r="N2046" s="69"/>
      <c r="O2046" s="69"/>
      <c r="P2046" s="534"/>
      <c r="Q2046" s="274"/>
      <c r="R2046" s="472"/>
      <c r="S2046" s="535"/>
      <c r="T2046" s="535"/>
      <c r="U2046" s="536"/>
      <c r="V2046" s="474"/>
      <c r="Y2046" s="89"/>
      <c r="Z2046" s="60"/>
      <c r="AA2046" s="60"/>
      <c r="AB2046" s="60"/>
      <c r="AC2046" s="30"/>
      <c r="AD2046" s="30"/>
      <c r="AE2046" s="475"/>
      <c r="AF2046" s="476"/>
      <c r="AG2046" s="474"/>
      <c r="AH2046" s="138"/>
    </row>
    <row r="2047">
      <c r="A2047" s="103"/>
      <c r="B2047" s="533"/>
      <c r="C2047" s="533"/>
      <c r="D2047" s="103"/>
      <c r="E2047" s="103"/>
      <c r="F2047" s="103"/>
      <c r="G2047" s="103"/>
      <c r="H2047" s="131"/>
      <c r="I2047" s="468"/>
      <c r="J2047" s="16"/>
      <c r="K2047" s="16"/>
      <c r="M2047" s="69"/>
      <c r="N2047" s="69"/>
      <c r="O2047" s="69"/>
      <c r="P2047" s="534"/>
      <c r="Q2047" s="274"/>
      <c r="R2047" s="472"/>
      <c r="S2047" s="535"/>
      <c r="T2047" s="535"/>
      <c r="U2047" s="536"/>
      <c r="V2047" s="474"/>
      <c r="Y2047" s="89"/>
      <c r="Z2047" s="60"/>
      <c r="AA2047" s="60"/>
      <c r="AB2047" s="60"/>
      <c r="AC2047" s="30"/>
      <c r="AD2047" s="30"/>
      <c r="AE2047" s="475"/>
      <c r="AF2047" s="476"/>
      <c r="AG2047" s="474"/>
      <c r="AH2047" s="138"/>
    </row>
    <row r="2048">
      <c r="A2048" s="103"/>
      <c r="B2048" s="533"/>
      <c r="C2048" s="533"/>
      <c r="D2048" s="103"/>
      <c r="E2048" s="103"/>
      <c r="F2048" s="103"/>
      <c r="G2048" s="103"/>
      <c r="H2048" s="131"/>
      <c r="I2048" s="468"/>
      <c r="J2048" s="16"/>
      <c r="K2048" s="16"/>
      <c r="M2048" s="69"/>
      <c r="N2048" s="69"/>
      <c r="O2048" s="69"/>
      <c r="P2048" s="534"/>
      <c r="Q2048" s="274"/>
      <c r="R2048" s="472"/>
      <c r="S2048" s="535"/>
      <c r="T2048" s="535"/>
      <c r="U2048" s="536"/>
      <c r="V2048" s="474"/>
      <c r="Y2048" s="89"/>
      <c r="Z2048" s="60"/>
      <c r="AA2048" s="60"/>
      <c r="AB2048" s="60"/>
      <c r="AC2048" s="30"/>
      <c r="AD2048" s="30"/>
      <c r="AE2048" s="475"/>
      <c r="AF2048" s="476"/>
      <c r="AG2048" s="474"/>
      <c r="AH2048" s="138"/>
    </row>
    <row r="2049">
      <c r="A2049" s="103"/>
      <c r="B2049" s="533"/>
      <c r="C2049" s="533"/>
      <c r="D2049" s="103"/>
      <c r="E2049" s="103"/>
      <c r="F2049" s="103"/>
      <c r="G2049" s="103"/>
      <c r="H2049" s="131"/>
      <c r="I2049" s="468"/>
      <c r="J2049" s="16"/>
      <c r="K2049" s="16"/>
      <c r="M2049" s="69"/>
      <c r="N2049" s="69"/>
      <c r="O2049" s="69"/>
      <c r="P2049" s="534"/>
      <c r="Q2049" s="274"/>
      <c r="R2049" s="472"/>
      <c r="S2049" s="535"/>
      <c r="T2049" s="535"/>
      <c r="U2049" s="536"/>
      <c r="V2049" s="474"/>
      <c r="Y2049" s="89"/>
      <c r="Z2049" s="60"/>
      <c r="AA2049" s="60"/>
      <c r="AB2049" s="60"/>
      <c r="AC2049" s="30"/>
      <c r="AD2049" s="30"/>
      <c r="AE2049" s="475"/>
      <c r="AF2049" s="476"/>
      <c r="AG2049" s="474"/>
      <c r="AH2049" s="138"/>
    </row>
    <row r="2050">
      <c r="A2050" s="103"/>
      <c r="B2050" s="533"/>
      <c r="C2050" s="533"/>
      <c r="D2050" s="103"/>
      <c r="E2050" s="103"/>
      <c r="F2050" s="103"/>
      <c r="G2050" s="103"/>
      <c r="H2050" s="131"/>
      <c r="I2050" s="468"/>
      <c r="J2050" s="16"/>
      <c r="K2050" s="16"/>
      <c r="M2050" s="69"/>
      <c r="N2050" s="69"/>
      <c r="O2050" s="69"/>
      <c r="P2050" s="534"/>
      <c r="Q2050" s="274"/>
      <c r="R2050" s="472"/>
      <c r="S2050" s="535"/>
      <c r="T2050" s="535"/>
      <c r="U2050" s="536"/>
      <c r="V2050" s="474"/>
      <c r="Y2050" s="89"/>
      <c r="Z2050" s="60"/>
      <c r="AA2050" s="60"/>
      <c r="AB2050" s="60"/>
      <c r="AC2050" s="30"/>
      <c r="AD2050" s="30"/>
      <c r="AE2050" s="475"/>
      <c r="AF2050" s="476"/>
      <c r="AG2050" s="474"/>
      <c r="AH2050" s="138"/>
    </row>
    <row r="2051">
      <c r="A2051" s="103"/>
      <c r="B2051" s="533"/>
      <c r="C2051" s="533"/>
      <c r="D2051" s="103"/>
      <c r="E2051" s="103"/>
      <c r="F2051" s="103"/>
      <c r="G2051" s="103"/>
      <c r="H2051" s="131"/>
      <c r="I2051" s="468"/>
      <c r="J2051" s="16"/>
      <c r="K2051" s="16"/>
      <c r="M2051" s="69"/>
      <c r="N2051" s="69"/>
      <c r="O2051" s="69"/>
      <c r="P2051" s="534"/>
      <c r="Q2051" s="274"/>
      <c r="R2051" s="472"/>
      <c r="S2051" s="535"/>
      <c r="T2051" s="535"/>
      <c r="U2051" s="536"/>
      <c r="V2051" s="474"/>
      <c r="Y2051" s="89"/>
      <c r="Z2051" s="60"/>
      <c r="AA2051" s="60"/>
      <c r="AB2051" s="60"/>
      <c r="AC2051" s="30"/>
      <c r="AD2051" s="30"/>
      <c r="AE2051" s="475"/>
      <c r="AF2051" s="476"/>
      <c r="AG2051" s="474"/>
      <c r="AH2051" s="138"/>
    </row>
    <row r="2052">
      <c r="A2052" s="103"/>
      <c r="B2052" s="533"/>
      <c r="C2052" s="533"/>
      <c r="D2052" s="103"/>
      <c r="E2052" s="103"/>
      <c r="F2052" s="103"/>
      <c r="G2052" s="103"/>
      <c r="H2052" s="131"/>
      <c r="I2052" s="468"/>
      <c r="J2052" s="16"/>
      <c r="K2052" s="16"/>
      <c r="M2052" s="69"/>
      <c r="N2052" s="69"/>
      <c r="O2052" s="69"/>
      <c r="P2052" s="534"/>
      <c r="Q2052" s="274"/>
      <c r="R2052" s="472"/>
      <c r="S2052" s="535"/>
      <c r="T2052" s="535"/>
      <c r="U2052" s="536"/>
      <c r="V2052" s="474"/>
      <c r="Y2052" s="89"/>
      <c r="Z2052" s="60"/>
      <c r="AA2052" s="60"/>
      <c r="AB2052" s="60"/>
      <c r="AC2052" s="30"/>
      <c r="AD2052" s="30"/>
      <c r="AE2052" s="475"/>
      <c r="AF2052" s="476"/>
      <c r="AG2052" s="474"/>
      <c r="AH2052" s="138"/>
    </row>
    <row r="2053">
      <c r="A2053" s="103"/>
      <c r="B2053" s="533"/>
      <c r="C2053" s="533"/>
      <c r="D2053" s="103"/>
      <c r="E2053" s="103"/>
      <c r="F2053" s="103"/>
      <c r="G2053" s="103"/>
      <c r="H2053" s="131"/>
      <c r="I2053" s="468"/>
      <c r="J2053" s="16"/>
      <c r="K2053" s="16"/>
      <c r="M2053" s="69"/>
      <c r="N2053" s="69"/>
      <c r="O2053" s="69"/>
      <c r="P2053" s="534"/>
      <c r="Q2053" s="274"/>
      <c r="R2053" s="472"/>
      <c r="S2053" s="535"/>
      <c r="T2053" s="535"/>
      <c r="U2053" s="536"/>
      <c r="V2053" s="474"/>
      <c r="Y2053" s="89"/>
      <c r="Z2053" s="60"/>
      <c r="AA2053" s="60"/>
      <c r="AB2053" s="60"/>
      <c r="AC2053" s="30"/>
      <c r="AD2053" s="30"/>
      <c r="AE2053" s="475"/>
      <c r="AF2053" s="476"/>
      <c r="AG2053" s="474"/>
      <c r="AH2053" s="138"/>
    </row>
    <row r="2054">
      <c r="A2054" s="103"/>
      <c r="B2054" s="533"/>
      <c r="C2054" s="533"/>
      <c r="D2054" s="103"/>
      <c r="E2054" s="103"/>
      <c r="F2054" s="103"/>
      <c r="G2054" s="103"/>
      <c r="H2054" s="131"/>
      <c r="I2054" s="468"/>
      <c r="J2054" s="16"/>
      <c r="K2054" s="16"/>
      <c r="M2054" s="69"/>
      <c r="N2054" s="69"/>
      <c r="O2054" s="69"/>
      <c r="P2054" s="534"/>
      <c r="Q2054" s="274"/>
      <c r="R2054" s="472"/>
      <c r="S2054" s="535"/>
      <c r="T2054" s="535"/>
      <c r="U2054" s="536"/>
      <c r="V2054" s="474"/>
      <c r="Y2054" s="89"/>
      <c r="Z2054" s="60"/>
      <c r="AA2054" s="60"/>
      <c r="AB2054" s="60"/>
      <c r="AC2054" s="30"/>
      <c r="AD2054" s="30"/>
      <c r="AE2054" s="475"/>
      <c r="AF2054" s="476"/>
      <c r="AG2054" s="474"/>
      <c r="AH2054" s="138"/>
    </row>
    <row r="2055">
      <c r="A2055" s="103"/>
      <c r="B2055" s="533"/>
      <c r="C2055" s="533"/>
      <c r="D2055" s="103"/>
      <c r="E2055" s="103"/>
      <c r="F2055" s="103"/>
      <c r="G2055" s="103"/>
      <c r="H2055" s="131"/>
      <c r="I2055" s="468"/>
      <c r="J2055" s="16"/>
      <c r="K2055" s="16"/>
      <c r="M2055" s="69"/>
      <c r="N2055" s="69"/>
      <c r="O2055" s="69"/>
      <c r="P2055" s="534"/>
      <c r="Q2055" s="274"/>
      <c r="R2055" s="472"/>
      <c r="S2055" s="535"/>
      <c r="T2055" s="535"/>
      <c r="U2055" s="536"/>
      <c r="V2055" s="474"/>
      <c r="Y2055" s="89"/>
      <c r="Z2055" s="60"/>
      <c r="AA2055" s="60"/>
      <c r="AB2055" s="60"/>
      <c r="AC2055" s="30"/>
      <c r="AD2055" s="30"/>
      <c r="AE2055" s="475"/>
      <c r="AF2055" s="476"/>
      <c r="AG2055" s="474"/>
      <c r="AH2055" s="138"/>
    </row>
    <row r="2056">
      <c r="A2056" s="103"/>
      <c r="B2056" s="533"/>
      <c r="C2056" s="533"/>
      <c r="D2056" s="103"/>
      <c r="E2056" s="103"/>
      <c r="F2056" s="103"/>
      <c r="G2056" s="103"/>
      <c r="H2056" s="131"/>
      <c r="I2056" s="468"/>
      <c r="J2056" s="16"/>
      <c r="K2056" s="16"/>
      <c r="M2056" s="69"/>
      <c r="N2056" s="69"/>
      <c r="O2056" s="69"/>
      <c r="P2056" s="534"/>
      <c r="Q2056" s="274"/>
      <c r="R2056" s="472"/>
      <c r="S2056" s="535"/>
      <c r="T2056" s="535"/>
      <c r="U2056" s="536"/>
      <c r="V2056" s="474"/>
      <c r="Y2056" s="89"/>
      <c r="Z2056" s="60"/>
      <c r="AA2056" s="60"/>
      <c r="AB2056" s="60"/>
      <c r="AC2056" s="30"/>
      <c r="AD2056" s="30"/>
      <c r="AE2056" s="475"/>
      <c r="AF2056" s="476"/>
      <c r="AG2056" s="474"/>
      <c r="AH2056" s="138"/>
    </row>
    <row r="2057">
      <c r="A2057" s="103"/>
      <c r="B2057" s="533"/>
      <c r="C2057" s="533"/>
      <c r="D2057" s="103"/>
      <c r="E2057" s="103"/>
      <c r="F2057" s="103"/>
      <c r="G2057" s="103"/>
      <c r="H2057" s="131"/>
      <c r="I2057" s="468"/>
      <c r="J2057" s="16"/>
      <c r="K2057" s="16"/>
      <c r="M2057" s="69"/>
      <c r="N2057" s="69"/>
      <c r="O2057" s="69"/>
      <c r="P2057" s="534"/>
      <c r="Q2057" s="274"/>
      <c r="R2057" s="472"/>
      <c r="S2057" s="535"/>
      <c r="T2057" s="535"/>
      <c r="U2057" s="536"/>
      <c r="V2057" s="474"/>
      <c r="Y2057" s="89"/>
      <c r="Z2057" s="60"/>
      <c r="AA2057" s="60"/>
      <c r="AB2057" s="60"/>
      <c r="AC2057" s="30"/>
      <c r="AD2057" s="30"/>
      <c r="AE2057" s="475"/>
      <c r="AF2057" s="476"/>
      <c r="AG2057" s="474"/>
      <c r="AH2057" s="138"/>
    </row>
    <row r="2058">
      <c r="A2058" s="103"/>
      <c r="B2058" s="533"/>
      <c r="C2058" s="533"/>
      <c r="D2058" s="103"/>
      <c r="E2058" s="103"/>
      <c r="F2058" s="103"/>
      <c r="G2058" s="103"/>
      <c r="H2058" s="131"/>
      <c r="I2058" s="468"/>
      <c r="J2058" s="16"/>
      <c r="K2058" s="16"/>
      <c r="M2058" s="69"/>
      <c r="N2058" s="69"/>
      <c r="O2058" s="69"/>
      <c r="P2058" s="534"/>
      <c r="Q2058" s="274"/>
      <c r="R2058" s="472"/>
      <c r="S2058" s="535"/>
      <c r="T2058" s="535"/>
      <c r="U2058" s="536"/>
      <c r="V2058" s="474"/>
      <c r="Y2058" s="89"/>
      <c r="Z2058" s="60"/>
      <c r="AA2058" s="60"/>
      <c r="AB2058" s="60"/>
      <c r="AC2058" s="30"/>
      <c r="AD2058" s="30"/>
      <c r="AE2058" s="475"/>
      <c r="AF2058" s="476"/>
      <c r="AG2058" s="474"/>
      <c r="AH2058" s="138"/>
    </row>
    <row r="2059">
      <c r="A2059" s="103"/>
      <c r="B2059" s="533"/>
      <c r="C2059" s="533"/>
      <c r="D2059" s="103"/>
      <c r="E2059" s="103"/>
      <c r="F2059" s="103"/>
      <c r="G2059" s="103"/>
      <c r="H2059" s="131"/>
      <c r="I2059" s="468"/>
      <c r="J2059" s="16"/>
      <c r="K2059" s="16"/>
      <c r="M2059" s="69"/>
      <c r="N2059" s="69"/>
      <c r="O2059" s="69"/>
      <c r="P2059" s="534"/>
      <c r="Q2059" s="274"/>
      <c r="R2059" s="472"/>
      <c r="S2059" s="535"/>
      <c r="T2059" s="535"/>
      <c r="U2059" s="536"/>
      <c r="V2059" s="474"/>
      <c r="Y2059" s="89"/>
      <c r="Z2059" s="60"/>
      <c r="AA2059" s="60"/>
      <c r="AB2059" s="60"/>
      <c r="AC2059" s="30"/>
      <c r="AD2059" s="30"/>
      <c r="AE2059" s="475"/>
      <c r="AF2059" s="476"/>
      <c r="AG2059" s="474"/>
      <c r="AH2059" s="138"/>
    </row>
    <row r="2060">
      <c r="A2060" s="103"/>
      <c r="B2060" s="533"/>
      <c r="C2060" s="533"/>
      <c r="D2060" s="103"/>
      <c r="E2060" s="103"/>
      <c r="F2060" s="103"/>
      <c r="G2060" s="103"/>
      <c r="H2060" s="131"/>
      <c r="I2060" s="468"/>
      <c r="J2060" s="16"/>
      <c r="K2060" s="16"/>
      <c r="M2060" s="69"/>
      <c r="N2060" s="69"/>
      <c r="O2060" s="69"/>
      <c r="P2060" s="534"/>
      <c r="Q2060" s="274"/>
      <c r="R2060" s="472"/>
      <c r="S2060" s="535"/>
      <c r="T2060" s="535"/>
      <c r="U2060" s="536"/>
      <c r="V2060" s="474"/>
      <c r="Y2060" s="89"/>
      <c r="Z2060" s="60"/>
      <c r="AA2060" s="60"/>
      <c r="AB2060" s="60"/>
      <c r="AC2060" s="30"/>
      <c r="AD2060" s="30"/>
      <c r="AE2060" s="475"/>
      <c r="AF2060" s="476"/>
      <c r="AG2060" s="474"/>
      <c r="AH2060" s="138"/>
    </row>
    <row r="2061">
      <c r="A2061" s="103"/>
      <c r="B2061" s="533"/>
      <c r="C2061" s="533"/>
      <c r="D2061" s="103"/>
      <c r="E2061" s="103"/>
      <c r="F2061" s="103"/>
      <c r="G2061" s="103"/>
      <c r="H2061" s="131"/>
      <c r="I2061" s="468"/>
      <c r="J2061" s="16"/>
      <c r="K2061" s="16"/>
      <c r="M2061" s="69"/>
      <c r="N2061" s="69"/>
      <c r="O2061" s="69"/>
      <c r="P2061" s="534"/>
      <c r="Q2061" s="274"/>
      <c r="R2061" s="472"/>
      <c r="S2061" s="535"/>
      <c r="T2061" s="535"/>
      <c r="U2061" s="536"/>
      <c r="V2061" s="474"/>
      <c r="Y2061" s="89"/>
      <c r="Z2061" s="60"/>
      <c r="AA2061" s="60"/>
      <c r="AB2061" s="60"/>
      <c r="AC2061" s="30"/>
      <c r="AD2061" s="30"/>
      <c r="AE2061" s="475"/>
      <c r="AF2061" s="476"/>
      <c r="AG2061" s="474"/>
      <c r="AH2061" s="138"/>
    </row>
    <row r="2062">
      <c r="A2062" s="103"/>
      <c r="B2062" s="533"/>
      <c r="C2062" s="533"/>
      <c r="D2062" s="103"/>
      <c r="E2062" s="103"/>
      <c r="F2062" s="103"/>
      <c r="G2062" s="103"/>
      <c r="H2062" s="131"/>
      <c r="I2062" s="468"/>
      <c r="J2062" s="16"/>
      <c r="K2062" s="16"/>
      <c r="M2062" s="69"/>
      <c r="N2062" s="69"/>
      <c r="O2062" s="69"/>
      <c r="P2062" s="534"/>
      <c r="Q2062" s="274"/>
      <c r="R2062" s="472"/>
      <c r="S2062" s="535"/>
      <c r="T2062" s="535"/>
      <c r="U2062" s="536"/>
      <c r="V2062" s="474"/>
      <c r="Y2062" s="89"/>
      <c r="Z2062" s="60"/>
      <c r="AA2062" s="60"/>
      <c r="AB2062" s="60"/>
      <c r="AC2062" s="30"/>
      <c r="AD2062" s="30"/>
      <c r="AE2062" s="475"/>
      <c r="AF2062" s="476"/>
      <c r="AG2062" s="474"/>
      <c r="AH2062" s="138"/>
    </row>
    <row r="2063">
      <c r="A2063" s="103"/>
      <c r="B2063" s="533"/>
      <c r="C2063" s="533"/>
      <c r="D2063" s="103"/>
      <c r="E2063" s="103"/>
      <c r="F2063" s="103"/>
      <c r="G2063" s="103"/>
      <c r="H2063" s="131"/>
      <c r="I2063" s="468"/>
      <c r="J2063" s="16"/>
      <c r="K2063" s="16"/>
      <c r="M2063" s="69"/>
      <c r="N2063" s="69"/>
      <c r="O2063" s="69"/>
      <c r="P2063" s="534"/>
      <c r="Q2063" s="274"/>
      <c r="R2063" s="472"/>
      <c r="S2063" s="535"/>
      <c r="T2063" s="535"/>
      <c r="U2063" s="536"/>
      <c r="V2063" s="474"/>
      <c r="Y2063" s="89"/>
      <c r="Z2063" s="60"/>
      <c r="AA2063" s="60"/>
      <c r="AB2063" s="60"/>
      <c r="AC2063" s="30"/>
      <c r="AD2063" s="30"/>
      <c r="AE2063" s="475"/>
      <c r="AF2063" s="476"/>
      <c r="AG2063" s="474"/>
      <c r="AH2063" s="138"/>
    </row>
    <row r="2064">
      <c r="A2064" s="103"/>
      <c r="B2064" s="533"/>
      <c r="C2064" s="533"/>
      <c r="D2064" s="103"/>
      <c r="E2064" s="103"/>
      <c r="F2064" s="103"/>
      <c r="G2064" s="103"/>
      <c r="H2064" s="131"/>
      <c r="I2064" s="468"/>
      <c r="J2064" s="16"/>
      <c r="K2064" s="16"/>
      <c r="M2064" s="69"/>
      <c r="N2064" s="69"/>
      <c r="O2064" s="69"/>
      <c r="P2064" s="534"/>
      <c r="Q2064" s="274"/>
      <c r="R2064" s="472"/>
      <c r="S2064" s="535"/>
      <c r="T2064" s="535"/>
      <c r="U2064" s="536"/>
      <c r="V2064" s="474"/>
      <c r="Y2064" s="89"/>
      <c r="Z2064" s="60"/>
      <c r="AA2064" s="60"/>
      <c r="AB2064" s="60"/>
      <c r="AC2064" s="30"/>
      <c r="AD2064" s="30"/>
      <c r="AE2064" s="475"/>
      <c r="AF2064" s="476"/>
      <c r="AG2064" s="474"/>
      <c r="AH2064" s="138"/>
    </row>
    <row r="2065">
      <c r="A2065" s="103"/>
      <c r="B2065" s="533"/>
      <c r="C2065" s="533"/>
      <c r="D2065" s="103"/>
      <c r="E2065" s="103"/>
      <c r="F2065" s="103"/>
      <c r="G2065" s="103"/>
      <c r="H2065" s="131"/>
      <c r="I2065" s="468"/>
      <c r="J2065" s="16"/>
      <c r="K2065" s="16"/>
      <c r="M2065" s="69"/>
      <c r="N2065" s="69"/>
      <c r="O2065" s="69"/>
      <c r="P2065" s="534"/>
      <c r="Q2065" s="274"/>
      <c r="R2065" s="472"/>
      <c r="S2065" s="535"/>
      <c r="T2065" s="535"/>
      <c r="U2065" s="536"/>
      <c r="V2065" s="474"/>
      <c r="Y2065" s="89"/>
      <c r="Z2065" s="60"/>
      <c r="AA2065" s="60"/>
      <c r="AB2065" s="60"/>
      <c r="AC2065" s="30"/>
      <c r="AD2065" s="30"/>
      <c r="AE2065" s="475"/>
      <c r="AF2065" s="476"/>
      <c r="AG2065" s="474"/>
      <c r="AH2065" s="138"/>
    </row>
    <row r="2066">
      <c r="A2066" s="103"/>
      <c r="B2066" s="533"/>
      <c r="C2066" s="533"/>
      <c r="D2066" s="103"/>
      <c r="E2066" s="103"/>
      <c r="F2066" s="103"/>
      <c r="G2066" s="103"/>
      <c r="H2066" s="131"/>
      <c r="I2066" s="468"/>
      <c r="J2066" s="16"/>
      <c r="K2066" s="16"/>
      <c r="M2066" s="69"/>
      <c r="N2066" s="69"/>
      <c r="O2066" s="69"/>
      <c r="P2066" s="534"/>
      <c r="Q2066" s="274"/>
      <c r="R2066" s="472"/>
      <c r="S2066" s="535"/>
      <c r="T2066" s="535"/>
      <c r="U2066" s="536"/>
      <c r="V2066" s="474"/>
      <c r="Y2066" s="89"/>
      <c r="Z2066" s="60"/>
      <c r="AA2066" s="60"/>
      <c r="AB2066" s="60"/>
      <c r="AC2066" s="30"/>
      <c r="AD2066" s="30"/>
      <c r="AE2066" s="475"/>
      <c r="AF2066" s="476"/>
      <c r="AG2066" s="474"/>
      <c r="AH2066" s="138"/>
    </row>
    <row r="2067">
      <c r="A2067" s="103"/>
      <c r="B2067" s="533"/>
      <c r="C2067" s="533"/>
      <c r="D2067" s="103"/>
      <c r="E2067" s="103"/>
      <c r="F2067" s="103"/>
      <c r="G2067" s="103"/>
      <c r="H2067" s="131"/>
      <c r="I2067" s="468"/>
      <c r="J2067" s="16"/>
      <c r="K2067" s="16"/>
      <c r="M2067" s="69"/>
      <c r="N2067" s="69"/>
      <c r="O2067" s="69"/>
      <c r="P2067" s="534"/>
      <c r="Q2067" s="274"/>
      <c r="R2067" s="472"/>
      <c r="S2067" s="535"/>
      <c r="T2067" s="535"/>
      <c r="U2067" s="536"/>
      <c r="V2067" s="474"/>
      <c r="Y2067" s="89"/>
      <c r="Z2067" s="60"/>
      <c r="AA2067" s="60"/>
      <c r="AB2067" s="60"/>
      <c r="AC2067" s="30"/>
      <c r="AD2067" s="30"/>
      <c r="AE2067" s="475"/>
      <c r="AF2067" s="476"/>
      <c r="AG2067" s="474"/>
      <c r="AH2067" s="138"/>
    </row>
    <row r="2068">
      <c r="A2068" s="103"/>
      <c r="B2068" s="533"/>
      <c r="C2068" s="533"/>
      <c r="D2068" s="103"/>
      <c r="E2068" s="103"/>
      <c r="F2068" s="103"/>
      <c r="G2068" s="103"/>
      <c r="H2068" s="131"/>
      <c r="I2068" s="468"/>
      <c r="J2068" s="16"/>
      <c r="K2068" s="16"/>
      <c r="M2068" s="69"/>
      <c r="N2068" s="69"/>
      <c r="O2068" s="69"/>
      <c r="P2068" s="534"/>
      <c r="Q2068" s="274"/>
      <c r="R2068" s="472"/>
      <c r="S2068" s="535"/>
      <c r="T2068" s="535"/>
      <c r="U2068" s="536"/>
      <c r="V2068" s="474"/>
      <c r="Y2068" s="89"/>
      <c r="Z2068" s="60"/>
      <c r="AA2068" s="60"/>
      <c r="AB2068" s="60"/>
      <c r="AC2068" s="30"/>
      <c r="AD2068" s="30"/>
      <c r="AE2068" s="475"/>
      <c r="AF2068" s="476"/>
      <c r="AG2068" s="474"/>
      <c r="AH2068" s="138"/>
    </row>
    <row r="2069">
      <c r="A2069" s="103"/>
      <c r="B2069" s="533"/>
      <c r="C2069" s="533"/>
      <c r="D2069" s="103"/>
      <c r="E2069" s="103"/>
      <c r="F2069" s="103"/>
      <c r="G2069" s="103"/>
      <c r="H2069" s="131"/>
      <c r="I2069" s="468"/>
      <c r="J2069" s="16"/>
      <c r="K2069" s="16"/>
      <c r="M2069" s="69"/>
      <c r="N2069" s="69"/>
      <c r="O2069" s="69"/>
      <c r="P2069" s="534"/>
      <c r="Q2069" s="274"/>
      <c r="R2069" s="472"/>
      <c r="S2069" s="535"/>
      <c r="T2069" s="535"/>
      <c r="U2069" s="536"/>
      <c r="V2069" s="474"/>
      <c r="Y2069" s="89"/>
      <c r="Z2069" s="60"/>
      <c r="AA2069" s="60"/>
      <c r="AB2069" s="60"/>
      <c r="AC2069" s="30"/>
      <c r="AD2069" s="30"/>
      <c r="AE2069" s="475"/>
      <c r="AF2069" s="476"/>
      <c r="AG2069" s="474"/>
      <c r="AH2069" s="138"/>
    </row>
    <row r="2070">
      <c r="A2070" s="103"/>
      <c r="B2070" s="533"/>
      <c r="C2070" s="533"/>
      <c r="D2070" s="103"/>
      <c r="E2070" s="103"/>
      <c r="F2070" s="103"/>
      <c r="G2070" s="103"/>
      <c r="H2070" s="131"/>
      <c r="I2070" s="468"/>
      <c r="J2070" s="16"/>
      <c r="K2070" s="16"/>
      <c r="M2070" s="69"/>
      <c r="N2070" s="69"/>
      <c r="O2070" s="69"/>
      <c r="P2070" s="534"/>
      <c r="Q2070" s="274"/>
      <c r="R2070" s="472"/>
      <c r="S2070" s="535"/>
      <c r="T2070" s="535"/>
      <c r="U2070" s="536"/>
      <c r="V2070" s="474"/>
      <c r="Y2070" s="89"/>
      <c r="Z2070" s="60"/>
      <c r="AA2070" s="60"/>
      <c r="AB2070" s="60"/>
      <c r="AC2070" s="30"/>
      <c r="AD2070" s="30"/>
      <c r="AE2070" s="475"/>
      <c r="AF2070" s="476"/>
      <c r="AG2070" s="474"/>
      <c r="AH2070" s="138"/>
    </row>
    <row r="2071">
      <c r="A2071" s="103"/>
      <c r="B2071" s="533"/>
      <c r="C2071" s="533"/>
      <c r="D2071" s="103"/>
      <c r="E2071" s="103"/>
      <c r="F2071" s="103"/>
      <c r="G2071" s="103"/>
      <c r="H2071" s="131"/>
      <c r="I2071" s="468"/>
      <c r="J2071" s="16"/>
      <c r="K2071" s="16"/>
      <c r="M2071" s="69"/>
      <c r="N2071" s="69"/>
      <c r="O2071" s="69"/>
      <c r="P2071" s="534"/>
      <c r="Q2071" s="274"/>
      <c r="R2071" s="472"/>
      <c r="S2071" s="535"/>
      <c r="T2071" s="535"/>
      <c r="U2071" s="536"/>
      <c r="V2071" s="474"/>
      <c r="Y2071" s="89"/>
      <c r="Z2071" s="60"/>
      <c r="AA2071" s="60"/>
      <c r="AB2071" s="60"/>
      <c r="AC2071" s="30"/>
      <c r="AD2071" s="30"/>
      <c r="AE2071" s="475"/>
      <c r="AF2071" s="476"/>
      <c r="AG2071" s="474"/>
      <c r="AH2071" s="138"/>
    </row>
    <row r="2072">
      <c r="A2072" s="103"/>
      <c r="B2072" s="533"/>
      <c r="C2072" s="533"/>
      <c r="D2072" s="103"/>
      <c r="E2072" s="103"/>
      <c r="F2072" s="103"/>
      <c r="G2072" s="103"/>
      <c r="H2072" s="131"/>
      <c r="I2072" s="468"/>
      <c r="J2072" s="16"/>
      <c r="K2072" s="16"/>
      <c r="M2072" s="69"/>
      <c r="N2072" s="69"/>
      <c r="O2072" s="69"/>
      <c r="P2072" s="534"/>
      <c r="Q2072" s="274"/>
      <c r="R2072" s="472"/>
      <c r="S2072" s="535"/>
      <c r="T2072" s="535"/>
      <c r="U2072" s="536"/>
      <c r="V2072" s="474"/>
      <c r="Y2072" s="89"/>
      <c r="Z2072" s="60"/>
      <c r="AA2072" s="60"/>
      <c r="AB2072" s="60"/>
      <c r="AC2072" s="30"/>
      <c r="AD2072" s="30"/>
      <c r="AE2072" s="475"/>
      <c r="AF2072" s="476"/>
      <c r="AG2072" s="474"/>
      <c r="AH2072" s="138"/>
    </row>
    <row r="2073">
      <c r="A2073" s="103"/>
      <c r="B2073" s="533"/>
      <c r="C2073" s="533"/>
      <c r="D2073" s="103"/>
      <c r="E2073" s="103"/>
      <c r="F2073" s="103"/>
      <c r="G2073" s="103"/>
      <c r="H2073" s="131"/>
      <c r="I2073" s="468"/>
      <c r="J2073" s="16"/>
      <c r="K2073" s="16"/>
      <c r="M2073" s="69"/>
      <c r="N2073" s="69"/>
      <c r="O2073" s="69"/>
      <c r="P2073" s="534"/>
      <c r="Q2073" s="274"/>
      <c r="R2073" s="472"/>
      <c r="S2073" s="535"/>
      <c r="T2073" s="535"/>
      <c r="U2073" s="536"/>
      <c r="V2073" s="474"/>
      <c r="Y2073" s="89"/>
      <c r="Z2073" s="60"/>
      <c r="AA2073" s="60"/>
      <c r="AB2073" s="60"/>
      <c r="AC2073" s="30"/>
      <c r="AD2073" s="30"/>
      <c r="AE2073" s="475"/>
      <c r="AF2073" s="476"/>
      <c r="AG2073" s="474"/>
      <c r="AH2073" s="138"/>
    </row>
    <row r="2074">
      <c r="A2074" s="103"/>
      <c r="B2074" s="533"/>
      <c r="C2074" s="533"/>
      <c r="D2074" s="103"/>
      <c r="E2074" s="103"/>
      <c r="F2074" s="103"/>
      <c r="G2074" s="103"/>
      <c r="H2074" s="131"/>
      <c r="I2074" s="468"/>
      <c r="J2074" s="16"/>
      <c r="K2074" s="16"/>
      <c r="M2074" s="69"/>
      <c r="N2074" s="69"/>
      <c r="O2074" s="69"/>
      <c r="P2074" s="534"/>
      <c r="Q2074" s="274"/>
      <c r="R2074" s="472"/>
      <c r="S2074" s="535"/>
      <c r="T2074" s="535"/>
      <c r="U2074" s="536"/>
      <c r="V2074" s="474"/>
      <c r="Y2074" s="89"/>
      <c r="Z2074" s="60"/>
      <c r="AA2074" s="60"/>
      <c r="AB2074" s="60"/>
      <c r="AC2074" s="30"/>
      <c r="AD2074" s="30"/>
      <c r="AE2074" s="475"/>
      <c r="AF2074" s="476"/>
      <c r="AG2074" s="474"/>
      <c r="AH2074" s="138"/>
    </row>
    <row r="2075">
      <c r="A2075" s="103"/>
      <c r="B2075" s="533"/>
      <c r="C2075" s="533"/>
      <c r="D2075" s="103"/>
      <c r="E2075" s="103"/>
      <c r="F2075" s="103"/>
      <c r="G2075" s="103"/>
      <c r="H2075" s="131"/>
      <c r="I2075" s="468"/>
      <c r="J2075" s="16"/>
      <c r="K2075" s="16"/>
      <c r="M2075" s="69"/>
      <c r="N2075" s="69"/>
      <c r="O2075" s="69"/>
      <c r="P2075" s="534"/>
      <c r="Q2075" s="274"/>
      <c r="R2075" s="472"/>
      <c r="S2075" s="535"/>
      <c r="T2075" s="535"/>
      <c r="U2075" s="536"/>
      <c r="V2075" s="474"/>
      <c r="Y2075" s="89"/>
      <c r="Z2075" s="60"/>
      <c r="AA2075" s="60"/>
      <c r="AB2075" s="60"/>
      <c r="AC2075" s="30"/>
      <c r="AD2075" s="30"/>
      <c r="AE2075" s="475"/>
      <c r="AF2075" s="476"/>
      <c r="AG2075" s="474"/>
      <c r="AH2075" s="138"/>
    </row>
    <row r="2076">
      <c r="A2076" s="103"/>
      <c r="B2076" s="533"/>
      <c r="C2076" s="533"/>
      <c r="D2076" s="103"/>
      <c r="E2076" s="103"/>
      <c r="F2076" s="103"/>
      <c r="G2076" s="103"/>
      <c r="H2076" s="131"/>
      <c r="I2076" s="468"/>
      <c r="J2076" s="16"/>
      <c r="K2076" s="16"/>
      <c r="M2076" s="69"/>
      <c r="N2076" s="69"/>
      <c r="O2076" s="69"/>
      <c r="P2076" s="534"/>
      <c r="Q2076" s="274"/>
      <c r="R2076" s="472"/>
      <c r="S2076" s="535"/>
      <c r="T2076" s="535"/>
      <c r="U2076" s="536"/>
      <c r="V2076" s="474"/>
      <c r="Y2076" s="89"/>
      <c r="Z2076" s="60"/>
      <c r="AA2076" s="60"/>
      <c r="AB2076" s="60"/>
      <c r="AC2076" s="30"/>
      <c r="AD2076" s="30"/>
      <c r="AE2076" s="475"/>
      <c r="AF2076" s="476"/>
      <c r="AG2076" s="474"/>
      <c r="AH2076" s="138"/>
    </row>
    <row r="2077">
      <c r="A2077" s="103"/>
      <c r="B2077" s="533"/>
      <c r="C2077" s="533"/>
      <c r="D2077" s="103"/>
      <c r="E2077" s="103"/>
      <c r="F2077" s="103"/>
      <c r="G2077" s="103"/>
      <c r="H2077" s="131"/>
      <c r="I2077" s="468"/>
      <c r="J2077" s="16"/>
      <c r="K2077" s="16"/>
      <c r="M2077" s="69"/>
      <c r="N2077" s="69"/>
      <c r="O2077" s="69"/>
      <c r="P2077" s="534"/>
      <c r="Q2077" s="274"/>
      <c r="R2077" s="472"/>
      <c r="S2077" s="535"/>
      <c r="T2077" s="535"/>
      <c r="U2077" s="536"/>
      <c r="V2077" s="474"/>
      <c r="Y2077" s="89"/>
      <c r="Z2077" s="60"/>
      <c r="AA2077" s="60"/>
      <c r="AB2077" s="60"/>
      <c r="AC2077" s="30"/>
      <c r="AD2077" s="30"/>
      <c r="AE2077" s="475"/>
      <c r="AF2077" s="476"/>
      <c r="AG2077" s="474"/>
      <c r="AH2077" s="138"/>
    </row>
    <row r="2078">
      <c r="A2078" s="103"/>
      <c r="B2078" s="533"/>
      <c r="C2078" s="533"/>
      <c r="D2078" s="103"/>
      <c r="E2078" s="103"/>
      <c r="F2078" s="103"/>
      <c r="G2078" s="103"/>
      <c r="H2078" s="131"/>
      <c r="I2078" s="468"/>
      <c r="J2078" s="16"/>
      <c r="K2078" s="16"/>
      <c r="M2078" s="69"/>
      <c r="N2078" s="69"/>
      <c r="O2078" s="69"/>
      <c r="P2078" s="534"/>
      <c r="Q2078" s="274"/>
      <c r="R2078" s="472"/>
      <c r="S2078" s="535"/>
      <c r="T2078" s="535"/>
      <c r="U2078" s="536"/>
      <c r="V2078" s="474"/>
      <c r="Y2078" s="89"/>
      <c r="Z2078" s="60"/>
      <c r="AA2078" s="60"/>
      <c r="AB2078" s="60"/>
      <c r="AC2078" s="30"/>
      <c r="AD2078" s="30"/>
      <c r="AE2078" s="475"/>
      <c r="AF2078" s="476"/>
      <c r="AG2078" s="474"/>
      <c r="AH2078" s="138"/>
    </row>
    <row r="2079">
      <c r="A2079" s="103"/>
      <c r="B2079" s="533"/>
      <c r="C2079" s="533"/>
      <c r="D2079" s="103"/>
      <c r="E2079" s="103"/>
      <c r="F2079" s="103"/>
      <c r="G2079" s="103"/>
      <c r="H2079" s="131"/>
      <c r="I2079" s="468"/>
      <c r="J2079" s="16"/>
      <c r="K2079" s="16"/>
      <c r="M2079" s="69"/>
      <c r="N2079" s="69"/>
      <c r="O2079" s="69"/>
      <c r="P2079" s="534"/>
      <c r="Q2079" s="274"/>
      <c r="R2079" s="472"/>
      <c r="S2079" s="535"/>
      <c r="T2079" s="535"/>
      <c r="U2079" s="536"/>
      <c r="V2079" s="474"/>
      <c r="Y2079" s="89"/>
      <c r="Z2079" s="60"/>
      <c r="AA2079" s="60"/>
      <c r="AB2079" s="60"/>
      <c r="AC2079" s="30"/>
      <c r="AD2079" s="30"/>
      <c r="AE2079" s="475"/>
      <c r="AF2079" s="476"/>
      <c r="AG2079" s="474"/>
      <c r="AH2079" s="138"/>
    </row>
    <row r="2080">
      <c r="A2080" s="103"/>
      <c r="B2080" s="533"/>
      <c r="C2080" s="533"/>
      <c r="D2080" s="103"/>
      <c r="E2080" s="103"/>
      <c r="F2080" s="103"/>
      <c r="G2080" s="103"/>
      <c r="H2080" s="131"/>
      <c r="I2080" s="468"/>
      <c r="J2080" s="16"/>
      <c r="K2080" s="16"/>
      <c r="M2080" s="69"/>
      <c r="N2080" s="69"/>
      <c r="O2080" s="69"/>
      <c r="P2080" s="534"/>
      <c r="Q2080" s="274"/>
      <c r="R2080" s="472"/>
      <c r="S2080" s="535"/>
      <c r="T2080" s="535"/>
      <c r="U2080" s="536"/>
      <c r="V2080" s="474"/>
      <c r="Y2080" s="89"/>
      <c r="Z2080" s="60"/>
      <c r="AA2080" s="60"/>
      <c r="AB2080" s="60"/>
      <c r="AC2080" s="30"/>
      <c r="AD2080" s="30"/>
      <c r="AE2080" s="475"/>
      <c r="AF2080" s="476"/>
      <c r="AG2080" s="474"/>
      <c r="AH2080" s="138"/>
    </row>
    <row r="2081">
      <c r="A2081" s="103"/>
      <c r="B2081" s="533"/>
      <c r="C2081" s="533"/>
      <c r="D2081" s="103"/>
      <c r="E2081" s="103"/>
      <c r="F2081" s="103"/>
      <c r="G2081" s="103"/>
      <c r="H2081" s="131"/>
      <c r="I2081" s="468"/>
      <c r="J2081" s="16"/>
      <c r="K2081" s="16"/>
      <c r="M2081" s="69"/>
      <c r="N2081" s="69"/>
      <c r="O2081" s="69"/>
      <c r="P2081" s="534"/>
      <c r="Q2081" s="274"/>
      <c r="R2081" s="472"/>
      <c r="S2081" s="535"/>
      <c r="T2081" s="535"/>
      <c r="U2081" s="536"/>
      <c r="V2081" s="474"/>
      <c r="Y2081" s="89"/>
      <c r="Z2081" s="60"/>
      <c r="AA2081" s="60"/>
      <c r="AB2081" s="60"/>
      <c r="AC2081" s="30"/>
      <c r="AD2081" s="30"/>
      <c r="AE2081" s="475"/>
      <c r="AF2081" s="476"/>
      <c r="AG2081" s="474"/>
      <c r="AH2081" s="138"/>
    </row>
    <row r="2082">
      <c r="A2082" s="103"/>
      <c r="B2082" s="533"/>
      <c r="C2082" s="533"/>
      <c r="D2082" s="103"/>
      <c r="E2082" s="103"/>
      <c r="F2082" s="103"/>
      <c r="G2082" s="103"/>
      <c r="H2082" s="131"/>
      <c r="I2082" s="468"/>
      <c r="J2082" s="16"/>
      <c r="K2082" s="16"/>
      <c r="M2082" s="69"/>
      <c r="N2082" s="69"/>
      <c r="O2082" s="69"/>
      <c r="P2082" s="534"/>
      <c r="Q2082" s="274"/>
      <c r="R2082" s="472"/>
      <c r="S2082" s="535"/>
      <c r="T2082" s="535"/>
      <c r="U2082" s="536"/>
      <c r="V2082" s="474"/>
      <c r="Y2082" s="89"/>
      <c r="Z2082" s="60"/>
      <c r="AA2082" s="60"/>
      <c r="AB2082" s="60"/>
      <c r="AC2082" s="30"/>
      <c r="AD2082" s="30"/>
      <c r="AE2082" s="475"/>
      <c r="AF2082" s="476"/>
      <c r="AG2082" s="474"/>
      <c r="AH2082" s="138"/>
    </row>
    <row r="2083">
      <c r="A2083" s="103"/>
      <c r="B2083" s="533"/>
      <c r="C2083" s="533"/>
      <c r="D2083" s="103"/>
      <c r="E2083" s="103"/>
      <c r="F2083" s="103"/>
      <c r="G2083" s="103"/>
      <c r="H2083" s="131"/>
      <c r="I2083" s="468"/>
      <c r="J2083" s="16"/>
      <c r="K2083" s="16"/>
      <c r="M2083" s="69"/>
      <c r="N2083" s="69"/>
      <c r="O2083" s="69"/>
      <c r="P2083" s="534"/>
      <c r="Q2083" s="274"/>
      <c r="R2083" s="472"/>
      <c r="S2083" s="535"/>
      <c r="T2083" s="535"/>
      <c r="U2083" s="536"/>
      <c r="V2083" s="474"/>
      <c r="Y2083" s="89"/>
      <c r="Z2083" s="60"/>
      <c r="AA2083" s="60"/>
      <c r="AB2083" s="60"/>
      <c r="AC2083" s="30"/>
      <c r="AD2083" s="30"/>
      <c r="AE2083" s="475"/>
      <c r="AF2083" s="476"/>
      <c r="AG2083" s="474"/>
      <c r="AH2083" s="138"/>
    </row>
    <row r="2084">
      <c r="A2084" s="103"/>
      <c r="B2084" s="533"/>
      <c r="C2084" s="533"/>
      <c r="D2084" s="103"/>
      <c r="E2084" s="103"/>
      <c r="F2084" s="103"/>
      <c r="G2084" s="103"/>
      <c r="H2084" s="131"/>
      <c r="I2084" s="468"/>
      <c r="J2084" s="16"/>
      <c r="K2084" s="16"/>
      <c r="M2084" s="69"/>
      <c r="N2084" s="69"/>
      <c r="O2084" s="69"/>
      <c r="P2084" s="534"/>
      <c r="Q2084" s="274"/>
      <c r="R2084" s="472"/>
      <c r="S2084" s="535"/>
      <c r="T2084" s="535"/>
      <c r="U2084" s="536"/>
      <c r="V2084" s="474"/>
      <c r="Y2084" s="89"/>
      <c r="Z2084" s="60"/>
      <c r="AA2084" s="60"/>
      <c r="AB2084" s="60"/>
      <c r="AC2084" s="30"/>
      <c r="AD2084" s="30"/>
      <c r="AE2084" s="475"/>
      <c r="AF2084" s="476"/>
      <c r="AG2084" s="474"/>
      <c r="AH2084" s="138"/>
    </row>
    <row r="2085">
      <c r="A2085" s="103"/>
      <c r="B2085" s="533"/>
      <c r="C2085" s="533"/>
      <c r="D2085" s="103"/>
      <c r="E2085" s="103"/>
      <c r="F2085" s="103"/>
      <c r="G2085" s="103"/>
      <c r="H2085" s="131"/>
      <c r="I2085" s="468"/>
      <c r="J2085" s="16"/>
      <c r="K2085" s="16"/>
      <c r="M2085" s="69"/>
      <c r="N2085" s="69"/>
      <c r="O2085" s="69"/>
      <c r="P2085" s="534"/>
      <c r="Q2085" s="274"/>
      <c r="R2085" s="472"/>
      <c r="S2085" s="535"/>
      <c r="T2085" s="535"/>
      <c r="U2085" s="536"/>
      <c r="V2085" s="474"/>
      <c r="Y2085" s="89"/>
      <c r="Z2085" s="60"/>
      <c r="AA2085" s="60"/>
      <c r="AB2085" s="60"/>
      <c r="AC2085" s="30"/>
      <c r="AD2085" s="30"/>
      <c r="AE2085" s="475"/>
      <c r="AF2085" s="476"/>
      <c r="AG2085" s="474"/>
      <c r="AH2085" s="138"/>
    </row>
    <row r="2086">
      <c r="A2086" s="103"/>
      <c r="B2086" s="533"/>
      <c r="C2086" s="533"/>
      <c r="D2086" s="103"/>
      <c r="E2086" s="103"/>
      <c r="F2086" s="103"/>
      <c r="G2086" s="103"/>
      <c r="H2086" s="131"/>
      <c r="I2086" s="468"/>
      <c r="J2086" s="16"/>
      <c r="K2086" s="16"/>
      <c r="M2086" s="69"/>
      <c r="N2086" s="69"/>
      <c r="O2086" s="69"/>
      <c r="P2086" s="534"/>
      <c r="Q2086" s="274"/>
      <c r="R2086" s="472"/>
      <c r="S2086" s="535"/>
      <c r="T2086" s="535"/>
      <c r="U2086" s="536"/>
      <c r="V2086" s="474"/>
      <c r="Y2086" s="89"/>
      <c r="Z2086" s="60"/>
      <c r="AA2086" s="60"/>
      <c r="AB2086" s="60"/>
      <c r="AC2086" s="30"/>
      <c r="AD2086" s="30"/>
      <c r="AE2086" s="475"/>
      <c r="AF2086" s="476"/>
      <c r="AG2086" s="474"/>
      <c r="AH2086" s="138"/>
    </row>
    <row r="2087">
      <c r="A2087" s="103"/>
      <c r="B2087" s="533"/>
      <c r="C2087" s="533"/>
      <c r="D2087" s="103"/>
      <c r="E2087" s="103"/>
      <c r="F2087" s="103"/>
      <c r="G2087" s="103"/>
      <c r="H2087" s="131"/>
      <c r="I2087" s="468"/>
      <c r="J2087" s="16"/>
      <c r="K2087" s="16"/>
      <c r="M2087" s="69"/>
      <c r="N2087" s="69"/>
      <c r="O2087" s="69"/>
      <c r="P2087" s="534"/>
      <c r="Q2087" s="274"/>
      <c r="R2087" s="472"/>
      <c r="S2087" s="535"/>
      <c r="T2087" s="535"/>
      <c r="U2087" s="536"/>
      <c r="V2087" s="474"/>
      <c r="Y2087" s="89"/>
      <c r="Z2087" s="60"/>
      <c r="AA2087" s="60"/>
      <c r="AB2087" s="60"/>
      <c r="AC2087" s="30"/>
      <c r="AD2087" s="30"/>
      <c r="AE2087" s="475"/>
      <c r="AF2087" s="476"/>
      <c r="AG2087" s="474"/>
      <c r="AH2087" s="138"/>
    </row>
    <row r="2088">
      <c r="A2088" s="103"/>
      <c r="B2088" s="533"/>
      <c r="C2088" s="533"/>
      <c r="D2088" s="103"/>
      <c r="E2088" s="103"/>
      <c r="F2088" s="103"/>
      <c r="G2088" s="103"/>
      <c r="H2088" s="131"/>
      <c r="I2088" s="468"/>
      <c r="J2088" s="16"/>
      <c r="K2088" s="16"/>
      <c r="M2088" s="69"/>
      <c r="N2088" s="69"/>
      <c r="O2088" s="69"/>
      <c r="P2088" s="534"/>
      <c r="Q2088" s="274"/>
      <c r="R2088" s="472"/>
      <c r="S2088" s="535"/>
      <c r="T2088" s="535"/>
      <c r="U2088" s="536"/>
      <c r="V2088" s="474"/>
      <c r="Y2088" s="89"/>
      <c r="Z2088" s="60"/>
      <c r="AA2088" s="60"/>
      <c r="AB2088" s="60"/>
      <c r="AC2088" s="30"/>
      <c r="AD2088" s="30"/>
      <c r="AE2088" s="475"/>
      <c r="AF2088" s="476"/>
      <c r="AG2088" s="474"/>
      <c r="AH2088" s="138"/>
    </row>
    <row r="2089">
      <c r="A2089" s="103"/>
      <c r="B2089" s="533"/>
      <c r="C2089" s="533"/>
      <c r="D2089" s="103"/>
      <c r="E2089" s="103"/>
      <c r="F2089" s="103"/>
      <c r="G2089" s="103"/>
      <c r="H2089" s="131"/>
      <c r="I2089" s="468"/>
      <c r="J2089" s="16"/>
      <c r="K2089" s="16"/>
      <c r="M2089" s="69"/>
      <c r="N2089" s="69"/>
      <c r="O2089" s="69"/>
      <c r="P2089" s="534"/>
      <c r="Q2089" s="274"/>
      <c r="R2089" s="472"/>
      <c r="S2089" s="535"/>
      <c r="T2089" s="535"/>
      <c r="U2089" s="536"/>
      <c r="V2089" s="474"/>
      <c r="Y2089" s="89"/>
      <c r="Z2089" s="60"/>
      <c r="AA2089" s="60"/>
      <c r="AB2089" s="60"/>
      <c r="AC2089" s="30"/>
      <c r="AD2089" s="30"/>
      <c r="AE2089" s="475"/>
      <c r="AF2089" s="476"/>
      <c r="AG2089" s="474"/>
      <c r="AH2089" s="138"/>
    </row>
    <row r="2090">
      <c r="A2090" s="103"/>
      <c r="B2090" s="533"/>
      <c r="C2090" s="533"/>
      <c r="D2090" s="103"/>
      <c r="E2090" s="103"/>
      <c r="F2090" s="103"/>
      <c r="G2090" s="103"/>
      <c r="H2090" s="131"/>
      <c r="I2090" s="468"/>
      <c r="J2090" s="16"/>
      <c r="K2090" s="16"/>
      <c r="M2090" s="69"/>
      <c r="N2090" s="69"/>
      <c r="O2090" s="69"/>
      <c r="P2090" s="534"/>
      <c r="Q2090" s="274"/>
      <c r="R2090" s="472"/>
      <c r="S2090" s="535"/>
      <c r="T2090" s="535"/>
      <c r="U2090" s="536"/>
      <c r="V2090" s="474"/>
      <c r="Y2090" s="89"/>
      <c r="Z2090" s="60"/>
      <c r="AA2090" s="60"/>
      <c r="AB2090" s="60"/>
      <c r="AC2090" s="30"/>
      <c r="AD2090" s="30"/>
      <c r="AE2090" s="475"/>
      <c r="AF2090" s="476"/>
      <c r="AG2090" s="474"/>
      <c r="AH2090" s="138"/>
    </row>
    <row r="2091">
      <c r="A2091" s="103"/>
      <c r="B2091" s="533"/>
      <c r="C2091" s="533"/>
      <c r="D2091" s="103"/>
      <c r="E2091" s="103"/>
      <c r="F2091" s="103"/>
      <c r="G2091" s="103"/>
      <c r="H2091" s="131"/>
      <c r="I2091" s="468"/>
      <c r="J2091" s="16"/>
      <c r="K2091" s="16"/>
      <c r="M2091" s="69"/>
      <c r="N2091" s="69"/>
      <c r="O2091" s="69"/>
      <c r="P2091" s="534"/>
      <c r="Q2091" s="274"/>
      <c r="R2091" s="472"/>
      <c r="S2091" s="535"/>
      <c r="T2091" s="535"/>
      <c r="U2091" s="536"/>
      <c r="V2091" s="474"/>
      <c r="Y2091" s="89"/>
      <c r="Z2091" s="60"/>
      <c r="AA2091" s="60"/>
      <c r="AB2091" s="60"/>
      <c r="AC2091" s="30"/>
      <c r="AD2091" s="30"/>
      <c r="AE2091" s="475"/>
      <c r="AF2091" s="476"/>
      <c r="AG2091" s="474"/>
      <c r="AH2091" s="138"/>
    </row>
    <row r="2092">
      <c r="A2092" s="103"/>
      <c r="B2092" s="533"/>
      <c r="C2092" s="533"/>
      <c r="D2092" s="103"/>
      <c r="E2092" s="103"/>
      <c r="F2092" s="103"/>
      <c r="G2092" s="103"/>
      <c r="H2092" s="131"/>
      <c r="I2092" s="468"/>
      <c r="J2092" s="16"/>
      <c r="K2092" s="16"/>
      <c r="M2092" s="69"/>
      <c r="N2092" s="69"/>
      <c r="O2092" s="69"/>
      <c r="P2092" s="534"/>
      <c r="Q2092" s="274"/>
      <c r="R2092" s="472"/>
      <c r="S2092" s="535"/>
      <c r="T2092" s="535"/>
      <c r="U2092" s="536"/>
      <c r="V2092" s="474"/>
      <c r="Y2092" s="89"/>
      <c r="Z2092" s="60"/>
      <c r="AA2092" s="60"/>
      <c r="AB2092" s="60"/>
      <c r="AC2092" s="30"/>
      <c r="AD2092" s="30"/>
      <c r="AE2092" s="475"/>
      <c r="AF2092" s="476"/>
      <c r="AG2092" s="474"/>
      <c r="AH2092" s="138"/>
    </row>
    <row r="2093">
      <c r="A2093" s="103"/>
      <c r="B2093" s="533"/>
      <c r="C2093" s="533"/>
      <c r="D2093" s="103"/>
      <c r="E2093" s="103"/>
      <c r="F2093" s="103"/>
      <c r="G2093" s="103"/>
      <c r="H2093" s="131"/>
      <c r="I2093" s="468"/>
      <c r="J2093" s="16"/>
      <c r="K2093" s="16"/>
      <c r="M2093" s="69"/>
      <c r="N2093" s="69"/>
      <c r="O2093" s="69"/>
      <c r="P2093" s="534"/>
      <c r="Q2093" s="274"/>
      <c r="R2093" s="472"/>
      <c r="S2093" s="535"/>
      <c r="T2093" s="535"/>
      <c r="U2093" s="536"/>
      <c r="V2093" s="474"/>
      <c r="Y2093" s="89"/>
      <c r="Z2093" s="60"/>
      <c r="AA2093" s="60"/>
      <c r="AB2093" s="60"/>
      <c r="AC2093" s="30"/>
      <c r="AD2093" s="30"/>
      <c r="AE2093" s="475"/>
      <c r="AF2093" s="476"/>
      <c r="AG2093" s="474"/>
      <c r="AH2093" s="138"/>
    </row>
    <row r="2094">
      <c r="A2094" s="103"/>
      <c r="B2094" s="533"/>
      <c r="C2094" s="533"/>
      <c r="D2094" s="103"/>
      <c r="E2094" s="103"/>
      <c r="F2094" s="103"/>
      <c r="G2094" s="103"/>
      <c r="H2094" s="131"/>
      <c r="I2094" s="468"/>
      <c r="J2094" s="16"/>
      <c r="K2094" s="16"/>
      <c r="M2094" s="69"/>
      <c r="N2094" s="69"/>
      <c r="O2094" s="69"/>
      <c r="P2094" s="534"/>
      <c r="Q2094" s="274"/>
      <c r="R2094" s="472"/>
      <c r="S2094" s="535"/>
      <c r="T2094" s="535"/>
      <c r="U2094" s="536"/>
      <c r="V2094" s="474"/>
      <c r="Y2094" s="89"/>
      <c r="Z2094" s="60"/>
      <c r="AA2094" s="60"/>
      <c r="AB2094" s="60"/>
      <c r="AC2094" s="30"/>
      <c r="AD2094" s="30"/>
      <c r="AE2094" s="475"/>
      <c r="AF2094" s="476"/>
      <c r="AG2094" s="474"/>
      <c r="AH2094" s="138"/>
    </row>
    <row r="2095">
      <c r="A2095" s="103"/>
      <c r="B2095" s="533"/>
      <c r="C2095" s="533"/>
      <c r="D2095" s="103"/>
      <c r="E2095" s="103"/>
      <c r="F2095" s="103"/>
      <c r="G2095" s="103"/>
      <c r="H2095" s="131"/>
      <c r="I2095" s="468"/>
      <c r="J2095" s="16"/>
      <c r="K2095" s="16"/>
      <c r="M2095" s="69"/>
      <c r="N2095" s="69"/>
      <c r="O2095" s="69"/>
      <c r="P2095" s="534"/>
      <c r="Q2095" s="274"/>
      <c r="R2095" s="472"/>
      <c r="S2095" s="535"/>
      <c r="T2095" s="535"/>
      <c r="U2095" s="536"/>
      <c r="V2095" s="474"/>
      <c r="Y2095" s="89"/>
      <c r="Z2095" s="60"/>
      <c r="AA2095" s="60"/>
      <c r="AB2095" s="60"/>
      <c r="AC2095" s="30"/>
      <c r="AD2095" s="30"/>
      <c r="AE2095" s="475"/>
      <c r="AF2095" s="476"/>
      <c r="AG2095" s="474"/>
      <c r="AH2095" s="138"/>
    </row>
    <row r="2096">
      <c r="A2096" s="103"/>
      <c r="B2096" s="533"/>
      <c r="C2096" s="533"/>
      <c r="D2096" s="103"/>
      <c r="E2096" s="103"/>
      <c r="F2096" s="103"/>
      <c r="G2096" s="103"/>
      <c r="H2096" s="131"/>
      <c r="I2096" s="468"/>
      <c r="J2096" s="16"/>
      <c r="K2096" s="16"/>
      <c r="M2096" s="69"/>
      <c r="N2096" s="69"/>
      <c r="O2096" s="69"/>
      <c r="P2096" s="534"/>
      <c r="Q2096" s="274"/>
      <c r="R2096" s="472"/>
      <c r="S2096" s="535"/>
      <c r="T2096" s="535"/>
      <c r="U2096" s="536"/>
      <c r="V2096" s="474"/>
      <c r="Y2096" s="89"/>
      <c r="Z2096" s="60"/>
      <c r="AA2096" s="60"/>
      <c r="AB2096" s="60"/>
      <c r="AC2096" s="30"/>
      <c r="AD2096" s="30"/>
      <c r="AE2096" s="475"/>
      <c r="AF2096" s="476"/>
      <c r="AG2096" s="474"/>
      <c r="AH2096" s="138"/>
    </row>
    <row r="2097">
      <c r="A2097" s="103"/>
      <c r="B2097" s="533"/>
      <c r="C2097" s="533"/>
      <c r="D2097" s="103"/>
      <c r="E2097" s="103"/>
      <c r="F2097" s="103"/>
      <c r="G2097" s="103"/>
      <c r="H2097" s="131"/>
      <c r="I2097" s="468"/>
      <c r="J2097" s="16"/>
      <c r="K2097" s="16"/>
      <c r="M2097" s="69"/>
      <c r="N2097" s="69"/>
      <c r="O2097" s="69"/>
      <c r="P2097" s="534"/>
      <c r="Q2097" s="274"/>
      <c r="R2097" s="472"/>
      <c r="S2097" s="535"/>
      <c r="T2097" s="535"/>
      <c r="U2097" s="536"/>
      <c r="V2097" s="474"/>
      <c r="Y2097" s="89"/>
      <c r="Z2097" s="60"/>
      <c r="AA2097" s="60"/>
      <c r="AB2097" s="60"/>
      <c r="AC2097" s="30"/>
      <c r="AD2097" s="30"/>
      <c r="AE2097" s="475"/>
      <c r="AF2097" s="476"/>
      <c r="AG2097" s="474"/>
      <c r="AH2097" s="138"/>
    </row>
    <row r="2098">
      <c r="A2098" s="103"/>
      <c r="B2098" s="533"/>
      <c r="C2098" s="533"/>
      <c r="D2098" s="103"/>
      <c r="E2098" s="103"/>
      <c r="F2098" s="103"/>
      <c r="G2098" s="103"/>
      <c r="H2098" s="131"/>
      <c r="I2098" s="468"/>
      <c r="J2098" s="16"/>
      <c r="K2098" s="16"/>
      <c r="M2098" s="69"/>
      <c r="N2098" s="69"/>
      <c r="O2098" s="69"/>
      <c r="P2098" s="534"/>
      <c r="Q2098" s="274"/>
      <c r="R2098" s="472"/>
      <c r="S2098" s="535"/>
      <c r="T2098" s="535"/>
      <c r="U2098" s="536"/>
      <c r="V2098" s="474"/>
      <c r="Y2098" s="89"/>
      <c r="Z2098" s="60"/>
      <c r="AA2098" s="60"/>
      <c r="AB2098" s="60"/>
      <c r="AC2098" s="30"/>
      <c r="AD2098" s="30"/>
      <c r="AE2098" s="475"/>
      <c r="AF2098" s="476"/>
      <c r="AG2098" s="474"/>
      <c r="AH2098" s="138"/>
    </row>
    <row r="2099">
      <c r="A2099" s="103"/>
      <c r="B2099" s="533"/>
      <c r="C2099" s="533"/>
      <c r="D2099" s="103"/>
      <c r="E2099" s="103"/>
      <c r="F2099" s="103"/>
      <c r="G2099" s="103"/>
      <c r="H2099" s="131"/>
      <c r="I2099" s="468"/>
      <c r="J2099" s="16"/>
      <c r="K2099" s="16"/>
      <c r="M2099" s="69"/>
      <c r="N2099" s="69"/>
      <c r="O2099" s="69"/>
      <c r="P2099" s="534"/>
      <c r="Q2099" s="274"/>
      <c r="R2099" s="472"/>
      <c r="S2099" s="535"/>
      <c r="T2099" s="535"/>
      <c r="U2099" s="536"/>
      <c r="V2099" s="474"/>
      <c r="Y2099" s="89"/>
      <c r="Z2099" s="60"/>
      <c r="AA2099" s="60"/>
      <c r="AB2099" s="60"/>
      <c r="AC2099" s="30"/>
      <c r="AD2099" s="30"/>
      <c r="AE2099" s="475"/>
      <c r="AF2099" s="476"/>
      <c r="AG2099" s="474"/>
      <c r="AH2099" s="138"/>
    </row>
    <row r="2100">
      <c r="A2100" s="103"/>
      <c r="B2100" s="533"/>
      <c r="C2100" s="533"/>
      <c r="D2100" s="103"/>
      <c r="E2100" s="103"/>
      <c r="F2100" s="103"/>
      <c r="G2100" s="103"/>
      <c r="H2100" s="131"/>
      <c r="I2100" s="468"/>
      <c r="J2100" s="16"/>
      <c r="K2100" s="16"/>
      <c r="M2100" s="69"/>
      <c r="N2100" s="69"/>
      <c r="O2100" s="69"/>
      <c r="P2100" s="534"/>
      <c r="Q2100" s="274"/>
      <c r="R2100" s="472"/>
      <c r="S2100" s="535"/>
      <c r="T2100" s="535"/>
      <c r="U2100" s="536"/>
      <c r="V2100" s="474"/>
      <c r="Y2100" s="89"/>
      <c r="Z2100" s="60"/>
      <c r="AA2100" s="60"/>
      <c r="AB2100" s="60"/>
      <c r="AC2100" s="30"/>
      <c r="AD2100" s="30"/>
      <c r="AE2100" s="475"/>
      <c r="AF2100" s="476"/>
      <c r="AG2100" s="474"/>
      <c r="AH2100" s="138"/>
    </row>
    <row r="2101">
      <c r="A2101" s="103"/>
      <c r="B2101" s="533"/>
      <c r="C2101" s="533"/>
      <c r="D2101" s="103"/>
      <c r="E2101" s="103"/>
      <c r="F2101" s="103"/>
      <c r="G2101" s="103"/>
      <c r="H2101" s="131"/>
      <c r="I2101" s="468"/>
      <c r="J2101" s="16"/>
      <c r="K2101" s="16"/>
      <c r="M2101" s="69"/>
      <c r="N2101" s="69"/>
      <c r="O2101" s="69"/>
      <c r="P2101" s="534"/>
      <c r="Q2101" s="274"/>
      <c r="R2101" s="472"/>
      <c r="S2101" s="535"/>
      <c r="T2101" s="535"/>
      <c r="U2101" s="536"/>
      <c r="V2101" s="474"/>
      <c r="Y2101" s="89"/>
      <c r="Z2101" s="60"/>
      <c r="AA2101" s="60"/>
      <c r="AB2101" s="60"/>
      <c r="AC2101" s="30"/>
      <c r="AD2101" s="30"/>
      <c r="AE2101" s="475"/>
      <c r="AF2101" s="476"/>
      <c r="AG2101" s="474"/>
      <c r="AH2101" s="138"/>
    </row>
    <row r="2102">
      <c r="A2102" s="103"/>
      <c r="B2102" s="533"/>
      <c r="C2102" s="533"/>
      <c r="D2102" s="103"/>
      <c r="E2102" s="103"/>
      <c r="F2102" s="103"/>
      <c r="G2102" s="103"/>
      <c r="H2102" s="131"/>
      <c r="I2102" s="468"/>
      <c r="J2102" s="16"/>
      <c r="K2102" s="16"/>
      <c r="M2102" s="69"/>
      <c r="N2102" s="69"/>
      <c r="O2102" s="69"/>
      <c r="P2102" s="534"/>
      <c r="Q2102" s="274"/>
      <c r="R2102" s="472"/>
      <c r="S2102" s="535"/>
      <c r="T2102" s="535"/>
      <c r="U2102" s="536"/>
      <c r="V2102" s="474"/>
      <c r="Y2102" s="89"/>
      <c r="Z2102" s="60"/>
      <c r="AA2102" s="60"/>
      <c r="AB2102" s="60"/>
      <c r="AC2102" s="30"/>
      <c r="AD2102" s="30"/>
      <c r="AE2102" s="475"/>
      <c r="AF2102" s="476"/>
      <c r="AG2102" s="474"/>
      <c r="AH2102" s="138"/>
    </row>
    <row r="2103">
      <c r="A2103" s="103"/>
      <c r="B2103" s="533"/>
      <c r="C2103" s="533"/>
      <c r="D2103" s="103"/>
      <c r="E2103" s="103"/>
      <c r="F2103" s="103"/>
      <c r="G2103" s="103"/>
      <c r="H2103" s="131"/>
      <c r="I2103" s="468"/>
      <c r="J2103" s="16"/>
      <c r="K2103" s="16"/>
      <c r="M2103" s="69"/>
      <c r="N2103" s="69"/>
      <c r="O2103" s="69"/>
      <c r="P2103" s="534"/>
      <c r="Q2103" s="274"/>
      <c r="R2103" s="472"/>
      <c r="S2103" s="535"/>
      <c r="T2103" s="535"/>
      <c r="U2103" s="536"/>
      <c r="V2103" s="474"/>
      <c r="Y2103" s="89"/>
      <c r="Z2103" s="60"/>
      <c r="AA2103" s="60"/>
      <c r="AB2103" s="60"/>
      <c r="AC2103" s="30"/>
      <c r="AD2103" s="30"/>
      <c r="AE2103" s="475"/>
      <c r="AF2103" s="476"/>
      <c r="AG2103" s="474"/>
      <c r="AH2103" s="138"/>
    </row>
    <row r="2104">
      <c r="A2104" s="103"/>
      <c r="B2104" s="533"/>
      <c r="C2104" s="533"/>
      <c r="D2104" s="103"/>
      <c r="E2104" s="103"/>
      <c r="F2104" s="103"/>
      <c r="G2104" s="103"/>
      <c r="H2104" s="131"/>
      <c r="I2104" s="468"/>
      <c r="J2104" s="16"/>
      <c r="K2104" s="16"/>
      <c r="M2104" s="69"/>
      <c r="N2104" s="69"/>
      <c r="O2104" s="69"/>
      <c r="P2104" s="534"/>
      <c r="Q2104" s="274"/>
      <c r="R2104" s="472"/>
      <c r="S2104" s="535"/>
      <c r="T2104" s="535"/>
      <c r="U2104" s="536"/>
      <c r="V2104" s="474"/>
      <c r="Y2104" s="89"/>
      <c r="Z2104" s="60"/>
      <c r="AA2104" s="60"/>
      <c r="AB2104" s="60"/>
      <c r="AC2104" s="30"/>
      <c r="AD2104" s="30"/>
      <c r="AE2104" s="475"/>
      <c r="AF2104" s="476"/>
      <c r="AG2104" s="474"/>
      <c r="AH2104" s="138"/>
    </row>
    <row r="2105">
      <c r="A2105" s="103"/>
      <c r="B2105" s="533"/>
      <c r="C2105" s="533"/>
      <c r="D2105" s="103"/>
      <c r="E2105" s="103"/>
      <c r="F2105" s="103"/>
      <c r="G2105" s="103"/>
      <c r="H2105" s="131"/>
      <c r="I2105" s="468"/>
      <c r="J2105" s="16"/>
      <c r="K2105" s="16"/>
      <c r="M2105" s="69"/>
      <c r="N2105" s="69"/>
      <c r="O2105" s="69"/>
      <c r="P2105" s="534"/>
      <c r="Q2105" s="274"/>
      <c r="R2105" s="472"/>
      <c r="S2105" s="535"/>
      <c r="T2105" s="535"/>
      <c r="U2105" s="536"/>
      <c r="V2105" s="474"/>
      <c r="Y2105" s="89"/>
      <c r="Z2105" s="60"/>
      <c r="AA2105" s="60"/>
      <c r="AB2105" s="60"/>
      <c r="AC2105" s="30"/>
      <c r="AD2105" s="30"/>
      <c r="AE2105" s="475"/>
      <c r="AF2105" s="476"/>
      <c r="AG2105" s="474"/>
      <c r="AH2105" s="138"/>
    </row>
    <row r="2106">
      <c r="A2106" s="103"/>
      <c r="B2106" s="533"/>
      <c r="C2106" s="533"/>
      <c r="D2106" s="103"/>
      <c r="E2106" s="103"/>
      <c r="F2106" s="103"/>
      <c r="G2106" s="103"/>
      <c r="H2106" s="131"/>
      <c r="I2106" s="468"/>
      <c r="J2106" s="16"/>
      <c r="K2106" s="16"/>
      <c r="M2106" s="69"/>
      <c r="N2106" s="69"/>
      <c r="O2106" s="69"/>
      <c r="P2106" s="534"/>
      <c r="Q2106" s="274"/>
      <c r="R2106" s="472"/>
      <c r="S2106" s="535"/>
      <c r="T2106" s="535"/>
      <c r="U2106" s="536"/>
      <c r="V2106" s="474"/>
      <c r="Y2106" s="89"/>
      <c r="Z2106" s="60"/>
      <c r="AA2106" s="60"/>
      <c r="AB2106" s="60"/>
      <c r="AC2106" s="30"/>
      <c r="AD2106" s="30"/>
      <c r="AE2106" s="475"/>
      <c r="AF2106" s="476"/>
      <c r="AG2106" s="474"/>
      <c r="AH2106" s="138"/>
    </row>
    <row r="2107">
      <c r="A2107" s="103"/>
      <c r="B2107" s="533"/>
      <c r="C2107" s="533"/>
      <c r="D2107" s="103"/>
      <c r="E2107" s="103"/>
      <c r="F2107" s="103"/>
      <c r="G2107" s="103"/>
      <c r="H2107" s="131"/>
      <c r="I2107" s="468"/>
      <c r="J2107" s="16"/>
      <c r="K2107" s="16"/>
      <c r="M2107" s="69"/>
      <c r="N2107" s="69"/>
      <c r="O2107" s="69"/>
      <c r="P2107" s="534"/>
      <c r="Q2107" s="274"/>
      <c r="R2107" s="472"/>
      <c r="S2107" s="535"/>
      <c r="T2107" s="535"/>
      <c r="U2107" s="536"/>
      <c r="V2107" s="474"/>
      <c r="Y2107" s="89"/>
      <c r="Z2107" s="60"/>
      <c r="AA2107" s="60"/>
      <c r="AB2107" s="60"/>
      <c r="AC2107" s="30"/>
      <c r="AD2107" s="30"/>
      <c r="AE2107" s="475"/>
      <c r="AF2107" s="476"/>
      <c r="AG2107" s="474"/>
      <c r="AH2107" s="138"/>
    </row>
    <row r="2108">
      <c r="A2108" s="103"/>
      <c r="B2108" s="533"/>
      <c r="C2108" s="533"/>
      <c r="D2108" s="103"/>
      <c r="E2108" s="103"/>
      <c r="F2108" s="103"/>
      <c r="G2108" s="103"/>
      <c r="H2108" s="131"/>
      <c r="I2108" s="468"/>
      <c r="J2108" s="16"/>
      <c r="K2108" s="16"/>
      <c r="M2108" s="69"/>
      <c r="N2108" s="69"/>
      <c r="O2108" s="69"/>
      <c r="P2108" s="534"/>
      <c r="Q2108" s="274"/>
      <c r="R2108" s="472"/>
      <c r="S2108" s="535"/>
      <c r="T2108" s="535"/>
      <c r="U2108" s="536"/>
      <c r="V2108" s="474"/>
      <c r="Y2108" s="89"/>
      <c r="Z2108" s="60"/>
      <c r="AA2108" s="60"/>
      <c r="AB2108" s="60"/>
      <c r="AC2108" s="30"/>
      <c r="AD2108" s="30"/>
      <c r="AE2108" s="475"/>
      <c r="AF2108" s="476"/>
      <c r="AG2108" s="474"/>
      <c r="AH2108" s="138"/>
    </row>
    <row r="2109">
      <c r="A2109" s="103"/>
      <c r="B2109" s="533"/>
      <c r="C2109" s="533"/>
      <c r="D2109" s="103"/>
      <c r="E2109" s="103"/>
      <c r="F2109" s="103"/>
      <c r="G2109" s="103"/>
      <c r="H2109" s="131"/>
      <c r="I2109" s="468"/>
      <c r="J2109" s="16"/>
      <c r="K2109" s="16"/>
      <c r="M2109" s="69"/>
      <c r="N2109" s="69"/>
      <c r="O2109" s="69"/>
      <c r="P2109" s="534"/>
      <c r="Q2109" s="274"/>
      <c r="R2109" s="472"/>
      <c r="S2109" s="535"/>
      <c r="T2109" s="535"/>
      <c r="U2109" s="536"/>
      <c r="V2109" s="474"/>
      <c r="Y2109" s="89"/>
      <c r="Z2109" s="60"/>
      <c r="AA2109" s="60"/>
      <c r="AB2109" s="60"/>
      <c r="AC2109" s="30"/>
      <c r="AD2109" s="30"/>
      <c r="AE2109" s="475"/>
      <c r="AF2109" s="476"/>
      <c r="AG2109" s="474"/>
      <c r="AH2109" s="138"/>
    </row>
    <row r="2110">
      <c r="A2110" s="103"/>
      <c r="B2110" s="533"/>
      <c r="C2110" s="533"/>
      <c r="D2110" s="103"/>
      <c r="E2110" s="103"/>
      <c r="F2110" s="103"/>
      <c r="G2110" s="103"/>
      <c r="H2110" s="131"/>
      <c r="I2110" s="468"/>
      <c r="J2110" s="16"/>
      <c r="K2110" s="16"/>
      <c r="M2110" s="69"/>
      <c r="N2110" s="69"/>
      <c r="O2110" s="69"/>
      <c r="P2110" s="534"/>
      <c r="Q2110" s="274"/>
      <c r="R2110" s="472"/>
      <c r="S2110" s="535"/>
      <c r="T2110" s="535"/>
      <c r="U2110" s="536"/>
      <c r="V2110" s="474"/>
      <c r="Y2110" s="89"/>
      <c r="Z2110" s="60"/>
      <c r="AA2110" s="60"/>
      <c r="AB2110" s="60"/>
      <c r="AC2110" s="30"/>
      <c r="AD2110" s="30"/>
      <c r="AE2110" s="475"/>
      <c r="AF2110" s="476"/>
      <c r="AG2110" s="474"/>
      <c r="AH2110" s="138"/>
    </row>
    <row r="2111">
      <c r="A2111" s="103"/>
      <c r="B2111" s="533"/>
      <c r="C2111" s="533"/>
      <c r="D2111" s="103"/>
      <c r="E2111" s="103"/>
      <c r="F2111" s="103"/>
      <c r="G2111" s="103"/>
      <c r="H2111" s="131"/>
      <c r="I2111" s="468"/>
      <c r="J2111" s="16"/>
      <c r="K2111" s="16"/>
      <c r="M2111" s="69"/>
      <c r="N2111" s="69"/>
      <c r="O2111" s="69"/>
      <c r="P2111" s="534"/>
      <c r="Q2111" s="274"/>
      <c r="R2111" s="472"/>
      <c r="S2111" s="535"/>
      <c r="T2111" s="535"/>
      <c r="U2111" s="536"/>
      <c r="V2111" s="474"/>
      <c r="Y2111" s="89"/>
      <c r="Z2111" s="60"/>
      <c r="AA2111" s="60"/>
      <c r="AB2111" s="60"/>
      <c r="AC2111" s="30"/>
      <c r="AD2111" s="30"/>
      <c r="AE2111" s="475"/>
      <c r="AF2111" s="476"/>
      <c r="AG2111" s="474"/>
      <c r="AH2111" s="138"/>
    </row>
    <row r="2112">
      <c r="A2112" s="103"/>
      <c r="B2112" s="533"/>
      <c r="C2112" s="533"/>
      <c r="D2112" s="103"/>
      <c r="E2112" s="103"/>
      <c r="F2112" s="103"/>
      <c r="G2112" s="103"/>
      <c r="H2112" s="131"/>
      <c r="I2112" s="468"/>
      <c r="J2112" s="16"/>
      <c r="K2112" s="16"/>
      <c r="M2112" s="69"/>
      <c r="N2112" s="69"/>
      <c r="O2112" s="69"/>
      <c r="P2112" s="534"/>
      <c r="Q2112" s="274"/>
      <c r="R2112" s="472"/>
      <c r="S2112" s="535"/>
      <c r="T2112" s="535"/>
      <c r="U2112" s="536"/>
      <c r="V2112" s="474"/>
      <c r="Y2112" s="89"/>
      <c r="Z2112" s="60"/>
      <c r="AA2112" s="60"/>
      <c r="AB2112" s="60"/>
      <c r="AC2112" s="30"/>
      <c r="AD2112" s="30"/>
      <c r="AE2112" s="475"/>
      <c r="AF2112" s="476"/>
      <c r="AG2112" s="474"/>
      <c r="AH2112" s="138"/>
    </row>
    <row r="2113">
      <c r="A2113" s="103"/>
      <c r="B2113" s="533"/>
      <c r="C2113" s="533"/>
      <c r="D2113" s="103"/>
      <c r="E2113" s="103"/>
      <c r="F2113" s="103"/>
      <c r="G2113" s="103"/>
      <c r="H2113" s="131"/>
      <c r="I2113" s="468"/>
      <c r="J2113" s="16"/>
      <c r="K2113" s="16"/>
      <c r="M2113" s="69"/>
      <c r="N2113" s="69"/>
      <c r="O2113" s="69"/>
      <c r="P2113" s="534"/>
      <c r="Q2113" s="274"/>
      <c r="R2113" s="472"/>
      <c r="S2113" s="535"/>
      <c r="T2113" s="535"/>
      <c r="U2113" s="536"/>
      <c r="V2113" s="474"/>
      <c r="Y2113" s="89"/>
      <c r="Z2113" s="60"/>
      <c r="AA2113" s="60"/>
      <c r="AB2113" s="60"/>
      <c r="AC2113" s="30"/>
      <c r="AD2113" s="30"/>
      <c r="AE2113" s="475"/>
      <c r="AF2113" s="476"/>
      <c r="AG2113" s="474"/>
      <c r="AH2113" s="138"/>
    </row>
    <row r="2114">
      <c r="A2114" s="103"/>
      <c r="B2114" s="533"/>
      <c r="C2114" s="533"/>
      <c r="D2114" s="103"/>
      <c r="E2114" s="103"/>
      <c r="F2114" s="103"/>
      <c r="G2114" s="103"/>
      <c r="H2114" s="131"/>
      <c r="I2114" s="468"/>
      <c r="J2114" s="16"/>
      <c r="K2114" s="16"/>
      <c r="M2114" s="69"/>
      <c r="N2114" s="69"/>
      <c r="O2114" s="69"/>
      <c r="P2114" s="534"/>
      <c r="Q2114" s="274"/>
      <c r="R2114" s="472"/>
      <c r="S2114" s="535"/>
      <c r="T2114" s="535"/>
      <c r="U2114" s="536"/>
      <c r="V2114" s="474"/>
      <c r="Y2114" s="89"/>
      <c r="Z2114" s="60"/>
      <c r="AA2114" s="60"/>
      <c r="AB2114" s="60"/>
      <c r="AC2114" s="30"/>
      <c r="AD2114" s="30"/>
      <c r="AE2114" s="475"/>
      <c r="AF2114" s="476"/>
      <c r="AG2114" s="474"/>
      <c r="AH2114" s="138"/>
    </row>
    <row r="2115">
      <c r="A2115" s="103"/>
      <c r="B2115" s="533"/>
      <c r="C2115" s="533"/>
      <c r="D2115" s="103"/>
      <c r="E2115" s="103"/>
      <c r="F2115" s="103"/>
      <c r="G2115" s="103"/>
      <c r="H2115" s="131"/>
      <c r="I2115" s="468"/>
      <c r="J2115" s="16"/>
      <c r="K2115" s="16"/>
      <c r="M2115" s="69"/>
      <c r="N2115" s="69"/>
      <c r="O2115" s="69"/>
      <c r="P2115" s="534"/>
      <c r="Q2115" s="274"/>
      <c r="R2115" s="472"/>
      <c r="S2115" s="535"/>
      <c r="T2115" s="535"/>
      <c r="U2115" s="536"/>
      <c r="V2115" s="474"/>
      <c r="Y2115" s="89"/>
      <c r="Z2115" s="60"/>
      <c r="AA2115" s="60"/>
      <c r="AB2115" s="60"/>
      <c r="AC2115" s="30"/>
      <c r="AD2115" s="30"/>
      <c r="AE2115" s="475"/>
      <c r="AF2115" s="476"/>
      <c r="AG2115" s="474"/>
      <c r="AH2115" s="138"/>
    </row>
    <row r="2116">
      <c r="A2116" s="103"/>
      <c r="B2116" s="533"/>
      <c r="C2116" s="533"/>
      <c r="D2116" s="103"/>
      <c r="E2116" s="103"/>
      <c r="F2116" s="103"/>
      <c r="G2116" s="103"/>
      <c r="H2116" s="131"/>
      <c r="I2116" s="468"/>
      <c r="J2116" s="16"/>
      <c r="K2116" s="16"/>
      <c r="M2116" s="69"/>
      <c r="N2116" s="69"/>
      <c r="O2116" s="69"/>
      <c r="P2116" s="534"/>
      <c r="Q2116" s="274"/>
      <c r="R2116" s="472"/>
      <c r="S2116" s="535"/>
      <c r="T2116" s="535"/>
      <c r="U2116" s="536"/>
      <c r="V2116" s="474"/>
      <c r="Y2116" s="89"/>
      <c r="Z2116" s="60"/>
      <c r="AA2116" s="60"/>
      <c r="AB2116" s="60"/>
      <c r="AC2116" s="30"/>
      <c r="AD2116" s="30"/>
      <c r="AE2116" s="475"/>
      <c r="AF2116" s="476"/>
      <c r="AG2116" s="474"/>
      <c r="AH2116" s="138"/>
    </row>
    <row r="2117">
      <c r="A2117" s="103"/>
      <c r="B2117" s="533"/>
      <c r="C2117" s="533"/>
      <c r="D2117" s="103"/>
      <c r="E2117" s="103"/>
      <c r="F2117" s="103"/>
      <c r="G2117" s="103"/>
      <c r="H2117" s="131"/>
      <c r="I2117" s="468"/>
      <c r="J2117" s="16"/>
      <c r="K2117" s="16"/>
      <c r="M2117" s="69"/>
      <c r="N2117" s="69"/>
      <c r="O2117" s="69"/>
      <c r="P2117" s="534"/>
      <c r="Q2117" s="274"/>
      <c r="R2117" s="472"/>
      <c r="S2117" s="535"/>
      <c r="T2117" s="535"/>
      <c r="U2117" s="536"/>
      <c r="V2117" s="474"/>
      <c r="Y2117" s="89"/>
      <c r="Z2117" s="60"/>
      <c r="AA2117" s="60"/>
      <c r="AB2117" s="60"/>
      <c r="AC2117" s="30"/>
      <c r="AD2117" s="30"/>
      <c r="AE2117" s="475"/>
      <c r="AF2117" s="476"/>
      <c r="AG2117" s="474"/>
      <c r="AH2117" s="138"/>
    </row>
    <row r="2118">
      <c r="A2118" s="103"/>
      <c r="B2118" s="533"/>
      <c r="C2118" s="533"/>
      <c r="D2118" s="103"/>
      <c r="E2118" s="103"/>
      <c r="F2118" s="103"/>
      <c r="G2118" s="103"/>
      <c r="H2118" s="131"/>
      <c r="I2118" s="468"/>
      <c r="J2118" s="16"/>
      <c r="K2118" s="16"/>
      <c r="M2118" s="69"/>
      <c r="N2118" s="69"/>
      <c r="O2118" s="69"/>
      <c r="P2118" s="534"/>
      <c r="Q2118" s="274"/>
      <c r="R2118" s="472"/>
      <c r="S2118" s="535"/>
      <c r="T2118" s="535"/>
      <c r="U2118" s="536"/>
      <c r="V2118" s="474"/>
      <c r="Y2118" s="89"/>
      <c r="Z2118" s="60"/>
      <c r="AA2118" s="60"/>
      <c r="AB2118" s="60"/>
      <c r="AC2118" s="30"/>
      <c r="AD2118" s="30"/>
      <c r="AE2118" s="475"/>
      <c r="AF2118" s="476"/>
      <c r="AG2118" s="474"/>
      <c r="AH2118" s="138"/>
    </row>
    <row r="2119">
      <c r="A2119" s="103"/>
      <c r="B2119" s="533"/>
      <c r="C2119" s="533"/>
      <c r="D2119" s="103"/>
      <c r="E2119" s="103"/>
      <c r="F2119" s="103"/>
      <c r="G2119" s="103"/>
      <c r="H2119" s="131"/>
      <c r="I2119" s="468"/>
      <c r="J2119" s="16"/>
      <c r="K2119" s="16"/>
      <c r="M2119" s="69"/>
      <c r="N2119" s="69"/>
      <c r="O2119" s="69"/>
      <c r="P2119" s="534"/>
      <c r="Q2119" s="274"/>
      <c r="R2119" s="472"/>
      <c r="S2119" s="535"/>
      <c r="T2119" s="535"/>
      <c r="U2119" s="536"/>
      <c r="V2119" s="474"/>
      <c r="Y2119" s="89"/>
      <c r="Z2119" s="60"/>
      <c r="AA2119" s="60"/>
      <c r="AB2119" s="60"/>
      <c r="AC2119" s="30"/>
      <c r="AD2119" s="30"/>
      <c r="AE2119" s="475"/>
      <c r="AF2119" s="476"/>
      <c r="AG2119" s="474"/>
      <c r="AH2119" s="138"/>
    </row>
    <row r="2120">
      <c r="A2120" s="103"/>
      <c r="B2120" s="533"/>
      <c r="C2120" s="533"/>
      <c r="D2120" s="103"/>
      <c r="E2120" s="103"/>
      <c r="F2120" s="103"/>
      <c r="G2120" s="103"/>
      <c r="H2120" s="131"/>
      <c r="I2120" s="468"/>
      <c r="J2120" s="16"/>
      <c r="K2120" s="16"/>
      <c r="M2120" s="69"/>
      <c r="N2120" s="69"/>
      <c r="O2120" s="69"/>
      <c r="P2120" s="534"/>
      <c r="Q2120" s="274"/>
      <c r="R2120" s="472"/>
      <c r="S2120" s="535"/>
      <c r="T2120" s="535"/>
      <c r="U2120" s="536"/>
      <c r="V2120" s="474"/>
      <c r="Y2120" s="89"/>
      <c r="Z2120" s="60"/>
      <c r="AA2120" s="60"/>
      <c r="AB2120" s="60"/>
      <c r="AC2120" s="30"/>
      <c r="AD2120" s="30"/>
      <c r="AE2120" s="475"/>
      <c r="AF2120" s="476"/>
      <c r="AG2120" s="474"/>
      <c r="AH2120" s="138"/>
    </row>
    <row r="2121">
      <c r="A2121" s="103"/>
      <c r="B2121" s="533"/>
      <c r="C2121" s="533"/>
      <c r="D2121" s="103"/>
      <c r="E2121" s="103"/>
      <c r="F2121" s="103"/>
      <c r="G2121" s="103"/>
      <c r="H2121" s="131"/>
      <c r="I2121" s="468"/>
      <c r="J2121" s="16"/>
      <c r="K2121" s="16"/>
      <c r="M2121" s="69"/>
      <c r="N2121" s="69"/>
      <c r="O2121" s="69"/>
      <c r="P2121" s="534"/>
      <c r="Q2121" s="274"/>
      <c r="R2121" s="472"/>
      <c r="S2121" s="535"/>
      <c r="T2121" s="535"/>
      <c r="U2121" s="536"/>
      <c r="V2121" s="474"/>
      <c r="Y2121" s="89"/>
      <c r="Z2121" s="60"/>
      <c r="AA2121" s="60"/>
      <c r="AB2121" s="60"/>
      <c r="AC2121" s="30"/>
      <c r="AD2121" s="30"/>
      <c r="AE2121" s="475"/>
      <c r="AF2121" s="476"/>
      <c r="AG2121" s="474"/>
      <c r="AH2121" s="138"/>
    </row>
    <row r="2122">
      <c r="A2122" s="103"/>
      <c r="B2122" s="533"/>
      <c r="C2122" s="533"/>
      <c r="D2122" s="103"/>
      <c r="E2122" s="103"/>
      <c r="F2122" s="103"/>
      <c r="G2122" s="103"/>
      <c r="H2122" s="131"/>
      <c r="I2122" s="468"/>
      <c r="J2122" s="16"/>
      <c r="K2122" s="16"/>
      <c r="M2122" s="69"/>
      <c r="N2122" s="69"/>
      <c r="O2122" s="69"/>
      <c r="P2122" s="534"/>
      <c r="Q2122" s="274"/>
      <c r="R2122" s="472"/>
      <c r="S2122" s="535"/>
      <c r="T2122" s="535"/>
      <c r="U2122" s="536"/>
      <c r="V2122" s="474"/>
      <c r="Y2122" s="89"/>
      <c r="Z2122" s="60"/>
      <c r="AA2122" s="60"/>
      <c r="AB2122" s="60"/>
      <c r="AC2122" s="30"/>
      <c r="AD2122" s="30"/>
      <c r="AE2122" s="475"/>
      <c r="AF2122" s="476"/>
      <c r="AG2122" s="474"/>
      <c r="AH2122" s="138"/>
    </row>
    <row r="2123">
      <c r="A2123" s="103"/>
      <c r="B2123" s="533"/>
      <c r="C2123" s="533"/>
      <c r="D2123" s="103"/>
      <c r="E2123" s="103"/>
      <c r="F2123" s="103"/>
      <c r="G2123" s="103"/>
      <c r="H2123" s="131"/>
      <c r="I2123" s="468"/>
      <c r="J2123" s="16"/>
      <c r="K2123" s="16"/>
      <c r="M2123" s="69"/>
      <c r="N2123" s="69"/>
      <c r="O2123" s="69"/>
      <c r="P2123" s="534"/>
      <c r="Q2123" s="274"/>
      <c r="R2123" s="472"/>
      <c r="S2123" s="535"/>
      <c r="T2123" s="535"/>
      <c r="U2123" s="536"/>
      <c r="V2123" s="474"/>
      <c r="Y2123" s="89"/>
      <c r="Z2123" s="60"/>
      <c r="AA2123" s="60"/>
      <c r="AB2123" s="60"/>
      <c r="AC2123" s="30"/>
      <c r="AD2123" s="30"/>
      <c r="AE2123" s="475"/>
      <c r="AF2123" s="476"/>
      <c r="AG2123" s="474"/>
      <c r="AH2123" s="138"/>
    </row>
    <row r="2124">
      <c r="A2124" s="103"/>
      <c r="B2124" s="533"/>
      <c r="C2124" s="533"/>
      <c r="D2124" s="103"/>
      <c r="E2124" s="103"/>
      <c r="F2124" s="103"/>
      <c r="G2124" s="103"/>
      <c r="H2124" s="131"/>
      <c r="I2124" s="468"/>
      <c r="J2124" s="16"/>
      <c r="K2124" s="16"/>
      <c r="M2124" s="69"/>
      <c r="N2124" s="69"/>
      <c r="O2124" s="69"/>
      <c r="P2124" s="534"/>
      <c r="Q2124" s="274"/>
      <c r="R2124" s="472"/>
      <c r="S2124" s="535"/>
      <c r="T2124" s="535"/>
      <c r="U2124" s="536"/>
      <c r="V2124" s="474"/>
      <c r="Y2124" s="89"/>
      <c r="Z2124" s="60"/>
      <c r="AA2124" s="60"/>
      <c r="AB2124" s="60"/>
      <c r="AC2124" s="30"/>
      <c r="AD2124" s="30"/>
      <c r="AE2124" s="475"/>
      <c r="AF2124" s="476"/>
      <c r="AG2124" s="474"/>
      <c r="AH2124" s="138"/>
    </row>
    <row r="2125">
      <c r="A2125" s="103"/>
      <c r="B2125" s="533"/>
      <c r="C2125" s="533"/>
      <c r="D2125" s="103"/>
      <c r="E2125" s="103"/>
      <c r="F2125" s="103"/>
      <c r="G2125" s="103"/>
      <c r="H2125" s="131"/>
      <c r="I2125" s="468"/>
      <c r="J2125" s="16"/>
      <c r="K2125" s="16"/>
      <c r="M2125" s="69"/>
      <c r="N2125" s="69"/>
      <c r="O2125" s="69"/>
      <c r="P2125" s="534"/>
      <c r="Q2125" s="274"/>
      <c r="R2125" s="472"/>
      <c r="S2125" s="535"/>
      <c r="T2125" s="535"/>
      <c r="U2125" s="536"/>
      <c r="V2125" s="474"/>
      <c r="Y2125" s="89"/>
      <c r="Z2125" s="60"/>
      <c r="AA2125" s="60"/>
      <c r="AB2125" s="60"/>
      <c r="AC2125" s="30"/>
      <c r="AD2125" s="30"/>
      <c r="AE2125" s="475"/>
      <c r="AF2125" s="476"/>
      <c r="AG2125" s="474"/>
      <c r="AH2125" s="138"/>
    </row>
    <row r="2126">
      <c r="A2126" s="103"/>
      <c r="B2126" s="533"/>
      <c r="C2126" s="533"/>
      <c r="D2126" s="103"/>
      <c r="E2126" s="103"/>
      <c r="F2126" s="103"/>
      <c r="G2126" s="103"/>
      <c r="H2126" s="131"/>
      <c r="I2126" s="468"/>
      <c r="J2126" s="16"/>
      <c r="K2126" s="16"/>
      <c r="M2126" s="69"/>
      <c r="N2126" s="69"/>
      <c r="O2126" s="69"/>
      <c r="P2126" s="534"/>
      <c r="Q2126" s="274"/>
      <c r="R2126" s="472"/>
      <c r="S2126" s="535"/>
      <c r="T2126" s="535"/>
      <c r="U2126" s="536"/>
      <c r="V2126" s="474"/>
      <c r="Y2126" s="89"/>
      <c r="Z2126" s="60"/>
      <c r="AA2126" s="60"/>
      <c r="AB2126" s="60"/>
      <c r="AC2126" s="30"/>
      <c r="AD2126" s="30"/>
      <c r="AE2126" s="475"/>
      <c r="AF2126" s="476"/>
      <c r="AG2126" s="474"/>
      <c r="AH2126" s="138"/>
    </row>
    <row r="2127">
      <c r="A2127" s="103"/>
      <c r="B2127" s="533"/>
      <c r="C2127" s="533"/>
      <c r="D2127" s="103"/>
      <c r="E2127" s="103"/>
      <c r="F2127" s="103"/>
      <c r="G2127" s="103"/>
      <c r="H2127" s="131"/>
      <c r="I2127" s="468"/>
      <c r="J2127" s="16"/>
      <c r="K2127" s="16"/>
      <c r="M2127" s="69"/>
      <c r="N2127" s="69"/>
      <c r="O2127" s="69"/>
      <c r="P2127" s="534"/>
      <c r="Q2127" s="274"/>
      <c r="R2127" s="472"/>
      <c r="S2127" s="535"/>
      <c r="T2127" s="535"/>
      <c r="U2127" s="536"/>
      <c r="V2127" s="474"/>
      <c r="Y2127" s="89"/>
      <c r="Z2127" s="60"/>
      <c r="AA2127" s="60"/>
      <c r="AB2127" s="60"/>
      <c r="AC2127" s="30"/>
      <c r="AD2127" s="30"/>
      <c r="AE2127" s="475"/>
      <c r="AF2127" s="476"/>
      <c r="AG2127" s="474"/>
      <c r="AH2127" s="138"/>
    </row>
    <row r="2128">
      <c r="A2128" s="103"/>
      <c r="B2128" s="533"/>
      <c r="C2128" s="533"/>
      <c r="D2128" s="103"/>
      <c r="E2128" s="103"/>
      <c r="F2128" s="103"/>
      <c r="G2128" s="103"/>
      <c r="H2128" s="131"/>
      <c r="I2128" s="468"/>
      <c r="J2128" s="16"/>
      <c r="K2128" s="16"/>
      <c r="M2128" s="69"/>
      <c r="N2128" s="69"/>
      <c r="O2128" s="69"/>
      <c r="P2128" s="534"/>
      <c r="Q2128" s="274"/>
      <c r="R2128" s="472"/>
      <c r="S2128" s="535"/>
      <c r="T2128" s="535"/>
      <c r="U2128" s="536"/>
      <c r="V2128" s="474"/>
      <c r="Y2128" s="89"/>
      <c r="Z2128" s="60"/>
      <c r="AA2128" s="60"/>
      <c r="AB2128" s="60"/>
      <c r="AC2128" s="30"/>
      <c r="AD2128" s="30"/>
      <c r="AE2128" s="475"/>
      <c r="AF2128" s="476"/>
      <c r="AG2128" s="474"/>
      <c r="AH2128" s="138"/>
    </row>
    <row r="2129">
      <c r="A2129" s="103"/>
      <c r="B2129" s="533"/>
      <c r="C2129" s="533"/>
      <c r="D2129" s="103"/>
      <c r="E2129" s="103"/>
      <c r="F2129" s="103"/>
      <c r="G2129" s="103"/>
      <c r="H2129" s="131"/>
      <c r="I2129" s="468"/>
      <c r="J2129" s="16"/>
      <c r="K2129" s="16"/>
      <c r="M2129" s="69"/>
      <c r="N2129" s="69"/>
      <c r="O2129" s="69"/>
      <c r="P2129" s="534"/>
      <c r="Q2129" s="274"/>
      <c r="R2129" s="472"/>
      <c r="S2129" s="535"/>
      <c r="T2129" s="535"/>
      <c r="U2129" s="536"/>
      <c r="V2129" s="474"/>
      <c r="Y2129" s="89"/>
      <c r="Z2129" s="60"/>
      <c r="AA2129" s="60"/>
      <c r="AB2129" s="60"/>
      <c r="AC2129" s="30"/>
      <c r="AD2129" s="30"/>
      <c r="AE2129" s="475"/>
      <c r="AF2129" s="476"/>
      <c r="AG2129" s="474"/>
      <c r="AH2129" s="138"/>
    </row>
    <row r="2130">
      <c r="A2130" s="103"/>
      <c r="B2130" s="533"/>
      <c r="C2130" s="533"/>
      <c r="D2130" s="103"/>
      <c r="E2130" s="103"/>
      <c r="F2130" s="103"/>
      <c r="G2130" s="103"/>
      <c r="H2130" s="131"/>
      <c r="I2130" s="468"/>
      <c r="J2130" s="16"/>
      <c r="K2130" s="16"/>
      <c r="M2130" s="69"/>
      <c r="N2130" s="69"/>
      <c r="O2130" s="69"/>
      <c r="P2130" s="534"/>
      <c r="Q2130" s="274"/>
      <c r="R2130" s="472"/>
      <c r="S2130" s="535"/>
      <c r="T2130" s="535"/>
      <c r="U2130" s="536"/>
      <c r="V2130" s="474"/>
      <c r="Y2130" s="89"/>
      <c r="Z2130" s="60"/>
      <c r="AA2130" s="60"/>
      <c r="AB2130" s="60"/>
      <c r="AC2130" s="30"/>
      <c r="AD2130" s="30"/>
      <c r="AE2130" s="475"/>
      <c r="AF2130" s="476"/>
      <c r="AG2130" s="474"/>
      <c r="AH2130" s="138"/>
    </row>
    <row r="2131">
      <c r="A2131" s="103"/>
      <c r="B2131" s="533"/>
      <c r="C2131" s="533"/>
      <c r="D2131" s="103"/>
      <c r="E2131" s="103"/>
      <c r="F2131" s="103"/>
      <c r="G2131" s="103"/>
      <c r="H2131" s="131"/>
      <c r="I2131" s="468"/>
      <c r="J2131" s="16"/>
      <c r="K2131" s="16"/>
      <c r="M2131" s="69"/>
      <c r="N2131" s="69"/>
      <c r="O2131" s="69"/>
      <c r="P2131" s="534"/>
      <c r="Q2131" s="274"/>
      <c r="R2131" s="472"/>
      <c r="S2131" s="535"/>
      <c r="T2131" s="535"/>
      <c r="U2131" s="536"/>
      <c r="V2131" s="474"/>
      <c r="Y2131" s="89"/>
      <c r="Z2131" s="60"/>
      <c r="AA2131" s="60"/>
      <c r="AB2131" s="60"/>
      <c r="AC2131" s="30"/>
      <c r="AD2131" s="30"/>
      <c r="AE2131" s="475"/>
      <c r="AF2131" s="476"/>
      <c r="AG2131" s="474"/>
      <c r="AH2131" s="138"/>
    </row>
    <row r="2132">
      <c r="A2132" s="103"/>
      <c r="B2132" s="533"/>
      <c r="C2132" s="533"/>
      <c r="D2132" s="103"/>
      <c r="E2132" s="103"/>
      <c r="F2132" s="103"/>
      <c r="G2132" s="103"/>
      <c r="H2132" s="131"/>
      <c r="I2132" s="468"/>
      <c r="J2132" s="16"/>
      <c r="K2132" s="16"/>
      <c r="M2132" s="69"/>
      <c r="N2132" s="69"/>
      <c r="O2132" s="69"/>
      <c r="P2132" s="534"/>
      <c r="Q2132" s="274"/>
      <c r="R2132" s="472"/>
      <c r="S2132" s="535"/>
      <c r="T2132" s="535"/>
      <c r="U2132" s="536"/>
      <c r="V2132" s="474"/>
      <c r="Y2132" s="89"/>
      <c r="Z2132" s="60"/>
      <c r="AA2132" s="60"/>
      <c r="AB2132" s="60"/>
      <c r="AC2132" s="30"/>
      <c r="AD2132" s="30"/>
      <c r="AE2132" s="475"/>
      <c r="AF2132" s="476"/>
      <c r="AG2132" s="474"/>
      <c r="AH2132" s="138"/>
    </row>
    <row r="2133">
      <c r="A2133" s="103"/>
      <c r="B2133" s="533"/>
      <c r="C2133" s="533"/>
      <c r="D2133" s="103"/>
      <c r="E2133" s="103"/>
      <c r="F2133" s="103"/>
      <c r="G2133" s="103"/>
      <c r="H2133" s="131"/>
      <c r="I2133" s="468"/>
      <c r="J2133" s="16"/>
      <c r="K2133" s="16"/>
      <c r="M2133" s="69"/>
      <c r="N2133" s="69"/>
      <c r="O2133" s="69"/>
      <c r="P2133" s="534"/>
      <c r="Q2133" s="274"/>
      <c r="R2133" s="472"/>
      <c r="S2133" s="535"/>
      <c r="T2133" s="535"/>
      <c r="U2133" s="536"/>
      <c r="V2133" s="474"/>
      <c r="Y2133" s="89"/>
      <c r="Z2133" s="60"/>
      <c r="AA2133" s="60"/>
      <c r="AB2133" s="60"/>
      <c r="AC2133" s="30"/>
      <c r="AD2133" s="30"/>
      <c r="AE2133" s="475"/>
      <c r="AF2133" s="476"/>
      <c r="AG2133" s="474"/>
      <c r="AH2133" s="138"/>
    </row>
    <row r="2134">
      <c r="A2134" s="103"/>
      <c r="B2134" s="533"/>
      <c r="C2134" s="533"/>
      <c r="D2134" s="103"/>
      <c r="E2134" s="103"/>
      <c r="F2134" s="103"/>
      <c r="G2134" s="103"/>
      <c r="H2134" s="131"/>
      <c r="I2134" s="468"/>
      <c r="J2134" s="16"/>
      <c r="K2134" s="16"/>
      <c r="M2134" s="69"/>
      <c r="N2134" s="69"/>
      <c r="O2134" s="69"/>
      <c r="P2134" s="534"/>
      <c r="Q2134" s="274"/>
      <c r="R2134" s="472"/>
      <c r="S2134" s="535"/>
      <c r="T2134" s="535"/>
      <c r="U2134" s="536"/>
      <c r="V2134" s="474"/>
      <c r="Y2134" s="89"/>
      <c r="Z2134" s="60"/>
      <c r="AA2134" s="60"/>
      <c r="AB2134" s="60"/>
      <c r="AC2134" s="30"/>
      <c r="AD2134" s="30"/>
      <c r="AE2134" s="475"/>
      <c r="AF2134" s="476"/>
      <c r="AG2134" s="474"/>
      <c r="AH2134" s="138"/>
    </row>
    <row r="2135">
      <c r="A2135" s="103"/>
      <c r="B2135" s="533"/>
      <c r="C2135" s="533"/>
      <c r="D2135" s="103"/>
      <c r="E2135" s="103"/>
      <c r="F2135" s="103"/>
      <c r="G2135" s="103"/>
      <c r="H2135" s="131"/>
      <c r="I2135" s="468"/>
      <c r="J2135" s="16"/>
      <c r="K2135" s="16"/>
      <c r="M2135" s="69"/>
      <c r="N2135" s="69"/>
      <c r="O2135" s="69"/>
      <c r="P2135" s="534"/>
      <c r="Q2135" s="274"/>
      <c r="R2135" s="472"/>
      <c r="S2135" s="535"/>
      <c r="T2135" s="535"/>
      <c r="U2135" s="536"/>
      <c r="V2135" s="474"/>
      <c r="Y2135" s="89"/>
      <c r="Z2135" s="60"/>
      <c r="AA2135" s="60"/>
      <c r="AB2135" s="60"/>
      <c r="AC2135" s="30"/>
      <c r="AD2135" s="30"/>
      <c r="AE2135" s="475"/>
      <c r="AF2135" s="476"/>
      <c r="AG2135" s="474"/>
      <c r="AH2135" s="138"/>
    </row>
    <row r="2136">
      <c r="A2136" s="103"/>
      <c r="B2136" s="533"/>
      <c r="C2136" s="533"/>
      <c r="D2136" s="103"/>
      <c r="E2136" s="103"/>
      <c r="F2136" s="103"/>
      <c r="G2136" s="103"/>
      <c r="H2136" s="131"/>
      <c r="I2136" s="468"/>
      <c r="J2136" s="16"/>
      <c r="K2136" s="16"/>
      <c r="M2136" s="69"/>
      <c r="N2136" s="69"/>
      <c r="O2136" s="69"/>
      <c r="P2136" s="534"/>
      <c r="Q2136" s="274"/>
      <c r="R2136" s="472"/>
      <c r="S2136" s="535"/>
      <c r="T2136" s="535"/>
      <c r="U2136" s="536"/>
      <c r="V2136" s="474"/>
      <c r="Y2136" s="89"/>
      <c r="Z2136" s="60"/>
      <c r="AA2136" s="60"/>
      <c r="AB2136" s="60"/>
      <c r="AC2136" s="30"/>
      <c r="AD2136" s="30"/>
      <c r="AE2136" s="475"/>
      <c r="AF2136" s="476"/>
      <c r="AG2136" s="474"/>
      <c r="AH2136" s="138"/>
    </row>
    <row r="2137">
      <c r="A2137" s="103"/>
      <c r="B2137" s="533"/>
      <c r="C2137" s="533"/>
      <c r="D2137" s="103"/>
      <c r="E2137" s="103"/>
      <c r="F2137" s="103"/>
      <c r="G2137" s="103"/>
      <c r="H2137" s="131"/>
      <c r="I2137" s="468"/>
      <c r="J2137" s="16"/>
      <c r="K2137" s="16"/>
      <c r="M2137" s="69"/>
      <c r="N2137" s="69"/>
      <c r="O2137" s="69"/>
      <c r="P2137" s="534"/>
      <c r="Q2137" s="274"/>
      <c r="R2137" s="472"/>
      <c r="S2137" s="535"/>
      <c r="T2137" s="535"/>
      <c r="U2137" s="536"/>
      <c r="V2137" s="474"/>
      <c r="Y2137" s="89"/>
      <c r="Z2137" s="60"/>
      <c r="AA2137" s="60"/>
      <c r="AB2137" s="60"/>
      <c r="AC2137" s="30"/>
      <c r="AD2137" s="30"/>
      <c r="AE2137" s="475"/>
      <c r="AF2137" s="476"/>
      <c r="AG2137" s="474"/>
      <c r="AH2137" s="138"/>
    </row>
    <row r="2138">
      <c r="A2138" s="103"/>
      <c r="B2138" s="533"/>
      <c r="C2138" s="533"/>
      <c r="D2138" s="103"/>
      <c r="E2138" s="103"/>
      <c r="F2138" s="103"/>
      <c r="G2138" s="103"/>
      <c r="H2138" s="131"/>
      <c r="I2138" s="468"/>
      <c r="J2138" s="16"/>
      <c r="K2138" s="16"/>
      <c r="M2138" s="69"/>
      <c r="N2138" s="69"/>
      <c r="O2138" s="69"/>
      <c r="P2138" s="534"/>
      <c r="Q2138" s="274"/>
      <c r="R2138" s="472"/>
      <c r="S2138" s="535"/>
      <c r="T2138" s="535"/>
      <c r="U2138" s="536"/>
      <c r="V2138" s="474"/>
      <c r="Y2138" s="89"/>
      <c r="Z2138" s="60"/>
      <c r="AA2138" s="60"/>
      <c r="AB2138" s="60"/>
      <c r="AC2138" s="30"/>
      <c r="AD2138" s="30"/>
      <c r="AE2138" s="475"/>
      <c r="AF2138" s="476"/>
      <c r="AG2138" s="474"/>
      <c r="AH2138" s="138"/>
    </row>
    <row r="2139">
      <c r="A2139" s="103"/>
      <c r="B2139" s="533"/>
      <c r="C2139" s="533"/>
      <c r="D2139" s="103"/>
      <c r="E2139" s="103"/>
      <c r="F2139" s="103"/>
      <c r="G2139" s="103"/>
      <c r="H2139" s="131"/>
      <c r="I2139" s="468"/>
      <c r="J2139" s="16"/>
      <c r="K2139" s="16"/>
      <c r="M2139" s="69"/>
      <c r="N2139" s="69"/>
      <c r="O2139" s="69"/>
      <c r="P2139" s="534"/>
      <c r="Q2139" s="274"/>
      <c r="R2139" s="472"/>
      <c r="S2139" s="535"/>
      <c r="T2139" s="535"/>
      <c r="U2139" s="536"/>
      <c r="V2139" s="474"/>
      <c r="Y2139" s="89"/>
      <c r="Z2139" s="60"/>
      <c r="AA2139" s="60"/>
      <c r="AB2139" s="60"/>
      <c r="AC2139" s="30"/>
      <c r="AD2139" s="30"/>
      <c r="AE2139" s="475"/>
      <c r="AF2139" s="476"/>
      <c r="AG2139" s="474"/>
      <c r="AH2139" s="138"/>
    </row>
    <row r="2140">
      <c r="A2140" s="103"/>
      <c r="B2140" s="533"/>
      <c r="C2140" s="533"/>
      <c r="D2140" s="103"/>
      <c r="E2140" s="103"/>
      <c r="F2140" s="103"/>
      <c r="G2140" s="103"/>
      <c r="H2140" s="131"/>
      <c r="I2140" s="468"/>
      <c r="J2140" s="16"/>
      <c r="K2140" s="16"/>
      <c r="M2140" s="69"/>
      <c r="N2140" s="69"/>
      <c r="O2140" s="69"/>
      <c r="P2140" s="534"/>
      <c r="Q2140" s="274"/>
      <c r="R2140" s="472"/>
      <c r="S2140" s="535"/>
      <c r="T2140" s="535"/>
      <c r="U2140" s="536"/>
      <c r="V2140" s="474"/>
      <c r="Y2140" s="89"/>
      <c r="Z2140" s="60"/>
      <c r="AA2140" s="60"/>
      <c r="AB2140" s="60"/>
      <c r="AC2140" s="30"/>
      <c r="AD2140" s="30"/>
      <c r="AE2140" s="475"/>
      <c r="AF2140" s="476"/>
      <c r="AG2140" s="474"/>
      <c r="AH2140" s="138"/>
    </row>
    <row r="2141">
      <c r="A2141" s="103"/>
      <c r="B2141" s="533"/>
      <c r="C2141" s="533"/>
      <c r="D2141" s="103"/>
      <c r="E2141" s="103"/>
      <c r="F2141" s="103"/>
      <c r="G2141" s="103"/>
      <c r="H2141" s="131"/>
      <c r="I2141" s="468"/>
      <c r="J2141" s="16"/>
      <c r="K2141" s="16"/>
      <c r="M2141" s="69"/>
      <c r="N2141" s="69"/>
      <c r="O2141" s="69"/>
      <c r="P2141" s="534"/>
      <c r="Q2141" s="274"/>
      <c r="R2141" s="472"/>
      <c r="S2141" s="535"/>
      <c r="T2141" s="535"/>
      <c r="U2141" s="536"/>
      <c r="V2141" s="474"/>
      <c r="Y2141" s="89"/>
      <c r="Z2141" s="60"/>
      <c r="AA2141" s="60"/>
      <c r="AB2141" s="60"/>
      <c r="AC2141" s="30"/>
      <c r="AD2141" s="30"/>
      <c r="AE2141" s="475"/>
      <c r="AF2141" s="476"/>
      <c r="AG2141" s="474"/>
      <c r="AH2141" s="138"/>
    </row>
    <row r="2142">
      <c r="A2142" s="103"/>
      <c r="B2142" s="533"/>
      <c r="C2142" s="533"/>
      <c r="D2142" s="103"/>
      <c r="E2142" s="103"/>
      <c r="F2142" s="103"/>
      <c r="G2142" s="103"/>
      <c r="H2142" s="131"/>
      <c r="I2142" s="468"/>
      <c r="J2142" s="16"/>
      <c r="K2142" s="16"/>
      <c r="M2142" s="69"/>
      <c r="N2142" s="69"/>
      <c r="O2142" s="69"/>
      <c r="P2142" s="534"/>
      <c r="Q2142" s="274"/>
      <c r="R2142" s="472"/>
      <c r="S2142" s="535"/>
      <c r="T2142" s="535"/>
      <c r="U2142" s="536"/>
      <c r="V2142" s="474"/>
      <c r="Y2142" s="89"/>
      <c r="Z2142" s="60"/>
      <c r="AA2142" s="60"/>
      <c r="AB2142" s="60"/>
      <c r="AC2142" s="30"/>
      <c r="AD2142" s="30"/>
      <c r="AE2142" s="475"/>
      <c r="AF2142" s="476"/>
      <c r="AG2142" s="474"/>
      <c r="AH2142" s="138"/>
    </row>
    <row r="2143">
      <c r="A2143" s="103"/>
      <c r="B2143" s="533"/>
      <c r="C2143" s="533"/>
      <c r="D2143" s="103"/>
      <c r="E2143" s="103"/>
      <c r="F2143" s="103"/>
      <c r="G2143" s="103"/>
      <c r="H2143" s="131"/>
      <c r="I2143" s="468"/>
      <c r="J2143" s="16"/>
      <c r="K2143" s="16"/>
      <c r="M2143" s="69"/>
      <c r="N2143" s="69"/>
      <c r="O2143" s="69"/>
      <c r="P2143" s="534"/>
      <c r="Q2143" s="274"/>
      <c r="R2143" s="472"/>
      <c r="S2143" s="535"/>
      <c r="T2143" s="535"/>
      <c r="U2143" s="536"/>
      <c r="V2143" s="474"/>
      <c r="Y2143" s="89"/>
      <c r="Z2143" s="60"/>
      <c r="AA2143" s="60"/>
      <c r="AB2143" s="60"/>
      <c r="AC2143" s="30"/>
      <c r="AD2143" s="30"/>
      <c r="AE2143" s="475"/>
      <c r="AF2143" s="476"/>
      <c r="AG2143" s="474"/>
      <c r="AH2143" s="138"/>
    </row>
    <row r="2144">
      <c r="A2144" s="103"/>
      <c r="B2144" s="533"/>
      <c r="C2144" s="533"/>
      <c r="D2144" s="103"/>
      <c r="E2144" s="103"/>
      <c r="F2144" s="103"/>
      <c r="G2144" s="103"/>
      <c r="H2144" s="131"/>
      <c r="I2144" s="468"/>
      <c r="J2144" s="16"/>
      <c r="K2144" s="16"/>
      <c r="M2144" s="69"/>
      <c r="N2144" s="69"/>
      <c r="O2144" s="69"/>
      <c r="P2144" s="534"/>
      <c r="Q2144" s="274"/>
      <c r="R2144" s="472"/>
      <c r="S2144" s="535"/>
      <c r="T2144" s="535"/>
      <c r="U2144" s="536"/>
      <c r="V2144" s="474"/>
      <c r="Y2144" s="89"/>
      <c r="Z2144" s="60"/>
      <c r="AA2144" s="60"/>
      <c r="AB2144" s="60"/>
      <c r="AC2144" s="30"/>
      <c r="AD2144" s="30"/>
      <c r="AE2144" s="475"/>
      <c r="AF2144" s="476"/>
      <c r="AG2144" s="474"/>
      <c r="AH2144" s="138"/>
    </row>
    <row r="2145">
      <c r="A2145" s="103"/>
      <c r="B2145" s="533"/>
      <c r="C2145" s="533"/>
      <c r="D2145" s="103"/>
      <c r="E2145" s="103"/>
      <c r="F2145" s="103"/>
      <c r="G2145" s="103"/>
      <c r="H2145" s="131"/>
      <c r="I2145" s="468"/>
      <c r="J2145" s="16"/>
      <c r="K2145" s="16"/>
      <c r="M2145" s="69"/>
      <c r="N2145" s="69"/>
      <c r="O2145" s="69"/>
      <c r="P2145" s="534"/>
      <c r="Q2145" s="274"/>
      <c r="R2145" s="472"/>
      <c r="S2145" s="535"/>
      <c r="T2145" s="535"/>
      <c r="U2145" s="536"/>
      <c r="V2145" s="474"/>
      <c r="Y2145" s="89"/>
      <c r="Z2145" s="60"/>
      <c r="AA2145" s="60"/>
      <c r="AB2145" s="60"/>
      <c r="AC2145" s="30"/>
      <c r="AD2145" s="30"/>
      <c r="AE2145" s="475"/>
      <c r="AF2145" s="476"/>
      <c r="AG2145" s="474"/>
      <c r="AH2145" s="138"/>
    </row>
    <row r="2146">
      <c r="A2146" s="103"/>
      <c r="B2146" s="533"/>
      <c r="C2146" s="533"/>
      <c r="D2146" s="103"/>
      <c r="E2146" s="103"/>
      <c r="F2146" s="103"/>
      <c r="G2146" s="103"/>
      <c r="H2146" s="131"/>
      <c r="I2146" s="468"/>
      <c r="J2146" s="16"/>
      <c r="K2146" s="16"/>
      <c r="M2146" s="69"/>
      <c r="N2146" s="69"/>
      <c r="O2146" s="69"/>
      <c r="P2146" s="534"/>
      <c r="Q2146" s="274"/>
      <c r="R2146" s="472"/>
      <c r="S2146" s="535"/>
      <c r="T2146" s="535"/>
      <c r="U2146" s="536"/>
      <c r="V2146" s="474"/>
      <c r="Y2146" s="89"/>
      <c r="Z2146" s="60"/>
      <c r="AA2146" s="60"/>
      <c r="AB2146" s="60"/>
      <c r="AC2146" s="30"/>
      <c r="AD2146" s="30"/>
      <c r="AE2146" s="475"/>
      <c r="AF2146" s="476"/>
      <c r="AG2146" s="474"/>
      <c r="AH2146" s="138"/>
    </row>
    <row r="2147">
      <c r="A2147" s="103"/>
      <c r="B2147" s="533"/>
      <c r="C2147" s="533"/>
      <c r="D2147" s="103"/>
      <c r="E2147" s="103"/>
      <c r="F2147" s="103"/>
      <c r="G2147" s="103"/>
      <c r="H2147" s="131"/>
      <c r="I2147" s="468"/>
      <c r="J2147" s="16"/>
      <c r="K2147" s="16"/>
      <c r="M2147" s="69"/>
      <c r="N2147" s="69"/>
      <c r="O2147" s="69"/>
      <c r="P2147" s="534"/>
      <c r="Q2147" s="274"/>
      <c r="R2147" s="472"/>
      <c r="S2147" s="535"/>
      <c r="T2147" s="535"/>
      <c r="U2147" s="536"/>
      <c r="V2147" s="474"/>
      <c r="Y2147" s="89"/>
      <c r="Z2147" s="60"/>
      <c r="AA2147" s="60"/>
      <c r="AB2147" s="60"/>
      <c r="AC2147" s="30"/>
      <c r="AD2147" s="30"/>
      <c r="AE2147" s="475"/>
      <c r="AF2147" s="476"/>
      <c r="AG2147" s="474"/>
      <c r="AH2147" s="138"/>
    </row>
    <row r="2148">
      <c r="A2148" s="103"/>
      <c r="B2148" s="533"/>
      <c r="C2148" s="533"/>
      <c r="D2148" s="103"/>
      <c r="E2148" s="103"/>
      <c r="F2148" s="103"/>
      <c r="G2148" s="103"/>
      <c r="H2148" s="131"/>
      <c r="I2148" s="468"/>
      <c r="J2148" s="16"/>
      <c r="K2148" s="16"/>
      <c r="M2148" s="69"/>
      <c r="N2148" s="69"/>
      <c r="O2148" s="69"/>
      <c r="P2148" s="534"/>
      <c r="Q2148" s="274"/>
      <c r="R2148" s="472"/>
      <c r="S2148" s="535"/>
      <c r="T2148" s="535"/>
      <c r="U2148" s="536"/>
      <c r="V2148" s="474"/>
      <c r="Y2148" s="89"/>
      <c r="Z2148" s="60"/>
      <c r="AA2148" s="60"/>
      <c r="AB2148" s="60"/>
      <c r="AC2148" s="30"/>
      <c r="AD2148" s="30"/>
      <c r="AE2148" s="475"/>
      <c r="AF2148" s="476"/>
      <c r="AG2148" s="474"/>
      <c r="AH2148" s="138"/>
    </row>
    <row r="2149">
      <c r="A2149" s="103"/>
      <c r="B2149" s="533"/>
      <c r="C2149" s="533"/>
      <c r="D2149" s="103"/>
      <c r="E2149" s="103"/>
      <c r="F2149" s="103"/>
      <c r="G2149" s="103"/>
      <c r="H2149" s="131"/>
      <c r="I2149" s="468"/>
      <c r="J2149" s="16"/>
      <c r="K2149" s="16"/>
      <c r="M2149" s="69"/>
      <c r="N2149" s="69"/>
      <c r="O2149" s="69"/>
      <c r="P2149" s="534"/>
      <c r="Q2149" s="274"/>
      <c r="R2149" s="472"/>
      <c r="S2149" s="535"/>
      <c r="T2149" s="535"/>
      <c r="U2149" s="536"/>
      <c r="V2149" s="474"/>
      <c r="Y2149" s="89"/>
      <c r="Z2149" s="60"/>
      <c r="AA2149" s="60"/>
      <c r="AB2149" s="60"/>
      <c r="AC2149" s="30"/>
      <c r="AD2149" s="30"/>
      <c r="AE2149" s="475"/>
      <c r="AF2149" s="476"/>
      <c r="AG2149" s="474"/>
      <c r="AH2149" s="138"/>
    </row>
    <row r="2150">
      <c r="A2150" s="103"/>
      <c r="B2150" s="533"/>
      <c r="C2150" s="533"/>
      <c r="D2150" s="103"/>
      <c r="E2150" s="103"/>
      <c r="F2150" s="103"/>
      <c r="G2150" s="103"/>
      <c r="H2150" s="131"/>
      <c r="I2150" s="468"/>
      <c r="J2150" s="16"/>
      <c r="K2150" s="16"/>
      <c r="M2150" s="69"/>
      <c r="N2150" s="69"/>
      <c r="O2150" s="69"/>
      <c r="P2150" s="534"/>
      <c r="Q2150" s="274"/>
      <c r="R2150" s="472"/>
      <c r="S2150" s="535"/>
      <c r="T2150" s="535"/>
      <c r="U2150" s="536"/>
      <c r="V2150" s="474"/>
      <c r="Y2150" s="89"/>
      <c r="Z2150" s="60"/>
      <c r="AA2150" s="60"/>
      <c r="AB2150" s="60"/>
      <c r="AC2150" s="30"/>
      <c r="AD2150" s="30"/>
      <c r="AE2150" s="475"/>
      <c r="AF2150" s="476"/>
      <c r="AG2150" s="474"/>
      <c r="AH2150" s="138"/>
    </row>
    <row r="2151">
      <c r="A2151" s="103"/>
      <c r="B2151" s="533"/>
      <c r="C2151" s="533"/>
      <c r="D2151" s="103"/>
      <c r="E2151" s="103"/>
      <c r="F2151" s="103"/>
      <c r="G2151" s="103"/>
      <c r="H2151" s="131"/>
      <c r="I2151" s="468"/>
      <c r="J2151" s="16"/>
      <c r="K2151" s="16"/>
      <c r="M2151" s="69"/>
      <c r="N2151" s="69"/>
      <c r="O2151" s="69"/>
      <c r="P2151" s="534"/>
      <c r="Q2151" s="274"/>
      <c r="R2151" s="472"/>
      <c r="S2151" s="535"/>
      <c r="T2151" s="535"/>
      <c r="U2151" s="536"/>
      <c r="V2151" s="474"/>
      <c r="Y2151" s="89"/>
      <c r="Z2151" s="60"/>
      <c r="AA2151" s="60"/>
      <c r="AB2151" s="60"/>
      <c r="AC2151" s="30"/>
      <c r="AD2151" s="30"/>
      <c r="AE2151" s="475"/>
      <c r="AF2151" s="476"/>
      <c r="AG2151" s="474"/>
      <c r="AH2151" s="138"/>
    </row>
    <row r="2152">
      <c r="A2152" s="103"/>
      <c r="B2152" s="533"/>
      <c r="C2152" s="533"/>
      <c r="D2152" s="103"/>
      <c r="E2152" s="103"/>
      <c r="F2152" s="103"/>
      <c r="G2152" s="103"/>
      <c r="H2152" s="131"/>
      <c r="I2152" s="468"/>
      <c r="J2152" s="16"/>
      <c r="K2152" s="16"/>
      <c r="M2152" s="69"/>
      <c r="N2152" s="69"/>
      <c r="O2152" s="69"/>
      <c r="P2152" s="534"/>
      <c r="Q2152" s="274"/>
      <c r="R2152" s="472"/>
      <c r="S2152" s="535"/>
      <c r="T2152" s="535"/>
      <c r="U2152" s="536"/>
      <c r="V2152" s="474"/>
      <c r="Y2152" s="89"/>
      <c r="Z2152" s="60"/>
      <c r="AA2152" s="60"/>
      <c r="AB2152" s="60"/>
      <c r="AC2152" s="30"/>
      <c r="AD2152" s="30"/>
      <c r="AE2152" s="475"/>
      <c r="AF2152" s="476"/>
      <c r="AG2152" s="474"/>
      <c r="AH2152" s="138"/>
    </row>
    <row r="2153">
      <c r="A2153" s="103"/>
      <c r="B2153" s="533"/>
      <c r="C2153" s="533"/>
      <c r="D2153" s="103"/>
      <c r="E2153" s="103"/>
      <c r="F2153" s="103"/>
      <c r="G2153" s="103"/>
      <c r="H2153" s="131"/>
      <c r="I2153" s="468"/>
      <c r="J2153" s="16"/>
      <c r="K2153" s="16"/>
      <c r="M2153" s="69"/>
      <c r="N2153" s="69"/>
      <c r="O2153" s="69"/>
      <c r="P2153" s="534"/>
      <c r="Q2153" s="274"/>
      <c r="R2153" s="472"/>
      <c r="S2153" s="535"/>
      <c r="T2153" s="535"/>
      <c r="U2153" s="536"/>
      <c r="V2153" s="474"/>
      <c r="Y2153" s="89"/>
      <c r="Z2153" s="60"/>
      <c r="AA2153" s="60"/>
      <c r="AB2153" s="60"/>
      <c r="AC2153" s="30"/>
      <c r="AD2153" s="30"/>
      <c r="AE2153" s="475"/>
      <c r="AF2153" s="476"/>
      <c r="AG2153" s="474"/>
      <c r="AH2153" s="138"/>
    </row>
    <row r="2154">
      <c r="A2154" s="103"/>
      <c r="B2154" s="533"/>
      <c r="C2154" s="533"/>
      <c r="D2154" s="103"/>
      <c r="E2154" s="103"/>
      <c r="F2154" s="103"/>
      <c r="G2154" s="103"/>
      <c r="H2154" s="131"/>
      <c r="I2154" s="468"/>
      <c r="J2154" s="16"/>
      <c r="K2154" s="16"/>
      <c r="M2154" s="69"/>
      <c r="N2154" s="69"/>
      <c r="O2154" s="69"/>
      <c r="P2154" s="534"/>
      <c r="Q2154" s="274"/>
      <c r="R2154" s="472"/>
      <c r="S2154" s="535"/>
      <c r="T2154" s="535"/>
      <c r="U2154" s="536"/>
      <c r="V2154" s="474"/>
      <c r="Y2154" s="89"/>
      <c r="Z2154" s="60"/>
      <c r="AA2154" s="60"/>
      <c r="AB2154" s="60"/>
      <c r="AC2154" s="30"/>
      <c r="AD2154" s="30"/>
      <c r="AE2154" s="475"/>
      <c r="AF2154" s="476"/>
      <c r="AG2154" s="474"/>
      <c r="AH2154" s="138"/>
    </row>
    <row r="2155">
      <c r="A2155" s="103"/>
      <c r="B2155" s="533"/>
      <c r="C2155" s="533"/>
      <c r="D2155" s="103"/>
      <c r="E2155" s="103"/>
      <c r="F2155" s="103"/>
      <c r="G2155" s="103"/>
      <c r="H2155" s="131"/>
      <c r="I2155" s="468"/>
      <c r="J2155" s="16"/>
      <c r="K2155" s="16"/>
      <c r="M2155" s="69"/>
      <c r="N2155" s="69"/>
      <c r="O2155" s="69"/>
      <c r="P2155" s="534"/>
      <c r="Q2155" s="274"/>
      <c r="R2155" s="472"/>
      <c r="S2155" s="535"/>
      <c r="T2155" s="535"/>
      <c r="U2155" s="536"/>
      <c r="V2155" s="474"/>
      <c r="Y2155" s="89"/>
      <c r="Z2155" s="60"/>
      <c r="AA2155" s="60"/>
      <c r="AB2155" s="60"/>
      <c r="AC2155" s="30"/>
      <c r="AD2155" s="30"/>
      <c r="AE2155" s="475"/>
      <c r="AF2155" s="476"/>
      <c r="AG2155" s="474"/>
      <c r="AH2155" s="138"/>
    </row>
    <row r="2156">
      <c r="A2156" s="103"/>
      <c r="B2156" s="533"/>
      <c r="C2156" s="533"/>
      <c r="D2156" s="103"/>
      <c r="E2156" s="103"/>
      <c r="F2156" s="103"/>
      <c r="G2156" s="103"/>
      <c r="H2156" s="131"/>
      <c r="I2156" s="468"/>
      <c r="J2156" s="16"/>
      <c r="K2156" s="16"/>
      <c r="M2156" s="69"/>
      <c r="N2156" s="69"/>
      <c r="O2156" s="69"/>
      <c r="P2156" s="534"/>
      <c r="Q2156" s="274"/>
      <c r="R2156" s="472"/>
      <c r="S2156" s="535"/>
      <c r="T2156" s="535"/>
      <c r="U2156" s="536"/>
      <c r="V2156" s="474"/>
      <c r="Y2156" s="89"/>
      <c r="Z2156" s="60"/>
      <c r="AA2156" s="60"/>
      <c r="AB2156" s="60"/>
      <c r="AC2156" s="30"/>
      <c r="AD2156" s="30"/>
      <c r="AE2156" s="475"/>
      <c r="AF2156" s="476"/>
      <c r="AG2156" s="474"/>
      <c r="AH2156" s="138"/>
    </row>
    <row r="2157">
      <c r="A2157" s="103"/>
      <c r="B2157" s="533"/>
      <c r="C2157" s="533"/>
      <c r="D2157" s="103"/>
      <c r="E2157" s="103"/>
      <c r="F2157" s="103"/>
      <c r="G2157" s="103"/>
      <c r="H2157" s="131"/>
      <c r="I2157" s="468"/>
      <c r="J2157" s="16"/>
      <c r="K2157" s="16"/>
      <c r="M2157" s="69"/>
      <c r="N2157" s="69"/>
      <c r="O2157" s="69"/>
      <c r="P2157" s="534"/>
      <c r="Q2157" s="274"/>
      <c r="R2157" s="472"/>
      <c r="S2157" s="535"/>
      <c r="T2157" s="535"/>
      <c r="U2157" s="536"/>
      <c r="V2157" s="474"/>
      <c r="Y2157" s="89"/>
      <c r="Z2157" s="60"/>
      <c r="AA2157" s="60"/>
      <c r="AB2157" s="60"/>
      <c r="AC2157" s="30"/>
      <c r="AD2157" s="30"/>
      <c r="AE2157" s="475"/>
      <c r="AF2157" s="476"/>
      <c r="AG2157" s="474"/>
      <c r="AH2157" s="138"/>
    </row>
    <row r="2158">
      <c r="A2158" s="103"/>
      <c r="B2158" s="533"/>
      <c r="C2158" s="533"/>
      <c r="D2158" s="103"/>
      <c r="E2158" s="103"/>
      <c r="F2158" s="103"/>
      <c r="G2158" s="103"/>
      <c r="H2158" s="131"/>
      <c r="I2158" s="468"/>
      <c r="J2158" s="16"/>
      <c r="K2158" s="16"/>
      <c r="M2158" s="69"/>
      <c r="N2158" s="69"/>
      <c r="O2158" s="69"/>
      <c r="P2158" s="534"/>
      <c r="Q2158" s="274"/>
      <c r="R2158" s="472"/>
      <c r="S2158" s="535"/>
      <c r="T2158" s="535"/>
      <c r="U2158" s="536"/>
      <c r="V2158" s="474"/>
      <c r="Y2158" s="89"/>
      <c r="Z2158" s="60"/>
      <c r="AA2158" s="60"/>
      <c r="AB2158" s="60"/>
      <c r="AC2158" s="30"/>
      <c r="AD2158" s="30"/>
      <c r="AE2158" s="475"/>
      <c r="AF2158" s="476"/>
      <c r="AG2158" s="474"/>
      <c r="AH2158" s="138"/>
    </row>
    <row r="2159">
      <c r="A2159" s="103"/>
      <c r="B2159" s="533"/>
      <c r="C2159" s="533"/>
      <c r="D2159" s="103"/>
      <c r="E2159" s="103"/>
      <c r="F2159" s="103"/>
      <c r="G2159" s="103"/>
      <c r="H2159" s="131"/>
      <c r="I2159" s="468"/>
      <c r="J2159" s="16"/>
      <c r="K2159" s="16"/>
      <c r="M2159" s="69"/>
      <c r="N2159" s="69"/>
      <c r="O2159" s="69"/>
      <c r="P2159" s="534"/>
      <c r="Q2159" s="274"/>
      <c r="R2159" s="472"/>
      <c r="S2159" s="535"/>
      <c r="T2159" s="535"/>
      <c r="U2159" s="536"/>
      <c r="V2159" s="474"/>
      <c r="Y2159" s="89"/>
      <c r="Z2159" s="60"/>
      <c r="AA2159" s="60"/>
      <c r="AB2159" s="60"/>
      <c r="AC2159" s="30"/>
      <c r="AD2159" s="30"/>
      <c r="AE2159" s="475"/>
      <c r="AF2159" s="476"/>
      <c r="AG2159" s="474"/>
      <c r="AH2159" s="138"/>
    </row>
    <row r="2160">
      <c r="A2160" s="103"/>
      <c r="B2160" s="533"/>
      <c r="C2160" s="533"/>
      <c r="D2160" s="103"/>
      <c r="E2160" s="103"/>
      <c r="F2160" s="103"/>
      <c r="G2160" s="103"/>
      <c r="H2160" s="131"/>
      <c r="I2160" s="468"/>
      <c r="J2160" s="16"/>
      <c r="K2160" s="16"/>
      <c r="M2160" s="69"/>
      <c r="N2160" s="69"/>
      <c r="O2160" s="69"/>
      <c r="P2160" s="534"/>
      <c r="Q2160" s="274"/>
      <c r="R2160" s="472"/>
      <c r="S2160" s="535"/>
      <c r="T2160" s="535"/>
      <c r="U2160" s="536"/>
      <c r="V2160" s="474"/>
      <c r="Y2160" s="89"/>
      <c r="Z2160" s="60"/>
      <c r="AA2160" s="60"/>
      <c r="AB2160" s="60"/>
      <c r="AC2160" s="30"/>
      <c r="AD2160" s="30"/>
      <c r="AE2160" s="475"/>
      <c r="AF2160" s="476"/>
      <c r="AG2160" s="474"/>
      <c r="AH2160" s="138"/>
    </row>
    <row r="2161">
      <c r="A2161" s="103"/>
      <c r="B2161" s="533"/>
      <c r="C2161" s="533"/>
      <c r="D2161" s="103"/>
      <c r="E2161" s="103"/>
      <c r="F2161" s="103"/>
      <c r="G2161" s="103"/>
      <c r="H2161" s="131"/>
      <c r="I2161" s="468"/>
      <c r="J2161" s="16"/>
      <c r="K2161" s="16"/>
      <c r="M2161" s="69"/>
      <c r="N2161" s="69"/>
      <c r="O2161" s="69"/>
      <c r="P2161" s="534"/>
      <c r="Q2161" s="274"/>
      <c r="R2161" s="472"/>
      <c r="S2161" s="535"/>
      <c r="T2161" s="535"/>
      <c r="U2161" s="536"/>
      <c r="V2161" s="474"/>
      <c r="Y2161" s="89"/>
      <c r="Z2161" s="60"/>
      <c r="AA2161" s="60"/>
      <c r="AB2161" s="60"/>
      <c r="AC2161" s="30"/>
      <c r="AD2161" s="30"/>
      <c r="AE2161" s="475"/>
      <c r="AF2161" s="476"/>
      <c r="AG2161" s="474"/>
      <c r="AH2161" s="138"/>
    </row>
    <row r="2162">
      <c r="A2162" s="103"/>
      <c r="B2162" s="533"/>
      <c r="C2162" s="533"/>
      <c r="D2162" s="103"/>
      <c r="E2162" s="103"/>
      <c r="F2162" s="103"/>
      <c r="G2162" s="103"/>
      <c r="H2162" s="131"/>
      <c r="I2162" s="468"/>
      <c r="J2162" s="16"/>
      <c r="K2162" s="16"/>
      <c r="M2162" s="69"/>
      <c r="N2162" s="69"/>
      <c r="O2162" s="69"/>
      <c r="P2162" s="534"/>
      <c r="Q2162" s="274"/>
      <c r="R2162" s="472"/>
      <c r="S2162" s="535"/>
      <c r="T2162" s="535"/>
      <c r="U2162" s="536"/>
      <c r="V2162" s="474"/>
      <c r="Y2162" s="89"/>
      <c r="Z2162" s="60"/>
      <c r="AA2162" s="60"/>
      <c r="AB2162" s="60"/>
      <c r="AC2162" s="30"/>
      <c r="AD2162" s="30"/>
      <c r="AE2162" s="475"/>
      <c r="AF2162" s="476"/>
      <c r="AG2162" s="474"/>
      <c r="AH2162" s="138"/>
    </row>
    <row r="2163">
      <c r="A2163" s="103"/>
      <c r="B2163" s="533"/>
      <c r="C2163" s="533"/>
      <c r="D2163" s="103"/>
      <c r="E2163" s="103"/>
      <c r="F2163" s="103"/>
      <c r="G2163" s="103"/>
      <c r="H2163" s="131"/>
      <c r="I2163" s="468"/>
      <c r="J2163" s="16"/>
      <c r="K2163" s="16"/>
      <c r="M2163" s="69"/>
      <c r="N2163" s="69"/>
      <c r="O2163" s="69"/>
      <c r="P2163" s="534"/>
      <c r="Q2163" s="274"/>
      <c r="R2163" s="472"/>
      <c r="S2163" s="535"/>
      <c r="T2163" s="535"/>
      <c r="U2163" s="536"/>
      <c r="V2163" s="474"/>
      <c r="Y2163" s="89"/>
      <c r="Z2163" s="60"/>
      <c r="AA2163" s="60"/>
      <c r="AB2163" s="60"/>
      <c r="AC2163" s="30"/>
      <c r="AD2163" s="30"/>
      <c r="AE2163" s="475"/>
      <c r="AF2163" s="476"/>
      <c r="AG2163" s="474"/>
      <c r="AH2163" s="138"/>
    </row>
    <row r="2164">
      <c r="A2164" s="103"/>
      <c r="B2164" s="533"/>
      <c r="C2164" s="533"/>
      <c r="D2164" s="103"/>
      <c r="E2164" s="103"/>
      <c r="F2164" s="103"/>
      <c r="G2164" s="103"/>
      <c r="H2164" s="131"/>
      <c r="I2164" s="468"/>
      <c r="J2164" s="16"/>
      <c r="K2164" s="16"/>
      <c r="M2164" s="69"/>
      <c r="N2164" s="69"/>
      <c r="O2164" s="69"/>
      <c r="P2164" s="534"/>
      <c r="Q2164" s="274"/>
      <c r="R2164" s="472"/>
      <c r="S2164" s="535"/>
      <c r="T2164" s="535"/>
      <c r="U2164" s="536"/>
      <c r="V2164" s="474"/>
      <c r="Y2164" s="89"/>
      <c r="Z2164" s="60"/>
      <c r="AA2164" s="60"/>
      <c r="AB2164" s="60"/>
      <c r="AC2164" s="30"/>
      <c r="AD2164" s="30"/>
      <c r="AE2164" s="475"/>
      <c r="AF2164" s="476"/>
      <c r="AG2164" s="474"/>
      <c r="AH2164" s="138"/>
    </row>
    <row r="2165">
      <c r="A2165" s="103"/>
      <c r="B2165" s="533"/>
      <c r="C2165" s="533"/>
      <c r="D2165" s="103"/>
      <c r="E2165" s="103"/>
      <c r="F2165" s="103"/>
      <c r="G2165" s="103"/>
      <c r="H2165" s="131"/>
      <c r="I2165" s="468"/>
      <c r="J2165" s="16"/>
      <c r="K2165" s="16"/>
      <c r="M2165" s="69"/>
      <c r="N2165" s="69"/>
      <c r="O2165" s="69"/>
      <c r="P2165" s="534"/>
      <c r="Q2165" s="274"/>
      <c r="R2165" s="472"/>
      <c r="S2165" s="535"/>
      <c r="T2165" s="535"/>
      <c r="U2165" s="536"/>
      <c r="V2165" s="474"/>
      <c r="Y2165" s="89"/>
      <c r="Z2165" s="60"/>
      <c r="AA2165" s="60"/>
      <c r="AB2165" s="60"/>
      <c r="AC2165" s="30"/>
      <c r="AD2165" s="30"/>
      <c r="AE2165" s="475"/>
      <c r="AF2165" s="476"/>
      <c r="AG2165" s="474"/>
      <c r="AH2165" s="138"/>
    </row>
    <row r="2166">
      <c r="A2166" s="103"/>
      <c r="B2166" s="533"/>
      <c r="C2166" s="533"/>
      <c r="D2166" s="103"/>
      <c r="E2166" s="103"/>
      <c r="F2166" s="103"/>
      <c r="G2166" s="103"/>
      <c r="H2166" s="131"/>
      <c r="I2166" s="468"/>
      <c r="J2166" s="16"/>
      <c r="K2166" s="16"/>
      <c r="M2166" s="69"/>
      <c r="N2166" s="69"/>
      <c r="O2166" s="69"/>
      <c r="P2166" s="534"/>
      <c r="Q2166" s="274"/>
      <c r="R2166" s="472"/>
      <c r="S2166" s="535"/>
      <c r="T2166" s="535"/>
      <c r="U2166" s="536"/>
      <c r="V2166" s="474"/>
      <c r="Y2166" s="89"/>
      <c r="Z2166" s="60"/>
      <c r="AA2166" s="60"/>
      <c r="AB2166" s="60"/>
      <c r="AC2166" s="30"/>
      <c r="AD2166" s="30"/>
      <c r="AE2166" s="475"/>
      <c r="AF2166" s="476"/>
      <c r="AG2166" s="474"/>
      <c r="AH2166" s="138"/>
    </row>
    <row r="2167">
      <c r="A2167" s="103"/>
      <c r="B2167" s="533"/>
      <c r="C2167" s="533"/>
      <c r="D2167" s="103"/>
      <c r="E2167" s="103"/>
      <c r="F2167" s="103"/>
      <c r="G2167" s="103"/>
      <c r="H2167" s="131"/>
      <c r="I2167" s="468"/>
      <c r="J2167" s="16"/>
      <c r="K2167" s="16"/>
      <c r="M2167" s="69"/>
      <c r="N2167" s="69"/>
      <c r="O2167" s="69"/>
      <c r="P2167" s="534"/>
      <c r="Q2167" s="274"/>
      <c r="R2167" s="472"/>
      <c r="S2167" s="535"/>
      <c r="T2167" s="535"/>
      <c r="U2167" s="536"/>
      <c r="V2167" s="474"/>
      <c r="Y2167" s="89"/>
      <c r="Z2167" s="60"/>
      <c r="AA2167" s="60"/>
      <c r="AB2167" s="60"/>
      <c r="AC2167" s="30"/>
      <c r="AD2167" s="30"/>
      <c r="AE2167" s="475"/>
      <c r="AF2167" s="476"/>
      <c r="AG2167" s="474"/>
      <c r="AH2167" s="138"/>
    </row>
    <row r="2168">
      <c r="A2168" s="103"/>
      <c r="B2168" s="533"/>
      <c r="C2168" s="533"/>
      <c r="D2168" s="103"/>
      <c r="E2168" s="103"/>
      <c r="F2168" s="103"/>
      <c r="G2168" s="103"/>
      <c r="H2168" s="131"/>
      <c r="I2168" s="468"/>
      <c r="J2168" s="16"/>
      <c r="K2168" s="16"/>
      <c r="M2168" s="69"/>
      <c r="N2168" s="69"/>
      <c r="O2168" s="69"/>
      <c r="P2168" s="534"/>
      <c r="Q2168" s="274"/>
      <c r="R2168" s="472"/>
      <c r="S2168" s="535"/>
      <c r="T2168" s="535"/>
      <c r="U2168" s="536"/>
      <c r="V2168" s="474"/>
      <c r="Y2168" s="89"/>
      <c r="Z2168" s="60"/>
      <c r="AA2168" s="60"/>
      <c r="AB2168" s="60"/>
      <c r="AC2168" s="30"/>
      <c r="AD2168" s="30"/>
      <c r="AE2168" s="475"/>
      <c r="AF2168" s="476"/>
      <c r="AG2168" s="474"/>
      <c r="AH2168" s="138"/>
    </row>
    <row r="2169">
      <c r="A2169" s="103"/>
      <c r="B2169" s="533"/>
      <c r="C2169" s="533"/>
      <c r="D2169" s="103"/>
      <c r="E2169" s="103"/>
      <c r="F2169" s="103"/>
      <c r="G2169" s="103"/>
      <c r="H2169" s="131"/>
      <c r="I2169" s="468"/>
      <c r="J2169" s="16"/>
      <c r="K2169" s="16"/>
      <c r="M2169" s="69"/>
      <c r="N2169" s="69"/>
      <c r="O2169" s="69"/>
      <c r="P2169" s="534"/>
      <c r="Q2169" s="274"/>
      <c r="R2169" s="472"/>
      <c r="S2169" s="535"/>
      <c r="T2169" s="535"/>
      <c r="U2169" s="536"/>
      <c r="V2169" s="474"/>
      <c r="Y2169" s="89"/>
      <c r="Z2169" s="60"/>
      <c r="AA2169" s="60"/>
      <c r="AB2169" s="60"/>
      <c r="AC2169" s="30"/>
      <c r="AD2169" s="30"/>
      <c r="AE2169" s="475"/>
      <c r="AF2169" s="476"/>
      <c r="AG2169" s="474"/>
      <c r="AH2169" s="138"/>
    </row>
    <row r="2170">
      <c r="A2170" s="103"/>
      <c r="B2170" s="533"/>
      <c r="C2170" s="533"/>
      <c r="D2170" s="103"/>
      <c r="E2170" s="103"/>
      <c r="F2170" s="103"/>
      <c r="G2170" s="103"/>
      <c r="H2170" s="131"/>
      <c r="I2170" s="468"/>
      <c r="J2170" s="16"/>
      <c r="K2170" s="16"/>
      <c r="M2170" s="69"/>
      <c r="N2170" s="69"/>
      <c r="O2170" s="69"/>
      <c r="P2170" s="534"/>
      <c r="Q2170" s="274"/>
      <c r="R2170" s="472"/>
      <c r="S2170" s="535"/>
      <c r="T2170" s="535"/>
      <c r="U2170" s="536"/>
      <c r="V2170" s="474"/>
      <c r="Y2170" s="89"/>
      <c r="Z2170" s="60"/>
      <c r="AA2170" s="60"/>
      <c r="AB2170" s="60"/>
      <c r="AC2170" s="30"/>
      <c r="AD2170" s="30"/>
      <c r="AE2170" s="475"/>
      <c r="AF2170" s="476"/>
      <c r="AG2170" s="474"/>
      <c r="AH2170" s="138"/>
    </row>
    <row r="2171">
      <c r="A2171" s="103"/>
      <c r="B2171" s="533"/>
      <c r="C2171" s="533"/>
      <c r="D2171" s="103"/>
      <c r="E2171" s="103"/>
      <c r="F2171" s="103"/>
      <c r="G2171" s="103"/>
      <c r="H2171" s="131"/>
      <c r="I2171" s="468"/>
      <c r="J2171" s="16"/>
      <c r="K2171" s="16"/>
      <c r="M2171" s="69"/>
      <c r="N2171" s="69"/>
      <c r="O2171" s="69"/>
      <c r="P2171" s="534"/>
      <c r="Q2171" s="274"/>
      <c r="R2171" s="472"/>
      <c r="S2171" s="535"/>
      <c r="T2171" s="535"/>
      <c r="U2171" s="536"/>
      <c r="V2171" s="474"/>
      <c r="Y2171" s="89"/>
      <c r="Z2171" s="60"/>
      <c r="AA2171" s="60"/>
      <c r="AB2171" s="60"/>
      <c r="AC2171" s="30"/>
      <c r="AD2171" s="30"/>
      <c r="AE2171" s="475"/>
      <c r="AF2171" s="476"/>
      <c r="AG2171" s="474"/>
      <c r="AH2171" s="138"/>
    </row>
    <row r="2172">
      <c r="A2172" s="103"/>
      <c r="B2172" s="533"/>
      <c r="C2172" s="533"/>
      <c r="D2172" s="103"/>
      <c r="E2172" s="103"/>
      <c r="F2172" s="103"/>
      <c r="G2172" s="103"/>
      <c r="H2172" s="131"/>
      <c r="I2172" s="468"/>
      <c r="J2172" s="16"/>
      <c r="K2172" s="16"/>
      <c r="M2172" s="69"/>
      <c r="N2172" s="69"/>
      <c r="O2172" s="69"/>
      <c r="P2172" s="534"/>
      <c r="Q2172" s="274"/>
      <c r="R2172" s="472"/>
      <c r="S2172" s="535"/>
      <c r="T2172" s="535"/>
      <c r="U2172" s="536"/>
      <c r="V2172" s="474"/>
      <c r="Y2172" s="89"/>
      <c r="Z2172" s="60"/>
      <c r="AA2172" s="60"/>
      <c r="AB2172" s="60"/>
      <c r="AC2172" s="30"/>
      <c r="AD2172" s="30"/>
      <c r="AE2172" s="475"/>
      <c r="AF2172" s="476"/>
      <c r="AG2172" s="474"/>
      <c r="AH2172" s="138"/>
    </row>
    <row r="2173">
      <c r="A2173" s="103"/>
      <c r="B2173" s="533"/>
      <c r="C2173" s="533"/>
      <c r="D2173" s="103"/>
      <c r="E2173" s="103"/>
      <c r="F2173" s="103"/>
      <c r="G2173" s="103"/>
      <c r="H2173" s="131"/>
      <c r="I2173" s="468"/>
      <c r="J2173" s="16"/>
      <c r="K2173" s="16"/>
      <c r="M2173" s="69"/>
      <c r="N2173" s="69"/>
      <c r="O2173" s="69"/>
      <c r="P2173" s="534"/>
      <c r="Q2173" s="274"/>
      <c r="R2173" s="472"/>
      <c r="S2173" s="535"/>
      <c r="T2173" s="535"/>
      <c r="U2173" s="536"/>
      <c r="V2173" s="474"/>
      <c r="Y2173" s="89"/>
      <c r="Z2173" s="60"/>
      <c r="AA2173" s="60"/>
      <c r="AB2173" s="60"/>
      <c r="AC2173" s="30"/>
      <c r="AD2173" s="30"/>
      <c r="AE2173" s="475"/>
      <c r="AF2173" s="476"/>
      <c r="AG2173" s="474"/>
      <c r="AH2173" s="138"/>
    </row>
    <row r="2174">
      <c r="A2174" s="103"/>
      <c r="B2174" s="533"/>
      <c r="C2174" s="533"/>
      <c r="D2174" s="103"/>
      <c r="E2174" s="103"/>
      <c r="F2174" s="103"/>
      <c r="G2174" s="103"/>
      <c r="H2174" s="131"/>
      <c r="I2174" s="468"/>
      <c r="J2174" s="16"/>
      <c r="K2174" s="16"/>
      <c r="M2174" s="69"/>
      <c r="N2174" s="69"/>
      <c r="O2174" s="69"/>
      <c r="P2174" s="534"/>
      <c r="Q2174" s="274"/>
      <c r="R2174" s="472"/>
      <c r="S2174" s="535"/>
      <c r="T2174" s="535"/>
      <c r="U2174" s="536"/>
      <c r="V2174" s="474"/>
      <c r="Y2174" s="89"/>
      <c r="Z2174" s="60"/>
      <c r="AA2174" s="60"/>
      <c r="AB2174" s="60"/>
      <c r="AC2174" s="30"/>
      <c r="AD2174" s="30"/>
      <c r="AE2174" s="475"/>
      <c r="AF2174" s="476"/>
      <c r="AG2174" s="474"/>
      <c r="AH2174" s="138"/>
    </row>
    <row r="2175">
      <c r="A2175" s="103"/>
      <c r="B2175" s="533"/>
      <c r="C2175" s="533"/>
      <c r="D2175" s="103"/>
      <c r="E2175" s="103"/>
      <c r="F2175" s="103"/>
      <c r="G2175" s="103"/>
      <c r="H2175" s="131"/>
      <c r="I2175" s="468"/>
      <c r="J2175" s="16"/>
      <c r="K2175" s="16"/>
      <c r="M2175" s="69"/>
      <c r="N2175" s="69"/>
      <c r="O2175" s="69"/>
      <c r="P2175" s="534"/>
      <c r="Q2175" s="274"/>
      <c r="R2175" s="472"/>
      <c r="S2175" s="535"/>
      <c r="T2175" s="535"/>
      <c r="U2175" s="536"/>
      <c r="V2175" s="474"/>
      <c r="Y2175" s="89"/>
      <c r="Z2175" s="60"/>
      <c r="AA2175" s="60"/>
      <c r="AB2175" s="60"/>
      <c r="AC2175" s="30"/>
      <c r="AD2175" s="30"/>
      <c r="AE2175" s="475"/>
      <c r="AF2175" s="476"/>
      <c r="AG2175" s="474"/>
      <c r="AH2175" s="138"/>
    </row>
    <row r="2176">
      <c r="A2176" s="103"/>
      <c r="B2176" s="533"/>
      <c r="C2176" s="533"/>
      <c r="D2176" s="103"/>
      <c r="E2176" s="103"/>
      <c r="F2176" s="103"/>
      <c r="G2176" s="103"/>
      <c r="H2176" s="131"/>
      <c r="I2176" s="468"/>
      <c r="J2176" s="16"/>
      <c r="K2176" s="16"/>
      <c r="M2176" s="69"/>
      <c r="N2176" s="69"/>
      <c r="O2176" s="69"/>
      <c r="P2176" s="534"/>
      <c r="Q2176" s="274"/>
      <c r="R2176" s="472"/>
      <c r="S2176" s="535"/>
      <c r="T2176" s="535"/>
      <c r="U2176" s="536"/>
      <c r="V2176" s="474"/>
      <c r="Y2176" s="89"/>
      <c r="Z2176" s="60"/>
      <c r="AA2176" s="60"/>
      <c r="AB2176" s="60"/>
      <c r="AC2176" s="30"/>
      <c r="AD2176" s="30"/>
      <c r="AE2176" s="475"/>
      <c r="AF2176" s="476"/>
      <c r="AG2176" s="474"/>
      <c r="AH2176" s="138"/>
    </row>
    <row r="2177">
      <c r="A2177" s="103"/>
      <c r="B2177" s="533"/>
      <c r="C2177" s="533"/>
      <c r="D2177" s="103"/>
      <c r="E2177" s="103"/>
      <c r="F2177" s="103"/>
      <c r="G2177" s="103"/>
      <c r="H2177" s="131"/>
      <c r="I2177" s="468"/>
      <c r="J2177" s="16"/>
      <c r="K2177" s="16"/>
      <c r="M2177" s="69"/>
      <c r="N2177" s="69"/>
      <c r="O2177" s="69"/>
      <c r="P2177" s="534"/>
      <c r="Q2177" s="274"/>
      <c r="R2177" s="472"/>
      <c r="S2177" s="535"/>
      <c r="T2177" s="535"/>
      <c r="U2177" s="536"/>
      <c r="V2177" s="474"/>
      <c r="Y2177" s="89"/>
      <c r="Z2177" s="60"/>
      <c r="AA2177" s="60"/>
      <c r="AB2177" s="60"/>
      <c r="AC2177" s="30"/>
      <c r="AD2177" s="30"/>
      <c r="AE2177" s="475"/>
      <c r="AF2177" s="476"/>
      <c r="AG2177" s="474"/>
      <c r="AH2177" s="138"/>
    </row>
    <row r="2178">
      <c r="A2178" s="103"/>
      <c r="B2178" s="533"/>
      <c r="C2178" s="533"/>
      <c r="D2178" s="103"/>
      <c r="E2178" s="103"/>
      <c r="F2178" s="103"/>
      <c r="G2178" s="103"/>
      <c r="H2178" s="131"/>
      <c r="I2178" s="468"/>
      <c r="J2178" s="16"/>
      <c r="K2178" s="16"/>
      <c r="M2178" s="69"/>
      <c r="N2178" s="69"/>
      <c r="O2178" s="69"/>
      <c r="P2178" s="534"/>
      <c r="Q2178" s="274"/>
      <c r="R2178" s="472"/>
      <c r="S2178" s="535"/>
      <c r="T2178" s="535"/>
      <c r="U2178" s="536"/>
      <c r="V2178" s="474"/>
      <c r="Y2178" s="89"/>
      <c r="Z2178" s="60"/>
      <c r="AA2178" s="60"/>
      <c r="AB2178" s="60"/>
      <c r="AC2178" s="30"/>
      <c r="AD2178" s="30"/>
      <c r="AE2178" s="475"/>
      <c r="AF2178" s="476"/>
      <c r="AG2178" s="474"/>
      <c r="AH2178" s="138"/>
    </row>
    <row r="2179">
      <c r="A2179" s="103"/>
      <c r="B2179" s="533"/>
      <c r="C2179" s="533"/>
      <c r="D2179" s="103"/>
      <c r="E2179" s="103"/>
      <c r="F2179" s="103"/>
      <c r="G2179" s="103"/>
      <c r="H2179" s="131"/>
      <c r="I2179" s="468"/>
      <c r="J2179" s="16"/>
      <c r="K2179" s="16"/>
      <c r="M2179" s="69"/>
      <c r="N2179" s="69"/>
      <c r="O2179" s="69"/>
      <c r="P2179" s="534"/>
      <c r="Q2179" s="274"/>
      <c r="R2179" s="472"/>
      <c r="S2179" s="535"/>
      <c r="T2179" s="535"/>
      <c r="U2179" s="536"/>
      <c r="V2179" s="474"/>
      <c r="Y2179" s="89"/>
      <c r="Z2179" s="60"/>
      <c r="AA2179" s="60"/>
      <c r="AB2179" s="60"/>
      <c r="AC2179" s="30"/>
      <c r="AD2179" s="30"/>
      <c r="AE2179" s="475"/>
      <c r="AF2179" s="476"/>
      <c r="AG2179" s="474"/>
      <c r="AH2179" s="138"/>
    </row>
    <row r="2180">
      <c r="A2180" s="103"/>
      <c r="B2180" s="533"/>
      <c r="C2180" s="533"/>
      <c r="D2180" s="103"/>
      <c r="E2180" s="103"/>
      <c r="F2180" s="103"/>
      <c r="G2180" s="103"/>
      <c r="H2180" s="131"/>
      <c r="I2180" s="468"/>
      <c r="J2180" s="16"/>
      <c r="K2180" s="16"/>
      <c r="M2180" s="69"/>
      <c r="N2180" s="69"/>
      <c r="O2180" s="69"/>
      <c r="P2180" s="534"/>
      <c r="Q2180" s="274"/>
      <c r="R2180" s="472"/>
      <c r="S2180" s="535"/>
      <c r="T2180" s="535"/>
      <c r="U2180" s="536"/>
      <c r="V2180" s="474"/>
      <c r="Y2180" s="89"/>
      <c r="Z2180" s="60"/>
      <c r="AA2180" s="60"/>
      <c r="AB2180" s="60"/>
      <c r="AC2180" s="30"/>
      <c r="AD2180" s="30"/>
      <c r="AE2180" s="475"/>
      <c r="AF2180" s="476"/>
      <c r="AG2180" s="474"/>
      <c r="AH2180" s="138"/>
    </row>
    <row r="2181">
      <c r="A2181" s="103"/>
      <c r="B2181" s="533"/>
      <c r="C2181" s="533"/>
      <c r="D2181" s="103"/>
      <c r="E2181" s="103"/>
      <c r="F2181" s="103"/>
      <c r="G2181" s="103"/>
      <c r="H2181" s="131"/>
      <c r="I2181" s="468"/>
      <c r="J2181" s="16"/>
      <c r="K2181" s="16"/>
      <c r="M2181" s="69"/>
      <c r="N2181" s="69"/>
      <c r="O2181" s="69"/>
      <c r="P2181" s="534"/>
      <c r="Q2181" s="274"/>
      <c r="R2181" s="472"/>
      <c r="S2181" s="535"/>
      <c r="T2181" s="535"/>
      <c r="U2181" s="536"/>
      <c r="V2181" s="474"/>
      <c r="Y2181" s="89"/>
      <c r="Z2181" s="60"/>
      <c r="AA2181" s="60"/>
      <c r="AB2181" s="60"/>
      <c r="AC2181" s="30"/>
      <c r="AD2181" s="30"/>
      <c r="AE2181" s="475"/>
      <c r="AF2181" s="476"/>
      <c r="AG2181" s="474"/>
      <c r="AH2181" s="138"/>
    </row>
    <row r="2182">
      <c r="A2182" s="103"/>
      <c r="B2182" s="533"/>
      <c r="C2182" s="533"/>
      <c r="D2182" s="103"/>
      <c r="E2182" s="103"/>
      <c r="F2182" s="103"/>
      <c r="G2182" s="103"/>
      <c r="H2182" s="131"/>
      <c r="I2182" s="468"/>
      <c r="J2182" s="16"/>
      <c r="K2182" s="16"/>
      <c r="M2182" s="69"/>
      <c r="N2182" s="69"/>
      <c r="O2182" s="69"/>
      <c r="P2182" s="534"/>
      <c r="Q2182" s="274"/>
      <c r="R2182" s="472"/>
      <c r="S2182" s="535"/>
      <c r="T2182" s="535"/>
      <c r="U2182" s="536"/>
      <c r="V2182" s="474"/>
      <c r="Y2182" s="89"/>
      <c r="Z2182" s="60"/>
      <c r="AA2182" s="60"/>
      <c r="AB2182" s="60"/>
      <c r="AC2182" s="30"/>
      <c r="AD2182" s="30"/>
      <c r="AE2182" s="475"/>
      <c r="AF2182" s="476"/>
      <c r="AG2182" s="474"/>
      <c r="AH2182" s="138"/>
    </row>
    <row r="2183">
      <c r="A2183" s="103"/>
      <c r="B2183" s="533"/>
      <c r="C2183" s="533"/>
      <c r="D2183" s="103"/>
      <c r="E2183" s="103"/>
      <c r="F2183" s="103"/>
      <c r="G2183" s="103"/>
      <c r="H2183" s="131"/>
      <c r="I2183" s="468"/>
      <c r="J2183" s="16"/>
      <c r="K2183" s="16"/>
      <c r="M2183" s="69"/>
      <c r="N2183" s="69"/>
      <c r="O2183" s="69"/>
      <c r="P2183" s="534"/>
      <c r="Q2183" s="274"/>
      <c r="R2183" s="472"/>
      <c r="S2183" s="535"/>
      <c r="T2183" s="535"/>
      <c r="U2183" s="536"/>
      <c r="V2183" s="474"/>
      <c r="Y2183" s="89"/>
      <c r="Z2183" s="60"/>
      <c r="AA2183" s="60"/>
      <c r="AB2183" s="60"/>
      <c r="AC2183" s="30"/>
      <c r="AD2183" s="30"/>
      <c r="AE2183" s="475"/>
      <c r="AF2183" s="476"/>
      <c r="AG2183" s="474"/>
      <c r="AH2183" s="138"/>
    </row>
    <row r="2184">
      <c r="A2184" s="103"/>
      <c r="B2184" s="533"/>
      <c r="C2184" s="533"/>
      <c r="D2184" s="103"/>
      <c r="E2184" s="103"/>
      <c r="F2184" s="103"/>
      <c r="G2184" s="103"/>
      <c r="H2184" s="131"/>
      <c r="I2184" s="468"/>
      <c r="J2184" s="16"/>
      <c r="K2184" s="16"/>
      <c r="M2184" s="69"/>
      <c r="N2184" s="69"/>
      <c r="O2184" s="69"/>
      <c r="P2184" s="534"/>
      <c r="Q2184" s="274"/>
      <c r="R2184" s="472"/>
      <c r="S2184" s="535"/>
      <c r="T2184" s="535"/>
      <c r="U2184" s="536"/>
      <c r="V2184" s="474"/>
      <c r="Y2184" s="89"/>
      <c r="Z2184" s="60"/>
      <c r="AA2184" s="60"/>
      <c r="AB2184" s="60"/>
      <c r="AC2184" s="30"/>
      <c r="AD2184" s="30"/>
      <c r="AE2184" s="475"/>
      <c r="AF2184" s="476"/>
      <c r="AG2184" s="474"/>
      <c r="AH2184" s="138"/>
    </row>
    <row r="2185">
      <c r="A2185" s="103"/>
      <c r="B2185" s="533"/>
      <c r="C2185" s="533"/>
      <c r="D2185" s="103"/>
      <c r="E2185" s="103"/>
      <c r="F2185" s="103"/>
      <c r="G2185" s="103"/>
      <c r="H2185" s="131"/>
      <c r="I2185" s="468"/>
      <c r="J2185" s="16"/>
      <c r="K2185" s="16"/>
      <c r="M2185" s="69"/>
      <c r="N2185" s="69"/>
      <c r="O2185" s="69"/>
      <c r="P2185" s="534"/>
      <c r="Q2185" s="274"/>
      <c r="R2185" s="472"/>
      <c r="S2185" s="535"/>
      <c r="T2185" s="535"/>
      <c r="U2185" s="536"/>
      <c r="V2185" s="474"/>
      <c r="Y2185" s="89"/>
      <c r="Z2185" s="60"/>
      <c r="AA2185" s="60"/>
      <c r="AB2185" s="60"/>
      <c r="AC2185" s="30"/>
      <c r="AD2185" s="30"/>
      <c r="AE2185" s="475"/>
      <c r="AF2185" s="476"/>
      <c r="AG2185" s="474"/>
      <c r="AH2185" s="138"/>
    </row>
    <row r="2186">
      <c r="A2186" s="103"/>
      <c r="B2186" s="533"/>
      <c r="C2186" s="533"/>
      <c r="D2186" s="103"/>
      <c r="E2186" s="103"/>
      <c r="F2186" s="103"/>
      <c r="G2186" s="103"/>
      <c r="H2186" s="131"/>
      <c r="I2186" s="468"/>
      <c r="J2186" s="16"/>
      <c r="K2186" s="16"/>
      <c r="M2186" s="69"/>
      <c r="N2186" s="69"/>
      <c r="O2186" s="69"/>
      <c r="P2186" s="534"/>
      <c r="Q2186" s="274"/>
      <c r="R2186" s="472"/>
      <c r="S2186" s="535"/>
      <c r="T2186" s="535"/>
      <c r="U2186" s="536"/>
      <c r="V2186" s="474"/>
      <c r="Y2186" s="89"/>
      <c r="Z2186" s="60"/>
      <c r="AA2186" s="60"/>
      <c r="AB2186" s="60"/>
      <c r="AC2186" s="30"/>
      <c r="AD2186" s="30"/>
      <c r="AE2186" s="475"/>
      <c r="AF2186" s="476"/>
      <c r="AG2186" s="474"/>
      <c r="AH2186" s="138"/>
    </row>
    <row r="2187">
      <c r="A2187" s="103"/>
      <c r="B2187" s="533"/>
      <c r="C2187" s="533"/>
      <c r="D2187" s="103"/>
      <c r="E2187" s="103"/>
      <c r="F2187" s="103"/>
      <c r="G2187" s="103"/>
      <c r="H2187" s="131"/>
      <c r="I2187" s="468"/>
      <c r="J2187" s="16"/>
      <c r="K2187" s="16"/>
      <c r="M2187" s="69"/>
      <c r="N2187" s="69"/>
      <c r="O2187" s="69"/>
      <c r="P2187" s="534"/>
      <c r="Q2187" s="274"/>
      <c r="R2187" s="472"/>
      <c r="S2187" s="535"/>
      <c r="T2187" s="535"/>
      <c r="U2187" s="536"/>
      <c r="V2187" s="474"/>
      <c r="Y2187" s="89"/>
      <c r="Z2187" s="60"/>
      <c r="AA2187" s="60"/>
      <c r="AB2187" s="60"/>
      <c r="AC2187" s="30"/>
      <c r="AD2187" s="30"/>
      <c r="AE2187" s="475"/>
      <c r="AF2187" s="476"/>
      <c r="AG2187" s="474"/>
      <c r="AH2187" s="138"/>
    </row>
    <row r="2188">
      <c r="A2188" s="103"/>
      <c r="B2188" s="533"/>
      <c r="C2188" s="533"/>
      <c r="D2188" s="103"/>
      <c r="E2188" s="103"/>
      <c r="F2188" s="103"/>
      <c r="G2188" s="103"/>
      <c r="H2188" s="131"/>
      <c r="I2188" s="468"/>
      <c r="J2188" s="16"/>
      <c r="K2188" s="16"/>
      <c r="M2188" s="69"/>
      <c r="N2188" s="69"/>
      <c r="O2188" s="69"/>
      <c r="P2188" s="534"/>
      <c r="Q2188" s="274"/>
      <c r="R2188" s="472"/>
      <c r="S2188" s="535"/>
      <c r="T2188" s="535"/>
      <c r="U2188" s="536"/>
      <c r="V2188" s="474"/>
      <c r="Y2188" s="89"/>
      <c r="Z2188" s="60"/>
      <c r="AA2188" s="60"/>
      <c r="AB2188" s="60"/>
      <c r="AC2188" s="30"/>
      <c r="AD2188" s="30"/>
      <c r="AE2188" s="475"/>
      <c r="AF2188" s="476"/>
      <c r="AG2188" s="474"/>
      <c r="AH2188" s="138"/>
    </row>
    <row r="2189">
      <c r="A2189" s="103"/>
      <c r="B2189" s="533"/>
      <c r="C2189" s="533"/>
      <c r="D2189" s="103"/>
      <c r="E2189" s="103"/>
      <c r="F2189" s="103"/>
      <c r="G2189" s="103"/>
      <c r="H2189" s="131"/>
      <c r="I2189" s="468"/>
      <c r="J2189" s="16"/>
      <c r="K2189" s="16"/>
      <c r="M2189" s="69"/>
      <c r="N2189" s="69"/>
      <c r="O2189" s="69"/>
      <c r="P2189" s="534"/>
      <c r="Q2189" s="274"/>
      <c r="R2189" s="472"/>
      <c r="S2189" s="535"/>
      <c r="T2189" s="535"/>
      <c r="U2189" s="536"/>
      <c r="V2189" s="474"/>
      <c r="Y2189" s="89"/>
      <c r="Z2189" s="60"/>
      <c r="AA2189" s="60"/>
      <c r="AB2189" s="60"/>
      <c r="AC2189" s="30"/>
      <c r="AD2189" s="30"/>
      <c r="AE2189" s="475"/>
      <c r="AF2189" s="476"/>
      <c r="AG2189" s="474"/>
      <c r="AH2189" s="138"/>
    </row>
    <row r="2190">
      <c r="A2190" s="103"/>
      <c r="B2190" s="533"/>
      <c r="C2190" s="533"/>
      <c r="D2190" s="103"/>
      <c r="E2190" s="103"/>
      <c r="F2190" s="103"/>
      <c r="G2190" s="103"/>
      <c r="H2190" s="131"/>
      <c r="I2190" s="468"/>
      <c r="J2190" s="16"/>
      <c r="K2190" s="16"/>
      <c r="M2190" s="69"/>
      <c r="N2190" s="69"/>
      <c r="O2190" s="69"/>
      <c r="P2190" s="534"/>
      <c r="Q2190" s="274"/>
      <c r="R2190" s="472"/>
      <c r="S2190" s="535"/>
      <c r="T2190" s="535"/>
      <c r="U2190" s="536"/>
      <c r="V2190" s="474"/>
      <c r="Y2190" s="89"/>
      <c r="Z2190" s="60"/>
      <c r="AA2190" s="60"/>
      <c r="AB2190" s="60"/>
      <c r="AC2190" s="30"/>
      <c r="AD2190" s="30"/>
      <c r="AE2190" s="475"/>
      <c r="AF2190" s="476"/>
      <c r="AG2190" s="474"/>
      <c r="AH2190" s="138"/>
    </row>
    <row r="2191">
      <c r="A2191" s="103"/>
      <c r="B2191" s="533"/>
      <c r="C2191" s="533"/>
      <c r="D2191" s="103"/>
      <c r="E2191" s="103"/>
      <c r="F2191" s="103"/>
      <c r="G2191" s="103"/>
      <c r="H2191" s="131"/>
      <c r="I2191" s="468"/>
      <c r="J2191" s="16"/>
      <c r="K2191" s="16"/>
      <c r="M2191" s="69"/>
      <c r="N2191" s="69"/>
      <c r="O2191" s="69"/>
      <c r="P2191" s="534"/>
      <c r="Q2191" s="274"/>
      <c r="R2191" s="472"/>
      <c r="S2191" s="535"/>
      <c r="T2191" s="535"/>
      <c r="U2191" s="536"/>
      <c r="V2191" s="474"/>
      <c r="Y2191" s="89"/>
      <c r="Z2191" s="60"/>
      <c r="AA2191" s="60"/>
      <c r="AB2191" s="60"/>
      <c r="AC2191" s="30"/>
      <c r="AD2191" s="30"/>
      <c r="AE2191" s="475"/>
      <c r="AF2191" s="476"/>
      <c r="AG2191" s="474"/>
      <c r="AH2191" s="138"/>
    </row>
    <row r="2192">
      <c r="A2192" s="103"/>
      <c r="B2192" s="533"/>
      <c r="C2192" s="533"/>
      <c r="D2192" s="103"/>
      <c r="E2192" s="103"/>
      <c r="F2192" s="103"/>
      <c r="G2192" s="103"/>
      <c r="H2192" s="131"/>
      <c r="I2192" s="468"/>
      <c r="J2192" s="16"/>
      <c r="K2192" s="16"/>
      <c r="M2192" s="69"/>
      <c r="N2192" s="69"/>
      <c r="O2192" s="69"/>
      <c r="P2192" s="534"/>
      <c r="Q2192" s="274"/>
      <c r="R2192" s="472"/>
      <c r="S2192" s="535"/>
      <c r="T2192" s="535"/>
      <c r="U2192" s="536"/>
      <c r="V2192" s="474"/>
      <c r="Y2192" s="89"/>
      <c r="Z2192" s="60"/>
      <c r="AA2192" s="60"/>
      <c r="AB2192" s="60"/>
      <c r="AC2192" s="30"/>
      <c r="AD2192" s="30"/>
      <c r="AE2192" s="475"/>
      <c r="AF2192" s="476"/>
      <c r="AG2192" s="474"/>
      <c r="AH2192" s="138"/>
    </row>
    <row r="2193">
      <c r="A2193" s="103"/>
      <c r="B2193" s="533"/>
      <c r="C2193" s="533"/>
      <c r="D2193" s="103"/>
      <c r="E2193" s="103"/>
      <c r="F2193" s="103"/>
      <c r="G2193" s="103"/>
      <c r="H2193" s="131"/>
      <c r="I2193" s="468"/>
      <c r="J2193" s="16"/>
      <c r="K2193" s="16"/>
      <c r="M2193" s="69"/>
      <c r="N2193" s="69"/>
      <c r="O2193" s="69"/>
      <c r="P2193" s="534"/>
      <c r="Q2193" s="274"/>
      <c r="R2193" s="472"/>
      <c r="S2193" s="535"/>
      <c r="T2193" s="535"/>
      <c r="U2193" s="536"/>
      <c r="V2193" s="474"/>
      <c r="Y2193" s="89"/>
      <c r="Z2193" s="60"/>
      <c r="AA2193" s="60"/>
      <c r="AB2193" s="60"/>
      <c r="AC2193" s="30"/>
      <c r="AD2193" s="30"/>
      <c r="AE2193" s="475"/>
      <c r="AF2193" s="476"/>
      <c r="AG2193" s="474"/>
      <c r="AH2193" s="138"/>
    </row>
    <row r="2194">
      <c r="A2194" s="103"/>
      <c r="B2194" s="533"/>
      <c r="C2194" s="533"/>
      <c r="D2194" s="103"/>
      <c r="E2194" s="103"/>
      <c r="F2194" s="103"/>
      <c r="G2194" s="103"/>
      <c r="H2194" s="131"/>
      <c r="I2194" s="468"/>
      <c r="J2194" s="16"/>
      <c r="K2194" s="16"/>
      <c r="M2194" s="69"/>
      <c r="N2194" s="69"/>
      <c r="O2194" s="69"/>
      <c r="P2194" s="534"/>
      <c r="Q2194" s="274"/>
      <c r="R2194" s="472"/>
      <c r="S2194" s="535"/>
      <c r="T2194" s="535"/>
      <c r="U2194" s="536"/>
      <c r="V2194" s="474"/>
      <c r="Y2194" s="89"/>
      <c r="Z2194" s="60"/>
      <c r="AA2194" s="60"/>
      <c r="AB2194" s="60"/>
      <c r="AC2194" s="30"/>
      <c r="AD2194" s="30"/>
      <c r="AE2194" s="475"/>
      <c r="AF2194" s="476"/>
      <c r="AG2194" s="474"/>
      <c r="AH2194" s="138"/>
    </row>
    <row r="2195">
      <c r="A2195" s="103"/>
      <c r="B2195" s="533"/>
      <c r="C2195" s="533"/>
      <c r="D2195" s="103"/>
      <c r="E2195" s="103"/>
      <c r="F2195" s="103"/>
      <c r="G2195" s="103"/>
      <c r="H2195" s="131"/>
      <c r="I2195" s="468"/>
      <c r="J2195" s="16"/>
      <c r="K2195" s="16"/>
      <c r="M2195" s="69"/>
      <c r="N2195" s="69"/>
      <c r="O2195" s="69"/>
      <c r="P2195" s="534"/>
      <c r="Q2195" s="274"/>
      <c r="R2195" s="472"/>
      <c r="S2195" s="535"/>
      <c r="T2195" s="535"/>
      <c r="U2195" s="536"/>
      <c r="V2195" s="474"/>
      <c r="Y2195" s="89"/>
      <c r="Z2195" s="60"/>
      <c r="AA2195" s="60"/>
      <c r="AB2195" s="60"/>
      <c r="AC2195" s="30"/>
      <c r="AD2195" s="30"/>
      <c r="AE2195" s="475"/>
      <c r="AF2195" s="476"/>
      <c r="AG2195" s="474"/>
      <c r="AH2195" s="138"/>
    </row>
    <row r="2196">
      <c r="A2196" s="103"/>
      <c r="B2196" s="533"/>
      <c r="C2196" s="533"/>
      <c r="D2196" s="103"/>
      <c r="E2196" s="103"/>
      <c r="F2196" s="103"/>
      <c r="G2196" s="103"/>
      <c r="H2196" s="131"/>
      <c r="I2196" s="468"/>
      <c r="J2196" s="16"/>
      <c r="K2196" s="16"/>
      <c r="M2196" s="69"/>
      <c r="N2196" s="69"/>
      <c r="O2196" s="69"/>
      <c r="P2196" s="534"/>
      <c r="Q2196" s="274"/>
      <c r="R2196" s="472"/>
      <c r="S2196" s="535"/>
      <c r="T2196" s="535"/>
      <c r="U2196" s="536"/>
      <c r="V2196" s="474"/>
      <c r="Y2196" s="89"/>
      <c r="Z2196" s="60"/>
      <c r="AA2196" s="60"/>
      <c r="AB2196" s="60"/>
      <c r="AC2196" s="30"/>
      <c r="AD2196" s="30"/>
      <c r="AE2196" s="475"/>
      <c r="AF2196" s="476"/>
      <c r="AG2196" s="474"/>
      <c r="AH2196" s="138"/>
    </row>
    <row r="2197">
      <c r="A2197" s="103"/>
      <c r="B2197" s="533"/>
      <c r="C2197" s="533"/>
      <c r="D2197" s="103"/>
      <c r="E2197" s="103"/>
      <c r="F2197" s="103"/>
      <c r="G2197" s="103"/>
      <c r="H2197" s="131"/>
      <c r="I2197" s="468"/>
      <c r="J2197" s="16"/>
      <c r="K2197" s="16"/>
      <c r="M2197" s="69"/>
      <c r="N2197" s="69"/>
      <c r="O2197" s="69"/>
      <c r="P2197" s="534"/>
      <c r="Q2197" s="274"/>
      <c r="R2197" s="472"/>
      <c r="S2197" s="535"/>
      <c r="T2197" s="535"/>
      <c r="U2197" s="536"/>
      <c r="V2197" s="474"/>
      <c r="Y2197" s="89"/>
      <c r="Z2197" s="60"/>
      <c r="AA2197" s="60"/>
      <c r="AB2197" s="60"/>
      <c r="AC2197" s="30"/>
      <c r="AD2197" s="30"/>
      <c r="AE2197" s="475"/>
      <c r="AF2197" s="476"/>
      <c r="AG2197" s="474"/>
      <c r="AH2197" s="138"/>
    </row>
    <row r="2198">
      <c r="A2198" s="103"/>
      <c r="B2198" s="533"/>
      <c r="C2198" s="533"/>
      <c r="D2198" s="103"/>
      <c r="E2198" s="103"/>
      <c r="F2198" s="103"/>
      <c r="G2198" s="103"/>
      <c r="H2198" s="131"/>
      <c r="I2198" s="468"/>
      <c r="J2198" s="16"/>
      <c r="K2198" s="16"/>
      <c r="M2198" s="69"/>
      <c r="N2198" s="69"/>
      <c r="O2198" s="69"/>
      <c r="P2198" s="534"/>
      <c r="Q2198" s="274"/>
      <c r="R2198" s="472"/>
      <c r="S2198" s="535"/>
      <c r="T2198" s="535"/>
      <c r="U2198" s="536"/>
      <c r="V2198" s="474"/>
      <c r="Y2198" s="89"/>
      <c r="Z2198" s="60"/>
      <c r="AA2198" s="60"/>
      <c r="AB2198" s="60"/>
      <c r="AC2198" s="30"/>
      <c r="AD2198" s="30"/>
      <c r="AE2198" s="475"/>
      <c r="AF2198" s="476"/>
      <c r="AG2198" s="474"/>
      <c r="AH2198" s="138"/>
    </row>
    <row r="2199">
      <c r="A2199" s="103"/>
      <c r="B2199" s="533"/>
      <c r="C2199" s="533"/>
      <c r="D2199" s="103"/>
      <c r="E2199" s="103"/>
      <c r="F2199" s="103"/>
      <c r="G2199" s="103"/>
      <c r="H2199" s="131"/>
      <c r="I2199" s="468"/>
      <c r="J2199" s="16"/>
      <c r="K2199" s="16"/>
      <c r="M2199" s="69"/>
      <c r="N2199" s="69"/>
      <c r="O2199" s="69"/>
      <c r="P2199" s="534"/>
      <c r="Q2199" s="274"/>
      <c r="R2199" s="472"/>
      <c r="S2199" s="535"/>
      <c r="T2199" s="535"/>
      <c r="U2199" s="536"/>
      <c r="V2199" s="474"/>
      <c r="Y2199" s="89"/>
      <c r="Z2199" s="60"/>
      <c r="AA2199" s="60"/>
      <c r="AB2199" s="60"/>
      <c r="AC2199" s="30"/>
      <c r="AD2199" s="30"/>
      <c r="AE2199" s="475"/>
      <c r="AF2199" s="476"/>
      <c r="AG2199" s="474"/>
      <c r="AH2199" s="138"/>
    </row>
    <row r="2200">
      <c r="A2200" s="103"/>
      <c r="B2200" s="533"/>
      <c r="C2200" s="533"/>
      <c r="D2200" s="103"/>
      <c r="E2200" s="103"/>
      <c r="F2200" s="103"/>
      <c r="G2200" s="103"/>
      <c r="H2200" s="131"/>
      <c r="I2200" s="468"/>
      <c r="J2200" s="16"/>
      <c r="K2200" s="16"/>
      <c r="M2200" s="69"/>
      <c r="N2200" s="69"/>
      <c r="O2200" s="69"/>
      <c r="P2200" s="534"/>
      <c r="Q2200" s="274"/>
      <c r="R2200" s="472"/>
      <c r="S2200" s="535"/>
      <c r="T2200" s="535"/>
      <c r="U2200" s="536"/>
      <c r="V2200" s="474"/>
      <c r="Y2200" s="89"/>
      <c r="Z2200" s="60"/>
      <c r="AA2200" s="60"/>
      <c r="AB2200" s="60"/>
      <c r="AC2200" s="30"/>
      <c r="AD2200" s="30"/>
      <c r="AE2200" s="475"/>
      <c r="AF2200" s="476"/>
      <c r="AG2200" s="474"/>
      <c r="AH2200" s="138"/>
    </row>
    <row r="2201">
      <c r="A2201" s="103"/>
      <c r="B2201" s="533"/>
      <c r="C2201" s="533"/>
      <c r="D2201" s="103"/>
      <c r="E2201" s="103"/>
      <c r="F2201" s="103"/>
      <c r="G2201" s="103"/>
      <c r="H2201" s="131"/>
      <c r="I2201" s="468"/>
      <c r="J2201" s="16"/>
      <c r="K2201" s="16"/>
      <c r="M2201" s="69"/>
      <c r="N2201" s="69"/>
      <c r="O2201" s="69"/>
      <c r="P2201" s="534"/>
      <c r="Q2201" s="274"/>
      <c r="R2201" s="472"/>
      <c r="S2201" s="535"/>
      <c r="T2201" s="535"/>
      <c r="U2201" s="536"/>
      <c r="V2201" s="474"/>
      <c r="Y2201" s="89"/>
      <c r="Z2201" s="60"/>
      <c r="AA2201" s="60"/>
      <c r="AB2201" s="60"/>
      <c r="AC2201" s="30"/>
      <c r="AD2201" s="30"/>
      <c r="AE2201" s="475"/>
      <c r="AF2201" s="476"/>
      <c r="AG2201" s="474"/>
      <c r="AH2201" s="138"/>
    </row>
    <row r="2202">
      <c r="A2202" s="103"/>
      <c r="B2202" s="533"/>
      <c r="C2202" s="533"/>
      <c r="D2202" s="103"/>
      <c r="E2202" s="103"/>
      <c r="F2202" s="103"/>
      <c r="G2202" s="103"/>
      <c r="H2202" s="131"/>
      <c r="I2202" s="468"/>
      <c r="J2202" s="16"/>
      <c r="K2202" s="16"/>
      <c r="M2202" s="69"/>
      <c r="N2202" s="69"/>
      <c r="O2202" s="69"/>
      <c r="P2202" s="534"/>
      <c r="Q2202" s="274"/>
      <c r="R2202" s="472"/>
      <c r="S2202" s="535"/>
      <c r="T2202" s="535"/>
      <c r="U2202" s="536"/>
      <c r="V2202" s="474"/>
      <c r="Y2202" s="89"/>
      <c r="Z2202" s="60"/>
      <c r="AA2202" s="60"/>
      <c r="AB2202" s="60"/>
      <c r="AC2202" s="30"/>
      <c r="AD2202" s="30"/>
      <c r="AE2202" s="475"/>
      <c r="AF2202" s="476"/>
      <c r="AG2202" s="474"/>
      <c r="AH2202" s="138"/>
    </row>
    <row r="2203">
      <c r="A2203" s="103"/>
      <c r="B2203" s="533"/>
      <c r="C2203" s="533"/>
      <c r="D2203" s="103"/>
      <c r="E2203" s="103"/>
      <c r="F2203" s="103"/>
      <c r="G2203" s="103"/>
      <c r="H2203" s="131"/>
      <c r="I2203" s="468"/>
      <c r="J2203" s="16"/>
      <c r="K2203" s="16"/>
      <c r="M2203" s="69"/>
      <c r="N2203" s="69"/>
      <c r="O2203" s="69"/>
      <c r="P2203" s="534"/>
      <c r="Q2203" s="274"/>
      <c r="R2203" s="472"/>
      <c r="S2203" s="535"/>
      <c r="T2203" s="535"/>
      <c r="U2203" s="536"/>
      <c r="V2203" s="474"/>
      <c r="Y2203" s="89"/>
      <c r="Z2203" s="60"/>
      <c r="AA2203" s="60"/>
      <c r="AB2203" s="60"/>
      <c r="AC2203" s="30"/>
      <c r="AD2203" s="30"/>
      <c r="AE2203" s="475"/>
      <c r="AF2203" s="476"/>
      <c r="AG2203" s="474"/>
      <c r="AH2203" s="138"/>
    </row>
    <row r="2204">
      <c r="A2204" s="103"/>
      <c r="B2204" s="533"/>
      <c r="C2204" s="533"/>
      <c r="D2204" s="103"/>
      <c r="E2204" s="103"/>
      <c r="F2204" s="103"/>
      <c r="G2204" s="103"/>
      <c r="H2204" s="131"/>
      <c r="I2204" s="468"/>
      <c r="J2204" s="16"/>
      <c r="K2204" s="16"/>
      <c r="M2204" s="69"/>
      <c r="N2204" s="69"/>
      <c r="O2204" s="69"/>
      <c r="P2204" s="534"/>
      <c r="Q2204" s="274"/>
      <c r="R2204" s="472"/>
      <c r="S2204" s="535"/>
      <c r="T2204" s="535"/>
      <c r="U2204" s="536"/>
      <c r="V2204" s="474"/>
      <c r="Y2204" s="89"/>
      <c r="Z2204" s="60"/>
      <c r="AA2204" s="60"/>
      <c r="AB2204" s="60"/>
      <c r="AC2204" s="30"/>
      <c r="AD2204" s="30"/>
      <c r="AE2204" s="475"/>
      <c r="AF2204" s="476"/>
      <c r="AG2204" s="474"/>
      <c r="AH2204" s="138"/>
    </row>
    <row r="2205">
      <c r="A2205" s="103"/>
      <c r="B2205" s="533"/>
      <c r="C2205" s="533"/>
      <c r="D2205" s="103"/>
      <c r="E2205" s="103"/>
      <c r="F2205" s="103"/>
      <c r="G2205" s="103"/>
      <c r="H2205" s="131"/>
      <c r="I2205" s="468"/>
      <c r="J2205" s="16"/>
      <c r="K2205" s="16"/>
      <c r="M2205" s="69"/>
      <c r="N2205" s="69"/>
      <c r="O2205" s="69"/>
      <c r="P2205" s="534"/>
      <c r="Q2205" s="274"/>
      <c r="R2205" s="472"/>
      <c r="S2205" s="535"/>
      <c r="T2205" s="535"/>
      <c r="U2205" s="536"/>
      <c r="V2205" s="474"/>
      <c r="Y2205" s="89"/>
      <c r="Z2205" s="60"/>
      <c r="AA2205" s="60"/>
      <c r="AB2205" s="60"/>
      <c r="AC2205" s="30"/>
      <c r="AD2205" s="30"/>
      <c r="AE2205" s="475"/>
      <c r="AF2205" s="476"/>
      <c r="AG2205" s="474"/>
      <c r="AH2205" s="138"/>
    </row>
    <row r="2206">
      <c r="A2206" s="103"/>
      <c r="B2206" s="533"/>
      <c r="C2206" s="533"/>
      <c r="D2206" s="103"/>
      <c r="E2206" s="103"/>
      <c r="F2206" s="103"/>
      <c r="G2206" s="103"/>
      <c r="H2206" s="131"/>
      <c r="I2206" s="468"/>
      <c r="J2206" s="16"/>
      <c r="K2206" s="16"/>
      <c r="M2206" s="69"/>
      <c r="N2206" s="69"/>
      <c r="O2206" s="69"/>
      <c r="P2206" s="534"/>
      <c r="Q2206" s="274"/>
      <c r="R2206" s="472"/>
      <c r="S2206" s="535"/>
      <c r="T2206" s="535"/>
      <c r="U2206" s="536"/>
      <c r="V2206" s="474"/>
      <c r="Y2206" s="89"/>
      <c r="Z2206" s="60"/>
      <c r="AA2206" s="60"/>
      <c r="AB2206" s="60"/>
      <c r="AC2206" s="30"/>
      <c r="AD2206" s="30"/>
      <c r="AE2206" s="475"/>
      <c r="AF2206" s="476"/>
      <c r="AG2206" s="474"/>
      <c r="AH2206" s="138"/>
    </row>
    <row r="2207">
      <c r="A2207" s="103"/>
      <c r="B2207" s="533"/>
      <c r="C2207" s="533"/>
      <c r="D2207" s="103"/>
      <c r="E2207" s="103"/>
      <c r="F2207" s="103"/>
      <c r="G2207" s="103"/>
      <c r="H2207" s="131"/>
      <c r="I2207" s="468"/>
      <c r="J2207" s="16"/>
      <c r="K2207" s="16"/>
      <c r="M2207" s="69"/>
      <c r="N2207" s="69"/>
      <c r="O2207" s="69"/>
      <c r="P2207" s="534"/>
      <c r="Q2207" s="274"/>
      <c r="R2207" s="472"/>
      <c r="S2207" s="535"/>
      <c r="T2207" s="535"/>
      <c r="U2207" s="536"/>
      <c r="V2207" s="474"/>
      <c r="Y2207" s="89"/>
      <c r="Z2207" s="60"/>
      <c r="AA2207" s="60"/>
      <c r="AB2207" s="60"/>
      <c r="AC2207" s="30"/>
      <c r="AD2207" s="30"/>
      <c r="AE2207" s="475"/>
      <c r="AF2207" s="476"/>
      <c r="AG2207" s="474"/>
      <c r="AH2207" s="138"/>
    </row>
    <row r="2208">
      <c r="A2208" s="103"/>
      <c r="B2208" s="533"/>
      <c r="C2208" s="533"/>
      <c r="D2208" s="103"/>
      <c r="E2208" s="103"/>
      <c r="F2208" s="103"/>
      <c r="G2208" s="103"/>
      <c r="H2208" s="131"/>
      <c r="I2208" s="468"/>
      <c r="J2208" s="16"/>
      <c r="K2208" s="16"/>
      <c r="M2208" s="69"/>
      <c r="N2208" s="69"/>
      <c r="O2208" s="69"/>
      <c r="P2208" s="534"/>
      <c r="Q2208" s="274"/>
      <c r="R2208" s="472"/>
      <c r="S2208" s="535"/>
      <c r="T2208" s="535"/>
      <c r="U2208" s="536"/>
      <c r="V2208" s="474"/>
      <c r="Y2208" s="89"/>
      <c r="Z2208" s="60"/>
      <c r="AA2208" s="60"/>
      <c r="AB2208" s="60"/>
      <c r="AC2208" s="30"/>
      <c r="AD2208" s="30"/>
      <c r="AE2208" s="475"/>
      <c r="AF2208" s="476"/>
      <c r="AG2208" s="474"/>
      <c r="AH2208" s="138"/>
    </row>
    <row r="2209">
      <c r="A2209" s="103"/>
      <c r="B2209" s="533"/>
      <c r="C2209" s="533"/>
      <c r="D2209" s="103"/>
      <c r="E2209" s="103"/>
      <c r="F2209" s="103"/>
      <c r="G2209" s="103"/>
      <c r="H2209" s="131"/>
      <c r="I2209" s="468"/>
      <c r="J2209" s="16"/>
      <c r="K2209" s="16"/>
      <c r="M2209" s="69"/>
      <c r="N2209" s="69"/>
      <c r="O2209" s="69"/>
      <c r="P2209" s="534"/>
      <c r="Q2209" s="274"/>
      <c r="R2209" s="472"/>
      <c r="S2209" s="535"/>
      <c r="T2209" s="535"/>
      <c r="U2209" s="536"/>
      <c r="V2209" s="474"/>
      <c r="Y2209" s="89"/>
      <c r="Z2209" s="60"/>
      <c r="AA2209" s="60"/>
      <c r="AB2209" s="60"/>
      <c r="AC2209" s="30"/>
      <c r="AD2209" s="30"/>
      <c r="AE2209" s="475"/>
      <c r="AF2209" s="476"/>
      <c r="AG2209" s="474"/>
      <c r="AH2209" s="138"/>
    </row>
    <row r="2210">
      <c r="A2210" s="103"/>
      <c r="B2210" s="533"/>
      <c r="C2210" s="533"/>
      <c r="D2210" s="103"/>
      <c r="E2210" s="103"/>
      <c r="F2210" s="103"/>
      <c r="G2210" s="103"/>
      <c r="H2210" s="131"/>
      <c r="I2210" s="468"/>
      <c r="J2210" s="16"/>
      <c r="K2210" s="16"/>
      <c r="M2210" s="69"/>
      <c r="N2210" s="69"/>
      <c r="O2210" s="69"/>
      <c r="P2210" s="534"/>
      <c r="Q2210" s="274"/>
      <c r="R2210" s="472"/>
      <c r="S2210" s="535"/>
      <c r="T2210" s="535"/>
      <c r="U2210" s="536"/>
      <c r="V2210" s="474"/>
      <c r="Y2210" s="89"/>
      <c r="Z2210" s="60"/>
      <c r="AA2210" s="60"/>
      <c r="AB2210" s="60"/>
      <c r="AC2210" s="30"/>
      <c r="AD2210" s="30"/>
      <c r="AE2210" s="475"/>
      <c r="AF2210" s="476"/>
      <c r="AG2210" s="474"/>
      <c r="AH2210" s="138"/>
    </row>
    <row r="2211">
      <c r="A2211" s="103"/>
      <c r="B2211" s="533"/>
      <c r="C2211" s="533"/>
      <c r="D2211" s="103"/>
      <c r="E2211" s="103"/>
      <c r="F2211" s="103"/>
      <c r="G2211" s="103"/>
      <c r="H2211" s="131"/>
      <c r="I2211" s="468"/>
      <c r="J2211" s="16"/>
      <c r="K2211" s="16"/>
      <c r="M2211" s="69"/>
      <c r="N2211" s="69"/>
      <c r="O2211" s="69"/>
      <c r="P2211" s="534"/>
      <c r="Q2211" s="274"/>
      <c r="R2211" s="472"/>
      <c r="S2211" s="535"/>
      <c r="T2211" s="535"/>
      <c r="U2211" s="536"/>
      <c r="V2211" s="474"/>
      <c r="Y2211" s="89"/>
      <c r="Z2211" s="60"/>
      <c r="AA2211" s="60"/>
      <c r="AB2211" s="60"/>
      <c r="AC2211" s="30"/>
      <c r="AD2211" s="30"/>
      <c r="AE2211" s="475"/>
      <c r="AF2211" s="476"/>
      <c r="AG2211" s="474"/>
      <c r="AH2211" s="138"/>
    </row>
    <row r="2212">
      <c r="A2212" s="103"/>
      <c r="B2212" s="533"/>
      <c r="C2212" s="533"/>
      <c r="D2212" s="103"/>
      <c r="E2212" s="103"/>
      <c r="F2212" s="103"/>
      <c r="G2212" s="103"/>
      <c r="H2212" s="131"/>
      <c r="I2212" s="468"/>
      <c r="J2212" s="16"/>
      <c r="K2212" s="16"/>
      <c r="M2212" s="69"/>
      <c r="N2212" s="69"/>
      <c r="O2212" s="69"/>
      <c r="P2212" s="534"/>
      <c r="Q2212" s="274"/>
      <c r="R2212" s="472"/>
      <c r="S2212" s="535"/>
      <c r="T2212" s="535"/>
      <c r="U2212" s="536"/>
      <c r="V2212" s="474"/>
      <c r="Y2212" s="89"/>
      <c r="Z2212" s="60"/>
      <c r="AA2212" s="60"/>
      <c r="AB2212" s="60"/>
      <c r="AC2212" s="30"/>
      <c r="AD2212" s="30"/>
      <c r="AE2212" s="475"/>
      <c r="AF2212" s="476"/>
      <c r="AG2212" s="474"/>
      <c r="AH2212" s="138"/>
    </row>
    <row r="2213">
      <c r="A2213" s="103"/>
      <c r="B2213" s="533"/>
      <c r="C2213" s="533"/>
      <c r="D2213" s="103"/>
      <c r="E2213" s="103"/>
      <c r="F2213" s="103"/>
      <c r="G2213" s="103"/>
      <c r="H2213" s="131"/>
      <c r="I2213" s="468"/>
      <c r="J2213" s="16"/>
      <c r="K2213" s="16"/>
      <c r="M2213" s="69"/>
      <c r="N2213" s="69"/>
      <c r="O2213" s="69"/>
      <c r="P2213" s="534"/>
      <c r="Q2213" s="274"/>
      <c r="R2213" s="472"/>
      <c r="S2213" s="535"/>
      <c r="T2213" s="535"/>
      <c r="U2213" s="536"/>
      <c r="V2213" s="474"/>
      <c r="Y2213" s="89"/>
      <c r="Z2213" s="60"/>
      <c r="AA2213" s="60"/>
      <c r="AB2213" s="60"/>
      <c r="AC2213" s="30"/>
      <c r="AD2213" s="30"/>
      <c r="AE2213" s="475"/>
      <c r="AF2213" s="476"/>
      <c r="AG2213" s="474"/>
      <c r="AH2213" s="138"/>
    </row>
    <row r="2214">
      <c r="A2214" s="103"/>
      <c r="B2214" s="533"/>
      <c r="C2214" s="533"/>
      <c r="D2214" s="103"/>
      <c r="E2214" s="103"/>
      <c r="F2214" s="103"/>
      <c r="G2214" s="103"/>
      <c r="H2214" s="131"/>
      <c r="I2214" s="468"/>
      <c r="J2214" s="16"/>
      <c r="K2214" s="16"/>
      <c r="M2214" s="69"/>
      <c r="N2214" s="69"/>
      <c r="O2214" s="69"/>
      <c r="P2214" s="534"/>
      <c r="Q2214" s="274"/>
      <c r="R2214" s="472"/>
      <c r="S2214" s="535"/>
      <c r="T2214" s="535"/>
      <c r="U2214" s="536"/>
      <c r="V2214" s="474"/>
      <c r="Y2214" s="89"/>
      <c r="Z2214" s="60"/>
      <c r="AA2214" s="60"/>
      <c r="AB2214" s="60"/>
      <c r="AC2214" s="30"/>
      <c r="AD2214" s="30"/>
      <c r="AE2214" s="475"/>
      <c r="AF2214" s="476"/>
      <c r="AG2214" s="474"/>
      <c r="AH2214" s="138"/>
    </row>
    <row r="2215">
      <c r="A2215" s="103"/>
      <c r="B2215" s="533"/>
      <c r="C2215" s="533"/>
      <c r="D2215" s="103"/>
      <c r="E2215" s="103"/>
      <c r="F2215" s="103"/>
      <c r="G2215" s="103"/>
      <c r="H2215" s="131"/>
      <c r="I2215" s="468"/>
      <c r="J2215" s="16"/>
      <c r="K2215" s="16"/>
      <c r="M2215" s="69"/>
      <c r="N2215" s="69"/>
      <c r="O2215" s="69"/>
      <c r="P2215" s="534"/>
      <c r="Q2215" s="274"/>
      <c r="R2215" s="472"/>
      <c r="S2215" s="535"/>
      <c r="T2215" s="535"/>
      <c r="U2215" s="536"/>
      <c r="V2215" s="474"/>
      <c r="Y2215" s="89"/>
      <c r="Z2215" s="60"/>
      <c r="AA2215" s="60"/>
      <c r="AB2215" s="60"/>
      <c r="AC2215" s="30"/>
      <c r="AD2215" s="30"/>
      <c r="AE2215" s="475"/>
      <c r="AF2215" s="476"/>
      <c r="AG2215" s="474"/>
      <c r="AH2215" s="138"/>
    </row>
    <row r="2216">
      <c r="A2216" s="103"/>
      <c r="B2216" s="533"/>
      <c r="C2216" s="533"/>
      <c r="D2216" s="103"/>
      <c r="E2216" s="103"/>
      <c r="F2216" s="103"/>
      <c r="G2216" s="103"/>
      <c r="H2216" s="131"/>
      <c r="I2216" s="468"/>
      <c r="J2216" s="16"/>
      <c r="K2216" s="16"/>
      <c r="M2216" s="69"/>
      <c r="N2216" s="69"/>
      <c r="O2216" s="69"/>
      <c r="P2216" s="534"/>
      <c r="Q2216" s="274"/>
      <c r="R2216" s="472"/>
      <c r="S2216" s="535"/>
      <c r="T2216" s="535"/>
      <c r="U2216" s="536"/>
      <c r="V2216" s="474"/>
      <c r="Y2216" s="89"/>
      <c r="Z2216" s="60"/>
      <c r="AA2216" s="60"/>
      <c r="AB2216" s="60"/>
      <c r="AC2216" s="30"/>
      <c r="AD2216" s="30"/>
      <c r="AE2216" s="475"/>
      <c r="AF2216" s="476"/>
      <c r="AG2216" s="474"/>
      <c r="AH2216" s="138"/>
    </row>
    <row r="2217">
      <c r="A2217" s="103"/>
      <c r="B2217" s="533"/>
      <c r="C2217" s="533"/>
      <c r="D2217" s="103"/>
      <c r="E2217" s="103"/>
      <c r="F2217" s="103"/>
      <c r="G2217" s="103"/>
      <c r="H2217" s="131"/>
      <c r="I2217" s="468"/>
      <c r="J2217" s="16"/>
      <c r="K2217" s="16"/>
      <c r="M2217" s="69"/>
      <c r="N2217" s="69"/>
      <c r="O2217" s="69"/>
      <c r="P2217" s="534"/>
      <c r="Q2217" s="274"/>
      <c r="R2217" s="472"/>
      <c r="S2217" s="535"/>
      <c r="T2217" s="535"/>
      <c r="U2217" s="536"/>
      <c r="V2217" s="474"/>
      <c r="Y2217" s="89"/>
      <c r="Z2217" s="60"/>
      <c r="AA2217" s="60"/>
      <c r="AB2217" s="60"/>
      <c r="AC2217" s="30"/>
      <c r="AD2217" s="30"/>
      <c r="AE2217" s="475"/>
      <c r="AF2217" s="476"/>
      <c r="AG2217" s="474"/>
      <c r="AH2217" s="138"/>
    </row>
    <row r="2218">
      <c r="A2218" s="103"/>
      <c r="B2218" s="533"/>
      <c r="C2218" s="533"/>
      <c r="D2218" s="103"/>
      <c r="E2218" s="103"/>
      <c r="F2218" s="103"/>
      <c r="G2218" s="103"/>
      <c r="H2218" s="131"/>
      <c r="I2218" s="468"/>
      <c r="J2218" s="16"/>
      <c r="K2218" s="16"/>
      <c r="M2218" s="69"/>
      <c r="N2218" s="69"/>
      <c r="O2218" s="69"/>
      <c r="P2218" s="534"/>
      <c r="Q2218" s="274"/>
      <c r="R2218" s="472"/>
      <c r="S2218" s="535"/>
      <c r="T2218" s="535"/>
      <c r="U2218" s="536"/>
      <c r="V2218" s="474"/>
      <c r="Y2218" s="89"/>
      <c r="Z2218" s="60"/>
      <c r="AA2218" s="60"/>
      <c r="AB2218" s="60"/>
      <c r="AC2218" s="30"/>
      <c r="AD2218" s="30"/>
      <c r="AE2218" s="475"/>
      <c r="AF2218" s="476"/>
      <c r="AG2218" s="474"/>
      <c r="AH2218" s="138"/>
    </row>
    <row r="2219">
      <c r="A2219" s="103"/>
      <c r="B2219" s="533"/>
      <c r="C2219" s="533"/>
      <c r="D2219" s="103"/>
      <c r="E2219" s="103"/>
      <c r="F2219" s="103"/>
      <c r="G2219" s="103"/>
      <c r="H2219" s="131"/>
      <c r="I2219" s="468"/>
      <c r="J2219" s="16"/>
      <c r="K2219" s="16"/>
      <c r="M2219" s="69"/>
      <c r="N2219" s="69"/>
      <c r="O2219" s="69"/>
      <c r="P2219" s="534"/>
      <c r="Q2219" s="274"/>
      <c r="R2219" s="472"/>
      <c r="S2219" s="535"/>
      <c r="T2219" s="535"/>
      <c r="U2219" s="536"/>
      <c r="V2219" s="474"/>
      <c r="Y2219" s="89"/>
      <c r="Z2219" s="60"/>
      <c r="AA2219" s="60"/>
      <c r="AB2219" s="60"/>
      <c r="AC2219" s="30"/>
      <c r="AD2219" s="30"/>
      <c r="AE2219" s="475"/>
      <c r="AF2219" s="476"/>
      <c r="AG2219" s="474"/>
      <c r="AH2219" s="138"/>
    </row>
    <row r="2220">
      <c r="A2220" s="103"/>
      <c r="B2220" s="533"/>
      <c r="C2220" s="533"/>
      <c r="D2220" s="103"/>
      <c r="E2220" s="103"/>
      <c r="F2220" s="103"/>
      <c r="G2220" s="103"/>
      <c r="H2220" s="131"/>
      <c r="I2220" s="468"/>
      <c r="J2220" s="16"/>
      <c r="K2220" s="16"/>
      <c r="M2220" s="69"/>
      <c r="N2220" s="69"/>
      <c r="O2220" s="69"/>
      <c r="P2220" s="534"/>
      <c r="Q2220" s="274"/>
      <c r="R2220" s="472"/>
      <c r="S2220" s="535"/>
      <c r="T2220" s="535"/>
      <c r="U2220" s="536"/>
      <c r="V2220" s="474"/>
      <c r="Y2220" s="89"/>
      <c r="Z2220" s="60"/>
      <c r="AA2220" s="60"/>
      <c r="AB2220" s="60"/>
      <c r="AC2220" s="30"/>
      <c r="AD2220" s="30"/>
      <c r="AE2220" s="475"/>
      <c r="AF2220" s="476"/>
      <c r="AG2220" s="474"/>
      <c r="AH2220" s="138"/>
    </row>
    <row r="2221">
      <c r="A2221" s="103"/>
      <c r="B2221" s="533"/>
      <c r="C2221" s="533"/>
      <c r="D2221" s="103"/>
      <c r="E2221" s="103"/>
      <c r="F2221" s="103"/>
      <c r="G2221" s="103"/>
      <c r="H2221" s="131"/>
      <c r="I2221" s="468"/>
      <c r="J2221" s="16"/>
      <c r="K2221" s="16"/>
      <c r="M2221" s="69"/>
      <c r="N2221" s="69"/>
      <c r="O2221" s="69"/>
      <c r="P2221" s="534"/>
      <c r="Q2221" s="274"/>
      <c r="R2221" s="472"/>
      <c r="S2221" s="535"/>
      <c r="T2221" s="535"/>
      <c r="U2221" s="536"/>
      <c r="V2221" s="474"/>
      <c r="Y2221" s="89"/>
      <c r="Z2221" s="60"/>
      <c r="AA2221" s="60"/>
      <c r="AB2221" s="60"/>
      <c r="AC2221" s="30"/>
      <c r="AD2221" s="30"/>
      <c r="AE2221" s="475"/>
      <c r="AF2221" s="476"/>
      <c r="AG2221" s="474"/>
      <c r="AH2221" s="138"/>
    </row>
    <row r="2222">
      <c r="A2222" s="103"/>
      <c r="B2222" s="533"/>
      <c r="C2222" s="533"/>
      <c r="D2222" s="103"/>
      <c r="E2222" s="103"/>
      <c r="F2222" s="103"/>
      <c r="G2222" s="103"/>
      <c r="H2222" s="131"/>
      <c r="I2222" s="468"/>
      <c r="J2222" s="16"/>
      <c r="K2222" s="16"/>
      <c r="M2222" s="69"/>
      <c r="N2222" s="69"/>
      <c r="O2222" s="69"/>
      <c r="P2222" s="534"/>
      <c r="Q2222" s="274"/>
      <c r="R2222" s="472"/>
      <c r="S2222" s="535"/>
      <c r="T2222" s="535"/>
      <c r="U2222" s="536"/>
      <c r="V2222" s="474"/>
      <c r="Y2222" s="89"/>
      <c r="Z2222" s="60"/>
      <c r="AA2222" s="60"/>
      <c r="AB2222" s="60"/>
      <c r="AC2222" s="30"/>
      <c r="AD2222" s="30"/>
      <c r="AE2222" s="475"/>
      <c r="AF2222" s="476"/>
      <c r="AG2222" s="474"/>
      <c r="AH2222" s="138"/>
    </row>
    <row r="2223">
      <c r="A2223" s="103"/>
      <c r="B2223" s="533"/>
      <c r="C2223" s="533"/>
      <c r="D2223" s="103"/>
      <c r="E2223" s="103"/>
      <c r="F2223" s="103"/>
      <c r="G2223" s="103"/>
      <c r="H2223" s="131"/>
      <c r="I2223" s="468"/>
      <c r="J2223" s="16"/>
      <c r="K2223" s="16"/>
      <c r="M2223" s="69"/>
      <c r="N2223" s="69"/>
      <c r="O2223" s="69"/>
      <c r="P2223" s="534"/>
      <c r="Q2223" s="274"/>
      <c r="R2223" s="472"/>
      <c r="S2223" s="535"/>
      <c r="T2223" s="535"/>
      <c r="U2223" s="536"/>
      <c r="V2223" s="474"/>
      <c r="Y2223" s="89"/>
      <c r="Z2223" s="60"/>
      <c r="AA2223" s="60"/>
      <c r="AB2223" s="60"/>
      <c r="AC2223" s="30"/>
      <c r="AD2223" s="30"/>
      <c r="AE2223" s="475"/>
      <c r="AF2223" s="476"/>
      <c r="AG2223" s="474"/>
      <c r="AH2223" s="138"/>
    </row>
    <row r="2224">
      <c r="A2224" s="103"/>
      <c r="B2224" s="533"/>
      <c r="C2224" s="533"/>
      <c r="D2224" s="103"/>
      <c r="E2224" s="103"/>
      <c r="F2224" s="103"/>
      <c r="G2224" s="103"/>
      <c r="H2224" s="131"/>
      <c r="I2224" s="468"/>
      <c r="J2224" s="16"/>
      <c r="K2224" s="16"/>
      <c r="M2224" s="69"/>
      <c r="N2224" s="69"/>
      <c r="O2224" s="69"/>
      <c r="P2224" s="534"/>
      <c r="Q2224" s="274"/>
      <c r="R2224" s="472"/>
      <c r="S2224" s="535"/>
      <c r="T2224" s="535"/>
      <c r="U2224" s="536"/>
      <c r="V2224" s="474"/>
      <c r="Y2224" s="89"/>
      <c r="Z2224" s="60"/>
      <c r="AA2224" s="60"/>
      <c r="AB2224" s="60"/>
      <c r="AC2224" s="30"/>
      <c r="AD2224" s="30"/>
      <c r="AE2224" s="475"/>
      <c r="AF2224" s="476"/>
      <c r="AG2224" s="474"/>
      <c r="AH2224" s="138"/>
    </row>
    <row r="2225">
      <c r="A2225" s="103"/>
      <c r="B2225" s="533"/>
      <c r="C2225" s="533"/>
      <c r="D2225" s="103"/>
      <c r="E2225" s="103"/>
      <c r="F2225" s="103"/>
      <c r="G2225" s="103"/>
      <c r="H2225" s="131"/>
      <c r="I2225" s="468"/>
      <c r="J2225" s="16"/>
      <c r="K2225" s="16"/>
      <c r="M2225" s="69"/>
      <c r="N2225" s="69"/>
      <c r="O2225" s="69"/>
      <c r="P2225" s="534"/>
      <c r="Q2225" s="274"/>
      <c r="R2225" s="472"/>
      <c r="S2225" s="535"/>
      <c r="T2225" s="535"/>
      <c r="U2225" s="536"/>
      <c r="V2225" s="474"/>
      <c r="Y2225" s="89"/>
      <c r="Z2225" s="60"/>
      <c r="AA2225" s="60"/>
      <c r="AB2225" s="60"/>
      <c r="AC2225" s="30"/>
      <c r="AD2225" s="30"/>
      <c r="AE2225" s="475"/>
      <c r="AF2225" s="476"/>
      <c r="AG2225" s="474"/>
      <c r="AH2225" s="138"/>
    </row>
    <row r="2226">
      <c r="A2226" s="103"/>
      <c r="B2226" s="533"/>
      <c r="C2226" s="533"/>
      <c r="D2226" s="103"/>
      <c r="E2226" s="103"/>
      <c r="F2226" s="103"/>
      <c r="G2226" s="103"/>
      <c r="H2226" s="131"/>
      <c r="I2226" s="468"/>
      <c r="J2226" s="16"/>
      <c r="K2226" s="16"/>
      <c r="M2226" s="69"/>
      <c r="N2226" s="69"/>
      <c r="O2226" s="69"/>
      <c r="P2226" s="534"/>
      <c r="Q2226" s="274"/>
      <c r="R2226" s="472"/>
      <c r="S2226" s="535"/>
      <c r="T2226" s="535"/>
      <c r="U2226" s="536"/>
      <c r="V2226" s="474"/>
      <c r="Y2226" s="89"/>
      <c r="Z2226" s="60"/>
      <c r="AA2226" s="60"/>
      <c r="AB2226" s="60"/>
      <c r="AC2226" s="30"/>
      <c r="AD2226" s="30"/>
      <c r="AE2226" s="475"/>
      <c r="AF2226" s="476"/>
      <c r="AG2226" s="474"/>
      <c r="AH2226" s="138"/>
    </row>
    <row r="2227">
      <c r="A2227" s="103"/>
      <c r="B2227" s="533"/>
      <c r="C2227" s="533"/>
      <c r="D2227" s="103"/>
      <c r="E2227" s="103"/>
      <c r="F2227" s="103"/>
      <c r="G2227" s="103"/>
      <c r="H2227" s="131"/>
      <c r="I2227" s="468"/>
      <c r="J2227" s="16"/>
      <c r="K2227" s="16"/>
      <c r="M2227" s="69"/>
      <c r="N2227" s="69"/>
      <c r="O2227" s="69"/>
      <c r="P2227" s="534"/>
      <c r="Q2227" s="274"/>
      <c r="R2227" s="472"/>
      <c r="S2227" s="535"/>
      <c r="T2227" s="535"/>
      <c r="U2227" s="536"/>
      <c r="V2227" s="474"/>
      <c r="Y2227" s="89"/>
      <c r="Z2227" s="60"/>
      <c r="AA2227" s="60"/>
      <c r="AB2227" s="60"/>
      <c r="AC2227" s="30"/>
      <c r="AD2227" s="30"/>
      <c r="AE2227" s="475"/>
      <c r="AF2227" s="476"/>
      <c r="AG2227" s="474"/>
      <c r="AH2227" s="138"/>
    </row>
    <row r="2228">
      <c r="A2228" s="103"/>
      <c r="B2228" s="533"/>
      <c r="C2228" s="533"/>
      <c r="D2228" s="103"/>
      <c r="E2228" s="103"/>
      <c r="F2228" s="103"/>
      <c r="G2228" s="103"/>
      <c r="H2228" s="131"/>
      <c r="I2228" s="468"/>
      <c r="J2228" s="16"/>
      <c r="K2228" s="16"/>
      <c r="M2228" s="69"/>
      <c r="N2228" s="69"/>
      <c r="O2228" s="69"/>
      <c r="P2228" s="534"/>
      <c r="Q2228" s="274"/>
      <c r="R2228" s="472"/>
      <c r="S2228" s="535"/>
      <c r="T2228" s="535"/>
      <c r="U2228" s="536"/>
      <c r="V2228" s="474"/>
      <c r="Y2228" s="89"/>
      <c r="Z2228" s="60"/>
      <c r="AA2228" s="60"/>
      <c r="AB2228" s="60"/>
      <c r="AC2228" s="30"/>
      <c r="AD2228" s="30"/>
      <c r="AE2228" s="475"/>
      <c r="AF2228" s="476"/>
      <c r="AG2228" s="474"/>
      <c r="AH2228" s="138"/>
    </row>
    <row r="2229">
      <c r="A2229" s="103"/>
      <c r="B2229" s="533"/>
      <c r="C2229" s="533"/>
      <c r="D2229" s="103"/>
      <c r="E2229" s="103"/>
      <c r="F2229" s="103"/>
      <c r="G2229" s="103"/>
      <c r="H2229" s="131"/>
      <c r="I2229" s="468"/>
      <c r="J2229" s="16"/>
      <c r="K2229" s="16"/>
      <c r="M2229" s="69"/>
      <c r="N2229" s="69"/>
      <c r="O2229" s="69"/>
      <c r="P2229" s="534"/>
      <c r="Q2229" s="274"/>
      <c r="R2229" s="472"/>
      <c r="S2229" s="535"/>
      <c r="T2229" s="535"/>
      <c r="U2229" s="536"/>
      <c r="V2229" s="474"/>
      <c r="Y2229" s="89"/>
      <c r="Z2229" s="60"/>
      <c r="AA2229" s="60"/>
      <c r="AB2229" s="60"/>
      <c r="AC2229" s="30"/>
      <c r="AD2229" s="30"/>
      <c r="AE2229" s="475"/>
      <c r="AF2229" s="476"/>
      <c r="AG2229" s="474"/>
      <c r="AH2229" s="138"/>
    </row>
    <row r="2230">
      <c r="A2230" s="103"/>
      <c r="B2230" s="533"/>
      <c r="C2230" s="533"/>
      <c r="D2230" s="103"/>
      <c r="E2230" s="103"/>
      <c r="F2230" s="103"/>
      <c r="G2230" s="103"/>
      <c r="H2230" s="131"/>
      <c r="I2230" s="468"/>
      <c r="J2230" s="16"/>
      <c r="K2230" s="16"/>
      <c r="M2230" s="69"/>
      <c r="N2230" s="69"/>
      <c r="O2230" s="69"/>
      <c r="P2230" s="534"/>
      <c r="Q2230" s="274"/>
      <c r="R2230" s="472"/>
      <c r="S2230" s="535"/>
      <c r="T2230" s="535"/>
      <c r="U2230" s="536"/>
      <c r="V2230" s="474"/>
      <c r="Y2230" s="89"/>
      <c r="Z2230" s="60"/>
      <c r="AA2230" s="60"/>
      <c r="AB2230" s="60"/>
      <c r="AC2230" s="30"/>
      <c r="AD2230" s="30"/>
      <c r="AE2230" s="475"/>
      <c r="AF2230" s="476"/>
      <c r="AG2230" s="474"/>
      <c r="AH2230" s="138"/>
    </row>
    <row r="2231">
      <c r="A2231" s="103"/>
      <c r="B2231" s="533"/>
      <c r="C2231" s="533"/>
      <c r="D2231" s="103"/>
      <c r="E2231" s="103"/>
      <c r="F2231" s="103"/>
      <c r="G2231" s="103"/>
      <c r="H2231" s="131"/>
      <c r="I2231" s="468"/>
      <c r="J2231" s="16"/>
      <c r="K2231" s="16"/>
      <c r="M2231" s="69"/>
      <c r="N2231" s="69"/>
      <c r="O2231" s="69"/>
      <c r="P2231" s="534"/>
      <c r="Q2231" s="274"/>
      <c r="R2231" s="472"/>
      <c r="S2231" s="535"/>
      <c r="T2231" s="535"/>
      <c r="U2231" s="536"/>
      <c r="V2231" s="474"/>
      <c r="Y2231" s="89"/>
      <c r="Z2231" s="60"/>
      <c r="AA2231" s="60"/>
      <c r="AB2231" s="60"/>
      <c r="AC2231" s="30"/>
      <c r="AD2231" s="30"/>
      <c r="AE2231" s="475"/>
      <c r="AF2231" s="476"/>
      <c r="AG2231" s="474"/>
      <c r="AH2231" s="138"/>
    </row>
    <row r="2232">
      <c r="A2232" s="103"/>
      <c r="B2232" s="533"/>
      <c r="C2232" s="533"/>
      <c r="D2232" s="103"/>
      <c r="E2232" s="103"/>
      <c r="F2232" s="103"/>
      <c r="G2232" s="103"/>
      <c r="H2232" s="131"/>
      <c r="I2232" s="468"/>
      <c r="J2232" s="16"/>
      <c r="K2232" s="16"/>
      <c r="M2232" s="69"/>
      <c r="N2232" s="69"/>
      <c r="O2232" s="69"/>
      <c r="P2232" s="534"/>
      <c r="Q2232" s="274"/>
      <c r="R2232" s="472"/>
      <c r="S2232" s="535"/>
      <c r="T2232" s="535"/>
      <c r="U2232" s="536"/>
      <c r="V2232" s="474"/>
      <c r="Y2232" s="89"/>
      <c r="Z2232" s="60"/>
      <c r="AA2232" s="60"/>
      <c r="AB2232" s="60"/>
      <c r="AC2232" s="30"/>
      <c r="AD2232" s="30"/>
      <c r="AE2232" s="475"/>
      <c r="AF2232" s="476"/>
      <c r="AG2232" s="474"/>
      <c r="AH2232" s="138"/>
    </row>
    <row r="2233">
      <c r="A2233" s="103"/>
      <c r="B2233" s="533"/>
      <c r="C2233" s="533"/>
      <c r="D2233" s="103"/>
      <c r="E2233" s="103"/>
      <c r="F2233" s="103"/>
      <c r="G2233" s="103"/>
      <c r="H2233" s="131"/>
      <c r="I2233" s="468"/>
      <c r="J2233" s="16"/>
      <c r="K2233" s="16"/>
      <c r="M2233" s="69"/>
      <c r="N2233" s="69"/>
      <c r="O2233" s="69"/>
      <c r="P2233" s="534"/>
      <c r="Q2233" s="274"/>
      <c r="R2233" s="472"/>
      <c r="S2233" s="535"/>
      <c r="T2233" s="535"/>
      <c r="U2233" s="536"/>
      <c r="V2233" s="474"/>
      <c r="Y2233" s="89"/>
      <c r="Z2233" s="60"/>
      <c r="AA2233" s="60"/>
      <c r="AB2233" s="60"/>
      <c r="AC2233" s="30"/>
      <c r="AD2233" s="30"/>
      <c r="AE2233" s="475"/>
      <c r="AF2233" s="476"/>
      <c r="AG2233" s="474"/>
      <c r="AH2233" s="138"/>
    </row>
    <row r="2234">
      <c r="A2234" s="103"/>
      <c r="B2234" s="533"/>
      <c r="C2234" s="533"/>
      <c r="D2234" s="103"/>
      <c r="E2234" s="103"/>
      <c r="F2234" s="103"/>
      <c r="G2234" s="103"/>
      <c r="H2234" s="131"/>
      <c r="I2234" s="468"/>
      <c r="J2234" s="16"/>
      <c r="K2234" s="16"/>
      <c r="M2234" s="69"/>
      <c r="N2234" s="69"/>
      <c r="O2234" s="69"/>
      <c r="P2234" s="534"/>
      <c r="Q2234" s="274"/>
      <c r="R2234" s="472"/>
      <c r="S2234" s="535"/>
      <c r="T2234" s="535"/>
      <c r="U2234" s="536"/>
      <c r="V2234" s="474"/>
      <c r="Y2234" s="89"/>
      <c r="Z2234" s="60"/>
      <c r="AA2234" s="60"/>
      <c r="AB2234" s="60"/>
      <c r="AC2234" s="30"/>
      <c r="AD2234" s="30"/>
      <c r="AE2234" s="475"/>
      <c r="AF2234" s="476"/>
      <c r="AG2234" s="474"/>
      <c r="AH2234" s="138"/>
    </row>
    <row r="2235">
      <c r="A2235" s="103"/>
      <c r="B2235" s="533"/>
      <c r="C2235" s="533"/>
      <c r="D2235" s="103"/>
      <c r="E2235" s="103"/>
      <c r="F2235" s="103"/>
      <c r="G2235" s="103"/>
      <c r="H2235" s="131"/>
      <c r="I2235" s="468"/>
      <c r="J2235" s="16"/>
      <c r="K2235" s="16"/>
      <c r="M2235" s="69"/>
      <c r="N2235" s="69"/>
      <c r="O2235" s="69"/>
      <c r="P2235" s="534"/>
      <c r="Q2235" s="274"/>
      <c r="R2235" s="472"/>
      <c r="S2235" s="535"/>
      <c r="T2235" s="535"/>
      <c r="U2235" s="536"/>
      <c r="V2235" s="474"/>
      <c r="Y2235" s="89"/>
      <c r="Z2235" s="60"/>
      <c r="AA2235" s="60"/>
      <c r="AB2235" s="60"/>
      <c r="AC2235" s="30"/>
      <c r="AD2235" s="30"/>
      <c r="AE2235" s="475"/>
      <c r="AF2235" s="476"/>
      <c r="AG2235" s="474"/>
      <c r="AH2235" s="138"/>
    </row>
    <row r="2236">
      <c r="A2236" s="103"/>
      <c r="B2236" s="533"/>
      <c r="C2236" s="533"/>
      <c r="D2236" s="103"/>
      <c r="E2236" s="103"/>
      <c r="F2236" s="103"/>
      <c r="G2236" s="103"/>
      <c r="H2236" s="131"/>
      <c r="I2236" s="468"/>
      <c r="J2236" s="16"/>
      <c r="K2236" s="16"/>
      <c r="M2236" s="69"/>
      <c r="N2236" s="69"/>
      <c r="O2236" s="69"/>
      <c r="P2236" s="534"/>
      <c r="Q2236" s="274"/>
      <c r="R2236" s="472"/>
      <c r="S2236" s="535"/>
      <c r="T2236" s="535"/>
      <c r="U2236" s="536"/>
      <c r="V2236" s="474"/>
      <c r="Y2236" s="89"/>
      <c r="Z2236" s="60"/>
      <c r="AA2236" s="60"/>
      <c r="AB2236" s="60"/>
      <c r="AC2236" s="30"/>
      <c r="AD2236" s="30"/>
      <c r="AE2236" s="475"/>
      <c r="AF2236" s="476"/>
      <c r="AG2236" s="474"/>
      <c r="AH2236" s="138"/>
    </row>
    <row r="2237">
      <c r="A2237" s="103"/>
      <c r="B2237" s="533"/>
      <c r="C2237" s="533"/>
      <c r="D2237" s="103"/>
      <c r="E2237" s="103"/>
      <c r="F2237" s="103"/>
      <c r="G2237" s="103"/>
      <c r="H2237" s="131"/>
      <c r="I2237" s="468"/>
      <c r="J2237" s="16"/>
      <c r="K2237" s="16"/>
      <c r="M2237" s="69"/>
      <c r="N2237" s="69"/>
      <c r="O2237" s="69"/>
      <c r="P2237" s="534"/>
      <c r="Q2237" s="274"/>
      <c r="R2237" s="472"/>
      <c r="S2237" s="535"/>
      <c r="T2237" s="535"/>
      <c r="U2237" s="536"/>
      <c r="V2237" s="474"/>
      <c r="Y2237" s="89"/>
      <c r="Z2237" s="60"/>
      <c r="AA2237" s="60"/>
      <c r="AB2237" s="60"/>
      <c r="AC2237" s="30"/>
      <c r="AD2237" s="30"/>
      <c r="AE2237" s="475"/>
      <c r="AF2237" s="476"/>
      <c r="AG2237" s="474"/>
      <c r="AH2237" s="138"/>
    </row>
    <row r="2238">
      <c r="A2238" s="103"/>
      <c r="B2238" s="533"/>
      <c r="C2238" s="533"/>
      <c r="D2238" s="103"/>
      <c r="E2238" s="103"/>
      <c r="F2238" s="103"/>
      <c r="G2238" s="103"/>
      <c r="H2238" s="131"/>
      <c r="I2238" s="468"/>
      <c r="J2238" s="16"/>
      <c r="K2238" s="16"/>
      <c r="M2238" s="69"/>
      <c r="N2238" s="69"/>
      <c r="O2238" s="69"/>
      <c r="P2238" s="534"/>
      <c r="Q2238" s="274"/>
      <c r="R2238" s="472"/>
      <c r="S2238" s="535"/>
      <c r="T2238" s="535"/>
      <c r="U2238" s="536"/>
      <c r="V2238" s="474"/>
      <c r="Y2238" s="89"/>
      <c r="Z2238" s="60"/>
      <c r="AA2238" s="60"/>
      <c r="AB2238" s="60"/>
      <c r="AC2238" s="30"/>
      <c r="AD2238" s="30"/>
      <c r="AE2238" s="475"/>
      <c r="AF2238" s="476"/>
      <c r="AG2238" s="474"/>
      <c r="AH2238" s="138"/>
    </row>
    <row r="2239">
      <c r="A2239" s="103"/>
      <c r="B2239" s="533"/>
      <c r="C2239" s="533"/>
      <c r="D2239" s="103"/>
      <c r="E2239" s="103"/>
      <c r="F2239" s="103"/>
      <c r="G2239" s="103"/>
      <c r="H2239" s="131"/>
      <c r="I2239" s="468"/>
      <c r="J2239" s="16"/>
      <c r="K2239" s="16"/>
      <c r="M2239" s="69"/>
      <c r="N2239" s="69"/>
      <c r="O2239" s="69"/>
      <c r="P2239" s="534"/>
      <c r="Q2239" s="274"/>
      <c r="R2239" s="472"/>
      <c r="S2239" s="535"/>
      <c r="T2239" s="535"/>
      <c r="U2239" s="536"/>
      <c r="V2239" s="474"/>
      <c r="Y2239" s="89"/>
      <c r="Z2239" s="60"/>
      <c r="AA2239" s="60"/>
      <c r="AB2239" s="60"/>
      <c r="AC2239" s="30"/>
      <c r="AD2239" s="30"/>
      <c r="AE2239" s="475"/>
      <c r="AF2239" s="476"/>
      <c r="AG2239" s="474"/>
      <c r="AH2239" s="138"/>
    </row>
    <row r="2240">
      <c r="A2240" s="103"/>
      <c r="B2240" s="533"/>
      <c r="C2240" s="533"/>
      <c r="D2240" s="103"/>
      <c r="E2240" s="103"/>
      <c r="F2240" s="103"/>
      <c r="G2240" s="103"/>
      <c r="H2240" s="131"/>
      <c r="I2240" s="468"/>
      <c r="J2240" s="16"/>
      <c r="K2240" s="16"/>
      <c r="M2240" s="69"/>
      <c r="N2240" s="69"/>
      <c r="O2240" s="69"/>
      <c r="P2240" s="534"/>
      <c r="Q2240" s="274"/>
      <c r="R2240" s="472"/>
      <c r="S2240" s="535"/>
      <c r="T2240" s="535"/>
      <c r="U2240" s="536"/>
      <c r="V2240" s="474"/>
      <c r="Y2240" s="89"/>
      <c r="Z2240" s="60"/>
      <c r="AA2240" s="60"/>
      <c r="AB2240" s="60"/>
      <c r="AC2240" s="30"/>
      <c r="AD2240" s="30"/>
      <c r="AE2240" s="475"/>
      <c r="AF2240" s="476"/>
      <c r="AG2240" s="474"/>
      <c r="AH2240" s="138"/>
    </row>
    <row r="2241">
      <c r="A2241" s="103"/>
      <c r="B2241" s="533"/>
      <c r="C2241" s="533"/>
      <c r="D2241" s="103"/>
      <c r="E2241" s="103"/>
      <c r="F2241" s="103"/>
      <c r="G2241" s="103"/>
      <c r="H2241" s="131"/>
      <c r="I2241" s="468"/>
      <c r="J2241" s="16"/>
      <c r="K2241" s="16"/>
      <c r="M2241" s="69"/>
      <c r="N2241" s="69"/>
      <c r="O2241" s="69"/>
      <c r="P2241" s="534"/>
      <c r="Q2241" s="274"/>
      <c r="R2241" s="472"/>
      <c r="S2241" s="535"/>
      <c r="T2241" s="535"/>
      <c r="U2241" s="536"/>
      <c r="V2241" s="474"/>
      <c r="Y2241" s="89"/>
      <c r="Z2241" s="60"/>
      <c r="AA2241" s="60"/>
      <c r="AB2241" s="60"/>
      <c r="AC2241" s="30"/>
      <c r="AD2241" s="30"/>
      <c r="AE2241" s="475"/>
      <c r="AF2241" s="476"/>
      <c r="AG2241" s="474"/>
      <c r="AH2241" s="138"/>
    </row>
    <row r="2242">
      <c r="A2242" s="103"/>
      <c r="B2242" s="533"/>
      <c r="C2242" s="533"/>
      <c r="D2242" s="103"/>
      <c r="E2242" s="103"/>
      <c r="F2242" s="103"/>
      <c r="G2242" s="103"/>
      <c r="H2242" s="131"/>
      <c r="I2242" s="468"/>
      <c r="J2242" s="16"/>
      <c r="K2242" s="16"/>
      <c r="M2242" s="69"/>
      <c r="N2242" s="69"/>
      <c r="O2242" s="69"/>
      <c r="P2242" s="534"/>
      <c r="Q2242" s="274"/>
      <c r="R2242" s="472"/>
      <c r="S2242" s="535"/>
      <c r="T2242" s="535"/>
      <c r="U2242" s="536"/>
      <c r="V2242" s="474"/>
      <c r="Y2242" s="89"/>
      <c r="Z2242" s="60"/>
      <c r="AA2242" s="60"/>
      <c r="AB2242" s="60"/>
      <c r="AC2242" s="30"/>
      <c r="AD2242" s="30"/>
      <c r="AE2242" s="475"/>
      <c r="AF2242" s="476"/>
      <c r="AG2242" s="474"/>
      <c r="AH2242" s="138"/>
    </row>
    <row r="2243">
      <c r="A2243" s="103"/>
      <c r="B2243" s="533"/>
      <c r="C2243" s="533"/>
      <c r="D2243" s="103"/>
      <c r="E2243" s="103"/>
      <c r="F2243" s="103"/>
      <c r="G2243" s="103"/>
      <c r="H2243" s="131"/>
      <c r="I2243" s="468"/>
      <c r="J2243" s="16"/>
      <c r="K2243" s="16"/>
      <c r="M2243" s="69"/>
      <c r="N2243" s="69"/>
      <c r="O2243" s="69"/>
      <c r="P2243" s="534"/>
      <c r="Q2243" s="274"/>
      <c r="R2243" s="472"/>
      <c r="S2243" s="535"/>
      <c r="T2243" s="535"/>
      <c r="U2243" s="536"/>
      <c r="V2243" s="474"/>
      <c r="Y2243" s="89"/>
      <c r="Z2243" s="60"/>
      <c r="AA2243" s="60"/>
      <c r="AB2243" s="60"/>
      <c r="AC2243" s="30"/>
      <c r="AD2243" s="30"/>
      <c r="AE2243" s="475"/>
      <c r="AF2243" s="476"/>
      <c r="AG2243" s="474"/>
      <c r="AH2243" s="138"/>
    </row>
    <row r="2244">
      <c r="A2244" s="103"/>
      <c r="B2244" s="533"/>
      <c r="C2244" s="533"/>
      <c r="D2244" s="103"/>
      <c r="E2244" s="103"/>
      <c r="F2244" s="103"/>
      <c r="G2244" s="103"/>
      <c r="H2244" s="131"/>
      <c r="I2244" s="468"/>
      <c r="J2244" s="16"/>
      <c r="K2244" s="16"/>
      <c r="M2244" s="69"/>
      <c r="N2244" s="69"/>
      <c r="O2244" s="69"/>
      <c r="P2244" s="534"/>
      <c r="Q2244" s="274"/>
      <c r="R2244" s="472"/>
      <c r="S2244" s="535"/>
      <c r="T2244" s="535"/>
      <c r="U2244" s="536"/>
      <c r="V2244" s="474"/>
      <c r="Y2244" s="89"/>
      <c r="Z2244" s="60"/>
      <c r="AA2244" s="60"/>
      <c r="AB2244" s="60"/>
      <c r="AC2244" s="30"/>
      <c r="AD2244" s="30"/>
      <c r="AE2244" s="475"/>
      <c r="AF2244" s="476"/>
      <c r="AG2244" s="474"/>
      <c r="AH2244" s="138"/>
    </row>
    <row r="2245">
      <c r="A2245" s="103"/>
      <c r="B2245" s="533"/>
      <c r="C2245" s="533"/>
      <c r="D2245" s="103"/>
      <c r="E2245" s="103"/>
      <c r="F2245" s="103"/>
      <c r="G2245" s="103"/>
      <c r="H2245" s="131"/>
      <c r="I2245" s="468"/>
      <c r="J2245" s="16"/>
      <c r="K2245" s="16"/>
      <c r="M2245" s="69"/>
      <c r="N2245" s="69"/>
      <c r="O2245" s="69"/>
      <c r="P2245" s="534"/>
      <c r="Q2245" s="274"/>
      <c r="R2245" s="472"/>
      <c r="S2245" s="535"/>
      <c r="T2245" s="535"/>
      <c r="U2245" s="536"/>
      <c r="V2245" s="474"/>
      <c r="Y2245" s="89"/>
      <c r="Z2245" s="60"/>
      <c r="AA2245" s="60"/>
      <c r="AB2245" s="60"/>
      <c r="AC2245" s="30"/>
      <c r="AD2245" s="30"/>
      <c r="AE2245" s="475"/>
      <c r="AF2245" s="476"/>
      <c r="AG2245" s="474"/>
      <c r="AH2245" s="138"/>
    </row>
    <row r="2246">
      <c r="A2246" s="103"/>
      <c r="B2246" s="533"/>
      <c r="C2246" s="533"/>
      <c r="D2246" s="103"/>
      <c r="E2246" s="103"/>
      <c r="F2246" s="103"/>
      <c r="G2246" s="103"/>
      <c r="H2246" s="131"/>
      <c r="I2246" s="468"/>
      <c r="J2246" s="16"/>
      <c r="K2246" s="16"/>
      <c r="M2246" s="69"/>
      <c r="N2246" s="69"/>
      <c r="O2246" s="69"/>
      <c r="P2246" s="534"/>
      <c r="Q2246" s="274"/>
      <c r="R2246" s="472"/>
      <c r="S2246" s="535"/>
      <c r="T2246" s="535"/>
      <c r="U2246" s="536"/>
      <c r="V2246" s="474"/>
      <c r="Y2246" s="89"/>
      <c r="Z2246" s="60"/>
      <c r="AA2246" s="60"/>
      <c r="AB2246" s="60"/>
      <c r="AC2246" s="30"/>
      <c r="AD2246" s="30"/>
      <c r="AE2246" s="475"/>
      <c r="AF2246" s="476"/>
      <c r="AG2246" s="474"/>
      <c r="AH2246" s="138"/>
    </row>
    <row r="2247">
      <c r="A2247" s="103"/>
      <c r="B2247" s="533"/>
      <c r="C2247" s="533"/>
      <c r="D2247" s="103"/>
      <c r="E2247" s="103"/>
      <c r="F2247" s="103"/>
      <c r="G2247" s="103"/>
      <c r="H2247" s="131"/>
      <c r="I2247" s="468"/>
      <c r="J2247" s="16"/>
      <c r="K2247" s="16"/>
      <c r="M2247" s="69"/>
      <c r="N2247" s="69"/>
      <c r="O2247" s="69"/>
      <c r="P2247" s="534"/>
      <c r="Q2247" s="274"/>
      <c r="R2247" s="472"/>
      <c r="S2247" s="535"/>
      <c r="T2247" s="535"/>
      <c r="U2247" s="536"/>
      <c r="V2247" s="474"/>
      <c r="Y2247" s="89"/>
      <c r="Z2247" s="60"/>
      <c r="AA2247" s="60"/>
      <c r="AB2247" s="60"/>
      <c r="AC2247" s="30"/>
      <c r="AD2247" s="30"/>
      <c r="AE2247" s="475"/>
      <c r="AF2247" s="476"/>
      <c r="AG2247" s="474"/>
      <c r="AH2247" s="138"/>
    </row>
    <row r="2248">
      <c r="A2248" s="103"/>
      <c r="B2248" s="533"/>
      <c r="C2248" s="533"/>
      <c r="D2248" s="103"/>
      <c r="E2248" s="103"/>
      <c r="F2248" s="103"/>
      <c r="G2248" s="103"/>
      <c r="H2248" s="131"/>
      <c r="I2248" s="468"/>
      <c r="J2248" s="16"/>
      <c r="K2248" s="16"/>
      <c r="M2248" s="69"/>
      <c r="N2248" s="69"/>
      <c r="O2248" s="69"/>
      <c r="P2248" s="534"/>
      <c r="Q2248" s="274"/>
      <c r="R2248" s="472"/>
      <c r="S2248" s="535"/>
      <c r="T2248" s="535"/>
      <c r="U2248" s="536"/>
      <c r="V2248" s="474"/>
      <c r="Y2248" s="89"/>
      <c r="Z2248" s="60"/>
      <c r="AA2248" s="60"/>
      <c r="AB2248" s="60"/>
      <c r="AC2248" s="30"/>
      <c r="AD2248" s="30"/>
      <c r="AE2248" s="475"/>
      <c r="AF2248" s="476"/>
      <c r="AG2248" s="474"/>
      <c r="AH2248" s="138"/>
    </row>
    <row r="2249">
      <c r="A2249" s="103"/>
      <c r="B2249" s="533"/>
      <c r="C2249" s="533"/>
      <c r="D2249" s="103"/>
      <c r="E2249" s="103"/>
      <c r="F2249" s="103"/>
      <c r="G2249" s="103"/>
      <c r="H2249" s="131"/>
      <c r="I2249" s="468"/>
      <c r="J2249" s="16"/>
      <c r="K2249" s="16"/>
      <c r="M2249" s="69"/>
      <c r="N2249" s="69"/>
      <c r="O2249" s="69"/>
      <c r="P2249" s="534"/>
      <c r="Q2249" s="274"/>
      <c r="R2249" s="472"/>
      <c r="S2249" s="535"/>
      <c r="T2249" s="535"/>
      <c r="U2249" s="536"/>
      <c r="V2249" s="474"/>
      <c r="Y2249" s="89"/>
      <c r="Z2249" s="60"/>
      <c r="AA2249" s="60"/>
      <c r="AB2249" s="60"/>
      <c r="AC2249" s="30"/>
      <c r="AD2249" s="30"/>
      <c r="AE2249" s="475"/>
      <c r="AF2249" s="476"/>
      <c r="AG2249" s="474"/>
      <c r="AH2249" s="138"/>
    </row>
    <row r="2250">
      <c r="A2250" s="103"/>
      <c r="B2250" s="533"/>
      <c r="C2250" s="533"/>
      <c r="D2250" s="103"/>
      <c r="E2250" s="103"/>
      <c r="F2250" s="103"/>
      <c r="G2250" s="103"/>
      <c r="H2250" s="131"/>
      <c r="I2250" s="468"/>
      <c r="J2250" s="16"/>
      <c r="K2250" s="16"/>
      <c r="M2250" s="69"/>
      <c r="N2250" s="69"/>
      <c r="O2250" s="69"/>
      <c r="P2250" s="534"/>
      <c r="Q2250" s="274"/>
      <c r="R2250" s="472"/>
      <c r="S2250" s="535"/>
      <c r="T2250" s="535"/>
      <c r="U2250" s="536"/>
      <c r="V2250" s="474"/>
      <c r="Y2250" s="89"/>
      <c r="Z2250" s="60"/>
      <c r="AA2250" s="60"/>
      <c r="AB2250" s="60"/>
      <c r="AC2250" s="30"/>
      <c r="AD2250" s="30"/>
      <c r="AE2250" s="475"/>
      <c r="AF2250" s="476"/>
      <c r="AG2250" s="474"/>
      <c r="AH2250" s="138"/>
    </row>
    <row r="2251">
      <c r="A2251" s="103"/>
      <c r="B2251" s="533"/>
      <c r="C2251" s="533"/>
      <c r="D2251" s="103"/>
      <c r="E2251" s="103"/>
      <c r="F2251" s="103"/>
      <c r="G2251" s="103"/>
      <c r="H2251" s="131"/>
      <c r="I2251" s="468"/>
      <c r="J2251" s="16"/>
      <c r="K2251" s="16"/>
      <c r="M2251" s="69"/>
      <c r="N2251" s="69"/>
      <c r="O2251" s="69"/>
      <c r="P2251" s="534"/>
      <c r="Q2251" s="274"/>
      <c r="R2251" s="472"/>
      <c r="S2251" s="535"/>
      <c r="T2251" s="535"/>
      <c r="U2251" s="536"/>
      <c r="V2251" s="474"/>
      <c r="Y2251" s="89"/>
      <c r="Z2251" s="60"/>
      <c r="AA2251" s="60"/>
      <c r="AB2251" s="60"/>
      <c r="AC2251" s="30"/>
      <c r="AD2251" s="30"/>
      <c r="AE2251" s="475"/>
      <c r="AF2251" s="476"/>
      <c r="AG2251" s="474"/>
      <c r="AH2251" s="138"/>
    </row>
    <row r="2252">
      <c r="A2252" s="103"/>
      <c r="B2252" s="533"/>
      <c r="C2252" s="533"/>
      <c r="D2252" s="103"/>
      <c r="E2252" s="103"/>
      <c r="F2252" s="103"/>
      <c r="G2252" s="103"/>
      <c r="H2252" s="131"/>
      <c r="I2252" s="468"/>
      <c r="J2252" s="16"/>
      <c r="K2252" s="16"/>
      <c r="M2252" s="69"/>
      <c r="N2252" s="69"/>
      <c r="O2252" s="69"/>
      <c r="P2252" s="534"/>
      <c r="Q2252" s="274"/>
      <c r="R2252" s="472"/>
      <c r="S2252" s="535"/>
      <c r="T2252" s="535"/>
      <c r="U2252" s="536"/>
      <c r="V2252" s="474"/>
      <c r="Y2252" s="89"/>
      <c r="Z2252" s="60"/>
      <c r="AA2252" s="60"/>
      <c r="AB2252" s="60"/>
      <c r="AC2252" s="30"/>
      <c r="AD2252" s="30"/>
      <c r="AE2252" s="475"/>
      <c r="AF2252" s="476"/>
      <c r="AG2252" s="474"/>
      <c r="AH2252" s="138"/>
    </row>
    <row r="2253">
      <c r="A2253" s="103"/>
      <c r="B2253" s="533"/>
      <c r="C2253" s="533"/>
      <c r="D2253" s="103"/>
      <c r="E2253" s="103"/>
      <c r="F2253" s="103"/>
      <c r="G2253" s="103"/>
      <c r="H2253" s="131"/>
      <c r="I2253" s="468"/>
      <c r="J2253" s="16"/>
      <c r="K2253" s="16"/>
      <c r="M2253" s="69"/>
      <c r="N2253" s="69"/>
      <c r="O2253" s="69"/>
      <c r="P2253" s="534"/>
      <c r="Q2253" s="274"/>
      <c r="R2253" s="472"/>
      <c r="S2253" s="535"/>
      <c r="T2253" s="535"/>
      <c r="U2253" s="536"/>
      <c r="V2253" s="474"/>
      <c r="Y2253" s="89"/>
      <c r="Z2253" s="60"/>
      <c r="AA2253" s="60"/>
      <c r="AB2253" s="60"/>
      <c r="AC2253" s="30"/>
      <c r="AD2253" s="30"/>
      <c r="AE2253" s="475"/>
      <c r="AF2253" s="476"/>
      <c r="AG2253" s="474"/>
      <c r="AH2253" s="138"/>
    </row>
    <row r="2254">
      <c r="A2254" s="103"/>
      <c r="B2254" s="533"/>
      <c r="C2254" s="533"/>
      <c r="D2254" s="103"/>
      <c r="E2254" s="103"/>
      <c r="F2254" s="103"/>
      <c r="G2254" s="103"/>
      <c r="H2254" s="131"/>
      <c r="I2254" s="468"/>
      <c r="J2254" s="16"/>
      <c r="K2254" s="16"/>
      <c r="M2254" s="69"/>
      <c r="N2254" s="69"/>
      <c r="O2254" s="69"/>
      <c r="P2254" s="534"/>
      <c r="Q2254" s="274"/>
      <c r="R2254" s="472"/>
      <c r="S2254" s="535"/>
      <c r="T2254" s="535"/>
      <c r="U2254" s="536"/>
      <c r="V2254" s="474"/>
      <c r="Y2254" s="89"/>
      <c r="Z2254" s="60"/>
      <c r="AA2254" s="60"/>
      <c r="AB2254" s="60"/>
      <c r="AC2254" s="30"/>
      <c r="AD2254" s="30"/>
      <c r="AE2254" s="475"/>
      <c r="AF2254" s="476"/>
      <c r="AG2254" s="474"/>
      <c r="AH2254" s="138"/>
    </row>
    <row r="2255">
      <c r="A2255" s="103"/>
      <c r="B2255" s="533"/>
      <c r="C2255" s="533"/>
      <c r="D2255" s="103"/>
      <c r="E2255" s="103"/>
      <c r="F2255" s="103"/>
      <c r="G2255" s="103"/>
      <c r="H2255" s="131"/>
      <c r="I2255" s="468"/>
      <c r="J2255" s="16"/>
      <c r="K2255" s="16"/>
      <c r="M2255" s="69"/>
      <c r="N2255" s="69"/>
      <c r="O2255" s="69"/>
      <c r="P2255" s="534"/>
      <c r="Q2255" s="274"/>
      <c r="R2255" s="472"/>
      <c r="S2255" s="535"/>
      <c r="T2255" s="535"/>
      <c r="U2255" s="536"/>
      <c r="V2255" s="474"/>
      <c r="Y2255" s="89"/>
      <c r="Z2255" s="60"/>
      <c r="AA2255" s="60"/>
      <c r="AB2255" s="60"/>
      <c r="AC2255" s="30"/>
      <c r="AD2255" s="30"/>
      <c r="AE2255" s="475"/>
      <c r="AF2255" s="476"/>
      <c r="AG2255" s="474"/>
      <c r="AH2255" s="138"/>
    </row>
    <row r="2256">
      <c r="A2256" s="103"/>
      <c r="B2256" s="533"/>
      <c r="C2256" s="533"/>
      <c r="D2256" s="103"/>
      <c r="E2256" s="103"/>
      <c r="F2256" s="103"/>
      <c r="G2256" s="103"/>
      <c r="H2256" s="131"/>
      <c r="I2256" s="468"/>
      <c r="J2256" s="16"/>
      <c r="K2256" s="16"/>
      <c r="M2256" s="69"/>
      <c r="N2256" s="69"/>
      <c r="O2256" s="69"/>
      <c r="P2256" s="534"/>
      <c r="Q2256" s="274"/>
      <c r="R2256" s="472"/>
      <c r="S2256" s="535"/>
      <c r="T2256" s="535"/>
      <c r="U2256" s="536"/>
      <c r="V2256" s="474"/>
      <c r="Y2256" s="89"/>
      <c r="Z2256" s="60"/>
      <c r="AA2256" s="60"/>
      <c r="AB2256" s="60"/>
      <c r="AC2256" s="30"/>
      <c r="AD2256" s="30"/>
      <c r="AE2256" s="475"/>
      <c r="AF2256" s="476"/>
      <c r="AG2256" s="474"/>
      <c r="AH2256" s="138"/>
    </row>
    <row r="2257">
      <c r="A2257" s="103"/>
      <c r="B2257" s="533"/>
      <c r="C2257" s="533"/>
      <c r="D2257" s="103"/>
      <c r="E2257" s="103"/>
      <c r="F2257" s="103"/>
      <c r="G2257" s="103"/>
      <c r="H2257" s="131"/>
      <c r="I2257" s="468"/>
      <c r="J2257" s="16"/>
      <c r="K2257" s="16"/>
      <c r="M2257" s="69"/>
      <c r="N2257" s="69"/>
      <c r="O2257" s="69"/>
      <c r="P2257" s="534"/>
      <c r="Q2257" s="274"/>
      <c r="R2257" s="472"/>
      <c r="S2257" s="535"/>
      <c r="T2257" s="535"/>
      <c r="U2257" s="536"/>
      <c r="V2257" s="474"/>
      <c r="Y2257" s="89"/>
      <c r="Z2257" s="60"/>
      <c r="AA2257" s="60"/>
      <c r="AB2257" s="60"/>
      <c r="AC2257" s="30"/>
      <c r="AD2257" s="30"/>
      <c r="AE2257" s="475"/>
      <c r="AF2257" s="476"/>
      <c r="AG2257" s="474"/>
      <c r="AH2257" s="138"/>
    </row>
    <row r="2258">
      <c r="A2258" s="103"/>
      <c r="B2258" s="533"/>
      <c r="C2258" s="533"/>
      <c r="D2258" s="103"/>
      <c r="E2258" s="103"/>
      <c r="F2258" s="103"/>
      <c r="G2258" s="103"/>
      <c r="H2258" s="131"/>
      <c r="I2258" s="468"/>
      <c r="J2258" s="16"/>
      <c r="K2258" s="16"/>
      <c r="M2258" s="69"/>
      <c r="N2258" s="69"/>
      <c r="O2258" s="69"/>
      <c r="P2258" s="534"/>
      <c r="Q2258" s="274"/>
      <c r="R2258" s="472"/>
      <c r="S2258" s="535"/>
      <c r="T2258" s="535"/>
      <c r="U2258" s="536"/>
      <c r="V2258" s="474"/>
      <c r="Y2258" s="89"/>
      <c r="Z2258" s="60"/>
      <c r="AA2258" s="60"/>
      <c r="AB2258" s="60"/>
      <c r="AC2258" s="30"/>
      <c r="AD2258" s="30"/>
      <c r="AE2258" s="475"/>
      <c r="AF2258" s="476"/>
      <c r="AG2258" s="474"/>
      <c r="AH2258" s="138"/>
    </row>
    <row r="2259">
      <c r="A2259" s="103"/>
      <c r="B2259" s="533"/>
      <c r="C2259" s="533"/>
      <c r="D2259" s="103"/>
      <c r="E2259" s="103"/>
      <c r="F2259" s="103"/>
      <c r="G2259" s="103"/>
      <c r="H2259" s="131"/>
      <c r="I2259" s="468"/>
      <c r="J2259" s="16"/>
      <c r="K2259" s="16"/>
      <c r="M2259" s="69"/>
      <c r="N2259" s="69"/>
      <c r="O2259" s="69"/>
      <c r="P2259" s="534"/>
      <c r="Q2259" s="274"/>
      <c r="R2259" s="472"/>
      <c r="S2259" s="535"/>
      <c r="T2259" s="535"/>
      <c r="U2259" s="536"/>
      <c r="V2259" s="474"/>
      <c r="Y2259" s="89"/>
      <c r="Z2259" s="60"/>
      <c r="AA2259" s="60"/>
      <c r="AB2259" s="60"/>
      <c r="AC2259" s="30"/>
      <c r="AD2259" s="30"/>
      <c r="AE2259" s="475"/>
      <c r="AF2259" s="476"/>
      <c r="AG2259" s="474"/>
      <c r="AH2259" s="138"/>
    </row>
    <row r="2260">
      <c r="A2260" s="103"/>
      <c r="B2260" s="533"/>
      <c r="C2260" s="533"/>
      <c r="D2260" s="103"/>
      <c r="E2260" s="103"/>
      <c r="F2260" s="103"/>
      <c r="G2260" s="103"/>
      <c r="H2260" s="131"/>
      <c r="I2260" s="468"/>
      <c r="J2260" s="16"/>
      <c r="K2260" s="16"/>
      <c r="M2260" s="69"/>
      <c r="N2260" s="69"/>
      <c r="O2260" s="69"/>
      <c r="P2260" s="534"/>
      <c r="Q2260" s="274"/>
      <c r="R2260" s="472"/>
      <c r="S2260" s="535"/>
      <c r="T2260" s="535"/>
      <c r="U2260" s="536"/>
      <c r="V2260" s="474"/>
      <c r="Y2260" s="89"/>
      <c r="Z2260" s="60"/>
      <c r="AA2260" s="60"/>
      <c r="AB2260" s="60"/>
      <c r="AC2260" s="30"/>
      <c r="AD2260" s="30"/>
      <c r="AE2260" s="475"/>
      <c r="AF2260" s="476"/>
      <c r="AG2260" s="474"/>
      <c r="AH2260" s="138"/>
    </row>
    <row r="2261">
      <c r="A2261" s="103"/>
      <c r="B2261" s="533"/>
      <c r="C2261" s="533"/>
      <c r="D2261" s="103"/>
      <c r="E2261" s="103"/>
      <c r="F2261" s="103"/>
      <c r="G2261" s="103"/>
      <c r="H2261" s="131"/>
      <c r="I2261" s="468"/>
      <c r="J2261" s="16"/>
      <c r="K2261" s="16"/>
      <c r="M2261" s="69"/>
      <c r="N2261" s="69"/>
      <c r="O2261" s="69"/>
      <c r="P2261" s="534"/>
      <c r="Q2261" s="274"/>
      <c r="R2261" s="472"/>
      <c r="S2261" s="535"/>
      <c r="T2261" s="535"/>
      <c r="U2261" s="536"/>
      <c r="V2261" s="474"/>
      <c r="Y2261" s="89"/>
      <c r="Z2261" s="60"/>
      <c r="AA2261" s="60"/>
      <c r="AB2261" s="60"/>
      <c r="AC2261" s="30"/>
      <c r="AD2261" s="30"/>
      <c r="AE2261" s="475"/>
      <c r="AF2261" s="476"/>
      <c r="AG2261" s="474"/>
      <c r="AH2261" s="138"/>
    </row>
    <row r="2262">
      <c r="A2262" s="103"/>
      <c r="B2262" s="533"/>
      <c r="C2262" s="533"/>
      <c r="D2262" s="103"/>
      <c r="E2262" s="103"/>
      <c r="F2262" s="103"/>
      <c r="G2262" s="103"/>
      <c r="H2262" s="131"/>
      <c r="I2262" s="468"/>
      <c r="J2262" s="16"/>
      <c r="K2262" s="16"/>
      <c r="M2262" s="69"/>
      <c r="N2262" s="69"/>
      <c r="O2262" s="69"/>
      <c r="P2262" s="534"/>
      <c r="Q2262" s="274"/>
      <c r="R2262" s="472"/>
      <c r="S2262" s="535"/>
      <c r="T2262" s="535"/>
      <c r="U2262" s="536"/>
      <c r="V2262" s="474"/>
      <c r="Y2262" s="89"/>
      <c r="Z2262" s="60"/>
      <c r="AA2262" s="60"/>
      <c r="AB2262" s="60"/>
      <c r="AC2262" s="30"/>
      <c r="AD2262" s="30"/>
      <c r="AE2262" s="475"/>
      <c r="AF2262" s="476"/>
      <c r="AG2262" s="474"/>
      <c r="AH2262" s="138"/>
    </row>
    <row r="2263">
      <c r="A2263" s="103"/>
      <c r="B2263" s="533"/>
      <c r="C2263" s="533"/>
      <c r="D2263" s="103"/>
      <c r="E2263" s="103"/>
      <c r="F2263" s="103"/>
      <c r="G2263" s="103"/>
      <c r="H2263" s="131"/>
      <c r="I2263" s="468"/>
      <c r="J2263" s="16"/>
      <c r="K2263" s="16"/>
      <c r="M2263" s="69"/>
      <c r="N2263" s="69"/>
      <c r="O2263" s="69"/>
      <c r="P2263" s="534"/>
      <c r="Q2263" s="274"/>
      <c r="R2263" s="472"/>
      <c r="S2263" s="535"/>
      <c r="T2263" s="535"/>
      <c r="U2263" s="536"/>
      <c r="V2263" s="474"/>
      <c r="Y2263" s="89"/>
      <c r="Z2263" s="60"/>
      <c r="AA2263" s="60"/>
      <c r="AB2263" s="60"/>
      <c r="AC2263" s="30"/>
      <c r="AD2263" s="30"/>
      <c r="AE2263" s="475"/>
      <c r="AF2263" s="476"/>
      <c r="AG2263" s="474"/>
      <c r="AH2263" s="138"/>
    </row>
    <row r="2264">
      <c r="A2264" s="103"/>
      <c r="B2264" s="533"/>
      <c r="C2264" s="533"/>
      <c r="D2264" s="103"/>
      <c r="E2264" s="103"/>
      <c r="F2264" s="103"/>
      <c r="G2264" s="103"/>
      <c r="H2264" s="131"/>
      <c r="I2264" s="468"/>
      <c r="J2264" s="16"/>
      <c r="K2264" s="16"/>
      <c r="M2264" s="69"/>
      <c r="N2264" s="69"/>
      <c r="O2264" s="69"/>
      <c r="P2264" s="534"/>
      <c r="Q2264" s="274"/>
      <c r="R2264" s="472"/>
      <c r="S2264" s="535"/>
      <c r="T2264" s="535"/>
      <c r="U2264" s="536"/>
      <c r="V2264" s="474"/>
      <c r="Y2264" s="89"/>
      <c r="Z2264" s="60"/>
      <c r="AA2264" s="60"/>
      <c r="AB2264" s="60"/>
      <c r="AC2264" s="30"/>
      <c r="AD2264" s="30"/>
      <c r="AE2264" s="475"/>
      <c r="AF2264" s="476"/>
      <c r="AG2264" s="474"/>
      <c r="AH2264" s="138"/>
    </row>
    <row r="2265">
      <c r="A2265" s="103"/>
      <c r="B2265" s="533"/>
      <c r="C2265" s="533"/>
      <c r="D2265" s="103"/>
      <c r="E2265" s="103"/>
      <c r="F2265" s="103"/>
      <c r="G2265" s="103"/>
      <c r="H2265" s="131"/>
      <c r="I2265" s="468"/>
      <c r="J2265" s="16"/>
      <c r="K2265" s="16"/>
      <c r="M2265" s="69"/>
      <c r="N2265" s="69"/>
      <c r="O2265" s="69"/>
      <c r="P2265" s="534"/>
      <c r="Q2265" s="274"/>
      <c r="R2265" s="472"/>
      <c r="S2265" s="535"/>
      <c r="T2265" s="535"/>
      <c r="U2265" s="536"/>
      <c r="V2265" s="474"/>
      <c r="Y2265" s="89"/>
      <c r="Z2265" s="60"/>
      <c r="AA2265" s="60"/>
      <c r="AB2265" s="60"/>
      <c r="AC2265" s="30"/>
      <c r="AD2265" s="30"/>
      <c r="AE2265" s="475"/>
      <c r="AF2265" s="476"/>
      <c r="AG2265" s="474"/>
      <c r="AH2265" s="138"/>
    </row>
    <row r="2266">
      <c r="A2266" s="103"/>
      <c r="B2266" s="533"/>
      <c r="C2266" s="533"/>
      <c r="D2266" s="103"/>
      <c r="E2266" s="103"/>
      <c r="F2266" s="103"/>
      <c r="G2266" s="103"/>
      <c r="H2266" s="131"/>
      <c r="I2266" s="468"/>
      <c r="J2266" s="16"/>
      <c r="K2266" s="16"/>
      <c r="M2266" s="69"/>
      <c r="N2266" s="69"/>
      <c r="O2266" s="69"/>
      <c r="P2266" s="534"/>
      <c r="Q2266" s="274"/>
      <c r="R2266" s="472"/>
      <c r="S2266" s="535"/>
      <c r="T2266" s="535"/>
      <c r="U2266" s="536"/>
      <c r="V2266" s="474"/>
      <c r="Y2266" s="89"/>
      <c r="Z2266" s="60"/>
      <c r="AA2266" s="60"/>
      <c r="AB2266" s="60"/>
      <c r="AC2266" s="30"/>
      <c r="AD2266" s="30"/>
      <c r="AE2266" s="475"/>
      <c r="AF2266" s="476"/>
      <c r="AG2266" s="474"/>
      <c r="AH2266" s="138"/>
    </row>
    <row r="2267">
      <c r="A2267" s="103"/>
      <c r="B2267" s="533"/>
      <c r="C2267" s="533"/>
      <c r="D2267" s="103"/>
      <c r="E2267" s="103"/>
      <c r="F2267" s="103"/>
      <c r="G2267" s="103"/>
      <c r="H2267" s="131"/>
      <c r="I2267" s="468"/>
      <c r="J2267" s="16"/>
      <c r="K2267" s="16"/>
      <c r="M2267" s="69"/>
      <c r="N2267" s="69"/>
      <c r="O2267" s="69"/>
      <c r="P2267" s="534"/>
      <c r="Q2267" s="274"/>
      <c r="R2267" s="472"/>
      <c r="S2267" s="535"/>
      <c r="T2267" s="535"/>
      <c r="U2267" s="536"/>
      <c r="V2267" s="474"/>
      <c r="Y2267" s="89"/>
      <c r="Z2267" s="60"/>
      <c r="AA2267" s="60"/>
      <c r="AB2267" s="60"/>
      <c r="AC2267" s="30"/>
      <c r="AD2267" s="30"/>
      <c r="AE2267" s="475"/>
      <c r="AF2267" s="476"/>
      <c r="AG2267" s="474"/>
      <c r="AH2267" s="138"/>
    </row>
    <row r="2268">
      <c r="A2268" s="103"/>
      <c r="B2268" s="533"/>
      <c r="C2268" s="533"/>
      <c r="D2268" s="103"/>
      <c r="E2268" s="103"/>
      <c r="F2268" s="103"/>
      <c r="G2268" s="103"/>
      <c r="H2268" s="131"/>
      <c r="I2268" s="468"/>
      <c r="J2268" s="16"/>
      <c r="K2268" s="16"/>
      <c r="M2268" s="69"/>
      <c r="N2268" s="69"/>
      <c r="O2268" s="69"/>
      <c r="P2268" s="534"/>
      <c r="Q2268" s="274"/>
      <c r="R2268" s="472"/>
      <c r="S2268" s="535"/>
      <c r="T2268" s="535"/>
      <c r="U2268" s="536"/>
      <c r="V2268" s="474"/>
      <c r="Y2268" s="89"/>
      <c r="Z2268" s="60"/>
      <c r="AA2268" s="60"/>
      <c r="AB2268" s="60"/>
      <c r="AC2268" s="30"/>
      <c r="AD2268" s="30"/>
      <c r="AE2268" s="475"/>
      <c r="AF2268" s="476"/>
      <c r="AG2268" s="474"/>
      <c r="AH2268" s="138"/>
    </row>
    <row r="2269">
      <c r="A2269" s="103"/>
      <c r="B2269" s="533"/>
      <c r="C2269" s="533"/>
      <c r="D2269" s="103"/>
      <c r="E2269" s="103"/>
      <c r="F2269" s="103"/>
      <c r="G2269" s="103"/>
      <c r="H2269" s="131"/>
      <c r="I2269" s="468"/>
      <c r="J2269" s="16"/>
      <c r="K2269" s="16"/>
      <c r="M2269" s="69"/>
      <c r="N2269" s="69"/>
      <c r="O2269" s="69"/>
      <c r="P2269" s="534"/>
      <c r="Q2269" s="274"/>
      <c r="R2269" s="472"/>
      <c r="S2269" s="535"/>
      <c r="T2269" s="535"/>
      <c r="U2269" s="536"/>
      <c r="V2269" s="474"/>
      <c r="Y2269" s="89"/>
      <c r="Z2269" s="60"/>
      <c r="AA2269" s="60"/>
      <c r="AB2269" s="60"/>
      <c r="AC2269" s="30"/>
      <c r="AD2269" s="30"/>
      <c r="AE2269" s="475"/>
      <c r="AF2269" s="476"/>
      <c r="AG2269" s="474"/>
      <c r="AH2269" s="138"/>
    </row>
    <row r="2270">
      <c r="A2270" s="103"/>
      <c r="B2270" s="533"/>
      <c r="C2270" s="533"/>
      <c r="D2270" s="103"/>
      <c r="E2270" s="103"/>
      <c r="F2270" s="103"/>
      <c r="G2270" s="103"/>
      <c r="H2270" s="131"/>
      <c r="I2270" s="468"/>
      <c r="J2270" s="16"/>
      <c r="K2270" s="16"/>
      <c r="M2270" s="69"/>
      <c r="N2270" s="69"/>
      <c r="O2270" s="69"/>
      <c r="P2270" s="534"/>
      <c r="Q2270" s="274"/>
      <c r="R2270" s="472"/>
      <c r="S2270" s="535"/>
      <c r="T2270" s="535"/>
      <c r="U2270" s="536"/>
      <c r="V2270" s="474"/>
      <c r="Y2270" s="89"/>
      <c r="Z2270" s="60"/>
      <c r="AA2270" s="60"/>
      <c r="AB2270" s="60"/>
      <c r="AC2270" s="30"/>
      <c r="AD2270" s="30"/>
      <c r="AE2270" s="475"/>
      <c r="AF2270" s="476"/>
      <c r="AG2270" s="474"/>
      <c r="AH2270" s="138"/>
    </row>
    <row r="2271">
      <c r="A2271" s="103"/>
      <c r="B2271" s="533"/>
      <c r="C2271" s="533"/>
      <c r="D2271" s="103"/>
      <c r="E2271" s="103"/>
      <c r="F2271" s="103"/>
      <c r="G2271" s="103"/>
      <c r="H2271" s="131"/>
      <c r="I2271" s="468"/>
      <c r="J2271" s="16"/>
      <c r="K2271" s="16"/>
      <c r="M2271" s="69"/>
      <c r="N2271" s="69"/>
      <c r="O2271" s="69"/>
      <c r="P2271" s="534"/>
      <c r="Q2271" s="274"/>
      <c r="R2271" s="472"/>
      <c r="S2271" s="535"/>
      <c r="T2271" s="535"/>
      <c r="U2271" s="536"/>
      <c r="V2271" s="474"/>
      <c r="Y2271" s="89"/>
      <c r="Z2271" s="60"/>
      <c r="AA2271" s="60"/>
      <c r="AB2271" s="60"/>
      <c r="AC2271" s="30"/>
      <c r="AD2271" s="30"/>
      <c r="AE2271" s="475"/>
      <c r="AF2271" s="476"/>
      <c r="AG2271" s="474"/>
      <c r="AH2271" s="138"/>
    </row>
    <row r="2272">
      <c r="A2272" s="103"/>
      <c r="B2272" s="533"/>
      <c r="C2272" s="533"/>
      <c r="D2272" s="103"/>
      <c r="E2272" s="103"/>
      <c r="F2272" s="103"/>
      <c r="G2272" s="103"/>
      <c r="H2272" s="131"/>
      <c r="I2272" s="468"/>
      <c r="J2272" s="16"/>
      <c r="K2272" s="16"/>
      <c r="M2272" s="69"/>
      <c r="N2272" s="69"/>
      <c r="O2272" s="69"/>
      <c r="P2272" s="534"/>
      <c r="Q2272" s="274"/>
      <c r="R2272" s="472"/>
      <c r="S2272" s="535"/>
      <c r="T2272" s="535"/>
      <c r="U2272" s="536"/>
      <c r="V2272" s="474"/>
      <c r="Y2272" s="89"/>
      <c r="Z2272" s="60"/>
      <c r="AA2272" s="60"/>
      <c r="AB2272" s="60"/>
      <c r="AC2272" s="30"/>
      <c r="AD2272" s="30"/>
      <c r="AE2272" s="475"/>
      <c r="AF2272" s="476"/>
      <c r="AG2272" s="474"/>
      <c r="AH2272" s="138"/>
    </row>
    <row r="2273">
      <c r="A2273" s="103"/>
      <c r="B2273" s="533"/>
      <c r="C2273" s="533"/>
      <c r="D2273" s="103"/>
      <c r="E2273" s="103"/>
      <c r="F2273" s="103"/>
      <c r="G2273" s="103"/>
      <c r="H2273" s="131"/>
      <c r="I2273" s="468"/>
      <c r="J2273" s="16"/>
      <c r="K2273" s="16"/>
      <c r="M2273" s="69"/>
      <c r="N2273" s="69"/>
      <c r="O2273" s="69"/>
      <c r="P2273" s="534"/>
      <c r="Q2273" s="274"/>
      <c r="R2273" s="472"/>
      <c r="S2273" s="535"/>
      <c r="T2273" s="535"/>
      <c r="U2273" s="536"/>
      <c r="V2273" s="474"/>
      <c r="Y2273" s="89"/>
      <c r="Z2273" s="60"/>
      <c r="AA2273" s="60"/>
      <c r="AB2273" s="60"/>
      <c r="AC2273" s="30"/>
      <c r="AD2273" s="30"/>
      <c r="AE2273" s="475"/>
      <c r="AF2273" s="476"/>
      <c r="AG2273" s="474"/>
      <c r="AH2273" s="138"/>
    </row>
    <row r="2274">
      <c r="A2274" s="103"/>
      <c r="B2274" s="533"/>
      <c r="C2274" s="533"/>
      <c r="D2274" s="103"/>
      <c r="E2274" s="103"/>
      <c r="F2274" s="103"/>
      <c r="G2274" s="103"/>
      <c r="H2274" s="131"/>
      <c r="I2274" s="468"/>
      <c r="J2274" s="16"/>
      <c r="K2274" s="16"/>
      <c r="M2274" s="69"/>
      <c r="N2274" s="69"/>
      <c r="O2274" s="69"/>
      <c r="P2274" s="534"/>
      <c r="Q2274" s="274"/>
      <c r="R2274" s="472"/>
      <c r="S2274" s="535"/>
      <c r="T2274" s="535"/>
      <c r="U2274" s="536"/>
      <c r="V2274" s="474"/>
      <c r="Y2274" s="89"/>
      <c r="Z2274" s="60"/>
      <c r="AA2274" s="60"/>
      <c r="AB2274" s="60"/>
      <c r="AC2274" s="30"/>
      <c r="AD2274" s="30"/>
      <c r="AE2274" s="475"/>
      <c r="AF2274" s="476"/>
      <c r="AG2274" s="474"/>
      <c r="AH2274" s="138"/>
    </row>
    <row r="2275">
      <c r="A2275" s="103"/>
      <c r="B2275" s="533"/>
      <c r="C2275" s="533"/>
      <c r="D2275" s="103"/>
      <c r="E2275" s="103"/>
      <c r="F2275" s="103"/>
      <c r="G2275" s="103"/>
      <c r="H2275" s="131"/>
      <c r="I2275" s="468"/>
      <c r="J2275" s="16"/>
      <c r="K2275" s="16"/>
      <c r="M2275" s="69"/>
      <c r="N2275" s="69"/>
      <c r="O2275" s="69"/>
      <c r="P2275" s="534"/>
      <c r="Q2275" s="274"/>
      <c r="R2275" s="472"/>
      <c r="S2275" s="535"/>
      <c r="T2275" s="535"/>
      <c r="U2275" s="536"/>
      <c r="V2275" s="474"/>
      <c r="Y2275" s="89"/>
      <c r="Z2275" s="60"/>
      <c r="AA2275" s="60"/>
      <c r="AB2275" s="60"/>
      <c r="AC2275" s="30"/>
      <c r="AD2275" s="30"/>
      <c r="AE2275" s="475"/>
      <c r="AF2275" s="476"/>
      <c r="AG2275" s="474"/>
      <c r="AH2275" s="138"/>
    </row>
    <row r="2276">
      <c r="A2276" s="103"/>
      <c r="B2276" s="533"/>
      <c r="C2276" s="533"/>
      <c r="D2276" s="103"/>
      <c r="E2276" s="103"/>
      <c r="F2276" s="103"/>
      <c r="G2276" s="103"/>
      <c r="H2276" s="131"/>
      <c r="I2276" s="468"/>
      <c r="J2276" s="16"/>
      <c r="K2276" s="16"/>
      <c r="M2276" s="69"/>
      <c r="N2276" s="69"/>
      <c r="O2276" s="69"/>
      <c r="P2276" s="534"/>
      <c r="Q2276" s="274"/>
      <c r="R2276" s="472"/>
      <c r="S2276" s="535"/>
      <c r="T2276" s="535"/>
      <c r="U2276" s="536"/>
      <c r="V2276" s="474"/>
      <c r="Y2276" s="89"/>
      <c r="Z2276" s="60"/>
      <c r="AA2276" s="60"/>
      <c r="AB2276" s="60"/>
      <c r="AC2276" s="30"/>
      <c r="AD2276" s="30"/>
      <c r="AE2276" s="475"/>
      <c r="AF2276" s="476"/>
      <c r="AG2276" s="474"/>
      <c r="AH2276" s="138"/>
    </row>
    <row r="2277">
      <c r="A2277" s="103"/>
      <c r="B2277" s="533"/>
      <c r="C2277" s="533"/>
      <c r="D2277" s="103"/>
      <c r="E2277" s="103"/>
      <c r="F2277" s="103"/>
      <c r="G2277" s="103"/>
      <c r="H2277" s="131"/>
      <c r="I2277" s="468"/>
      <c r="J2277" s="16"/>
      <c r="K2277" s="16"/>
      <c r="M2277" s="69"/>
      <c r="N2277" s="69"/>
      <c r="O2277" s="69"/>
      <c r="P2277" s="534"/>
      <c r="Q2277" s="274"/>
      <c r="R2277" s="472"/>
      <c r="S2277" s="535"/>
      <c r="T2277" s="535"/>
      <c r="U2277" s="536"/>
      <c r="V2277" s="474"/>
      <c r="Y2277" s="89"/>
      <c r="Z2277" s="60"/>
      <c r="AA2277" s="60"/>
      <c r="AB2277" s="60"/>
      <c r="AC2277" s="30"/>
      <c r="AD2277" s="30"/>
      <c r="AE2277" s="475"/>
      <c r="AF2277" s="476"/>
      <c r="AG2277" s="474"/>
      <c r="AH2277" s="138"/>
    </row>
    <row r="2278">
      <c r="A2278" s="103"/>
      <c r="B2278" s="533"/>
      <c r="C2278" s="533"/>
      <c r="D2278" s="103"/>
      <c r="E2278" s="103"/>
      <c r="F2278" s="103"/>
      <c r="G2278" s="103"/>
      <c r="H2278" s="131"/>
      <c r="I2278" s="468"/>
      <c r="J2278" s="16"/>
      <c r="K2278" s="16"/>
      <c r="M2278" s="69"/>
      <c r="N2278" s="69"/>
      <c r="O2278" s="69"/>
      <c r="P2278" s="534"/>
      <c r="Q2278" s="274"/>
      <c r="R2278" s="472"/>
      <c r="S2278" s="535"/>
      <c r="T2278" s="535"/>
      <c r="U2278" s="536"/>
      <c r="V2278" s="474"/>
      <c r="Y2278" s="89"/>
      <c r="Z2278" s="60"/>
      <c r="AA2278" s="60"/>
      <c r="AB2278" s="60"/>
      <c r="AC2278" s="30"/>
      <c r="AD2278" s="30"/>
      <c r="AE2278" s="475"/>
      <c r="AF2278" s="476"/>
      <c r="AG2278" s="474"/>
      <c r="AH2278" s="138"/>
    </row>
    <row r="2279">
      <c r="A2279" s="103"/>
      <c r="B2279" s="533"/>
      <c r="C2279" s="533"/>
      <c r="D2279" s="103"/>
      <c r="E2279" s="103"/>
      <c r="F2279" s="103"/>
      <c r="G2279" s="103"/>
      <c r="H2279" s="131"/>
      <c r="I2279" s="468"/>
      <c r="J2279" s="16"/>
      <c r="K2279" s="16"/>
      <c r="M2279" s="69"/>
      <c r="N2279" s="69"/>
      <c r="O2279" s="69"/>
      <c r="P2279" s="534"/>
      <c r="Q2279" s="274"/>
      <c r="R2279" s="472"/>
      <c r="S2279" s="535"/>
      <c r="T2279" s="535"/>
      <c r="U2279" s="536"/>
      <c r="V2279" s="474"/>
      <c r="Y2279" s="89"/>
      <c r="Z2279" s="60"/>
      <c r="AA2279" s="60"/>
      <c r="AB2279" s="60"/>
      <c r="AC2279" s="30"/>
      <c r="AD2279" s="30"/>
      <c r="AE2279" s="475"/>
      <c r="AF2279" s="476"/>
      <c r="AG2279" s="474"/>
      <c r="AH2279" s="138"/>
    </row>
    <row r="2280">
      <c r="A2280" s="103"/>
      <c r="B2280" s="533"/>
      <c r="C2280" s="533"/>
      <c r="D2280" s="103"/>
      <c r="E2280" s="103"/>
      <c r="F2280" s="103"/>
      <c r="G2280" s="103"/>
      <c r="H2280" s="131"/>
      <c r="I2280" s="468"/>
      <c r="J2280" s="16"/>
      <c r="K2280" s="16"/>
      <c r="M2280" s="69"/>
      <c r="N2280" s="69"/>
      <c r="O2280" s="69"/>
      <c r="P2280" s="534"/>
      <c r="Q2280" s="274"/>
      <c r="R2280" s="472"/>
      <c r="S2280" s="535"/>
      <c r="T2280" s="535"/>
      <c r="U2280" s="536"/>
      <c r="V2280" s="474"/>
      <c r="Y2280" s="89"/>
      <c r="Z2280" s="60"/>
      <c r="AA2280" s="60"/>
      <c r="AB2280" s="60"/>
      <c r="AC2280" s="30"/>
      <c r="AD2280" s="30"/>
      <c r="AE2280" s="475"/>
      <c r="AF2280" s="476"/>
      <c r="AG2280" s="474"/>
      <c r="AH2280" s="138"/>
    </row>
    <row r="2281">
      <c r="A2281" s="103"/>
      <c r="B2281" s="533"/>
      <c r="C2281" s="533"/>
      <c r="D2281" s="103"/>
      <c r="E2281" s="103"/>
      <c r="F2281" s="103"/>
      <c r="G2281" s="103"/>
      <c r="H2281" s="131"/>
      <c r="I2281" s="468"/>
      <c r="J2281" s="16"/>
      <c r="K2281" s="16"/>
      <c r="M2281" s="69"/>
      <c r="N2281" s="69"/>
      <c r="O2281" s="69"/>
      <c r="P2281" s="534"/>
      <c r="Q2281" s="274"/>
      <c r="R2281" s="472"/>
      <c r="S2281" s="535"/>
      <c r="T2281" s="535"/>
      <c r="U2281" s="536"/>
      <c r="V2281" s="474"/>
      <c r="Y2281" s="89"/>
      <c r="Z2281" s="60"/>
      <c r="AA2281" s="60"/>
      <c r="AB2281" s="60"/>
      <c r="AC2281" s="30"/>
      <c r="AD2281" s="30"/>
      <c r="AE2281" s="475"/>
      <c r="AF2281" s="476"/>
      <c r="AG2281" s="474"/>
      <c r="AH2281" s="138"/>
    </row>
    <row r="2282">
      <c r="A2282" s="103"/>
      <c r="B2282" s="533"/>
      <c r="C2282" s="533"/>
      <c r="D2282" s="103"/>
      <c r="E2282" s="103"/>
      <c r="F2282" s="103"/>
      <c r="G2282" s="103"/>
      <c r="H2282" s="131"/>
      <c r="I2282" s="468"/>
      <c r="J2282" s="16"/>
      <c r="K2282" s="16"/>
      <c r="M2282" s="69"/>
      <c r="N2282" s="69"/>
      <c r="O2282" s="69"/>
      <c r="P2282" s="534"/>
      <c r="Q2282" s="274"/>
      <c r="R2282" s="472"/>
      <c r="S2282" s="535"/>
      <c r="T2282" s="535"/>
      <c r="U2282" s="536"/>
      <c r="V2282" s="474"/>
      <c r="Y2282" s="89"/>
      <c r="Z2282" s="60"/>
      <c r="AA2282" s="60"/>
      <c r="AB2282" s="60"/>
      <c r="AC2282" s="30"/>
      <c r="AD2282" s="30"/>
      <c r="AE2282" s="475"/>
      <c r="AF2282" s="476"/>
      <c r="AG2282" s="474"/>
      <c r="AH2282" s="138"/>
    </row>
    <row r="2283">
      <c r="A2283" s="103"/>
      <c r="B2283" s="533"/>
      <c r="C2283" s="533"/>
      <c r="D2283" s="103"/>
      <c r="E2283" s="103"/>
      <c r="F2283" s="103"/>
      <c r="G2283" s="103"/>
      <c r="H2283" s="131"/>
      <c r="I2283" s="468"/>
      <c r="J2283" s="16"/>
      <c r="K2283" s="16"/>
      <c r="M2283" s="69"/>
      <c r="N2283" s="69"/>
      <c r="O2283" s="69"/>
      <c r="P2283" s="534"/>
      <c r="Q2283" s="274"/>
      <c r="R2283" s="472"/>
      <c r="S2283" s="535"/>
      <c r="T2283" s="535"/>
      <c r="U2283" s="536"/>
      <c r="V2283" s="474"/>
      <c r="Y2283" s="89"/>
      <c r="Z2283" s="60"/>
      <c r="AA2283" s="60"/>
      <c r="AB2283" s="60"/>
      <c r="AC2283" s="30"/>
      <c r="AD2283" s="30"/>
      <c r="AE2283" s="475"/>
      <c r="AF2283" s="476"/>
      <c r="AG2283" s="474"/>
      <c r="AH2283" s="138"/>
    </row>
    <row r="2284">
      <c r="A2284" s="103"/>
      <c r="B2284" s="533"/>
      <c r="C2284" s="533"/>
      <c r="D2284" s="103"/>
      <c r="E2284" s="103"/>
      <c r="F2284" s="103"/>
      <c r="G2284" s="103"/>
      <c r="H2284" s="131"/>
      <c r="I2284" s="468"/>
      <c r="J2284" s="16"/>
      <c r="K2284" s="16"/>
      <c r="M2284" s="69"/>
      <c r="N2284" s="69"/>
      <c r="O2284" s="69"/>
      <c r="P2284" s="534"/>
      <c r="Q2284" s="274"/>
      <c r="R2284" s="472"/>
      <c r="S2284" s="535"/>
      <c r="T2284" s="535"/>
      <c r="U2284" s="536"/>
      <c r="V2284" s="474"/>
      <c r="Y2284" s="89"/>
      <c r="Z2284" s="60"/>
      <c r="AA2284" s="60"/>
      <c r="AB2284" s="60"/>
      <c r="AC2284" s="30"/>
      <c r="AD2284" s="30"/>
      <c r="AE2284" s="475"/>
      <c r="AF2284" s="476"/>
      <c r="AG2284" s="474"/>
      <c r="AH2284" s="138"/>
    </row>
    <row r="2285">
      <c r="A2285" s="103"/>
      <c r="B2285" s="533"/>
      <c r="C2285" s="533"/>
      <c r="D2285" s="103"/>
      <c r="E2285" s="103"/>
      <c r="F2285" s="103"/>
      <c r="G2285" s="103"/>
      <c r="H2285" s="131"/>
      <c r="I2285" s="468"/>
      <c r="J2285" s="16"/>
      <c r="K2285" s="16"/>
      <c r="M2285" s="69"/>
      <c r="N2285" s="69"/>
      <c r="O2285" s="69"/>
      <c r="P2285" s="534"/>
      <c r="Q2285" s="274"/>
      <c r="R2285" s="472"/>
      <c r="S2285" s="535"/>
      <c r="T2285" s="535"/>
      <c r="U2285" s="536"/>
      <c r="V2285" s="474"/>
      <c r="Y2285" s="89"/>
      <c r="Z2285" s="60"/>
      <c r="AA2285" s="60"/>
      <c r="AB2285" s="60"/>
      <c r="AC2285" s="30"/>
      <c r="AD2285" s="30"/>
      <c r="AE2285" s="475"/>
      <c r="AF2285" s="476"/>
      <c r="AG2285" s="474"/>
      <c r="AH2285" s="138"/>
    </row>
    <row r="2286">
      <c r="A2286" s="103"/>
      <c r="B2286" s="533"/>
      <c r="C2286" s="533"/>
      <c r="D2286" s="103"/>
      <c r="E2286" s="103"/>
      <c r="F2286" s="103"/>
      <c r="G2286" s="103"/>
      <c r="H2286" s="131"/>
      <c r="I2286" s="468"/>
      <c r="J2286" s="16"/>
      <c r="K2286" s="16"/>
      <c r="M2286" s="69"/>
      <c r="N2286" s="69"/>
      <c r="O2286" s="69"/>
      <c r="P2286" s="534"/>
      <c r="Q2286" s="274"/>
      <c r="R2286" s="472"/>
      <c r="S2286" s="535"/>
      <c r="T2286" s="535"/>
      <c r="U2286" s="536"/>
      <c r="V2286" s="474"/>
      <c r="Y2286" s="89"/>
      <c r="Z2286" s="60"/>
      <c r="AA2286" s="60"/>
      <c r="AB2286" s="60"/>
      <c r="AC2286" s="30"/>
      <c r="AD2286" s="30"/>
      <c r="AE2286" s="475"/>
      <c r="AF2286" s="476"/>
      <c r="AG2286" s="474"/>
      <c r="AH2286" s="138"/>
    </row>
    <row r="2287">
      <c r="A2287" s="103"/>
      <c r="B2287" s="533"/>
      <c r="C2287" s="533"/>
      <c r="D2287" s="103"/>
      <c r="E2287" s="103"/>
      <c r="F2287" s="103"/>
      <c r="G2287" s="103"/>
      <c r="H2287" s="131"/>
      <c r="I2287" s="468"/>
      <c r="J2287" s="16"/>
      <c r="K2287" s="16"/>
      <c r="M2287" s="69"/>
      <c r="N2287" s="69"/>
      <c r="O2287" s="69"/>
      <c r="P2287" s="534"/>
      <c r="Q2287" s="274"/>
      <c r="R2287" s="472"/>
      <c r="S2287" s="535"/>
      <c r="T2287" s="535"/>
      <c r="U2287" s="536"/>
      <c r="V2287" s="474"/>
      <c r="Y2287" s="89"/>
      <c r="Z2287" s="60"/>
      <c r="AA2287" s="60"/>
      <c r="AB2287" s="60"/>
      <c r="AC2287" s="30"/>
      <c r="AD2287" s="30"/>
      <c r="AE2287" s="475"/>
      <c r="AF2287" s="476"/>
      <c r="AG2287" s="474"/>
      <c r="AH2287" s="138"/>
    </row>
    <row r="2288">
      <c r="A2288" s="103"/>
      <c r="B2288" s="533"/>
      <c r="C2288" s="533"/>
      <c r="D2288" s="103"/>
      <c r="E2288" s="103"/>
      <c r="F2288" s="103"/>
      <c r="G2288" s="103"/>
      <c r="H2288" s="131"/>
      <c r="I2288" s="468"/>
      <c r="J2288" s="16"/>
      <c r="K2288" s="16"/>
      <c r="M2288" s="69"/>
      <c r="N2288" s="69"/>
      <c r="O2288" s="69"/>
      <c r="P2288" s="534"/>
      <c r="Q2288" s="274"/>
      <c r="R2288" s="472"/>
      <c r="S2288" s="535"/>
      <c r="T2288" s="535"/>
      <c r="U2288" s="536"/>
      <c r="V2288" s="474"/>
      <c r="Y2288" s="89"/>
      <c r="Z2288" s="60"/>
      <c r="AA2288" s="60"/>
      <c r="AB2288" s="60"/>
      <c r="AC2288" s="30"/>
      <c r="AD2288" s="30"/>
      <c r="AE2288" s="475"/>
      <c r="AF2288" s="476"/>
      <c r="AG2288" s="474"/>
      <c r="AH2288" s="138"/>
    </row>
    <row r="2289">
      <c r="A2289" s="103"/>
      <c r="B2289" s="533"/>
      <c r="C2289" s="533"/>
      <c r="D2289" s="103"/>
      <c r="E2289" s="103"/>
      <c r="F2289" s="103"/>
      <c r="G2289" s="103"/>
      <c r="H2289" s="131"/>
      <c r="I2289" s="468"/>
      <c r="J2289" s="16"/>
      <c r="K2289" s="16"/>
      <c r="M2289" s="69"/>
      <c r="N2289" s="69"/>
      <c r="O2289" s="69"/>
      <c r="P2289" s="534"/>
      <c r="Q2289" s="274"/>
      <c r="R2289" s="472"/>
      <c r="S2289" s="535"/>
      <c r="T2289" s="535"/>
      <c r="U2289" s="536"/>
      <c r="V2289" s="474"/>
      <c r="Y2289" s="89"/>
      <c r="Z2289" s="60"/>
      <c r="AA2289" s="60"/>
      <c r="AB2289" s="60"/>
      <c r="AC2289" s="30"/>
      <c r="AD2289" s="30"/>
      <c r="AE2289" s="475"/>
      <c r="AF2289" s="476"/>
      <c r="AG2289" s="474"/>
      <c r="AH2289" s="138"/>
    </row>
    <row r="2290">
      <c r="A2290" s="103"/>
      <c r="B2290" s="533"/>
      <c r="C2290" s="533"/>
      <c r="D2290" s="103"/>
      <c r="E2290" s="103"/>
      <c r="F2290" s="103"/>
      <c r="G2290" s="103"/>
      <c r="H2290" s="131"/>
      <c r="I2290" s="468"/>
      <c r="J2290" s="16"/>
      <c r="K2290" s="16"/>
      <c r="M2290" s="69"/>
      <c r="N2290" s="69"/>
      <c r="O2290" s="69"/>
      <c r="P2290" s="534"/>
      <c r="Q2290" s="274"/>
      <c r="R2290" s="472"/>
      <c r="S2290" s="535"/>
      <c r="T2290" s="535"/>
      <c r="U2290" s="536"/>
      <c r="V2290" s="474"/>
      <c r="Y2290" s="89"/>
      <c r="Z2290" s="60"/>
      <c r="AA2290" s="60"/>
      <c r="AB2290" s="60"/>
      <c r="AC2290" s="30"/>
      <c r="AD2290" s="30"/>
      <c r="AE2290" s="475"/>
      <c r="AF2290" s="476"/>
      <c r="AG2290" s="474"/>
      <c r="AH2290" s="138"/>
    </row>
    <row r="2291">
      <c r="A2291" s="103"/>
      <c r="B2291" s="533"/>
      <c r="C2291" s="533"/>
      <c r="D2291" s="103"/>
      <c r="E2291" s="103"/>
      <c r="F2291" s="103"/>
      <c r="G2291" s="103"/>
      <c r="H2291" s="131"/>
      <c r="I2291" s="468"/>
      <c r="J2291" s="16"/>
      <c r="K2291" s="16"/>
      <c r="M2291" s="69"/>
      <c r="N2291" s="69"/>
      <c r="O2291" s="69"/>
      <c r="P2291" s="534"/>
      <c r="Q2291" s="274"/>
      <c r="R2291" s="472"/>
      <c r="S2291" s="535"/>
      <c r="T2291" s="535"/>
      <c r="U2291" s="536"/>
      <c r="V2291" s="474"/>
      <c r="Y2291" s="89"/>
      <c r="Z2291" s="60"/>
      <c r="AA2291" s="60"/>
      <c r="AB2291" s="60"/>
      <c r="AC2291" s="30"/>
      <c r="AD2291" s="30"/>
      <c r="AE2291" s="475"/>
      <c r="AF2291" s="476"/>
      <c r="AG2291" s="474"/>
      <c r="AH2291" s="138"/>
    </row>
    <row r="2292">
      <c r="A2292" s="103"/>
      <c r="B2292" s="533"/>
      <c r="C2292" s="533"/>
      <c r="D2292" s="103"/>
      <c r="E2292" s="103"/>
      <c r="F2292" s="103"/>
      <c r="G2292" s="103"/>
      <c r="H2292" s="131"/>
      <c r="I2292" s="468"/>
      <c r="J2292" s="16"/>
      <c r="K2292" s="16"/>
      <c r="M2292" s="69"/>
      <c r="N2292" s="69"/>
      <c r="O2292" s="69"/>
      <c r="P2292" s="534"/>
      <c r="Q2292" s="274"/>
      <c r="R2292" s="472"/>
      <c r="S2292" s="535"/>
      <c r="T2292" s="535"/>
      <c r="U2292" s="536"/>
      <c r="V2292" s="474"/>
      <c r="Y2292" s="89"/>
      <c r="Z2292" s="60"/>
      <c r="AA2292" s="60"/>
      <c r="AB2292" s="60"/>
      <c r="AC2292" s="30"/>
      <c r="AD2292" s="30"/>
      <c r="AE2292" s="475"/>
      <c r="AF2292" s="476"/>
      <c r="AG2292" s="474"/>
      <c r="AH2292" s="138"/>
    </row>
    <row r="2293">
      <c r="A2293" s="103"/>
      <c r="B2293" s="533"/>
      <c r="C2293" s="533"/>
      <c r="D2293" s="103"/>
      <c r="E2293" s="103"/>
      <c r="F2293" s="103"/>
      <c r="G2293" s="103"/>
      <c r="H2293" s="131"/>
      <c r="I2293" s="468"/>
      <c r="J2293" s="16"/>
      <c r="K2293" s="16"/>
      <c r="M2293" s="69"/>
      <c r="N2293" s="69"/>
      <c r="O2293" s="69"/>
      <c r="P2293" s="534"/>
      <c r="Q2293" s="274"/>
      <c r="R2293" s="472"/>
      <c r="S2293" s="535"/>
      <c r="T2293" s="535"/>
      <c r="U2293" s="536"/>
      <c r="V2293" s="474"/>
      <c r="Y2293" s="89"/>
      <c r="Z2293" s="60"/>
      <c r="AA2293" s="60"/>
      <c r="AB2293" s="60"/>
      <c r="AC2293" s="30"/>
      <c r="AD2293" s="30"/>
      <c r="AE2293" s="475"/>
      <c r="AF2293" s="476"/>
      <c r="AG2293" s="474"/>
      <c r="AH2293" s="138"/>
    </row>
    <row r="2294">
      <c r="A2294" s="103"/>
      <c r="B2294" s="533"/>
      <c r="C2294" s="533"/>
      <c r="D2294" s="103"/>
      <c r="E2294" s="103"/>
      <c r="F2294" s="103"/>
      <c r="G2294" s="103"/>
      <c r="H2294" s="131"/>
      <c r="I2294" s="468"/>
      <c r="J2294" s="16"/>
      <c r="K2294" s="16"/>
      <c r="M2294" s="69"/>
      <c r="N2294" s="69"/>
      <c r="O2294" s="69"/>
      <c r="P2294" s="534"/>
      <c r="Q2294" s="274"/>
      <c r="R2294" s="472"/>
      <c r="S2294" s="535"/>
      <c r="T2294" s="535"/>
      <c r="U2294" s="536"/>
      <c r="V2294" s="474"/>
      <c r="Y2294" s="89"/>
      <c r="Z2294" s="60"/>
      <c r="AA2294" s="60"/>
      <c r="AB2294" s="60"/>
      <c r="AC2294" s="30"/>
      <c r="AD2294" s="30"/>
      <c r="AE2294" s="475"/>
      <c r="AF2294" s="476"/>
      <c r="AG2294" s="474"/>
      <c r="AH2294" s="138"/>
    </row>
    <row r="2295">
      <c r="A2295" s="103"/>
      <c r="B2295" s="533"/>
      <c r="C2295" s="533"/>
      <c r="D2295" s="103"/>
      <c r="E2295" s="103"/>
      <c r="F2295" s="103"/>
      <c r="G2295" s="103"/>
      <c r="H2295" s="131"/>
      <c r="I2295" s="468"/>
      <c r="J2295" s="16"/>
      <c r="K2295" s="16"/>
      <c r="M2295" s="69"/>
      <c r="N2295" s="69"/>
      <c r="O2295" s="69"/>
      <c r="P2295" s="534"/>
      <c r="Q2295" s="274"/>
      <c r="R2295" s="472"/>
      <c r="S2295" s="535"/>
      <c r="T2295" s="535"/>
      <c r="U2295" s="536"/>
      <c r="V2295" s="474"/>
      <c r="Y2295" s="89"/>
      <c r="Z2295" s="60"/>
      <c r="AA2295" s="60"/>
      <c r="AB2295" s="60"/>
      <c r="AC2295" s="30"/>
      <c r="AD2295" s="30"/>
      <c r="AE2295" s="475"/>
      <c r="AF2295" s="476"/>
      <c r="AG2295" s="474"/>
      <c r="AH2295" s="138"/>
    </row>
    <row r="2296">
      <c r="A2296" s="103"/>
      <c r="B2296" s="533"/>
      <c r="C2296" s="533"/>
      <c r="D2296" s="103"/>
      <c r="E2296" s="103"/>
      <c r="F2296" s="103"/>
      <c r="G2296" s="103"/>
      <c r="H2296" s="131"/>
      <c r="I2296" s="468"/>
      <c r="J2296" s="16"/>
      <c r="K2296" s="16"/>
      <c r="M2296" s="69"/>
      <c r="N2296" s="69"/>
      <c r="O2296" s="69"/>
      <c r="P2296" s="534"/>
      <c r="Q2296" s="274"/>
      <c r="R2296" s="472"/>
      <c r="S2296" s="535"/>
      <c r="T2296" s="535"/>
      <c r="U2296" s="536"/>
      <c r="V2296" s="474"/>
      <c r="Y2296" s="89"/>
      <c r="Z2296" s="60"/>
      <c r="AA2296" s="60"/>
      <c r="AB2296" s="60"/>
      <c r="AC2296" s="30"/>
      <c r="AD2296" s="30"/>
      <c r="AE2296" s="475"/>
      <c r="AF2296" s="476"/>
      <c r="AG2296" s="474"/>
      <c r="AH2296" s="138"/>
    </row>
    <row r="2297">
      <c r="A2297" s="103"/>
      <c r="B2297" s="533"/>
      <c r="C2297" s="533"/>
      <c r="D2297" s="103"/>
      <c r="E2297" s="103"/>
      <c r="F2297" s="103"/>
      <c r="G2297" s="103"/>
      <c r="H2297" s="131"/>
      <c r="I2297" s="468"/>
      <c r="J2297" s="16"/>
      <c r="K2297" s="16"/>
      <c r="M2297" s="69"/>
      <c r="N2297" s="69"/>
      <c r="O2297" s="69"/>
      <c r="P2297" s="534"/>
      <c r="Q2297" s="274"/>
      <c r="R2297" s="472"/>
      <c r="S2297" s="535"/>
      <c r="T2297" s="535"/>
      <c r="U2297" s="536"/>
      <c r="V2297" s="474"/>
      <c r="Y2297" s="89"/>
      <c r="Z2297" s="60"/>
      <c r="AA2297" s="60"/>
      <c r="AB2297" s="60"/>
      <c r="AC2297" s="30"/>
      <c r="AD2297" s="30"/>
      <c r="AE2297" s="475"/>
      <c r="AF2297" s="476"/>
      <c r="AG2297" s="474"/>
      <c r="AH2297" s="138"/>
    </row>
    <row r="2298">
      <c r="A2298" s="103"/>
      <c r="B2298" s="533"/>
      <c r="C2298" s="533"/>
      <c r="D2298" s="103"/>
      <c r="E2298" s="103"/>
      <c r="F2298" s="103"/>
      <c r="G2298" s="103"/>
      <c r="H2298" s="131"/>
      <c r="I2298" s="468"/>
      <c r="J2298" s="16"/>
      <c r="K2298" s="16"/>
      <c r="M2298" s="69"/>
      <c r="N2298" s="69"/>
      <c r="O2298" s="69"/>
      <c r="P2298" s="534"/>
      <c r="Q2298" s="274"/>
      <c r="R2298" s="472"/>
      <c r="S2298" s="535"/>
      <c r="T2298" s="535"/>
      <c r="U2298" s="536"/>
      <c r="V2298" s="474"/>
      <c r="Y2298" s="89"/>
      <c r="Z2298" s="60"/>
      <c r="AA2298" s="60"/>
      <c r="AB2298" s="60"/>
      <c r="AC2298" s="30"/>
      <c r="AD2298" s="30"/>
      <c r="AE2298" s="475"/>
      <c r="AF2298" s="476"/>
      <c r="AG2298" s="474"/>
      <c r="AH2298" s="138"/>
    </row>
    <row r="2299">
      <c r="A2299" s="103"/>
      <c r="B2299" s="533"/>
      <c r="C2299" s="533"/>
      <c r="D2299" s="103"/>
      <c r="E2299" s="103"/>
      <c r="F2299" s="103"/>
      <c r="G2299" s="103"/>
      <c r="H2299" s="131"/>
      <c r="I2299" s="468"/>
      <c r="J2299" s="16"/>
      <c r="K2299" s="16"/>
      <c r="M2299" s="69"/>
      <c r="N2299" s="69"/>
      <c r="O2299" s="69"/>
      <c r="P2299" s="534"/>
      <c r="Q2299" s="274"/>
      <c r="R2299" s="472"/>
      <c r="S2299" s="535"/>
      <c r="T2299" s="535"/>
      <c r="U2299" s="536"/>
      <c r="V2299" s="474"/>
      <c r="Y2299" s="89"/>
      <c r="Z2299" s="60"/>
      <c r="AA2299" s="60"/>
      <c r="AB2299" s="60"/>
      <c r="AC2299" s="30"/>
      <c r="AD2299" s="30"/>
      <c r="AE2299" s="475"/>
      <c r="AF2299" s="476"/>
      <c r="AG2299" s="474"/>
      <c r="AH2299" s="138"/>
    </row>
    <row r="2300">
      <c r="A2300" s="103"/>
      <c r="B2300" s="533"/>
      <c r="C2300" s="533"/>
      <c r="D2300" s="103"/>
      <c r="E2300" s="103"/>
      <c r="F2300" s="103"/>
      <c r="G2300" s="103"/>
      <c r="H2300" s="131"/>
      <c r="I2300" s="468"/>
      <c r="J2300" s="16"/>
      <c r="K2300" s="16"/>
      <c r="M2300" s="69"/>
      <c r="N2300" s="69"/>
      <c r="O2300" s="69"/>
      <c r="P2300" s="534"/>
      <c r="Q2300" s="274"/>
      <c r="R2300" s="472"/>
      <c r="S2300" s="535"/>
      <c r="T2300" s="535"/>
      <c r="U2300" s="536"/>
      <c r="V2300" s="474"/>
      <c r="Y2300" s="89"/>
      <c r="Z2300" s="60"/>
      <c r="AA2300" s="60"/>
      <c r="AB2300" s="60"/>
      <c r="AC2300" s="30"/>
      <c r="AD2300" s="30"/>
      <c r="AE2300" s="475"/>
      <c r="AF2300" s="476"/>
      <c r="AG2300" s="474"/>
      <c r="AH2300" s="138"/>
    </row>
    <row r="2301">
      <c r="A2301" s="103"/>
      <c r="B2301" s="533"/>
      <c r="C2301" s="533"/>
      <c r="D2301" s="103"/>
      <c r="E2301" s="103"/>
      <c r="F2301" s="103"/>
      <c r="G2301" s="103"/>
      <c r="H2301" s="131"/>
      <c r="I2301" s="468"/>
      <c r="J2301" s="16"/>
      <c r="K2301" s="16"/>
      <c r="M2301" s="69"/>
      <c r="N2301" s="69"/>
      <c r="O2301" s="69"/>
      <c r="P2301" s="534"/>
      <c r="Q2301" s="274"/>
      <c r="R2301" s="472"/>
      <c r="S2301" s="535"/>
      <c r="T2301" s="535"/>
      <c r="U2301" s="536"/>
      <c r="V2301" s="474"/>
      <c r="Y2301" s="89"/>
      <c r="Z2301" s="60"/>
      <c r="AA2301" s="60"/>
      <c r="AB2301" s="60"/>
      <c r="AC2301" s="30"/>
      <c r="AD2301" s="30"/>
      <c r="AE2301" s="475"/>
      <c r="AF2301" s="476"/>
      <c r="AG2301" s="474"/>
      <c r="AH2301" s="138"/>
    </row>
    <row r="2302">
      <c r="A2302" s="103"/>
      <c r="B2302" s="533"/>
      <c r="C2302" s="533"/>
      <c r="D2302" s="103"/>
      <c r="E2302" s="103"/>
      <c r="F2302" s="103"/>
      <c r="G2302" s="103"/>
      <c r="H2302" s="131"/>
      <c r="I2302" s="468"/>
      <c r="J2302" s="16"/>
      <c r="K2302" s="16"/>
      <c r="M2302" s="69"/>
      <c r="N2302" s="69"/>
      <c r="O2302" s="69"/>
      <c r="P2302" s="534"/>
      <c r="Q2302" s="274"/>
      <c r="R2302" s="472"/>
      <c r="S2302" s="535"/>
      <c r="T2302" s="535"/>
      <c r="U2302" s="536"/>
      <c r="V2302" s="474"/>
      <c r="Y2302" s="89"/>
      <c r="Z2302" s="60"/>
      <c r="AA2302" s="60"/>
      <c r="AB2302" s="60"/>
      <c r="AC2302" s="30"/>
      <c r="AD2302" s="30"/>
      <c r="AE2302" s="475"/>
      <c r="AF2302" s="476"/>
      <c r="AG2302" s="474"/>
      <c r="AH2302" s="138"/>
    </row>
    <row r="2303">
      <c r="A2303" s="103"/>
      <c r="B2303" s="533"/>
      <c r="C2303" s="533"/>
      <c r="D2303" s="103"/>
      <c r="E2303" s="103"/>
      <c r="F2303" s="103"/>
      <c r="G2303" s="103"/>
      <c r="H2303" s="131"/>
      <c r="I2303" s="468"/>
      <c r="J2303" s="16"/>
      <c r="K2303" s="16"/>
      <c r="M2303" s="69"/>
      <c r="N2303" s="69"/>
      <c r="O2303" s="69"/>
      <c r="P2303" s="534"/>
      <c r="Q2303" s="274"/>
      <c r="R2303" s="472"/>
      <c r="S2303" s="535"/>
      <c r="T2303" s="535"/>
      <c r="U2303" s="536"/>
      <c r="V2303" s="474"/>
      <c r="Y2303" s="89"/>
      <c r="Z2303" s="60"/>
      <c r="AA2303" s="60"/>
      <c r="AB2303" s="60"/>
      <c r="AC2303" s="30"/>
      <c r="AD2303" s="30"/>
      <c r="AE2303" s="475"/>
      <c r="AF2303" s="476"/>
      <c r="AG2303" s="474"/>
      <c r="AH2303" s="138"/>
    </row>
    <row r="2304">
      <c r="A2304" s="103"/>
      <c r="B2304" s="533"/>
      <c r="C2304" s="533"/>
      <c r="D2304" s="103"/>
      <c r="E2304" s="103"/>
      <c r="F2304" s="103"/>
      <c r="G2304" s="103"/>
      <c r="H2304" s="131"/>
      <c r="I2304" s="468"/>
      <c r="J2304" s="16"/>
      <c r="K2304" s="16"/>
      <c r="M2304" s="69"/>
      <c r="N2304" s="69"/>
      <c r="O2304" s="69"/>
      <c r="P2304" s="534"/>
      <c r="Q2304" s="274"/>
      <c r="R2304" s="472"/>
      <c r="S2304" s="535"/>
      <c r="T2304" s="535"/>
      <c r="U2304" s="536"/>
      <c r="V2304" s="474"/>
      <c r="Y2304" s="89"/>
      <c r="Z2304" s="60"/>
      <c r="AA2304" s="60"/>
      <c r="AB2304" s="60"/>
      <c r="AC2304" s="30"/>
      <c r="AD2304" s="30"/>
      <c r="AE2304" s="475"/>
      <c r="AF2304" s="476"/>
      <c r="AG2304" s="474"/>
      <c r="AH2304" s="138"/>
    </row>
    <row r="2305">
      <c r="A2305" s="103"/>
      <c r="B2305" s="533"/>
      <c r="C2305" s="533"/>
      <c r="D2305" s="103"/>
      <c r="E2305" s="103"/>
      <c r="F2305" s="103"/>
      <c r="G2305" s="103"/>
      <c r="H2305" s="131"/>
      <c r="I2305" s="468"/>
      <c r="J2305" s="16"/>
      <c r="K2305" s="16"/>
      <c r="M2305" s="69"/>
      <c r="N2305" s="69"/>
      <c r="O2305" s="69"/>
      <c r="P2305" s="534"/>
      <c r="Q2305" s="274"/>
      <c r="R2305" s="472"/>
      <c r="S2305" s="535"/>
      <c r="T2305" s="535"/>
      <c r="U2305" s="536"/>
      <c r="V2305" s="474"/>
      <c r="Y2305" s="89"/>
      <c r="Z2305" s="60"/>
      <c r="AA2305" s="60"/>
      <c r="AB2305" s="60"/>
      <c r="AC2305" s="30"/>
      <c r="AD2305" s="30"/>
      <c r="AE2305" s="475"/>
      <c r="AF2305" s="476"/>
      <c r="AG2305" s="474"/>
      <c r="AH2305" s="138"/>
    </row>
    <row r="2306">
      <c r="A2306" s="103"/>
      <c r="B2306" s="533"/>
      <c r="C2306" s="533"/>
      <c r="D2306" s="103"/>
      <c r="E2306" s="103"/>
      <c r="F2306" s="103"/>
      <c r="G2306" s="103"/>
      <c r="H2306" s="131"/>
      <c r="I2306" s="468"/>
      <c r="J2306" s="16"/>
      <c r="K2306" s="16"/>
      <c r="M2306" s="69"/>
      <c r="N2306" s="69"/>
      <c r="O2306" s="69"/>
      <c r="P2306" s="534"/>
      <c r="Q2306" s="274"/>
      <c r="R2306" s="472"/>
      <c r="S2306" s="535"/>
      <c r="T2306" s="535"/>
      <c r="U2306" s="536"/>
      <c r="V2306" s="474"/>
      <c r="Y2306" s="89"/>
      <c r="Z2306" s="60"/>
      <c r="AA2306" s="60"/>
      <c r="AB2306" s="60"/>
      <c r="AC2306" s="30"/>
      <c r="AD2306" s="30"/>
      <c r="AE2306" s="475"/>
      <c r="AF2306" s="476"/>
      <c r="AG2306" s="474"/>
      <c r="AH2306" s="138"/>
    </row>
    <row r="2307">
      <c r="A2307" s="103"/>
      <c r="B2307" s="533"/>
      <c r="C2307" s="533"/>
      <c r="D2307" s="103"/>
      <c r="E2307" s="103"/>
      <c r="F2307" s="103"/>
      <c r="G2307" s="103"/>
      <c r="H2307" s="131"/>
      <c r="I2307" s="468"/>
      <c r="J2307" s="16"/>
      <c r="K2307" s="16"/>
      <c r="M2307" s="69"/>
      <c r="N2307" s="69"/>
      <c r="O2307" s="69"/>
      <c r="P2307" s="534"/>
      <c r="Q2307" s="274"/>
      <c r="R2307" s="472"/>
      <c r="S2307" s="535"/>
      <c r="T2307" s="535"/>
      <c r="U2307" s="536"/>
      <c r="V2307" s="474"/>
      <c r="Y2307" s="89"/>
      <c r="Z2307" s="60"/>
      <c r="AA2307" s="60"/>
      <c r="AB2307" s="60"/>
      <c r="AC2307" s="30"/>
      <c r="AD2307" s="30"/>
      <c r="AE2307" s="475"/>
      <c r="AF2307" s="476"/>
      <c r="AG2307" s="474"/>
      <c r="AH2307" s="138"/>
    </row>
    <row r="2308">
      <c r="A2308" s="103"/>
      <c r="B2308" s="533"/>
      <c r="C2308" s="533"/>
      <c r="D2308" s="103"/>
      <c r="E2308" s="103"/>
      <c r="F2308" s="103"/>
      <c r="G2308" s="103"/>
      <c r="H2308" s="131"/>
      <c r="I2308" s="468"/>
      <c r="J2308" s="16"/>
      <c r="K2308" s="16"/>
      <c r="M2308" s="69"/>
      <c r="N2308" s="69"/>
      <c r="O2308" s="69"/>
      <c r="P2308" s="534"/>
      <c r="Q2308" s="274"/>
      <c r="R2308" s="472"/>
      <c r="S2308" s="535"/>
      <c r="T2308" s="535"/>
      <c r="U2308" s="536"/>
      <c r="V2308" s="474"/>
      <c r="Y2308" s="89"/>
      <c r="Z2308" s="60"/>
      <c r="AA2308" s="60"/>
      <c r="AB2308" s="60"/>
      <c r="AC2308" s="30"/>
      <c r="AD2308" s="30"/>
      <c r="AE2308" s="475"/>
      <c r="AF2308" s="476"/>
      <c r="AG2308" s="474"/>
      <c r="AH2308" s="138"/>
    </row>
    <row r="2309">
      <c r="A2309" s="103"/>
      <c r="B2309" s="533"/>
      <c r="C2309" s="533"/>
      <c r="D2309" s="103"/>
      <c r="E2309" s="103"/>
      <c r="F2309" s="103"/>
      <c r="G2309" s="103"/>
      <c r="H2309" s="131"/>
      <c r="I2309" s="468"/>
      <c r="J2309" s="16"/>
      <c r="K2309" s="16"/>
      <c r="M2309" s="69"/>
      <c r="N2309" s="69"/>
      <c r="O2309" s="69"/>
      <c r="P2309" s="534"/>
      <c r="Q2309" s="274"/>
      <c r="R2309" s="472"/>
      <c r="S2309" s="535"/>
      <c r="T2309" s="535"/>
      <c r="U2309" s="536"/>
      <c r="V2309" s="474"/>
      <c r="Y2309" s="89"/>
      <c r="Z2309" s="60"/>
      <c r="AA2309" s="60"/>
      <c r="AB2309" s="60"/>
      <c r="AC2309" s="30"/>
      <c r="AD2309" s="30"/>
      <c r="AE2309" s="475"/>
      <c r="AF2309" s="476"/>
      <c r="AG2309" s="474"/>
      <c r="AH2309" s="138"/>
    </row>
    <row r="2310">
      <c r="A2310" s="103"/>
      <c r="B2310" s="533"/>
      <c r="C2310" s="533"/>
      <c r="D2310" s="103"/>
      <c r="E2310" s="103"/>
      <c r="F2310" s="103"/>
      <c r="G2310" s="103"/>
      <c r="H2310" s="131"/>
      <c r="I2310" s="468"/>
      <c r="J2310" s="16"/>
      <c r="K2310" s="16"/>
      <c r="M2310" s="69"/>
      <c r="N2310" s="69"/>
      <c r="O2310" s="69"/>
      <c r="P2310" s="534"/>
      <c r="Q2310" s="274"/>
      <c r="R2310" s="472"/>
      <c r="S2310" s="535"/>
      <c r="T2310" s="535"/>
      <c r="U2310" s="536"/>
      <c r="V2310" s="474"/>
      <c r="Y2310" s="89"/>
      <c r="Z2310" s="60"/>
      <c r="AA2310" s="60"/>
      <c r="AB2310" s="60"/>
      <c r="AC2310" s="30"/>
      <c r="AD2310" s="30"/>
      <c r="AE2310" s="475"/>
      <c r="AF2310" s="476"/>
      <c r="AG2310" s="474"/>
      <c r="AH2310" s="138"/>
    </row>
    <row r="2311">
      <c r="A2311" s="103"/>
      <c r="B2311" s="533"/>
      <c r="C2311" s="533"/>
      <c r="D2311" s="103"/>
      <c r="E2311" s="103"/>
      <c r="F2311" s="103"/>
      <c r="G2311" s="103"/>
      <c r="H2311" s="131"/>
      <c r="I2311" s="468"/>
      <c r="J2311" s="16"/>
      <c r="K2311" s="16"/>
      <c r="M2311" s="69"/>
      <c r="N2311" s="69"/>
      <c r="O2311" s="69"/>
      <c r="P2311" s="534"/>
      <c r="Q2311" s="274"/>
      <c r="R2311" s="472"/>
      <c r="S2311" s="535"/>
      <c r="T2311" s="535"/>
      <c r="U2311" s="536"/>
      <c r="V2311" s="474"/>
      <c r="Y2311" s="89"/>
      <c r="Z2311" s="60"/>
      <c r="AA2311" s="60"/>
      <c r="AB2311" s="60"/>
      <c r="AC2311" s="30"/>
      <c r="AD2311" s="30"/>
      <c r="AE2311" s="475"/>
      <c r="AF2311" s="476"/>
      <c r="AG2311" s="474"/>
      <c r="AH2311" s="138"/>
    </row>
    <row r="2312">
      <c r="A2312" s="103"/>
      <c r="B2312" s="533"/>
      <c r="C2312" s="533"/>
      <c r="D2312" s="103"/>
      <c r="E2312" s="103"/>
      <c r="F2312" s="103"/>
      <c r="G2312" s="103"/>
      <c r="H2312" s="131"/>
      <c r="I2312" s="468"/>
      <c r="J2312" s="16"/>
      <c r="K2312" s="16"/>
      <c r="M2312" s="69"/>
      <c r="N2312" s="69"/>
      <c r="O2312" s="69"/>
      <c r="P2312" s="534"/>
      <c r="Q2312" s="274"/>
      <c r="R2312" s="472"/>
      <c r="S2312" s="535"/>
      <c r="T2312" s="535"/>
      <c r="U2312" s="536"/>
      <c r="V2312" s="474"/>
      <c r="Y2312" s="89"/>
      <c r="Z2312" s="60"/>
      <c r="AA2312" s="60"/>
      <c r="AB2312" s="60"/>
      <c r="AC2312" s="30"/>
      <c r="AD2312" s="30"/>
      <c r="AE2312" s="475"/>
      <c r="AF2312" s="476"/>
      <c r="AG2312" s="474"/>
      <c r="AH2312" s="138"/>
    </row>
    <row r="2313">
      <c r="A2313" s="103"/>
      <c r="B2313" s="533"/>
      <c r="C2313" s="533"/>
      <c r="D2313" s="103"/>
      <c r="E2313" s="103"/>
      <c r="F2313" s="103"/>
      <c r="G2313" s="103"/>
      <c r="H2313" s="131"/>
      <c r="I2313" s="468"/>
      <c r="J2313" s="16"/>
      <c r="K2313" s="16"/>
      <c r="M2313" s="69"/>
      <c r="N2313" s="69"/>
      <c r="O2313" s="69"/>
      <c r="P2313" s="534"/>
      <c r="Q2313" s="274"/>
      <c r="R2313" s="472"/>
      <c r="S2313" s="535"/>
      <c r="T2313" s="535"/>
      <c r="U2313" s="536"/>
      <c r="V2313" s="474"/>
      <c r="Y2313" s="89"/>
      <c r="Z2313" s="60"/>
      <c r="AA2313" s="60"/>
      <c r="AB2313" s="60"/>
      <c r="AC2313" s="30"/>
      <c r="AD2313" s="30"/>
      <c r="AE2313" s="475"/>
      <c r="AF2313" s="476"/>
      <c r="AG2313" s="474"/>
      <c r="AH2313" s="138"/>
    </row>
    <row r="2314">
      <c r="A2314" s="103"/>
      <c r="B2314" s="533"/>
      <c r="C2314" s="533"/>
      <c r="D2314" s="103"/>
      <c r="E2314" s="103"/>
      <c r="F2314" s="103"/>
      <c r="G2314" s="103"/>
      <c r="H2314" s="131"/>
      <c r="I2314" s="468"/>
      <c r="J2314" s="16"/>
      <c r="K2314" s="16"/>
      <c r="M2314" s="69"/>
      <c r="N2314" s="69"/>
      <c r="O2314" s="69"/>
      <c r="P2314" s="534"/>
      <c r="Q2314" s="274"/>
      <c r="R2314" s="472"/>
      <c r="S2314" s="535"/>
      <c r="T2314" s="535"/>
      <c r="U2314" s="536"/>
      <c r="V2314" s="474"/>
      <c r="Y2314" s="89"/>
      <c r="Z2314" s="60"/>
      <c r="AA2314" s="60"/>
      <c r="AB2314" s="60"/>
      <c r="AC2314" s="30"/>
      <c r="AD2314" s="30"/>
      <c r="AE2314" s="475"/>
      <c r="AF2314" s="476"/>
      <c r="AG2314" s="474"/>
      <c r="AH2314" s="138"/>
    </row>
    <row r="2315">
      <c r="A2315" s="103"/>
      <c r="B2315" s="533"/>
      <c r="C2315" s="533"/>
      <c r="D2315" s="103"/>
      <c r="E2315" s="103"/>
      <c r="F2315" s="103"/>
      <c r="G2315" s="103"/>
      <c r="H2315" s="131"/>
      <c r="I2315" s="468"/>
      <c r="J2315" s="16"/>
      <c r="K2315" s="16"/>
      <c r="M2315" s="69"/>
      <c r="N2315" s="69"/>
      <c r="O2315" s="69"/>
      <c r="P2315" s="534"/>
      <c r="Q2315" s="274"/>
      <c r="R2315" s="472"/>
      <c r="S2315" s="535"/>
      <c r="T2315" s="535"/>
      <c r="U2315" s="536"/>
      <c r="V2315" s="474"/>
      <c r="Y2315" s="89"/>
      <c r="Z2315" s="60"/>
      <c r="AA2315" s="60"/>
      <c r="AB2315" s="60"/>
      <c r="AC2315" s="30"/>
      <c r="AD2315" s="30"/>
      <c r="AE2315" s="475"/>
      <c r="AF2315" s="476"/>
      <c r="AG2315" s="474"/>
      <c r="AH2315" s="138"/>
    </row>
    <row r="2316">
      <c r="A2316" s="103"/>
      <c r="B2316" s="533"/>
      <c r="C2316" s="533"/>
      <c r="D2316" s="103"/>
      <c r="E2316" s="103"/>
      <c r="F2316" s="103"/>
      <c r="G2316" s="103"/>
      <c r="H2316" s="131"/>
      <c r="I2316" s="468"/>
      <c r="J2316" s="16"/>
      <c r="K2316" s="16"/>
      <c r="M2316" s="69"/>
      <c r="N2316" s="69"/>
      <c r="O2316" s="69"/>
      <c r="P2316" s="534"/>
      <c r="Q2316" s="274"/>
      <c r="R2316" s="472"/>
      <c r="S2316" s="535"/>
      <c r="T2316" s="535"/>
      <c r="U2316" s="536"/>
      <c r="V2316" s="474"/>
      <c r="Y2316" s="89"/>
      <c r="Z2316" s="60"/>
      <c r="AA2316" s="60"/>
      <c r="AB2316" s="60"/>
      <c r="AC2316" s="30"/>
      <c r="AD2316" s="30"/>
      <c r="AE2316" s="475"/>
      <c r="AF2316" s="476"/>
      <c r="AG2316" s="474"/>
      <c r="AH2316" s="138"/>
    </row>
    <row r="2317">
      <c r="A2317" s="103"/>
      <c r="B2317" s="533"/>
      <c r="C2317" s="533"/>
      <c r="D2317" s="103"/>
      <c r="E2317" s="103"/>
      <c r="F2317" s="103"/>
      <c r="G2317" s="103"/>
      <c r="H2317" s="131"/>
      <c r="I2317" s="468"/>
      <c r="J2317" s="16"/>
      <c r="K2317" s="16"/>
      <c r="M2317" s="69"/>
      <c r="N2317" s="69"/>
      <c r="O2317" s="69"/>
      <c r="P2317" s="534"/>
      <c r="Q2317" s="274"/>
      <c r="R2317" s="472"/>
      <c r="S2317" s="535"/>
      <c r="T2317" s="535"/>
      <c r="U2317" s="536"/>
      <c r="V2317" s="474"/>
      <c r="Y2317" s="89"/>
      <c r="Z2317" s="60"/>
      <c r="AA2317" s="60"/>
      <c r="AB2317" s="60"/>
      <c r="AC2317" s="30"/>
      <c r="AD2317" s="30"/>
      <c r="AE2317" s="475"/>
      <c r="AF2317" s="476"/>
      <c r="AG2317" s="474"/>
      <c r="AH2317" s="138"/>
    </row>
    <row r="2318">
      <c r="A2318" s="103"/>
      <c r="B2318" s="533"/>
      <c r="C2318" s="533"/>
      <c r="D2318" s="103"/>
      <c r="E2318" s="103"/>
      <c r="F2318" s="103"/>
      <c r="G2318" s="103"/>
      <c r="H2318" s="131"/>
      <c r="I2318" s="468"/>
      <c r="J2318" s="16"/>
      <c r="K2318" s="16"/>
      <c r="M2318" s="69"/>
      <c r="N2318" s="69"/>
      <c r="O2318" s="69"/>
      <c r="P2318" s="534"/>
      <c r="Q2318" s="274"/>
      <c r="R2318" s="472"/>
      <c r="S2318" s="535"/>
      <c r="T2318" s="535"/>
      <c r="U2318" s="536"/>
      <c r="V2318" s="474"/>
      <c r="Y2318" s="89"/>
      <c r="Z2318" s="60"/>
      <c r="AA2318" s="60"/>
      <c r="AB2318" s="60"/>
      <c r="AC2318" s="30"/>
      <c r="AD2318" s="30"/>
      <c r="AE2318" s="475"/>
      <c r="AF2318" s="476"/>
      <c r="AG2318" s="474"/>
      <c r="AH2318" s="138"/>
    </row>
    <row r="2319">
      <c r="A2319" s="103"/>
      <c r="B2319" s="533"/>
      <c r="C2319" s="533"/>
      <c r="D2319" s="103"/>
      <c r="E2319" s="103"/>
      <c r="F2319" s="103"/>
      <c r="G2319" s="103"/>
      <c r="H2319" s="131"/>
      <c r="I2319" s="468"/>
      <c r="J2319" s="16"/>
      <c r="K2319" s="16"/>
      <c r="M2319" s="69"/>
      <c r="N2319" s="69"/>
      <c r="O2319" s="69"/>
      <c r="P2319" s="534"/>
      <c r="Q2319" s="274"/>
      <c r="R2319" s="472"/>
      <c r="S2319" s="535"/>
      <c r="T2319" s="535"/>
      <c r="U2319" s="536"/>
      <c r="V2319" s="474"/>
      <c r="Y2319" s="89"/>
      <c r="Z2319" s="60"/>
      <c r="AA2319" s="60"/>
      <c r="AB2319" s="60"/>
      <c r="AC2319" s="30"/>
      <c r="AD2319" s="30"/>
      <c r="AE2319" s="475"/>
      <c r="AF2319" s="476"/>
      <c r="AG2319" s="474"/>
      <c r="AH2319" s="138"/>
    </row>
    <row r="2320">
      <c r="A2320" s="103"/>
      <c r="B2320" s="533"/>
      <c r="C2320" s="533"/>
      <c r="D2320" s="103"/>
      <c r="E2320" s="103"/>
      <c r="F2320" s="103"/>
      <c r="G2320" s="103"/>
      <c r="H2320" s="131"/>
      <c r="I2320" s="468"/>
      <c r="J2320" s="16"/>
      <c r="K2320" s="16"/>
      <c r="M2320" s="69"/>
      <c r="N2320" s="69"/>
      <c r="O2320" s="69"/>
      <c r="P2320" s="534"/>
      <c r="Q2320" s="274"/>
      <c r="R2320" s="472"/>
      <c r="S2320" s="535"/>
      <c r="T2320" s="535"/>
      <c r="U2320" s="536"/>
      <c r="V2320" s="474"/>
      <c r="Y2320" s="89"/>
      <c r="Z2320" s="60"/>
      <c r="AA2320" s="60"/>
      <c r="AB2320" s="60"/>
      <c r="AC2320" s="30"/>
      <c r="AD2320" s="30"/>
      <c r="AE2320" s="475"/>
      <c r="AF2320" s="476"/>
      <c r="AG2320" s="474"/>
      <c r="AH2320" s="138"/>
    </row>
    <row r="2321">
      <c r="A2321" s="103"/>
      <c r="B2321" s="533"/>
      <c r="C2321" s="533"/>
      <c r="D2321" s="103"/>
      <c r="E2321" s="103"/>
      <c r="F2321" s="103"/>
      <c r="G2321" s="103"/>
      <c r="H2321" s="131"/>
      <c r="I2321" s="468"/>
      <c r="J2321" s="16"/>
      <c r="K2321" s="16"/>
      <c r="M2321" s="69"/>
      <c r="N2321" s="69"/>
      <c r="O2321" s="69"/>
      <c r="P2321" s="534"/>
      <c r="Q2321" s="274"/>
      <c r="R2321" s="472"/>
      <c r="S2321" s="535"/>
      <c r="T2321" s="535"/>
      <c r="U2321" s="536"/>
      <c r="V2321" s="474"/>
      <c r="Y2321" s="89"/>
      <c r="Z2321" s="60"/>
      <c r="AA2321" s="60"/>
      <c r="AB2321" s="60"/>
      <c r="AC2321" s="30"/>
      <c r="AD2321" s="30"/>
      <c r="AE2321" s="475"/>
      <c r="AF2321" s="476"/>
      <c r="AG2321" s="474"/>
      <c r="AH2321" s="138"/>
    </row>
    <row r="2322">
      <c r="A2322" s="103"/>
      <c r="B2322" s="533"/>
      <c r="C2322" s="533"/>
      <c r="D2322" s="103"/>
      <c r="E2322" s="103"/>
      <c r="F2322" s="103"/>
      <c r="G2322" s="103"/>
      <c r="H2322" s="131"/>
      <c r="I2322" s="468"/>
      <c r="J2322" s="16"/>
      <c r="K2322" s="16"/>
      <c r="M2322" s="69"/>
      <c r="N2322" s="69"/>
      <c r="O2322" s="69"/>
      <c r="P2322" s="534"/>
      <c r="Q2322" s="274"/>
      <c r="R2322" s="472"/>
      <c r="S2322" s="535"/>
      <c r="T2322" s="535"/>
      <c r="U2322" s="536"/>
      <c r="V2322" s="474"/>
      <c r="Y2322" s="89"/>
      <c r="Z2322" s="60"/>
      <c r="AA2322" s="60"/>
      <c r="AB2322" s="60"/>
      <c r="AC2322" s="30"/>
      <c r="AD2322" s="30"/>
      <c r="AE2322" s="475"/>
      <c r="AF2322" s="476"/>
      <c r="AG2322" s="474"/>
      <c r="AH2322" s="138"/>
    </row>
    <row r="2323">
      <c r="A2323" s="103"/>
      <c r="B2323" s="533"/>
      <c r="C2323" s="533"/>
      <c r="D2323" s="103"/>
      <c r="E2323" s="103"/>
      <c r="F2323" s="103"/>
      <c r="G2323" s="103"/>
      <c r="H2323" s="131"/>
      <c r="I2323" s="468"/>
      <c r="J2323" s="16"/>
      <c r="K2323" s="16"/>
      <c r="M2323" s="69"/>
      <c r="N2323" s="69"/>
      <c r="O2323" s="69"/>
      <c r="P2323" s="534"/>
      <c r="Q2323" s="274"/>
      <c r="R2323" s="472"/>
      <c r="S2323" s="535"/>
      <c r="T2323" s="535"/>
      <c r="U2323" s="536"/>
      <c r="V2323" s="474"/>
      <c r="Y2323" s="89"/>
      <c r="Z2323" s="60"/>
      <c r="AA2323" s="60"/>
      <c r="AB2323" s="60"/>
      <c r="AC2323" s="30"/>
      <c r="AD2323" s="30"/>
      <c r="AE2323" s="475"/>
      <c r="AF2323" s="476"/>
      <c r="AG2323" s="474"/>
      <c r="AH2323" s="138"/>
    </row>
    <row r="2324">
      <c r="A2324" s="103"/>
      <c r="B2324" s="533"/>
      <c r="C2324" s="533"/>
      <c r="D2324" s="103"/>
      <c r="E2324" s="103"/>
      <c r="F2324" s="103"/>
      <c r="G2324" s="103"/>
      <c r="H2324" s="131"/>
      <c r="I2324" s="468"/>
      <c r="J2324" s="16"/>
      <c r="K2324" s="16"/>
      <c r="M2324" s="69"/>
      <c r="N2324" s="69"/>
      <c r="O2324" s="69"/>
      <c r="P2324" s="534"/>
      <c r="Q2324" s="274"/>
      <c r="R2324" s="472"/>
      <c r="S2324" s="535"/>
      <c r="T2324" s="535"/>
      <c r="U2324" s="536"/>
      <c r="V2324" s="474"/>
      <c r="Y2324" s="89"/>
      <c r="Z2324" s="60"/>
      <c r="AA2324" s="60"/>
      <c r="AB2324" s="60"/>
      <c r="AC2324" s="30"/>
      <c r="AD2324" s="30"/>
      <c r="AE2324" s="475"/>
      <c r="AF2324" s="476"/>
      <c r="AG2324" s="474"/>
      <c r="AH2324" s="138"/>
    </row>
    <row r="2325">
      <c r="A2325" s="103"/>
      <c r="B2325" s="533"/>
      <c r="C2325" s="533"/>
      <c r="D2325" s="103"/>
      <c r="E2325" s="103"/>
      <c r="F2325" s="103"/>
      <c r="G2325" s="103"/>
      <c r="H2325" s="131"/>
      <c r="I2325" s="468"/>
      <c r="J2325" s="16"/>
      <c r="K2325" s="16"/>
      <c r="M2325" s="69"/>
      <c r="N2325" s="69"/>
      <c r="O2325" s="69"/>
      <c r="P2325" s="534"/>
      <c r="Q2325" s="274"/>
      <c r="R2325" s="472"/>
      <c r="S2325" s="535"/>
      <c r="T2325" s="535"/>
      <c r="U2325" s="536"/>
      <c r="V2325" s="474"/>
      <c r="Y2325" s="89"/>
      <c r="Z2325" s="60"/>
      <c r="AA2325" s="60"/>
      <c r="AB2325" s="60"/>
      <c r="AC2325" s="30"/>
      <c r="AD2325" s="30"/>
      <c r="AE2325" s="475"/>
      <c r="AF2325" s="476"/>
      <c r="AG2325" s="474"/>
      <c r="AH2325" s="138"/>
    </row>
    <row r="2326">
      <c r="A2326" s="103"/>
      <c r="B2326" s="533"/>
      <c r="C2326" s="533"/>
      <c r="D2326" s="103"/>
      <c r="E2326" s="103"/>
      <c r="F2326" s="103"/>
      <c r="G2326" s="103"/>
      <c r="H2326" s="131"/>
      <c r="I2326" s="468"/>
      <c r="J2326" s="16"/>
      <c r="K2326" s="16"/>
      <c r="M2326" s="69"/>
      <c r="N2326" s="69"/>
      <c r="O2326" s="69"/>
      <c r="P2326" s="534"/>
      <c r="Q2326" s="274"/>
      <c r="R2326" s="472"/>
      <c r="S2326" s="535"/>
      <c r="T2326" s="535"/>
      <c r="U2326" s="536"/>
      <c r="V2326" s="474"/>
      <c r="Y2326" s="89"/>
      <c r="Z2326" s="60"/>
      <c r="AA2326" s="60"/>
      <c r="AB2326" s="60"/>
      <c r="AC2326" s="30"/>
      <c r="AD2326" s="30"/>
      <c r="AE2326" s="475"/>
      <c r="AF2326" s="476"/>
      <c r="AG2326" s="474"/>
      <c r="AH2326" s="138"/>
    </row>
    <row r="2327">
      <c r="A2327" s="103"/>
      <c r="B2327" s="533"/>
      <c r="C2327" s="533"/>
      <c r="D2327" s="103"/>
      <c r="E2327" s="103"/>
      <c r="F2327" s="103"/>
      <c r="G2327" s="103"/>
      <c r="H2327" s="131"/>
      <c r="I2327" s="468"/>
      <c r="J2327" s="16"/>
      <c r="K2327" s="16"/>
      <c r="M2327" s="69"/>
      <c r="N2327" s="69"/>
      <c r="O2327" s="69"/>
      <c r="P2327" s="534"/>
      <c r="Q2327" s="274"/>
      <c r="R2327" s="472"/>
      <c r="S2327" s="535"/>
      <c r="T2327" s="535"/>
      <c r="U2327" s="536"/>
      <c r="V2327" s="474"/>
      <c r="Y2327" s="89"/>
      <c r="Z2327" s="60"/>
      <c r="AA2327" s="60"/>
      <c r="AB2327" s="60"/>
      <c r="AC2327" s="30"/>
      <c r="AD2327" s="30"/>
      <c r="AE2327" s="475"/>
      <c r="AF2327" s="476"/>
      <c r="AG2327" s="474"/>
      <c r="AH2327" s="138"/>
    </row>
    <row r="2328">
      <c r="A2328" s="103"/>
      <c r="B2328" s="533"/>
      <c r="C2328" s="533"/>
      <c r="D2328" s="103"/>
      <c r="E2328" s="103"/>
      <c r="F2328" s="103"/>
      <c r="G2328" s="103"/>
      <c r="H2328" s="131"/>
      <c r="I2328" s="468"/>
      <c r="J2328" s="16"/>
      <c r="K2328" s="16"/>
      <c r="M2328" s="69"/>
      <c r="N2328" s="69"/>
      <c r="O2328" s="69"/>
      <c r="P2328" s="534"/>
      <c r="Q2328" s="274"/>
      <c r="R2328" s="472"/>
      <c r="S2328" s="535"/>
      <c r="T2328" s="535"/>
      <c r="U2328" s="536"/>
      <c r="V2328" s="474"/>
      <c r="Y2328" s="89"/>
      <c r="Z2328" s="60"/>
      <c r="AA2328" s="60"/>
      <c r="AB2328" s="60"/>
      <c r="AC2328" s="30"/>
      <c r="AD2328" s="30"/>
      <c r="AE2328" s="475"/>
      <c r="AF2328" s="476"/>
      <c r="AG2328" s="474"/>
      <c r="AH2328" s="138"/>
    </row>
    <row r="2329">
      <c r="A2329" s="103"/>
      <c r="B2329" s="533"/>
      <c r="C2329" s="533"/>
      <c r="D2329" s="103"/>
      <c r="E2329" s="103"/>
      <c r="F2329" s="103"/>
      <c r="G2329" s="103"/>
      <c r="H2329" s="131"/>
      <c r="I2329" s="468"/>
      <c r="J2329" s="16"/>
      <c r="K2329" s="16"/>
      <c r="M2329" s="69"/>
      <c r="N2329" s="69"/>
      <c r="O2329" s="69"/>
      <c r="P2329" s="534"/>
      <c r="Q2329" s="274"/>
      <c r="R2329" s="472"/>
      <c r="S2329" s="535"/>
      <c r="T2329" s="535"/>
      <c r="U2329" s="536"/>
      <c r="V2329" s="474"/>
      <c r="Y2329" s="89"/>
      <c r="Z2329" s="60"/>
      <c r="AA2329" s="60"/>
      <c r="AB2329" s="60"/>
      <c r="AC2329" s="30"/>
      <c r="AD2329" s="30"/>
      <c r="AE2329" s="475"/>
      <c r="AF2329" s="476"/>
      <c r="AG2329" s="474"/>
      <c r="AH2329" s="138"/>
    </row>
    <row r="2330">
      <c r="A2330" s="103"/>
      <c r="B2330" s="533"/>
      <c r="C2330" s="533"/>
      <c r="D2330" s="103"/>
      <c r="E2330" s="103"/>
      <c r="F2330" s="103"/>
      <c r="G2330" s="103"/>
      <c r="H2330" s="131"/>
      <c r="I2330" s="468"/>
      <c r="J2330" s="16"/>
      <c r="K2330" s="16"/>
      <c r="M2330" s="69"/>
      <c r="N2330" s="69"/>
      <c r="O2330" s="69"/>
      <c r="P2330" s="534"/>
      <c r="Q2330" s="274"/>
      <c r="R2330" s="472"/>
      <c r="S2330" s="535"/>
      <c r="T2330" s="535"/>
      <c r="U2330" s="536"/>
      <c r="V2330" s="474"/>
      <c r="Y2330" s="89"/>
      <c r="Z2330" s="60"/>
      <c r="AA2330" s="60"/>
      <c r="AB2330" s="60"/>
      <c r="AC2330" s="30"/>
      <c r="AD2330" s="30"/>
      <c r="AE2330" s="475"/>
      <c r="AF2330" s="476"/>
      <c r="AG2330" s="474"/>
      <c r="AH2330" s="138"/>
    </row>
    <row r="2331">
      <c r="A2331" s="103"/>
      <c r="B2331" s="533"/>
      <c r="C2331" s="533"/>
      <c r="D2331" s="103"/>
      <c r="E2331" s="103"/>
      <c r="F2331" s="103"/>
      <c r="G2331" s="103"/>
      <c r="H2331" s="131"/>
      <c r="I2331" s="468"/>
      <c r="J2331" s="16"/>
      <c r="K2331" s="16"/>
      <c r="M2331" s="69"/>
      <c r="N2331" s="69"/>
      <c r="O2331" s="69"/>
      <c r="P2331" s="534"/>
      <c r="Q2331" s="274"/>
      <c r="R2331" s="472"/>
      <c r="S2331" s="535"/>
      <c r="T2331" s="535"/>
      <c r="U2331" s="536"/>
      <c r="V2331" s="474"/>
      <c r="Y2331" s="89"/>
      <c r="Z2331" s="60"/>
      <c r="AA2331" s="60"/>
      <c r="AB2331" s="60"/>
      <c r="AC2331" s="30"/>
      <c r="AD2331" s="30"/>
      <c r="AE2331" s="475"/>
      <c r="AF2331" s="476"/>
      <c r="AG2331" s="474"/>
      <c r="AH2331" s="138"/>
    </row>
    <row r="2332">
      <c r="A2332" s="103"/>
      <c r="B2332" s="533"/>
      <c r="C2332" s="533"/>
      <c r="D2332" s="103"/>
      <c r="E2332" s="103"/>
      <c r="F2332" s="103"/>
      <c r="G2332" s="103"/>
      <c r="H2332" s="131"/>
      <c r="I2332" s="468"/>
      <c r="J2332" s="16"/>
      <c r="K2332" s="16"/>
      <c r="M2332" s="69"/>
      <c r="N2332" s="69"/>
      <c r="O2332" s="69"/>
      <c r="P2332" s="534"/>
      <c r="Q2332" s="274"/>
      <c r="R2332" s="472"/>
      <c r="S2332" s="535"/>
      <c r="T2332" s="535"/>
      <c r="U2332" s="536"/>
      <c r="V2332" s="474"/>
      <c r="Y2332" s="89"/>
      <c r="Z2332" s="60"/>
      <c r="AA2332" s="60"/>
      <c r="AB2332" s="60"/>
      <c r="AC2332" s="30"/>
      <c r="AD2332" s="30"/>
      <c r="AE2332" s="475"/>
      <c r="AF2332" s="476"/>
      <c r="AG2332" s="474"/>
      <c r="AH2332" s="138"/>
    </row>
    <row r="2333">
      <c r="A2333" s="103"/>
      <c r="B2333" s="533"/>
      <c r="C2333" s="533"/>
      <c r="D2333" s="103"/>
      <c r="E2333" s="103"/>
      <c r="F2333" s="103"/>
      <c r="G2333" s="103"/>
      <c r="H2333" s="131"/>
      <c r="I2333" s="468"/>
      <c r="J2333" s="16"/>
      <c r="K2333" s="16"/>
      <c r="M2333" s="69"/>
      <c r="N2333" s="69"/>
      <c r="O2333" s="69"/>
      <c r="P2333" s="534"/>
      <c r="Q2333" s="274"/>
      <c r="R2333" s="472"/>
      <c r="S2333" s="535"/>
      <c r="T2333" s="535"/>
      <c r="U2333" s="536"/>
      <c r="V2333" s="474"/>
      <c r="Y2333" s="89"/>
      <c r="Z2333" s="60"/>
      <c r="AA2333" s="60"/>
      <c r="AB2333" s="60"/>
      <c r="AC2333" s="30"/>
      <c r="AD2333" s="30"/>
      <c r="AE2333" s="475"/>
      <c r="AF2333" s="476"/>
      <c r="AG2333" s="474"/>
      <c r="AH2333" s="138"/>
    </row>
    <row r="2334">
      <c r="A2334" s="103"/>
      <c r="B2334" s="533"/>
      <c r="C2334" s="533"/>
      <c r="D2334" s="103"/>
      <c r="E2334" s="103"/>
      <c r="F2334" s="103"/>
      <c r="G2334" s="103"/>
      <c r="H2334" s="131"/>
      <c r="I2334" s="468"/>
      <c r="J2334" s="16"/>
      <c r="K2334" s="16"/>
      <c r="M2334" s="69"/>
      <c r="N2334" s="69"/>
      <c r="O2334" s="69"/>
      <c r="P2334" s="534"/>
      <c r="Q2334" s="274"/>
      <c r="R2334" s="472"/>
      <c r="S2334" s="535"/>
      <c r="T2334" s="535"/>
      <c r="U2334" s="536"/>
      <c r="V2334" s="474"/>
      <c r="Y2334" s="89"/>
      <c r="Z2334" s="60"/>
      <c r="AA2334" s="60"/>
      <c r="AB2334" s="60"/>
      <c r="AC2334" s="30"/>
      <c r="AD2334" s="30"/>
      <c r="AE2334" s="475"/>
      <c r="AF2334" s="476"/>
      <c r="AG2334" s="474"/>
      <c r="AH2334" s="138"/>
    </row>
    <row r="2335">
      <c r="A2335" s="103"/>
      <c r="B2335" s="533"/>
      <c r="C2335" s="533"/>
      <c r="D2335" s="103"/>
      <c r="E2335" s="103"/>
      <c r="F2335" s="103"/>
      <c r="G2335" s="103"/>
      <c r="H2335" s="131"/>
      <c r="I2335" s="468"/>
      <c r="J2335" s="16"/>
      <c r="K2335" s="16"/>
      <c r="M2335" s="69"/>
      <c r="N2335" s="69"/>
      <c r="O2335" s="69"/>
      <c r="P2335" s="534"/>
      <c r="Q2335" s="274"/>
      <c r="R2335" s="472"/>
      <c r="S2335" s="535"/>
      <c r="T2335" s="535"/>
      <c r="U2335" s="536"/>
      <c r="V2335" s="474"/>
      <c r="Y2335" s="89"/>
      <c r="Z2335" s="60"/>
      <c r="AA2335" s="60"/>
      <c r="AB2335" s="60"/>
      <c r="AC2335" s="30"/>
      <c r="AD2335" s="30"/>
      <c r="AE2335" s="475"/>
      <c r="AF2335" s="476"/>
      <c r="AG2335" s="474"/>
      <c r="AH2335" s="138"/>
    </row>
    <row r="2336">
      <c r="A2336" s="103"/>
      <c r="B2336" s="533"/>
      <c r="C2336" s="533"/>
      <c r="D2336" s="103"/>
      <c r="E2336" s="103"/>
      <c r="F2336" s="103"/>
      <c r="G2336" s="103"/>
      <c r="H2336" s="131"/>
      <c r="I2336" s="468"/>
      <c r="J2336" s="16"/>
      <c r="K2336" s="16"/>
      <c r="M2336" s="69"/>
      <c r="N2336" s="69"/>
      <c r="O2336" s="69"/>
      <c r="P2336" s="534"/>
      <c r="Q2336" s="274"/>
      <c r="R2336" s="472"/>
      <c r="S2336" s="535"/>
      <c r="T2336" s="535"/>
      <c r="U2336" s="536"/>
      <c r="V2336" s="474"/>
      <c r="Y2336" s="89"/>
      <c r="Z2336" s="60"/>
      <c r="AA2336" s="60"/>
      <c r="AB2336" s="60"/>
      <c r="AC2336" s="30"/>
      <c r="AD2336" s="30"/>
      <c r="AE2336" s="475"/>
      <c r="AF2336" s="476"/>
      <c r="AG2336" s="474"/>
      <c r="AH2336" s="138"/>
    </row>
    <row r="2337">
      <c r="A2337" s="103"/>
      <c r="B2337" s="533"/>
      <c r="C2337" s="533"/>
      <c r="D2337" s="103"/>
      <c r="E2337" s="103"/>
      <c r="F2337" s="103"/>
      <c r="G2337" s="103"/>
      <c r="H2337" s="131"/>
      <c r="I2337" s="468"/>
      <c r="J2337" s="16"/>
      <c r="K2337" s="16"/>
      <c r="M2337" s="69"/>
      <c r="N2337" s="69"/>
      <c r="O2337" s="69"/>
      <c r="P2337" s="534"/>
      <c r="Q2337" s="274"/>
      <c r="R2337" s="472"/>
      <c r="S2337" s="535"/>
      <c r="T2337" s="535"/>
      <c r="U2337" s="536"/>
      <c r="V2337" s="474"/>
      <c r="Y2337" s="89"/>
      <c r="Z2337" s="60"/>
      <c r="AA2337" s="60"/>
      <c r="AB2337" s="60"/>
      <c r="AC2337" s="30"/>
      <c r="AD2337" s="30"/>
      <c r="AE2337" s="475"/>
      <c r="AF2337" s="476"/>
      <c r="AG2337" s="474"/>
      <c r="AH2337" s="138"/>
    </row>
    <row r="2338">
      <c r="A2338" s="103"/>
      <c r="B2338" s="533"/>
      <c r="C2338" s="533"/>
      <c r="D2338" s="103"/>
      <c r="E2338" s="103"/>
      <c r="F2338" s="103"/>
      <c r="G2338" s="103"/>
      <c r="H2338" s="131"/>
      <c r="I2338" s="468"/>
      <c r="J2338" s="16"/>
      <c r="K2338" s="16"/>
      <c r="M2338" s="69"/>
      <c r="N2338" s="69"/>
      <c r="O2338" s="69"/>
      <c r="P2338" s="534"/>
      <c r="Q2338" s="274"/>
      <c r="R2338" s="472"/>
      <c r="S2338" s="535"/>
      <c r="T2338" s="535"/>
      <c r="U2338" s="536"/>
      <c r="V2338" s="474"/>
      <c r="Y2338" s="89"/>
      <c r="Z2338" s="60"/>
      <c r="AA2338" s="60"/>
      <c r="AB2338" s="60"/>
      <c r="AC2338" s="30"/>
      <c r="AD2338" s="30"/>
      <c r="AE2338" s="475"/>
      <c r="AF2338" s="476"/>
      <c r="AG2338" s="474"/>
      <c r="AH2338" s="138"/>
    </row>
    <row r="2339">
      <c r="A2339" s="103"/>
      <c r="B2339" s="533"/>
      <c r="C2339" s="533"/>
      <c r="D2339" s="103"/>
      <c r="E2339" s="103"/>
      <c r="F2339" s="103"/>
      <c r="G2339" s="103"/>
      <c r="H2339" s="131"/>
      <c r="I2339" s="468"/>
      <c r="J2339" s="16"/>
      <c r="K2339" s="16"/>
      <c r="M2339" s="69"/>
      <c r="N2339" s="69"/>
      <c r="O2339" s="69"/>
      <c r="P2339" s="534"/>
      <c r="Q2339" s="274"/>
      <c r="R2339" s="472"/>
      <c r="S2339" s="535"/>
      <c r="T2339" s="535"/>
      <c r="U2339" s="536"/>
      <c r="V2339" s="474"/>
      <c r="Y2339" s="89"/>
      <c r="Z2339" s="60"/>
      <c r="AA2339" s="60"/>
      <c r="AB2339" s="60"/>
      <c r="AC2339" s="30"/>
      <c r="AD2339" s="30"/>
      <c r="AE2339" s="475"/>
      <c r="AF2339" s="476"/>
      <c r="AG2339" s="474"/>
      <c r="AH2339" s="138"/>
    </row>
    <row r="2340">
      <c r="A2340" s="103"/>
      <c r="B2340" s="533"/>
      <c r="C2340" s="533"/>
      <c r="D2340" s="103"/>
      <c r="E2340" s="103"/>
      <c r="F2340" s="103"/>
      <c r="G2340" s="103"/>
      <c r="H2340" s="131"/>
      <c r="I2340" s="468"/>
      <c r="J2340" s="16"/>
      <c r="K2340" s="16"/>
      <c r="M2340" s="69"/>
      <c r="N2340" s="69"/>
      <c r="O2340" s="69"/>
      <c r="P2340" s="534"/>
      <c r="Q2340" s="274"/>
      <c r="R2340" s="472"/>
      <c r="S2340" s="535"/>
      <c r="T2340" s="535"/>
      <c r="U2340" s="536"/>
      <c r="V2340" s="474"/>
      <c r="Y2340" s="89"/>
      <c r="Z2340" s="60"/>
      <c r="AA2340" s="60"/>
      <c r="AB2340" s="60"/>
      <c r="AC2340" s="30"/>
      <c r="AD2340" s="30"/>
      <c r="AE2340" s="475"/>
      <c r="AF2340" s="476"/>
      <c r="AG2340" s="474"/>
      <c r="AH2340" s="138"/>
    </row>
    <row r="2341">
      <c r="A2341" s="103"/>
      <c r="B2341" s="533"/>
      <c r="C2341" s="533"/>
      <c r="D2341" s="103"/>
      <c r="E2341" s="103"/>
      <c r="F2341" s="103"/>
      <c r="G2341" s="103"/>
      <c r="H2341" s="131"/>
      <c r="I2341" s="468"/>
      <c r="J2341" s="16"/>
      <c r="K2341" s="16"/>
      <c r="M2341" s="69"/>
      <c r="N2341" s="69"/>
      <c r="O2341" s="69"/>
      <c r="P2341" s="534"/>
      <c r="Q2341" s="274"/>
      <c r="R2341" s="472"/>
      <c r="S2341" s="535"/>
      <c r="T2341" s="535"/>
      <c r="U2341" s="536"/>
      <c r="V2341" s="474"/>
      <c r="Y2341" s="89"/>
      <c r="Z2341" s="60"/>
      <c r="AA2341" s="60"/>
      <c r="AB2341" s="60"/>
      <c r="AC2341" s="30"/>
      <c r="AD2341" s="30"/>
      <c r="AE2341" s="475"/>
      <c r="AF2341" s="476"/>
      <c r="AG2341" s="474"/>
      <c r="AH2341" s="138"/>
    </row>
    <row r="2342">
      <c r="A2342" s="103"/>
      <c r="B2342" s="533"/>
      <c r="C2342" s="533"/>
      <c r="D2342" s="103"/>
      <c r="E2342" s="103"/>
      <c r="F2342" s="103"/>
      <c r="G2342" s="103"/>
      <c r="H2342" s="131"/>
      <c r="I2342" s="468"/>
      <c r="J2342" s="16"/>
      <c r="K2342" s="16"/>
      <c r="M2342" s="69"/>
      <c r="N2342" s="69"/>
      <c r="O2342" s="69"/>
      <c r="P2342" s="534"/>
      <c r="Q2342" s="274"/>
      <c r="R2342" s="472"/>
      <c r="S2342" s="535"/>
      <c r="T2342" s="535"/>
      <c r="U2342" s="536"/>
      <c r="V2342" s="474"/>
      <c r="Y2342" s="89"/>
      <c r="Z2342" s="60"/>
      <c r="AA2342" s="60"/>
      <c r="AB2342" s="60"/>
      <c r="AC2342" s="30"/>
      <c r="AD2342" s="30"/>
      <c r="AE2342" s="475"/>
      <c r="AF2342" s="476"/>
      <c r="AG2342" s="474"/>
      <c r="AH2342" s="138"/>
    </row>
    <row r="2343">
      <c r="A2343" s="103"/>
      <c r="B2343" s="533"/>
      <c r="C2343" s="533"/>
      <c r="D2343" s="103"/>
      <c r="E2343" s="103"/>
      <c r="F2343" s="103"/>
      <c r="G2343" s="103"/>
      <c r="H2343" s="131"/>
      <c r="I2343" s="468"/>
      <c r="J2343" s="16"/>
      <c r="K2343" s="16"/>
      <c r="M2343" s="69"/>
      <c r="N2343" s="69"/>
      <c r="O2343" s="69"/>
      <c r="P2343" s="534"/>
      <c r="Q2343" s="274"/>
      <c r="R2343" s="472"/>
      <c r="S2343" s="535"/>
      <c r="T2343" s="535"/>
      <c r="U2343" s="536"/>
      <c r="V2343" s="474"/>
      <c r="Y2343" s="89"/>
      <c r="Z2343" s="60"/>
      <c r="AA2343" s="60"/>
      <c r="AB2343" s="60"/>
      <c r="AC2343" s="30"/>
      <c r="AD2343" s="30"/>
      <c r="AE2343" s="475"/>
      <c r="AF2343" s="476"/>
      <c r="AG2343" s="474"/>
      <c r="AH2343" s="138"/>
    </row>
    <row r="2344">
      <c r="A2344" s="103"/>
      <c r="B2344" s="533"/>
      <c r="C2344" s="533"/>
      <c r="D2344" s="103"/>
      <c r="E2344" s="103"/>
      <c r="F2344" s="103"/>
      <c r="G2344" s="103"/>
      <c r="H2344" s="131"/>
      <c r="I2344" s="468"/>
      <c r="J2344" s="16"/>
      <c r="K2344" s="16"/>
      <c r="M2344" s="69"/>
      <c r="N2344" s="69"/>
      <c r="O2344" s="69"/>
      <c r="P2344" s="534"/>
      <c r="Q2344" s="274"/>
      <c r="R2344" s="472"/>
      <c r="S2344" s="535"/>
      <c r="T2344" s="535"/>
      <c r="U2344" s="536"/>
      <c r="V2344" s="474"/>
      <c r="Y2344" s="89"/>
      <c r="Z2344" s="60"/>
      <c r="AA2344" s="60"/>
      <c r="AB2344" s="60"/>
      <c r="AC2344" s="30"/>
      <c r="AD2344" s="30"/>
      <c r="AE2344" s="475"/>
      <c r="AF2344" s="476"/>
      <c r="AG2344" s="474"/>
      <c r="AH2344" s="138"/>
    </row>
    <row r="2345">
      <c r="A2345" s="103"/>
      <c r="B2345" s="533"/>
      <c r="C2345" s="533"/>
      <c r="D2345" s="103"/>
      <c r="E2345" s="103"/>
      <c r="F2345" s="103"/>
      <c r="G2345" s="103"/>
      <c r="H2345" s="131"/>
      <c r="I2345" s="468"/>
      <c r="J2345" s="16"/>
      <c r="K2345" s="16"/>
      <c r="M2345" s="69"/>
      <c r="N2345" s="69"/>
      <c r="O2345" s="69"/>
      <c r="P2345" s="534"/>
      <c r="Q2345" s="274"/>
      <c r="R2345" s="472"/>
      <c r="S2345" s="535"/>
      <c r="T2345" s="535"/>
      <c r="U2345" s="536"/>
      <c r="V2345" s="474"/>
      <c r="Y2345" s="89"/>
      <c r="Z2345" s="60"/>
      <c r="AA2345" s="60"/>
      <c r="AB2345" s="60"/>
      <c r="AC2345" s="30"/>
      <c r="AD2345" s="30"/>
      <c r="AE2345" s="475"/>
      <c r="AF2345" s="476"/>
      <c r="AG2345" s="474"/>
      <c r="AH2345" s="138"/>
    </row>
    <row r="2346">
      <c r="A2346" s="103"/>
      <c r="B2346" s="533"/>
      <c r="C2346" s="533"/>
      <c r="D2346" s="103"/>
      <c r="E2346" s="103"/>
      <c r="F2346" s="103"/>
      <c r="G2346" s="103"/>
      <c r="H2346" s="131"/>
      <c r="I2346" s="468"/>
      <c r="J2346" s="16"/>
      <c r="K2346" s="16"/>
      <c r="M2346" s="69"/>
      <c r="N2346" s="69"/>
      <c r="O2346" s="69"/>
      <c r="P2346" s="534"/>
      <c r="Q2346" s="274"/>
      <c r="R2346" s="472"/>
      <c r="S2346" s="535"/>
      <c r="T2346" s="535"/>
      <c r="U2346" s="536"/>
      <c r="V2346" s="474"/>
      <c r="Y2346" s="89"/>
      <c r="Z2346" s="60"/>
      <c r="AA2346" s="60"/>
      <c r="AB2346" s="60"/>
      <c r="AC2346" s="30"/>
      <c r="AD2346" s="30"/>
      <c r="AE2346" s="475"/>
      <c r="AF2346" s="476"/>
      <c r="AG2346" s="474"/>
      <c r="AH2346" s="138"/>
    </row>
    <row r="2347">
      <c r="A2347" s="103"/>
      <c r="B2347" s="533"/>
      <c r="C2347" s="533"/>
      <c r="D2347" s="103"/>
      <c r="E2347" s="103"/>
      <c r="F2347" s="103"/>
      <c r="G2347" s="103"/>
      <c r="H2347" s="131"/>
      <c r="I2347" s="468"/>
      <c r="J2347" s="16"/>
      <c r="K2347" s="16"/>
      <c r="M2347" s="69"/>
      <c r="N2347" s="69"/>
      <c r="O2347" s="69"/>
      <c r="P2347" s="534"/>
      <c r="Q2347" s="274"/>
      <c r="R2347" s="472"/>
      <c r="S2347" s="535"/>
      <c r="T2347" s="535"/>
      <c r="U2347" s="536"/>
      <c r="V2347" s="474"/>
      <c r="Y2347" s="89"/>
      <c r="Z2347" s="60"/>
      <c r="AA2347" s="60"/>
      <c r="AB2347" s="60"/>
      <c r="AC2347" s="30"/>
      <c r="AD2347" s="30"/>
      <c r="AE2347" s="475"/>
      <c r="AF2347" s="476"/>
      <c r="AG2347" s="474"/>
      <c r="AH2347" s="138"/>
    </row>
    <row r="2348">
      <c r="A2348" s="103"/>
      <c r="B2348" s="533"/>
      <c r="C2348" s="533"/>
      <c r="D2348" s="103"/>
      <c r="E2348" s="103"/>
      <c r="F2348" s="103"/>
      <c r="G2348" s="103"/>
      <c r="H2348" s="131"/>
      <c r="I2348" s="468"/>
      <c r="J2348" s="16"/>
      <c r="K2348" s="16"/>
      <c r="M2348" s="69"/>
      <c r="N2348" s="69"/>
      <c r="O2348" s="69"/>
      <c r="P2348" s="534"/>
      <c r="Q2348" s="274"/>
      <c r="R2348" s="472"/>
      <c r="S2348" s="535"/>
      <c r="T2348" s="535"/>
      <c r="U2348" s="536"/>
      <c r="V2348" s="474"/>
      <c r="Y2348" s="89"/>
      <c r="Z2348" s="60"/>
      <c r="AA2348" s="60"/>
      <c r="AB2348" s="60"/>
      <c r="AC2348" s="30"/>
      <c r="AD2348" s="30"/>
      <c r="AE2348" s="475"/>
      <c r="AF2348" s="476"/>
      <c r="AG2348" s="474"/>
      <c r="AH2348" s="138"/>
    </row>
    <row r="2349">
      <c r="A2349" s="103"/>
      <c r="B2349" s="533"/>
      <c r="C2349" s="533"/>
      <c r="D2349" s="103"/>
      <c r="E2349" s="103"/>
      <c r="F2349" s="103"/>
      <c r="G2349" s="103"/>
      <c r="H2349" s="131"/>
      <c r="I2349" s="468"/>
      <c r="J2349" s="16"/>
      <c r="K2349" s="16"/>
      <c r="M2349" s="69"/>
      <c r="N2349" s="69"/>
      <c r="O2349" s="69"/>
      <c r="P2349" s="534"/>
      <c r="Q2349" s="274"/>
      <c r="R2349" s="472"/>
      <c r="S2349" s="535"/>
      <c r="T2349" s="535"/>
      <c r="U2349" s="536"/>
      <c r="V2349" s="474"/>
      <c r="Y2349" s="89"/>
      <c r="Z2349" s="60"/>
      <c r="AA2349" s="60"/>
      <c r="AB2349" s="60"/>
      <c r="AC2349" s="30"/>
      <c r="AD2349" s="30"/>
      <c r="AE2349" s="475"/>
      <c r="AF2349" s="476"/>
      <c r="AG2349" s="474"/>
      <c r="AH2349" s="138"/>
    </row>
    <row r="2350">
      <c r="A2350" s="103"/>
      <c r="B2350" s="533"/>
      <c r="C2350" s="533"/>
      <c r="D2350" s="103"/>
      <c r="E2350" s="103"/>
      <c r="F2350" s="103"/>
      <c r="G2350" s="103"/>
      <c r="H2350" s="131"/>
      <c r="I2350" s="468"/>
      <c r="J2350" s="16"/>
      <c r="K2350" s="16"/>
      <c r="M2350" s="69"/>
      <c r="N2350" s="69"/>
      <c r="O2350" s="69"/>
      <c r="P2350" s="534"/>
      <c r="Q2350" s="274"/>
      <c r="R2350" s="472"/>
      <c r="S2350" s="535"/>
      <c r="T2350" s="535"/>
      <c r="U2350" s="536"/>
      <c r="V2350" s="474"/>
      <c r="Y2350" s="89"/>
      <c r="Z2350" s="60"/>
      <c r="AA2350" s="60"/>
      <c r="AB2350" s="60"/>
      <c r="AC2350" s="30"/>
      <c r="AD2350" s="30"/>
      <c r="AE2350" s="475"/>
      <c r="AF2350" s="476"/>
      <c r="AG2350" s="474"/>
      <c r="AH2350" s="138"/>
    </row>
    <row r="2351">
      <c r="A2351" s="103"/>
      <c r="B2351" s="533"/>
      <c r="C2351" s="533"/>
      <c r="D2351" s="103"/>
      <c r="E2351" s="103"/>
      <c r="F2351" s="103"/>
      <c r="G2351" s="103"/>
      <c r="H2351" s="131"/>
      <c r="I2351" s="468"/>
      <c r="J2351" s="16"/>
      <c r="K2351" s="16"/>
      <c r="M2351" s="69"/>
      <c r="N2351" s="69"/>
      <c r="O2351" s="69"/>
      <c r="P2351" s="534"/>
      <c r="Q2351" s="274"/>
      <c r="R2351" s="472"/>
      <c r="S2351" s="535"/>
      <c r="T2351" s="535"/>
      <c r="U2351" s="536"/>
      <c r="V2351" s="474"/>
      <c r="Y2351" s="89"/>
      <c r="Z2351" s="60"/>
      <c r="AA2351" s="60"/>
      <c r="AB2351" s="60"/>
      <c r="AC2351" s="30"/>
      <c r="AD2351" s="30"/>
      <c r="AE2351" s="475"/>
      <c r="AF2351" s="476"/>
      <c r="AG2351" s="474"/>
      <c r="AH2351" s="138"/>
    </row>
    <row r="2352">
      <c r="A2352" s="103"/>
      <c r="B2352" s="533"/>
      <c r="C2352" s="533"/>
      <c r="D2352" s="103"/>
      <c r="E2352" s="103"/>
      <c r="F2352" s="103"/>
      <c r="G2352" s="103"/>
      <c r="H2352" s="131"/>
      <c r="I2352" s="468"/>
      <c r="J2352" s="16"/>
      <c r="K2352" s="16"/>
      <c r="M2352" s="69"/>
      <c r="N2352" s="69"/>
      <c r="O2352" s="69"/>
      <c r="P2352" s="534"/>
      <c r="Q2352" s="274"/>
      <c r="R2352" s="472"/>
      <c r="S2352" s="535"/>
      <c r="T2352" s="535"/>
      <c r="U2352" s="536"/>
      <c r="V2352" s="474"/>
      <c r="Y2352" s="89"/>
      <c r="Z2352" s="60"/>
      <c r="AA2352" s="60"/>
      <c r="AB2352" s="60"/>
      <c r="AC2352" s="30"/>
      <c r="AD2352" s="30"/>
      <c r="AE2352" s="475"/>
      <c r="AF2352" s="476"/>
      <c r="AG2352" s="474"/>
      <c r="AH2352" s="138"/>
    </row>
    <row r="2353">
      <c r="A2353" s="103"/>
      <c r="B2353" s="533"/>
      <c r="C2353" s="533"/>
      <c r="D2353" s="103"/>
      <c r="E2353" s="103"/>
      <c r="F2353" s="103"/>
      <c r="G2353" s="103"/>
      <c r="H2353" s="131"/>
      <c r="I2353" s="468"/>
      <c r="J2353" s="16"/>
      <c r="K2353" s="16"/>
      <c r="M2353" s="69"/>
      <c r="N2353" s="69"/>
      <c r="O2353" s="69"/>
      <c r="P2353" s="534"/>
      <c r="Q2353" s="274"/>
      <c r="R2353" s="472"/>
      <c r="S2353" s="535"/>
      <c r="T2353" s="535"/>
      <c r="U2353" s="536"/>
      <c r="V2353" s="474"/>
      <c r="Y2353" s="89"/>
      <c r="Z2353" s="60"/>
      <c r="AA2353" s="60"/>
      <c r="AB2353" s="60"/>
      <c r="AC2353" s="30"/>
      <c r="AD2353" s="30"/>
      <c r="AE2353" s="475"/>
      <c r="AF2353" s="476"/>
      <c r="AG2353" s="474"/>
      <c r="AH2353" s="138"/>
    </row>
    <row r="2354">
      <c r="A2354" s="103"/>
      <c r="B2354" s="533"/>
      <c r="C2354" s="533"/>
      <c r="D2354" s="103"/>
      <c r="E2354" s="103"/>
      <c r="F2354" s="103"/>
      <c r="G2354" s="103"/>
      <c r="H2354" s="131"/>
      <c r="I2354" s="468"/>
      <c r="J2354" s="16"/>
      <c r="K2354" s="16"/>
      <c r="M2354" s="69"/>
      <c r="N2354" s="69"/>
      <c r="O2354" s="69"/>
      <c r="P2354" s="534"/>
      <c r="Q2354" s="274"/>
      <c r="R2354" s="472"/>
      <c r="S2354" s="535"/>
      <c r="T2354" s="535"/>
      <c r="U2354" s="536"/>
      <c r="V2354" s="474"/>
      <c r="Y2354" s="89"/>
      <c r="Z2354" s="60"/>
      <c r="AA2354" s="60"/>
      <c r="AB2354" s="60"/>
      <c r="AC2354" s="30"/>
      <c r="AD2354" s="30"/>
      <c r="AE2354" s="475"/>
      <c r="AF2354" s="476"/>
      <c r="AG2354" s="474"/>
      <c r="AH2354" s="138"/>
    </row>
    <row r="2355">
      <c r="A2355" s="103"/>
      <c r="B2355" s="533"/>
      <c r="C2355" s="533"/>
      <c r="D2355" s="103"/>
      <c r="E2355" s="103"/>
      <c r="F2355" s="103"/>
      <c r="G2355" s="103"/>
      <c r="H2355" s="131"/>
      <c r="I2355" s="468"/>
      <c r="J2355" s="16"/>
      <c r="K2355" s="16"/>
      <c r="M2355" s="69"/>
      <c r="N2355" s="69"/>
      <c r="O2355" s="69"/>
      <c r="P2355" s="534"/>
      <c r="Q2355" s="274"/>
      <c r="R2355" s="472"/>
      <c r="S2355" s="535"/>
      <c r="T2355" s="535"/>
      <c r="U2355" s="536"/>
      <c r="V2355" s="474"/>
      <c r="Y2355" s="89"/>
      <c r="Z2355" s="60"/>
      <c r="AA2355" s="60"/>
      <c r="AB2355" s="60"/>
      <c r="AC2355" s="30"/>
      <c r="AD2355" s="30"/>
      <c r="AE2355" s="475"/>
      <c r="AF2355" s="476"/>
      <c r="AG2355" s="474"/>
      <c r="AH2355" s="138"/>
    </row>
    <row r="2356">
      <c r="A2356" s="103"/>
      <c r="B2356" s="533"/>
      <c r="C2356" s="533"/>
      <c r="D2356" s="103"/>
      <c r="E2356" s="103"/>
      <c r="F2356" s="103"/>
      <c r="G2356" s="103"/>
      <c r="H2356" s="131"/>
      <c r="I2356" s="468"/>
      <c r="J2356" s="16"/>
      <c r="K2356" s="16"/>
      <c r="M2356" s="69"/>
      <c r="N2356" s="69"/>
      <c r="O2356" s="69"/>
      <c r="P2356" s="534"/>
      <c r="Q2356" s="274"/>
      <c r="R2356" s="472"/>
      <c r="S2356" s="535"/>
      <c r="T2356" s="535"/>
      <c r="U2356" s="536"/>
      <c r="V2356" s="474"/>
      <c r="Y2356" s="89"/>
      <c r="Z2356" s="60"/>
      <c r="AA2356" s="60"/>
      <c r="AB2356" s="60"/>
      <c r="AC2356" s="30"/>
      <c r="AD2356" s="30"/>
      <c r="AE2356" s="475"/>
      <c r="AF2356" s="476"/>
      <c r="AG2356" s="474"/>
      <c r="AH2356" s="138"/>
    </row>
    <row r="2357">
      <c r="A2357" s="103"/>
      <c r="B2357" s="533"/>
      <c r="C2357" s="533"/>
      <c r="D2357" s="103"/>
      <c r="E2357" s="103"/>
      <c r="F2357" s="103"/>
      <c r="G2357" s="103"/>
      <c r="H2357" s="131"/>
      <c r="I2357" s="468"/>
      <c r="J2357" s="16"/>
      <c r="K2357" s="16"/>
      <c r="M2357" s="69"/>
      <c r="N2357" s="69"/>
      <c r="O2357" s="69"/>
      <c r="P2357" s="534"/>
      <c r="Q2357" s="274"/>
      <c r="R2357" s="472"/>
      <c r="S2357" s="535"/>
      <c r="T2357" s="535"/>
      <c r="U2357" s="536"/>
      <c r="V2357" s="474"/>
      <c r="Y2357" s="89"/>
      <c r="Z2357" s="60"/>
      <c r="AA2357" s="60"/>
      <c r="AB2357" s="60"/>
      <c r="AC2357" s="30"/>
      <c r="AD2357" s="30"/>
      <c r="AE2357" s="475"/>
      <c r="AF2357" s="476"/>
      <c r="AG2357" s="474"/>
      <c r="AH2357" s="138"/>
    </row>
    <row r="2358">
      <c r="A2358" s="103"/>
      <c r="B2358" s="533"/>
      <c r="C2358" s="533"/>
      <c r="D2358" s="103"/>
      <c r="E2358" s="103"/>
      <c r="F2358" s="103"/>
      <c r="G2358" s="103"/>
      <c r="H2358" s="131"/>
      <c r="I2358" s="468"/>
      <c r="J2358" s="16"/>
      <c r="K2358" s="16"/>
      <c r="M2358" s="69"/>
      <c r="N2358" s="69"/>
      <c r="O2358" s="69"/>
      <c r="P2358" s="534"/>
      <c r="Q2358" s="274"/>
      <c r="R2358" s="472"/>
      <c r="S2358" s="535"/>
      <c r="T2358" s="535"/>
      <c r="U2358" s="536"/>
      <c r="V2358" s="474"/>
      <c r="Y2358" s="89"/>
      <c r="Z2358" s="60"/>
      <c r="AA2358" s="60"/>
      <c r="AB2358" s="60"/>
      <c r="AC2358" s="30"/>
      <c r="AD2358" s="30"/>
      <c r="AE2358" s="475"/>
      <c r="AF2358" s="476"/>
      <c r="AG2358" s="474"/>
      <c r="AH2358" s="138"/>
    </row>
    <row r="2359">
      <c r="A2359" s="103"/>
      <c r="B2359" s="533"/>
      <c r="C2359" s="533"/>
      <c r="D2359" s="103"/>
      <c r="E2359" s="103"/>
      <c r="F2359" s="103"/>
      <c r="G2359" s="103"/>
      <c r="H2359" s="131"/>
      <c r="I2359" s="468"/>
      <c r="J2359" s="16"/>
      <c r="K2359" s="16"/>
      <c r="M2359" s="69"/>
      <c r="N2359" s="69"/>
      <c r="O2359" s="69"/>
      <c r="P2359" s="534"/>
      <c r="Q2359" s="274"/>
      <c r="R2359" s="472"/>
      <c r="S2359" s="535"/>
      <c r="T2359" s="535"/>
      <c r="U2359" s="536"/>
      <c r="V2359" s="474"/>
      <c r="Y2359" s="89"/>
      <c r="Z2359" s="60"/>
      <c r="AA2359" s="60"/>
      <c r="AB2359" s="60"/>
      <c r="AC2359" s="30"/>
      <c r="AD2359" s="30"/>
      <c r="AE2359" s="475"/>
      <c r="AF2359" s="476"/>
      <c r="AG2359" s="474"/>
      <c r="AH2359" s="138"/>
    </row>
    <row r="2360">
      <c r="A2360" s="103"/>
      <c r="B2360" s="533"/>
      <c r="C2360" s="533"/>
      <c r="D2360" s="103"/>
      <c r="E2360" s="103"/>
      <c r="F2360" s="103"/>
      <c r="G2360" s="103"/>
      <c r="H2360" s="131"/>
      <c r="I2360" s="468"/>
      <c r="J2360" s="16"/>
      <c r="K2360" s="16"/>
      <c r="M2360" s="69"/>
      <c r="N2360" s="69"/>
      <c r="O2360" s="69"/>
      <c r="P2360" s="534"/>
      <c r="Q2360" s="274"/>
      <c r="R2360" s="472"/>
      <c r="S2360" s="535"/>
      <c r="T2360" s="535"/>
      <c r="U2360" s="536"/>
      <c r="V2360" s="474"/>
      <c r="Y2360" s="89"/>
      <c r="Z2360" s="60"/>
      <c r="AA2360" s="60"/>
      <c r="AB2360" s="60"/>
      <c r="AC2360" s="30"/>
      <c r="AD2360" s="30"/>
      <c r="AE2360" s="475"/>
      <c r="AF2360" s="476"/>
      <c r="AG2360" s="474"/>
      <c r="AH2360" s="138"/>
    </row>
    <row r="2361">
      <c r="A2361" s="103"/>
      <c r="B2361" s="533"/>
      <c r="C2361" s="533"/>
      <c r="D2361" s="103"/>
      <c r="E2361" s="103"/>
      <c r="F2361" s="103"/>
      <c r="G2361" s="103"/>
      <c r="H2361" s="131"/>
      <c r="I2361" s="468"/>
      <c r="J2361" s="16"/>
      <c r="K2361" s="16"/>
      <c r="M2361" s="69"/>
      <c r="N2361" s="69"/>
      <c r="O2361" s="69"/>
      <c r="P2361" s="534"/>
      <c r="Q2361" s="274"/>
      <c r="R2361" s="472"/>
      <c r="S2361" s="535"/>
      <c r="T2361" s="535"/>
      <c r="U2361" s="536"/>
      <c r="V2361" s="474"/>
      <c r="Y2361" s="89"/>
      <c r="Z2361" s="60"/>
      <c r="AA2361" s="60"/>
      <c r="AB2361" s="60"/>
      <c r="AC2361" s="30"/>
      <c r="AD2361" s="30"/>
      <c r="AE2361" s="475"/>
      <c r="AF2361" s="476"/>
      <c r="AG2361" s="474"/>
      <c r="AH2361" s="138"/>
    </row>
    <row r="2362">
      <c r="A2362" s="103"/>
      <c r="B2362" s="533"/>
      <c r="C2362" s="533"/>
      <c r="D2362" s="103"/>
      <c r="E2362" s="103"/>
      <c r="F2362" s="103"/>
      <c r="G2362" s="103"/>
      <c r="H2362" s="131"/>
      <c r="I2362" s="468"/>
      <c r="J2362" s="16"/>
      <c r="K2362" s="16"/>
      <c r="M2362" s="69"/>
      <c r="N2362" s="69"/>
      <c r="O2362" s="69"/>
      <c r="P2362" s="534"/>
      <c r="Q2362" s="274"/>
      <c r="R2362" s="472"/>
      <c r="S2362" s="535"/>
      <c r="T2362" s="535"/>
      <c r="U2362" s="536"/>
      <c r="V2362" s="474"/>
      <c r="Y2362" s="89"/>
      <c r="Z2362" s="60"/>
      <c r="AA2362" s="60"/>
      <c r="AB2362" s="60"/>
      <c r="AC2362" s="30"/>
      <c r="AD2362" s="30"/>
      <c r="AE2362" s="475"/>
      <c r="AF2362" s="476"/>
      <c r="AG2362" s="474"/>
      <c r="AH2362" s="138"/>
    </row>
    <row r="2363">
      <c r="A2363" s="103"/>
      <c r="B2363" s="533"/>
      <c r="C2363" s="533"/>
      <c r="D2363" s="103"/>
      <c r="E2363" s="103"/>
      <c r="F2363" s="103"/>
      <c r="G2363" s="103"/>
      <c r="H2363" s="131"/>
      <c r="I2363" s="468"/>
      <c r="J2363" s="16"/>
      <c r="K2363" s="16"/>
      <c r="M2363" s="69"/>
      <c r="N2363" s="69"/>
      <c r="O2363" s="69"/>
      <c r="P2363" s="534"/>
      <c r="Q2363" s="274"/>
      <c r="R2363" s="472"/>
      <c r="S2363" s="535"/>
      <c r="T2363" s="535"/>
      <c r="U2363" s="536"/>
      <c r="V2363" s="474"/>
      <c r="Y2363" s="89"/>
      <c r="Z2363" s="60"/>
      <c r="AA2363" s="60"/>
      <c r="AB2363" s="60"/>
      <c r="AC2363" s="30"/>
      <c r="AD2363" s="30"/>
      <c r="AE2363" s="475"/>
      <c r="AF2363" s="476"/>
      <c r="AG2363" s="474"/>
      <c r="AH2363" s="138"/>
    </row>
    <row r="2364">
      <c r="A2364" s="103"/>
      <c r="B2364" s="533"/>
      <c r="C2364" s="533"/>
      <c r="D2364" s="103"/>
      <c r="E2364" s="103"/>
      <c r="F2364" s="103"/>
      <c r="G2364" s="103"/>
      <c r="H2364" s="131"/>
      <c r="I2364" s="468"/>
      <c r="J2364" s="16"/>
      <c r="K2364" s="16"/>
      <c r="M2364" s="69"/>
      <c r="N2364" s="69"/>
      <c r="O2364" s="69"/>
      <c r="P2364" s="534"/>
      <c r="Q2364" s="274"/>
      <c r="R2364" s="472"/>
      <c r="S2364" s="535"/>
      <c r="T2364" s="535"/>
      <c r="U2364" s="536"/>
      <c r="V2364" s="474"/>
      <c r="Y2364" s="89"/>
      <c r="Z2364" s="60"/>
      <c r="AA2364" s="60"/>
      <c r="AB2364" s="60"/>
      <c r="AC2364" s="30"/>
      <c r="AD2364" s="30"/>
      <c r="AE2364" s="475"/>
      <c r="AF2364" s="476"/>
      <c r="AG2364" s="474"/>
      <c r="AH2364" s="138"/>
    </row>
    <row r="2365">
      <c r="A2365" s="103"/>
      <c r="B2365" s="533"/>
      <c r="C2365" s="533"/>
      <c r="D2365" s="103"/>
      <c r="E2365" s="103"/>
      <c r="F2365" s="103"/>
      <c r="G2365" s="103"/>
      <c r="H2365" s="131"/>
      <c r="I2365" s="468"/>
      <c r="J2365" s="16"/>
      <c r="K2365" s="16"/>
      <c r="M2365" s="69"/>
      <c r="N2365" s="69"/>
      <c r="O2365" s="69"/>
      <c r="P2365" s="534"/>
      <c r="Q2365" s="274"/>
      <c r="R2365" s="472"/>
      <c r="S2365" s="535"/>
      <c r="T2365" s="535"/>
      <c r="U2365" s="536"/>
      <c r="V2365" s="474"/>
      <c r="Y2365" s="89"/>
      <c r="Z2365" s="60"/>
      <c r="AA2365" s="60"/>
      <c r="AB2365" s="60"/>
      <c r="AC2365" s="30"/>
      <c r="AD2365" s="30"/>
      <c r="AE2365" s="475"/>
      <c r="AF2365" s="476"/>
      <c r="AG2365" s="474"/>
      <c r="AH2365" s="138"/>
    </row>
    <row r="2366">
      <c r="A2366" s="103"/>
      <c r="B2366" s="533"/>
      <c r="C2366" s="533"/>
      <c r="D2366" s="103"/>
      <c r="E2366" s="103"/>
      <c r="F2366" s="103"/>
      <c r="G2366" s="103"/>
      <c r="H2366" s="131"/>
      <c r="I2366" s="468"/>
      <c r="J2366" s="16"/>
      <c r="K2366" s="16"/>
      <c r="M2366" s="69"/>
      <c r="N2366" s="69"/>
      <c r="O2366" s="69"/>
      <c r="P2366" s="534"/>
      <c r="Q2366" s="274"/>
      <c r="R2366" s="472"/>
      <c r="S2366" s="535"/>
      <c r="T2366" s="535"/>
      <c r="U2366" s="536"/>
      <c r="V2366" s="474"/>
      <c r="Y2366" s="89"/>
      <c r="Z2366" s="60"/>
      <c r="AA2366" s="60"/>
      <c r="AB2366" s="60"/>
      <c r="AC2366" s="30"/>
      <c r="AD2366" s="30"/>
      <c r="AE2366" s="475"/>
      <c r="AF2366" s="476"/>
      <c r="AG2366" s="474"/>
      <c r="AH2366" s="138"/>
    </row>
    <row r="2367">
      <c r="A2367" s="103"/>
      <c r="B2367" s="533"/>
      <c r="C2367" s="533"/>
      <c r="D2367" s="103"/>
      <c r="E2367" s="103"/>
      <c r="F2367" s="103"/>
      <c r="G2367" s="103"/>
      <c r="H2367" s="131"/>
      <c r="I2367" s="468"/>
      <c r="J2367" s="16"/>
      <c r="K2367" s="16"/>
      <c r="M2367" s="69"/>
      <c r="N2367" s="69"/>
      <c r="O2367" s="69"/>
      <c r="P2367" s="534"/>
      <c r="Q2367" s="274"/>
      <c r="R2367" s="472"/>
      <c r="S2367" s="535"/>
      <c r="T2367" s="535"/>
      <c r="U2367" s="536"/>
      <c r="V2367" s="474"/>
      <c r="Y2367" s="89"/>
      <c r="Z2367" s="60"/>
      <c r="AA2367" s="60"/>
      <c r="AB2367" s="60"/>
      <c r="AC2367" s="30"/>
      <c r="AD2367" s="30"/>
      <c r="AE2367" s="475"/>
      <c r="AF2367" s="476"/>
      <c r="AG2367" s="474"/>
      <c r="AH2367" s="138"/>
    </row>
    <row r="2368">
      <c r="A2368" s="103"/>
      <c r="B2368" s="533"/>
      <c r="C2368" s="533"/>
      <c r="D2368" s="103"/>
      <c r="E2368" s="103"/>
      <c r="F2368" s="103"/>
      <c r="G2368" s="103"/>
      <c r="H2368" s="131"/>
      <c r="I2368" s="468"/>
      <c r="J2368" s="16"/>
      <c r="K2368" s="16"/>
      <c r="M2368" s="69"/>
      <c r="N2368" s="69"/>
      <c r="O2368" s="69"/>
      <c r="P2368" s="534"/>
      <c r="Q2368" s="274"/>
      <c r="R2368" s="472"/>
      <c r="S2368" s="535"/>
      <c r="T2368" s="535"/>
      <c r="U2368" s="536"/>
      <c r="V2368" s="474"/>
      <c r="Y2368" s="89"/>
      <c r="Z2368" s="60"/>
      <c r="AA2368" s="60"/>
      <c r="AB2368" s="60"/>
      <c r="AC2368" s="30"/>
      <c r="AD2368" s="30"/>
      <c r="AE2368" s="475"/>
      <c r="AF2368" s="476"/>
      <c r="AG2368" s="474"/>
      <c r="AH2368" s="138"/>
    </row>
    <row r="2369">
      <c r="A2369" s="103"/>
      <c r="B2369" s="533"/>
      <c r="C2369" s="533"/>
      <c r="D2369" s="103"/>
      <c r="E2369" s="103"/>
      <c r="F2369" s="103"/>
      <c r="G2369" s="103"/>
      <c r="H2369" s="131"/>
      <c r="I2369" s="468"/>
      <c r="J2369" s="16"/>
      <c r="K2369" s="16"/>
      <c r="M2369" s="69"/>
      <c r="N2369" s="69"/>
      <c r="O2369" s="69"/>
      <c r="P2369" s="534"/>
      <c r="Q2369" s="274"/>
      <c r="R2369" s="472"/>
      <c r="S2369" s="535"/>
      <c r="T2369" s="535"/>
      <c r="U2369" s="536"/>
      <c r="V2369" s="474"/>
      <c r="Y2369" s="89"/>
      <c r="Z2369" s="60"/>
      <c r="AA2369" s="60"/>
      <c r="AB2369" s="60"/>
      <c r="AC2369" s="30"/>
      <c r="AD2369" s="30"/>
      <c r="AE2369" s="475"/>
      <c r="AF2369" s="476"/>
      <c r="AG2369" s="474"/>
      <c r="AH2369" s="138"/>
    </row>
    <row r="2370">
      <c r="A2370" s="103"/>
      <c r="B2370" s="533"/>
      <c r="C2370" s="533"/>
      <c r="D2370" s="103"/>
      <c r="E2370" s="103"/>
      <c r="F2370" s="103"/>
      <c r="G2370" s="103"/>
      <c r="H2370" s="131"/>
      <c r="I2370" s="468"/>
      <c r="J2370" s="16"/>
      <c r="K2370" s="16"/>
      <c r="M2370" s="69"/>
      <c r="N2370" s="69"/>
      <c r="O2370" s="69"/>
      <c r="P2370" s="534"/>
      <c r="Q2370" s="274"/>
      <c r="R2370" s="472"/>
      <c r="S2370" s="535"/>
      <c r="T2370" s="535"/>
      <c r="U2370" s="536"/>
      <c r="V2370" s="474"/>
      <c r="Y2370" s="89"/>
      <c r="Z2370" s="60"/>
      <c r="AA2370" s="60"/>
      <c r="AB2370" s="60"/>
      <c r="AC2370" s="30"/>
      <c r="AD2370" s="30"/>
      <c r="AE2370" s="475"/>
      <c r="AF2370" s="476"/>
      <c r="AG2370" s="474"/>
      <c r="AH2370" s="138"/>
    </row>
    <row r="2371">
      <c r="A2371" s="103"/>
      <c r="B2371" s="533"/>
      <c r="C2371" s="533"/>
      <c r="D2371" s="103"/>
      <c r="E2371" s="103"/>
      <c r="F2371" s="103"/>
      <c r="G2371" s="103"/>
      <c r="H2371" s="131"/>
      <c r="I2371" s="468"/>
      <c r="J2371" s="16"/>
      <c r="K2371" s="16"/>
      <c r="M2371" s="69"/>
      <c r="N2371" s="69"/>
      <c r="O2371" s="69"/>
      <c r="P2371" s="534"/>
      <c r="Q2371" s="274"/>
      <c r="R2371" s="472"/>
      <c r="S2371" s="535"/>
      <c r="T2371" s="535"/>
      <c r="U2371" s="536"/>
      <c r="V2371" s="474"/>
      <c r="Y2371" s="89"/>
      <c r="Z2371" s="60"/>
      <c r="AA2371" s="60"/>
      <c r="AB2371" s="60"/>
      <c r="AC2371" s="30"/>
      <c r="AD2371" s="30"/>
      <c r="AE2371" s="475"/>
      <c r="AF2371" s="476"/>
      <c r="AG2371" s="474"/>
      <c r="AH2371" s="138"/>
    </row>
    <row r="2372">
      <c r="A2372" s="103"/>
      <c r="B2372" s="533"/>
      <c r="C2372" s="533"/>
      <c r="D2372" s="103"/>
      <c r="E2372" s="103"/>
      <c r="F2372" s="103"/>
      <c r="G2372" s="103"/>
      <c r="H2372" s="131"/>
      <c r="I2372" s="468"/>
      <c r="J2372" s="16"/>
      <c r="K2372" s="16"/>
      <c r="M2372" s="69"/>
      <c r="N2372" s="69"/>
      <c r="O2372" s="69"/>
      <c r="P2372" s="534"/>
      <c r="Q2372" s="274"/>
      <c r="R2372" s="472"/>
      <c r="S2372" s="535"/>
      <c r="T2372" s="535"/>
      <c r="U2372" s="536"/>
      <c r="V2372" s="474"/>
      <c r="Y2372" s="89"/>
      <c r="Z2372" s="60"/>
      <c r="AA2372" s="60"/>
      <c r="AB2372" s="60"/>
      <c r="AC2372" s="30"/>
      <c r="AD2372" s="30"/>
      <c r="AE2372" s="475"/>
      <c r="AF2372" s="476"/>
      <c r="AG2372" s="474"/>
      <c r="AH2372" s="138"/>
    </row>
    <row r="2373">
      <c r="A2373" s="103"/>
      <c r="B2373" s="533"/>
      <c r="C2373" s="533"/>
      <c r="D2373" s="103"/>
      <c r="E2373" s="103"/>
      <c r="F2373" s="103"/>
      <c r="G2373" s="103"/>
      <c r="H2373" s="131"/>
      <c r="I2373" s="468"/>
      <c r="J2373" s="16"/>
      <c r="K2373" s="16"/>
      <c r="M2373" s="69"/>
      <c r="N2373" s="69"/>
      <c r="O2373" s="69"/>
      <c r="P2373" s="534"/>
      <c r="Q2373" s="274"/>
      <c r="R2373" s="472"/>
      <c r="S2373" s="535"/>
      <c r="T2373" s="535"/>
      <c r="U2373" s="536"/>
      <c r="V2373" s="474"/>
      <c r="Y2373" s="89"/>
      <c r="Z2373" s="60"/>
      <c r="AA2373" s="60"/>
      <c r="AB2373" s="60"/>
      <c r="AC2373" s="30"/>
      <c r="AD2373" s="30"/>
      <c r="AE2373" s="475"/>
      <c r="AF2373" s="476"/>
      <c r="AG2373" s="474"/>
      <c r="AH2373" s="138"/>
    </row>
    <row r="2374">
      <c r="A2374" s="103"/>
      <c r="B2374" s="533"/>
      <c r="C2374" s="533"/>
      <c r="D2374" s="103"/>
      <c r="E2374" s="103"/>
      <c r="F2374" s="103"/>
      <c r="G2374" s="103"/>
      <c r="H2374" s="131"/>
      <c r="I2374" s="468"/>
      <c r="J2374" s="16"/>
      <c r="K2374" s="16"/>
      <c r="M2374" s="69"/>
      <c r="N2374" s="69"/>
      <c r="O2374" s="69"/>
      <c r="P2374" s="534"/>
      <c r="Q2374" s="274"/>
      <c r="R2374" s="472"/>
      <c r="S2374" s="535"/>
      <c r="T2374" s="535"/>
      <c r="U2374" s="536"/>
      <c r="V2374" s="474"/>
      <c r="Y2374" s="89"/>
      <c r="Z2374" s="60"/>
      <c r="AA2374" s="60"/>
      <c r="AB2374" s="60"/>
      <c r="AC2374" s="30"/>
      <c r="AD2374" s="30"/>
      <c r="AE2374" s="475"/>
      <c r="AF2374" s="476"/>
      <c r="AG2374" s="474"/>
      <c r="AH2374" s="138"/>
    </row>
    <row r="2375">
      <c r="A2375" s="103"/>
      <c r="B2375" s="533"/>
      <c r="C2375" s="533"/>
      <c r="D2375" s="103"/>
      <c r="E2375" s="103"/>
      <c r="F2375" s="103"/>
      <c r="G2375" s="103"/>
      <c r="H2375" s="131"/>
      <c r="I2375" s="468"/>
      <c r="J2375" s="16"/>
      <c r="K2375" s="16"/>
      <c r="M2375" s="69"/>
      <c r="N2375" s="69"/>
      <c r="O2375" s="69"/>
      <c r="P2375" s="534"/>
      <c r="Q2375" s="274"/>
      <c r="R2375" s="472"/>
      <c r="S2375" s="535"/>
      <c r="T2375" s="535"/>
      <c r="U2375" s="536"/>
      <c r="V2375" s="474"/>
      <c r="Y2375" s="89"/>
      <c r="Z2375" s="60"/>
      <c r="AA2375" s="60"/>
      <c r="AB2375" s="60"/>
      <c r="AC2375" s="30"/>
      <c r="AD2375" s="30"/>
      <c r="AE2375" s="475"/>
      <c r="AF2375" s="476"/>
      <c r="AG2375" s="474"/>
      <c r="AH2375" s="138"/>
    </row>
    <row r="2376">
      <c r="A2376" s="103"/>
      <c r="B2376" s="533"/>
      <c r="C2376" s="533"/>
      <c r="D2376" s="103"/>
      <c r="E2376" s="103"/>
      <c r="F2376" s="103"/>
      <c r="G2376" s="103"/>
      <c r="H2376" s="131"/>
      <c r="I2376" s="468"/>
      <c r="J2376" s="16"/>
      <c r="K2376" s="16"/>
      <c r="M2376" s="69"/>
      <c r="N2376" s="69"/>
      <c r="O2376" s="69"/>
      <c r="P2376" s="534"/>
      <c r="Q2376" s="274"/>
      <c r="R2376" s="472"/>
      <c r="S2376" s="535"/>
      <c r="T2376" s="535"/>
      <c r="U2376" s="536"/>
      <c r="V2376" s="474"/>
      <c r="Y2376" s="89"/>
      <c r="Z2376" s="60"/>
      <c r="AA2376" s="60"/>
      <c r="AB2376" s="60"/>
      <c r="AC2376" s="30"/>
      <c r="AD2376" s="30"/>
      <c r="AE2376" s="475"/>
      <c r="AF2376" s="476"/>
      <c r="AG2376" s="474"/>
      <c r="AH2376" s="138"/>
    </row>
    <row r="2377">
      <c r="A2377" s="103"/>
      <c r="B2377" s="533"/>
      <c r="C2377" s="533"/>
      <c r="D2377" s="103"/>
      <c r="E2377" s="103"/>
      <c r="F2377" s="103"/>
      <c r="G2377" s="103"/>
      <c r="H2377" s="131"/>
      <c r="I2377" s="468"/>
      <c r="J2377" s="16"/>
      <c r="K2377" s="16"/>
      <c r="M2377" s="69"/>
      <c r="N2377" s="69"/>
      <c r="O2377" s="69"/>
      <c r="P2377" s="534"/>
      <c r="Q2377" s="274"/>
      <c r="R2377" s="472"/>
      <c r="S2377" s="535"/>
      <c r="T2377" s="535"/>
      <c r="U2377" s="536"/>
      <c r="V2377" s="474"/>
      <c r="Y2377" s="89"/>
      <c r="Z2377" s="60"/>
      <c r="AA2377" s="60"/>
      <c r="AB2377" s="60"/>
      <c r="AC2377" s="30"/>
      <c r="AD2377" s="30"/>
      <c r="AE2377" s="475"/>
      <c r="AF2377" s="476"/>
      <c r="AG2377" s="474"/>
      <c r="AH2377" s="138"/>
    </row>
    <row r="2378">
      <c r="A2378" s="103"/>
      <c r="B2378" s="533"/>
      <c r="C2378" s="533"/>
      <c r="D2378" s="103"/>
      <c r="E2378" s="103"/>
      <c r="F2378" s="103"/>
      <c r="G2378" s="103"/>
      <c r="H2378" s="131"/>
      <c r="I2378" s="468"/>
      <c r="J2378" s="16"/>
      <c r="K2378" s="16"/>
      <c r="M2378" s="69"/>
      <c r="N2378" s="69"/>
      <c r="O2378" s="69"/>
      <c r="P2378" s="534"/>
      <c r="Q2378" s="274"/>
      <c r="R2378" s="472"/>
      <c r="S2378" s="535"/>
      <c r="T2378" s="535"/>
      <c r="U2378" s="536"/>
      <c r="V2378" s="474"/>
      <c r="Y2378" s="89"/>
      <c r="Z2378" s="60"/>
      <c r="AA2378" s="60"/>
      <c r="AB2378" s="60"/>
      <c r="AC2378" s="30"/>
      <c r="AD2378" s="30"/>
      <c r="AE2378" s="475"/>
      <c r="AF2378" s="476"/>
      <c r="AG2378" s="474"/>
      <c r="AH2378" s="138"/>
    </row>
    <row r="2379">
      <c r="A2379" s="103"/>
      <c r="B2379" s="533"/>
      <c r="C2379" s="533"/>
      <c r="D2379" s="103"/>
      <c r="E2379" s="103"/>
      <c r="F2379" s="103"/>
      <c r="G2379" s="103"/>
      <c r="H2379" s="131"/>
      <c r="I2379" s="468"/>
      <c r="J2379" s="16"/>
      <c r="K2379" s="16"/>
      <c r="M2379" s="69"/>
      <c r="N2379" s="69"/>
      <c r="O2379" s="69"/>
      <c r="P2379" s="534"/>
      <c r="Q2379" s="274"/>
      <c r="R2379" s="472"/>
      <c r="S2379" s="535"/>
      <c r="T2379" s="535"/>
      <c r="U2379" s="536"/>
      <c r="V2379" s="474"/>
      <c r="Y2379" s="89"/>
      <c r="Z2379" s="60"/>
      <c r="AA2379" s="60"/>
      <c r="AB2379" s="60"/>
      <c r="AC2379" s="30"/>
      <c r="AD2379" s="30"/>
      <c r="AE2379" s="475"/>
      <c r="AF2379" s="476"/>
      <c r="AG2379" s="474"/>
      <c r="AH2379" s="138"/>
    </row>
    <row r="2380">
      <c r="A2380" s="103"/>
      <c r="B2380" s="533"/>
      <c r="C2380" s="533"/>
      <c r="D2380" s="103"/>
      <c r="E2380" s="103"/>
      <c r="F2380" s="103"/>
      <c r="G2380" s="103"/>
      <c r="H2380" s="131"/>
      <c r="I2380" s="468"/>
      <c r="J2380" s="16"/>
      <c r="K2380" s="16"/>
      <c r="M2380" s="69"/>
      <c r="N2380" s="69"/>
      <c r="O2380" s="69"/>
      <c r="P2380" s="534"/>
      <c r="Q2380" s="274"/>
      <c r="R2380" s="472"/>
      <c r="S2380" s="535"/>
      <c r="T2380" s="535"/>
      <c r="U2380" s="536"/>
      <c r="V2380" s="474"/>
      <c r="Y2380" s="89"/>
      <c r="Z2380" s="60"/>
      <c r="AA2380" s="60"/>
      <c r="AB2380" s="60"/>
      <c r="AC2380" s="30"/>
      <c r="AD2380" s="30"/>
      <c r="AE2380" s="475"/>
      <c r="AF2380" s="476"/>
      <c r="AG2380" s="474"/>
      <c r="AH2380" s="138"/>
    </row>
    <row r="2381">
      <c r="A2381" s="103"/>
      <c r="B2381" s="533"/>
      <c r="C2381" s="533"/>
      <c r="D2381" s="103"/>
      <c r="E2381" s="103"/>
      <c r="F2381" s="103"/>
      <c r="G2381" s="103"/>
      <c r="H2381" s="131"/>
      <c r="I2381" s="468"/>
      <c r="J2381" s="16"/>
      <c r="K2381" s="16"/>
      <c r="M2381" s="69"/>
      <c r="N2381" s="69"/>
      <c r="O2381" s="69"/>
      <c r="P2381" s="534"/>
      <c r="Q2381" s="274"/>
      <c r="R2381" s="472"/>
      <c r="S2381" s="535"/>
      <c r="T2381" s="535"/>
      <c r="U2381" s="536"/>
      <c r="V2381" s="474"/>
      <c r="Y2381" s="89"/>
      <c r="Z2381" s="60"/>
      <c r="AA2381" s="60"/>
      <c r="AB2381" s="60"/>
      <c r="AC2381" s="30"/>
      <c r="AD2381" s="30"/>
      <c r="AE2381" s="475"/>
      <c r="AF2381" s="476"/>
      <c r="AG2381" s="474"/>
      <c r="AH2381" s="138"/>
    </row>
    <row r="2382">
      <c r="A2382" s="103"/>
      <c r="B2382" s="533"/>
      <c r="C2382" s="533"/>
      <c r="D2382" s="103"/>
      <c r="E2382" s="103"/>
      <c r="F2382" s="103"/>
      <c r="G2382" s="103"/>
      <c r="H2382" s="131"/>
      <c r="I2382" s="468"/>
      <c r="J2382" s="16"/>
      <c r="K2382" s="16"/>
      <c r="M2382" s="69"/>
      <c r="N2382" s="69"/>
      <c r="O2382" s="69"/>
      <c r="P2382" s="534"/>
      <c r="Q2382" s="274"/>
      <c r="R2382" s="472"/>
      <c r="S2382" s="535"/>
      <c r="T2382" s="535"/>
      <c r="U2382" s="536"/>
      <c r="V2382" s="474"/>
      <c r="Y2382" s="89"/>
      <c r="Z2382" s="60"/>
      <c r="AA2382" s="60"/>
      <c r="AB2382" s="60"/>
      <c r="AC2382" s="30"/>
      <c r="AD2382" s="30"/>
      <c r="AE2382" s="475"/>
      <c r="AF2382" s="476"/>
      <c r="AG2382" s="474"/>
      <c r="AH2382" s="138"/>
    </row>
    <row r="2383">
      <c r="A2383" s="103"/>
      <c r="B2383" s="533"/>
      <c r="C2383" s="533"/>
      <c r="D2383" s="103"/>
      <c r="E2383" s="103"/>
      <c r="F2383" s="103"/>
      <c r="G2383" s="103"/>
      <c r="H2383" s="131"/>
      <c r="I2383" s="468"/>
      <c r="J2383" s="16"/>
      <c r="K2383" s="16"/>
      <c r="M2383" s="69"/>
      <c r="N2383" s="69"/>
      <c r="O2383" s="69"/>
      <c r="P2383" s="534"/>
      <c r="Q2383" s="274"/>
      <c r="R2383" s="472"/>
      <c r="S2383" s="535"/>
      <c r="T2383" s="535"/>
      <c r="U2383" s="536"/>
      <c r="V2383" s="474"/>
      <c r="Y2383" s="89"/>
      <c r="Z2383" s="60"/>
      <c r="AA2383" s="60"/>
      <c r="AB2383" s="60"/>
      <c r="AC2383" s="30"/>
      <c r="AD2383" s="30"/>
      <c r="AE2383" s="475"/>
      <c r="AF2383" s="476"/>
      <c r="AG2383" s="474"/>
      <c r="AH2383" s="138"/>
    </row>
    <row r="2384">
      <c r="A2384" s="103"/>
      <c r="B2384" s="533"/>
      <c r="C2384" s="533"/>
      <c r="D2384" s="103"/>
      <c r="E2384" s="103"/>
      <c r="F2384" s="103"/>
      <c r="G2384" s="103"/>
      <c r="H2384" s="131"/>
      <c r="I2384" s="468"/>
      <c r="J2384" s="16"/>
      <c r="K2384" s="16"/>
      <c r="M2384" s="69"/>
      <c r="N2384" s="69"/>
      <c r="O2384" s="69"/>
      <c r="P2384" s="534"/>
      <c r="Q2384" s="274"/>
      <c r="R2384" s="472"/>
      <c r="S2384" s="535"/>
      <c r="T2384" s="535"/>
      <c r="U2384" s="536"/>
      <c r="V2384" s="474"/>
      <c r="Y2384" s="89"/>
      <c r="Z2384" s="60"/>
      <c r="AA2384" s="60"/>
      <c r="AB2384" s="60"/>
      <c r="AC2384" s="30"/>
      <c r="AD2384" s="30"/>
      <c r="AE2384" s="475"/>
      <c r="AF2384" s="476"/>
      <c r="AG2384" s="474"/>
      <c r="AH2384" s="138"/>
    </row>
    <row r="2385">
      <c r="A2385" s="103"/>
      <c r="B2385" s="533"/>
      <c r="C2385" s="533"/>
      <c r="D2385" s="103"/>
      <c r="E2385" s="103"/>
      <c r="F2385" s="103"/>
      <c r="G2385" s="103"/>
      <c r="H2385" s="131"/>
      <c r="I2385" s="468"/>
      <c r="J2385" s="16"/>
      <c r="K2385" s="16"/>
      <c r="M2385" s="69"/>
      <c r="N2385" s="69"/>
      <c r="O2385" s="69"/>
      <c r="P2385" s="534"/>
      <c r="Q2385" s="274"/>
      <c r="R2385" s="472"/>
      <c r="S2385" s="535"/>
      <c r="T2385" s="535"/>
      <c r="U2385" s="536"/>
      <c r="V2385" s="474"/>
      <c r="Y2385" s="89"/>
      <c r="Z2385" s="60"/>
      <c r="AA2385" s="60"/>
      <c r="AB2385" s="60"/>
      <c r="AC2385" s="30"/>
      <c r="AD2385" s="30"/>
      <c r="AE2385" s="475"/>
      <c r="AF2385" s="476"/>
      <c r="AG2385" s="474"/>
      <c r="AH2385" s="138"/>
    </row>
    <row r="2386">
      <c r="A2386" s="103"/>
      <c r="B2386" s="533"/>
      <c r="C2386" s="533"/>
      <c r="D2386" s="103"/>
      <c r="E2386" s="103"/>
      <c r="F2386" s="103"/>
      <c r="G2386" s="103"/>
      <c r="H2386" s="131"/>
      <c r="I2386" s="468"/>
      <c r="J2386" s="16"/>
      <c r="K2386" s="16"/>
      <c r="M2386" s="69"/>
      <c r="N2386" s="69"/>
      <c r="O2386" s="69"/>
      <c r="P2386" s="534"/>
      <c r="Q2386" s="274"/>
      <c r="R2386" s="472"/>
      <c r="S2386" s="535"/>
      <c r="T2386" s="535"/>
      <c r="U2386" s="536"/>
      <c r="V2386" s="474"/>
      <c r="Y2386" s="89"/>
      <c r="Z2386" s="60"/>
      <c r="AA2386" s="60"/>
      <c r="AB2386" s="60"/>
      <c r="AC2386" s="30"/>
      <c r="AD2386" s="30"/>
      <c r="AE2386" s="475"/>
      <c r="AF2386" s="476"/>
      <c r="AG2386" s="474"/>
      <c r="AH2386" s="138"/>
    </row>
    <row r="2387">
      <c r="A2387" s="103"/>
      <c r="B2387" s="533"/>
      <c r="C2387" s="533"/>
      <c r="D2387" s="103"/>
      <c r="E2387" s="103"/>
      <c r="F2387" s="103"/>
      <c r="G2387" s="103"/>
      <c r="H2387" s="131"/>
      <c r="I2387" s="468"/>
      <c r="J2387" s="16"/>
      <c r="K2387" s="16"/>
      <c r="M2387" s="69"/>
      <c r="N2387" s="69"/>
      <c r="O2387" s="69"/>
      <c r="P2387" s="534"/>
      <c r="Q2387" s="274"/>
      <c r="R2387" s="472"/>
      <c r="S2387" s="535"/>
      <c r="T2387" s="535"/>
      <c r="U2387" s="536"/>
      <c r="V2387" s="474"/>
      <c r="Y2387" s="89"/>
      <c r="Z2387" s="60"/>
      <c r="AA2387" s="60"/>
      <c r="AB2387" s="60"/>
      <c r="AC2387" s="30"/>
      <c r="AD2387" s="30"/>
      <c r="AE2387" s="475"/>
      <c r="AF2387" s="476"/>
      <c r="AG2387" s="474"/>
      <c r="AH2387" s="138"/>
    </row>
    <row r="2388">
      <c r="A2388" s="103"/>
      <c r="B2388" s="533"/>
      <c r="C2388" s="533"/>
      <c r="D2388" s="103"/>
      <c r="E2388" s="103"/>
      <c r="F2388" s="103"/>
      <c r="G2388" s="103"/>
      <c r="H2388" s="131"/>
      <c r="I2388" s="468"/>
      <c r="J2388" s="16"/>
      <c r="K2388" s="16"/>
      <c r="M2388" s="69"/>
      <c r="N2388" s="69"/>
      <c r="O2388" s="69"/>
      <c r="P2388" s="534"/>
      <c r="Q2388" s="274"/>
      <c r="R2388" s="472"/>
      <c r="S2388" s="535"/>
      <c r="T2388" s="535"/>
      <c r="U2388" s="536"/>
      <c r="V2388" s="474"/>
      <c r="Y2388" s="89"/>
      <c r="Z2388" s="60"/>
      <c r="AA2388" s="60"/>
      <c r="AB2388" s="60"/>
      <c r="AC2388" s="30"/>
      <c r="AD2388" s="30"/>
      <c r="AE2388" s="475"/>
      <c r="AF2388" s="476"/>
      <c r="AG2388" s="474"/>
      <c r="AH2388" s="138"/>
    </row>
    <row r="2389">
      <c r="A2389" s="103"/>
      <c r="B2389" s="533"/>
      <c r="C2389" s="533"/>
      <c r="D2389" s="103"/>
      <c r="E2389" s="103"/>
      <c r="F2389" s="103"/>
      <c r="G2389" s="103"/>
      <c r="H2389" s="131"/>
      <c r="I2389" s="468"/>
      <c r="J2389" s="16"/>
      <c r="K2389" s="16"/>
      <c r="M2389" s="69"/>
      <c r="N2389" s="69"/>
      <c r="O2389" s="69"/>
      <c r="P2389" s="534"/>
      <c r="Q2389" s="274"/>
      <c r="R2389" s="472"/>
      <c r="S2389" s="535"/>
      <c r="T2389" s="535"/>
      <c r="U2389" s="536"/>
      <c r="V2389" s="474"/>
      <c r="Y2389" s="89"/>
      <c r="Z2389" s="60"/>
      <c r="AA2389" s="60"/>
      <c r="AB2389" s="60"/>
      <c r="AC2389" s="30"/>
      <c r="AD2389" s="30"/>
      <c r="AE2389" s="475"/>
      <c r="AF2389" s="476"/>
      <c r="AG2389" s="474"/>
      <c r="AH2389" s="138"/>
    </row>
    <row r="2390">
      <c r="A2390" s="103"/>
      <c r="B2390" s="533"/>
      <c r="C2390" s="533"/>
      <c r="D2390" s="103"/>
      <c r="E2390" s="103"/>
      <c r="F2390" s="103"/>
      <c r="G2390" s="103"/>
      <c r="H2390" s="131"/>
      <c r="I2390" s="468"/>
      <c r="J2390" s="16"/>
      <c r="K2390" s="16"/>
      <c r="M2390" s="69"/>
      <c r="N2390" s="69"/>
      <c r="O2390" s="69"/>
      <c r="P2390" s="534"/>
      <c r="Q2390" s="274"/>
      <c r="R2390" s="472"/>
      <c r="S2390" s="535"/>
      <c r="T2390" s="535"/>
      <c r="U2390" s="536"/>
      <c r="V2390" s="474"/>
      <c r="Y2390" s="89"/>
      <c r="Z2390" s="60"/>
      <c r="AA2390" s="60"/>
      <c r="AB2390" s="60"/>
      <c r="AC2390" s="30"/>
      <c r="AD2390" s="30"/>
      <c r="AE2390" s="475"/>
      <c r="AF2390" s="476"/>
      <c r="AG2390" s="474"/>
      <c r="AH2390" s="138"/>
    </row>
    <row r="2391">
      <c r="A2391" s="103"/>
      <c r="B2391" s="533"/>
      <c r="C2391" s="533"/>
      <c r="D2391" s="103"/>
      <c r="E2391" s="103"/>
      <c r="F2391" s="103"/>
      <c r="G2391" s="103"/>
      <c r="H2391" s="131"/>
      <c r="I2391" s="468"/>
      <c r="J2391" s="16"/>
      <c r="K2391" s="16"/>
      <c r="M2391" s="69"/>
      <c r="N2391" s="69"/>
      <c r="O2391" s="69"/>
      <c r="P2391" s="534"/>
      <c r="Q2391" s="274"/>
      <c r="R2391" s="472"/>
      <c r="S2391" s="535"/>
      <c r="T2391" s="535"/>
      <c r="U2391" s="536"/>
      <c r="V2391" s="474"/>
      <c r="Y2391" s="89"/>
      <c r="Z2391" s="60"/>
      <c r="AA2391" s="60"/>
      <c r="AB2391" s="60"/>
      <c r="AC2391" s="30"/>
      <c r="AD2391" s="30"/>
      <c r="AE2391" s="475"/>
      <c r="AF2391" s="476"/>
      <c r="AG2391" s="474"/>
      <c r="AH2391" s="138"/>
    </row>
    <row r="2392">
      <c r="A2392" s="103"/>
      <c r="B2392" s="533"/>
      <c r="C2392" s="533"/>
      <c r="D2392" s="103"/>
      <c r="E2392" s="103"/>
      <c r="F2392" s="103"/>
      <c r="G2392" s="103"/>
      <c r="H2392" s="131"/>
      <c r="I2392" s="468"/>
      <c r="J2392" s="16"/>
      <c r="K2392" s="16"/>
      <c r="M2392" s="69"/>
      <c r="N2392" s="69"/>
      <c r="O2392" s="69"/>
      <c r="P2392" s="534"/>
      <c r="Q2392" s="274"/>
      <c r="R2392" s="472"/>
      <c r="S2392" s="535"/>
      <c r="T2392" s="535"/>
      <c r="U2392" s="536"/>
      <c r="V2392" s="474"/>
      <c r="Y2392" s="89"/>
      <c r="Z2392" s="60"/>
      <c r="AA2392" s="60"/>
      <c r="AB2392" s="60"/>
      <c r="AC2392" s="30"/>
      <c r="AD2392" s="30"/>
      <c r="AE2392" s="475"/>
      <c r="AF2392" s="476"/>
      <c r="AG2392" s="474"/>
      <c r="AH2392" s="138"/>
    </row>
    <row r="2393">
      <c r="A2393" s="103"/>
      <c r="B2393" s="533"/>
      <c r="C2393" s="533"/>
      <c r="D2393" s="103"/>
      <c r="E2393" s="103"/>
      <c r="F2393" s="103"/>
      <c r="G2393" s="103"/>
      <c r="H2393" s="131"/>
      <c r="I2393" s="468"/>
      <c r="J2393" s="16"/>
      <c r="K2393" s="16"/>
      <c r="M2393" s="69"/>
      <c r="N2393" s="69"/>
      <c r="O2393" s="69"/>
      <c r="P2393" s="534"/>
      <c r="Q2393" s="274"/>
      <c r="R2393" s="472"/>
      <c r="S2393" s="535"/>
      <c r="T2393" s="535"/>
      <c r="U2393" s="536"/>
      <c r="V2393" s="474"/>
      <c r="Y2393" s="89"/>
      <c r="Z2393" s="60"/>
      <c r="AA2393" s="60"/>
      <c r="AB2393" s="60"/>
      <c r="AC2393" s="30"/>
      <c r="AD2393" s="30"/>
      <c r="AE2393" s="475"/>
      <c r="AF2393" s="476"/>
      <c r="AG2393" s="474"/>
      <c r="AH2393" s="138"/>
    </row>
    <row r="2394">
      <c r="A2394" s="103"/>
      <c r="B2394" s="533"/>
      <c r="C2394" s="533"/>
      <c r="D2394" s="103"/>
      <c r="E2394" s="103"/>
      <c r="F2394" s="103"/>
      <c r="G2394" s="103"/>
      <c r="H2394" s="131"/>
      <c r="I2394" s="468"/>
      <c r="J2394" s="16"/>
      <c r="K2394" s="16"/>
      <c r="M2394" s="69"/>
      <c r="N2394" s="69"/>
      <c r="O2394" s="69"/>
      <c r="P2394" s="534"/>
      <c r="Q2394" s="274"/>
      <c r="R2394" s="472"/>
      <c r="S2394" s="535"/>
      <c r="T2394" s="535"/>
      <c r="U2394" s="536"/>
      <c r="V2394" s="474"/>
      <c r="Y2394" s="89"/>
      <c r="Z2394" s="60"/>
      <c r="AA2394" s="60"/>
      <c r="AB2394" s="60"/>
      <c r="AC2394" s="30"/>
      <c r="AD2394" s="30"/>
      <c r="AE2394" s="475"/>
      <c r="AF2394" s="476"/>
      <c r="AG2394" s="474"/>
      <c r="AH2394" s="138"/>
    </row>
    <row r="2395">
      <c r="A2395" s="103"/>
      <c r="B2395" s="533"/>
      <c r="C2395" s="533"/>
      <c r="D2395" s="103"/>
      <c r="E2395" s="103"/>
      <c r="F2395" s="103"/>
      <c r="G2395" s="103"/>
      <c r="H2395" s="131"/>
      <c r="I2395" s="468"/>
      <c r="J2395" s="16"/>
      <c r="K2395" s="16"/>
      <c r="M2395" s="69"/>
      <c r="N2395" s="69"/>
      <c r="O2395" s="69"/>
      <c r="P2395" s="534"/>
      <c r="Q2395" s="274"/>
      <c r="R2395" s="472"/>
      <c r="S2395" s="535"/>
      <c r="T2395" s="535"/>
      <c r="U2395" s="536"/>
      <c r="V2395" s="474"/>
      <c r="Y2395" s="89"/>
      <c r="Z2395" s="60"/>
      <c r="AA2395" s="60"/>
      <c r="AB2395" s="60"/>
      <c r="AC2395" s="30"/>
      <c r="AD2395" s="30"/>
      <c r="AE2395" s="475"/>
      <c r="AF2395" s="476"/>
      <c r="AG2395" s="474"/>
      <c r="AH2395" s="138"/>
    </row>
    <row r="2396">
      <c r="A2396" s="103"/>
      <c r="B2396" s="533"/>
      <c r="C2396" s="533"/>
      <c r="D2396" s="103"/>
      <c r="E2396" s="103"/>
      <c r="F2396" s="103"/>
      <c r="G2396" s="103"/>
      <c r="H2396" s="131"/>
      <c r="I2396" s="468"/>
      <c r="J2396" s="16"/>
      <c r="K2396" s="16"/>
      <c r="M2396" s="69"/>
      <c r="N2396" s="69"/>
      <c r="O2396" s="69"/>
      <c r="P2396" s="534"/>
      <c r="Q2396" s="274"/>
      <c r="R2396" s="472"/>
      <c r="S2396" s="535"/>
      <c r="T2396" s="535"/>
      <c r="U2396" s="536"/>
      <c r="V2396" s="474"/>
      <c r="Y2396" s="89"/>
      <c r="Z2396" s="60"/>
      <c r="AA2396" s="60"/>
      <c r="AB2396" s="60"/>
      <c r="AC2396" s="30"/>
      <c r="AD2396" s="30"/>
      <c r="AE2396" s="475"/>
      <c r="AF2396" s="476"/>
      <c r="AG2396" s="474"/>
      <c r="AH2396" s="138"/>
    </row>
    <row r="2397">
      <c r="A2397" s="103"/>
      <c r="B2397" s="533"/>
      <c r="C2397" s="533"/>
      <c r="D2397" s="103"/>
      <c r="E2397" s="103"/>
      <c r="F2397" s="103"/>
      <c r="G2397" s="103"/>
      <c r="H2397" s="131"/>
      <c r="I2397" s="468"/>
      <c r="J2397" s="16"/>
      <c r="K2397" s="16"/>
      <c r="M2397" s="69"/>
      <c r="N2397" s="69"/>
      <c r="O2397" s="69"/>
      <c r="P2397" s="534"/>
      <c r="Q2397" s="274"/>
      <c r="R2397" s="472"/>
      <c r="S2397" s="535"/>
      <c r="T2397" s="535"/>
      <c r="U2397" s="536"/>
      <c r="V2397" s="474"/>
      <c r="Y2397" s="89"/>
      <c r="Z2397" s="60"/>
      <c r="AA2397" s="60"/>
      <c r="AB2397" s="60"/>
      <c r="AC2397" s="30"/>
      <c r="AD2397" s="30"/>
      <c r="AE2397" s="475"/>
      <c r="AF2397" s="476"/>
      <c r="AG2397" s="474"/>
      <c r="AH2397" s="138"/>
    </row>
    <row r="2398">
      <c r="A2398" s="103"/>
      <c r="B2398" s="533"/>
      <c r="C2398" s="533"/>
      <c r="D2398" s="103"/>
      <c r="E2398" s="103"/>
      <c r="F2398" s="103"/>
      <c r="G2398" s="103"/>
      <c r="H2398" s="131"/>
      <c r="I2398" s="468"/>
      <c r="J2398" s="16"/>
      <c r="K2398" s="16"/>
      <c r="M2398" s="69"/>
      <c r="N2398" s="69"/>
      <c r="O2398" s="69"/>
      <c r="P2398" s="534"/>
      <c r="Q2398" s="274"/>
      <c r="R2398" s="472"/>
      <c r="S2398" s="535"/>
      <c r="T2398" s="535"/>
      <c r="U2398" s="536"/>
      <c r="V2398" s="474"/>
      <c r="Y2398" s="89"/>
      <c r="Z2398" s="60"/>
      <c r="AA2398" s="60"/>
      <c r="AB2398" s="60"/>
      <c r="AC2398" s="30"/>
      <c r="AD2398" s="30"/>
      <c r="AE2398" s="475"/>
      <c r="AF2398" s="476"/>
      <c r="AG2398" s="474"/>
      <c r="AH2398" s="138"/>
    </row>
    <row r="2399">
      <c r="A2399" s="103"/>
      <c r="B2399" s="533"/>
      <c r="C2399" s="533"/>
      <c r="D2399" s="103"/>
      <c r="E2399" s="103"/>
      <c r="F2399" s="103"/>
      <c r="G2399" s="103"/>
      <c r="H2399" s="131"/>
      <c r="I2399" s="468"/>
      <c r="J2399" s="16"/>
      <c r="K2399" s="16"/>
      <c r="M2399" s="69"/>
      <c r="N2399" s="69"/>
      <c r="O2399" s="69"/>
      <c r="P2399" s="534"/>
      <c r="Q2399" s="274"/>
      <c r="R2399" s="472"/>
      <c r="S2399" s="535"/>
      <c r="T2399" s="535"/>
      <c r="U2399" s="536"/>
      <c r="V2399" s="474"/>
      <c r="Y2399" s="89"/>
      <c r="Z2399" s="60"/>
      <c r="AA2399" s="60"/>
      <c r="AB2399" s="60"/>
      <c r="AC2399" s="30"/>
      <c r="AD2399" s="30"/>
      <c r="AE2399" s="475"/>
      <c r="AF2399" s="476"/>
      <c r="AG2399" s="474"/>
      <c r="AH2399" s="138"/>
    </row>
    <row r="2400">
      <c r="A2400" s="103"/>
      <c r="B2400" s="533"/>
      <c r="C2400" s="533"/>
      <c r="D2400" s="103"/>
      <c r="E2400" s="103"/>
      <c r="F2400" s="103"/>
      <c r="G2400" s="103"/>
      <c r="H2400" s="131"/>
      <c r="I2400" s="468"/>
      <c r="J2400" s="16"/>
      <c r="K2400" s="16"/>
      <c r="M2400" s="69"/>
      <c r="N2400" s="69"/>
      <c r="O2400" s="69"/>
      <c r="P2400" s="534"/>
      <c r="Q2400" s="274"/>
      <c r="R2400" s="472"/>
      <c r="S2400" s="535"/>
      <c r="T2400" s="535"/>
      <c r="U2400" s="536"/>
      <c r="V2400" s="474"/>
      <c r="Y2400" s="89"/>
      <c r="Z2400" s="60"/>
      <c r="AA2400" s="60"/>
      <c r="AB2400" s="60"/>
      <c r="AC2400" s="30"/>
      <c r="AD2400" s="30"/>
      <c r="AE2400" s="475"/>
      <c r="AF2400" s="476"/>
      <c r="AG2400" s="474"/>
      <c r="AH2400" s="138"/>
    </row>
    <row r="2401">
      <c r="A2401" s="103"/>
      <c r="B2401" s="533"/>
      <c r="C2401" s="533"/>
      <c r="D2401" s="103"/>
      <c r="E2401" s="103"/>
      <c r="F2401" s="103"/>
      <c r="G2401" s="103"/>
      <c r="H2401" s="131"/>
      <c r="I2401" s="468"/>
      <c r="J2401" s="16"/>
      <c r="K2401" s="16"/>
      <c r="M2401" s="69"/>
      <c r="N2401" s="69"/>
      <c r="O2401" s="69"/>
      <c r="P2401" s="534"/>
      <c r="Q2401" s="274"/>
      <c r="R2401" s="472"/>
      <c r="S2401" s="535"/>
      <c r="T2401" s="535"/>
      <c r="U2401" s="536"/>
      <c r="V2401" s="474"/>
      <c r="Y2401" s="89"/>
      <c r="Z2401" s="60"/>
      <c r="AA2401" s="60"/>
      <c r="AB2401" s="60"/>
      <c r="AC2401" s="30"/>
      <c r="AD2401" s="30"/>
      <c r="AE2401" s="475"/>
      <c r="AF2401" s="476"/>
      <c r="AG2401" s="474"/>
      <c r="AH2401" s="138"/>
    </row>
    <row r="2402">
      <c r="A2402" s="103"/>
      <c r="B2402" s="533"/>
      <c r="C2402" s="533"/>
      <c r="D2402" s="103"/>
      <c r="E2402" s="103"/>
      <c r="F2402" s="103"/>
      <c r="G2402" s="103"/>
      <c r="H2402" s="131"/>
      <c r="I2402" s="468"/>
      <c r="J2402" s="16"/>
      <c r="K2402" s="16"/>
      <c r="M2402" s="69"/>
      <c r="N2402" s="69"/>
      <c r="O2402" s="69"/>
      <c r="P2402" s="534"/>
      <c r="Q2402" s="274"/>
      <c r="R2402" s="472"/>
      <c r="S2402" s="535"/>
      <c r="T2402" s="535"/>
      <c r="U2402" s="536"/>
      <c r="V2402" s="474"/>
      <c r="Y2402" s="89"/>
      <c r="Z2402" s="60"/>
      <c r="AA2402" s="60"/>
      <c r="AB2402" s="60"/>
      <c r="AC2402" s="30"/>
      <c r="AD2402" s="30"/>
      <c r="AE2402" s="475"/>
      <c r="AF2402" s="476"/>
      <c r="AG2402" s="474"/>
      <c r="AH2402" s="138"/>
    </row>
    <row r="2403">
      <c r="A2403" s="103"/>
      <c r="B2403" s="533"/>
      <c r="C2403" s="533"/>
      <c r="D2403" s="103"/>
      <c r="E2403" s="103"/>
      <c r="F2403" s="103"/>
      <c r="G2403" s="103"/>
      <c r="H2403" s="131"/>
      <c r="I2403" s="468"/>
      <c r="J2403" s="16"/>
      <c r="K2403" s="16"/>
      <c r="M2403" s="69"/>
      <c r="N2403" s="69"/>
      <c r="O2403" s="69"/>
      <c r="P2403" s="534"/>
      <c r="Q2403" s="274"/>
      <c r="R2403" s="472"/>
      <c r="S2403" s="535"/>
      <c r="T2403" s="535"/>
      <c r="U2403" s="536"/>
      <c r="V2403" s="474"/>
      <c r="Y2403" s="89"/>
      <c r="Z2403" s="60"/>
      <c r="AA2403" s="60"/>
      <c r="AB2403" s="60"/>
      <c r="AC2403" s="30"/>
      <c r="AD2403" s="30"/>
      <c r="AE2403" s="475"/>
      <c r="AF2403" s="476"/>
      <c r="AG2403" s="474"/>
      <c r="AH2403" s="138"/>
    </row>
    <row r="2404">
      <c r="A2404" s="103"/>
      <c r="B2404" s="533"/>
      <c r="C2404" s="533"/>
      <c r="D2404" s="103"/>
      <c r="E2404" s="103"/>
      <c r="F2404" s="103"/>
      <c r="G2404" s="103"/>
      <c r="H2404" s="131"/>
      <c r="I2404" s="468"/>
      <c r="J2404" s="16"/>
      <c r="K2404" s="16"/>
      <c r="M2404" s="69"/>
      <c r="N2404" s="69"/>
      <c r="O2404" s="69"/>
      <c r="P2404" s="534"/>
      <c r="Q2404" s="274"/>
      <c r="R2404" s="472"/>
      <c r="S2404" s="535"/>
      <c r="T2404" s="535"/>
      <c r="U2404" s="536"/>
      <c r="V2404" s="474"/>
      <c r="Y2404" s="89"/>
      <c r="Z2404" s="60"/>
      <c r="AA2404" s="60"/>
      <c r="AB2404" s="60"/>
      <c r="AC2404" s="30"/>
      <c r="AD2404" s="30"/>
      <c r="AE2404" s="475"/>
      <c r="AF2404" s="476"/>
      <c r="AG2404" s="474"/>
      <c r="AH2404" s="138"/>
    </row>
    <row r="2405">
      <c r="A2405" s="103"/>
      <c r="B2405" s="533"/>
      <c r="C2405" s="533"/>
      <c r="D2405" s="103"/>
      <c r="E2405" s="103"/>
      <c r="F2405" s="103"/>
      <c r="G2405" s="103"/>
      <c r="H2405" s="131"/>
      <c r="I2405" s="468"/>
      <c r="J2405" s="16"/>
      <c r="K2405" s="16"/>
      <c r="M2405" s="69"/>
      <c r="N2405" s="69"/>
      <c r="O2405" s="69"/>
      <c r="P2405" s="534"/>
      <c r="Q2405" s="274"/>
      <c r="R2405" s="472"/>
      <c r="S2405" s="535"/>
      <c r="T2405" s="535"/>
      <c r="U2405" s="536"/>
      <c r="V2405" s="474"/>
      <c r="Y2405" s="89"/>
      <c r="Z2405" s="60"/>
      <c r="AA2405" s="60"/>
      <c r="AB2405" s="60"/>
      <c r="AC2405" s="30"/>
      <c r="AD2405" s="30"/>
      <c r="AE2405" s="475"/>
      <c r="AF2405" s="476"/>
      <c r="AG2405" s="474"/>
      <c r="AH2405" s="138"/>
    </row>
    <row r="2406">
      <c r="A2406" s="103"/>
      <c r="B2406" s="533"/>
      <c r="C2406" s="533"/>
      <c r="D2406" s="103"/>
      <c r="E2406" s="103"/>
      <c r="F2406" s="103"/>
      <c r="G2406" s="103"/>
      <c r="H2406" s="131"/>
      <c r="I2406" s="468"/>
      <c r="J2406" s="16"/>
      <c r="K2406" s="16"/>
      <c r="M2406" s="69"/>
      <c r="N2406" s="69"/>
      <c r="O2406" s="69"/>
      <c r="P2406" s="534"/>
      <c r="Q2406" s="274"/>
      <c r="R2406" s="472"/>
      <c r="S2406" s="535"/>
      <c r="T2406" s="535"/>
      <c r="U2406" s="536"/>
      <c r="V2406" s="474"/>
      <c r="Y2406" s="89"/>
      <c r="Z2406" s="60"/>
      <c r="AA2406" s="60"/>
      <c r="AB2406" s="60"/>
      <c r="AC2406" s="30"/>
      <c r="AD2406" s="30"/>
      <c r="AE2406" s="475"/>
      <c r="AF2406" s="476"/>
      <c r="AG2406" s="474"/>
      <c r="AH2406" s="138"/>
    </row>
    <row r="2407">
      <c r="A2407" s="103"/>
      <c r="B2407" s="533"/>
      <c r="C2407" s="533"/>
      <c r="D2407" s="103"/>
      <c r="E2407" s="103"/>
      <c r="F2407" s="103"/>
      <c r="G2407" s="103"/>
      <c r="H2407" s="131"/>
      <c r="I2407" s="468"/>
      <c r="J2407" s="16"/>
      <c r="K2407" s="16"/>
      <c r="M2407" s="69"/>
      <c r="N2407" s="69"/>
      <c r="O2407" s="69"/>
      <c r="P2407" s="534"/>
      <c r="Q2407" s="274"/>
      <c r="R2407" s="472"/>
      <c r="S2407" s="535"/>
      <c r="T2407" s="535"/>
      <c r="U2407" s="536"/>
      <c r="V2407" s="474"/>
      <c r="Y2407" s="89"/>
      <c r="Z2407" s="60"/>
      <c r="AA2407" s="60"/>
      <c r="AB2407" s="60"/>
      <c r="AC2407" s="30"/>
      <c r="AD2407" s="30"/>
      <c r="AE2407" s="475"/>
      <c r="AF2407" s="476"/>
      <c r="AG2407" s="474"/>
      <c r="AH2407" s="138"/>
    </row>
    <row r="2408">
      <c r="A2408" s="103"/>
      <c r="B2408" s="533"/>
      <c r="C2408" s="533"/>
      <c r="D2408" s="103"/>
      <c r="E2408" s="103"/>
      <c r="F2408" s="103"/>
      <c r="G2408" s="103"/>
      <c r="H2408" s="131"/>
      <c r="I2408" s="468"/>
      <c r="J2408" s="16"/>
      <c r="K2408" s="16"/>
      <c r="M2408" s="69"/>
      <c r="N2408" s="69"/>
      <c r="O2408" s="69"/>
      <c r="P2408" s="534"/>
      <c r="Q2408" s="274"/>
      <c r="R2408" s="472"/>
      <c r="S2408" s="535"/>
      <c r="T2408" s="535"/>
      <c r="U2408" s="536"/>
      <c r="V2408" s="474"/>
      <c r="Y2408" s="89"/>
      <c r="Z2408" s="60"/>
      <c r="AA2408" s="60"/>
      <c r="AB2408" s="60"/>
      <c r="AC2408" s="30"/>
      <c r="AD2408" s="30"/>
      <c r="AE2408" s="475"/>
      <c r="AF2408" s="476"/>
      <c r="AG2408" s="474"/>
      <c r="AH2408" s="138"/>
    </row>
    <row r="2409">
      <c r="A2409" s="103"/>
      <c r="B2409" s="533"/>
      <c r="C2409" s="533"/>
      <c r="D2409" s="103"/>
      <c r="E2409" s="103"/>
      <c r="F2409" s="103"/>
      <c r="G2409" s="103"/>
      <c r="H2409" s="131"/>
      <c r="I2409" s="468"/>
      <c r="J2409" s="16"/>
      <c r="K2409" s="16"/>
      <c r="M2409" s="69"/>
      <c r="N2409" s="69"/>
      <c r="O2409" s="69"/>
      <c r="P2409" s="534"/>
      <c r="Q2409" s="274"/>
      <c r="R2409" s="472"/>
      <c r="S2409" s="535"/>
      <c r="T2409" s="535"/>
      <c r="U2409" s="536"/>
      <c r="V2409" s="474"/>
      <c r="Y2409" s="89"/>
      <c r="Z2409" s="60"/>
      <c r="AA2409" s="60"/>
      <c r="AB2409" s="60"/>
      <c r="AC2409" s="30"/>
      <c r="AD2409" s="30"/>
      <c r="AE2409" s="475"/>
      <c r="AF2409" s="476"/>
      <c r="AG2409" s="474"/>
      <c r="AH2409" s="138"/>
    </row>
    <row r="2410">
      <c r="A2410" s="103"/>
      <c r="B2410" s="533"/>
      <c r="C2410" s="533"/>
      <c r="D2410" s="103"/>
      <c r="E2410" s="103"/>
      <c r="F2410" s="103"/>
      <c r="G2410" s="103"/>
      <c r="H2410" s="131"/>
      <c r="I2410" s="468"/>
      <c r="J2410" s="16"/>
      <c r="K2410" s="16"/>
      <c r="M2410" s="69"/>
      <c r="N2410" s="69"/>
      <c r="O2410" s="69"/>
      <c r="P2410" s="534"/>
      <c r="Q2410" s="274"/>
      <c r="R2410" s="472"/>
      <c r="S2410" s="535"/>
      <c r="T2410" s="535"/>
      <c r="U2410" s="536"/>
      <c r="V2410" s="474"/>
      <c r="Y2410" s="89"/>
      <c r="Z2410" s="60"/>
      <c r="AA2410" s="60"/>
      <c r="AB2410" s="60"/>
      <c r="AC2410" s="30"/>
      <c r="AD2410" s="30"/>
      <c r="AE2410" s="475"/>
      <c r="AF2410" s="476"/>
      <c r="AG2410" s="474"/>
      <c r="AH2410" s="138"/>
    </row>
    <row r="2411">
      <c r="A2411" s="103"/>
      <c r="B2411" s="533"/>
      <c r="C2411" s="533"/>
      <c r="D2411" s="103"/>
      <c r="E2411" s="103"/>
      <c r="F2411" s="103"/>
      <c r="G2411" s="103"/>
      <c r="H2411" s="131"/>
      <c r="I2411" s="468"/>
      <c r="J2411" s="16"/>
      <c r="K2411" s="16"/>
      <c r="M2411" s="69"/>
      <c r="N2411" s="69"/>
      <c r="O2411" s="69"/>
      <c r="P2411" s="534"/>
      <c r="Q2411" s="274"/>
      <c r="R2411" s="472"/>
      <c r="S2411" s="535"/>
      <c r="T2411" s="535"/>
      <c r="U2411" s="536"/>
      <c r="V2411" s="474"/>
      <c r="Y2411" s="89"/>
      <c r="Z2411" s="60"/>
      <c r="AA2411" s="60"/>
      <c r="AB2411" s="60"/>
      <c r="AC2411" s="30"/>
      <c r="AD2411" s="30"/>
      <c r="AE2411" s="475"/>
      <c r="AF2411" s="476"/>
      <c r="AG2411" s="474"/>
      <c r="AH2411" s="138"/>
    </row>
    <row r="2412">
      <c r="A2412" s="103"/>
      <c r="B2412" s="533"/>
      <c r="C2412" s="533"/>
      <c r="D2412" s="103"/>
      <c r="E2412" s="103"/>
      <c r="F2412" s="103"/>
      <c r="G2412" s="103"/>
      <c r="H2412" s="131"/>
      <c r="I2412" s="468"/>
      <c r="J2412" s="16"/>
      <c r="K2412" s="16"/>
      <c r="M2412" s="69"/>
      <c r="N2412" s="69"/>
      <c r="O2412" s="69"/>
      <c r="P2412" s="534"/>
      <c r="Q2412" s="274"/>
      <c r="R2412" s="472"/>
      <c r="S2412" s="535"/>
      <c r="T2412" s="535"/>
      <c r="U2412" s="536"/>
      <c r="V2412" s="474"/>
      <c r="Y2412" s="89"/>
      <c r="Z2412" s="60"/>
      <c r="AA2412" s="60"/>
      <c r="AB2412" s="60"/>
      <c r="AC2412" s="30"/>
      <c r="AD2412" s="30"/>
      <c r="AE2412" s="475"/>
      <c r="AF2412" s="476"/>
      <c r="AG2412" s="474"/>
      <c r="AH2412" s="138"/>
    </row>
    <row r="2413">
      <c r="A2413" s="103"/>
      <c r="B2413" s="533"/>
      <c r="C2413" s="533"/>
      <c r="D2413" s="103"/>
      <c r="E2413" s="103"/>
      <c r="F2413" s="103"/>
      <c r="G2413" s="103"/>
      <c r="H2413" s="131"/>
      <c r="I2413" s="468"/>
      <c r="J2413" s="16"/>
      <c r="K2413" s="16"/>
      <c r="M2413" s="69"/>
      <c r="N2413" s="69"/>
      <c r="O2413" s="69"/>
      <c r="P2413" s="534"/>
      <c r="Q2413" s="274"/>
      <c r="R2413" s="472"/>
      <c r="S2413" s="535"/>
      <c r="T2413" s="535"/>
      <c r="U2413" s="536"/>
      <c r="V2413" s="474"/>
      <c r="Y2413" s="89"/>
      <c r="Z2413" s="60"/>
      <c r="AA2413" s="60"/>
      <c r="AB2413" s="60"/>
      <c r="AC2413" s="30"/>
      <c r="AD2413" s="30"/>
      <c r="AE2413" s="475"/>
      <c r="AF2413" s="476"/>
      <c r="AG2413" s="474"/>
      <c r="AH2413" s="138"/>
    </row>
    <row r="2414">
      <c r="A2414" s="103"/>
      <c r="B2414" s="533"/>
      <c r="C2414" s="533"/>
      <c r="D2414" s="103"/>
      <c r="E2414" s="103"/>
      <c r="F2414" s="103"/>
      <c r="G2414" s="103"/>
      <c r="H2414" s="131"/>
      <c r="I2414" s="468"/>
      <c r="J2414" s="16"/>
      <c r="K2414" s="16"/>
      <c r="M2414" s="69"/>
      <c r="N2414" s="69"/>
      <c r="O2414" s="69"/>
      <c r="P2414" s="534"/>
      <c r="Q2414" s="274"/>
      <c r="R2414" s="472"/>
      <c r="S2414" s="535"/>
      <c r="T2414" s="535"/>
      <c r="U2414" s="536"/>
      <c r="V2414" s="474"/>
      <c r="Y2414" s="89"/>
      <c r="Z2414" s="60"/>
      <c r="AA2414" s="60"/>
      <c r="AB2414" s="60"/>
      <c r="AC2414" s="30"/>
      <c r="AD2414" s="30"/>
      <c r="AE2414" s="475"/>
      <c r="AF2414" s="476"/>
      <c r="AG2414" s="474"/>
      <c r="AH2414" s="138"/>
    </row>
    <row r="2415">
      <c r="A2415" s="103"/>
      <c r="B2415" s="533"/>
      <c r="C2415" s="533"/>
      <c r="D2415" s="103"/>
      <c r="E2415" s="103"/>
      <c r="F2415" s="103"/>
      <c r="G2415" s="103"/>
      <c r="H2415" s="131"/>
      <c r="I2415" s="468"/>
      <c r="J2415" s="16"/>
      <c r="K2415" s="16"/>
      <c r="M2415" s="69"/>
      <c r="N2415" s="69"/>
      <c r="O2415" s="69"/>
      <c r="P2415" s="534"/>
      <c r="Q2415" s="274"/>
      <c r="R2415" s="472"/>
      <c r="S2415" s="535"/>
      <c r="T2415" s="535"/>
      <c r="U2415" s="536"/>
      <c r="V2415" s="474"/>
      <c r="Y2415" s="89"/>
      <c r="Z2415" s="60"/>
      <c r="AA2415" s="60"/>
      <c r="AB2415" s="60"/>
      <c r="AC2415" s="30"/>
      <c r="AD2415" s="30"/>
      <c r="AE2415" s="475"/>
      <c r="AF2415" s="476"/>
      <c r="AG2415" s="474"/>
      <c r="AH2415" s="138"/>
    </row>
    <row r="2416">
      <c r="A2416" s="103"/>
      <c r="B2416" s="533"/>
      <c r="C2416" s="533"/>
      <c r="D2416" s="103"/>
      <c r="E2416" s="103"/>
      <c r="F2416" s="103"/>
      <c r="G2416" s="103"/>
      <c r="H2416" s="131"/>
      <c r="I2416" s="468"/>
      <c r="J2416" s="16"/>
      <c r="K2416" s="16"/>
      <c r="M2416" s="69"/>
      <c r="N2416" s="69"/>
      <c r="O2416" s="69"/>
      <c r="P2416" s="534"/>
      <c r="Q2416" s="274"/>
      <c r="R2416" s="472"/>
      <c r="S2416" s="535"/>
      <c r="T2416" s="535"/>
      <c r="U2416" s="536"/>
      <c r="V2416" s="474"/>
      <c r="Y2416" s="89"/>
      <c r="Z2416" s="60"/>
      <c r="AA2416" s="60"/>
      <c r="AB2416" s="60"/>
      <c r="AC2416" s="30"/>
      <c r="AD2416" s="30"/>
      <c r="AE2416" s="475"/>
      <c r="AF2416" s="476"/>
      <c r="AG2416" s="474"/>
      <c r="AH2416" s="138"/>
    </row>
    <row r="2417">
      <c r="A2417" s="103"/>
      <c r="B2417" s="533"/>
      <c r="C2417" s="533"/>
      <c r="D2417" s="103"/>
      <c r="E2417" s="103"/>
      <c r="F2417" s="103"/>
      <c r="G2417" s="103"/>
      <c r="H2417" s="131"/>
      <c r="I2417" s="468"/>
      <c r="J2417" s="16"/>
      <c r="K2417" s="16"/>
      <c r="M2417" s="69"/>
      <c r="N2417" s="69"/>
      <c r="O2417" s="69"/>
      <c r="P2417" s="534"/>
      <c r="Q2417" s="274"/>
      <c r="R2417" s="472"/>
      <c r="S2417" s="535"/>
      <c r="T2417" s="535"/>
      <c r="U2417" s="536"/>
      <c r="V2417" s="474"/>
      <c r="Y2417" s="89"/>
      <c r="Z2417" s="60"/>
      <c r="AA2417" s="60"/>
      <c r="AB2417" s="60"/>
      <c r="AC2417" s="30"/>
      <c r="AD2417" s="30"/>
      <c r="AE2417" s="475"/>
      <c r="AF2417" s="476"/>
      <c r="AG2417" s="474"/>
      <c r="AH2417" s="138"/>
    </row>
    <row r="2418">
      <c r="A2418" s="103"/>
      <c r="B2418" s="533"/>
      <c r="C2418" s="533"/>
      <c r="D2418" s="103"/>
      <c r="E2418" s="103"/>
      <c r="F2418" s="103"/>
      <c r="G2418" s="103"/>
      <c r="H2418" s="131"/>
      <c r="I2418" s="468"/>
      <c r="J2418" s="16"/>
      <c r="K2418" s="16"/>
      <c r="M2418" s="69"/>
      <c r="N2418" s="69"/>
      <c r="O2418" s="69"/>
      <c r="P2418" s="534"/>
      <c r="Q2418" s="274"/>
      <c r="R2418" s="472"/>
      <c r="S2418" s="535"/>
      <c r="T2418" s="535"/>
      <c r="U2418" s="536"/>
      <c r="V2418" s="474"/>
      <c r="Y2418" s="89"/>
      <c r="Z2418" s="60"/>
      <c r="AA2418" s="60"/>
      <c r="AB2418" s="60"/>
      <c r="AC2418" s="30"/>
      <c r="AD2418" s="30"/>
      <c r="AE2418" s="475"/>
      <c r="AF2418" s="476"/>
      <c r="AG2418" s="474"/>
      <c r="AH2418" s="138"/>
    </row>
    <row r="2419">
      <c r="A2419" s="103"/>
      <c r="B2419" s="533"/>
      <c r="C2419" s="533"/>
      <c r="D2419" s="103"/>
      <c r="E2419" s="103"/>
      <c r="F2419" s="103"/>
      <c r="G2419" s="103"/>
      <c r="H2419" s="131"/>
      <c r="I2419" s="468"/>
      <c r="J2419" s="16"/>
      <c r="K2419" s="16"/>
      <c r="M2419" s="69"/>
      <c r="N2419" s="69"/>
      <c r="O2419" s="69"/>
      <c r="P2419" s="534"/>
      <c r="Q2419" s="274"/>
      <c r="R2419" s="472"/>
      <c r="S2419" s="535"/>
      <c r="T2419" s="535"/>
      <c r="U2419" s="536"/>
      <c r="V2419" s="474"/>
      <c r="Y2419" s="89"/>
      <c r="Z2419" s="60"/>
      <c r="AA2419" s="60"/>
      <c r="AB2419" s="60"/>
      <c r="AC2419" s="30"/>
      <c r="AD2419" s="30"/>
      <c r="AE2419" s="475"/>
      <c r="AF2419" s="476"/>
      <c r="AG2419" s="474"/>
      <c r="AH2419" s="138"/>
    </row>
    <row r="2420">
      <c r="A2420" s="103"/>
      <c r="B2420" s="533"/>
      <c r="C2420" s="533"/>
      <c r="D2420" s="103"/>
      <c r="E2420" s="103"/>
      <c r="F2420" s="103"/>
      <c r="G2420" s="103"/>
      <c r="H2420" s="131"/>
      <c r="I2420" s="468"/>
      <c r="J2420" s="16"/>
      <c r="K2420" s="16"/>
      <c r="M2420" s="69"/>
      <c r="N2420" s="69"/>
      <c r="O2420" s="69"/>
      <c r="P2420" s="534"/>
      <c r="Q2420" s="274"/>
      <c r="R2420" s="472"/>
      <c r="S2420" s="535"/>
      <c r="T2420" s="535"/>
      <c r="U2420" s="536"/>
      <c r="V2420" s="474"/>
      <c r="Y2420" s="89"/>
      <c r="Z2420" s="60"/>
      <c r="AA2420" s="60"/>
      <c r="AB2420" s="60"/>
      <c r="AC2420" s="30"/>
      <c r="AD2420" s="30"/>
      <c r="AE2420" s="475"/>
      <c r="AF2420" s="476"/>
      <c r="AG2420" s="474"/>
      <c r="AH2420" s="138"/>
    </row>
    <row r="2421">
      <c r="A2421" s="103"/>
      <c r="B2421" s="533"/>
      <c r="C2421" s="533"/>
      <c r="D2421" s="103"/>
      <c r="E2421" s="103"/>
      <c r="F2421" s="103"/>
      <c r="G2421" s="103"/>
      <c r="H2421" s="131"/>
      <c r="I2421" s="468"/>
      <c r="J2421" s="16"/>
      <c r="K2421" s="16"/>
      <c r="M2421" s="69"/>
      <c r="N2421" s="69"/>
      <c r="O2421" s="69"/>
      <c r="P2421" s="534"/>
      <c r="Q2421" s="274"/>
      <c r="R2421" s="472"/>
      <c r="S2421" s="535"/>
      <c r="T2421" s="535"/>
      <c r="U2421" s="536"/>
      <c r="V2421" s="474"/>
      <c r="Y2421" s="89"/>
      <c r="Z2421" s="60"/>
      <c r="AA2421" s="60"/>
      <c r="AB2421" s="60"/>
      <c r="AC2421" s="30"/>
      <c r="AD2421" s="30"/>
      <c r="AE2421" s="475"/>
      <c r="AF2421" s="476"/>
      <c r="AG2421" s="474"/>
      <c r="AH2421" s="138"/>
    </row>
    <row r="2422">
      <c r="A2422" s="103"/>
      <c r="B2422" s="533"/>
      <c r="C2422" s="533"/>
      <c r="D2422" s="103"/>
      <c r="E2422" s="103"/>
      <c r="F2422" s="103"/>
      <c r="G2422" s="103"/>
      <c r="H2422" s="131"/>
      <c r="I2422" s="468"/>
      <c r="J2422" s="16"/>
      <c r="K2422" s="16"/>
      <c r="M2422" s="69"/>
      <c r="N2422" s="69"/>
      <c r="O2422" s="69"/>
      <c r="P2422" s="534"/>
      <c r="Q2422" s="274"/>
      <c r="R2422" s="472"/>
      <c r="S2422" s="535"/>
      <c r="T2422" s="535"/>
      <c r="U2422" s="536"/>
      <c r="V2422" s="474"/>
      <c r="Y2422" s="89"/>
      <c r="Z2422" s="60"/>
      <c r="AA2422" s="60"/>
      <c r="AB2422" s="60"/>
      <c r="AC2422" s="30"/>
      <c r="AD2422" s="30"/>
      <c r="AE2422" s="475"/>
      <c r="AF2422" s="476"/>
      <c r="AG2422" s="474"/>
      <c r="AH2422" s="138"/>
    </row>
    <row r="2423">
      <c r="A2423" s="103"/>
      <c r="B2423" s="533"/>
      <c r="C2423" s="533"/>
      <c r="D2423" s="103"/>
      <c r="E2423" s="103"/>
      <c r="F2423" s="103"/>
      <c r="G2423" s="103"/>
      <c r="H2423" s="131"/>
      <c r="I2423" s="468"/>
      <c r="J2423" s="16"/>
      <c r="K2423" s="16"/>
      <c r="M2423" s="69"/>
      <c r="N2423" s="69"/>
      <c r="O2423" s="69"/>
      <c r="P2423" s="534"/>
      <c r="Q2423" s="274"/>
      <c r="R2423" s="472"/>
      <c r="S2423" s="535"/>
      <c r="T2423" s="535"/>
      <c r="U2423" s="536"/>
      <c r="V2423" s="474"/>
      <c r="Y2423" s="89"/>
      <c r="Z2423" s="60"/>
      <c r="AA2423" s="60"/>
      <c r="AB2423" s="60"/>
      <c r="AC2423" s="30"/>
      <c r="AD2423" s="30"/>
      <c r="AE2423" s="475"/>
      <c r="AF2423" s="476"/>
      <c r="AG2423" s="474"/>
      <c r="AH2423" s="138"/>
    </row>
    <row r="2424">
      <c r="A2424" s="103"/>
      <c r="B2424" s="533"/>
      <c r="C2424" s="533"/>
      <c r="D2424" s="103"/>
      <c r="E2424" s="103"/>
      <c r="F2424" s="103"/>
      <c r="G2424" s="103"/>
      <c r="H2424" s="131"/>
      <c r="I2424" s="468"/>
      <c r="J2424" s="16"/>
      <c r="K2424" s="16"/>
      <c r="M2424" s="69"/>
      <c r="N2424" s="69"/>
      <c r="O2424" s="69"/>
      <c r="P2424" s="534"/>
      <c r="Q2424" s="274"/>
      <c r="R2424" s="472"/>
      <c r="S2424" s="535"/>
      <c r="T2424" s="535"/>
      <c r="U2424" s="536"/>
      <c r="V2424" s="474"/>
      <c r="Y2424" s="89"/>
      <c r="Z2424" s="60"/>
      <c r="AA2424" s="60"/>
      <c r="AB2424" s="60"/>
      <c r="AC2424" s="30"/>
      <c r="AD2424" s="30"/>
      <c r="AE2424" s="475"/>
      <c r="AF2424" s="476"/>
      <c r="AG2424" s="474"/>
      <c r="AH2424" s="138"/>
    </row>
    <row r="2425">
      <c r="A2425" s="103"/>
      <c r="B2425" s="533"/>
      <c r="C2425" s="533"/>
      <c r="D2425" s="103"/>
      <c r="E2425" s="103"/>
      <c r="F2425" s="103"/>
      <c r="G2425" s="103"/>
      <c r="H2425" s="131"/>
      <c r="I2425" s="468"/>
      <c r="J2425" s="16"/>
      <c r="K2425" s="16"/>
      <c r="M2425" s="69"/>
      <c r="N2425" s="69"/>
      <c r="O2425" s="69"/>
      <c r="P2425" s="534"/>
      <c r="Q2425" s="274"/>
      <c r="R2425" s="472"/>
      <c r="S2425" s="535"/>
      <c r="T2425" s="535"/>
      <c r="U2425" s="536"/>
      <c r="V2425" s="474"/>
      <c r="Y2425" s="89"/>
      <c r="Z2425" s="60"/>
      <c r="AA2425" s="60"/>
      <c r="AB2425" s="60"/>
      <c r="AC2425" s="30"/>
      <c r="AD2425" s="30"/>
      <c r="AE2425" s="475"/>
      <c r="AF2425" s="476"/>
      <c r="AG2425" s="474"/>
      <c r="AH2425" s="138"/>
    </row>
    <row r="2426">
      <c r="A2426" s="103"/>
      <c r="B2426" s="533"/>
      <c r="C2426" s="533"/>
      <c r="D2426" s="103"/>
      <c r="E2426" s="103"/>
      <c r="F2426" s="103"/>
      <c r="G2426" s="103"/>
      <c r="H2426" s="131"/>
      <c r="I2426" s="468"/>
      <c r="J2426" s="16"/>
      <c r="K2426" s="16"/>
      <c r="M2426" s="69"/>
      <c r="N2426" s="69"/>
      <c r="O2426" s="69"/>
      <c r="P2426" s="534"/>
      <c r="Q2426" s="274"/>
      <c r="R2426" s="472"/>
      <c r="S2426" s="535"/>
      <c r="T2426" s="535"/>
      <c r="U2426" s="536"/>
      <c r="V2426" s="474"/>
      <c r="Y2426" s="89"/>
      <c r="Z2426" s="60"/>
      <c r="AA2426" s="60"/>
      <c r="AB2426" s="60"/>
      <c r="AC2426" s="30"/>
      <c r="AD2426" s="30"/>
      <c r="AE2426" s="475"/>
      <c r="AF2426" s="476"/>
      <c r="AG2426" s="474"/>
      <c r="AH2426" s="138"/>
    </row>
    <row r="2427">
      <c r="A2427" s="103"/>
      <c r="B2427" s="533"/>
      <c r="C2427" s="533"/>
      <c r="D2427" s="103"/>
      <c r="E2427" s="103"/>
      <c r="F2427" s="103"/>
      <c r="G2427" s="103"/>
      <c r="H2427" s="131"/>
      <c r="I2427" s="468"/>
      <c r="J2427" s="16"/>
      <c r="K2427" s="16"/>
      <c r="M2427" s="69"/>
      <c r="N2427" s="69"/>
      <c r="O2427" s="69"/>
      <c r="P2427" s="534"/>
      <c r="Q2427" s="274"/>
      <c r="R2427" s="472"/>
      <c r="S2427" s="535"/>
      <c r="T2427" s="535"/>
      <c r="U2427" s="536"/>
      <c r="V2427" s="474"/>
      <c r="Y2427" s="89"/>
      <c r="Z2427" s="60"/>
      <c r="AA2427" s="60"/>
      <c r="AB2427" s="60"/>
      <c r="AC2427" s="30"/>
      <c r="AD2427" s="30"/>
      <c r="AE2427" s="475"/>
      <c r="AF2427" s="476"/>
      <c r="AG2427" s="474"/>
      <c r="AH2427" s="138"/>
    </row>
    <row r="2428">
      <c r="A2428" s="103"/>
      <c r="B2428" s="533"/>
      <c r="C2428" s="533"/>
      <c r="D2428" s="103"/>
      <c r="E2428" s="103"/>
      <c r="F2428" s="103"/>
      <c r="G2428" s="103"/>
      <c r="H2428" s="131"/>
      <c r="I2428" s="468"/>
      <c r="J2428" s="16"/>
      <c r="K2428" s="16"/>
      <c r="M2428" s="69"/>
      <c r="N2428" s="69"/>
      <c r="O2428" s="69"/>
      <c r="P2428" s="534"/>
      <c r="Q2428" s="274"/>
      <c r="R2428" s="472"/>
      <c r="S2428" s="535"/>
      <c r="T2428" s="535"/>
      <c r="U2428" s="536"/>
      <c r="V2428" s="474"/>
      <c r="Y2428" s="89"/>
      <c r="Z2428" s="60"/>
      <c r="AA2428" s="60"/>
      <c r="AB2428" s="60"/>
      <c r="AC2428" s="30"/>
      <c r="AD2428" s="30"/>
      <c r="AE2428" s="475"/>
      <c r="AF2428" s="476"/>
      <c r="AG2428" s="474"/>
      <c r="AH2428" s="138"/>
    </row>
    <row r="2429">
      <c r="A2429" s="103"/>
      <c r="B2429" s="533"/>
      <c r="C2429" s="533"/>
      <c r="D2429" s="103"/>
      <c r="E2429" s="103"/>
      <c r="F2429" s="103"/>
      <c r="G2429" s="103"/>
      <c r="H2429" s="131"/>
      <c r="I2429" s="468"/>
      <c r="J2429" s="16"/>
      <c r="K2429" s="16"/>
      <c r="M2429" s="69"/>
      <c r="N2429" s="69"/>
      <c r="O2429" s="69"/>
      <c r="P2429" s="534"/>
      <c r="Q2429" s="274"/>
      <c r="R2429" s="472"/>
      <c r="S2429" s="535"/>
      <c r="T2429" s="535"/>
      <c r="U2429" s="536"/>
      <c r="V2429" s="474"/>
      <c r="Y2429" s="89"/>
      <c r="Z2429" s="60"/>
      <c r="AA2429" s="60"/>
      <c r="AB2429" s="60"/>
      <c r="AC2429" s="30"/>
      <c r="AD2429" s="30"/>
      <c r="AE2429" s="475"/>
      <c r="AF2429" s="476"/>
      <c r="AG2429" s="474"/>
      <c r="AH2429" s="138"/>
    </row>
    <row r="2430">
      <c r="A2430" s="103"/>
      <c r="B2430" s="533"/>
      <c r="C2430" s="533"/>
      <c r="D2430" s="103"/>
      <c r="E2430" s="103"/>
      <c r="F2430" s="103"/>
      <c r="G2430" s="103"/>
      <c r="H2430" s="131"/>
      <c r="I2430" s="468"/>
      <c r="J2430" s="16"/>
      <c r="K2430" s="16"/>
      <c r="M2430" s="69"/>
      <c r="N2430" s="69"/>
      <c r="O2430" s="69"/>
      <c r="P2430" s="534"/>
      <c r="Q2430" s="274"/>
      <c r="R2430" s="472"/>
      <c r="S2430" s="535"/>
      <c r="T2430" s="535"/>
      <c r="U2430" s="536"/>
      <c r="V2430" s="474"/>
      <c r="Y2430" s="89"/>
      <c r="Z2430" s="60"/>
      <c r="AA2430" s="60"/>
      <c r="AB2430" s="60"/>
      <c r="AC2430" s="30"/>
      <c r="AD2430" s="30"/>
      <c r="AE2430" s="475"/>
      <c r="AF2430" s="476"/>
      <c r="AG2430" s="474"/>
      <c r="AH2430" s="138"/>
    </row>
    <row r="2431">
      <c r="A2431" s="103"/>
      <c r="B2431" s="533"/>
      <c r="C2431" s="533"/>
      <c r="D2431" s="103"/>
      <c r="E2431" s="103"/>
      <c r="F2431" s="103"/>
      <c r="G2431" s="103"/>
      <c r="H2431" s="131"/>
      <c r="I2431" s="468"/>
      <c r="J2431" s="16"/>
      <c r="K2431" s="16"/>
      <c r="M2431" s="69"/>
      <c r="N2431" s="69"/>
      <c r="O2431" s="69"/>
      <c r="P2431" s="534"/>
      <c r="Q2431" s="274"/>
      <c r="R2431" s="472"/>
      <c r="S2431" s="535"/>
      <c r="T2431" s="535"/>
      <c r="U2431" s="536"/>
      <c r="V2431" s="474"/>
      <c r="Y2431" s="89"/>
      <c r="Z2431" s="60"/>
      <c r="AA2431" s="60"/>
      <c r="AB2431" s="60"/>
      <c r="AC2431" s="30"/>
      <c r="AD2431" s="30"/>
      <c r="AE2431" s="475"/>
      <c r="AF2431" s="476"/>
      <c r="AG2431" s="474"/>
      <c r="AH2431" s="138"/>
    </row>
    <row r="2432">
      <c r="A2432" s="103"/>
      <c r="B2432" s="533"/>
      <c r="C2432" s="533"/>
      <c r="D2432" s="103"/>
      <c r="E2432" s="103"/>
      <c r="F2432" s="103"/>
      <c r="G2432" s="103"/>
      <c r="H2432" s="131"/>
      <c r="I2432" s="468"/>
      <c r="J2432" s="16"/>
      <c r="K2432" s="16"/>
      <c r="M2432" s="69"/>
      <c r="N2432" s="69"/>
      <c r="O2432" s="69"/>
      <c r="P2432" s="534"/>
      <c r="Q2432" s="274"/>
      <c r="R2432" s="472"/>
      <c r="S2432" s="535"/>
      <c r="T2432" s="535"/>
      <c r="U2432" s="536"/>
      <c r="V2432" s="474"/>
      <c r="Y2432" s="89"/>
      <c r="Z2432" s="60"/>
      <c r="AA2432" s="60"/>
      <c r="AB2432" s="60"/>
      <c r="AC2432" s="30"/>
      <c r="AD2432" s="30"/>
      <c r="AE2432" s="475"/>
      <c r="AF2432" s="476"/>
      <c r="AG2432" s="474"/>
      <c r="AH2432" s="138"/>
    </row>
    <row r="2433">
      <c r="A2433" s="103"/>
      <c r="B2433" s="533"/>
      <c r="C2433" s="533"/>
      <c r="D2433" s="103"/>
      <c r="E2433" s="103"/>
      <c r="F2433" s="103"/>
      <c r="G2433" s="103"/>
      <c r="H2433" s="131"/>
      <c r="I2433" s="468"/>
      <c r="J2433" s="16"/>
      <c r="K2433" s="16"/>
      <c r="M2433" s="69"/>
      <c r="N2433" s="69"/>
      <c r="O2433" s="69"/>
      <c r="P2433" s="534"/>
      <c r="Q2433" s="274"/>
      <c r="R2433" s="472"/>
      <c r="S2433" s="535"/>
      <c r="T2433" s="535"/>
      <c r="U2433" s="536"/>
      <c r="V2433" s="474"/>
      <c r="Y2433" s="89"/>
      <c r="Z2433" s="60"/>
      <c r="AA2433" s="60"/>
      <c r="AB2433" s="60"/>
      <c r="AC2433" s="30"/>
      <c r="AD2433" s="30"/>
      <c r="AE2433" s="475"/>
      <c r="AF2433" s="476"/>
      <c r="AG2433" s="474"/>
      <c r="AH2433" s="138"/>
    </row>
    <row r="2434">
      <c r="A2434" s="103"/>
      <c r="B2434" s="533"/>
      <c r="C2434" s="533"/>
      <c r="D2434" s="103"/>
      <c r="E2434" s="103"/>
      <c r="F2434" s="103"/>
      <c r="G2434" s="103"/>
      <c r="H2434" s="131"/>
      <c r="I2434" s="468"/>
      <c r="J2434" s="16"/>
      <c r="K2434" s="16"/>
      <c r="M2434" s="69"/>
      <c r="N2434" s="69"/>
      <c r="O2434" s="69"/>
      <c r="P2434" s="534"/>
      <c r="Q2434" s="274"/>
      <c r="R2434" s="472"/>
      <c r="S2434" s="535"/>
      <c r="T2434" s="535"/>
      <c r="U2434" s="536"/>
      <c r="V2434" s="474"/>
      <c r="Y2434" s="89"/>
      <c r="Z2434" s="60"/>
      <c r="AA2434" s="60"/>
      <c r="AB2434" s="60"/>
      <c r="AC2434" s="30"/>
      <c r="AD2434" s="30"/>
      <c r="AE2434" s="475"/>
      <c r="AF2434" s="476"/>
      <c r="AG2434" s="474"/>
      <c r="AH2434" s="138"/>
    </row>
    <row r="2435">
      <c r="A2435" s="103"/>
      <c r="B2435" s="533"/>
      <c r="C2435" s="533"/>
      <c r="D2435" s="103"/>
      <c r="E2435" s="103"/>
      <c r="F2435" s="103"/>
      <c r="G2435" s="103"/>
      <c r="H2435" s="131"/>
      <c r="I2435" s="468"/>
      <c r="J2435" s="16"/>
      <c r="K2435" s="16"/>
      <c r="M2435" s="69"/>
      <c r="N2435" s="69"/>
      <c r="O2435" s="69"/>
      <c r="P2435" s="534"/>
      <c r="Q2435" s="274"/>
      <c r="R2435" s="472"/>
      <c r="S2435" s="535"/>
      <c r="T2435" s="535"/>
      <c r="U2435" s="536"/>
      <c r="V2435" s="474"/>
      <c r="Y2435" s="89"/>
      <c r="Z2435" s="60"/>
      <c r="AA2435" s="60"/>
      <c r="AB2435" s="60"/>
      <c r="AC2435" s="30"/>
      <c r="AD2435" s="30"/>
      <c r="AE2435" s="475"/>
      <c r="AF2435" s="476"/>
      <c r="AG2435" s="474"/>
      <c r="AH2435" s="138"/>
    </row>
    <row r="2436">
      <c r="A2436" s="103"/>
      <c r="B2436" s="533"/>
      <c r="C2436" s="533"/>
      <c r="D2436" s="103"/>
      <c r="E2436" s="103"/>
      <c r="F2436" s="103"/>
      <c r="G2436" s="103"/>
      <c r="H2436" s="131"/>
      <c r="I2436" s="468"/>
      <c r="J2436" s="16"/>
      <c r="K2436" s="16"/>
      <c r="M2436" s="69"/>
      <c r="N2436" s="69"/>
      <c r="O2436" s="69"/>
      <c r="P2436" s="534"/>
      <c r="Q2436" s="274"/>
      <c r="R2436" s="472"/>
      <c r="S2436" s="535"/>
      <c r="T2436" s="535"/>
      <c r="U2436" s="536"/>
      <c r="V2436" s="474"/>
      <c r="Y2436" s="89"/>
      <c r="Z2436" s="60"/>
      <c r="AA2436" s="60"/>
      <c r="AB2436" s="60"/>
      <c r="AC2436" s="30"/>
      <c r="AD2436" s="30"/>
      <c r="AE2436" s="475"/>
      <c r="AF2436" s="476"/>
      <c r="AG2436" s="474"/>
      <c r="AH2436" s="138"/>
    </row>
    <row r="2437">
      <c r="A2437" s="103"/>
      <c r="B2437" s="533"/>
      <c r="C2437" s="533"/>
      <c r="D2437" s="103"/>
      <c r="E2437" s="103"/>
      <c r="F2437" s="103"/>
      <c r="G2437" s="103"/>
      <c r="H2437" s="131"/>
      <c r="I2437" s="468"/>
      <c r="J2437" s="16"/>
      <c r="K2437" s="16"/>
      <c r="M2437" s="69"/>
      <c r="N2437" s="69"/>
      <c r="O2437" s="69"/>
      <c r="P2437" s="534"/>
      <c r="Q2437" s="274"/>
      <c r="R2437" s="472"/>
      <c r="S2437" s="535"/>
      <c r="T2437" s="535"/>
      <c r="U2437" s="536"/>
      <c r="V2437" s="474"/>
      <c r="Y2437" s="89"/>
      <c r="Z2437" s="60"/>
      <c r="AA2437" s="60"/>
      <c r="AB2437" s="60"/>
      <c r="AC2437" s="30"/>
      <c r="AD2437" s="30"/>
      <c r="AE2437" s="475"/>
      <c r="AF2437" s="476"/>
      <c r="AG2437" s="474"/>
      <c r="AH2437" s="138"/>
    </row>
    <row r="2438">
      <c r="A2438" s="103"/>
      <c r="B2438" s="533"/>
      <c r="C2438" s="533"/>
      <c r="D2438" s="103"/>
      <c r="E2438" s="103"/>
      <c r="F2438" s="103"/>
      <c r="G2438" s="103"/>
      <c r="H2438" s="131"/>
      <c r="I2438" s="468"/>
      <c r="J2438" s="16"/>
      <c r="K2438" s="16"/>
      <c r="M2438" s="69"/>
      <c r="N2438" s="69"/>
      <c r="O2438" s="69"/>
      <c r="P2438" s="534"/>
      <c r="Q2438" s="274"/>
      <c r="R2438" s="472"/>
      <c r="S2438" s="535"/>
      <c r="T2438" s="535"/>
      <c r="U2438" s="536"/>
      <c r="V2438" s="474"/>
      <c r="Y2438" s="89"/>
      <c r="Z2438" s="60"/>
      <c r="AA2438" s="60"/>
      <c r="AB2438" s="60"/>
      <c r="AC2438" s="30"/>
      <c r="AD2438" s="30"/>
      <c r="AE2438" s="475"/>
      <c r="AF2438" s="476"/>
      <c r="AG2438" s="474"/>
      <c r="AH2438" s="138"/>
    </row>
    <row r="2439">
      <c r="A2439" s="103"/>
      <c r="B2439" s="533"/>
      <c r="C2439" s="533"/>
      <c r="D2439" s="103"/>
      <c r="E2439" s="103"/>
      <c r="F2439" s="103"/>
      <c r="G2439" s="103"/>
      <c r="H2439" s="131"/>
      <c r="I2439" s="468"/>
      <c r="J2439" s="16"/>
      <c r="K2439" s="16"/>
      <c r="M2439" s="69"/>
      <c r="N2439" s="69"/>
      <c r="O2439" s="69"/>
      <c r="P2439" s="534"/>
      <c r="Q2439" s="274"/>
      <c r="R2439" s="472"/>
      <c r="S2439" s="535"/>
      <c r="T2439" s="535"/>
      <c r="U2439" s="536"/>
      <c r="V2439" s="474"/>
      <c r="Y2439" s="89"/>
      <c r="Z2439" s="60"/>
      <c r="AA2439" s="60"/>
      <c r="AB2439" s="60"/>
      <c r="AC2439" s="30"/>
      <c r="AD2439" s="30"/>
      <c r="AE2439" s="475"/>
      <c r="AF2439" s="476"/>
      <c r="AG2439" s="474"/>
      <c r="AH2439" s="138"/>
    </row>
    <row r="2440">
      <c r="A2440" s="103"/>
      <c r="B2440" s="533"/>
      <c r="C2440" s="533"/>
      <c r="D2440" s="103"/>
      <c r="E2440" s="103"/>
      <c r="F2440" s="103"/>
      <c r="G2440" s="103"/>
      <c r="H2440" s="131"/>
      <c r="I2440" s="468"/>
      <c r="J2440" s="16"/>
      <c r="K2440" s="16"/>
      <c r="M2440" s="69"/>
      <c r="N2440" s="69"/>
      <c r="O2440" s="69"/>
      <c r="P2440" s="534"/>
      <c r="Q2440" s="274"/>
      <c r="R2440" s="472"/>
      <c r="S2440" s="535"/>
      <c r="T2440" s="535"/>
      <c r="U2440" s="536"/>
      <c r="V2440" s="474"/>
      <c r="Y2440" s="89"/>
      <c r="Z2440" s="60"/>
      <c r="AA2440" s="60"/>
      <c r="AB2440" s="60"/>
      <c r="AC2440" s="30"/>
      <c r="AD2440" s="30"/>
      <c r="AE2440" s="475"/>
      <c r="AF2440" s="476"/>
      <c r="AG2440" s="474"/>
      <c r="AH2440" s="138"/>
    </row>
    <row r="2441">
      <c r="A2441" s="103"/>
      <c r="B2441" s="533"/>
      <c r="C2441" s="533"/>
      <c r="D2441" s="103"/>
      <c r="E2441" s="103"/>
      <c r="F2441" s="103"/>
      <c r="G2441" s="103"/>
      <c r="H2441" s="131"/>
      <c r="I2441" s="468"/>
      <c r="J2441" s="16"/>
      <c r="K2441" s="16"/>
      <c r="M2441" s="69"/>
      <c r="N2441" s="69"/>
      <c r="O2441" s="69"/>
      <c r="P2441" s="534"/>
      <c r="Q2441" s="274"/>
      <c r="R2441" s="472"/>
      <c r="S2441" s="535"/>
      <c r="T2441" s="535"/>
      <c r="U2441" s="536"/>
      <c r="V2441" s="474"/>
      <c r="Y2441" s="89"/>
      <c r="Z2441" s="60"/>
      <c r="AA2441" s="60"/>
      <c r="AB2441" s="60"/>
      <c r="AC2441" s="30"/>
      <c r="AD2441" s="30"/>
      <c r="AE2441" s="475"/>
      <c r="AF2441" s="476"/>
      <c r="AG2441" s="474"/>
      <c r="AH2441" s="138"/>
    </row>
    <row r="2442">
      <c r="A2442" s="103"/>
      <c r="B2442" s="533"/>
      <c r="C2442" s="533"/>
      <c r="D2442" s="103"/>
      <c r="E2442" s="103"/>
      <c r="F2442" s="103"/>
      <c r="G2442" s="103"/>
      <c r="H2442" s="131"/>
      <c r="I2442" s="468"/>
      <c r="J2442" s="16"/>
      <c r="K2442" s="16"/>
      <c r="M2442" s="69"/>
      <c r="N2442" s="69"/>
      <c r="O2442" s="69"/>
      <c r="P2442" s="534"/>
      <c r="Q2442" s="274"/>
      <c r="R2442" s="472"/>
      <c r="S2442" s="535"/>
      <c r="T2442" s="535"/>
      <c r="U2442" s="536"/>
      <c r="V2442" s="474"/>
      <c r="Y2442" s="89"/>
      <c r="Z2442" s="60"/>
      <c r="AA2442" s="60"/>
      <c r="AB2442" s="60"/>
      <c r="AC2442" s="30"/>
      <c r="AD2442" s="30"/>
      <c r="AE2442" s="475"/>
      <c r="AF2442" s="476"/>
      <c r="AG2442" s="474"/>
      <c r="AH2442" s="138"/>
    </row>
    <row r="2443">
      <c r="A2443" s="103"/>
      <c r="B2443" s="533"/>
      <c r="C2443" s="533"/>
      <c r="D2443" s="103"/>
      <c r="E2443" s="103"/>
      <c r="F2443" s="103"/>
      <c r="G2443" s="103"/>
      <c r="H2443" s="131"/>
      <c r="I2443" s="468"/>
      <c r="J2443" s="16"/>
      <c r="K2443" s="16"/>
      <c r="M2443" s="69"/>
      <c r="N2443" s="69"/>
      <c r="O2443" s="69"/>
      <c r="P2443" s="534"/>
      <c r="Q2443" s="274"/>
      <c r="R2443" s="472"/>
      <c r="S2443" s="535"/>
      <c r="T2443" s="535"/>
      <c r="U2443" s="536"/>
      <c r="V2443" s="474"/>
      <c r="Y2443" s="89"/>
      <c r="Z2443" s="60"/>
      <c r="AA2443" s="60"/>
      <c r="AB2443" s="60"/>
      <c r="AC2443" s="30"/>
      <c r="AD2443" s="30"/>
      <c r="AE2443" s="475"/>
      <c r="AF2443" s="476"/>
      <c r="AG2443" s="474"/>
      <c r="AH2443" s="138"/>
    </row>
    <row r="2444">
      <c r="A2444" s="103"/>
      <c r="B2444" s="533"/>
      <c r="C2444" s="533"/>
      <c r="D2444" s="103"/>
      <c r="E2444" s="103"/>
      <c r="F2444" s="103"/>
      <c r="G2444" s="103"/>
      <c r="H2444" s="131"/>
      <c r="I2444" s="468"/>
      <c r="J2444" s="16"/>
      <c r="K2444" s="16"/>
      <c r="M2444" s="69"/>
      <c r="N2444" s="69"/>
      <c r="O2444" s="69"/>
      <c r="P2444" s="534"/>
      <c r="Q2444" s="274"/>
      <c r="R2444" s="472"/>
      <c r="S2444" s="535"/>
      <c r="T2444" s="535"/>
      <c r="U2444" s="536"/>
      <c r="V2444" s="474"/>
      <c r="Y2444" s="89"/>
      <c r="Z2444" s="60"/>
      <c r="AA2444" s="60"/>
      <c r="AB2444" s="60"/>
      <c r="AC2444" s="30"/>
      <c r="AD2444" s="30"/>
      <c r="AE2444" s="475"/>
      <c r="AF2444" s="476"/>
      <c r="AG2444" s="474"/>
      <c r="AH2444" s="138"/>
    </row>
    <row r="2445">
      <c r="A2445" s="103"/>
      <c r="B2445" s="533"/>
      <c r="C2445" s="533"/>
      <c r="D2445" s="103"/>
      <c r="E2445" s="103"/>
      <c r="F2445" s="103"/>
      <c r="G2445" s="103"/>
      <c r="H2445" s="131"/>
      <c r="I2445" s="468"/>
      <c r="J2445" s="16"/>
      <c r="K2445" s="16"/>
      <c r="M2445" s="69"/>
      <c r="N2445" s="69"/>
      <c r="O2445" s="69"/>
      <c r="P2445" s="534"/>
      <c r="Q2445" s="274"/>
      <c r="R2445" s="472"/>
      <c r="S2445" s="535"/>
      <c r="T2445" s="535"/>
      <c r="U2445" s="536"/>
      <c r="V2445" s="474"/>
      <c r="Y2445" s="89"/>
      <c r="Z2445" s="60"/>
      <c r="AA2445" s="60"/>
      <c r="AB2445" s="60"/>
      <c r="AC2445" s="30"/>
      <c r="AD2445" s="30"/>
      <c r="AE2445" s="475"/>
      <c r="AF2445" s="476"/>
      <c r="AG2445" s="474"/>
      <c r="AH2445" s="138"/>
    </row>
    <row r="2446">
      <c r="A2446" s="103"/>
      <c r="B2446" s="533"/>
      <c r="C2446" s="533"/>
      <c r="D2446" s="103"/>
      <c r="E2446" s="103"/>
      <c r="F2446" s="103"/>
      <c r="G2446" s="103"/>
      <c r="H2446" s="131"/>
      <c r="I2446" s="468"/>
      <c r="J2446" s="16"/>
      <c r="K2446" s="16"/>
      <c r="M2446" s="69"/>
      <c r="N2446" s="69"/>
      <c r="O2446" s="69"/>
      <c r="P2446" s="534"/>
      <c r="Q2446" s="274"/>
      <c r="R2446" s="472"/>
      <c r="S2446" s="535"/>
      <c r="T2446" s="535"/>
      <c r="U2446" s="536"/>
      <c r="V2446" s="474"/>
      <c r="Y2446" s="89"/>
      <c r="Z2446" s="60"/>
      <c r="AA2446" s="60"/>
      <c r="AB2446" s="60"/>
      <c r="AC2446" s="30"/>
      <c r="AD2446" s="30"/>
      <c r="AE2446" s="475"/>
      <c r="AF2446" s="476"/>
      <c r="AG2446" s="474"/>
      <c r="AH2446" s="138"/>
    </row>
    <row r="2447">
      <c r="A2447" s="103"/>
      <c r="B2447" s="533"/>
      <c r="C2447" s="533"/>
      <c r="D2447" s="103"/>
      <c r="E2447" s="103"/>
      <c r="F2447" s="103"/>
      <c r="G2447" s="103"/>
      <c r="H2447" s="131"/>
      <c r="I2447" s="468"/>
      <c r="J2447" s="16"/>
      <c r="K2447" s="16"/>
      <c r="M2447" s="69"/>
      <c r="N2447" s="69"/>
      <c r="O2447" s="69"/>
      <c r="P2447" s="534"/>
      <c r="Q2447" s="274"/>
      <c r="R2447" s="472"/>
      <c r="S2447" s="535"/>
      <c r="T2447" s="535"/>
      <c r="U2447" s="536"/>
      <c r="V2447" s="474"/>
      <c r="Y2447" s="89"/>
      <c r="Z2447" s="60"/>
      <c r="AA2447" s="60"/>
      <c r="AB2447" s="60"/>
      <c r="AC2447" s="30"/>
      <c r="AD2447" s="30"/>
      <c r="AE2447" s="475"/>
      <c r="AF2447" s="476"/>
      <c r="AG2447" s="474"/>
      <c r="AH2447" s="138"/>
    </row>
    <row r="2448">
      <c r="A2448" s="103"/>
      <c r="B2448" s="533"/>
      <c r="C2448" s="533"/>
      <c r="D2448" s="103"/>
      <c r="E2448" s="103"/>
      <c r="F2448" s="103"/>
      <c r="G2448" s="103"/>
      <c r="H2448" s="131"/>
      <c r="I2448" s="468"/>
      <c r="J2448" s="16"/>
      <c r="K2448" s="16"/>
      <c r="M2448" s="69"/>
      <c r="N2448" s="69"/>
      <c r="O2448" s="69"/>
      <c r="P2448" s="534"/>
      <c r="Q2448" s="274"/>
      <c r="R2448" s="472"/>
      <c r="S2448" s="535"/>
      <c r="T2448" s="535"/>
      <c r="U2448" s="536"/>
      <c r="V2448" s="474"/>
      <c r="Y2448" s="89"/>
      <c r="Z2448" s="60"/>
      <c r="AA2448" s="60"/>
      <c r="AB2448" s="60"/>
      <c r="AC2448" s="30"/>
      <c r="AD2448" s="30"/>
      <c r="AE2448" s="475"/>
      <c r="AF2448" s="476"/>
      <c r="AG2448" s="474"/>
      <c r="AH2448" s="138"/>
    </row>
    <row r="2449">
      <c r="A2449" s="103"/>
      <c r="B2449" s="533"/>
      <c r="C2449" s="533"/>
      <c r="D2449" s="103"/>
      <c r="E2449" s="103"/>
      <c r="F2449" s="103"/>
      <c r="G2449" s="103"/>
      <c r="H2449" s="131"/>
      <c r="I2449" s="468"/>
      <c r="J2449" s="16"/>
      <c r="K2449" s="16"/>
      <c r="M2449" s="69"/>
      <c r="N2449" s="69"/>
      <c r="O2449" s="69"/>
      <c r="P2449" s="534"/>
      <c r="Q2449" s="274"/>
      <c r="R2449" s="472"/>
      <c r="S2449" s="535"/>
      <c r="T2449" s="535"/>
      <c r="U2449" s="536"/>
      <c r="V2449" s="474"/>
      <c r="Y2449" s="89"/>
      <c r="Z2449" s="60"/>
      <c r="AA2449" s="60"/>
      <c r="AB2449" s="60"/>
      <c r="AC2449" s="30"/>
      <c r="AD2449" s="30"/>
      <c r="AE2449" s="475"/>
      <c r="AF2449" s="476"/>
      <c r="AG2449" s="474"/>
      <c r="AH2449" s="138"/>
    </row>
    <row r="2450">
      <c r="A2450" s="103"/>
      <c r="B2450" s="533"/>
      <c r="C2450" s="533"/>
      <c r="D2450" s="103"/>
      <c r="E2450" s="103"/>
      <c r="F2450" s="103"/>
      <c r="G2450" s="103"/>
      <c r="H2450" s="131"/>
      <c r="I2450" s="468"/>
      <c r="J2450" s="16"/>
      <c r="K2450" s="16"/>
      <c r="M2450" s="69"/>
      <c r="N2450" s="69"/>
      <c r="O2450" s="69"/>
      <c r="P2450" s="534"/>
      <c r="Q2450" s="274"/>
      <c r="R2450" s="472"/>
      <c r="S2450" s="535"/>
      <c r="T2450" s="535"/>
      <c r="U2450" s="536"/>
      <c r="V2450" s="474"/>
      <c r="Y2450" s="89"/>
      <c r="Z2450" s="60"/>
      <c r="AA2450" s="60"/>
      <c r="AB2450" s="60"/>
      <c r="AC2450" s="30"/>
      <c r="AD2450" s="30"/>
      <c r="AE2450" s="475"/>
      <c r="AF2450" s="476"/>
      <c r="AG2450" s="474"/>
      <c r="AH2450" s="138"/>
    </row>
    <row r="2451">
      <c r="A2451" s="103"/>
      <c r="B2451" s="533"/>
      <c r="C2451" s="533"/>
      <c r="D2451" s="103"/>
      <c r="E2451" s="103"/>
      <c r="F2451" s="103"/>
      <c r="G2451" s="103"/>
      <c r="H2451" s="131"/>
      <c r="I2451" s="468"/>
      <c r="J2451" s="16"/>
      <c r="K2451" s="16"/>
      <c r="M2451" s="69"/>
      <c r="N2451" s="69"/>
      <c r="O2451" s="69"/>
      <c r="P2451" s="534"/>
      <c r="Q2451" s="274"/>
      <c r="R2451" s="472"/>
      <c r="S2451" s="535"/>
      <c r="T2451" s="535"/>
      <c r="U2451" s="536"/>
      <c r="V2451" s="474"/>
      <c r="Y2451" s="89"/>
      <c r="Z2451" s="60"/>
      <c r="AA2451" s="60"/>
      <c r="AB2451" s="60"/>
      <c r="AC2451" s="30"/>
      <c r="AD2451" s="30"/>
      <c r="AE2451" s="475"/>
      <c r="AF2451" s="476"/>
      <c r="AG2451" s="474"/>
      <c r="AH2451" s="138"/>
    </row>
    <row r="2452">
      <c r="A2452" s="103"/>
      <c r="B2452" s="533"/>
      <c r="C2452" s="533"/>
      <c r="D2452" s="103"/>
      <c r="E2452" s="103"/>
      <c r="F2452" s="103"/>
      <c r="G2452" s="103"/>
      <c r="H2452" s="131"/>
      <c r="I2452" s="468"/>
      <c r="J2452" s="16"/>
      <c r="K2452" s="16"/>
      <c r="M2452" s="69"/>
      <c r="N2452" s="69"/>
      <c r="O2452" s="69"/>
      <c r="P2452" s="534"/>
      <c r="Q2452" s="274"/>
      <c r="R2452" s="472"/>
      <c r="S2452" s="535"/>
      <c r="T2452" s="535"/>
      <c r="U2452" s="536"/>
      <c r="V2452" s="474"/>
      <c r="Y2452" s="89"/>
      <c r="Z2452" s="60"/>
      <c r="AA2452" s="60"/>
      <c r="AB2452" s="60"/>
      <c r="AC2452" s="30"/>
      <c r="AD2452" s="30"/>
      <c r="AE2452" s="475"/>
      <c r="AF2452" s="476"/>
      <c r="AG2452" s="474"/>
      <c r="AH2452" s="138"/>
    </row>
    <row r="2453">
      <c r="A2453" s="103"/>
      <c r="B2453" s="533"/>
      <c r="C2453" s="533"/>
      <c r="D2453" s="103"/>
      <c r="E2453" s="103"/>
      <c r="F2453" s="103"/>
      <c r="G2453" s="103"/>
      <c r="H2453" s="131"/>
      <c r="I2453" s="468"/>
      <c r="J2453" s="16"/>
      <c r="K2453" s="16"/>
      <c r="M2453" s="69"/>
      <c r="N2453" s="69"/>
      <c r="O2453" s="69"/>
      <c r="P2453" s="534"/>
      <c r="Q2453" s="274"/>
      <c r="R2453" s="472"/>
      <c r="S2453" s="535"/>
      <c r="T2453" s="535"/>
      <c r="U2453" s="536"/>
      <c r="V2453" s="474"/>
      <c r="Y2453" s="89"/>
      <c r="Z2453" s="60"/>
      <c r="AA2453" s="60"/>
      <c r="AB2453" s="60"/>
      <c r="AC2453" s="30"/>
      <c r="AD2453" s="30"/>
      <c r="AE2453" s="475"/>
      <c r="AF2453" s="476"/>
      <c r="AG2453" s="474"/>
      <c r="AH2453" s="138"/>
    </row>
    <row r="2454">
      <c r="A2454" s="103"/>
      <c r="B2454" s="533"/>
      <c r="C2454" s="533"/>
      <c r="D2454" s="103"/>
      <c r="E2454" s="103"/>
      <c r="F2454" s="103"/>
      <c r="G2454" s="103"/>
      <c r="H2454" s="131"/>
      <c r="I2454" s="468"/>
      <c r="J2454" s="16"/>
      <c r="K2454" s="16"/>
      <c r="M2454" s="69"/>
      <c r="N2454" s="69"/>
      <c r="O2454" s="69"/>
      <c r="P2454" s="534"/>
      <c r="Q2454" s="274"/>
      <c r="R2454" s="472"/>
      <c r="S2454" s="535"/>
      <c r="T2454" s="535"/>
      <c r="U2454" s="536"/>
      <c r="V2454" s="474"/>
      <c r="Y2454" s="89"/>
      <c r="Z2454" s="60"/>
      <c r="AA2454" s="60"/>
      <c r="AB2454" s="60"/>
      <c r="AC2454" s="30"/>
      <c r="AD2454" s="30"/>
      <c r="AE2454" s="475"/>
      <c r="AF2454" s="476"/>
      <c r="AG2454" s="474"/>
      <c r="AH2454" s="138"/>
    </row>
    <row r="2455">
      <c r="A2455" s="103"/>
      <c r="B2455" s="533"/>
      <c r="C2455" s="533"/>
      <c r="D2455" s="103"/>
      <c r="E2455" s="103"/>
      <c r="F2455" s="103"/>
      <c r="G2455" s="103"/>
      <c r="H2455" s="131"/>
      <c r="I2455" s="468"/>
      <c r="J2455" s="16"/>
      <c r="K2455" s="16"/>
      <c r="M2455" s="69"/>
      <c r="N2455" s="69"/>
      <c r="O2455" s="69"/>
      <c r="P2455" s="534"/>
      <c r="Q2455" s="274"/>
      <c r="R2455" s="472"/>
      <c r="S2455" s="535"/>
      <c r="T2455" s="535"/>
      <c r="U2455" s="536"/>
      <c r="V2455" s="474"/>
      <c r="Y2455" s="89"/>
      <c r="Z2455" s="60"/>
      <c r="AA2455" s="60"/>
      <c r="AB2455" s="60"/>
      <c r="AC2455" s="30"/>
      <c r="AD2455" s="30"/>
      <c r="AE2455" s="475"/>
      <c r="AF2455" s="476"/>
      <c r="AG2455" s="474"/>
      <c r="AH2455" s="138"/>
    </row>
    <row r="2456">
      <c r="A2456" s="103"/>
      <c r="B2456" s="533"/>
      <c r="C2456" s="533"/>
      <c r="D2456" s="103"/>
      <c r="E2456" s="103"/>
      <c r="F2456" s="103"/>
      <c r="G2456" s="103"/>
      <c r="H2456" s="131"/>
      <c r="I2456" s="468"/>
      <c r="J2456" s="16"/>
      <c r="K2456" s="16"/>
      <c r="M2456" s="69"/>
      <c r="N2456" s="69"/>
      <c r="O2456" s="69"/>
      <c r="P2456" s="534"/>
      <c r="Q2456" s="274"/>
      <c r="R2456" s="472"/>
      <c r="S2456" s="535"/>
      <c r="T2456" s="535"/>
      <c r="U2456" s="536"/>
      <c r="V2456" s="474"/>
      <c r="Y2456" s="89"/>
      <c r="Z2456" s="60"/>
      <c r="AA2456" s="60"/>
      <c r="AB2456" s="60"/>
      <c r="AC2456" s="30"/>
      <c r="AD2456" s="30"/>
      <c r="AE2456" s="475"/>
      <c r="AF2456" s="476"/>
      <c r="AG2456" s="474"/>
      <c r="AH2456" s="138"/>
    </row>
    <row r="2457">
      <c r="A2457" s="103"/>
      <c r="B2457" s="533"/>
      <c r="C2457" s="533"/>
      <c r="D2457" s="103"/>
      <c r="E2457" s="103"/>
      <c r="F2457" s="103"/>
      <c r="G2457" s="103"/>
      <c r="H2457" s="131"/>
      <c r="I2457" s="468"/>
      <c r="J2457" s="16"/>
      <c r="K2457" s="16"/>
      <c r="M2457" s="69"/>
      <c r="N2457" s="69"/>
      <c r="O2457" s="69"/>
      <c r="P2457" s="534"/>
      <c r="Q2457" s="274"/>
      <c r="R2457" s="472"/>
      <c r="S2457" s="535"/>
      <c r="T2457" s="535"/>
      <c r="U2457" s="536"/>
      <c r="V2457" s="474"/>
      <c r="Y2457" s="89"/>
      <c r="Z2457" s="60"/>
      <c r="AA2457" s="60"/>
      <c r="AB2457" s="60"/>
      <c r="AC2457" s="30"/>
      <c r="AD2457" s="30"/>
      <c r="AE2457" s="475"/>
      <c r="AF2457" s="476"/>
      <c r="AG2457" s="474"/>
      <c r="AH2457" s="138"/>
    </row>
    <row r="2458">
      <c r="A2458" s="103"/>
      <c r="B2458" s="533"/>
      <c r="C2458" s="533"/>
      <c r="D2458" s="103"/>
      <c r="E2458" s="103"/>
      <c r="F2458" s="103"/>
      <c r="G2458" s="103"/>
      <c r="H2458" s="131"/>
      <c r="I2458" s="468"/>
      <c r="J2458" s="16"/>
      <c r="K2458" s="16"/>
      <c r="M2458" s="69"/>
      <c r="N2458" s="69"/>
      <c r="O2458" s="69"/>
      <c r="P2458" s="534"/>
      <c r="Q2458" s="274"/>
      <c r="R2458" s="472"/>
      <c r="S2458" s="535"/>
      <c r="T2458" s="535"/>
      <c r="U2458" s="536"/>
      <c r="V2458" s="474"/>
      <c r="Y2458" s="89"/>
      <c r="Z2458" s="60"/>
      <c r="AA2458" s="60"/>
      <c r="AB2458" s="60"/>
      <c r="AC2458" s="30"/>
      <c r="AD2458" s="30"/>
      <c r="AE2458" s="475"/>
      <c r="AF2458" s="476"/>
      <c r="AG2458" s="474"/>
      <c r="AH2458" s="138"/>
    </row>
    <row r="2459">
      <c r="A2459" s="103"/>
      <c r="B2459" s="533"/>
      <c r="C2459" s="533"/>
      <c r="D2459" s="103"/>
      <c r="E2459" s="103"/>
      <c r="F2459" s="103"/>
      <c r="G2459" s="103"/>
      <c r="H2459" s="131"/>
      <c r="I2459" s="468"/>
      <c r="J2459" s="16"/>
      <c r="K2459" s="16"/>
      <c r="M2459" s="69"/>
      <c r="N2459" s="69"/>
      <c r="O2459" s="69"/>
      <c r="P2459" s="534"/>
      <c r="Q2459" s="274"/>
      <c r="R2459" s="472"/>
      <c r="S2459" s="535"/>
      <c r="T2459" s="535"/>
      <c r="U2459" s="536"/>
      <c r="V2459" s="474"/>
      <c r="Y2459" s="89"/>
      <c r="Z2459" s="60"/>
      <c r="AA2459" s="60"/>
      <c r="AB2459" s="60"/>
      <c r="AC2459" s="30"/>
      <c r="AD2459" s="30"/>
      <c r="AE2459" s="475"/>
      <c r="AF2459" s="476"/>
      <c r="AG2459" s="474"/>
      <c r="AH2459" s="138"/>
    </row>
    <row r="2460">
      <c r="A2460" s="103"/>
      <c r="B2460" s="533"/>
      <c r="C2460" s="533"/>
      <c r="D2460" s="103"/>
      <c r="E2460" s="103"/>
      <c r="F2460" s="103"/>
      <c r="G2460" s="103"/>
      <c r="H2460" s="131"/>
      <c r="I2460" s="468"/>
      <c r="J2460" s="16"/>
      <c r="K2460" s="16"/>
      <c r="M2460" s="69"/>
      <c r="N2460" s="69"/>
      <c r="O2460" s="69"/>
      <c r="P2460" s="534"/>
      <c r="Q2460" s="274"/>
      <c r="R2460" s="472"/>
      <c r="S2460" s="535"/>
      <c r="T2460" s="535"/>
      <c r="U2460" s="536"/>
      <c r="V2460" s="474"/>
      <c r="Y2460" s="89"/>
      <c r="Z2460" s="60"/>
      <c r="AA2460" s="60"/>
      <c r="AB2460" s="60"/>
      <c r="AC2460" s="30"/>
      <c r="AD2460" s="30"/>
      <c r="AE2460" s="475"/>
      <c r="AF2460" s="476"/>
      <c r="AG2460" s="474"/>
      <c r="AH2460" s="138"/>
    </row>
    <row r="2461">
      <c r="A2461" s="103"/>
      <c r="B2461" s="533"/>
      <c r="C2461" s="533"/>
      <c r="D2461" s="103"/>
      <c r="E2461" s="103"/>
      <c r="F2461" s="103"/>
      <c r="G2461" s="103"/>
      <c r="H2461" s="131"/>
      <c r="I2461" s="468"/>
      <c r="J2461" s="16"/>
      <c r="K2461" s="16"/>
      <c r="M2461" s="69"/>
      <c r="N2461" s="69"/>
      <c r="O2461" s="69"/>
      <c r="P2461" s="534"/>
      <c r="Q2461" s="274"/>
      <c r="R2461" s="472"/>
      <c r="S2461" s="535"/>
      <c r="T2461" s="535"/>
      <c r="U2461" s="536"/>
      <c r="V2461" s="474"/>
      <c r="Y2461" s="89"/>
      <c r="Z2461" s="60"/>
      <c r="AA2461" s="60"/>
      <c r="AB2461" s="60"/>
      <c r="AC2461" s="30"/>
      <c r="AD2461" s="30"/>
      <c r="AE2461" s="475"/>
      <c r="AF2461" s="476"/>
      <c r="AG2461" s="474"/>
      <c r="AH2461" s="138"/>
    </row>
    <row r="2462">
      <c r="A2462" s="103"/>
      <c r="B2462" s="533"/>
      <c r="C2462" s="533"/>
      <c r="D2462" s="103"/>
      <c r="E2462" s="103"/>
      <c r="F2462" s="103"/>
      <c r="G2462" s="103"/>
      <c r="H2462" s="131"/>
      <c r="I2462" s="468"/>
      <c r="J2462" s="16"/>
      <c r="K2462" s="16"/>
      <c r="M2462" s="69"/>
      <c r="N2462" s="69"/>
      <c r="O2462" s="69"/>
      <c r="P2462" s="534"/>
      <c r="Q2462" s="274"/>
      <c r="R2462" s="472"/>
      <c r="S2462" s="535"/>
      <c r="T2462" s="535"/>
      <c r="U2462" s="536"/>
      <c r="V2462" s="474"/>
      <c r="Y2462" s="89"/>
      <c r="Z2462" s="60"/>
      <c r="AA2462" s="60"/>
      <c r="AB2462" s="60"/>
      <c r="AC2462" s="30"/>
      <c r="AD2462" s="30"/>
      <c r="AE2462" s="475"/>
      <c r="AF2462" s="476"/>
      <c r="AG2462" s="474"/>
      <c r="AH2462" s="138"/>
    </row>
    <row r="2463">
      <c r="A2463" s="103"/>
      <c r="B2463" s="533"/>
      <c r="C2463" s="533"/>
      <c r="D2463" s="103"/>
      <c r="E2463" s="103"/>
      <c r="F2463" s="103"/>
      <c r="G2463" s="103"/>
      <c r="H2463" s="131"/>
      <c r="I2463" s="468"/>
      <c r="J2463" s="16"/>
      <c r="K2463" s="16"/>
      <c r="M2463" s="69"/>
      <c r="N2463" s="69"/>
      <c r="O2463" s="69"/>
      <c r="P2463" s="534"/>
      <c r="Q2463" s="274"/>
      <c r="R2463" s="472"/>
      <c r="S2463" s="535"/>
      <c r="T2463" s="535"/>
      <c r="U2463" s="536"/>
      <c r="V2463" s="474"/>
      <c r="Y2463" s="89"/>
      <c r="Z2463" s="60"/>
      <c r="AA2463" s="60"/>
      <c r="AB2463" s="60"/>
      <c r="AC2463" s="30"/>
      <c r="AD2463" s="30"/>
      <c r="AE2463" s="475"/>
      <c r="AF2463" s="476"/>
      <c r="AG2463" s="474"/>
      <c r="AH2463" s="138"/>
    </row>
    <row r="2464">
      <c r="A2464" s="103"/>
      <c r="B2464" s="533"/>
      <c r="C2464" s="533"/>
      <c r="D2464" s="103"/>
      <c r="E2464" s="103"/>
      <c r="F2464" s="103"/>
      <c r="G2464" s="103"/>
      <c r="H2464" s="131"/>
      <c r="I2464" s="468"/>
      <c r="J2464" s="16"/>
      <c r="K2464" s="16"/>
      <c r="M2464" s="69"/>
      <c r="N2464" s="69"/>
      <c r="O2464" s="69"/>
      <c r="P2464" s="534"/>
      <c r="Q2464" s="274"/>
      <c r="R2464" s="472"/>
      <c r="S2464" s="535"/>
      <c r="T2464" s="535"/>
      <c r="U2464" s="536"/>
      <c r="V2464" s="474"/>
      <c r="Y2464" s="89"/>
      <c r="Z2464" s="60"/>
      <c r="AA2464" s="60"/>
      <c r="AB2464" s="60"/>
      <c r="AC2464" s="30"/>
      <c r="AD2464" s="30"/>
      <c r="AE2464" s="475"/>
      <c r="AF2464" s="476"/>
      <c r="AG2464" s="474"/>
      <c r="AH2464" s="138"/>
    </row>
    <row r="2465">
      <c r="A2465" s="103"/>
      <c r="B2465" s="533"/>
      <c r="C2465" s="533"/>
      <c r="D2465" s="103"/>
      <c r="E2465" s="103"/>
      <c r="F2465" s="103"/>
      <c r="G2465" s="103"/>
      <c r="H2465" s="131"/>
      <c r="I2465" s="468"/>
      <c r="J2465" s="16"/>
      <c r="K2465" s="16"/>
      <c r="M2465" s="69"/>
      <c r="N2465" s="69"/>
      <c r="O2465" s="69"/>
      <c r="P2465" s="534"/>
      <c r="Q2465" s="274"/>
      <c r="R2465" s="472"/>
      <c r="S2465" s="535"/>
      <c r="T2465" s="535"/>
      <c r="U2465" s="536"/>
      <c r="V2465" s="474"/>
      <c r="Y2465" s="89"/>
      <c r="Z2465" s="60"/>
      <c r="AA2465" s="60"/>
      <c r="AB2465" s="60"/>
      <c r="AC2465" s="30"/>
      <c r="AD2465" s="30"/>
      <c r="AE2465" s="475"/>
      <c r="AF2465" s="476"/>
      <c r="AG2465" s="474"/>
      <c r="AH2465" s="138"/>
    </row>
    <row r="2466">
      <c r="A2466" s="103"/>
      <c r="B2466" s="533"/>
      <c r="C2466" s="533"/>
      <c r="D2466" s="103"/>
      <c r="E2466" s="103"/>
      <c r="F2466" s="103"/>
      <c r="G2466" s="103"/>
      <c r="H2466" s="131"/>
      <c r="I2466" s="468"/>
      <c r="J2466" s="16"/>
      <c r="K2466" s="16"/>
      <c r="M2466" s="69"/>
      <c r="N2466" s="69"/>
      <c r="O2466" s="69"/>
      <c r="P2466" s="534"/>
      <c r="Q2466" s="274"/>
      <c r="R2466" s="472"/>
      <c r="S2466" s="535"/>
      <c r="T2466" s="535"/>
      <c r="U2466" s="536"/>
      <c r="V2466" s="474"/>
      <c r="Y2466" s="89"/>
      <c r="Z2466" s="60"/>
      <c r="AA2466" s="60"/>
      <c r="AB2466" s="60"/>
      <c r="AC2466" s="30"/>
      <c r="AD2466" s="30"/>
      <c r="AE2466" s="475"/>
      <c r="AF2466" s="476"/>
      <c r="AG2466" s="474"/>
      <c r="AH2466" s="138"/>
    </row>
    <row r="2467">
      <c r="A2467" s="103"/>
      <c r="B2467" s="533"/>
      <c r="C2467" s="533"/>
      <c r="D2467" s="103"/>
      <c r="E2467" s="103"/>
      <c r="F2467" s="103"/>
      <c r="G2467" s="103"/>
      <c r="H2467" s="131"/>
      <c r="I2467" s="468"/>
      <c r="J2467" s="16"/>
      <c r="K2467" s="16"/>
      <c r="M2467" s="69"/>
      <c r="N2467" s="69"/>
      <c r="O2467" s="69"/>
      <c r="P2467" s="534"/>
      <c r="Q2467" s="274"/>
      <c r="R2467" s="472"/>
      <c r="S2467" s="535"/>
      <c r="T2467" s="535"/>
      <c r="U2467" s="536"/>
      <c r="V2467" s="474"/>
      <c r="Y2467" s="89"/>
      <c r="Z2467" s="60"/>
      <c r="AA2467" s="60"/>
      <c r="AB2467" s="60"/>
      <c r="AC2467" s="30"/>
      <c r="AD2467" s="30"/>
      <c r="AE2467" s="475"/>
      <c r="AF2467" s="476"/>
      <c r="AG2467" s="474"/>
      <c r="AH2467" s="138"/>
    </row>
    <row r="2468">
      <c r="A2468" s="103"/>
      <c r="B2468" s="533"/>
      <c r="C2468" s="533"/>
      <c r="D2468" s="103"/>
      <c r="E2468" s="103"/>
      <c r="F2468" s="103"/>
      <c r="G2468" s="103"/>
      <c r="H2468" s="131"/>
      <c r="I2468" s="468"/>
      <c r="J2468" s="16"/>
      <c r="K2468" s="16"/>
      <c r="M2468" s="69"/>
      <c r="N2468" s="69"/>
      <c r="O2468" s="69"/>
      <c r="P2468" s="534"/>
      <c r="Q2468" s="274"/>
      <c r="R2468" s="472"/>
      <c r="S2468" s="535"/>
      <c r="T2468" s="535"/>
      <c r="U2468" s="536"/>
      <c r="V2468" s="474"/>
      <c r="Y2468" s="89"/>
      <c r="Z2468" s="60"/>
      <c r="AA2468" s="60"/>
      <c r="AB2468" s="60"/>
      <c r="AC2468" s="30"/>
      <c r="AD2468" s="30"/>
      <c r="AE2468" s="475"/>
      <c r="AF2468" s="476"/>
      <c r="AG2468" s="474"/>
      <c r="AH2468" s="138"/>
    </row>
    <row r="2469">
      <c r="A2469" s="103"/>
      <c r="B2469" s="533"/>
      <c r="C2469" s="533"/>
      <c r="D2469" s="103"/>
      <c r="E2469" s="103"/>
      <c r="F2469" s="103"/>
      <c r="G2469" s="103"/>
      <c r="H2469" s="131"/>
      <c r="I2469" s="468"/>
      <c r="J2469" s="16"/>
      <c r="K2469" s="16"/>
      <c r="M2469" s="69"/>
      <c r="N2469" s="69"/>
      <c r="O2469" s="69"/>
      <c r="P2469" s="534"/>
      <c r="Q2469" s="274"/>
      <c r="R2469" s="472"/>
      <c r="S2469" s="535"/>
      <c r="T2469" s="535"/>
      <c r="U2469" s="536"/>
      <c r="V2469" s="474"/>
      <c r="Y2469" s="89"/>
      <c r="Z2469" s="60"/>
      <c r="AA2469" s="60"/>
      <c r="AB2469" s="60"/>
      <c r="AC2469" s="30"/>
      <c r="AD2469" s="30"/>
      <c r="AE2469" s="475"/>
      <c r="AF2469" s="476"/>
      <c r="AG2469" s="474"/>
      <c r="AH2469" s="138"/>
    </row>
    <row r="2470">
      <c r="A2470" s="103"/>
      <c r="B2470" s="533"/>
      <c r="C2470" s="533"/>
      <c r="D2470" s="103"/>
      <c r="E2470" s="103"/>
      <c r="F2470" s="103"/>
      <c r="G2470" s="103"/>
      <c r="H2470" s="131"/>
      <c r="I2470" s="468"/>
      <c r="J2470" s="16"/>
      <c r="K2470" s="16"/>
      <c r="M2470" s="69"/>
      <c r="N2470" s="69"/>
      <c r="O2470" s="69"/>
      <c r="P2470" s="534"/>
      <c r="Q2470" s="274"/>
      <c r="R2470" s="472"/>
      <c r="S2470" s="535"/>
      <c r="T2470" s="535"/>
      <c r="U2470" s="536"/>
      <c r="V2470" s="474"/>
      <c r="Y2470" s="89"/>
      <c r="Z2470" s="60"/>
      <c r="AA2470" s="60"/>
      <c r="AB2470" s="60"/>
      <c r="AC2470" s="30"/>
      <c r="AD2470" s="30"/>
      <c r="AE2470" s="475"/>
      <c r="AF2470" s="476"/>
      <c r="AG2470" s="474"/>
      <c r="AH2470" s="138"/>
    </row>
    <row r="2471">
      <c r="A2471" s="103"/>
      <c r="B2471" s="533"/>
      <c r="C2471" s="533"/>
      <c r="D2471" s="103"/>
      <c r="E2471" s="103"/>
      <c r="F2471" s="103"/>
      <c r="G2471" s="103"/>
      <c r="H2471" s="131"/>
      <c r="I2471" s="468"/>
      <c r="J2471" s="16"/>
      <c r="K2471" s="16"/>
      <c r="M2471" s="69"/>
      <c r="N2471" s="69"/>
      <c r="O2471" s="69"/>
      <c r="P2471" s="534"/>
      <c r="Q2471" s="274"/>
      <c r="R2471" s="472"/>
      <c r="S2471" s="535"/>
      <c r="T2471" s="535"/>
      <c r="U2471" s="536"/>
      <c r="V2471" s="474"/>
      <c r="Y2471" s="89"/>
      <c r="Z2471" s="60"/>
      <c r="AA2471" s="60"/>
      <c r="AB2471" s="60"/>
      <c r="AC2471" s="30"/>
      <c r="AD2471" s="30"/>
      <c r="AE2471" s="475"/>
      <c r="AF2471" s="476"/>
      <c r="AG2471" s="474"/>
      <c r="AH2471" s="138"/>
    </row>
    <row r="2472">
      <c r="A2472" s="103"/>
      <c r="B2472" s="533"/>
      <c r="C2472" s="533"/>
      <c r="D2472" s="103"/>
      <c r="E2472" s="103"/>
      <c r="F2472" s="103"/>
      <c r="G2472" s="103"/>
      <c r="H2472" s="131"/>
      <c r="I2472" s="468"/>
      <c r="J2472" s="16"/>
      <c r="K2472" s="16"/>
      <c r="M2472" s="69"/>
      <c r="N2472" s="69"/>
      <c r="O2472" s="69"/>
      <c r="P2472" s="534"/>
      <c r="Q2472" s="274"/>
      <c r="R2472" s="472"/>
      <c r="S2472" s="535"/>
      <c r="T2472" s="535"/>
      <c r="U2472" s="536"/>
      <c r="V2472" s="474"/>
      <c r="Y2472" s="89"/>
      <c r="Z2472" s="60"/>
      <c r="AA2472" s="60"/>
      <c r="AB2472" s="60"/>
      <c r="AC2472" s="30"/>
      <c r="AD2472" s="30"/>
      <c r="AE2472" s="475"/>
      <c r="AF2472" s="476"/>
      <c r="AG2472" s="474"/>
      <c r="AH2472" s="138"/>
    </row>
    <row r="2473">
      <c r="A2473" s="103"/>
      <c r="B2473" s="533"/>
      <c r="C2473" s="533"/>
      <c r="D2473" s="103"/>
      <c r="E2473" s="103"/>
      <c r="F2473" s="103"/>
      <c r="G2473" s="103"/>
      <c r="H2473" s="131"/>
      <c r="I2473" s="468"/>
      <c r="J2473" s="16"/>
      <c r="K2473" s="16"/>
      <c r="M2473" s="69"/>
      <c r="N2473" s="69"/>
      <c r="O2473" s="69"/>
      <c r="P2473" s="534"/>
      <c r="Q2473" s="274"/>
      <c r="R2473" s="472"/>
      <c r="S2473" s="535"/>
      <c r="T2473" s="535"/>
      <c r="U2473" s="536"/>
      <c r="V2473" s="474"/>
      <c r="Y2473" s="89"/>
      <c r="Z2473" s="60"/>
      <c r="AA2473" s="60"/>
      <c r="AB2473" s="60"/>
      <c r="AC2473" s="30"/>
      <c r="AD2473" s="30"/>
      <c r="AE2473" s="475"/>
      <c r="AF2473" s="476"/>
      <c r="AG2473" s="474"/>
      <c r="AH2473" s="138"/>
    </row>
    <row r="2474">
      <c r="A2474" s="103"/>
      <c r="B2474" s="533"/>
      <c r="C2474" s="533"/>
      <c r="D2474" s="103"/>
      <c r="E2474" s="103"/>
      <c r="F2474" s="103"/>
      <c r="G2474" s="103"/>
      <c r="H2474" s="131"/>
      <c r="I2474" s="468"/>
      <c r="J2474" s="16"/>
      <c r="K2474" s="16"/>
      <c r="M2474" s="69"/>
      <c r="N2474" s="69"/>
      <c r="O2474" s="69"/>
      <c r="P2474" s="534"/>
      <c r="Q2474" s="274"/>
      <c r="R2474" s="472"/>
      <c r="S2474" s="535"/>
      <c r="T2474" s="535"/>
      <c r="U2474" s="536"/>
      <c r="V2474" s="474"/>
      <c r="Y2474" s="89"/>
      <c r="Z2474" s="60"/>
      <c r="AA2474" s="60"/>
      <c r="AB2474" s="60"/>
      <c r="AC2474" s="30"/>
      <c r="AD2474" s="30"/>
      <c r="AE2474" s="475"/>
      <c r="AF2474" s="476"/>
      <c r="AG2474" s="474"/>
      <c r="AH2474" s="138"/>
    </row>
    <row r="2475">
      <c r="A2475" s="103"/>
      <c r="B2475" s="533"/>
      <c r="C2475" s="533"/>
      <c r="D2475" s="103"/>
      <c r="E2475" s="103"/>
      <c r="F2475" s="103"/>
      <c r="G2475" s="103"/>
      <c r="H2475" s="131"/>
      <c r="I2475" s="468"/>
      <c r="J2475" s="16"/>
      <c r="K2475" s="16"/>
      <c r="M2475" s="69"/>
      <c r="N2475" s="69"/>
      <c r="O2475" s="69"/>
      <c r="P2475" s="534"/>
      <c r="Q2475" s="274"/>
      <c r="R2475" s="472"/>
      <c r="S2475" s="535"/>
      <c r="T2475" s="535"/>
      <c r="U2475" s="536"/>
      <c r="V2475" s="474"/>
      <c r="Y2475" s="89"/>
      <c r="Z2475" s="60"/>
      <c r="AA2475" s="60"/>
      <c r="AB2475" s="60"/>
      <c r="AC2475" s="30"/>
      <c r="AD2475" s="30"/>
      <c r="AE2475" s="475"/>
      <c r="AF2475" s="476"/>
      <c r="AG2475" s="474"/>
      <c r="AH2475" s="138"/>
    </row>
    <row r="2476">
      <c r="A2476" s="103"/>
      <c r="B2476" s="533"/>
      <c r="C2476" s="533"/>
      <c r="D2476" s="103"/>
      <c r="E2476" s="103"/>
      <c r="F2476" s="103"/>
      <c r="G2476" s="103"/>
      <c r="H2476" s="131"/>
      <c r="I2476" s="468"/>
      <c r="J2476" s="16"/>
      <c r="K2476" s="16"/>
      <c r="M2476" s="69"/>
      <c r="N2476" s="69"/>
      <c r="O2476" s="69"/>
      <c r="P2476" s="534"/>
      <c r="Q2476" s="274"/>
      <c r="R2476" s="472"/>
      <c r="S2476" s="535"/>
      <c r="T2476" s="535"/>
      <c r="U2476" s="536"/>
      <c r="V2476" s="474"/>
      <c r="Y2476" s="89"/>
      <c r="Z2476" s="60"/>
      <c r="AA2476" s="60"/>
      <c r="AB2476" s="60"/>
      <c r="AC2476" s="30"/>
      <c r="AD2476" s="30"/>
      <c r="AE2476" s="475"/>
      <c r="AF2476" s="476"/>
      <c r="AG2476" s="474"/>
      <c r="AH2476" s="138"/>
    </row>
    <row r="2477">
      <c r="A2477" s="103"/>
      <c r="B2477" s="533"/>
      <c r="C2477" s="533"/>
      <c r="D2477" s="103"/>
      <c r="E2477" s="103"/>
      <c r="F2477" s="103"/>
      <c r="G2477" s="103"/>
      <c r="H2477" s="131"/>
      <c r="I2477" s="468"/>
      <c r="J2477" s="16"/>
      <c r="K2477" s="16"/>
      <c r="M2477" s="69"/>
      <c r="N2477" s="69"/>
      <c r="O2477" s="69"/>
      <c r="P2477" s="534"/>
      <c r="Q2477" s="274"/>
      <c r="R2477" s="472"/>
      <c r="S2477" s="535"/>
      <c r="T2477" s="535"/>
      <c r="U2477" s="536"/>
      <c r="V2477" s="474"/>
      <c r="Y2477" s="89"/>
      <c r="Z2477" s="60"/>
      <c r="AA2477" s="60"/>
      <c r="AB2477" s="60"/>
      <c r="AC2477" s="30"/>
      <c r="AD2477" s="30"/>
      <c r="AE2477" s="475"/>
      <c r="AF2477" s="476"/>
      <c r="AG2477" s="474"/>
      <c r="AH2477" s="138"/>
    </row>
    <row r="2478">
      <c r="A2478" s="103"/>
      <c r="B2478" s="533"/>
      <c r="C2478" s="533"/>
      <c r="D2478" s="103"/>
      <c r="E2478" s="103"/>
      <c r="F2478" s="103"/>
      <c r="G2478" s="103"/>
      <c r="H2478" s="131"/>
      <c r="I2478" s="468"/>
      <c r="J2478" s="16"/>
      <c r="K2478" s="16"/>
      <c r="M2478" s="69"/>
      <c r="N2478" s="69"/>
      <c r="O2478" s="69"/>
      <c r="P2478" s="534"/>
      <c r="Q2478" s="274"/>
      <c r="R2478" s="472"/>
      <c r="S2478" s="535"/>
      <c r="T2478" s="535"/>
      <c r="U2478" s="536"/>
      <c r="V2478" s="474"/>
      <c r="Y2478" s="89"/>
      <c r="Z2478" s="60"/>
      <c r="AA2478" s="60"/>
      <c r="AB2478" s="60"/>
      <c r="AC2478" s="30"/>
      <c r="AD2478" s="30"/>
      <c r="AE2478" s="475"/>
      <c r="AF2478" s="476"/>
      <c r="AG2478" s="474"/>
      <c r="AH2478" s="138"/>
    </row>
    <row r="2479">
      <c r="A2479" s="103"/>
      <c r="B2479" s="533"/>
      <c r="C2479" s="533"/>
      <c r="D2479" s="103"/>
      <c r="E2479" s="103"/>
      <c r="F2479" s="103"/>
      <c r="G2479" s="103"/>
      <c r="H2479" s="131"/>
      <c r="I2479" s="468"/>
      <c r="J2479" s="16"/>
      <c r="K2479" s="16"/>
      <c r="M2479" s="69"/>
      <c r="N2479" s="69"/>
      <c r="O2479" s="69"/>
      <c r="P2479" s="534"/>
      <c r="Q2479" s="274"/>
      <c r="R2479" s="472"/>
      <c r="S2479" s="535"/>
      <c r="T2479" s="535"/>
      <c r="U2479" s="536"/>
      <c r="V2479" s="474"/>
      <c r="Y2479" s="89"/>
      <c r="Z2479" s="60"/>
      <c r="AA2479" s="60"/>
      <c r="AB2479" s="60"/>
      <c r="AC2479" s="30"/>
      <c r="AD2479" s="30"/>
      <c r="AE2479" s="475"/>
      <c r="AF2479" s="476"/>
      <c r="AG2479" s="474"/>
      <c r="AH2479" s="138"/>
    </row>
    <row r="2480">
      <c r="A2480" s="103"/>
      <c r="B2480" s="533"/>
      <c r="C2480" s="533"/>
      <c r="D2480" s="103"/>
      <c r="E2480" s="103"/>
      <c r="F2480" s="103"/>
      <c r="G2480" s="103"/>
      <c r="H2480" s="131"/>
      <c r="I2480" s="468"/>
      <c r="J2480" s="16"/>
      <c r="K2480" s="16"/>
      <c r="M2480" s="69"/>
      <c r="N2480" s="69"/>
      <c r="O2480" s="69"/>
      <c r="P2480" s="534"/>
      <c r="Q2480" s="274"/>
      <c r="R2480" s="472"/>
      <c r="S2480" s="535"/>
      <c r="T2480" s="535"/>
      <c r="U2480" s="536"/>
      <c r="V2480" s="474"/>
      <c r="Y2480" s="89"/>
      <c r="Z2480" s="60"/>
      <c r="AA2480" s="60"/>
      <c r="AB2480" s="60"/>
      <c r="AC2480" s="30"/>
      <c r="AD2480" s="30"/>
      <c r="AE2480" s="475"/>
      <c r="AF2480" s="476"/>
      <c r="AG2480" s="474"/>
      <c r="AH2480" s="138"/>
    </row>
    <row r="2481">
      <c r="A2481" s="103"/>
      <c r="B2481" s="533"/>
      <c r="C2481" s="533"/>
      <c r="D2481" s="103"/>
      <c r="E2481" s="103"/>
      <c r="F2481" s="103"/>
      <c r="G2481" s="103"/>
      <c r="H2481" s="131"/>
      <c r="I2481" s="468"/>
      <c r="J2481" s="16"/>
      <c r="K2481" s="16"/>
      <c r="M2481" s="69"/>
      <c r="N2481" s="69"/>
      <c r="O2481" s="69"/>
      <c r="P2481" s="534"/>
      <c r="Q2481" s="274"/>
      <c r="R2481" s="472"/>
      <c r="S2481" s="535"/>
      <c r="T2481" s="535"/>
      <c r="U2481" s="536"/>
      <c r="V2481" s="474"/>
      <c r="Y2481" s="89"/>
      <c r="Z2481" s="60"/>
      <c r="AA2481" s="60"/>
      <c r="AB2481" s="60"/>
      <c r="AC2481" s="30"/>
      <c r="AD2481" s="30"/>
      <c r="AE2481" s="475"/>
      <c r="AF2481" s="476"/>
      <c r="AG2481" s="474"/>
      <c r="AH2481" s="138"/>
    </row>
    <row r="2482">
      <c r="A2482" s="103"/>
      <c r="B2482" s="533"/>
      <c r="C2482" s="533"/>
      <c r="D2482" s="103"/>
      <c r="E2482" s="103"/>
      <c r="F2482" s="103"/>
      <c r="G2482" s="103"/>
      <c r="H2482" s="131"/>
      <c r="I2482" s="468"/>
      <c r="J2482" s="16"/>
      <c r="K2482" s="16"/>
      <c r="M2482" s="69"/>
      <c r="N2482" s="69"/>
      <c r="O2482" s="69"/>
      <c r="P2482" s="534"/>
      <c r="Q2482" s="274"/>
      <c r="R2482" s="472"/>
      <c r="S2482" s="535"/>
      <c r="T2482" s="535"/>
      <c r="U2482" s="536"/>
      <c r="V2482" s="474"/>
      <c r="Y2482" s="89"/>
      <c r="Z2482" s="60"/>
      <c r="AA2482" s="60"/>
      <c r="AB2482" s="60"/>
      <c r="AC2482" s="30"/>
      <c r="AD2482" s="30"/>
      <c r="AE2482" s="475"/>
      <c r="AF2482" s="476"/>
      <c r="AG2482" s="474"/>
      <c r="AH2482" s="138"/>
    </row>
    <row r="2483">
      <c r="A2483" s="103"/>
      <c r="B2483" s="533"/>
      <c r="C2483" s="533"/>
      <c r="D2483" s="103"/>
      <c r="E2483" s="103"/>
      <c r="F2483" s="103"/>
      <c r="G2483" s="103"/>
      <c r="H2483" s="131"/>
      <c r="I2483" s="468"/>
      <c r="J2483" s="16"/>
      <c r="K2483" s="16"/>
      <c r="M2483" s="69"/>
      <c r="N2483" s="69"/>
      <c r="O2483" s="69"/>
      <c r="P2483" s="534"/>
      <c r="Q2483" s="274"/>
      <c r="R2483" s="472"/>
      <c r="S2483" s="535"/>
      <c r="T2483" s="535"/>
      <c r="U2483" s="536"/>
      <c r="V2483" s="474"/>
      <c r="Y2483" s="89"/>
      <c r="Z2483" s="60"/>
      <c r="AA2483" s="60"/>
      <c r="AB2483" s="60"/>
      <c r="AC2483" s="30"/>
      <c r="AD2483" s="30"/>
      <c r="AE2483" s="475"/>
      <c r="AF2483" s="476"/>
      <c r="AG2483" s="474"/>
      <c r="AH2483" s="138"/>
    </row>
    <row r="2484">
      <c r="A2484" s="103"/>
      <c r="B2484" s="533"/>
      <c r="C2484" s="533"/>
      <c r="D2484" s="103"/>
      <c r="E2484" s="103"/>
      <c r="F2484" s="103"/>
      <c r="G2484" s="103"/>
      <c r="H2484" s="131"/>
      <c r="I2484" s="468"/>
      <c r="J2484" s="16"/>
      <c r="K2484" s="16"/>
      <c r="M2484" s="69"/>
      <c r="N2484" s="69"/>
      <c r="O2484" s="69"/>
      <c r="P2484" s="534"/>
      <c r="Q2484" s="274"/>
      <c r="R2484" s="472"/>
      <c r="S2484" s="535"/>
      <c r="T2484" s="535"/>
      <c r="U2484" s="536"/>
      <c r="V2484" s="474"/>
      <c r="Y2484" s="89"/>
      <c r="Z2484" s="60"/>
      <c r="AA2484" s="60"/>
      <c r="AB2484" s="60"/>
      <c r="AC2484" s="30"/>
      <c r="AD2484" s="30"/>
      <c r="AE2484" s="475"/>
      <c r="AF2484" s="476"/>
      <c r="AG2484" s="474"/>
      <c r="AH2484" s="138"/>
    </row>
    <row r="2485">
      <c r="A2485" s="103"/>
      <c r="B2485" s="533"/>
      <c r="C2485" s="533"/>
      <c r="D2485" s="103"/>
      <c r="E2485" s="103"/>
      <c r="F2485" s="103"/>
      <c r="G2485" s="103"/>
      <c r="H2485" s="131"/>
      <c r="I2485" s="468"/>
      <c r="J2485" s="16"/>
      <c r="K2485" s="16"/>
      <c r="M2485" s="69"/>
      <c r="N2485" s="69"/>
      <c r="O2485" s="69"/>
      <c r="P2485" s="534"/>
      <c r="Q2485" s="274"/>
      <c r="R2485" s="472"/>
      <c r="S2485" s="535"/>
      <c r="T2485" s="535"/>
      <c r="U2485" s="536"/>
      <c r="V2485" s="474"/>
      <c r="Y2485" s="89"/>
      <c r="Z2485" s="60"/>
      <c r="AA2485" s="60"/>
      <c r="AB2485" s="60"/>
      <c r="AC2485" s="30"/>
      <c r="AD2485" s="30"/>
      <c r="AE2485" s="475"/>
      <c r="AF2485" s="476"/>
      <c r="AG2485" s="474"/>
      <c r="AH2485" s="138"/>
    </row>
    <row r="2486">
      <c r="A2486" s="103"/>
      <c r="B2486" s="533"/>
      <c r="C2486" s="533"/>
      <c r="D2486" s="103"/>
      <c r="E2486" s="103"/>
      <c r="F2486" s="103"/>
      <c r="G2486" s="103"/>
      <c r="H2486" s="131"/>
      <c r="I2486" s="468"/>
      <c r="J2486" s="16"/>
      <c r="K2486" s="16"/>
      <c r="M2486" s="69"/>
      <c r="N2486" s="69"/>
      <c r="O2486" s="69"/>
      <c r="P2486" s="534"/>
      <c r="Q2486" s="274"/>
      <c r="R2486" s="472"/>
      <c r="S2486" s="535"/>
      <c r="T2486" s="535"/>
      <c r="U2486" s="536"/>
      <c r="V2486" s="474"/>
      <c r="Y2486" s="89"/>
      <c r="Z2486" s="60"/>
      <c r="AA2486" s="60"/>
      <c r="AB2486" s="60"/>
      <c r="AC2486" s="30"/>
      <c r="AD2486" s="30"/>
      <c r="AE2486" s="475"/>
      <c r="AF2486" s="476"/>
      <c r="AG2486" s="474"/>
      <c r="AH2486" s="138"/>
    </row>
    <row r="2487">
      <c r="A2487" s="103"/>
      <c r="B2487" s="533"/>
      <c r="C2487" s="533"/>
      <c r="D2487" s="103"/>
      <c r="E2487" s="103"/>
      <c r="F2487" s="103"/>
      <c r="G2487" s="103"/>
      <c r="H2487" s="131"/>
      <c r="I2487" s="468"/>
      <c r="J2487" s="16"/>
      <c r="K2487" s="16"/>
      <c r="M2487" s="69"/>
      <c r="N2487" s="69"/>
      <c r="O2487" s="69"/>
      <c r="P2487" s="534"/>
      <c r="Q2487" s="274"/>
      <c r="R2487" s="472"/>
      <c r="S2487" s="535"/>
      <c r="T2487" s="535"/>
      <c r="U2487" s="536"/>
      <c r="V2487" s="474"/>
      <c r="Y2487" s="89"/>
      <c r="Z2487" s="60"/>
      <c r="AA2487" s="60"/>
      <c r="AB2487" s="60"/>
      <c r="AC2487" s="30"/>
      <c r="AD2487" s="30"/>
      <c r="AE2487" s="475"/>
      <c r="AF2487" s="476"/>
      <c r="AG2487" s="474"/>
      <c r="AH2487" s="138"/>
    </row>
    <row r="2488">
      <c r="A2488" s="103"/>
      <c r="B2488" s="533"/>
      <c r="C2488" s="533"/>
      <c r="D2488" s="103"/>
      <c r="E2488" s="103"/>
      <c r="F2488" s="103"/>
      <c r="G2488" s="103"/>
      <c r="H2488" s="131"/>
      <c r="I2488" s="468"/>
      <c r="J2488" s="16"/>
      <c r="K2488" s="16"/>
      <c r="M2488" s="69"/>
      <c r="N2488" s="69"/>
      <c r="O2488" s="69"/>
      <c r="P2488" s="534"/>
      <c r="Q2488" s="274"/>
      <c r="R2488" s="472"/>
      <c r="S2488" s="535"/>
      <c r="T2488" s="535"/>
      <c r="U2488" s="536"/>
      <c r="V2488" s="474"/>
      <c r="Y2488" s="89"/>
      <c r="Z2488" s="60"/>
      <c r="AA2488" s="60"/>
      <c r="AB2488" s="60"/>
      <c r="AC2488" s="30"/>
      <c r="AD2488" s="30"/>
      <c r="AE2488" s="475"/>
      <c r="AF2488" s="476"/>
      <c r="AG2488" s="474"/>
      <c r="AH2488" s="138"/>
    </row>
  </sheetData>
  <conditionalFormatting sqref="A2:C2488 M2:O2488 X422:X424 W669:W672 X1109">
    <cfRule type="expression" dxfId="12" priority="1">
      <formula>$O2</formula>
    </cfRule>
  </conditionalFormatting>
  <conditionalFormatting sqref="T2:T2488">
    <cfRule type="expression" dxfId="3" priority="2">
      <formula>NOT(ISFORMULA(T2))</formula>
    </cfRule>
  </conditionalFormatting>
  <conditionalFormatting sqref="S2:S2488">
    <cfRule type="expression" dxfId="3" priority="3">
      <formula>NOT(ISFORMULA(S2))</formula>
    </cfRule>
  </conditionalFormatting>
  <conditionalFormatting sqref="AC1">
    <cfRule type="expression" dxfId="0" priority="4">
      <formula>AD1&gt;0</formula>
    </cfRule>
  </conditionalFormatting>
  <conditionalFormatting sqref="AC1">
    <cfRule type="expression" dxfId="13" priority="5">
      <formula>AD1=0</formula>
    </cfRule>
  </conditionalFormatting>
  <conditionalFormatting sqref="U2:V2488 AE2:AG2488">
    <cfRule type="expression" dxfId="3" priority="6">
      <formula>FIND("APS",U2)&gt;0</formula>
    </cfRule>
  </conditionalFormatting>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1" width="24.5"/>
    <col customWidth="1" min="3" max="3" width="9.88"/>
    <col customWidth="1" min="4" max="4" width="8.0" outlineLevel="1"/>
    <col customWidth="1" min="5" max="5" width="6.38" outlineLevel="1"/>
    <col customWidth="1" min="6" max="6" width="5.38" outlineLevel="1"/>
    <col customWidth="1" min="7" max="7" width="6.63"/>
    <col customWidth="1" min="8" max="8" width="5.75"/>
    <col customWidth="1" min="9" max="9" width="6.0"/>
    <col customWidth="1" min="10" max="10" width="13.88"/>
    <col customWidth="1" min="11" max="11" width="3.13"/>
    <col customWidth="1" min="12" max="12" width="12.38"/>
    <col customWidth="1" min="13" max="13" width="9.38"/>
    <col customWidth="1" min="14" max="14" width="8.25"/>
    <col customWidth="1" min="15" max="15" width="6.75"/>
    <col customWidth="1" min="16" max="16" width="5.25"/>
    <col customWidth="1" min="17" max="17" width="6.75"/>
    <col customWidth="1" min="18" max="18" width="5.63"/>
    <col customWidth="1" min="19" max="19" width="5.13"/>
    <col customWidth="1" min="20" max="20" width="9.13"/>
    <col customWidth="1" min="22" max="22" width="3.38"/>
    <col customWidth="1" min="25" max="25" width="7.5"/>
    <col customWidth="1" min="26" max="26" width="6.38"/>
    <col customWidth="1" min="27" max="27" width="5.13"/>
    <col customWidth="1" min="28" max="28" width="6.25"/>
    <col customWidth="1" min="29" max="29" width="5.63"/>
  </cols>
  <sheetData>
    <row r="1">
      <c r="A1" s="537" t="s">
        <v>1509</v>
      </c>
      <c r="B1" s="75" t="str">
        <f>IFERROR(__xludf.DUMMYFUNCTION("IMPORTRANGE($A$2,""APS Tubes by Date!$A1:$H"")"),"APS
COLLECT DATE")</f>
        <v>APS
COLLECT DATE</v>
      </c>
      <c r="C1" s="50" t="str">
        <f>IFERROR(__xludf.DUMMYFUNCTION("""COMPUTED_VALUE"""),"NUM TUBES 1492")</f>
        <v>NUM TUBES 1492</v>
      </c>
      <c r="D1" s="50" t="str">
        <f>IFERROR(__xludf.DUMMYFUNCTION("""COMPUTED_VALUE"""),"NEG 1429")</f>
        <v>NEG 1429</v>
      </c>
      <c r="E1" s="50" t="str">
        <f>IFERROR(__xludf.DUMMYFUNCTION("""COMPUTED_VALUE"""),"POS  57")</f>
        <v>POS  57</v>
      </c>
      <c r="F1" s="50" t="str">
        <f>IFERROR(__xludf.DUMMYFUNCTION("""COMPUTED_VALUE"""),"INC  4")</f>
        <v>INC  4</v>
      </c>
      <c r="G1" s="50" t="str">
        <f>IFERROR(__xludf.DUMMYFUNCTION("""COMPUTED_VALUE"""),"NULL  2")</f>
        <v>NULL  2</v>
      </c>
      <c r="H1" s="50" t="str">
        <f>IFERROR(__xludf.DUMMYFUNCTION("""COMPUTED_VALUE"""),"INVL  0")</f>
        <v>INVL  0</v>
      </c>
      <c r="I1" s="50" t="str">
        <f>IFERROR(__xludf.DUMMYFUNCTION("""COMPUTED_VALUE"""),"FAIL  0")</f>
        <v>FAIL  0</v>
      </c>
      <c r="J1" s="75" t="str">
        <f>IFERROR(__xludf.DUMMYFUNCTION("IMPORTRANGE($A$2,""APS Tubes by Date!$O1:$O"")"),"All Non-Null Tubes Resulted Same Day?")</f>
        <v>All Non-Null Tubes Resulted Same Day?</v>
      </c>
      <c r="K1" s="82"/>
      <c r="L1" s="538" t="str">
        <f>IFERROR(__xludf.DUMMYFUNCTION("IMPORTRANGE($A$2,""APS Tubes by Date!$T1:$AB"")"),"APS
RESULT DATE")</f>
        <v>APS
RESULT DATE</v>
      </c>
      <c r="M1" s="539" t="str">
        <f>IFERROR(__xludf.DUMMYFUNCTION("""COMPUTED_VALUE"""),"NUM TUBES 1341")</f>
        <v>NUM TUBES 1341</v>
      </c>
      <c r="N1" s="26" t="str">
        <f>IFERROR(__xludf.DUMMYFUNCTION("""COMPUTED_VALUE"""),"NEG 1287")</f>
        <v>NEG 1287</v>
      </c>
      <c r="O1" s="26" t="str">
        <f>IFERROR(__xludf.DUMMYFUNCTION("""COMPUTED_VALUE"""),"POS  50")</f>
        <v>POS  50</v>
      </c>
      <c r="P1" s="85" t="str">
        <f>IFERROR(__xludf.DUMMYFUNCTION("""COMPUTED_VALUE"""),"INC  4")</f>
        <v>INC  4</v>
      </c>
      <c r="Q1" s="85" t="str">
        <f>IFERROR(__xludf.DUMMYFUNCTION("""COMPUTED_VALUE"""),"NULL  0")</f>
        <v>NULL  0</v>
      </c>
      <c r="R1" s="85" t="str">
        <f>IFERROR(__xludf.DUMMYFUNCTION("""COMPUTED_VALUE"""),"INVL  0")</f>
        <v>INVL  0</v>
      </c>
      <c r="S1" s="85" t="str">
        <f>IFERROR(__xludf.DUMMYFUNCTION("""COMPUTED_VALUE"""),"FAIL  0")</f>
        <v>FAIL  0</v>
      </c>
      <c r="T1" s="85" t="str">
        <f>IFERROR(__xludf.DUMMYFUNCTION("""COMPUTED_VALUE"""),"SUM RESULTS")</f>
        <v>SUM RESULTS</v>
      </c>
      <c r="U1" s="540" t="s">
        <v>1510</v>
      </c>
      <c r="V1" s="86"/>
      <c r="W1" s="85" t="str">
        <f t="shared" ref="W1:AC1" si="1">L1</f>
        <v>APS
RESULT DATE</v>
      </c>
      <c r="X1" s="541" t="str">
        <f t="shared" si="1"/>
        <v>NUM TUBES 1341</v>
      </c>
      <c r="Y1" s="85" t="str">
        <f t="shared" si="1"/>
        <v>NEG 1287</v>
      </c>
      <c r="Z1" s="85" t="str">
        <f t="shared" si="1"/>
        <v>POS  50</v>
      </c>
      <c r="AA1" s="85" t="str">
        <f t="shared" si="1"/>
        <v>INC  4</v>
      </c>
      <c r="AB1" s="85" t="str">
        <f t="shared" si="1"/>
        <v>NULL  0</v>
      </c>
      <c r="AC1" s="85" t="str">
        <f t="shared" si="1"/>
        <v>INVL  0</v>
      </c>
    </row>
    <row r="2">
      <c r="A2" s="542" t="s">
        <v>1511</v>
      </c>
      <c r="B2" s="25">
        <f>IFERROR(__xludf.DUMMYFUNCTION("""COMPUTED_VALUE"""),44176.0)</f>
        <v>44176</v>
      </c>
      <c r="C2" s="16">
        <f>IFERROR(__xludf.DUMMYFUNCTION("""COMPUTED_VALUE"""),2.0)</f>
        <v>2</v>
      </c>
      <c r="D2" s="16">
        <f>IFERROR(__xludf.DUMMYFUNCTION("""COMPUTED_VALUE"""),2.0)</f>
        <v>2</v>
      </c>
      <c r="E2" s="16">
        <f>IFERROR(__xludf.DUMMYFUNCTION("""COMPUTED_VALUE"""),0.0)</f>
        <v>0</v>
      </c>
      <c r="F2" s="16">
        <f>IFERROR(__xludf.DUMMYFUNCTION("""COMPUTED_VALUE"""),0.0)</f>
        <v>0</v>
      </c>
      <c r="G2" s="16">
        <f>IFERROR(__xludf.DUMMYFUNCTION("""COMPUTED_VALUE"""),0.0)</f>
        <v>0</v>
      </c>
      <c r="H2" s="16">
        <f>IFERROR(__xludf.DUMMYFUNCTION("""COMPUTED_VALUE"""),0.0)</f>
        <v>0</v>
      </c>
      <c r="I2" s="16">
        <f>IFERROR(__xludf.DUMMYFUNCTION("""COMPUTED_VALUE"""),0.0)</f>
        <v>0</v>
      </c>
      <c r="J2" s="16"/>
      <c r="K2" s="86"/>
      <c r="L2" s="25">
        <f>IFERROR(__xludf.DUMMYFUNCTION("""COMPUTED_VALUE"""),44250.0)</f>
        <v>44250</v>
      </c>
      <c r="M2" s="69">
        <f>IFERROR(__xludf.DUMMYFUNCTION("""COMPUTED_VALUE"""),75.0)</f>
        <v>75</v>
      </c>
      <c r="N2" s="69">
        <f>IFERROR(__xludf.DUMMYFUNCTION("""COMPUTED_VALUE"""),75.0)</f>
        <v>75</v>
      </c>
      <c r="O2" s="69">
        <f>IFERROR(__xludf.DUMMYFUNCTION("""COMPUTED_VALUE"""),0.0)</f>
        <v>0</v>
      </c>
      <c r="P2" s="69">
        <f>IFERROR(__xludf.DUMMYFUNCTION("""COMPUTED_VALUE"""),0.0)</f>
        <v>0</v>
      </c>
      <c r="Q2" s="69">
        <f>IFERROR(__xludf.DUMMYFUNCTION("""COMPUTED_VALUE"""),0.0)</f>
        <v>0</v>
      </c>
      <c r="R2" s="69">
        <f>IFERROR(__xludf.DUMMYFUNCTION("""COMPUTED_VALUE"""),0.0)</f>
        <v>0</v>
      </c>
      <c r="S2" s="69">
        <f>IFERROR(__xludf.DUMMYFUNCTION("""COMPUTED_VALUE"""),0.0)</f>
        <v>0</v>
      </c>
      <c r="T2" s="69">
        <f>IFERROR(__xludf.DUMMYFUNCTION("""COMPUTED_VALUE"""),75.0)</f>
        <v>75</v>
      </c>
      <c r="U2" s="138"/>
      <c r="V2" s="86"/>
      <c r="W2" s="25">
        <f t="shared" ref="W2:AC2" si="2">L2</f>
        <v>44250</v>
      </c>
      <c r="X2" s="69">
        <f t="shared" si="2"/>
        <v>75</v>
      </c>
      <c r="Y2" s="69">
        <f t="shared" si="2"/>
        <v>75</v>
      </c>
      <c r="Z2" s="69">
        <f t="shared" si="2"/>
        <v>0</v>
      </c>
      <c r="AA2" s="69">
        <f t="shared" si="2"/>
        <v>0</v>
      </c>
      <c r="AB2" s="69">
        <f t="shared" si="2"/>
        <v>0</v>
      </c>
      <c r="AC2" s="69">
        <f t="shared" si="2"/>
        <v>0</v>
      </c>
    </row>
    <row r="3">
      <c r="B3" s="25">
        <f>IFERROR(__xludf.DUMMYFUNCTION("""COMPUTED_VALUE"""),44184.0)</f>
        <v>44184</v>
      </c>
      <c r="C3" s="16">
        <f>IFERROR(__xludf.DUMMYFUNCTION("""COMPUTED_VALUE"""),1.0)</f>
        <v>1</v>
      </c>
      <c r="D3" s="16">
        <f>IFERROR(__xludf.DUMMYFUNCTION("""COMPUTED_VALUE"""),1.0)</f>
        <v>1</v>
      </c>
      <c r="E3" s="16">
        <f>IFERROR(__xludf.DUMMYFUNCTION("""COMPUTED_VALUE"""),0.0)</f>
        <v>0</v>
      </c>
      <c r="F3" s="16">
        <f>IFERROR(__xludf.DUMMYFUNCTION("""COMPUTED_VALUE"""),0.0)</f>
        <v>0</v>
      </c>
      <c r="G3" s="16">
        <f>IFERROR(__xludf.DUMMYFUNCTION("""COMPUTED_VALUE"""),0.0)</f>
        <v>0</v>
      </c>
      <c r="H3" s="16">
        <f>IFERROR(__xludf.DUMMYFUNCTION("""COMPUTED_VALUE"""),0.0)</f>
        <v>0</v>
      </c>
      <c r="I3" s="16">
        <f>IFERROR(__xludf.DUMMYFUNCTION("""COMPUTED_VALUE"""),0.0)</f>
        <v>0</v>
      </c>
      <c r="J3" s="16"/>
      <c r="K3" s="86"/>
      <c r="L3" s="25">
        <f>IFERROR(__xludf.DUMMYFUNCTION("""COMPUTED_VALUE"""),44251.0)</f>
        <v>44251</v>
      </c>
      <c r="M3" s="69">
        <f>IFERROR(__xludf.DUMMYFUNCTION("""COMPUTED_VALUE"""),6.0)</f>
        <v>6</v>
      </c>
      <c r="N3" s="69">
        <f>IFERROR(__xludf.DUMMYFUNCTION("""COMPUTED_VALUE"""),6.0)</f>
        <v>6</v>
      </c>
      <c r="O3" s="69">
        <f>IFERROR(__xludf.DUMMYFUNCTION("""COMPUTED_VALUE"""),0.0)</f>
        <v>0</v>
      </c>
      <c r="P3" s="69">
        <f>IFERROR(__xludf.DUMMYFUNCTION("""COMPUTED_VALUE"""),0.0)</f>
        <v>0</v>
      </c>
      <c r="Q3" s="69">
        <f>IFERROR(__xludf.DUMMYFUNCTION("""COMPUTED_VALUE"""),0.0)</f>
        <v>0</v>
      </c>
      <c r="R3" s="69">
        <f>IFERROR(__xludf.DUMMYFUNCTION("""COMPUTED_VALUE"""),0.0)</f>
        <v>0</v>
      </c>
      <c r="S3" s="69">
        <f>IFERROR(__xludf.DUMMYFUNCTION("""COMPUTED_VALUE"""),0.0)</f>
        <v>0</v>
      </c>
      <c r="T3" s="69">
        <f>IFERROR(__xludf.DUMMYFUNCTION("""COMPUTED_VALUE"""),6.0)</f>
        <v>6</v>
      </c>
      <c r="U3" s="138"/>
      <c r="V3" s="86"/>
      <c r="W3" s="25">
        <f t="shared" ref="W3:AC3" si="3">L3</f>
        <v>44251</v>
      </c>
      <c r="X3" s="69">
        <f t="shared" si="3"/>
        <v>6</v>
      </c>
      <c r="Y3" s="69">
        <f t="shared" si="3"/>
        <v>6</v>
      </c>
      <c r="Z3" s="69">
        <f t="shared" si="3"/>
        <v>0</v>
      </c>
      <c r="AA3" s="69">
        <f t="shared" si="3"/>
        <v>0</v>
      </c>
      <c r="AB3" s="69">
        <f t="shared" si="3"/>
        <v>0</v>
      </c>
      <c r="AC3" s="69">
        <f t="shared" si="3"/>
        <v>0</v>
      </c>
    </row>
    <row r="4">
      <c r="B4" s="14">
        <f>IFERROR(__xludf.DUMMYFUNCTION("""COMPUTED_VALUE"""),44187.0)</f>
        <v>44187</v>
      </c>
      <c r="C4" s="16">
        <f>IFERROR(__xludf.DUMMYFUNCTION("""COMPUTED_VALUE"""),1.0)</f>
        <v>1</v>
      </c>
      <c r="D4" s="16">
        <f>IFERROR(__xludf.DUMMYFUNCTION("""COMPUTED_VALUE"""),1.0)</f>
        <v>1</v>
      </c>
      <c r="E4" s="16">
        <f>IFERROR(__xludf.DUMMYFUNCTION("""COMPUTED_VALUE"""),0.0)</f>
        <v>0</v>
      </c>
      <c r="F4" s="16">
        <f>IFERROR(__xludf.DUMMYFUNCTION("""COMPUTED_VALUE"""),0.0)</f>
        <v>0</v>
      </c>
      <c r="G4" s="16">
        <f>IFERROR(__xludf.DUMMYFUNCTION("""COMPUTED_VALUE"""),0.0)</f>
        <v>0</v>
      </c>
      <c r="H4" s="16">
        <f>IFERROR(__xludf.DUMMYFUNCTION("""COMPUTED_VALUE"""),0.0)</f>
        <v>0</v>
      </c>
      <c r="I4" s="16">
        <f>IFERROR(__xludf.DUMMYFUNCTION("""COMPUTED_VALUE"""),0.0)</f>
        <v>0</v>
      </c>
      <c r="J4" s="16"/>
      <c r="K4" s="86"/>
      <c r="L4" s="25">
        <f>IFERROR(__xludf.DUMMYFUNCTION("""COMPUTED_VALUE"""),44258.0)</f>
        <v>44258</v>
      </c>
      <c r="M4" s="69">
        <f>IFERROR(__xludf.DUMMYFUNCTION("""COMPUTED_VALUE"""),6.0)</f>
        <v>6</v>
      </c>
      <c r="N4" s="69">
        <f>IFERROR(__xludf.DUMMYFUNCTION("""COMPUTED_VALUE"""),6.0)</f>
        <v>6</v>
      </c>
      <c r="O4" s="69">
        <f>IFERROR(__xludf.DUMMYFUNCTION("""COMPUTED_VALUE"""),0.0)</f>
        <v>0</v>
      </c>
      <c r="P4" s="69">
        <f>IFERROR(__xludf.DUMMYFUNCTION("""COMPUTED_VALUE"""),0.0)</f>
        <v>0</v>
      </c>
      <c r="Q4" s="69">
        <f>IFERROR(__xludf.DUMMYFUNCTION("""COMPUTED_VALUE"""),0.0)</f>
        <v>0</v>
      </c>
      <c r="R4" s="69">
        <f>IFERROR(__xludf.DUMMYFUNCTION("""COMPUTED_VALUE"""),0.0)</f>
        <v>0</v>
      </c>
      <c r="S4" s="69">
        <f>IFERROR(__xludf.DUMMYFUNCTION("""COMPUTED_VALUE"""),0.0)</f>
        <v>0</v>
      </c>
      <c r="T4" s="69">
        <f>IFERROR(__xludf.DUMMYFUNCTION("""COMPUTED_VALUE"""),6.0)</f>
        <v>6</v>
      </c>
      <c r="U4" s="138"/>
      <c r="V4" s="86"/>
      <c r="W4" s="25">
        <f t="shared" ref="W4:AC4" si="4">L4</f>
        <v>44258</v>
      </c>
      <c r="X4" s="69">
        <f t="shared" si="4"/>
        <v>6</v>
      </c>
      <c r="Y4" s="69">
        <f t="shared" si="4"/>
        <v>6</v>
      </c>
      <c r="Z4" s="69">
        <f t="shared" si="4"/>
        <v>0</v>
      </c>
      <c r="AA4" s="69">
        <f t="shared" si="4"/>
        <v>0</v>
      </c>
      <c r="AB4" s="69">
        <f t="shared" si="4"/>
        <v>0</v>
      </c>
      <c r="AC4" s="69">
        <f t="shared" si="4"/>
        <v>0</v>
      </c>
    </row>
    <row r="5">
      <c r="B5" s="14">
        <f>IFERROR(__xludf.DUMMYFUNCTION("""COMPUTED_VALUE"""),44193.0)</f>
        <v>44193</v>
      </c>
      <c r="C5" s="16">
        <f>IFERROR(__xludf.DUMMYFUNCTION("""COMPUTED_VALUE"""),2.0)</f>
        <v>2</v>
      </c>
      <c r="D5" s="16">
        <f>IFERROR(__xludf.DUMMYFUNCTION("""COMPUTED_VALUE"""),2.0)</f>
        <v>2</v>
      </c>
      <c r="E5" s="16">
        <f>IFERROR(__xludf.DUMMYFUNCTION("""COMPUTED_VALUE"""),0.0)</f>
        <v>0</v>
      </c>
      <c r="F5" s="16">
        <f>IFERROR(__xludf.DUMMYFUNCTION("""COMPUTED_VALUE"""),0.0)</f>
        <v>0</v>
      </c>
      <c r="G5" s="16">
        <f>IFERROR(__xludf.DUMMYFUNCTION("""COMPUTED_VALUE"""),0.0)</f>
        <v>0</v>
      </c>
      <c r="H5" s="16">
        <f>IFERROR(__xludf.DUMMYFUNCTION("""COMPUTED_VALUE"""),0.0)</f>
        <v>0</v>
      </c>
      <c r="I5" s="16">
        <f>IFERROR(__xludf.DUMMYFUNCTION("""COMPUTED_VALUE"""),0.0)</f>
        <v>0</v>
      </c>
      <c r="J5" s="16"/>
      <c r="K5" s="86"/>
      <c r="L5" s="25">
        <f>IFERROR(__xludf.DUMMYFUNCTION("""COMPUTED_VALUE"""),44260.0)</f>
        <v>44260</v>
      </c>
      <c r="M5" s="69">
        <f>IFERROR(__xludf.DUMMYFUNCTION("""COMPUTED_VALUE"""),5.0)</f>
        <v>5</v>
      </c>
      <c r="N5" s="69">
        <f>IFERROR(__xludf.DUMMYFUNCTION("""COMPUTED_VALUE"""),5.0)</f>
        <v>5</v>
      </c>
      <c r="O5" s="69">
        <f>IFERROR(__xludf.DUMMYFUNCTION("""COMPUTED_VALUE"""),0.0)</f>
        <v>0</v>
      </c>
      <c r="P5" s="69">
        <f>IFERROR(__xludf.DUMMYFUNCTION("""COMPUTED_VALUE"""),0.0)</f>
        <v>0</v>
      </c>
      <c r="Q5" s="69">
        <f>IFERROR(__xludf.DUMMYFUNCTION("""COMPUTED_VALUE"""),0.0)</f>
        <v>0</v>
      </c>
      <c r="R5" s="69">
        <f>IFERROR(__xludf.DUMMYFUNCTION("""COMPUTED_VALUE"""),0.0)</f>
        <v>0</v>
      </c>
      <c r="S5" s="69">
        <f>IFERROR(__xludf.DUMMYFUNCTION("""COMPUTED_VALUE"""),0.0)</f>
        <v>0</v>
      </c>
      <c r="T5" s="69">
        <f>IFERROR(__xludf.DUMMYFUNCTION("""COMPUTED_VALUE"""),5.0)</f>
        <v>5</v>
      </c>
      <c r="U5" s="138"/>
      <c r="V5" s="86"/>
      <c r="W5" s="25">
        <f t="shared" ref="W5:AC5" si="5">L5</f>
        <v>44260</v>
      </c>
      <c r="X5" s="69">
        <f t="shared" si="5"/>
        <v>5</v>
      </c>
      <c r="Y5" s="69">
        <f t="shared" si="5"/>
        <v>5</v>
      </c>
      <c r="Z5" s="69">
        <f t="shared" si="5"/>
        <v>0</v>
      </c>
      <c r="AA5" s="69">
        <f t="shared" si="5"/>
        <v>0</v>
      </c>
      <c r="AB5" s="69">
        <f t="shared" si="5"/>
        <v>0</v>
      </c>
      <c r="AC5" s="69">
        <f t="shared" si="5"/>
        <v>0</v>
      </c>
    </row>
    <row r="6">
      <c r="B6" s="14">
        <f>IFERROR(__xludf.DUMMYFUNCTION("""COMPUTED_VALUE"""),44207.0)</f>
        <v>44207</v>
      </c>
      <c r="C6" s="16">
        <f>IFERROR(__xludf.DUMMYFUNCTION("""COMPUTED_VALUE"""),4.0)</f>
        <v>4</v>
      </c>
      <c r="D6" s="16">
        <f>IFERROR(__xludf.DUMMYFUNCTION("""COMPUTED_VALUE"""),4.0)</f>
        <v>4</v>
      </c>
      <c r="E6" s="16">
        <f>IFERROR(__xludf.DUMMYFUNCTION("""COMPUTED_VALUE"""),0.0)</f>
        <v>0</v>
      </c>
      <c r="F6" s="16">
        <f>IFERROR(__xludf.DUMMYFUNCTION("""COMPUTED_VALUE"""),0.0)</f>
        <v>0</v>
      </c>
      <c r="G6" s="16">
        <f>IFERROR(__xludf.DUMMYFUNCTION("""COMPUTED_VALUE"""),0.0)</f>
        <v>0</v>
      </c>
      <c r="H6" s="16">
        <f>IFERROR(__xludf.DUMMYFUNCTION("""COMPUTED_VALUE"""),0.0)</f>
        <v>0</v>
      </c>
      <c r="I6" s="16">
        <f>IFERROR(__xludf.DUMMYFUNCTION("""COMPUTED_VALUE"""),0.0)</f>
        <v>0</v>
      </c>
      <c r="J6" s="16"/>
      <c r="K6" s="86"/>
      <c r="L6" s="25">
        <f>IFERROR(__xludf.DUMMYFUNCTION("""COMPUTED_VALUE"""),44263.0)</f>
        <v>44263</v>
      </c>
      <c r="M6" s="69">
        <f>IFERROR(__xludf.DUMMYFUNCTION("""COMPUTED_VALUE"""),4.0)</f>
        <v>4</v>
      </c>
      <c r="N6" s="69">
        <f>IFERROR(__xludf.DUMMYFUNCTION("""COMPUTED_VALUE"""),4.0)</f>
        <v>4</v>
      </c>
      <c r="O6" s="69">
        <f>IFERROR(__xludf.DUMMYFUNCTION("""COMPUTED_VALUE"""),0.0)</f>
        <v>0</v>
      </c>
      <c r="P6" s="69">
        <f>IFERROR(__xludf.DUMMYFUNCTION("""COMPUTED_VALUE"""),0.0)</f>
        <v>0</v>
      </c>
      <c r="Q6" s="69">
        <f>IFERROR(__xludf.DUMMYFUNCTION("""COMPUTED_VALUE"""),0.0)</f>
        <v>0</v>
      </c>
      <c r="R6" s="69">
        <f>IFERROR(__xludf.DUMMYFUNCTION("""COMPUTED_VALUE"""),0.0)</f>
        <v>0</v>
      </c>
      <c r="S6" s="69">
        <f>IFERROR(__xludf.DUMMYFUNCTION("""COMPUTED_VALUE"""),0.0)</f>
        <v>0</v>
      </c>
      <c r="T6" s="69">
        <f>IFERROR(__xludf.DUMMYFUNCTION("""COMPUTED_VALUE"""),4.0)</f>
        <v>4</v>
      </c>
      <c r="U6" s="138"/>
      <c r="V6" s="86"/>
      <c r="W6" s="25">
        <f t="shared" ref="W6:AC6" si="6">L6</f>
        <v>44263</v>
      </c>
      <c r="X6" s="69">
        <f t="shared" si="6"/>
        <v>4</v>
      </c>
      <c r="Y6" s="69">
        <f t="shared" si="6"/>
        <v>4</v>
      </c>
      <c r="Z6" s="69">
        <f t="shared" si="6"/>
        <v>0</v>
      </c>
      <c r="AA6" s="69">
        <f t="shared" si="6"/>
        <v>0</v>
      </c>
      <c r="AB6" s="69">
        <f t="shared" si="6"/>
        <v>0</v>
      </c>
      <c r="AC6" s="69">
        <f t="shared" si="6"/>
        <v>0</v>
      </c>
    </row>
    <row r="7">
      <c r="B7" s="14">
        <f>IFERROR(__xludf.DUMMYFUNCTION("""COMPUTED_VALUE"""),44209.0)</f>
        <v>44209</v>
      </c>
      <c r="C7" s="16">
        <f>IFERROR(__xludf.DUMMYFUNCTION("""COMPUTED_VALUE"""),4.0)</f>
        <v>4</v>
      </c>
      <c r="D7" s="16">
        <f>IFERROR(__xludf.DUMMYFUNCTION("""COMPUTED_VALUE"""),4.0)</f>
        <v>4</v>
      </c>
      <c r="E7" s="16">
        <f>IFERROR(__xludf.DUMMYFUNCTION("""COMPUTED_VALUE"""),0.0)</f>
        <v>0</v>
      </c>
      <c r="F7" s="16">
        <f>IFERROR(__xludf.DUMMYFUNCTION("""COMPUTED_VALUE"""),0.0)</f>
        <v>0</v>
      </c>
      <c r="G7" s="16">
        <f>IFERROR(__xludf.DUMMYFUNCTION("""COMPUTED_VALUE"""),0.0)</f>
        <v>0</v>
      </c>
      <c r="H7" s="16">
        <f>IFERROR(__xludf.DUMMYFUNCTION("""COMPUTED_VALUE"""),0.0)</f>
        <v>0</v>
      </c>
      <c r="I7" s="16">
        <f>IFERROR(__xludf.DUMMYFUNCTION("""COMPUTED_VALUE"""),0.0)</f>
        <v>0</v>
      </c>
      <c r="J7" s="16"/>
      <c r="K7" s="86"/>
      <c r="L7" s="25">
        <f>IFERROR(__xludf.DUMMYFUNCTION("""COMPUTED_VALUE"""),44265.0)</f>
        <v>44265</v>
      </c>
      <c r="M7" s="69">
        <f>IFERROR(__xludf.DUMMYFUNCTION("""COMPUTED_VALUE"""),2.0)</f>
        <v>2</v>
      </c>
      <c r="N7" s="69">
        <f>IFERROR(__xludf.DUMMYFUNCTION("""COMPUTED_VALUE"""),2.0)</f>
        <v>2</v>
      </c>
      <c r="O7" s="69">
        <f>IFERROR(__xludf.DUMMYFUNCTION("""COMPUTED_VALUE"""),0.0)</f>
        <v>0</v>
      </c>
      <c r="P7" s="69">
        <f>IFERROR(__xludf.DUMMYFUNCTION("""COMPUTED_VALUE"""),0.0)</f>
        <v>0</v>
      </c>
      <c r="Q7" s="69">
        <f>IFERROR(__xludf.DUMMYFUNCTION("""COMPUTED_VALUE"""),0.0)</f>
        <v>0</v>
      </c>
      <c r="R7" s="69">
        <f>IFERROR(__xludf.DUMMYFUNCTION("""COMPUTED_VALUE"""),0.0)</f>
        <v>0</v>
      </c>
      <c r="S7" s="69">
        <f>IFERROR(__xludf.DUMMYFUNCTION("""COMPUTED_VALUE"""),0.0)</f>
        <v>0</v>
      </c>
      <c r="T7" s="69">
        <f>IFERROR(__xludf.DUMMYFUNCTION("""COMPUTED_VALUE"""),2.0)</f>
        <v>2</v>
      </c>
      <c r="U7" s="138"/>
      <c r="V7" s="86"/>
      <c r="W7" s="25">
        <f t="shared" ref="W7:AC7" si="7">L7</f>
        <v>44265</v>
      </c>
      <c r="X7" s="69">
        <f t="shared" si="7"/>
        <v>2</v>
      </c>
      <c r="Y7" s="69">
        <f t="shared" si="7"/>
        <v>2</v>
      </c>
      <c r="Z7" s="69">
        <f t="shared" si="7"/>
        <v>0</v>
      </c>
      <c r="AA7" s="69">
        <f t="shared" si="7"/>
        <v>0</v>
      </c>
      <c r="AB7" s="69">
        <f t="shared" si="7"/>
        <v>0</v>
      </c>
      <c r="AC7" s="69">
        <f t="shared" si="7"/>
        <v>0</v>
      </c>
    </row>
    <row r="8">
      <c r="B8" s="14">
        <f>IFERROR(__xludf.DUMMYFUNCTION("""COMPUTED_VALUE"""),44211.0)</f>
        <v>44211</v>
      </c>
      <c r="C8" s="16">
        <f>IFERROR(__xludf.DUMMYFUNCTION("""COMPUTED_VALUE"""),7.0)</f>
        <v>7</v>
      </c>
      <c r="D8" s="16">
        <f>IFERROR(__xludf.DUMMYFUNCTION("""COMPUTED_VALUE"""),4.0)</f>
        <v>4</v>
      </c>
      <c r="E8" s="16">
        <f>IFERROR(__xludf.DUMMYFUNCTION("""COMPUTED_VALUE"""),3.0)</f>
        <v>3</v>
      </c>
      <c r="F8" s="16">
        <f>IFERROR(__xludf.DUMMYFUNCTION("""COMPUTED_VALUE"""),0.0)</f>
        <v>0</v>
      </c>
      <c r="G8" s="16">
        <f>IFERROR(__xludf.DUMMYFUNCTION("""COMPUTED_VALUE"""),0.0)</f>
        <v>0</v>
      </c>
      <c r="H8" s="16">
        <f>IFERROR(__xludf.DUMMYFUNCTION("""COMPUTED_VALUE"""),0.0)</f>
        <v>0</v>
      </c>
      <c r="I8" s="16">
        <f>IFERROR(__xludf.DUMMYFUNCTION("""COMPUTED_VALUE"""),0.0)</f>
        <v>0</v>
      </c>
      <c r="J8" s="16" t="b">
        <f>IFERROR(__xludf.DUMMYFUNCTION("""COMPUTED_VALUE"""),TRUE)</f>
        <v>1</v>
      </c>
      <c r="K8" s="86"/>
      <c r="L8" s="25">
        <f>IFERROR(__xludf.DUMMYFUNCTION("""COMPUTED_VALUE"""),44267.0)</f>
        <v>44267</v>
      </c>
      <c r="M8" s="69">
        <f>IFERROR(__xludf.DUMMYFUNCTION("""COMPUTED_VALUE"""),3.0)</f>
        <v>3</v>
      </c>
      <c r="N8" s="69">
        <f>IFERROR(__xludf.DUMMYFUNCTION("""COMPUTED_VALUE"""),3.0)</f>
        <v>3</v>
      </c>
      <c r="O8" s="69">
        <f>IFERROR(__xludf.DUMMYFUNCTION("""COMPUTED_VALUE"""),0.0)</f>
        <v>0</v>
      </c>
      <c r="P8" s="69">
        <f>IFERROR(__xludf.DUMMYFUNCTION("""COMPUTED_VALUE"""),0.0)</f>
        <v>0</v>
      </c>
      <c r="Q8" s="69">
        <f>IFERROR(__xludf.DUMMYFUNCTION("""COMPUTED_VALUE"""),0.0)</f>
        <v>0</v>
      </c>
      <c r="R8" s="69">
        <f>IFERROR(__xludf.DUMMYFUNCTION("""COMPUTED_VALUE"""),0.0)</f>
        <v>0</v>
      </c>
      <c r="S8" s="69">
        <f>IFERROR(__xludf.DUMMYFUNCTION("""COMPUTED_VALUE"""),0.0)</f>
        <v>0</v>
      </c>
      <c r="T8" s="69">
        <f>IFERROR(__xludf.DUMMYFUNCTION("""COMPUTED_VALUE"""),3.0)</f>
        <v>3</v>
      </c>
      <c r="U8" s="138"/>
      <c r="V8" s="86"/>
      <c r="W8" s="25">
        <f t="shared" ref="W8:AC8" si="8">L8</f>
        <v>44267</v>
      </c>
      <c r="X8" s="69">
        <f t="shared" si="8"/>
        <v>3</v>
      </c>
      <c r="Y8" s="69">
        <f t="shared" si="8"/>
        <v>3</v>
      </c>
      <c r="Z8" s="69">
        <f t="shared" si="8"/>
        <v>0</v>
      </c>
      <c r="AA8" s="69">
        <f t="shared" si="8"/>
        <v>0</v>
      </c>
      <c r="AB8" s="69">
        <f t="shared" si="8"/>
        <v>0</v>
      </c>
      <c r="AC8" s="69">
        <f t="shared" si="8"/>
        <v>0</v>
      </c>
    </row>
    <row r="9">
      <c r="B9" s="14">
        <f>IFERROR(__xludf.DUMMYFUNCTION("""COMPUTED_VALUE"""),44214.0)</f>
        <v>44214</v>
      </c>
      <c r="C9" s="16">
        <f>IFERROR(__xludf.DUMMYFUNCTION("""COMPUTED_VALUE"""),7.0)</f>
        <v>7</v>
      </c>
      <c r="D9" s="16">
        <f>IFERROR(__xludf.DUMMYFUNCTION("""COMPUTED_VALUE"""),5.0)</f>
        <v>5</v>
      </c>
      <c r="E9" s="16">
        <f>IFERROR(__xludf.DUMMYFUNCTION("""COMPUTED_VALUE"""),0.0)</f>
        <v>0</v>
      </c>
      <c r="F9" s="16">
        <f>IFERROR(__xludf.DUMMYFUNCTION("""COMPUTED_VALUE"""),0.0)</f>
        <v>0</v>
      </c>
      <c r="G9" s="16">
        <f>IFERROR(__xludf.DUMMYFUNCTION("""COMPUTED_VALUE"""),2.0)</f>
        <v>2</v>
      </c>
      <c r="H9" s="16">
        <f>IFERROR(__xludf.DUMMYFUNCTION("""COMPUTED_VALUE"""),0.0)</f>
        <v>0</v>
      </c>
      <c r="I9" s="16">
        <f>IFERROR(__xludf.DUMMYFUNCTION("""COMPUTED_VALUE"""),0.0)</f>
        <v>0</v>
      </c>
      <c r="J9" s="16"/>
      <c r="K9" s="86"/>
      <c r="L9" s="25">
        <f>IFERROR(__xludf.DUMMYFUNCTION("""COMPUTED_VALUE"""),44270.0)</f>
        <v>44270</v>
      </c>
      <c r="M9" s="69">
        <f>IFERROR(__xludf.DUMMYFUNCTION("""COMPUTED_VALUE"""),2.0)</f>
        <v>2</v>
      </c>
      <c r="N9" s="69">
        <f>IFERROR(__xludf.DUMMYFUNCTION("""COMPUTED_VALUE"""),2.0)</f>
        <v>2</v>
      </c>
      <c r="O9" s="69">
        <f>IFERROR(__xludf.DUMMYFUNCTION("""COMPUTED_VALUE"""),0.0)</f>
        <v>0</v>
      </c>
      <c r="P9" s="69">
        <f>IFERROR(__xludf.DUMMYFUNCTION("""COMPUTED_VALUE"""),0.0)</f>
        <v>0</v>
      </c>
      <c r="Q9" s="69">
        <f>IFERROR(__xludf.DUMMYFUNCTION("""COMPUTED_VALUE"""),0.0)</f>
        <v>0</v>
      </c>
      <c r="R9" s="69">
        <f>IFERROR(__xludf.DUMMYFUNCTION("""COMPUTED_VALUE"""),0.0)</f>
        <v>0</v>
      </c>
      <c r="S9" s="69">
        <f>IFERROR(__xludf.DUMMYFUNCTION("""COMPUTED_VALUE"""),0.0)</f>
        <v>0</v>
      </c>
      <c r="T9" s="69">
        <f>IFERROR(__xludf.DUMMYFUNCTION("""COMPUTED_VALUE"""),2.0)</f>
        <v>2</v>
      </c>
      <c r="U9" s="138"/>
      <c r="V9" s="86"/>
      <c r="W9" s="25">
        <f t="shared" ref="W9:AC9" si="9">L9</f>
        <v>44270</v>
      </c>
      <c r="X9" s="69">
        <f t="shared" si="9"/>
        <v>2</v>
      </c>
      <c r="Y9" s="69">
        <f t="shared" si="9"/>
        <v>2</v>
      </c>
      <c r="Z9" s="69">
        <f t="shared" si="9"/>
        <v>0</v>
      </c>
      <c r="AA9" s="69">
        <f t="shared" si="9"/>
        <v>0</v>
      </c>
      <c r="AB9" s="69">
        <f t="shared" si="9"/>
        <v>0</v>
      </c>
      <c r="AC9" s="69">
        <f t="shared" si="9"/>
        <v>0</v>
      </c>
    </row>
    <row r="10">
      <c r="B10" s="14">
        <f>IFERROR(__xludf.DUMMYFUNCTION("""COMPUTED_VALUE"""),44216.0)</f>
        <v>44216</v>
      </c>
      <c r="C10" s="16">
        <f>IFERROR(__xludf.DUMMYFUNCTION("""COMPUTED_VALUE"""),7.0)</f>
        <v>7</v>
      </c>
      <c r="D10" s="16">
        <f>IFERROR(__xludf.DUMMYFUNCTION("""COMPUTED_VALUE"""),7.0)</f>
        <v>7</v>
      </c>
      <c r="E10" s="16">
        <f>IFERROR(__xludf.DUMMYFUNCTION("""COMPUTED_VALUE"""),0.0)</f>
        <v>0</v>
      </c>
      <c r="F10" s="16">
        <f>IFERROR(__xludf.DUMMYFUNCTION("""COMPUTED_VALUE"""),0.0)</f>
        <v>0</v>
      </c>
      <c r="G10" s="16">
        <f>IFERROR(__xludf.DUMMYFUNCTION("""COMPUTED_VALUE"""),0.0)</f>
        <v>0</v>
      </c>
      <c r="H10" s="16">
        <f>IFERROR(__xludf.DUMMYFUNCTION("""COMPUTED_VALUE"""),0.0)</f>
        <v>0</v>
      </c>
      <c r="I10" s="16">
        <f>IFERROR(__xludf.DUMMYFUNCTION("""COMPUTED_VALUE"""),0.0)</f>
        <v>0</v>
      </c>
      <c r="J10" s="16" t="b">
        <f>IFERROR(__xludf.DUMMYFUNCTION("""COMPUTED_VALUE"""),TRUE)</f>
        <v>1</v>
      </c>
      <c r="K10" s="86"/>
      <c r="L10" s="25">
        <f>IFERROR(__xludf.DUMMYFUNCTION("""COMPUTED_VALUE"""),44272.0)</f>
        <v>44272</v>
      </c>
      <c r="M10" s="69">
        <f>IFERROR(__xludf.DUMMYFUNCTION("""COMPUTED_VALUE"""),4.0)</f>
        <v>4</v>
      </c>
      <c r="N10" s="69">
        <f>IFERROR(__xludf.DUMMYFUNCTION("""COMPUTED_VALUE"""),4.0)</f>
        <v>4</v>
      </c>
      <c r="O10" s="69">
        <f>IFERROR(__xludf.DUMMYFUNCTION("""COMPUTED_VALUE"""),0.0)</f>
        <v>0</v>
      </c>
      <c r="P10" s="69">
        <f>IFERROR(__xludf.DUMMYFUNCTION("""COMPUTED_VALUE"""),0.0)</f>
        <v>0</v>
      </c>
      <c r="Q10" s="69">
        <f>IFERROR(__xludf.DUMMYFUNCTION("""COMPUTED_VALUE"""),0.0)</f>
        <v>0</v>
      </c>
      <c r="R10" s="69">
        <f>IFERROR(__xludf.DUMMYFUNCTION("""COMPUTED_VALUE"""),0.0)</f>
        <v>0</v>
      </c>
      <c r="S10" s="69">
        <f>IFERROR(__xludf.DUMMYFUNCTION("""COMPUTED_VALUE"""),0.0)</f>
        <v>0</v>
      </c>
      <c r="T10" s="69">
        <f>IFERROR(__xludf.DUMMYFUNCTION("""COMPUTED_VALUE"""),4.0)</f>
        <v>4</v>
      </c>
      <c r="U10" s="138"/>
      <c r="V10" s="86"/>
      <c r="W10" s="25">
        <f t="shared" ref="W10:AC10" si="10">L10</f>
        <v>44272</v>
      </c>
      <c r="X10" s="69">
        <f t="shared" si="10"/>
        <v>4</v>
      </c>
      <c r="Y10" s="69">
        <f t="shared" si="10"/>
        <v>4</v>
      </c>
      <c r="Z10" s="69">
        <f t="shared" si="10"/>
        <v>0</v>
      </c>
      <c r="AA10" s="69">
        <f t="shared" si="10"/>
        <v>0</v>
      </c>
      <c r="AB10" s="69">
        <f t="shared" si="10"/>
        <v>0</v>
      </c>
      <c r="AC10" s="69">
        <f t="shared" si="10"/>
        <v>0</v>
      </c>
    </row>
    <row r="11">
      <c r="B11" s="14">
        <f>IFERROR(__xludf.DUMMYFUNCTION("""COMPUTED_VALUE"""),44217.0)</f>
        <v>44217</v>
      </c>
      <c r="C11" s="16">
        <f>IFERROR(__xludf.DUMMYFUNCTION("""COMPUTED_VALUE"""),4.0)</f>
        <v>4</v>
      </c>
      <c r="D11" s="16">
        <f>IFERROR(__xludf.DUMMYFUNCTION("""COMPUTED_VALUE"""),4.0)</f>
        <v>4</v>
      </c>
      <c r="E11" s="16">
        <f>IFERROR(__xludf.DUMMYFUNCTION("""COMPUTED_VALUE"""),0.0)</f>
        <v>0</v>
      </c>
      <c r="F11" s="16">
        <f>IFERROR(__xludf.DUMMYFUNCTION("""COMPUTED_VALUE"""),0.0)</f>
        <v>0</v>
      </c>
      <c r="G11" s="16">
        <f>IFERROR(__xludf.DUMMYFUNCTION("""COMPUTED_VALUE"""),0.0)</f>
        <v>0</v>
      </c>
      <c r="H11" s="16">
        <f>IFERROR(__xludf.DUMMYFUNCTION("""COMPUTED_VALUE"""),0.0)</f>
        <v>0</v>
      </c>
      <c r="I11" s="16">
        <f>IFERROR(__xludf.DUMMYFUNCTION("""COMPUTED_VALUE"""),0.0)</f>
        <v>0</v>
      </c>
      <c r="J11" s="16"/>
      <c r="K11" s="86"/>
      <c r="L11" s="25">
        <f>IFERROR(__xludf.DUMMYFUNCTION("""COMPUTED_VALUE"""),44281.0)</f>
        <v>44281</v>
      </c>
      <c r="M11" s="69">
        <f>IFERROR(__xludf.DUMMYFUNCTION("""COMPUTED_VALUE"""),2.0)</f>
        <v>2</v>
      </c>
      <c r="N11" s="69">
        <f>IFERROR(__xludf.DUMMYFUNCTION("""COMPUTED_VALUE"""),2.0)</f>
        <v>2</v>
      </c>
      <c r="O11" s="69">
        <f>IFERROR(__xludf.DUMMYFUNCTION("""COMPUTED_VALUE"""),0.0)</f>
        <v>0</v>
      </c>
      <c r="P11" s="69">
        <f>IFERROR(__xludf.DUMMYFUNCTION("""COMPUTED_VALUE"""),0.0)</f>
        <v>0</v>
      </c>
      <c r="Q11" s="69">
        <f>IFERROR(__xludf.DUMMYFUNCTION("""COMPUTED_VALUE"""),0.0)</f>
        <v>0</v>
      </c>
      <c r="R11" s="69">
        <f>IFERROR(__xludf.DUMMYFUNCTION("""COMPUTED_VALUE"""),0.0)</f>
        <v>0</v>
      </c>
      <c r="S11" s="69">
        <f>IFERROR(__xludf.DUMMYFUNCTION("""COMPUTED_VALUE"""),0.0)</f>
        <v>0</v>
      </c>
      <c r="T11" s="69">
        <f>IFERROR(__xludf.DUMMYFUNCTION("""COMPUTED_VALUE"""),2.0)</f>
        <v>2</v>
      </c>
      <c r="U11" s="138"/>
      <c r="V11" s="86"/>
      <c r="W11" s="25">
        <f t="shared" ref="W11:AC11" si="11">L11</f>
        <v>44281</v>
      </c>
      <c r="X11" s="69">
        <f t="shared" si="11"/>
        <v>2</v>
      </c>
      <c r="Y11" s="69">
        <f t="shared" si="11"/>
        <v>2</v>
      </c>
      <c r="Z11" s="69">
        <f t="shared" si="11"/>
        <v>0</v>
      </c>
      <c r="AA11" s="69">
        <f t="shared" si="11"/>
        <v>0</v>
      </c>
      <c r="AB11" s="69">
        <f t="shared" si="11"/>
        <v>0</v>
      </c>
      <c r="AC11" s="69">
        <f t="shared" si="11"/>
        <v>0</v>
      </c>
    </row>
    <row r="12">
      <c r="B12" s="14">
        <f>IFERROR(__xludf.DUMMYFUNCTION("""COMPUTED_VALUE"""),44218.0)</f>
        <v>44218</v>
      </c>
      <c r="C12" s="16">
        <f>IFERROR(__xludf.DUMMYFUNCTION("""COMPUTED_VALUE"""),4.0)</f>
        <v>4</v>
      </c>
      <c r="D12" s="16">
        <f>IFERROR(__xludf.DUMMYFUNCTION("""COMPUTED_VALUE"""),4.0)</f>
        <v>4</v>
      </c>
      <c r="E12" s="16">
        <f>IFERROR(__xludf.DUMMYFUNCTION("""COMPUTED_VALUE"""),0.0)</f>
        <v>0</v>
      </c>
      <c r="F12" s="16">
        <f>IFERROR(__xludf.DUMMYFUNCTION("""COMPUTED_VALUE"""),0.0)</f>
        <v>0</v>
      </c>
      <c r="G12" s="16">
        <f>IFERROR(__xludf.DUMMYFUNCTION("""COMPUTED_VALUE"""),0.0)</f>
        <v>0</v>
      </c>
      <c r="H12" s="16">
        <f>IFERROR(__xludf.DUMMYFUNCTION("""COMPUTED_VALUE"""),0.0)</f>
        <v>0</v>
      </c>
      <c r="I12" s="16">
        <f>IFERROR(__xludf.DUMMYFUNCTION("""COMPUTED_VALUE"""),0.0)</f>
        <v>0</v>
      </c>
      <c r="J12" s="16"/>
      <c r="K12" s="86"/>
      <c r="L12" s="25">
        <f>IFERROR(__xludf.DUMMYFUNCTION("""COMPUTED_VALUE"""),44284.0)</f>
        <v>44284</v>
      </c>
      <c r="M12" s="69">
        <f>IFERROR(__xludf.DUMMYFUNCTION("""COMPUTED_VALUE"""),2.0)</f>
        <v>2</v>
      </c>
      <c r="N12" s="69">
        <f>IFERROR(__xludf.DUMMYFUNCTION("""COMPUTED_VALUE"""),2.0)</f>
        <v>2</v>
      </c>
      <c r="O12" s="69">
        <f>IFERROR(__xludf.DUMMYFUNCTION("""COMPUTED_VALUE"""),0.0)</f>
        <v>0</v>
      </c>
      <c r="P12" s="69">
        <f>IFERROR(__xludf.DUMMYFUNCTION("""COMPUTED_VALUE"""),0.0)</f>
        <v>0</v>
      </c>
      <c r="Q12" s="69">
        <f>IFERROR(__xludf.DUMMYFUNCTION("""COMPUTED_VALUE"""),0.0)</f>
        <v>0</v>
      </c>
      <c r="R12" s="69">
        <f>IFERROR(__xludf.DUMMYFUNCTION("""COMPUTED_VALUE"""),0.0)</f>
        <v>0</v>
      </c>
      <c r="S12" s="69">
        <f>IFERROR(__xludf.DUMMYFUNCTION("""COMPUTED_VALUE"""),0.0)</f>
        <v>0</v>
      </c>
      <c r="T12" s="69">
        <f>IFERROR(__xludf.DUMMYFUNCTION("""COMPUTED_VALUE"""),2.0)</f>
        <v>2</v>
      </c>
      <c r="U12" s="138"/>
      <c r="V12" s="86"/>
      <c r="W12" s="25">
        <f t="shared" ref="W12:AC12" si="12">L12</f>
        <v>44284</v>
      </c>
      <c r="X12" s="69">
        <f t="shared" si="12"/>
        <v>2</v>
      </c>
      <c r="Y12" s="69">
        <f t="shared" si="12"/>
        <v>2</v>
      </c>
      <c r="Z12" s="69">
        <f t="shared" si="12"/>
        <v>0</v>
      </c>
      <c r="AA12" s="69">
        <f t="shared" si="12"/>
        <v>0</v>
      </c>
      <c r="AB12" s="69">
        <f t="shared" si="12"/>
        <v>0</v>
      </c>
      <c r="AC12" s="69">
        <f t="shared" si="12"/>
        <v>0</v>
      </c>
    </row>
    <row r="13">
      <c r="B13" s="14">
        <f>IFERROR(__xludf.DUMMYFUNCTION("""COMPUTED_VALUE"""),44220.0)</f>
        <v>44220</v>
      </c>
      <c r="C13" s="16">
        <f>IFERROR(__xludf.DUMMYFUNCTION("""COMPUTED_VALUE"""),2.0)</f>
        <v>2</v>
      </c>
      <c r="D13" s="16">
        <f>IFERROR(__xludf.DUMMYFUNCTION("""COMPUTED_VALUE"""),2.0)</f>
        <v>2</v>
      </c>
      <c r="E13" s="16">
        <f>IFERROR(__xludf.DUMMYFUNCTION("""COMPUTED_VALUE"""),0.0)</f>
        <v>0</v>
      </c>
      <c r="F13" s="16">
        <f>IFERROR(__xludf.DUMMYFUNCTION("""COMPUTED_VALUE"""),0.0)</f>
        <v>0</v>
      </c>
      <c r="G13" s="16">
        <f>IFERROR(__xludf.DUMMYFUNCTION("""COMPUTED_VALUE"""),0.0)</f>
        <v>0</v>
      </c>
      <c r="H13" s="16">
        <f>IFERROR(__xludf.DUMMYFUNCTION("""COMPUTED_VALUE"""),0.0)</f>
        <v>0</v>
      </c>
      <c r="I13" s="16">
        <f>IFERROR(__xludf.DUMMYFUNCTION("""COMPUTED_VALUE"""),0.0)</f>
        <v>0</v>
      </c>
      <c r="J13" s="16"/>
      <c r="K13" s="86"/>
      <c r="L13" s="25">
        <f>IFERROR(__xludf.DUMMYFUNCTION("""COMPUTED_VALUE"""),44302.0)</f>
        <v>44302</v>
      </c>
      <c r="M13" s="69">
        <f>IFERROR(__xludf.DUMMYFUNCTION("""COMPUTED_VALUE"""),3.0)</f>
        <v>3</v>
      </c>
      <c r="N13" s="69">
        <f>IFERROR(__xludf.DUMMYFUNCTION("""COMPUTED_VALUE"""),3.0)</f>
        <v>3</v>
      </c>
      <c r="O13" s="69">
        <f>IFERROR(__xludf.DUMMYFUNCTION("""COMPUTED_VALUE"""),0.0)</f>
        <v>0</v>
      </c>
      <c r="P13" s="69">
        <f>IFERROR(__xludf.DUMMYFUNCTION("""COMPUTED_VALUE"""),0.0)</f>
        <v>0</v>
      </c>
      <c r="Q13" s="69">
        <f>IFERROR(__xludf.DUMMYFUNCTION("""COMPUTED_VALUE"""),0.0)</f>
        <v>0</v>
      </c>
      <c r="R13" s="69">
        <f>IFERROR(__xludf.DUMMYFUNCTION("""COMPUTED_VALUE"""),0.0)</f>
        <v>0</v>
      </c>
      <c r="S13" s="69">
        <f>IFERROR(__xludf.DUMMYFUNCTION("""COMPUTED_VALUE"""),0.0)</f>
        <v>0</v>
      </c>
      <c r="T13" s="69">
        <f>IFERROR(__xludf.DUMMYFUNCTION("""COMPUTED_VALUE"""),3.0)</f>
        <v>3</v>
      </c>
      <c r="U13" s="138"/>
      <c r="V13" s="86"/>
      <c r="W13" s="25">
        <f t="shared" ref="W13:AC13" si="13">L13</f>
        <v>44302</v>
      </c>
      <c r="X13" s="69">
        <f t="shared" si="13"/>
        <v>3</v>
      </c>
      <c r="Y13" s="69">
        <f t="shared" si="13"/>
        <v>3</v>
      </c>
      <c r="Z13" s="69">
        <f t="shared" si="13"/>
        <v>0</v>
      </c>
      <c r="AA13" s="69">
        <f t="shared" si="13"/>
        <v>0</v>
      </c>
      <c r="AB13" s="69">
        <f t="shared" si="13"/>
        <v>0</v>
      </c>
      <c r="AC13" s="69">
        <f t="shared" si="13"/>
        <v>0</v>
      </c>
    </row>
    <row r="14">
      <c r="B14" s="14">
        <f>IFERROR(__xludf.DUMMYFUNCTION("""COMPUTED_VALUE"""),44221.0)</f>
        <v>44221</v>
      </c>
      <c r="C14" s="16">
        <f>IFERROR(__xludf.DUMMYFUNCTION("""COMPUTED_VALUE"""),4.0)</f>
        <v>4</v>
      </c>
      <c r="D14" s="16">
        <f>IFERROR(__xludf.DUMMYFUNCTION("""COMPUTED_VALUE"""),4.0)</f>
        <v>4</v>
      </c>
      <c r="E14" s="16">
        <f>IFERROR(__xludf.DUMMYFUNCTION("""COMPUTED_VALUE"""),0.0)</f>
        <v>0</v>
      </c>
      <c r="F14" s="16">
        <f>IFERROR(__xludf.DUMMYFUNCTION("""COMPUTED_VALUE"""),0.0)</f>
        <v>0</v>
      </c>
      <c r="G14" s="16">
        <f>IFERROR(__xludf.DUMMYFUNCTION("""COMPUTED_VALUE"""),0.0)</f>
        <v>0</v>
      </c>
      <c r="H14" s="16">
        <f>IFERROR(__xludf.DUMMYFUNCTION("""COMPUTED_VALUE"""),0.0)</f>
        <v>0</v>
      </c>
      <c r="I14" s="16">
        <f>IFERROR(__xludf.DUMMYFUNCTION("""COMPUTED_VALUE"""),0.0)</f>
        <v>0</v>
      </c>
      <c r="J14" s="16"/>
      <c r="K14" s="86"/>
      <c r="L14" s="25">
        <f>IFERROR(__xludf.DUMMYFUNCTION("""COMPUTED_VALUE"""),44326.0)</f>
        <v>44326</v>
      </c>
      <c r="M14" s="69">
        <f>IFERROR(__xludf.DUMMYFUNCTION("""COMPUTED_VALUE"""),3.0)</f>
        <v>3</v>
      </c>
      <c r="N14" s="69">
        <f>IFERROR(__xludf.DUMMYFUNCTION("""COMPUTED_VALUE"""),3.0)</f>
        <v>3</v>
      </c>
      <c r="O14" s="69">
        <f>IFERROR(__xludf.DUMMYFUNCTION("""COMPUTED_VALUE"""),0.0)</f>
        <v>0</v>
      </c>
      <c r="P14" s="69">
        <f>IFERROR(__xludf.DUMMYFUNCTION("""COMPUTED_VALUE"""),0.0)</f>
        <v>0</v>
      </c>
      <c r="Q14" s="69">
        <f>IFERROR(__xludf.DUMMYFUNCTION("""COMPUTED_VALUE"""),0.0)</f>
        <v>0</v>
      </c>
      <c r="R14" s="69">
        <f>IFERROR(__xludf.DUMMYFUNCTION("""COMPUTED_VALUE"""),0.0)</f>
        <v>0</v>
      </c>
      <c r="S14" s="69">
        <f>IFERROR(__xludf.DUMMYFUNCTION("""COMPUTED_VALUE"""),0.0)</f>
        <v>0</v>
      </c>
      <c r="T14" s="69">
        <f>IFERROR(__xludf.DUMMYFUNCTION("""COMPUTED_VALUE"""),3.0)</f>
        <v>3</v>
      </c>
      <c r="U14" s="138"/>
      <c r="V14" s="86"/>
      <c r="W14" s="25">
        <f t="shared" ref="W14:AC14" si="14">L14</f>
        <v>44326</v>
      </c>
      <c r="X14" s="69">
        <f t="shared" si="14"/>
        <v>3</v>
      </c>
      <c r="Y14" s="69">
        <f t="shared" si="14"/>
        <v>3</v>
      </c>
      <c r="Z14" s="69">
        <f t="shared" si="14"/>
        <v>0</v>
      </c>
      <c r="AA14" s="69">
        <f t="shared" si="14"/>
        <v>0</v>
      </c>
      <c r="AB14" s="69">
        <f t="shared" si="14"/>
        <v>0</v>
      </c>
      <c r="AC14" s="69">
        <f t="shared" si="14"/>
        <v>0</v>
      </c>
    </row>
    <row r="15">
      <c r="B15" s="14">
        <f>IFERROR(__xludf.DUMMYFUNCTION("""COMPUTED_VALUE"""),44222.0)</f>
        <v>44222</v>
      </c>
      <c r="C15" s="16">
        <f>IFERROR(__xludf.DUMMYFUNCTION("""COMPUTED_VALUE"""),3.0)</f>
        <v>3</v>
      </c>
      <c r="D15" s="16">
        <f>IFERROR(__xludf.DUMMYFUNCTION("""COMPUTED_VALUE"""),3.0)</f>
        <v>3</v>
      </c>
      <c r="E15" s="16">
        <f>IFERROR(__xludf.DUMMYFUNCTION("""COMPUTED_VALUE"""),0.0)</f>
        <v>0</v>
      </c>
      <c r="F15" s="16">
        <f>IFERROR(__xludf.DUMMYFUNCTION("""COMPUTED_VALUE"""),0.0)</f>
        <v>0</v>
      </c>
      <c r="G15" s="16">
        <f>IFERROR(__xludf.DUMMYFUNCTION("""COMPUTED_VALUE"""),0.0)</f>
        <v>0</v>
      </c>
      <c r="H15" s="16">
        <f>IFERROR(__xludf.DUMMYFUNCTION("""COMPUTED_VALUE"""),0.0)</f>
        <v>0</v>
      </c>
      <c r="I15" s="16">
        <f>IFERROR(__xludf.DUMMYFUNCTION("""COMPUTED_VALUE"""),0.0)</f>
        <v>0</v>
      </c>
      <c r="J15" s="16"/>
      <c r="K15" s="86"/>
      <c r="L15" s="25">
        <f>IFERROR(__xludf.DUMMYFUNCTION("""COMPUTED_VALUE"""),44334.0)</f>
        <v>44334</v>
      </c>
      <c r="M15" s="69">
        <f>IFERROR(__xludf.DUMMYFUNCTION("""COMPUTED_VALUE"""),6.0)</f>
        <v>6</v>
      </c>
      <c r="N15" s="69">
        <f>IFERROR(__xludf.DUMMYFUNCTION("""COMPUTED_VALUE"""),6.0)</f>
        <v>6</v>
      </c>
      <c r="O15" s="69">
        <f>IFERROR(__xludf.DUMMYFUNCTION("""COMPUTED_VALUE"""),0.0)</f>
        <v>0</v>
      </c>
      <c r="P15" s="69">
        <f>IFERROR(__xludf.DUMMYFUNCTION("""COMPUTED_VALUE"""),0.0)</f>
        <v>0</v>
      </c>
      <c r="Q15" s="69">
        <f>IFERROR(__xludf.DUMMYFUNCTION("""COMPUTED_VALUE"""),0.0)</f>
        <v>0</v>
      </c>
      <c r="R15" s="69">
        <f>IFERROR(__xludf.DUMMYFUNCTION("""COMPUTED_VALUE"""),0.0)</f>
        <v>0</v>
      </c>
      <c r="S15" s="69">
        <f>IFERROR(__xludf.DUMMYFUNCTION("""COMPUTED_VALUE"""),0.0)</f>
        <v>0</v>
      </c>
      <c r="T15" s="69">
        <f>IFERROR(__xludf.DUMMYFUNCTION("""COMPUTED_VALUE"""),6.0)</f>
        <v>6</v>
      </c>
      <c r="U15" s="138"/>
      <c r="V15" s="86"/>
      <c r="W15" s="25">
        <f t="shared" ref="W15:AC15" si="15">L15</f>
        <v>44334</v>
      </c>
      <c r="X15" s="69">
        <f t="shared" si="15"/>
        <v>6</v>
      </c>
      <c r="Y15" s="69">
        <f t="shared" si="15"/>
        <v>6</v>
      </c>
      <c r="Z15" s="69">
        <f t="shared" si="15"/>
        <v>0</v>
      </c>
      <c r="AA15" s="69">
        <f t="shared" si="15"/>
        <v>0</v>
      </c>
      <c r="AB15" s="69">
        <f t="shared" si="15"/>
        <v>0</v>
      </c>
      <c r="AC15" s="69">
        <f t="shared" si="15"/>
        <v>0</v>
      </c>
    </row>
    <row r="16">
      <c r="B16" s="14">
        <f>IFERROR(__xludf.DUMMYFUNCTION("""COMPUTED_VALUE"""),44223.0)</f>
        <v>44223</v>
      </c>
      <c r="C16" s="16">
        <f>IFERROR(__xludf.DUMMYFUNCTION("""COMPUTED_VALUE"""),3.0)</f>
        <v>3</v>
      </c>
      <c r="D16" s="16">
        <f>IFERROR(__xludf.DUMMYFUNCTION("""COMPUTED_VALUE"""),3.0)</f>
        <v>3</v>
      </c>
      <c r="E16" s="16">
        <f>IFERROR(__xludf.DUMMYFUNCTION("""COMPUTED_VALUE"""),0.0)</f>
        <v>0</v>
      </c>
      <c r="F16" s="16">
        <f>IFERROR(__xludf.DUMMYFUNCTION("""COMPUTED_VALUE"""),0.0)</f>
        <v>0</v>
      </c>
      <c r="G16" s="16">
        <f>IFERROR(__xludf.DUMMYFUNCTION("""COMPUTED_VALUE"""),0.0)</f>
        <v>0</v>
      </c>
      <c r="H16" s="16">
        <f>IFERROR(__xludf.DUMMYFUNCTION("""COMPUTED_VALUE"""),0.0)</f>
        <v>0</v>
      </c>
      <c r="I16" s="16">
        <f>IFERROR(__xludf.DUMMYFUNCTION("""COMPUTED_VALUE"""),0.0)</f>
        <v>0</v>
      </c>
      <c r="J16" s="16"/>
      <c r="K16" s="86"/>
      <c r="L16" s="25">
        <f>IFERROR(__xludf.DUMMYFUNCTION("""COMPUTED_VALUE"""),44364.0)</f>
        <v>44364</v>
      </c>
      <c r="M16" s="69">
        <f>IFERROR(__xludf.DUMMYFUNCTION("""COMPUTED_VALUE"""),2.0)</f>
        <v>2</v>
      </c>
      <c r="N16" s="69">
        <f>IFERROR(__xludf.DUMMYFUNCTION("""COMPUTED_VALUE"""),2.0)</f>
        <v>2</v>
      </c>
      <c r="O16" s="69">
        <f>IFERROR(__xludf.DUMMYFUNCTION("""COMPUTED_VALUE"""),0.0)</f>
        <v>0</v>
      </c>
      <c r="P16" s="69">
        <f>IFERROR(__xludf.DUMMYFUNCTION("""COMPUTED_VALUE"""),0.0)</f>
        <v>0</v>
      </c>
      <c r="Q16" s="69">
        <f>IFERROR(__xludf.DUMMYFUNCTION("""COMPUTED_VALUE"""),0.0)</f>
        <v>0</v>
      </c>
      <c r="R16" s="69">
        <f>IFERROR(__xludf.DUMMYFUNCTION("""COMPUTED_VALUE"""),0.0)</f>
        <v>0</v>
      </c>
      <c r="S16" s="69">
        <f>IFERROR(__xludf.DUMMYFUNCTION("""COMPUTED_VALUE"""),0.0)</f>
        <v>0</v>
      </c>
      <c r="T16" s="69">
        <f>IFERROR(__xludf.DUMMYFUNCTION("""COMPUTED_VALUE"""),2.0)</f>
        <v>2</v>
      </c>
      <c r="U16" s="138"/>
      <c r="V16" s="86"/>
      <c r="W16" s="25">
        <f t="shared" ref="W16:AC16" si="16">L16</f>
        <v>44364</v>
      </c>
      <c r="X16" s="69">
        <f t="shared" si="16"/>
        <v>2</v>
      </c>
      <c r="Y16" s="69">
        <f t="shared" si="16"/>
        <v>2</v>
      </c>
      <c r="Z16" s="69">
        <f t="shared" si="16"/>
        <v>0</v>
      </c>
      <c r="AA16" s="69">
        <f t="shared" si="16"/>
        <v>0</v>
      </c>
      <c r="AB16" s="69">
        <f t="shared" si="16"/>
        <v>0</v>
      </c>
      <c r="AC16" s="69">
        <f t="shared" si="16"/>
        <v>0</v>
      </c>
    </row>
    <row r="17">
      <c r="B17" s="14">
        <f>IFERROR(__xludf.DUMMYFUNCTION("""COMPUTED_VALUE"""),44224.0)</f>
        <v>44224</v>
      </c>
      <c r="C17" s="16">
        <f>IFERROR(__xludf.DUMMYFUNCTION("""COMPUTED_VALUE"""),2.0)</f>
        <v>2</v>
      </c>
      <c r="D17" s="16">
        <f>IFERROR(__xludf.DUMMYFUNCTION("""COMPUTED_VALUE"""),2.0)</f>
        <v>2</v>
      </c>
      <c r="E17" s="16">
        <f>IFERROR(__xludf.DUMMYFUNCTION("""COMPUTED_VALUE"""),0.0)</f>
        <v>0</v>
      </c>
      <c r="F17" s="16">
        <f>IFERROR(__xludf.DUMMYFUNCTION("""COMPUTED_VALUE"""),0.0)</f>
        <v>0</v>
      </c>
      <c r="G17" s="16">
        <f>IFERROR(__xludf.DUMMYFUNCTION("""COMPUTED_VALUE"""),0.0)</f>
        <v>0</v>
      </c>
      <c r="H17" s="16">
        <f>IFERROR(__xludf.DUMMYFUNCTION("""COMPUTED_VALUE"""),0.0)</f>
        <v>0</v>
      </c>
      <c r="I17" s="16">
        <f>IFERROR(__xludf.DUMMYFUNCTION("""COMPUTED_VALUE"""),0.0)</f>
        <v>0</v>
      </c>
      <c r="J17" s="16"/>
      <c r="K17" s="86"/>
      <c r="L17" s="25">
        <f>IFERROR(__xludf.DUMMYFUNCTION("""COMPUTED_VALUE"""),44449.0)</f>
        <v>44449</v>
      </c>
      <c r="M17" s="69">
        <f>IFERROR(__xludf.DUMMYFUNCTION("""COMPUTED_VALUE"""),4.0)</f>
        <v>4</v>
      </c>
      <c r="N17" s="69">
        <f>IFERROR(__xludf.DUMMYFUNCTION("""COMPUTED_VALUE"""),4.0)</f>
        <v>4</v>
      </c>
      <c r="O17" s="69">
        <f>IFERROR(__xludf.DUMMYFUNCTION("""COMPUTED_VALUE"""),0.0)</f>
        <v>0</v>
      </c>
      <c r="P17" s="69">
        <f>IFERROR(__xludf.DUMMYFUNCTION("""COMPUTED_VALUE"""),0.0)</f>
        <v>0</v>
      </c>
      <c r="Q17" s="69">
        <f>IFERROR(__xludf.DUMMYFUNCTION("""COMPUTED_VALUE"""),0.0)</f>
        <v>0</v>
      </c>
      <c r="R17" s="69">
        <f>IFERROR(__xludf.DUMMYFUNCTION("""COMPUTED_VALUE"""),0.0)</f>
        <v>0</v>
      </c>
      <c r="S17" s="69">
        <f>IFERROR(__xludf.DUMMYFUNCTION("""COMPUTED_VALUE"""),0.0)</f>
        <v>0</v>
      </c>
      <c r="T17" s="69">
        <f>IFERROR(__xludf.DUMMYFUNCTION("""COMPUTED_VALUE"""),4.0)</f>
        <v>4</v>
      </c>
      <c r="U17" s="138"/>
      <c r="V17" s="86"/>
      <c r="W17" s="25">
        <f t="shared" ref="W17:AC17" si="17">L17</f>
        <v>44449</v>
      </c>
      <c r="X17" s="69">
        <f t="shared" si="17"/>
        <v>4</v>
      </c>
      <c r="Y17" s="69">
        <f t="shared" si="17"/>
        <v>4</v>
      </c>
      <c r="Z17" s="69">
        <f t="shared" si="17"/>
        <v>0</v>
      </c>
      <c r="AA17" s="69">
        <f t="shared" si="17"/>
        <v>0</v>
      </c>
      <c r="AB17" s="69">
        <f t="shared" si="17"/>
        <v>0</v>
      </c>
      <c r="AC17" s="69">
        <f t="shared" si="17"/>
        <v>0</v>
      </c>
    </row>
    <row r="18">
      <c r="B18" s="14">
        <f>IFERROR(__xludf.DUMMYFUNCTION("""COMPUTED_VALUE"""),44225.0)</f>
        <v>44225</v>
      </c>
      <c r="C18" s="16">
        <f>IFERROR(__xludf.DUMMYFUNCTION("""COMPUTED_VALUE"""),4.0)</f>
        <v>4</v>
      </c>
      <c r="D18" s="16">
        <f>IFERROR(__xludf.DUMMYFUNCTION("""COMPUTED_VALUE"""),4.0)</f>
        <v>4</v>
      </c>
      <c r="E18" s="16">
        <f>IFERROR(__xludf.DUMMYFUNCTION("""COMPUTED_VALUE"""),0.0)</f>
        <v>0</v>
      </c>
      <c r="F18" s="16">
        <f>IFERROR(__xludf.DUMMYFUNCTION("""COMPUTED_VALUE"""),0.0)</f>
        <v>0</v>
      </c>
      <c r="G18" s="16">
        <f>IFERROR(__xludf.DUMMYFUNCTION("""COMPUTED_VALUE"""),0.0)</f>
        <v>0</v>
      </c>
      <c r="H18" s="16">
        <f>IFERROR(__xludf.DUMMYFUNCTION("""COMPUTED_VALUE"""),0.0)</f>
        <v>0</v>
      </c>
      <c r="I18" s="16">
        <f>IFERROR(__xludf.DUMMYFUNCTION("""COMPUTED_VALUE"""),0.0)</f>
        <v>0</v>
      </c>
      <c r="J18" s="16"/>
      <c r="K18" s="86"/>
      <c r="L18" s="25">
        <f>IFERROR(__xludf.DUMMYFUNCTION("""COMPUTED_VALUE"""),44452.0)</f>
        <v>44452</v>
      </c>
      <c r="M18" s="69">
        <f>IFERROR(__xludf.DUMMYFUNCTION("""COMPUTED_VALUE"""),2.0)</f>
        <v>2</v>
      </c>
      <c r="N18" s="69">
        <f>IFERROR(__xludf.DUMMYFUNCTION("""COMPUTED_VALUE"""),2.0)</f>
        <v>2</v>
      </c>
      <c r="O18" s="69">
        <f>IFERROR(__xludf.DUMMYFUNCTION("""COMPUTED_VALUE"""),0.0)</f>
        <v>0</v>
      </c>
      <c r="P18" s="69">
        <f>IFERROR(__xludf.DUMMYFUNCTION("""COMPUTED_VALUE"""),0.0)</f>
        <v>0</v>
      </c>
      <c r="Q18" s="69">
        <f>IFERROR(__xludf.DUMMYFUNCTION("""COMPUTED_VALUE"""),0.0)</f>
        <v>0</v>
      </c>
      <c r="R18" s="69">
        <f>IFERROR(__xludf.DUMMYFUNCTION("""COMPUTED_VALUE"""),0.0)</f>
        <v>0</v>
      </c>
      <c r="S18" s="69">
        <f>IFERROR(__xludf.DUMMYFUNCTION("""COMPUTED_VALUE"""),0.0)</f>
        <v>0</v>
      </c>
      <c r="T18" s="69">
        <f>IFERROR(__xludf.DUMMYFUNCTION("""COMPUTED_VALUE"""),2.0)</f>
        <v>2</v>
      </c>
      <c r="U18" s="138"/>
      <c r="V18" s="86"/>
      <c r="W18" s="25">
        <f t="shared" ref="W18:AC18" si="18">L18</f>
        <v>44452</v>
      </c>
      <c r="X18" s="69">
        <f t="shared" si="18"/>
        <v>2</v>
      </c>
      <c r="Y18" s="69">
        <f t="shared" si="18"/>
        <v>2</v>
      </c>
      <c r="Z18" s="69">
        <f t="shared" si="18"/>
        <v>0</v>
      </c>
      <c r="AA18" s="69">
        <f t="shared" si="18"/>
        <v>0</v>
      </c>
      <c r="AB18" s="69">
        <f t="shared" si="18"/>
        <v>0</v>
      </c>
      <c r="AC18" s="69">
        <f t="shared" si="18"/>
        <v>0</v>
      </c>
    </row>
    <row r="19">
      <c r="B19" s="14">
        <f>IFERROR(__xludf.DUMMYFUNCTION("""COMPUTED_VALUE"""),44227.0)</f>
        <v>44227</v>
      </c>
      <c r="C19" s="16">
        <f>IFERROR(__xludf.DUMMYFUNCTION("""COMPUTED_VALUE"""),3.0)</f>
        <v>3</v>
      </c>
      <c r="D19" s="16">
        <f>IFERROR(__xludf.DUMMYFUNCTION("""COMPUTED_VALUE"""),3.0)</f>
        <v>3</v>
      </c>
      <c r="E19" s="16">
        <f>IFERROR(__xludf.DUMMYFUNCTION("""COMPUTED_VALUE"""),0.0)</f>
        <v>0</v>
      </c>
      <c r="F19" s="16">
        <f>IFERROR(__xludf.DUMMYFUNCTION("""COMPUTED_VALUE"""),0.0)</f>
        <v>0</v>
      </c>
      <c r="G19" s="16">
        <f>IFERROR(__xludf.DUMMYFUNCTION("""COMPUTED_VALUE"""),0.0)</f>
        <v>0</v>
      </c>
      <c r="H19" s="16">
        <f>IFERROR(__xludf.DUMMYFUNCTION("""COMPUTED_VALUE"""),0.0)</f>
        <v>0</v>
      </c>
      <c r="I19" s="16">
        <f>IFERROR(__xludf.DUMMYFUNCTION("""COMPUTED_VALUE"""),0.0)</f>
        <v>0</v>
      </c>
      <c r="J19" s="16"/>
      <c r="K19" s="86"/>
      <c r="L19" s="25">
        <f>IFERROR(__xludf.DUMMYFUNCTION("""COMPUTED_VALUE"""),44455.0)</f>
        <v>44455</v>
      </c>
      <c r="M19" s="69">
        <f>IFERROR(__xludf.DUMMYFUNCTION("""COMPUTED_VALUE"""),5.0)</f>
        <v>5</v>
      </c>
      <c r="N19" s="69">
        <f>IFERROR(__xludf.DUMMYFUNCTION("""COMPUTED_VALUE"""),5.0)</f>
        <v>5</v>
      </c>
      <c r="O19" s="69">
        <f>IFERROR(__xludf.DUMMYFUNCTION("""COMPUTED_VALUE"""),0.0)</f>
        <v>0</v>
      </c>
      <c r="P19" s="69">
        <f>IFERROR(__xludf.DUMMYFUNCTION("""COMPUTED_VALUE"""),0.0)</f>
        <v>0</v>
      </c>
      <c r="Q19" s="69">
        <f>IFERROR(__xludf.DUMMYFUNCTION("""COMPUTED_VALUE"""),0.0)</f>
        <v>0</v>
      </c>
      <c r="R19" s="69">
        <f>IFERROR(__xludf.DUMMYFUNCTION("""COMPUTED_VALUE"""),0.0)</f>
        <v>0</v>
      </c>
      <c r="S19" s="69">
        <f>IFERROR(__xludf.DUMMYFUNCTION("""COMPUTED_VALUE"""),0.0)</f>
        <v>0</v>
      </c>
      <c r="T19" s="69">
        <f>IFERROR(__xludf.DUMMYFUNCTION("""COMPUTED_VALUE"""),5.0)</f>
        <v>5</v>
      </c>
      <c r="U19" s="138"/>
      <c r="V19" s="86"/>
      <c r="W19" s="25">
        <f t="shared" ref="W19:AC19" si="19">L19</f>
        <v>44455</v>
      </c>
      <c r="X19" s="69">
        <f t="shared" si="19"/>
        <v>5</v>
      </c>
      <c r="Y19" s="69">
        <f t="shared" si="19"/>
        <v>5</v>
      </c>
      <c r="Z19" s="69">
        <f t="shared" si="19"/>
        <v>0</v>
      </c>
      <c r="AA19" s="69">
        <f t="shared" si="19"/>
        <v>0</v>
      </c>
      <c r="AB19" s="69">
        <f t="shared" si="19"/>
        <v>0</v>
      </c>
      <c r="AC19" s="69">
        <f t="shared" si="19"/>
        <v>0</v>
      </c>
    </row>
    <row r="20">
      <c r="B20" s="14">
        <f>IFERROR(__xludf.DUMMYFUNCTION("""COMPUTED_VALUE"""),44228.0)</f>
        <v>44228</v>
      </c>
      <c r="C20" s="16">
        <f>IFERROR(__xludf.DUMMYFUNCTION("""COMPUTED_VALUE"""),4.0)</f>
        <v>4</v>
      </c>
      <c r="D20" s="16">
        <f>IFERROR(__xludf.DUMMYFUNCTION("""COMPUTED_VALUE"""),4.0)</f>
        <v>4</v>
      </c>
      <c r="E20" s="16">
        <f>IFERROR(__xludf.DUMMYFUNCTION("""COMPUTED_VALUE"""),0.0)</f>
        <v>0</v>
      </c>
      <c r="F20" s="16">
        <f>IFERROR(__xludf.DUMMYFUNCTION("""COMPUTED_VALUE"""),0.0)</f>
        <v>0</v>
      </c>
      <c r="G20" s="16">
        <f>IFERROR(__xludf.DUMMYFUNCTION("""COMPUTED_VALUE"""),0.0)</f>
        <v>0</v>
      </c>
      <c r="H20" s="16">
        <f>IFERROR(__xludf.DUMMYFUNCTION("""COMPUTED_VALUE"""),0.0)</f>
        <v>0</v>
      </c>
      <c r="I20" s="16">
        <f>IFERROR(__xludf.DUMMYFUNCTION("""COMPUTED_VALUE"""),0.0)</f>
        <v>0</v>
      </c>
      <c r="J20" s="16"/>
      <c r="K20" s="86"/>
      <c r="L20" s="25">
        <f>IFERROR(__xludf.DUMMYFUNCTION("""COMPUTED_VALUE"""),44473.0)</f>
        <v>44473</v>
      </c>
      <c r="M20" s="69">
        <f>IFERROR(__xludf.DUMMYFUNCTION("""COMPUTED_VALUE"""),2.0)</f>
        <v>2</v>
      </c>
      <c r="N20" s="69">
        <f>IFERROR(__xludf.DUMMYFUNCTION("""COMPUTED_VALUE"""),2.0)</f>
        <v>2</v>
      </c>
      <c r="O20" s="69">
        <f>IFERROR(__xludf.DUMMYFUNCTION("""COMPUTED_VALUE"""),0.0)</f>
        <v>0</v>
      </c>
      <c r="P20" s="69">
        <f>IFERROR(__xludf.DUMMYFUNCTION("""COMPUTED_VALUE"""),0.0)</f>
        <v>0</v>
      </c>
      <c r="Q20" s="69">
        <f>IFERROR(__xludf.DUMMYFUNCTION("""COMPUTED_VALUE"""),0.0)</f>
        <v>0</v>
      </c>
      <c r="R20" s="69">
        <f>IFERROR(__xludf.DUMMYFUNCTION("""COMPUTED_VALUE"""),0.0)</f>
        <v>0</v>
      </c>
      <c r="S20" s="69">
        <f>IFERROR(__xludf.DUMMYFUNCTION("""COMPUTED_VALUE"""),0.0)</f>
        <v>0</v>
      </c>
      <c r="T20" s="69">
        <f>IFERROR(__xludf.DUMMYFUNCTION("""COMPUTED_VALUE"""),2.0)</f>
        <v>2</v>
      </c>
      <c r="U20" s="138"/>
      <c r="V20" s="86"/>
      <c r="W20" s="25">
        <f t="shared" ref="W20:AC20" si="20">L20</f>
        <v>44473</v>
      </c>
      <c r="X20" s="69">
        <f t="shared" si="20"/>
        <v>2</v>
      </c>
      <c r="Y20" s="69">
        <f t="shared" si="20"/>
        <v>2</v>
      </c>
      <c r="Z20" s="69">
        <f t="shared" si="20"/>
        <v>0</v>
      </c>
      <c r="AA20" s="69">
        <f t="shared" si="20"/>
        <v>0</v>
      </c>
      <c r="AB20" s="69">
        <f t="shared" si="20"/>
        <v>0</v>
      </c>
      <c r="AC20" s="69">
        <f t="shared" si="20"/>
        <v>0</v>
      </c>
    </row>
    <row r="21">
      <c r="B21" s="14">
        <f>IFERROR(__xludf.DUMMYFUNCTION("""COMPUTED_VALUE"""),44231.0)</f>
        <v>44231</v>
      </c>
      <c r="C21" s="16">
        <f>IFERROR(__xludf.DUMMYFUNCTION("""COMPUTED_VALUE"""),3.0)</f>
        <v>3</v>
      </c>
      <c r="D21" s="16">
        <f>IFERROR(__xludf.DUMMYFUNCTION("""COMPUTED_VALUE"""),3.0)</f>
        <v>3</v>
      </c>
      <c r="E21" s="16">
        <f>IFERROR(__xludf.DUMMYFUNCTION("""COMPUTED_VALUE"""),0.0)</f>
        <v>0</v>
      </c>
      <c r="F21" s="16">
        <f>IFERROR(__xludf.DUMMYFUNCTION("""COMPUTED_VALUE"""),0.0)</f>
        <v>0</v>
      </c>
      <c r="G21" s="16">
        <f>IFERROR(__xludf.DUMMYFUNCTION("""COMPUTED_VALUE"""),0.0)</f>
        <v>0</v>
      </c>
      <c r="H21" s="16">
        <f>IFERROR(__xludf.DUMMYFUNCTION("""COMPUTED_VALUE"""),0.0)</f>
        <v>0</v>
      </c>
      <c r="I21" s="16">
        <f>IFERROR(__xludf.DUMMYFUNCTION("""COMPUTED_VALUE"""),0.0)</f>
        <v>0</v>
      </c>
      <c r="J21" s="16"/>
      <c r="K21" s="86"/>
      <c r="L21" s="25">
        <f>IFERROR(__xludf.DUMMYFUNCTION("""COMPUTED_VALUE"""),44474.0)</f>
        <v>44474</v>
      </c>
      <c r="M21" s="69">
        <f>IFERROR(__xludf.DUMMYFUNCTION("""COMPUTED_VALUE"""),2.0)</f>
        <v>2</v>
      </c>
      <c r="N21" s="69">
        <f>IFERROR(__xludf.DUMMYFUNCTION("""COMPUTED_VALUE"""),2.0)</f>
        <v>2</v>
      </c>
      <c r="O21" s="69">
        <f>IFERROR(__xludf.DUMMYFUNCTION("""COMPUTED_VALUE"""),0.0)</f>
        <v>0</v>
      </c>
      <c r="P21" s="69">
        <f>IFERROR(__xludf.DUMMYFUNCTION("""COMPUTED_VALUE"""),0.0)</f>
        <v>0</v>
      </c>
      <c r="Q21" s="69">
        <f>IFERROR(__xludf.DUMMYFUNCTION("""COMPUTED_VALUE"""),0.0)</f>
        <v>0</v>
      </c>
      <c r="R21" s="69">
        <f>IFERROR(__xludf.DUMMYFUNCTION("""COMPUTED_VALUE"""),0.0)</f>
        <v>0</v>
      </c>
      <c r="S21" s="69">
        <f>IFERROR(__xludf.DUMMYFUNCTION("""COMPUTED_VALUE"""),0.0)</f>
        <v>0</v>
      </c>
      <c r="T21" s="69">
        <f>IFERROR(__xludf.DUMMYFUNCTION("""COMPUTED_VALUE"""),2.0)</f>
        <v>2</v>
      </c>
      <c r="U21" s="138"/>
      <c r="V21" s="86"/>
      <c r="W21" s="25">
        <f t="shared" ref="W21:AC21" si="21">L21</f>
        <v>44474</v>
      </c>
      <c r="X21" s="69">
        <f t="shared" si="21"/>
        <v>2</v>
      </c>
      <c r="Y21" s="69">
        <f t="shared" si="21"/>
        <v>2</v>
      </c>
      <c r="Z21" s="69">
        <f t="shared" si="21"/>
        <v>0</v>
      </c>
      <c r="AA21" s="69">
        <f t="shared" si="21"/>
        <v>0</v>
      </c>
      <c r="AB21" s="69">
        <f t="shared" si="21"/>
        <v>0</v>
      </c>
      <c r="AC21" s="69">
        <f t="shared" si="21"/>
        <v>0</v>
      </c>
    </row>
    <row r="22">
      <c r="B22" s="14">
        <f>IFERROR(__xludf.DUMMYFUNCTION("""COMPUTED_VALUE"""),44232.0)</f>
        <v>44232</v>
      </c>
      <c r="C22" s="16">
        <f>IFERROR(__xludf.DUMMYFUNCTION("""COMPUTED_VALUE"""),3.0)</f>
        <v>3</v>
      </c>
      <c r="D22" s="16">
        <f>IFERROR(__xludf.DUMMYFUNCTION("""COMPUTED_VALUE"""),3.0)</f>
        <v>3</v>
      </c>
      <c r="E22" s="16">
        <f>IFERROR(__xludf.DUMMYFUNCTION("""COMPUTED_VALUE"""),0.0)</f>
        <v>0</v>
      </c>
      <c r="F22" s="16">
        <f>IFERROR(__xludf.DUMMYFUNCTION("""COMPUTED_VALUE"""),0.0)</f>
        <v>0</v>
      </c>
      <c r="G22" s="16">
        <f>IFERROR(__xludf.DUMMYFUNCTION("""COMPUTED_VALUE"""),0.0)</f>
        <v>0</v>
      </c>
      <c r="H22" s="16">
        <f>IFERROR(__xludf.DUMMYFUNCTION("""COMPUTED_VALUE"""),0.0)</f>
        <v>0</v>
      </c>
      <c r="I22" s="16">
        <f>IFERROR(__xludf.DUMMYFUNCTION("""COMPUTED_VALUE"""),0.0)</f>
        <v>0</v>
      </c>
      <c r="J22" s="16"/>
      <c r="K22" s="86"/>
      <c r="L22" s="25">
        <f>IFERROR(__xludf.DUMMYFUNCTION("""COMPUTED_VALUE"""),44479.0)</f>
        <v>44479</v>
      </c>
      <c r="M22" s="69">
        <f>IFERROR(__xludf.DUMMYFUNCTION("""COMPUTED_VALUE"""),3.0)</f>
        <v>3</v>
      </c>
      <c r="N22" s="69">
        <f>IFERROR(__xludf.DUMMYFUNCTION("""COMPUTED_VALUE"""),3.0)</f>
        <v>3</v>
      </c>
      <c r="O22" s="69">
        <f>IFERROR(__xludf.DUMMYFUNCTION("""COMPUTED_VALUE"""),0.0)</f>
        <v>0</v>
      </c>
      <c r="P22" s="69">
        <f>IFERROR(__xludf.DUMMYFUNCTION("""COMPUTED_VALUE"""),0.0)</f>
        <v>0</v>
      </c>
      <c r="Q22" s="69">
        <f>IFERROR(__xludf.DUMMYFUNCTION("""COMPUTED_VALUE"""),0.0)</f>
        <v>0</v>
      </c>
      <c r="R22" s="69">
        <f>IFERROR(__xludf.DUMMYFUNCTION("""COMPUTED_VALUE"""),0.0)</f>
        <v>0</v>
      </c>
      <c r="S22" s="69">
        <f>IFERROR(__xludf.DUMMYFUNCTION("""COMPUTED_VALUE"""),0.0)</f>
        <v>0</v>
      </c>
      <c r="T22" s="69">
        <f>IFERROR(__xludf.DUMMYFUNCTION("""COMPUTED_VALUE"""),3.0)</f>
        <v>3</v>
      </c>
      <c r="U22" s="138"/>
      <c r="V22" s="86"/>
      <c r="W22" s="25">
        <f t="shared" ref="W22:AC22" si="22">L22</f>
        <v>44479</v>
      </c>
      <c r="X22" s="69">
        <f t="shared" si="22"/>
        <v>3</v>
      </c>
      <c r="Y22" s="69">
        <f t="shared" si="22"/>
        <v>3</v>
      </c>
      <c r="Z22" s="69">
        <f t="shared" si="22"/>
        <v>0</v>
      </c>
      <c r="AA22" s="69">
        <f t="shared" si="22"/>
        <v>0</v>
      </c>
      <c r="AB22" s="69">
        <f t="shared" si="22"/>
        <v>0</v>
      </c>
      <c r="AC22" s="69">
        <f t="shared" si="22"/>
        <v>0</v>
      </c>
    </row>
    <row r="23">
      <c r="B23" s="14">
        <f>IFERROR(__xludf.DUMMYFUNCTION("""COMPUTED_VALUE"""),44234.0)</f>
        <v>44234</v>
      </c>
      <c r="C23" s="16">
        <f>IFERROR(__xludf.DUMMYFUNCTION("""COMPUTED_VALUE"""),1.0)</f>
        <v>1</v>
      </c>
      <c r="D23" s="16">
        <f>IFERROR(__xludf.DUMMYFUNCTION("""COMPUTED_VALUE"""),1.0)</f>
        <v>1</v>
      </c>
      <c r="E23" s="16">
        <f>IFERROR(__xludf.DUMMYFUNCTION("""COMPUTED_VALUE"""),0.0)</f>
        <v>0</v>
      </c>
      <c r="F23" s="16">
        <f>IFERROR(__xludf.DUMMYFUNCTION("""COMPUTED_VALUE"""),0.0)</f>
        <v>0</v>
      </c>
      <c r="G23" s="16">
        <f>IFERROR(__xludf.DUMMYFUNCTION("""COMPUTED_VALUE"""),0.0)</f>
        <v>0</v>
      </c>
      <c r="H23" s="16">
        <f>IFERROR(__xludf.DUMMYFUNCTION("""COMPUTED_VALUE"""),0.0)</f>
        <v>0</v>
      </c>
      <c r="I23" s="16">
        <f>IFERROR(__xludf.DUMMYFUNCTION("""COMPUTED_VALUE"""),0.0)</f>
        <v>0</v>
      </c>
      <c r="J23" s="16"/>
      <c r="K23" s="86"/>
      <c r="L23" s="25">
        <f>IFERROR(__xludf.DUMMYFUNCTION("""COMPUTED_VALUE"""),44484.0)</f>
        <v>44484</v>
      </c>
      <c r="M23" s="69">
        <f>IFERROR(__xludf.DUMMYFUNCTION("""COMPUTED_VALUE"""),2.0)</f>
        <v>2</v>
      </c>
      <c r="N23" s="69">
        <f>IFERROR(__xludf.DUMMYFUNCTION("""COMPUTED_VALUE"""),2.0)</f>
        <v>2</v>
      </c>
      <c r="O23" s="69">
        <f>IFERROR(__xludf.DUMMYFUNCTION("""COMPUTED_VALUE"""),0.0)</f>
        <v>0</v>
      </c>
      <c r="P23" s="69">
        <f>IFERROR(__xludf.DUMMYFUNCTION("""COMPUTED_VALUE"""),0.0)</f>
        <v>0</v>
      </c>
      <c r="Q23" s="69">
        <f>IFERROR(__xludf.DUMMYFUNCTION("""COMPUTED_VALUE"""),0.0)</f>
        <v>0</v>
      </c>
      <c r="R23" s="69">
        <f>IFERROR(__xludf.DUMMYFUNCTION("""COMPUTED_VALUE"""),0.0)</f>
        <v>0</v>
      </c>
      <c r="S23" s="69">
        <f>IFERROR(__xludf.DUMMYFUNCTION("""COMPUTED_VALUE"""),0.0)</f>
        <v>0</v>
      </c>
      <c r="T23" s="69">
        <f>IFERROR(__xludf.DUMMYFUNCTION("""COMPUTED_VALUE"""),2.0)</f>
        <v>2</v>
      </c>
      <c r="U23" s="138"/>
      <c r="V23" s="86"/>
      <c r="W23" s="25">
        <f t="shared" ref="W23:AC23" si="23">L23</f>
        <v>44484</v>
      </c>
      <c r="X23" s="69">
        <f t="shared" si="23"/>
        <v>2</v>
      </c>
      <c r="Y23" s="69">
        <f t="shared" si="23"/>
        <v>2</v>
      </c>
      <c r="Z23" s="69">
        <f t="shared" si="23"/>
        <v>0</v>
      </c>
      <c r="AA23" s="69">
        <f t="shared" si="23"/>
        <v>0</v>
      </c>
      <c r="AB23" s="69">
        <f t="shared" si="23"/>
        <v>0</v>
      </c>
      <c r="AC23" s="69">
        <f t="shared" si="23"/>
        <v>0</v>
      </c>
    </row>
    <row r="24">
      <c r="B24" s="14">
        <f>IFERROR(__xludf.DUMMYFUNCTION("""COMPUTED_VALUE"""),44235.0)</f>
        <v>44235</v>
      </c>
      <c r="C24" s="16">
        <f>IFERROR(__xludf.DUMMYFUNCTION("""COMPUTED_VALUE"""),4.0)</f>
        <v>4</v>
      </c>
      <c r="D24" s="16">
        <f>IFERROR(__xludf.DUMMYFUNCTION("""COMPUTED_VALUE"""),4.0)</f>
        <v>4</v>
      </c>
      <c r="E24" s="16">
        <f>IFERROR(__xludf.DUMMYFUNCTION("""COMPUTED_VALUE"""),0.0)</f>
        <v>0</v>
      </c>
      <c r="F24" s="16">
        <f>IFERROR(__xludf.DUMMYFUNCTION("""COMPUTED_VALUE"""),0.0)</f>
        <v>0</v>
      </c>
      <c r="G24" s="16">
        <f>IFERROR(__xludf.DUMMYFUNCTION("""COMPUTED_VALUE"""),0.0)</f>
        <v>0</v>
      </c>
      <c r="H24" s="16">
        <f>IFERROR(__xludf.DUMMYFUNCTION("""COMPUTED_VALUE"""),0.0)</f>
        <v>0</v>
      </c>
      <c r="I24" s="16">
        <f>IFERROR(__xludf.DUMMYFUNCTION("""COMPUTED_VALUE"""),0.0)</f>
        <v>0</v>
      </c>
      <c r="J24" s="16"/>
      <c r="K24" s="86"/>
      <c r="L24" s="25">
        <f>IFERROR(__xludf.DUMMYFUNCTION("""COMPUTED_VALUE"""),44485.0)</f>
        <v>44485</v>
      </c>
      <c r="M24" s="69">
        <f>IFERROR(__xludf.DUMMYFUNCTION("""COMPUTED_VALUE"""),3.0)</f>
        <v>3</v>
      </c>
      <c r="N24" s="69">
        <f>IFERROR(__xludf.DUMMYFUNCTION("""COMPUTED_VALUE"""),3.0)</f>
        <v>3</v>
      </c>
      <c r="O24" s="69">
        <f>IFERROR(__xludf.DUMMYFUNCTION("""COMPUTED_VALUE"""),0.0)</f>
        <v>0</v>
      </c>
      <c r="P24" s="69">
        <f>IFERROR(__xludf.DUMMYFUNCTION("""COMPUTED_VALUE"""),0.0)</f>
        <v>0</v>
      </c>
      <c r="Q24" s="69">
        <f>IFERROR(__xludf.DUMMYFUNCTION("""COMPUTED_VALUE"""),0.0)</f>
        <v>0</v>
      </c>
      <c r="R24" s="69">
        <f>IFERROR(__xludf.DUMMYFUNCTION("""COMPUTED_VALUE"""),0.0)</f>
        <v>0</v>
      </c>
      <c r="S24" s="69">
        <f>IFERROR(__xludf.DUMMYFUNCTION("""COMPUTED_VALUE"""),0.0)</f>
        <v>0</v>
      </c>
      <c r="T24" s="69">
        <f>IFERROR(__xludf.DUMMYFUNCTION("""COMPUTED_VALUE"""),3.0)</f>
        <v>3</v>
      </c>
      <c r="U24" s="138"/>
      <c r="V24" s="86"/>
      <c r="W24" s="25">
        <f t="shared" ref="W24:AC24" si="24">L24</f>
        <v>44485</v>
      </c>
      <c r="X24" s="69">
        <f t="shared" si="24"/>
        <v>3</v>
      </c>
      <c r="Y24" s="69">
        <f t="shared" si="24"/>
        <v>3</v>
      </c>
      <c r="Z24" s="69">
        <f t="shared" si="24"/>
        <v>0</v>
      </c>
      <c r="AA24" s="69">
        <f t="shared" si="24"/>
        <v>0</v>
      </c>
      <c r="AB24" s="69">
        <f t="shared" si="24"/>
        <v>0</v>
      </c>
      <c r="AC24" s="69">
        <f t="shared" si="24"/>
        <v>0</v>
      </c>
    </row>
    <row r="25">
      <c r="B25" s="14">
        <f>IFERROR(__xludf.DUMMYFUNCTION("""COMPUTED_VALUE"""),44236.0)</f>
        <v>44236</v>
      </c>
      <c r="C25" s="16">
        <f>IFERROR(__xludf.DUMMYFUNCTION("""COMPUTED_VALUE"""),2.0)</f>
        <v>2</v>
      </c>
      <c r="D25" s="16">
        <f>IFERROR(__xludf.DUMMYFUNCTION("""COMPUTED_VALUE"""),2.0)</f>
        <v>2</v>
      </c>
      <c r="E25" s="16">
        <f>IFERROR(__xludf.DUMMYFUNCTION("""COMPUTED_VALUE"""),0.0)</f>
        <v>0</v>
      </c>
      <c r="F25" s="16">
        <f>IFERROR(__xludf.DUMMYFUNCTION("""COMPUTED_VALUE"""),0.0)</f>
        <v>0</v>
      </c>
      <c r="G25" s="16">
        <f>IFERROR(__xludf.DUMMYFUNCTION("""COMPUTED_VALUE"""),0.0)</f>
        <v>0</v>
      </c>
      <c r="H25" s="16">
        <f>IFERROR(__xludf.DUMMYFUNCTION("""COMPUTED_VALUE"""),0.0)</f>
        <v>0</v>
      </c>
      <c r="I25" s="16">
        <f>IFERROR(__xludf.DUMMYFUNCTION("""COMPUTED_VALUE"""),0.0)</f>
        <v>0</v>
      </c>
      <c r="J25" s="16"/>
      <c r="K25" s="86"/>
      <c r="L25" s="25">
        <f>IFERROR(__xludf.DUMMYFUNCTION("""COMPUTED_VALUE"""),44492.0)</f>
        <v>44492</v>
      </c>
      <c r="M25" s="69">
        <f>IFERROR(__xludf.DUMMYFUNCTION("""COMPUTED_VALUE"""),5.0)</f>
        <v>5</v>
      </c>
      <c r="N25" s="69">
        <f>IFERROR(__xludf.DUMMYFUNCTION("""COMPUTED_VALUE"""),5.0)</f>
        <v>5</v>
      </c>
      <c r="O25" s="69">
        <f>IFERROR(__xludf.DUMMYFUNCTION("""COMPUTED_VALUE"""),0.0)</f>
        <v>0</v>
      </c>
      <c r="P25" s="69">
        <f>IFERROR(__xludf.DUMMYFUNCTION("""COMPUTED_VALUE"""),0.0)</f>
        <v>0</v>
      </c>
      <c r="Q25" s="69">
        <f>IFERROR(__xludf.DUMMYFUNCTION("""COMPUTED_VALUE"""),0.0)</f>
        <v>0</v>
      </c>
      <c r="R25" s="69">
        <f>IFERROR(__xludf.DUMMYFUNCTION("""COMPUTED_VALUE"""),0.0)</f>
        <v>0</v>
      </c>
      <c r="S25" s="69">
        <f>IFERROR(__xludf.DUMMYFUNCTION("""COMPUTED_VALUE"""),0.0)</f>
        <v>0</v>
      </c>
      <c r="T25" s="69">
        <f>IFERROR(__xludf.DUMMYFUNCTION("""COMPUTED_VALUE"""),5.0)</f>
        <v>5</v>
      </c>
      <c r="U25" s="138"/>
      <c r="V25" s="86"/>
      <c r="W25" s="25">
        <f t="shared" ref="W25:AC25" si="25">L25</f>
        <v>44492</v>
      </c>
      <c r="X25" s="69">
        <f t="shared" si="25"/>
        <v>5</v>
      </c>
      <c r="Y25" s="69">
        <f t="shared" si="25"/>
        <v>5</v>
      </c>
      <c r="Z25" s="69">
        <f t="shared" si="25"/>
        <v>0</v>
      </c>
      <c r="AA25" s="69">
        <f t="shared" si="25"/>
        <v>0</v>
      </c>
      <c r="AB25" s="69">
        <f t="shared" si="25"/>
        <v>0</v>
      </c>
      <c r="AC25" s="69">
        <f t="shared" si="25"/>
        <v>0</v>
      </c>
    </row>
    <row r="26">
      <c r="B26" s="14">
        <f>IFERROR(__xludf.DUMMYFUNCTION("""COMPUTED_VALUE"""),44237.0)</f>
        <v>44237</v>
      </c>
      <c r="C26" s="16">
        <f>IFERROR(__xludf.DUMMYFUNCTION("""COMPUTED_VALUE"""),2.0)</f>
        <v>2</v>
      </c>
      <c r="D26" s="16">
        <f>IFERROR(__xludf.DUMMYFUNCTION("""COMPUTED_VALUE"""),2.0)</f>
        <v>2</v>
      </c>
      <c r="E26" s="16">
        <f>IFERROR(__xludf.DUMMYFUNCTION("""COMPUTED_VALUE"""),0.0)</f>
        <v>0</v>
      </c>
      <c r="F26" s="16">
        <f>IFERROR(__xludf.DUMMYFUNCTION("""COMPUTED_VALUE"""),0.0)</f>
        <v>0</v>
      </c>
      <c r="G26" s="16">
        <f>IFERROR(__xludf.DUMMYFUNCTION("""COMPUTED_VALUE"""),0.0)</f>
        <v>0</v>
      </c>
      <c r="H26" s="16">
        <f>IFERROR(__xludf.DUMMYFUNCTION("""COMPUTED_VALUE"""),0.0)</f>
        <v>0</v>
      </c>
      <c r="I26" s="16">
        <f>IFERROR(__xludf.DUMMYFUNCTION("""COMPUTED_VALUE"""),0.0)</f>
        <v>0</v>
      </c>
      <c r="J26" s="16"/>
      <c r="K26" s="86"/>
      <c r="L26" s="25">
        <f>IFERROR(__xludf.DUMMYFUNCTION("""COMPUTED_VALUE"""),44499.0)</f>
        <v>44499</v>
      </c>
      <c r="M26" s="69">
        <f>IFERROR(__xludf.DUMMYFUNCTION("""COMPUTED_VALUE"""),5.0)</f>
        <v>5</v>
      </c>
      <c r="N26" s="69">
        <f>IFERROR(__xludf.DUMMYFUNCTION("""COMPUTED_VALUE"""),5.0)</f>
        <v>5</v>
      </c>
      <c r="O26" s="69">
        <f>IFERROR(__xludf.DUMMYFUNCTION("""COMPUTED_VALUE"""),0.0)</f>
        <v>0</v>
      </c>
      <c r="P26" s="69">
        <f>IFERROR(__xludf.DUMMYFUNCTION("""COMPUTED_VALUE"""),0.0)</f>
        <v>0</v>
      </c>
      <c r="Q26" s="69">
        <f>IFERROR(__xludf.DUMMYFUNCTION("""COMPUTED_VALUE"""),0.0)</f>
        <v>0</v>
      </c>
      <c r="R26" s="69">
        <f>IFERROR(__xludf.DUMMYFUNCTION("""COMPUTED_VALUE"""),0.0)</f>
        <v>0</v>
      </c>
      <c r="S26" s="69">
        <f>IFERROR(__xludf.DUMMYFUNCTION("""COMPUTED_VALUE"""),0.0)</f>
        <v>0</v>
      </c>
      <c r="T26" s="69">
        <f>IFERROR(__xludf.DUMMYFUNCTION("""COMPUTED_VALUE"""),5.0)</f>
        <v>5</v>
      </c>
      <c r="U26" s="138"/>
      <c r="V26" s="86"/>
      <c r="W26" s="25">
        <f t="shared" ref="W26:AC26" si="26">L26</f>
        <v>44499</v>
      </c>
      <c r="X26" s="69">
        <f t="shared" si="26"/>
        <v>5</v>
      </c>
      <c r="Y26" s="69">
        <f t="shared" si="26"/>
        <v>5</v>
      </c>
      <c r="Z26" s="69">
        <f t="shared" si="26"/>
        <v>0</v>
      </c>
      <c r="AA26" s="69">
        <f t="shared" si="26"/>
        <v>0</v>
      </c>
      <c r="AB26" s="69">
        <f t="shared" si="26"/>
        <v>0</v>
      </c>
      <c r="AC26" s="69">
        <f t="shared" si="26"/>
        <v>0</v>
      </c>
    </row>
    <row r="27">
      <c r="B27" s="14">
        <f>IFERROR(__xludf.DUMMYFUNCTION("""COMPUTED_VALUE"""),44238.0)</f>
        <v>44238</v>
      </c>
      <c r="C27" s="16">
        <f>IFERROR(__xludf.DUMMYFUNCTION("""COMPUTED_VALUE"""),2.0)</f>
        <v>2</v>
      </c>
      <c r="D27" s="16">
        <f>IFERROR(__xludf.DUMMYFUNCTION("""COMPUTED_VALUE"""),2.0)</f>
        <v>2</v>
      </c>
      <c r="E27" s="16">
        <f>IFERROR(__xludf.DUMMYFUNCTION("""COMPUTED_VALUE"""),0.0)</f>
        <v>0</v>
      </c>
      <c r="F27" s="16">
        <f>IFERROR(__xludf.DUMMYFUNCTION("""COMPUTED_VALUE"""),0.0)</f>
        <v>0</v>
      </c>
      <c r="G27" s="16">
        <f>IFERROR(__xludf.DUMMYFUNCTION("""COMPUTED_VALUE"""),0.0)</f>
        <v>0</v>
      </c>
      <c r="H27" s="16">
        <f>IFERROR(__xludf.DUMMYFUNCTION("""COMPUTED_VALUE"""),0.0)</f>
        <v>0</v>
      </c>
      <c r="I27" s="16">
        <f>IFERROR(__xludf.DUMMYFUNCTION("""COMPUTED_VALUE"""),0.0)</f>
        <v>0</v>
      </c>
      <c r="J27" s="16"/>
      <c r="K27" s="86"/>
      <c r="L27" s="25">
        <f>IFERROR(__xludf.DUMMYFUNCTION("""COMPUTED_VALUE"""),44501.0)</f>
        <v>44501</v>
      </c>
      <c r="M27" s="69">
        <f>IFERROR(__xludf.DUMMYFUNCTION("""COMPUTED_VALUE"""),3.0)</f>
        <v>3</v>
      </c>
      <c r="N27" s="69">
        <f>IFERROR(__xludf.DUMMYFUNCTION("""COMPUTED_VALUE"""),3.0)</f>
        <v>3</v>
      </c>
      <c r="O27" s="69">
        <f>IFERROR(__xludf.DUMMYFUNCTION("""COMPUTED_VALUE"""),0.0)</f>
        <v>0</v>
      </c>
      <c r="P27" s="69">
        <f>IFERROR(__xludf.DUMMYFUNCTION("""COMPUTED_VALUE"""),0.0)</f>
        <v>0</v>
      </c>
      <c r="Q27" s="69">
        <f>IFERROR(__xludf.DUMMYFUNCTION("""COMPUTED_VALUE"""),0.0)</f>
        <v>0</v>
      </c>
      <c r="R27" s="69">
        <f>IFERROR(__xludf.DUMMYFUNCTION("""COMPUTED_VALUE"""),0.0)</f>
        <v>0</v>
      </c>
      <c r="S27" s="69">
        <f>IFERROR(__xludf.DUMMYFUNCTION("""COMPUTED_VALUE"""),0.0)</f>
        <v>0</v>
      </c>
      <c r="T27" s="69">
        <f>IFERROR(__xludf.DUMMYFUNCTION("""COMPUTED_VALUE"""),3.0)</f>
        <v>3</v>
      </c>
      <c r="U27" s="138"/>
      <c r="V27" s="86"/>
      <c r="W27" s="25">
        <f t="shared" ref="W27:AC27" si="27">L27</f>
        <v>44501</v>
      </c>
      <c r="X27" s="69">
        <f t="shared" si="27"/>
        <v>3</v>
      </c>
      <c r="Y27" s="69">
        <f t="shared" si="27"/>
        <v>3</v>
      </c>
      <c r="Z27" s="69">
        <f t="shared" si="27"/>
        <v>0</v>
      </c>
      <c r="AA27" s="69">
        <f t="shared" si="27"/>
        <v>0</v>
      </c>
      <c r="AB27" s="69">
        <f t="shared" si="27"/>
        <v>0</v>
      </c>
      <c r="AC27" s="69">
        <f t="shared" si="27"/>
        <v>0</v>
      </c>
    </row>
    <row r="28">
      <c r="B28" s="14">
        <f>IFERROR(__xludf.DUMMYFUNCTION("""COMPUTED_VALUE"""),44239.0)</f>
        <v>44239</v>
      </c>
      <c r="C28" s="16">
        <f>IFERROR(__xludf.DUMMYFUNCTION("""COMPUTED_VALUE"""),3.0)</f>
        <v>3</v>
      </c>
      <c r="D28" s="16">
        <f>IFERROR(__xludf.DUMMYFUNCTION("""COMPUTED_VALUE"""),3.0)</f>
        <v>3</v>
      </c>
      <c r="E28" s="16">
        <f>IFERROR(__xludf.DUMMYFUNCTION("""COMPUTED_VALUE"""),0.0)</f>
        <v>0</v>
      </c>
      <c r="F28" s="16">
        <f>IFERROR(__xludf.DUMMYFUNCTION("""COMPUTED_VALUE"""),0.0)</f>
        <v>0</v>
      </c>
      <c r="G28" s="16">
        <f>IFERROR(__xludf.DUMMYFUNCTION("""COMPUTED_VALUE"""),0.0)</f>
        <v>0</v>
      </c>
      <c r="H28" s="16">
        <f>IFERROR(__xludf.DUMMYFUNCTION("""COMPUTED_VALUE"""),0.0)</f>
        <v>0</v>
      </c>
      <c r="I28" s="16">
        <f>IFERROR(__xludf.DUMMYFUNCTION("""COMPUTED_VALUE"""),0.0)</f>
        <v>0</v>
      </c>
      <c r="J28" s="16"/>
      <c r="K28" s="86"/>
      <c r="L28" s="25">
        <f>IFERROR(__xludf.DUMMYFUNCTION("""COMPUTED_VALUE"""),44502.0)</f>
        <v>44502</v>
      </c>
      <c r="M28" s="69">
        <f>IFERROR(__xludf.DUMMYFUNCTION("""COMPUTED_VALUE"""),2.0)</f>
        <v>2</v>
      </c>
      <c r="N28" s="69">
        <f>IFERROR(__xludf.DUMMYFUNCTION("""COMPUTED_VALUE"""),2.0)</f>
        <v>2</v>
      </c>
      <c r="O28" s="69">
        <f>IFERROR(__xludf.DUMMYFUNCTION("""COMPUTED_VALUE"""),0.0)</f>
        <v>0</v>
      </c>
      <c r="P28" s="69">
        <f>IFERROR(__xludf.DUMMYFUNCTION("""COMPUTED_VALUE"""),0.0)</f>
        <v>0</v>
      </c>
      <c r="Q28" s="69">
        <f>IFERROR(__xludf.DUMMYFUNCTION("""COMPUTED_VALUE"""),0.0)</f>
        <v>0</v>
      </c>
      <c r="R28" s="69">
        <f>IFERROR(__xludf.DUMMYFUNCTION("""COMPUTED_VALUE"""),0.0)</f>
        <v>0</v>
      </c>
      <c r="S28" s="69">
        <f>IFERROR(__xludf.DUMMYFUNCTION("""COMPUTED_VALUE"""),0.0)</f>
        <v>0</v>
      </c>
      <c r="T28" s="69">
        <f>IFERROR(__xludf.DUMMYFUNCTION("""COMPUTED_VALUE"""),2.0)</f>
        <v>2</v>
      </c>
      <c r="U28" s="138"/>
      <c r="V28" s="86"/>
      <c r="W28" s="25">
        <f t="shared" ref="W28:AC28" si="28">L28</f>
        <v>44502</v>
      </c>
      <c r="X28" s="69">
        <f t="shared" si="28"/>
        <v>2</v>
      </c>
      <c r="Y28" s="69">
        <f t="shared" si="28"/>
        <v>2</v>
      </c>
      <c r="Z28" s="69">
        <f t="shared" si="28"/>
        <v>0</v>
      </c>
      <c r="AA28" s="69">
        <f t="shared" si="28"/>
        <v>0</v>
      </c>
      <c r="AB28" s="69">
        <f t="shared" si="28"/>
        <v>0</v>
      </c>
      <c r="AC28" s="69">
        <f t="shared" si="28"/>
        <v>0</v>
      </c>
    </row>
    <row r="29">
      <c r="B29" s="14">
        <f>IFERROR(__xludf.DUMMYFUNCTION("""COMPUTED_VALUE"""),44243.0)</f>
        <v>44243</v>
      </c>
      <c r="C29" s="16">
        <f>IFERROR(__xludf.DUMMYFUNCTION("""COMPUTED_VALUE"""),2.0)</f>
        <v>2</v>
      </c>
      <c r="D29" s="16">
        <f>IFERROR(__xludf.DUMMYFUNCTION("""COMPUTED_VALUE"""),2.0)</f>
        <v>2</v>
      </c>
      <c r="E29" s="16">
        <f>IFERROR(__xludf.DUMMYFUNCTION("""COMPUTED_VALUE"""),0.0)</f>
        <v>0</v>
      </c>
      <c r="F29" s="16">
        <f>IFERROR(__xludf.DUMMYFUNCTION("""COMPUTED_VALUE"""),0.0)</f>
        <v>0</v>
      </c>
      <c r="G29" s="16">
        <f>IFERROR(__xludf.DUMMYFUNCTION("""COMPUTED_VALUE"""),0.0)</f>
        <v>0</v>
      </c>
      <c r="H29" s="16">
        <f>IFERROR(__xludf.DUMMYFUNCTION("""COMPUTED_VALUE"""),0.0)</f>
        <v>0</v>
      </c>
      <c r="I29" s="16">
        <f>IFERROR(__xludf.DUMMYFUNCTION("""COMPUTED_VALUE"""),0.0)</f>
        <v>0</v>
      </c>
      <c r="J29" s="16"/>
      <c r="K29" s="86"/>
      <c r="L29" s="25">
        <f>IFERROR(__xludf.DUMMYFUNCTION("""COMPUTED_VALUE"""),44508.0)</f>
        <v>44508</v>
      </c>
      <c r="M29" s="69">
        <f>IFERROR(__xludf.DUMMYFUNCTION("""COMPUTED_VALUE"""),2.0)</f>
        <v>2</v>
      </c>
      <c r="N29" s="69">
        <f>IFERROR(__xludf.DUMMYFUNCTION("""COMPUTED_VALUE"""),2.0)</f>
        <v>2</v>
      </c>
      <c r="O29" s="69">
        <f>IFERROR(__xludf.DUMMYFUNCTION("""COMPUTED_VALUE"""),0.0)</f>
        <v>0</v>
      </c>
      <c r="P29" s="69">
        <f>IFERROR(__xludf.DUMMYFUNCTION("""COMPUTED_VALUE"""),0.0)</f>
        <v>0</v>
      </c>
      <c r="Q29" s="69">
        <f>IFERROR(__xludf.DUMMYFUNCTION("""COMPUTED_VALUE"""),0.0)</f>
        <v>0</v>
      </c>
      <c r="R29" s="69">
        <f>IFERROR(__xludf.DUMMYFUNCTION("""COMPUTED_VALUE"""),0.0)</f>
        <v>0</v>
      </c>
      <c r="S29" s="69">
        <f>IFERROR(__xludf.DUMMYFUNCTION("""COMPUTED_VALUE"""),0.0)</f>
        <v>0</v>
      </c>
      <c r="T29" s="69">
        <f>IFERROR(__xludf.DUMMYFUNCTION("""COMPUTED_VALUE"""),2.0)</f>
        <v>2</v>
      </c>
      <c r="U29" s="138"/>
      <c r="V29" s="86"/>
      <c r="W29" s="25">
        <f t="shared" ref="W29:AC29" si="29">L29</f>
        <v>44508</v>
      </c>
      <c r="X29" s="69">
        <f t="shared" si="29"/>
        <v>2</v>
      </c>
      <c r="Y29" s="69">
        <f t="shared" si="29"/>
        <v>2</v>
      </c>
      <c r="Z29" s="69">
        <f t="shared" si="29"/>
        <v>0</v>
      </c>
      <c r="AA29" s="69">
        <f t="shared" si="29"/>
        <v>0</v>
      </c>
      <c r="AB29" s="69">
        <f t="shared" si="29"/>
        <v>0</v>
      </c>
      <c r="AC29" s="69">
        <f t="shared" si="29"/>
        <v>0</v>
      </c>
    </row>
    <row r="30">
      <c r="B30" s="14">
        <f>IFERROR(__xludf.DUMMYFUNCTION("""COMPUTED_VALUE"""),44248.0)</f>
        <v>44248</v>
      </c>
      <c r="C30" s="16">
        <f>IFERROR(__xludf.DUMMYFUNCTION("""COMPUTED_VALUE"""),2.0)</f>
        <v>2</v>
      </c>
      <c r="D30" s="16">
        <f>IFERROR(__xludf.DUMMYFUNCTION("""COMPUTED_VALUE"""),2.0)</f>
        <v>2</v>
      </c>
      <c r="E30" s="16">
        <f>IFERROR(__xludf.DUMMYFUNCTION("""COMPUTED_VALUE"""),0.0)</f>
        <v>0</v>
      </c>
      <c r="F30" s="16">
        <f>IFERROR(__xludf.DUMMYFUNCTION("""COMPUTED_VALUE"""),0.0)</f>
        <v>0</v>
      </c>
      <c r="G30" s="16">
        <f>IFERROR(__xludf.DUMMYFUNCTION("""COMPUTED_VALUE"""),0.0)</f>
        <v>0</v>
      </c>
      <c r="H30" s="16">
        <f>IFERROR(__xludf.DUMMYFUNCTION("""COMPUTED_VALUE"""),0.0)</f>
        <v>0</v>
      </c>
      <c r="I30" s="16">
        <f>IFERROR(__xludf.DUMMYFUNCTION("""COMPUTED_VALUE"""),0.0)</f>
        <v>0</v>
      </c>
      <c r="J30" s="16"/>
      <c r="K30" s="86"/>
      <c r="L30" s="25">
        <f>IFERROR(__xludf.DUMMYFUNCTION("""COMPUTED_VALUE"""),44510.0)</f>
        <v>44510</v>
      </c>
      <c r="M30" s="69">
        <f>IFERROR(__xludf.DUMMYFUNCTION("""COMPUTED_VALUE"""),2.0)</f>
        <v>2</v>
      </c>
      <c r="N30" s="69">
        <f>IFERROR(__xludf.DUMMYFUNCTION("""COMPUTED_VALUE"""),2.0)</f>
        <v>2</v>
      </c>
      <c r="O30" s="69">
        <f>IFERROR(__xludf.DUMMYFUNCTION("""COMPUTED_VALUE"""),0.0)</f>
        <v>0</v>
      </c>
      <c r="P30" s="69">
        <f>IFERROR(__xludf.DUMMYFUNCTION("""COMPUTED_VALUE"""),0.0)</f>
        <v>0</v>
      </c>
      <c r="Q30" s="69">
        <f>IFERROR(__xludf.DUMMYFUNCTION("""COMPUTED_VALUE"""),0.0)</f>
        <v>0</v>
      </c>
      <c r="R30" s="69">
        <f>IFERROR(__xludf.DUMMYFUNCTION("""COMPUTED_VALUE"""),0.0)</f>
        <v>0</v>
      </c>
      <c r="S30" s="69">
        <f>IFERROR(__xludf.DUMMYFUNCTION("""COMPUTED_VALUE"""),0.0)</f>
        <v>0</v>
      </c>
      <c r="T30" s="69">
        <f>IFERROR(__xludf.DUMMYFUNCTION("""COMPUTED_VALUE"""),2.0)</f>
        <v>2</v>
      </c>
      <c r="U30" s="138"/>
      <c r="V30" s="86"/>
      <c r="W30" s="25">
        <f t="shared" ref="W30:AC30" si="30">L30</f>
        <v>44510</v>
      </c>
      <c r="X30" s="69">
        <f t="shared" si="30"/>
        <v>2</v>
      </c>
      <c r="Y30" s="69">
        <f t="shared" si="30"/>
        <v>2</v>
      </c>
      <c r="Z30" s="69">
        <f t="shared" si="30"/>
        <v>0</v>
      </c>
      <c r="AA30" s="69">
        <f t="shared" si="30"/>
        <v>0</v>
      </c>
      <c r="AB30" s="69">
        <f t="shared" si="30"/>
        <v>0</v>
      </c>
      <c r="AC30" s="69">
        <f t="shared" si="30"/>
        <v>0</v>
      </c>
    </row>
    <row r="31">
      <c r="B31" s="14">
        <f>IFERROR(__xludf.DUMMYFUNCTION("""COMPUTED_VALUE"""),44249.0)</f>
        <v>44249</v>
      </c>
      <c r="C31" s="16">
        <f>IFERROR(__xludf.DUMMYFUNCTION("""COMPUTED_VALUE"""),3.0)</f>
        <v>3</v>
      </c>
      <c r="D31" s="16">
        <f>IFERROR(__xludf.DUMMYFUNCTION("""COMPUTED_VALUE"""),3.0)</f>
        <v>3</v>
      </c>
      <c r="E31" s="16">
        <f>IFERROR(__xludf.DUMMYFUNCTION("""COMPUTED_VALUE"""),0.0)</f>
        <v>0</v>
      </c>
      <c r="F31" s="16">
        <f>IFERROR(__xludf.DUMMYFUNCTION("""COMPUTED_VALUE"""),0.0)</f>
        <v>0</v>
      </c>
      <c r="G31" s="16">
        <f>IFERROR(__xludf.DUMMYFUNCTION("""COMPUTED_VALUE"""),0.0)</f>
        <v>0</v>
      </c>
      <c r="H31" s="16">
        <f>IFERROR(__xludf.DUMMYFUNCTION("""COMPUTED_VALUE"""),0.0)</f>
        <v>0</v>
      </c>
      <c r="I31" s="16">
        <f>IFERROR(__xludf.DUMMYFUNCTION("""COMPUTED_VALUE"""),0.0)</f>
        <v>0</v>
      </c>
      <c r="J31" s="16"/>
      <c r="K31" s="86"/>
      <c r="L31" s="25">
        <f>IFERROR(__xludf.DUMMYFUNCTION("""COMPUTED_VALUE"""),44519.0)</f>
        <v>44519</v>
      </c>
      <c r="M31" s="69">
        <f>IFERROR(__xludf.DUMMYFUNCTION("""COMPUTED_VALUE"""),4.0)</f>
        <v>4</v>
      </c>
      <c r="N31" s="69">
        <f>IFERROR(__xludf.DUMMYFUNCTION("""COMPUTED_VALUE"""),4.0)</f>
        <v>4</v>
      </c>
      <c r="O31" s="69">
        <f>IFERROR(__xludf.DUMMYFUNCTION("""COMPUTED_VALUE"""),0.0)</f>
        <v>0</v>
      </c>
      <c r="P31" s="69">
        <f>IFERROR(__xludf.DUMMYFUNCTION("""COMPUTED_VALUE"""),0.0)</f>
        <v>0</v>
      </c>
      <c r="Q31" s="69">
        <f>IFERROR(__xludf.DUMMYFUNCTION("""COMPUTED_VALUE"""),0.0)</f>
        <v>0</v>
      </c>
      <c r="R31" s="69">
        <f>IFERROR(__xludf.DUMMYFUNCTION("""COMPUTED_VALUE"""),0.0)</f>
        <v>0</v>
      </c>
      <c r="S31" s="69">
        <f>IFERROR(__xludf.DUMMYFUNCTION("""COMPUTED_VALUE"""),0.0)</f>
        <v>0</v>
      </c>
      <c r="T31" s="69">
        <f>IFERROR(__xludf.DUMMYFUNCTION("""COMPUTED_VALUE"""),4.0)</f>
        <v>4</v>
      </c>
      <c r="U31" s="138"/>
      <c r="V31" s="86"/>
      <c r="W31" s="25">
        <f t="shared" ref="W31:AC31" si="31">L31</f>
        <v>44519</v>
      </c>
      <c r="X31" s="69">
        <f t="shared" si="31"/>
        <v>4</v>
      </c>
      <c r="Y31" s="69">
        <f t="shared" si="31"/>
        <v>4</v>
      </c>
      <c r="Z31" s="69">
        <f t="shared" si="31"/>
        <v>0</v>
      </c>
      <c r="AA31" s="69">
        <f t="shared" si="31"/>
        <v>0</v>
      </c>
      <c r="AB31" s="69">
        <f t="shared" si="31"/>
        <v>0</v>
      </c>
      <c r="AC31" s="69">
        <f t="shared" si="31"/>
        <v>0</v>
      </c>
    </row>
    <row r="32">
      <c r="B32" s="14">
        <f>IFERROR(__xludf.DUMMYFUNCTION("""COMPUTED_VALUE"""),44250.0)</f>
        <v>44250</v>
      </c>
      <c r="C32" s="16">
        <f>IFERROR(__xludf.DUMMYFUNCTION("""COMPUTED_VALUE"""),2.0)</f>
        <v>2</v>
      </c>
      <c r="D32" s="16">
        <f>IFERROR(__xludf.DUMMYFUNCTION("""COMPUTED_VALUE"""),2.0)</f>
        <v>2</v>
      </c>
      <c r="E32" s="16">
        <f>IFERROR(__xludf.DUMMYFUNCTION("""COMPUTED_VALUE"""),0.0)</f>
        <v>0</v>
      </c>
      <c r="F32" s="16">
        <f>IFERROR(__xludf.DUMMYFUNCTION("""COMPUTED_VALUE"""),0.0)</f>
        <v>0</v>
      </c>
      <c r="G32" s="16">
        <f>IFERROR(__xludf.DUMMYFUNCTION("""COMPUTED_VALUE"""),0.0)</f>
        <v>0</v>
      </c>
      <c r="H32" s="16">
        <f>IFERROR(__xludf.DUMMYFUNCTION("""COMPUTED_VALUE"""),0.0)</f>
        <v>0</v>
      </c>
      <c r="I32" s="16">
        <f>IFERROR(__xludf.DUMMYFUNCTION("""COMPUTED_VALUE"""),0.0)</f>
        <v>0</v>
      </c>
      <c r="J32" s="16"/>
      <c r="K32" s="86"/>
      <c r="L32" s="25">
        <f>IFERROR(__xludf.DUMMYFUNCTION("""COMPUTED_VALUE"""),44524.0)</f>
        <v>44524</v>
      </c>
      <c r="M32" s="69">
        <f>IFERROR(__xludf.DUMMYFUNCTION("""COMPUTED_VALUE"""),6.0)</f>
        <v>6</v>
      </c>
      <c r="N32" s="69">
        <f>IFERROR(__xludf.DUMMYFUNCTION("""COMPUTED_VALUE"""),6.0)</f>
        <v>6</v>
      </c>
      <c r="O32" s="69">
        <f>IFERROR(__xludf.DUMMYFUNCTION("""COMPUTED_VALUE"""),0.0)</f>
        <v>0</v>
      </c>
      <c r="P32" s="69">
        <f>IFERROR(__xludf.DUMMYFUNCTION("""COMPUTED_VALUE"""),0.0)</f>
        <v>0</v>
      </c>
      <c r="Q32" s="69">
        <f>IFERROR(__xludf.DUMMYFUNCTION("""COMPUTED_VALUE"""),0.0)</f>
        <v>0</v>
      </c>
      <c r="R32" s="69">
        <f>IFERROR(__xludf.DUMMYFUNCTION("""COMPUTED_VALUE"""),0.0)</f>
        <v>0</v>
      </c>
      <c r="S32" s="69">
        <f>IFERROR(__xludf.DUMMYFUNCTION("""COMPUTED_VALUE"""),0.0)</f>
        <v>0</v>
      </c>
      <c r="T32" s="69">
        <f>IFERROR(__xludf.DUMMYFUNCTION("""COMPUTED_VALUE"""),6.0)</f>
        <v>6</v>
      </c>
      <c r="U32" s="138"/>
      <c r="V32" s="86"/>
      <c r="W32" s="25">
        <f t="shared" ref="W32:AC32" si="32">L32</f>
        <v>44524</v>
      </c>
      <c r="X32" s="69">
        <f t="shared" si="32"/>
        <v>6</v>
      </c>
      <c r="Y32" s="69">
        <f t="shared" si="32"/>
        <v>6</v>
      </c>
      <c r="Z32" s="69">
        <f t="shared" si="32"/>
        <v>0</v>
      </c>
      <c r="AA32" s="69">
        <f t="shared" si="32"/>
        <v>0</v>
      </c>
      <c r="AB32" s="69">
        <f t="shared" si="32"/>
        <v>0</v>
      </c>
      <c r="AC32" s="69">
        <f t="shared" si="32"/>
        <v>0</v>
      </c>
    </row>
    <row r="33">
      <c r="B33" s="14">
        <f>IFERROR(__xludf.DUMMYFUNCTION("""COMPUTED_VALUE"""),44251.0)</f>
        <v>44251</v>
      </c>
      <c r="C33" s="16">
        <f>IFERROR(__xludf.DUMMYFUNCTION("""COMPUTED_VALUE"""),4.0)</f>
        <v>4</v>
      </c>
      <c r="D33" s="16">
        <f>IFERROR(__xludf.DUMMYFUNCTION("""COMPUTED_VALUE"""),4.0)</f>
        <v>4</v>
      </c>
      <c r="E33" s="16">
        <f>IFERROR(__xludf.DUMMYFUNCTION("""COMPUTED_VALUE"""),0.0)</f>
        <v>0</v>
      </c>
      <c r="F33" s="16">
        <f>IFERROR(__xludf.DUMMYFUNCTION("""COMPUTED_VALUE"""),0.0)</f>
        <v>0</v>
      </c>
      <c r="G33" s="16">
        <f>IFERROR(__xludf.DUMMYFUNCTION("""COMPUTED_VALUE"""),0.0)</f>
        <v>0</v>
      </c>
      <c r="H33" s="16">
        <f>IFERROR(__xludf.DUMMYFUNCTION("""COMPUTED_VALUE"""),0.0)</f>
        <v>0</v>
      </c>
      <c r="I33" s="16">
        <f>IFERROR(__xludf.DUMMYFUNCTION("""COMPUTED_VALUE"""),0.0)</f>
        <v>0</v>
      </c>
      <c r="J33" s="16" t="b">
        <f>IFERROR(__xludf.DUMMYFUNCTION("""COMPUTED_VALUE"""),TRUE)</f>
        <v>1</v>
      </c>
      <c r="K33" s="86"/>
      <c r="L33" s="25">
        <f>IFERROR(__xludf.DUMMYFUNCTION("""COMPUTED_VALUE"""),44528.0)</f>
        <v>44528</v>
      </c>
      <c r="M33" s="69">
        <f>IFERROR(__xludf.DUMMYFUNCTION("""COMPUTED_VALUE"""),12.0)</f>
        <v>12</v>
      </c>
      <c r="N33" s="69">
        <f>IFERROR(__xludf.DUMMYFUNCTION("""COMPUTED_VALUE"""),12.0)</f>
        <v>12</v>
      </c>
      <c r="O33" s="69">
        <f>IFERROR(__xludf.DUMMYFUNCTION("""COMPUTED_VALUE"""),0.0)</f>
        <v>0</v>
      </c>
      <c r="P33" s="69">
        <f>IFERROR(__xludf.DUMMYFUNCTION("""COMPUTED_VALUE"""),0.0)</f>
        <v>0</v>
      </c>
      <c r="Q33" s="69">
        <f>IFERROR(__xludf.DUMMYFUNCTION("""COMPUTED_VALUE"""),0.0)</f>
        <v>0</v>
      </c>
      <c r="R33" s="69">
        <f>IFERROR(__xludf.DUMMYFUNCTION("""COMPUTED_VALUE"""),0.0)</f>
        <v>0</v>
      </c>
      <c r="S33" s="69">
        <f>IFERROR(__xludf.DUMMYFUNCTION("""COMPUTED_VALUE"""),0.0)</f>
        <v>0</v>
      </c>
      <c r="T33" s="69">
        <f>IFERROR(__xludf.DUMMYFUNCTION("""COMPUTED_VALUE"""),12.0)</f>
        <v>12</v>
      </c>
      <c r="U33" s="138"/>
      <c r="V33" s="86"/>
      <c r="W33" s="25">
        <f t="shared" ref="W33:AC33" si="33">L33</f>
        <v>44528</v>
      </c>
      <c r="X33" s="69">
        <f t="shared" si="33"/>
        <v>12</v>
      </c>
      <c r="Y33" s="69">
        <f t="shared" si="33"/>
        <v>12</v>
      </c>
      <c r="Z33" s="69">
        <f t="shared" si="33"/>
        <v>0</v>
      </c>
      <c r="AA33" s="69">
        <f t="shared" si="33"/>
        <v>0</v>
      </c>
      <c r="AB33" s="69">
        <f t="shared" si="33"/>
        <v>0</v>
      </c>
      <c r="AC33" s="69">
        <f t="shared" si="33"/>
        <v>0</v>
      </c>
    </row>
    <row r="34">
      <c r="B34" s="14">
        <f>IFERROR(__xludf.DUMMYFUNCTION("""COMPUTED_VALUE"""),44257.0)</f>
        <v>44257</v>
      </c>
      <c r="C34" s="16">
        <f>IFERROR(__xludf.DUMMYFUNCTION("""COMPUTED_VALUE"""),2.0)</f>
        <v>2</v>
      </c>
      <c r="D34" s="16">
        <f>IFERROR(__xludf.DUMMYFUNCTION("""COMPUTED_VALUE"""),2.0)</f>
        <v>2</v>
      </c>
      <c r="E34" s="16">
        <f>IFERROR(__xludf.DUMMYFUNCTION("""COMPUTED_VALUE"""),0.0)</f>
        <v>0</v>
      </c>
      <c r="F34" s="16">
        <f>IFERROR(__xludf.DUMMYFUNCTION("""COMPUTED_VALUE"""),0.0)</f>
        <v>0</v>
      </c>
      <c r="G34" s="16">
        <f>IFERROR(__xludf.DUMMYFUNCTION("""COMPUTED_VALUE"""),0.0)</f>
        <v>0</v>
      </c>
      <c r="H34" s="16">
        <f>IFERROR(__xludf.DUMMYFUNCTION("""COMPUTED_VALUE"""),0.0)</f>
        <v>0</v>
      </c>
      <c r="I34" s="16">
        <f>IFERROR(__xludf.DUMMYFUNCTION("""COMPUTED_VALUE"""),0.0)</f>
        <v>0</v>
      </c>
      <c r="J34" s="16"/>
      <c r="K34" s="86"/>
      <c r="L34" s="25">
        <f>IFERROR(__xludf.DUMMYFUNCTION("""COMPUTED_VALUE"""),44529.0)</f>
        <v>44529</v>
      </c>
      <c r="M34" s="69">
        <f>IFERROR(__xludf.DUMMYFUNCTION("""COMPUTED_VALUE"""),3.0)</f>
        <v>3</v>
      </c>
      <c r="N34" s="69">
        <f>IFERROR(__xludf.DUMMYFUNCTION("""COMPUTED_VALUE"""),3.0)</f>
        <v>3</v>
      </c>
      <c r="O34" s="69">
        <f>IFERROR(__xludf.DUMMYFUNCTION("""COMPUTED_VALUE"""),0.0)</f>
        <v>0</v>
      </c>
      <c r="P34" s="69">
        <f>IFERROR(__xludf.DUMMYFUNCTION("""COMPUTED_VALUE"""),0.0)</f>
        <v>0</v>
      </c>
      <c r="Q34" s="69">
        <f>IFERROR(__xludf.DUMMYFUNCTION("""COMPUTED_VALUE"""),0.0)</f>
        <v>0</v>
      </c>
      <c r="R34" s="69">
        <f>IFERROR(__xludf.DUMMYFUNCTION("""COMPUTED_VALUE"""),0.0)</f>
        <v>0</v>
      </c>
      <c r="S34" s="69">
        <f>IFERROR(__xludf.DUMMYFUNCTION("""COMPUTED_VALUE"""),0.0)</f>
        <v>0</v>
      </c>
      <c r="T34" s="69">
        <f>IFERROR(__xludf.DUMMYFUNCTION("""COMPUTED_VALUE"""),3.0)</f>
        <v>3</v>
      </c>
      <c r="U34" s="138"/>
      <c r="V34" s="86"/>
      <c r="W34" s="25">
        <f t="shared" ref="W34:AC34" si="34">L34</f>
        <v>44529</v>
      </c>
      <c r="X34" s="69">
        <f t="shared" si="34"/>
        <v>3</v>
      </c>
      <c r="Y34" s="69">
        <f t="shared" si="34"/>
        <v>3</v>
      </c>
      <c r="Z34" s="69">
        <f t="shared" si="34"/>
        <v>0</v>
      </c>
      <c r="AA34" s="69">
        <f t="shared" si="34"/>
        <v>0</v>
      </c>
      <c r="AB34" s="69">
        <f t="shared" si="34"/>
        <v>0</v>
      </c>
      <c r="AC34" s="69">
        <f t="shared" si="34"/>
        <v>0</v>
      </c>
    </row>
    <row r="35">
      <c r="B35" s="14">
        <f>IFERROR(__xludf.DUMMYFUNCTION("""COMPUTED_VALUE"""),44258.0)</f>
        <v>44258</v>
      </c>
      <c r="C35" s="16">
        <f>IFERROR(__xludf.DUMMYFUNCTION("""COMPUTED_VALUE"""),4.0)</f>
        <v>4</v>
      </c>
      <c r="D35" s="16">
        <f>IFERROR(__xludf.DUMMYFUNCTION("""COMPUTED_VALUE"""),4.0)</f>
        <v>4</v>
      </c>
      <c r="E35" s="16">
        <f>IFERROR(__xludf.DUMMYFUNCTION("""COMPUTED_VALUE"""),0.0)</f>
        <v>0</v>
      </c>
      <c r="F35" s="16">
        <f>IFERROR(__xludf.DUMMYFUNCTION("""COMPUTED_VALUE"""),0.0)</f>
        <v>0</v>
      </c>
      <c r="G35" s="16">
        <f>IFERROR(__xludf.DUMMYFUNCTION("""COMPUTED_VALUE"""),0.0)</f>
        <v>0</v>
      </c>
      <c r="H35" s="16">
        <f>IFERROR(__xludf.DUMMYFUNCTION("""COMPUTED_VALUE"""),0.0)</f>
        <v>0</v>
      </c>
      <c r="I35" s="16">
        <f>IFERROR(__xludf.DUMMYFUNCTION("""COMPUTED_VALUE"""),0.0)</f>
        <v>0</v>
      </c>
      <c r="J35" s="16" t="b">
        <f>IFERROR(__xludf.DUMMYFUNCTION("""COMPUTED_VALUE"""),TRUE)</f>
        <v>1</v>
      </c>
      <c r="K35" s="86"/>
      <c r="L35" s="25">
        <f>IFERROR(__xludf.DUMMYFUNCTION("""COMPUTED_VALUE"""),44530.0)</f>
        <v>44530</v>
      </c>
      <c r="M35" s="69">
        <f>IFERROR(__xludf.DUMMYFUNCTION("""COMPUTED_VALUE"""),2.0)</f>
        <v>2</v>
      </c>
      <c r="N35" s="69">
        <f>IFERROR(__xludf.DUMMYFUNCTION("""COMPUTED_VALUE"""),2.0)</f>
        <v>2</v>
      </c>
      <c r="O35" s="69">
        <f>IFERROR(__xludf.DUMMYFUNCTION("""COMPUTED_VALUE"""),0.0)</f>
        <v>0</v>
      </c>
      <c r="P35" s="69">
        <f>IFERROR(__xludf.DUMMYFUNCTION("""COMPUTED_VALUE"""),0.0)</f>
        <v>0</v>
      </c>
      <c r="Q35" s="69">
        <f>IFERROR(__xludf.DUMMYFUNCTION("""COMPUTED_VALUE"""),0.0)</f>
        <v>0</v>
      </c>
      <c r="R35" s="69">
        <f>IFERROR(__xludf.DUMMYFUNCTION("""COMPUTED_VALUE"""),0.0)</f>
        <v>0</v>
      </c>
      <c r="S35" s="69">
        <f>IFERROR(__xludf.DUMMYFUNCTION("""COMPUTED_VALUE"""),0.0)</f>
        <v>0</v>
      </c>
      <c r="T35" s="69">
        <f>IFERROR(__xludf.DUMMYFUNCTION("""COMPUTED_VALUE"""),2.0)</f>
        <v>2</v>
      </c>
      <c r="U35" s="138"/>
      <c r="V35" s="86"/>
      <c r="W35" s="25">
        <f t="shared" ref="W35:AC35" si="35">L35</f>
        <v>44530</v>
      </c>
      <c r="X35" s="69">
        <f t="shared" si="35"/>
        <v>2</v>
      </c>
      <c r="Y35" s="69">
        <f t="shared" si="35"/>
        <v>2</v>
      </c>
      <c r="Z35" s="69">
        <f t="shared" si="35"/>
        <v>0</v>
      </c>
      <c r="AA35" s="69">
        <f t="shared" si="35"/>
        <v>0</v>
      </c>
      <c r="AB35" s="69">
        <f t="shared" si="35"/>
        <v>0</v>
      </c>
      <c r="AC35" s="69">
        <f t="shared" si="35"/>
        <v>0</v>
      </c>
    </row>
    <row r="36">
      <c r="B36" s="14">
        <f>IFERROR(__xludf.DUMMYFUNCTION("""COMPUTED_VALUE"""),44259.0)</f>
        <v>44259</v>
      </c>
      <c r="C36" s="16">
        <f>IFERROR(__xludf.DUMMYFUNCTION("""COMPUTED_VALUE"""),1.0)</f>
        <v>1</v>
      </c>
      <c r="D36" s="16">
        <f>IFERROR(__xludf.DUMMYFUNCTION("""COMPUTED_VALUE"""),1.0)</f>
        <v>1</v>
      </c>
      <c r="E36" s="16">
        <f>IFERROR(__xludf.DUMMYFUNCTION("""COMPUTED_VALUE"""),0.0)</f>
        <v>0</v>
      </c>
      <c r="F36" s="16">
        <f>IFERROR(__xludf.DUMMYFUNCTION("""COMPUTED_VALUE"""),0.0)</f>
        <v>0</v>
      </c>
      <c r="G36" s="16">
        <f>IFERROR(__xludf.DUMMYFUNCTION("""COMPUTED_VALUE"""),0.0)</f>
        <v>0</v>
      </c>
      <c r="H36" s="16">
        <f>IFERROR(__xludf.DUMMYFUNCTION("""COMPUTED_VALUE"""),0.0)</f>
        <v>0</v>
      </c>
      <c r="I36" s="16">
        <f>IFERROR(__xludf.DUMMYFUNCTION("""COMPUTED_VALUE"""),0.0)</f>
        <v>0</v>
      </c>
      <c r="J36" s="16"/>
      <c r="K36" s="86"/>
      <c r="L36" s="25">
        <f>IFERROR(__xludf.DUMMYFUNCTION("""COMPUTED_VALUE"""),44532.0)</f>
        <v>44532</v>
      </c>
      <c r="M36" s="69">
        <f>IFERROR(__xludf.DUMMYFUNCTION("""COMPUTED_VALUE"""),3.0)</f>
        <v>3</v>
      </c>
      <c r="N36" s="69">
        <f>IFERROR(__xludf.DUMMYFUNCTION("""COMPUTED_VALUE"""),3.0)</f>
        <v>3</v>
      </c>
      <c r="O36" s="69">
        <f>IFERROR(__xludf.DUMMYFUNCTION("""COMPUTED_VALUE"""),0.0)</f>
        <v>0</v>
      </c>
      <c r="P36" s="69">
        <f>IFERROR(__xludf.DUMMYFUNCTION("""COMPUTED_VALUE"""),0.0)</f>
        <v>0</v>
      </c>
      <c r="Q36" s="69">
        <f>IFERROR(__xludf.DUMMYFUNCTION("""COMPUTED_VALUE"""),0.0)</f>
        <v>0</v>
      </c>
      <c r="R36" s="69">
        <f>IFERROR(__xludf.DUMMYFUNCTION("""COMPUTED_VALUE"""),0.0)</f>
        <v>0</v>
      </c>
      <c r="S36" s="69">
        <f>IFERROR(__xludf.DUMMYFUNCTION("""COMPUTED_VALUE"""),0.0)</f>
        <v>0</v>
      </c>
      <c r="T36" s="69">
        <f>IFERROR(__xludf.DUMMYFUNCTION("""COMPUTED_VALUE"""),3.0)</f>
        <v>3</v>
      </c>
      <c r="U36" s="138"/>
      <c r="V36" s="86"/>
      <c r="W36" s="25">
        <f t="shared" ref="W36:AC36" si="36">L36</f>
        <v>44532</v>
      </c>
      <c r="X36" s="69">
        <f t="shared" si="36"/>
        <v>3</v>
      </c>
      <c r="Y36" s="69">
        <f t="shared" si="36"/>
        <v>3</v>
      </c>
      <c r="Z36" s="69">
        <f t="shared" si="36"/>
        <v>0</v>
      </c>
      <c r="AA36" s="69">
        <f t="shared" si="36"/>
        <v>0</v>
      </c>
      <c r="AB36" s="69">
        <f t="shared" si="36"/>
        <v>0</v>
      </c>
      <c r="AC36" s="69">
        <f t="shared" si="36"/>
        <v>0</v>
      </c>
    </row>
    <row r="37">
      <c r="B37" s="14">
        <f>IFERROR(__xludf.DUMMYFUNCTION("""COMPUTED_VALUE"""),44260.0)</f>
        <v>44260</v>
      </c>
      <c r="C37" s="16">
        <f>IFERROR(__xludf.DUMMYFUNCTION("""COMPUTED_VALUE"""),4.0)</f>
        <v>4</v>
      </c>
      <c r="D37" s="16">
        <f>IFERROR(__xludf.DUMMYFUNCTION("""COMPUTED_VALUE"""),4.0)</f>
        <v>4</v>
      </c>
      <c r="E37" s="16">
        <f>IFERROR(__xludf.DUMMYFUNCTION("""COMPUTED_VALUE"""),0.0)</f>
        <v>0</v>
      </c>
      <c r="F37" s="16">
        <f>IFERROR(__xludf.DUMMYFUNCTION("""COMPUTED_VALUE"""),0.0)</f>
        <v>0</v>
      </c>
      <c r="G37" s="16">
        <f>IFERROR(__xludf.DUMMYFUNCTION("""COMPUTED_VALUE"""),0.0)</f>
        <v>0</v>
      </c>
      <c r="H37" s="16">
        <f>IFERROR(__xludf.DUMMYFUNCTION("""COMPUTED_VALUE"""),0.0)</f>
        <v>0</v>
      </c>
      <c r="I37" s="16">
        <f>IFERROR(__xludf.DUMMYFUNCTION("""COMPUTED_VALUE"""),0.0)</f>
        <v>0</v>
      </c>
      <c r="J37" s="16" t="b">
        <f>IFERROR(__xludf.DUMMYFUNCTION("""COMPUTED_VALUE"""),TRUE)</f>
        <v>1</v>
      </c>
      <c r="K37" s="86"/>
      <c r="L37" s="25">
        <f>IFERROR(__xludf.DUMMYFUNCTION("""COMPUTED_VALUE"""),44536.0)</f>
        <v>44536</v>
      </c>
      <c r="M37" s="69">
        <f>IFERROR(__xludf.DUMMYFUNCTION("""COMPUTED_VALUE"""),4.0)</f>
        <v>4</v>
      </c>
      <c r="N37" s="69">
        <f>IFERROR(__xludf.DUMMYFUNCTION("""COMPUTED_VALUE"""),4.0)</f>
        <v>4</v>
      </c>
      <c r="O37" s="69">
        <f>IFERROR(__xludf.DUMMYFUNCTION("""COMPUTED_VALUE"""),0.0)</f>
        <v>0</v>
      </c>
      <c r="P37" s="69">
        <f>IFERROR(__xludf.DUMMYFUNCTION("""COMPUTED_VALUE"""),0.0)</f>
        <v>0</v>
      </c>
      <c r="Q37" s="69">
        <f>IFERROR(__xludf.DUMMYFUNCTION("""COMPUTED_VALUE"""),0.0)</f>
        <v>0</v>
      </c>
      <c r="R37" s="69">
        <f>IFERROR(__xludf.DUMMYFUNCTION("""COMPUTED_VALUE"""),0.0)</f>
        <v>0</v>
      </c>
      <c r="S37" s="69">
        <f>IFERROR(__xludf.DUMMYFUNCTION("""COMPUTED_VALUE"""),0.0)</f>
        <v>0</v>
      </c>
      <c r="T37" s="69">
        <f>IFERROR(__xludf.DUMMYFUNCTION("""COMPUTED_VALUE"""),4.0)</f>
        <v>4</v>
      </c>
      <c r="U37" s="138"/>
      <c r="V37" s="86"/>
      <c r="W37" s="25">
        <f t="shared" ref="W37:AC37" si="37">L37</f>
        <v>44536</v>
      </c>
      <c r="X37" s="69">
        <f t="shared" si="37"/>
        <v>4</v>
      </c>
      <c r="Y37" s="69">
        <f t="shared" si="37"/>
        <v>4</v>
      </c>
      <c r="Z37" s="69">
        <f t="shared" si="37"/>
        <v>0</v>
      </c>
      <c r="AA37" s="69">
        <f t="shared" si="37"/>
        <v>0</v>
      </c>
      <c r="AB37" s="69">
        <f t="shared" si="37"/>
        <v>0</v>
      </c>
      <c r="AC37" s="69">
        <f t="shared" si="37"/>
        <v>0</v>
      </c>
    </row>
    <row r="38">
      <c r="B38" s="14">
        <f>IFERROR(__xludf.DUMMYFUNCTION("""COMPUTED_VALUE"""),44263.0)</f>
        <v>44263</v>
      </c>
      <c r="C38" s="16">
        <f>IFERROR(__xludf.DUMMYFUNCTION("""COMPUTED_VALUE"""),4.0)</f>
        <v>4</v>
      </c>
      <c r="D38" s="16">
        <f>IFERROR(__xludf.DUMMYFUNCTION("""COMPUTED_VALUE"""),4.0)</f>
        <v>4</v>
      </c>
      <c r="E38" s="16">
        <f>IFERROR(__xludf.DUMMYFUNCTION("""COMPUTED_VALUE"""),0.0)</f>
        <v>0</v>
      </c>
      <c r="F38" s="16">
        <f>IFERROR(__xludf.DUMMYFUNCTION("""COMPUTED_VALUE"""),0.0)</f>
        <v>0</v>
      </c>
      <c r="G38" s="16">
        <f>IFERROR(__xludf.DUMMYFUNCTION("""COMPUTED_VALUE"""),0.0)</f>
        <v>0</v>
      </c>
      <c r="H38" s="16">
        <f>IFERROR(__xludf.DUMMYFUNCTION("""COMPUTED_VALUE"""),0.0)</f>
        <v>0</v>
      </c>
      <c r="I38" s="16">
        <f>IFERROR(__xludf.DUMMYFUNCTION("""COMPUTED_VALUE"""),0.0)</f>
        <v>0</v>
      </c>
      <c r="J38" s="16" t="b">
        <f>IFERROR(__xludf.DUMMYFUNCTION("""COMPUTED_VALUE"""),TRUE)</f>
        <v>1</v>
      </c>
      <c r="K38" s="86"/>
      <c r="L38" s="25">
        <f>IFERROR(__xludf.DUMMYFUNCTION("""COMPUTED_VALUE"""),44537.0)</f>
        <v>44537</v>
      </c>
      <c r="M38" s="69">
        <f>IFERROR(__xludf.DUMMYFUNCTION("""COMPUTED_VALUE"""),5.0)</f>
        <v>5</v>
      </c>
      <c r="N38" s="69">
        <f>IFERROR(__xludf.DUMMYFUNCTION("""COMPUTED_VALUE"""),5.0)</f>
        <v>5</v>
      </c>
      <c r="O38" s="69">
        <f>IFERROR(__xludf.DUMMYFUNCTION("""COMPUTED_VALUE"""),0.0)</f>
        <v>0</v>
      </c>
      <c r="P38" s="69">
        <f>IFERROR(__xludf.DUMMYFUNCTION("""COMPUTED_VALUE"""),0.0)</f>
        <v>0</v>
      </c>
      <c r="Q38" s="69">
        <f>IFERROR(__xludf.DUMMYFUNCTION("""COMPUTED_VALUE"""),0.0)</f>
        <v>0</v>
      </c>
      <c r="R38" s="69">
        <f>IFERROR(__xludf.DUMMYFUNCTION("""COMPUTED_VALUE"""),0.0)</f>
        <v>0</v>
      </c>
      <c r="S38" s="69">
        <f>IFERROR(__xludf.DUMMYFUNCTION("""COMPUTED_VALUE"""),0.0)</f>
        <v>0</v>
      </c>
      <c r="T38" s="69">
        <f>IFERROR(__xludf.DUMMYFUNCTION("""COMPUTED_VALUE"""),5.0)</f>
        <v>5</v>
      </c>
      <c r="U38" s="138"/>
      <c r="V38" s="86"/>
      <c r="W38" s="25">
        <f t="shared" ref="W38:W135" si="39">L38</f>
        <v>44537</v>
      </c>
      <c r="X38" s="69">
        <f t="shared" ref="X38:AC38" si="38">M38+M42</f>
        <v>9</v>
      </c>
      <c r="Y38" s="69">
        <f t="shared" si="38"/>
        <v>9</v>
      </c>
      <c r="Z38" s="69">
        <f t="shared" si="38"/>
        <v>0</v>
      </c>
      <c r="AA38" s="69">
        <f t="shared" si="38"/>
        <v>0</v>
      </c>
      <c r="AB38" s="69">
        <f t="shared" si="38"/>
        <v>0</v>
      </c>
      <c r="AC38" s="69">
        <f t="shared" si="38"/>
        <v>0</v>
      </c>
    </row>
    <row r="39">
      <c r="B39" s="14">
        <f>IFERROR(__xludf.DUMMYFUNCTION("""COMPUTED_VALUE"""),44265.0)</f>
        <v>44265</v>
      </c>
      <c r="C39" s="16">
        <f>IFERROR(__xludf.DUMMYFUNCTION("""COMPUTED_VALUE"""),2.0)</f>
        <v>2</v>
      </c>
      <c r="D39" s="16">
        <f>IFERROR(__xludf.DUMMYFUNCTION("""COMPUTED_VALUE"""),2.0)</f>
        <v>2</v>
      </c>
      <c r="E39" s="16">
        <f>IFERROR(__xludf.DUMMYFUNCTION("""COMPUTED_VALUE"""),0.0)</f>
        <v>0</v>
      </c>
      <c r="F39" s="16">
        <f>IFERROR(__xludf.DUMMYFUNCTION("""COMPUTED_VALUE"""),0.0)</f>
        <v>0</v>
      </c>
      <c r="G39" s="16">
        <f>IFERROR(__xludf.DUMMYFUNCTION("""COMPUTED_VALUE"""),0.0)</f>
        <v>0</v>
      </c>
      <c r="H39" s="16">
        <f>IFERROR(__xludf.DUMMYFUNCTION("""COMPUTED_VALUE"""),0.0)</f>
        <v>0</v>
      </c>
      <c r="I39" s="16">
        <f>IFERROR(__xludf.DUMMYFUNCTION("""COMPUTED_VALUE"""),0.0)</f>
        <v>0</v>
      </c>
      <c r="J39" s="16" t="b">
        <f>IFERROR(__xludf.DUMMYFUNCTION("""COMPUTED_VALUE"""),TRUE)</f>
        <v>1</v>
      </c>
      <c r="K39" s="86"/>
      <c r="L39" s="25">
        <f>IFERROR(__xludf.DUMMYFUNCTION("""COMPUTED_VALUE"""),44539.0)</f>
        <v>44539</v>
      </c>
      <c r="M39" s="69">
        <f>IFERROR(__xludf.DUMMYFUNCTION("""COMPUTED_VALUE"""),2.0)</f>
        <v>2</v>
      </c>
      <c r="N39" s="69">
        <f>IFERROR(__xludf.DUMMYFUNCTION("""COMPUTED_VALUE"""),2.0)</f>
        <v>2</v>
      </c>
      <c r="O39" s="69">
        <f>IFERROR(__xludf.DUMMYFUNCTION("""COMPUTED_VALUE"""),0.0)</f>
        <v>0</v>
      </c>
      <c r="P39" s="69">
        <f>IFERROR(__xludf.DUMMYFUNCTION("""COMPUTED_VALUE"""),0.0)</f>
        <v>0</v>
      </c>
      <c r="Q39" s="69">
        <f>IFERROR(__xludf.DUMMYFUNCTION("""COMPUTED_VALUE"""),0.0)</f>
        <v>0</v>
      </c>
      <c r="R39" s="69">
        <f>IFERROR(__xludf.DUMMYFUNCTION("""COMPUTED_VALUE"""),0.0)</f>
        <v>0</v>
      </c>
      <c r="S39" s="69">
        <f>IFERROR(__xludf.DUMMYFUNCTION("""COMPUTED_VALUE"""),0.0)</f>
        <v>0</v>
      </c>
      <c r="T39" s="69">
        <f>IFERROR(__xludf.DUMMYFUNCTION("""COMPUTED_VALUE"""),2.0)</f>
        <v>2</v>
      </c>
      <c r="U39" s="138"/>
      <c r="V39" s="86"/>
      <c r="W39" s="25">
        <f t="shared" si="39"/>
        <v>44539</v>
      </c>
      <c r="X39" s="69">
        <f t="shared" ref="X39:AC39" si="40">M39</f>
        <v>2</v>
      </c>
      <c r="Y39" s="69">
        <f t="shared" si="40"/>
        <v>2</v>
      </c>
      <c r="Z39" s="69">
        <f t="shared" si="40"/>
        <v>0</v>
      </c>
      <c r="AA39" s="69">
        <f t="shared" si="40"/>
        <v>0</v>
      </c>
      <c r="AB39" s="69">
        <f t="shared" si="40"/>
        <v>0</v>
      </c>
      <c r="AC39" s="69">
        <f t="shared" si="40"/>
        <v>0</v>
      </c>
    </row>
    <row r="40">
      <c r="B40" s="14">
        <f>IFERROR(__xludf.DUMMYFUNCTION("""COMPUTED_VALUE"""),44267.0)</f>
        <v>44267</v>
      </c>
      <c r="C40" s="16">
        <f>IFERROR(__xludf.DUMMYFUNCTION("""COMPUTED_VALUE"""),3.0)</f>
        <v>3</v>
      </c>
      <c r="D40" s="16">
        <f>IFERROR(__xludf.DUMMYFUNCTION("""COMPUTED_VALUE"""),3.0)</f>
        <v>3</v>
      </c>
      <c r="E40" s="16">
        <f>IFERROR(__xludf.DUMMYFUNCTION("""COMPUTED_VALUE"""),0.0)</f>
        <v>0</v>
      </c>
      <c r="F40" s="16">
        <f>IFERROR(__xludf.DUMMYFUNCTION("""COMPUTED_VALUE"""),0.0)</f>
        <v>0</v>
      </c>
      <c r="G40" s="16">
        <f>IFERROR(__xludf.DUMMYFUNCTION("""COMPUTED_VALUE"""),0.0)</f>
        <v>0</v>
      </c>
      <c r="H40" s="16">
        <f>IFERROR(__xludf.DUMMYFUNCTION("""COMPUTED_VALUE"""),0.0)</f>
        <v>0</v>
      </c>
      <c r="I40" s="16">
        <f>IFERROR(__xludf.DUMMYFUNCTION("""COMPUTED_VALUE"""),0.0)</f>
        <v>0</v>
      </c>
      <c r="J40" s="16" t="b">
        <f>IFERROR(__xludf.DUMMYFUNCTION("""COMPUTED_VALUE"""),TRUE)</f>
        <v>1</v>
      </c>
      <c r="K40" s="86"/>
      <c r="L40" s="25">
        <f>IFERROR(__xludf.DUMMYFUNCTION("""COMPUTED_VALUE"""),44541.0)</f>
        <v>44541</v>
      </c>
      <c r="M40" s="69">
        <f>IFERROR(__xludf.DUMMYFUNCTION("""COMPUTED_VALUE"""),3.0)</f>
        <v>3</v>
      </c>
      <c r="N40" s="69">
        <f>IFERROR(__xludf.DUMMYFUNCTION("""COMPUTED_VALUE"""),3.0)</f>
        <v>3</v>
      </c>
      <c r="O40" s="69">
        <f>IFERROR(__xludf.DUMMYFUNCTION("""COMPUTED_VALUE"""),0.0)</f>
        <v>0</v>
      </c>
      <c r="P40" s="69">
        <f>IFERROR(__xludf.DUMMYFUNCTION("""COMPUTED_VALUE"""),0.0)</f>
        <v>0</v>
      </c>
      <c r="Q40" s="69">
        <f>IFERROR(__xludf.DUMMYFUNCTION("""COMPUTED_VALUE"""),0.0)</f>
        <v>0</v>
      </c>
      <c r="R40" s="69">
        <f>IFERROR(__xludf.DUMMYFUNCTION("""COMPUTED_VALUE"""),0.0)</f>
        <v>0</v>
      </c>
      <c r="S40" s="69">
        <f>IFERROR(__xludf.DUMMYFUNCTION("""COMPUTED_VALUE"""),0.0)</f>
        <v>0</v>
      </c>
      <c r="T40" s="69">
        <f>IFERROR(__xludf.DUMMYFUNCTION("""COMPUTED_VALUE"""),3.0)</f>
        <v>3</v>
      </c>
      <c r="U40" s="138"/>
      <c r="V40" s="86"/>
      <c r="W40" s="25">
        <f t="shared" si="39"/>
        <v>44541</v>
      </c>
      <c r="X40" s="69">
        <f t="shared" ref="X40:AC40" si="41">M40</f>
        <v>3</v>
      </c>
      <c r="Y40" s="69">
        <f t="shared" si="41"/>
        <v>3</v>
      </c>
      <c r="Z40" s="69">
        <f t="shared" si="41"/>
        <v>0</v>
      </c>
      <c r="AA40" s="69">
        <f t="shared" si="41"/>
        <v>0</v>
      </c>
      <c r="AB40" s="69">
        <f t="shared" si="41"/>
        <v>0</v>
      </c>
      <c r="AC40" s="69">
        <f t="shared" si="41"/>
        <v>0</v>
      </c>
    </row>
    <row r="41">
      <c r="B41" s="14">
        <f>IFERROR(__xludf.DUMMYFUNCTION("""COMPUTED_VALUE"""),44270.0)</f>
        <v>44270</v>
      </c>
      <c r="C41" s="16">
        <f>IFERROR(__xludf.DUMMYFUNCTION("""COMPUTED_VALUE"""),2.0)</f>
        <v>2</v>
      </c>
      <c r="D41" s="16">
        <f>IFERROR(__xludf.DUMMYFUNCTION("""COMPUTED_VALUE"""),2.0)</f>
        <v>2</v>
      </c>
      <c r="E41" s="16">
        <f>IFERROR(__xludf.DUMMYFUNCTION("""COMPUTED_VALUE"""),0.0)</f>
        <v>0</v>
      </c>
      <c r="F41" s="16">
        <f>IFERROR(__xludf.DUMMYFUNCTION("""COMPUTED_VALUE"""),0.0)</f>
        <v>0</v>
      </c>
      <c r="G41" s="16">
        <f>IFERROR(__xludf.DUMMYFUNCTION("""COMPUTED_VALUE"""),0.0)</f>
        <v>0</v>
      </c>
      <c r="H41" s="16">
        <f>IFERROR(__xludf.DUMMYFUNCTION("""COMPUTED_VALUE"""),0.0)</f>
        <v>0</v>
      </c>
      <c r="I41" s="16">
        <f>IFERROR(__xludf.DUMMYFUNCTION("""COMPUTED_VALUE"""),0.0)</f>
        <v>0</v>
      </c>
      <c r="J41" s="16" t="b">
        <f>IFERROR(__xludf.DUMMYFUNCTION("""COMPUTED_VALUE"""),TRUE)</f>
        <v>1</v>
      </c>
      <c r="K41" s="86"/>
      <c r="L41" s="25">
        <f>IFERROR(__xludf.DUMMYFUNCTION("""COMPUTED_VALUE"""),44543.0)</f>
        <v>44543</v>
      </c>
      <c r="M41" s="69">
        <f>IFERROR(__xludf.DUMMYFUNCTION("""COMPUTED_VALUE"""),5.0)</f>
        <v>5</v>
      </c>
      <c r="N41" s="69">
        <f>IFERROR(__xludf.DUMMYFUNCTION("""COMPUTED_VALUE"""),5.0)</f>
        <v>5</v>
      </c>
      <c r="O41" s="69">
        <f>IFERROR(__xludf.DUMMYFUNCTION("""COMPUTED_VALUE"""),0.0)</f>
        <v>0</v>
      </c>
      <c r="P41" s="69">
        <f>IFERROR(__xludf.DUMMYFUNCTION("""COMPUTED_VALUE"""),0.0)</f>
        <v>0</v>
      </c>
      <c r="Q41" s="69">
        <f>IFERROR(__xludf.DUMMYFUNCTION("""COMPUTED_VALUE"""),0.0)</f>
        <v>0</v>
      </c>
      <c r="R41" s="69">
        <f>IFERROR(__xludf.DUMMYFUNCTION("""COMPUTED_VALUE"""),0.0)</f>
        <v>0</v>
      </c>
      <c r="S41" s="69">
        <f>IFERROR(__xludf.DUMMYFUNCTION("""COMPUTED_VALUE"""),0.0)</f>
        <v>0</v>
      </c>
      <c r="T41" s="69">
        <f>IFERROR(__xludf.DUMMYFUNCTION("""COMPUTED_VALUE"""),5.0)</f>
        <v>5</v>
      </c>
      <c r="U41" s="138"/>
      <c r="V41" s="86"/>
      <c r="W41" s="25">
        <f t="shared" si="39"/>
        <v>44543</v>
      </c>
      <c r="X41" s="69">
        <f t="shared" ref="X41:AC41" si="42">M41</f>
        <v>5</v>
      </c>
      <c r="Y41" s="69">
        <f t="shared" si="42"/>
        <v>5</v>
      </c>
      <c r="Z41" s="69">
        <f t="shared" si="42"/>
        <v>0</v>
      </c>
      <c r="AA41" s="69">
        <f t="shared" si="42"/>
        <v>0</v>
      </c>
      <c r="AB41" s="69">
        <f t="shared" si="42"/>
        <v>0</v>
      </c>
      <c r="AC41" s="69">
        <f t="shared" si="42"/>
        <v>0</v>
      </c>
    </row>
    <row r="42">
      <c r="B42" s="14">
        <f>IFERROR(__xludf.DUMMYFUNCTION("""COMPUTED_VALUE"""),44272.0)</f>
        <v>44272</v>
      </c>
      <c r="C42" s="16">
        <f>IFERROR(__xludf.DUMMYFUNCTION("""COMPUTED_VALUE"""),4.0)</f>
        <v>4</v>
      </c>
      <c r="D42" s="16">
        <f>IFERROR(__xludf.DUMMYFUNCTION("""COMPUTED_VALUE"""),4.0)</f>
        <v>4</v>
      </c>
      <c r="E42" s="16">
        <f>IFERROR(__xludf.DUMMYFUNCTION("""COMPUTED_VALUE"""),0.0)</f>
        <v>0</v>
      </c>
      <c r="F42" s="16">
        <f>IFERROR(__xludf.DUMMYFUNCTION("""COMPUTED_VALUE"""),0.0)</f>
        <v>0</v>
      </c>
      <c r="G42" s="16">
        <f>IFERROR(__xludf.DUMMYFUNCTION("""COMPUTED_VALUE"""),0.0)</f>
        <v>0</v>
      </c>
      <c r="H42" s="16">
        <f>IFERROR(__xludf.DUMMYFUNCTION("""COMPUTED_VALUE"""),0.0)</f>
        <v>0</v>
      </c>
      <c r="I42" s="16">
        <f>IFERROR(__xludf.DUMMYFUNCTION("""COMPUTED_VALUE"""),0.0)</f>
        <v>0</v>
      </c>
      <c r="J42" s="16" t="b">
        <f>IFERROR(__xludf.DUMMYFUNCTION("""COMPUTED_VALUE"""),TRUE)</f>
        <v>1</v>
      </c>
      <c r="K42" s="86"/>
      <c r="L42" s="25">
        <f>IFERROR(__xludf.DUMMYFUNCTION("""COMPUTED_VALUE"""),44544.0)</f>
        <v>44544</v>
      </c>
      <c r="M42" s="69">
        <f>IFERROR(__xludf.DUMMYFUNCTION("""COMPUTED_VALUE"""),4.0)</f>
        <v>4</v>
      </c>
      <c r="N42" s="69">
        <f>IFERROR(__xludf.DUMMYFUNCTION("""COMPUTED_VALUE"""),4.0)</f>
        <v>4</v>
      </c>
      <c r="O42" s="69">
        <f>IFERROR(__xludf.DUMMYFUNCTION("""COMPUTED_VALUE"""),0.0)</f>
        <v>0</v>
      </c>
      <c r="P42" s="69">
        <f>IFERROR(__xludf.DUMMYFUNCTION("""COMPUTED_VALUE"""),0.0)</f>
        <v>0</v>
      </c>
      <c r="Q42" s="69">
        <f>IFERROR(__xludf.DUMMYFUNCTION("""COMPUTED_VALUE"""),0.0)</f>
        <v>0</v>
      </c>
      <c r="R42" s="69">
        <f>IFERROR(__xludf.DUMMYFUNCTION("""COMPUTED_VALUE"""),0.0)</f>
        <v>0</v>
      </c>
      <c r="S42" s="69">
        <f>IFERROR(__xludf.DUMMYFUNCTION("""COMPUTED_VALUE"""),0.0)</f>
        <v>0</v>
      </c>
      <c r="T42" s="69">
        <f>IFERROR(__xludf.DUMMYFUNCTION("""COMPUTED_VALUE"""),4.0)</f>
        <v>4</v>
      </c>
      <c r="U42" s="25"/>
      <c r="V42" s="86"/>
      <c r="W42" s="25">
        <f t="shared" si="39"/>
        <v>44544</v>
      </c>
      <c r="X42" s="69">
        <f t="shared" ref="X42:AC42" si="43">M42</f>
        <v>4</v>
      </c>
      <c r="Y42" s="69">
        <f t="shared" si="43"/>
        <v>4</v>
      </c>
      <c r="Z42" s="69">
        <f t="shared" si="43"/>
        <v>0</v>
      </c>
      <c r="AA42" s="69">
        <f t="shared" si="43"/>
        <v>0</v>
      </c>
      <c r="AB42" s="69">
        <f t="shared" si="43"/>
        <v>0</v>
      </c>
      <c r="AC42" s="69">
        <f t="shared" si="43"/>
        <v>0</v>
      </c>
    </row>
    <row r="43">
      <c r="B43" s="14">
        <f>IFERROR(__xludf.DUMMYFUNCTION("""COMPUTED_VALUE"""),44281.0)</f>
        <v>44281</v>
      </c>
      <c r="C43" s="16">
        <f>IFERROR(__xludf.DUMMYFUNCTION("""COMPUTED_VALUE"""),2.0)</f>
        <v>2</v>
      </c>
      <c r="D43" s="16">
        <f>IFERROR(__xludf.DUMMYFUNCTION("""COMPUTED_VALUE"""),2.0)</f>
        <v>2</v>
      </c>
      <c r="E43" s="16">
        <f>IFERROR(__xludf.DUMMYFUNCTION("""COMPUTED_VALUE"""),0.0)</f>
        <v>0</v>
      </c>
      <c r="F43" s="16">
        <f>IFERROR(__xludf.DUMMYFUNCTION("""COMPUTED_VALUE"""),0.0)</f>
        <v>0</v>
      </c>
      <c r="G43" s="16">
        <f>IFERROR(__xludf.DUMMYFUNCTION("""COMPUTED_VALUE"""),0.0)</f>
        <v>0</v>
      </c>
      <c r="H43" s="16">
        <f>IFERROR(__xludf.DUMMYFUNCTION("""COMPUTED_VALUE"""),0.0)</f>
        <v>0</v>
      </c>
      <c r="I43" s="16">
        <f>IFERROR(__xludf.DUMMYFUNCTION("""COMPUTED_VALUE"""),0.0)</f>
        <v>0</v>
      </c>
      <c r="J43" s="16" t="b">
        <f>IFERROR(__xludf.DUMMYFUNCTION("""COMPUTED_VALUE"""),TRUE)</f>
        <v>1</v>
      </c>
      <c r="K43" s="86"/>
      <c r="L43" s="543">
        <f>IFERROR(__xludf.DUMMYFUNCTION("""COMPUTED_VALUE"""),44546.0)</f>
        <v>44546</v>
      </c>
      <c r="M43" s="69">
        <f>IFERROR(__xludf.DUMMYFUNCTION("""COMPUTED_VALUE"""),2.0)</f>
        <v>2</v>
      </c>
      <c r="N43" s="69">
        <f>IFERROR(__xludf.DUMMYFUNCTION("""COMPUTED_VALUE"""),2.0)</f>
        <v>2</v>
      </c>
      <c r="O43" s="69">
        <f>IFERROR(__xludf.DUMMYFUNCTION("""COMPUTED_VALUE"""),0.0)</f>
        <v>0</v>
      </c>
      <c r="P43" s="69">
        <f>IFERROR(__xludf.DUMMYFUNCTION("""COMPUTED_VALUE"""),0.0)</f>
        <v>0</v>
      </c>
      <c r="Q43" s="69">
        <f>IFERROR(__xludf.DUMMYFUNCTION("""COMPUTED_VALUE"""),0.0)</f>
        <v>0</v>
      </c>
      <c r="R43" s="69">
        <f>IFERROR(__xludf.DUMMYFUNCTION("""COMPUTED_VALUE"""),0.0)</f>
        <v>0</v>
      </c>
      <c r="S43" s="69">
        <f>IFERROR(__xludf.DUMMYFUNCTION("""COMPUTED_VALUE"""),0.0)</f>
        <v>0</v>
      </c>
      <c r="T43" s="69">
        <f>IFERROR(__xludf.DUMMYFUNCTION("""COMPUTED_VALUE"""),2.0)</f>
        <v>2</v>
      </c>
      <c r="U43" s="25"/>
      <c r="V43" s="86"/>
      <c r="W43" s="25">
        <f t="shared" si="39"/>
        <v>44546</v>
      </c>
      <c r="X43" s="69">
        <f t="shared" ref="X43:AC43" si="44">M43</f>
        <v>2</v>
      </c>
      <c r="Y43" s="69">
        <f t="shared" si="44"/>
        <v>2</v>
      </c>
      <c r="Z43" s="69">
        <f t="shared" si="44"/>
        <v>0</v>
      </c>
      <c r="AA43" s="69">
        <f t="shared" si="44"/>
        <v>0</v>
      </c>
      <c r="AB43" s="69">
        <f t="shared" si="44"/>
        <v>0</v>
      </c>
      <c r="AC43" s="69">
        <f t="shared" si="44"/>
        <v>0</v>
      </c>
    </row>
    <row r="44">
      <c r="B44" s="14">
        <f>IFERROR(__xludf.DUMMYFUNCTION("""COMPUTED_VALUE"""),44284.0)</f>
        <v>44284</v>
      </c>
      <c r="C44" s="16">
        <f>IFERROR(__xludf.DUMMYFUNCTION("""COMPUTED_VALUE"""),2.0)</f>
        <v>2</v>
      </c>
      <c r="D44" s="16">
        <f>IFERROR(__xludf.DUMMYFUNCTION("""COMPUTED_VALUE"""),2.0)</f>
        <v>2</v>
      </c>
      <c r="E44" s="16">
        <f>IFERROR(__xludf.DUMMYFUNCTION("""COMPUTED_VALUE"""),0.0)</f>
        <v>0</v>
      </c>
      <c r="F44" s="16">
        <f>IFERROR(__xludf.DUMMYFUNCTION("""COMPUTED_VALUE"""),0.0)</f>
        <v>0</v>
      </c>
      <c r="G44" s="16">
        <f>IFERROR(__xludf.DUMMYFUNCTION("""COMPUTED_VALUE"""),0.0)</f>
        <v>0</v>
      </c>
      <c r="H44" s="16">
        <f>IFERROR(__xludf.DUMMYFUNCTION("""COMPUTED_VALUE"""),0.0)</f>
        <v>0</v>
      </c>
      <c r="I44" s="16">
        <f>IFERROR(__xludf.DUMMYFUNCTION("""COMPUTED_VALUE"""),0.0)</f>
        <v>0</v>
      </c>
      <c r="J44" s="16" t="b">
        <f>IFERROR(__xludf.DUMMYFUNCTION("""COMPUTED_VALUE"""),TRUE)</f>
        <v>1</v>
      </c>
      <c r="K44" s="86"/>
      <c r="L44" s="543">
        <f>IFERROR(__xludf.DUMMYFUNCTION("""COMPUTED_VALUE"""),44548.0)</f>
        <v>44548</v>
      </c>
      <c r="M44" s="69">
        <f>IFERROR(__xludf.DUMMYFUNCTION("""COMPUTED_VALUE"""),4.0)</f>
        <v>4</v>
      </c>
      <c r="N44" s="69">
        <f>IFERROR(__xludf.DUMMYFUNCTION("""COMPUTED_VALUE"""),3.0)</f>
        <v>3</v>
      </c>
      <c r="O44" s="69">
        <f>IFERROR(__xludf.DUMMYFUNCTION("""COMPUTED_VALUE"""),1.0)</f>
        <v>1</v>
      </c>
      <c r="P44" s="69">
        <f>IFERROR(__xludf.DUMMYFUNCTION("""COMPUTED_VALUE"""),0.0)</f>
        <v>0</v>
      </c>
      <c r="Q44" s="69">
        <f>IFERROR(__xludf.DUMMYFUNCTION("""COMPUTED_VALUE"""),0.0)</f>
        <v>0</v>
      </c>
      <c r="R44" s="69">
        <f>IFERROR(__xludf.DUMMYFUNCTION("""COMPUTED_VALUE"""),0.0)</f>
        <v>0</v>
      </c>
      <c r="S44" s="69">
        <f>IFERROR(__xludf.DUMMYFUNCTION("""COMPUTED_VALUE"""),0.0)</f>
        <v>0</v>
      </c>
      <c r="T44" s="69">
        <f>IFERROR(__xludf.DUMMYFUNCTION("""COMPUTED_VALUE"""),4.0)</f>
        <v>4</v>
      </c>
      <c r="U44" s="25"/>
      <c r="V44" s="86"/>
      <c r="W44" s="25">
        <f t="shared" si="39"/>
        <v>44548</v>
      </c>
      <c r="X44" s="69">
        <f t="shared" ref="X44:AC44" si="45">M44</f>
        <v>4</v>
      </c>
      <c r="Y44" s="69">
        <f t="shared" si="45"/>
        <v>3</v>
      </c>
      <c r="Z44" s="69">
        <f t="shared" si="45"/>
        <v>1</v>
      </c>
      <c r="AA44" s="69">
        <f t="shared" si="45"/>
        <v>0</v>
      </c>
      <c r="AB44" s="69">
        <f t="shared" si="45"/>
        <v>0</v>
      </c>
      <c r="AC44" s="69">
        <f t="shared" si="45"/>
        <v>0</v>
      </c>
    </row>
    <row r="45">
      <c r="B45" s="14">
        <f>IFERROR(__xludf.DUMMYFUNCTION("""COMPUTED_VALUE"""),44302.0)</f>
        <v>44302</v>
      </c>
      <c r="C45" s="16">
        <f>IFERROR(__xludf.DUMMYFUNCTION("""COMPUTED_VALUE"""),3.0)</f>
        <v>3</v>
      </c>
      <c r="D45" s="16">
        <f>IFERROR(__xludf.DUMMYFUNCTION("""COMPUTED_VALUE"""),3.0)</f>
        <v>3</v>
      </c>
      <c r="E45" s="16">
        <f>IFERROR(__xludf.DUMMYFUNCTION("""COMPUTED_VALUE"""),0.0)</f>
        <v>0</v>
      </c>
      <c r="F45" s="16">
        <f>IFERROR(__xludf.DUMMYFUNCTION("""COMPUTED_VALUE"""),0.0)</f>
        <v>0</v>
      </c>
      <c r="G45" s="16">
        <f>IFERROR(__xludf.DUMMYFUNCTION("""COMPUTED_VALUE"""),0.0)</f>
        <v>0</v>
      </c>
      <c r="H45" s="16">
        <f>IFERROR(__xludf.DUMMYFUNCTION("""COMPUTED_VALUE"""),0.0)</f>
        <v>0</v>
      </c>
      <c r="I45" s="16">
        <f>IFERROR(__xludf.DUMMYFUNCTION("""COMPUTED_VALUE"""),0.0)</f>
        <v>0</v>
      </c>
      <c r="J45" s="16" t="b">
        <f>IFERROR(__xludf.DUMMYFUNCTION("""COMPUTED_VALUE"""),TRUE)</f>
        <v>1</v>
      </c>
      <c r="K45" s="86"/>
      <c r="L45" s="543">
        <f>IFERROR(__xludf.DUMMYFUNCTION("""COMPUTED_VALUE"""),44549.0)</f>
        <v>44549</v>
      </c>
      <c r="M45" s="69">
        <f>IFERROR(__xludf.DUMMYFUNCTION("""COMPUTED_VALUE"""),8.0)</f>
        <v>8</v>
      </c>
      <c r="N45" s="69">
        <f>IFERROR(__xludf.DUMMYFUNCTION("""COMPUTED_VALUE"""),7.0)</f>
        <v>7</v>
      </c>
      <c r="O45" s="69">
        <f>IFERROR(__xludf.DUMMYFUNCTION("""COMPUTED_VALUE"""),1.0)</f>
        <v>1</v>
      </c>
      <c r="P45" s="69">
        <f>IFERROR(__xludf.DUMMYFUNCTION("""COMPUTED_VALUE"""),0.0)</f>
        <v>0</v>
      </c>
      <c r="Q45" s="69">
        <f>IFERROR(__xludf.DUMMYFUNCTION("""COMPUTED_VALUE"""),0.0)</f>
        <v>0</v>
      </c>
      <c r="R45" s="69">
        <f>IFERROR(__xludf.DUMMYFUNCTION("""COMPUTED_VALUE"""),0.0)</f>
        <v>0</v>
      </c>
      <c r="S45" s="69">
        <f>IFERROR(__xludf.DUMMYFUNCTION("""COMPUTED_VALUE"""),0.0)</f>
        <v>0</v>
      </c>
      <c r="T45" s="69">
        <f>IFERROR(__xludf.DUMMYFUNCTION("""COMPUTED_VALUE"""),8.0)</f>
        <v>8</v>
      </c>
      <c r="U45" s="25"/>
      <c r="V45" s="86"/>
      <c r="W45" s="25">
        <f t="shared" si="39"/>
        <v>44549</v>
      </c>
      <c r="X45" s="69">
        <f t="shared" ref="X45:AC45" si="46">M45</f>
        <v>8</v>
      </c>
      <c r="Y45" s="69">
        <f t="shared" si="46"/>
        <v>7</v>
      </c>
      <c r="Z45" s="69">
        <f t="shared" si="46"/>
        <v>1</v>
      </c>
      <c r="AA45" s="69">
        <f t="shared" si="46"/>
        <v>0</v>
      </c>
      <c r="AB45" s="69">
        <f t="shared" si="46"/>
        <v>0</v>
      </c>
      <c r="AC45" s="69">
        <f t="shared" si="46"/>
        <v>0</v>
      </c>
    </row>
    <row r="46">
      <c r="B46" s="14">
        <f>IFERROR(__xludf.DUMMYFUNCTION("""COMPUTED_VALUE"""),44325.0)</f>
        <v>44325</v>
      </c>
      <c r="C46" s="16">
        <f>IFERROR(__xludf.DUMMYFUNCTION("""COMPUTED_VALUE"""),1.0)</f>
        <v>1</v>
      </c>
      <c r="D46" s="16">
        <f>IFERROR(__xludf.DUMMYFUNCTION("""COMPUTED_VALUE"""),1.0)</f>
        <v>1</v>
      </c>
      <c r="E46" s="16">
        <f>IFERROR(__xludf.DUMMYFUNCTION("""COMPUTED_VALUE"""),0.0)</f>
        <v>0</v>
      </c>
      <c r="F46" s="16">
        <f>IFERROR(__xludf.DUMMYFUNCTION("""COMPUTED_VALUE"""),0.0)</f>
        <v>0</v>
      </c>
      <c r="G46" s="16">
        <f>IFERROR(__xludf.DUMMYFUNCTION("""COMPUTED_VALUE"""),0.0)</f>
        <v>0</v>
      </c>
      <c r="H46" s="16">
        <f>IFERROR(__xludf.DUMMYFUNCTION("""COMPUTED_VALUE"""),0.0)</f>
        <v>0</v>
      </c>
      <c r="I46" s="16">
        <f>IFERROR(__xludf.DUMMYFUNCTION("""COMPUTED_VALUE"""),0.0)</f>
        <v>0</v>
      </c>
      <c r="J46" s="16"/>
      <c r="K46" s="86"/>
      <c r="L46" s="543">
        <f>IFERROR(__xludf.DUMMYFUNCTION("""COMPUTED_VALUE"""),44550.0)</f>
        <v>44550</v>
      </c>
      <c r="M46" s="69">
        <f>IFERROR(__xludf.DUMMYFUNCTION("""COMPUTED_VALUE"""),5.0)</f>
        <v>5</v>
      </c>
      <c r="N46" s="69">
        <f>IFERROR(__xludf.DUMMYFUNCTION("""COMPUTED_VALUE"""),5.0)</f>
        <v>5</v>
      </c>
      <c r="O46" s="69">
        <f>IFERROR(__xludf.DUMMYFUNCTION("""COMPUTED_VALUE"""),0.0)</f>
        <v>0</v>
      </c>
      <c r="P46" s="69">
        <f>IFERROR(__xludf.DUMMYFUNCTION("""COMPUTED_VALUE"""),0.0)</f>
        <v>0</v>
      </c>
      <c r="Q46" s="69">
        <f>IFERROR(__xludf.DUMMYFUNCTION("""COMPUTED_VALUE"""),0.0)</f>
        <v>0</v>
      </c>
      <c r="R46" s="69">
        <f>IFERROR(__xludf.DUMMYFUNCTION("""COMPUTED_VALUE"""),0.0)</f>
        <v>0</v>
      </c>
      <c r="S46" s="69">
        <f>IFERROR(__xludf.DUMMYFUNCTION("""COMPUTED_VALUE"""),0.0)</f>
        <v>0</v>
      </c>
      <c r="T46" s="69">
        <f>IFERROR(__xludf.DUMMYFUNCTION("""COMPUTED_VALUE"""),5.0)</f>
        <v>5</v>
      </c>
      <c r="U46" s="25"/>
      <c r="V46" s="86"/>
      <c r="W46" s="25">
        <f t="shared" si="39"/>
        <v>44550</v>
      </c>
      <c r="X46" s="69">
        <f t="shared" ref="X46:AC46" si="47">M46</f>
        <v>5</v>
      </c>
      <c r="Y46" s="69">
        <f t="shared" si="47"/>
        <v>5</v>
      </c>
      <c r="Z46" s="69">
        <f t="shared" si="47"/>
        <v>0</v>
      </c>
      <c r="AA46" s="69">
        <f t="shared" si="47"/>
        <v>0</v>
      </c>
      <c r="AB46" s="69">
        <f t="shared" si="47"/>
        <v>0</v>
      </c>
      <c r="AC46" s="69">
        <f t="shared" si="47"/>
        <v>0</v>
      </c>
    </row>
    <row r="47">
      <c r="B47" s="14">
        <f>IFERROR(__xludf.DUMMYFUNCTION("""COMPUTED_VALUE"""),44326.0)</f>
        <v>44326</v>
      </c>
      <c r="C47" s="16">
        <f>IFERROR(__xludf.DUMMYFUNCTION("""COMPUTED_VALUE"""),2.0)</f>
        <v>2</v>
      </c>
      <c r="D47" s="16">
        <f>IFERROR(__xludf.DUMMYFUNCTION("""COMPUTED_VALUE"""),2.0)</f>
        <v>2</v>
      </c>
      <c r="E47" s="16">
        <f>IFERROR(__xludf.DUMMYFUNCTION("""COMPUTED_VALUE"""),0.0)</f>
        <v>0</v>
      </c>
      <c r="F47" s="16">
        <f>IFERROR(__xludf.DUMMYFUNCTION("""COMPUTED_VALUE"""),0.0)</f>
        <v>0</v>
      </c>
      <c r="G47" s="16">
        <f>IFERROR(__xludf.DUMMYFUNCTION("""COMPUTED_VALUE"""),0.0)</f>
        <v>0</v>
      </c>
      <c r="H47" s="16">
        <f>IFERROR(__xludf.DUMMYFUNCTION("""COMPUTED_VALUE"""),0.0)</f>
        <v>0</v>
      </c>
      <c r="I47" s="16">
        <f>IFERROR(__xludf.DUMMYFUNCTION("""COMPUTED_VALUE"""),0.0)</f>
        <v>0</v>
      </c>
      <c r="J47" s="16" t="b">
        <f>IFERROR(__xludf.DUMMYFUNCTION("""COMPUTED_VALUE"""),TRUE)</f>
        <v>1</v>
      </c>
      <c r="K47" s="86"/>
      <c r="L47" s="543">
        <f>IFERROR(__xludf.DUMMYFUNCTION("""COMPUTED_VALUE"""),44551.0)</f>
        <v>44551</v>
      </c>
      <c r="M47" s="69">
        <f>IFERROR(__xludf.DUMMYFUNCTION("""COMPUTED_VALUE"""),6.0)</f>
        <v>6</v>
      </c>
      <c r="N47" s="69">
        <f>IFERROR(__xludf.DUMMYFUNCTION("""COMPUTED_VALUE"""),6.0)</f>
        <v>6</v>
      </c>
      <c r="O47" s="69">
        <f>IFERROR(__xludf.DUMMYFUNCTION("""COMPUTED_VALUE"""),0.0)</f>
        <v>0</v>
      </c>
      <c r="P47" s="69">
        <f>IFERROR(__xludf.DUMMYFUNCTION("""COMPUTED_VALUE"""),0.0)</f>
        <v>0</v>
      </c>
      <c r="Q47" s="69">
        <f>IFERROR(__xludf.DUMMYFUNCTION("""COMPUTED_VALUE"""),0.0)</f>
        <v>0</v>
      </c>
      <c r="R47" s="69">
        <f>IFERROR(__xludf.DUMMYFUNCTION("""COMPUTED_VALUE"""),0.0)</f>
        <v>0</v>
      </c>
      <c r="S47" s="69">
        <f>IFERROR(__xludf.DUMMYFUNCTION("""COMPUTED_VALUE"""),0.0)</f>
        <v>0</v>
      </c>
      <c r="T47" s="69">
        <f>IFERROR(__xludf.DUMMYFUNCTION("""COMPUTED_VALUE"""),6.0)</f>
        <v>6</v>
      </c>
      <c r="U47" s="25"/>
      <c r="V47" s="86"/>
      <c r="W47" s="25">
        <f t="shared" si="39"/>
        <v>44551</v>
      </c>
      <c r="X47" s="69">
        <f t="shared" ref="X47:AC47" si="48">M47</f>
        <v>6</v>
      </c>
      <c r="Y47" s="69">
        <f t="shared" si="48"/>
        <v>6</v>
      </c>
      <c r="Z47" s="69">
        <f t="shared" si="48"/>
        <v>0</v>
      </c>
      <c r="AA47" s="69">
        <f t="shared" si="48"/>
        <v>0</v>
      </c>
      <c r="AB47" s="69">
        <f t="shared" si="48"/>
        <v>0</v>
      </c>
      <c r="AC47" s="69">
        <f t="shared" si="48"/>
        <v>0</v>
      </c>
    </row>
    <row r="48">
      <c r="B48" s="14">
        <f>IFERROR(__xludf.DUMMYFUNCTION("""COMPUTED_VALUE"""),44334.0)</f>
        <v>44334</v>
      </c>
      <c r="C48" s="16">
        <f>IFERROR(__xludf.DUMMYFUNCTION("""COMPUTED_VALUE"""),6.0)</f>
        <v>6</v>
      </c>
      <c r="D48" s="16">
        <f>IFERROR(__xludf.DUMMYFUNCTION("""COMPUTED_VALUE"""),6.0)</f>
        <v>6</v>
      </c>
      <c r="E48" s="16">
        <f>IFERROR(__xludf.DUMMYFUNCTION("""COMPUTED_VALUE"""),0.0)</f>
        <v>0</v>
      </c>
      <c r="F48" s="16">
        <f>IFERROR(__xludf.DUMMYFUNCTION("""COMPUTED_VALUE"""),0.0)</f>
        <v>0</v>
      </c>
      <c r="G48" s="16">
        <f>IFERROR(__xludf.DUMMYFUNCTION("""COMPUTED_VALUE"""),0.0)</f>
        <v>0</v>
      </c>
      <c r="H48" s="16">
        <f>IFERROR(__xludf.DUMMYFUNCTION("""COMPUTED_VALUE"""),0.0)</f>
        <v>0</v>
      </c>
      <c r="I48" s="16">
        <f>IFERROR(__xludf.DUMMYFUNCTION("""COMPUTED_VALUE"""),0.0)</f>
        <v>0</v>
      </c>
      <c r="J48" s="16" t="b">
        <f>IFERROR(__xludf.DUMMYFUNCTION("""COMPUTED_VALUE"""),TRUE)</f>
        <v>1</v>
      </c>
      <c r="K48" s="86"/>
      <c r="L48" s="543">
        <f>IFERROR(__xludf.DUMMYFUNCTION("""COMPUTED_VALUE"""),44552.0)</f>
        <v>44552</v>
      </c>
      <c r="M48" s="69">
        <f>IFERROR(__xludf.DUMMYFUNCTION("""COMPUTED_VALUE"""),7.0)</f>
        <v>7</v>
      </c>
      <c r="N48" s="69">
        <f>IFERROR(__xludf.DUMMYFUNCTION("""COMPUTED_VALUE"""),6.0)</f>
        <v>6</v>
      </c>
      <c r="O48" s="69">
        <f>IFERROR(__xludf.DUMMYFUNCTION("""COMPUTED_VALUE"""),1.0)</f>
        <v>1</v>
      </c>
      <c r="P48" s="69">
        <f>IFERROR(__xludf.DUMMYFUNCTION("""COMPUTED_VALUE"""),0.0)</f>
        <v>0</v>
      </c>
      <c r="Q48" s="69">
        <f>IFERROR(__xludf.DUMMYFUNCTION("""COMPUTED_VALUE"""),0.0)</f>
        <v>0</v>
      </c>
      <c r="R48" s="69">
        <f>IFERROR(__xludf.DUMMYFUNCTION("""COMPUTED_VALUE"""),0.0)</f>
        <v>0</v>
      </c>
      <c r="S48" s="69">
        <f>IFERROR(__xludf.DUMMYFUNCTION("""COMPUTED_VALUE"""),0.0)</f>
        <v>0</v>
      </c>
      <c r="T48" s="69">
        <f>IFERROR(__xludf.DUMMYFUNCTION("""COMPUTED_VALUE"""),7.0)</f>
        <v>7</v>
      </c>
      <c r="U48" s="25"/>
      <c r="V48" s="86"/>
      <c r="W48" s="25">
        <f t="shared" si="39"/>
        <v>44552</v>
      </c>
      <c r="X48" s="69">
        <f t="shared" ref="X48:AC48" si="49">M48</f>
        <v>7</v>
      </c>
      <c r="Y48" s="69">
        <f t="shared" si="49"/>
        <v>6</v>
      </c>
      <c r="Z48" s="69">
        <f t="shared" si="49"/>
        <v>1</v>
      </c>
      <c r="AA48" s="69">
        <f t="shared" si="49"/>
        <v>0</v>
      </c>
      <c r="AB48" s="69">
        <f t="shared" si="49"/>
        <v>0</v>
      </c>
      <c r="AC48" s="69">
        <f t="shared" si="49"/>
        <v>0</v>
      </c>
    </row>
    <row r="49">
      <c r="B49" s="14">
        <f>IFERROR(__xludf.DUMMYFUNCTION("""COMPUTED_VALUE"""),44364.0)</f>
        <v>44364</v>
      </c>
      <c r="C49" s="16">
        <f>IFERROR(__xludf.DUMMYFUNCTION("""COMPUTED_VALUE"""),2.0)</f>
        <v>2</v>
      </c>
      <c r="D49" s="16">
        <f>IFERROR(__xludf.DUMMYFUNCTION("""COMPUTED_VALUE"""),2.0)</f>
        <v>2</v>
      </c>
      <c r="E49" s="16">
        <f>IFERROR(__xludf.DUMMYFUNCTION("""COMPUTED_VALUE"""),0.0)</f>
        <v>0</v>
      </c>
      <c r="F49" s="16">
        <f>IFERROR(__xludf.DUMMYFUNCTION("""COMPUTED_VALUE"""),0.0)</f>
        <v>0</v>
      </c>
      <c r="G49" s="16">
        <f>IFERROR(__xludf.DUMMYFUNCTION("""COMPUTED_VALUE"""),0.0)</f>
        <v>0</v>
      </c>
      <c r="H49" s="16">
        <f>IFERROR(__xludf.DUMMYFUNCTION("""COMPUTED_VALUE"""),0.0)</f>
        <v>0</v>
      </c>
      <c r="I49" s="16">
        <f>IFERROR(__xludf.DUMMYFUNCTION("""COMPUTED_VALUE"""),0.0)</f>
        <v>0</v>
      </c>
      <c r="J49" s="16" t="b">
        <f>IFERROR(__xludf.DUMMYFUNCTION("""COMPUTED_VALUE"""),TRUE)</f>
        <v>1</v>
      </c>
      <c r="K49" s="86"/>
      <c r="L49" s="543">
        <f>IFERROR(__xludf.DUMMYFUNCTION("""COMPUTED_VALUE"""),44553.0)</f>
        <v>44553</v>
      </c>
      <c r="M49" s="69">
        <f>IFERROR(__xludf.DUMMYFUNCTION("""COMPUTED_VALUE"""),4.0)</f>
        <v>4</v>
      </c>
      <c r="N49" s="69">
        <f>IFERROR(__xludf.DUMMYFUNCTION("""COMPUTED_VALUE"""),3.0)</f>
        <v>3</v>
      </c>
      <c r="O49" s="69">
        <f>IFERROR(__xludf.DUMMYFUNCTION("""COMPUTED_VALUE"""),1.0)</f>
        <v>1</v>
      </c>
      <c r="P49" s="69">
        <f>IFERROR(__xludf.DUMMYFUNCTION("""COMPUTED_VALUE"""),0.0)</f>
        <v>0</v>
      </c>
      <c r="Q49" s="69">
        <f>IFERROR(__xludf.DUMMYFUNCTION("""COMPUTED_VALUE"""),0.0)</f>
        <v>0</v>
      </c>
      <c r="R49" s="69">
        <f>IFERROR(__xludf.DUMMYFUNCTION("""COMPUTED_VALUE"""),0.0)</f>
        <v>0</v>
      </c>
      <c r="S49" s="69">
        <f>IFERROR(__xludf.DUMMYFUNCTION("""COMPUTED_VALUE"""),0.0)</f>
        <v>0</v>
      </c>
      <c r="T49" s="69">
        <f>IFERROR(__xludf.DUMMYFUNCTION("""COMPUTED_VALUE"""),4.0)</f>
        <v>4</v>
      </c>
      <c r="U49" s="25"/>
      <c r="V49" s="86"/>
      <c r="W49" s="25">
        <f t="shared" si="39"/>
        <v>44553</v>
      </c>
      <c r="X49" s="69">
        <f t="shared" ref="X49:AC49" si="50">M49</f>
        <v>4</v>
      </c>
      <c r="Y49" s="69">
        <f t="shared" si="50"/>
        <v>3</v>
      </c>
      <c r="Z49" s="69">
        <f t="shared" si="50"/>
        <v>1</v>
      </c>
      <c r="AA49" s="69">
        <f t="shared" si="50"/>
        <v>0</v>
      </c>
      <c r="AB49" s="69">
        <f t="shared" si="50"/>
        <v>0</v>
      </c>
      <c r="AC49" s="69">
        <f t="shared" si="50"/>
        <v>0</v>
      </c>
    </row>
    <row r="50">
      <c r="B50" s="14">
        <f>IFERROR(__xludf.DUMMYFUNCTION("""COMPUTED_VALUE"""),44442.0)</f>
        <v>44442</v>
      </c>
      <c r="C50" s="16">
        <f>IFERROR(__xludf.DUMMYFUNCTION("""COMPUTED_VALUE"""),4.0)</f>
        <v>4</v>
      </c>
      <c r="D50" s="16">
        <f>IFERROR(__xludf.DUMMYFUNCTION("""COMPUTED_VALUE"""),4.0)</f>
        <v>4</v>
      </c>
      <c r="E50" s="16">
        <f>IFERROR(__xludf.DUMMYFUNCTION("""COMPUTED_VALUE"""),0.0)</f>
        <v>0</v>
      </c>
      <c r="F50" s="16">
        <f>IFERROR(__xludf.DUMMYFUNCTION("""COMPUTED_VALUE"""),0.0)</f>
        <v>0</v>
      </c>
      <c r="G50" s="16">
        <f>IFERROR(__xludf.DUMMYFUNCTION("""COMPUTED_VALUE"""),0.0)</f>
        <v>0</v>
      </c>
      <c r="H50" s="16">
        <f>IFERROR(__xludf.DUMMYFUNCTION("""COMPUTED_VALUE"""),0.0)</f>
        <v>0</v>
      </c>
      <c r="I50" s="16">
        <f>IFERROR(__xludf.DUMMYFUNCTION("""COMPUTED_VALUE"""),0.0)</f>
        <v>0</v>
      </c>
      <c r="J50" s="16"/>
      <c r="K50" s="86"/>
      <c r="L50" s="543">
        <f>IFERROR(__xludf.DUMMYFUNCTION("""COMPUTED_VALUE"""),44554.0)</f>
        <v>44554</v>
      </c>
      <c r="M50" s="69">
        <f>IFERROR(__xludf.DUMMYFUNCTION("""COMPUTED_VALUE"""),4.0)</f>
        <v>4</v>
      </c>
      <c r="N50" s="69">
        <f>IFERROR(__xludf.DUMMYFUNCTION("""COMPUTED_VALUE"""),3.0)</f>
        <v>3</v>
      </c>
      <c r="O50" s="69">
        <f>IFERROR(__xludf.DUMMYFUNCTION("""COMPUTED_VALUE"""),1.0)</f>
        <v>1</v>
      </c>
      <c r="P50" s="69">
        <f>IFERROR(__xludf.DUMMYFUNCTION("""COMPUTED_VALUE"""),0.0)</f>
        <v>0</v>
      </c>
      <c r="Q50" s="69">
        <f>IFERROR(__xludf.DUMMYFUNCTION("""COMPUTED_VALUE"""),0.0)</f>
        <v>0</v>
      </c>
      <c r="R50" s="69">
        <f>IFERROR(__xludf.DUMMYFUNCTION("""COMPUTED_VALUE"""),0.0)</f>
        <v>0</v>
      </c>
      <c r="S50" s="69">
        <f>IFERROR(__xludf.DUMMYFUNCTION("""COMPUTED_VALUE"""),0.0)</f>
        <v>0</v>
      </c>
      <c r="T50" s="69">
        <f>IFERROR(__xludf.DUMMYFUNCTION("""COMPUTED_VALUE"""),4.0)</f>
        <v>4</v>
      </c>
      <c r="U50" s="25"/>
      <c r="V50" s="86"/>
      <c r="W50" s="25">
        <f t="shared" si="39"/>
        <v>44554</v>
      </c>
      <c r="X50" s="69">
        <f t="shared" ref="X50:AC50" si="51">M50</f>
        <v>4</v>
      </c>
      <c r="Y50" s="69">
        <f t="shared" si="51"/>
        <v>3</v>
      </c>
      <c r="Z50" s="69">
        <f t="shared" si="51"/>
        <v>1</v>
      </c>
      <c r="AA50" s="69">
        <f t="shared" si="51"/>
        <v>0</v>
      </c>
      <c r="AB50" s="69">
        <f t="shared" si="51"/>
        <v>0</v>
      </c>
      <c r="AC50" s="69">
        <f t="shared" si="51"/>
        <v>0</v>
      </c>
    </row>
    <row r="51">
      <c r="B51" s="14">
        <f>IFERROR(__xludf.DUMMYFUNCTION("""COMPUTED_VALUE"""),44449.0)</f>
        <v>44449</v>
      </c>
      <c r="C51" s="16">
        <f>IFERROR(__xludf.DUMMYFUNCTION("""COMPUTED_VALUE"""),2.0)</f>
        <v>2</v>
      </c>
      <c r="D51" s="16">
        <f>IFERROR(__xludf.DUMMYFUNCTION("""COMPUTED_VALUE"""),2.0)</f>
        <v>2</v>
      </c>
      <c r="E51" s="16">
        <f>IFERROR(__xludf.DUMMYFUNCTION("""COMPUTED_VALUE"""),0.0)</f>
        <v>0</v>
      </c>
      <c r="F51" s="16">
        <f>IFERROR(__xludf.DUMMYFUNCTION("""COMPUTED_VALUE"""),0.0)</f>
        <v>0</v>
      </c>
      <c r="G51" s="16">
        <f>IFERROR(__xludf.DUMMYFUNCTION("""COMPUTED_VALUE"""),0.0)</f>
        <v>0</v>
      </c>
      <c r="H51" s="16">
        <f>IFERROR(__xludf.DUMMYFUNCTION("""COMPUTED_VALUE"""),0.0)</f>
        <v>0</v>
      </c>
      <c r="I51" s="16">
        <f>IFERROR(__xludf.DUMMYFUNCTION("""COMPUTED_VALUE"""),0.0)</f>
        <v>0</v>
      </c>
      <c r="J51" s="16"/>
      <c r="K51" s="86"/>
      <c r="L51" s="543">
        <f>IFERROR(__xludf.DUMMYFUNCTION("""COMPUTED_VALUE"""),44555.0)</f>
        <v>44555</v>
      </c>
      <c r="M51" s="69">
        <f>IFERROR(__xludf.DUMMYFUNCTION("""COMPUTED_VALUE"""),2.0)</f>
        <v>2</v>
      </c>
      <c r="N51" s="69">
        <f>IFERROR(__xludf.DUMMYFUNCTION("""COMPUTED_VALUE"""),0.0)</f>
        <v>0</v>
      </c>
      <c r="O51" s="69">
        <f>IFERROR(__xludf.DUMMYFUNCTION("""COMPUTED_VALUE"""),2.0)</f>
        <v>2</v>
      </c>
      <c r="P51" s="69">
        <f>IFERROR(__xludf.DUMMYFUNCTION("""COMPUTED_VALUE"""),0.0)</f>
        <v>0</v>
      </c>
      <c r="Q51" s="69">
        <f>IFERROR(__xludf.DUMMYFUNCTION("""COMPUTED_VALUE"""),0.0)</f>
        <v>0</v>
      </c>
      <c r="R51" s="69">
        <f>IFERROR(__xludf.DUMMYFUNCTION("""COMPUTED_VALUE"""),0.0)</f>
        <v>0</v>
      </c>
      <c r="S51" s="69">
        <f>IFERROR(__xludf.DUMMYFUNCTION("""COMPUTED_VALUE"""),0.0)</f>
        <v>0</v>
      </c>
      <c r="T51" s="69">
        <f>IFERROR(__xludf.DUMMYFUNCTION("""COMPUTED_VALUE"""),2.0)</f>
        <v>2</v>
      </c>
      <c r="U51" s="25"/>
      <c r="V51" s="86"/>
      <c r="W51" s="25">
        <f t="shared" si="39"/>
        <v>44555</v>
      </c>
      <c r="X51" s="69">
        <f t="shared" ref="X51:AC51" si="52">M51</f>
        <v>2</v>
      </c>
      <c r="Y51" s="69">
        <f t="shared" si="52"/>
        <v>0</v>
      </c>
      <c r="Z51" s="69">
        <f t="shared" si="52"/>
        <v>2</v>
      </c>
      <c r="AA51" s="69">
        <f t="shared" si="52"/>
        <v>0</v>
      </c>
      <c r="AB51" s="69">
        <f t="shared" si="52"/>
        <v>0</v>
      </c>
      <c r="AC51" s="69">
        <f t="shared" si="52"/>
        <v>0</v>
      </c>
    </row>
    <row r="52">
      <c r="B52" s="14">
        <f>IFERROR(__xludf.DUMMYFUNCTION("""COMPUTED_VALUE"""),44452.0)</f>
        <v>44452</v>
      </c>
      <c r="C52" s="16">
        <f>IFERROR(__xludf.DUMMYFUNCTION("""COMPUTED_VALUE"""),3.0)</f>
        <v>3</v>
      </c>
      <c r="D52" s="16">
        <f>IFERROR(__xludf.DUMMYFUNCTION("""COMPUTED_VALUE"""),3.0)</f>
        <v>3</v>
      </c>
      <c r="E52" s="16">
        <f>IFERROR(__xludf.DUMMYFUNCTION("""COMPUTED_VALUE"""),0.0)</f>
        <v>0</v>
      </c>
      <c r="F52" s="16">
        <f>IFERROR(__xludf.DUMMYFUNCTION("""COMPUTED_VALUE"""),0.0)</f>
        <v>0</v>
      </c>
      <c r="G52" s="16">
        <f>IFERROR(__xludf.DUMMYFUNCTION("""COMPUTED_VALUE"""),0.0)</f>
        <v>0</v>
      </c>
      <c r="H52" s="16">
        <f>IFERROR(__xludf.DUMMYFUNCTION("""COMPUTED_VALUE"""),0.0)</f>
        <v>0</v>
      </c>
      <c r="I52" s="16">
        <f>IFERROR(__xludf.DUMMYFUNCTION("""COMPUTED_VALUE"""),0.0)</f>
        <v>0</v>
      </c>
      <c r="J52" s="16" t="b">
        <f>IFERROR(__xludf.DUMMYFUNCTION("""COMPUTED_VALUE"""),TRUE)</f>
        <v>1</v>
      </c>
      <c r="K52" s="86"/>
      <c r="L52" s="543">
        <f>IFERROR(__xludf.DUMMYFUNCTION("""COMPUTED_VALUE"""),44556.0)</f>
        <v>44556</v>
      </c>
      <c r="M52" s="69">
        <f>IFERROR(__xludf.DUMMYFUNCTION("""COMPUTED_VALUE"""),2.0)</f>
        <v>2</v>
      </c>
      <c r="N52" s="69">
        <f>IFERROR(__xludf.DUMMYFUNCTION("""COMPUTED_VALUE"""),1.0)</f>
        <v>1</v>
      </c>
      <c r="O52" s="69">
        <f>IFERROR(__xludf.DUMMYFUNCTION("""COMPUTED_VALUE"""),1.0)</f>
        <v>1</v>
      </c>
      <c r="P52" s="69">
        <f>IFERROR(__xludf.DUMMYFUNCTION("""COMPUTED_VALUE"""),0.0)</f>
        <v>0</v>
      </c>
      <c r="Q52" s="69">
        <f>IFERROR(__xludf.DUMMYFUNCTION("""COMPUTED_VALUE"""),0.0)</f>
        <v>0</v>
      </c>
      <c r="R52" s="69">
        <f>IFERROR(__xludf.DUMMYFUNCTION("""COMPUTED_VALUE"""),0.0)</f>
        <v>0</v>
      </c>
      <c r="S52" s="69">
        <f>IFERROR(__xludf.DUMMYFUNCTION("""COMPUTED_VALUE"""),0.0)</f>
        <v>0</v>
      </c>
      <c r="T52" s="69">
        <f>IFERROR(__xludf.DUMMYFUNCTION("""COMPUTED_VALUE"""),2.0)</f>
        <v>2</v>
      </c>
      <c r="U52" s="25"/>
      <c r="V52" s="86"/>
      <c r="W52" s="25">
        <f t="shared" si="39"/>
        <v>44556</v>
      </c>
      <c r="X52" s="69">
        <f t="shared" ref="X52:AC52" si="53">M52</f>
        <v>2</v>
      </c>
      <c r="Y52" s="69">
        <f t="shared" si="53"/>
        <v>1</v>
      </c>
      <c r="Z52" s="69">
        <f t="shared" si="53"/>
        <v>1</v>
      </c>
      <c r="AA52" s="69">
        <f t="shared" si="53"/>
        <v>0</v>
      </c>
      <c r="AB52" s="69">
        <f t="shared" si="53"/>
        <v>0</v>
      </c>
      <c r="AC52" s="69">
        <f t="shared" si="53"/>
        <v>0</v>
      </c>
    </row>
    <row r="53">
      <c r="B53" s="14">
        <f>IFERROR(__xludf.DUMMYFUNCTION("""COMPUTED_VALUE"""),44454.0)</f>
        <v>44454</v>
      </c>
      <c r="C53" s="16">
        <f>IFERROR(__xludf.DUMMYFUNCTION("""COMPUTED_VALUE"""),3.0)</f>
        <v>3</v>
      </c>
      <c r="D53" s="16">
        <f>IFERROR(__xludf.DUMMYFUNCTION("""COMPUTED_VALUE"""),3.0)</f>
        <v>3</v>
      </c>
      <c r="E53" s="16">
        <f>IFERROR(__xludf.DUMMYFUNCTION("""COMPUTED_VALUE"""),0.0)</f>
        <v>0</v>
      </c>
      <c r="F53" s="16">
        <f>IFERROR(__xludf.DUMMYFUNCTION("""COMPUTED_VALUE"""),0.0)</f>
        <v>0</v>
      </c>
      <c r="G53" s="16">
        <f>IFERROR(__xludf.DUMMYFUNCTION("""COMPUTED_VALUE"""),0.0)</f>
        <v>0</v>
      </c>
      <c r="H53" s="16">
        <f>IFERROR(__xludf.DUMMYFUNCTION("""COMPUTED_VALUE"""),0.0)</f>
        <v>0</v>
      </c>
      <c r="I53" s="16">
        <f>IFERROR(__xludf.DUMMYFUNCTION("""COMPUTED_VALUE"""),0.0)</f>
        <v>0</v>
      </c>
      <c r="J53" s="16"/>
      <c r="K53" s="86"/>
      <c r="L53" s="543">
        <f>IFERROR(__xludf.DUMMYFUNCTION("""COMPUTED_VALUE"""),44557.0)</f>
        <v>44557</v>
      </c>
      <c r="M53" s="69">
        <f>IFERROR(__xludf.DUMMYFUNCTION("""COMPUTED_VALUE"""),3.0)</f>
        <v>3</v>
      </c>
      <c r="N53" s="69">
        <f>IFERROR(__xludf.DUMMYFUNCTION("""COMPUTED_VALUE"""),3.0)</f>
        <v>3</v>
      </c>
      <c r="O53" s="69">
        <f>IFERROR(__xludf.DUMMYFUNCTION("""COMPUTED_VALUE"""),0.0)</f>
        <v>0</v>
      </c>
      <c r="P53" s="69">
        <f>IFERROR(__xludf.DUMMYFUNCTION("""COMPUTED_VALUE"""),0.0)</f>
        <v>0</v>
      </c>
      <c r="Q53" s="69">
        <f>IFERROR(__xludf.DUMMYFUNCTION("""COMPUTED_VALUE"""),0.0)</f>
        <v>0</v>
      </c>
      <c r="R53" s="69">
        <f>IFERROR(__xludf.DUMMYFUNCTION("""COMPUTED_VALUE"""),0.0)</f>
        <v>0</v>
      </c>
      <c r="S53" s="69">
        <f>IFERROR(__xludf.DUMMYFUNCTION("""COMPUTED_VALUE"""),0.0)</f>
        <v>0</v>
      </c>
      <c r="T53" s="69">
        <f>IFERROR(__xludf.DUMMYFUNCTION("""COMPUTED_VALUE"""),3.0)</f>
        <v>3</v>
      </c>
      <c r="U53" s="25"/>
      <c r="V53" s="86"/>
      <c r="W53" s="25">
        <f t="shared" si="39"/>
        <v>44557</v>
      </c>
      <c r="X53" s="69">
        <f t="shared" ref="X53:AC53" si="54">M53</f>
        <v>3</v>
      </c>
      <c r="Y53" s="69">
        <f t="shared" si="54"/>
        <v>3</v>
      </c>
      <c r="Z53" s="69">
        <f t="shared" si="54"/>
        <v>0</v>
      </c>
      <c r="AA53" s="69">
        <f t="shared" si="54"/>
        <v>0</v>
      </c>
      <c r="AB53" s="69">
        <f t="shared" si="54"/>
        <v>0</v>
      </c>
      <c r="AC53" s="69">
        <f t="shared" si="54"/>
        <v>0</v>
      </c>
    </row>
    <row r="54">
      <c r="B54" s="14">
        <f>IFERROR(__xludf.DUMMYFUNCTION("""COMPUTED_VALUE"""),44460.0)</f>
        <v>44460</v>
      </c>
      <c r="C54" s="16">
        <f>IFERROR(__xludf.DUMMYFUNCTION("""COMPUTED_VALUE"""),2.0)</f>
        <v>2</v>
      </c>
      <c r="D54" s="16">
        <f>IFERROR(__xludf.DUMMYFUNCTION("""COMPUTED_VALUE"""),2.0)</f>
        <v>2</v>
      </c>
      <c r="E54" s="16">
        <f>IFERROR(__xludf.DUMMYFUNCTION("""COMPUTED_VALUE"""),0.0)</f>
        <v>0</v>
      </c>
      <c r="F54" s="16">
        <f>IFERROR(__xludf.DUMMYFUNCTION("""COMPUTED_VALUE"""),0.0)</f>
        <v>0</v>
      </c>
      <c r="G54" s="16">
        <f>IFERROR(__xludf.DUMMYFUNCTION("""COMPUTED_VALUE"""),0.0)</f>
        <v>0</v>
      </c>
      <c r="H54" s="16">
        <f>IFERROR(__xludf.DUMMYFUNCTION("""COMPUTED_VALUE"""),0.0)</f>
        <v>0</v>
      </c>
      <c r="I54" s="16">
        <f>IFERROR(__xludf.DUMMYFUNCTION("""COMPUTED_VALUE"""),0.0)</f>
        <v>0</v>
      </c>
      <c r="J54" s="16" t="b">
        <f>IFERROR(__xludf.DUMMYFUNCTION("""COMPUTED_VALUE"""),TRUE)</f>
        <v>1</v>
      </c>
      <c r="K54" s="86"/>
      <c r="L54" s="543">
        <f>IFERROR(__xludf.DUMMYFUNCTION("""COMPUTED_VALUE"""),44558.0)</f>
        <v>44558</v>
      </c>
      <c r="M54" s="69">
        <f>IFERROR(__xludf.DUMMYFUNCTION("""COMPUTED_VALUE"""),2.0)</f>
        <v>2</v>
      </c>
      <c r="N54" s="69">
        <f>IFERROR(__xludf.DUMMYFUNCTION("""COMPUTED_VALUE"""),2.0)</f>
        <v>2</v>
      </c>
      <c r="O54" s="69">
        <f>IFERROR(__xludf.DUMMYFUNCTION("""COMPUTED_VALUE"""),0.0)</f>
        <v>0</v>
      </c>
      <c r="P54" s="69">
        <f>IFERROR(__xludf.DUMMYFUNCTION("""COMPUTED_VALUE"""),0.0)</f>
        <v>0</v>
      </c>
      <c r="Q54" s="69">
        <f>IFERROR(__xludf.DUMMYFUNCTION("""COMPUTED_VALUE"""),0.0)</f>
        <v>0</v>
      </c>
      <c r="R54" s="69">
        <f>IFERROR(__xludf.DUMMYFUNCTION("""COMPUTED_VALUE"""),0.0)</f>
        <v>0</v>
      </c>
      <c r="S54" s="69">
        <f>IFERROR(__xludf.DUMMYFUNCTION("""COMPUTED_VALUE"""),0.0)</f>
        <v>0</v>
      </c>
      <c r="T54" s="69">
        <f>IFERROR(__xludf.DUMMYFUNCTION("""COMPUTED_VALUE"""),2.0)</f>
        <v>2</v>
      </c>
      <c r="U54" s="25"/>
      <c r="V54" s="86"/>
      <c r="W54" s="25">
        <f t="shared" si="39"/>
        <v>44558</v>
      </c>
      <c r="X54" s="69">
        <f t="shared" ref="X54:AC54" si="55">M54</f>
        <v>2</v>
      </c>
      <c r="Y54" s="69">
        <f t="shared" si="55"/>
        <v>2</v>
      </c>
      <c r="Z54" s="69">
        <f t="shared" si="55"/>
        <v>0</v>
      </c>
      <c r="AA54" s="69">
        <f t="shared" si="55"/>
        <v>0</v>
      </c>
      <c r="AB54" s="69">
        <f t="shared" si="55"/>
        <v>0</v>
      </c>
      <c r="AC54" s="69">
        <f t="shared" si="55"/>
        <v>0</v>
      </c>
    </row>
    <row r="55">
      <c r="B55" s="14">
        <f>IFERROR(__xludf.DUMMYFUNCTION("""COMPUTED_VALUE"""),44463.0)</f>
        <v>44463</v>
      </c>
      <c r="C55" s="16">
        <f>IFERROR(__xludf.DUMMYFUNCTION("""COMPUTED_VALUE"""),2.0)</f>
        <v>2</v>
      </c>
      <c r="D55" s="16">
        <f>IFERROR(__xludf.DUMMYFUNCTION("""COMPUTED_VALUE"""),2.0)</f>
        <v>2</v>
      </c>
      <c r="E55" s="16">
        <f>IFERROR(__xludf.DUMMYFUNCTION("""COMPUTED_VALUE"""),0.0)</f>
        <v>0</v>
      </c>
      <c r="F55" s="16">
        <f>IFERROR(__xludf.DUMMYFUNCTION("""COMPUTED_VALUE"""),0.0)</f>
        <v>0</v>
      </c>
      <c r="G55" s="16">
        <f>IFERROR(__xludf.DUMMYFUNCTION("""COMPUTED_VALUE"""),0.0)</f>
        <v>0</v>
      </c>
      <c r="H55" s="16">
        <f>IFERROR(__xludf.DUMMYFUNCTION("""COMPUTED_VALUE"""),0.0)</f>
        <v>0</v>
      </c>
      <c r="I55" s="16">
        <f>IFERROR(__xludf.DUMMYFUNCTION("""COMPUTED_VALUE"""),0.0)</f>
        <v>0</v>
      </c>
      <c r="J55" s="16"/>
      <c r="K55" s="86"/>
      <c r="L55" s="543">
        <f>IFERROR(__xludf.DUMMYFUNCTION("""COMPUTED_VALUE"""),44559.0)</f>
        <v>44559</v>
      </c>
      <c r="M55" s="69">
        <f>IFERROR(__xludf.DUMMYFUNCTION("""COMPUTED_VALUE"""),8.0)</f>
        <v>8</v>
      </c>
      <c r="N55" s="69">
        <f>IFERROR(__xludf.DUMMYFUNCTION("""COMPUTED_VALUE"""),8.0)</f>
        <v>8</v>
      </c>
      <c r="O55" s="69">
        <f>IFERROR(__xludf.DUMMYFUNCTION("""COMPUTED_VALUE"""),0.0)</f>
        <v>0</v>
      </c>
      <c r="P55" s="69">
        <f>IFERROR(__xludf.DUMMYFUNCTION("""COMPUTED_VALUE"""),0.0)</f>
        <v>0</v>
      </c>
      <c r="Q55" s="69">
        <f>IFERROR(__xludf.DUMMYFUNCTION("""COMPUTED_VALUE"""),0.0)</f>
        <v>0</v>
      </c>
      <c r="R55" s="69">
        <f>IFERROR(__xludf.DUMMYFUNCTION("""COMPUTED_VALUE"""),0.0)</f>
        <v>0</v>
      </c>
      <c r="S55" s="69">
        <f>IFERROR(__xludf.DUMMYFUNCTION("""COMPUTED_VALUE"""),0.0)</f>
        <v>0</v>
      </c>
      <c r="T55" s="69">
        <f>IFERROR(__xludf.DUMMYFUNCTION("""COMPUTED_VALUE"""),8.0)</f>
        <v>8</v>
      </c>
      <c r="U55" s="25"/>
      <c r="V55" s="86"/>
      <c r="W55" s="25">
        <f t="shared" si="39"/>
        <v>44559</v>
      </c>
      <c r="X55" s="69">
        <f t="shared" ref="X55:AC55" si="56">M55</f>
        <v>8</v>
      </c>
      <c r="Y55" s="69">
        <f t="shared" si="56"/>
        <v>8</v>
      </c>
      <c r="Z55" s="69">
        <f t="shared" si="56"/>
        <v>0</v>
      </c>
      <c r="AA55" s="69">
        <f t="shared" si="56"/>
        <v>0</v>
      </c>
      <c r="AB55" s="69">
        <f t="shared" si="56"/>
        <v>0</v>
      </c>
      <c r="AC55" s="69">
        <f t="shared" si="56"/>
        <v>0</v>
      </c>
    </row>
    <row r="56">
      <c r="B56" s="14">
        <f>IFERROR(__xludf.DUMMYFUNCTION("""COMPUTED_VALUE"""),44473.0)</f>
        <v>44473</v>
      </c>
      <c r="C56" s="16">
        <f>IFERROR(__xludf.DUMMYFUNCTION("""COMPUTED_VALUE"""),2.0)</f>
        <v>2</v>
      </c>
      <c r="D56" s="16">
        <f>IFERROR(__xludf.DUMMYFUNCTION("""COMPUTED_VALUE"""),2.0)</f>
        <v>2</v>
      </c>
      <c r="E56" s="16">
        <f>IFERROR(__xludf.DUMMYFUNCTION("""COMPUTED_VALUE"""),0.0)</f>
        <v>0</v>
      </c>
      <c r="F56" s="16">
        <f>IFERROR(__xludf.DUMMYFUNCTION("""COMPUTED_VALUE"""),0.0)</f>
        <v>0</v>
      </c>
      <c r="G56" s="16">
        <f>IFERROR(__xludf.DUMMYFUNCTION("""COMPUTED_VALUE"""),0.0)</f>
        <v>0</v>
      </c>
      <c r="H56" s="16">
        <f>IFERROR(__xludf.DUMMYFUNCTION("""COMPUTED_VALUE"""),0.0)</f>
        <v>0</v>
      </c>
      <c r="I56" s="16">
        <f>IFERROR(__xludf.DUMMYFUNCTION("""COMPUTED_VALUE"""),0.0)</f>
        <v>0</v>
      </c>
      <c r="J56" s="16" t="b">
        <f>IFERROR(__xludf.DUMMYFUNCTION("""COMPUTED_VALUE"""),TRUE)</f>
        <v>1</v>
      </c>
      <c r="K56" s="86"/>
      <c r="L56" s="543">
        <f>IFERROR(__xludf.DUMMYFUNCTION("""COMPUTED_VALUE"""),44560.0)</f>
        <v>44560</v>
      </c>
      <c r="M56" s="69">
        <f>IFERROR(__xludf.DUMMYFUNCTION("""COMPUTED_VALUE"""),4.0)</f>
        <v>4</v>
      </c>
      <c r="N56" s="69">
        <f>IFERROR(__xludf.DUMMYFUNCTION("""COMPUTED_VALUE"""),4.0)</f>
        <v>4</v>
      </c>
      <c r="O56" s="69">
        <f>IFERROR(__xludf.DUMMYFUNCTION("""COMPUTED_VALUE"""),0.0)</f>
        <v>0</v>
      </c>
      <c r="P56" s="69">
        <f>IFERROR(__xludf.DUMMYFUNCTION("""COMPUTED_VALUE"""),0.0)</f>
        <v>0</v>
      </c>
      <c r="Q56" s="69">
        <f>IFERROR(__xludf.DUMMYFUNCTION("""COMPUTED_VALUE"""),0.0)</f>
        <v>0</v>
      </c>
      <c r="R56" s="69">
        <f>IFERROR(__xludf.DUMMYFUNCTION("""COMPUTED_VALUE"""),0.0)</f>
        <v>0</v>
      </c>
      <c r="S56" s="69">
        <f>IFERROR(__xludf.DUMMYFUNCTION("""COMPUTED_VALUE"""),0.0)</f>
        <v>0</v>
      </c>
      <c r="T56" s="69">
        <f>IFERROR(__xludf.DUMMYFUNCTION("""COMPUTED_VALUE"""),4.0)</f>
        <v>4</v>
      </c>
      <c r="U56" s="25"/>
      <c r="V56" s="86"/>
      <c r="W56" s="25">
        <f t="shared" si="39"/>
        <v>44560</v>
      </c>
      <c r="X56" s="69">
        <f t="shared" ref="X56:AC56" si="57">M56</f>
        <v>4</v>
      </c>
      <c r="Y56" s="69">
        <f t="shared" si="57"/>
        <v>4</v>
      </c>
      <c r="Z56" s="69">
        <f t="shared" si="57"/>
        <v>0</v>
      </c>
      <c r="AA56" s="69">
        <f t="shared" si="57"/>
        <v>0</v>
      </c>
      <c r="AB56" s="69">
        <f t="shared" si="57"/>
        <v>0</v>
      </c>
      <c r="AC56" s="69">
        <f t="shared" si="57"/>
        <v>0</v>
      </c>
    </row>
    <row r="57">
      <c r="B57" s="14">
        <f>IFERROR(__xludf.DUMMYFUNCTION("""COMPUTED_VALUE"""),44474.0)</f>
        <v>44474</v>
      </c>
      <c r="C57" s="16">
        <f>IFERROR(__xludf.DUMMYFUNCTION("""COMPUTED_VALUE"""),2.0)</f>
        <v>2</v>
      </c>
      <c r="D57" s="16">
        <f>IFERROR(__xludf.DUMMYFUNCTION("""COMPUTED_VALUE"""),2.0)</f>
        <v>2</v>
      </c>
      <c r="E57" s="16">
        <f>IFERROR(__xludf.DUMMYFUNCTION("""COMPUTED_VALUE"""),0.0)</f>
        <v>0</v>
      </c>
      <c r="F57" s="16">
        <f>IFERROR(__xludf.DUMMYFUNCTION("""COMPUTED_VALUE"""),0.0)</f>
        <v>0</v>
      </c>
      <c r="G57" s="16">
        <f>IFERROR(__xludf.DUMMYFUNCTION("""COMPUTED_VALUE"""),0.0)</f>
        <v>0</v>
      </c>
      <c r="H57" s="16">
        <f>IFERROR(__xludf.DUMMYFUNCTION("""COMPUTED_VALUE"""),0.0)</f>
        <v>0</v>
      </c>
      <c r="I57" s="16">
        <f>IFERROR(__xludf.DUMMYFUNCTION("""COMPUTED_VALUE"""),0.0)</f>
        <v>0</v>
      </c>
      <c r="J57" s="16" t="b">
        <f>IFERROR(__xludf.DUMMYFUNCTION("""COMPUTED_VALUE"""),TRUE)</f>
        <v>1</v>
      </c>
      <c r="K57" s="86"/>
      <c r="L57" s="543">
        <f>IFERROR(__xludf.DUMMYFUNCTION("""COMPUTED_VALUE"""),44561.0)</f>
        <v>44561</v>
      </c>
      <c r="M57" s="69">
        <f>IFERROR(__xludf.DUMMYFUNCTION("""COMPUTED_VALUE"""),8.0)</f>
        <v>8</v>
      </c>
      <c r="N57" s="69">
        <f>IFERROR(__xludf.DUMMYFUNCTION("""COMPUTED_VALUE"""),6.0)</f>
        <v>6</v>
      </c>
      <c r="O57" s="69">
        <f>IFERROR(__xludf.DUMMYFUNCTION("""COMPUTED_VALUE"""),2.0)</f>
        <v>2</v>
      </c>
      <c r="P57" s="69">
        <f>IFERROR(__xludf.DUMMYFUNCTION("""COMPUTED_VALUE"""),0.0)</f>
        <v>0</v>
      </c>
      <c r="Q57" s="69">
        <f>IFERROR(__xludf.DUMMYFUNCTION("""COMPUTED_VALUE"""),0.0)</f>
        <v>0</v>
      </c>
      <c r="R57" s="69">
        <f>IFERROR(__xludf.DUMMYFUNCTION("""COMPUTED_VALUE"""),0.0)</f>
        <v>0</v>
      </c>
      <c r="S57" s="69">
        <f>IFERROR(__xludf.DUMMYFUNCTION("""COMPUTED_VALUE"""),0.0)</f>
        <v>0</v>
      </c>
      <c r="T57" s="69">
        <f>IFERROR(__xludf.DUMMYFUNCTION("""COMPUTED_VALUE"""),8.0)</f>
        <v>8</v>
      </c>
      <c r="U57" s="25"/>
      <c r="V57" s="86"/>
      <c r="W57" s="25">
        <f t="shared" si="39"/>
        <v>44561</v>
      </c>
      <c r="X57" s="69">
        <f t="shared" ref="X57:AC57" si="58">M57</f>
        <v>8</v>
      </c>
      <c r="Y57" s="69">
        <f t="shared" si="58"/>
        <v>6</v>
      </c>
      <c r="Z57" s="69">
        <f t="shared" si="58"/>
        <v>2</v>
      </c>
      <c r="AA57" s="69">
        <f t="shared" si="58"/>
        <v>0</v>
      </c>
      <c r="AB57" s="69">
        <f t="shared" si="58"/>
        <v>0</v>
      </c>
      <c r="AC57" s="69">
        <f t="shared" si="58"/>
        <v>0</v>
      </c>
    </row>
    <row r="58">
      <c r="B58" s="14">
        <f>IFERROR(__xludf.DUMMYFUNCTION("""COMPUTED_VALUE"""),44479.0)</f>
        <v>44479</v>
      </c>
      <c r="C58" s="16">
        <f>IFERROR(__xludf.DUMMYFUNCTION("""COMPUTED_VALUE"""),3.0)</f>
        <v>3</v>
      </c>
      <c r="D58" s="16">
        <f>IFERROR(__xludf.DUMMYFUNCTION("""COMPUTED_VALUE"""),3.0)</f>
        <v>3</v>
      </c>
      <c r="E58" s="16">
        <f>IFERROR(__xludf.DUMMYFUNCTION("""COMPUTED_VALUE"""),0.0)</f>
        <v>0</v>
      </c>
      <c r="F58" s="16">
        <f>IFERROR(__xludf.DUMMYFUNCTION("""COMPUTED_VALUE"""),0.0)</f>
        <v>0</v>
      </c>
      <c r="G58" s="16">
        <f>IFERROR(__xludf.DUMMYFUNCTION("""COMPUTED_VALUE"""),0.0)</f>
        <v>0</v>
      </c>
      <c r="H58" s="16">
        <f>IFERROR(__xludf.DUMMYFUNCTION("""COMPUTED_VALUE"""),0.0)</f>
        <v>0</v>
      </c>
      <c r="I58" s="16">
        <f>IFERROR(__xludf.DUMMYFUNCTION("""COMPUTED_VALUE"""),0.0)</f>
        <v>0</v>
      </c>
      <c r="J58" s="16" t="b">
        <f>IFERROR(__xludf.DUMMYFUNCTION("""COMPUTED_VALUE"""),TRUE)</f>
        <v>1</v>
      </c>
      <c r="K58" s="86"/>
      <c r="L58" s="543">
        <f>IFERROR(__xludf.DUMMYFUNCTION("""COMPUTED_VALUE"""),44563.0)</f>
        <v>44563</v>
      </c>
      <c r="M58" s="69">
        <f>IFERROR(__xludf.DUMMYFUNCTION("""COMPUTED_VALUE"""),12.0)</f>
        <v>12</v>
      </c>
      <c r="N58" s="69">
        <f>IFERROR(__xludf.DUMMYFUNCTION("""COMPUTED_VALUE"""),10.0)</f>
        <v>10</v>
      </c>
      <c r="O58" s="69">
        <f>IFERROR(__xludf.DUMMYFUNCTION("""COMPUTED_VALUE"""),2.0)</f>
        <v>2</v>
      </c>
      <c r="P58" s="69">
        <f>IFERROR(__xludf.DUMMYFUNCTION("""COMPUTED_VALUE"""),0.0)</f>
        <v>0</v>
      </c>
      <c r="Q58" s="69">
        <f>IFERROR(__xludf.DUMMYFUNCTION("""COMPUTED_VALUE"""),0.0)</f>
        <v>0</v>
      </c>
      <c r="R58" s="69">
        <f>IFERROR(__xludf.DUMMYFUNCTION("""COMPUTED_VALUE"""),0.0)</f>
        <v>0</v>
      </c>
      <c r="S58" s="69">
        <f>IFERROR(__xludf.DUMMYFUNCTION("""COMPUTED_VALUE"""),0.0)</f>
        <v>0</v>
      </c>
      <c r="T58" s="69">
        <f>IFERROR(__xludf.DUMMYFUNCTION("""COMPUTED_VALUE"""),12.0)</f>
        <v>12</v>
      </c>
      <c r="U58" s="25"/>
      <c r="V58" s="86"/>
      <c r="W58" s="25">
        <f t="shared" si="39"/>
        <v>44563</v>
      </c>
      <c r="X58" s="69">
        <f t="shared" ref="X58:AC58" si="59">M58</f>
        <v>12</v>
      </c>
      <c r="Y58" s="69">
        <f t="shared" si="59"/>
        <v>10</v>
      </c>
      <c r="Z58" s="69">
        <f t="shared" si="59"/>
        <v>2</v>
      </c>
      <c r="AA58" s="69">
        <f t="shared" si="59"/>
        <v>0</v>
      </c>
      <c r="AB58" s="69">
        <f t="shared" si="59"/>
        <v>0</v>
      </c>
      <c r="AC58" s="69">
        <f t="shared" si="59"/>
        <v>0</v>
      </c>
    </row>
    <row r="59">
      <c r="B59" s="14">
        <f>IFERROR(__xludf.DUMMYFUNCTION("""COMPUTED_VALUE"""),44482.0)</f>
        <v>44482</v>
      </c>
      <c r="C59" s="16">
        <f>IFERROR(__xludf.DUMMYFUNCTION("""COMPUTED_VALUE"""),2.0)</f>
        <v>2</v>
      </c>
      <c r="D59" s="16">
        <f>IFERROR(__xludf.DUMMYFUNCTION("""COMPUTED_VALUE"""),2.0)</f>
        <v>2</v>
      </c>
      <c r="E59" s="16">
        <f>IFERROR(__xludf.DUMMYFUNCTION("""COMPUTED_VALUE"""),0.0)</f>
        <v>0</v>
      </c>
      <c r="F59" s="16">
        <f>IFERROR(__xludf.DUMMYFUNCTION("""COMPUTED_VALUE"""),0.0)</f>
        <v>0</v>
      </c>
      <c r="G59" s="16">
        <f>IFERROR(__xludf.DUMMYFUNCTION("""COMPUTED_VALUE"""),0.0)</f>
        <v>0</v>
      </c>
      <c r="H59" s="16">
        <f>IFERROR(__xludf.DUMMYFUNCTION("""COMPUTED_VALUE"""),0.0)</f>
        <v>0</v>
      </c>
      <c r="I59" s="16">
        <f>IFERROR(__xludf.DUMMYFUNCTION("""COMPUTED_VALUE"""),0.0)</f>
        <v>0</v>
      </c>
      <c r="J59" s="16"/>
      <c r="K59" s="86"/>
      <c r="L59" s="543">
        <f>IFERROR(__xludf.DUMMYFUNCTION("""COMPUTED_VALUE"""),44564.0)</f>
        <v>44564</v>
      </c>
      <c r="M59" s="69">
        <f>IFERROR(__xludf.DUMMYFUNCTION("""COMPUTED_VALUE"""),10.0)</f>
        <v>10</v>
      </c>
      <c r="N59" s="69">
        <f>IFERROR(__xludf.DUMMYFUNCTION("""COMPUTED_VALUE"""),8.0)</f>
        <v>8</v>
      </c>
      <c r="O59" s="69">
        <f>IFERROR(__xludf.DUMMYFUNCTION("""COMPUTED_VALUE"""),2.0)</f>
        <v>2</v>
      </c>
      <c r="P59" s="69">
        <f>IFERROR(__xludf.DUMMYFUNCTION("""COMPUTED_VALUE"""),0.0)</f>
        <v>0</v>
      </c>
      <c r="Q59" s="69">
        <f>IFERROR(__xludf.DUMMYFUNCTION("""COMPUTED_VALUE"""),0.0)</f>
        <v>0</v>
      </c>
      <c r="R59" s="69">
        <f>IFERROR(__xludf.DUMMYFUNCTION("""COMPUTED_VALUE"""),0.0)</f>
        <v>0</v>
      </c>
      <c r="S59" s="69">
        <f>IFERROR(__xludf.DUMMYFUNCTION("""COMPUTED_VALUE"""),0.0)</f>
        <v>0</v>
      </c>
      <c r="T59" s="69">
        <f>IFERROR(__xludf.DUMMYFUNCTION("""COMPUTED_VALUE"""),10.0)</f>
        <v>10</v>
      </c>
      <c r="U59" s="25"/>
      <c r="V59" s="86"/>
      <c r="W59" s="25">
        <f t="shared" si="39"/>
        <v>44564</v>
      </c>
      <c r="X59" s="69">
        <f t="shared" ref="X59:AC59" si="60">M59</f>
        <v>10</v>
      </c>
      <c r="Y59" s="69">
        <f t="shared" si="60"/>
        <v>8</v>
      </c>
      <c r="Z59" s="69">
        <f t="shared" si="60"/>
        <v>2</v>
      </c>
      <c r="AA59" s="69">
        <f t="shared" si="60"/>
        <v>0</v>
      </c>
      <c r="AB59" s="69">
        <f t="shared" si="60"/>
        <v>0</v>
      </c>
      <c r="AC59" s="69">
        <f t="shared" si="60"/>
        <v>0</v>
      </c>
    </row>
    <row r="60">
      <c r="B60" s="14">
        <f>IFERROR(__xludf.DUMMYFUNCTION("""COMPUTED_VALUE"""),44485.0)</f>
        <v>44485</v>
      </c>
      <c r="C60" s="16">
        <f>IFERROR(__xludf.DUMMYFUNCTION("""COMPUTED_VALUE"""),3.0)</f>
        <v>3</v>
      </c>
      <c r="D60" s="16">
        <f>IFERROR(__xludf.DUMMYFUNCTION("""COMPUTED_VALUE"""),3.0)</f>
        <v>3</v>
      </c>
      <c r="E60" s="16">
        <f>IFERROR(__xludf.DUMMYFUNCTION("""COMPUTED_VALUE"""),0.0)</f>
        <v>0</v>
      </c>
      <c r="F60" s="16">
        <f>IFERROR(__xludf.DUMMYFUNCTION("""COMPUTED_VALUE"""),0.0)</f>
        <v>0</v>
      </c>
      <c r="G60" s="16">
        <f>IFERROR(__xludf.DUMMYFUNCTION("""COMPUTED_VALUE"""),0.0)</f>
        <v>0</v>
      </c>
      <c r="H60" s="16">
        <f>IFERROR(__xludf.DUMMYFUNCTION("""COMPUTED_VALUE"""),0.0)</f>
        <v>0</v>
      </c>
      <c r="I60" s="16">
        <f>IFERROR(__xludf.DUMMYFUNCTION("""COMPUTED_VALUE"""),0.0)</f>
        <v>0</v>
      </c>
      <c r="J60" s="16" t="b">
        <f>IFERROR(__xludf.DUMMYFUNCTION("""COMPUTED_VALUE"""),TRUE)</f>
        <v>1</v>
      </c>
      <c r="K60" s="544"/>
      <c r="L60" s="14">
        <f>IFERROR(__xludf.DUMMYFUNCTION("""COMPUTED_VALUE"""),44565.0)</f>
        <v>44565</v>
      </c>
      <c r="M60" s="69">
        <f>IFERROR(__xludf.DUMMYFUNCTION("""COMPUTED_VALUE"""),7.0)</f>
        <v>7</v>
      </c>
      <c r="N60" s="69">
        <f>IFERROR(__xludf.DUMMYFUNCTION("""COMPUTED_VALUE"""),7.0)</f>
        <v>7</v>
      </c>
      <c r="O60" s="69">
        <f>IFERROR(__xludf.DUMMYFUNCTION("""COMPUTED_VALUE"""),0.0)</f>
        <v>0</v>
      </c>
      <c r="P60" s="69">
        <f>IFERROR(__xludf.DUMMYFUNCTION("""COMPUTED_VALUE"""),0.0)</f>
        <v>0</v>
      </c>
      <c r="Q60" s="69">
        <f>IFERROR(__xludf.DUMMYFUNCTION("""COMPUTED_VALUE"""),0.0)</f>
        <v>0</v>
      </c>
      <c r="R60" s="69">
        <f>IFERROR(__xludf.DUMMYFUNCTION("""COMPUTED_VALUE"""),0.0)</f>
        <v>0</v>
      </c>
      <c r="S60" s="69">
        <f>IFERROR(__xludf.DUMMYFUNCTION("""COMPUTED_VALUE"""),0.0)</f>
        <v>0</v>
      </c>
      <c r="T60" s="69">
        <f>IFERROR(__xludf.DUMMYFUNCTION("""COMPUTED_VALUE"""),7.0)</f>
        <v>7</v>
      </c>
      <c r="U60" s="25"/>
      <c r="V60" s="54"/>
      <c r="W60" s="25">
        <f t="shared" si="39"/>
        <v>44565</v>
      </c>
      <c r="X60" s="69">
        <f t="shared" ref="X60:AC60" si="61">M60</f>
        <v>7</v>
      </c>
      <c r="Y60" s="69">
        <f t="shared" si="61"/>
        <v>7</v>
      </c>
      <c r="Z60" s="69">
        <f t="shared" si="61"/>
        <v>0</v>
      </c>
      <c r="AA60" s="69">
        <f t="shared" si="61"/>
        <v>0</v>
      </c>
      <c r="AB60" s="69">
        <f t="shared" si="61"/>
        <v>0</v>
      </c>
      <c r="AC60" s="69">
        <f t="shared" si="61"/>
        <v>0</v>
      </c>
    </row>
    <row r="61">
      <c r="B61" s="14">
        <f>IFERROR(__xludf.DUMMYFUNCTION("""COMPUTED_VALUE"""),44488.0)</f>
        <v>44488</v>
      </c>
      <c r="C61" s="16">
        <f>IFERROR(__xludf.DUMMYFUNCTION("""COMPUTED_VALUE"""),2.0)</f>
        <v>2</v>
      </c>
      <c r="D61" s="16">
        <f>IFERROR(__xludf.DUMMYFUNCTION("""COMPUTED_VALUE"""),2.0)</f>
        <v>2</v>
      </c>
      <c r="E61" s="16">
        <f>IFERROR(__xludf.DUMMYFUNCTION("""COMPUTED_VALUE"""),0.0)</f>
        <v>0</v>
      </c>
      <c r="F61" s="16">
        <f>IFERROR(__xludf.DUMMYFUNCTION("""COMPUTED_VALUE"""),0.0)</f>
        <v>0</v>
      </c>
      <c r="G61" s="16">
        <f>IFERROR(__xludf.DUMMYFUNCTION("""COMPUTED_VALUE"""),0.0)</f>
        <v>0</v>
      </c>
      <c r="H61" s="16">
        <f>IFERROR(__xludf.DUMMYFUNCTION("""COMPUTED_VALUE"""),0.0)</f>
        <v>0</v>
      </c>
      <c r="I61" s="16">
        <f>IFERROR(__xludf.DUMMYFUNCTION("""COMPUTED_VALUE"""),0.0)</f>
        <v>0</v>
      </c>
      <c r="J61" s="16"/>
      <c r="K61" s="544"/>
      <c r="L61" s="14">
        <f>IFERROR(__xludf.DUMMYFUNCTION("""COMPUTED_VALUE"""),44567.0)</f>
        <v>44567</v>
      </c>
      <c r="M61" s="69">
        <f>IFERROR(__xludf.DUMMYFUNCTION("""COMPUTED_VALUE"""),18.0)</f>
        <v>18</v>
      </c>
      <c r="N61" s="69">
        <f>IFERROR(__xludf.DUMMYFUNCTION("""COMPUTED_VALUE"""),14.0)</f>
        <v>14</v>
      </c>
      <c r="O61" s="69">
        <f>IFERROR(__xludf.DUMMYFUNCTION("""COMPUTED_VALUE"""),4.0)</f>
        <v>4</v>
      </c>
      <c r="P61" s="69">
        <f>IFERROR(__xludf.DUMMYFUNCTION("""COMPUTED_VALUE"""),0.0)</f>
        <v>0</v>
      </c>
      <c r="Q61" s="69">
        <f>IFERROR(__xludf.DUMMYFUNCTION("""COMPUTED_VALUE"""),0.0)</f>
        <v>0</v>
      </c>
      <c r="R61" s="69">
        <f>IFERROR(__xludf.DUMMYFUNCTION("""COMPUTED_VALUE"""),0.0)</f>
        <v>0</v>
      </c>
      <c r="S61" s="69">
        <f>IFERROR(__xludf.DUMMYFUNCTION("""COMPUTED_VALUE"""),0.0)</f>
        <v>0</v>
      </c>
      <c r="T61" s="69">
        <f>IFERROR(__xludf.DUMMYFUNCTION("""COMPUTED_VALUE"""),18.0)</f>
        <v>18</v>
      </c>
      <c r="U61" s="25"/>
      <c r="V61" s="54"/>
      <c r="W61" s="25">
        <f t="shared" si="39"/>
        <v>44567</v>
      </c>
      <c r="X61" s="69">
        <f t="shared" ref="X61:AC61" si="62">M61</f>
        <v>18</v>
      </c>
      <c r="Y61" s="69">
        <f t="shared" si="62"/>
        <v>14</v>
      </c>
      <c r="Z61" s="69">
        <f t="shared" si="62"/>
        <v>4</v>
      </c>
      <c r="AA61" s="69">
        <f t="shared" si="62"/>
        <v>0</v>
      </c>
      <c r="AB61" s="69">
        <f t="shared" si="62"/>
        <v>0</v>
      </c>
      <c r="AC61" s="69">
        <f t="shared" si="62"/>
        <v>0</v>
      </c>
    </row>
    <row r="62">
      <c r="B62" s="14">
        <f>IFERROR(__xludf.DUMMYFUNCTION("""COMPUTED_VALUE"""),44490.0)</f>
        <v>44490</v>
      </c>
      <c r="C62" s="16">
        <f>IFERROR(__xludf.DUMMYFUNCTION("""COMPUTED_VALUE"""),3.0)</f>
        <v>3</v>
      </c>
      <c r="D62" s="16">
        <f>IFERROR(__xludf.DUMMYFUNCTION("""COMPUTED_VALUE"""),3.0)</f>
        <v>3</v>
      </c>
      <c r="E62" s="16">
        <f>IFERROR(__xludf.DUMMYFUNCTION("""COMPUTED_VALUE"""),0.0)</f>
        <v>0</v>
      </c>
      <c r="F62" s="16">
        <f>IFERROR(__xludf.DUMMYFUNCTION("""COMPUTED_VALUE"""),0.0)</f>
        <v>0</v>
      </c>
      <c r="G62" s="16">
        <f>IFERROR(__xludf.DUMMYFUNCTION("""COMPUTED_VALUE"""),0.0)</f>
        <v>0</v>
      </c>
      <c r="H62" s="16">
        <f>IFERROR(__xludf.DUMMYFUNCTION("""COMPUTED_VALUE"""),0.0)</f>
        <v>0</v>
      </c>
      <c r="I62" s="16">
        <f>IFERROR(__xludf.DUMMYFUNCTION("""COMPUTED_VALUE"""),0.0)</f>
        <v>0</v>
      </c>
      <c r="J62" s="16"/>
      <c r="K62" s="544"/>
      <c r="L62" s="14">
        <f>IFERROR(__xludf.DUMMYFUNCTION("""COMPUTED_VALUE"""),44569.0)</f>
        <v>44569</v>
      </c>
      <c r="M62" s="69">
        <f>IFERROR(__xludf.DUMMYFUNCTION("""COMPUTED_VALUE"""),7.0)</f>
        <v>7</v>
      </c>
      <c r="N62" s="69">
        <f>IFERROR(__xludf.DUMMYFUNCTION("""COMPUTED_VALUE"""),6.0)</f>
        <v>6</v>
      </c>
      <c r="O62" s="69">
        <f>IFERROR(__xludf.DUMMYFUNCTION("""COMPUTED_VALUE"""),1.0)</f>
        <v>1</v>
      </c>
      <c r="P62" s="69">
        <f>IFERROR(__xludf.DUMMYFUNCTION("""COMPUTED_VALUE"""),0.0)</f>
        <v>0</v>
      </c>
      <c r="Q62" s="69">
        <f>IFERROR(__xludf.DUMMYFUNCTION("""COMPUTED_VALUE"""),0.0)</f>
        <v>0</v>
      </c>
      <c r="R62" s="69">
        <f>IFERROR(__xludf.DUMMYFUNCTION("""COMPUTED_VALUE"""),0.0)</f>
        <v>0</v>
      </c>
      <c r="S62" s="69">
        <f>IFERROR(__xludf.DUMMYFUNCTION("""COMPUTED_VALUE"""),0.0)</f>
        <v>0</v>
      </c>
      <c r="T62" s="69">
        <f>IFERROR(__xludf.DUMMYFUNCTION("""COMPUTED_VALUE"""),7.0)</f>
        <v>7</v>
      </c>
      <c r="U62" s="25"/>
      <c r="V62" s="54"/>
      <c r="W62" s="25">
        <f t="shared" si="39"/>
        <v>44569</v>
      </c>
      <c r="X62" s="69">
        <f t="shared" ref="X62:AC62" si="63">M62</f>
        <v>7</v>
      </c>
      <c r="Y62" s="69">
        <f t="shared" si="63"/>
        <v>6</v>
      </c>
      <c r="Z62" s="69">
        <f t="shared" si="63"/>
        <v>1</v>
      </c>
      <c r="AA62" s="69">
        <f t="shared" si="63"/>
        <v>0</v>
      </c>
      <c r="AB62" s="69">
        <f t="shared" si="63"/>
        <v>0</v>
      </c>
      <c r="AC62" s="69">
        <f t="shared" si="63"/>
        <v>0</v>
      </c>
    </row>
    <row r="63">
      <c r="B63" s="14">
        <f>IFERROR(__xludf.DUMMYFUNCTION("""COMPUTED_VALUE"""),44492.0)</f>
        <v>44492</v>
      </c>
      <c r="C63" s="16">
        <f>IFERROR(__xludf.DUMMYFUNCTION("""COMPUTED_VALUE"""),3.0)</f>
        <v>3</v>
      </c>
      <c r="D63" s="16">
        <f>IFERROR(__xludf.DUMMYFUNCTION("""COMPUTED_VALUE"""),3.0)</f>
        <v>3</v>
      </c>
      <c r="E63" s="16">
        <f>IFERROR(__xludf.DUMMYFUNCTION("""COMPUTED_VALUE"""),0.0)</f>
        <v>0</v>
      </c>
      <c r="F63" s="16">
        <f>IFERROR(__xludf.DUMMYFUNCTION("""COMPUTED_VALUE"""),0.0)</f>
        <v>0</v>
      </c>
      <c r="G63" s="16">
        <f>IFERROR(__xludf.DUMMYFUNCTION("""COMPUTED_VALUE"""),0.0)</f>
        <v>0</v>
      </c>
      <c r="H63" s="16">
        <f>IFERROR(__xludf.DUMMYFUNCTION("""COMPUTED_VALUE"""),0.0)</f>
        <v>0</v>
      </c>
      <c r="I63" s="16">
        <f>IFERROR(__xludf.DUMMYFUNCTION("""COMPUTED_VALUE"""),0.0)</f>
        <v>0</v>
      </c>
      <c r="J63" s="16"/>
      <c r="K63" s="544"/>
      <c r="L63" s="14">
        <f>IFERROR(__xludf.DUMMYFUNCTION("""COMPUTED_VALUE"""),44571.0)</f>
        <v>44571</v>
      </c>
      <c r="M63" s="69">
        <f>IFERROR(__xludf.DUMMYFUNCTION("""COMPUTED_VALUE"""),42.0)</f>
        <v>42</v>
      </c>
      <c r="N63" s="69">
        <f>IFERROR(__xludf.DUMMYFUNCTION("""COMPUTED_VALUE"""),28.0)</f>
        <v>28</v>
      </c>
      <c r="O63" s="69">
        <f>IFERROR(__xludf.DUMMYFUNCTION("""COMPUTED_VALUE"""),13.0)</f>
        <v>13</v>
      </c>
      <c r="P63" s="69">
        <f>IFERROR(__xludf.DUMMYFUNCTION("""COMPUTED_VALUE"""),1.0)</f>
        <v>1</v>
      </c>
      <c r="Q63" s="69">
        <f>IFERROR(__xludf.DUMMYFUNCTION("""COMPUTED_VALUE"""),0.0)</f>
        <v>0</v>
      </c>
      <c r="R63" s="69">
        <f>IFERROR(__xludf.DUMMYFUNCTION("""COMPUTED_VALUE"""),0.0)</f>
        <v>0</v>
      </c>
      <c r="S63" s="69">
        <f>IFERROR(__xludf.DUMMYFUNCTION("""COMPUTED_VALUE"""),0.0)</f>
        <v>0</v>
      </c>
      <c r="T63" s="69">
        <f>IFERROR(__xludf.DUMMYFUNCTION("""COMPUTED_VALUE"""),42.0)</f>
        <v>42</v>
      </c>
      <c r="U63" s="25"/>
      <c r="V63" s="54"/>
      <c r="W63" s="25">
        <f t="shared" si="39"/>
        <v>44571</v>
      </c>
      <c r="X63" s="69">
        <f t="shared" ref="X63:AC63" si="64">M63</f>
        <v>42</v>
      </c>
      <c r="Y63" s="69">
        <f t="shared" si="64"/>
        <v>28</v>
      </c>
      <c r="Z63" s="69">
        <f t="shared" si="64"/>
        <v>13</v>
      </c>
      <c r="AA63" s="69">
        <f t="shared" si="64"/>
        <v>1</v>
      </c>
      <c r="AB63" s="69">
        <f t="shared" si="64"/>
        <v>0</v>
      </c>
      <c r="AC63" s="69">
        <f t="shared" si="64"/>
        <v>0</v>
      </c>
    </row>
    <row r="64">
      <c r="B64" s="14">
        <f>IFERROR(__xludf.DUMMYFUNCTION("""COMPUTED_VALUE"""),44499.0)</f>
        <v>44499</v>
      </c>
      <c r="C64" s="16">
        <f>IFERROR(__xludf.DUMMYFUNCTION("""COMPUTED_VALUE"""),2.0)</f>
        <v>2</v>
      </c>
      <c r="D64" s="16">
        <f>IFERROR(__xludf.DUMMYFUNCTION("""COMPUTED_VALUE"""),2.0)</f>
        <v>2</v>
      </c>
      <c r="E64" s="16">
        <f>IFERROR(__xludf.DUMMYFUNCTION("""COMPUTED_VALUE"""),0.0)</f>
        <v>0</v>
      </c>
      <c r="F64" s="16">
        <f>IFERROR(__xludf.DUMMYFUNCTION("""COMPUTED_VALUE"""),0.0)</f>
        <v>0</v>
      </c>
      <c r="G64" s="16">
        <f>IFERROR(__xludf.DUMMYFUNCTION("""COMPUTED_VALUE"""),0.0)</f>
        <v>0</v>
      </c>
      <c r="H64" s="16">
        <f>IFERROR(__xludf.DUMMYFUNCTION("""COMPUTED_VALUE"""),0.0)</f>
        <v>0</v>
      </c>
      <c r="I64" s="16">
        <f>IFERROR(__xludf.DUMMYFUNCTION("""COMPUTED_VALUE"""),0.0)</f>
        <v>0</v>
      </c>
      <c r="J64" s="16" t="b">
        <f>IFERROR(__xludf.DUMMYFUNCTION("""COMPUTED_VALUE"""),TRUE)</f>
        <v>1</v>
      </c>
      <c r="K64" s="544"/>
      <c r="L64" s="14">
        <f>IFERROR(__xludf.DUMMYFUNCTION("""COMPUTED_VALUE"""),44574.0)</f>
        <v>44574</v>
      </c>
      <c r="M64" s="69">
        <f>IFERROR(__xludf.DUMMYFUNCTION("""COMPUTED_VALUE"""),31.0)</f>
        <v>31</v>
      </c>
      <c r="N64" s="69">
        <f>IFERROR(__xludf.DUMMYFUNCTION("""COMPUTED_VALUE"""),31.0)</f>
        <v>31</v>
      </c>
      <c r="O64" s="69">
        <f>IFERROR(__xludf.DUMMYFUNCTION("""COMPUTED_VALUE"""),0.0)</f>
        <v>0</v>
      </c>
      <c r="P64" s="69">
        <f>IFERROR(__xludf.DUMMYFUNCTION("""COMPUTED_VALUE"""),0.0)</f>
        <v>0</v>
      </c>
      <c r="Q64" s="69">
        <f>IFERROR(__xludf.DUMMYFUNCTION("""COMPUTED_VALUE"""),0.0)</f>
        <v>0</v>
      </c>
      <c r="R64" s="69">
        <f>IFERROR(__xludf.DUMMYFUNCTION("""COMPUTED_VALUE"""),0.0)</f>
        <v>0</v>
      </c>
      <c r="S64" s="69">
        <f>IFERROR(__xludf.DUMMYFUNCTION("""COMPUTED_VALUE"""),0.0)</f>
        <v>0</v>
      </c>
      <c r="T64" s="69">
        <f>IFERROR(__xludf.DUMMYFUNCTION("""COMPUTED_VALUE"""),31.0)</f>
        <v>31</v>
      </c>
      <c r="U64" s="25"/>
      <c r="V64" s="54"/>
      <c r="W64" s="25">
        <f t="shared" si="39"/>
        <v>44574</v>
      </c>
      <c r="X64" s="69">
        <f t="shared" ref="X64:AC64" si="65">M64</f>
        <v>31</v>
      </c>
      <c r="Y64" s="69">
        <f t="shared" si="65"/>
        <v>31</v>
      </c>
      <c r="Z64" s="69">
        <f t="shared" si="65"/>
        <v>0</v>
      </c>
      <c r="AA64" s="69">
        <f t="shared" si="65"/>
        <v>0</v>
      </c>
      <c r="AB64" s="69">
        <f t="shared" si="65"/>
        <v>0</v>
      </c>
      <c r="AC64" s="69">
        <f t="shared" si="65"/>
        <v>0</v>
      </c>
    </row>
    <row r="65">
      <c r="B65" s="14">
        <f>IFERROR(__xludf.DUMMYFUNCTION("""COMPUTED_VALUE"""),44501.0)</f>
        <v>44501</v>
      </c>
      <c r="C65" s="16">
        <f>IFERROR(__xludf.DUMMYFUNCTION("""COMPUTED_VALUE"""),3.0)</f>
        <v>3</v>
      </c>
      <c r="D65" s="16">
        <f>IFERROR(__xludf.DUMMYFUNCTION("""COMPUTED_VALUE"""),3.0)</f>
        <v>3</v>
      </c>
      <c r="E65" s="16">
        <f>IFERROR(__xludf.DUMMYFUNCTION("""COMPUTED_VALUE"""),0.0)</f>
        <v>0</v>
      </c>
      <c r="F65" s="16">
        <f>IFERROR(__xludf.DUMMYFUNCTION("""COMPUTED_VALUE"""),0.0)</f>
        <v>0</v>
      </c>
      <c r="G65" s="16">
        <f>IFERROR(__xludf.DUMMYFUNCTION("""COMPUTED_VALUE"""),0.0)</f>
        <v>0</v>
      </c>
      <c r="H65" s="16">
        <f>IFERROR(__xludf.DUMMYFUNCTION("""COMPUTED_VALUE"""),0.0)</f>
        <v>0</v>
      </c>
      <c r="I65" s="16">
        <f>IFERROR(__xludf.DUMMYFUNCTION("""COMPUTED_VALUE"""),0.0)</f>
        <v>0</v>
      </c>
      <c r="J65" s="16" t="b">
        <f>IFERROR(__xludf.DUMMYFUNCTION("""COMPUTED_VALUE"""),TRUE)</f>
        <v>1</v>
      </c>
      <c r="K65" s="544"/>
      <c r="L65" s="14">
        <f>IFERROR(__xludf.DUMMYFUNCTION("""COMPUTED_VALUE"""),44576.0)</f>
        <v>44576</v>
      </c>
      <c r="M65" s="69">
        <f>IFERROR(__xludf.DUMMYFUNCTION("""COMPUTED_VALUE"""),7.0)</f>
        <v>7</v>
      </c>
      <c r="N65" s="69">
        <f>IFERROR(__xludf.DUMMYFUNCTION("""COMPUTED_VALUE"""),6.0)</f>
        <v>6</v>
      </c>
      <c r="O65" s="69">
        <f>IFERROR(__xludf.DUMMYFUNCTION("""COMPUTED_VALUE"""),1.0)</f>
        <v>1</v>
      </c>
      <c r="P65" s="69">
        <f>IFERROR(__xludf.DUMMYFUNCTION("""COMPUTED_VALUE"""),0.0)</f>
        <v>0</v>
      </c>
      <c r="Q65" s="69">
        <f>IFERROR(__xludf.DUMMYFUNCTION("""COMPUTED_VALUE"""),0.0)</f>
        <v>0</v>
      </c>
      <c r="R65" s="69">
        <f>IFERROR(__xludf.DUMMYFUNCTION("""COMPUTED_VALUE"""),0.0)</f>
        <v>0</v>
      </c>
      <c r="S65" s="69">
        <f>IFERROR(__xludf.DUMMYFUNCTION("""COMPUTED_VALUE"""),0.0)</f>
        <v>0</v>
      </c>
      <c r="T65" s="69">
        <f>IFERROR(__xludf.DUMMYFUNCTION("""COMPUTED_VALUE"""),7.0)</f>
        <v>7</v>
      </c>
      <c r="U65" s="25"/>
      <c r="V65" s="54"/>
      <c r="W65" s="25">
        <f t="shared" si="39"/>
        <v>44576</v>
      </c>
      <c r="X65" s="69">
        <f t="shared" ref="X65:AC65" si="66">M65</f>
        <v>7</v>
      </c>
      <c r="Y65" s="69">
        <f t="shared" si="66"/>
        <v>6</v>
      </c>
      <c r="Z65" s="69">
        <f t="shared" si="66"/>
        <v>1</v>
      </c>
      <c r="AA65" s="69">
        <f t="shared" si="66"/>
        <v>0</v>
      </c>
      <c r="AB65" s="69">
        <f t="shared" si="66"/>
        <v>0</v>
      </c>
      <c r="AC65" s="69">
        <f t="shared" si="66"/>
        <v>0</v>
      </c>
    </row>
    <row r="66">
      <c r="B66" s="14">
        <f>IFERROR(__xludf.DUMMYFUNCTION("""COMPUTED_VALUE"""),44502.0)</f>
        <v>44502</v>
      </c>
      <c r="C66" s="16">
        <f>IFERROR(__xludf.DUMMYFUNCTION("""COMPUTED_VALUE"""),2.0)</f>
        <v>2</v>
      </c>
      <c r="D66" s="16">
        <f>IFERROR(__xludf.DUMMYFUNCTION("""COMPUTED_VALUE"""),2.0)</f>
        <v>2</v>
      </c>
      <c r="E66" s="16">
        <f>IFERROR(__xludf.DUMMYFUNCTION("""COMPUTED_VALUE"""),0.0)</f>
        <v>0</v>
      </c>
      <c r="F66" s="16">
        <f>IFERROR(__xludf.DUMMYFUNCTION("""COMPUTED_VALUE"""),0.0)</f>
        <v>0</v>
      </c>
      <c r="G66" s="16">
        <f>IFERROR(__xludf.DUMMYFUNCTION("""COMPUTED_VALUE"""),0.0)</f>
        <v>0</v>
      </c>
      <c r="H66" s="16">
        <f>IFERROR(__xludf.DUMMYFUNCTION("""COMPUTED_VALUE"""),0.0)</f>
        <v>0</v>
      </c>
      <c r="I66" s="16">
        <f>IFERROR(__xludf.DUMMYFUNCTION("""COMPUTED_VALUE"""),0.0)</f>
        <v>0</v>
      </c>
      <c r="J66" s="16" t="b">
        <f>IFERROR(__xludf.DUMMYFUNCTION("""COMPUTED_VALUE"""),TRUE)</f>
        <v>1</v>
      </c>
      <c r="K66" s="544"/>
      <c r="L66" s="14">
        <f>IFERROR(__xludf.DUMMYFUNCTION("""COMPUTED_VALUE"""),44578.0)</f>
        <v>44578</v>
      </c>
      <c r="M66" s="69">
        <f>IFERROR(__xludf.DUMMYFUNCTION("""COMPUTED_VALUE"""),43.0)</f>
        <v>43</v>
      </c>
      <c r="N66" s="69">
        <f>IFERROR(__xludf.DUMMYFUNCTION("""COMPUTED_VALUE"""),38.0)</f>
        <v>38</v>
      </c>
      <c r="O66" s="69">
        <f>IFERROR(__xludf.DUMMYFUNCTION("""COMPUTED_VALUE"""),5.0)</f>
        <v>5</v>
      </c>
      <c r="P66" s="69">
        <f>IFERROR(__xludf.DUMMYFUNCTION("""COMPUTED_VALUE"""),0.0)</f>
        <v>0</v>
      </c>
      <c r="Q66" s="69">
        <f>IFERROR(__xludf.DUMMYFUNCTION("""COMPUTED_VALUE"""),0.0)</f>
        <v>0</v>
      </c>
      <c r="R66" s="69">
        <f>IFERROR(__xludf.DUMMYFUNCTION("""COMPUTED_VALUE"""),0.0)</f>
        <v>0</v>
      </c>
      <c r="S66" s="69">
        <f>IFERROR(__xludf.DUMMYFUNCTION("""COMPUTED_VALUE"""),0.0)</f>
        <v>0</v>
      </c>
      <c r="T66" s="69">
        <f>IFERROR(__xludf.DUMMYFUNCTION("""COMPUTED_VALUE"""),43.0)</f>
        <v>43</v>
      </c>
      <c r="U66" s="25"/>
      <c r="V66" s="54"/>
      <c r="W66" s="25">
        <f t="shared" si="39"/>
        <v>44578</v>
      </c>
      <c r="X66" s="69">
        <f t="shared" ref="X66:AC66" si="67">M66</f>
        <v>43</v>
      </c>
      <c r="Y66" s="69">
        <f t="shared" si="67"/>
        <v>38</v>
      </c>
      <c r="Z66" s="69">
        <f t="shared" si="67"/>
        <v>5</v>
      </c>
      <c r="AA66" s="69">
        <f t="shared" si="67"/>
        <v>0</v>
      </c>
      <c r="AB66" s="69">
        <f t="shared" si="67"/>
        <v>0</v>
      </c>
      <c r="AC66" s="69">
        <f t="shared" si="67"/>
        <v>0</v>
      </c>
    </row>
    <row r="67">
      <c r="B67" s="14">
        <f>IFERROR(__xludf.DUMMYFUNCTION("""COMPUTED_VALUE"""),44503.0)</f>
        <v>44503</v>
      </c>
      <c r="C67" s="16">
        <f>IFERROR(__xludf.DUMMYFUNCTION("""COMPUTED_VALUE"""),2.0)</f>
        <v>2</v>
      </c>
      <c r="D67" s="16">
        <f>IFERROR(__xludf.DUMMYFUNCTION("""COMPUTED_VALUE"""),2.0)</f>
        <v>2</v>
      </c>
      <c r="E67" s="16">
        <f>IFERROR(__xludf.DUMMYFUNCTION("""COMPUTED_VALUE"""),0.0)</f>
        <v>0</v>
      </c>
      <c r="F67" s="16">
        <f>IFERROR(__xludf.DUMMYFUNCTION("""COMPUTED_VALUE"""),0.0)</f>
        <v>0</v>
      </c>
      <c r="G67" s="16">
        <f>IFERROR(__xludf.DUMMYFUNCTION("""COMPUTED_VALUE"""),0.0)</f>
        <v>0</v>
      </c>
      <c r="H67" s="16">
        <f>IFERROR(__xludf.DUMMYFUNCTION("""COMPUTED_VALUE"""),0.0)</f>
        <v>0</v>
      </c>
      <c r="I67" s="16">
        <f>IFERROR(__xludf.DUMMYFUNCTION("""COMPUTED_VALUE"""),0.0)</f>
        <v>0</v>
      </c>
      <c r="J67" s="16" t="b">
        <f>IFERROR(__xludf.DUMMYFUNCTION("""COMPUTED_VALUE"""),TRUE)</f>
        <v>1</v>
      </c>
      <c r="K67" s="544"/>
      <c r="L67" s="14">
        <f>IFERROR(__xludf.DUMMYFUNCTION("""COMPUTED_VALUE"""),44579.0)</f>
        <v>44579</v>
      </c>
      <c r="M67" s="69">
        <f>IFERROR(__xludf.DUMMYFUNCTION("""COMPUTED_VALUE"""),6.0)</f>
        <v>6</v>
      </c>
      <c r="N67" s="69">
        <f>IFERROR(__xludf.DUMMYFUNCTION("""COMPUTED_VALUE"""),2.0)</f>
        <v>2</v>
      </c>
      <c r="O67" s="69">
        <f>IFERROR(__xludf.DUMMYFUNCTION("""COMPUTED_VALUE"""),4.0)</f>
        <v>4</v>
      </c>
      <c r="P67" s="69">
        <f>IFERROR(__xludf.DUMMYFUNCTION("""COMPUTED_VALUE"""),0.0)</f>
        <v>0</v>
      </c>
      <c r="Q67" s="69">
        <f>IFERROR(__xludf.DUMMYFUNCTION("""COMPUTED_VALUE"""),0.0)</f>
        <v>0</v>
      </c>
      <c r="R67" s="69">
        <f>IFERROR(__xludf.DUMMYFUNCTION("""COMPUTED_VALUE"""),0.0)</f>
        <v>0</v>
      </c>
      <c r="S67" s="69">
        <f>IFERROR(__xludf.DUMMYFUNCTION("""COMPUTED_VALUE"""),0.0)</f>
        <v>0</v>
      </c>
      <c r="T67" s="69">
        <f>IFERROR(__xludf.DUMMYFUNCTION("""COMPUTED_VALUE"""),6.0)</f>
        <v>6</v>
      </c>
      <c r="U67" s="25"/>
      <c r="V67" s="54"/>
      <c r="W67" s="25">
        <f t="shared" si="39"/>
        <v>44579</v>
      </c>
      <c r="X67" s="69">
        <f t="shared" ref="X67:AC67" si="68">M67</f>
        <v>6</v>
      </c>
      <c r="Y67" s="69">
        <f t="shared" si="68"/>
        <v>2</v>
      </c>
      <c r="Z67" s="69">
        <f t="shared" si="68"/>
        <v>4</v>
      </c>
      <c r="AA67" s="69">
        <f t="shared" si="68"/>
        <v>0</v>
      </c>
      <c r="AB67" s="69">
        <f t="shared" si="68"/>
        <v>0</v>
      </c>
      <c r="AC67" s="69">
        <f t="shared" si="68"/>
        <v>0</v>
      </c>
    </row>
    <row r="68">
      <c r="B68" s="14">
        <f>IFERROR(__xludf.DUMMYFUNCTION("""COMPUTED_VALUE"""),44505.0)</f>
        <v>44505</v>
      </c>
      <c r="C68" s="16">
        <f>IFERROR(__xludf.DUMMYFUNCTION("""COMPUTED_VALUE"""),2.0)</f>
        <v>2</v>
      </c>
      <c r="D68" s="16">
        <f>IFERROR(__xludf.DUMMYFUNCTION("""COMPUTED_VALUE"""),2.0)</f>
        <v>2</v>
      </c>
      <c r="E68" s="16">
        <f>IFERROR(__xludf.DUMMYFUNCTION("""COMPUTED_VALUE"""),0.0)</f>
        <v>0</v>
      </c>
      <c r="F68" s="16">
        <f>IFERROR(__xludf.DUMMYFUNCTION("""COMPUTED_VALUE"""),0.0)</f>
        <v>0</v>
      </c>
      <c r="G68" s="16">
        <f>IFERROR(__xludf.DUMMYFUNCTION("""COMPUTED_VALUE"""),0.0)</f>
        <v>0</v>
      </c>
      <c r="H68" s="16">
        <f>IFERROR(__xludf.DUMMYFUNCTION("""COMPUTED_VALUE"""),0.0)</f>
        <v>0</v>
      </c>
      <c r="I68" s="16">
        <f>IFERROR(__xludf.DUMMYFUNCTION("""COMPUTED_VALUE"""),0.0)</f>
        <v>0</v>
      </c>
      <c r="J68" s="16"/>
      <c r="K68" s="544"/>
      <c r="L68" s="14">
        <f>IFERROR(__xludf.DUMMYFUNCTION("""COMPUTED_VALUE"""),44581.0)</f>
        <v>44581</v>
      </c>
      <c r="M68" s="69">
        <f>IFERROR(__xludf.DUMMYFUNCTION("""COMPUTED_VALUE"""),34.0)</f>
        <v>34</v>
      </c>
      <c r="N68" s="69">
        <f>IFERROR(__xludf.DUMMYFUNCTION("""COMPUTED_VALUE"""),34.0)</f>
        <v>34</v>
      </c>
      <c r="O68" s="69">
        <f>IFERROR(__xludf.DUMMYFUNCTION("""COMPUTED_VALUE"""),0.0)</f>
        <v>0</v>
      </c>
      <c r="P68" s="69">
        <f>IFERROR(__xludf.DUMMYFUNCTION("""COMPUTED_VALUE"""),0.0)</f>
        <v>0</v>
      </c>
      <c r="Q68" s="69">
        <f>IFERROR(__xludf.DUMMYFUNCTION("""COMPUTED_VALUE"""),0.0)</f>
        <v>0</v>
      </c>
      <c r="R68" s="69">
        <f>IFERROR(__xludf.DUMMYFUNCTION("""COMPUTED_VALUE"""),0.0)</f>
        <v>0</v>
      </c>
      <c r="S68" s="69">
        <f>IFERROR(__xludf.DUMMYFUNCTION("""COMPUTED_VALUE"""),0.0)</f>
        <v>0</v>
      </c>
      <c r="T68" s="69">
        <f>IFERROR(__xludf.DUMMYFUNCTION("""COMPUTED_VALUE"""),34.0)</f>
        <v>34</v>
      </c>
      <c r="U68" s="25"/>
      <c r="V68" s="54"/>
      <c r="W68" s="25">
        <f t="shared" si="39"/>
        <v>44581</v>
      </c>
      <c r="X68" s="69">
        <f t="shared" ref="X68:AC68" si="69">M68</f>
        <v>34</v>
      </c>
      <c r="Y68" s="69">
        <f t="shared" si="69"/>
        <v>34</v>
      </c>
      <c r="Z68" s="69">
        <f t="shared" si="69"/>
        <v>0</v>
      </c>
      <c r="AA68" s="69">
        <f t="shared" si="69"/>
        <v>0</v>
      </c>
      <c r="AB68" s="69">
        <f t="shared" si="69"/>
        <v>0</v>
      </c>
      <c r="AC68" s="69">
        <f t="shared" si="69"/>
        <v>0</v>
      </c>
    </row>
    <row r="69">
      <c r="B69" s="14">
        <f>IFERROR(__xludf.DUMMYFUNCTION("""COMPUTED_VALUE"""),44508.0)</f>
        <v>44508</v>
      </c>
      <c r="C69" s="16">
        <f>IFERROR(__xludf.DUMMYFUNCTION("""COMPUTED_VALUE"""),2.0)</f>
        <v>2</v>
      </c>
      <c r="D69" s="16">
        <f>IFERROR(__xludf.DUMMYFUNCTION("""COMPUTED_VALUE"""),2.0)</f>
        <v>2</v>
      </c>
      <c r="E69" s="16">
        <f>IFERROR(__xludf.DUMMYFUNCTION("""COMPUTED_VALUE"""),0.0)</f>
        <v>0</v>
      </c>
      <c r="F69" s="16">
        <f>IFERROR(__xludf.DUMMYFUNCTION("""COMPUTED_VALUE"""),0.0)</f>
        <v>0</v>
      </c>
      <c r="G69" s="16">
        <f>IFERROR(__xludf.DUMMYFUNCTION("""COMPUTED_VALUE"""),0.0)</f>
        <v>0</v>
      </c>
      <c r="H69" s="16">
        <f>IFERROR(__xludf.DUMMYFUNCTION("""COMPUTED_VALUE"""),0.0)</f>
        <v>0</v>
      </c>
      <c r="I69" s="16">
        <f>IFERROR(__xludf.DUMMYFUNCTION("""COMPUTED_VALUE"""),0.0)</f>
        <v>0</v>
      </c>
      <c r="J69" s="16" t="b">
        <f>IFERROR(__xludf.DUMMYFUNCTION("""COMPUTED_VALUE"""),TRUE)</f>
        <v>1</v>
      </c>
      <c r="K69" s="544"/>
      <c r="L69" s="14">
        <f>IFERROR(__xludf.DUMMYFUNCTION("""COMPUTED_VALUE"""),44583.0)</f>
        <v>44583</v>
      </c>
      <c r="M69" s="69">
        <f>IFERROR(__xludf.DUMMYFUNCTION("""COMPUTED_VALUE"""),4.0)</f>
        <v>4</v>
      </c>
      <c r="N69" s="69">
        <f>IFERROR(__xludf.DUMMYFUNCTION("""COMPUTED_VALUE"""),4.0)</f>
        <v>4</v>
      </c>
      <c r="O69" s="69">
        <f>IFERROR(__xludf.DUMMYFUNCTION("""COMPUTED_VALUE"""),0.0)</f>
        <v>0</v>
      </c>
      <c r="P69" s="69">
        <f>IFERROR(__xludf.DUMMYFUNCTION("""COMPUTED_VALUE"""),0.0)</f>
        <v>0</v>
      </c>
      <c r="Q69" s="69">
        <f>IFERROR(__xludf.DUMMYFUNCTION("""COMPUTED_VALUE"""),0.0)</f>
        <v>0</v>
      </c>
      <c r="R69" s="69">
        <f>IFERROR(__xludf.DUMMYFUNCTION("""COMPUTED_VALUE"""),0.0)</f>
        <v>0</v>
      </c>
      <c r="S69" s="69">
        <f>IFERROR(__xludf.DUMMYFUNCTION("""COMPUTED_VALUE"""),0.0)</f>
        <v>0</v>
      </c>
      <c r="T69" s="69">
        <f>IFERROR(__xludf.DUMMYFUNCTION("""COMPUTED_VALUE"""),4.0)</f>
        <v>4</v>
      </c>
      <c r="U69" s="25"/>
      <c r="V69" s="54"/>
      <c r="W69" s="25">
        <f t="shared" si="39"/>
        <v>44583</v>
      </c>
      <c r="X69" s="69">
        <f t="shared" ref="X69:AC69" si="70">M69</f>
        <v>4</v>
      </c>
      <c r="Y69" s="69">
        <f t="shared" si="70"/>
        <v>4</v>
      </c>
      <c r="Z69" s="69">
        <f t="shared" si="70"/>
        <v>0</v>
      </c>
      <c r="AA69" s="69">
        <f t="shared" si="70"/>
        <v>0</v>
      </c>
      <c r="AB69" s="69">
        <f t="shared" si="70"/>
        <v>0</v>
      </c>
      <c r="AC69" s="69">
        <f t="shared" si="70"/>
        <v>0</v>
      </c>
    </row>
    <row r="70">
      <c r="B70" s="14">
        <f>IFERROR(__xludf.DUMMYFUNCTION("""COMPUTED_VALUE"""),44510.0)</f>
        <v>44510</v>
      </c>
      <c r="C70" s="16">
        <f>IFERROR(__xludf.DUMMYFUNCTION("""COMPUTED_VALUE"""),2.0)</f>
        <v>2</v>
      </c>
      <c r="D70" s="16">
        <f>IFERROR(__xludf.DUMMYFUNCTION("""COMPUTED_VALUE"""),2.0)</f>
        <v>2</v>
      </c>
      <c r="E70" s="16">
        <f>IFERROR(__xludf.DUMMYFUNCTION("""COMPUTED_VALUE"""),0.0)</f>
        <v>0</v>
      </c>
      <c r="F70" s="16">
        <f>IFERROR(__xludf.DUMMYFUNCTION("""COMPUTED_VALUE"""),0.0)</f>
        <v>0</v>
      </c>
      <c r="G70" s="16">
        <f>IFERROR(__xludf.DUMMYFUNCTION("""COMPUTED_VALUE"""),0.0)</f>
        <v>0</v>
      </c>
      <c r="H70" s="16">
        <f>IFERROR(__xludf.DUMMYFUNCTION("""COMPUTED_VALUE"""),0.0)</f>
        <v>0</v>
      </c>
      <c r="I70" s="16">
        <f>IFERROR(__xludf.DUMMYFUNCTION("""COMPUTED_VALUE"""),0.0)</f>
        <v>0</v>
      </c>
      <c r="J70" s="16" t="b">
        <f>IFERROR(__xludf.DUMMYFUNCTION("""COMPUTED_VALUE"""),TRUE)</f>
        <v>1</v>
      </c>
      <c r="K70" s="544"/>
      <c r="L70" s="14">
        <f>IFERROR(__xludf.DUMMYFUNCTION("""COMPUTED_VALUE"""),44585.0)</f>
        <v>44585</v>
      </c>
      <c r="M70" s="69">
        <f>IFERROR(__xludf.DUMMYFUNCTION("""COMPUTED_VALUE"""),25.0)</f>
        <v>25</v>
      </c>
      <c r="N70" s="69">
        <f>IFERROR(__xludf.DUMMYFUNCTION("""COMPUTED_VALUE"""),25.0)</f>
        <v>25</v>
      </c>
      <c r="O70" s="69">
        <f>IFERROR(__xludf.DUMMYFUNCTION("""COMPUTED_VALUE"""),0.0)</f>
        <v>0</v>
      </c>
      <c r="P70" s="69">
        <f>IFERROR(__xludf.DUMMYFUNCTION("""COMPUTED_VALUE"""),0.0)</f>
        <v>0</v>
      </c>
      <c r="Q70" s="69">
        <f>IFERROR(__xludf.DUMMYFUNCTION("""COMPUTED_VALUE"""),0.0)</f>
        <v>0</v>
      </c>
      <c r="R70" s="69">
        <f>IFERROR(__xludf.DUMMYFUNCTION("""COMPUTED_VALUE"""),0.0)</f>
        <v>0</v>
      </c>
      <c r="S70" s="69">
        <f>IFERROR(__xludf.DUMMYFUNCTION("""COMPUTED_VALUE"""),0.0)</f>
        <v>0</v>
      </c>
      <c r="T70" s="69">
        <f>IFERROR(__xludf.DUMMYFUNCTION("""COMPUTED_VALUE"""),25.0)</f>
        <v>25</v>
      </c>
      <c r="U70" s="25"/>
      <c r="V70" s="54"/>
      <c r="W70" s="25">
        <f t="shared" si="39"/>
        <v>44585</v>
      </c>
      <c r="X70" s="69">
        <f t="shared" ref="X70:AC70" si="71">M70</f>
        <v>25</v>
      </c>
      <c r="Y70" s="69">
        <f t="shared" si="71"/>
        <v>25</v>
      </c>
      <c r="Z70" s="69">
        <f t="shared" si="71"/>
        <v>0</v>
      </c>
      <c r="AA70" s="69">
        <f t="shared" si="71"/>
        <v>0</v>
      </c>
      <c r="AB70" s="69">
        <f t="shared" si="71"/>
        <v>0</v>
      </c>
      <c r="AC70" s="69">
        <f t="shared" si="71"/>
        <v>0</v>
      </c>
    </row>
    <row r="71">
      <c r="B71" s="14">
        <f>IFERROR(__xludf.DUMMYFUNCTION("""COMPUTED_VALUE"""),44512.0)</f>
        <v>44512</v>
      </c>
      <c r="C71" s="16">
        <f>IFERROR(__xludf.DUMMYFUNCTION("""COMPUTED_VALUE"""),2.0)</f>
        <v>2</v>
      </c>
      <c r="D71" s="16">
        <f>IFERROR(__xludf.DUMMYFUNCTION("""COMPUTED_VALUE"""),2.0)</f>
        <v>2</v>
      </c>
      <c r="E71" s="16">
        <f>IFERROR(__xludf.DUMMYFUNCTION("""COMPUTED_VALUE"""),0.0)</f>
        <v>0</v>
      </c>
      <c r="F71" s="16">
        <f>IFERROR(__xludf.DUMMYFUNCTION("""COMPUTED_VALUE"""),0.0)</f>
        <v>0</v>
      </c>
      <c r="G71" s="16">
        <f>IFERROR(__xludf.DUMMYFUNCTION("""COMPUTED_VALUE"""),0.0)</f>
        <v>0</v>
      </c>
      <c r="H71" s="16">
        <f>IFERROR(__xludf.DUMMYFUNCTION("""COMPUTED_VALUE"""),0.0)</f>
        <v>0</v>
      </c>
      <c r="I71" s="16">
        <f>IFERROR(__xludf.DUMMYFUNCTION("""COMPUTED_VALUE"""),0.0)</f>
        <v>0</v>
      </c>
      <c r="J71" s="16"/>
      <c r="K71" s="544"/>
      <c r="L71" s="14">
        <f>IFERROR(__xludf.DUMMYFUNCTION("""COMPUTED_VALUE"""),44586.0)</f>
        <v>44586</v>
      </c>
      <c r="M71" s="69">
        <f>IFERROR(__xludf.DUMMYFUNCTION("""COMPUTED_VALUE"""),4.0)</f>
        <v>4</v>
      </c>
      <c r="N71" s="69">
        <f>IFERROR(__xludf.DUMMYFUNCTION("""COMPUTED_VALUE"""),4.0)</f>
        <v>4</v>
      </c>
      <c r="O71" s="69">
        <f>IFERROR(__xludf.DUMMYFUNCTION("""COMPUTED_VALUE"""),0.0)</f>
        <v>0</v>
      </c>
      <c r="P71" s="69">
        <f>IFERROR(__xludf.DUMMYFUNCTION("""COMPUTED_VALUE"""),0.0)</f>
        <v>0</v>
      </c>
      <c r="Q71" s="69">
        <f>IFERROR(__xludf.DUMMYFUNCTION("""COMPUTED_VALUE"""),0.0)</f>
        <v>0</v>
      </c>
      <c r="R71" s="69">
        <f>IFERROR(__xludf.DUMMYFUNCTION("""COMPUTED_VALUE"""),0.0)</f>
        <v>0</v>
      </c>
      <c r="S71" s="69">
        <f>IFERROR(__xludf.DUMMYFUNCTION("""COMPUTED_VALUE"""),0.0)</f>
        <v>0</v>
      </c>
      <c r="T71" s="69">
        <f>IFERROR(__xludf.DUMMYFUNCTION("""COMPUTED_VALUE"""),4.0)</f>
        <v>4</v>
      </c>
      <c r="U71" s="25"/>
      <c r="V71" s="54"/>
      <c r="W71" s="25">
        <f t="shared" si="39"/>
        <v>44586</v>
      </c>
      <c r="X71" s="69">
        <f t="shared" ref="X71:AC71" si="72">M71</f>
        <v>4</v>
      </c>
      <c r="Y71" s="69">
        <f t="shared" si="72"/>
        <v>4</v>
      </c>
      <c r="Z71" s="69">
        <f t="shared" si="72"/>
        <v>0</v>
      </c>
      <c r="AA71" s="69">
        <f t="shared" si="72"/>
        <v>0</v>
      </c>
      <c r="AB71" s="69">
        <f t="shared" si="72"/>
        <v>0</v>
      </c>
      <c r="AC71" s="69">
        <f t="shared" si="72"/>
        <v>0</v>
      </c>
    </row>
    <row r="72">
      <c r="B72" s="14">
        <f>IFERROR(__xludf.DUMMYFUNCTION("""COMPUTED_VALUE"""),44515.0)</f>
        <v>44515</v>
      </c>
      <c r="C72" s="16">
        <f>IFERROR(__xludf.DUMMYFUNCTION("""COMPUTED_VALUE"""),2.0)</f>
        <v>2</v>
      </c>
      <c r="D72" s="16">
        <f>IFERROR(__xludf.DUMMYFUNCTION("""COMPUTED_VALUE"""),2.0)</f>
        <v>2</v>
      </c>
      <c r="E72" s="16">
        <f>IFERROR(__xludf.DUMMYFUNCTION("""COMPUTED_VALUE"""),0.0)</f>
        <v>0</v>
      </c>
      <c r="F72" s="16">
        <f>IFERROR(__xludf.DUMMYFUNCTION("""COMPUTED_VALUE"""),0.0)</f>
        <v>0</v>
      </c>
      <c r="G72" s="16">
        <f>IFERROR(__xludf.DUMMYFUNCTION("""COMPUTED_VALUE"""),0.0)</f>
        <v>0</v>
      </c>
      <c r="H72" s="16">
        <f>IFERROR(__xludf.DUMMYFUNCTION("""COMPUTED_VALUE"""),0.0)</f>
        <v>0</v>
      </c>
      <c r="I72" s="16">
        <f>IFERROR(__xludf.DUMMYFUNCTION("""COMPUTED_VALUE"""),0.0)</f>
        <v>0</v>
      </c>
      <c r="J72" s="16"/>
      <c r="K72" s="544"/>
      <c r="L72" s="14">
        <f>IFERROR(__xludf.DUMMYFUNCTION("""COMPUTED_VALUE"""),44587.0)</f>
        <v>44587</v>
      </c>
      <c r="M72" s="69">
        <f>IFERROR(__xludf.DUMMYFUNCTION("""COMPUTED_VALUE"""),2.0)</f>
        <v>2</v>
      </c>
      <c r="N72" s="69">
        <f>IFERROR(__xludf.DUMMYFUNCTION("""COMPUTED_VALUE"""),2.0)</f>
        <v>2</v>
      </c>
      <c r="O72" s="69">
        <f>IFERROR(__xludf.DUMMYFUNCTION("""COMPUTED_VALUE"""),0.0)</f>
        <v>0</v>
      </c>
      <c r="P72" s="69">
        <f>IFERROR(__xludf.DUMMYFUNCTION("""COMPUTED_VALUE"""),0.0)</f>
        <v>0</v>
      </c>
      <c r="Q72" s="69">
        <f>IFERROR(__xludf.DUMMYFUNCTION("""COMPUTED_VALUE"""),0.0)</f>
        <v>0</v>
      </c>
      <c r="R72" s="69">
        <f>IFERROR(__xludf.DUMMYFUNCTION("""COMPUTED_VALUE"""),0.0)</f>
        <v>0</v>
      </c>
      <c r="S72" s="69">
        <f>IFERROR(__xludf.DUMMYFUNCTION("""COMPUTED_VALUE"""),0.0)</f>
        <v>0</v>
      </c>
      <c r="T72" s="69">
        <f>IFERROR(__xludf.DUMMYFUNCTION("""COMPUTED_VALUE"""),2.0)</f>
        <v>2</v>
      </c>
      <c r="U72" s="25"/>
      <c r="V72" s="54"/>
      <c r="W72" s="25">
        <f t="shared" si="39"/>
        <v>44587</v>
      </c>
      <c r="X72" s="69">
        <f t="shared" ref="X72:AC72" si="73">M72</f>
        <v>2</v>
      </c>
      <c r="Y72" s="69">
        <f t="shared" si="73"/>
        <v>2</v>
      </c>
      <c r="Z72" s="69">
        <f t="shared" si="73"/>
        <v>0</v>
      </c>
      <c r="AA72" s="69">
        <f t="shared" si="73"/>
        <v>0</v>
      </c>
      <c r="AB72" s="69">
        <f t="shared" si="73"/>
        <v>0</v>
      </c>
      <c r="AC72" s="69">
        <f t="shared" si="73"/>
        <v>0</v>
      </c>
    </row>
    <row r="73">
      <c r="B73" s="14">
        <f>IFERROR(__xludf.DUMMYFUNCTION("""COMPUTED_VALUE"""),44517.0)</f>
        <v>44517</v>
      </c>
      <c r="C73" s="16">
        <f>IFERROR(__xludf.DUMMYFUNCTION("""COMPUTED_VALUE"""),2.0)</f>
        <v>2</v>
      </c>
      <c r="D73" s="16">
        <f>IFERROR(__xludf.DUMMYFUNCTION("""COMPUTED_VALUE"""),2.0)</f>
        <v>2</v>
      </c>
      <c r="E73" s="16">
        <f>IFERROR(__xludf.DUMMYFUNCTION("""COMPUTED_VALUE"""),0.0)</f>
        <v>0</v>
      </c>
      <c r="F73" s="16">
        <f>IFERROR(__xludf.DUMMYFUNCTION("""COMPUTED_VALUE"""),0.0)</f>
        <v>0</v>
      </c>
      <c r="G73" s="16">
        <f>IFERROR(__xludf.DUMMYFUNCTION("""COMPUTED_VALUE"""),0.0)</f>
        <v>0</v>
      </c>
      <c r="H73" s="16">
        <f>IFERROR(__xludf.DUMMYFUNCTION("""COMPUTED_VALUE"""),0.0)</f>
        <v>0</v>
      </c>
      <c r="I73" s="16">
        <f>IFERROR(__xludf.DUMMYFUNCTION("""COMPUTED_VALUE"""),0.0)</f>
        <v>0</v>
      </c>
      <c r="J73" s="16"/>
      <c r="K73" s="544"/>
      <c r="L73" s="14">
        <f>IFERROR(__xludf.DUMMYFUNCTION("""COMPUTED_VALUE"""),44588.0)</f>
        <v>44588</v>
      </c>
      <c r="M73" s="69">
        <f>IFERROR(__xludf.DUMMYFUNCTION("""COMPUTED_VALUE"""),26.0)</f>
        <v>26</v>
      </c>
      <c r="N73" s="69">
        <f>IFERROR(__xludf.DUMMYFUNCTION("""COMPUTED_VALUE"""),26.0)</f>
        <v>26</v>
      </c>
      <c r="O73" s="69">
        <f>IFERROR(__xludf.DUMMYFUNCTION("""COMPUTED_VALUE"""),0.0)</f>
        <v>0</v>
      </c>
      <c r="P73" s="69">
        <f>IFERROR(__xludf.DUMMYFUNCTION("""COMPUTED_VALUE"""),0.0)</f>
        <v>0</v>
      </c>
      <c r="Q73" s="69">
        <f>IFERROR(__xludf.DUMMYFUNCTION("""COMPUTED_VALUE"""),0.0)</f>
        <v>0</v>
      </c>
      <c r="R73" s="69">
        <f>IFERROR(__xludf.DUMMYFUNCTION("""COMPUTED_VALUE"""),0.0)</f>
        <v>0</v>
      </c>
      <c r="S73" s="69">
        <f>IFERROR(__xludf.DUMMYFUNCTION("""COMPUTED_VALUE"""),0.0)</f>
        <v>0</v>
      </c>
      <c r="T73" s="69">
        <f>IFERROR(__xludf.DUMMYFUNCTION("""COMPUTED_VALUE"""),26.0)</f>
        <v>26</v>
      </c>
      <c r="U73" s="25"/>
      <c r="V73" s="54"/>
      <c r="W73" s="25">
        <f t="shared" si="39"/>
        <v>44588</v>
      </c>
      <c r="X73" s="69">
        <f t="shared" ref="X73:AC73" si="74">M73</f>
        <v>26</v>
      </c>
      <c r="Y73" s="69">
        <f t="shared" si="74"/>
        <v>26</v>
      </c>
      <c r="Z73" s="69">
        <f t="shared" si="74"/>
        <v>0</v>
      </c>
      <c r="AA73" s="69">
        <f t="shared" si="74"/>
        <v>0</v>
      </c>
      <c r="AB73" s="69">
        <f t="shared" si="74"/>
        <v>0</v>
      </c>
      <c r="AC73" s="69">
        <f t="shared" si="74"/>
        <v>0</v>
      </c>
    </row>
    <row r="74">
      <c r="B74" s="14">
        <f>IFERROR(__xludf.DUMMYFUNCTION("""COMPUTED_VALUE"""),44519.0)</f>
        <v>44519</v>
      </c>
      <c r="C74" s="16">
        <f>IFERROR(__xludf.DUMMYFUNCTION("""COMPUTED_VALUE"""),2.0)</f>
        <v>2</v>
      </c>
      <c r="D74" s="16">
        <f>IFERROR(__xludf.DUMMYFUNCTION("""COMPUTED_VALUE"""),2.0)</f>
        <v>2</v>
      </c>
      <c r="E74" s="16">
        <f>IFERROR(__xludf.DUMMYFUNCTION("""COMPUTED_VALUE"""),0.0)</f>
        <v>0</v>
      </c>
      <c r="F74" s="16">
        <f>IFERROR(__xludf.DUMMYFUNCTION("""COMPUTED_VALUE"""),0.0)</f>
        <v>0</v>
      </c>
      <c r="G74" s="16">
        <f>IFERROR(__xludf.DUMMYFUNCTION("""COMPUTED_VALUE"""),0.0)</f>
        <v>0</v>
      </c>
      <c r="H74" s="16">
        <f>IFERROR(__xludf.DUMMYFUNCTION("""COMPUTED_VALUE"""),0.0)</f>
        <v>0</v>
      </c>
      <c r="I74" s="16">
        <f>IFERROR(__xludf.DUMMYFUNCTION("""COMPUTED_VALUE"""),0.0)</f>
        <v>0</v>
      </c>
      <c r="J74" s="16" t="b">
        <f>IFERROR(__xludf.DUMMYFUNCTION("""COMPUTED_VALUE"""),TRUE)</f>
        <v>1</v>
      </c>
      <c r="K74" s="544"/>
      <c r="L74" s="14">
        <f>IFERROR(__xludf.DUMMYFUNCTION("""COMPUTED_VALUE"""),44592.0)</f>
        <v>44592</v>
      </c>
      <c r="M74" s="69">
        <f>IFERROR(__xludf.DUMMYFUNCTION("""COMPUTED_VALUE"""),29.0)</f>
        <v>29</v>
      </c>
      <c r="N74" s="69">
        <f>IFERROR(__xludf.DUMMYFUNCTION("""COMPUTED_VALUE"""),29.0)</f>
        <v>29</v>
      </c>
      <c r="O74" s="69">
        <f>IFERROR(__xludf.DUMMYFUNCTION("""COMPUTED_VALUE"""),0.0)</f>
        <v>0</v>
      </c>
      <c r="P74" s="69">
        <f>IFERROR(__xludf.DUMMYFUNCTION("""COMPUTED_VALUE"""),0.0)</f>
        <v>0</v>
      </c>
      <c r="Q74" s="69">
        <f>IFERROR(__xludf.DUMMYFUNCTION("""COMPUTED_VALUE"""),0.0)</f>
        <v>0</v>
      </c>
      <c r="R74" s="69">
        <f>IFERROR(__xludf.DUMMYFUNCTION("""COMPUTED_VALUE"""),0.0)</f>
        <v>0</v>
      </c>
      <c r="S74" s="69">
        <f>IFERROR(__xludf.DUMMYFUNCTION("""COMPUTED_VALUE"""),0.0)</f>
        <v>0</v>
      </c>
      <c r="T74" s="69">
        <f>IFERROR(__xludf.DUMMYFUNCTION("""COMPUTED_VALUE"""),29.0)</f>
        <v>29</v>
      </c>
      <c r="U74" s="25"/>
      <c r="V74" s="54"/>
      <c r="W74" s="25">
        <f t="shared" si="39"/>
        <v>44592</v>
      </c>
      <c r="X74" s="69">
        <f t="shared" ref="X74:AC74" si="75">M74</f>
        <v>29</v>
      </c>
      <c r="Y74" s="69">
        <f t="shared" si="75"/>
        <v>29</v>
      </c>
      <c r="Z74" s="69">
        <f t="shared" si="75"/>
        <v>0</v>
      </c>
      <c r="AA74" s="69">
        <f t="shared" si="75"/>
        <v>0</v>
      </c>
      <c r="AB74" s="69">
        <f t="shared" si="75"/>
        <v>0</v>
      </c>
      <c r="AC74" s="69">
        <f t="shared" si="75"/>
        <v>0</v>
      </c>
    </row>
    <row r="75">
      <c r="B75" s="14">
        <f>IFERROR(__xludf.DUMMYFUNCTION("""COMPUTED_VALUE"""),44526.0)</f>
        <v>44526</v>
      </c>
      <c r="C75" s="16">
        <f>IFERROR(__xludf.DUMMYFUNCTION("""COMPUTED_VALUE"""),2.0)</f>
        <v>2</v>
      </c>
      <c r="D75" s="16">
        <f>IFERROR(__xludf.DUMMYFUNCTION("""COMPUTED_VALUE"""),2.0)</f>
        <v>2</v>
      </c>
      <c r="E75" s="16">
        <f>IFERROR(__xludf.DUMMYFUNCTION("""COMPUTED_VALUE"""),0.0)</f>
        <v>0</v>
      </c>
      <c r="F75" s="16">
        <f>IFERROR(__xludf.DUMMYFUNCTION("""COMPUTED_VALUE"""),0.0)</f>
        <v>0</v>
      </c>
      <c r="G75" s="16">
        <f>IFERROR(__xludf.DUMMYFUNCTION("""COMPUTED_VALUE"""),0.0)</f>
        <v>0</v>
      </c>
      <c r="H75" s="16">
        <f>IFERROR(__xludf.DUMMYFUNCTION("""COMPUTED_VALUE"""),0.0)</f>
        <v>0</v>
      </c>
      <c r="I75" s="16">
        <f>IFERROR(__xludf.DUMMYFUNCTION("""COMPUTED_VALUE"""),0.0)</f>
        <v>0</v>
      </c>
      <c r="J75" s="16"/>
      <c r="K75" s="544"/>
      <c r="L75" s="14">
        <f>IFERROR(__xludf.DUMMYFUNCTION("""COMPUTED_VALUE"""),44594.0)</f>
        <v>44594</v>
      </c>
      <c r="M75" s="69">
        <f>IFERROR(__xludf.DUMMYFUNCTION("""COMPUTED_VALUE"""),3.0)</f>
        <v>3</v>
      </c>
      <c r="N75" s="69">
        <f>IFERROR(__xludf.DUMMYFUNCTION("""COMPUTED_VALUE"""),3.0)</f>
        <v>3</v>
      </c>
      <c r="O75" s="69">
        <f>IFERROR(__xludf.DUMMYFUNCTION("""COMPUTED_VALUE"""),0.0)</f>
        <v>0</v>
      </c>
      <c r="P75" s="69">
        <f>IFERROR(__xludf.DUMMYFUNCTION("""COMPUTED_VALUE"""),0.0)</f>
        <v>0</v>
      </c>
      <c r="Q75" s="69">
        <f>IFERROR(__xludf.DUMMYFUNCTION("""COMPUTED_VALUE"""),0.0)</f>
        <v>0</v>
      </c>
      <c r="R75" s="69">
        <f>IFERROR(__xludf.DUMMYFUNCTION("""COMPUTED_VALUE"""),0.0)</f>
        <v>0</v>
      </c>
      <c r="S75" s="69">
        <f>IFERROR(__xludf.DUMMYFUNCTION("""COMPUTED_VALUE"""),0.0)</f>
        <v>0</v>
      </c>
      <c r="T75" s="69">
        <f>IFERROR(__xludf.DUMMYFUNCTION("""COMPUTED_VALUE"""),3.0)</f>
        <v>3</v>
      </c>
      <c r="U75" s="25"/>
      <c r="V75" s="54"/>
      <c r="W75" s="25">
        <f t="shared" si="39"/>
        <v>44594</v>
      </c>
      <c r="X75" s="69">
        <f t="shared" ref="X75:AC75" si="76">M75</f>
        <v>3</v>
      </c>
      <c r="Y75" s="69">
        <f t="shared" si="76"/>
        <v>3</v>
      </c>
      <c r="Z75" s="69">
        <f t="shared" si="76"/>
        <v>0</v>
      </c>
      <c r="AA75" s="69">
        <f t="shared" si="76"/>
        <v>0</v>
      </c>
      <c r="AB75" s="69">
        <f t="shared" si="76"/>
        <v>0</v>
      </c>
      <c r="AC75" s="69">
        <f t="shared" si="76"/>
        <v>0</v>
      </c>
    </row>
    <row r="76">
      <c r="B76" s="14">
        <f>IFERROR(__xludf.DUMMYFUNCTION("""COMPUTED_VALUE"""),44528.0)</f>
        <v>44528</v>
      </c>
      <c r="C76" s="16">
        <f>IFERROR(__xludf.DUMMYFUNCTION("""COMPUTED_VALUE"""),11.0)</f>
        <v>11</v>
      </c>
      <c r="D76" s="16">
        <f>IFERROR(__xludf.DUMMYFUNCTION("""COMPUTED_VALUE"""),11.0)</f>
        <v>11</v>
      </c>
      <c r="E76" s="16">
        <f>IFERROR(__xludf.DUMMYFUNCTION("""COMPUTED_VALUE"""),0.0)</f>
        <v>0</v>
      </c>
      <c r="F76" s="16">
        <f>IFERROR(__xludf.DUMMYFUNCTION("""COMPUTED_VALUE"""),0.0)</f>
        <v>0</v>
      </c>
      <c r="G76" s="16">
        <f>IFERROR(__xludf.DUMMYFUNCTION("""COMPUTED_VALUE"""),0.0)</f>
        <v>0</v>
      </c>
      <c r="H76" s="16">
        <f>IFERROR(__xludf.DUMMYFUNCTION("""COMPUTED_VALUE"""),0.0)</f>
        <v>0</v>
      </c>
      <c r="I76" s="16">
        <f>IFERROR(__xludf.DUMMYFUNCTION("""COMPUTED_VALUE"""),0.0)</f>
        <v>0</v>
      </c>
      <c r="J76" s="16"/>
      <c r="K76" s="544"/>
      <c r="L76" s="14">
        <f>IFERROR(__xludf.DUMMYFUNCTION("""COMPUTED_VALUE"""),44595.0)</f>
        <v>44595</v>
      </c>
      <c r="M76" s="69">
        <f>IFERROR(__xludf.DUMMYFUNCTION("""COMPUTED_VALUE"""),29.0)</f>
        <v>29</v>
      </c>
      <c r="N76" s="69">
        <f>IFERROR(__xludf.DUMMYFUNCTION("""COMPUTED_VALUE"""),29.0)</f>
        <v>29</v>
      </c>
      <c r="O76" s="69">
        <f>IFERROR(__xludf.DUMMYFUNCTION("""COMPUTED_VALUE"""),0.0)</f>
        <v>0</v>
      </c>
      <c r="P76" s="69">
        <f>IFERROR(__xludf.DUMMYFUNCTION("""COMPUTED_VALUE"""),0.0)</f>
        <v>0</v>
      </c>
      <c r="Q76" s="69">
        <f>IFERROR(__xludf.DUMMYFUNCTION("""COMPUTED_VALUE"""),0.0)</f>
        <v>0</v>
      </c>
      <c r="R76" s="69">
        <f>IFERROR(__xludf.DUMMYFUNCTION("""COMPUTED_VALUE"""),0.0)</f>
        <v>0</v>
      </c>
      <c r="S76" s="69">
        <f>IFERROR(__xludf.DUMMYFUNCTION("""COMPUTED_VALUE"""),0.0)</f>
        <v>0</v>
      </c>
      <c r="T76" s="69">
        <f>IFERROR(__xludf.DUMMYFUNCTION("""COMPUTED_VALUE"""),29.0)</f>
        <v>29</v>
      </c>
      <c r="U76" s="25"/>
      <c r="V76" s="54"/>
      <c r="W76" s="25">
        <f t="shared" si="39"/>
        <v>44595</v>
      </c>
      <c r="X76" s="69">
        <f t="shared" ref="X76:AC76" si="77">M76</f>
        <v>29</v>
      </c>
      <c r="Y76" s="69">
        <f t="shared" si="77"/>
        <v>29</v>
      </c>
      <c r="Z76" s="69">
        <f t="shared" si="77"/>
        <v>0</v>
      </c>
      <c r="AA76" s="69">
        <f t="shared" si="77"/>
        <v>0</v>
      </c>
      <c r="AB76" s="69">
        <f t="shared" si="77"/>
        <v>0</v>
      </c>
      <c r="AC76" s="69">
        <f t="shared" si="77"/>
        <v>0</v>
      </c>
    </row>
    <row r="77">
      <c r="B77" s="14">
        <f>IFERROR(__xludf.DUMMYFUNCTION("""COMPUTED_VALUE"""),44529.0)</f>
        <v>44529</v>
      </c>
      <c r="C77" s="16">
        <f>IFERROR(__xludf.DUMMYFUNCTION("""COMPUTED_VALUE"""),2.0)</f>
        <v>2</v>
      </c>
      <c r="D77" s="16">
        <f>IFERROR(__xludf.DUMMYFUNCTION("""COMPUTED_VALUE"""),2.0)</f>
        <v>2</v>
      </c>
      <c r="E77" s="16">
        <f>IFERROR(__xludf.DUMMYFUNCTION("""COMPUTED_VALUE"""),0.0)</f>
        <v>0</v>
      </c>
      <c r="F77" s="16">
        <f>IFERROR(__xludf.DUMMYFUNCTION("""COMPUTED_VALUE"""),0.0)</f>
        <v>0</v>
      </c>
      <c r="G77" s="16">
        <f>IFERROR(__xludf.DUMMYFUNCTION("""COMPUTED_VALUE"""),0.0)</f>
        <v>0</v>
      </c>
      <c r="H77" s="16">
        <f>IFERROR(__xludf.DUMMYFUNCTION("""COMPUTED_VALUE"""),0.0)</f>
        <v>0</v>
      </c>
      <c r="I77" s="16">
        <f>IFERROR(__xludf.DUMMYFUNCTION("""COMPUTED_VALUE"""),0.0)</f>
        <v>0</v>
      </c>
      <c r="J77" s="16" t="b">
        <f>IFERROR(__xludf.DUMMYFUNCTION("""COMPUTED_VALUE"""),TRUE)</f>
        <v>1</v>
      </c>
      <c r="K77" s="544"/>
      <c r="L77" s="14">
        <f>IFERROR(__xludf.DUMMYFUNCTION("""COMPUTED_VALUE"""),44597.0)</f>
        <v>44597</v>
      </c>
      <c r="M77" s="69">
        <f>IFERROR(__xludf.DUMMYFUNCTION("""COMPUTED_VALUE"""),4.0)</f>
        <v>4</v>
      </c>
      <c r="N77" s="69">
        <f>IFERROR(__xludf.DUMMYFUNCTION("""COMPUTED_VALUE"""),4.0)</f>
        <v>4</v>
      </c>
      <c r="O77" s="69">
        <f>IFERROR(__xludf.DUMMYFUNCTION("""COMPUTED_VALUE"""),0.0)</f>
        <v>0</v>
      </c>
      <c r="P77" s="69">
        <f>IFERROR(__xludf.DUMMYFUNCTION("""COMPUTED_VALUE"""),0.0)</f>
        <v>0</v>
      </c>
      <c r="Q77" s="69">
        <f>IFERROR(__xludf.DUMMYFUNCTION("""COMPUTED_VALUE"""),0.0)</f>
        <v>0</v>
      </c>
      <c r="R77" s="69">
        <f>IFERROR(__xludf.DUMMYFUNCTION("""COMPUTED_VALUE"""),0.0)</f>
        <v>0</v>
      </c>
      <c r="S77" s="69">
        <f>IFERROR(__xludf.DUMMYFUNCTION("""COMPUTED_VALUE"""),0.0)</f>
        <v>0</v>
      </c>
      <c r="T77" s="69">
        <f>IFERROR(__xludf.DUMMYFUNCTION("""COMPUTED_VALUE"""),4.0)</f>
        <v>4</v>
      </c>
      <c r="U77" s="25"/>
      <c r="V77" s="54"/>
      <c r="W77" s="25">
        <f t="shared" si="39"/>
        <v>44597</v>
      </c>
      <c r="X77" s="69">
        <f t="shared" ref="X77:AC77" si="78">M77</f>
        <v>4</v>
      </c>
      <c r="Y77" s="69">
        <f t="shared" si="78"/>
        <v>4</v>
      </c>
      <c r="Z77" s="69">
        <f t="shared" si="78"/>
        <v>0</v>
      </c>
      <c r="AA77" s="69">
        <f t="shared" si="78"/>
        <v>0</v>
      </c>
      <c r="AB77" s="69">
        <f t="shared" si="78"/>
        <v>0</v>
      </c>
      <c r="AC77" s="69">
        <f t="shared" si="78"/>
        <v>0</v>
      </c>
    </row>
    <row r="78">
      <c r="B78" s="14">
        <f>IFERROR(__xludf.DUMMYFUNCTION("""COMPUTED_VALUE"""),44530.0)</f>
        <v>44530</v>
      </c>
      <c r="C78" s="16">
        <f>IFERROR(__xludf.DUMMYFUNCTION("""COMPUTED_VALUE"""),2.0)</f>
        <v>2</v>
      </c>
      <c r="D78" s="16">
        <f>IFERROR(__xludf.DUMMYFUNCTION("""COMPUTED_VALUE"""),2.0)</f>
        <v>2</v>
      </c>
      <c r="E78" s="16">
        <f>IFERROR(__xludf.DUMMYFUNCTION("""COMPUTED_VALUE"""),0.0)</f>
        <v>0</v>
      </c>
      <c r="F78" s="16">
        <f>IFERROR(__xludf.DUMMYFUNCTION("""COMPUTED_VALUE"""),0.0)</f>
        <v>0</v>
      </c>
      <c r="G78" s="16">
        <f>IFERROR(__xludf.DUMMYFUNCTION("""COMPUTED_VALUE"""),0.0)</f>
        <v>0</v>
      </c>
      <c r="H78" s="16">
        <f>IFERROR(__xludf.DUMMYFUNCTION("""COMPUTED_VALUE"""),0.0)</f>
        <v>0</v>
      </c>
      <c r="I78" s="16">
        <f>IFERROR(__xludf.DUMMYFUNCTION("""COMPUTED_VALUE"""),0.0)</f>
        <v>0</v>
      </c>
      <c r="J78" s="16" t="b">
        <f>IFERROR(__xludf.DUMMYFUNCTION("""COMPUTED_VALUE"""),TRUE)</f>
        <v>1</v>
      </c>
      <c r="K78" s="544"/>
      <c r="L78" s="14">
        <f>IFERROR(__xludf.DUMMYFUNCTION("""COMPUTED_VALUE"""),44599.0)</f>
        <v>44599</v>
      </c>
      <c r="M78" s="69">
        <f>IFERROR(__xludf.DUMMYFUNCTION("""COMPUTED_VALUE"""),26.0)</f>
        <v>26</v>
      </c>
      <c r="N78" s="69">
        <f>IFERROR(__xludf.DUMMYFUNCTION("""COMPUTED_VALUE"""),26.0)</f>
        <v>26</v>
      </c>
      <c r="O78" s="69">
        <f>IFERROR(__xludf.DUMMYFUNCTION("""COMPUTED_VALUE"""),0.0)</f>
        <v>0</v>
      </c>
      <c r="P78" s="69">
        <f>IFERROR(__xludf.DUMMYFUNCTION("""COMPUTED_VALUE"""),0.0)</f>
        <v>0</v>
      </c>
      <c r="Q78" s="69">
        <f>IFERROR(__xludf.DUMMYFUNCTION("""COMPUTED_VALUE"""),0.0)</f>
        <v>0</v>
      </c>
      <c r="R78" s="69">
        <f>IFERROR(__xludf.DUMMYFUNCTION("""COMPUTED_VALUE"""),0.0)</f>
        <v>0</v>
      </c>
      <c r="S78" s="69">
        <f>IFERROR(__xludf.DUMMYFUNCTION("""COMPUTED_VALUE"""),0.0)</f>
        <v>0</v>
      </c>
      <c r="T78" s="69">
        <f>IFERROR(__xludf.DUMMYFUNCTION("""COMPUTED_VALUE"""),26.0)</f>
        <v>26</v>
      </c>
      <c r="U78" s="25"/>
      <c r="V78" s="54"/>
      <c r="W78" s="25">
        <f t="shared" si="39"/>
        <v>44599</v>
      </c>
      <c r="X78" s="69">
        <f t="shared" ref="X78:AC78" si="79">M78</f>
        <v>26</v>
      </c>
      <c r="Y78" s="69">
        <f t="shared" si="79"/>
        <v>26</v>
      </c>
      <c r="Z78" s="69">
        <f t="shared" si="79"/>
        <v>0</v>
      </c>
      <c r="AA78" s="69">
        <f t="shared" si="79"/>
        <v>0</v>
      </c>
      <c r="AB78" s="69">
        <f t="shared" si="79"/>
        <v>0</v>
      </c>
      <c r="AC78" s="69">
        <f t="shared" si="79"/>
        <v>0</v>
      </c>
    </row>
    <row r="79">
      <c r="B79" s="14">
        <f>IFERROR(__xludf.DUMMYFUNCTION("""COMPUTED_VALUE"""),44532.0)</f>
        <v>44532</v>
      </c>
      <c r="C79" s="16">
        <f>IFERROR(__xludf.DUMMYFUNCTION("""COMPUTED_VALUE"""),3.0)</f>
        <v>3</v>
      </c>
      <c r="D79" s="16">
        <f>IFERROR(__xludf.DUMMYFUNCTION("""COMPUTED_VALUE"""),3.0)</f>
        <v>3</v>
      </c>
      <c r="E79" s="16">
        <f>IFERROR(__xludf.DUMMYFUNCTION("""COMPUTED_VALUE"""),0.0)</f>
        <v>0</v>
      </c>
      <c r="F79" s="16">
        <f>IFERROR(__xludf.DUMMYFUNCTION("""COMPUTED_VALUE"""),0.0)</f>
        <v>0</v>
      </c>
      <c r="G79" s="16">
        <f>IFERROR(__xludf.DUMMYFUNCTION("""COMPUTED_VALUE"""),0.0)</f>
        <v>0</v>
      </c>
      <c r="H79" s="16">
        <f>IFERROR(__xludf.DUMMYFUNCTION("""COMPUTED_VALUE"""),0.0)</f>
        <v>0</v>
      </c>
      <c r="I79" s="16">
        <f>IFERROR(__xludf.DUMMYFUNCTION("""COMPUTED_VALUE"""),0.0)</f>
        <v>0</v>
      </c>
      <c r="J79" s="16" t="b">
        <f>IFERROR(__xludf.DUMMYFUNCTION("""COMPUTED_VALUE"""),TRUE)</f>
        <v>1</v>
      </c>
      <c r="K79" s="544"/>
      <c r="L79" s="14">
        <f>IFERROR(__xludf.DUMMYFUNCTION("""COMPUTED_VALUE"""),44602.0)</f>
        <v>44602</v>
      </c>
      <c r="M79" s="69">
        <f>IFERROR(__xludf.DUMMYFUNCTION("""COMPUTED_VALUE"""),27.0)</f>
        <v>27</v>
      </c>
      <c r="N79" s="69">
        <f>IFERROR(__xludf.DUMMYFUNCTION("""COMPUTED_VALUE"""),27.0)</f>
        <v>27</v>
      </c>
      <c r="O79" s="69">
        <f>IFERROR(__xludf.DUMMYFUNCTION("""COMPUTED_VALUE"""),0.0)</f>
        <v>0</v>
      </c>
      <c r="P79" s="69">
        <f>IFERROR(__xludf.DUMMYFUNCTION("""COMPUTED_VALUE"""),0.0)</f>
        <v>0</v>
      </c>
      <c r="Q79" s="69">
        <f>IFERROR(__xludf.DUMMYFUNCTION("""COMPUTED_VALUE"""),0.0)</f>
        <v>0</v>
      </c>
      <c r="R79" s="69">
        <f>IFERROR(__xludf.DUMMYFUNCTION("""COMPUTED_VALUE"""),0.0)</f>
        <v>0</v>
      </c>
      <c r="S79" s="69">
        <f>IFERROR(__xludf.DUMMYFUNCTION("""COMPUTED_VALUE"""),0.0)</f>
        <v>0</v>
      </c>
      <c r="T79" s="69">
        <f>IFERROR(__xludf.DUMMYFUNCTION("""COMPUTED_VALUE"""),27.0)</f>
        <v>27</v>
      </c>
      <c r="U79" s="25"/>
      <c r="V79" s="54"/>
      <c r="W79" s="25">
        <f t="shared" si="39"/>
        <v>44602</v>
      </c>
      <c r="X79" s="69">
        <f t="shared" ref="X79:AC79" si="80">M79</f>
        <v>27</v>
      </c>
      <c r="Y79" s="69">
        <f t="shared" si="80"/>
        <v>27</v>
      </c>
      <c r="Z79" s="69">
        <f t="shared" si="80"/>
        <v>0</v>
      </c>
      <c r="AA79" s="69">
        <f t="shared" si="80"/>
        <v>0</v>
      </c>
      <c r="AB79" s="69">
        <f t="shared" si="80"/>
        <v>0</v>
      </c>
      <c r="AC79" s="69">
        <f t="shared" si="80"/>
        <v>0</v>
      </c>
    </row>
    <row r="80">
      <c r="B80" s="14">
        <f>IFERROR(__xludf.DUMMYFUNCTION("""COMPUTED_VALUE"""),44536.0)</f>
        <v>44536</v>
      </c>
      <c r="C80" s="16">
        <f>IFERROR(__xludf.DUMMYFUNCTION("""COMPUTED_VALUE"""),5.0)</f>
        <v>5</v>
      </c>
      <c r="D80" s="16">
        <f>IFERROR(__xludf.DUMMYFUNCTION("""COMPUTED_VALUE"""),5.0)</f>
        <v>5</v>
      </c>
      <c r="E80" s="16">
        <f>IFERROR(__xludf.DUMMYFUNCTION("""COMPUTED_VALUE"""),0.0)</f>
        <v>0</v>
      </c>
      <c r="F80" s="16">
        <f>IFERROR(__xludf.DUMMYFUNCTION("""COMPUTED_VALUE"""),0.0)</f>
        <v>0</v>
      </c>
      <c r="G80" s="16">
        <f>IFERROR(__xludf.DUMMYFUNCTION("""COMPUTED_VALUE"""),0.0)</f>
        <v>0</v>
      </c>
      <c r="H80" s="16">
        <f>IFERROR(__xludf.DUMMYFUNCTION("""COMPUTED_VALUE"""),0.0)</f>
        <v>0</v>
      </c>
      <c r="I80" s="16">
        <f>IFERROR(__xludf.DUMMYFUNCTION("""COMPUTED_VALUE"""),0.0)</f>
        <v>0</v>
      </c>
      <c r="J80" s="16"/>
      <c r="K80" s="544"/>
      <c r="L80" s="14">
        <f>IFERROR(__xludf.DUMMYFUNCTION("""COMPUTED_VALUE"""),44604.0)</f>
        <v>44604</v>
      </c>
      <c r="M80" s="69">
        <f>IFERROR(__xludf.DUMMYFUNCTION("""COMPUTED_VALUE"""),3.0)</f>
        <v>3</v>
      </c>
      <c r="N80" s="69">
        <f>IFERROR(__xludf.DUMMYFUNCTION("""COMPUTED_VALUE"""),3.0)</f>
        <v>3</v>
      </c>
      <c r="O80" s="69">
        <f>IFERROR(__xludf.DUMMYFUNCTION("""COMPUTED_VALUE"""),0.0)</f>
        <v>0</v>
      </c>
      <c r="P80" s="69">
        <f>IFERROR(__xludf.DUMMYFUNCTION("""COMPUTED_VALUE"""),0.0)</f>
        <v>0</v>
      </c>
      <c r="Q80" s="69">
        <f>IFERROR(__xludf.DUMMYFUNCTION("""COMPUTED_VALUE"""),0.0)</f>
        <v>0</v>
      </c>
      <c r="R80" s="69">
        <f>IFERROR(__xludf.DUMMYFUNCTION("""COMPUTED_VALUE"""),0.0)</f>
        <v>0</v>
      </c>
      <c r="S80" s="69">
        <f>IFERROR(__xludf.DUMMYFUNCTION("""COMPUTED_VALUE"""),0.0)</f>
        <v>0</v>
      </c>
      <c r="T80" s="69">
        <f>IFERROR(__xludf.DUMMYFUNCTION("""COMPUTED_VALUE"""),3.0)</f>
        <v>3</v>
      </c>
      <c r="U80" s="25"/>
      <c r="V80" s="54"/>
      <c r="W80" s="25">
        <f t="shared" si="39"/>
        <v>44604</v>
      </c>
      <c r="X80" s="69">
        <f t="shared" ref="X80:AC80" si="81">M80</f>
        <v>3</v>
      </c>
      <c r="Y80" s="69">
        <f t="shared" si="81"/>
        <v>3</v>
      </c>
      <c r="Z80" s="69">
        <f t="shared" si="81"/>
        <v>0</v>
      </c>
      <c r="AA80" s="69">
        <f t="shared" si="81"/>
        <v>0</v>
      </c>
      <c r="AB80" s="69">
        <f t="shared" si="81"/>
        <v>0</v>
      </c>
      <c r="AC80" s="69">
        <f t="shared" si="81"/>
        <v>0</v>
      </c>
    </row>
    <row r="81">
      <c r="B81" s="14">
        <f>IFERROR(__xludf.DUMMYFUNCTION("""COMPUTED_VALUE"""),44537.0)</f>
        <v>44537</v>
      </c>
      <c r="C81" s="16">
        <f>IFERROR(__xludf.DUMMYFUNCTION("""COMPUTED_VALUE"""),4.0)</f>
        <v>4</v>
      </c>
      <c r="D81" s="16">
        <f>IFERROR(__xludf.DUMMYFUNCTION("""COMPUTED_VALUE"""),4.0)</f>
        <v>4</v>
      </c>
      <c r="E81" s="16">
        <f>IFERROR(__xludf.DUMMYFUNCTION("""COMPUTED_VALUE"""),0.0)</f>
        <v>0</v>
      </c>
      <c r="F81" s="16">
        <f>IFERROR(__xludf.DUMMYFUNCTION("""COMPUTED_VALUE"""),0.0)</f>
        <v>0</v>
      </c>
      <c r="G81" s="16">
        <f>IFERROR(__xludf.DUMMYFUNCTION("""COMPUTED_VALUE"""),0.0)</f>
        <v>0</v>
      </c>
      <c r="H81" s="16">
        <f>IFERROR(__xludf.DUMMYFUNCTION("""COMPUTED_VALUE"""),0.0)</f>
        <v>0</v>
      </c>
      <c r="I81" s="16">
        <f>IFERROR(__xludf.DUMMYFUNCTION("""COMPUTED_VALUE"""),0.0)</f>
        <v>0</v>
      </c>
      <c r="J81" s="16" t="b">
        <f>IFERROR(__xludf.DUMMYFUNCTION("""COMPUTED_VALUE"""),TRUE)</f>
        <v>1</v>
      </c>
      <c r="K81" s="544"/>
      <c r="L81" s="14">
        <f>IFERROR(__xludf.DUMMYFUNCTION("""COMPUTED_VALUE"""),44606.0)</f>
        <v>44606</v>
      </c>
      <c r="M81" s="69">
        <f>IFERROR(__xludf.DUMMYFUNCTION("""COMPUTED_VALUE"""),26.0)</f>
        <v>26</v>
      </c>
      <c r="N81" s="69">
        <f>IFERROR(__xludf.DUMMYFUNCTION("""COMPUTED_VALUE"""),25.0)</f>
        <v>25</v>
      </c>
      <c r="O81" s="69">
        <f>IFERROR(__xludf.DUMMYFUNCTION("""COMPUTED_VALUE"""),0.0)</f>
        <v>0</v>
      </c>
      <c r="P81" s="69">
        <f>IFERROR(__xludf.DUMMYFUNCTION("""COMPUTED_VALUE"""),1.0)</f>
        <v>1</v>
      </c>
      <c r="Q81" s="69">
        <f>IFERROR(__xludf.DUMMYFUNCTION("""COMPUTED_VALUE"""),0.0)</f>
        <v>0</v>
      </c>
      <c r="R81" s="69">
        <f>IFERROR(__xludf.DUMMYFUNCTION("""COMPUTED_VALUE"""),0.0)</f>
        <v>0</v>
      </c>
      <c r="S81" s="69">
        <f>IFERROR(__xludf.DUMMYFUNCTION("""COMPUTED_VALUE"""),0.0)</f>
        <v>0</v>
      </c>
      <c r="T81" s="69">
        <f>IFERROR(__xludf.DUMMYFUNCTION("""COMPUTED_VALUE"""),26.0)</f>
        <v>26</v>
      </c>
      <c r="U81" s="25"/>
      <c r="V81" s="54"/>
      <c r="W81" s="25">
        <f t="shared" si="39"/>
        <v>44606</v>
      </c>
      <c r="X81" s="69">
        <f t="shared" ref="X81:AC81" si="82">M81</f>
        <v>26</v>
      </c>
      <c r="Y81" s="69">
        <f t="shared" si="82"/>
        <v>25</v>
      </c>
      <c r="Z81" s="69">
        <f t="shared" si="82"/>
        <v>0</v>
      </c>
      <c r="AA81" s="69">
        <f t="shared" si="82"/>
        <v>1</v>
      </c>
      <c r="AB81" s="69">
        <f t="shared" si="82"/>
        <v>0</v>
      </c>
      <c r="AC81" s="69">
        <f t="shared" si="82"/>
        <v>0</v>
      </c>
    </row>
    <row r="82">
      <c r="B82" s="14">
        <f>IFERROR(__xludf.DUMMYFUNCTION("""COMPUTED_VALUE"""),44539.0)</f>
        <v>44539</v>
      </c>
      <c r="C82" s="16">
        <f>IFERROR(__xludf.DUMMYFUNCTION("""COMPUTED_VALUE"""),2.0)</f>
        <v>2</v>
      </c>
      <c r="D82" s="16">
        <f>IFERROR(__xludf.DUMMYFUNCTION("""COMPUTED_VALUE"""),2.0)</f>
        <v>2</v>
      </c>
      <c r="E82" s="16">
        <f>IFERROR(__xludf.DUMMYFUNCTION("""COMPUTED_VALUE"""),0.0)</f>
        <v>0</v>
      </c>
      <c r="F82" s="16">
        <f>IFERROR(__xludf.DUMMYFUNCTION("""COMPUTED_VALUE"""),0.0)</f>
        <v>0</v>
      </c>
      <c r="G82" s="16">
        <f>IFERROR(__xludf.DUMMYFUNCTION("""COMPUTED_VALUE"""),0.0)</f>
        <v>0</v>
      </c>
      <c r="H82" s="16">
        <f>IFERROR(__xludf.DUMMYFUNCTION("""COMPUTED_VALUE"""),0.0)</f>
        <v>0</v>
      </c>
      <c r="I82" s="16">
        <f>IFERROR(__xludf.DUMMYFUNCTION("""COMPUTED_VALUE"""),0.0)</f>
        <v>0</v>
      </c>
      <c r="J82" s="16" t="b">
        <f>IFERROR(__xludf.DUMMYFUNCTION("""COMPUTED_VALUE"""),TRUE)</f>
        <v>1</v>
      </c>
      <c r="K82" s="544"/>
      <c r="L82" s="14">
        <f>IFERROR(__xludf.DUMMYFUNCTION("""COMPUTED_VALUE"""),44609.0)</f>
        <v>44609</v>
      </c>
      <c r="M82" s="69">
        <f>IFERROR(__xludf.DUMMYFUNCTION("""COMPUTED_VALUE"""),26.0)</f>
        <v>26</v>
      </c>
      <c r="N82" s="69">
        <f>IFERROR(__xludf.DUMMYFUNCTION("""COMPUTED_VALUE"""),26.0)</f>
        <v>26</v>
      </c>
      <c r="O82" s="69">
        <f>IFERROR(__xludf.DUMMYFUNCTION("""COMPUTED_VALUE"""),0.0)</f>
        <v>0</v>
      </c>
      <c r="P82" s="69">
        <f>IFERROR(__xludf.DUMMYFUNCTION("""COMPUTED_VALUE"""),0.0)</f>
        <v>0</v>
      </c>
      <c r="Q82" s="69">
        <f>IFERROR(__xludf.DUMMYFUNCTION("""COMPUTED_VALUE"""),0.0)</f>
        <v>0</v>
      </c>
      <c r="R82" s="69">
        <f>IFERROR(__xludf.DUMMYFUNCTION("""COMPUTED_VALUE"""),0.0)</f>
        <v>0</v>
      </c>
      <c r="S82" s="69">
        <f>IFERROR(__xludf.DUMMYFUNCTION("""COMPUTED_VALUE"""),0.0)</f>
        <v>0</v>
      </c>
      <c r="T82" s="69">
        <f>IFERROR(__xludf.DUMMYFUNCTION("""COMPUTED_VALUE"""),26.0)</f>
        <v>26</v>
      </c>
      <c r="U82" s="25"/>
      <c r="V82" s="54"/>
      <c r="W82" s="25">
        <f t="shared" si="39"/>
        <v>44609</v>
      </c>
      <c r="X82" s="69">
        <f t="shared" ref="X82:AC82" si="83">M82</f>
        <v>26</v>
      </c>
      <c r="Y82" s="69">
        <f t="shared" si="83"/>
        <v>26</v>
      </c>
      <c r="Z82" s="69">
        <f t="shared" si="83"/>
        <v>0</v>
      </c>
      <c r="AA82" s="69">
        <f t="shared" si="83"/>
        <v>0</v>
      </c>
      <c r="AB82" s="69">
        <f t="shared" si="83"/>
        <v>0</v>
      </c>
      <c r="AC82" s="69">
        <f t="shared" si="83"/>
        <v>0</v>
      </c>
    </row>
    <row r="83">
      <c r="B83" s="14">
        <f>IFERROR(__xludf.DUMMYFUNCTION("""COMPUTED_VALUE"""),44540.0)</f>
        <v>44540</v>
      </c>
      <c r="C83" s="16">
        <f>IFERROR(__xludf.DUMMYFUNCTION("""COMPUTED_VALUE"""),3.0)</f>
        <v>3</v>
      </c>
      <c r="D83" s="16">
        <f>IFERROR(__xludf.DUMMYFUNCTION("""COMPUTED_VALUE"""),3.0)</f>
        <v>3</v>
      </c>
      <c r="E83" s="16">
        <f>IFERROR(__xludf.DUMMYFUNCTION("""COMPUTED_VALUE"""),0.0)</f>
        <v>0</v>
      </c>
      <c r="F83" s="16">
        <f>IFERROR(__xludf.DUMMYFUNCTION("""COMPUTED_VALUE"""),0.0)</f>
        <v>0</v>
      </c>
      <c r="G83" s="16">
        <f>IFERROR(__xludf.DUMMYFUNCTION("""COMPUTED_VALUE"""),0.0)</f>
        <v>0</v>
      </c>
      <c r="H83" s="16">
        <f>IFERROR(__xludf.DUMMYFUNCTION("""COMPUTED_VALUE"""),0.0)</f>
        <v>0</v>
      </c>
      <c r="I83" s="16">
        <f>IFERROR(__xludf.DUMMYFUNCTION("""COMPUTED_VALUE"""),0.0)</f>
        <v>0</v>
      </c>
      <c r="J83" s="16"/>
      <c r="K83" s="544"/>
      <c r="L83" s="14">
        <f>IFERROR(__xludf.DUMMYFUNCTION("""COMPUTED_VALUE"""),44619.0)</f>
        <v>44619</v>
      </c>
      <c r="M83" s="69">
        <f>IFERROR(__xludf.DUMMYFUNCTION("""COMPUTED_VALUE"""),21.0)</f>
        <v>21</v>
      </c>
      <c r="N83" s="69">
        <f>IFERROR(__xludf.DUMMYFUNCTION("""COMPUTED_VALUE"""),21.0)</f>
        <v>21</v>
      </c>
      <c r="O83" s="69">
        <f>IFERROR(__xludf.DUMMYFUNCTION("""COMPUTED_VALUE"""),0.0)</f>
        <v>0</v>
      </c>
      <c r="P83" s="69">
        <f>IFERROR(__xludf.DUMMYFUNCTION("""COMPUTED_VALUE"""),0.0)</f>
        <v>0</v>
      </c>
      <c r="Q83" s="69">
        <f>IFERROR(__xludf.DUMMYFUNCTION("""COMPUTED_VALUE"""),0.0)</f>
        <v>0</v>
      </c>
      <c r="R83" s="69">
        <f>IFERROR(__xludf.DUMMYFUNCTION("""COMPUTED_VALUE"""),0.0)</f>
        <v>0</v>
      </c>
      <c r="S83" s="69">
        <f>IFERROR(__xludf.DUMMYFUNCTION("""COMPUTED_VALUE"""),0.0)</f>
        <v>0</v>
      </c>
      <c r="T83" s="69">
        <f>IFERROR(__xludf.DUMMYFUNCTION("""COMPUTED_VALUE"""),21.0)</f>
        <v>21</v>
      </c>
      <c r="U83" s="25"/>
      <c r="V83" s="54"/>
      <c r="W83" s="25">
        <f t="shared" si="39"/>
        <v>44619</v>
      </c>
      <c r="X83" s="69">
        <f t="shared" ref="X83:AC83" si="84">M83</f>
        <v>21</v>
      </c>
      <c r="Y83" s="69">
        <f t="shared" si="84"/>
        <v>21</v>
      </c>
      <c r="Z83" s="69">
        <f t="shared" si="84"/>
        <v>0</v>
      </c>
      <c r="AA83" s="69">
        <f t="shared" si="84"/>
        <v>0</v>
      </c>
      <c r="AB83" s="69">
        <f t="shared" si="84"/>
        <v>0</v>
      </c>
      <c r="AC83" s="69">
        <f t="shared" si="84"/>
        <v>0</v>
      </c>
    </row>
    <row r="84">
      <c r="B84" s="14">
        <f>IFERROR(__xludf.DUMMYFUNCTION("""COMPUTED_VALUE"""),44541.0)</f>
        <v>44541</v>
      </c>
      <c r="C84" s="16">
        <f>IFERROR(__xludf.DUMMYFUNCTION("""COMPUTED_VALUE"""),2.0)</f>
        <v>2</v>
      </c>
      <c r="D84" s="16">
        <f>IFERROR(__xludf.DUMMYFUNCTION("""COMPUTED_VALUE"""),2.0)</f>
        <v>2</v>
      </c>
      <c r="E84" s="16">
        <f>IFERROR(__xludf.DUMMYFUNCTION("""COMPUTED_VALUE"""),0.0)</f>
        <v>0</v>
      </c>
      <c r="F84" s="16">
        <f>IFERROR(__xludf.DUMMYFUNCTION("""COMPUTED_VALUE"""),0.0)</f>
        <v>0</v>
      </c>
      <c r="G84" s="16">
        <f>IFERROR(__xludf.DUMMYFUNCTION("""COMPUTED_VALUE"""),0.0)</f>
        <v>0</v>
      </c>
      <c r="H84" s="16">
        <f>IFERROR(__xludf.DUMMYFUNCTION("""COMPUTED_VALUE"""),0.0)</f>
        <v>0</v>
      </c>
      <c r="I84" s="16">
        <f>IFERROR(__xludf.DUMMYFUNCTION("""COMPUTED_VALUE"""),0.0)</f>
        <v>0</v>
      </c>
      <c r="J84" s="16"/>
      <c r="K84" s="544"/>
      <c r="L84" s="14">
        <f>IFERROR(__xludf.DUMMYFUNCTION("""COMPUTED_VALUE"""),44621.0)</f>
        <v>44621</v>
      </c>
      <c r="M84" s="69">
        <f>IFERROR(__xludf.DUMMYFUNCTION("""COMPUTED_VALUE"""),1.0)</f>
        <v>1</v>
      </c>
      <c r="N84" s="69">
        <f>IFERROR(__xludf.DUMMYFUNCTION("""COMPUTED_VALUE"""),1.0)</f>
        <v>1</v>
      </c>
      <c r="O84" s="69">
        <f>IFERROR(__xludf.DUMMYFUNCTION("""COMPUTED_VALUE"""),0.0)</f>
        <v>0</v>
      </c>
      <c r="P84" s="69">
        <f>IFERROR(__xludf.DUMMYFUNCTION("""COMPUTED_VALUE"""),0.0)</f>
        <v>0</v>
      </c>
      <c r="Q84" s="69">
        <f>IFERROR(__xludf.DUMMYFUNCTION("""COMPUTED_VALUE"""),0.0)</f>
        <v>0</v>
      </c>
      <c r="R84" s="69">
        <f>IFERROR(__xludf.DUMMYFUNCTION("""COMPUTED_VALUE"""),0.0)</f>
        <v>0</v>
      </c>
      <c r="S84" s="69">
        <f>IFERROR(__xludf.DUMMYFUNCTION("""COMPUTED_VALUE"""),0.0)</f>
        <v>0</v>
      </c>
      <c r="T84" s="69">
        <f>IFERROR(__xludf.DUMMYFUNCTION("""COMPUTED_VALUE"""),1.0)</f>
        <v>1</v>
      </c>
      <c r="U84" s="25"/>
      <c r="V84" s="54"/>
      <c r="W84" s="25">
        <f t="shared" si="39"/>
        <v>44621</v>
      </c>
      <c r="X84" s="69">
        <f t="shared" ref="X84:AC84" si="85">M84</f>
        <v>1</v>
      </c>
      <c r="Y84" s="69">
        <f t="shared" si="85"/>
        <v>1</v>
      </c>
      <c r="Z84" s="69">
        <f t="shared" si="85"/>
        <v>0</v>
      </c>
      <c r="AA84" s="69">
        <f t="shared" si="85"/>
        <v>0</v>
      </c>
      <c r="AB84" s="69">
        <f t="shared" si="85"/>
        <v>0</v>
      </c>
      <c r="AC84" s="69">
        <f t="shared" si="85"/>
        <v>0</v>
      </c>
    </row>
    <row r="85">
      <c r="B85" s="14">
        <f>IFERROR(__xludf.DUMMYFUNCTION("""COMPUTED_VALUE"""),44543.0)</f>
        <v>44543</v>
      </c>
      <c r="C85" s="16">
        <f>IFERROR(__xludf.DUMMYFUNCTION("""COMPUTED_VALUE"""),3.0)</f>
        <v>3</v>
      </c>
      <c r="D85" s="16">
        <f>IFERROR(__xludf.DUMMYFUNCTION("""COMPUTED_VALUE"""),3.0)</f>
        <v>3</v>
      </c>
      <c r="E85" s="16">
        <f>IFERROR(__xludf.DUMMYFUNCTION("""COMPUTED_VALUE"""),0.0)</f>
        <v>0</v>
      </c>
      <c r="F85" s="16">
        <f>IFERROR(__xludf.DUMMYFUNCTION("""COMPUTED_VALUE"""),0.0)</f>
        <v>0</v>
      </c>
      <c r="G85" s="16">
        <f>IFERROR(__xludf.DUMMYFUNCTION("""COMPUTED_VALUE"""),0.0)</f>
        <v>0</v>
      </c>
      <c r="H85" s="16">
        <f>IFERROR(__xludf.DUMMYFUNCTION("""COMPUTED_VALUE"""),0.0)</f>
        <v>0</v>
      </c>
      <c r="I85" s="16">
        <f>IFERROR(__xludf.DUMMYFUNCTION("""COMPUTED_VALUE"""),0.0)</f>
        <v>0</v>
      </c>
      <c r="J85" s="16" t="b">
        <f>IFERROR(__xludf.DUMMYFUNCTION("""COMPUTED_VALUE"""),TRUE)</f>
        <v>1</v>
      </c>
      <c r="K85" s="544"/>
      <c r="L85" s="14">
        <f>IFERROR(__xludf.DUMMYFUNCTION("""COMPUTED_VALUE"""),44623.0)</f>
        <v>44623</v>
      </c>
      <c r="M85" s="69">
        <f>IFERROR(__xludf.DUMMYFUNCTION("""COMPUTED_VALUE"""),23.0)</f>
        <v>23</v>
      </c>
      <c r="N85" s="69">
        <f>IFERROR(__xludf.DUMMYFUNCTION("""COMPUTED_VALUE"""),23.0)</f>
        <v>23</v>
      </c>
      <c r="O85" s="69">
        <f>IFERROR(__xludf.DUMMYFUNCTION("""COMPUTED_VALUE"""),0.0)</f>
        <v>0</v>
      </c>
      <c r="P85" s="69">
        <f>IFERROR(__xludf.DUMMYFUNCTION("""COMPUTED_VALUE"""),0.0)</f>
        <v>0</v>
      </c>
      <c r="Q85" s="69">
        <f>IFERROR(__xludf.DUMMYFUNCTION("""COMPUTED_VALUE"""),0.0)</f>
        <v>0</v>
      </c>
      <c r="R85" s="69">
        <f>IFERROR(__xludf.DUMMYFUNCTION("""COMPUTED_VALUE"""),0.0)</f>
        <v>0</v>
      </c>
      <c r="S85" s="69">
        <f>IFERROR(__xludf.DUMMYFUNCTION("""COMPUTED_VALUE"""),0.0)</f>
        <v>0</v>
      </c>
      <c r="T85" s="69">
        <f>IFERROR(__xludf.DUMMYFUNCTION("""COMPUTED_VALUE"""),23.0)</f>
        <v>23</v>
      </c>
      <c r="U85" s="25"/>
      <c r="V85" s="54"/>
      <c r="W85" s="25">
        <f t="shared" si="39"/>
        <v>44623</v>
      </c>
      <c r="X85" s="69">
        <f t="shared" ref="X85:AC85" si="86">M85</f>
        <v>23</v>
      </c>
      <c r="Y85" s="69">
        <f t="shared" si="86"/>
        <v>23</v>
      </c>
      <c r="Z85" s="69">
        <f t="shared" si="86"/>
        <v>0</v>
      </c>
      <c r="AA85" s="69">
        <f t="shared" si="86"/>
        <v>0</v>
      </c>
      <c r="AB85" s="69">
        <f t="shared" si="86"/>
        <v>0</v>
      </c>
      <c r="AC85" s="69">
        <f t="shared" si="86"/>
        <v>0</v>
      </c>
    </row>
    <row r="86">
      <c r="B86" s="14">
        <f>IFERROR(__xludf.DUMMYFUNCTION("""COMPUTED_VALUE"""),44544.0)</f>
        <v>44544</v>
      </c>
      <c r="C86" s="16">
        <f>IFERROR(__xludf.DUMMYFUNCTION("""COMPUTED_VALUE"""),7.0)</f>
        <v>7</v>
      </c>
      <c r="D86" s="16">
        <f>IFERROR(__xludf.DUMMYFUNCTION("""COMPUTED_VALUE"""),7.0)</f>
        <v>7</v>
      </c>
      <c r="E86" s="16">
        <f>IFERROR(__xludf.DUMMYFUNCTION("""COMPUTED_VALUE"""),0.0)</f>
        <v>0</v>
      </c>
      <c r="F86" s="16">
        <f>IFERROR(__xludf.DUMMYFUNCTION("""COMPUTED_VALUE"""),0.0)</f>
        <v>0</v>
      </c>
      <c r="G86" s="16">
        <f>IFERROR(__xludf.DUMMYFUNCTION("""COMPUTED_VALUE"""),0.0)</f>
        <v>0</v>
      </c>
      <c r="H86" s="16">
        <f>IFERROR(__xludf.DUMMYFUNCTION("""COMPUTED_VALUE"""),0.0)</f>
        <v>0</v>
      </c>
      <c r="I86" s="16">
        <f>IFERROR(__xludf.DUMMYFUNCTION("""COMPUTED_VALUE"""),0.0)</f>
        <v>0</v>
      </c>
      <c r="J86" s="16"/>
      <c r="K86" s="544"/>
      <c r="L86" s="14">
        <f>IFERROR(__xludf.DUMMYFUNCTION("""COMPUTED_VALUE"""),44627.0)</f>
        <v>44627</v>
      </c>
      <c r="M86" s="69">
        <f>IFERROR(__xludf.DUMMYFUNCTION("""COMPUTED_VALUE"""),21.0)</f>
        <v>21</v>
      </c>
      <c r="N86" s="69">
        <f>IFERROR(__xludf.DUMMYFUNCTION("""COMPUTED_VALUE"""),21.0)</f>
        <v>21</v>
      </c>
      <c r="O86" s="69">
        <f>IFERROR(__xludf.DUMMYFUNCTION("""COMPUTED_VALUE"""),0.0)</f>
        <v>0</v>
      </c>
      <c r="P86" s="69">
        <f>IFERROR(__xludf.DUMMYFUNCTION("""COMPUTED_VALUE"""),0.0)</f>
        <v>0</v>
      </c>
      <c r="Q86" s="69">
        <f>IFERROR(__xludf.DUMMYFUNCTION("""COMPUTED_VALUE"""),0.0)</f>
        <v>0</v>
      </c>
      <c r="R86" s="69">
        <f>IFERROR(__xludf.DUMMYFUNCTION("""COMPUTED_VALUE"""),0.0)</f>
        <v>0</v>
      </c>
      <c r="S86" s="69">
        <f>IFERROR(__xludf.DUMMYFUNCTION("""COMPUTED_VALUE"""),0.0)</f>
        <v>0</v>
      </c>
      <c r="T86" s="69">
        <f>IFERROR(__xludf.DUMMYFUNCTION("""COMPUTED_VALUE"""),21.0)</f>
        <v>21</v>
      </c>
      <c r="U86" s="25"/>
      <c r="V86" s="54"/>
      <c r="W86" s="25">
        <f t="shared" si="39"/>
        <v>44627</v>
      </c>
      <c r="X86" s="69">
        <f t="shared" ref="X86:AC86" si="87">M86</f>
        <v>21</v>
      </c>
      <c r="Y86" s="69">
        <f t="shared" si="87"/>
        <v>21</v>
      </c>
      <c r="Z86" s="69">
        <f t="shared" si="87"/>
        <v>0</v>
      </c>
      <c r="AA86" s="69">
        <f t="shared" si="87"/>
        <v>0</v>
      </c>
      <c r="AB86" s="69">
        <f t="shared" si="87"/>
        <v>0</v>
      </c>
      <c r="AC86" s="69">
        <f t="shared" si="87"/>
        <v>0</v>
      </c>
    </row>
    <row r="87">
      <c r="B87" s="14">
        <f>IFERROR(__xludf.DUMMYFUNCTION("""COMPUTED_VALUE"""),44546.0)</f>
        <v>44546</v>
      </c>
      <c r="C87" s="16">
        <f>IFERROR(__xludf.DUMMYFUNCTION("""COMPUTED_VALUE"""),2.0)</f>
        <v>2</v>
      </c>
      <c r="D87" s="16">
        <f>IFERROR(__xludf.DUMMYFUNCTION("""COMPUTED_VALUE"""),2.0)</f>
        <v>2</v>
      </c>
      <c r="E87" s="16">
        <f>IFERROR(__xludf.DUMMYFUNCTION("""COMPUTED_VALUE"""),0.0)</f>
        <v>0</v>
      </c>
      <c r="F87" s="16">
        <f>IFERROR(__xludf.DUMMYFUNCTION("""COMPUTED_VALUE"""),0.0)</f>
        <v>0</v>
      </c>
      <c r="G87" s="16">
        <f>IFERROR(__xludf.DUMMYFUNCTION("""COMPUTED_VALUE"""),0.0)</f>
        <v>0</v>
      </c>
      <c r="H87" s="16">
        <f>IFERROR(__xludf.DUMMYFUNCTION("""COMPUTED_VALUE"""),0.0)</f>
        <v>0</v>
      </c>
      <c r="I87" s="16">
        <f>IFERROR(__xludf.DUMMYFUNCTION("""COMPUTED_VALUE"""),0.0)</f>
        <v>0</v>
      </c>
      <c r="J87" s="16" t="b">
        <f>IFERROR(__xludf.DUMMYFUNCTION("""COMPUTED_VALUE"""),TRUE)</f>
        <v>1</v>
      </c>
      <c r="K87" s="544"/>
      <c r="L87" s="14">
        <f>IFERROR(__xludf.DUMMYFUNCTION("""COMPUTED_VALUE"""),44630.0)</f>
        <v>44630</v>
      </c>
      <c r="M87" s="69">
        <f>IFERROR(__xludf.DUMMYFUNCTION("""COMPUTED_VALUE"""),21.0)</f>
        <v>21</v>
      </c>
      <c r="N87" s="69">
        <f>IFERROR(__xludf.DUMMYFUNCTION("""COMPUTED_VALUE"""),21.0)</f>
        <v>21</v>
      </c>
      <c r="O87" s="69">
        <f>IFERROR(__xludf.DUMMYFUNCTION("""COMPUTED_VALUE"""),0.0)</f>
        <v>0</v>
      </c>
      <c r="P87" s="69">
        <f>IFERROR(__xludf.DUMMYFUNCTION("""COMPUTED_VALUE"""),0.0)</f>
        <v>0</v>
      </c>
      <c r="Q87" s="69">
        <f>IFERROR(__xludf.DUMMYFUNCTION("""COMPUTED_VALUE"""),0.0)</f>
        <v>0</v>
      </c>
      <c r="R87" s="69">
        <f>IFERROR(__xludf.DUMMYFUNCTION("""COMPUTED_VALUE"""),0.0)</f>
        <v>0</v>
      </c>
      <c r="S87" s="69">
        <f>IFERROR(__xludf.DUMMYFUNCTION("""COMPUTED_VALUE"""),0.0)</f>
        <v>0</v>
      </c>
      <c r="T87" s="69">
        <f>IFERROR(__xludf.DUMMYFUNCTION("""COMPUTED_VALUE"""),21.0)</f>
        <v>21</v>
      </c>
      <c r="U87" s="25"/>
      <c r="V87" s="54"/>
      <c r="W87" s="25">
        <f t="shared" si="39"/>
        <v>44630</v>
      </c>
      <c r="X87" s="69">
        <f t="shared" ref="X87:AC87" si="88">M87</f>
        <v>21</v>
      </c>
      <c r="Y87" s="69">
        <f t="shared" si="88"/>
        <v>21</v>
      </c>
      <c r="Z87" s="69">
        <f t="shared" si="88"/>
        <v>0</v>
      </c>
      <c r="AA87" s="69">
        <f t="shared" si="88"/>
        <v>0</v>
      </c>
      <c r="AB87" s="69">
        <f t="shared" si="88"/>
        <v>0</v>
      </c>
      <c r="AC87" s="69">
        <f t="shared" si="88"/>
        <v>0</v>
      </c>
    </row>
    <row r="88">
      <c r="B88" s="14">
        <f>IFERROR(__xludf.DUMMYFUNCTION("""COMPUTED_VALUE"""),44548.0)</f>
        <v>44548</v>
      </c>
      <c r="C88" s="16">
        <f>IFERROR(__xludf.DUMMYFUNCTION("""COMPUTED_VALUE"""),6.0)</f>
        <v>6</v>
      </c>
      <c r="D88" s="16">
        <f>IFERROR(__xludf.DUMMYFUNCTION("""COMPUTED_VALUE"""),4.0)</f>
        <v>4</v>
      </c>
      <c r="E88" s="16">
        <f>IFERROR(__xludf.DUMMYFUNCTION("""COMPUTED_VALUE"""),2.0)</f>
        <v>2</v>
      </c>
      <c r="F88" s="16">
        <f>IFERROR(__xludf.DUMMYFUNCTION("""COMPUTED_VALUE"""),0.0)</f>
        <v>0</v>
      </c>
      <c r="G88" s="16">
        <f>IFERROR(__xludf.DUMMYFUNCTION("""COMPUTED_VALUE"""),0.0)</f>
        <v>0</v>
      </c>
      <c r="H88" s="16">
        <f>IFERROR(__xludf.DUMMYFUNCTION("""COMPUTED_VALUE"""),0.0)</f>
        <v>0</v>
      </c>
      <c r="I88" s="16">
        <f>IFERROR(__xludf.DUMMYFUNCTION("""COMPUTED_VALUE"""),0.0)</f>
        <v>0</v>
      </c>
      <c r="J88" s="16"/>
      <c r="K88" s="544"/>
      <c r="L88" s="14">
        <f>IFERROR(__xludf.DUMMYFUNCTION("""COMPUTED_VALUE"""),44632.0)</f>
        <v>44632</v>
      </c>
      <c r="M88" s="69">
        <f>IFERROR(__xludf.DUMMYFUNCTION("""COMPUTED_VALUE"""),2.0)</f>
        <v>2</v>
      </c>
      <c r="N88" s="69">
        <f>IFERROR(__xludf.DUMMYFUNCTION("""COMPUTED_VALUE"""),2.0)</f>
        <v>2</v>
      </c>
      <c r="O88" s="69">
        <f>IFERROR(__xludf.DUMMYFUNCTION("""COMPUTED_VALUE"""),0.0)</f>
        <v>0</v>
      </c>
      <c r="P88" s="69">
        <f>IFERROR(__xludf.DUMMYFUNCTION("""COMPUTED_VALUE"""),0.0)</f>
        <v>0</v>
      </c>
      <c r="Q88" s="69">
        <f>IFERROR(__xludf.DUMMYFUNCTION("""COMPUTED_VALUE"""),0.0)</f>
        <v>0</v>
      </c>
      <c r="R88" s="69">
        <f>IFERROR(__xludf.DUMMYFUNCTION("""COMPUTED_VALUE"""),0.0)</f>
        <v>0</v>
      </c>
      <c r="S88" s="69">
        <f>IFERROR(__xludf.DUMMYFUNCTION("""COMPUTED_VALUE"""),0.0)</f>
        <v>0</v>
      </c>
      <c r="T88" s="69">
        <f>IFERROR(__xludf.DUMMYFUNCTION("""COMPUTED_VALUE"""),2.0)</f>
        <v>2</v>
      </c>
      <c r="U88" s="25"/>
      <c r="V88" s="54"/>
      <c r="W88" s="25">
        <f t="shared" si="39"/>
        <v>44632</v>
      </c>
      <c r="X88" s="69">
        <f t="shared" ref="X88:AC88" si="89">M88</f>
        <v>2</v>
      </c>
      <c r="Y88" s="69">
        <f t="shared" si="89"/>
        <v>2</v>
      </c>
      <c r="Z88" s="69">
        <f t="shared" si="89"/>
        <v>0</v>
      </c>
      <c r="AA88" s="69">
        <f t="shared" si="89"/>
        <v>0</v>
      </c>
      <c r="AB88" s="69">
        <f t="shared" si="89"/>
        <v>0</v>
      </c>
      <c r="AC88" s="69">
        <f t="shared" si="89"/>
        <v>0</v>
      </c>
    </row>
    <row r="89">
      <c r="B89" s="14">
        <f>IFERROR(__xludf.DUMMYFUNCTION("""COMPUTED_VALUE"""),44549.0)</f>
        <v>44549</v>
      </c>
      <c r="C89" s="16">
        <f>IFERROR(__xludf.DUMMYFUNCTION("""COMPUTED_VALUE"""),4.0)</f>
        <v>4</v>
      </c>
      <c r="D89" s="16">
        <f>IFERROR(__xludf.DUMMYFUNCTION("""COMPUTED_VALUE"""),4.0)</f>
        <v>4</v>
      </c>
      <c r="E89" s="16">
        <f>IFERROR(__xludf.DUMMYFUNCTION("""COMPUTED_VALUE"""),0.0)</f>
        <v>0</v>
      </c>
      <c r="F89" s="16">
        <f>IFERROR(__xludf.DUMMYFUNCTION("""COMPUTED_VALUE"""),0.0)</f>
        <v>0</v>
      </c>
      <c r="G89" s="16">
        <f>IFERROR(__xludf.DUMMYFUNCTION("""COMPUTED_VALUE"""),0.0)</f>
        <v>0</v>
      </c>
      <c r="H89" s="16">
        <f>IFERROR(__xludf.DUMMYFUNCTION("""COMPUTED_VALUE"""),0.0)</f>
        <v>0</v>
      </c>
      <c r="I89" s="16">
        <f>IFERROR(__xludf.DUMMYFUNCTION("""COMPUTED_VALUE"""),0.0)</f>
        <v>0</v>
      </c>
      <c r="J89" s="16" t="b">
        <f>IFERROR(__xludf.DUMMYFUNCTION("""COMPUTED_VALUE"""),TRUE)</f>
        <v>1</v>
      </c>
      <c r="K89" s="544"/>
      <c r="L89" s="14">
        <f>IFERROR(__xludf.DUMMYFUNCTION("""COMPUTED_VALUE"""),44634.0)</f>
        <v>44634</v>
      </c>
      <c r="M89" s="69">
        <f>IFERROR(__xludf.DUMMYFUNCTION("""COMPUTED_VALUE"""),21.0)</f>
        <v>21</v>
      </c>
      <c r="N89" s="69">
        <f>IFERROR(__xludf.DUMMYFUNCTION("""COMPUTED_VALUE"""),21.0)</f>
        <v>21</v>
      </c>
      <c r="O89" s="69">
        <f>IFERROR(__xludf.DUMMYFUNCTION("""COMPUTED_VALUE"""),0.0)</f>
        <v>0</v>
      </c>
      <c r="P89" s="69">
        <f>IFERROR(__xludf.DUMMYFUNCTION("""COMPUTED_VALUE"""),0.0)</f>
        <v>0</v>
      </c>
      <c r="Q89" s="69">
        <f>IFERROR(__xludf.DUMMYFUNCTION("""COMPUTED_VALUE"""),0.0)</f>
        <v>0</v>
      </c>
      <c r="R89" s="69">
        <f>IFERROR(__xludf.DUMMYFUNCTION("""COMPUTED_VALUE"""),0.0)</f>
        <v>0</v>
      </c>
      <c r="S89" s="69">
        <f>IFERROR(__xludf.DUMMYFUNCTION("""COMPUTED_VALUE"""),0.0)</f>
        <v>0</v>
      </c>
      <c r="T89" s="69">
        <f>IFERROR(__xludf.DUMMYFUNCTION("""COMPUTED_VALUE"""),21.0)</f>
        <v>21</v>
      </c>
      <c r="U89" s="25"/>
      <c r="V89" s="54"/>
      <c r="W89" s="25">
        <f t="shared" si="39"/>
        <v>44634</v>
      </c>
      <c r="X89" s="69">
        <f t="shared" ref="X89:AC89" si="90">M89</f>
        <v>21</v>
      </c>
      <c r="Y89" s="69">
        <f t="shared" si="90"/>
        <v>21</v>
      </c>
      <c r="Z89" s="69">
        <f t="shared" si="90"/>
        <v>0</v>
      </c>
      <c r="AA89" s="69">
        <f t="shared" si="90"/>
        <v>0</v>
      </c>
      <c r="AB89" s="69">
        <f t="shared" si="90"/>
        <v>0</v>
      </c>
      <c r="AC89" s="69">
        <f t="shared" si="90"/>
        <v>0</v>
      </c>
    </row>
    <row r="90">
      <c r="B90" s="14">
        <f>IFERROR(__xludf.DUMMYFUNCTION("""COMPUTED_VALUE"""),44550.0)</f>
        <v>44550</v>
      </c>
      <c r="C90" s="16">
        <f>IFERROR(__xludf.DUMMYFUNCTION("""COMPUTED_VALUE"""),5.0)</f>
        <v>5</v>
      </c>
      <c r="D90" s="16">
        <f>IFERROR(__xludf.DUMMYFUNCTION("""COMPUTED_VALUE"""),5.0)</f>
        <v>5</v>
      </c>
      <c r="E90" s="16">
        <f>IFERROR(__xludf.DUMMYFUNCTION("""COMPUTED_VALUE"""),0.0)</f>
        <v>0</v>
      </c>
      <c r="F90" s="16">
        <f>IFERROR(__xludf.DUMMYFUNCTION("""COMPUTED_VALUE"""),0.0)</f>
        <v>0</v>
      </c>
      <c r="G90" s="16">
        <f>IFERROR(__xludf.DUMMYFUNCTION("""COMPUTED_VALUE"""),0.0)</f>
        <v>0</v>
      </c>
      <c r="H90" s="16">
        <f>IFERROR(__xludf.DUMMYFUNCTION("""COMPUTED_VALUE"""),0.0)</f>
        <v>0</v>
      </c>
      <c r="I90" s="16">
        <f>IFERROR(__xludf.DUMMYFUNCTION("""COMPUTED_VALUE"""),0.0)</f>
        <v>0</v>
      </c>
      <c r="J90" s="16" t="b">
        <f>IFERROR(__xludf.DUMMYFUNCTION("""COMPUTED_VALUE"""),TRUE)</f>
        <v>1</v>
      </c>
      <c r="K90" s="544"/>
      <c r="L90" s="14">
        <f>IFERROR(__xludf.DUMMYFUNCTION("""COMPUTED_VALUE"""),44637.0)</f>
        <v>44637</v>
      </c>
      <c r="M90" s="69">
        <f>IFERROR(__xludf.DUMMYFUNCTION("""COMPUTED_VALUE"""),15.0)</f>
        <v>15</v>
      </c>
      <c r="N90" s="69">
        <f>IFERROR(__xludf.DUMMYFUNCTION("""COMPUTED_VALUE"""),15.0)</f>
        <v>15</v>
      </c>
      <c r="O90" s="69">
        <f>IFERROR(__xludf.DUMMYFUNCTION("""COMPUTED_VALUE"""),0.0)</f>
        <v>0</v>
      </c>
      <c r="P90" s="69">
        <f>IFERROR(__xludf.DUMMYFUNCTION("""COMPUTED_VALUE"""),0.0)</f>
        <v>0</v>
      </c>
      <c r="Q90" s="69">
        <f>IFERROR(__xludf.DUMMYFUNCTION("""COMPUTED_VALUE"""),0.0)</f>
        <v>0</v>
      </c>
      <c r="R90" s="69">
        <f>IFERROR(__xludf.DUMMYFUNCTION("""COMPUTED_VALUE"""),0.0)</f>
        <v>0</v>
      </c>
      <c r="S90" s="69">
        <f>IFERROR(__xludf.DUMMYFUNCTION("""COMPUTED_VALUE"""),0.0)</f>
        <v>0</v>
      </c>
      <c r="T90" s="69">
        <f>IFERROR(__xludf.DUMMYFUNCTION("""COMPUTED_VALUE"""),15.0)</f>
        <v>15</v>
      </c>
      <c r="U90" s="25"/>
      <c r="V90" s="54"/>
      <c r="W90" s="25">
        <f t="shared" si="39"/>
        <v>44637</v>
      </c>
      <c r="X90" s="69">
        <f t="shared" ref="X90:AC90" si="91">M90</f>
        <v>15</v>
      </c>
      <c r="Y90" s="69">
        <f t="shared" si="91"/>
        <v>15</v>
      </c>
      <c r="Z90" s="69">
        <f t="shared" si="91"/>
        <v>0</v>
      </c>
      <c r="AA90" s="69">
        <f t="shared" si="91"/>
        <v>0</v>
      </c>
      <c r="AB90" s="69">
        <f t="shared" si="91"/>
        <v>0</v>
      </c>
      <c r="AC90" s="69">
        <f t="shared" si="91"/>
        <v>0</v>
      </c>
    </row>
    <row r="91">
      <c r="B91" s="14">
        <f>IFERROR(__xludf.DUMMYFUNCTION("""COMPUTED_VALUE"""),44551.0)</f>
        <v>44551</v>
      </c>
      <c r="C91" s="16">
        <f>IFERROR(__xludf.DUMMYFUNCTION("""COMPUTED_VALUE"""),6.0)</f>
        <v>6</v>
      </c>
      <c r="D91" s="16">
        <f>IFERROR(__xludf.DUMMYFUNCTION("""COMPUTED_VALUE"""),6.0)</f>
        <v>6</v>
      </c>
      <c r="E91" s="16">
        <f>IFERROR(__xludf.DUMMYFUNCTION("""COMPUTED_VALUE"""),0.0)</f>
        <v>0</v>
      </c>
      <c r="F91" s="16">
        <f>IFERROR(__xludf.DUMMYFUNCTION("""COMPUTED_VALUE"""),0.0)</f>
        <v>0</v>
      </c>
      <c r="G91" s="16">
        <f>IFERROR(__xludf.DUMMYFUNCTION("""COMPUTED_VALUE"""),0.0)</f>
        <v>0</v>
      </c>
      <c r="H91" s="16">
        <f>IFERROR(__xludf.DUMMYFUNCTION("""COMPUTED_VALUE"""),0.0)</f>
        <v>0</v>
      </c>
      <c r="I91" s="16">
        <f>IFERROR(__xludf.DUMMYFUNCTION("""COMPUTED_VALUE"""),0.0)</f>
        <v>0</v>
      </c>
      <c r="J91" s="16" t="b">
        <f>IFERROR(__xludf.DUMMYFUNCTION("""COMPUTED_VALUE"""),TRUE)</f>
        <v>1</v>
      </c>
      <c r="K91" s="544"/>
      <c r="L91" s="14">
        <f>IFERROR(__xludf.DUMMYFUNCTION("""COMPUTED_VALUE"""),44641.0)</f>
        <v>44641</v>
      </c>
      <c r="M91" s="69">
        <f>IFERROR(__xludf.DUMMYFUNCTION("""COMPUTED_VALUE"""),22.0)</f>
        <v>22</v>
      </c>
      <c r="N91" s="69">
        <f>IFERROR(__xludf.DUMMYFUNCTION("""COMPUTED_VALUE"""),22.0)</f>
        <v>22</v>
      </c>
      <c r="O91" s="69">
        <f>IFERROR(__xludf.DUMMYFUNCTION("""COMPUTED_VALUE"""),0.0)</f>
        <v>0</v>
      </c>
      <c r="P91" s="69">
        <f>IFERROR(__xludf.DUMMYFUNCTION("""COMPUTED_VALUE"""),0.0)</f>
        <v>0</v>
      </c>
      <c r="Q91" s="69">
        <f>IFERROR(__xludf.DUMMYFUNCTION("""COMPUTED_VALUE"""),0.0)</f>
        <v>0</v>
      </c>
      <c r="R91" s="69">
        <f>IFERROR(__xludf.DUMMYFUNCTION("""COMPUTED_VALUE"""),0.0)</f>
        <v>0</v>
      </c>
      <c r="S91" s="69">
        <f>IFERROR(__xludf.DUMMYFUNCTION("""COMPUTED_VALUE"""),0.0)</f>
        <v>0</v>
      </c>
      <c r="T91" s="69">
        <f>IFERROR(__xludf.DUMMYFUNCTION("""COMPUTED_VALUE"""),22.0)</f>
        <v>22</v>
      </c>
      <c r="U91" s="25"/>
      <c r="V91" s="54"/>
      <c r="W91" s="25">
        <f t="shared" si="39"/>
        <v>44641</v>
      </c>
      <c r="X91" s="69">
        <f t="shared" ref="X91:AC91" si="92">M91</f>
        <v>22</v>
      </c>
      <c r="Y91" s="69">
        <f t="shared" si="92"/>
        <v>22</v>
      </c>
      <c r="Z91" s="69">
        <f t="shared" si="92"/>
        <v>0</v>
      </c>
      <c r="AA91" s="69">
        <f t="shared" si="92"/>
        <v>0</v>
      </c>
      <c r="AB91" s="69">
        <f t="shared" si="92"/>
        <v>0</v>
      </c>
      <c r="AC91" s="69">
        <f t="shared" si="92"/>
        <v>0</v>
      </c>
    </row>
    <row r="92">
      <c r="B92" s="14">
        <f>IFERROR(__xludf.DUMMYFUNCTION("""COMPUTED_VALUE"""),44552.0)</f>
        <v>44552</v>
      </c>
      <c r="C92" s="16">
        <f>IFERROR(__xludf.DUMMYFUNCTION("""COMPUTED_VALUE"""),7.0)</f>
        <v>7</v>
      </c>
      <c r="D92" s="16">
        <f>IFERROR(__xludf.DUMMYFUNCTION("""COMPUTED_VALUE"""),6.0)</f>
        <v>6</v>
      </c>
      <c r="E92" s="16">
        <f>IFERROR(__xludf.DUMMYFUNCTION("""COMPUTED_VALUE"""),1.0)</f>
        <v>1</v>
      </c>
      <c r="F92" s="16">
        <f>IFERROR(__xludf.DUMMYFUNCTION("""COMPUTED_VALUE"""),0.0)</f>
        <v>0</v>
      </c>
      <c r="G92" s="16">
        <f>IFERROR(__xludf.DUMMYFUNCTION("""COMPUTED_VALUE"""),0.0)</f>
        <v>0</v>
      </c>
      <c r="H92" s="16">
        <f>IFERROR(__xludf.DUMMYFUNCTION("""COMPUTED_VALUE"""),0.0)</f>
        <v>0</v>
      </c>
      <c r="I92" s="16">
        <f>IFERROR(__xludf.DUMMYFUNCTION("""COMPUTED_VALUE"""),0.0)</f>
        <v>0</v>
      </c>
      <c r="J92" s="16" t="b">
        <f>IFERROR(__xludf.DUMMYFUNCTION("""COMPUTED_VALUE"""),TRUE)</f>
        <v>1</v>
      </c>
      <c r="K92" s="544"/>
      <c r="L92" s="14">
        <f>IFERROR(__xludf.DUMMYFUNCTION("""COMPUTED_VALUE"""),44642.0)</f>
        <v>44642</v>
      </c>
      <c r="M92" s="69">
        <f>IFERROR(__xludf.DUMMYFUNCTION("""COMPUTED_VALUE"""),1.0)</f>
        <v>1</v>
      </c>
      <c r="N92" s="69">
        <f>IFERROR(__xludf.DUMMYFUNCTION("""COMPUTED_VALUE"""),1.0)</f>
        <v>1</v>
      </c>
      <c r="O92" s="69">
        <f>IFERROR(__xludf.DUMMYFUNCTION("""COMPUTED_VALUE"""),0.0)</f>
        <v>0</v>
      </c>
      <c r="P92" s="69">
        <f>IFERROR(__xludf.DUMMYFUNCTION("""COMPUTED_VALUE"""),0.0)</f>
        <v>0</v>
      </c>
      <c r="Q92" s="69">
        <f>IFERROR(__xludf.DUMMYFUNCTION("""COMPUTED_VALUE"""),0.0)</f>
        <v>0</v>
      </c>
      <c r="R92" s="69">
        <f>IFERROR(__xludf.DUMMYFUNCTION("""COMPUTED_VALUE"""),0.0)</f>
        <v>0</v>
      </c>
      <c r="S92" s="69">
        <f>IFERROR(__xludf.DUMMYFUNCTION("""COMPUTED_VALUE"""),0.0)</f>
        <v>0</v>
      </c>
      <c r="T92" s="69">
        <f>IFERROR(__xludf.DUMMYFUNCTION("""COMPUTED_VALUE"""),1.0)</f>
        <v>1</v>
      </c>
      <c r="U92" s="25"/>
      <c r="V92" s="54"/>
      <c r="W92" s="25">
        <f t="shared" si="39"/>
        <v>44642</v>
      </c>
      <c r="X92" s="69">
        <f t="shared" ref="X92:AC92" si="93">M92</f>
        <v>1</v>
      </c>
      <c r="Y92" s="69">
        <f t="shared" si="93"/>
        <v>1</v>
      </c>
      <c r="Z92" s="69">
        <f t="shared" si="93"/>
        <v>0</v>
      </c>
      <c r="AA92" s="69">
        <f t="shared" si="93"/>
        <v>0</v>
      </c>
      <c r="AB92" s="69">
        <f t="shared" si="93"/>
        <v>0</v>
      </c>
      <c r="AC92" s="69">
        <f t="shared" si="93"/>
        <v>0</v>
      </c>
    </row>
    <row r="93">
      <c r="B93" s="14">
        <f>IFERROR(__xludf.DUMMYFUNCTION("""COMPUTED_VALUE"""),44553.0)</f>
        <v>44553</v>
      </c>
      <c r="C93" s="16">
        <f>IFERROR(__xludf.DUMMYFUNCTION("""COMPUTED_VALUE"""),4.0)</f>
        <v>4</v>
      </c>
      <c r="D93" s="16">
        <f>IFERROR(__xludf.DUMMYFUNCTION("""COMPUTED_VALUE"""),3.0)</f>
        <v>3</v>
      </c>
      <c r="E93" s="16">
        <f>IFERROR(__xludf.DUMMYFUNCTION("""COMPUTED_VALUE"""),1.0)</f>
        <v>1</v>
      </c>
      <c r="F93" s="16">
        <f>IFERROR(__xludf.DUMMYFUNCTION("""COMPUTED_VALUE"""),0.0)</f>
        <v>0</v>
      </c>
      <c r="G93" s="16">
        <f>IFERROR(__xludf.DUMMYFUNCTION("""COMPUTED_VALUE"""),0.0)</f>
        <v>0</v>
      </c>
      <c r="H93" s="16">
        <f>IFERROR(__xludf.DUMMYFUNCTION("""COMPUTED_VALUE"""),0.0)</f>
        <v>0</v>
      </c>
      <c r="I93" s="16">
        <f>IFERROR(__xludf.DUMMYFUNCTION("""COMPUTED_VALUE"""),0.0)</f>
        <v>0</v>
      </c>
      <c r="J93" s="16" t="b">
        <f>IFERROR(__xludf.DUMMYFUNCTION("""COMPUTED_VALUE"""),TRUE)</f>
        <v>1</v>
      </c>
      <c r="K93" s="544"/>
      <c r="L93" s="14">
        <f>IFERROR(__xludf.DUMMYFUNCTION("""COMPUTED_VALUE"""),44644.0)</f>
        <v>44644</v>
      </c>
      <c r="M93" s="69">
        <f>IFERROR(__xludf.DUMMYFUNCTION("""COMPUTED_VALUE"""),23.0)</f>
        <v>23</v>
      </c>
      <c r="N93" s="69">
        <f>IFERROR(__xludf.DUMMYFUNCTION("""COMPUTED_VALUE"""),23.0)</f>
        <v>23</v>
      </c>
      <c r="O93" s="69">
        <f>IFERROR(__xludf.DUMMYFUNCTION("""COMPUTED_VALUE"""),0.0)</f>
        <v>0</v>
      </c>
      <c r="P93" s="69">
        <f>IFERROR(__xludf.DUMMYFUNCTION("""COMPUTED_VALUE"""),0.0)</f>
        <v>0</v>
      </c>
      <c r="Q93" s="69">
        <f>IFERROR(__xludf.DUMMYFUNCTION("""COMPUTED_VALUE"""),0.0)</f>
        <v>0</v>
      </c>
      <c r="R93" s="69">
        <f>IFERROR(__xludf.DUMMYFUNCTION("""COMPUTED_VALUE"""),0.0)</f>
        <v>0</v>
      </c>
      <c r="S93" s="69">
        <f>IFERROR(__xludf.DUMMYFUNCTION("""COMPUTED_VALUE"""),0.0)</f>
        <v>0</v>
      </c>
      <c r="T93" s="69">
        <f>IFERROR(__xludf.DUMMYFUNCTION("""COMPUTED_VALUE"""),23.0)</f>
        <v>23</v>
      </c>
      <c r="U93" s="25"/>
      <c r="V93" s="54"/>
      <c r="W93" s="25">
        <f t="shared" si="39"/>
        <v>44644</v>
      </c>
      <c r="X93" s="69">
        <f t="shared" ref="X93:AC93" si="94">M93</f>
        <v>23</v>
      </c>
      <c r="Y93" s="69">
        <f t="shared" si="94"/>
        <v>23</v>
      </c>
      <c r="Z93" s="69">
        <f t="shared" si="94"/>
        <v>0</v>
      </c>
      <c r="AA93" s="69">
        <f t="shared" si="94"/>
        <v>0</v>
      </c>
      <c r="AB93" s="69">
        <f t="shared" si="94"/>
        <v>0</v>
      </c>
      <c r="AC93" s="69">
        <f t="shared" si="94"/>
        <v>0</v>
      </c>
    </row>
    <row r="94">
      <c r="B94" s="14">
        <f>IFERROR(__xludf.DUMMYFUNCTION("""COMPUTED_VALUE"""),44554.0)</f>
        <v>44554</v>
      </c>
      <c r="C94" s="16">
        <f>IFERROR(__xludf.DUMMYFUNCTION("""COMPUTED_VALUE"""),4.0)</f>
        <v>4</v>
      </c>
      <c r="D94" s="16">
        <f>IFERROR(__xludf.DUMMYFUNCTION("""COMPUTED_VALUE"""),3.0)</f>
        <v>3</v>
      </c>
      <c r="E94" s="16">
        <f>IFERROR(__xludf.DUMMYFUNCTION("""COMPUTED_VALUE"""),1.0)</f>
        <v>1</v>
      </c>
      <c r="F94" s="16">
        <f>IFERROR(__xludf.DUMMYFUNCTION("""COMPUTED_VALUE"""),0.0)</f>
        <v>0</v>
      </c>
      <c r="G94" s="16">
        <f>IFERROR(__xludf.DUMMYFUNCTION("""COMPUTED_VALUE"""),0.0)</f>
        <v>0</v>
      </c>
      <c r="H94" s="16">
        <f>IFERROR(__xludf.DUMMYFUNCTION("""COMPUTED_VALUE"""),0.0)</f>
        <v>0</v>
      </c>
      <c r="I94" s="16">
        <f>IFERROR(__xludf.DUMMYFUNCTION("""COMPUTED_VALUE"""),0.0)</f>
        <v>0</v>
      </c>
      <c r="J94" s="16" t="b">
        <f>IFERROR(__xludf.DUMMYFUNCTION("""COMPUTED_VALUE"""),TRUE)</f>
        <v>1</v>
      </c>
      <c r="K94" s="544"/>
      <c r="L94" s="14">
        <f>IFERROR(__xludf.DUMMYFUNCTION("""COMPUTED_VALUE"""),44648.0)</f>
        <v>44648</v>
      </c>
      <c r="M94" s="69">
        <f>IFERROR(__xludf.DUMMYFUNCTION("""COMPUTED_VALUE"""),5.0)</f>
        <v>5</v>
      </c>
      <c r="N94" s="69">
        <f>IFERROR(__xludf.DUMMYFUNCTION("""COMPUTED_VALUE"""),5.0)</f>
        <v>5</v>
      </c>
      <c r="O94" s="69">
        <f>IFERROR(__xludf.DUMMYFUNCTION("""COMPUTED_VALUE"""),0.0)</f>
        <v>0</v>
      </c>
      <c r="P94" s="69">
        <f>IFERROR(__xludf.DUMMYFUNCTION("""COMPUTED_VALUE"""),0.0)</f>
        <v>0</v>
      </c>
      <c r="Q94" s="69">
        <f>IFERROR(__xludf.DUMMYFUNCTION("""COMPUTED_VALUE"""),0.0)</f>
        <v>0</v>
      </c>
      <c r="R94" s="69">
        <f>IFERROR(__xludf.DUMMYFUNCTION("""COMPUTED_VALUE"""),0.0)</f>
        <v>0</v>
      </c>
      <c r="S94" s="69">
        <f>IFERROR(__xludf.DUMMYFUNCTION("""COMPUTED_VALUE"""),0.0)</f>
        <v>0</v>
      </c>
      <c r="T94" s="69">
        <f>IFERROR(__xludf.DUMMYFUNCTION("""COMPUTED_VALUE"""),5.0)</f>
        <v>5</v>
      </c>
      <c r="U94" s="25"/>
      <c r="V94" s="54"/>
      <c r="W94" s="25">
        <f t="shared" si="39"/>
        <v>44648</v>
      </c>
      <c r="X94" s="69">
        <f t="shared" ref="X94:AC94" si="95">M94</f>
        <v>5</v>
      </c>
      <c r="Y94" s="69">
        <f t="shared" si="95"/>
        <v>5</v>
      </c>
      <c r="Z94" s="69">
        <f t="shared" si="95"/>
        <v>0</v>
      </c>
      <c r="AA94" s="69">
        <f t="shared" si="95"/>
        <v>0</v>
      </c>
      <c r="AB94" s="69">
        <f t="shared" si="95"/>
        <v>0</v>
      </c>
      <c r="AC94" s="69">
        <f t="shared" si="95"/>
        <v>0</v>
      </c>
    </row>
    <row r="95">
      <c r="B95" s="14">
        <f>IFERROR(__xludf.DUMMYFUNCTION("""COMPUTED_VALUE"""),44555.0)</f>
        <v>44555</v>
      </c>
      <c r="C95" s="16">
        <f>IFERROR(__xludf.DUMMYFUNCTION("""COMPUTED_VALUE"""),2.0)</f>
        <v>2</v>
      </c>
      <c r="D95" s="16">
        <f>IFERROR(__xludf.DUMMYFUNCTION("""COMPUTED_VALUE"""),0.0)</f>
        <v>0</v>
      </c>
      <c r="E95" s="16">
        <f>IFERROR(__xludf.DUMMYFUNCTION("""COMPUTED_VALUE"""),2.0)</f>
        <v>2</v>
      </c>
      <c r="F95" s="16">
        <f>IFERROR(__xludf.DUMMYFUNCTION("""COMPUTED_VALUE"""),0.0)</f>
        <v>0</v>
      </c>
      <c r="G95" s="16">
        <f>IFERROR(__xludf.DUMMYFUNCTION("""COMPUTED_VALUE"""),0.0)</f>
        <v>0</v>
      </c>
      <c r="H95" s="16">
        <f>IFERROR(__xludf.DUMMYFUNCTION("""COMPUTED_VALUE"""),0.0)</f>
        <v>0</v>
      </c>
      <c r="I95" s="16">
        <f>IFERROR(__xludf.DUMMYFUNCTION("""COMPUTED_VALUE"""),0.0)</f>
        <v>0</v>
      </c>
      <c r="J95" s="16" t="b">
        <f>IFERROR(__xludf.DUMMYFUNCTION("""COMPUTED_VALUE"""),TRUE)</f>
        <v>1</v>
      </c>
      <c r="K95" s="544"/>
      <c r="L95" s="14">
        <f>IFERROR(__xludf.DUMMYFUNCTION("""COMPUTED_VALUE"""),44653.0)</f>
        <v>44653</v>
      </c>
      <c r="M95" s="69">
        <f>IFERROR(__xludf.DUMMYFUNCTION("""COMPUTED_VALUE"""),3.0)</f>
        <v>3</v>
      </c>
      <c r="N95" s="69">
        <f>IFERROR(__xludf.DUMMYFUNCTION("""COMPUTED_VALUE"""),3.0)</f>
        <v>3</v>
      </c>
      <c r="O95" s="69">
        <f>IFERROR(__xludf.DUMMYFUNCTION("""COMPUTED_VALUE"""),0.0)</f>
        <v>0</v>
      </c>
      <c r="P95" s="69">
        <f>IFERROR(__xludf.DUMMYFUNCTION("""COMPUTED_VALUE"""),0.0)</f>
        <v>0</v>
      </c>
      <c r="Q95" s="69">
        <f>IFERROR(__xludf.DUMMYFUNCTION("""COMPUTED_VALUE"""),0.0)</f>
        <v>0</v>
      </c>
      <c r="R95" s="69">
        <f>IFERROR(__xludf.DUMMYFUNCTION("""COMPUTED_VALUE"""),0.0)</f>
        <v>0</v>
      </c>
      <c r="S95" s="69">
        <f>IFERROR(__xludf.DUMMYFUNCTION("""COMPUTED_VALUE"""),0.0)</f>
        <v>0</v>
      </c>
      <c r="T95" s="69">
        <f>IFERROR(__xludf.DUMMYFUNCTION("""COMPUTED_VALUE"""),3.0)</f>
        <v>3</v>
      </c>
      <c r="U95" s="25"/>
      <c r="V95" s="54"/>
      <c r="W95" s="25">
        <f t="shared" si="39"/>
        <v>44653</v>
      </c>
      <c r="X95" s="69">
        <f t="shared" ref="X95:AC95" si="96">M95</f>
        <v>3</v>
      </c>
      <c r="Y95" s="69">
        <f t="shared" si="96"/>
        <v>3</v>
      </c>
      <c r="Z95" s="69">
        <f t="shared" si="96"/>
        <v>0</v>
      </c>
      <c r="AA95" s="69">
        <f t="shared" si="96"/>
        <v>0</v>
      </c>
      <c r="AB95" s="69">
        <f t="shared" si="96"/>
        <v>0</v>
      </c>
      <c r="AC95" s="69">
        <f t="shared" si="96"/>
        <v>0</v>
      </c>
    </row>
    <row r="96">
      <c r="B96" s="14">
        <f>IFERROR(__xludf.DUMMYFUNCTION("""COMPUTED_VALUE"""),44556.0)</f>
        <v>44556</v>
      </c>
      <c r="C96" s="16">
        <f>IFERROR(__xludf.DUMMYFUNCTION("""COMPUTED_VALUE"""),2.0)</f>
        <v>2</v>
      </c>
      <c r="D96" s="16">
        <f>IFERROR(__xludf.DUMMYFUNCTION("""COMPUTED_VALUE"""),1.0)</f>
        <v>1</v>
      </c>
      <c r="E96" s="16">
        <f>IFERROR(__xludf.DUMMYFUNCTION("""COMPUTED_VALUE"""),1.0)</f>
        <v>1</v>
      </c>
      <c r="F96" s="16">
        <f>IFERROR(__xludf.DUMMYFUNCTION("""COMPUTED_VALUE"""),0.0)</f>
        <v>0</v>
      </c>
      <c r="G96" s="16">
        <f>IFERROR(__xludf.DUMMYFUNCTION("""COMPUTED_VALUE"""),0.0)</f>
        <v>0</v>
      </c>
      <c r="H96" s="16">
        <f>IFERROR(__xludf.DUMMYFUNCTION("""COMPUTED_VALUE"""),0.0)</f>
        <v>0</v>
      </c>
      <c r="I96" s="16">
        <f>IFERROR(__xludf.DUMMYFUNCTION("""COMPUTED_VALUE"""),0.0)</f>
        <v>0</v>
      </c>
      <c r="J96" s="16" t="b">
        <f>IFERROR(__xludf.DUMMYFUNCTION("""COMPUTED_VALUE"""),TRUE)</f>
        <v>1</v>
      </c>
      <c r="K96" s="544"/>
      <c r="L96" s="14">
        <f>IFERROR(__xludf.DUMMYFUNCTION("""COMPUTED_VALUE"""),44655.0)</f>
        <v>44655</v>
      </c>
      <c r="M96" s="69">
        <f>IFERROR(__xludf.DUMMYFUNCTION("""COMPUTED_VALUE"""),26.0)</f>
        <v>26</v>
      </c>
      <c r="N96" s="69">
        <f>IFERROR(__xludf.DUMMYFUNCTION("""COMPUTED_VALUE"""),26.0)</f>
        <v>26</v>
      </c>
      <c r="O96" s="69">
        <f>IFERROR(__xludf.DUMMYFUNCTION("""COMPUTED_VALUE"""),0.0)</f>
        <v>0</v>
      </c>
      <c r="P96" s="69">
        <f>IFERROR(__xludf.DUMMYFUNCTION("""COMPUTED_VALUE"""),0.0)</f>
        <v>0</v>
      </c>
      <c r="Q96" s="69">
        <f>IFERROR(__xludf.DUMMYFUNCTION("""COMPUTED_VALUE"""),0.0)</f>
        <v>0</v>
      </c>
      <c r="R96" s="69">
        <f>IFERROR(__xludf.DUMMYFUNCTION("""COMPUTED_VALUE"""),0.0)</f>
        <v>0</v>
      </c>
      <c r="S96" s="69">
        <f>IFERROR(__xludf.DUMMYFUNCTION("""COMPUTED_VALUE"""),0.0)</f>
        <v>0</v>
      </c>
      <c r="T96" s="69">
        <f>IFERROR(__xludf.DUMMYFUNCTION("""COMPUTED_VALUE"""),26.0)</f>
        <v>26</v>
      </c>
      <c r="U96" s="25"/>
      <c r="V96" s="54"/>
      <c r="W96" s="25">
        <f t="shared" si="39"/>
        <v>44655</v>
      </c>
      <c r="X96" s="69">
        <f t="shared" ref="X96:AC96" si="97">M96</f>
        <v>26</v>
      </c>
      <c r="Y96" s="69">
        <f t="shared" si="97"/>
        <v>26</v>
      </c>
      <c r="Z96" s="69">
        <f t="shared" si="97"/>
        <v>0</v>
      </c>
      <c r="AA96" s="69">
        <f t="shared" si="97"/>
        <v>0</v>
      </c>
      <c r="AB96" s="69">
        <f t="shared" si="97"/>
        <v>0</v>
      </c>
      <c r="AC96" s="69">
        <f t="shared" si="97"/>
        <v>0</v>
      </c>
    </row>
    <row r="97">
      <c r="B97" s="14">
        <f>IFERROR(__xludf.DUMMYFUNCTION("""COMPUTED_VALUE"""),44557.0)</f>
        <v>44557</v>
      </c>
      <c r="C97" s="16">
        <f>IFERROR(__xludf.DUMMYFUNCTION("""COMPUTED_VALUE"""),5.0)</f>
        <v>5</v>
      </c>
      <c r="D97" s="16">
        <f>IFERROR(__xludf.DUMMYFUNCTION("""COMPUTED_VALUE"""),5.0)</f>
        <v>5</v>
      </c>
      <c r="E97" s="16">
        <f>IFERROR(__xludf.DUMMYFUNCTION("""COMPUTED_VALUE"""),0.0)</f>
        <v>0</v>
      </c>
      <c r="F97" s="16">
        <f>IFERROR(__xludf.DUMMYFUNCTION("""COMPUTED_VALUE"""),0.0)</f>
        <v>0</v>
      </c>
      <c r="G97" s="16">
        <f>IFERROR(__xludf.DUMMYFUNCTION("""COMPUTED_VALUE"""),0.0)</f>
        <v>0</v>
      </c>
      <c r="H97" s="16">
        <f>IFERROR(__xludf.DUMMYFUNCTION("""COMPUTED_VALUE"""),0.0)</f>
        <v>0</v>
      </c>
      <c r="I97" s="16">
        <f>IFERROR(__xludf.DUMMYFUNCTION("""COMPUTED_VALUE"""),0.0)</f>
        <v>0</v>
      </c>
      <c r="J97" s="16"/>
      <c r="K97" s="544"/>
      <c r="L97" s="14">
        <f>IFERROR(__xludf.DUMMYFUNCTION("""COMPUTED_VALUE"""),44658.0)</f>
        <v>44658</v>
      </c>
      <c r="M97" s="69">
        <f>IFERROR(__xludf.DUMMYFUNCTION("""COMPUTED_VALUE"""),20.0)</f>
        <v>20</v>
      </c>
      <c r="N97" s="69">
        <f>IFERROR(__xludf.DUMMYFUNCTION("""COMPUTED_VALUE"""),20.0)</f>
        <v>20</v>
      </c>
      <c r="O97" s="69">
        <f>IFERROR(__xludf.DUMMYFUNCTION("""COMPUTED_VALUE"""),0.0)</f>
        <v>0</v>
      </c>
      <c r="P97" s="69">
        <f>IFERROR(__xludf.DUMMYFUNCTION("""COMPUTED_VALUE"""),0.0)</f>
        <v>0</v>
      </c>
      <c r="Q97" s="69">
        <f>IFERROR(__xludf.DUMMYFUNCTION("""COMPUTED_VALUE"""),0.0)</f>
        <v>0</v>
      </c>
      <c r="R97" s="69">
        <f>IFERROR(__xludf.DUMMYFUNCTION("""COMPUTED_VALUE"""),0.0)</f>
        <v>0</v>
      </c>
      <c r="S97" s="69">
        <f>IFERROR(__xludf.DUMMYFUNCTION("""COMPUTED_VALUE"""),0.0)</f>
        <v>0</v>
      </c>
      <c r="T97" s="69">
        <f>IFERROR(__xludf.DUMMYFUNCTION("""COMPUTED_VALUE"""),20.0)</f>
        <v>20</v>
      </c>
      <c r="U97" s="25"/>
      <c r="V97" s="54"/>
      <c r="W97" s="25">
        <f t="shared" si="39"/>
        <v>44658</v>
      </c>
      <c r="X97" s="69">
        <f t="shared" ref="X97:AC97" si="98">M97</f>
        <v>20</v>
      </c>
      <c r="Y97" s="69">
        <f t="shared" si="98"/>
        <v>20</v>
      </c>
      <c r="Z97" s="69">
        <f t="shared" si="98"/>
        <v>0</v>
      </c>
      <c r="AA97" s="69">
        <f t="shared" si="98"/>
        <v>0</v>
      </c>
      <c r="AB97" s="69">
        <f t="shared" si="98"/>
        <v>0</v>
      </c>
      <c r="AC97" s="69">
        <f t="shared" si="98"/>
        <v>0</v>
      </c>
    </row>
    <row r="98">
      <c r="B98" s="14">
        <f>IFERROR(__xludf.DUMMYFUNCTION("""COMPUTED_VALUE"""),44558.0)</f>
        <v>44558</v>
      </c>
      <c r="C98" s="16">
        <f>IFERROR(__xludf.DUMMYFUNCTION("""COMPUTED_VALUE"""),4.0)</f>
        <v>4</v>
      </c>
      <c r="D98" s="16">
        <f>IFERROR(__xludf.DUMMYFUNCTION("""COMPUTED_VALUE"""),4.0)</f>
        <v>4</v>
      </c>
      <c r="E98" s="16">
        <f>IFERROR(__xludf.DUMMYFUNCTION("""COMPUTED_VALUE"""),0.0)</f>
        <v>0</v>
      </c>
      <c r="F98" s="16">
        <f>IFERROR(__xludf.DUMMYFUNCTION("""COMPUTED_VALUE"""),0.0)</f>
        <v>0</v>
      </c>
      <c r="G98" s="16">
        <f>IFERROR(__xludf.DUMMYFUNCTION("""COMPUTED_VALUE"""),0.0)</f>
        <v>0</v>
      </c>
      <c r="H98" s="16">
        <f>IFERROR(__xludf.DUMMYFUNCTION("""COMPUTED_VALUE"""),0.0)</f>
        <v>0</v>
      </c>
      <c r="I98" s="16">
        <f>IFERROR(__xludf.DUMMYFUNCTION("""COMPUTED_VALUE"""),0.0)</f>
        <v>0</v>
      </c>
      <c r="J98" s="16"/>
      <c r="K98" s="544"/>
      <c r="L98" s="14">
        <f>IFERROR(__xludf.DUMMYFUNCTION("""COMPUTED_VALUE"""),44662.0)</f>
        <v>44662</v>
      </c>
      <c r="M98" s="69">
        <f>IFERROR(__xludf.DUMMYFUNCTION("""COMPUTED_VALUE"""),22.0)</f>
        <v>22</v>
      </c>
      <c r="N98" s="69">
        <f>IFERROR(__xludf.DUMMYFUNCTION("""COMPUTED_VALUE"""),22.0)</f>
        <v>22</v>
      </c>
      <c r="O98" s="69">
        <f>IFERROR(__xludf.DUMMYFUNCTION("""COMPUTED_VALUE"""),0.0)</f>
        <v>0</v>
      </c>
      <c r="P98" s="69">
        <f>IFERROR(__xludf.DUMMYFUNCTION("""COMPUTED_VALUE"""),0.0)</f>
        <v>0</v>
      </c>
      <c r="Q98" s="69">
        <f>IFERROR(__xludf.DUMMYFUNCTION("""COMPUTED_VALUE"""),0.0)</f>
        <v>0</v>
      </c>
      <c r="R98" s="69">
        <f>IFERROR(__xludf.DUMMYFUNCTION("""COMPUTED_VALUE"""),0.0)</f>
        <v>0</v>
      </c>
      <c r="S98" s="69">
        <f>IFERROR(__xludf.DUMMYFUNCTION("""COMPUTED_VALUE"""),0.0)</f>
        <v>0</v>
      </c>
      <c r="T98" s="69">
        <f>IFERROR(__xludf.DUMMYFUNCTION("""COMPUTED_VALUE"""),22.0)</f>
        <v>22</v>
      </c>
      <c r="U98" s="25"/>
      <c r="V98" s="54"/>
      <c r="W98" s="25">
        <f t="shared" si="39"/>
        <v>44662</v>
      </c>
      <c r="X98" s="69">
        <f t="shared" ref="X98:AC98" si="99">M98</f>
        <v>22</v>
      </c>
      <c r="Y98" s="69">
        <f t="shared" si="99"/>
        <v>22</v>
      </c>
      <c r="Z98" s="69">
        <f t="shared" si="99"/>
        <v>0</v>
      </c>
      <c r="AA98" s="69">
        <f t="shared" si="99"/>
        <v>0</v>
      </c>
      <c r="AB98" s="69">
        <f t="shared" si="99"/>
        <v>0</v>
      </c>
      <c r="AC98" s="69">
        <f t="shared" si="99"/>
        <v>0</v>
      </c>
    </row>
    <row r="99">
      <c r="B99" s="14">
        <f>IFERROR(__xludf.DUMMYFUNCTION("""COMPUTED_VALUE"""),44559.0)</f>
        <v>44559</v>
      </c>
      <c r="C99" s="16">
        <f>IFERROR(__xludf.DUMMYFUNCTION("""COMPUTED_VALUE"""),8.0)</f>
        <v>8</v>
      </c>
      <c r="D99" s="16">
        <f>IFERROR(__xludf.DUMMYFUNCTION("""COMPUTED_VALUE"""),8.0)</f>
        <v>8</v>
      </c>
      <c r="E99" s="16">
        <f>IFERROR(__xludf.DUMMYFUNCTION("""COMPUTED_VALUE"""),0.0)</f>
        <v>0</v>
      </c>
      <c r="F99" s="16">
        <f>IFERROR(__xludf.DUMMYFUNCTION("""COMPUTED_VALUE"""),0.0)</f>
        <v>0</v>
      </c>
      <c r="G99" s="16">
        <f>IFERROR(__xludf.DUMMYFUNCTION("""COMPUTED_VALUE"""),0.0)</f>
        <v>0</v>
      </c>
      <c r="H99" s="16">
        <f>IFERROR(__xludf.DUMMYFUNCTION("""COMPUTED_VALUE"""),0.0)</f>
        <v>0</v>
      </c>
      <c r="I99" s="16">
        <f>IFERROR(__xludf.DUMMYFUNCTION("""COMPUTED_VALUE"""),0.0)</f>
        <v>0</v>
      </c>
      <c r="J99" s="16"/>
      <c r="K99" s="544"/>
      <c r="L99" s="14">
        <f>IFERROR(__xludf.DUMMYFUNCTION("""COMPUTED_VALUE"""),44665.0)</f>
        <v>44665</v>
      </c>
      <c r="M99" s="69">
        <f>IFERROR(__xludf.DUMMYFUNCTION("""COMPUTED_VALUE"""),19.0)</f>
        <v>19</v>
      </c>
      <c r="N99" s="69">
        <f>IFERROR(__xludf.DUMMYFUNCTION("""COMPUTED_VALUE"""),19.0)</f>
        <v>19</v>
      </c>
      <c r="O99" s="69">
        <f>IFERROR(__xludf.DUMMYFUNCTION("""COMPUTED_VALUE"""),0.0)</f>
        <v>0</v>
      </c>
      <c r="P99" s="69">
        <f>IFERROR(__xludf.DUMMYFUNCTION("""COMPUTED_VALUE"""),0.0)</f>
        <v>0</v>
      </c>
      <c r="Q99" s="69">
        <f>IFERROR(__xludf.DUMMYFUNCTION("""COMPUTED_VALUE"""),0.0)</f>
        <v>0</v>
      </c>
      <c r="R99" s="69">
        <f>IFERROR(__xludf.DUMMYFUNCTION("""COMPUTED_VALUE"""),0.0)</f>
        <v>0</v>
      </c>
      <c r="S99" s="69">
        <f>IFERROR(__xludf.DUMMYFUNCTION("""COMPUTED_VALUE"""),0.0)</f>
        <v>0</v>
      </c>
      <c r="T99" s="69">
        <f>IFERROR(__xludf.DUMMYFUNCTION("""COMPUTED_VALUE"""),19.0)</f>
        <v>19</v>
      </c>
      <c r="U99" s="25"/>
      <c r="V99" s="54"/>
      <c r="W99" s="25">
        <f t="shared" si="39"/>
        <v>44665</v>
      </c>
      <c r="X99" s="69">
        <f t="shared" ref="X99:AC99" si="100">M99</f>
        <v>19</v>
      </c>
      <c r="Y99" s="69">
        <f t="shared" si="100"/>
        <v>19</v>
      </c>
      <c r="Z99" s="69">
        <f t="shared" si="100"/>
        <v>0</v>
      </c>
      <c r="AA99" s="69">
        <f t="shared" si="100"/>
        <v>0</v>
      </c>
      <c r="AB99" s="69">
        <f t="shared" si="100"/>
        <v>0</v>
      </c>
      <c r="AC99" s="69">
        <f t="shared" si="100"/>
        <v>0</v>
      </c>
    </row>
    <row r="100">
      <c r="B100" s="14">
        <f>IFERROR(__xludf.DUMMYFUNCTION("""COMPUTED_VALUE"""),44560.0)</f>
        <v>44560</v>
      </c>
      <c r="C100" s="16">
        <f>IFERROR(__xludf.DUMMYFUNCTION("""COMPUTED_VALUE"""),4.0)</f>
        <v>4</v>
      </c>
      <c r="D100" s="16">
        <f>IFERROR(__xludf.DUMMYFUNCTION("""COMPUTED_VALUE"""),4.0)</f>
        <v>4</v>
      </c>
      <c r="E100" s="16">
        <f>IFERROR(__xludf.DUMMYFUNCTION("""COMPUTED_VALUE"""),0.0)</f>
        <v>0</v>
      </c>
      <c r="F100" s="16">
        <f>IFERROR(__xludf.DUMMYFUNCTION("""COMPUTED_VALUE"""),0.0)</f>
        <v>0</v>
      </c>
      <c r="G100" s="16">
        <f>IFERROR(__xludf.DUMMYFUNCTION("""COMPUTED_VALUE"""),0.0)</f>
        <v>0</v>
      </c>
      <c r="H100" s="16">
        <f>IFERROR(__xludf.DUMMYFUNCTION("""COMPUTED_VALUE"""),0.0)</f>
        <v>0</v>
      </c>
      <c r="I100" s="16">
        <f>IFERROR(__xludf.DUMMYFUNCTION("""COMPUTED_VALUE"""),0.0)</f>
        <v>0</v>
      </c>
      <c r="J100" s="16" t="b">
        <f>IFERROR(__xludf.DUMMYFUNCTION("""COMPUTED_VALUE"""),TRUE)</f>
        <v>1</v>
      </c>
      <c r="K100" s="544"/>
      <c r="L100" s="14">
        <f>IFERROR(__xludf.DUMMYFUNCTION("""COMPUTED_VALUE"""),44669.0)</f>
        <v>44669</v>
      </c>
      <c r="M100" s="69">
        <f>IFERROR(__xludf.DUMMYFUNCTION("""COMPUTED_VALUE"""),21.0)</f>
        <v>21</v>
      </c>
      <c r="N100" s="69">
        <f>IFERROR(__xludf.DUMMYFUNCTION("""COMPUTED_VALUE"""),21.0)</f>
        <v>21</v>
      </c>
      <c r="O100" s="69">
        <f>IFERROR(__xludf.DUMMYFUNCTION("""COMPUTED_VALUE"""),0.0)</f>
        <v>0</v>
      </c>
      <c r="P100" s="69">
        <f>IFERROR(__xludf.DUMMYFUNCTION("""COMPUTED_VALUE"""),0.0)</f>
        <v>0</v>
      </c>
      <c r="Q100" s="69">
        <f>IFERROR(__xludf.DUMMYFUNCTION("""COMPUTED_VALUE"""),0.0)</f>
        <v>0</v>
      </c>
      <c r="R100" s="69">
        <f>IFERROR(__xludf.DUMMYFUNCTION("""COMPUTED_VALUE"""),0.0)</f>
        <v>0</v>
      </c>
      <c r="S100" s="69">
        <f>IFERROR(__xludf.DUMMYFUNCTION("""COMPUTED_VALUE"""),0.0)</f>
        <v>0</v>
      </c>
      <c r="T100" s="69">
        <f>IFERROR(__xludf.DUMMYFUNCTION("""COMPUTED_VALUE"""),21.0)</f>
        <v>21</v>
      </c>
      <c r="U100" s="25"/>
      <c r="V100" s="54"/>
      <c r="W100" s="25">
        <f t="shared" si="39"/>
        <v>44669</v>
      </c>
      <c r="X100" s="69">
        <f t="shared" ref="X100:AC100" si="101">M100</f>
        <v>21</v>
      </c>
      <c r="Y100" s="69">
        <f t="shared" si="101"/>
        <v>21</v>
      </c>
      <c r="Z100" s="69">
        <f t="shared" si="101"/>
        <v>0</v>
      </c>
      <c r="AA100" s="69">
        <f t="shared" si="101"/>
        <v>0</v>
      </c>
      <c r="AB100" s="69">
        <f t="shared" si="101"/>
        <v>0</v>
      </c>
      <c r="AC100" s="69">
        <f t="shared" si="101"/>
        <v>0</v>
      </c>
    </row>
    <row r="101">
      <c r="B101" s="14">
        <f>IFERROR(__xludf.DUMMYFUNCTION("""COMPUTED_VALUE"""),44561.0)</f>
        <v>44561</v>
      </c>
      <c r="C101" s="16">
        <f>IFERROR(__xludf.DUMMYFUNCTION("""COMPUTED_VALUE"""),8.0)</f>
        <v>8</v>
      </c>
      <c r="D101" s="16">
        <f>IFERROR(__xludf.DUMMYFUNCTION("""COMPUTED_VALUE"""),6.0)</f>
        <v>6</v>
      </c>
      <c r="E101" s="16">
        <f>IFERROR(__xludf.DUMMYFUNCTION("""COMPUTED_VALUE"""),2.0)</f>
        <v>2</v>
      </c>
      <c r="F101" s="16">
        <f>IFERROR(__xludf.DUMMYFUNCTION("""COMPUTED_VALUE"""),0.0)</f>
        <v>0</v>
      </c>
      <c r="G101" s="16">
        <f>IFERROR(__xludf.DUMMYFUNCTION("""COMPUTED_VALUE"""),0.0)</f>
        <v>0</v>
      </c>
      <c r="H101" s="16">
        <f>IFERROR(__xludf.DUMMYFUNCTION("""COMPUTED_VALUE"""),0.0)</f>
        <v>0</v>
      </c>
      <c r="I101" s="16">
        <f>IFERROR(__xludf.DUMMYFUNCTION("""COMPUTED_VALUE"""),0.0)</f>
        <v>0</v>
      </c>
      <c r="J101" s="16" t="b">
        <f>IFERROR(__xludf.DUMMYFUNCTION("""COMPUTED_VALUE"""),TRUE)</f>
        <v>1</v>
      </c>
      <c r="K101" s="544"/>
      <c r="L101" s="14">
        <f>IFERROR(__xludf.DUMMYFUNCTION("""COMPUTED_VALUE"""),44670.0)</f>
        <v>44670</v>
      </c>
      <c r="M101" s="69">
        <f>IFERROR(__xludf.DUMMYFUNCTION("""COMPUTED_VALUE"""),5.0)</f>
        <v>5</v>
      </c>
      <c r="N101" s="69">
        <f>IFERROR(__xludf.DUMMYFUNCTION("""COMPUTED_VALUE"""),5.0)</f>
        <v>5</v>
      </c>
      <c r="O101" s="69">
        <f>IFERROR(__xludf.DUMMYFUNCTION("""COMPUTED_VALUE"""),0.0)</f>
        <v>0</v>
      </c>
      <c r="P101" s="69">
        <f>IFERROR(__xludf.DUMMYFUNCTION("""COMPUTED_VALUE"""),0.0)</f>
        <v>0</v>
      </c>
      <c r="Q101" s="69">
        <f>IFERROR(__xludf.DUMMYFUNCTION("""COMPUTED_VALUE"""),0.0)</f>
        <v>0</v>
      </c>
      <c r="R101" s="69">
        <f>IFERROR(__xludf.DUMMYFUNCTION("""COMPUTED_VALUE"""),0.0)</f>
        <v>0</v>
      </c>
      <c r="S101" s="69">
        <f>IFERROR(__xludf.DUMMYFUNCTION("""COMPUTED_VALUE"""),0.0)</f>
        <v>0</v>
      </c>
      <c r="T101" s="69">
        <f>IFERROR(__xludf.DUMMYFUNCTION("""COMPUTED_VALUE"""),5.0)</f>
        <v>5</v>
      </c>
      <c r="U101" s="25"/>
      <c r="V101" s="54"/>
      <c r="W101" s="25">
        <f t="shared" si="39"/>
        <v>44670</v>
      </c>
      <c r="X101" s="69">
        <f t="shared" ref="X101:AC101" si="102">M101</f>
        <v>5</v>
      </c>
      <c r="Y101" s="69">
        <f t="shared" si="102"/>
        <v>5</v>
      </c>
      <c r="Z101" s="69">
        <f t="shared" si="102"/>
        <v>0</v>
      </c>
      <c r="AA101" s="69">
        <f t="shared" si="102"/>
        <v>0</v>
      </c>
      <c r="AB101" s="69">
        <f t="shared" si="102"/>
        <v>0</v>
      </c>
      <c r="AC101" s="69">
        <f t="shared" si="102"/>
        <v>0</v>
      </c>
    </row>
    <row r="102">
      <c r="B102" s="14">
        <f>IFERROR(__xludf.DUMMYFUNCTION("""COMPUTED_VALUE"""),44562.0)</f>
        <v>44562</v>
      </c>
      <c r="C102" s="16">
        <f>IFERROR(__xludf.DUMMYFUNCTION("""COMPUTED_VALUE"""),2.0)</f>
        <v>2</v>
      </c>
      <c r="D102" s="16">
        <f>IFERROR(__xludf.DUMMYFUNCTION("""COMPUTED_VALUE"""),0.0)</f>
        <v>0</v>
      </c>
      <c r="E102" s="16">
        <f>IFERROR(__xludf.DUMMYFUNCTION("""COMPUTED_VALUE"""),2.0)</f>
        <v>2</v>
      </c>
      <c r="F102" s="16">
        <f>IFERROR(__xludf.DUMMYFUNCTION("""COMPUTED_VALUE"""),0.0)</f>
        <v>0</v>
      </c>
      <c r="G102" s="16">
        <f>IFERROR(__xludf.DUMMYFUNCTION("""COMPUTED_VALUE"""),0.0)</f>
        <v>0</v>
      </c>
      <c r="H102" s="16">
        <f>IFERROR(__xludf.DUMMYFUNCTION("""COMPUTED_VALUE"""),0.0)</f>
        <v>0</v>
      </c>
      <c r="I102" s="16">
        <f>IFERROR(__xludf.DUMMYFUNCTION("""COMPUTED_VALUE"""),0.0)</f>
        <v>0</v>
      </c>
      <c r="J102" s="16"/>
      <c r="K102" s="544"/>
      <c r="L102" s="14">
        <f>IFERROR(__xludf.DUMMYFUNCTION("""COMPUTED_VALUE"""),44672.0)</f>
        <v>44672</v>
      </c>
      <c r="M102" s="69">
        <f>IFERROR(__xludf.DUMMYFUNCTION("""COMPUTED_VALUE"""),24.0)</f>
        <v>24</v>
      </c>
      <c r="N102" s="69">
        <f>IFERROR(__xludf.DUMMYFUNCTION("""COMPUTED_VALUE"""),24.0)</f>
        <v>24</v>
      </c>
      <c r="O102" s="69">
        <f>IFERROR(__xludf.DUMMYFUNCTION("""COMPUTED_VALUE"""),0.0)</f>
        <v>0</v>
      </c>
      <c r="P102" s="69">
        <f>IFERROR(__xludf.DUMMYFUNCTION("""COMPUTED_VALUE"""),0.0)</f>
        <v>0</v>
      </c>
      <c r="Q102" s="69">
        <f>IFERROR(__xludf.DUMMYFUNCTION("""COMPUTED_VALUE"""),0.0)</f>
        <v>0</v>
      </c>
      <c r="R102" s="69">
        <f>IFERROR(__xludf.DUMMYFUNCTION("""COMPUTED_VALUE"""),0.0)</f>
        <v>0</v>
      </c>
      <c r="S102" s="69">
        <f>IFERROR(__xludf.DUMMYFUNCTION("""COMPUTED_VALUE"""),0.0)</f>
        <v>0</v>
      </c>
      <c r="T102" s="69">
        <f>IFERROR(__xludf.DUMMYFUNCTION("""COMPUTED_VALUE"""),24.0)</f>
        <v>24</v>
      </c>
      <c r="U102" s="25"/>
      <c r="V102" s="54"/>
      <c r="W102" s="25">
        <f t="shared" si="39"/>
        <v>44672</v>
      </c>
      <c r="X102" s="69">
        <f t="shared" ref="X102:AC102" si="103">M102</f>
        <v>24</v>
      </c>
      <c r="Y102" s="69">
        <f t="shared" si="103"/>
        <v>24</v>
      </c>
      <c r="Z102" s="69">
        <f t="shared" si="103"/>
        <v>0</v>
      </c>
      <c r="AA102" s="69">
        <f t="shared" si="103"/>
        <v>0</v>
      </c>
      <c r="AB102" s="69">
        <f t="shared" si="103"/>
        <v>0</v>
      </c>
      <c r="AC102" s="69">
        <f t="shared" si="103"/>
        <v>0</v>
      </c>
    </row>
    <row r="103">
      <c r="B103" s="14">
        <f>IFERROR(__xludf.DUMMYFUNCTION("""COMPUTED_VALUE"""),44563.0)</f>
        <v>44563</v>
      </c>
      <c r="C103" s="16">
        <f>IFERROR(__xludf.DUMMYFUNCTION("""COMPUTED_VALUE"""),12.0)</f>
        <v>12</v>
      </c>
      <c r="D103" s="16">
        <f>IFERROR(__xludf.DUMMYFUNCTION("""COMPUTED_VALUE"""),10.0)</f>
        <v>10</v>
      </c>
      <c r="E103" s="16">
        <f>IFERROR(__xludf.DUMMYFUNCTION("""COMPUTED_VALUE"""),2.0)</f>
        <v>2</v>
      </c>
      <c r="F103" s="16">
        <f>IFERROR(__xludf.DUMMYFUNCTION("""COMPUTED_VALUE"""),0.0)</f>
        <v>0</v>
      </c>
      <c r="G103" s="16">
        <f>IFERROR(__xludf.DUMMYFUNCTION("""COMPUTED_VALUE"""),0.0)</f>
        <v>0</v>
      </c>
      <c r="H103" s="16">
        <f>IFERROR(__xludf.DUMMYFUNCTION("""COMPUTED_VALUE"""),0.0)</f>
        <v>0</v>
      </c>
      <c r="I103" s="16">
        <f>IFERROR(__xludf.DUMMYFUNCTION("""COMPUTED_VALUE"""),0.0)</f>
        <v>0</v>
      </c>
      <c r="J103" s="16" t="b">
        <f>IFERROR(__xludf.DUMMYFUNCTION("""COMPUTED_VALUE"""),TRUE)</f>
        <v>1</v>
      </c>
      <c r="K103" s="544"/>
      <c r="L103" s="14">
        <f>IFERROR(__xludf.DUMMYFUNCTION("""COMPUTED_VALUE"""),44676.0)</f>
        <v>44676</v>
      </c>
      <c r="M103" s="69">
        <f>IFERROR(__xludf.DUMMYFUNCTION("""COMPUTED_VALUE"""),20.0)</f>
        <v>20</v>
      </c>
      <c r="N103" s="69">
        <f>IFERROR(__xludf.DUMMYFUNCTION("""COMPUTED_VALUE"""),20.0)</f>
        <v>20</v>
      </c>
      <c r="O103" s="69">
        <f>IFERROR(__xludf.DUMMYFUNCTION("""COMPUTED_VALUE"""),0.0)</f>
        <v>0</v>
      </c>
      <c r="P103" s="69">
        <f>IFERROR(__xludf.DUMMYFUNCTION("""COMPUTED_VALUE"""),0.0)</f>
        <v>0</v>
      </c>
      <c r="Q103" s="69">
        <f>IFERROR(__xludf.DUMMYFUNCTION("""COMPUTED_VALUE"""),0.0)</f>
        <v>0</v>
      </c>
      <c r="R103" s="69">
        <f>IFERROR(__xludf.DUMMYFUNCTION("""COMPUTED_VALUE"""),0.0)</f>
        <v>0</v>
      </c>
      <c r="S103" s="69">
        <f>IFERROR(__xludf.DUMMYFUNCTION("""COMPUTED_VALUE"""),0.0)</f>
        <v>0</v>
      </c>
      <c r="T103" s="69">
        <f>IFERROR(__xludf.DUMMYFUNCTION("""COMPUTED_VALUE"""),20.0)</f>
        <v>20</v>
      </c>
      <c r="U103" s="25"/>
      <c r="V103" s="54"/>
      <c r="W103" s="25">
        <f t="shared" si="39"/>
        <v>44676</v>
      </c>
      <c r="X103" s="69">
        <f t="shared" ref="X103:AC103" si="104">M103</f>
        <v>20</v>
      </c>
      <c r="Y103" s="69">
        <f t="shared" si="104"/>
        <v>20</v>
      </c>
      <c r="Z103" s="69">
        <f t="shared" si="104"/>
        <v>0</v>
      </c>
      <c r="AA103" s="69">
        <f t="shared" si="104"/>
        <v>0</v>
      </c>
      <c r="AB103" s="69">
        <f t="shared" si="104"/>
        <v>0</v>
      </c>
      <c r="AC103" s="69">
        <f t="shared" si="104"/>
        <v>0</v>
      </c>
    </row>
    <row r="104">
      <c r="B104" s="14">
        <f>IFERROR(__xludf.DUMMYFUNCTION("""COMPUTED_VALUE"""),44564.0)</f>
        <v>44564</v>
      </c>
      <c r="C104" s="16">
        <f>IFERROR(__xludf.DUMMYFUNCTION("""COMPUTED_VALUE"""),12.0)</f>
        <v>12</v>
      </c>
      <c r="D104" s="16">
        <f>IFERROR(__xludf.DUMMYFUNCTION("""COMPUTED_VALUE"""),10.0)</f>
        <v>10</v>
      </c>
      <c r="E104" s="16">
        <f>IFERROR(__xludf.DUMMYFUNCTION("""COMPUTED_VALUE"""),2.0)</f>
        <v>2</v>
      </c>
      <c r="F104" s="16">
        <f>IFERROR(__xludf.DUMMYFUNCTION("""COMPUTED_VALUE"""),0.0)</f>
        <v>0</v>
      </c>
      <c r="G104" s="16">
        <f>IFERROR(__xludf.DUMMYFUNCTION("""COMPUTED_VALUE"""),0.0)</f>
        <v>0</v>
      </c>
      <c r="H104" s="16">
        <f>IFERROR(__xludf.DUMMYFUNCTION("""COMPUTED_VALUE"""),0.0)</f>
        <v>0</v>
      </c>
      <c r="I104" s="16">
        <f>IFERROR(__xludf.DUMMYFUNCTION("""COMPUTED_VALUE"""),0.0)</f>
        <v>0</v>
      </c>
      <c r="J104" s="16"/>
      <c r="K104" s="544"/>
      <c r="L104" s="14">
        <f>IFERROR(__xludf.DUMMYFUNCTION("""COMPUTED_VALUE"""),44679.0)</f>
        <v>44679</v>
      </c>
      <c r="M104" s="69">
        <f>IFERROR(__xludf.DUMMYFUNCTION("""COMPUTED_VALUE"""),27.0)</f>
        <v>27</v>
      </c>
      <c r="N104" s="69">
        <f>IFERROR(__xludf.DUMMYFUNCTION("""COMPUTED_VALUE"""),27.0)</f>
        <v>27</v>
      </c>
      <c r="O104" s="69">
        <f>IFERROR(__xludf.DUMMYFUNCTION("""COMPUTED_VALUE"""),0.0)</f>
        <v>0</v>
      </c>
      <c r="P104" s="69">
        <f>IFERROR(__xludf.DUMMYFUNCTION("""COMPUTED_VALUE"""),0.0)</f>
        <v>0</v>
      </c>
      <c r="Q104" s="69">
        <f>IFERROR(__xludf.DUMMYFUNCTION("""COMPUTED_VALUE"""),0.0)</f>
        <v>0</v>
      </c>
      <c r="R104" s="69">
        <f>IFERROR(__xludf.DUMMYFUNCTION("""COMPUTED_VALUE"""),0.0)</f>
        <v>0</v>
      </c>
      <c r="S104" s="69">
        <f>IFERROR(__xludf.DUMMYFUNCTION("""COMPUTED_VALUE"""),0.0)</f>
        <v>0</v>
      </c>
      <c r="T104" s="69">
        <f>IFERROR(__xludf.DUMMYFUNCTION("""COMPUTED_VALUE"""),27.0)</f>
        <v>27</v>
      </c>
      <c r="U104" s="25"/>
      <c r="V104" s="54"/>
      <c r="W104" s="25">
        <f t="shared" si="39"/>
        <v>44679</v>
      </c>
      <c r="X104" s="69">
        <f t="shared" ref="X104:AC104" si="105">M104</f>
        <v>27</v>
      </c>
      <c r="Y104" s="69">
        <f t="shared" si="105"/>
        <v>27</v>
      </c>
      <c r="Z104" s="69">
        <f t="shared" si="105"/>
        <v>0</v>
      </c>
      <c r="AA104" s="69">
        <f t="shared" si="105"/>
        <v>0</v>
      </c>
      <c r="AB104" s="69">
        <f t="shared" si="105"/>
        <v>0</v>
      </c>
      <c r="AC104" s="69">
        <f t="shared" si="105"/>
        <v>0</v>
      </c>
    </row>
    <row r="105">
      <c r="B105" s="14">
        <f>IFERROR(__xludf.DUMMYFUNCTION("""COMPUTED_VALUE"""),44565.0)</f>
        <v>44565</v>
      </c>
      <c r="C105" s="16">
        <f>IFERROR(__xludf.DUMMYFUNCTION("""COMPUTED_VALUE"""),6.0)</f>
        <v>6</v>
      </c>
      <c r="D105" s="16">
        <f>IFERROR(__xludf.DUMMYFUNCTION("""COMPUTED_VALUE"""),6.0)</f>
        <v>6</v>
      </c>
      <c r="E105" s="16">
        <f>IFERROR(__xludf.DUMMYFUNCTION("""COMPUTED_VALUE"""),0.0)</f>
        <v>0</v>
      </c>
      <c r="F105" s="16">
        <f>IFERROR(__xludf.DUMMYFUNCTION("""COMPUTED_VALUE"""),0.0)</f>
        <v>0</v>
      </c>
      <c r="G105" s="16">
        <f>IFERROR(__xludf.DUMMYFUNCTION("""COMPUTED_VALUE"""),0.0)</f>
        <v>0</v>
      </c>
      <c r="H105" s="16">
        <f>IFERROR(__xludf.DUMMYFUNCTION("""COMPUTED_VALUE"""),0.0)</f>
        <v>0</v>
      </c>
      <c r="I105" s="16">
        <f>IFERROR(__xludf.DUMMYFUNCTION("""COMPUTED_VALUE"""),0.0)</f>
        <v>0</v>
      </c>
      <c r="J105" s="16"/>
      <c r="K105" s="544"/>
      <c r="L105" s="14">
        <f>IFERROR(__xludf.DUMMYFUNCTION("""COMPUTED_VALUE"""),44683.0)</f>
        <v>44683</v>
      </c>
      <c r="M105" s="69">
        <f>IFERROR(__xludf.DUMMYFUNCTION("""COMPUTED_VALUE"""),28.0)</f>
        <v>28</v>
      </c>
      <c r="N105" s="69">
        <f>IFERROR(__xludf.DUMMYFUNCTION("""COMPUTED_VALUE"""),26.0)</f>
        <v>26</v>
      </c>
      <c r="O105" s="69">
        <f>IFERROR(__xludf.DUMMYFUNCTION("""COMPUTED_VALUE"""),2.0)</f>
        <v>2</v>
      </c>
      <c r="P105" s="69">
        <f>IFERROR(__xludf.DUMMYFUNCTION("""COMPUTED_VALUE"""),0.0)</f>
        <v>0</v>
      </c>
      <c r="Q105" s="69">
        <f>IFERROR(__xludf.DUMMYFUNCTION("""COMPUTED_VALUE"""),0.0)</f>
        <v>0</v>
      </c>
      <c r="R105" s="69">
        <f>IFERROR(__xludf.DUMMYFUNCTION("""COMPUTED_VALUE"""),0.0)</f>
        <v>0</v>
      </c>
      <c r="S105" s="69">
        <f>IFERROR(__xludf.DUMMYFUNCTION("""COMPUTED_VALUE"""),0.0)</f>
        <v>0</v>
      </c>
      <c r="T105" s="69">
        <f>IFERROR(__xludf.DUMMYFUNCTION("""COMPUTED_VALUE"""),28.0)</f>
        <v>28</v>
      </c>
      <c r="U105" s="25"/>
      <c r="V105" s="54"/>
      <c r="W105" s="25">
        <f t="shared" si="39"/>
        <v>44683</v>
      </c>
      <c r="X105" s="69">
        <f t="shared" ref="X105:AC105" si="106">M105</f>
        <v>28</v>
      </c>
      <c r="Y105" s="69">
        <f t="shared" si="106"/>
        <v>26</v>
      </c>
      <c r="Z105" s="69">
        <f t="shared" si="106"/>
        <v>2</v>
      </c>
      <c r="AA105" s="69">
        <f t="shared" si="106"/>
        <v>0</v>
      </c>
      <c r="AB105" s="69">
        <f t="shared" si="106"/>
        <v>0</v>
      </c>
      <c r="AC105" s="69">
        <f t="shared" si="106"/>
        <v>0</v>
      </c>
    </row>
    <row r="106">
      <c r="B106" s="14">
        <f>IFERROR(__xludf.DUMMYFUNCTION("""COMPUTED_VALUE"""),44566.0)</f>
        <v>44566</v>
      </c>
      <c r="C106" s="16">
        <f>IFERROR(__xludf.DUMMYFUNCTION("""COMPUTED_VALUE"""),5.0)</f>
        <v>5</v>
      </c>
      <c r="D106" s="16">
        <f>IFERROR(__xludf.DUMMYFUNCTION("""COMPUTED_VALUE"""),4.0)</f>
        <v>4</v>
      </c>
      <c r="E106" s="16">
        <f>IFERROR(__xludf.DUMMYFUNCTION("""COMPUTED_VALUE"""),1.0)</f>
        <v>1</v>
      </c>
      <c r="F106" s="16">
        <f>IFERROR(__xludf.DUMMYFUNCTION("""COMPUTED_VALUE"""),0.0)</f>
        <v>0</v>
      </c>
      <c r="G106" s="16">
        <f>IFERROR(__xludf.DUMMYFUNCTION("""COMPUTED_VALUE"""),0.0)</f>
        <v>0</v>
      </c>
      <c r="H106" s="16">
        <f>IFERROR(__xludf.DUMMYFUNCTION("""COMPUTED_VALUE"""),0.0)</f>
        <v>0</v>
      </c>
      <c r="I106" s="16">
        <f>IFERROR(__xludf.DUMMYFUNCTION("""COMPUTED_VALUE"""),0.0)</f>
        <v>0</v>
      </c>
      <c r="J106" s="16"/>
      <c r="K106" s="544"/>
      <c r="L106" s="14">
        <f>IFERROR(__xludf.DUMMYFUNCTION("""COMPUTED_VALUE"""),44686.0)</f>
        <v>44686</v>
      </c>
      <c r="M106" s="69">
        <f>IFERROR(__xludf.DUMMYFUNCTION("""COMPUTED_VALUE"""),24.0)</f>
        <v>24</v>
      </c>
      <c r="N106" s="69">
        <f>IFERROR(__xludf.DUMMYFUNCTION("""COMPUTED_VALUE"""),24.0)</f>
        <v>24</v>
      </c>
      <c r="O106" s="69">
        <f>IFERROR(__xludf.DUMMYFUNCTION("""COMPUTED_VALUE"""),0.0)</f>
        <v>0</v>
      </c>
      <c r="P106" s="69">
        <f>IFERROR(__xludf.DUMMYFUNCTION("""COMPUTED_VALUE"""),0.0)</f>
        <v>0</v>
      </c>
      <c r="Q106" s="69">
        <f>IFERROR(__xludf.DUMMYFUNCTION("""COMPUTED_VALUE"""),0.0)</f>
        <v>0</v>
      </c>
      <c r="R106" s="69">
        <f>IFERROR(__xludf.DUMMYFUNCTION("""COMPUTED_VALUE"""),0.0)</f>
        <v>0</v>
      </c>
      <c r="S106" s="69">
        <f>IFERROR(__xludf.DUMMYFUNCTION("""COMPUTED_VALUE"""),0.0)</f>
        <v>0</v>
      </c>
      <c r="T106" s="69">
        <f>IFERROR(__xludf.DUMMYFUNCTION("""COMPUTED_VALUE"""),24.0)</f>
        <v>24</v>
      </c>
      <c r="U106" s="25"/>
      <c r="V106" s="54"/>
      <c r="W106" s="25">
        <f t="shared" si="39"/>
        <v>44686</v>
      </c>
      <c r="X106" s="69">
        <f t="shared" ref="X106:AC106" si="107">M106</f>
        <v>24</v>
      </c>
      <c r="Y106" s="69">
        <f t="shared" si="107"/>
        <v>24</v>
      </c>
      <c r="Z106" s="69">
        <f t="shared" si="107"/>
        <v>0</v>
      </c>
      <c r="AA106" s="69">
        <f t="shared" si="107"/>
        <v>0</v>
      </c>
      <c r="AB106" s="69">
        <f t="shared" si="107"/>
        <v>0</v>
      </c>
      <c r="AC106" s="69">
        <f t="shared" si="107"/>
        <v>0</v>
      </c>
    </row>
    <row r="107">
      <c r="B107" s="14">
        <f>IFERROR(__xludf.DUMMYFUNCTION("""COMPUTED_VALUE"""),44567.0)</f>
        <v>44567</v>
      </c>
      <c r="C107" s="16">
        <f>IFERROR(__xludf.DUMMYFUNCTION("""COMPUTED_VALUE"""),13.0)</f>
        <v>13</v>
      </c>
      <c r="D107" s="16">
        <f>IFERROR(__xludf.DUMMYFUNCTION("""COMPUTED_VALUE"""),10.0)</f>
        <v>10</v>
      </c>
      <c r="E107" s="16">
        <f>IFERROR(__xludf.DUMMYFUNCTION("""COMPUTED_VALUE"""),3.0)</f>
        <v>3</v>
      </c>
      <c r="F107" s="16">
        <f>IFERROR(__xludf.DUMMYFUNCTION("""COMPUTED_VALUE"""),0.0)</f>
        <v>0</v>
      </c>
      <c r="G107" s="16">
        <f>IFERROR(__xludf.DUMMYFUNCTION("""COMPUTED_VALUE"""),0.0)</f>
        <v>0</v>
      </c>
      <c r="H107" s="16">
        <f>IFERROR(__xludf.DUMMYFUNCTION("""COMPUTED_VALUE"""),0.0)</f>
        <v>0</v>
      </c>
      <c r="I107" s="16">
        <f>IFERROR(__xludf.DUMMYFUNCTION("""COMPUTED_VALUE"""),0.0)</f>
        <v>0</v>
      </c>
      <c r="J107" s="16" t="b">
        <f>IFERROR(__xludf.DUMMYFUNCTION("""COMPUTED_VALUE"""),TRUE)</f>
        <v>1</v>
      </c>
      <c r="K107" s="544"/>
      <c r="L107" s="14">
        <f>IFERROR(__xludf.DUMMYFUNCTION("""COMPUTED_VALUE"""),44690.0)</f>
        <v>44690</v>
      </c>
      <c r="M107" s="69">
        <f>IFERROR(__xludf.DUMMYFUNCTION("""COMPUTED_VALUE"""),34.0)</f>
        <v>34</v>
      </c>
      <c r="N107" s="69">
        <f>IFERROR(__xludf.DUMMYFUNCTION("""COMPUTED_VALUE"""),29.0)</f>
        <v>29</v>
      </c>
      <c r="O107" s="69">
        <f>IFERROR(__xludf.DUMMYFUNCTION("""COMPUTED_VALUE"""),4.0)</f>
        <v>4</v>
      </c>
      <c r="P107" s="69">
        <f>IFERROR(__xludf.DUMMYFUNCTION("""COMPUTED_VALUE"""),1.0)</f>
        <v>1</v>
      </c>
      <c r="Q107" s="69">
        <f>IFERROR(__xludf.DUMMYFUNCTION("""COMPUTED_VALUE"""),0.0)</f>
        <v>0</v>
      </c>
      <c r="R107" s="69">
        <f>IFERROR(__xludf.DUMMYFUNCTION("""COMPUTED_VALUE"""),0.0)</f>
        <v>0</v>
      </c>
      <c r="S107" s="69">
        <f>IFERROR(__xludf.DUMMYFUNCTION("""COMPUTED_VALUE"""),0.0)</f>
        <v>0</v>
      </c>
      <c r="T107" s="69">
        <f>IFERROR(__xludf.DUMMYFUNCTION("""COMPUTED_VALUE"""),34.0)</f>
        <v>34</v>
      </c>
      <c r="U107" s="25"/>
      <c r="V107" s="54"/>
      <c r="W107" s="25">
        <f t="shared" si="39"/>
        <v>44690</v>
      </c>
      <c r="X107" s="69">
        <f t="shared" ref="X107:AC107" si="108">M107</f>
        <v>34</v>
      </c>
      <c r="Y107" s="69">
        <f t="shared" si="108"/>
        <v>29</v>
      </c>
      <c r="Z107" s="69">
        <f t="shared" si="108"/>
        <v>4</v>
      </c>
      <c r="AA107" s="69">
        <f t="shared" si="108"/>
        <v>1</v>
      </c>
      <c r="AB107" s="69">
        <f t="shared" si="108"/>
        <v>0</v>
      </c>
      <c r="AC107" s="69">
        <f t="shared" si="108"/>
        <v>0</v>
      </c>
    </row>
    <row r="108">
      <c r="B108" s="14">
        <f>IFERROR(__xludf.DUMMYFUNCTION("""COMPUTED_VALUE"""),44569.0)</f>
        <v>44569</v>
      </c>
      <c r="C108" s="16">
        <f>IFERROR(__xludf.DUMMYFUNCTION("""COMPUTED_VALUE"""),7.0)</f>
        <v>7</v>
      </c>
      <c r="D108" s="16">
        <f>IFERROR(__xludf.DUMMYFUNCTION("""COMPUTED_VALUE"""),6.0)</f>
        <v>6</v>
      </c>
      <c r="E108" s="16">
        <f>IFERROR(__xludf.DUMMYFUNCTION("""COMPUTED_VALUE"""),1.0)</f>
        <v>1</v>
      </c>
      <c r="F108" s="16">
        <f>IFERROR(__xludf.DUMMYFUNCTION("""COMPUTED_VALUE"""),0.0)</f>
        <v>0</v>
      </c>
      <c r="G108" s="16">
        <f>IFERROR(__xludf.DUMMYFUNCTION("""COMPUTED_VALUE"""),0.0)</f>
        <v>0</v>
      </c>
      <c r="H108" s="16">
        <f>IFERROR(__xludf.DUMMYFUNCTION("""COMPUTED_VALUE"""),0.0)</f>
        <v>0</v>
      </c>
      <c r="I108" s="16">
        <f>IFERROR(__xludf.DUMMYFUNCTION("""COMPUTED_VALUE"""),0.0)</f>
        <v>0</v>
      </c>
      <c r="J108" s="16" t="b">
        <f>IFERROR(__xludf.DUMMYFUNCTION("""COMPUTED_VALUE"""),TRUE)</f>
        <v>1</v>
      </c>
      <c r="K108" s="544"/>
      <c r="L108" s="14">
        <f>IFERROR(__xludf.DUMMYFUNCTION("""COMPUTED_VALUE"""),44692.0)</f>
        <v>44692</v>
      </c>
      <c r="M108" s="69">
        <f>IFERROR(__xludf.DUMMYFUNCTION("""COMPUTED_VALUE"""),6.0)</f>
        <v>6</v>
      </c>
      <c r="N108" s="69">
        <f>IFERROR(__xludf.DUMMYFUNCTION("""COMPUTED_VALUE"""),5.0)</f>
        <v>5</v>
      </c>
      <c r="O108" s="69">
        <f>IFERROR(__xludf.DUMMYFUNCTION("""COMPUTED_VALUE"""),0.0)</f>
        <v>0</v>
      </c>
      <c r="P108" s="69">
        <f>IFERROR(__xludf.DUMMYFUNCTION("""COMPUTED_VALUE"""),1.0)</f>
        <v>1</v>
      </c>
      <c r="Q108" s="69">
        <f>IFERROR(__xludf.DUMMYFUNCTION("""COMPUTED_VALUE"""),0.0)</f>
        <v>0</v>
      </c>
      <c r="R108" s="69">
        <f>IFERROR(__xludf.DUMMYFUNCTION("""COMPUTED_VALUE"""),0.0)</f>
        <v>0</v>
      </c>
      <c r="S108" s="69">
        <f>IFERROR(__xludf.DUMMYFUNCTION("""COMPUTED_VALUE"""),0.0)</f>
        <v>0</v>
      </c>
      <c r="T108" s="69">
        <f>IFERROR(__xludf.DUMMYFUNCTION("""COMPUTED_VALUE"""),6.0)</f>
        <v>6</v>
      </c>
      <c r="U108" s="25"/>
      <c r="V108" s="54"/>
      <c r="W108" s="25">
        <f t="shared" si="39"/>
        <v>44692</v>
      </c>
      <c r="X108" s="69">
        <f t="shared" ref="X108:AC108" si="109">M108</f>
        <v>6</v>
      </c>
      <c r="Y108" s="69">
        <f t="shared" si="109"/>
        <v>5</v>
      </c>
      <c r="Z108" s="69">
        <f t="shared" si="109"/>
        <v>0</v>
      </c>
      <c r="AA108" s="69">
        <f t="shared" si="109"/>
        <v>1</v>
      </c>
      <c r="AB108" s="69">
        <f t="shared" si="109"/>
        <v>0</v>
      </c>
      <c r="AC108" s="69">
        <f t="shared" si="109"/>
        <v>0</v>
      </c>
    </row>
    <row r="109">
      <c r="B109" s="14">
        <f>IFERROR(__xludf.DUMMYFUNCTION("""COMPUTED_VALUE"""),44570.0)</f>
        <v>44570</v>
      </c>
      <c r="C109" s="16">
        <f>IFERROR(__xludf.DUMMYFUNCTION("""COMPUTED_VALUE"""),18.0)</f>
        <v>18</v>
      </c>
      <c r="D109" s="16">
        <f>IFERROR(__xludf.DUMMYFUNCTION("""COMPUTED_VALUE"""),11.0)</f>
        <v>11</v>
      </c>
      <c r="E109" s="16">
        <f>IFERROR(__xludf.DUMMYFUNCTION("""COMPUTED_VALUE"""),7.0)</f>
        <v>7</v>
      </c>
      <c r="F109" s="16">
        <f>IFERROR(__xludf.DUMMYFUNCTION("""COMPUTED_VALUE"""),0.0)</f>
        <v>0</v>
      </c>
      <c r="G109" s="16">
        <f>IFERROR(__xludf.DUMMYFUNCTION("""COMPUTED_VALUE"""),0.0)</f>
        <v>0</v>
      </c>
      <c r="H109" s="16">
        <f>IFERROR(__xludf.DUMMYFUNCTION("""COMPUTED_VALUE"""),0.0)</f>
        <v>0</v>
      </c>
      <c r="I109" s="16">
        <f>IFERROR(__xludf.DUMMYFUNCTION("""COMPUTED_VALUE"""),0.0)</f>
        <v>0</v>
      </c>
      <c r="J109" s="16"/>
      <c r="K109" s="544"/>
      <c r="L109" s="14">
        <f>IFERROR(__xludf.DUMMYFUNCTION("""COMPUTED_VALUE"""),44693.0)</f>
        <v>44693</v>
      </c>
      <c r="M109" s="69">
        <f>IFERROR(__xludf.DUMMYFUNCTION("""COMPUTED_VALUE"""),20.0)</f>
        <v>20</v>
      </c>
      <c r="N109" s="69">
        <f>IFERROR(__xludf.DUMMYFUNCTION("""COMPUTED_VALUE"""),20.0)</f>
        <v>20</v>
      </c>
      <c r="O109" s="69">
        <f>IFERROR(__xludf.DUMMYFUNCTION("""COMPUTED_VALUE"""),0.0)</f>
        <v>0</v>
      </c>
      <c r="P109" s="69">
        <f>IFERROR(__xludf.DUMMYFUNCTION("""COMPUTED_VALUE"""),0.0)</f>
        <v>0</v>
      </c>
      <c r="Q109" s="69">
        <f>IFERROR(__xludf.DUMMYFUNCTION("""COMPUTED_VALUE"""),0.0)</f>
        <v>0</v>
      </c>
      <c r="R109" s="69">
        <f>IFERROR(__xludf.DUMMYFUNCTION("""COMPUTED_VALUE"""),0.0)</f>
        <v>0</v>
      </c>
      <c r="S109" s="69">
        <f>IFERROR(__xludf.DUMMYFUNCTION("""COMPUTED_VALUE"""),0.0)</f>
        <v>0</v>
      </c>
      <c r="T109" s="69">
        <f>IFERROR(__xludf.DUMMYFUNCTION("""COMPUTED_VALUE"""),20.0)</f>
        <v>20</v>
      </c>
      <c r="U109" s="25"/>
      <c r="V109" s="54"/>
      <c r="W109" s="25">
        <f t="shared" si="39"/>
        <v>44693</v>
      </c>
      <c r="X109" s="69">
        <f t="shared" ref="X109:AC109" si="110">M109</f>
        <v>20</v>
      </c>
      <c r="Y109" s="69">
        <f t="shared" si="110"/>
        <v>20</v>
      </c>
      <c r="Z109" s="69">
        <f t="shared" si="110"/>
        <v>0</v>
      </c>
      <c r="AA109" s="69">
        <f t="shared" si="110"/>
        <v>0</v>
      </c>
      <c r="AB109" s="69">
        <f t="shared" si="110"/>
        <v>0</v>
      </c>
      <c r="AC109" s="69">
        <f t="shared" si="110"/>
        <v>0</v>
      </c>
    </row>
    <row r="110">
      <c r="B110" s="14">
        <f>IFERROR(__xludf.DUMMYFUNCTION("""COMPUTED_VALUE"""),44571.0)</f>
        <v>44571</v>
      </c>
      <c r="C110" s="16">
        <f>IFERROR(__xludf.DUMMYFUNCTION("""COMPUTED_VALUE"""),27.0)</f>
        <v>27</v>
      </c>
      <c r="D110" s="16">
        <f>IFERROR(__xludf.DUMMYFUNCTION("""COMPUTED_VALUE"""),19.0)</f>
        <v>19</v>
      </c>
      <c r="E110" s="16">
        <f>IFERROR(__xludf.DUMMYFUNCTION("""COMPUTED_VALUE"""),7.0)</f>
        <v>7</v>
      </c>
      <c r="F110" s="16">
        <f>IFERROR(__xludf.DUMMYFUNCTION("""COMPUTED_VALUE"""),1.0)</f>
        <v>1</v>
      </c>
      <c r="G110" s="16">
        <f>IFERROR(__xludf.DUMMYFUNCTION("""COMPUTED_VALUE"""),0.0)</f>
        <v>0</v>
      </c>
      <c r="H110" s="16">
        <f>IFERROR(__xludf.DUMMYFUNCTION("""COMPUTED_VALUE"""),0.0)</f>
        <v>0</v>
      </c>
      <c r="I110" s="16">
        <f>IFERROR(__xludf.DUMMYFUNCTION("""COMPUTED_VALUE"""),0.0)</f>
        <v>0</v>
      </c>
      <c r="J110" s="16" t="b">
        <f>IFERROR(__xludf.DUMMYFUNCTION("""COMPUTED_VALUE"""),TRUE)</f>
        <v>1</v>
      </c>
      <c r="K110" s="544"/>
      <c r="L110" s="14">
        <f>IFERROR(__xludf.DUMMYFUNCTION("""COMPUTED_VALUE"""),44697.0)</f>
        <v>44697</v>
      </c>
      <c r="M110" s="69">
        <f>IFERROR(__xludf.DUMMYFUNCTION("""COMPUTED_VALUE"""),19.0)</f>
        <v>19</v>
      </c>
      <c r="N110" s="69">
        <f>IFERROR(__xludf.DUMMYFUNCTION("""COMPUTED_VALUE"""),19.0)</f>
        <v>19</v>
      </c>
      <c r="O110" s="69">
        <f>IFERROR(__xludf.DUMMYFUNCTION("""COMPUTED_VALUE"""),0.0)</f>
        <v>0</v>
      </c>
      <c r="P110" s="69">
        <f>IFERROR(__xludf.DUMMYFUNCTION("""COMPUTED_VALUE"""),0.0)</f>
        <v>0</v>
      </c>
      <c r="Q110" s="69">
        <f>IFERROR(__xludf.DUMMYFUNCTION("""COMPUTED_VALUE"""),0.0)</f>
        <v>0</v>
      </c>
      <c r="R110" s="69">
        <f>IFERROR(__xludf.DUMMYFUNCTION("""COMPUTED_VALUE"""),0.0)</f>
        <v>0</v>
      </c>
      <c r="S110" s="69">
        <f>IFERROR(__xludf.DUMMYFUNCTION("""COMPUTED_VALUE"""),0.0)</f>
        <v>0</v>
      </c>
      <c r="T110" s="69">
        <f>IFERROR(__xludf.DUMMYFUNCTION("""COMPUTED_VALUE"""),19.0)</f>
        <v>19</v>
      </c>
      <c r="U110" s="25"/>
      <c r="V110" s="54"/>
      <c r="W110" s="25">
        <f t="shared" si="39"/>
        <v>44697</v>
      </c>
      <c r="X110" s="69">
        <f t="shared" ref="X110:AC110" si="111">M110</f>
        <v>19</v>
      </c>
      <c r="Y110" s="69">
        <f t="shared" si="111"/>
        <v>19</v>
      </c>
      <c r="Z110" s="69">
        <f t="shared" si="111"/>
        <v>0</v>
      </c>
      <c r="AA110" s="69">
        <f t="shared" si="111"/>
        <v>0</v>
      </c>
      <c r="AB110" s="69">
        <f t="shared" si="111"/>
        <v>0</v>
      </c>
      <c r="AC110" s="69">
        <f t="shared" si="111"/>
        <v>0</v>
      </c>
    </row>
    <row r="111">
      <c r="B111" s="14">
        <f>IFERROR(__xludf.DUMMYFUNCTION("""COMPUTED_VALUE"""),44572.0)</f>
        <v>44572</v>
      </c>
      <c r="C111" s="16">
        <f>IFERROR(__xludf.DUMMYFUNCTION("""COMPUTED_VALUE"""),3.0)</f>
        <v>3</v>
      </c>
      <c r="D111" s="16">
        <f>IFERROR(__xludf.DUMMYFUNCTION("""COMPUTED_VALUE"""),2.0)</f>
        <v>2</v>
      </c>
      <c r="E111" s="16">
        <f>IFERROR(__xludf.DUMMYFUNCTION("""COMPUTED_VALUE"""),1.0)</f>
        <v>1</v>
      </c>
      <c r="F111" s="16">
        <f>IFERROR(__xludf.DUMMYFUNCTION("""COMPUTED_VALUE"""),0.0)</f>
        <v>0</v>
      </c>
      <c r="G111" s="16">
        <f>IFERROR(__xludf.DUMMYFUNCTION("""COMPUTED_VALUE"""),0.0)</f>
        <v>0</v>
      </c>
      <c r="H111" s="16">
        <f>IFERROR(__xludf.DUMMYFUNCTION("""COMPUTED_VALUE"""),0.0)</f>
        <v>0</v>
      </c>
      <c r="I111" s="16">
        <f>IFERROR(__xludf.DUMMYFUNCTION("""COMPUTED_VALUE"""),0.0)</f>
        <v>0</v>
      </c>
      <c r="J111" s="16"/>
      <c r="K111" s="544"/>
      <c r="L111" s="14">
        <f>IFERROR(__xludf.DUMMYFUNCTION("""COMPUTED_VALUE"""),44698.0)</f>
        <v>44698</v>
      </c>
      <c r="M111" s="69">
        <f>IFERROR(__xludf.DUMMYFUNCTION("""COMPUTED_VALUE"""),3.0)</f>
        <v>3</v>
      </c>
      <c r="N111" s="69">
        <f>IFERROR(__xludf.DUMMYFUNCTION("""COMPUTED_VALUE"""),3.0)</f>
        <v>3</v>
      </c>
      <c r="O111" s="69">
        <f>IFERROR(__xludf.DUMMYFUNCTION("""COMPUTED_VALUE"""),0.0)</f>
        <v>0</v>
      </c>
      <c r="P111" s="69">
        <f>IFERROR(__xludf.DUMMYFUNCTION("""COMPUTED_VALUE"""),0.0)</f>
        <v>0</v>
      </c>
      <c r="Q111" s="69">
        <f>IFERROR(__xludf.DUMMYFUNCTION("""COMPUTED_VALUE"""),0.0)</f>
        <v>0</v>
      </c>
      <c r="R111" s="69">
        <f>IFERROR(__xludf.DUMMYFUNCTION("""COMPUTED_VALUE"""),0.0)</f>
        <v>0</v>
      </c>
      <c r="S111" s="69">
        <f>IFERROR(__xludf.DUMMYFUNCTION("""COMPUTED_VALUE"""),0.0)</f>
        <v>0</v>
      </c>
      <c r="T111" s="69">
        <f>IFERROR(__xludf.DUMMYFUNCTION("""COMPUTED_VALUE"""),3.0)</f>
        <v>3</v>
      </c>
      <c r="U111" s="25"/>
      <c r="V111" s="54"/>
      <c r="W111" s="25">
        <f t="shared" si="39"/>
        <v>44698</v>
      </c>
      <c r="X111" s="69">
        <f t="shared" ref="X111:AC111" si="112">M111</f>
        <v>3</v>
      </c>
      <c r="Y111" s="69">
        <f t="shared" si="112"/>
        <v>3</v>
      </c>
      <c r="Z111" s="69">
        <f t="shared" si="112"/>
        <v>0</v>
      </c>
      <c r="AA111" s="69">
        <f t="shared" si="112"/>
        <v>0</v>
      </c>
      <c r="AB111" s="69">
        <f t="shared" si="112"/>
        <v>0</v>
      </c>
      <c r="AC111" s="69">
        <f t="shared" si="112"/>
        <v>0</v>
      </c>
    </row>
    <row r="112">
      <c r="B112" s="14">
        <f>IFERROR(__xludf.DUMMYFUNCTION("""COMPUTED_VALUE"""),44573.0)</f>
        <v>44573</v>
      </c>
      <c r="C112" s="16">
        <f>IFERROR(__xludf.DUMMYFUNCTION("""COMPUTED_VALUE"""),9.0)</f>
        <v>9</v>
      </c>
      <c r="D112" s="16">
        <f>IFERROR(__xludf.DUMMYFUNCTION("""COMPUTED_VALUE"""),9.0)</f>
        <v>9</v>
      </c>
      <c r="E112" s="16">
        <f>IFERROR(__xludf.DUMMYFUNCTION("""COMPUTED_VALUE"""),0.0)</f>
        <v>0</v>
      </c>
      <c r="F112" s="16">
        <f>IFERROR(__xludf.DUMMYFUNCTION("""COMPUTED_VALUE"""),0.0)</f>
        <v>0</v>
      </c>
      <c r="G112" s="16">
        <f>IFERROR(__xludf.DUMMYFUNCTION("""COMPUTED_VALUE"""),0.0)</f>
        <v>0</v>
      </c>
      <c r="H112" s="16">
        <f>IFERROR(__xludf.DUMMYFUNCTION("""COMPUTED_VALUE"""),0.0)</f>
        <v>0</v>
      </c>
      <c r="I112" s="16">
        <f>IFERROR(__xludf.DUMMYFUNCTION("""COMPUTED_VALUE"""),0.0)</f>
        <v>0</v>
      </c>
      <c r="J112" s="16"/>
      <c r="K112" s="544"/>
      <c r="L112" s="14">
        <f>IFERROR(__xludf.DUMMYFUNCTION("""COMPUTED_VALUE"""),44700.0)</f>
        <v>44700</v>
      </c>
      <c r="M112" s="69">
        <f>IFERROR(__xludf.DUMMYFUNCTION("""COMPUTED_VALUE"""),22.0)</f>
        <v>22</v>
      </c>
      <c r="N112" s="69">
        <f>IFERROR(__xludf.DUMMYFUNCTION("""COMPUTED_VALUE"""),22.0)</f>
        <v>22</v>
      </c>
      <c r="O112" s="69">
        <f>IFERROR(__xludf.DUMMYFUNCTION("""COMPUTED_VALUE"""),0.0)</f>
        <v>0</v>
      </c>
      <c r="P112" s="69">
        <f>IFERROR(__xludf.DUMMYFUNCTION("""COMPUTED_VALUE"""),0.0)</f>
        <v>0</v>
      </c>
      <c r="Q112" s="69">
        <f>IFERROR(__xludf.DUMMYFUNCTION("""COMPUTED_VALUE"""),0.0)</f>
        <v>0</v>
      </c>
      <c r="R112" s="69">
        <f>IFERROR(__xludf.DUMMYFUNCTION("""COMPUTED_VALUE"""),0.0)</f>
        <v>0</v>
      </c>
      <c r="S112" s="69">
        <f>IFERROR(__xludf.DUMMYFUNCTION("""COMPUTED_VALUE"""),0.0)</f>
        <v>0</v>
      </c>
      <c r="T112" s="69">
        <f>IFERROR(__xludf.DUMMYFUNCTION("""COMPUTED_VALUE"""),22.0)</f>
        <v>22</v>
      </c>
      <c r="U112" s="25"/>
      <c r="V112" s="54"/>
      <c r="W112" s="25">
        <f t="shared" si="39"/>
        <v>44700</v>
      </c>
      <c r="X112" s="69">
        <f t="shared" ref="X112:AC112" si="113">M112</f>
        <v>22</v>
      </c>
      <c r="Y112" s="69">
        <f t="shared" si="113"/>
        <v>22</v>
      </c>
      <c r="Z112" s="69">
        <f t="shared" si="113"/>
        <v>0</v>
      </c>
      <c r="AA112" s="69">
        <f t="shared" si="113"/>
        <v>0</v>
      </c>
      <c r="AB112" s="69">
        <f t="shared" si="113"/>
        <v>0</v>
      </c>
      <c r="AC112" s="69">
        <f t="shared" si="113"/>
        <v>0</v>
      </c>
    </row>
    <row r="113">
      <c r="B113" s="14">
        <f>IFERROR(__xludf.DUMMYFUNCTION("""COMPUTED_VALUE"""),44574.0)</f>
        <v>44574</v>
      </c>
      <c r="C113" s="16">
        <f>IFERROR(__xludf.DUMMYFUNCTION("""COMPUTED_VALUE"""),23.0)</f>
        <v>23</v>
      </c>
      <c r="D113" s="16">
        <f>IFERROR(__xludf.DUMMYFUNCTION("""COMPUTED_VALUE"""),23.0)</f>
        <v>23</v>
      </c>
      <c r="E113" s="16">
        <f>IFERROR(__xludf.DUMMYFUNCTION("""COMPUTED_VALUE"""),0.0)</f>
        <v>0</v>
      </c>
      <c r="F113" s="16">
        <f>IFERROR(__xludf.DUMMYFUNCTION("""COMPUTED_VALUE"""),0.0)</f>
        <v>0</v>
      </c>
      <c r="G113" s="16">
        <f>IFERROR(__xludf.DUMMYFUNCTION("""COMPUTED_VALUE"""),0.0)</f>
        <v>0</v>
      </c>
      <c r="H113" s="16">
        <f>IFERROR(__xludf.DUMMYFUNCTION("""COMPUTED_VALUE"""),0.0)</f>
        <v>0</v>
      </c>
      <c r="I113" s="16">
        <f>IFERROR(__xludf.DUMMYFUNCTION("""COMPUTED_VALUE"""),0.0)</f>
        <v>0</v>
      </c>
      <c r="J113" s="16"/>
      <c r="K113" s="544"/>
      <c r="L113" s="14">
        <f>IFERROR(__xludf.DUMMYFUNCTION("""COMPUTED_VALUE"""),44704.0)</f>
        <v>44704</v>
      </c>
      <c r="M113" s="69">
        <f>IFERROR(__xludf.DUMMYFUNCTION("""COMPUTED_VALUE"""),22.0)</f>
        <v>22</v>
      </c>
      <c r="N113" s="69">
        <f>IFERROR(__xludf.DUMMYFUNCTION("""COMPUTED_VALUE"""),20.0)</f>
        <v>20</v>
      </c>
      <c r="O113" s="69">
        <f>IFERROR(__xludf.DUMMYFUNCTION("""COMPUTED_VALUE"""),2.0)</f>
        <v>2</v>
      </c>
      <c r="P113" s="69">
        <f>IFERROR(__xludf.DUMMYFUNCTION("""COMPUTED_VALUE"""),0.0)</f>
        <v>0</v>
      </c>
      <c r="Q113" s="69">
        <f>IFERROR(__xludf.DUMMYFUNCTION("""COMPUTED_VALUE"""),0.0)</f>
        <v>0</v>
      </c>
      <c r="R113" s="69">
        <f>IFERROR(__xludf.DUMMYFUNCTION("""COMPUTED_VALUE"""),0.0)</f>
        <v>0</v>
      </c>
      <c r="S113" s="69">
        <f>IFERROR(__xludf.DUMMYFUNCTION("""COMPUTED_VALUE"""),0.0)</f>
        <v>0</v>
      </c>
      <c r="T113" s="69">
        <f>IFERROR(__xludf.DUMMYFUNCTION("""COMPUTED_VALUE"""),22.0)</f>
        <v>22</v>
      </c>
      <c r="U113" s="25"/>
      <c r="V113" s="54"/>
      <c r="W113" s="25">
        <f t="shared" si="39"/>
        <v>44704</v>
      </c>
      <c r="X113" s="69">
        <f t="shared" ref="X113:AC113" si="114">M113</f>
        <v>22</v>
      </c>
      <c r="Y113" s="69">
        <f t="shared" si="114"/>
        <v>20</v>
      </c>
      <c r="Z113" s="69">
        <f t="shared" si="114"/>
        <v>2</v>
      </c>
      <c r="AA113" s="69">
        <f t="shared" si="114"/>
        <v>0</v>
      </c>
      <c r="AB113" s="69">
        <f t="shared" si="114"/>
        <v>0</v>
      </c>
      <c r="AC113" s="69">
        <f t="shared" si="114"/>
        <v>0</v>
      </c>
    </row>
    <row r="114">
      <c r="B114" s="14">
        <f>IFERROR(__xludf.DUMMYFUNCTION("""COMPUTED_VALUE"""),44576.0)</f>
        <v>44576</v>
      </c>
      <c r="C114" s="16">
        <f>IFERROR(__xludf.DUMMYFUNCTION("""COMPUTED_VALUE"""),4.0)</f>
        <v>4</v>
      </c>
      <c r="D114" s="16">
        <f>IFERROR(__xludf.DUMMYFUNCTION("""COMPUTED_VALUE"""),4.0)</f>
        <v>4</v>
      </c>
      <c r="E114" s="16">
        <f>IFERROR(__xludf.DUMMYFUNCTION("""COMPUTED_VALUE"""),0.0)</f>
        <v>0</v>
      </c>
      <c r="F114" s="16">
        <f>IFERROR(__xludf.DUMMYFUNCTION("""COMPUTED_VALUE"""),0.0)</f>
        <v>0</v>
      </c>
      <c r="G114" s="16">
        <f>IFERROR(__xludf.DUMMYFUNCTION("""COMPUTED_VALUE"""),0.0)</f>
        <v>0</v>
      </c>
      <c r="H114" s="16">
        <f>IFERROR(__xludf.DUMMYFUNCTION("""COMPUTED_VALUE"""),0.0)</f>
        <v>0</v>
      </c>
      <c r="I114" s="16">
        <f>IFERROR(__xludf.DUMMYFUNCTION("""COMPUTED_VALUE"""),0.0)</f>
        <v>0</v>
      </c>
      <c r="J114" s="16" t="b">
        <f>IFERROR(__xludf.DUMMYFUNCTION("""COMPUTED_VALUE"""),TRUE)</f>
        <v>1</v>
      </c>
      <c r="K114" s="544"/>
      <c r="L114" s="14">
        <f>IFERROR(__xludf.DUMMYFUNCTION("""COMPUTED_VALUE"""),44707.0)</f>
        <v>44707</v>
      </c>
      <c r="M114" s="69">
        <f>IFERROR(__xludf.DUMMYFUNCTION("""COMPUTED_VALUE"""),21.0)</f>
        <v>21</v>
      </c>
      <c r="N114" s="69">
        <f>IFERROR(__xludf.DUMMYFUNCTION("""COMPUTED_VALUE"""),21.0)</f>
        <v>21</v>
      </c>
      <c r="O114" s="69">
        <f>IFERROR(__xludf.DUMMYFUNCTION("""COMPUTED_VALUE"""),0.0)</f>
        <v>0</v>
      </c>
      <c r="P114" s="69">
        <f>IFERROR(__xludf.DUMMYFUNCTION("""COMPUTED_VALUE"""),0.0)</f>
        <v>0</v>
      </c>
      <c r="Q114" s="69">
        <f>IFERROR(__xludf.DUMMYFUNCTION("""COMPUTED_VALUE"""),0.0)</f>
        <v>0</v>
      </c>
      <c r="R114" s="69">
        <f>IFERROR(__xludf.DUMMYFUNCTION("""COMPUTED_VALUE"""),0.0)</f>
        <v>0</v>
      </c>
      <c r="S114" s="69">
        <f>IFERROR(__xludf.DUMMYFUNCTION("""COMPUTED_VALUE"""),0.0)</f>
        <v>0</v>
      </c>
      <c r="T114" s="69">
        <f>IFERROR(__xludf.DUMMYFUNCTION("""COMPUTED_VALUE"""),21.0)</f>
        <v>21</v>
      </c>
      <c r="U114" s="25"/>
      <c r="V114" s="54"/>
      <c r="W114" s="25">
        <f t="shared" si="39"/>
        <v>44707</v>
      </c>
      <c r="X114" s="69">
        <f t="shared" ref="X114:AC114" si="115">M114</f>
        <v>21</v>
      </c>
      <c r="Y114" s="69">
        <f t="shared" si="115"/>
        <v>21</v>
      </c>
      <c r="Z114" s="69">
        <f t="shared" si="115"/>
        <v>0</v>
      </c>
      <c r="AA114" s="69">
        <f t="shared" si="115"/>
        <v>0</v>
      </c>
      <c r="AB114" s="69">
        <f t="shared" si="115"/>
        <v>0</v>
      </c>
      <c r="AC114" s="69">
        <f t="shared" si="115"/>
        <v>0</v>
      </c>
    </row>
    <row r="115">
      <c r="B115" s="14">
        <f>IFERROR(__xludf.DUMMYFUNCTION("""COMPUTED_VALUE"""),44577.0)</f>
        <v>44577</v>
      </c>
      <c r="C115" s="16">
        <f>IFERROR(__xludf.DUMMYFUNCTION("""COMPUTED_VALUE"""),5.0)</f>
        <v>5</v>
      </c>
      <c r="D115" s="16">
        <f>IFERROR(__xludf.DUMMYFUNCTION("""COMPUTED_VALUE"""),5.0)</f>
        <v>5</v>
      </c>
      <c r="E115" s="16">
        <f>IFERROR(__xludf.DUMMYFUNCTION("""COMPUTED_VALUE"""),0.0)</f>
        <v>0</v>
      </c>
      <c r="F115" s="16">
        <f>IFERROR(__xludf.DUMMYFUNCTION("""COMPUTED_VALUE"""),0.0)</f>
        <v>0</v>
      </c>
      <c r="G115" s="16">
        <f>IFERROR(__xludf.DUMMYFUNCTION("""COMPUTED_VALUE"""),0.0)</f>
        <v>0</v>
      </c>
      <c r="H115" s="16">
        <f>IFERROR(__xludf.DUMMYFUNCTION("""COMPUTED_VALUE"""),0.0)</f>
        <v>0</v>
      </c>
      <c r="I115" s="16">
        <f>IFERROR(__xludf.DUMMYFUNCTION("""COMPUTED_VALUE"""),0.0)</f>
        <v>0</v>
      </c>
      <c r="J115" s="16"/>
      <c r="K115" s="544"/>
      <c r="L115" s="14">
        <f>IFERROR(__xludf.DUMMYFUNCTION("""COMPUTED_VALUE"""),44712.0)</f>
        <v>44712</v>
      </c>
      <c r="M115" s="69">
        <f>IFERROR(__xludf.DUMMYFUNCTION("""COMPUTED_VALUE"""),20.0)</f>
        <v>20</v>
      </c>
      <c r="N115" s="69">
        <f>IFERROR(__xludf.DUMMYFUNCTION("""COMPUTED_VALUE"""),20.0)</f>
        <v>20</v>
      </c>
      <c r="O115" s="69">
        <f>IFERROR(__xludf.DUMMYFUNCTION("""COMPUTED_VALUE"""),0.0)</f>
        <v>0</v>
      </c>
      <c r="P115" s="69">
        <f>IFERROR(__xludf.DUMMYFUNCTION("""COMPUTED_VALUE"""),0.0)</f>
        <v>0</v>
      </c>
      <c r="Q115" s="69">
        <f>IFERROR(__xludf.DUMMYFUNCTION("""COMPUTED_VALUE"""),0.0)</f>
        <v>0</v>
      </c>
      <c r="R115" s="69">
        <f>IFERROR(__xludf.DUMMYFUNCTION("""COMPUTED_VALUE"""),0.0)</f>
        <v>0</v>
      </c>
      <c r="S115" s="69">
        <f>IFERROR(__xludf.DUMMYFUNCTION("""COMPUTED_VALUE"""),0.0)</f>
        <v>0</v>
      </c>
      <c r="T115" s="69">
        <f>IFERROR(__xludf.DUMMYFUNCTION("""COMPUTED_VALUE"""),20.0)</f>
        <v>20</v>
      </c>
      <c r="U115" s="25"/>
      <c r="V115" s="54"/>
      <c r="W115" s="25">
        <f t="shared" si="39"/>
        <v>44712</v>
      </c>
      <c r="X115" s="69">
        <f t="shared" ref="X115:AC115" si="116">M115</f>
        <v>20</v>
      </c>
      <c r="Y115" s="69">
        <f t="shared" si="116"/>
        <v>20</v>
      </c>
      <c r="Z115" s="69">
        <f t="shared" si="116"/>
        <v>0</v>
      </c>
      <c r="AA115" s="69">
        <f t="shared" si="116"/>
        <v>0</v>
      </c>
      <c r="AB115" s="69">
        <f t="shared" si="116"/>
        <v>0</v>
      </c>
      <c r="AC115" s="69">
        <f t="shared" si="116"/>
        <v>0</v>
      </c>
    </row>
    <row r="116">
      <c r="B116" s="14">
        <f>IFERROR(__xludf.DUMMYFUNCTION("""COMPUTED_VALUE"""),44578.0)</f>
        <v>44578</v>
      </c>
      <c r="C116" s="16">
        <f>IFERROR(__xludf.DUMMYFUNCTION("""COMPUTED_VALUE"""),42.0)</f>
        <v>42</v>
      </c>
      <c r="D116" s="16">
        <f>IFERROR(__xludf.DUMMYFUNCTION("""COMPUTED_VALUE"""),33.0)</f>
        <v>33</v>
      </c>
      <c r="E116" s="16">
        <f>IFERROR(__xludf.DUMMYFUNCTION("""COMPUTED_VALUE"""),9.0)</f>
        <v>9</v>
      </c>
      <c r="F116" s="16">
        <f>IFERROR(__xludf.DUMMYFUNCTION("""COMPUTED_VALUE"""),0.0)</f>
        <v>0</v>
      </c>
      <c r="G116" s="16">
        <f>IFERROR(__xludf.DUMMYFUNCTION("""COMPUTED_VALUE"""),0.0)</f>
        <v>0</v>
      </c>
      <c r="H116" s="16">
        <f>IFERROR(__xludf.DUMMYFUNCTION("""COMPUTED_VALUE"""),0.0)</f>
        <v>0</v>
      </c>
      <c r="I116" s="16">
        <f>IFERROR(__xludf.DUMMYFUNCTION("""COMPUTED_VALUE"""),0.0)</f>
        <v>0</v>
      </c>
      <c r="J116" s="16"/>
      <c r="K116" s="544"/>
      <c r="L116" s="14">
        <f>IFERROR(__xludf.DUMMYFUNCTION("""COMPUTED_VALUE"""),44718.0)</f>
        <v>44718</v>
      </c>
      <c r="M116" s="69">
        <f>IFERROR(__xludf.DUMMYFUNCTION("""COMPUTED_VALUE"""),4.0)</f>
        <v>4</v>
      </c>
      <c r="N116" s="69">
        <f>IFERROR(__xludf.DUMMYFUNCTION("""COMPUTED_VALUE"""),4.0)</f>
        <v>4</v>
      </c>
      <c r="O116" s="69">
        <f>IFERROR(__xludf.DUMMYFUNCTION("""COMPUTED_VALUE"""),0.0)</f>
        <v>0</v>
      </c>
      <c r="P116" s="69">
        <f>IFERROR(__xludf.DUMMYFUNCTION("""COMPUTED_VALUE"""),0.0)</f>
        <v>0</v>
      </c>
      <c r="Q116" s="69">
        <f>IFERROR(__xludf.DUMMYFUNCTION("""COMPUTED_VALUE"""),0.0)</f>
        <v>0</v>
      </c>
      <c r="R116" s="69">
        <f>IFERROR(__xludf.DUMMYFUNCTION("""COMPUTED_VALUE"""),0.0)</f>
        <v>0</v>
      </c>
      <c r="S116" s="69">
        <f>IFERROR(__xludf.DUMMYFUNCTION("""COMPUTED_VALUE"""),0.0)</f>
        <v>0</v>
      </c>
      <c r="T116" s="69">
        <f>IFERROR(__xludf.DUMMYFUNCTION("""COMPUTED_VALUE"""),4.0)</f>
        <v>4</v>
      </c>
      <c r="U116" s="25"/>
      <c r="V116" s="54"/>
      <c r="W116" s="25">
        <f t="shared" si="39"/>
        <v>44718</v>
      </c>
      <c r="X116" s="69">
        <f t="shared" ref="X116:AC116" si="117">M116</f>
        <v>4</v>
      </c>
      <c r="Y116" s="69">
        <f t="shared" si="117"/>
        <v>4</v>
      </c>
      <c r="Z116" s="69">
        <f t="shared" si="117"/>
        <v>0</v>
      </c>
      <c r="AA116" s="69">
        <f t="shared" si="117"/>
        <v>0</v>
      </c>
      <c r="AB116" s="69">
        <f t="shared" si="117"/>
        <v>0</v>
      </c>
      <c r="AC116" s="69">
        <f t="shared" si="117"/>
        <v>0</v>
      </c>
    </row>
    <row r="117">
      <c r="B117" s="14">
        <f>IFERROR(__xludf.DUMMYFUNCTION("""COMPUTED_VALUE"""),44579.0)</f>
        <v>44579</v>
      </c>
      <c r="C117" s="16">
        <f>IFERROR(__xludf.DUMMYFUNCTION("""COMPUTED_VALUE"""),1.0)</f>
        <v>1</v>
      </c>
      <c r="D117" s="16">
        <f>IFERROR(__xludf.DUMMYFUNCTION("""COMPUTED_VALUE"""),1.0)</f>
        <v>1</v>
      </c>
      <c r="E117" s="16">
        <f>IFERROR(__xludf.DUMMYFUNCTION("""COMPUTED_VALUE"""),0.0)</f>
        <v>0</v>
      </c>
      <c r="F117" s="16">
        <f>IFERROR(__xludf.DUMMYFUNCTION("""COMPUTED_VALUE"""),0.0)</f>
        <v>0</v>
      </c>
      <c r="G117" s="16">
        <f>IFERROR(__xludf.DUMMYFUNCTION("""COMPUTED_VALUE"""),0.0)</f>
        <v>0</v>
      </c>
      <c r="H117" s="16">
        <f>IFERROR(__xludf.DUMMYFUNCTION("""COMPUTED_VALUE"""),0.0)</f>
        <v>0</v>
      </c>
      <c r="I117" s="16">
        <f>IFERROR(__xludf.DUMMYFUNCTION("""COMPUTED_VALUE"""),0.0)</f>
        <v>0</v>
      </c>
      <c r="J117" s="16" t="b">
        <f>IFERROR(__xludf.DUMMYFUNCTION("""COMPUTED_VALUE"""),TRUE)</f>
        <v>1</v>
      </c>
      <c r="K117" s="544"/>
      <c r="L117" s="14">
        <f>IFERROR(__xludf.DUMMYFUNCTION("""COMPUTED_VALUE"""),44721.0)</f>
        <v>44721</v>
      </c>
      <c r="M117" s="69">
        <f>IFERROR(__xludf.DUMMYFUNCTION("""COMPUTED_VALUE"""),3.0)</f>
        <v>3</v>
      </c>
      <c r="N117" s="69">
        <f>IFERROR(__xludf.DUMMYFUNCTION("""COMPUTED_VALUE"""),3.0)</f>
        <v>3</v>
      </c>
      <c r="O117" s="69">
        <f>IFERROR(__xludf.DUMMYFUNCTION("""COMPUTED_VALUE"""),0.0)</f>
        <v>0</v>
      </c>
      <c r="P117" s="69">
        <f>IFERROR(__xludf.DUMMYFUNCTION("""COMPUTED_VALUE"""),0.0)</f>
        <v>0</v>
      </c>
      <c r="Q117" s="69">
        <f>IFERROR(__xludf.DUMMYFUNCTION("""COMPUTED_VALUE"""),0.0)</f>
        <v>0</v>
      </c>
      <c r="R117" s="69">
        <f>IFERROR(__xludf.DUMMYFUNCTION("""COMPUTED_VALUE"""),0.0)</f>
        <v>0</v>
      </c>
      <c r="S117" s="69">
        <f>IFERROR(__xludf.DUMMYFUNCTION("""COMPUTED_VALUE"""),0.0)</f>
        <v>0</v>
      </c>
      <c r="T117" s="69">
        <f>IFERROR(__xludf.DUMMYFUNCTION("""COMPUTED_VALUE"""),3.0)</f>
        <v>3</v>
      </c>
      <c r="U117" s="25"/>
      <c r="V117" s="54"/>
      <c r="W117" s="25">
        <f t="shared" si="39"/>
        <v>44721</v>
      </c>
      <c r="X117" s="69">
        <f t="shared" ref="X117:AC117" si="118">M117</f>
        <v>3</v>
      </c>
      <c r="Y117" s="69">
        <f t="shared" si="118"/>
        <v>3</v>
      </c>
      <c r="Z117" s="69">
        <f t="shared" si="118"/>
        <v>0</v>
      </c>
      <c r="AA117" s="69">
        <f t="shared" si="118"/>
        <v>0</v>
      </c>
      <c r="AB117" s="69">
        <f t="shared" si="118"/>
        <v>0</v>
      </c>
      <c r="AC117" s="69">
        <f t="shared" si="118"/>
        <v>0</v>
      </c>
    </row>
    <row r="118">
      <c r="B118" s="14">
        <f>IFERROR(__xludf.DUMMYFUNCTION("""COMPUTED_VALUE"""),44580.0)</f>
        <v>44580</v>
      </c>
      <c r="C118" s="16">
        <f>IFERROR(__xludf.DUMMYFUNCTION("""COMPUTED_VALUE"""),5.0)</f>
        <v>5</v>
      </c>
      <c r="D118" s="16">
        <f>IFERROR(__xludf.DUMMYFUNCTION("""COMPUTED_VALUE"""),5.0)</f>
        <v>5</v>
      </c>
      <c r="E118" s="16">
        <f>IFERROR(__xludf.DUMMYFUNCTION("""COMPUTED_VALUE"""),0.0)</f>
        <v>0</v>
      </c>
      <c r="F118" s="16">
        <f>IFERROR(__xludf.DUMMYFUNCTION("""COMPUTED_VALUE"""),0.0)</f>
        <v>0</v>
      </c>
      <c r="G118" s="16">
        <f>IFERROR(__xludf.DUMMYFUNCTION("""COMPUTED_VALUE"""),0.0)</f>
        <v>0</v>
      </c>
      <c r="H118" s="16">
        <f>IFERROR(__xludf.DUMMYFUNCTION("""COMPUTED_VALUE"""),0.0)</f>
        <v>0</v>
      </c>
      <c r="I118" s="16">
        <f>IFERROR(__xludf.DUMMYFUNCTION("""COMPUTED_VALUE"""),0.0)</f>
        <v>0</v>
      </c>
      <c r="J118" s="16"/>
      <c r="K118" s="544"/>
      <c r="L118" s="14">
        <f>IFERROR(__xludf.DUMMYFUNCTION("""COMPUTED_VALUE"""),44767.0)</f>
        <v>44767</v>
      </c>
      <c r="M118" s="69">
        <f>IFERROR(__xludf.DUMMYFUNCTION("""COMPUTED_VALUE"""),3.0)</f>
        <v>3</v>
      </c>
      <c r="N118" s="69">
        <f>IFERROR(__xludf.DUMMYFUNCTION("""COMPUTED_VALUE"""),3.0)</f>
        <v>3</v>
      </c>
      <c r="O118" s="69">
        <f>IFERROR(__xludf.DUMMYFUNCTION("""COMPUTED_VALUE"""),0.0)</f>
        <v>0</v>
      </c>
      <c r="P118" s="69">
        <f>IFERROR(__xludf.DUMMYFUNCTION("""COMPUTED_VALUE"""),0.0)</f>
        <v>0</v>
      </c>
      <c r="Q118" s="69">
        <f>IFERROR(__xludf.DUMMYFUNCTION("""COMPUTED_VALUE"""),0.0)</f>
        <v>0</v>
      </c>
      <c r="R118" s="69">
        <f>IFERROR(__xludf.DUMMYFUNCTION("""COMPUTED_VALUE"""),0.0)</f>
        <v>0</v>
      </c>
      <c r="S118" s="69">
        <f>IFERROR(__xludf.DUMMYFUNCTION("""COMPUTED_VALUE"""),0.0)</f>
        <v>0</v>
      </c>
      <c r="T118" s="69">
        <f>IFERROR(__xludf.DUMMYFUNCTION("""COMPUTED_VALUE"""),3.0)</f>
        <v>3</v>
      </c>
      <c r="U118" s="25"/>
      <c r="V118" s="54"/>
      <c r="W118" s="25">
        <f t="shared" si="39"/>
        <v>44767</v>
      </c>
      <c r="X118" s="69">
        <f t="shared" ref="X118:AC118" si="119">M118</f>
        <v>3</v>
      </c>
      <c r="Y118" s="69">
        <f t="shared" si="119"/>
        <v>3</v>
      </c>
      <c r="Z118" s="69">
        <f t="shared" si="119"/>
        <v>0</v>
      </c>
      <c r="AA118" s="69">
        <f t="shared" si="119"/>
        <v>0</v>
      </c>
      <c r="AB118" s="69">
        <f t="shared" si="119"/>
        <v>0</v>
      </c>
      <c r="AC118" s="69">
        <f t="shared" si="119"/>
        <v>0</v>
      </c>
    </row>
    <row r="119">
      <c r="B119" s="14">
        <f>IFERROR(__xludf.DUMMYFUNCTION("""COMPUTED_VALUE"""),44581.0)</f>
        <v>44581</v>
      </c>
      <c r="C119" s="16">
        <f>IFERROR(__xludf.DUMMYFUNCTION("""COMPUTED_VALUE"""),29.0)</f>
        <v>29</v>
      </c>
      <c r="D119" s="16">
        <f>IFERROR(__xludf.DUMMYFUNCTION("""COMPUTED_VALUE"""),29.0)</f>
        <v>29</v>
      </c>
      <c r="E119" s="16">
        <f>IFERROR(__xludf.DUMMYFUNCTION("""COMPUTED_VALUE"""),0.0)</f>
        <v>0</v>
      </c>
      <c r="F119" s="16">
        <f>IFERROR(__xludf.DUMMYFUNCTION("""COMPUTED_VALUE"""),0.0)</f>
        <v>0</v>
      </c>
      <c r="G119" s="16">
        <f>IFERROR(__xludf.DUMMYFUNCTION("""COMPUTED_VALUE"""),0.0)</f>
        <v>0</v>
      </c>
      <c r="H119" s="16">
        <f>IFERROR(__xludf.DUMMYFUNCTION("""COMPUTED_VALUE"""),0.0)</f>
        <v>0</v>
      </c>
      <c r="I119" s="16">
        <f>IFERROR(__xludf.DUMMYFUNCTION("""COMPUTED_VALUE"""),0.0)</f>
        <v>0</v>
      </c>
      <c r="J119" s="16" t="b">
        <f>IFERROR(__xludf.DUMMYFUNCTION("""COMPUTED_VALUE"""),TRUE)</f>
        <v>1</v>
      </c>
      <c r="K119" s="544"/>
      <c r="L119" s="14">
        <f>IFERROR(__xludf.DUMMYFUNCTION("""COMPUTED_VALUE"""),44805.0)</f>
        <v>44805</v>
      </c>
      <c r="M119" s="69">
        <f>IFERROR(__xludf.DUMMYFUNCTION("""COMPUTED_VALUE"""),1.0)</f>
        <v>1</v>
      </c>
      <c r="N119" s="69">
        <f>IFERROR(__xludf.DUMMYFUNCTION("""COMPUTED_VALUE"""),1.0)</f>
        <v>1</v>
      </c>
      <c r="O119" s="69">
        <f>IFERROR(__xludf.DUMMYFUNCTION("""COMPUTED_VALUE"""),0.0)</f>
        <v>0</v>
      </c>
      <c r="P119" s="69">
        <f>IFERROR(__xludf.DUMMYFUNCTION("""COMPUTED_VALUE"""),0.0)</f>
        <v>0</v>
      </c>
      <c r="Q119" s="69">
        <f>IFERROR(__xludf.DUMMYFUNCTION("""COMPUTED_VALUE"""),0.0)</f>
        <v>0</v>
      </c>
      <c r="R119" s="69">
        <f>IFERROR(__xludf.DUMMYFUNCTION("""COMPUTED_VALUE"""),0.0)</f>
        <v>0</v>
      </c>
      <c r="S119" s="69">
        <f>IFERROR(__xludf.DUMMYFUNCTION("""COMPUTED_VALUE"""),0.0)</f>
        <v>0</v>
      </c>
      <c r="T119" s="69">
        <f>IFERROR(__xludf.DUMMYFUNCTION("""COMPUTED_VALUE"""),1.0)</f>
        <v>1</v>
      </c>
      <c r="U119" s="25"/>
      <c r="V119" s="54"/>
      <c r="W119" s="25">
        <f t="shared" si="39"/>
        <v>44805</v>
      </c>
      <c r="X119" s="69">
        <f t="shared" ref="X119:AC119" si="120">M119</f>
        <v>1</v>
      </c>
      <c r="Y119" s="69">
        <f t="shared" si="120"/>
        <v>1</v>
      </c>
      <c r="Z119" s="69">
        <f t="shared" si="120"/>
        <v>0</v>
      </c>
      <c r="AA119" s="69">
        <f t="shared" si="120"/>
        <v>0</v>
      </c>
      <c r="AB119" s="69">
        <f t="shared" si="120"/>
        <v>0</v>
      </c>
      <c r="AC119" s="69">
        <f t="shared" si="120"/>
        <v>0</v>
      </c>
    </row>
    <row r="120">
      <c r="B120" s="14">
        <f>IFERROR(__xludf.DUMMYFUNCTION("""COMPUTED_VALUE"""),44583.0)</f>
        <v>44583</v>
      </c>
      <c r="C120" s="16">
        <f>IFERROR(__xludf.DUMMYFUNCTION("""COMPUTED_VALUE"""),3.0)</f>
        <v>3</v>
      </c>
      <c r="D120" s="16">
        <f>IFERROR(__xludf.DUMMYFUNCTION("""COMPUTED_VALUE"""),3.0)</f>
        <v>3</v>
      </c>
      <c r="E120" s="16">
        <f>IFERROR(__xludf.DUMMYFUNCTION("""COMPUTED_VALUE"""),0.0)</f>
        <v>0</v>
      </c>
      <c r="F120" s="16">
        <f>IFERROR(__xludf.DUMMYFUNCTION("""COMPUTED_VALUE"""),0.0)</f>
        <v>0</v>
      </c>
      <c r="G120" s="16">
        <f>IFERROR(__xludf.DUMMYFUNCTION("""COMPUTED_VALUE"""),0.0)</f>
        <v>0</v>
      </c>
      <c r="H120" s="16">
        <f>IFERROR(__xludf.DUMMYFUNCTION("""COMPUTED_VALUE"""),0.0)</f>
        <v>0</v>
      </c>
      <c r="I120" s="16">
        <f>IFERROR(__xludf.DUMMYFUNCTION("""COMPUTED_VALUE"""),0.0)</f>
        <v>0</v>
      </c>
      <c r="J120" s="16" t="b">
        <f>IFERROR(__xludf.DUMMYFUNCTION("""COMPUTED_VALUE"""),TRUE)</f>
        <v>1</v>
      </c>
      <c r="K120" s="544"/>
      <c r="L120" s="14">
        <f>IFERROR(__xludf.DUMMYFUNCTION("""COMPUTED_VALUE"""),44810.0)</f>
        <v>44810</v>
      </c>
      <c r="M120" s="69">
        <f>IFERROR(__xludf.DUMMYFUNCTION("""COMPUTED_VALUE"""),2.0)</f>
        <v>2</v>
      </c>
      <c r="N120" s="69">
        <f>IFERROR(__xludf.DUMMYFUNCTION("""COMPUTED_VALUE"""),2.0)</f>
        <v>2</v>
      </c>
      <c r="O120" s="69">
        <f>IFERROR(__xludf.DUMMYFUNCTION("""COMPUTED_VALUE"""),0.0)</f>
        <v>0</v>
      </c>
      <c r="P120" s="69">
        <f>IFERROR(__xludf.DUMMYFUNCTION("""COMPUTED_VALUE"""),0.0)</f>
        <v>0</v>
      </c>
      <c r="Q120" s="69">
        <f>IFERROR(__xludf.DUMMYFUNCTION("""COMPUTED_VALUE"""),0.0)</f>
        <v>0</v>
      </c>
      <c r="R120" s="69">
        <f>IFERROR(__xludf.DUMMYFUNCTION("""COMPUTED_VALUE"""),0.0)</f>
        <v>0</v>
      </c>
      <c r="S120" s="69">
        <f>IFERROR(__xludf.DUMMYFUNCTION("""COMPUTED_VALUE"""),0.0)</f>
        <v>0</v>
      </c>
      <c r="T120" s="69">
        <f>IFERROR(__xludf.DUMMYFUNCTION("""COMPUTED_VALUE"""),2.0)</f>
        <v>2</v>
      </c>
      <c r="U120" s="25"/>
      <c r="V120" s="54"/>
      <c r="W120" s="25">
        <f t="shared" si="39"/>
        <v>44810</v>
      </c>
      <c r="X120" s="69">
        <f t="shared" ref="X120:AC120" si="121">M120</f>
        <v>2</v>
      </c>
      <c r="Y120" s="69">
        <f t="shared" si="121"/>
        <v>2</v>
      </c>
      <c r="Z120" s="69">
        <f t="shared" si="121"/>
        <v>0</v>
      </c>
      <c r="AA120" s="69">
        <f t="shared" si="121"/>
        <v>0</v>
      </c>
      <c r="AB120" s="69">
        <f t="shared" si="121"/>
        <v>0</v>
      </c>
      <c r="AC120" s="69">
        <f t="shared" si="121"/>
        <v>0</v>
      </c>
    </row>
    <row r="121">
      <c r="B121" s="14">
        <f>IFERROR(__xludf.DUMMYFUNCTION("""COMPUTED_VALUE"""),44584.0)</f>
        <v>44584</v>
      </c>
      <c r="C121" s="16">
        <f>IFERROR(__xludf.DUMMYFUNCTION("""COMPUTED_VALUE"""),6.0)</f>
        <v>6</v>
      </c>
      <c r="D121" s="16">
        <f>IFERROR(__xludf.DUMMYFUNCTION("""COMPUTED_VALUE"""),6.0)</f>
        <v>6</v>
      </c>
      <c r="E121" s="16">
        <f>IFERROR(__xludf.DUMMYFUNCTION("""COMPUTED_VALUE"""),0.0)</f>
        <v>0</v>
      </c>
      <c r="F121" s="16">
        <f>IFERROR(__xludf.DUMMYFUNCTION("""COMPUTED_VALUE"""),0.0)</f>
        <v>0</v>
      </c>
      <c r="G121" s="16">
        <f>IFERROR(__xludf.DUMMYFUNCTION("""COMPUTED_VALUE"""),0.0)</f>
        <v>0</v>
      </c>
      <c r="H121" s="16">
        <f>IFERROR(__xludf.DUMMYFUNCTION("""COMPUTED_VALUE"""),0.0)</f>
        <v>0</v>
      </c>
      <c r="I121" s="16">
        <f>IFERROR(__xludf.DUMMYFUNCTION("""COMPUTED_VALUE"""),0.0)</f>
        <v>0</v>
      </c>
      <c r="J121" s="16"/>
      <c r="K121" s="544"/>
      <c r="L121" s="14">
        <f>IFERROR(__xludf.DUMMYFUNCTION("""COMPUTED_VALUE"""),44816.0)</f>
        <v>44816</v>
      </c>
      <c r="M121" s="69">
        <f>IFERROR(__xludf.DUMMYFUNCTION("""COMPUTED_VALUE"""),2.0)</f>
        <v>2</v>
      </c>
      <c r="N121" s="69">
        <f>IFERROR(__xludf.DUMMYFUNCTION("""COMPUTED_VALUE"""),2.0)</f>
        <v>2</v>
      </c>
      <c r="O121" s="69">
        <f>IFERROR(__xludf.DUMMYFUNCTION("""COMPUTED_VALUE"""),0.0)</f>
        <v>0</v>
      </c>
      <c r="P121" s="69">
        <f>IFERROR(__xludf.DUMMYFUNCTION("""COMPUTED_VALUE"""),0.0)</f>
        <v>0</v>
      </c>
      <c r="Q121" s="69">
        <f>IFERROR(__xludf.DUMMYFUNCTION("""COMPUTED_VALUE"""),0.0)</f>
        <v>0</v>
      </c>
      <c r="R121" s="69">
        <f>IFERROR(__xludf.DUMMYFUNCTION("""COMPUTED_VALUE"""),0.0)</f>
        <v>0</v>
      </c>
      <c r="S121" s="69">
        <f>IFERROR(__xludf.DUMMYFUNCTION("""COMPUTED_VALUE"""),0.0)</f>
        <v>0</v>
      </c>
      <c r="T121" s="69">
        <f>IFERROR(__xludf.DUMMYFUNCTION("""COMPUTED_VALUE"""),2.0)</f>
        <v>2</v>
      </c>
      <c r="U121" s="25"/>
      <c r="V121" s="54"/>
      <c r="W121" s="25">
        <f t="shared" si="39"/>
        <v>44816</v>
      </c>
      <c r="X121" s="69">
        <f t="shared" ref="X121:AC121" si="122">M121</f>
        <v>2</v>
      </c>
      <c r="Y121" s="69">
        <f t="shared" si="122"/>
        <v>2</v>
      </c>
      <c r="Z121" s="69">
        <f t="shared" si="122"/>
        <v>0</v>
      </c>
      <c r="AA121" s="69">
        <f t="shared" si="122"/>
        <v>0</v>
      </c>
      <c r="AB121" s="69">
        <f t="shared" si="122"/>
        <v>0</v>
      </c>
      <c r="AC121" s="69">
        <f t="shared" si="122"/>
        <v>0</v>
      </c>
    </row>
    <row r="122">
      <c r="B122" s="14">
        <f>IFERROR(__xludf.DUMMYFUNCTION("""COMPUTED_VALUE"""),44585.0)</f>
        <v>44585</v>
      </c>
      <c r="C122" s="16">
        <f>IFERROR(__xludf.DUMMYFUNCTION("""COMPUTED_VALUE"""),19.0)</f>
        <v>19</v>
      </c>
      <c r="D122" s="16">
        <f>IFERROR(__xludf.DUMMYFUNCTION("""COMPUTED_VALUE"""),19.0)</f>
        <v>19</v>
      </c>
      <c r="E122" s="16">
        <f>IFERROR(__xludf.DUMMYFUNCTION("""COMPUTED_VALUE"""),0.0)</f>
        <v>0</v>
      </c>
      <c r="F122" s="16">
        <f>IFERROR(__xludf.DUMMYFUNCTION("""COMPUTED_VALUE"""),0.0)</f>
        <v>0</v>
      </c>
      <c r="G122" s="16">
        <f>IFERROR(__xludf.DUMMYFUNCTION("""COMPUTED_VALUE"""),0.0)</f>
        <v>0</v>
      </c>
      <c r="H122" s="16">
        <f>IFERROR(__xludf.DUMMYFUNCTION("""COMPUTED_VALUE"""),0.0)</f>
        <v>0</v>
      </c>
      <c r="I122" s="16">
        <f>IFERROR(__xludf.DUMMYFUNCTION("""COMPUTED_VALUE"""),0.0)</f>
        <v>0</v>
      </c>
      <c r="J122" s="16" t="b">
        <f>IFERROR(__xludf.DUMMYFUNCTION("""COMPUTED_VALUE"""),TRUE)</f>
        <v>1</v>
      </c>
      <c r="K122" s="544"/>
      <c r="L122" s="14">
        <f>IFERROR(__xludf.DUMMYFUNCTION("""COMPUTED_VALUE"""),44820.0)</f>
        <v>44820</v>
      </c>
      <c r="M122" s="69">
        <f>IFERROR(__xludf.DUMMYFUNCTION("""COMPUTED_VALUE"""),2.0)</f>
        <v>2</v>
      </c>
      <c r="N122" s="69">
        <f>IFERROR(__xludf.DUMMYFUNCTION("""COMPUTED_VALUE"""),2.0)</f>
        <v>2</v>
      </c>
      <c r="O122" s="69">
        <f>IFERROR(__xludf.DUMMYFUNCTION("""COMPUTED_VALUE"""),0.0)</f>
        <v>0</v>
      </c>
      <c r="P122" s="69">
        <f>IFERROR(__xludf.DUMMYFUNCTION("""COMPUTED_VALUE"""),0.0)</f>
        <v>0</v>
      </c>
      <c r="Q122" s="69">
        <f>IFERROR(__xludf.DUMMYFUNCTION("""COMPUTED_VALUE"""),0.0)</f>
        <v>0</v>
      </c>
      <c r="R122" s="69">
        <f>IFERROR(__xludf.DUMMYFUNCTION("""COMPUTED_VALUE"""),0.0)</f>
        <v>0</v>
      </c>
      <c r="S122" s="69">
        <f>IFERROR(__xludf.DUMMYFUNCTION("""COMPUTED_VALUE"""),0.0)</f>
        <v>0</v>
      </c>
      <c r="T122" s="69">
        <f>IFERROR(__xludf.DUMMYFUNCTION("""COMPUTED_VALUE"""),2.0)</f>
        <v>2</v>
      </c>
      <c r="U122" s="25"/>
      <c r="V122" s="54"/>
      <c r="W122" s="25">
        <f t="shared" si="39"/>
        <v>44820</v>
      </c>
      <c r="X122" s="69">
        <f t="shared" ref="X122:AC122" si="123">M122</f>
        <v>2</v>
      </c>
      <c r="Y122" s="69">
        <f t="shared" si="123"/>
        <v>2</v>
      </c>
      <c r="Z122" s="69">
        <f t="shared" si="123"/>
        <v>0</v>
      </c>
      <c r="AA122" s="69">
        <f t="shared" si="123"/>
        <v>0</v>
      </c>
      <c r="AB122" s="69">
        <f t="shared" si="123"/>
        <v>0</v>
      </c>
      <c r="AC122" s="69">
        <f t="shared" si="123"/>
        <v>0</v>
      </c>
    </row>
    <row r="123">
      <c r="B123" s="14">
        <f>IFERROR(__xludf.DUMMYFUNCTION("""COMPUTED_VALUE"""),44586.0)</f>
        <v>44586</v>
      </c>
      <c r="C123" s="16">
        <f>IFERROR(__xludf.DUMMYFUNCTION("""COMPUTED_VALUE"""),5.0)</f>
        <v>5</v>
      </c>
      <c r="D123" s="16">
        <f>IFERROR(__xludf.DUMMYFUNCTION("""COMPUTED_VALUE"""),5.0)</f>
        <v>5</v>
      </c>
      <c r="E123" s="16">
        <f>IFERROR(__xludf.DUMMYFUNCTION("""COMPUTED_VALUE"""),0.0)</f>
        <v>0</v>
      </c>
      <c r="F123" s="16">
        <f>IFERROR(__xludf.DUMMYFUNCTION("""COMPUTED_VALUE"""),0.0)</f>
        <v>0</v>
      </c>
      <c r="G123" s="16">
        <f>IFERROR(__xludf.DUMMYFUNCTION("""COMPUTED_VALUE"""),0.0)</f>
        <v>0</v>
      </c>
      <c r="H123" s="16">
        <f>IFERROR(__xludf.DUMMYFUNCTION("""COMPUTED_VALUE"""),0.0)</f>
        <v>0</v>
      </c>
      <c r="I123" s="16">
        <f>IFERROR(__xludf.DUMMYFUNCTION("""COMPUTED_VALUE"""),0.0)</f>
        <v>0</v>
      </c>
      <c r="J123" s="16"/>
      <c r="K123" s="544"/>
      <c r="L123" s="14">
        <f>IFERROR(__xludf.DUMMYFUNCTION("""COMPUTED_VALUE"""),44823.0)</f>
        <v>44823</v>
      </c>
      <c r="M123" s="69">
        <f>IFERROR(__xludf.DUMMYFUNCTION("""COMPUTED_VALUE"""),2.0)</f>
        <v>2</v>
      </c>
      <c r="N123" s="69">
        <f>IFERROR(__xludf.DUMMYFUNCTION("""COMPUTED_VALUE"""),2.0)</f>
        <v>2</v>
      </c>
      <c r="O123" s="69">
        <f>IFERROR(__xludf.DUMMYFUNCTION("""COMPUTED_VALUE"""),0.0)</f>
        <v>0</v>
      </c>
      <c r="P123" s="69">
        <f>IFERROR(__xludf.DUMMYFUNCTION("""COMPUTED_VALUE"""),0.0)</f>
        <v>0</v>
      </c>
      <c r="Q123" s="69">
        <f>IFERROR(__xludf.DUMMYFUNCTION("""COMPUTED_VALUE"""),0.0)</f>
        <v>0</v>
      </c>
      <c r="R123" s="69">
        <f>IFERROR(__xludf.DUMMYFUNCTION("""COMPUTED_VALUE"""),0.0)</f>
        <v>0</v>
      </c>
      <c r="S123" s="69">
        <f>IFERROR(__xludf.DUMMYFUNCTION("""COMPUTED_VALUE"""),0.0)</f>
        <v>0</v>
      </c>
      <c r="T123" s="69">
        <f>IFERROR(__xludf.DUMMYFUNCTION("""COMPUTED_VALUE"""),2.0)</f>
        <v>2</v>
      </c>
      <c r="U123" s="25"/>
      <c r="V123" s="54"/>
      <c r="W123" s="25">
        <f t="shared" si="39"/>
        <v>44823</v>
      </c>
      <c r="X123" s="69">
        <f t="shared" ref="X123:AC123" si="124">M123</f>
        <v>2</v>
      </c>
      <c r="Y123" s="69">
        <f t="shared" si="124"/>
        <v>2</v>
      </c>
      <c r="Z123" s="69">
        <f t="shared" si="124"/>
        <v>0</v>
      </c>
      <c r="AA123" s="69">
        <f t="shared" si="124"/>
        <v>0</v>
      </c>
      <c r="AB123" s="69">
        <f t="shared" si="124"/>
        <v>0</v>
      </c>
      <c r="AC123" s="69">
        <f t="shared" si="124"/>
        <v>0</v>
      </c>
    </row>
    <row r="124">
      <c r="B124" s="14">
        <f>IFERROR(__xludf.DUMMYFUNCTION("""COMPUTED_VALUE"""),44587.0)</f>
        <v>44587</v>
      </c>
      <c r="C124" s="16">
        <f>IFERROR(__xludf.DUMMYFUNCTION("""COMPUTED_VALUE"""),4.0)</f>
        <v>4</v>
      </c>
      <c r="D124" s="16">
        <f>IFERROR(__xludf.DUMMYFUNCTION("""COMPUTED_VALUE"""),4.0)</f>
        <v>4</v>
      </c>
      <c r="E124" s="16">
        <f>IFERROR(__xludf.DUMMYFUNCTION("""COMPUTED_VALUE"""),0.0)</f>
        <v>0</v>
      </c>
      <c r="F124" s="16">
        <f>IFERROR(__xludf.DUMMYFUNCTION("""COMPUTED_VALUE"""),0.0)</f>
        <v>0</v>
      </c>
      <c r="G124" s="16">
        <f>IFERROR(__xludf.DUMMYFUNCTION("""COMPUTED_VALUE"""),0.0)</f>
        <v>0</v>
      </c>
      <c r="H124" s="16">
        <f>IFERROR(__xludf.DUMMYFUNCTION("""COMPUTED_VALUE"""),0.0)</f>
        <v>0</v>
      </c>
      <c r="I124" s="16">
        <f>IFERROR(__xludf.DUMMYFUNCTION("""COMPUTED_VALUE"""),0.0)</f>
        <v>0</v>
      </c>
      <c r="J124" s="16"/>
      <c r="K124" s="544"/>
      <c r="L124" s="14">
        <f>IFERROR(__xludf.DUMMYFUNCTION("""COMPUTED_VALUE"""),44826.0)</f>
        <v>44826</v>
      </c>
      <c r="M124" s="69"/>
      <c r="N124" s="69"/>
      <c r="O124" s="69"/>
      <c r="P124" s="69"/>
      <c r="Q124" s="69"/>
      <c r="R124" s="69"/>
      <c r="S124" s="69"/>
      <c r="T124" s="69"/>
      <c r="V124" s="54"/>
      <c r="W124" s="25">
        <f t="shared" si="39"/>
        <v>44826</v>
      </c>
      <c r="X124" s="69" t="str">
        <f t="shared" ref="X124:AC124" si="125">M124</f>
        <v/>
      </c>
      <c r="Y124" s="69" t="str">
        <f t="shared" si="125"/>
        <v/>
      </c>
      <c r="Z124" s="69" t="str">
        <f t="shared" si="125"/>
        <v/>
      </c>
      <c r="AA124" s="69" t="str">
        <f t="shared" si="125"/>
        <v/>
      </c>
      <c r="AB124" s="69" t="str">
        <f t="shared" si="125"/>
        <v/>
      </c>
      <c r="AC124" s="69" t="str">
        <f t="shared" si="125"/>
        <v/>
      </c>
    </row>
    <row r="125">
      <c r="B125" s="14">
        <f>IFERROR(__xludf.DUMMYFUNCTION("""COMPUTED_VALUE"""),44588.0)</f>
        <v>44588</v>
      </c>
      <c r="C125" s="16">
        <f>IFERROR(__xludf.DUMMYFUNCTION("""COMPUTED_VALUE"""),25.0)</f>
        <v>25</v>
      </c>
      <c r="D125" s="16">
        <f>IFERROR(__xludf.DUMMYFUNCTION("""COMPUTED_VALUE"""),25.0)</f>
        <v>25</v>
      </c>
      <c r="E125" s="16">
        <f>IFERROR(__xludf.DUMMYFUNCTION("""COMPUTED_VALUE"""),0.0)</f>
        <v>0</v>
      </c>
      <c r="F125" s="16">
        <f>IFERROR(__xludf.DUMMYFUNCTION("""COMPUTED_VALUE"""),0.0)</f>
        <v>0</v>
      </c>
      <c r="G125" s="16">
        <f>IFERROR(__xludf.DUMMYFUNCTION("""COMPUTED_VALUE"""),0.0)</f>
        <v>0</v>
      </c>
      <c r="H125" s="16">
        <f>IFERROR(__xludf.DUMMYFUNCTION("""COMPUTED_VALUE"""),0.0)</f>
        <v>0</v>
      </c>
      <c r="I125" s="16">
        <f>IFERROR(__xludf.DUMMYFUNCTION("""COMPUTED_VALUE"""),0.0)</f>
        <v>0</v>
      </c>
      <c r="J125" s="16"/>
      <c r="K125" s="544"/>
      <c r="L125" s="14">
        <f>IFERROR(__xludf.DUMMYFUNCTION("""COMPUTED_VALUE"""),44840.0)</f>
        <v>44840</v>
      </c>
      <c r="M125" s="69"/>
      <c r="N125" s="69"/>
      <c r="O125" s="69"/>
      <c r="P125" s="69"/>
      <c r="Q125" s="69"/>
      <c r="R125" s="69"/>
      <c r="S125" s="69"/>
      <c r="T125" s="69"/>
      <c r="V125" s="54"/>
      <c r="W125" s="25">
        <f t="shared" si="39"/>
        <v>44840</v>
      </c>
      <c r="X125" s="69" t="str">
        <f t="shared" ref="X125:AC125" si="126">M125</f>
        <v/>
      </c>
      <c r="Y125" s="69" t="str">
        <f t="shared" si="126"/>
        <v/>
      </c>
      <c r="Z125" s="69" t="str">
        <f t="shared" si="126"/>
        <v/>
      </c>
      <c r="AA125" s="69" t="str">
        <f t="shared" si="126"/>
        <v/>
      </c>
      <c r="AB125" s="69" t="str">
        <f t="shared" si="126"/>
        <v/>
      </c>
      <c r="AC125" s="69" t="str">
        <f t="shared" si="126"/>
        <v/>
      </c>
    </row>
    <row r="126">
      <c r="B126" s="14">
        <f>IFERROR(__xludf.DUMMYFUNCTION("""COMPUTED_VALUE"""),44590.0)</f>
        <v>44590</v>
      </c>
      <c r="C126" s="16">
        <f>IFERROR(__xludf.DUMMYFUNCTION("""COMPUTED_VALUE"""),6.0)</f>
        <v>6</v>
      </c>
      <c r="D126" s="16">
        <f>IFERROR(__xludf.DUMMYFUNCTION("""COMPUTED_VALUE"""),6.0)</f>
        <v>6</v>
      </c>
      <c r="E126" s="16">
        <f>IFERROR(__xludf.DUMMYFUNCTION("""COMPUTED_VALUE"""),0.0)</f>
        <v>0</v>
      </c>
      <c r="F126" s="16">
        <f>IFERROR(__xludf.DUMMYFUNCTION("""COMPUTED_VALUE"""),0.0)</f>
        <v>0</v>
      </c>
      <c r="G126" s="16">
        <f>IFERROR(__xludf.DUMMYFUNCTION("""COMPUTED_VALUE"""),0.0)</f>
        <v>0</v>
      </c>
      <c r="H126" s="16">
        <f>IFERROR(__xludf.DUMMYFUNCTION("""COMPUTED_VALUE"""),0.0)</f>
        <v>0</v>
      </c>
      <c r="I126" s="16">
        <f>IFERROR(__xludf.DUMMYFUNCTION("""COMPUTED_VALUE"""),0.0)</f>
        <v>0</v>
      </c>
      <c r="J126" s="16"/>
      <c r="K126" s="544"/>
      <c r="L126" s="14">
        <f>IFERROR(__xludf.DUMMYFUNCTION("""COMPUTED_VALUE"""),44844.0)</f>
        <v>44844</v>
      </c>
      <c r="M126" s="69"/>
      <c r="N126" s="69"/>
      <c r="O126" s="69"/>
      <c r="P126" s="69"/>
      <c r="Q126" s="69"/>
      <c r="R126" s="69"/>
      <c r="S126" s="69"/>
      <c r="T126" s="69"/>
      <c r="V126" s="54"/>
      <c r="W126" s="25">
        <f t="shared" si="39"/>
        <v>44844</v>
      </c>
      <c r="X126" s="69" t="str">
        <f t="shared" ref="X126:AC126" si="127">M126</f>
        <v/>
      </c>
      <c r="Y126" s="69" t="str">
        <f t="shared" si="127"/>
        <v/>
      </c>
      <c r="Z126" s="69" t="str">
        <f t="shared" si="127"/>
        <v/>
      </c>
      <c r="AA126" s="69" t="str">
        <f t="shared" si="127"/>
        <v/>
      </c>
      <c r="AB126" s="69" t="str">
        <f t="shared" si="127"/>
        <v/>
      </c>
      <c r="AC126" s="69" t="str">
        <f t="shared" si="127"/>
        <v/>
      </c>
    </row>
    <row r="127">
      <c r="B127" s="14">
        <f>IFERROR(__xludf.DUMMYFUNCTION("""COMPUTED_VALUE"""),44591.0)</f>
        <v>44591</v>
      </c>
      <c r="C127" s="16">
        <f>IFERROR(__xludf.DUMMYFUNCTION("""COMPUTED_VALUE"""),2.0)</f>
        <v>2</v>
      </c>
      <c r="D127" s="16">
        <f>IFERROR(__xludf.DUMMYFUNCTION("""COMPUTED_VALUE"""),2.0)</f>
        <v>2</v>
      </c>
      <c r="E127" s="16">
        <f>IFERROR(__xludf.DUMMYFUNCTION("""COMPUTED_VALUE"""),0.0)</f>
        <v>0</v>
      </c>
      <c r="F127" s="16">
        <f>IFERROR(__xludf.DUMMYFUNCTION("""COMPUTED_VALUE"""),0.0)</f>
        <v>0</v>
      </c>
      <c r="G127" s="16">
        <f>IFERROR(__xludf.DUMMYFUNCTION("""COMPUTED_VALUE"""),0.0)</f>
        <v>0</v>
      </c>
      <c r="H127" s="16">
        <f>IFERROR(__xludf.DUMMYFUNCTION("""COMPUTED_VALUE"""),0.0)</f>
        <v>0</v>
      </c>
      <c r="I127" s="16">
        <f>IFERROR(__xludf.DUMMYFUNCTION("""COMPUTED_VALUE"""),0.0)</f>
        <v>0</v>
      </c>
      <c r="J127" s="16"/>
      <c r="K127" s="544"/>
      <c r="L127" s="14">
        <f>IFERROR(__xludf.DUMMYFUNCTION("""COMPUTED_VALUE"""),44858.0)</f>
        <v>44858</v>
      </c>
      <c r="M127" s="69"/>
      <c r="N127" s="69"/>
      <c r="O127" s="69"/>
      <c r="P127" s="69"/>
      <c r="Q127" s="69"/>
      <c r="R127" s="69"/>
      <c r="S127" s="69"/>
      <c r="T127" s="69"/>
      <c r="V127" s="54"/>
      <c r="W127" s="25">
        <f t="shared" si="39"/>
        <v>44858</v>
      </c>
      <c r="X127" s="69" t="str">
        <f t="shared" ref="X127:AC127" si="128">M127</f>
        <v/>
      </c>
      <c r="Y127" s="69" t="str">
        <f t="shared" si="128"/>
        <v/>
      </c>
      <c r="Z127" s="69" t="str">
        <f t="shared" si="128"/>
        <v/>
      </c>
      <c r="AA127" s="69" t="str">
        <f t="shared" si="128"/>
        <v/>
      </c>
      <c r="AB127" s="69" t="str">
        <f t="shared" si="128"/>
        <v/>
      </c>
      <c r="AC127" s="69" t="str">
        <f t="shared" si="128"/>
        <v/>
      </c>
    </row>
    <row r="128">
      <c r="B128" s="14">
        <f>IFERROR(__xludf.DUMMYFUNCTION("""COMPUTED_VALUE"""),44592.0)</f>
        <v>44592</v>
      </c>
      <c r="C128" s="16">
        <f>IFERROR(__xludf.DUMMYFUNCTION("""COMPUTED_VALUE"""),21.0)</f>
        <v>21</v>
      </c>
      <c r="D128" s="16">
        <f>IFERROR(__xludf.DUMMYFUNCTION("""COMPUTED_VALUE"""),21.0)</f>
        <v>21</v>
      </c>
      <c r="E128" s="16">
        <f>IFERROR(__xludf.DUMMYFUNCTION("""COMPUTED_VALUE"""),0.0)</f>
        <v>0</v>
      </c>
      <c r="F128" s="16">
        <f>IFERROR(__xludf.DUMMYFUNCTION("""COMPUTED_VALUE"""),0.0)</f>
        <v>0</v>
      </c>
      <c r="G128" s="16">
        <f>IFERROR(__xludf.DUMMYFUNCTION("""COMPUTED_VALUE"""),0.0)</f>
        <v>0</v>
      </c>
      <c r="H128" s="16">
        <f>IFERROR(__xludf.DUMMYFUNCTION("""COMPUTED_VALUE"""),0.0)</f>
        <v>0</v>
      </c>
      <c r="I128" s="16">
        <f>IFERROR(__xludf.DUMMYFUNCTION("""COMPUTED_VALUE"""),0.0)</f>
        <v>0</v>
      </c>
      <c r="J128" s="16" t="b">
        <f>IFERROR(__xludf.DUMMYFUNCTION("""COMPUTED_VALUE"""),TRUE)</f>
        <v>1</v>
      </c>
      <c r="K128" s="544"/>
      <c r="L128" s="14">
        <f>IFERROR(__xludf.DUMMYFUNCTION("""COMPUTED_VALUE"""),44868.0)</f>
        <v>44868</v>
      </c>
      <c r="M128" s="69"/>
      <c r="N128" s="69"/>
      <c r="O128" s="69"/>
      <c r="P128" s="69"/>
      <c r="Q128" s="69"/>
      <c r="R128" s="69"/>
      <c r="S128" s="69"/>
      <c r="T128" s="69"/>
      <c r="V128" s="54"/>
      <c r="W128" s="25">
        <f t="shared" si="39"/>
        <v>44868</v>
      </c>
      <c r="X128" s="69" t="str">
        <f t="shared" ref="X128:AC128" si="129">M128</f>
        <v/>
      </c>
      <c r="Y128" s="69" t="str">
        <f t="shared" si="129"/>
        <v/>
      </c>
      <c r="Z128" s="69" t="str">
        <f t="shared" si="129"/>
        <v/>
      </c>
      <c r="AA128" s="69" t="str">
        <f t="shared" si="129"/>
        <v/>
      </c>
      <c r="AB128" s="69" t="str">
        <f t="shared" si="129"/>
        <v/>
      </c>
      <c r="AC128" s="69" t="str">
        <f t="shared" si="129"/>
        <v/>
      </c>
    </row>
    <row r="129">
      <c r="B129" s="14">
        <f>IFERROR(__xludf.DUMMYFUNCTION("""COMPUTED_VALUE"""),44594.0)</f>
        <v>44594</v>
      </c>
      <c r="C129" s="16">
        <f>IFERROR(__xludf.DUMMYFUNCTION("""COMPUTED_VALUE"""),5.0)</f>
        <v>5</v>
      </c>
      <c r="D129" s="16">
        <f>IFERROR(__xludf.DUMMYFUNCTION("""COMPUTED_VALUE"""),5.0)</f>
        <v>5</v>
      </c>
      <c r="E129" s="16">
        <f>IFERROR(__xludf.DUMMYFUNCTION("""COMPUTED_VALUE"""),0.0)</f>
        <v>0</v>
      </c>
      <c r="F129" s="16">
        <f>IFERROR(__xludf.DUMMYFUNCTION("""COMPUTED_VALUE"""),0.0)</f>
        <v>0</v>
      </c>
      <c r="G129" s="16">
        <f>IFERROR(__xludf.DUMMYFUNCTION("""COMPUTED_VALUE"""),0.0)</f>
        <v>0</v>
      </c>
      <c r="H129" s="16">
        <f>IFERROR(__xludf.DUMMYFUNCTION("""COMPUTED_VALUE"""),0.0)</f>
        <v>0</v>
      </c>
      <c r="I129" s="16">
        <f>IFERROR(__xludf.DUMMYFUNCTION("""COMPUTED_VALUE"""),0.0)</f>
        <v>0</v>
      </c>
      <c r="J129" s="16"/>
      <c r="K129" s="544"/>
      <c r="L129" s="14">
        <f>IFERROR(__xludf.DUMMYFUNCTION("""COMPUTED_VALUE"""),44872.0)</f>
        <v>44872</v>
      </c>
      <c r="M129" s="69"/>
      <c r="N129" s="69"/>
      <c r="O129" s="69"/>
      <c r="P129" s="69"/>
      <c r="Q129" s="69"/>
      <c r="R129" s="69"/>
      <c r="S129" s="69"/>
      <c r="T129" s="69"/>
      <c r="V129" s="54"/>
      <c r="W129" s="25">
        <f t="shared" si="39"/>
        <v>44872</v>
      </c>
      <c r="X129" s="69" t="str">
        <f t="shared" ref="X129:AC129" si="130">M129</f>
        <v/>
      </c>
      <c r="Y129" s="69" t="str">
        <f t="shared" si="130"/>
        <v/>
      </c>
      <c r="Z129" s="69" t="str">
        <f t="shared" si="130"/>
        <v/>
      </c>
      <c r="AA129" s="69" t="str">
        <f t="shared" si="130"/>
        <v/>
      </c>
      <c r="AB129" s="69" t="str">
        <f t="shared" si="130"/>
        <v/>
      </c>
      <c r="AC129" s="69" t="str">
        <f t="shared" si="130"/>
        <v/>
      </c>
    </row>
    <row r="130">
      <c r="B130" s="14">
        <f>IFERROR(__xludf.DUMMYFUNCTION("""COMPUTED_VALUE"""),44595.0)</f>
        <v>44595</v>
      </c>
      <c r="C130" s="16">
        <f>IFERROR(__xludf.DUMMYFUNCTION("""COMPUTED_VALUE"""),27.0)</f>
        <v>27</v>
      </c>
      <c r="D130" s="16">
        <f>IFERROR(__xludf.DUMMYFUNCTION("""COMPUTED_VALUE"""),27.0)</f>
        <v>27</v>
      </c>
      <c r="E130" s="16">
        <f>IFERROR(__xludf.DUMMYFUNCTION("""COMPUTED_VALUE"""),0.0)</f>
        <v>0</v>
      </c>
      <c r="F130" s="16">
        <f>IFERROR(__xludf.DUMMYFUNCTION("""COMPUTED_VALUE"""),0.0)</f>
        <v>0</v>
      </c>
      <c r="G130" s="16">
        <f>IFERROR(__xludf.DUMMYFUNCTION("""COMPUTED_VALUE"""),0.0)</f>
        <v>0</v>
      </c>
      <c r="H130" s="16">
        <f>IFERROR(__xludf.DUMMYFUNCTION("""COMPUTED_VALUE"""),0.0)</f>
        <v>0</v>
      </c>
      <c r="I130" s="16">
        <f>IFERROR(__xludf.DUMMYFUNCTION("""COMPUTED_VALUE"""),0.0)</f>
        <v>0</v>
      </c>
      <c r="J130" s="16" t="b">
        <f>IFERROR(__xludf.DUMMYFUNCTION("""COMPUTED_VALUE"""),TRUE)</f>
        <v>1</v>
      </c>
      <c r="K130" s="544"/>
      <c r="L130" s="14">
        <f>IFERROR(__xludf.DUMMYFUNCTION("""COMPUTED_VALUE"""),44879.0)</f>
        <v>44879</v>
      </c>
      <c r="M130" s="69"/>
      <c r="N130" s="69"/>
      <c r="O130" s="69"/>
      <c r="P130" s="69"/>
      <c r="Q130" s="69"/>
      <c r="R130" s="69"/>
      <c r="S130" s="69"/>
      <c r="T130" s="69"/>
      <c r="V130" s="54"/>
      <c r="W130" s="25">
        <f t="shared" si="39"/>
        <v>44879</v>
      </c>
      <c r="X130" s="69" t="str">
        <f t="shared" ref="X130:AC130" si="131">M130</f>
        <v/>
      </c>
      <c r="Y130" s="69" t="str">
        <f t="shared" si="131"/>
        <v/>
      </c>
      <c r="Z130" s="69" t="str">
        <f t="shared" si="131"/>
        <v/>
      </c>
      <c r="AA130" s="69" t="str">
        <f t="shared" si="131"/>
        <v/>
      </c>
      <c r="AB130" s="69" t="str">
        <f t="shared" si="131"/>
        <v/>
      </c>
      <c r="AC130" s="69" t="str">
        <f t="shared" si="131"/>
        <v/>
      </c>
    </row>
    <row r="131">
      <c r="B131" s="14">
        <f>IFERROR(__xludf.DUMMYFUNCTION("""COMPUTED_VALUE"""),44597.0)</f>
        <v>44597</v>
      </c>
      <c r="C131" s="16">
        <f>IFERROR(__xludf.DUMMYFUNCTION("""COMPUTED_VALUE"""),4.0)</f>
        <v>4</v>
      </c>
      <c r="D131" s="16">
        <f>IFERROR(__xludf.DUMMYFUNCTION("""COMPUTED_VALUE"""),4.0)</f>
        <v>4</v>
      </c>
      <c r="E131" s="16">
        <f>IFERROR(__xludf.DUMMYFUNCTION("""COMPUTED_VALUE"""),0.0)</f>
        <v>0</v>
      </c>
      <c r="F131" s="16">
        <f>IFERROR(__xludf.DUMMYFUNCTION("""COMPUTED_VALUE"""),0.0)</f>
        <v>0</v>
      </c>
      <c r="G131" s="16">
        <f>IFERROR(__xludf.DUMMYFUNCTION("""COMPUTED_VALUE"""),0.0)</f>
        <v>0</v>
      </c>
      <c r="H131" s="16">
        <f>IFERROR(__xludf.DUMMYFUNCTION("""COMPUTED_VALUE"""),0.0)</f>
        <v>0</v>
      </c>
      <c r="I131" s="16">
        <f>IFERROR(__xludf.DUMMYFUNCTION("""COMPUTED_VALUE"""),0.0)</f>
        <v>0</v>
      </c>
      <c r="J131" s="16" t="b">
        <f>IFERROR(__xludf.DUMMYFUNCTION("""COMPUTED_VALUE"""),TRUE)</f>
        <v>1</v>
      </c>
      <c r="K131" s="544"/>
      <c r="L131" s="14">
        <f>IFERROR(__xludf.DUMMYFUNCTION("""COMPUTED_VALUE"""),44886.0)</f>
        <v>44886</v>
      </c>
      <c r="M131" s="69"/>
      <c r="N131" s="69"/>
      <c r="O131" s="69"/>
      <c r="P131" s="69"/>
      <c r="Q131" s="69"/>
      <c r="R131" s="69"/>
      <c r="S131" s="69"/>
      <c r="T131" s="69"/>
      <c r="V131" s="54"/>
      <c r="W131" s="25">
        <f t="shared" si="39"/>
        <v>44886</v>
      </c>
      <c r="X131" s="69" t="str">
        <f t="shared" ref="X131:AC131" si="132">M131</f>
        <v/>
      </c>
      <c r="Y131" s="69" t="str">
        <f t="shared" si="132"/>
        <v/>
      </c>
      <c r="Z131" s="69" t="str">
        <f t="shared" si="132"/>
        <v/>
      </c>
      <c r="AA131" s="69" t="str">
        <f t="shared" si="132"/>
        <v/>
      </c>
      <c r="AB131" s="69" t="str">
        <f t="shared" si="132"/>
        <v/>
      </c>
      <c r="AC131" s="69" t="str">
        <f t="shared" si="132"/>
        <v/>
      </c>
    </row>
    <row r="132">
      <c r="B132" s="14">
        <f>IFERROR(__xludf.DUMMYFUNCTION("""COMPUTED_VALUE"""),44598.0)</f>
        <v>44598</v>
      </c>
      <c r="C132" s="16">
        <f>IFERROR(__xludf.DUMMYFUNCTION("""COMPUTED_VALUE"""),2.0)</f>
        <v>2</v>
      </c>
      <c r="D132" s="16">
        <f>IFERROR(__xludf.DUMMYFUNCTION("""COMPUTED_VALUE"""),2.0)</f>
        <v>2</v>
      </c>
      <c r="E132" s="16">
        <f>IFERROR(__xludf.DUMMYFUNCTION("""COMPUTED_VALUE"""),0.0)</f>
        <v>0</v>
      </c>
      <c r="F132" s="16">
        <f>IFERROR(__xludf.DUMMYFUNCTION("""COMPUTED_VALUE"""),0.0)</f>
        <v>0</v>
      </c>
      <c r="G132" s="16">
        <f>IFERROR(__xludf.DUMMYFUNCTION("""COMPUTED_VALUE"""),0.0)</f>
        <v>0</v>
      </c>
      <c r="H132" s="16">
        <f>IFERROR(__xludf.DUMMYFUNCTION("""COMPUTED_VALUE"""),0.0)</f>
        <v>0</v>
      </c>
      <c r="I132" s="16">
        <f>IFERROR(__xludf.DUMMYFUNCTION("""COMPUTED_VALUE"""),0.0)</f>
        <v>0</v>
      </c>
      <c r="J132" s="16"/>
      <c r="K132" s="544"/>
      <c r="L132" s="14">
        <f>IFERROR(__xludf.DUMMYFUNCTION("""COMPUTED_VALUE"""),44910.0)</f>
        <v>44910</v>
      </c>
      <c r="M132" s="69"/>
      <c r="N132" s="69"/>
      <c r="O132" s="69"/>
      <c r="P132" s="69"/>
      <c r="Q132" s="69"/>
      <c r="R132" s="69"/>
      <c r="S132" s="69"/>
      <c r="T132" s="69"/>
      <c r="V132" s="54"/>
      <c r="W132" s="25">
        <f t="shared" si="39"/>
        <v>44910</v>
      </c>
      <c r="X132" s="69" t="str">
        <f t="shared" ref="X132:AC132" si="133">M132</f>
        <v/>
      </c>
      <c r="Y132" s="69" t="str">
        <f t="shared" si="133"/>
        <v/>
      </c>
      <c r="Z132" s="69" t="str">
        <f t="shared" si="133"/>
        <v/>
      </c>
      <c r="AA132" s="69" t="str">
        <f t="shared" si="133"/>
        <v/>
      </c>
      <c r="AB132" s="69" t="str">
        <f t="shared" si="133"/>
        <v/>
      </c>
      <c r="AC132" s="69" t="str">
        <f t="shared" si="133"/>
        <v/>
      </c>
    </row>
    <row r="133">
      <c r="B133" s="14">
        <f>IFERROR(__xludf.DUMMYFUNCTION("""COMPUTED_VALUE"""),44599.0)</f>
        <v>44599</v>
      </c>
      <c r="C133" s="16">
        <f>IFERROR(__xludf.DUMMYFUNCTION("""COMPUTED_VALUE"""),26.0)</f>
        <v>26</v>
      </c>
      <c r="D133" s="16">
        <f>IFERROR(__xludf.DUMMYFUNCTION("""COMPUTED_VALUE"""),26.0)</f>
        <v>26</v>
      </c>
      <c r="E133" s="16">
        <f>IFERROR(__xludf.DUMMYFUNCTION("""COMPUTED_VALUE"""),0.0)</f>
        <v>0</v>
      </c>
      <c r="F133" s="16">
        <f>IFERROR(__xludf.DUMMYFUNCTION("""COMPUTED_VALUE"""),0.0)</f>
        <v>0</v>
      </c>
      <c r="G133" s="16">
        <f>IFERROR(__xludf.DUMMYFUNCTION("""COMPUTED_VALUE"""),0.0)</f>
        <v>0</v>
      </c>
      <c r="H133" s="16">
        <f>IFERROR(__xludf.DUMMYFUNCTION("""COMPUTED_VALUE"""),0.0)</f>
        <v>0</v>
      </c>
      <c r="I133" s="16">
        <f>IFERROR(__xludf.DUMMYFUNCTION("""COMPUTED_VALUE"""),0.0)</f>
        <v>0</v>
      </c>
      <c r="J133" s="16"/>
      <c r="K133" s="544"/>
      <c r="L133" s="14">
        <f>IFERROR(__xludf.DUMMYFUNCTION("""COMPUTED_VALUE"""),44921.0)</f>
        <v>44921</v>
      </c>
      <c r="M133" s="69"/>
      <c r="N133" s="69"/>
      <c r="O133" s="69"/>
      <c r="P133" s="69"/>
      <c r="Q133" s="69"/>
      <c r="R133" s="69"/>
      <c r="S133" s="69"/>
      <c r="T133" s="69"/>
      <c r="V133" s="54"/>
      <c r="W133" s="25">
        <f t="shared" si="39"/>
        <v>44921</v>
      </c>
      <c r="X133" s="69" t="str">
        <f t="shared" ref="X133:AC133" si="134">M133</f>
        <v/>
      </c>
      <c r="Y133" s="69" t="str">
        <f t="shared" si="134"/>
        <v/>
      </c>
      <c r="Z133" s="69" t="str">
        <f t="shared" si="134"/>
        <v/>
      </c>
      <c r="AA133" s="69" t="str">
        <f t="shared" si="134"/>
        <v/>
      </c>
      <c r="AB133" s="69" t="str">
        <f t="shared" si="134"/>
        <v/>
      </c>
      <c r="AC133" s="69" t="str">
        <f t="shared" si="134"/>
        <v/>
      </c>
    </row>
    <row r="134">
      <c r="B134" s="14">
        <f>IFERROR(__xludf.DUMMYFUNCTION("""COMPUTED_VALUE"""),44601.0)</f>
        <v>44601</v>
      </c>
      <c r="C134" s="16">
        <f>IFERROR(__xludf.DUMMYFUNCTION("""COMPUTED_VALUE"""),1.0)</f>
        <v>1</v>
      </c>
      <c r="D134" s="16">
        <f>IFERROR(__xludf.DUMMYFUNCTION("""COMPUTED_VALUE"""),1.0)</f>
        <v>1</v>
      </c>
      <c r="E134" s="16">
        <f>IFERROR(__xludf.DUMMYFUNCTION("""COMPUTED_VALUE"""),0.0)</f>
        <v>0</v>
      </c>
      <c r="F134" s="16">
        <f>IFERROR(__xludf.DUMMYFUNCTION("""COMPUTED_VALUE"""),0.0)</f>
        <v>0</v>
      </c>
      <c r="G134" s="16">
        <f>IFERROR(__xludf.DUMMYFUNCTION("""COMPUTED_VALUE"""),0.0)</f>
        <v>0</v>
      </c>
      <c r="H134" s="16">
        <f>IFERROR(__xludf.DUMMYFUNCTION("""COMPUTED_VALUE"""),0.0)</f>
        <v>0</v>
      </c>
      <c r="I134" s="16">
        <f>IFERROR(__xludf.DUMMYFUNCTION("""COMPUTED_VALUE"""),0.0)</f>
        <v>0</v>
      </c>
      <c r="J134" s="16"/>
      <c r="K134" s="544"/>
      <c r="L134" s="14">
        <f>IFERROR(__xludf.DUMMYFUNCTION("""COMPUTED_VALUE"""),44928.0)</f>
        <v>44928</v>
      </c>
      <c r="M134" s="69"/>
      <c r="N134" s="69"/>
      <c r="O134" s="69"/>
      <c r="P134" s="69"/>
      <c r="Q134" s="69"/>
      <c r="R134" s="69"/>
      <c r="S134" s="69"/>
      <c r="T134" s="69"/>
      <c r="V134" s="54"/>
      <c r="W134" s="25">
        <f t="shared" si="39"/>
        <v>44928</v>
      </c>
      <c r="X134" s="69" t="str">
        <f t="shared" ref="X134:AC134" si="135">M134</f>
        <v/>
      </c>
      <c r="Y134" s="69" t="str">
        <f t="shared" si="135"/>
        <v/>
      </c>
      <c r="Z134" s="69" t="str">
        <f t="shared" si="135"/>
        <v/>
      </c>
      <c r="AA134" s="69" t="str">
        <f t="shared" si="135"/>
        <v/>
      </c>
      <c r="AB134" s="69" t="str">
        <f t="shared" si="135"/>
        <v/>
      </c>
      <c r="AC134" s="69" t="str">
        <f t="shared" si="135"/>
        <v/>
      </c>
    </row>
    <row r="135">
      <c r="B135" s="14">
        <f>IFERROR(__xludf.DUMMYFUNCTION("""COMPUTED_VALUE"""),44602.0)</f>
        <v>44602</v>
      </c>
      <c r="C135" s="16">
        <f>IFERROR(__xludf.DUMMYFUNCTION("""COMPUTED_VALUE"""),27.0)</f>
        <v>27</v>
      </c>
      <c r="D135" s="16">
        <f>IFERROR(__xludf.DUMMYFUNCTION("""COMPUTED_VALUE"""),27.0)</f>
        <v>27</v>
      </c>
      <c r="E135" s="16">
        <f>IFERROR(__xludf.DUMMYFUNCTION("""COMPUTED_VALUE"""),0.0)</f>
        <v>0</v>
      </c>
      <c r="F135" s="16">
        <f>IFERROR(__xludf.DUMMYFUNCTION("""COMPUTED_VALUE"""),0.0)</f>
        <v>0</v>
      </c>
      <c r="G135" s="16">
        <f>IFERROR(__xludf.DUMMYFUNCTION("""COMPUTED_VALUE"""),0.0)</f>
        <v>0</v>
      </c>
      <c r="H135" s="16">
        <f>IFERROR(__xludf.DUMMYFUNCTION("""COMPUTED_VALUE"""),0.0)</f>
        <v>0</v>
      </c>
      <c r="I135" s="16">
        <f>IFERROR(__xludf.DUMMYFUNCTION("""COMPUTED_VALUE"""),0.0)</f>
        <v>0</v>
      </c>
      <c r="J135" s="16" t="b">
        <f>IFERROR(__xludf.DUMMYFUNCTION("""COMPUTED_VALUE"""),TRUE)</f>
        <v>1</v>
      </c>
      <c r="K135" s="544"/>
      <c r="L135" s="8"/>
      <c r="M135" s="8"/>
      <c r="N135" s="8"/>
      <c r="O135" s="8"/>
      <c r="P135" s="8"/>
      <c r="Q135" s="8"/>
      <c r="R135" s="8"/>
      <c r="S135" s="8"/>
      <c r="T135" s="8"/>
      <c r="V135" s="54"/>
      <c r="W135" s="25" t="str">
        <f t="shared" si="39"/>
        <v/>
      </c>
      <c r="X135" s="69" t="str">
        <f t="shared" ref="X135:AC135" si="136">M135</f>
        <v/>
      </c>
      <c r="Y135" s="69" t="str">
        <f t="shared" si="136"/>
        <v/>
      </c>
      <c r="Z135" s="69" t="str">
        <f t="shared" si="136"/>
        <v/>
      </c>
      <c r="AA135" s="69" t="str">
        <f t="shared" si="136"/>
        <v/>
      </c>
      <c r="AB135" s="69" t="str">
        <f t="shared" si="136"/>
        <v/>
      </c>
      <c r="AC135" s="69" t="str">
        <f t="shared" si="136"/>
        <v/>
      </c>
    </row>
    <row r="136">
      <c r="B136" s="14">
        <f>IFERROR(__xludf.DUMMYFUNCTION("""COMPUTED_VALUE"""),44603.0)</f>
        <v>44603</v>
      </c>
      <c r="C136" s="16">
        <f>IFERROR(__xludf.DUMMYFUNCTION("""COMPUTED_VALUE"""),1.0)</f>
        <v>1</v>
      </c>
      <c r="D136" s="16">
        <f>IFERROR(__xludf.DUMMYFUNCTION("""COMPUTED_VALUE"""),1.0)</f>
        <v>1</v>
      </c>
      <c r="E136" s="16">
        <f>IFERROR(__xludf.DUMMYFUNCTION("""COMPUTED_VALUE"""),0.0)</f>
        <v>0</v>
      </c>
      <c r="F136" s="16">
        <f>IFERROR(__xludf.DUMMYFUNCTION("""COMPUTED_VALUE"""),0.0)</f>
        <v>0</v>
      </c>
      <c r="G136" s="16">
        <f>IFERROR(__xludf.DUMMYFUNCTION("""COMPUTED_VALUE"""),0.0)</f>
        <v>0</v>
      </c>
      <c r="H136" s="16">
        <f>IFERROR(__xludf.DUMMYFUNCTION("""COMPUTED_VALUE"""),0.0)</f>
        <v>0</v>
      </c>
      <c r="I136" s="16">
        <f>IFERROR(__xludf.DUMMYFUNCTION("""COMPUTED_VALUE"""),0.0)</f>
        <v>0</v>
      </c>
      <c r="J136" s="16"/>
      <c r="K136" s="544"/>
      <c r="L136" s="8"/>
      <c r="M136" s="8"/>
      <c r="N136" s="8"/>
      <c r="O136" s="8"/>
      <c r="P136" s="8"/>
      <c r="Q136" s="8"/>
      <c r="R136" s="8"/>
      <c r="S136" s="8"/>
      <c r="T136" s="8"/>
      <c r="V136" s="54"/>
    </row>
    <row r="137">
      <c r="B137" s="14">
        <f>IFERROR(__xludf.DUMMYFUNCTION("""COMPUTED_VALUE"""),44604.0)</f>
        <v>44604</v>
      </c>
      <c r="C137" s="16">
        <f>IFERROR(__xludf.DUMMYFUNCTION("""COMPUTED_VALUE"""),2.0)</f>
        <v>2</v>
      </c>
      <c r="D137" s="16">
        <f>IFERROR(__xludf.DUMMYFUNCTION("""COMPUTED_VALUE"""),2.0)</f>
        <v>2</v>
      </c>
      <c r="E137" s="16">
        <f>IFERROR(__xludf.DUMMYFUNCTION("""COMPUTED_VALUE"""),0.0)</f>
        <v>0</v>
      </c>
      <c r="F137" s="16">
        <f>IFERROR(__xludf.DUMMYFUNCTION("""COMPUTED_VALUE"""),0.0)</f>
        <v>0</v>
      </c>
      <c r="G137" s="16">
        <f>IFERROR(__xludf.DUMMYFUNCTION("""COMPUTED_VALUE"""),0.0)</f>
        <v>0</v>
      </c>
      <c r="H137" s="16">
        <f>IFERROR(__xludf.DUMMYFUNCTION("""COMPUTED_VALUE"""),0.0)</f>
        <v>0</v>
      </c>
      <c r="I137" s="16">
        <f>IFERROR(__xludf.DUMMYFUNCTION("""COMPUTED_VALUE"""),0.0)</f>
        <v>0</v>
      </c>
      <c r="J137" s="16" t="b">
        <f>IFERROR(__xludf.DUMMYFUNCTION("""COMPUTED_VALUE"""),TRUE)</f>
        <v>1</v>
      </c>
      <c r="K137" s="544"/>
      <c r="L137" s="8"/>
      <c r="M137" s="8"/>
      <c r="N137" s="8"/>
      <c r="O137" s="8"/>
      <c r="P137" s="8"/>
      <c r="Q137" s="8"/>
      <c r="R137" s="8"/>
      <c r="S137" s="8"/>
      <c r="T137" s="8"/>
      <c r="V137" s="54"/>
    </row>
    <row r="138">
      <c r="B138" s="14">
        <f>IFERROR(__xludf.DUMMYFUNCTION("""COMPUTED_VALUE"""),44605.0)</f>
        <v>44605</v>
      </c>
      <c r="C138" s="16">
        <f>IFERROR(__xludf.DUMMYFUNCTION("""COMPUTED_VALUE"""),4.0)</f>
        <v>4</v>
      </c>
      <c r="D138" s="16">
        <f>IFERROR(__xludf.DUMMYFUNCTION("""COMPUTED_VALUE"""),4.0)</f>
        <v>4</v>
      </c>
      <c r="E138" s="16">
        <f>IFERROR(__xludf.DUMMYFUNCTION("""COMPUTED_VALUE"""),0.0)</f>
        <v>0</v>
      </c>
      <c r="F138" s="16">
        <f>IFERROR(__xludf.DUMMYFUNCTION("""COMPUTED_VALUE"""),0.0)</f>
        <v>0</v>
      </c>
      <c r="G138" s="16">
        <f>IFERROR(__xludf.DUMMYFUNCTION("""COMPUTED_VALUE"""),0.0)</f>
        <v>0</v>
      </c>
      <c r="H138" s="16">
        <f>IFERROR(__xludf.DUMMYFUNCTION("""COMPUTED_VALUE"""),0.0)</f>
        <v>0</v>
      </c>
      <c r="I138" s="16">
        <f>IFERROR(__xludf.DUMMYFUNCTION("""COMPUTED_VALUE"""),0.0)</f>
        <v>0</v>
      </c>
      <c r="J138" s="16"/>
      <c r="K138" s="544"/>
      <c r="L138" s="8"/>
      <c r="M138" s="8"/>
      <c r="N138" s="8"/>
      <c r="O138" s="8"/>
      <c r="P138" s="8"/>
      <c r="Q138" s="8"/>
      <c r="R138" s="8"/>
      <c r="S138" s="8"/>
      <c r="T138" s="8"/>
      <c r="V138" s="54"/>
    </row>
    <row r="139">
      <c r="B139" s="14">
        <f>IFERROR(__xludf.DUMMYFUNCTION("""COMPUTED_VALUE"""),44606.0)</f>
        <v>44606</v>
      </c>
      <c r="C139" s="16">
        <f>IFERROR(__xludf.DUMMYFUNCTION("""COMPUTED_VALUE"""),22.0)</f>
        <v>22</v>
      </c>
      <c r="D139" s="16">
        <f>IFERROR(__xludf.DUMMYFUNCTION("""COMPUTED_VALUE"""),21.0)</f>
        <v>21</v>
      </c>
      <c r="E139" s="16">
        <f>IFERROR(__xludf.DUMMYFUNCTION("""COMPUTED_VALUE"""),0.0)</f>
        <v>0</v>
      </c>
      <c r="F139" s="16">
        <f>IFERROR(__xludf.DUMMYFUNCTION("""COMPUTED_VALUE"""),1.0)</f>
        <v>1</v>
      </c>
      <c r="G139" s="16">
        <f>IFERROR(__xludf.DUMMYFUNCTION("""COMPUTED_VALUE"""),0.0)</f>
        <v>0</v>
      </c>
      <c r="H139" s="16">
        <f>IFERROR(__xludf.DUMMYFUNCTION("""COMPUTED_VALUE"""),0.0)</f>
        <v>0</v>
      </c>
      <c r="I139" s="16">
        <f>IFERROR(__xludf.DUMMYFUNCTION("""COMPUTED_VALUE"""),0.0)</f>
        <v>0</v>
      </c>
      <c r="J139" s="16" t="b">
        <f>IFERROR(__xludf.DUMMYFUNCTION("""COMPUTED_VALUE"""),TRUE)</f>
        <v>1</v>
      </c>
      <c r="K139" s="544"/>
      <c r="L139" s="8"/>
      <c r="M139" s="8"/>
      <c r="N139" s="8"/>
      <c r="O139" s="8"/>
      <c r="P139" s="8"/>
      <c r="Q139" s="8"/>
      <c r="R139" s="8"/>
      <c r="S139" s="8"/>
      <c r="T139" s="8"/>
      <c r="V139" s="54"/>
    </row>
    <row r="140">
      <c r="B140" s="14">
        <f>IFERROR(__xludf.DUMMYFUNCTION("""COMPUTED_VALUE"""),44608.0)</f>
        <v>44608</v>
      </c>
      <c r="C140" s="16">
        <f>IFERROR(__xludf.DUMMYFUNCTION("""COMPUTED_VALUE"""),3.0)</f>
        <v>3</v>
      </c>
      <c r="D140" s="16">
        <f>IFERROR(__xludf.DUMMYFUNCTION("""COMPUTED_VALUE"""),3.0)</f>
        <v>3</v>
      </c>
      <c r="E140" s="16">
        <f>IFERROR(__xludf.DUMMYFUNCTION("""COMPUTED_VALUE"""),0.0)</f>
        <v>0</v>
      </c>
      <c r="F140" s="16">
        <f>IFERROR(__xludf.DUMMYFUNCTION("""COMPUTED_VALUE"""),0.0)</f>
        <v>0</v>
      </c>
      <c r="G140" s="16">
        <f>IFERROR(__xludf.DUMMYFUNCTION("""COMPUTED_VALUE"""),0.0)</f>
        <v>0</v>
      </c>
      <c r="H140" s="16">
        <f>IFERROR(__xludf.DUMMYFUNCTION("""COMPUTED_VALUE"""),0.0)</f>
        <v>0</v>
      </c>
      <c r="I140" s="16">
        <f>IFERROR(__xludf.DUMMYFUNCTION("""COMPUTED_VALUE"""),0.0)</f>
        <v>0</v>
      </c>
      <c r="J140" s="16"/>
      <c r="K140" s="544"/>
      <c r="L140" s="8"/>
      <c r="M140" s="8"/>
      <c r="N140" s="8"/>
      <c r="O140" s="8"/>
      <c r="P140" s="8"/>
      <c r="Q140" s="8"/>
      <c r="R140" s="8"/>
      <c r="S140" s="8"/>
      <c r="T140" s="8"/>
      <c r="V140" s="54"/>
    </row>
    <row r="141">
      <c r="B141" s="14">
        <f>IFERROR(__xludf.DUMMYFUNCTION("""COMPUTED_VALUE"""),44609.0)</f>
        <v>44609</v>
      </c>
      <c r="C141" s="16">
        <f>IFERROR(__xludf.DUMMYFUNCTION("""COMPUTED_VALUE"""),23.0)</f>
        <v>23</v>
      </c>
      <c r="D141" s="16">
        <f>IFERROR(__xludf.DUMMYFUNCTION("""COMPUTED_VALUE"""),23.0)</f>
        <v>23</v>
      </c>
      <c r="E141" s="16">
        <f>IFERROR(__xludf.DUMMYFUNCTION("""COMPUTED_VALUE"""),0.0)</f>
        <v>0</v>
      </c>
      <c r="F141" s="16">
        <f>IFERROR(__xludf.DUMMYFUNCTION("""COMPUTED_VALUE"""),0.0)</f>
        <v>0</v>
      </c>
      <c r="G141" s="16">
        <f>IFERROR(__xludf.DUMMYFUNCTION("""COMPUTED_VALUE"""),0.0)</f>
        <v>0</v>
      </c>
      <c r="H141" s="16">
        <f>IFERROR(__xludf.DUMMYFUNCTION("""COMPUTED_VALUE"""),0.0)</f>
        <v>0</v>
      </c>
      <c r="I141" s="16">
        <f>IFERROR(__xludf.DUMMYFUNCTION("""COMPUTED_VALUE"""),0.0)</f>
        <v>0</v>
      </c>
      <c r="J141" s="16" t="b">
        <f>IFERROR(__xludf.DUMMYFUNCTION("""COMPUTED_VALUE"""),TRUE)</f>
        <v>1</v>
      </c>
      <c r="K141" s="544"/>
      <c r="L141" s="8"/>
      <c r="M141" s="8"/>
      <c r="N141" s="8"/>
      <c r="O141" s="8"/>
      <c r="P141" s="8"/>
      <c r="Q141" s="8"/>
      <c r="R141" s="8"/>
      <c r="S141" s="8"/>
      <c r="T141" s="8"/>
      <c r="V141" s="54"/>
    </row>
    <row r="142">
      <c r="B142" s="14">
        <f>IFERROR(__xludf.DUMMYFUNCTION("""COMPUTED_VALUE"""),44610.0)</f>
        <v>44610</v>
      </c>
      <c r="C142" s="16">
        <f>IFERROR(__xludf.DUMMYFUNCTION("""COMPUTED_VALUE"""),1.0)</f>
        <v>1</v>
      </c>
      <c r="D142" s="16">
        <f>IFERROR(__xludf.DUMMYFUNCTION("""COMPUTED_VALUE"""),1.0)</f>
        <v>1</v>
      </c>
      <c r="E142" s="16">
        <f>IFERROR(__xludf.DUMMYFUNCTION("""COMPUTED_VALUE"""),0.0)</f>
        <v>0</v>
      </c>
      <c r="F142" s="16">
        <f>IFERROR(__xludf.DUMMYFUNCTION("""COMPUTED_VALUE"""),0.0)</f>
        <v>0</v>
      </c>
      <c r="G142" s="16">
        <f>IFERROR(__xludf.DUMMYFUNCTION("""COMPUTED_VALUE"""),0.0)</f>
        <v>0</v>
      </c>
      <c r="H142" s="16">
        <f>IFERROR(__xludf.DUMMYFUNCTION("""COMPUTED_VALUE"""),0.0)</f>
        <v>0</v>
      </c>
      <c r="I142" s="16">
        <f>IFERROR(__xludf.DUMMYFUNCTION("""COMPUTED_VALUE"""),0.0)</f>
        <v>0</v>
      </c>
      <c r="J142" s="16" t="b">
        <f>IFERROR(__xludf.DUMMYFUNCTION("""COMPUTED_VALUE"""),TRUE)</f>
        <v>1</v>
      </c>
      <c r="K142" s="544"/>
      <c r="L142" s="8"/>
      <c r="M142" s="8"/>
      <c r="N142" s="8"/>
      <c r="O142" s="8"/>
      <c r="P142" s="8"/>
      <c r="Q142" s="8"/>
      <c r="R142" s="8"/>
      <c r="S142" s="8"/>
      <c r="T142" s="8"/>
      <c r="V142" s="54"/>
    </row>
    <row r="143">
      <c r="B143" s="14">
        <f>IFERROR(__xludf.DUMMYFUNCTION("""COMPUTED_VALUE"""),44616.0)</f>
        <v>44616</v>
      </c>
      <c r="C143" s="16">
        <f>IFERROR(__xludf.DUMMYFUNCTION("""COMPUTED_VALUE"""),1.0)</f>
        <v>1</v>
      </c>
      <c r="D143" s="16">
        <f>IFERROR(__xludf.DUMMYFUNCTION("""COMPUTED_VALUE"""),1.0)</f>
        <v>1</v>
      </c>
      <c r="E143" s="16">
        <f>IFERROR(__xludf.DUMMYFUNCTION("""COMPUTED_VALUE"""),0.0)</f>
        <v>0</v>
      </c>
      <c r="F143" s="16">
        <f>IFERROR(__xludf.DUMMYFUNCTION("""COMPUTED_VALUE"""),0.0)</f>
        <v>0</v>
      </c>
      <c r="G143" s="16">
        <f>IFERROR(__xludf.DUMMYFUNCTION("""COMPUTED_VALUE"""),0.0)</f>
        <v>0</v>
      </c>
      <c r="H143" s="16">
        <f>IFERROR(__xludf.DUMMYFUNCTION("""COMPUTED_VALUE"""),0.0)</f>
        <v>0</v>
      </c>
      <c r="I143" s="16">
        <f>IFERROR(__xludf.DUMMYFUNCTION("""COMPUTED_VALUE"""),0.0)</f>
        <v>0</v>
      </c>
      <c r="J143" s="16"/>
      <c r="K143" s="544"/>
      <c r="L143" s="8"/>
      <c r="M143" s="8"/>
      <c r="N143" s="8"/>
      <c r="O143" s="8"/>
      <c r="P143" s="8"/>
      <c r="Q143" s="8"/>
      <c r="R143" s="8"/>
      <c r="S143" s="8"/>
      <c r="T143" s="8"/>
      <c r="V143" s="54"/>
    </row>
    <row r="144">
      <c r="B144" s="14">
        <f>IFERROR(__xludf.DUMMYFUNCTION("""COMPUTED_VALUE"""),44619.0)</f>
        <v>44619</v>
      </c>
      <c r="C144" s="16">
        <f>IFERROR(__xludf.DUMMYFUNCTION("""COMPUTED_VALUE"""),20.0)</f>
        <v>20</v>
      </c>
      <c r="D144" s="16">
        <f>IFERROR(__xludf.DUMMYFUNCTION("""COMPUTED_VALUE"""),20.0)</f>
        <v>20</v>
      </c>
      <c r="E144" s="16">
        <f>IFERROR(__xludf.DUMMYFUNCTION("""COMPUTED_VALUE"""),0.0)</f>
        <v>0</v>
      </c>
      <c r="F144" s="16">
        <f>IFERROR(__xludf.DUMMYFUNCTION("""COMPUTED_VALUE"""),0.0)</f>
        <v>0</v>
      </c>
      <c r="G144" s="16">
        <f>IFERROR(__xludf.DUMMYFUNCTION("""COMPUTED_VALUE"""),0.0)</f>
        <v>0</v>
      </c>
      <c r="H144" s="16">
        <f>IFERROR(__xludf.DUMMYFUNCTION("""COMPUTED_VALUE"""),0.0)</f>
        <v>0</v>
      </c>
      <c r="I144" s="16">
        <f>IFERROR(__xludf.DUMMYFUNCTION("""COMPUTED_VALUE"""),0.0)</f>
        <v>0</v>
      </c>
      <c r="J144" s="16" t="b">
        <f>IFERROR(__xludf.DUMMYFUNCTION("""COMPUTED_VALUE"""),TRUE)</f>
        <v>1</v>
      </c>
      <c r="K144" s="544"/>
      <c r="L144" s="8"/>
      <c r="M144" s="8"/>
      <c r="N144" s="8"/>
      <c r="O144" s="8"/>
      <c r="P144" s="8"/>
      <c r="Q144" s="8"/>
      <c r="R144" s="8"/>
      <c r="S144" s="8"/>
      <c r="T144" s="8"/>
      <c r="V144" s="54"/>
    </row>
    <row r="145">
      <c r="B145" s="14">
        <f>IFERROR(__xludf.DUMMYFUNCTION("""COMPUTED_VALUE"""),44623.0)</f>
        <v>44623</v>
      </c>
      <c r="C145" s="16">
        <f>IFERROR(__xludf.DUMMYFUNCTION("""COMPUTED_VALUE"""),25.0)</f>
        <v>25</v>
      </c>
      <c r="D145" s="16">
        <f>IFERROR(__xludf.DUMMYFUNCTION("""COMPUTED_VALUE"""),25.0)</f>
        <v>25</v>
      </c>
      <c r="E145" s="16">
        <f>IFERROR(__xludf.DUMMYFUNCTION("""COMPUTED_VALUE"""),0.0)</f>
        <v>0</v>
      </c>
      <c r="F145" s="16">
        <f>IFERROR(__xludf.DUMMYFUNCTION("""COMPUTED_VALUE"""),0.0)</f>
        <v>0</v>
      </c>
      <c r="G145" s="16">
        <f>IFERROR(__xludf.DUMMYFUNCTION("""COMPUTED_VALUE"""),0.0)</f>
        <v>0</v>
      </c>
      <c r="H145" s="16">
        <f>IFERROR(__xludf.DUMMYFUNCTION("""COMPUTED_VALUE"""),0.0)</f>
        <v>0</v>
      </c>
      <c r="I145" s="16">
        <f>IFERROR(__xludf.DUMMYFUNCTION("""COMPUTED_VALUE"""),0.0)</f>
        <v>0</v>
      </c>
      <c r="J145" s="16"/>
      <c r="K145" s="544"/>
      <c r="L145" s="8"/>
      <c r="M145" s="8"/>
      <c r="N145" s="8"/>
      <c r="O145" s="8"/>
      <c r="P145" s="8"/>
      <c r="Q145" s="8"/>
      <c r="R145" s="8"/>
      <c r="S145" s="8"/>
      <c r="T145" s="8"/>
      <c r="V145" s="54"/>
    </row>
    <row r="146">
      <c r="B146" s="14">
        <f>IFERROR(__xludf.DUMMYFUNCTION("""COMPUTED_VALUE"""),44626.0)</f>
        <v>44626</v>
      </c>
      <c r="C146" s="16">
        <f>IFERROR(__xludf.DUMMYFUNCTION("""COMPUTED_VALUE"""),5.0)</f>
        <v>5</v>
      </c>
      <c r="D146" s="16">
        <f>IFERROR(__xludf.DUMMYFUNCTION("""COMPUTED_VALUE"""),5.0)</f>
        <v>5</v>
      </c>
      <c r="E146" s="16">
        <f>IFERROR(__xludf.DUMMYFUNCTION("""COMPUTED_VALUE"""),0.0)</f>
        <v>0</v>
      </c>
      <c r="F146" s="16">
        <f>IFERROR(__xludf.DUMMYFUNCTION("""COMPUTED_VALUE"""),0.0)</f>
        <v>0</v>
      </c>
      <c r="G146" s="16">
        <f>IFERROR(__xludf.DUMMYFUNCTION("""COMPUTED_VALUE"""),0.0)</f>
        <v>0</v>
      </c>
      <c r="H146" s="16">
        <f>IFERROR(__xludf.DUMMYFUNCTION("""COMPUTED_VALUE"""),0.0)</f>
        <v>0</v>
      </c>
      <c r="I146" s="16">
        <f>IFERROR(__xludf.DUMMYFUNCTION("""COMPUTED_VALUE"""),0.0)</f>
        <v>0</v>
      </c>
      <c r="J146" s="16"/>
      <c r="K146" s="544"/>
      <c r="L146" s="8"/>
      <c r="M146" s="8"/>
      <c r="N146" s="8"/>
      <c r="O146" s="8"/>
      <c r="P146" s="8"/>
      <c r="Q146" s="8"/>
      <c r="R146" s="8"/>
      <c r="S146" s="8"/>
      <c r="T146" s="8"/>
      <c r="V146" s="54"/>
    </row>
    <row r="147">
      <c r="B147" s="14">
        <f>IFERROR(__xludf.DUMMYFUNCTION("""COMPUTED_VALUE"""),44627.0)</f>
        <v>44627</v>
      </c>
      <c r="C147" s="16">
        <f>IFERROR(__xludf.DUMMYFUNCTION("""COMPUTED_VALUE"""),18.0)</f>
        <v>18</v>
      </c>
      <c r="D147" s="16">
        <f>IFERROR(__xludf.DUMMYFUNCTION("""COMPUTED_VALUE"""),18.0)</f>
        <v>18</v>
      </c>
      <c r="E147" s="16">
        <f>IFERROR(__xludf.DUMMYFUNCTION("""COMPUTED_VALUE"""),0.0)</f>
        <v>0</v>
      </c>
      <c r="F147" s="16">
        <f>IFERROR(__xludf.DUMMYFUNCTION("""COMPUTED_VALUE"""),0.0)</f>
        <v>0</v>
      </c>
      <c r="G147" s="16">
        <f>IFERROR(__xludf.DUMMYFUNCTION("""COMPUTED_VALUE"""),0.0)</f>
        <v>0</v>
      </c>
      <c r="H147" s="16">
        <f>IFERROR(__xludf.DUMMYFUNCTION("""COMPUTED_VALUE"""),0.0)</f>
        <v>0</v>
      </c>
      <c r="I147" s="16">
        <f>IFERROR(__xludf.DUMMYFUNCTION("""COMPUTED_VALUE"""),0.0)</f>
        <v>0</v>
      </c>
      <c r="J147" s="16" t="b">
        <f>IFERROR(__xludf.DUMMYFUNCTION("""COMPUTED_VALUE"""),TRUE)</f>
        <v>1</v>
      </c>
      <c r="K147" s="544"/>
      <c r="L147" s="8"/>
      <c r="M147" s="8"/>
      <c r="N147" s="8"/>
      <c r="O147" s="8"/>
      <c r="P147" s="8"/>
      <c r="Q147" s="8"/>
      <c r="R147" s="8"/>
      <c r="S147" s="8"/>
      <c r="T147" s="8"/>
      <c r="V147" s="54"/>
    </row>
    <row r="148">
      <c r="B148" s="14">
        <f>IFERROR(__xludf.DUMMYFUNCTION("""COMPUTED_VALUE"""),44629.0)</f>
        <v>44629</v>
      </c>
      <c r="C148" s="16">
        <f>IFERROR(__xludf.DUMMYFUNCTION("""COMPUTED_VALUE"""),2.0)</f>
        <v>2</v>
      </c>
      <c r="D148" s="16">
        <f>IFERROR(__xludf.DUMMYFUNCTION("""COMPUTED_VALUE"""),2.0)</f>
        <v>2</v>
      </c>
      <c r="E148" s="16">
        <f>IFERROR(__xludf.DUMMYFUNCTION("""COMPUTED_VALUE"""),0.0)</f>
        <v>0</v>
      </c>
      <c r="F148" s="16">
        <f>IFERROR(__xludf.DUMMYFUNCTION("""COMPUTED_VALUE"""),0.0)</f>
        <v>0</v>
      </c>
      <c r="G148" s="16">
        <f>IFERROR(__xludf.DUMMYFUNCTION("""COMPUTED_VALUE"""),0.0)</f>
        <v>0</v>
      </c>
      <c r="H148" s="16">
        <f>IFERROR(__xludf.DUMMYFUNCTION("""COMPUTED_VALUE"""),0.0)</f>
        <v>0</v>
      </c>
      <c r="I148" s="16">
        <f>IFERROR(__xludf.DUMMYFUNCTION("""COMPUTED_VALUE"""),0.0)</f>
        <v>0</v>
      </c>
      <c r="J148" s="16"/>
      <c r="K148" s="544"/>
      <c r="L148" s="8"/>
      <c r="M148" s="8"/>
      <c r="N148" s="8"/>
      <c r="O148" s="8"/>
      <c r="P148" s="8"/>
      <c r="Q148" s="8"/>
      <c r="R148" s="8"/>
      <c r="S148" s="8"/>
      <c r="T148" s="8"/>
      <c r="V148" s="54"/>
    </row>
    <row r="149">
      <c r="B149" s="14">
        <f>IFERROR(__xludf.DUMMYFUNCTION("""COMPUTED_VALUE"""),44630.0)</f>
        <v>44630</v>
      </c>
      <c r="C149" s="16">
        <f>IFERROR(__xludf.DUMMYFUNCTION("""COMPUTED_VALUE"""),19.0)</f>
        <v>19</v>
      </c>
      <c r="D149" s="16">
        <f>IFERROR(__xludf.DUMMYFUNCTION("""COMPUTED_VALUE"""),19.0)</f>
        <v>19</v>
      </c>
      <c r="E149" s="16">
        <f>IFERROR(__xludf.DUMMYFUNCTION("""COMPUTED_VALUE"""),0.0)</f>
        <v>0</v>
      </c>
      <c r="F149" s="16">
        <f>IFERROR(__xludf.DUMMYFUNCTION("""COMPUTED_VALUE"""),0.0)</f>
        <v>0</v>
      </c>
      <c r="G149" s="16">
        <f>IFERROR(__xludf.DUMMYFUNCTION("""COMPUTED_VALUE"""),0.0)</f>
        <v>0</v>
      </c>
      <c r="H149" s="16">
        <f>IFERROR(__xludf.DUMMYFUNCTION("""COMPUTED_VALUE"""),0.0)</f>
        <v>0</v>
      </c>
      <c r="I149" s="16">
        <f>IFERROR(__xludf.DUMMYFUNCTION("""COMPUTED_VALUE"""),0.0)</f>
        <v>0</v>
      </c>
      <c r="J149" s="16" t="b">
        <f>IFERROR(__xludf.DUMMYFUNCTION("""COMPUTED_VALUE"""),TRUE)</f>
        <v>1</v>
      </c>
      <c r="K149" s="544"/>
      <c r="L149" s="8"/>
      <c r="M149" s="8"/>
      <c r="N149" s="8"/>
      <c r="O149" s="8"/>
      <c r="P149" s="8"/>
      <c r="Q149" s="8"/>
      <c r="R149" s="8"/>
      <c r="S149" s="8"/>
      <c r="T149" s="8"/>
      <c r="V149" s="54"/>
    </row>
    <row r="150">
      <c r="B150" s="14">
        <f>IFERROR(__xludf.DUMMYFUNCTION("""COMPUTED_VALUE"""),44632.0)</f>
        <v>44632</v>
      </c>
      <c r="C150" s="16">
        <f>IFERROR(__xludf.DUMMYFUNCTION("""COMPUTED_VALUE"""),2.0)</f>
        <v>2</v>
      </c>
      <c r="D150" s="16">
        <f>IFERROR(__xludf.DUMMYFUNCTION("""COMPUTED_VALUE"""),2.0)</f>
        <v>2</v>
      </c>
      <c r="E150" s="16">
        <f>IFERROR(__xludf.DUMMYFUNCTION("""COMPUTED_VALUE"""),0.0)</f>
        <v>0</v>
      </c>
      <c r="F150" s="16">
        <f>IFERROR(__xludf.DUMMYFUNCTION("""COMPUTED_VALUE"""),0.0)</f>
        <v>0</v>
      </c>
      <c r="G150" s="16">
        <f>IFERROR(__xludf.DUMMYFUNCTION("""COMPUTED_VALUE"""),0.0)</f>
        <v>0</v>
      </c>
      <c r="H150" s="16">
        <f>IFERROR(__xludf.DUMMYFUNCTION("""COMPUTED_VALUE"""),0.0)</f>
        <v>0</v>
      </c>
      <c r="I150" s="16">
        <f>IFERROR(__xludf.DUMMYFUNCTION("""COMPUTED_VALUE"""),0.0)</f>
        <v>0</v>
      </c>
      <c r="J150" s="16" t="b">
        <f>IFERROR(__xludf.DUMMYFUNCTION("""COMPUTED_VALUE"""),TRUE)</f>
        <v>1</v>
      </c>
      <c r="K150" s="544"/>
      <c r="L150" s="8"/>
      <c r="M150" s="8"/>
      <c r="N150" s="8"/>
      <c r="O150" s="8"/>
      <c r="P150" s="8"/>
      <c r="Q150" s="8"/>
      <c r="R150" s="8"/>
      <c r="S150" s="8"/>
      <c r="T150" s="8"/>
      <c r="V150" s="54"/>
    </row>
    <row r="151">
      <c r="B151" s="14">
        <f>IFERROR(__xludf.DUMMYFUNCTION("""COMPUTED_VALUE"""),44633.0)</f>
        <v>44633</v>
      </c>
      <c r="C151" s="16">
        <f>IFERROR(__xludf.DUMMYFUNCTION("""COMPUTED_VALUE"""),3.0)</f>
        <v>3</v>
      </c>
      <c r="D151" s="16">
        <f>IFERROR(__xludf.DUMMYFUNCTION("""COMPUTED_VALUE"""),3.0)</f>
        <v>3</v>
      </c>
      <c r="E151" s="16">
        <f>IFERROR(__xludf.DUMMYFUNCTION("""COMPUTED_VALUE"""),0.0)</f>
        <v>0</v>
      </c>
      <c r="F151" s="16">
        <f>IFERROR(__xludf.DUMMYFUNCTION("""COMPUTED_VALUE"""),0.0)</f>
        <v>0</v>
      </c>
      <c r="G151" s="16">
        <f>IFERROR(__xludf.DUMMYFUNCTION("""COMPUTED_VALUE"""),0.0)</f>
        <v>0</v>
      </c>
      <c r="H151" s="16">
        <f>IFERROR(__xludf.DUMMYFUNCTION("""COMPUTED_VALUE"""),0.0)</f>
        <v>0</v>
      </c>
      <c r="I151" s="16">
        <f>IFERROR(__xludf.DUMMYFUNCTION("""COMPUTED_VALUE"""),0.0)</f>
        <v>0</v>
      </c>
      <c r="J151" s="16"/>
      <c r="K151" s="544"/>
      <c r="L151" s="8"/>
      <c r="M151" s="8"/>
      <c r="N151" s="8"/>
      <c r="O151" s="8"/>
      <c r="P151" s="8"/>
      <c r="Q151" s="8"/>
      <c r="R151" s="8"/>
      <c r="S151" s="8"/>
      <c r="T151" s="8"/>
      <c r="V151" s="54"/>
    </row>
    <row r="152">
      <c r="B152" s="14">
        <f>IFERROR(__xludf.DUMMYFUNCTION("""COMPUTED_VALUE"""),44634.0)</f>
        <v>44634</v>
      </c>
      <c r="C152" s="16">
        <f>IFERROR(__xludf.DUMMYFUNCTION("""COMPUTED_VALUE"""),18.0)</f>
        <v>18</v>
      </c>
      <c r="D152" s="16">
        <f>IFERROR(__xludf.DUMMYFUNCTION("""COMPUTED_VALUE"""),18.0)</f>
        <v>18</v>
      </c>
      <c r="E152" s="16">
        <f>IFERROR(__xludf.DUMMYFUNCTION("""COMPUTED_VALUE"""),0.0)</f>
        <v>0</v>
      </c>
      <c r="F152" s="16">
        <f>IFERROR(__xludf.DUMMYFUNCTION("""COMPUTED_VALUE"""),0.0)</f>
        <v>0</v>
      </c>
      <c r="G152" s="16">
        <f>IFERROR(__xludf.DUMMYFUNCTION("""COMPUTED_VALUE"""),0.0)</f>
        <v>0</v>
      </c>
      <c r="H152" s="16">
        <f>IFERROR(__xludf.DUMMYFUNCTION("""COMPUTED_VALUE"""),0.0)</f>
        <v>0</v>
      </c>
      <c r="I152" s="16">
        <f>IFERROR(__xludf.DUMMYFUNCTION("""COMPUTED_VALUE"""),0.0)</f>
        <v>0</v>
      </c>
      <c r="J152" s="16" t="b">
        <f>IFERROR(__xludf.DUMMYFUNCTION("""COMPUTED_VALUE"""),TRUE)</f>
        <v>1</v>
      </c>
      <c r="K152" s="544"/>
      <c r="L152" s="8"/>
      <c r="M152" s="8"/>
      <c r="N152" s="8"/>
      <c r="O152" s="8"/>
      <c r="P152" s="8"/>
      <c r="Q152" s="8"/>
      <c r="R152" s="8"/>
      <c r="S152" s="8"/>
      <c r="T152" s="8"/>
      <c r="V152" s="54"/>
    </row>
    <row r="153">
      <c r="B153" s="14">
        <f>IFERROR(__xludf.DUMMYFUNCTION("""COMPUTED_VALUE"""),44636.0)</f>
        <v>44636</v>
      </c>
      <c r="C153" s="16">
        <f>IFERROR(__xludf.DUMMYFUNCTION("""COMPUTED_VALUE"""),1.0)</f>
        <v>1</v>
      </c>
      <c r="D153" s="16">
        <f>IFERROR(__xludf.DUMMYFUNCTION("""COMPUTED_VALUE"""),1.0)</f>
        <v>1</v>
      </c>
      <c r="E153" s="16">
        <f>IFERROR(__xludf.DUMMYFUNCTION("""COMPUTED_VALUE"""),0.0)</f>
        <v>0</v>
      </c>
      <c r="F153" s="16">
        <f>IFERROR(__xludf.DUMMYFUNCTION("""COMPUTED_VALUE"""),0.0)</f>
        <v>0</v>
      </c>
      <c r="G153" s="16">
        <f>IFERROR(__xludf.DUMMYFUNCTION("""COMPUTED_VALUE"""),0.0)</f>
        <v>0</v>
      </c>
      <c r="H153" s="16">
        <f>IFERROR(__xludf.DUMMYFUNCTION("""COMPUTED_VALUE"""),0.0)</f>
        <v>0</v>
      </c>
      <c r="I153" s="16">
        <f>IFERROR(__xludf.DUMMYFUNCTION("""COMPUTED_VALUE"""),0.0)</f>
        <v>0</v>
      </c>
      <c r="J153" s="16"/>
      <c r="K153" s="544"/>
      <c r="L153" s="8"/>
      <c r="M153" s="8"/>
      <c r="N153" s="8"/>
      <c r="O153" s="8"/>
      <c r="P153" s="8"/>
      <c r="Q153" s="8"/>
      <c r="R153" s="8"/>
      <c r="S153" s="8"/>
      <c r="T153" s="8"/>
      <c r="V153" s="54"/>
    </row>
    <row r="154">
      <c r="B154" s="14">
        <f>IFERROR(__xludf.DUMMYFUNCTION("""COMPUTED_VALUE"""),44637.0)</f>
        <v>44637</v>
      </c>
      <c r="C154" s="16">
        <f>IFERROR(__xludf.DUMMYFUNCTION("""COMPUTED_VALUE"""),14.0)</f>
        <v>14</v>
      </c>
      <c r="D154" s="16">
        <f>IFERROR(__xludf.DUMMYFUNCTION("""COMPUTED_VALUE"""),14.0)</f>
        <v>14</v>
      </c>
      <c r="E154" s="16">
        <f>IFERROR(__xludf.DUMMYFUNCTION("""COMPUTED_VALUE"""),0.0)</f>
        <v>0</v>
      </c>
      <c r="F154" s="16">
        <f>IFERROR(__xludf.DUMMYFUNCTION("""COMPUTED_VALUE"""),0.0)</f>
        <v>0</v>
      </c>
      <c r="G154" s="16">
        <f>IFERROR(__xludf.DUMMYFUNCTION("""COMPUTED_VALUE"""),0.0)</f>
        <v>0</v>
      </c>
      <c r="H154" s="16">
        <f>IFERROR(__xludf.DUMMYFUNCTION("""COMPUTED_VALUE"""),0.0)</f>
        <v>0</v>
      </c>
      <c r="I154" s="16">
        <f>IFERROR(__xludf.DUMMYFUNCTION("""COMPUTED_VALUE"""),0.0)</f>
        <v>0</v>
      </c>
      <c r="J154" s="16" t="b">
        <f>IFERROR(__xludf.DUMMYFUNCTION("""COMPUTED_VALUE"""),TRUE)</f>
        <v>1</v>
      </c>
      <c r="K154" s="544"/>
      <c r="L154" s="8"/>
      <c r="M154" s="8"/>
      <c r="N154" s="8"/>
      <c r="O154" s="8"/>
      <c r="P154" s="8"/>
      <c r="Q154" s="8"/>
      <c r="R154" s="8"/>
      <c r="S154" s="8"/>
      <c r="T154" s="8"/>
      <c r="V154" s="54"/>
    </row>
    <row r="155">
      <c r="B155" s="14">
        <f>IFERROR(__xludf.DUMMYFUNCTION("""COMPUTED_VALUE"""),44640.0)</f>
        <v>44640</v>
      </c>
      <c r="C155" s="16">
        <f>IFERROR(__xludf.DUMMYFUNCTION("""COMPUTED_VALUE"""),2.0)</f>
        <v>2</v>
      </c>
      <c r="D155" s="16">
        <f>IFERROR(__xludf.DUMMYFUNCTION("""COMPUTED_VALUE"""),2.0)</f>
        <v>2</v>
      </c>
      <c r="E155" s="16">
        <f>IFERROR(__xludf.DUMMYFUNCTION("""COMPUTED_VALUE"""),0.0)</f>
        <v>0</v>
      </c>
      <c r="F155" s="16">
        <f>IFERROR(__xludf.DUMMYFUNCTION("""COMPUTED_VALUE"""),0.0)</f>
        <v>0</v>
      </c>
      <c r="G155" s="16">
        <f>IFERROR(__xludf.DUMMYFUNCTION("""COMPUTED_VALUE"""),0.0)</f>
        <v>0</v>
      </c>
      <c r="H155" s="16">
        <f>IFERROR(__xludf.DUMMYFUNCTION("""COMPUTED_VALUE"""),0.0)</f>
        <v>0</v>
      </c>
      <c r="I155" s="16">
        <f>IFERROR(__xludf.DUMMYFUNCTION("""COMPUTED_VALUE"""),0.0)</f>
        <v>0</v>
      </c>
      <c r="J155" s="16"/>
      <c r="K155" s="544"/>
      <c r="L155" s="8"/>
      <c r="M155" s="8"/>
      <c r="N155" s="8"/>
      <c r="O155" s="8"/>
      <c r="P155" s="8"/>
      <c r="Q155" s="8"/>
      <c r="R155" s="8"/>
      <c r="S155" s="8"/>
      <c r="T155" s="8"/>
      <c r="V155" s="54"/>
    </row>
    <row r="156">
      <c r="B156" s="14">
        <f>IFERROR(__xludf.DUMMYFUNCTION("""COMPUTED_VALUE"""),44641.0)</f>
        <v>44641</v>
      </c>
      <c r="C156" s="16">
        <f>IFERROR(__xludf.DUMMYFUNCTION("""COMPUTED_VALUE"""),20.0)</f>
        <v>20</v>
      </c>
      <c r="D156" s="16">
        <f>IFERROR(__xludf.DUMMYFUNCTION("""COMPUTED_VALUE"""),20.0)</f>
        <v>20</v>
      </c>
      <c r="E156" s="16">
        <f>IFERROR(__xludf.DUMMYFUNCTION("""COMPUTED_VALUE"""),0.0)</f>
        <v>0</v>
      </c>
      <c r="F156" s="16">
        <f>IFERROR(__xludf.DUMMYFUNCTION("""COMPUTED_VALUE"""),0.0)</f>
        <v>0</v>
      </c>
      <c r="G156" s="16">
        <f>IFERROR(__xludf.DUMMYFUNCTION("""COMPUTED_VALUE"""),0.0)</f>
        <v>0</v>
      </c>
      <c r="H156" s="16">
        <f>IFERROR(__xludf.DUMMYFUNCTION("""COMPUTED_VALUE"""),0.0)</f>
        <v>0</v>
      </c>
      <c r="I156" s="16">
        <f>IFERROR(__xludf.DUMMYFUNCTION("""COMPUTED_VALUE"""),0.0)</f>
        <v>0</v>
      </c>
      <c r="J156" s="16" t="b">
        <f>IFERROR(__xludf.DUMMYFUNCTION("""COMPUTED_VALUE"""),TRUE)</f>
        <v>1</v>
      </c>
      <c r="K156" s="544"/>
      <c r="L156" s="8"/>
      <c r="M156" s="8"/>
      <c r="N156" s="8"/>
      <c r="O156" s="8"/>
      <c r="P156" s="8"/>
      <c r="Q156" s="8"/>
      <c r="R156" s="8"/>
      <c r="S156" s="8"/>
      <c r="T156" s="8"/>
      <c r="V156" s="54"/>
    </row>
    <row r="157">
      <c r="B157" s="14">
        <f>IFERROR(__xludf.DUMMYFUNCTION("""COMPUTED_VALUE"""),44642.0)</f>
        <v>44642</v>
      </c>
      <c r="C157" s="16">
        <f>IFERROR(__xludf.DUMMYFUNCTION("""COMPUTED_VALUE"""),1.0)</f>
        <v>1</v>
      </c>
      <c r="D157" s="16">
        <f>IFERROR(__xludf.DUMMYFUNCTION("""COMPUTED_VALUE"""),1.0)</f>
        <v>1</v>
      </c>
      <c r="E157" s="16">
        <f>IFERROR(__xludf.DUMMYFUNCTION("""COMPUTED_VALUE"""),0.0)</f>
        <v>0</v>
      </c>
      <c r="F157" s="16">
        <f>IFERROR(__xludf.DUMMYFUNCTION("""COMPUTED_VALUE"""),0.0)</f>
        <v>0</v>
      </c>
      <c r="G157" s="16">
        <f>IFERROR(__xludf.DUMMYFUNCTION("""COMPUTED_VALUE"""),0.0)</f>
        <v>0</v>
      </c>
      <c r="H157" s="16">
        <f>IFERROR(__xludf.DUMMYFUNCTION("""COMPUTED_VALUE"""),0.0)</f>
        <v>0</v>
      </c>
      <c r="I157" s="16">
        <f>IFERROR(__xludf.DUMMYFUNCTION("""COMPUTED_VALUE"""),0.0)</f>
        <v>0</v>
      </c>
      <c r="J157" s="16" t="b">
        <f>IFERROR(__xludf.DUMMYFUNCTION("""COMPUTED_VALUE"""),TRUE)</f>
        <v>1</v>
      </c>
      <c r="K157" s="544"/>
      <c r="L157" s="8"/>
      <c r="M157" s="8"/>
      <c r="N157" s="8"/>
      <c r="O157" s="8"/>
      <c r="P157" s="8"/>
      <c r="Q157" s="8"/>
      <c r="R157" s="8"/>
      <c r="S157" s="8"/>
      <c r="T157" s="8"/>
      <c r="V157" s="54"/>
    </row>
    <row r="158">
      <c r="B158" s="14">
        <f>IFERROR(__xludf.DUMMYFUNCTION("""COMPUTED_VALUE"""),44644.0)</f>
        <v>44644</v>
      </c>
      <c r="C158" s="16">
        <f>IFERROR(__xludf.DUMMYFUNCTION("""COMPUTED_VALUE"""),24.0)</f>
        <v>24</v>
      </c>
      <c r="D158" s="16">
        <f>IFERROR(__xludf.DUMMYFUNCTION("""COMPUTED_VALUE"""),24.0)</f>
        <v>24</v>
      </c>
      <c r="E158" s="16">
        <f>IFERROR(__xludf.DUMMYFUNCTION("""COMPUTED_VALUE"""),0.0)</f>
        <v>0</v>
      </c>
      <c r="F158" s="16">
        <f>IFERROR(__xludf.DUMMYFUNCTION("""COMPUTED_VALUE"""),0.0)</f>
        <v>0</v>
      </c>
      <c r="G158" s="16">
        <f>IFERROR(__xludf.DUMMYFUNCTION("""COMPUTED_VALUE"""),0.0)</f>
        <v>0</v>
      </c>
      <c r="H158" s="16">
        <f>IFERROR(__xludf.DUMMYFUNCTION("""COMPUTED_VALUE"""),0.0)</f>
        <v>0</v>
      </c>
      <c r="I158" s="16">
        <f>IFERROR(__xludf.DUMMYFUNCTION("""COMPUTED_VALUE"""),0.0)</f>
        <v>0</v>
      </c>
      <c r="J158" s="16"/>
      <c r="K158" s="544"/>
      <c r="L158" s="8"/>
      <c r="M158" s="8"/>
      <c r="N158" s="8"/>
      <c r="O158" s="8"/>
      <c r="P158" s="8"/>
      <c r="Q158" s="8"/>
      <c r="R158" s="8"/>
      <c r="S158" s="8"/>
      <c r="T158" s="8"/>
      <c r="V158" s="54"/>
    </row>
    <row r="159">
      <c r="B159" s="14">
        <f>IFERROR(__xludf.DUMMYFUNCTION("""COMPUTED_VALUE"""),44648.0)</f>
        <v>44648</v>
      </c>
      <c r="C159" s="16">
        <f>IFERROR(__xludf.DUMMYFUNCTION("""COMPUTED_VALUE"""),5.0)</f>
        <v>5</v>
      </c>
      <c r="D159" s="16">
        <f>IFERROR(__xludf.DUMMYFUNCTION("""COMPUTED_VALUE"""),5.0)</f>
        <v>5</v>
      </c>
      <c r="E159" s="16">
        <f>IFERROR(__xludf.DUMMYFUNCTION("""COMPUTED_VALUE"""),0.0)</f>
        <v>0</v>
      </c>
      <c r="F159" s="16">
        <f>IFERROR(__xludf.DUMMYFUNCTION("""COMPUTED_VALUE"""),0.0)</f>
        <v>0</v>
      </c>
      <c r="G159" s="16">
        <f>IFERROR(__xludf.DUMMYFUNCTION("""COMPUTED_VALUE"""),0.0)</f>
        <v>0</v>
      </c>
      <c r="H159" s="16">
        <f>IFERROR(__xludf.DUMMYFUNCTION("""COMPUTED_VALUE"""),0.0)</f>
        <v>0</v>
      </c>
      <c r="I159" s="16">
        <f>IFERROR(__xludf.DUMMYFUNCTION("""COMPUTED_VALUE"""),0.0)</f>
        <v>0</v>
      </c>
      <c r="J159" s="16" t="b">
        <f>IFERROR(__xludf.DUMMYFUNCTION("""COMPUTED_VALUE"""),TRUE)</f>
        <v>1</v>
      </c>
      <c r="K159" s="544"/>
      <c r="L159" s="8"/>
      <c r="M159" s="8"/>
      <c r="N159" s="8"/>
      <c r="O159" s="8"/>
      <c r="P159" s="8"/>
      <c r="Q159" s="8"/>
      <c r="R159" s="8"/>
      <c r="S159" s="8"/>
      <c r="T159" s="8"/>
      <c r="V159" s="54"/>
    </row>
    <row r="160">
      <c r="B160" s="14">
        <f>IFERROR(__xludf.DUMMYFUNCTION("""COMPUTED_VALUE"""),44652.0)</f>
        <v>44652</v>
      </c>
      <c r="C160" s="16">
        <f>IFERROR(__xludf.DUMMYFUNCTION("""COMPUTED_VALUE"""),3.0)</f>
        <v>3</v>
      </c>
      <c r="D160" s="16">
        <f>IFERROR(__xludf.DUMMYFUNCTION("""COMPUTED_VALUE"""),3.0)</f>
        <v>3</v>
      </c>
      <c r="E160" s="16">
        <f>IFERROR(__xludf.DUMMYFUNCTION("""COMPUTED_VALUE"""),0.0)</f>
        <v>0</v>
      </c>
      <c r="F160" s="16">
        <f>IFERROR(__xludf.DUMMYFUNCTION("""COMPUTED_VALUE"""),0.0)</f>
        <v>0</v>
      </c>
      <c r="G160" s="16">
        <f>IFERROR(__xludf.DUMMYFUNCTION("""COMPUTED_VALUE"""),0.0)</f>
        <v>0</v>
      </c>
      <c r="H160" s="16">
        <f>IFERROR(__xludf.DUMMYFUNCTION("""COMPUTED_VALUE"""),0.0)</f>
        <v>0</v>
      </c>
      <c r="I160" s="16">
        <f>IFERROR(__xludf.DUMMYFUNCTION("""COMPUTED_VALUE"""),0.0)</f>
        <v>0</v>
      </c>
      <c r="J160" s="16" t="b">
        <f>IFERROR(__xludf.DUMMYFUNCTION("""COMPUTED_VALUE"""),TRUE)</f>
        <v>1</v>
      </c>
      <c r="K160" s="544"/>
      <c r="L160" s="8"/>
      <c r="M160" s="8"/>
      <c r="N160" s="8"/>
      <c r="O160" s="8"/>
      <c r="P160" s="8"/>
      <c r="Q160" s="8"/>
      <c r="R160" s="8"/>
      <c r="S160" s="8"/>
      <c r="T160" s="8"/>
      <c r="V160" s="54"/>
    </row>
    <row r="161">
      <c r="B161" s="14">
        <f>IFERROR(__xludf.DUMMYFUNCTION("""COMPUTED_VALUE"""),44653.0)</f>
        <v>44653</v>
      </c>
      <c r="C161" s="16">
        <f>IFERROR(__xludf.DUMMYFUNCTION("""COMPUTED_VALUE"""),4.0)</f>
        <v>4</v>
      </c>
      <c r="D161" s="16">
        <f>IFERROR(__xludf.DUMMYFUNCTION("""COMPUTED_VALUE"""),4.0)</f>
        <v>4</v>
      </c>
      <c r="E161" s="16">
        <f>IFERROR(__xludf.DUMMYFUNCTION("""COMPUTED_VALUE"""),0.0)</f>
        <v>0</v>
      </c>
      <c r="F161" s="16">
        <f>IFERROR(__xludf.DUMMYFUNCTION("""COMPUTED_VALUE"""),0.0)</f>
        <v>0</v>
      </c>
      <c r="G161" s="16">
        <f>IFERROR(__xludf.DUMMYFUNCTION("""COMPUTED_VALUE"""),0.0)</f>
        <v>0</v>
      </c>
      <c r="H161" s="16">
        <f>IFERROR(__xludf.DUMMYFUNCTION("""COMPUTED_VALUE"""),0.0)</f>
        <v>0</v>
      </c>
      <c r="I161" s="16">
        <f>IFERROR(__xludf.DUMMYFUNCTION("""COMPUTED_VALUE"""),0.0)</f>
        <v>0</v>
      </c>
      <c r="J161" s="16" t="b">
        <f>IFERROR(__xludf.DUMMYFUNCTION("""COMPUTED_VALUE"""),TRUE)</f>
        <v>1</v>
      </c>
      <c r="K161" s="544"/>
      <c r="L161" s="8"/>
      <c r="M161" s="8"/>
      <c r="N161" s="8"/>
      <c r="O161" s="8"/>
      <c r="P161" s="8"/>
      <c r="Q161" s="8"/>
      <c r="R161" s="8"/>
      <c r="S161" s="8"/>
      <c r="T161" s="8"/>
      <c r="V161" s="54"/>
    </row>
    <row r="162">
      <c r="B162" s="14">
        <f>IFERROR(__xludf.DUMMYFUNCTION("""COMPUTED_VALUE"""),44654.0)</f>
        <v>44654</v>
      </c>
      <c r="C162" s="16">
        <f>IFERROR(__xludf.DUMMYFUNCTION("""COMPUTED_VALUE"""),3.0)</f>
        <v>3</v>
      </c>
      <c r="D162" s="16">
        <f>IFERROR(__xludf.DUMMYFUNCTION("""COMPUTED_VALUE"""),3.0)</f>
        <v>3</v>
      </c>
      <c r="E162" s="16">
        <f>IFERROR(__xludf.DUMMYFUNCTION("""COMPUTED_VALUE"""),0.0)</f>
        <v>0</v>
      </c>
      <c r="F162" s="16">
        <f>IFERROR(__xludf.DUMMYFUNCTION("""COMPUTED_VALUE"""),0.0)</f>
        <v>0</v>
      </c>
      <c r="G162" s="16">
        <f>IFERROR(__xludf.DUMMYFUNCTION("""COMPUTED_VALUE"""),0.0)</f>
        <v>0</v>
      </c>
      <c r="H162" s="16">
        <f>IFERROR(__xludf.DUMMYFUNCTION("""COMPUTED_VALUE"""),0.0)</f>
        <v>0</v>
      </c>
      <c r="I162" s="16">
        <f>IFERROR(__xludf.DUMMYFUNCTION("""COMPUTED_VALUE"""),0.0)</f>
        <v>0</v>
      </c>
      <c r="J162" s="16"/>
      <c r="K162" s="544"/>
      <c r="L162" s="8"/>
      <c r="M162" s="8"/>
      <c r="N162" s="8"/>
      <c r="O162" s="8"/>
      <c r="P162" s="8"/>
      <c r="Q162" s="8"/>
      <c r="R162" s="8"/>
      <c r="S162" s="8"/>
      <c r="T162" s="8"/>
      <c r="V162" s="54"/>
    </row>
    <row r="163">
      <c r="B163" s="14">
        <f>IFERROR(__xludf.DUMMYFUNCTION("""COMPUTED_VALUE"""),44655.0)</f>
        <v>44655</v>
      </c>
      <c r="C163" s="16">
        <f>IFERROR(__xludf.DUMMYFUNCTION("""COMPUTED_VALUE"""),22.0)</f>
        <v>22</v>
      </c>
      <c r="D163" s="16">
        <f>IFERROR(__xludf.DUMMYFUNCTION("""COMPUTED_VALUE"""),22.0)</f>
        <v>22</v>
      </c>
      <c r="E163" s="16">
        <f>IFERROR(__xludf.DUMMYFUNCTION("""COMPUTED_VALUE"""),0.0)</f>
        <v>0</v>
      </c>
      <c r="F163" s="16">
        <f>IFERROR(__xludf.DUMMYFUNCTION("""COMPUTED_VALUE"""),0.0)</f>
        <v>0</v>
      </c>
      <c r="G163" s="16">
        <f>IFERROR(__xludf.DUMMYFUNCTION("""COMPUTED_VALUE"""),0.0)</f>
        <v>0</v>
      </c>
      <c r="H163" s="16">
        <f>IFERROR(__xludf.DUMMYFUNCTION("""COMPUTED_VALUE"""),0.0)</f>
        <v>0</v>
      </c>
      <c r="I163" s="16">
        <f>IFERROR(__xludf.DUMMYFUNCTION("""COMPUTED_VALUE"""),0.0)</f>
        <v>0</v>
      </c>
      <c r="J163" s="16" t="b">
        <f>IFERROR(__xludf.DUMMYFUNCTION("""COMPUTED_VALUE"""),TRUE)</f>
        <v>1</v>
      </c>
      <c r="K163" s="544"/>
      <c r="L163" s="8"/>
      <c r="M163" s="8"/>
      <c r="N163" s="8"/>
      <c r="O163" s="8"/>
      <c r="P163" s="8"/>
      <c r="Q163" s="8"/>
      <c r="R163" s="8"/>
      <c r="S163" s="8"/>
      <c r="T163" s="8"/>
      <c r="V163" s="54"/>
    </row>
    <row r="164">
      <c r="B164" s="14">
        <f>IFERROR(__xludf.DUMMYFUNCTION("""COMPUTED_VALUE"""),44657.0)</f>
        <v>44657</v>
      </c>
      <c r="C164" s="16">
        <f>IFERROR(__xludf.DUMMYFUNCTION("""COMPUTED_VALUE"""),1.0)</f>
        <v>1</v>
      </c>
      <c r="D164" s="16">
        <f>IFERROR(__xludf.DUMMYFUNCTION("""COMPUTED_VALUE"""),1.0)</f>
        <v>1</v>
      </c>
      <c r="E164" s="16">
        <f>IFERROR(__xludf.DUMMYFUNCTION("""COMPUTED_VALUE"""),0.0)</f>
        <v>0</v>
      </c>
      <c r="F164" s="16">
        <f>IFERROR(__xludf.DUMMYFUNCTION("""COMPUTED_VALUE"""),0.0)</f>
        <v>0</v>
      </c>
      <c r="G164" s="16">
        <f>IFERROR(__xludf.DUMMYFUNCTION("""COMPUTED_VALUE"""),0.0)</f>
        <v>0</v>
      </c>
      <c r="H164" s="16">
        <f>IFERROR(__xludf.DUMMYFUNCTION("""COMPUTED_VALUE"""),0.0)</f>
        <v>0</v>
      </c>
      <c r="I164" s="16">
        <f>IFERROR(__xludf.DUMMYFUNCTION("""COMPUTED_VALUE"""),0.0)</f>
        <v>0</v>
      </c>
      <c r="J164" s="16"/>
      <c r="K164" s="544"/>
      <c r="L164" s="8"/>
      <c r="M164" s="8"/>
      <c r="N164" s="8"/>
      <c r="O164" s="8"/>
      <c r="P164" s="8"/>
      <c r="Q164" s="8"/>
      <c r="R164" s="8"/>
      <c r="S164" s="8"/>
      <c r="T164" s="8"/>
      <c r="V164" s="54"/>
    </row>
    <row r="165">
      <c r="B165" s="14">
        <f>IFERROR(__xludf.DUMMYFUNCTION("""COMPUTED_VALUE"""),44658.0)</f>
        <v>44658</v>
      </c>
      <c r="C165" s="16">
        <f>IFERROR(__xludf.DUMMYFUNCTION("""COMPUTED_VALUE"""),19.0)</f>
        <v>19</v>
      </c>
      <c r="D165" s="16">
        <f>IFERROR(__xludf.DUMMYFUNCTION("""COMPUTED_VALUE"""),19.0)</f>
        <v>19</v>
      </c>
      <c r="E165" s="16">
        <f>IFERROR(__xludf.DUMMYFUNCTION("""COMPUTED_VALUE"""),0.0)</f>
        <v>0</v>
      </c>
      <c r="F165" s="16">
        <f>IFERROR(__xludf.DUMMYFUNCTION("""COMPUTED_VALUE"""),0.0)</f>
        <v>0</v>
      </c>
      <c r="G165" s="16">
        <f>IFERROR(__xludf.DUMMYFUNCTION("""COMPUTED_VALUE"""),0.0)</f>
        <v>0</v>
      </c>
      <c r="H165" s="16">
        <f>IFERROR(__xludf.DUMMYFUNCTION("""COMPUTED_VALUE"""),0.0)</f>
        <v>0</v>
      </c>
      <c r="I165" s="16">
        <f>IFERROR(__xludf.DUMMYFUNCTION("""COMPUTED_VALUE"""),0.0)</f>
        <v>0</v>
      </c>
      <c r="J165" s="16" t="b">
        <f>IFERROR(__xludf.DUMMYFUNCTION("""COMPUTED_VALUE"""),TRUE)</f>
        <v>1</v>
      </c>
      <c r="K165" s="544"/>
      <c r="L165" s="8"/>
      <c r="M165" s="8"/>
      <c r="N165" s="8"/>
      <c r="O165" s="8"/>
      <c r="P165" s="8"/>
      <c r="Q165" s="8"/>
      <c r="R165" s="8"/>
      <c r="S165" s="8"/>
      <c r="T165" s="8"/>
      <c r="V165" s="54"/>
    </row>
    <row r="166">
      <c r="B166" s="14">
        <f>IFERROR(__xludf.DUMMYFUNCTION("""COMPUTED_VALUE"""),44661.0)</f>
        <v>44661</v>
      </c>
      <c r="C166" s="16">
        <f>IFERROR(__xludf.DUMMYFUNCTION("""COMPUTED_VALUE"""),1.0)</f>
        <v>1</v>
      </c>
      <c r="D166" s="16">
        <f>IFERROR(__xludf.DUMMYFUNCTION("""COMPUTED_VALUE"""),1.0)</f>
        <v>1</v>
      </c>
      <c r="E166" s="16">
        <f>IFERROR(__xludf.DUMMYFUNCTION("""COMPUTED_VALUE"""),0.0)</f>
        <v>0</v>
      </c>
      <c r="F166" s="16">
        <f>IFERROR(__xludf.DUMMYFUNCTION("""COMPUTED_VALUE"""),0.0)</f>
        <v>0</v>
      </c>
      <c r="G166" s="16">
        <f>IFERROR(__xludf.DUMMYFUNCTION("""COMPUTED_VALUE"""),0.0)</f>
        <v>0</v>
      </c>
      <c r="H166" s="16">
        <f>IFERROR(__xludf.DUMMYFUNCTION("""COMPUTED_VALUE"""),0.0)</f>
        <v>0</v>
      </c>
      <c r="I166" s="16">
        <f>IFERROR(__xludf.DUMMYFUNCTION("""COMPUTED_VALUE"""),0.0)</f>
        <v>0</v>
      </c>
      <c r="J166" s="16"/>
      <c r="K166" s="544"/>
      <c r="L166" s="8"/>
      <c r="M166" s="8"/>
      <c r="N166" s="8"/>
      <c r="O166" s="8"/>
      <c r="P166" s="8"/>
      <c r="Q166" s="8"/>
      <c r="R166" s="8"/>
      <c r="S166" s="8"/>
      <c r="T166" s="8"/>
      <c r="V166" s="54"/>
    </row>
    <row r="167">
      <c r="B167" s="14">
        <f>IFERROR(__xludf.DUMMYFUNCTION("""COMPUTED_VALUE"""),44662.0)</f>
        <v>44662</v>
      </c>
      <c r="C167" s="16">
        <f>IFERROR(__xludf.DUMMYFUNCTION("""COMPUTED_VALUE"""),21.0)</f>
        <v>21</v>
      </c>
      <c r="D167" s="16">
        <f>IFERROR(__xludf.DUMMYFUNCTION("""COMPUTED_VALUE"""),21.0)</f>
        <v>21</v>
      </c>
      <c r="E167" s="16">
        <f>IFERROR(__xludf.DUMMYFUNCTION("""COMPUTED_VALUE"""),0.0)</f>
        <v>0</v>
      </c>
      <c r="F167" s="16">
        <f>IFERROR(__xludf.DUMMYFUNCTION("""COMPUTED_VALUE"""),0.0)</f>
        <v>0</v>
      </c>
      <c r="G167" s="16">
        <f>IFERROR(__xludf.DUMMYFUNCTION("""COMPUTED_VALUE"""),0.0)</f>
        <v>0</v>
      </c>
      <c r="H167" s="16">
        <f>IFERROR(__xludf.DUMMYFUNCTION("""COMPUTED_VALUE"""),0.0)</f>
        <v>0</v>
      </c>
      <c r="I167" s="16">
        <f>IFERROR(__xludf.DUMMYFUNCTION("""COMPUTED_VALUE"""),0.0)</f>
        <v>0</v>
      </c>
      <c r="J167" s="16" t="b">
        <f>IFERROR(__xludf.DUMMYFUNCTION("""COMPUTED_VALUE"""),TRUE)</f>
        <v>1</v>
      </c>
      <c r="K167" s="544"/>
      <c r="L167" s="8"/>
      <c r="M167" s="8"/>
      <c r="N167" s="8"/>
      <c r="O167" s="8"/>
      <c r="P167" s="8"/>
      <c r="Q167" s="8"/>
      <c r="R167" s="8"/>
      <c r="S167" s="8"/>
      <c r="T167" s="8"/>
      <c r="V167" s="54"/>
    </row>
    <row r="168">
      <c r="B168" s="14">
        <f>IFERROR(__xludf.DUMMYFUNCTION("""COMPUTED_VALUE"""),44665.0)</f>
        <v>44665</v>
      </c>
      <c r="C168" s="16">
        <f>IFERROR(__xludf.DUMMYFUNCTION("""COMPUTED_VALUE"""),19.0)</f>
        <v>19</v>
      </c>
      <c r="D168" s="16">
        <f>IFERROR(__xludf.DUMMYFUNCTION("""COMPUTED_VALUE"""),19.0)</f>
        <v>19</v>
      </c>
      <c r="E168" s="16">
        <f>IFERROR(__xludf.DUMMYFUNCTION("""COMPUTED_VALUE"""),0.0)</f>
        <v>0</v>
      </c>
      <c r="F168" s="16">
        <f>IFERROR(__xludf.DUMMYFUNCTION("""COMPUTED_VALUE"""),0.0)</f>
        <v>0</v>
      </c>
      <c r="G168" s="16">
        <f>IFERROR(__xludf.DUMMYFUNCTION("""COMPUTED_VALUE"""),0.0)</f>
        <v>0</v>
      </c>
      <c r="H168" s="16">
        <f>IFERROR(__xludf.DUMMYFUNCTION("""COMPUTED_VALUE"""),0.0)</f>
        <v>0</v>
      </c>
      <c r="I168" s="16">
        <f>IFERROR(__xludf.DUMMYFUNCTION("""COMPUTED_VALUE"""),0.0)</f>
        <v>0</v>
      </c>
      <c r="J168" s="16" t="b">
        <f>IFERROR(__xludf.DUMMYFUNCTION("""COMPUTED_VALUE"""),TRUE)</f>
        <v>1</v>
      </c>
      <c r="K168" s="544"/>
      <c r="L168" s="8"/>
      <c r="M168" s="8"/>
      <c r="N168" s="8"/>
      <c r="O168" s="8"/>
      <c r="P168" s="8"/>
      <c r="Q168" s="8"/>
      <c r="R168" s="8"/>
      <c r="S168" s="8"/>
      <c r="T168" s="8"/>
      <c r="V168" s="54"/>
    </row>
    <row r="169">
      <c r="B169" s="14">
        <f>IFERROR(__xludf.DUMMYFUNCTION("""COMPUTED_VALUE"""),44667.0)</f>
        <v>44667</v>
      </c>
      <c r="C169" s="16">
        <f>IFERROR(__xludf.DUMMYFUNCTION("""COMPUTED_VALUE"""),1.0)</f>
        <v>1</v>
      </c>
      <c r="D169" s="16">
        <f>IFERROR(__xludf.DUMMYFUNCTION("""COMPUTED_VALUE"""),1.0)</f>
        <v>1</v>
      </c>
      <c r="E169" s="16">
        <f>IFERROR(__xludf.DUMMYFUNCTION("""COMPUTED_VALUE"""),0.0)</f>
        <v>0</v>
      </c>
      <c r="F169" s="16">
        <f>IFERROR(__xludf.DUMMYFUNCTION("""COMPUTED_VALUE"""),0.0)</f>
        <v>0</v>
      </c>
      <c r="G169" s="16">
        <f>IFERROR(__xludf.DUMMYFUNCTION("""COMPUTED_VALUE"""),0.0)</f>
        <v>0</v>
      </c>
      <c r="H169" s="16">
        <f>IFERROR(__xludf.DUMMYFUNCTION("""COMPUTED_VALUE"""),0.0)</f>
        <v>0</v>
      </c>
      <c r="I169" s="16">
        <f>IFERROR(__xludf.DUMMYFUNCTION("""COMPUTED_VALUE"""),0.0)</f>
        <v>0</v>
      </c>
      <c r="J169" s="16" t="b">
        <f>IFERROR(__xludf.DUMMYFUNCTION("""COMPUTED_VALUE"""),TRUE)</f>
        <v>1</v>
      </c>
      <c r="K169" s="544"/>
      <c r="L169" s="8"/>
      <c r="M169" s="8"/>
      <c r="N169" s="8"/>
      <c r="O169" s="8"/>
      <c r="P169" s="8"/>
      <c r="Q169" s="8"/>
      <c r="R169" s="8"/>
      <c r="S169" s="8"/>
      <c r="T169" s="8"/>
      <c r="V169" s="54"/>
    </row>
    <row r="170">
      <c r="B170" s="14">
        <f>IFERROR(__xludf.DUMMYFUNCTION("""COMPUTED_VALUE"""),44668.0)</f>
        <v>44668</v>
      </c>
      <c r="C170" s="16">
        <f>IFERROR(__xludf.DUMMYFUNCTION("""COMPUTED_VALUE"""),2.0)</f>
        <v>2</v>
      </c>
      <c r="D170" s="16">
        <f>IFERROR(__xludf.DUMMYFUNCTION("""COMPUTED_VALUE"""),2.0)</f>
        <v>2</v>
      </c>
      <c r="E170" s="16">
        <f>IFERROR(__xludf.DUMMYFUNCTION("""COMPUTED_VALUE"""),0.0)</f>
        <v>0</v>
      </c>
      <c r="F170" s="16">
        <f>IFERROR(__xludf.DUMMYFUNCTION("""COMPUTED_VALUE"""),0.0)</f>
        <v>0</v>
      </c>
      <c r="G170" s="16">
        <f>IFERROR(__xludf.DUMMYFUNCTION("""COMPUTED_VALUE"""),0.0)</f>
        <v>0</v>
      </c>
      <c r="H170" s="16">
        <f>IFERROR(__xludf.DUMMYFUNCTION("""COMPUTED_VALUE"""),0.0)</f>
        <v>0</v>
      </c>
      <c r="I170" s="16">
        <f>IFERROR(__xludf.DUMMYFUNCTION("""COMPUTED_VALUE"""),0.0)</f>
        <v>0</v>
      </c>
      <c r="J170" s="16"/>
      <c r="K170" s="544"/>
      <c r="L170" s="8"/>
      <c r="M170" s="8"/>
      <c r="N170" s="8"/>
      <c r="O170" s="8"/>
      <c r="P170" s="8"/>
      <c r="Q170" s="8"/>
      <c r="R170" s="8"/>
      <c r="S170" s="8"/>
      <c r="T170" s="8"/>
      <c r="V170" s="54"/>
    </row>
    <row r="171">
      <c r="B171" s="14">
        <f>IFERROR(__xludf.DUMMYFUNCTION("""COMPUTED_VALUE"""),44669.0)</f>
        <v>44669</v>
      </c>
      <c r="C171" s="16">
        <f>IFERROR(__xludf.DUMMYFUNCTION("""COMPUTED_VALUE"""),20.0)</f>
        <v>20</v>
      </c>
      <c r="D171" s="16">
        <f>IFERROR(__xludf.DUMMYFUNCTION("""COMPUTED_VALUE"""),20.0)</f>
        <v>20</v>
      </c>
      <c r="E171" s="16">
        <f>IFERROR(__xludf.DUMMYFUNCTION("""COMPUTED_VALUE"""),0.0)</f>
        <v>0</v>
      </c>
      <c r="F171" s="16">
        <f>IFERROR(__xludf.DUMMYFUNCTION("""COMPUTED_VALUE"""),0.0)</f>
        <v>0</v>
      </c>
      <c r="G171" s="16">
        <f>IFERROR(__xludf.DUMMYFUNCTION("""COMPUTED_VALUE"""),0.0)</f>
        <v>0</v>
      </c>
      <c r="H171" s="16">
        <f>IFERROR(__xludf.DUMMYFUNCTION("""COMPUTED_VALUE"""),0.0)</f>
        <v>0</v>
      </c>
      <c r="I171" s="16">
        <f>IFERROR(__xludf.DUMMYFUNCTION("""COMPUTED_VALUE"""),0.0)</f>
        <v>0</v>
      </c>
      <c r="J171" s="16" t="b">
        <f>IFERROR(__xludf.DUMMYFUNCTION("""COMPUTED_VALUE"""),TRUE)</f>
        <v>1</v>
      </c>
      <c r="K171" s="544"/>
      <c r="L171" s="8"/>
      <c r="M171" s="8"/>
      <c r="N171" s="8"/>
      <c r="O171" s="8"/>
      <c r="P171" s="8"/>
      <c r="Q171" s="8"/>
      <c r="R171" s="8"/>
      <c r="S171" s="8"/>
      <c r="T171" s="8"/>
      <c r="V171" s="54"/>
    </row>
    <row r="172">
      <c r="B172" s="14">
        <f>IFERROR(__xludf.DUMMYFUNCTION("""COMPUTED_VALUE"""),44670.0)</f>
        <v>44670</v>
      </c>
      <c r="C172" s="16">
        <f>IFERROR(__xludf.DUMMYFUNCTION("""COMPUTED_VALUE"""),5.0)</f>
        <v>5</v>
      </c>
      <c r="D172" s="16">
        <f>IFERROR(__xludf.DUMMYFUNCTION("""COMPUTED_VALUE"""),5.0)</f>
        <v>5</v>
      </c>
      <c r="E172" s="16">
        <f>IFERROR(__xludf.DUMMYFUNCTION("""COMPUTED_VALUE"""),0.0)</f>
        <v>0</v>
      </c>
      <c r="F172" s="16">
        <f>IFERROR(__xludf.DUMMYFUNCTION("""COMPUTED_VALUE"""),0.0)</f>
        <v>0</v>
      </c>
      <c r="G172" s="16">
        <f>IFERROR(__xludf.DUMMYFUNCTION("""COMPUTED_VALUE"""),0.0)</f>
        <v>0</v>
      </c>
      <c r="H172" s="16">
        <f>IFERROR(__xludf.DUMMYFUNCTION("""COMPUTED_VALUE"""),0.0)</f>
        <v>0</v>
      </c>
      <c r="I172" s="16">
        <f>IFERROR(__xludf.DUMMYFUNCTION("""COMPUTED_VALUE"""),0.0)</f>
        <v>0</v>
      </c>
      <c r="J172" s="16" t="b">
        <f>IFERROR(__xludf.DUMMYFUNCTION("""COMPUTED_VALUE"""),TRUE)</f>
        <v>1</v>
      </c>
      <c r="K172" s="544"/>
      <c r="L172" s="8"/>
      <c r="M172" s="8"/>
      <c r="N172" s="8"/>
      <c r="O172" s="8"/>
      <c r="P172" s="8"/>
      <c r="Q172" s="8"/>
      <c r="R172" s="8"/>
      <c r="S172" s="8"/>
      <c r="T172" s="8"/>
      <c r="V172" s="54"/>
    </row>
    <row r="173">
      <c r="B173" s="14">
        <f>IFERROR(__xludf.DUMMYFUNCTION("""COMPUTED_VALUE"""),44672.0)</f>
        <v>44672</v>
      </c>
      <c r="C173" s="16">
        <f>IFERROR(__xludf.DUMMYFUNCTION("""COMPUTED_VALUE"""),24.0)</f>
        <v>24</v>
      </c>
      <c r="D173" s="16">
        <f>IFERROR(__xludf.DUMMYFUNCTION("""COMPUTED_VALUE"""),24.0)</f>
        <v>24</v>
      </c>
      <c r="E173" s="16">
        <f>IFERROR(__xludf.DUMMYFUNCTION("""COMPUTED_VALUE"""),0.0)</f>
        <v>0</v>
      </c>
      <c r="F173" s="16">
        <f>IFERROR(__xludf.DUMMYFUNCTION("""COMPUTED_VALUE"""),0.0)</f>
        <v>0</v>
      </c>
      <c r="G173" s="16">
        <f>IFERROR(__xludf.DUMMYFUNCTION("""COMPUTED_VALUE"""),0.0)</f>
        <v>0</v>
      </c>
      <c r="H173" s="16">
        <f>IFERROR(__xludf.DUMMYFUNCTION("""COMPUTED_VALUE"""),0.0)</f>
        <v>0</v>
      </c>
      <c r="I173" s="16">
        <f>IFERROR(__xludf.DUMMYFUNCTION("""COMPUTED_VALUE"""),0.0)</f>
        <v>0</v>
      </c>
      <c r="J173" s="16" t="b">
        <f>IFERROR(__xludf.DUMMYFUNCTION("""COMPUTED_VALUE"""),TRUE)</f>
        <v>1</v>
      </c>
      <c r="K173" s="544"/>
      <c r="L173" s="8"/>
      <c r="M173" s="8"/>
      <c r="N173" s="8"/>
      <c r="O173" s="8"/>
      <c r="P173" s="8"/>
      <c r="Q173" s="8"/>
      <c r="R173" s="8"/>
      <c r="S173" s="8"/>
      <c r="T173" s="8"/>
      <c r="V173" s="54"/>
    </row>
    <row r="174">
      <c r="B174" s="14">
        <f>IFERROR(__xludf.DUMMYFUNCTION("""COMPUTED_VALUE"""),44675.0)</f>
        <v>44675</v>
      </c>
      <c r="C174" s="16">
        <f>IFERROR(__xludf.DUMMYFUNCTION("""COMPUTED_VALUE"""),3.0)</f>
        <v>3</v>
      </c>
      <c r="D174" s="16">
        <f>IFERROR(__xludf.DUMMYFUNCTION("""COMPUTED_VALUE"""),3.0)</f>
        <v>3</v>
      </c>
      <c r="E174" s="16">
        <f>IFERROR(__xludf.DUMMYFUNCTION("""COMPUTED_VALUE"""),0.0)</f>
        <v>0</v>
      </c>
      <c r="F174" s="16">
        <f>IFERROR(__xludf.DUMMYFUNCTION("""COMPUTED_VALUE"""),0.0)</f>
        <v>0</v>
      </c>
      <c r="G174" s="16">
        <f>IFERROR(__xludf.DUMMYFUNCTION("""COMPUTED_VALUE"""),0.0)</f>
        <v>0</v>
      </c>
      <c r="H174" s="16">
        <f>IFERROR(__xludf.DUMMYFUNCTION("""COMPUTED_VALUE"""),0.0)</f>
        <v>0</v>
      </c>
      <c r="I174" s="16">
        <f>IFERROR(__xludf.DUMMYFUNCTION("""COMPUTED_VALUE"""),0.0)</f>
        <v>0</v>
      </c>
      <c r="J174" s="16"/>
      <c r="K174" s="544"/>
      <c r="L174" s="8"/>
      <c r="M174" s="8"/>
      <c r="N174" s="8"/>
      <c r="O174" s="8"/>
      <c r="P174" s="8"/>
      <c r="Q174" s="8"/>
      <c r="R174" s="8"/>
      <c r="S174" s="8"/>
      <c r="T174" s="8"/>
      <c r="V174" s="54"/>
    </row>
    <row r="175">
      <c r="B175" s="14">
        <f>IFERROR(__xludf.DUMMYFUNCTION("""COMPUTED_VALUE"""),44676.0)</f>
        <v>44676</v>
      </c>
      <c r="C175" s="16">
        <f>IFERROR(__xludf.DUMMYFUNCTION("""COMPUTED_VALUE"""),18.0)</f>
        <v>18</v>
      </c>
      <c r="D175" s="16">
        <f>IFERROR(__xludf.DUMMYFUNCTION("""COMPUTED_VALUE"""),18.0)</f>
        <v>18</v>
      </c>
      <c r="E175" s="16">
        <f>IFERROR(__xludf.DUMMYFUNCTION("""COMPUTED_VALUE"""),0.0)</f>
        <v>0</v>
      </c>
      <c r="F175" s="16">
        <f>IFERROR(__xludf.DUMMYFUNCTION("""COMPUTED_VALUE"""),0.0)</f>
        <v>0</v>
      </c>
      <c r="G175" s="16">
        <f>IFERROR(__xludf.DUMMYFUNCTION("""COMPUTED_VALUE"""),0.0)</f>
        <v>0</v>
      </c>
      <c r="H175" s="16">
        <f>IFERROR(__xludf.DUMMYFUNCTION("""COMPUTED_VALUE"""),0.0)</f>
        <v>0</v>
      </c>
      <c r="I175" s="16">
        <f>IFERROR(__xludf.DUMMYFUNCTION("""COMPUTED_VALUE"""),0.0)</f>
        <v>0</v>
      </c>
      <c r="J175" s="16"/>
      <c r="K175" s="544"/>
      <c r="L175" s="8"/>
      <c r="M175" s="8"/>
      <c r="N175" s="8"/>
      <c r="O175" s="8"/>
      <c r="P175" s="8"/>
      <c r="Q175" s="8"/>
      <c r="R175" s="8"/>
      <c r="S175" s="8"/>
      <c r="T175" s="8"/>
      <c r="V175" s="54"/>
    </row>
    <row r="176">
      <c r="B176" s="14">
        <f>IFERROR(__xludf.DUMMYFUNCTION("""COMPUTED_VALUE"""),44679.0)</f>
        <v>44679</v>
      </c>
      <c r="C176" s="16">
        <f>IFERROR(__xludf.DUMMYFUNCTION("""COMPUTED_VALUE"""),26.0)</f>
        <v>26</v>
      </c>
      <c r="D176" s="16">
        <f>IFERROR(__xludf.DUMMYFUNCTION("""COMPUTED_VALUE"""),26.0)</f>
        <v>26</v>
      </c>
      <c r="E176" s="16">
        <f>IFERROR(__xludf.DUMMYFUNCTION("""COMPUTED_VALUE"""),0.0)</f>
        <v>0</v>
      </c>
      <c r="F176" s="16">
        <f>IFERROR(__xludf.DUMMYFUNCTION("""COMPUTED_VALUE"""),0.0)</f>
        <v>0</v>
      </c>
      <c r="G176" s="16">
        <f>IFERROR(__xludf.DUMMYFUNCTION("""COMPUTED_VALUE"""),0.0)</f>
        <v>0</v>
      </c>
      <c r="H176" s="16">
        <f>IFERROR(__xludf.DUMMYFUNCTION("""COMPUTED_VALUE"""),0.0)</f>
        <v>0</v>
      </c>
      <c r="I176" s="16">
        <f>IFERROR(__xludf.DUMMYFUNCTION("""COMPUTED_VALUE"""),0.0)</f>
        <v>0</v>
      </c>
      <c r="J176" s="16" t="b">
        <f>IFERROR(__xludf.DUMMYFUNCTION("""COMPUTED_VALUE"""),TRUE)</f>
        <v>1</v>
      </c>
      <c r="K176" s="544"/>
      <c r="L176" s="8"/>
      <c r="M176" s="8"/>
      <c r="N176" s="8"/>
      <c r="O176" s="8"/>
      <c r="P176" s="8"/>
      <c r="Q176" s="8"/>
      <c r="R176" s="8"/>
      <c r="S176" s="8"/>
      <c r="T176" s="8"/>
      <c r="V176" s="54"/>
    </row>
    <row r="177">
      <c r="B177" s="14">
        <f>IFERROR(__xludf.DUMMYFUNCTION("""COMPUTED_VALUE"""),44682.0)</f>
        <v>44682</v>
      </c>
      <c r="C177" s="16">
        <f>IFERROR(__xludf.DUMMYFUNCTION("""COMPUTED_VALUE"""),3.0)</f>
        <v>3</v>
      </c>
      <c r="D177" s="16">
        <f>IFERROR(__xludf.DUMMYFUNCTION("""COMPUTED_VALUE"""),3.0)</f>
        <v>3</v>
      </c>
      <c r="E177" s="16">
        <f>IFERROR(__xludf.DUMMYFUNCTION("""COMPUTED_VALUE"""),0.0)</f>
        <v>0</v>
      </c>
      <c r="F177" s="16">
        <f>IFERROR(__xludf.DUMMYFUNCTION("""COMPUTED_VALUE"""),0.0)</f>
        <v>0</v>
      </c>
      <c r="G177" s="16">
        <f>IFERROR(__xludf.DUMMYFUNCTION("""COMPUTED_VALUE"""),0.0)</f>
        <v>0</v>
      </c>
      <c r="H177" s="16">
        <f>IFERROR(__xludf.DUMMYFUNCTION("""COMPUTED_VALUE"""),0.0)</f>
        <v>0</v>
      </c>
      <c r="I177" s="16">
        <f>IFERROR(__xludf.DUMMYFUNCTION("""COMPUTED_VALUE"""),0.0)</f>
        <v>0</v>
      </c>
      <c r="J177" s="16"/>
      <c r="K177" s="544"/>
      <c r="L177" s="8"/>
      <c r="M177" s="8"/>
      <c r="N177" s="8"/>
      <c r="O177" s="8"/>
      <c r="P177" s="8"/>
      <c r="Q177" s="8"/>
      <c r="R177" s="8"/>
      <c r="S177" s="8"/>
      <c r="T177" s="8"/>
      <c r="V177" s="54"/>
    </row>
    <row r="178">
      <c r="B178" s="14">
        <f>IFERROR(__xludf.DUMMYFUNCTION("""COMPUTED_VALUE"""),44683.0)</f>
        <v>44683</v>
      </c>
      <c r="C178" s="16">
        <f>IFERROR(__xludf.DUMMYFUNCTION("""COMPUTED_VALUE"""),25.0)</f>
        <v>25</v>
      </c>
      <c r="D178" s="16">
        <f>IFERROR(__xludf.DUMMYFUNCTION("""COMPUTED_VALUE"""),23.0)</f>
        <v>23</v>
      </c>
      <c r="E178" s="16">
        <f>IFERROR(__xludf.DUMMYFUNCTION("""COMPUTED_VALUE"""),2.0)</f>
        <v>2</v>
      </c>
      <c r="F178" s="16">
        <f>IFERROR(__xludf.DUMMYFUNCTION("""COMPUTED_VALUE"""),0.0)</f>
        <v>0</v>
      </c>
      <c r="G178" s="16">
        <f>IFERROR(__xludf.DUMMYFUNCTION("""COMPUTED_VALUE"""),0.0)</f>
        <v>0</v>
      </c>
      <c r="H178" s="16">
        <f>IFERROR(__xludf.DUMMYFUNCTION("""COMPUTED_VALUE"""),0.0)</f>
        <v>0</v>
      </c>
      <c r="I178" s="16">
        <f>IFERROR(__xludf.DUMMYFUNCTION("""COMPUTED_VALUE"""),0.0)</f>
        <v>0</v>
      </c>
      <c r="J178" s="16" t="b">
        <f>IFERROR(__xludf.DUMMYFUNCTION("""COMPUTED_VALUE"""),TRUE)</f>
        <v>1</v>
      </c>
      <c r="K178" s="544"/>
      <c r="L178" s="8"/>
      <c r="M178" s="8"/>
      <c r="N178" s="8"/>
      <c r="O178" s="8"/>
      <c r="P178" s="8"/>
      <c r="Q178" s="8"/>
      <c r="R178" s="8"/>
      <c r="S178" s="8"/>
      <c r="T178" s="8"/>
      <c r="V178" s="54"/>
    </row>
    <row r="179">
      <c r="B179" s="14">
        <f>IFERROR(__xludf.DUMMYFUNCTION("""COMPUTED_VALUE"""),44686.0)</f>
        <v>44686</v>
      </c>
      <c r="C179" s="16">
        <f>IFERROR(__xludf.DUMMYFUNCTION("""COMPUTED_VALUE"""),25.0)</f>
        <v>25</v>
      </c>
      <c r="D179" s="16">
        <f>IFERROR(__xludf.DUMMYFUNCTION("""COMPUTED_VALUE"""),25.0)</f>
        <v>25</v>
      </c>
      <c r="E179" s="16">
        <f>IFERROR(__xludf.DUMMYFUNCTION("""COMPUTED_VALUE"""),0.0)</f>
        <v>0</v>
      </c>
      <c r="F179" s="16">
        <f>IFERROR(__xludf.DUMMYFUNCTION("""COMPUTED_VALUE"""),0.0)</f>
        <v>0</v>
      </c>
      <c r="G179" s="16">
        <f>IFERROR(__xludf.DUMMYFUNCTION("""COMPUTED_VALUE"""),0.0)</f>
        <v>0</v>
      </c>
      <c r="H179" s="16">
        <f>IFERROR(__xludf.DUMMYFUNCTION("""COMPUTED_VALUE"""),0.0)</f>
        <v>0</v>
      </c>
      <c r="I179" s="16">
        <f>IFERROR(__xludf.DUMMYFUNCTION("""COMPUTED_VALUE"""),0.0)</f>
        <v>0</v>
      </c>
      <c r="J179" s="16"/>
      <c r="K179" s="544"/>
      <c r="L179" s="8"/>
      <c r="M179" s="8"/>
      <c r="N179" s="8"/>
      <c r="O179" s="8"/>
      <c r="P179" s="8"/>
      <c r="Q179" s="8"/>
      <c r="R179" s="8"/>
      <c r="S179" s="8"/>
      <c r="T179" s="8"/>
      <c r="V179" s="54"/>
    </row>
    <row r="180">
      <c r="B180" s="14">
        <f>IFERROR(__xludf.DUMMYFUNCTION("""COMPUTED_VALUE"""),44689.0)</f>
        <v>44689</v>
      </c>
      <c r="C180" s="16">
        <f>IFERROR(__xludf.DUMMYFUNCTION("""COMPUTED_VALUE"""),3.0)</f>
        <v>3</v>
      </c>
      <c r="D180" s="16">
        <f>IFERROR(__xludf.DUMMYFUNCTION("""COMPUTED_VALUE"""),2.0)</f>
        <v>2</v>
      </c>
      <c r="E180" s="16">
        <f>IFERROR(__xludf.DUMMYFUNCTION("""COMPUTED_VALUE"""),0.0)</f>
        <v>0</v>
      </c>
      <c r="F180" s="16">
        <f>IFERROR(__xludf.DUMMYFUNCTION("""COMPUTED_VALUE"""),1.0)</f>
        <v>1</v>
      </c>
      <c r="G180" s="16">
        <f>IFERROR(__xludf.DUMMYFUNCTION("""COMPUTED_VALUE"""),0.0)</f>
        <v>0</v>
      </c>
      <c r="H180" s="16">
        <f>IFERROR(__xludf.DUMMYFUNCTION("""COMPUTED_VALUE"""),0.0)</f>
        <v>0</v>
      </c>
      <c r="I180" s="16">
        <f>IFERROR(__xludf.DUMMYFUNCTION("""COMPUTED_VALUE"""),0.0)</f>
        <v>0</v>
      </c>
      <c r="J180" s="16"/>
      <c r="K180" s="544"/>
      <c r="L180" s="8"/>
      <c r="M180" s="8"/>
      <c r="N180" s="8"/>
      <c r="O180" s="8"/>
      <c r="P180" s="8"/>
      <c r="Q180" s="8"/>
      <c r="R180" s="8"/>
      <c r="S180" s="8"/>
      <c r="T180" s="8"/>
      <c r="V180" s="54"/>
    </row>
    <row r="181">
      <c r="B181" s="14">
        <f>IFERROR(__xludf.DUMMYFUNCTION("""COMPUTED_VALUE"""),44690.0)</f>
        <v>44690</v>
      </c>
      <c r="C181" s="16">
        <f>IFERROR(__xludf.DUMMYFUNCTION("""COMPUTED_VALUE"""),30.0)</f>
        <v>30</v>
      </c>
      <c r="D181" s="16">
        <f>IFERROR(__xludf.DUMMYFUNCTION("""COMPUTED_VALUE"""),26.0)</f>
        <v>26</v>
      </c>
      <c r="E181" s="16">
        <f>IFERROR(__xludf.DUMMYFUNCTION("""COMPUTED_VALUE"""),4.0)</f>
        <v>4</v>
      </c>
      <c r="F181" s="16">
        <f>IFERROR(__xludf.DUMMYFUNCTION("""COMPUTED_VALUE"""),0.0)</f>
        <v>0</v>
      </c>
      <c r="G181" s="16">
        <f>IFERROR(__xludf.DUMMYFUNCTION("""COMPUTED_VALUE"""),0.0)</f>
        <v>0</v>
      </c>
      <c r="H181" s="16">
        <f>IFERROR(__xludf.DUMMYFUNCTION("""COMPUTED_VALUE"""),0.0)</f>
        <v>0</v>
      </c>
      <c r="I181" s="16">
        <f>IFERROR(__xludf.DUMMYFUNCTION("""COMPUTED_VALUE"""),0.0)</f>
        <v>0</v>
      </c>
      <c r="J181" s="16" t="b">
        <f>IFERROR(__xludf.DUMMYFUNCTION("""COMPUTED_VALUE"""),TRUE)</f>
        <v>1</v>
      </c>
      <c r="K181" s="544"/>
      <c r="L181" s="8"/>
      <c r="M181" s="8"/>
      <c r="N181" s="8"/>
      <c r="O181" s="8"/>
      <c r="P181" s="8"/>
      <c r="Q181" s="8"/>
      <c r="R181" s="8"/>
      <c r="S181" s="8"/>
      <c r="T181" s="8"/>
      <c r="V181" s="54"/>
    </row>
    <row r="182">
      <c r="B182" s="14">
        <f>IFERROR(__xludf.DUMMYFUNCTION("""COMPUTED_VALUE"""),44691.0)</f>
        <v>44691</v>
      </c>
      <c r="C182" s="16">
        <f>IFERROR(__xludf.DUMMYFUNCTION("""COMPUTED_VALUE"""),1.0)</f>
        <v>1</v>
      </c>
      <c r="D182" s="16">
        <f>IFERROR(__xludf.DUMMYFUNCTION("""COMPUTED_VALUE"""),1.0)</f>
        <v>1</v>
      </c>
      <c r="E182" s="16">
        <f>IFERROR(__xludf.DUMMYFUNCTION("""COMPUTED_VALUE"""),0.0)</f>
        <v>0</v>
      </c>
      <c r="F182" s="16">
        <f>IFERROR(__xludf.DUMMYFUNCTION("""COMPUTED_VALUE"""),0.0)</f>
        <v>0</v>
      </c>
      <c r="G182" s="16">
        <f>IFERROR(__xludf.DUMMYFUNCTION("""COMPUTED_VALUE"""),0.0)</f>
        <v>0</v>
      </c>
      <c r="H182" s="16">
        <f>IFERROR(__xludf.DUMMYFUNCTION("""COMPUTED_VALUE"""),0.0)</f>
        <v>0</v>
      </c>
      <c r="I182" s="16">
        <f>IFERROR(__xludf.DUMMYFUNCTION("""COMPUTED_VALUE"""),0.0)</f>
        <v>0</v>
      </c>
      <c r="J182" s="16"/>
      <c r="K182" s="544"/>
      <c r="L182" s="8"/>
      <c r="M182" s="8"/>
      <c r="N182" s="8"/>
      <c r="O182" s="8"/>
      <c r="P182" s="8"/>
      <c r="Q182" s="8"/>
      <c r="R182" s="8"/>
      <c r="S182" s="8"/>
      <c r="T182" s="8"/>
      <c r="V182" s="54"/>
    </row>
    <row r="183">
      <c r="B183" s="14">
        <f>IFERROR(__xludf.DUMMYFUNCTION("""COMPUTED_VALUE"""),44692.0)</f>
        <v>44692</v>
      </c>
      <c r="C183" s="16">
        <f>IFERROR(__xludf.DUMMYFUNCTION("""COMPUTED_VALUE"""),5.0)</f>
        <v>5</v>
      </c>
      <c r="D183" s="16">
        <f>IFERROR(__xludf.DUMMYFUNCTION("""COMPUTED_VALUE"""),4.0)</f>
        <v>4</v>
      </c>
      <c r="E183" s="16">
        <f>IFERROR(__xludf.DUMMYFUNCTION("""COMPUTED_VALUE"""),0.0)</f>
        <v>0</v>
      </c>
      <c r="F183" s="16">
        <f>IFERROR(__xludf.DUMMYFUNCTION("""COMPUTED_VALUE"""),1.0)</f>
        <v>1</v>
      </c>
      <c r="G183" s="16">
        <f>IFERROR(__xludf.DUMMYFUNCTION("""COMPUTED_VALUE"""),0.0)</f>
        <v>0</v>
      </c>
      <c r="H183" s="16">
        <f>IFERROR(__xludf.DUMMYFUNCTION("""COMPUTED_VALUE"""),0.0)</f>
        <v>0</v>
      </c>
      <c r="I183" s="16">
        <f>IFERROR(__xludf.DUMMYFUNCTION("""COMPUTED_VALUE"""),0.0)</f>
        <v>0</v>
      </c>
      <c r="J183" s="16" t="b">
        <f>IFERROR(__xludf.DUMMYFUNCTION("""COMPUTED_VALUE"""),TRUE)</f>
        <v>1</v>
      </c>
      <c r="K183" s="544"/>
      <c r="L183" s="8"/>
      <c r="M183" s="8"/>
      <c r="N183" s="8"/>
      <c r="O183" s="8"/>
      <c r="P183" s="8"/>
      <c r="Q183" s="8"/>
      <c r="R183" s="8"/>
      <c r="S183" s="8"/>
      <c r="T183" s="8"/>
      <c r="V183" s="54"/>
    </row>
    <row r="184">
      <c r="B184" s="14">
        <f>IFERROR(__xludf.DUMMYFUNCTION("""COMPUTED_VALUE"""),44693.0)</f>
        <v>44693</v>
      </c>
      <c r="C184" s="16">
        <f>IFERROR(__xludf.DUMMYFUNCTION("""COMPUTED_VALUE"""),21.0)</f>
        <v>21</v>
      </c>
      <c r="D184" s="16">
        <f>IFERROR(__xludf.DUMMYFUNCTION("""COMPUTED_VALUE"""),21.0)</f>
        <v>21</v>
      </c>
      <c r="E184" s="16">
        <f>IFERROR(__xludf.DUMMYFUNCTION("""COMPUTED_VALUE"""),0.0)</f>
        <v>0</v>
      </c>
      <c r="F184" s="16">
        <f>IFERROR(__xludf.DUMMYFUNCTION("""COMPUTED_VALUE"""),0.0)</f>
        <v>0</v>
      </c>
      <c r="G184" s="16">
        <f>IFERROR(__xludf.DUMMYFUNCTION("""COMPUTED_VALUE"""),0.0)</f>
        <v>0</v>
      </c>
      <c r="H184" s="16">
        <f>IFERROR(__xludf.DUMMYFUNCTION("""COMPUTED_VALUE"""),0.0)</f>
        <v>0</v>
      </c>
      <c r="I184" s="16">
        <f>IFERROR(__xludf.DUMMYFUNCTION("""COMPUTED_VALUE"""),0.0)</f>
        <v>0</v>
      </c>
      <c r="J184" s="16" t="b">
        <f>IFERROR(__xludf.DUMMYFUNCTION("""COMPUTED_VALUE"""),TRUE)</f>
        <v>1</v>
      </c>
      <c r="K184" s="544"/>
      <c r="L184" s="8"/>
      <c r="M184" s="8"/>
      <c r="N184" s="8"/>
      <c r="O184" s="8"/>
      <c r="P184" s="8"/>
      <c r="Q184" s="8"/>
      <c r="R184" s="8"/>
      <c r="S184" s="8"/>
      <c r="T184" s="8"/>
      <c r="V184" s="54"/>
    </row>
    <row r="185">
      <c r="B185" s="14">
        <f>IFERROR(__xludf.DUMMYFUNCTION("""COMPUTED_VALUE"""),44696.0)</f>
        <v>44696</v>
      </c>
      <c r="C185" s="16">
        <f>IFERROR(__xludf.DUMMYFUNCTION("""COMPUTED_VALUE"""),1.0)</f>
        <v>1</v>
      </c>
      <c r="D185" s="16">
        <f>IFERROR(__xludf.DUMMYFUNCTION("""COMPUTED_VALUE"""),1.0)</f>
        <v>1</v>
      </c>
      <c r="E185" s="16">
        <f>IFERROR(__xludf.DUMMYFUNCTION("""COMPUTED_VALUE"""),0.0)</f>
        <v>0</v>
      </c>
      <c r="F185" s="16">
        <f>IFERROR(__xludf.DUMMYFUNCTION("""COMPUTED_VALUE"""),0.0)</f>
        <v>0</v>
      </c>
      <c r="G185" s="16">
        <f>IFERROR(__xludf.DUMMYFUNCTION("""COMPUTED_VALUE"""),0.0)</f>
        <v>0</v>
      </c>
      <c r="H185" s="16">
        <f>IFERROR(__xludf.DUMMYFUNCTION("""COMPUTED_VALUE"""),0.0)</f>
        <v>0</v>
      </c>
      <c r="I185" s="16">
        <f>IFERROR(__xludf.DUMMYFUNCTION("""COMPUTED_VALUE"""),0.0)</f>
        <v>0</v>
      </c>
      <c r="J185" s="16"/>
      <c r="K185" s="544"/>
      <c r="L185" s="8"/>
      <c r="M185" s="8"/>
      <c r="N185" s="8"/>
      <c r="O185" s="8"/>
      <c r="P185" s="8"/>
      <c r="Q185" s="8"/>
      <c r="R185" s="8"/>
      <c r="S185" s="8"/>
      <c r="T185" s="8"/>
      <c r="V185" s="54"/>
    </row>
    <row r="186">
      <c r="B186" s="14">
        <f>IFERROR(__xludf.DUMMYFUNCTION("""COMPUTED_VALUE"""),44697.0)</f>
        <v>44697</v>
      </c>
      <c r="C186" s="16">
        <f>IFERROR(__xludf.DUMMYFUNCTION("""COMPUTED_VALUE"""),18.0)</f>
        <v>18</v>
      </c>
      <c r="D186" s="16">
        <f>IFERROR(__xludf.DUMMYFUNCTION("""COMPUTED_VALUE"""),18.0)</f>
        <v>18</v>
      </c>
      <c r="E186" s="16">
        <f>IFERROR(__xludf.DUMMYFUNCTION("""COMPUTED_VALUE"""),0.0)</f>
        <v>0</v>
      </c>
      <c r="F186" s="16">
        <f>IFERROR(__xludf.DUMMYFUNCTION("""COMPUTED_VALUE"""),0.0)</f>
        <v>0</v>
      </c>
      <c r="G186" s="16">
        <f>IFERROR(__xludf.DUMMYFUNCTION("""COMPUTED_VALUE"""),0.0)</f>
        <v>0</v>
      </c>
      <c r="H186" s="16">
        <f>IFERROR(__xludf.DUMMYFUNCTION("""COMPUTED_VALUE"""),0.0)</f>
        <v>0</v>
      </c>
      <c r="I186" s="16">
        <f>IFERROR(__xludf.DUMMYFUNCTION("""COMPUTED_VALUE"""),0.0)</f>
        <v>0</v>
      </c>
      <c r="J186" s="16" t="b">
        <f>IFERROR(__xludf.DUMMYFUNCTION("""COMPUTED_VALUE"""),TRUE)</f>
        <v>1</v>
      </c>
      <c r="K186" s="544"/>
      <c r="L186" s="8"/>
      <c r="M186" s="8"/>
      <c r="N186" s="8"/>
      <c r="O186" s="8"/>
      <c r="P186" s="8"/>
      <c r="Q186" s="8"/>
      <c r="R186" s="8"/>
      <c r="S186" s="8"/>
      <c r="T186" s="8"/>
      <c r="V186" s="54"/>
    </row>
    <row r="187">
      <c r="B187" s="14">
        <f>IFERROR(__xludf.DUMMYFUNCTION("""COMPUTED_VALUE"""),44698.0)</f>
        <v>44698</v>
      </c>
      <c r="C187" s="16">
        <f>IFERROR(__xludf.DUMMYFUNCTION("""COMPUTED_VALUE"""),3.0)</f>
        <v>3</v>
      </c>
      <c r="D187" s="16">
        <f>IFERROR(__xludf.DUMMYFUNCTION("""COMPUTED_VALUE"""),3.0)</f>
        <v>3</v>
      </c>
      <c r="E187" s="16">
        <f>IFERROR(__xludf.DUMMYFUNCTION("""COMPUTED_VALUE"""),0.0)</f>
        <v>0</v>
      </c>
      <c r="F187" s="16">
        <f>IFERROR(__xludf.DUMMYFUNCTION("""COMPUTED_VALUE"""),0.0)</f>
        <v>0</v>
      </c>
      <c r="G187" s="16">
        <f>IFERROR(__xludf.DUMMYFUNCTION("""COMPUTED_VALUE"""),0.0)</f>
        <v>0</v>
      </c>
      <c r="H187" s="16">
        <f>IFERROR(__xludf.DUMMYFUNCTION("""COMPUTED_VALUE"""),0.0)</f>
        <v>0</v>
      </c>
      <c r="I187" s="16">
        <f>IFERROR(__xludf.DUMMYFUNCTION("""COMPUTED_VALUE"""),0.0)</f>
        <v>0</v>
      </c>
      <c r="J187" s="16" t="b">
        <f>IFERROR(__xludf.DUMMYFUNCTION("""COMPUTED_VALUE"""),TRUE)</f>
        <v>1</v>
      </c>
      <c r="K187" s="544"/>
      <c r="L187" s="8"/>
      <c r="M187" s="8"/>
      <c r="N187" s="8"/>
      <c r="O187" s="8"/>
      <c r="P187" s="8"/>
      <c r="Q187" s="8"/>
      <c r="R187" s="8"/>
      <c r="S187" s="8"/>
      <c r="T187" s="8"/>
      <c r="V187" s="54"/>
    </row>
    <row r="188">
      <c r="B188" s="14">
        <f>IFERROR(__xludf.DUMMYFUNCTION("""COMPUTED_VALUE"""),44700.0)</f>
        <v>44700</v>
      </c>
      <c r="C188" s="16">
        <f>IFERROR(__xludf.DUMMYFUNCTION("""COMPUTED_VALUE"""),25.0)</f>
        <v>25</v>
      </c>
      <c r="D188" s="16">
        <f>IFERROR(__xludf.DUMMYFUNCTION("""COMPUTED_VALUE"""),24.0)</f>
        <v>24</v>
      </c>
      <c r="E188" s="16">
        <f>IFERROR(__xludf.DUMMYFUNCTION("""COMPUTED_VALUE"""),1.0)</f>
        <v>1</v>
      </c>
      <c r="F188" s="16">
        <f>IFERROR(__xludf.DUMMYFUNCTION("""COMPUTED_VALUE"""),0.0)</f>
        <v>0</v>
      </c>
      <c r="G188" s="16">
        <f>IFERROR(__xludf.DUMMYFUNCTION("""COMPUTED_VALUE"""),0.0)</f>
        <v>0</v>
      </c>
      <c r="H188" s="16">
        <f>IFERROR(__xludf.DUMMYFUNCTION("""COMPUTED_VALUE"""),0.0)</f>
        <v>0</v>
      </c>
      <c r="I188" s="16">
        <f>IFERROR(__xludf.DUMMYFUNCTION("""COMPUTED_VALUE"""),0.0)</f>
        <v>0</v>
      </c>
      <c r="J188" s="16"/>
      <c r="K188" s="544"/>
      <c r="L188" s="8"/>
      <c r="M188" s="8"/>
      <c r="N188" s="8"/>
      <c r="O188" s="8"/>
      <c r="P188" s="8"/>
      <c r="Q188" s="8"/>
      <c r="R188" s="8"/>
      <c r="S188" s="8"/>
      <c r="T188" s="8"/>
      <c r="V188" s="54"/>
    </row>
    <row r="189">
      <c r="B189" s="14">
        <f>IFERROR(__xludf.DUMMYFUNCTION("""COMPUTED_VALUE"""),44703.0)</f>
        <v>44703</v>
      </c>
      <c r="C189" s="16">
        <f>IFERROR(__xludf.DUMMYFUNCTION("""COMPUTED_VALUE"""),4.0)</f>
        <v>4</v>
      </c>
      <c r="D189" s="16">
        <f>IFERROR(__xludf.DUMMYFUNCTION("""COMPUTED_VALUE"""),3.0)</f>
        <v>3</v>
      </c>
      <c r="E189" s="16">
        <f>IFERROR(__xludf.DUMMYFUNCTION("""COMPUTED_VALUE"""),1.0)</f>
        <v>1</v>
      </c>
      <c r="F189" s="16">
        <f>IFERROR(__xludf.DUMMYFUNCTION("""COMPUTED_VALUE"""),0.0)</f>
        <v>0</v>
      </c>
      <c r="G189" s="16">
        <f>IFERROR(__xludf.DUMMYFUNCTION("""COMPUTED_VALUE"""),0.0)</f>
        <v>0</v>
      </c>
      <c r="H189" s="16">
        <f>IFERROR(__xludf.DUMMYFUNCTION("""COMPUTED_VALUE"""),0.0)</f>
        <v>0</v>
      </c>
      <c r="I189" s="16">
        <f>IFERROR(__xludf.DUMMYFUNCTION("""COMPUTED_VALUE"""),0.0)</f>
        <v>0</v>
      </c>
      <c r="J189" s="16"/>
      <c r="K189" s="544"/>
      <c r="L189" s="8"/>
      <c r="M189" s="8"/>
      <c r="N189" s="8"/>
      <c r="O189" s="8"/>
      <c r="P189" s="8"/>
      <c r="Q189" s="8"/>
      <c r="R189" s="8"/>
      <c r="S189" s="8"/>
      <c r="T189" s="8"/>
      <c r="V189" s="54"/>
    </row>
    <row r="190">
      <c r="B190" s="14">
        <f>IFERROR(__xludf.DUMMYFUNCTION("""COMPUTED_VALUE"""),44704.0)</f>
        <v>44704</v>
      </c>
      <c r="C190" s="16">
        <f>IFERROR(__xludf.DUMMYFUNCTION("""COMPUTED_VALUE"""),16.0)</f>
        <v>16</v>
      </c>
      <c r="D190" s="16">
        <f>IFERROR(__xludf.DUMMYFUNCTION("""COMPUTED_VALUE"""),16.0)</f>
        <v>16</v>
      </c>
      <c r="E190" s="16">
        <f>IFERROR(__xludf.DUMMYFUNCTION("""COMPUTED_VALUE"""),0.0)</f>
        <v>0</v>
      </c>
      <c r="F190" s="16">
        <f>IFERROR(__xludf.DUMMYFUNCTION("""COMPUTED_VALUE"""),0.0)</f>
        <v>0</v>
      </c>
      <c r="G190" s="16">
        <f>IFERROR(__xludf.DUMMYFUNCTION("""COMPUTED_VALUE"""),0.0)</f>
        <v>0</v>
      </c>
      <c r="H190" s="16">
        <f>IFERROR(__xludf.DUMMYFUNCTION("""COMPUTED_VALUE"""),0.0)</f>
        <v>0</v>
      </c>
      <c r="I190" s="16">
        <f>IFERROR(__xludf.DUMMYFUNCTION("""COMPUTED_VALUE"""),0.0)</f>
        <v>0</v>
      </c>
      <c r="J190" s="16" t="b">
        <f>IFERROR(__xludf.DUMMYFUNCTION("""COMPUTED_VALUE"""),TRUE)</f>
        <v>1</v>
      </c>
      <c r="K190" s="544"/>
      <c r="L190" s="8"/>
      <c r="M190" s="8"/>
      <c r="N190" s="8"/>
      <c r="O190" s="8"/>
      <c r="P190" s="8"/>
      <c r="Q190" s="8"/>
      <c r="R190" s="8"/>
      <c r="S190" s="8"/>
      <c r="T190" s="8"/>
      <c r="V190" s="54"/>
    </row>
    <row r="191">
      <c r="B191" s="14">
        <f>IFERROR(__xludf.DUMMYFUNCTION("""COMPUTED_VALUE"""),44706.0)</f>
        <v>44706</v>
      </c>
      <c r="C191" s="16">
        <f>IFERROR(__xludf.DUMMYFUNCTION("""COMPUTED_VALUE"""),1.0)</f>
        <v>1</v>
      </c>
      <c r="D191" s="16">
        <f>IFERROR(__xludf.DUMMYFUNCTION("""COMPUTED_VALUE"""),1.0)</f>
        <v>1</v>
      </c>
      <c r="E191" s="16">
        <f>IFERROR(__xludf.DUMMYFUNCTION("""COMPUTED_VALUE"""),0.0)</f>
        <v>0</v>
      </c>
      <c r="F191" s="16">
        <f>IFERROR(__xludf.DUMMYFUNCTION("""COMPUTED_VALUE"""),0.0)</f>
        <v>0</v>
      </c>
      <c r="G191" s="16">
        <f>IFERROR(__xludf.DUMMYFUNCTION("""COMPUTED_VALUE"""),0.0)</f>
        <v>0</v>
      </c>
      <c r="H191" s="16">
        <f>IFERROR(__xludf.DUMMYFUNCTION("""COMPUTED_VALUE"""),0.0)</f>
        <v>0</v>
      </c>
      <c r="I191" s="16">
        <f>IFERROR(__xludf.DUMMYFUNCTION("""COMPUTED_VALUE"""),0.0)</f>
        <v>0</v>
      </c>
      <c r="J191" s="16"/>
      <c r="K191" s="544"/>
      <c r="L191" s="8"/>
      <c r="M191" s="8"/>
      <c r="N191" s="8"/>
      <c r="O191" s="8"/>
      <c r="P191" s="8"/>
      <c r="Q191" s="8"/>
      <c r="R191" s="8"/>
      <c r="S191" s="8"/>
      <c r="T191" s="8"/>
      <c r="V191" s="54"/>
    </row>
    <row r="192">
      <c r="B192" s="14">
        <f>IFERROR(__xludf.DUMMYFUNCTION("""COMPUTED_VALUE"""),44707.0)</f>
        <v>44707</v>
      </c>
      <c r="C192" s="16">
        <f>IFERROR(__xludf.DUMMYFUNCTION("""COMPUTED_VALUE"""),20.0)</f>
        <v>20</v>
      </c>
      <c r="D192" s="16">
        <f>IFERROR(__xludf.DUMMYFUNCTION("""COMPUTED_VALUE"""),20.0)</f>
        <v>20</v>
      </c>
      <c r="E192" s="16">
        <f>IFERROR(__xludf.DUMMYFUNCTION("""COMPUTED_VALUE"""),0.0)</f>
        <v>0</v>
      </c>
      <c r="F192" s="16">
        <f>IFERROR(__xludf.DUMMYFUNCTION("""COMPUTED_VALUE"""),0.0)</f>
        <v>0</v>
      </c>
      <c r="G192" s="16">
        <f>IFERROR(__xludf.DUMMYFUNCTION("""COMPUTED_VALUE"""),0.0)</f>
        <v>0</v>
      </c>
      <c r="H192" s="16">
        <f>IFERROR(__xludf.DUMMYFUNCTION("""COMPUTED_VALUE"""),0.0)</f>
        <v>0</v>
      </c>
      <c r="I192" s="16">
        <f>IFERROR(__xludf.DUMMYFUNCTION("""COMPUTED_VALUE"""),0.0)</f>
        <v>0</v>
      </c>
      <c r="J192" s="16" t="b">
        <f>IFERROR(__xludf.DUMMYFUNCTION("""COMPUTED_VALUE"""),TRUE)</f>
        <v>1</v>
      </c>
      <c r="K192" s="544"/>
      <c r="L192" s="8"/>
      <c r="M192" s="8"/>
      <c r="N192" s="8"/>
      <c r="O192" s="8"/>
      <c r="P192" s="8"/>
      <c r="Q192" s="8"/>
      <c r="R192" s="8"/>
      <c r="S192" s="8"/>
      <c r="T192" s="8"/>
      <c r="V192" s="54"/>
    </row>
    <row r="193">
      <c r="B193" s="14">
        <f>IFERROR(__xludf.DUMMYFUNCTION("""COMPUTED_VALUE"""),44708.0)</f>
        <v>44708</v>
      </c>
      <c r="C193" s="16">
        <f>IFERROR(__xludf.DUMMYFUNCTION("""COMPUTED_VALUE"""),1.0)</f>
        <v>1</v>
      </c>
      <c r="D193" s="16">
        <f>IFERROR(__xludf.DUMMYFUNCTION("""COMPUTED_VALUE"""),1.0)</f>
        <v>1</v>
      </c>
      <c r="E193" s="16">
        <f>IFERROR(__xludf.DUMMYFUNCTION("""COMPUTED_VALUE"""),0.0)</f>
        <v>0</v>
      </c>
      <c r="F193" s="16">
        <f>IFERROR(__xludf.DUMMYFUNCTION("""COMPUTED_VALUE"""),0.0)</f>
        <v>0</v>
      </c>
      <c r="G193" s="16">
        <f>IFERROR(__xludf.DUMMYFUNCTION("""COMPUTED_VALUE"""),0.0)</f>
        <v>0</v>
      </c>
      <c r="H193" s="16">
        <f>IFERROR(__xludf.DUMMYFUNCTION("""COMPUTED_VALUE"""),0.0)</f>
        <v>0</v>
      </c>
      <c r="I193" s="16">
        <f>IFERROR(__xludf.DUMMYFUNCTION("""COMPUTED_VALUE"""),0.0)</f>
        <v>0</v>
      </c>
      <c r="J193" s="16"/>
      <c r="K193" s="544"/>
      <c r="L193" s="8"/>
      <c r="M193" s="8"/>
      <c r="N193" s="8"/>
      <c r="O193" s="8"/>
      <c r="P193" s="8"/>
      <c r="Q193" s="8"/>
      <c r="R193" s="8"/>
      <c r="S193" s="8"/>
      <c r="T193" s="8"/>
      <c r="V193" s="54"/>
    </row>
    <row r="194">
      <c r="B194" s="14">
        <f>IFERROR(__xludf.DUMMYFUNCTION("""COMPUTED_VALUE"""),44711.0)</f>
        <v>44711</v>
      </c>
      <c r="C194" s="16">
        <f>IFERROR(__xludf.DUMMYFUNCTION("""COMPUTED_VALUE"""),3.0)</f>
        <v>3</v>
      </c>
      <c r="D194" s="16">
        <f>IFERROR(__xludf.DUMMYFUNCTION("""COMPUTED_VALUE"""),3.0)</f>
        <v>3</v>
      </c>
      <c r="E194" s="16">
        <f>IFERROR(__xludf.DUMMYFUNCTION("""COMPUTED_VALUE"""),0.0)</f>
        <v>0</v>
      </c>
      <c r="F194" s="16">
        <f>IFERROR(__xludf.DUMMYFUNCTION("""COMPUTED_VALUE"""),0.0)</f>
        <v>0</v>
      </c>
      <c r="G194" s="16">
        <f>IFERROR(__xludf.DUMMYFUNCTION("""COMPUTED_VALUE"""),0.0)</f>
        <v>0</v>
      </c>
      <c r="H194" s="16">
        <f>IFERROR(__xludf.DUMMYFUNCTION("""COMPUTED_VALUE"""),0.0)</f>
        <v>0</v>
      </c>
      <c r="I194" s="16">
        <f>IFERROR(__xludf.DUMMYFUNCTION("""COMPUTED_VALUE"""),0.0)</f>
        <v>0</v>
      </c>
      <c r="J194" s="16"/>
      <c r="K194" s="544"/>
      <c r="L194" s="8"/>
      <c r="M194" s="8"/>
      <c r="N194" s="8"/>
      <c r="O194" s="8"/>
      <c r="P194" s="8"/>
      <c r="Q194" s="8"/>
      <c r="R194" s="8"/>
      <c r="S194" s="8"/>
      <c r="T194" s="8"/>
      <c r="V194" s="54"/>
    </row>
    <row r="195">
      <c r="B195" s="14">
        <f>IFERROR(__xludf.DUMMYFUNCTION("""COMPUTED_VALUE"""),44712.0)</f>
        <v>44712</v>
      </c>
      <c r="C195" s="16">
        <f>IFERROR(__xludf.DUMMYFUNCTION("""COMPUTED_VALUE"""),17.0)</f>
        <v>17</v>
      </c>
      <c r="D195" s="16">
        <f>IFERROR(__xludf.DUMMYFUNCTION("""COMPUTED_VALUE"""),17.0)</f>
        <v>17</v>
      </c>
      <c r="E195" s="16">
        <f>IFERROR(__xludf.DUMMYFUNCTION("""COMPUTED_VALUE"""),0.0)</f>
        <v>0</v>
      </c>
      <c r="F195" s="16">
        <f>IFERROR(__xludf.DUMMYFUNCTION("""COMPUTED_VALUE"""),0.0)</f>
        <v>0</v>
      </c>
      <c r="G195" s="16">
        <f>IFERROR(__xludf.DUMMYFUNCTION("""COMPUTED_VALUE"""),0.0)</f>
        <v>0</v>
      </c>
      <c r="H195" s="16">
        <f>IFERROR(__xludf.DUMMYFUNCTION("""COMPUTED_VALUE"""),0.0)</f>
        <v>0</v>
      </c>
      <c r="I195" s="16">
        <f>IFERROR(__xludf.DUMMYFUNCTION("""COMPUTED_VALUE"""),0.0)</f>
        <v>0</v>
      </c>
      <c r="J195" s="16"/>
      <c r="K195" s="544"/>
      <c r="L195" s="8"/>
      <c r="M195" s="8"/>
      <c r="N195" s="8"/>
      <c r="O195" s="8"/>
      <c r="P195" s="8"/>
      <c r="Q195" s="8"/>
      <c r="R195" s="8"/>
      <c r="S195" s="8"/>
      <c r="T195" s="8"/>
      <c r="V195" s="54"/>
    </row>
    <row r="196">
      <c r="B196" s="14">
        <f>IFERROR(__xludf.DUMMYFUNCTION("""COMPUTED_VALUE"""),44718.0)</f>
        <v>44718</v>
      </c>
      <c r="C196" s="16">
        <f>IFERROR(__xludf.DUMMYFUNCTION("""COMPUTED_VALUE"""),4.0)</f>
        <v>4</v>
      </c>
      <c r="D196" s="16">
        <f>IFERROR(__xludf.DUMMYFUNCTION("""COMPUTED_VALUE"""),4.0)</f>
        <v>4</v>
      </c>
      <c r="E196" s="16">
        <f>IFERROR(__xludf.DUMMYFUNCTION("""COMPUTED_VALUE"""),0.0)</f>
        <v>0</v>
      </c>
      <c r="F196" s="16">
        <f>IFERROR(__xludf.DUMMYFUNCTION("""COMPUTED_VALUE"""),0.0)</f>
        <v>0</v>
      </c>
      <c r="G196" s="16">
        <f>IFERROR(__xludf.DUMMYFUNCTION("""COMPUTED_VALUE"""),0.0)</f>
        <v>0</v>
      </c>
      <c r="H196" s="16">
        <f>IFERROR(__xludf.DUMMYFUNCTION("""COMPUTED_VALUE"""),0.0)</f>
        <v>0</v>
      </c>
      <c r="I196" s="16">
        <f>IFERROR(__xludf.DUMMYFUNCTION("""COMPUTED_VALUE"""),0.0)</f>
        <v>0</v>
      </c>
      <c r="J196" s="16" t="b">
        <f>IFERROR(__xludf.DUMMYFUNCTION("""COMPUTED_VALUE"""),TRUE)</f>
        <v>1</v>
      </c>
      <c r="K196" s="544"/>
      <c r="L196" s="8"/>
      <c r="M196" s="8"/>
      <c r="N196" s="8"/>
      <c r="O196" s="8"/>
      <c r="P196" s="8"/>
      <c r="Q196" s="8"/>
      <c r="R196" s="8"/>
      <c r="S196" s="8"/>
      <c r="T196" s="8"/>
      <c r="V196" s="54"/>
    </row>
    <row r="197">
      <c r="B197" s="14">
        <f>IFERROR(__xludf.DUMMYFUNCTION("""COMPUTED_VALUE"""),44721.0)</f>
        <v>44721</v>
      </c>
      <c r="C197" s="16">
        <f>IFERROR(__xludf.DUMMYFUNCTION("""COMPUTED_VALUE"""),3.0)</f>
        <v>3</v>
      </c>
      <c r="D197" s="16">
        <f>IFERROR(__xludf.DUMMYFUNCTION("""COMPUTED_VALUE"""),3.0)</f>
        <v>3</v>
      </c>
      <c r="E197" s="16">
        <f>IFERROR(__xludf.DUMMYFUNCTION("""COMPUTED_VALUE"""),0.0)</f>
        <v>0</v>
      </c>
      <c r="F197" s="16">
        <f>IFERROR(__xludf.DUMMYFUNCTION("""COMPUTED_VALUE"""),0.0)</f>
        <v>0</v>
      </c>
      <c r="G197" s="16">
        <f>IFERROR(__xludf.DUMMYFUNCTION("""COMPUTED_VALUE"""),0.0)</f>
        <v>0</v>
      </c>
      <c r="H197" s="16">
        <f>IFERROR(__xludf.DUMMYFUNCTION("""COMPUTED_VALUE"""),0.0)</f>
        <v>0</v>
      </c>
      <c r="I197" s="16">
        <f>IFERROR(__xludf.DUMMYFUNCTION("""COMPUTED_VALUE"""),0.0)</f>
        <v>0</v>
      </c>
      <c r="J197" s="16" t="b">
        <f>IFERROR(__xludf.DUMMYFUNCTION("""COMPUTED_VALUE"""),TRUE)</f>
        <v>1</v>
      </c>
      <c r="K197" s="544"/>
      <c r="L197" s="8"/>
      <c r="M197" s="8"/>
      <c r="N197" s="8"/>
      <c r="O197" s="8"/>
      <c r="P197" s="8"/>
      <c r="Q197" s="8"/>
      <c r="R197" s="8"/>
      <c r="S197" s="8"/>
      <c r="T197" s="8"/>
      <c r="V197" s="54"/>
    </row>
    <row r="198">
      <c r="B198" s="14">
        <f>IFERROR(__xludf.DUMMYFUNCTION("""COMPUTED_VALUE"""),44725.0)</f>
        <v>44725</v>
      </c>
      <c r="C198" s="16">
        <f>IFERROR(__xludf.DUMMYFUNCTION("""COMPUTED_VALUE"""),2.0)</f>
        <v>2</v>
      </c>
      <c r="D198" s="16">
        <f>IFERROR(__xludf.DUMMYFUNCTION("""COMPUTED_VALUE"""),2.0)</f>
        <v>2</v>
      </c>
      <c r="E198" s="16">
        <f>IFERROR(__xludf.DUMMYFUNCTION("""COMPUTED_VALUE"""),0.0)</f>
        <v>0</v>
      </c>
      <c r="F198" s="16">
        <f>IFERROR(__xludf.DUMMYFUNCTION("""COMPUTED_VALUE"""),0.0)</f>
        <v>0</v>
      </c>
      <c r="G198" s="16">
        <f>IFERROR(__xludf.DUMMYFUNCTION("""COMPUTED_VALUE"""),0.0)</f>
        <v>0</v>
      </c>
      <c r="H198" s="16">
        <f>IFERROR(__xludf.DUMMYFUNCTION("""COMPUTED_VALUE"""),0.0)</f>
        <v>0</v>
      </c>
      <c r="I198" s="16">
        <f>IFERROR(__xludf.DUMMYFUNCTION("""COMPUTED_VALUE"""),0.0)</f>
        <v>0</v>
      </c>
      <c r="J198" s="16" t="b">
        <f>IFERROR(__xludf.DUMMYFUNCTION("""COMPUTED_VALUE"""),TRUE)</f>
        <v>1</v>
      </c>
      <c r="K198" s="544"/>
      <c r="L198" s="8"/>
      <c r="M198" s="8"/>
      <c r="N198" s="8"/>
      <c r="O198" s="8"/>
      <c r="P198" s="8"/>
      <c r="Q198" s="8"/>
      <c r="R198" s="8"/>
      <c r="S198" s="8"/>
      <c r="T198" s="8"/>
      <c r="V198" s="54"/>
    </row>
    <row r="199">
      <c r="B199" s="14">
        <f>IFERROR(__xludf.DUMMYFUNCTION("""COMPUTED_VALUE"""),44728.0)</f>
        <v>44728</v>
      </c>
      <c r="C199" s="16">
        <f>IFERROR(__xludf.DUMMYFUNCTION("""COMPUTED_VALUE"""),2.0)</f>
        <v>2</v>
      </c>
      <c r="D199" s="16">
        <f>IFERROR(__xludf.DUMMYFUNCTION("""COMPUTED_VALUE"""),2.0)</f>
        <v>2</v>
      </c>
      <c r="E199" s="16">
        <f>IFERROR(__xludf.DUMMYFUNCTION("""COMPUTED_VALUE"""),0.0)</f>
        <v>0</v>
      </c>
      <c r="F199" s="16">
        <f>IFERROR(__xludf.DUMMYFUNCTION("""COMPUTED_VALUE"""),0.0)</f>
        <v>0</v>
      </c>
      <c r="G199" s="16">
        <f>IFERROR(__xludf.DUMMYFUNCTION("""COMPUTED_VALUE"""),0.0)</f>
        <v>0</v>
      </c>
      <c r="H199" s="16">
        <f>IFERROR(__xludf.DUMMYFUNCTION("""COMPUTED_VALUE"""),0.0)</f>
        <v>0</v>
      </c>
      <c r="I199" s="16">
        <f>IFERROR(__xludf.DUMMYFUNCTION("""COMPUTED_VALUE"""),0.0)</f>
        <v>0</v>
      </c>
      <c r="J199" s="16" t="b">
        <f>IFERROR(__xludf.DUMMYFUNCTION("""COMPUTED_VALUE"""),TRUE)</f>
        <v>1</v>
      </c>
      <c r="K199" s="544"/>
      <c r="L199" s="8"/>
      <c r="M199" s="8"/>
      <c r="N199" s="8"/>
      <c r="O199" s="8"/>
      <c r="P199" s="8"/>
      <c r="Q199" s="8"/>
      <c r="R199" s="8"/>
      <c r="S199" s="8"/>
      <c r="T199" s="8"/>
      <c r="V199" s="54"/>
    </row>
    <row r="200">
      <c r="B200" s="14">
        <f>IFERROR(__xludf.DUMMYFUNCTION("""COMPUTED_VALUE"""),44729.0)</f>
        <v>44729</v>
      </c>
      <c r="C200" s="16">
        <f>IFERROR(__xludf.DUMMYFUNCTION("""COMPUTED_VALUE"""),1.0)</f>
        <v>1</v>
      </c>
      <c r="D200" s="16">
        <f>IFERROR(__xludf.DUMMYFUNCTION("""COMPUTED_VALUE"""),1.0)</f>
        <v>1</v>
      </c>
      <c r="E200" s="16">
        <f>IFERROR(__xludf.DUMMYFUNCTION("""COMPUTED_VALUE"""),0.0)</f>
        <v>0</v>
      </c>
      <c r="F200" s="16">
        <f>IFERROR(__xludf.DUMMYFUNCTION("""COMPUTED_VALUE"""),0.0)</f>
        <v>0</v>
      </c>
      <c r="G200" s="16">
        <f>IFERROR(__xludf.DUMMYFUNCTION("""COMPUTED_VALUE"""),0.0)</f>
        <v>0</v>
      </c>
      <c r="H200" s="16">
        <f>IFERROR(__xludf.DUMMYFUNCTION("""COMPUTED_VALUE"""),0.0)</f>
        <v>0</v>
      </c>
      <c r="I200" s="16">
        <f>IFERROR(__xludf.DUMMYFUNCTION("""COMPUTED_VALUE"""),0.0)</f>
        <v>0</v>
      </c>
      <c r="J200" s="16" t="b">
        <f>IFERROR(__xludf.DUMMYFUNCTION("""COMPUTED_VALUE"""),TRUE)</f>
        <v>1</v>
      </c>
      <c r="K200" s="544"/>
      <c r="L200" s="8"/>
      <c r="M200" s="8"/>
      <c r="N200" s="8"/>
      <c r="O200" s="8"/>
      <c r="P200" s="8"/>
      <c r="Q200" s="8"/>
      <c r="R200" s="8"/>
      <c r="S200" s="8"/>
      <c r="T200" s="8"/>
      <c r="V200" s="54"/>
    </row>
    <row r="201">
      <c r="B201" s="14">
        <f>IFERROR(__xludf.DUMMYFUNCTION("""COMPUTED_VALUE"""),44732.0)</f>
        <v>44732</v>
      </c>
      <c r="C201" s="16">
        <f>IFERROR(__xludf.DUMMYFUNCTION("""COMPUTED_VALUE"""),2.0)</f>
        <v>2</v>
      </c>
      <c r="D201" s="16">
        <f>IFERROR(__xludf.DUMMYFUNCTION("""COMPUTED_VALUE"""),2.0)</f>
        <v>2</v>
      </c>
      <c r="E201" s="16">
        <f>IFERROR(__xludf.DUMMYFUNCTION("""COMPUTED_VALUE"""),0.0)</f>
        <v>0</v>
      </c>
      <c r="F201" s="16">
        <f>IFERROR(__xludf.DUMMYFUNCTION("""COMPUTED_VALUE"""),0.0)</f>
        <v>0</v>
      </c>
      <c r="G201" s="16">
        <f>IFERROR(__xludf.DUMMYFUNCTION("""COMPUTED_VALUE"""),0.0)</f>
        <v>0</v>
      </c>
      <c r="H201" s="16">
        <f>IFERROR(__xludf.DUMMYFUNCTION("""COMPUTED_VALUE"""),0.0)</f>
        <v>0</v>
      </c>
      <c r="I201" s="16">
        <f>IFERROR(__xludf.DUMMYFUNCTION("""COMPUTED_VALUE"""),0.0)</f>
        <v>0</v>
      </c>
      <c r="J201" s="16" t="b">
        <f>IFERROR(__xludf.DUMMYFUNCTION("""COMPUTED_VALUE"""),TRUE)</f>
        <v>1</v>
      </c>
      <c r="K201" s="544"/>
      <c r="L201" s="8"/>
      <c r="M201" s="8"/>
      <c r="N201" s="8"/>
      <c r="O201" s="8"/>
      <c r="P201" s="8"/>
      <c r="Q201" s="8"/>
      <c r="R201" s="8"/>
      <c r="S201" s="8"/>
      <c r="T201" s="8"/>
      <c r="V201" s="54"/>
    </row>
    <row r="202">
      <c r="B202" s="14">
        <f>IFERROR(__xludf.DUMMYFUNCTION("""COMPUTED_VALUE"""),44735.0)</f>
        <v>44735</v>
      </c>
      <c r="C202" s="16">
        <f>IFERROR(__xludf.DUMMYFUNCTION("""COMPUTED_VALUE"""),1.0)</f>
        <v>1</v>
      </c>
      <c r="D202" s="16">
        <f>IFERROR(__xludf.DUMMYFUNCTION("""COMPUTED_VALUE"""),1.0)</f>
        <v>1</v>
      </c>
      <c r="E202" s="16">
        <f>IFERROR(__xludf.DUMMYFUNCTION("""COMPUTED_VALUE"""),0.0)</f>
        <v>0</v>
      </c>
      <c r="F202" s="16">
        <f>IFERROR(__xludf.DUMMYFUNCTION("""COMPUTED_VALUE"""),0.0)</f>
        <v>0</v>
      </c>
      <c r="G202" s="16">
        <f>IFERROR(__xludf.DUMMYFUNCTION("""COMPUTED_VALUE"""),0.0)</f>
        <v>0</v>
      </c>
      <c r="H202" s="16">
        <f>IFERROR(__xludf.DUMMYFUNCTION("""COMPUTED_VALUE"""),0.0)</f>
        <v>0</v>
      </c>
      <c r="I202" s="16">
        <f>IFERROR(__xludf.DUMMYFUNCTION("""COMPUTED_VALUE"""),0.0)</f>
        <v>0</v>
      </c>
      <c r="J202" s="16" t="b">
        <f>IFERROR(__xludf.DUMMYFUNCTION("""COMPUTED_VALUE"""),TRUE)</f>
        <v>1</v>
      </c>
      <c r="K202" s="544"/>
      <c r="L202" s="8"/>
      <c r="M202" s="8"/>
      <c r="N202" s="8"/>
      <c r="O202" s="8"/>
      <c r="P202" s="8"/>
      <c r="Q202" s="8"/>
      <c r="R202" s="8"/>
      <c r="S202" s="8"/>
      <c r="T202" s="8"/>
      <c r="V202" s="54"/>
    </row>
    <row r="203">
      <c r="B203" s="14">
        <f>IFERROR(__xludf.DUMMYFUNCTION("""COMPUTED_VALUE"""),44739.0)</f>
        <v>44739</v>
      </c>
      <c r="C203" s="16">
        <f>IFERROR(__xludf.DUMMYFUNCTION("""COMPUTED_VALUE"""),1.0)</f>
        <v>1</v>
      </c>
      <c r="D203" s="16">
        <f>IFERROR(__xludf.DUMMYFUNCTION("""COMPUTED_VALUE"""),1.0)</f>
        <v>1</v>
      </c>
      <c r="E203" s="16">
        <f>IFERROR(__xludf.DUMMYFUNCTION("""COMPUTED_VALUE"""),0.0)</f>
        <v>0</v>
      </c>
      <c r="F203" s="16">
        <f>IFERROR(__xludf.DUMMYFUNCTION("""COMPUTED_VALUE"""),0.0)</f>
        <v>0</v>
      </c>
      <c r="G203" s="16">
        <f>IFERROR(__xludf.DUMMYFUNCTION("""COMPUTED_VALUE"""),0.0)</f>
        <v>0</v>
      </c>
      <c r="H203" s="16">
        <f>IFERROR(__xludf.DUMMYFUNCTION("""COMPUTED_VALUE"""),0.0)</f>
        <v>0</v>
      </c>
      <c r="I203" s="16">
        <f>IFERROR(__xludf.DUMMYFUNCTION("""COMPUTED_VALUE"""),0.0)</f>
        <v>0</v>
      </c>
      <c r="J203" s="16" t="b">
        <f>IFERROR(__xludf.DUMMYFUNCTION("""COMPUTED_VALUE"""),TRUE)</f>
        <v>1</v>
      </c>
      <c r="K203" s="544"/>
      <c r="L203" s="8"/>
      <c r="M203" s="8"/>
      <c r="N203" s="8"/>
      <c r="O203" s="8"/>
      <c r="P203" s="8"/>
      <c r="Q203" s="8"/>
      <c r="R203" s="8"/>
      <c r="S203" s="8"/>
      <c r="T203" s="8"/>
      <c r="V203" s="54"/>
    </row>
    <row r="204">
      <c r="B204" s="14">
        <f>IFERROR(__xludf.DUMMYFUNCTION("""COMPUTED_VALUE"""),44741.0)</f>
        <v>44741</v>
      </c>
      <c r="C204" s="16">
        <f>IFERROR(__xludf.DUMMYFUNCTION("""COMPUTED_VALUE"""),1.0)</f>
        <v>1</v>
      </c>
      <c r="D204" s="16">
        <f>IFERROR(__xludf.DUMMYFUNCTION("""COMPUTED_VALUE"""),1.0)</f>
        <v>1</v>
      </c>
      <c r="E204" s="16">
        <f>IFERROR(__xludf.DUMMYFUNCTION("""COMPUTED_VALUE"""),0.0)</f>
        <v>0</v>
      </c>
      <c r="F204" s="16">
        <f>IFERROR(__xludf.DUMMYFUNCTION("""COMPUTED_VALUE"""),0.0)</f>
        <v>0</v>
      </c>
      <c r="G204" s="16">
        <f>IFERROR(__xludf.DUMMYFUNCTION("""COMPUTED_VALUE"""),0.0)</f>
        <v>0</v>
      </c>
      <c r="H204" s="16">
        <f>IFERROR(__xludf.DUMMYFUNCTION("""COMPUTED_VALUE"""),0.0)</f>
        <v>0</v>
      </c>
      <c r="I204" s="16">
        <f>IFERROR(__xludf.DUMMYFUNCTION("""COMPUTED_VALUE"""),0.0)</f>
        <v>0</v>
      </c>
      <c r="J204" s="16"/>
      <c r="K204" s="544"/>
      <c r="L204" s="8"/>
      <c r="M204" s="8"/>
      <c r="N204" s="8"/>
      <c r="O204" s="8"/>
      <c r="P204" s="8"/>
      <c r="Q204" s="8"/>
      <c r="R204" s="8"/>
      <c r="S204" s="8"/>
      <c r="T204" s="8"/>
      <c r="V204" s="54"/>
    </row>
    <row r="205">
      <c r="B205" s="14">
        <f>IFERROR(__xludf.DUMMYFUNCTION("""COMPUTED_VALUE"""),44742.0)</f>
        <v>44742</v>
      </c>
      <c r="C205" s="16">
        <f>IFERROR(__xludf.DUMMYFUNCTION("""COMPUTED_VALUE"""),1.0)</f>
        <v>1</v>
      </c>
      <c r="D205" s="16">
        <f>IFERROR(__xludf.DUMMYFUNCTION("""COMPUTED_VALUE"""),1.0)</f>
        <v>1</v>
      </c>
      <c r="E205" s="16">
        <f>IFERROR(__xludf.DUMMYFUNCTION("""COMPUTED_VALUE"""),0.0)</f>
        <v>0</v>
      </c>
      <c r="F205" s="16">
        <f>IFERROR(__xludf.DUMMYFUNCTION("""COMPUTED_VALUE"""),0.0)</f>
        <v>0</v>
      </c>
      <c r="G205" s="16">
        <f>IFERROR(__xludf.DUMMYFUNCTION("""COMPUTED_VALUE"""),0.0)</f>
        <v>0</v>
      </c>
      <c r="H205" s="16">
        <f>IFERROR(__xludf.DUMMYFUNCTION("""COMPUTED_VALUE"""),0.0)</f>
        <v>0</v>
      </c>
      <c r="I205" s="16">
        <f>IFERROR(__xludf.DUMMYFUNCTION("""COMPUTED_VALUE"""),0.0)</f>
        <v>0</v>
      </c>
      <c r="J205" s="16" t="b">
        <f>IFERROR(__xludf.DUMMYFUNCTION("""COMPUTED_VALUE"""),TRUE)</f>
        <v>1</v>
      </c>
      <c r="K205" s="544"/>
      <c r="L205" s="8"/>
      <c r="M205" s="8"/>
      <c r="N205" s="8"/>
      <c r="O205" s="8"/>
      <c r="P205" s="8"/>
      <c r="Q205" s="8"/>
      <c r="R205" s="8"/>
      <c r="S205" s="8"/>
      <c r="T205" s="8"/>
      <c r="V205" s="54"/>
    </row>
    <row r="206">
      <c r="B206" s="14">
        <f>IFERROR(__xludf.DUMMYFUNCTION("""COMPUTED_VALUE"""),44760.0)</f>
        <v>44760</v>
      </c>
      <c r="C206" s="16">
        <f>IFERROR(__xludf.DUMMYFUNCTION("""COMPUTED_VALUE"""),2.0)</f>
        <v>2</v>
      </c>
      <c r="D206" s="16">
        <f>IFERROR(__xludf.DUMMYFUNCTION("""COMPUTED_VALUE"""),2.0)</f>
        <v>2</v>
      </c>
      <c r="E206" s="16">
        <f>IFERROR(__xludf.DUMMYFUNCTION("""COMPUTED_VALUE"""),0.0)</f>
        <v>0</v>
      </c>
      <c r="F206" s="16">
        <f>IFERROR(__xludf.DUMMYFUNCTION("""COMPUTED_VALUE"""),0.0)</f>
        <v>0</v>
      </c>
      <c r="G206" s="16">
        <f>IFERROR(__xludf.DUMMYFUNCTION("""COMPUTED_VALUE"""),0.0)</f>
        <v>0</v>
      </c>
      <c r="H206" s="16">
        <f>IFERROR(__xludf.DUMMYFUNCTION("""COMPUTED_VALUE"""),0.0)</f>
        <v>0</v>
      </c>
      <c r="I206" s="16">
        <f>IFERROR(__xludf.DUMMYFUNCTION("""COMPUTED_VALUE"""),0.0)</f>
        <v>0</v>
      </c>
      <c r="J206" s="16" t="b">
        <f>IFERROR(__xludf.DUMMYFUNCTION("""COMPUTED_VALUE"""),TRUE)</f>
        <v>1</v>
      </c>
      <c r="K206" s="544"/>
      <c r="L206" s="8"/>
      <c r="M206" s="8"/>
      <c r="N206" s="8"/>
      <c r="O206" s="8"/>
      <c r="P206" s="8"/>
      <c r="Q206" s="8"/>
      <c r="R206" s="8"/>
      <c r="S206" s="8"/>
      <c r="T206" s="8"/>
      <c r="V206" s="54"/>
    </row>
    <row r="207">
      <c r="B207" s="14">
        <f>IFERROR(__xludf.DUMMYFUNCTION("""COMPUTED_VALUE"""),44763.0)</f>
        <v>44763</v>
      </c>
      <c r="C207" s="16">
        <f>IFERROR(__xludf.DUMMYFUNCTION("""COMPUTED_VALUE"""),1.0)</f>
        <v>1</v>
      </c>
      <c r="D207" s="16">
        <f>IFERROR(__xludf.DUMMYFUNCTION("""COMPUTED_VALUE"""),1.0)</f>
        <v>1</v>
      </c>
      <c r="E207" s="16">
        <f>IFERROR(__xludf.DUMMYFUNCTION("""COMPUTED_VALUE"""),0.0)</f>
        <v>0</v>
      </c>
      <c r="F207" s="16">
        <f>IFERROR(__xludf.DUMMYFUNCTION("""COMPUTED_VALUE"""),0.0)</f>
        <v>0</v>
      </c>
      <c r="G207" s="16">
        <f>IFERROR(__xludf.DUMMYFUNCTION("""COMPUTED_VALUE"""),0.0)</f>
        <v>0</v>
      </c>
      <c r="H207" s="16">
        <f>IFERROR(__xludf.DUMMYFUNCTION("""COMPUTED_VALUE"""),0.0)</f>
        <v>0</v>
      </c>
      <c r="I207" s="16">
        <f>IFERROR(__xludf.DUMMYFUNCTION("""COMPUTED_VALUE"""),0.0)</f>
        <v>0</v>
      </c>
      <c r="J207" s="16" t="b">
        <f>IFERROR(__xludf.DUMMYFUNCTION("""COMPUTED_VALUE"""),TRUE)</f>
        <v>1</v>
      </c>
      <c r="K207" s="544"/>
      <c r="L207" s="8"/>
      <c r="M207" s="8"/>
      <c r="N207" s="8"/>
      <c r="O207" s="8"/>
      <c r="P207" s="8"/>
      <c r="Q207" s="8"/>
      <c r="R207" s="8"/>
      <c r="S207" s="8"/>
      <c r="T207" s="8"/>
      <c r="V207" s="54"/>
    </row>
    <row r="208">
      <c r="B208" s="14">
        <f>IFERROR(__xludf.DUMMYFUNCTION("""COMPUTED_VALUE"""),44767.0)</f>
        <v>44767</v>
      </c>
      <c r="C208" s="16">
        <f>IFERROR(__xludf.DUMMYFUNCTION("""COMPUTED_VALUE"""),3.0)</f>
        <v>3</v>
      </c>
      <c r="D208" s="16">
        <f>IFERROR(__xludf.DUMMYFUNCTION("""COMPUTED_VALUE"""),3.0)</f>
        <v>3</v>
      </c>
      <c r="E208" s="16">
        <f>IFERROR(__xludf.DUMMYFUNCTION("""COMPUTED_VALUE"""),0.0)</f>
        <v>0</v>
      </c>
      <c r="F208" s="16">
        <f>IFERROR(__xludf.DUMMYFUNCTION("""COMPUTED_VALUE"""),0.0)</f>
        <v>0</v>
      </c>
      <c r="G208" s="16">
        <f>IFERROR(__xludf.DUMMYFUNCTION("""COMPUTED_VALUE"""),0.0)</f>
        <v>0</v>
      </c>
      <c r="H208" s="16">
        <f>IFERROR(__xludf.DUMMYFUNCTION("""COMPUTED_VALUE"""),0.0)</f>
        <v>0</v>
      </c>
      <c r="I208" s="16">
        <f>IFERROR(__xludf.DUMMYFUNCTION("""COMPUTED_VALUE"""),0.0)</f>
        <v>0</v>
      </c>
      <c r="J208" s="16" t="b">
        <f>IFERROR(__xludf.DUMMYFUNCTION("""COMPUTED_VALUE"""),TRUE)</f>
        <v>1</v>
      </c>
      <c r="K208" s="544"/>
      <c r="L208" s="8"/>
      <c r="M208" s="8"/>
      <c r="N208" s="8"/>
      <c r="O208" s="8"/>
      <c r="P208" s="8"/>
      <c r="Q208" s="8"/>
      <c r="R208" s="8"/>
      <c r="S208" s="8"/>
      <c r="T208" s="8"/>
      <c r="V208" s="54"/>
    </row>
    <row r="209">
      <c r="B209" s="14">
        <f>IFERROR(__xludf.DUMMYFUNCTION("""COMPUTED_VALUE"""),44770.0)</f>
        <v>44770</v>
      </c>
      <c r="C209" s="16">
        <f>IFERROR(__xludf.DUMMYFUNCTION("""COMPUTED_VALUE"""),1.0)</f>
        <v>1</v>
      </c>
      <c r="D209" s="16">
        <f>IFERROR(__xludf.DUMMYFUNCTION("""COMPUTED_VALUE"""),1.0)</f>
        <v>1</v>
      </c>
      <c r="E209" s="16">
        <f>IFERROR(__xludf.DUMMYFUNCTION("""COMPUTED_VALUE"""),0.0)</f>
        <v>0</v>
      </c>
      <c r="F209" s="16">
        <f>IFERROR(__xludf.DUMMYFUNCTION("""COMPUTED_VALUE"""),0.0)</f>
        <v>0</v>
      </c>
      <c r="G209" s="16">
        <f>IFERROR(__xludf.DUMMYFUNCTION("""COMPUTED_VALUE"""),0.0)</f>
        <v>0</v>
      </c>
      <c r="H209" s="16">
        <f>IFERROR(__xludf.DUMMYFUNCTION("""COMPUTED_VALUE"""),0.0)</f>
        <v>0</v>
      </c>
      <c r="I209" s="16">
        <f>IFERROR(__xludf.DUMMYFUNCTION("""COMPUTED_VALUE"""),0.0)</f>
        <v>0</v>
      </c>
      <c r="J209" s="16" t="b">
        <f>IFERROR(__xludf.DUMMYFUNCTION("""COMPUTED_VALUE"""),TRUE)</f>
        <v>1</v>
      </c>
      <c r="K209" s="544"/>
      <c r="L209" s="8"/>
      <c r="M209" s="8"/>
      <c r="N209" s="8"/>
      <c r="O209" s="8"/>
      <c r="P209" s="8"/>
      <c r="Q209" s="8"/>
      <c r="R209" s="8"/>
      <c r="S209" s="8"/>
      <c r="T209" s="8"/>
      <c r="V209" s="54"/>
    </row>
    <row r="210">
      <c r="B210" s="14">
        <f>IFERROR(__xludf.DUMMYFUNCTION("""COMPUTED_VALUE"""),44774.0)</f>
        <v>44774</v>
      </c>
      <c r="C210" s="16">
        <f>IFERROR(__xludf.DUMMYFUNCTION("""COMPUTED_VALUE"""),1.0)</f>
        <v>1</v>
      </c>
      <c r="D210" s="16">
        <f>IFERROR(__xludf.DUMMYFUNCTION("""COMPUTED_VALUE"""),1.0)</f>
        <v>1</v>
      </c>
      <c r="E210" s="16">
        <f>IFERROR(__xludf.DUMMYFUNCTION("""COMPUTED_VALUE"""),0.0)</f>
        <v>0</v>
      </c>
      <c r="F210" s="16">
        <f>IFERROR(__xludf.DUMMYFUNCTION("""COMPUTED_VALUE"""),0.0)</f>
        <v>0</v>
      </c>
      <c r="G210" s="16">
        <f>IFERROR(__xludf.DUMMYFUNCTION("""COMPUTED_VALUE"""),0.0)</f>
        <v>0</v>
      </c>
      <c r="H210" s="16">
        <f>IFERROR(__xludf.DUMMYFUNCTION("""COMPUTED_VALUE"""),0.0)</f>
        <v>0</v>
      </c>
      <c r="I210" s="16">
        <f>IFERROR(__xludf.DUMMYFUNCTION("""COMPUTED_VALUE"""),0.0)</f>
        <v>0</v>
      </c>
      <c r="J210" s="16" t="b">
        <f>IFERROR(__xludf.DUMMYFUNCTION("""COMPUTED_VALUE"""),TRUE)</f>
        <v>1</v>
      </c>
      <c r="K210" s="544"/>
      <c r="L210" s="8"/>
      <c r="M210" s="8"/>
      <c r="N210" s="8"/>
      <c r="O210" s="8"/>
      <c r="P210" s="8"/>
      <c r="Q210" s="8"/>
      <c r="R210" s="8"/>
      <c r="S210" s="8"/>
      <c r="T210" s="8"/>
      <c r="V210" s="54"/>
    </row>
    <row r="211">
      <c r="B211" s="14">
        <f>IFERROR(__xludf.DUMMYFUNCTION("""COMPUTED_VALUE"""),44777.0)</f>
        <v>44777</v>
      </c>
      <c r="C211" s="16">
        <f>IFERROR(__xludf.DUMMYFUNCTION("""COMPUTED_VALUE"""),2.0)</f>
        <v>2</v>
      </c>
      <c r="D211" s="16">
        <f>IFERROR(__xludf.DUMMYFUNCTION("""COMPUTED_VALUE"""),2.0)</f>
        <v>2</v>
      </c>
      <c r="E211" s="16">
        <f>IFERROR(__xludf.DUMMYFUNCTION("""COMPUTED_VALUE"""),0.0)</f>
        <v>0</v>
      </c>
      <c r="F211" s="16">
        <f>IFERROR(__xludf.DUMMYFUNCTION("""COMPUTED_VALUE"""),0.0)</f>
        <v>0</v>
      </c>
      <c r="G211" s="16">
        <f>IFERROR(__xludf.DUMMYFUNCTION("""COMPUTED_VALUE"""),0.0)</f>
        <v>0</v>
      </c>
      <c r="H211" s="16">
        <f>IFERROR(__xludf.DUMMYFUNCTION("""COMPUTED_VALUE"""),0.0)</f>
        <v>0</v>
      </c>
      <c r="I211" s="16">
        <f>IFERROR(__xludf.DUMMYFUNCTION("""COMPUTED_VALUE"""),0.0)</f>
        <v>0</v>
      </c>
      <c r="J211" s="16" t="b">
        <f>IFERROR(__xludf.DUMMYFUNCTION("""COMPUTED_VALUE"""),TRUE)</f>
        <v>1</v>
      </c>
      <c r="K211" s="544"/>
      <c r="L211" s="8"/>
      <c r="M211" s="8"/>
      <c r="N211" s="8"/>
      <c r="O211" s="8"/>
      <c r="P211" s="8"/>
      <c r="Q211" s="8"/>
      <c r="R211" s="8"/>
      <c r="S211" s="8"/>
      <c r="T211" s="8"/>
      <c r="V211" s="54"/>
    </row>
    <row r="212">
      <c r="B212" s="14">
        <f>IFERROR(__xludf.DUMMYFUNCTION("""COMPUTED_VALUE"""),44795.0)</f>
        <v>44795</v>
      </c>
      <c r="C212" s="16">
        <f>IFERROR(__xludf.DUMMYFUNCTION("""COMPUTED_VALUE"""),1.0)</f>
        <v>1</v>
      </c>
      <c r="D212" s="16">
        <f>IFERROR(__xludf.DUMMYFUNCTION("""COMPUTED_VALUE"""),1.0)</f>
        <v>1</v>
      </c>
      <c r="E212" s="16">
        <f>IFERROR(__xludf.DUMMYFUNCTION("""COMPUTED_VALUE"""),0.0)</f>
        <v>0</v>
      </c>
      <c r="F212" s="16">
        <f>IFERROR(__xludf.DUMMYFUNCTION("""COMPUTED_VALUE"""),0.0)</f>
        <v>0</v>
      </c>
      <c r="G212" s="16">
        <f>IFERROR(__xludf.DUMMYFUNCTION("""COMPUTED_VALUE"""),0.0)</f>
        <v>0</v>
      </c>
      <c r="H212" s="16">
        <f>IFERROR(__xludf.DUMMYFUNCTION("""COMPUTED_VALUE"""),0.0)</f>
        <v>0</v>
      </c>
      <c r="I212" s="16">
        <f>IFERROR(__xludf.DUMMYFUNCTION("""COMPUTED_VALUE"""),0.0)</f>
        <v>0</v>
      </c>
      <c r="J212" s="16" t="b">
        <f>IFERROR(__xludf.DUMMYFUNCTION("""COMPUTED_VALUE"""),TRUE)</f>
        <v>1</v>
      </c>
      <c r="K212" s="544"/>
      <c r="L212" s="8"/>
      <c r="M212" s="8"/>
      <c r="N212" s="8"/>
      <c r="O212" s="8"/>
      <c r="P212" s="8"/>
      <c r="Q212" s="8"/>
      <c r="R212" s="8"/>
      <c r="S212" s="8"/>
      <c r="T212" s="8"/>
      <c r="V212" s="54"/>
    </row>
    <row r="213">
      <c r="B213" s="14">
        <f>IFERROR(__xludf.DUMMYFUNCTION("""COMPUTED_VALUE"""),44810.0)</f>
        <v>44810</v>
      </c>
      <c r="C213" s="16">
        <f>IFERROR(__xludf.DUMMYFUNCTION("""COMPUTED_VALUE"""),2.0)</f>
        <v>2</v>
      </c>
      <c r="D213" s="16">
        <f>IFERROR(__xludf.DUMMYFUNCTION("""COMPUTED_VALUE"""),2.0)</f>
        <v>2</v>
      </c>
      <c r="E213" s="16">
        <f>IFERROR(__xludf.DUMMYFUNCTION("""COMPUTED_VALUE"""),0.0)</f>
        <v>0</v>
      </c>
      <c r="F213" s="16">
        <f>IFERROR(__xludf.DUMMYFUNCTION("""COMPUTED_VALUE"""),0.0)</f>
        <v>0</v>
      </c>
      <c r="G213" s="16">
        <f>IFERROR(__xludf.DUMMYFUNCTION("""COMPUTED_VALUE"""),0.0)</f>
        <v>0</v>
      </c>
      <c r="H213" s="16">
        <f>IFERROR(__xludf.DUMMYFUNCTION("""COMPUTED_VALUE"""),0.0)</f>
        <v>0</v>
      </c>
      <c r="I213" s="16">
        <f>IFERROR(__xludf.DUMMYFUNCTION("""COMPUTED_VALUE"""),0.0)</f>
        <v>0</v>
      </c>
      <c r="J213" s="16" t="b">
        <f>IFERROR(__xludf.DUMMYFUNCTION("""COMPUTED_VALUE"""),TRUE)</f>
        <v>1</v>
      </c>
      <c r="K213" s="544"/>
      <c r="L213" s="8"/>
      <c r="M213" s="8"/>
      <c r="N213" s="8"/>
      <c r="O213" s="8"/>
      <c r="P213" s="8"/>
      <c r="Q213" s="8"/>
      <c r="R213" s="8"/>
      <c r="S213" s="8"/>
      <c r="T213" s="8"/>
      <c r="V213" s="54"/>
    </row>
    <row r="214">
      <c r="B214" s="14">
        <f>IFERROR(__xludf.DUMMYFUNCTION("""COMPUTED_VALUE"""),44812.0)</f>
        <v>44812</v>
      </c>
      <c r="C214" s="16">
        <f>IFERROR(__xludf.DUMMYFUNCTION("""COMPUTED_VALUE"""),1.0)</f>
        <v>1</v>
      </c>
      <c r="D214" s="16">
        <f>IFERROR(__xludf.DUMMYFUNCTION("""COMPUTED_VALUE"""),1.0)</f>
        <v>1</v>
      </c>
      <c r="E214" s="16">
        <f>IFERROR(__xludf.DUMMYFUNCTION("""COMPUTED_VALUE"""),0.0)</f>
        <v>0</v>
      </c>
      <c r="F214" s="16">
        <f>IFERROR(__xludf.DUMMYFUNCTION("""COMPUTED_VALUE"""),0.0)</f>
        <v>0</v>
      </c>
      <c r="G214" s="16">
        <f>IFERROR(__xludf.DUMMYFUNCTION("""COMPUTED_VALUE"""),0.0)</f>
        <v>0</v>
      </c>
      <c r="H214" s="16">
        <f>IFERROR(__xludf.DUMMYFUNCTION("""COMPUTED_VALUE"""),0.0)</f>
        <v>0</v>
      </c>
      <c r="I214" s="16">
        <f>IFERROR(__xludf.DUMMYFUNCTION("""COMPUTED_VALUE"""),0.0)</f>
        <v>0</v>
      </c>
      <c r="J214" s="16" t="b">
        <f>IFERROR(__xludf.DUMMYFUNCTION("""COMPUTED_VALUE"""),TRUE)</f>
        <v>1</v>
      </c>
      <c r="K214" s="544"/>
      <c r="L214" s="8"/>
      <c r="M214" s="8"/>
      <c r="N214" s="8"/>
      <c r="O214" s="8"/>
      <c r="P214" s="8"/>
      <c r="Q214" s="8"/>
      <c r="R214" s="8"/>
      <c r="S214" s="8"/>
      <c r="T214" s="8"/>
      <c r="V214" s="54"/>
    </row>
    <row r="215">
      <c r="B215" s="14">
        <f>IFERROR(__xludf.DUMMYFUNCTION("""COMPUTED_VALUE"""),44816.0)</f>
        <v>44816</v>
      </c>
      <c r="C215" s="16">
        <f>IFERROR(__xludf.DUMMYFUNCTION("""COMPUTED_VALUE"""),2.0)</f>
        <v>2</v>
      </c>
      <c r="D215" s="16">
        <f>IFERROR(__xludf.DUMMYFUNCTION("""COMPUTED_VALUE"""),2.0)</f>
        <v>2</v>
      </c>
      <c r="E215" s="16">
        <f>IFERROR(__xludf.DUMMYFUNCTION("""COMPUTED_VALUE"""),0.0)</f>
        <v>0</v>
      </c>
      <c r="F215" s="16">
        <f>IFERROR(__xludf.DUMMYFUNCTION("""COMPUTED_VALUE"""),0.0)</f>
        <v>0</v>
      </c>
      <c r="G215" s="16">
        <f>IFERROR(__xludf.DUMMYFUNCTION("""COMPUTED_VALUE"""),0.0)</f>
        <v>0</v>
      </c>
      <c r="H215" s="16">
        <f>IFERROR(__xludf.DUMMYFUNCTION("""COMPUTED_VALUE"""),0.0)</f>
        <v>0</v>
      </c>
      <c r="I215" s="16">
        <f>IFERROR(__xludf.DUMMYFUNCTION("""COMPUTED_VALUE"""),0.0)</f>
        <v>0</v>
      </c>
      <c r="J215" s="16" t="b">
        <f>IFERROR(__xludf.DUMMYFUNCTION("""COMPUTED_VALUE"""),TRUE)</f>
        <v>1</v>
      </c>
      <c r="K215" s="544"/>
      <c r="L215" s="8"/>
      <c r="M215" s="8"/>
      <c r="N215" s="8"/>
      <c r="O215" s="8"/>
      <c r="P215" s="8"/>
      <c r="Q215" s="8"/>
      <c r="R215" s="8"/>
      <c r="S215" s="8"/>
      <c r="T215" s="8"/>
      <c r="V215" s="54"/>
    </row>
    <row r="216">
      <c r="B216" s="14">
        <f>IFERROR(__xludf.DUMMYFUNCTION("""COMPUTED_VALUE"""),44819.0)</f>
        <v>44819</v>
      </c>
      <c r="C216" s="16">
        <f>IFERROR(__xludf.DUMMYFUNCTION("""COMPUTED_VALUE"""),2.0)</f>
        <v>2</v>
      </c>
      <c r="D216" s="16">
        <f>IFERROR(__xludf.DUMMYFUNCTION("""COMPUTED_VALUE"""),2.0)</f>
        <v>2</v>
      </c>
      <c r="E216" s="16">
        <f>IFERROR(__xludf.DUMMYFUNCTION("""COMPUTED_VALUE"""),0.0)</f>
        <v>0</v>
      </c>
      <c r="F216" s="16">
        <f>IFERROR(__xludf.DUMMYFUNCTION("""COMPUTED_VALUE"""),0.0)</f>
        <v>0</v>
      </c>
      <c r="G216" s="16">
        <f>IFERROR(__xludf.DUMMYFUNCTION("""COMPUTED_VALUE"""),0.0)</f>
        <v>0</v>
      </c>
      <c r="H216" s="16">
        <f>IFERROR(__xludf.DUMMYFUNCTION("""COMPUTED_VALUE"""),0.0)</f>
        <v>0</v>
      </c>
      <c r="I216" s="16">
        <f>IFERROR(__xludf.DUMMYFUNCTION("""COMPUTED_VALUE"""),0.0)</f>
        <v>0</v>
      </c>
      <c r="J216" s="16"/>
      <c r="K216" s="544"/>
      <c r="L216" s="8"/>
      <c r="M216" s="8"/>
      <c r="N216" s="8"/>
      <c r="O216" s="8"/>
      <c r="P216" s="8"/>
      <c r="Q216" s="8"/>
      <c r="R216" s="8"/>
      <c r="S216" s="8"/>
      <c r="T216" s="8"/>
      <c r="V216" s="54"/>
    </row>
    <row r="217">
      <c r="B217" s="14">
        <f>IFERROR(__xludf.DUMMYFUNCTION("""COMPUTED_VALUE"""),44823.0)</f>
        <v>44823</v>
      </c>
      <c r="C217" s="16">
        <f>IFERROR(__xludf.DUMMYFUNCTION("""COMPUTED_VALUE"""),2.0)</f>
        <v>2</v>
      </c>
      <c r="D217" s="16">
        <f>IFERROR(__xludf.DUMMYFUNCTION("""COMPUTED_VALUE"""),2.0)</f>
        <v>2</v>
      </c>
      <c r="E217" s="16">
        <f>IFERROR(__xludf.DUMMYFUNCTION("""COMPUTED_VALUE"""),0.0)</f>
        <v>0</v>
      </c>
      <c r="F217" s="16">
        <f>IFERROR(__xludf.DUMMYFUNCTION("""COMPUTED_VALUE"""),0.0)</f>
        <v>0</v>
      </c>
      <c r="G217" s="16">
        <f>IFERROR(__xludf.DUMMYFUNCTION("""COMPUTED_VALUE"""),0.0)</f>
        <v>0</v>
      </c>
      <c r="H217" s="16">
        <f>IFERROR(__xludf.DUMMYFUNCTION("""COMPUTED_VALUE"""),0.0)</f>
        <v>0</v>
      </c>
      <c r="I217" s="16">
        <f>IFERROR(__xludf.DUMMYFUNCTION("""COMPUTED_VALUE"""),0.0)</f>
        <v>0</v>
      </c>
      <c r="J217" s="16" t="b">
        <f>IFERROR(__xludf.DUMMYFUNCTION("""COMPUTED_VALUE"""),TRUE)</f>
        <v>1</v>
      </c>
      <c r="K217" s="544"/>
      <c r="L217" s="8"/>
      <c r="M217" s="8"/>
      <c r="N217" s="8"/>
      <c r="O217" s="8"/>
      <c r="P217" s="8"/>
      <c r="Q217" s="8"/>
      <c r="R217" s="8"/>
      <c r="S217" s="8"/>
      <c r="T217" s="8"/>
      <c r="V217" s="54"/>
    </row>
    <row r="218">
      <c r="B218" s="14">
        <f>IFERROR(__xludf.DUMMYFUNCTION("""COMPUTED_VALUE"""),44826.0)</f>
        <v>44826</v>
      </c>
      <c r="C218" s="16">
        <f>IFERROR(__xludf.DUMMYFUNCTION("""COMPUTED_VALUE"""),2.0)</f>
        <v>2</v>
      </c>
      <c r="D218" s="16">
        <f>IFERROR(__xludf.DUMMYFUNCTION("""COMPUTED_VALUE"""),2.0)</f>
        <v>2</v>
      </c>
      <c r="E218" s="16">
        <f>IFERROR(__xludf.DUMMYFUNCTION("""COMPUTED_VALUE"""),0.0)</f>
        <v>0</v>
      </c>
      <c r="F218" s="16">
        <f>IFERROR(__xludf.DUMMYFUNCTION("""COMPUTED_VALUE"""),0.0)</f>
        <v>0</v>
      </c>
      <c r="G218" s="16">
        <f>IFERROR(__xludf.DUMMYFUNCTION("""COMPUTED_VALUE"""),0.0)</f>
        <v>0</v>
      </c>
      <c r="H218" s="16">
        <f>IFERROR(__xludf.DUMMYFUNCTION("""COMPUTED_VALUE"""),0.0)</f>
        <v>0</v>
      </c>
      <c r="I218" s="16">
        <f>IFERROR(__xludf.DUMMYFUNCTION("""COMPUTED_VALUE"""),0.0)</f>
        <v>0</v>
      </c>
      <c r="J218" s="16" t="b">
        <f>IFERROR(__xludf.DUMMYFUNCTION("""COMPUTED_VALUE"""),TRUE)</f>
        <v>1</v>
      </c>
      <c r="K218" s="544"/>
      <c r="L218" s="8"/>
      <c r="M218" s="8"/>
      <c r="N218" s="8"/>
      <c r="O218" s="8"/>
      <c r="P218" s="8"/>
      <c r="Q218" s="8"/>
      <c r="R218" s="8"/>
      <c r="S218" s="8"/>
      <c r="T218" s="8"/>
      <c r="V218" s="54"/>
    </row>
    <row r="219">
      <c r="B219" s="14">
        <f>IFERROR(__xludf.DUMMYFUNCTION("""COMPUTED_VALUE"""),44830.0)</f>
        <v>44830</v>
      </c>
      <c r="C219" s="16">
        <f>IFERROR(__xludf.DUMMYFUNCTION("""COMPUTED_VALUE"""),2.0)</f>
        <v>2</v>
      </c>
      <c r="D219" s="16">
        <f>IFERROR(__xludf.DUMMYFUNCTION("""COMPUTED_VALUE"""),2.0)</f>
        <v>2</v>
      </c>
      <c r="E219" s="16">
        <f>IFERROR(__xludf.DUMMYFUNCTION("""COMPUTED_VALUE"""),0.0)</f>
        <v>0</v>
      </c>
      <c r="F219" s="16">
        <f>IFERROR(__xludf.DUMMYFUNCTION("""COMPUTED_VALUE"""),0.0)</f>
        <v>0</v>
      </c>
      <c r="G219" s="16">
        <f>IFERROR(__xludf.DUMMYFUNCTION("""COMPUTED_VALUE"""),0.0)</f>
        <v>0</v>
      </c>
      <c r="H219" s="16">
        <f>IFERROR(__xludf.DUMMYFUNCTION("""COMPUTED_VALUE"""),0.0)</f>
        <v>0</v>
      </c>
      <c r="I219" s="16">
        <f>IFERROR(__xludf.DUMMYFUNCTION("""COMPUTED_VALUE"""),0.0)</f>
        <v>0</v>
      </c>
      <c r="J219" s="16"/>
      <c r="K219" s="544"/>
      <c r="L219" s="8"/>
      <c r="M219" s="8"/>
      <c r="N219" s="8"/>
      <c r="O219" s="8"/>
      <c r="P219" s="8"/>
      <c r="Q219" s="8"/>
      <c r="R219" s="8"/>
      <c r="S219" s="8"/>
      <c r="T219" s="8"/>
      <c r="V219" s="54"/>
    </row>
    <row r="220">
      <c r="B220" s="14">
        <f>IFERROR(__xludf.DUMMYFUNCTION("""COMPUTED_VALUE"""),44833.0)</f>
        <v>44833</v>
      </c>
      <c r="C220" s="16">
        <f>IFERROR(__xludf.DUMMYFUNCTION("""COMPUTED_VALUE"""),2.0)</f>
        <v>2</v>
      </c>
      <c r="D220" s="16">
        <f>IFERROR(__xludf.DUMMYFUNCTION("""COMPUTED_VALUE"""),2.0)</f>
        <v>2</v>
      </c>
      <c r="E220" s="16">
        <f>IFERROR(__xludf.DUMMYFUNCTION("""COMPUTED_VALUE"""),0.0)</f>
        <v>0</v>
      </c>
      <c r="F220" s="16">
        <f>IFERROR(__xludf.DUMMYFUNCTION("""COMPUTED_VALUE"""),0.0)</f>
        <v>0</v>
      </c>
      <c r="G220" s="16">
        <f>IFERROR(__xludf.DUMMYFUNCTION("""COMPUTED_VALUE"""),0.0)</f>
        <v>0</v>
      </c>
      <c r="H220" s="16">
        <f>IFERROR(__xludf.DUMMYFUNCTION("""COMPUTED_VALUE"""),0.0)</f>
        <v>0</v>
      </c>
      <c r="I220" s="16">
        <f>IFERROR(__xludf.DUMMYFUNCTION("""COMPUTED_VALUE"""),0.0)</f>
        <v>0</v>
      </c>
      <c r="J220" s="16"/>
      <c r="K220" s="544"/>
      <c r="L220" s="8"/>
      <c r="M220" s="8"/>
      <c r="N220" s="8"/>
      <c r="O220" s="8"/>
      <c r="P220" s="8"/>
      <c r="Q220" s="8"/>
      <c r="R220" s="8"/>
      <c r="S220" s="8"/>
      <c r="T220" s="8"/>
      <c r="V220" s="54"/>
    </row>
    <row r="221">
      <c r="B221" s="14">
        <f>IFERROR(__xludf.DUMMYFUNCTION("""COMPUTED_VALUE"""),44837.0)</f>
        <v>44837</v>
      </c>
      <c r="C221" s="16">
        <f>IFERROR(__xludf.DUMMYFUNCTION("""COMPUTED_VALUE"""),1.0)</f>
        <v>1</v>
      </c>
      <c r="D221" s="16">
        <f>IFERROR(__xludf.DUMMYFUNCTION("""COMPUTED_VALUE"""),1.0)</f>
        <v>1</v>
      </c>
      <c r="E221" s="16">
        <f>IFERROR(__xludf.DUMMYFUNCTION("""COMPUTED_VALUE"""),0.0)</f>
        <v>0</v>
      </c>
      <c r="F221" s="16">
        <f>IFERROR(__xludf.DUMMYFUNCTION("""COMPUTED_VALUE"""),0.0)</f>
        <v>0</v>
      </c>
      <c r="G221" s="16">
        <f>IFERROR(__xludf.DUMMYFUNCTION("""COMPUTED_VALUE"""),0.0)</f>
        <v>0</v>
      </c>
      <c r="H221" s="16">
        <f>IFERROR(__xludf.DUMMYFUNCTION("""COMPUTED_VALUE"""),0.0)</f>
        <v>0</v>
      </c>
      <c r="I221" s="16">
        <f>IFERROR(__xludf.DUMMYFUNCTION("""COMPUTED_VALUE"""),0.0)</f>
        <v>0</v>
      </c>
      <c r="J221" s="16"/>
      <c r="K221" s="544"/>
      <c r="L221" s="8"/>
      <c r="M221" s="8"/>
      <c r="N221" s="8"/>
      <c r="O221" s="8"/>
      <c r="P221" s="8"/>
      <c r="Q221" s="8"/>
      <c r="R221" s="8"/>
      <c r="S221" s="8"/>
      <c r="T221" s="8"/>
      <c r="V221" s="54"/>
    </row>
    <row r="222">
      <c r="B222" s="14">
        <f>IFERROR(__xludf.DUMMYFUNCTION("""COMPUTED_VALUE"""),44840.0)</f>
        <v>44840</v>
      </c>
      <c r="C222" s="16">
        <f>IFERROR(__xludf.DUMMYFUNCTION("""COMPUTED_VALUE"""),4.0)</f>
        <v>4</v>
      </c>
      <c r="D222" s="16">
        <f>IFERROR(__xludf.DUMMYFUNCTION("""COMPUTED_VALUE"""),4.0)</f>
        <v>4</v>
      </c>
      <c r="E222" s="16">
        <f>IFERROR(__xludf.DUMMYFUNCTION("""COMPUTED_VALUE"""),0.0)</f>
        <v>0</v>
      </c>
      <c r="F222" s="16">
        <f>IFERROR(__xludf.DUMMYFUNCTION("""COMPUTED_VALUE"""),0.0)</f>
        <v>0</v>
      </c>
      <c r="G222" s="16">
        <f>IFERROR(__xludf.DUMMYFUNCTION("""COMPUTED_VALUE"""),0.0)</f>
        <v>0</v>
      </c>
      <c r="H222" s="16">
        <f>IFERROR(__xludf.DUMMYFUNCTION("""COMPUTED_VALUE"""),0.0)</f>
        <v>0</v>
      </c>
      <c r="I222" s="16">
        <f>IFERROR(__xludf.DUMMYFUNCTION("""COMPUTED_VALUE"""),0.0)</f>
        <v>0</v>
      </c>
      <c r="J222" s="16"/>
      <c r="K222" s="544"/>
      <c r="L222" s="8"/>
      <c r="M222" s="8"/>
      <c r="N222" s="8"/>
      <c r="O222" s="8"/>
      <c r="P222" s="8"/>
      <c r="Q222" s="8"/>
      <c r="R222" s="8"/>
      <c r="S222" s="8"/>
      <c r="T222" s="8"/>
      <c r="V222" s="54"/>
    </row>
    <row r="223">
      <c r="B223" s="14">
        <f>IFERROR(__xludf.DUMMYFUNCTION("""COMPUTED_VALUE"""),44844.0)</f>
        <v>44844</v>
      </c>
      <c r="C223" s="16">
        <f>IFERROR(__xludf.DUMMYFUNCTION("""COMPUTED_VALUE"""),3.0)</f>
        <v>3</v>
      </c>
      <c r="D223" s="16">
        <f>IFERROR(__xludf.DUMMYFUNCTION("""COMPUTED_VALUE"""),3.0)</f>
        <v>3</v>
      </c>
      <c r="E223" s="16">
        <f>IFERROR(__xludf.DUMMYFUNCTION("""COMPUTED_VALUE"""),0.0)</f>
        <v>0</v>
      </c>
      <c r="F223" s="16">
        <f>IFERROR(__xludf.DUMMYFUNCTION("""COMPUTED_VALUE"""),0.0)</f>
        <v>0</v>
      </c>
      <c r="G223" s="16">
        <f>IFERROR(__xludf.DUMMYFUNCTION("""COMPUTED_VALUE"""),0.0)</f>
        <v>0</v>
      </c>
      <c r="H223" s="16">
        <f>IFERROR(__xludf.DUMMYFUNCTION("""COMPUTED_VALUE"""),0.0)</f>
        <v>0</v>
      </c>
      <c r="I223" s="16">
        <f>IFERROR(__xludf.DUMMYFUNCTION("""COMPUTED_VALUE"""),0.0)</f>
        <v>0</v>
      </c>
      <c r="J223" s="16" t="b">
        <f>IFERROR(__xludf.DUMMYFUNCTION("""COMPUTED_VALUE"""),TRUE)</f>
        <v>1</v>
      </c>
      <c r="K223" s="544"/>
      <c r="L223" s="8"/>
      <c r="M223" s="8"/>
      <c r="N223" s="8"/>
      <c r="O223" s="8"/>
      <c r="P223" s="8"/>
      <c r="Q223" s="8"/>
      <c r="R223" s="8"/>
      <c r="S223" s="8"/>
      <c r="T223" s="8"/>
      <c r="V223" s="54"/>
    </row>
    <row r="224">
      <c r="B224" s="14">
        <f>IFERROR(__xludf.DUMMYFUNCTION("""COMPUTED_VALUE"""),44847.0)</f>
        <v>44847</v>
      </c>
      <c r="C224" s="16">
        <f>IFERROR(__xludf.DUMMYFUNCTION("""COMPUTED_VALUE"""),2.0)</f>
        <v>2</v>
      </c>
      <c r="D224" s="16">
        <f>IFERROR(__xludf.DUMMYFUNCTION("""COMPUTED_VALUE"""),2.0)</f>
        <v>2</v>
      </c>
      <c r="E224" s="16">
        <f>IFERROR(__xludf.DUMMYFUNCTION("""COMPUTED_VALUE"""),0.0)</f>
        <v>0</v>
      </c>
      <c r="F224" s="16">
        <f>IFERROR(__xludf.DUMMYFUNCTION("""COMPUTED_VALUE"""),0.0)</f>
        <v>0</v>
      </c>
      <c r="G224" s="16">
        <f>IFERROR(__xludf.DUMMYFUNCTION("""COMPUTED_VALUE"""),0.0)</f>
        <v>0</v>
      </c>
      <c r="H224" s="16">
        <f>IFERROR(__xludf.DUMMYFUNCTION("""COMPUTED_VALUE"""),0.0)</f>
        <v>0</v>
      </c>
      <c r="I224" s="16">
        <f>IFERROR(__xludf.DUMMYFUNCTION("""COMPUTED_VALUE"""),0.0)</f>
        <v>0</v>
      </c>
      <c r="J224" s="16"/>
      <c r="K224" s="544"/>
      <c r="L224" s="8"/>
      <c r="M224" s="8"/>
      <c r="N224" s="8"/>
      <c r="O224" s="8"/>
      <c r="P224" s="8"/>
      <c r="Q224" s="8"/>
      <c r="R224" s="8"/>
      <c r="S224" s="8"/>
      <c r="T224" s="8"/>
      <c r="V224" s="54"/>
    </row>
    <row r="225">
      <c r="B225" s="14">
        <f>IFERROR(__xludf.DUMMYFUNCTION("""COMPUTED_VALUE"""),44851.0)</f>
        <v>44851</v>
      </c>
      <c r="C225" s="16">
        <f>IFERROR(__xludf.DUMMYFUNCTION("""COMPUTED_VALUE"""),2.0)</f>
        <v>2</v>
      </c>
      <c r="D225" s="16">
        <f>IFERROR(__xludf.DUMMYFUNCTION("""COMPUTED_VALUE"""),2.0)</f>
        <v>2</v>
      </c>
      <c r="E225" s="16">
        <f>IFERROR(__xludf.DUMMYFUNCTION("""COMPUTED_VALUE"""),0.0)</f>
        <v>0</v>
      </c>
      <c r="F225" s="16">
        <f>IFERROR(__xludf.DUMMYFUNCTION("""COMPUTED_VALUE"""),0.0)</f>
        <v>0</v>
      </c>
      <c r="G225" s="16">
        <f>IFERROR(__xludf.DUMMYFUNCTION("""COMPUTED_VALUE"""),0.0)</f>
        <v>0</v>
      </c>
      <c r="H225" s="16">
        <f>IFERROR(__xludf.DUMMYFUNCTION("""COMPUTED_VALUE"""),0.0)</f>
        <v>0</v>
      </c>
      <c r="I225" s="16">
        <f>IFERROR(__xludf.DUMMYFUNCTION("""COMPUTED_VALUE"""),0.0)</f>
        <v>0</v>
      </c>
      <c r="J225" s="16"/>
      <c r="K225" s="544"/>
      <c r="L225" s="8"/>
      <c r="M225" s="8"/>
      <c r="N225" s="8"/>
      <c r="O225" s="8"/>
      <c r="P225" s="8"/>
      <c r="Q225" s="8"/>
      <c r="R225" s="8"/>
      <c r="S225" s="8"/>
      <c r="T225" s="8"/>
      <c r="V225" s="54"/>
    </row>
    <row r="226">
      <c r="B226" s="14">
        <f>IFERROR(__xludf.DUMMYFUNCTION("""COMPUTED_VALUE"""),44854.0)</f>
        <v>44854</v>
      </c>
      <c r="C226" s="16">
        <f>IFERROR(__xludf.DUMMYFUNCTION("""COMPUTED_VALUE"""),2.0)</f>
        <v>2</v>
      </c>
      <c r="D226" s="16">
        <f>IFERROR(__xludf.DUMMYFUNCTION("""COMPUTED_VALUE"""),2.0)</f>
        <v>2</v>
      </c>
      <c r="E226" s="16">
        <f>IFERROR(__xludf.DUMMYFUNCTION("""COMPUTED_VALUE"""),0.0)</f>
        <v>0</v>
      </c>
      <c r="F226" s="16">
        <f>IFERROR(__xludf.DUMMYFUNCTION("""COMPUTED_VALUE"""),0.0)</f>
        <v>0</v>
      </c>
      <c r="G226" s="16">
        <f>IFERROR(__xludf.DUMMYFUNCTION("""COMPUTED_VALUE"""),0.0)</f>
        <v>0</v>
      </c>
      <c r="H226" s="16">
        <f>IFERROR(__xludf.DUMMYFUNCTION("""COMPUTED_VALUE"""),0.0)</f>
        <v>0</v>
      </c>
      <c r="I226" s="16">
        <f>IFERROR(__xludf.DUMMYFUNCTION("""COMPUTED_VALUE"""),0.0)</f>
        <v>0</v>
      </c>
      <c r="J226" s="16"/>
      <c r="K226" s="544"/>
      <c r="L226" s="8"/>
      <c r="M226" s="8"/>
      <c r="N226" s="8"/>
      <c r="O226" s="8"/>
      <c r="P226" s="8"/>
      <c r="Q226" s="8"/>
      <c r="R226" s="8"/>
      <c r="S226" s="8"/>
      <c r="T226" s="8"/>
      <c r="V226" s="54"/>
    </row>
    <row r="227">
      <c r="B227" s="14">
        <f>IFERROR(__xludf.DUMMYFUNCTION("""COMPUTED_VALUE"""),44858.0)</f>
        <v>44858</v>
      </c>
      <c r="C227" s="16">
        <f>IFERROR(__xludf.DUMMYFUNCTION("""COMPUTED_VALUE"""),3.0)</f>
        <v>3</v>
      </c>
      <c r="D227" s="16">
        <f>IFERROR(__xludf.DUMMYFUNCTION("""COMPUTED_VALUE"""),3.0)</f>
        <v>3</v>
      </c>
      <c r="E227" s="16">
        <f>IFERROR(__xludf.DUMMYFUNCTION("""COMPUTED_VALUE"""),0.0)</f>
        <v>0</v>
      </c>
      <c r="F227" s="16">
        <f>IFERROR(__xludf.DUMMYFUNCTION("""COMPUTED_VALUE"""),0.0)</f>
        <v>0</v>
      </c>
      <c r="G227" s="16">
        <f>IFERROR(__xludf.DUMMYFUNCTION("""COMPUTED_VALUE"""),0.0)</f>
        <v>0</v>
      </c>
      <c r="H227" s="16">
        <f>IFERROR(__xludf.DUMMYFUNCTION("""COMPUTED_VALUE"""),0.0)</f>
        <v>0</v>
      </c>
      <c r="I227" s="16">
        <f>IFERROR(__xludf.DUMMYFUNCTION("""COMPUTED_VALUE"""),0.0)</f>
        <v>0</v>
      </c>
      <c r="J227" s="16" t="b">
        <f>IFERROR(__xludf.DUMMYFUNCTION("""COMPUTED_VALUE"""),TRUE)</f>
        <v>1</v>
      </c>
      <c r="K227" s="544"/>
      <c r="L227" s="8"/>
      <c r="M227" s="8"/>
      <c r="N227" s="8"/>
      <c r="O227" s="8"/>
      <c r="P227" s="8"/>
      <c r="Q227" s="8"/>
      <c r="R227" s="8"/>
      <c r="S227" s="8"/>
      <c r="T227" s="8"/>
      <c r="V227" s="54"/>
    </row>
    <row r="228">
      <c r="B228" s="14">
        <f>IFERROR(__xludf.DUMMYFUNCTION("""COMPUTED_VALUE"""),44859.0)</f>
        <v>44859</v>
      </c>
      <c r="C228" s="16">
        <f>IFERROR(__xludf.DUMMYFUNCTION("""COMPUTED_VALUE"""),1.0)</f>
        <v>1</v>
      </c>
      <c r="D228" s="16">
        <f>IFERROR(__xludf.DUMMYFUNCTION("""COMPUTED_VALUE"""),1.0)</f>
        <v>1</v>
      </c>
      <c r="E228" s="16">
        <f>IFERROR(__xludf.DUMMYFUNCTION("""COMPUTED_VALUE"""),0.0)</f>
        <v>0</v>
      </c>
      <c r="F228" s="16">
        <f>IFERROR(__xludf.DUMMYFUNCTION("""COMPUTED_VALUE"""),0.0)</f>
        <v>0</v>
      </c>
      <c r="G228" s="16">
        <f>IFERROR(__xludf.DUMMYFUNCTION("""COMPUTED_VALUE"""),0.0)</f>
        <v>0</v>
      </c>
      <c r="H228" s="16">
        <f>IFERROR(__xludf.DUMMYFUNCTION("""COMPUTED_VALUE"""),0.0)</f>
        <v>0</v>
      </c>
      <c r="I228" s="16">
        <f>IFERROR(__xludf.DUMMYFUNCTION("""COMPUTED_VALUE"""),0.0)</f>
        <v>0</v>
      </c>
      <c r="J228" s="16"/>
      <c r="K228" s="544"/>
      <c r="L228" s="8"/>
      <c r="M228" s="8"/>
      <c r="N228" s="8"/>
      <c r="O228" s="8"/>
      <c r="P228" s="8"/>
      <c r="Q228" s="8"/>
      <c r="R228" s="8"/>
      <c r="S228" s="8"/>
      <c r="T228" s="8"/>
      <c r="V228" s="54"/>
    </row>
    <row r="229">
      <c r="B229" s="14">
        <f>IFERROR(__xludf.DUMMYFUNCTION("""COMPUTED_VALUE"""),44861.0)</f>
        <v>44861</v>
      </c>
      <c r="C229" s="16">
        <f>IFERROR(__xludf.DUMMYFUNCTION("""COMPUTED_VALUE"""),4.0)</f>
        <v>4</v>
      </c>
      <c r="D229" s="16">
        <f>IFERROR(__xludf.DUMMYFUNCTION("""COMPUTED_VALUE"""),4.0)</f>
        <v>4</v>
      </c>
      <c r="E229" s="16">
        <f>IFERROR(__xludf.DUMMYFUNCTION("""COMPUTED_VALUE"""),0.0)</f>
        <v>0</v>
      </c>
      <c r="F229" s="16">
        <f>IFERROR(__xludf.DUMMYFUNCTION("""COMPUTED_VALUE"""),0.0)</f>
        <v>0</v>
      </c>
      <c r="G229" s="16">
        <f>IFERROR(__xludf.DUMMYFUNCTION("""COMPUTED_VALUE"""),0.0)</f>
        <v>0</v>
      </c>
      <c r="H229" s="16">
        <f>IFERROR(__xludf.DUMMYFUNCTION("""COMPUTED_VALUE"""),0.0)</f>
        <v>0</v>
      </c>
      <c r="I229" s="16">
        <f>IFERROR(__xludf.DUMMYFUNCTION("""COMPUTED_VALUE"""),0.0)</f>
        <v>0</v>
      </c>
      <c r="J229" s="16"/>
      <c r="K229" s="544"/>
      <c r="L229" s="8"/>
      <c r="M229" s="8"/>
      <c r="N229" s="8"/>
      <c r="O229" s="8"/>
      <c r="P229" s="8"/>
      <c r="Q229" s="8"/>
      <c r="R229" s="8"/>
      <c r="S229" s="8"/>
      <c r="T229" s="8"/>
      <c r="V229" s="54"/>
    </row>
    <row r="230">
      <c r="B230" s="14">
        <f>IFERROR(__xludf.DUMMYFUNCTION("""COMPUTED_VALUE"""),44865.0)</f>
        <v>44865</v>
      </c>
      <c r="C230" s="16">
        <f>IFERROR(__xludf.DUMMYFUNCTION("""COMPUTED_VALUE"""),2.0)</f>
        <v>2</v>
      </c>
      <c r="D230" s="16">
        <f>IFERROR(__xludf.DUMMYFUNCTION("""COMPUTED_VALUE"""),2.0)</f>
        <v>2</v>
      </c>
      <c r="E230" s="16">
        <f>IFERROR(__xludf.DUMMYFUNCTION("""COMPUTED_VALUE"""),0.0)</f>
        <v>0</v>
      </c>
      <c r="F230" s="16">
        <f>IFERROR(__xludf.DUMMYFUNCTION("""COMPUTED_VALUE"""),0.0)</f>
        <v>0</v>
      </c>
      <c r="G230" s="16">
        <f>IFERROR(__xludf.DUMMYFUNCTION("""COMPUTED_VALUE"""),0.0)</f>
        <v>0</v>
      </c>
      <c r="H230" s="16">
        <f>IFERROR(__xludf.DUMMYFUNCTION("""COMPUTED_VALUE"""),0.0)</f>
        <v>0</v>
      </c>
      <c r="I230" s="16">
        <f>IFERROR(__xludf.DUMMYFUNCTION("""COMPUTED_VALUE"""),0.0)</f>
        <v>0</v>
      </c>
      <c r="J230" s="16"/>
      <c r="K230" s="544"/>
      <c r="L230" s="8"/>
      <c r="M230" s="8"/>
      <c r="N230" s="8"/>
      <c r="O230" s="8"/>
      <c r="P230" s="8"/>
      <c r="Q230" s="8"/>
      <c r="R230" s="8"/>
      <c r="S230" s="8"/>
      <c r="T230" s="8"/>
      <c r="V230" s="54"/>
    </row>
    <row r="231">
      <c r="B231" s="14">
        <f>IFERROR(__xludf.DUMMYFUNCTION("""COMPUTED_VALUE"""),44868.0)</f>
        <v>44868</v>
      </c>
      <c r="C231" s="16">
        <f>IFERROR(__xludf.DUMMYFUNCTION("""COMPUTED_VALUE"""),3.0)</f>
        <v>3</v>
      </c>
      <c r="D231" s="16">
        <f>IFERROR(__xludf.DUMMYFUNCTION("""COMPUTED_VALUE"""),3.0)</f>
        <v>3</v>
      </c>
      <c r="E231" s="16">
        <f>IFERROR(__xludf.DUMMYFUNCTION("""COMPUTED_VALUE"""),0.0)</f>
        <v>0</v>
      </c>
      <c r="F231" s="16">
        <f>IFERROR(__xludf.DUMMYFUNCTION("""COMPUTED_VALUE"""),0.0)</f>
        <v>0</v>
      </c>
      <c r="G231" s="16">
        <f>IFERROR(__xludf.DUMMYFUNCTION("""COMPUTED_VALUE"""),0.0)</f>
        <v>0</v>
      </c>
      <c r="H231" s="16">
        <f>IFERROR(__xludf.DUMMYFUNCTION("""COMPUTED_VALUE"""),0.0)</f>
        <v>0</v>
      </c>
      <c r="I231" s="16">
        <f>IFERROR(__xludf.DUMMYFUNCTION("""COMPUTED_VALUE"""),0.0)</f>
        <v>0</v>
      </c>
      <c r="J231" s="16" t="b">
        <f>IFERROR(__xludf.DUMMYFUNCTION("""COMPUTED_VALUE"""),TRUE)</f>
        <v>1</v>
      </c>
      <c r="K231" s="544"/>
      <c r="L231" s="8"/>
      <c r="M231" s="8"/>
      <c r="N231" s="8"/>
      <c r="O231" s="8"/>
      <c r="P231" s="8"/>
      <c r="Q231" s="8"/>
      <c r="R231" s="8"/>
      <c r="S231" s="8"/>
      <c r="T231" s="8"/>
      <c r="V231" s="54"/>
    </row>
    <row r="232">
      <c r="B232" s="14">
        <f>IFERROR(__xludf.DUMMYFUNCTION("""COMPUTED_VALUE"""),44872.0)</f>
        <v>44872</v>
      </c>
      <c r="C232" s="16">
        <f>IFERROR(__xludf.DUMMYFUNCTION("""COMPUTED_VALUE"""),3.0)</f>
        <v>3</v>
      </c>
      <c r="D232" s="16">
        <f>IFERROR(__xludf.DUMMYFUNCTION("""COMPUTED_VALUE"""),3.0)</f>
        <v>3</v>
      </c>
      <c r="E232" s="16">
        <f>IFERROR(__xludf.DUMMYFUNCTION("""COMPUTED_VALUE"""),0.0)</f>
        <v>0</v>
      </c>
      <c r="F232" s="16">
        <f>IFERROR(__xludf.DUMMYFUNCTION("""COMPUTED_VALUE"""),0.0)</f>
        <v>0</v>
      </c>
      <c r="G232" s="16">
        <f>IFERROR(__xludf.DUMMYFUNCTION("""COMPUTED_VALUE"""),0.0)</f>
        <v>0</v>
      </c>
      <c r="H232" s="16">
        <f>IFERROR(__xludf.DUMMYFUNCTION("""COMPUTED_VALUE"""),0.0)</f>
        <v>0</v>
      </c>
      <c r="I232" s="16">
        <f>IFERROR(__xludf.DUMMYFUNCTION("""COMPUTED_VALUE"""),0.0)</f>
        <v>0</v>
      </c>
      <c r="J232" s="16" t="b">
        <f>IFERROR(__xludf.DUMMYFUNCTION("""COMPUTED_VALUE"""),TRUE)</f>
        <v>1</v>
      </c>
      <c r="K232" s="544"/>
      <c r="L232" s="8"/>
      <c r="M232" s="8"/>
      <c r="N232" s="8"/>
      <c r="O232" s="8"/>
      <c r="P232" s="8"/>
      <c r="Q232" s="8"/>
      <c r="R232" s="8"/>
      <c r="S232" s="8"/>
      <c r="T232" s="8"/>
      <c r="V232" s="54"/>
    </row>
    <row r="233">
      <c r="B233" s="14">
        <f>IFERROR(__xludf.DUMMYFUNCTION("""COMPUTED_VALUE"""),44875.0)</f>
        <v>44875</v>
      </c>
      <c r="C233" s="16">
        <f>IFERROR(__xludf.DUMMYFUNCTION("""COMPUTED_VALUE"""),2.0)</f>
        <v>2</v>
      </c>
      <c r="D233" s="16">
        <f>IFERROR(__xludf.DUMMYFUNCTION("""COMPUTED_VALUE"""),2.0)</f>
        <v>2</v>
      </c>
      <c r="E233" s="16">
        <f>IFERROR(__xludf.DUMMYFUNCTION("""COMPUTED_VALUE"""),0.0)</f>
        <v>0</v>
      </c>
      <c r="F233" s="16">
        <f>IFERROR(__xludf.DUMMYFUNCTION("""COMPUTED_VALUE"""),0.0)</f>
        <v>0</v>
      </c>
      <c r="G233" s="16">
        <f>IFERROR(__xludf.DUMMYFUNCTION("""COMPUTED_VALUE"""),0.0)</f>
        <v>0</v>
      </c>
      <c r="H233" s="16">
        <f>IFERROR(__xludf.DUMMYFUNCTION("""COMPUTED_VALUE"""),0.0)</f>
        <v>0</v>
      </c>
      <c r="I233" s="16">
        <f>IFERROR(__xludf.DUMMYFUNCTION("""COMPUTED_VALUE"""),0.0)</f>
        <v>0</v>
      </c>
      <c r="J233" s="16"/>
      <c r="K233" s="544"/>
      <c r="L233" s="8"/>
      <c r="M233" s="8"/>
      <c r="N233" s="8"/>
      <c r="O233" s="8"/>
      <c r="P233" s="8"/>
      <c r="Q233" s="8"/>
      <c r="R233" s="8"/>
      <c r="S233" s="8"/>
      <c r="T233" s="8"/>
      <c r="V233" s="54"/>
    </row>
    <row r="234">
      <c r="B234" s="14">
        <f>IFERROR(__xludf.DUMMYFUNCTION("""COMPUTED_VALUE"""),44879.0)</f>
        <v>44879</v>
      </c>
      <c r="C234" s="16">
        <f>IFERROR(__xludf.DUMMYFUNCTION("""COMPUTED_VALUE"""),5.0)</f>
        <v>5</v>
      </c>
      <c r="D234" s="16">
        <f>IFERROR(__xludf.DUMMYFUNCTION("""COMPUTED_VALUE"""),5.0)</f>
        <v>5</v>
      </c>
      <c r="E234" s="16">
        <f>IFERROR(__xludf.DUMMYFUNCTION("""COMPUTED_VALUE"""),0.0)</f>
        <v>0</v>
      </c>
      <c r="F234" s="16">
        <f>IFERROR(__xludf.DUMMYFUNCTION("""COMPUTED_VALUE"""),0.0)</f>
        <v>0</v>
      </c>
      <c r="G234" s="16">
        <f>IFERROR(__xludf.DUMMYFUNCTION("""COMPUTED_VALUE"""),0.0)</f>
        <v>0</v>
      </c>
      <c r="H234" s="16">
        <f>IFERROR(__xludf.DUMMYFUNCTION("""COMPUTED_VALUE"""),0.0)</f>
        <v>0</v>
      </c>
      <c r="I234" s="16">
        <f>IFERROR(__xludf.DUMMYFUNCTION("""COMPUTED_VALUE"""),0.0)</f>
        <v>0</v>
      </c>
      <c r="J234" s="16" t="b">
        <f>IFERROR(__xludf.DUMMYFUNCTION("""COMPUTED_VALUE"""),TRUE)</f>
        <v>1</v>
      </c>
      <c r="K234" s="544"/>
      <c r="L234" s="8"/>
      <c r="M234" s="8"/>
      <c r="N234" s="8"/>
      <c r="O234" s="8"/>
      <c r="P234" s="8"/>
      <c r="Q234" s="8"/>
      <c r="R234" s="8"/>
      <c r="S234" s="8"/>
      <c r="T234" s="8"/>
      <c r="V234" s="54"/>
    </row>
    <row r="235">
      <c r="B235" s="14">
        <f>IFERROR(__xludf.DUMMYFUNCTION("""COMPUTED_VALUE"""),44886.0)</f>
        <v>44886</v>
      </c>
      <c r="C235" s="16">
        <f>IFERROR(__xludf.DUMMYFUNCTION("""COMPUTED_VALUE"""),3.0)</f>
        <v>3</v>
      </c>
      <c r="D235" s="16">
        <f>IFERROR(__xludf.DUMMYFUNCTION("""COMPUTED_VALUE"""),3.0)</f>
        <v>3</v>
      </c>
      <c r="E235" s="16">
        <f>IFERROR(__xludf.DUMMYFUNCTION("""COMPUTED_VALUE"""),0.0)</f>
        <v>0</v>
      </c>
      <c r="F235" s="16">
        <f>IFERROR(__xludf.DUMMYFUNCTION("""COMPUTED_VALUE"""),0.0)</f>
        <v>0</v>
      </c>
      <c r="G235" s="16">
        <f>IFERROR(__xludf.DUMMYFUNCTION("""COMPUTED_VALUE"""),0.0)</f>
        <v>0</v>
      </c>
      <c r="H235" s="16">
        <f>IFERROR(__xludf.DUMMYFUNCTION("""COMPUTED_VALUE"""),0.0)</f>
        <v>0</v>
      </c>
      <c r="I235" s="16">
        <f>IFERROR(__xludf.DUMMYFUNCTION("""COMPUTED_VALUE"""),0.0)</f>
        <v>0</v>
      </c>
      <c r="J235" s="16" t="b">
        <f>IFERROR(__xludf.DUMMYFUNCTION("""COMPUTED_VALUE"""),TRUE)</f>
        <v>1</v>
      </c>
      <c r="K235" s="544"/>
      <c r="L235" s="8"/>
      <c r="M235" s="8"/>
      <c r="N235" s="8"/>
      <c r="O235" s="8"/>
      <c r="P235" s="8"/>
      <c r="Q235" s="8"/>
      <c r="R235" s="8"/>
      <c r="S235" s="8"/>
      <c r="T235" s="8"/>
      <c r="V235" s="54"/>
    </row>
    <row r="236">
      <c r="B236" s="14">
        <f>IFERROR(__xludf.DUMMYFUNCTION("""COMPUTED_VALUE"""),44894.0)</f>
        <v>44894</v>
      </c>
      <c r="C236" s="16">
        <f>IFERROR(__xludf.DUMMYFUNCTION("""COMPUTED_VALUE"""),2.0)</f>
        <v>2</v>
      </c>
      <c r="D236" s="16">
        <f>IFERROR(__xludf.DUMMYFUNCTION("""COMPUTED_VALUE"""),2.0)</f>
        <v>2</v>
      </c>
      <c r="E236" s="16">
        <f>IFERROR(__xludf.DUMMYFUNCTION("""COMPUTED_VALUE"""),0.0)</f>
        <v>0</v>
      </c>
      <c r="F236" s="16">
        <f>IFERROR(__xludf.DUMMYFUNCTION("""COMPUTED_VALUE"""),0.0)</f>
        <v>0</v>
      </c>
      <c r="G236" s="16">
        <f>IFERROR(__xludf.DUMMYFUNCTION("""COMPUTED_VALUE"""),0.0)</f>
        <v>0</v>
      </c>
      <c r="H236" s="16">
        <f>IFERROR(__xludf.DUMMYFUNCTION("""COMPUTED_VALUE"""),0.0)</f>
        <v>0</v>
      </c>
      <c r="I236" s="16">
        <f>IFERROR(__xludf.DUMMYFUNCTION("""COMPUTED_VALUE"""),0.0)</f>
        <v>0</v>
      </c>
      <c r="J236" s="16"/>
      <c r="K236" s="544"/>
      <c r="L236" s="8"/>
      <c r="M236" s="8"/>
      <c r="N236" s="8"/>
      <c r="O236" s="8"/>
      <c r="P236" s="8"/>
      <c r="Q236" s="8"/>
      <c r="R236" s="8"/>
      <c r="S236" s="8"/>
      <c r="T236" s="8"/>
      <c r="V236" s="54"/>
    </row>
    <row r="237">
      <c r="B237" s="14">
        <f>IFERROR(__xludf.DUMMYFUNCTION("""COMPUTED_VALUE"""),44896.0)</f>
        <v>44896</v>
      </c>
      <c r="C237" s="16">
        <f>IFERROR(__xludf.DUMMYFUNCTION("""COMPUTED_VALUE"""),3.0)</f>
        <v>3</v>
      </c>
      <c r="D237" s="16">
        <f>IFERROR(__xludf.DUMMYFUNCTION("""COMPUTED_VALUE"""),3.0)</f>
        <v>3</v>
      </c>
      <c r="E237" s="16">
        <f>IFERROR(__xludf.DUMMYFUNCTION("""COMPUTED_VALUE"""),0.0)</f>
        <v>0</v>
      </c>
      <c r="F237" s="16">
        <f>IFERROR(__xludf.DUMMYFUNCTION("""COMPUTED_VALUE"""),0.0)</f>
        <v>0</v>
      </c>
      <c r="G237" s="16">
        <f>IFERROR(__xludf.DUMMYFUNCTION("""COMPUTED_VALUE"""),0.0)</f>
        <v>0</v>
      </c>
      <c r="H237" s="16">
        <f>IFERROR(__xludf.DUMMYFUNCTION("""COMPUTED_VALUE"""),0.0)</f>
        <v>0</v>
      </c>
      <c r="I237" s="16">
        <f>IFERROR(__xludf.DUMMYFUNCTION("""COMPUTED_VALUE"""),0.0)</f>
        <v>0</v>
      </c>
      <c r="J237" s="16"/>
      <c r="K237" s="544"/>
      <c r="L237" s="8"/>
      <c r="M237" s="8"/>
      <c r="N237" s="8"/>
      <c r="O237" s="8"/>
      <c r="P237" s="8"/>
      <c r="Q237" s="8"/>
      <c r="R237" s="8"/>
      <c r="S237" s="8"/>
      <c r="T237" s="8"/>
      <c r="V237" s="54"/>
    </row>
    <row r="238">
      <c r="B238" s="14">
        <f>IFERROR(__xludf.DUMMYFUNCTION("""COMPUTED_VALUE"""),44903.0)</f>
        <v>44903</v>
      </c>
      <c r="C238" s="16">
        <f>IFERROR(__xludf.DUMMYFUNCTION("""COMPUTED_VALUE"""),2.0)</f>
        <v>2</v>
      </c>
      <c r="D238" s="16">
        <f>IFERROR(__xludf.DUMMYFUNCTION("""COMPUTED_VALUE"""),2.0)</f>
        <v>2</v>
      </c>
      <c r="E238" s="16">
        <f>IFERROR(__xludf.DUMMYFUNCTION("""COMPUTED_VALUE"""),0.0)</f>
        <v>0</v>
      </c>
      <c r="F238" s="16">
        <f>IFERROR(__xludf.DUMMYFUNCTION("""COMPUTED_VALUE"""),0.0)</f>
        <v>0</v>
      </c>
      <c r="G238" s="16">
        <f>IFERROR(__xludf.DUMMYFUNCTION("""COMPUTED_VALUE"""),0.0)</f>
        <v>0</v>
      </c>
      <c r="H238" s="16">
        <f>IFERROR(__xludf.DUMMYFUNCTION("""COMPUTED_VALUE"""),0.0)</f>
        <v>0</v>
      </c>
      <c r="I238" s="16">
        <f>IFERROR(__xludf.DUMMYFUNCTION("""COMPUTED_VALUE"""),0.0)</f>
        <v>0</v>
      </c>
      <c r="J238" s="16" t="b">
        <f>IFERROR(__xludf.DUMMYFUNCTION("""COMPUTED_VALUE"""),TRUE)</f>
        <v>1</v>
      </c>
      <c r="K238" s="544"/>
      <c r="L238" s="8"/>
      <c r="M238" s="8"/>
      <c r="N238" s="8"/>
      <c r="O238" s="8"/>
      <c r="P238" s="8"/>
      <c r="Q238" s="8"/>
      <c r="R238" s="8"/>
      <c r="S238" s="8"/>
      <c r="T238" s="8"/>
      <c r="V238" s="54"/>
    </row>
    <row r="239">
      <c r="B239" s="14">
        <f>IFERROR(__xludf.DUMMYFUNCTION("""COMPUTED_VALUE"""),44904.0)</f>
        <v>44904</v>
      </c>
      <c r="C239" s="16">
        <f>IFERROR(__xludf.DUMMYFUNCTION("""COMPUTED_VALUE"""),1.0)</f>
        <v>1</v>
      </c>
      <c r="D239" s="16">
        <f>IFERROR(__xludf.DUMMYFUNCTION("""COMPUTED_VALUE"""),1.0)</f>
        <v>1</v>
      </c>
      <c r="E239" s="16">
        <f>IFERROR(__xludf.DUMMYFUNCTION("""COMPUTED_VALUE"""),0.0)</f>
        <v>0</v>
      </c>
      <c r="F239" s="16">
        <f>IFERROR(__xludf.DUMMYFUNCTION("""COMPUTED_VALUE"""),0.0)</f>
        <v>0</v>
      </c>
      <c r="G239" s="16">
        <f>IFERROR(__xludf.DUMMYFUNCTION("""COMPUTED_VALUE"""),0.0)</f>
        <v>0</v>
      </c>
      <c r="H239" s="16">
        <f>IFERROR(__xludf.DUMMYFUNCTION("""COMPUTED_VALUE"""),0.0)</f>
        <v>0</v>
      </c>
      <c r="I239" s="16">
        <f>IFERROR(__xludf.DUMMYFUNCTION("""COMPUTED_VALUE"""),0.0)</f>
        <v>0</v>
      </c>
      <c r="J239" s="16"/>
      <c r="K239" s="544"/>
      <c r="L239" s="8"/>
      <c r="M239" s="8"/>
      <c r="N239" s="8"/>
      <c r="O239" s="8"/>
      <c r="P239" s="8"/>
      <c r="Q239" s="8"/>
      <c r="R239" s="8"/>
      <c r="S239" s="8"/>
      <c r="T239" s="8"/>
      <c r="V239" s="54"/>
    </row>
    <row r="240">
      <c r="B240" s="14">
        <f>IFERROR(__xludf.DUMMYFUNCTION("""COMPUTED_VALUE"""),44907.0)</f>
        <v>44907</v>
      </c>
      <c r="C240" s="16">
        <f>IFERROR(__xludf.DUMMYFUNCTION("""COMPUTED_VALUE"""),1.0)</f>
        <v>1</v>
      </c>
      <c r="D240" s="16">
        <f>IFERROR(__xludf.DUMMYFUNCTION("""COMPUTED_VALUE"""),1.0)</f>
        <v>1</v>
      </c>
      <c r="E240" s="16">
        <f>IFERROR(__xludf.DUMMYFUNCTION("""COMPUTED_VALUE"""),0.0)</f>
        <v>0</v>
      </c>
      <c r="F240" s="16">
        <f>IFERROR(__xludf.DUMMYFUNCTION("""COMPUTED_VALUE"""),0.0)</f>
        <v>0</v>
      </c>
      <c r="G240" s="16">
        <f>IFERROR(__xludf.DUMMYFUNCTION("""COMPUTED_VALUE"""),0.0)</f>
        <v>0</v>
      </c>
      <c r="H240" s="16">
        <f>IFERROR(__xludf.DUMMYFUNCTION("""COMPUTED_VALUE"""),0.0)</f>
        <v>0</v>
      </c>
      <c r="I240" s="16">
        <f>IFERROR(__xludf.DUMMYFUNCTION("""COMPUTED_VALUE"""),0.0)</f>
        <v>0</v>
      </c>
      <c r="J240" s="16"/>
      <c r="K240" s="544"/>
      <c r="L240" s="8"/>
      <c r="M240" s="8"/>
      <c r="N240" s="8"/>
      <c r="O240" s="8"/>
      <c r="P240" s="8"/>
      <c r="Q240" s="8"/>
      <c r="R240" s="8"/>
      <c r="S240" s="8"/>
      <c r="T240" s="8"/>
      <c r="V240" s="54"/>
    </row>
    <row r="241">
      <c r="B241" s="14">
        <f>IFERROR(__xludf.DUMMYFUNCTION("""COMPUTED_VALUE"""),44910.0)</f>
        <v>44910</v>
      </c>
      <c r="C241" s="16">
        <f>IFERROR(__xludf.DUMMYFUNCTION("""COMPUTED_VALUE"""),10.0)</f>
        <v>10</v>
      </c>
      <c r="D241" s="16">
        <f>IFERROR(__xludf.DUMMYFUNCTION("""COMPUTED_VALUE"""),9.0)</f>
        <v>9</v>
      </c>
      <c r="E241" s="16">
        <f>IFERROR(__xludf.DUMMYFUNCTION("""COMPUTED_VALUE"""),1.0)</f>
        <v>1</v>
      </c>
      <c r="F241" s="16">
        <f>IFERROR(__xludf.DUMMYFUNCTION("""COMPUTED_VALUE"""),0.0)</f>
        <v>0</v>
      </c>
      <c r="G241" s="16">
        <f>IFERROR(__xludf.DUMMYFUNCTION("""COMPUTED_VALUE"""),0.0)</f>
        <v>0</v>
      </c>
      <c r="H241" s="16">
        <f>IFERROR(__xludf.DUMMYFUNCTION("""COMPUTED_VALUE"""),0.0)</f>
        <v>0</v>
      </c>
      <c r="I241" s="16">
        <f>IFERROR(__xludf.DUMMYFUNCTION("""COMPUTED_VALUE"""),0.0)</f>
        <v>0</v>
      </c>
      <c r="J241" s="16" t="b">
        <f>IFERROR(__xludf.DUMMYFUNCTION("""COMPUTED_VALUE"""),TRUE)</f>
        <v>1</v>
      </c>
      <c r="K241" s="544"/>
      <c r="L241" s="8"/>
      <c r="M241" s="8"/>
      <c r="N241" s="8"/>
      <c r="O241" s="8"/>
      <c r="P241" s="8"/>
      <c r="Q241" s="8"/>
      <c r="R241" s="8"/>
      <c r="S241" s="8"/>
      <c r="T241" s="8"/>
      <c r="V241" s="54"/>
    </row>
    <row r="242">
      <c r="B242" s="14">
        <f>IFERROR(__xludf.DUMMYFUNCTION("""COMPUTED_VALUE"""),44914.0)</f>
        <v>44914</v>
      </c>
      <c r="C242" s="16">
        <f>IFERROR(__xludf.DUMMYFUNCTION("""COMPUTED_VALUE"""),5.0)</f>
        <v>5</v>
      </c>
      <c r="D242" s="16">
        <f>IFERROR(__xludf.DUMMYFUNCTION("""COMPUTED_VALUE"""),5.0)</f>
        <v>5</v>
      </c>
      <c r="E242" s="16">
        <f>IFERROR(__xludf.DUMMYFUNCTION("""COMPUTED_VALUE"""),0.0)</f>
        <v>0</v>
      </c>
      <c r="F242" s="16">
        <f>IFERROR(__xludf.DUMMYFUNCTION("""COMPUTED_VALUE"""),0.0)</f>
        <v>0</v>
      </c>
      <c r="G242" s="16">
        <f>IFERROR(__xludf.DUMMYFUNCTION("""COMPUTED_VALUE"""),0.0)</f>
        <v>0</v>
      </c>
      <c r="H242" s="16">
        <f>IFERROR(__xludf.DUMMYFUNCTION("""COMPUTED_VALUE"""),0.0)</f>
        <v>0</v>
      </c>
      <c r="I242" s="16">
        <f>IFERROR(__xludf.DUMMYFUNCTION("""COMPUTED_VALUE"""),0.0)</f>
        <v>0</v>
      </c>
      <c r="J242" s="16" t="b">
        <f>IFERROR(__xludf.DUMMYFUNCTION("""COMPUTED_VALUE"""),TRUE)</f>
        <v>1</v>
      </c>
      <c r="K242" s="544"/>
      <c r="L242" s="8"/>
      <c r="M242" s="8"/>
      <c r="N242" s="8"/>
      <c r="O242" s="8"/>
      <c r="P242" s="8"/>
      <c r="Q242" s="8"/>
      <c r="R242" s="8"/>
      <c r="S242" s="8"/>
      <c r="T242" s="8"/>
      <c r="V242" s="54"/>
    </row>
    <row r="243">
      <c r="B243" s="14">
        <f>IFERROR(__xludf.DUMMYFUNCTION("""COMPUTED_VALUE"""),44915.0)</f>
        <v>44915</v>
      </c>
      <c r="C243" s="16">
        <f>IFERROR(__xludf.DUMMYFUNCTION("""COMPUTED_VALUE"""),1.0)</f>
        <v>1</v>
      </c>
      <c r="D243" s="16">
        <f>IFERROR(__xludf.DUMMYFUNCTION("""COMPUTED_VALUE"""),1.0)</f>
        <v>1</v>
      </c>
      <c r="E243" s="16">
        <f>IFERROR(__xludf.DUMMYFUNCTION("""COMPUTED_VALUE"""),0.0)</f>
        <v>0</v>
      </c>
      <c r="F243" s="16">
        <f>IFERROR(__xludf.DUMMYFUNCTION("""COMPUTED_VALUE"""),0.0)</f>
        <v>0</v>
      </c>
      <c r="G243" s="16">
        <f>IFERROR(__xludf.DUMMYFUNCTION("""COMPUTED_VALUE"""),0.0)</f>
        <v>0</v>
      </c>
      <c r="H243" s="16">
        <f>IFERROR(__xludf.DUMMYFUNCTION("""COMPUTED_VALUE"""),0.0)</f>
        <v>0</v>
      </c>
      <c r="I243" s="16">
        <f>IFERROR(__xludf.DUMMYFUNCTION("""COMPUTED_VALUE"""),0.0)</f>
        <v>0</v>
      </c>
      <c r="J243" s="16" t="b">
        <f>IFERROR(__xludf.DUMMYFUNCTION("""COMPUTED_VALUE"""),TRUE)</f>
        <v>1</v>
      </c>
      <c r="K243" s="544"/>
      <c r="L243" s="8"/>
      <c r="M243" s="8"/>
      <c r="N243" s="8"/>
      <c r="O243" s="8"/>
      <c r="P243" s="8"/>
      <c r="Q243" s="8"/>
      <c r="R243" s="8"/>
      <c r="S243" s="8"/>
      <c r="T243" s="8"/>
      <c r="V243" s="54"/>
    </row>
    <row r="244">
      <c r="B244" s="14">
        <f>IFERROR(__xludf.DUMMYFUNCTION("""COMPUTED_VALUE"""),44921.0)</f>
        <v>44921</v>
      </c>
      <c r="C244" s="16">
        <f>IFERROR(__xludf.DUMMYFUNCTION("""COMPUTED_VALUE"""),3.0)</f>
        <v>3</v>
      </c>
      <c r="D244" s="16">
        <f>IFERROR(__xludf.DUMMYFUNCTION("""COMPUTED_VALUE"""),3.0)</f>
        <v>3</v>
      </c>
      <c r="E244" s="16">
        <f>IFERROR(__xludf.DUMMYFUNCTION("""COMPUTED_VALUE"""),0.0)</f>
        <v>0</v>
      </c>
      <c r="F244" s="16">
        <f>IFERROR(__xludf.DUMMYFUNCTION("""COMPUTED_VALUE"""),0.0)</f>
        <v>0</v>
      </c>
      <c r="G244" s="16">
        <f>IFERROR(__xludf.DUMMYFUNCTION("""COMPUTED_VALUE"""),0.0)</f>
        <v>0</v>
      </c>
      <c r="H244" s="16">
        <f>IFERROR(__xludf.DUMMYFUNCTION("""COMPUTED_VALUE"""),0.0)</f>
        <v>0</v>
      </c>
      <c r="I244" s="16">
        <f>IFERROR(__xludf.DUMMYFUNCTION("""COMPUTED_VALUE"""),0.0)</f>
        <v>0</v>
      </c>
      <c r="J244" s="16" t="b">
        <f>IFERROR(__xludf.DUMMYFUNCTION("""COMPUTED_VALUE"""),TRUE)</f>
        <v>1</v>
      </c>
      <c r="K244" s="544"/>
      <c r="L244" s="8"/>
      <c r="M244" s="8"/>
      <c r="N244" s="8"/>
      <c r="O244" s="8"/>
      <c r="P244" s="8"/>
      <c r="Q244" s="8"/>
      <c r="R244" s="8"/>
      <c r="S244" s="8"/>
      <c r="T244" s="8"/>
      <c r="V244" s="54"/>
    </row>
    <row r="245">
      <c r="B245" s="14">
        <f>IFERROR(__xludf.DUMMYFUNCTION("""COMPUTED_VALUE"""),44928.0)</f>
        <v>44928</v>
      </c>
      <c r="C245" s="16">
        <f>IFERROR(__xludf.DUMMYFUNCTION("""COMPUTED_VALUE"""),3.0)</f>
        <v>3</v>
      </c>
      <c r="D245" s="16">
        <f>IFERROR(__xludf.DUMMYFUNCTION("""COMPUTED_VALUE"""),3.0)</f>
        <v>3</v>
      </c>
      <c r="E245" s="16">
        <f>IFERROR(__xludf.DUMMYFUNCTION("""COMPUTED_VALUE"""),0.0)</f>
        <v>0</v>
      </c>
      <c r="F245" s="16">
        <f>IFERROR(__xludf.DUMMYFUNCTION("""COMPUTED_VALUE"""),0.0)</f>
        <v>0</v>
      </c>
      <c r="G245" s="16">
        <f>IFERROR(__xludf.DUMMYFUNCTION("""COMPUTED_VALUE"""),0.0)</f>
        <v>0</v>
      </c>
      <c r="H245" s="16">
        <f>IFERROR(__xludf.DUMMYFUNCTION("""COMPUTED_VALUE"""),0.0)</f>
        <v>0</v>
      </c>
      <c r="I245" s="16">
        <f>IFERROR(__xludf.DUMMYFUNCTION("""COMPUTED_VALUE"""),0.0)</f>
        <v>0</v>
      </c>
      <c r="J245" s="16" t="b">
        <f>IFERROR(__xludf.DUMMYFUNCTION("""COMPUTED_VALUE"""),TRUE)</f>
        <v>1</v>
      </c>
      <c r="K245" s="544"/>
      <c r="L245" s="8"/>
      <c r="M245" s="8"/>
      <c r="N245" s="8"/>
      <c r="O245" s="8"/>
      <c r="P245" s="8"/>
      <c r="Q245" s="8"/>
      <c r="R245" s="8"/>
      <c r="S245" s="8"/>
      <c r="T245" s="8"/>
      <c r="V245" s="54"/>
    </row>
    <row r="246">
      <c r="B246" s="8"/>
      <c r="C246" s="16"/>
      <c r="D246" s="16"/>
      <c r="E246" s="16"/>
      <c r="F246" s="16"/>
      <c r="G246" s="16"/>
      <c r="H246" s="16"/>
      <c r="I246" s="16"/>
      <c r="J246" s="16"/>
      <c r="K246" s="544"/>
      <c r="L246" s="8"/>
      <c r="M246" s="8"/>
      <c r="N246" s="8"/>
      <c r="O246" s="8"/>
      <c r="P246" s="8"/>
      <c r="Q246" s="8"/>
      <c r="R246" s="8"/>
      <c r="S246" s="8"/>
      <c r="T246" s="8"/>
      <c r="V246" s="54"/>
    </row>
    <row r="247">
      <c r="B247" s="8"/>
      <c r="C247" s="16"/>
      <c r="D247" s="16"/>
      <c r="E247" s="16"/>
      <c r="F247" s="16"/>
      <c r="G247" s="16"/>
      <c r="H247" s="16"/>
      <c r="I247" s="16"/>
      <c r="J247" s="16"/>
      <c r="K247" s="544"/>
      <c r="L247" s="8"/>
      <c r="M247" s="8"/>
      <c r="N247" s="8"/>
      <c r="O247" s="8"/>
      <c r="P247" s="8"/>
      <c r="Q247" s="8"/>
      <c r="R247" s="8"/>
      <c r="S247" s="8"/>
      <c r="T247" s="8"/>
      <c r="V247" s="54"/>
    </row>
    <row r="248">
      <c r="B248" s="8"/>
      <c r="C248" s="16"/>
      <c r="D248" s="16"/>
      <c r="E248" s="16"/>
      <c r="F248" s="16"/>
      <c r="G248" s="16"/>
      <c r="H248" s="16"/>
      <c r="I248" s="16"/>
      <c r="J248" s="16"/>
      <c r="K248" s="544"/>
      <c r="L248" s="8"/>
      <c r="M248" s="8"/>
      <c r="N248" s="8"/>
      <c r="O248" s="8"/>
      <c r="P248" s="8"/>
      <c r="Q248" s="8"/>
      <c r="R248" s="8"/>
      <c r="S248" s="8"/>
      <c r="T248" s="8"/>
      <c r="V248" s="54"/>
    </row>
    <row r="249">
      <c r="B249" s="8"/>
      <c r="C249" s="16"/>
      <c r="D249" s="16"/>
      <c r="E249" s="16"/>
      <c r="F249" s="16"/>
      <c r="G249" s="16"/>
      <c r="H249" s="16"/>
      <c r="I249" s="16"/>
      <c r="J249" s="16"/>
      <c r="K249" s="544"/>
      <c r="L249" s="8"/>
      <c r="M249" s="8"/>
      <c r="N249" s="8"/>
      <c r="O249" s="8"/>
      <c r="P249" s="8"/>
      <c r="Q249" s="8"/>
      <c r="R249" s="8"/>
      <c r="S249" s="8"/>
      <c r="T249" s="8"/>
      <c r="V249" s="54"/>
    </row>
    <row r="250">
      <c r="B250" s="8"/>
      <c r="C250" s="16"/>
      <c r="D250" s="16"/>
      <c r="E250" s="16"/>
      <c r="F250" s="16"/>
      <c r="G250" s="16"/>
      <c r="H250" s="16"/>
      <c r="I250" s="16"/>
      <c r="J250" s="16"/>
      <c r="K250" s="544"/>
      <c r="L250" s="8"/>
      <c r="M250" s="8"/>
      <c r="N250" s="8"/>
      <c r="O250" s="8"/>
      <c r="P250" s="8"/>
      <c r="Q250" s="8"/>
      <c r="R250" s="8"/>
      <c r="S250" s="8"/>
      <c r="T250" s="8"/>
      <c r="V250" s="54"/>
    </row>
    <row r="251">
      <c r="B251" s="8"/>
      <c r="C251" s="16"/>
      <c r="D251" s="16"/>
      <c r="E251" s="16"/>
      <c r="F251" s="16"/>
      <c r="G251" s="16"/>
      <c r="H251" s="16"/>
      <c r="I251" s="16"/>
      <c r="J251" s="16"/>
      <c r="K251" s="544"/>
      <c r="L251" s="8"/>
      <c r="M251" s="8"/>
      <c r="N251" s="8"/>
      <c r="O251" s="8"/>
      <c r="P251" s="8"/>
      <c r="Q251" s="8"/>
      <c r="R251" s="8"/>
      <c r="S251" s="8"/>
      <c r="T251" s="8"/>
      <c r="V251" s="54"/>
    </row>
    <row r="252">
      <c r="B252" s="8"/>
      <c r="C252" s="16"/>
      <c r="D252" s="16"/>
      <c r="E252" s="16"/>
      <c r="F252" s="16"/>
      <c r="G252" s="16"/>
      <c r="H252" s="16"/>
      <c r="I252" s="16"/>
      <c r="J252" s="16"/>
      <c r="K252" s="544"/>
      <c r="L252" s="8"/>
      <c r="M252" s="8"/>
      <c r="N252" s="8"/>
      <c r="O252" s="8"/>
      <c r="P252" s="8"/>
      <c r="Q252" s="8"/>
      <c r="R252" s="8"/>
      <c r="S252" s="8"/>
      <c r="T252" s="8"/>
      <c r="V252" s="54"/>
    </row>
    <row r="253">
      <c r="B253" s="8"/>
      <c r="C253" s="16"/>
      <c r="D253" s="16"/>
      <c r="E253" s="16"/>
      <c r="F253" s="16"/>
      <c r="G253" s="16"/>
      <c r="H253" s="16"/>
      <c r="I253" s="16"/>
      <c r="J253" s="16"/>
      <c r="K253" s="544"/>
      <c r="L253" s="8"/>
      <c r="M253" s="8"/>
      <c r="N253" s="8"/>
      <c r="O253" s="8"/>
      <c r="P253" s="8"/>
      <c r="Q253" s="8"/>
      <c r="R253" s="8"/>
      <c r="S253" s="8"/>
      <c r="T253" s="8"/>
      <c r="V253" s="54"/>
    </row>
    <row r="254">
      <c r="B254" s="8"/>
      <c r="C254" s="16"/>
      <c r="D254" s="16"/>
      <c r="E254" s="16"/>
      <c r="F254" s="16"/>
      <c r="G254" s="16"/>
      <c r="H254" s="16"/>
      <c r="I254" s="16"/>
      <c r="J254" s="16"/>
      <c r="K254" s="544"/>
      <c r="L254" s="8"/>
      <c r="M254" s="8"/>
      <c r="N254" s="8"/>
      <c r="O254" s="8"/>
      <c r="P254" s="8"/>
      <c r="Q254" s="8"/>
      <c r="R254" s="8"/>
      <c r="S254" s="8"/>
      <c r="T254" s="8"/>
      <c r="V254" s="54"/>
    </row>
    <row r="255">
      <c r="B255" s="8"/>
      <c r="C255" s="16"/>
      <c r="D255" s="16"/>
      <c r="E255" s="16"/>
      <c r="F255" s="16"/>
      <c r="G255" s="16"/>
      <c r="H255" s="16"/>
      <c r="I255" s="16"/>
      <c r="J255" s="16"/>
      <c r="K255" s="544"/>
      <c r="L255" s="8"/>
      <c r="M255" s="8"/>
      <c r="N255" s="8"/>
      <c r="O255" s="8"/>
      <c r="P255" s="8"/>
      <c r="Q255" s="8"/>
      <c r="R255" s="8"/>
      <c r="S255" s="8"/>
      <c r="T255" s="8"/>
      <c r="V255" s="54"/>
    </row>
    <row r="256">
      <c r="B256" s="8"/>
      <c r="C256" s="16"/>
      <c r="D256" s="16"/>
      <c r="E256" s="16"/>
      <c r="F256" s="16"/>
      <c r="G256" s="16"/>
      <c r="H256" s="16"/>
      <c r="I256" s="16"/>
      <c r="J256" s="16"/>
      <c r="K256" s="544"/>
      <c r="L256" s="8"/>
      <c r="M256" s="8"/>
      <c r="N256" s="8"/>
      <c r="O256" s="8"/>
      <c r="P256" s="8"/>
      <c r="Q256" s="8"/>
      <c r="R256" s="8"/>
      <c r="S256" s="8"/>
      <c r="T256" s="8"/>
      <c r="V256" s="54"/>
    </row>
    <row r="257">
      <c r="B257" s="8"/>
      <c r="C257" s="16"/>
      <c r="D257" s="16"/>
      <c r="E257" s="16"/>
      <c r="F257" s="16"/>
      <c r="G257" s="16"/>
      <c r="H257" s="16"/>
      <c r="I257" s="16"/>
      <c r="J257" s="16"/>
      <c r="K257" s="544"/>
      <c r="L257" s="8"/>
      <c r="M257" s="8"/>
      <c r="N257" s="8"/>
      <c r="O257" s="8"/>
      <c r="P257" s="8"/>
      <c r="Q257" s="8"/>
      <c r="R257" s="8"/>
      <c r="S257" s="8"/>
      <c r="T257" s="8"/>
      <c r="V257" s="54"/>
    </row>
    <row r="258">
      <c r="B258" s="8"/>
      <c r="C258" s="16"/>
      <c r="D258" s="16"/>
      <c r="E258" s="16"/>
      <c r="F258" s="16"/>
      <c r="G258" s="16"/>
      <c r="H258" s="16"/>
      <c r="I258" s="16"/>
      <c r="J258" s="16"/>
      <c r="K258" s="544"/>
      <c r="L258" s="8"/>
      <c r="M258" s="8"/>
      <c r="N258" s="8"/>
      <c r="O258" s="8"/>
      <c r="P258" s="8"/>
      <c r="Q258" s="8"/>
      <c r="R258" s="8"/>
      <c r="S258" s="8"/>
      <c r="T258" s="8"/>
      <c r="V258" s="54"/>
    </row>
    <row r="259">
      <c r="B259" s="8"/>
      <c r="C259" s="16"/>
      <c r="D259" s="16"/>
      <c r="E259" s="16"/>
      <c r="F259" s="16"/>
      <c r="G259" s="16"/>
      <c r="H259" s="16"/>
      <c r="I259" s="16"/>
      <c r="J259" s="16"/>
      <c r="K259" s="544"/>
      <c r="L259" s="8"/>
      <c r="M259" s="8"/>
      <c r="N259" s="8"/>
      <c r="O259" s="8"/>
      <c r="P259" s="8"/>
      <c r="Q259" s="8"/>
      <c r="R259" s="8"/>
      <c r="S259" s="8"/>
      <c r="T259" s="8"/>
      <c r="V259" s="54"/>
    </row>
    <row r="260">
      <c r="B260" s="8"/>
      <c r="C260" s="16"/>
      <c r="D260" s="16"/>
      <c r="E260" s="16"/>
      <c r="F260" s="16"/>
      <c r="G260" s="16"/>
      <c r="H260" s="16"/>
      <c r="I260" s="16"/>
      <c r="J260" s="16"/>
      <c r="K260" s="544"/>
      <c r="L260" s="8"/>
      <c r="M260" s="8"/>
      <c r="N260" s="8"/>
      <c r="O260" s="8"/>
      <c r="P260" s="8"/>
      <c r="Q260" s="8"/>
      <c r="R260" s="8"/>
      <c r="S260" s="8"/>
      <c r="T260" s="8"/>
      <c r="V260" s="54"/>
    </row>
    <row r="261">
      <c r="B261" s="8"/>
      <c r="C261" s="16"/>
      <c r="D261" s="16"/>
      <c r="E261" s="16"/>
      <c r="F261" s="16"/>
      <c r="G261" s="16"/>
      <c r="H261" s="16"/>
      <c r="I261" s="16"/>
      <c r="J261" s="16"/>
      <c r="K261" s="544"/>
      <c r="L261" s="8"/>
      <c r="M261" s="8"/>
      <c r="N261" s="8"/>
      <c r="O261" s="8"/>
      <c r="P261" s="8"/>
      <c r="Q261" s="8"/>
      <c r="R261" s="8"/>
      <c r="S261" s="8"/>
      <c r="T261" s="8"/>
      <c r="V261" s="54"/>
    </row>
    <row r="262">
      <c r="B262" s="8"/>
      <c r="C262" s="16"/>
      <c r="D262" s="16"/>
      <c r="E262" s="16"/>
      <c r="F262" s="16"/>
      <c r="G262" s="16"/>
      <c r="H262" s="16"/>
      <c r="I262" s="16"/>
      <c r="J262" s="16"/>
      <c r="K262" s="544"/>
      <c r="L262" s="8"/>
      <c r="M262" s="8"/>
      <c r="N262" s="8"/>
      <c r="O262" s="8"/>
      <c r="P262" s="8"/>
      <c r="Q262" s="8"/>
      <c r="R262" s="8"/>
      <c r="S262" s="8"/>
      <c r="T262" s="8"/>
      <c r="V262" s="54"/>
    </row>
    <row r="263">
      <c r="B263" s="8"/>
      <c r="C263" s="16"/>
      <c r="D263" s="16"/>
      <c r="E263" s="16"/>
      <c r="F263" s="16"/>
      <c r="G263" s="16"/>
      <c r="H263" s="16"/>
      <c r="I263" s="16"/>
      <c r="J263" s="16"/>
      <c r="K263" s="544"/>
      <c r="L263" s="8"/>
      <c r="M263" s="8"/>
      <c r="N263" s="8"/>
      <c r="O263" s="8"/>
      <c r="P263" s="8"/>
      <c r="Q263" s="8"/>
      <c r="R263" s="8"/>
      <c r="S263" s="8"/>
      <c r="T263" s="8"/>
      <c r="V263" s="54"/>
    </row>
    <row r="264">
      <c r="B264" s="8"/>
      <c r="C264" s="16"/>
      <c r="D264" s="16"/>
      <c r="E264" s="16"/>
      <c r="F264" s="16"/>
      <c r="G264" s="16"/>
      <c r="H264" s="16"/>
      <c r="I264" s="16"/>
      <c r="J264" s="16"/>
      <c r="K264" s="544"/>
      <c r="L264" s="8"/>
      <c r="M264" s="8"/>
      <c r="N264" s="8"/>
      <c r="O264" s="8"/>
      <c r="P264" s="8"/>
      <c r="Q264" s="8"/>
      <c r="R264" s="8"/>
      <c r="S264" s="8"/>
      <c r="T264" s="8"/>
      <c r="V264" s="54"/>
    </row>
    <row r="265">
      <c r="B265" s="8"/>
      <c r="C265" s="16"/>
      <c r="D265" s="16"/>
      <c r="E265" s="16"/>
      <c r="F265" s="16"/>
      <c r="G265" s="16"/>
      <c r="H265" s="16"/>
      <c r="I265" s="16"/>
      <c r="J265" s="16"/>
      <c r="K265" s="544"/>
      <c r="L265" s="8"/>
      <c r="M265" s="8"/>
      <c r="N265" s="8"/>
      <c r="O265" s="8"/>
      <c r="P265" s="8"/>
      <c r="Q265" s="8"/>
      <c r="R265" s="8"/>
      <c r="S265" s="8"/>
      <c r="T265" s="8"/>
      <c r="V265" s="54"/>
    </row>
    <row r="266">
      <c r="B266" s="8"/>
      <c r="C266" s="16"/>
      <c r="D266" s="16"/>
      <c r="E266" s="16"/>
      <c r="F266" s="16"/>
      <c r="G266" s="16"/>
      <c r="H266" s="16"/>
      <c r="I266" s="16"/>
      <c r="J266" s="16"/>
      <c r="K266" s="544"/>
      <c r="L266" s="8"/>
      <c r="M266" s="8"/>
      <c r="N266" s="8"/>
      <c r="O266" s="8"/>
      <c r="P266" s="8"/>
      <c r="Q266" s="8"/>
      <c r="R266" s="8"/>
      <c r="S266" s="8"/>
      <c r="T266" s="8"/>
      <c r="V266" s="54"/>
    </row>
    <row r="267">
      <c r="B267" s="8"/>
      <c r="C267" s="16"/>
      <c r="D267" s="16"/>
      <c r="E267" s="16"/>
      <c r="F267" s="16"/>
      <c r="G267" s="16"/>
      <c r="H267" s="16"/>
      <c r="I267" s="16"/>
      <c r="J267" s="16"/>
      <c r="K267" s="544"/>
      <c r="L267" s="8"/>
      <c r="M267" s="8"/>
      <c r="N267" s="8"/>
      <c r="O267" s="8"/>
      <c r="P267" s="8"/>
      <c r="Q267" s="8"/>
      <c r="R267" s="8"/>
      <c r="S267" s="8"/>
      <c r="T267" s="8"/>
      <c r="V267" s="54"/>
    </row>
    <row r="268">
      <c r="B268" s="8"/>
      <c r="C268" s="16"/>
      <c r="D268" s="16"/>
      <c r="E268" s="16"/>
      <c r="F268" s="16"/>
      <c r="G268" s="16"/>
      <c r="H268" s="16"/>
      <c r="I268" s="16"/>
      <c r="J268" s="16"/>
      <c r="K268" s="544"/>
      <c r="L268" s="8"/>
      <c r="M268" s="8"/>
      <c r="N268" s="8"/>
      <c r="O268" s="8"/>
      <c r="P268" s="8"/>
      <c r="Q268" s="8"/>
      <c r="R268" s="8"/>
      <c r="S268" s="8"/>
      <c r="T268" s="8"/>
      <c r="V268" s="54"/>
    </row>
    <row r="269">
      <c r="B269" s="8"/>
      <c r="C269" s="16"/>
      <c r="D269" s="16"/>
      <c r="E269" s="16"/>
      <c r="F269" s="16"/>
      <c r="G269" s="16"/>
      <c r="H269" s="16"/>
      <c r="I269" s="16"/>
      <c r="J269" s="16"/>
      <c r="K269" s="544"/>
      <c r="L269" s="8"/>
      <c r="M269" s="8"/>
      <c r="N269" s="8"/>
      <c r="O269" s="8"/>
      <c r="P269" s="8"/>
      <c r="Q269" s="8"/>
      <c r="R269" s="8"/>
      <c r="S269" s="8"/>
      <c r="T269" s="8"/>
      <c r="V269" s="54"/>
    </row>
  </sheetData>
  <conditionalFormatting sqref="I1:I269">
    <cfRule type="cellIs" dxfId="14" priority="1" operator="greaterThan">
      <formula>0</formula>
    </cfRule>
  </conditionalFormatting>
  <conditionalFormatting sqref="H1:H269">
    <cfRule type="cellIs" dxfId="15" priority="2" operator="greaterThan">
      <formula>0</formula>
    </cfRule>
  </conditionalFormatting>
  <conditionalFormatting sqref="G1:G269">
    <cfRule type="cellIs" dxfId="16" priority="3" operator="greaterThan">
      <formula>0</formula>
    </cfRule>
  </conditionalFormatting>
  <conditionalFormatting sqref="F1:F269">
    <cfRule type="cellIs" dxfId="8" priority="4" operator="greaterThan">
      <formula>0</formula>
    </cfRule>
  </conditionalFormatting>
  <conditionalFormatting sqref="E1:E269">
    <cfRule type="cellIs" dxfId="10" priority="5" operator="greaterThan">
      <formula>0</formula>
    </cfRule>
  </conditionalFormatting>
  <conditionalFormatting sqref="B2:C269 J2:J269">
    <cfRule type="expression" dxfId="17" priority="6">
      <formula>$J2</formula>
    </cfRule>
  </conditionalFormatting>
  <hyperlinks>
    <hyperlink r:id="rId2" ref="A2"/>
  </hyperlinks>
  <drawing r:id="rId3"/>
  <legacyDrawing r:id="rId4"/>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13"/>
    <col customWidth="1" min="9" max="9" width="9.75"/>
    <col customWidth="1" min="10" max="10" width="12.63"/>
    <col customWidth="1" min="14" max="14" width="28.63"/>
    <col customWidth="1" min="16" max="16" width="13.63"/>
    <col customWidth="1" min="17" max="17" width="26.75"/>
  </cols>
  <sheetData>
    <row r="1">
      <c r="A1" s="5" t="s">
        <v>1512</v>
      </c>
      <c r="B1" s="5" t="s">
        <v>277</v>
      </c>
      <c r="C1" s="26" t="s">
        <v>282</v>
      </c>
      <c r="D1" s="26" t="s">
        <v>1513</v>
      </c>
      <c r="E1" s="26" t="s">
        <v>1514</v>
      </c>
      <c r="F1" s="26" t="s">
        <v>1515</v>
      </c>
      <c r="G1" s="26" t="s">
        <v>1516</v>
      </c>
      <c r="H1" s="26" t="s">
        <v>1517</v>
      </c>
      <c r="I1" s="26" t="s">
        <v>1518</v>
      </c>
      <c r="J1" s="26" t="s">
        <v>1519</v>
      </c>
      <c r="K1" s="85" t="s">
        <v>1520</v>
      </c>
      <c r="L1" s="34" t="s">
        <v>1521</v>
      </c>
      <c r="M1" s="40" t="s">
        <v>1522</v>
      </c>
      <c r="N1" s="40" t="s">
        <v>1523</v>
      </c>
      <c r="O1" s="40" t="s">
        <v>14</v>
      </c>
      <c r="P1" s="5" t="s">
        <v>1524</v>
      </c>
      <c r="Q1" s="83" t="s">
        <v>1525</v>
      </c>
      <c r="T1" s="545">
        <f t="shared" ref="T1:U1" si="1">SUM(T2:T49)</f>
        <v>2</v>
      </c>
      <c r="U1" s="545">
        <f t="shared" si="1"/>
        <v>1</v>
      </c>
    </row>
    <row r="2">
      <c r="A2" s="8" t="s">
        <v>162</v>
      </c>
      <c r="B2" s="14">
        <v>44578.0</v>
      </c>
      <c r="C2" s="178">
        <v>5.0</v>
      </c>
      <c r="D2" s="138"/>
      <c r="E2" s="96">
        <f>IFERROR(VLOOKUP(A2,'Runs Compare'!$Y$2:AD500,5,FALSE),IFERROR(0/0,""))</f>
        <v>5</v>
      </c>
      <c r="F2" s="96">
        <f>IFERROR(VLOOKUP(A2,'Runs Compare'!$Y$2:AD500,6,FALSE),IFERROR(0/0,""))</f>
        <v>0</v>
      </c>
      <c r="G2" s="69">
        <f>IFERROR(VLOOKUP($A2,'Runs Compare'!$AG3:$AM500,5,FALSE),IFERROR(0/0,""))</f>
        <v>5</v>
      </c>
      <c r="H2" s="69">
        <f>IFERROR(VLOOKUP($A2,'Runs Compare'!$AG3:$AM500,6,FALSE),IFERROR(0/0,""))</f>
        <v>0</v>
      </c>
      <c r="I2" s="69">
        <f t="shared" ref="I2:J2" si="2">IF(ISBLANK(G2),E2,E2-G2)</f>
        <v>0</v>
      </c>
      <c r="J2" s="69">
        <f t="shared" si="2"/>
        <v>0</v>
      </c>
      <c r="K2" s="69" t="b">
        <f t="shared" ref="K2:K20" si="5">IF(ISBLANK(J2),FALSE, AND(I2=0,J2=0))</f>
        <v>1</v>
      </c>
      <c r="L2" s="18" t="str">
        <f>'Process Ref'!A1</f>
        <v>FLMP</v>
      </c>
      <c r="M2" s="546" t="str">
        <f t="array" ref="M2:M49">"ARF"&amp;$L$2&amp;TEXT(SEQUENCE(SUM(C2:C500),1),"000") 
</f>
        <v>ARFFLMP001</v>
      </c>
      <c r="N2" s="546" t="str">
        <f t="array" ref="N2:N49">VLOOKUP(SEQUENCE(SUM($C2:$C500),1), {MMULT(N(ROW(A2:A500)&gt;TRANSPOSE(ROW(A2:A500))),N($C2:$C500))+1, A2:A500}, 2, TRUE)
</f>
        <v>RUN-FLMP_2022-01-17_RFR-063</v>
      </c>
      <c r="O2" s="547">
        <f t="array" ref="O2:O49">VLOOKUP(SEQUENCE(SUM($C2:$C500),1), {MMULT(N(ROW(B2:B500)&gt;TRANSPOSE(ROW(B2:B500))),N($C2:$C500))+1, B2:B500}, 2, TRUE)
</f>
        <v>44578</v>
      </c>
      <c r="P2" s="452" t="s">
        <v>16</v>
      </c>
      <c r="Q2" s="140" t="s">
        <v>1526</v>
      </c>
      <c r="R2" s="8">
        <v>5.0</v>
      </c>
      <c r="S2" s="8">
        <v>0.0</v>
      </c>
      <c r="T2" s="8">
        <f t="shared" ref="T2:U2" si="3">E2-R2</f>
        <v>0</v>
      </c>
      <c r="U2" s="8">
        <f t="shared" si="3"/>
        <v>0</v>
      </c>
    </row>
    <row r="3">
      <c r="A3" s="8" t="s">
        <v>153</v>
      </c>
      <c r="B3" s="14">
        <v>44571.0</v>
      </c>
      <c r="C3" s="16">
        <v>4.0</v>
      </c>
      <c r="D3" s="138"/>
      <c r="E3" s="96">
        <f>IFERROR(VLOOKUP(A3,'Runs Compare'!$Y$2:AD500,5,FALSE),IFERROR(0/0,""))</f>
        <v>13</v>
      </c>
      <c r="F3" s="96">
        <f>IFERROR(VLOOKUP(A3,'Runs Compare'!$Y$2:AD500,6,FALSE),IFERROR(0/0,""))</f>
        <v>1</v>
      </c>
      <c r="G3" s="69">
        <f>IFERROR(VLOOKUP($A3,'Runs Compare'!$AG4:$AM500,5,FALSE),IFERROR(0/0,""))</f>
        <v>13</v>
      </c>
      <c r="H3" s="69">
        <f>IFERROR(VLOOKUP($A3,'Runs Compare'!$AG4:$AM500,6,FALSE),IFERROR(0/0,""))</f>
        <v>1</v>
      </c>
      <c r="I3" s="69">
        <f t="shared" ref="I3:J3" si="4">IF(ISBLANK(G3),E3,E3-G3)</f>
        <v>0</v>
      </c>
      <c r="J3" s="69">
        <f t="shared" si="4"/>
        <v>0</v>
      </c>
      <c r="K3" s="69" t="b">
        <f t="shared" si="5"/>
        <v>1</v>
      </c>
      <c r="M3" s="546" t="s">
        <v>1527</v>
      </c>
      <c r="N3" s="546" t="s">
        <v>162</v>
      </c>
      <c r="O3" s="547">
        <v>44578.0</v>
      </c>
      <c r="P3" s="452" t="s">
        <v>16</v>
      </c>
      <c r="Q3" s="140" t="s">
        <v>1526</v>
      </c>
      <c r="R3" s="8">
        <v>13.0</v>
      </c>
      <c r="S3" s="8">
        <v>1.0</v>
      </c>
      <c r="T3" s="8">
        <f t="shared" ref="T3:U3" si="6">E3-R3</f>
        <v>0</v>
      </c>
      <c r="U3" s="8">
        <f t="shared" si="6"/>
        <v>0</v>
      </c>
    </row>
    <row r="4">
      <c r="A4" s="8" t="s">
        <v>188</v>
      </c>
      <c r="B4" s="14">
        <v>44634.0</v>
      </c>
      <c r="C4" s="21">
        <v>4.0</v>
      </c>
      <c r="D4" s="138"/>
      <c r="E4" s="96">
        <f>IFERROR(VLOOKUP(A4,'Runs Compare'!$Y$2:AD500,5,FALSE),IFERROR(0/0,""))</f>
        <v>0</v>
      </c>
      <c r="F4" s="96">
        <f>IFERROR(VLOOKUP(A4,'Runs Compare'!$Y$2:AD500,6,FALSE),IFERROR(0/0,""))</f>
        <v>0</v>
      </c>
      <c r="G4" s="69">
        <f>IFERROR(VLOOKUP($A4,'Runs Compare'!$AG5:$AM500,5,FALSE),IFERROR(0/0,""))</f>
        <v>0</v>
      </c>
      <c r="H4" s="69">
        <f>IFERROR(VLOOKUP($A4,'Runs Compare'!$AG5:$AM500,6,FALSE),IFERROR(0/0,""))</f>
        <v>0</v>
      </c>
      <c r="I4" s="69">
        <f t="shared" ref="I4:J4" si="7">IF(ISBLANK(G4),E4,E4-G4)</f>
        <v>0</v>
      </c>
      <c r="J4" s="69">
        <f t="shared" si="7"/>
        <v>0</v>
      </c>
      <c r="K4" s="69" t="b">
        <f t="shared" si="5"/>
        <v>1</v>
      </c>
      <c r="M4" s="546" t="s">
        <v>1528</v>
      </c>
      <c r="N4" s="546" t="s">
        <v>162</v>
      </c>
      <c r="O4" s="547">
        <v>44578.0</v>
      </c>
      <c r="P4" s="452" t="s">
        <v>16</v>
      </c>
      <c r="Q4" s="140" t="s">
        <v>1526</v>
      </c>
      <c r="R4" s="8">
        <v>0.0</v>
      </c>
      <c r="S4" s="8">
        <v>0.0</v>
      </c>
      <c r="T4" s="8">
        <f t="shared" ref="T4:U4" si="8">E4-R4</f>
        <v>0</v>
      </c>
      <c r="U4" s="8">
        <f t="shared" si="8"/>
        <v>0</v>
      </c>
    </row>
    <row r="5">
      <c r="A5" s="138" t="s">
        <v>114</v>
      </c>
      <c r="B5" s="25">
        <v>44540.0</v>
      </c>
      <c r="C5" s="16">
        <v>3.0</v>
      </c>
      <c r="D5" s="138"/>
      <c r="E5" s="96">
        <f>IFERROR(VLOOKUP(A5,'Runs Compare'!$Y$2:AD500,5,FALSE),IFERROR(0/0,""))</f>
        <v>0</v>
      </c>
      <c r="F5" s="96">
        <f>IFERROR(VLOOKUP(A5,'Runs Compare'!$Y$2:AD500,6,FALSE),IFERROR(0/0,""))</f>
        <v>0</v>
      </c>
      <c r="G5" s="69">
        <f>IFERROR(VLOOKUP($A5,'Runs Compare'!$AG6:$AM500,5,FALSE),IFERROR(0/0,""))</f>
        <v>0</v>
      </c>
      <c r="H5" s="69">
        <f>IFERROR(VLOOKUP($A5,'Runs Compare'!$AG6:$AM500,6,FALSE),IFERROR(0/0,""))</f>
        <v>0</v>
      </c>
      <c r="I5" s="69">
        <f t="shared" ref="I5:J5" si="9">IF(ISBLANK(G5),E5,E5-G5)</f>
        <v>0</v>
      </c>
      <c r="J5" s="69">
        <f t="shared" si="9"/>
        <v>0</v>
      </c>
      <c r="K5" s="69" t="b">
        <f t="shared" si="5"/>
        <v>1</v>
      </c>
      <c r="M5" s="546" t="s">
        <v>1529</v>
      </c>
      <c r="N5" s="546" t="s">
        <v>162</v>
      </c>
      <c r="O5" s="547">
        <v>44578.0</v>
      </c>
      <c r="P5" s="452" t="s">
        <v>16</v>
      </c>
      <c r="Q5" s="140" t="s">
        <v>1526</v>
      </c>
      <c r="R5" s="8">
        <v>0.0</v>
      </c>
      <c r="S5" s="8">
        <v>0.0</v>
      </c>
      <c r="T5" s="8">
        <f t="shared" ref="T5:U5" si="10">E5-R5</f>
        <v>0</v>
      </c>
      <c r="U5" s="8">
        <f t="shared" si="10"/>
        <v>0</v>
      </c>
    </row>
    <row r="6">
      <c r="A6" s="8" t="s">
        <v>185</v>
      </c>
      <c r="B6" s="14">
        <v>44627.0</v>
      </c>
      <c r="C6" s="21">
        <v>3.0</v>
      </c>
      <c r="D6" s="138"/>
      <c r="E6" s="96">
        <f>IFERROR(VLOOKUP(A6,'Runs Compare'!$Y$2:AD500,5,FALSE),IFERROR(0/0,""))</f>
        <v>0</v>
      </c>
      <c r="F6" s="96">
        <f>IFERROR(VLOOKUP(A6,'Runs Compare'!$Y$2:AD500,6,FALSE),IFERROR(0/0,""))</f>
        <v>0</v>
      </c>
      <c r="G6" s="69">
        <f>IFERROR(VLOOKUP($A6,'Runs Compare'!$AG7:$AM500,5,FALSE),IFERROR(0/0,""))</f>
        <v>0</v>
      </c>
      <c r="H6" s="69">
        <f>IFERROR(VLOOKUP($A6,'Runs Compare'!$AG7:$AM500,6,FALSE),IFERROR(0/0,""))</f>
        <v>0</v>
      </c>
      <c r="I6" s="69">
        <f t="shared" ref="I6:J6" si="11">IF(ISBLANK(G6),E6,E6-G6)</f>
        <v>0</v>
      </c>
      <c r="J6" s="69">
        <f t="shared" si="11"/>
        <v>0</v>
      </c>
      <c r="K6" s="69" t="b">
        <f t="shared" si="5"/>
        <v>1</v>
      </c>
      <c r="M6" s="546" t="s">
        <v>1530</v>
      </c>
      <c r="N6" s="546" t="s">
        <v>162</v>
      </c>
      <c r="O6" s="547">
        <v>44578.0</v>
      </c>
      <c r="P6" s="452" t="s">
        <v>16</v>
      </c>
      <c r="Q6" s="140" t="s">
        <v>1526</v>
      </c>
      <c r="R6" s="8">
        <v>0.0</v>
      </c>
      <c r="S6" s="8">
        <v>0.0</v>
      </c>
      <c r="T6" s="8">
        <f t="shared" ref="T6:U6" si="12">E6-R6</f>
        <v>0</v>
      </c>
      <c r="U6" s="8">
        <f t="shared" si="12"/>
        <v>0</v>
      </c>
    </row>
    <row r="7">
      <c r="A7" s="8" t="s">
        <v>187</v>
      </c>
      <c r="B7" s="14">
        <v>44632.0</v>
      </c>
      <c r="C7" s="21">
        <v>3.0</v>
      </c>
      <c r="D7" s="138"/>
      <c r="E7" s="96">
        <f>IFERROR(VLOOKUP(A7,'Runs Compare'!$Y$2:AD500,5,FALSE),IFERROR(0/0,""))</f>
        <v>0</v>
      </c>
      <c r="F7" s="96">
        <f>IFERROR(VLOOKUP(A7,'Runs Compare'!$Y$2:AD500,6,FALSE),IFERROR(0/0,""))</f>
        <v>0</v>
      </c>
      <c r="G7" s="69">
        <f>IFERROR(VLOOKUP($A7,'Runs Compare'!$AG8:$AM500,5,FALSE),IFERROR(0/0,""))</f>
        <v>0</v>
      </c>
      <c r="H7" s="69">
        <f>IFERROR(VLOOKUP($A7,'Runs Compare'!$AG8:$AM500,6,FALSE),IFERROR(0/0,""))</f>
        <v>0</v>
      </c>
      <c r="I7" s="69">
        <f t="shared" ref="I7:J7" si="13">IF(ISBLANK(G7),E7,E7-G7)</f>
        <v>0</v>
      </c>
      <c r="J7" s="69">
        <f t="shared" si="13"/>
        <v>0</v>
      </c>
      <c r="K7" s="69" t="b">
        <f t="shared" si="5"/>
        <v>1</v>
      </c>
      <c r="M7" s="546" t="s">
        <v>1531</v>
      </c>
      <c r="N7" s="546" t="s">
        <v>153</v>
      </c>
      <c r="O7" s="547">
        <v>44571.0</v>
      </c>
      <c r="P7" s="452" t="s">
        <v>16</v>
      </c>
      <c r="Q7" s="18" t="s">
        <v>1532</v>
      </c>
      <c r="R7" s="8">
        <v>0.0</v>
      </c>
      <c r="S7" s="8">
        <v>0.0</v>
      </c>
      <c r="T7" s="8">
        <f t="shared" ref="T7:U7" si="14">E7-R7</f>
        <v>0</v>
      </c>
      <c r="U7" s="8">
        <f t="shared" si="14"/>
        <v>0</v>
      </c>
    </row>
    <row r="8">
      <c r="A8" s="8" t="s">
        <v>216</v>
      </c>
      <c r="B8" s="14">
        <v>44695.0</v>
      </c>
      <c r="C8" s="21">
        <v>3.0</v>
      </c>
      <c r="D8" s="138"/>
      <c r="E8" s="96">
        <f>IFERROR(VLOOKUP(A8,'Runs Compare'!$Y$2:AD500,5,FALSE),IFERROR(0/0,""))</f>
        <v>0</v>
      </c>
      <c r="F8" s="96">
        <f>IFERROR(VLOOKUP(A8,'Runs Compare'!$Y$2:AD500,6,FALSE),IFERROR(0/0,""))</f>
        <v>0</v>
      </c>
      <c r="G8" s="69" t="str">
        <f>IFERROR(VLOOKUP($A8,'Runs Compare'!$AG9:$AM500,5,FALSE),IFERROR(0/0,""))</f>
        <v/>
      </c>
      <c r="H8" s="69" t="str">
        <f>IFERROR(VLOOKUP($A8,'Runs Compare'!$AG9:$AM500,6,FALSE),IFERROR(0/0,""))</f>
        <v/>
      </c>
      <c r="I8" s="69">
        <f t="shared" ref="I8:J8" si="15">IF(ISBLANK(G8),E8,E8-G8)</f>
        <v>0</v>
      </c>
      <c r="J8" s="69">
        <f t="shared" si="15"/>
        <v>0</v>
      </c>
      <c r="K8" s="69" t="b">
        <f t="shared" si="5"/>
        <v>1</v>
      </c>
      <c r="M8" s="546" t="s">
        <v>1533</v>
      </c>
      <c r="N8" s="546" t="s">
        <v>153</v>
      </c>
      <c r="O8" s="547">
        <v>44571.0</v>
      </c>
      <c r="P8" s="452" t="s">
        <v>16</v>
      </c>
      <c r="Q8" s="18" t="s">
        <v>1532</v>
      </c>
      <c r="R8" s="8">
        <v>0.0</v>
      </c>
      <c r="S8" s="8">
        <v>0.0</v>
      </c>
      <c r="T8" s="8">
        <f t="shared" ref="T8:U8" si="16">E8-R8</f>
        <v>0</v>
      </c>
      <c r="U8" s="8">
        <f t="shared" si="16"/>
        <v>0</v>
      </c>
    </row>
    <row r="9">
      <c r="A9" s="8" t="s">
        <v>217</v>
      </c>
      <c r="B9" s="14">
        <v>44697.0</v>
      </c>
      <c r="C9" s="21">
        <v>3.0</v>
      </c>
      <c r="E9" s="96">
        <f>IFERROR(VLOOKUP(A9,'Runs Compare'!$Y$2:AD500,5,FALSE),IFERROR(0/0,""))</f>
        <v>0</v>
      </c>
      <c r="F9" s="96">
        <f>IFERROR(VLOOKUP(A9,'Runs Compare'!$Y$2:AD500,6,FALSE),IFERROR(0/0,""))</f>
        <v>0</v>
      </c>
      <c r="G9" s="69">
        <f>IFERROR(VLOOKUP($A9,'Runs Compare'!$AG10:$AM500,5,FALSE),IFERROR(0/0,""))</f>
        <v>0</v>
      </c>
      <c r="H9" s="69">
        <f>IFERROR(VLOOKUP($A9,'Runs Compare'!$AG10:$AM500,6,FALSE),IFERROR(0/0,""))</f>
        <v>0</v>
      </c>
      <c r="I9" s="69">
        <f t="shared" ref="I9:J9" si="17">IF(ISBLANK(G9),E9,E9-G9)</f>
        <v>0</v>
      </c>
      <c r="J9" s="69">
        <f t="shared" si="17"/>
        <v>0</v>
      </c>
      <c r="K9" s="69" t="b">
        <f t="shared" si="5"/>
        <v>1</v>
      </c>
      <c r="M9" s="546" t="s">
        <v>1534</v>
      </c>
      <c r="N9" s="546" t="s">
        <v>153</v>
      </c>
      <c r="O9" s="547">
        <v>44571.0</v>
      </c>
      <c r="P9" s="452" t="s">
        <v>16</v>
      </c>
      <c r="Q9" s="18" t="s">
        <v>1532</v>
      </c>
      <c r="R9" s="8">
        <v>0.0</v>
      </c>
      <c r="S9" s="8">
        <v>0.0</v>
      </c>
      <c r="T9" s="8">
        <f t="shared" ref="T9:U9" si="18">E9-R9</f>
        <v>0</v>
      </c>
      <c r="U9" s="8">
        <f t="shared" si="18"/>
        <v>0</v>
      </c>
    </row>
    <row r="10">
      <c r="A10" s="8" t="s">
        <v>223</v>
      </c>
      <c r="B10" s="14">
        <v>44704.0</v>
      </c>
      <c r="C10" s="21">
        <v>3.0</v>
      </c>
      <c r="E10" s="96">
        <f>IFERROR(VLOOKUP(A10,'Runs Compare'!$Y$2:AD500,5,FALSE),IFERROR(0/0,""))</f>
        <v>1</v>
      </c>
      <c r="F10" s="96">
        <f>IFERROR(VLOOKUP(A10,'Runs Compare'!$Y$2:AD500,6,FALSE),IFERROR(0/0,""))</f>
        <v>0</v>
      </c>
      <c r="G10" s="69">
        <f>IFERROR(VLOOKUP($A10,'Runs Compare'!$AG11:$AM500,5,FALSE),IFERROR(0/0,""))</f>
        <v>1</v>
      </c>
      <c r="H10" s="69">
        <f>IFERROR(VLOOKUP($A10,'Runs Compare'!$AG11:$AM500,6,FALSE),IFERROR(0/0,""))</f>
        <v>0</v>
      </c>
      <c r="I10" s="69">
        <f t="shared" ref="I10:J10" si="19">IF(ISBLANK(G10),E10,E10-G10)</f>
        <v>0</v>
      </c>
      <c r="J10" s="69">
        <f t="shared" si="19"/>
        <v>0</v>
      </c>
      <c r="K10" s="69" t="b">
        <f t="shared" si="5"/>
        <v>1</v>
      </c>
      <c r="M10" s="546" t="s">
        <v>1535</v>
      </c>
      <c r="N10" s="546" t="s">
        <v>153</v>
      </c>
      <c r="O10" s="547">
        <v>44571.0</v>
      </c>
      <c r="P10" s="452" t="s">
        <v>16</v>
      </c>
      <c r="Q10" s="18" t="s">
        <v>1532</v>
      </c>
      <c r="R10" s="8">
        <v>1.0</v>
      </c>
      <c r="S10" s="8">
        <v>0.0</v>
      </c>
      <c r="T10" s="8">
        <f t="shared" ref="T10:U10" si="20">E10-R10</f>
        <v>0</v>
      </c>
      <c r="U10" s="8">
        <f t="shared" si="20"/>
        <v>0</v>
      </c>
    </row>
    <row r="11">
      <c r="A11" s="8" t="s">
        <v>189</v>
      </c>
      <c r="B11" s="14">
        <v>44637.0</v>
      </c>
      <c r="C11" s="21">
        <v>2.0</v>
      </c>
      <c r="E11" s="96">
        <f>IFERROR(VLOOKUP(A11,'Runs Compare'!$Y$2:AD500,5,FALSE),IFERROR(0/0,""))</f>
        <v>0</v>
      </c>
      <c r="F11" s="96">
        <f>IFERROR(VLOOKUP(A11,'Runs Compare'!$Y$2:AD500,6,FALSE),IFERROR(0/0,""))</f>
        <v>0</v>
      </c>
      <c r="G11" s="69">
        <f>IFERROR(VLOOKUP($A11,'Runs Compare'!$AG12:$AM500,5,FALSE),IFERROR(0/0,""))</f>
        <v>0</v>
      </c>
      <c r="H11" s="69">
        <f>IFERROR(VLOOKUP($A11,'Runs Compare'!$AG12:$AM500,6,FALSE),IFERROR(0/0,""))</f>
        <v>0</v>
      </c>
      <c r="I11" s="69">
        <f t="shared" ref="I11:J11" si="21">IF(ISBLANK(G11),E11,E11-G11)</f>
        <v>0</v>
      </c>
      <c r="J11" s="69">
        <f t="shared" si="21"/>
        <v>0</v>
      </c>
      <c r="K11" s="69" t="b">
        <f t="shared" si="5"/>
        <v>1</v>
      </c>
      <c r="M11" s="546" t="s">
        <v>1536</v>
      </c>
      <c r="N11" s="546" t="s">
        <v>188</v>
      </c>
      <c r="O11" s="547">
        <v>44634.0</v>
      </c>
      <c r="P11" s="473" t="str">
        <f t="shared" ref="P11:P29" si="24">IF(VLOOKUP(N11,$A$2:$K500,11,FALSE),"Negative",IFERROR(0/0,""))</f>
        <v>Negative</v>
      </c>
      <c r="R11" s="8">
        <v>0.0</v>
      </c>
      <c r="S11" s="8">
        <v>0.0</v>
      </c>
      <c r="T11" s="8">
        <f t="shared" ref="T11:U11" si="22">E11-R11</f>
        <v>0</v>
      </c>
      <c r="U11" s="8">
        <f t="shared" si="22"/>
        <v>0</v>
      </c>
    </row>
    <row r="12">
      <c r="A12" s="8" t="s">
        <v>201</v>
      </c>
      <c r="B12" s="14">
        <v>44669.0</v>
      </c>
      <c r="C12" s="21">
        <v>2.0</v>
      </c>
      <c r="E12" s="96">
        <f>IFERROR(VLOOKUP(A12,'Runs Compare'!$Y$2:AD500,5,FALSE),IFERROR(0/0,""))</f>
        <v>0</v>
      </c>
      <c r="F12" s="96">
        <f>IFERROR(VLOOKUP(A12,'Runs Compare'!$Y$2:AD500,6,FALSE),IFERROR(0/0,""))</f>
        <v>0</v>
      </c>
      <c r="G12" s="69">
        <f>IFERROR(VLOOKUP($A12,'Runs Compare'!$AG13:$AM500,5,FALSE),IFERROR(0/0,""))</f>
        <v>0</v>
      </c>
      <c r="H12" s="69">
        <f>IFERROR(VLOOKUP($A12,'Runs Compare'!$AG13:$AM500,6,FALSE),IFERROR(0/0,""))</f>
        <v>0</v>
      </c>
      <c r="I12" s="69">
        <f t="shared" ref="I12:J12" si="23">IF(ISBLANK(G12),E12,E12-G12)</f>
        <v>0</v>
      </c>
      <c r="J12" s="69">
        <f t="shared" si="23"/>
        <v>0</v>
      </c>
      <c r="K12" s="69" t="b">
        <f t="shared" si="5"/>
        <v>1</v>
      </c>
      <c r="M12" s="546" t="s">
        <v>1537</v>
      </c>
      <c r="N12" s="546" t="s">
        <v>188</v>
      </c>
      <c r="O12" s="547">
        <v>44634.0</v>
      </c>
      <c r="P12" s="473" t="str">
        <f t="shared" si="24"/>
        <v>Negative</v>
      </c>
      <c r="R12" s="8">
        <v>0.0</v>
      </c>
      <c r="S12" s="8">
        <v>0.0</v>
      </c>
      <c r="T12" s="8">
        <f t="shared" ref="T12:U12" si="25">E12-R12</f>
        <v>0</v>
      </c>
      <c r="U12" s="8">
        <f t="shared" si="25"/>
        <v>0</v>
      </c>
    </row>
    <row r="13">
      <c r="A13" s="8" t="s">
        <v>215</v>
      </c>
      <c r="B13" s="14">
        <v>44693.0</v>
      </c>
      <c r="C13" s="21">
        <v>2.0</v>
      </c>
      <c r="E13" s="96">
        <f>IFERROR(VLOOKUP(A13,'Runs Compare'!$Y$2:AD500,5,FALSE),IFERROR(0/0,""))</f>
        <v>0</v>
      </c>
      <c r="F13" s="96">
        <f>IFERROR(VLOOKUP(A13,'Runs Compare'!$Y$2:AD500,6,FALSE),IFERROR(0/0,""))</f>
        <v>0</v>
      </c>
      <c r="G13" s="69">
        <f>IFERROR(VLOOKUP($A13,'Runs Compare'!$AG14:$AM500,5,FALSE),IFERROR(0/0,""))</f>
        <v>0</v>
      </c>
      <c r="H13" s="69">
        <f>IFERROR(VLOOKUP($A13,'Runs Compare'!$AG14:$AM500,6,FALSE),IFERROR(0/0,""))</f>
        <v>0</v>
      </c>
      <c r="I13" s="69">
        <f t="shared" ref="I13:J13" si="26">IF(ISBLANK(G13),E13,E13-G13)</f>
        <v>0</v>
      </c>
      <c r="J13" s="69">
        <f t="shared" si="26"/>
        <v>0</v>
      </c>
      <c r="K13" s="69" t="b">
        <f t="shared" si="5"/>
        <v>1</v>
      </c>
      <c r="M13" s="546" t="s">
        <v>1538</v>
      </c>
      <c r="N13" s="546" t="s">
        <v>188</v>
      </c>
      <c r="O13" s="547">
        <v>44634.0</v>
      </c>
      <c r="P13" s="473" t="str">
        <f t="shared" si="24"/>
        <v>Negative</v>
      </c>
      <c r="R13" s="8">
        <v>0.0</v>
      </c>
      <c r="S13" s="8">
        <v>0.0</v>
      </c>
      <c r="T13" s="8">
        <f t="shared" ref="T13:U13" si="27">E13-R13</f>
        <v>0</v>
      </c>
      <c r="U13" s="8">
        <f t="shared" si="27"/>
        <v>0</v>
      </c>
    </row>
    <row r="14">
      <c r="A14" s="8" t="s">
        <v>161</v>
      </c>
      <c r="B14" s="14">
        <v>44578.0</v>
      </c>
      <c r="C14" s="98">
        <v>1.0</v>
      </c>
      <c r="D14" s="16"/>
      <c r="E14" s="96">
        <f>IFERROR(VLOOKUP(A14,'Runs Compare'!$Y$2:AD500,5,FALSE),IFERROR(0/0,""))</f>
        <v>0</v>
      </c>
      <c r="F14" s="96">
        <f>IFERROR(VLOOKUP(A14,'Runs Compare'!$Y$2:AD500,6,FALSE),IFERROR(0/0,""))</f>
        <v>0</v>
      </c>
      <c r="G14" s="69">
        <f>IFERROR(VLOOKUP($A14,'Runs Compare'!$AG15:$AM500,5,FALSE),IFERROR(0/0,""))</f>
        <v>0</v>
      </c>
      <c r="H14" s="69">
        <f>IFERROR(VLOOKUP($A14,'Runs Compare'!$AG15:$AM500,6,FALSE),IFERROR(0/0,""))</f>
        <v>0</v>
      </c>
      <c r="I14" s="69">
        <f t="shared" ref="I14:J14" si="28">IF(ISBLANK(G14),E14,E14-G14)</f>
        <v>0</v>
      </c>
      <c r="J14" s="69">
        <f t="shared" si="28"/>
        <v>0</v>
      </c>
      <c r="K14" s="69" t="b">
        <f t="shared" si="5"/>
        <v>1</v>
      </c>
      <c r="M14" s="546" t="s">
        <v>1539</v>
      </c>
      <c r="N14" s="546" t="s">
        <v>188</v>
      </c>
      <c r="O14" s="547">
        <v>44634.0</v>
      </c>
      <c r="P14" s="473" t="str">
        <f t="shared" si="24"/>
        <v>Negative</v>
      </c>
      <c r="R14" s="8">
        <v>0.0</v>
      </c>
      <c r="S14" s="8">
        <v>0.0</v>
      </c>
      <c r="T14" s="8">
        <f t="shared" ref="T14:U14" si="29">E14-R14</f>
        <v>0</v>
      </c>
      <c r="U14" s="8">
        <f t="shared" si="29"/>
        <v>0</v>
      </c>
    </row>
    <row r="15">
      <c r="A15" s="8" t="s">
        <v>178</v>
      </c>
      <c r="B15" s="14">
        <v>44602.0</v>
      </c>
      <c r="C15" s="21">
        <v>1.0</v>
      </c>
      <c r="D15" s="16"/>
      <c r="E15" s="96">
        <f>IFERROR(VLOOKUP(A15,'Runs Compare'!$Y$2:AD500,5,FALSE),IFERROR(0/0,""))</f>
        <v>0</v>
      </c>
      <c r="F15" s="96">
        <f>IFERROR(VLOOKUP(A15,'Runs Compare'!$Y$2:AD500,6,FALSE),IFERROR(0/0,""))</f>
        <v>0</v>
      </c>
      <c r="G15" s="69">
        <f>IFERROR(VLOOKUP($A15,'Runs Compare'!$AG16:$AM500,5,FALSE),IFERROR(0/0,""))</f>
        <v>0</v>
      </c>
      <c r="H15" s="69">
        <f>IFERROR(VLOOKUP($A15,'Runs Compare'!$AG16:$AM500,6,FALSE),IFERROR(0/0,""))</f>
        <v>0</v>
      </c>
      <c r="I15" s="69">
        <f t="shared" ref="I15:J15" si="30">IF(ISBLANK(G15),E15,E15-G15)</f>
        <v>0</v>
      </c>
      <c r="J15" s="69">
        <f t="shared" si="30"/>
        <v>0</v>
      </c>
      <c r="K15" s="69" t="b">
        <f t="shared" si="5"/>
        <v>1</v>
      </c>
      <c r="M15" s="546" t="s">
        <v>1540</v>
      </c>
      <c r="N15" s="546" t="s">
        <v>114</v>
      </c>
      <c r="O15" s="547">
        <v>44540.0</v>
      </c>
      <c r="P15" s="473" t="str">
        <f t="shared" si="24"/>
        <v>Negative</v>
      </c>
      <c r="R15" s="8">
        <v>0.0</v>
      </c>
      <c r="S15" s="8">
        <v>0.0</v>
      </c>
      <c r="T15" s="8">
        <f t="shared" ref="T15:U15" si="31">E15-R15</f>
        <v>0</v>
      </c>
      <c r="U15" s="8">
        <f t="shared" si="31"/>
        <v>0</v>
      </c>
    </row>
    <row r="16">
      <c r="A16" s="8" t="s">
        <v>181</v>
      </c>
      <c r="B16" s="14">
        <v>44609.0</v>
      </c>
      <c r="C16" s="21">
        <v>1.0</v>
      </c>
      <c r="D16" s="16"/>
      <c r="E16" s="96">
        <f>IFERROR(VLOOKUP(A16,'Runs Compare'!$Y$2:AD500,5,FALSE),IFERROR(0/0,""))</f>
        <v>0</v>
      </c>
      <c r="F16" s="96">
        <f>IFERROR(VLOOKUP(A16,'Runs Compare'!$Y$2:AD500,6,FALSE),IFERROR(0/0,""))</f>
        <v>0</v>
      </c>
      <c r="G16" s="69">
        <f>IFERROR(VLOOKUP($A16,'Runs Compare'!$AG17:$AM500,5,FALSE),IFERROR(0/0,""))</f>
        <v>0</v>
      </c>
      <c r="H16" s="69">
        <f>IFERROR(VLOOKUP($A16,'Runs Compare'!$AG17:$AM500,6,FALSE),IFERROR(0/0,""))</f>
        <v>0</v>
      </c>
      <c r="I16" s="69">
        <f t="shared" ref="I16:J16" si="32">IF(ISBLANK(G16),E16,E16-G16)</f>
        <v>0</v>
      </c>
      <c r="J16" s="69">
        <f t="shared" si="32"/>
        <v>0</v>
      </c>
      <c r="K16" s="69" t="b">
        <f t="shared" si="5"/>
        <v>1</v>
      </c>
      <c r="M16" s="546" t="s">
        <v>1541</v>
      </c>
      <c r="N16" s="546" t="s">
        <v>114</v>
      </c>
      <c r="O16" s="547">
        <v>44540.0</v>
      </c>
      <c r="P16" s="473" t="str">
        <f t="shared" si="24"/>
        <v>Negative</v>
      </c>
      <c r="R16" s="8">
        <v>0.0</v>
      </c>
      <c r="S16" s="8">
        <v>0.0</v>
      </c>
      <c r="T16" s="8">
        <f t="shared" ref="T16:U16" si="33">E16-R16</f>
        <v>0</v>
      </c>
      <c r="U16" s="8">
        <f t="shared" si="33"/>
        <v>0</v>
      </c>
    </row>
    <row r="17">
      <c r="A17" s="8" t="s">
        <v>196</v>
      </c>
      <c r="B17" s="14">
        <v>44655.0</v>
      </c>
      <c r="C17" s="21">
        <v>1.0</v>
      </c>
      <c r="D17" s="16"/>
      <c r="E17" s="96">
        <f>IFERROR(VLOOKUP(A17,'Runs Compare'!$Y$2:AD500,5,FALSE),IFERROR(0/0,""))</f>
        <v>0</v>
      </c>
      <c r="F17" s="96">
        <f>IFERROR(VLOOKUP(A17,'Runs Compare'!$Y$2:AD500,6,FALSE),IFERROR(0/0,""))</f>
        <v>0</v>
      </c>
      <c r="G17" s="69">
        <f>IFERROR(VLOOKUP($A17,'Runs Compare'!$AG18:$AM500,5,FALSE),IFERROR(0/0,""))</f>
        <v>0</v>
      </c>
      <c r="H17" s="69">
        <f>IFERROR(VLOOKUP($A17,'Runs Compare'!$AG18:$AM500,6,FALSE),IFERROR(0/0,""))</f>
        <v>0</v>
      </c>
      <c r="I17" s="69">
        <f t="shared" ref="I17:J17" si="34">IF(ISBLANK(G17),E17,E17-G17)</f>
        <v>0</v>
      </c>
      <c r="J17" s="69">
        <f t="shared" si="34"/>
        <v>0</v>
      </c>
      <c r="K17" s="69" t="b">
        <f t="shared" si="5"/>
        <v>1</v>
      </c>
      <c r="M17" s="546" t="s">
        <v>1542</v>
      </c>
      <c r="N17" s="546" t="s">
        <v>114</v>
      </c>
      <c r="O17" s="547">
        <v>44540.0</v>
      </c>
      <c r="P17" s="473" t="str">
        <f t="shared" si="24"/>
        <v>Negative</v>
      </c>
      <c r="R17" s="8">
        <v>0.0</v>
      </c>
      <c r="S17" s="8">
        <v>0.0</v>
      </c>
      <c r="T17" s="8">
        <f t="shared" ref="T17:U17" si="35">E17-R17</f>
        <v>0</v>
      </c>
      <c r="U17" s="8">
        <f t="shared" si="35"/>
        <v>0</v>
      </c>
    </row>
    <row r="18">
      <c r="A18" s="8" t="s">
        <v>197</v>
      </c>
      <c r="B18" s="14">
        <v>44658.0</v>
      </c>
      <c r="C18" s="21">
        <v>1.0</v>
      </c>
      <c r="E18" s="96">
        <f>IFERROR(VLOOKUP(A18,'Runs Compare'!$Y$2:AD500,5,FALSE),IFERROR(0/0,""))</f>
        <v>0</v>
      </c>
      <c r="F18" s="96">
        <f>IFERROR(VLOOKUP(A18,'Runs Compare'!$Y$2:AD500,6,FALSE),IFERROR(0/0,""))</f>
        <v>0</v>
      </c>
      <c r="G18" s="69">
        <f>IFERROR(VLOOKUP($A18,'Runs Compare'!$AG19:$AM500,5,FALSE),IFERROR(0/0,""))</f>
        <v>0</v>
      </c>
      <c r="H18" s="69">
        <f>IFERROR(VLOOKUP($A18,'Runs Compare'!$AG19:$AM500,6,FALSE),IFERROR(0/0,""))</f>
        <v>0</v>
      </c>
      <c r="I18" s="69">
        <f t="shared" ref="I18:J18" si="36">IF(ISBLANK(G18),E18,E18-G18)</f>
        <v>0</v>
      </c>
      <c r="J18" s="69">
        <f t="shared" si="36"/>
        <v>0</v>
      </c>
      <c r="K18" s="69" t="b">
        <f t="shared" si="5"/>
        <v>1</v>
      </c>
      <c r="M18" s="546" t="s">
        <v>1543</v>
      </c>
      <c r="N18" s="546" t="s">
        <v>185</v>
      </c>
      <c r="O18" s="547">
        <v>44627.0</v>
      </c>
      <c r="P18" s="473" t="str">
        <f t="shared" si="24"/>
        <v>Negative</v>
      </c>
      <c r="R18" s="8">
        <v>0.0</v>
      </c>
      <c r="S18" s="8">
        <v>0.0</v>
      </c>
      <c r="T18" s="8">
        <f t="shared" ref="T18:U18" si="37">E18-R18</f>
        <v>0</v>
      </c>
      <c r="U18" s="8">
        <f t="shared" si="37"/>
        <v>0</v>
      </c>
    </row>
    <row r="19">
      <c r="A19" s="8" t="s">
        <v>199</v>
      </c>
      <c r="B19" s="14">
        <v>44665.0</v>
      </c>
      <c r="C19" s="21">
        <v>1.0</v>
      </c>
      <c r="E19" s="96">
        <f>IFERROR(VLOOKUP(A19,'Runs Compare'!$Y$2:AD500,5,FALSE),IFERROR(0/0,""))</f>
        <v>0</v>
      </c>
      <c r="F19" s="96">
        <f>IFERROR(VLOOKUP(A19,'Runs Compare'!$Y$2:AD500,6,FALSE),IFERROR(0/0,""))</f>
        <v>0</v>
      </c>
      <c r="G19" s="69">
        <f>IFERROR(VLOOKUP($A19,'Runs Compare'!$AG20:$AM500,5,FALSE),IFERROR(0/0,""))</f>
        <v>0</v>
      </c>
      <c r="H19" s="69">
        <f>IFERROR(VLOOKUP($A19,'Runs Compare'!$AG20:$AM500,6,FALSE),IFERROR(0/0,""))</f>
        <v>0</v>
      </c>
      <c r="I19" s="69">
        <f t="shared" ref="I19:J19" si="38">IF(ISBLANK(G19),E19,E19-G19)</f>
        <v>0</v>
      </c>
      <c r="J19" s="69">
        <f t="shared" si="38"/>
        <v>0</v>
      </c>
      <c r="K19" s="69" t="b">
        <f t="shared" si="5"/>
        <v>1</v>
      </c>
      <c r="M19" s="546" t="s">
        <v>1544</v>
      </c>
      <c r="N19" s="546" t="s">
        <v>185</v>
      </c>
      <c r="O19" s="547">
        <v>44627.0</v>
      </c>
      <c r="P19" s="473" t="str">
        <f t="shared" si="24"/>
        <v>Negative</v>
      </c>
      <c r="R19" s="8">
        <v>0.0</v>
      </c>
      <c r="S19" s="8">
        <v>0.0</v>
      </c>
      <c r="T19" s="8">
        <f t="shared" ref="T19:U19" si="39">E19-R19</f>
        <v>0</v>
      </c>
      <c r="U19" s="8">
        <f t="shared" si="39"/>
        <v>0</v>
      </c>
    </row>
    <row r="20">
      <c r="A20" s="8" t="s">
        <v>205</v>
      </c>
      <c r="B20" s="14">
        <v>44676.0</v>
      </c>
      <c r="C20" s="21">
        <v>1.0</v>
      </c>
      <c r="E20" s="96">
        <f>IFERROR(VLOOKUP(A20,'Runs Compare'!$Y$2:AD500,5,FALSE),IFERROR(0/0,""))</f>
        <v>0</v>
      </c>
      <c r="F20" s="96">
        <f>IFERROR(VLOOKUP(A20,'Runs Compare'!$Y$2:AD500,6,FALSE),IFERROR(0/0,""))</f>
        <v>0</v>
      </c>
      <c r="G20" s="69">
        <f>IFERROR(VLOOKUP($A20,'Runs Compare'!$AG21:$AM500,5,FALSE),IFERROR(0/0,""))</f>
        <v>0</v>
      </c>
      <c r="H20" s="69">
        <f>IFERROR(VLOOKUP($A20,'Runs Compare'!$AG21:$AM500,6,FALSE),IFERROR(0/0,""))</f>
        <v>0</v>
      </c>
      <c r="I20" s="69">
        <f t="shared" ref="I20:J20" si="40">IF(ISBLANK(G20),E20,E20-G20)</f>
        <v>0</v>
      </c>
      <c r="J20" s="69">
        <f t="shared" si="40"/>
        <v>0</v>
      </c>
      <c r="K20" s="69" t="b">
        <f t="shared" si="5"/>
        <v>1</v>
      </c>
      <c r="M20" s="546" t="s">
        <v>1545</v>
      </c>
      <c r="N20" s="546" t="s">
        <v>185</v>
      </c>
      <c r="O20" s="547">
        <v>44627.0</v>
      </c>
      <c r="P20" s="473" t="str">
        <f t="shared" si="24"/>
        <v>Negative</v>
      </c>
      <c r="R20" s="8">
        <v>0.0</v>
      </c>
      <c r="S20" s="8">
        <v>0.0</v>
      </c>
      <c r="T20" s="8">
        <f t="shared" ref="T20:U20" si="41">E20-R20</f>
        <v>0</v>
      </c>
      <c r="U20" s="8">
        <f t="shared" si="41"/>
        <v>0</v>
      </c>
    </row>
    <row r="21">
      <c r="A21" s="8" t="s">
        <v>212</v>
      </c>
      <c r="B21" s="14">
        <v>44690.0</v>
      </c>
      <c r="C21" s="21">
        <v>1.0</v>
      </c>
      <c r="E21" s="96">
        <f>IFERROR(VLOOKUP(A21,'Runs Compare'!$Y$2:AD500,5,FALSE),IFERROR(0/0,""))</f>
        <v>2</v>
      </c>
      <c r="F21" s="96">
        <f>IFERROR(VLOOKUP(A21,'Runs Compare'!$Y$2:AD500,6,FALSE),IFERROR(0/0,""))</f>
        <v>1</v>
      </c>
      <c r="G21" s="69">
        <f>IFERROR(VLOOKUP($A21,'Runs Compare'!$AG22:$AM500,5,FALSE),IFERROR(0/0,""))</f>
        <v>2</v>
      </c>
      <c r="H21" s="69">
        <f>IFERROR(VLOOKUP($A21,'Runs Compare'!$AG22:$AM500,6,FALSE),IFERROR(0/0,""))</f>
        <v>1</v>
      </c>
      <c r="I21" s="69">
        <f t="shared" ref="I21:J21" si="42">IF(ISBLANK(G21),E21,E21-G21)</f>
        <v>0</v>
      </c>
      <c r="J21" s="69">
        <f t="shared" si="42"/>
        <v>0</v>
      </c>
      <c r="K21" s="69" t="b">
        <f>IF(ISBLANK(J21),FALSE, AND(I21&lt;=0,J21&lt;=0))</f>
        <v>1</v>
      </c>
      <c r="M21" s="546" t="s">
        <v>1546</v>
      </c>
      <c r="N21" s="546" t="s">
        <v>187</v>
      </c>
      <c r="O21" s="547">
        <v>44632.0</v>
      </c>
      <c r="P21" s="473" t="str">
        <f t="shared" si="24"/>
        <v>Negative</v>
      </c>
      <c r="R21" s="8">
        <v>0.0</v>
      </c>
      <c r="S21" s="8">
        <v>0.0</v>
      </c>
      <c r="T21" s="8">
        <f t="shared" ref="T21:U21" si="43">E21-R21</f>
        <v>2</v>
      </c>
      <c r="U21" s="8">
        <f t="shared" si="43"/>
        <v>1</v>
      </c>
    </row>
    <row r="22">
      <c r="A22" s="8" t="s">
        <v>214</v>
      </c>
      <c r="B22" s="14">
        <v>44692.0</v>
      </c>
      <c r="C22" s="21">
        <v>1.0</v>
      </c>
      <c r="E22" s="96">
        <f>IFERROR(VLOOKUP(A22,'Runs Compare'!$Y$2:AD500,5,FALSE),IFERROR(0/0,""))</f>
        <v>0</v>
      </c>
      <c r="F22" s="96">
        <f>IFERROR(VLOOKUP(A22,'Runs Compare'!$Y$2:AD500,6,FALSE),IFERROR(0/0,""))</f>
        <v>1</v>
      </c>
      <c r="G22" s="69">
        <f>IFERROR(VLOOKUP($A22,'Runs Compare'!$AG23:$AM500,5,FALSE),IFERROR(0/0,""))</f>
        <v>0</v>
      </c>
      <c r="H22" s="69">
        <f>IFERROR(VLOOKUP($A22,'Runs Compare'!$AG23:$AM500,6,FALSE),IFERROR(0/0,""))</f>
        <v>1</v>
      </c>
      <c r="I22" s="69">
        <f t="shared" ref="I22:J22" si="44">IF(ISBLANK(G22),E22,E22-G22)</f>
        <v>0</v>
      </c>
      <c r="J22" s="69">
        <f t="shared" si="44"/>
        <v>0</v>
      </c>
      <c r="K22" s="69" t="b">
        <f t="shared" ref="K22:K24" si="47">IF(ISBLANK(J22),FALSE, AND(I22=0,J22=0))</f>
        <v>1</v>
      </c>
      <c r="M22" s="546" t="s">
        <v>1547</v>
      </c>
      <c r="N22" s="546" t="s">
        <v>187</v>
      </c>
      <c r="O22" s="547">
        <v>44632.0</v>
      </c>
      <c r="P22" s="473" t="str">
        <f t="shared" si="24"/>
        <v>Negative</v>
      </c>
      <c r="R22" s="8">
        <v>0.0</v>
      </c>
      <c r="S22" s="8">
        <v>1.0</v>
      </c>
      <c r="T22" s="8">
        <f t="shared" ref="T22:U22" si="45">E22-R22</f>
        <v>0</v>
      </c>
      <c r="U22" s="8">
        <f t="shared" si="45"/>
        <v>0</v>
      </c>
    </row>
    <row r="23">
      <c r="A23" s="8" t="s">
        <v>221</v>
      </c>
      <c r="B23" s="14">
        <v>44699.0</v>
      </c>
      <c r="C23" s="21">
        <v>1.0</v>
      </c>
      <c r="E23" s="96">
        <f>IFERROR(VLOOKUP(A23,'Runs Compare'!$Y$2:AD500,5,FALSE),IFERROR(0/0,""))</f>
        <v>0</v>
      </c>
      <c r="F23" s="96">
        <f>IFERROR(VLOOKUP(A23,'Runs Compare'!$Y$2:AD500,6,FALSE),IFERROR(0/0,""))</f>
        <v>0</v>
      </c>
      <c r="G23" s="69" t="str">
        <f>IFERROR(VLOOKUP($A23,'Runs Compare'!$AG24:$AM500,5,FALSE),IFERROR(0/0,""))</f>
        <v/>
      </c>
      <c r="H23" s="69" t="str">
        <f>IFERROR(VLOOKUP($A23,'Runs Compare'!$AG24:$AM500,6,FALSE),IFERROR(0/0,""))</f>
        <v/>
      </c>
      <c r="I23" s="69">
        <f t="shared" ref="I23:J23" si="46">IF(ISBLANK(G23),E23,E23-G23)</f>
        <v>0</v>
      </c>
      <c r="J23" s="69">
        <f t="shared" si="46"/>
        <v>0</v>
      </c>
      <c r="K23" s="69" t="b">
        <f t="shared" si="47"/>
        <v>1</v>
      </c>
      <c r="M23" s="546" t="s">
        <v>1548</v>
      </c>
      <c r="N23" s="546" t="s">
        <v>187</v>
      </c>
      <c r="O23" s="547">
        <v>44632.0</v>
      </c>
      <c r="P23" s="473" t="str">
        <f t="shared" si="24"/>
        <v>Negative</v>
      </c>
      <c r="R23" s="8">
        <v>0.0</v>
      </c>
      <c r="S23" s="8">
        <v>0.0</v>
      </c>
      <c r="T23" s="8">
        <f t="shared" ref="T23:U23" si="48">E23-R23</f>
        <v>0</v>
      </c>
      <c r="U23" s="8">
        <f t="shared" si="48"/>
        <v>0</v>
      </c>
    </row>
    <row r="24">
      <c r="A24" s="8" t="s">
        <v>225</v>
      </c>
      <c r="B24" s="14">
        <v>44712.0</v>
      </c>
      <c r="C24" s="21">
        <v>1.0</v>
      </c>
      <c r="E24" s="96">
        <f>IFERROR(VLOOKUP(A24,'Runs Compare'!$Y$2:AD500,5,FALSE),IFERROR(0/0,""))</f>
        <v>0</v>
      </c>
      <c r="F24" s="96">
        <f>IFERROR(VLOOKUP(A24,'Runs Compare'!$Y$2:AD500,6,FALSE),IFERROR(0/0,""))</f>
        <v>0</v>
      </c>
      <c r="G24" s="69">
        <f>IFERROR(VLOOKUP($A24,'Runs Compare'!$AG25:$AM500,5,FALSE),IFERROR(0/0,""))</f>
        <v>0</v>
      </c>
      <c r="H24" s="69">
        <f>IFERROR(VLOOKUP($A24,'Runs Compare'!$AG25:$AM500,6,FALSE),IFERROR(0/0,""))</f>
        <v>0</v>
      </c>
      <c r="I24" s="69">
        <f t="shared" ref="I24:J24" si="49">IF(ISBLANK(G24),E24,E24-G24)</f>
        <v>0</v>
      </c>
      <c r="J24" s="69">
        <f t="shared" si="49"/>
        <v>0</v>
      </c>
      <c r="K24" s="69" t="b">
        <f t="shared" si="47"/>
        <v>1</v>
      </c>
      <c r="M24" s="546" t="s">
        <v>1549</v>
      </c>
      <c r="N24" s="546" t="s">
        <v>216</v>
      </c>
      <c r="O24" s="547">
        <v>44695.0</v>
      </c>
      <c r="P24" s="473" t="str">
        <f t="shared" si="24"/>
        <v>Negative</v>
      </c>
      <c r="Q24" s="140"/>
      <c r="R24" s="8">
        <v>0.0</v>
      </c>
      <c r="S24" s="8">
        <v>0.0</v>
      </c>
      <c r="T24" s="8">
        <f t="shared" ref="T24:U24" si="50">E24-R24</f>
        <v>0</v>
      </c>
      <c r="U24" s="8">
        <f t="shared" si="50"/>
        <v>0</v>
      </c>
    </row>
    <row r="25">
      <c r="A25" s="138"/>
      <c r="B25" s="25"/>
      <c r="C25" s="16"/>
      <c r="M25" s="546" t="s">
        <v>1550</v>
      </c>
      <c r="N25" s="546" t="s">
        <v>216</v>
      </c>
      <c r="O25" s="547">
        <v>44695.0</v>
      </c>
      <c r="P25" s="473" t="str">
        <f t="shared" si="24"/>
        <v>Negative</v>
      </c>
      <c r="Q25" s="140"/>
    </row>
    <row r="26">
      <c r="A26" s="138"/>
      <c r="B26" s="25"/>
      <c r="C26" s="16"/>
      <c r="M26" s="546" t="s">
        <v>1551</v>
      </c>
      <c r="N26" s="546" t="s">
        <v>216</v>
      </c>
      <c r="O26" s="547">
        <v>44695.0</v>
      </c>
      <c r="P26" s="473" t="str">
        <f t="shared" si="24"/>
        <v>Negative</v>
      </c>
      <c r="Q26" s="140"/>
    </row>
    <row r="27">
      <c r="B27" s="14"/>
      <c r="C27" s="16"/>
      <c r="M27" s="546" t="s">
        <v>1552</v>
      </c>
      <c r="N27" s="546" t="s">
        <v>217</v>
      </c>
      <c r="O27" s="547">
        <v>44697.0</v>
      </c>
      <c r="P27" s="473" t="str">
        <f t="shared" si="24"/>
        <v>Negative</v>
      </c>
    </row>
    <row r="28">
      <c r="A28" s="138"/>
      <c r="B28" s="25"/>
      <c r="C28" s="16"/>
      <c r="M28" s="546" t="s">
        <v>1553</v>
      </c>
      <c r="N28" s="546" t="s">
        <v>217</v>
      </c>
      <c r="O28" s="547">
        <v>44697.0</v>
      </c>
      <c r="P28" s="473" t="str">
        <f t="shared" si="24"/>
        <v>Negative</v>
      </c>
    </row>
    <row r="29">
      <c r="A29" s="138"/>
      <c r="B29" s="25"/>
      <c r="C29" s="16"/>
      <c r="M29" s="546" t="s">
        <v>1554</v>
      </c>
      <c r="N29" s="546" t="s">
        <v>217</v>
      </c>
      <c r="O29" s="547">
        <v>44697.0</v>
      </c>
      <c r="P29" s="473" t="str">
        <f t="shared" si="24"/>
        <v>Negative</v>
      </c>
    </row>
    <row r="30">
      <c r="A30" s="138"/>
      <c r="B30" s="25"/>
      <c r="C30" s="16"/>
      <c r="M30" s="546" t="s">
        <v>1555</v>
      </c>
      <c r="N30" s="546" t="s">
        <v>223</v>
      </c>
      <c r="O30" s="547">
        <v>44704.0</v>
      </c>
      <c r="P30" s="452" t="s">
        <v>16</v>
      </c>
      <c r="Q30" s="140" t="s">
        <v>1556</v>
      </c>
    </row>
    <row r="31">
      <c r="A31" s="138"/>
      <c r="B31" s="25"/>
      <c r="C31" s="16"/>
      <c r="M31" s="546" t="s">
        <v>1557</v>
      </c>
      <c r="N31" s="546" t="s">
        <v>223</v>
      </c>
      <c r="O31" s="547">
        <v>44704.0</v>
      </c>
      <c r="P31" s="452" t="s">
        <v>16</v>
      </c>
      <c r="Q31" s="140" t="s">
        <v>1556</v>
      </c>
    </row>
    <row r="32">
      <c r="A32" s="138"/>
      <c r="B32" s="25"/>
      <c r="C32" s="16"/>
      <c r="M32" s="546" t="s">
        <v>1558</v>
      </c>
      <c r="N32" s="546" t="s">
        <v>223</v>
      </c>
      <c r="O32" s="547">
        <v>44704.0</v>
      </c>
      <c r="P32" s="452" t="s">
        <v>16</v>
      </c>
      <c r="Q32" s="140" t="s">
        <v>1556</v>
      </c>
    </row>
    <row r="33">
      <c r="A33" s="138"/>
      <c r="B33" s="25"/>
      <c r="C33" s="16"/>
      <c r="M33" s="546" t="s">
        <v>1559</v>
      </c>
      <c r="N33" s="546" t="s">
        <v>189</v>
      </c>
      <c r="O33" s="547">
        <v>44637.0</v>
      </c>
      <c r="P33" s="473" t="str">
        <f t="shared" ref="P33:P46" si="51">IF(VLOOKUP(N33,$A$2:$K500,11,FALSE),"Negative",IFERROR(0/0,""))</f>
        <v>Negative</v>
      </c>
    </row>
    <row r="34">
      <c r="A34" s="138"/>
      <c r="B34" s="25"/>
      <c r="C34" s="16"/>
      <c r="M34" s="546" t="s">
        <v>1560</v>
      </c>
      <c r="N34" s="546" t="s">
        <v>189</v>
      </c>
      <c r="O34" s="547">
        <v>44637.0</v>
      </c>
      <c r="P34" s="473" t="str">
        <f t="shared" si="51"/>
        <v>Negative</v>
      </c>
    </row>
    <row r="35">
      <c r="A35" s="138"/>
      <c r="B35" s="25"/>
      <c r="C35" s="16"/>
      <c r="M35" s="546" t="s">
        <v>1561</v>
      </c>
      <c r="N35" s="546" t="s">
        <v>201</v>
      </c>
      <c r="O35" s="547">
        <v>44669.0</v>
      </c>
      <c r="P35" s="473" t="str">
        <f t="shared" si="51"/>
        <v>Negative</v>
      </c>
    </row>
    <row r="36">
      <c r="A36" s="138"/>
      <c r="B36" s="25"/>
      <c r="C36" s="16"/>
      <c r="M36" s="546" t="s">
        <v>1562</v>
      </c>
      <c r="N36" s="546" t="s">
        <v>201</v>
      </c>
      <c r="O36" s="547">
        <v>44669.0</v>
      </c>
      <c r="P36" s="473" t="str">
        <f t="shared" si="51"/>
        <v>Negative</v>
      </c>
    </row>
    <row r="37">
      <c r="A37" s="138"/>
      <c r="B37" s="25"/>
      <c r="C37" s="16"/>
      <c r="M37" s="546" t="s">
        <v>1563</v>
      </c>
      <c r="N37" s="546" t="s">
        <v>215</v>
      </c>
      <c r="O37" s="547">
        <v>44693.0</v>
      </c>
      <c r="P37" s="473" t="str">
        <f t="shared" si="51"/>
        <v>Negative</v>
      </c>
    </row>
    <row r="38">
      <c r="A38" s="138"/>
      <c r="B38" s="25"/>
      <c r="C38" s="16"/>
      <c r="M38" s="546" t="s">
        <v>1564</v>
      </c>
      <c r="N38" s="546" t="s">
        <v>215</v>
      </c>
      <c r="O38" s="547">
        <v>44693.0</v>
      </c>
      <c r="P38" s="473" t="str">
        <f t="shared" si="51"/>
        <v>Negative</v>
      </c>
    </row>
    <row r="39">
      <c r="A39" s="138"/>
      <c r="B39" s="25"/>
      <c r="C39" s="16"/>
      <c r="M39" s="546" t="s">
        <v>1565</v>
      </c>
      <c r="N39" s="546" t="s">
        <v>161</v>
      </c>
      <c r="O39" s="547">
        <v>44578.0</v>
      </c>
      <c r="P39" s="473" t="str">
        <f t="shared" si="51"/>
        <v>Negative</v>
      </c>
    </row>
    <row r="40">
      <c r="A40" s="138"/>
      <c r="B40" s="25"/>
      <c r="C40" s="16"/>
      <c r="M40" s="546" t="s">
        <v>1566</v>
      </c>
      <c r="N40" s="546" t="s">
        <v>178</v>
      </c>
      <c r="O40" s="547">
        <v>44602.0</v>
      </c>
      <c r="P40" s="473" t="str">
        <f t="shared" si="51"/>
        <v>Negative</v>
      </c>
    </row>
    <row r="41">
      <c r="A41" s="138"/>
      <c r="B41" s="25"/>
      <c r="C41" s="16"/>
      <c r="M41" s="546" t="s">
        <v>1567</v>
      </c>
      <c r="N41" s="546" t="s">
        <v>181</v>
      </c>
      <c r="O41" s="547">
        <v>44609.0</v>
      </c>
      <c r="P41" s="473" t="str">
        <f t="shared" si="51"/>
        <v>Negative</v>
      </c>
    </row>
    <row r="42">
      <c r="A42" s="138"/>
      <c r="B42" s="25"/>
      <c r="C42" s="16"/>
      <c r="M42" s="546" t="s">
        <v>1568</v>
      </c>
      <c r="N42" s="546" t="s">
        <v>196</v>
      </c>
      <c r="O42" s="547">
        <v>44655.0</v>
      </c>
      <c r="P42" s="473" t="str">
        <f t="shared" si="51"/>
        <v>Negative</v>
      </c>
    </row>
    <row r="43">
      <c r="A43" s="138"/>
      <c r="B43" s="25"/>
      <c r="C43" s="16"/>
      <c r="M43" s="546" t="s">
        <v>1569</v>
      </c>
      <c r="N43" s="546" t="s">
        <v>197</v>
      </c>
      <c r="O43" s="547">
        <v>44658.0</v>
      </c>
      <c r="P43" s="473" t="str">
        <f t="shared" si="51"/>
        <v>Negative</v>
      </c>
    </row>
    <row r="44">
      <c r="A44" s="138"/>
      <c r="B44" s="25"/>
      <c r="C44" s="16"/>
      <c r="M44" s="546" t="s">
        <v>1570</v>
      </c>
      <c r="N44" s="546" t="s">
        <v>199</v>
      </c>
      <c r="O44" s="547">
        <v>44665.0</v>
      </c>
      <c r="P44" s="473" t="str">
        <f t="shared" si="51"/>
        <v>Negative</v>
      </c>
    </row>
    <row r="45">
      <c r="A45" s="138"/>
      <c r="B45" s="25"/>
      <c r="C45" s="16"/>
      <c r="M45" s="546" t="s">
        <v>1571</v>
      </c>
      <c r="N45" s="546" t="s">
        <v>205</v>
      </c>
      <c r="O45" s="547">
        <v>44676.0</v>
      </c>
      <c r="P45" s="473" t="str">
        <f t="shared" si="51"/>
        <v>Negative</v>
      </c>
    </row>
    <row r="46">
      <c r="A46" s="138"/>
      <c r="B46" s="25"/>
      <c r="C46" s="16"/>
      <c r="M46" s="546" t="s">
        <v>1572</v>
      </c>
      <c r="N46" s="546" t="s">
        <v>212</v>
      </c>
      <c r="O46" s="547">
        <v>44690.0</v>
      </c>
      <c r="P46" s="473" t="str">
        <f t="shared" si="51"/>
        <v>Negative</v>
      </c>
    </row>
    <row r="47">
      <c r="A47" s="138"/>
      <c r="B47" s="25"/>
      <c r="C47" s="16"/>
      <c r="M47" s="546" t="s">
        <v>1573</v>
      </c>
      <c r="N47" s="546" t="s">
        <v>214</v>
      </c>
      <c r="O47" s="547">
        <v>44692.0</v>
      </c>
      <c r="P47" s="452" t="s">
        <v>16</v>
      </c>
      <c r="Q47" s="140" t="s">
        <v>1574</v>
      </c>
    </row>
    <row r="48">
      <c r="A48" s="138"/>
      <c r="B48" s="25"/>
      <c r="C48" s="16"/>
      <c r="M48" s="546" t="s">
        <v>1575</v>
      </c>
      <c r="N48" s="546" t="s">
        <v>221</v>
      </c>
      <c r="O48" s="547">
        <v>44699.0</v>
      </c>
      <c r="P48" s="473" t="str">
        <f t="shared" ref="P48:P49" si="52">IF(VLOOKUP(N48,$A$2:$K500,11,FALSE),"Negative",IFERROR(0/0,""))</f>
        <v>Negative</v>
      </c>
    </row>
    <row r="49">
      <c r="A49" s="138"/>
      <c r="B49" s="25"/>
      <c r="C49" s="16"/>
      <c r="M49" s="546" t="s">
        <v>1576</v>
      </c>
      <c r="N49" s="546" t="s">
        <v>225</v>
      </c>
      <c r="O49" s="547">
        <v>44712.0</v>
      </c>
      <c r="P49" s="473" t="str">
        <f t="shared" si="52"/>
        <v>Negative</v>
      </c>
    </row>
    <row r="50">
      <c r="A50" s="138"/>
      <c r="B50" s="25"/>
      <c r="C50" s="16"/>
      <c r="M50" s="546"/>
      <c r="N50" s="546"/>
      <c r="O50" s="547"/>
      <c r="P50" s="473"/>
    </row>
    <row r="51">
      <c r="A51" s="138"/>
      <c r="B51" s="25"/>
      <c r="C51" s="16"/>
      <c r="M51" s="546"/>
      <c r="N51" s="546"/>
      <c r="O51" s="547"/>
      <c r="P51" s="473"/>
      <c r="Q51" s="140"/>
    </row>
    <row r="52">
      <c r="A52" s="138"/>
      <c r="B52" s="25"/>
      <c r="C52" s="16"/>
      <c r="M52" s="546"/>
      <c r="N52" s="546"/>
      <c r="O52" s="547"/>
      <c r="P52" s="473"/>
      <c r="Q52" s="140"/>
    </row>
    <row r="53">
      <c r="A53" s="138"/>
      <c r="B53" s="25"/>
      <c r="C53" s="16"/>
      <c r="M53" s="546"/>
      <c r="N53" s="546"/>
      <c r="O53" s="547"/>
      <c r="P53" s="473"/>
      <c r="Q53" s="140"/>
    </row>
    <row r="54">
      <c r="A54" s="138"/>
      <c r="B54" s="25"/>
      <c r="C54" s="16"/>
      <c r="M54" s="546"/>
      <c r="N54" s="546"/>
      <c r="O54" s="546"/>
      <c r="P54" s="473"/>
    </row>
    <row r="55">
      <c r="A55" s="138"/>
      <c r="B55" s="25"/>
      <c r="C55" s="16"/>
      <c r="M55" s="546"/>
      <c r="N55" s="546"/>
      <c r="O55" s="546"/>
      <c r="P55" s="473"/>
    </row>
    <row r="56">
      <c r="A56" s="138"/>
      <c r="B56" s="25"/>
      <c r="C56" s="16"/>
      <c r="M56" s="546"/>
      <c r="N56" s="546"/>
      <c r="O56" s="546"/>
      <c r="P56" s="473"/>
    </row>
    <row r="57">
      <c r="A57" s="138"/>
      <c r="B57" s="25"/>
      <c r="C57" s="16"/>
      <c r="M57" s="546"/>
      <c r="N57" s="546"/>
      <c r="O57" s="546"/>
      <c r="P57" s="473"/>
    </row>
    <row r="58">
      <c r="A58" s="138"/>
      <c r="B58" s="25"/>
      <c r="C58" s="16"/>
      <c r="M58" s="546"/>
      <c r="N58" s="546"/>
      <c r="O58" s="546"/>
      <c r="P58" s="473"/>
    </row>
    <row r="59">
      <c r="A59" s="138"/>
      <c r="B59" s="25"/>
      <c r="C59" s="16"/>
      <c r="M59" s="546"/>
      <c r="N59" s="546"/>
      <c r="O59" s="546"/>
      <c r="P59" s="473"/>
    </row>
    <row r="60">
      <c r="A60" s="138"/>
      <c r="B60" s="25"/>
      <c r="C60" s="16"/>
      <c r="M60" s="546"/>
      <c r="N60" s="546"/>
      <c r="O60" s="546"/>
      <c r="P60" s="473"/>
    </row>
    <row r="61">
      <c r="A61" s="138"/>
      <c r="B61" s="25"/>
      <c r="C61" s="16"/>
      <c r="M61" s="546"/>
      <c r="N61" s="546"/>
      <c r="O61" s="546"/>
      <c r="P61" s="473"/>
    </row>
    <row r="62">
      <c r="A62" s="138"/>
      <c r="B62" s="25"/>
      <c r="C62" s="16"/>
      <c r="M62" s="546"/>
      <c r="N62" s="546"/>
      <c r="O62" s="546"/>
      <c r="P62" s="473"/>
    </row>
    <row r="63">
      <c r="A63" s="138"/>
      <c r="B63" s="25"/>
      <c r="C63" s="16"/>
      <c r="M63" s="546"/>
      <c r="N63" s="546"/>
      <c r="O63" s="546"/>
      <c r="P63" s="473"/>
    </row>
    <row r="64">
      <c r="A64" s="138"/>
      <c r="B64" s="25"/>
      <c r="C64" s="16"/>
      <c r="M64" s="546"/>
      <c r="N64" s="546"/>
      <c r="O64" s="546"/>
      <c r="P64" s="473"/>
    </row>
    <row r="65">
      <c r="A65" s="138"/>
      <c r="B65" s="25"/>
      <c r="C65" s="16"/>
      <c r="M65" s="546"/>
      <c r="N65" s="546"/>
      <c r="O65" s="546"/>
      <c r="P65" s="473"/>
    </row>
    <row r="66">
      <c r="A66" s="138"/>
      <c r="B66" s="25"/>
      <c r="C66" s="16"/>
      <c r="M66" s="546"/>
      <c r="N66" s="546"/>
      <c r="O66" s="546"/>
      <c r="P66" s="473"/>
    </row>
    <row r="67">
      <c r="A67" s="138"/>
      <c r="B67" s="25"/>
      <c r="C67" s="16"/>
      <c r="M67" s="546"/>
      <c r="N67" s="546"/>
      <c r="O67" s="546"/>
      <c r="P67" s="473"/>
    </row>
    <row r="68">
      <c r="A68" s="138"/>
      <c r="B68" s="25"/>
      <c r="C68" s="16"/>
      <c r="M68" s="546"/>
      <c r="N68" s="546"/>
      <c r="O68" s="546"/>
      <c r="P68" s="473"/>
    </row>
    <row r="69">
      <c r="A69" s="138"/>
      <c r="B69" s="25"/>
      <c r="C69" s="16"/>
      <c r="M69" s="546"/>
      <c r="N69" s="546"/>
      <c r="O69" s="546"/>
      <c r="P69" s="473"/>
    </row>
    <row r="70">
      <c r="A70" s="138"/>
      <c r="B70" s="25"/>
      <c r="C70" s="16"/>
      <c r="M70" s="546"/>
      <c r="N70" s="546"/>
      <c r="O70" s="546"/>
      <c r="P70" s="473"/>
    </row>
    <row r="71">
      <c r="A71" s="138"/>
      <c r="B71" s="25"/>
      <c r="C71" s="16"/>
      <c r="M71" s="546"/>
      <c r="N71" s="546"/>
      <c r="O71" s="546"/>
      <c r="P71" s="473"/>
    </row>
    <row r="72">
      <c r="A72" s="138"/>
      <c r="B72" s="25"/>
      <c r="C72" s="16"/>
      <c r="M72" s="546"/>
      <c r="N72" s="546"/>
      <c r="O72" s="546"/>
      <c r="P72" s="473"/>
    </row>
    <row r="73">
      <c r="A73" s="138"/>
      <c r="B73" s="25"/>
      <c r="C73" s="16"/>
      <c r="M73" s="546"/>
      <c r="N73" s="546"/>
      <c r="O73" s="546"/>
      <c r="P73" s="473"/>
    </row>
    <row r="74">
      <c r="A74" s="138"/>
      <c r="B74" s="25"/>
      <c r="C74" s="16"/>
      <c r="M74" s="546"/>
      <c r="N74" s="546"/>
      <c r="O74" s="546"/>
      <c r="P74" s="473"/>
    </row>
    <row r="75">
      <c r="A75" s="138"/>
      <c r="B75" s="25"/>
      <c r="C75" s="16"/>
      <c r="M75" s="546"/>
      <c r="N75" s="546"/>
      <c r="O75" s="546"/>
      <c r="P75" s="473"/>
    </row>
    <row r="76">
      <c r="A76" s="138"/>
      <c r="B76" s="25"/>
      <c r="C76" s="16"/>
      <c r="M76" s="546"/>
      <c r="N76" s="546"/>
      <c r="O76" s="546"/>
      <c r="P76" s="473"/>
    </row>
    <row r="77">
      <c r="A77" s="138"/>
      <c r="B77" s="25"/>
      <c r="C77" s="16"/>
      <c r="M77" s="546"/>
      <c r="N77" s="546"/>
      <c r="O77" s="546"/>
      <c r="P77" s="473"/>
    </row>
    <row r="78">
      <c r="A78" s="138"/>
      <c r="B78" s="25"/>
      <c r="C78" s="16"/>
      <c r="M78" s="546"/>
      <c r="N78" s="546"/>
      <c r="O78" s="546"/>
      <c r="P78" s="473"/>
    </row>
    <row r="79">
      <c r="A79" s="138"/>
      <c r="B79" s="25"/>
      <c r="C79" s="16"/>
      <c r="M79" s="546"/>
      <c r="N79" s="546"/>
      <c r="O79" s="546"/>
      <c r="P79" s="473"/>
    </row>
    <row r="80">
      <c r="A80" s="138"/>
      <c r="B80" s="25"/>
      <c r="C80" s="16"/>
      <c r="M80" s="546"/>
      <c r="N80" s="546"/>
      <c r="O80" s="546"/>
      <c r="P80" s="473"/>
    </row>
    <row r="81">
      <c r="A81" s="138"/>
      <c r="B81" s="25"/>
      <c r="C81" s="16"/>
      <c r="M81" s="546"/>
      <c r="N81" s="546"/>
      <c r="O81" s="546"/>
      <c r="P81" s="473"/>
    </row>
    <row r="82">
      <c r="A82" s="138"/>
      <c r="B82" s="25"/>
      <c r="C82" s="16"/>
      <c r="M82" s="546"/>
      <c r="N82" s="546"/>
      <c r="O82" s="546"/>
      <c r="P82" s="473"/>
    </row>
    <row r="83">
      <c r="A83" s="138"/>
      <c r="B83" s="25"/>
      <c r="C83" s="16"/>
      <c r="M83" s="546"/>
      <c r="N83" s="546"/>
      <c r="O83" s="546"/>
      <c r="P83" s="473"/>
    </row>
    <row r="84">
      <c r="A84" s="138"/>
      <c r="B84" s="25"/>
      <c r="C84" s="16"/>
      <c r="M84" s="546"/>
      <c r="N84" s="546"/>
      <c r="O84" s="546"/>
      <c r="P84" s="473"/>
    </row>
    <row r="85">
      <c r="A85" s="138"/>
      <c r="B85" s="25"/>
      <c r="C85" s="16"/>
      <c r="M85" s="546"/>
      <c r="N85" s="546"/>
      <c r="O85" s="546"/>
      <c r="P85" s="473"/>
    </row>
    <row r="86">
      <c r="A86" s="138"/>
      <c r="B86" s="25"/>
      <c r="C86" s="16"/>
      <c r="M86" s="546"/>
      <c r="N86" s="546"/>
      <c r="O86" s="546"/>
      <c r="P86" s="473"/>
    </row>
    <row r="87">
      <c r="A87" s="138"/>
      <c r="B87" s="25"/>
      <c r="C87" s="16"/>
      <c r="M87" s="546"/>
      <c r="N87" s="546"/>
      <c r="O87" s="546"/>
      <c r="P87" s="473"/>
    </row>
    <row r="88">
      <c r="A88" s="138"/>
      <c r="B88" s="25"/>
      <c r="C88" s="16"/>
      <c r="M88" s="546"/>
      <c r="N88" s="546"/>
      <c r="O88" s="546"/>
      <c r="P88" s="473"/>
    </row>
    <row r="89">
      <c r="A89" s="138"/>
      <c r="B89" s="25"/>
      <c r="C89" s="16"/>
      <c r="M89" s="546"/>
      <c r="N89" s="546"/>
      <c r="O89" s="546"/>
      <c r="P89" s="473"/>
    </row>
    <row r="90">
      <c r="A90" s="138"/>
      <c r="B90" s="25"/>
      <c r="C90" s="16"/>
      <c r="M90" s="546"/>
      <c r="N90" s="546"/>
      <c r="O90" s="546"/>
      <c r="P90" s="473"/>
    </row>
    <row r="91">
      <c r="A91" s="138"/>
      <c r="B91" s="25"/>
      <c r="C91" s="16"/>
      <c r="M91" s="546"/>
      <c r="N91" s="546"/>
      <c r="O91" s="546"/>
      <c r="P91" s="473"/>
    </row>
    <row r="92">
      <c r="A92" s="138"/>
      <c r="B92" s="25"/>
      <c r="C92" s="16"/>
      <c r="M92" s="546"/>
      <c r="N92" s="546"/>
      <c r="O92" s="546"/>
      <c r="P92" s="473"/>
    </row>
    <row r="93">
      <c r="A93" s="138"/>
      <c r="B93" s="25"/>
      <c r="C93" s="16"/>
      <c r="M93" s="546"/>
      <c r="N93" s="546"/>
      <c r="O93" s="546"/>
      <c r="P93" s="473"/>
    </row>
    <row r="94">
      <c r="A94" s="138"/>
      <c r="B94" s="25"/>
      <c r="C94" s="16"/>
      <c r="M94" s="546"/>
      <c r="N94" s="546"/>
      <c r="O94" s="546"/>
      <c r="P94" s="473"/>
    </row>
    <row r="95">
      <c r="A95" s="138"/>
      <c r="B95" s="25"/>
      <c r="C95" s="16"/>
      <c r="M95" s="546"/>
      <c r="N95" s="546"/>
      <c r="O95" s="546"/>
      <c r="P95" s="473"/>
    </row>
    <row r="96">
      <c r="A96" s="138"/>
      <c r="B96" s="25"/>
      <c r="C96" s="16"/>
      <c r="M96" s="546"/>
      <c r="N96" s="546"/>
      <c r="O96" s="546"/>
      <c r="P96" s="473"/>
    </row>
    <row r="97">
      <c r="A97" s="138"/>
      <c r="B97" s="25"/>
      <c r="C97" s="16"/>
      <c r="M97" s="546"/>
      <c r="N97" s="546"/>
      <c r="O97" s="546"/>
      <c r="P97" s="473"/>
    </row>
    <row r="98">
      <c r="A98" s="138"/>
      <c r="B98" s="25"/>
      <c r="C98" s="16"/>
      <c r="M98" s="546"/>
      <c r="N98" s="546"/>
      <c r="O98" s="546"/>
      <c r="P98" s="473"/>
    </row>
    <row r="99">
      <c r="A99" s="138"/>
      <c r="B99" s="25"/>
      <c r="C99" s="16"/>
      <c r="M99" s="546"/>
      <c r="N99" s="546"/>
      <c r="O99" s="546"/>
      <c r="P99" s="473"/>
    </row>
    <row r="100">
      <c r="A100" s="138"/>
      <c r="B100" s="25"/>
      <c r="C100" s="16"/>
      <c r="M100" s="546"/>
      <c r="N100" s="546"/>
      <c r="O100" s="546"/>
      <c r="P100" s="473"/>
    </row>
    <row r="101">
      <c r="A101" s="138"/>
      <c r="B101" s="25"/>
      <c r="C101" s="16"/>
      <c r="M101" s="546"/>
      <c r="N101" s="546"/>
      <c r="O101" s="546"/>
      <c r="P101" s="473"/>
    </row>
    <row r="102">
      <c r="A102" s="138"/>
      <c r="B102" s="25"/>
      <c r="C102" s="16"/>
      <c r="M102" s="546"/>
      <c r="N102" s="546"/>
      <c r="O102" s="546"/>
      <c r="P102" s="473"/>
    </row>
    <row r="103">
      <c r="A103" s="138"/>
      <c r="B103" s="25"/>
      <c r="C103" s="16"/>
      <c r="M103" s="546"/>
      <c r="N103" s="546"/>
      <c r="O103" s="546"/>
      <c r="P103" s="473"/>
    </row>
    <row r="104">
      <c r="A104" s="138"/>
      <c r="B104" s="25"/>
      <c r="C104" s="16"/>
      <c r="M104" s="546"/>
      <c r="N104" s="546"/>
      <c r="O104" s="546"/>
      <c r="P104" s="473"/>
    </row>
    <row r="105">
      <c r="A105" s="138"/>
      <c r="B105" s="25"/>
      <c r="C105" s="16"/>
      <c r="M105" s="546"/>
      <c r="N105" s="546"/>
      <c r="O105" s="546"/>
      <c r="P105" s="473"/>
    </row>
    <row r="106">
      <c r="A106" s="138"/>
      <c r="B106" s="25"/>
      <c r="C106" s="16"/>
      <c r="M106" s="546"/>
      <c r="N106" s="546"/>
      <c r="O106" s="546"/>
      <c r="P106" s="473"/>
    </row>
    <row r="107">
      <c r="A107" s="138"/>
      <c r="B107" s="25"/>
      <c r="C107" s="16"/>
      <c r="M107" s="546"/>
      <c r="N107" s="546"/>
      <c r="O107" s="546"/>
      <c r="P107" s="473"/>
    </row>
    <row r="108">
      <c r="A108" s="138"/>
      <c r="B108" s="25"/>
      <c r="C108" s="16"/>
      <c r="M108" s="546"/>
      <c r="N108" s="546"/>
      <c r="O108" s="546"/>
      <c r="P108" s="473"/>
    </row>
    <row r="109">
      <c r="A109" s="138"/>
      <c r="B109" s="25"/>
      <c r="C109" s="16"/>
      <c r="M109" s="546"/>
      <c r="N109" s="546"/>
      <c r="O109" s="546"/>
      <c r="P109" s="473"/>
    </row>
    <row r="110">
      <c r="A110" s="138"/>
      <c r="B110" s="25"/>
      <c r="C110" s="16"/>
      <c r="M110" s="546"/>
      <c r="N110" s="546"/>
      <c r="O110" s="546"/>
      <c r="P110" s="473"/>
    </row>
    <row r="111">
      <c r="A111" s="138"/>
      <c r="B111" s="25"/>
      <c r="C111" s="21"/>
      <c r="M111" s="546"/>
      <c r="N111" s="546"/>
      <c r="O111" s="546"/>
      <c r="P111" s="473"/>
    </row>
    <row r="112">
      <c r="A112" s="138"/>
      <c r="B112" s="25"/>
      <c r="C112" s="21"/>
      <c r="M112" s="546"/>
      <c r="N112" s="546"/>
      <c r="O112" s="546"/>
      <c r="P112" s="473"/>
    </row>
    <row r="113">
      <c r="A113" s="138"/>
      <c r="B113" s="25"/>
      <c r="C113" s="21"/>
      <c r="M113" s="546"/>
      <c r="N113" s="546"/>
      <c r="O113" s="546"/>
      <c r="P113" s="473"/>
    </row>
    <row r="114">
      <c r="A114" s="138"/>
      <c r="B114" s="25"/>
      <c r="C114" s="21"/>
      <c r="M114" s="546"/>
      <c r="N114" s="546"/>
      <c r="O114" s="546"/>
      <c r="P114" s="473"/>
    </row>
    <row r="115">
      <c r="A115" s="138"/>
      <c r="B115" s="25"/>
      <c r="C115" s="21"/>
      <c r="M115" s="546"/>
      <c r="N115" s="546"/>
      <c r="O115" s="546"/>
      <c r="P115" s="473"/>
    </row>
    <row r="116">
      <c r="A116" s="138"/>
      <c r="B116" s="25"/>
      <c r="C116" s="21"/>
      <c r="M116" s="546"/>
      <c r="N116" s="546"/>
      <c r="O116" s="546"/>
      <c r="P116" s="473"/>
    </row>
    <row r="117">
      <c r="A117" s="138"/>
      <c r="B117" s="25"/>
      <c r="C117" s="21"/>
      <c r="M117" s="546"/>
      <c r="N117" s="546"/>
      <c r="O117" s="546"/>
      <c r="P117" s="473"/>
    </row>
    <row r="118">
      <c r="A118" s="138"/>
      <c r="B118" s="25"/>
      <c r="C118" s="16"/>
      <c r="M118" s="546"/>
      <c r="N118" s="546"/>
      <c r="O118" s="546"/>
      <c r="P118" s="473"/>
    </row>
    <row r="119">
      <c r="A119" s="138"/>
      <c r="B119" s="25"/>
      <c r="C119" s="21"/>
      <c r="M119" s="546"/>
      <c r="N119" s="546"/>
      <c r="O119" s="546"/>
      <c r="P119" s="473"/>
    </row>
    <row r="120">
      <c r="A120" s="138"/>
      <c r="B120" s="25"/>
      <c r="C120" s="16"/>
      <c r="M120" s="546"/>
      <c r="N120" s="546"/>
      <c r="O120" s="546"/>
      <c r="P120" s="473"/>
    </row>
    <row r="121">
      <c r="A121" s="138"/>
      <c r="B121" s="25"/>
      <c r="C121" s="21"/>
      <c r="M121" s="546"/>
      <c r="N121" s="546"/>
      <c r="O121" s="546"/>
      <c r="P121" s="473"/>
    </row>
    <row r="122">
      <c r="A122" s="138"/>
      <c r="B122" s="25"/>
      <c r="C122" s="16"/>
      <c r="M122" s="546"/>
      <c r="N122" s="546"/>
      <c r="O122" s="546"/>
      <c r="P122" s="473"/>
    </row>
    <row r="123">
      <c r="A123" s="138"/>
      <c r="B123" s="25"/>
      <c r="C123" s="21"/>
      <c r="M123" s="546"/>
      <c r="N123" s="546"/>
      <c r="O123" s="546"/>
      <c r="P123" s="473"/>
    </row>
    <row r="124">
      <c r="A124" s="138"/>
      <c r="B124" s="25"/>
      <c r="C124" s="21"/>
      <c r="M124" s="546"/>
      <c r="N124" s="546"/>
      <c r="O124" s="546"/>
      <c r="P124" s="473"/>
    </row>
    <row r="125">
      <c r="A125" s="138"/>
      <c r="B125" s="25"/>
      <c r="C125" s="16"/>
      <c r="M125" s="546"/>
      <c r="N125" s="546"/>
      <c r="O125" s="546"/>
      <c r="P125" s="473"/>
    </row>
    <row r="126">
      <c r="A126" s="138"/>
      <c r="B126" s="25"/>
      <c r="C126" s="21"/>
      <c r="M126" s="546"/>
      <c r="N126" s="546"/>
      <c r="O126" s="546"/>
      <c r="P126" s="473"/>
    </row>
    <row r="127">
      <c r="A127" s="138"/>
      <c r="B127" s="25"/>
      <c r="C127" s="21"/>
      <c r="M127" s="546"/>
      <c r="N127" s="546"/>
      <c r="O127" s="546"/>
      <c r="P127" s="473"/>
    </row>
    <row r="128">
      <c r="A128" s="138"/>
      <c r="B128" s="25"/>
      <c r="C128" s="21"/>
      <c r="M128" s="546"/>
      <c r="N128" s="546"/>
      <c r="O128" s="546"/>
      <c r="P128" s="473"/>
    </row>
    <row r="129">
      <c r="A129" s="138"/>
      <c r="B129" s="25"/>
      <c r="C129" s="21"/>
      <c r="M129" s="546"/>
      <c r="N129" s="546"/>
      <c r="O129" s="546"/>
      <c r="P129" s="473"/>
    </row>
    <row r="130">
      <c r="A130" s="138"/>
      <c r="B130" s="25"/>
      <c r="C130" s="21"/>
      <c r="M130" s="546"/>
      <c r="N130" s="546"/>
      <c r="O130" s="546"/>
      <c r="P130" s="473"/>
    </row>
    <row r="131">
      <c r="A131" s="138"/>
      <c r="B131" s="25"/>
      <c r="C131" s="21"/>
      <c r="M131" s="546"/>
      <c r="N131" s="546"/>
      <c r="O131" s="546"/>
      <c r="P131" s="473"/>
    </row>
    <row r="132">
      <c r="A132" s="138"/>
      <c r="B132" s="25"/>
      <c r="C132" s="21"/>
      <c r="M132" s="546"/>
      <c r="N132" s="546"/>
      <c r="O132" s="546"/>
      <c r="P132" s="473"/>
    </row>
    <row r="133">
      <c r="A133" s="138"/>
      <c r="B133" s="25"/>
      <c r="C133" s="21"/>
      <c r="M133" s="546"/>
      <c r="N133" s="546"/>
      <c r="O133" s="546"/>
      <c r="P133" s="473"/>
    </row>
    <row r="134">
      <c r="A134" s="138"/>
      <c r="B134" s="25"/>
      <c r="C134" s="21"/>
      <c r="M134" s="546"/>
      <c r="N134" s="546"/>
      <c r="O134" s="546"/>
      <c r="P134" s="473"/>
    </row>
    <row r="135">
      <c r="A135" s="138"/>
      <c r="B135" s="25"/>
      <c r="C135" s="21"/>
      <c r="M135" s="546"/>
      <c r="N135" s="546"/>
      <c r="O135" s="546"/>
      <c r="P135" s="473"/>
    </row>
    <row r="136">
      <c r="A136" s="138"/>
      <c r="B136" s="25"/>
      <c r="C136" s="21"/>
      <c r="M136" s="546"/>
      <c r="N136" s="546"/>
      <c r="O136" s="546"/>
      <c r="P136" s="473"/>
    </row>
    <row r="137">
      <c r="A137" s="138"/>
      <c r="B137" s="25"/>
      <c r="C137" s="21"/>
      <c r="M137" s="546"/>
      <c r="N137" s="546"/>
      <c r="O137" s="546"/>
      <c r="P137" s="473"/>
    </row>
    <row r="138">
      <c r="A138" s="138"/>
      <c r="B138" s="25"/>
      <c r="C138" s="21"/>
      <c r="M138" s="546"/>
      <c r="N138" s="546"/>
      <c r="O138" s="546"/>
      <c r="P138" s="473"/>
    </row>
    <row r="139">
      <c r="A139" s="138"/>
      <c r="B139" s="25"/>
      <c r="C139" s="21"/>
      <c r="M139" s="546"/>
      <c r="N139" s="546"/>
      <c r="O139" s="546"/>
      <c r="P139" s="473"/>
    </row>
    <row r="140">
      <c r="A140" s="138"/>
      <c r="B140" s="25"/>
      <c r="C140" s="21"/>
      <c r="M140" s="546"/>
      <c r="N140" s="546"/>
      <c r="O140" s="546"/>
      <c r="P140" s="473"/>
    </row>
    <row r="141">
      <c r="A141" s="138"/>
      <c r="B141" s="25"/>
      <c r="C141" s="21"/>
      <c r="M141" s="546"/>
      <c r="N141" s="546"/>
      <c r="O141" s="546"/>
      <c r="P141" s="473"/>
    </row>
    <row r="142">
      <c r="B142" s="14"/>
      <c r="C142" s="16"/>
      <c r="M142" s="546"/>
      <c r="N142" s="546"/>
      <c r="O142" s="546"/>
      <c r="P142" s="473"/>
    </row>
    <row r="143">
      <c r="B143" s="14"/>
      <c r="C143" s="16"/>
      <c r="M143" s="546"/>
      <c r="N143" s="546"/>
      <c r="O143" s="546"/>
      <c r="P143" s="473"/>
    </row>
    <row r="144">
      <c r="B144" s="14"/>
      <c r="C144" s="21"/>
      <c r="M144" s="546"/>
      <c r="N144" s="546"/>
      <c r="O144" s="546"/>
      <c r="P144" s="473"/>
    </row>
    <row r="145">
      <c r="B145" s="14"/>
      <c r="C145" s="16"/>
      <c r="M145" s="546"/>
      <c r="N145" s="546"/>
      <c r="O145" s="546"/>
      <c r="P145" s="473"/>
    </row>
    <row r="146">
      <c r="B146" s="14"/>
      <c r="C146" s="16"/>
      <c r="M146" s="546"/>
      <c r="N146" s="546"/>
      <c r="O146" s="546"/>
      <c r="P146" s="473"/>
    </row>
    <row r="147">
      <c r="B147" s="14"/>
      <c r="C147" s="21"/>
      <c r="M147" s="546"/>
      <c r="N147" s="546"/>
      <c r="O147" s="546"/>
      <c r="P147" s="473"/>
    </row>
    <row r="148">
      <c r="B148" s="14"/>
      <c r="C148" s="21"/>
      <c r="M148" s="546"/>
      <c r="N148" s="546"/>
      <c r="O148" s="546"/>
      <c r="P148" s="473"/>
    </row>
    <row r="149">
      <c r="B149" s="14"/>
      <c r="C149" s="16"/>
      <c r="M149" s="546"/>
      <c r="N149" s="546"/>
      <c r="O149" s="546"/>
      <c r="P149" s="473"/>
    </row>
    <row r="150">
      <c r="B150" s="14"/>
      <c r="C150" s="16"/>
      <c r="M150" s="546"/>
      <c r="N150" s="546"/>
      <c r="O150" s="546"/>
      <c r="P150" s="473"/>
    </row>
    <row r="151">
      <c r="B151" s="14"/>
      <c r="C151" s="98"/>
      <c r="M151" s="546"/>
      <c r="N151" s="546"/>
      <c r="O151" s="546"/>
      <c r="P151" s="473"/>
    </row>
    <row r="152">
      <c r="B152" s="14"/>
      <c r="C152" s="69"/>
      <c r="M152" s="546"/>
      <c r="N152" s="546"/>
      <c r="O152" s="546"/>
      <c r="P152" s="473"/>
    </row>
    <row r="153">
      <c r="B153" s="14"/>
      <c r="C153" s="16"/>
      <c r="M153" s="546"/>
      <c r="N153" s="546"/>
      <c r="O153" s="546"/>
      <c r="P153" s="473"/>
    </row>
    <row r="154">
      <c r="B154" s="14"/>
      <c r="C154" s="69"/>
      <c r="M154" s="546"/>
      <c r="N154" s="546"/>
      <c r="O154" s="546"/>
      <c r="P154" s="473"/>
    </row>
    <row r="155">
      <c r="B155" s="14"/>
      <c r="C155" s="98"/>
      <c r="M155" s="546"/>
      <c r="N155" s="546"/>
      <c r="O155" s="546"/>
      <c r="P155" s="473"/>
    </row>
    <row r="156">
      <c r="B156" s="14"/>
      <c r="C156" s="98"/>
      <c r="M156" s="546"/>
      <c r="N156" s="546"/>
      <c r="O156" s="546"/>
      <c r="P156" s="473"/>
    </row>
    <row r="157">
      <c r="B157" s="14"/>
      <c r="C157" s="69"/>
      <c r="M157" s="546"/>
      <c r="N157" s="546"/>
      <c r="O157" s="546"/>
      <c r="P157" s="473"/>
    </row>
    <row r="158">
      <c r="B158" s="14"/>
      <c r="C158" s="16"/>
      <c r="M158" s="546"/>
      <c r="N158" s="546"/>
      <c r="O158" s="546"/>
      <c r="P158" s="473"/>
    </row>
    <row r="159">
      <c r="B159" s="14"/>
      <c r="C159" s="16"/>
      <c r="M159" s="546"/>
      <c r="N159" s="546"/>
      <c r="O159" s="546"/>
      <c r="P159" s="473"/>
    </row>
    <row r="160">
      <c r="B160" s="14"/>
      <c r="C160" s="21"/>
      <c r="M160" s="546"/>
      <c r="N160" s="546"/>
      <c r="O160" s="546"/>
      <c r="P160" s="473"/>
    </row>
    <row r="161">
      <c r="B161" s="14"/>
      <c r="C161" s="21"/>
      <c r="M161" s="546"/>
      <c r="N161" s="546"/>
      <c r="O161" s="546"/>
      <c r="P161" s="473"/>
    </row>
    <row r="162">
      <c r="B162" s="14"/>
      <c r="C162" s="16"/>
      <c r="M162" s="546"/>
      <c r="N162" s="546"/>
      <c r="O162" s="546"/>
      <c r="P162" s="473"/>
    </row>
    <row r="163">
      <c r="B163" s="14"/>
      <c r="C163" s="21"/>
      <c r="M163" s="546"/>
      <c r="N163" s="546"/>
      <c r="O163" s="546"/>
      <c r="P163" s="473"/>
    </row>
    <row r="164">
      <c r="B164" s="14"/>
      <c r="C164" s="21"/>
      <c r="M164" s="546"/>
      <c r="N164" s="546"/>
      <c r="O164" s="546"/>
      <c r="P164" s="473"/>
    </row>
    <row r="165">
      <c r="B165" s="14"/>
      <c r="C165" s="21"/>
      <c r="M165" s="546"/>
      <c r="N165" s="546"/>
      <c r="O165" s="546"/>
      <c r="P165" s="473"/>
    </row>
    <row r="166">
      <c r="B166" s="14"/>
      <c r="C166" s="16"/>
      <c r="M166" s="546"/>
      <c r="N166" s="546"/>
      <c r="O166" s="546"/>
      <c r="P166" s="473"/>
    </row>
    <row r="167">
      <c r="B167" s="14"/>
      <c r="C167" s="21"/>
      <c r="M167" s="546"/>
      <c r="N167" s="546"/>
      <c r="O167" s="546"/>
      <c r="P167" s="473"/>
    </row>
    <row r="168">
      <c r="B168" s="14"/>
      <c r="C168" s="21"/>
      <c r="M168" s="546"/>
      <c r="N168" s="546"/>
      <c r="O168" s="546"/>
      <c r="P168" s="473"/>
    </row>
    <row r="169">
      <c r="B169" s="14"/>
      <c r="C169" s="21"/>
      <c r="M169" s="546"/>
      <c r="N169" s="546"/>
      <c r="O169" s="546"/>
      <c r="P169" s="473"/>
    </row>
    <row r="170">
      <c r="B170" s="14"/>
      <c r="C170" s="16"/>
      <c r="M170" s="546"/>
      <c r="N170" s="546"/>
      <c r="O170" s="546"/>
      <c r="P170" s="473"/>
    </row>
    <row r="171">
      <c r="B171" s="14"/>
      <c r="C171" s="21"/>
      <c r="M171" s="546"/>
      <c r="N171" s="546"/>
      <c r="O171" s="546"/>
      <c r="P171" s="473"/>
    </row>
    <row r="172">
      <c r="B172" s="14"/>
      <c r="C172" s="16"/>
      <c r="M172" s="546"/>
      <c r="N172" s="546"/>
      <c r="O172" s="546"/>
      <c r="P172" s="473"/>
    </row>
    <row r="173">
      <c r="B173" s="14"/>
      <c r="C173" s="16"/>
      <c r="M173" s="546"/>
      <c r="N173" s="546"/>
      <c r="O173" s="546"/>
      <c r="P173" s="473"/>
    </row>
    <row r="174">
      <c r="B174" s="14"/>
      <c r="C174" s="16"/>
      <c r="M174" s="546"/>
      <c r="N174" s="546"/>
      <c r="O174" s="546"/>
      <c r="P174" s="473"/>
    </row>
    <row r="175">
      <c r="B175" s="14"/>
      <c r="C175" s="21"/>
      <c r="M175" s="546"/>
      <c r="N175" s="546"/>
      <c r="O175" s="546"/>
      <c r="P175" s="473"/>
    </row>
    <row r="176">
      <c r="B176" s="14"/>
      <c r="C176" s="21"/>
      <c r="M176" s="546"/>
      <c r="N176" s="546"/>
      <c r="O176" s="546"/>
      <c r="P176" s="473"/>
    </row>
    <row r="177">
      <c r="B177" s="14"/>
      <c r="C177" s="16"/>
      <c r="M177" s="546"/>
      <c r="N177" s="546"/>
      <c r="O177" s="546"/>
      <c r="P177" s="473"/>
    </row>
    <row r="178">
      <c r="B178" s="14"/>
      <c r="C178" s="21"/>
      <c r="M178" s="546"/>
      <c r="N178" s="546"/>
      <c r="O178" s="546"/>
      <c r="P178" s="473"/>
    </row>
    <row r="179">
      <c r="B179" s="14"/>
      <c r="C179" s="21"/>
      <c r="M179" s="546"/>
      <c r="N179" s="546"/>
      <c r="O179" s="546"/>
      <c r="P179" s="473"/>
    </row>
    <row r="180">
      <c r="B180" s="14"/>
      <c r="C180" s="21"/>
      <c r="M180" s="546"/>
      <c r="N180" s="546"/>
      <c r="O180" s="546"/>
      <c r="P180" s="473"/>
    </row>
    <row r="181">
      <c r="B181" s="14"/>
      <c r="C181" s="21"/>
      <c r="M181" s="546"/>
      <c r="N181" s="546"/>
      <c r="O181" s="546"/>
      <c r="P181" s="473"/>
    </row>
    <row r="182">
      <c r="B182" s="14"/>
      <c r="C182" s="21"/>
      <c r="M182" s="546"/>
      <c r="N182" s="546"/>
      <c r="O182" s="546"/>
      <c r="P182" s="473"/>
    </row>
    <row r="183">
      <c r="B183" s="14"/>
      <c r="C183" s="16"/>
      <c r="M183" s="546"/>
      <c r="N183" s="546"/>
      <c r="O183" s="546"/>
      <c r="P183" s="473"/>
    </row>
    <row r="184">
      <c r="B184" s="14"/>
      <c r="C184" s="21"/>
      <c r="M184" s="546"/>
      <c r="N184" s="546"/>
      <c r="O184" s="546"/>
      <c r="P184" s="473"/>
    </row>
    <row r="185">
      <c r="B185" s="14"/>
      <c r="C185" s="21"/>
      <c r="M185" s="546"/>
      <c r="N185" s="546"/>
      <c r="O185" s="546"/>
      <c r="P185" s="473"/>
    </row>
    <row r="186">
      <c r="B186" s="14"/>
      <c r="C186" s="21"/>
      <c r="M186" s="546"/>
      <c r="N186" s="546"/>
      <c r="O186" s="546"/>
      <c r="P186" s="473"/>
    </row>
    <row r="187">
      <c r="B187" s="14"/>
      <c r="C187" s="21"/>
      <c r="M187" s="546"/>
      <c r="N187" s="546"/>
      <c r="O187" s="546"/>
      <c r="P187" s="473"/>
    </row>
    <row r="188">
      <c r="B188" s="14"/>
      <c r="C188" s="21"/>
      <c r="M188" s="546"/>
      <c r="N188" s="546"/>
      <c r="O188" s="546"/>
      <c r="P188" s="473"/>
    </row>
    <row r="189">
      <c r="B189" s="14"/>
      <c r="C189" s="21"/>
      <c r="M189" s="546"/>
      <c r="N189" s="546"/>
      <c r="O189" s="546"/>
      <c r="P189" s="473"/>
    </row>
    <row r="190">
      <c r="B190" s="14"/>
      <c r="C190" s="21"/>
      <c r="M190" s="546"/>
      <c r="N190" s="546"/>
      <c r="O190" s="546"/>
      <c r="P190" s="473"/>
    </row>
    <row r="191">
      <c r="B191" s="14"/>
      <c r="C191" s="21"/>
      <c r="M191" s="546"/>
      <c r="N191" s="546"/>
      <c r="O191" s="546"/>
      <c r="P191" s="473"/>
    </row>
    <row r="192">
      <c r="B192" s="14"/>
      <c r="C192" s="16"/>
      <c r="M192" s="546"/>
      <c r="N192" s="546"/>
      <c r="O192" s="546"/>
      <c r="P192" s="473"/>
    </row>
    <row r="193">
      <c r="B193" s="14"/>
      <c r="C193" s="16"/>
      <c r="M193" s="546"/>
      <c r="N193" s="546"/>
      <c r="O193" s="546"/>
      <c r="P193" s="473"/>
    </row>
    <row r="194">
      <c r="B194" s="14"/>
      <c r="C194" s="16"/>
      <c r="M194" s="546"/>
      <c r="N194" s="546"/>
      <c r="O194" s="546"/>
      <c r="P194" s="473"/>
    </row>
    <row r="195">
      <c r="B195" s="14"/>
      <c r="C195" s="16"/>
      <c r="M195" s="546"/>
      <c r="N195" s="546"/>
      <c r="O195" s="546"/>
      <c r="P195" s="473"/>
    </row>
    <row r="196">
      <c r="B196" s="14"/>
      <c r="C196" s="16"/>
      <c r="M196" s="546"/>
      <c r="N196" s="546"/>
      <c r="O196" s="546"/>
      <c r="P196" s="473"/>
    </row>
    <row r="197">
      <c r="B197" s="14"/>
      <c r="C197" s="16"/>
      <c r="M197" s="546"/>
      <c r="N197" s="546"/>
      <c r="O197" s="546"/>
      <c r="P197" s="473"/>
    </row>
    <row r="198">
      <c r="B198" s="14"/>
      <c r="C198" s="16"/>
      <c r="M198" s="546"/>
      <c r="N198" s="546"/>
      <c r="O198" s="546"/>
      <c r="P198" s="473"/>
    </row>
    <row r="199">
      <c r="B199" s="14"/>
      <c r="C199" s="16"/>
      <c r="M199" s="546"/>
      <c r="N199" s="546"/>
      <c r="O199" s="546"/>
      <c r="P199" s="473"/>
    </row>
    <row r="200">
      <c r="B200" s="14"/>
      <c r="C200" s="16"/>
      <c r="M200" s="546"/>
      <c r="N200" s="546"/>
      <c r="O200" s="546"/>
      <c r="P200" s="473"/>
    </row>
    <row r="201">
      <c r="B201" s="14"/>
      <c r="C201" s="16"/>
      <c r="M201" s="546"/>
      <c r="N201" s="546"/>
      <c r="O201" s="546"/>
      <c r="P201" s="473"/>
    </row>
    <row r="202">
      <c r="B202" s="14"/>
      <c r="C202" s="16"/>
      <c r="M202" s="546"/>
      <c r="N202" s="546"/>
      <c r="O202" s="546"/>
      <c r="P202" s="473"/>
    </row>
    <row r="203">
      <c r="B203" s="14"/>
      <c r="C203" s="16"/>
      <c r="M203" s="546"/>
      <c r="N203" s="546"/>
      <c r="O203" s="546"/>
      <c r="P203" s="473"/>
    </row>
    <row r="204">
      <c r="B204" s="14"/>
      <c r="C204" s="16"/>
      <c r="M204" s="546"/>
      <c r="N204" s="546"/>
      <c r="O204" s="546"/>
      <c r="P204" s="473"/>
    </row>
    <row r="205">
      <c r="B205" s="14"/>
      <c r="C205" s="16"/>
      <c r="M205" s="546"/>
      <c r="N205" s="546"/>
      <c r="O205" s="546"/>
      <c r="P205" s="473"/>
    </row>
    <row r="206">
      <c r="B206" s="14"/>
      <c r="C206" s="16"/>
      <c r="M206" s="546"/>
      <c r="N206" s="546"/>
      <c r="O206" s="546"/>
      <c r="P206" s="473"/>
    </row>
    <row r="207">
      <c r="B207" s="14"/>
      <c r="C207" s="16"/>
      <c r="M207" s="546"/>
      <c r="N207" s="546"/>
      <c r="O207" s="546"/>
      <c r="P207" s="473"/>
    </row>
    <row r="208">
      <c r="B208" s="14"/>
      <c r="C208" s="16"/>
      <c r="M208" s="546"/>
      <c r="N208" s="546"/>
      <c r="O208" s="546"/>
      <c r="P208" s="473"/>
    </row>
    <row r="209">
      <c r="B209" s="14"/>
      <c r="C209" s="16"/>
      <c r="M209" s="546"/>
      <c r="N209" s="546"/>
      <c r="O209" s="546"/>
      <c r="P209" s="473"/>
    </row>
    <row r="210">
      <c r="B210" s="14"/>
      <c r="C210" s="16"/>
      <c r="M210" s="546"/>
      <c r="N210" s="546"/>
      <c r="O210" s="546"/>
      <c r="P210" s="473"/>
    </row>
    <row r="211">
      <c r="B211" s="14"/>
      <c r="C211" s="16"/>
      <c r="M211" s="546"/>
      <c r="N211" s="546"/>
      <c r="O211" s="546"/>
      <c r="P211" s="473"/>
    </row>
    <row r="212">
      <c r="B212" s="14"/>
      <c r="C212" s="16"/>
      <c r="M212" s="546"/>
      <c r="N212" s="546"/>
      <c r="O212" s="546"/>
      <c r="P212" s="473"/>
    </row>
    <row r="213">
      <c r="B213" s="14"/>
      <c r="C213" s="16"/>
      <c r="M213" s="546"/>
      <c r="N213" s="546"/>
      <c r="O213" s="546"/>
      <c r="P213" s="473"/>
    </row>
    <row r="214">
      <c r="B214" s="14"/>
      <c r="C214" s="16"/>
      <c r="M214" s="546"/>
      <c r="N214" s="546"/>
      <c r="O214" s="546"/>
      <c r="P214" s="473"/>
    </row>
    <row r="215">
      <c r="B215" s="14"/>
      <c r="C215" s="16"/>
      <c r="M215" s="546"/>
      <c r="N215" s="546"/>
      <c r="O215" s="546"/>
      <c r="P215" s="473"/>
    </row>
    <row r="216">
      <c r="B216" s="14"/>
      <c r="C216" s="16"/>
      <c r="M216" s="546"/>
      <c r="N216" s="546"/>
      <c r="O216" s="546"/>
      <c r="P216" s="473"/>
    </row>
    <row r="217">
      <c r="B217" s="14"/>
      <c r="C217" s="16"/>
      <c r="M217" s="546"/>
      <c r="N217" s="546"/>
      <c r="O217" s="546"/>
      <c r="P217" s="473"/>
    </row>
    <row r="218">
      <c r="B218" s="14"/>
      <c r="C218" s="16"/>
      <c r="M218" s="546"/>
      <c r="N218" s="546"/>
      <c r="O218" s="546"/>
      <c r="P218" s="473"/>
    </row>
    <row r="219">
      <c r="B219" s="14"/>
      <c r="C219" s="16"/>
      <c r="M219" s="546"/>
      <c r="N219" s="546"/>
      <c r="O219" s="546"/>
      <c r="P219" s="473"/>
    </row>
    <row r="220">
      <c r="B220" s="14"/>
      <c r="C220" s="16"/>
      <c r="M220" s="546"/>
      <c r="N220" s="546"/>
      <c r="O220" s="546"/>
      <c r="P220" s="473"/>
    </row>
    <row r="221">
      <c r="B221" s="14"/>
      <c r="C221" s="16"/>
      <c r="M221" s="546"/>
      <c r="N221" s="546"/>
      <c r="O221" s="546"/>
      <c r="P221" s="473"/>
    </row>
    <row r="222">
      <c r="B222" s="14"/>
      <c r="C222" s="16"/>
      <c r="M222" s="546"/>
      <c r="N222" s="546"/>
      <c r="O222" s="546"/>
      <c r="P222" s="473"/>
    </row>
    <row r="223">
      <c r="B223" s="14"/>
      <c r="C223" s="16"/>
      <c r="M223" s="546"/>
      <c r="N223" s="546"/>
      <c r="O223" s="546"/>
      <c r="P223" s="473"/>
    </row>
    <row r="224">
      <c r="B224" s="14"/>
      <c r="C224" s="16"/>
      <c r="M224" s="546"/>
      <c r="N224" s="546"/>
      <c r="O224" s="546"/>
      <c r="P224" s="473"/>
    </row>
    <row r="225">
      <c r="B225" s="14"/>
      <c r="C225" s="16"/>
      <c r="M225" s="546"/>
      <c r="N225" s="546"/>
      <c r="O225" s="546"/>
      <c r="P225" s="473"/>
    </row>
    <row r="226">
      <c r="B226" s="14"/>
      <c r="C226" s="16"/>
      <c r="M226" s="546"/>
      <c r="N226" s="546"/>
      <c r="O226" s="546"/>
      <c r="P226" s="473"/>
    </row>
    <row r="227">
      <c r="B227" s="14"/>
      <c r="C227" s="16"/>
      <c r="M227" s="546"/>
      <c r="N227" s="546"/>
      <c r="O227" s="546"/>
      <c r="P227" s="473"/>
    </row>
    <row r="228">
      <c r="B228" s="14"/>
      <c r="C228" s="16"/>
      <c r="M228" s="546"/>
      <c r="N228" s="546"/>
      <c r="O228" s="546"/>
      <c r="P228" s="473"/>
    </row>
    <row r="229">
      <c r="B229" s="14"/>
      <c r="C229" s="16"/>
      <c r="M229" s="546"/>
      <c r="N229" s="546"/>
      <c r="O229" s="546"/>
      <c r="P229" s="473"/>
    </row>
    <row r="230">
      <c r="B230" s="14"/>
      <c r="C230" s="16"/>
      <c r="M230" s="546"/>
      <c r="N230" s="546"/>
      <c r="O230" s="546"/>
      <c r="P230" s="473"/>
    </row>
    <row r="231">
      <c r="B231" s="14"/>
      <c r="C231" s="16"/>
      <c r="M231" s="546"/>
      <c r="N231" s="546"/>
      <c r="O231" s="546"/>
      <c r="P231" s="473"/>
    </row>
    <row r="232">
      <c r="B232" s="14"/>
      <c r="C232" s="16"/>
      <c r="M232" s="546"/>
      <c r="N232" s="546"/>
      <c r="O232" s="546"/>
      <c r="P232" s="473"/>
    </row>
    <row r="233">
      <c r="B233" s="14"/>
      <c r="C233" s="16"/>
      <c r="M233" s="546"/>
      <c r="N233" s="546"/>
      <c r="O233" s="546"/>
      <c r="P233" s="473"/>
    </row>
    <row r="234">
      <c r="B234" s="14"/>
      <c r="C234" s="16"/>
      <c r="M234" s="546"/>
      <c r="N234" s="546"/>
      <c r="O234" s="546"/>
      <c r="P234" s="473"/>
    </row>
    <row r="235">
      <c r="B235" s="14"/>
      <c r="C235" s="16"/>
      <c r="M235" s="546"/>
      <c r="N235" s="546"/>
      <c r="O235" s="546"/>
      <c r="P235" s="473"/>
    </row>
    <row r="236">
      <c r="B236" s="14"/>
      <c r="C236" s="16"/>
      <c r="M236" s="546"/>
      <c r="N236" s="546"/>
      <c r="O236" s="546"/>
      <c r="P236" s="473"/>
    </row>
    <row r="237">
      <c r="B237" s="14"/>
      <c r="C237" s="16"/>
      <c r="M237" s="546"/>
      <c r="N237" s="546"/>
      <c r="O237" s="546"/>
      <c r="P237" s="473"/>
    </row>
    <row r="238">
      <c r="B238" s="14"/>
      <c r="C238" s="16"/>
      <c r="M238" s="546"/>
      <c r="N238" s="546"/>
      <c r="O238" s="546"/>
      <c r="P238" s="473"/>
    </row>
    <row r="239">
      <c r="B239" s="14"/>
      <c r="C239" s="16"/>
      <c r="M239" s="546"/>
      <c r="N239" s="546"/>
      <c r="O239" s="546"/>
      <c r="P239" s="473"/>
    </row>
    <row r="240">
      <c r="B240" s="14"/>
      <c r="C240" s="16"/>
      <c r="M240" s="546"/>
      <c r="N240" s="546"/>
      <c r="O240" s="546"/>
      <c r="P240" s="473"/>
    </row>
    <row r="241">
      <c r="B241" s="14"/>
      <c r="C241" s="16"/>
      <c r="M241" s="546"/>
      <c r="N241" s="546"/>
      <c r="O241" s="546"/>
      <c r="P241" s="473"/>
    </row>
    <row r="242">
      <c r="B242" s="14"/>
      <c r="C242" s="16"/>
      <c r="M242" s="546"/>
      <c r="N242" s="546"/>
      <c r="O242" s="546"/>
      <c r="P242" s="473"/>
    </row>
    <row r="243">
      <c r="B243" s="14">
        <v>44566.0</v>
      </c>
      <c r="C243" s="145"/>
      <c r="M243" s="546"/>
      <c r="N243" s="546"/>
      <c r="O243" s="546"/>
      <c r="P243" s="473"/>
    </row>
    <row r="244">
      <c r="B244" s="14">
        <v>44570.0</v>
      </c>
      <c r="C244" s="145"/>
      <c r="M244" s="546"/>
      <c r="N244" s="546"/>
      <c r="O244" s="546"/>
      <c r="P244" s="473"/>
    </row>
    <row r="245">
      <c r="B245" s="14">
        <v>44573.0</v>
      </c>
      <c r="C245" s="145"/>
      <c r="M245" s="546"/>
      <c r="N245" s="546"/>
      <c r="O245" s="546"/>
      <c r="P245" s="473"/>
    </row>
    <row r="246">
      <c r="B246" s="14">
        <v>44580.0</v>
      </c>
      <c r="C246" s="145"/>
      <c r="M246" s="546"/>
      <c r="N246" s="546"/>
      <c r="O246" s="546"/>
      <c r="P246" s="473"/>
    </row>
    <row r="247">
      <c r="B247" s="14">
        <v>44584.0</v>
      </c>
      <c r="C247" s="145"/>
      <c r="M247" s="546"/>
      <c r="N247" s="546"/>
      <c r="O247" s="546"/>
      <c r="P247" s="473"/>
    </row>
    <row r="248">
      <c r="B248" s="14">
        <v>44591.0</v>
      </c>
      <c r="C248" s="145"/>
      <c r="M248" s="546"/>
      <c r="N248" s="546"/>
      <c r="O248" s="546"/>
      <c r="P248" s="473"/>
    </row>
    <row r="249">
      <c r="B249" s="14">
        <v>44598.0</v>
      </c>
      <c r="C249" s="145"/>
      <c r="M249" s="546"/>
      <c r="N249" s="546"/>
      <c r="O249" s="546"/>
      <c r="P249" s="473"/>
    </row>
    <row r="250">
      <c r="B250" s="14">
        <v>44601.0</v>
      </c>
      <c r="C250" s="145"/>
      <c r="M250" s="546"/>
      <c r="N250" s="546"/>
      <c r="O250" s="546"/>
      <c r="P250" s="473"/>
    </row>
    <row r="251">
      <c r="B251" s="14">
        <v>44603.0</v>
      </c>
      <c r="C251" s="145"/>
      <c r="M251" s="546"/>
      <c r="N251" s="546"/>
      <c r="O251" s="546"/>
      <c r="P251" s="473"/>
    </row>
    <row r="252">
      <c r="B252" s="14">
        <v>44605.0</v>
      </c>
      <c r="C252" s="145"/>
      <c r="M252" s="546"/>
      <c r="N252" s="546"/>
      <c r="O252" s="546"/>
      <c r="P252" s="473"/>
    </row>
    <row r="253">
      <c r="B253" s="14">
        <v>44608.0</v>
      </c>
      <c r="C253" s="145"/>
      <c r="M253" s="546"/>
      <c r="N253" s="546"/>
      <c r="O253" s="546"/>
      <c r="P253" s="473"/>
    </row>
    <row r="254">
      <c r="B254" s="14">
        <v>44616.0</v>
      </c>
      <c r="C254" s="145"/>
      <c r="M254" s="546"/>
      <c r="N254" s="546"/>
      <c r="O254" s="546"/>
      <c r="P254" s="473"/>
    </row>
    <row r="255">
      <c r="B255" s="14">
        <v>44626.0</v>
      </c>
      <c r="C255" s="145"/>
      <c r="M255" s="546"/>
      <c r="N255" s="546"/>
      <c r="O255" s="546"/>
      <c r="P255" s="473"/>
    </row>
    <row r="256">
      <c r="B256" s="14">
        <v>44629.0</v>
      </c>
      <c r="C256" s="145"/>
      <c r="M256" s="546"/>
      <c r="N256" s="546"/>
      <c r="O256" s="546"/>
      <c r="P256" s="473"/>
    </row>
    <row r="257">
      <c r="B257" s="14">
        <v>44633.0</v>
      </c>
      <c r="C257" s="145"/>
      <c r="M257" s="546"/>
      <c r="N257" s="546"/>
      <c r="O257" s="546"/>
      <c r="P257" s="473"/>
    </row>
    <row r="258">
      <c r="B258" s="14">
        <v>44636.0</v>
      </c>
      <c r="C258" s="145"/>
      <c r="M258" s="546"/>
      <c r="N258" s="546"/>
      <c r="O258" s="546"/>
      <c r="P258" s="473"/>
    </row>
    <row r="259">
      <c r="B259" s="14">
        <v>44640.0</v>
      </c>
      <c r="C259" s="145"/>
      <c r="M259" s="546"/>
      <c r="N259" s="546"/>
      <c r="O259" s="546"/>
      <c r="P259" s="473"/>
    </row>
    <row r="260">
      <c r="B260" s="14">
        <v>44654.0</v>
      </c>
      <c r="C260" s="145"/>
      <c r="M260" s="546"/>
      <c r="N260" s="546"/>
      <c r="O260" s="546"/>
      <c r="P260" s="473"/>
    </row>
    <row r="261">
      <c r="B261" s="14">
        <v>44657.0</v>
      </c>
      <c r="C261" s="145"/>
      <c r="M261" s="546"/>
      <c r="N261" s="546"/>
      <c r="O261" s="546"/>
      <c r="P261" s="473"/>
    </row>
    <row r="262">
      <c r="B262" s="14">
        <v>44661.0</v>
      </c>
      <c r="C262" s="145"/>
      <c r="M262" s="546"/>
      <c r="N262" s="546"/>
      <c r="O262" s="546"/>
      <c r="P262" s="473"/>
    </row>
    <row r="263">
      <c r="B263" s="14">
        <v>44668.0</v>
      </c>
      <c r="C263" s="145"/>
      <c r="M263" s="546"/>
      <c r="N263" s="546"/>
      <c r="O263" s="546"/>
      <c r="P263" s="473"/>
    </row>
    <row r="264">
      <c r="B264" s="14">
        <v>44675.0</v>
      </c>
      <c r="C264" s="145"/>
      <c r="M264" s="546"/>
      <c r="N264" s="546"/>
      <c r="O264" s="546"/>
      <c r="P264" s="473"/>
    </row>
    <row r="265">
      <c r="B265" s="14">
        <v>44682.0</v>
      </c>
      <c r="C265" s="145"/>
      <c r="M265" s="546"/>
      <c r="N265" s="546"/>
      <c r="O265" s="546"/>
      <c r="P265" s="473"/>
    </row>
    <row r="266">
      <c r="B266" s="14">
        <v>44689.0</v>
      </c>
      <c r="C266" s="145"/>
      <c r="M266" s="546"/>
      <c r="N266" s="546"/>
      <c r="O266" s="546"/>
      <c r="P266" s="473"/>
    </row>
    <row r="267">
      <c r="B267" s="14">
        <v>44691.0</v>
      </c>
      <c r="C267" s="145"/>
      <c r="M267" s="546"/>
      <c r="N267" s="546"/>
      <c r="O267" s="546"/>
      <c r="P267" s="473"/>
    </row>
    <row r="268">
      <c r="B268" s="14">
        <v>44696.0</v>
      </c>
      <c r="C268" s="145"/>
      <c r="M268" s="546"/>
      <c r="N268" s="546"/>
      <c r="O268" s="546"/>
      <c r="P268" s="473"/>
    </row>
    <row r="269">
      <c r="B269" s="14">
        <v>44703.0</v>
      </c>
      <c r="C269" s="145"/>
      <c r="M269" s="546"/>
      <c r="N269" s="546"/>
      <c r="O269" s="546"/>
      <c r="P269" s="473"/>
    </row>
    <row r="270">
      <c r="B270" s="14">
        <v>44706.0</v>
      </c>
      <c r="C270" s="145"/>
      <c r="M270" s="546"/>
      <c r="N270" s="546"/>
      <c r="O270" s="546"/>
      <c r="P270" s="473"/>
    </row>
    <row r="271">
      <c r="B271" s="14">
        <v>44708.0</v>
      </c>
      <c r="C271" s="145"/>
      <c r="M271" s="546"/>
      <c r="N271" s="546"/>
      <c r="O271" s="546"/>
      <c r="P271" s="473"/>
    </row>
    <row r="272">
      <c r="B272" s="14">
        <v>44711.0</v>
      </c>
      <c r="C272" s="145"/>
      <c r="M272" s="546"/>
      <c r="N272" s="546"/>
      <c r="O272" s="546"/>
      <c r="P272" s="473"/>
    </row>
    <row r="273">
      <c r="C273" s="16"/>
      <c r="M273" s="546"/>
      <c r="N273" s="546"/>
      <c r="O273" s="546"/>
      <c r="P273" s="473"/>
    </row>
    <row r="274">
      <c r="C274" s="16"/>
      <c r="M274" s="546"/>
      <c r="N274" s="546"/>
      <c r="O274" s="546"/>
      <c r="P274" s="473"/>
    </row>
    <row r="275">
      <c r="C275" s="16"/>
      <c r="M275" s="546"/>
      <c r="N275" s="546"/>
      <c r="O275" s="546"/>
      <c r="P275" s="473"/>
    </row>
    <row r="276">
      <c r="C276" s="16"/>
      <c r="M276" s="546"/>
      <c r="N276" s="546"/>
      <c r="O276" s="546"/>
      <c r="P276" s="473"/>
    </row>
    <row r="277">
      <c r="C277" s="16"/>
      <c r="M277" s="546"/>
      <c r="N277" s="546"/>
      <c r="O277" s="546"/>
      <c r="P277" s="473"/>
    </row>
    <row r="278">
      <c r="C278" s="16"/>
      <c r="M278" s="546"/>
      <c r="N278" s="546"/>
      <c r="O278" s="546"/>
      <c r="P278" s="473"/>
    </row>
    <row r="279">
      <c r="C279" s="16"/>
      <c r="M279" s="546"/>
      <c r="N279" s="546"/>
      <c r="O279" s="546"/>
      <c r="P279" s="473"/>
    </row>
    <row r="280">
      <c r="C280" s="16"/>
      <c r="M280" s="546"/>
      <c r="N280" s="546"/>
      <c r="O280" s="546"/>
      <c r="P280" s="473"/>
    </row>
    <row r="281">
      <c r="C281" s="16"/>
      <c r="M281" s="546"/>
      <c r="N281" s="546"/>
      <c r="O281" s="546"/>
      <c r="P281" s="473"/>
    </row>
    <row r="282">
      <c r="C282" s="16"/>
      <c r="M282" s="546"/>
      <c r="N282" s="546"/>
      <c r="O282" s="546"/>
      <c r="P282" s="473"/>
    </row>
    <row r="283">
      <c r="C283" s="16"/>
      <c r="M283" s="546"/>
      <c r="N283" s="546"/>
      <c r="O283" s="546"/>
      <c r="P283" s="473"/>
    </row>
    <row r="284">
      <c r="C284" s="16"/>
      <c r="M284" s="546"/>
      <c r="N284" s="546"/>
      <c r="O284" s="546"/>
      <c r="P284" s="473"/>
    </row>
    <row r="285">
      <c r="C285" s="16"/>
      <c r="M285" s="546"/>
      <c r="N285" s="546"/>
      <c r="O285" s="546"/>
      <c r="P285" s="473"/>
    </row>
    <row r="286">
      <c r="C286" s="16"/>
      <c r="M286" s="546"/>
      <c r="N286" s="546"/>
      <c r="O286" s="546"/>
      <c r="P286" s="473"/>
    </row>
    <row r="287">
      <c r="C287" s="16"/>
      <c r="M287" s="546"/>
      <c r="N287" s="546"/>
      <c r="O287" s="546"/>
      <c r="P287" s="473"/>
    </row>
    <row r="288">
      <c r="C288" s="16"/>
      <c r="M288" s="546"/>
      <c r="N288" s="546"/>
      <c r="O288" s="546"/>
      <c r="P288" s="473"/>
    </row>
    <row r="289">
      <c r="C289" s="16"/>
      <c r="M289" s="546"/>
      <c r="N289" s="546"/>
      <c r="O289" s="546"/>
      <c r="P289" s="473"/>
    </row>
    <row r="290">
      <c r="C290" s="16"/>
      <c r="M290" s="546"/>
      <c r="N290" s="546"/>
      <c r="O290" s="546"/>
      <c r="P290" s="473"/>
    </row>
    <row r="291">
      <c r="C291" s="16"/>
      <c r="M291" s="546"/>
      <c r="N291" s="546"/>
      <c r="O291" s="546"/>
      <c r="P291" s="473"/>
    </row>
    <row r="292">
      <c r="C292" s="16"/>
      <c r="M292" s="546"/>
      <c r="N292" s="546"/>
      <c r="O292" s="546"/>
      <c r="P292" s="473"/>
    </row>
    <row r="293">
      <c r="C293" s="16"/>
      <c r="M293" s="546"/>
      <c r="N293" s="546"/>
      <c r="O293" s="546"/>
      <c r="P293" s="473"/>
    </row>
    <row r="294">
      <c r="C294" s="16"/>
      <c r="M294" s="546"/>
      <c r="N294" s="546"/>
      <c r="O294" s="546"/>
      <c r="P294" s="473"/>
    </row>
    <row r="295">
      <c r="C295" s="16"/>
      <c r="M295" s="546"/>
      <c r="N295" s="546"/>
      <c r="O295" s="546"/>
      <c r="P295" s="473"/>
    </row>
    <row r="296">
      <c r="C296" s="16"/>
      <c r="M296" s="546"/>
      <c r="N296" s="546"/>
      <c r="O296" s="546"/>
      <c r="P296" s="473"/>
    </row>
    <row r="297">
      <c r="C297" s="16"/>
      <c r="M297" s="546"/>
      <c r="N297" s="546"/>
      <c r="O297" s="546"/>
      <c r="P297" s="473"/>
    </row>
    <row r="298">
      <c r="C298" s="16"/>
      <c r="M298" s="546"/>
      <c r="N298" s="546"/>
      <c r="O298" s="546"/>
      <c r="P298" s="473"/>
    </row>
    <row r="299">
      <c r="C299" s="16"/>
      <c r="M299" s="546"/>
      <c r="N299" s="546"/>
      <c r="O299" s="546"/>
      <c r="P299" s="473"/>
    </row>
    <row r="300">
      <c r="C300" s="16"/>
      <c r="M300" s="546"/>
      <c r="N300" s="546"/>
      <c r="O300" s="546"/>
      <c r="P300" s="473"/>
    </row>
    <row r="301">
      <c r="C301" s="16"/>
      <c r="M301" s="546"/>
      <c r="N301" s="546"/>
      <c r="O301" s="546"/>
      <c r="P301" s="473"/>
    </row>
    <row r="302">
      <c r="C302" s="16"/>
      <c r="M302" s="546"/>
      <c r="N302" s="546"/>
      <c r="O302" s="546"/>
      <c r="P302" s="473"/>
    </row>
    <row r="303">
      <c r="C303" s="16"/>
      <c r="M303" s="546"/>
      <c r="N303" s="546"/>
      <c r="O303" s="546"/>
      <c r="P303" s="473"/>
    </row>
    <row r="304">
      <c r="C304" s="16"/>
      <c r="M304" s="546"/>
      <c r="N304" s="546"/>
      <c r="O304" s="546"/>
      <c r="P304" s="473"/>
    </row>
    <row r="305">
      <c r="C305" s="16"/>
      <c r="M305" s="546"/>
      <c r="N305" s="546"/>
      <c r="O305" s="546"/>
      <c r="P305" s="473"/>
    </row>
    <row r="306">
      <c r="C306" s="16"/>
      <c r="M306" s="546"/>
      <c r="N306" s="546"/>
      <c r="O306" s="546"/>
      <c r="P306" s="473"/>
    </row>
    <row r="307">
      <c r="C307" s="16"/>
      <c r="M307" s="546"/>
      <c r="N307" s="546"/>
      <c r="O307" s="546"/>
      <c r="P307" s="473"/>
    </row>
    <row r="308">
      <c r="C308" s="16"/>
      <c r="M308" s="546"/>
      <c r="N308" s="546"/>
      <c r="O308" s="546"/>
      <c r="P308" s="473"/>
    </row>
    <row r="309">
      <c r="C309" s="16"/>
      <c r="M309" s="546"/>
      <c r="N309" s="546"/>
      <c r="O309" s="546"/>
      <c r="P309" s="473"/>
    </row>
    <row r="310">
      <c r="C310" s="16"/>
      <c r="M310" s="546"/>
      <c r="N310" s="546"/>
      <c r="O310" s="546"/>
      <c r="P310" s="473"/>
    </row>
    <row r="311">
      <c r="C311" s="16"/>
      <c r="M311" s="546"/>
      <c r="N311" s="546"/>
      <c r="O311" s="546"/>
      <c r="P311" s="473"/>
    </row>
    <row r="312">
      <c r="C312" s="16"/>
      <c r="M312" s="546"/>
      <c r="N312" s="546"/>
      <c r="O312" s="546"/>
      <c r="P312" s="473"/>
    </row>
    <row r="313">
      <c r="C313" s="16"/>
      <c r="M313" s="546"/>
      <c r="N313" s="546"/>
      <c r="O313" s="546"/>
      <c r="P313" s="473"/>
    </row>
    <row r="314">
      <c r="C314" s="16"/>
      <c r="M314" s="546"/>
      <c r="N314" s="546"/>
      <c r="O314" s="546"/>
      <c r="P314" s="473"/>
    </row>
    <row r="315">
      <c r="C315" s="16"/>
      <c r="M315" s="546"/>
      <c r="N315" s="546"/>
      <c r="O315" s="546"/>
      <c r="P315" s="473"/>
    </row>
    <row r="316">
      <c r="C316" s="16"/>
      <c r="M316" s="546"/>
      <c r="N316" s="546"/>
      <c r="O316" s="546"/>
      <c r="P316" s="473"/>
    </row>
    <row r="317">
      <c r="C317" s="16"/>
      <c r="M317" s="546"/>
      <c r="N317" s="546"/>
      <c r="O317" s="546"/>
      <c r="P317" s="473"/>
    </row>
    <row r="318">
      <c r="C318" s="16"/>
      <c r="M318" s="546"/>
      <c r="N318" s="546"/>
      <c r="O318" s="546"/>
      <c r="P318" s="473"/>
    </row>
    <row r="319">
      <c r="C319" s="16"/>
      <c r="M319" s="546"/>
      <c r="N319" s="546"/>
      <c r="O319" s="546"/>
      <c r="P319" s="473"/>
    </row>
    <row r="320">
      <c r="C320" s="16"/>
      <c r="M320" s="546"/>
      <c r="N320" s="546"/>
      <c r="O320" s="546"/>
      <c r="P320" s="473"/>
    </row>
    <row r="321">
      <c r="C321" s="16"/>
      <c r="M321" s="546"/>
      <c r="N321" s="546"/>
      <c r="O321" s="546"/>
      <c r="P321" s="473"/>
    </row>
    <row r="322">
      <c r="C322" s="16"/>
      <c r="M322" s="546"/>
      <c r="N322" s="546"/>
      <c r="O322" s="546"/>
      <c r="P322" s="473"/>
    </row>
    <row r="323">
      <c r="C323" s="16"/>
      <c r="M323" s="546"/>
      <c r="N323" s="546"/>
      <c r="O323" s="546"/>
      <c r="P323" s="473"/>
    </row>
    <row r="324">
      <c r="C324" s="16"/>
      <c r="M324" s="546"/>
      <c r="N324" s="546"/>
      <c r="O324" s="546"/>
      <c r="P324" s="473"/>
    </row>
    <row r="325">
      <c r="C325" s="16"/>
      <c r="M325" s="546"/>
      <c r="N325" s="546"/>
      <c r="O325" s="546"/>
      <c r="P325" s="473"/>
    </row>
    <row r="326">
      <c r="C326" s="16"/>
      <c r="M326" s="546"/>
      <c r="N326" s="546"/>
      <c r="O326" s="546"/>
      <c r="P326" s="473"/>
    </row>
    <row r="327">
      <c r="C327" s="16"/>
      <c r="M327" s="546"/>
      <c r="N327" s="546"/>
      <c r="O327" s="546"/>
      <c r="P327" s="473"/>
    </row>
    <row r="328">
      <c r="C328" s="16"/>
      <c r="M328" s="546"/>
      <c r="N328" s="546"/>
      <c r="O328" s="546"/>
      <c r="P328" s="473"/>
    </row>
    <row r="329">
      <c r="C329" s="16"/>
      <c r="M329" s="546"/>
      <c r="N329" s="546"/>
      <c r="O329" s="546"/>
      <c r="P329" s="473"/>
    </row>
    <row r="330">
      <c r="C330" s="16"/>
      <c r="M330" s="546"/>
      <c r="N330" s="546"/>
      <c r="O330" s="546"/>
      <c r="P330" s="473"/>
    </row>
    <row r="331">
      <c r="C331" s="16"/>
      <c r="M331" s="546"/>
      <c r="N331" s="546"/>
      <c r="O331" s="546"/>
      <c r="P331" s="473"/>
    </row>
    <row r="332">
      <c r="C332" s="16"/>
      <c r="M332" s="546"/>
      <c r="N332" s="546"/>
      <c r="O332" s="546"/>
      <c r="P332" s="473"/>
    </row>
    <row r="333">
      <c r="C333" s="16"/>
      <c r="M333" s="546"/>
      <c r="N333" s="546"/>
      <c r="O333" s="546"/>
      <c r="P333" s="473"/>
    </row>
    <row r="334">
      <c r="C334" s="16"/>
      <c r="M334" s="546"/>
      <c r="N334" s="546"/>
      <c r="O334" s="546"/>
      <c r="P334" s="473"/>
    </row>
    <row r="335">
      <c r="C335" s="16"/>
      <c r="M335" s="546"/>
      <c r="N335" s="546"/>
      <c r="O335" s="546"/>
      <c r="P335" s="473"/>
    </row>
    <row r="336">
      <c r="C336" s="16"/>
      <c r="M336" s="546"/>
      <c r="N336" s="546"/>
      <c r="O336" s="546"/>
      <c r="P336" s="473"/>
    </row>
    <row r="337">
      <c r="C337" s="16"/>
      <c r="M337" s="546"/>
      <c r="N337" s="546"/>
      <c r="O337" s="546"/>
      <c r="P337" s="473"/>
    </row>
    <row r="338">
      <c r="C338" s="16"/>
      <c r="M338" s="546"/>
      <c r="N338" s="546"/>
      <c r="O338" s="546"/>
      <c r="P338" s="473"/>
    </row>
    <row r="339">
      <c r="C339" s="16"/>
      <c r="M339" s="546"/>
      <c r="N339" s="546"/>
      <c r="O339" s="546"/>
      <c r="P339" s="473"/>
    </row>
    <row r="340">
      <c r="C340" s="16"/>
      <c r="M340" s="546"/>
      <c r="N340" s="546"/>
      <c r="O340" s="546"/>
      <c r="P340" s="473"/>
    </row>
    <row r="341">
      <c r="C341" s="16"/>
      <c r="M341" s="546"/>
      <c r="N341" s="546"/>
      <c r="O341" s="546"/>
      <c r="P341" s="473"/>
    </row>
    <row r="342">
      <c r="C342" s="16"/>
      <c r="M342" s="546"/>
      <c r="N342" s="546"/>
      <c r="O342" s="546"/>
      <c r="P342" s="473"/>
    </row>
    <row r="343">
      <c r="C343" s="16"/>
      <c r="M343" s="546"/>
      <c r="N343" s="546"/>
      <c r="O343" s="546"/>
      <c r="P343" s="473"/>
    </row>
    <row r="344">
      <c r="C344" s="16"/>
      <c r="M344" s="546"/>
      <c r="N344" s="546"/>
      <c r="O344" s="546"/>
      <c r="P344" s="473"/>
    </row>
    <row r="345">
      <c r="C345" s="16"/>
      <c r="M345" s="546"/>
      <c r="N345" s="546"/>
      <c r="O345" s="546"/>
      <c r="P345" s="473"/>
    </row>
    <row r="346">
      <c r="C346" s="16"/>
      <c r="M346" s="546"/>
      <c r="N346" s="546"/>
      <c r="O346" s="546"/>
      <c r="P346" s="473"/>
    </row>
    <row r="347">
      <c r="C347" s="16"/>
      <c r="M347" s="546"/>
      <c r="N347" s="546"/>
      <c r="O347" s="546"/>
      <c r="P347" s="473"/>
    </row>
    <row r="348">
      <c r="C348" s="16"/>
      <c r="M348" s="546"/>
      <c r="N348" s="546"/>
      <c r="O348" s="546"/>
      <c r="P348" s="473"/>
    </row>
    <row r="349">
      <c r="C349" s="16"/>
      <c r="M349" s="546"/>
      <c r="N349" s="546"/>
      <c r="O349" s="546"/>
      <c r="P349" s="473"/>
    </row>
    <row r="350">
      <c r="C350" s="16"/>
      <c r="M350" s="546"/>
      <c r="N350" s="546"/>
      <c r="O350" s="546"/>
      <c r="P350" s="473"/>
    </row>
    <row r="351">
      <c r="C351" s="16"/>
      <c r="M351" s="546"/>
      <c r="N351" s="546"/>
      <c r="O351" s="546"/>
      <c r="P351" s="473"/>
    </row>
    <row r="352">
      <c r="C352" s="16"/>
      <c r="M352" s="546"/>
      <c r="N352" s="546"/>
      <c r="O352" s="546"/>
      <c r="P352" s="473"/>
    </row>
    <row r="353">
      <c r="C353" s="16"/>
      <c r="M353" s="546"/>
      <c r="N353" s="546"/>
      <c r="O353" s="546"/>
      <c r="P353" s="473"/>
    </row>
    <row r="354">
      <c r="C354" s="16"/>
      <c r="M354" s="546"/>
      <c r="N354" s="546"/>
      <c r="O354" s="546"/>
      <c r="P354" s="473"/>
    </row>
    <row r="355">
      <c r="C355" s="16"/>
      <c r="M355" s="546"/>
      <c r="N355" s="546"/>
      <c r="O355" s="546"/>
      <c r="P355" s="473"/>
    </row>
    <row r="356">
      <c r="C356" s="16"/>
      <c r="M356" s="546"/>
      <c r="N356" s="546"/>
      <c r="O356" s="546"/>
      <c r="P356" s="473"/>
    </row>
    <row r="357">
      <c r="C357" s="16"/>
      <c r="M357" s="546"/>
      <c r="N357" s="546"/>
      <c r="O357" s="546"/>
      <c r="P357" s="473"/>
    </row>
    <row r="358">
      <c r="C358" s="16"/>
      <c r="M358" s="546"/>
      <c r="N358" s="546"/>
      <c r="O358" s="546"/>
      <c r="P358" s="473"/>
    </row>
    <row r="359">
      <c r="C359" s="16"/>
      <c r="M359" s="546"/>
      <c r="N359" s="546"/>
      <c r="O359" s="546"/>
      <c r="P359" s="473"/>
    </row>
    <row r="360">
      <c r="C360" s="16"/>
      <c r="M360" s="546"/>
      <c r="N360" s="546"/>
      <c r="O360" s="546"/>
      <c r="P360" s="473"/>
    </row>
    <row r="361">
      <c r="C361" s="16"/>
      <c r="M361" s="546"/>
      <c r="N361" s="546"/>
      <c r="O361" s="546"/>
      <c r="P361" s="473"/>
    </row>
    <row r="362">
      <c r="C362" s="16"/>
      <c r="M362" s="546"/>
      <c r="N362" s="546"/>
      <c r="O362" s="546"/>
      <c r="P362" s="473"/>
    </row>
    <row r="363">
      <c r="C363" s="16"/>
      <c r="M363" s="546"/>
      <c r="N363" s="546"/>
      <c r="O363" s="546"/>
      <c r="P363" s="473"/>
    </row>
    <row r="364">
      <c r="C364" s="16"/>
      <c r="M364" s="546"/>
      <c r="N364" s="546"/>
      <c r="O364" s="546"/>
      <c r="P364" s="473"/>
    </row>
    <row r="365">
      <c r="C365" s="16"/>
      <c r="M365" s="546"/>
      <c r="N365" s="546"/>
      <c r="O365" s="546"/>
      <c r="P365" s="473"/>
    </row>
    <row r="366">
      <c r="C366" s="16"/>
      <c r="M366" s="546"/>
      <c r="N366" s="546"/>
      <c r="O366" s="546"/>
      <c r="P366" s="473"/>
    </row>
    <row r="367">
      <c r="C367" s="16"/>
      <c r="M367" s="546"/>
      <c r="N367" s="546"/>
      <c r="O367" s="546"/>
      <c r="P367" s="473"/>
    </row>
    <row r="368">
      <c r="M368" s="546"/>
      <c r="N368" s="546"/>
      <c r="O368" s="546"/>
      <c r="P368" s="473"/>
    </row>
    <row r="369">
      <c r="M369" s="546"/>
      <c r="N369" s="546"/>
      <c r="O369" s="546"/>
      <c r="P369" s="473"/>
    </row>
    <row r="370">
      <c r="M370" s="546"/>
      <c r="N370" s="546"/>
      <c r="O370" s="546"/>
      <c r="P370" s="473"/>
    </row>
    <row r="371">
      <c r="M371" s="546"/>
      <c r="N371" s="546"/>
      <c r="O371" s="546"/>
      <c r="P371" s="473"/>
    </row>
    <row r="372">
      <c r="M372" s="546"/>
      <c r="N372" s="546"/>
      <c r="O372" s="546"/>
      <c r="P372" s="473"/>
    </row>
    <row r="373">
      <c r="M373" s="546"/>
      <c r="N373" s="546"/>
      <c r="O373" s="546"/>
      <c r="P373" s="473"/>
    </row>
    <row r="374">
      <c r="M374" s="546"/>
      <c r="N374" s="546"/>
      <c r="O374" s="546"/>
      <c r="P374" s="473"/>
    </row>
    <row r="375">
      <c r="M375" s="546"/>
      <c r="N375" s="546"/>
      <c r="O375" s="546"/>
      <c r="P375" s="473"/>
    </row>
    <row r="376">
      <c r="M376" s="546"/>
      <c r="N376" s="546"/>
      <c r="O376" s="546"/>
      <c r="P376" s="473"/>
    </row>
    <row r="377">
      <c r="M377" s="546"/>
      <c r="N377" s="546"/>
      <c r="O377" s="546"/>
      <c r="P377" s="473"/>
    </row>
    <row r="378">
      <c r="M378" s="546"/>
      <c r="N378" s="546"/>
      <c r="O378" s="546"/>
      <c r="P378" s="473"/>
    </row>
    <row r="379">
      <c r="M379" s="546"/>
      <c r="N379" s="546"/>
      <c r="O379" s="546"/>
      <c r="P379" s="473"/>
    </row>
    <row r="380">
      <c r="M380" s="546"/>
      <c r="N380" s="546"/>
      <c r="O380" s="546"/>
      <c r="P380" s="473"/>
    </row>
    <row r="381">
      <c r="M381" s="546"/>
      <c r="N381" s="546"/>
      <c r="O381" s="546"/>
      <c r="P381" s="473"/>
    </row>
    <row r="382">
      <c r="M382" s="546"/>
      <c r="N382" s="546"/>
      <c r="O382" s="546"/>
      <c r="P382" s="473"/>
    </row>
    <row r="383">
      <c r="M383" s="546"/>
      <c r="N383" s="546"/>
      <c r="O383" s="546"/>
      <c r="P383" s="473"/>
    </row>
    <row r="384">
      <c r="M384" s="546"/>
      <c r="N384" s="546"/>
      <c r="O384" s="546"/>
      <c r="P384" s="473"/>
    </row>
    <row r="385">
      <c r="M385" s="546"/>
      <c r="N385" s="546"/>
      <c r="O385" s="546"/>
      <c r="P385" s="473"/>
    </row>
    <row r="386">
      <c r="M386" s="546"/>
      <c r="N386" s="546"/>
      <c r="O386" s="546"/>
      <c r="P386" s="473"/>
    </row>
    <row r="387">
      <c r="M387" s="546"/>
      <c r="N387" s="546"/>
      <c r="O387" s="546"/>
      <c r="P387" s="473"/>
    </row>
    <row r="388">
      <c r="M388" s="546"/>
      <c r="N388" s="546"/>
      <c r="O388" s="546"/>
      <c r="P388" s="473"/>
    </row>
    <row r="389">
      <c r="M389" s="546"/>
      <c r="N389" s="546"/>
      <c r="O389" s="546"/>
      <c r="P389" s="473"/>
    </row>
    <row r="390">
      <c r="M390" s="546"/>
      <c r="N390" s="546"/>
      <c r="O390" s="546"/>
      <c r="P390" s="473"/>
    </row>
    <row r="391">
      <c r="M391" s="546"/>
      <c r="N391" s="546"/>
      <c r="O391" s="546"/>
      <c r="P391" s="473"/>
    </row>
    <row r="392">
      <c r="M392" s="546"/>
      <c r="N392" s="546"/>
      <c r="O392" s="546"/>
      <c r="P392" s="473"/>
    </row>
    <row r="393">
      <c r="M393" s="546"/>
      <c r="N393" s="546"/>
      <c r="O393" s="546"/>
      <c r="P393" s="473"/>
    </row>
    <row r="394">
      <c r="M394" s="546"/>
      <c r="N394" s="546"/>
      <c r="O394" s="546"/>
      <c r="P394" s="473"/>
    </row>
    <row r="395">
      <c r="M395" s="546"/>
      <c r="N395" s="546"/>
      <c r="O395" s="546"/>
      <c r="P395" s="473"/>
    </row>
    <row r="396">
      <c r="M396" s="546"/>
      <c r="N396" s="546"/>
      <c r="O396" s="546"/>
      <c r="P396" s="473"/>
    </row>
    <row r="397">
      <c r="M397" s="546"/>
      <c r="N397" s="546"/>
      <c r="O397" s="546"/>
      <c r="P397" s="473"/>
    </row>
    <row r="398">
      <c r="M398" s="546"/>
      <c r="N398" s="546"/>
      <c r="O398" s="546"/>
      <c r="P398" s="473"/>
    </row>
    <row r="399">
      <c r="M399" s="546"/>
      <c r="N399" s="546"/>
      <c r="O399" s="546"/>
      <c r="P399" s="473"/>
    </row>
    <row r="400">
      <c r="M400" s="546"/>
      <c r="N400" s="546"/>
      <c r="O400" s="546"/>
      <c r="P400" s="473"/>
    </row>
    <row r="401">
      <c r="M401" s="546"/>
      <c r="N401" s="546"/>
      <c r="O401" s="546"/>
      <c r="P401" s="473"/>
    </row>
    <row r="402">
      <c r="M402" s="546"/>
      <c r="N402" s="546"/>
      <c r="O402" s="546"/>
      <c r="P402" s="473"/>
    </row>
    <row r="403">
      <c r="M403" s="546"/>
      <c r="N403" s="546"/>
      <c r="O403" s="546"/>
      <c r="P403" s="473"/>
    </row>
    <row r="404">
      <c r="M404" s="546"/>
      <c r="N404" s="546"/>
      <c r="O404" s="546"/>
      <c r="P404" s="473"/>
    </row>
    <row r="405">
      <c r="M405" s="546"/>
      <c r="N405" s="546"/>
      <c r="O405" s="546"/>
      <c r="P405" s="473"/>
    </row>
    <row r="406">
      <c r="M406" s="546"/>
      <c r="N406" s="546"/>
      <c r="O406" s="546"/>
      <c r="P406" s="473"/>
    </row>
    <row r="407">
      <c r="M407" s="546"/>
      <c r="N407" s="546"/>
      <c r="O407" s="546"/>
      <c r="P407" s="473"/>
    </row>
    <row r="408">
      <c r="M408" s="546"/>
      <c r="N408" s="546"/>
      <c r="O408" s="546"/>
      <c r="P408" s="473"/>
    </row>
    <row r="409">
      <c r="M409" s="546"/>
      <c r="N409" s="546"/>
      <c r="O409" s="546"/>
      <c r="P409" s="473"/>
    </row>
    <row r="410">
      <c r="M410" s="546"/>
      <c r="N410" s="546"/>
      <c r="O410" s="546"/>
      <c r="P410" s="473"/>
    </row>
    <row r="411">
      <c r="M411" s="546"/>
      <c r="N411" s="546"/>
      <c r="O411" s="546"/>
      <c r="P411" s="473"/>
    </row>
    <row r="412">
      <c r="M412" s="546"/>
      <c r="N412" s="546"/>
      <c r="O412" s="546"/>
      <c r="P412" s="473"/>
    </row>
    <row r="413">
      <c r="M413" s="546"/>
      <c r="N413" s="546"/>
      <c r="O413" s="546"/>
      <c r="P413" s="473"/>
    </row>
    <row r="414">
      <c r="M414" s="546"/>
      <c r="N414" s="546"/>
      <c r="O414" s="546"/>
      <c r="P414" s="473"/>
    </row>
    <row r="415">
      <c r="M415" s="546"/>
      <c r="N415" s="546"/>
      <c r="O415" s="546"/>
      <c r="P415" s="473"/>
    </row>
    <row r="416">
      <c r="M416" s="546"/>
      <c r="N416" s="546"/>
      <c r="O416" s="546"/>
      <c r="P416" s="473"/>
    </row>
    <row r="417">
      <c r="M417" s="546"/>
      <c r="N417" s="546"/>
      <c r="O417" s="546"/>
      <c r="P417" s="473"/>
    </row>
    <row r="418">
      <c r="M418" s="546"/>
      <c r="N418" s="546"/>
      <c r="O418" s="546"/>
      <c r="P418" s="473"/>
    </row>
    <row r="419">
      <c r="M419" s="546"/>
      <c r="N419" s="546"/>
      <c r="O419" s="546"/>
      <c r="P419" s="473"/>
    </row>
    <row r="420">
      <c r="M420" s="546"/>
      <c r="N420" s="546"/>
      <c r="O420" s="546"/>
      <c r="P420" s="473"/>
    </row>
    <row r="421">
      <c r="M421" s="546"/>
      <c r="N421" s="546"/>
      <c r="O421" s="546"/>
      <c r="P421" s="473"/>
    </row>
    <row r="422">
      <c r="M422" s="546"/>
      <c r="N422" s="546"/>
      <c r="O422" s="546"/>
      <c r="P422" s="473"/>
    </row>
    <row r="423">
      <c r="M423" s="546"/>
      <c r="N423" s="546"/>
      <c r="O423" s="546"/>
      <c r="P423" s="473"/>
    </row>
    <row r="424">
      <c r="M424" s="546"/>
      <c r="N424" s="546"/>
      <c r="O424" s="546"/>
      <c r="P424" s="473"/>
    </row>
    <row r="425">
      <c r="M425" s="546"/>
      <c r="N425" s="546"/>
      <c r="O425" s="546"/>
      <c r="P425" s="473"/>
    </row>
    <row r="426">
      <c r="M426" s="546"/>
      <c r="N426" s="546"/>
      <c r="O426" s="546"/>
      <c r="P426" s="473"/>
    </row>
    <row r="427">
      <c r="M427" s="546"/>
      <c r="N427" s="546"/>
      <c r="O427" s="546"/>
      <c r="P427" s="473"/>
    </row>
    <row r="428">
      <c r="M428" s="546"/>
      <c r="N428" s="546"/>
      <c r="O428" s="546"/>
      <c r="P428" s="473"/>
    </row>
    <row r="429">
      <c r="M429" s="546"/>
      <c r="N429" s="546"/>
      <c r="O429" s="546"/>
      <c r="P429" s="473"/>
    </row>
    <row r="430">
      <c r="M430" s="546"/>
      <c r="N430" s="546"/>
      <c r="O430" s="546"/>
      <c r="P430" s="473"/>
    </row>
    <row r="431">
      <c r="M431" s="546"/>
      <c r="N431" s="546"/>
      <c r="O431" s="546"/>
      <c r="P431" s="473"/>
    </row>
    <row r="432">
      <c r="M432" s="546"/>
      <c r="N432" s="546"/>
      <c r="O432" s="546"/>
      <c r="P432" s="473"/>
    </row>
    <row r="433">
      <c r="M433" s="546"/>
      <c r="N433" s="546"/>
      <c r="O433" s="546"/>
      <c r="P433" s="473"/>
    </row>
    <row r="434">
      <c r="M434" s="546"/>
      <c r="N434" s="546"/>
      <c r="O434" s="546"/>
      <c r="P434" s="473"/>
    </row>
    <row r="435">
      <c r="M435" s="546"/>
      <c r="N435" s="546"/>
      <c r="O435" s="546"/>
      <c r="P435" s="473"/>
    </row>
    <row r="436">
      <c r="M436" s="546"/>
      <c r="N436" s="546"/>
      <c r="O436" s="546"/>
      <c r="P436" s="473"/>
    </row>
    <row r="437">
      <c r="M437" s="546"/>
      <c r="N437" s="546"/>
      <c r="O437" s="546"/>
      <c r="P437" s="473"/>
    </row>
    <row r="438">
      <c r="M438" s="546"/>
      <c r="N438" s="546"/>
      <c r="O438" s="546"/>
      <c r="P438" s="473"/>
    </row>
    <row r="439">
      <c r="M439" s="546"/>
      <c r="N439" s="546"/>
      <c r="O439" s="546"/>
      <c r="P439" s="473"/>
    </row>
    <row r="440">
      <c r="M440" s="546"/>
      <c r="N440" s="546"/>
      <c r="O440" s="546"/>
      <c r="P440" s="473"/>
    </row>
    <row r="441">
      <c r="M441" s="546"/>
      <c r="N441" s="546"/>
      <c r="O441" s="546"/>
      <c r="P441" s="473"/>
    </row>
    <row r="442">
      <c r="M442" s="546"/>
      <c r="N442" s="546"/>
      <c r="O442" s="546"/>
      <c r="P442" s="473"/>
    </row>
    <row r="443">
      <c r="M443" s="546"/>
      <c r="N443" s="546"/>
      <c r="O443" s="546"/>
      <c r="P443" s="473"/>
    </row>
    <row r="444">
      <c r="M444" s="546"/>
      <c r="N444" s="546"/>
      <c r="O444" s="546"/>
      <c r="P444" s="473"/>
    </row>
    <row r="445">
      <c r="M445" s="546"/>
      <c r="N445" s="546"/>
      <c r="O445" s="546"/>
      <c r="P445" s="473"/>
    </row>
    <row r="446">
      <c r="M446" s="546"/>
      <c r="N446" s="546"/>
      <c r="O446" s="546"/>
      <c r="P446" s="473"/>
    </row>
    <row r="447">
      <c r="M447" s="546"/>
      <c r="N447" s="546"/>
      <c r="O447" s="546"/>
      <c r="P447" s="473"/>
    </row>
    <row r="448">
      <c r="M448" s="546"/>
      <c r="N448" s="546"/>
      <c r="O448" s="546"/>
      <c r="P448" s="473"/>
    </row>
    <row r="449">
      <c r="M449" s="546"/>
      <c r="N449" s="546"/>
      <c r="O449" s="546"/>
      <c r="P449" s="473"/>
    </row>
    <row r="450">
      <c r="M450" s="546"/>
      <c r="N450" s="546"/>
      <c r="O450" s="546"/>
      <c r="P450" s="473"/>
    </row>
    <row r="451">
      <c r="M451" s="546"/>
      <c r="N451" s="546"/>
      <c r="O451" s="546"/>
      <c r="P451" s="473"/>
    </row>
    <row r="452">
      <c r="M452" s="546"/>
      <c r="N452" s="546"/>
      <c r="O452" s="546"/>
      <c r="P452" s="473"/>
    </row>
    <row r="453">
      <c r="M453" s="546"/>
      <c r="N453" s="546"/>
      <c r="O453" s="546"/>
      <c r="P453" s="473"/>
    </row>
    <row r="454">
      <c r="M454" s="546"/>
      <c r="N454" s="546"/>
      <c r="O454" s="546"/>
      <c r="P454" s="473"/>
    </row>
    <row r="455">
      <c r="M455" s="546"/>
      <c r="N455" s="546"/>
      <c r="O455" s="546"/>
      <c r="P455" s="473"/>
    </row>
    <row r="456">
      <c r="M456" s="546"/>
      <c r="N456" s="546"/>
      <c r="O456" s="546"/>
      <c r="P456" s="473"/>
    </row>
    <row r="457">
      <c r="M457" s="546"/>
      <c r="N457" s="546"/>
      <c r="O457" s="546"/>
      <c r="P457" s="473"/>
    </row>
    <row r="458">
      <c r="M458" s="546"/>
      <c r="N458" s="546"/>
      <c r="O458" s="546"/>
      <c r="P458" s="473"/>
    </row>
    <row r="459">
      <c r="M459" s="546"/>
      <c r="N459" s="546"/>
      <c r="O459" s="546"/>
      <c r="P459" s="473"/>
    </row>
    <row r="460">
      <c r="M460" s="546"/>
      <c r="N460" s="546"/>
      <c r="O460" s="546"/>
      <c r="P460" s="473"/>
    </row>
    <row r="461">
      <c r="M461" s="546"/>
      <c r="N461" s="546"/>
      <c r="O461" s="546"/>
      <c r="P461" s="473"/>
    </row>
    <row r="462">
      <c r="M462" s="546"/>
      <c r="N462" s="546"/>
      <c r="O462" s="546"/>
      <c r="P462" s="473"/>
    </row>
    <row r="463">
      <c r="M463" s="546"/>
      <c r="N463" s="546"/>
      <c r="O463" s="546"/>
      <c r="P463" s="473"/>
    </row>
    <row r="464">
      <c r="M464" s="546"/>
      <c r="N464" s="546"/>
      <c r="O464" s="546"/>
      <c r="P464" s="473"/>
    </row>
    <row r="465">
      <c r="M465" s="546"/>
      <c r="N465" s="546"/>
      <c r="O465" s="546"/>
      <c r="P465" s="473"/>
    </row>
    <row r="466">
      <c r="M466" s="546"/>
      <c r="N466" s="546"/>
      <c r="O466" s="546"/>
      <c r="P466" s="473"/>
    </row>
    <row r="467">
      <c r="M467" s="546"/>
      <c r="N467" s="546"/>
      <c r="O467" s="546"/>
      <c r="P467" s="473"/>
    </row>
    <row r="468">
      <c r="M468" s="546"/>
      <c r="N468" s="546"/>
      <c r="O468" s="546"/>
      <c r="P468" s="473"/>
    </row>
    <row r="469">
      <c r="M469" s="546"/>
      <c r="N469" s="546"/>
      <c r="O469" s="546"/>
      <c r="P469" s="473"/>
    </row>
    <row r="470">
      <c r="M470" s="546"/>
      <c r="N470" s="546"/>
      <c r="O470" s="546"/>
      <c r="P470" s="473"/>
    </row>
    <row r="471">
      <c r="M471" s="546"/>
      <c r="N471" s="546"/>
      <c r="O471" s="546"/>
      <c r="P471" s="473"/>
    </row>
    <row r="472">
      <c r="M472" s="546"/>
      <c r="N472" s="546"/>
      <c r="O472" s="546"/>
      <c r="P472" s="473"/>
    </row>
    <row r="473">
      <c r="M473" s="546"/>
      <c r="N473" s="546"/>
      <c r="O473" s="546"/>
      <c r="P473" s="473"/>
    </row>
    <row r="474">
      <c r="M474" s="546"/>
      <c r="N474" s="546"/>
      <c r="O474" s="546"/>
      <c r="P474" s="473"/>
    </row>
    <row r="475">
      <c r="M475" s="546"/>
      <c r="N475" s="546"/>
      <c r="O475" s="546"/>
      <c r="P475" s="473"/>
    </row>
    <row r="476">
      <c r="M476" s="546"/>
      <c r="N476" s="546"/>
      <c r="O476" s="546"/>
      <c r="P476" s="473"/>
    </row>
    <row r="477">
      <c r="M477" s="546"/>
      <c r="N477" s="546"/>
      <c r="O477" s="546"/>
      <c r="P477" s="473"/>
    </row>
    <row r="478">
      <c r="M478" s="546"/>
      <c r="N478" s="546"/>
      <c r="O478" s="546"/>
      <c r="P478" s="473"/>
    </row>
    <row r="479">
      <c r="M479" s="546"/>
      <c r="N479" s="546"/>
      <c r="O479" s="546"/>
      <c r="P479" s="473"/>
    </row>
    <row r="480">
      <c r="M480" s="546"/>
      <c r="N480" s="546"/>
      <c r="O480" s="546"/>
      <c r="P480" s="473"/>
    </row>
    <row r="481">
      <c r="M481" s="546"/>
      <c r="N481" s="546"/>
      <c r="O481" s="546"/>
      <c r="P481" s="473"/>
    </row>
    <row r="482">
      <c r="M482" s="546"/>
      <c r="N482" s="546"/>
      <c r="O482" s="546"/>
      <c r="P482" s="473"/>
    </row>
    <row r="483">
      <c r="M483" s="546"/>
      <c r="N483" s="546"/>
      <c r="O483" s="546"/>
      <c r="P483" s="473"/>
    </row>
    <row r="484">
      <c r="M484" s="546"/>
      <c r="N484" s="546"/>
      <c r="O484" s="546"/>
      <c r="P484" s="473"/>
    </row>
    <row r="485">
      <c r="M485" s="546"/>
      <c r="N485" s="546"/>
      <c r="O485" s="546"/>
      <c r="P485" s="473"/>
    </row>
    <row r="486">
      <c r="M486" s="546"/>
      <c r="N486" s="546"/>
      <c r="O486" s="546"/>
      <c r="P486" s="473"/>
    </row>
    <row r="487">
      <c r="M487" s="546"/>
      <c r="N487" s="546"/>
      <c r="O487" s="546"/>
      <c r="P487" s="473"/>
    </row>
    <row r="488">
      <c r="M488" s="546"/>
      <c r="N488" s="546"/>
      <c r="O488" s="546"/>
      <c r="P488" s="473"/>
    </row>
    <row r="489">
      <c r="M489" s="546"/>
      <c r="N489" s="546"/>
      <c r="O489" s="546"/>
      <c r="P489" s="473"/>
    </row>
    <row r="490">
      <c r="M490" s="546"/>
      <c r="N490" s="546"/>
      <c r="O490" s="546"/>
      <c r="P490" s="473"/>
    </row>
    <row r="491">
      <c r="M491" s="546"/>
      <c r="N491" s="546"/>
      <c r="O491" s="546"/>
      <c r="P491" s="473"/>
    </row>
    <row r="492">
      <c r="M492" s="546"/>
      <c r="N492" s="546"/>
      <c r="O492" s="546"/>
      <c r="P492" s="473"/>
    </row>
    <row r="493">
      <c r="M493" s="546"/>
      <c r="N493" s="546"/>
      <c r="O493" s="546"/>
      <c r="P493" s="473"/>
    </row>
    <row r="494">
      <c r="M494" s="546"/>
      <c r="N494" s="546"/>
      <c r="O494" s="546"/>
      <c r="P494" s="473"/>
    </row>
    <row r="495">
      <c r="M495" s="546"/>
      <c r="N495" s="546"/>
      <c r="O495" s="546"/>
      <c r="P495" s="473"/>
    </row>
    <row r="496">
      <c r="M496" s="546"/>
      <c r="N496" s="546"/>
      <c r="O496" s="546"/>
      <c r="P496" s="473"/>
    </row>
    <row r="497">
      <c r="M497" s="546"/>
      <c r="N497" s="546"/>
      <c r="O497" s="546"/>
      <c r="P497" s="473"/>
    </row>
    <row r="498">
      <c r="M498" s="546"/>
      <c r="N498" s="546"/>
      <c r="O498" s="546"/>
      <c r="P498" s="473"/>
    </row>
    <row r="499">
      <c r="M499" s="546"/>
      <c r="N499" s="546"/>
      <c r="O499" s="546"/>
      <c r="P499" s="473"/>
    </row>
    <row r="500">
      <c r="M500" s="546"/>
      <c r="N500" s="546"/>
      <c r="O500" s="546"/>
      <c r="P500" s="473"/>
    </row>
  </sheetData>
  <conditionalFormatting sqref="C2:C369">
    <cfRule type="colorScale" priority="1">
      <colorScale>
        <cfvo type="formula" val="-1"/>
        <cfvo type="formula" val="0"/>
        <cfvo type="formula" val="1"/>
        <color rgb="FFCC0000"/>
        <color rgb="FF6AA84F"/>
        <color rgb="FF3C78D8"/>
      </colorScale>
    </cfRule>
  </conditionalFormatting>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3.13"/>
    <col customWidth="1" min="4" max="4" width="45.75"/>
    <col customWidth="1" min="13" max="13" width="18.5"/>
  </cols>
  <sheetData>
    <row r="1">
      <c r="A1" s="140" t="s">
        <v>1577</v>
      </c>
      <c r="B1" s="138"/>
      <c r="C1" s="138"/>
      <c r="D1" s="138"/>
      <c r="E1" s="138"/>
      <c r="F1" s="138"/>
      <c r="G1" s="138"/>
      <c r="H1" s="138"/>
      <c r="I1" s="138"/>
      <c r="J1" s="138"/>
      <c r="K1" s="138"/>
      <c r="L1" s="138"/>
      <c r="M1" s="138"/>
      <c r="N1" s="138"/>
    </row>
    <row r="2">
      <c r="A2" s="452"/>
      <c r="B2" s="548" t="s">
        <v>1578</v>
      </c>
      <c r="C2" s="138"/>
      <c r="D2" s="138"/>
      <c r="E2" s="138"/>
      <c r="F2" s="138"/>
      <c r="G2" s="138"/>
      <c r="H2" s="138"/>
      <c r="I2" s="138"/>
      <c r="J2" s="138"/>
      <c r="K2" s="138"/>
      <c r="L2" s="138"/>
      <c r="M2" s="138"/>
      <c r="N2" s="138"/>
    </row>
    <row r="3">
      <c r="A3" s="452"/>
      <c r="B3" s="549"/>
      <c r="D3" s="550"/>
      <c r="E3" s="551"/>
      <c r="F3" s="138"/>
      <c r="G3" s="138"/>
      <c r="H3" s="138"/>
      <c r="I3" s="138"/>
      <c r="J3" s="138"/>
      <c r="K3" s="138"/>
      <c r="L3" s="138"/>
      <c r="M3" s="552"/>
      <c r="N3" s="138"/>
    </row>
    <row r="4">
      <c r="A4" s="452"/>
      <c r="B4" s="549"/>
      <c r="C4" s="550" t="s">
        <v>1579</v>
      </c>
      <c r="D4" s="550"/>
      <c r="E4" s="551"/>
      <c r="F4" s="138"/>
      <c r="G4" s="138"/>
      <c r="H4" s="138"/>
      <c r="I4" s="138"/>
      <c r="J4" s="138"/>
      <c r="K4" s="138"/>
      <c r="L4" s="138"/>
      <c r="M4" s="552"/>
      <c r="N4" s="138"/>
    </row>
    <row r="5">
      <c r="A5" s="452"/>
      <c r="B5" s="549"/>
      <c r="C5" s="551"/>
      <c r="D5" s="550"/>
      <c r="E5" s="551"/>
      <c r="F5" s="138"/>
      <c r="G5" s="138"/>
      <c r="H5" s="138"/>
      <c r="I5" s="138"/>
      <c r="J5" s="138"/>
      <c r="K5" s="138"/>
      <c r="L5" s="138"/>
      <c r="M5" s="552"/>
      <c r="N5" s="138"/>
    </row>
    <row r="6">
      <c r="A6" s="452"/>
      <c r="B6" s="549"/>
      <c r="C6" s="551"/>
      <c r="D6" s="550"/>
      <c r="E6" s="551"/>
      <c r="F6" s="138"/>
      <c r="G6" s="138"/>
      <c r="H6" s="138"/>
      <c r="I6" s="138"/>
      <c r="J6" s="138"/>
      <c r="K6" s="138"/>
      <c r="L6" s="138"/>
      <c r="M6" s="552"/>
      <c r="N6" s="138"/>
    </row>
    <row r="7">
      <c r="A7" s="452"/>
      <c r="B7" s="549"/>
      <c r="C7" s="551"/>
      <c r="D7" s="550"/>
      <c r="E7" s="551"/>
      <c r="F7" s="138"/>
      <c r="G7" s="138"/>
      <c r="H7" s="138"/>
      <c r="I7" s="138"/>
      <c r="J7" s="138"/>
      <c r="K7" s="138"/>
      <c r="L7" s="138"/>
      <c r="M7" s="552"/>
      <c r="N7" s="138"/>
    </row>
    <row r="8">
      <c r="A8" s="452"/>
      <c r="B8" s="549"/>
      <c r="C8" s="551"/>
      <c r="D8" s="550"/>
      <c r="E8" s="551"/>
      <c r="F8" s="138"/>
      <c r="G8" s="138"/>
      <c r="H8" s="138"/>
      <c r="I8" s="138"/>
      <c r="J8" s="138"/>
      <c r="K8" s="138"/>
      <c r="L8" s="138"/>
      <c r="M8" s="552"/>
      <c r="N8" s="138"/>
    </row>
    <row r="9">
      <c r="A9" s="452"/>
      <c r="B9" s="548" t="s">
        <v>1580</v>
      </c>
      <c r="C9" s="551"/>
      <c r="D9" s="550"/>
      <c r="E9" s="551"/>
      <c r="F9" s="138"/>
      <c r="G9" s="140"/>
      <c r="H9" s="138"/>
      <c r="I9" s="138"/>
      <c r="J9" s="138"/>
      <c r="K9" s="138"/>
      <c r="L9" s="138"/>
      <c r="M9" s="552"/>
      <c r="N9" s="138"/>
    </row>
    <row r="10">
      <c r="A10" s="452"/>
      <c r="B10" s="549"/>
      <c r="C10" s="550" t="s">
        <v>1581</v>
      </c>
      <c r="D10" s="550"/>
      <c r="E10" s="551"/>
      <c r="F10" s="138"/>
      <c r="G10" s="138"/>
      <c r="H10" s="138"/>
      <c r="I10" s="138"/>
      <c r="J10" s="138"/>
      <c r="K10" s="138"/>
      <c r="L10" s="138"/>
      <c r="M10" s="552"/>
      <c r="N10" s="138"/>
    </row>
    <row r="11">
      <c r="A11" s="452"/>
      <c r="B11" s="549"/>
      <c r="C11" s="550" t="s">
        <v>1582</v>
      </c>
      <c r="D11" s="550"/>
      <c r="E11" s="551"/>
      <c r="F11" s="138"/>
      <c r="G11" s="138"/>
      <c r="H11" s="138"/>
      <c r="I11" s="138"/>
      <c r="J11" s="138"/>
      <c r="K11" s="138"/>
      <c r="L11" s="138"/>
      <c r="M11" s="552"/>
      <c r="N11" s="138"/>
    </row>
    <row r="12">
      <c r="A12" s="452"/>
      <c r="B12" s="549"/>
      <c r="C12" s="550" t="s">
        <v>1583</v>
      </c>
      <c r="D12" s="550"/>
      <c r="E12" s="551"/>
      <c r="F12" s="138"/>
      <c r="G12" s="138"/>
      <c r="H12" s="138"/>
      <c r="I12" s="138"/>
      <c r="J12" s="138"/>
      <c r="K12" s="138"/>
      <c r="L12" s="138"/>
      <c r="M12" s="552"/>
      <c r="N12" s="138"/>
    </row>
    <row r="13">
      <c r="A13" s="452"/>
      <c r="B13" s="549"/>
      <c r="C13" s="550" t="s">
        <v>1584</v>
      </c>
      <c r="D13" s="550"/>
      <c r="E13" s="551"/>
      <c r="F13" s="138"/>
      <c r="G13" s="138"/>
      <c r="H13" s="138"/>
      <c r="I13" s="138"/>
      <c r="J13" s="138"/>
      <c r="K13" s="138"/>
      <c r="L13" s="138"/>
      <c r="M13" s="552"/>
      <c r="N13" s="138"/>
    </row>
    <row r="14">
      <c r="A14" s="452"/>
      <c r="B14" s="549"/>
      <c r="C14" s="550" t="s">
        <v>1585</v>
      </c>
      <c r="D14" s="550"/>
      <c r="E14" s="551"/>
      <c r="F14" s="138"/>
      <c r="G14" s="138"/>
      <c r="H14" s="138"/>
      <c r="I14" s="138"/>
      <c r="J14" s="138"/>
      <c r="K14" s="138"/>
      <c r="L14" s="138"/>
      <c r="M14" s="552"/>
      <c r="N14" s="138"/>
    </row>
    <row r="15">
      <c r="A15" s="452"/>
      <c r="B15" s="549"/>
      <c r="C15" s="550" t="s">
        <v>1586</v>
      </c>
      <c r="D15" s="550"/>
      <c r="E15" s="551"/>
      <c r="F15" s="138"/>
      <c r="G15" s="138"/>
      <c r="H15" s="138"/>
      <c r="I15" s="138"/>
      <c r="J15" s="138"/>
      <c r="K15" s="138"/>
      <c r="L15" s="138"/>
      <c r="M15" s="552"/>
      <c r="N15" s="138"/>
    </row>
    <row r="16">
      <c r="A16" s="452"/>
      <c r="B16" s="549"/>
      <c r="C16" s="550" t="s">
        <v>1587</v>
      </c>
      <c r="D16" s="550"/>
      <c r="E16" s="550" t="s">
        <v>1588</v>
      </c>
      <c r="F16" s="138"/>
      <c r="G16" s="138"/>
      <c r="H16" s="138"/>
      <c r="I16" s="138"/>
      <c r="J16" s="138"/>
      <c r="K16" s="138"/>
      <c r="L16" s="138"/>
      <c r="M16" s="552"/>
      <c r="N16" s="138"/>
    </row>
    <row r="17">
      <c r="A17" s="452"/>
      <c r="B17" s="549"/>
      <c r="C17" s="550" t="s">
        <v>1589</v>
      </c>
      <c r="D17" s="550"/>
      <c r="E17" s="551"/>
      <c r="F17" s="138"/>
      <c r="G17" s="138"/>
      <c r="H17" s="138"/>
      <c r="I17" s="138"/>
      <c r="J17" s="138"/>
      <c r="K17" s="138"/>
      <c r="L17" s="138"/>
      <c r="M17" s="552"/>
      <c r="N17" s="138"/>
    </row>
    <row r="18">
      <c r="A18" s="452"/>
      <c r="B18" s="549"/>
      <c r="C18" s="550" t="s">
        <v>1590</v>
      </c>
      <c r="D18" s="550"/>
      <c r="E18" s="553">
        <v>0.23472222222222222</v>
      </c>
      <c r="F18" s="138"/>
      <c r="G18" s="138"/>
      <c r="H18" s="138"/>
      <c r="I18" s="138"/>
      <c r="J18" s="138"/>
      <c r="K18" s="138"/>
      <c r="L18" s="138"/>
      <c r="M18" s="552"/>
      <c r="N18" s="138"/>
    </row>
    <row r="19">
      <c r="A19" s="452"/>
      <c r="B19" s="549"/>
      <c r="C19" s="551"/>
      <c r="D19" s="550"/>
      <c r="E19" s="551"/>
      <c r="F19" s="138"/>
      <c r="G19" s="138"/>
      <c r="H19" s="138"/>
      <c r="I19" s="138"/>
      <c r="J19" s="138"/>
      <c r="K19" s="138"/>
      <c r="L19" s="138"/>
      <c r="M19" s="552"/>
      <c r="N19" s="138"/>
    </row>
    <row r="20">
      <c r="A20" s="452"/>
      <c r="B20" s="549"/>
      <c r="C20" s="550"/>
      <c r="D20" s="550"/>
      <c r="E20" s="551"/>
      <c r="F20" s="138"/>
      <c r="G20" s="138"/>
      <c r="H20" s="138"/>
      <c r="I20" s="138"/>
      <c r="J20" s="138"/>
      <c r="K20" s="138"/>
      <c r="L20" s="138"/>
      <c r="M20" s="552"/>
      <c r="N20" s="138"/>
    </row>
    <row r="21">
      <c r="A21" s="452"/>
      <c r="B21" s="549"/>
      <c r="C21" s="551"/>
      <c r="D21" s="550"/>
      <c r="E21" s="551"/>
      <c r="F21" s="138"/>
      <c r="G21" s="138"/>
      <c r="H21" s="138"/>
      <c r="I21" s="138"/>
      <c r="J21" s="138"/>
      <c r="K21" s="138"/>
      <c r="L21" s="138"/>
      <c r="M21" s="552"/>
      <c r="N21" s="138"/>
    </row>
    <row r="22">
      <c r="A22" s="452"/>
      <c r="B22" s="549"/>
      <c r="C22" s="551"/>
      <c r="D22" s="550"/>
      <c r="E22" s="551"/>
      <c r="F22" s="138"/>
      <c r="G22" s="138"/>
      <c r="H22" s="138"/>
      <c r="I22" s="138"/>
      <c r="J22" s="138"/>
      <c r="K22" s="138"/>
      <c r="L22" s="138"/>
      <c r="M22" s="552"/>
      <c r="N22" s="138"/>
    </row>
    <row r="23">
      <c r="A23" s="452"/>
      <c r="B23" s="549"/>
      <c r="C23" s="551"/>
      <c r="D23" s="550"/>
      <c r="E23" s="551"/>
      <c r="F23" s="138"/>
      <c r="G23" s="138"/>
      <c r="H23" s="138"/>
      <c r="I23" s="138"/>
      <c r="J23" s="138"/>
      <c r="K23" s="138"/>
      <c r="L23" s="138"/>
      <c r="M23" s="552"/>
      <c r="N23" s="138"/>
    </row>
    <row r="24">
      <c r="A24" s="452"/>
      <c r="B24" s="548" t="s">
        <v>1591</v>
      </c>
      <c r="C24" s="551"/>
      <c r="D24" s="550"/>
      <c r="E24" s="551"/>
      <c r="F24" s="138"/>
      <c r="G24" s="138"/>
      <c r="H24" s="138"/>
      <c r="I24" s="138"/>
      <c r="J24" s="138"/>
      <c r="K24" s="138"/>
      <c r="L24" s="138"/>
      <c r="M24" s="552"/>
      <c r="N24" s="138"/>
    </row>
    <row r="25">
      <c r="A25" s="452"/>
      <c r="B25" s="549"/>
      <c r="C25" s="550" t="s">
        <v>1592</v>
      </c>
      <c r="D25" s="550"/>
      <c r="E25" s="551"/>
      <c r="F25" s="138"/>
      <c r="G25" s="138"/>
      <c r="H25" s="138"/>
      <c r="I25" s="138"/>
      <c r="J25" s="138"/>
      <c r="K25" s="138"/>
      <c r="L25" s="138"/>
      <c r="M25" s="552"/>
      <c r="N25" s="138"/>
    </row>
    <row r="26">
      <c r="A26" s="452"/>
      <c r="B26" s="549"/>
      <c r="C26" s="551"/>
      <c r="D26" s="550"/>
      <c r="E26" s="551"/>
      <c r="F26" s="138"/>
      <c r="G26" s="138"/>
      <c r="H26" s="138"/>
      <c r="I26" s="138"/>
      <c r="J26" s="138"/>
      <c r="K26" s="138"/>
      <c r="L26" s="138"/>
      <c r="M26" s="552"/>
      <c r="N26" s="138"/>
    </row>
    <row r="27">
      <c r="A27" s="452"/>
      <c r="B27" s="549"/>
      <c r="C27" s="551"/>
      <c r="D27" s="550"/>
      <c r="E27" s="551"/>
      <c r="F27" s="138"/>
      <c r="G27" s="138"/>
      <c r="H27" s="138"/>
      <c r="I27" s="138"/>
      <c r="J27" s="138"/>
      <c r="K27" s="138"/>
      <c r="L27" s="138"/>
      <c r="M27" s="552"/>
      <c r="N27" s="138"/>
    </row>
    <row r="28">
      <c r="A28" s="452"/>
      <c r="B28" s="549"/>
      <c r="C28" s="551"/>
      <c r="D28" s="550"/>
      <c r="E28" s="551"/>
      <c r="F28" s="138"/>
      <c r="G28" s="138"/>
      <c r="H28" s="138"/>
      <c r="I28" s="138"/>
      <c r="J28" s="138"/>
      <c r="K28" s="138"/>
      <c r="L28" s="138"/>
      <c r="M28" s="552"/>
      <c r="N28" s="138"/>
    </row>
    <row r="29">
      <c r="A29" s="452"/>
      <c r="B29" s="549"/>
      <c r="C29" s="551"/>
      <c r="D29" s="550"/>
      <c r="E29" s="551"/>
      <c r="F29" s="138"/>
      <c r="G29" s="138"/>
      <c r="H29" s="138"/>
      <c r="I29" s="138"/>
      <c r="J29" s="138"/>
      <c r="K29" s="138"/>
      <c r="L29" s="138"/>
      <c r="M29" s="552"/>
      <c r="N29" s="138"/>
    </row>
    <row r="30">
      <c r="A30" s="452"/>
      <c r="B30" s="549"/>
      <c r="C30" s="551"/>
      <c r="D30" s="550"/>
      <c r="E30" s="551"/>
      <c r="F30" s="138"/>
      <c r="G30" s="138"/>
      <c r="H30" s="138"/>
      <c r="I30" s="138"/>
      <c r="J30" s="138"/>
      <c r="K30" s="138"/>
      <c r="L30" s="138"/>
      <c r="M30" s="552"/>
      <c r="N30" s="138"/>
    </row>
    <row r="31">
      <c r="A31" s="452"/>
      <c r="B31" s="549"/>
      <c r="C31" s="551"/>
      <c r="D31" s="550"/>
      <c r="E31" s="551"/>
      <c r="F31" s="138"/>
      <c r="G31" s="138"/>
      <c r="H31" s="138"/>
      <c r="I31" s="138"/>
      <c r="J31" s="138"/>
      <c r="K31" s="138"/>
      <c r="L31" s="138"/>
      <c r="M31" s="552"/>
      <c r="N31" s="138"/>
    </row>
    <row r="32">
      <c r="A32" s="452"/>
      <c r="B32" s="549"/>
      <c r="C32" s="551"/>
      <c r="D32" s="550"/>
      <c r="E32" s="551"/>
      <c r="F32" s="138"/>
      <c r="G32" s="138"/>
      <c r="H32" s="138"/>
      <c r="I32" s="138"/>
      <c r="J32" s="138"/>
      <c r="K32" s="138"/>
      <c r="L32" s="138"/>
      <c r="M32" s="552"/>
      <c r="N32" s="138"/>
    </row>
    <row r="33">
      <c r="A33" s="452"/>
      <c r="B33" s="549"/>
      <c r="C33" s="551"/>
      <c r="D33" s="550"/>
      <c r="E33" s="551"/>
      <c r="F33" s="138"/>
      <c r="G33" s="138"/>
      <c r="H33" s="138"/>
      <c r="I33" s="138"/>
      <c r="J33" s="138"/>
      <c r="K33" s="138"/>
      <c r="L33" s="138"/>
      <c r="M33" s="552"/>
      <c r="N33" s="138"/>
    </row>
    <row r="34">
      <c r="A34" s="452"/>
      <c r="B34" s="549"/>
      <c r="C34" s="551"/>
      <c r="D34" s="550"/>
      <c r="E34" s="551"/>
      <c r="F34" s="138"/>
      <c r="G34" s="138"/>
      <c r="H34" s="138"/>
      <c r="I34" s="138"/>
      <c r="J34" s="138"/>
      <c r="K34" s="138"/>
      <c r="L34" s="138"/>
      <c r="M34" s="552"/>
      <c r="N34" s="138"/>
    </row>
    <row r="35">
      <c r="A35" s="452"/>
      <c r="B35" s="549"/>
      <c r="C35" s="551"/>
      <c r="D35" s="550"/>
      <c r="E35" s="551"/>
      <c r="F35" s="138"/>
      <c r="G35" s="138"/>
      <c r="H35" s="138"/>
      <c r="I35" s="138"/>
      <c r="J35" s="138"/>
      <c r="K35" s="138"/>
      <c r="L35" s="138"/>
      <c r="M35" s="552"/>
      <c r="N35" s="138"/>
    </row>
    <row r="36">
      <c r="A36" s="452"/>
      <c r="B36" s="549"/>
      <c r="C36" s="551"/>
      <c r="D36" s="550"/>
      <c r="E36" s="551"/>
      <c r="F36" s="138"/>
      <c r="G36" s="138"/>
      <c r="H36" s="138"/>
      <c r="I36" s="138"/>
      <c r="J36" s="138"/>
      <c r="K36" s="138"/>
      <c r="L36" s="138"/>
      <c r="M36" s="552"/>
      <c r="N36" s="138"/>
    </row>
    <row r="37">
      <c r="A37" s="452"/>
      <c r="B37" s="549"/>
      <c r="C37" s="551"/>
      <c r="D37" s="550"/>
      <c r="E37" s="551"/>
      <c r="F37" s="138"/>
      <c r="G37" s="138"/>
      <c r="H37" s="138"/>
      <c r="I37" s="138"/>
      <c r="J37" s="138"/>
      <c r="K37" s="138"/>
      <c r="L37" s="138"/>
      <c r="M37" s="552"/>
      <c r="N37" s="138"/>
    </row>
    <row r="38">
      <c r="A38" s="452"/>
      <c r="B38" s="549"/>
      <c r="C38" s="551"/>
      <c r="D38" s="550"/>
      <c r="E38" s="551"/>
      <c r="F38" s="138"/>
      <c r="G38" s="138"/>
      <c r="H38" s="138"/>
      <c r="I38" s="138"/>
      <c r="J38" s="138"/>
      <c r="K38" s="138"/>
      <c r="L38" s="138"/>
      <c r="M38" s="552"/>
      <c r="N38" s="138"/>
    </row>
    <row r="39">
      <c r="A39" s="452"/>
      <c r="B39" s="549"/>
      <c r="C39" s="551"/>
      <c r="D39" s="550"/>
      <c r="E39" s="551"/>
      <c r="F39" s="138"/>
      <c r="G39" s="138"/>
      <c r="H39" s="138"/>
      <c r="I39" s="138"/>
      <c r="J39" s="138"/>
      <c r="K39" s="138"/>
      <c r="L39" s="138"/>
      <c r="M39" s="552"/>
      <c r="N39" s="138"/>
    </row>
    <row r="40">
      <c r="A40" s="452"/>
      <c r="B40" s="549"/>
      <c r="C40" s="551"/>
      <c r="D40" s="550"/>
      <c r="E40" s="551"/>
      <c r="F40" s="138"/>
      <c r="G40" s="138"/>
      <c r="H40" s="138"/>
      <c r="I40" s="138"/>
      <c r="J40" s="138"/>
      <c r="K40" s="138"/>
      <c r="L40" s="138"/>
      <c r="M40" s="552"/>
      <c r="N40" s="138"/>
    </row>
    <row r="41">
      <c r="A41" s="452"/>
      <c r="B41" s="549"/>
      <c r="C41" s="551"/>
      <c r="D41" s="550"/>
      <c r="E41" s="551"/>
      <c r="F41" s="138"/>
      <c r="G41" s="138"/>
      <c r="H41" s="138"/>
      <c r="I41" s="138"/>
      <c r="J41" s="138"/>
      <c r="K41" s="138"/>
      <c r="L41" s="138"/>
      <c r="M41" s="552"/>
      <c r="N41" s="138"/>
    </row>
    <row r="42">
      <c r="A42" s="452"/>
      <c r="B42" s="549"/>
      <c r="C42" s="551"/>
      <c r="D42" s="550"/>
      <c r="E42" s="551"/>
      <c r="F42" s="138"/>
      <c r="G42" s="138"/>
      <c r="H42" s="138"/>
      <c r="I42" s="138"/>
      <c r="J42" s="138"/>
      <c r="K42" s="138"/>
      <c r="L42" s="138"/>
      <c r="M42" s="552"/>
      <c r="N42" s="138"/>
    </row>
    <row r="43">
      <c r="A43" s="452"/>
      <c r="B43" s="549"/>
      <c r="C43" s="551"/>
      <c r="D43" s="550"/>
      <c r="E43" s="551"/>
      <c r="F43" s="138"/>
      <c r="G43" s="138"/>
      <c r="H43" s="138"/>
      <c r="I43" s="138"/>
      <c r="J43" s="138"/>
      <c r="K43" s="138"/>
      <c r="L43" s="138"/>
      <c r="M43" s="552"/>
      <c r="N43" s="138"/>
    </row>
    <row r="44">
      <c r="A44" s="452"/>
      <c r="B44" s="549"/>
      <c r="C44" s="551"/>
      <c r="D44" s="550"/>
      <c r="E44" s="551"/>
      <c r="F44" s="138"/>
      <c r="G44" s="138"/>
      <c r="H44" s="138"/>
      <c r="I44" s="138"/>
      <c r="J44" s="138"/>
      <c r="K44" s="138"/>
      <c r="L44" s="138"/>
      <c r="M44" s="552"/>
      <c r="N44" s="138"/>
    </row>
    <row r="45">
      <c r="A45" s="452"/>
      <c r="B45" s="549"/>
      <c r="C45" s="551"/>
      <c r="D45" s="550"/>
      <c r="E45" s="551"/>
      <c r="F45" s="138"/>
      <c r="G45" s="138"/>
      <c r="H45" s="138"/>
      <c r="I45" s="138"/>
      <c r="J45" s="138"/>
      <c r="K45" s="138"/>
      <c r="L45" s="138"/>
      <c r="M45" s="552"/>
      <c r="N45" s="138"/>
    </row>
    <row r="46">
      <c r="A46" s="452"/>
      <c r="B46" s="549"/>
      <c r="C46" s="551"/>
      <c r="D46" s="550"/>
      <c r="E46" s="551"/>
      <c r="F46" s="138"/>
      <c r="G46" s="138"/>
      <c r="H46" s="138"/>
      <c r="I46" s="138"/>
      <c r="J46" s="138"/>
      <c r="K46" s="138"/>
      <c r="L46" s="138"/>
      <c r="M46" s="552"/>
      <c r="N46" s="138"/>
    </row>
    <row r="47">
      <c r="A47" s="452"/>
      <c r="B47" s="549"/>
      <c r="C47" s="551"/>
      <c r="D47" s="550"/>
      <c r="E47" s="551"/>
      <c r="F47" s="138"/>
      <c r="G47" s="138"/>
      <c r="H47" s="138"/>
      <c r="I47" s="138"/>
      <c r="J47" s="138"/>
      <c r="K47" s="138"/>
      <c r="L47" s="138"/>
      <c r="M47" s="552"/>
      <c r="N47" s="138"/>
    </row>
    <row r="48">
      <c r="A48" s="452"/>
      <c r="B48" s="549"/>
      <c r="C48" s="551"/>
      <c r="D48" s="550"/>
      <c r="E48" s="551"/>
      <c r="F48" s="138"/>
      <c r="G48" s="138"/>
      <c r="H48" s="138"/>
      <c r="I48" s="138"/>
      <c r="J48" s="138"/>
      <c r="K48" s="138"/>
      <c r="L48" s="138"/>
      <c r="M48" s="552"/>
      <c r="N48" s="138"/>
    </row>
    <row r="49">
      <c r="A49" s="452"/>
      <c r="B49" s="549"/>
      <c r="C49" s="551"/>
      <c r="D49" s="550"/>
      <c r="E49" s="551"/>
      <c r="F49" s="138"/>
      <c r="G49" s="138"/>
      <c r="H49" s="138"/>
      <c r="I49" s="138"/>
      <c r="J49" s="138"/>
      <c r="K49" s="138"/>
      <c r="L49" s="138"/>
      <c r="M49" s="552"/>
      <c r="N49" s="138"/>
    </row>
    <row r="50">
      <c r="A50" s="452"/>
      <c r="B50" s="549"/>
      <c r="C50" s="551"/>
      <c r="D50" s="550"/>
      <c r="E50" s="551"/>
      <c r="F50" s="138"/>
      <c r="G50" s="138"/>
      <c r="H50" s="138"/>
      <c r="I50" s="138"/>
      <c r="J50" s="138"/>
      <c r="K50" s="138"/>
      <c r="L50" s="138"/>
      <c r="M50" s="552"/>
      <c r="N50" s="138"/>
    </row>
    <row r="51">
      <c r="A51" s="452"/>
      <c r="B51" s="549"/>
      <c r="C51" s="551"/>
      <c r="D51" s="550"/>
      <c r="E51" s="551"/>
      <c r="F51" s="138"/>
      <c r="G51" s="138"/>
      <c r="H51" s="138"/>
      <c r="I51" s="138"/>
      <c r="J51" s="138"/>
      <c r="K51" s="138"/>
      <c r="L51" s="138"/>
      <c r="M51" s="552"/>
      <c r="N51" s="138"/>
    </row>
    <row r="52">
      <c r="A52" s="452"/>
      <c r="B52" s="549"/>
      <c r="C52" s="551"/>
      <c r="D52" s="550"/>
      <c r="E52" s="551"/>
      <c r="F52" s="138"/>
      <c r="G52" s="138"/>
      <c r="H52" s="138"/>
      <c r="I52" s="138"/>
      <c r="J52" s="138"/>
      <c r="K52" s="138"/>
      <c r="L52" s="138"/>
      <c r="M52" s="552"/>
      <c r="N52" s="138"/>
    </row>
    <row r="53">
      <c r="A53" s="452"/>
      <c r="B53" s="549"/>
      <c r="C53" s="551"/>
      <c r="D53" s="550"/>
      <c r="E53" s="551"/>
      <c r="F53" s="138"/>
      <c r="G53" s="138"/>
      <c r="H53" s="138"/>
      <c r="I53" s="138"/>
      <c r="J53" s="138"/>
      <c r="K53" s="138"/>
      <c r="L53" s="138"/>
      <c r="M53" s="552"/>
      <c r="N53" s="138"/>
    </row>
    <row r="54">
      <c r="A54" s="452"/>
      <c r="B54" s="549"/>
      <c r="C54" s="551"/>
      <c r="D54" s="550"/>
      <c r="E54" s="551"/>
      <c r="F54" s="138"/>
      <c r="G54" s="138"/>
      <c r="H54" s="138"/>
      <c r="I54" s="138"/>
      <c r="J54" s="138"/>
      <c r="K54" s="138"/>
      <c r="L54" s="138"/>
      <c r="M54" s="552"/>
      <c r="N54" s="138"/>
    </row>
    <row r="55">
      <c r="A55" s="452"/>
      <c r="B55" s="549"/>
      <c r="C55" s="551"/>
      <c r="D55" s="550"/>
      <c r="E55" s="551"/>
      <c r="F55" s="138"/>
      <c r="G55" s="138"/>
      <c r="H55" s="138"/>
      <c r="I55" s="138"/>
      <c r="J55" s="138"/>
      <c r="K55" s="138"/>
      <c r="L55" s="138"/>
      <c r="M55" s="552"/>
      <c r="N55" s="138"/>
    </row>
    <row r="56">
      <c r="A56" s="452"/>
      <c r="B56" s="549"/>
      <c r="C56" s="551"/>
      <c r="D56" s="550"/>
      <c r="E56" s="551"/>
      <c r="F56" s="138"/>
      <c r="G56" s="138"/>
      <c r="H56" s="138"/>
      <c r="I56" s="138"/>
      <c r="J56" s="138"/>
      <c r="K56" s="138"/>
      <c r="L56" s="138"/>
      <c r="M56" s="552"/>
      <c r="N56" s="138"/>
    </row>
    <row r="57">
      <c r="A57" s="452"/>
      <c r="B57" s="549"/>
      <c r="C57" s="551"/>
      <c r="D57" s="550"/>
      <c r="E57" s="551"/>
      <c r="F57" s="138"/>
      <c r="G57" s="138"/>
      <c r="H57" s="138"/>
      <c r="I57" s="138"/>
      <c r="J57" s="138"/>
      <c r="K57" s="138"/>
      <c r="L57" s="138"/>
      <c r="M57" s="552"/>
      <c r="N57" s="138"/>
    </row>
    <row r="58">
      <c r="A58" s="452"/>
      <c r="B58" s="549"/>
      <c r="C58" s="551"/>
      <c r="D58" s="550"/>
      <c r="E58" s="551"/>
      <c r="F58" s="138"/>
      <c r="G58" s="138"/>
      <c r="H58" s="138"/>
      <c r="I58" s="138"/>
      <c r="J58" s="138"/>
      <c r="K58" s="138"/>
      <c r="L58" s="138"/>
      <c r="M58" s="552"/>
      <c r="N58" s="138"/>
    </row>
    <row r="59">
      <c r="A59" s="452"/>
      <c r="B59" s="549"/>
      <c r="C59" s="551"/>
      <c r="D59" s="550"/>
      <c r="E59" s="551"/>
      <c r="F59" s="138"/>
      <c r="G59" s="138"/>
      <c r="H59" s="138"/>
      <c r="I59" s="138"/>
      <c r="J59" s="138"/>
      <c r="K59" s="138"/>
      <c r="L59" s="138"/>
      <c r="M59" s="552"/>
      <c r="N59" s="138"/>
    </row>
    <row r="60">
      <c r="A60" s="452"/>
      <c r="B60" s="549"/>
      <c r="C60" s="551"/>
      <c r="D60" s="550"/>
      <c r="E60" s="551"/>
      <c r="F60" s="138"/>
      <c r="G60" s="138"/>
      <c r="H60" s="138"/>
      <c r="I60" s="138"/>
      <c r="J60" s="138"/>
      <c r="K60" s="138"/>
      <c r="L60" s="138"/>
      <c r="M60" s="552"/>
      <c r="N60" s="138"/>
    </row>
    <row r="61">
      <c r="A61" s="452"/>
      <c r="B61" s="549"/>
      <c r="C61" s="551"/>
      <c r="D61" s="550"/>
      <c r="E61" s="551"/>
      <c r="F61" s="138"/>
      <c r="G61" s="138"/>
      <c r="H61" s="138"/>
      <c r="I61" s="138"/>
      <c r="J61" s="138"/>
      <c r="K61" s="138"/>
      <c r="L61" s="138"/>
      <c r="M61" s="552"/>
      <c r="N61" s="138"/>
    </row>
    <row r="62">
      <c r="A62" s="452"/>
      <c r="B62" s="549"/>
      <c r="C62" s="551"/>
      <c r="D62" s="550"/>
      <c r="E62" s="551"/>
      <c r="F62" s="138"/>
      <c r="G62" s="138"/>
      <c r="H62" s="138"/>
      <c r="I62" s="138"/>
      <c r="J62" s="138"/>
      <c r="K62" s="138"/>
      <c r="L62" s="138"/>
      <c r="M62" s="552"/>
      <c r="N62" s="138"/>
    </row>
    <row r="63">
      <c r="A63" s="452"/>
      <c r="B63" s="549"/>
      <c r="C63" s="551"/>
      <c r="D63" s="550"/>
      <c r="E63" s="551"/>
      <c r="F63" s="138"/>
      <c r="G63" s="138"/>
      <c r="H63" s="138"/>
      <c r="I63" s="138"/>
      <c r="J63" s="138"/>
      <c r="K63" s="138"/>
      <c r="L63" s="138"/>
      <c r="M63" s="552"/>
      <c r="N63" s="138"/>
    </row>
    <row r="64">
      <c r="A64" s="452"/>
      <c r="B64" s="549"/>
      <c r="C64" s="551"/>
      <c r="D64" s="550"/>
      <c r="E64" s="551"/>
      <c r="F64" s="138"/>
      <c r="G64" s="138"/>
      <c r="H64" s="138"/>
      <c r="I64" s="138"/>
      <c r="J64" s="138"/>
      <c r="K64" s="138"/>
      <c r="L64" s="138"/>
      <c r="M64" s="552"/>
      <c r="N64" s="138"/>
    </row>
    <row r="65">
      <c r="A65" s="452"/>
      <c r="B65" s="549"/>
      <c r="C65" s="551"/>
      <c r="D65" s="550"/>
      <c r="E65" s="551"/>
      <c r="F65" s="138"/>
      <c r="G65" s="138"/>
      <c r="H65" s="138"/>
      <c r="I65" s="138"/>
      <c r="J65" s="138"/>
      <c r="K65" s="138"/>
      <c r="L65" s="138"/>
      <c r="M65" s="552"/>
      <c r="N65" s="138"/>
    </row>
    <row r="66">
      <c r="A66" s="452"/>
      <c r="B66" s="549"/>
      <c r="C66" s="551"/>
      <c r="D66" s="550"/>
      <c r="E66" s="551"/>
      <c r="F66" s="138"/>
      <c r="G66" s="138"/>
      <c r="H66" s="138"/>
      <c r="I66" s="138"/>
      <c r="J66" s="138"/>
      <c r="K66" s="138"/>
      <c r="L66" s="138"/>
      <c r="M66" s="552"/>
      <c r="N66" s="138"/>
    </row>
    <row r="67">
      <c r="A67" s="452"/>
      <c r="B67" s="549"/>
      <c r="C67" s="551"/>
      <c r="D67" s="550"/>
      <c r="E67" s="551"/>
      <c r="F67" s="138"/>
      <c r="G67" s="138"/>
      <c r="H67" s="138"/>
      <c r="I67" s="138"/>
      <c r="J67" s="138"/>
      <c r="K67" s="138"/>
      <c r="L67" s="138"/>
      <c r="M67" s="552"/>
      <c r="N67" s="138"/>
    </row>
    <row r="68">
      <c r="A68" s="452"/>
      <c r="B68" s="549"/>
      <c r="C68" s="551"/>
      <c r="D68" s="550"/>
      <c r="E68" s="551"/>
      <c r="F68" s="138"/>
      <c r="G68" s="138"/>
      <c r="H68" s="138"/>
      <c r="I68" s="138"/>
      <c r="J68" s="138"/>
      <c r="K68" s="138"/>
      <c r="L68" s="138"/>
      <c r="M68" s="552"/>
      <c r="N68" s="138"/>
    </row>
    <row r="69">
      <c r="A69" s="452"/>
      <c r="B69" s="549"/>
      <c r="C69" s="551"/>
      <c r="D69" s="550"/>
      <c r="E69" s="551"/>
      <c r="F69" s="138"/>
      <c r="G69" s="138"/>
      <c r="H69" s="138"/>
      <c r="I69" s="138"/>
      <c r="J69" s="138"/>
      <c r="K69" s="138"/>
      <c r="L69" s="138"/>
      <c r="M69" s="552"/>
      <c r="N69" s="138"/>
    </row>
    <row r="70">
      <c r="A70" s="452"/>
      <c r="B70" s="549"/>
      <c r="C70" s="551"/>
      <c r="D70" s="550"/>
      <c r="E70" s="551"/>
      <c r="F70" s="138"/>
      <c r="G70" s="138"/>
      <c r="H70" s="138"/>
      <c r="I70" s="138"/>
      <c r="J70" s="138"/>
      <c r="K70" s="138"/>
      <c r="L70" s="138"/>
      <c r="M70" s="552"/>
      <c r="N70" s="138"/>
    </row>
    <row r="71">
      <c r="A71" s="452"/>
      <c r="B71" s="549"/>
      <c r="C71" s="551"/>
      <c r="D71" s="550"/>
      <c r="E71" s="551"/>
      <c r="F71" s="138"/>
      <c r="G71" s="138"/>
      <c r="H71" s="138"/>
      <c r="I71" s="138"/>
      <c r="J71" s="138"/>
      <c r="K71" s="138"/>
      <c r="L71" s="138"/>
      <c r="M71" s="552"/>
      <c r="N71" s="138"/>
    </row>
    <row r="72">
      <c r="A72" s="452"/>
      <c r="B72" s="549"/>
      <c r="C72" s="551"/>
      <c r="D72" s="550"/>
      <c r="E72" s="551"/>
      <c r="F72" s="138"/>
      <c r="G72" s="138"/>
      <c r="H72" s="138"/>
      <c r="I72" s="138"/>
      <c r="J72" s="138"/>
      <c r="K72" s="138"/>
      <c r="L72" s="138"/>
      <c r="M72" s="552"/>
      <c r="N72" s="138"/>
    </row>
    <row r="73">
      <c r="A73" s="452"/>
      <c r="B73" s="549"/>
      <c r="C73" s="551"/>
      <c r="D73" s="550"/>
      <c r="E73" s="551"/>
      <c r="F73" s="138"/>
      <c r="G73" s="138"/>
      <c r="H73" s="138"/>
      <c r="I73" s="138"/>
      <c r="J73" s="138"/>
      <c r="K73" s="138"/>
      <c r="L73" s="138"/>
      <c r="M73" s="552"/>
      <c r="N73" s="138"/>
    </row>
    <row r="74">
      <c r="A74" s="452"/>
      <c r="B74" s="549"/>
      <c r="C74" s="551"/>
      <c r="D74" s="550"/>
      <c r="E74" s="551"/>
      <c r="F74" s="138"/>
      <c r="G74" s="138"/>
      <c r="H74" s="138"/>
      <c r="I74" s="138"/>
      <c r="J74" s="138"/>
      <c r="K74" s="138"/>
      <c r="L74" s="138"/>
      <c r="M74" s="552"/>
      <c r="N74" s="138"/>
    </row>
    <row r="75">
      <c r="A75" s="452"/>
      <c r="B75" s="549"/>
      <c r="C75" s="551"/>
      <c r="D75" s="550"/>
      <c r="E75" s="551"/>
      <c r="F75" s="138"/>
      <c r="G75" s="138"/>
      <c r="H75" s="138"/>
      <c r="I75" s="138"/>
      <c r="J75" s="138"/>
      <c r="K75" s="138"/>
      <c r="L75" s="138"/>
      <c r="M75" s="552"/>
      <c r="N75" s="138"/>
    </row>
    <row r="76">
      <c r="A76" s="452"/>
      <c r="B76" s="554" t="s">
        <v>1593</v>
      </c>
      <c r="C76" s="452"/>
      <c r="D76" s="452"/>
      <c r="E76" s="551"/>
      <c r="F76" s="140" t="s">
        <v>1594</v>
      </c>
      <c r="G76" s="138"/>
      <c r="H76" s="138"/>
      <c r="I76" s="138"/>
      <c r="J76" s="138"/>
      <c r="K76" s="138"/>
      <c r="L76" s="138"/>
      <c r="M76" s="552"/>
      <c r="N76" s="138"/>
    </row>
    <row r="77">
      <c r="A77" s="452"/>
      <c r="B77" s="452"/>
      <c r="C77" s="452"/>
      <c r="D77" s="452"/>
      <c r="E77" s="551"/>
      <c r="F77" s="138"/>
      <c r="G77" s="138"/>
      <c r="H77" s="138"/>
      <c r="I77" s="138"/>
      <c r="J77" s="138"/>
      <c r="K77" s="138"/>
      <c r="L77" s="138"/>
      <c r="M77" s="552"/>
      <c r="N77" s="138"/>
    </row>
    <row r="78">
      <c r="A78" s="555">
        <v>0.0</v>
      </c>
      <c r="B78" s="516" t="s">
        <v>1595</v>
      </c>
      <c r="E78" s="551"/>
      <c r="F78" s="140" t="s">
        <v>1596</v>
      </c>
      <c r="G78" s="138"/>
      <c r="H78" s="138"/>
      <c r="I78" s="138"/>
      <c r="J78" s="138"/>
      <c r="K78" s="138"/>
      <c r="L78" s="138"/>
      <c r="M78" s="552"/>
      <c r="N78" s="138"/>
    </row>
    <row r="79">
      <c r="A79" s="555">
        <v>0.1</v>
      </c>
      <c r="B79" s="516" t="s">
        <v>1597</v>
      </c>
      <c r="E79" s="551"/>
      <c r="F79" s="140" t="s">
        <v>1598</v>
      </c>
      <c r="G79" s="138"/>
      <c r="H79" s="138"/>
      <c r="I79" s="138"/>
      <c r="J79" s="138"/>
      <c r="K79" s="138"/>
      <c r="L79" s="138"/>
      <c r="M79" s="552"/>
      <c r="N79" s="138"/>
    </row>
    <row r="80">
      <c r="A80" s="555">
        <v>0.2</v>
      </c>
      <c r="B80" s="516" t="s">
        <v>1599</v>
      </c>
      <c r="E80" s="551"/>
      <c r="F80" s="140" t="s">
        <v>1600</v>
      </c>
      <c r="G80" s="138"/>
      <c r="H80" s="138"/>
      <c r="I80" s="138"/>
      <c r="J80" s="138"/>
      <c r="K80" s="138"/>
      <c r="L80" s="138"/>
      <c r="M80" s="552"/>
      <c r="N80" s="138"/>
    </row>
    <row r="81">
      <c r="A81" s="555">
        <v>0.3</v>
      </c>
      <c r="B81" s="516" t="s">
        <v>1601</v>
      </c>
      <c r="E81" s="551"/>
      <c r="F81" s="140" t="s">
        <v>1602</v>
      </c>
      <c r="G81" s="138"/>
      <c r="H81" s="138"/>
      <c r="I81" s="138"/>
      <c r="J81" s="138"/>
      <c r="K81" s="138"/>
      <c r="L81" s="138"/>
      <c r="M81" s="552"/>
      <c r="N81" s="138"/>
    </row>
    <row r="82">
      <c r="A82" s="555">
        <v>0.4</v>
      </c>
      <c r="B82" s="516" t="s">
        <v>1603</v>
      </c>
      <c r="E82" s="551"/>
      <c r="F82" s="140" t="s">
        <v>1604</v>
      </c>
      <c r="G82" s="138"/>
      <c r="H82" s="138"/>
      <c r="I82" s="138"/>
      <c r="J82" s="138"/>
      <c r="K82" s="138"/>
      <c r="L82" s="138"/>
      <c r="M82" s="552"/>
      <c r="N82" s="138"/>
    </row>
    <row r="83">
      <c r="A83" s="555">
        <v>1.0</v>
      </c>
      <c r="B83" s="516" t="s">
        <v>1605</v>
      </c>
      <c r="E83" s="551"/>
      <c r="F83" s="140" t="s">
        <v>1606</v>
      </c>
      <c r="G83" s="138"/>
      <c r="H83" s="138"/>
      <c r="I83" s="138"/>
      <c r="J83" s="138"/>
      <c r="K83" s="138"/>
      <c r="L83" s="138"/>
      <c r="M83" s="552"/>
      <c r="N83" s="138"/>
    </row>
    <row r="84">
      <c r="A84" s="555">
        <v>1.1</v>
      </c>
      <c r="B84" s="516" t="s">
        <v>1607</v>
      </c>
      <c r="E84" s="551"/>
      <c r="F84" s="140" t="s">
        <v>1608</v>
      </c>
      <c r="G84" s="138"/>
      <c r="H84" s="138"/>
      <c r="I84" s="138"/>
      <c r="J84" s="138"/>
      <c r="K84" s="138"/>
      <c r="L84" s="138"/>
      <c r="M84" s="552"/>
      <c r="N84" s="138"/>
    </row>
    <row r="85">
      <c r="A85" s="556">
        <v>1.4</v>
      </c>
      <c r="B85" s="557" t="s">
        <v>1609</v>
      </c>
      <c r="C85" s="557"/>
      <c r="D85" s="557"/>
      <c r="E85" s="551"/>
      <c r="F85" s="140" t="s">
        <v>1610</v>
      </c>
      <c r="G85" s="138"/>
      <c r="H85" s="138"/>
      <c r="I85" s="138"/>
      <c r="J85" s="138"/>
      <c r="K85" s="138"/>
      <c r="L85" s="138"/>
      <c r="M85" s="552"/>
      <c r="N85" s="138"/>
    </row>
    <row r="86">
      <c r="A86" s="116">
        <v>2.0</v>
      </c>
      <c r="B86" s="558" t="s">
        <v>1611</v>
      </c>
      <c r="E86" s="551"/>
      <c r="F86" s="140" t="s">
        <v>1612</v>
      </c>
      <c r="G86" s="138"/>
      <c r="H86" s="138"/>
      <c r="I86" s="138"/>
      <c r="J86" s="138"/>
      <c r="K86" s="138"/>
      <c r="L86" s="138"/>
      <c r="M86" s="552"/>
      <c r="N86" s="138"/>
    </row>
    <row r="87">
      <c r="A87" s="116">
        <v>2.1</v>
      </c>
      <c r="B87" s="558" t="s">
        <v>1613</v>
      </c>
      <c r="E87" s="550" t="s">
        <v>1614</v>
      </c>
      <c r="F87" s="140" t="s">
        <v>1615</v>
      </c>
      <c r="G87" s="138"/>
      <c r="H87" s="138"/>
      <c r="I87" s="138"/>
      <c r="J87" s="138"/>
      <c r="K87" s="138"/>
      <c r="L87" s="138"/>
      <c r="M87" s="552"/>
      <c r="N87" s="138"/>
    </row>
    <row r="88">
      <c r="A88" s="555">
        <v>3.0</v>
      </c>
      <c r="B88" s="516" t="s">
        <v>1616</v>
      </c>
      <c r="E88" s="551"/>
      <c r="F88" s="140" t="s">
        <v>1617</v>
      </c>
      <c r="G88" s="138"/>
      <c r="H88" s="138"/>
      <c r="I88" s="138"/>
      <c r="J88" s="138"/>
      <c r="K88" s="138"/>
      <c r="L88" s="138"/>
      <c r="M88" s="552"/>
      <c r="N88" s="138"/>
    </row>
    <row r="89">
      <c r="A89" s="555">
        <v>3.1</v>
      </c>
      <c r="B89" s="516" t="s">
        <v>1618</v>
      </c>
      <c r="E89" s="551"/>
      <c r="F89" s="140" t="s">
        <v>1619</v>
      </c>
      <c r="G89" s="138"/>
      <c r="H89" s="138"/>
      <c r="I89" s="138"/>
      <c r="J89" s="138"/>
      <c r="K89" s="138"/>
      <c r="L89" s="138"/>
      <c r="M89" s="552"/>
      <c r="N89" s="138"/>
    </row>
    <row r="90">
      <c r="A90" s="90">
        <v>3.4</v>
      </c>
      <c r="B90" s="559" t="s">
        <v>1620</v>
      </c>
      <c r="C90" s="559"/>
      <c r="D90" s="559"/>
      <c r="E90" s="551"/>
      <c r="F90" s="140" t="s">
        <v>1621</v>
      </c>
      <c r="G90" s="138"/>
      <c r="H90" s="138"/>
      <c r="I90" s="138"/>
      <c r="J90" s="138"/>
      <c r="K90" s="138"/>
      <c r="L90" s="138"/>
      <c r="M90" s="552"/>
      <c r="N90" s="138"/>
    </row>
    <row r="91">
      <c r="A91" s="560">
        <v>3.6</v>
      </c>
      <c r="B91" s="503" t="s">
        <v>1622</v>
      </c>
      <c r="E91" s="551"/>
      <c r="F91" s="140" t="s">
        <v>1623</v>
      </c>
      <c r="G91" s="138"/>
      <c r="H91" s="138"/>
      <c r="I91" s="138"/>
      <c r="J91" s="138"/>
      <c r="K91" s="138"/>
      <c r="L91" s="138"/>
      <c r="M91" s="552"/>
      <c r="N91" s="138"/>
    </row>
    <row r="92">
      <c r="A92" s="561">
        <v>4.0</v>
      </c>
      <c r="B92" s="562" t="s">
        <v>1624</v>
      </c>
      <c r="E92" s="551"/>
      <c r="F92" s="138"/>
      <c r="G92" s="138"/>
      <c r="H92" s="138"/>
      <c r="I92" s="138"/>
      <c r="J92" s="138"/>
      <c r="K92" s="138"/>
      <c r="L92" s="138"/>
      <c r="M92" s="552"/>
      <c r="N92" s="138"/>
    </row>
    <row r="93">
      <c r="A93" s="452"/>
      <c r="B93" s="452"/>
      <c r="C93" s="452"/>
      <c r="D93" s="452"/>
      <c r="E93" s="551"/>
      <c r="F93" s="138"/>
      <c r="G93" s="138"/>
      <c r="H93" s="138"/>
      <c r="I93" s="138"/>
      <c r="J93" s="138"/>
      <c r="K93" s="138"/>
      <c r="L93" s="138"/>
      <c r="M93" s="552"/>
      <c r="N93" s="138"/>
    </row>
    <row r="94">
      <c r="A94" s="452"/>
      <c r="B94" s="554" t="s">
        <v>1625</v>
      </c>
      <c r="E94" s="551"/>
      <c r="F94" s="140" t="s">
        <v>1625</v>
      </c>
      <c r="G94" s="138"/>
      <c r="H94" s="138"/>
      <c r="I94" s="138"/>
      <c r="J94" s="138"/>
      <c r="K94" s="138"/>
      <c r="L94" s="138"/>
      <c r="M94" s="552"/>
      <c r="N94" s="138"/>
    </row>
    <row r="95">
      <c r="A95" s="452"/>
      <c r="B95" s="452"/>
      <c r="E95" s="551"/>
      <c r="F95" s="138"/>
      <c r="G95" s="138"/>
      <c r="H95" s="138"/>
      <c r="I95" s="138"/>
      <c r="J95" s="138"/>
      <c r="K95" s="138"/>
      <c r="L95" s="138"/>
      <c r="M95" s="552"/>
      <c r="N95" s="138"/>
    </row>
    <row r="96">
      <c r="A96" s="563">
        <v>4.8</v>
      </c>
      <c r="B96" s="564" t="s">
        <v>1626</v>
      </c>
      <c r="C96" s="564"/>
      <c r="D96" s="564"/>
      <c r="E96" s="551"/>
      <c r="F96" s="140" t="s">
        <v>1627</v>
      </c>
      <c r="G96" s="138"/>
      <c r="H96" s="138"/>
      <c r="I96" s="138"/>
      <c r="J96" s="138"/>
      <c r="K96" s="138"/>
      <c r="L96" s="138"/>
      <c r="M96" s="552"/>
      <c r="N96" s="138"/>
    </row>
    <row r="97">
      <c r="A97" s="565">
        <v>4.9</v>
      </c>
      <c r="B97" s="566" t="s">
        <v>1628</v>
      </c>
      <c r="C97" s="566"/>
      <c r="D97" s="566"/>
      <c r="E97" s="551"/>
      <c r="F97" s="140" t="s">
        <v>1629</v>
      </c>
      <c r="G97" s="138"/>
      <c r="H97" s="138"/>
      <c r="I97" s="138"/>
      <c r="J97" s="138"/>
      <c r="K97" s="138"/>
      <c r="L97" s="138"/>
      <c r="M97" s="552"/>
      <c r="N97" s="138"/>
    </row>
    <row r="98">
      <c r="A98" s="120">
        <v>5.0</v>
      </c>
      <c r="B98" s="567" t="s">
        <v>1630</v>
      </c>
      <c r="E98" s="551"/>
      <c r="F98" s="140" t="s">
        <v>1631</v>
      </c>
      <c r="G98" s="138"/>
      <c r="H98" s="138"/>
      <c r="I98" s="138"/>
      <c r="J98" s="138"/>
      <c r="K98" s="138"/>
      <c r="L98" s="138"/>
      <c r="M98" s="552"/>
      <c r="N98" s="138"/>
    </row>
    <row r="99">
      <c r="A99" s="120">
        <v>5.1</v>
      </c>
      <c r="B99" s="567" t="s">
        <v>1632</v>
      </c>
      <c r="E99" s="551"/>
      <c r="F99" s="140" t="s">
        <v>1633</v>
      </c>
      <c r="G99" s="138"/>
      <c r="H99" s="138"/>
      <c r="I99" s="138"/>
      <c r="J99" s="138"/>
      <c r="K99" s="138"/>
      <c r="L99" s="138"/>
      <c r="M99" s="552"/>
      <c r="N99" s="138"/>
    </row>
    <row r="100">
      <c r="A100" s="107">
        <v>6.0</v>
      </c>
      <c r="B100" s="568" t="s">
        <v>1634</v>
      </c>
      <c r="E100" s="551"/>
      <c r="F100" s="140" t="s">
        <v>1635</v>
      </c>
      <c r="G100" s="138"/>
      <c r="H100" s="138"/>
      <c r="I100" s="138"/>
      <c r="J100" s="138"/>
      <c r="K100" s="138"/>
      <c r="L100" s="138"/>
      <c r="M100" s="552"/>
      <c r="N100" s="138"/>
    </row>
    <row r="101">
      <c r="A101" s="144">
        <v>6.1</v>
      </c>
      <c r="B101" s="569" t="s">
        <v>1636</v>
      </c>
      <c r="C101" s="569"/>
      <c r="D101" s="569"/>
      <c r="E101" s="551"/>
      <c r="F101" s="140" t="s">
        <v>1637</v>
      </c>
      <c r="G101" s="138"/>
      <c r="H101" s="138"/>
      <c r="I101" s="138"/>
      <c r="J101" s="138"/>
      <c r="K101" s="138"/>
      <c r="L101" s="138"/>
      <c r="M101" s="552"/>
      <c r="N101" s="138"/>
    </row>
    <row r="102">
      <c r="A102" s="144">
        <v>6.2</v>
      </c>
      <c r="B102" s="569" t="s">
        <v>1638</v>
      </c>
      <c r="C102" s="569"/>
      <c r="D102" s="569"/>
      <c r="E102" s="551"/>
      <c r="F102" s="140" t="s">
        <v>1639</v>
      </c>
      <c r="G102" s="138"/>
      <c r="H102" s="138"/>
      <c r="I102" s="138"/>
      <c r="J102" s="138"/>
      <c r="K102" s="138"/>
      <c r="L102" s="138"/>
      <c r="M102" s="552"/>
      <c r="N102" s="138"/>
    </row>
    <row r="103">
      <c r="A103" s="120">
        <v>7.0</v>
      </c>
      <c r="B103" s="567" t="s">
        <v>1640</v>
      </c>
      <c r="E103" s="551"/>
      <c r="F103" s="140" t="s">
        <v>1641</v>
      </c>
      <c r="G103" s="138"/>
      <c r="H103" s="138"/>
      <c r="I103" s="138"/>
      <c r="J103" s="138"/>
      <c r="K103" s="138"/>
      <c r="L103" s="138"/>
      <c r="M103" s="552"/>
      <c r="N103" s="138"/>
    </row>
    <row r="104">
      <c r="A104" s="120">
        <v>7.1</v>
      </c>
      <c r="B104" s="567" t="s">
        <v>1642</v>
      </c>
      <c r="E104" s="551"/>
      <c r="F104" s="138"/>
      <c r="G104" s="138"/>
      <c r="H104" s="138"/>
      <c r="I104" s="138"/>
      <c r="J104" s="138"/>
      <c r="K104" s="138"/>
      <c r="L104" s="138"/>
      <c r="M104" s="552"/>
      <c r="N104" s="138"/>
    </row>
    <row r="105">
      <c r="A105" s="208">
        <v>8.0</v>
      </c>
      <c r="B105" s="570" t="s">
        <v>1643</v>
      </c>
      <c r="E105" s="551"/>
      <c r="F105" s="140" t="s">
        <v>1644</v>
      </c>
      <c r="G105" s="138"/>
      <c r="H105" s="138"/>
      <c r="I105" s="138"/>
      <c r="J105" s="138"/>
      <c r="K105" s="138"/>
      <c r="L105" s="138"/>
      <c r="M105" s="552"/>
      <c r="N105" s="138"/>
    </row>
    <row r="106">
      <c r="A106" s="571">
        <v>8.1</v>
      </c>
      <c r="B106" s="572" t="s">
        <v>1645</v>
      </c>
      <c r="E106" s="551"/>
      <c r="F106" s="140" t="s">
        <v>1646</v>
      </c>
      <c r="G106" s="138"/>
      <c r="H106" s="138"/>
      <c r="I106" s="138"/>
      <c r="J106" s="138"/>
      <c r="K106" s="138"/>
      <c r="L106" s="138"/>
      <c r="M106" s="552"/>
      <c r="N106" s="138"/>
    </row>
    <row r="107">
      <c r="A107" s="571">
        <v>8.2</v>
      </c>
      <c r="B107" s="572" t="s">
        <v>1647</v>
      </c>
      <c r="E107" s="551"/>
      <c r="F107" s="140" t="s">
        <v>1648</v>
      </c>
      <c r="G107" s="138"/>
      <c r="H107" s="138"/>
      <c r="I107" s="138"/>
      <c r="J107" s="138"/>
      <c r="K107" s="138"/>
      <c r="L107" s="138"/>
      <c r="M107" s="552"/>
      <c r="N107" s="138"/>
    </row>
    <row r="108">
      <c r="A108" s="573">
        <v>9.0</v>
      </c>
      <c r="B108" s="521" t="s">
        <v>1649</v>
      </c>
      <c r="E108" s="551"/>
      <c r="F108" s="140" t="s">
        <v>1650</v>
      </c>
      <c r="G108" s="138"/>
      <c r="H108" s="138"/>
      <c r="I108" s="138"/>
      <c r="J108" s="138"/>
      <c r="K108" s="138"/>
      <c r="L108" s="138"/>
      <c r="M108" s="552"/>
      <c r="N108" s="138"/>
    </row>
    <row r="109">
      <c r="A109" s="574">
        <v>9.4</v>
      </c>
      <c r="B109" s="452" t="s">
        <v>1651</v>
      </c>
      <c r="C109" s="452"/>
      <c r="D109" s="452"/>
      <c r="E109" s="551"/>
      <c r="F109" s="138"/>
      <c r="G109" s="138"/>
      <c r="H109" s="138"/>
      <c r="I109" s="138"/>
      <c r="J109" s="138"/>
      <c r="K109" s="138"/>
      <c r="L109" s="138"/>
      <c r="M109" s="552"/>
      <c r="N109" s="138"/>
    </row>
    <row r="110">
      <c r="A110" s="574">
        <v>10.0</v>
      </c>
      <c r="B110" s="452" t="s">
        <v>1652</v>
      </c>
      <c r="C110" s="452"/>
      <c r="D110" s="452"/>
      <c r="E110" s="551"/>
      <c r="F110" s="138"/>
      <c r="G110" s="138"/>
      <c r="H110" s="138"/>
      <c r="I110" s="138"/>
      <c r="J110" s="138"/>
      <c r="K110" s="138"/>
      <c r="L110" s="138"/>
      <c r="M110" s="552"/>
      <c r="N110" s="138"/>
    </row>
    <row r="111">
      <c r="A111" s="452"/>
      <c r="B111" s="452"/>
      <c r="C111" s="452"/>
      <c r="D111" s="452"/>
      <c r="E111" s="551"/>
      <c r="F111" s="138"/>
      <c r="G111" s="138"/>
      <c r="H111" s="138"/>
      <c r="I111" s="138"/>
      <c r="J111" s="138"/>
      <c r="K111" s="138"/>
      <c r="L111" s="138"/>
      <c r="M111" s="552"/>
      <c r="N111" s="138"/>
    </row>
    <row r="112">
      <c r="A112" s="452"/>
      <c r="B112" s="452" t="s">
        <v>1644</v>
      </c>
      <c r="C112" s="452"/>
      <c r="D112" s="452"/>
      <c r="E112" s="551"/>
      <c r="F112" s="138"/>
      <c r="G112" s="138"/>
      <c r="H112" s="138"/>
      <c r="I112" s="138"/>
      <c r="J112" s="138"/>
      <c r="K112" s="138"/>
      <c r="L112" s="138"/>
      <c r="M112" s="552"/>
      <c r="N112" s="138"/>
    </row>
    <row r="113">
      <c r="A113" s="452"/>
      <c r="B113" s="452" t="s">
        <v>1646</v>
      </c>
      <c r="C113" s="452"/>
      <c r="D113" s="452"/>
      <c r="E113" s="551"/>
      <c r="F113" s="138"/>
      <c r="G113" s="138"/>
      <c r="H113" s="138"/>
      <c r="I113" s="138"/>
      <c r="J113" s="138"/>
      <c r="K113" s="138"/>
      <c r="L113" s="138"/>
      <c r="M113" s="552"/>
      <c r="N113" s="138"/>
    </row>
    <row r="114">
      <c r="A114" s="452"/>
      <c r="B114" s="452" t="s">
        <v>1648</v>
      </c>
      <c r="C114" s="452"/>
      <c r="D114" s="452"/>
      <c r="E114" s="551"/>
      <c r="F114" s="138"/>
      <c r="G114" s="138"/>
      <c r="H114" s="138"/>
      <c r="I114" s="138"/>
      <c r="J114" s="138"/>
      <c r="K114" s="138"/>
      <c r="L114" s="138"/>
      <c r="M114" s="552"/>
      <c r="N114" s="138"/>
    </row>
    <row r="115">
      <c r="A115" s="452"/>
      <c r="B115" s="452" t="s">
        <v>1650</v>
      </c>
      <c r="C115" s="452"/>
      <c r="D115" s="452"/>
      <c r="E115" s="551"/>
      <c r="F115" s="138"/>
      <c r="G115" s="138"/>
      <c r="H115" s="138"/>
      <c r="I115" s="138"/>
      <c r="J115" s="138"/>
      <c r="K115" s="138"/>
      <c r="L115" s="138"/>
      <c r="M115" s="552"/>
      <c r="N115" s="138"/>
    </row>
    <row r="116">
      <c r="A116" s="452"/>
      <c r="B116" s="549"/>
      <c r="C116" s="551"/>
      <c r="D116" s="550"/>
      <c r="E116" s="551"/>
      <c r="F116" s="138"/>
      <c r="G116" s="138"/>
      <c r="H116" s="138"/>
      <c r="I116" s="138"/>
      <c r="J116" s="138"/>
      <c r="K116" s="138"/>
      <c r="L116" s="138"/>
      <c r="M116" s="552"/>
      <c r="N116" s="138"/>
    </row>
    <row r="117">
      <c r="A117" s="452"/>
      <c r="B117" s="549"/>
      <c r="C117" s="551"/>
      <c r="D117" s="550"/>
      <c r="E117" s="551"/>
      <c r="F117" s="138"/>
      <c r="G117" s="138"/>
      <c r="H117" s="138"/>
      <c r="I117" s="138"/>
      <c r="J117" s="138"/>
      <c r="K117" s="138"/>
      <c r="L117" s="138"/>
      <c r="M117" s="552"/>
      <c r="N117" s="138"/>
    </row>
    <row r="118">
      <c r="A118" s="452"/>
      <c r="B118" s="549"/>
      <c r="C118" s="551"/>
      <c r="D118" s="550"/>
      <c r="E118" s="551"/>
      <c r="F118" s="138"/>
      <c r="G118" s="138"/>
      <c r="H118" s="138"/>
      <c r="I118" s="138"/>
      <c r="J118" s="138"/>
      <c r="K118" s="138"/>
      <c r="L118" s="138"/>
      <c r="M118" s="552"/>
      <c r="N118" s="138"/>
    </row>
    <row r="119">
      <c r="A119" s="452"/>
      <c r="B119" s="549"/>
      <c r="C119" s="551"/>
      <c r="D119" s="550"/>
      <c r="E119" s="551"/>
      <c r="F119" s="138"/>
      <c r="G119" s="138"/>
      <c r="H119" s="138"/>
      <c r="I119" s="138"/>
      <c r="J119" s="138"/>
      <c r="K119" s="138"/>
      <c r="L119" s="138"/>
      <c r="M119" s="552"/>
      <c r="N119" s="138"/>
    </row>
    <row r="120">
      <c r="A120" s="452"/>
      <c r="B120" s="549"/>
      <c r="C120" s="551"/>
      <c r="D120" s="550"/>
      <c r="E120" s="551"/>
      <c r="F120" s="138"/>
      <c r="G120" s="138"/>
      <c r="H120" s="138"/>
      <c r="I120" s="138"/>
      <c r="J120" s="138"/>
      <c r="K120" s="138"/>
      <c r="L120" s="138"/>
      <c r="M120" s="552"/>
      <c r="N120" s="138"/>
    </row>
    <row r="121">
      <c r="A121" s="452"/>
      <c r="B121" s="549"/>
      <c r="C121" s="551"/>
      <c r="D121" s="550"/>
      <c r="E121" s="551"/>
      <c r="F121" s="138"/>
      <c r="G121" s="138"/>
      <c r="H121" s="138"/>
      <c r="I121" s="138"/>
      <c r="J121" s="138"/>
      <c r="K121" s="138"/>
      <c r="L121" s="138"/>
      <c r="M121" s="552"/>
      <c r="N121" s="138"/>
    </row>
    <row r="122">
      <c r="A122" s="452"/>
      <c r="B122" s="549"/>
      <c r="C122" s="551"/>
      <c r="D122" s="550"/>
      <c r="E122" s="551"/>
      <c r="F122" s="138"/>
      <c r="G122" s="138"/>
      <c r="H122" s="138"/>
      <c r="I122" s="138"/>
      <c r="J122" s="138"/>
      <c r="K122" s="138"/>
      <c r="L122" s="138"/>
      <c r="M122" s="552"/>
      <c r="N122" s="138"/>
    </row>
    <row r="123">
      <c r="A123" s="452"/>
      <c r="B123" s="549"/>
      <c r="C123" s="551"/>
      <c r="D123" s="550"/>
      <c r="E123" s="551"/>
      <c r="F123" s="138"/>
      <c r="G123" s="138"/>
      <c r="H123" s="138"/>
      <c r="I123" s="138"/>
      <c r="J123" s="138"/>
      <c r="K123" s="138"/>
      <c r="L123" s="138"/>
      <c r="M123" s="552"/>
      <c r="N123" s="138"/>
    </row>
    <row r="124">
      <c r="A124" s="452"/>
      <c r="B124" s="549"/>
      <c r="C124" s="551"/>
      <c r="D124" s="550"/>
      <c r="E124" s="551"/>
      <c r="F124" s="138"/>
      <c r="G124" s="138"/>
      <c r="H124" s="138"/>
      <c r="I124" s="138"/>
      <c r="J124" s="138"/>
      <c r="K124" s="138"/>
      <c r="L124" s="138"/>
      <c r="M124" s="552"/>
      <c r="N124" s="138"/>
    </row>
    <row r="125">
      <c r="A125" s="452"/>
      <c r="B125" s="549"/>
      <c r="C125" s="551"/>
      <c r="D125" s="550"/>
      <c r="E125" s="551"/>
      <c r="F125" s="138"/>
      <c r="G125" s="138"/>
      <c r="H125" s="138"/>
      <c r="I125" s="138"/>
      <c r="J125" s="138"/>
      <c r="K125" s="138"/>
      <c r="L125" s="138"/>
      <c r="M125" s="552"/>
      <c r="N125" s="138"/>
    </row>
    <row r="126">
      <c r="A126" s="452"/>
      <c r="B126" s="549"/>
      <c r="C126" s="551"/>
      <c r="D126" s="550"/>
      <c r="E126" s="551"/>
      <c r="F126" s="138"/>
      <c r="G126" s="138"/>
      <c r="H126" s="138"/>
      <c r="I126" s="138"/>
      <c r="J126" s="138"/>
      <c r="K126" s="138"/>
      <c r="L126" s="138"/>
      <c r="M126" s="552"/>
      <c r="N126" s="138"/>
    </row>
    <row r="127">
      <c r="A127" s="452"/>
      <c r="B127" s="549"/>
      <c r="C127" s="551"/>
      <c r="D127" s="550"/>
      <c r="E127" s="551"/>
      <c r="F127" s="138"/>
      <c r="G127" s="138"/>
      <c r="H127" s="138"/>
      <c r="I127" s="138"/>
      <c r="J127" s="138"/>
      <c r="K127" s="138"/>
      <c r="L127" s="138"/>
      <c r="M127" s="552"/>
      <c r="N127" s="138"/>
    </row>
    <row r="128">
      <c r="A128" s="452"/>
      <c r="B128" s="549"/>
      <c r="C128" s="551"/>
      <c r="D128" s="550"/>
      <c r="E128" s="551"/>
      <c r="F128" s="138"/>
      <c r="G128" s="138"/>
      <c r="H128" s="138"/>
      <c r="I128" s="138"/>
      <c r="J128" s="138"/>
      <c r="K128" s="138"/>
      <c r="L128" s="138"/>
      <c r="M128" s="552"/>
      <c r="N128" s="138"/>
    </row>
    <row r="129">
      <c r="A129" s="452"/>
      <c r="B129" s="549"/>
      <c r="C129" s="551"/>
      <c r="D129" s="550"/>
      <c r="E129" s="551"/>
      <c r="F129" s="138"/>
      <c r="G129" s="138"/>
      <c r="H129" s="138"/>
      <c r="I129" s="138"/>
      <c r="J129" s="138"/>
      <c r="K129" s="138"/>
      <c r="L129" s="138"/>
      <c r="M129" s="552"/>
      <c r="N129" s="138"/>
    </row>
    <row r="130">
      <c r="A130" s="452"/>
      <c r="B130" s="549"/>
      <c r="C130" s="551"/>
      <c r="D130" s="550"/>
      <c r="E130" s="551"/>
      <c r="F130" s="138"/>
      <c r="G130" s="138"/>
      <c r="H130" s="138"/>
      <c r="I130" s="138"/>
      <c r="J130" s="138"/>
      <c r="K130" s="138"/>
      <c r="L130" s="138"/>
      <c r="M130" s="552"/>
      <c r="N130" s="138"/>
    </row>
    <row r="131">
      <c r="A131" s="452"/>
      <c r="B131" s="549"/>
      <c r="C131" s="551"/>
      <c r="D131" s="550"/>
      <c r="E131" s="551"/>
      <c r="F131" s="138"/>
      <c r="G131" s="138"/>
      <c r="H131" s="138"/>
      <c r="I131" s="138"/>
      <c r="J131" s="138"/>
      <c r="K131" s="138"/>
      <c r="L131" s="138"/>
      <c r="M131" s="552"/>
      <c r="N131" s="138"/>
    </row>
    <row r="132">
      <c r="A132" s="452"/>
      <c r="B132" s="549"/>
      <c r="C132" s="551"/>
      <c r="D132" s="550"/>
      <c r="E132" s="551"/>
      <c r="F132" s="138"/>
      <c r="G132" s="138"/>
      <c r="H132" s="138"/>
      <c r="I132" s="138"/>
      <c r="J132" s="138"/>
      <c r="K132" s="138"/>
      <c r="L132" s="138"/>
      <c r="M132" s="552"/>
      <c r="N132" s="138"/>
    </row>
    <row r="133">
      <c r="A133" s="452"/>
      <c r="B133" s="549"/>
      <c r="C133" s="551"/>
      <c r="D133" s="550"/>
      <c r="E133" s="551"/>
      <c r="F133" s="138"/>
      <c r="G133" s="138"/>
      <c r="H133" s="138"/>
      <c r="I133" s="138"/>
      <c r="J133" s="138"/>
      <c r="K133" s="138"/>
      <c r="L133" s="138"/>
      <c r="M133" s="552"/>
      <c r="N133" s="138"/>
    </row>
    <row r="134">
      <c r="A134" s="452"/>
      <c r="B134" s="549"/>
      <c r="C134" s="551"/>
      <c r="D134" s="550"/>
      <c r="E134" s="551"/>
      <c r="F134" s="138"/>
      <c r="G134" s="138"/>
      <c r="H134" s="138"/>
      <c r="I134" s="138"/>
      <c r="J134" s="138"/>
      <c r="K134" s="138"/>
      <c r="L134" s="138"/>
      <c r="M134" s="552"/>
      <c r="N134" s="138"/>
    </row>
    <row r="135">
      <c r="A135" s="452"/>
      <c r="B135" s="549"/>
      <c r="C135" s="551"/>
      <c r="D135" s="550"/>
      <c r="E135" s="551"/>
      <c r="F135" s="138"/>
      <c r="G135" s="138"/>
      <c r="H135" s="138"/>
      <c r="I135" s="138"/>
      <c r="J135" s="138"/>
      <c r="K135" s="138"/>
      <c r="L135" s="138"/>
      <c r="M135" s="552"/>
      <c r="N135" s="138"/>
    </row>
    <row r="136">
      <c r="A136" s="452"/>
      <c r="B136" s="549"/>
      <c r="C136" s="551"/>
      <c r="D136" s="550"/>
      <c r="E136" s="551"/>
      <c r="F136" s="138"/>
      <c r="G136" s="138"/>
      <c r="H136" s="138"/>
      <c r="I136" s="138"/>
      <c r="J136" s="138"/>
      <c r="K136" s="138"/>
      <c r="L136" s="138"/>
      <c r="M136" s="552"/>
      <c r="N136" s="138"/>
    </row>
    <row r="137">
      <c r="A137" s="452"/>
      <c r="B137" s="549"/>
      <c r="C137" s="551"/>
      <c r="D137" s="550"/>
      <c r="E137" s="551"/>
      <c r="F137" s="138"/>
      <c r="G137" s="138"/>
      <c r="H137" s="138"/>
      <c r="I137" s="138"/>
      <c r="J137" s="138"/>
      <c r="K137" s="138"/>
      <c r="L137" s="138"/>
      <c r="M137" s="552"/>
      <c r="N137" s="138"/>
    </row>
    <row r="138">
      <c r="A138" s="452"/>
      <c r="B138" s="549"/>
      <c r="C138" s="551"/>
      <c r="D138" s="550"/>
      <c r="E138" s="551"/>
      <c r="F138" s="138"/>
      <c r="G138" s="138"/>
      <c r="H138" s="138"/>
      <c r="I138" s="138"/>
      <c r="J138" s="138"/>
      <c r="K138" s="138"/>
      <c r="L138" s="138"/>
      <c r="M138" s="552"/>
      <c r="N138" s="138"/>
    </row>
    <row r="139">
      <c r="A139" s="452"/>
      <c r="B139" s="549"/>
      <c r="C139" s="551"/>
      <c r="D139" s="550"/>
      <c r="E139" s="551"/>
      <c r="F139" s="138"/>
      <c r="G139" s="138"/>
      <c r="H139" s="138"/>
      <c r="I139" s="138"/>
      <c r="J139" s="138"/>
      <c r="K139" s="138"/>
      <c r="L139" s="138"/>
      <c r="M139" s="552"/>
      <c r="N139" s="138"/>
    </row>
    <row r="140">
      <c r="A140" s="452"/>
      <c r="B140" s="549"/>
      <c r="C140" s="551"/>
      <c r="D140" s="550"/>
      <c r="E140" s="551"/>
      <c r="F140" s="138"/>
      <c r="G140" s="138"/>
      <c r="H140" s="138"/>
      <c r="I140" s="138"/>
      <c r="J140" s="138"/>
      <c r="K140" s="138"/>
      <c r="L140" s="138"/>
      <c r="M140" s="552"/>
      <c r="N140" s="138"/>
    </row>
    <row r="141">
      <c r="A141" s="452"/>
      <c r="B141" s="549"/>
      <c r="C141" s="551"/>
      <c r="D141" s="550"/>
      <c r="E141" s="551"/>
      <c r="F141" s="138"/>
      <c r="G141" s="138"/>
      <c r="H141" s="138"/>
      <c r="I141" s="138"/>
      <c r="J141" s="138"/>
      <c r="K141" s="138"/>
      <c r="L141" s="138"/>
      <c r="M141" s="552"/>
      <c r="N141" s="138"/>
    </row>
    <row r="142">
      <c r="A142" s="452"/>
      <c r="B142" s="549"/>
      <c r="C142" s="551"/>
      <c r="D142" s="550"/>
      <c r="E142" s="551"/>
      <c r="F142" s="138"/>
      <c r="G142" s="138"/>
      <c r="H142" s="138"/>
      <c r="I142" s="138"/>
      <c r="J142" s="138"/>
      <c r="K142" s="138"/>
      <c r="L142" s="138"/>
      <c r="M142" s="552"/>
      <c r="N142" s="138"/>
    </row>
    <row r="143">
      <c r="A143" s="452"/>
      <c r="B143" s="549"/>
      <c r="C143" s="551"/>
      <c r="D143" s="550"/>
      <c r="E143" s="551"/>
      <c r="F143" s="138"/>
      <c r="G143" s="138"/>
      <c r="H143" s="138"/>
      <c r="I143" s="138"/>
      <c r="J143" s="138"/>
      <c r="K143" s="138"/>
      <c r="L143" s="138"/>
      <c r="M143" s="552"/>
      <c r="N143" s="138"/>
    </row>
    <row r="144">
      <c r="A144" s="452"/>
      <c r="B144" s="549"/>
      <c r="C144" s="551"/>
      <c r="D144" s="550"/>
      <c r="E144" s="551"/>
      <c r="F144" s="138"/>
      <c r="G144" s="138"/>
      <c r="H144" s="138"/>
      <c r="I144" s="138"/>
      <c r="J144" s="138"/>
      <c r="K144" s="138"/>
      <c r="L144" s="138"/>
      <c r="M144" s="552"/>
      <c r="N144" s="138"/>
    </row>
    <row r="145">
      <c r="A145" s="452"/>
      <c r="B145" s="549"/>
      <c r="C145" s="551"/>
      <c r="D145" s="550"/>
      <c r="E145" s="551"/>
      <c r="F145" s="138"/>
      <c r="G145" s="138"/>
      <c r="H145" s="138"/>
      <c r="I145" s="138"/>
      <c r="J145" s="138"/>
      <c r="K145" s="138"/>
      <c r="L145" s="138"/>
      <c r="M145" s="552"/>
      <c r="N145" s="138"/>
    </row>
    <row r="146">
      <c r="A146" s="452"/>
      <c r="B146" s="549"/>
      <c r="C146" s="551"/>
      <c r="D146" s="550"/>
      <c r="E146" s="551"/>
      <c r="F146" s="138"/>
      <c r="G146" s="138"/>
      <c r="H146" s="138"/>
      <c r="I146" s="138"/>
      <c r="J146" s="138"/>
      <c r="K146" s="138"/>
      <c r="L146" s="138"/>
      <c r="M146" s="552"/>
      <c r="N146" s="138"/>
    </row>
    <row r="147">
      <c r="A147" s="452"/>
      <c r="B147" s="549"/>
      <c r="C147" s="551"/>
      <c r="D147" s="550"/>
      <c r="E147" s="551"/>
      <c r="F147" s="138"/>
      <c r="G147" s="138"/>
      <c r="H147" s="138"/>
      <c r="I147" s="138"/>
      <c r="J147" s="138"/>
      <c r="K147" s="138"/>
      <c r="L147" s="138"/>
      <c r="M147" s="552"/>
      <c r="N147" s="138"/>
    </row>
    <row r="148">
      <c r="A148" s="452"/>
      <c r="B148" s="549"/>
      <c r="C148" s="551"/>
      <c r="D148" s="550"/>
      <c r="E148" s="551"/>
      <c r="F148" s="138"/>
      <c r="G148" s="138"/>
      <c r="H148" s="138"/>
      <c r="I148" s="138"/>
      <c r="J148" s="138"/>
      <c r="K148" s="138"/>
      <c r="L148" s="138"/>
      <c r="M148" s="552"/>
      <c r="N148" s="138"/>
    </row>
    <row r="149">
      <c r="A149" s="452"/>
      <c r="B149" s="549"/>
      <c r="C149" s="551"/>
      <c r="D149" s="550"/>
      <c r="E149" s="551"/>
      <c r="F149" s="138"/>
      <c r="G149" s="138"/>
      <c r="H149" s="138"/>
      <c r="I149" s="138"/>
      <c r="J149" s="138"/>
      <c r="K149" s="138"/>
      <c r="L149" s="138"/>
      <c r="M149" s="552"/>
      <c r="N149" s="138"/>
    </row>
    <row r="150">
      <c r="A150" s="452"/>
      <c r="B150" s="549"/>
      <c r="C150" s="551"/>
      <c r="D150" s="550"/>
      <c r="E150" s="551"/>
      <c r="F150" s="138"/>
      <c r="G150" s="138"/>
      <c r="H150" s="138"/>
      <c r="I150" s="138"/>
      <c r="J150" s="138"/>
      <c r="K150" s="138"/>
      <c r="L150" s="138"/>
      <c r="M150" s="552"/>
      <c r="N150" s="138"/>
    </row>
    <row r="151">
      <c r="A151" s="452"/>
      <c r="B151" s="549"/>
      <c r="C151" s="551"/>
      <c r="D151" s="550"/>
      <c r="E151" s="551"/>
      <c r="F151" s="138"/>
      <c r="G151" s="138"/>
      <c r="H151" s="138"/>
      <c r="I151" s="138"/>
      <c r="J151" s="138"/>
      <c r="K151" s="138"/>
      <c r="L151" s="138"/>
      <c r="M151" s="552"/>
      <c r="N151" s="138"/>
    </row>
    <row r="152">
      <c r="A152" s="452"/>
      <c r="B152" s="549"/>
      <c r="C152" s="551"/>
      <c r="D152" s="550"/>
      <c r="E152" s="551"/>
      <c r="F152" s="138"/>
      <c r="G152" s="138"/>
      <c r="H152" s="138"/>
      <c r="I152" s="138"/>
      <c r="J152" s="138"/>
      <c r="K152" s="138"/>
      <c r="L152" s="138"/>
      <c r="M152" s="552"/>
      <c r="N152" s="138"/>
    </row>
    <row r="153">
      <c r="A153" s="452"/>
      <c r="B153" s="549"/>
      <c r="C153" s="551"/>
      <c r="D153" s="550"/>
      <c r="E153" s="551"/>
      <c r="F153" s="138"/>
      <c r="G153" s="138"/>
      <c r="H153" s="138"/>
      <c r="I153" s="138"/>
      <c r="J153" s="138"/>
      <c r="K153" s="138"/>
      <c r="L153" s="138"/>
      <c r="M153" s="552"/>
      <c r="N153" s="138"/>
    </row>
    <row r="154">
      <c r="A154" s="452"/>
      <c r="B154" s="549"/>
      <c r="C154" s="551"/>
      <c r="D154" s="550"/>
      <c r="E154" s="551"/>
      <c r="F154" s="138"/>
      <c r="G154" s="138"/>
      <c r="H154" s="138"/>
      <c r="I154" s="138"/>
      <c r="J154" s="138"/>
      <c r="K154" s="138"/>
      <c r="L154" s="138"/>
      <c r="M154" s="552"/>
      <c r="N154" s="138"/>
    </row>
    <row r="155">
      <c r="A155" s="452"/>
      <c r="B155" s="549"/>
      <c r="C155" s="551"/>
      <c r="D155" s="550"/>
      <c r="E155" s="551"/>
      <c r="F155" s="138"/>
      <c r="G155" s="138"/>
      <c r="H155" s="138"/>
      <c r="I155" s="138"/>
      <c r="J155" s="138"/>
      <c r="K155" s="138"/>
      <c r="L155" s="138"/>
      <c r="M155" s="552"/>
      <c r="N155" s="138"/>
    </row>
    <row r="156">
      <c r="A156" s="452"/>
      <c r="B156" s="549"/>
      <c r="C156" s="551"/>
      <c r="D156" s="550"/>
      <c r="E156" s="551"/>
      <c r="F156" s="138"/>
      <c r="G156" s="138"/>
      <c r="H156" s="138"/>
      <c r="I156" s="138"/>
      <c r="J156" s="138"/>
      <c r="K156" s="138"/>
      <c r="L156" s="138"/>
      <c r="M156" s="552"/>
      <c r="N156" s="138"/>
    </row>
    <row r="157">
      <c r="A157" s="452"/>
      <c r="B157" s="549"/>
      <c r="C157" s="551"/>
      <c r="D157" s="550"/>
      <c r="E157" s="551"/>
      <c r="F157" s="138"/>
      <c r="G157" s="138"/>
      <c r="H157" s="138"/>
      <c r="I157" s="138"/>
      <c r="J157" s="138"/>
      <c r="K157" s="138"/>
      <c r="L157" s="138"/>
      <c r="M157" s="552"/>
      <c r="N157" s="138"/>
    </row>
    <row r="158">
      <c r="A158" s="452"/>
      <c r="B158" s="549"/>
      <c r="C158" s="551"/>
      <c r="D158" s="550"/>
      <c r="E158" s="551"/>
      <c r="F158" s="138"/>
      <c r="G158" s="138"/>
      <c r="H158" s="138"/>
      <c r="I158" s="138"/>
      <c r="J158" s="138"/>
      <c r="K158" s="138"/>
      <c r="L158" s="138"/>
      <c r="M158" s="552"/>
      <c r="N158" s="138"/>
    </row>
    <row r="159">
      <c r="A159" s="452"/>
      <c r="B159" s="549"/>
      <c r="C159" s="551"/>
      <c r="D159" s="550"/>
      <c r="E159" s="551"/>
      <c r="F159" s="138"/>
      <c r="G159" s="138"/>
      <c r="H159" s="138"/>
      <c r="I159" s="138"/>
      <c r="J159" s="138"/>
      <c r="K159" s="138"/>
      <c r="L159" s="138"/>
      <c r="M159" s="552"/>
      <c r="N159" s="138"/>
    </row>
    <row r="160">
      <c r="A160" s="452"/>
      <c r="B160" s="549"/>
      <c r="C160" s="551"/>
      <c r="D160" s="550"/>
      <c r="E160" s="551"/>
      <c r="F160" s="138"/>
      <c r="G160" s="138"/>
      <c r="H160" s="138"/>
      <c r="I160" s="138"/>
      <c r="J160" s="138"/>
      <c r="K160" s="138"/>
      <c r="L160" s="138"/>
      <c r="M160" s="552"/>
      <c r="N160" s="138"/>
    </row>
    <row r="161">
      <c r="A161" s="452"/>
      <c r="B161" s="549"/>
      <c r="C161" s="551"/>
      <c r="D161" s="550"/>
      <c r="E161" s="551"/>
      <c r="F161" s="138"/>
      <c r="G161" s="138"/>
      <c r="H161" s="138"/>
      <c r="I161" s="138"/>
      <c r="J161" s="138"/>
      <c r="K161" s="138"/>
      <c r="L161" s="138"/>
      <c r="M161" s="552"/>
      <c r="N161" s="138"/>
    </row>
    <row r="162">
      <c r="A162" s="452"/>
      <c r="B162" s="549"/>
      <c r="C162" s="551"/>
      <c r="D162" s="550"/>
      <c r="E162" s="551"/>
      <c r="F162" s="138"/>
      <c r="G162" s="138"/>
      <c r="H162" s="138"/>
      <c r="I162" s="138"/>
      <c r="J162" s="138"/>
      <c r="K162" s="138"/>
      <c r="L162" s="138"/>
      <c r="M162" s="552"/>
      <c r="N162" s="138"/>
    </row>
    <row r="163">
      <c r="A163" s="452"/>
      <c r="B163" s="549"/>
      <c r="C163" s="551"/>
      <c r="D163" s="550"/>
      <c r="E163" s="551"/>
      <c r="F163" s="138"/>
      <c r="G163" s="138"/>
      <c r="H163" s="138"/>
      <c r="I163" s="138"/>
      <c r="J163" s="138"/>
      <c r="K163" s="138"/>
      <c r="L163" s="138"/>
      <c r="M163" s="552"/>
      <c r="N163" s="138"/>
    </row>
    <row r="164">
      <c r="A164" s="452"/>
      <c r="B164" s="549"/>
      <c r="C164" s="551"/>
      <c r="D164" s="550"/>
      <c r="E164" s="551"/>
      <c r="F164" s="138"/>
      <c r="G164" s="138"/>
      <c r="H164" s="138"/>
      <c r="I164" s="138"/>
      <c r="J164" s="138"/>
      <c r="K164" s="138"/>
      <c r="L164" s="138"/>
      <c r="M164" s="552"/>
      <c r="N164" s="138"/>
    </row>
    <row r="165">
      <c r="A165" s="452"/>
      <c r="B165" s="549"/>
      <c r="C165" s="551"/>
      <c r="D165" s="550"/>
      <c r="E165" s="551"/>
      <c r="F165" s="138"/>
      <c r="G165" s="138"/>
      <c r="H165" s="138"/>
      <c r="I165" s="138"/>
      <c r="J165" s="138"/>
      <c r="K165" s="138"/>
      <c r="L165" s="138"/>
      <c r="M165" s="552"/>
      <c r="N165" s="138"/>
    </row>
    <row r="166">
      <c r="A166" s="452"/>
      <c r="B166" s="549"/>
      <c r="C166" s="551"/>
      <c r="D166" s="550"/>
      <c r="E166" s="551"/>
      <c r="F166" s="138"/>
      <c r="G166" s="138"/>
      <c r="H166" s="138"/>
      <c r="I166" s="138"/>
      <c r="J166" s="138"/>
      <c r="K166" s="138"/>
      <c r="L166" s="138"/>
      <c r="M166" s="552"/>
      <c r="N166" s="138"/>
    </row>
    <row r="167">
      <c r="A167" s="452"/>
      <c r="B167" s="549"/>
      <c r="C167" s="551"/>
      <c r="D167" s="550"/>
      <c r="E167" s="551"/>
      <c r="F167" s="138"/>
      <c r="G167" s="138"/>
      <c r="H167" s="138"/>
      <c r="I167" s="138"/>
      <c r="J167" s="138"/>
      <c r="K167" s="138"/>
      <c r="L167" s="138"/>
      <c r="M167" s="552"/>
      <c r="N167" s="138"/>
    </row>
    <row r="168">
      <c r="A168" s="452"/>
      <c r="B168" s="549"/>
      <c r="C168" s="551"/>
      <c r="D168" s="550"/>
      <c r="E168" s="551"/>
      <c r="F168" s="138"/>
      <c r="G168" s="138"/>
      <c r="H168" s="138"/>
      <c r="I168" s="138"/>
      <c r="J168" s="138"/>
      <c r="K168" s="138"/>
      <c r="L168" s="138"/>
      <c r="M168" s="552"/>
      <c r="N168" s="138"/>
    </row>
    <row r="169">
      <c r="A169" s="452"/>
      <c r="B169" s="549"/>
      <c r="C169" s="551"/>
      <c r="D169" s="550"/>
      <c r="E169" s="551"/>
      <c r="F169" s="138"/>
      <c r="G169" s="138"/>
      <c r="H169" s="138"/>
      <c r="I169" s="138"/>
      <c r="J169" s="138"/>
      <c r="K169" s="138"/>
      <c r="L169" s="138"/>
      <c r="M169" s="552"/>
      <c r="N169" s="138"/>
    </row>
    <row r="170">
      <c r="A170" s="452"/>
      <c r="B170" s="549"/>
      <c r="C170" s="551"/>
      <c r="D170" s="550"/>
      <c r="E170" s="551"/>
      <c r="F170" s="138"/>
      <c r="G170" s="138"/>
      <c r="H170" s="138"/>
      <c r="I170" s="138"/>
      <c r="J170" s="138"/>
      <c r="K170" s="138"/>
      <c r="L170" s="138"/>
      <c r="M170" s="552"/>
      <c r="N170" s="138"/>
    </row>
    <row r="171">
      <c r="A171" s="452"/>
      <c r="B171" s="549"/>
      <c r="C171" s="551"/>
      <c r="D171" s="550"/>
      <c r="E171" s="551"/>
      <c r="F171" s="138"/>
      <c r="G171" s="138"/>
      <c r="H171" s="138"/>
      <c r="I171" s="138"/>
      <c r="J171" s="138"/>
      <c r="K171" s="138"/>
      <c r="L171" s="138"/>
      <c r="M171" s="552"/>
      <c r="N171" s="138"/>
    </row>
    <row r="172">
      <c r="A172" s="452"/>
      <c r="B172" s="549"/>
      <c r="C172" s="551"/>
      <c r="D172" s="550"/>
      <c r="E172" s="551"/>
      <c r="F172" s="138"/>
      <c r="G172" s="138"/>
      <c r="H172" s="138"/>
      <c r="I172" s="138"/>
      <c r="J172" s="138"/>
      <c r="K172" s="138"/>
      <c r="L172" s="138"/>
      <c r="M172" s="552"/>
      <c r="N172" s="138"/>
    </row>
    <row r="173">
      <c r="A173" s="452"/>
      <c r="B173" s="549"/>
      <c r="C173" s="551"/>
      <c r="D173" s="550"/>
      <c r="E173" s="551"/>
      <c r="F173" s="138"/>
      <c r="G173" s="138"/>
      <c r="H173" s="138"/>
      <c r="I173" s="138"/>
      <c r="J173" s="138"/>
      <c r="K173" s="138"/>
      <c r="L173" s="138"/>
      <c r="M173" s="552"/>
      <c r="N173" s="138"/>
    </row>
    <row r="174">
      <c r="A174" s="452"/>
      <c r="B174" s="549"/>
      <c r="C174" s="551"/>
      <c r="D174" s="550"/>
      <c r="E174" s="551"/>
      <c r="F174" s="138"/>
      <c r="G174" s="138"/>
      <c r="H174" s="138"/>
      <c r="I174" s="138"/>
      <c r="J174" s="138"/>
      <c r="K174" s="138"/>
      <c r="L174" s="138"/>
      <c r="M174" s="552"/>
      <c r="N174" s="138"/>
    </row>
    <row r="175">
      <c r="A175" s="452"/>
      <c r="B175" s="549"/>
      <c r="C175" s="551"/>
      <c r="D175" s="550"/>
      <c r="E175" s="551"/>
      <c r="F175" s="138"/>
      <c r="G175" s="138"/>
      <c r="H175" s="138"/>
      <c r="I175" s="138"/>
      <c r="J175" s="138"/>
      <c r="K175" s="138"/>
      <c r="L175" s="138"/>
      <c r="M175" s="552"/>
      <c r="N175" s="138"/>
    </row>
    <row r="176">
      <c r="A176" s="452"/>
      <c r="B176" s="549"/>
      <c r="C176" s="551"/>
      <c r="D176" s="550"/>
      <c r="E176" s="551"/>
      <c r="F176" s="138"/>
      <c r="G176" s="138"/>
      <c r="H176" s="138"/>
      <c r="I176" s="138"/>
      <c r="J176" s="138"/>
      <c r="K176" s="138"/>
      <c r="L176" s="138"/>
      <c r="M176" s="552"/>
      <c r="N176" s="138"/>
    </row>
    <row r="177">
      <c r="A177" s="452"/>
      <c r="B177" s="549"/>
      <c r="C177" s="551"/>
      <c r="D177" s="550"/>
      <c r="E177" s="551"/>
      <c r="F177" s="138"/>
      <c r="G177" s="138"/>
      <c r="H177" s="138"/>
      <c r="I177" s="138"/>
      <c r="J177" s="138"/>
      <c r="K177" s="138"/>
      <c r="L177" s="138"/>
      <c r="M177" s="552"/>
      <c r="N177" s="138"/>
    </row>
    <row r="178">
      <c r="A178" s="452"/>
      <c r="B178" s="549"/>
      <c r="C178" s="551"/>
      <c r="D178" s="550"/>
      <c r="E178" s="551"/>
      <c r="F178" s="138"/>
      <c r="G178" s="138"/>
      <c r="H178" s="138"/>
      <c r="I178" s="138"/>
      <c r="J178" s="138"/>
      <c r="K178" s="138"/>
      <c r="L178" s="138"/>
      <c r="M178" s="552"/>
      <c r="N178" s="138"/>
    </row>
    <row r="179">
      <c r="A179" s="452"/>
      <c r="B179" s="549"/>
      <c r="C179" s="551"/>
      <c r="D179" s="550"/>
      <c r="E179" s="551"/>
      <c r="F179" s="138"/>
      <c r="G179" s="138"/>
      <c r="H179" s="138"/>
      <c r="I179" s="138"/>
      <c r="J179" s="138"/>
      <c r="K179" s="138"/>
      <c r="L179" s="138"/>
      <c r="M179" s="552"/>
      <c r="N179" s="138"/>
    </row>
    <row r="180">
      <c r="A180" s="452"/>
      <c r="B180" s="549"/>
      <c r="C180" s="551"/>
      <c r="D180" s="550"/>
      <c r="E180" s="551"/>
      <c r="F180" s="138"/>
      <c r="G180" s="138"/>
      <c r="H180" s="138"/>
      <c r="I180" s="138"/>
      <c r="J180" s="138"/>
      <c r="K180" s="138"/>
      <c r="L180" s="138"/>
      <c r="M180" s="552"/>
      <c r="N180" s="138"/>
    </row>
    <row r="181">
      <c r="A181" s="452"/>
      <c r="B181" s="549"/>
      <c r="C181" s="551"/>
      <c r="D181" s="550"/>
      <c r="E181" s="551"/>
      <c r="F181" s="138"/>
      <c r="G181" s="138"/>
      <c r="H181" s="138"/>
      <c r="I181" s="138"/>
      <c r="J181" s="138"/>
      <c r="K181" s="138"/>
      <c r="L181" s="138"/>
      <c r="M181" s="552"/>
      <c r="N181" s="138"/>
    </row>
    <row r="182">
      <c r="A182" s="452"/>
      <c r="B182" s="549"/>
      <c r="C182" s="551"/>
      <c r="D182" s="550"/>
      <c r="E182" s="551"/>
      <c r="F182" s="138"/>
      <c r="G182" s="138"/>
      <c r="H182" s="138"/>
      <c r="I182" s="138"/>
      <c r="J182" s="138"/>
      <c r="K182" s="138"/>
      <c r="L182" s="138"/>
      <c r="M182" s="552"/>
      <c r="N182" s="138"/>
    </row>
    <row r="183">
      <c r="A183" s="452"/>
      <c r="B183" s="549"/>
      <c r="C183" s="551"/>
      <c r="D183" s="550"/>
      <c r="E183" s="551"/>
      <c r="F183" s="138"/>
      <c r="G183" s="138"/>
      <c r="H183" s="138"/>
      <c r="I183" s="138"/>
      <c r="J183" s="138"/>
      <c r="K183" s="138"/>
      <c r="L183" s="138"/>
      <c r="M183" s="552"/>
      <c r="N183" s="138"/>
    </row>
    <row r="184">
      <c r="A184" s="452"/>
      <c r="B184" s="549"/>
      <c r="C184" s="551"/>
      <c r="D184" s="550"/>
      <c r="E184" s="551"/>
      <c r="F184" s="138"/>
      <c r="G184" s="138"/>
      <c r="H184" s="138"/>
      <c r="I184" s="138"/>
      <c r="J184" s="138"/>
      <c r="K184" s="138"/>
      <c r="L184" s="138"/>
      <c r="M184" s="552"/>
      <c r="N184" s="138"/>
    </row>
    <row r="185">
      <c r="A185" s="452"/>
      <c r="B185" s="549"/>
      <c r="C185" s="551"/>
      <c r="D185" s="550"/>
      <c r="E185" s="551"/>
      <c r="F185" s="138"/>
      <c r="G185" s="138"/>
      <c r="H185" s="138"/>
      <c r="I185" s="138"/>
      <c r="J185" s="138"/>
      <c r="K185" s="138"/>
      <c r="L185" s="138"/>
      <c r="M185" s="552"/>
      <c r="N185" s="138"/>
    </row>
    <row r="186">
      <c r="A186" s="452"/>
      <c r="B186" s="549"/>
      <c r="C186" s="551"/>
      <c r="D186" s="550"/>
      <c r="E186" s="551"/>
      <c r="F186" s="138"/>
      <c r="G186" s="138"/>
      <c r="H186" s="138"/>
      <c r="I186" s="138"/>
      <c r="J186" s="138"/>
      <c r="K186" s="138"/>
      <c r="L186" s="138"/>
      <c r="M186" s="552"/>
      <c r="N186" s="138"/>
    </row>
    <row r="187">
      <c r="A187" s="452"/>
      <c r="B187" s="549"/>
      <c r="C187" s="551"/>
      <c r="D187" s="550"/>
      <c r="E187" s="551"/>
      <c r="F187" s="138"/>
      <c r="G187" s="138"/>
      <c r="H187" s="138"/>
      <c r="I187" s="138"/>
      <c r="J187" s="138"/>
      <c r="K187" s="138"/>
      <c r="L187" s="138"/>
      <c r="M187" s="552"/>
      <c r="N187" s="138"/>
    </row>
    <row r="188">
      <c r="A188" s="452"/>
      <c r="B188" s="549"/>
      <c r="C188" s="551"/>
      <c r="D188" s="550"/>
      <c r="E188" s="551"/>
      <c r="F188" s="138"/>
      <c r="G188" s="138"/>
      <c r="H188" s="138"/>
      <c r="I188" s="138"/>
      <c r="J188" s="138"/>
      <c r="K188" s="138"/>
      <c r="L188" s="138"/>
      <c r="M188" s="552"/>
      <c r="N188" s="138"/>
    </row>
    <row r="189">
      <c r="A189" s="452"/>
      <c r="B189" s="549"/>
      <c r="C189" s="551"/>
      <c r="D189" s="550"/>
      <c r="E189" s="551"/>
      <c r="F189" s="138"/>
      <c r="G189" s="138"/>
      <c r="H189" s="138"/>
      <c r="I189" s="138"/>
      <c r="J189" s="138"/>
      <c r="K189" s="138"/>
      <c r="L189" s="138"/>
      <c r="M189" s="552"/>
      <c r="N189" s="138"/>
    </row>
    <row r="190">
      <c r="A190" s="452"/>
      <c r="B190" s="549"/>
      <c r="C190" s="551"/>
      <c r="D190" s="550"/>
      <c r="E190" s="551"/>
      <c r="F190" s="138"/>
      <c r="G190" s="138"/>
      <c r="H190" s="138"/>
      <c r="I190" s="138"/>
      <c r="J190" s="138"/>
      <c r="K190" s="138"/>
      <c r="L190" s="138"/>
      <c r="M190" s="552"/>
      <c r="N190" s="138"/>
    </row>
    <row r="191">
      <c r="A191" s="452"/>
      <c r="B191" s="549"/>
      <c r="C191" s="551"/>
      <c r="D191" s="550"/>
      <c r="E191" s="551"/>
      <c r="F191" s="138"/>
      <c r="G191" s="138"/>
      <c r="H191" s="138"/>
      <c r="I191" s="138"/>
      <c r="J191" s="138"/>
      <c r="K191" s="138"/>
      <c r="L191" s="138"/>
      <c r="M191" s="552"/>
      <c r="N191" s="138"/>
    </row>
    <row r="192">
      <c r="A192" s="452"/>
      <c r="B192" s="549"/>
      <c r="C192" s="551"/>
      <c r="D192" s="550"/>
      <c r="E192" s="551"/>
      <c r="F192" s="138"/>
      <c r="G192" s="138"/>
      <c r="H192" s="138"/>
      <c r="I192" s="138"/>
      <c r="J192" s="138"/>
      <c r="K192" s="138"/>
      <c r="L192" s="138"/>
      <c r="M192" s="552"/>
      <c r="N192" s="138"/>
    </row>
    <row r="193">
      <c r="A193" s="452"/>
      <c r="B193" s="549"/>
      <c r="C193" s="551"/>
      <c r="D193" s="550"/>
      <c r="E193" s="551"/>
      <c r="F193" s="138"/>
      <c r="G193" s="138"/>
      <c r="H193" s="138"/>
      <c r="I193" s="138"/>
      <c r="J193" s="138"/>
      <c r="K193" s="138"/>
      <c r="L193" s="138"/>
      <c r="M193" s="552"/>
      <c r="N193" s="138"/>
    </row>
    <row r="194">
      <c r="A194" s="452"/>
      <c r="B194" s="549"/>
      <c r="C194" s="551"/>
      <c r="D194" s="550"/>
      <c r="E194" s="551"/>
      <c r="F194" s="138"/>
      <c r="G194" s="138"/>
      <c r="H194" s="138"/>
      <c r="I194" s="138"/>
      <c r="J194" s="138"/>
      <c r="K194" s="138"/>
      <c r="L194" s="138"/>
      <c r="M194" s="552"/>
      <c r="N194" s="138"/>
    </row>
    <row r="195">
      <c r="A195" s="452"/>
      <c r="B195" s="549"/>
      <c r="C195" s="551"/>
      <c r="D195" s="550"/>
      <c r="E195" s="551"/>
      <c r="F195" s="138"/>
      <c r="G195" s="138"/>
      <c r="H195" s="138"/>
      <c r="I195" s="138"/>
      <c r="J195" s="138"/>
      <c r="K195" s="138"/>
      <c r="L195" s="138"/>
      <c r="M195" s="552"/>
      <c r="N195" s="138"/>
    </row>
    <row r="196">
      <c r="A196" s="452"/>
      <c r="B196" s="549"/>
      <c r="C196" s="551"/>
      <c r="D196" s="550"/>
      <c r="E196" s="551"/>
      <c r="F196" s="138"/>
      <c r="G196" s="138"/>
      <c r="H196" s="138"/>
      <c r="I196" s="138"/>
      <c r="J196" s="138"/>
      <c r="K196" s="138"/>
      <c r="L196" s="138"/>
      <c r="M196" s="552"/>
      <c r="N196" s="138"/>
    </row>
    <row r="197">
      <c r="A197" s="452"/>
      <c r="B197" s="549"/>
      <c r="C197" s="551"/>
      <c r="D197" s="550"/>
      <c r="E197" s="551"/>
      <c r="F197" s="138"/>
      <c r="G197" s="138"/>
      <c r="H197" s="138"/>
      <c r="I197" s="138"/>
      <c r="J197" s="138"/>
      <c r="K197" s="138"/>
      <c r="L197" s="138"/>
      <c r="M197" s="552"/>
      <c r="N197" s="138"/>
    </row>
    <row r="198">
      <c r="A198" s="452"/>
      <c r="B198" s="549"/>
      <c r="C198" s="551"/>
      <c r="D198" s="550"/>
      <c r="E198" s="551"/>
      <c r="F198" s="138"/>
      <c r="G198" s="138"/>
      <c r="H198" s="138"/>
      <c r="I198" s="138"/>
      <c r="J198" s="138"/>
      <c r="K198" s="138"/>
      <c r="L198" s="138"/>
      <c r="M198" s="552"/>
      <c r="N198" s="138"/>
    </row>
    <row r="199">
      <c r="A199" s="452"/>
      <c r="B199" s="549"/>
      <c r="C199" s="551"/>
      <c r="D199" s="550"/>
      <c r="E199" s="551"/>
      <c r="F199" s="138"/>
      <c r="G199" s="138"/>
      <c r="H199" s="138"/>
      <c r="I199" s="138"/>
      <c r="J199" s="138"/>
      <c r="K199" s="138"/>
      <c r="L199" s="138"/>
      <c r="M199" s="552"/>
      <c r="N199" s="138"/>
    </row>
    <row r="200">
      <c r="A200" s="452"/>
      <c r="B200" s="549"/>
      <c r="C200" s="551"/>
      <c r="D200" s="550"/>
      <c r="E200" s="551"/>
      <c r="F200" s="138"/>
      <c r="G200" s="138"/>
      <c r="H200" s="138"/>
      <c r="I200" s="138"/>
      <c r="J200" s="138"/>
      <c r="K200" s="138"/>
      <c r="L200" s="138"/>
      <c r="M200" s="552"/>
      <c r="N200" s="138"/>
    </row>
    <row r="201">
      <c r="A201" s="452"/>
      <c r="B201" s="549"/>
      <c r="C201" s="551"/>
      <c r="D201" s="550"/>
      <c r="E201" s="551"/>
      <c r="F201" s="138"/>
      <c r="G201" s="138"/>
      <c r="H201" s="138"/>
      <c r="I201" s="138"/>
      <c r="J201" s="138"/>
      <c r="K201" s="138"/>
      <c r="L201" s="138"/>
      <c r="M201" s="552"/>
      <c r="N201" s="138"/>
    </row>
    <row r="202">
      <c r="A202" s="452"/>
      <c r="B202" s="549"/>
      <c r="C202" s="551"/>
      <c r="D202" s="550"/>
      <c r="E202" s="551"/>
      <c r="F202" s="138"/>
      <c r="G202" s="138"/>
      <c r="H202" s="138"/>
      <c r="I202" s="138"/>
      <c r="J202" s="138"/>
      <c r="K202" s="138"/>
      <c r="L202" s="138"/>
      <c r="M202" s="552"/>
      <c r="N202" s="138"/>
    </row>
    <row r="203">
      <c r="A203" s="452"/>
      <c r="B203" s="549"/>
      <c r="C203" s="551"/>
      <c r="D203" s="550"/>
      <c r="E203" s="551"/>
      <c r="F203" s="138"/>
      <c r="G203" s="138"/>
      <c r="H203" s="138"/>
      <c r="I203" s="138"/>
      <c r="J203" s="138"/>
      <c r="K203" s="138"/>
      <c r="L203" s="138"/>
      <c r="M203" s="552"/>
      <c r="N203" s="138"/>
    </row>
    <row r="204">
      <c r="A204" s="452"/>
      <c r="B204" s="549"/>
      <c r="C204" s="551"/>
      <c r="D204" s="550"/>
      <c r="E204" s="551"/>
      <c r="F204" s="138"/>
      <c r="G204" s="138"/>
      <c r="H204" s="138"/>
      <c r="I204" s="138"/>
      <c r="J204" s="138"/>
      <c r="K204" s="138"/>
      <c r="L204" s="138"/>
      <c r="M204" s="552"/>
      <c r="N204" s="138"/>
    </row>
    <row r="205">
      <c r="A205" s="452"/>
      <c r="B205" s="549"/>
      <c r="C205" s="551"/>
      <c r="D205" s="550"/>
      <c r="E205" s="551"/>
      <c r="F205" s="138"/>
      <c r="G205" s="138"/>
      <c r="H205" s="138"/>
      <c r="I205" s="138"/>
      <c r="J205" s="138"/>
      <c r="K205" s="138"/>
      <c r="L205" s="138"/>
      <c r="M205" s="552"/>
      <c r="N205" s="138"/>
    </row>
    <row r="206">
      <c r="A206" s="452"/>
      <c r="B206" s="549"/>
      <c r="C206" s="551"/>
      <c r="D206" s="550"/>
      <c r="E206" s="551"/>
      <c r="F206" s="138"/>
      <c r="G206" s="138"/>
      <c r="H206" s="138"/>
      <c r="I206" s="138"/>
      <c r="J206" s="138"/>
      <c r="K206" s="138"/>
      <c r="L206" s="138"/>
      <c r="M206" s="552"/>
      <c r="N206" s="138"/>
    </row>
    <row r="207">
      <c r="A207" s="452"/>
      <c r="B207" s="549"/>
      <c r="C207" s="551"/>
      <c r="D207" s="550"/>
      <c r="E207" s="551"/>
      <c r="F207" s="138"/>
      <c r="G207" s="138"/>
      <c r="H207" s="138"/>
      <c r="I207" s="138"/>
      <c r="J207" s="138"/>
      <c r="K207" s="138"/>
      <c r="L207" s="138"/>
      <c r="M207" s="552"/>
      <c r="N207" s="138"/>
    </row>
    <row r="208">
      <c r="A208" s="452"/>
      <c r="B208" s="549"/>
      <c r="C208" s="551"/>
      <c r="D208" s="550"/>
      <c r="E208" s="551"/>
      <c r="F208" s="138"/>
      <c r="G208" s="138"/>
      <c r="H208" s="138"/>
      <c r="I208" s="138"/>
      <c r="J208" s="138"/>
      <c r="K208" s="138"/>
      <c r="L208" s="138"/>
      <c r="M208" s="552"/>
      <c r="N208" s="138"/>
    </row>
    <row r="209">
      <c r="A209" s="452"/>
      <c r="B209" s="549"/>
      <c r="C209" s="551"/>
      <c r="D209" s="550"/>
      <c r="E209" s="551"/>
      <c r="F209" s="138"/>
      <c r="G209" s="138"/>
      <c r="H209" s="138"/>
      <c r="I209" s="138"/>
      <c r="J209" s="138"/>
      <c r="K209" s="138"/>
      <c r="L209" s="138"/>
      <c r="M209" s="552"/>
      <c r="N209" s="138"/>
    </row>
    <row r="210">
      <c r="A210" s="452"/>
      <c r="B210" s="549"/>
      <c r="C210" s="551"/>
      <c r="D210" s="550"/>
      <c r="E210" s="551"/>
      <c r="F210" s="138"/>
      <c r="G210" s="138"/>
      <c r="H210" s="138"/>
      <c r="I210" s="138"/>
      <c r="J210" s="138"/>
      <c r="K210" s="138"/>
      <c r="L210" s="138"/>
      <c r="M210" s="552"/>
      <c r="N210" s="138"/>
    </row>
    <row r="211">
      <c r="A211" s="452"/>
      <c r="B211" s="549"/>
      <c r="C211" s="551"/>
      <c r="D211" s="550"/>
      <c r="E211" s="551"/>
      <c r="F211" s="138"/>
      <c r="G211" s="138"/>
      <c r="H211" s="138"/>
      <c r="I211" s="138"/>
      <c r="J211" s="138"/>
      <c r="K211" s="138"/>
      <c r="L211" s="138"/>
      <c r="M211" s="552"/>
      <c r="N211" s="138"/>
    </row>
    <row r="212">
      <c r="A212" s="452"/>
      <c r="B212" s="549"/>
      <c r="C212" s="551"/>
      <c r="D212" s="550"/>
      <c r="E212" s="551"/>
      <c r="F212" s="138"/>
      <c r="G212" s="138"/>
      <c r="H212" s="138"/>
      <c r="I212" s="138"/>
      <c r="J212" s="138"/>
      <c r="K212" s="138"/>
      <c r="L212" s="138"/>
      <c r="M212" s="552"/>
      <c r="N212" s="138"/>
    </row>
    <row r="213">
      <c r="A213" s="452"/>
      <c r="B213" s="549"/>
      <c r="C213" s="551"/>
      <c r="D213" s="550"/>
      <c r="E213" s="551"/>
      <c r="F213" s="138"/>
      <c r="G213" s="138"/>
      <c r="H213" s="138"/>
      <c r="I213" s="138"/>
      <c r="J213" s="138"/>
      <c r="K213" s="138"/>
      <c r="L213" s="138"/>
      <c r="M213" s="552"/>
      <c r="N213" s="138"/>
    </row>
    <row r="214">
      <c r="A214" s="452"/>
      <c r="B214" s="549"/>
      <c r="C214" s="551"/>
      <c r="D214" s="550"/>
      <c r="E214" s="551"/>
      <c r="F214" s="138"/>
      <c r="G214" s="138"/>
      <c r="H214" s="138"/>
      <c r="I214" s="138"/>
      <c r="J214" s="138"/>
      <c r="K214" s="138"/>
      <c r="L214" s="138"/>
      <c r="M214" s="552"/>
      <c r="N214" s="138"/>
    </row>
    <row r="215">
      <c r="A215" s="452"/>
      <c r="B215" s="549"/>
      <c r="C215" s="551"/>
      <c r="D215" s="550"/>
      <c r="E215" s="551"/>
      <c r="F215" s="138"/>
      <c r="G215" s="138"/>
      <c r="H215" s="138"/>
      <c r="I215" s="138"/>
      <c r="J215" s="138"/>
      <c r="K215" s="138"/>
      <c r="L215" s="138"/>
      <c r="M215" s="552"/>
      <c r="N215" s="138"/>
    </row>
    <row r="216">
      <c r="A216" s="452"/>
      <c r="B216" s="549"/>
      <c r="C216" s="551"/>
      <c r="D216" s="550"/>
      <c r="E216" s="551"/>
      <c r="F216" s="138"/>
      <c r="G216" s="138"/>
      <c r="H216" s="138"/>
      <c r="I216" s="138"/>
      <c r="J216" s="138"/>
      <c r="K216" s="138"/>
      <c r="L216" s="138"/>
      <c r="M216" s="552"/>
      <c r="N216" s="138"/>
    </row>
    <row r="217">
      <c r="A217" s="452"/>
      <c r="B217" s="549"/>
      <c r="C217" s="551"/>
      <c r="D217" s="550"/>
      <c r="E217" s="551"/>
      <c r="F217" s="138"/>
      <c r="G217" s="138"/>
      <c r="H217" s="138"/>
      <c r="I217" s="138"/>
      <c r="J217" s="138"/>
      <c r="K217" s="138"/>
      <c r="L217" s="138"/>
      <c r="M217" s="552"/>
      <c r="N217" s="138"/>
    </row>
    <row r="218">
      <c r="A218" s="452"/>
      <c r="B218" s="549"/>
      <c r="C218" s="551"/>
      <c r="D218" s="550"/>
      <c r="E218" s="551"/>
      <c r="F218" s="138"/>
      <c r="G218" s="138"/>
      <c r="H218" s="138"/>
      <c r="I218" s="138"/>
      <c r="J218" s="138"/>
      <c r="K218" s="138"/>
      <c r="L218" s="138"/>
      <c r="M218" s="552"/>
      <c r="N218" s="138"/>
    </row>
    <row r="219">
      <c r="A219" s="452"/>
      <c r="B219" s="549"/>
      <c r="C219" s="551"/>
      <c r="D219" s="550"/>
      <c r="E219" s="551"/>
      <c r="F219" s="138"/>
      <c r="G219" s="138"/>
      <c r="H219" s="138"/>
      <c r="I219" s="138"/>
      <c r="J219" s="138"/>
      <c r="K219" s="138"/>
      <c r="L219" s="138"/>
      <c r="M219" s="552"/>
      <c r="N219" s="138"/>
    </row>
    <row r="220">
      <c r="A220" s="452"/>
      <c r="B220" s="549"/>
      <c r="C220" s="551"/>
      <c r="D220" s="550"/>
      <c r="E220" s="551"/>
      <c r="F220" s="138"/>
      <c r="G220" s="138"/>
      <c r="H220" s="138"/>
      <c r="I220" s="138"/>
      <c r="J220" s="138"/>
      <c r="K220" s="138"/>
      <c r="L220" s="138"/>
      <c r="M220" s="552"/>
      <c r="N220" s="138"/>
    </row>
    <row r="221">
      <c r="A221" s="452"/>
      <c r="B221" s="549"/>
      <c r="C221" s="551"/>
      <c r="D221" s="550"/>
      <c r="E221" s="551"/>
      <c r="F221" s="138"/>
      <c r="G221" s="138"/>
      <c r="H221" s="138"/>
      <c r="I221" s="138"/>
      <c r="J221" s="138"/>
      <c r="K221" s="138"/>
      <c r="L221" s="138"/>
      <c r="M221" s="552"/>
      <c r="N221" s="138"/>
    </row>
    <row r="222">
      <c r="A222" s="452"/>
      <c r="B222" s="549"/>
      <c r="C222" s="551"/>
      <c r="D222" s="550"/>
      <c r="E222" s="551"/>
      <c r="F222" s="138"/>
      <c r="G222" s="138"/>
      <c r="H222" s="138"/>
      <c r="I222" s="138"/>
      <c r="J222" s="138"/>
      <c r="K222" s="138"/>
      <c r="L222" s="138"/>
      <c r="M222" s="552"/>
      <c r="N222" s="138"/>
    </row>
    <row r="223">
      <c r="A223" s="452"/>
      <c r="B223" s="549"/>
      <c r="C223" s="551"/>
      <c r="D223" s="550"/>
      <c r="E223" s="551"/>
      <c r="F223" s="138"/>
      <c r="G223" s="138"/>
      <c r="H223" s="138"/>
      <c r="I223" s="138"/>
      <c r="J223" s="138"/>
      <c r="K223" s="138"/>
      <c r="L223" s="138"/>
      <c r="M223" s="552"/>
      <c r="N223" s="138"/>
    </row>
    <row r="224">
      <c r="A224" s="452"/>
      <c r="B224" s="549"/>
      <c r="C224" s="551"/>
      <c r="D224" s="550"/>
      <c r="E224" s="551"/>
      <c r="F224" s="138"/>
      <c r="G224" s="138"/>
      <c r="H224" s="138"/>
      <c r="I224" s="138"/>
      <c r="J224" s="138"/>
      <c r="K224" s="138"/>
      <c r="L224" s="138"/>
      <c r="M224" s="552"/>
      <c r="N224" s="138"/>
    </row>
    <row r="225">
      <c r="A225" s="452"/>
      <c r="B225" s="549"/>
      <c r="C225" s="551"/>
      <c r="D225" s="550"/>
      <c r="E225" s="551"/>
      <c r="F225" s="138"/>
      <c r="G225" s="138"/>
      <c r="H225" s="138"/>
      <c r="I225" s="138"/>
      <c r="J225" s="138"/>
      <c r="K225" s="138"/>
      <c r="L225" s="138"/>
      <c r="M225" s="552"/>
      <c r="N225" s="138"/>
    </row>
    <row r="226">
      <c r="A226" s="452"/>
      <c r="B226" s="549"/>
      <c r="C226" s="551"/>
      <c r="D226" s="550"/>
      <c r="E226" s="551"/>
      <c r="F226" s="138"/>
      <c r="G226" s="138"/>
      <c r="H226" s="138"/>
      <c r="I226" s="138"/>
      <c r="J226" s="138"/>
      <c r="K226" s="138"/>
      <c r="L226" s="138"/>
      <c r="M226" s="552"/>
      <c r="N226" s="138"/>
    </row>
    <row r="227">
      <c r="A227" s="452"/>
      <c r="B227" s="549"/>
      <c r="C227" s="551"/>
      <c r="D227" s="550"/>
      <c r="E227" s="551"/>
      <c r="F227" s="138"/>
      <c r="G227" s="138"/>
      <c r="H227" s="138"/>
      <c r="I227" s="138"/>
      <c r="J227" s="138"/>
      <c r="K227" s="138"/>
      <c r="L227" s="138"/>
      <c r="M227" s="552"/>
      <c r="N227" s="138"/>
    </row>
    <row r="228">
      <c r="A228" s="452"/>
      <c r="B228" s="549"/>
      <c r="C228" s="551"/>
      <c r="D228" s="550"/>
      <c r="E228" s="551"/>
      <c r="F228" s="138"/>
      <c r="G228" s="138"/>
      <c r="H228" s="138"/>
      <c r="I228" s="138"/>
      <c r="J228" s="138"/>
      <c r="K228" s="138"/>
      <c r="L228" s="138"/>
      <c r="M228" s="552"/>
      <c r="N228" s="138"/>
    </row>
    <row r="229">
      <c r="A229" s="452"/>
      <c r="B229" s="549"/>
      <c r="C229" s="551"/>
      <c r="D229" s="550"/>
      <c r="E229" s="551"/>
      <c r="F229" s="138"/>
      <c r="G229" s="138"/>
      <c r="H229" s="138"/>
      <c r="I229" s="138"/>
      <c r="J229" s="138"/>
      <c r="K229" s="138"/>
      <c r="L229" s="138"/>
      <c r="M229" s="552"/>
      <c r="N229" s="138"/>
    </row>
    <row r="230">
      <c r="A230" s="452"/>
      <c r="B230" s="549"/>
      <c r="C230" s="551"/>
      <c r="D230" s="550"/>
      <c r="E230" s="551"/>
      <c r="F230" s="138"/>
      <c r="G230" s="138"/>
      <c r="H230" s="138"/>
      <c r="I230" s="138"/>
      <c r="J230" s="138"/>
      <c r="K230" s="138"/>
      <c r="L230" s="138"/>
      <c r="M230" s="552"/>
      <c r="N230" s="138"/>
    </row>
    <row r="231">
      <c r="A231" s="452"/>
      <c r="B231" s="549"/>
      <c r="C231" s="551"/>
      <c r="D231" s="550"/>
      <c r="E231" s="551"/>
      <c r="F231" s="138"/>
      <c r="G231" s="138"/>
      <c r="H231" s="138"/>
      <c r="I231" s="138"/>
      <c r="J231" s="138"/>
      <c r="K231" s="138"/>
      <c r="L231" s="138"/>
      <c r="M231" s="552"/>
      <c r="N231" s="138"/>
    </row>
    <row r="232">
      <c r="A232" s="452"/>
      <c r="B232" s="549"/>
      <c r="C232" s="551"/>
      <c r="D232" s="550"/>
      <c r="E232" s="551"/>
      <c r="F232" s="138"/>
      <c r="G232" s="138"/>
      <c r="H232" s="138"/>
      <c r="I232" s="138"/>
      <c r="J232" s="138"/>
      <c r="K232" s="138"/>
      <c r="L232" s="138"/>
      <c r="M232" s="552"/>
      <c r="N232" s="138"/>
    </row>
    <row r="233">
      <c r="A233" s="452"/>
      <c r="B233" s="549"/>
      <c r="C233" s="551"/>
      <c r="D233" s="550"/>
      <c r="E233" s="551"/>
      <c r="F233" s="138"/>
      <c r="G233" s="138"/>
      <c r="H233" s="138"/>
      <c r="I233" s="138"/>
      <c r="J233" s="138"/>
      <c r="K233" s="138"/>
      <c r="L233" s="138"/>
      <c r="M233" s="552"/>
      <c r="N233" s="138"/>
    </row>
    <row r="234">
      <c r="A234" s="452"/>
      <c r="B234" s="549"/>
      <c r="C234" s="551"/>
      <c r="D234" s="550"/>
      <c r="E234" s="551"/>
      <c r="F234" s="138"/>
      <c r="G234" s="138"/>
      <c r="H234" s="138"/>
      <c r="I234" s="138"/>
      <c r="J234" s="138"/>
      <c r="K234" s="138"/>
      <c r="L234" s="138"/>
      <c r="M234" s="552"/>
      <c r="N234" s="138"/>
    </row>
    <row r="235">
      <c r="A235" s="452"/>
      <c r="B235" s="549"/>
      <c r="C235" s="551"/>
      <c r="D235" s="550"/>
      <c r="E235" s="551"/>
      <c r="F235" s="138"/>
      <c r="G235" s="138"/>
      <c r="H235" s="138"/>
      <c r="I235" s="138"/>
      <c r="J235" s="138"/>
      <c r="K235" s="138"/>
      <c r="L235" s="138"/>
      <c r="M235" s="552"/>
      <c r="N235" s="138"/>
    </row>
    <row r="236">
      <c r="A236" s="452"/>
      <c r="B236" s="549"/>
      <c r="C236" s="551"/>
      <c r="D236" s="550"/>
      <c r="E236" s="551"/>
      <c r="F236" s="138"/>
      <c r="G236" s="138"/>
      <c r="H236" s="138"/>
      <c r="I236" s="138"/>
      <c r="J236" s="138"/>
      <c r="K236" s="138"/>
      <c r="L236" s="138"/>
      <c r="M236" s="552"/>
      <c r="N236" s="138"/>
    </row>
    <row r="237">
      <c r="A237" s="452"/>
      <c r="B237" s="549"/>
      <c r="C237" s="551"/>
      <c r="D237" s="550"/>
      <c r="E237" s="551"/>
      <c r="F237" s="138"/>
      <c r="G237" s="138"/>
      <c r="H237" s="138"/>
      <c r="I237" s="138"/>
      <c r="J237" s="138"/>
      <c r="K237" s="138"/>
      <c r="L237" s="138"/>
      <c r="M237" s="552"/>
      <c r="N237" s="138"/>
    </row>
    <row r="238">
      <c r="A238" s="452"/>
      <c r="B238" s="549"/>
      <c r="C238" s="551"/>
      <c r="D238" s="550"/>
      <c r="E238" s="551"/>
      <c r="F238" s="138"/>
      <c r="G238" s="138"/>
      <c r="H238" s="138"/>
      <c r="I238" s="138"/>
      <c r="J238" s="138"/>
      <c r="K238" s="138"/>
      <c r="L238" s="138"/>
      <c r="M238" s="552"/>
      <c r="N238" s="138"/>
    </row>
    <row r="239">
      <c r="A239" s="452"/>
      <c r="B239" s="549"/>
      <c r="C239" s="551"/>
      <c r="D239" s="550"/>
      <c r="E239" s="551"/>
      <c r="F239" s="138"/>
      <c r="G239" s="138"/>
      <c r="H239" s="138"/>
      <c r="I239" s="138"/>
      <c r="J239" s="138"/>
      <c r="K239" s="138"/>
      <c r="L239" s="138"/>
      <c r="M239" s="552"/>
      <c r="N239" s="138"/>
    </row>
    <row r="240">
      <c r="A240" s="452"/>
      <c r="B240" s="549"/>
      <c r="C240" s="551"/>
      <c r="D240" s="550"/>
      <c r="E240" s="551"/>
      <c r="F240" s="138"/>
      <c r="G240" s="138"/>
      <c r="H240" s="138"/>
      <c r="I240" s="138"/>
      <c r="J240" s="138"/>
      <c r="K240" s="138"/>
      <c r="L240" s="138"/>
      <c r="M240" s="552"/>
      <c r="N240" s="138"/>
    </row>
    <row r="241">
      <c r="A241" s="452"/>
      <c r="B241" s="549"/>
      <c r="C241" s="551"/>
      <c r="D241" s="550"/>
      <c r="E241" s="551"/>
      <c r="F241" s="138"/>
      <c r="G241" s="138"/>
      <c r="H241" s="138"/>
      <c r="I241" s="138"/>
      <c r="J241" s="138"/>
      <c r="K241" s="138"/>
      <c r="L241" s="138"/>
      <c r="M241" s="552"/>
      <c r="N241" s="138"/>
    </row>
    <row r="242">
      <c r="A242" s="452"/>
      <c r="B242" s="549"/>
      <c r="C242" s="551"/>
      <c r="D242" s="550"/>
      <c r="E242" s="551"/>
      <c r="F242" s="138"/>
      <c r="G242" s="138"/>
      <c r="H242" s="138"/>
      <c r="I242" s="138"/>
      <c r="J242" s="138"/>
      <c r="K242" s="138"/>
      <c r="L242" s="138"/>
      <c r="M242" s="552"/>
      <c r="N242" s="138"/>
    </row>
    <row r="243">
      <c r="A243" s="452"/>
      <c r="B243" s="549"/>
      <c r="C243" s="551"/>
      <c r="D243" s="550"/>
      <c r="E243" s="551"/>
      <c r="F243" s="138"/>
      <c r="G243" s="138"/>
      <c r="H243" s="138"/>
      <c r="I243" s="138"/>
      <c r="J243" s="138"/>
      <c r="K243" s="138"/>
      <c r="L243" s="138"/>
      <c r="M243" s="552"/>
      <c r="N243" s="138"/>
    </row>
    <row r="244">
      <c r="A244" s="452"/>
      <c r="B244" s="549"/>
      <c r="C244" s="551"/>
      <c r="D244" s="550"/>
      <c r="E244" s="551"/>
      <c r="F244" s="138"/>
      <c r="G244" s="138"/>
      <c r="H244" s="138"/>
      <c r="I244" s="138"/>
      <c r="J244" s="138"/>
      <c r="K244" s="138"/>
      <c r="L244" s="138"/>
      <c r="M244" s="552"/>
      <c r="N244" s="138"/>
    </row>
    <row r="245">
      <c r="A245" s="452"/>
      <c r="B245" s="549"/>
      <c r="C245" s="551"/>
      <c r="D245" s="550"/>
      <c r="E245" s="551"/>
      <c r="F245" s="138"/>
      <c r="G245" s="138"/>
      <c r="H245" s="138"/>
      <c r="I245" s="138"/>
      <c r="J245" s="138"/>
      <c r="K245" s="138"/>
      <c r="L245" s="138"/>
      <c r="M245" s="552"/>
      <c r="N245" s="138"/>
    </row>
    <row r="246">
      <c r="A246" s="452"/>
      <c r="B246" s="549"/>
      <c r="C246" s="551"/>
      <c r="D246" s="550"/>
      <c r="E246" s="551"/>
      <c r="F246" s="138"/>
      <c r="G246" s="138"/>
      <c r="H246" s="138"/>
      <c r="I246" s="138"/>
      <c r="J246" s="138"/>
      <c r="K246" s="138"/>
      <c r="L246" s="138"/>
      <c r="M246" s="552"/>
      <c r="N246" s="138"/>
    </row>
    <row r="247">
      <c r="A247" s="452"/>
      <c r="B247" s="549"/>
      <c r="C247" s="551"/>
      <c r="D247" s="550"/>
      <c r="E247" s="551"/>
      <c r="F247" s="138"/>
      <c r="G247" s="138"/>
      <c r="H247" s="138"/>
      <c r="I247" s="138"/>
      <c r="J247" s="138"/>
      <c r="K247" s="138"/>
      <c r="L247" s="138"/>
      <c r="M247" s="552"/>
      <c r="N247" s="138"/>
    </row>
    <row r="248">
      <c r="A248" s="452"/>
      <c r="B248" s="549"/>
      <c r="C248" s="551"/>
      <c r="D248" s="550"/>
      <c r="E248" s="551"/>
      <c r="F248" s="138"/>
      <c r="G248" s="138"/>
      <c r="H248" s="138"/>
      <c r="I248" s="138"/>
      <c r="J248" s="138"/>
      <c r="K248" s="138"/>
      <c r="L248" s="138"/>
      <c r="M248" s="552"/>
      <c r="N248" s="138"/>
    </row>
    <row r="249">
      <c r="A249" s="452"/>
      <c r="B249" s="549"/>
      <c r="C249" s="551"/>
      <c r="D249" s="550"/>
      <c r="E249" s="551"/>
      <c r="F249" s="138"/>
      <c r="G249" s="138"/>
      <c r="H249" s="138"/>
      <c r="I249" s="138"/>
      <c r="J249" s="138"/>
      <c r="K249" s="138"/>
      <c r="L249" s="138"/>
      <c r="M249" s="552"/>
      <c r="N249" s="138"/>
    </row>
    <row r="250">
      <c r="A250" s="452"/>
      <c r="B250" s="549"/>
      <c r="C250" s="551"/>
      <c r="D250" s="550"/>
      <c r="E250" s="551"/>
      <c r="F250" s="138"/>
      <c r="G250" s="138"/>
      <c r="H250" s="138"/>
      <c r="I250" s="138"/>
      <c r="J250" s="138"/>
      <c r="K250" s="138"/>
      <c r="L250" s="138"/>
      <c r="M250" s="552"/>
      <c r="N250" s="138"/>
    </row>
    <row r="251">
      <c r="A251" s="452"/>
      <c r="B251" s="549"/>
      <c r="C251" s="551"/>
      <c r="D251" s="550"/>
      <c r="E251" s="551"/>
      <c r="F251" s="138"/>
      <c r="G251" s="138"/>
      <c r="H251" s="138"/>
      <c r="I251" s="138"/>
      <c r="J251" s="138"/>
      <c r="K251" s="138"/>
      <c r="L251" s="138"/>
      <c r="M251" s="552"/>
      <c r="N251" s="138"/>
    </row>
    <row r="252">
      <c r="A252" s="452"/>
      <c r="B252" s="549"/>
      <c r="C252" s="551"/>
      <c r="D252" s="550"/>
      <c r="E252" s="551"/>
      <c r="F252" s="138"/>
      <c r="G252" s="138"/>
      <c r="H252" s="138"/>
      <c r="I252" s="138"/>
      <c r="J252" s="138"/>
      <c r="K252" s="138"/>
      <c r="L252" s="138"/>
      <c r="M252" s="552"/>
      <c r="N252" s="138"/>
    </row>
    <row r="253">
      <c r="A253" s="452"/>
      <c r="B253" s="549"/>
      <c r="C253" s="551"/>
      <c r="D253" s="550"/>
      <c r="E253" s="551"/>
      <c r="F253" s="138"/>
      <c r="G253" s="138"/>
      <c r="H253" s="138"/>
      <c r="I253" s="138"/>
      <c r="J253" s="138"/>
      <c r="K253" s="138"/>
      <c r="L253" s="138"/>
      <c r="M253" s="552"/>
      <c r="N253" s="138"/>
    </row>
    <row r="254">
      <c r="A254" s="452"/>
      <c r="B254" s="549"/>
      <c r="C254" s="551"/>
      <c r="D254" s="550"/>
      <c r="E254" s="551"/>
      <c r="F254" s="138"/>
      <c r="G254" s="138"/>
      <c r="H254" s="138"/>
      <c r="I254" s="138"/>
      <c r="J254" s="138"/>
      <c r="K254" s="138"/>
      <c r="L254" s="138"/>
      <c r="M254" s="552"/>
      <c r="N254" s="138"/>
    </row>
    <row r="255">
      <c r="A255" s="452"/>
      <c r="B255" s="549"/>
      <c r="C255" s="551"/>
      <c r="D255" s="550"/>
      <c r="E255" s="551"/>
      <c r="F255" s="138"/>
      <c r="G255" s="138"/>
      <c r="H255" s="138"/>
      <c r="I255" s="138"/>
      <c r="J255" s="138"/>
      <c r="K255" s="138"/>
      <c r="L255" s="138"/>
      <c r="M255" s="552"/>
      <c r="N255" s="138"/>
    </row>
    <row r="256">
      <c r="A256" s="452"/>
      <c r="B256" s="549"/>
      <c r="C256" s="551"/>
      <c r="D256" s="550"/>
      <c r="E256" s="551"/>
      <c r="F256" s="138"/>
      <c r="G256" s="138"/>
      <c r="H256" s="138"/>
      <c r="I256" s="138"/>
      <c r="J256" s="138"/>
      <c r="K256" s="138"/>
      <c r="L256" s="138"/>
      <c r="M256" s="552"/>
      <c r="N256" s="138"/>
    </row>
    <row r="257">
      <c r="A257" s="452"/>
      <c r="B257" s="549"/>
      <c r="C257" s="551"/>
      <c r="D257" s="550"/>
      <c r="E257" s="551"/>
      <c r="F257" s="138"/>
      <c r="G257" s="138"/>
      <c r="H257" s="138"/>
      <c r="I257" s="138"/>
      <c r="J257" s="138"/>
      <c r="K257" s="138"/>
      <c r="L257" s="138"/>
      <c r="M257" s="552"/>
      <c r="N257" s="138"/>
    </row>
    <row r="258">
      <c r="A258" s="452"/>
      <c r="B258" s="549"/>
      <c r="C258" s="551"/>
      <c r="D258" s="550"/>
      <c r="E258" s="551"/>
      <c r="F258" s="138"/>
      <c r="G258" s="138"/>
      <c r="H258" s="138"/>
      <c r="I258" s="138"/>
      <c r="J258" s="138"/>
      <c r="K258" s="138"/>
      <c r="L258" s="138"/>
      <c r="M258" s="552"/>
      <c r="N258" s="138"/>
    </row>
    <row r="259">
      <c r="A259" s="452"/>
      <c r="B259" s="549"/>
      <c r="C259" s="551"/>
      <c r="D259" s="550"/>
      <c r="E259" s="551"/>
      <c r="F259" s="138"/>
      <c r="G259" s="138"/>
      <c r="H259" s="138"/>
      <c r="I259" s="138"/>
      <c r="J259" s="138"/>
      <c r="K259" s="138"/>
      <c r="L259" s="138"/>
      <c r="M259" s="552"/>
      <c r="N259" s="138"/>
    </row>
    <row r="260">
      <c r="A260" s="452"/>
      <c r="B260" s="549"/>
      <c r="C260" s="551"/>
      <c r="D260" s="550"/>
      <c r="E260" s="551"/>
      <c r="F260" s="138"/>
      <c r="G260" s="138"/>
      <c r="H260" s="138"/>
      <c r="I260" s="138"/>
      <c r="J260" s="138"/>
      <c r="K260" s="138"/>
      <c r="L260" s="138"/>
      <c r="M260" s="552"/>
      <c r="N260" s="138"/>
    </row>
    <row r="261">
      <c r="A261" s="452"/>
      <c r="B261" s="549"/>
      <c r="C261" s="551"/>
      <c r="D261" s="550"/>
      <c r="E261" s="551"/>
      <c r="F261" s="138"/>
      <c r="G261" s="138"/>
      <c r="H261" s="138"/>
      <c r="I261" s="138"/>
      <c r="J261" s="138"/>
      <c r="K261" s="138"/>
      <c r="L261" s="138"/>
      <c r="M261" s="552"/>
      <c r="N261" s="138"/>
    </row>
    <row r="262">
      <c r="A262" s="452"/>
      <c r="B262" s="549"/>
      <c r="C262" s="551"/>
      <c r="D262" s="550"/>
      <c r="E262" s="551"/>
      <c r="F262" s="138"/>
      <c r="G262" s="138"/>
      <c r="H262" s="138"/>
      <c r="I262" s="138"/>
      <c r="J262" s="138"/>
      <c r="K262" s="138"/>
      <c r="L262" s="138"/>
      <c r="M262" s="552"/>
      <c r="N262" s="138"/>
    </row>
    <row r="263">
      <c r="A263" s="452"/>
      <c r="B263" s="549"/>
      <c r="C263" s="551"/>
      <c r="D263" s="550"/>
      <c r="E263" s="551"/>
      <c r="F263" s="138"/>
      <c r="G263" s="138"/>
      <c r="H263" s="138"/>
      <c r="I263" s="138"/>
      <c r="J263" s="138"/>
      <c r="K263" s="138"/>
      <c r="L263" s="138"/>
      <c r="M263" s="552"/>
      <c r="N263" s="138"/>
    </row>
    <row r="264">
      <c r="A264" s="452"/>
      <c r="B264" s="549"/>
      <c r="C264" s="551"/>
      <c r="D264" s="550"/>
      <c r="E264" s="551"/>
      <c r="F264" s="138"/>
      <c r="G264" s="138"/>
      <c r="H264" s="138"/>
      <c r="I264" s="138"/>
      <c r="J264" s="138"/>
      <c r="K264" s="138"/>
      <c r="L264" s="138"/>
      <c r="M264" s="552"/>
      <c r="N264" s="138"/>
    </row>
    <row r="265">
      <c r="A265" s="452"/>
      <c r="B265" s="549"/>
      <c r="C265" s="551"/>
      <c r="D265" s="550"/>
      <c r="E265" s="551"/>
      <c r="F265" s="138"/>
      <c r="G265" s="138"/>
      <c r="H265" s="138"/>
      <c r="I265" s="138"/>
      <c r="J265" s="138"/>
      <c r="K265" s="138"/>
      <c r="L265" s="138"/>
      <c r="M265" s="552"/>
      <c r="N265" s="138"/>
    </row>
    <row r="266">
      <c r="A266" s="452"/>
      <c r="B266" s="549"/>
      <c r="C266" s="551"/>
      <c r="D266" s="550"/>
      <c r="E266" s="551"/>
      <c r="F266" s="138"/>
      <c r="G266" s="138"/>
      <c r="H266" s="138"/>
      <c r="I266" s="138"/>
      <c r="J266" s="138"/>
      <c r="K266" s="138"/>
      <c r="L266" s="138"/>
      <c r="M266" s="552"/>
      <c r="N266" s="138"/>
    </row>
    <row r="267">
      <c r="A267" s="452"/>
      <c r="B267" s="549"/>
      <c r="C267" s="551"/>
      <c r="D267" s="550"/>
      <c r="E267" s="551"/>
      <c r="F267" s="138"/>
      <c r="G267" s="138"/>
      <c r="H267" s="138"/>
      <c r="I267" s="138"/>
      <c r="J267" s="138"/>
      <c r="K267" s="138"/>
      <c r="L267" s="138"/>
      <c r="M267" s="552"/>
      <c r="N267" s="138"/>
    </row>
    <row r="268">
      <c r="A268" s="452"/>
      <c r="B268" s="549"/>
      <c r="C268" s="551"/>
      <c r="D268" s="550"/>
      <c r="E268" s="551"/>
      <c r="F268" s="138"/>
      <c r="G268" s="138"/>
      <c r="H268" s="138"/>
      <c r="I268" s="138"/>
      <c r="J268" s="138"/>
      <c r="K268" s="138"/>
      <c r="L268" s="138"/>
      <c r="M268" s="552"/>
      <c r="N268" s="138"/>
    </row>
    <row r="269">
      <c r="A269" s="452"/>
      <c r="B269" s="549"/>
      <c r="C269" s="551"/>
      <c r="D269" s="550"/>
      <c r="E269" s="551"/>
      <c r="F269" s="138"/>
      <c r="G269" s="138"/>
      <c r="H269" s="138"/>
      <c r="I269" s="138"/>
      <c r="J269" s="138"/>
      <c r="K269" s="138"/>
      <c r="L269" s="138"/>
      <c r="M269" s="552"/>
      <c r="N269" s="138"/>
    </row>
    <row r="270">
      <c r="A270" s="452"/>
      <c r="B270" s="549"/>
      <c r="C270" s="551"/>
      <c r="D270" s="550"/>
      <c r="E270" s="551"/>
      <c r="F270" s="138"/>
      <c r="G270" s="138"/>
      <c r="H270" s="138"/>
      <c r="I270" s="138"/>
      <c r="J270" s="138"/>
      <c r="K270" s="138"/>
      <c r="L270" s="138"/>
      <c r="M270" s="552"/>
      <c r="N270" s="138"/>
    </row>
    <row r="271">
      <c r="A271" s="452"/>
      <c r="B271" s="549"/>
      <c r="C271" s="551"/>
      <c r="D271" s="550"/>
      <c r="E271" s="551"/>
      <c r="F271" s="138"/>
      <c r="G271" s="138"/>
      <c r="H271" s="138"/>
      <c r="I271" s="138"/>
      <c r="J271" s="138"/>
      <c r="K271" s="138"/>
      <c r="L271" s="138"/>
      <c r="M271" s="552"/>
      <c r="N271" s="138"/>
    </row>
    <row r="272">
      <c r="A272" s="452"/>
      <c r="B272" s="549"/>
      <c r="C272" s="551"/>
      <c r="D272" s="550"/>
      <c r="E272" s="551"/>
      <c r="F272" s="138"/>
      <c r="G272" s="138"/>
      <c r="H272" s="138"/>
      <c r="I272" s="138"/>
      <c r="J272" s="138"/>
      <c r="K272" s="138"/>
      <c r="L272" s="138"/>
      <c r="M272" s="552"/>
      <c r="N272" s="138"/>
    </row>
    <row r="273">
      <c r="A273" s="452"/>
      <c r="B273" s="549"/>
      <c r="C273" s="551"/>
      <c r="D273" s="550"/>
      <c r="E273" s="551"/>
      <c r="F273" s="138"/>
      <c r="G273" s="138"/>
      <c r="H273" s="138"/>
      <c r="I273" s="138"/>
      <c r="J273" s="138"/>
      <c r="K273" s="138"/>
      <c r="L273" s="138"/>
      <c r="M273" s="552"/>
      <c r="N273" s="138"/>
    </row>
    <row r="274">
      <c r="A274" s="452"/>
      <c r="B274" s="549"/>
      <c r="C274" s="551"/>
      <c r="D274" s="550"/>
      <c r="E274" s="551"/>
      <c r="F274" s="138"/>
      <c r="G274" s="138"/>
      <c r="H274" s="138"/>
      <c r="I274" s="138"/>
      <c r="J274" s="138"/>
      <c r="K274" s="138"/>
      <c r="L274" s="138"/>
      <c r="M274" s="552"/>
      <c r="N274" s="138"/>
    </row>
    <row r="275">
      <c r="A275" s="452"/>
      <c r="B275" s="549"/>
      <c r="C275" s="551"/>
      <c r="D275" s="550"/>
      <c r="E275" s="551"/>
      <c r="F275" s="138"/>
      <c r="G275" s="138"/>
      <c r="H275" s="138"/>
      <c r="I275" s="138"/>
      <c r="J275" s="138"/>
      <c r="K275" s="138"/>
      <c r="L275" s="138"/>
      <c r="M275" s="552"/>
      <c r="N275" s="138"/>
    </row>
    <row r="276">
      <c r="A276" s="452"/>
      <c r="B276" s="549"/>
      <c r="C276" s="551"/>
      <c r="D276" s="550"/>
      <c r="E276" s="551"/>
      <c r="F276" s="138"/>
      <c r="G276" s="138"/>
      <c r="H276" s="138"/>
      <c r="I276" s="138"/>
      <c r="J276" s="138"/>
      <c r="K276" s="138"/>
      <c r="L276" s="138"/>
      <c r="M276" s="552"/>
      <c r="N276" s="138"/>
    </row>
    <row r="277">
      <c r="A277" s="452"/>
      <c r="B277" s="549"/>
      <c r="C277" s="551"/>
      <c r="D277" s="550"/>
      <c r="E277" s="551"/>
      <c r="F277" s="138"/>
      <c r="G277" s="138"/>
      <c r="H277" s="138"/>
      <c r="I277" s="138"/>
      <c r="J277" s="138"/>
      <c r="K277" s="138"/>
      <c r="L277" s="138"/>
      <c r="M277" s="552"/>
      <c r="N277" s="138"/>
    </row>
    <row r="278">
      <c r="A278" s="452"/>
      <c r="B278" s="549"/>
      <c r="C278" s="551"/>
      <c r="D278" s="550"/>
      <c r="E278" s="551"/>
      <c r="F278" s="138"/>
      <c r="G278" s="138"/>
      <c r="H278" s="138"/>
      <c r="I278" s="138"/>
      <c r="J278" s="138"/>
      <c r="K278" s="138"/>
      <c r="L278" s="138"/>
      <c r="M278" s="552"/>
      <c r="N278" s="138"/>
    </row>
    <row r="279">
      <c r="A279" s="452"/>
      <c r="B279" s="549"/>
      <c r="C279" s="551"/>
      <c r="D279" s="550"/>
      <c r="E279" s="551"/>
      <c r="F279" s="138"/>
      <c r="G279" s="138"/>
      <c r="H279" s="138"/>
      <c r="I279" s="138"/>
      <c r="J279" s="138"/>
      <c r="K279" s="138"/>
      <c r="L279" s="138"/>
      <c r="M279" s="552"/>
      <c r="N279" s="138"/>
    </row>
    <row r="280">
      <c r="A280" s="452"/>
      <c r="B280" s="549"/>
      <c r="C280" s="551"/>
      <c r="D280" s="550"/>
      <c r="E280" s="551"/>
      <c r="F280" s="138"/>
      <c r="G280" s="138"/>
      <c r="H280" s="138"/>
      <c r="I280" s="138"/>
      <c r="J280" s="138"/>
      <c r="K280" s="138"/>
      <c r="L280" s="138"/>
      <c r="M280" s="552"/>
      <c r="N280" s="138"/>
    </row>
    <row r="281">
      <c r="A281" s="452"/>
      <c r="B281" s="549"/>
      <c r="C281" s="551"/>
      <c r="D281" s="550"/>
      <c r="E281" s="551"/>
      <c r="F281" s="138"/>
      <c r="G281" s="138"/>
      <c r="H281" s="138"/>
      <c r="I281" s="138"/>
      <c r="J281" s="138"/>
      <c r="K281" s="138"/>
      <c r="L281" s="138"/>
      <c r="M281" s="552"/>
      <c r="N281" s="138"/>
    </row>
    <row r="282">
      <c r="A282" s="452"/>
      <c r="B282" s="549"/>
      <c r="C282" s="551"/>
      <c r="D282" s="550"/>
      <c r="E282" s="551"/>
      <c r="F282" s="138"/>
      <c r="G282" s="138"/>
      <c r="H282" s="138"/>
      <c r="I282" s="138"/>
      <c r="J282" s="138"/>
      <c r="K282" s="138"/>
      <c r="L282" s="138"/>
      <c r="M282" s="552"/>
      <c r="N282" s="138"/>
    </row>
    <row r="283">
      <c r="A283" s="452"/>
      <c r="B283" s="549"/>
      <c r="C283" s="551"/>
      <c r="D283" s="550"/>
      <c r="E283" s="551"/>
      <c r="F283" s="138"/>
      <c r="G283" s="138"/>
      <c r="H283" s="138"/>
      <c r="I283" s="138"/>
      <c r="J283" s="138"/>
      <c r="K283" s="138"/>
      <c r="L283" s="138"/>
      <c r="M283" s="552"/>
      <c r="N283" s="138"/>
    </row>
    <row r="284">
      <c r="A284" s="452"/>
      <c r="B284" s="549"/>
      <c r="C284" s="551"/>
      <c r="D284" s="550"/>
      <c r="E284" s="551"/>
      <c r="F284" s="138"/>
      <c r="G284" s="138"/>
      <c r="H284" s="138"/>
      <c r="I284" s="138"/>
      <c r="J284" s="138"/>
      <c r="K284" s="138"/>
      <c r="L284" s="138"/>
      <c r="M284" s="552"/>
      <c r="N284" s="138"/>
    </row>
    <row r="285">
      <c r="A285" s="452"/>
      <c r="B285" s="549"/>
      <c r="C285" s="551"/>
      <c r="D285" s="550"/>
      <c r="E285" s="551"/>
      <c r="F285" s="138"/>
      <c r="G285" s="138"/>
      <c r="H285" s="138"/>
      <c r="I285" s="138"/>
      <c r="J285" s="138"/>
      <c r="K285" s="138"/>
      <c r="L285" s="138"/>
      <c r="M285" s="552"/>
      <c r="N285" s="138"/>
    </row>
    <row r="286">
      <c r="A286" s="452"/>
      <c r="B286" s="549"/>
      <c r="C286" s="551"/>
      <c r="D286" s="550"/>
      <c r="E286" s="551"/>
      <c r="F286" s="138"/>
      <c r="G286" s="138"/>
      <c r="H286" s="138"/>
      <c r="I286" s="138"/>
      <c r="J286" s="138"/>
      <c r="K286" s="138"/>
      <c r="L286" s="138"/>
      <c r="M286" s="552"/>
      <c r="N286" s="138"/>
    </row>
    <row r="287">
      <c r="A287" s="452"/>
      <c r="B287" s="549"/>
      <c r="C287" s="551"/>
      <c r="D287" s="550"/>
      <c r="E287" s="551"/>
      <c r="F287" s="138"/>
      <c r="G287" s="138"/>
      <c r="H287" s="138"/>
      <c r="I287" s="138"/>
      <c r="J287" s="138"/>
      <c r="K287" s="138"/>
      <c r="L287" s="138"/>
      <c r="M287" s="552"/>
      <c r="N287" s="138"/>
    </row>
    <row r="288">
      <c r="A288" s="452"/>
      <c r="B288" s="549"/>
      <c r="C288" s="551"/>
      <c r="D288" s="550"/>
      <c r="E288" s="551"/>
      <c r="F288" s="138"/>
      <c r="G288" s="138"/>
      <c r="H288" s="138"/>
      <c r="I288" s="138"/>
      <c r="J288" s="138"/>
      <c r="K288" s="138"/>
      <c r="L288" s="138"/>
      <c r="M288" s="552"/>
      <c r="N288" s="138"/>
    </row>
    <row r="289">
      <c r="A289" s="452"/>
      <c r="B289" s="549"/>
      <c r="C289" s="551"/>
      <c r="D289" s="550"/>
      <c r="E289" s="551"/>
      <c r="F289" s="138"/>
      <c r="G289" s="138"/>
      <c r="H289" s="138"/>
      <c r="I289" s="138"/>
      <c r="J289" s="138"/>
      <c r="K289" s="138"/>
      <c r="L289" s="138"/>
      <c r="M289" s="552"/>
      <c r="N289" s="138"/>
    </row>
    <row r="290">
      <c r="A290" s="452"/>
      <c r="B290" s="549"/>
      <c r="C290" s="551"/>
      <c r="D290" s="550"/>
      <c r="E290" s="551"/>
      <c r="F290" s="138"/>
      <c r="G290" s="138"/>
      <c r="H290" s="138"/>
      <c r="I290" s="138"/>
      <c r="J290" s="138"/>
      <c r="K290" s="138"/>
      <c r="L290" s="138"/>
      <c r="M290" s="552"/>
      <c r="N290" s="138"/>
    </row>
    <row r="291">
      <c r="A291" s="452"/>
      <c r="B291" s="549"/>
      <c r="C291" s="551"/>
      <c r="D291" s="550"/>
      <c r="E291" s="551"/>
      <c r="F291" s="138"/>
      <c r="G291" s="138"/>
      <c r="H291" s="138"/>
      <c r="I291" s="138"/>
      <c r="J291" s="138"/>
      <c r="K291" s="138"/>
      <c r="L291" s="138"/>
      <c r="M291" s="552"/>
      <c r="N291" s="138"/>
    </row>
    <row r="292">
      <c r="A292" s="452"/>
      <c r="B292" s="549"/>
      <c r="C292" s="551"/>
      <c r="D292" s="550"/>
      <c r="E292" s="551"/>
      <c r="F292" s="138"/>
      <c r="G292" s="138"/>
      <c r="H292" s="138"/>
      <c r="I292" s="138"/>
      <c r="J292" s="138"/>
      <c r="K292" s="138"/>
      <c r="L292" s="138"/>
      <c r="M292" s="552"/>
      <c r="N292" s="138"/>
    </row>
    <row r="293">
      <c r="A293" s="452"/>
      <c r="B293" s="549"/>
      <c r="C293" s="551"/>
      <c r="D293" s="550"/>
      <c r="E293" s="551"/>
      <c r="F293" s="138"/>
      <c r="G293" s="138"/>
      <c r="H293" s="138"/>
      <c r="I293" s="138"/>
      <c r="J293" s="138"/>
      <c r="K293" s="138"/>
      <c r="L293" s="138"/>
      <c r="M293" s="552"/>
      <c r="N293" s="138"/>
    </row>
    <row r="294">
      <c r="A294" s="452"/>
      <c r="B294" s="549"/>
      <c r="C294" s="551"/>
      <c r="D294" s="550"/>
      <c r="E294" s="551"/>
      <c r="F294" s="138"/>
      <c r="G294" s="138"/>
      <c r="H294" s="138"/>
      <c r="I294" s="138"/>
      <c r="J294" s="138"/>
      <c r="K294" s="138"/>
      <c r="L294" s="138"/>
      <c r="M294" s="552"/>
      <c r="N294" s="138"/>
    </row>
    <row r="295">
      <c r="A295" s="452"/>
      <c r="B295" s="549"/>
      <c r="C295" s="551"/>
      <c r="D295" s="550"/>
      <c r="E295" s="551"/>
      <c r="F295" s="138"/>
      <c r="G295" s="138"/>
      <c r="H295" s="138"/>
      <c r="I295" s="138"/>
      <c r="J295" s="138"/>
      <c r="K295" s="138"/>
      <c r="L295" s="138"/>
      <c r="M295" s="552"/>
      <c r="N295" s="138"/>
    </row>
    <row r="296">
      <c r="A296" s="452"/>
      <c r="B296" s="549"/>
      <c r="C296" s="551"/>
      <c r="D296" s="550"/>
      <c r="E296" s="551"/>
      <c r="F296" s="138"/>
      <c r="G296" s="138"/>
      <c r="H296" s="138"/>
      <c r="I296" s="138"/>
      <c r="J296" s="138"/>
      <c r="K296" s="138"/>
      <c r="L296" s="138"/>
      <c r="M296" s="552"/>
      <c r="N296" s="138"/>
    </row>
    <row r="297">
      <c r="A297" s="452"/>
      <c r="B297" s="549"/>
      <c r="C297" s="551"/>
      <c r="D297" s="550"/>
      <c r="E297" s="551"/>
      <c r="F297" s="138"/>
      <c r="G297" s="138"/>
      <c r="H297" s="138"/>
      <c r="I297" s="138"/>
      <c r="J297" s="138"/>
      <c r="K297" s="138"/>
      <c r="L297" s="138"/>
      <c r="M297" s="552"/>
      <c r="N297" s="138"/>
    </row>
    <row r="298">
      <c r="A298" s="452"/>
      <c r="B298" s="549"/>
      <c r="C298" s="551"/>
      <c r="D298" s="550"/>
      <c r="E298" s="551"/>
      <c r="F298" s="138"/>
      <c r="G298" s="138"/>
      <c r="H298" s="138"/>
      <c r="I298" s="138"/>
      <c r="J298" s="138"/>
      <c r="K298" s="138"/>
      <c r="L298" s="138"/>
      <c r="M298" s="552"/>
      <c r="N298" s="138"/>
    </row>
    <row r="299">
      <c r="A299" s="452"/>
      <c r="B299" s="549"/>
      <c r="C299" s="551"/>
      <c r="D299" s="550"/>
      <c r="E299" s="551"/>
      <c r="F299" s="138"/>
      <c r="G299" s="138"/>
      <c r="H299" s="138"/>
      <c r="I299" s="138"/>
      <c r="J299" s="138"/>
      <c r="K299" s="138"/>
      <c r="L299" s="138"/>
      <c r="M299" s="552"/>
      <c r="N299" s="138"/>
    </row>
    <row r="300">
      <c r="A300" s="452"/>
      <c r="B300" s="549"/>
      <c r="C300" s="551"/>
      <c r="D300" s="550"/>
      <c r="E300" s="551"/>
      <c r="F300" s="138"/>
      <c r="G300" s="138"/>
      <c r="H300" s="138"/>
      <c r="I300" s="138"/>
      <c r="J300" s="138"/>
      <c r="K300" s="138"/>
      <c r="L300" s="138"/>
      <c r="M300" s="552"/>
      <c r="N300" s="138"/>
    </row>
    <row r="301">
      <c r="A301" s="452"/>
      <c r="B301" s="549"/>
      <c r="C301" s="551"/>
      <c r="D301" s="550"/>
      <c r="E301" s="551"/>
      <c r="F301" s="138"/>
      <c r="G301" s="138"/>
      <c r="H301" s="138"/>
      <c r="I301" s="138"/>
      <c r="J301" s="138"/>
      <c r="K301" s="138"/>
      <c r="L301" s="138"/>
      <c r="M301" s="552"/>
      <c r="N301" s="138"/>
    </row>
    <row r="302">
      <c r="A302" s="452"/>
      <c r="B302" s="549"/>
      <c r="C302" s="551"/>
      <c r="D302" s="550"/>
      <c r="E302" s="551"/>
      <c r="F302" s="138"/>
      <c r="G302" s="138"/>
      <c r="H302" s="138"/>
      <c r="I302" s="138"/>
      <c r="J302" s="138"/>
      <c r="K302" s="138"/>
      <c r="L302" s="138"/>
      <c r="M302" s="552"/>
      <c r="N302" s="138"/>
    </row>
    <row r="303">
      <c r="A303" s="452"/>
      <c r="B303" s="549"/>
      <c r="C303" s="551"/>
      <c r="D303" s="550"/>
      <c r="E303" s="551"/>
      <c r="F303" s="138"/>
      <c r="G303" s="138"/>
      <c r="H303" s="138"/>
      <c r="I303" s="138"/>
      <c r="J303" s="138"/>
      <c r="K303" s="138"/>
      <c r="L303" s="138"/>
      <c r="M303" s="552"/>
      <c r="N303" s="138"/>
    </row>
    <row r="304">
      <c r="A304" s="452"/>
      <c r="B304" s="549"/>
      <c r="C304" s="551"/>
      <c r="D304" s="550"/>
      <c r="E304" s="551"/>
      <c r="F304" s="138"/>
      <c r="G304" s="138"/>
      <c r="H304" s="138"/>
      <c r="I304" s="138"/>
      <c r="J304" s="138"/>
      <c r="K304" s="138"/>
      <c r="L304" s="138"/>
      <c r="M304" s="552"/>
      <c r="N304" s="138"/>
    </row>
    <row r="305">
      <c r="A305" s="452"/>
      <c r="B305" s="549"/>
      <c r="C305" s="551"/>
      <c r="D305" s="550"/>
      <c r="E305" s="551"/>
      <c r="F305" s="138"/>
      <c r="G305" s="138"/>
      <c r="H305" s="138"/>
      <c r="I305" s="138"/>
      <c r="J305" s="138"/>
      <c r="K305" s="138"/>
      <c r="L305" s="138"/>
      <c r="M305" s="552"/>
      <c r="N305" s="138"/>
    </row>
    <row r="306">
      <c r="A306" s="452"/>
      <c r="B306" s="549"/>
      <c r="C306" s="551"/>
      <c r="D306" s="550"/>
      <c r="E306" s="551"/>
      <c r="F306" s="138"/>
      <c r="G306" s="138"/>
      <c r="H306" s="138"/>
      <c r="I306" s="138"/>
      <c r="J306" s="138"/>
      <c r="K306" s="138"/>
      <c r="L306" s="138"/>
      <c r="M306" s="552"/>
      <c r="N306" s="138"/>
    </row>
    <row r="307">
      <c r="A307" s="452"/>
      <c r="B307" s="549"/>
      <c r="C307" s="551"/>
      <c r="D307" s="550"/>
      <c r="E307" s="551"/>
      <c r="F307" s="138"/>
      <c r="G307" s="138"/>
      <c r="H307" s="138"/>
      <c r="I307" s="138"/>
      <c r="J307" s="138"/>
      <c r="K307" s="138"/>
      <c r="L307" s="138"/>
      <c r="M307" s="552"/>
      <c r="N307" s="138"/>
    </row>
    <row r="308">
      <c r="A308" s="452"/>
      <c r="B308" s="549"/>
      <c r="C308" s="551"/>
      <c r="D308" s="550"/>
      <c r="E308" s="551"/>
      <c r="F308" s="138"/>
      <c r="G308" s="138"/>
      <c r="H308" s="138"/>
      <c r="I308" s="138"/>
      <c r="J308" s="138"/>
      <c r="K308" s="138"/>
      <c r="L308" s="138"/>
      <c r="M308" s="552"/>
      <c r="N308" s="138"/>
    </row>
    <row r="309">
      <c r="A309" s="452"/>
      <c r="B309" s="549"/>
      <c r="C309" s="551"/>
      <c r="D309" s="550"/>
      <c r="E309" s="551"/>
      <c r="F309" s="138"/>
      <c r="G309" s="138"/>
      <c r="H309" s="138"/>
      <c r="I309" s="138"/>
      <c r="J309" s="138"/>
      <c r="K309" s="138"/>
      <c r="L309" s="138"/>
      <c r="M309" s="552"/>
      <c r="N309" s="138"/>
    </row>
    <row r="310">
      <c r="A310" s="452"/>
      <c r="B310" s="549"/>
      <c r="C310" s="551"/>
      <c r="D310" s="550"/>
      <c r="E310" s="551"/>
      <c r="F310" s="138"/>
      <c r="G310" s="138"/>
      <c r="H310" s="138"/>
      <c r="I310" s="138"/>
      <c r="J310" s="138"/>
      <c r="K310" s="138"/>
      <c r="L310" s="138"/>
      <c r="M310" s="552"/>
      <c r="N310" s="138"/>
    </row>
    <row r="311">
      <c r="A311" s="452"/>
      <c r="B311" s="549"/>
      <c r="C311" s="551"/>
      <c r="D311" s="550"/>
      <c r="E311" s="551"/>
      <c r="F311" s="138"/>
      <c r="G311" s="138"/>
      <c r="H311" s="138"/>
      <c r="I311" s="138"/>
      <c r="J311" s="138"/>
      <c r="K311" s="138"/>
      <c r="L311" s="138"/>
      <c r="M311" s="552"/>
      <c r="N311" s="138"/>
    </row>
    <row r="312">
      <c r="A312" s="452"/>
      <c r="B312" s="549"/>
      <c r="C312" s="551"/>
      <c r="D312" s="550"/>
      <c r="E312" s="551"/>
      <c r="F312" s="138"/>
      <c r="G312" s="138"/>
      <c r="H312" s="138"/>
      <c r="I312" s="138"/>
      <c r="J312" s="138"/>
      <c r="K312" s="138"/>
      <c r="L312" s="138"/>
      <c r="M312" s="552"/>
      <c r="N312" s="138"/>
    </row>
    <row r="313">
      <c r="A313" s="452"/>
      <c r="B313" s="549"/>
      <c r="C313" s="551"/>
      <c r="D313" s="550"/>
      <c r="E313" s="551"/>
      <c r="F313" s="138"/>
      <c r="G313" s="138"/>
      <c r="H313" s="138"/>
      <c r="I313" s="138"/>
      <c r="J313" s="138"/>
      <c r="K313" s="138"/>
      <c r="L313" s="138"/>
      <c r="M313" s="552"/>
      <c r="N313" s="138"/>
    </row>
    <row r="314">
      <c r="A314" s="452"/>
      <c r="B314" s="549"/>
      <c r="C314" s="551"/>
      <c r="D314" s="550"/>
      <c r="E314" s="551"/>
      <c r="F314" s="138"/>
      <c r="G314" s="138"/>
      <c r="H314" s="138"/>
      <c r="I314" s="138"/>
      <c r="J314" s="138"/>
      <c r="K314" s="138"/>
      <c r="L314" s="138"/>
      <c r="M314" s="552"/>
      <c r="N314" s="138"/>
    </row>
    <row r="315">
      <c r="A315" s="452"/>
      <c r="B315" s="549"/>
      <c r="C315" s="551"/>
      <c r="D315" s="550"/>
      <c r="E315" s="551"/>
      <c r="F315" s="138"/>
      <c r="G315" s="138"/>
      <c r="H315" s="138"/>
      <c r="I315" s="138"/>
      <c r="J315" s="138"/>
      <c r="K315" s="138"/>
      <c r="L315" s="138"/>
      <c r="M315" s="552"/>
      <c r="N315" s="138"/>
    </row>
    <row r="316">
      <c r="A316" s="452"/>
      <c r="B316" s="549"/>
      <c r="C316" s="551"/>
      <c r="D316" s="550"/>
      <c r="E316" s="551"/>
      <c r="F316" s="138"/>
      <c r="G316" s="138"/>
      <c r="H316" s="138"/>
      <c r="I316" s="138"/>
      <c r="J316" s="138"/>
      <c r="K316" s="138"/>
      <c r="L316" s="138"/>
      <c r="M316" s="552"/>
      <c r="N316" s="138"/>
    </row>
    <row r="317">
      <c r="A317" s="452"/>
      <c r="B317" s="549"/>
      <c r="C317" s="551"/>
      <c r="D317" s="550"/>
      <c r="E317" s="551"/>
      <c r="F317" s="138"/>
      <c r="G317" s="138"/>
      <c r="H317" s="138"/>
      <c r="I317" s="138"/>
      <c r="J317" s="138"/>
      <c r="K317" s="138"/>
      <c r="L317" s="138"/>
      <c r="M317" s="552"/>
      <c r="N317" s="138"/>
    </row>
    <row r="318">
      <c r="A318" s="452"/>
      <c r="B318" s="549"/>
      <c r="C318" s="551"/>
      <c r="D318" s="550"/>
      <c r="E318" s="551"/>
      <c r="F318" s="138"/>
      <c r="G318" s="138"/>
      <c r="H318" s="138"/>
      <c r="I318" s="138"/>
      <c r="J318" s="138"/>
      <c r="K318" s="138"/>
      <c r="L318" s="138"/>
      <c r="M318" s="552"/>
      <c r="N318" s="138"/>
    </row>
    <row r="319">
      <c r="A319" s="452"/>
      <c r="B319" s="549"/>
      <c r="C319" s="551"/>
      <c r="D319" s="550"/>
      <c r="E319" s="551"/>
      <c r="F319" s="138"/>
      <c r="G319" s="138"/>
      <c r="H319" s="138"/>
      <c r="I319" s="138"/>
      <c r="J319" s="138"/>
      <c r="K319" s="138"/>
      <c r="L319" s="138"/>
      <c r="M319" s="552"/>
      <c r="N319" s="138"/>
    </row>
    <row r="320">
      <c r="A320" s="452"/>
      <c r="B320" s="549"/>
      <c r="C320" s="551"/>
      <c r="D320" s="550"/>
      <c r="E320" s="551"/>
      <c r="F320" s="138"/>
      <c r="G320" s="138"/>
      <c r="H320" s="138"/>
      <c r="I320" s="138"/>
      <c r="J320" s="138"/>
      <c r="K320" s="138"/>
      <c r="L320" s="138"/>
      <c r="M320" s="552"/>
      <c r="N320" s="138"/>
    </row>
    <row r="321">
      <c r="A321" s="452"/>
      <c r="B321" s="549"/>
      <c r="C321" s="551"/>
      <c r="D321" s="550"/>
      <c r="E321" s="551"/>
      <c r="F321" s="138"/>
      <c r="G321" s="138"/>
      <c r="H321" s="138"/>
      <c r="I321" s="138"/>
      <c r="J321" s="138"/>
      <c r="K321" s="138"/>
      <c r="L321" s="138"/>
      <c r="M321" s="552"/>
      <c r="N321" s="138"/>
    </row>
    <row r="322">
      <c r="A322" s="452"/>
      <c r="B322" s="549"/>
      <c r="C322" s="551"/>
      <c r="D322" s="550"/>
      <c r="E322" s="551"/>
      <c r="F322" s="138"/>
      <c r="G322" s="138"/>
      <c r="H322" s="138"/>
      <c r="I322" s="138"/>
      <c r="J322" s="138"/>
      <c r="K322" s="138"/>
      <c r="L322" s="138"/>
      <c r="M322" s="552"/>
      <c r="N322" s="138"/>
    </row>
    <row r="323">
      <c r="A323" s="452"/>
      <c r="B323" s="549"/>
      <c r="C323" s="551"/>
      <c r="D323" s="550"/>
      <c r="E323" s="551"/>
      <c r="F323" s="138"/>
      <c r="G323" s="138"/>
      <c r="H323" s="138"/>
      <c r="I323" s="138"/>
      <c r="J323" s="138"/>
      <c r="K323" s="138"/>
      <c r="L323" s="138"/>
      <c r="M323" s="552"/>
      <c r="N323" s="138"/>
    </row>
    <row r="324">
      <c r="A324" s="452"/>
      <c r="B324" s="549"/>
      <c r="C324" s="551"/>
      <c r="D324" s="550"/>
      <c r="E324" s="551"/>
      <c r="F324" s="138"/>
      <c r="G324" s="138"/>
      <c r="H324" s="138"/>
      <c r="I324" s="138"/>
      <c r="J324" s="138"/>
      <c r="K324" s="138"/>
      <c r="L324" s="138"/>
      <c r="M324" s="552"/>
      <c r="N324" s="138"/>
    </row>
    <row r="325">
      <c r="A325" s="452"/>
      <c r="B325" s="549"/>
      <c r="C325" s="551"/>
      <c r="D325" s="550"/>
      <c r="E325" s="551"/>
      <c r="F325" s="138"/>
      <c r="G325" s="138"/>
      <c r="H325" s="138"/>
      <c r="I325" s="138"/>
      <c r="J325" s="138"/>
      <c r="K325" s="138"/>
      <c r="L325" s="138"/>
      <c r="M325" s="552"/>
      <c r="N325" s="138"/>
    </row>
    <row r="326">
      <c r="A326" s="452"/>
      <c r="B326" s="549"/>
      <c r="C326" s="551"/>
      <c r="D326" s="550"/>
      <c r="E326" s="551"/>
      <c r="F326" s="138"/>
      <c r="G326" s="138"/>
      <c r="H326" s="138"/>
      <c r="I326" s="138"/>
      <c r="J326" s="138"/>
      <c r="K326" s="138"/>
      <c r="L326" s="138"/>
      <c r="M326" s="552"/>
      <c r="N326" s="138"/>
    </row>
    <row r="327">
      <c r="A327" s="452"/>
      <c r="B327" s="549"/>
      <c r="C327" s="551"/>
      <c r="D327" s="550"/>
      <c r="E327" s="551"/>
      <c r="F327" s="138"/>
      <c r="G327" s="138"/>
      <c r="H327" s="138"/>
      <c r="I327" s="138"/>
      <c r="J327" s="138"/>
      <c r="K327" s="138"/>
      <c r="L327" s="138"/>
      <c r="M327" s="552"/>
      <c r="N327" s="138"/>
    </row>
    <row r="328">
      <c r="A328" s="452"/>
      <c r="B328" s="549"/>
      <c r="C328" s="551"/>
      <c r="D328" s="550"/>
      <c r="E328" s="551"/>
      <c r="F328" s="138"/>
      <c r="G328" s="138"/>
      <c r="H328" s="138"/>
      <c r="I328" s="138"/>
      <c r="J328" s="138"/>
      <c r="K328" s="138"/>
      <c r="L328" s="138"/>
      <c r="M328" s="552"/>
      <c r="N328" s="138"/>
    </row>
    <row r="329">
      <c r="A329" s="452"/>
      <c r="B329" s="549"/>
      <c r="C329" s="551"/>
      <c r="D329" s="550"/>
      <c r="E329" s="551"/>
      <c r="F329" s="138"/>
      <c r="G329" s="138"/>
      <c r="H329" s="138"/>
      <c r="I329" s="138"/>
      <c r="J329" s="138"/>
      <c r="K329" s="138"/>
      <c r="L329" s="138"/>
      <c r="M329" s="552"/>
      <c r="N329" s="138"/>
    </row>
    <row r="330">
      <c r="A330" s="452"/>
      <c r="B330" s="549"/>
      <c r="C330" s="551"/>
      <c r="D330" s="550"/>
      <c r="E330" s="551"/>
      <c r="F330" s="138"/>
      <c r="G330" s="138"/>
      <c r="H330" s="138"/>
      <c r="I330" s="138"/>
      <c r="J330" s="138"/>
      <c r="K330" s="138"/>
      <c r="L330" s="138"/>
      <c r="M330" s="552"/>
      <c r="N330" s="138"/>
    </row>
    <row r="331">
      <c r="A331" s="452"/>
      <c r="B331" s="549"/>
      <c r="C331" s="551"/>
      <c r="D331" s="550"/>
      <c r="E331" s="551"/>
      <c r="F331" s="138"/>
      <c r="G331" s="138"/>
      <c r="H331" s="138"/>
      <c r="I331" s="138"/>
      <c r="J331" s="138"/>
      <c r="K331" s="138"/>
      <c r="L331" s="138"/>
      <c r="M331" s="552"/>
      <c r="N331" s="138"/>
    </row>
    <row r="332">
      <c r="A332" s="452"/>
      <c r="B332" s="549"/>
      <c r="C332" s="551"/>
      <c r="D332" s="550"/>
      <c r="E332" s="551"/>
      <c r="F332" s="138"/>
      <c r="G332" s="138"/>
      <c r="H332" s="138"/>
      <c r="I332" s="138"/>
      <c r="J332" s="138"/>
      <c r="K332" s="138"/>
      <c r="L332" s="138"/>
      <c r="M332" s="552"/>
      <c r="N332" s="138"/>
    </row>
    <row r="333">
      <c r="A333" s="452"/>
      <c r="B333" s="549"/>
      <c r="C333" s="551"/>
      <c r="D333" s="550"/>
      <c r="E333" s="551"/>
      <c r="F333" s="138"/>
      <c r="G333" s="138"/>
      <c r="H333" s="138"/>
      <c r="I333" s="138"/>
      <c r="J333" s="138"/>
      <c r="K333" s="138"/>
      <c r="L333" s="138"/>
      <c r="M333" s="552"/>
      <c r="N333" s="138"/>
    </row>
    <row r="334">
      <c r="A334" s="452"/>
      <c r="B334" s="549"/>
      <c r="C334" s="551"/>
      <c r="D334" s="550"/>
      <c r="E334" s="551"/>
      <c r="F334" s="138"/>
      <c r="G334" s="138"/>
      <c r="H334" s="138"/>
      <c r="I334" s="138"/>
      <c r="J334" s="138"/>
      <c r="K334" s="138"/>
      <c r="L334" s="138"/>
      <c r="M334" s="552"/>
      <c r="N334" s="138"/>
    </row>
    <row r="335">
      <c r="A335" s="452"/>
      <c r="B335" s="549"/>
      <c r="C335" s="551"/>
      <c r="D335" s="550"/>
      <c r="E335" s="551"/>
      <c r="F335" s="138"/>
      <c r="G335" s="138"/>
      <c r="H335" s="138"/>
      <c r="I335" s="138"/>
      <c r="J335" s="138"/>
      <c r="K335" s="138"/>
      <c r="L335" s="138"/>
      <c r="M335" s="552"/>
      <c r="N335" s="138"/>
    </row>
    <row r="336">
      <c r="A336" s="452"/>
      <c r="B336" s="549"/>
      <c r="C336" s="551"/>
      <c r="D336" s="550"/>
      <c r="E336" s="551"/>
      <c r="F336" s="138"/>
      <c r="G336" s="138"/>
      <c r="H336" s="138"/>
      <c r="I336" s="138"/>
      <c r="J336" s="138"/>
      <c r="K336" s="138"/>
      <c r="L336" s="138"/>
      <c r="M336" s="552"/>
      <c r="N336" s="138"/>
    </row>
    <row r="337">
      <c r="A337" s="452"/>
      <c r="B337" s="549"/>
      <c r="C337" s="551"/>
      <c r="D337" s="550"/>
      <c r="E337" s="551"/>
      <c r="F337" s="138"/>
      <c r="G337" s="138"/>
      <c r="H337" s="138"/>
      <c r="I337" s="138"/>
      <c r="J337" s="138"/>
      <c r="K337" s="138"/>
      <c r="L337" s="138"/>
      <c r="M337" s="552"/>
      <c r="N337" s="138"/>
    </row>
    <row r="338">
      <c r="A338" s="452"/>
      <c r="B338" s="549"/>
      <c r="C338" s="551"/>
      <c r="D338" s="550"/>
      <c r="E338" s="551"/>
      <c r="F338" s="138"/>
      <c r="G338" s="138"/>
      <c r="H338" s="138"/>
      <c r="I338" s="138"/>
      <c r="J338" s="138"/>
      <c r="K338" s="138"/>
      <c r="L338" s="138"/>
      <c r="M338" s="552"/>
      <c r="N338" s="138"/>
    </row>
    <row r="339">
      <c r="A339" s="452"/>
      <c r="B339" s="549"/>
      <c r="C339" s="551"/>
      <c r="D339" s="550"/>
      <c r="E339" s="551"/>
      <c r="F339" s="138"/>
      <c r="G339" s="138"/>
      <c r="H339" s="138"/>
      <c r="I339" s="138"/>
      <c r="J339" s="138"/>
      <c r="K339" s="138"/>
      <c r="L339" s="138"/>
      <c r="M339" s="552"/>
      <c r="N339" s="138"/>
    </row>
    <row r="340">
      <c r="A340" s="452"/>
      <c r="B340" s="549"/>
      <c r="C340" s="551"/>
      <c r="D340" s="550"/>
      <c r="E340" s="551"/>
      <c r="F340" s="138"/>
      <c r="G340" s="138"/>
      <c r="H340" s="138"/>
      <c r="I340" s="138"/>
      <c r="J340" s="138"/>
      <c r="K340" s="138"/>
      <c r="L340" s="138"/>
      <c r="M340" s="552"/>
      <c r="N340" s="138"/>
    </row>
    <row r="341">
      <c r="A341" s="452"/>
      <c r="B341" s="549"/>
      <c r="C341" s="551"/>
      <c r="D341" s="550"/>
      <c r="E341" s="551"/>
      <c r="F341" s="138"/>
      <c r="G341" s="138"/>
      <c r="H341" s="138"/>
      <c r="I341" s="138"/>
      <c r="J341" s="138"/>
      <c r="K341" s="138"/>
      <c r="L341" s="138"/>
      <c r="M341" s="552"/>
      <c r="N341" s="138"/>
    </row>
    <row r="342">
      <c r="A342" s="452"/>
      <c r="B342" s="549"/>
      <c r="C342" s="551"/>
      <c r="D342" s="550"/>
      <c r="E342" s="551"/>
      <c r="F342" s="138"/>
      <c r="G342" s="138"/>
      <c r="H342" s="138"/>
      <c r="I342" s="138"/>
      <c r="J342" s="138"/>
      <c r="K342" s="138"/>
      <c r="L342" s="138"/>
      <c r="M342" s="552"/>
      <c r="N342" s="138"/>
    </row>
    <row r="343">
      <c r="A343" s="452"/>
      <c r="B343" s="549"/>
      <c r="C343" s="551"/>
      <c r="D343" s="550"/>
      <c r="E343" s="551"/>
      <c r="F343" s="138"/>
      <c r="G343" s="138"/>
      <c r="H343" s="138"/>
      <c r="I343" s="138"/>
      <c r="J343" s="138"/>
      <c r="K343" s="138"/>
      <c r="L343" s="138"/>
      <c r="M343" s="552"/>
      <c r="N343" s="138"/>
    </row>
    <row r="344">
      <c r="A344" s="452"/>
      <c r="B344" s="549"/>
      <c r="C344" s="551"/>
      <c r="D344" s="550"/>
      <c r="E344" s="551"/>
      <c r="F344" s="138"/>
      <c r="G344" s="138"/>
      <c r="H344" s="138"/>
      <c r="I344" s="138"/>
      <c r="J344" s="138"/>
      <c r="K344" s="138"/>
      <c r="L344" s="138"/>
      <c r="M344" s="552"/>
      <c r="N344" s="138"/>
    </row>
    <row r="345">
      <c r="A345" s="452"/>
      <c r="B345" s="549"/>
      <c r="C345" s="551"/>
      <c r="D345" s="550"/>
      <c r="E345" s="551"/>
      <c r="F345" s="138"/>
      <c r="G345" s="138"/>
      <c r="H345" s="138"/>
      <c r="I345" s="138"/>
      <c r="J345" s="138"/>
      <c r="K345" s="138"/>
      <c r="L345" s="138"/>
      <c r="M345" s="552"/>
      <c r="N345" s="138"/>
    </row>
    <row r="346">
      <c r="A346" s="452"/>
      <c r="B346" s="549"/>
      <c r="C346" s="551"/>
      <c r="D346" s="550"/>
      <c r="E346" s="551"/>
      <c r="F346" s="138"/>
      <c r="G346" s="138"/>
      <c r="H346" s="138"/>
      <c r="I346" s="138"/>
      <c r="J346" s="138"/>
      <c r="K346" s="138"/>
      <c r="L346" s="138"/>
      <c r="M346" s="552"/>
      <c r="N346" s="138"/>
    </row>
    <row r="347">
      <c r="A347" s="452"/>
      <c r="B347" s="549"/>
      <c r="C347" s="551"/>
      <c r="D347" s="550"/>
      <c r="E347" s="551"/>
      <c r="F347" s="138"/>
      <c r="G347" s="138"/>
      <c r="H347" s="138"/>
      <c r="I347" s="138"/>
      <c r="J347" s="138"/>
      <c r="K347" s="138"/>
      <c r="L347" s="138"/>
      <c r="M347" s="552"/>
      <c r="N347" s="138"/>
    </row>
    <row r="348">
      <c r="A348" s="452"/>
      <c r="B348" s="549"/>
      <c r="C348" s="551"/>
      <c r="D348" s="550"/>
      <c r="E348" s="551"/>
      <c r="F348" s="138"/>
      <c r="G348" s="138"/>
      <c r="H348" s="138"/>
      <c r="I348" s="138"/>
      <c r="J348" s="138"/>
      <c r="K348" s="138"/>
      <c r="L348" s="138"/>
      <c r="M348" s="552"/>
      <c r="N348" s="138"/>
    </row>
    <row r="349">
      <c r="A349" s="452"/>
      <c r="B349" s="549"/>
      <c r="C349" s="551"/>
      <c r="D349" s="550"/>
      <c r="E349" s="551"/>
      <c r="F349" s="138"/>
      <c r="G349" s="138"/>
      <c r="H349" s="138"/>
      <c r="I349" s="138"/>
      <c r="J349" s="138"/>
      <c r="K349" s="138"/>
      <c r="L349" s="138"/>
      <c r="M349" s="552"/>
      <c r="N349" s="138"/>
    </row>
    <row r="350">
      <c r="A350" s="452"/>
      <c r="B350" s="549"/>
      <c r="C350" s="551"/>
      <c r="D350" s="550"/>
      <c r="E350" s="551"/>
      <c r="F350" s="138"/>
      <c r="G350" s="138"/>
      <c r="H350" s="138"/>
      <c r="I350" s="138"/>
      <c r="J350" s="138"/>
      <c r="K350" s="138"/>
      <c r="L350" s="138"/>
      <c r="M350" s="552"/>
      <c r="N350" s="138"/>
    </row>
    <row r="351">
      <c r="A351" s="452"/>
      <c r="B351" s="549"/>
      <c r="C351" s="551"/>
      <c r="D351" s="550"/>
      <c r="E351" s="551"/>
      <c r="F351" s="138"/>
      <c r="G351" s="138"/>
      <c r="H351" s="138"/>
      <c r="I351" s="138"/>
      <c r="J351" s="138"/>
      <c r="K351" s="138"/>
      <c r="L351" s="138"/>
      <c r="M351" s="552"/>
      <c r="N351" s="138"/>
    </row>
    <row r="352">
      <c r="A352" s="452"/>
      <c r="B352" s="549"/>
      <c r="C352" s="551"/>
      <c r="D352" s="550"/>
      <c r="E352" s="551"/>
      <c r="F352" s="138"/>
      <c r="G352" s="138"/>
      <c r="H352" s="138"/>
      <c r="I352" s="138"/>
      <c r="J352" s="138"/>
      <c r="K352" s="138"/>
      <c r="L352" s="138"/>
      <c r="M352" s="552"/>
      <c r="N352" s="138"/>
    </row>
    <row r="353">
      <c r="A353" s="452"/>
      <c r="B353" s="549"/>
      <c r="C353" s="551"/>
      <c r="D353" s="550"/>
      <c r="E353" s="551"/>
      <c r="F353" s="138"/>
      <c r="G353" s="138"/>
      <c r="H353" s="138"/>
      <c r="I353" s="138"/>
      <c r="J353" s="138"/>
      <c r="K353" s="138"/>
      <c r="L353" s="138"/>
      <c r="M353" s="552"/>
      <c r="N353" s="138"/>
    </row>
    <row r="354">
      <c r="A354" s="452"/>
      <c r="B354" s="549"/>
      <c r="C354" s="551"/>
      <c r="D354" s="550"/>
      <c r="E354" s="551"/>
      <c r="F354" s="138"/>
      <c r="G354" s="138"/>
      <c r="H354" s="138"/>
      <c r="I354" s="138"/>
      <c r="J354" s="138"/>
      <c r="K354" s="138"/>
      <c r="L354" s="138"/>
      <c r="M354" s="552"/>
      <c r="N354" s="138"/>
    </row>
    <row r="355">
      <c r="A355" s="452"/>
      <c r="B355" s="549"/>
      <c r="C355" s="551"/>
      <c r="D355" s="550"/>
      <c r="E355" s="551"/>
      <c r="F355" s="138"/>
      <c r="G355" s="138"/>
      <c r="H355" s="138"/>
      <c r="I355" s="138"/>
      <c r="J355" s="138"/>
      <c r="K355" s="138"/>
      <c r="L355" s="138"/>
      <c r="M355" s="552"/>
      <c r="N355" s="138"/>
    </row>
    <row r="356">
      <c r="A356" s="452"/>
      <c r="B356" s="549"/>
      <c r="C356" s="551"/>
      <c r="D356" s="550"/>
      <c r="E356" s="551"/>
      <c r="F356" s="138"/>
      <c r="G356" s="138"/>
      <c r="H356" s="138"/>
      <c r="I356" s="138"/>
      <c r="J356" s="138"/>
      <c r="K356" s="138"/>
      <c r="L356" s="138"/>
      <c r="M356" s="552"/>
      <c r="N356" s="138"/>
    </row>
    <row r="357">
      <c r="A357" s="452"/>
      <c r="B357" s="549"/>
      <c r="C357" s="551"/>
      <c r="D357" s="550"/>
      <c r="E357" s="551"/>
      <c r="F357" s="138"/>
      <c r="G357" s="138"/>
      <c r="H357" s="138"/>
      <c r="I357" s="138"/>
      <c r="J357" s="138"/>
      <c r="K357" s="138"/>
      <c r="L357" s="138"/>
      <c r="M357" s="552"/>
      <c r="N357" s="138"/>
    </row>
    <row r="358">
      <c r="A358" s="452"/>
      <c r="B358" s="549"/>
      <c r="C358" s="551"/>
      <c r="D358" s="550"/>
      <c r="E358" s="551"/>
      <c r="F358" s="138"/>
      <c r="G358" s="138"/>
      <c r="H358" s="138"/>
      <c r="I358" s="138"/>
      <c r="J358" s="138"/>
      <c r="K358" s="138"/>
      <c r="L358" s="138"/>
      <c r="M358" s="552"/>
      <c r="N358" s="138"/>
    </row>
    <row r="359">
      <c r="A359" s="452"/>
      <c r="B359" s="549"/>
      <c r="C359" s="551"/>
      <c r="D359" s="550"/>
      <c r="E359" s="551"/>
      <c r="F359" s="138"/>
      <c r="G359" s="138"/>
      <c r="H359" s="138"/>
      <c r="I359" s="138"/>
      <c r="J359" s="138"/>
      <c r="K359" s="138"/>
      <c r="L359" s="138"/>
      <c r="M359" s="552"/>
      <c r="N359" s="138"/>
    </row>
    <row r="360">
      <c r="A360" s="452"/>
      <c r="B360" s="549"/>
      <c r="C360" s="551"/>
      <c r="D360" s="550"/>
      <c r="E360" s="551"/>
      <c r="F360" s="138"/>
      <c r="G360" s="138"/>
      <c r="H360" s="138"/>
      <c r="I360" s="138"/>
      <c r="J360" s="138"/>
      <c r="K360" s="138"/>
      <c r="L360" s="138"/>
      <c r="M360" s="552"/>
      <c r="N360" s="138"/>
    </row>
    <row r="361">
      <c r="A361" s="452"/>
      <c r="B361" s="549"/>
      <c r="C361" s="551"/>
      <c r="D361" s="550"/>
      <c r="E361" s="551"/>
      <c r="F361" s="138"/>
      <c r="G361" s="138"/>
      <c r="H361" s="138"/>
      <c r="I361" s="138"/>
      <c r="J361" s="138"/>
      <c r="K361" s="138"/>
      <c r="L361" s="138"/>
      <c r="M361" s="552"/>
      <c r="N361" s="138"/>
    </row>
    <row r="362">
      <c r="A362" s="452"/>
      <c r="B362" s="549"/>
      <c r="C362" s="551"/>
      <c r="D362" s="550"/>
      <c r="E362" s="551"/>
      <c r="F362" s="138"/>
      <c r="G362" s="138"/>
      <c r="H362" s="138"/>
      <c r="I362" s="138"/>
      <c r="J362" s="138"/>
      <c r="K362" s="138"/>
      <c r="L362" s="138"/>
      <c r="M362" s="552"/>
      <c r="N362" s="138"/>
    </row>
    <row r="363">
      <c r="A363" s="452"/>
      <c r="B363" s="549"/>
      <c r="C363" s="551"/>
      <c r="D363" s="550"/>
      <c r="E363" s="551"/>
      <c r="F363" s="138"/>
      <c r="G363" s="138"/>
      <c r="H363" s="138"/>
      <c r="I363" s="138"/>
      <c r="J363" s="138"/>
      <c r="K363" s="138"/>
      <c r="L363" s="138"/>
      <c r="M363" s="552"/>
      <c r="N363" s="138"/>
    </row>
    <row r="364">
      <c r="A364" s="452"/>
      <c r="B364" s="549"/>
      <c r="C364" s="551"/>
      <c r="D364" s="550"/>
      <c r="E364" s="551"/>
      <c r="F364" s="138"/>
      <c r="G364" s="138"/>
      <c r="H364" s="138"/>
      <c r="I364" s="138"/>
      <c r="J364" s="138"/>
      <c r="K364" s="138"/>
      <c r="L364" s="138"/>
      <c r="M364" s="552"/>
      <c r="N364" s="138"/>
    </row>
    <row r="365">
      <c r="A365" s="452"/>
      <c r="B365" s="549"/>
      <c r="C365" s="551"/>
      <c r="D365" s="550"/>
      <c r="E365" s="551"/>
      <c r="F365" s="138"/>
      <c r="G365" s="138"/>
      <c r="H365" s="138"/>
      <c r="I365" s="138"/>
      <c r="J365" s="138"/>
      <c r="K365" s="138"/>
      <c r="L365" s="138"/>
      <c r="M365" s="552"/>
      <c r="N365" s="138"/>
    </row>
    <row r="366">
      <c r="A366" s="452"/>
      <c r="B366" s="549"/>
      <c r="C366" s="551"/>
      <c r="D366" s="550"/>
      <c r="E366" s="551"/>
      <c r="F366" s="138"/>
      <c r="G366" s="138"/>
      <c r="H366" s="138"/>
      <c r="I366" s="138"/>
      <c r="J366" s="138"/>
      <c r="K366" s="138"/>
      <c r="L366" s="138"/>
      <c r="M366" s="552"/>
      <c r="N366" s="138"/>
    </row>
    <row r="367">
      <c r="A367" s="452"/>
      <c r="B367" s="549"/>
      <c r="C367" s="551"/>
      <c r="D367" s="550"/>
      <c r="E367" s="551"/>
      <c r="F367" s="138"/>
      <c r="G367" s="138"/>
      <c r="H367" s="138"/>
      <c r="I367" s="138"/>
      <c r="J367" s="138"/>
      <c r="K367" s="138"/>
      <c r="L367" s="138"/>
      <c r="M367" s="552"/>
      <c r="N367" s="138"/>
    </row>
    <row r="368">
      <c r="A368" s="452"/>
      <c r="B368" s="549"/>
      <c r="C368" s="551"/>
      <c r="D368" s="550"/>
      <c r="E368" s="551"/>
      <c r="F368" s="138"/>
      <c r="G368" s="138"/>
      <c r="H368" s="138"/>
      <c r="I368" s="138"/>
      <c r="J368" s="138"/>
      <c r="K368" s="138"/>
      <c r="L368" s="138"/>
      <c r="M368" s="552"/>
      <c r="N368" s="138"/>
    </row>
    <row r="369">
      <c r="A369" s="452"/>
      <c r="B369" s="549"/>
      <c r="C369" s="551"/>
      <c r="D369" s="550"/>
      <c r="E369" s="551"/>
      <c r="F369" s="138"/>
      <c r="G369" s="138"/>
      <c r="H369" s="138"/>
      <c r="I369" s="138"/>
      <c r="J369" s="138"/>
      <c r="K369" s="138"/>
      <c r="L369" s="138"/>
      <c r="M369" s="552"/>
      <c r="N369" s="138"/>
    </row>
    <row r="370">
      <c r="A370" s="452"/>
      <c r="B370" s="549"/>
      <c r="C370" s="551"/>
      <c r="D370" s="550"/>
      <c r="E370" s="551"/>
      <c r="F370" s="138"/>
      <c r="G370" s="138"/>
      <c r="H370" s="138"/>
      <c r="I370" s="138"/>
      <c r="J370" s="138"/>
      <c r="K370" s="138"/>
      <c r="L370" s="138"/>
      <c r="M370" s="552"/>
      <c r="N370" s="138"/>
    </row>
    <row r="371">
      <c r="A371" s="452"/>
      <c r="B371" s="549"/>
      <c r="C371" s="551"/>
      <c r="D371" s="550"/>
      <c r="E371" s="551"/>
      <c r="F371" s="138"/>
      <c r="G371" s="138"/>
      <c r="H371" s="138"/>
      <c r="I371" s="138"/>
      <c r="J371" s="138"/>
      <c r="K371" s="138"/>
      <c r="L371" s="138"/>
      <c r="M371" s="552"/>
      <c r="N371" s="138"/>
    </row>
    <row r="372">
      <c r="A372" s="452"/>
      <c r="B372" s="549"/>
      <c r="C372" s="551"/>
      <c r="D372" s="550"/>
      <c r="E372" s="551"/>
      <c r="F372" s="138"/>
      <c r="G372" s="138"/>
      <c r="H372" s="138"/>
      <c r="I372" s="138"/>
      <c r="J372" s="138"/>
      <c r="K372" s="138"/>
      <c r="L372" s="138"/>
      <c r="M372" s="552"/>
      <c r="N372" s="138"/>
    </row>
    <row r="373">
      <c r="A373" s="452"/>
      <c r="B373" s="549"/>
      <c r="C373" s="551"/>
      <c r="D373" s="550"/>
      <c r="E373" s="551"/>
      <c r="F373" s="138"/>
      <c r="G373" s="138"/>
      <c r="H373" s="138"/>
      <c r="I373" s="138"/>
      <c r="J373" s="138"/>
      <c r="K373" s="138"/>
      <c r="L373" s="138"/>
      <c r="M373" s="552"/>
      <c r="N373" s="138"/>
    </row>
    <row r="374">
      <c r="A374" s="452"/>
      <c r="B374" s="549"/>
      <c r="C374" s="551"/>
      <c r="D374" s="550"/>
      <c r="E374" s="551"/>
      <c r="F374" s="138"/>
      <c r="G374" s="138"/>
      <c r="H374" s="138"/>
      <c r="I374" s="138"/>
      <c r="J374" s="138"/>
      <c r="K374" s="138"/>
      <c r="L374" s="138"/>
      <c r="M374" s="552"/>
      <c r="N374" s="138"/>
    </row>
    <row r="375">
      <c r="A375" s="452"/>
      <c r="B375" s="549"/>
      <c r="C375" s="551"/>
      <c r="D375" s="550"/>
      <c r="E375" s="551"/>
      <c r="F375" s="138"/>
      <c r="G375" s="138"/>
      <c r="H375" s="138"/>
      <c r="I375" s="138"/>
      <c r="J375" s="138"/>
      <c r="K375" s="138"/>
      <c r="L375" s="138"/>
      <c r="M375" s="552"/>
      <c r="N375" s="138"/>
    </row>
    <row r="376">
      <c r="A376" s="452"/>
      <c r="B376" s="549"/>
      <c r="C376" s="551"/>
      <c r="D376" s="550"/>
      <c r="E376" s="551"/>
      <c r="F376" s="138"/>
      <c r="G376" s="138"/>
      <c r="H376" s="138"/>
      <c r="I376" s="138"/>
      <c r="J376" s="138"/>
      <c r="K376" s="138"/>
      <c r="L376" s="138"/>
      <c r="M376" s="552"/>
      <c r="N376" s="138"/>
    </row>
    <row r="377">
      <c r="A377" s="452"/>
      <c r="B377" s="549"/>
      <c r="C377" s="551"/>
      <c r="D377" s="550"/>
      <c r="E377" s="551"/>
      <c r="F377" s="138"/>
      <c r="G377" s="138"/>
      <c r="H377" s="138"/>
      <c r="I377" s="138"/>
      <c r="J377" s="138"/>
      <c r="K377" s="138"/>
      <c r="L377" s="138"/>
      <c r="M377" s="552"/>
      <c r="N377" s="138"/>
    </row>
    <row r="378">
      <c r="A378" s="452"/>
      <c r="B378" s="549"/>
      <c r="C378" s="551"/>
      <c r="D378" s="550"/>
      <c r="E378" s="551"/>
      <c r="F378" s="138"/>
      <c r="G378" s="138"/>
      <c r="H378" s="138"/>
      <c r="I378" s="138"/>
      <c r="J378" s="138"/>
      <c r="K378" s="138"/>
      <c r="L378" s="138"/>
      <c r="M378" s="552"/>
      <c r="N378" s="138"/>
    </row>
    <row r="379">
      <c r="A379" s="452"/>
      <c r="B379" s="549"/>
      <c r="C379" s="551"/>
      <c r="D379" s="550"/>
      <c r="E379" s="551"/>
      <c r="F379" s="138"/>
      <c r="G379" s="138"/>
      <c r="H379" s="138"/>
      <c r="I379" s="138"/>
      <c r="J379" s="138"/>
      <c r="K379" s="138"/>
      <c r="L379" s="138"/>
      <c r="M379" s="552"/>
      <c r="N379" s="138"/>
    </row>
    <row r="380">
      <c r="A380" s="452"/>
      <c r="B380" s="549"/>
      <c r="C380" s="551"/>
      <c r="D380" s="550"/>
      <c r="E380" s="551"/>
      <c r="F380" s="138"/>
      <c r="G380" s="138"/>
      <c r="H380" s="138"/>
      <c r="I380" s="138"/>
      <c r="J380" s="138"/>
      <c r="K380" s="138"/>
      <c r="L380" s="138"/>
      <c r="M380" s="552"/>
      <c r="N380" s="138"/>
    </row>
    <row r="381">
      <c r="A381" s="452"/>
      <c r="B381" s="549"/>
      <c r="C381" s="551"/>
      <c r="D381" s="550"/>
      <c r="E381" s="551"/>
      <c r="F381" s="138"/>
      <c r="G381" s="138"/>
      <c r="H381" s="138"/>
      <c r="I381" s="138"/>
      <c r="J381" s="138"/>
      <c r="K381" s="138"/>
      <c r="L381" s="138"/>
      <c r="M381" s="552"/>
      <c r="N381" s="138"/>
    </row>
    <row r="382">
      <c r="A382" s="452"/>
      <c r="B382" s="549"/>
      <c r="C382" s="551"/>
      <c r="D382" s="550"/>
      <c r="E382" s="551"/>
      <c r="F382" s="138"/>
      <c r="G382" s="138"/>
      <c r="H382" s="138"/>
      <c r="I382" s="138"/>
      <c r="J382" s="138"/>
      <c r="K382" s="138"/>
      <c r="L382" s="138"/>
      <c r="M382" s="552"/>
      <c r="N382" s="138"/>
    </row>
    <row r="383">
      <c r="A383" s="452"/>
      <c r="B383" s="549"/>
      <c r="C383" s="551"/>
      <c r="D383" s="550"/>
      <c r="E383" s="551"/>
      <c r="F383" s="138"/>
      <c r="G383" s="138"/>
      <c r="H383" s="138"/>
      <c r="I383" s="138"/>
      <c r="J383" s="138"/>
      <c r="K383" s="138"/>
      <c r="L383" s="138"/>
      <c r="M383" s="552"/>
      <c r="N383" s="138"/>
    </row>
    <row r="384">
      <c r="A384" s="452"/>
      <c r="B384" s="549"/>
      <c r="C384" s="551"/>
      <c r="D384" s="550"/>
      <c r="E384" s="551"/>
      <c r="F384" s="138"/>
      <c r="G384" s="138"/>
      <c r="H384" s="138"/>
      <c r="I384" s="138"/>
      <c r="J384" s="138"/>
      <c r="K384" s="138"/>
      <c r="L384" s="138"/>
      <c r="M384" s="552"/>
      <c r="N384" s="138"/>
    </row>
    <row r="385">
      <c r="A385" s="452"/>
      <c r="B385" s="549"/>
      <c r="C385" s="551"/>
      <c r="D385" s="550"/>
      <c r="E385" s="551"/>
      <c r="F385" s="138"/>
      <c r="G385" s="138"/>
      <c r="H385" s="138"/>
      <c r="I385" s="138"/>
      <c r="J385" s="138"/>
      <c r="K385" s="138"/>
      <c r="L385" s="138"/>
      <c r="M385" s="552"/>
      <c r="N385" s="138"/>
    </row>
    <row r="386">
      <c r="A386" s="452"/>
      <c r="B386" s="549"/>
      <c r="C386" s="551"/>
      <c r="D386" s="550"/>
      <c r="E386" s="551"/>
      <c r="F386" s="138"/>
      <c r="G386" s="138"/>
      <c r="H386" s="138"/>
      <c r="I386" s="138"/>
      <c r="J386" s="138"/>
      <c r="K386" s="138"/>
      <c r="L386" s="138"/>
      <c r="M386" s="552"/>
      <c r="N386" s="138"/>
    </row>
    <row r="387">
      <c r="A387" s="452"/>
      <c r="B387" s="549"/>
      <c r="C387" s="551"/>
      <c r="D387" s="550"/>
      <c r="E387" s="551"/>
      <c r="F387" s="138"/>
      <c r="G387" s="138"/>
      <c r="H387" s="138"/>
      <c r="I387" s="138"/>
      <c r="J387" s="138"/>
      <c r="K387" s="138"/>
      <c r="L387" s="138"/>
      <c r="M387" s="552"/>
      <c r="N387" s="138"/>
    </row>
    <row r="388">
      <c r="A388" s="452"/>
      <c r="B388" s="549"/>
      <c r="C388" s="551"/>
      <c r="D388" s="550"/>
      <c r="E388" s="551"/>
      <c r="F388" s="138"/>
      <c r="G388" s="138"/>
      <c r="H388" s="138"/>
      <c r="I388" s="138"/>
      <c r="J388" s="138"/>
      <c r="K388" s="138"/>
      <c r="L388" s="138"/>
      <c r="M388" s="552"/>
      <c r="N388" s="138"/>
    </row>
    <row r="389">
      <c r="A389" s="452"/>
      <c r="B389" s="549"/>
      <c r="C389" s="551"/>
      <c r="D389" s="550"/>
      <c r="E389" s="551"/>
      <c r="F389" s="138"/>
      <c r="G389" s="138"/>
      <c r="H389" s="138"/>
      <c r="I389" s="138"/>
      <c r="J389" s="138"/>
      <c r="K389" s="138"/>
      <c r="L389" s="138"/>
      <c r="M389" s="552"/>
      <c r="N389" s="138"/>
    </row>
    <row r="390">
      <c r="A390" s="452"/>
      <c r="B390" s="549"/>
      <c r="C390" s="551"/>
      <c r="D390" s="550"/>
      <c r="E390" s="551"/>
      <c r="F390" s="138"/>
      <c r="G390" s="138"/>
      <c r="H390" s="138"/>
      <c r="I390" s="138"/>
      <c r="J390" s="138"/>
      <c r="K390" s="138"/>
      <c r="L390" s="138"/>
      <c r="M390" s="552"/>
      <c r="N390" s="138"/>
    </row>
    <row r="391">
      <c r="A391" s="452"/>
      <c r="B391" s="549"/>
      <c r="C391" s="551"/>
      <c r="D391" s="550"/>
      <c r="E391" s="551"/>
      <c r="F391" s="138"/>
      <c r="G391" s="138"/>
      <c r="H391" s="138"/>
      <c r="I391" s="138"/>
      <c r="J391" s="138"/>
      <c r="K391" s="138"/>
      <c r="L391" s="138"/>
      <c r="M391" s="552"/>
      <c r="N391" s="138"/>
    </row>
    <row r="392">
      <c r="A392" s="452"/>
      <c r="B392" s="549"/>
      <c r="C392" s="551"/>
      <c r="D392" s="550"/>
      <c r="E392" s="551"/>
      <c r="F392" s="138"/>
      <c r="G392" s="138"/>
      <c r="H392" s="138"/>
      <c r="I392" s="138"/>
      <c r="J392" s="138"/>
      <c r="K392" s="138"/>
      <c r="L392" s="138"/>
      <c r="M392" s="552"/>
      <c r="N392" s="138"/>
    </row>
    <row r="393">
      <c r="A393" s="452"/>
      <c r="B393" s="549"/>
      <c r="C393" s="551"/>
      <c r="D393" s="550"/>
      <c r="E393" s="551"/>
      <c r="F393" s="138"/>
      <c r="G393" s="138"/>
      <c r="H393" s="138"/>
      <c r="I393" s="138"/>
      <c r="J393" s="138"/>
      <c r="K393" s="138"/>
      <c r="L393" s="138"/>
      <c r="M393" s="552"/>
      <c r="N393" s="138"/>
    </row>
    <row r="394">
      <c r="A394" s="452"/>
      <c r="B394" s="549"/>
      <c r="C394" s="551"/>
      <c r="D394" s="550"/>
      <c r="E394" s="551"/>
      <c r="F394" s="138"/>
      <c r="G394" s="138"/>
      <c r="H394" s="138"/>
      <c r="I394" s="138"/>
      <c r="J394" s="138"/>
      <c r="K394" s="138"/>
      <c r="L394" s="138"/>
      <c r="M394" s="552"/>
      <c r="N394" s="138"/>
    </row>
    <row r="395">
      <c r="A395" s="452"/>
      <c r="B395" s="549"/>
      <c r="C395" s="551"/>
      <c r="D395" s="550"/>
      <c r="E395" s="551"/>
      <c r="F395" s="138"/>
      <c r="G395" s="138"/>
      <c r="H395" s="138"/>
      <c r="I395" s="138"/>
      <c r="J395" s="138"/>
      <c r="K395" s="138"/>
      <c r="L395" s="138"/>
      <c r="M395" s="552"/>
      <c r="N395" s="138"/>
    </row>
    <row r="396">
      <c r="A396" s="452"/>
      <c r="B396" s="549"/>
      <c r="C396" s="551"/>
      <c r="D396" s="550"/>
      <c r="E396" s="551"/>
      <c r="F396" s="138"/>
      <c r="G396" s="138"/>
      <c r="H396" s="138"/>
      <c r="I396" s="138"/>
      <c r="J396" s="138"/>
      <c r="K396" s="138"/>
      <c r="L396" s="138"/>
      <c r="M396" s="552"/>
      <c r="N396" s="138"/>
    </row>
    <row r="397">
      <c r="A397" s="452"/>
      <c r="B397" s="549"/>
      <c r="C397" s="551"/>
      <c r="D397" s="550"/>
      <c r="E397" s="551"/>
      <c r="F397" s="138"/>
      <c r="G397" s="138"/>
      <c r="H397" s="138"/>
      <c r="I397" s="138"/>
      <c r="J397" s="138"/>
      <c r="K397" s="138"/>
      <c r="L397" s="138"/>
      <c r="M397" s="552"/>
      <c r="N397" s="138"/>
    </row>
    <row r="398">
      <c r="A398" s="452"/>
      <c r="B398" s="549"/>
      <c r="C398" s="551"/>
      <c r="D398" s="550"/>
      <c r="E398" s="551"/>
      <c r="F398" s="138"/>
      <c r="G398" s="138"/>
      <c r="H398" s="138"/>
      <c r="I398" s="138"/>
      <c r="J398" s="138"/>
      <c r="K398" s="138"/>
      <c r="L398" s="138"/>
      <c r="M398" s="552"/>
      <c r="N398" s="138"/>
    </row>
    <row r="399">
      <c r="A399" s="452"/>
      <c r="B399" s="549"/>
      <c r="C399" s="551"/>
      <c r="D399" s="550"/>
      <c r="E399" s="551"/>
      <c r="F399" s="138"/>
      <c r="G399" s="138"/>
      <c r="H399" s="138"/>
      <c r="I399" s="138"/>
      <c r="J399" s="138"/>
      <c r="K399" s="138"/>
      <c r="L399" s="138"/>
      <c r="M399" s="552"/>
      <c r="N399" s="138"/>
    </row>
    <row r="400">
      <c r="A400" s="452"/>
      <c r="B400" s="549"/>
      <c r="C400" s="551"/>
      <c r="D400" s="550"/>
      <c r="E400" s="551"/>
      <c r="F400" s="138"/>
      <c r="G400" s="138"/>
      <c r="H400" s="138"/>
      <c r="I400" s="138"/>
      <c r="J400" s="138"/>
      <c r="K400" s="138"/>
      <c r="L400" s="138"/>
      <c r="M400" s="552"/>
      <c r="N400" s="138"/>
    </row>
    <row r="401">
      <c r="A401" s="452"/>
      <c r="B401" s="549"/>
      <c r="C401" s="551"/>
      <c r="D401" s="550"/>
      <c r="E401" s="551"/>
      <c r="F401" s="138"/>
      <c r="G401" s="138"/>
      <c r="H401" s="138"/>
      <c r="I401" s="138"/>
      <c r="J401" s="138"/>
      <c r="K401" s="138"/>
      <c r="L401" s="138"/>
      <c r="M401" s="552"/>
      <c r="N401" s="138"/>
    </row>
    <row r="402">
      <c r="A402" s="452"/>
      <c r="B402" s="549"/>
      <c r="C402" s="551"/>
      <c r="D402" s="550"/>
      <c r="E402" s="551"/>
      <c r="F402" s="138"/>
      <c r="G402" s="138"/>
      <c r="H402" s="138"/>
      <c r="I402" s="138"/>
      <c r="J402" s="138"/>
      <c r="K402" s="138"/>
      <c r="L402" s="138"/>
      <c r="M402" s="552"/>
      <c r="N402" s="138"/>
    </row>
    <row r="403">
      <c r="A403" s="452"/>
      <c r="B403" s="549"/>
      <c r="C403" s="551"/>
      <c r="D403" s="550"/>
      <c r="E403" s="551"/>
      <c r="F403" s="138"/>
      <c r="G403" s="138"/>
      <c r="H403" s="138"/>
      <c r="I403" s="138"/>
      <c r="J403" s="138"/>
      <c r="K403" s="138"/>
      <c r="L403" s="138"/>
      <c r="M403" s="552"/>
      <c r="N403" s="138"/>
    </row>
    <row r="404">
      <c r="A404" s="452"/>
      <c r="B404" s="549"/>
      <c r="C404" s="551"/>
      <c r="D404" s="550"/>
      <c r="E404" s="551"/>
      <c r="F404" s="138"/>
      <c r="G404" s="138"/>
      <c r="H404" s="138"/>
      <c r="I404" s="138"/>
      <c r="J404" s="138"/>
      <c r="K404" s="138"/>
      <c r="L404" s="138"/>
      <c r="M404" s="552"/>
      <c r="N404" s="138"/>
    </row>
    <row r="405">
      <c r="A405" s="452"/>
      <c r="B405" s="549"/>
      <c r="C405" s="551"/>
      <c r="D405" s="550"/>
      <c r="E405" s="551"/>
      <c r="F405" s="138"/>
      <c r="G405" s="138"/>
      <c r="H405" s="138"/>
      <c r="I405" s="138"/>
      <c r="J405" s="138"/>
      <c r="K405" s="138"/>
      <c r="L405" s="138"/>
      <c r="M405" s="552"/>
      <c r="N405" s="138"/>
    </row>
    <row r="406">
      <c r="A406" s="452"/>
      <c r="B406" s="549"/>
      <c r="C406" s="551"/>
      <c r="D406" s="550"/>
      <c r="E406" s="551"/>
      <c r="F406" s="138"/>
      <c r="G406" s="138"/>
      <c r="H406" s="138"/>
      <c r="I406" s="138"/>
      <c r="J406" s="138"/>
      <c r="K406" s="138"/>
      <c r="L406" s="138"/>
      <c r="M406" s="552"/>
      <c r="N406" s="138"/>
    </row>
    <row r="407">
      <c r="A407" s="452"/>
      <c r="B407" s="549"/>
      <c r="C407" s="551"/>
      <c r="D407" s="550"/>
      <c r="E407" s="551"/>
      <c r="F407" s="138"/>
      <c r="G407" s="138"/>
      <c r="H407" s="138"/>
      <c r="I407" s="138"/>
      <c r="J407" s="138"/>
      <c r="K407" s="138"/>
      <c r="L407" s="138"/>
      <c r="M407" s="552"/>
      <c r="N407" s="138"/>
    </row>
    <row r="408">
      <c r="A408" s="452"/>
      <c r="B408" s="549"/>
      <c r="C408" s="551"/>
      <c r="D408" s="550"/>
      <c r="E408" s="551"/>
      <c r="F408" s="138"/>
      <c r="G408" s="138"/>
      <c r="H408" s="138"/>
      <c r="I408" s="138"/>
      <c r="J408" s="138"/>
      <c r="K408" s="138"/>
      <c r="L408" s="138"/>
      <c r="M408" s="552"/>
      <c r="N408" s="138"/>
    </row>
    <row r="409">
      <c r="A409" s="452"/>
      <c r="B409" s="549"/>
      <c r="C409" s="551"/>
      <c r="D409" s="550"/>
      <c r="E409" s="551"/>
      <c r="F409" s="138"/>
      <c r="G409" s="138"/>
      <c r="H409" s="138"/>
      <c r="I409" s="138"/>
      <c r="J409" s="138"/>
      <c r="K409" s="138"/>
      <c r="L409" s="138"/>
      <c r="M409" s="552"/>
      <c r="N409" s="138"/>
    </row>
    <row r="410">
      <c r="A410" s="452"/>
      <c r="B410" s="549"/>
      <c r="C410" s="551"/>
      <c r="D410" s="550"/>
      <c r="E410" s="551"/>
      <c r="F410" s="138"/>
      <c r="G410" s="138"/>
      <c r="H410" s="138"/>
      <c r="I410" s="138"/>
      <c r="J410" s="138"/>
      <c r="K410" s="138"/>
      <c r="L410" s="138"/>
      <c r="M410" s="552"/>
      <c r="N410" s="138"/>
    </row>
    <row r="411">
      <c r="A411" s="452"/>
      <c r="B411" s="549"/>
      <c r="C411" s="551"/>
      <c r="D411" s="550"/>
      <c r="E411" s="551"/>
      <c r="F411" s="138"/>
      <c r="G411" s="138"/>
      <c r="H411" s="138"/>
      <c r="I411" s="138"/>
      <c r="J411" s="138"/>
      <c r="K411" s="138"/>
      <c r="L411" s="138"/>
      <c r="M411" s="552"/>
      <c r="N411" s="138"/>
    </row>
    <row r="412">
      <c r="A412" s="452"/>
      <c r="B412" s="549"/>
      <c r="C412" s="551"/>
      <c r="D412" s="550"/>
      <c r="E412" s="551"/>
      <c r="F412" s="138"/>
      <c r="G412" s="138"/>
      <c r="H412" s="138"/>
      <c r="I412" s="138"/>
      <c r="J412" s="138"/>
      <c r="K412" s="138"/>
      <c r="L412" s="138"/>
      <c r="M412" s="552"/>
      <c r="N412" s="138"/>
    </row>
    <row r="413">
      <c r="A413" s="452"/>
      <c r="B413" s="549"/>
      <c r="C413" s="551"/>
      <c r="D413" s="550"/>
      <c r="E413" s="551"/>
      <c r="F413" s="138"/>
      <c r="G413" s="138"/>
      <c r="H413" s="138"/>
      <c r="I413" s="138"/>
      <c r="J413" s="138"/>
      <c r="K413" s="138"/>
      <c r="L413" s="138"/>
      <c r="M413" s="552"/>
      <c r="N413" s="138"/>
    </row>
    <row r="414">
      <c r="A414" s="452"/>
      <c r="B414" s="549"/>
      <c r="C414" s="551"/>
      <c r="D414" s="550"/>
      <c r="E414" s="551"/>
      <c r="F414" s="138"/>
      <c r="G414" s="138"/>
      <c r="H414" s="138"/>
      <c r="I414" s="138"/>
      <c r="J414" s="138"/>
      <c r="K414" s="138"/>
      <c r="L414" s="138"/>
      <c r="M414" s="552"/>
      <c r="N414" s="138"/>
    </row>
    <row r="415">
      <c r="A415" s="452"/>
      <c r="B415" s="549"/>
      <c r="C415" s="551"/>
      <c r="D415" s="550"/>
      <c r="E415" s="551"/>
      <c r="F415" s="138"/>
      <c r="G415" s="138"/>
      <c r="H415" s="138"/>
      <c r="I415" s="138"/>
      <c r="J415" s="138"/>
      <c r="K415" s="138"/>
      <c r="L415" s="138"/>
      <c r="M415" s="552"/>
      <c r="N415" s="138"/>
    </row>
    <row r="416">
      <c r="A416" s="452"/>
      <c r="B416" s="549"/>
      <c r="C416" s="551"/>
      <c r="D416" s="550"/>
      <c r="E416" s="551"/>
      <c r="F416" s="138"/>
      <c r="G416" s="138"/>
      <c r="H416" s="138"/>
      <c r="I416" s="138"/>
      <c r="J416" s="138"/>
      <c r="K416" s="138"/>
      <c r="L416" s="138"/>
      <c r="M416" s="552"/>
      <c r="N416" s="138"/>
    </row>
    <row r="417">
      <c r="A417" s="452"/>
      <c r="B417" s="549"/>
      <c r="C417" s="551"/>
      <c r="D417" s="550"/>
      <c r="E417" s="551"/>
      <c r="F417" s="138"/>
      <c r="G417" s="138"/>
      <c r="H417" s="138"/>
      <c r="I417" s="138"/>
      <c r="J417" s="138"/>
      <c r="K417" s="138"/>
      <c r="L417" s="138"/>
      <c r="M417" s="552"/>
      <c r="N417" s="138"/>
    </row>
    <row r="418">
      <c r="A418" s="452"/>
      <c r="B418" s="549"/>
      <c r="C418" s="551"/>
      <c r="D418" s="550"/>
      <c r="E418" s="551"/>
      <c r="F418" s="138"/>
      <c r="G418" s="138"/>
      <c r="H418" s="138"/>
      <c r="I418" s="138"/>
      <c r="J418" s="138"/>
      <c r="K418" s="138"/>
      <c r="L418" s="138"/>
      <c r="M418" s="552"/>
      <c r="N418" s="138"/>
    </row>
    <row r="419">
      <c r="A419" s="452"/>
      <c r="B419" s="549"/>
      <c r="C419" s="551"/>
      <c r="D419" s="550"/>
      <c r="E419" s="551"/>
      <c r="F419" s="138"/>
      <c r="G419" s="138"/>
      <c r="H419" s="138"/>
      <c r="I419" s="138"/>
      <c r="J419" s="138"/>
      <c r="K419" s="138"/>
      <c r="L419" s="138"/>
      <c r="M419" s="552"/>
      <c r="N419" s="138"/>
    </row>
    <row r="420">
      <c r="A420" s="452"/>
      <c r="B420" s="549"/>
      <c r="C420" s="551"/>
      <c r="D420" s="550"/>
      <c r="E420" s="551"/>
      <c r="F420" s="138"/>
      <c r="G420" s="138"/>
      <c r="H420" s="138"/>
      <c r="I420" s="138"/>
      <c r="J420" s="138"/>
      <c r="K420" s="138"/>
      <c r="L420" s="138"/>
      <c r="M420" s="552"/>
      <c r="N420" s="138"/>
    </row>
    <row r="421">
      <c r="A421" s="452"/>
      <c r="B421" s="549"/>
      <c r="C421" s="551"/>
      <c r="D421" s="550"/>
      <c r="E421" s="551"/>
      <c r="F421" s="138"/>
      <c r="G421" s="138"/>
      <c r="H421" s="138"/>
      <c r="I421" s="138"/>
      <c r="J421" s="138"/>
      <c r="K421" s="138"/>
      <c r="L421" s="138"/>
      <c r="M421" s="552"/>
      <c r="N421" s="138"/>
    </row>
    <row r="422">
      <c r="A422" s="452"/>
      <c r="B422" s="549"/>
      <c r="C422" s="551"/>
      <c r="D422" s="550"/>
      <c r="E422" s="551"/>
      <c r="F422" s="138"/>
      <c r="G422" s="138"/>
      <c r="H422" s="138"/>
      <c r="I422" s="138"/>
      <c r="J422" s="138"/>
      <c r="K422" s="138"/>
      <c r="L422" s="138"/>
      <c r="M422" s="552"/>
      <c r="N422" s="138"/>
    </row>
    <row r="423">
      <c r="A423" s="452"/>
      <c r="B423" s="549"/>
      <c r="C423" s="551"/>
      <c r="D423" s="550"/>
      <c r="E423" s="551"/>
      <c r="F423" s="138"/>
      <c r="G423" s="138"/>
      <c r="H423" s="138"/>
      <c r="I423" s="138"/>
      <c r="J423" s="138"/>
      <c r="K423" s="138"/>
      <c r="L423" s="138"/>
      <c r="M423" s="552"/>
      <c r="N423" s="138"/>
    </row>
    <row r="424">
      <c r="A424" s="452"/>
      <c r="B424" s="549"/>
      <c r="C424" s="551"/>
      <c r="D424" s="550"/>
      <c r="E424" s="551"/>
      <c r="F424" s="138"/>
      <c r="G424" s="138"/>
      <c r="H424" s="138"/>
      <c r="I424" s="138"/>
      <c r="J424" s="138"/>
      <c r="K424" s="138"/>
      <c r="L424" s="138"/>
      <c r="M424" s="552"/>
      <c r="N424" s="138"/>
    </row>
    <row r="425">
      <c r="A425" s="452"/>
      <c r="B425" s="549"/>
      <c r="C425" s="551"/>
      <c r="D425" s="550"/>
      <c r="E425" s="551"/>
      <c r="F425" s="138"/>
      <c r="G425" s="138"/>
      <c r="H425" s="138"/>
      <c r="I425" s="138"/>
      <c r="J425" s="138"/>
      <c r="K425" s="138"/>
      <c r="L425" s="138"/>
      <c r="M425" s="552"/>
      <c r="N425" s="138"/>
    </row>
    <row r="426">
      <c r="A426" s="452"/>
      <c r="B426" s="549"/>
      <c r="C426" s="551"/>
      <c r="D426" s="550"/>
      <c r="E426" s="551"/>
      <c r="F426" s="138"/>
      <c r="G426" s="138"/>
      <c r="H426" s="138"/>
      <c r="I426" s="138"/>
      <c r="J426" s="138"/>
      <c r="K426" s="138"/>
      <c r="L426" s="138"/>
      <c r="M426" s="552"/>
      <c r="N426" s="138"/>
    </row>
    <row r="427">
      <c r="A427" s="452"/>
      <c r="B427" s="549"/>
      <c r="C427" s="551"/>
      <c r="D427" s="550"/>
      <c r="E427" s="551"/>
      <c r="F427" s="138"/>
      <c r="G427" s="138"/>
      <c r="H427" s="138"/>
      <c r="I427" s="138"/>
      <c r="J427" s="138"/>
      <c r="K427" s="138"/>
      <c r="L427" s="138"/>
      <c r="M427" s="552"/>
      <c r="N427" s="138"/>
    </row>
    <row r="428">
      <c r="A428" s="452"/>
      <c r="B428" s="549"/>
      <c r="C428" s="551"/>
      <c r="D428" s="550"/>
      <c r="E428" s="551"/>
      <c r="F428" s="138"/>
      <c r="G428" s="138"/>
      <c r="H428" s="138"/>
      <c r="I428" s="138"/>
      <c r="J428" s="138"/>
      <c r="K428" s="138"/>
      <c r="L428" s="138"/>
      <c r="M428" s="552"/>
      <c r="N428" s="138"/>
    </row>
    <row r="429">
      <c r="A429" s="452"/>
      <c r="B429" s="549"/>
      <c r="C429" s="551"/>
      <c r="D429" s="550"/>
      <c r="E429" s="551"/>
      <c r="F429" s="138"/>
      <c r="G429" s="138"/>
      <c r="H429" s="138"/>
      <c r="I429" s="138"/>
      <c r="J429" s="138"/>
      <c r="K429" s="138"/>
      <c r="L429" s="138"/>
      <c r="M429" s="552"/>
      <c r="N429" s="138"/>
    </row>
    <row r="430">
      <c r="A430" s="452"/>
      <c r="B430" s="549"/>
      <c r="C430" s="551"/>
      <c r="D430" s="550"/>
      <c r="E430" s="551"/>
      <c r="F430" s="138"/>
      <c r="G430" s="138"/>
      <c r="H430" s="138"/>
      <c r="I430" s="138"/>
      <c r="J430" s="138"/>
      <c r="K430" s="138"/>
      <c r="L430" s="138"/>
      <c r="M430" s="552"/>
      <c r="N430" s="138"/>
    </row>
    <row r="431">
      <c r="A431" s="452"/>
      <c r="B431" s="549"/>
      <c r="C431" s="551"/>
      <c r="D431" s="550"/>
      <c r="E431" s="551"/>
      <c r="F431" s="138"/>
      <c r="G431" s="138"/>
      <c r="H431" s="138"/>
      <c r="I431" s="138"/>
      <c r="J431" s="138"/>
      <c r="K431" s="138"/>
      <c r="L431" s="138"/>
      <c r="M431" s="552"/>
      <c r="N431" s="138"/>
    </row>
    <row r="432">
      <c r="A432" s="452"/>
      <c r="B432" s="549"/>
      <c r="C432" s="551"/>
      <c r="D432" s="550"/>
      <c r="E432" s="551"/>
      <c r="F432" s="138"/>
      <c r="G432" s="138"/>
      <c r="H432" s="138"/>
      <c r="I432" s="138"/>
      <c r="J432" s="138"/>
      <c r="K432" s="138"/>
      <c r="L432" s="138"/>
      <c r="M432" s="552"/>
      <c r="N432" s="138"/>
    </row>
    <row r="433">
      <c r="A433" s="452"/>
      <c r="B433" s="549"/>
      <c r="C433" s="551"/>
      <c r="D433" s="550"/>
      <c r="E433" s="551"/>
      <c r="F433" s="138"/>
      <c r="G433" s="138"/>
      <c r="H433" s="138"/>
      <c r="I433" s="138"/>
      <c r="J433" s="138"/>
      <c r="K433" s="138"/>
      <c r="L433" s="138"/>
      <c r="M433" s="552"/>
      <c r="N433" s="138"/>
    </row>
    <row r="434">
      <c r="A434" s="452"/>
      <c r="B434" s="549"/>
      <c r="C434" s="551"/>
      <c r="D434" s="550"/>
      <c r="E434" s="551"/>
      <c r="F434" s="138"/>
      <c r="G434" s="138"/>
      <c r="H434" s="138"/>
      <c r="I434" s="138"/>
      <c r="J434" s="138"/>
      <c r="K434" s="138"/>
      <c r="L434" s="138"/>
      <c r="M434" s="552"/>
      <c r="N434" s="138"/>
    </row>
    <row r="435">
      <c r="A435" s="452"/>
      <c r="B435" s="549"/>
      <c r="C435" s="551"/>
      <c r="D435" s="550"/>
      <c r="E435" s="551"/>
      <c r="F435" s="138"/>
      <c r="G435" s="138"/>
      <c r="H435" s="138"/>
      <c r="I435" s="138"/>
      <c r="J435" s="138"/>
      <c r="K435" s="138"/>
      <c r="L435" s="138"/>
      <c r="M435" s="552"/>
      <c r="N435" s="138"/>
    </row>
    <row r="436">
      <c r="A436" s="452"/>
      <c r="B436" s="549"/>
      <c r="C436" s="551"/>
      <c r="D436" s="550"/>
      <c r="E436" s="551"/>
      <c r="F436" s="138"/>
      <c r="G436" s="138"/>
      <c r="H436" s="138"/>
      <c r="I436" s="138"/>
      <c r="J436" s="138"/>
      <c r="K436" s="138"/>
      <c r="L436" s="138"/>
      <c r="M436" s="552"/>
      <c r="N436" s="138"/>
    </row>
    <row r="437">
      <c r="A437" s="452"/>
      <c r="B437" s="549"/>
      <c r="C437" s="551"/>
      <c r="D437" s="550"/>
      <c r="E437" s="551"/>
      <c r="F437" s="138"/>
      <c r="G437" s="138"/>
      <c r="H437" s="138"/>
      <c r="I437" s="138"/>
      <c r="J437" s="138"/>
      <c r="K437" s="138"/>
      <c r="L437" s="138"/>
      <c r="M437" s="552"/>
      <c r="N437" s="138"/>
    </row>
    <row r="438">
      <c r="A438" s="452"/>
      <c r="B438" s="549"/>
      <c r="C438" s="551"/>
      <c r="D438" s="550"/>
      <c r="E438" s="551"/>
      <c r="F438" s="138"/>
      <c r="G438" s="138"/>
      <c r="H438" s="138"/>
      <c r="I438" s="138"/>
      <c r="J438" s="138"/>
      <c r="K438" s="138"/>
      <c r="L438" s="138"/>
      <c r="M438" s="552"/>
      <c r="N438" s="138"/>
    </row>
    <row r="439">
      <c r="A439" s="452"/>
      <c r="B439" s="549"/>
      <c r="C439" s="551"/>
      <c r="D439" s="550"/>
      <c r="E439" s="551"/>
      <c r="F439" s="138"/>
      <c r="G439" s="138"/>
      <c r="H439" s="138"/>
      <c r="I439" s="138"/>
      <c r="J439" s="138"/>
      <c r="K439" s="138"/>
      <c r="L439" s="138"/>
      <c r="M439" s="552"/>
      <c r="N439" s="138"/>
    </row>
    <row r="440">
      <c r="A440" s="452"/>
      <c r="B440" s="549"/>
      <c r="C440" s="551"/>
      <c r="D440" s="550"/>
      <c r="E440" s="551"/>
      <c r="F440" s="138"/>
      <c r="G440" s="138"/>
      <c r="H440" s="138"/>
      <c r="I440" s="138"/>
      <c r="J440" s="138"/>
      <c r="K440" s="138"/>
      <c r="L440" s="138"/>
      <c r="M440" s="552"/>
      <c r="N440" s="138"/>
    </row>
    <row r="441">
      <c r="A441" s="452"/>
      <c r="B441" s="549"/>
      <c r="C441" s="551"/>
      <c r="D441" s="550"/>
      <c r="E441" s="551"/>
      <c r="F441" s="138"/>
      <c r="G441" s="138"/>
      <c r="H441" s="138"/>
      <c r="I441" s="138"/>
      <c r="J441" s="138"/>
      <c r="K441" s="138"/>
      <c r="L441" s="138"/>
      <c r="M441" s="552"/>
      <c r="N441" s="138"/>
    </row>
    <row r="442">
      <c r="A442" s="452"/>
      <c r="B442" s="549"/>
      <c r="C442" s="551"/>
      <c r="D442" s="550"/>
      <c r="E442" s="551"/>
      <c r="F442" s="138"/>
      <c r="G442" s="138"/>
      <c r="H442" s="138"/>
      <c r="I442" s="138"/>
      <c r="J442" s="138"/>
      <c r="K442" s="138"/>
      <c r="L442" s="138"/>
      <c r="M442" s="552"/>
      <c r="N442" s="138"/>
    </row>
    <row r="443">
      <c r="A443" s="452"/>
      <c r="B443" s="549"/>
      <c r="C443" s="551"/>
      <c r="D443" s="550"/>
      <c r="E443" s="551"/>
      <c r="F443" s="138"/>
      <c r="G443" s="138"/>
      <c r="H443" s="138"/>
      <c r="I443" s="138"/>
      <c r="J443" s="138"/>
      <c r="K443" s="138"/>
      <c r="L443" s="138"/>
      <c r="M443" s="552"/>
      <c r="N443" s="138"/>
    </row>
    <row r="444">
      <c r="A444" s="452"/>
      <c r="B444" s="549"/>
      <c r="C444" s="551"/>
      <c r="D444" s="550"/>
      <c r="E444" s="551"/>
      <c r="F444" s="138"/>
      <c r="G444" s="138"/>
      <c r="H444" s="138"/>
      <c r="I444" s="138"/>
      <c r="J444" s="138"/>
      <c r="K444" s="138"/>
      <c r="L444" s="138"/>
      <c r="M444" s="552"/>
      <c r="N444" s="138"/>
    </row>
    <row r="445">
      <c r="A445" s="452"/>
      <c r="B445" s="549"/>
      <c r="C445" s="551"/>
      <c r="D445" s="550"/>
      <c r="E445" s="551"/>
      <c r="F445" s="138"/>
      <c r="G445" s="138"/>
      <c r="H445" s="138"/>
      <c r="I445" s="138"/>
      <c r="J445" s="138"/>
      <c r="K445" s="138"/>
      <c r="L445" s="138"/>
      <c r="M445" s="552"/>
      <c r="N445" s="138"/>
    </row>
    <row r="446">
      <c r="A446" s="452"/>
      <c r="B446" s="549"/>
      <c r="C446" s="551"/>
      <c r="D446" s="550"/>
      <c r="E446" s="551"/>
      <c r="F446" s="138"/>
      <c r="G446" s="138"/>
      <c r="H446" s="138"/>
      <c r="I446" s="138"/>
      <c r="J446" s="138"/>
      <c r="K446" s="138"/>
      <c r="L446" s="138"/>
      <c r="M446" s="552"/>
      <c r="N446" s="138"/>
    </row>
    <row r="447">
      <c r="A447" s="452"/>
      <c r="B447" s="549"/>
      <c r="C447" s="551"/>
      <c r="D447" s="550"/>
      <c r="E447" s="551"/>
      <c r="F447" s="138"/>
      <c r="G447" s="138"/>
      <c r="H447" s="138"/>
      <c r="I447" s="138"/>
      <c r="J447" s="138"/>
      <c r="K447" s="138"/>
      <c r="L447" s="138"/>
      <c r="M447" s="552"/>
      <c r="N447" s="138"/>
    </row>
    <row r="448">
      <c r="A448" s="452"/>
      <c r="B448" s="549"/>
      <c r="C448" s="551"/>
      <c r="D448" s="550"/>
      <c r="E448" s="551"/>
      <c r="F448" s="138"/>
      <c r="G448" s="138"/>
      <c r="H448" s="138"/>
      <c r="I448" s="138"/>
      <c r="J448" s="138"/>
      <c r="K448" s="138"/>
      <c r="L448" s="138"/>
      <c r="M448" s="552"/>
      <c r="N448" s="138"/>
    </row>
    <row r="449">
      <c r="A449" s="452"/>
      <c r="B449" s="549"/>
      <c r="C449" s="551"/>
      <c r="D449" s="550"/>
      <c r="E449" s="551"/>
      <c r="F449" s="138"/>
      <c r="G449" s="138"/>
      <c r="H449" s="138"/>
      <c r="I449" s="138"/>
      <c r="J449" s="138"/>
      <c r="K449" s="138"/>
      <c r="L449" s="138"/>
      <c r="M449" s="552"/>
      <c r="N449" s="138"/>
    </row>
    <row r="450">
      <c r="A450" s="452"/>
      <c r="B450" s="549"/>
      <c r="C450" s="551"/>
      <c r="D450" s="550"/>
      <c r="E450" s="551"/>
      <c r="F450" s="138"/>
      <c r="G450" s="138"/>
      <c r="H450" s="138"/>
      <c r="I450" s="138"/>
      <c r="J450" s="138"/>
      <c r="K450" s="138"/>
      <c r="L450" s="138"/>
      <c r="M450" s="552"/>
      <c r="N450" s="138"/>
    </row>
    <row r="451">
      <c r="A451" s="452"/>
      <c r="B451" s="549"/>
      <c r="C451" s="551"/>
      <c r="D451" s="550"/>
      <c r="E451" s="551"/>
      <c r="F451" s="138"/>
      <c r="G451" s="138"/>
      <c r="H451" s="138"/>
      <c r="I451" s="138"/>
      <c r="J451" s="138"/>
      <c r="K451" s="138"/>
      <c r="L451" s="138"/>
      <c r="M451" s="552"/>
      <c r="N451" s="138"/>
    </row>
    <row r="452">
      <c r="A452" s="452"/>
      <c r="B452" s="549"/>
      <c r="C452" s="551"/>
      <c r="D452" s="550"/>
      <c r="E452" s="551"/>
      <c r="F452" s="138"/>
      <c r="G452" s="138"/>
      <c r="H452" s="138"/>
      <c r="I452" s="138"/>
      <c r="J452" s="138"/>
      <c r="K452" s="138"/>
      <c r="L452" s="138"/>
      <c r="M452" s="552"/>
      <c r="N452" s="138"/>
    </row>
    <row r="453">
      <c r="A453" s="452"/>
      <c r="B453" s="549"/>
      <c r="C453" s="551"/>
      <c r="D453" s="550"/>
      <c r="E453" s="551"/>
      <c r="F453" s="138"/>
      <c r="G453" s="138"/>
      <c r="H453" s="138"/>
      <c r="I453" s="138"/>
      <c r="J453" s="138"/>
      <c r="K453" s="138"/>
      <c r="L453" s="138"/>
      <c r="M453" s="552"/>
      <c r="N453" s="138"/>
    </row>
    <row r="454">
      <c r="A454" s="452"/>
      <c r="B454" s="549"/>
      <c r="C454" s="551"/>
      <c r="D454" s="550"/>
      <c r="E454" s="551"/>
      <c r="F454" s="138"/>
      <c r="G454" s="138"/>
      <c r="H454" s="138"/>
      <c r="I454" s="138"/>
      <c r="J454" s="138"/>
      <c r="K454" s="138"/>
      <c r="L454" s="138"/>
      <c r="M454" s="552"/>
      <c r="N454" s="138"/>
    </row>
    <row r="455">
      <c r="A455" s="452"/>
      <c r="B455" s="549"/>
      <c r="C455" s="551"/>
      <c r="D455" s="550"/>
      <c r="E455" s="551"/>
      <c r="F455" s="138"/>
      <c r="G455" s="138"/>
      <c r="H455" s="138"/>
      <c r="I455" s="138"/>
      <c r="J455" s="138"/>
      <c r="K455" s="138"/>
      <c r="L455" s="138"/>
      <c r="M455" s="552"/>
      <c r="N455" s="138"/>
    </row>
    <row r="456">
      <c r="A456" s="452"/>
      <c r="B456" s="549"/>
      <c r="C456" s="551"/>
      <c r="D456" s="550"/>
      <c r="E456" s="551"/>
      <c r="F456" s="138"/>
      <c r="G456" s="138"/>
      <c r="H456" s="138"/>
      <c r="I456" s="138"/>
      <c r="J456" s="138"/>
      <c r="K456" s="138"/>
      <c r="L456" s="138"/>
      <c r="M456" s="552"/>
      <c r="N456" s="138"/>
    </row>
    <row r="457">
      <c r="A457" s="452"/>
      <c r="B457" s="549"/>
      <c r="C457" s="551"/>
      <c r="D457" s="550"/>
      <c r="E457" s="551"/>
      <c r="F457" s="138"/>
      <c r="G457" s="138"/>
      <c r="H457" s="138"/>
      <c r="I457" s="138"/>
      <c r="J457" s="138"/>
      <c r="K457" s="138"/>
      <c r="L457" s="138"/>
      <c r="M457" s="552"/>
      <c r="N457" s="138"/>
    </row>
    <row r="458">
      <c r="A458" s="452"/>
      <c r="B458" s="549"/>
      <c r="C458" s="551"/>
      <c r="D458" s="550"/>
      <c r="E458" s="551"/>
      <c r="F458" s="138"/>
      <c r="G458" s="138"/>
      <c r="H458" s="138"/>
      <c r="I458" s="138"/>
      <c r="J458" s="138"/>
      <c r="K458" s="138"/>
      <c r="L458" s="138"/>
      <c r="M458" s="552"/>
      <c r="N458" s="138"/>
    </row>
    <row r="459">
      <c r="A459" s="452"/>
      <c r="B459" s="549"/>
      <c r="C459" s="551"/>
      <c r="D459" s="550"/>
      <c r="E459" s="551"/>
      <c r="F459" s="138"/>
      <c r="G459" s="138"/>
      <c r="H459" s="138"/>
      <c r="I459" s="138"/>
      <c r="J459" s="138"/>
      <c r="K459" s="138"/>
      <c r="L459" s="138"/>
      <c r="M459" s="552"/>
      <c r="N459" s="138"/>
    </row>
    <row r="460">
      <c r="A460" s="452"/>
      <c r="B460" s="549"/>
      <c r="C460" s="551"/>
      <c r="D460" s="550"/>
      <c r="E460" s="551"/>
      <c r="F460" s="138"/>
      <c r="G460" s="138"/>
      <c r="H460" s="138"/>
      <c r="I460" s="138"/>
      <c r="J460" s="138"/>
      <c r="K460" s="138"/>
      <c r="L460" s="138"/>
      <c r="M460" s="552"/>
      <c r="N460" s="138"/>
    </row>
    <row r="461">
      <c r="A461" s="452"/>
      <c r="B461" s="549"/>
      <c r="C461" s="551"/>
      <c r="D461" s="550"/>
      <c r="E461" s="551"/>
      <c r="F461" s="138"/>
      <c r="G461" s="138"/>
      <c r="H461" s="138"/>
      <c r="I461" s="138"/>
      <c r="J461" s="138"/>
      <c r="K461" s="138"/>
      <c r="L461" s="138"/>
      <c r="M461" s="552"/>
      <c r="N461" s="138"/>
    </row>
    <row r="462">
      <c r="A462" s="452"/>
      <c r="B462" s="549"/>
      <c r="C462" s="551"/>
      <c r="D462" s="550"/>
      <c r="E462" s="551"/>
      <c r="F462" s="138"/>
      <c r="G462" s="138"/>
      <c r="H462" s="138"/>
      <c r="I462" s="138"/>
      <c r="J462" s="138"/>
      <c r="K462" s="138"/>
      <c r="L462" s="138"/>
      <c r="M462" s="552"/>
      <c r="N462" s="138"/>
    </row>
    <row r="463">
      <c r="A463" s="452"/>
      <c r="B463" s="549"/>
      <c r="C463" s="551"/>
      <c r="D463" s="550"/>
      <c r="E463" s="551"/>
      <c r="F463" s="138"/>
      <c r="G463" s="138"/>
      <c r="H463" s="138"/>
      <c r="I463" s="138"/>
      <c r="J463" s="138"/>
      <c r="K463" s="138"/>
      <c r="L463" s="138"/>
      <c r="M463" s="552"/>
      <c r="N463" s="138"/>
    </row>
    <row r="464">
      <c r="A464" s="452"/>
      <c r="B464" s="549"/>
      <c r="C464" s="551"/>
      <c r="D464" s="550"/>
      <c r="E464" s="551"/>
      <c r="F464" s="138"/>
      <c r="G464" s="138"/>
      <c r="H464" s="138"/>
      <c r="I464" s="138"/>
      <c r="J464" s="138"/>
      <c r="K464" s="138"/>
      <c r="L464" s="138"/>
      <c r="M464" s="552"/>
      <c r="N464" s="138"/>
    </row>
    <row r="465">
      <c r="A465" s="452"/>
      <c r="B465" s="549"/>
      <c r="C465" s="551"/>
      <c r="D465" s="550"/>
      <c r="E465" s="551"/>
      <c r="F465" s="138"/>
      <c r="G465" s="138"/>
      <c r="H465" s="138"/>
      <c r="I465" s="138"/>
      <c r="J465" s="138"/>
      <c r="K465" s="138"/>
      <c r="L465" s="138"/>
      <c r="M465" s="552"/>
      <c r="N465" s="138"/>
    </row>
    <row r="466">
      <c r="A466" s="452"/>
      <c r="B466" s="549"/>
      <c r="C466" s="551"/>
      <c r="D466" s="550"/>
      <c r="E466" s="551"/>
      <c r="F466" s="138"/>
      <c r="G466" s="138"/>
      <c r="H466" s="138"/>
      <c r="I466" s="138"/>
      <c r="J466" s="138"/>
      <c r="K466" s="138"/>
      <c r="L466" s="138"/>
      <c r="M466" s="552"/>
      <c r="N466" s="138"/>
    </row>
    <row r="467">
      <c r="A467" s="452"/>
      <c r="B467" s="549"/>
      <c r="C467" s="551"/>
      <c r="D467" s="550"/>
      <c r="E467" s="551"/>
      <c r="F467" s="138"/>
      <c r="G467" s="138"/>
      <c r="H467" s="138"/>
      <c r="I467" s="138"/>
      <c r="J467" s="138"/>
      <c r="K467" s="138"/>
      <c r="L467" s="138"/>
      <c r="M467" s="552"/>
      <c r="N467" s="138"/>
    </row>
    <row r="468">
      <c r="A468" s="452"/>
      <c r="B468" s="549"/>
      <c r="C468" s="551"/>
      <c r="D468" s="550"/>
      <c r="E468" s="551"/>
      <c r="F468" s="138"/>
      <c r="G468" s="138"/>
      <c r="H468" s="138"/>
      <c r="I468" s="138"/>
      <c r="J468" s="138"/>
      <c r="K468" s="138"/>
      <c r="L468" s="138"/>
      <c r="M468" s="552"/>
      <c r="N468" s="138"/>
    </row>
    <row r="469">
      <c r="A469" s="452"/>
      <c r="B469" s="549"/>
      <c r="C469" s="551"/>
      <c r="D469" s="550"/>
      <c r="E469" s="551"/>
      <c r="F469" s="138"/>
      <c r="G469" s="138"/>
      <c r="H469" s="138"/>
      <c r="I469" s="138"/>
      <c r="J469" s="138"/>
      <c r="K469" s="138"/>
      <c r="L469" s="138"/>
      <c r="M469" s="552"/>
      <c r="N469" s="138"/>
    </row>
    <row r="470">
      <c r="A470" s="452"/>
      <c r="B470" s="549"/>
      <c r="C470" s="551"/>
      <c r="D470" s="550"/>
      <c r="E470" s="551"/>
      <c r="F470" s="138"/>
      <c r="G470" s="138"/>
      <c r="H470" s="138"/>
      <c r="I470" s="138"/>
      <c r="J470" s="138"/>
      <c r="K470" s="138"/>
      <c r="L470" s="138"/>
      <c r="M470" s="552"/>
      <c r="N470" s="138"/>
    </row>
    <row r="471">
      <c r="A471" s="452"/>
      <c r="B471" s="549"/>
      <c r="C471" s="551"/>
      <c r="D471" s="550"/>
      <c r="E471" s="551"/>
      <c r="F471" s="138"/>
      <c r="G471" s="138"/>
      <c r="H471" s="138"/>
      <c r="I471" s="138"/>
      <c r="J471" s="138"/>
      <c r="K471" s="138"/>
      <c r="L471" s="138"/>
      <c r="M471" s="552"/>
      <c r="N471" s="138"/>
    </row>
    <row r="472">
      <c r="A472" s="452"/>
      <c r="B472" s="549"/>
      <c r="C472" s="551"/>
      <c r="D472" s="550"/>
      <c r="E472" s="551"/>
      <c r="F472" s="138"/>
      <c r="G472" s="138"/>
      <c r="H472" s="138"/>
      <c r="I472" s="138"/>
      <c r="J472" s="138"/>
      <c r="K472" s="138"/>
      <c r="L472" s="138"/>
      <c r="M472" s="552"/>
      <c r="N472" s="138"/>
    </row>
    <row r="473">
      <c r="A473" s="452"/>
      <c r="B473" s="549"/>
      <c r="C473" s="551"/>
      <c r="D473" s="550"/>
      <c r="E473" s="551"/>
      <c r="F473" s="138"/>
      <c r="G473" s="138"/>
      <c r="H473" s="138"/>
      <c r="I473" s="138"/>
      <c r="J473" s="138"/>
      <c r="K473" s="138"/>
      <c r="L473" s="138"/>
      <c r="M473" s="552"/>
      <c r="N473" s="138"/>
    </row>
    <row r="474">
      <c r="A474" s="452"/>
      <c r="B474" s="549"/>
      <c r="C474" s="551"/>
      <c r="D474" s="550"/>
      <c r="E474" s="551"/>
      <c r="F474" s="138"/>
      <c r="G474" s="138"/>
      <c r="H474" s="138"/>
      <c r="I474" s="138"/>
      <c r="J474" s="138"/>
      <c r="K474" s="138"/>
      <c r="L474" s="138"/>
      <c r="M474" s="552"/>
      <c r="N474" s="138"/>
    </row>
    <row r="475">
      <c r="A475" s="452"/>
      <c r="B475" s="549"/>
      <c r="C475" s="551"/>
      <c r="D475" s="550"/>
      <c r="E475" s="551"/>
      <c r="F475" s="138"/>
      <c r="G475" s="138"/>
      <c r="H475" s="138"/>
      <c r="I475" s="138"/>
      <c r="J475" s="138"/>
      <c r="K475" s="138"/>
      <c r="L475" s="138"/>
      <c r="M475" s="552"/>
      <c r="N475" s="138"/>
    </row>
    <row r="476">
      <c r="A476" s="452"/>
      <c r="B476" s="549"/>
      <c r="C476" s="551"/>
      <c r="D476" s="550"/>
      <c r="E476" s="551"/>
      <c r="F476" s="138"/>
      <c r="G476" s="138"/>
      <c r="H476" s="138"/>
      <c r="I476" s="138"/>
      <c r="J476" s="138"/>
      <c r="K476" s="138"/>
      <c r="L476" s="138"/>
      <c r="M476" s="552"/>
      <c r="N476" s="138"/>
    </row>
    <row r="477">
      <c r="A477" s="452"/>
      <c r="B477" s="549"/>
      <c r="C477" s="551"/>
      <c r="D477" s="550"/>
      <c r="E477" s="551"/>
      <c r="F477" s="138"/>
      <c r="G477" s="138"/>
      <c r="H477" s="138"/>
      <c r="I477" s="138"/>
      <c r="J477" s="138"/>
      <c r="K477" s="138"/>
      <c r="L477" s="138"/>
      <c r="M477" s="552"/>
      <c r="N477" s="138"/>
    </row>
    <row r="478">
      <c r="A478" s="452"/>
      <c r="B478" s="549"/>
      <c r="C478" s="551"/>
      <c r="D478" s="550"/>
      <c r="E478" s="551"/>
      <c r="F478" s="138"/>
      <c r="G478" s="138"/>
      <c r="H478" s="138"/>
      <c r="I478" s="138"/>
      <c r="J478" s="138"/>
      <c r="K478" s="138"/>
      <c r="L478" s="138"/>
      <c r="M478" s="552"/>
      <c r="N478" s="138"/>
    </row>
    <row r="479">
      <c r="A479" s="452"/>
      <c r="B479" s="549"/>
      <c r="C479" s="551"/>
      <c r="D479" s="550"/>
      <c r="E479" s="551"/>
      <c r="F479" s="138"/>
      <c r="G479" s="138"/>
      <c r="H479" s="138"/>
      <c r="I479" s="138"/>
      <c r="J479" s="138"/>
      <c r="K479" s="138"/>
      <c r="L479" s="138"/>
      <c r="M479" s="552"/>
      <c r="N479" s="138"/>
    </row>
    <row r="480">
      <c r="A480" s="452"/>
      <c r="B480" s="549"/>
      <c r="C480" s="551"/>
      <c r="D480" s="550"/>
      <c r="E480" s="551"/>
      <c r="F480" s="138"/>
      <c r="G480" s="138"/>
      <c r="H480" s="138"/>
      <c r="I480" s="138"/>
      <c r="J480" s="138"/>
      <c r="K480" s="138"/>
      <c r="L480" s="138"/>
      <c r="M480" s="552"/>
      <c r="N480" s="138"/>
    </row>
    <row r="481">
      <c r="A481" s="452"/>
      <c r="B481" s="549"/>
      <c r="C481" s="551"/>
      <c r="D481" s="550"/>
      <c r="E481" s="551"/>
      <c r="F481" s="138"/>
      <c r="G481" s="138"/>
      <c r="H481" s="138"/>
      <c r="I481" s="138"/>
      <c r="J481" s="138"/>
      <c r="K481" s="138"/>
      <c r="L481" s="138"/>
      <c r="M481" s="552"/>
      <c r="N481" s="138"/>
    </row>
    <row r="482">
      <c r="A482" s="452"/>
      <c r="B482" s="549"/>
      <c r="C482" s="551"/>
      <c r="D482" s="550"/>
      <c r="E482" s="551"/>
      <c r="F482" s="138"/>
      <c r="G482" s="138"/>
      <c r="H482" s="138"/>
      <c r="I482" s="138"/>
      <c r="J482" s="138"/>
      <c r="K482" s="138"/>
      <c r="L482" s="138"/>
      <c r="M482" s="552"/>
      <c r="N482" s="138"/>
    </row>
    <row r="483">
      <c r="A483" s="452"/>
      <c r="B483" s="549"/>
      <c r="C483" s="551"/>
      <c r="D483" s="550"/>
      <c r="E483" s="551"/>
      <c r="F483" s="138"/>
      <c r="G483" s="138"/>
      <c r="H483" s="138"/>
      <c r="I483" s="138"/>
      <c r="J483" s="138"/>
      <c r="K483" s="138"/>
      <c r="L483" s="138"/>
      <c r="M483" s="552"/>
      <c r="N483" s="138"/>
    </row>
    <row r="484">
      <c r="A484" s="452"/>
      <c r="B484" s="549"/>
      <c r="C484" s="551"/>
      <c r="D484" s="550"/>
      <c r="E484" s="551"/>
      <c r="F484" s="138"/>
      <c r="G484" s="138"/>
      <c r="H484" s="138"/>
      <c r="I484" s="138"/>
      <c r="J484" s="138"/>
      <c r="K484" s="138"/>
      <c r="L484" s="138"/>
      <c r="M484" s="552"/>
      <c r="N484" s="138"/>
    </row>
    <row r="485">
      <c r="A485" s="452"/>
      <c r="B485" s="549"/>
      <c r="C485" s="551"/>
      <c r="D485" s="550"/>
      <c r="E485" s="551"/>
      <c r="F485" s="138"/>
      <c r="G485" s="138"/>
      <c r="H485" s="138"/>
      <c r="I485" s="138"/>
      <c r="J485" s="138"/>
      <c r="K485" s="138"/>
      <c r="L485" s="138"/>
      <c r="M485" s="552"/>
      <c r="N485" s="138"/>
    </row>
    <row r="486">
      <c r="A486" s="452"/>
      <c r="B486" s="549"/>
      <c r="C486" s="551"/>
      <c r="D486" s="550"/>
      <c r="E486" s="551"/>
      <c r="F486" s="138"/>
      <c r="G486" s="138"/>
      <c r="H486" s="138"/>
      <c r="I486" s="138"/>
      <c r="J486" s="138"/>
      <c r="K486" s="138"/>
      <c r="L486" s="138"/>
      <c r="M486" s="552"/>
      <c r="N486" s="138"/>
    </row>
    <row r="487">
      <c r="A487" s="452"/>
      <c r="B487" s="549"/>
      <c r="C487" s="551"/>
      <c r="D487" s="550"/>
      <c r="E487" s="551"/>
      <c r="F487" s="138"/>
      <c r="G487" s="138"/>
      <c r="H487" s="138"/>
      <c r="I487" s="138"/>
      <c r="J487" s="138"/>
      <c r="K487" s="138"/>
      <c r="L487" s="138"/>
      <c r="M487" s="552"/>
      <c r="N487" s="138"/>
    </row>
    <row r="488">
      <c r="A488" s="452"/>
      <c r="B488" s="549"/>
      <c r="C488" s="551"/>
      <c r="D488" s="550"/>
      <c r="E488" s="551"/>
      <c r="F488" s="138"/>
      <c r="G488" s="138"/>
      <c r="H488" s="138"/>
      <c r="I488" s="138"/>
      <c r="J488" s="138"/>
      <c r="K488" s="138"/>
      <c r="L488" s="138"/>
      <c r="M488" s="552"/>
      <c r="N488" s="138"/>
    </row>
    <row r="489">
      <c r="A489" s="452"/>
      <c r="B489" s="549"/>
      <c r="C489" s="551"/>
      <c r="D489" s="550"/>
      <c r="E489" s="551"/>
      <c r="F489" s="138"/>
      <c r="G489" s="138"/>
      <c r="H489" s="138"/>
      <c r="I489" s="138"/>
      <c r="J489" s="138"/>
      <c r="K489" s="138"/>
      <c r="L489" s="138"/>
      <c r="M489" s="552"/>
      <c r="N489" s="138"/>
    </row>
    <row r="490">
      <c r="A490" s="452"/>
      <c r="B490" s="549"/>
      <c r="C490" s="551"/>
      <c r="D490" s="550"/>
      <c r="E490" s="551"/>
      <c r="F490" s="138"/>
      <c r="G490" s="138"/>
      <c r="H490" s="138"/>
      <c r="I490" s="138"/>
      <c r="J490" s="138"/>
      <c r="K490" s="138"/>
      <c r="L490" s="138"/>
      <c r="M490" s="552"/>
      <c r="N490" s="138"/>
    </row>
    <row r="491">
      <c r="A491" s="452"/>
      <c r="B491" s="549"/>
      <c r="C491" s="551"/>
      <c r="D491" s="550"/>
      <c r="E491" s="551"/>
      <c r="F491" s="138"/>
      <c r="G491" s="138"/>
      <c r="H491" s="138"/>
      <c r="I491" s="138"/>
      <c r="J491" s="138"/>
      <c r="K491" s="138"/>
      <c r="L491" s="138"/>
      <c r="M491" s="552"/>
      <c r="N491" s="138"/>
    </row>
    <row r="492">
      <c r="A492" s="452"/>
      <c r="B492" s="549"/>
      <c r="C492" s="551"/>
      <c r="D492" s="550"/>
      <c r="E492" s="551"/>
      <c r="F492" s="138"/>
      <c r="G492" s="138"/>
      <c r="H492" s="138"/>
      <c r="I492" s="138"/>
      <c r="J492" s="138"/>
      <c r="K492" s="138"/>
      <c r="L492" s="138"/>
      <c r="M492" s="552"/>
      <c r="N492" s="138"/>
    </row>
    <row r="493">
      <c r="A493" s="452"/>
      <c r="B493" s="549"/>
      <c r="C493" s="551"/>
      <c r="D493" s="550"/>
      <c r="E493" s="551"/>
      <c r="F493" s="138"/>
      <c r="G493" s="138"/>
      <c r="H493" s="138"/>
      <c r="I493" s="138"/>
      <c r="J493" s="138"/>
      <c r="K493" s="138"/>
      <c r="L493" s="138"/>
      <c r="M493" s="552"/>
      <c r="N493" s="138"/>
    </row>
    <row r="494">
      <c r="A494" s="452"/>
      <c r="B494" s="549"/>
      <c r="C494" s="551"/>
      <c r="D494" s="550"/>
      <c r="E494" s="551"/>
      <c r="F494" s="138"/>
      <c r="G494" s="138"/>
      <c r="H494" s="138"/>
      <c r="I494" s="138"/>
      <c r="J494" s="138"/>
      <c r="K494" s="138"/>
      <c r="L494" s="138"/>
      <c r="M494" s="552"/>
      <c r="N494" s="138"/>
    </row>
    <row r="495">
      <c r="A495" s="452"/>
      <c r="B495" s="549"/>
      <c r="C495" s="551"/>
      <c r="D495" s="550"/>
      <c r="E495" s="551"/>
      <c r="F495" s="138"/>
      <c r="G495" s="138"/>
      <c r="H495" s="138"/>
      <c r="I495" s="138"/>
      <c r="J495" s="138"/>
      <c r="K495" s="138"/>
      <c r="L495" s="138"/>
      <c r="M495" s="552"/>
      <c r="N495" s="138"/>
    </row>
    <row r="496">
      <c r="A496" s="452"/>
      <c r="B496" s="549"/>
      <c r="C496" s="551"/>
      <c r="D496" s="550"/>
      <c r="E496" s="551"/>
      <c r="F496" s="138"/>
      <c r="G496" s="138"/>
      <c r="H496" s="138"/>
      <c r="I496" s="138"/>
      <c r="J496" s="138"/>
      <c r="K496" s="138"/>
      <c r="L496" s="138"/>
      <c r="M496" s="552"/>
      <c r="N496" s="138"/>
    </row>
    <row r="497">
      <c r="A497" s="452"/>
      <c r="B497" s="549"/>
      <c r="C497" s="551"/>
      <c r="D497" s="550"/>
      <c r="E497" s="551"/>
      <c r="F497" s="138"/>
      <c r="G497" s="138"/>
      <c r="H497" s="138"/>
      <c r="I497" s="138"/>
      <c r="J497" s="138"/>
      <c r="K497" s="138"/>
      <c r="L497" s="138"/>
      <c r="M497" s="552"/>
      <c r="N497" s="138"/>
    </row>
    <row r="498">
      <c r="A498" s="452"/>
      <c r="B498" s="549"/>
      <c r="C498" s="551"/>
      <c r="D498" s="550"/>
      <c r="E498" s="551"/>
      <c r="F498" s="138"/>
      <c r="G498" s="138"/>
      <c r="H498" s="138"/>
      <c r="I498" s="138"/>
      <c r="J498" s="138"/>
      <c r="K498" s="138"/>
      <c r="L498" s="138"/>
      <c r="M498" s="552"/>
      <c r="N498" s="138"/>
    </row>
    <row r="499">
      <c r="A499" s="452"/>
      <c r="B499" s="549"/>
      <c r="C499" s="551"/>
      <c r="D499" s="550"/>
      <c r="E499" s="551"/>
      <c r="F499" s="138"/>
      <c r="G499" s="138"/>
      <c r="H499" s="138"/>
      <c r="I499" s="138"/>
      <c r="J499" s="138"/>
      <c r="K499" s="138"/>
      <c r="L499" s="138"/>
      <c r="M499" s="552"/>
      <c r="N499" s="138"/>
    </row>
    <row r="500">
      <c r="A500" s="452"/>
      <c r="B500" s="549"/>
      <c r="C500" s="551"/>
      <c r="D500" s="550"/>
      <c r="E500" s="551"/>
      <c r="F500" s="138"/>
      <c r="G500" s="138"/>
      <c r="H500" s="138"/>
      <c r="I500" s="138"/>
      <c r="J500" s="138"/>
      <c r="K500" s="138"/>
      <c r="L500" s="138"/>
      <c r="M500" s="552"/>
      <c r="N500" s="138"/>
    </row>
    <row r="501">
      <c r="A501" s="452"/>
      <c r="B501" s="549"/>
      <c r="C501" s="551"/>
      <c r="D501" s="550"/>
      <c r="E501" s="551"/>
      <c r="F501" s="138"/>
      <c r="G501" s="138"/>
      <c r="H501" s="138"/>
      <c r="I501" s="138"/>
      <c r="J501" s="138"/>
      <c r="K501" s="138"/>
      <c r="L501" s="138"/>
      <c r="M501" s="552"/>
      <c r="N501" s="138"/>
    </row>
    <row r="502">
      <c r="A502" s="452"/>
      <c r="B502" s="549"/>
      <c r="C502" s="551"/>
      <c r="D502" s="550"/>
      <c r="E502" s="551"/>
      <c r="F502" s="138"/>
      <c r="G502" s="138"/>
      <c r="H502" s="138"/>
      <c r="I502" s="138"/>
      <c r="J502" s="138"/>
      <c r="K502" s="138"/>
      <c r="L502" s="138"/>
      <c r="M502" s="552"/>
      <c r="N502" s="138"/>
    </row>
    <row r="503">
      <c r="A503" s="452"/>
      <c r="B503" s="549"/>
      <c r="C503" s="551"/>
      <c r="D503" s="550"/>
      <c r="E503" s="551"/>
      <c r="F503" s="138"/>
      <c r="G503" s="138"/>
      <c r="H503" s="138"/>
      <c r="I503" s="138"/>
      <c r="J503" s="138"/>
      <c r="K503" s="138"/>
      <c r="L503" s="138"/>
      <c r="M503" s="552"/>
      <c r="N503" s="138"/>
    </row>
    <row r="504">
      <c r="A504" s="452"/>
      <c r="B504" s="549"/>
      <c r="C504" s="551"/>
      <c r="D504" s="550"/>
      <c r="E504" s="551"/>
      <c r="F504" s="138"/>
      <c r="G504" s="138"/>
      <c r="H504" s="138"/>
      <c r="I504" s="138"/>
      <c r="J504" s="138"/>
      <c r="K504" s="138"/>
      <c r="L504" s="138"/>
      <c r="M504" s="552"/>
      <c r="N504" s="138"/>
    </row>
    <row r="505">
      <c r="A505" s="452"/>
      <c r="B505" s="549"/>
      <c r="C505" s="551"/>
      <c r="D505" s="550"/>
      <c r="E505" s="551"/>
      <c r="F505" s="138"/>
      <c r="G505" s="138"/>
      <c r="H505" s="138"/>
      <c r="I505" s="138"/>
      <c r="J505" s="138"/>
      <c r="K505" s="138"/>
      <c r="L505" s="138"/>
      <c r="M505" s="552"/>
      <c r="N505" s="138"/>
    </row>
    <row r="506">
      <c r="A506" s="452"/>
      <c r="B506" s="549"/>
      <c r="C506" s="551"/>
      <c r="D506" s="550"/>
      <c r="E506" s="551"/>
      <c r="F506" s="138"/>
      <c r="G506" s="138"/>
      <c r="H506" s="138"/>
      <c r="I506" s="138"/>
      <c r="J506" s="138"/>
      <c r="K506" s="138"/>
      <c r="L506" s="138"/>
      <c r="M506" s="552"/>
      <c r="N506" s="138"/>
    </row>
    <row r="507">
      <c r="A507" s="452"/>
      <c r="B507" s="549"/>
      <c r="C507" s="551"/>
      <c r="D507" s="550"/>
      <c r="E507" s="551"/>
      <c r="F507" s="138"/>
      <c r="G507" s="138"/>
      <c r="H507" s="138"/>
      <c r="I507" s="138"/>
      <c r="J507" s="138"/>
      <c r="K507" s="138"/>
      <c r="L507" s="138"/>
      <c r="M507" s="552"/>
      <c r="N507" s="138"/>
    </row>
    <row r="508">
      <c r="A508" s="452"/>
      <c r="B508" s="549"/>
      <c r="C508" s="551"/>
      <c r="D508" s="550"/>
      <c r="E508" s="551"/>
      <c r="F508" s="138"/>
      <c r="G508" s="138"/>
      <c r="H508" s="138"/>
      <c r="I508" s="138"/>
      <c r="J508" s="138"/>
      <c r="K508" s="138"/>
      <c r="L508" s="138"/>
      <c r="M508" s="552"/>
      <c r="N508" s="138"/>
    </row>
    <row r="509">
      <c r="A509" s="452"/>
      <c r="B509" s="549"/>
      <c r="C509" s="551"/>
      <c r="D509" s="550"/>
      <c r="E509" s="551"/>
      <c r="F509" s="138"/>
      <c r="G509" s="138"/>
      <c r="H509" s="138"/>
      <c r="I509" s="138"/>
      <c r="J509" s="138"/>
      <c r="K509" s="138"/>
      <c r="L509" s="138"/>
      <c r="M509" s="552"/>
      <c r="N509" s="138"/>
    </row>
    <row r="510">
      <c r="A510" s="452"/>
      <c r="B510" s="549"/>
      <c r="C510" s="551"/>
      <c r="D510" s="550"/>
      <c r="E510" s="551"/>
      <c r="F510" s="138"/>
      <c r="G510" s="138"/>
      <c r="H510" s="138"/>
      <c r="I510" s="138"/>
      <c r="J510" s="138"/>
      <c r="K510" s="138"/>
      <c r="L510" s="138"/>
      <c r="M510" s="552"/>
      <c r="N510" s="138"/>
    </row>
    <row r="511">
      <c r="A511" s="452"/>
      <c r="B511" s="549"/>
      <c r="C511" s="551"/>
      <c r="D511" s="550"/>
      <c r="E511" s="551"/>
      <c r="F511" s="138"/>
      <c r="G511" s="138"/>
      <c r="H511" s="138"/>
      <c r="I511" s="138"/>
      <c r="J511" s="138"/>
      <c r="K511" s="138"/>
      <c r="L511" s="138"/>
      <c r="M511" s="552"/>
      <c r="N511" s="138"/>
    </row>
    <row r="512">
      <c r="A512" s="452"/>
      <c r="B512" s="549"/>
      <c r="C512" s="551"/>
      <c r="D512" s="550"/>
      <c r="E512" s="551"/>
      <c r="F512" s="138"/>
      <c r="G512" s="138"/>
      <c r="H512" s="138"/>
      <c r="I512" s="138"/>
      <c r="J512" s="138"/>
      <c r="K512" s="138"/>
      <c r="L512" s="138"/>
      <c r="M512" s="552"/>
      <c r="N512" s="138"/>
    </row>
    <row r="513">
      <c r="A513" s="452"/>
      <c r="B513" s="549"/>
      <c r="C513" s="551"/>
      <c r="D513" s="550"/>
      <c r="E513" s="551"/>
      <c r="F513" s="138"/>
      <c r="G513" s="138"/>
      <c r="H513" s="138"/>
      <c r="I513" s="138"/>
      <c r="J513" s="138"/>
      <c r="K513" s="138"/>
      <c r="L513" s="138"/>
      <c r="M513" s="552"/>
      <c r="N513" s="138"/>
    </row>
    <row r="514">
      <c r="A514" s="452"/>
      <c r="B514" s="549"/>
      <c r="C514" s="551"/>
      <c r="D514" s="550"/>
      <c r="E514" s="551"/>
      <c r="F514" s="138"/>
      <c r="G514" s="138"/>
      <c r="H514" s="138"/>
      <c r="I514" s="138"/>
      <c r="J514" s="138"/>
      <c r="K514" s="138"/>
      <c r="L514" s="138"/>
      <c r="M514" s="552"/>
      <c r="N514" s="138"/>
    </row>
    <row r="515">
      <c r="A515" s="452"/>
      <c r="B515" s="549"/>
      <c r="C515" s="551"/>
      <c r="D515" s="550"/>
      <c r="E515" s="551"/>
      <c r="F515" s="138"/>
      <c r="G515" s="138"/>
      <c r="H515" s="138"/>
      <c r="I515" s="138"/>
      <c r="J515" s="138"/>
      <c r="K515" s="138"/>
      <c r="L515" s="138"/>
      <c r="M515" s="552"/>
      <c r="N515" s="138"/>
    </row>
    <row r="516">
      <c r="A516" s="452"/>
      <c r="B516" s="549"/>
      <c r="C516" s="551"/>
      <c r="D516" s="550"/>
      <c r="E516" s="551"/>
      <c r="F516" s="138"/>
      <c r="G516" s="138"/>
      <c r="H516" s="138"/>
      <c r="I516" s="138"/>
      <c r="J516" s="138"/>
      <c r="K516" s="138"/>
      <c r="L516" s="138"/>
      <c r="M516" s="552"/>
      <c r="N516" s="138"/>
    </row>
    <row r="517">
      <c r="A517" s="452"/>
      <c r="B517" s="549"/>
      <c r="C517" s="551"/>
      <c r="D517" s="550"/>
      <c r="E517" s="551"/>
      <c r="F517" s="138"/>
      <c r="G517" s="138"/>
      <c r="H517" s="138"/>
      <c r="I517" s="138"/>
      <c r="J517" s="138"/>
      <c r="K517" s="138"/>
      <c r="L517" s="138"/>
      <c r="M517" s="552"/>
      <c r="N517" s="138"/>
    </row>
    <row r="518">
      <c r="A518" s="452"/>
      <c r="B518" s="549"/>
      <c r="C518" s="551"/>
      <c r="D518" s="550"/>
      <c r="E518" s="551"/>
      <c r="F518" s="138"/>
      <c r="G518" s="138"/>
      <c r="H518" s="138"/>
      <c r="I518" s="138"/>
      <c r="J518" s="138"/>
      <c r="K518" s="138"/>
      <c r="L518" s="138"/>
      <c r="M518" s="552"/>
      <c r="N518" s="138"/>
    </row>
    <row r="519">
      <c r="A519" s="452"/>
      <c r="B519" s="549"/>
      <c r="C519" s="551"/>
      <c r="D519" s="550"/>
      <c r="E519" s="551"/>
      <c r="F519" s="138"/>
      <c r="G519" s="138"/>
      <c r="H519" s="138"/>
      <c r="I519" s="138"/>
      <c r="J519" s="138"/>
      <c r="K519" s="138"/>
      <c r="L519" s="138"/>
      <c r="M519" s="552"/>
      <c r="N519" s="138"/>
    </row>
    <row r="520">
      <c r="A520" s="452"/>
      <c r="B520" s="549"/>
      <c r="C520" s="551"/>
      <c r="D520" s="550"/>
      <c r="E520" s="551"/>
      <c r="F520" s="138"/>
      <c r="G520" s="138"/>
      <c r="H520" s="138"/>
      <c r="I520" s="138"/>
      <c r="J520" s="138"/>
      <c r="K520" s="138"/>
      <c r="L520" s="138"/>
      <c r="M520" s="552"/>
      <c r="N520" s="138"/>
    </row>
    <row r="521">
      <c r="A521" s="452"/>
      <c r="B521" s="549"/>
      <c r="C521" s="551"/>
      <c r="D521" s="550"/>
      <c r="E521" s="551"/>
      <c r="F521" s="138"/>
      <c r="G521" s="138"/>
      <c r="H521" s="138"/>
      <c r="I521" s="138"/>
      <c r="J521" s="138"/>
      <c r="K521" s="138"/>
      <c r="L521" s="138"/>
      <c r="M521" s="552"/>
      <c r="N521" s="138"/>
    </row>
    <row r="522">
      <c r="A522" s="452"/>
      <c r="B522" s="549"/>
      <c r="C522" s="551"/>
      <c r="D522" s="550"/>
      <c r="E522" s="551"/>
      <c r="F522" s="138"/>
      <c r="G522" s="138"/>
      <c r="H522" s="138"/>
      <c r="I522" s="138"/>
      <c r="J522" s="138"/>
      <c r="K522" s="138"/>
      <c r="L522" s="138"/>
      <c r="M522" s="552"/>
      <c r="N522" s="138"/>
    </row>
    <row r="523">
      <c r="A523" s="452"/>
      <c r="B523" s="549"/>
      <c r="C523" s="551"/>
      <c r="D523" s="550"/>
      <c r="E523" s="551"/>
      <c r="F523" s="138"/>
      <c r="G523" s="138"/>
      <c r="H523" s="138"/>
      <c r="I523" s="138"/>
      <c r="J523" s="138"/>
      <c r="K523" s="138"/>
      <c r="L523" s="138"/>
      <c r="M523" s="552"/>
      <c r="N523" s="138"/>
    </row>
    <row r="524">
      <c r="A524" s="452"/>
      <c r="B524" s="549"/>
      <c r="C524" s="551"/>
      <c r="D524" s="550"/>
      <c r="E524" s="551"/>
      <c r="F524" s="138"/>
      <c r="G524" s="138"/>
      <c r="H524" s="138"/>
      <c r="I524" s="138"/>
      <c r="J524" s="138"/>
      <c r="K524" s="138"/>
      <c r="L524" s="138"/>
      <c r="M524" s="552"/>
      <c r="N524" s="138"/>
    </row>
    <row r="525">
      <c r="A525" s="452"/>
      <c r="B525" s="549"/>
      <c r="C525" s="551"/>
      <c r="D525" s="550"/>
      <c r="E525" s="551"/>
      <c r="F525" s="138"/>
      <c r="G525" s="138"/>
      <c r="H525" s="138"/>
      <c r="I525" s="138"/>
      <c r="J525" s="138"/>
      <c r="K525" s="138"/>
      <c r="L525" s="138"/>
      <c r="M525" s="552"/>
      <c r="N525" s="138"/>
    </row>
    <row r="526">
      <c r="A526" s="452"/>
      <c r="B526" s="549"/>
      <c r="C526" s="551"/>
      <c r="D526" s="550"/>
      <c r="E526" s="551"/>
      <c r="F526" s="138"/>
      <c r="G526" s="138"/>
      <c r="H526" s="138"/>
      <c r="I526" s="138"/>
      <c r="J526" s="138"/>
      <c r="K526" s="138"/>
      <c r="L526" s="138"/>
      <c r="M526" s="552"/>
      <c r="N526" s="138"/>
    </row>
    <row r="527">
      <c r="A527" s="452"/>
      <c r="B527" s="549"/>
      <c r="C527" s="551"/>
      <c r="D527" s="550"/>
      <c r="E527" s="551"/>
      <c r="F527" s="138"/>
      <c r="G527" s="138"/>
      <c r="H527" s="138"/>
      <c r="I527" s="138"/>
      <c r="J527" s="138"/>
      <c r="K527" s="138"/>
      <c r="L527" s="138"/>
      <c r="M527" s="552"/>
      <c r="N527" s="138"/>
    </row>
    <row r="528">
      <c r="A528" s="452"/>
      <c r="B528" s="549"/>
      <c r="C528" s="551"/>
      <c r="D528" s="550"/>
      <c r="E528" s="551"/>
      <c r="F528" s="138"/>
      <c r="G528" s="138"/>
      <c r="H528" s="138"/>
      <c r="I528" s="138"/>
      <c r="J528" s="138"/>
      <c r="K528" s="138"/>
      <c r="L528" s="138"/>
      <c r="M528" s="552"/>
      <c r="N528" s="138"/>
    </row>
    <row r="529">
      <c r="A529" s="452"/>
      <c r="B529" s="549"/>
      <c r="C529" s="551"/>
      <c r="D529" s="550"/>
      <c r="E529" s="551"/>
      <c r="F529" s="138"/>
      <c r="G529" s="138"/>
      <c r="H529" s="138"/>
      <c r="I529" s="138"/>
      <c r="J529" s="138"/>
      <c r="K529" s="138"/>
      <c r="L529" s="138"/>
      <c r="M529" s="552"/>
      <c r="N529" s="138"/>
    </row>
    <row r="530">
      <c r="A530" s="452"/>
      <c r="B530" s="549"/>
      <c r="C530" s="551"/>
      <c r="D530" s="550"/>
      <c r="E530" s="551"/>
      <c r="F530" s="138"/>
      <c r="G530" s="138"/>
      <c r="H530" s="138"/>
      <c r="I530" s="138"/>
      <c r="J530" s="138"/>
      <c r="K530" s="138"/>
      <c r="L530" s="138"/>
      <c r="M530" s="552"/>
      <c r="N530" s="138"/>
    </row>
    <row r="531">
      <c r="A531" s="452"/>
      <c r="B531" s="549"/>
      <c r="C531" s="551"/>
      <c r="D531" s="550"/>
      <c r="E531" s="551"/>
      <c r="F531" s="138"/>
      <c r="G531" s="138"/>
      <c r="H531" s="138"/>
      <c r="I531" s="138"/>
      <c r="J531" s="138"/>
      <c r="K531" s="138"/>
      <c r="L531" s="138"/>
      <c r="M531" s="552"/>
      <c r="N531" s="138"/>
    </row>
    <row r="532">
      <c r="A532" s="452"/>
      <c r="B532" s="549"/>
      <c r="C532" s="551"/>
      <c r="D532" s="550"/>
      <c r="E532" s="551"/>
      <c r="F532" s="138"/>
      <c r="G532" s="138"/>
      <c r="H532" s="138"/>
      <c r="I532" s="138"/>
      <c r="J532" s="138"/>
      <c r="K532" s="138"/>
      <c r="L532" s="138"/>
      <c r="M532" s="552"/>
      <c r="N532" s="138"/>
    </row>
    <row r="533">
      <c r="A533" s="452"/>
      <c r="B533" s="549"/>
      <c r="C533" s="551"/>
      <c r="D533" s="550"/>
      <c r="E533" s="551"/>
      <c r="F533" s="138"/>
      <c r="G533" s="138"/>
      <c r="H533" s="138"/>
      <c r="I533" s="138"/>
      <c r="J533" s="138"/>
      <c r="K533" s="138"/>
      <c r="L533" s="138"/>
      <c r="M533" s="552"/>
      <c r="N533" s="138"/>
    </row>
    <row r="534">
      <c r="A534" s="452"/>
      <c r="B534" s="549"/>
      <c r="C534" s="551"/>
      <c r="D534" s="550"/>
      <c r="E534" s="551"/>
      <c r="F534" s="138"/>
      <c r="G534" s="138"/>
      <c r="H534" s="138"/>
      <c r="I534" s="138"/>
      <c r="J534" s="138"/>
      <c r="K534" s="138"/>
      <c r="L534" s="138"/>
      <c r="M534" s="552"/>
      <c r="N534" s="138"/>
    </row>
    <row r="535">
      <c r="A535" s="452"/>
      <c r="B535" s="549"/>
      <c r="C535" s="551"/>
      <c r="D535" s="550"/>
      <c r="E535" s="551"/>
      <c r="F535" s="138"/>
      <c r="G535" s="138"/>
      <c r="H535" s="138"/>
      <c r="I535" s="138"/>
      <c r="J535" s="138"/>
      <c r="K535" s="138"/>
      <c r="L535" s="138"/>
      <c r="M535" s="552"/>
      <c r="N535" s="138"/>
    </row>
    <row r="536">
      <c r="A536" s="452"/>
      <c r="B536" s="549"/>
      <c r="C536" s="551"/>
      <c r="D536" s="550"/>
      <c r="E536" s="551"/>
      <c r="F536" s="138"/>
      <c r="G536" s="138"/>
      <c r="H536" s="138"/>
      <c r="I536" s="138"/>
      <c r="J536" s="138"/>
      <c r="K536" s="138"/>
      <c r="L536" s="138"/>
      <c r="M536" s="552"/>
      <c r="N536" s="138"/>
    </row>
    <row r="537">
      <c r="A537" s="452"/>
      <c r="B537" s="549"/>
      <c r="C537" s="551"/>
      <c r="D537" s="550"/>
      <c r="E537" s="551"/>
      <c r="F537" s="138"/>
      <c r="G537" s="138"/>
      <c r="H537" s="138"/>
      <c r="I537" s="138"/>
      <c r="J537" s="138"/>
      <c r="K537" s="138"/>
      <c r="L537" s="138"/>
      <c r="M537" s="552"/>
      <c r="N537" s="138"/>
    </row>
    <row r="538">
      <c r="A538" s="452"/>
      <c r="B538" s="549"/>
      <c r="C538" s="551"/>
      <c r="D538" s="550"/>
      <c r="E538" s="551"/>
      <c r="F538" s="138"/>
      <c r="G538" s="138"/>
      <c r="H538" s="138"/>
      <c r="I538" s="138"/>
      <c r="J538" s="138"/>
      <c r="K538" s="138"/>
      <c r="L538" s="138"/>
      <c r="M538" s="552"/>
      <c r="N538" s="138"/>
    </row>
    <row r="539">
      <c r="A539" s="452"/>
      <c r="B539" s="549"/>
      <c r="C539" s="551"/>
      <c r="D539" s="550"/>
      <c r="E539" s="551"/>
      <c r="F539" s="138"/>
      <c r="G539" s="138"/>
      <c r="H539" s="138"/>
      <c r="I539" s="138"/>
      <c r="J539" s="138"/>
      <c r="K539" s="138"/>
      <c r="L539" s="138"/>
      <c r="M539" s="552"/>
      <c r="N539" s="138"/>
    </row>
    <row r="540">
      <c r="A540" s="452"/>
      <c r="B540" s="549"/>
      <c r="C540" s="551"/>
      <c r="D540" s="550"/>
      <c r="E540" s="551"/>
      <c r="F540" s="138"/>
      <c r="G540" s="138"/>
      <c r="H540" s="138"/>
      <c r="I540" s="138"/>
      <c r="J540" s="138"/>
      <c r="K540" s="138"/>
      <c r="L540" s="138"/>
      <c r="M540" s="552"/>
      <c r="N540" s="138"/>
    </row>
    <row r="541">
      <c r="A541" s="452"/>
      <c r="B541" s="549"/>
      <c r="C541" s="551"/>
      <c r="D541" s="550"/>
      <c r="E541" s="551"/>
      <c r="F541" s="138"/>
      <c r="G541" s="138"/>
      <c r="H541" s="138"/>
      <c r="I541" s="138"/>
      <c r="J541" s="138"/>
      <c r="K541" s="138"/>
      <c r="L541" s="138"/>
      <c r="M541" s="552"/>
      <c r="N541" s="138"/>
    </row>
    <row r="542">
      <c r="A542" s="452"/>
      <c r="B542" s="549"/>
      <c r="C542" s="551"/>
      <c r="D542" s="550"/>
      <c r="E542" s="551"/>
      <c r="F542" s="138"/>
      <c r="G542" s="138"/>
      <c r="H542" s="138"/>
      <c r="I542" s="138"/>
      <c r="J542" s="138"/>
      <c r="K542" s="138"/>
      <c r="L542" s="138"/>
      <c r="M542" s="552"/>
      <c r="N542" s="138"/>
    </row>
    <row r="543">
      <c r="A543" s="452"/>
      <c r="B543" s="549"/>
      <c r="C543" s="551"/>
      <c r="D543" s="550"/>
      <c r="E543" s="551"/>
      <c r="F543" s="138"/>
      <c r="G543" s="138"/>
      <c r="H543" s="138"/>
      <c r="I543" s="138"/>
      <c r="J543" s="138"/>
      <c r="K543" s="138"/>
      <c r="L543" s="138"/>
      <c r="M543" s="552"/>
      <c r="N543" s="138"/>
    </row>
    <row r="544">
      <c r="A544" s="452"/>
      <c r="B544" s="549"/>
      <c r="C544" s="551"/>
      <c r="D544" s="550"/>
      <c r="E544" s="551"/>
      <c r="F544" s="138"/>
      <c r="G544" s="138"/>
      <c r="H544" s="138"/>
      <c r="I544" s="138"/>
      <c r="J544" s="138"/>
      <c r="K544" s="138"/>
      <c r="L544" s="138"/>
      <c r="M544" s="552"/>
      <c r="N544" s="138"/>
    </row>
    <row r="545">
      <c r="A545" s="452"/>
      <c r="B545" s="549"/>
      <c r="C545" s="551"/>
      <c r="D545" s="550"/>
      <c r="E545" s="551"/>
      <c r="F545" s="138"/>
      <c r="G545" s="138"/>
      <c r="H545" s="138"/>
      <c r="I545" s="138"/>
      <c r="J545" s="138"/>
      <c r="K545" s="138"/>
      <c r="L545" s="138"/>
      <c r="M545" s="552"/>
      <c r="N545" s="138"/>
    </row>
    <row r="546">
      <c r="A546" s="452"/>
      <c r="B546" s="549"/>
      <c r="C546" s="551"/>
      <c r="D546" s="550"/>
      <c r="E546" s="551"/>
      <c r="F546" s="138"/>
      <c r="G546" s="138"/>
      <c r="H546" s="138"/>
      <c r="I546" s="138"/>
      <c r="J546" s="138"/>
      <c r="K546" s="138"/>
      <c r="L546" s="138"/>
      <c r="M546" s="552"/>
      <c r="N546" s="138"/>
    </row>
    <row r="547">
      <c r="A547" s="452"/>
      <c r="B547" s="549"/>
      <c r="C547" s="551"/>
      <c r="D547" s="550"/>
      <c r="E547" s="551"/>
      <c r="F547" s="138"/>
      <c r="G547" s="138"/>
      <c r="H547" s="138"/>
      <c r="I547" s="138"/>
      <c r="J547" s="138"/>
      <c r="K547" s="138"/>
      <c r="L547" s="138"/>
      <c r="M547" s="552"/>
      <c r="N547" s="138"/>
    </row>
    <row r="548">
      <c r="A548" s="452"/>
      <c r="B548" s="549"/>
      <c r="C548" s="551"/>
      <c r="D548" s="550"/>
      <c r="E548" s="551"/>
      <c r="F548" s="138"/>
      <c r="G548" s="138"/>
      <c r="H548" s="138"/>
      <c r="I548" s="138"/>
      <c r="J548" s="138"/>
      <c r="K548" s="138"/>
      <c r="L548" s="138"/>
      <c r="M548" s="552"/>
      <c r="N548" s="138"/>
    </row>
    <row r="549">
      <c r="A549" s="452"/>
      <c r="B549" s="549"/>
      <c r="C549" s="551"/>
      <c r="D549" s="550"/>
      <c r="E549" s="551"/>
      <c r="F549" s="138"/>
      <c r="G549" s="138"/>
      <c r="H549" s="138"/>
      <c r="I549" s="138"/>
      <c r="J549" s="138"/>
      <c r="K549" s="138"/>
      <c r="L549" s="138"/>
      <c r="M549" s="552"/>
      <c r="N549" s="138"/>
    </row>
    <row r="550">
      <c r="A550" s="452"/>
      <c r="B550" s="549"/>
      <c r="C550" s="551"/>
      <c r="D550" s="550"/>
      <c r="E550" s="551"/>
      <c r="F550" s="138"/>
      <c r="G550" s="138"/>
      <c r="H550" s="138"/>
      <c r="I550" s="138"/>
      <c r="J550" s="138"/>
      <c r="K550" s="138"/>
      <c r="L550" s="138"/>
      <c r="M550" s="552"/>
      <c r="N550" s="138"/>
    </row>
    <row r="551">
      <c r="A551" s="452"/>
      <c r="B551" s="549"/>
      <c r="C551" s="551"/>
      <c r="D551" s="550"/>
      <c r="E551" s="551"/>
      <c r="F551" s="138"/>
      <c r="G551" s="138"/>
      <c r="H551" s="138"/>
      <c r="I551" s="138"/>
      <c r="J551" s="138"/>
      <c r="K551" s="138"/>
      <c r="L551" s="138"/>
      <c r="M551" s="552"/>
      <c r="N551" s="138"/>
    </row>
    <row r="552">
      <c r="A552" s="452"/>
      <c r="B552" s="549"/>
      <c r="C552" s="551"/>
      <c r="D552" s="550"/>
      <c r="E552" s="551"/>
      <c r="F552" s="138"/>
      <c r="G552" s="138"/>
      <c r="H552" s="138"/>
      <c r="I552" s="138"/>
      <c r="J552" s="138"/>
      <c r="K552" s="138"/>
      <c r="L552" s="138"/>
      <c r="M552" s="552"/>
      <c r="N552" s="138"/>
    </row>
    <row r="553">
      <c r="A553" s="452"/>
      <c r="B553" s="549"/>
      <c r="C553" s="551"/>
      <c r="D553" s="550"/>
      <c r="E553" s="551"/>
      <c r="F553" s="138"/>
      <c r="G553" s="138"/>
      <c r="H553" s="138"/>
      <c r="I553" s="138"/>
      <c r="J553" s="138"/>
      <c r="K553" s="138"/>
      <c r="L553" s="138"/>
      <c r="M553" s="552"/>
      <c r="N553" s="138"/>
    </row>
    <row r="554">
      <c r="A554" s="452"/>
      <c r="B554" s="549"/>
      <c r="C554" s="551"/>
      <c r="D554" s="550"/>
      <c r="E554" s="551"/>
      <c r="F554" s="138"/>
      <c r="G554" s="138"/>
      <c r="H554" s="138"/>
      <c r="I554" s="138"/>
      <c r="J554" s="138"/>
      <c r="K554" s="138"/>
      <c r="L554" s="138"/>
      <c r="M554" s="552"/>
      <c r="N554" s="138"/>
    </row>
    <row r="555">
      <c r="A555" s="452"/>
      <c r="B555" s="549"/>
      <c r="C555" s="551"/>
      <c r="D555" s="550"/>
      <c r="E555" s="551"/>
      <c r="F555" s="138"/>
      <c r="G555" s="138"/>
      <c r="H555" s="138"/>
      <c r="I555" s="138"/>
      <c r="J555" s="138"/>
      <c r="K555" s="138"/>
      <c r="L555" s="138"/>
      <c r="M555" s="552"/>
      <c r="N555" s="138"/>
    </row>
    <row r="556">
      <c r="A556" s="452"/>
      <c r="B556" s="549"/>
      <c r="C556" s="551"/>
      <c r="D556" s="550"/>
      <c r="E556" s="551"/>
      <c r="F556" s="138"/>
      <c r="G556" s="138"/>
      <c r="H556" s="138"/>
      <c r="I556" s="138"/>
      <c r="J556" s="138"/>
      <c r="K556" s="138"/>
      <c r="L556" s="138"/>
      <c r="M556" s="552"/>
      <c r="N556" s="138"/>
    </row>
    <row r="557">
      <c r="A557" s="452"/>
      <c r="B557" s="549"/>
      <c r="C557" s="551"/>
      <c r="D557" s="550"/>
      <c r="E557" s="551"/>
      <c r="F557" s="138"/>
      <c r="G557" s="138"/>
      <c r="H557" s="138"/>
      <c r="I557" s="138"/>
      <c r="J557" s="138"/>
      <c r="K557" s="138"/>
      <c r="L557" s="138"/>
      <c r="M557" s="552"/>
      <c r="N557" s="138"/>
    </row>
    <row r="558">
      <c r="A558" s="452"/>
      <c r="B558" s="549"/>
      <c r="C558" s="551"/>
      <c r="D558" s="550"/>
      <c r="E558" s="551"/>
      <c r="F558" s="138"/>
      <c r="G558" s="138"/>
      <c r="H558" s="138"/>
      <c r="I558" s="138"/>
      <c r="J558" s="138"/>
      <c r="K558" s="138"/>
      <c r="L558" s="138"/>
      <c r="M558" s="552"/>
      <c r="N558" s="138"/>
    </row>
    <row r="559">
      <c r="A559" s="452"/>
      <c r="B559" s="549"/>
      <c r="C559" s="551"/>
      <c r="D559" s="550"/>
      <c r="E559" s="551"/>
      <c r="F559" s="138"/>
      <c r="G559" s="138"/>
      <c r="H559" s="138"/>
      <c r="I559" s="138"/>
      <c r="J559" s="138"/>
      <c r="K559" s="138"/>
      <c r="L559" s="138"/>
      <c r="M559" s="552"/>
      <c r="N559" s="138"/>
    </row>
    <row r="560">
      <c r="A560" s="452"/>
      <c r="B560" s="549"/>
      <c r="C560" s="551"/>
      <c r="D560" s="550"/>
      <c r="E560" s="551"/>
      <c r="F560" s="138"/>
      <c r="G560" s="138"/>
      <c r="H560" s="138"/>
      <c r="I560" s="138"/>
      <c r="J560" s="138"/>
      <c r="K560" s="138"/>
      <c r="L560" s="138"/>
      <c r="M560" s="552"/>
      <c r="N560" s="138"/>
    </row>
    <row r="561">
      <c r="A561" s="452"/>
      <c r="B561" s="549"/>
      <c r="C561" s="551"/>
      <c r="D561" s="550"/>
      <c r="E561" s="551"/>
      <c r="F561" s="138"/>
      <c r="G561" s="138"/>
      <c r="H561" s="138"/>
      <c r="I561" s="138"/>
      <c r="J561" s="138"/>
      <c r="K561" s="138"/>
      <c r="L561" s="138"/>
      <c r="M561" s="552"/>
      <c r="N561" s="138"/>
    </row>
    <row r="562">
      <c r="A562" s="452"/>
      <c r="B562" s="549"/>
      <c r="C562" s="551"/>
      <c r="D562" s="550"/>
      <c r="E562" s="551"/>
      <c r="F562" s="138"/>
      <c r="G562" s="138"/>
      <c r="H562" s="138"/>
      <c r="I562" s="138"/>
      <c r="J562" s="138"/>
      <c r="K562" s="138"/>
      <c r="L562" s="138"/>
      <c r="M562" s="552"/>
      <c r="N562" s="138"/>
    </row>
    <row r="563">
      <c r="A563" s="452"/>
      <c r="B563" s="549"/>
      <c r="C563" s="551"/>
      <c r="D563" s="550"/>
      <c r="E563" s="551"/>
      <c r="F563" s="138"/>
      <c r="G563" s="138"/>
      <c r="H563" s="138"/>
      <c r="I563" s="138"/>
      <c r="J563" s="138"/>
      <c r="K563" s="138"/>
      <c r="L563" s="138"/>
      <c r="M563" s="552"/>
      <c r="N563" s="138"/>
    </row>
    <row r="564">
      <c r="A564" s="452"/>
      <c r="B564" s="549"/>
      <c r="C564" s="551"/>
      <c r="D564" s="550"/>
      <c r="E564" s="551"/>
      <c r="F564" s="138"/>
      <c r="G564" s="138"/>
      <c r="H564" s="138"/>
      <c r="I564" s="138"/>
      <c r="J564" s="138"/>
      <c r="K564" s="138"/>
      <c r="L564" s="138"/>
      <c r="M564" s="552"/>
      <c r="N564" s="138"/>
    </row>
    <row r="565">
      <c r="A565" s="452"/>
      <c r="B565" s="549"/>
      <c r="C565" s="551"/>
      <c r="D565" s="550"/>
      <c r="E565" s="551"/>
      <c r="F565" s="138"/>
      <c r="G565" s="138"/>
      <c r="H565" s="138"/>
      <c r="I565" s="138"/>
      <c r="J565" s="138"/>
      <c r="K565" s="138"/>
      <c r="L565" s="138"/>
      <c r="M565" s="552"/>
      <c r="N565" s="138"/>
    </row>
    <row r="566">
      <c r="A566" s="452"/>
      <c r="B566" s="549"/>
      <c r="C566" s="551"/>
      <c r="D566" s="550"/>
      <c r="E566" s="551"/>
      <c r="F566" s="138"/>
      <c r="G566" s="138"/>
      <c r="H566" s="138"/>
      <c r="I566" s="138"/>
      <c r="J566" s="138"/>
      <c r="K566" s="138"/>
      <c r="L566" s="138"/>
      <c r="M566" s="552"/>
      <c r="N566" s="138"/>
    </row>
    <row r="567">
      <c r="A567" s="452"/>
      <c r="B567" s="549"/>
      <c r="C567" s="551"/>
      <c r="D567" s="550"/>
      <c r="E567" s="551"/>
      <c r="F567" s="138"/>
      <c r="G567" s="138"/>
      <c r="H567" s="138"/>
      <c r="I567" s="138"/>
      <c r="J567" s="138"/>
      <c r="K567" s="138"/>
      <c r="L567" s="138"/>
      <c r="M567" s="552"/>
      <c r="N567" s="138"/>
    </row>
    <row r="568">
      <c r="A568" s="452"/>
      <c r="B568" s="549"/>
      <c r="C568" s="551"/>
      <c r="D568" s="550"/>
      <c r="E568" s="551"/>
      <c r="F568" s="138"/>
      <c r="G568" s="138"/>
      <c r="H568" s="138"/>
      <c r="I568" s="138"/>
      <c r="J568" s="138"/>
      <c r="K568" s="138"/>
      <c r="L568" s="138"/>
      <c r="M568" s="552"/>
      <c r="N568" s="138"/>
    </row>
    <row r="569">
      <c r="A569" s="452"/>
      <c r="B569" s="549"/>
      <c r="C569" s="551"/>
      <c r="D569" s="550"/>
      <c r="E569" s="551"/>
      <c r="F569" s="138"/>
      <c r="G569" s="138"/>
      <c r="H569" s="138"/>
      <c r="I569" s="138"/>
      <c r="J569" s="138"/>
      <c r="K569" s="138"/>
      <c r="L569" s="138"/>
      <c r="M569" s="552"/>
      <c r="N569" s="138"/>
    </row>
    <row r="570">
      <c r="A570" s="452"/>
      <c r="B570" s="549"/>
      <c r="C570" s="551"/>
      <c r="D570" s="550"/>
      <c r="E570" s="551"/>
      <c r="F570" s="138"/>
      <c r="G570" s="138"/>
      <c r="H570" s="138"/>
      <c r="I570" s="138"/>
      <c r="J570" s="138"/>
      <c r="K570" s="138"/>
      <c r="L570" s="138"/>
      <c r="M570" s="552"/>
      <c r="N570" s="138"/>
    </row>
    <row r="571">
      <c r="A571" s="452"/>
      <c r="B571" s="549"/>
      <c r="C571" s="551"/>
      <c r="D571" s="550"/>
      <c r="E571" s="551"/>
      <c r="F571" s="138"/>
      <c r="G571" s="138"/>
      <c r="H571" s="138"/>
      <c r="I571" s="138"/>
      <c r="J571" s="138"/>
      <c r="K571" s="138"/>
      <c r="L571" s="138"/>
      <c r="M571" s="552"/>
      <c r="N571" s="138"/>
    </row>
    <row r="572">
      <c r="A572" s="452"/>
      <c r="B572" s="549"/>
      <c r="C572" s="551"/>
      <c r="D572" s="550"/>
      <c r="E572" s="551"/>
      <c r="F572" s="138"/>
      <c r="G572" s="138"/>
      <c r="H572" s="138"/>
      <c r="I572" s="138"/>
      <c r="J572" s="138"/>
      <c r="K572" s="138"/>
      <c r="L572" s="138"/>
      <c r="M572" s="552"/>
      <c r="N572" s="138"/>
    </row>
    <row r="573">
      <c r="A573" s="452"/>
      <c r="B573" s="549"/>
      <c r="C573" s="551"/>
      <c r="D573" s="550"/>
      <c r="E573" s="551"/>
      <c r="F573" s="138"/>
      <c r="G573" s="138"/>
      <c r="H573" s="138"/>
      <c r="I573" s="138"/>
      <c r="J573" s="138"/>
      <c r="K573" s="138"/>
      <c r="L573" s="138"/>
      <c r="M573" s="552"/>
      <c r="N573" s="138"/>
    </row>
    <row r="574">
      <c r="A574" s="452"/>
      <c r="B574" s="549"/>
      <c r="C574" s="551"/>
      <c r="D574" s="550"/>
      <c r="E574" s="551"/>
      <c r="F574" s="138"/>
      <c r="G574" s="138"/>
      <c r="H574" s="138"/>
      <c r="I574" s="138"/>
      <c r="J574" s="138"/>
      <c r="K574" s="138"/>
      <c r="L574" s="138"/>
      <c r="M574" s="552"/>
      <c r="N574" s="138"/>
    </row>
    <row r="575">
      <c r="A575" s="452"/>
      <c r="B575" s="549"/>
      <c r="C575" s="551"/>
      <c r="D575" s="550"/>
      <c r="E575" s="551"/>
      <c r="F575" s="138"/>
      <c r="G575" s="138"/>
      <c r="H575" s="138"/>
      <c r="I575" s="138"/>
      <c r="J575" s="138"/>
      <c r="K575" s="138"/>
      <c r="L575" s="138"/>
      <c r="M575" s="552"/>
      <c r="N575" s="138"/>
    </row>
    <row r="576">
      <c r="A576" s="452"/>
      <c r="B576" s="549"/>
      <c r="C576" s="551"/>
      <c r="D576" s="550"/>
      <c r="E576" s="551"/>
      <c r="F576" s="138"/>
      <c r="G576" s="138"/>
      <c r="H576" s="138"/>
      <c r="I576" s="138"/>
      <c r="J576" s="138"/>
      <c r="K576" s="138"/>
      <c r="L576" s="138"/>
      <c r="M576" s="552"/>
      <c r="N576" s="138"/>
    </row>
    <row r="577">
      <c r="A577" s="452"/>
      <c r="B577" s="549"/>
      <c r="C577" s="551"/>
      <c r="D577" s="550"/>
      <c r="E577" s="551"/>
      <c r="F577" s="138"/>
      <c r="G577" s="138"/>
      <c r="H577" s="138"/>
      <c r="I577" s="138"/>
      <c r="J577" s="138"/>
      <c r="K577" s="138"/>
      <c r="L577" s="138"/>
      <c r="M577" s="552"/>
      <c r="N577" s="138"/>
    </row>
    <row r="578">
      <c r="A578" s="452"/>
      <c r="B578" s="549"/>
      <c r="C578" s="551"/>
      <c r="D578" s="550"/>
      <c r="E578" s="551"/>
      <c r="F578" s="138"/>
      <c r="G578" s="138"/>
      <c r="H578" s="138"/>
      <c r="I578" s="138"/>
      <c r="J578" s="138"/>
      <c r="K578" s="138"/>
      <c r="L578" s="138"/>
      <c r="M578" s="552"/>
      <c r="N578" s="138"/>
    </row>
    <row r="579">
      <c r="A579" s="452"/>
      <c r="B579" s="549"/>
      <c r="C579" s="551"/>
      <c r="D579" s="550"/>
      <c r="E579" s="551"/>
      <c r="F579" s="138"/>
      <c r="G579" s="138"/>
      <c r="H579" s="138"/>
      <c r="I579" s="138"/>
      <c r="J579" s="138"/>
      <c r="K579" s="138"/>
      <c r="L579" s="138"/>
      <c r="M579" s="552"/>
      <c r="N579" s="138"/>
    </row>
    <row r="580">
      <c r="A580" s="452"/>
      <c r="B580" s="549"/>
      <c r="C580" s="551"/>
      <c r="D580" s="550"/>
      <c r="E580" s="551"/>
      <c r="F580" s="138"/>
      <c r="G580" s="138"/>
      <c r="H580" s="138"/>
      <c r="I580" s="138"/>
      <c r="J580" s="138"/>
      <c r="K580" s="138"/>
      <c r="L580" s="138"/>
      <c r="M580" s="552"/>
      <c r="N580" s="138"/>
    </row>
    <row r="581">
      <c r="A581" s="452"/>
      <c r="B581" s="549"/>
      <c r="C581" s="551"/>
      <c r="D581" s="550"/>
      <c r="E581" s="551"/>
      <c r="F581" s="138"/>
      <c r="G581" s="138"/>
      <c r="H581" s="138"/>
      <c r="I581" s="138"/>
      <c r="J581" s="138"/>
      <c r="K581" s="138"/>
      <c r="L581" s="138"/>
      <c r="M581" s="552"/>
      <c r="N581" s="138"/>
    </row>
    <row r="582">
      <c r="A582" s="452"/>
      <c r="B582" s="549"/>
      <c r="C582" s="551"/>
      <c r="D582" s="550"/>
      <c r="E582" s="551"/>
      <c r="F582" s="138"/>
      <c r="G582" s="138"/>
      <c r="H582" s="138"/>
      <c r="I582" s="138"/>
      <c r="J582" s="138"/>
      <c r="K582" s="138"/>
      <c r="L582" s="138"/>
      <c r="M582" s="552"/>
      <c r="N582" s="138"/>
    </row>
    <row r="583">
      <c r="A583" s="452"/>
      <c r="B583" s="549"/>
      <c r="C583" s="551"/>
      <c r="D583" s="550"/>
      <c r="E583" s="551"/>
      <c r="F583" s="138"/>
      <c r="G583" s="138"/>
      <c r="H583" s="138"/>
      <c r="I583" s="138"/>
      <c r="J583" s="138"/>
      <c r="K583" s="138"/>
      <c r="L583" s="138"/>
      <c r="M583" s="552"/>
      <c r="N583" s="138"/>
    </row>
    <row r="584">
      <c r="A584" s="452"/>
      <c r="B584" s="549"/>
      <c r="C584" s="551"/>
      <c r="D584" s="550"/>
      <c r="E584" s="551"/>
      <c r="F584" s="138"/>
      <c r="G584" s="138"/>
      <c r="H584" s="138"/>
      <c r="I584" s="138"/>
      <c r="J584" s="138"/>
      <c r="K584" s="138"/>
      <c r="L584" s="138"/>
      <c r="M584" s="552"/>
      <c r="N584" s="138"/>
    </row>
    <row r="585">
      <c r="A585" s="452"/>
      <c r="B585" s="549"/>
      <c r="C585" s="551"/>
      <c r="D585" s="550"/>
      <c r="E585" s="551"/>
      <c r="F585" s="138"/>
      <c r="G585" s="138"/>
      <c r="H585" s="138"/>
      <c r="I585" s="138"/>
      <c r="J585" s="138"/>
      <c r="K585" s="138"/>
      <c r="L585" s="138"/>
      <c r="M585" s="552"/>
      <c r="N585" s="138"/>
    </row>
    <row r="586">
      <c r="A586" s="452"/>
      <c r="B586" s="549"/>
      <c r="C586" s="551"/>
      <c r="D586" s="550"/>
      <c r="E586" s="551"/>
      <c r="F586" s="138"/>
      <c r="G586" s="138"/>
      <c r="H586" s="138"/>
      <c r="I586" s="138"/>
      <c r="J586" s="138"/>
      <c r="K586" s="138"/>
      <c r="L586" s="138"/>
      <c r="M586" s="552"/>
      <c r="N586" s="138"/>
    </row>
    <row r="587">
      <c r="A587" s="452"/>
      <c r="B587" s="549"/>
      <c r="C587" s="551"/>
      <c r="D587" s="550"/>
      <c r="E587" s="551"/>
      <c r="F587" s="138"/>
      <c r="G587" s="138"/>
      <c r="H587" s="138"/>
      <c r="I587" s="138"/>
      <c r="J587" s="138"/>
      <c r="K587" s="138"/>
      <c r="L587" s="138"/>
      <c r="M587" s="552"/>
      <c r="N587" s="138"/>
    </row>
    <row r="588">
      <c r="A588" s="452"/>
      <c r="B588" s="549"/>
      <c r="C588" s="551"/>
      <c r="D588" s="550"/>
      <c r="E588" s="551"/>
      <c r="F588" s="138"/>
      <c r="G588" s="138"/>
      <c r="H588" s="138"/>
      <c r="I588" s="138"/>
      <c r="J588" s="138"/>
      <c r="K588" s="138"/>
      <c r="L588" s="138"/>
      <c r="M588" s="552"/>
      <c r="N588" s="138"/>
    </row>
    <row r="589">
      <c r="A589" s="452"/>
      <c r="B589" s="549"/>
      <c r="C589" s="551"/>
      <c r="D589" s="550"/>
      <c r="E589" s="551"/>
      <c r="F589" s="138"/>
      <c r="G589" s="138"/>
      <c r="H589" s="138"/>
      <c r="I589" s="138"/>
      <c r="J589" s="138"/>
      <c r="K589" s="138"/>
      <c r="L589" s="138"/>
      <c r="M589" s="552"/>
      <c r="N589" s="138"/>
    </row>
    <row r="590">
      <c r="A590" s="452"/>
      <c r="B590" s="549"/>
      <c r="C590" s="551"/>
      <c r="D590" s="550"/>
      <c r="E590" s="551"/>
      <c r="F590" s="138"/>
      <c r="G590" s="138"/>
      <c r="H590" s="138"/>
      <c r="I590" s="138"/>
      <c r="J590" s="138"/>
      <c r="K590" s="138"/>
      <c r="L590" s="138"/>
      <c r="M590" s="552"/>
      <c r="N590" s="138"/>
    </row>
    <row r="591">
      <c r="A591" s="452"/>
      <c r="B591" s="549"/>
      <c r="C591" s="551"/>
      <c r="D591" s="550"/>
      <c r="E591" s="551"/>
      <c r="F591" s="138"/>
      <c r="G591" s="138"/>
      <c r="H591" s="138"/>
      <c r="I591" s="138"/>
      <c r="J591" s="138"/>
      <c r="K591" s="138"/>
      <c r="L591" s="138"/>
      <c r="M591" s="552"/>
      <c r="N591" s="138"/>
    </row>
    <row r="592">
      <c r="A592" s="452"/>
      <c r="B592" s="549"/>
      <c r="C592" s="551"/>
      <c r="D592" s="550"/>
      <c r="E592" s="551"/>
      <c r="F592" s="138"/>
      <c r="G592" s="138"/>
      <c r="H592" s="138"/>
      <c r="I592" s="138"/>
      <c r="J592" s="138"/>
      <c r="K592" s="138"/>
      <c r="L592" s="138"/>
      <c r="M592" s="552"/>
      <c r="N592" s="138"/>
    </row>
    <row r="593">
      <c r="A593" s="452"/>
      <c r="B593" s="549"/>
      <c r="C593" s="551"/>
      <c r="D593" s="550"/>
      <c r="E593" s="551"/>
      <c r="F593" s="138"/>
      <c r="G593" s="138"/>
      <c r="H593" s="138"/>
      <c r="I593" s="138"/>
      <c r="J593" s="138"/>
      <c r="K593" s="138"/>
      <c r="L593" s="138"/>
      <c r="M593" s="552"/>
      <c r="N593" s="138"/>
    </row>
    <row r="594">
      <c r="A594" s="452"/>
      <c r="B594" s="549"/>
      <c r="C594" s="551"/>
      <c r="D594" s="550"/>
      <c r="E594" s="551"/>
      <c r="F594" s="138"/>
      <c r="G594" s="138"/>
      <c r="H594" s="138"/>
      <c r="I594" s="138"/>
      <c r="J594" s="138"/>
      <c r="K594" s="138"/>
      <c r="L594" s="138"/>
      <c r="M594" s="552"/>
      <c r="N594" s="138"/>
    </row>
    <row r="595">
      <c r="A595" s="452"/>
      <c r="B595" s="549"/>
      <c r="C595" s="551"/>
      <c r="D595" s="550"/>
      <c r="E595" s="551"/>
      <c r="F595" s="138"/>
      <c r="G595" s="138"/>
      <c r="H595" s="138"/>
      <c r="I595" s="138"/>
      <c r="J595" s="138"/>
      <c r="K595" s="138"/>
      <c r="L595" s="138"/>
      <c r="M595" s="552"/>
      <c r="N595" s="138"/>
    </row>
    <row r="596">
      <c r="A596" s="452"/>
      <c r="B596" s="549"/>
      <c r="C596" s="551"/>
      <c r="D596" s="550"/>
      <c r="E596" s="551"/>
      <c r="F596" s="138"/>
      <c r="G596" s="138"/>
      <c r="H596" s="138"/>
      <c r="I596" s="138"/>
      <c r="J596" s="138"/>
      <c r="K596" s="138"/>
      <c r="L596" s="138"/>
      <c r="M596" s="552"/>
      <c r="N596" s="138"/>
    </row>
    <row r="597">
      <c r="A597" s="452"/>
      <c r="B597" s="549"/>
      <c r="C597" s="551"/>
      <c r="D597" s="550"/>
      <c r="E597" s="551"/>
      <c r="F597" s="138"/>
      <c r="G597" s="138"/>
      <c r="H597" s="138"/>
      <c r="I597" s="138"/>
      <c r="J597" s="138"/>
      <c r="K597" s="138"/>
      <c r="L597" s="138"/>
      <c r="M597" s="552"/>
      <c r="N597" s="138"/>
    </row>
    <row r="598">
      <c r="A598" s="452"/>
      <c r="B598" s="549"/>
      <c r="C598" s="551"/>
      <c r="D598" s="550"/>
      <c r="E598" s="551"/>
      <c r="F598" s="138"/>
      <c r="G598" s="138"/>
      <c r="H598" s="138"/>
      <c r="I598" s="138"/>
      <c r="J598" s="138"/>
      <c r="K598" s="138"/>
      <c r="L598" s="138"/>
      <c r="M598" s="552"/>
      <c r="N598" s="138"/>
    </row>
    <row r="599">
      <c r="A599" s="452"/>
      <c r="B599" s="549"/>
      <c r="C599" s="551"/>
      <c r="D599" s="550"/>
      <c r="E599" s="551"/>
      <c r="F599" s="138"/>
      <c r="G599" s="138"/>
      <c r="H599" s="138"/>
      <c r="I599" s="138"/>
      <c r="J599" s="138"/>
      <c r="K599" s="138"/>
      <c r="L599" s="138"/>
      <c r="M599" s="552"/>
      <c r="N599" s="138"/>
    </row>
    <row r="600">
      <c r="A600" s="452"/>
      <c r="B600" s="549"/>
      <c r="C600" s="551"/>
      <c r="D600" s="550"/>
      <c r="E600" s="551"/>
      <c r="F600" s="138"/>
      <c r="G600" s="138"/>
      <c r="H600" s="138"/>
      <c r="I600" s="138"/>
      <c r="J600" s="138"/>
      <c r="K600" s="138"/>
      <c r="L600" s="138"/>
      <c r="M600" s="552"/>
      <c r="N600" s="138"/>
    </row>
    <row r="601">
      <c r="A601" s="452"/>
      <c r="B601" s="549"/>
      <c r="C601" s="551"/>
      <c r="D601" s="550"/>
      <c r="E601" s="551"/>
      <c r="F601" s="138"/>
      <c r="G601" s="138"/>
      <c r="H601" s="138"/>
      <c r="I601" s="138"/>
      <c r="J601" s="138"/>
      <c r="K601" s="138"/>
      <c r="L601" s="138"/>
      <c r="M601" s="552"/>
      <c r="N601" s="138"/>
    </row>
    <row r="602">
      <c r="A602" s="452"/>
      <c r="B602" s="549"/>
      <c r="C602" s="551"/>
      <c r="D602" s="550"/>
      <c r="E602" s="551"/>
      <c r="F602" s="138"/>
      <c r="G602" s="138"/>
      <c r="H602" s="138"/>
      <c r="I602" s="138"/>
      <c r="J602" s="138"/>
      <c r="K602" s="138"/>
      <c r="L602" s="138"/>
      <c r="M602" s="552"/>
      <c r="N602" s="138"/>
    </row>
    <row r="603">
      <c r="A603" s="452"/>
      <c r="B603" s="549"/>
      <c r="C603" s="551"/>
      <c r="D603" s="550"/>
      <c r="E603" s="551"/>
      <c r="F603" s="138"/>
      <c r="G603" s="138"/>
      <c r="H603" s="138"/>
      <c r="I603" s="138"/>
      <c r="J603" s="138"/>
      <c r="K603" s="138"/>
      <c r="L603" s="138"/>
      <c r="M603" s="552"/>
      <c r="N603" s="138"/>
    </row>
    <row r="604">
      <c r="A604" s="452"/>
      <c r="B604" s="549"/>
      <c r="C604" s="551"/>
      <c r="D604" s="550"/>
      <c r="E604" s="551"/>
      <c r="F604" s="138"/>
      <c r="G604" s="138"/>
      <c r="H604" s="138"/>
      <c r="I604" s="138"/>
      <c r="J604" s="138"/>
      <c r="K604" s="138"/>
      <c r="L604" s="138"/>
      <c r="M604" s="552"/>
      <c r="N604" s="138"/>
    </row>
    <row r="605">
      <c r="A605" s="452"/>
      <c r="B605" s="549"/>
      <c r="C605" s="551"/>
      <c r="D605" s="550"/>
      <c r="E605" s="551"/>
      <c r="F605" s="138"/>
      <c r="G605" s="138"/>
      <c r="H605" s="138"/>
      <c r="I605" s="138"/>
      <c r="J605" s="138"/>
      <c r="K605" s="138"/>
      <c r="L605" s="138"/>
      <c r="M605" s="552"/>
      <c r="N605" s="138"/>
    </row>
    <row r="606">
      <c r="A606" s="452"/>
      <c r="B606" s="549"/>
      <c r="C606" s="551"/>
      <c r="D606" s="550"/>
      <c r="E606" s="551"/>
      <c r="F606" s="138"/>
      <c r="G606" s="138"/>
      <c r="H606" s="138"/>
      <c r="I606" s="138"/>
      <c r="J606" s="138"/>
      <c r="K606" s="138"/>
      <c r="L606" s="138"/>
      <c r="M606" s="552"/>
      <c r="N606" s="138"/>
    </row>
    <row r="607">
      <c r="A607" s="452"/>
      <c r="B607" s="549"/>
      <c r="C607" s="551"/>
      <c r="D607" s="550"/>
      <c r="E607" s="551"/>
      <c r="F607" s="138"/>
      <c r="G607" s="138"/>
      <c r="H607" s="138"/>
      <c r="I607" s="138"/>
      <c r="J607" s="138"/>
      <c r="K607" s="138"/>
      <c r="L607" s="138"/>
      <c r="M607" s="552"/>
      <c r="N607" s="138"/>
    </row>
    <row r="608">
      <c r="A608" s="452"/>
      <c r="B608" s="549"/>
      <c r="C608" s="551"/>
      <c r="D608" s="550"/>
      <c r="E608" s="551"/>
      <c r="F608" s="138"/>
      <c r="G608" s="138"/>
      <c r="H608" s="138"/>
      <c r="I608" s="138"/>
      <c r="J608" s="138"/>
      <c r="K608" s="138"/>
      <c r="L608" s="138"/>
      <c r="M608" s="552"/>
      <c r="N608" s="138"/>
    </row>
    <row r="609">
      <c r="A609" s="452"/>
      <c r="B609" s="549"/>
      <c r="C609" s="551"/>
      <c r="D609" s="550"/>
      <c r="E609" s="551"/>
      <c r="F609" s="138"/>
      <c r="G609" s="138"/>
      <c r="H609" s="138"/>
      <c r="I609" s="138"/>
      <c r="J609" s="138"/>
      <c r="K609" s="138"/>
      <c r="L609" s="138"/>
      <c r="M609" s="552"/>
      <c r="N609" s="138"/>
    </row>
    <row r="610">
      <c r="A610" s="452"/>
      <c r="B610" s="549"/>
      <c r="C610" s="551"/>
      <c r="D610" s="550"/>
      <c r="E610" s="551"/>
      <c r="F610" s="138"/>
      <c r="G610" s="138"/>
      <c r="H610" s="138"/>
      <c r="I610" s="138"/>
      <c r="J610" s="138"/>
      <c r="K610" s="138"/>
      <c r="L610" s="138"/>
      <c r="M610" s="552"/>
      <c r="N610" s="138"/>
    </row>
    <row r="611">
      <c r="A611" s="452"/>
      <c r="B611" s="549"/>
      <c r="C611" s="551"/>
      <c r="D611" s="550"/>
      <c r="E611" s="551"/>
      <c r="F611" s="138"/>
      <c r="G611" s="138"/>
      <c r="H611" s="138"/>
      <c r="I611" s="138"/>
      <c r="J611" s="138"/>
      <c r="K611" s="138"/>
      <c r="L611" s="138"/>
      <c r="M611" s="552"/>
      <c r="N611" s="138"/>
    </row>
    <row r="612">
      <c r="A612" s="452"/>
      <c r="B612" s="549"/>
      <c r="C612" s="551"/>
      <c r="D612" s="550"/>
      <c r="E612" s="551"/>
      <c r="F612" s="138"/>
      <c r="G612" s="138"/>
      <c r="H612" s="138"/>
      <c r="I612" s="138"/>
      <c r="J612" s="138"/>
      <c r="K612" s="138"/>
      <c r="L612" s="138"/>
      <c r="M612" s="552"/>
      <c r="N612" s="138"/>
    </row>
    <row r="613">
      <c r="A613" s="452"/>
      <c r="B613" s="549"/>
      <c r="C613" s="551"/>
      <c r="D613" s="550"/>
      <c r="E613" s="551"/>
      <c r="F613" s="138"/>
      <c r="G613" s="138"/>
      <c r="H613" s="138"/>
      <c r="I613" s="138"/>
      <c r="J613" s="138"/>
      <c r="K613" s="138"/>
      <c r="L613" s="138"/>
      <c r="M613" s="552"/>
      <c r="N613" s="138"/>
    </row>
    <row r="614">
      <c r="A614" s="452"/>
      <c r="B614" s="549"/>
      <c r="C614" s="551"/>
      <c r="D614" s="550"/>
      <c r="E614" s="551"/>
      <c r="F614" s="138"/>
      <c r="G614" s="138"/>
      <c r="H614" s="138"/>
      <c r="I614" s="138"/>
      <c r="J614" s="138"/>
      <c r="K614" s="138"/>
      <c r="L614" s="138"/>
      <c r="M614" s="552"/>
      <c r="N614" s="138"/>
    </row>
    <row r="615">
      <c r="A615" s="452"/>
      <c r="B615" s="549"/>
      <c r="C615" s="551"/>
      <c r="D615" s="550"/>
      <c r="E615" s="551"/>
      <c r="F615" s="138"/>
      <c r="G615" s="138"/>
      <c r="H615" s="138"/>
      <c r="I615" s="138"/>
      <c r="J615" s="138"/>
      <c r="K615" s="138"/>
      <c r="L615" s="138"/>
      <c r="M615" s="552"/>
      <c r="N615" s="138"/>
    </row>
    <row r="616">
      <c r="A616" s="452"/>
      <c r="B616" s="549"/>
      <c r="C616" s="551"/>
      <c r="D616" s="550"/>
      <c r="E616" s="551"/>
      <c r="F616" s="138"/>
      <c r="G616" s="138"/>
      <c r="H616" s="138"/>
      <c r="I616" s="138"/>
      <c r="J616" s="138"/>
      <c r="K616" s="138"/>
      <c r="L616" s="138"/>
      <c r="M616" s="552"/>
      <c r="N616" s="138"/>
    </row>
    <row r="617">
      <c r="A617" s="452"/>
      <c r="B617" s="549"/>
      <c r="C617" s="551"/>
      <c r="D617" s="550"/>
      <c r="E617" s="551"/>
      <c r="F617" s="138"/>
      <c r="G617" s="138"/>
      <c r="H617" s="138"/>
      <c r="I617" s="138"/>
      <c r="J617" s="138"/>
      <c r="K617" s="138"/>
      <c r="L617" s="138"/>
      <c r="M617" s="552"/>
      <c r="N617" s="138"/>
    </row>
    <row r="618">
      <c r="A618" s="452"/>
      <c r="B618" s="549"/>
      <c r="C618" s="551"/>
      <c r="D618" s="550"/>
      <c r="E618" s="551"/>
      <c r="F618" s="138"/>
      <c r="G618" s="138"/>
      <c r="H618" s="138"/>
      <c r="I618" s="138"/>
      <c r="J618" s="138"/>
      <c r="K618" s="138"/>
      <c r="L618" s="138"/>
      <c r="M618" s="552"/>
      <c r="N618" s="138"/>
    </row>
    <row r="619">
      <c r="A619" s="452"/>
      <c r="B619" s="549"/>
      <c r="C619" s="551"/>
      <c r="D619" s="550"/>
      <c r="E619" s="551"/>
      <c r="F619" s="138"/>
      <c r="G619" s="138"/>
      <c r="H619" s="138"/>
      <c r="I619" s="138"/>
      <c r="J619" s="138"/>
      <c r="K619" s="138"/>
      <c r="L619" s="138"/>
      <c r="M619" s="552"/>
      <c r="N619" s="138"/>
    </row>
    <row r="620">
      <c r="A620" s="452"/>
      <c r="B620" s="549"/>
      <c r="C620" s="551"/>
      <c r="D620" s="550"/>
      <c r="E620" s="551"/>
      <c r="F620" s="138"/>
      <c r="G620" s="138"/>
      <c r="H620" s="138"/>
      <c r="I620" s="138"/>
      <c r="J620" s="138"/>
      <c r="K620" s="138"/>
      <c r="L620" s="138"/>
      <c r="M620" s="552"/>
      <c r="N620" s="138"/>
    </row>
    <row r="621">
      <c r="A621" s="452"/>
      <c r="B621" s="549"/>
      <c r="C621" s="551"/>
      <c r="D621" s="550"/>
      <c r="E621" s="551"/>
      <c r="F621" s="138"/>
      <c r="G621" s="138"/>
      <c r="H621" s="138"/>
      <c r="I621" s="138"/>
      <c r="J621" s="138"/>
      <c r="K621" s="138"/>
      <c r="L621" s="138"/>
      <c r="M621" s="552"/>
      <c r="N621" s="138"/>
    </row>
    <row r="622">
      <c r="A622" s="452"/>
      <c r="B622" s="549"/>
      <c r="C622" s="551"/>
      <c r="D622" s="550"/>
      <c r="E622" s="551"/>
      <c r="F622" s="138"/>
      <c r="G622" s="138"/>
      <c r="H622" s="138"/>
      <c r="I622" s="138"/>
      <c r="J622" s="138"/>
      <c r="K622" s="138"/>
      <c r="L622" s="138"/>
      <c r="M622" s="552"/>
      <c r="N622" s="138"/>
    </row>
    <row r="623">
      <c r="A623" s="452"/>
      <c r="B623" s="549"/>
      <c r="C623" s="551"/>
      <c r="D623" s="550"/>
      <c r="E623" s="551"/>
      <c r="F623" s="138"/>
      <c r="G623" s="138"/>
      <c r="H623" s="138"/>
      <c r="I623" s="138"/>
      <c r="J623" s="138"/>
      <c r="K623" s="138"/>
      <c r="L623" s="138"/>
      <c r="M623" s="552"/>
      <c r="N623" s="138"/>
    </row>
    <row r="624">
      <c r="A624" s="452"/>
      <c r="B624" s="549"/>
      <c r="C624" s="551"/>
      <c r="D624" s="550"/>
      <c r="E624" s="551"/>
      <c r="F624" s="138"/>
      <c r="G624" s="138"/>
      <c r="H624" s="138"/>
      <c r="I624" s="138"/>
      <c r="J624" s="138"/>
      <c r="K624" s="138"/>
      <c r="L624" s="138"/>
      <c r="M624" s="552"/>
      <c r="N624" s="138"/>
    </row>
    <row r="625">
      <c r="A625" s="452"/>
      <c r="B625" s="549"/>
      <c r="C625" s="551"/>
      <c r="D625" s="550"/>
      <c r="E625" s="551"/>
      <c r="F625" s="138"/>
      <c r="G625" s="138"/>
      <c r="H625" s="138"/>
      <c r="I625" s="138"/>
      <c r="J625" s="138"/>
      <c r="K625" s="138"/>
      <c r="L625" s="138"/>
      <c r="M625" s="552"/>
      <c r="N625" s="138"/>
    </row>
    <row r="626">
      <c r="A626" s="452"/>
      <c r="B626" s="549"/>
      <c r="C626" s="551"/>
      <c r="D626" s="550"/>
      <c r="E626" s="551"/>
      <c r="F626" s="138"/>
      <c r="G626" s="138"/>
      <c r="H626" s="138"/>
      <c r="I626" s="138"/>
      <c r="J626" s="138"/>
      <c r="K626" s="138"/>
      <c r="L626" s="138"/>
      <c r="M626" s="552"/>
      <c r="N626" s="138"/>
    </row>
    <row r="627">
      <c r="A627" s="452"/>
      <c r="B627" s="549"/>
      <c r="C627" s="551"/>
      <c r="D627" s="550"/>
      <c r="E627" s="551"/>
      <c r="F627" s="138"/>
      <c r="G627" s="138"/>
      <c r="H627" s="138"/>
      <c r="I627" s="138"/>
      <c r="J627" s="138"/>
      <c r="K627" s="138"/>
      <c r="L627" s="138"/>
      <c r="M627" s="552"/>
      <c r="N627" s="138"/>
    </row>
    <row r="628">
      <c r="A628" s="452"/>
      <c r="B628" s="549"/>
      <c r="C628" s="551"/>
      <c r="D628" s="550"/>
      <c r="E628" s="551"/>
      <c r="F628" s="138"/>
      <c r="G628" s="138"/>
      <c r="H628" s="138"/>
      <c r="I628" s="138"/>
      <c r="J628" s="138"/>
      <c r="K628" s="138"/>
      <c r="L628" s="138"/>
      <c r="M628" s="552"/>
      <c r="N628" s="138"/>
    </row>
    <row r="629">
      <c r="A629" s="452"/>
      <c r="B629" s="549"/>
      <c r="C629" s="551"/>
      <c r="D629" s="550"/>
      <c r="E629" s="551"/>
      <c r="F629" s="138"/>
      <c r="G629" s="138"/>
      <c r="H629" s="138"/>
      <c r="I629" s="138"/>
      <c r="J629" s="138"/>
      <c r="K629" s="138"/>
      <c r="L629" s="138"/>
      <c r="M629" s="552"/>
      <c r="N629" s="138"/>
    </row>
    <row r="630">
      <c r="A630" s="452"/>
      <c r="B630" s="549"/>
      <c r="C630" s="551"/>
      <c r="D630" s="550"/>
      <c r="E630" s="551"/>
      <c r="F630" s="138"/>
      <c r="G630" s="138"/>
      <c r="H630" s="138"/>
      <c r="I630" s="138"/>
      <c r="J630" s="138"/>
      <c r="K630" s="138"/>
      <c r="L630" s="138"/>
      <c r="M630" s="552"/>
      <c r="N630" s="138"/>
    </row>
    <row r="631">
      <c r="A631" s="452"/>
      <c r="B631" s="549"/>
      <c r="C631" s="551"/>
      <c r="D631" s="550"/>
      <c r="E631" s="551"/>
      <c r="F631" s="138"/>
      <c r="G631" s="138"/>
      <c r="H631" s="138"/>
      <c r="I631" s="138"/>
      <c r="J631" s="138"/>
      <c r="K631" s="138"/>
      <c r="L631" s="138"/>
      <c r="M631" s="552"/>
      <c r="N631" s="138"/>
    </row>
    <row r="632">
      <c r="A632" s="452"/>
      <c r="B632" s="549"/>
      <c r="C632" s="551"/>
      <c r="D632" s="550"/>
      <c r="E632" s="551"/>
      <c r="F632" s="138"/>
      <c r="G632" s="138"/>
      <c r="H632" s="138"/>
      <c r="I632" s="138"/>
      <c r="J632" s="138"/>
      <c r="K632" s="138"/>
      <c r="L632" s="138"/>
      <c r="M632" s="552"/>
      <c r="N632" s="138"/>
    </row>
    <row r="633">
      <c r="A633" s="452"/>
      <c r="B633" s="549"/>
      <c r="C633" s="551"/>
      <c r="D633" s="550"/>
      <c r="E633" s="551"/>
      <c r="F633" s="138"/>
      <c r="G633" s="138"/>
      <c r="H633" s="138"/>
      <c r="I633" s="138"/>
      <c r="J633" s="138"/>
      <c r="K633" s="138"/>
      <c r="L633" s="138"/>
      <c r="M633" s="552"/>
      <c r="N633" s="138"/>
    </row>
    <row r="634">
      <c r="A634" s="452"/>
      <c r="B634" s="549"/>
      <c r="C634" s="551"/>
      <c r="D634" s="550"/>
      <c r="E634" s="551"/>
      <c r="F634" s="138"/>
      <c r="G634" s="138"/>
      <c r="H634" s="138"/>
      <c r="I634" s="138"/>
      <c r="J634" s="138"/>
      <c r="K634" s="138"/>
      <c r="L634" s="138"/>
      <c r="M634" s="552"/>
      <c r="N634" s="138"/>
    </row>
    <row r="635">
      <c r="A635" s="452"/>
      <c r="B635" s="549"/>
      <c r="C635" s="551"/>
      <c r="D635" s="550"/>
      <c r="E635" s="551"/>
      <c r="F635" s="138"/>
      <c r="G635" s="138"/>
      <c r="H635" s="138"/>
      <c r="I635" s="138"/>
      <c r="J635" s="138"/>
      <c r="K635" s="138"/>
      <c r="L635" s="138"/>
      <c r="M635" s="552"/>
      <c r="N635" s="138"/>
    </row>
    <row r="636">
      <c r="A636" s="452"/>
      <c r="B636" s="549"/>
      <c r="C636" s="551"/>
      <c r="D636" s="550"/>
      <c r="E636" s="551"/>
      <c r="F636" s="138"/>
      <c r="G636" s="138"/>
      <c r="H636" s="138"/>
      <c r="I636" s="138"/>
      <c r="J636" s="138"/>
      <c r="K636" s="138"/>
      <c r="L636" s="138"/>
      <c r="M636" s="552"/>
      <c r="N636" s="138"/>
    </row>
    <row r="637">
      <c r="A637" s="452"/>
      <c r="B637" s="549"/>
      <c r="C637" s="551"/>
      <c r="D637" s="550"/>
      <c r="E637" s="551"/>
      <c r="F637" s="138"/>
      <c r="G637" s="138"/>
      <c r="H637" s="138"/>
      <c r="I637" s="138"/>
      <c r="J637" s="138"/>
      <c r="K637" s="138"/>
      <c r="L637" s="138"/>
      <c r="M637" s="552"/>
      <c r="N637" s="138"/>
    </row>
    <row r="638">
      <c r="A638" s="452"/>
      <c r="B638" s="549"/>
      <c r="C638" s="551"/>
      <c r="D638" s="550"/>
      <c r="E638" s="551"/>
      <c r="F638" s="138"/>
      <c r="G638" s="138"/>
      <c r="H638" s="138"/>
      <c r="I638" s="138"/>
      <c r="J638" s="138"/>
      <c r="K638" s="138"/>
      <c r="L638" s="138"/>
      <c r="M638" s="552"/>
      <c r="N638" s="138"/>
    </row>
    <row r="639">
      <c r="A639" s="452"/>
      <c r="B639" s="549"/>
      <c r="C639" s="551"/>
      <c r="D639" s="550"/>
      <c r="E639" s="551"/>
      <c r="F639" s="138"/>
      <c r="G639" s="138"/>
      <c r="H639" s="138"/>
      <c r="I639" s="138"/>
      <c r="J639" s="138"/>
      <c r="K639" s="138"/>
      <c r="L639" s="138"/>
      <c r="M639" s="552"/>
      <c r="N639" s="138"/>
    </row>
    <row r="640">
      <c r="A640" s="452"/>
      <c r="B640" s="549"/>
      <c r="C640" s="551"/>
      <c r="D640" s="550"/>
      <c r="E640" s="551"/>
      <c r="F640" s="138"/>
      <c r="G640" s="138"/>
      <c r="H640" s="138"/>
      <c r="I640" s="138"/>
      <c r="J640" s="138"/>
      <c r="K640" s="138"/>
      <c r="L640" s="138"/>
      <c r="M640" s="552"/>
      <c r="N640" s="138"/>
    </row>
    <row r="641">
      <c r="A641" s="452"/>
      <c r="B641" s="549"/>
      <c r="C641" s="551"/>
      <c r="D641" s="550"/>
      <c r="E641" s="551"/>
      <c r="F641" s="138"/>
      <c r="G641" s="138"/>
      <c r="H641" s="138"/>
      <c r="I641" s="138"/>
      <c r="J641" s="138"/>
      <c r="K641" s="138"/>
      <c r="L641" s="138"/>
      <c r="M641" s="552"/>
      <c r="N641" s="138"/>
    </row>
    <row r="642">
      <c r="A642" s="452"/>
      <c r="B642" s="549"/>
      <c r="C642" s="551"/>
      <c r="D642" s="550"/>
      <c r="E642" s="551"/>
      <c r="F642" s="138"/>
      <c r="G642" s="138"/>
      <c r="H642" s="138"/>
      <c r="I642" s="138"/>
      <c r="J642" s="138"/>
      <c r="K642" s="138"/>
      <c r="L642" s="138"/>
      <c r="M642" s="552"/>
      <c r="N642" s="138"/>
    </row>
    <row r="643">
      <c r="A643" s="452"/>
      <c r="B643" s="549"/>
      <c r="C643" s="551"/>
      <c r="D643" s="550"/>
      <c r="E643" s="551"/>
      <c r="F643" s="138"/>
      <c r="G643" s="138"/>
      <c r="H643" s="138"/>
      <c r="I643" s="138"/>
      <c r="J643" s="138"/>
      <c r="K643" s="138"/>
      <c r="L643" s="138"/>
      <c r="M643" s="552"/>
      <c r="N643" s="138"/>
    </row>
    <row r="644">
      <c r="A644" s="452"/>
      <c r="B644" s="549"/>
      <c r="C644" s="551"/>
      <c r="D644" s="550"/>
      <c r="E644" s="551"/>
      <c r="F644" s="138"/>
      <c r="G644" s="138"/>
      <c r="H644" s="138"/>
      <c r="I644" s="138"/>
      <c r="J644" s="138"/>
      <c r="K644" s="138"/>
      <c r="L644" s="138"/>
      <c r="M644" s="552"/>
      <c r="N644" s="138"/>
    </row>
    <row r="645">
      <c r="A645" s="452"/>
      <c r="B645" s="549"/>
      <c r="C645" s="551"/>
      <c r="D645" s="550"/>
      <c r="E645" s="551"/>
      <c r="F645" s="138"/>
      <c r="G645" s="138"/>
      <c r="H645" s="138"/>
      <c r="I645" s="138"/>
      <c r="J645" s="138"/>
      <c r="K645" s="138"/>
      <c r="L645" s="138"/>
      <c r="M645" s="552"/>
      <c r="N645" s="138"/>
    </row>
    <row r="646">
      <c r="A646" s="452"/>
      <c r="B646" s="549"/>
      <c r="C646" s="551"/>
      <c r="D646" s="550"/>
      <c r="E646" s="551"/>
      <c r="F646" s="138"/>
      <c r="G646" s="138"/>
      <c r="H646" s="138"/>
      <c r="I646" s="138"/>
      <c r="J646" s="138"/>
      <c r="K646" s="138"/>
      <c r="L646" s="138"/>
      <c r="M646" s="552"/>
      <c r="N646" s="138"/>
    </row>
    <row r="647">
      <c r="A647" s="452"/>
      <c r="B647" s="549"/>
      <c r="C647" s="551"/>
      <c r="D647" s="550"/>
      <c r="E647" s="551"/>
      <c r="F647" s="138"/>
      <c r="G647" s="138"/>
      <c r="H647" s="138"/>
      <c r="I647" s="138"/>
      <c r="J647" s="138"/>
      <c r="K647" s="138"/>
      <c r="L647" s="138"/>
      <c r="M647" s="552"/>
      <c r="N647" s="138"/>
    </row>
    <row r="648">
      <c r="A648" s="452"/>
      <c r="B648" s="549"/>
      <c r="C648" s="551"/>
      <c r="D648" s="550"/>
      <c r="E648" s="551"/>
      <c r="F648" s="138"/>
      <c r="G648" s="138"/>
      <c r="H648" s="138"/>
      <c r="I648" s="138"/>
      <c r="J648" s="138"/>
      <c r="K648" s="138"/>
      <c r="L648" s="138"/>
      <c r="M648" s="552"/>
      <c r="N648" s="138"/>
    </row>
    <row r="649">
      <c r="A649" s="452"/>
      <c r="B649" s="549"/>
      <c r="C649" s="551"/>
      <c r="D649" s="550"/>
      <c r="E649" s="551"/>
      <c r="F649" s="138"/>
      <c r="G649" s="138"/>
      <c r="H649" s="138"/>
      <c r="I649" s="138"/>
      <c r="J649" s="138"/>
      <c r="K649" s="138"/>
      <c r="L649" s="138"/>
      <c r="M649" s="552"/>
      <c r="N649" s="138"/>
    </row>
    <row r="650">
      <c r="A650" s="452"/>
      <c r="B650" s="549"/>
      <c r="C650" s="551"/>
      <c r="D650" s="550"/>
      <c r="E650" s="551"/>
      <c r="F650" s="138"/>
      <c r="G650" s="138"/>
      <c r="H650" s="138"/>
      <c r="I650" s="138"/>
      <c r="J650" s="138"/>
      <c r="K650" s="138"/>
      <c r="L650" s="138"/>
      <c r="M650" s="552"/>
      <c r="N650" s="138"/>
    </row>
    <row r="651">
      <c r="A651" s="452"/>
      <c r="B651" s="549"/>
      <c r="C651" s="551"/>
      <c r="D651" s="550"/>
      <c r="E651" s="551"/>
      <c r="F651" s="138"/>
      <c r="G651" s="138"/>
      <c r="H651" s="138"/>
      <c r="I651" s="138"/>
      <c r="J651" s="138"/>
      <c r="K651" s="138"/>
      <c r="L651" s="138"/>
      <c r="M651" s="552"/>
      <c r="N651" s="138"/>
    </row>
    <row r="652">
      <c r="A652" s="452"/>
      <c r="B652" s="549"/>
      <c r="C652" s="551"/>
      <c r="D652" s="550"/>
      <c r="E652" s="551"/>
      <c r="F652" s="138"/>
      <c r="G652" s="138"/>
      <c r="H652" s="138"/>
      <c r="I652" s="138"/>
      <c r="J652" s="138"/>
      <c r="K652" s="138"/>
      <c r="L652" s="138"/>
      <c r="M652" s="552"/>
      <c r="N652" s="138"/>
    </row>
    <row r="653">
      <c r="A653" s="452"/>
      <c r="B653" s="549"/>
      <c r="C653" s="551"/>
      <c r="D653" s="550"/>
      <c r="E653" s="551"/>
      <c r="F653" s="138"/>
      <c r="G653" s="138"/>
      <c r="H653" s="138"/>
      <c r="I653" s="138"/>
      <c r="J653" s="138"/>
      <c r="K653" s="138"/>
      <c r="L653" s="138"/>
      <c r="M653" s="552"/>
      <c r="N653" s="138"/>
    </row>
    <row r="654">
      <c r="A654" s="452"/>
      <c r="B654" s="549"/>
      <c r="C654" s="551"/>
      <c r="D654" s="550"/>
      <c r="E654" s="551"/>
      <c r="F654" s="138"/>
      <c r="G654" s="138"/>
      <c r="H654" s="138"/>
      <c r="I654" s="138"/>
      <c r="J654" s="138"/>
      <c r="K654" s="138"/>
      <c r="L654" s="138"/>
      <c r="M654" s="552"/>
      <c r="N654" s="138"/>
    </row>
    <row r="655">
      <c r="A655" s="452"/>
      <c r="B655" s="549"/>
      <c r="C655" s="551"/>
      <c r="D655" s="550"/>
      <c r="E655" s="551"/>
      <c r="F655" s="138"/>
      <c r="G655" s="138"/>
      <c r="H655" s="138"/>
      <c r="I655" s="138"/>
      <c r="J655" s="138"/>
      <c r="K655" s="138"/>
      <c r="L655" s="138"/>
      <c r="M655" s="552"/>
      <c r="N655" s="138"/>
    </row>
    <row r="656">
      <c r="A656" s="452"/>
      <c r="B656" s="549"/>
      <c r="C656" s="551"/>
      <c r="D656" s="550"/>
      <c r="E656" s="551"/>
      <c r="F656" s="138"/>
      <c r="G656" s="138"/>
      <c r="H656" s="138"/>
      <c r="I656" s="138"/>
      <c r="J656" s="138"/>
      <c r="K656" s="138"/>
      <c r="L656" s="138"/>
      <c r="M656" s="552"/>
      <c r="N656" s="138"/>
    </row>
    <row r="657">
      <c r="A657" s="452"/>
      <c r="B657" s="549"/>
      <c r="C657" s="551"/>
      <c r="D657" s="550"/>
      <c r="E657" s="551"/>
      <c r="F657" s="138"/>
      <c r="G657" s="138"/>
      <c r="H657" s="138"/>
      <c r="I657" s="138"/>
      <c r="J657" s="138"/>
      <c r="K657" s="138"/>
      <c r="L657" s="138"/>
      <c r="M657" s="552"/>
      <c r="N657" s="138"/>
    </row>
    <row r="658">
      <c r="A658" s="452"/>
      <c r="B658" s="549"/>
      <c r="C658" s="551"/>
      <c r="D658" s="550"/>
      <c r="E658" s="551"/>
      <c r="F658" s="138"/>
      <c r="G658" s="138"/>
      <c r="H658" s="138"/>
      <c r="I658" s="138"/>
      <c r="J658" s="138"/>
      <c r="K658" s="138"/>
      <c r="L658" s="138"/>
      <c r="M658" s="552"/>
      <c r="N658" s="138"/>
    </row>
    <row r="659">
      <c r="A659" s="452"/>
      <c r="B659" s="549"/>
      <c r="C659" s="551"/>
      <c r="D659" s="550"/>
      <c r="E659" s="551"/>
      <c r="F659" s="138"/>
      <c r="G659" s="138"/>
      <c r="H659" s="138"/>
      <c r="I659" s="138"/>
      <c r="J659" s="138"/>
      <c r="K659" s="138"/>
      <c r="L659" s="138"/>
      <c r="M659" s="552"/>
      <c r="N659" s="138"/>
    </row>
    <row r="660">
      <c r="A660" s="452"/>
      <c r="B660" s="549"/>
      <c r="C660" s="551"/>
      <c r="D660" s="550"/>
      <c r="E660" s="551"/>
      <c r="F660" s="138"/>
      <c r="G660" s="138"/>
      <c r="H660" s="138"/>
      <c r="I660" s="138"/>
      <c r="J660" s="138"/>
      <c r="K660" s="138"/>
      <c r="L660" s="138"/>
      <c r="M660" s="552"/>
      <c r="N660" s="138"/>
    </row>
    <row r="661">
      <c r="A661" s="452"/>
      <c r="B661" s="549"/>
      <c r="C661" s="551"/>
      <c r="D661" s="550"/>
      <c r="E661" s="551"/>
      <c r="F661" s="138"/>
      <c r="G661" s="138"/>
      <c r="H661" s="138"/>
      <c r="I661" s="138"/>
      <c r="J661" s="138"/>
      <c r="K661" s="138"/>
      <c r="L661" s="138"/>
      <c r="M661" s="552"/>
      <c r="N661" s="138"/>
    </row>
    <row r="662">
      <c r="A662" s="452"/>
      <c r="B662" s="549"/>
      <c r="C662" s="551"/>
      <c r="D662" s="550"/>
      <c r="E662" s="551"/>
      <c r="F662" s="138"/>
      <c r="G662" s="138"/>
      <c r="H662" s="138"/>
      <c r="I662" s="138"/>
      <c r="J662" s="138"/>
      <c r="K662" s="138"/>
      <c r="L662" s="138"/>
      <c r="M662" s="552"/>
      <c r="N662" s="138"/>
    </row>
    <row r="663">
      <c r="A663" s="452"/>
      <c r="B663" s="549"/>
      <c r="C663" s="551"/>
      <c r="D663" s="550"/>
      <c r="E663" s="551"/>
      <c r="F663" s="138"/>
      <c r="G663" s="138"/>
      <c r="H663" s="138"/>
      <c r="I663" s="138"/>
      <c r="J663" s="138"/>
      <c r="K663" s="138"/>
      <c r="L663" s="138"/>
      <c r="M663" s="552"/>
      <c r="N663" s="138"/>
    </row>
    <row r="664">
      <c r="A664" s="452"/>
      <c r="B664" s="549"/>
      <c r="C664" s="551"/>
      <c r="D664" s="550"/>
      <c r="E664" s="551"/>
      <c r="F664" s="138"/>
      <c r="G664" s="138"/>
      <c r="H664" s="138"/>
      <c r="I664" s="138"/>
      <c r="J664" s="138"/>
      <c r="K664" s="138"/>
      <c r="L664" s="138"/>
      <c r="M664" s="552"/>
      <c r="N664" s="138"/>
    </row>
    <row r="665">
      <c r="A665" s="452"/>
      <c r="B665" s="549"/>
      <c r="C665" s="551"/>
      <c r="D665" s="550"/>
      <c r="E665" s="551"/>
      <c r="F665" s="138"/>
      <c r="G665" s="138"/>
      <c r="H665" s="138"/>
      <c r="I665" s="138"/>
      <c r="J665" s="138"/>
      <c r="K665" s="138"/>
      <c r="L665" s="138"/>
      <c r="M665" s="552"/>
      <c r="N665" s="138"/>
    </row>
    <row r="666">
      <c r="A666" s="452"/>
      <c r="B666" s="549"/>
      <c r="C666" s="551"/>
      <c r="D666" s="550"/>
      <c r="E666" s="551"/>
      <c r="F666" s="138"/>
      <c r="G666" s="138"/>
      <c r="H666" s="138"/>
      <c r="I666" s="138"/>
      <c r="J666" s="138"/>
      <c r="K666" s="138"/>
      <c r="L666" s="138"/>
      <c r="M666" s="552"/>
      <c r="N666" s="138"/>
    </row>
    <row r="667">
      <c r="A667" s="452"/>
      <c r="B667" s="549"/>
      <c r="C667" s="551"/>
      <c r="D667" s="550"/>
      <c r="E667" s="551"/>
      <c r="F667" s="138"/>
      <c r="G667" s="138"/>
      <c r="H667" s="138"/>
      <c r="I667" s="138"/>
      <c r="J667" s="138"/>
      <c r="K667" s="138"/>
      <c r="L667" s="138"/>
      <c r="M667" s="552"/>
      <c r="N667" s="138"/>
    </row>
    <row r="668">
      <c r="A668" s="452"/>
      <c r="B668" s="549"/>
      <c r="C668" s="551"/>
      <c r="D668" s="550"/>
      <c r="E668" s="551"/>
      <c r="F668" s="138"/>
      <c r="G668" s="138"/>
      <c r="H668" s="138"/>
      <c r="I668" s="138"/>
      <c r="J668" s="138"/>
      <c r="K668" s="138"/>
      <c r="L668" s="138"/>
      <c r="M668" s="552"/>
      <c r="N668" s="138"/>
    </row>
    <row r="669">
      <c r="A669" s="452"/>
      <c r="B669" s="549"/>
      <c r="C669" s="551"/>
      <c r="D669" s="550"/>
      <c r="E669" s="551"/>
      <c r="F669" s="138"/>
      <c r="G669" s="138"/>
      <c r="H669" s="138"/>
      <c r="I669" s="138"/>
      <c r="J669" s="138"/>
      <c r="K669" s="138"/>
      <c r="L669" s="138"/>
      <c r="M669" s="552"/>
      <c r="N669" s="138"/>
    </row>
    <row r="670">
      <c r="A670" s="452"/>
      <c r="B670" s="549"/>
      <c r="C670" s="551"/>
      <c r="D670" s="550"/>
      <c r="E670" s="551"/>
      <c r="F670" s="138"/>
      <c r="G670" s="138"/>
      <c r="H670" s="138"/>
      <c r="I670" s="138"/>
      <c r="J670" s="138"/>
      <c r="K670" s="138"/>
      <c r="L670" s="138"/>
      <c r="M670" s="552"/>
      <c r="N670" s="138"/>
    </row>
    <row r="671">
      <c r="A671" s="452"/>
      <c r="B671" s="549"/>
      <c r="C671" s="551"/>
      <c r="D671" s="550"/>
      <c r="E671" s="551"/>
      <c r="F671" s="138"/>
      <c r="G671" s="138"/>
      <c r="H671" s="138"/>
      <c r="I671" s="138"/>
      <c r="J671" s="138"/>
      <c r="K671" s="138"/>
      <c r="L671" s="138"/>
      <c r="M671" s="552"/>
      <c r="N671" s="138"/>
    </row>
    <row r="672">
      <c r="A672" s="452"/>
      <c r="B672" s="549"/>
      <c r="C672" s="551"/>
      <c r="D672" s="550"/>
      <c r="E672" s="551"/>
      <c r="F672" s="138"/>
      <c r="G672" s="138"/>
      <c r="H672" s="138"/>
      <c r="I672" s="138"/>
      <c r="J672" s="138"/>
      <c r="K672" s="138"/>
      <c r="L672" s="138"/>
      <c r="M672" s="552"/>
      <c r="N672" s="138"/>
    </row>
    <row r="673">
      <c r="A673" s="452"/>
      <c r="B673" s="549"/>
      <c r="C673" s="551"/>
      <c r="D673" s="550"/>
      <c r="E673" s="551"/>
      <c r="F673" s="138"/>
      <c r="G673" s="138"/>
      <c r="H673" s="138"/>
      <c r="I673" s="138"/>
      <c r="J673" s="138"/>
      <c r="K673" s="138"/>
      <c r="L673" s="138"/>
      <c r="M673" s="552"/>
      <c r="N673" s="138"/>
    </row>
    <row r="674">
      <c r="A674" s="452"/>
      <c r="B674" s="549"/>
      <c r="C674" s="551"/>
      <c r="D674" s="550"/>
      <c r="E674" s="551"/>
      <c r="F674" s="138"/>
      <c r="G674" s="138"/>
      <c r="H674" s="138"/>
      <c r="I674" s="138"/>
      <c r="J674" s="138"/>
      <c r="K674" s="138"/>
      <c r="L674" s="138"/>
      <c r="M674" s="552"/>
      <c r="N674" s="138"/>
    </row>
    <row r="675">
      <c r="A675" s="452"/>
      <c r="B675" s="549"/>
      <c r="C675" s="551"/>
      <c r="D675" s="550"/>
      <c r="E675" s="551"/>
      <c r="F675" s="138"/>
      <c r="G675" s="138"/>
      <c r="H675" s="138"/>
      <c r="I675" s="138"/>
      <c r="J675" s="138"/>
      <c r="K675" s="138"/>
      <c r="L675" s="138"/>
      <c r="M675" s="552"/>
      <c r="N675" s="138"/>
    </row>
    <row r="676">
      <c r="A676" s="452"/>
      <c r="B676" s="549"/>
      <c r="C676" s="551"/>
      <c r="D676" s="550"/>
      <c r="E676" s="551"/>
      <c r="F676" s="138"/>
      <c r="G676" s="138"/>
      <c r="H676" s="138"/>
      <c r="I676" s="138"/>
      <c r="J676" s="138"/>
      <c r="K676" s="138"/>
      <c r="L676" s="138"/>
      <c r="M676" s="552"/>
      <c r="N676" s="138"/>
    </row>
    <row r="677">
      <c r="A677" s="452"/>
      <c r="B677" s="549"/>
      <c r="C677" s="551"/>
      <c r="D677" s="550"/>
      <c r="E677" s="551"/>
      <c r="F677" s="138"/>
      <c r="G677" s="138"/>
      <c r="H677" s="138"/>
      <c r="I677" s="138"/>
      <c r="J677" s="138"/>
      <c r="K677" s="138"/>
      <c r="L677" s="138"/>
      <c r="M677" s="552"/>
      <c r="N677" s="138"/>
    </row>
    <row r="678">
      <c r="A678" s="452"/>
      <c r="B678" s="549"/>
      <c r="C678" s="551"/>
      <c r="D678" s="550"/>
      <c r="E678" s="551"/>
      <c r="F678" s="138"/>
      <c r="G678" s="138"/>
      <c r="H678" s="138"/>
      <c r="I678" s="138"/>
      <c r="J678" s="138"/>
      <c r="K678" s="138"/>
      <c r="L678" s="138"/>
      <c r="M678" s="552"/>
      <c r="N678" s="138"/>
    </row>
    <row r="679">
      <c r="A679" s="452"/>
      <c r="B679" s="549"/>
      <c r="C679" s="551"/>
      <c r="D679" s="550"/>
      <c r="E679" s="551"/>
      <c r="F679" s="138"/>
      <c r="G679" s="138"/>
      <c r="H679" s="138"/>
      <c r="I679" s="138"/>
      <c r="J679" s="138"/>
      <c r="K679" s="138"/>
      <c r="L679" s="138"/>
      <c r="M679" s="552"/>
      <c r="N679" s="138"/>
    </row>
    <row r="680">
      <c r="A680" s="452"/>
      <c r="B680" s="549"/>
      <c r="C680" s="551"/>
      <c r="D680" s="550"/>
      <c r="E680" s="551"/>
      <c r="F680" s="138"/>
      <c r="G680" s="138"/>
      <c r="H680" s="138"/>
      <c r="I680" s="138"/>
      <c r="J680" s="138"/>
      <c r="K680" s="138"/>
      <c r="L680" s="138"/>
      <c r="M680" s="552"/>
      <c r="N680" s="138"/>
    </row>
    <row r="681">
      <c r="A681" s="452"/>
      <c r="B681" s="549"/>
      <c r="C681" s="551"/>
      <c r="D681" s="550"/>
      <c r="E681" s="551"/>
      <c r="F681" s="138"/>
      <c r="G681" s="138"/>
      <c r="H681" s="138"/>
      <c r="I681" s="138"/>
      <c r="J681" s="138"/>
      <c r="K681" s="138"/>
      <c r="L681" s="138"/>
      <c r="M681" s="552"/>
      <c r="N681" s="138"/>
    </row>
    <row r="682">
      <c r="A682" s="452"/>
      <c r="B682" s="549"/>
      <c r="C682" s="551"/>
      <c r="D682" s="550"/>
      <c r="E682" s="551"/>
      <c r="F682" s="138"/>
      <c r="G682" s="138"/>
      <c r="H682" s="138"/>
      <c r="I682" s="138"/>
      <c r="J682" s="138"/>
      <c r="K682" s="138"/>
      <c r="L682" s="138"/>
      <c r="M682" s="552"/>
      <c r="N682" s="138"/>
    </row>
    <row r="683">
      <c r="A683" s="452"/>
      <c r="B683" s="549"/>
      <c r="C683" s="551"/>
      <c r="D683" s="550"/>
      <c r="E683" s="551"/>
      <c r="F683" s="138"/>
      <c r="G683" s="138"/>
      <c r="H683" s="138"/>
      <c r="I683" s="138"/>
      <c r="J683" s="138"/>
      <c r="K683" s="138"/>
      <c r="L683" s="138"/>
      <c r="M683" s="552"/>
      <c r="N683" s="138"/>
    </row>
    <row r="684">
      <c r="A684" s="452"/>
      <c r="B684" s="549"/>
      <c r="C684" s="551"/>
      <c r="D684" s="550"/>
      <c r="E684" s="551"/>
      <c r="F684" s="138"/>
      <c r="G684" s="138"/>
      <c r="H684" s="138"/>
      <c r="I684" s="138"/>
      <c r="J684" s="138"/>
      <c r="K684" s="138"/>
      <c r="L684" s="138"/>
      <c r="M684" s="552"/>
      <c r="N684" s="138"/>
    </row>
    <row r="685">
      <c r="A685" s="452"/>
      <c r="B685" s="549"/>
      <c r="C685" s="551"/>
      <c r="D685" s="550"/>
      <c r="E685" s="551"/>
      <c r="F685" s="138"/>
      <c r="G685" s="138"/>
      <c r="H685" s="138"/>
      <c r="I685" s="138"/>
      <c r="J685" s="138"/>
      <c r="K685" s="138"/>
      <c r="L685" s="138"/>
      <c r="M685" s="552"/>
      <c r="N685" s="138"/>
    </row>
    <row r="686">
      <c r="A686" s="452"/>
      <c r="B686" s="549"/>
      <c r="C686" s="551"/>
      <c r="D686" s="550"/>
      <c r="E686" s="551"/>
      <c r="F686" s="138"/>
      <c r="G686" s="138"/>
      <c r="H686" s="138"/>
      <c r="I686" s="138"/>
      <c r="J686" s="138"/>
      <c r="K686" s="138"/>
      <c r="L686" s="138"/>
      <c r="M686" s="552"/>
      <c r="N686" s="138"/>
    </row>
    <row r="687">
      <c r="A687" s="452"/>
      <c r="B687" s="549"/>
      <c r="C687" s="551"/>
      <c r="D687" s="550"/>
      <c r="E687" s="551"/>
      <c r="F687" s="138"/>
      <c r="G687" s="138"/>
      <c r="H687" s="138"/>
      <c r="I687" s="138"/>
      <c r="J687" s="138"/>
      <c r="K687" s="138"/>
      <c r="L687" s="138"/>
      <c r="M687" s="552"/>
      <c r="N687" s="138"/>
    </row>
    <row r="688">
      <c r="A688" s="452"/>
      <c r="B688" s="549"/>
      <c r="C688" s="551"/>
      <c r="D688" s="550"/>
      <c r="E688" s="551"/>
      <c r="F688" s="138"/>
      <c r="G688" s="138"/>
      <c r="H688" s="138"/>
      <c r="I688" s="138"/>
      <c r="J688" s="138"/>
      <c r="K688" s="138"/>
      <c r="L688" s="138"/>
      <c r="M688" s="552"/>
      <c r="N688" s="138"/>
    </row>
    <row r="689">
      <c r="A689" s="452"/>
      <c r="B689" s="549"/>
      <c r="C689" s="551"/>
      <c r="D689" s="550"/>
      <c r="E689" s="551"/>
      <c r="F689" s="138"/>
      <c r="G689" s="138"/>
      <c r="H689" s="138"/>
      <c r="I689" s="138"/>
      <c r="J689" s="138"/>
      <c r="K689" s="138"/>
      <c r="L689" s="138"/>
      <c r="M689" s="552"/>
      <c r="N689" s="138"/>
    </row>
    <row r="690">
      <c r="A690" s="452"/>
      <c r="B690" s="549"/>
      <c r="C690" s="551"/>
      <c r="D690" s="550"/>
      <c r="E690" s="551"/>
      <c r="F690" s="138"/>
      <c r="G690" s="138"/>
      <c r="H690" s="138"/>
      <c r="I690" s="138"/>
      <c r="J690" s="138"/>
      <c r="K690" s="138"/>
      <c r="L690" s="138"/>
      <c r="M690" s="552"/>
      <c r="N690" s="138"/>
    </row>
    <row r="691">
      <c r="A691" s="452"/>
      <c r="B691" s="549"/>
      <c r="C691" s="551"/>
      <c r="D691" s="550"/>
      <c r="E691" s="551"/>
      <c r="F691" s="138"/>
      <c r="G691" s="138"/>
      <c r="H691" s="138"/>
      <c r="I691" s="138"/>
      <c r="J691" s="138"/>
      <c r="K691" s="138"/>
      <c r="L691" s="138"/>
      <c r="M691" s="552"/>
      <c r="N691" s="138"/>
    </row>
    <row r="692">
      <c r="A692" s="452"/>
      <c r="B692" s="549"/>
      <c r="C692" s="551"/>
      <c r="D692" s="550"/>
      <c r="E692" s="551"/>
      <c r="F692" s="138"/>
      <c r="G692" s="138"/>
      <c r="H692" s="138"/>
      <c r="I692" s="138"/>
      <c r="J692" s="138"/>
      <c r="K692" s="138"/>
      <c r="L692" s="138"/>
      <c r="M692" s="552"/>
      <c r="N692" s="138"/>
    </row>
    <row r="693">
      <c r="A693" s="452"/>
      <c r="B693" s="549"/>
      <c r="C693" s="551"/>
      <c r="D693" s="550"/>
      <c r="E693" s="551"/>
      <c r="F693" s="138"/>
      <c r="G693" s="138"/>
      <c r="H693" s="138"/>
      <c r="I693" s="138"/>
      <c r="J693" s="138"/>
      <c r="K693" s="138"/>
      <c r="L693" s="138"/>
      <c r="M693" s="552"/>
      <c r="N693" s="138"/>
    </row>
    <row r="694">
      <c r="A694" s="452"/>
      <c r="B694" s="549"/>
      <c r="C694" s="551"/>
      <c r="D694" s="550"/>
      <c r="E694" s="551"/>
      <c r="F694" s="138"/>
      <c r="G694" s="138"/>
      <c r="H694" s="138"/>
      <c r="I694" s="138"/>
      <c r="J694" s="138"/>
      <c r="K694" s="138"/>
      <c r="L694" s="138"/>
      <c r="M694" s="552"/>
      <c r="N694" s="138"/>
    </row>
    <row r="695">
      <c r="A695" s="452"/>
      <c r="B695" s="549"/>
      <c r="C695" s="551"/>
      <c r="D695" s="550"/>
      <c r="E695" s="551"/>
      <c r="F695" s="138"/>
      <c r="G695" s="138"/>
      <c r="H695" s="138"/>
      <c r="I695" s="138"/>
      <c r="J695" s="138"/>
      <c r="K695" s="138"/>
      <c r="L695" s="138"/>
      <c r="M695" s="552"/>
      <c r="N695" s="138"/>
    </row>
    <row r="696">
      <c r="A696" s="452"/>
      <c r="B696" s="549"/>
      <c r="C696" s="551"/>
      <c r="D696" s="550"/>
      <c r="E696" s="551"/>
      <c r="F696" s="138"/>
      <c r="G696" s="138"/>
      <c r="H696" s="138"/>
      <c r="I696" s="138"/>
      <c r="J696" s="138"/>
      <c r="K696" s="138"/>
      <c r="L696" s="138"/>
      <c r="M696" s="552"/>
      <c r="N696" s="138"/>
    </row>
    <row r="697">
      <c r="A697" s="452"/>
      <c r="B697" s="549"/>
      <c r="C697" s="551"/>
      <c r="D697" s="550"/>
      <c r="E697" s="551"/>
      <c r="F697" s="138"/>
      <c r="G697" s="138"/>
      <c r="H697" s="138"/>
      <c r="I697" s="138"/>
      <c r="J697" s="138"/>
      <c r="K697" s="138"/>
      <c r="L697" s="138"/>
      <c r="M697" s="552"/>
      <c r="N697" s="138"/>
    </row>
    <row r="698">
      <c r="A698" s="452"/>
      <c r="B698" s="549"/>
      <c r="C698" s="551"/>
      <c r="D698" s="550"/>
      <c r="E698" s="551"/>
      <c r="F698" s="138"/>
      <c r="G698" s="138"/>
      <c r="H698" s="138"/>
      <c r="I698" s="138"/>
      <c r="J698" s="138"/>
      <c r="K698" s="138"/>
      <c r="L698" s="138"/>
      <c r="M698" s="552"/>
      <c r="N698" s="138"/>
    </row>
    <row r="699">
      <c r="A699" s="452"/>
      <c r="B699" s="549"/>
      <c r="C699" s="551"/>
      <c r="D699" s="550"/>
      <c r="E699" s="551"/>
      <c r="F699" s="138"/>
      <c r="G699" s="138"/>
      <c r="H699" s="138"/>
      <c r="I699" s="138"/>
      <c r="J699" s="138"/>
      <c r="K699" s="138"/>
      <c r="L699" s="138"/>
      <c r="M699" s="552"/>
      <c r="N699" s="138"/>
    </row>
    <row r="700">
      <c r="A700" s="452"/>
      <c r="B700" s="549"/>
      <c r="C700" s="551"/>
      <c r="D700" s="550"/>
      <c r="E700" s="551"/>
      <c r="F700" s="138"/>
      <c r="G700" s="138"/>
      <c r="H700" s="138"/>
      <c r="I700" s="138"/>
      <c r="J700" s="138"/>
      <c r="K700" s="138"/>
      <c r="L700" s="138"/>
      <c r="M700" s="552"/>
      <c r="N700" s="138"/>
    </row>
    <row r="701">
      <c r="A701" s="452"/>
      <c r="B701" s="549"/>
      <c r="C701" s="551"/>
      <c r="D701" s="550"/>
      <c r="E701" s="551"/>
      <c r="F701" s="138"/>
      <c r="G701" s="138"/>
      <c r="H701" s="138"/>
      <c r="I701" s="138"/>
      <c r="J701" s="138"/>
      <c r="K701" s="138"/>
      <c r="L701" s="138"/>
      <c r="M701" s="552"/>
      <c r="N701" s="138"/>
    </row>
    <row r="702">
      <c r="A702" s="452"/>
      <c r="B702" s="549"/>
      <c r="C702" s="551"/>
      <c r="D702" s="550"/>
      <c r="E702" s="551"/>
      <c r="F702" s="138"/>
      <c r="G702" s="138"/>
      <c r="H702" s="138"/>
      <c r="I702" s="138"/>
      <c r="J702" s="138"/>
      <c r="K702" s="138"/>
      <c r="L702" s="138"/>
      <c r="M702" s="552"/>
      <c r="N702" s="138"/>
    </row>
    <row r="703">
      <c r="A703" s="452"/>
      <c r="B703" s="549"/>
      <c r="C703" s="551"/>
      <c r="D703" s="550"/>
      <c r="E703" s="551"/>
      <c r="F703" s="138"/>
      <c r="G703" s="138"/>
      <c r="H703" s="138"/>
      <c r="I703" s="138"/>
      <c r="J703" s="138"/>
      <c r="K703" s="138"/>
      <c r="L703" s="138"/>
      <c r="M703" s="552"/>
      <c r="N703" s="138"/>
    </row>
    <row r="704">
      <c r="A704" s="452"/>
      <c r="B704" s="549"/>
      <c r="C704" s="551"/>
      <c r="D704" s="550"/>
      <c r="E704" s="551"/>
      <c r="F704" s="138"/>
      <c r="G704" s="138"/>
      <c r="H704" s="138"/>
      <c r="I704" s="138"/>
      <c r="J704" s="138"/>
      <c r="K704" s="138"/>
      <c r="L704" s="138"/>
      <c r="M704" s="552"/>
      <c r="N704" s="138"/>
    </row>
    <row r="705">
      <c r="A705" s="452"/>
      <c r="B705" s="549"/>
      <c r="C705" s="551"/>
      <c r="D705" s="550"/>
      <c r="E705" s="551"/>
      <c r="F705" s="138"/>
      <c r="G705" s="138"/>
      <c r="H705" s="138"/>
      <c r="I705" s="138"/>
      <c r="J705" s="138"/>
      <c r="K705" s="138"/>
      <c r="L705" s="138"/>
      <c r="M705" s="552"/>
      <c r="N705" s="138"/>
    </row>
    <row r="706">
      <c r="A706" s="452"/>
      <c r="B706" s="549"/>
      <c r="C706" s="551"/>
      <c r="D706" s="550"/>
      <c r="E706" s="551"/>
      <c r="F706" s="138"/>
      <c r="G706" s="138"/>
      <c r="H706" s="138"/>
      <c r="I706" s="138"/>
      <c r="J706" s="138"/>
      <c r="K706" s="138"/>
      <c r="L706" s="138"/>
      <c r="M706" s="552"/>
      <c r="N706" s="138"/>
    </row>
    <row r="707">
      <c r="A707" s="452"/>
      <c r="B707" s="549"/>
      <c r="C707" s="551"/>
      <c r="D707" s="550"/>
      <c r="E707" s="551"/>
      <c r="F707" s="138"/>
      <c r="G707" s="138"/>
      <c r="H707" s="138"/>
      <c r="I707" s="138"/>
      <c r="J707" s="138"/>
      <c r="K707" s="138"/>
      <c r="L707" s="138"/>
      <c r="M707" s="552"/>
      <c r="N707" s="138"/>
    </row>
    <row r="708">
      <c r="A708" s="452"/>
      <c r="B708" s="549"/>
      <c r="C708" s="551"/>
      <c r="D708" s="550"/>
      <c r="E708" s="551"/>
      <c r="F708" s="138"/>
      <c r="G708" s="138"/>
      <c r="H708" s="138"/>
      <c r="I708" s="138"/>
      <c r="J708" s="138"/>
      <c r="K708" s="138"/>
      <c r="L708" s="138"/>
      <c r="M708" s="552"/>
      <c r="N708" s="138"/>
    </row>
    <row r="709">
      <c r="A709" s="452"/>
      <c r="B709" s="549"/>
      <c r="C709" s="551"/>
      <c r="D709" s="550"/>
      <c r="E709" s="551"/>
      <c r="F709" s="138"/>
      <c r="G709" s="138"/>
      <c r="H709" s="138"/>
      <c r="I709" s="138"/>
      <c r="J709" s="138"/>
      <c r="K709" s="138"/>
      <c r="L709" s="138"/>
      <c r="M709" s="552"/>
      <c r="N709" s="138"/>
    </row>
    <row r="710">
      <c r="A710" s="452"/>
      <c r="B710" s="549"/>
      <c r="C710" s="551"/>
      <c r="D710" s="550"/>
      <c r="E710" s="551"/>
      <c r="F710" s="138"/>
      <c r="G710" s="138"/>
      <c r="H710" s="138"/>
      <c r="I710" s="138"/>
      <c r="J710" s="138"/>
      <c r="K710" s="138"/>
      <c r="L710" s="138"/>
      <c r="M710" s="552"/>
      <c r="N710" s="138"/>
    </row>
    <row r="711">
      <c r="A711" s="452"/>
      <c r="B711" s="549"/>
      <c r="C711" s="551"/>
      <c r="D711" s="550"/>
      <c r="E711" s="551"/>
      <c r="F711" s="138"/>
      <c r="G711" s="138"/>
      <c r="H711" s="138"/>
      <c r="I711" s="138"/>
      <c r="J711" s="138"/>
      <c r="K711" s="138"/>
      <c r="L711" s="138"/>
      <c r="M711" s="552"/>
      <c r="N711" s="138"/>
    </row>
    <row r="712">
      <c r="A712" s="452"/>
      <c r="B712" s="549"/>
      <c r="C712" s="551"/>
      <c r="D712" s="550"/>
      <c r="E712" s="551"/>
      <c r="F712" s="138"/>
      <c r="G712" s="138"/>
      <c r="H712" s="138"/>
      <c r="I712" s="138"/>
      <c r="J712" s="138"/>
      <c r="K712" s="138"/>
      <c r="L712" s="138"/>
      <c r="M712" s="552"/>
      <c r="N712" s="138"/>
    </row>
    <row r="713">
      <c r="A713" s="452"/>
      <c r="B713" s="549"/>
      <c r="C713" s="551"/>
      <c r="D713" s="550"/>
      <c r="E713" s="551"/>
      <c r="F713" s="138"/>
      <c r="G713" s="138"/>
      <c r="H713" s="138"/>
      <c r="I713" s="138"/>
      <c r="J713" s="138"/>
      <c r="K713" s="138"/>
      <c r="L713" s="138"/>
      <c r="M713" s="552"/>
      <c r="N713" s="138"/>
    </row>
    <row r="714">
      <c r="A714" s="452"/>
      <c r="B714" s="549"/>
      <c r="C714" s="551"/>
      <c r="D714" s="550"/>
      <c r="E714" s="551"/>
      <c r="F714" s="138"/>
      <c r="G714" s="138"/>
      <c r="H714" s="138"/>
      <c r="I714" s="138"/>
      <c r="J714" s="138"/>
      <c r="K714" s="138"/>
      <c r="L714" s="138"/>
      <c r="M714" s="552"/>
      <c r="N714" s="138"/>
    </row>
    <row r="715">
      <c r="A715" s="452"/>
      <c r="B715" s="549"/>
      <c r="C715" s="551"/>
      <c r="D715" s="550"/>
      <c r="E715" s="551"/>
      <c r="F715" s="138"/>
      <c r="G715" s="138"/>
      <c r="H715" s="138"/>
      <c r="I715" s="138"/>
      <c r="J715" s="138"/>
      <c r="K715" s="138"/>
      <c r="L715" s="138"/>
      <c r="M715" s="552"/>
      <c r="N715" s="138"/>
    </row>
    <row r="716">
      <c r="A716" s="452"/>
      <c r="B716" s="549"/>
      <c r="C716" s="551"/>
      <c r="D716" s="550"/>
      <c r="E716" s="551"/>
      <c r="F716" s="138"/>
      <c r="G716" s="138"/>
      <c r="H716" s="138"/>
      <c r="I716" s="138"/>
      <c r="J716" s="138"/>
      <c r="K716" s="138"/>
      <c r="L716" s="138"/>
      <c r="M716" s="552"/>
      <c r="N716" s="138"/>
    </row>
    <row r="717">
      <c r="A717" s="452"/>
      <c r="B717" s="549"/>
      <c r="C717" s="551"/>
      <c r="D717" s="550"/>
      <c r="E717" s="551"/>
      <c r="F717" s="138"/>
      <c r="G717" s="138"/>
      <c r="H717" s="138"/>
      <c r="I717" s="138"/>
      <c r="J717" s="138"/>
      <c r="K717" s="138"/>
      <c r="L717" s="138"/>
      <c r="M717" s="552"/>
      <c r="N717" s="138"/>
    </row>
    <row r="718">
      <c r="A718" s="452"/>
      <c r="B718" s="549"/>
      <c r="C718" s="551"/>
      <c r="D718" s="550"/>
      <c r="E718" s="551"/>
      <c r="F718" s="138"/>
      <c r="G718" s="138"/>
      <c r="H718" s="138"/>
      <c r="I718" s="138"/>
      <c r="J718" s="138"/>
      <c r="K718" s="138"/>
      <c r="L718" s="138"/>
      <c r="M718" s="552"/>
      <c r="N718" s="138"/>
    </row>
    <row r="719">
      <c r="A719" s="452"/>
      <c r="B719" s="549"/>
      <c r="C719" s="551"/>
      <c r="D719" s="550"/>
      <c r="E719" s="551"/>
      <c r="F719" s="138"/>
      <c r="G719" s="138"/>
      <c r="H719" s="138"/>
      <c r="I719" s="138"/>
      <c r="J719" s="138"/>
      <c r="K719" s="138"/>
      <c r="L719" s="138"/>
      <c r="M719" s="552"/>
      <c r="N719" s="138"/>
    </row>
    <row r="720">
      <c r="A720" s="452"/>
      <c r="B720" s="549"/>
      <c r="C720" s="551"/>
      <c r="D720" s="550"/>
      <c r="E720" s="551"/>
      <c r="F720" s="138"/>
      <c r="G720" s="138"/>
      <c r="H720" s="138"/>
      <c r="I720" s="138"/>
      <c r="J720" s="138"/>
      <c r="K720" s="138"/>
      <c r="L720" s="138"/>
      <c r="M720" s="552"/>
      <c r="N720" s="138"/>
    </row>
    <row r="721">
      <c r="A721" s="452"/>
      <c r="B721" s="549"/>
      <c r="C721" s="551"/>
      <c r="D721" s="550"/>
      <c r="E721" s="551"/>
      <c r="F721" s="138"/>
      <c r="G721" s="138"/>
      <c r="H721" s="138"/>
      <c r="I721" s="138"/>
      <c r="J721" s="138"/>
      <c r="K721" s="138"/>
      <c r="L721" s="138"/>
      <c r="M721" s="552"/>
      <c r="N721" s="138"/>
    </row>
    <row r="722">
      <c r="A722" s="452"/>
      <c r="B722" s="549"/>
      <c r="C722" s="551"/>
      <c r="D722" s="550"/>
      <c r="E722" s="551"/>
      <c r="F722" s="138"/>
      <c r="G722" s="138"/>
      <c r="H722" s="138"/>
      <c r="I722" s="138"/>
      <c r="J722" s="138"/>
      <c r="K722" s="138"/>
      <c r="L722" s="138"/>
      <c r="M722" s="552"/>
      <c r="N722" s="138"/>
    </row>
    <row r="723">
      <c r="A723" s="452"/>
      <c r="B723" s="549"/>
      <c r="C723" s="551"/>
      <c r="D723" s="550"/>
      <c r="E723" s="551"/>
      <c r="F723" s="138"/>
      <c r="G723" s="138"/>
      <c r="H723" s="138"/>
      <c r="I723" s="138"/>
      <c r="J723" s="138"/>
      <c r="K723" s="138"/>
      <c r="L723" s="138"/>
      <c r="M723" s="552"/>
      <c r="N723" s="138"/>
    </row>
    <row r="724">
      <c r="A724" s="452"/>
      <c r="B724" s="549"/>
      <c r="C724" s="551"/>
      <c r="D724" s="550"/>
      <c r="E724" s="551"/>
      <c r="F724" s="138"/>
      <c r="G724" s="138"/>
      <c r="H724" s="138"/>
      <c r="I724" s="138"/>
      <c r="J724" s="138"/>
      <c r="K724" s="138"/>
      <c r="L724" s="138"/>
      <c r="M724" s="552"/>
      <c r="N724" s="138"/>
    </row>
    <row r="725">
      <c r="A725" s="452"/>
      <c r="B725" s="549"/>
      <c r="C725" s="551"/>
      <c r="D725" s="550"/>
      <c r="E725" s="551"/>
      <c r="F725" s="138"/>
      <c r="G725" s="138"/>
      <c r="H725" s="138"/>
      <c r="I725" s="138"/>
      <c r="J725" s="138"/>
      <c r="K725" s="138"/>
      <c r="L725" s="138"/>
      <c r="M725" s="552"/>
      <c r="N725" s="138"/>
    </row>
    <row r="726">
      <c r="A726" s="452"/>
      <c r="B726" s="549"/>
      <c r="C726" s="551"/>
      <c r="D726" s="550"/>
      <c r="E726" s="551"/>
      <c r="F726" s="138"/>
      <c r="G726" s="138"/>
      <c r="H726" s="138"/>
      <c r="I726" s="138"/>
      <c r="J726" s="138"/>
      <c r="K726" s="138"/>
      <c r="L726" s="138"/>
      <c r="M726" s="552"/>
      <c r="N726" s="138"/>
    </row>
    <row r="727">
      <c r="A727" s="452"/>
      <c r="B727" s="549"/>
      <c r="C727" s="551"/>
      <c r="D727" s="550"/>
      <c r="E727" s="551"/>
      <c r="F727" s="138"/>
      <c r="G727" s="138"/>
      <c r="H727" s="138"/>
      <c r="I727" s="138"/>
      <c r="J727" s="138"/>
      <c r="K727" s="138"/>
      <c r="L727" s="138"/>
      <c r="M727" s="552"/>
      <c r="N727" s="138"/>
    </row>
    <row r="728">
      <c r="A728" s="452"/>
      <c r="B728" s="549"/>
      <c r="C728" s="551"/>
      <c r="D728" s="550"/>
      <c r="E728" s="551"/>
      <c r="F728" s="138"/>
      <c r="G728" s="138"/>
      <c r="H728" s="138"/>
      <c r="I728" s="138"/>
      <c r="J728" s="138"/>
      <c r="K728" s="138"/>
      <c r="L728" s="138"/>
      <c r="M728" s="552"/>
      <c r="N728" s="138"/>
    </row>
    <row r="729">
      <c r="A729" s="452"/>
      <c r="B729" s="549"/>
      <c r="C729" s="551"/>
      <c r="D729" s="550"/>
      <c r="E729" s="551"/>
      <c r="F729" s="138"/>
      <c r="G729" s="138"/>
      <c r="H729" s="138"/>
      <c r="I729" s="138"/>
      <c r="J729" s="138"/>
      <c r="K729" s="138"/>
      <c r="L729" s="138"/>
      <c r="M729" s="552"/>
      <c r="N729" s="138"/>
    </row>
    <row r="730">
      <c r="A730" s="452"/>
      <c r="B730" s="549"/>
      <c r="C730" s="551"/>
      <c r="D730" s="550"/>
      <c r="E730" s="551"/>
      <c r="F730" s="138"/>
      <c r="G730" s="138"/>
      <c r="H730" s="138"/>
      <c r="I730" s="138"/>
      <c r="J730" s="138"/>
      <c r="K730" s="138"/>
      <c r="L730" s="138"/>
      <c r="M730" s="552"/>
      <c r="N730" s="138"/>
    </row>
    <row r="731">
      <c r="A731" s="452"/>
      <c r="B731" s="549"/>
      <c r="C731" s="551"/>
      <c r="D731" s="550"/>
      <c r="E731" s="551"/>
      <c r="F731" s="138"/>
      <c r="G731" s="138"/>
      <c r="H731" s="138"/>
      <c r="I731" s="138"/>
      <c r="J731" s="138"/>
      <c r="K731" s="138"/>
      <c r="L731" s="138"/>
      <c r="M731" s="552"/>
      <c r="N731" s="138"/>
    </row>
    <row r="732">
      <c r="A732" s="452"/>
      <c r="B732" s="549"/>
      <c r="C732" s="551"/>
      <c r="D732" s="550"/>
      <c r="E732" s="551"/>
      <c r="F732" s="138"/>
      <c r="G732" s="138"/>
      <c r="H732" s="138"/>
      <c r="I732" s="138"/>
      <c r="J732" s="138"/>
      <c r="K732" s="138"/>
      <c r="L732" s="138"/>
      <c r="M732" s="552"/>
      <c r="N732" s="138"/>
    </row>
    <row r="733">
      <c r="A733" s="452"/>
      <c r="B733" s="549"/>
      <c r="C733" s="551"/>
      <c r="D733" s="550"/>
      <c r="E733" s="551"/>
      <c r="F733" s="138"/>
      <c r="G733" s="138"/>
      <c r="H733" s="138"/>
      <c r="I733" s="138"/>
      <c r="J733" s="138"/>
      <c r="K733" s="138"/>
      <c r="L733" s="138"/>
      <c r="M733" s="552"/>
      <c r="N733" s="138"/>
    </row>
    <row r="734">
      <c r="A734" s="452"/>
      <c r="B734" s="549"/>
      <c r="C734" s="551"/>
      <c r="D734" s="550"/>
      <c r="E734" s="551"/>
      <c r="F734" s="138"/>
      <c r="G734" s="138"/>
      <c r="H734" s="138"/>
      <c r="I734" s="138"/>
      <c r="J734" s="138"/>
      <c r="K734" s="138"/>
      <c r="L734" s="138"/>
      <c r="M734" s="552"/>
      <c r="N734" s="138"/>
    </row>
    <row r="735">
      <c r="A735" s="452"/>
      <c r="B735" s="549"/>
      <c r="C735" s="551"/>
      <c r="D735" s="550"/>
      <c r="E735" s="551"/>
      <c r="F735" s="138"/>
      <c r="G735" s="138"/>
      <c r="H735" s="138"/>
      <c r="I735" s="138"/>
      <c r="J735" s="138"/>
      <c r="K735" s="138"/>
      <c r="L735" s="138"/>
      <c r="M735" s="552"/>
      <c r="N735" s="138"/>
    </row>
    <row r="736">
      <c r="A736" s="452"/>
      <c r="B736" s="549"/>
      <c r="C736" s="551"/>
      <c r="D736" s="550"/>
      <c r="E736" s="551"/>
      <c r="F736" s="138"/>
      <c r="G736" s="138"/>
      <c r="H736" s="138"/>
      <c r="I736" s="138"/>
      <c r="J736" s="138"/>
      <c r="K736" s="138"/>
      <c r="L736" s="138"/>
      <c r="M736" s="552"/>
      <c r="N736" s="138"/>
    </row>
    <row r="737">
      <c r="A737" s="452"/>
      <c r="B737" s="549"/>
      <c r="C737" s="551"/>
      <c r="D737" s="550"/>
      <c r="E737" s="551"/>
      <c r="F737" s="138"/>
      <c r="G737" s="138"/>
      <c r="H737" s="138"/>
      <c r="I737" s="138"/>
      <c r="J737" s="138"/>
      <c r="K737" s="138"/>
      <c r="L737" s="138"/>
      <c r="M737" s="552"/>
      <c r="N737" s="138"/>
    </row>
    <row r="738">
      <c r="A738" s="452"/>
      <c r="B738" s="549"/>
      <c r="C738" s="551"/>
      <c r="D738" s="550"/>
      <c r="E738" s="551"/>
      <c r="F738" s="138"/>
      <c r="G738" s="138"/>
      <c r="H738" s="138"/>
      <c r="I738" s="138"/>
      <c r="J738" s="138"/>
      <c r="K738" s="138"/>
      <c r="L738" s="138"/>
      <c r="M738" s="552"/>
      <c r="N738" s="138"/>
    </row>
    <row r="739">
      <c r="A739" s="452"/>
      <c r="B739" s="549"/>
      <c r="C739" s="551"/>
      <c r="D739" s="550"/>
      <c r="E739" s="551"/>
      <c r="F739" s="138"/>
      <c r="G739" s="138"/>
      <c r="H739" s="138"/>
      <c r="I739" s="138"/>
      <c r="J739" s="138"/>
      <c r="K739" s="138"/>
      <c r="L739" s="138"/>
      <c r="M739" s="552"/>
      <c r="N739" s="138"/>
    </row>
    <row r="740">
      <c r="A740" s="452"/>
      <c r="B740" s="549"/>
      <c r="C740" s="551"/>
      <c r="D740" s="550"/>
      <c r="E740" s="551"/>
      <c r="F740" s="138"/>
      <c r="G740" s="138"/>
      <c r="H740" s="138"/>
      <c r="I740" s="138"/>
      <c r="J740" s="138"/>
      <c r="K740" s="138"/>
      <c r="L740" s="138"/>
      <c r="M740" s="552"/>
      <c r="N740" s="138"/>
    </row>
    <row r="741">
      <c r="A741" s="452"/>
      <c r="B741" s="549"/>
      <c r="C741" s="551"/>
      <c r="D741" s="550"/>
      <c r="E741" s="551"/>
      <c r="F741" s="138"/>
      <c r="G741" s="138"/>
      <c r="H741" s="138"/>
      <c r="I741" s="138"/>
      <c r="J741" s="138"/>
      <c r="K741" s="138"/>
      <c r="L741" s="138"/>
      <c r="M741" s="552"/>
      <c r="N741" s="138"/>
    </row>
    <row r="742">
      <c r="A742" s="452"/>
      <c r="B742" s="549"/>
      <c r="C742" s="551"/>
      <c r="D742" s="550"/>
      <c r="E742" s="551"/>
      <c r="F742" s="138"/>
      <c r="G742" s="138"/>
      <c r="H742" s="138"/>
      <c r="I742" s="138"/>
      <c r="J742" s="138"/>
      <c r="K742" s="138"/>
      <c r="L742" s="138"/>
      <c r="M742" s="552"/>
      <c r="N742" s="138"/>
    </row>
    <row r="743">
      <c r="A743" s="452"/>
      <c r="B743" s="549"/>
      <c r="C743" s="551"/>
      <c r="D743" s="550"/>
      <c r="E743" s="551"/>
      <c r="F743" s="138"/>
      <c r="G743" s="138"/>
      <c r="H743" s="138"/>
      <c r="I743" s="138"/>
      <c r="J743" s="138"/>
      <c r="K743" s="138"/>
      <c r="L743" s="138"/>
      <c r="M743" s="552"/>
      <c r="N743" s="138"/>
    </row>
    <row r="744">
      <c r="A744" s="452"/>
      <c r="B744" s="549"/>
      <c r="C744" s="551"/>
      <c r="D744" s="550"/>
      <c r="E744" s="551"/>
      <c r="F744" s="138"/>
      <c r="G744" s="138"/>
      <c r="H744" s="138"/>
      <c r="I744" s="138"/>
      <c r="J744" s="138"/>
      <c r="K744" s="138"/>
      <c r="L744" s="138"/>
      <c r="M744" s="552"/>
      <c r="N744" s="138"/>
    </row>
    <row r="745">
      <c r="A745" s="452"/>
      <c r="B745" s="549"/>
      <c r="C745" s="551"/>
      <c r="D745" s="550"/>
      <c r="E745" s="551"/>
      <c r="F745" s="138"/>
      <c r="G745" s="138"/>
      <c r="H745" s="138"/>
      <c r="I745" s="138"/>
      <c r="J745" s="138"/>
      <c r="K745" s="138"/>
      <c r="L745" s="138"/>
      <c r="M745" s="552"/>
      <c r="N745" s="138"/>
    </row>
    <row r="746">
      <c r="A746" s="452"/>
      <c r="B746" s="549"/>
      <c r="C746" s="551"/>
      <c r="D746" s="550"/>
      <c r="E746" s="551"/>
      <c r="F746" s="138"/>
      <c r="G746" s="138"/>
      <c r="H746" s="138"/>
      <c r="I746" s="138"/>
      <c r="J746" s="138"/>
      <c r="K746" s="138"/>
      <c r="L746" s="138"/>
      <c r="M746" s="552"/>
      <c r="N746" s="138"/>
    </row>
    <row r="747">
      <c r="A747" s="452"/>
      <c r="B747" s="549"/>
      <c r="C747" s="551"/>
      <c r="D747" s="550"/>
      <c r="E747" s="551"/>
      <c r="F747" s="138"/>
      <c r="G747" s="138"/>
      <c r="H747" s="138"/>
      <c r="I747" s="138"/>
      <c r="J747" s="138"/>
      <c r="K747" s="138"/>
      <c r="L747" s="138"/>
      <c r="M747" s="552"/>
      <c r="N747" s="138"/>
    </row>
    <row r="748">
      <c r="A748" s="452"/>
      <c r="B748" s="549"/>
      <c r="C748" s="551"/>
      <c r="D748" s="550"/>
      <c r="E748" s="551"/>
      <c r="F748" s="138"/>
      <c r="G748" s="138"/>
      <c r="H748" s="138"/>
      <c r="I748" s="138"/>
      <c r="J748" s="138"/>
      <c r="K748" s="138"/>
      <c r="L748" s="138"/>
      <c r="M748" s="552"/>
      <c r="N748" s="138"/>
    </row>
    <row r="749">
      <c r="A749" s="452"/>
      <c r="B749" s="549"/>
      <c r="C749" s="551"/>
      <c r="D749" s="550"/>
      <c r="E749" s="551"/>
      <c r="F749" s="138"/>
      <c r="G749" s="138"/>
      <c r="H749" s="138"/>
      <c r="I749" s="138"/>
      <c r="J749" s="138"/>
      <c r="K749" s="138"/>
      <c r="L749" s="138"/>
      <c r="M749" s="552"/>
      <c r="N749" s="138"/>
    </row>
    <row r="750">
      <c r="A750" s="452"/>
      <c r="B750" s="549"/>
      <c r="C750" s="551"/>
      <c r="D750" s="550"/>
      <c r="E750" s="551"/>
      <c r="F750" s="138"/>
      <c r="G750" s="138"/>
      <c r="H750" s="138"/>
      <c r="I750" s="138"/>
      <c r="J750" s="138"/>
      <c r="K750" s="138"/>
      <c r="L750" s="138"/>
      <c r="M750" s="552"/>
      <c r="N750" s="138"/>
    </row>
    <row r="751">
      <c r="A751" s="452"/>
      <c r="B751" s="549"/>
      <c r="C751" s="551"/>
      <c r="D751" s="550"/>
      <c r="E751" s="551"/>
      <c r="F751" s="138"/>
      <c r="G751" s="138"/>
      <c r="H751" s="138"/>
      <c r="I751" s="138"/>
      <c r="J751" s="138"/>
      <c r="K751" s="138"/>
      <c r="L751" s="138"/>
      <c r="M751" s="552"/>
      <c r="N751" s="138"/>
    </row>
    <row r="752">
      <c r="A752" s="452"/>
      <c r="B752" s="549"/>
      <c r="C752" s="551"/>
      <c r="D752" s="550"/>
      <c r="E752" s="551"/>
      <c r="F752" s="138"/>
      <c r="G752" s="138"/>
      <c r="H752" s="138"/>
      <c r="I752" s="138"/>
      <c r="J752" s="138"/>
      <c r="K752" s="138"/>
      <c r="L752" s="138"/>
      <c r="M752" s="552"/>
      <c r="N752" s="138"/>
    </row>
    <row r="753">
      <c r="A753" s="452"/>
      <c r="B753" s="549"/>
      <c r="C753" s="551"/>
      <c r="D753" s="550"/>
      <c r="E753" s="551"/>
      <c r="F753" s="138"/>
      <c r="G753" s="138"/>
      <c r="H753" s="138"/>
      <c r="I753" s="138"/>
      <c r="J753" s="138"/>
      <c r="K753" s="138"/>
      <c r="L753" s="138"/>
      <c r="M753" s="552"/>
      <c r="N753" s="138"/>
    </row>
    <row r="754">
      <c r="A754" s="452"/>
      <c r="B754" s="549"/>
      <c r="C754" s="551"/>
      <c r="D754" s="550"/>
      <c r="E754" s="551"/>
      <c r="F754" s="138"/>
      <c r="G754" s="138"/>
      <c r="H754" s="138"/>
      <c r="I754" s="138"/>
      <c r="J754" s="138"/>
      <c r="K754" s="138"/>
      <c r="L754" s="138"/>
      <c r="M754" s="552"/>
      <c r="N754" s="138"/>
    </row>
    <row r="755">
      <c r="A755" s="452"/>
      <c r="B755" s="549"/>
      <c r="C755" s="551"/>
      <c r="D755" s="550"/>
      <c r="E755" s="551"/>
      <c r="F755" s="138"/>
      <c r="G755" s="138"/>
      <c r="H755" s="138"/>
      <c r="I755" s="138"/>
      <c r="J755" s="138"/>
      <c r="K755" s="138"/>
      <c r="L755" s="138"/>
      <c r="M755" s="552"/>
      <c r="N755" s="138"/>
    </row>
    <row r="756">
      <c r="A756" s="452"/>
      <c r="B756" s="549"/>
      <c r="C756" s="551"/>
      <c r="D756" s="550"/>
      <c r="E756" s="551"/>
      <c r="F756" s="138"/>
      <c r="G756" s="138"/>
      <c r="H756" s="138"/>
      <c r="I756" s="138"/>
      <c r="J756" s="138"/>
      <c r="K756" s="138"/>
      <c r="L756" s="138"/>
      <c r="M756" s="552"/>
      <c r="N756" s="138"/>
    </row>
    <row r="757">
      <c r="A757" s="452"/>
      <c r="B757" s="549"/>
      <c r="C757" s="551"/>
      <c r="D757" s="550"/>
      <c r="E757" s="551"/>
      <c r="F757" s="138"/>
      <c r="G757" s="138"/>
      <c r="H757" s="138"/>
      <c r="I757" s="138"/>
      <c r="J757" s="138"/>
      <c r="K757" s="138"/>
      <c r="L757" s="138"/>
      <c r="M757" s="552"/>
      <c r="N757" s="138"/>
    </row>
    <row r="758">
      <c r="A758" s="452"/>
      <c r="B758" s="549"/>
      <c r="C758" s="551"/>
      <c r="D758" s="550"/>
      <c r="E758" s="551"/>
      <c r="F758" s="138"/>
      <c r="G758" s="138"/>
      <c r="H758" s="138"/>
      <c r="I758" s="138"/>
      <c r="J758" s="138"/>
      <c r="K758" s="138"/>
      <c r="L758" s="138"/>
      <c r="M758" s="552"/>
      <c r="N758" s="138"/>
    </row>
    <row r="759">
      <c r="A759" s="452"/>
      <c r="B759" s="549"/>
      <c r="C759" s="551"/>
      <c r="D759" s="550"/>
      <c r="E759" s="551"/>
      <c r="F759" s="138"/>
      <c r="G759" s="138"/>
      <c r="H759" s="138"/>
      <c r="I759" s="138"/>
      <c r="J759" s="138"/>
      <c r="K759" s="138"/>
      <c r="L759" s="138"/>
      <c r="M759" s="552"/>
      <c r="N759" s="138"/>
    </row>
    <row r="760">
      <c r="A760" s="452"/>
      <c r="B760" s="549"/>
      <c r="C760" s="551"/>
      <c r="D760" s="550"/>
      <c r="E760" s="551"/>
      <c r="F760" s="138"/>
      <c r="G760" s="138"/>
      <c r="H760" s="138"/>
      <c r="I760" s="138"/>
      <c r="J760" s="138"/>
      <c r="K760" s="138"/>
      <c r="L760" s="138"/>
      <c r="M760" s="552"/>
      <c r="N760" s="138"/>
    </row>
    <row r="761">
      <c r="A761" s="452"/>
      <c r="B761" s="549"/>
      <c r="C761" s="551"/>
      <c r="D761" s="550"/>
      <c r="E761" s="551"/>
      <c r="F761" s="138"/>
      <c r="G761" s="138"/>
      <c r="H761" s="138"/>
      <c r="I761" s="138"/>
      <c r="J761" s="138"/>
      <c r="K761" s="138"/>
      <c r="L761" s="138"/>
      <c r="M761" s="552"/>
      <c r="N761" s="138"/>
    </row>
    <row r="762">
      <c r="A762" s="452"/>
      <c r="B762" s="549"/>
      <c r="C762" s="551"/>
      <c r="D762" s="550"/>
      <c r="E762" s="551"/>
      <c r="F762" s="138"/>
      <c r="G762" s="138"/>
      <c r="H762" s="138"/>
      <c r="I762" s="138"/>
      <c r="J762" s="138"/>
      <c r="K762" s="138"/>
      <c r="L762" s="138"/>
      <c r="M762" s="552"/>
      <c r="N762" s="138"/>
    </row>
    <row r="763">
      <c r="A763" s="452"/>
      <c r="B763" s="549"/>
      <c r="C763" s="551"/>
      <c r="D763" s="550"/>
      <c r="E763" s="551"/>
      <c r="F763" s="138"/>
      <c r="G763" s="138"/>
      <c r="H763" s="138"/>
      <c r="I763" s="138"/>
      <c r="J763" s="138"/>
      <c r="K763" s="138"/>
      <c r="L763" s="138"/>
      <c r="M763" s="552"/>
      <c r="N763" s="138"/>
    </row>
    <row r="764">
      <c r="A764" s="452"/>
      <c r="B764" s="549"/>
      <c r="C764" s="551"/>
      <c r="D764" s="550"/>
      <c r="E764" s="551"/>
      <c r="F764" s="138"/>
      <c r="G764" s="138"/>
      <c r="H764" s="138"/>
      <c r="I764" s="138"/>
      <c r="J764" s="138"/>
      <c r="K764" s="138"/>
      <c r="L764" s="138"/>
      <c r="M764" s="552"/>
      <c r="N764" s="138"/>
    </row>
    <row r="765">
      <c r="A765" s="452"/>
      <c r="B765" s="549"/>
      <c r="C765" s="551"/>
      <c r="D765" s="550"/>
      <c r="E765" s="551"/>
      <c r="F765" s="138"/>
      <c r="G765" s="138"/>
      <c r="H765" s="138"/>
      <c r="I765" s="138"/>
      <c r="J765" s="138"/>
      <c r="K765" s="138"/>
      <c r="L765" s="138"/>
      <c r="M765" s="552"/>
      <c r="N765" s="138"/>
    </row>
    <row r="766">
      <c r="A766" s="452"/>
      <c r="B766" s="549"/>
      <c r="C766" s="551"/>
      <c r="D766" s="550"/>
      <c r="E766" s="551"/>
      <c r="F766" s="138"/>
      <c r="G766" s="138"/>
      <c r="H766" s="138"/>
      <c r="I766" s="138"/>
      <c r="J766" s="138"/>
      <c r="K766" s="138"/>
      <c r="L766" s="138"/>
      <c r="M766" s="552"/>
      <c r="N766" s="138"/>
    </row>
    <row r="767">
      <c r="A767" s="452"/>
      <c r="B767" s="549"/>
      <c r="C767" s="551"/>
      <c r="D767" s="550"/>
      <c r="E767" s="551"/>
      <c r="F767" s="138"/>
      <c r="G767" s="138"/>
      <c r="H767" s="138"/>
      <c r="I767" s="138"/>
      <c r="J767" s="138"/>
      <c r="K767" s="138"/>
      <c r="L767" s="138"/>
      <c r="M767" s="552"/>
      <c r="N767" s="138"/>
    </row>
    <row r="768">
      <c r="A768" s="452"/>
      <c r="B768" s="549"/>
      <c r="C768" s="551"/>
      <c r="D768" s="550"/>
      <c r="E768" s="551"/>
      <c r="F768" s="138"/>
      <c r="G768" s="138"/>
      <c r="H768" s="138"/>
      <c r="I768" s="138"/>
      <c r="J768" s="138"/>
      <c r="K768" s="138"/>
      <c r="L768" s="138"/>
      <c r="M768" s="552"/>
      <c r="N768" s="138"/>
    </row>
    <row r="769">
      <c r="A769" s="452"/>
      <c r="B769" s="549"/>
      <c r="C769" s="551"/>
      <c r="D769" s="550"/>
      <c r="E769" s="551"/>
      <c r="F769" s="138"/>
      <c r="G769" s="138"/>
      <c r="H769" s="138"/>
      <c r="I769" s="138"/>
      <c r="J769" s="138"/>
      <c r="K769" s="138"/>
      <c r="L769" s="138"/>
      <c r="M769" s="552"/>
      <c r="N769" s="138"/>
    </row>
    <row r="770">
      <c r="A770" s="452"/>
      <c r="B770" s="549"/>
      <c r="C770" s="551"/>
      <c r="D770" s="550"/>
      <c r="E770" s="551"/>
      <c r="F770" s="138"/>
      <c r="G770" s="138"/>
      <c r="H770" s="138"/>
      <c r="I770" s="138"/>
      <c r="J770" s="138"/>
      <c r="K770" s="138"/>
      <c r="L770" s="138"/>
      <c r="M770" s="552"/>
      <c r="N770" s="138"/>
    </row>
    <row r="771">
      <c r="A771" s="452"/>
      <c r="B771" s="549"/>
      <c r="C771" s="551"/>
      <c r="D771" s="550"/>
      <c r="E771" s="551"/>
      <c r="F771" s="138"/>
      <c r="G771" s="138"/>
      <c r="H771" s="138"/>
      <c r="I771" s="138"/>
      <c r="J771" s="138"/>
      <c r="K771" s="138"/>
      <c r="L771" s="138"/>
      <c r="M771" s="552"/>
      <c r="N771" s="138"/>
    </row>
    <row r="772">
      <c r="A772" s="452"/>
      <c r="B772" s="549"/>
      <c r="C772" s="551"/>
      <c r="D772" s="550"/>
      <c r="E772" s="551"/>
      <c r="F772" s="138"/>
      <c r="G772" s="138"/>
      <c r="H772" s="138"/>
      <c r="I772" s="138"/>
      <c r="J772" s="138"/>
      <c r="K772" s="138"/>
      <c r="L772" s="138"/>
      <c r="M772" s="552"/>
      <c r="N772" s="138"/>
    </row>
    <row r="773">
      <c r="A773" s="452"/>
      <c r="B773" s="549"/>
      <c r="C773" s="551"/>
      <c r="D773" s="550"/>
      <c r="E773" s="551"/>
      <c r="F773" s="138"/>
      <c r="G773" s="138"/>
      <c r="H773" s="138"/>
      <c r="I773" s="138"/>
      <c r="J773" s="138"/>
      <c r="K773" s="138"/>
      <c r="L773" s="138"/>
      <c r="M773" s="552"/>
      <c r="N773" s="138"/>
    </row>
    <row r="774">
      <c r="A774" s="452"/>
      <c r="B774" s="549"/>
      <c r="C774" s="551"/>
      <c r="D774" s="550"/>
      <c r="E774" s="551"/>
      <c r="F774" s="138"/>
      <c r="G774" s="138"/>
      <c r="H774" s="138"/>
      <c r="I774" s="138"/>
      <c r="J774" s="138"/>
      <c r="K774" s="138"/>
      <c r="L774" s="138"/>
      <c r="M774" s="552"/>
      <c r="N774" s="138"/>
    </row>
    <row r="775">
      <c r="A775" s="452"/>
      <c r="B775" s="549"/>
      <c r="C775" s="551"/>
      <c r="D775" s="550"/>
      <c r="E775" s="551"/>
      <c r="F775" s="138"/>
      <c r="G775" s="138"/>
      <c r="H775" s="138"/>
      <c r="I775" s="138"/>
      <c r="J775" s="138"/>
      <c r="K775" s="138"/>
      <c r="L775" s="138"/>
      <c r="M775" s="552"/>
      <c r="N775" s="138"/>
    </row>
    <row r="776">
      <c r="A776" s="452"/>
      <c r="B776" s="549"/>
      <c r="C776" s="551"/>
      <c r="D776" s="550"/>
      <c r="E776" s="551"/>
      <c r="F776" s="138"/>
      <c r="G776" s="138"/>
      <c r="H776" s="138"/>
      <c r="I776" s="138"/>
      <c r="J776" s="138"/>
      <c r="K776" s="138"/>
      <c r="L776" s="138"/>
      <c r="M776" s="552"/>
      <c r="N776" s="138"/>
    </row>
    <row r="777">
      <c r="A777" s="452"/>
      <c r="B777" s="549"/>
      <c r="C777" s="551"/>
      <c r="D777" s="550"/>
      <c r="E777" s="551"/>
      <c r="F777" s="138"/>
      <c r="G777" s="138"/>
      <c r="H777" s="138"/>
      <c r="I777" s="138"/>
      <c r="J777" s="138"/>
      <c r="K777" s="138"/>
      <c r="L777" s="138"/>
      <c r="M777" s="552"/>
      <c r="N777" s="138"/>
    </row>
    <row r="778">
      <c r="A778" s="452"/>
      <c r="B778" s="549"/>
      <c r="C778" s="551"/>
      <c r="D778" s="550"/>
      <c r="E778" s="551"/>
      <c r="F778" s="138"/>
      <c r="G778" s="138"/>
      <c r="H778" s="138"/>
      <c r="I778" s="138"/>
      <c r="J778" s="138"/>
      <c r="K778" s="138"/>
      <c r="L778" s="138"/>
      <c r="M778" s="552"/>
      <c r="N778" s="138"/>
    </row>
    <row r="779">
      <c r="A779" s="452"/>
      <c r="B779" s="549"/>
      <c r="C779" s="551"/>
      <c r="D779" s="550"/>
      <c r="E779" s="551"/>
      <c r="F779" s="138"/>
      <c r="G779" s="138"/>
      <c r="H779" s="138"/>
      <c r="I779" s="138"/>
      <c r="J779" s="138"/>
      <c r="K779" s="138"/>
      <c r="L779" s="138"/>
      <c r="M779" s="552"/>
      <c r="N779" s="138"/>
    </row>
    <row r="780">
      <c r="A780" s="452"/>
      <c r="B780" s="549"/>
      <c r="C780" s="551"/>
      <c r="D780" s="550"/>
      <c r="E780" s="551"/>
      <c r="F780" s="138"/>
      <c r="G780" s="138"/>
      <c r="H780" s="138"/>
      <c r="I780" s="138"/>
      <c r="J780" s="138"/>
      <c r="K780" s="138"/>
      <c r="L780" s="138"/>
      <c r="M780" s="552"/>
      <c r="N780" s="138"/>
    </row>
    <row r="781">
      <c r="A781" s="452"/>
      <c r="B781" s="549"/>
      <c r="C781" s="551"/>
      <c r="D781" s="550"/>
      <c r="E781" s="551"/>
      <c r="F781" s="138"/>
      <c r="G781" s="138"/>
      <c r="H781" s="138"/>
      <c r="I781" s="138"/>
      <c r="J781" s="138"/>
      <c r="K781" s="138"/>
      <c r="L781" s="138"/>
      <c r="M781" s="552"/>
      <c r="N781" s="138"/>
    </row>
    <row r="782">
      <c r="A782" s="452"/>
      <c r="B782" s="549"/>
      <c r="C782" s="551"/>
      <c r="D782" s="550"/>
      <c r="E782" s="551"/>
      <c r="F782" s="138"/>
      <c r="G782" s="138"/>
      <c r="H782" s="138"/>
      <c r="I782" s="138"/>
      <c r="J782" s="138"/>
      <c r="K782" s="138"/>
      <c r="L782" s="138"/>
      <c r="M782" s="552"/>
      <c r="N782" s="138"/>
    </row>
    <row r="783">
      <c r="A783" s="452"/>
      <c r="B783" s="549"/>
      <c r="C783" s="551"/>
      <c r="D783" s="550"/>
      <c r="E783" s="551"/>
      <c r="F783" s="138"/>
      <c r="G783" s="138"/>
      <c r="H783" s="138"/>
      <c r="I783" s="138"/>
      <c r="J783" s="138"/>
      <c r="K783" s="138"/>
      <c r="L783" s="138"/>
      <c r="M783" s="552"/>
      <c r="N783" s="138"/>
    </row>
    <row r="784">
      <c r="A784" s="452"/>
      <c r="B784" s="549"/>
      <c r="C784" s="551"/>
      <c r="D784" s="550"/>
      <c r="E784" s="551"/>
      <c r="F784" s="138"/>
      <c r="G784" s="138"/>
      <c r="H784" s="138"/>
      <c r="I784" s="138"/>
      <c r="J784" s="138"/>
      <c r="K784" s="138"/>
      <c r="L784" s="138"/>
      <c r="M784" s="552"/>
      <c r="N784" s="138"/>
    </row>
    <row r="785">
      <c r="A785" s="452"/>
      <c r="B785" s="549"/>
      <c r="C785" s="551"/>
      <c r="D785" s="550"/>
      <c r="E785" s="551"/>
      <c r="F785" s="138"/>
      <c r="G785" s="138"/>
      <c r="H785" s="138"/>
      <c r="I785" s="138"/>
      <c r="J785" s="138"/>
      <c r="K785" s="138"/>
      <c r="L785" s="138"/>
      <c r="M785" s="552"/>
      <c r="N785" s="138"/>
    </row>
    <row r="786">
      <c r="A786" s="452"/>
      <c r="B786" s="549"/>
      <c r="C786" s="551"/>
      <c r="D786" s="550"/>
      <c r="E786" s="551"/>
      <c r="F786" s="138"/>
      <c r="G786" s="138"/>
      <c r="H786" s="138"/>
      <c r="I786" s="138"/>
      <c r="J786" s="138"/>
      <c r="K786" s="138"/>
      <c r="L786" s="138"/>
      <c r="M786" s="552"/>
      <c r="N786" s="138"/>
    </row>
    <row r="787">
      <c r="A787" s="452"/>
      <c r="B787" s="549"/>
      <c r="C787" s="551"/>
      <c r="D787" s="550"/>
      <c r="E787" s="551"/>
      <c r="F787" s="138"/>
      <c r="G787" s="138"/>
      <c r="H787" s="138"/>
      <c r="I787" s="138"/>
      <c r="J787" s="138"/>
      <c r="K787" s="138"/>
      <c r="L787" s="138"/>
      <c r="M787" s="552"/>
      <c r="N787" s="138"/>
    </row>
    <row r="788">
      <c r="A788" s="452"/>
      <c r="B788" s="549"/>
      <c r="C788" s="551"/>
      <c r="D788" s="550"/>
      <c r="E788" s="551"/>
      <c r="F788" s="138"/>
      <c r="G788" s="138"/>
      <c r="H788" s="138"/>
      <c r="I788" s="138"/>
      <c r="J788" s="138"/>
      <c r="K788" s="138"/>
      <c r="L788" s="138"/>
      <c r="M788" s="552"/>
      <c r="N788" s="138"/>
    </row>
    <row r="789">
      <c r="A789" s="452"/>
      <c r="B789" s="549"/>
      <c r="C789" s="551"/>
      <c r="D789" s="550"/>
      <c r="E789" s="551"/>
      <c r="F789" s="138"/>
      <c r="G789" s="138"/>
      <c r="H789" s="138"/>
      <c r="I789" s="138"/>
      <c r="J789" s="138"/>
      <c r="K789" s="138"/>
      <c r="L789" s="138"/>
      <c r="M789" s="552"/>
      <c r="N789" s="138"/>
    </row>
    <row r="790">
      <c r="A790" s="452"/>
      <c r="B790" s="549"/>
      <c r="C790" s="551"/>
      <c r="D790" s="550"/>
      <c r="E790" s="551"/>
      <c r="F790" s="138"/>
      <c r="G790" s="138"/>
      <c r="H790" s="138"/>
      <c r="I790" s="138"/>
      <c r="J790" s="138"/>
      <c r="K790" s="138"/>
      <c r="L790" s="138"/>
      <c r="M790" s="552"/>
      <c r="N790" s="138"/>
    </row>
    <row r="791">
      <c r="A791" s="452"/>
      <c r="B791" s="549"/>
      <c r="C791" s="551"/>
      <c r="D791" s="550"/>
      <c r="E791" s="551"/>
      <c r="F791" s="138"/>
      <c r="G791" s="138"/>
      <c r="H791" s="138"/>
      <c r="I791" s="138"/>
      <c r="J791" s="138"/>
      <c r="K791" s="138"/>
      <c r="L791" s="138"/>
      <c r="M791" s="552"/>
      <c r="N791" s="138"/>
    </row>
    <row r="792">
      <c r="A792" s="452"/>
      <c r="B792" s="549"/>
      <c r="C792" s="551"/>
      <c r="D792" s="550"/>
      <c r="E792" s="551"/>
      <c r="F792" s="138"/>
      <c r="G792" s="138"/>
      <c r="H792" s="138"/>
      <c r="I792" s="138"/>
      <c r="J792" s="138"/>
      <c r="K792" s="138"/>
      <c r="L792" s="138"/>
      <c r="M792" s="552"/>
      <c r="N792" s="138"/>
    </row>
    <row r="793">
      <c r="A793" s="452"/>
      <c r="B793" s="549"/>
      <c r="C793" s="551"/>
      <c r="D793" s="550"/>
      <c r="E793" s="551"/>
      <c r="F793" s="138"/>
      <c r="G793" s="138"/>
      <c r="H793" s="138"/>
      <c r="I793" s="138"/>
      <c r="J793" s="138"/>
      <c r="K793" s="138"/>
      <c r="L793" s="138"/>
      <c r="M793" s="552"/>
      <c r="N793" s="138"/>
    </row>
    <row r="794">
      <c r="A794" s="452"/>
      <c r="B794" s="549"/>
      <c r="C794" s="551"/>
      <c r="D794" s="550"/>
      <c r="E794" s="551"/>
      <c r="F794" s="138"/>
      <c r="G794" s="138"/>
      <c r="H794" s="138"/>
      <c r="I794" s="138"/>
      <c r="J794" s="138"/>
      <c r="K794" s="138"/>
      <c r="L794" s="138"/>
      <c r="M794" s="552"/>
      <c r="N794" s="138"/>
    </row>
    <row r="795">
      <c r="A795" s="452"/>
      <c r="B795" s="549"/>
      <c r="C795" s="551"/>
      <c r="D795" s="550"/>
      <c r="E795" s="551"/>
      <c r="F795" s="138"/>
      <c r="G795" s="138"/>
      <c r="H795" s="138"/>
      <c r="I795" s="138"/>
      <c r="J795" s="138"/>
      <c r="K795" s="138"/>
      <c r="L795" s="138"/>
      <c r="M795" s="552"/>
      <c r="N795" s="138"/>
    </row>
    <row r="796">
      <c r="A796" s="452"/>
      <c r="B796" s="549"/>
      <c r="C796" s="551"/>
      <c r="D796" s="550"/>
      <c r="E796" s="551"/>
      <c r="F796" s="138"/>
      <c r="G796" s="138"/>
      <c r="H796" s="138"/>
      <c r="I796" s="138"/>
      <c r="J796" s="138"/>
      <c r="K796" s="138"/>
      <c r="L796" s="138"/>
      <c r="M796" s="552"/>
      <c r="N796" s="138"/>
    </row>
    <row r="797">
      <c r="A797" s="452"/>
      <c r="B797" s="549"/>
      <c r="C797" s="551"/>
      <c r="D797" s="550"/>
      <c r="E797" s="551"/>
      <c r="F797" s="138"/>
      <c r="G797" s="138"/>
      <c r="H797" s="138"/>
      <c r="I797" s="138"/>
      <c r="J797" s="138"/>
      <c r="K797" s="138"/>
      <c r="L797" s="138"/>
      <c r="M797" s="552"/>
      <c r="N797" s="138"/>
    </row>
    <row r="798">
      <c r="A798" s="452"/>
      <c r="B798" s="549"/>
      <c r="C798" s="551"/>
      <c r="D798" s="550"/>
      <c r="E798" s="551"/>
      <c r="F798" s="138"/>
      <c r="G798" s="138"/>
      <c r="H798" s="138"/>
      <c r="I798" s="138"/>
      <c r="J798" s="138"/>
      <c r="K798" s="138"/>
      <c r="L798" s="138"/>
      <c r="M798" s="552"/>
      <c r="N798" s="138"/>
    </row>
    <row r="799">
      <c r="A799" s="452"/>
      <c r="B799" s="549"/>
      <c r="C799" s="551"/>
      <c r="D799" s="550"/>
      <c r="E799" s="551"/>
      <c r="F799" s="138"/>
      <c r="G799" s="138"/>
      <c r="H799" s="138"/>
      <c r="I799" s="138"/>
      <c r="J799" s="138"/>
      <c r="K799" s="138"/>
      <c r="L799" s="138"/>
      <c r="M799" s="552"/>
      <c r="N799" s="138"/>
    </row>
    <row r="800">
      <c r="A800" s="452"/>
      <c r="B800" s="549"/>
      <c r="C800" s="551"/>
      <c r="D800" s="550"/>
      <c r="E800" s="551"/>
      <c r="F800" s="138"/>
      <c r="G800" s="138"/>
      <c r="H800" s="138"/>
      <c r="I800" s="138"/>
      <c r="J800" s="138"/>
      <c r="K800" s="138"/>
      <c r="L800" s="138"/>
      <c r="M800" s="552"/>
      <c r="N800" s="138"/>
    </row>
    <row r="801">
      <c r="A801" s="452"/>
      <c r="B801" s="549"/>
      <c r="C801" s="551"/>
      <c r="D801" s="550"/>
      <c r="E801" s="551"/>
      <c r="F801" s="138"/>
      <c r="G801" s="138"/>
      <c r="H801" s="138"/>
      <c r="I801" s="138"/>
      <c r="J801" s="138"/>
      <c r="K801" s="138"/>
      <c r="L801" s="138"/>
      <c r="M801" s="552"/>
      <c r="N801" s="138"/>
    </row>
    <row r="802">
      <c r="A802" s="452"/>
      <c r="B802" s="549"/>
      <c r="C802" s="551"/>
      <c r="D802" s="550"/>
      <c r="E802" s="551"/>
      <c r="F802" s="138"/>
      <c r="G802" s="138"/>
      <c r="H802" s="138"/>
      <c r="I802" s="138"/>
      <c r="J802" s="138"/>
      <c r="K802" s="138"/>
      <c r="L802" s="138"/>
      <c r="M802" s="552"/>
      <c r="N802" s="138"/>
    </row>
    <row r="803">
      <c r="A803" s="452"/>
      <c r="B803" s="549"/>
      <c r="C803" s="551"/>
      <c r="D803" s="550"/>
      <c r="E803" s="551"/>
      <c r="F803" s="138"/>
      <c r="G803" s="138"/>
      <c r="H803" s="138"/>
      <c r="I803" s="138"/>
      <c r="J803" s="138"/>
      <c r="K803" s="138"/>
      <c r="L803" s="138"/>
      <c r="M803" s="552"/>
      <c r="N803" s="138"/>
    </row>
    <row r="804">
      <c r="A804" s="452"/>
      <c r="B804" s="549"/>
      <c r="C804" s="551"/>
      <c r="D804" s="550"/>
      <c r="E804" s="551"/>
      <c r="F804" s="138"/>
      <c r="G804" s="138"/>
      <c r="H804" s="138"/>
      <c r="I804" s="138"/>
      <c r="J804" s="138"/>
      <c r="K804" s="138"/>
      <c r="L804" s="138"/>
      <c r="M804" s="552"/>
      <c r="N804" s="138"/>
    </row>
    <row r="805">
      <c r="A805" s="452"/>
      <c r="B805" s="549"/>
      <c r="C805" s="551"/>
      <c r="D805" s="550"/>
      <c r="E805" s="551"/>
      <c r="F805" s="138"/>
      <c r="G805" s="138"/>
      <c r="H805" s="138"/>
      <c r="I805" s="138"/>
      <c r="J805" s="138"/>
      <c r="K805" s="138"/>
      <c r="L805" s="138"/>
      <c r="M805" s="552"/>
      <c r="N805" s="138"/>
    </row>
    <row r="806">
      <c r="A806" s="452"/>
      <c r="B806" s="549"/>
      <c r="C806" s="551"/>
      <c r="D806" s="550"/>
      <c r="E806" s="551"/>
      <c r="F806" s="138"/>
      <c r="G806" s="138"/>
      <c r="H806" s="138"/>
      <c r="I806" s="138"/>
      <c r="J806" s="138"/>
      <c r="K806" s="138"/>
      <c r="L806" s="138"/>
      <c r="M806" s="552"/>
      <c r="N806" s="138"/>
    </row>
    <row r="807">
      <c r="A807" s="452"/>
      <c r="B807" s="549"/>
      <c r="C807" s="551"/>
      <c r="D807" s="550"/>
      <c r="E807" s="551"/>
      <c r="F807" s="138"/>
      <c r="G807" s="138"/>
      <c r="H807" s="138"/>
      <c r="I807" s="138"/>
      <c r="J807" s="138"/>
      <c r="K807" s="138"/>
      <c r="L807" s="138"/>
      <c r="M807" s="552"/>
      <c r="N807" s="138"/>
    </row>
    <row r="808">
      <c r="A808" s="452"/>
      <c r="B808" s="549"/>
      <c r="C808" s="551"/>
      <c r="D808" s="550"/>
      <c r="E808" s="551"/>
      <c r="F808" s="138"/>
      <c r="G808" s="138"/>
      <c r="H808" s="138"/>
      <c r="I808" s="138"/>
      <c r="J808" s="138"/>
      <c r="K808" s="138"/>
      <c r="L808" s="138"/>
      <c r="M808" s="552"/>
      <c r="N808" s="138"/>
    </row>
    <row r="809">
      <c r="A809" s="452"/>
      <c r="B809" s="549"/>
      <c r="C809" s="551"/>
      <c r="D809" s="550"/>
      <c r="E809" s="551"/>
      <c r="F809" s="138"/>
      <c r="G809" s="138"/>
      <c r="H809" s="138"/>
      <c r="I809" s="138"/>
      <c r="J809" s="138"/>
      <c r="K809" s="138"/>
      <c r="L809" s="138"/>
      <c r="M809" s="552"/>
      <c r="N809" s="138"/>
    </row>
    <row r="810">
      <c r="A810" s="452"/>
      <c r="B810" s="549"/>
      <c r="C810" s="551"/>
      <c r="D810" s="550"/>
      <c r="E810" s="551"/>
      <c r="F810" s="138"/>
      <c r="G810" s="138"/>
      <c r="H810" s="138"/>
      <c r="I810" s="138"/>
      <c r="J810" s="138"/>
      <c r="K810" s="138"/>
      <c r="L810" s="138"/>
      <c r="M810" s="552"/>
      <c r="N810" s="138"/>
    </row>
    <row r="811">
      <c r="A811" s="452"/>
      <c r="B811" s="549"/>
      <c r="C811" s="551"/>
      <c r="D811" s="550"/>
      <c r="E811" s="551"/>
      <c r="F811" s="138"/>
      <c r="G811" s="138"/>
      <c r="H811" s="138"/>
      <c r="I811" s="138"/>
      <c r="J811" s="138"/>
      <c r="K811" s="138"/>
      <c r="L811" s="138"/>
      <c r="M811" s="552"/>
      <c r="N811" s="138"/>
    </row>
    <row r="812">
      <c r="A812" s="452"/>
      <c r="B812" s="549"/>
      <c r="C812" s="551"/>
      <c r="D812" s="550"/>
      <c r="E812" s="551"/>
      <c r="F812" s="138"/>
      <c r="G812" s="138"/>
      <c r="H812" s="138"/>
      <c r="I812" s="138"/>
      <c r="J812" s="138"/>
      <c r="K812" s="138"/>
      <c r="L812" s="138"/>
      <c r="M812" s="552"/>
      <c r="N812" s="138"/>
    </row>
    <row r="813">
      <c r="A813" s="452"/>
      <c r="B813" s="549"/>
      <c r="C813" s="551"/>
      <c r="D813" s="550"/>
      <c r="E813" s="551"/>
      <c r="F813" s="138"/>
      <c r="G813" s="138"/>
      <c r="H813" s="138"/>
      <c r="I813" s="138"/>
      <c r="J813" s="138"/>
      <c r="K813" s="138"/>
      <c r="L813" s="138"/>
      <c r="M813" s="552"/>
      <c r="N813" s="138"/>
    </row>
    <row r="814">
      <c r="A814" s="452"/>
      <c r="B814" s="549"/>
      <c r="C814" s="551"/>
      <c r="D814" s="550"/>
      <c r="E814" s="551"/>
      <c r="F814" s="138"/>
      <c r="G814" s="138"/>
      <c r="H814" s="138"/>
      <c r="I814" s="138"/>
      <c r="J814" s="138"/>
      <c r="K814" s="138"/>
      <c r="L814" s="138"/>
      <c r="M814" s="552"/>
      <c r="N814" s="138"/>
    </row>
    <row r="815">
      <c r="A815" s="452"/>
      <c r="B815" s="549"/>
      <c r="C815" s="551"/>
      <c r="D815" s="550"/>
      <c r="E815" s="551"/>
      <c r="F815" s="138"/>
      <c r="G815" s="138"/>
      <c r="H815" s="138"/>
      <c r="I815" s="138"/>
      <c r="J815" s="138"/>
      <c r="K815" s="138"/>
      <c r="L815" s="138"/>
      <c r="M815" s="552"/>
      <c r="N815" s="138"/>
    </row>
    <row r="816">
      <c r="A816" s="452"/>
      <c r="B816" s="549"/>
      <c r="C816" s="551"/>
      <c r="D816" s="550"/>
      <c r="E816" s="551"/>
      <c r="F816" s="138"/>
      <c r="G816" s="138"/>
      <c r="H816" s="138"/>
      <c r="I816" s="138"/>
      <c r="J816" s="138"/>
      <c r="K816" s="138"/>
      <c r="L816" s="138"/>
      <c r="M816" s="552"/>
      <c r="N816" s="138"/>
    </row>
    <row r="817">
      <c r="A817" s="452"/>
      <c r="B817" s="549"/>
      <c r="C817" s="551"/>
      <c r="D817" s="550"/>
      <c r="E817" s="551"/>
      <c r="F817" s="138"/>
      <c r="G817" s="138"/>
      <c r="H817" s="138"/>
      <c r="I817" s="138"/>
      <c r="J817" s="138"/>
      <c r="K817" s="138"/>
      <c r="L817" s="138"/>
      <c r="M817" s="552"/>
      <c r="N817" s="138"/>
    </row>
    <row r="818">
      <c r="A818" s="452"/>
      <c r="B818" s="549"/>
      <c r="C818" s="551"/>
      <c r="D818" s="550"/>
      <c r="E818" s="551"/>
      <c r="F818" s="138"/>
      <c r="G818" s="138"/>
      <c r="H818" s="138"/>
      <c r="I818" s="138"/>
      <c r="J818" s="138"/>
      <c r="K818" s="138"/>
      <c r="L818" s="138"/>
      <c r="M818" s="552"/>
      <c r="N818" s="138"/>
    </row>
    <row r="819">
      <c r="A819" s="452"/>
      <c r="B819" s="549"/>
      <c r="C819" s="551"/>
      <c r="D819" s="550"/>
      <c r="E819" s="551"/>
      <c r="F819" s="138"/>
      <c r="G819" s="138"/>
      <c r="H819" s="138"/>
      <c r="I819" s="138"/>
      <c r="J819" s="138"/>
      <c r="K819" s="138"/>
      <c r="L819" s="138"/>
      <c r="M819" s="552"/>
      <c r="N819" s="138"/>
    </row>
    <row r="820">
      <c r="A820" s="452"/>
      <c r="B820" s="549"/>
      <c r="C820" s="551"/>
      <c r="D820" s="550"/>
      <c r="E820" s="551"/>
      <c r="F820" s="138"/>
      <c r="G820" s="138"/>
      <c r="H820" s="138"/>
      <c r="I820" s="138"/>
      <c r="J820" s="138"/>
      <c r="K820" s="138"/>
      <c r="L820" s="138"/>
      <c r="M820" s="552"/>
      <c r="N820" s="138"/>
    </row>
    <row r="821">
      <c r="A821" s="452"/>
      <c r="B821" s="549"/>
      <c r="C821" s="551"/>
      <c r="D821" s="550"/>
      <c r="E821" s="551"/>
      <c r="F821" s="138"/>
      <c r="G821" s="138"/>
      <c r="H821" s="138"/>
      <c r="I821" s="138"/>
      <c r="J821" s="138"/>
      <c r="K821" s="138"/>
      <c r="L821" s="138"/>
      <c r="M821" s="552"/>
      <c r="N821" s="138"/>
    </row>
    <row r="822">
      <c r="A822" s="452"/>
      <c r="B822" s="549"/>
      <c r="C822" s="551"/>
      <c r="D822" s="550"/>
      <c r="E822" s="551"/>
      <c r="F822" s="138"/>
      <c r="G822" s="138"/>
      <c r="H822" s="138"/>
      <c r="I822" s="138"/>
      <c r="J822" s="138"/>
      <c r="K822" s="138"/>
      <c r="L822" s="138"/>
      <c r="M822" s="552"/>
      <c r="N822" s="138"/>
    </row>
    <row r="823">
      <c r="A823" s="452"/>
      <c r="B823" s="549"/>
      <c r="C823" s="551"/>
      <c r="D823" s="550"/>
      <c r="E823" s="551"/>
      <c r="F823" s="138"/>
      <c r="G823" s="138"/>
      <c r="H823" s="138"/>
      <c r="I823" s="138"/>
      <c r="J823" s="138"/>
      <c r="K823" s="138"/>
      <c r="L823" s="138"/>
      <c r="M823" s="552"/>
      <c r="N823" s="138"/>
    </row>
    <row r="824">
      <c r="A824" s="452"/>
      <c r="B824" s="549"/>
      <c r="C824" s="551"/>
      <c r="D824" s="550"/>
      <c r="E824" s="551"/>
      <c r="F824" s="138"/>
      <c r="G824" s="138"/>
      <c r="H824" s="138"/>
      <c r="I824" s="138"/>
      <c r="J824" s="138"/>
      <c r="K824" s="138"/>
      <c r="L824" s="138"/>
      <c r="M824" s="552"/>
      <c r="N824" s="138"/>
    </row>
    <row r="825">
      <c r="A825" s="452"/>
      <c r="B825" s="549"/>
      <c r="C825" s="551"/>
      <c r="D825" s="550"/>
      <c r="E825" s="551"/>
      <c r="F825" s="138"/>
      <c r="G825" s="138"/>
      <c r="H825" s="138"/>
      <c r="I825" s="138"/>
      <c r="J825" s="138"/>
      <c r="K825" s="138"/>
      <c r="L825" s="138"/>
      <c r="M825" s="552"/>
      <c r="N825" s="138"/>
    </row>
    <row r="826">
      <c r="A826" s="452"/>
      <c r="B826" s="549"/>
      <c r="C826" s="551"/>
      <c r="D826" s="550"/>
      <c r="E826" s="551"/>
      <c r="F826" s="138"/>
      <c r="G826" s="138"/>
      <c r="H826" s="138"/>
      <c r="I826" s="138"/>
      <c r="J826" s="138"/>
      <c r="K826" s="138"/>
      <c r="L826" s="138"/>
      <c r="M826" s="552"/>
      <c r="N826" s="138"/>
    </row>
    <row r="827">
      <c r="A827" s="452"/>
      <c r="B827" s="549"/>
      <c r="C827" s="551"/>
      <c r="D827" s="550"/>
      <c r="E827" s="551"/>
      <c r="F827" s="138"/>
      <c r="G827" s="138"/>
      <c r="H827" s="138"/>
      <c r="I827" s="138"/>
      <c r="J827" s="138"/>
      <c r="K827" s="138"/>
      <c r="L827" s="138"/>
      <c r="M827" s="552"/>
      <c r="N827" s="138"/>
    </row>
    <row r="828">
      <c r="A828" s="452"/>
      <c r="B828" s="549"/>
      <c r="C828" s="551"/>
      <c r="D828" s="550"/>
      <c r="E828" s="551"/>
      <c r="F828" s="138"/>
      <c r="G828" s="138"/>
      <c r="H828" s="138"/>
      <c r="I828" s="138"/>
      <c r="J828" s="138"/>
      <c r="K828" s="138"/>
      <c r="L828" s="138"/>
      <c r="M828" s="552"/>
      <c r="N828" s="138"/>
    </row>
    <row r="829">
      <c r="A829" s="452"/>
      <c r="B829" s="549"/>
      <c r="C829" s="551"/>
      <c r="D829" s="550"/>
      <c r="E829" s="551"/>
      <c r="F829" s="138"/>
      <c r="G829" s="138"/>
      <c r="H829" s="138"/>
      <c r="I829" s="138"/>
      <c r="J829" s="138"/>
      <c r="K829" s="138"/>
      <c r="L829" s="138"/>
      <c r="M829" s="552"/>
      <c r="N829" s="138"/>
    </row>
    <row r="830">
      <c r="A830" s="452"/>
      <c r="B830" s="549"/>
      <c r="C830" s="551"/>
      <c r="D830" s="550"/>
      <c r="E830" s="551"/>
      <c r="F830" s="138"/>
      <c r="G830" s="138"/>
      <c r="H830" s="138"/>
      <c r="I830" s="138"/>
      <c r="J830" s="138"/>
      <c r="K830" s="138"/>
      <c r="L830" s="138"/>
      <c r="M830" s="552"/>
      <c r="N830" s="138"/>
    </row>
    <row r="831">
      <c r="A831" s="452"/>
      <c r="B831" s="549"/>
      <c r="C831" s="551"/>
      <c r="D831" s="550"/>
      <c r="E831" s="551"/>
      <c r="F831" s="138"/>
      <c r="G831" s="138"/>
      <c r="H831" s="138"/>
      <c r="I831" s="138"/>
      <c r="J831" s="138"/>
      <c r="K831" s="138"/>
      <c r="L831" s="138"/>
      <c r="M831" s="552"/>
      <c r="N831" s="138"/>
    </row>
    <row r="832">
      <c r="A832" s="452"/>
      <c r="B832" s="549"/>
      <c r="C832" s="551"/>
      <c r="D832" s="550"/>
      <c r="E832" s="551"/>
      <c r="F832" s="138"/>
      <c r="G832" s="138"/>
      <c r="H832" s="138"/>
      <c r="I832" s="138"/>
      <c r="J832" s="138"/>
      <c r="K832" s="138"/>
      <c r="L832" s="138"/>
      <c r="M832" s="552"/>
      <c r="N832" s="138"/>
    </row>
    <row r="833">
      <c r="A833" s="452"/>
      <c r="B833" s="549"/>
      <c r="C833" s="551"/>
      <c r="D833" s="550"/>
      <c r="E833" s="551"/>
      <c r="F833" s="138"/>
      <c r="G833" s="138"/>
      <c r="H833" s="138"/>
      <c r="I833" s="138"/>
      <c r="J833" s="138"/>
      <c r="K833" s="138"/>
      <c r="L833" s="138"/>
      <c r="M833" s="552"/>
      <c r="N833" s="138"/>
    </row>
    <row r="834">
      <c r="A834" s="452"/>
      <c r="B834" s="549"/>
      <c r="C834" s="551"/>
      <c r="D834" s="550"/>
      <c r="E834" s="551"/>
      <c r="F834" s="138"/>
      <c r="G834" s="138"/>
      <c r="H834" s="138"/>
      <c r="I834" s="138"/>
      <c r="J834" s="138"/>
      <c r="K834" s="138"/>
      <c r="L834" s="138"/>
      <c r="M834" s="552"/>
      <c r="N834" s="138"/>
    </row>
    <row r="835">
      <c r="A835" s="452"/>
      <c r="B835" s="549"/>
      <c r="C835" s="551"/>
      <c r="D835" s="550"/>
      <c r="E835" s="551"/>
      <c r="F835" s="138"/>
      <c r="G835" s="138"/>
      <c r="H835" s="138"/>
      <c r="I835" s="138"/>
      <c r="J835" s="138"/>
      <c r="K835" s="138"/>
      <c r="L835" s="138"/>
      <c r="M835" s="552"/>
      <c r="N835" s="138"/>
    </row>
    <row r="836">
      <c r="A836" s="452"/>
      <c r="B836" s="549"/>
      <c r="C836" s="551"/>
      <c r="D836" s="550"/>
      <c r="E836" s="551"/>
      <c r="F836" s="138"/>
      <c r="G836" s="138"/>
      <c r="H836" s="138"/>
      <c r="I836" s="138"/>
      <c r="J836" s="138"/>
      <c r="K836" s="138"/>
      <c r="L836" s="138"/>
      <c r="M836" s="552"/>
      <c r="N836" s="138"/>
    </row>
    <row r="837">
      <c r="A837" s="452"/>
      <c r="B837" s="549"/>
      <c r="C837" s="551"/>
      <c r="D837" s="550"/>
      <c r="E837" s="551"/>
      <c r="F837" s="138"/>
      <c r="G837" s="138"/>
      <c r="H837" s="138"/>
      <c r="I837" s="138"/>
      <c r="J837" s="138"/>
      <c r="K837" s="138"/>
      <c r="L837" s="138"/>
      <c r="M837" s="552"/>
      <c r="N837" s="138"/>
    </row>
    <row r="838">
      <c r="A838" s="452"/>
      <c r="B838" s="549"/>
      <c r="C838" s="551"/>
      <c r="D838" s="550"/>
      <c r="E838" s="551"/>
      <c r="F838" s="138"/>
      <c r="G838" s="138"/>
      <c r="H838" s="138"/>
      <c r="I838" s="138"/>
      <c r="J838" s="138"/>
      <c r="K838" s="138"/>
      <c r="L838" s="138"/>
      <c r="M838" s="552"/>
      <c r="N838" s="138"/>
    </row>
    <row r="839">
      <c r="A839" s="452"/>
      <c r="B839" s="549"/>
      <c r="C839" s="551"/>
      <c r="D839" s="550"/>
      <c r="E839" s="551"/>
      <c r="F839" s="138"/>
      <c r="G839" s="138"/>
      <c r="H839" s="138"/>
      <c r="I839" s="138"/>
      <c r="J839" s="138"/>
      <c r="K839" s="138"/>
      <c r="L839" s="138"/>
      <c r="M839" s="552"/>
      <c r="N839" s="138"/>
    </row>
    <row r="840">
      <c r="A840" s="452"/>
      <c r="B840" s="549"/>
      <c r="C840" s="551"/>
      <c r="D840" s="550"/>
      <c r="E840" s="551"/>
      <c r="F840" s="138"/>
      <c r="G840" s="138"/>
      <c r="H840" s="138"/>
      <c r="I840" s="138"/>
      <c r="J840" s="138"/>
      <c r="K840" s="138"/>
      <c r="L840" s="138"/>
      <c r="M840" s="552"/>
      <c r="N840" s="138"/>
    </row>
    <row r="841">
      <c r="A841" s="452"/>
      <c r="B841" s="549"/>
      <c r="C841" s="551"/>
      <c r="D841" s="550"/>
      <c r="E841" s="551"/>
      <c r="F841" s="138"/>
      <c r="G841" s="138"/>
      <c r="H841" s="138"/>
      <c r="I841" s="138"/>
      <c r="J841" s="138"/>
      <c r="K841" s="138"/>
      <c r="L841" s="138"/>
      <c r="M841" s="552"/>
      <c r="N841" s="138"/>
    </row>
    <row r="842">
      <c r="A842" s="452"/>
      <c r="B842" s="549"/>
      <c r="C842" s="551"/>
      <c r="D842" s="550"/>
      <c r="E842" s="551"/>
      <c r="F842" s="138"/>
      <c r="G842" s="138"/>
      <c r="H842" s="138"/>
      <c r="I842" s="138"/>
      <c r="J842" s="138"/>
      <c r="K842" s="138"/>
      <c r="L842" s="138"/>
      <c r="M842" s="552"/>
      <c r="N842" s="138"/>
    </row>
    <row r="843">
      <c r="A843" s="452"/>
      <c r="B843" s="549"/>
      <c r="C843" s="551"/>
      <c r="D843" s="550"/>
      <c r="E843" s="551"/>
      <c r="F843" s="138"/>
      <c r="G843" s="138"/>
      <c r="H843" s="138"/>
      <c r="I843" s="138"/>
      <c r="J843" s="138"/>
      <c r="K843" s="138"/>
      <c r="L843" s="138"/>
      <c r="M843" s="552"/>
      <c r="N843" s="138"/>
    </row>
    <row r="844">
      <c r="A844" s="452"/>
      <c r="B844" s="549"/>
      <c r="C844" s="551"/>
      <c r="D844" s="550"/>
      <c r="E844" s="551"/>
      <c r="F844" s="138"/>
      <c r="G844" s="138"/>
      <c r="H844" s="138"/>
      <c r="I844" s="138"/>
      <c r="J844" s="138"/>
      <c r="K844" s="138"/>
      <c r="L844" s="138"/>
      <c r="M844" s="552"/>
      <c r="N844" s="138"/>
    </row>
    <row r="845">
      <c r="A845" s="452"/>
      <c r="B845" s="549"/>
      <c r="C845" s="551"/>
      <c r="D845" s="550"/>
      <c r="E845" s="551"/>
      <c r="F845" s="138"/>
      <c r="G845" s="138"/>
      <c r="H845" s="138"/>
      <c r="I845" s="138"/>
      <c r="J845" s="138"/>
      <c r="K845" s="138"/>
      <c r="L845" s="138"/>
      <c r="M845" s="552"/>
      <c r="N845" s="138"/>
    </row>
    <row r="846">
      <c r="A846" s="452"/>
      <c r="B846" s="549"/>
      <c r="C846" s="551"/>
      <c r="D846" s="550"/>
      <c r="E846" s="551"/>
      <c r="F846" s="138"/>
      <c r="G846" s="138"/>
      <c r="H846" s="138"/>
      <c r="I846" s="138"/>
      <c r="J846" s="138"/>
      <c r="K846" s="138"/>
      <c r="L846" s="138"/>
      <c r="M846" s="552"/>
      <c r="N846" s="138"/>
    </row>
    <row r="847">
      <c r="A847" s="452"/>
      <c r="B847" s="549"/>
      <c r="C847" s="551"/>
      <c r="D847" s="550"/>
      <c r="E847" s="551"/>
      <c r="F847" s="138"/>
      <c r="G847" s="138"/>
      <c r="H847" s="138"/>
      <c r="I847" s="138"/>
      <c r="J847" s="138"/>
      <c r="K847" s="138"/>
      <c r="L847" s="138"/>
      <c r="M847" s="552"/>
      <c r="N847" s="138"/>
    </row>
    <row r="848">
      <c r="A848" s="452"/>
      <c r="B848" s="549"/>
      <c r="C848" s="551"/>
      <c r="D848" s="550"/>
      <c r="E848" s="551"/>
      <c r="F848" s="138"/>
      <c r="G848" s="138"/>
      <c r="H848" s="138"/>
      <c r="I848" s="138"/>
      <c r="J848" s="138"/>
      <c r="K848" s="138"/>
      <c r="L848" s="138"/>
      <c r="M848" s="552"/>
      <c r="N848" s="138"/>
    </row>
    <row r="849">
      <c r="A849" s="452"/>
      <c r="B849" s="549"/>
      <c r="C849" s="551"/>
      <c r="D849" s="550"/>
      <c r="E849" s="551"/>
      <c r="F849" s="138"/>
      <c r="G849" s="138"/>
      <c r="H849" s="138"/>
      <c r="I849" s="138"/>
      <c r="J849" s="138"/>
      <c r="K849" s="138"/>
      <c r="L849" s="138"/>
      <c r="M849" s="552"/>
      <c r="N849" s="138"/>
    </row>
    <row r="850">
      <c r="A850" s="452"/>
      <c r="B850" s="549"/>
      <c r="C850" s="551"/>
      <c r="D850" s="550"/>
      <c r="E850" s="551"/>
      <c r="F850" s="138"/>
      <c r="G850" s="138"/>
      <c r="H850" s="138"/>
      <c r="I850" s="138"/>
      <c r="J850" s="138"/>
      <c r="K850" s="138"/>
      <c r="L850" s="138"/>
      <c r="M850" s="552"/>
      <c r="N850" s="138"/>
    </row>
    <row r="851">
      <c r="A851" s="452"/>
      <c r="B851" s="549"/>
      <c r="C851" s="551"/>
      <c r="D851" s="550"/>
      <c r="E851" s="551"/>
      <c r="F851" s="138"/>
      <c r="G851" s="138"/>
      <c r="H851" s="138"/>
      <c r="I851" s="138"/>
      <c r="J851" s="138"/>
      <c r="K851" s="138"/>
      <c r="L851" s="138"/>
      <c r="M851" s="552"/>
      <c r="N851" s="138"/>
    </row>
    <row r="852">
      <c r="A852" s="452"/>
      <c r="B852" s="549"/>
      <c r="C852" s="551"/>
      <c r="D852" s="550"/>
      <c r="E852" s="551"/>
      <c r="F852" s="138"/>
      <c r="G852" s="138"/>
      <c r="H852" s="138"/>
      <c r="I852" s="138"/>
      <c r="J852" s="138"/>
      <c r="K852" s="138"/>
      <c r="L852" s="138"/>
      <c r="M852" s="552"/>
      <c r="N852" s="138"/>
    </row>
    <row r="853">
      <c r="A853" s="452"/>
      <c r="B853" s="549"/>
      <c r="C853" s="551"/>
      <c r="D853" s="550"/>
      <c r="E853" s="551"/>
      <c r="F853" s="138"/>
      <c r="G853" s="138"/>
      <c r="H853" s="138"/>
      <c r="I853" s="138"/>
      <c r="J853" s="138"/>
      <c r="K853" s="138"/>
      <c r="L853" s="138"/>
      <c r="M853" s="552"/>
      <c r="N853" s="138"/>
    </row>
    <row r="854">
      <c r="A854" s="452"/>
      <c r="B854" s="549"/>
      <c r="C854" s="551"/>
      <c r="D854" s="550"/>
      <c r="E854" s="551"/>
      <c r="F854" s="138"/>
      <c r="G854" s="138"/>
      <c r="H854" s="138"/>
      <c r="I854" s="138"/>
      <c r="J854" s="138"/>
      <c r="K854" s="138"/>
      <c r="L854" s="138"/>
      <c r="M854" s="552"/>
      <c r="N854" s="138"/>
    </row>
    <row r="855">
      <c r="A855" s="452"/>
      <c r="B855" s="549"/>
      <c r="C855" s="551"/>
      <c r="D855" s="550"/>
      <c r="E855" s="551"/>
      <c r="F855" s="138"/>
      <c r="G855" s="138"/>
      <c r="H855" s="138"/>
      <c r="I855" s="138"/>
      <c r="J855" s="138"/>
      <c r="K855" s="138"/>
      <c r="L855" s="138"/>
      <c r="M855" s="552"/>
      <c r="N855" s="138"/>
    </row>
    <row r="856">
      <c r="A856" s="452"/>
      <c r="B856" s="549"/>
      <c r="C856" s="551"/>
      <c r="D856" s="550"/>
      <c r="E856" s="551"/>
      <c r="F856" s="138"/>
      <c r="G856" s="138"/>
      <c r="H856" s="138"/>
      <c r="I856" s="138"/>
      <c r="J856" s="138"/>
      <c r="K856" s="138"/>
      <c r="L856" s="138"/>
      <c r="M856" s="552"/>
      <c r="N856" s="138"/>
    </row>
    <row r="857">
      <c r="A857" s="452"/>
      <c r="B857" s="549"/>
      <c r="C857" s="551"/>
      <c r="D857" s="550"/>
      <c r="E857" s="551"/>
      <c r="F857" s="138"/>
      <c r="G857" s="138"/>
      <c r="H857" s="138"/>
      <c r="I857" s="138"/>
      <c r="J857" s="138"/>
      <c r="K857" s="138"/>
      <c r="L857" s="138"/>
      <c r="M857" s="552"/>
      <c r="N857" s="138"/>
    </row>
    <row r="858">
      <c r="A858" s="452"/>
      <c r="B858" s="549"/>
      <c r="C858" s="551"/>
      <c r="D858" s="550"/>
      <c r="E858" s="551"/>
      <c r="F858" s="138"/>
      <c r="G858" s="138"/>
      <c r="H858" s="138"/>
      <c r="I858" s="138"/>
      <c r="J858" s="138"/>
      <c r="K858" s="138"/>
      <c r="L858" s="138"/>
      <c r="M858" s="552"/>
      <c r="N858" s="138"/>
    </row>
    <row r="859">
      <c r="A859" s="452"/>
      <c r="B859" s="549"/>
      <c r="C859" s="551"/>
      <c r="D859" s="550"/>
      <c r="E859" s="551"/>
      <c r="F859" s="138"/>
      <c r="G859" s="138"/>
      <c r="H859" s="138"/>
      <c r="I859" s="138"/>
      <c r="J859" s="138"/>
      <c r="K859" s="138"/>
      <c r="L859" s="138"/>
      <c r="M859" s="552"/>
      <c r="N859" s="138"/>
    </row>
    <row r="860">
      <c r="A860" s="452"/>
      <c r="B860" s="549"/>
      <c r="C860" s="551"/>
      <c r="D860" s="550"/>
      <c r="E860" s="551"/>
      <c r="F860" s="138"/>
      <c r="G860" s="138"/>
      <c r="H860" s="138"/>
      <c r="I860" s="138"/>
      <c r="J860" s="138"/>
      <c r="K860" s="138"/>
      <c r="L860" s="138"/>
      <c r="M860" s="552"/>
      <c r="N860" s="138"/>
    </row>
    <row r="861">
      <c r="A861" s="452"/>
      <c r="B861" s="549"/>
      <c r="C861" s="551"/>
      <c r="D861" s="550"/>
      <c r="E861" s="551"/>
      <c r="F861" s="138"/>
      <c r="G861" s="138"/>
      <c r="H861" s="138"/>
      <c r="I861" s="138"/>
      <c r="J861" s="138"/>
      <c r="K861" s="138"/>
      <c r="L861" s="138"/>
      <c r="M861" s="552"/>
      <c r="N861" s="138"/>
    </row>
    <row r="862">
      <c r="A862" s="452"/>
      <c r="B862" s="549"/>
      <c r="C862" s="551"/>
      <c r="D862" s="550"/>
      <c r="E862" s="551"/>
      <c r="F862" s="138"/>
      <c r="G862" s="138"/>
      <c r="H862" s="138"/>
      <c r="I862" s="138"/>
      <c r="J862" s="138"/>
      <c r="K862" s="138"/>
      <c r="L862" s="138"/>
      <c r="M862" s="552"/>
      <c r="N862" s="138"/>
    </row>
    <row r="863">
      <c r="A863" s="452"/>
      <c r="B863" s="549"/>
      <c r="C863" s="551"/>
      <c r="D863" s="550"/>
      <c r="E863" s="551"/>
      <c r="F863" s="138"/>
      <c r="G863" s="138"/>
      <c r="H863" s="138"/>
      <c r="I863" s="138"/>
      <c r="J863" s="138"/>
      <c r="K863" s="138"/>
      <c r="L863" s="138"/>
      <c r="M863" s="552"/>
      <c r="N863" s="138"/>
    </row>
    <row r="864">
      <c r="A864" s="452"/>
      <c r="B864" s="549"/>
      <c r="C864" s="551"/>
      <c r="D864" s="550"/>
      <c r="E864" s="551"/>
      <c r="F864" s="138"/>
      <c r="G864" s="138"/>
      <c r="H864" s="138"/>
      <c r="I864" s="138"/>
      <c r="J864" s="138"/>
      <c r="K864" s="138"/>
      <c r="L864" s="138"/>
      <c r="M864" s="552"/>
      <c r="N864" s="138"/>
    </row>
    <row r="865">
      <c r="A865" s="452"/>
      <c r="B865" s="549"/>
      <c r="C865" s="551"/>
      <c r="D865" s="550"/>
      <c r="E865" s="551"/>
      <c r="F865" s="138"/>
      <c r="G865" s="138"/>
      <c r="H865" s="138"/>
      <c r="I865" s="138"/>
      <c r="J865" s="138"/>
      <c r="K865" s="138"/>
      <c r="L865" s="138"/>
      <c r="M865" s="552"/>
      <c r="N865" s="138"/>
    </row>
    <row r="866">
      <c r="A866" s="452"/>
      <c r="B866" s="549"/>
      <c r="C866" s="551"/>
      <c r="D866" s="550"/>
      <c r="E866" s="551"/>
      <c r="F866" s="138"/>
      <c r="G866" s="138"/>
      <c r="H866" s="138"/>
      <c r="I866" s="138"/>
      <c r="J866" s="138"/>
      <c r="K866" s="138"/>
      <c r="L866" s="138"/>
      <c r="M866" s="552"/>
      <c r="N866" s="138"/>
    </row>
    <row r="867">
      <c r="A867" s="452"/>
      <c r="B867" s="549"/>
      <c r="C867" s="551"/>
      <c r="D867" s="550"/>
      <c r="E867" s="551"/>
      <c r="F867" s="138"/>
      <c r="G867" s="138"/>
      <c r="H867" s="138"/>
      <c r="I867" s="138"/>
      <c r="J867" s="138"/>
      <c r="K867" s="138"/>
      <c r="L867" s="138"/>
      <c r="M867" s="552"/>
      <c r="N867" s="138"/>
    </row>
    <row r="868">
      <c r="A868" s="452"/>
      <c r="B868" s="549"/>
      <c r="C868" s="551"/>
      <c r="D868" s="550"/>
      <c r="E868" s="551"/>
      <c r="F868" s="138"/>
      <c r="G868" s="138"/>
      <c r="H868" s="138"/>
      <c r="I868" s="138"/>
      <c r="J868" s="138"/>
      <c r="K868" s="138"/>
      <c r="L868" s="138"/>
      <c r="M868" s="552"/>
      <c r="N868" s="138"/>
    </row>
    <row r="869">
      <c r="A869" s="452"/>
      <c r="B869" s="549"/>
      <c r="C869" s="551"/>
      <c r="D869" s="550"/>
      <c r="E869" s="551"/>
      <c r="F869" s="138"/>
      <c r="G869" s="138"/>
      <c r="H869" s="138"/>
      <c r="I869" s="138"/>
      <c r="J869" s="138"/>
      <c r="K869" s="138"/>
      <c r="L869" s="138"/>
      <c r="M869" s="552"/>
      <c r="N869" s="138"/>
    </row>
    <row r="870">
      <c r="A870" s="452"/>
      <c r="B870" s="549"/>
      <c r="C870" s="551"/>
      <c r="D870" s="550"/>
      <c r="E870" s="551"/>
      <c r="F870" s="138"/>
      <c r="G870" s="138"/>
      <c r="H870" s="138"/>
      <c r="I870" s="138"/>
      <c r="J870" s="138"/>
      <c r="K870" s="138"/>
      <c r="L870" s="138"/>
      <c r="M870" s="552"/>
      <c r="N870" s="138"/>
    </row>
    <row r="871">
      <c r="A871" s="452"/>
      <c r="B871" s="549"/>
      <c r="C871" s="551"/>
      <c r="D871" s="550"/>
      <c r="E871" s="551"/>
      <c r="F871" s="138"/>
      <c r="G871" s="138"/>
      <c r="H871" s="138"/>
      <c r="I871" s="138"/>
      <c r="J871" s="138"/>
      <c r="K871" s="138"/>
      <c r="L871" s="138"/>
      <c r="M871" s="552"/>
      <c r="N871" s="138"/>
    </row>
    <row r="872">
      <c r="A872" s="452"/>
      <c r="B872" s="549"/>
      <c r="C872" s="551"/>
      <c r="D872" s="550"/>
      <c r="E872" s="551"/>
      <c r="F872" s="138"/>
      <c r="G872" s="138"/>
      <c r="H872" s="138"/>
      <c r="I872" s="138"/>
      <c r="J872" s="138"/>
      <c r="K872" s="138"/>
      <c r="L872" s="138"/>
      <c r="M872" s="552"/>
      <c r="N872" s="138"/>
    </row>
    <row r="873">
      <c r="A873" s="452"/>
      <c r="B873" s="549"/>
      <c r="C873" s="551"/>
      <c r="D873" s="550"/>
      <c r="E873" s="551"/>
      <c r="F873" s="138"/>
      <c r="G873" s="138"/>
      <c r="H873" s="138"/>
      <c r="I873" s="138"/>
      <c r="J873" s="138"/>
      <c r="K873" s="138"/>
      <c r="L873" s="138"/>
      <c r="M873" s="552"/>
      <c r="N873" s="138"/>
    </row>
    <row r="874">
      <c r="A874" s="452"/>
      <c r="B874" s="549"/>
      <c r="C874" s="551"/>
      <c r="D874" s="550"/>
      <c r="E874" s="551"/>
      <c r="F874" s="138"/>
      <c r="G874" s="138"/>
      <c r="H874" s="138"/>
      <c r="I874" s="138"/>
      <c r="J874" s="138"/>
      <c r="K874" s="138"/>
      <c r="L874" s="138"/>
      <c r="M874" s="552"/>
      <c r="N874" s="138"/>
    </row>
    <row r="875">
      <c r="A875" s="452"/>
      <c r="B875" s="549"/>
      <c r="C875" s="551"/>
      <c r="D875" s="550"/>
      <c r="E875" s="551"/>
      <c r="F875" s="138"/>
      <c r="G875" s="138"/>
      <c r="H875" s="138"/>
      <c r="I875" s="138"/>
      <c r="J875" s="138"/>
      <c r="K875" s="138"/>
      <c r="L875" s="138"/>
      <c r="M875" s="552"/>
      <c r="N875" s="138"/>
    </row>
    <row r="876">
      <c r="A876" s="452"/>
      <c r="B876" s="549"/>
      <c r="C876" s="551"/>
      <c r="D876" s="550"/>
      <c r="E876" s="551"/>
      <c r="F876" s="138"/>
      <c r="G876" s="138"/>
      <c r="H876" s="138"/>
      <c r="I876" s="138"/>
      <c r="J876" s="138"/>
      <c r="K876" s="138"/>
      <c r="L876" s="138"/>
      <c r="M876" s="552"/>
      <c r="N876" s="138"/>
    </row>
    <row r="877">
      <c r="A877" s="452"/>
      <c r="B877" s="549"/>
      <c r="C877" s="551"/>
      <c r="D877" s="550"/>
      <c r="E877" s="551"/>
      <c r="F877" s="138"/>
      <c r="G877" s="138"/>
      <c r="H877" s="138"/>
      <c r="I877" s="138"/>
      <c r="J877" s="138"/>
      <c r="K877" s="138"/>
      <c r="L877" s="138"/>
      <c r="M877" s="552"/>
      <c r="N877" s="138"/>
    </row>
    <row r="878">
      <c r="A878" s="452"/>
      <c r="B878" s="549"/>
      <c r="C878" s="551"/>
      <c r="D878" s="550"/>
      <c r="E878" s="551"/>
      <c r="F878" s="138"/>
      <c r="G878" s="138"/>
      <c r="H878" s="138"/>
      <c r="I878" s="138"/>
      <c r="J878" s="138"/>
      <c r="K878" s="138"/>
      <c r="L878" s="138"/>
      <c r="M878" s="552"/>
      <c r="N878" s="138"/>
    </row>
    <row r="879">
      <c r="A879" s="452"/>
      <c r="B879" s="549"/>
      <c r="C879" s="551"/>
      <c r="D879" s="550"/>
      <c r="E879" s="551"/>
      <c r="F879" s="138"/>
      <c r="G879" s="138"/>
      <c r="H879" s="138"/>
      <c r="I879" s="138"/>
      <c r="J879" s="138"/>
      <c r="K879" s="138"/>
      <c r="L879" s="138"/>
      <c r="M879" s="552"/>
      <c r="N879" s="138"/>
    </row>
    <row r="880">
      <c r="A880" s="452"/>
      <c r="B880" s="549"/>
      <c r="C880" s="551"/>
      <c r="D880" s="550"/>
      <c r="E880" s="551"/>
      <c r="F880" s="138"/>
      <c r="G880" s="138"/>
      <c r="H880" s="138"/>
      <c r="I880" s="138"/>
      <c r="J880" s="138"/>
      <c r="K880" s="138"/>
      <c r="L880" s="138"/>
      <c r="M880" s="552"/>
      <c r="N880" s="138"/>
    </row>
    <row r="881">
      <c r="A881" s="452"/>
      <c r="B881" s="549"/>
      <c r="C881" s="551"/>
      <c r="D881" s="550"/>
      <c r="E881" s="551"/>
      <c r="F881" s="138"/>
      <c r="G881" s="138"/>
      <c r="H881" s="138"/>
      <c r="I881" s="138"/>
      <c r="J881" s="138"/>
      <c r="K881" s="138"/>
      <c r="L881" s="138"/>
      <c r="M881" s="552"/>
      <c r="N881" s="138"/>
    </row>
    <row r="882">
      <c r="A882" s="452"/>
      <c r="B882" s="549"/>
      <c r="C882" s="551"/>
      <c r="D882" s="550"/>
      <c r="E882" s="551"/>
      <c r="F882" s="138"/>
      <c r="G882" s="138"/>
      <c r="H882" s="138"/>
      <c r="I882" s="138"/>
      <c r="J882" s="138"/>
      <c r="K882" s="138"/>
      <c r="L882" s="138"/>
      <c r="M882" s="552"/>
      <c r="N882" s="138"/>
    </row>
    <row r="883">
      <c r="A883" s="452"/>
      <c r="B883" s="549"/>
      <c r="C883" s="551"/>
      <c r="D883" s="550"/>
      <c r="E883" s="551"/>
      <c r="F883" s="138"/>
      <c r="G883" s="138"/>
      <c r="H883" s="138"/>
      <c r="I883" s="138"/>
      <c r="J883" s="138"/>
      <c r="K883" s="138"/>
      <c r="L883" s="138"/>
      <c r="M883" s="552"/>
      <c r="N883" s="138"/>
    </row>
    <row r="884">
      <c r="A884" s="452"/>
      <c r="B884" s="549"/>
      <c r="C884" s="551"/>
      <c r="D884" s="550"/>
      <c r="E884" s="551"/>
      <c r="F884" s="138"/>
      <c r="G884" s="138"/>
      <c r="H884" s="138"/>
      <c r="I884" s="138"/>
      <c r="J884" s="138"/>
      <c r="K884" s="138"/>
      <c r="L884" s="138"/>
      <c r="M884" s="552"/>
      <c r="N884" s="138"/>
    </row>
    <row r="885">
      <c r="A885" s="452"/>
      <c r="B885" s="549"/>
      <c r="C885" s="551"/>
      <c r="D885" s="550"/>
      <c r="E885" s="551"/>
      <c r="F885" s="138"/>
      <c r="G885" s="138"/>
      <c r="H885" s="138"/>
      <c r="I885" s="138"/>
      <c r="J885" s="138"/>
      <c r="K885" s="138"/>
      <c r="L885" s="138"/>
      <c r="M885" s="552"/>
      <c r="N885" s="138"/>
    </row>
    <row r="886">
      <c r="A886" s="452"/>
      <c r="B886" s="549"/>
      <c r="C886" s="551"/>
      <c r="D886" s="550"/>
      <c r="E886" s="551"/>
      <c r="F886" s="138"/>
      <c r="G886" s="138"/>
      <c r="H886" s="138"/>
      <c r="I886" s="138"/>
      <c r="J886" s="138"/>
      <c r="K886" s="138"/>
      <c r="L886" s="138"/>
      <c r="M886" s="552"/>
      <c r="N886" s="138"/>
    </row>
    <row r="887">
      <c r="A887" s="452"/>
      <c r="B887" s="549"/>
      <c r="C887" s="551"/>
      <c r="D887" s="550"/>
      <c r="E887" s="551"/>
      <c r="F887" s="138"/>
      <c r="G887" s="138"/>
      <c r="H887" s="138"/>
      <c r="I887" s="138"/>
      <c r="J887" s="138"/>
      <c r="K887" s="138"/>
      <c r="L887" s="138"/>
      <c r="M887" s="552"/>
      <c r="N887" s="138"/>
    </row>
    <row r="888">
      <c r="A888" s="452"/>
      <c r="B888" s="549"/>
      <c r="C888" s="551"/>
      <c r="D888" s="550"/>
      <c r="E888" s="551"/>
      <c r="F888" s="138"/>
      <c r="G888" s="138"/>
      <c r="H888" s="138"/>
      <c r="I888" s="138"/>
      <c r="J888" s="138"/>
      <c r="K888" s="138"/>
      <c r="L888" s="138"/>
      <c r="M888" s="552"/>
      <c r="N888" s="138"/>
    </row>
    <row r="889">
      <c r="A889" s="452"/>
      <c r="B889" s="549"/>
      <c r="C889" s="551"/>
      <c r="D889" s="550"/>
      <c r="E889" s="551"/>
      <c r="F889" s="138"/>
      <c r="G889" s="138"/>
      <c r="H889" s="138"/>
      <c r="I889" s="138"/>
      <c r="J889" s="138"/>
      <c r="K889" s="138"/>
      <c r="L889" s="138"/>
      <c r="M889" s="552"/>
      <c r="N889" s="138"/>
    </row>
    <row r="890">
      <c r="A890" s="452"/>
      <c r="B890" s="549"/>
      <c r="C890" s="551"/>
      <c r="D890" s="550"/>
      <c r="E890" s="551"/>
      <c r="F890" s="138"/>
      <c r="G890" s="138"/>
      <c r="H890" s="138"/>
      <c r="I890" s="138"/>
      <c r="J890" s="138"/>
      <c r="K890" s="138"/>
      <c r="L890" s="138"/>
      <c r="M890" s="552"/>
      <c r="N890" s="138"/>
    </row>
    <row r="891">
      <c r="A891" s="452"/>
      <c r="B891" s="549"/>
      <c r="C891" s="551"/>
      <c r="D891" s="550"/>
      <c r="E891" s="551"/>
      <c r="F891" s="138"/>
      <c r="G891" s="138"/>
      <c r="H891" s="138"/>
      <c r="I891" s="138"/>
      <c r="J891" s="138"/>
      <c r="K891" s="138"/>
      <c r="L891" s="138"/>
      <c r="M891" s="552"/>
      <c r="N891" s="138"/>
    </row>
    <row r="892">
      <c r="A892" s="452"/>
      <c r="B892" s="549"/>
      <c r="C892" s="551"/>
      <c r="D892" s="550"/>
      <c r="E892" s="551"/>
      <c r="F892" s="138"/>
      <c r="G892" s="138"/>
      <c r="H892" s="138"/>
      <c r="I892" s="138"/>
      <c r="J892" s="138"/>
      <c r="K892" s="138"/>
      <c r="L892" s="138"/>
      <c r="M892" s="552"/>
      <c r="N892" s="138"/>
    </row>
    <row r="893">
      <c r="A893" s="452"/>
      <c r="B893" s="549"/>
      <c r="C893" s="551"/>
      <c r="D893" s="550"/>
      <c r="E893" s="551"/>
      <c r="F893" s="138"/>
      <c r="G893" s="138"/>
      <c r="H893" s="138"/>
      <c r="I893" s="138"/>
      <c r="J893" s="138"/>
      <c r="K893" s="138"/>
      <c r="L893" s="138"/>
      <c r="M893" s="552"/>
      <c r="N893" s="138"/>
    </row>
    <row r="894">
      <c r="A894" s="452"/>
      <c r="B894" s="549"/>
      <c r="C894" s="551"/>
      <c r="D894" s="550"/>
      <c r="E894" s="551"/>
      <c r="F894" s="138"/>
      <c r="G894" s="138"/>
      <c r="H894" s="138"/>
      <c r="I894" s="138"/>
      <c r="J894" s="138"/>
      <c r="K894" s="138"/>
      <c r="L894" s="138"/>
      <c r="M894" s="552"/>
      <c r="N894" s="138"/>
    </row>
    <row r="895">
      <c r="A895" s="452"/>
      <c r="B895" s="549"/>
      <c r="C895" s="551"/>
      <c r="D895" s="550"/>
      <c r="E895" s="551"/>
      <c r="F895" s="138"/>
      <c r="G895" s="138"/>
      <c r="H895" s="138"/>
      <c r="I895" s="138"/>
      <c r="J895" s="138"/>
      <c r="K895" s="138"/>
      <c r="L895" s="138"/>
      <c r="M895" s="552"/>
      <c r="N895" s="138"/>
    </row>
    <row r="896">
      <c r="A896" s="452"/>
      <c r="B896" s="549"/>
      <c r="C896" s="551"/>
      <c r="D896" s="550"/>
      <c r="E896" s="551"/>
      <c r="F896" s="138"/>
      <c r="G896" s="138"/>
      <c r="H896" s="138"/>
      <c r="I896" s="138"/>
      <c r="J896" s="138"/>
      <c r="K896" s="138"/>
      <c r="L896" s="138"/>
      <c r="M896" s="552"/>
      <c r="N896" s="138"/>
    </row>
    <row r="897">
      <c r="A897" s="452"/>
      <c r="B897" s="549"/>
      <c r="C897" s="551"/>
      <c r="D897" s="550"/>
      <c r="E897" s="551"/>
      <c r="F897" s="138"/>
      <c r="G897" s="138"/>
      <c r="H897" s="138"/>
      <c r="I897" s="138"/>
      <c r="J897" s="138"/>
      <c r="K897" s="138"/>
      <c r="L897" s="138"/>
      <c r="M897" s="552"/>
      <c r="N897" s="138"/>
    </row>
    <row r="898">
      <c r="A898" s="452"/>
      <c r="B898" s="549"/>
      <c r="C898" s="551"/>
      <c r="D898" s="550"/>
      <c r="E898" s="551"/>
      <c r="F898" s="138"/>
      <c r="G898" s="138"/>
      <c r="H898" s="138"/>
      <c r="I898" s="138"/>
      <c r="J898" s="138"/>
      <c r="K898" s="138"/>
      <c r="L898" s="138"/>
      <c r="M898" s="552"/>
      <c r="N898" s="138"/>
    </row>
    <row r="899">
      <c r="A899" s="452"/>
      <c r="B899" s="549"/>
      <c r="C899" s="551"/>
      <c r="D899" s="550"/>
      <c r="E899" s="551"/>
      <c r="F899" s="138"/>
      <c r="G899" s="138"/>
      <c r="H899" s="138"/>
      <c r="I899" s="138"/>
      <c r="J899" s="138"/>
      <c r="K899" s="138"/>
      <c r="L899" s="138"/>
      <c r="M899" s="552"/>
      <c r="N899" s="138"/>
    </row>
    <row r="900">
      <c r="A900" s="452"/>
      <c r="B900" s="549"/>
      <c r="C900" s="551"/>
      <c r="D900" s="550"/>
      <c r="E900" s="551"/>
      <c r="F900" s="138"/>
      <c r="G900" s="138"/>
      <c r="H900" s="138"/>
      <c r="I900" s="138"/>
      <c r="J900" s="138"/>
      <c r="K900" s="138"/>
      <c r="L900" s="138"/>
      <c r="M900" s="552"/>
      <c r="N900" s="138"/>
    </row>
    <row r="901">
      <c r="A901" s="452"/>
      <c r="B901" s="549"/>
      <c r="C901" s="551"/>
      <c r="D901" s="550"/>
      <c r="E901" s="551"/>
      <c r="F901" s="138"/>
      <c r="G901" s="138"/>
      <c r="H901" s="138"/>
      <c r="I901" s="138"/>
      <c r="J901" s="138"/>
      <c r="K901" s="138"/>
      <c r="L901" s="138"/>
      <c r="M901" s="552"/>
      <c r="N901" s="138"/>
    </row>
    <row r="902">
      <c r="A902" s="452"/>
      <c r="B902" s="549"/>
      <c r="C902" s="551"/>
      <c r="D902" s="550"/>
      <c r="E902" s="551"/>
      <c r="F902" s="138"/>
      <c r="G902" s="138"/>
      <c r="H902" s="138"/>
      <c r="I902" s="138"/>
      <c r="J902" s="138"/>
      <c r="K902" s="138"/>
      <c r="L902" s="138"/>
      <c r="M902" s="552"/>
      <c r="N902" s="138"/>
    </row>
    <row r="903">
      <c r="A903" s="452"/>
      <c r="B903" s="549"/>
      <c r="C903" s="551"/>
      <c r="D903" s="550"/>
      <c r="E903" s="551"/>
      <c r="F903" s="138"/>
      <c r="G903" s="138"/>
      <c r="H903" s="138"/>
      <c r="I903" s="138"/>
      <c r="J903" s="138"/>
      <c r="K903" s="138"/>
      <c r="L903" s="138"/>
      <c r="M903" s="552"/>
      <c r="N903" s="138"/>
    </row>
    <row r="904">
      <c r="A904" s="452"/>
      <c r="B904" s="549"/>
      <c r="C904" s="551"/>
      <c r="D904" s="550"/>
      <c r="E904" s="551"/>
      <c r="F904" s="138"/>
      <c r="G904" s="138"/>
      <c r="H904" s="138"/>
      <c r="I904" s="138"/>
      <c r="J904" s="138"/>
      <c r="K904" s="138"/>
      <c r="L904" s="138"/>
      <c r="M904" s="552"/>
      <c r="N904" s="138"/>
    </row>
    <row r="905">
      <c r="A905" s="452"/>
      <c r="B905" s="549"/>
      <c r="C905" s="551"/>
      <c r="D905" s="550"/>
      <c r="E905" s="551"/>
      <c r="F905" s="138"/>
      <c r="G905" s="138"/>
      <c r="H905" s="138"/>
      <c r="I905" s="138"/>
      <c r="J905" s="138"/>
      <c r="K905" s="138"/>
      <c r="L905" s="138"/>
      <c r="M905" s="552"/>
      <c r="N905" s="138"/>
    </row>
    <row r="906">
      <c r="A906" s="452"/>
      <c r="B906" s="549"/>
      <c r="C906" s="551"/>
      <c r="D906" s="550"/>
      <c r="E906" s="551"/>
      <c r="F906" s="138"/>
      <c r="G906" s="138"/>
      <c r="H906" s="138"/>
      <c r="I906" s="138"/>
      <c r="J906" s="138"/>
      <c r="K906" s="138"/>
      <c r="L906" s="138"/>
      <c r="M906" s="552"/>
      <c r="N906" s="138"/>
    </row>
    <row r="907">
      <c r="A907" s="452"/>
      <c r="B907" s="549"/>
      <c r="C907" s="551"/>
      <c r="D907" s="550"/>
      <c r="E907" s="551"/>
      <c r="F907" s="138"/>
      <c r="G907" s="138"/>
      <c r="H907" s="138"/>
      <c r="I907" s="138"/>
      <c r="J907" s="138"/>
      <c r="K907" s="138"/>
      <c r="L907" s="138"/>
      <c r="M907" s="552"/>
      <c r="N907" s="138"/>
    </row>
    <row r="908">
      <c r="A908" s="452"/>
      <c r="B908" s="549"/>
      <c r="C908" s="551"/>
      <c r="D908" s="550"/>
      <c r="E908" s="551"/>
      <c r="F908" s="138"/>
      <c r="G908" s="138"/>
      <c r="H908" s="138"/>
      <c r="I908" s="138"/>
      <c r="J908" s="138"/>
      <c r="K908" s="138"/>
      <c r="L908" s="138"/>
      <c r="M908" s="552"/>
      <c r="N908" s="138"/>
    </row>
    <row r="909">
      <c r="A909" s="452"/>
      <c r="B909" s="549"/>
      <c r="C909" s="551"/>
      <c r="D909" s="550"/>
      <c r="E909" s="551"/>
      <c r="F909" s="138"/>
      <c r="G909" s="138"/>
      <c r="H909" s="138"/>
      <c r="I909" s="138"/>
      <c r="J909" s="138"/>
      <c r="K909" s="138"/>
      <c r="L909" s="138"/>
      <c r="M909" s="552"/>
      <c r="N909" s="138"/>
    </row>
    <row r="910">
      <c r="A910" s="452"/>
      <c r="B910" s="549"/>
      <c r="C910" s="551"/>
      <c r="D910" s="550"/>
      <c r="E910" s="551"/>
      <c r="F910" s="138"/>
      <c r="G910" s="138"/>
      <c r="H910" s="138"/>
      <c r="I910" s="138"/>
      <c r="J910" s="138"/>
      <c r="K910" s="138"/>
      <c r="L910" s="138"/>
      <c r="M910" s="552"/>
      <c r="N910" s="138"/>
    </row>
    <row r="911">
      <c r="A911" s="452"/>
      <c r="B911" s="549"/>
      <c r="C911" s="551"/>
      <c r="D911" s="550"/>
      <c r="E911" s="551"/>
      <c r="F911" s="138"/>
      <c r="G911" s="138"/>
      <c r="H911" s="138"/>
      <c r="I911" s="138"/>
      <c r="J911" s="138"/>
      <c r="K911" s="138"/>
      <c r="L911" s="138"/>
      <c r="M911" s="552"/>
      <c r="N911" s="138"/>
    </row>
    <row r="912">
      <c r="A912" s="452"/>
      <c r="B912" s="549"/>
      <c r="C912" s="551"/>
      <c r="D912" s="550"/>
      <c r="E912" s="551"/>
      <c r="F912" s="138"/>
      <c r="G912" s="138"/>
      <c r="H912" s="138"/>
      <c r="I912" s="138"/>
      <c r="J912" s="138"/>
      <c r="K912" s="138"/>
      <c r="L912" s="138"/>
      <c r="M912" s="552"/>
      <c r="N912" s="138"/>
    </row>
    <row r="913">
      <c r="A913" s="452"/>
      <c r="B913" s="549"/>
      <c r="C913" s="551"/>
      <c r="D913" s="550"/>
      <c r="E913" s="551"/>
      <c r="F913" s="138"/>
      <c r="G913" s="138"/>
      <c r="H913" s="138"/>
      <c r="I913" s="138"/>
      <c r="J913" s="138"/>
      <c r="K913" s="138"/>
      <c r="L913" s="138"/>
      <c r="M913" s="552"/>
      <c r="N913" s="138"/>
    </row>
    <row r="914">
      <c r="A914" s="452"/>
      <c r="B914" s="549"/>
      <c r="C914" s="551"/>
      <c r="D914" s="550"/>
      <c r="E914" s="551"/>
      <c r="F914" s="138"/>
      <c r="G914" s="138"/>
      <c r="H914" s="138"/>
      <c r="I914" s="138"/>
      <c r="J914" s="138"/>
      <c r="K914" s="138"/>
      <c r="L914" s="138"/>
      <c r="M914" s="552"/>
      <c r="N914" s="138"/>
    </row>
    <row r="915">
      <c r="A915" s="452"/>
      <c r="B915" s="549"/>
      <c r="C915" s="551"/>
      <c r="D915" s="550"/>
      <c r="E915" s="551"/>
      <c r="F915" s="138"/>
      <c r="G915" s="138"/>
      <c r="H915" s="138"/>
      <c r="I915" s="138"/>
      <c r="J915" s="138"/>
      <c r="K915" s="138"/>
      <c r="L915" s="138"/>
      <c r="M915" s="552"/>
      <c r="N915" s="138"/>
    </row>
    <row r="916">
      <c r="A916" s="452"/>
      <c r="B916" s="549"/>
      <c r="C916" s="551"/>
      <c r="D916" s="550"/>
      <c r="E916" s="551"/>
      <c r="F916" s="138"/>
      <c r="G916" s="138"/>
      <c r="H916" s="138"/>
      <c r="I916" s="138"/>
      <c r="J916" s="138"/>
      <c r="K916" s="138"/>
      <c r="L916" s="138"/>
      <c r="M916" s="552"/>
      <c r="N916" s="138"/>
    </row>
    <row r="917">
      <c r="A917" s="452"/>
      <c r="B917" s="549"/>
      <c r="C917" s="551"/>
      <c r="D917" s="550"/>
      <c r="E917" s="551"/>
      <c r="F917" s="138"/>
      <c r="G917" s="138"/>
      <c r="H917" s="138"/>
      <c r="I917" s="138"/>
      <c r="J917" s="138"/>
      <c r="K917" s="138"/>
      <c r="L917" s="138"/>
      <c r="M917" s="552"/>
      <c r="N917" s="138"/>
    </row>
    <row r="918">
      <c r="A918" s="452"/>
      <c r="B918" s="549"/>
      <c r="C918" s="551"/>
      <c r="D918" s="550"/>
      <c r="E918" s="551"/>
      <c r="F918" s="138"/>
      <c r="G918" s="138"/>
      <c r="H918" s="138"/>
      <c r="I918" s="138"/>
      <c r="J918" s="138"/>
      <c r="K918" s="138"/>
      <c r="L918" s="138"/>
      <c r="M918" s="552"/>
      <c r="N918" s="138"/>
    </row>
    <row r="919">
      <c r="A919" s="452"/>
      <c r="B919" s="549"/>
      <c r="C919" s="551"/>
      <c r="D919" s="550"/>
      <c r="E919" s="551"/>
      <c r="F919" s="138"/>
      <c r="G919" s="138"/>
      <c r="H919" s="138"/>
      <c r="I919" s="138"/>
      <c r="J919" s="138"/>
      <c r="K919" s="138"/>
      <c r="L919" s="138"/>
      <c r="M919" s="552"/>
      <c r="N919" s="138"/>
    </row>
    <row r="920">
      <c r="A920" s="452"/>
      <c r="B920" s="549"/>
      <c r="C920" s="551"/>
      <c r="D920" s="550"/>
      <c r="E920" s="551"/>
      <c r="F920" s="138"/>
      <c r="G920" s="138"/>
      <c r="H920" s="138"/>
      <c r="I920" s="138"/>
      <c r="J920" s="138"/>
      <c r="K920" s="138"/>
      <c r="L920" s="138"/>
      <c r="M920" s="552"/>
      <c r="N920" s="138"/>
    </row>
    <row r="921">
      <c r="A921" s="452"/>
      <c r="B921" s="549"/>
      <c r="C921" s="551"/>
      <c r="D921" s="550"/>
      <c r="E921" s="551"/>
      <c r="F921" s="138"/>
      <c r="G921" s="138"/>
      <c r="H921" s="138"/>
      <c r="I921" s="138"/>
      <c r="J921" s="138"/>
      <c r="K921" s="138"/>
      <c r="L921" s="138"/>
      <c r="M921" s="552"/>
      <c r="N921" s="138"/>
    </row>
    <row r="922">
      <c r="A922" s="452"/>
      <c r="B922" s="549"/>
      <c r="C922" s="551"/>
      <c r="D922" s="550"/>
      <c r="E922" s="551"/>
      <c r="F922" s="138"/>
      <c r="G922" s="138"/>
      <c r="H922" s="138"/>
      <c r="I922" s="138"/>
      <c r="J922" s="138"/>
      <c r="K922" s="138"/>
      <c r="L922" s="138"/>
      <c r="M922" s="552"/>
      <c r="N922" s="138"/>
    </row>
    <row r="923">
      <c r="A923" s="452"/>
      <c r="B923" s="549"/>
      <c r="C923" s="551"/>
      <c r="D923" s="550"/>
      <c r="E923" s="551"/>
      <c r="F923" s="138"/>
      <c r="G923" s="138"/>
      <c r="H923" s="138"/>
      <c r="I923" s="138"/>
      <c r="J923" s="138"/>
      <c r="K923" s="138"/>
      <c r="L923" s="138"/>
      <c r="M923" s="552"/>
      <c r="N923" s="138"/>
    </row>
    <row r="924">
      <c r="A924" s="452"/>
      <c r="B924" s="549"/>
      <c r="C924" s="551"/>
      <c r="D924" s="550"/>
      <c r="E924" s="551"/>
      <c r="F924" s="138"/>
      <c r="G924" s="138"/>
      <c r="H924" s="138"/>
      <c r="I924" s="138"/>
      <c r="J924" s="138"/>
      <c r="K924" s="138"/>
      <c r="L924" s="138"/>
      <c r="M924" s="552"/>
      <c r="N924" s="138"/>
    </row>
    <row r="925">
      <c r="A925" s="452"/>
      <c r="B925" s="549"/>
      <c r="C925" s="551"/>
      <c r="D925" s="550"/>
      <c r="E925" s="551"/>
      <c r="F925" s="138"/>
      <c r="G925" s="138"/>
      <c r="H925" s="138"/>
      <c r="I925" s="138"/>
      <c r="J925" s="138"/>
      <c r="K925" s="138"/>
      <c r="L925" s="138"/>
      <c r="M925" s="552"/>
      <c r="N925" s="138"/>
    </row>
    <row r="926">
      <c r="A926" s="452"/>
      <c r="B926" s="549"/>
      <c r="C926" s="551"/>
      <c r="D926" s="550"/>
      <c r="E926" s="551"/>
      <c r="F926" s="138"/>
      <c r="G926" s="138"/>
      <c r="H926" s="138"/>
      <c r="I926" s="138"/>
      <c r="J926" s="138"/>
      <c r="K926" s="138"/>
      <c r="L926" s="138"/>
      <c r="M926" s="552"/>
      <c r="N926" s="138"/>
    </row>
    <row r="927">
      <c r="A927" s="452"/>
      <c r="B927" s="549"/>
      <c r="C927" s="551"/>
      <c r="D927" s="550"/>
      <c r="E927" s="551"/>
      <c r="F927" s="138"/>
      <c r="G927" s="138"/>
      <c r="H927" s="138"/>
      <c r="I927" s="138"/>
      <c r="J927" s="138"/>
      <c r="K927" s="138"/>
      <c r="L927" s="138"/>
      <c r="M927" s="552"/>
      <c r="N927" s="138"/>
    </row>
    <row r="928">
      <c r="A928" s="452"/>
      <c r="B928" s="549"/>
      <c r="C928" s="551"/>
      <c r="D928" s="550"/>
      <c r="E928" s="551"/>
      <c r="F928" s="138"/>
      <c r="G928" s="138"/>
      <c r="H928" s="138"/>
      <c r="I928" s="138"/>
      <c r="J928" s="138"/>
      <c r="K928" s="138"/>
      <c r="L928" s="138"/>
      <c r="M928" s="552"/>
      <c r="N928" s="138"/>
    </row>
    <row r="929">
      <c r="A929" s="452"/>
      <c r="B929" s="549"/>
      <c r="C929" s="551"/>
      <c r="D929" s="550"/>
      <c r="E929" s="551"/>
      <c r="F929" s="138"/>
      <c r="G929" s="138"/>
      <c r="H929" s="138"/>
      <c r="I929" s="138"/>
      <c r="J929" s="138"/>
      <c r="K929" s="138"/>
      <c r="L929" s="138"/>
      <c r="M929" s="552"/>
      <c r="N929" s="138"/>
    </row>
    <row r="930">
      <c r="A930" s="452"/>
      <c r="B930" s="549"/>
      <c r="C930" s="551"/>
      <c r="D930" s="550"/>
      <c r="E930" s="551"/>
      <c r="F930" s="138"/>
      <c r="G930" s="138"/>
      <c r="H930" s="138"/>
      <c r="I930" s="138"/>
      <c r="J930" s="138"/>
      <c r="K930" s="138"/>
      <c r="L930" s="138"/>
      <c r="M930" s="552"/>
      <c r="N930" s="138"/>
    </row>
    <row r="931">
      <c r="A931" s="452"/>
      <c r="B931" s="549"/>
      <c r="C931" s="551"/>
      <c r="D931" s="550"/>
      <c r="E931" s="551"/>
      <c r="F931" s="138"/>
      <c r="G931" s="138"/>
      <c r="H931" s="138"/>
      <c r="I931" s="138"/>
      <c r="J931" s="138"/>
      <c r="K931" s="138"/>
      <c r="L931" s="138"/>
      <c r="M931" s="552"/>
      <c r="N931" s="138"/>
    </row>
    <row r="932">
      <c r="A932" s="452"/>
      <c r="B932" s="549"/>
      <c r="C932" s="551"/>
      <c r="D932" s="550"/>
      <c r="E932" s="551"/>
      <c r="F932" s="138"/>
      <c r="G932" s="138"/>
      <c r="H932" s="138"/>
      <c r="I932" s="138"/>
      <c r="J932" s="138"/>
      <c r="K932" s="138"/>
      <c r="L932" s="138"/>
      <c r="M932" s="552"/>
      <c r="N932" s="138"/>
    </row>
    <row r="933">
      <c r="A933" s="452"/>
      <c r="B933" s="549"/>
      <c r="C933" s="551"/>
      <c r="D933" s="550"/>
      <c r="E933" s="551"/>
      <c r="F933" s="138"/>
      <c r="G933" s="138"/>
      <c r="H933" s="138"/>
      <c r="I933" s="138"/>
      <c r="J933" s="138"/>
      <c r="K933" s="138"/>
      <c r="L933" s="138"/>
      <c r="M933" s="552"/>
      <c r="N933" s="138"/>
    </row>
    <row r="934">
      <c r="A934" s="452"/>
      <c r="B934" s="549"/>
      <c r="C934" s="551"/>
      <c r="D934" s="550"/>
      <c r="E934" s="551"/>
      <c r="F934" s="138"/>
      <c r="G934" s="138"/>
      <c r="H934" s="138"/>
      <c r="I934" s="138"/>
      <c r="J934" s="138"/>
      <c r="K934" s="138"/>
      <c r="L934" s="138"/>
      <c r="M934" s="552"/>
      <c r="N934" s="138"/>
    </row>
    <row r="935">
      <c r="A935" s="452"/>
      <c r="B935" s="549"/>
      <c r="C935" s="551"/>
      <c r="D935" s="550"/>
      <c r="E935" s="551"/>
      <c r="F935" s="138"/>
      <c r="G935" s="138"/>
      <c r="H935" s="138"/>
      <c r="I935" s="138"/>
      <c r="J935" s="138"/>
      <c r="K935" s="138"/>
      <c r="L935" s="138"/>
      <c r="M935" s="552"/>
      <c r="N935" s="138"/>
    </row>
    <row r="936">
      <c r="A936" s="452"/>
      <c r="B936" s="549"/>
      <c r="C936" s="551"/>
      <c r="D936" s="550"/>
      <c r="E936" s="551"/>
      <c r="F936" s="138"/>
      <c r="G936" s="138"/>
      <c r="H936" s="138"/>
      <c r="I936" s="138"/>
      <c r="J936" s="138"/>
      <c r="K936" s="138"/>
      <c r="L936" s="138"/>
      <c r="M936" s="552"/>
      <c r="N936" s="138"/>
    </row>
    <row r="937">
      <c r="A937" s="452"/>
      <c r="B937" s="549"/>
      <c r="C937" s="551"/>
      <c r="D937" s="550"/>
      <c r="E937" s="551"/>
      <c r="F937" s="138"/>
      <c r="G937" s="138"/>
      <c r="H937" s="138"/>
      <c r="I937" s="138"/>
      <c r="J937" s="138"/>
      <c r="K937" s="138"/>
      <c r="L937" s="138"/>
      <c r="M937" s="552"/>
      <c r="N937" s="138"/>
    </row>
    <row r="938">
      <c r="A938" s="452"/>
      <c r="B938" s="549"/>
      <c r="C938" s="551"/>
      <c r="D938" s="550"/>
      <c r="E938" s="551"/>
      <c r="F938" s="138"/>
      <c r="G938" s="138"/>
      <c r="H938" s="138"/>
      <c r="I938" s="138"/>
      <c r="J938" s="138"/>
      <c r="K938" s="138"/>
      <c r="L938" s="138"/>
      <c r="M938" s="552"/>
      <c r="N938" s="138"/>
    </row>
    <row r="939">
      <c r="A939" s="452"/>
      <c r="B939" s="549"/>
      <c r="C939" s="551"/>
      <c r="D939" s="550"/>
      <c r="E939" s="551"/>
      <c r="F939" s="138"/>
      <c r="G939" s="138"/>
      <c r="H939" s="138"/>
      <c r="I939" s="138"/>
      <c r="J939" s="138"/>
      <c r="K939" s="138"/>
      <c r="L939" s="138"/>
      <c r="M939" s="552"/>
      <c r="N939" s="138"/>
    </row>
    <row r="940">
      <c r="A940" s="452"/>
      <c r="B940" s="549"/>
      <c r="C940" s="551"/>
      <c r="D940" s="550"/>
      <c r="E940" s="551"/>
      <c r="F940" s="138"/>
      <c r="G940" s="138"/>
      <c r="H940" s="138"/>
      <c r="I940" s="138"/>
      <c r="J940" s="138"/>
      <c r="K940" s="138"/>
      <c r="L940" s="138"/>
      <c r="M940" s="552"/>
      <c r="N940" s="138"/>
    </row>
    <row r="941">
      <c r="A941" s="452"/>
      <c r="B941" s="549"/>
      <c r="C941" s="551"/>
      <c r="D941" s="550"/>
      <c r="E941" s="551"/>
      <c r="F941" s="138"/>
      <c r="G941" s="138"/>
      <c r="H941" s="138"/>
      <c r="I941" s="138"/>
      <c r="J941" s="138"/>
      <c r="K941" s="138"/>
      <c r="L941" s="138"/>
      <c r="M941" s="552"/>
      <c r="N941" s="138"/>
    </row>
    <row r="942">
      <c r="A942" s="452"/>
      <c r="B942" s="549"/>
      <c r="C942" s="551"/>
      <c r="D942" s="550"/>
      <c r="E942" s="551"/>
      <c r="F942" s="138"/>
      <c r="G942" s="138"/>
      <c r="H942" s="138"/>
      <c r="I942" s="138"/>
      <c r="J942" s="138"/>
      <c r="K942" s="138"/>
      <c r="L942" s="138"/>
      <c r="M942" s="552"/>
      <c r="N942" s="138"/>
    </row>
    <row r="943">
      <c r="A943" s="452"/>
      <c r="B943" s="549"/>
      <c r="C943" s="551"/>
      <c r="D943" s="550"/>
      <c r="E943" s="551"/>
      <c r="F943" s="138"/>
      <c r="G943" s="138"/>
      <c r="H943" s="138"/>
      <c r="I943" s="138"/>
      <c r="J943" s="138"/>
      <c r="K943" s="138"/>
      <c r="L943" s="138"/>
      <c r="M943" s="552"/>
      <c r="N943" s="138"/>
    </row>
    <row r="944">
      <c r="A944" s="452"/>
      <c r="B944" s="549"/>
      <c r="C944" s="551"/>
      <c r="D944" s="550"/>
      <c r="E944" s="551"/>
      <c r="F944" s="138"/>
      <c r="G944" s="138"/>
      <c r="H944" s="138"/>
      <c r="I944" s="138"/>
      <c r="J944" s="138"/>
      <c r="K944" s="138"/>
      <c r="L944" s="138"/>
      <c r="M944" s="552"/>
      <c r="N944" s="138"/>
    </row>
    <row r="945">
      <c r="A945" s="452"/>
      <c r="B945" s="549"/>
      <c r="C945" s="551"/>
      <c r="D945" s="550"/>
      <c r="E945" s="551"/>
      <c r="F945" s="138"/>
      <c r="G945" s="138"/>
      <c r="H945" s="138"/>
      <c r="I945" s="138"/>
      <c r="J945" s="138"/>
      <c r="K945" s="138"/>
      <c r="L945" s="138"/>
      <c r="M945" s="552"/>
      <c r="N945" s="138"/>
    </row>
    <row r="946">
      <c r="A946" s="452"/>
      <c r="B946" s="549"/>
      <c r="C946" s="551"/>
      <c r="D946" s="550"/>
      <c r="E946" s="551"/>
      <c r="F946" s="138"/>
      <c r="G946" s="138"/>
      <c r="H946" s="138"/>
      <c r="I946" s="138"/>
      <c r="J946" s="138"/>
      <c r="K946" s="138"/>
      <c r="L946" s="138"/>
      <c r="M946" s="552"/>
      <c r="N946" s="138"/>
    </row>
    <row r="947">
      <c r="A947" s="452"/>
      <c r="B947" s="549"/>
      <c r="C947" s="551"/>
      <c r="D947" s="550"/>
      <c r="E947" s="551"/>
      <c r="F947" s="138"/>
      <c r="G947" s="138"/>
      <c r="H947" s="138"/>
      <c r="I947" s="138"/>
      <c r="J947" s="138"/>
      <c r="K947" s="138"/>
      <c r="L947" s="138"/>
      <c r="M947" s="552"/>
      <c r="N947" s="138"/>
    </row>
    <row r="948">
      <c r="A948" s="452"/>
      <c r="B948" s="549"/>
      <c r="C948" s="551"/>
      <c r="D948" s="550"/>
      <c r="E948" s="551"/>
      <c r="F948" s="138"/>
      <c r="G948" s="138"/>
      <c r="H948" s="138"/>
      <c r="I948" s="138"/>
      <c r="J948" s="138"/>
      <c r="K948" s="138"/>
      <c r="L948" s="138"/>
      <c r="M948" s="552"/>
      <c r="N948" s="138"/>
    </row>
    <row r="949">
      <c r="A949" s="452"/>
      <c r="B949" s="549"/>
      <c r="C949" s="551"/>
      <c r="D949" s="550"/>
      <c r="E949" s="551"/>
      <c r="F949" s="138"/>
      <c r="G949" s="138"/>
      <c r="H949" s="138"/>
      <c r="I949" s="138"/>
      <c r="J949" s="138"/>
      <c r="K949" s="138"/>
      <c r="L949" s="138"/>
      <c r="M949" s="552"/>
      <c r="N949" s="138"/>
    </row>
    <row r="950">
      <c r="A950" s="452"/>
      <c r="B950" s="549"/>
      <c r="C950" s="551"/>
      <c r="D950" s="550"/>
      <c r="E950" s="551"/>
      <c r="F950" s="138"/>
      <c r="G950" s="138"/>
      <c r="H950" s="138"/>
      <c r="I950" s="138"/>
      <c r="J950" s="138"/>
      <c r="K950" s="138"/>
      <c r="L950" s="138"/>
      <c r="M950" s="552"/>
      <c r="N950" s="138"/>
    </row>
    <row r="951">
      <c r="A951" s="452"/>
      <c r="B951" s="549"/>
      <c r="C951" s="551"/>
      <c r="D951" s="550"/>
      <c r="E951" s="551"/>
      <c r="F951" s="138"/>
      <c r="G951" s="138"/>
      <c r="H951" s="138"/>
      <c r="I951" s="138"/>
      <c r="J951" s="138"/>
      <c r="K951" s="138"/>
      <c r="L951" s="138"/>
      <c r="M951" s="552"/>
      <c r="N951" s="138"/>
    </row>
    <row r="952">
      <c r="A952" s="452"/>
      <c r="B952" s="549"/>
      <c r="C952" s="551"/>
      <c r="D952" s="550"/>
      <c r="E952" s="551"/>
      <c r="F952" s="138"/>
      <c r="G952" s="138"/>
      <c r="H952" s="138"/>
      <c r="I952" s="138"/>
      <c r="J952" s="138"/>
      <c r="K952" s="138"/>
      <c r="L952" s="138"/>
      <c r="M952" s="552"/>
      <c r="N952" s="138"/>
    </row>
    <row r="953">
      <c r="A953" s="452"/>
      <c r="B953" s="549"/>
      <c r="C953" s="551"/>
      <c r="D953" s="550"/>
      <c r="E953" s="551"/>
      <c r="F953" s="138"/>
      <c r="G953" s="138"/>
      <c r="H953" s="138"/>
      <c r="I953" s="138"/>
      <c r="J953" s="138"/>
      <c r="K953" s="138"/>
      <c r="L953" s="138"/>
      <c r="M953" s="552"/>
      <c r="N953" s="138"/>
    </row>
    <row r="954">
      <c r="A954" s="452"/>
      <c r="B954" s="549"/>
      <c r="C954" s="551"/>
      <c r="D954" s="550"/>
      <c r="E954" s="551"/>
      <c r="F954" s="138"/>
      <c r="G954" s="138"/>
      <c r="H954" s="138"/>
      <c r="I954" s="138"/>
      <c r="J954" s="138"/>
      <c r="K954" s="138"/>
      <c r="L954" s="138"/>
      <c r="M954" s="552"/>
      <c r="N954" s="138"/>
    </row>
    <row r="955">
      <c r="A955" s="452"/>
      <c r="B955" s="549"/>
      <c r="C955" s="551"/>
      <c r="D955" s="550"/>
      <c r="E955" s="551"/>
      <c r="F955" s="138"/>
      <c r="G955" s="138"/>
      <c r="H955" s="138"/>
      <c r="I955" s="138"/>
      <c r="J955" s="138"/>
      <c r="K955" s="138"/>
      <c r="L955" s="138"/>
      <c r="M955" s="552"/>
      <c r="N955" s="138"/>
    </row>
    <row r="956">
      <c r="A956" s="452"/>
      <c r="B956" s="549"/>
      <c r="C956" s="551"/>
      <c r="D956" s="550"/>
      <c r="E956" s="551"/>
      <c r="F956" s="138"/>
      <c r="G956" s="138"/>
      <c r="H956" s="138"/>
      <c r="I956" s="138"/>
      <c r="J956" s="138"/>
      <c r="K956" s="138"/>
      <c r="L956" s="138"/>
      <c r="M956" s="552"/>
      <c r="N956" s="138"/>
    </row>
    <row r="957">
      <c r="A957" s="452"/>
      <c r="B957" s="549"/>
      <c r="C957" s="551"/>
      <c r="D957" s="550"/>
      <c r="E957" s="551"/>
      <c r="F957" s="138"/>
      <c r="G957" s="138"/>
      <c r="H957" s="138"/>
      <c r="I957" s="138"/>
      <c r="J957" s="138"/>
      <c r="K957" s="138"/>
      <c r="L957" s="138"/>
      <c r="M957" s="552"/>
      <c r="N957" s="138"/>
    </row>
    <row r="958">
      <c r="A958" s="452"/>
      <c r="B958" s="549"/>
      <c r="C958" s="551"/>
      <c r="D958" s="550"/>
      <c r="E958" s="551"/>
      <c r="F958" s="138"/>
      <c r="G958" s="138"/>
      <c r="H958" s="138"/>
      <c r="I958" s="138"/>
      <c r="J958" s="138"/>
      <c r="K958" s="138"/>
      <c r="L958" s="138"/>
      <c r="M958" s="552"/>
      <c r="N958" s="138"/>
    </row>
    <row r="959">
      <c r="A959" s="452"/>
      <c r="B959" s="549"/>
      <c r="C959" s="551"/>
      <c r="D959" s="550"/>
      <c r="E959" s="551"/>
      <c r="F959" s="138"/>
      <c r="G959" s="138"/>
      <c r="H959" s="138"/>
      <c r="I959" s="138"/>
      <c r="J959" s="138"/>
      <c r="K959" s="138"/>
      <c r="L959" s="138"/>
      <c r="M959" s="552"/>
      <c r="N959" s="138"/>
    </row>
    <row r="960">
      <c r="A960" s="452"/>
      <c r="B960" s="549"/>
      <c r="C960" s="551"/>
      <c r="D960" s="550"/>
      <c r="E960" s="551"/>
      <c r="F960" s="138"/>
      <c r="G960" s="138"/>
      <c r="H960" s="138"/>
      <c r="I960" s="138"/>
      <c r="J960" s="138"/>
      <c r="K960" s="138"/>
      <c r="L960" s="138"/>
      <c r="M960" s="552"/>
      <c r="N960" s="138"/>
    </row>
    <row r="961">
      <c r="A961" s="452"/>
      <c r="B961" s="549"/>
      <c r="C961" s="551"/>
      <c r="D961" s="550"/>
      <c r="E961" s="551"/>
      <c r="F961" s="138"/>
      <c r="G961" s="138"/>
      <c r="H961" s="138"/>
      <c r="I961" s="138"/>
      <c r="J961" s="138"/>
      <c r="K961" s="138"/>
      <c r="L961" s="138"/>
      <c r="M961" s="552"/>
      <c r="N961" s="138"/>
    </row>
    <row r="962">
      <c r="A962" s="452"/>
      <c r="B962" s="549"/>
      <c r="C962" s="551"/>
      <c r="D962" s="550"/>
      <c r="E962" s="551"/>
      <c r="F962" s="138"/>
      <c r="G962" s="138"/>
      <c r="H962" s="138"/>
      <c r="I962" s="138"/>
      <c r="J962" s="138"/>
      <c r="K962" s="138"/>
      <c r="L962" s="138"/>
      <c r="M962" s="552"/>
      <c r="N962" s="138"/>
    </row>
    <row r="963">
      <c r="A963" s="452"/>
      <c r="B963" s="549"/>
      <c r="C963" s="551"/>
      <c r="D963" s="550"/>
      <c r="E963" s="551"/>
      <c r="F963" s="138"/>
      <c r="G963" s="138"/>
      <c r="H963" s="138"/>
      <c r="I963" s="138"/>
      <c r="J963" s="138"/>
      <c r="K963" s="138"/>
      <c r="L963" s="138"/>
      <c r="M963" s="552"/>
      <c r="N963" s="138"/>
    </row>
    <row r="964">
      <c r="A964" s="452"/>
      <c r="B964" s="549"/>
      <c r="C964" s="551"/>
      <c r="D964" s="550"/>
      <c r="E964" s="551"/>
      <c r="F964" s="138"/>
      <c r="G964" s="138"/>
      <c r="H964" s="138"/>
      <c r="I964" s="138"/>
      <c r="J964" s="138"/>
      <c r="K964" s="138"/>
      <c r="L964" s="138"/>
      <c r="M964" s="552"/>
      <c r="N964" s="138"/>
    </row>
    <row r="965">
      <c r="A965" s="452"/>
      <c r="B965" s="549"/>
      <c r="C965" s="551"/>
      <c r="D965" s="550"/>
      <c r="E965" s="551"/>
      <c r="F965" s="138"/>
      <c r="G965" s="138"/>
      <c r="H965" s="138"/>
      <c r="I965" s="138"/>
      <c r="J965" s="138"/>
      <c r="K965" s="138"/>
      <c r="L965" s="138"/>
      <c r="M965" s="552"/>
      <c r="N965" s="138"/>
    </row>
    <row r="966">
      <c r="A966" s="452"/>
      <c r="B966" s="549"/>
      <c r="C966" s="551"/>
      <c r="D966" s="550"/>
      <c r="E966" s="551"/>
      <c r="F966" s="138"/>
      <c r="G966" s="138"/>
      <c r="H966" s="138"/>
      <c r="I966" s="138"/>
      <c r="J966" s="138"/>
      <c r="K966" s="138"/>
      <c r="L966" s="138"/>
      <c r="M966" s="552"/>
      <c r="N966" s="138"/>
    </row>
    <row r="967">
      <c r="A967" s="452"/>
      <c r="B967" s="549"/>
      <c r="C967" s="551"/>
      <c r="D967" s="550"/>
      <c r="E967" s="551"/>
      <c r="F967" s="138"/>
      <c r="G967" s="138"/>
      <c r="H967" s="138"/>
      <c r="I967" s="138"/>
      <c r="J967" s="138"/>
      <c r="K967" s="138"/>
      <c r="L967" s="138"/>
      <c r="M967" s="552"/>
      <c r="N967" s="138"/>
    </row>
    <row r="968">
      <c r="A968" s="452"/>
      <c r="B968" s="549"/>
      <c r="C968" s="551"/>
      <c r="D968" s="550"/>
      <c r="E968" s="551"/>
      <c r="F968" s="138"/>
      <c r="G968" s="138"/>
      <c r="H968" s="138"/>
      <c r="I968" s="138"/>
      <c r="J968" s="138"/>
      <c r="K968" s="138"/>
      <c r="L968" s="138"/>
      <c r="M968" s="552"/>
      <c r="N968" s="138"/>
    </row>
    <row r="969">
      <c r="A969" s="452"/>
      <c r="B969" s="549"/>
      <c r="C969" s="551"/>
      <c r="D969" s="550"/>
      <c r="E969" s="551"/>
      <c r="F969" s="138"/>
      <c r="G969" s="138"/>
      <c r="H969" s="138"/>
      <c r="I969" s="138"/>
      <c r="J969" s="138"/>
      <c r="K969" s="138"/>
      <c r="L969" s="138"/>
      <c r="M969" s="552"/>
      <c r="N969" s="138"/>
    </row>
    <row r="970">
      <c r="A970" s="452"/>
      <c r="B970" s="549"/>
      <c r="C970" s="551"/>
      <c r="D970" s="550"/>
      <c r="E970" s="551"/>
      <c r="F970" s="138"/>
      <c r="G970" s="138"/>
      <c r="H970" s="138"/>
      <c r="I970" s="138"/>
      <c r="J970" s="138"/>
      <c r="K970" s="138"/>
      <c r="L970" s="138"/>
      <c r="M970" s="552"/>
      <c r="N970" s="138"/>
    </row>
    <row r="971">
      <c r="A971" s="452"/>
      <c r="B971" s="549"/>
      <c r="C971" s="551"/>
      <c r="D971" s="550"/>
      <c r="E971" s="551"/>
      <c r="F971" s="138"/>
      <c r="G971" s="138"/>
      <c r="H971" s="138"/>
      <c r="I971" s="138"/>
      <c r="J971" s="138"/>
      <c r="K971" s="138"/>
      <c r="L971" s="138"/>
      <c r="M971" s="552"/>
      <c r="N971" s="138"/>
    </row>
    <row r="972">
      <c r="A972" s="452"/>
      <c r="B972" s="549"/>
      <c r="C972" s="551"/>
      <c r="D972" s="550"/>
      <c r="E972" s="551"/>
      <c r="F972" s="138"/>
      <c r="G972" s="138"/>
      <c r="H972" s="138"/>
      <c r="I972" s="138"/>
      <c r="J972" s="138"/>
      <c r="K972" s="138"/>
      <c r="L972" s="138"/>
      <c r="M972" s="552"/>
      <c r="N972" s="138"/>
    </row>
    <row r="973">
      <c r="A973" s="452"/>
      <c r="B973" s="549"/>
      <c r="C973" s="551"/>
      <c r="D973" s="550"/>
      <c r="E973" s="551"/>
      <c r="F973" s="138"/>
      <c r="G973" s="138"/>
      <c r="H973" s="138"/>
      <c r="I973" s="138"/>
      <c r="J973" s="138"/>
      <c r="K973" s="138"/>
      <c r="L973" s="138"/>
      <c r="M973" s="552"/>
      <c r="N973" s="138"/>
    </row>
    <row r="974">
      <c r="A974" s="452"/>
      <c r="B974" s="549"/>
      <c r="C974" s="551"/>
      <c r="D974" s="550"/>
      <c r="E974" s="551"/>
      <c r="F974" s="138"/>
      <c r="G974" s="138"/>
      <c r="H974" s="138"/>
      <c r="I974" s="138"/>
      <c r="J974" s="138"/>
      <c r="K974" s="138"/>
      <c r="L974" s="138"/>
      <c r="M974" s="552"/>
      <c r="N974" s="138"/>
    </row>
    <row r="975">
      <c r="A975" s="452"/>
      <c r="B975" s="549"/>
      <c r="C975" s="551"/>
      <c r="D975" s="550"/>
      <c r="E975" s="551"/>
      <c r="F975" s="138"/>
      <c r="G975" s="138"/>
      <c r="H975" s="138"/>
      <c r="I975" s="138"/>
      <c r="J975" s="138"/>
      <c r="K975" s="138"/>
      <c r="L975" s="138"/>
      <c r="M975" s="552"/>
      <c r="N975" s="138"/>
    </row>
    <row r="976">
      <c r="A976" s="452"/>
      <c r="B976" s="549"/>
      <c r="C976" s="551"/>
      <c r="D976" s="550"/>
      <c r="E976" s="551"/>
      <c r="F976" s="138"/>
      <c r="G976" s="138"/>
      <c r="H976" s="138"/>
      <c r="I976" s="138"/>
      <c r="J976" s="138"/>
      <c r="K976" s="138"/>
      <c r="L976" s="138"/>
      <c r="M976" s="552"/>
      <c r="N976" s="138"/>
    </row>
    <row r="977">
      <c r="A977" s="452"/>
      <c r="B977" s="549"/>
      <c r="C977" s="551"/>
      <c r="D977" s="550"/>
      <c r="E977" s="551"/>
      <c r="F977" s="138"/>
      <c r="G977" s="138"/>
      <c r="H977" s="138"/>
      <c r="I977" s="138"/>
      <c r="J977" s="138"/>
      <c r="K977" s="138"/>
      <c r="L977" s="138"/>
      <c r="M977" s="552"/>
      <c r="N977" s="138"/>
    </row>
    <row r="978">
      <c r="A978" s="452"/>
      <c r="B978" s="549"/>
      <c r="C978" s="551"/>
      <c r="D978" s="550"/>
      <c r="E978" s="551"/>
      <c r="F978" s="138"/>
      <c r="G978" s="138"/>
      <c r="H978" s="138"/>
      <c r="I978" s="138"/>
      <c r="J978" s="138"/>
      <c r="K978" s="138"/>
      <c r="L978" s="138"/>
      <c r="M978" s="552"/>
      <c r="N978" s="138"/>
    </row>
    <row r="979">
      <c r="A979" s="452"/>
      <c r="B979" s="549"/>
      <c r="C979" s="551"/>
      <c r="D979" s="550"/>
      <c r="E979" s="551"/>
      <c r="F979" s="138"/>
      <c r="G979" s="138"/>
      <c r="H979" s="138"/>
      <c r="I979" s="138"/>
      <c r="J979" s="138"/>
      <c r="K979" s="138"/>
      <c r="L979" s="138"/>
      <c r="M979" s="552"/>
      <c r="N979" s="138"/>
    </row>
    <row r="980">
      <c r="A980" s="452"/>
      <c r="B980" s="549"/>
      <c r="C980" s="551"/>
      <c r="D980" s="550"/>
      <c r="E980" s="551"/>
      <c r="F980" s="138"/>
      <c r="G980" s="138"/>
      <c r="H980" s="138"/>
      <c r="I980" s="138"/>
      <c r="J980" s="138"/>
      <c r="K980" s="138"/>
      <c r="L980" s="138"/>
      <c r="M980" s="552"/>
      <c r="N980" s="138"/>
    </row>
    <row r="981">
      <c r="A981" s="452"/>
      <c r="B981" s="549"/>
      <c r="C981" s="551"/>
      <c r="D981" s="550"/>
      <c r="E981" s="551"/>
      <c r="F981" s="138"/>
      <c r="G981" s="138"/>
      <c r="H981" s="138"/>
      <c r="I981" s="138"/>
      <c r="J981" s="138"/>
      <c r="K981" s="138"/>
      <c r="L981" s="138"/>
      <c r="M981" s="552"/>
      <c r="N981" s="138"/>
    </row>
    <row r="982">
      <c r="A982" s="452"/>
      <c r="B982" s="549"/>
      <c r="C982" s="551"/>
      <c r="D982" s="550"/>
      <c r="E982" s="551"/>
      <c r="F982" s="138"/>
      <c r="G982" s="138"/>
      <c r="H982" s="138"/>
      <c r="I982" s="138"/>
      <c r="J982" s="138"/>
      <c r="K982" s="138"/>
      <c r="L982" s="138"/>
      <c r="M982" s="552"/>
      <c r="N982" s="138"/>
    </row>
    <row r="983">
      <c r="A983" s="452"/>
      <c r="B983" s="549"/>
      <c r="C983" s="551"/>
      <c r="D983" s="550"/>
      <c r="E983" s="551"/>
      <c r="F983" s="138"/>
      <c r="G983" s="138"/>
      <c r="H983" s="138"/>
      <c r="I983" s="138"/>
      <c r="J983" s="138"/>
      <c r="K983" s="138"/>
      <c r="L983" s="138"/>
      <c r="M983" s="552"/>
      <c r="N983" s="138"/>
    </row>
    <row r="984">
      <c r="A984" s="452"/>
      <c r="B984" s="549"/>
      <c r="C984" s="551"/>
      <c r="D984" s="550"/>
      <c r="E984" s="551"/>
      <c r="F984" s="138"/>
      <c r="G984" s="138"/>
      <c r="H984" s="138"/>
      <c r="I984" s="138"/>
      <c r="J984" s="138"/>
      <c r="K984" s="138"/>
      <c r="L984" s="138"/>
      <c r="M984" s="552"/>
      <c r="N984" s="138"/>
    </row>
    <row r="985">
      <c r="A985" s="452"/>
      <c r="B985" s="549"/>
      <c r="C985" s="551"/>
      <c r="D985" s="550"/>
      <c r="E985" s="551"/>
      <c r="F985" s="138"/>
      <c r="G985" s="138"/>
      <c r="H985" s="138"/>
      <c r="I985" s="138"/>
      <c r="J985" s="138"/>
      <c r="K985" s="138"/>
      <c r="L985" s="138"/>
      <c r="M985" s="552"/>
      <c r="N985" s="138"/>
    </row>
    <row r="986">
      <c r="A986" s="452"/>
      <c r="B986" s="549"/>
      <c r="C986" s="551"/>
      <c r="D986" s="550"/>
      <c r="E986" s="551"/>
      <c r="F986" s="138"/>
      <c r="G986" s="138"/>
      <c r="H986" s="138"/>
      <c r="I986" s="138"/>
      <c r="J986" s="138"/>
      <c r="K986" s="138"/>
      <c r="L986" s="138"/>
      <c r="M986" s="552"/>
      <c r="N986" s="138"/>
    </row>
    <row r="987">
      <c r="A987" s="452"/>
      <c r="B987" s="549"/>
      <c r="C987" s="551"/>
      <c r="D987" s="550"/>
      <c r="E987" s="551"/>
      <c r="F987" s="138"/>
      <c r="G987" s="138"/>
      <c r="H987" s="138"/>
      <c r="I987" s="138"/>
      <c r="J987" s="138"/>
      <c r="K987" s="138"/>
      <c r="L987" s="138"/>
      <c r="M987" s="552"/>
      <c r="N987" s="138"/>
    </row>
    <row r="988">
      <c r="A988" s="452"/>
      <c r="B988" s="549"/>
      <c r="C988" s="551"/>
      <c r="D988" s="550"/>
      <c r="E988" s="551"/>
      <c r="F988" s="138"/>
      <c r="G988" s="138"/>
      <c r="H988" s="138"/>
      <c r="I988" s="138"/>
      <c r="J988" s="138"/>
      <c r="K988" s="138"/>
      <c r="L988" s="138"/>
      <c r="M988" s="552"/>
      <c r="N988" s="138"/>
    </row>
    <row r="989">
      <c r="A989" s="452"/>
      <c r="B989" s="549"/>
      <c r="C989" s="551"/>
      <c r="D989" s="550"/>
      <c r="E989" s="551"/>
      <c r="F989" s="138"/>
      <c r="G989" s="138"/>
      <c r="H989" s="138"/>
      <c r="I989" s="138"/>
      <c r="J989" s="138"/>
      <c r="K989" s="138"/>
      <c r="L989" s="138"/>
      <c r="M989" s="552"/>
      <c r="N989" s="138"/>
    </row>
    <row r="990">
      <c r="A990" s="452"/>
      <c r="B990" s="549"/>
      <c r="C990" s="551"/>
      <c r="D990" s="550"/>
      <c r="E990" s="551"/>
      <c r="F990" s="138"/>
      <c r="G990" s="138"/>
      <c r="H990" s="138"/>
      <c r="I990" s="138"/>
      <c r="J990" s="138"/>
      <c r="K990" s="138"/>
      <c r="L990" s="138"/>
      <c r="M990" s="552"/>
      <c r="N990" s="138"/>
    </row>
    <row r="991">
      <c r="A991" s="452"/>
      <c r="B991" s="549"/>
      <c r="C991" s="551"/>
      <c r="D991" s="550"/>
      <c r="E991" s="551"/>
      <c r="F991" s="138"/>
      <c r="G991" s="138"/>
      <c r="H991" s="138"/>
      <c r="I991" s="138"/>
      <c r="J991" s="138"/>
      <c r="K991" s="138"/>
      <c r="L991" s="138"/>
      <c r="M991" s="552"/>
      <c r="N991" s="138"/>
    </row>
    <row r="992">
      <c r="A992" s="452"/>
      <c r="B992" s="549"/>
      <c r="C992" s="551"/>
      <c r="D992" s="550"/>
      <c r="E992" s="551"/>
      <c r="F992" s="138"/>
      <c r="G992" s="138"/>
      <c r="H992" s="138"/>
      <c r="I992" s="138"/>
      <c r="J992" s="138"/>
      <c r="K992" s="138"/>
      <c r="L992" s="138"/>
      <c r="M992" s="552"/>
      <c r="N992" s="138"/>
    </row>
    <row r="993">
      <c r="A993" s="452"/>
      <c r="B993" s="549"/>
      <c r="C993" s="551"/>
      <c r="D993" s="550"/>
      <c r="E993" s="551"/>
      <c r="F993" s="138"/>
      <c r="G993" s="138"/>
      <c r="H993" s="138"/>
      <c r="I993" s="138"/>
      <c r="J993" s="138"/>
      <c r="K993" s="138"/>
      <c r="L993" s="138"/>
      <c r="M993" s="552"/>
      <c r="N993" s="138"/>
    </row>
    <row r="994">
      <c r="A994" s="452"/>
      <c r="B994" s="549"/>
      <c r="C994" s="551"/>
      <c r="D994" s="550"/>
      <c r="E994" s="551"/>
      <c r="F994" s="138"/>
      <c r="G994" s="138"/>
      <c r="H994" s="138"/>
      <c r="I994" s="138"/>
      <c r="J994" s="138"/>
      <c r="K994" s="138"/>
      <c r="L994" s="138"/>
      <c r="M994" s="552"/>
      <c r="N994" s="138"/>
    </row>
    <row r="995">
      <c r="A995" s="452"/>
      <c r="B995" s="549"/>
      <c r="C995" s="551"/>
      <c r="D995" s="550"/>
      <c r="E995" s="551"/>
      <c r="F995" s="138"/>
      <c r="G995" s="138"/>
      <c r="H995" s="138"/>
      <c r="I995" s="138"/>
      <c r="J995" s="138"/>
      <c r="K995" s="138"/>
      <c r="L995" s="138"/>
      <c r="M995" s="552"/>
      <c r="N995" s="138"/>
    </row>
    <row r="996">
      <c r="A996" s="452"/>
      <c r="B996" s="549"/>
      <c r="C996" s="551"/>
      <c r="D996" s="550"/>
      <c r="E996" s="551"/>
      <c r="F996" s="138"/>
      <c r="G996" s="138"/>
      <c r="H996" s="138"/>
      <c r="I996" s="138"/>
      <c r="J996" s="138"/>
      <c r="K996" s="138"/>
      <c r="L996" s="138"/>
      <c r="M996" s="552"/>
      <c r="N996" s="138"/>
    </row>
    <row r="997">
      <c r="A997" s="452"/>
      <c r="B997" s="549"/>
      <c r="C997" s="551"/>
      <c r="D997" s="550"/>
      <c r="E997" s="551"/>
      <c r="F997" s="138"/>
      <c r="G997" s="138"/>
      <c r="H997" s="138"/>
      <c r="I997" s="138"/>
      <c r="J997" s="138"/>
      <c r="K997" s="138"/>
      <c r="L997" s="138"/>
      <c r="M997" s="552"/>
      <c r="N997" s="138"/>
    </row>
    <row r="998">
      <c r="A998" s="452"/>
      <c r="B998" s="549"/>
      <c r="C998" s="551"/>
      <c r="D998" s="550"/>
      <c r="E998" s="551"/>
      <c r="F998" s="138"/>
      <c r="G998" s="138"/>
      <c r="H998" s="138"/>
      <c r="I998" s="138"/>
      <c r="J998" s="138"/>
      <c r="K998" s="138"/>
      <c r="L998" s="138"/>
      <c r="M998" s="552"/>
      <c r="N998" s="138"/>
    </row>
    <row r="999">
      <c r="A999" s="452"/>
      <c r="B999" s="549"/>
      <c r="C999" s="551"/>
      <c r="D999" s="550"/>
      <c r="E999" s="551"/>
      <c r="F999" s="138"/>
      <c r="G999" s="138"/>
      <c r="H999" s="138"/>
      <c r="I999" s="138"/>
      <c r="J999" s="138"/>
      <c r="K999" s="138"/>
      <c r="L999" s="138"/>
      <c r="M999" s="552"/>
      <c r="N999" s="138"/>
    </row>
    <row r="1000">
      <c r="A1000" s="452"/>
      <c r="B1000" s="549"/>
      <c r="C1000" s="551"/>
      <c r="D1000" s="550"/>
      <c r="E1000" s="551"/>
      <c r="F1000" s="138"/>
      <c r="G1000" s="138"/>
      <c r="H1000" s="138"/>
      <c r="I1000" s="138"/>
      <c r="J1000" s="138"/>
      <c r="K1000" s="138"/>
      <c r="L1000" s="138"/>
      <c r="M1000" s="552"/>
      <c r="N1000" s="138"/>
    </row>
    <row r="1001">
      <c r="A1001" s="452"/>
      <c r="B1001" s="549"/>
      <c r="C1001" s="551"/>
      <c r="D1001" s="550"/>
      <c r="E1001" s="551"/>
      <c r="F1001" s="138"/>
      <c r="G1001" s="138"/>
      <c r="H1001" s="138"/>
      <c r="I1001" s="138"/>
      <c r="J1001" s="138"/>
      <c r="K1001" s="138"/>
      <c r="L1001" s="138"/>
      <c r="M1001" s="552"/>
      <c r="N1001" s="138"/>
    </row>
    <row r="1002">
      <c r="A1002" s="452"/>
      <c r="B1002" s="549"/>
      <c r="C1002" s="551"/>
      <c r="D1002" s="550"/>
      <c r="E1002" s="551"/>
      <c r="F1002" s="138"/>
      <c r="G1002" s="138"/>
      <c r="H1002" s="138"/>
      <c r="I1002" s="138"/>
      <c r="J1002" s="138"/>
      <c r="K1002" s="138"/>
      <c r="L1002" s="138"/>
      <c r="M1002" s="552"/>
      <c r="N1002" s="138"/>
    </row>
    <row r="1003">
      <c r="A1003" s="452"/>
      <c r="B1003" s="549"/>
      <c r="C1003" s="551"/>
      <c r="D1003" s="550"/>
      <c r="E1003" s="551"/>
      <c r="F1003" s="138"/>
      <c r="G1003" s="138"/>
      <c r="H1003" s="138"/>
      <c r="I1003" s="138"/>
      <c r="J1003" s="138"/>
      <c r="K1003" s="138"/>
      <c r="L1003" s="138"/>
      <c r="M1003" s="552"/>
      <c r="N1003" s="138"/>
    </row>
  </sheetData>
  <mergeCells count="24">
    <mergeCell ref="B78:D78"/>
    <mergeCell ref="B79:D79"/>
    <mergeCell ref="B80:D80"/>
    <mergeCell ref="B81:D81"/>
    <mergeCell ref="B82:D82"/>
    <mergeCell ref="B83:D83"/>
    <mergeCell ref="B84:D84"/>
    <mergeCell ref="B86:D86"/>
    <mergeCell ref="B87:D87"/>
    <mergeCell ref="B88:D88"/>
    <mergeCell ref="B89:D89"/>
    <mergeCell ref="B91:D91"/>
    <mergeCell ref="B92:D92"/>
    <mergeCell ref="B94:D94"/>
    <mergeCell ref="B106:D106"/>
    <mergeCell ref="B107:D107"/>
    <mergeCell ref="B108:D108"/>
    <mergeCell ref="B95:D95"/>
    <mergeCell ref="B98:D98"/>
    <mergeCell ref="B99:D99"/>
    <mergeCell ref="B100:D100"/>
    <mergeCell ref="B103:D103"/>
    <mergeCell ref="B104:D104"/>
    <mergeCell ref="B105:D105"/>
  </mergeCells>
  <drawing r:id="rId1"/>
</worksheet>
</file>